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2.xml" ContentType="application/vnd.openxmlformats-officedocument.spreadsheetml.pivotCacheRecords+xml"/>
  <Override PartName="/xl/pivotCache/pivotCacheDefinition13.xml" ContentType="application/vnd.openxmlformats-officedocument.spreadsheetml.pivotCacheDefinition+xml"/>
  <Override PartName="/xl/pivotCache/pivotCacheRecords13.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14.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15.xml" ContentType="application/vnd.openxmlformats-officedocument.spreadsheetml.pivotCacheRecords+xml"/>
  <Override PartName="/xl/pivotCache/pivotCacheDefinition16.xml" ContentType="application/vnd.openxmlformats-officedocument.spreadsheetml.pivotCacheDefinition+xml"/>
  <Override PartName="/xl/pivotCache/pivotCacheRecords16.xml" ContentType="application/vnd.openxmlformats-officedocument.spreadsheetml.pivotCacheRecords+xml"/>
  <Override PartName="/xl/pivotCache/pivotCacheDefinition17.xml" ContentType="application/vnd.openxmlformats-officedocument.spreadsheetml.pivotCacheDefinition+xml"/>
  <Override PartName="/xl/pivotCache/pivotCacheRecords17.xml" ContentType="application/vnd.openxmlformats-officedocument.spreadsheetml.pivotCacheRecords+xml"/>
  <Override PartName="/xl/pivotCache/pivotCacheDefinition18.xml" ContentType="application/vnd.openxmlformats-officedocument.spreadsheetml.pivotCacheDefinition+xml"/>
  <Override PartName="/xl/pivotCache/pivotCacheRecords18.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pivotTables/pivotTable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9.xml" ContentType="application/vnd.openxmlformats-officedocument.spreadsheetml.pivotTable+xml"/>
  <Override PartName="/xl/drawings/drawing9.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0.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1.xml" ContentType="application/vnd.openxmlformats-officedocument.spreadsheetml.pivotTable+xml"/>
  <Override PartName="/xl/drawings/drawing1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2.xml" ContentType="application/vnd.openxmlformats-officedocument.spreadsheetml.pivotTab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3.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6.xml" ContentType="application/vnd.openxmlformats-officedocument.spreadsheetml.pivotTable+xml"/>
  <Override PartName="/xl/drawings/drawing1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7.xml" ContentType="application/vnd.openxmlformats-officedocument.spreadsheetml.pivotTable+xml"/>
  <Override PartName="/xl/drawings/drawing15.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8.xml" ContentType="application/vnd.openxmlformats-officedocument.spreadsheetml.pivotTable+xml"/>
  <Override PartName="/xl/drawings/drawing1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Doc\Balmorel\SQLite_database\"/>
    </mc:Choice>
  </mc:AlternateContent>
  <bookViews>
    <workbookView xWindow="0" yWindow="0" windowWidth="9600" windowHeight="2685"/>
  </bookViews>
  <sheets>
    <sheet name="Control" sheetId="2" r:id="rId1"/>
    <sheet name="Queries_BB3" sheetId="13" r:id="rId2"/>
    <sheet name="Queries_BB4" sheetId="5" r:id="rId3"/>
    <sheet name="EL Prices" sheetId="14" r:id="rId4"/>
    <sheet name="HE Prices" sheetId="24" r:id="rId5"/>
    <sheet name="EL GEN - Annual" sheetId="6" r:id="rId6"/>
    <sheet name="EL GEN - Time" sheetId="12" r:id="rId7"/>
    <sheet name="HE GEN - Annual" sheetId="9" r:id="rId8"/>
    <sheet name="HE GEN - Time" sheetId="8" r:id="rId9"/>
    <sheet name="Fuel CON - Time" sheetId="26" r:id="rId10"/>
    <sheet name="Fuel CON - Annual" sheetId="10" r:id="rId11"/>
    <sheet name="Emissions - Annual" sheetId="11" r:id="rId12"/>
    <sheet name="HE STO - Time" sheetId="16" r:id="rId13"/>
    <sheet name="HY STO - Time" sheetId="18" r:id="rId14"/>
    <sheet name="EL TRAN - Time" sheetId="19" r:id="rId15"/>
    <sheet name="EL TRAN - Annual" sheetId="20" r:id="rId16"/>
    <sheet name="EL DEM - Time" sheetId="21" r:id="rId17"/>
    <sheet name="EL DEM - Annual" sheetId="23" r:id="rId18"/>
    <sheet name="EL GEN CAP Exo" sheetId="22" r:id="rId19"/>
    <sheet name="EL GEN CAP ENDO" sheetId="27" r:id="rId20"/>
  </sheets>
  <definedNames>
    <definedName name="C_filter">Control!$G$11</definedName>
    <definedName name="CountryCB">Control!$F$15:$F$501</definedName>
    <definedName name="DE">Control!$B$23</definedName>
    <definedName name="IGK">Control!$B$21</definedName>
    <definedName name="O_Model">Control!$B$14</definedName>
    <definedName name="QEEQ">Control!$B$19</definedName>
    <definedName name="QHEQ">Control!$B$20</definedName>
    <definedName name="STO">Control!$B$24</definedName>
    <definedName name="VGE_T">Control!$B$17</definedName>
    <definedName name="VGF_T">Control!$B$22</definedName>
    <definedName name="VGH_T">Control!$B$18</definedName>
    <definedName name="VGKN">Control!$B$26</definedName>
    <definedName name="VX_T">Control!$B$25</definedName>
  </definedNames>
  <calcPr calcId="162913"/>
  <pivotCaches>
    <pivotCache cacheId="1157" r:id="rId21"/>
    <pivotCache cacheId="1149" r:id="rId22"/>
    <pivotCache cacheId="1145" r:id="rId23"/>
    <pivotCache cacheId="1146" r:id="rId24"/>
    <pivotCache cacheId="1143" r:id="rId25"/>
    <pivotCache cacheId="1144" r:id="rId26"/>
    <pivotCache cacheId="1159" r:id="rId27"/>
    <pivotCache cacheId="1158" r:id="rId28"/>
    <pivotCache cacheId="1150" r:id="rId29"/>
    <pivotCache cacheId="1153" r:id="rId30"/>
    <pivotCache cacheId="1154" r:id="rId31"/>
    <pivotCache cacheId="1156" r:id="rId32"/>
    <pivotCache cacheId="1147" r:id="rId33"/>
    <pivotCache cacheId="1155" r:id="rId34"/>
    <pivotCache cacheId="1151" r:id="rId35"/>
    <pivotCache cacheId="1152" r:id="rId36"/>
    <pivotCache cacheId="1148" r:id="rId37"/>
    <pivotCache cacheId="1161" r:id="rId38"/>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85" i="13" l="1"/>
  <c r="C86" i="13"/>
  <c r="C8" i="13"/>
  <c r="C56" i="13"/>
  <c r="C57" i="13"/>
  <c r="C86" i="5" l="1"/>
  <c r="C57" i="5"/>
  <c r="C85" i="5"/>
  <c r="C7" i="5"/>
  <c r="C56" i="5"/>
  <c r="C8" i="5"/>
  <c r="E9" i="5" l="1"/>
  <c r="E25" i="5"/>
  <c r="E35" i="5"/>
  <c r="E42" i="5"/>
  <c r="E49" i="5"/>
  <c r="C84" i="5" l="1"/>
  <c r="C83" i="5"/>
  <c r="C82" i="5"/>
  <c r="C49" i="5" l="1"/>
  <c r="C42" i="5"/>
  <c r="C35" i="5"/>
  <c r="C25" i="5"/>
  <c r="E49" i="13"/>
  <c r="E42" i="13"/>
  <c r="E35" i="13"/>
  <c r="E25" i="13"/>
  <c r="C49" i="13"/>
  <c r="C42" i="13"/>
  <c r="C35" i="13"/>
  <c r="C25" i="13"/>
  <c r="C9" i="5"/>
  <c r="E9" i="13"/>
  <c r="C9" i="13"/>
  <c r="C7" i="13"/>
  <c r="C84" i="13" l="1"/>
  <c r="C83" i="13"/>
  <c r="C82" i="13"/>
  <c r="C81" i="13" l="1"/>
  <c r="C79" i="13"/>
  <c r="C80" i="13"/>
  <c r="C79" i="5"/>
  <c r="C80" i="5"/>
  <c r="C81" i="5"/>
  <c r="C18" i="13" l="1"/>
  <c r="C17" i="13"/>
  <c r="C16" i="13"/>
  <c r="C17" i="5"/>
  <c r="C18" i="5"/>
  <c r="C16" i="5"/>
  <c r="C78" i="5" l="1"/>
  <c r="C77" i="5"/>
  <c r="C76" i="5"/>
  <c r="C75" i="5"/>
  <c r="C74" i="5"/>
  <c r="C73" i="5"/>
  <c r="C72" i="5"/>
  <c r="C71" i="5"/>
  <c r="C70" i="5"/>
  <c r="C69" i="5"/>
  <c r="C68" i="5"/>
  <c r="C67" i="5"/>
  <c r="C66" i="5"/>
  <c r="C65" i="5"/>
  <c r="C64" i="5"/>
  <c r="C63" i="5"/>
  <c r="C62" i="5"/>
  <c r="C61" i="5"/>
  <c r="C60" i="5"/>
  <c r="C59" i="5"/>
  <c r="C58" i="5"/>
  <c r="C55" i="5"/>
  <c r="C54" i="5"/>
  <c r="C53" i="5"/>
  <c r="C52" i="5"/>
  <c r="C51" i="5"/>
  <c r="C50" i="5"/>
  <c r="C48" i="5"/>
  <c r="C47" i="5"/>
  <c r="C46" i="5"/>
  <c r="C45" i="5"/>
  <c r="C44" i="5"/>
  <c r="C43" i="5"/>
  <c r="C41" i="5"/>
  <c r="C40" i="5"/>
  <c r="C39" i="5"/>
  <c r="C38" i="5"/>
  <c r="C37" i="5"/>
  <c r="C36" i="5"/>
  <c r="C34" i="5"/>
  <c r="C33" i="5"/>
  <c r="C32" i="5"/>
  <c r="C31" i="5"/>
  <c r="C30" i="5"/>
  <c r="C29" i="5"/>
  <c r="C28" i="5"/>
  <c r="C27" i="5"/>
  <c r="C26" i="5"/>
  <c r="C24" i="5"/>
  <c r="C23" i="5"/>
  <c r="C22" i="5"/>
  <c r="C21" i="5"/>
  <c r="C20" i="5"/>
  <c r="C19" i="5"/>
  <c r="C15" i="5"/>
  <c r="C14" i="5"/>
  <c r="C13" i="5"/>
  <c r="C12" i="5"/>
  <c r="C11" i="5"/>
  <c r="C10" i="5"/>
  <c r="C6" i="5"/>
  <c r="C5" i="5"/>
  <c r="C4" i="5"/>
  <c r="C3" i="5"/>
  <c r="C2" i="5"/>
  <c r="C1" i="5"/>
  <c r="C78" i="13"/>
  <c r="C77" i="13"/>
  <c r="C76" i="13"/>
  <c r="C75" i="13"/>
  <c r="C74" i="13"/>
  <c r="C73" i="13"/>
  <c r="C72" i="13"/>
  <c r="C71" i="13"/>
  <c r="C70" i="13"/>
  <c r="C69" i="13"/>
  <c r="C68" i="13"/>
  <c r="C67" i="13"/>
  <c r="C66" i="13"/>
  <c r="C65" i="13"/>
  <c r="C64" i="13"/>
  <c r="C63" i="13"/>
  <c r="C62" i="13"/>
  <c r="C61" i="13"/>
  <c r="C60" i="13"/>
  <c r="C59" i="13"/>
  <c r="C58" i="13"/>
  <c r="C55" i="13"/>
  <c r="C54" i="13"/>
  <c r="C53" i="13"/>
  <c r="C52" i="13"/>
  <c r="C51" i="13"/>
  <c r="C50" i="13"/>
  <c r="C48" i="13"/>
  <c r="C47" i="13"/>
  <c r="C46" i="13"/>
  <c r="C45" i="13"/>
  <c r="C44" i="13"/>
  <c r="C43" i="13"/>
  <c r="C41" i="13"/>
  <c r="C40" i="13"/>
  <c r="C39" i="13"/>
  <c r="C38" i="13"/>
  <c r="C37" i="13"/>
  <c r="C36" i="13"/>
  <c r="C34" i="13"/>
  <c r="C33" i="13"/>
  <c r="C32" i="13"/>
  <c r="C31" i="13"/>
  <c r="C30" i="13"/>
  <c r="C29" i="13"/>
  <c r="C28" i="13"/>
  <c r="C27" i="13"/>
  <c r="C26" i="13"/>
  <c r="C24" i="13"/>
  <c r="C23" i="13"/>
  <c r="C22" i="13"/>
  <c r="C21" i="13"/>
  <c r="C20" i="13"/>
  <c r="C19" i="13"/>
  <c r="C15" i="13"/>
  <c r="C14" i="13"/>
  <c r="C13" i="13"/>
  <c r="C12" i="13"/>
  <c r="C11" i="13"/>
  <c r="C10" i="13"/>
  <c r="C6" i="13"/>
  <c r="C5" i="13"/>
  <c r="C4" i="13"/>
  <c r="C3" i="13"/>
  <c r="C2" i="13"/>
  <c r="C1" i="13"/>
</calcChain>
</file>

<file path=xl/connections.xml><?xml version="1.0" encoding="utf-8"?>
<connections xmlns="http://schemas.openxmlformats.org/spreadsheetml/2006/main">
  <connection id="1" odcFile="C:\Doc\Balmorel\flex4res_balmodel\Flex4Res_data\output\BASE-results.db" name="Countries"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C&quot;"/>
  </connection>
  <connection id="2" odcFile="C:\Doc\Balmorel\flex4res_balmodel\Flex4Res_data\output\BASE-results.db" name="main El Transmission between Countries" type="1" refreshedVersion="6">
    <dbPr connection="DRIVER=SQLite3 ODBC Driver;Database=C:\Doc\Balmorel\flex4res_balmodel\Flex4Res_data\output\BASE-results.db;LongNames=0;Timeout=1000;NoTXN=0;SyncPragma=NORMAL;StepAPI=0" command="SELECT * FROM &quot;main&quot;.&quot;El Transmission between Countries&quot;"/>
  </connection>
  <connection id="3" odcFile="C:\Doc\Balmorel\flex4res_balmodel\Flex4Res_data\output\BASE-results.db" name="main El Transmission between regions net - Term" type="1" refreshedVersion="6">
    <dbPr connection="DRIVER=SQLite3 ODBC Driver;Database=C:\Doc\Balmorel\flex4res_balmodel\Flex4Res_data\output\BASE-results.db;LongNames=0;Timeout=1000;NoTXN=0;SyncPragma=NORMAL;StepAPI=0" command="SELECT * FROM &quot;main&quot;.&quot;El Transmission between regions net - Term&quot;"/>
  </connection>
  <connection id="4" odcFile="C:\Doc\Balmorel\flex4res_balmodel\Flex4Res_data\output\BASE-results.db" name="main Electricity Demand - Annual" type="1" refreshedVersion="6">
    <dbPr connection="DRIVER=SQLite3 ODBC Driver;Database=C:\Doc\Balmorel\flex4res_balmodel\Flex4Res_data\output\BASE-results.db;LongNames=0;Timeout=1000;NoTXN=0;SyncPragma=NORMAL;StepAPI=0" command="SELECT * FROM &quot;main&quot;.&quot;Electricity Demand - Annual&quot;"/>
  </connection>
  <connection id="5" odcFile="C:\Doc\Balmorel\flex4res_balmodel\Flex4Res_data\output\BASE-results.db" name="main Electricity Demand - Term" type="1" refreshedVersion="6">
    <dbPr connection="DRIVER=SQLite3 ODBC Driver;Database=C:\Doc\Balmorel\flex4res_balmodel\Flex4Res_data\output\BASE-results.db;LongNames=0;Timeout=1000;NoTXN=0;SyncPragma=NORMAL;StepAPI=0" command="SELECT * FROM &quot;main&quot;.&quot;Electricity Demand - Term&quot;"/>
  </connection>
  <connection id="6" odcFile="C:\Doc\Balmorel\flex4res_balmodel\Flex4Res_data\output\BASE-results.db" name="main Electricity generation - Annual" type="1" refreshedVersion="5">
    <dbPr connection="DRIVER=SQLite3 ODBC Driver;Database=C:\Doc\Balmorel\flex4res_balmodel\Flex4Res_data\output\BASE-results.db;LongNames=0;Timeout=1000;NoTXN=0;SyncPragma=NORMAL;StepAPI=0" command="SELECT * FROM &quot;main&quot;.&quot;Electricity generation - Annual&quot;"/>
  </connection>
  <connection id="7" odcFile="C:\Doc\Balmorel\flex4res_balmodel\Flex4Res_data\output\BASE-results.db" name="main Electricity generation - Annual1" type="1" refreshedVersion="6">
    <dbPr connection="DRIVER=SQLite3 ODBC Driver;Database=C:\Doc\Balmorel\flex4res_balmodel\Flex4Res_data\output\BASE-results.db;LongNames=0;Timeout=1000;NoTXN=0;SyncPragma=NORMAL;StepAPI=0" command="SELECT * FROM &quot;main&quot;.&quot;Electricity generation - Annual&quot;"/>
  </connection>
  <connection id="8" odcFile="C:\Doc\Balmorel\flex4res_balmodel\Flex4Res_data\output\BASE-results.db" name="main Electricity generation - Term" type="1" refreshedVersion="6">
    <dbPr connection="DRIVER=SQLite3 ODBC Driver;Database=C:\Doc\Balmorel\flex4res_balmodel\Flex4Res_data\output\BASE-results.db;LongNames=0;Timeout=1000;NoTXN=0;SyncPragma=NORMAL;StepAPI=0" command="SELECT * FROM &quot;main&quot;.&quot;Electricity generation - Term&quot;"/>
  </connection>
  <connection id="9" odcFile="C:\Doc\Balmorel\flex4res_balmodel\Flex4Res_data\output\BASE-results.db" name="main Electricity generation - Timestep" type="1" refreshedVersion="5">
    <dbPr connection="DRIVER=SQLite3 ODBC Driver;Database=C:\Doc\Balmorel\flex4res_balmodel\Flex4Res_data\output\BASE-results.db;LongNames=0;Timeout=1000;NoTXN=0;SyncPragma=NORMAL;StepAPI=0" command="SELECT * FROM &quot;main&quot;.&quot;Electricity generation - Timestep&quot;"/>
  </connection>
  <connection id="10" odcFile="C:\Doc\Balmorel\flex4res_balmodel\Flex4Res_data\output\BASE-results.db" name="main Electricity_price" type="1" refreshedVersion="6">
    <dbPr connection="DRIVER=SQLite3 ODBC Driver;Database=C:\Doc\Balmorel\flex4res_balmodel\Flex4Res_data\output\BASE-results.db;LongNames=0;Timeout=1000;NoTXN=0;SyncPragma=NORMAL;StepAPI=0" command="SELECT * FROM &quot;main&quot;.&quot;Electricity_price&quot;"/>
  </connection>
  <connection id="11" odcFile="C:\Doc\Balmorel\flex4res_balmodel\Flex4Res_data\output\BASE-results.db" name="main Emissions - Annual" type="1" refreshedVersion="6">
    <dbPr connection="DRIVER=SQLite3 ODBC Driver;Database=C:\Doc\Balmorel\flex4res_balmodel\Flex4Res_data\output\BASE-results.db;LongNames=0;Timeout=1000;NoTXN=0;SyncPragma=NORMAL;StepAPI=0" command="SELECT * FROM &quot;main&quot;.&quot;Emissions - Annual&quot;"/>
  </connection>
  <connection id="12" odcFile="C:\Doc\Balmorel\flex4res_balmodel\Flex4Res_data\output\BASE-results.db" name="main Endogenous Generation Technology - MW" type="1" refreshedVersion="6">
    <dbPr connection="DRIVER=SQLite3 ODBC Driver;Database=C:\Doc\Balmorel\flex4res_balmodel\Flex4Res_data\output\BASE-results.db;LongNames=0;Timeout=1000;NoTXN=0;SyncPragma=NORMAL;StepAPI=0" command="SELECT * FROM &quot;main&quot;.&quot;Endogenous Generation Technology - MW&quot;"/>
  </connection>
  <connection id="13" odcFile="C:\Doc\Balmorel\flex4res_balmodel\Flex4Res_data\output\BASE-results.db" name="main Exogenous Electricity Generation Technology - MW" type="1" refreshedVersion="6">
    <dbPr connection="DRIVER=SQLite3 ODBC Driver;Database=C:\Doc\Balmorel\flex4res_balmodel\Flex4Res_data\output\BASE-results.db;LongNames=0;Timeout=1000;NoTXN=0;SyncPragma=NORMAL;StepAPI=0" command="SELECT * FROM &quot;main&quot;.&quot;Exogenous Electricity Generation Technology - MW&quot;"/>
  </connection>
  <connection id="14" odcFile="C:\Doc\Balmorel\flex4res_balmodel\Flex4Res_data\output\BASE-results.db" name="main Fuel Consumption - Annual" type="1" refreshedVersion="6">
    <dbPr connection="DRIVER=SQLite3 ODBC Driver;Database=C:\Doc\Balmorel\flex4res_balmodel\Flex4Res_data\output\BASE-results.db;LongNames=0;Timeout=1000;NoTXN=0;SyncPragma=NORMAL;StepAPI=0" command="SELECT * FROM &quot;main&quot;.&quot;Fuel Consumption - Annual&quot;"/>
  </connection>
  <connection id="15" odcFile="C:\Doc\Balmorel\flex4res_balmodel\Flex4Res_data\output\BASE-results.db" name="main Fuel Consumption - Term" type="1" refreshedVersion="6">
    <dbPr connection="DRIVER=SQLite3 ODBC Driver;Database=C:\Doc\Balmorel\flex4res_balmodel\Flex4Res_data\output\BASE-results.db;LongNames=0;Timeout=1000;NoTXN=0;SyncPragma=NORMAL;StepAPI=0" command="SELECT * FROM &quot;main&quot;.&quot;Fuel Consumption - Term&quot;"/>
  </connection>
  <connection id="16" odcFile="C:\Doc\Balmorel\flex4res_balmodel\Flex4Res_data\output\BASE-results.db" name="main Fuel_Con" type="1" refreshedVersion="5">
    <dbPr connection="DRIVER=SQLite3 ODBC Driver;Database=C:\Doc\Balmorel\flex4res_balmodel\Flex4Res_data\output\BASE-results.db;LongNames=0;Timeout=1000;NoTXN=0;SyncPragma=NORMAL;StepAPI=0" command="SELECT * FROM &quot;main&quot;.&quot;Fuel_Con&quot;"/>
  </connection>
  <connection id="17" odcFile="C:\Doc\Balmorel\flex4res_balmodel\Flex4Res_data\output\BASE-results.db" name="main Heat Generation - Annual" type="1" refreshedVersion="6">
    <dbPr connection="DRIVER=SQLite3 ODBC Driver;Database=C:\Doc\Balmorel\flex4res_balmodel\Flex4Res_data\output\BASE-results.db;LongNames=0;Timeout=1000;NoTXN=0;SyncPragma=NORMAL;StepAPI=0" command="SELECT * FROM &quot;main&quot;.&quot;Heat Generation - Annual&quot;"/>
  </connection>
  <connection id="18" odcFile="C:\Doc\Balmorel\flex4res_balmodel\Flex4Res_data\output\BASE-results.db" name="main Heat Generation - Term" type="1" refreshedVersion="6">
    <dbPr connection="DRIVER=SQLite3 ODBC Driver;Database=C:\Doc\Balmorel\flex4res_balmodel\Flex4Res_data\output\BASE-results.db;LongNames=0;Timeout=1000;NoTXN=0;SyncPragma=NORMAL;StepAPI=0" command="SELECT * FROM &quot;main&quot;.&quot;Heat Generation - Term&quot;"/>
  </connection>
  <connection id="19" odcFile="C:\Doc\Balmorel\flex4res_balmodel\Flex4Res_data\output\BASE-results.db" name="main Heat price - Marginal" type="1" refreshedVersion="6">
    <dbPr connection="DRIVER=SQLite3 ODBC Driver;Database=C:\Doc\Balmorel\flex4res_balmodel\Flex4Res_data\output\BASE-results.db;LongNames=0;Timeout=1000;NoTXN=0;SyncPragma=NORMAL;StepAPI=0" command="SELECT * FROM &quot;main&quot;.&quot;Heat price - Marginal&quot;"/>
  </connection>
  <connection id="20" odcFile="C:\Doc\Balmorel\flex4res_balmodel\Flex4Res_data\output\BASE-results.db" name="main Heat Storage volume" type="1" refreshedVersion="6">
    <dbPr connection="DRIVER=SQLite3 ODBC Driver;Database=C:\Doc\Balmorel\flex4res_balmodel\Flex4Res_data\output\BASE-results.db;LongNames=0;Timeout=1000;NoTXN=0;SyncPragma=NORMAL;StepAPI=0" command="SELECT * FROM &quot;main&quot;.&quot;Heat Storage volume&quot;"/>
  </connection>
  <connection id="21" odcFile="C:\Doc\Balmorel\flex4res_balmodel\Flex4Res_data\output\BASE-results.db" name="main Weekly Hydro Storage Volume" type="1" refreshedVersion="6">
    <dbPr connection="DRIVER=SQLite3 ODBC Driver;Database=C:\Doc\Balmorel\flex4res_balmodel\Flex4Res_data\output\BASE-results.db;LongNames=0;Timeout=1000;NoTXN=0;SyncPragma=NORMAL;StepAPI=0" command="SELECT * FROM &quot;main&quot;.&quot;Weekly Hydro Storage Volume&quot;"/>
  </connection>
  <connection id="22" odcFile="C:\Doc\Balmorel\flex4res_balmodel\Flex4Res_data\output\BASE-results.db" name="main VGE_T" type="1" refreshedVersion="5" background="1" saveData="1">
    <dbPr connection="DRIVER=SQLite3 ODBC Driver;Database=C:\Doc\Balmorel\flex4res_balmodel\Flex4Res_data\output\BASE-results.db;LongNames=0;Timeout=1000;NoTXN=0;SyncPragma=NORMAL;StepAPI=0" command="SELECT * FROM &quot;main&quot;.&quot;VGE_T&quot;"/>
  </connection>
  <connection id="23" odcFile="C:\Doc\Balmorel\flex4res_balmodel\Flex4Res_data\output\BASE-results.db" name="main WND_VAR_T" type="1" refreshedVersion="5">
    <dbPr connection="DRIVER=SQLite3 ODBC Driver;Database=C:\Doc\Balmorel\flex4res_balmodel\Flex4Res_data\output\BASE-results.db;LongNames=0;Timeout=1000;NoTXN=0;SyncPragma=NORMAL;StepAPI=0" command="SELECT * FROM &quot;main&quot;.&quot;WND_VAR_T&quot;"/>
  </connection>
</connections>
</file>

<file path=xl/sharedStrings.xml><?xml version="1.0" encoding="utf-8"?>
<sst xmlns="http://schemas.openxmlformats.org/spreadsheetml/2006/main" count="1727" uniqueCount="355">
  <si>
    <t>Grand Total</t>
  </si>
  <si>
    <t xml:space="preserve">Create </t>
  </si>
  <si>
    <t>Drop</t>
  </si>
  <si>
    <t>Populate</t>
  </si>
  <si>
    <t>El_Gen</t>
  </si>
  <si>
    <t>Electricity generation - annual</t>
  </si>
  <si>
    <t>DENMARK</t>
  </si>
  <si>
    <t>NORWAY</t>
  </si>
  <si>
    <t>SWEDEN</t>
  </si>
  <si>
    <t>SUN</t>
  </si>
  <si>
    <t>WATER</t>
  </si>
  <si>
    <t>Country</t>
  </si>
  <si>
    <t>Fuel</t>
  </si>
  <si>
    <t>Sum of TWh</t>
  </si>
  <si>
    <t>Sum of MW</t>
  </si>
  <si>
    <t>Season</t>
  </si>
  <si>
    <t>COAL</t>
  </si>
  <si>
    <t>ESTONIA</t>
  </si>
  <si>
    <t>FINLAND</t>
  </si>
  <si>
    <t>GERMANY</t>
  </si>
  <si>
    <t>LATVIA</t>
  </si>
  <si>
    <t>LITHUANIA</t>
  </si>
  <si>
    <t>POLAND</t>
  </si>
  <si>
    <t>Electricity_Price</t>
  </si>
  <si>
    <t>CREATE TABLE `Electricity_price`(`Case1`TEXT, `Year1` TEXT, `Year2` TEXT, `Country` TEXT, `Region` TEXT, `Season` TEXT, `Term` TEXT, `OMONEY/MWh` REAL);</t>
  </si>
  <si>
    <t>DROP TABLE if exists `El_Gen`;</t>
  </si>
  <si>
    <t>DROP TABLE if exists `Electricity generation - Annual`;</t>
  </si>
  <si>
    <t>DROP TABLE if exists `Electricity_price`;</t>
  </si>
  <si>
    <t>CREATE TABLE `El_Gen` (`Case1` TEXT,    `Y1`    TEXT,    `Y2`    TEXT,    `Area`  TEXT,    `Technology`    TEXT, `Season` TEXT, `Term` TEXT,    `Generation_MW`    REAL);</t>
  </si>
  <si>
    <t>INSERT INTO EL_Gen(Case1, Y1, Y2, Area, Technology, Season, Term, Generation_MW) SELECT  VGE_T, VGE_T2, VGE_T3, VGE_T4, VGE_T5, VGE_T6, VGE_T7, level FROM VGE_T WHERE level &gt;0;</t>
  </si>
  <si>
    <t>DROP TABLE if exists `Electricity generation - Term`;</t>
  </si>
  <si>
    <t>Heat_Gen</t>
  </si>
  <si>
    <t>DROP TABLE if exists `Heat_Gen`;</t>
  </si>
  <si>
    <t>INSERT INTO Heat_Gen(Case1, Y1, Y2, Area, Technology, Season, Term, Generation_MW) SELECT  VGH_T, VGH_T2, VGH_T3, VGH_T4, VGH_T5, VGH_T6, VGH_T7, level FROM VGH_T WHERE level &gt;0;</t>
  </si>
  <si>
    <t>CREATE TABLE `Heat_Gen` (`Case1` TEXT,    `Y1`    TEXT,    `Y2`    TEXT,    `Area`  TEXT,    `Technology`    TEXT, `Season` TEXT, `Term` TEXT,    `Generation_MW`    REAL);</t>
  </si>
  <si>
    <t>Heat Generation - Term</t>
  </si>
  <si>
    <t>Heat Generation - Annual</t>
  </si>
  <si>
    <t>DROP TABLE if exists `Heat Generation - Term`;</t>
  </si>
  <si>
    <t>CREATE TABLE `Heat Generation - Term` (`Case` TEXT,    `Year1`    TEXT,    `Year2`    TEXT, `Country` TEXT, `Region` TEXT,   `Area`  TEXT, `Fuel` TEXT,   `Technology`    TEXT, `Season` TEXT, `Term` TEXT,    `MW`    REAL, `MWh`REAL, `GJ` REAL);</t>
  </si>
  <si>
    <t>Electricity generation - Term</t>
  </si>
  <si>
    <t>INSERT INTO `Heat generation - Term`(`Case`, Year1, Year2, Country, Region, Area, Fuel, Technology, Season, Term, MW, MWh, GJ) SELECT [Heat_Gen].Case1 AS [Case], [Heat_Gen].Y1 AS [Year1], [Heat_Gen].Y2 AS [Year2], ICA.ICA3 AS Country, RRRAAA.RRRAAA3 AS Region, [Heat_Gen].Area AS Area, IGF.IGF4 AS Fuel, [Heat_Gen].Technology AS Technology, [Heat_Gen].Season AS Season, [Heat_Gen].Term AS Term, Sum([Heat_Gen].Generation_MW) AS MW, Sum([Heat_Gen].[Generation_MW]*[IHOURSINST].[value]) AS MWh, Sum([Heat_Gen].[Generation_MW]*[IHOURSINST].[value])*3.6 AS GJ FROM IHOURSINST INNER JOIN (((RRRAAA INNER JOIN [Heat_Gen] ON (RRRAAA.RRRAAA = [Heat_Gen].Case1) AND (RRRAAA.RRRAAA4 = [Heat_Gen].Area)) INNER JOIN ICA ON (ICA.ICA4 = [Heat_Gen].AREA) AND ([Heat_Gen].Case1 = ICA.ICA)) INNER JOIN IGF ON (IGF.IGF3 = [Heat_Gen].Technology) AND ([Heat_Gen].Case1 = IGF.IGF)) ON (IHOURSINST.IHOURSINST4 = [Heat_Gen].Term) AND (IHOURSINST.IHOURSINST3 = [Heat_Gen].Season) AND (IHOURSINST.IHOURSINST = [Heat_Gen].Case1) GROUP BY [Heat_Gen].Case1, [Heat_Gen].Y1,[Heat_Gen].Y2, ICA.ICA3, RRRAAA.RRRAAA3, [Heat_Gen].Area, IGF.IGF4, [Heat_Gen].Technology, [Heat_Gen].Season, [Heat_Gen].Term, [Heat_Gen].Generation_MW;</t>
  </si>
  <si>
    <t>DROP TABLE if exists `Heat Generation - Annual`;</t>
  </si>
  <si>
    <t>CREATE TABLE `Heat Generation - Annual` (`Case` TEXT,    `Year1`    TEXT,    `Year2`    TEXT, `Country` TEXT, `Region` TEXT,   `Area`  TEXT, `Fuel` TEXT,   `Technology`    TEXT,  `TWh`REAL, `PJ` REAL);</t>
  </si>
  <si>
    <t>INSERT INTO `Heat Generation - Annual`(`Case`, Year1, Year2, Country, Region, Area, Fuel, Technology, TWh, PJ)  SELECT [Heat Generation - Term].`Case`, [Heat Generation - Term].Year1, [Heat Generation - Term].Year2,[Heat Generation - Term].Country, [Heat Generation - Term].Region, [Heat Generation - Term].Area, [Heat Generation - Term].Fuel, [Heat Generation - Term].Technology, Sum([MWh]/1000000) AS TWh, Sum([GJ]/1000000) AS PJ FROM [Heat Generation - Term] GROUP BY [Heat Generation - Term].`Case`, [Heat Generation - Term].Year1,[Heat Generation - Term].Year2, [Heat Generation - Term].Country, [Heat Generation - Term].Region, [Heat Generation - Term].Area, [Heat Generation - Term].Fuel, [Heat Generation - Term].Technology;</t>
  </si>
  <si>
    <t>Column Labels</t>
  </si>
  <si>
    <t>Row Labels</t>
  </si>
  <si>
    <t>T001</t>
  </si>
  <si>
    <t>T002</t>
  </si>
  <si>
    <t>T003</t>
  </si>
  <si>
    <t>T004</t>
  </si>
  <si>
    <t>T005</t>
  </si>
  <si>
    <t>T006</t>
  </si>
  <si>
    <t>Fuel_Con</t>
  </si>
  <si>
    <t>DROP TABLE if exists `Fuel_Con`;</t>
  </si>
  <si>
    <t>Fuel Consumption - Term</t>
  </si>
  <si>
    <t>Fuel Consumption - Annual</t>
  </si>
  <si>
    <t>DROP TABLE if exists `Fuel Consumption - Term`;</t>
  </si>
  <si>
    <t>CREATE TABLE `Fuel Consumption - Term` (`Case` TEXT,    `Year1`    TEXT,    `Year2`    TEXT, `Country` TEXT, `Region` TEXT,   `Area`  TEXT, `Fuel` TEXT,   `Technology`    TEXT, `Season` TEXT, `Term` TEXT,    `MJ/s`    REAL, `MWh`REAL, `GJ` REAL);</t>
  </si>
  <si>
    <t>DROP TABLE if exists `Fuel Consumption - Annual`;</t>
  </si>
  <si>
    <t>CREATE TABLE `Fuel Consumption - Annual` (`Case` TEXT,    `Year1`    TEXT,    `Year2`    TEXT, `Country` TEXT, `Region` TEXT,   `Area`  TEXT, `Fuel` TEXT,   `Technology`    TEXT,  `TWh`REAL, `PJ` REAL);</t>
  </si>
  <si>
    <t>INSERT INTO `Fuel Consumption - Annual`(`Case`, Year1, Year2, Country, Region, Area, Fuel, Technology, TWh, PJ)  SELECT [Fuel Consumption - Term].`Case`, [Fuel Consumption - Term].Year1, [Fuel Consumption - Term].Year2,[Fuel Consumption - Term].Country, [Fuel Consumption - Term].Region, [Fuel Consumption - Term].Area, [Fuel Consumption - Term].Fuel, [Fuel Consumption - Term].Technology, Sum([MWh]/1000000) AS TWh, Sum([GJ]/1000000) AS PJ FROM [Fuel Consumption - Term] GROUP BY [Fuel Consumption - Term].`Case`, [Fuel Consumption - Term].Year1,[Fuel Consumption - Term].Year2, [Fuel Consumption - Term].Country, [Fuel Consumption - Term].Region, [Fuel Consumption - Term].Area, [Fuel Consumption - Term].Fuel, [Fuel Consumption - Term].Technology;</t>
  </si>
  <si>
    <t>DROP TABLE if exists `Emissions - Term`;</t>
  </si>
  <si>
    <t>Emissions - Term</t>
  </si>
  <si>
    <t>CREATE TABLE `Fuel_Con`(`Case1` TEXT, `Year1`TEXT, `Year2` TEXT, `Area` TEXT, `Technology` TEXT, `Season` TEXT, `Term` TEXT, `MW`  REAL);</t>
  </si>
  <si>
    <t>INSERT INTO Fuel_Con(Case1, Year1, Year2, Area, Technology, Season,Term, MW) SELECT  VGF_T, VGF_T2, VGF_T3, VGF_T4, VGF_T5, VGF_T6, VGF_T7, level FROM VGF_T WHERE level &gt;0;</t>
  </si>
  <si>
    <t>INSERT INTO `Fuel Consumption - Term`(`Case`, Year1, Year2, Country, Region, Area, Fuel, Technology, Season, Term,`MJ/s`, MWh, GJ) SELECT Fuel_Con.Case1 AS `Case`, Fuel_Con.Year1 AS Year1, Fuel_Con.Year2 AS Year2, ICA.ICA3 AS Country, RRRAAA.RRRAAA3 AS Region, Fuel_Con.Area AS Area, IGF.IGF4 AS `Fuel`, Fuel_Con.Technology AS Technology, Fuel_Con.Season AS Season, Fuel_Con.Term AS Term, Sum([Fuel_Con].MW) AS `MJ/s`, Sum([Fuel_Con].[MW]*[IHOURSINST].[value]) AS MWh, Sum([Fuel_Con].[MW]*[IHOURSINST].[value])*3.6 AS GJ 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[Fuel_Con].Case1)GROUP BY [Fuel_Con].Case1, [Fuel_Con].Year1,[Fuel_Con].Year2, ICA.ICA3, RRRAAA.RRRAAA3, [Fuel_Con].Area, IGF.IGF4, [Fuel_Con].Technology, [Fuel_Con].Season, [Fuel_Con].Term;</t>
  </si>
  <si>
    <t>CREATE TABLE `Emissions - Term`(`Case` TEXT, `Year1`TEXT, `Year2` TEXT,`Country` TEXT, `Region` TEXT, `Area` TEXT,`Fuel` TEXT, `Technology` TEXT, `Season` TEXT, `Term` TEXT, `CO2 t/h`  REAL,`CO2 tons`  REAL, `SO2 t/h`  REAL,`SO2 tons`  REAL, `N2O t/h`  REAL,`N2O tons`  REAL);</t>
  </si>
  <si>
    <t>Emissions - Annual</t>
  </si>
  <si>
    <t>DROP TABLE if exists `Emissions - Annual`;</t>
  </si>
  <si>
    <t>CREATE TABLE `Emissions - Annual`(`Case` TEXT, `Year1`TEXT, `Year2` TEXT,`Country` TEXT, `Region` TEXT, `Area` TEXT,`Fuel` TEXT, `Technology` TEXT,`CO2 kilotons`  REAL,`CO2 megatons`  REAL, `SO2 kilotons`  REAL,`SO2 megatons`  REAL, `N2O kilotons`  REAL,`N2O megatons`  REAL);</t>
  </si>
  <si>
    <t>INSERT INTO `Emissions - Annual`(`Case`,Year1,Year2,Country,Region, Area,Fuel,Technology,`CO2 kilotons`,`CO2 megatons`, `SO2 kilotons`,`SO2 megatons`, `N2O kilotons`,`N2O megatons`) SELECT [Emissions - Term].`Case`, [Emissions - Term].Year1, [Emissions - Term].Year2, [Emissions - Term].Country, [Emissions - Term].Region, [Emissions - Term].Area, [Emissions - Term].Fuel, [Emissions - Term].Technology, Sum([CO2 Tons]/1000) AS `CO2 kilotons`, Sum([CO2 Tons]/1000000) AS `CO2 megatons`, Sum([SO2 Tons]/1000) AS `SO2 kilotons`, Sum([SO2 Tons]/1000000) AS `SO2 megatons`, Sum([N2O Tons]/1000) AS `N2O kilotons`, Sum([N2O Tons]/1000000) AS `N2O megatons` FROM [Emissions - Term] GROUP BY [Emissions - Term].`Case`, [Emissions - Term].Year1, [Emissions - Term].Year2, [Emissions - Term].Country, [Emissions - Term].Region, [Emissions - Term].Area, [Emissions - Term].Fuel, [Emissions - Term].Technology;</t>
  </si>
  <si>
    <t>Sum of CO2 megatons</t>
  </si>
  <si>
    <t>CREATE TABLE `El_Gen` (`Case1` TEXT,    `Y1`    TEXT,     `Area`  TEXT,    `Technology`    TEXT, `Season` TEXT, `Term` TEXT,    `Generation_MW`    REAL);</t>
  </si>
  <si>
    <t>CREATE TABLE `Heat_Gen` (`Case1` TEXT,    `Y1`    TEXT,     `Area`  TEXT,    `Technology`    TEXT, `Season` TEXT, `Term` TEXT,    `Generation_MW`    REAL);</t>
  </si>
  <si>
    <t>CREATE TABLE `Heat Generation - Term` (`Case` TEXT,    `Year1`    TEXT,  `Country` TEXT, `Region` TEXT,   `Area`  TEXT, `Fuel` TEXT,   `Technology`    TEXT, `Season` TEXT, `Term` TEXT,    `MW`    REAL, `MWh`REAL, `GJ` REAL);</t>
  </si>
  <si>
    <t>INSERT INTO `Heat generation - Term`(`Case`, Year1,  Country, Region, Area, Fuel, Technology, Season, Term, MW, MWh, GJ) SELECT [Heat_Gen].Case1 AS [Case], [Heat_Gen].Y1 AS [Year1], ICA.ICA3 AS Country, RRRAAA.RRRAAA3 AS Region, [Heat_Gen].Area AS Area, IGF.IGF4 AS Fuel, [Heat_Gen].Technology AS Technology, [Heat_Gen].Season AS Season, [Heat_Gen].Term AS Term, Sum([Heat_Gen].Generation_MW) AS MW, Sum([Heat_Gen].[Generation_MW]*[IHOURSINST].[value]) AS MWh, Sum([Heat_Gen].[Generation_MW]*[IHOURSINST].[value])*3.6 AS GJ FROM IHOURSINST INNER JOIN (((RRRAAA INNER JOIN [Heat_Gen] ON (RRRAAA.RRRAAA = [Heat_Gen].Case1) AND (RRRAAA.RRRAAA4 = [Heat_Gen].Area)) INNER JOIN ICA ON (ICA.ICA4 = [Heat_Gen].AREA) AND ([Heat_Gen].Case1 = ICA.ICA)) INNER JOIN IGF ON (IGF.IGF3 = [Heat_Gen].Technology) AND ([Heat_Gen].Case1 = IGF.IGF)) ON (IHOURSINST.IHOURSINST4 = [Heat_Gen].Term) AND (IHOURSINST.IHOURSINST3 = [Heat_Gen].Season) AND (IHOURSINST.IHOURSINST = [Heat_Gen].Case1) GROUP BY [Heat_Gen].Case1, [Heat_Gen].Y1, ICA.ICA3, RRRAAA.RRRAAA3, [Heat_Gen].Area, IGF.IGF4, [Heat_Gen].Technology, [Heat_Gen].Season, [Heat_Gen].Term, [Heat_Gen].Generation_MW;</t>
  </si>
  <si>
    <t>CREATE TABLE `Heat Generation - Annual` (`Case` TEXT,    `Year1`    TEXT,   `Country` TEXT, `Region` TEXT,   `Area`  TEXT, `Fuel` TEXT,   `Technology`    TEXT,  `TWh`REAL, `PJ` REAL);</t>
  </si>
  <si>
    <t>CREATE TABLE `Fuel_Con`(`Case1` TEXT, `Year1`TEXT,  `Area` TEXT, `Technology` TEXT, `Season` TEXT, `Term` TEXT, `MW`  REAL);</t>
  </si>
  <si>
    <t>CREATE TABLE `Fuel Consumption - Term` (`Case` TEXT,    `Year1`    TEXT,  `Country` TEXT, `Region` TEXT,   `Area`  TEXT, `Fuel` TEXT,   `Technology`    TEXT, `Season` TEXT, `Term` TEXT,    `MJ/s`    REAL, `MWh`REAL, `GJ` REAL);</t>
  </si>
  <si>
    <t>INSERT INTO `Fuel Consumption - Term`(`Case`, Year1, Country, Region, Area, Fuel, Technology, Season, Term,`MJ/s`, MWh, GJ) SELECT Fuel_Con.Case1 AS `Case`, Fuel_Con.Year1 AS Year1,  ICA.ICA3 AS Country, RRRAAA.RRRAAA3 AS Region, Fuel_Con.Area AS Area, IGF.IGF4 AS `Fuel`, Fuel_Con.Technology AS Technology, Fuel_Con.Season AS Season, Fuel_Con.Term AS Term, Sum([Fuel_Con].MW) AS `MJ/s`, Sum([Fuel_Con].[MW]*[IHOURSINST].[value]) AS MWh, Sum([Fuel_Con].[MW]*[IHOURSINST].[value])*3.6 AS GJ 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[Fuel_Con].Case1)GROUP BY [Fuel_Con].Case1, [Fuel_Con].Year1, ICA.ICA3, RRRAAA.RRRAAA3, [Fuel_Con].Area, IGF.IGF4, [Fuel_Con].Technology, [Fuel_Con].Season, [Fuel_Con].Term;</t>
  </si>
  <si>
    <t>CREATE TABLE `Fuel Consumption - Annual` (`Case` TEXT,    `Year1`    TEXT,    `Country` TEXT, `Region` TEXT,   `Area`  TEXT, `Fuel` TEXT,   `Technology`    TEXT,  `TWh`REAL, `PJ` REAL);</t>
  </si>
  <si>
    <t>INSERT INTO `Fuel Consumption - Annual`(`Case`, Year1, Country, Region, Area, Fuel, Technology, TWh, PJ)  SELECT [Fuel Consumption - Term].`Case`, [Fuel Consumption - Term].Year1,[Fuel Consumption - Term].Country, [Fuel Consumption - Term].Region, [Fuel Consumption - Term].Area, [Fuel Consumption - Term].Fuel, [Fuel Consumption - Term].Technology, Sum([MWh]/1000000) AS TWh, Sum([GJ]/1000000) AS PJ FROM [Fuel Consumption - Term] GROUP BY [Fuel Consumption - Term].`Case`, [Fuel Consumption - Term].Year1, [Fuel Consumption - Term].Country, [Fuel Consumption - Term].Region, [Fuel Consumption - Term].Area, [Fuel Consumption - Term].Fuel, [Fuel Consumption - Term].Technology;</t>
  </si>
  <si>
    <t>CREATE TABLE `Emissions - Term`(`Case` TEXT, `Year1`TEXT, `Country` TEXT, `Region` TEXT, `Area` TEXT,`Fuel` TEXT, `Technology` TEXT, `Season` TEXT, `Term` TEXT, `CO2 t/h`  REAL,`CO2 tons`  REAL, `SO2 t/h`  REAL,`SO2 tons`  REAL, `N2O t/h`  REAL,`N2O tons`  REAL);</t>
  </si>
  <si>
    <t>INSERT INTO `Emissions - Term`(`Case`,Year1,Country,Region,Area,`Fuel`,Technology,Season, `Term`, `CO2 t/h`,`CO2 tons`, `SO2 t/h`,`SO2 tons`, `N2O t/h`,`N2O tons`) SELECT Fuel_con.Case1 AS `Case`, Fuel_con.Year1 AS Year1, ICA.ICA3 AS Country, RRRAAA.RRRAAA3 AS Region, Fuel_con.Area AS Area, IGF.IGF4 AS Fuel, Fuel_con.Technology AS Technology, Fuel_con.Season AS Season, Fuel_con.Term AS Term, Sum([Fuel_con].[MW]*[IM_CO2].[value])*3.6/1000 AS `CO2 t/h`, Sum([Fuel_con].[MW]*[IHOURSINST].[value]*[IM_CO2].[value])*3.6/1000 AS `CO2 tons`,Sum([Fuel_con].[MW]*[IM_SO2].[value])*3.6/1000 AS `SO2 t/h`, Sum([Fuel_con].[MW]*[IHOURSINST].[value]*[IM_SO2].[value])*3.6/1000 AS `SO2 tons`,Sum([Fuel_con].[MW]*[IM_N2O].[value])*3.6/1000 AS `N2O t/h`, Sum([Fuel_con].[MW]*[IHOURSINST].[value]*[IM_N2O].[value])*3.6/1000 AS `N2O tons`FROM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 INNER JOIN IM_SO2 ON (IM_SO2.IM_SO23 = [Fuel_con].Technology) AND ([Fuel_con].Case1 = IM_SO2.IM_SO2) INNER JOIN IM_CO2 ON (IM_CO2.IM_CO23 = [Fuel_con].Technology) AND ([Fuel_con].Case1 = IM_CO2.IM_CO2) INNER JOIN IM_N2O ON (IM_N2O.IM_N2O3 = [Fuel_con].Technology) AND ([Fuel_con].Case1 = IM_N2O.IM_N2O)GROUP BY [Fuel_con].Case1, [Fuel_con].Year1, ICA.ICA3, RRRAAA.RRRAAA3, [Fuel_con].Area, IGF.IGF4, [Fuel_con].Technology, [Fuel_con].Season, [Fuel_con].Term;</t>
  </si>
  <si>
    <t>CREATE TABLE `Emissions - Annual`(`Case` TEXT, `Year1`TEXT,`Country` TEXT, `Region` TEXT, `Area` TEXT,`Fuel` TEXT, `Technology` TEXT,`CO2 kilotons`  REAL,`CO2 megatons`  REAL, `SO2 kilotons`  REAL,`SO2 megatons`  REAL, `N2O kilotons`  REAL,`N2O megatons`  REAL);</t>
  </si>
  <si>
    <t>INSERT INTO `Emissions - Annual`(`Case`,Year1,Country,Region, Area,Fuel,Technology,`CO2 kilotons`,`CO2 megatons`, `SO2 kilotons`,`SO2 megatons`, `N2O kilotons`,`N2O megatons`) SELECT [Emissions - Term].`Case`, [Emissions - Term].Year1, [Emissions - Term].Country, [Emissions - Term].Region, [Emissions - Term].Area, [Emissions - Term].Fuel, [Emissions - Term].Technology, Sum([CO2 Tons]/1000) AS `CO2 kilotons`, Sum([CO2 Tons]/1000000) AS `CO2 megatons`, Sum([SO2 Tons]/1000) AS `SO2 kilotons`, Sum([SO2 Tons]/1000000) AS `SO2 megatons`, Sum([N2O Tons]/1000) AS `N2O kilotons`, Sum([N2O Tons]/1000000) AS `N2O megatons` FROM [Emissions - Term] GROUP BY [Emissions - Term].`Case`, [Emissions - Term].Year1,  [Emissions - Term].Country, [Emissions - Term].Region, [Emissions - Term].Area, [Emissions - Term].Fuel, [Emissions - Term].Technology;</t>
  </si>
  <si>
    <t>INSERT INTO `Heat Generation - Annual`(`Case`, Year1, Country, Region, Area, Fuel, Technology, TWh, PJ)  SELECT [Heat Generation - Term].`Case`, [Heat Generation - Term].Year1,[Heat Generation - Term].Country, [Heat Generation - Term].Region, [Heat Generation - Term].Area, [Heat Generation - Term].Fuel, [Heat Generation - Term].Technology, Sum([MWh]/1000000) AS TWh, Sum([GJ]/1000000) AS PJ FROM [Heat Generation - Term] GROUP BY [Heat Generation - Term].`Case`, [Heat Generation - Term].Year1, [Heat Generation - Term].Country, [Heat Generation - Term].Region, [Heat Generation - Term].Area, [Heat Generation - Term].Fuel, [Heat Generation - Term].Technology;</t>
  </si>
  <si>
    <t>Region</t>
  </si>
  <si>
    <t>Term</t>
  </si>
  <si>
    <t>Heat storage volume</t>
  </si>
  <si>
    <t>DROP TABLE if exists `Heat Storage volume`;</t>
  </si>
  <si>
    <t>Weekly Hydro Storage Volume</t>
  </si>
  <si>
    <t>DROP TABLE if exists `Weekly Hydro Storage Volume`;</t>
  </si>
  <si>
    <t>CREATE TABLE `Heat Storage volume`(`Case` TEXT, `Year1`TEXT, `Year2` TEXT,`Country` TEXT, `Region` TEXT, `Area` TEXT,`Season` TEXT, `Term` TEXT, `MWh` REAL, `GJ` REAL);</t>
  </si>
  <si>
    <t>INSERT INTO `Heat Storage volume`(`Case`, Year1, Year2, Country,Region,Area,Season,Term,MWh,GJ) SELECT VHSTOVOLT.VHSTOVOLT AS `Case`, VHSTOVOLT.VHSTOVOLT2 AS Year1, VHSTOVOLT.VHSTOVOLT3 AS Year2, ICA.ICA3 AS Country, RRRAAA.RRRAAA3 AS Region, VHSTOVOLT.VHSTOVOLT4 AS Area, VHSTOVOLT.VHSTOVOLT5 AS Season, VHSTOVOLT.VHSTOVOLT6 AS Term, Sum(VHSTOVOLT.level) AS MWh, Sum(VHSTOVOLT.level)*3.6 AS GJ FROM ICA INNER JOIN (RRRAAA INNER JOIN VHSTOVOLT ON (RRRAAA.RRRAAA4 = VHSTOVOLT.VHSTOVOLT4) AND (RRRAAA.RRRAAA = VHSTOVOLT.VHSTOVOLT)) ON (ICA.ICA4 = VHSTOVOLT.VHSTOVOLT4) AND (ICA.ICA = VHSTOVOLT.VHSTOVOLT)GROUP BY VHSTOVOLT.VHSTOVOLT, VHSTOVOLT.VHSTOVOLT2, VHSTOVOLT.VHSTOVOLT3, ICA.ICA3, RRRAAA.RRRAAA3, VHSTOVOLT.VHSTOVOLT4, VHSTOVOLT.VHSTOVOLT5, VHSTOVOLT.VHSTOVOLT6;</t>
  </si>
  <si>
    <t>CREATE TABLE `Weekly Hydro Storage Volume`(`Case` TEXT, `Year1`TEXT, `Year2` TEXT,`Country` TEXT, `Region` TEXT, `Area` TEXT,`Week` TEXT, `MWh` REAL);</t>
  </si>
  <si>
    <t>CREATE TABLE `Heat Storage volume`(`Case` TEXT, `Year`TEXT,`Country` TEXT, `Region` TEXT, `Area` TEXT,`Season` TEXT, `Term` TEXT, `MWh` REAL, `GJ` REAL);</t>
  </si>
  <si>
    <t>INSERT INTO `Heat Storage volume`(`Case`, Year,  Country,Region,Area,Season,Term,MWh,GJ) SELECT VHSTOVOLT.VHSTOVOLT AS `Case`, VHSTOVOLT.VHSTOVOLT2 AS Year,  ICA.ICA3 AS Country, RRRAAA.RRRAAA3 AS Region, VHSTOVOLT.VHSTOVOLT3 AS Area, VHSTOVOLT.VHSTOVOLT4 AS Season, VHSTOVOLT.VHSTOVOLT5 AS Term, Sum(VHSTOVOLT.level) AS MWh, Sum(VHSTOVOLT.level)*3.6 AS GJ FROM ICA INNER JOIN (RRRAAA INNER JOIN VHSTOVOLT ON (RRRAAA.RRRAAA4 = VHSTOVOLT.VHSTOVOLT3) AND (RRRAAA.RRRAAA = VHSTOVOLT.VHSTOVOLT)) ON (ICA.ICA4 = VHSTOVOLT.VHSTOVOLT3) AND (ICA.ICA = VHSTOVOLT.VHSTOVOLT)GROUP BY VHSTOVOLT.VHSTOVOLT, VHSTOVOLT.VHSTOVOLT2, VHSTOVOLT.VHSTOVOLT3, ICA.ICA3, RRRAAA.RRRAAA3, VHSTOVOLT.VHSTOVOLT4, VHSTOVOLT.VHSTOVOLT5;</t>
  </si>
  <si>
    <t>CREATE TABLE `Weekly Hydro Storage Volume`(`Case` TEXT, `Year`TEXT, `Country` TEXT, `Region` TEXT, `Area` TEXT,`Week` TEXT, `MWh` REAL);</t>
  </si>
  <si>
    <t>INSERT INTO `Weekly Hydro Storage Volume`(`Case`,Year,Country, Region,Area,Week,MWh) SELECT VHYRS_S.VHYRS_S AS [Case], VHYRS_S.VHYRS_S2 AS [Year], ICA.ICA3 AS Country, RRRAAA.RRRAAA3 AS Region, VHYRS_S.VHYRS_S3 AS Area, VHYRS_S.VHYRS_S4 AS Week, VHYRS_S.level AS MWh FROM (VHYRS_S INNER JOIN ICA ON VHYRS_S.VHYRS_S3 = ICA.ICA4) INNER JOIN RRRAAA ON VHYRS_S.VHYRS_S3 = RRRAAA.RRRAAA4;</t>
  </si>
  <si>
    <t>INSERT INTO `Weekly Hydro Storage Volume`(`Case`,Year1,Year2,Country, Region,Area,Week,MWh) SELECT VHYRS_S.VHYRS_S AS [Case], VHYRS_S.VHYRS_S2 AS [Year1],VHYRS_S.VHYRS_S3 AS [Year2], ICA.ICA3 AS Country, RRRAAA.RRRAAA3 AS Region, VHYRS_S.VHYRS_S4 AS Area, VHYRS_S.VHYRS_S5 AS Week, VHYRS_S.level AS MWh FROM (VHYRS_S INNER JOIN ICA ON VHYRS_S.VHYRS_S4 = ICA.ICA4) INNER JOIN RRRAAA ON VHYRS_S.VHYRS_S4 = RRRAAA.RRRAAA4;</t>
  </si>
  <si>
    <t>DROP TABLE if exists `Electricity Demand - Term`;</t>
  </si>
  <si>
    <t>Heat Demand - Term</t>
  </si>
  <si>
    <t>Electricity Demand - Term</t>
  </si>
  <si>
    <t>DROP TABLE if exists `Heat Demand - Term`;</t>
  </si>
  <si>
    <t>Electricity Demand - Annual</t>
  </si>
  <si>
    <t>Heat Demand - Annual</t>
  </si>
  <si>
    <t>DROP TABLE if exists `Heat Demand - Annual`;</t>
  </si>
  <si>
    <t>DROP TABLE if exists `Electricity Demand - Annual`;</t>
  </si>
  <si>
    <t>Heat Price - Marginal</t>
  </si>
  <si>
    <t>DROP TABLE if exists`Heat Price - Marginal`;</t>
  </si>
  <si>
    <t>Sum of MWh</t>
  </si>
  <si>
    <t>Sum of SO2 kilotons</t>
  </si>
  <si>
    <t>Sum of N2O kilotons</t>
  </si>
  <si>
    <t>Average of OMONEY/MWh</t>
  </si>
  <si>
    <t>CREATE TABLE `Electricity_price`(`Case`TEXT, `Year1` TEXT,  `Country` TEXT, `Region` TEXT, `Season` TEXT, `Term` TEXT, `OMONEY/MWh` REAL);</t>
  </si>
  <si>
    <t>INSERT INTO `Electricity_price`(`Case`,`Year1`,`Country`,`Region`,`Season`,`Term`,`OMONEY/MWh`) SELECT QEEQ.QEEQ AS [`Case`], QEEQ.QEEQ2 AS [Year1], CCCRRR.CCCRRR3 AS Country, QEEQ.QEEQ3 AS Region, QEEQ.QEEQ4 AS Season, QEEQ.QEEQ5 AS Term, Avg([QEEQ].[marginal]/[IHOURSINST].[value]*[OMONEY].[value]) AS [OMONEY/MWh] FROM CCCRRR INNER JOIN (OMONEY INNER JOIN (QEEQ INNER JOIN IHOURSINST ON (QEEQ.QEEQ5 = IHOURSINST.IHOURSINST4) AND (QEEQ.QEEQ = IHOURSINST.IHOURSINST) AND (QEEQ.QEEQ4 = IHOURSINST.IHOURSINST3)) ON OMONEY.OMONEY = QEEQ.QEEQ) ON (CCCRRR.CCCRRR4 = QEEQ.QEEQ3) AND (CCCRRR.CCCRRR = QEEQ.QEEQ) GROUP BY QEEQ.QEEQ, QEEQ.QEEQ2, CCCRRR.CCCRRR3, QEEQ.QEEQ3, QEEQ.QEEQ4, QEEQ.QEEQ5;</t>
  </si>
  <si>
    <t>Exogenous Generation Technology - MW</t>
  </si>
  <si>
    <t>DROP TABLE if exists `Exogenous Generation Technology - MW`;</t>
  </si>
  <si>
    <t>INSERT INTO `Exogenous Generation Technology - MW`(`Case` ,Year,Country,Region,Area,Fuel,Technology,MW) SELECT GKFX.GKFX AS [`Case`], GKFX.GKFX3 AS [Year], ICA.ICA3 AS Country, RRRAAA.RRRAAA3 AS Region, GKFX.GKFX4 AS Area, IGF.IGF4 AS Fuel, GKFX.GKFX5 AS Technology, Sum(GKFX.value) AS MW FROM IGF INNER JOIN (RRRAAA INNER JOIN (ICA INNER JOIN (Y INNER JOIN GKFX ON (Y.Y3 = GKFX.GKFX3) AND (Y.Y = GKFX.GKFX)) ON (ICA.ICA4 = GKFX.GKFX4) AND (ICA.ICA = GKFX.GKFX)) ON (RRRAAA.RRRAAA4 = GKFX.GKFX4) AND (RRRAAA.RRRAAA = GKFX.GKFX)) ON (IGF.IGF = GKFX.GKFX) AND (IGF.IGF3 = GKFX.GKFX5) GROUP BY GKFX.GKFX, GKFX.GKFX3, ICA.ICA3, RRRAAA.RRRAAA3, GKFX.GKFX4, IGF.IGF4, GKFX.GKFX5;</t>
  </si>
  <si>
    <t>Exogenous Electricity Generation Technology - MW</t>
  </si>
  <si>
    <t>DROP TABLE if exists `Exogenous Electricity Generation Technology - MW`;</t>
  </si>
  <si>
    <t>El Transmission between regions net -Term</t>
  </si>
  <si>
    <t>El Transmission between Countries</t>
  </si>
  <si>
    <t>DROP TABLE if exists `El Transmission between Countries`;</t>
  </si>
  <si>
    <t>DROP TABLE if exists `El Transmission between regions net - Term`;</t>
  </si>
  <si>
    <t>CREATE TABLE `El Transmission between regions net - Term`(`Case` TEXT, Year TEXT, Source TEXT, Destination TEXT, Season TEXT, Term TEXT, GW REAL);</t>
  </si>
  <si>
    <t>INSERT INTO `El Transmission between regions net - Term`(`Case` , Year, Source, Destination, Season, Term, GW) SELECT VX_T.VX_T AS [Case], VX_T.VX_T2 AS [Year], VX_T.VX_T3 AS Source,  VX_T.VX_T4 AS Destination, VX_T.VX_T5 AS Season, VX_T.VX_T6 AS [Time], Sum(VX_T.level-VX_T_1.level)/1000 AS GW FROM VX_T INNER JOIN VX_T AS VX_T_1 ON (VX_T.VX_T6 = VX_T_1.VX_T6) AND (VX_T.VX_T5 = VX_T_1.VX_T5) AND (VX_T.VX_T4 = VX_T_1.VX_T3) AND (VX_T.VX_T3 = VX_T_1.VX_T4) AND (VX_T.VX_T2 = VX_T_1.VX_T2) AND (VX_T.VX_T = VX_T_1.VX_T) GROUP BY VX_T.VX_T, VX_T.VX_T2, VX_T.VX_T3,  VX_T.VX_T4, VX_T.VX_T5, VX_T.VX_T6;</t>
  </si>
  <si>
    <t>CREATE TABLE `El Transmission between Countries`(`Case` TEXT, Year TEXT,Country1 TEXT, Region1 TEXT,Country2 TEXT,Region2 TEXT,GWh REAL);</t>
  </si>
  <si>
    <t>CREATE TABLE `Electricity generation - Term` (`Case` TEXT,`Year`TEXT,  `Country` TEXT, `Region` TEXT,   `Area`  TEXT, `Fuel` TEXT,`Technology Type` TEXT,`Technology` TEXT, `Season` TEXT, `Term` TEXT,    `MW`    REAL, `MWh`REAL, `GJ` REAL);</t>
  </si>
  <si>
    <t>CREATE TABLE `Electricity generation - Annual` (`Case` TEXT,    `Year`    TEXT,   `Country` TEXT, `Region` TEXT,   `Area`  TEXT, `Fuel` TEXT,  `Technology Type` TEXT, `Technology`    TEXT,  `TWh`REAL, `PJ` REAL);</t>
  </si>
  <si>
    <t>INSERT INTO `Electricity generation - Term`(`Case`, Year,  Country, Region, Area, Fuel, `Technology Type`, Technology, Season, Term, MW, MWh, GJ)  SELECT [El_Gen].Case1 AS [Case], [El_Gen].Y1 AS [Year],  ICA.ICA3 AS Country, RRRAAA.RRRAAA3 AS Region, [El_Gen].Area AS Area, IGF.IGF4 AS Fuel, GDATA.value AS [Technology Type`], [El_Gen].Technology AS Technology, [El_Gen].Season AS Season, [El_Gen].Term AS Term, Sum([El_Gen].Generation_MW) AS MW, Sum([El_Gen].[Generation_MW]*[IHOURSINST].[value]) AS MWh, Sum([El_Gen].[Generation_MW]*[IHOURSINST].[value])*3.6 AS GJ  FROM IHOURSINST INNER JOIN (((RRRAAA INNER JOIN [El_Gen] ON (RRRAAA.RRRAAA = [El_Gen].Case1) AND (RRRAAA.RRRAAA4 = [El_Gen].Area)) INNER JOIN ICA ON (ICA.ICA4 = [El_Gen].AREA) AND ([El_Gen].Case1 = ICA.ICA)) INNER JOIN IGF ON (IGF.IGF3 = [El_Gen].Technology) AND ([El_Gen].Case1 = IGF.IGF)) ON (IHOURSINST.IHOURSINST4 = [El_Gen].Term) AND (IHOURSINST.IHOURSINST3 = [El_Gen].Season) AND (IHOURSINST.IHOURSINST = [El_Gen].Case1) INNER JOIN GDATA ON  (GDATA.GDATA = [El_Gen].Case1) AND (GDATA.GDATA3 = [El_Gen].Technology) AND (GDATA.GDATA4 = "GDTYPE")  GROUP BY [El_Gen].Case1, [El_Gen].Y1, ICA.ICA3, RRRAAA.RRRAAA3, [El_Gen].Area, IGF.IGF4, [El_Gen].Technology, [El_Gen].Season, [El_Gen].Term, [El_Gen].Generation_MW;</t>
  </si>
  <si>
    <t>CREATE TABLE `Electricity generation - Annual` (`Case` TEXT,    `Year1`    TEXT,    `Year2`    TEXT, `Country` TEXT, `Region` TEXT,   `Area`  TEXT, `Fuel` TEXT, `Technology Type` TEXT,   `Technology`    TEXT,  `TWh`REAL, `PJ` REAL);</t>
  </si>
  <si>
    <t>INSERT INTO `Electricity generation - annual`(`Case`, Year1, Year2, Country, Region, Area, Fuel, `Technology Type`,Technology, TWh, PJ)  SELECT [Electricity generation - Term].`Case`, [Electricity generation - Term].Year1, [Electricity generation - Term].Year2,[Electricity generation - Term].Country, [Electricity generation - Term].Region, [Electricity generation - Term].Area, [Electricity generation - Term].Fuel, [Electricity generation - Term].[Technology Type],[Electricity generation - Term].Technology, Sum([MWh]/1000000) AS TWh, Sum([GJ]/1000000) AS PJ FROM [Electricity generation - Term] GROUP BY [Electricity generation - Term].`Case`, [Electricity generation - Term].Year1,[Electricity generation - Term].Year2, [Electricity generation - Term].Country, [Electricity generation - Term].Region, [Electricity generation - Term].Area, [Electricity generation - Term].Fuel, [Electricity generation - Term].[Technology Type],[Electricity generation - Term].Technology;</t>
  </si>
  <si>
    <t>CREATE TABLE `Electricity generation - Term` (`Case` TEXT,    `Year1`    TEXT,    `Year2`    TEXT, `Country` TEXT, `Region` TEXT,   `Area`  TEXT, `Fuel` TEXT, `Technology Type` TEXT,  `Technology`    TEXT, `Season` TEXT, `Term` TEXT,    `MW`    REAL, `MWh`REAL, `GJ` REAL);</t>
  </si>
  <si>
    <t>INSERT INTO `Electricity generation - Term`(`Case`, Year1, Year2, Country, Region, Area, Fuel,`Technology Type`, Technology, Season, Term, MW, MWh, GJ)  SELECT [El_Gen].Case1 AS [Case], [El_Gen].Y1 AS [Year1], [El_Gen].Y2 AS [Year2], ICA.ICA3 AS Country, RRRAAA.RRRAAA3 AS Region, [El_Gen].Area AS Area, IGF.IGF4 AS Fuel, GDATA.value AS [Technology Type`],[El_Gen].Technology AS Technology, [El_Gen].Season AS Season, [El_Gen].Term AS Term, Sum([El_Gen].Generation_MW) AS MW, Sum([El_Gen].[Generation_MW]*[IHOURSINST].[value]) AS MWh, Sum([El_Gen].[Generation_MW]*[IHOURSINST].[value])*3.6 AS GJ FROM IHOURSINST INNER JOIN (((RRRAAA INNER JOIN [El_Gen] ON (RRRAAA.RRRAAA = [El_Gen].Case1) AND (RRRAAA.RRRAAA4 = [El_Gen].Area)) INNER JOIN ICA ON (ICA.ICA4 = [El_Gen].AREA) AND ([El_Gen].Case1 = ICA.ICA)) INNER JOIN IGF ON (IGF.IGF3 = [El_Gen].Technology) AND ([El_Gen].Case1 = IGF.IGF)) ON (IHOURSINST.IHOURSINST4 = [El_Gen].Term) AND (IHOURSINST.IHOURSINST3 = [El_Gen].Season) AND (IHOURSINST.IHOURSINST = [El_Gen].Case1) INNER JOIN GDATA ON  (GDATA.GDATA = [El_Gen].Case1) AND (GDATA.GDATA3 = [El_Gen].Technology) AND (GDATA.GDATA4 = "GDTYPE")  GROUP BY [El_Gen].Case1, [El_Gen].Y1,[El_Gen].Y2, ICA.ICA3, RRRAAA.RRRAAA3, [El_Gen].Area, IGF.IGF4, [El_Gen].Technology, [El_Gen].Season, [El_Gen].Term, [El_Gen].Generation_MW;</t>
  </si>
  <si>
    <t>INSERT INTO `Electricity generation - annual`(`Case`, Year,  Country, Region, Area, Fuel,`Technology Type`, Technology, TWh, PJ)  SELECT [Electricity generation - Term].`Case`, [Electricity generation - Term].Year,[Electricity generation - Term].Country, [Electricity generation - Term].Region, [Electricity generation - Term].Area, [Electricity generation - Term].Fuel,  [Electricity generation - Term].[Technology Type], [Electricity generation - Term].Technology, Sum([MWh]/1000000) AS TWh, Sum([GJ]/1000000) AS PJ FROM [Electricity generation - Term] GROUP BY [Electricity generation - Term].`Case`, [Electricity generation - Term].Year,[Electricity generation - Term].Country, [Electricity generation - Term].Region, [Electricity generation - Term].Area, [Electricity generation - Term].Fuel, [Electricity generation - Term].[Technology Type],[Electricity generation - Term].Technology;</t>
  </si>
  <si>
    <t>Electricity generarion</t>
  </si>
  <si>
    <t>Heat generation</t>
  </si>
  <si>
    <t>Electricity price</t>
  </si>
  <si>
    <t>Marginal heat value</t>
  </si>
  <si>
    <t>Endogenous &amp; Exogenous generation capacity</t>
  </si>
  <si>
    <t>Fuel consumption &amp; Emissons</t>
  </si>
  <si>
    <t>Electricity &amp; Heat demand</t>
  </si>
  <si>
    <t>Storages</t>
  </si>
  <si>
    <t>Transmission</t>
  </si>
  <si>
    <t>BB4 Model</t>
  </si>
  <si>
    <t>CREATE TABLE `El Transmission between regions net - Term`(`Case` TEXT, Year1 TEXT,Year2 TEXT, Source TEXT, Destination TEXT, Season TEXT, Term TEXT, GW REAL);</t>
  </si>
  <si>
    <t>INSERT INTO `El Transmission between regions net - Term`(`Case` , Year1, Year2, Source, Destination, Season, Term, GW)  SELECT VX_T.VX_T AS [Case], VX_T.VX_T2 AS [Year1], VX_T.VX_T3 AS [Year2], VX_T.VX_T4 AS Source,  VX_T.VX_T5 AS Destination, VX_T.VX_T6 AS Season, VX_T.VX_T7 AS [Time], Sum(VX_T.level-VX_T_1.level)/1000 AS GW  FROM VX_T INNER JOIN VX_T AS VX_T_1  ON (VX_T.VX_T6 = VX_T_1.VX_T6) AND (VX_T.VX_T7 = VX_T_1.VX_T7) AND (VX_T.VX_T4 = VX_T_1.VX_T5) AND (VX_T.VX_T5 = VX_T_1.VX_T4) AND (VX_T.VX_T3 = VX_T_1.VX_T3) AND (VX_T.VX_T2 = VX_T_1.VX_T2) AND (VX_T.VX_T = VX_T_1.VX_T)  GROUP BY VX_T.VX_T, VX_T.VX_T2, VX_T.VX_T3,  VX_T.VX_T4, VX_T.VX_T5, VX_T.VX_T6, VX_T.VX_T7;</t>
  </si>
  <si>
    <t>INSERT INTO `El Transmission between Countries`(`Case`,Year,Country1,Region1,Country2,Region2,GWh) SELECT VX_T.VX_T AS [`Case`], VX_T.VX_T2 AS [Year], CCCRRR.CCCRRR3 AS Country1, VX_T.VX_T3 AS Region1, CCCRRR_1.CCCRRR3 AS Country2, VX_T.VX_T4 AS Region2, Sum(VX_T.level*IHOURSINST.value)/1000 AS GWh  FROM CCCRRR INNER JOIN (CCCRRR AS CCCRRR_1  INNER JOIN (VX_T  INNER JOIN IHOURSINST ON (VX_T.VX_T6 = IHOURSINST.IHOURSINST4) AND (VX_T.VX_T5 = IHOURSINST.IHOURSINST3) AND (VX_T.VX_T = IHOURSINST.IHOURSINST)) ON (CCCRRR_1.CCCRRR4 = VX_T.VX_T4) AND (CCCRRR_1.CCCRRR = VX_T.VX_T)) ON (CCCRRR.CCCRRR4 = VX_T.VX_T3) AND (CCCRRR.CCCRRR = VX_T.VX_T)  GROUP BY VX_T.VX_T, VX_T.VX_T2, CCCRRR.CCCRRR3, VX_T.VX_T3, CCCRRR_1.CCCRRR3, VX_T.VX_T4;</t>
  </si>
  <si>
    <t>CREATE TABLE `El Transmission between Countries`(`Case` TEXT, Year1 TEXT,Year2 TEXT,Country1 TEXT, Region1 TEXT,Country2 TEXT,Region2 TEXT,GWh REAL);</t>
  </si>
  <si>
    <t>INSERT INTO `El Transmission between Countries`(`Case`,Year1,Year2,Country1,Region1,Country2,Region2,GWh)  SELECT VX_T.VX_T AS [`Case`], VX_T.VX_T2 AS [Year1], VX_T.VX_T2 AS [Year2],CCCRRR.CCCRRR3 AS Country1, VX_T.VX_T4 AS Region1, CCCRRR_1.CCCRRR3 AS Country2, VX_T.VX_T5 AS Region2, Sum(VX_T.level*IHOURSINST.value)/1000 AS GWh   FROM CCCRRR INNER JOIN (CCCRRR AS CCCRRR_1   INNER JOIN (VX_T  INNER JOIN IHOURSINST ON (VX_T.VX_T7 = IHOURSINST.IHOURSINST4) AND (VX_T.VX_T6 = IHOURSINST.IHOURSINST3) AND (VX_T.VX_T = IHOURSINST.IHOURSINST)) ON (CCCRRR_1.CCCRRR4 = VX_T.VX_T5) AND (CCCRRR_1.CCCRRR = VX_T.VX_T)) ON (CCCRRR.CCCRRR4 = VX_T.VX_T4) AND (CCCRRR.CCCRRR = VX_T.VX_T)   GROUP BY VX_T.VX_T, VX_T.VX_T2,  VX_T.VX_T3,CCCRRR.CCCRRR3, VX_T.VX_T4, CCCRRR_1.CCCRRR3, VX_T.VX_T5;</t>
  </si>
  <si>
    <t>Sum of GW</t>
  </si>
  <si>
    <t>Source</t>
  </si>
  <si>
    <t>Sum of GWh</t>
  </si>
  <si>
    <t>BIOGAS</t>
  </si>
  <si>
    <t>WOOD</t>
  </si>
  <si>
    <t>LIGNITE</t>
  </si>
  <si>
    <t>todo</t>
  </si>
  <si>
    <t>in generation capacity, add option for GW</t>
  </si>
  <si>
    <t>Destination</t>
  </si>
  <si>
    <t>CREATE TABLE `Heat price - Marginal`(`Case` TEXT, Year1 TEXT, Year2 TEXT,  Country TEXT,Region TEXT, Area TEXT, Season TEXT, Term TEXT, `OMONEY/GJ` REAL,`OMONEY/MWh` REAL);</t>
  </si>
  <si>
    <t>CREATE TABLE `Heat price - Marginal`(`Case` TEXT, Year TEXT,  Country TEXT,Region TEXT, Area TEXT, Season TEXT, Term TEXT, `OMONEY/GJ` REAL,`OMONEY/MWh` REAL);</t>
  </si>
  <si>
    <t>Sum of OMONEY/MWh</t>
  </si>
  <si>
    <t>Area</t>
  </si>
  <si>
    <t>INSERT INTO `Heat price - Marginal`(`Case`,Year,Country,Region,Area,Season,Term,`OMONEY/GJ`,`OMONEY/MWh`) SELECT QHEQ.QHEQ AS [`Case`], QHEQ.QHEQ2 AS [Year],ICA.ICA3 AS Country, RRRAAA.RRRAAA3 AS Region,QHEQ.QHEQ3 AS Area, QHEQ.QHEQ4 AS Season, QHEQ.QHEQ5 AS TERM,  (Avg([QHEQ].[marginal]*[OMONEY].[value]/[IHOURSINST].[value]))/3.6 AS [OMONEY/GJ], (Avg([QHEQ].[marginal]*[OMONEY].[value]/[IHOURSINST].[value])) AS [OMONEY/MWh] FROM ICA INNER JOIN (RRRAAA INNER JOIN (OMONEY INNER JOIN (QHEQ INNER JOIN IHOURSINST ON (QHEQ.QHEQ5 = IHOURSINST.IHOURSINST4) AND (QHEQ.QHEQ = IHOURSINST.IHOURSINST) AND (QHEQ.QHEQ4 = IHOURSINST.IHOURSINST3)) ON (OMONEY.OMONEY = QHEQ.QHEQ)) ON (RRRAAA.RRRAAA4 = QHEQ.QHEQ3) AND (RRRAAA.RRRAAA = QHEQ.QHEQ)) ON (QHEQ.QHEQ3=ICA.ICA4) AND (QHEQ.QHEQ=ICA.ICA) WHERE QHEQ.level &lt;&gt;0  GROUP BY QHEQ.QHEQ, QHEQ.QHEQ2,ICA.ICA3, RRRAAA.RRRAAA3, QHEQ.QHEQ3, QHEQ.QHEQ4, QHEQ.QHEQ5;</t>
  </si>
  <si>
    <t>CREATE TABLE `Exogenous Electricity Generation Technology - MW`(`Case` TEXT,`Year` TEXT,`Country` TEXT, `Region` TEXT, `Area` TEXT, `Fuel` TEXT, `Technology` TEXT, `MW` REAL, `GW` REAL);</t>
  </si>
  <si>
    <t>INSERT INTO `Exogenous Electricity Generation Technology - MW`(`Case`,Year,Country,Region,Area,Fuel,Technology,MW,GW) SELECT [Exogenous Generation Technology - MW].`Case`, [Exogenous Generation Technology - MW].Year, [Exogenous Generation Technology - MW].Country AS Country, [Exogenous Generation Technology - MW].Region, [Exogenous Generation Technology - MW].Area, [Exogenous Generation Technology - MW].Fuel, [Exogenous Generation Technology - MW].Technology, [Exogenous Generation Technology - MW].MW, [Exogenous Generation Technology - MW].MW/1000 FROM ([Exogenous Generation Technology - MW] INNER JOIN IGE ON ([Exogenous Generation Technology - MW].`Case` = IGE.IGE) AND ([Exogenous Generation Technology - MW].Technology = IGE.IGE3)) INNER JOIN GDATA ON (IGE.IGE3 = GDATA.GDATA3) AND (IGE.IGE = GDATA.GDATA) WHERE (((GDATA.value)&lt;&gt;5) AND ((GDATA.GDATA4)="GDTYPE"));</t>
  </si>
  <si>
    <t>INSERT INTO `Exogenous Electricity Generation Technology - MW`(`Case`,Year,Country,Region,Area,Fuel,Technology,MW,GW) SELECT [Exogenous Generation Technology - MW].`Case`, [Exogenous Generation Technology - MW].Year, [Exogenous Generation Technology - MW].Country AS Country, [Exogenous Generation Technology - MW].Region, [Exogenous Generation Technology - MW].Area, [Exogenous Generation Technology - MW].Fuel, [Exogenous Generation Technology - MW].Technology, [Exogenous Generation Technology - MW].MW,[Exogenous Generation Technology - MW].MW/1000 FROM ([Exogenous Generation Technology - MW] INNER JOIN IGE ON ([Exogenous Generation Technology - MW].`Case` = IGE.IGE) AND ([Exogenous Generation Technology - MW].Technology = IGE.IGE3)) INNER JOIN GDATA ON (IGE.IGE3 = GDATA.GDATA3) AND (IGE.IGE = GDATA.GDATA) WHERE (((GDATA.value)&lt;&gt;5) AND ((GDATA.GDATA4)="GDTYPE"));</t>
  </si>
  <si>
    <t>BB1/BB2/BB3 Model</t>
  </si>
  <si>
    <t>CREATE TABLE `Electricity transmission`(`Case` TEXT, Year1 TEXT,Year2 TEXT,Source TEXT, Destination TEXT,Season TEXT,Term TEXT,MW REAL,MWh REAL,`Capacity (MW)` REAL, `Marginal value [€/MWh]` REAL, `Congestion rent €` REAL);</t>
  </si>
  <si>
    <t>EV</t>
  </si>
  <si>
    <t>[..] - none of add-on queries exist currently</t>
  </si>
  <si>
    <t>DROP TABLE if exists `Electricity transmission`;</t>
  </si>
  <si>
    <t>Electricity transmisson</t>
  </si>
  <si>
    <t>CREATE TABLE `Electricity transmission`(`Case` TEXT, Year TEXT,Source TEXT, Destination TEXT,Season TEXT,Term TEXT,MW REAL,MWh REAL,`Capacity (MW)` REAL, `Marginal value [€/MWh]` REAL, `Congestion rent €` REAL);</t>
  </si>
  <si>
    <t>INSERT INTO `Electricity transmission`(`Case`,Year,Source,Destination,Season,Term,MW,MWh,`Capacity (MW)`, `Marginal value [€/MWh]`, `Congestion rent €`) SELECT VX_T.VX_T AS [Case], VX_T.VX_T2 AS [Year], VX_T.VX_T3 AS Source, VX_T.VX_T4 AS Destination, VX_T.VX_T5 AS Season, VX_T.VX_T6 AS Term, VX_T.level AS MW, [VX_T].[level]*[IHOURSINST].[value] AS MWh, XKINI.value AS [Capacity (MW)],[QXK].[marginal]*[OMONEY].[value] AS [Marginal Value €/MW], [VX_T].[level]*[IHOURSINST].[value]*[QXK].[marginal]*[OMONEY].[value] AS [Congestion rent €] FROM XKINI INNER JOIN (QXK INNER JOIN (OMONEY INNER JOIN (VX_T INNER JOIN IHOURSINST ON (VX_T.VX_T6 = IHOURSINST.IHOURSINST4) AND (VX_T.VX_T5 = IHOURSINST.IHOURSINST3) AND (VX_T.VX_T = IHOURSINST.IHOURSINST)) ON OMONEY.OMONEY = VX_T.VX_T) ON (QXK.QXK5 = VX_T.VX_T5) AND (QXK.QXK4 = VX_T.VX_T4) AND (QXK.QXK2 = VX_T.VX_T2)AND (QXK.QXK3 = VX_T.VX_T3) AND (QXK.QXK6 = VX_T.VX_T6) AND (QXK.QXK = VX_T.VX_T)) ON (XKINI.XKINI5 = VX_T.VX_T4) AND (XKINI.XKINI4 = VX_T.VX_T3) AND (XKINI.XKINI3 = VX_T.VX_T2) AND (XKINI.XKINI = VX_T.VX_T) GROUP BY VX_T.VX_T, VX_T.VX_T2, VX_T.VX_T3, VX_T.VX_T4, VX_T.VX_T5, VX_T.VX_T6,XKINI.value, [QXK].[marginal]*[OMONEY].[value]/[IHOURSINST].[value], [QXK].[marginal]*[OMONEY].[value], [VX_T].[level]*[QXK].[marginal]*[OMONEY].[value]*[IHOURSINST].[value];</t>
  </si>
  <si>
    <t>Electricity transmission</t>
  </si>
  <si>
    <t>INSERT INTO `Electricity transmission`(`Case`,Year1,Year2,Source,Destination,Season,Term,MW,MWh,`Capacity (MW)`, `Marginal value [€/MWh]`, `Congestion rent €`) SELECT VX_T.VX_T AS [Case], VX_T.VX_T2 AS [Year1],VX_T.VX_T3 AS Year2, VX_T.VX_T4 AS Source, VX_T.VX_T5 AS Destination, VX_T.VX_T6 AS Season, VX_T.VX_T7 AS Term, VX_T.level AS MW, [VX_T].[level]*[IHOURSINST].[value] AS MWh, XKINI.value AS [Capacity (MW)],[QXK_UP].[marginal]*[OMONEY].[value] AS [Marginal Value €/MW], [VX_T].[level]*[QXK_UP].[marginal]*[OMONEY].[value] AS [Congestion rent €] FROM XKINI INNER JOIN (QXK_UP INNER JOIN (OMONEY INNER JOIN (VX_T INNER JOIN IHOURSINST ON (VX_T.VX_T7 = IHOURSINST.IHOURSINST4) AND (VX_T.VX_T6 = IHOURSINST.IHOURSINST3) AND (VX_T.VX_T = IHOURSINST.IHOURSINST)) ON OMONEY.OMONEY = VX_T.VX_T) ON (QXK_UP.QXK_UP5 = VX_T.VX_T5) AND (QXK_UP.QXK_UP4 = VX_T.VX_T4) AND (QXK_UP.QXK_UP2 = VX_T.VX_T2)AND (QXK_UP.QXK_UP3 = VX_T.VX_T3) AND (QXK_UP.QXK_UP7 = VX_T.VX_T7) AND (QXK_UP.QXK_UP6 = VX_T.VX_T6) AND (QXK_UP.QXK_UP = VX_T.VX_T)) ON (XKINI.XKINI5 = VX_T.VX_T5) AND (XKINI.XKINI4 = VX_T.VX_T4) AND (XKINI.XKINI3 = VX_T.VX_T3) AND (XKINI.XKINI = VX_T.VX_T) GROUP BY VX_T.VX_T, VX_T.VX_T2, VX_T.VX_T3, VX_T.VX_T4, VX_T.VX_T5, VX_T.VX_T6,VX_T.VX_T7,XKINI.value, [QXK_UP].[marginal]*[OMONEY].[value]*1000000/[IHOURSINST].[value], [QXK_UP].[marginal]*[OMONEY].[value], [VX_T].[level]*[QXK_UP].[marginal]*[OMONEY].[value];</t>
  </si>
  <si>
    <t>SHALE</t>
  </si>
  <si>
    <t>Year1</t>
  </si>
  <si>
    <t>Endogenous Generation Technology - MW</t>
  </si>
  <si>
    <t>DROP TABLE if exists `Endogenous Generation Technology - MW`;</t>
  </si>
  <si>
    <t>CREATE TABLE `Endogenous Generation Technology - MW`(`Case` TEXT, Year TEXT,Country TEXT, Region TEXT,Area TEXT, Fuel TEXT,`Technology Type` TEXT, Technology TEXT,`MW` REAL);</t>
  </si>
  <si>
    <t>INSERT INTO `Endogenous Generation Technology - MW`(`Case`, Year,Country, Region,Area, Fuel,`Technology Type`, Technology,`MW`)  SELECT VGKN.VGKN AS [Case], VGKN.VGKN2 AS [Year], ICA.ICA3 AS Country, RRRAAA.RRRAAA3 AS Region, VGKN.VGKN3 AS Area, IGF.IGF4 AS Fuel, GDATA.value AS `Technology Type`, VGKN.VGKN4 AS Technology, VGKN.level AS MW FROM GDATA INNER JOIN (((RRRAAA INNER JOIN [VGKN] ON (RRRAAA.RRRAAA = [VGKN].VGKN) AND (RRRAAA.RRRAAA4 = [VGKN].VGKN3)) INNER JOIN ICA ON (ICA.ICA4 = [VGKN].VGKN3) AND ([VGKN].VGKN = ICA.ICA)) INNER JOIN IGF ON (IGF.IGF3 = [VGKN].VGKN4) AND ([VGKN].VGKN = IGF.IGF))   ON  (GDATA.GDATA = [VGKN].VGKN) AND (GDATA.GDATA3 = [VGKN].VGKN4) AND (GDATA.GDATA4 = "GDTYPE") WHERE VGKN.level &gt; 0 GROUP BY VGKN.VGKN, VGKN.VGKN2, ICA.ICA3, RRRAAA.RRRAAA3, VGKN.VGKN3, IGF.IGF4, GDATA.value, VGKN.VGKN4, VGKN.level ;</t>
  </si>
  <si>
    <t>Investments</t>
  </si>
  <si>
    <t>Case</t>
  </si>
  <si>
    <t>T007</t>
  </si>
  <si>
    <t>T008</t>
  </si>
  <si>
    <t>T009</t>
  </si>
  <si>
    <t>T010</t>
  </si>
  <si>
    <t>T011</t>
  </si>
  <si>
    <t>Sum of GJ</t>
  </si>
  <si>
    <t>NETHERLANDS</t>
  </si>
  <si>
    <t>EL</t>
  </si>
  <si>
    <t>HE</t>
  </si>
  <si>
    <t>GEN</t>
  </si>
  <si>
    <t>CON</t>
  </si>
  <si>
    <t>STO</t>
  </si>
  <si>
    <t>TRAN</t>
  </si>
  <si>
    <t>DEM</t>
  </si>
  <si>
    <t>CAP</t>
  </si>
  <si>
    <t>Electricity</t>
  </si>
  <si>
    <t>Heat</t>
  </si>
  <si>
    <t>Generation</t>
  </si>
  <si>
    <t>Consumption</t>
  </si>
  <si>
    <t>Storage</t>
  </si>
  <si>
    <t>Demand</t>
  </si>
  <si>
    <t>Capacity</t>
  </si>
  <si>
    <t>Keywords used in this workbook</t>
  </si>
  <si>
    <t>Select countries to extract data for from the connected database</t>
  </si>
  <si>
    <t>Update</t>
  </si>
  <si>
    <t>Note: Please reserve this column for Country filter checkboxes</t>
  </si>
  <si>
    <t>(All)</t>
  </si>
  <si>
    <t>DK1</t>
  </si>
  <si>
    <t>DK2</t>
  </si>
  <si>
    <t>ELECTRIC</t>
  </si>
  <si>
    <t>NUCLEAR</t>
  </si>
  <si>
    <t>STRAW</t>
  </si>
  <si>
    <t>WIND</t>
  </si>
  <si>
    <t>NATGAS</t>
  </si>
  <si>
    <t>PEAT</t>
  </si>
  <si>
    <t>WOODCHIPS</t>
  </si>
  <si>
    <t>WOODWASTE</t>
  </si>
  <si>
    <t>MUNIWASTE</t>
  </si>
  <si>
    <t>RECYCLEDWOOD</t>
  </si>
  <si>
    <t>UNITED_KINGDOM</t>
  </si>
  <si>
    <t>T012</t>
  </si>
  <si>
    <t>DK1_Large</t>
  </si>
  <si>
    <t>DK1_MedSmall</t>
  </si>
  <si>
    <t>DK1_Medium</t>
  </si>
  <si>
    <t>DK1_Rural</t>
  </si>
  <si>
    <t>DK1_Small</t>
  </si>
  <si>
    <t>DK2_Large</t>
  </si>
  <si>
    <t>DK2_MedSmall</t>
  </si>
  <si>
    <t>DK2_Medium</t>
  </si>
  <si>
    <t>DK2_Rural</t>
  </si>
  <si>
    <t>DK2_Small</t>
  </si>
  <si>
    <t>BASE</t>
  </si>
  <si>
    <t>INSERT INTO Heat_Gen(Case1, Y1,  Area, Technology, Season, Term, Generation_MW) SELECT  VGH_T, VGH_T2, VGH_T3, VGH_T4, VGH_T5, VGH_T6, level FROM VGH_T WHERE level &gt;0 UNION SELECT  VGHN_T, VGHN_T2, VGHN_T3, VGHN_T4, VGHN_T5, VGHN_T6, level FROM VGHN_T WHERE level &gt;0;</t>
  </si>
  <si>
    <t>INSERT INTO EL_Gen(Case1, Y1, Area, Technology, Season, Term, Generation_MW) SELECT  VGE_T, VGE_T2, VGE_T3, VGE_T4, VGE_T5, VGE_T6,  level FROM VGE_T WHERE VGE_T.level &gt;0 UNION SELECT VGEN_T, VGEN_T2, VGEN_T3, VGEN_T4, VGEN_T5, VGEN_T6,  level FROM VGEN_T WHERE VGEN_T.level &gt;0;</t>
  </si>
  <si>
    <t>INSERT INTO Fuel_Con(Case1, Year1, Area, Technology, Season,Term, MW) SELECT  VGF_T, VGF_T2, VGF_T3, VGF_T4, VGF_T5, VGF_T6, level FROM VGF_T WHERE level &gt;0 UNION SELECT VGFN_T, VGFN_T2, VGFN_T3, VGFN_T4, VGFN_T5, VGFN_T6,  level FROM VGFN_T WHERE VGFN_T.level &gt;0;</t>
  </si>
  <si>
    <t>Case1</t>
  </si>
  <si>
    <t>Year2</t>
  </si>
  <si>
    <t>2016</t>
  </si>
  <si>
    <t>GNR_ST_COAL_BP_E-35</t>
  </si>
  <si>
    <t>GNR_ST_COAL_EXT_E-47</t>
  </si>
  <si>
    <t>INSERT INTO `Emissions - Term`(`Case`,Year1,Year2,Country,Region,Area,`Fuel`,Technology,Season, `Term`, `CO2 t/h`,`CO2 tons`, `SO2 t/h`,`SO2 tons`, `N2O t/h`,`N2O tons`) SELECT Fuel_con.Case1 AS `Case`, Fuel_con.Year1 AS Year1, Fuel_con.Year2 AS Year2, ICA.ICA3 AS Country, RRRAAA.RRRAAA3 AS Region, Fuel_con.Area AS Area, IGF.IGF4 AS Fuel, Fuel_con.Technology AS Technology, Fuel_con.Season AS Season, Fuel_con.Term AS Term, Sum([Fuel_con].[MW]*[IM_CO2].[value])*3.6/1000 AS `CO2 t/h`, Sum([Fuel_con].[MW]*[IHOURSINST].[value]*[IM_CO2].[value]*3.6/1000) AS `CO2 tons`,Sum([Fuel_con].[MW]*[IM_SO2].[value])*3.6/1000 AS `SO2 t/h`, Sum([Fuel_con].[MW]*[IHOURSINST].[value]*[IM_SO2].[value])*3.6/1000 AS `SO2 tons`,Sum([Fuel_con].[MW]*[IM_N2O].[value])*3.6/1000 AS `N2O t/h`, Sum([Fuel_con].[MW]*[IHOURSINST].[value]*[IM_N2O].[value])*3.6/1000 AS `N2O tons`FROM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 INNER JOIN IM_SO2 ON (IM_SO2.IM_SO23 = [Fuel_con].Technology) AND ([Fuel_con].Case1 = IM_SO2.IM_SO2) INNER JOIN IM_CO2 ON (IM_CO2.IM_CO23 = [Fuel_con].Technology) AND ([Fuel_con].Case1 = IM_CO2.IM_CO2) INNER JOIN IM_N2O ON (IM_N2O.IM_N2O3 = [Fuel_con].Technology) AND ([Fuel_con].Case1 = IM_N2O.IM_N2O)GROUP BY [Fuel_con].Case1, [Fuel_con].Year1,Fuel_con.Year2, ICA.ICA3, RRRAAA.RRRAAA3, [Fuel_con].Area, IGF.IGF4, [Fuel_con].Technology, [Fuel_con].Season, [Fuel_con].Term;</t>
  </si>
  <si>
    <t>Technology</t>
  </si>
  <si>
    <t>CREATE TABLE `Electricity Demand - Term`(`Case` TEXT, Year TEXT, Country TEXT, Region TEXT, UserGroup TEXT, Season TEXT, Term TEXT, MW REAL, MWh REAL);</t>
  </si>
  <si>
    <t>INSERT INTO `Electricity Demand - Term`(`Case`,Year,Country,Region,UserGroup,Season,Term,MW,MWh)  SELECT DE.DE AS [Case], DE.DE3 AS [Year], CCCRRR.CCCRRR3 AS Country, DE.DE4 AS Region, DE.DE5 AS UserGroup, DE_VAR_T.DE_VAR_T5 AS Season, DE_VAR_T.DE_VAR_T6 AS Timestep, Sum([DE].[value]*[DE_VAR_T].[value]/[IDE_SUMST].[value]) AS MW, Sum([DE].[value]*[DE_VAR_T].[value]/[IDE_SUMST].[value]*[IHOURSINST].[value]) AS MWh  FROM IHOURSINST INNER JOIN (Y INNER JOIN ((DE_VAR_T INNER JOIN (DE INNER JOIN CCCRRR ON (DE.DE = CCCRRR.CCCRRR) AND (DE.DE4 = CCCRRR.CCCRRR4)) ON (DE_VAR_T.DE_VAR_T = DE.DE) AND (DE_VAR_T.DE_VAR_T3 = DE.DE4) AND (DE_VAR_T.DE_VAR_T4 = DE.DE5))  INNER JOIN IDE_SUMST ON (DE.DE = IDE_SUMST.IDE_SUMST) AND (DE.DE5 = IDE_SUMST.IDE_SUMST4) AND  (DE_VAR_T.DE_VAR_T3 = IDE_SUMST.IDE_SUMST3) AND  (DE_VAR_T.DE_VAR_T4 = IDE_SUMST.IDE_SUMST4)) ON (Y.Y = DE.DE) AND (Y.Y3 = DE.DE3)) ON (DE_VAR_T.DE_VAR_T6 = IHOURSINST.IHOURSINST4) AND (DE_VAR_T.DE_VAR_T5 = IHOURSINST.IHOURSINST3) AND (IHOURSINST.IHOURSINST = DE_VAR_T.DE_VAR_T)  GROUP BY DE.DE, DE.DE3, CCCRRR.CCCRRR3, DE.DE4, DE.DE5, DE_VAR_T.DE_VAR_T5, DE_VAR_T.DE_VAR_T6;</t>
  </si>
  <si>
    <t>CREATE TABLE `Electricity Demand - Annual`(`Case` TEXT, Year TEXT, Country TEXT, Region TEXT,UserGroup TEXT, TWh REAL, GWh REAL);</t>
  </si>
  <si>
    <t>INSERT INTO `Electricity Demand - Annual`(`Case` , Year , Country , Region, UserGroup, TWh , GWh) SELECT [Electricity demand - Term].`Case`, [Electricity demand - Term].Year, [Electricity demand - Term].Country, [Electricity demand - Term].Region, [Electricity demand - Term].UserGroup,Sum([MWH])/1000000 AS TWh, Sum([MWH])/1000 AS GWh FROM [Electricity demand - Term] GROUP BY [Electricity demand - Term].`Case`, [Electricity demand - Term].Year, [Electricity demand - Term].Country, [Electricity demand - Term].Region,[Electricity demand - Term].UserGroup;</t>
  </si>
  <si>
    <t>CREATE TABLE `Heat Demand - Term`(`Case` TEXT, Year TEXT, Country TEXT, Region TEXT, Area TEXT,UserGroup TEXT,Season TEXT, Term TEXT, MW REAL, MWh REAL, GJ REAL);</t>
  </si>
  <si>
    <t>INSERT INTO `Heat Demand - Term`(`Case`,Year,Country,Region,Area,UserGroup,Season,Term,MW,MWh,GJ)   SELECT DH.DH AS [Case], DH.DH3 AS [Year], ICA.ICA3 AS Country, RRRAAA.RRRAAA3 AS Region, DH.DH4 AS Area,DH.DH5 AS UserGroup, DH_VAR_T.DH_VAR_T5 AS Season, DH_VAR_T.DH_VAR_T6 AS Term, Sum([DH].[value]*[DH_VAR_T].[value]/[IDH_SUMST].[value]) AS MW, Sum([DH].[value]*[DH_VAR_T].[value]/[IDH_SUMST].[value]*[IHOURSINST].[value]) AS MWh, Sum([DH].[value]*[DH_VAR_T].[value]/[IDH_SUMST].[value]*[IHOURSINST].[value])*3.6 AS GJ  FROM IHOURSINST INNER JOIN ((C INNER JOIN (ICA INNER JOIN (Y INNER JOIN (DH INNER JOIN (IDH_SUMST INNER JOIN DH_VAR_T ON (IDH_SUMST.IDH_SUMST3 = DH_VAR_T.DH_VAR_T3) and (IDH_SUMST.IDH_SUMST4 = DH_VAR_T.DH_VAR_T4)) ON (DH.DH = IDH_SUMST.IDH_SUMST) AND (DH.DH = DH_VAR_T.DH_VAR_T) AND (DH.DH4 = DH_VAR_T.DH_VAR_T3) AND (DH.DH5 = DH_VAR_T.DH_VAR_T4)) ON (Y.Y = DH.DH) AND (Y.Y3 = DH.DH3)) ON (ICA.ICA = DH.DH) AND (ICA.ICA4 = DH.DH4)) ON (C.C = DH.DH) AND (C.C3 = ICA.ICA3))  INNER JOIN RRRAAA ON (DH.DH4 = RRRAAA.RRRAAA4) AND (DH.DH = RRRAAA.RRRAAA)) ON (DH_VAR_T.DH_VAR_T6 = IHOURSINST.IHOURSINST4) AND (DH_VAR_T.DH_VAR_T5 = IHOURSINST.IHOURSINST3) AND (IHOURSINST.IHOURSINST = DH_VAR_T.DH_VAR_T)  GROUP BY DH.DH, DH.DH3, ICA.ICA3, RRRAAA.RRRAAA3, DH.DH4,DH.DH5, DH_VAR_T.DH_VAR_T4, DH_VAR_T.DH_VAR_T;</t>
  </si>
  <si>
    <t>CREATE TABLE `Heat Demand - Annual`(`Case` TEXT, Year TEXT, Country TEXT, Region TEXT, UserGroup TEXT, Area TEXT, TWh REAL, PJ REAL);</t>
  </si>
  <si>
    <t>INSERT INTO `Heat Demand - Annual`(`Case`, Year, Country, Region,UserGroup,Area,TWh,PJ) SELECT [Heat demand - Term].`Case`, [Heat demand - Term].Year, [Heat demand - Term].Country, [Heat demand - Term].Region,[Heat demand - Term].UserGroup, [Heat demand - Term].Area, Sum([MWh]/1000000) AS TWh, Sum([MWh]/1000000)*3.6 AS PJ FROM [Heat demand - Term] GROUP BY [Heat demand - Term].`Case`, [Heat demand - Term].Year, [Heat demand - Term].Country, [Heat demand - Term].Region,[Heat demand - Term].UserGroup, [Heat demand - Term].Area;</t>
  </si>
  <si>
    <t>CREATE TABLE `Endogenous Generation Technology - MW`(`Case` TEXT, BaseYear TEXT,ModelYear TEXT,Country TEXT, Region TEXT,Area TEXT, Fuel TEXT,`Technology Type` TEXT, Technology TEXT,`MW` REAL);</t>
  </si>
  <si>
    <t>DE4-E</t>
  </si>
  <si>
    <t>DE4-N</t>
  </si>
  <si>
    <t>NO3</t>
  </si>
  <si>
    <t>SE4</t>
  </si>
  <si>
    <t>T013</t>
  </si>
  <si>
    <t>T014</t>
  </si>
  <si>
    <t>T015</t>
  </si>
  <si>
    <t>T016</t>
  </si>
  <si>
    <t>T017</t>
  </si>
  <si>
    <t>T018</t>
  </si>
  <si>
    <t>T019</t>
  </si>
  <si>
    <t>T020</t>
  </si>
  <si>
    <t>T021</t>
  </si>
  <si>
    <t>T022</t>
  </si>
  <si>
    <t>T023</t>
  </si>
  <si>
    <t>T024</t>
  </si>
  <si>
    <t>NO1_A1</t>
  </si>
  <si>
    <t>NO1_A2</t>
  </si>
  <si>
    <t>NO2_A1</t>
  </si>
  <si>
    <t>NO3_A1</t>
  </si>
  <si>
    <t>NO3_A2</t>
  </si>
  <si>
    <t>NO4_A1</t>
  </si>
  <si>
    <t>NO5_A1</t>
  </si>
  <si>
    <t>SE1_EL</t>
  </si>
  <si>
    <t>SE1_OTHER</t>
  </si>
  <si>
    <t>SE2_EL</t>
  </si>
  <si>
    <t>SE2_OTHER</t>
  </si>
  <si>
    <t>SE3_EL</t>
  </si>
  <si>
    <t>SE3_GOT</t>
  </si>
  <si>
    <t>SE3_HP</t>
  </si>
  <si>
    <t>SE3_OTHER</t>
  </si>
  <si>
    <t>SE3_STO</t>
  </si>
  <si>
    <t>SE4_EL</t>
  </si>
  <si>
    <t>SE4_HP</t>
  </si>
  <si>
    <t>SE4_MAL</t>
  </si>
  <si>
    <t>SE4_OTHER</t>
  </si>
  <si>
    <t>WASTEHEAT</t>
  </si>
  <si>
    <t>GNR_ST_COAL_EXT_E-43</t>
  </si>
  <si>
    <t>GNR_ST_COAL_EXT_E-42</t>
  </si>
  <si>
    <t>GNR_ST_COAL_BP_E-38</t>
  </si>
  <si>
    <t>LPG</t>
  </si>
  <si>
    <t>OTHERGAS</t>
  </si>
  <si>
    <t>GNR_BO_COAL_E-91</t>
  </si>
  <si>
    <t>RETORTGAS</t>
  </si>
  <si>
    <t>HEAT</t>
  </si>
  <si>
    <t>GNR_ST_COAL_EXT_E-41</t>
  </si>
  <si>
    <t>DE4-E_A</t>
  </si>
  <si>
    <t>DE4-N_A</t>
  </si>
  <si>
    <t>DE4-S_A</t>
  </si>
  <si>
    <t>DE4-W_A</t>
  </si>
  <si>
    <t>EE</t>
  </si>
  <si>
    <t>C:\Doc\Balmorel\flex4res_balmodel\Flex4Res_data\output\BASE-results.db</t>
  </si>
  <si>
    <t>BaseYear</t>
  </si>
  <si>
    <t>ModelYear</t>
  </si>
  <si>
    <t>PL_A</t>
  </si>
  <si>
    <t>EE_Industry</t>
  </si>
  <si>
    <t>EE_Parnu</t>
  </si>
  <si>
    <t>EE_Tallinn</t>
  </si>
  <si>
    <t>EE_Tartu</t>
  </si>
  <si>
    <t>EE_Kohtla_Jarve</t>
  </si>
  <si>
    <t>EE_Narva</t>
  </si>
  <si>
    <t>Year</t>
  </si>
  <si>
    <t>Country1</t>
  </si>
  <si>
    <t>Country2</t>
  </si>
  <si>
    <t>FIN_EL</t>
  </si>
  <si>
    <t>FIN_ESPOO</t>
  </si>
  <si>
    <t>FIN_GAS</t>
  </si>
  <si>
    <t>FIN_HELS</t>
  </si>
  <si>
    <t>FIN_HP</t>
  </si>
  <si>
    <t>FIN_OTHER</t>
  </si>
  <si>
    <t>FIN_TAMP</t>
  </si>
  <si>
    <t>INSERT INTO `Electricity_price`(`Case1`,`Year1`,`Year2`,`Country`,`Region`,`Season`,`Term`,`OMONEY/MWh`) SELECT QEEQ.QEEQ AS [Case1], QEEQ.QEEQ2 AS [Year1],QEEQ.QEEQ3 AS [Year2], CCCRRR.CCCRRR3 AS Country, QEEQ.QEEQ4 AS Region, QEEQ.QEEQ5 AS Season, QEEQ.QEEQ6 AS Term, Avg([QEEQ].[marginal]*[OMONEY].[value]/(IDISCOUNTFACTOR.value*[IHOURSINST].[value]*IWEIGHTY.VALUE)) AS [OMONEY/MWh] FROM CCCRRR INNER JOIN (OMONEY INNER JOIN (IWEIGHTY INNER JOIN (IDISCOUNTFACTOR INNER JOIN (QEEQ INNER JOIN IHOURSINST ON (QEEQ.QEEQ6 = IHOURSINST.IHOURSINST4) AND (QEEQ.QEEQ = IHOURSINST.IHOURSINST) AND (QEEQ.QEEQ5 = IHOURSINST.IHOURSINST3)) ON (IDISCOUNTFACTOR.IDISCOUNTFACTOR = QEEQ.QEEQ AND IDISCOUNTFACTOR.IDISCOUNTFACTOR3 = QEEQ.QEEQ3)) ON (IWEIGHTY.IWEIGHTY = QEEQ.QEEQ AND IWEIGHTY.IWEIGHTY3 = QEEQ.QEEQ3)) ON OMONEY.OMONEY = QEEQ.QEEQ) ON (CCCRRR.CCCRRR4 = QEEQ.QEEQ4) AND (CCCRRR.CCCRRR = QEEQ.QEEQ) GROUP BY QEEQ.QEEQ, QEEQ.QEEQ2, CCCRRR.CCCRRR3, QEEQ.QEEQ3, QEEQ.QEEQ4, QEEQ.QEEQ5, QEEQ.QEEQ6;</t>
  </si>
  <si>
    <t>INSERT INTO `Heat price - Marginal`(`Case`,Year1,Year2,Country,Region,Area,Season,Term,`OMONEY/GJ`,`OMONEY/MWh`) SELECT QHEQ.QHEQ AS [`Case`], QHEQ.QHEQ2 AS [Year1], QHEQ.QHEQ3 AS [Year2],ICA.ICA3 AS Country, RRRAAA.RRRAAA3 AS Region,QHEQ.QHEQ4 AS Area, QHEQ.QHEQ5 AS Season, QHEQ.QHEQ6 AS TERM,  (Avg([QHEQ].[marginal]*[OMONEY].[value]/(IWEIGHTY.VALUE*[IHOURSINST].[value]*IDISCOUNTFACTOR.VALUE)))/3.6 AS [OMONEY/GJ], (Avg([QHEQ].[marginal]*[OMONEY].[value]/(IWEIGHTY.VALUE*[IHOURSINST].[value]*IDISCOUNTFACTOR.VALUE))) AS [OMONEY/MWh] FROM ICA INNER JOIN (IDISCOUNTFACTOR INNER JOIN (IWEIGHTY INNER JOIN (RRRAAA INNER JOIN (OMONEY INNER JOIN (QHEQ INNER JOIN IHOURSINST ON (QHEQ.QHEQ6 = IHOURSINST.IHOURSINST4) AND (QHEQ.QHEQ = IHOURSINST.IHOURSINST) AND (QHEQ.QHEQ5 = IHOURSINST.IHOURSINST3)) ON (OMONEY.OMONEY = QHEQ.QHEQ)) ON (RRRAAA.RRRAAA4 = QHEQ.QHEQ4) AND (RRRAAA.RRRAAA = QHEQ.QHEQ)) ON (IWEIGHTY.IWEIGHTY = QHEQ.QHEQ AND IWEIGHTY.IWEIGHTY3 = QHEQ.QHEQ3)) ON (IDISCOUNTFACTOR.IDISCOUNTFACTOR = QHEQ.QHEQ AND IDISCOUNTFACTOR.IDISCOUNTFACTOR3 = QHEQ.QHEQ3)) ON (QHEQ.QHEQ4=ICA.ICA4) AND (QHEQ.QHEQ=ICA.ICA) WHERE QHEQ.level &lt;&gt;0 GROUP BY QHEQ.QHEQ, QHEQ.QHEQ2,ICA.ICA3, RRRAAA.RRRAAA3, QHEQ.QHEQ3, QHEQ.QHEQ4, QHEQ.QHEQ5, QHEQ.QHEQ6;</t>
  </si>
  <si>
    <t>S02</t>
  </si>
  <si>
    <t>NATGAS_EXETS</t>
  </si>
  <si>
    <t>2020</t>
  </si>
  <si>
    <t>2030</t>
  </si>
  <si>
    <t>UPDATE [Electricity generation - Term] SET MW = MW *(-1), MWh = MWh *(-1), GJ = GJ *(-1) WHERE [Electricity generation - Term].[Technology Type] = 'Electricity to heat';</t>
  </si>
  <si>
    <t>UPDATE [Electricity generation - Term]  set [Technology Type] = CASE WHEN EXISTS (SELECT * FROM IGCND WHERE ([Electricity generation - Term].[Case] =  IGCND.IGCND) AND ([Electricity generation - Term].[Technology] = IGCND.IGCND3)) THEN  'Condensing'  WHEN EXISTS (SELECT * FROM IGBPR WHERE ([Electricity generation - Term].[Case] = IGBPR.IGBPR) AND ([Electricity generation - Term].[Technology] = IGBPR.IGBPR3)) THEN 'Backpressure'    WHEN  EXISTS (SELECT * FROM IGEXT WHERE ([Electricity generation - Term].[Case] = IGEXT.IGEXT) AND ([Electricity generation - Term].[Technology] = IGEXT.IGEXT3)) THEN 'Extraction' WHEN  EXISTS (SELECT * FROM IGHOB WHERE ([Electricity generation - Term].[Case] = IGHOB.IGHOB) AND ([Electricity generation - Term].[Technology] = IGHOB.IGHOB3)) THEN 'Heat-Only' WHEN  EXISTS (SELECT * FROM IGETOH WHERE ([Electricity generation - Term].[Case] = IGETOH.IGETOH) AND ([Electricity generation - Term].[Technology] = IGETOH.IGETOH3)) THEN 'Electricity to heat' WHEN  EXISTS (SELECT * FROM IGESTO WHERE ([Electricity generation - Term].[Case] = IGESTO.IGESTO) AND ([Electricity generation - Term].[Technology] = IGESTO.IGESTO3)) THEN 'EL storage' WHEN  EXISTS (SELECT * FROM IGESTOS WHERE ([Electricity generation - Term].[Case] = IGESTOS.IGESTOS) AND ([Electricity generation - Term].[Technology] = IGESTOS.IGESTOS3)) THEN 'EL storage S' WHEN  EXISTS (SELECT * FROM IGHSTO WHERE ([Electricity generation - Term].[Case] = IGHSTO.IGHSTO) AND ([Electricity generation - Term].[Technology] = IGHSTO.IGHSTO3)) THEN 'HE storage' WHEN  EXISTS (SELECT * FROM IGHSTOS WHERE ([Electricity generation - Term].[Case] = IGHSTOS.IGHSTOS) AND ([Electricity generation - Term].[Technology] = IGHSTOS.IGHSTOS3)) THEN 'HE storage S' WHEN  EXISTS (SELECT * FROM IGHYRS WHERE ([Electricity generation - Term].[Case] = IGHYRS.IGHYRS) AND ([Electricity generation - Term].[Technology] = IGHYRS.IGHYRS3)) THEN 'Hydro reservoir' WHEN  EXISTS (SELECT * FROM IGHYRR WHERE ([Electricity generation - Term].[Case] = IGHYRR.IGHYRR) AND ([Electricity generation - Term].[Technology] = IGHYRR.IGHYRR3)) THEN 'Hydro ROR' WHEN  EXISTS (SELECT * FROM IGWND WHERE ([Electricity generation - Term].[Case] = IGWND.IGWND) AND ([Electricity generation - Term].[Technology] = IGWND.IGWND3)) THEN 'Wind' WHEN  EXISTS (SELECT * FROM IGSOLE WHERE ([Electricity generation - Term].[Case] = IGSOLE.IGSOLE) AND ([Electricity generation - Term].[Technology] = IGSOLE.IGSOLE3)) THEN 'Solar PV' WHEN  EXISTS (SELECT * FROM IGSOLH WHERE ([Electricity generation - Term].[Case] = IGSOLH.IGSOLH) AND ([Electricity generation - Term].[Technology] = IGSOLH.IGSOLH3)) THEN 'Solar heat' WHEN  EXISTS (SELECT * FROM IGWAVE WHERE ([Electricity generation - Term].[Case] = IGWAVE.IGWAVE) AND ([Electricity generation - Term].[Technology] = IGWAVE.IGWAVE3)) THEN 'Wave' END;</t>
  </si>
  <si>
    <t>Technology Type</t>
  </si>
  <si>
    <t>Solar PV</t>
  </si>
  <si>
    <t>Backpressure</t>
  </si>
  <si>
    <t>Extraction</t>
  </si>
  <si>
    <t>Condensing</t>
  </si>
  <si>
    <t>Hydro ROR</t>
  </si>
  <si>
    <t>Wind</t>
  </si>
  <si>
    <t>CREATE TABLE `Exogenous Generation Technology - MW`(`Case` TEXT,`Year` TEXT,`Country` TEXT, `Region` TEXT, `Area` TEXT, `Fuel` TEXT, `Technology Type` TEXT,`Technology` TEXT, `MW` REAL);</t>
  </si>
  <si>
    <t>UPDATE [Exogenous Generation Technology - MW]  set [Technology Type] = CASE WHEN EXISTS (SELECT * FROM IGCND WHERE ([Exogenous Generation Technology - MW].[Case] =  IGCND.IGCND) AND ([Exogenous Generation Technology - MW].[Technology] = IGCND.IGCND3)) THEN  'Condensing'  WHEN EXISTS (SELECT * FROM IGBPR WHERE ([Exogenous Generation Technology - MW].[Case] = IGBPR.IGBPR) AND ([Exogenous Generation Technology - MW].[Technology] = IGBPR.IGBPR3)) THEN 'Backpressure'    WHEN  EXISTS (SELECT * FROM IGEXT WHERE ([Exogenous Generation Technology - MW].[Case] = IGEXT.IGEXT) AND ([Exogenous Generation Technology - MW].[Technology] = IGEXT.IGEXT3)) THEN 'Extraction' WHEN  EXISTS (SELECT * FROM IGHOB WHERE ([Exogenous Generation Technology - MW].[Case] = IGHOB.IGHOB) AND ([Exogenous Generation Technology - MW].[Technology] = IGHOB.IGHOB3)) THEN 'Heat-Only' WHEN  EXISTS (SELECT * FROM IGETOH WHERE ([Exogenous Generation Technology - MW].[Case] = IGETOH.IGETOH) AND ([Exogenous Generation Technology - MW].[Technology] = IGETOH.IGETOH3)) THEN 'Electricity to heat' WHEN  EXISTS (SELECT * FROM IGESTO WHERE ([Exogenous Generation Technology - MW].[Case] = IGESTO.IGESTO) AND ([Exogenous Generation Technology - MW].[Technology] = IGESTO.IGESTO3)) THEN 'EL storage' WHEN  EXISTS (SELECT * FROM IGESTOS WHERE ([Exogenous Generation Technology - MW].[Case] = IGESTOS.IGESTOS) AND ([Exogenous Generation Technology - MW].[Technology] = IGESTOS.IGESTOS3)) THEN 'EL storage S' WHEN  EXISTS (SELECT * FROM IGHSTO WHERE ([Exogenous Generation Technology - MW].[Case] = IGHSTO.IGHSTO) AND ([Exogenous Generation Technology - MW].[Technology] = IGHSTO.IGHSTO3)) THEN 'HE storage' WHEN  EXISTS (SELECT * FROM IGHSTOS WHERE ([Exogenous Generation Technology - MW].[Case] = IGHSTOS.IGHSTOS) AND ([Exogenous Generation Technology - MW].[Technology] = IGHSTOS.IGHSTOS3)) THEN 'HE storage S' WHEN  EXISTS (SELECT * FROM IGHYRS WHERE ([Exogenous Generation Technology - MW].[Case] = IGHYRS.IGHYRS) AND ([Exogenous Generation Technology - MW].[Technology] = IGHYRS.IGHYRS3)) THEN 'Hydro reservoir' WHEN  EXISTS (SELECT * FROM IGHYRR WHERE ([Exogenous Generation Technology - MW].[Case] = IGHYRR.IGHYRR) AND ([Exogenous Generation Technology - MW].[Technology] = IGHYRR.IGHYRR3)) THEN 'Hydro ROR' WHEN  EXISTS (SELECT * FROM IGWND WHERE ([Exogenous Generation Technology - MW].[Case] = IGWND.IGWND) AND ([Exogenous Generation Technology - MW].[Technology] = IGWND.IGWND3)) THEN 'Wind' WHEN  EXISTS (SELECT * FROM IGSOLE WHERE ([Exogenous Generation Technology - MW].[Case] = IGSOLE.IGSOLE) AND ([Exogenous Generation Technology - MW].[Technology] = IGSOLE.IGSOLE3)) THEN 'Solar PV' WHEN  EXISTS (SELECT * FROM IGSOLH WHERE ([Exogenous Generation Technology - MW].[Case] = IGSOLH.IGSOLH) AND ([Exogenous Generation Technology - MW].[Technology] = IGSOLH.IGSOLH3)) THEN 'Solar heat' WHEN  EXISTS (SELECT * FROM IGWAVE WHERE ([Exogenous Generation Technology - MW].[Case] = IGWAVE.IGWAVE) AND ([Exogenous Generation Technology - MW].[Technology] = IGWAVE.IGWAVE3)) THEN 'Wave' END;</t>
  </si>
  <si>
    <t>UPDATE [Endogenous Generation Technology - MW]  set [Technology Type] = CASE WHEN EXISTS (SELECT * FROM IGCND WHERE ([Endogenous Generation Technology - MW].[Case] =  IGCND.IGCND) AND ([Endogenous Generation Technology - MW].[Technology] = IGCND.IGCND3)) THEN  'Condensing'  WHEN EXISTS (SELECT * FROM IGBPR WHERE ([Endogenous Generation Technology - MW].[Case] = IGBPR.IGBPR) AND ([Endogenous Generation Technology - MW].[Technology] = IGBPR.IGBPR3)) THEN 'Backpressure'    WHEN  EXISTS (SELECT * FROM IGEXT WHERE ([Endogenous Generation Technology - MW].[Case] = IGEXT.IGEXT) AND ([Endogenous Generation Technology - MW].[Technology] = IGEXT.IGEXT3)) THEN 'Extraction' WHEN  EXISTS (SELECT * FROM IGHOB WHERE ([Endogenous Generation Technology - MW].[Case] = IGHOB.IGHOB) AND ([Endogenous Generation Technology - MW].[Technology] = IGHOB.IGHOB3)) THEN 'Heat-Only' WHEN  EXISTS (SELECT * FROM IGETOH WHERE ([Endogenous Generation Technology - MW].[Case] = IGETOH.IGETOH) AND ([Endogenous Generation Technology - MW].[Technology] = IGETOH.IGETOH3)) THEN 'Electricity to heat' WHEN  EXISTS (SELECT * FROM IGESTO WHERE ([Endogenous Generation Technology - MW].[Case] = IGESTO.IGESTO) AND ([Endogenous Generation Technology - MW].[Technology] = IGESTO.IGESTO3)) THEN 'EL storage' WHEN  EXISTS (SELECT * FROM IGESTOS WHERE ([Endogenous Generation Technology - MW].[Case] = IGESTOS.IGESTOS) AND ([Endogenous Generation Technology - MW].[Technology] = IGESTOS.IGESTOS3)) THEN 'EL storage S' WHEN  EXISTS (SELECT * FROM IGHSTO WHERE ([Endogenous Generation Technology - MW].[Case] = IGHSTO.IGHSTO) AND ([Endogenous Generation Technology - MW].[Technology] = IGHSTO.IGHSTO3)) THEN 'HE storage' WHEN  EXISTS (SELECT * FROM IGHSTOS WHERE ([Endogenous Generation Technology - MW].[Case] = IGHSTOS.IGHSTOS) AND ([Endogenous Generation Technology - MW].[Technology] = IGHSTOS.IGHSTOS3)) THEN 'HE storage S' WHEN  EXISTS (SELECT * FROM IGHYRS WHERE ([Endogenous Generation Technology - MW].[Case] = IGHYRS.IGHYRS) AND ([Endogenous Generation Technology - MW].[Technology] = IGHYRS.IGHYRS3)) THEN 'Hydro reservoir' WHEN  EXISTS (SELECT * FROM IGHYRR WHERE ([Endogenous Generation Technology - MW].[Case] = IGHYRR.IGHYRR) AND ([Endogenous Generation Technology - MW].[Technology] = IGHYRR.IGHYRR3)) THEN 'Hydro ROR' WHEN  EXISTS (SELECT * FROM IGWND WHERE ([Endogenous Generation Technology - MW].[Case] = IGWND.IGWND) AND ([Endogenous Generation Technology - MW].[Technology] = IGWND.IGWND3)) THEN 'Wind' WHEN  EXISTS (SELECT * FROM IGSOLE WHERE ([Endogenous Generation Technology - MW].[Case] = IGSOLE.IGSOLE) AND ([Endogenous Generation Technology - MW].[Technology] = IGSOLE.IGSOLE3)) THEN 'Solar PV' WHEN  EXISTS (SELECT * FROM IGSOLH WHERE ([Endogenous Generation Technology - MW].[Case] = IGSOLH.IGSOLH) AND ([Endogenous Generation Technology - MW].[Technology] = IGSOLH.IGSOLH3)) THEN 'Solar heat' WHEN  EXISTS (SELECT * FROM IGWAVE WHERE ([Endogenous Generation Technology - MW].[Case] = IGWAVE.IGWAVE) AND ([Endogenous Generation Technology - MW].[Technology] = IGWAVE.IGWAVE3)) THEN 'Wave' END;</t>
  </si>
  <si>
    <t xml:space="preserve">INSERT INTO `Endogenous Generation Technology - MW`(`Case`, BaseYear,ModelYear,Country, Region,Area, Fuel, Technology,`MW`)  SELECT VGKN.VGKN AS [Case], VGKN.VGKN2 AS [BaseYear], VGKN.VGKN3 AS [ModelYear],ICA.ICA3 AS Country, RRRAAA.RRRAAA3 AS Region, VGKN.VGKN4 AS Area, IGF.IGF4 AS Fuel, VGKN.VGKN5 AS Technology, VGKN.level AS MW FROM RRRAAA  INNER JOIN [VGKN] ON (RRRAAA.RRRAAA = [VGKN].VGKN) AND (RRRAAA.RRRAAA4 = [VGKN].VGKN4) INNER JOIN ICA ON (ICA.ICA4 = [VGKN].VGKN4) AND ([VGKN].VGKN = ICA.ICA) INNER JOIN IGF ON (IGF.IGF3 = [VGKN].VGKN5) AND ([VGKN].VGKN = IGF.IGF) WHERE VGKN.level &gt; 0 GROUP BY VGKN.VGKN, VGKN.VGKN2, ICA.ICA3, RRRAAA.RRRAAA3, VGKN.VGKN3, VGKN.VGKN4, IGF.IGF4, VGKN.VGKN4, VGKN.level ; </t>
  </si>
  <si>
    <t>UPDATE [Exogenous Generation Technology - MW] SET MW = MW/(SELECT  GDATA.value FROM GDATA WHERE [Exogenous Generation Technology - MW].[Case] = GDATA.GDATA AND  [Exogenous Generation Technology - MW].[Technology] = GDATA.GDATA3 and GDATA.GDATA4 ='GDSTOHUNLD') WHERE EXISTS ( SELECT * from GDATA where [Exogenous Generation Technology - MW].[Technology Type] = 'EL storage S' and [Exogenous Generation Technology - MW].[Case] = GDATA.GDATA AND  [Exogenous Generation Technology - MW].[Technology] = GDATA.GDATA3)   ;</t>
  </si>
  <si>
    <t>UPDATE [Endogenous Generation Technology - MW] SET MW = MW/(SELECT  GDATA.value FROM GDATA WHERE [Endogenous Generation Technology - MW].[Case] = GDATA.GDATA AND  [Endogenous Generation Technology - MW].[Technology] = GDATA.GDATA3 and GDATA.GDATA4 ='GDSTOHUNLD')WHERE EXISTS ( SELECT * from GDATA where [Endogenous Generation Technology - MW].[Technology Type] = 'EL storage S' and [Endogenous Generation Technology - MW].[Case] = GDATA.GDATA AND  [Endogenous Generation Technology - MW].[Technology] = GDATA.GDATA3)   ;</t>
  </si>
  <si>
    <t>EL storage</t>
  </si>
  <si>
    <t>EL storage S</t>
  </si>
  <si>
    <t>Electricity to heat</t>
  </si>
  <si>
    <t>Hydro reservoir</t>
  </si>
  <si>
    <t>'DENMARK' , 'NORWAY' , 'GERMANY' , 'SWEDEN' , 'FINLAND' , 'NETHERLANDS' , 'UNITED_KINGDOM' , 'ESTONIA' , 'LATVIA' , 'LITHUANIA' , 'POLAND'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</si>
</sst>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
  </numFmts>
  <fonts count="5" x14ac:knownFonts="1">
    <font>
      <sz val="11"/>
      <color theme="1"/>
      <name val="Calibri"/>
      <family val="2"/>
      <charset val="186"/>
      <scheme val="minor"/>
    </font>
    <font>
      <sz val="11"/>
      <color rgb="FF000000"/>
      <name val="Calibri"/>
      <family val="2"/>
      <charset val="186"/>
    </font>
    <font>
      <i/>
      <sz val="11"/>
      <color theme="1"/>
      <name val="Calibri"/>
      <family val="2"/>
      <charset val="186"/>
      <scheme val="minor"/>
    </font>
    <font>
      <i/>
      <sz val="11"/>
      <color theme="0" tint="-0.14999847407452621"/>
      <name val="Calibri"/>
      <family val="2"/>
      <charset val="186"/>
      <scheme val="minor"/>
    </font>
    <font>
      <sz val="8"/>
      <name val="Segoe UI"/>
      <family val="2"/>
    </font>
  </fonts>
  <fills count="3">
    <fill>
      <patternFill patternType="none"/>
    </fill>
    <fill>
      <patternFill patternType="gray125"/>
    </fill>
    <fill>
      <patternFill patternType="solid">
        <fgColor theme="0"/>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7">
    <xf numFmtId="0" fontId="0" fillId="0" borderId="0" xfId="0"/>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164" fontId="0" fillId="0" borderId="0" xfId="0" applyNumberFormat="1"/>
    <xf numFmtId="0" fontId="0" fillId="0" borderId="0" xfId="0" applyAlignment="1"/>
    <xf numFmtId="165" fontId="0" fillId="0" borderId="0" xfId="0" applyNumberFormat="1"/>
    <xf numFmtId="0" fontId="0" fillId="0" borderId="0" xfId="0" applyProtection="1">
      <protection locked="0"/>
    </xf>
    <xf numFmtId="0" fontId="0" fillId="0" borderId="1" xfId="0" applyBorder="1" applyProtection="1">
      <protection locked="0"/>
    </xf>
    <xf numFmtId="0" fontId="0" fillId="0" borderId="3" xfId="0" applyBorder="1" applyProtection="1">
      <protection locked="0"/>
    </xf>
    <xf numFmtId="0" fontId="0" fillId="0" borderId="4"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8" xfId="0" applyBorder="1" applyProtection="1">
      <protection locked="0"/>
    </xf>
    <xf numFmtId="0" fontId="0" fillId="0" borderId="0" xfId="0" applyFont="1" applyProtection="1">
      <protection locked="0"/>
    </xf>
    <xf numFmtId="0" fontId="2" fillId="0" borderId="0" xfId="0" applyFont="1" applyProtection="1">
      <protection locked="0"/>
    </xf>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49" fontId="3" fillId="2" borderId="0" xfId="0" quotePrefix="1" applyNumberFormat="1" applyFont="1" applyFill="1" applyProtection="1">
      <protection locked="0"/>
    </xf>
  </cellXfs>
  <cellStyles count="1">
    <cellStyle name="Normal" xfId="0" builtinId="0"/>
  </cellStyles>
  <dxfs count="8">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numFmt numFmtId="164" formatCode="0.000"/>
    </dxf>
    <dxf>
      <numFmt numFmtId="164" formatCode="0.000"/>
    </dxf>
    <dxf>
      <numFmt numFmtId="164" formatCode="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6.xml"/><Relationship Id="rId39" Type="http://schemas.openxmlformats.org/officeDocument/2006/relationships/theme" Target="theme/theme1.xml"/><Relationship Id="rId21" Type="http://schemas.openxmlformats.org/officeDocument/2006/relationships/pivotCacheDefinition" Target="pivotCache/pivotCacheDefinition1.xml"/><Relationship Id="rId34" Type="http://schemas.openxmlformats.org/officeDocument/2006/relationships/pivotCacheDefinition" Target="pivotCache/pivotCacheDefinition14.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4.xml"/><Relationship Id="rId32" Type="http://schemas.openxmlformats.org/officeDocument/2006/relationships/pivotCacheDefinition" Target="pivotCache/pivotCacheDefinition12.xml"/><Relationship Id="rId37" Type="http://schemas.openxmlformats.org/officeDocument/2006/relationships/pivotCacheDefinition" Target="pivotCache/pivotCacheDefinition17.xml"/><Relationship Id="rId40"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openxmlformats.org/officeDocument/2006/relationships/pivotCacheDefinition" Target="pivotCache/pivotCacheDefinition8.xml"/><Relationship Id="rId36" Type="http://schemas.openxmlformats.org/officeDocument/2006/relationships/pivotCacheDefinition" Target="pivotCache/pivotCacheDefinition1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openxmlformats.org/officeDocument/2006/relationships/pivotCacheDefinition" Target="pivotCache/pivotCacheDefinition7.xml"/><Relationship Id="rId30" Type="http://schemas.openxmlformats.org/officeDocument/2006/relationships/pivotCacheDefinition" Target="pivotCache/pivotCacheDefinition10.xml"/><Relationship Id="rId35" Type="http://schemas.openxmlformats.org/officeDocument/2006/relationships/pivotCacheDefinition" Target="pivotCache/pivotCacheDefinition1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5.xml"/><Relationship Id="rId33" Type="http://schemas.openxmlformats.org/officeDocument/2006/relationships/pivotCacheDefinition" Target="pivotCache/pivotCacheDefinition13.xml"/><Relationship Id="rId38" Type="http://schemas.openxmlformats.org/officeDocument/2006/relationships/pivotCacheDefinition" Target="pivotCache/pivotCacheDefinition1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Prices!PivotTable4</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solidFill>
            <a:schemeClr val="accent1"/>
          </a:solidFill>
          <a:ln w="28575" cap="rnd">
            <a:solidFill>
              <a:schemeClr val="accent1"/>
            </a:solidFill>
            <a:round/>
          </a:ln>
          <a:effectLst/>
        </c:spPr>
        <c:marker>
          <c:symbol val="none"/>
        </c:marker>
      </c:pivotFmt>
      <c:pivotFmt>
        <c:idx val="125"/>
        <c:spPr>
          <a:solidFill>
            <a:schemeClr val="accent1"/>
          </a:solidFill>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solidFill>
            <a:schemeClr val="accent1"/>
          </a:solidFill>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solidFill>
            <a:schemeClr val="accent1"/>
          </a:solidFill>
          <a:ln w="28575" cap="rnd">
            <a:solidFill>
              <a:schemeClr val="accent1"/>
            </a:solidFill>
            <a:round/>
          </a:ln>
          <a:effectLst/>
        </c:spPr>
        <c:marker>
          <c:symbol val="none"/>
        </c:marker>
      </c:pivotFmt>
      <c:pivotFmt>
        <c:idx val="159"/>
        <c:spPr>
          <a:solidFill>
            <a:schemeClr val="accent1"/>
          </a:solidFill>
          <a:ln w="28575" cap="rnd">
            <a:solidFill>
              <a:schemeClr val="accent1"/>
            </a:solidFill>
            <a:round/>
          </a:ln>
          <a:effectLst/>
        </c:spPr>
        <c:marker>
          <c:symbol val="none"/>
        </c:marker>
      </c:pivotFmt>
      <c:pivotFmt>
        <c:idx val="160"/>
        <c:spPr>
          <a:solidFill>
            <a:schemeClr val="accent1"/>
          </a:solidFill>
          <a:ln w="28575" cap="rnd">
            <a:solidFill>
              <a:schemeClr val="accent1"/>
            </a:solidFill>
            <a:round/>
          </a:ln>
          <a:effectLst/>
        </c:spPr>
        <c:marker>
          <c:symbol val="none"/>
        </c:marker>
      </c:pivotFmt>
      <c:pivotFmt>
        <c:idx val="161"/>
        <c:spPr>
          <a:solidFill>
            <a:schemeClr val="accent1"/>
          </a:solidFill>
          <a:ln w="28575" cap="rnd">
            <a:solidFill>
              <a:schemeClr val="accent1"/>
            </a:solidFill>
            <a:round/>
          </a:ln>
          <a:effectLst/>
        </c:spPr>
        <c:marker>
          <c:symbol val="none"/>
        </c:marker>
      </c:pivotFmt>
      <c:pivotFmt>
        <c:idx val="162"/>
        <c:spPr>
          <a:solidFill>
            <a:schemeClr val="accent1"/>
          </a:solidFill>
          <a:ln w="28575" cap="rnd">
            <a:solidFill>
              <a:schemeClr val="accent1"/>
            </a:solidFill>
            <a:round/>
          </a:ln>
          <a:effectLst/>
        </c:spPr>
        <c:marker>
          <c:symbol val="none"/>
        </c:marker>
      </c:pivotFmt>
      <c:pivotFmt>
        <c:idx val="163"/>
        <c:spPr>
          <a:solidFill>
            <a:schemeClr val="accent1"/>
          </a:solidFill>
          <a:ln w="28575" cap="rnd">
            <a:solidFill>
              <a:schemeClr val="accent1"/>
            </a:solidFill>
            <a:round/>
          </a:ln>
          <a:effectLst/>
        </c:spPr>
        <c:marker>
          <c:symbol val="none"/>
        </c:marker>
      </c:pivotFmt>
      <c:pivotFmt>
        <c:idx val="164"/>
        <c:spPr>
          <a:solidFill>
            <a:schemeClr val="accent1"/>
          </a:solidFill>
          <a:ln w="28575" cap="rnd">
            <a:solidFill>
              <a:schemeClr val="accent1"/>
            </a:solidFill>
            <a:round/>
          </a:ln>
          <a:effectLst/>
        </c:spPr>
        <c:marker>
          <c:symbol val="none"/>
        </c:marker>
      </c:pivotFmt>
      <c:pivotFmt>
        <c:idx val="165"/>
        <c:spPr>
          <a:solidFill>
            <a:schemeClr val="accent1"/>
          </a:solidFill>
          <a:ln w="28575" cap="rnd">
            <a:solidFill>
              <a:schemeClr val="accent1"/>
            </a:solidFill>
            <a:round/>
          </a:ln>
          <a:effectLst/>
        </c:spPr>
        <c:marker>
          <c:symbol val="none"/>
        </c:marker>
      </c:pivotFmt>
      <c:pivotFmt>
        <c:idx val="166"/>
        <c:spPr>
          <a:solidFill>
            <a:schemeClr val="accent1"/>
          </a:solidFill>
          <a:ln w="28575" cap="rnd">
            <a:solidFill>
              <a:schemeClr val="accent1"/>
            </a:solidFill>
            <a:round/>
          </a:ln>
          <a:effectLst/>
        </c:spPr>
        <c:marker>
          <c:symbol val="none"/>
        </c:marker>
      </c:pivotFmt>
      <c:pivotFmt>
        <c:idx val="167"/>
        <c:spPr>
          <a:solidFill>
            <a:schemeClr val="accent1"/>
          </a:solidFill>
          <a:ln w="28575" cap="rnd">
            <a:solidFill>
              <a:schemeClr val="accent1"/>
            </a:solidFill>
            <a:round/>
          </a:ln>
          <a:effectLst/>
        </c:spPr>
        <c:marker>
          <c:symbol val="none"/>
        </c:marker>
      </c:pivotFmt>
      <c:pivotFmt>
        <c:idx val="168"/>
        <c:spPr>
          <a:solidFill>
            <a:schemeClr val="accent1"/>
          </a:solidFill>
          <a:ln w="28575" cap="rnd">
            <a:solidFill>
              <a:schemeClr val="accent1"/>
            </a:solidFill>
            <a:round/>
          </a:ln>
          <a:effectLst/>
        </c:spPr>
        <c:marker>
          <c:symbol val="none"/>
        </c:marker>
      </c:pivotFmt>
      <c:pivotFmt>
        <c:idx val="169"/>
        <c:spPr>
          <a:solidFill>
            <a:schemeClr val="accent1"/>
          </a:solidFill>
          <a:ln w="28575" cap="rnd">
            <a:solidFill>
              <a:schemeClr val="accent1"/>
            </a:solidFill>
            <a:round/>
          </a:ln>
          <a:effectLst/>
        </c:spPr>
        <c:marker>
          <c:symbol val="none"/>
        </c:marker>
      </c:pivotFmt>
      <c:pivotFmt>
        <c:idx val="170"/>
        <c:spPr>
          <a:solidFill>
            <a:schemeClr val="accent1"/>
          </a:solidFill>
          <a:ln w="28575" cap="rnd">
            <a:solidFill>
              <a:schemeClr val="accent1"/>
            </a:solidFill>
            <a:round/>
          </a:ln>
          <a:effectLst/>
        </c:spPr>
        <c:marker>
          <c:symbol val="none"/>
        </c:marker>
      </c:pivotFmt>
      <c:pivotFmt>
        <c:idx val="171"/>
        <c:spPr>
          <a:solidFill>
            <a:schemeClr val="accent1"/>
          </a:solidFill>
          <a:ln w="28575" cap="rnd">
            <a:solidFill>
              <a:schemeClr val="accent1"/>
            </a:solidFill>
            <a:round/>
          </a:ln>
          <a:effectLst/>
        </c:spPr>
        <c:marker>
          <c:symbol val="none"/>
        </c:marker>
      </c:pivotFmt>
      <c:pivotFmt>
        <c:idx val="172"/>
        <c:spPr>
          <a:solidFill>
            <a:schemeClr val="accent1"/>
          </a:solidFill>
          <a:ln w="28575" cap="rnd">
            <a:solidFill>
              <a:schemeClr val="accent1"/>
            </a:solidFill>
            <a:round/>
          </a:ln>
          <a:effectLst/>
        </c:spPr>
        <c:marker>
          <c:symbol val="none"/>
        </c:marker>
      </c:pivotFmt>
      <c:pivotFmt>
        <c:idx val="173"/>
        <c:spPr>
          <a:solidFill>
            <a:schemeClr val="accent1"/>
          </a:solidFill>
          <a:ln w="28575" cap="rnd">
            <a:solidFill>
              <a:schemeClr val="accent1"/>
            </a:solidFill>
            <a:round/>
          </a:ln>
          <a:effectLst/>
        </c:spPr>
        <c:marker>
          <c:symbol val="none"/>
        </c:marker>
      </c:pivotFmt>
      <c:pivotFmt>
        <c:idx val="174"/>
        <c:spPr>
          <a:solidFill>
            <a:schemeClr val="accent1"/>
          </a:solidFill>
          <a:ln w="28575" cap="rnd">
            <a:solidFill>
              <a:schemeClr val="accent1"/>
            </a:solidFill>
            <a:round/>
          </a:ln>
          <a:effectLst/>
        </c:spPr>
        <c:marker>
          <c:symbol val="none"/>
        </c:marker>
      </c:pivotFmt>
      <c:pivotFmt>
        <c:idx val="175"/>
        <c:spPr>
          <a:solidFill>
            <a:schemeClr val="accent1"/>
          </a:solidFill>
          <a:ln w="28575" cap="rnd">
            <a:solidFill>
              <a:schemeClr val="accent1"/>
            </a:solidFill>
            <a:round/>
          </a:ln>
          <a:effectLst/>
        </c:spPr>
        <c:marker>
          <c:symbol val="none"/>
        </c:marker>
      </c:pivotFmt>
      <c:pivotFmt>
        <c:idx val="176"/>
        <c:spPr>
          <a:solidFill>
            <a:schemeClr val="accent1"/>
          </a:solidFill>
          <a:ln w="28575" cap="rnd">
            <a:solidFill>
              <a:schemeClr val="accent1"/>
            </a:solidFill>
            <a:round/>
          </a:ln>
          <a:effectLst/>
        </c:spPr>
        <c:marker>
          <c:symbol val="none"/>
        </c:marker>
      </c:pivotFmt>
      <c:pivotFmt>
        <c:idx val="177"/>
        <c:spPr>
          <a:solidFill>
            <a:schemeClr val="accent1"/>
          </a:solidFill>
          <a:ln w="28575" cap="rnd">
            <a:solidFill>
              <a:schemeClr val="accent1"/>
            </a:solidFill>
            <a:round/>
          </a:ln>
          <a:effectLst/>
        </c:spPr>
        <c:marker>
          <c:symbol val="none"/>
        </c:marker>
      </c:pivotFmt>
      <c:pivotFmt>
        <c:idx val="178"/>
        <c:spPr>
          <a:solidFill>
            <a:schemeClr val="accent1"/>
          </a:solidFill>
          <a:ln w="28575" cap="rnd">
            <a:solidFill>
              <a:schemeClr val="accent1"/>
            </a:solidFill>
            <a:round/>
          </a:ln>
          <a:effectLst/>
        </c:spPr>
        <c:marker>
          <c:symbol val="none"/>
        </c:marker>
      </c:pivotFmt>
      <c:pivotFmt>
        <c:idx val="179"/>
        <c:spPr>
          <a:solidFill>
            <a:schemeClr val="accent1"/>
          </a:solidFill>
          <a:ln w="28575" cap="rnd">
            <a:solidFill>
              <a:schemeClr val="accent1"/>
            </a:solidFill>
            <a:round/>
          </a:ln>
          <a:effectLst/>
        </c:spPr>
        <c:marker>
          <c:symbol val="none"/>
        </c:marker>
      </c:pivotFmt>
      <c:pivotFmt>
        <c:idx val="180"/>
        <c:spPr>
          <a:solidFill>
            <a:schemeClr val="accent1"/>
          </a:solidFill>
          <a:ln w="28575" cap="rnd">
            <a:solidFill>
              <a:schemeClr val="accent1"/>
            </a:solidFill>
            <a:round/>
          </a:ln>
          <a:effectLst/>
        </c:spPr>
        <c:marker>
          <c:symbol val="none"/>
        </c:marker>
      </c:pivotFmt>
      <c:pivotFmt>
        <c:idx val="181"/>
        <c:spPr>
          <a:solidFill>
            <a:schemeClr val="accent1"/>
          </a:solidFill>
          <a:ln w="28575" cap="rnd">
            <a:solidFill>
              <a:schemeClr val="accent1"/>
            </a:solidFill>
            <a:round/>
          </a:ln>
          <a:effectLst/>
        </c:spPr>
        <c:marker>
          <c:symbol val="none"/>
        </c:marker>
      </c:pivotFmt>
      <c:pivotFmt>
        <c:idx val="182"/>
        <c:spPr>
          <a:solidFill>
            <a:schemeClr val="accent1"/>
          </a:solidFill>
          <a:ln w="28575" cap="rnd">
            <a:solidFill>
              <a:schemeClr val="accent1"/>
            </a:solidFill>
            <a:round/>
          </a:ln>
          <a:effectLst/>
        </c:spPr>
        <c:marker>
          <c:symbol val="none"/>
        </c:marker>
      </c:pivotFmt>
      <c:pivotFmt>
        <c:idx val="183"/>
        <c:spPr>
          <a:solidFill>
            <a:schemeClr val="accent1"/>
          </a:solidFill>
          <a:ln w="28575" cap="rnd">
            <a:solidFill>
              <a:schemeClr val="accent1"/>
            </a:solidFill>
            <a:round/>
          </a:ln>
          <a:effectLst/>
        </c:spPr>
        <c:marker>
          <c:symbol val="none"/>
        </c:marker>
      </c:pivotFmt>
      <c:pivotFmt>
        <c:idx val="184"/>
        <c:spPr>
          <a:solidFill>
            <a:schemeClr val="accent1"/>
          </a:solidFill>
          <a:ln w="28575" cap="rnd">
            <a:solidFill>
              <a:schemeClr val="accent1"/>
            </a:solidFill>
            <a:round/>
          </a:ln>
          <a:effectLst/>
        </c:spPr>
        <c:marker>
          <c:symbol val="none"/>
        </c:marker>
      </c:pivotFmt>
      <c:pivotFmt>
        <c:idx val="185"/>
        <c:spPr>
          <a:solidFill>
            <a:schemeClr val="accent1"/>
          </a:solidFill>
          <a:ln w="28575" cap="rnd">
            <a:solidFill>
              <a:schemeClr val="accent1"/>
            </a:solidFill>
            <a:round/>
          </a:ln>
          <a:effectLst/>
        </c:spPr>
        <c:marker>
          <c:symbol val="none"/>
        </c:marker>
      </c:pivotFmt>
      <c:pivotFmt>
        <c:idx val="186"/>
        <c:spPr>
          <a:solidFill>
            <a:schemeClr val="accent1"/>
          </a:solidFill>
          <a:ln w="28575" cap="rnd">
            <a:solidFill>
              <a:schemeClr val="accent1"/>
            </a:solidFill>
            <a:round/>
          </a:ln>
          <a:effectLst/>
        </c:spPr>
        <c:marker>
          <c:symbol val="none"/>
        </c:marker>
      </c:pivotFmt>
      <c:pivotFmt>
        <c:idx val="187"/>
        <c:spPr>
          <a:solidFill>
            <a:schemeClr val="accent1"/>
          </a:solidFill>
          <a:ln w="28575" cap="rnd">
            <a:solidFill>
              <a:schemeClr val="accent1"/>
            </a:solidFill>
            <a:round/>
          </a:ln>
          <a:effectLst/>
        </c:spPr>
        <c:marker>
          <c:symbol val="none"/>
        </c:marker>
      </c:pivotFmt>
      <c:pivotFmt>
        <c:idx val="188"/>
        <c:spPr>
          <a:solidFill>
            <a:schemeClr val="accent1"/>
          </a:solidFill>
          <a:ln w="28575" cap="rnd">
            <a:solidFill>
              <a:schemeClr val="accent1"/>
            </a:solidFill>
            <a:round/>
          </a:ln>
          <a:effectLst/>
        </c:spPr>
        <c:marker>
          <c:symbol val="none"/>
        </c:marker>
      </c:pivotFmt>
      <c:pivotFmt>
        <c:idx val="189"/>
        <c:spPr>
          <a:ln w="28575" cap="rnd">
            <a:solidFill>
              <a:schemeClr val="accent1"/>
            </a:solidFill>
            <a:round/>
          </a:ln>
          <a:effectLst/>
        </c:spPr>
        <c:marker>
          <c:symbol val="none"/>
        </c:marker>
      </c:pivotFmt>
      <c:pivotFmt>
        <c:idx val="190"/>
        <c:spPr>
          <a:ln w="28575" cap="rnd">
            <a:solidFill>
              <a:schemeClr val="accent1"/>
            </a:solidFill>
            <a:round/>
          </a:ln>
          <a:effectLst/>
        </c:spPr>
        <c:marker>
          <c:symbol val="none"/>
        </c:marker>
      </c:pivotFmt>
      <c:pivotFmt>
        <c:idx val="191"/>
        <c:spPr>
          <a:ln w="28575" cap="rnd">
            <a:solidFill>
              <a:schemeClr val="accent1"/>
            </a:solidFill>
            <a:round/>
          </a:ln>
          <a:effectLst/>
        </c:spPr>
        <c:marker>
          <c:symbol val="none"/>
        </c:marker>
      </c:pivotFmt>
    </c:pivotFmts>
    <c:plotArea>
      <c:layout>
        <c:manualLayout>
          <c:layoutTarget val="inner"/>
          <c:xMode val="edge"/>
          <c:yMode val="edge"/>
          <c:x val="4.8079367244556165E-2"/>
          <c:y val="8.1483767006810301E-2"/>
          <c:w val="0.89211264190121098"/>
          <c:h val="0.62978547141090202"/>
        </c:manualLayout>
      </c:layout>
      <c:lineChart>
        <c:grouping val="standard"/>
        <c:varyColors val="0"/>
        <c:ser>
          <c:idx val="0"/>
          <c:order val="0"/>
          <c:tx>
            <c:strRef>
              <c:f>'EL Prices'!$F$4:$F$6</c:f>
              <c:strCache>
                <c:ptCount val="1"/>
                <c:pt idx="0">
                  <c:v>BASE - DK1</c:v>
                </c:pt>
              </c:strCache>
            </c:strRef>
          </c:tx>
          <c:spPr>
            <a:ln w="28575" cap="rnd">
              <a:solidFill>
                <a:schemeClr val="accent1"/>
              </a:solidFill>
              <a:round/>
            </a:ln>
            <a:effectLst/>
          </c:spPr>
          <c:marker>
            <c:symbol val="none"/>
          </c:marker>
          <c:cat>
            <c:multiLvlStrRef>
              <c:f>'EL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Prices'!$F$7:$F$31</c:f>
              <c:numCache>
                <c:formatCode>General</c:formatCode>
                <c:ptCount val="24"/>
                <c:pt idx="0">
                  <c:v>28.934024296011302</c:v>
                </c:pt>
                <c:pt idx="1">
                  <c:v>28.934024296011302</c:v>
                </c:pt>
                <c:pt idx="2">
                  <c:v>28.934024296011302</c:v>
                </c:pt>
                <c:pt idx="3">
                  <c:v>28.934024296011302</c:v>
                </c:pt>
                <c:pt idx="4">
                  <c:v>28.934024296011302</c:v>
                </c:pt>
                <c:pt idx="5">
                  <c:v>28.934024296011302</c:v>
                </c:pt>
                <c:pt idx="6">
                  <c:v>30.279095693304399</c:v>
                </c:pt>
                <c:pt idx="7">
                  <c:v>34.227333312781099</c:v>
                </c:pt>
                <c:pt idx="8">
                  <c:v>34.227333312781099</c:v>
                </c:pt>
                <c:pt idx="9">
                  <c:v>34.227333312781099</c:v>
                </c:pt>
                <c:pt idx="10">
                  <c:v>31.067635987034201</c:v>
                </c:pt>
                <c:pt idx="11">
                  <c:v>30.599481766404502</c:v>
                </c:pt>
                <c:pt idx="12">
                  <c:v>29.894434746178099</c:v>
                </c:pt>
                <c:pt idx="13">
                  <c:v>29.894434746178</c:v>
                </c:pt>
                <c:pt idx="14">
                  <c:v>29.894434746178</c:v>
                </c:pt>
                <c:pt idx="15">
                  <c:v>30.034320632646899</c:v>
                </c:pt>
                <c:pt idx="16">
                  <c:v>30.034320632646899</c:v>
                </c:pt>
                <c:pt idx="17">
                  <c:v>30.034320632646899</c:v>
                </c:pt>
                <c:pt idx="18">
                  <c:v>28.934024296011302</c:v>
                </c:pt>
                <c:pt idx="19">
                  <c:v>28.638766286838599</c:v>
                </c:pt>
                <c:pt idx="20">
                  <c:v>28.347956644251401</c:v>
                </c:pt>
                <c:pt idx="21">
                  <c:v>27.533481766404499</c:v>
                </c:pt>
                <c:pt idx="22">
                  <c:v>26.5544057664045</c:v>
                </c:pt>
                <c:pt idx="23">
                  <c:v>26.1115752944843</c:v>
                </c:pt>
              </c:numCache>
            </c:numRef>
          </c:val>
          <c:smooth val="0"/>
          <c:extLst>
            <c:ext xmlns:c16="http://schemas.microsoft.com/office/drawing/2014/chart" uri="{C3380CC4-5D6E-409C-BE32-E72D297353CC}">
              <c16:uniqueId val="{00000000-6DE6-4D97-8700-F0F3A39CA130}"/>
            </c:ext>
          </c:extLst>
        </c:ser>
        <c:ser>
          <c:idx val="1"/>
          <c:order val="1"/>
          <c:tx>
            <c:strRef>
              <c:f>'EL Prices'!$G$4:$G$6</c:f>
              <c:strCache>
                <c:ptCount val="1"/>
                <c:pt idx="0">
                  <c:v>BASE - EE</c:v>
                </c:pt>
              </c:strCache>
            </c:strRef>
          </c:tx>
          <c:spPr>
            <a:ln w="28575" cap="rnd">
              <a:solidFill>
                <a:schemeClr val="accent2"/>
              </a:solidFill>
              <a:round/>
            </a:ln>
            <a:effectLst/>
          </c:spPr>
          <c:marker>
            <c:symbol val="none"/>
          </c:marker>
          <c:cat>
            <c:multiLvlStrRef>
              <c:f>'EL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Prices'!$G$7:$G$31</c:f>
              <c:numCache>
                <c:formatCode>General</c:formatCode>
                <c:ptCount val="24"/>
                <c:pt idx="0">
                  <c:v>33.161752116044198</c:v>
                </c:pt>
                <c:pt idx="1">
                  <c:v>32.368436929031098</c:v>
                </c:pt>
                <c:pt idx="2">
                  <c:v>30.991511178758898</c:v>
                </c:pt>
                <c:pt idx="3">
                  <c:v>31.0020301577288</c:v>
                </c:pt>
                <c:pt idx="4">
                  <c:v>31.316213300128101</c:v>
                </c:pt>
                <c:pt idx="5">
                  <c:v>33.561046746230303</c:v>
                </c:pt>
                <c:pt idx="6">
                  <c:v>34.4390044642143</c:v>
                </c:pt>
                <c:pt idx="7">
                  <c:v>36.5492277819137</c:v>
                </c:pt>
                <c:pt idx="8">
                  <c:v>36.5492277819137</c:v>
                </c:pt>
                <c:pt idx="9">
                  <c:v>36.2286530045794</c:v>
                </c:pt>
                <c:pt idx="10">
                  <c:v>35.335870056881902</c:v>
                </c:pt>
                <c:pt idx="11">
                  <c:v>34.803403401869403</c:v>
                </c:pt>
                <c:pt idx="12">
                  <c:v>34.001500926267397</c:v>
                </c:pt>
                <c:pt idx="13">
                  <c:v>34.001500926267397</c:v>
                </c:pt>
                <c:pt idx="14">
                  <c:v>34.001500926267397</c:v>
                </c:pt>
                <c:pt idx="15">
                  <c:v>34.4810665143074</c:v>
                </c:pt>
                <c:pt idx="16">
                  <c:v>41.261995159114797</c:v>
                </c:pt>
                <c:pt idx="17">
                  <c:v>41.261995159114797</c:v>
                </c:pt>
                <c:pt idx="18">
                  <c:v>35.3388605757942</c:v>
                </c:pt>
                <c:pt idx="19">
                  <c:v>34.4810665143074</c:v>
                </c:pt>
                <c:pt idx="20">
                  <c:v>33.607577854979702</c:v>
                </c:pt>
                <c:pt idx="21">
                  <c:v>33.607577854979702</c:v>
                </c:pt>
                <c:pt idx="22">
                  <c:v>33.607577854979702</c:v>
                </c:pt>
                <c:pt idx="23">
                  <c:v>31.280648977772898</c:v>
                </c:pt>
              </c:numCache>
            </c:numRef>
          </c:val>
          <c:smooth val="0"/>
          <c:extLst>
            <c:ext xmlns:c16="http://schemas.microsoft.com/office/drawing/2014/chart" uri="{C3380CC4-5D6E-409C-BE32-E72D297353CC}">
              <c16:uniqueId val="{00000015-AB05-4903-B1B5-0DFC1D2C714D}"/>
            </c:ext>
          </c:extLst>
        </c:ser>
        <c:ser>
          <c:idx val="2"/>
          <c:order val="2"/>
          <c:tx>
            <c:strRef>
              <c:f>'EL Prices'!$H$4:$H$6</c:f>
              <c:strCache>
                <c:ptCount val="1"/>
                <c:pt idx="0">
                  <c:v>BASE - NO3</c:v>
                </c:pt>
              </c:strCache>
            </c:strRef>
          </c:tx>
          <c:spPr>
            <a:ln w="28575" cap="rnd">
              <a:solidFill>
                <a:schemeClr val="accent3"/>
              </a:solidFill>
              <a:round/>
            </a:ln>
            <a:effectLst/>
          </c:spPr>
          <c:marker>
            <c:symbol val="none"/>
          </c:marker>
          <c:cat>
            <c:multiLvlStrRef>
              <c:f>'EL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Prices'!$H$7:$H$31</c:f>
              <c:numCache>
                <c:formatCode>General</c:formatCode>
                <c:ptCount val="24"/>
                <c:pt idx="0">
                  <c:v>27.718693075578798</c:v>
                </c:pt>
                <c:pt idx="1">
                  <c:v>27.718693075578798</c:v>
                </c:pt>
                <c:pt idx="2">
                  <c:v>27.718693075578798</c:v>
                </c:pt>
                <c:pt idx="3">
                  <c:v>27.718693075578798</c:v>
                </c:pt>
                <c:pt idx="4">
                  <c:v>27.718693075578798</c:v>
                </c:pt>
                <c:pt idx="5">
                  <c:v>28.650756382999599</c:v>
                </c:pt>
                <c:pt idx="6">
                  <c:v>29.0072714741856</c:v>
                </c:pt>
                <c:pt idx="7">
                  <c:v>30.784693075578801</c:v>
                </c:pt>
                <c:pt idx="8">
                  <c:v>30.784693075578801</c:v>
                </c:pt>
                <c:pt idx="9">
                  <c:v>30.784693075578801</c:v>
                </c:pt>
                <c:pt idx="10">
                  <c:v>29.762693075578799</c:v>
                </c:pt>
                <c:pt idx="11">
                  <c:v>29.762693075578799</c:v>
                </c:pt>
                <c:pt idx="12">
                  <c:v>29.762693075578799</c:v>
                </c:pt>
                <c:pt idx="13">
                  <c:v>29.762693075578799</c:v>
                </c:pt>
                <c:pt idx="14">
                  <c:v>29.762693075578799</c:v>
                </c:pt>
                <c:pt idx="15">
                  <c:v>29.762693075578799</c:v>
                </c:pt>
                <c:pt idx="16">
                  <c:v>29.762693075578799</c:v>
                </c:pt>
                <c:pt idx="17">
                  <c:v>29.762693075578799</c:v>
                </c:pt>
                <c:pt idx="18">
                  <c:v>28.934024296011302</c:v>
                </c:pt>
                <c:pt idx="19">
                  <c:v>28.7406930755788</c:v>
                </c:pt>
                <c:pt idx="20">
                  <c:v>28.7406930755788</c:v>
                </c:pt>
                <c:pt idx="21">
                  <c:v>28.7406930755788</c:v>
                </c:pt>
                <c:pt idx="22">
                  <c:v>27.718693075578798</c:v>
                </c:pt>
                <c:pt idx="23">
                  <c:v>27.2564483240964</c:v>
                </c:pt>
              </c:numCache>
            </c:numRef>
          </c:val>
          <c:smooth val="0"/>
          <c:extLst>
            <c:ext xmlns:c16="http://schemas.microsoft.com/office/drawing/2014/chart" uri="{C3380CC4-5D6E-409C-BE32-E72D297353CC}">
              <c16:uniqueId val="{00000016-AB05-4903-B1B5-0DFC1D2C714D}"/>
            </c:ext>
          </c:extLst>
        </c:ser>
        <c:dLbls>
          <c:showLegendKey val="0"/>
          <c:showVal val="0"/>
          <c:showCatName val="0"/>
          <c:showSerName val="0"/>
          <c:showPercent val="0"/>
          <c:showBubbleSize val="0"/>
        </c:dLbls>
        <c:smooth val="0"/>
        <c:axId val="229129784"/>
        <c:axId val="229244408"/>
      </c:lineChart>
      <c:catAx>
        <c:axId val="229129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9244408"/>
        <c:crosses val="autoZero"/>
        <c:auto val="1"/>
        <c:lblAlgn val="ctr"/>
        <c:lblOffset val="100"/>
        <c:noMultiLvlLbl val="0"/>
      </c:catAx>
      <c:valAx>
        <c:axId val="229244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912978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Prices!PivotTable1</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ln w="28575" cap="rnd">
            <a:solidFill>
              <a:schemeClr val="accent1"/>
            </a:solidFill>
            <a:round/>
          </a:ln>
          <a:effectLst/>
        </c:spPr>
        <c:marker>
          <c:symbol val="none"/>
        </c:marker>
      </c:pivotFmt>
      <c:pivotFmt>
        <c:idx val="91"/>
        <c:spPr>
          <a:ln w="28575" cap="rnd">
            <a:solidFill>
              <a:schemeClr val="accent1"/>
            </a:solidFill>
            <a:round/>
          </a:ln>
          <a:effectLst/>
        </c:spPr>
        <c:marker>
          <c:symbol val="none"/>
        </c:marker>
      </c:pivotFmt>
      <c:pivotFmt>
        <c:idx val="92"/>
        <c:spPr>
          <a:ln w="28575" cap="rnd">
            <a:solidFill>
              <a:schemeClr val="accent1"/>
            </a:solidFill>
            <a:round/>
          </a:ln>
          <a:effectLst/>
        </c:spPr>
        <c:marker>
          <c:symbol val="none"/>
        </c:marker>
      </c:pivotFmt>
      <c:pivotFmt>
        <c:idx val="93"/>
        <c:spPr>
          <a:ln w="28575" cap="rnd">
            <a:solidFill>
              <a:schemeClr val="accent1"/>
            </a:solidFill>
            <a:round/>
          </a:ln>
          <a:effectLst/>
        </c:spPr>
        <c:marker>
          <c:symbol val="none"/>
        </c:marker>
      </c:pivotFmt>
      <c:pivotFmt>
        <c:idx val="94"/>
        <c:spPr>
          <a:ln w="28575" cap="rnd">
            <a:solidFill>
              <a:schemeClr val="accent1"/>
            </a:solidFill>
            <a:round/>
          </a:ln>
          <a:effectLst/>
        </c:spPr>
        <c:marker>
          <c:symbol val="none"/>
        </c:marker>
      </c:pivotFmt>
      <c:pivotFmt>
        <c:idx val="95"/>
        <c:spPr>
          <a:ln w="28575" cap="rnd">
            <a:solidFill>
              <a:schemeClr val="accent1"/>
            </a:solidFill>
            <a:round/>
          </a:ln>
          <a:effectLst/>
        </c:spPr>
        <c:marker>
          <c:symbol val="none"/>
        </c:marker>
      </c:pivotFmt>
      <c:pivotFmt>
        <c:idx val="96"/>
        <c:spPr>
          <a:ln w="28575" cap="rnd">
            <a:solidFill>
              <a:schemeClr val="accent1"/>
            </a:solidFill>
            <a:round/>
          </a:ln>
          <a:effectLst/>
        </c:spPr>
        <c:marker>
          <c:symbol val="none"/>
        </c:marker>
      </c:pivotFmt>
      <c:pivotFmt>
        <c:idx val="97"/>
        <c:spPr>
          <a:ln w="28575" cap="rnd">
            <a:solidFill>
              <a:schemeClr val="accent1"/>
            </a:solidFill>
            <a:round/>
          </a:ln>
          <a:effectLst/>
        </c:spPr>
        <c:marker>
          <c:symbol val="none"/>
        </c:marker>
      </c:pivotFmt>
      <c:pivotFmt>
        <c:idx val="98"/>
        <c:spPr>
          <a:ln w="28575" cap="rnd">
            <a:solidFill>
              <a:schemeClr val="accent1"/>
            </a:solidFill>
            <a:round/>
          </a:ln>
          <a:effectLst/>
        </c:spPr>
        <c:marker>
          <c:symbol val="none"/>
        </c:marker>
      </c:pivotFmt>
      <c:pivotFmt>
        <c:idx val="99"/>
        <c:spPr>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ln w="28575" cap="rnd">
            <a:solidFill>
              <a:schemeClr val="accent1"/>
            </a:solidFill>
            <a:round/>
          </a:ln>
          <a:effectLst/>
        </c:spPr>
        <c:marker>
          <c:symbol val="none"/>
        </c:marker>
      </c:pivotFmt>
      <c:pivotFmt>
        <c:idx val="121"/>
        <c:spPr>
          <a:ln w="28575" cap="rnd">
            <a:solidFill>
              <a:schemeClr val="accent1"/>
            </a:solidFill>
            <a:round/>
          </a:ln>
          <a:effectLst/>
        </c:spPr>
        <c:marker>
          <c:symbol val="none"/>
        </c:marker>
      </c:pivotFmt>
      <c:pivotFmt>
        <c:idx val="122"/>
        <c:spPr>
          <a:ln w="28575" cap="rnd">
            <a:solidFill>
              <a:schemeClr val="accent1"/>
            </a:solidFill>
            <a:round/>
          </a:ln>
          <a:effectLst/>
        </c:spPr>
        <c:marker>
          <c:symbol val="none"/>
        </c:marker>
      </c:pivotFmt>
      <c:pivotFmt>
        <c:idx val="123"/>
        <c:spPr>
          <a:ln w="28575" cap="rnd">
            <a:solidFill>
              <a:schemeClr val="accent1"/>
            </a:solidFill>
            <a:round/>
          </a:ln>
          <a:effectLst/>
        </c:spPr>
        <c:marker>
          <c:symbol val="none"/>
        </c:marker>
      </c:pivotFmt>
      <c:pivotFmt>
        <c:idx val="124"/>
        <c:spPr>
          <a:ln w="28575" cap="rnd">
            <a:solidFill>
              <a:schemeClr val="accent1"/>
            </a:solidFill>
            <a:round/>
          </a:ln>
          <a:effectLst/>
        </c:spPr>
        <c:marker>
          <c:symbol val="none"/>
        </c:marker>
      </c:pivotFmt>
      <c:pivotFmt>
        <c:idx val="125"/>
        <c:spPr>
          <a:ln w="28575" cap="rnd">
            <a:solidFill>
              <a:schemeClr val="accent1"/>
            </a:solidFill>
            <a:round/>
          </a:ln>
          <a:effectLst/>
        </c:spPr>
        <c:marker>
          <c:symbol val="none"/>
        </c:marker>
      </c:pivotFmt>
      <c:pivotFmt>
        <c:idx val="126"/>
        <c:spPr>
          <a:ln w="28575" cap="rnd">
            <a:solidFill>
              <a:schemeClr val="accent1"/>
            </a:solidFill>
            <a:round/>
          </a:ln>
          <a:effectLst/>
        </c:spPr>
        <c:marker>
          <c:symbol val="none"/>
        </c:marker>
      </c:pivotFmt>
      <c:pivotFmt>
        <c:idx val="127"/>
        <c:spPr>
          <a:ln w="28575" cap="rnd">
            <a:solidFill>
              <a:schemeClr val="accent1"/>
            </a:solidFill>
            <a:round/>
          </a:ln>
          <a:effectLst/>
        </c:spPr>
        <c:marker>
          <c:symbol val="none"/>
        </c:marker>
      </c:pivotFmt>
      <c:pivotFmt>
        <c:idx val="128"/>
        <c:spPr>
          <a:ln w="28575" cap="rnd">
            <a:solidFill>
              <a:schemeClr val="accent1"/>
            </a:solidFill>
            <a:round/>
          </a:ln>
          <a:effectLst/>
        </c:spPr>
        <c:marker>
          <c:symbol val="none"/>
        </c:marker>
      </c:pivotFmt>
      <c:pivotFmt>
        <c:idx val="129"/>
        <c:spPr>
          <a:ln w="28575" cap="rnd">
            <a:solidFill>
              <a:schemeClr val="accent1"/>
            </a:solidFill>
            <a:round/>
          </a:ln>
          <a:effectLst/>
        </c:spPr>
        <c:marker>
          <c:symbol val="none"/>
        </c:marker>
      </c:pivotFmt>
      <c:pivotFmt>
        <c:idx val="130"/>
        <c:spPr>
          <a:ln w="28575" cap="rnd">
            <a:solidFill>
              <a:schemeClr val="accent1"/>
            </a:solidFill>
            <a:round/>
          </a:ln>
          <a:effectLst/>
        </c:spPr>
        <c:marker>
          <c:symbol val="none"/>
        </c:marker>
      </c:pivotFmt>
      <c:pivotFmt>
        <c:idx val="131"/>
        <c:spPr>
          <a:ln w="28575" cap="rnd">
            <a:solidFill>
              <a:schemeClr val="accent1"/>
            </a:solidFill>
            <a:round/>
          </a:ln>
          <a:effectLst/>
        </c:spPr>
        <c:marker>
          <c:symbol val="none"/>
        </c:marker>
      </c:pivotFmt>
      <c:pivotFmt>
        <c:idx val="132"/>
        <c:spPr>
          <a:ln w="28575" cap="rnd">
            <a:solidFill>
              <a:schemeClr val="accent1"/>
            </a:solidFill>
            <a:round/>
          </a:ln>
          <a:effectLst/>
        </c:spPr>
        <c:marker>
          <c:symbol val="none"/>
        </c:marker>
      </c:pivotFmt>
      <c:pivotFmt>
        <c:idx val="133"/>
        <c:spPr>
          <a:ln w="28575" cap="rnd">
            <a:solidFill>
              <a:schemeClr val="accent1"/>
            </a:solidFill>
            <a:round/>
          </a:ln>
          <a:effectLst/>
        </c:spPr>
        <c:marker>
          <c:symbol val="none"/>
        </c:marker>
      </c:pivotFmt>
      <c:pivotFmt>
        <c:idx val="134"/>
        <c:spPr>
          <a:ln w="28575" cap="rnd">
            <a:solidFill>
              <a:schemeClr val="accent1"/>
            </a:solidFill>
            <a:round/>
          </a:ln>
          <a:effectLst/>
        </c:spPr>
        <c:marker>
          <c:symbol val="none"/>
        </c:marker>
      </c:pivotFmt>
      <c:pivotFmt>
        <c:idx val="135"/>
        <c:spPr>
          <a:ln w="28575" cap="rnd">
            <a:solidFill>
              <a:schemeClr val="accent1"/>
            </a:solidFill>
            <a:round/>
          </a:ln>
          <a:effectLst/>
        </c:spPr>
        <c:marker>
          <c:symbol val="none"/>
        </c:marker>
      </c:pivotFmt>
      <c:pivotFmt>
        <c:idx val="136"/>
        <c:spPr>
          <a:ln w="28575" cap="rnd">
            <a:solidFill>
              <a:schemeClr val="accent1"/>
            </a:solidFill>
            <a:round/>
          </a:ln>
          <a:effectLst/>
        </c:spPr>
        <c:marker>
          <c:symbol val="none"/>
        </c:marker>
      </c:pivotFmt>
      <c:pivotFmt>
        <c:idx val="137"/>
        <c:spPr>
          <a:ln w="28575" cap="rnd">
            <a:solidFill>
              <a:schemeClr val="accent1"/>
            </a:solidFill>
            <a:round/>
          </a:ln>
          <a:effectLst/>
        </c:spPr>
        <c:marker>
          <c:symbol val="none"/>
        </c:marker>
      </c:pivotFmt>
      <c:pivotFmt>
        <c:idx val="138"/>
        <c:spPr>
          <a:ln w="28575" cap="rnd">
            <a:solidFill>
              <a:schemeClr val="accent1"/>
            </a:solidFill>
            <a:round/>
          </a:ln>
          <a:effectLst/>
        </c:spPr>
        <c:marker>
          <c:symbol val="none"/>
        </c:marker>
      </c:pivotFmt>
      <c:pivotFmt>
        <c:idx val="139"/>
        <c:spPr>
          <a:ln w="28575" cap="rnd">
            <a:solidFill>
              <a:schemeClr val="accent1"/>
            </a:solidFill>
            <a:round/>
          </a:ln>
          <a:effectLst/>
        </c:spPr>
        <c:marker>
          <c:symbol val="none"/>
        </c:marker>
      </c:pivotFmt>
      <c:pivotFmt>
        <c:idx val="140"/>
        <c:spPr>
          <a:ln w="28575" cap="rnd">
            <a:solidFill>
              <a:schemeClr val="accent1"/>
            </a:solidFill>
            <a:round/>
          </a:ln>
          <a:effectLst/>
        </c:spPr>
        <c:marker>
          <c:symbol val="none"/>
        </c:marker>
      </c:pivotFmt>
      <c:pivotFmt>
        <c:idx val="141"/>
        <c:spPr>
          <a:ln w="28575" cap="rnd">
            <a:solidFill>
              <a:schemeClr val="accent1"/>
            </a:solidFill>
            <a:round/>
          </a:ln>
          <a:effectLst/>
        </c:spPr>
        <c:marker>
          <c:symbol val="none"/>
        </c:marker>
      </c:pivotFmt>
      <c:pivotFmt>
        <c:idx val="142"/>
        <c:spPr>
          <a:ln w="28575" cap="rnd">
            <a:solidFill>
              <a:schemeClr val="accent1"/>
            </a:solidFill>
            <a:round/>
          </a:ln>
          <a:effectLst/>
        </c:spPr>
        <c:marker>
          <c:symbol val="none"/>
        </c:marker>
      </c:pivotFmt>
      <c:pivotFmt>
        <c:idx val="143"/>
        <c:spPr>
          <a:ln w="28575" cap="rnd">
            <a:solidFill>
              <a:schemeClr val="accent1"/>
            </a:solidFill>
            <a:round/>
          </a:ln>
          <a:effectLst/>
        </c:spPr>
        <c:marker>
          <c:symbol val="none"/>
        </c:marker>
      </c:pivotFmt>
      <c:pivotFmt>
        <c:idx val="144"/>
        <c:spPr>
          <a:ln w="28575" cap="rnd">
            <a:solidFill>
              <a:schemeClr val="accent1"/>
            </a:solidFill>
            <a:round/>
          </a:ln>
          <a:effectLst/>
        </c:spPr>
        <c:marker>
          <c:symbol val="none"/>
        </c:marker>
      </c:pivotFmt>
      <c:pivotFmt>
        <c:idx val="145"/>
        <c:spPr>
          <a:ln w="28575" cap="rnd">
            <a:solidFill>
              <a:schemeClr val="accent1"/>
            </a:solidFill>
            <a:round/>
          </a:ln>
          <a:effectLst/>
        </c:spPr>
        <c:marker>
          <c:symbol val="none"/>
        </c:marker>
      </c:pivotFmt>
      <c:pivotFmt>
        <c:idx val="146"/>
        <c:spPr>
          <a:ln w="28575" cap="rnd">
            <a:solidFill>
              <a:schemeClr val="accent1"/>
            </a:solidFill>
            <a:round/>
          </a:ln>
          <a:effectLst/>
        </c:spPr>
        <c:marker>
          <c:symbol val="none"/>
        </c:marker>
      </c:pivotFmt>
      <c:pivotFmt>
        <c:idx val="147"/>
        <c:spPr>
          <a:ln w="28575" cap="rnd">
            <a:solidFill>
              <a:schemeClr val="accent1"/>
            </a:solidFill>
            <a:round/>
          </a:ln>
          <a:effectLst/>
        </c:spPr>
        <c:marker>
          <c:symbol val="none"/>
        </c:marker>
      </c:pivotFmt>
      <c:pivotFmt>
        <c:idx val="148"/>
        <c:spPr>
          <a:ln w="28575" cap="rnd">
            <a:solidFill>
              <a:schemeClr val="accent1"/>
            </a:solidFill>
            <a:round/>
          </a:ln>
          <a:effectLst/>
        </c:spPr>
        <c:marker>
          <c:symbol val="none"/>
        </c:marker>
      </c:pivotFmt>
      <c:pivotFmt>
        <c:idx val="149"/>
        <c:spPr>
          <a:ln w="28575" cap="rnd">
            <a:solidFill>
              <a:schemeClr val="accent1"/>
            </a:solidFill>
            <a:round/>
          </a:ln>
          <a:effectLst/>
        </c:spPr>
        <c:marker>
          <c:symbol val="none"/>
        </c:marker>
      </c:pivotFmt>
      <c:pivotFmt>
        <c:idx val="150"/>
        <c:spPr>
          <a:ln w="28575" cap="rnd">
            <a:solidFill>
              <a:schemeClr val="accent1"/>
            </a:solidFill>
            <a:round/>
          </a:ln>
          <a:effectLst/>
        </c:spPr>
        <c:marker>
          <c:symbol val="none"/>
        </c:marker>
      </c:pivotFmt>
      <c:pivotFmt>
        <c:idx val="151"/>
        <c:spPr>
          <a:ln w="28575" cap="rnd">
            <a:solidFill>
              <a:schemeClr val="accent1"/>
            </a:solidFill>
            <a:round/>
          </a:ln>
          <a:effectLst/>
        </c:spPr>
        <c:marker>
          <c:symbol val="none"/>
        </c:marker>
      </c:pivotFmt>
      <c:pivotFmt>
        <c:idx val="152"/>
        <c:spPr>
          <a:ln w="28575" cap="rnd">
            <a:solidFill>
              <a:schemeClr val="accent1"/>
            </a:solidFill>
            <a:round/>
          </a:ln>
          <a:effectLst/>
        </c:spPr>
        <c:marker>
          <c:symbol val="none"/>
        </c:marker>
      </c:pivotFmt>
      <c:pivotFmt>
        <c:idx val="153"/>
        <c:spPr>
          <a:ln w="28575" cap="rnd">
            <a:solidFill>
              <a:schemeClr val="accent1"/>
            </a:solidFill>
            <a:round/>
          </a:ln>
          <a:effectLst/>
        </c:spPr>
        <c:marker>
          <c:symbol val="none"/>
        </c:marker>
      </c:pivotFmt>
      <c:pivotFmt>
        <c:idx val="154"/>
        <c:spPr>
          <a:ln w="28575" cap="rnd">
            <a:solidFill>
              <a:schemeClr val="accent1"/>
            </a:solidFill>
            <a:round/>
          </a:ln>
          <a:effectLst/>
        </c:spPr>
        <c:marker>
          <c:symbol val="none"/>
        </c:marker>
      </c:pivotFmt>
      <c:pivotFmt>
        <c:idx val="155"/>
        <c:spPr>
          <a:ln w="28575" cap="rnd">
            <a:solidFill>
              <a:schemeClr val="accent1"/>
            </a:solidFill>
            <a:round/>
          </a:ln>
          <a:effectLst/>
        </c:spPr>
        <c:marker>
          <c:symbol val="none"/>
        </c:marker>
      </c:pivotFmt>
      <c:pivotFmt>
        <c:idx val="156"/>
        <c:spPr>
          <a:ln w="28575" cap="rnd">
            <a:solidFill>
              <a:schemeClr val="accent1"/>
            </a:solidFill>
            <a:round/>
          </a:ln>
          <a:effectLst/>
        </c:spPr>
        <c:marker>
          <c:symbol val="none"/>
        </c:marker>
      </c:pivotFmt>
      <c:pivotFmt>
        <c:idx val="157"/>
        <c:spPr>
          <a:ln w="28575" cap="rnd">
            <a:solidFill>
              <a:schemeClr val="accent1"/>
            </a:solidFill>
            <a:round/>
          </a:ln>
          <a:effectLst/>
        </c:spPr>
        <c:marker>
          <c:symbol val="none"/>
        </c:marker>
      </c:pivotFmt>
    </c:pivotFmts>
    <c:plotArea>
      <c:layout/>
      <c:lineChart>
        <c:grouping val="standard"/>
        <c:varyColors val="0"/>
        <c:ser>
          <c:idx val="0"/>
          <c:order val="0"/>
          <c:tx>
            <c:strRef>
              <c:f>'HE Prices'!$F$5:$F$6</c:f>
              <c:strCache>
                <c:ptCount val="1"/>
                <c:pt idx="0">
                  <c:v>DK1_Large</c:v>
                </c:pt>
              </c:strCache>
            </c:strRef>
          </c:tx>
          <c:spPr>
            <a:ln w="28575" cap="rnd">
              <a:solidFill>
                <a:schemeClr val="accent1"/>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Prices'!$F$7:$F$31</c:f>
              <c:numCache>
                <c:formatCode>General</c:formatCode>
                <c:ptCount val="24"/>
                <c:pt idx="0">
                  <c:v>4.3401036444016903</c:v>
                </c:pt>
                <c:pt idx="1">
                  <c:v>4.3401036444016903</c:v>
                </c:pt>
                <c:pt idx="2">
                  <c:v>4.3401036444016903</c:v>
                </c:pt>
                <c:pt idx="3">
                  <c:v>4.3401036444016903</c:v>
                </c:pt>
                <c:pt idx="4">
                  <c:v>4.3401036444016903</c:v>
                </c:pt>
                <c:pt idx="5">
                  <c:v>4.3401036444016903</c:v>
                </c:pt>
                <c:pt idx="6">
                  <c:v>4.5418643539956598</c:v>
                </c:pt>
                <c:pt idx="7">
                  <c:v>5.1340999969171603</c:v>
                </c:pt>
                <c:pt idx="8">
                  <c:v>5.1340999969171603</c:v>
                </c:pt>
                <c:pt idx="9">
                  <c:v>5.1340999969171603</c:v>
                </c:pt>
                <c:pt idx="10">
                  <c:v>4.6601453980551302</c:v>
                </c:pt>
                <c:pt idx="11">
                  <c:v>4.5899222649606699</c:v>
                </c:pt>
                <c:pt idx="12">
                  <c:v>4.4841652119267099</c:v>
                </c:pt>
                <c:pt idx="13">
                  <c:v>4.4841652119267099</c:v>
                </c:pt>
                <c:pt idx="14">
                  <c:v>4.4841652119267099</c:v>
                </c:pt>
                <c:pt idx="15">
                  <c:v>4.5051480948970299</c:v>
                </c:pt>
                <c:pt idx="16">
                  <c:v>4.5051480948970299</c:v>
                </c:pt>
                <c:pt idx="17">
                  <c:v>4.5051480948970299</c:v>
                </c:pt>
                <c:pt idx="18">
                  <c:v>4.3401036444016903</c:v>
                </c:pt>
                <c:pt idx="19">
                  <c:v>4.2958149430257802</c:v>
                </c:pt>
                <c:pt idx="20">
                  <c:v>4.2521934966377204</c:v>
                </c:pt>
                <c:pt idx="21">
                  <c:v>4.7197894987081197</c:v>
                </c:pt>
                <c:pt idx="22">
                  <c:v>4.7197894987081197</c:v>
                </c:pt>
                <c:pt idx="23">
                  <c:v>4.7197894987081197</c:v>
                </c:pt>
              </c:numCache>
            </c:numRef>
          </c:val>
          <c:smooth val="0"/>
          <c:extLst>
            <c:ext xmlns:c16="http://schemas.microsoft.com/office/drawing/2014/chart" uri="{C3380CC4-5D6E-409C-BE32-E72D297353CC}">
              <c16:uniqueId val="{00000000-C400-45D4-8D08-174664CD4F1F}"/>
            </c:ext>
          </c:extLst>
        </c:ser>
        <c:ser>
          <c:idx val="1"/>
          <c:order val="1"/>
          <c:tx>
            <c:strRef>
              <c:f>'HE Prices'!$G$5:$G$6</c:f>
              <c:strCache>
                <c:ptCount val="1"/>
                <c:pt idx="0">
                  <c:v>DK1_MedSmall</c:v>
                </c:pt>
              </c:strCache>
            </c:strRef>
          </c:tx>
          <c:spPr>
            <a:ln w="28575" cap="rnd">
              <a:solidFill>
                <a:schemeClr val="accent2"/>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Prices'!$G$7:$G$31</c:f>
              <c:numCache>
                <c:formatCode>General</c:formatCode>
                <c:ptCount val="24"/>
                <c:pt idx="0">
                  <c:v>26.687345373227402</c:v>
                </c:pt>
                <c:pt idx="1">
                  <c:v>26.687345373227402</c:v>
                </c:pt>
                <c:pt idx="2">
                  <c:v>26.687345373227402</c:v>
                </c:pt>
                <c:pt idx="3">
                  <c:v>26.687345373227402</c:v>
                </c:pt>
                <c:pt idx="4">
                  <c:v>26.687345373227402</c:v>
                </c:pt>
                <c:pt idx="5">
                  <c:v>27.447314562531201</c:v>
                </c:pt>
                <c:pt idx="6">
                  <c:v>27.5283874768404</c:v>
                </c:pt>
                <c:pt idx="7">
                  <c:v>27.5283874768404</c:v>
                </c:pt>
                <c:pt idx="8">
                  <c:v>27.5283874768404</c:v>
                </c:pt>
                <c:pt idx="9">
                  <c:v>27.5283874768404</c:v>
                </c:pt>
                <c:pt idx="10">
                  <c:v>27.5283874768404</c:v>
                </c:pt>
                <c:pt idx="11">
                  <c:v>27.5283874768404</c:v>
                </c:pt>
                <c:pt idx="12">
                  <c:v>27.5283874768404</c:v>
                </c:pt>
                <c:pt idx="13">
                  <c:v>27.5283874768404</c:v>
                </c:pt>
                <c:pt idx="14">
                  <c:v>27.5283874768404</c:v>
                </c:pt>
                <c:pt idx="15">
                  <c:v>27.5283874768404</c:v>
                </c:pt>
                <c:pt idx="16">
                  <c:v>27.5283874768404</c:v>
                </c:pt>
                <c:pt idx="17">
                  <c:v>27.5283874768404</c:v>
                </c:pt>
                <c:pt idx="18">
                  <c:v>27.5283874768404</c:v>
                </c:pt>
                <c:pt idx="19">
                  <c:v>27.5283874768404</c:v>
                </c:pt>
                <c:pt idx="20">
                  <c:v>27.5283874768404</c:v>
                </c:pt>
                <c:pt idx="21">
                  <c:v>27.447314562531201</c:v>
                </c:pt>
                <c:pt idx="22">
                  <c:v>27.447314562531201</c:v>
                </c:pt>
                <c:pt idx="23">
                  <c:v>27.447314562531201</c:v>
                </c:pt>
              </c:numCache>
            </c:numRef>
          </c:val>
          <c:smooth val="0"/>
          <c:extLst>
            <c:ext xmlns:c16="http://schemas.microsoft.com/office/drawing/2014/chart" uri="{C3380CC4-5D6E-409C-BE32-E72D297353CC}">
              <c16:uniqueId val="{00000001-C400-45D4-8D08-174664CD4F1F}"/>
            </c:ext>
          </c:extLst>
        </c:ser>
        <c:ser>
          <c:idx val="2"/>
          <c:order val="2"/>
          <c:tx>
            <c:strRef>
              <c:f>'HE Prices'!$H$5:$H$6</c:f>
              <c:strCache>
                <c:ptCount val="1"/>
                <c:pt idx="0">
                  <c:v>DK1_Medium</c:v>
                </c:pt>
              </c:strCache>
            </c:strRef>
          </c:tx>
          <c:spPr>
            <a:ln w="28575" cap="rnd">
              <a:solidFill>
                <a:schemeClr val="accent3"/>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Prices'!$H$7:$H$31</c:f>
              <c:numCache>
                <c:formatCode>General</c:formatCode>
                <c:ptCount val="24"/>
                <c:pt idx="0">
                  <c:v>23.987388592689602</c:v>
                </c:pt>
                <c:pt idx="1">
                  <c:v>23.987388592689602</c:v>
                </c:pt>
                <c:pt idx="2">
                  <c:v>23.987388592689602</c:v>
                </c:pt>
                <c:pt idx="3">
                  <c:v>23.987388592689602</c:v>
                </c:pt>
                <c:pt idx="4">
                  <c:v>23.987388592689602</c:v>
                </c:pt>
                <c:pt idx="5">
                  <c:v>23.987388592689602</c:v>
                </c:pt>
                <c:pt idx="6">
                  <c:v>23.724248620089199</c:v>
                </c:pt>
                <c:pt idx="7">
                  <c:v>22.556515064456999</c:v>
                </c:pt>
                <c:pt idx="8">
                  <c:v>22.580068371787899</c:v>
                </c:pt>
                <c:pt idx="9">
                  <c:v>22.580068371787899</c:v>
                </c:pt>
                <c:pt idx="10">
                  <c:v>23.514582691471801</c:v>
                </c:pt>
                <c:pt idx="11">
                  <c:v>23.653044315448899</c:v>
                </c:pt>
                <c:pt idx="12">
                  <c:v>23.817163291931202</c:v>
                </c:pt>
                <c:pt idx="13">
                  <c:v>23.817163291931202</c:v>
                </c:pt>
                <c:pt idx="14">
                  <c:v>23.817163291931202</c:v>
                </c:pt>
                <c:pt idx="15">
                  <c:v>23.796643465450501</c:v>
                </c:pt>
                <c:pt idx="16">
                  <c:v>23.796643465450501</c:v>
                </c:pt>
                <c:pt idx="17">
                  <c:v>23.817163291931202</c:v>
                </c:pt>
                <c:pt idx="18">
                  <c:v>23.987388592689602</c:v>
                </c:pt>
                <c:pt idx="19">
                  <c:v>23.987388592689602</c:v>
                </c:pt>
                <c:pt idx="20">
                  <c:v>23.987388592689602</c:v>
                </c:pt>
                <c:pt idx="21">
                  <c:v>23.987388592689602</c:v>
                </c:pt>
                <c:pt idx="22">
                  <c:v>23.987388592689602</c:v>
                </c:pt>
                <c:pt idx="23">
                  <c:v>23.987388592689602</c:v>
                </c:pt>
              </c:numCache>
            </c:numRef>
          </c:val>
          <c:smooth val="0"/>
          <c:extLst>
            <c:ext xmlns:c16="http://schemas.microsoft.com/office/drawing/2014/chart" uri="{C3380CC4-5D6E-409C-BE32-E72D297353CC}">
              <c16:uniqueId val="{00000002-C400-45D4-8D08-174664CD4F1F}"/>
            </c:ext>
          </c:extLst>
        </c:ser>
        <c:ser>
          <c:idx val="3"/>
          <c:order val="3"/>
          <c:tx>
            <c:strRef>
              <c:f>'HE Prices'!$I$5:$I$6</c:f>
              <c:strCache>
                <c:ptCount val="1"/>
                <c:pt idx="0">
                  <c:v>DK1_Rural</c:v>
                </c:pt>
              </c:strCache>
            </c:strRef>
          </c:tx>
          <c:spPr>
            <a:ln w="28575" cap="rnd">
              <a:solidFill>
                <a:schemeClr val="accent4"/>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Prices'!$I$7:$I$31</c:f>
              <c:numCache>
                <c:formatCode>General</c:formatCode>
                <c:ptCount val="24"/>
                <c:pt idx="0">
                  <c:v>22.029933635117999</c:v>
                </c:pt>
                <c:pt idx="1">
                  <c:v>22.029933635117999</c:v>
                </c:pt>
                <c:pt idx="2">
                  <c:v>22.029933635117999</c:v>
                </c:pt>
                <c:pt idx="3">
                  <c:v>22.029933635117999</c:v>
                </c:pt>
                <c:pt idx="4">
                  <c:v>22.029933635117999</c:v>
                </c:pt>
                <c:pt idx="5">
                  <c:v>22.029933635117999</c:v>
                </c:pt>
                <c:pt idx="6">
                  <c:v>23.530064317609899</c:v>
                </c:pt>
                <c:pt idx="7">
                  <c:v>24.1036645442089</c:v>
                </c:pt>
                <c:pt idx="8">
                  <c:v>24.1036645442089</c:v>
                </c:pt>
                <c:pt idx="9">
                  <c:v>24.1036645442089</c:v>
                </c:pt>
                <c:pt idx="10">
                  <c:v>24.1036645442089</c:v>
                </c:pt>
                <c:pt idx="11">
                  <c:v>24.1036645442089</c:v>
                </c:pt>
                <c:pt idx="12">
                  <c:v>24.1036645442089</c:v>
                </c:pt>
                <c:pt idx="13">
                  <c:v>24.1036645442089</c:v>
                </c:pt>
                <c:pt idx="14">
                  <c:v>24.1036645442089</c:v>
                </c:pt>
                <c:pt idx="15">
                  <c:v>24.1036645442089</c:v>
                </c:pt>
                <c:pt idx="16">
                  <c:v>24.1036645442089</c:v>
                </c:pt>
                <c:pt idx="17">
                  <c:v>24.1036645442089</c:v>
                </c:pt>
                <c:pt idx="18">
                  <c:v>24.1036645442089</c:v>
                </c:pt>
                <c:pt idx="19">
                  <c:v>24.1036645442089</c:v>
                </c:pt>
                <c:pt idx="20">
                  <c:v>24.1036645442089</c:v>
                </c:pt>
                <c:pt idx="21">
                  <c:v>22.475591039742099</c:v>
                </c:pt>
                <c:pt idx="22">
                  <c:v>22.475591039742099</c:v>
                </c:pt>
                <c:pt idx="23">
                  <c:v>22.475591039742099</c:v>
                </c:pt>
              </c:numCache>
            </c:numRef>
          </c:val>
          <c:smooth val="0"/>
          <c:extLst>
            <c:ext xmlns:c16="http://schemas.microsoft.com/office/drawing/2014/chart" uri="{C3380CC4-5D6E-409C-BE32-E72D297353CC}">
              <c16:uniqueId val="{00000003-C400-45D4-8D08-174664CD4F1F}"/>
            </c:ext>
          </c:extLst>
        </c:ser>
        <c:ser>
          <c:idx val="4"/>
          <c:order val="4"/>
          <c:tx>
            <c:strRef>
              <c:f>'HE Prices'!$J$5:$J$6</c:f>
              <c:strCache>
                <c:ptCount val="1"/>
                <c:pt idx="0">
                  <c:v>DK1_Small</c:v>
                </c:pt>
              </c:strCache>
            </c:strRef>
          </c:tx>
          <c:spPr>
            <a:ln w="28575" cap="rnd">
              <a:solidFill>
                <a:schemeClr val="accent5"/>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Prices'!$J$7:$J$31</c:f>
              <c:numCache>
                <c:formatCode>General</c:formatCode>
                <c:ptCount val="24"/>
                <c:pt idx="0">
                  <c:v>6.7026328993122002</c:v>
                </c:pt>
                <c:pt idx="1">
                  <c:v>6.7026328993122002</c:v>
                </c:pt>
                <c:pt idx="2">
                  <c:v>6.7026328993122002</c:v>
                </c:pt>
                <c:pt idx="3">
                  <c:v>6.7026328993122002</c:v>
                </c:pt>
                <c:pt idx="4">
                  <c:v>6.7026328993122002</c:v>
                </c:pt>
                <c:pt idx="5">
                  <c:v>6.7026328993122002</c:v>
                </c:pt>
                <c:pt idx="6">
                  <c:v>6.7060021300814299</c:v>
                </c:pt>
                <c:pt idx="7">
                  <c:v>7.1150184117522004</c:v>
                </c:pt>
                <c:pt idx="8">
                  <c:v>7.1150184117522004</c:v>
                </c:pt>
                <c:pt idx="9">
                  <c:v>7.1150184117522004</c:v>
                </c:pt>
                <c:pt idx="10">
                  <c:v>7.1150184117522004</c:v>
                </c:pt>
                <c:pt idx="11">
                  <c:v>7.1150184117522004</c:v>
                </c:pt>
                <c:pt idx="12">
                  <c:v>7.1150184117522004</c:v>
                </c:pt>
                <c:pt idx="13">
                  <c:v>7.1150184117522004</c:v>
                </c:pt>
                <c:pt idx="14">
                  <c:v>7.1150184117522004</c:v>
                </c:pt>
                <c:pt idx="15">
                  <c:v>7.1150184117522004</c:v>
                </c:pt>
                <c:pt idx="16">
                  <c:v>7.1150184117522004</c:v>
                </c:pt>
                <c:pt idx="17">
                  <c:v>7.1150184117522004</c:v>
                </c:pt>
                <c:pt idx="18">
                  <c:v>7.1150184117522004</c:v>
                </c:pt>
                <c:pt idx="19">
                  <c:v>7.1150184117522004</c:v>
                </c:pt>
                <c:pt idx="20">
                  <c:v>6.7060021300814299</c:v>
                </c:pt>
                <c:pt idx="21">
                  <c:v>6.7026328993122002</c:v>
                </c:pt>
                <c:pt idx="22">
                  <c:v>6.7026328993122002</c:v>
                </c:pt>
                <c:pt idx="23">
                  <c:v>6.7026328993122002</c:v>
                </c:pt>
              </c:numCache>
            </c:numRef>
          </c:val>
          <c:smooth val="0"/>
          <c:extLst>
            <c:ext xmlns:c16="http://schemas.microsoft.com/office/drawing/2014/chart" uri="{C3380CC4-5D6E-409C-BE32-E72D297353CC}">
              <c16:uniqueId val="{00000004-C400-45D4-8D08-174664CD4F1F}"/>
            </c:ext>
          </c:extLst>
        </c:ser>
        <c:ser>
          <c:idx val="5"/>
          <c:order val="5"/>
          <c:tx>
            <c:strRef>
              <c:f>'HE Prices'!$K$5:$K$6</c:f>
              <c:strCache>
                <c:ptCount val="1"/>
                <c:pt idx="0">
                  <c:v>DK2_Large</c:v>
                </c:pt>
              </c:strCache>
            </c:strRef>
          </c:tx>
          <c:spPr>
            <a:ln w="28575" cap="rnd">
              <a:solidFill>
                <a:schemeClr val="accent6"/>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Prices'!$K$7:$K$31</c:f>
              <c:numCache>
                <c:formatCode>General</c:formatCode>
                <c:ptCount val="24"/>
                <c:pt idx="0">
                  <c:v>24.304375127093898</c:v>
                </c:pt>
                <c:pt idx="1">
                  <c:v>24.304375127093898</c:v>
                </c:pt>
                <c:pt idx="2">
                  <c:v>24.304375127093898</c:v>
                </c:pt>
                <c:pt idx="3">
                  <c:v>24.304375127093898</c:v>
                </c:pt>
                <c:pt idx="4">
                  <c:v>24.1132793717087</c:v>
                </c:pt>
                <c:pt idx="5">
                  <c:v>24.847089572729701</c:v>
                </c:pt>
                <c:pt idx="6">
                  <c:v>24.847089572729701</c:v>
                </c:pt>
                <c:pt idx="7">
                  <c:v>24.146407724429402</c:v>
                </c:pt>
                <c:pt idx="8">
                  <c:v>24.847089572729701</c:v>
                </c:pt>
                <c:pt idx="9">
                  <c:v>24.146407724429402</c:v>
                </c:pt>
                <c:pt idx="10">
                  <c:v>24.847089572729701</c:v>
                </c:pt>
                <c:pt idx="11">
                  <c:v>24.847089572729701</c:v>
                </c:pt>
                <c:pt idx="12">
                  <c:v>24.847089572729701</c:v>
                </c:pt>
                <c:pt idx="13">
                  <c:v>24.847089572729701</c:v>
                </c:pt>
                <c:pt idx="14">
                  <c:v>24.847089572729701</c:v>
                </c:pt>
                <c:pt idx="15">
                  <c:v>24.847089572729701</c:v>
                </c:pt>
                <c:pt idx="16">
                  <c:v>24.847089572729701</c:v>
                </c:pt>
                <c:pt idx="17">
                  <c:v>24.847089572729701</c:v>
                </c:pt>
                <c:pt idx="18">
                  <c:v>24.847089572729701</c:v>
                </c:pt>
                <c:pt idx="19">
                  <c:v>24.847089572729701</c:v>
                </c:pt>
                <c:pt idx="20">
                  <c:v>24.847089572729701</c:v>
                </c:pt>
                <c:pt idx="21">
                  <c:v>24.847089572729701</c:v>
                </c:pt>
                <c:pt idx="22">
                  <c:v>24.6669974075635</c:v>
                </c:pt>
                <c:pt idx="23">
                  <c:v>24.803711242758698</c:v>
                </c:pt>
              </c:numCache>
            </c:numRef>
          </c:val>
          <c:smooth val="0"/>
          <c:extLst>
            <c:ext xmlns:c16="http://schemas.microsoft.com/office/drawing/2014/chart" uri="{C3380CC4-5D6E-409C-BE32-E72D297353CC}">
              <c16:uniqueId val="{00000005-C400-45D4-8D08-174664CD4F1F}"/>
            </c:ext>
          </c:extLst>
        </c:ser>
        <c:ser>
          <c:idx val="6"/>
          <c:order val="6"/>
          <c:tx>
            <c:strRef>
              <c:f>'HE Prices'!$L$5:$L$6</c:f>
              <c:strCache>
                <c:ptCount val="1"/>
                <c:pt idx="0">
                  <c:v>DK2_MedSmall</c:v>
                </c:pt>
              </c:strCache>
            </c:strRef>
          </c:tx>
          <c:spPr>
            <a:ln w="28575" cap="rnd">
              <a:solidFill>
                <a:schemeClr val="accent1">
                  <a:lumMod val="6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Prices'!$L$7:$L$31</c:f>
              <c:numCache>
                <c:formatCode>General</c:formatCode>
                <c:ptCount val="24"/>
                <c:pt idx="0">
                  <c:v>21.659624544208899</c:v>
                </c:pt>
                <c:pt idx="1">
                  <c:v>21.659624544208899</c:v>
                </c:pt>
                <c:pt idx="2">
                  <c:v>21.659624544208899</c:v>
                </c:pt>
                <c:pt idx="3">
                  <c:v>21.659624544208899</c:v>
                </c:pt>
                <c:pt idx="4">
                  <c:v>21.659624544208899</c:v>
                </c:pt>
                <c:pt idx="5">
                  <c:v>22.195291909539002</c:v>
                </c:pt>
                <c:pt idx="6">
                  <c:v>22.195291909539002</c:v>
                </c:pt>
                <c:pt idx="7">
                  <c:v>21.993282364848199</c:v>
                </c:pt>
                <c:pt idx="8">
                  <c:v>21.993282364848199</c:v>
                </c:pt>
                <c:pt idx="9">
                  <c:v>21.993282364848199</c:v>
                </c:pt>
                <c:pt idx="10">
                  <c:v>22.9687670409274</c:v>
                </c:pt>
                <c:pt idx="11">
                  <c:v>23.113299007500601</c:v>
                </c:pt>
                <c:pt idx="12">
                  <c:v>23.287779651897701</c:v>
                </c:pt>
                <c:pt idx="13">
                  <c:v>23.287779651897701</c:v>
                </c:pt>
                <c:pt idx="14">
                  <c:v>23.287779651897701</c:v>
                </c:pt>
                <c:pt idx="15">
                  <c:v>23.287779651897701</c:v>
                </c:pt>
                <c:pt idx="16">
                  <c:v>23.287779651897701</c:v>
                </c:pt>
                <c:pt idx="17">
                  <c:v>23.287779651897701</c:v>
                </c:pt>
                <c:pt idx="18">
                  <c:v>23.287779651897701</c:v>
                </c:pt>
                <c:pt idx="19">
                  <c:v>23.287779651897701</c:v>
                </c:pt>
                <c:pt idx="20">
                  <c:v>23.287779651897701</c:v>
                </c:pt>
                <c:pt idx="21">
                  <c:v>22.195291909539002</c:v>
                </c:pt>
                <c:pt idx="22">
                  <c:v>22.195291909539002</c:v>
                </c:pt>
                <c:pt idx="23">
                  <c:v>22.195291909539002</c:v>
                </c:pt>
              </c:numCache>
            </c:numRef>
          </c:val>
          <c:smooth val="0"/>
          <c:extLst>
            <c:ext xmlns:c16="http://schemas.microsoft.com/office/drawing/2014/chart" uri="{C3380CC4-5D6E-409C-BE32-E72D297353CC}">
              <c16:uniqueId val="{00000006-C400-45D4-8D08-174664CD4F1F}"/>
            </c:ext>
          </c:extLst>
        </c:ser>
        <c:ser>
          <c:idx val="7"/>
          <c:order val="7"/>
          <c:tx>
            <c:strRef>
              <c:f>'HE Prices'!$M$5:$M$6</c:f>
              <c:strCache>
                <c:ptCount val="1"/>
                <c:pt idx="0">
                  <c:v>DK2_Medium</c:v>
                </c:pt>
              </c:strCache>
            </c:strRef>
          </c:tx>
          <c:spPr>
            <a:ln w="28575" cap="rnd">
              <a:solidFill>
                <a:schemeClr val="accent2">
                  <a:lumMod val="6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Prices'!$M$7:$M$31</c:f>
              <c:numCache>
                <c:formatCode>General</c:formatCode>
                <c:ptCount val="24"/>
                <c:pt idx="0">
                  <c:v>4.1211926048478897</c:v>
                </c:pt>
                <c:pt idx="1">
                  <c:v>4.1211926048478897</c:v>
                </c:pt>
                <c:pt idx="2">
                  <c:v>4.1211926048478897</c:v>
                </c:pt>
                <c:pt idx="3">
                  <c:v>4.1211926048478897</c:v>
                </c:pt>
                <c:pt idx="4">
                  <c:v>3.6366055301495801</c:v>
                </c:pt>
                <c:pt idx="5">
                  <c:v>4.4860425756262403</c:v>
                </c:pt>
                <c:pt idx="6">
                  <c:v>4.7160306197345596</c:v>
                </c:pt>
                <c:pt idx="7">
                  <c:v>4.7160306197345596</c:v>
                </c:pt>
                <c:pt idx="8">
                  <c:v>4.7160306197345596</c:v>
                </c:pt>
                <c:pt idx="9">
                  <c:v>4.7160306197345596</c:v>
                </c:pt>
                <c:pt idx="10">
                  <c:v>4.7160306197345596</c:v>
                </c:pt>
                <c:pt idx="11">
                  <c:v>4.7160306197345596</c:v>
                </c:pt>
                <c:pt idx="12">
                  <c:v>4.6807730082742296</c:v>
                </c:pt>
                <c:pt idx="13">
                  <c:v>4.6807730082742198</c:v>
                </c:pt>
                <c:pt idx="14">
                  <c:v>4.6807730082742198</c:v>
                </c:pt>
                <c:pt idx="15">
                  <c:v>4.7026758088695502</c:v>
                </c:pt>
                <c:pt idx="16">
                  <c:v>4.7026758088695502</c:v>
                </c:pt>
                <c:pt idx="17">
                  <c:v>4.7026758088695502</c:v>
                </c:pt>
                <c:pt idx="18">
                  <c:v>4.5303955891458099</c:v>
                </c:pt>
                <c:pt idx="19">
                  <c:v>4.4841652119267099</c:v>
                </c:pt>
                <c:pt idx="20">
                  <c:v>4.4386313430456301</c:v>
                </c:pt>
                <c:pt idx="21">
                  <c:v>4.7160306197345596</c:v>
                </c:pt>
                <c:pt idx="22">
                  <c:v>4.7160306197345596</c:v>
                </c:pt>
                <c:pt idx="23">
                  <c:v>4.7160306197345596</c:v>
                </c:pt>
              </c:numCache>
            </c:numRef>
          </c:val>
          <c:smooth val="0"/>
          <c:extLst>
            <c:ext xmlns:c16="http://schemas.microsoft.com/office/drawing/2014/chart" uri="{C3380CC4-5D6E-409C-BE32-E72D297353CC}">
              <c16:uniqueId val="{00000007-C400-45D4-8D08-174664CD4F1F}"/>
            </c:ext>
          </c:extLst>
        </c:ser>
        <c:ser>
          <c:idx val="8"/>
          <c:order val="8"/>
          <c:tx>
            <c:strRef>
              <c:f>'HE Prices'!$N$5:$N$6</c:f>
              <c:strCache>
                <c:ptCount val="1"/>
                <c:pt idx="0">
                  <c:v>DK2_Rural</c:v>
                </c:pt>
              </c:strCache>
            </c:strRef>
          </c:tx>
          <c:spPr>
            <a:ln w="28575" cap="rnd">
              <a:solidFill>
                <a:schemeClr val="accent3">
                  <a:lumMod val="6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Prices'!$N$7:$N$31</c:f>
              <c:numCache>
                <c:formatCode>General</c:formatCode>
                <c:ptCount val="24"/>
                <c:pt idx="0">
                  <c:v>19.7725888531149</c:v>
                </c:pt>
                <c:pt idx="1">
                  <c:v>19.7725888531149</c:v>
                </c:pt>
                <c:pt idx="2">
                  <c:v>19.7725888531149</c:v>
                </c:pt>
                <c:pt idx="3">
                  <c:v>19.7725888531149</c:v>
                </c:pt>
                <c:pt idx="4">
                  <c:v>19.7725888531149</c:v>
                </c:pt>
                <c:pt idx="5">
                  <c:v>19.7725888531149</c:v>
                </c:pt>
                <c:pt idx="6">
                  <c:v>20.147131001826899</c:v>
                </c:pt>
                <c:pt idx="7">
                  <c:v>20.147131001826899</c:v>
                </c:pt>
                <c:pt idx="8">
                  <c:v>20.147131001826899</c:v>
                </c:pt>
                <c:pt idx="9">
                  <c:v>20.147131001826899</c:v>
                </c:pt>
                <c:pt idx="10">
                  <c:v>20.147131001826899</c:v>
                </c:pt>
                <c:pt idx="11">
                  <c:v>20.147131001826899</c:v>
                </c:pt>
                <c:pt idx="12">
                  <c:v>20.147131001826899</c:v>
                </c:pt>
                <c:pt idx="13">
                  <c:v>20.147131001826899</c:v>
                </c:pt>
                <c:pt idx="14">
                  <c:v>20.147131001826899</c:v>
                </c:pt>
                <c:pt idx="15">
                  <c:v>20.147131001826899</c:v>
                </c:pt>
                <c:pt idx="16">
                  <c:v>20.147131001826899</c:v>
                </c:pt>
                <c:pt idx="17">
                  <c:v>20.147131001826899</c:v>
                </c:pt>
                <c:pt idx="18">
                  <c:v>20.147131001826899</c:v>
                </c:pt>
                <c:pt idx="19">
                  <c:v>20.147131001826899</c:v>
                </c:pt>
                <c:pt idx="20">
                  <c:v>20.147131001826899</c:v>
                </c:pt>
                <c:pt idx="21">
                  <c:v>20.147131001826899</c:v>
                </c:pt>
                <c:pt idx="22">
                  <c:v>20.147131001826899</c:v>
                </c:pt>
                <c:pt idx="23">
                  <c:v>20.147131001826899</c:v>
                </c:pt>
              </c:numCache>
            </c:numRef>
          </c:val>
          <c:smooth val="0"/>
          <c:extLst>
            <c:ext xmlns:c16="http://schemas.microsoft.com/office/drawing/2014/chart" uri="{C3380CC4-5D6E-409C-BE32-E72D297353CC}">
              <c16:uniqueId val="{00000008-C400-45D4-8D08-174664CD4F1F}"/>
            </c:ext>
          </c:extLst>
        </c:ser>
        <c:ser>
          <c:idx val="9"/>
          <c:order val="9"/>
          <c:tx>
            <c:strRef>
              <c:f>'HE Prices'!$O$5:$O$6</c:f>
              <c:strCache>
                <c:ptCount val="1"/>
                <c:pt idx="0">
                  <c:v>DK2_Small</c:v>
                </c:pt>
              </c:strCache>
            </c:strRef>
          </c:tx>
          <c:spPr>
            <a:ln w="28575" cap="rnd">
              <a:solidFill>
                <a:schemeClr val="accent4">
                  <a:lumMod val="6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Prices'!$O$7:$O$31</c:f>
              <c:numCache>
                <c:formatCode>General</c:formatCode>
                <c:ptCount val="24"/>
                <c:pt idx="0">
                  <c:v>26.687345373227402</c:v>
                </c:pt>
                <c:pt idx="1">
                  <c:v>26.687345373227402</c:v>
                </c:pt>
                <c:pt idx="2">
                  <c:v>26.687345373227402</c:v>
                </c:pt>
                <c:pt idx="3">
                  <c:v>26.687345373227402</c:v>
                </c:pt>
                <c:pt idx="4">
                  <c:v>26.687345373227402</c:v>
                </c:pt>
                <c:pt idx="5">
                  <c:v>26.717658333748599</c:v>
                </c:pt>
                <c:pt idx="6">
                  <c:v>27.447314562531201</c:v>
                </c:pt>
                <c:pt idx="7">
                  <c:v>27.447314562531201</c:v>
                </c:pt>
                <c:pt idx="8">
                  <c:v>27.447314562531201</c:v>
                </c:pt>
                <c:pt idx="9">
                  <c:v>27.447314562531201</c:v>
                </c:pt>
                <c:pt idx="10">
                  <c:v>27.447314562531201</c:v>
                </c:pt>
                <c:pt idx="11">
                  <c:v>27.447314562531201</c:v>
                </c:pt>
                <c:pt idx="12">
                  <c:v>27.447314562531201</c:v>
                </c:pt>
                <c:pt idx="13">
                  <c:v>27.447314562531201</c:v>
                </c:pt>
                <c:pt idx="14">
                  <c:v>27.447314562531201</c:v>
                </c:pt>
                <c:pt idx="15">
                  <c:v>27.447314562531201</c:v>
                </c:pt>
                <c:pt idx="16">
                  <c:v>27.447314562531201</c:v>
                </c:pt>
                <c:pt idx="17">
                  <c:v>27.447314562531201</c:v>
                </c:pt>
                <c:pt idx="18">
                  <c:v>27.447314562531201</c:v>
                </c:pt>
                <c:pt idx="19">
                  <c:v>27.447314562531201</c:v>
                </c:pt>
                <c:pt idx="20">
                  <c:v>27.447314562531201</c:v>
                </c:pt>
                <c:pt idx="21">
                  <c:v>27.447314562531201</c:v>
                </c:pt>
                <c:pt idx="22">
                  <c:v>27.447314562531201</c:v>
                </c:pt>
                <c:pt idx="23">
                  <c:v>27.447314562531201</c:v>
                </c:pt>
              </c:numCache>
            </c:numRef>
          </c:val>
          <c:smooth val="0"/>
          <c:extLst>
            <c:ext xmlns:c16="http://schemas.microsoft.com/office/drawing/2014/chart" uri="{C3380CC4-5D6E-409C-BE32-E72D297353CC}">
              <c16:uniqueId val="{00000009-C400-45D4-8D08-174664CD4F1F}"/>
            </c:ext>
          </c:extLst>
        </c:ser>
        <c:ser>
          <c:idx val="10"/>
          <c:order val="10"/>
          <c:tx>
            <c:strRef>
              <c:f>'HE Prices'!$P$5:$P$6</c:f>
              <c:strCache>
                <c:ptCount val="1"/>
                <c:pt idx="0">
                  <c:v>NO1_A1</c:v>
                </c:pt>
              </c:strCache>
            </c:strRef>
          </c:tx>
          <c:spPr>
            <a:ln w="28575" cap="rnd">
              <a:solidFill>
                <a:schemeClr val="accent5">
                  <a:lumMod val="6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Prices'!$P$7:$P$31</c:f>
              <c:numCache>
                <c:formatCode>General</c:formatCode>
                <c:ptCount val="24"/>
                <c:pt idx="0">
                  <c:v>2.8159009434003002</c:v>
                </c:pt>
                <c:pt idx="1">
                  <c:v>2.8159009434003002</c:v>
                </c:pt>
                <c:pt idx="2">
                  <c:v>2.8159009434003002</c:v>
                </c:pt>
                <c:pt idx="3">
                  <c:v>2.8159009434003002</c:v>
                </c:pt>
                <c:pt idx="4">
                  <c:v>2.8159009434003002</c:v>
                </c:pt>
                <c:pt idx="5">
                  <c:v>2.8159009434003002</c:v>
                </c:pt>
                <c:pt idx="6">
                  <c:v>7.1474774454442498</c:v>
                </c:pt>
                <c:pt idx="7">
                  <c:v>7.1474774454442498</c:v>
                </c:pt>
                <c:pt idx="8">
                  <c:v>7.1474774454442498</c:v>
                </c:pt>
                <c:pt idx="9">
                  <c:v>7.1474774454442498</c:v>
                </c:pt>
                <c:pt idx="10">
                  <c:v>7.1474774454442498</c:v>
                </c:pt>
                <c:pt idx="11">
                  <c:v>7.1474774454442498</c:v>
                </c:pt>
                <c:pt idx="12">
                  <c:v>7.1474774454442498</c:v>
                </c:pt>
                <c:pt idx="13">
                  <c:v>7.1474774454442498</c:v>
                </c:pt>
                <c:pt idx="14">
                  <c:v>7.1474774454442498</c:v>
                </c:pt>
                <c:pt idx="15">
                  <c:v>2.8159009434003002</c:v>
                </c:pt>
                <c:pt idx="16">
                  <c:v>2.8159009434003002</c:v>
                </c:pt>
                <c:pt idx="17">
                  <c:v>2.8159009434003002</c:v>
                </c:pt>
                <c:pt idx="18">
                  <c:v>2.8159009434003002</c:v>
                </c:pt>
                <c:pt idx="19">
                  <c:v>2.8159009434003002</c:v>
                </c:pt>
                <c:pt idx="20">
                  <c:v>2.8159009434003002</c:v>
                </c:pt>
                <c:pt idx="21">
                  <c:v>2.8159009434003002</c:v>
                </c:pt>
                <c:pt idx="22">
                  <c:v>2.8159009434003002</c:v>
                </c:pt>
                <c:pt idx="23">
                  <c:v>2.8159009434003002</c:v>
                </c:pt>
              </c:numCache>
            </c:numRef>
          </c:val>
          <c:smooth val="0"/>
          <c:extLst>
            <c:ext xmlns:c16="http://schemas.microsoft.com/office/drawing/2014/chart" uri="{C3380CC4-5D6E-409C-BE32-E72D297353CC}">
              <c16:uniqueId val="{0000000A-C400-45D4-8D08-174664CD4F1F}"/>
            </c:ext>
          </c:extLst>
        </c:ser>
        <c:ser>
          <c:idx val="11"/>
          <c:order val="11"/>
          <c:tx>
            <c:strRef>
              <c:f>'HE Prices'!$Q$5:$Q$6</c:f>
              <c:strCache>
                <c:ptCount val="1"/>
                <c:pt idx="0">
                  <c:v>NO1_A2</c:v>
                </c:pt>
              </c:strCache>
            </c:strRef>
          </c:tx>
          <c:spPr>
            <a:ln w="28575" cap="rnd">
              <a:solidFill>
                <a:schemeClr val="accent6">
                  <a:lumMod val="6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Prices'!$Q$7:$Q$31</c:f>
              <c:numCache>
                <c:formatCode>General</c:formatCode>
                <c:ptCount val="24"/>
                <c:pt idx="0">
                  <c:v>6.9570026249254804</c:v>
                </c:pt>
                <c:pt idx="1">
                  <c:v>6.9570026249254804</c:v>
                </c:pt>
                <c:pt idx="2">
                  <c:v>6.9570026249254804</c:v>
                </c:pt>
                <c:pt idx="3">
                  <c:v>6.9570026249254804</c:v>
                </c:pt>
                <c:pt idx="4">
                  <c:v>6.9570026249254804</c:v>
                </c:pt>
                <c:pt idx="5">
                  <c:v>11.0766483348796</c:v>
                </c:pt>
                <c:pt idx="6">
                  <c:v>11.5065318470497</c:v>
                </c:pt>
                <c:pt idx="7">
                  <c:v>11.5065318470497</c:v>
                </c:pt>
                <c:pt idx="8">
                  <c:v>11.5065318470497</c:v>
                </c:pt>
                <c:pt idx="9">
                  <c:v>11.5065318470497</c:v>
                </c:pt>
                <c:pt idx="10">
                  <c:v>11.5065318470497</c:v>
                </c:pt>
                <c:pt idx="11">
                  <c:v>11.5065318470497</c:v>
                </c:pt>
                <c:pt idx="12">
                  <c:v>11.5065318470497</c:v>
                </c:pt>
                <c:pt idx="13">
                  <c:v>11.5065318470497</c:v>
                </c:pt>
                <c:pt idx="14">
                  <c:v>11.5065318470497</c:v>
                </c:pt>
                <c:pt idx="15">
                  <c:v>11.5065318470497</c:v>
                </c:pt>
                <c:pt idx="16">
                  <c:v>11.5065318470497</c:v>
                </c:pt>
                <c:pt idx="17">
                  <c:v>6.9570026249254804</c:v>
                </c:pt>
                <c:pt idx="18">
                  <c:v>6.9570026249254804</c:v>
                </c:pt>
                <c:pt idx="19">
                  <c:v>6.9570026249254804</c:v>
                </c:pt>
                <c:pt idx="20">
                  <c:v>6.9570026249254804</c:v>
                </c:pt>
                <c:pt idx="21">
                  <c:v>6.9570026249254804</c:v>
                </c:pt>
                <c:pt idx="22">
                  <c:v>6.9570026249254804</c:v>
                </c:pt>
                <c:pt idx="23">
                  <c:v>6.9570026249254804</c:v>
                </c:pt>
              </c:numCache>
            </c:numRef>
          </c:val>
          <c:smooth val="0"/>
          <c:extLst>
            <c:ext xmlns:c16="http://schemas.microsoft.com/office/drawing/2014/chart" uri="{C3380CC4-5D6E-409C-BE32-E72D297353CC}">
              <c16:uniqueId val="{0000000B-C400-45D4-8D08-174664CD4F1F}"/>
            </c:ext>
          </c:extLst>
        </c:ser>
        <c:ser>
          <c:idx val="12"/>
          <c:order val="12"/>
          <c:tx>
            <c:strRef>
              <c:f>'HE Prices'!$R$5:$R$6</c:f>
              <c:strCache>
                <c:ptCount val="1"/>
                <c:pt idx="0">
                  <c:v>NO2_A1</c:v>
                </c:pt>
              </c:strCache>
            </c:strRef>
          </c:tx>
          <c:spPr>
            <a:ln w="28575" cap="rnd">
              <a:solidFill>
                <a:schemeClr val="accent1">
                  <a:lumMod val="80000"/>
                  <a:lumOff val="2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Prices'!$R$7:$R$31</c:f>
              <c:numCache>
                <c:formatCode>General</c:formatCode>
                <c:ptCount val="24"/>
                <c:pt idx="0">
                  <c:v>0.36054331068765499</c:v>
                </c:pt>
                <c:pt idx="1">
                  <c:v>0.36054331068765499</c:v>
                </c:pt>
                <c:pt idx="2">
                  <c:v>0.36054331068765499</c:v>
                </c:pt>
                <c:pt idx="3">
                  <c:v>0.36054331068765499</c:v>
                </c:pt>
                <c:pt idx="4">
                  <c:v>0.36054331068765499</c:v>
                </c:pt>
                <c:pt idx="5">
                  <c:v>1.59778999058824</c:v>
                </c:pt>
                <c:pt idx="6">
                  <c:v>1.59778999058824</c:v>
                </c:pt>
                <c:pt idx="7">
                  <c:v>1.59778999058824</c:v>
                </c:pt>
                <c:pt idx="8">
                  <c:v>1.59778999058824</c:v>
                </c:pt>
                <c:pt idx="9">
                  <c:v>1.59778999058824</c:v>
                </c:pt>
                <c:pt idx="10">
                  <c:v>1.59778999058824</c:v>
                </c:pt>
                <c:pt idx="11">
                  <c:v>1.59778999058824</c:v>
                </c:pt>
                <c:pt idx="12">
                  <c:v>1.59778999058824</c:v>
                </c:pt>
                <c:pt idx="13">
                  <c:v>1.59778999058824</c:v>
                </c:pt>
                <c:pt idx="14">
                  <c:v>1.59778999058824</c:v>
                </c:pt>
                <c:pt idx="15">
                  <c:v>1.59778999058824</c:v>
                </c:pt>
                <c:pt idx="16">
                  <c:v>1.59778999058824</c:v>
                </c:pt>
                <c:pt idx="17">
                  <c:v>1.59778999058824</c:v>
                </c:pt>
                <c:pt idx="18">
                  <c:v>0.36054331068765499</c:v>
                </c:pt>
                <c:pt idx="19">
                  <c:v>0.36054331068765499</c:v>
                </c:pt>
                <c:pt idx="20">
                  <c:v>0.36054331068765499</c:v>
                </c:pt>
                <c:pt idx="21">
                  <c:v>0.36054331068765499</c:v>
                </c:pt>
                <c:pt idx="22">
                  <c:v>-2.3669717157854402</c:v>
                </c:pt>
                <c:pt idx="23">
                  <c:v>-2.3669717157854402</c:v>
                </c:pt>
              </c:numCache>
            </c:numRef>
          </c:val>
          <c:smooth val="0"/>
          <c:extLst>
            <c:ext xmlns:c16="http://schemas.microsoft.com/office/drawing/2014/chart" uri="{C3380CC4-5D6E-409C-BE32-E72D297353CC}">
              <c16:uniqueId val="{00000000-BC5E-47F8-A4BE-F3F99D5880DE}"/>
            </c:ext>
          </c:extLst>
        </c:ser>
        <c:ser>
          <c:idx val="13"/>
          <c:order val="13"/>
          <c:tx>
            <c:strRef>
              <c:f>'HE Prices'!$S$5:$S$6</c:f>
              <c:strCache>
                <c:ptCount val="1"/>
                <c:pt idx="0">
                  <c:v>NO3_A1</c:v>
                </c:pt>
              </c:strCache>
            </c:strRef>
          </c:tx>
          <c:spPr>
            <a:ln w="28575" cap="rnd">
              <a:solidFill>
                <a:schemeClr val="accent2">
                  <a:lumMod val="80000"/>
                  <a:lumOff val="2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Prices'!$S$7:$S$31</c:f>
              <c:numCache>
                <c:formatCode>General</c:formatCode>
                <c:ptCount val="24"/>
                <c:pt idx="0">
                  <c:v>1.59778999058824</c:v>
                </c:pt>
                <c:pt idx="1">
                  <c:v>1.59778999058824</c:v>
                </c:pt>
                <c:pt idx="2">
                  <c:v>1.59778999058824</c:v>
                </c:pt>
                <c:pt idx="3">
                  <c:v>1.59778999058824</c:v>
                </c:pt>
                <c:pt idx="4">
                  <c:v>1.59778999058824</c:v>
                </c:pt>
                <c:pt idx="5">
                  <c:v>1.59778999058824</c:v>
                </c:pt>
                <c:pt idx="6">
                  <c:v>1.59778999058824</c:v>
                </c:pt>
                <c:pt idx="7">
                  <c:v>1.59778999058824</c:v>
                </c:pt>
                <c:pt idx="8">
                  <c:v>1.59778999058824</c:v>
                </c:pt>
                <c:pt idx="9">
                  <c:v>1.59778999058824</c:v>
                </c:pt>
                <c:pt idx="10">
                  <c:v>1.59778999058824</c:v>
                </c:pt>
                <c:pt idx="11">
                  <c:v>1.59778999058824</c:v>
                </c:pt>
                <c:pt idx="12">
                  <c:v>1.59778999058824</c:v>
                </c:pt>
                <c:pt idx="13">
                  <c:v>1.59778999058824</c:v>
                </c:pt>
                <c:pt idx="14">
                  <c:v>1.59778999058824</c:v>
                </c:pt>
                <c:pt idx="15">
                  <c:v>1.59778999058824</c:v>
                </c:pt>
                <c:pt idx="16">
                  <c:v>1.59778999058824</c:v>
                </c:pt>
                <c:pt idx="17">
                  <c:v>1.59778999058824</c:v>
                </c:pt>
                <c:pt idx="18">
                  <c:v>1.59778999058824</c:v>
                </c:pt>
                <c:pt idx="19">
                  <c:v>1.59778999058824</c:v>
                </c:pt>
                <c:pt idx="20">
                  <c:v>1.59778999058824</c:v>
                </c:pt>
                <c:pt idx="21">
                  <c:v>0.36054331068765499</c:v>
                </c:pt>
                <c:pt idx="22">
                  <c:v>0.36054331068765499</c:v>
                </c:pt>
                <c:pt idx="23">
                  <c:v>0.36054331068765499</c:v>
                </c:pt>
              </c:numCache>
            </c:numRef>
          </c:val>
          <c:smooth val="0"/>
          <c:extLst>
            <c:ext xmlns:c16="http://schemas.microsoft.com/office/drawing/2014/chart" uri="{C3380CC4-5D6E-409C-BE32-E72D297353CC}">
              <c16:uniqueId val="{00000001-BC5E-47F8-A4BE-F3F99D5880DE}"/>
            </c:ext>
          </c:extLst>
        </c:ser>
        <c:ser>
          <c:idx val="14"/>
          <c:order val="14"/>
          <c:tx>
            <c:strRef>
              <c:f>'HE Prices'!$T$5:$T$6</c:f>
              <c:strCache>
                <c:ptCount val="1"/>
                <c:pt idx="0">
                  <c:v>NO3_A2</c:v>
                </c:pt>
              </c:strCache>
            </c:strRef>
          </c:tx>
          <c:spPr>
            <a:ln w="28575" cap="rnd">
              <a:solidFill>
                <a:schemeClr val="accent3">
                  <a:lumMod val="80000"/>
                  <a:lumOff val="2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Prices'!$T$7:$T$31</c:f>
              <c:numCache>
                <c:formatCode>General</c:formatCode>
                <c:ptCount val="24"/>
                <c:pt idx="0">
                  <c:v>0.43284705882352897</c:v>
                </c:pt>
                <c:pt idx="1">
                  <c:v>0.43284705882352897</c:v>
                </c:pt>
                <c:pt idx="2">
                  <c:v>0.43284705882352897</c:v>
                </c:pt>
                <c:pt idx="3">
                  <c:v>0.43284705882352897</c:v>
                </c:pt>
                <c:pt idx="4">
                  <c:v>0.43284705882352897</c:v>
                </c:pt>
                <c:pt idx="5">
                  <c:v>1.59778999058824</c:v>
                </c:pt>
                <c:pt idx="6">
                  <c:v>1.59778999058824</c:v>
                </c:pt>
                <c:pt idx="7">
                  <c:v>1.59778999058824</c:v>
                </c:pt>
                <c:pt idx="8">
                  <c:v>1.59778999058824</c:v>
                </c:pt>
                <c:pt idx="9">
                  <c:v>1.59778999058824</c:v>
                </c:pt>
                <c:pt idx="10">
                  <c:v>1.59778999058824</c:v>
                </c:pt>
                <c:pt idx="11">
                  <c:v>1.59778999058824</c:v>
                </c:pt>
                <c:pt idx="12">
                  <c:v>1.59778999058824</c:v>
                </c:pt>
                <c:pt idx="13">
                  <c:v>1.59778999058824</c:v>
                </c:pt>
                <c:pt idx="14">
                  <c:v>1.59778999058824</c:v>
                </c:pt>
                <c:pt idx="15">
                  <c:v>1.59778999058824</c:v>
                </c:pt>
                <c:pt idx="16">
                  <c:v>0.43284705882352897</c:v>
                </c:pt>
                <c:pt idx="17">
                  <c:v>0.43284705882352897</c:v>
                </c:pt>
                <c:pt idx="18">
                  <c:v>0.43284705882352897</c:v>
                </c:pt>
                <c:pt idx="19">
                  <c:v>0.43284705882352897</c:v>
                </c:pt>
                <c:pt idx="20">
                  <c:v>0.43284705882352897</c:v>
                </c:pt>
                <c:pt idx="21">
                  <c:v>0.43284705882352897</c:v>
                </c:pt>
                <c:pt idx="22">
                  <c:v>0.43284705882352897</c:v>
                </c:pt>
                <c:pt idx="23">
                  <c:v>0.43284705882352897</c:v>
                </c:pt>
              </c:numCache>
            </c:numRef>
          </c:val>
          <c:smooth val="0"/>
          <c:extLst>
            <c:ext xmlns:c16="http://schemas.microsoft.com/office/drawing/2014/chart" uri="{C3380CC4-5D6E-409C-BE32-E72D297353CC}">
              <c16:uniqueId val="{00000002-BC5E-47F8-A4BE-F3F99D5880DE}"/>
            </c:ext>
          </c:extLst>
        </c:ser>
        <c:ser>
          <c:idx val="15"/>
          <c:order val="15"/>
          <c:tx>
            <c:strRef>
              <c:f>'HE Prices'!$U$5:$U$6</c:f>
              <c:strCache>
                <c:ptCount val="1"/>
                <c:pt idx="0">
                  <c:v>NO4_A1</c:v>
                </c:pt>
              </c:strCache>
            </c:strRef>
          </c:tx>
          <c:spPr>
            <a:ln w="28575" cap="rnd">
              <a:solidFill>
                <a:schemeClr val="accent4">
                  <a:lumMod val="80000"/>
                  <a:lumOff val="2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Prices'!$U$7:$U$31</c:f>
              <c:numCache>
                <c:formatCode>General</c:formatCode>
                <c:ptCount val="24"/>
                <c:pt idx="0">
                  <c:v>0.43284705882352897</c:v>
                </c:pt>
                <c:pt idx="1">
                  <c:v>0.43284705882352897</c:v>
                </c:pt>
                <c:pt idx="2">
                  <c:v>0.43284705882352897</c:v>
                </c:pt>
                <c:pt idx="3">
                  <c:v>0.43284705882352897</c:v>
                </c:pt>
                <c:pt idx="4">
                  <c:v>0.43284705882352897</c:v>
                </c:pt>
                <c:pt idx="5">
                  <c:v>0.43284705882352897</c:v>
                </c:pt>
                <c:pt idx="6">
                  <c:v>1.59778999058824</c:v>
                </c:pt>
                <c:pt idx="7">
                  <c:v>1.59778999058824</c:v>
                </c:pt>
                <c:pt idx="8">
                  <c:v>1.59778999058824</c:v>
                </c:pt>
                <c:pt idx="9">
                  <c:v>1.59778999058824</c:v>
                </c:pt>
                <c:pt idx="10">
                  <c:v>1.59778999058824</c:v>
                </c:pt>
                <c:pt idx="11">
                  <c:v>1.59778999058824</c:v>
                </c:pt>
                <c:pt idx="12">
                  <c:v>1.59778999058824</c:v>
                </c:pt>
                <c:pt idx="13">
                  <c:v>1.59778999058824</c:v>
                </c:pt>
                <c:pt idx="14">
                  <c:v>1.59778999058824</c:v>
                </c:pt>
                <c:pt idx="15">
                  <c:v>1.59778999058824</c:v>
                </c:pt>
                <c:pt idx="16">
                  <c:v>1.59778999058824</c:v>
                </c:pt>
                <c:pt idx="17">
                  <c:v>1.59778999058824</c:v>
                </c:pt>
                <c:pt idx="18">
                  <c:v>0.43284705882352897</c:v>
                </c:pt>
                <c:pt idx="19">
                  <c:v>0.43284705882352897</c:v>
                </c:pt>
                <c:pt idx="20">
                  <c:v>0.43284705882352897</c:v>
                </c:pt>
                <c:pt idx="21">
                  <c:v>0.43284705882352897</c:v>
                </c:pt>
                <c:pt idx="22">
                  <c:v>0.43284705882352897</c:v>
                </c:pt>
                <c:pt idx="23">
                  <c:v>0.43284705882352897</c:v>
                </c:pt>
              </c:numCache>
            </c:numRef>
          </c:val>
          <c:smooth val="0"/>
          <c:extLst>
            <c:ext xmlns:c16="http://schemas.microsoft.com/office/drawing/2014/chart" uri="{C3380CC4-5D6E-409C-BE32-E72D297353CC}">
              <c16:uniqueId val="{00000003-BC5E-47F8-A4BE-F3F99D5880DE}"/>
            </c:ext>
          </c:extLst>
        </c:ser>
        <c:ser>
          <c:idx val="16"/>
          <c:order val="16"/>
          <c:tx>
            <c:strRef>
              <c:f>'HE Prices'!$V$5:$V$6</c:f>
              <c:strCache>
                <c:ptCount val="1"/>
                <c:pt idx="0">
                  <c:v>NO5_A1</c:v>
                </c:pt>
              </c:strCache>
            </c:strRef>
          </c:tx>
          <c:spPr>
            <a:ln w="28575" cap="rnd">
              <a:solidFill>
                <a:schemeClr val="accent5">
                  <a:lumMod val="80000"/>
                  <a:lumOff val="2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Prices'!$V$7:$V$31</c:f>
              <c:numCache>
                <c:formatCode>General</c:formatCode>
                <c:ptCount val="24"/>
                <c:pt idx="0">
                  <c:v>1.59778999058824</c:v>
                </c:pt>
                <c:pt idx="1">
                  <c:v>1.59778999058824</c:v>
                </c:pt>
                <c:pt idx="2">
                  <c:v>1.59778999058824</c:v>
                </c:pt>
                <c:pt idx="3">
                  <c:v>1.59778999058824</c:v>
                </c:pt>
                <c:pt idx="4">
                  <c:v>1.59778999058824</c:v>
                </c:pt>
                <c:pt idx="5">
                  <c:v>1.59778999058824</c:v>
                </c:pt>
                <c:pt idx="6">
                  <c:v>1.59778999058824</c:v>
                </c:pt>
                <c:pt idx="7">
                  <c:v>1.59778999058824</c:v>
                </c:pt>
                <c:pt idx="8">
                  <c:v>1.59778999058824</c:v>
                </c:pt>
                <c:pt idx="9">
                  <c:v>1.59778999058824</c:v>
                </c:pt>
                <c:pt idx="10">
                  <c:v>1.59778999058824</c:v>
                </c:pt>
                <c:pt idx="11">
                  <c:v>1.59778999058824</c:v>
                </c:pt>
                <c:pt idx="12">
                  <c:v>1.59778999058824</c:v>
                </c:pt>
                <c:pt idx="13">
                  <c:v>1.59778999058824</c:v>
                </c:pt>
                <c:pt idx="14">
                  <c:v>1.59778999058824</c:v>
                </c:pt>
                <c:pt idx="15">
                  <c:v>1.59778999058824</c:v>
                </c:pt>
                <c:pt idx="16">
                  <c:v>1.59778999058824</c:v>
                </c:pt>
                <c:pt idx="17">
                  <c:v>1.59778999058824</c:v>
                </c:pt>
                <c:pt idx="18">
                  <c:v>1.59778999058824</c:v>
                </c:pt>
                <c:pt idx="19">
                  <c:v>1.59778999058824</c:v>
                </c:pt>
                <c:pt idx="20">
                  <c:v>1.59778999058824</c:v>
                </c:pt>
                <c:pt idx="21">
                  <c:v>1.59778999058824</c:v>
                </c:pt>
                <c:pt idx="22">
                  <c:v>1.59778999058824</c:v>
                </c:pt>
                <c:pt idx="23">
                  <c:v>1.59778999058824</c:v>
                </c:pt>
              </c:numCache>
            </c:numRef>
          </c:val>
          <c:smooth val="0"/>
          <c:extLst>
            <c:ext xmlns:c16="http://schemas.microsoft.com/office/drawing/2014/chart" uri="{C3380CC4-5D6E-409C-BE32-E72D297353CC}">
              <c16:uniqueId val="{00000004-BC5E-47F8-A4BE-F3F99D5880DE}"/>
            </c:ext>
          </c:extLst>
        </c:ser>
        <c:ser>
          <c:idx val="17"/>
          <c:order val="17"/>
          <c:tx>
            <c:strRef>
              <c:f>'HE Prices'!$W$5:$W$6</c:f>
              <c:strCache>
                <c:ptCount val="1"/>
                <c:pt idx="0">
                  <c:v>SE1_EL</c:v>
                </c:pt>
              </c:strCache>
            </c:strRef>
          </c:tx>
          <c:spPr>
            <a:ln w="28575" cap="rnd">
              <a:solidFill>
                <a:schemeClr val="accent6">
                  <a:lumMod val="80000"/>
                  <a:lumOff val="2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Prices'!$W$7:$W$31</c:f>
              <c:numCache>
                <c:formatCode>General</c:formatCode>
                <c:ptCount val="24"/>
                <c:pt idx="0">
                  <c:v>0.36054331068765499</c:v>
                </c:pt>
                <c:pt idx="1">
                  <c:v>0.36054331068765499</c:v>
                </c:pt>
                <c:pt idx="2">
                  <c:v>0.36054331068765499</c:v>
                </c:pt>
                <c:pt idx="3">
                  <c:v>0.36054331068765499</c:v>
                </c:pt>
                <c:pt idx="4">
                  <c:v>0.36054331068765499</c:v>
                </c:pt>
                <c:pt idx="5">
                  <c:v>0.36054331068765499</c:v>
                </c:pt>
                <c:pt idx="6">
                  <c:v>0.36054331068765499</c:v>
                </c:pt>
                <c:pt idx="7">
                  <c:v>0.36054331068765499</c:v>
                </c:pt>
                <c:pt idx="8">
                  <c:v>0.36054331068765499</c:v>
                </c:pt>
                <c:pt idx="9">
                  <c:v>0.36054331068765499</c:v>
                </c:pt>
                <c:pt idx="10">
                  <c:v>0.36054331068765499</c:v>
                </c:pt>
                <c:pt idx="11">
                  <c:v>0.36054331068765499</c:v>
                </c:pt>
                <c:pt idx="12">
                  <c:v>0.36054331068765499</c:v>
                </c:pt>
                <c:pt idx="13">
                  <c:v>0.36054331068765499</c:v>
                </c:pt>
                <c:pt idx="14">
                  <c:v>0.36054331068765499</c:v>
                </c:pt>
                <c:pt idx="15">
                  <c:v>0.36054331068765499</c:v>
                </c:pt>
                <c:pt idx="16">
                  <c:v>0.36054331068765499</c:v>
                </c:pt>
                <c:pt idx="17">
                  <c:v>0.36054331068765499</c:v>
                </c:pt>
                <c:pt idx="18">
                  <c:v>0.36054331068765499</c:v>
                </c:pt>
                <c:pt idx="19">
                  <c:v>0.36054331068765499</c:v>
                </c:pt>
                <c:pt idx="20">
                  <c:v>0.36054331068765499</c:v>
                </c:pt>
                <c:pt idx="21">
                  <c:v>0.36054331068765499</c:v>
                </c:pt>
                <c:pt idx="22">
                  <c:v>0.36054331068765499</c:v>
                </c:pt>
                <c:pt idx="23">
                  <c:v>0.36054331068765499</c:v>
                </c:pt>
              </c:numCache>
            </c:numRef>
          </c:val>
          <c:smooth val="0"/>
          <c:extLst>
            <c:ext xmlns:c16="http://schemas.microsoft.com/office/drawing/2014/chart" uri="{C3380CC4-5D6E-409C-BE32-E72D297353CC}">
              <c16:uniqueId val="{00000005-BC5E-47F8-A4BE-F3F99D5880DE}"/>
            </c:ext>
          </c:extLst>
        </c:ser>
        <c:ser>
          <c:idx val="18"/>
          <c:order val="18"/>
          <c:tx>
            <c:strRef>
              <c:f>'HE Prices'!$X$5:$X$6</c:f>
              <c:strCache>
                <c:ptCount val="1"/>
                <c:pt idx="0">
                  <c:v>SE1_OTHER</c:v>
                </c:pt>
              </c:strCache>
            </c:strRef>
          </c:tx>
          <c:spPr>
            <a:ln w="28575" cap="rnd">
              <a:solidFill>
                <a:schemeClr val="accent1">
                  <a:lumMod val="8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Prices'!$X$7:$X$31</c:f>
              <c:numCache>
                <c:formatCode>General</c:formatCode>
                <c:ptCount val="24"/>
                <c:pt idx="0">
                  <c:v>4.1041462900255796</c:v>
                </c:pt>
                <c:pt idx="1">
                  <c:v>4.1041462900255796</c:v>
                </c:pt>
                <c:pt idx="2">
                  <c:v>4.1041462900255796</c:v>
                </c:pt>
                <c:pt idx="3">
                  <c:v>4.1041462900255796</c:v>
                </c:pt>
                <c:pt idx="4">
                  <c:v>4.1041462900255796</c:v>
                </c:pt>
                <c:pt idx="5">
                  <c:v>4.1041462900255796</c:v>
                </c:pt>
                <c:pt idx="6">
                  <c:v>8.50352517873403</c:v>
                </c:pt>
                <c:pt idx="7">
                  <c:v>8.50352517873403</c:v>
                </c:pt>
                <c:pt idx="8">
                  <c:v>8.50352517873403</c:v>
                </c:pt>
                <c:pt idx="9">
                  <c:v>8.50352517873403</c:v>
                </c:pt>
                <c:pt idx="10">
                  <c:v>8.50352517873403</c:v>
                </c:pt>
                <c:pt idx="11">
                  <c:v>8.50352517873403</c:v>
                </c:pt>
                <c:pt idx="12">
                  <c:v>8.5035251787340194</c:v>
                </c:pt>
                <c:pt idx="13">
                  <c:v>8.50352517873403</c:v>
                </c:pt>
                <c:pt idx="14">
                  <c:v>8.5035251787340194</c:v>
                </c:pt>
                <c:pt idx="15">
                  <c:v>8.50352517873403</c:v>
                </c:pt>
                <c:pt idx="16">
                  <c:v>8.50352517873403</c:v>
                </c:pt>
                <c:pt idx="17">
                  <c:v>8.50352517873403</c:v>
                </c:pt>
                <c:pt idx="18">
                  <c:v>4.1041462900255796</c:v>
                </c:pt>
                <c:pt idx="19">
                  <c:v>4.1041462900255796</c:v>
                </c:pt>
                <c:pt idx="20">
                  <c:v>4.1041462900255796</c:v>
                </c:pt>
                <c:pt idx="21">
                  <c:v>4.1041462900255796</c:v>
                </c:pt>
                <c:pt idx="22">
                  <c:v>4.1041462900255796</c:v>
                </c:pt>
                <c:pt idx="23">
                  <c:v>4.1041462900255796</c:v>
                </c:pt>
              </c:numCache>
            </c:numRef>
          </c:val>
          <c:smooth val="0"/>
          <c:extLst>
            <c:ext xmlns:c16="http://schemas.microsoft.com/office/drawing/2014/chart" uri="{C3380CC4-5D6E-409C-BE32-E72D297353CC}">
              <c16:uniqueId val="{00000006-BC5E-47F8-A4BE-F3F99D5880DE}"/>
            </c:ext>
          </c:extLst>
        </c:ser>
        <c:ser>
          <c:idx val="19"/>
          <c:order val="19"/>
          <c:tx>
            <c:strRef>
              <c:f>'HE Prices'!$Y$5:$Y$6</c:f>
              <c:strCache>
                <c:ptCount val="1"/>
                <c:pt idx="0">
                  <c:v>SE2_EL</c:v>
                </c:pt>
              </c:strCache>
            </c:strRef>
          </c:tx>
          <c:spPr>
            <a:ln w="28575" cap="rnd">
              <a:solidFill>
                <a:schemeClr val="accent2">
                  <a:lumMod val="8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Prices'!$Y$7:$Y$31</c:f>
              <c:numCache>
                <c:formatCode>General</c:formatCode>
                <c:ptCount val="24"/>
                <c:pt idx="0">
                  <c:v>1.8688158581218799</c:v>
                </c:pt>
                <c:pt idx="1">
                  <c:v>1.8688158581218799</c:v>
                </c:pt>
                <c:pt idx="2">
                  <c:v>1.8688158581218799</c:v>
                </c:pt>
                <c:pt idx="3">
                  <c:v>1.69556882042265</c:v>
                </c:pt>
                <c:pt idx="4">
                  <c:v>1.62650995881117</c:v>
                </c:pt>
                <c:pt idx="5">
                  <c:v>1.3471913046624</c:v>
                </c:pt>
                <c:pt idx="6">
                  <c:v>0.94010647708619399</c:v>
                </c:pt>
                <c:pt idx="7">
                  <c:v>0.476269942275864</c:v>
                </c:pt>
                <c:pt idx="8">
                  <c:v>0.476269942275864</c:v>
                </c:pt>
                <c:pt idx="9">
                  <c:v>0.54673371386777703</c:v>
                </c:pt>
                <c:pt idx="10">
                  <c:v>0.74297140365373504</c:v>
                </c:pt>
                <c:pt idx="11">
                  <c:v>0.86000995881117204</c:v>
                </c:pt>
                <c:pt idx="12">
                  <c:v>1.0362717138677799</c:v>
                </c:pt>
                <c:pt idx="13">
                  <c:v>1.0362717138677799</c:v>
                </c:pt>
                <c:pt idx="14">
                  <c:v>1.0362717138677799</c:v>
                </c:pt>
                <c:pt idx="15">
                  <c:v>1.0013002422505699</c:v>
                </c:pt>
                <c:pt idx="16">
                  <c:v>1.0013002422505699</c:v>
                </c:pt>
                <c:pt idx="17">
                  <c:v>1.0013002422505699</c:v>
                </c:pt>
                <c:pt idx="18">
                  <c:v>1.27637432640947</c:v>
                </c:pt>
                <c:pt idx="19">
                  <c:v>1.35018882870265</c:v>
                </c:pt>
                <c:pt idx="20">
                  <c:v>1.42289123934943</c:v>
                </c:pt>
                <c:pt idx="21">
                  <c:v>1.62650995881117</c:v>
                </c:pt>
                <c:pt idx="22">
                  <c:v>1.87127895881117</c:v>
                </c:pt>
                <c:pt idx="23">
                  <c:v>1.9819865767912099</c:v>
                </c:pt>
              </c:numCache>
            </c:numRef>
          </c:val>
          <c:smooth val="0"/>
          <c:extLst>
            <c:ext xmlns:c16="http://schemas.microsoft.com/office/drawing/2014/chart" uri="{C3380CC4-5D6E-409C-BE32-E72D297353CC}">
              <c16:uniqueId val="{00000007-BC5E-47F8-A4BE-F3F99D5880DE}"/>
            </c:ext>
          </c:extLst>
        </c:ser>
        <c:ser>
          <c:idx val="20"/>
          <c:order val="20"/>
          <c:tx>
            <c:strRef>
              <c:f>'HE Prices'!$Z$5:$Z$6</c:f>
              <c:strCache>
                <c:ptCount val="1"/>
                <c:pt idx="0">
                  <c:v>SE2_OTHER</c:v>
                </c:pt>
              </c:strCache>
            </c:strRef>
          </c:tx>
          <c:spPr>
            <a:ln w="28575" cap="rnd">
              <a:solidFill>
                <a:schemeClr val="accent3">
                  <a:lumMod val="8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Prices'!$Z$7:$Z$31</c:f>
              <c:numCache>
                <c:formatCode>General</c:formatCode>
                <c:ptCount val="24"/>
                <c:pt idx="0">
                  <c:v>2.8159009434003002</c:v>
                </c:pt>
                <c:pt idx="1">
                  <c:v>2.8159009434003002</c:v>
                </c:pt>
                <c:pt idx="2">
                  <c:v>2.8159009434003002</c:v>
                </c:pt>
                <c:pt idx="3">
                  <c:v>2.8159009434003002</c:v>
                </c:pt>
                <c:pt idx="4">
                  <c:v>2.8159009434003002</c:v>
                </c:pt>
                <c:pt idx="5">
                  <c:v>2.8159009434003002</c:v>
                </c:pt>
                <c:pt idx="6">
                  <c:v>2.8159009434003002</c:v>
                </c:pt>
                <c:pt idx="7">
                  <c:v>2.8159009434003002</c:v>
                </c:pt>
                <c:pt idx="8">
                  <c:v>2.8159009434003002</c:v>
                </c:pt>
                <c:pt idx="9">
                  <c:v>2.8159009434003002</c:v>
                </c:pt>
                <c:pt idx="10">
                  <c:v>2.8159009434003002</c:v>
                </c:pt>
                <c:pt idx="11">
                  <c:v>2.8159009434003002</c:v>
                </c:pt>
                <c:pt idx="12">
                  <c:v>2.8159009434003002</c:v>
                </c:pt>
                <c:pt idx="13">
                  <c:v>2.8159009434003002</c:v>
                </c:pt>
                <c:pt idx="14">
                  <c:v>2.8159009434003002</c:v>
                </c:pt>
                <c:pt idx="15">
                  <c:v>2.8159009434003002</c:v>
                </c:pt>
                <c:pt idx="16">
                  <c:v>2.8159009434003002</c:v>
                </c:pt>
                <c:pt idx="17">
                  <c:v>2.8159009434003002</c:v>
                </c:pt>
                <c:pt idx="18">
                  <c:v>2.8159009434003002</c:v>
                </c:pt>
                <c:pt idx="19">
                  <c:v>2.8159009434003002</c:v>
                </c:pt>
                <c:pt idx="20">
                  <c:v>2.8159009434003002</c:v>
                </c:pt>
                <c:pt idx="21">
                  <c:v>2.8159009434003002</c:v>
                </c:pt>
                <c:pt idx="22">
                  <c:v>2.8159009434003002</c:v>
                </c:pt>
                <c:pt idx="23">
                  <c:v>2.8159009434003002</c:v>
                </c:pt>
              </c:numCache>
            </c:numRef>
          </c:val>
          <c:smooth val="0"/>
          <c:extLst>
            <c:ext xmlns:c16="http://schemas.microsoft.com/office/drawing/2014/chart" uri="{C3380CC4-5D6E-409C-BE32-E72D297353CC}">
              <c16:uniqueId val="{00000008-BC5E-47F8-A4BE-F3F99D5880DE}"/>
            </c:ext>
          </c:extLst>
        </c:ser>
        <c:ser>
          <c:idx val="21"/>
          <c:order val="21"/>
          <c:tx>
            <c:strRef>
              <c:f>'HE Prices'!$AA$5:$AA$6</c:f>
              <c:strCache>
                <c:ptCount val="1"/>
                <c:pt idx="0">
                  <c:v>SE3_EL</c:v>
                </c:pt>
              </c:strCache>
            </c:strRef>
          </c:tx>
          <c:spPr>
            <a:ln w="28575" cap="rnd">
              <a:solidFill>
                <a:schemeClr val="accent4">
                  <a:lumMod val="8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Prices'!$AA$7:$AA$31</c:f>
              <c:numCache>
                <c:formatCode>General</c:formatCode>
                <c:ptCount val="24"/>
                <c:pt idx="0">
                  <c:v>5.6822207367489197</c:v>
                </c:pt>
                <c:pt idx="1">
                  <c:v>5.6822207367489197</c:v>
                </c:pt>
                <c:pt idx="2">
                  <c:v>5.6822207367489197</c:v>
                </c:pt>
                <c:pt idx="3">
                  <c:v>6.6096668077667999</c:v>
                </c:pt>
                <c:pt idx="4">
                  <c:v>8.2417205477046593</c:v>
                </c:pt>
                <c:pt idx="5">
                  <c:v>7.8918433191258304</c:v>
                </c:pt>
                <c:pt idx="6">
                  <c:v>7.8296345203194297</c:v>
                </c:pt>
                <c:pt idx="7">
                  <c:v>10.1646561752849</c:v>
                </c:pt>
                <c:pt idx="8">
                  <c:v>10.1646561752849</c:v>
                </c:pt>
                <c:pt idx="9">
                  <c:v>10.1646561752849</c:v>
                </c:pt>
                <c:pt idx="10">
                  <c:v>9.8272088906921695</c:v>
                </c:pt>
                <c:pt idx="11">
                  <c:v>7.6757265148509397</c:v>
                </c:pt>
                <c:pt idx="12">
                  <c:v>7.50238245382985</c:v>
                </c:pt>
                <c:pt idx="13">
                  <c:v>7.50238245382985</c:v>
                </c:pt>
                <c:pt idx="14">
                  <c:v>7.50238245382985</c:v>
                </c:pt>
                <c:pt idx="15">
                  <c:v>7.4585768526391902</c:v>
                </c:pt>
                <c:pt idx="16">
                  <c:v>7.4585768526391902</c:v>
                </c:pt>
                <c:pt idx="17">
                  <c:v>7.4585768526391902</c:v>
                </c:pt>
                <c:pt idx="18">
                  <c:v>7.7775267142176396</c:v>
                </c:pt>
                <c:pt idx="19">
                  <c:v>7.8511335290938797</c:v>
                </c:pt>
                <c:pt idx="20">
                  <c:v>7.8511335290938797</c:v>
                </c:pt>
                <c:pt idx="21">
                  <c:v>6.5318133938415501</c:v>
                </c:pt>
                <c:pt idx="22">
                  <c:v>5.6822207367489197</c:v>
                </c:pt>
                <c:pt idx="23">
                  <c:v>5.6822207367489197</c:v>
                </c:pt>
              </c:numCache>
            </c:numRef>
          </c:val>
          <c:smooth val="0"/>
          <c:extLst>
            <c:ext xmlns:c16="http://schemas.microsoft.com/office/drawing/2014/chart" uri="{C3380CC4-5D6E-409C-BE32-E72D297353CC}">
              <c16:uniqueId val="{00000009-BC5E-47F8-A4BE-F3F99D5880DE}"/>
            </c:ext>
          </c:extLst>
        </c:ser>
        <c:ser>
          <c:idx val="22"/>
          <c:order val="22"/>
          <c:tx>
            <c:strRef>
              <c:f>'HE Prices'!$AB$5:$AB$6</c:f>
              <c:strCache>
                <c:ptCount val="1"/>
                <c:pt idx="0">
                  <c:v>SE3_GOT</c:v>
                </c:pt>
              </c:strCache>
            </c:strRef>
          </c:tx>
          <c:spPr>
            <a:ln w="28575" cap="rnd">
              <a:solidFill>
                <a:schemeClr val="accent5">
                  <a:lumMod val="8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Prices'!$AB$7:$AB$31</c:f>
              <c:numCache>
                <c:formatCode>General</c:formatCode>
                <c:ptCount val="24"/>
                <c:pt idx="0">
                  <c:v>8.4027204305566006</c:v>
                </c:pt>
                <c:pt idx="1">
                  <c:v>8.4027204305566006</c:v>
                </c:pt>
                <c:pt idx="2">
                  <c:v>8.4027204305566006</c:v>
                </c:pt>
                <c:pt idx="3">
                  <c:v>8.6219233630538898</c:v>
                </c:pt>
                <c:pt idx="4">
                  <c:v>8.7093009319935693</c:v>
                </c:pt>
                <c:pt idx="5">
                  <c:v>9.0627122739923998</c:v>
                </c:pt>
                <c:pt idx="6">
                  <c:v>13.0250595705983</c:v>
                </c:pt>
                <c:pt idx="7">
                  <c:v>13.0250595705983</c:v>
                </c:pt>
                <c:pt idx="8">
                  <c:v>13.0250595705983</c:v>
                </c:pt>
                <c:pt idx="9">
                  <c:v>13.0250595705983</c:v>
                </c:pt>
                <c:pt idx="10">
                  <c:v>13.0250595705983</c:v>
                </c:pt>
                <c:pt idx="11">
                  <c:v>13.0250595705983</c:v>
                </c:pt>
                <c:pt idx="12">
                  <c:v>9.45610708742268</c:v>
                </c:pt>
                <c:pt idx="13">
                  <c:v>9.45610708742268</c:v>
                </c:pt>
                <c:pt idx="14">
                  <c:v>9.45610708742268</c:v>
                </c:pt>
                <c:pt idx="15">
                  <c:v>9.5003551694334405</c:v>
                </c:pt>
                <c:pt idx="16">
                  <c:v>9.5003551694334405</c:v>
                </c:pt>
                <c:pt idx="17">
                  <c:v>9.5003551694334405</c:v>
                </c:pt>
                <c:pt idx="18">
                  <c:v>9.1523143215066902</c:v>
                </c:pt>
                <c:pt idx="19">
                  <c:v>9.0589196200539508</c:v>
                </c:pt>
                <c:pt idx="20">
                  <c:v>8.9669320061527902</c:v>
                </c:pt>
                <c:pt idx="21">
                  <c:v>8.7093009319935693</c:v>
                </c:pt>
                <c:pt idx="22">
                  <c:v>8.3996039622966006</c:v>
                </c:pt>
                <c:pt idx="23">
                  <c:v>8.3996039622966006</c:v>
                </c:pt>
              </c:numCache>
            </c:numRef>
          </c:val>
          <c:smooth val="0"/>
          <c:extLst>
            <c:ext xmlns:c16="http://schemas.microsoft.com/office/drawing/2014/chart" uri="{C3380CC4-5D6E-409C-BE32-E72D297353CC}">
              <c16:uniqueId val="{0000000A-BC5E-47F8-A4BE-F3F99D5880DE}"/>
            </c:ext>
          </c:extLst>
        </c:ser>
        <c:ser>
          <c:idx val="23"/>
          <c:order val="23"/>
          <c:tx>
            <c:strRef>
              <c:f>'HE Prices'!$AC$5:$AC$6</c:f>
              <c:strCache>
                <c:ptCount val="1"/>
                <c:pt idx="0">
                  <c:v>SE3_HP</c:v>
                </c:pt>
              </c:strCache>
            </c:strRef>
          </c:tx>
          <c:spPr>
            <a:ln w="28575" cap="rnd">
              <a:solidFill>
                <a:schemeClr val="accent6">
                  <a:lumMod val="8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Prices'!$AC$7:$AC$31</c:f>
              <c:numCache>
                <c:formatCode>General</c:formatCode>
                <c:ptCount val="24"/>
                <c:pt idx="0">
                  <c:v>5.5457954841673596</c:v>
                </c:pt>
                <c:pt idx="1">
                  <c:v>5.5457954841673596</c:v>
                </c:pt>
                <c:pt idx="2">
                  <c:v>5.5457954841673596</c:v>
                </c:pt>
                <c:pt idx="3">
                  <c:v>5.6904694196155701</c:v>
                </c:pt>
                <c:pt idx="4">
                  <c:v>5.7481386151157601</c:v>
                </c:pt>
                <c:pt idx="5">
                  <c:v>5.9813901008349797</c:v>
                </c:pt>
                <c:pt idx="6">
                  <c:v>6.3213356770990403</c:v>
                </c:pt>
                <c:pt idx="7">
                  <c:v>6.7086730756880399</c:v>
                </c:pt>
                <c:pt idx="8">
                  <c:v>6.7086730756880399</c:v>
                </c:pt>
                <c:pt idx="9">
                  <c:v>6.6498306776989704</c:v>
                </c:pt>
                <c:pt idx="10">
                  <c:v>6.4859578678568299</c:v>
                </c:pt>
                <c:pt idx="11">
                  <c:v>6.3882221224226496</c:v>
                </c:pt>
                <c:pt idx="12">
                  <c:v>6.2410306776989701</c:v>
                </c:pt>
                <c:pt idx="13">
                  <c:v>6.2410306776989701</c:v>
                </c:pt>
                <c:pt idx="14">
                  <c:v>6.2410306776989701</c:v>
                </c:pt>
                <c:pt idx="15">
                  <c:v>6.2702344118260704</c:v>
                </c:pt>
                <c:pt idx="16">
                  <c:v>6.2702344118260704</c:v>
                </c:pt>
                <c:pt idx="17">
                  <c:v>6.2702344118260704</c:v>
                </c:pt>
                <c:pt idx="18">
                  <c:v>6.0405274521944197</c:v>
                </c:pt>
                <c:pt idx="19">
                  <c:v>5.9788869492356103</c:v>
                </c:pt>
                <c:pt idx="20">
                  <c:v>5.9181751240608396</c:v>
                </c:pt>
                <c:pt idx="21">
                  <c:v>5.7481386151157601</c:v>
                </c:pt>
                <c:pt idx="22">
                  <c:v>5.5437386151157604</c:v>
                </c:pt>
                <c:pt idx="23">
                  <c:v>5.4512896648192797</c:v>
                </c:pt>
              </c:numCache>
            </c:numRef>
          </c:val>
          <c:smooth val="0"/>
          <c:extLst>
            <c:ext xmlns:c16="http://schemas.microsoft.com/office/drawing/2014/chart" uri="{C3380CC4-5D6E-409C-BE32-E72D297353CC}">
              <c16:uniqueId val="{0000000B-BC5E-47F8-A4BE-F3F99D5880DE}"/>
            </c:ext>
          </c:extLst>
        </c:ser>
        <c:ser>
          <c:idx val="24"/>
          <c:order val="24"/>
          <c:tx>
            <c:strRef>
              <c:f>'HE Prices'!$AD$5:$AD$6</c:f>
              <c:strCache>
                <c:ptCount val="1"/>
                <c:pt idx="0">
                  <c:v>SE3_OTHER</c:v>
                </c:pt>
              </c:strCache>
            </c:strRef>
          </c:tx>
          <c:spPr>
            <a:ln w="28575" cap="rnd">
              <a:solidFill>
                <a:schemeClr val="accent1">
                  <a:lumMod val="60000"/>
                  <a:lumOff val="4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Prices'!$AD$7:$AD$31</c:f>
              <c:numCache>
                <c:formatCode>General</c:formatCode>
                <c:ptCount val="24"/>
                <c:pt idx="0">
                  <c:v>2.8159009434003002</c:v>
                </c:pt>
                <c:pt idx="1">
                  <c:v>2.8159009434003002</c:v>
                </c:pt>
                <c:pt idx="2">
                  <c:v>2.8159009434003002</c:v>
                </c:pt>
                <c:pt idx="3">
                  <c:v>2.8159009434003002</c:v>
                </c:pt>
                <c:pt idx="4">
                  <c:v>2.8159009434003002</c:v>
                </c:pt>
                <c:pt idx="5">
                  <c:v>2.8159009434003002</c:v>
                </c:pt>
                <c:pt idx="6">
                  <c:v>7.1474774454442498</c:v>
                </c:pt>
                <c:pt idx="7">
                  <c:v>7.1474774454442498</c:v>
                </c:pt>
                <c:pt idx="8">
                  <c:v>7.1474774454442498</c:v>
                </c:pt>
                <c:pt idx="9">
                  <c:v>7.1474774454442498</c:v>
                </c:pt>
                <c:pt idx="10">
                  <c:v>7.1474774454442498</c:v>
                </c:pt>
                <c:pt idx="11">
                  <c:v>7.1474774454442498</c:v>
                </c:pt>
                <c:pt idx="12">
                  <c:v>7.1474774454442498</c:v>
                </c:pt>
                <c:pt idx="13">
                  <c:v>7.1474774454442498</c:v>
                </c:pt>
                <c:pt idx="14">
                  <c:v>7.1474774454442498</c:v>
                </c:pt>
                <c:pt idx="15">
                  <c:v>7.1474774454442498</c:v>
                </c:pt>
                <c:pt idx="16">
                  <c:v>2.8159009434003002</c:v>
                </c:pt>
                <c:pt idx="17">
                  <c:v>2.8159009434003002</c:v>
                </c:pt>
                <c:pt idx="18">
                  <c:v>2.8159009434003002</c:v>
                </c:pt>
                <c:pt idx="19">
                  <c:v>2.8159009434003002</c:v>
                </c:pt>
                <c:pt idx="20">
                  <c:v>2.8159009434003002</c:v>
                </c:pt>
                <c:pt idx="21">
                  <c:v>2.8159009434003002</c:v>
                </c:pt>
                <c:pt idx="22">
                  <c:v>2.8159009434003002</c:v>
                </c:pt>
                <c:pt idx="23">
                  <c:v>2.8159009434003002</c:v>
                </c:pt>
              </c:numCache>
            </c:numRef>
          </c:val>
          <c:smooth val="0"/>
          <c:extLst>
            <c:ext xmlns:c16="http://schemas.microsoft.com/office/drawing/2014/chart" uri="{C3380CC4-5D6E-409C-BE32-E72D297353CC}">
              <c16:uniqueId val="{0000000C-BC5E-47F8-A4BE-F3F99D5880DE}"/>
            </c:ext>
          </c:extLst>
        </c:ser>
        <c:ser>
          <c:idx val="25"/>
          <c:order val="25"/>
          <c:tx>
            <c:strRef>
              <c:f>'HE Prices'!$AE$5:$AE$6</c:f>
              <c:strCache>
                <c:ptCount val="1"/>
                <c:pt idx="0">
                  <c:v>SE3_STO</c:v>
                </c:pt>
              </c:strCache>
            </c:strRef>
          </c:tx>
          <c:spPr>
            <a:ln w="28575" cap="rnd">
              <a:solidFill>
                <a:schemeClr val="accent2">
                  <a:lumMod val="60000"/>
                  <a:lumOff val="4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Prices'!$AE$7:$AE$31</c:f>
              <c:numCache>
                <c:formatCode>General</c:formatCode>
                <c:ptCount val="24"/>
                <c:pt idx="0">
                  <c:v>8.2436433730389496</c:v>
                </c:pt>
                <c:pt idx="1">
                  <c:v>8.2436433730389496</c:v>
                </c:pt>
                <c:pt idx="2">
                  <c:v>8.2436433730389496</c:v>
                </c:pt>
                <c:pt idx="3">
                  <c:v>7.9036596247356696</c:v>
                </c:pt>
                <c:pt idx="4">
                  <c:v>7.7681370153102201</c:v>
                </c:pt>
                <c:pt idx="5">
                  <c:v>9.0627122739923998</c:v>
                </c:pt>
                <c:pt idx="6">
                  <c:v>9.5777813289379292</c:v>
                </c:pt>
                <c:pt idx="7">
                  <c:v>10.1646561752849</c:v>
                </c:pt>
                <c:pt idx="8">
                  <c:v>10.1646561752849</c:v>
                </c:pt>
                <c:pt idx="9">
                  <c:v>10.0755010268166</c:v>
                </c:pt>
                <c:pt idx="10">
                  <c:v>9.8272088906921695</c:v>
                </c:pt>
                <c:pt idx="11">
                  <c:v>9.6791244279131003</c:v>
                </c:pt>
                <c:pt idx="12">
                  <c:v>9.45610708742268</c:v>
                </c:pt>
                <c:pt idx="13">
                  <c:v>9.45610708742268</c:v>
                </c:pt>
                <c:pt idx="14">
                  <c:v>9.45610708742268</c:v>
                </c:pt>
                <c:pt idx="15">
                  <c:v>9.5003551694334405</c:v>
                </c:pt>
                <c:pt idx="16">
                  <c:v>9.5003551694334405</c:v>
                </c:pt>
                <c:pt idx="17">
                  <c:v>9.5003551694334405</c:v>
                </c:pt>
                <c:pt idx="18">
                  <c:v>9.1523143215066902</c:v>
                </c:pt>
                <c:pt idx="19">
                  <c:v>9.0589196200539508</c:v>
                </c:pt>
                <c:pt idx="20">
                  <c:v>8.9669320061527902</c:v>
                </c:pt>
                <c:pt idx="21">
                  <c:v>8.7093009319935693</c:v>
                </c:pt>
                <c:pt idx="22">
                  <c:v>8.3996039622966006</c:v>
                </c:pt>
                <c:pt idx="23">
                  <c:v>8.2595297951807201</c:v>
                </c:pt>
              </c:numCache>
            </c:numRef>
          </c:val>
          <c:smooth val="0"/>
          <c:extLst>
            <c:ext xmlns:c16="http://schemas.microsoft.com/office/drawing/2014/chart" uri="{C3380CC4-5D6E-409C-BE32-E72D297353CC}">
              <c16:uniqueId val="{0000000D-BC5E-47F8-A4BE-F3F99D5880DE}"/>
            </c:ext>
          </c:extLst>
        </c:ser>
        <c:ser>
          <c:idx val="26"/>
          <c:order val="26"/>
          <c:tx>
            <c:strRef>
              <c:f>'HE Prices'!$AF$5:$AF$6</c:f>
              <c:strCache>
                <c:ptCount val="1"/>
                <c:pt idx="0">
                  <c:v>SE4_EL</c:v>
                </c:pt>
              </c:strCache>
            </c:strRef>
          </c:tx>
          <c:spPr>
            <a:ln w="28575" cap="rnd">
              <a:solidFill>
                <a:schemeClr val="accent3">
                  <a:lumMod val="60000"/>
                  <a:lumOff val="4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Prices'!$AF$7:$AF$31</c:f>
              <c:numCache>
                <c:formatCode>General</c:formatCode>
                <c:ptCount val="24"/>
                <c:pt idx="0">
                  <c:v>8.0669349071624499</c:v>
                </c:pt>
                <c:pt idx="1">
                  <c:v>8.0669349071624499</c:v>
                </c:pt>
                <c:pt idx="2">
                  <c:v>8.0669349071624499</c:v>
                </c:pt>
                <c:pt idx="3">
                  <c:v>7.6984543200083504</c:v>
                </c:pt>
                <c:pt idx="4">
                  <c:v>9.6776871424266897</c:v>
                </c:pt>
                <c:pt idx="5">
                  <c:v>10.070392856143499</c:v>
                </c:pt>
                <c:pt idx="6">
                  <c:v>10.6427303473282</c:v>
                </c:pt>
                <c:pt idx="7">
                  <c:v>11.2948574242172</c:v>
                </c:pt>
                <c:pt idx="8">
                  <c:v>11.2948574242172</c:v>
                </c:pt>
                <c:pt idx="9">
                  <c:v>11.195789476899099</c:v>
                </c:pt>
                <c:pt idx="10">
                  <c:v>10.9198907466106</c:v>
                </c:pt>
                <c:pt idx="11">
                  <c:v>10.755341373867999</c:v>
                </c:pt>
                <c:pt idx="12">
                  <c:v>10.507527641085201</c:v>
                </c:pt>
                <c:pt idx="13">
                  <c:v>10.507527641085201</c:v>
                </c:pt>
                <c:pt idx="14">
                  <c:v>10.507527641085201</c:v>
                </c:pt>
                <c:pt idx="15">
                  <c:v>10.5566954876188</c:v>
                </c:pt>
                <c:pt idx="16">
                  <c:v>10.5566954876188</c:v>
                </c:pt>
                <c:pt idx="17">
                  <c:v>10.5566954876188</c:v>
                </c:pt>
                <c:pt idx="18">
                  <c:v>10.1699573913974</c:v>
                </c:pt>
                <c:pt idx="19">
                  <c:v>9.4677072246509493</c:v>
                </c:pt>
                <c:pt idx="20">
                  <c:v>9.5733191835797005</c:v>
                </c:pt>
                <c:pt idx="21">
                  <c:v>7.5515724442041101</c:v>
                </c:pt>
                <c:pt idx="22">
                  <c:v>8.0721736968137101</c:v>
                </c:pt>
                <c:pt idx="23">
                  <c:v>8.3076386641659106</c:v>
                </c:pt>
              </c:numCache>
            </c:numRef>
          </c:val>
          <c:smooth val="0"/>
          <c:extLst>
            <c:ext xmlns:c16="http://schemas.microsoft.com/office/drawing/2014/chart" uri="{C3380CC4-5D6E-409C-BE32-E72D297353CC}">
              <c16:uniqueId val="{0000000E-BC5E-47F8-A4BE-F3F99D5880DE}"/>
            </c:ext>
          </c:extLst>
        </c:ser>
        <c:ser>
          <c:idx val="27"/>
          <c:order val="27"/>
          <c:tx>
            <c:strRef>
              <c:f>'HE Prices'!$AG$5:$AG$6</c:f>
              <c:strCache>
                <c:ptCount val="1"/>
                <c:pt idx="0">
                  <c:v>SE4_HP</c:v>
                </c:pt>
              </c:strCache>
            </c:strRef>
          </c:tx>
          <c:spPr>
            <a:ln w="28575" cap="rnd">
              <a:solidFill>
                <a:schemeClr val="accent4">
                  <a:lumMod val="60000"/>
                  <a:lumOff val="4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Prices'!$AG$7:$AG$31</c:f>
              <c:numCache>
                <c:formatCode>General</c:formatCode>
                <c:ptCount val="24"/>
                <c:pt idx="0">
                  <c:v>31.300906119038199</c:v>
                </c:pt>
                <c:pt idx="1">
                  <c:v>31.300906119038199</c:v>
                </c:pt>
                <c:pt idx="2">
                  <c:v>31.300906119038199</c:v>
                </c:pt>
                <c:pt idx="3">
                  <c:v>31.300906119038199</c:v>
                </c:pt>
                <c:pt idx="4">
                  <c:v>31.300906119038199</c:v>
                </c:pt>
                <c:pt idx="5">
                  <c:v>31.300906119038199</c:v>
                </c:pt>
                <c:pt idx="6">
                  <c:v>29.5266598963657</c:v>
                </c:pt>
                <c:pt idx="7">
                  <c:v>27.812176594695899</c:v>
                </c:pt>
                <c:pt idx="8">
                  <c:v>27.812176594695899</c:v>
                </c:pt>
                <c:pt idx="9">
                  <c:v>27.812176594695899</c:v>
                </c:pt>
                <c:pt idx="10">
                  <c:v>28.6674626585901</c:v>
                </c:pt>
                <c:pt idx="11">
                  <c:v>29.1775657140922</c:v>
                </c:pt>
                <c:pt idx="12">
                  <c:v>29.945788285718901</c:v>
                </c:pt>
                <c:pt idx="13">
                  <c:v>29.945788285718901</c:v>
                </c:pt>
                <c:pt idx="14">
                  <c:v>29.945788285718901</c:v>
                </c:pt>
                <c:pt idx="15">
                  <c:v>29.7933679614647</c:v>
                </c:pt>
                <c:pt idx="16">
                  <c:v>29.7933679614647</c:v>
                </c:pt>
                <c:pt idx="17">
                  <c:v>29.7933679614647</c:v>
                </c:pt>
                <c:pt idx="18">
                  <c:v>30.992256059751</c:v>
                </c:pt>
                <c:pt idx="19">
                  <c:v>31.3047700566547</c:v>
                </c:pt>
                <c:pt idx="20">
                  <c:v>31.3047700566547</c:v>
                </c:pt>
                <c:pt idx="21">
                  <c:v>31.3047700566547</c:v>
                </c:pt>
                <c:pt idx="22">
                  <c:v>27.689013142440601</c:v>
                </c:pt>
                <c:pt idx="23">
                  <c:v>27.689013142440601</c:v>
                </c:pt>
              </c:numCache>
            </c:numRef>
          </c:val>
          <c:smooth val="0"/>
          <c:extLst>
            <c:ext xmlns:c16="http://schemas.microsoft.com/office/drawing/2014/chart" uri="{C3380CC4-5D6E-409C-BE32-E72D297353CC}">
              <c16:uniqueId val="{0000000F-BC5E-47F8-A4BE-F3F99D5880DE}"/>
            </c:ext>
          </c:extLst>
        </c:ser>
        <c:ser>
          <c:idx val="28"/>
          <c:order val="28"/>
          <c:tx>
            <c:strRef>
              <c:f>'HE Prices'!$AH$5:$AH$6</c:f>
              <c:strCache>
                <c:ptCount val="1"/>
                <c:pt idx="0">
                  <c:v>SE4_MAL</c:v>
                </c:pt>
              </c:strCache>
            </c:strRef>
          </c:tx>
          <c:spPr>
            <a:ln w="28575" cap="rnd">
              <a:solidFill>
                <a:schemeClr val="accent5">
                  <a:lumMod val="60000"/>
                  <a:lumOff val="4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Prices'!$AH$7:$AH$31</c:f>
              <c:numCache>
                <c:formatCode>General</c:formatCode>
                <c:ptCount val="24"/>
                <c:pt idx="0">
                  <c:v>25.345600000000001</c:v>
                </c:pt>
                <c:pt idx="1">
                  <c:v>25.345600000000001</c:v>
                </c:pt>
                <c:pt idx="2">
                  <c:v>25.345600000000001</c:v>
                </c:pt>
                <c:pt idx="3">
                  <c:v>25.345600000000001</c:v>
                </c:pt>
                <c:pt idx="4">
                  <c:v>25.345600000000001</c:v>
                </c:pt>
                <c:pt idx="5">
                  <c:v>25.345600000000001</c:v>
                </c:pt>
                <c:pt idx="6">
                  <c:v>30.5144140877659</c:v>
                </c:pt>
                <c:pt idx="7">
                  <c:v>29.645128694272799</c:v>
                </c:pt>
                <c:pt idx="8">
                  <c:v>29.645128694272799</c:v>
                </c:pt>
                <c:pt idx="9">
                  <c:v>29.777186268047899</c:v>
                </c:pt>
                <c:pt idx="10">
                  <c:v>30.1449592755224</c:v>
                </c:pt>
                <c:pt idx="11">
                  <c:v>30.3643035893883</c:v>
                </c:pt>
                <c:pt idx="12">
                  <c:v>30.694639295187802</c:v>
                </c:pt>
                <c:pt idx="13">
                  <c:v>30.694639295187802</c:v>
                </c:pt>
                <c:pt idx="14">
                  <c:v>30.694639295187802</c:v>
                </c:pt>
                <c:pt idx="15">
                  <c:v>30.6290985557585</c:v>
                </c:pt>
                <c:pt idx="16">
                  <c:v>30.6290985557585</c:v>
                </c:pt>
                <c:pt idx="17">
                  <c:v>30.6290985557585</c:v>
                </c:pt>
                <c:pt idx="18">
                  <c:v>30.8629501366018</c:v>
                </c:pt>
                <c:pt idx="19">
                  <c:v>30.8629501366018</c:v>
                </c:pt>
                <c:pt idx="20">
                  <c:v>25.345600000000001</c:v>
                </c:pt>
                <c:pt idx="21">
                  <c:v>25.345600000000001</c:v>
                </c:pt>
                <c:pt idx="22">
                  <c:v>25.345600000000001</c:v>
                </c:pt>
                <c:pt idx="23">
                  <c:v>25.345600000000001</c:v>
                </c:pt>
              </c:numCache>
            </c:numRef>
          </c:val>
          <c:smooth val="0"/>
          <c:extLst>
            <c:ext xmlns:c16="http://schemas.microsoft.com/office/drawing/2014/chart" uri="{C3380CC4-5D6E-409C-BE32-E72D297353CC}">
              <c16:uniqueId val="{00000010-BC5E-47F8-A4BE-F3F99D5880DE}"/>
            </c:ext>
          </c:extLst>
        </c:ser>
        <c:ser>
          <c:idx val="29"/>
          <c:order val="29"/>
          <c:tx>
            <c:strRef>
              <c:f>'HE Prices'!$AI$5:$AI$6</c:f>
              <c:strCache>
                <c:ptCount val="1"/>
                <c:pt idx="0">
                  <c:v>SE4_OTHER</c:v>
                </c:pt>
              </c:strCache>
            </c:strRef>
          </c:tx>
          <c:spPr>
            <a:ln w="28575" cap="rnd">
              <a:solidFill>
                <a:schemeClr val="accent6">
                  <a:lumMod val="60000"/>
                  <a:lumOff val="4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Prices'!$AI$7:$AI$31</c:f>
              <c:numCache>
                <c:formatCode>General</c:formatCode>
                <c:ptCount val="24"/>
                <c:pt idx="0">
                  <c:v>2.8159009434003002</c:v>
                </c:pt>
                <c:pt idx="1">
                  <c:v>2.8159009434003002</c:v>
                </c:pt>
                <c:pt idx="2">
                  <c:v>2.8159009434003002</c:v>
                </c:pt>
                <c:pt idx="3">
                  <c:v>2.8159009434003002</c:v>
                </c:pt>
                <c:pt idx="4">
                  <c:v>2.8159009434003002</c:v>
                </c:pt>
                <c:pt idx="5">
                  <c:v>2.8159009434003002</c:v>
                </c:pt>
                <c:pt idx="6">
                  <c:v>7.1474774454442498</c:v>
                </c:pt>
                <c:pt idx="7">
                  <c:v>7.1474774454442498</c:v>
                </c:pt>
                <c:pt idx="8">
                  <c:v>7.1474774454442498</c:v>
                </c:pt>
                <c:pt idx="9">
                  <c:v>7.1474774454442498</c:v>
                </c:pt>
                <c:pt idx="10">
                  <c:v>7.1474774454442498</c:v>
                </c:pt>
                <c:pt idx="11">
                  <c:v>7.1474774454442498</c:v>
                </c:pt>
                <c:pt idx="12">
                  <c:v>7.1474774454442498</c:v>
                </c:pt>
                <c:pt idx="13">
                  <c:v>7.1474774454442498</c:v>
                </c:pt>
                <c:pt idx="14">
                  <c:v>7.1474774454442498</c:v>
                </c:pt>
                <c:pt idx="15">
                  <c:v>7.1474774454442498</c:v>
                </c:pt>
                <c:pt idx="16">
                  <c:v>7.1474774454442498</c:v>
                </c:pt>
                <c:pt idx="17">
                  <c:v>2.8159009434003002</c:v>
                </c:pt>
                <c:pt idx="18">
                  <c:v>2.8159009434003002</c:v>
                </c:pt>
                <c:pt idx="19">
                  <c:v>2.8159009434003002</c:v>
                </c:pt>
                <c:pt idx="20">
                  <c:v>2.8159009434003002</c:v>
                </c:pt>
                <c:pt idx="21">
                  <c:v>2.8159009434003002</c:v>
                </c:pt>
                <c:pt idx="22">
                  <c:v>2.8159009434003002</c:v>
                </c:pt>
                <c:pt idx="23">
                  <c:v>2.8159009434003002</c:v>
                </c:pt>
              </c:numCache>
            </c:numRef>
          </c:val>
          <c:smooth val="0"/>
          <c:extLst>
            <c:ext xmlns:c16="http://schemas.microsoft.com/office/drawing/2014/chart" uri="{C3380CC4-5D6E-409C-BE32-E72D297353CC}">
              <c16:uniqueId val="{00000011-BC5E-47F8-A4BE-F3F99D5880DE}"/>
            </c:ext>
          </c:extLst>
        </c:ser>
        <c:ser>
          <c:idx val="30"/>
          <c:order val="30"/>
          <c:tx>
            <c:strRef>
              <c:f>'HE Prices'!$AJ$5:$AJ$6</c:f>
              <c:strCache>
                <c:ptCount val="1"/>
                <c:pt idx="0">
                  <c:v>DE4-E_A</c:v>
                </c:pt>
              </c:strCache>
            </c:strRef>
          </c:tx>
          <c:spPr>
            <a:ln w="28575" cap="rnd">
              <a:solidFill>
                <a:schemeClr val="accent1">
                  <a:lumMod val="5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Prices'!$AJ$7:$AJ$31</c:f>
              <c:numCache>
                <c:formatCode>General</c:formatCode>
                <c:ptCount val="24"/>
                <c:pt idx="0">
                  <c:v>-3.7745851460845801</c:v>
                </c:pt>
                <c:pt idx="1">
                  <c:v>-3.7745851460845801</c:v>
                </c:pt>
                <c:pt idx="2">
                  <c:v>-3.7745851460845898</c:v>
                </c:pt>
                <c:pt idx="3">
                  <c:v>-3.7745851460845898</c:v>
                </c:pt>
                <c:pt idx="4">
                  <c:v>-3.7745851460845898</c:v>
                </c:pt>
                <c:pt idx="5">
                  <c:v>-3.7745851460845898</c:v>
                </c:pt>
                <c:pt idx="6">
                  <c:v>-3.7745851460845898</c:v>
                </c:pt>
                <c:pt idx="7">
                  <c:v>-3.7745851460845898</c:v>
                </c:pt>
                <c:pt idx="8">
                  <c:v>-3.7745851460845898</c:v>
                </c:pt>
                <c:pt idx="9">
                  <c:v>-3.7745851460845898</c:v>
                </c:pt>
                <c:pt idx="10">
                  <c:v>-3.7745851460845898</c:v>
                </c:pt>
                <c:pt idx="11">
                  <c:v>-3.7745851460845898</c:v>
                </c:pt>
                <c:pt idx="12">
                  <c:v>-3.7745851460845898</c:v>
                </c:pt>
                <c:pt idx="13">
                  <c:v>-3.7745851460845898</c:v>
                </c:pt>
                <c:pt idx="14">
                  <c:v>-3.7745851460845898</c:v>
                </c:pt>
                <c:pt idx="15">
                  <c:v>-3.7745851460845898</c:v>
                </c:pt>
                <c:pt idx="16">
                  <c:v>-3.7745851460845898</c:v>
                </c:pt>
                <c:pt idx="17">
                  <c:v>-3.7745851460845898</c:v>
                </c:pt>
                <c:pt idx="18">
                  <c:v>-3.7745851460845898</c:v>
                </c:pt>
                <c:pt idx="19">
                  <c:v>-3.7745851460845898</c:v>
                </c:pt>
                <c:pt idx="20">
                  <c:v>-3.7745851460845898</c:v>
                </c:pt>
                <c:pt idx="21">
                  <c:v>-3.7745851460845898</c:v>
                </c:pt>
                <c:pt idx="22">
                  <c:v>-3.7745851460845898</c:v>
                </c:pt>
                <c:pt idx="23">
                  <c:v>-3.58585588878036</c:v>
                </c:pt>
              </c:numCache>
            </c:numRef>
          </c:val>
          <c:smooth val="0"/>
          <c:extLst>
            <c:ext xmlns:c16="http://schemas.microsoft.com/office/drawing/2014/chart" uri="{C3380CC4-5D6E-409C-BE32-E72D297353CC}">
              <c16:uniqueId val="{00000000-781B-4F5C-AD02-166A1DB1A6E1}"/>
            </c:ext>
          </c:extLst>
        </c:ser>
        <c:ser>
          <c:idx val="31"/>
          <c:order val="31"/>
          <c:tx>
            <c:strRef>
              <c:f>'HE Prices'!$AK$5:$AK$6</c:f>
              <c:strCache>
                <c:ptCount val="1"/>
                <c:pt idx="0">
                  <c:v>DE4-N_A</c:v>
                </c:pt>
              </c:strCache>
            </c:strRef>
          </c:tx>
          <c:spPr>
            <a:ln w="28575" cap="rnd">
              <a:solidFill>
                <a:schemeClr val="accent2">
                  <a:lumMod val="5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Prices'!$AK$7:$AK$31</c:f>
              <c:numCache>
                <c:formatCode>General</c:formatCode>
                <c:ptCount val="24"/>
                <c:pt idx="0">
                  <c:v>23.0897034036572</c:v>
                </c:pt>
                <c:pt idx="1">
                  <c:v>23.0897034036572</c:v>
                </c:pt>
                <c:pt idx="2">
                  <c:v>23.0897034036572</c:v>
                </c:pt>
                <c:pt idx="3">
                  <c:v>23.0897034036572</c:v>
                </c:pt>
                <c:pt idx="4">
                  <c:v>23.0897034036572</c:v>
                </c:pt>
                <c:pt idx="5">
                  <c:v>23.0897034036572</c:v>
                </c:pt>
                <c:pt idx="6">
                  <c:v>27.031341266844599</c:v>
                </c:pt>
                <c:pt idx="7">
                  <c:v>28.488322140451501</c:v>
                </c:pt>
                <c:pt idx="8">
                  <c:v>28.488322140451501</c:v>
                </c:pt>
                <c:pt idx="9">
                  <c:v>28.488322140451501</c:v>
                </c:pt>
                <c:pt idx="10">
                  <c:v>28.488322140451501</c:v>
                </c:pt>
                <c:pt idx="11">
                  <c:v>28.488322140451501</c:v>
                </c:pt>
                <c:pt idx="12">
                  <c:v>28.488322140451501</c:v>
                </c:pt>
                <c:pt idx="13">
                  <c:v>28.488322140451501</c:v>
                </c:pt>
                <c:pt idx="14">
                  <c:v>28.488322140451501</c:v>
                </c:pt>
                <c:pt idx="15">
                  <c:v>28.488322140451501</c:v>
                </c:pt>
                <c:pt idx="16">
                  <c:v>28.488322140451501</c:v>
                </c:pt>
                <c:pt idx="17">
                  <c:v>28.488322140451501</c:v>
                </c:pt>
                <c:pt idx="18">
                  <c:v>28.488322140451501</c:v>
                </c:pt>
                <c:pt idx="19">
                  <c:v>28.488322140451501</c:v>
                </c:pt>
                <c:pt idx="20">
                  <c:v>28.488322140451501</c:v>
                </c:pt>
                <c:pt idx="21">
                  <c:v>24.014374516938201</c:v>
                </c:pt>
                <c:pt idx="22">
                  <c:v>23.0897034036572</c:v>
                </c:pt>
                <c:pt idx="23">
                  <c:v>23.0897034036572</c:v>
                </c:pt>
              </c:numCache>
            </c:numRef>
          </c:val>
          <c:smooth val="0"/>
          <c:extLst>
            <c:ext xmlns:c16="http://schemas.microsoft.com/office/drawing/2014/chart" uri="{C3380CC4-5D6E-409C-BE32-E72D297353CC}">
              <c16:uniqueId val="{00000001-781B-4F5C-AD02-166A1DB1A6E1}"/>
            </c:ext>
          </c:extLst>
        </c:ser>
        <c:ser>
          <c:idx val="32"/>
          <c:order val="32"/>
          <c:tx>
            <c:strRef>
              <c:f>'HE Prices'!$AL$5:$AL$6</c:f>
              <c:strCache>
                <c:ptCount val="1"/>
                <c:pt idx="0">
                  <c:v>DE4-S_A</c:v>
                </c:pt>
              </c:strCache>
            </c:strRef>
          </c:tx>
          <c:spPr>
            <a:ln w="28575" cap="rnd">
              <a:solidFill>
                <a:schemeClr val="accent3">
                  <a:lumMod val="5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Prices'!$AL$7:$AL$31</c:f>
              <c:numCache>
                <c:formatCode>General</c:formatCode>
                <c:ptCount val="24"/>
                <c:pt idx="0">
                  <c:v>-0.25324682801802001</c:v>
                </c:pt>
                <c:pt idx="1">
                  <c:v>-0.25324682801802001</c:v>
                </c:pt>
                <c:pt idx="2">
                  <c:v>-0.25324682801802001</c:v>
                </c:pt>
                <c:pt idx="3">
                  <c:v>-0.25324682801802001</c:v>
                </c:pt>
                <c:pt idx="4">
                  <c:v>-0.25324682801802001</c:v>
                </c:pt>
                <c:pt idx="5">
                  <c:v>-1.4250776069428199</c:v>
                </c:pt>
                <c:pt idx="6">
                  <c:v>-2.5953402010826601</c:v>
                </c:pt>
                <c:pt idx="7">
                  <c:v>-2.5953402010826601</c:v>
                </c:pt>
                <c:pt idx="8">
                  <c:v>-2.5953402010826601</c:v>
                </c:pt>
                <c:pt idx="9">
                  <c:v>-2.5953402010826601</c:v>
                </c:pt>
                <c:pt idx="10">
                  <c:v>-2.5953402010826601</c:v>
                </c:pt>
                <c:pt idx="11">
                  <c:v>-2.2672125476224498</c:v>
                </c:pt>
                <c:pt idx="12">
                  <c:v>-2.2672125476224498</c:v>
                </c:pt>
                <c:pt idx="13">
                  <c:v>-2.2672125476224498</c:v>
                </c:pt>
                <c:pt idx="14">
                  <c:v>-2.2672125476224498</c:v>
                </c:pt>
                <c:pt idx="15">
                  <c:v>-2.3865395238131</c:v>
                </c:pt>
                <c:pt idx="16">
                  <c:v>-2.3865395238131</c:v>
                </c:pt>
                <c:pt idx="17">
                  <c:v>-2.3865395238131</c:v>
                </c:pt>
                <c:pt idx="18">
                  <c:v>-2.3865395238131</c:v>
                </c:pt>
                <c:pt idx="19">
                  <c:v>-2.2672125476224498</c:v>
                </c:pt>
                <c:pt idx="20">
                  <c:v>-2.2672125476224498</c:v>
                </c:pt>
                <c:pt idx="21">
                  <c:v>-0.25324682801802001</c:v>
                </c:pt>
                <c:pt idx="22">
                  <c:v>-0.25324682801802001</c:v>
                </c:pt>
                <c:pt idx="23">
                  <c:v>-0.25324682801802001</c:v>
                </c:pt>
              </c:numCache>
            </c:numRef>
          </c:val>
          <c:smooth val="0"/>
          <c:extLst>
            <c:ext xmlns:c16="http://schemas.microsoft.com/office/drawing/2014/chart" uri="{C3380CC4-5D6E-409C-BE32-E72D297353CC}">
              <c16:uniqueId val="{00000002-781B-4F5C-AD02-166A1DB1A6E1}"/>
            </c:ext>
          </c:extLst>
        </c:ser>
        <c:ser>
          <c:idx val="33"/>
          <c:order val="33"/>
          <c:tx>
            <c:strRef>
              <c:f>'HE Prices'!$AM$5:$AM$6</c:f>
              <c:strCache>
                <c:ptCount val="1"/>
                <c:pt idx="0">
                  <c:v>DE4-W_A</c:v>
                </c:pt>
              </c:strCache>
            </c:strRef>
          </c:tx>
          <c:spPr>
            <a:ln w="28575" cap="rnd">
              <a:solidFill>
                <a:schemeClr val="accent4">
                  <a:lumMod val="5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Prices'!$AM$7:$AM$31</c:f>
              <c:numCache>
                <c:formatCode>General</c:formatCode>
                <c:ptCount val="24"/>
                <c:pt idx="0">
                  <c:v>-3.7745851460845898</c:v>
                </c:pt>
                <c:pt idx="1">
                  <c:v>-3.7745851460845898</c:v>
                </c:pt>
                <c:pt idx="2">
                  <c:v>-3.7745851460845898</c:v>
                </c:pt>
                <c:pt idx="3">
                  <c:v>-3.7745851460845898</c:v>
                </c:pt>
                <c:pt idx="4">
                  <c:v>-3.7745851460845898</c:v>
                </c:pt>
                <c:pt idx="5">
                  <c:v>-3.7745851460845898</c:v>
                </c:pt>
                <c:pt idx="6">
                  <c:v>-3.7745851460845898</c:v>
                </c:pt>
                <c:pt idx="7">
                  <c:v>-3.7745851460845898</c:v>
                </c:pt>
                <c:pt idx="8">
                  <c:v>-3.7745851460845898</c:v>
                </c:pt>
                <c:pt idx="9">
                  <c:v>-3.7745851460845898</c:v>
                </c:pt>
                <c:pt idx="10">
                  <c:v>-3.7745851460845898</c:v>
                </c:pt>
                <c:pt idx="11">
                  <c:v>-3.7745851460845898</c:v>
                </c:pt>
                <c:pt idx="12">
                  <c:v>-3.7745851460845898</c:v>
                </c:pt>
                <c:pt idx="13">
                  <c:v>-3.7745851460845898</c:v>
                </c:pt>
                <c:pt idx="14">
                  <c:v>-3.7745851460845898</c:v>
                </c:pt>
                <c:pt idx="15">
                  <c:v>-3.7745851460845898</c:v>
                </c:pt>
                <c:pt idx="16">
                  <c:v>-3.7745851460845898</c:v>
                </c:pt>
                <c:pt idx="17">
                  <c:v>-3.7745851460845898</c:v>
                </c:pt>
                <c:pt idx="18">
                  <c:v>-3.7745851460845898</c:v>
                </c:pt>
                <c:pt idx="19">
                  <c:v>-3.7745851460845898</c:v>
                </c:pt>
                <c:pt idx="20">
                  <c:v>-3.7745851460845898</c:v>
                </c:pt>
                <c:pt idx="21">
                  <c:v>-3.7745851460845898</c:v>
                </c:pt>
                <c:pt idx="22">
                  <c:v>-3.7745851460845898</c:v>
                </c:pt>
                <c:pt idx="23">
                  <c:v>-3.58585588878036</c:v>
                </c:pt>
              </c:numCache>
            </c:numRef>
          </c:val>
          <c:smooth val="0"/>
          <c:extLst>
            <c:ext xmlns:c16="http://schemas.microsoft.com/office/drawing/2014/chart" uri="{C3380CC4-5D6E-409C-BE32-E72D297353CC}">
              <c16:uniqueId val="{00000003-781B-4F5C-AD02-166A1DB1A6E1}"/>
            </c:ext>
          </c:extLst>
        </c:ser>
        <c:ser>
          <c:idx val="34"/>
          <c:order val="34"/>
          <c:tx>
            <c:strRef>
              <c:f>'HE Prices'!$AN$5:$AN$6</c:f>
              <c:strCache>
                <c:ptCount val="1"/>
                <c:pt idx="0">
                  <c:v>EE_Industry</c:v>
                </c:pt>
              </c:strCache>
            </c:strRef>
          </c:tx>
          <c:spPr>
            <a:ln w="28575" cap="rnd">
              <a:solidFill>
                <a:schemeClr val="accent5">
                  <a:lumMod val="5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Prices'!$AN$7:$AN$31</c:f>
              <c:numCache>
                <c:formatCode>General</c:formatCode>
                <c:ptCount val="24"/>
                <c:pt idx="0">
                  <c:v>1.55929152906108</c:v>
                </c:pt>
                <c:pt idx="1">
                  <c:v>1.66242250337278</c:v>
                </c:pt>
                <c:pt idx="2">
                  <c:v>1.84142285090816</c:v>
                </c:pt>
                <c:pt idx="3">
                  <c:v>1.8400553836420801</c:v>
                </c:pt>
                <c:pt idx="4">
                  <c:v>1.79921157513017</c:v>
                </c:pt>
                <c:pt idx="5">
                  <c:v>1.5073832271368801</c:v>
                </c:pt>
                <c:pt idx="6">
                  <c:v>1.3932487237989599</c:v>
                </c:pt>
                <c:pt idx="7">
                  <c:v>1.11891969249805</c:v>
                </c:pt>
                <c:pt idx="8">
                  <c:v>1.11891969249805</c:v>
                </c:pt>
                <c:pt idx="9">
                  <c:v>1.1605944135515001</c:v>
                </c:pt>
                <c:pt idx="10">
                  <c:v>1.2766561967521699</c:v>
                </c:pt>
                <c:pt idx="11">
                  <c:v>1.3458768619038</c:v>
                </c:pt>
                <c:pt idx="12">
                  <c:v>1.45012418373206</c:v>
                </c:pt>
                <c:pt idx="13">
                  <c:v>1.45012418373207</c:v>
                </c:pt>
                <c:pt idx="14">
                  <c:v>1.45012418373207</c:v>
                </c:pt>
                <c:pt idx="15">
                  <c:v>1.3877806572868601</c:v>
                </c:pt>
                <c:pt idx="16">
                  <c:v>0.50625993346189402</c:v>
                </c:pt>
                <c:pt idx="17">
                  <c:v>0.50625993346189402</c:v>
                </c:pt>
                <c:pt idx="18">
                  <c:v>1.2762674292935701</c:v>
                </c:pt>
                <c:pt idx="19">
                  <c:v>1.3877806572868601</c:v>
                </c:pt>
                <c:pt idx="20">
                  <c:v>1.50133418299946</c:v>
                </c:pt>
                <c:pt idx="21">
                  <c:v>1.50133418299946</c:v>
                </c:pt>
                <c:pt idx="22">
                  <c:v>1.50133418299946</c:v>
                </c:pt>
                <c:pt idx="23">
                  <c:v>1.80383493703634</c:v>
                </c:pt>
              </c:numCache>
            </c:numRef>
          </c:val>
          <c:smooth val="0"/>
          <c:extLst>
            <c:ext xmlns:c16="http://schemas.microsoft.com/office/drawing/2014/chart" uri="{C3380CC4-5D6E-409C-BE32-E72D297353CC}">
              <c16:uniqueId val="{00000004-781B-4F5C-AD02-166A1DB1A6E1}"/>
            </c:ext>
          </c:extLst>
        </c:ser>
        <c:ser>
          <c:idx val="35"/>
          <c:order val="35"/>
          <c:tx>
            <c:strRef>
              <c:f>'HE Prices'!$AO$5:$AO$6</c:f>
              <c:strCache>
                <c:ptCount val="1"/>
                <c:pt idx="0">
                  <c:v>EE_Kohtla_Jarve</c:v>
                </c:pt>
              </c:strCache>
            </c:strRef>
          </c:tx>
          <c:spPr>
            <a:ln w="28575" cap="rnd">
              <a:solidFill>
                <a:schemeClr val="accent6">
                  <a:lumMod val="5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Prices'!$AO$7:$AO$31</c:f>
              <c:numCache>
                <c:formatCode>General</c:formatCode>
                <c:ptCount val="24"/>
                <c:pt idx="0">
                  <c:v>31.078934364606901</c:v>
                </c:pt>
                <c:pt idx="1">
                  <c:v>31.078934364606901</c:v>
                </c:pt>
                <c:pt idx="2">
                  <c:v>31.078934364606901</c:v>
                </c:pt>
                <c:pt idx="3">
                  <c:v>31.078934364606901</c:v>
                </c:pt>
                <c:pt idx="4">
                  <c:v>31.078934364606901</c:v>
                </c:pt>
                <c:pt idx="5">
                  <c:v>31.078934364606901</c:v>
                </c:pt>
                <c:pt idx="6">
                  <c:v>31.078934364606901</c:v>
                </c:pt>
                <c:pt idx="7">
                  <c:v>31.078934364606901</c:v>
                </c:pt>
                <c:pt idx="8">
                  <c:v>31.078934364606901</c:v>
                </c:pt>
                <c:pt idx="9">
                  <c:v>31.078934364606901</c:v>
                </c:pt>
                <c:pt idx="10">
                  <c:v>31.078934364606901</c:v>
                </c:pt>
                <c:pt idx="11">
                  <c:v>31.078934364606901</c:v>
                </c:pt>
                <c:pt idx="12">
                  <c:v>31.078934364606901</c:v>
                </c:pt>
                <c:pt idx="13">
                  <c:v>31.078934364606901</c:v>
                </c:pt>
                <c:pt idx="14">
                  <c:v>31.078934364606901</c:v>
                </c:pt>
                <c:pt idx="15">
                  <c:v>31.078934364606901</c:v>
                </c:pt>
                <c:pt idx="16">
                  <c:v>31.078934364606901</c:v>
                </c:pt>
                <c:pt idx="17">
                  <c:v>31.078934364606901</c:v>
                </c:pt>
                <c:pt idx="18">
                  <c:v>31.078934364606901</c:v>
                </c:pt>
                <c:pt idx="19">
                  <c:v>31.078934364606901</c:v>
                </c:pt>
                <c:pt idx="20">
                  <c:v>31.078934364606901</c:v>
                </c:pt>
                <c:pt idx="21">
                  <c:v>31.078934364606901</c:v>
                </c:pt>
                <c:pt idx="22">
                  <c:v>31.078934364606901</c:v>
                </c:pt>
                <c:pt idx="23">
                  <c:v>31.078934364606901</c:v>
                </c:pt>
              </c:numCache>
            </c:numRef>
          </c:val>
          <c:smooth val="0"/>
          <c:extLst>
            <c:ext xmlns:c16="http://schemas.microsoft.com/office/drawing/2014/chart" uri="{C3380CC4-5D6E-409C-BE32-E72D297353CC}">
              <c16:uniqueId val="{00000005-781B-4F5C-AD02-166A1DB1A6E1}"/>
            </c:ext>
          </c:extLst>
        </c:ser>
        <c:ser>
          <c:idx val="36"/>
          <c:order val="36"/>
          <c:tx>
            <c:strRef>
              <c:f>'HE Prices'!$AP$5:$AP$6</c:f>
              <c:strCache>
                <c:ptCount val="1"/>
                <c:pt idx="0">
                  <c:v>EE_Narva</c:v>
                </c:pt>
              </c:strCache>
            </c:strRef>
          </c:tx>
          <c:spPr>
            <a:ln w="28575" cap="rnd">
              <a:solidFill>
                <a:schemeClr val="accent1">
                  <a:lumMod val="70000"/>
                  <a:lumOff val="3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Prices'!$AP$7:$AP$31</c:f>
              <c:numCache>
                <c:formatCode>General</c:formatCode>
                <c:ptCount val="24"/>
                <c:pt idx="0">
                  <c:v>7.1545516890911198</c:v>
                </c:pt>
                <c:pt idx="1">
                  <c:v>7.8288695980522398</c:v>
                </c:pt>
                <c:pt idx="2">
                  <c:v>8.9992564857835902</c:v>
                </c:pt>
                <c:pt idx="3">
                  <c:v>8.9903153536591898</c:v>
                </c:pt>
                <c:pt idx="4">
                  <c:v>8.7232596826197693</c:v>
                </c:pt>
                <c:pt idx="5">
                  <c:v>6.8151512534329202</c:v>
                </c:pt>
                <c:pt idx="6">
                  <c:v>6.8878008928428596</c:v>
                </c:pt>
                <c:pt idx="7">
                  <c:v>7.3098455563827303</c:v>
                </c:pt>
                <c:pt idx="8">
                  <c:v>7.3098455563827303</c:v>
                </c:pt>
                <c:pt idx="9">
                  <c:v>7.2457306009158904</c:v>
                </c:pt>
                <c:pt idx="10">
                  <c:v>7.0671740113763803</c:v>
                </c:pt>
                <c:pt idx="11">
                  <c:v>6.9606806803738701</c:v>
                </c:pt>
                <c:pt idx="12">
                  <c:v>6.8003001852534704</c:v>
                </c:pt>
                <c:pt idx="13">
                  <c:v>6.8003001852534704</c:v>
                </c:pt>
                <c:pt idx="14">
                  <c:v>6.8003001852534704</c:v>
                </c:pt>
                <c:pt idx="15">
                  <c:v>6.8962133028614803</c:v>
                </c:pt>
                <c:pt idx="16">
                  <c:v>8.2523990318229608</c:v>
                </c:pt>
                <c:pt idx="17">
                  <c:v>8.2523990318229608</c:v>
                </c:pt>
                <c:pt idx="18">
                  <c:v>7.0677721151588502</c:v>
                </c:pt>
                <c:pt idx="19">
                  <c:v>6.8962133028614803</c:v>
                </c:pt>
                <c:pt idx="20">
                  <c:v>6.7755998109959403</c:v>
                </c:pt>
                <c:pt idx="21">
                  <c:v>6.7755998109959403</c:v>
                </c:pt>
                <c:pt idx="22">
                  <c:v>6.7755998109959403</c:v>
                </c:pt>
                <c:pt idx="23">
                  <c:v>8.7534893566216905</c:v>
                </c:pt>
              </c:numCache>
            </c:numRef>
          </c:val>
          <c:smooth val="0"/>
          <c:extLst>
            <c:ext xmlns:c16="http://schemas.microsoft.com/office/drawing/2014/chart" uri="{C3380CC4-5D6E-409C-BE32-E72D297353CC}">
              <c16:uniqueId val="{00000006-781B-4F5C-AD02-166A1DB1A6E1}"/>
            </c:ext>
          </c:extLst>
        </c:ser>
        <c:ser>
          <c:idx val="37"/>
          <c:order val="37"/>
          <c:tx>
            <c:strRef>
              <c:f>'HE Prices'!$AQ$5:$AQ$6</c:f>
              <c:strCache>
                <c:ptCount val="1"/>
                <c:pt idx="0">
                  <c:v>EE_Parnu</c:v>
                </c:pt>
              </c:strCache>
            </c:strRef>
          </c:tx>
          <c:spPr>
            <a:ln w="28575" cap="rnd">
              <a:solidFill>
                <a:schemeClr val="accent2">
                  <a:lumMod val="70000"/>
                  <a:lumOff val="3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Prices'!$AQ$7:$AQ$31</c:f>
              <c:numCache>
                <c:formatCode>General</c:formatCode>
                <c:ptCount val="24"/>
                <c:pt idx="0">
                  <c:v>24.013573319187699</c:v>
                </c:pt>
                <c:pt idx="1">
                  <c:v>24.377175848796998</c:v>
                </c:pt>
                <c:pt idx="2">
                  <c:v>25.008266358696499</c:v>
                </c:pt>
                <c:pt idx="3">
                  <c:v>25.003445163508299</c:v>
                </c:pt>
                <c:pt idx="4">
                  <c:v>24.859444661303002</c:v>
                </c:pt>
                <c:pt idx="5">
                  <c:v>23.830563413450601</c:v>
                </c:pt>
                <c:pt idx="6">
                  <c:v>23.428166418693898</c:v>
                </c:pt>
                <c:pt idx="7">
                  <c:v>22.460981434822799</c:v>
                </c:pt>
                <c:pt idx="8">
                  <c:v>22.460981434822799</c:v>
                </c:pt>
                <c:pt idx="9">
                  <c:v>22.607911434242698</c:v>
                </c:pt>
                <c:pt idx="10">
                  <c:v>23.017103321009699</c:v>
                </c:pt>
                <c:pt idx="11">
                  <c:v>23.261150360401601</c:v>
                </c:pt>
                <c:pt idx="12">
                  <c:v>23.628688727751701</c:v>
                </c:pt>
                <c:pt idx="13">
                  <c:v>23.628688727751701</c:v>
                </c:pt>
                <c:pt idx="14">
                  <c:v>23.628688727751701</c:v>
                </c:pt>
                <c:pt idx="15">
                  <c:v>23.408887993088602</c:v>
                </c:pt>
                <c:pt idx="16">
                  <c:v>20.300964624528</c:v>
                </c:pt>
                <c:pt idx="17">
                  <c:v>20.300964624528</c:v>
                </c:pt>
                <c:pt idx="18">
                  <c:v>23.015732667505102</c:v>
                </c:pt>
                <c:pt idx="19">
                  <c:v>23.408887993088602</c:v>
                </c:pt>
                <c:pt idx="20">
                  <c:v>23.809236670784198</c:v>
                </c:pt>
                <c:pt idx="21">
                  <c:v>23.809236670784198</c:v>
                </c:pt>
                <c:pt idx="22">
                  <c:v>23.809236670784198</c:v>
                </c:pt>
                <c:pt idx="23">
                  <c:v>24.875744963860999</c:v>
                </c:pt>
              </c:numCache>
            </c:numRef>
          </c:val>
          <c:smooth val="0"/>
          <c:extLst>
            <c:ext xmlns:c16="http://schemas.microsoft.com/office/drawing/2014/chart" uri="{C3380CC4-5D6E-409C-BE32-E72D297353CC}">
              <c16:uniqueId val="{00000007-781B-4F5C-AD02-166A1DB1A6E1}"/>
            </c:ext>
          </c:extLst>
        </c:ser>
        <c:ser>
          <c:idx val="38"/>
          <c:order val="38"/>
          <c:tx>
            <c:strRef>
              <c:f>'HE Prices'!$AR$5:$AR$6</c:f>
              <c:strCache>
                <c:ptCount val="1"/>
                <c:pt idx="0">
                  <c:v>EE_Tallinn</c:v>
                </c:pt>
              </c:strCache>
            </c:strRef>
          </c:tx>
          <c:spPr>
            <a:ln w="28575" cap="rnd">
              <a:solidFill>
                <a:schemeClr val="accent3">
                  <a:lumMod val="70000"/>
                  <a:lumOff val="3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Prices'!$AR$7:$AR$31</c:f>
              <c:numCache>
                <c:formatCode>General</c:formatCode>
                <c:ptCount val="24"/>
                <c:pt idx="0">
                  <c:v>32.558150856654699</c:v>
                </c:pt>
                <c:pt idx="1">
                  <c:v>32.558150856654699</c:v>
                </c:pt>
                <c:pt idx="2">
                  <c:v>32.558150856654699</c:v>
                </c:pt>
                <c:pt idx="3">
                  <c:v>32.558150856654699</c:v>
                </c:pt>
                <c:pt idx="4">
                  <c:v>32.558150856654699</c:v>
                </c:pt>
                <c:pt idx="5">
                  <c:v>32.558150856654699</c:v>
                </c:pt>
                <c:pt idx="6">
                  <c:v>32.558150856654699</c:v>
                </c:pt>
                <c:pt idx="7">
                  <c:v>32.558150856654699</c:v>
                </c:pt>
                <c:pt idx="8">
                  <c:v>32.558150856654699</c:v>
                </c:pt>
                <c:pt idx="9">
                  <c:v>32.558150856654699</c:v>
                </c:pt>
                <c:pt idx="10">
                  <c:v>32.558150856654699</c:v>
                </c:pt>
                <c:pt idx="11">
                  <c:v>32.558150856654699</c:v>
                </c:pt>
                <c:pt idx="12">
                  <c:v>32.558150856654699</c:v>
                </c:pt>
                <c:pt idx="13">
                  <c:v>32.558150856654699</c:v>
                </c:pt>
                <c:pt idx="14">
                  <c:v>32.558150856654699</c:v>
                </c:pt>
                <c:pt idx="15">
                  <c:v>32.558150856654699</c:v>
                </c:pt>
                <c:pt idx="16">
                  <c:v>32.558150856654699</c:v>
                </c:pt>
                <c:pt idx="17">
                  <c:v>32.558150856654699</c:v>
                </c:pt>
                <c:pt idx="18">
                  <c:v>32.558150856654699</c:v>
                </c:pt>
                <c:pt idx="19">
                  <c:v>32.558150856654699</c:v>
                </c:pt>
                <c:pt idx="20">
                  <c:v>32.558150856654699</c:v>
                </c:pt>
                <c:pt idx="21">
                  <c:v>32.558150856654699</c:v>
                </c:pt>
                <c:pt idx="22">
                  <c:v>32.558150856654699</c:v>
                </c:pt>
                <c:pt idx="23">
                  <c:v>32.558150856654699</c:v>
                </c:pt>
              </c:numCache>
            </c:numRef>
          </c:val>
          <c:smooth val="0"/>
          <c:extLst>
            <c:ext xmlns:c16="http://schemas.microsoft.com/office/drawing/2014/chart" uri="{C3380CC4-5D6E-409C-BE32-E72D297353CC}">
              <c16:uniqueId val="{00000008-781B-4F5C-AD02-166A1DB1A6E1}"/>
            </c:ext>
          </c:extLst>
        </c:ser>
        <c:ser>
          <c:idx val="39"/>
          <c:order val="39"/>
          <c:tx>
            <c:strRef>
              <c:f>'HE Prices'!$AS$5:$AS$6</c:f>
              <c:strCache>
                <c:ptCount val="1"/>
                <c:pt idx="0">
                  <c:v>EE_Tartu</c:v>
                </c:pt>
              </c:strCache>
            </c:strRef>
          </c:tx>
          <c:spPr>
            <a:ln w="28575" cap="rnd">
              <a:solidFill>
                <a:schemeClr val="accent4">
                  <a:lumMod val="70000"/>
                  <a:lumOff val="3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Prices'!$AS$7:$AS$31</c:f>
              <c:numCache>
                <c:formatCode>General</c:formatCode>
                <c:ptCount val="24"/>
                <c:pt idx="0">
                  <c:v>32.558150856654699</c:v>
                </c:pt>
                <c:pt idx="1">
                  <c:v>32.558150856654699</c:v>
                </c:pt>
                <c:pt idx="2">
                  <c:v>32.558150856654699</c:v>
                </c:pt>
                <c:pt idx="3">
                  <c:v>32.558150856654699</c:v>
                </c:pt>
                <c:pt idx="4">
                  <c:v>32.558150856654699</c:v>
                </c:pt>
                <c:pt idx="5">
                  <c:v>32.558150856654699</c:v>
                </c:pt>
                <c:pt idx="6">
                  <c:v>32.558150856654699</c:v>
                </c:pt>
                <c:pt idx="7">
                  <c:v>32.558150856654699</c:v>
                </c:pt>
                <c:pt idx="8">
                  <c:v>32.558150856654699</c:v>
                </c:pt>
                <c:pt idx="9">
                  <c:v>32.558150856654699</c:v>
                </c:pt>
                <c:pt idx="10">
                  <c:v>32.558150856654699</c:v>
                </c:pt>
                <c:pt idx="11">
                  <c:v>32.558150856654699</c:v>
                </c:pt>
                <c:pt idx="12">
                  <c:v>32.558150856654699</c:v>
                </c:pt>
                <c:pt idx="13">
                  <c:v>32.558150856654699</c:v>
                </c:pt>
                <c:pt idx="14">
                  <c:v>32.558150856654699</c:v>
                </c:pt>
                <c:pt idx="15">
                  <c:v>32.558150856654699</c:v>
                </c:pt>
                <c:pt idx="16">
                  <c:v>32.558150856654699</c:v>
                </c:pt>
                <c:pt idx="17">
                  <c:v>32.558150856654699</c:v>
                </c:pt>
                <c:pt idx="18">
                  <c:v>32.558150856654699</c:v>
                </c:pt>
                <c:pt idx="19">
                  <c:v>32.558150856654699</c:v>
                </c:pt>
                <c:pt idx="20">
                  <c:v>32.558150856654699</c:v>
                </c:pt>
                <c:pt idx="21">
                  <c:v>32.558150856654699</c:v>
                </c:pt>
                <c:pt idx="22">
                  <c:v>32.558150856654699</c:v>
                </c:pt>
                <c:pt idx="23">
                  <c:v>32.558150856654699</c:v>
                </c:pt>
              </c:numCache>
            </c:numRef>
          </c:val>
          <c:smooth val="0"/>
          <c:extLst>
            <c:ext xmlns:c16="http://schemas.microsoft.com/office/drawing/2014/chart" uri="{C3380CC4-5D6E-409C-BE32-E72D297353CC}">
              <c16:uniqueId val="{00000009-781B-4F5C-AD02-166A1DB1A6E1}"/>
            </c:ext>
          </c:extLst>
        </c:ser>
        <c:ser>
          <c:idx val="40"/>
          <c:order val="40"/>
          <c:tx>
            <c:strRef>
              <c:f>'HE Prices'!$AT$5:$AT$6</c:f>
              <c:strCache>
                <c:ptCount val="1"/>
                <c:pt idx="0">
                  <c:v>PL_A</c:v>
                </c:pt>
              </c:strCache>
            </c:strRef>
          </c:tx>
          <c:spPr>
            <a:ln w="28575" cap="rnd">
              <a:solidFill>
                <a:schemeClr val="accent5">
                  <a:lumMod val="70000"/>
                  <a:lumOff val="3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Prices'!$AT$7:$AT$31</c:f>
              <c:numCache>
                <c:formatCode>General</c:formatCode>
                <c:ptCount val="24"/>
                <c:pt idx="0">
                  <c:v>6.7868990525809503</c:v>
                </c:pt>
                <c:pt idx="1">
                  <c:v>7.1288972297022903</c:v>
                </c:pt>
                <c:pt idx="2">
                  <c:v>7.1288972297022903</c:v>
                </c:pt>
                <c:pt idx="3">
                  <c:v>6.7868990525809503</c:v>
                </c:pt>
                <c:pt idx="4">
                  <c:v>6.7868990525809503</c:v>
                </c:pt>
                <c:pt idx="5">
                  <c:v>5.6387920799615197</c:v>
                </c:pt>
                <c:pt idx="6">
                  <c:v>5.6387920799615197</c:v>
                </c:pt>
                <c:pt idx="7">
                  <c:v>5.6387920799615197</c:v>
                </c:pt>
                <c:pt idx="8">
                  <c:v>5.6387920799615197</c:v>
                </c:pt>
                <c:pt idx="9">
                  <c:v>5.6387920799615197</c:v>
                </c:pt>
                <c:pt idx="10">
                  <c:v>5.6387920799615197</c:v>
                </c:pt>
                <c:pt idx="11">
                  <c:v>5.6387920799615197</c:v>
                </c:pt>
                <c:pt idx="12">
                  <c:v>4.6962104296011304</c:v>
                </c:pt>
                <c:pt idx="13">
                  <c:v>4.6962104296011304</c:v>
                </c:pt>
                <c:pt idx="14">
                  <c:v>4.6962104296011304</c:v>
                </c:pt>
                <c:pt idx="15">
                  <c:v>4.6962104296011304</c:v>
                </c:pt>
                <c:pt idx="16">
                  <c:v>4.6962104296011304</c:v>
                </c:pt>
                <c:pt idx="17">
                  <c:v>4.6962104296011304</c:v>
                </c:pt>
                <c:pt idx="18">
                  <c:v>4.6962104296011304</c:v>
                </c:pt>
                <c:pt idx="19">
                  <c:v>4.6962104296011304</c:v>
                </c:pt>
                <c:pt idx="20">
                  <c:v>4.6962104296011304</c:v>
                </c:pt>
                <c:pt idx="21">
                  <c:v>4.6962104296011304</c:v>
                </c:pt>
                <c:pt idx="22">
                  <c:v>4.6962104296011304</c:v>
                </c:pt>
                <c:pt idx="23">
                  <c:v>5.9718848436227203</c:v>
                </c:pt>
              </c:numCache>
            </c:numRef>
          </c:val>
          <c:smooth val="0"/>
          <c:extLst>
            <c:ext xmlns:c16="http://schemas.microsoft.com/office/drawing/2014/chart" uri="{C3380CC4-5D6E-409C-BE32-E72D297353CC}">
              <c16:uniqueId val="{0000000A-781B-4F5C-AD02-166A1DB1A6E1}"/>
            </c:ext>
          </c:extLst>
        </c:ser>
        <c:ser>
          <c:idx val="41"/>
          <c:order val="41"/>
          <c:tx>
            <c:strRef>
              <c:f>'HE Prices'!$AU$5:$AU$6</c:f>
              <c:strCache>
                <c:ptCount val="1"/>
                <c:pt idx="0">
                  <c:v>FIN_EL</c:v>
                </c:pt>
              </c:strCache>
            </c:strRef>
          </c:tx>
          <c:spPr>
            <a:ln w="28575" cap="rnd">
              <a:solidFill>
                <a:schemeClr val="accent6">
                  <a:lumMod val="70000"/>
                  <a:lumOff val="3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Prices'!$AU$7:$AU$31</c:f>
              <c:numCache>
                <c:formatCode>General</c:formatCode>
                <c:ptCount val="24"/>
                <c:pt idx="0">
                  <c:v>20.104117370228298</c:v>
                </c:pt>
                <c:pt idx="1">
                  <c:v>20.104117370228298</c:v>
                </c:pt>
                <c:pt idx="2">
                  <c:v>20.104117370228298</c:v>
                </c:pt>
                <c:pt idx="3">
                  <c:v>20.104117370228298</c:v>
                </c:pt>
                <c:pt idx="4">
                  <c:v>20.104117370228298</c:v>
                </c:pt>
                <c:pt idx="5">
                  <c:v>20.104117370228298</c:v>
                </c:pt>
                <c:pt idx="6">
                  <c:v>25.345600000000001</c:v>
                </c:pt>
                <c:pt idx="7">
                  <c:v>25.345600000000001</c:v>
                </c:pt>
                <c:pt idx="8">
                  <c:v>25.345600000000001</c:v>
                </c:pt>
                <c:pt idx="9">
                  <c:v>25.345600000000001</c:v>
                </c:pt>
                <c:pt idx="10">
                  <c:v>25.345600000000001</c:v>
                </c:pt>
                <c:pt idx="11">
                  <c:v>25.345600000000001</c:v>
                </c:pt>
                <c:pt idx="12">
                  <c:v>25.345600000000001</c:v>
                </c:pt>
                <c:pt idx="13">
                  <c:v>25.345600000000001</c:v>
                </c:pt>
                <c:pt idx="14">
                  <c:v>25.345600000000001</c:v>
                </c:pt>
                <c:pt idx="15">
                  <c:v>25.345600000000001</c:v>
                </c:pt>
                <c:pt idx="16">
                  <c:v>25.345600000000001</c:v>
                </c:pt>
                <c:pt idx="17">
                  <c:v>25.345600000000001</c:v>
                </c:pt>
                <c:pt idx="18">
                  <c:v>25.345600000000001</c:v>
                </c:pt>
                <c:pt idx="19">
                  <c:v>25.345600000000001</c:v>
                </c:pt>
                <c:pt idx="20">
                  <c:v>25.345600000000001</c:v>
                </c:pt>
                <c:pt idx="21">
                  <c:v>25.345600000000001</c:v>
                </c:pt>
                <c:pt idx="22">
                  <c:v>20.104117370228298</c:v>
                </c:pt>
                <c:pt idx="23">
                  <c:v>20.104117370228298</c:v>
                </c:pt>
              </c:numCache>
            </c:numRef>
          </c:val>
          <c:smooth val="0"/>
          <c:extLst>
            <c:ext xmlns:c16="http://schemas.microsoft.com/office/drawing/2014/chart" uri="{C3380CC4-5D6E-409C-BE32-E72D297353CC}">
              <c16:uniqueId val="{0000000B-781B-4F5C-AD02-166A1DB1A6E1}"/>
            </c:ext>
          </c:extLst>
        </c:ser>
        <c:ser>
          <c:idx val="42"/>
          <c:order val="42"/>
          <c:tx>
            <c:strRef>
              <c:f>'HE Prices'!$AV$5:$AV$6</c:f>
              <c:strCache>
                <c:ptCount val="1"/>
                <c:pt idx="0">
                  <c:v>FIN_ESPOO</c:v>
                </c:pt>
              </c:strCache>
            </c:strRef>
          </c:tx>
          <c:spPr>
            <a:ln w="28575" cap="rnd">
              <a:solidFill>
                <a:schemeClr val="accent1">
                  <a:lumMod val="7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Prices'!$AV$7:$AV$31</c:f>
              <c:numCache>
                <c:formatCode>General</c:formatCode>
                <c:ptCount val="24"/>
                <c:pt idx="0">
                  <c:v>31.3047700566547</c:v>
                </c:pt>
                <c:pt idx="1">
                  <c:v>31.3047700566547</c:v>
                </c:pt>
                <c:pt idx="2">
                  <c:v>31.3047700566547</c:v>
                </c:pt>
                <c:pt idx="3">
                  <c:v>31.3047700566547</c:v>
                </c:pt>
                <c:pt idx="4">
                  <c:v>31.3047700566547</c:v>
                </c:pt>
                <c:pt idx="5">
                  <c:v>31.3047700566547</c:v>
                </c:pt>
                <c:pt idx="6">
                  <c:v>31.3047700566547</c:v>
                </c:pt>
                <c:pt idx="7">
                  <c:v>31.287532494772002</c:v>
                </c:pt>
                <c:pt idx="8">
                  <c:v>31.287532494772002</c:v>
                </c:pt>
                <c:pt idx="9">
                  <c:v>31.3047700566547</c:v>
                </c:pt>
                <c:pt idx="10">
                  <c:v>31.3047700566547</c:v>
                </c:pt>
                <c:pt idx="11">
                  <c:v>29.884230936654699</c:v>
                </c:pt>
                <c:pt idx="12">
                  <c:v>29.884230936654699</c:v>
                </c:pt>
                <c:pt idx="13">
                  <c:v>29.884230936654699</c:v>
                </c:pt>
                <c:pt idx="14">
                  <c:v>29.884230936654699</c:v>
                </c:pt>
                <c:pt idx="15">
                  <c:v>29.884230936654699</c:v>
                </c:pt>
                <c:pt idx="16">
                  <c:v>29.884230936654699</c:v>
                </c:pt>
                <c:pt idx="17">
                  <c:v>29.320645056660201</c:v>
                </c:pt>
                <c:pt idx="18">
                  <c:v>28.422077718568399</c:v>
                </c:pt>
                <c:pt idx="19">
                  <c:v>29.320645056660201</c:v>
                </c:pt>
                <c:pt idx="20">
                  <c:v>30.438159075351798</c:v>
                </c:pt>
                <c:pt idx="21">
                  <c:v>30.235652999364898</c:v>
                </c:pt>
                <c:pt idx="22">
                  <c:v>31.3047700566547</c:v>
                </c:pt>
                <c:pt idx="23">
                  <c:v>31.3047700566547</c:v>
                </c:pt>
              </c:numCache>
            </c:numRef>
          </c:val>
          <c:smooth val="0"/>
          <c:extLst>
            <c:ext xmlns:c16="http://schemas.microsoft.com/office/drawing/2014/chart" uri="{C3380CC4-5D6E-409C-BE32-E72D297353CC}">
              <c16:uniqueId val="{0000000C-781B-4F5C-AD02-166A1DB1A6E1}"/>
            </c:ext>
          </c:extLst>
        </c:ser>
        <c:ser>
          <c:idx val="43"/>
          <c:order val="43"/>
          <c:tx>
            <c:strRef>
              <c:f>'HE Prices'!$AW$5:$AW$6</c:f>
              <c:strCache>
                <c:ptCount val="1"/>
                <c:pt idx="0">
                  <c:v>FIN_GAS</c:v>
                </c:pt>
              </c:strCache>
            </c:strRef>
          </c:tx>
          <c:spPr>
            <a:ln w="28575" cap="rnd">
              <a:solidFill>
                <a:schemeClr val="accent2">
                  <a:lumMod val="7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Prices'!$AW$7:$AW$31</c:f>
              <c:numCache>
                <c:formatCode>General</c:formatCode>
                <c:ptCount val="24"/>
                <c:pt idx="0">
                  <c:v>29.884230936654699</c:v>
                </c:pt>
                <c:pt idx="1">
                  <c:v>29.884230936654699</c:v>
                </c:pt>
                <c:pt idx="2">
                  <c:v>29.884230936654699</c:v>
                </c:pt>
                <c:pt idx="3">
                  <c:v>29.884230936654699</c:v>
                </c:pt>
                <c:pt idx="4">
                  <c:v>29.884230936654699</c:v>
                </c:pt>
                <c:pt idx="5">
                  <c:v>29.884230936654699</c:v>
                </c:pt>
                <c:pt idx="6">
                  <c:v>29.884230936654699</c:v>
                </c:pt>
                <c:pt idx="7">
                  <c:v>29.884230936654699</c:v>
                </c:pt>
                <c:pt idx="8">
                  <c:v>29.884230936654699</c:v>
                </c:pt>
                <c:pt idx="9">
                  <c:v>29.884230936654699</c:v>
                </c:pt>
                <c:pt idx="10">
                  <c:v>29.884230936654699</c:v>
                </c:pt>
                <c:pt idx="11">
                  <c:v>29.884230936654699</c:v>
                </c:pt>
                <c:pt idx="12">
                  <c:v>29.884230936654699</c:v>
                </c:pt>
                <c:pt idx="13">
                  <c:v>29.884230936654699</c:v>
                </c:pt>
                <c:pt idx="14">
                  <c:v>29.884230936654699</c:v>
                </c:pt>
                <c:pt idx="15">
                  <c:v>29.884230936654699</c:v>
                </c:pt>
                <c:pt idx="16">
                  <c:v>29.884230936654699</c:v>
                </c:pt>
                <c:pt idx="17">
                  <c:v>29.884230936654699</c:v>
                </c:pt>
                <c:pt idx="18">
                  <c:v>29.884230936654699</c:v>
                </c:pt>
                <c:pt idx="19">
                  <c:v>29.884230936654699</c:v>
                </c:pt>
                <c:pt idx="20">
                  <c:v>29.884230936654699</c:v>
                </c:pt>
                <c:pt idx="21">
                  <c:v>29.884230936654699</c:v>
                </c:pt>
                <c:pt idx="22">
                  <c:v>29.884230936654699</c:v>
                </c:pt>
                <c:pt idx="23">
                  <c:v>29.884230936654699</c:v>
                </c:pt>
              </c:numCache>
            </c:numRef>
          </c:val>
          <c:smooth val="0"/>
          <c:extLst>
            <c:ext xmlns:c16="http://schemas.microsoft.com/office/drawing/2014/chart" uri="{C3380CC4-5D6E-409C-BE32-E72D297353CC}">
              <c16:uniqueId val="{0000000D-781B-4F5C-AD02-166A1DB1A6E1}"/>
            </c:ext>
          </c:extLst>
        </c:ser>
        <c:ser>
          <c:idx val="44"/>
          <c:order val="44"/>
          <c:tx>
            <c:strRef>
              <c:f>'HE Prices'!$AX$5:$AX$6</c:f>
              <c:strCache>
                <c:ptCount val="1"/>
                <c:pt idx="0">
                  <c:v>FIN_HELS</c:v>
                </c:pt>
              </c:strCache>
            </c:strRef>
          </c:tx>
          <c:spPr>
            <a:ln w="28575" cap="rnd">
              <a:solidFill>
                <a:schemeClr val="accent3">
                  <a:lumMod val="7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Prices'!$AX$7:$AX$31</c:f>
              <c:numCache>
                <c:formatCode>General</c:formatCode>
                <c:ptCount val="24"/>
                <c:pt idx="0">
                  <c:v>29.476823093598501</c:v>
                </c:pt>
                <c:pt idx="1">
                  <c:v>30.168479277682799</c:v>
                </c:pt>
                <c:pt idx="2">
                  <c:v>30.168479277682799</c:v>
                </c:pt>
                <c:pt idx="3">
                  <c:v>29.476823093598501</c:v>
                </c:pt>
                <c:pt idx="4">
                  <c:v>29.201118589015099</c:v>
                </c:pt>
                <c:pt idx="5">
                  <c:v>29.3072207133322</c:v>
                </c:pt>
                <c:pt idx="6">
                  <c:v>31.3047700566547</c:v>
                </c:pt>
                <c:pt idx="7">
                  <c:v>31.3047700566547</c:v>
                </c:pt>
                <c:pt idx="8">
                  <c:v>31.3047700566547</c:v>
                </c:pt>
                <c:pt idx="9">
                  <c:v>31.3047700566547</c:v>
                </c:pt>
                <c:pt idx="10">
                  <c:v>31.3047700566547</c:v>
                </c:pt>
                <c:pt idx="11">
                  <c:v>31.3047700566547</c:v>
                </c:pt>
                <c:pt idx="12">
                  <c:v>31.3047700566547</c:v>
                </c:pt>
                <c:pt idx="13">
                  <c:v>31.3047700566547</c:v>
                </c:pt>
                <c:pt idx="14">
                  <c:v>31.3047700566547</c:v>
                </c:pt>
                <c:pt idx="15">
                  <c:v>31.3047700566547</c:v>
                </c:pt>
                <c:pt idx="16">
                  <c:v>31.3047700566547</c:v>
                </c:pt>
                <c:pt idx="17">
                  <c:v>27.492679046670499</c:v>
                </c:pt>
                <c:pt idx="18">
                  <c:v>26.670912335766101</c:v>
                </c:pt>
                <c:pt idx="19">
                  <c:v>27.492679046670499</c:v>
                </c:pt>
                <c:pt idx="20">
                  <c:v>28.514679046670501</c:v>
                </c:pt>
                <c:pt idx="21">
                  <c:v>28.329481182306399</c:v>
                </c:pt>
                <c:pt idx="22">
                  <c:v>29.3072207133322</c:v>
                </c:pt>
                <c:pt idx="23">
                  <c:v>29.232327277682799</c:v>
                </c:pt>
              </c:numCache>
            </c:numRef>
          </c:val>
          <c:smooth val="0"/>
          <c:extLst>
            <c:ext xmlns:c16="http://schemas.microsoft.com/office/drawing/2014/chart" uri="{C3380CC4-5D6E-409C-BE32-E72D297353CC}">
              <c16:uniqueId val="{0000000E-781B-4F5C-AD02-166A1DB1A6E1}"/>
            </c:ext>
          </c:extLst>
        </c:ser>
        <c:ser>
          <c:idx val="45"/>
          <c:order val="45"/>
          <c:tx>
            <c:strRef>
              <c:f>'HE Prices'!$AY$5:$AY$6</c:f>
              <c:strCache>
                <c:ptCount val="1"/>
                <c:pt idx="0">
                  <c:v>FIN_HP</c:v>
                </c:pt>
              </c:strCache>
            </c:strRef>
          </c:tx>
          <c:spPr>
            <a:ln w="28575" cap="rnd">
              <a:solidFill>
                <a:schemeClr val="accent4">
                  <a:lumMod val="7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Prices'!$AY$7:$AY$31</c:f>
              <c:numCache>
                <c:formatCode>General</c:formatCode>
                <c:ptCount val="24"/>
                <c:pt idx="0">
                  <c:v>20.104117370228298</c:v>
                </c:pt>
                <c:pt idx="1">
                  <c:v>20.104117370228298</c:v>
                </c:pt>
                <c:pt idx="2">
                  <c:v>20.104117370228298</c:v>
                </c:pt>
                <c:pt idx="3">
                  <c:v>20.104117370228298</c:v>
                </c:pt>
                <c:pt idx="4">
                  <c:v>20.104117370228298</c:v>
                </c:pt>
                <c:pt idx="5">
                  <c:v>25.345600000000001</c:v>
                </c:pt>
                <c:pt idx="6">
                  <c:v>25.345600000000001</c:v>
                </c:pt>
                <c:pt idx="7">
                  <c:v>25.345600000000001</c:v>
                </c:pt>
                <c:pt idx="8">
                  <c:v>25.345600000000001</c:v>
                </c:pt>
                <c:pt idx="9">
                  <c:v>25.345600000000001</c:v>
                </c:pt>
                <c:pt idx="10">
                  <c:v>25.345600000000001</c:v>
                </c:pt>
                <c:pt idx="11">
                  <c:v>25.345600000000001</c:v>
                </c:pt>
                <c:pt idx="12">
                  <c:v>25.345600000000001</c:v>
                </c:pt>
                <c:pt idx="13">
                  <c:v>25.345600000000001</c:v>
                </c:pt>
                <c:pt idx="14">
                  <c:v>25.345600000000001</c:v>
                </c:pt>
                <c:pt idx="15">
                  <c:v>25.345600000000001</c:v>
                </c:pt>
                <c:pt idx="16">
                  <c:v>25.345600000000001</c:v>
                </c:pt>
                <c:pt idx="17">
                  <c:v>25.345600000000001</c:v>
                </c:pt>
                <c:pt idx="18">
                  <c:v>25.345600000000001</c:v>
                </c:pt>
                <c:pt idx="19">
                  <c:v>20.104117370228298</c:v>
                </c:pt>
                <c:pt idx="20">
                  <c:v>20.104117370228298</c:v>
                </c:pt>
                <c:pt idx="21">
                  <c:v>20.104117370228298</c:v>
                </c:pt>
                <c:pt idx="22">
                  <c:v>20.104117370228298</c:v>
                </c:pt>
                <c:pt idx="23">
                  <c:v>20.104117370228298</c:v>
                </c:pt>
              </c:numCache>
            </c:numRef>
          </c:val>
          <c:smooth val="0"/>
          <c:extLst>
            <c:ext xmlns:c16="http://schemas.microsoft.com/office/drawing/2014/chart" uri="{C3380CC4-5D6E-409C-BE32-E72D297353CC}">
              <c16:uniqueId val="{0000000F-781B-4F5C-AD02-166A1DB1A6E1}"/>
            </c:ext>
          </c:extLst>
        </c:ser>
        <c:ser>
          <c:idx val="46"/>
          <c:order val="46"/>
          <c:tx>
            <c:strRef>
              <c:f>'HE Prices'!$AZ$5:$AZ$6</c:f>
              <c:strCache>
                <c:ptCount val="1"/>
                <c:pt idx="0">
                  <c:v>FIN_OTHER</c:v>
                </c:pt>
              </c:strCache>
            </c:strRef>
          </c:tx>
          <c:spPr>
            <a:ln w="28575" cap="rnd">
              <a:solidFill>
                <a:schemeClr val="accent5">
                  <a:lumMod val="7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Prices'!$AZ$7:$AZ$31</c:f>
              <c:numCache>
                <c:formatCode>General</c:formatCode>
                <c:ptCount val="24"/>
                <c:pt idx="0">
                  <c:v>25.345600000000001</c:v>
                </c:pt>
                <c:pt idx="1">
                  <c:v>24.078320000000001</c:v>
                </c:pt>
                <c:pt idx="2">
                  <c:v>25.345600000000001</c:v>
                </c:pt>
                <c:pt idx="3">
                  <c:v>25.345600000000001</c:v>
                </c:pt>
                <c:pt idx="4">
                  <c:v>25.345600000000001</c:v>
                </c:pt>
                <c:pt idx="5">
                  <c:v>25.345600000000001</c:v>
                </c:pt>
                <c:pt idx="6">
                  <c:v>27.4097342446825</c:v>
                </c:pt>
                <c:pt idx="7">
                  <c:v>26.613226232970199</c:v>
                </c:pt>
                <c:pt idx="8">
                  <c:v>26.613226232970199</c:v>
                </c:pt>
                <c:pt idx="9">
                  <c:v>26.7342278238246</c:v>
                </c:pt>
                <c:pt idx="10">
                  <c:v>27.071210532998901</c:v>
                </c:pt>
                <c:pt idx="11">
                  <c:v>27.272191136866699</c:v>
                </c:pt>
                <c:pt idx="12">
                  <c:v>27.574870830087601</c:v>
                </c:pt>
                <c:pt idx="13">
                  <c:v>27.574870830087601</c:v>
                </c:pt>
                <c:pt idx="14">
                  <c:v>27.574870830087601</c:v>
                </c:pt>
                <c:pt idx="15">
                  <c:v>27.393857839750702</c:v>
                </c:pt>
                <c:pt idx="16">
                  <c:v>25.345600000000001</c:v>
                </c:pt>
                <c:pt idx="17">
                  <c:v>25.345600000000001</c:v>
                </c:pt>
                <c:pt idx="18">
                  <c:v>25.345600000000001</c:v>
                </c:pt>
                <c:pt idx="19">
                  <c:v>25.345600000000001</c:v>
                </c:pt>
                <c:pt idx="20">
                  <c:v>25.345600000000001</c:v>
                </c:pt>
                <c:pt idx="21">
                  <c:v>25.345600000000001</c:v>
                </c:pt>
                <c:pt idx="22">
                  <c:v>25.345600000000001</c:v>
                </c:pt>
                <c:pt idx="23">
                  <c:v>21.962537912508498</c:v>
                </c:pt>
              </c:numCache>
            </c:numRef>
          </c:val>
          <c:smooth val="0"/>
          <c:extLst>
            <c:ext xmlns:c16="http://schemas.microsoft.com/office/drawing/2014/chart" uri="{C3380CC4-5D6E-409C-BE32-E72D297353CC}">
              <c16:uniqueId val="{00000010-781B-4F5C-AD02-166A1DB1A6E1}"/>
            </c:ext>
          </c:extLst>
        </c:ser>
        <c:ser>
          <c:idx val="47"/>
          <c:order val="47"/>
          <c:tx>
            <c:strRef>
              <c:f>'HE Prices'!$BA$5:$BA$6</c:f>
              <c:strCache>
                <c:ptCount val="1"/>
                <c:pt idx="0">
                  <c:v>FIN_TAMP</c:v>
                </c:pt>
              </c:strCache>
            </c:strRef>
          </c:tx>
          <c:spPr>
            <a:ln w="28575" cap="rnd">
              <a:solidFill>
                <a:schemeClr val="accent6">
                  <a:lumMod val="7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Prices'!$BA$7:$BA$31</c:f>
              <c:numCache>
                <c:formatCode>General</c:formatCode>
                <c:ptCount val="24"/>
                <c:pt idx="0">
                  <c:v>29.168057850888701</c:v>
                </c:pt>
                <c:pt idx="1">
                  <c:v>29.637719582876102</c:v>
                </c:pt>
                <c:pt idx="2">
                  <c:v>29.637719582876102</c:v>
                </c:pt>
                <c:pt idx="3">
                  <c:v>29.168057850888701</c:v>
                </c:pt>
                <c:pt idx="4">
                  <c:v>28.9808436567283</c:v>
                </c:pt>
                <c:pt idx="5">
                  <c:v>28.223628499539601</c:v>
                </c:pt>
                <c:pt idx="6">
                  <c:v>27.1200473490373</c:v>
                </c:pt>
                <c:pt idx="7">
                  <c:v>25.862615919379898</c:v>
                </c:pt>
                <c:pt idx="8">
                  <c:v>25.862615919379898</c:v>
                </c:pt>
                <c:pt idx="9">
                  <c:v>26.0536387353987</c:v>
                </c:pt>
                <c:pt idx="10">
                  <c:v>26.5856266671409</c:v>
                </c:pt>
                <c:pt idx="11">
                  <c:v>26.902910767663201</c:v>
                </c:pt>
                <c:pt idx="12">
                  <c:v>27.380745207215</c:v>
                </c:pt>
                <c:pt idx="13">
                  <c:v>27.380745207215</c:v>
                </c:pt>
                <c:pt idx="14">
                  <c:v>27.380745207215</c:v>
                </c:pt>
                <c:pt idx="15">
                  <c:v>27.0949835828761</c:v>
                </c:pt>
                <c:pt idx="16">
                  <c:v>27.0949835828761</c:v>
                </c:pt>
                <c:pt idx="17">
                  <c:v>27.0949835828761</c:v>
                </c:pt>
                <c:pt idx="18">
                  <c:v>26.5838446886935</c:v>
                </c:pt>
                <c:pt idx="19">
                  <c:v>27.0949835828761</c:v>
                </c:pt>
                <c:pt idx="20">
                  <c:v>27.730667582876102</c:v>
                </c:pt>
                <c:pt idx="21">
                  <c:v>27.615474511241601</c:v>
                </c:pt>
                <c:pt idx="22">
                  <c:v>28.223628499539601</c:v>
                </c:pt>
                <c:pt idx="23">
                  <c:v>29.002035582876101</c:v>
                </c:pt>
              </c:numCache>
            </c:numRef>
          </c:val>
          <c:smooth val="0"/>
          <c:extLst>
            <c:ext xmlns:c16="http://schemas.microsoft.com/office/drawing/2014/chart" uri="{C3380CC4-5D6E-409C-BE32-E72D297353CC}">
              <c16:uniqueId val="{00000011-781B-4F5C-AD02-166A1DB1A6E1}"/>
            </c:ext>
          </c:extLst>
        </c:ser>
        <c:dLbls>
          <c:showLegendKey val="0"/>
          <c:showVal val="0"/>
          <c:showCatName val="0"/>
          <c:showSerName val="0"/>
          <c:showPercent val="0"/>
          <c:showBubbleSize val="0"/>
        </c:dLbls>
        <c:smooth val="0"/>
        <c:axId val="228367160"/>
        <c:axId val="267029456"/>
      </c:lineChart>
      <c:catAx>
        <c:axId val="228367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029456"/>
        <c:crosses val="autoZero"/>
        <c:auto val="1"/>
        <c:lblAlgn val="ctr"/>
        <c:lblOffset val="100"/>
        <c:noMultiLvlLbl val="0"/>
      </c:catAx>
      <c:valAx>
        <c:axId val="267029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836716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 Annual!PivotTable5</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6">
              <a:lumMod val="40000"/>
              <a:lumOff val="60000"/>
            </a:schemeClr>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2">
              <a:lumMod val="75000"/>
            </a:schemeClr>
          </a:solidFill>
          <a:ln>
            <a:noFill/>
          </a:ln>
          <a:effectLst/>
        </c:spPr>
        <c:marker>
          <c:symbol val="none"/>
        </c:marker>
      </c:pivotFmt>
      <c:pivotFmt>
        <c:idx val="8"/>
        <c:spPr>
          <a:solidFill>
            <a:schemeClr val="accent5">
              <a:lumMod val="75000"/>
            </a:schemeClr>
          </a:solidFill>
          <a:ln>
            <a:noFill/>
          </a:ln>
          <a:effectLst/>
        </c:spPr>
        <c:marker>
          <c:symbol val="none"/>
        </c:marker>
      </c:pivotFmt>
      <c:pivotFmt>
        <c:idx val="9"/>
        <c:spPr>
          <a:solidFill>
            <a:schemeClr val="accent1">
              <a:lumMod val="60000"/>
              <a:lumOff val="40000"/>
            </a:schemeClr>
          </a:solidFill>
          <a:ln>
            <a:noFill/>
          </a:ln>
          <a:effectLst/>
        </c:spPr>
        <c:marker>
          <c:symbol val="none"/>
        </c:marker>
      </c:pivotFmt>
      <c:pivotFmt>
        <c:idx val="10"/>
        <c:spPr>
          <a:solidFill>
            <a:schemeClr val="accent2">
              <a:lumMod val="75000"/>
            </a:schemeClr>
          </a:solidFill>
          <a:ln>
            <a:noFill/>
          </a:ln>
          <a:effectLst/>
        </c:spPr>
        <c:marker>
          <c:symbol val="none"/>
        </c:marker>
      </c:pivotFmt>
      <c:pivotFmt>
        <c:idx val="11"/>
        <c:spPr>
          <a:solidFill>
            <a:schemeClr val="accent6">
              <a:lumMod val="40000"/>
              <a:lumOff val="60000"/>
            </a:schemeClr>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s>
    <c:plotArea>
      <c:layout/>
      <c:barChart>
        <c:barDir val="col"/>
        <c:grouping val="stacked"/>
        <c:varyColors val="0"/>
        <c:ser>
          <c:idx val="0"/>
          <c:order val="0"/>
          <c:tx>
            <c:strRef>
              <c:f>'EL GEN - Annual'!$E$3:$E$4</c:f>
              <c:strCache>
                <c:ptCount val="1"/>
                <c:pt idx="0">
                  <c:v>SUN</c:v>
                </c:pt>
              </c:strCache>
            </c:strRef>
          </c:tx>
          <c:spPr>
            <a:solidFill>
              <a:schemeClr val="accent1"/>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Annual'!$E$5:$E$8</c:f>
              <c:numCache>
                <c:formatCode>0.000</c:formatCode>
                <c:ptCount val="3"/>
                <c:pt idx="2">
                  <c:v>8.7830410424068805E-2</c:v>
                </c:pt>
              </c:numCache>
            </c:numRef>
          </c:val>
          <c:extLst>
            <c:ext xmlns:c16="http://schemas.microsoft.com/office/drawing/2014/chart" uri="{C3380CC4-5D6E-409C-BE32-E72D297353CC}">
              <c16:uniqueId val="{00000000-BF6E-492A-8A93-28F303A6814F}"/>
            </c:ext>
          </c:extLst>
        </c:ser>
        <c:ser>
          <c:idx val="1"/>
          <c:order val="1"/>
          <c:tx>
            <c:strRef>
              <c:f>'EL GEN - Annual'!$F$3:$F$4</c:f>
              <c:strCache>
                <c:ptCount val="1"/>
                <c:pt idx="0">
                  <c:v>WIND</c:v>
                </c:pt>
              </c:strCache>
            </c:strRef>
          </c:tx>
          <c:spPr>
            <a:solidFill>
              <a:schemeClr val="accent2"/>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Annual'!$F$5:$F$8</c:f>
              <c:numCache>
                <c:formatCode>0.000</c:formatCode>
                <c:ptCount val="3"/>
                <c:pt idx="0">
                  <c:v>0.78061100000000005</c:v>
                </c:pt>
                <c:pt idx="1">
                  <c:v>0.11622</c:v>
                </c:pt>
                <c:pt idx="2">
                  <c:v>0.98593299999999995</c:v>
                </c:pt>
              </c:numCache>
            </c:numRef>
          </c:val>
          <c:extLst>
            <c:ext xmlns:c16="http://schemas.microsoft.com/office/drawing/2014/chart" uri="{C3380CC4-5D6E-409C-BE32-E72D297353CC}">
              <c16:uniqueId val="{0000003A-A5BC-4316-973C-CE6888433685}"/>
            </c:ext>
          </c:extLst>
        </c:ser>
        <c:ser>
          <c:idx val="2"/>
          <c:order val="2"/>
          <c:tx>
            <c:strRef>
              <c:f>'EL GEN - Annual'!$G$3:$G$4</c:f>
              <c:strCache>
                <c:ptCount val="1"/>
                <c:pt idx="0">
                  <c:v>NATGAS</c:v>
                </c:pt>
              </c:strCache>
            </c:strRef>
          </c:tx>
          <c:spPr>
            <a:solidFill>
              <a:schemeClr val="accent3"/>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Annual'!$G$5:$G$8</c:f>
              <c:numCache>
                <c:formatCode>General</c:formatCode>
                <c:ptCount val="3"/>
                <c:pt idx="0">
                  <c:v>0.14964677646775101</c:v>
                </c:pt>
                <c:pt idx="1">
                  <c:v>1.8467089975317299</c:v>
                </c:pt>
                <c:pt idx="2">
                  <c:v>7.4781798035693403E-2</c:v>
                </c:pt>
              </c:numCache>
            </c:numRef>
          </c:val>
          <c:extLst>
            <c:ext xmlns:c16="http://schemas.microsoft.com/office/drawing/2014/chart" uri="{C3380CC4-5D6E-409C-BE32-E72D297353CC}">
              <c16:uniqueId val="{0000003B-A5BC-4316-973C-CE6888433685}"/>
            </c:ext>
          </c:extLst>
        </c:ser>
        <c:ser>
          <c:idx val="3"/>
          <c:order val="3"/>
          <c:tx>
            <c:strRef>
              <c:f>'EL GEN - Annual'!$H$3:$H$4</c:f>
              <c:strCache>
                <c:ptCount val="1"/>
                <c:pt idx="0">
                  <c:v>MUNIWASTE</c:v>
                </c:pt>
              </c:strCache>
            </c:strRef>
          </c:tx>
          <c:spPr>
            <a:solidFill>
              <a:schemeClr val="accent4"/>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Annual'!$H$5:$H$8</c:f>
              <c:numCache>
                <c:formatCode>General</c:formatCode>
                <c:ptCount val="3"/>
                <c:pt idx="0">
                  <c:v>0.14892</c:v>
                </c:pt>
                <c:pt idx="2">
                  <c:v>1.01616</c:v>
                </c:pt>
              </c:numCache>
            </c:numRef>
          </c:val>
          <c:extLst>
            <c:ext xmlns:c16="http://schemas.microsoft.com/office/drawing/2014/chart" uri="{C3380CC4-5D6E-409C-BE32-E72D297353CC}">
              <c16:uniqueId val="{0000003C-A5BC-4316-973C-CE6888433685}"/>
            </c:ext>
          </c:extLst>
        </c:ser>
        <c:ser>
          <c:idx val="4"/>
          <c:order val="4"/>
          <c:tx>
            <c:strRef>
              <c:f>'EL GEN - Annual'!$I$3:$I$4</c:f>
              <c:strCache>
                <c:ptCount val="1"/>
                <c:pt idx="0">
                  <c:v>WATER</c:v>
                </c:pt>
              </c:strCache>
            </c:strRef>
          </c:tx>
          <c:spPr>
            <a:solidFill>
              <a:schemeClr val="accent5"/>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Annual'!$I$5:$I$8</c:f>
              <c:numCache>
                <c:formatCode>General</c:formatCode>
                <c:ptCount val="3"/>
                <c:pt idx="0">
                  <c:v>0.03</c:v>
                </c:pt>
                <c:pt idx="1">
                  <c:v>4.0200000000000001E-4</c:v>
                </c:pt>
                <c:pt idx="2">
                  <c:v>0.64760399999999996</c:v>
                </c:pt>
              </c:numCache>
            </c:numRef>
          </c:val>
          <c:extLst>
            <c:ext xmlns:c16="http://schemas.microsoft.com/office/drawing/2014/chart" uri="{C3380CC4-5D6E-409C-BE32-E72D297353CC}">
              <c16:uniqueId val="{0000003D-A5BC-4316-973C-CE6888433685}"/>
            </c:ext>
          </c:extLst>
        </c:ser>
        <c:ser>
          <c:idx val="5"/>
          <c:order val="5"/>
          <c:tx>
            <c:strRef>
              <c:f>'EL GEN - Annual'!$J$3:$J$4</c:f>
              <c:strCache>
                <c:ptCount val="1"/>
                <c:pt idx="0">
                  <c:v>WOODWASTE</c:v>
                </c:pt>
              </c:strCache>
            </c:strRef>
          </c:tx>
          <c:spPr>
            <a:solidFill>
              <a:schemeClr val="accent6"/>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Annual'!$J$5:$J$8</c:f>
              <c:numCache>
                <c:formatCode>General</c:formatCode>
                <c:ptCount val="3"/>
                <c:pt idx="0">
                  <c:v>0.13867322999999998</c:v>
                </c:pt>
                <c:pt idx="2">
                  <c:v>9.1104000000000004E-2</c:v>
                </c:pt>
              </c:numCache>
            </c:numRef>
          </c:val>
          <c:extLst>
            <c:ext xmlns:c16="http://schemas.microsoft.com/office/drawing/2014/chart" uri="{C3380CC4-5D6E-409C-BE32-E72D297353CC}">
              <c16:uniqueId val="{0000003E-A5BC-4316-973C-CE6888433685}"/>
            </c:ext>
          </c:extLst>
        </c:ser>
        <c:ser>
          <c:idx val="6"/>
          <c:order val="6"/>
          <c:tx>
            <c:strRef>
              <c:f>'EL GEN - Annual'!$K$3:$K$4</c:f>
              <c:strCache>
                <c:ptCount val="1"/>
                <c:pt idx="0">
                  <c:v>WOOD</c:v>
                </c:pt>
              </c:strCache>
            </c:strRef>
          </c:tx>
          <c:spPr>
            <a:solidFill>
              <a:schemeClr val="accent1">
                <a:lumMod val="60000"/>
              </a:schemeClr>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Annual'!$K$5:$K$8</c:f>
              <c:numCache>
                <c:formatCode>General</c:formatCode>
                <c:ptCount val="3"/>
                <c:pt idx="0">
                  <c:v>0.77382780914700777</c:v>
                </c:pt>
              </c:numCache>
            </c:numRef>
          </c:val>
          <c:extLst>
            <c:ext xmlns:c16="http://schemas.microsoft.com/office/drawing/2014/chart" uri="{C3380CC4-5D6E-409C-BE32-E72D297353CC}">
              <c16:uniqueId val="{0000003F-A5BC-4316-973C-CE6888433685}"/>
            </c:ext>
          </c:extLst>
        </c:ser>
        <c:ser>
          <c:idx val="7"/>
          <c:order val="7"/>
          <c:tx>
            <c:strRef>
              <c:f>'EL GEN - Annual'!$L$3:$L$4</c:f>
              <c:strCache>
                <c:ptCount val="1"/>
                <c:pt idx="0">
                  <c:v>SHALE</c:v>
                </c:pt>
              </c:strCache>
            </c:strRef>
          </c:tx>
          <c:spPr>
            <a:solidFill>
              <a:schemeClr val="accent2">
                <a:lumMod val="60000"/>
              </a:schemeClr>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Annual'!$L$5:$L$8</c:f>
              <c:numCache>
                <c:formatCode>General</c:formatCode>
                <c:ptCount val="3"/>
                <c:pt idx="0">
                  <c:v>4.6609952953141995</c:v>
                </c:pt>
              </c:numCache>
            </c:numRef>
          </c:val>
          <c:extLst>
            <c:ext xmlns:c16="http://schemas.microsoft.com/office/drawing/2014/chart" uri="{C3380CC4-5D6E-409C-BE32-E72D297353CC}">
              <c16:uniqueId val="{00000122-A5BC-4316-973C-CE6888433685}"/>
            </c:ext>
          </c:extLst>
        </c:ser>
        <c:ser>
          <c:idx val="8"/>
          <c:order val="8"/>
          <c:tx>
            <c:strRef>
              <c:f>'EL GEN - Annual'!$M$3:$M$4</c:f>
              <c:strCache>
                <c:ptCount val="1"/>
                <c:pt idx="0">
                  <c:v>HEAT</c:v>
                </c:pt>
              </c:strCache>
            </c:strRef>
          </c:tx>
          <c:spPr>
            <a:solidFill>
              <a:schemeClr val="accent3">
                <a:lumMod val="60000"/>
              </a:schemeClr>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Annual'!$M$5:$M$8</c:f>
              <c:numCache>
                <c:formatCode>General</c:formatCode>
                <c:ptCount val="3"/>
                <c:pt idx="2">
                  <c:v>0.32412000000000002</c:v>
                </c:pt>
              </c:numCache>
            </c:numRef>
          </c:val>
          <c:extLst>
            <c:ext xmlns:c16="http://schemas.microsoft.com/office/drawing/2014/chart" uri="{C3380CC4-5D6E-409C-BE32-E72D297353CC}">
              <c16:uniqueId val="{00000123-A5BC-4316-973C-CE6888433685}"/>
            </c:ext>
          </c:extLst>
        </c:ser>
        <c:dLbls>
          <c:showLegendKey val="0"/>
          <c:showVal val="0"/>
          <c:showCatName val="0"/>
          <c:showSerName val="0"/>
          <c:showPercent val="0"/>
          <c:showBubbleSize val="0"/>
        </c:dLbls>
        <c:gapWidth val="50"/>
        <c:overlap val="100"/>
        <c:axId val="266660936"/>
        <c:axId val="266925136"/>
      </c:barChart>
      <c:catAx>
        <c:axId val="266660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6925136"/>
        <c:crosses val="autoZero"/>
        <c:auto val="1"/>
        <c:lblAlgn val="ctr"/>
        <c:lblOffset val="100"/>
        <c:noMultiLvlLbl val="0"/>
      </c:catAx>
      <c:valAx>
        <c:axId val="26692513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666093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 Time!PivotTable2</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w="25400">
            <a:noFill/>
          </a:ln>
          <a:effectLst/>
        </c:spPr>
        <c:marker>
          <c:symbol val="none"/>
        </c:marker>
      </c:pivotFmt>
      <c:pivotFmt>
        <c:idx val="21"/>
        <c:spPr>
          <a:solidFill>
            <a:schemeClr val="accent1"/>
          </a:solidFill>
          <a:ln w="25400">
            <a:noFill/>
          </a:ln>
          <a:effectLst/>
        </c:spPr>
        <c:marker>
          <c:symbol val="none"/>
        </c:marker>
      </c:pivotFmt>
      <c:pivotFmt>
        <c:idx val="22"/>
        <c:spPr>
          <a:solidFill>
            <a:schemeClr val="accent1"/>
          </a:solidFill>
          <a:ln w="25400">
            <a:noFill/>
          </a:ln>
          <a:effectLst/>
        </c:spPr>
        <c:marker>
          <c:symbol val="none"/>
        </c:marker>
      </c:pivotFmt>
      <c:pivotFmt>
        <c:idx val="23"/>
        <c:spPr>
          <a:solidFill>
            <a:schemeClr val="accent1"/>
          </a:solidFill>
          <a:ln w="25400">
            <a:noFill/>
          </a:ln>
          <a:effectLst/>
        </c:spPr>
        <c:marker>
          <c:symbol val="none"/>
        </c:marker>
      </c:pivotFmt>
      <c:pivotFmt>
        <c:idx val="24"/>
        <c:spPr>
          <a:solidFill>
            <a:schemeClr val="accent1"/>
          </a:solidFill>
          <a:ln w="25400">
            <a:noFill/>
          </a:ln>
          <a:effectLst/>
        </c:spPr>
        <c:marker>
          <c:symbol val="none"/>
        </c:marker>
      </c:pivotFmt>
      <c:pivotFmt>
        <c:idx val="25"/>
        <c:spPr>
          <a:solidFill>
            <a:schemeClr val="accent1"/>
          </a:solidFill>
          <a:ln w="25400">
            <a:noFill/>
          </a:ln>
          <a:effectLst/>
        </c:spPr>
        <c:marker>
          <c:symbol val="none"/>
        </c:marker>
      </c:pivotFmt>
      <c:pivotFmt>
        <c:idx val="26"/>
        <c:spPr>
          <a:solidFill>
            <a:schemeClr val="accent1"/>
          </a:solidFill>
          <a:ln w="25400">
            <a:noFill/>
          </a:ln>
          <a:effectLst/>
        </c:spPr>
        <c:marker>
          <c:symbol val="none"/>
        </c:marker>
      </c:pivotFmt>
      <c:pivotFmt>
        <c:idx val="27"/>
        <c:spPr>
          <a:solidFill>
            <a:schemeClr val="accent1"/>
          </a:solidFill>
          <a:ln w="25400">
            <a:noFill/>
          </a:ln>
          <a:effectLst/>
        </c:spPr>
        <c:marker>
          <c:symbol val="none"/>
        </c:marker>
      </c:pivotFmt>
      <c:pivotFmt>
        <c:idx val="28"/>
        <c:spPr>
          <a:solidFill>
            <a:schemeClr val="accent1"/>
          </a:solidFill>
          <a:ln w="25400">
            <a:noFill/>
          </a:ln>
          <a:effectLst/>
        </c:spPr>
        <c:marker>
          <c:symbol val="none"/>
        </c:marker>
      </c:pivotFmt>
      <c:pivotFmt>
        <c:idx val="29"/>
        <c:spPr>
          <a:solidFill>
            <a:schemeClr val="accent1"/>
          </a:solidFill>
          <a:ln w="25400">
            <a:noFill/>
          </a:ln>
          <a:effectLst/>
        </c:spPr>
        <c:marker>
          <c:symbol val="none"/>
        </c:marker>
      </c:pivotFmt>
      <c:pivotFmt>
        <c:idx val="30"/>
        <c:spPr>
          <a:solidFill>
            <a:schemeClr val="accent1"/>
          </a:solidFill>
          <a:ln w="25400">
            <a:noFill/>
          </a:ln>
          <a:effectLst/>
        </c:spPr>
        <c:marker>
          <c:symbol val="none"/>
        </c:marker>
      </c:pivotFmt>
      <c:pivotFmt>
        <c:idx val="31"/>
        <c:spPr>
          <a:solidFill>
            <a:schemeClr val="accent1"/>
          </a:solidFill>
          <a:ln w="25400">
            <a:noFill/>
          </a:ln>
          <a:effectLst/>
        </c:spPr>
        <c:marker>
          <c:symbol val="none"/>
        </c:marker>
      </c:pivotFmt>
      <c:pivotFmt>
        <c:idx val="32"/>
        <c:spPr>
          <a:solidFill>
            <a:schemeClr val="accent1"/>
          </a:solidFill>
          <a:ln w="25400">
            <a:noFill/>
          </a:ln>
          <a:effectLst/>
        </c:spPr>
        <c:marker>
          <c:symbol val="none"/>
        </c:marker>
      </c:pivotFmt>
      <c:pivotFmt>
        <c:idx val="33"/>
        <c:spPr>
          <a:solidFill>
            <a:schemeClr val="accent1"/>
          </a:solidFill>
          <a:ln w="25400">
            <a:noFill/>
          </a:ln>
          <a:effectLst/>
        </c:spPr>
        <c:marker>
          <c:symbol val="none"/>
        </c:marker>
      </c:pivotFmt>
      <c:pivotFmt>
        <c:idx val="34"/>
        <c:spPr>
          <a:solidFill>
            <a:schemeClr val="accent1"/>
          </a:solidFill>
          <a:ln w="25400">
            <a:noFill/>
          </a:ln>
          <a:effectLst/>
        </c:spPr>
        <c:marker>
          <c:symbol val="none"/>
        </c:marker>
      </c:pivotFmt>
      <c:pivotFmt>
        <c:idx val="35"/>
        <c:spPr>
          <a:solidFill>
            <a:schemeClr val="accent1"/>
          </a:solidFill>
          <a:ln w="25400">
            <a:noFill/>
          </a:ln>
          <a:effectLst/>
        </c:spPr>
        <c:marker>
          <c:symbol val="none"/>
        </c:marker>
      </c:pivotFmt>
      <c:pivotFmt>
        <c:idx val="36"/>
        <c:spPr>
          <a:solidFill>
            <a:schemeClr val="accent1"/>
          </a:solidFill>
          <a:ln w="25400">
            <a:noFill/>
          </a:ln>
          <a:effectLst/>
        </c:spPr>
        <c:marker>
          <c:symbol val="none"/>
        </c:marker>
      </c:pivotFmt>
      <c:pivotFmt>
        <c:idx val="37"/>
        <c:spPr>
          <a:solidFill>
            <a:schemeClr val="accent1"/>
          </a:solidFill>
          <a:ln w="25400">
            <a:noFill/>
          </a:ln>
          <a:effectLst/>
        </c:spPr>
        <c:marker>
          <c:symbol val="none"/>
        </c:marker>
      </c:pivotFmt>
      <c:pivotFmt>
        <c:idx val="38"/>
        <c:spPr>
          <a:solidFill>
            <a:schemeClr val="accent1"/>
          </a:solidFill>
          <a:ln w="25400">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w="25400">
            <a:noFill/>
          </a:ln>
          <a:effectLst/>
        </c:spPr>
        <c:marker>
          <c:symbol val="none"/>
        </c:marker>
      </c:pivotFmt>
      <c:pivotFmt>
        <c:idx val="92"/>
        <c:spPr>
          <a:solidFill>
            <a:schemeClr val="accent1"/>
          </a:solidFill>
          <a:ln w="25400">
            <a:noFill/>
          </a:ln>
          <a:effectLst/>
        </c:spPr>
        <c:marker>
          <c:symbol val="none"/>
        </c:marker>
      </c:pivotFmt>
      <c:pivotFmt>
        <c:idx val="93"/>
        <c:spPr>
          <a:solidFill>
            <a:schemeClr val="accent1"/>
          </a:solidFill>
          <a:ln w="25400">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
        <c:idx val="113"/>
        <c:spPr>
          <a:solidFill>
            <a:schemeClr val="accent1"/>
          </a:solidFill>
          <a:ln w="25400">
            <a:noFill/>
          </a:ln>
          <a:effectLst/>
        </c:spPr>
        <c:marker>
          <c:symbol val="none"/>
        </c:marker>
      </c:pivotFmt>
      <c:pivotFmt>
        <c:idx val="114"/>
        <c:spPr>
          <a:solidFill>
            <a:schemeClr val="accent1"/>
          </a:solidFill>
          <a:ln w="25400">
            <a:noFill/>
          </a:ln>
          <a:effectLst/>
        </c:spPr>
        <c:marker>
          <c:symbol val="none"/>
        </c:marker>
      </c:pivotFmt>
      <c:pivotFmt>
        <c:idx val="115"/>
        <c:spPr>
          <a:solidFill>
            <a:schemeClr val="accent1"/>
          </a:solidFill>
          <a:ln w="25400">
            <a:noFill/>
          </a:ln>
          <a:effectLst/>
        </c:spPr>
        <c:marker>
          <c:symbol val="none"/>
        </c:marker>
      </c:pivotFmt>
      <c:pivotFmt>
        <c:idx val="116"/>
        <c:spPr>
          <a:solidFill>
            <a:schemeClr val="accent1"/>
          </a:solidFill>
          <a:ln w="25400">
            <a:noFill/>
          </a:ln>
          <a:effectLst/>
        </c:spPr>
        <c:marker>
          <c:symbol val="none"/>
        </c:marker>
      </c:pivotFmt>
      <c:pivotFmt>
        <c:idx val="117"/>
        <c:spPr>
          <a:solidFill>
            <a:schemeClr val="accent1"/>
          </a:solidFill>
          <a:ln w="25400">
            <a:noFill/>
          </a:ln>
          <a:effectLst/>
        </c:spPr>
        <c:marker>
          <c:symbol val="none"/>
        </c:marker>
      </c:pivotFmt>
      <c:pivotFmt>
        <c:idx val="118"/>
        <c:spPr>
          <a:solidFill>
            <a:schemeClr val="accent1"/>
          </a:solidFill>
          <a:ln w="25400">
            <a:noFill/>
          </a:ln>
          <a:effectLst/>
        </c:spPr>
        <c:marker>
          <c:symbol val="none"/>
        </c:marker>
      </c:pivotFmt>
      <c:pivotFmt>
        <c:idx val="119"/>
        <c:spPr>
          <a:solidFill>
            <a:schemeClr val="accent1"/>
          </a:solidFill>
          <a:ln w="25400">
            <a:noFill/>
          </a:ln>
          <a:effectLst/>
        </c:spPr>
        <c:marker>
          <c:symbol val="none"/>
        </c:marker>
      </c:pivotFmt>
      <c:pivotFmt>
        <c:idx val="120"/>
        <c:spPr>
          <a:solidFill>
            <a:schemeClr val="accent1"/>
          </a:solidFill>
          <a:ln w="25400">
            <a:noFill/>
          </a:ln>
          <a:effectLst/>
        </c:spPr>
        <c:marker>
          <c:symbol val="none"/>
        </c:marker>
      </c:pivotFmt>
      <c:pivotFmt>
        <c:idx val="121"/>
        <c:spPr>
          <a:solidFill>
            <a:schemeClr val="accent1"/>
          </a:solidFill>
          <a:ln w="25400">
            <a:noFill/>
          </a:ln>
          <a:effectLst/>
        </c:spPr>
        <c:marker>
          <c:symbol val="none"/>
        </c:marker>
      </c:pivotFmt>
      <c:pivotFmt>
        <c:idx val="122"/>
        <c:spPr>
          <a:solidFill>
            <a:schemeClr val="accent1"/>
          </a:solidFill>
          <a:ln w="25400">
            <a:noFill/>
          </a:ln>
          <a:effectLst/>
        </c:spPr>
        <c:marker>
          <c:symbol val="none"/>
        </c:marker>
      </c:pivotFmt>
      <c:pivotFmt>
        <c:idx val="123"/>
        <c:spPr>
          <a:solidFill>
            <a:schemeClr val="accent1"/>
          </a:solidFill>
          <a:ln w="25400">
            <a:noFill/>
          </a:ln>
          <a:effectLst/>
        </c:spPr>
        <c:marker>
          <c:symbol val="none"/>
        </c:marker>
      </c:pivotFmt>
      <c:pivotFmt>
        <c:idx val="124"/>
        <c:spPr>
          <a:solidFill>
            <a:schemeClr val="accent1"/>
          </a:solidFill>
          <a:ln w="25400">
            <a:noFill/>
          </a:ln>
          <a:effectLst/>
        </c:spPr>
        <c:marker>
          <c:symbol val="none"/>
        </c:marker>
      </c:pivotFmt>
      <c:pivotFmt>
        <c:idx val="125"/>
        <c:spPr>
          <a:solidFill>
            <a:schemeClr val="accent1"/>
          </a:solidFill>
          <a:ln w="25400">
            <a:noFill/>
          </a:ln>
          <a:effectLst/>
        </c:spPr>
        <c:marker>
          <c:symbol val="none"/>
        </c:marker>
      </c:pivotFmt>
      <c:pivotFmt>
        <c:idx val="126"/>
        <c:spPr>
          <a:solidFill>
            <a:schemeClr val="accent1"/>
          </a:solidFill>
          <a:ln w="25400">
            <a:noFill/>
          </a:ln>
          <a:effectLst/>
        </c:spPr>
        <c:marker>
          <c:symbol val="none"/>
        </c:marker>
      </c:pivotFmt>
      <c:pivotFmt>
        <c:idx val="127"/>
        <c:spPr>
          <a:solidFill>
            <a:schemeClr val="accent1"/>
          </a:solidFill>
          <a:ln w="25400">
            <a:noFill/>
          </a:ln>
          <a:effectLst/>
        </c:spPr>
        <c:marker>
          <c:symbol val="none"/>
        </c:marker>
      </c:pivotFmt>
      <c:pivotFmt>
        <c:idx val="128"/>
        <c:spPr>
          <a:solidFill>
            <a:schemeClr val="accent1"/>
          </a:solidFill>
          <a:ln w="25400">
            <a:noFill/>
          </a:ln>
          <a:effectLst/>
        </c:spPr>
        <c:marker>
          <c:symbol val="none"/>
        </c:marker>
      </c:pivotFmt>
      <c:pivotFmt>
        <c:idx val="129"/>
        <c:spPr>
          <a:solidFill>
            <a:schemeClr val="accent1"/>
          </a:solidFill>
          <a:ln w="25400">
            <a:noFill/>
          </a:ln>
          <a:effectLst/>
        </c:spPr>
        <c:marker>
          <c:symbol val="none"/>
        </c:marker>
      </c:pivotFmt>
      <c:pivotFmt>
        <c:idx val="130"/>
        <c:spPr>
          <a:solidFill>
            <a:schemeClr val="accent1"/>
          </a:solidFill>
          <a:ln w="25400">
            <a:noFill/>
          </a:ln>
          <a:effectLst/>
        </c:spPr>
        <c:marker>
          <c:symbol val="none"/>
        </c:marker>
      </c:pivotFmt>
      <c:pivotFmt>
        <c:idx val="131"/>
        <c:spPr>
          <a:solidFill>
            <a:schemeClr val="accent1"/>
          </a:solidFill>
          <a:ln w="25400">
            <a:noFill/>
          </a:ln>
          <a:effectLst/>
        </c:spPr>
        <c:marker>
          <c:symbol val="none"/>
        </c:marker>
      </c:pivotFmt>
      <c:pivotFmt>
        <c:idx val="132"/>
        <c:spPr>
          <a:solidFill>
            <a:schemeClr val="accent1"/>
          </a:solidFill>
          <a:ln w="25400">
            <a:noFill/>
          </a:ln>
          <a:effectLst/>
        </c:spPr>
        <c:marker>
          <c:symbol val="none"/>
        </c:marker>
      </c:pivotFmt>
      <c:pivotFmt>
        <c:idx val="133"/>
        <c:spPr>
          <a:solidFill>
            <a:schemeClr val="accent1"/>
          </a:solidFill>
          <a:ln w="25400">
            <a:noFill/>
          </a:ln>
          <a:effectLst/>
        </c:spPr>
        <c:marker>
          <c:symbol val="none"/>
        </c:marker>
      </c:pivotFmt>
      <c:pivotFmt>
        <c:idx val="134"/>
        <c:spPr>
          <a:solidFill>
            <a:schemeClr val="accent1"/>
          </a:solidFill>
          <a:ln w="25400">
            <a:noFill/>
          </a:ln>
          <a:effectLst/>
        </c:spPr>
        <c:marker>
          <c:symbol val="none"/>
        </c:marker>
      </c:pivotFmt>
      <c:pivotFmt>
        <c:idx val="135"/>
        <c:spPr>
          <a:solidFill>
            <a:schemeClr val="accent1"/>
          </a:solidFill>
          <a:ln w="25400">
            <a:noFill/>
          </a:ln>
          <a:effectLst/>
        </c:spPr>
        <c:marker>
          <c:symbol val="none"/>
        </c:marker>
      </c:pivotFmt>
      <c:pivotFmt>
        <c:idx val="136"/>
        <c:spPr>
          <a:solidFill>
            <a:schemeClr val="accent1"/>
          </a:solidFill>
          <a:ln w="25400">
            <a:noFill/>
          </a:ln>
          <a:effectLst/>
        </c:spPr>
        <c:marker>
          <c:symbol val="none"/>
        </c:marker>
      </c:pivotFmt>
      <c:pivotFmt>
        <c:idx val="137"/>
        <c:spPr>
          <a:solidFill>
            <a:schemeClr val="accent1"/>
          </a:solidFill>
          <a:ln w="25400">
            <a:noFill/>
          </a:ln>
          <a:effectLst/>
        </c:spPr>
        <c:marker>
          <c:symbol val="none"/>
        </c:marker>
      </c:pivotFmt>
      <c:pivotFmt>
        <c:idx val="138"/>
        <c:spPr>
          <a:solidFill>
            <a:schemeClr val="accent1"/>
          </a:solidFill>
          <a:ln w="25400">
            <a:noFill/>
          </a:ln>
          <a:effectLst/>
        </c:spPr>
        <c:marker>
          <c:symbol val="none"/>
        </c:marker>
      </c:pivotFmt>
      <c:pivotFmt>
        <c:idx val="139"/>
        <c:spPr>
          <a:solidFill>
            <a:schemeClr val="accent1"/>
          </a:solidFill>
          <a:ln w="25400">
            <a:noFill/>
          </a:ln>
          <a:effectLst/>
        </c:spPr>
        <c:marker>
          <c:symbol val="none"/>
        </c:marker>
      </c:pivotFmt>
      <c:pivotFmt>
        <c:idx val="140"/>
        <c:spPr>
          <a:solidFill>
            <a:schemeClr val="accent1"/>
          </a:solidFill>
          <a:ln w="25400">
            <a:noFill/>
          </a:ln>
          <a:effectLst/>
        </c:spPr>
        <c:marker>
          <c:symbol val="none"/>
        </c:marker>
      </c:pivotFmt>
      <c:pivotFmt>
        <c:idx val="141"/>
        <c:spPr>
          <a:solidFill>
            <a:schemeClr val="accent1"/>
          </a:solidFill>
          <a:ln w="25400">
            <a:noFill/>
          </a:ln>
          <a:effectLst/>
        </c:spPr>
        <c:marker>
          <c:symbol val="none"/>
        </c:marker>
      </c:pivotFmt>
      <c:pivotFmt>
        <c:idx val="142"/>
        <c:spPr>
          <a:solidFill>
            <a:schemeClr val="accent1"/>
          </a:solidFill>
          <a:ln w="25400">
            <a:noFill/>
          </a:ln>
          <a:effectLst/>
        </c:spPr>
        <c:marker>
          <c:symbol val="none"/>
        </c:marker>
      </c:pivotFmt>
      <c:pivotFmt>
        <c:idx val="143"/>
        <c:spPr>
          <a:solidFill>
            <a:schemeClr val="accent1"/>
          </a:solidFill>
          <a:ln w="25400">
            <a:noFill/>
          </a:ln>
          <a:effectLst/>
        </c:spPr>
        <c:marker>
          <c:symbol val="none"/>
        </c:marker>
      </c:pivotFmt>
      <c:pivotFmt>
        <c:idx val="144"/>
        <c:spPr>
          <a:solidFill>
            <a:schemeClr val="accent1"/>
          </a:solidFill>
          <a:ln w="25400">
            <a:noFill/>
          </a:ln>
          <a:effectLst/>
        </c:spPr>
        <c:marker>
          <c:symbol val="none"/>
        </c:marker>
      </c:pivotFmt>
      <c:pivotFmt>
        <c:idx val="145"/>
        <c:spPr>
          <a:solidFill>
            <a:schemeClr val="accent1"/>
          </a:solidFill>
          <a:ln w="25400">
            <a:noFill/>
          </a:ln>
          <a:effectLst/>
        </c:spPr>
        <c:marker>
          <c:symbol val="none"/>
        </c:marker>
      </c:pivotFmt>
      <c:pivotFmt>
        <c:idx val="146"/>
        <c:spPr>
          <a:solidFill>
            <a:schemeClr val="accent1"/>
          </a:solidFill>
          <a:ln w="25400">
            <a:noFill/>
          </a:ln>
          <a:effectLst/>
        </c:spPr>
        <c:marker>
          <c:symbol val="none"/>
        </c:marker>
      </c:pivotFmt>
      <c:pivotFmt>
        <c:idx val="147"/>
        <c:spPr>
          <a:solidFill>
            <a:schemeClr val="accent1"/>
          </a:solidFill>
          <a:ln w="25400">
            <a:noFill/>
          </a:ln>
          <a:effectLst/>
        </c:spPr>
        <c:marker>
          <c:symbol val="none"/>
        </c:marker>
      </c:pivotFmt>
      <c:pivotFmt>
        <c:idx val="148"/>
        <c:spPr>
          <a:solidFill>
            <a:schemeClr val="accent1"/>
          </a:solidFill>
          <a:ln w="25400">
            <a:noFill/>
          </a:ln>
          <a:effectLst/>
        </c:spPr>
        <c:marker>
          <c:symbol val="none"/>
        </c:marker>
      </c:pivotFmt>
      <c:pivotFmt>
        <c:idx val="149"/>
        <c:spPr>
          <a:solidFill>
            <a:schemeClr val="accent1"/>
          </a:solidFill>
          <a:ln w="25400">
            <a:noFill/>
          </a:ln>
          <a:effectLst/>
        </c:spPr>
        <c:marker>
          <c:symbol val="none"/>
        </c:marker>
      </c:pivotFmt>
      <c:pivotFmt>
        <c:idx val="150"/>
        <c:spPr>
          <a:solidFill>
            <a:schemeClr val="accent1"/>
          </a:solidFill>
          <a:ln w="25400">
            <a:noFill/>
          </a:ln>
          <a:effectLst/>
        </c:spPr>
        <c:marker>
          <c:symbol val="none"/>
        </c:marker>
      </c:pivotFmt>
      <c:pivotFmt>
        <c:idx val="151"/>
        <c:spPr>
          <a:solidFill>
            <a:schemeClr val="accent1"/>
          </a:solidFill>
          <a:ln w="25400">
            <a:noFill/>
          </a:ln>
          <a:effectLst/>
        </c:spPr>
        <c:marker>
          <c:symbol val="none"/>
        </c:marker>
      </c:pivotFmt>
      <c:pivotFmt>
        <c:idx val="152"/>
        <c:spPr>
          <a:solidFill>
            <a:schemeClr val="accent1"/>
          </a:solidFill>
          <a:ln w="25400">
            <a:noFill/>
          </a:ln>
          <a:effectLst/>
        </c:spPr>
        <c:marker>
          <c:symbol val="none"/>
        </c:marker>
      </c:pivotFmt>
      <c:pivotFmt>
        <c:idx val="153"/>
        <c:spPr>
          <a:solidFill>
            <a:schemeClr val="accent1"/>
          </a:solidFill>
          <a:ln w="25400">
            <a:noFill/>
          </a:ln>
          <a:effectLst/>
        </c:spPr>
        <c:marker>
          <c:symbol val="none"/>
        </c:marker>
      </c:pivotFmt>
      <c:pivotFmt>
        <c:idx val="154"/>
        <c:spPr>
          <a:solidFill>
            <a:schemeClr val="accent1"/>
          </a:solidFill>
          <a:ln w="25400">
            <a:noFill/>
          </a:ln>
          <a:effectLst/>
        </c:spPr>
        <c:marker>
          <c:symbol val="none"/>
        </c:marker>
      </c:pivotFmt>
      <c:pivotFmt>
        <c:idx val="155"/>
        <c:spPr>
          <a:solidFill>
            <a:schemeClr val="accent1"/>
          </a:solidFill>
          <a:ln w="25400">
            <a:noFill/>
          </a:ln>
          <a:effectLst/>
        </c:spPr>
        <c:marker>
          <c:symbol val="none"/>
        </c:marker>
      </c:pivotFmt>
      <c:pivotFmt>
        <c:idx val="156"/>
        <c:spPr>
          <a:solidFill>
            <a:schemeClr val="accent1"/>
          </a:solidFill>
          <a:ln w="25400">
            <a:noFill/>
          </a:ln>
          <a:effectLst/>
        </c:spPr>
        <c:marker>
          <c:symbol val="none"/>
        </c:marker>
      </c:pivotFmt>
      <c:pivotFmt>
        <c:idx val="157"/>
        <c:spPr>
          <a:solidFill>
            <a:schemeClr val="accent1"/>
          </a:solidFill>
          <a:ln w="25400">
            <a:noFill/>
          </a:ln>
          <a:effectLst/>
        </c:spPr>
        <c:marker>
          <c:symbol val="none"/>
        </c:marker>
      </c:pivotFmt>
      <c:pivotFmt>
        <c:idx val="158"/>
        <c:spPr>
          <a:solidFill>
            <a:schemeClr val="accent1"/>
          </a:solidFill>
          <a:ln w="25400">
            <a:noFill/>
          </a:ln>
          <a:effectLst/>
        </c:spPr>
        <c:marker>
          <c:symbol val="none"/>
        </c:marker>
      </c:pivotFmt>
      <c:pivotFmt>
        <c:idx val="159"/>
        <c:spPr>
          <a:solidFill>
            <a:schemeClr val="accent1"/>
          </a:solidFill>
          <a:ln w="25400">
            <a:noFill/>
          </a:ln>
          <a:effectLst/>
        </c:spPr>
        <c:marker>
          <c:symbol val="none"/>
        </c:marker>
      </c:pivotFmt>
      <c:pivotFmt>
        <c:idx val="160"/>
        <c:spPr>
          <a:solidFill>
            <a:schemeClr val="accent1"/>
          </a:solidFill>
          <a:ln w="25400">
            <a:noFill/>
          </a:ln>
          <a:effectLst/>
        </c:spPr>
        <c:marker>
          <c:symbol val="none"/>
        </c:marker>
      </c:pivotFmt>
      <c:pivotFmt>
        <c:idx val="161"/>
        <c:spPr>
          <a:solidFill>
            <a:schemeClr val="accent1"/>
          </a:solidFill>
          <a:ln w="25400">
            <a:noFill/>
          </a:ln>
          <a:effectLst/>
        </c:spPr>
        <c:marker>
          <c:symbol val="none"/>
        </c:marker>
      </c:pivotFmt>
      <c:pivotFmt>
        <c:idx val="162"/>
        <c:spPr>
          <a:solidFill>
            <a:schemeClr val="accent1"/>
          </a:solidFill>
          <a:ln w="25400">
            <a:noFill/>
          </a:ln>
          <a:effectLst/>
        </c:spPr>
        <c:marker>
          <c:symbol val="none"/>
        </c:marker>
      </c:pivotFmt>
      <c:pivotFmt>
        <c:idx val="163"/>
        <c:spPr>
          <a:solidFill>
            <a:schemeClr val="accent1"/>
          </a:solidFill>
          <a:ln w="25400">
            <a:noFill/>
          </a:ln>
          <a:effectLst/>
        </c:spPr>
        <c:marker>
          <c:symbol val="none"/>
        </c:marker>
      </c:pivotFmt>
      <c:pivotFmt>
        <c:idx val="164"/>
        <c:spPr>
          <a:solidFill>
            <a:schemeClr val="accent1"/>
          </a:solidFill>
          <a:ln w="25400">
            <a:noFill/>
          </a:ln>
          <a:effectLst/>
        </c:spPr>
        <c:marker>
          <c:symbol val="none"/>
        </c:marker>
      </c:pivotFmt>
      <c:pivotFmt>
        <c:idx val="165"/>
        <c:spPr>
          <a:solidFill>
            <a:schemeClr val="accent1"/>
          </a:solidFill>
          <a:ln w="25400">
            <a:noFill/>
          </a:ln>
          <a:effectLst/>
        </c:spPr>
        <c:marker>
          <c:symbol val="none"/>
        </c:marker>
      </c:pivotFmt>
      <c:pivotFmt>
        <c:idx val="166"/>
        <c:spPr>
          <a:solidFill>
            <a:schemeClr val="accent1"/>
          </a:solidFill>
          <a:ln w="25400">
            <a:noFill/>
          </a:ln>
          <a:effectLst/>
        </c:spPr>
        <c:marker>
          <c:symbol val="none"/>
        </c:marker>
      </c:pivotFmt>
      <c:pivotFmt>
        <c:idx val="167"/>
        <c:spPr>
          <a:solidFill>
            <a:schemeClr val="accent1"/>
          </a:solidFill>
          <a:ln w="25400">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a:noFill/>
          </a:ln>
          <a:effectLst/>
        </c:spPr>
        <c:marker>
          <c:symbol val="none"/>
        </c:marker>
      </c:pivotFmt>
      <c:pivotFmt>
        <c:idx val="170"/>
        <c:spPr>
          <a:solidFill>
            <a:schemeClr val="accent1"/>
          </a:solidFill>
          <a:ln w="25400">
            <a:noFill/>
          </a:ln>
          <a:effectLst/>
        </c:spPr>
        <c:marker>
          <c:symbol val="none"/>
        </c:marker>
      </c:pivotFmt>
      <c:pivotFmt>
        <c:idx val="171"/>
        <c:spPr>
          <a:solidFill>
            <a:schemeClr val="accent1"/>
          </a:solidFill>
          <a:ln w="25400">
            <a:noFill/>
          </a:ln>
          <a:effectLst/>
        </c:spPr>
        <c:marker>
          <c:symbol val="none"/>
        </c:marker>
      </c:pivotFmt>
      <c:pivotFmt>
        <c:idx val="172"/>
        <c:spPr>
          <a:solidFill>
            <a:schemeClr val="accent1"/>
          </a:solidFill>
          <a:ln w="25400">
            <a:noFill/>
          </a:ln>
          <a:effectLst/>
        </c:spPr>
        <c:marker>
          <c:symbol val="none"/>
        </c:marker>
      </c:pivotFmt>
      <c:pivotFmt>
        <c:idx val="173"/>
        <c:spPr>
          <a:solidFill>
            <a:schemeClr val="accent1"/>
          </a:solidFill>
          <a:ln w="25400">
            <a:noFill/>
          </a:ln>
          <a:effectLst/>
        </c:spPr>
        <c:marker>
          <c:symbol val="none"/>
        </c:marker>
      </c:pivotFmt>
      <c:pivotFmt>
        <c:idx val="174"/>
        <c:spPr>
          <a:solidFill>
            <a:schemeClr val="accent1"/>
          </a:solidFill>
          <a:ln w="25400">
            <a:noFill/>
          </a:ln>
          <a:effectLst/>
        </c:spPr>
        <c:marker>
          <c:symbol val="none"/>
        </c:marker>
      </c:pivotFmt>
      <c:pivotFmt>
        <c:idx val="175"/>
        <c:spPr>
          <a:solidFill>
            <a:schemeClr val="accent1"/>
          </a:solidFill>
          <a:ln w="25400">
            <a:noFill/>
          </a:ln>
          <a:effectLst/>
        </c:spPr>
        <c:marker>
          <c:symbol val="none"/>
        </c:marker>
      </c:pivotFmt>
      <c:pivotFmt>
        <c:idx val="176"/>
        <c:spPr>
          <a:solidFill>
            <a:schemeClr val="accent1"/>
          </a:solidFill>
          <a:ln w="25400">
            <a:noFill/>
          </a:ln>
          <a:effectLst/>
        </c:spPr>
        <c:marker>
          <c:symbol val="none"/>
        </c:marker>
      </c:pivotFmt>
      <c:pivotFmt>
        <c:idx val="177"/>
        <c:spPr>
          <a:solidFill>
            <a:schemeClr val="accent1"/>
          </a:solidFill>
          <a:ln w="25400">
            <a:noFill/>
          </a:ln>
          <a:effectLst/>
        </c:spPr>
        <c:marker>
          <c:symbol val="none"/>
        </c:marker>
      </c:pivotFmt>
      <c:pivotFmt>
        <c:idx val="178"/>
        <c:spPr>
          <a:solidFill>
            <a:schemeClr val="accent1"/>
          </a:solidFill>
          <a:ln w="25400">
            <a:noFill/>
          </a:ln>
          <a:effectLst/>
        </c:spPr>
        <c:marker>
          <c:symbol val="none"/>
        </c:marker>
      </c:pivotFmt>
      <c:pivotFmt>
        <c:idx val="179"/>
        <c:spPr>
          <a:solidFill>
            <a:schemeClr val="accent1"/>
          </a:solidFill>
          <a:ln w="25400">
            <a:noFill/>
          </a:ln>
          <a:effectLst/>
        </c:spPr>
        <c:marker>
          <c:symbol val="none"/>
        </c:marker>
      </c:pivotFmt>
      <c:pivotFmt>
        <c:idx val="180"/>
        <c:spPr>
          <a:solidFill>
            <a:schemeClr val="accent1"/>
          </a:solidFill>
          <a:ln w="25400">
            <a:noFill/>
          </a:ln>
          <a:effectLst/>
        </c:spPr>
        <c:marker>
          <c:symbol val="none"/>
        </c:marker>
      </c:pivotFmt>
      <c:pivotFmt>
        <c:idx val="181"/>
        <c:spPr>
          <a:solidFill>
            <a:schemeClr val="accent1"/>
          </a:solidFill>
          <a:ln w="25400">
            <a:noFill/>
          </a:ln>
          <a:effectLst/>
        </c:spPr>
        <c:marker>
          <c:symbol val="none"/>
        </c:marker>
      </c:pivotFmt>
      <c:pivotFmt>
        <c:idx val="182"/>
        <c:spPr>
          <a:solidFill>
            <a:schemeClr val="accent1"/>
          </a:solidFill>
          <a:ln w="25400">
            <a:noFill/>
          </a:ln>
          <a:effectLst/>
        </c:spPr>
        <c:marker>
          <c:symbol val="none"/>
        </c:marker>
      </c:pivotFmt>
      <c:pivotFmt>
        <c:idx val="183"/>
        <c:spPr>
          <a:solidFill>
            <a:schemeClr val="accent1"/>
          </a:solidFill>
          <a:ln w="25400">
            <a:noFill/>
          </a:ln>
          <a:effectLst/>
        </c:spPr>
        <c:marker>
          <c:symbol val="none"/>
        </c:marker>
      </c:pivotFmt>
      <c:pivotFmt>
        <c:idx val="184"/>
        <c:spPr>
          <a:solidFill>
            <a:schemeClr val="accent1"/>
          </a:solidFill>
          <a:ln w="25400">
            <a:noFill/>
          </a:ln>
          <a:effectLst/>
        </c:spPr>
        <c:marker>
          <c:symbol val="none"/>
        </c:marker>
      </c:pivotFmt>
      <c:pivotFmt>
        <c:idx val="185"/>
        <c:spPr>
          <a:solidFill>
            <a:schemeClr val="accent1"/>
          </a:solidFill>
          <a:ln w="25400">
            <a:noFill/>
          </a:ln>
          <a:effectLst/>
        </c:spPr>
        <c:marker>
          <c:symbol val="none"/>
        </c:marker>
      </c:pivotFmt>
      <c:pivotFmt>
        <c:idx val="186"/>
        <c:spPr>
          <a:solidFill>
            <a:schemeClr val="accent1"/>
          </a:solidFill>
          <a:ln w="25400">
            <a:noFill/>
          </a:ln>
          <a:effectLst/>
        </c:spPr>
        <c:marker>
          <c:symbol val="none"/>
        </c:marker>
      </c:pivotFmt>
      <c:pivotFmt>
        <c:idx val="187"/>
        <c:spPr>
          <a:solidFill>
            <a:schemeClr val="accent1"/>
          </a:solidFill>
          <a:ln w="25400">
            <a:noFill/>
          </a:ln>
          <a:effectLst/>
        </c:spPr>
        <c:marker>
          <c:symbol val="none"/>
        </c:marker>
      </c:pivotFmt>
      <c:pivotFmt>
        <c:idx val="188"/>
        <c:spPr>
          <a:solidFill>
            <a:schemeClr val="accent1"/>
          </a:solidFill>
          <a:ln w="25400">
            <a:noFill/>
          </a:ln>
          <a:effectLst/>
        </c:spPr>
        <c:marker>
          <c:symbol val="none"/>
        </c:marker>
      </c:pivotFmt>
      <c:pivotFmt>
        <c:idx val="189"/>
        <c:spPr>
          <a:solidFill>
            <a:schemeClr val="accent1"/>
          </a:solidFill>
          <a:ln w="25400">
            <a:noFill/>
          </a:ln>
          <a:effectLst/>
        </c:spPr>
        <c:marker>
          <c:symbol val="none"/>
        </c:marker>
      </c:pivotFmt>
      <c:pivotFmt>
        <c:idx val="190"/>
        <c:spPr>
          <a:solidFill>
            <a:schemeClr val="accent1"/>
          </a:solidFill>
          <a:ln w="25400">
            <a:noFill/>
          </a:ln>
          <a:effectLst/>
        </c:spPr>
        <c:marker>
          <c:symbol val="none"/>
        </c:marker>
      </c:pivotFmt>
      <c:pivotFmt>
        <c:idx val="191"/>
        <c:spPr>
          <a:solidFill>
            <a:schemeClr val="accent1"/>
          </a:solidFill>
          <a:ln>
            <a:noFill/>
          </a:ln>
          <a:effectLst/>
        </c:spPr>
        <c:marker>
          <c:symbol val="none"/>
        </c:marker>
      </c:pivotFmt>
      <c:pivotFmt>
        <c:idx val="192"/>
        <c:spPr>
          <a:solidFill>
            <a:schemeClr val="accent1"/>
          </a:solidFill>
          <a:ln>
            <a:noFill/>
          </a:ln>
          <a:effectLst/>
        </c:spPr>
        <c:marker>
          <c:symbol val="none"/>
        </c:marker>
      </c:pivotFmt>
      <c:pivotFmt>
        <c:idx val="193"/>
        <c:spPr>
          <a:solidFill>
            <a:schemeClr val="accent1"/>
          </a:solidFill>
          <a:ln>
            <a:noFill/>
          </a:ln>
          <a:effectLst/>
        </c:spPr>
        <c:marker>
          <c:symbol val="none"/>
        </c:marker>
      </c:pivotFmt>
      <c:pivotFmt>
        <c:idx val="194"/>
        <c:spPr>
          <a:solidFill>
            <a:schemeClr val="accent1"/>
          </a:solidFill>
          <a:ln>
            <a:noFill/>
          </a:ln>
          <a:effectLst/>
        </c:spPr>
        <c:marker>
          <c:symbol val="none"/>
        </c:marker>
      </c:pivotFmt>
      <c:pivotFmt>
        <c:idx val="195"/>
        <c:spPr>
          <a:solidFill>
            <a:schemeClr val="accent1"/>
          </a:solidFill>
          <a:ln w="25400">
            <a:noFill/>
          </a:ln>
          <a:effectLst/>
        </c:spPr>
        <c:marker>
          <c:symbol val="none"/>
        </c:marker>
      </c:pivotFmt>
      <c:pivotFmt>
        <c:idx val="196"/>
        <c:spPr>
          <a:solidFill>
            <a:schemeClr val="accent1"/>
          </a:solidFill>
          <a:ln w="25400">
            <a:noFill/>
          </a:ln>
          <a:effectLst/>
        </c:spPr>
        <c:marker>
          <c:symbol val="none"/>
        </c:marker>
      </c:pivotFmt>
      <c:pivotFmt>
        <c:idx val="197"/>
        <c:spPr>
          <a:solidFill>
            <a:schemeClr val="accent1"/>
          </a:solidFill>
          <a:ln w="25400">
            <a:noFill/>
          </a:ln>
          <a:effectLst/>
        </c:spPr>
        <c:marker>
          <c:symbol val="none"/>
        </c:marker>
      </c:pivotFmt>
      <c:pivotFmt>
        <c:idx val="198"/>
        <c:spPr>
          <a:solidFill>
            <a:schemeClr val="accent1"/>
          </a:solidFill>
          <a:ln w="25400">
            <a:noFill/>
          </a:ln>
          <a:effectLst/>
        </c:spPr>
        <c:marker>
          <c:symbol val="none"/>
        </c:marker>
      </c:pivotFmt>
      <c:pivotFmt>
        <c:idx val="199"/>
        <c:spPr>
          <a:solidFill>
            <a:schemeClr val="accent1"/>
          </a:solidFill>
          <a:ln w="25400">
            <a:noFill/>
          </a:ln>
          <a:effectLst/>
        </c:spPr>
        <c:marker>
          <c:symbol val="none"/>
        </c:marker>
      </c:pivotFmt>
      <c:pivotFmt>
        <c:idx val="200"/>
        <c:spPr>
          <a:solidFill>
            <a:schemeClr val="accent1"/>
          </a:solidFill>
          <a:ln w="25400">
            <a:noFill/>
          </a:ln>
          <a:effectLst/>
        </c:spPr>
        <c:marker>
          <c:symbol val="none"/>
        </c:marker>
      </c:pivotFmt>
      <c:pivotFmt>
        <c:idx val="201"/>
        <c:spPr>
          <a:solidFill>
            <a:schemeClr val="accent1"/>
          </a:solidFill>
          <a:ln w="25400">
            <a:noFill/>
          </a:ln>
          <a:effectLst/>
        </c:spPr>
        <c:marker>
          <c:symbol val="none"/>
        </c:marker>
      </c:pivotFmt>
      <c:pivotFmt>
        <c:idx val="202"/>
        <c:spPr>
          <a:solidFill>
            <a:schemeClr val="accent1"/>
          </a:solidFill>
          <a:ln w="25400">
            <a:noFill/>
          </a:ln>
          <a:effectLst/>
        </c:spPr>
        <c:marker>
          <c:symbol val="none"/>
        </c:marker>
      </c:pivotFmt>
      <c:pivotFmt>
        <c:idx val="203"/>
        <c:spPr>
          <a:solidFill>
            <a:schemeClr val="accent1"/>
          </a:solidFill>
          <a:ln w="25400">
            <a:noFill/>
          </a:ln>
          <a:effectLst/>
        </c:spPr>
        <c:marker>
          <c:symbol val="none"/>
        </c:marker>
      </c:pivotFmt>
      <c:pivotFmt>
        <c:idx val="204"/>
        <c:spPr>
          <a:solidFill>
            <a:schemeClr val="accent1"/>
          </a:solidFill>
          <a:ln w="25400">
            <a:noFill/>
          </a:ln>
          <a:effectLst/>
        </c:spPr>
        <c:marker>
          <c:symbol val="none"/>
        </c:marker>
      </c:pivotFmt>
      <c:pivotFmt>
        <c:idx val="205"/>
        <c:spPr>
          <a:solidFill>
            <a:schemeClr val="accent1"/>
          </a:solidFill>
          <a:ln w="25400">
            <a:noFill/>
          </a:ln>
          <a:effectLst/>
        </c:spPr>
        <c:marker>
          <c:symbol val="none"/>
        </c:marker>
      </c:pivotFmt>
      <c:pivotFmt>
        <c:idx val="206"/>
        <c:spPr>
          <a:solidFill>
            <a:schemeClr val="accent1"/>
          </a:solidFill>
          <a:ln w="25400">
            <a:noFill/>
          </a:ln>
          <a:effectLst/>
        </c:spPr>
        <c:marker>
          <c:symbol val="none"/>
        </c:marker>
      </c:pivotFmt>
      <c:pivotFmt>
        <c:idx val="207"/>
        <c:spPr>
          <a:solidFill>
            <a:schemeClr val="accent1"/>
          </a:solidFill>
          <a:ln w="25400">
            <a:noFill/>
          </a:ln>
          <a:effectLst/>
        </c:spPr>
        <c:marker>
          <c:symbol val="none"/>
        </c:marker>
      </c:pivotFmt>
      <c:pivotFmt>
        <c:idx val="208"/>
        <c:spPr>
          <a:solidFill>
            <a:schemeClr val="accent1"/>
          </a:solidFill>
          <a:ln w="25400">
            <a:noFill/>
          </a:ln>
          <a:effectLst/>
        </c:spPr>
        <c:marker>
          <c:symbol val="none"/>
        </c:marker>
      </c:pivotFmt>
      <c:pivotFmt>
        <c:idx val="209"/>
        <c:spPr>
          <a:solidFill>
            <a:schemeClr val="accent1"/>
          </a:solidFill>
          <a:ln w="25400">
            <a:noFill/>
          </a:ln>
          <a:effectLst/>
        </c:spPr>
        <c:marker>
          <c:symbol val="none"/>
        </c:marker>
      </c:pivotFmt>
      <c:pivotFmt>
        <c:idx val="210"/>
        <c:spPr>
          <a:solidFill>
            <a:schemeClr val="accent1"/>
          </a:solidFill>
          <a:ln w="25400">
            <a:noFill/>
          </a:ln>
          <a:effectLst/>
        </c:spPr>
        <c:marker>
          <c:symbol val="none"/>
        </c:marker>
      </c:pivotFmt>
      <c:pivotFmt>
        <c:idx val="211"/>
        <c:spPr>
          <a:solidFill>
            <a:schemeClr val="accent1"/>
          </a:solidFill>
          <a:ln w="25400">
            <a:noFill/>
          </a:ln>
          <a:effectLst/>
        </c:spPr>
        <c:marker>
          <c:symbol val="none"/>
        </c:marker>
      </c:pivotFmt>
      <c:pivotFmt>
        <c:idx val="212"/>
        <c:spPr>
          <a:solidFill>
            <a:schemeClr val="accent1"/>
          </a:solidFill>
          <a:ln w="25400">
            <a:noFill/>
          </a:ln>
          <a:effectLst/>
        </c:spPr>
        <c:marker>
          <c:symbol val="none"/>
        </c:marker>
      </c:pivotFmt>
      <c:pivotFmt>
        <c:idx val="213"/>
        <c:spPr>
          <a:solidFill>
            <a:schemeClr val="accent1"/>
          </a:solidFill>
          <a:ln w="25400">
            <a:noFill/>
          </a:ln>
          <a:effectLst/>
        </c:spPr>
        <c:marker>
          <c:symbol val="none"/>
        </c:marker>
      </c:pivotFmt>
      <c:pivotFmt>
        <c:idx val="214"/>
        <c:spPr>
          <a:solidFill>
            <a:schemeClr val="accent1"/>
          </a:solidFill>
          <a:ln w="25400">
            <a:noFill/>
          </a:ln>
          <a:effectLst/>
        </c:spPr>
        <c:marker>
          <c:symbol val="none"/>
        </c:marker>
      </c:pivotFmt>
      <c:pivotFmt>
        <c:idx val="215"/>
        <c:spPr>
          <a:solidFill>
            <a:schemeClr val="accent1"/>
          </a:solidFill>
          <a:ln w="25400">
            <a:noFill/>
          </a:ln>
          <a:effectLst/>
        </c:spPr>
        <c:marker>
          <c:symbol val="none"/>
        </c:marker>
      </c:pivotFmt>
      <c:pivotFmt>
        <c:idx val="216"/>
        <c:spPr>
          <a:solidFill>
            <a:schemeClr val="accent1"/>
          </a:solidFill>
          <a:ln w="25400">
            <a:noFill/>
          </a:ln>
          <a:effectLst/>
        </c:spPr>
        <c:marker>
          <c:symbol val="none"/>
        </c:marker>
      </c:pivotFmt>
      <c:pivotFmt>
        <c:idx val="217"/>
        <c:spPr>
          <a:solidFill>
            <a:schemeClr val="accent1"/>
          </a:solidFill>
          <a:ln w="25400">
            <a:noFill/>
          </a:ln>
          <a:effectLst/>
        </c:spPr>
        <c:marker>
          <c:symbol val="none"/>
        </c:marker>
      </c:pivotFmt>
      <c:pivotFmt>
        <c:idx val="218"/>
        <c:spPr>
          <a:solidFill>
            <a:schemeClr val="accent1"/>
          </a:solidFill>
          <a:ln w="25400">
            <a:noFill/>
          </a:ln>
          <a:effectLst/>
        </c:spPr>
        <c:marker>
          <c:symbol val="none"/>
        </c:marker>
      </c:pivotFmt>
      <c:pivotFmt>
        <c:idx val="219"/>
        <c:spPr>
          <a:solidFill>
            <a:schemeClr val="accent1"/>
          </a:solidFill>
          <a:ln w="25400">
            <a:noFill/>
          </a:ln>
          <a:effectLst/>
        </c:spPr>
        <c:marker>
          <c:symbol val="none"/>
        </c:marker>
      </c:pivotFmt>
      <c:pivotFmt>
        <c:idx val="220"/>
        <c:spPr>
          <a:solidFill>
            <a:schemeClr val="accent1"/>
          </a:solidFill>
          <a:ln w="25400">
            <a:noFill/>
          </a:ln>
          <a:effectLst/>
        </c:spPr>
        <c:marker>
          <c:symbol val="none"/>
        </c:marker>
      </c:pivotFmt>
      <c:pivotFmt>
        <c:idx val="221"/>
        <c:spPr>
          <a:solidFill>
            <a:schemeClr val="accent1"/>
          </a:solidFill>
          <a:ln w="25400">
            <a:noFill/>
          </a:ln>
          <a:effectLst/>
        </c:spPr>
        <c:marker>
          <c:symbol val="none"/>
        </c:marker>
      </c:pivotFmt>
      <c:pivotFmt>
        <c:idx val="222"/>
        <c:spPr>
          <a:solidFill>
            <a:schemeClr val="accent1"/>
          </a:solidFill>
          <a:ln w="25400">
            <a:noFill/>
          </a:ln>
          <a:effectLst/>
        </c:spPr>
        <c:marker>
          <c:symbol val="none"/>
        </c:marker>
      </c:pivotFmt>
      <c:pivotFmt>
        <c:idx val="223"/>
        <c:spPr>
          <a:solidFill>
            <a:schemeClr val="accent1"/>
          </a:solidFill>
          <a:ln w="25400">
            <a:noFill/>
          </a:ln>
          <a:effectLst/>
        </c:spPr>
        <c:marker>
          <c:symbol val="none"/>
        </c:marker>
      </c:pivotFmt>
      <c:pivotFmt>
        <c:idx val="224"/>
        <c:spPr>
          <a:solidFill>
            <a:schemeClr val="accent1"/>
          </a:solidFill>
          <a:ln w="25400">
            <a:noFill/>
          </a:ln>
          <a:effectLst/>
        </c:spPr>
        <c:marker>
          <c:symbol val="none"/>
        </c:marker>
      </c:pivotFmt>
      <c:pivotFmt>
        <c:idx val="225"/>
        <c:spPr>
          <a:solidFill>
            <a:schemeClr val="accent1"/>
          </a:solidFill>
          <a:ln w="25400">
            <a:noFill/>
          </a:ln>
          <a:effectLst/>
        </c:spPr>
        <c:marker>
          <c:symbol val="none"/>
        </c:marker>
      </c:pivotFmt>
      <c:pivotFmt>
        <c:idx val="226"/>
        <c:spPr>
          <a:solidFill>
            <a:schemeClr val="accent1"/>
          </a:solidFill>
          <a:ln w="25400">
            <a:noFill/>
          </a:ln>
          <a:effectLst/>
        </c:spPr>
        <c:marker>
          <c:symbol val="none"/>
        </c:marker>
      </c:pivotFmt>
      <c:pivotFmt>
        <c:idx val="227"/>
        <c:spPr>
          <a:solidFill>
            <a:schemeClr val="accent1"/>
          </a:solidFill>
          <a:ln w="25400">
            <a:noFill/>
          </a:ln>
          <a:effectLst/>
        </c:spPr>
        <c:marker>
          <c:symbol val="none"/>
        </c:marker>
      </c:pivotFmt>
      <c:pivotFmt>
        <c:idx val="228"/>
        <c:spPr>
          <a:solidFill>
            <a:schemeClr val="accent1"/>
          </a:solidFill>
          <a:ln w="25400">
            <a:noFill/>
          </a:ln>
          <a:effectLst/>
        </c:spPr>
        <c:marker>
          <c:symbol val="none"/>
        </c:marker>
      </c:pivotFmt>
      <c:pivotFmt>
        <c:idx val="229"/>
        <c:spPr>
          <a:solidFill>
            <a:schemeClr val="accent1"/>
          </a:solidFill>
          <a:ln w="25400">
            <a:noFill/>
          </a:ln>
          <a:effectLst/>
        </c:spPr>
        <c:marker>
          <c:symbol val="none"/>
        </c:marker>
      </c:pivotFmt>
      <c:pivotFmt>
        <c:idx val="230"/>
        <c:spPr>
          <a:solidFill>
            <a:schemeClr val="accent1"/>
          </a:solidFill>
          <a:ln w="25400">
            <a:noFill/>
          </a:ln>
          <a:effectLst/>
        </c:spPr>
        <c:marker>
          <c:symbol val="none"/>
        </c:marker>
      </c:pivotFmt>
      <c:pivotFmt>
        <c:idx val="231"/>
        <c:spPr>
          <a:solidFill>
            <a:schemeClr val="accent1"/>
          </a:solidFill>
          <a:ln w="25400">
            <a:noFill/>
          </a:ln>
          <a:effectLst/>
        </c:spPr>
        <c:marker>
          <c:symbol val="none"/>
        </c:marker>
      </c:pivotFmt>
      <c:pivotFmt>
        <c:idx val="232"/>
        <c:spPr>
          <a:solidFill>
            <a:schemeClr val="accent1"/>
          </a:solidFill>
          <a:ln w="25400">
            <a:noFill/>
          </a:ln>
          <a:effectLst/>
        </c:spPr>
        <c:marker>
          <c:symbol val="none"/>
        </c:marker>
      </c:pivotFmt>
      <c:pivotFmt>
        <c:idx val="233"/>
        <c:spPr>
          <a:solidFill>
            <a:schemeClr val="accent1"/>
          </a:solidFill>
          <a:ln w="25400">
            <a:noFill/>
          </a:ln>
          <a:effectLst/>
        </c:spPr>
        <c:marker>
          <c:symbol val="none"/>
        </c:marker>
      </c:pivotFmt>
      <c:pivotFmt>
        <c:idx val="234"/>
        <c:spPr>
          <a:solidFill>
            <a:schemeClr val="accent1"/>
          </a:solidFill>
          <a:ln w="25400">
            <a:noFill/>
          </a:ln>
          <a:effectLst/>
        </c:spPr>
        <c:marker>
          <c:symbol val="none"/>
        </c:marker>
      </c:pivotFmt>
      <c:pivotFmt>
        <c:idx val="235"/>
        <c:spPr>
          <a:solidFill>
            <a:schemeClr val="accent1"/>
          </a:solidFill>
          <a:ln w="25400">
            <a:noFill/>
          </a:ln>
          <a:effectLst/>
        </c:spPr>
        <c:marker>
          <c:symbol val="none"/>
        </c:marker>
      </c:pivotFmt>
      <c:pivotFmt>
        <c:idx val="236"/>
        <c:spPr>
          <a:solidFill>
            <a:schemeClr val="accent1"/>
          </a:solidFill>
          <a:ln w="25400">
            <a:noFill/>
          </a:ln>
          <a:effectLst/>
        </c:spPr>
        <c:marker>
          <c:symbol val="none"/>
        </c:marker>
      </c:pivotFmt>
      <c:pivotFmt>
        <c:idx val="237"/>
        <c:spPr>
          <a:solidFill>
            <a:schemeClr val="accent1"/>
          </a:solidFill>
          <a:ln w="25400">
            <a:noFill/>
          </a:ln>
          <a:effectLst/>
        </c:spPr>
        <c:marker>
          <c:symbol val="none"/>
        </c:marker>
      </c:pivotFmt>
      <c:pivotFmt>
        <c:idx val="238"/>
        <c:spPr>
          <a:solidFill>
            <a:schemeClr val="accent1"/>
          </a:solidFill>
          <a:ln w="25400">
            <a:noFill/>
          </a:ln>
          <a:effectLst/>
        </c:spPr>
        <c:marker>
          <c:symbol val="none"/>
        </c:marker>
      </c:pivotFmt>
      <c:pivotFmt>
        <c:idx val="239"/>
        <c:spPr>
          <a:solidFill>
            <a:schemeClr val="accent1"/>
          </a:solidFill>
          <a:ln w="25400">
            <a:noFill/>
          </a:ln>
          <a:effectLst/>
        </c:spPr>
        <c:marker>
          <c:symbol val="none"/>
        </c:marker>
      </c:pivotFmt>
      <c:pivotFmt>
        <c:idx val="240"/>
        <c:spPr>
          <a:solidFill>
            <a:schemeClr val="accent1"/>
          </a:solidFill>
          <a:ln w="25400">
            <a:noFill/>
          </a:ln>
          <a:effectLst/>
        </c:spPr>
        <c:marker>
          <c:symbol val="none"/>
        </c:marker>
      </c:pivotFmt>
      <c:pivotFmt>
        <c:idx val="241"/>
        <c:spPr>
          <a:solidFill>
            <a:schemeClr val="accent1"/>
          </a:solidFill>
          <a:ln w="25400">
            <a:noFill/>
          </a:ln>
          <a:effectLst/>
        </c:spPr>
        <c:marker>
          <c:symbol val="none"/>
        </c:marker>
      </c:pivotFmt>
      <c:pivotFmt>
        <c:idx val="242"/>
        <c:spPr>
          <a:solidFill>
            <a:schemeClr val="accent1"/>
          </a:solidFill>
          <a:ln w="25400">
            <a:noFill/>
          </a:ln>
          <a:effectLst/>
        </c:spPr>
        <c:marker>
          <c:symbol val="none"/>
        </c:marker>
      </c:pivotFmt>
      <c:pivotFmt>
        <c:idx val="243"/>
        <c:spPr>
          <a:solidFill>
            <a:schemeClr val="accent1"/>
          </a:solidFill>
          <a:ln w="25400">
            <a:noFill/>
          </a:ln>
          <a:effectLst/>
        </c:spPr>
        <c:marker>
          <c:symbol val="none"/>
        </c:marker>
      </c:pivotFmt>
      <c:pivotFmt>
        <c:idx val="244"/>
        <c:spPr>
          <a:solidFill>
            <a:schemeClr val="accent1"/>
          </a:solidFill>
          <a:ln w="25400">
            <a:noFill/>
          </a:ln>
          <a:effectLst/>
        </c:spPr>
        <c:marker>
          <c:symbol val="none"/>
        </c:marker>
      </c:pivotFmt>
      <c:pivotFmt>
        <c:idx val="245"/>
        <c:spPr>
          <a:solidFill>
            <a:schemeClr val="accent1"/>
          </a:solidFill>
          <a:ln w="25400">
            <a:noFill/>
          </a:ln>
          <a:effectLst/>
        </c:spPr>
        <c:marker>
          <c:symbol val="none"/>
        </c:marker>
      </c:pivotFmt>
      <c:pivotFmt>
        <c:idx val="246"/>
        <c:spPr>
          <a:solidFill>
            <a:schemeClr val="accent1"/>
          </a:solidFill>
          <a:ln w="25400">
            <a:noFill/>
          </a:ln>
          <a:effectLst/>
        </c:spPr>
        <c:marker>
          <c:symbol val="none"/>
        </c:marker>
      </c:pivotFmt>
      <c:pivotFmt>
        <c:idx val="247"/>
        <c:spPr>
          <a:solidFill>
            <a:schemeClr val="accent1"/>
          </a:solidFill>
          <a:ln w="25400">
            <a:noFill/>
          </a:ln>
          <a:effectLst/>
        </c:spPr>
        <c:marker>
          <c:symbol val="none"/>
        </c:marker>
      </c:pivotFmt>
      <c:pivotFmt>
        <c:idx val="248"/>
        <c:spPr>
          <a:solidFill>
            <a:schemeClr val="accent1"/>
          </a:solidFill>
          <a:ln w="25400">
            <a:noFill/>
          </a:ln>
          <a:effectLst/>
        </c:spPr>
        <c:marker>
          <c:symbol val="none"/>
        </c:marker>
      </c:pivotFmt>
      <c:pivotFmt>
        <c:idx val="249"/>
        <c:spPr>
          <a:solidFill>
            <a:schemeClr val="accent1"/>
          </a:solidFill>
          <a:ln w="25400">
            <a:noFill/>
          </a:ln>
          <a:effectLst/>
        </c:spPr>
        <c:marker>
          <c:symbol val="none"/>
        </c:marker>
      </c:pivotFmt>
      <c:pivotFmt>
        <c:idx val="250"/>
        <c:spPr>
          <a:solidFill>
            <a:schemeClr val="accent1"/>
          </a:solidFill>
          <a:ln w="25400">
            <a:noFill/>
          </a:ln>
          <a:effectLst/>
        </c:spPr>
        <c:marker>
          <c:symbol val="none"/>
        </c:marker>
      </c:pivotFmt>
      <c:pivotFmt>
        <c:idx val="251"/>
        <c:spPr>
          <a:solidFill>
            <a:schemeClr val="accent1"/>
          </a:solidFill>
          <a:ln w="25400">
            <a:noFill/>
          </a:ln>
          <a:effectLst/>
        </c:spPr>
        <c:marker>
          <c:symbol val="none"/>
        </c:marker>
      </c:pivotFmt>
      <c:pivotFmt>
        <c:idx val="252"/>
        <c:spPr>
          <a:solidFill>
            <a:schemeClr val="accent1"/>
          </a:solidFill>
          <a:ln w="25400">
            <a:noFill/>
          </a:ln>
          <a:effectLst/>
        </c:spPr>
        <c:marker>
          <c:symbol val="none"/>
        </c:marker>
      </c:pivotFmt>
      <c:pivotFmt>
        <c:idx val="253"/>
        <c:spPr>
          <a:solidFill>
            <a:schemeClr val="accent1"/>
          </a:solidFill>
          <a:ln w="25400">
            <a:noFill/>
          </a:ln>
          <a:effectLst/>
        </c:spPr>
        <c:marker>
          <c:symbol val="none"/>
        </c:marker>
      </c:pivotFmt>
      <c:pivotFmt>
        <c:idx val="254"/>
        <c:spPr>
          <a:solidFill>
            <a:schemeClr val="accent1"/>
          </a:solidFill>
          <a:ln w="25400">
            <a:noFill/>
          </a:ln>
          <a:effectLst/>
        </c:spPr>
        <c:marker>
          <c:symbol val="none"/>
        </c:marker>
      </c:pivotFmt>
      <c:pivotFmt>
        <c:idx val="255"/>
        <c:spPr>
          <a:solidFill>
            <a:schemeClr val="accent1"/>
          </a:solidFill>
          <a:ln w="25400">
            <a:noFill/>
          </a:ln>
          <a:effectLst/>
        </c:spPr>
        <c:marker>
          <c:symbol val="none"/>
        </c:marker>
      </c:pivotFmt>
      <c:pivotFmt>
        <c:idx val="256"/>
        <c:spPr>
          <a:solidFill>
            <a:schemeClr val="accent1"/>
          </a:solidFill>
          <a:ln w="25400">
            <a:noFill/>
          </a:ln>
          <a:effectLst/>
        </c:spPr>
        <c:marker>
          <c:symbol val="none"/>
        </c:marker>
      </c:pivotFmt>
      <c:pivotFmt>
        <c:idx val="257"/>
        <c:spPr>
          <a:solidFill>
            <a:schemeClr val="accent1"/>
          </a:solidFill>
          <a:ln w="25400">
            <a:noFill/>
          </a:ln>
          <a:effectLst/>
        </c:spPr>
        <c:marker>
          <c:symbol val="none"/>
        </c:marker>
      </c:pivotFmt>
      <c:pivotFmt>
        <c:idx val="258"/>
        <c:spPr>
          <a:solidFill>
            <a:schemeClr val="accent1"/>
          </a:solidFill>
          <a:ln w="25400">
            <a:noFill/>
          </a:ln>
          <a:effectLst/>
        </c:spPr>
        <c:marker>
          <c:symbol val="none"/>
        </c:marker>
      </c:pivotFmt>
      <c:pivotFmt>
        <c:idx val="259"/>
        <c:spPr>
          <a:solidFill>
            <a:schemeClr val="accent1"/>
          </a:solidFill>
          <a:ln w="25400">
            <a:noFill/>
          </a:ln>
          <a:effectLst/>
        </c:spPr>
        <c:marker>
          <c:symbol val="none"/>
        </c:marker>
      </c:pivotFmt>
      <c:pivotFmt>
        <c:idx val="260"/>
        <c:spPr>
          <a:solidFill>
            <a:schemeClr val="accent1"/>
          </a:solidFill>
          <a:ln w="25400">
            <a:noFill/>
          </a:ln>
          <a:effectLst/>
        </c:spPr>
        <c:marker>
          <c:symbol val="none"/>
        </c:marker>
      </c:pivotFmt>
      <c:pivotFmt>
        <c:idx val="261"/>
        <c:spPr>
          <a:solidFill>
            <a:schemeClr val="accent1"/>
          </a:solidFill>
          <a:ln w="25400">
            <a:noFill/>
          </a:ln>
          <a:effectLst/>
        </c:spPr>
        <c:marker>
          <c:symbol val="none"/>
        </c:marker>
      </c:pivotFmt>
      <c:pivotFmt>
        <c:idx val="262"/>
        <c:spPr>
          <a:solidFill>
            <a:schemeClr val="accent1"/>
          </a:solidFill>
          <a:ln w="25400">
            <a:noFill/>
          </a:ln>
          <a:effectLst/>
        </c:spPr>
        <c:marker>
          <c:symbol val="none"/>
        </c:marker>
      </c:pivotFmt>
      <c:pivotFmt>
        <c:idx val="263"/>
        <c:spPr>
          <a:solidFill>
            <a:schemeClr val="accent1"/>
          </a:solidFill>
          <a:ln w="25400">
            <a:noFill/>
          </a:ln>
          <a:effectLst/>
        </c:spPr>
        <c:marker>
          <c:symbol val="none"/>
        </c:marker>
      </c:pivotFmt>
      <c:pivotFmt>
        <c:idx val="264"/>
        <c:spPr>
          <a:solidFill>
            <a:schemeClr val="accent1"/>
          </a:solidFill>
          <a:ln w="25400">
            <a:noFill/>
          </a:ln>
          <a:effectLst/>
        </c:spPr>
        <c:marker>
          <c:symbol val="none"/>
        </c:marker>
      </c:pivotFmt>
      <c:pivotFmt>
        <c:idx val="265"/>
        <c:spPr>
          <a:solidFill>
            <a:schemeClr val="accent1"/>
          </a:solidFill>
          <a:ln w="25400">
            <a:noFill/>
          </a:ln>
          <a:effectLst/>
        </c:spPr>
        <c:marker>
          <c:symbol val="none"/>
        </c:marker>
      </c:pivotFmt>
      <c:pivotFmt>
        <c:idx val="266"/>
        <c:spPr>
          <a:solidFill>
            <a:schemeClr val="accent1"/>
          </a:solidFill>
          <a:ln w="25400">
            <a:noFill/>
          </a:ln>
          <a:effectLst/>
        </c:spPr>
        <c:marker>
          <c:symbol val="none"/>
        </c:marker>
      </c:pivotFmt>
      <c:pivotFmt>
        <c:idx val="267"/>
        <c:spPr>
          <a:solidFill>
            <a:schemeClr val="accent1"/>
          </a:solidFill>
          <a:ln w="25400">
            <a:noFill/>
          </a:ln>
          <a:effectLst/>
        </c:spPr>
        <c:marker>
          <c:symbol val="none"/>
        </c:marker>
      </c:pivotFmt>
      <c:pivotFmt>
        <c:idx val="268"/>
        <c:spPr>
          <a:solidFill>
            <a:schemeClr val="accent1"/>
          </a:solidFill>
          <a:ln w="25400">
            <a:noFill/>
          </a:ln>
          <a:effectLst/>
        </c:spPr>
        <c:marker>
          <c:symbol val="none"/>
        </c:marker>
      </c:pivotFmt>
      <c:pivotFmt>
        <c:idx val="269"/>
        <c:spPr>
          <a:solidFill>
            <a:schemeClr val="accent1"/>
          </a:solidFill>
          <a:ln w="25400">
            <a:noFill/>
          </a:ln>
          <a:effectLst/>
        </c:spPr>
        <c:marker>
          <c:symbol val="none"/>
        </c:marker>
      </c:pivotFmt>
      <c:pivotFmt>
        <c:idx val="270"/>
        <c:spPr>
          <a:solidFill>
            <a:schemeClr val="accent1"/>
          </a:solidFill>
          <a:ln w="25400">
            <a:noFill/>
          </a:ln>
          <a:effectLst/>
        </c:spPr>
        <c:marker>
          <c:symbol val="none"/>
        </c:marker>
      </c:pivotFmt>
      <c:pivotFmt>
        <c:idx val="271"/>
        <c:spPr>
          <a:solidFill>
            <a:schemeClr val="accent1"/>
          </a:solidFill>
          <a:ln w="25400">
            <a:noFill/>
          </a:ln>
          <a:effectLst/>
        </c:spPr>
        <c:marker>
          <c:symbol val="none"/>
        </c:marker>
      </c:pivotFmt>
      <c:pivotFmt>
        <c:idx val="272"/>
        <c:spPr>
          <a:solidFill>
            <a:schemeClr val="accent1"/>
          </a:solidFill>
          <a:ln w="25400">
            <a:noFill/>
          </a:ln>
          <a:effectLst/>
        </c:spPr>
        <c:marker>
          <c:symbol val="none"/>
        </c:marker>
      </c:pivotFmt>
      <c:pivotFmt>
        <c:idx val="273"/>
        <c:spPr>
          <a:solidFill>
            <a:schemeClr val="accent1"/>
          </a:solidFill>
          <a:ln w="25400">
            <a:noFill/>
          </a:ln>
          <a:effectLst/>
        </c:spPr>
        <c:marker>
          <c:symbol val="none"/>
        </c:marker>
      </c:pivotFmt>
      <c:pivotFmt>
        <c:idx val="274"/>
        <c:spPr>
          <a:solidFill>
            <a:schemeClr val="accent1"/>
          </a:solidFill>
          <a:ln w="25400">
            <a:noFill/>
          </a:ln>
          <a:effectLst/>
        </c:spPr>
        <c:marker>
          <c:symbol val="none"/>
        </c:marker>
      </c:pivotFmt>
      <c:pivotFmt>
        <c:idx val="275"/>
        <c:spPr>
          <a:solidFill>
            <a:schemeClr val="accent1"/>
          </a:solidFill>
          <a:ln w="25400">
            <a:noFill/>
          </a:ln>
          <a:effectLst/>
        </c:spPr>
        <c:marker>
          <c:symbol val="none"/>
        </c:marker>
      </c:pivotFmt>
      <c:pivotFmt>
        <c:idx val="276"/>
        <c:spPr>
          <a:solidFill>
            <a:schemeClr val="accent1"/>
          </a:solidFill>
          <a:ln w="25400">
            <a:noFill/>
          </a:ln>
          <a:effectLst/>
        </c:spPr>
        <c:marker>
          <c:symbol val="none"/>
        </c:marker>
      </c:pivotFmt>
      <c:pivotFmt>
        <c:idx val="277"/>
        <c:spPr>
          <a:solidFill>
            <a:schemeClr val="accent1"/>
          </a:solidFill>
          <a:ln w="25400">
            <a:noFill/>
          </a:ln>
          <a:effectLst/>
        </c:spPr>
        <c:marker>
          <c:symbol val="none"/>
        </c:marker>
      </c:pivotFmt>
      <c:pivotFmt>
        <c:idx val="278"/>
        <c:spPr>
          <a:solidFill>
            <a:schemeClr val="accent1"/>
          </a:solidFill>
          <a:ln w="25400">
            <a:noFill/>
          </a:ln>
          <a:effectLst/>
        </c:spPr>
        <c:marker>
          <c:symbol val="none"/>
        </c:marker>
      </c:pivotFmt>
      <c:pivotFmt>
        <c:idx val="279"/>
        <c:spPr>
          <a:solidFill>
            <a:schemeClr val="accent1"/>
          </a:solidFill>
          <a:ln w="25400">
            <a:noFill/>
          </a:ln>
          <a:effectLst/>
        </c:spPr>
        <c:marker>
          <c:symbol val="none"/>
        </c:marker>
      </c:pivotFmt>
      <c:pivotFmt>
        <c:idx val="280"/>
        <c:spPr>
          <a:solidFill>
            <a:schemeClr val="accent1"/>
          </a:solidFill>
          <a:ln w="25400">
            <a:noFill/>
          </a:ln>
          <a:effectLst/>
        </c:spPr>
        <c:marker>
          <c:symbol val="none"/>
        </c:marker>
      </c:pivotFmt>
      <c:pivotFmt>
        <c:idx val="281"/>
        <c:spPr>
          <a:solidFill>
            <a:schemeClr val="accent1"/>
          </a:solidFill>
          <a:ln w="25400">
            <a:noFill/>
          </a:ln>
          <a:effectLst/>
        </c:spPr>
        <c:marker>
          <c:symbol val="none"/>
        </c:marker>
      </c:pivotFmt>
      <c:pivotFmt>
        <c:idx val="282"/>
        <c:spPr>
          <a:solidFill>
            <a:schemeClr val="accent1"/>
          </a:solidFill>
          <a:ln w="25400">
            <a:noFill/>
          </a:ln>
          <a:effectLst/>
        </c:spPr>
        <c:marker>
          <c:symbol val="none"/>
        </c:marker>
      </c:pivotFmt>
      <c:pivotFmt>
        <c:idx val="283"/>
        <c:spPr>
          <a:solidFill>
            <a:schemeClr val="accent1"/>
          </a:solidFill>
          <a:ln w="25400">
            <a:noFill/>
          </a:ln>
          <a:effectLst/>
        </c:spPr>
        <c:marker>
          <c:symbol val="none"/>
        </c:marker>
      </c:pivotFmt>
      <c:pivotFmt>
        <c:idx val="284"/>
        <c:spPr>
          <a:solidFill>
            <a:schemeClr val="accent1"/>
          </a:solidFill>
          <a:ln w="25400">
            <a:noFill/>
          </a:ln>
          <a:effectLst/>
        </c:spPr>
        <c:marker>
          <c:symbol val="none"/>
        </c:marker>
      </c:pivotFmt>
      <c:pivotFmt>
        <c:idx val="285"/>
        <c:spPr>
          <a:solidFill>
            <a:schemeClr val="accent1"/>
          </a:solidFill>
          <a:ln w="25400">
            <a:noFill/>
          </a:ln>
          <a:effectLst/>
        </c:spPr>
        <c:marker>
          <c:symbol val="none"/>
        </c:marker>
      </c:pivotFmt>
      <c:pivotFmt>
        <c:idx val="286"/>
        <c:spPr>
          <a:solidFill>
            <a:schemeClr val="accent1"/>
          </a:solidFill>
          <a:ln w="25400">
            <a:noFill/>
          </a:ln>
          <a:effectLst/>
        </c:spPr>
        <c:marker>
          <c:symbol val="none"/>
        </c:marker>
      </c:pivotFmt>
      <c:pivotFmt>
        <c:idx val="287"/>
        <c:spPr>
          <a:solidFill>
            <a:schemeClr val="accent1"/>
          </a:solidFill>
          <a:ln w="25400">
            <a:noFill/>
          </a:ln>
          <a:effectLst/>
        </c:spPr>
        <c:marker>
          <c:symbol val="none"/>
        </c:marker>
      </c:pivotFmt>
      <c:pivotFmt>
        <c:idx val="288"/>
        <c:spPr>
          <a:solidFill>
            <a:schemeClr val="accent1"/>
          </a:solidFill>
          <a:ln w="25400">
            <a:noFill/>
          </a:ln>
          <a:effectLst/>
        </c:spPr>
        <c:marker>
          <c:symbol val="none"/>
        </c:marker>
      </c:pivotFmt>
      <c:pivotFmt>
        <c:idx val="289"/>
        <c:spPr>
          <a:solidFill>
            <a:schemeClr val="accent1"/>
          </a:solidFill>
          <a:ln w="25400">
            <a:noFill/>
          </a:ln>
          <a:effectLst/>
        </c:spPr>
        <c:marker>
          <c:symbol val="none"/>
        </c:marker>
      </c:pivotFmt>
      <c:pivotFmt>
        <c:idx val="290"/>
        <c:spPr>
          <a:solidFill>
            <a:schemeClr val="accent1"/>
          </a:solidFill>
          <a:ln w="25400">
            <a:noFill/>
          </a:ln>
          <a:effectLst/>
        </c:spPr>
        <c:marker>
          <c:symbol val="none"/>
        </c:marker>
      </c:pivotFmt>
      <c:pivotFmt>
        <c:idx val="291"/>
        <c:spPr>
          <a:solidFill>
            <a:schemeClr val="accent1"/>
          </a:solidFill>
          <a:ln w="25400">
            <a:noFill/>
          </a:ln>
          <a:effectLst/>
        </c:spPr>
        <c:marker>
          <c:symbol val="none"/>
        </c:marker>
      </c:pivotFmt>
      <c:pivotFmt>
        <c:idx val="292"/>
        <c:spPr>
          <a:solidFill>
            <a:schemeClr val="accent1"/>
          </a:solidFill>
          <a:ln w="25400">
            <a:noFill/>
          </a:ln>
          <a:effectLst/>
        </c:spPr>
        <c:marker>
          <c:symbol val="none"/>
        </c:marker>
      </c:pivotFmt>
      <c:pivotFmt>
        <c:idx val="293"/>
        <c:spPr>
          <a:solidFill>
            <a:schemeClr val="accent1"/>
          </a:solidFill>
          <a:ln w="25400">
            <a:noFill/>
          </a:ln>
          <a:effectLst/>
        </c:spPr>
        <c:marker>
          <c:symbol val="none"/>
        </c:marker>
      </c:pivotFmt>
      <c:pivotFmt>
        <c:idx val="294"/>
        <c:spPr>
          <a:solidFill>
            <a:schemeClr val="accent1"/>
          </a:solidFill>
          <a:ln w="25400">
            <a:noFill/>
          </a:ln>
          <a:effectLst/>
        </c:spPr>
        <c:marker>
          <c:symbol val="none"/>
        </c:marker>
      </c:pivotFmt>
      <c:pivotFmt>
        <c:idx val="295"/>
        <c:spPr>
          <a:solidFill>
            <a:schemeClr val="accent1"/>
          </a:solidFill>
          <a:ln w="25400">
            <a:noFill/>
          </a:ln>
          <a:effectLst/>
        </c:spPr>
        <c:marker>
          <c:symbol val="none"/>
        </c:marker>
      </c:pivotFmt>
      <c:pivotFmt>
        <c:idx val="296"/>
        <c:spPr>
          <a:solidFill>
            <a:schemeClr val="accent1"/>
          </a:solidFill>
          <a:ln w="25400">
            <a:noFill/>
          </a:ln>
          <a:effectLst/>
        </c:spPr>
        <c:marker>
          <c:symbol val="none"/>
        </c:marker>
      </c:pivotFmt>
      <c:pivotFmt>
        <c:idx val="297"/>
        <c:spPr>
          <a:solidFill>
            <a:schemeClr val="accent1"/>
          </a:solidFill>
          <a:ln w="25400">
            <a:noFill/>
          </a:ln>
          <a:effectLst/>
        </c:spPr>
        <c:marker>
          <c:symbol val="none"/>
        </c:marker>
      </c:pivotFmt>
      <c:pivotFmt>
        <c:idx val="298"/>
        <c:spPr>
          <a:solidFill>
            <a:schemeClr val="accent1"/>
          </a:solidFill>
          <a:ln w="25400">
            <a:noFill/>
          </a:ln>
          <a:effectLst/>
        </c:spPr>
        <c:marker>
          <c:symbol val="none"/>
        </c:marker>
      </c:pivotFmt>
      <c:pivotFmt>
        <c:idx val="299"/>
        <c:spPr>
          <a:solidFill>
            <a:schemeClr val="accent1"/>
          </a:solidFill>
          <a:ln w="25400">
            <a:noFill/>
          </a:ln>
          <a:effectLst/>
        </c:spPr>
        <c:marker>
          <c:symbol val="none"/>
        </c:marker>
      </c:pivotFmt>
      <c:pivotFmt>
        <c:idx val="300"/>
        <c:spPr>
          <a:solidFill>
            <a:schemeClr val="accent1"/>
          </a:solidFill>
          <a:ln w="25400">
            <a:noFill/>
          </a:ln>
          <a:effectLst/>
        </c:spPr>
        <c:marker>
          <c:symbol val="none"/>
        </c:marker>
      </c:pivotFmt>
      <c:pivotFmt>
        <c:idx val="301"/>
        <c:spPr>
          <a:solidFill>
            <a:schemeClr val="accent1"/>
          </a:solidFill>
          <a:ln w="25400">
            <a:noFill/>
          </a:ln>
          <a:effectLst/>
        </c:spPr>
        <c:marker>
          <c:symbol val="none"/>
        </c:marker>
      </c:pivotFmt>
      <c:pivotFmt>
        <c:idx val="302"/>
        <c:spPr>
          <a:solidFill>
            <a:schemeClr val="accent1"/>
          </a:solidFill>
          <a:ln w="25400">
            <a:noFill/>
          </a:ln>
          <a:effectLst/>
        </c:spPr>
        <c:marker>
          <c:symbol val="none"/>
        </c:marker>
      </c:pivotFmt>
      <c:pivotFmt>
        <c:idx val="303"/>
        <c:spPr>
          <a:solidFill>
            <a:schemeClr val="accent1"/>
          </a:solidFill>
          <a:ln w="25400">
            <a:noFill/>
          </a:ln>
          <a:effectLst/>
        </c:spPr>
        <c:marker>
          <c:symbol val="none"/>
        </c:marker>
      </c:pivotFmt>
      <c:pivotFmt>
        <c:idx val="304"/>
        <c:spPr>
          <a:solidFill>
            <a:schemeClr val="accent1"/>
          </a:solidFill>
          <a:ln w="25400">
            <a:noFill/>
          </a:ln>
          <a:effectLst/>
        </c:spPr>
        <c:marker>
          <c:symbol val="none"/>
        </c:marker>
      </c:pivotFmt>
      <c:pivotFmt>
        <c:idx val="305"/>
        <c:spPr>
          <a:solidFill>
            <a:schemeClr val="accent1"/>
          </a:solidFill>
          <a:ln w="25400">
            <a:noFill/>
          </a:ln>
          <a:effectLst/>
        </c:spPr>
        <c:marker>
          <c:symbol val="none"/>
        </c:marker>
      </c:pivotFmt>
      <c:pivotFmt>
        <c:idx val="306"/>
        <c:spPr>
          <a:solidFill>
            <a:schemeClr val="accent1"/>
          </a:solidFill>
          <a:ln w="25400">
            <a:noFill/>
          </a:ln>
          <a:effectLst/>
        </c:spPr>
        <c:marker>
          <c:symbol val="none"/>
        </c:marker>
      </c:pivotFmt>
      <c:pivotFmt>
        <c:idx val="307"/>
        <c:spPr>
          <a:solidFill>
            <a:schemeClr val="accent1"/>
          </a:solidFill>
          <a:ln w="25400">
            <a:noFill/>
          </a:ln>
          <a:effectLst/>
        </c:spPr>
        <c:marker>
          <c:symbol val="none"/>
        </c:marker>
      </c:pivotFmt>
      <c:pivotFmt>
        <c:idx val="308"/>
        <c:spPr>
          <a:solidFill>
            <a:schemeClr val="accent1"/>
          </a:solidFill>
          <a:ln w="25400">
            <a:noFill/>
          </a:ln>
          <a:effectLst/>
        </c:spPr>
        <c:marker>
          <c:symbol val="none"/>
        </c:marker>
      </c:pivotFmt>
      <c:pivotFmt>
        <c:idx val="309"/>
        <c:spPr>
          <a:solidFill>
            <a:schemeClr val="accent1"/>
          </a:solidFill>
          <a:ln w="25400">
            <a:noFill/>
          </a:ln>
          <a:effectLst/>
        </c:spPr>
        <c:marker>
          <c:symbol val="none"/>
        </c:marker>
      </c:pivotFmt>
      <c:pivotFmt>
        <c:idx val="310"/>
        <c:spPr>
          <a:solidFill>
            <a:schemeClr val="accent1"/>
          </a:solidFill>
          <a:ln w="25400">
            <a:noFill/>
          </a:ln>
          <a:effectLst/>
        </c:spPr>
        <c:marker>
          <c:symbol val="none"/>
        </c:marker>
      </c:pivotFmt>
      <c:pivotFmt>
        <c:idx val="311"/>
        <c:spPr>
          <a:solidFill>
            <a:schemeClr val="accent1"/>
          </a:solidFill>
          <a:ln w="25400">
            <a:noFill/>
          </a:ln>
          <a:effectLst/>
        </c:spPr>
        <c:marker>
          <c:symbol val="none"/>
        </c:marker>
      </c:pivotFmt>
      <c:pivotFmt>
        <c:idx val="312"/>
        <c:spPr>
          <a:solidFill>
            <a:schemeClr val="accent1"/>
          </a:solidFill>
          <a:ln w="25400">
            <a:noFill/>
          </a:ln>
          <a:effectLst/>
        </c:spPr>
        <c:marker>
          <c:symbol val="none"/>
        </c:marker>
      </c:pivotFmt>
      <c:pivotFmt>
        <c:idx val="313"/>
        <c:spPr>
          <a:solidFill>
            <a:schemeClr val="accent1"/>
          </a:solidFill>
          <a:ln w="25400">
            <a:noFill/>
          </a:ln>
          <a:effectLst/>
        </c:spPr>
        <c:marker>
          <c:symbol val="none"/>
        </c:marker>
      </c:pivotFmt>
      <c:pivotFmt>
        <c:idx val="314"/>
        <c:spPr>
          <a:solidFill>
            <a:schemeClr val="accent1"/>
          </a:solidFill>
          <a:ln w="25400">
            <a:noFill/>
          </a:ln>
          <a:effectLst/>
        </c:spPr>
        <c:marker>
          <c:symbol val="none"/>
        </c:marker>
      </c:pivotFmt>
      <c:pivotFmt>
        <c:idx val="315"/>
        <c:spPr>
          <a:solidFill>
            <a:schemeClr val="accent1"/>
          </a:solidFill>
          <a:ln w="25400">
            <a:noFill/>
          </a:ln>
          <a:effectLst/>
        </c:spPr>
        <c:marker>
          <c:symbol val="none"/>
        </c:marker>
      </c:pivotFmt>
      <c:pivotFmt>
        <c:idx val="316"/>
        <c:spPr>
          <a:solidFill>
            <a:schemeClr val="accent1"/>
          </a:solidFill>
          <a:ln w="25400">
            <a:noFill/>
          </a:ln>
          <a:effectLst/>
        </c:spPr>
        <c:marker>
          <c:symbol val="none"/>
        </c:marker>
      </c:pivotFmt>
      <c:pivotFmt>
        <c:idx val="317"/>
        <c:spPr>
          <a:solidFill>
            <a:schemeClr val="accent1"/>
          </a:solidFill>
          <a:ln w="25400">
            <a:noFill/>
          </a:ln>
          <a:effectLst/>
        </c:spPr>
        <c:marker>
          <c:symbol val="none"/>
        </c:marker>
      </c:pivotFmt>
      <c:pivotFmt>
        <c:idx val="318"/>
        <c:spPr>
          <a:solidFill>
            <a:schemeClr val="accent1"/>
          </a:solidFill>
          <a:ln w="25400">
            <a:noFill/>
          </a:ln>
          <a:effectLst/>
        </c:spPr>
        <c:marker>
          <c:symbol val="none"/>
        </c:marker>
      </c:pivotFmt>
      <c:pivotFmt>
        <c:idx val="319"/>
        <c:spPr>
          <a:solidFill>
            <a:schemeClr val="accent1"/>
          </a:solidFill>
          <a:ln w="25400">
            <a:noFill/>
          </a:ln>
          <a:effectLst/>
        </c:spPr>
        <c:marker>
          <c:symbol val="none"/>
        </c:marker>
      </c:pivotFmt>
      <c:pivotFmt>
        <c:idx val="320"/>
        <c:spPr>
          <a:solidFill>
            <a:schemeClr val="accent1"/>
          </a:solidFill>
          <a:ln w="25400">
            <a:noFill/>
          </a:ln>
          <a:effectLst/>
        </c:spPr>
        <c:marker>
          <c:symbol val="none"/>
        </c:marker>
      </c:pivotFmt>
      <c:pivotFmt>
        <c:idx val="321"/>
        <c:spPr>
          <a:solidFill>
            <a:schemeClr val="accent1"/>
          </a:solidFill>
          <a:ln w="25400">
            <a:noFill/>
          </a:ln>
          <a:effectLst/>
        </c:spPr>
        <c:marker>
          <c:symbol val="none"/>
        </c:marker>
      </c:pivotFmt>
      <c:pivotFmt>
        <c:idx val="322"/>
        <c:spPr>
          <a:solidFill>
            <a:schemeClr val="accent1"/>
          </a:solidFill>
          <a:ln w="25400">
            <a:noFill/>
          </a:ln>
          <a:effectLst/>
        </c:spPr>
        <c:marker>
          <c:symbol val="none"/>
        </c:marker>
      </c:pivotFmt>
      <c:pivotFmt>
        <c:idx val="323"/>
        <c:spPr>
          <a:solidFill>
            <a:schemeClr val="accent1"/>
          </a:solidFill>
          <a:ln w="25400">
            <a:noFill/>
          </a:ln>
          <a:effectLst/>
        </c:spPr>
        <c:marker>
          <c:symbol val="none"/>
        </c:marker>
      </c:pivotFmt>
      <c:pivotFmt>
        <c:idx val="324"/>
        <c:spPr>
          <a:solidFill>
            <a:schemeClr val="accent1"/>
          </a:solidFill>
          <a:ln w="25400">
            <a:noFill/>
          </a:ln>
          <a:effectLst/>
        </c:spPr>
        <c:marker>
          <c:symbol val="none"/>
        </c:marker>
      </c:pivotFmt>
      <c:pivotFmt>
        <c:idx val="325"/>
        <c:spPr>
          <a:solidFill>
            <a:schemeClr val="accent1"/>
          </a:solidFill>
          <a:ln w="25400">
            <a:noFill/>
          </a:ln>
          <a:effectLst/>
        </c:spPr>
        <c:marker>
          <c:symbol val="none"/>
        </c:marker>
      </c:pivotFmt>
      <c:pivotFmt>
        <c:idx val="326"/>
        <c:spPr>
          <a:solidFill>
            <a:schemeClr val="accent1"/>
          </a:solidFill>
          <a:ln w="25400">
            <a:noFill/>
          </a:ln>
          <a:effectLst/>
        </c:spPr>
        <c:marker>
          <c:symbol val="none"/>
        </c:marker>
      </c:pivotFmt>
      <c:pivotFmt>
        <c:idx val="327"/>
        <c:spPr>
          <a:solidFill>
            <a:schemeClr val="accent1"/>
          </a:solidFill>
          <a:ln w="25400">
            <a:noFill/>
          </a:ln>
          <a:effectLst/>
        </c:spPr>
        <c:marker>
          <c:symbol val="none"/>
        </c:marker>
      </c:pivotFmt>
      <c:pivotFmt>
        <c:idx val="328"/>
        <c:spPr>
          <a:solidFill>
            <a:schemeClr val="accent1"/>
          </a:solidFill>
          <a:ln w="25400">
            <a:noFill/>
          </a:ln>
          <a:effectLst/>
        </c:spPr>
        <c:marker>
          <c:symbol val="none"/>
        </c:marker>
      </c:pivotFmt>
      <c:pivotFmt>
        <c:idx val="329"/>
        <c:spPr>
          <a:solidFill>
            <a:schemeClr val="accent1"/>
          </a:solidFill>
          <a:ln w="25400">
            <a:noFill/>
          </a:ln>
          <a:effectLst/>
        </c:spPr>
        <c:marker>
          <c:symbol val="none"/>
        </c:marker>
      </c:pivotFmt>
      <c:pivotFmt>
        <c:idx val="330"/>
        <c:spPr>
          <a:solidFill>
            <a:schemeClr val="accent1"/>
          </a:solidFill>
          <a:ln w="25400">
            <a:noFill/>
          </a:ln>
          <a:effectLst/>
        </c:spPr>
        <c:marker>
          <c:symbol val="none"/>
        </c:marker>
      </c:pivotFmt>
      <c:pivotFmt>
        <c:idx val="331"/>
        <c:spPr>
          <a:solidFill>
            <a:schemeClr val="accent1"/>
          </a:solidFill>
          <a:ln w="25400">
            <a:noFill/>
          </a:ln>
          <a:effectLst/>
        </c:spPr>
        <c:marker>
          <c:symbol val="none"/>
        </c:marker>
      </c:pivotFmt>
      <c:pivotFmt>
        <c:idx val="332"/>
        <c:spPr>
          <a:solidFill>
            <a:schemeClr val="accent1"/>
          </a:solidFill>
          <a:ln w="25400">
            <a:noFill/>
          </a:ln>
          <a:effectLst/>
        </c:spPr>
        <c:marker>
          <c:symbol val="none"/>
        </c:marker>
      </c:pivotFmt>
      <c:pivotFmt>
        <c:idx val="333"/>
        <c:spPr>
          <a:solidFill>
            <a:schemeClr val="accent1"/>
          </a:solidFill>
          <a:ln w="25400">
            <a:noFill/>
          </a:ln>
          <a:effectLst/>
        </c:spPr>
        <c:marker>
          <c:symbol val="none"/>
        </c:marker>
      </c:pivotFmt>
      <c:pivotFmt>
        <c:idx val="334"/>
        <c:spPr>
          <a:solidFill>
            <a:schemeClr val="accent1"/>
          </a:solidFill>
          <a:ln w="25400">
            <a:noFill/>
          </a:ln>
          <a:effectLst/>
        </c:spPr>
        <c:marker>
          <c:symbol val="none"/>
        </c:marker>
      </c:pivotFmt>
      <c:pivotFmt>
        <c:idx val="335"/>
        <c:spPr>
          <a:solidFill>
            <a:schemeClr val="accent1"/>
          </a:solidFill>
          <a:ln w="25400">
            <a:noFill/>
          </a:ln>
          <a:effectLst/>
        </c:spPr>
        <c:marker>
          <c:symbol val="none"/>
        </c:marker>
      </c:pivotFmt>
      <c:pivotFmt>
        <c:idx val="336"/>
        <c:spPr>
          <a:solidFill>
            <a:schemeClr val="accent1"/>
          </a:solidFill>
          <a:ln w="25400">
            <a:noFill/>
          </a:ln>
          <a:effectLst/>
        </c:spPr>
        <c:marker>
          <c:symbol val="none"/>
        </c:marker>
      </c:pivotFmt>
      <c:pivotFmt>
        <c:idx val="337"/>
        <c:spPr>
          <a:solidFill>
            <a:schemeClr val="accent1"/>
          </a:solidFill>
          <a:ln w="25400">
            <a:noFill/>
          </a:ln>
          <a:effectLst/>
        </c:spPr>
        <c:marker>
          <c:symbol val="none"/>
        </c:marker>
      </c:pivotFmt>
      <c:pivotFmt>
        <c:idx val="338"/>
        <c:spPr>
          <a:solidFill>
            <a:schemeClr val="accent1"/>
          </a:solidFill>
          <a:ln w="25400">
            <a:noFill/>
          </a:ln>
          <a:effectLst/>
        </c:spPr>
        <c:marker>
          <c:symbol val="none"/>
        </c:marker>
      </c:pivotFmt>
      <c:pivotFmt>
        <c:idx val="339"/>
        <c:spPr>
          <a:solidFill>
            <a:schemeClr val="accent1"/>
          </a:solidFill>
          <a:ln w="25400">
            <a:noFill/>
          </a:ln>
          <a:effectLst/>
        </c:spPr>
        <c:marker>
          <c:symbol val="none"/>
        </c:marker>
      </c:pivotFmt>
      <c:pivotFmt>
        <c:idx val="340"/>
        <c:spPr>
          <a:solidFill>
            <a:schemeClr val="accent1"/>
          </a:solidFill>
          <a:ln w="25400">
            <a:noFill/>
          </a:ln>
          <a:effectLst/>
        </c:spPr>
        <c:marker>
          <c:symbol val="none"/>
        </c:marker>
      </c:pivotFmt>
      <c:pivotFmt>
        <c:idx val="341"/>
        <c:spPr>
          <a:solidFill>
            <a:schemeClr val="accent1"/>
          </a:solidFill>
          <a:ln w="25400">
            <a:noFill/>
          </a:ln>
          <a:effectLst/>
        </c:spPr>
        <c:marker>
          <c:symbol val="none"/>
        </c:marker>
      </c:pivotFmt>
      <c:pivotFmt>
        <c:idx val="342"/>
        <c:spPr>
          <a:solidFill>
            <a:schemeClr val="accent1"/>
          </a:solidFill>
          <a:ln w="25400">
            <a:noFill/>
          </a:ln>
          <a:effectLst/>
        </c:spPr>
        <c:marker>
          <c:symbol val="none"/>
        </c:marker>
      </c:pivotFmt>
      <c:pivotFmt>
        <c:idx val="343"/>
        <c:spPr>
          <a:solidFill>
            <a:schemeClr val="accent1"/>
          </a:solidFill>
          <a:ln w="25400">
            <a:noFill/>
          </a:ln>
          <a:effectLst/>
        </c:spPr>
        <c:marker>
          <c:symbol val="none"/>
        </c:marker>
      </c:pivotFmt>
      <c:pivotFmt>
        <c:idx val="344"/>
        <c:spPr>
          <a:solidFill>
            <a:schemeClr val="accent1"/>
          </a:solidFill>
          <a:ln w="25400">
            <a:noFill/>
          </a:ln>
          <a:effectLst/>
        </c:spPr>
        <c:marker>
          <c:symbol val="none"/>
        </c:marker>
      </c:pivotFmt>
      <c:pivotFmt>
        <c:idx val="345"/>
        <c:spPr>
          <a:solidFill>
            <a:schemeClr val="accent1"/>
          </a:solidFill>
          <a:ln w="25400">
            <a:noFill/>
          </a:ln>
          <a:effectLst/>
        </c:spPr>
        <c:marker>
          <c:symbol val="none"/>
        </c:marker>
      </c:pivotFmt>
      <c:pivotFmt>
        <c:idx val="346"/>
        <c:spPr>
          <a:solidFill>
            <a:schemeClr val="accent1"/>
          </a:solidFill>
          <a:ln w="25400">
            <a:noFill/>
          </a:ln>
          <a:effectLst/>
        </c:spPr>
        <c:marker>
          <c:symbol val="none"/>
        </c:marker>
      </c:pivotFmt>
      <c:pivotFmt>
        <c:idx val="347"/>
        <c:spPr>
          <a:solidFill>
            <a:schemeClr val="accent1"/>
          </a:solidFill>
          <a:ln w="25400">
            <a:noFill/>
          </a:ln>
          <a:effectLst/>
        </c:spPr>
        <c:marker>
          <c:symbol val="none"/>
        </c:marker>
      </c:pivotFmt>
      <c:pivotFmt>
        <c:idx val="348"/>
        <c:spPr>
          <a:solidFill>
            <a:schemeClr val="accent1"/>
          </a:solidFill>
          <a:ln w="25400">
            <a:noFill/>
          </a:ln>
          <a:effectLst/>
        </c:spPr>
        <c:marker>
          <c:symbol val="none"/>
        </c:marker>
      </c:pivotFmt>
      <c:pivotFmt>
        <c:idx val="349"/>
        <c:spPr>
          <a:solidFill>
            <a:schemeClr val="accent1"/>
          </a:solidFill>
          <a:ln w="25400">
            <a:noFill/>
          </a:ln>
          <a:effectLst/>
        </c:spPr>
        <c:marker>
          <c:symbol val="none"/>
        </c:marker>
      </c:pivotFmt>
      <c:pivotFmt>
        <c:idx val="350"/>
        <c:spPr>
          <a:solidFill>
            <a:schemeClr val="accent1"/>
          </a:solidFill>
          <a:ln w="25400">
            <a:noFill/>
          </a:ln>
          <a:effectLst/>
        </c:spPr>
        <c:marker>
          <c:symbol val="none"/>
        </c:marker>
      </c:pivotFmt>
      <c:pivotFmt>
        <c:idx val="351"/>
        <c:spPr>
          <a:solidFill>
            <a:schemeClr val="accent1"/>
          </a:solidFill>
          <a:ln w="25400">
            <a:noFill/>
          </a:ln>
          <a:effectLst/>
        </c:spPr>
        <c:marker>
          <c:symbol val="none"/>
        </c:marker>
      </c:pivotFmt>
      <c:pivotFmt>
        <c:idx val="352"/>
        <c:spPr>
          <a:solidFill>
            <a:schemeClr val="accent1"/>
          </a:solidFill>
          <a:ln w="25400">
            <a:noFill/>
          </a:ln>
          <a:effectLst/>
        </c:spPr>
        <c:marker>
          <c:symbol val="none"/>
        </c:marker>
      </c:pivotFmt>
      <c:pivotFmt>
        <c:idx val="353"/>
        <c:spPr>
          <a:solidFill>
            <a:schemeClr val="accent1"/>
          </a:solidFill>
          <a:ln w="25400">
            <a:noFill/>
          </a:ln>
          <a:effectLst/>
        </c:spPr>
        <c:marker>
          <c:symbol val="none"/>
        </c:marker>
      </c:pivotFmt>
      <c:pivotFmt>
        <c:idx val="354"/>
        <c:spPr>
          <a:solidFill>
            <a:schemeClr val="accent1"/>
          </a:solidFill>
          <a:ln w="25400">
            <a:noFill/>
          </a:ln>
          <a:effectLst/>
        </c:spPr>
        <c:marker>
          <c:symbol val="none"/>
        </c:marker>
      </c:pivotFmt>
      <c:pivotFmt>
        <c:idx val="355"/>
        <c:spPr>
          <a:solidFill>
            <a:schemeClr val="accent1"/>
          </a:solidFill>
          <a:ln w="25400">
            <a:noFill/>
          </a:ln>
          <a:effectLst/>
        </c:spPr>
        <c:marker>
          <c:symbol val="none"/>
        </c:marker>
      </c:pivotFmt>
      <c:pivotFmt>
        <c:idx val="356"/>
        <c:spPr>
          <a:solidFill>
            <a:schemeClr val="accent1"/>
          </a:solidFill>
          <a:ln w="25400">
            <a:noFill/>
          </a:ln>
          <a:effectLst/>
        </c:spPr>
        <c:marker>
          <c:symbol val="none"/>
        </c:marker>
      </c:pivotFmt>
      <c:pivotFmt>
        <c:idx val="357"/>
        <c:spPr>
          <a:solidFill>
            <a:schemeClr val="accent1"/>
          </a:solidFill>
          <a:ln w="25400">
            <a:noFill/>
          </a:ln>
          <a:effectLst/>
        </c:spPr>
        <c:marker>
          <c:symbol val="none"/>
        </c:marker>
      </c:pivotFmt>
      <c:pivotFmt>
        <c:idx val="358"/>
        <c:spPr>
          <a:solidFill>
            <a:schemeClr val="accent1"/>
          </a:solidFill>
          <a:ln w="25400">
            <a:noFill/>
          </a:ln>
          <a:effectLst/>
        </c:spPr>
        <c:marker>
          <c:symbol val="none"/>
        </c:marker>
      </c:pivotFmt>
      <c:pivotFmt>
        <c:idx val="359"/>
        <c:spPr>
          <a:solidFill>
            <a:schemeClr val="accent1"/>
          </a:solidFill>
          <a:ln w="25400">
            <a:noFill/>
          </a:ln>
          <a:effectLst/>
        </c:spPr>
        <c:marker>
          <c:symbol val="none"/>
        </c:marker>
      </c:pivotFmt>
      <c:pivotFmt>
        <c:idx val="360"/>
        <c:spPr>
          <a:solidFill>
            <a:schemeClr val="accent1"/>
          </a:solidFill>
          <a:ln w="25400">
            <a:noFill/>
          </a:ln>
          <a:effectLst/>
        </c:spPr>
        <c:marker>
          <c:symbol val="none"/>
        </c:marker>
      </c:pivotFmt>
      <c:pivotFmt>
        <c:idx val="361"/>
        <c:spPr>
          <a:solidFill>
            <a:schemeClr val="accent1"/>
          </a:solidFill>
          <a:ln w="25400">
            <a:noFill/>
          </a:ln>
          <a:effectLst/>
        </c:spPr>
        <c:marker>
          <c:symbol val="none"/>
        </c:marker>
      </c:pivotFmt>
      <c:pivotFmt>
        <c:idx val="362"/>
        <c:spPr>
          <a:solidFill>
            <a:schemeClr val="accent1"/>
          </a:solidFill>
          <a:ln w="25400">
            <a:noFill/>
          </a:ln>
          <a:effectLst/>
        </c:spPr>
        <c:marker>
          <c:symbol val="none"/>
        </c:marker>
      </c:pivotFmt>
      <c:pivotFmt>
        <c:idx val="363"/>
        <c:spPr>
          <a:solidFill>
            <a:schemeClr val="accent1"/>
          </a:solidFill>
          <a:ln w="25400">
            <a:noFill/>
          </a:ln>
          <a:effectLst/>
        </c:spPr>
        <c:marker>
          <c:symbol val="none"/>
        </c:marker>
      </c:pivotFmt>
      <c:pivotFmt>
        <c:idx val="364"/>
        <c:spPr>
          <a:solidFill>
            <a:schemeClr val="accent1"/>
          </a:solidFill>
          <a:ln w="25400">
            <a:noFill/>
          </a:ln>
          <a:effectLst/>
        </c:spPr>
        <c:marker>
          <c:symbol val="none"/>
        </c:marker>
      </c:pivotFmt>
      <c:pivotFmt>
        <c:idx val="365"/>
        <c:spPr>
          <a:solidFill>
            <a:schemeClr val="accent1"/>
          </a:solidFill>
          <a:ln w="25400">
            <a:noFill/>
          </a:ln>
          <a:effectLst/>
        </c:spPr>
        <c:marker>
          <c:symbol val="none"/>
        </c:marker>
      </c:pivotFmt>
      <c:pivotFmt>
        <c:idx val="366"/>
        <c:spPr>
          <a:solidFill>
            <a:schemeClr val="accent1"/>
          </a:solidFill>
          <a:ln w="25400">
            <a:noFill/>
          </a:ln>
          <a:effectLst/>
        </c:spPr>
        <c:marker>
          <c:symbol val="none"/>
        </c:marker>
      </c:pivotFmt>
      <c:pivotFmt>
        <c:idx val="367"/>
        <c:spPr>
          <a:solidFill>
            <a:schemeClr val="accent1"/>
          </a:solidFill>
          <a:ln w="25400">
            <a:noFill/>
          </a:ln>
          <a:effectLst/>
        </c:spPr>
        <c:marker>
          <c:symbol val="none"/>
        </c:marker>
      </c:pivotFmt>
      <c:pivotFmt>
        <c:idx val="368"/>
        <c:spPr>
          <a:solidFill>
            <a:schemeClr val="accent1"/>
          </a:solidFill>
          <a:ln w="25400">
            <a:noFill/>
          </a:ln>
          <a:effectLst/>
        </c:spPr>
        <c:marker>
          <c:symbol val="none"/>
        </c:marker>
      </c:pivotFmt>
      <c:pivotFmt>
        <c:idx val="369"/>
        <c:spPr>
          <a:solidFill>
            <a:schemeClr val="accent1"/>
          </a:solidFill>
          <a:ln w="25400">
            <a:noFill/>
          </a:ln>
          <a:effectLst/>
        </c:spPr>
        <c:marker>
          <c:symbol val="none"/>
        </c:marker>
      </c:pivotFmt>
      <c:pivotFmt>
        <c:idx val="370"/>
        <c:spPr>
          <a:solidFill>
            <a:schemeClr val="accent1"/>
          </a:solidFill>
          <a:ln w="25400">
            <a:noFill/>
          </a:ln>
          <a:effectLst/>
        </c:spPr>
        <c:marker>
          <c:symbol val="none"/>
        </c:marker>
      </c:pivotFmt>
      <c:pivotFmt>
        <c:idx val="371"/>
        <c:spPr>
          <a:solidFill>
            <a:schemeClr val="accent1"/>
          </a:solidFill>
          <a:ln w="25400">
            <a:noFill/>
          </a:ln>
          <a:effectLst/>
        </c:spPr>
        <c:marker>
          <c:symbol val="none"/>
        </c:marker>
      </c:pivotFmt>
      <c:pivotFmt>
        <c:idx val="372"/>
        <c:spPr>
          <a:solidFill>
            <a:schemeClr val="accent1"/>
          </a:solidFill>
          <a:ln w="25400">
            <a:noFill/>
          </a:ln>
          <a:effectLst/>
        </c:spPr>
        <c:marker>
          <c:symbol val="none"/>
        </c:marker>
      </c:pivotFmt>
      <c:pivotFmt>
        <c:idx val="373"/>
        <c:spPr>
          <a:solidFill>
            <a:schemeClr val="accent1"/>
          </a:solidFill>
          <a:ln w="25400">
            <a:noFill/>
          </a:ln>
          <a:effectLst/>
        </c:spPr>
        <c:marker>
          <c:symbol val="none"/>
        </c:marker>
      </c:pivotFmt>
      <c:pivotFmt>
        <c:idx val="374"/>
        <c:spPr>
          <a:solidFill>
            <a:schemeClr val="accent1"/>
          </a:solidFill>
          <a:ln w="25400">
            <a:noFill/>
          </a:ln>
          <a:effectLst/>
        </c:spPr>
        <c:marker>
          <c:symbol val="none"/>
        </c:marker>
      </c:pivotFmt>
      <c:pivotFmt>
        <c:idx val="375"/>
        <c:spPr>
          <a:solidFill>
            <a:schemeClr val="accent1"/>
          </a:solidFill>
          <a:ln w="25400">
            <a:noFill/>
          </a:ln>
          <a:effectLst/>
        </c:spPr>
        <c:marker>
          <c:symbol val="none"/>
        </c:marker>
      </c:pivotFmt>
      <c:pivotFmt>
        <c:idx val="376"/>
        <c:spPr>
          <a:solidFill>
            <a:schemeClr val="accent1"/>
          </a:solidFill>
          <a:ln w="25400">
            <a:noFill/>
          </a:ln>
          <a:effectLst/>
        </c:spPr>
        <c:marker>
          <c:symbol val="none"/>
        </c:marker>
      </c:pivotFmt>
      <c:pivotFmt>
        <c:idx val="377"/>
        <c:spPr>
          <a:solidFill>
            <a:schemeClr val="accent1"/>
          </a:solidFill>
          <a:ln w="25400">
            <a:noFill/>
          </a:ln>
          <a:effectLst/>
        </c:spPr>
        <c:marker>
          <c:symbol val="none"/>
        </c:marker>
      </c:pivotFmt>
      <c:pivotFmt>
        <c:idx val="378"/>
        <c:spPr>
          <a:solidFill>
            <a:schemeClr val="accent1"/>
          </a:solidFill>
          <a:ln w="25400">
            <a:noFill/>
          </a:ln>
          <a:effectLst/>
        </c:spPr>
        <c:marker>
          <c:symbol val="none"/>
        </c:marker>
      </c:pivotFmt>
      <c:pivotFmt>
        <c:idx val="379"/>
        <c:spPr>
          <a:solidFill>
            <a:schemeClr val="accent1"/>
          </a:solidFill>
          <a:ln w="25400">
            <a:noFill/>
          </a:ln>
          <a:effectLst/>
        </c:spPr>
        <c:marker>
          <c:symbol val="none"/>
        </c:marker>
      </c:pivotFmt>
      <c:pivotFmt>
        <c:idx val="380"/>
        <c:spPr>
          <a:solidFill>
            <a:schemeClr val="accent1"/>
          </a:solidFill>
          <a:ln w="25400">
            <a:noFill/>
          </a:ln>
          <a:effectLst/>
        </c:spPr>
        <c:marker>
          <c:symbol val="none"/>
        </c:marker>
      </c:pivotFmt>
      <c:pivotFmt>
        <c:idx val="381"/>
        <c:spPr>
          <a:solidFill>
            <a:schemeClr val="accent1"/>
          </a:solidFill>
          <a:ln w="25400">
            <a:noFill/>
          </a:ln>
          <a:effectLst/>
        </c:spPr>
        <c:marker>
          <c:symbol val="none"/>
        </c:marker>
      </c:pivotFmt>
      <c:pivotFmt>
        <c:idx val="382"/>
        <c:spPr>
          <a:solidFill>
            <a:schemeClr val="accent1"/>
          </a:solidFill>
          <a:ln w="25400">
            <a:noFill/>
          </a:ln>
          <a:effectLst/>
        </c:spPr>
        <c:marker>
          <c:symbol val="none"/>
        </c:marker>
      </c:pivotFmt>
      <c:pivotFmt>
        <c:idx val="383"/>
        <c:spPr>
          <a:solidFill>
            <a:schemeClr val="accent1"/>
          </a:solidFill>
          <a:ln w="25400">
            <a:noFill/>
          </a:ln>
          <a:effectLst/>
        </c:spPr>
        <c:marker>
          <c:symbol val="none"/>
        </c:marker>
      </c:pivotFmt>
      <c:pivotFmt>
        <c:idx val="384"/>
        <c:spPr>
          <a:solidFill>
            <a:schemeClr val="accent1"/>
          </a:solidFill>
          <a:ln w="25400">
            <a:noFill/>
          </a:ln>
          <a:effectLst/>
        </c:spPr>
        <c:marker>
          <c:symbol val="none"/>
        </c:marker>
      </c:pivotFmt>
      <c:pivotFmt>
        <c:idx val="385"/>
        <c:spPr>
          <a:solidFill>
            <a:schemeClr val="accent1"/>
          </a:solidFill>
          <a:ln w="25400">
            <a:noFill/>
          </a:ln>
          <a:effectLst/>
        </c:spPr>
        <c:marker>
          <c:symbol val="none"/>
        </c:marker>
      </c:pivotFmt>
      <c:pivotFmt>
        <c:idx val="386"/>
        <c:spPr>
          <a:solidFill>
            <a:schemeClr val="accent1"/>
          </a:solidFill>
          <a:ln w="25400">
            <a:noFill/>
          </a:ln>
          <a:effectLst/>
        </c:spPr>
        <c:marker>
          <c:symbol val="none"/>
        </c:marker>
      </c:pivotFmt>
      <c:pivotFmt>
        <c:idx val="387"/>
        <c:spPr>
          <a:solidFill>
            <a:schemeClr val="accent1"/>
          </a:solidFill>
          <a:ln w="25400">
            <a:noFill/>
          </a:ln>
          <a:effectLst/>
        </c:spPr>
        <c:marker>
          <c:symbol val="none"/>
        </c:marker>
      </c:pivotFmt>
      <c:pivotFmt>
        <c:idx val="388"/>
        <c:spPr>
          <a:solidFill>
            <a:schemeClr val="accent1"/>
          </a:solidFill>
          <a:ln w="25400">
            <a:noFill/>
          </a:ln>
          <a:effectLst/>
        </c:spPr>
        <c:marker>
          <c:symbol val="none"/>
        </c:marker>
      </c:pivotFmt>
      <c:pivotFmt>
        <c:idx val="389"/>
        <c:spPr>
          <a:solidFill>
            <a:schemeClr val="accent1"/>
          </a:solidFill>
          <a:ln w="25400">
            <a:noFill/>
          </a:ln>
          <a:effectLst/>
        </c:spPr>
        <c:marker>
          <c:symbol val="none"/>
        </c:marker>
      </c:pivotFmt>
      <c:pivotFmt>
        <c:idx val="390"/>
        <c:spPr>
          <a:solidFill>
            <a:schemeClr val="accent1"/>
          </a:solidFill>
          <a:ln w="25400">
            <a:noFill/>
          </a:ln>
          <a:effectLst/>
        </c:spPr>
        <c:marker>
          <c:symbol val="none"/>
        </c:marker>
      </c:pivotFmt>
      <c:pivotFmt>
        <c:idx val="391"/>
        <c:spPr>
          <a:solidFill>
            <a:schemeClr val="accent1"/>
          </a:solidFill>
          <a:ln w="25400">
            <a:noFill/>
          </a:ln>
          <a:effectLst/>
        </c:spPr>
        <c:marker>
          <c:symbol val="none"/>
        </c:marker>
      </c:pivotFmt>
      <c:pivotFmt>
        <c:idx val="392"/>
        <c:spPr>
          <a:solidFill>
            <a:schemeClr val="accent1"/>
          </a:solidFill>
          <a:ln w="25400">
            <a:noFill/>
          </a:ln>
          <a:effectLst/>
        </c:spPr>
        <c:marker>
          <c:symbol val="none"/>
        </c:marker>
      </c:pivotFmt>
      <c:pivotFmt>
        <c:idx val="393"/>
        <c:spPr>
          <a:solidFill>
            <a:schemeClr val="accent1"/>
          </a:solidFill>
          <a:ln w="25400">
            <a:noFill/>
          </a:ln>
          <a:effectLst/>
        </c:spPr>
        <c:marker>
          <c:symbol val="none"/>
        </c:marker>
      </c:pivotFmt>
      <c:pivotFmt>
        <c:idx val="394"/>
        <c:spPr>
          <a:solidFill>
            <a:schemeClr val="accent1"/>
          </a:solidFill>
          <a:ln w="25400">
            <a:noFill/>
          </a:ln>
          <a:effectLst/>
        </c:spPr>
        <c:marker>
          <c:symbol val="none"/>
        </c:marker>
      </c:pivotFmt>
      <c:pivotFmt>
        <c:idx val="395"/>
        <c:spPr>
          <a:solidFill>
            <a:schemeClr val="accent1"/>
          </a:solidFill>
          <a:ln w="25400">
            <a:noFill/>
          </a:ln>
          <a:effectLst/>
        </c:spPr>
        <c:marker>
          <c:symbol val="none"/>
        </c:marker>
      </c:pivotFmt>
      <c:pivotFmt>
        <c:idx val="396"/>
        <c:spPr>
          <a:solidFill>
            <a:schemeClr val="accent1"/>
          </a:solidFill>
          <a:ln w="25400">
            <a:noFill/>
          </a:ln>
          <a:effectLst/>
        </c:spPr>
        <c:marker>
          <c:symbol val="none"/>
        </c:marker>
      </c:pivotFmt>
      <c:pivotFmt>
        <c:idx val="397"/>
        <c:spPr>
          <a:solidFill>
            <a:schemeClr val="accent1"/>
          </a:solidFill>
          <a:ln w="25400">
            <a:noFill/>
          </a:ln>
          <a:effectLst/>
        </c:spPr>
        <c:marker>
          <c:symbol val="none"/>
        </c:marker>
      </c:pivotFmt>
      <c:pivotFmt>
        <c:idx val="398"/>
        <c:spPr>
          <a:solidFill>
            <a:schemeClr val="accent1"/>
          </a:solidFill>
          <a:ln w="25400">
            <a:noFill/>
          </a:ln>
          <a:effectLst/>
        </c:spPr>
        <c:marker>
          <c:symbol val="none"/>
        </c:marker>
      </c:pivotFmt>
      <c:pivotFmt>
        <c:idx val="399"/>
        <c:spPr>
          <a:solidFill>
            <a:schemeClr val="accent1"/>
          </a:solidFill>
          <a:ln w="25400">
            <a:noFill/>
          </a:ln>
          <a:effectLst/>
        </c:spPr>
        <c:marker>
          <c:symbol val="none"/>
        </c:marker>
      </c:pivotFmt>
      <c:pivotFmt>
        <c:idx val="400"/>
        <c:spPr>
          <a:solidFill>
            <a:schemeClr val="accent1"/>
          </a:solidFill>
          <a:ln w="25400">
            <a:noFill/>
          </a:ln>
          <a:effectLst/>
        </c:spPr>
        <c:marker>
          <c:symbol val="none"/>
        </c:marker>
      </c:pivotFmt>
      <c:pivotFmt>
        <c:idx val="401"/>
        <c:spPr>
          <a:solidFill>
            <a:schemeClr val="accent1"/>
          </a:solidFill>
          <a:ln w="25400">
            <a:noFill/>
          </a:ln>
          <a:effectLst/>
        </c:spPr>
        <c:marker>
          <c:symbol val="none"/>
        </c:marker>
      </c:pivotFmt>
      <c:pivotFmt>
        <c:idx val="402"/>
        <c:spPr>
          <a:solidFill>
            <a:schemeClr val="accent1"/>
          </a:solidFill>
          <a:ln w="25400">
            <a:noFill/>
          </a:ln>
          <a:effectLst/>
        </c:spPr>
        <c:marker>
          <c:symbol val="none"/>
        </c:marker>
      </c:pivotFmt>
      <c:pivotFmt>
        <c:idx val="403"/>
        <c:spPr>
          <a:solidFill>
            <a:schemeClr val="accent1"/>
          </a:solidFill>
          <a:ln w="25400">
            <a:noFill/>
          </a:ln>
          <a:effectLst/>
        </c:spPr>
        <c:marker>
          <c:symbol val="none"/>
        </c:marker>
      </c:pivotFmt>
      <c:pivotFmt>
        <c:idx val="404"/>
        <c:spPr>
          <a:solidFill>
            <a:schemeClr val="accent1"/>
          </a:solidFill>
          <a:ln w="25400">
            <a:noFill/>
          </a:ln>
          <a:effectLst/>
        </c:spPr>
        <c:marker>
          <c:symbol val="none"/>
        </c:marker>
      </c:pivotFmt>
      <c:pivotFmt>
        <c:idx val="405"/>
        <c:spPr>
          <a:solidFill>
            <a:schemeClr val="accent1"/>
          </a:solidFill>
          <a:ln w="25400">
            <a:noFill/>
          </a:ln>
          <a:effectLst/>
        </c:spPr>
        <c:marker>
          <c:symbol val="none"/>
        </c:marker>
      </c:pivotFmt>
      <c:pivotFmt>
        <c:idx val="406"/>
        <c:spPr>
          <a:solidFill>
            <a:schemeClr val="accent1"/>
          </a:solidFill>
          <a:ln w="25400">
            <a:noFill/>
          </a:ln>
          <a:effectLst/>
        </c:spPr>
        <c:marker>
          <c:symbol val="none"/>
        </c:marker>
      </c:pivotFmt>
      <c:pivotFmt>
        <c:idx val="407"/>
        <c:spPr>
          <a:solidFill>
            <a:schemeClr val="accent1"/>
          </a:solidFill>
          <a:ln w="25400">
            <a:noFill/>
          </a:ln>
          <a:effectLst/>
        </c:spPr>
        <c:marker>
          <c:symbol val="none"/>
        </c:marker>
      </c:pivotFmt>
      <c:pivotFmt>
        <c:idx val="408"/>
        <c:spPr>
          <a:solidFill>
            <a:schemeClr val="accent1"/>
          </a:solidFill>
          <a:ln w="25400">
            <a:noFill/>
          </a:ln>
          <a:effectLst/>
        </c:spPr>
        <c:marker>
          <c:symbol val="none"/>
        </c:marker>
      </c:pivotFmt>
      <c:pivotFmt>
        <c:idx val="409"/>
        <c:spPr>
          <a:solidFill>
            <a:schemeClr val="accent1"/>
          </a:solidFill>
          <a:ln w="25400">
            <a:noFill/>
          </a:ln>
          <a:effectLst/>
        </c:spPr>
        <c:marker>
          <c:symbol val="none"/>
        </c:marker>
      </c:pivotFmt>
      <c:pivotFmt>
        <c:idx val="410"/>
        <c:spPr>
          <a:solidFill>
            <a:schemeClr val="accent1"/>
          </a:solidFill>
          <a:ln w="25400">
            <a:noFill/>
          </a:ln>
          <a:effectLst/>
        </c:spPr>
        <c:marker>
          <c:symbol val="none"/>
        </c:marker>
      </c:pivotFmt>
      <c:pivotFmt>
        <c:idx val="411"/>
        <c:spPr>
          <a:solidFill>
            <a:schemeClr val="accent1"/>
          </a:solidFill>
          <a:ln w="25400">
            <a:noFill/>
          </a:ln>
          <a:effectLst/>
        </c:spPr>
        <c:marker>
          <c:symbol val="none"/>
        </c:marker>
      </c:pivotFmt>
      <c:pivotFmt>
        <c:idx val="412"/>
        <c:spPr>
          <a:solidFill>
            <a:schemeClr val="accent1"/>
          </a:solidFill>
          <a:ln w="25400">
            <a:noFill/>
          </a:ln>
          <a:effectLst/>
        </c:spPr>
        <c:marker>
          <c:symbol val="none"/>
        </c:marker>
      </c:pivotFmt>
      <c:pivotFmt>
        <c:idx val="413"/>
        <c:spPr>
          <a:solidFill>
            <a:schemeClr val="accent1"/>
          </a:solidFill>
          <a:ln w="25400">
            <a:noFill/>
          </a:ln>
          <a:effectLst/>
        </c:spPr>
        <c:marker>
          <c:symbol val="none"/>
        </c:marker>
      </c:pivotFmt>
      <c:pivotFmt>
        <c:idx val="414"/>
        <c:spPr>
          <a:solidFill>
            <a:schemeClr val="accent1"/>
          </a:solidFill>
          <a:ln w="25400">
            <a:noFill/>
          </a:ln>
          <a:effectLst/>
        </c:spPr>
        <c:marker>
          <c:symbol val="none"/>
        </c:marker>
      </c:pivotFmt>
      <c:pivotFmt>
        <c:idx val="415"/>
        <c:spPr>
          <a:solidFill>
            <a:schemeClr val="accent1"/>
          </a:solidFill>
          <a:ln w="25400">
            <a:noFill/>
          </a:ln>
          <a:effectLst/>
        </c:spPr>
        <c:marker>
          <c:symbol val="none"/>
        </c:marker>
      </c:pivotFmt>
      <c:pivotFmt>
        <c:idx val="416"/>
        <c:spPr>
          <a:solidFill>
            <a:schemeClr val="accent1"/>
          </a:solidFill>
          <a:ln w="25400">
            <a:noFill/>
          </a:ln>
          <a:effectLst/>
        </c:spPr>
        <c:marker>
          <c:symbol val="none"/>
        </c:marker>
      </c:pivotFmt>
      <c:pivotFmt>
        <c:idx val="417"/>
        <c:spPr>
          <a:solidFill>
            <a:schemeClr val="accent1"/>
          </a:solidFill>
          <a:ln w="25400">
            <a:noFill/>
          </a:ln>
          <a:effectLst/>
        </c:spPr>
        <c:marker>
          <c:symbol val="none"/>
        </c:marker>
      </c:pivotFmt>
      <c:pivotFmt>
        <c:idx val="418"/>
        <c:spPr>
          <a:solidFill>
            <a:schemeClr val="accent1"/>
          </a:solidFill>
          <a:ln w="25400">
            <a:noFill/>
          </a:ln>
          <a:effectLst/>
        </c:spPr>
        <c:marker>
          <c:symbol val="none"/>
        </c:marker>
      </c:pivotFmt>
      <c:pivotFmt>
        <c:idx val="419"/>
        <c:spPr>
          <a:solidFill>
            <a:schemeClr val="accent1"/>
          </a:solidFill>
          <a:ln w="25400">
            <a:noFill/>
          </a:ln>
          <a:effectLst/>
        </c:spPr>
        <c:marker>
          <c:symbol val="none"/>
        </c:marker>
      </c:pivotFmt>
      <c:pivotFmt>
        <c:idx val="420"/>
        <c:spPr>
          <a:solidFill>
            <a:schemeClr val="accent1"/>
          </a:solidFill>
          <a:ln w="25400">
            <a:noFill/>
          </a:ln>
          <a:effectLst/>
        </c:spPr>
        <c:marker>
          <c:symbol val="none"/>
        </c:marker>
      </c:pivotFmt>
      <c:pivotFmt>
        <c:idx val="421"/>
        <c:spPr>
          <a:solidFill>
            <a:schemeClr val="accent1"/>
          </a:solidFill>
          <a:ln w="25400">
            <a:noFill/>
          </a:ln>
          <a:effectLst/>
        </c:spPr>
        <c:marker>
          <c:symbol val="none"/>
        </c:marker>
      </c:pivotFmt>
      <c:pivotFmt>
        <c:idx val="422"/>
        <c:spPr>
          <a:solidFill>
            <a:schemeClr val="accent1"/>
          </a:solidFill>
          <a:ln w="25400">
            <a:noFill/>
          </a:ln>
          <a:effectLst/>
        </c:spPr>
        <c:marker>
          <c:symbol val="none"/>
        </c:marker>
      </c:pivotFmt>
      <c:pivotFmt>
        <c:idx val="423"/>
        <c:spPr>
          <a:solidFill>
            <a:schemeClr val="accent1"/>
          </a:solidFill>
          <a:ln w="25400">
            <a:noFill/>
          </a:ln>
          <a:effectLst/>
        </c:spPr>
        <c:marker>
          <c:symbol val="none"/>
        </c:marker>
      </c:pivotFmt>
      <c:pivotFmt>
        <c:idx val="424"/>
        <c:spPr>
          <a:solidFill>
            <a:schemeClr val="accent1"/>
          </a:solidFill>
          <a:ln w="25400">
            <a:noFill/>
          </a:ln>
          <a:effectLst/>
        </c:spPr>
        <c:marker>
          <c:symbol val="none"/>
        </c:marker>
      </c:pivotFmt>
      <c:pivotFmt>
        <c:idx val="425"/>
        <c:spPr>
          <a:solidFill>
            <a:schemeClr val="accent1"/>
          </a:solidFill>
          <a:ln w="25400">
            <a:noFill/>
          </a:ln>
          <a:effectLst/>
        </c:spPr>
        <c:marker>
          <c:symbol val="none"/>
        </c:marker>
      </c:pivotFmt>
      <c:pivotFmt>
        <c:idx val="426"/>
        <c:spPr>
          <a:solidFill>
            <a:schemeClr val="accent1"/>
          </a:solidFill>
          <a:ln w="25400">
            <a:noFill/>
          </a:ln>
          <a:effectLst/>
        </c:spPr>
        <c:marker>
          <c:symbol val="none"/>
        </c:marker>
      </c:pivotFmt>
      <c:pivotFmt>
        <c:idx val="427"/>
        <c:spPr>
          <a:solidFill>
            <a:schemeClr val="accent1"/>
          </a:solidFill>
          <a:ln w="25400">
            <a:noFill/>
          </a:ln>
          <a:effectLst/>
        </c:spPr>
        <c:marker>
          <c:symbol val="none"/>
        </c:marker>
      </c:pivotFmt>
      <c:pivotFmt>
        <c:idx val="428"/>
        <c:spPr>
          <a:solidFill>
            <a:schemeClr val="accent1"/>
          </a:solidFill>
          <a:ln w="25400">
            <a:noFill/>
          </a:ln>
          <a:effectLst/>
        </c:spPr>
        <c:marker>
          <c:symbol val="none"/>
        </c:marker>
      </c:pivotFmt>
      <c:pivotFmt>
        <c:idx val="429"/>
        <c:spPr>
          <a:solidFill>
            <a:schemeClr val="accent1"/>
          </a:solidFill>
          <a:ln w="25400">
            <a:noFill/>
          </a:ln>
          <a:effectLst/>
        </c:spPr>
        <c:marker>
          <c:symbol val="none"/>
        </c:marker>
      </c:pivotFmt>
      <c:pivotFmt>
        <c:idx val="430"/>
        <c:spPr>
          <a:solidFill>
            <a:schemeClr val="accent1"/>
          </a:solidFill>
          <a:ln w="25400">
            <a:noFill/>
          </a:ln>
          <a:effectLst/>
        </c:spPr>
        <c:marker>
          <c:symbol val="none"/>
        </c:marker>
      </c:pivotFmt>
      <c:pivotFmt>
        <c:idx val="431"/>
        <c:spPr>
          <a:solidFill>
            <a:schemeClr val="accent1"/>
          </a:solidFill>
          <a:ln w="25400">
            <a:noFill/>
          </a:ln>
          <a:effectLst/>
        </c:spPr>
        <c:marker>
          <c:symbol val="none"/>
        </c:marker>
      </c:pivotFmt>
      <c:pivotFmt>
        <c:idx val="432"/>
        <c:spPr>
          <a:solidFill>
            <a:schemeClr val="accent1"/>
          </a:solidFill>
          <a:ln w="25400">
            <a:noFill/>
          </a:ln>
          <a:effectLst/>
        </c:spPr>
        <c:marker>
          <c:symbol val="none"/>
        </c:marker>
      </c:pivotFmt>
      <c:pivotFmt>
        <c:idx val="433"/>
        <c:spPr>
          <a:solidFill>
            <a:schemeClr val="accent1"/>
          </a:solidFill>
          <a:ln w="25400">
            <a:noFill/>
          </a:ln>
          <a:effectLst/>
        </c:spPr>
        <c:marker>
          <c:symbol val="none"/>
        </c:marker>
      </c:pivotFmt>
      <c:pivotFmt>
        <c:idx val="434"/>
        <c:spPr>
          <a:solidFill>
            <a:schemeClr val="accent1"/>
          </a:solidFill>
          <a:ln w="25400">
            <a:noFill/>
          </a:ln>
          <a:effectLst/>
        </c:spPr>
        <c:marker>
          <c:symbol val="none"/>
        </c:marker>
      </c:pivotFmt>
      <c:pivotFmt>
        <c:idx val="435"/>
        <c:spPr>
          <a:solidFill>
            <a:schemeClr val="accent1"/>
          </a:solidFill>
          <a:ln w="25400">
            <a:noFill/>
          </a:ln>
          <a:effectLst/>
        </c:spPr>
        <c:marker>
          <c:symbol val="none"/>
        </c:marker>
      </c:pivotFmt>
      <c:pivotFmt>
        <c:idx val="436"/>
        <c:spPr>
          <a:solidFill>
            <a:schemeClr val="accent1"/>
          </a:solidFill>
          <a:ln w="25400">
            <a:noFill/>
          </a:ln>
          <a:effectLst/>
        </c:spPr>
        <c:marker>
          <c:symbol val="none"/>
        </c:marker>
      </c:pivotFmt>
      <c:pivotFmt>
        <c:idx val="437"/>
        <c:spPr>
          <a:solidFill>
            <a:schemeClr val="accent1"/>
          </a:solidFill>
          <a:ln w="25400">
            <a:noFill/>
          </a:ln>
          <a:effectLst/>
        </c:spPr>
        <c:marker>
          <c:symbol val="none"/>
        </c:marker>
      </c:pivotFmt>
      <c:pivotFmt>
        <c:idx val="438"/>
        <c:spPr>
          <a:solidFill>
            <a:schemeClr val="accent1"/>
          </a:solidFill>
          <a:ln w="25400">
            <a:noFill/>
          </a:ln>
          <a:effectLst/>
        </c:spPr>
        <c:marker>
          <c:symbol val="none"/>
        </c:marker>
      </c:pivotFmt>
      <c:pivotFmt>
        <c:idx val="439"/>
        <c:spPr>
          <a:solidFill>
            <a:schemeClr val="accent1"/>
          </a:solidFill>
          <a:ln w="25400">
            <a:noFill/>
          </a:ln>
          <a:effectLst/>
        </c:spPr>
        <c:marker>
          <c:symbol val="none"/>
        </c:marker>
      </c:pivotFmt>
      <c:pivotFmt>
        <c:idx val="440"/>
        <c:spPr>
          <a:solidFill>
            <a:schemeClr val="accent1"/>
          </a:solidFill>
          <a:ln w="25400">
            <a:noFill/>
          </a:ln>
          <a:effectLst/>
        </c:spPr>
        <c:marker>
          <c:symbol val="none"/>
        </c:marker>
      </c:pivotFmt>
      <c:pivotFmt>
        <c:idx val="441"/>
        <c:spPr>
          <a:solidFill>
            <a:schemeClr val="accent1"/>
          </a:solidFill>
          <a:ln w="25400">
            <a:noFill/>
          </a:ln>
          <a:effectLst/>
        </c:spPr>
        <c:marker>
          <c:symbol val="none"/>
        </c:marker>
      </c:pivotFmt>
      <c:pivotFmt>
        <c:idx val="442"/>
        <c:spPr>
          <a:solidFill>
            <a:schemeClr val="accent1"/>
          </a:solidFill>
          <a:ln w="25400">
            <a:noFill/>
          </a:ln>
          <a:effectLst/>
        </c:spPr>
        <c:marker>
          <c:symbol val="none"/>
        </c:marker>
      </c:pivotFmt>
      <c:pivotFmt>
        <c:idx val="443"/>
        <c:spPr>
          <a:solidFill>
            <a:schemeClr val="accent1"/>
          </a:solidFill>
          <a:ln w="25400">
            <a:noFill/>
          </a:ln>
          <a:effectLst/>
        </c:spPr>
        <c:marker>
          <c:symbol val="none"/>
        </c:marker>
      </c:pivotFmt>
      <c:pivotFmt>
        <c:idx val="444"/>
        <c:spPr>
          <a:solidFill>
            <a:schemeClr val="accent1"/>
          </a:solidFill>
          <a:ln w="25400">
            <a:noFill/>
          </a:ln>
          <a:effectLst/>
        </c:spPr>
        <c:marker>
          <c:symbol val="none"/>
        </c:marker>
      </c:pivotFmt>
      <c:pivotFmt>
        <c:idx val="445"/>
        <c:spPr>
          <a:solidFill>
            <a:schemeClr val="accent1"/>
          </a:solidFill>
          <a:ln w="25400">
            <a:noFill/>
          </a:ln>
          <a:effectLst/>
        </c:spPr>
        <c:marker>
          <c:symbol val="none"/>
        </c:marker>
      </c:pivotFmt>
      <c:pivotFmt>
        <c:idx val="446"/>
        <c:spPr>
          <a:solidFill>
            <a:schemeClr val="accent1"/>
          </a:solidFill>
          <a:ln w="25400">
            <a:noFill/>
          </a:ln>
          <a:effectLst/>
        </c:spPr>
        <c:marker>
          <c:symbol val="none"/>
        </c:marker>
      </c:pivotFmt>
      <c:pivotFmt>
        <c:idx val="447"/>
        <c:spPr>
          <a:solidFill>
            <a:schemeClr val="accent1"/>
          </a:solidFill>
          <a:ln w="25400">
            <a:noFill/>
          </a:ln>
          <a:effectLst/>
        </c:spPr>
        <c:marker>
          <c:symbol val="none"/>
        </c:marker>
      </c:pivotFmt>
      <c:pivotFmt>
        <c:idx val="448"/>
        <c:spPr>
          <a:solidFill>
            <a:schemeClr val="accent1"/>
          </a:solidFill>
          <a:ln w="25400">
            <a:noFill/>
          </a:ln>
          <a:effectLst/>
        </c:spPr>
        <c:marker>
          <c:symbol val="none"/>
        </c:marker>
      </c:pivotFmt>
      <c:pivotFmt>
        <c:idx val="449"/>
        <c:spPr>
          <a:solidFill>
            <a:schemeClr val="accent1"/>
          </a:solidFill>
          <a:ln w="25400">
            <a:noFill/>
          </a:ln>
          <a:effectLst/>
        </c:spPr>
        <c:marker>
          <c:symbol val="none"/>
        </c:marker>
      </c:pivotFmt>
      <c:pivotFmt>
        <c:idx val="450"/>
        <c:spPr>
          <a:solidFill>
            <a:schemeClr val="accent1"/>
          </a:solidFill>
          <a:ln w="25400">
            <a:noFill/>
          </a:ln>
          <a:effectLst/>
        </c:spPr>
        <c:marker>
          <c:symbol val="none"/>
        </c:marker>
      </c:pivotFmt>
      <c:pivotFmt>
        <c:idx val="451"/>
        <c:spPr>
          <a:solidFill>
            <a:schemeClr val="accent1"/>
          </a:solidFill>
          <a:ln w="25400">
            <a:noFill/>
          </a:ln>
          <a:effectLst/>
        </c:spPr>
        <c:marker>
          <c:symbol val="none"/>
        </c:marker>
      </c:pivotFmt>
      <c:pivotFmt>
        <c:idx val="452"/>
        <c:spPr>
          <a:solidFill>
            <a:schemeClr val="accent1"/>
          </a:solidFill>
          <a:ln w="25400">
            <a:noFill/>
          </a:ln>
          <a:effectLst/>
        </c:spPr>
        <c:marker>
          <c:symbol val="none"/>
        </c:marker>
      </c:pivotFmt>
      <c:pivotFmt>
        <c:idx val="453"/>
        <c:spPr>
          <a:solidFill>
            <a:schemeClr val="accent1"/>
          </a:solidFill>
          <a:ln w="25400">
            <a:noFill/>
          </a:ln>
          <a:effectLst/>
        </c:spPr>
        <c:marker>
          <c:symbol val="none"/>
        </c:marker>
      </c:pivotFmt>
      <c:pivotFmt>
        <c:idx val="454"/>
        <c:spPr>
          <a:solidFill>
            <a:schemeClr val="accent1"/>
          </a:solidFill>
          <a:ln w="25400">
            <a:noFill/>
          </a:ln>
          <a:effectLst/>
        </c:spPr>
        <c:marker>
          <c:symbol val="none"/>
        </c:marker>
      </c:pivotFmt>
      <c:pivotFmt>
        <c:idx val="455"/>
        <c:spPr>
          <a:solidFill>
            <a:schemeClr val="accent1"/>
          </a:solidFill>
          <a:ln w="25400">
            <a:noFill/>
          </a:ln>
          <a:effectLst/>
        </c:spPr>
        <c:marker>
          <c:symbol val="none"/>
        </c:marker>
      </c:pivotFmt>
      <c:pivotFmt>
        <c:idx val="456"/>
        <c:spPr>
          <a:solidFill>
            <a:schemeClr val="accent1"/>
          </a:solidFill>
          <a:ln w="25400">
            <a:noFill/>
          </a:ln>
          <a:effectLst/>
        </c:spPr>
        <c:marker>
          <c:symbol val="none"/>
        </c:marker>
      </c:pivotFmt>
      <c:pivotFmt>
        <c:idx val="457"/>
        <c:spPr>
          <a:solidFill>
            <a:schemeClr val="accent1"/>
          </a:solidFill>
          <a:ln w="25400">
            <a:noFill/>
          </a:ln>
          <a:effectLst/>
        </c:spPr>
        <c:marker>
          <c:symbol val="none"/>
        </c:marker>
      </c:pivotFmt>
      <c:pivotFmt>
        <c:idx val="458"/>
        <c:spPr>
          <a:solidFill>
            <a:schemeClr val="accent1"/>
          </a:solidFill>
          <a:ln w="25400">
            <a:noFill/>
          </a:ln>
          <a:effectLst/>
        </c:spPr>
        <c:marker>
          <c:symbol val="none"/>
        </c:marker>
      </c:pivotFmt>
      <c:pivotFmt>
        <c:idx val="459"/>
        <c:spPr>
          <a:solidFill>
            <a:schemeClr val="accent1"/>
          </a:solidFill>
          <a:ln w="25400">
            <a:noFill/>
          </a:ln>
          <a:effectLst/>
        </c:spPr>
        <c:marker>
          <c:symbol val="none"/>
        </c:marker>
      </c:pivotFmt>
      <c:pivotFmt>
        <c:idx val="460"/>
        <c:spPr>
          <a:solidFill>
            <a:schemeClr val="accent1"/>
          </a:solidFill>
          <a:ln w="25400">
            <a:noFill/>
          </a:ln>
          <a:effectLst/>
        </c:spPr>
        <c:marker>
          <c:symbol val="none"/>
        </c:marker>
      </c:pivotFmt>
      <c:pivotFmt>
        <c:idx val="461"/>
        <c:spPr>
          <a:solidFill>
            <a:schemeClr val="accent1"/>
          </a:solidFill>
          <a:ln w="25400">
            <a:noFill/>
          </a:ln>
          <a:effectLst/>
        </c:spPr>
        <c:marker>
          <c:symbol val="none"/>
        </c:marker>
      </c:pivotFmt>
      <c:pivotFmt>
        <c:idx val="462"/>
        <c:spPr>
          <a:solidFill>
            <a:schemeClr val="accent1"/>
          </a:solidFill>
          <a:ln w="25400">
            <a:noFill/>
          </a:ln>
          <a:effectLst/>
        </c:spPr>
        <c:marker>
          <c:symbol val="none"/>
        </c:marker>
      </c:pivotFmt>
      <c:pivotFmt>
        <c:idx val="463"/>
        <c:spPr>
          <a:solidFill>
            <a:schemeClr val="accent1"/>
          </a:solidFill>
          <a:ln w="25400">
            <a:noFill/>
          </a:ln>
          <a:effectLst/>
        </c:spPr>
        <c:marker>
          <c:symbol val="none"/>
        </c:marker>
      </c:pivotFmt>
      <c:pivotFmt>
        <c:idx val="464"/>
        <c:spPr>
          <a:solidFill>
            <a:schemeClr val="accent1"/>
          </a:solidFill>
          <a:ln w="25400">
            <a:noFill/>
          </a:ln>
          <a:effectLst/>
        </c:spPr>
        <c:marker>
          <c:symbol val="none"/>
        </c:marker>
      </c:pivotFmt>
      <c:pivotFmt>
        <c:idx val="465"/>
        <c:spPr>
          <a:solidFill>
            <a:schemeClr val="accent1"/>
          </a:solidFill>
          <a:ln w="25400">
            <a:noFill/>
          </a:ln>
          <a:effectLst/>
        </c:spPr>
        <c:marker>
          <c:symbol val="none"/>
        </c:marker>
      </c:pivotFmt>
      <c:pivotFmt>
        <c:idx val="466"/>
        <c:spPr>
          <a:solidFill>
            <a:schemeClr val="accent1"/>
          </a:solidFill>
          <a:ln w="25400">
            <a:noFill/>
          </a:ln>
          <a:effectLst/>
        </c:spPr>
        <c:marker>
          <c:symbol val="none"/>
        </c:marker>
      </c:pivotFmt>
      <c:pivotFmt>
        <c:idx val="467"/>
        <c:spPr>
          <a:solidFill>
            <a:schemeClr val="accent1"/>
          </a:solidFill>
          <a:ln w="25400">
            <a:noFill/>
          </a:ln>
          <a:effectLst/>
        </c:spPr>
        <c:marker>
          <c:symbol val="none"/>
        </c:marker>
      </c:pivotFmt>
      <c:pivotFmt>
        <c:idx val="468"/>
        <c:spPr>
          <a:solidFill>
            <a:schemeClr val="accent1"/>
          </a:solidFill>
          <a:ln w="25400">
            <a:noFill/>
          </a:ln>
          <a:effectLst/>
        </c:spPr>
        <c:marker>
          <c:symbol val="none"/>
        </c:marker>
      </c:pivotFmt>
      <c:pivotFmt>
        <c:idx val="469"/>
        <c:spPr>
          <a:solidFill>
            <a:schemeClr val="accent1"/>
          </a:solidFill>
          <a:ln w="25400">
            <a:noFill/>
          </a:ln>
          <a:effectLst/>
        </c:spPr>
        <c:marker>
          <c:symbol val="none"/>
        </c:marker>
      </c:pivotFmt>
      <c:pivotFmt>
        <c:idx val="470"/>
        <c:spPr>
          <a:solidFill>
            <a:schemeClr val="accent1"/>
          </a:solidFill>
          <a:ln w="25400">
            <a:noFill/>
          </a:ln>
          <a:effectLst/>
        </c:spPr>
        <c:marker>
          <c:symbol val="none"/>
        </c:marker>
      </c:pivotFmt>
      <c:pivotFmt>
        <c:idx val="471"/>
        <c:spPr>
          <a:solidFill>
            <a:schemeClr val="accent1"/>
          </a:solidFill>
          <a:ln w="25400">
            <a:noFill/>
          </a:ln>
          <a:effectLst/>
        </c:spPr>
        <c:marker>
          <c:symbol val="none"/>
        </c:marker>
      </c:pivotFmt>
      <c:pivotFmt>
        <c:idx val="472"/>
        <c:spPr>
          <a:solidFill>
            <a:schemeClr val="accent1"/>
          </a:solidFill>
          <a:ln w="25400">
            <a:noFill/>
          </a:ln>
          <a:effectLst/>
        </c:spPr>
        <c:marker>
          <c:symbol val="none"/>
        </c:marker>
      </c:pivotFmt>
      <c:pivotFmt>
        <c:idx val="473"/>
        <c:spPr>
          <a:solidFill>
            <a:schemeClr val="accent1"/>
          </a:solidFill>
          <a:ln w="25400">
            <a:noFill/>
          </a:ln>
          <a:effectLst/>
        </c:spPr>
        <c:marker>
          <c:symbol val="none"/>
        </c:marker>
      </c:pivotFmt>
      <c:pivotFmt>
        <c:idx val="474"/>
        <c:spPr>
          <a:solidFill>
            <a:schemeClr val="accent1"/>
          </a:solidFill>
          <a:ln w="25400">
            <a:noFill/>
          </a:ln>
          <a:effectLst/>
        </c:spPr>
        <c:marker>
          <c:symbol val="none"/>
        </c:marker>
      </c:pivotFmt>
      <c:pivotFmt>
        <c:idx val="475"/>
        <c:spPr>
          <a:solidFill>
            <a:schemeClr val="accent1"/>
          </a:solidFill>
          <a:ln w="25400">
            <a:noFill/>
          </a:ln>
          <a:effectLst/>
        </c:spPr>
        <c:marker>
          <c:symbol val="none"/>
        </c:marker>
      </c:pivotFmt>
      <c:pivotFmt>
        <c:idx val="476"/>
        <c:spPr>
          <a:solidFill>
            <a:schemeClr val="accent1"/>
          </a:solidFill>
          <a:ln w="25400">
            <a:noFill/>
          </a:ln>
          <a:effectLst/>
        </c:spPr>
        <c:marker>
          <c:symbol val="none"/>
        </c:marker>
      </c:pivotFmt>
      <c:pivotFmt>
        <c:idx val="477"/>
        <c:spPr>
          <a:solidFill>
            <a:schemeClr val="accent1"/>
          </a:solidFill>
          <a:ln w="25400">
            <a:noFill/>
          </a:ln>
          <a:effectLst/>
        </c:spPr>
        <c:marker>
          <c:symbol val="none"/>
        </c:marker>
      </c:pivotFmt>
      <c:pivotFmt>
        <c:idx val="478"/>
        <c:spPr>
          <a:solidFill>
            <a:schemeClr val="accent1"/>
          </a:solidFill>
          <a:ln w="25400">
            <a:noFill/>
          </a:ln>
          <a:effectLst/>
        </c:spPr>
        <c:marker>
          <c:symbol val="none"/>
        </c:marker>
      </c:pivotFmt>
      <c:pivotFmt>
        <c:idx val="479"/>
        <c:spPr>
          <a:solidFill>
            <a:schemeClr val="accent1"/>
          </a:solidFill>
          <a:ln w="25400">
            <a:noFill/>
          </a:ln>
          <a:effectLst/>
        </c:spPr>
        <c:marker>
          <c:symbol val="none"/>
        </c:marker>
      </c:pivotFmt>
      <c:pivotFmt>
        <c:idx val="480"/>
        <c:spPr>
          <a:solidFill>
            <a:schemeClr val="accent1"/>
          </a:solidFill>
          <a:ln w="25400">
            <a:noFill/>
          </a:ln>
          <a:effectLst/>
        </c:spPr>
        <c:marker>
          <c:symbol val="none"/>
        </c:marker>
      </c:pivotFmt>
      <c:pivotFmt>
        <c:idx val="481"/>
        <c:spPr>
          <a:solidFill>
            <a:schemeClr val="accent1"/>
          </a:solidFill>
          <a:ln w="25400">
            <a:noFill/>
          </a:ln>
          <a:effectLst/>
        </c:spPr>
        <c:marker>
          <c:symbol val="none"/>
        </c:marker>
      </c:pivotFmt>
      <c:pivotFmt>
        <c:idx val="482"/>
        <c:spPr>
          <a:solidFill>
            <a:schemeClr val="accent1"/>
          </a:solidFill>
          <a:ln w="25400">
            <a:noFill/>
          </a:ln>
          <a:effectLst/>
        </c:spPr>
        <c:marker>
          <c:symbol val="none"/>
        </c:marker>
      </c:pivotFmt>
      <c:pivotFmt>
        <c:idx val="483"/>
        <c:spPr>
          <a:solidFill>
            <a:schemeClr val="accent1"/>
          </a:solidFill>
          <a:ln w="25400">
            <a:noFill/>
          </a:ln>
          <a:effectLst/>
        </c:spPr>
        <c:marker>
          <c:symbol val="none"/>
        </c:marker>
      </c:pivotFmt>
      <c:pivotFmt>
        <c:idx val="484"/>
        <c:spPr>
          <a:solidFill>
            <a:schemeClr val="accent1"/>
          </a:solidFill>
          <a:ln w="25400">
            <a:noFill/>
          </a:ln>
          <a:effectLst/>
        </c:spPr>
        <c:marker>
          <c:symbol val="none"/>
        </c:marker>
      </c:pivotFmt>
      <c:pivotFmt>
        <c:idx val="485"/>
        <c:spPr>
          <a:solidFill>
            <a:schemeClr val="accent1"/>
          </a:solidFill>
          <a:ln w="25400">
            <a:noFill/>
          </a:ln>
          <a:effectLst/>
        </c:spPr>
        <c:marker>
          <c:symbol val="none"/>
        </c:marker>
      </c:pivotFmt>
      <c:pivotFmt>
        <c:idx val="486"/>
        <c:spPr>
          <a:solidFill>
            <a:schemeClr val="accent1"/>
          </a:solidFill>
          <a:ln w="25400">
            <a:noFill/>
          </a:ln>
          <a:effectLst/>
        </c:spPr>
        <c:marker>
          <c:symbol val="none"/>
        </c:marker>
      </c:pivotFmt>
      <c:pivotFmt>
        <c:idx val="487"/>
        <c:spPr>
          <a:solidFill>
            <a:schemeClr val="accent1"/>
          </a:solidFill>
          <a:ln w="25400">
            <a:noFill/>
          </a:ln>
          <a:effectLst/>
        </c:spPr>
        <c:marker>
          <c:symbol val="none"/>
        </c:marker>
      </c:pivotFmt>
      <c:pivotFmt>
        <c:idx val="488"/>
        <c:spPr>
          <a:solidFill>
            <a:schemeClr val="accent1"/>
          </a:solidFill>
          <a:ln w="25400">
            <a:noFill/>
          </a:ln>
          <a:effectLst/>
        </c:spPr>
        <c:marker>
          <c:symbol val="none"/>
        </c:marker>
      </c:pivotFmt>
      <c:pivotFmt>
        <c:idx val="489"/>
        <c:spPr>
          <a:solidFill>
            <a:schemeClr val="accent1"/>
          </a:solidFill>
          <a:ln w="25400">
            <a:noFill/>
          </a:ln>
          <a:effectLst/>
        </c:spPr>
        <c:marker>
          <c:symbol val="none"/>
        </c:marker>
      </c:pivotFmt>
      <c:pivotFmt>
        <c:idx val="490"/>
        <c:spPr>
          <a:solidFill>
            <a:schemeClr val="accent1"/>
          </a:solidFill>
          <a:ln w="25400">
            <a:noFill/>
          </a:ln>
          <a:effectLst/>
        </c:spPr>
        <c:marker>
          <c:symbol val="none"/>
        </c:marker>
      </c:pivotFmt>
      <c:pivotFmt>
        <c:idx val="491"/>
        <c:spPr>
          <a:solidFill>
            <a:schemeClr val="accent1"/>
          </a:solidFill>
          <a:ln w="25400">
            <a:noFill/>
          </a:ln>
          <a:effectLst/>
        </c:spPr>
        <c:marker>
          <c:symbol val="none"/>
        </c:marker>
      </c:pivotFmt>
      <c:pivotFmt>
        <c:idx val="492"/>
        <c:spPr>
          <a:solidFill>
            <a:schemeClr val="accent1"/>
          </a:solidFill>
          <a:ln w="25400">
            <a:noFill/>
          </a:ln>
          <a:effectLst/>
        </c:spPr>
        <c:marker>
          <c:symbol val="none"/>
        </c:marker>
      </c:pivotFmt>
      <c:pivotFmt>
        <c:idx val="493"/>
        <c:spPr>
          <a:solidFill>
            <a:schemeClr val="accent1"/>
          </a:solidFill>
          <a:ln w="25400">
            <a:noFill/>
          </a:ln>
          <a:effectLst/>
        </c:spPr>
        <c:marker>
          <c:symbol val="none"/>
        </c:marker>
      </c:pivotFmt>
      <c:pivotFmt>
        <c:idx val="494"/>
        <c:spPr>
          <a:solidFill>
            <a:schemeClr val="accent1"/>
          </a:solidFill>
          <a:ln w="25400">
            <a:noFill/>
          </a:ln>
          <a:effectLst/>
        </c:spPr>
        <c:marker>
          <c:symbol val="none"/>
        </c:marker>
      </c:pivotFmt>
      <c:pivotFmt>
        <c:idx val="495"/>
        <c:spPr>
          <a:solidFill>
            <a:schemeClr val="accent1"/>
          </a:solidFill>
          <a:ln w="25400">
            <a:noFill/>
          </a:ln>
          <a:effectLst/>
        </c:spPr>
        <c:marker>
          <c:symbol val="none"/>
        </c:marker>
      </c:pivotFmt>
      <c:pivotFmt>
        <c:idx val="496"/>
        <c:spPr>
          <a:solidFill>
            <a:schemeClr val="accent1"/>
          </a:solidFill>
          <a:ln w="25400">
            <a:noFill/>
          </a:ln>
          <a:effectLst/>
        </c:spPr>
        <c:marker>
          <c:symbol val="none"/>
        </c:marker>
      </c:pivotFmt>
      <c:pivotFmt>
        <c:idx val="497"/>
        <c:spPr>
          <a:solidFill>
            <a:schemeClr val="accent1"/>
          </a:solidFill>
          <a:ln w="25400">
            <a:noFill/>
          </a:ln>
          <a:effectLst/>
        </c:spPr>
        <c:marker>
          <c:symbol val="none"/>
        </c:marker>
      </c:pivotFmt>
      <c:pivotFmt>
        <c:idx val="498"/>
        <c:spPr>
          <a:solidFill>
            <a:schemeClr val="accent1"/>
          </a:solidFill>
          <a:ln w="25400">
            <a:noFill/>
          </a:ln>
          <a:effectLst/>
        </c:spPr>
        <c:marker>
          <c:symbol val="none"/>
        </c:marker>
      </c:pivotFmt>
      <c:pivotFmt>
        <c:idx val="499"/>
        <c:spPr>
          <a:solidFill>
            <a:schemeClr val="accent1"/>
          </a:solidFill>
          <a:ln w="25400">
            <a:noFill/>
          </a:ln>
          <a:effectLst/>
        </c:spPr>
        <c:marker>
          <c:symbol val="none"/>
        </c:marker>
      </c:pivotFmt>
      <c:pivotFmt>
        <c:idx val="500"/>
        <c:spPr>
          <a:solidFill>
            <a:schemeClr val="accent1"/>
          </a:solidFill>
          <a:ln w="25400">
            <a:noFill/>
          </a:ln>
          <a:effectLst/>
        </c:spPr>
        <c:marker>
          <c:symbol val="none"/>
        </c:marker>
      </c:pivotFmt>
      <c:pivotFmt>
        <c:idx val="501"/>
        <c:spPr>
          <a:solidFill>
            <a:schemeClr val="accent1"/>
          </a:solidFill>
          <a:ln w="25400">
            <a:noFill/>
          </a:ln>
          <a:effectLst/>
        </c:spPr>
        <c:marker>
          <c:symbol val="none"/>
        </c:marker>
      </c:pivotFmt>
      <c:pivotFmt>
        <c:idx val="502"/>
        <c:spPr>
          <a:solidFill>
            <a:schemeClr val="accent1"/>
          </a:solidFill>
          <a:ln w="25400">
            <a:noFill/>
          </a:ln>
          <a:effectLst/>
        </c:spPr>
        <c:marker>
          <c:symbol val="none"/>
        </c:marker>
      </c:pivotFmt>
      <c:pivotFmt>
        <c:idx val="503"/>
        <c:spPr>
          <a:solidFill>
            <a:schemeClr val="accent1"/>
          </a:solidFill>
          <a:ln w="25400">
            <a:noFill/>
          </a:ln>
          <a:effectLst/>
        </c:spPr>
        <c:marker>
          <c:symbol val="none"/>
        </c:marker>
      </c:pivotFmt>
      <c:pivotFmt>
        <c:idx val="504"/>
        <c:spPr>
          <a:solidFill>
            <a:schemeClr val="accent1"/>
          </a:solidFill>
          <a:ln w="25400">
            <a:noFill/>
          </a:ln>
          <a:effectLst/>
        </c:spPr>
        <c:marker>
          <c:symbol val="none"/>
        </c:marker>
      </c:pivotFmt>
      <c:pivotFmt>
        <c:idx val="505"/>
        <c:spPr>
          <a:solidFill>
            <a:schemeClr val="accent1"/>
          </a:solidFill>
          <a:ln w="25400">
            <a:noFill/>
          </a:ln>
          <a:effectLst/>
        </c:spPr>
        <c:marker>
          <c:symbol val="none"/>
        </c:marker>
      </c:pivotFmt>
      <c:pivotFmt>
        <c:idx val="506"/>
        <c:spPr>
          <a:solidFill>
            <a:schemeClr val="accent1"/>
          </a:solidFill>
          <a:ln w="25400">
            <a:noFill/>
          </a:ln>
          <a:effectLst/>
        </c:spPr>
        <c:marker>
          <c:symbol val="none"/>
        </c:marker>
      </c:pivotFmt>
      <c:pivotFmt>
        <c:idx val="507"/>
        <c:spPr>
          <a:solidFill>
            <a:schemeClr val="accent1"/>
          </a:solidFill>
          <a:ln w="25400">
            <a:noFill/>
          </a:ln>
          <a:effectLst/>
        </c:spPr>
        <c:marker>
          <c:symbol val="none"/>
        </c:marker>
      </c:pivotFmt>
      <c:pivotFmt>
        <c:idx val="508"/>
        <c:spPr>
          <a:solidFill>
            <a:schemeClr val="accent1"/>
          </a:solidFill>
          <a:ln w="25400">
            <a:noFill/>
          </a:ln>
          <a:effectLst/>
        </c:spPr>
        <c:marker>
          <c:symbol val="none"/>
        </c:marker>
      </c:pivotFmt>
      <c:pivotFmt>
        <c:idx val="509"/>
        <c:spPr>
          <a:solidFill>
            <a:schemeClr val="accent1"/>
          </a:solidFill>
          <a:ln w="25400">
            <a:noFill/>
          </a:ln>
          <a:effectLst/>
        </c:spPr>
        <c:marker>
          <c:symbol val="none"/>
        </c:marker>
      </c:pivotFmt>
      <c:pivotFmt>
        <c:idx val="510"/>
        <c:spPr>
          <a:solidFill>
            <a:schemeClr val="accent1"/>
          </a:solidFill>
          <a:ln w="25400">
            <a:noFill/>
          </a:ln>
          <a:effectLst/>
        </c:spPr>
        <c:marker>
          <c:symbol val="none"/>
        </c:marker>
      </c:pivotFmt>
      <c:pivotFmt>
        <c:idx val="511"/>
        <c:spPr>
          <a:solidFill>
            <a:schemeClr val="accent1"/>
          </a:solidFill>
          <a:ln w="25400">
            <a:noFill/>
          </a:ln>
          <a:effectLst/>
        </c:spPr>
        <c:marker>
          <c:symbol val="none"/>
        </c:marker>
      </c:pivotFmt>
      <c:pivotFmt>
        <c:idx val="512"/>
        <c:spPr>
          <a:solidFill>
            <a:schemeClr val="accent1"/>
          </a:solidFill>
          <a:ln w="25400">
            <a:noFill/>
          </a:ln>
          <a:effectLst/>
        </c:spPr>
        <c:marker>
          <c:symbol val="none"/>
        </c:marker>
      </c:pivotFmt>
      <c:pivotFmt>
        <c:idx val="513"/>
        <c:spPr>
          <a:solidFill>
            <a:schemeClr val="accent1"/>
          </a:solidFill>
          <a:ln w="25400">
            <a:noFill/>
          </a:ln>
          <a:effectLst/>
        </c:spPr>
        <c:marker>
          <c:symbol val="none"/>
        </c:marker>
      </c:pivotFmt>
      <c:pivotFmt>
        <c:idx val="514"/>
        <c:spPr>
          <a:solidFill>
            <a:schemeClr val="accent1"/>
          </a:solidFill>
          <a:ln w="25400">
            <a:noFill/>
          </a:ln>
          <a:effectLst/>
        </c:spPr>
        <c:marker>
          <c:symbol val="none"/>
        </c:marker>
      </c:pivotFmt>
      <c:pivotFmt>
        <c:idx val="515"/>
        <c:spPr>
          <a:solidFill>
            <a:schemeClr val="accent1"/>
          </a:solidFill>
          <a:ln w="25400">
            <a:noFill/>
          </a:ln>
          <a:effectLst/>
        </c:spPr>
        <c:marker>
          <c:symbol val="none"/>
        </c:marker>
      </c:pivotFmt>
      <c:pivotFmt>
        <c:idx val="516"/>
        <c:spPr>
          <a:solidFill>
            <a:schemeClr val="accent1"/>
          </a:solidFill>
          <a:ln w="25400">
            <a:noFill/>
          </a:ln>
          <a:effectLst/>
        </c:spPr>
        <c:marker>
          <c:symbol val="none"/>
        </c:marker>
      </c:pivotFmt>
      <c:pivotFmt>
        <c:idx val="517"/>
        <c:spPr>
          <a:solidFill>
            <a:schemeClr val="accent1"/>
          </a:solidFill>
          <a:ln w="25400">
            <a:noFill/>
          </a:ln>
          <a:effectLst/>
        </c:spPr>
        <c:marker>
          <c:symbol val="none"/>
        </c:marker>
      </c:pivotFmt>
      <c:pivotFmt>
        <c:idx val="518"/>
        <c:spPr>
          <a:solidFill>
            <a:schemeClr val="accent1"/>
          </a:solidFill>
          <a:ln w="25400">
            <a:noFill/>
          </a:ln>
          <a:effectLst/>
        </c:spPr>
        <c:marker>
          <c:symbol val="none"/>
        </c:marker>
      </c:pivotFmt>
      <c:pivotFmt>
        <c:idx val="519"/>
        <c:spPr>
          <a:solidFill>
            <a:schemeClr val="accent1"/>
          </a:solidFill>
          <a:ln w="25400">
            <a:noFill/>
          </a:ln>
          <a:effectLst/>
        </c:spPr>
        <c:marker>
          <c:symbol val="none"/>
        </c:marker>
      </c:pivotFmt>
      <c:pivotFmt>
        <c:idx val="520"/>
        <c:spPr>
          <a:solidFill>
            <a:schemeClr val="accent1"/>
          </a:solidFill>
          <a:ln w="25400">
            <a:noFill/>
          </a:ln>
          <a:effectLst/>
        </c:spPr>
        <c:marker>
          <c:symbol val="none"/>
        </c:marker>
      </c:pivotFmt>
      <c:pivotFmt>
        <c:idx val="521"/>
        <c:spPr>
          <a:solidFill>
            <a:schemeClr val="accent1"/>
          </a:solidFill>
          <a:ln w="25400">
            <a:noFill/>
          </a:ln>
          <a:effectLst/>
        </c:spPr>
        <c:marker>
          <c:symbol val="none"/>
        </c:marker>
      </c:pivotFmt>
      <c:pivotFmt>
        <c:idx val="522"/>
        <c:spPr>
          <a:solidFill>
            <a:schemeClr val="accent1"/>
          </a:solidFill>
          <a:ln w="25400">
            <a:noFill/>
          </a:ln>
          <a:effectLst/>
        </c:spPr>
        <c:marker>
          <c:symbol val="none"/>
        </c:marker>
      </c:pivotFmt>
      <c:pivotFmt>
        <c:idx val="523"/>
        <c:spPr>
          <a:solidFill>
            <a:schemeClr val="accent1"/>
          </a:solidFill>
          <a:ln w="25400">
            <a:noFill/>
          </a:ln>
          <a:effectLst/>
        </c:spPr>
        <c:marker>
          <c:symbol val="none"/>
        </c:marker>
      </c:pivotFmt>
      <c:pivotFmt>
        <c:idx val="524"/>
        <c:spPr>
          <a:solidFill>
            <a:schemeClr val="accent1"/>
          </a:solidFill>
          <a:ln w="25400">
            <a:noFill/>
          </a:ln>
          <a:effectLst/>
        </c:spPr>
        <c:marker>
          <c:symbol val="none"/>
        </c:marker>
      </c:pivotFmt>
      <c:pivotFmt>
        <c:idx val="525"/>
        <c:spPr>
          <a:solidFill>
            <a:schemeClr val="accent1"/>
          </a:solidFill>
          <a:ln w="25400">
            <a:noFill/>
          </a:ln>
          <a:effectLst/>
        </c:spPr>
        <c:marker>
          <c:symbol val="none"/>
        </c:marker>
      </c:pivotFmt>
      <c:pivotFmt>
        <c:idx val="526"/>
        <c:spPr>
          <a:solidFill>
            <a:schemeClr val="accent1"/>
          </a:solidFill>
          <a:ln w="25400">
            <a:noFill/>
          </a:ln>
          <a:effectLst/>
        </c:spPr>
        <c:marker>
          <c:symbol val="none"/>
        </c:marker>
      </c:pivotFmt>
      <c:pivotFmt>
        <c:idx val="527"/>
        <c:spPr>
          <a:solidFill>
            <a:schemeClr val="accent1"/>
          </a:solidFill>
          <a:ln w="25400">
            <a:noFill/>
          </a:ln>
          <a:effectLst/>
        </c:spPr>
        <c:marker>
          <c:symbol val="none"/>
        </c:marker>
      </c:pivotFmt>
      <c:pivotFmt>
        <c:idx val="528"/>
        <c:spPr>
          <a:solidFill>
            <a:schemeClr val="accent1"/>
          </a:solidFill>
          <a:ln w="25400">
            <a:noFill/>
          </a:ln>
          <a:effectLst/>
        </c:spPr>
        <c:marker>
          <c:symbol val="none"/>
        </c:marker>
      </c:pivotFmt>
      <c:pivotFmt>
        <c:idx val="529"/>
        <c:spPr>
          <a:solidFill>
            <a:schemeClr val="accent1"/>
          </a:solidFill>
          <a:ln w="25400">
            <a:noFill/>
          </a:ln>
          <a:effectLst/>
        </c:spPr>
        <c:marker>
          <c:symbol val="none"/>
        </c:marker>
      </c:pivotFmt>
      <c:pivotFmt>
        <c:idx val="530"/>
        <c:spPr>
          <a:solidFill>
            <a:schemeClr val="accent1"/>
          </a:solidFill>
          <a:ln w="25400">
            <a:noFill/>
          </a:ln>
          <a:effectLst/>
        </c:spPr>
        <c:marker>
          <c:symbol val="none"/>
        </c:marker>
      </c:pivotFmt>
      <c:pivotFmt>
        <c:idx val="531"/>
        <c:spPr>
          <a:solidFill>
            <a:schemeClr val="accent1"/>
          </a:solidFill>
          <a:ln w="25400">
            <a:noFill/>
          </a:ln>
          <a:effectLst/>
        </c:spPr>
        <c:marker>
          <c:symbol val="none"/>
        </c:marker>
      </c:pivotFmt>
      <c:pivotFmt>
        <c:idx val="532"/>
        <c:spPr>
          <a:solidFill>
            <a:schemeClr val="accent1"/>
          </a:solidFill>
          <a:ln w="25400">
            <a:noFill/>
          </a:ln>
          <a:effectLst/>
        </c:spPr>
        <c:marker>
          <c:symbol val="none"/>
        </c:marker>
      </c:pivotFmt>
      <c:pivotFmt>
        <c:idx val="533"/>
        <c:spPr>
          <a:solidFill>
            <a:schemeClr val="accent1"/>
          </a:solidFill>
          <a:ln w="25400">
            <a:noFill/>
          </a:ln>
          <a:effectLst/>
        </c:spPr>
        <c:marker>
          <c:symbol val="none"/>
        </c:marker>
      </c:pivotFmt>
      <c:pivotFmt>
        <c:idx val="534"/>
        <c:spPr>
          <a:solidFill>
            <a:schemeClr val="accent1"/>
          </a:solidFill>
          <a:ln w="25400">
            <a:noFill/>
          </a:ln>
          <a:effectLst/>
        </c:spPr>
        <c:marker>
          <c:symbol val="none"/>
        </c:marker>
      </c:pivotFmt>
      <c:pivotFmt>
        <c:idx val="535"/>
        <c:spPr>
          <a:solidFill>
            <a:schemeClr val="accent1"/>
          </a:solidFill>
          <a:ln w="25400">
            <a:noFill/>
          </a:ln>
          <a:effectLst/>
        </c:spPr>
        <c:marker>
          <c:symbol val="none"/>
        </c:marker>
      </c:pivotFmt>
      <c:pivotFmt>
        <c:idx val="536"/>
        <c:spPr>
          <a:solidFill>
            <a:schemeClr val="accent1"/>
          </a:solidFill>
          <a:ln w="25400">
            <a:noFill/>
          </a:ln>
          <a:effectLst/>
        </c:spPr>
        <c:marker>
          <c:symbol val="none"/>
        </c:marker>
      </c:pivotFmt>
      <c:pivotFmt>
        <c:idx val="537"/>
        <c:spPr>
          <a:solidFill>
            <a:schemeClr val="accent1"/>
          </a:solidFill>
          <a:ln w="25400">
            <a:noFill/>
          </a:ln>
          <a:effectLst/>
        </c:spPr>
        <c:marker>
          <c:symbol val="none"/>
        </c:marker>
      </c:pivotFmt>
      <c:pivotFmt>
        <c:idx val="538"/>
        <c:spPr>
          <a:solidFill>
            <a:schemeClr val="accent1"/>
          </a:solidFill>
          <a:ln w="25400">
            <a:noFill/>
          </a:ln>
          <a:effectLst/>
        </c:spPr>
        <c:marker>
          <c:symbol val="none"/>
        </c:marker>
      </c:pivotFmt>
      <c:pivotFmt>
        <c:idx val="539"/>
        <c:spPr>
          <a:solidFill>
            <a:schemeClr val="accent1"/>
          </a:solidFill>
          <a:ln w="25400">
            <a:noFill/>
          </a:ln>
          <a:effectLst/>
        </c:spPr>
        <c:marker>
          <c:symbol val="none"/>
        </c:marker>
      </c:pivotFmt>
      <c:pivotFmt>
        <c:idx val="540"/>
        <c:spPr>
          <a:solidFill>
            <a:schemeClr val="accent1"/>
          </a:solidFill>
          <a:ln w="25400">
            <a:noFill/>
          </a:ln>
          <a:effectLst/>
        </c:spPr>
        <c:marker>
          <c:symbol val="none"/>
        </c:marker>
      </c:pivotFmt>
      <c:pivotFmt>
        <c:idx val="541"/>
        <c:spPr>
          <a:solidFill>
            <a:schemeClr val="accent1"/>
          </a:solidFill>
          <a:ln w="25400">
            <a:noFill/>
          </a:ln>
          <a:effectLst/>
        </c:spPr>
        <c:marker>
          <c:symbol val="none"/>
        </c:marker>
      </c:pivotFmt>
      <c:pivotFmt>
        <c:idx val="542"/>
        <c:spPr>
          <a:solidFill>
            <a:schemeClr val="accent1"/>
          </a:solidFill>
          <a:ln w="25400">
            <a:noFill/>
          </a:ln>
          <a:effectLst/>
        </c:spPr>
        <c:marker>
          <c:symbol val="none"/>
        </c:marker>
      </c:pivotFmt>
      <c:pivotFmt>
        <c:idx val="543"/>
        <c:spPr>
          <a:solidFill>
            <a:schemeClr val="accent1"/>
          </a:solidFill>
          <a:ln w="25400">
            <a:noFill/>
          </a:ln>
          <a:effectLst/>
        </c:spPr>
        <c:marker>
          <c:symbol val="none"/>
        </c:marker>
      </c:pivotFmt>
      <c:pivotFmt>
        <c:idx val="544"/>
        <c:spPr>
          <a:solidFill>
            <a:schemeClr val="accent1"/>
          </a:solidFill>
          <a:ln w="25400">
            <a:noFill/>
          </a:ln>
          <a:effectLst/>
        </c:spPr>
        <c:marker>
          <c:symbol val="none"/>
        </c:marker>
      </c:pivotFmt>
      <c:pivotFmt>
        <c:idx val="545"/>
        <c:spPr>
          <a:solidFill>
            <a:schemeClr val="accent1"/>
          </a:solidFill>
          <a:ln w="25400">
            <a:noFill/>
          </a:ln>
          <a:effectLst/>
        </c:spPr>
        <c:marker>
          <c:symbol val="none"/>
        </c:marker>
      </c:pivotFmt>
      <c:pivotFmt>
        <c:idx val="546"/>
        <c:spPr>
          <a:solidFill>
            <a:schemeClr val="accent1"/>
          </a:solidFill>
          <a:ln w="25400">
            <a:noFill/>
          </a:ln>
          <a:effectLst/>
        </c:spPr>
        <c:marker>
          <c:symbol val="none"/>
        </c:marker>
      </c:pivotFmt>
      <c:pivotFmt>
        <c:idx val="547"/>
        <c:spPr>
          <a:solidFill>
            <a:schemeClr val="accent1"/>
          </a:solidFill>
          <a:ln w="25400">
            <a:noFill/>
          </a:ln>
          <a:effectLst/>
        </c:spPr>
        <c:marker>
          <c:symbol val="none"/>
        </c:marker>
      </c:pivotFmt>
      <c:pivotFmt>
        <c:idx val="548"/>
        <c:spPr>
          <a:solidFill>
            <a:schemeClr val="accent1"/>
          </a:solidFill>
          <a:ln w="25400">
            <a:noFill/>
          </a:ln>
          <a:effectLst/>
        </c:spPr>
        <c:marker>
          <c:symbol val="none"/>
        </c:marker>
      </c:pivotFmt>
      <c:pivotFmt>
        <c:idx val="549"/>
        <c:spPr>
          <a:solidFill>
            <a:schemeClr val="accent1"/>
          </a:solidFill>
          <a:ln w="25400">
            <a:noFill/>
          </a:ln>
          <a:effectLst/>
        </c:spPr>
        <c:marker>
          <c:symbol val="none"/>
        </c:marker>
      </c:pivotFmt>
      <c:pivotFmt>
        <c:idx val="550"/>
        <c:spPr>
          <a:solidFill>
            <a:schemeClr val="accent1"/>
          </a:solidFill>
          <a:ln w="25400">
            <a:noFill/>
          </a:ln>
          <a:effectLst/>
        </c:spPr>
        <c:marker>
          <c:symbol val="none"/>
        </c:marker>
      </c:pivotFmt>
      <c:pivotFmt>
        <c:idx val="551"/>
        <c:spPr>
          <a:solidFill>
            <a:schemeClr val="accent1"/>
          </a:solidFill>
          <a:ln w="25400">
            <a:noFill/>
          </a:ln>
          <a:effectLst/>
        </c:spPr>
        <c:marker>
          <c:symbol val="none"/>
        </c:marker>
      </c:pivotFmt>
      <c:pivotFmt>
        <c:idx val="552"/>
        <c:spPr>
          <a:solidFill>
            <a:schemeClr val="accent1"/>
          </a:solidFill>
          <a:ln w="25400">
            <a:noFill/>
          </a:ln>
          <a:effectLst/>
        </c:spPr>
        <c:marker>
          <c:symbol val="none"/>
        </c:marker>
      </c:pivotFmt>
      <c:pivotFmt>
        <c:idx val="553"/>
        <c:spPr>
          <a:solidFill>
            <a:schemeClr val="accent1"/>
          </a:solidFill>
          <a:ln w="25400">
            <a:noFill/>
          </a:ln>
          <a:effectLst/>
        </c:spPr>
        <c:marker>
          <c:symbol val="none"/>
        </c:marker>
      </c:pivotFmt>
      <c:pivotFmt>
        <c:idx val="554"/>
        <c:spPr>
          <a:solidFill>
            <a:schemeClr val="accent1"/>
          </a:solidFill>
          <a:ln w="25400">
            <a:noFill/>
          </a:ln>
          <a:effectLst/>
        </c:spPr>
        <c:marker>
          <c:symbol val="none"/>
        </c:marker>
      </c:pivotFmt>
      <c:pivotFmt>
        <c:idx val="555"/>
        <c:spPr>
          <a:solidFill>
            <a:schemeClr val="accent1"/>
          </a:solidFill>
          <a:ln w="25400">
            <a:noFill/>
          </a:ln>
          <a:effectLst/>
        </c:spPr>
        <c:marker>
          <c:symbol val="none"/>
        </c:marker>
      </c:pivotFmt>
      <c:pivotFmt>
        <c:idx val="556"/>
        <c:spPr>
          <a:solidFill>
            <a:schemeClr val="accent1"/>
          </a:solidFill>
          <a:ln w="25400">
            <a:noFill/>
          </a:ln>
          <a:effectLst/>
        </c:spPr>
        <c:marker>
          <c:symbol val="none"/>
        </c:marker>
      </c:pivotFmt>
      <c:pivotFmt>
        <c:idx val="557"/>
        <c:spPr>
          <a:solidFill>
            <a:schemeClr val="accent1"/>
          </a:solidFill>
          <a:ln w="25400">
            <a:noFill/>
          </a:ln>
          <a:effectLst/>
        </c:spPr>
        <c:marker>
          <c:symbol val="none"/>
        </c:marker>
      </c:pivotFmt>
      <c:pivotFmt>
        <c:idx val="558"/>
        <c:spPr>
          <a:solidFill>
            <a:schemeClr val="accent1"/>
          </a:solidFill>
          <a:ln w="25400">
            <a:noFill/>
          </a:ln>
          <a:effectLst/>
        </c:spPr>
        <c:marker>
          <c:symbol val="none"/>
        </c:marker>
      </c:pivotFmt>
      <c:pivotFmt>
        <c:idx val="559"/>
        <c:spPr>
          <a:solidFill>
            <a:schemeClr val="accent1"/>
          </a:solidFill>
          <a:ln w="25400">
            <a:noFill/>
          </a:ln>
          <a:effectLst/>
        </c:spPr>
        <c:marker>
          <c:symbol val="none"/>
        </c:marker>
      </c:pivotFmt>
      <c:pivotFmt>
        <c:idx val="560"/>
        <c:spPr>
          <a:solidFill>
            <a:schemeClr val="accent1"/>
          </a:solidFill>
          <a:ln w="25400">
            <a:noFill/>
          </a:ln>
          <a:effectLst/>
        </c:spPr>
        <c:marker>
          <c:symbol val="none"/>
        </c:marker>
      </c:pivotFmt>
      <c:pivotFmt>
        <c:idx val="561"/>
        <c:spPr>
          <a:solidFill>
            <a:schemeClr val="accent1"/>
          </a:solidFill>
          <a:ln w="25400">
            <a:noFill/>
          </a:ln>
          <a:effectLst/>
        </c:spPr>
        <c:marker>
          <c:symbol val="none"/>
        </c:marker>
      </c:pivotFmt>
      <c:pivotFmt>
        <c:idx val="562"/>
        <c:spPr>
          <a:solidFill>
            <a:schemeClr val="accent1"/>
          </a:solidFill>
          <a:ln w="25400">
            <a:noFill/>
          </a:ln>
          <a:effectLst/>
        </c:spPr>
        <c:marker>
          <c:symbol val="none"/>
        </c:marker>
      </c:pivotFmt>
      <c:pivotFmt>
        <c:idx val="563"/>
        <c:spPr>
          <a:solidFill>
            <a:schemeClr val="accent1"/>
          </a:solidFill>
          <a:ln w="25400">
            <a:noFill/>
          </a:ln>
          <a:effectLst/>
        </c:spPr>
        <c:marker>
          <c:symbol val="none"/>
        </c:marker>
      </c:pivotFmt>
      <c:pivotFmt>
        <c:idx val="564"/>
        <c:spPr>
          <a:solidFill>
            <a:schemeClr val="accent1"/>
          </a:solidFill>
          <a:ln w="25400">
            <a:noFill/>
          </a:ln>
          <a:effectLst/>
        </c:spPr>
        <c:marker>
          <c:symbol val="none"/>
        </c:marker>
      </c:pivotFmt>
      <c:pivotFmt>
        <c:idx val="565"/>
        <c:spPr>
          <a:solidFill>
            <a:schemeClr val="accent1"/>
          </a:solidFill>
          <a:ln w="25400">
            <a:noFill/>
          </a:ln>
          <a:effectLst/>
        </c:spPr>
        <c:marker>
          <c:symbol val="none"/>
        </c:marker>
      </c:pivotFmt>
      <c:pivotFmt>
        <c:idx val="566"/>
        <c:spPr>
          <a:solidFill>
            <a:schemeClr val="accent1"/>
          </a:solidFill>
          <a:ln w="25400">
            <a:noFill/>
          </a:ln>
          <a:effectLst/>
        </c:spPr>
        <c:marker>
          <c:symbol val="none"/>
        </c:marker>
      </c:pivotFmt>
      <c:pivotFmt>
        <c:idx val="567"/>
        <c:spPr>
          <a:solidFill>
            <a:schemeClr val="accent1"/>
          </a:solidFill>
          <a:ln w="25400">
            <a:noFill/>
          </a:ln>
          <a:effectLst/>
        </c:spPr>
        <c:marker>
          <c:symbol val="none"/>
        </c:marker>
      </c:pivotFmt>
      <c:pivotFmt>
        <c:idx val="568"/>
        <c:spPr>
          <a:solidFill>
            <a:schemeClr val="accent1"/>
          </a:solidFill>
          <a:ln w="25400">
            <a:noFill/>
          </a:ln>
          <a:effectLst/>
        </c:spPr>
        <c:marker>
          <c:symbol val="none"/>
        </c:marker>
      </c:pivotFmt>
      <c:pivotFmt>
        <c:idx val="569"/>
        <c:spPr>
          <a:solidFill>
            <a:schemeClr val="accent1"/>
          </a:solidFill>
          <a:ln w="25400">
            <a:noFill/>
          </a:ln>
          <a:effectLst/>
        </c:spPr>
        <c:marker>
          <c:symbol val="none"/>
        </c:marker>
      </c:pivotFmt>
      <c:pivotFmt>
        <c:idx val="570"/>
        <c:spPr>
          <a:solidFill>
            <a:schemeClr val="accent1"/>
          </a:solidFill>
          <a:ln w="25400">
            <a:noFill/>
          </a:ln>
          <a:effectLst/>
        </c:spPr>
        <c:marker>
          <c:symbol val="none"/>
        </c:marker>
      </c:pivotFmt>
      <c:pivotFmt>
        <c:idx val="571"/>
        <c:spPr>
          <a:solidFill>
            <a:schemeClr val="accent1"/>
          </a:solidFill>
          <a:ln w="25400">
            <a:noFill/>
          </a:ln>
          <a:effectLst/>
        </c:spPr>
        <c:marker>
          <c:symbol val="none"/>
        </c:marker>
      </c:pivotFmt>
      <c:pivotFmt>
        <c:idx val="572"/>
        <c:spPr>
          <a:solidFill>
            <a:schemeClr val="accent1"/>
          </a:solidFill>
          <a:ln w="25400">
            <a:noFill/>
          </a:ln>
          <a:effectLst/>
        </c:spPr>
        <c:marker>
          <c:symbol val="none"/>
        </c:marker>
      </c:pivotFmt>
      <c:pivotFmt>
        <c:idx val="573"/>
        <c:spPr>
          <a:solidFill>
            <a:schemeClr val="accent1"/>
          </a:solidFill>
          <a:ln w="25400">
            <a:noFill/>
          </a:ln>
          <a:effectLst/>
        </c:spPr>
        <c:marker>
          <c:symbol val="none"/>
        </c:marker>
      </c:pivotFmt>
      <c:pivotFmt>
        <c:idx val="574"/>
        <c:spPr>
          <a:solidFill>
            <a:schemeClr val="accent1"/>
          </a:solidFill>
          <a:ln w="25400">
            <a:noFill/>
          </a:ln>
          <a:effectLst/>
        </c:spPr>
        <c:marker>
          <c:symbol val="none"/>
        </c:marker>
      </c:pivotFmt>
      <c:pivotFmt>
        <c:idx val="575"/>
        <c:spPr>
          <a:solidFill>
            <a:schemeClr val="accent1"/>
          </a:solidFill>
          <a:ln w="25400">
            <a:noFill/>
          </a:ln>
          <a:effectLst/>
        </c:spPr>
        <c:marker>
          <c:symbol val="none"/>
        </c:marker>
      </c:pivotFmt>
      <c:pivotFmt>
        <c:idx val="576"/>
        <c:spPr>
          <a:solidFill>
            <a:schemeClr val="accent1"/>
          </a:solidFill>
          <a:ln w="25400">
            <a:noFill/>
          </a:ln>
          <a:effectLst/>
        </c:spPr>
        <c:marker>
          <c:symbol val="none"/>
        </c:marker>
      </c:pivotFmt>
      <c:pivotFmt>
        <c:idx val="577"/>
        <c:spPr>
          <a:solidFill>
            <a:schemeClr val="accent1"/>
          </a:solidFill>
          <a:ln w="25400">
            <a:noFill/>
          </a:ln>
          <a:effectLst/>
        </c:spPr>
        <c:marker>
          <c:symbol val="none"/>
        </c:marker>
      </c:pivotFmt>
      <c:pivotFmt>
        <c:idx val="578"/>
        <c:spPr>
          <a:solidFill>
            <a:schemeClr val="accent1"/>
          </a:solidFill>
          <a:ln w="25400">
            <a:noFill/>
          </a:ln>
          <a:effectLst/>
        </c:spPr>
        <c:marker>
          <c:symbol val="none"/>
        </c:marker>
      </c:pivotFmt>
      <c:pivotFmt>
        <c:idx val="579"/>
        <c:spPr>
          <a:solidFill>
            <a:schemeClr val="accent1"/>
          </a:solidFill>
          <a:ln w="25400">
            <a:noFill/>
          </a:ln>
          <a:effectLst/>
        </c:spPr>
        <c:marker>
          <c:symbol val="none"/>
        </c:marker>
      </c:pivotFmt>
      <c:pivotFmt>
        <c:idx val="580"/>
        <c:spPr>
          <a:solidFill>
            <a:schemeClr val="accent1"/>
          </a:solidFill>
          <a:ln w="25400">
            <a:noFill/>
          </a:ln>
          <a:effectLst/>
        </c:spPr>
        <c:marker>
          <c:symbol val="none"/>
        </c:marker>
      </c:pivotFmt>
      <c:pivotFmt>
        <c:idx val="581"/>
        <c:spPr>
          <a:solidFill>
            <a:schemeClr val="accent1"/>
          </a:solidFill>
          <a:ln w="25400">
            <a:noFill/>
          </a:ln>
          <a:effectLst/>
        </c:spPr>
        <c:marker>
          <c:symbol val="none"/>
        </c:marker>
      </c:pivotFmt>
      <c:pivotFmt>
        <c:idx val="582"/>
        <c:spPr>
          <a:solidFill>
            <a:schemeClr val="accent1"/>
          </a:solidFill>
          <a:ln w="25400">
            <a:noFill/>
          </a:ln>
          <a:effectLst/>
        </c:spPr>
        <c:marker>
          <c:symbol val="none"/>
        </c:marker>
      </c:pivotFmt>
      <c:pivotFmt>
        <c:idx val="583"/>
        <c:spPr>
          <a:solidFill>
            <a:schemeClr val="accent1"/>
          </a:solidFill>
          <a:ln w="25400">
            <a:noFill/>
          </a:ln>
          <a:effectLst/>
        </c:spPr>
        <c:marker>
          <c:symbol val="none"/>
        </c:marker>
      </c:pivotFmt>
      <c:pivotFmt>
        <c:idx val="584"/>
        <c:spPr>
          <a:solidFill>
            <a:schemeClr val="accent1"/>
          </a:solidFill>
          <a:ln w="25400">
            <a:noFill/>
          </a:ln>
          <a:effectLst/>
        </c:spPr>
        <c:marker>
          <c:symbol val="none"/>
        </c:marker>
      </c:pivotFmt>
      <c:pivotFmt>
        <c:idx val="585"/>
        <c:spPr>
          <a:solidFill>
            <a:schemeClr val="accent1"/>
          </a:solidFill>
          <a:ln w="25400">
            <a:noFill/>
          </a:ln>
          <a:effectLst/>
        </c:spPr>
        <c:marker>
          <c:symbol val="none"/>
        </c:marker>
      </c:pivotFmt>
      <c:pivotFmt>
        <c:idx val="586"/>
        <c:spPr>
          <a:solidFill>
            <a:schemeClr val="accent1"/>
          </a:solidFill>
          <a:ln w="25400">
            <a:noFill/>
          </a:ln>
          <a:effectLst/>
        </c:spPr>
        <c:marker>
          <c:symbol val="none"/>
        </c:marker>
      </c:pivotFmt>
      <c:pivotFmt>
        <c:idx val="587"/>
        <c:spPr>
          <a:solidFill>
            <a:schemeClr val="accent1"/>
          </a:solidFill>
          <a:ln w="25400">
            <a:noFill/>
          </a:ln>
          <a:effectLst/>
        </c:spPr>
        <c:marker>
          <c:symbol val="none"/>
        </c:marker>
      </c:pivotFmt>
      <c:pivotFmt>
        <c:idx val="588"/>
        <c:spPr>
          <a:solidFill>
            <a:schemeClr val="accent1"/>
          </a:solidFill>
          <a:ln w="25400">
            <a:noFill/>
          </a:ln>
          <a:effectLst/>
        </c:spPr>
        <c:marker>
          <c:symbol val="none"/>
        </c:marker>
      </c:pivotFmt>
      <c:pivotFmt>
        <c:idx val="589"/>
        <c:spPr>
          <a:solidFill>
            <a:schemeClr val="accent1"/>
          </a:solidFill>
          <a:ln w="25400">
            <a:noFill/>
          </a:ln>
          <a:effectLst/>
        </c:spPr>
        <c:marker>
          <c:symbol val="none"/>
        </c:marker>
      </c:pivotFmt>
      <c:pivotFmt>
        <c:idx val="590"/>
        <c:spPr>
          <a:solidFill>
            <a:schemeClr val="accent1"/>
          </a:solidFill>
          <a:ln w="25400">
            <a:noFill/>
          </a:ln>
          <a:effectLst/>
        </c:spPr>
        <c:marker>
          <c:symbol val="none"/>
        </c:marker>
      </c:pivotFmt>
      <c:pivotFmt>
        <c:idx val="591"/>
        <c:spPr>
          <a:solidFill>
            <a:schemeClr val="accent1"/>
          </a:solidFill>
          <a:ln>
            <a:noFill/>
          </a:ln>
          <a:effectLst/>
        </c:spPr>
        <c:marker>
          <c:symbol val="none"/>
        </c:marker>
      </c:pivotFmt>
      <c:pivotFmt>
        <c:idx val="592"/>
        <c:spPr>
          <a:solidFill>
            <a:schemeClr val="accent1"/>
          </a:solidFill>
          <a:ln>
            <a:noFill/>
          </a:ln>
          <a:effectLst/>
        </c:spPr>
        <c:marker>
          <c:symbol val="none"/>
        </c:marker>
      </c:pivotFmt>
      <c:pivotFmt>
        <c:idx val="593"/>
        <c:spPr>
          <a:solidFill>
            <a:schemeClr val="accent1"/>
          </a:solidFill>
          <a:ln>
            <a:noFill/>
          </a:ln>
          <a:effectLst/>
        </c:spPr>
        <c:marker>
          <c:symbol val="none"/>
        </c:marker>
      </c:pivotFmt>
      <c:pivotFmt>
        <c:idx val="594"/>
        <c:spPr>
          <a:solidFill>
            <a:schemeClr val="accent1"/>
          </a:solidFill>
          <a:ln>
            <a:noFill/>
          </a:ln>
          <a:effectLst/>
        </c:spPr>
        <c:marker>
          <c:symbol val="none"/>
        </c:marker>
      </c:pivotFmt>
      <c:pivotFmt>
        <c:idx val="595"/>
        <c:spPr>
          <a:solidFill>
            <a:schemeClr val="accent1"/>
          </a:solidFill>
          <a:ln>
            <a:noFill/>
          </a:ln>
          <a:effectLst/>
        </c:spPr>
        <c:marker>
          <c:symbol val="none"/>
        </c:marker>
      </c:pivotFmt>
      <c:pivotFmt>
        <c:idx val="596"/>
        <c:spPr>
          <a:solidFill>
            <a:schemeClr val="accent1"/>
          </a:solidFill>
          <a:ln>
            <a:noFill/>
          </a:ln>
          <a:effectLst/>
        </c:spPr>
        <c:marker>
          <c:symbol val="none"/>
        </c:marker>
      </c:pivotFmt>
      <c:pivotFmt>
        <c:idx val="597"/>
        <c:spPr>
          <a:solidFill>
            <a:schemeClr val="accent1"/>
          </a:solidFill>
          <a:ln>
            <a:noFill/>
          </a:ln>
          <a:effectLst/>
        </c:spPr>
        <c:marker>
          <c:symbol val="none"/>
        </c:marker>
      </c:pivotFmt>
      <c:pivotFmt>
        <c:idx val="598"/>
        <c:spPr>
          <a:solidFill>
            <a:schemeClr val="accent1"/>
          </a:solidFill>
          <a:ln>
            <a:noFill/>
          </a:ln>
          <a:effectLst/>
        </c:spPr>
        <c:marker>
          <c:symbol val="none"/>
        </c:marker>
      </c:pivotFmt>
      <c:pivotFmt>
        <c:idx val="599"/>
        <c:spPr>
          <a:solidFill>
            <a:schemeClr val="accent1"/>
          </a:solidFill>
          <a:ln>
            <a:noFill/>
          </a:ln>
          <a:effectLst/>
        </c:spPr>
        <c:marker>
          <c:symbol val="none"/>
        </c:marker>
      </c:pivotFmt>
      <c:pivotFmt>
        <c:idx val="600"/>
        <c:spPr>
          <a:solidFill>
            <a:schemeClr val="accent1"/>
          </a:solidFill>
          <a:ln>
            <a:noFill/>
          </a:ln>
          <a:effectLst/>
        </c:spPr>
        <c:marker>
          <c:symbol val="none"/>
        </c:marker>
      </c:pivotFmt>
      <c:pivotFmt>
        <c:idx val="601"/>
        <c:spPr>
          <a:solidFill>
            <a:schemeClr val="accent1"/>
          </a:solidFill>
          <a:ln>
            <a:noFill/>
          </a:ln>
          <a:effectLst/>
        </c:spPr>
        <c:marker>
          <c:symbol val="none"/>
        </c:marker>
      </c:pivotFmt>
      <c:pivotFmt>
        <c:idx val="602"/>
        <c:spPr>
          <a:solidFill>
            <a:schemeClr val="accent1"/>
          </a:solidFill>
          <a:ln>
            <a:noFill/>
          </a:ln>
          <a:effectLst/>
        </c:spPr>
        <c:marker>
          <c:symbol val="none"/>
        </c:marker>
      </c:pivotFmt>
      <c:pivotFmt>
        <c:idx val="603"/>
        <c:spPr>
          <a:solidFill>
            <a:schemeClr val="accent1"/>
          </a:solidFill>
          <a:ln>
            <a:noFill/>
          </a:ln>
          <a:effectLst/>
        </c:spPr>
        <c:marker>
          <c:symbol val="none"/>
        </c:marker>
      </c:pivotFmt>
      <c:pivotFmt>
        <c:idx val="604"/>
        <c:spPr>
          <a:solidFill>
            <a:schemeClr val="accent1"/>
          </a:solidFill>
          <a:ln>
            <a:noFill/>
          </a:ln>
          <a:effectLst/>
        </c:spPr>
        <c:marker>
          <c:symbol val="none"/>
        </c:marker>
      </c:pivotFmt>
      <c:pivotFmt>
        <c:idx val="605"/>
        <c:spPr>
          <a:solidFill>
            <a:schemeClr val="accent1"/>
          </a:solidFill>
          <a:ln>
            <a:noFill/>
          </a:ln>
          <a:effectLst/>
        </c:spPr>
        <c:marker>
          <c:symbol val="none"/>
        </c:marker>
      </c:pivotFmt>
      <c:pivotFmt>
        <c:idx val="606"/>
        <c:spPr>
          <a:solidFill>
            <a:schemeClr val="accent1"/>
          </a:solidFill>
          <a:ln>
            <a:noFill/>
          </a:ln>
          <a:effectLst/>
        </c:spPr>
        <c:marker>
          <c:symbol val="none"/>
        </c:marker>
      </c:pivotFmt>
      <c:pivotFmt>
        <c:idx val="607"/>
        <c:spPr>
          <a:solidFill>
            <a:schemeClr val="accent1"/>
          </a:solidFill>
          <a:ln>
            <a:noFill/>
          </a:ln>
          <a:effectLst/>
        </c:spPr>
        <c:marker>
          <c:symbol val="none"/>
        </c:marker>
      </c:pivotFmt>
      <c:pivotFmt>
        <c:idx val="608"/>
        <c:spPr>
          <a:solidFill>
            <a:schemeClr val="accent1"/>
          </a:solidFill>
          <a:ln>
            <a:noFill/>
          </a:ln>
          <a:effectLst/>
        </c:spPr>
        <c:marker>
          <c:symbol val="none"/>
        </c:marker>
      </c:pivotFmt>
      <c:pivotFmt>
        <c:idx val="609"/>
        <c:spPr>
          <a:solidFill>
            <a:schemeClr val="accent1"/>
          </a:solidFill>
          <a:ln>
            <a:noFill/>
          </a:ln>
          <a:effectLst/>
        </c:spPr>
        <c:marker>
          <c:symbol val="none"/>
        </c:marker>
      </c:pivotFmt>
      <c:pivotFmt>
        <c:idx val="610"/>
        <c:spPr>
          <a:solidFill>
            <a:schemeClr val="accent1"/>
          </a:solidFill>
          <a:ln>
            <a:noFill/>
          </a:ln>
          <a:effectLst/>
        </c:spPr>
        <c:marker>
          <c:symbol val="none"/>
        </c:marker>
      </c:pivotFmt>
      <c:pivotFmt>
        <c:idx val="611"/>
        <c:spPr>
          <a:solidFill>
            <a:schemeClr val="accent1"/>
          </a:solidFill>
          <a:ln>
            <a:noFill/>
          </a:ln>
          <a:effectLst/>
        </c:spPr>
        <c:marker>
          <c:symbol val="none"/>
        </c:marker>
      </c:pivotFmt>
      <c:pivotFmt>
        <c:idx val="612"/>
        <c:spPr>
          <a:solidFill>
            <a:schemeClr val="accent1"/>
          </a:solidFill>
          <a:ln>
            <a:noFill/>
          </a:ln>
          <a:effectLst/>
        </c:spPr>
        <c:marker>
          <c:symbol val="none"/>
        </c:marker>
      </c:pivotFmt>
      <c:pivotFmt>
        <c:idx val="613"/>
        <c:spPr>
          <a:solidFill>
            <a:schemeClr val="accent1"/>
          </a:solidFill>
          <a:ln>
            <a:noFill/>
          </a:ln>
          <a:effectLst/>
        </c:spPr>
        <c:marker>
          <c:symbol val="none"/>
        </c:marker>
      </c:pivotFmt>
      <c:pivotFmt>
        <c:idx val="614"/>
        <c:spPr>
          <a:solidFill>
            <a:schemeClr val="accent1"/>
          </a:solidFill>
          <a:ln>
            <a:noFill/>
          </a:ln>
          <a:effectLst/>
        </c:spPr>
        <c:marker>
          <c:symbol val="none"/>
        </c:marker>
      </c:pivotFmt>
      <c:pivotFmt>
        <c:idx val="615"/>
        <c:spPr>
          <a:solidFill>
            <a:schemeClr val="accent1"/>
          </a:solidFill>
          <a:ln>
            <a:noFill/>
          </a:ln>
          <a:effectLst/>
        </c:spPr>
        <c:marker>
          <c:symbol val="none"/>
        </c:marker>
      </c:pivotFmt>
      <c:pivotFmt>
        <c:idx val="616"/>
        <c:spPr>
          <a:solidFill>
            <a:schemeClr val="accent1"/>
          </a:solidFill>
          <a:ln>
            <a:noFill/>
          </a:ln>
          <a:effectLst/>
        </c:spPr>
        <c:marker>
          <c:symbol val="none"/>
        </c:marker>
      </c:pivotFmt>
      <c:pivotFmt>
        <c:idx val="617"/>
        <c:spPr>
          <a:solidFill>
            <a:schemeClr val="accent1"/>
          </a:solidFill>
          <a:ln>
            <a:noFill/>
          </a:ln>
          <a:effectLst/>
        </c:spPr>
        <c:marker>
          <c:symbol val="none"/>
        </c:marker>
      </c:pivotFmt>
      <c:pivotFmt>
        <c:idx val="618"/>
        <c:spPr>
          <a:solidFill>
            <a:schemeClr val="accent1"/>
          </a:solidFill>
          <a:ln>
            <a:noFill/>
          </a:ln>
          <a:effectLst/>
        </c:spPr>
        <c:marker>
          <c:symbol val="none"/>
        </c:marker>
      </c:pivotFmt>
      <c:pivotFmt>
        <c:idx val="619"/>
        <c:spPr>
          <a:solidFill>
            <a:schemeClr val="accent1"/>
          </a:solidFill>
          <a:ln>
            <a:noFill/>
          </a:ln>
          <a:effectLst/>
        </c:spPr>
        <c:marker>
          <c:symbol val="none"/>
        </c:marker>
      </c:pivotFmt>
      <c:pivotFmt>
        <c:idx val="620"/>
        <c:spPr>
          <a:solidFill>
            <a:schemeClr val="accent1"/>
          </a:solidFill>
          <a:ln>
            <a:noFill/>
          </a:ln>
          <a:effectLst/>
        </c:spPr>
        <c:marker>
          <c:symbol val="none"/>
        </c:marker>
      </c:pivotFmt>
      <c:pivotFmt>
        <c:idx val="621"/>
        <c:spPr>
          <a:solidFill>
            <a:schemeClr val="accent1"/>
          </a:solidFill>
          <a:ln>
            <a:noFill/>
          </a:ln>
          <a:effectLst/>
        </c:spPr>
        <c:marker>
          <c:symbol val="none"/>
        </c:marker>
      </c:pivotFmt>
      <c:pivotFmt>
        <c:idx val="622"/>
        <c:spPr>
          <a:solidFill>
            <a:schemeClr val="accent1"/>
          </a:solidFill>
          <a:ln>
            <a:noFill/>
          </a:ln>
          <a:effectLst/>
        </c:spPr>
        <c:marker>
          <c:symbol val="none"/>
        </c:marker>
      </c:pivotFmt>
      <c:pivotFmt>
        <c:idx val="623"/>
        <c:spPr>
          <a:solidFill>
            <a:schemeClr val="accent1"/>
          </a:solidFill>
          <a:ln>
            <a:noFill/>
          </a:ln>
          <a:effectLst/>
        </c:spPr>
        <c:marker>
          <c:symbol val="none"/>
        </c:marker>
      </c:pivotFmt>
      <c:pivotFmt>
        <c:idx val="624"/>
        <c:spPr>
          <a:solidFill>
            <a:schemeClr val="accent1"/>
          </a:solidFill>
          <a:ln>
            <a:noFill/>
          </a:ln>
          <a:effectLst/>
        </c:spPr>
        <c:marker>
          <c:symbol val="none"/>
        </c:marker>
      </c:pivotFmt>
      <c:pivotFmt>
        <c:idx val="625"/>
        <c:spPr>
          <a:solidFill>
            <a:schemeClr val="accent1"/>
          </a:solidFill>
          <a:ln>
            <a:noFill/>
          </a:ln>
          <a:effectLst/>
        </c:spPr>
        <c:marker>
          <c:symbol val="none"/>
        </c:marker>
      </c:pivotFmt>
      <c:pivotFmt>
        <c:idx val="626"/>
        <c:spPr>
          <a:solidFill>
            <a:schemeClr val="accent1"/>
          </a:solidFill>
          <a:ln>
            <a:noFill/>
          </a:ln>
          <a:effectLst/>
        </c:spPr>
        <c:marker>
          <c:symbol val="none"/>
        </c:marker>
      </c:pivotFmt>
      <c:pivotFmt>
        <c:idx val="627"/>
        <c:spPr>
          <a:solidFill>
            <a:schemeClr val="accent1"/>
          </a:solidFill>
          <a:ln>
            <a:noFill/>
          </a:ln>
          <a:effectLst/>
        </c:spPr>
        <c:marker>
          <c:symbol val="none"/>
        </c:marker>
      </c:pivotFmt>
      <c:pivotFmt>
        <c:idx val="628"/>
        <c:spPr>
          <a:solidFill>
            <a:schemeClr val="accent1"/>
          </a:solidFill>
          <a:ln>
            <a:noFill/>
          </a:ln>
          <a:effectLst/>
        </c:spPr>
        <c:marker>
          <c:symbol val="none"/>
        </c:marker>
      </c:pivotFmt>
      <c:pivotFmt>
        <c:idx val="629"/>
        <c:spPr>
          <a:solidFill>
            <a:schemeClr val="accent1"/>
          </a:solidFill>
          <a:ln>
            <a:noFill/>
          </a:ln>
          <a:effectLst/>
        </c:spPr>
        <c:marker>
          <c:symbol val="none"/>
        </c:marker>
      </c:pivotFmt>
      <c:pivotFmt>
        <c:idx val="630"/>
        <c:spPr>
          <a:solidFill>
            <a:schemeClr val="accent1"/>
          </a:solidFill>
          <a:ln>
            <a:noFill/>
          </a:ln>
          <a:effectLst/>
        </c:spPr>
        <c:marker>
          <c:symbol val="none"/>
        </c:marker>
      </c:pivotFmt>
      <c:pivotFmt>
        <c:idx val="631"/>
        <c:spPr>
          <a:solidFill>
            <a:schemeClr val="accent1"/>
          </a:solidFill>
          <a:ln>
            <a:noFill/>
          </a:ln>
          <a:effectLst/>
        </c:spPr>
        <c:marker>
          <c:symbol val="none"/>
        </c:marker>
      </c:pivotFmt>
      <c:pivotFmt>
        <c:idx val="632"/>
        <c:spPr>
          <a:solidFill>
            <a:schemeClr val="accent1"/>
          </a:solidFill>
          <a:ln>
            <a:noFill/>
          </a:ln>
          <a:effectLst/>
        </c:spPr>
        <c:marker>
          <c:symbol val="none"/>
        </c:marker>
      </c:pivotFmt>
      <c:pivotFmt>
        <c:idx val="633"/>
        <c:spPr>
          <a:solidFill>
            <a:schemeClr val="accent1"/>
          </a:solidFill>
          <a:ln>
            <a:noFill/>
          </a:ln>
          <a:effectLst/>
        </c:spPr>
        <c:marker>
          <c:symbol val="none"/>
        </c:marker>
      </c:pivotFmt>
      <c:pivotFmt>
        <c:idx val="634"/>
        <c:spPr>
          <a:solidFill>
            <a:schemeClr val="accent1"/>
          </a:solidFill>
          <a:ln>
            <a:noFill/>
          </a:ln>
          <a:effectLst/>
        </c:spPr>
        <c:marker>
          <c:symbol val="none"/>
        </c:marker>
      </c:pivotFmt>
      <c:pivotFmt>
        <c:idx val="635"/>
        <c:spPr>
          <a:solidFill>
            <a:schemeClr val="accent1"/>
          </a:solidFill>
          <a:ln>
            <a:noFill/>
          </a:ln>
          <a:effectLst/>
        </c:spPr>
        <c:marker>
          <c:symbol val="none"/>
        </c:marker>
      </c:pivotFmt>
      <c:pivotFmt>
        <c:idx val="636"/>
        <c:spPr>
          <a:solidFill>
            <a:schemeClr val="accent1"/>
          </a:solidFill>
          <a:ln>
            <a:noFill/>
          </a:ln>
          <a:effectLst/>
        </c:spPr>
        <c:marker>
          <c:symbol val="none"/>
        </c:marker>
      </c:pivotFmt>
      <c:pivotFmt>
        <c:idx val="637"/>
        <c:spPr>
          <a:solidFill>
            <a:schemeClr val="accent1"/>
          </a:solidFill>
          <a:ln>
            <a:noFill/>
          </a:ln>
          <a:effectLst/>
        </c:spPr>
        <c:marker>
          <c:symbol val="none"/>
        </c:marker>
      </c:pivotFmt>
      <c:pivotFmt>
        <c:idx val="638"/>
        <c:spPr>
          <a:solidFill>
            <a:schemeClr val="accent1"/>
          </a:solidFill>
          <a:ln>
            <a:noFill/>
          </a:ln>
          <a:effectLst/>
        </c:spPr>
        <c:marker>
          <c:symbol val="none"/>
        </c:marker>
      </c:pivotFmt>
      <c:pivotFmt>
        <c:idx val="639"/>
        <c:spPr>
          <a:solidFill>
            <a:schemeClr val="accent1"/>
          </a:solidFill>
          <a:ln>
            <a:noFill/>
          </a:ln>
          <a:effectLst/>
        </c:spPr>
        <c:marker>
          <c:symbol val="none"/>
        </c:marker>
      </c:pivotFmt>
      <c:pivotFmt>
        <c:idx val="640"/>
        <c:spPr>
          <a:solidFill>
            <a:schemeClr val="accent1"/>
          </a:solidFill>
          <a:ln>
            <a:noFill/>
          </a:ln>
          <a:effectLst/>
        </c:spPr>
        <c:marker>
          <c:symbol val="none"/>
        </c:marker>
      </c:pivotFmt>
      <c:pivotFmt>
        <c:idx val="641"/>
        <c:spPr>
          <a:solidFill>
            <a:schemeClr val="accent1"/>
          </a:solidFill>
          <a:ln>
            <a:noFill/>
          </a:ln>
          <a:effectLst/>
        </c:spPr>
        <c:marker>
          <c:symbol val="none"/>
        </c:marker>
      </c:pivotFmt>
      <c:pivotFmt>
        <c:idx val="642"/>
        <c:spPr>
          <a:solidFill>
            <a:schemeClr val="accent1"/>
          </a:solidFill>
          <a:ln>
            <a:noFill/>
          </a:ln>
          <a:effectLst/>
        </c:spPr>
        <c:marker>
          <c:symbol val="none"/>
        </c:marker>
      </c:pivotFmt>
      <c:pivotFmt>
        <c:idx val="643"/>
        <c:spPr>
          <a:solidFill>
            <a:schemeClr val="accent1"/>
          </a:solidFill>
          <a:ln>
            <a:noFill/>
          </a:ln>
          <a:effectLst/>
        </c:spPr>
        <c:marker>
          <c:symbol val="none"/>
        </c:marker>
      </c:pivotFmt>
      <c:pivotFmt>
        <c:idx val="644"/>
        <c:spPr>
          <a:solidFill>
            <a:schemeClr val="accent1"/>
          </a:solidFill>
          <a:ln>
            <a:noFill/>
          </a:ln>
          <a:effectLst/>
        </c:spPr>
        <c:marker>
          <c:symbol val="none"/>
        </c:marker>
      </c:pivotFmt>
      <c:pivotFmt>
        <c:idx val="645"/>
        <c:spPr>
          <a:solidFill>
            <a:schemeClr val="accent1"/>
          </a:solidFill>
          <a:ln>
            <a:noFill/>
          </a:ln>
          <a:effectLst/>
        </c:spPr>
        <c:marker>
          <c:symbol val="none"/>
        </c:marker>
      </c:pivotFmt>
      <c:pivotFmt>
        <c:idx val="646"/>
        <c:spPr>
          <a:solidFill>
            <a:schemeClr val="accent1"/>
          </a:solidFill>
          <a:ln>
            <a:noFill/>
          </a:ln>
          <a:effectLst/>
        </c:spPr>
        <c:marker>
          <c:symbol val="none"/>
        </c:marker>
      </c:pivotFmt>
      <c:pivotFmt>
        <c:idx val="647"/>
        <c:spPr>
          <a:solidFill>
            <a:schemeClr val="accent1"/>
          </a:solidFill>
          <a:ln>
            <a:noFill/>
          </a:ln>
          <a:effectLst/>
        </c:spPr>
        <c:marker>
          <c:symbol val="none"/>
        </c:marker>
      </c:pivotFmt>
      <c:pivotFmt>
        <c:idx val="648"/>
        <c:spPr>
          <a:solidFill>
            <a:schemeClr val="accent1"/>
          </a:solidFill>
          <a:ln>
            <a:noFill/>
          </a:ln>
          <a:effectLst/>
        </c:spPr>
        <c:marker>
          <c:symbol val="none"/>
        </c:marker>
      </c:pivotFmt>
      <c:pivotFmt>
        <c:idx val="649"/>
        <c:spPr>
          <a:solidFill>
            <a:schemeClr val="accent1"/>
          </a:solidFill>
          <a:ln>
            <a:noFill/>
          </a:ln>
          <a:effectLst/>
        </c:spPr>
        <c:marker>
          <c:symbol val="none"/>
        </c:marker>
      </c:pivotFmt>
      <c:pivotFmt>
        <c:idx val="650"/>
        <c:spPr>
          <a:solidFill>
            <a:schemeClr val="accent1"/>
          </a:solidFill>
          <a:ln>
            <a:noFill/>
          </a:ln>
          <a:effectLst/>
        </c:spPr>
        <c:marker>
          <c:symbol val="none"/>
        </c:marker>
      </c:pivotFmt>
      <c:pivotFmt>
        <c:idx val="651"/>
        <c:spPr>
          <a:solidFill>
            <a:schemeClr val="accent1"/>
          </a:solidFill>
          <a:ln>
            <a:noFill/>
          </a:ln>
          <a:effectLst/>
        </c:spPr>
        <c:marker>
          <c:symbol val="none"/>
        </c:marker>
      </c:pivotFmt>
      <c:pivotFmt>
        <c:idx val="652"/>
        <c:spPr>
          <a:solidFill>
            <a:schemeClr val="accent1"/>
          </a:solidFill>
          <a:ln>
            <a:noFill/>
          </a:ln>
          <a:effectLst/>
        </c:spPr>
        <c:marker>
          <c:symbol val="none"/>
        </c:marker>
      </c:pivotFmt>
      <c:pivotFmt>
        <c:idx val="653"/>
        <c:spPr>
          <a:solidFill>
            <a:schemeClr val="accent1"/>
          </a:solidFill>
          <a:ln>
            <a:noFill/>
          </a:ln>
          <a:effectLst/>
        </c:spPr>
        <c:marker>
          <c:symbol val="none"/>
        </c:marker>
      </c:pivotFmt>
      <c:pivotFmt>
        <c:idx val="654"/>
        <c:spPr>
          <a:solidFill>
            <a:schemeClr val="accent1"/>
          </a:solidFill>
          <a:ln>
            <a:noFill/>
          </a:ln>
          <a:effectLst/>
        </c:spPr>
        <c:marker>
          <c:symbol val="none"/>
        </c:marker>
      </c:pivotFmt>
      <c:pivotFmt>
        <c:idx val="655"/>
        <c:spPr>
          <a:solidFill>
            <a:schemeClr val="accent1"/>
          </a:solidFill>
          <a:ln>
            <a:noFill/>
          </a:ln>
          <a:effectLst/>
        </c:spPr>
        <c:marker>
          <c:symbol val="none"/>
        </c:marker>
      </c:pivotFmt>
      <c:pivotFmt>
        <c:idx val="656"/>
        <c:spPr>
          <a:solidFill>
            <a:schemeClr val="accent1"/>
          </a:solidFill>
          <a:ln>
            <a:noFill/>
          </a:ln>
          <a:effectLst/>
        </c:spPr>
        <c:marker>
          <c:symbol val="none"/>
        </c:marker>
      </c:pivotFmt>
      <c:pivotFmt>
        <c:idx val="657"/>
        <c:spPr>
          <a:solidFill>
            <a:schemeClr val="accent1"/>
          </a:solidFill>
          <a:ln>
            <a:noFill/>
          </a:ln>
          <a:effectLst/>
        </c:spPr>
        <c:marker>
          <c:symbol val="none"/>
        </c:marker>
      </c:pivotFmt>
      <c:pivotFmt>
        <c:idx val="658"/>
        <c:spPr>
          <a:solidFill>
            <a:schemeClr val="accent1"/>
          </a:solidFill>
          <a:ln>
            <a:noFill/>
          </a:ln>
          <a:effectLst/>
        </c:spPr>
        <c:marker>
          <c:symbol val="none"/>
        </c:marker>
      </c:pivotFmt>
      <c:pivotFmt>
        <c:idx val="659"/>
        <c:spPr>
          <a:solidFill>
            <a:schemeClr val="accent1"/>
          </a:solidFill>
          <a:ln>
            <a:noFill/>
          </a:ln>
          <a:effectLst/>
        </c:spPr>
        <c:marker>
          <c:symbol val="none"/>
        </c:marker>
      </c:pivotFmt>
      <c:pivotFmt>
        <c:idx val="660"/>
        <c:spPr>
          <a:solidFill>
            <a:schemeClr val="accent1"/>
          </a:solidFill>
          <a:ln>
            <a:noFill/>
          </a:ln>
          <a:effectLst/>
        </c:spPr>
        <c:marker>
          <c:symbol val="none"/>
        </c:marker>
      </c:pivotFmt>
      <c:pivotFmt>
        <c:idx val="661"/>
        <c:spPr>
          <a:solidFill>
            <a:schemeClr val="accent1"/>
          </a:solidFill>
          <a:ln>
            <a:noFill/>
          </a:ln>
          <a:effectLst/>
        </c:spPr>
        <c:marker>
          <c:symbol val="none"/>
        </c:marker>
      </c:pivotFmt>
      <c:pivotFmt>
        <c:idx val="662"/>
        <c:spPr>
          <a:solidFill>
            <a:schemeClr val="accent1"/>
          </a:solidFill>
          <a:ln>
            <a:noFill/>
          </a:ln>
          <a:effectLst/>
        </c:spPr>
        <c:marker>
          <c:symbol val="none"/>
        </c:marker>
      </c:pivotFmt>
      <c:pivotFmt>
        <c:idx val="663"/>
        <c:spPr>
          <a:solidFill>
            <a:schemeClr val="accent1"/>
          </a:solidFill>
          <a:ln>
            <a:noFill/>
          </a:ln>
          <a:effectLst/>
        </c:spPr>
        <c:marker>
          <c:symbol val="none"/>
        </c:marker>
      </c:pivotFmt>
      <c:pivotFmt>
        <c:idx val="664"/>
        <c:spPr>
          <a:solidFill>
            <a:schemeClr val="accent1"/>
          </a:solidFill>
          <a:ln>
            <a:noFill/>
          </a:ln>
          <a:effectLst/>
        </c:spPr>
        <c:marker>
          <c:symbol val="none"/>
        </c:marker>
      </c:pivotFmt>
      <c:pivotFmt>
        <c:idx val="665"/>
        <c:spPr>
          <a:solidFill>
            <a:schemeClr val="accent1"/>
          </a:solidFill>
          <a:ln>
            <a:noFill/>
          </a:ln>
          <a:effectLst/>
        </c:spPr>
        <c:marker>
          <c:symbol val="none"/>
        </c:marker>
      </c:pivotFmt>
      <c:pivotFmt>
        <c:idx val="666"/>
        <c:spPr>
          <a:solidFill>
            <a:schemeClr val="accent1"/>
          </a:solidFill>
          <a:ln>
            <a:noFill/>
          </a:ln>
          <a:effectLst/>
        </c:spPr>
        <c:marker>
          <c:symbol val="none"/>
        </c:marker>
      </c:pivotFmt>
      <c:pivotFmt>
        <c:idx val="667"/>
        <c:spPr>
          <a:solidFill>
            <a:schemeClr val="accent1"/>
          </a:solidFill>
          <a:ln>
            <a:noFill/>
          </a:ln>
          <a:effectLst/>
        </c:spPr>
        <c:marker>
          <c:symbol val="none"/>
        </c:marker>
      </c:pivotFmt>
      <c:pivotFmt>
        <c:idx val="668"/>
        <c:spPr>
          <a:solidFill>
            <a:schemeClr val="accent1"/>
          </a:solidFill>
          <a:ln>
            <a:noFill/>
          </a:ln>
          <a:effectLst/>
        </c:spPr>
        <c:marker>
          <c:symbol val="none"/>
        </c:marker>
      </c:pivotFmt>
      <c:pivotFmt>
        <c:idx val="669"/>
        <c:spPr>
          <a:solidFill>
            <a:schemeClr val="accent1"/>
          </a:solidFill>
          <a:ln>
            <a:noFill/>
          </a:ln>
          <a:effectLst/>
        </c:spPr>
        <c:marker>
          <c:symbol val="none"/>
        </c:marker>
      </c:pivotFmt>
      <c:pivotFmt>
        <c:idx val="670"/>
        <c:spPr>
          <a:solidFill>
            <a:schemeClr val="accent1"/>
          </a:solidFill>
          <a:ln>
            <a:noFill/>
          </a:ln>
          <a:effectLst/>
        </c:spPr>
        <c:marker>
          <c:symbol val="none"/>
        </c:marker>
      </c:pivotFmt>
      <c:pivotFmt>
        <c:idx val="671"/>
        <c:spPr>
          <a:solidFill>
            <a:schemeClr val="accent1"/>
          </a:solidFill>
          <a:ln>
            <a:noFill/>
          </a:ln>
          <a:effectLst/>
        </c:spPr>
        <c:marker>
          <c:symbol val="none"/>
        </c:marker>
      </c:pivotFmt>
      <c:pivotFmt>
        <c:idx val="672"/>
        <c:spPr>
          <a:solidFill>
            <a:schemeClr val="accent1"/>
          </a:solidFill>
          <a:ln>
            <a:noFill/>
          </a:ln>
          <a:effectLst/>
        </c:spPr>
        <c:marker>
          <c:symbol val="none"/>
        </c:marker>
      </c:pivotFmt>
      <c:pivotFmt>
        <c:idx val="673"/>
        <c:spPr>
          <a:solidFill>
            <a:schemeClr val="accent1"/>
          </a:solidFill>
          <a:ln>
            <a:noFill/>
          </a:ln>
          <a:effectLst/>
        </c:spPr>
        <c:marker>
          <c:symbol val="none"/>
        </c:marker>
      </c:pivotFmt>
      <c:pivotFmt>
        <c:idx val="674"/>
        <c:spPr>
          <a:solidFill>
            <a:schemeClr val="accent1"/>
          </a:solidFill>
          <a:ln>
            <a:noFill/>
          </a:ln>
          <a:effectLst/>
        </c:spPr>
        <c:marker>
          <c:symbol val="none"/>
        </c:marker>
      </c:pivotFmt>
      <c:pivotFmt>
        <c:idx val="675"/>
        <c:spPr>
          <a:solidFill>
            <a:schemeClr val="accent1"/>
          </a:solidFill>
          <a:ln>
            <a:noFill/>
          </a:ln>
          <a:effectLst/>
        </c:spPr>
        <c:marker>
          <c:symbol val="none"/>
        </c:marker>
      </c:pivotFmt>
      <c:pivotFmt>
        <c:idx val="676"/>
        <c:spPr>
          <a:solidFill>
            <a:schemeClr val="accent1"/>
          </a:solidFill>
          <a:ln>
            <a:noFill/>
          </a:ln>
          <a:effectLst/>
        </c:spPr>
        <c:marker>
          <c:symbol val="none"/>
        </c:marker>
      </c:pivotFmt>
      <c:pivotFmt>
        <c:idx val="677"/>
        <c:spPr>
          <a:solidFill>
            <a:schemeClr val="accent1"/>
          </a:solidFill>
          <a:ln>
            <a:noFill/>
          </a:ln>
          <a:effectLst/>
        </c:spPr>
        <c:marker>
          <c:symbol val="none"/>
        </c:marker>
      </c:pivotFmt>
      <c:pivotFmt>
        <c:idx val="678"/>
        <c:spPr>
          <a:solidFill>
            <a:schemeClr val="accent1"/>
          </a:solidFill>
          <a:ln>
            <a:noFill/>
          </a:ln>
          <a:effectLst/>
        </c:spPr>
        <c:marker>
          <c:symbol val="none"/>
        </c:marker>
      </c:pivotFmt>
      <c:pivotFmt>
        <c:idx val="679"/>
        <c:spPr>
          <a:solidFill>
            <a:schemeClr val="accent1"/>
          </a:solidFill>
          <a:ln>
            <a:noFill/>
          </a:ln>
          <a:effectLst/>
        </c:spPr>
        <c:marker>
          <c:symbol val="none"/>
        </c:marker>
      </c:pivotFmt>
      <c:pivotFmt>
        <c:idx val="680"/>
        <c:spPr>
          <a:solidFill>
            <a:schemeClr val="accent1"/>
          </a:solidFill>
          <a:ln>
            <a:noFill/>
          </a:ln>
          <a:effectLst/>
        </c:spPr>
        <c:marker>
          <c:symbol val="none"/>
        </c:marker>
      </c:pivotFmt>
      <c:pivotFmt>
        <c:idx val="681"/>
        <c:spPr>
          <a:solidFill>
            <a:schemeClr val="accent1"/>
          </a:solidFill>
          <a:ln>
            <a:noFill/>
          </a:ln>
          <a:effectLst/>
        </c:spPr>
        <c:marker>
          <c:symbol val="none"/>
        </c:marker>
      </c:pivotFmt>
      <c:pivotFmt>
        <c:idx val="682"/>
        <c:spPr>
          <a:solidFill>
            <a:schemeClr val="accent1"/>
          </a:solidFill>
          <a:ln>
            <a:noFill/>
          </a:ln>
          <a:effectLst/>
        </c:spPr>
        <c:marker>
          <c:symbol val="none"/>
        </c:marker>
      </c:pivotFmt>
      <c:pivotFmt>
        <c:idx val="683"/>
        <c:spPr>
          <a:solidFill>
            <a:schemeClr val="accent1"/>
          </a:solidFill>
          <a:ln>
            <a:noFill/>
          </a:ln>
          <a:effectLst/>
        </c:spPr>
        <c:marker>
          <c:symbol val="none"/>
        </c:marker>
      </c:pivotFmt>
      <c:pivotFmt>
        <c:idx val="684"/>
        <c:spPr>
          <a:solidFill>
            <a:schemeClr val="accent1"/>
          </a:solidFill>
          <a:ln>
            <a:noFill/>
          </a:ln>
          <a:effectLst/>
        </c:spPr>
        <c:marker>
          <c:symbol val="none"/>
        </c:marker>
      </c:pivotFmt>
      <c:pivotFmt>
        <c:idx val="685"/>
        <c:spPr>
          <a:solidFill>
            <a:schemeClr val="accent1"/>
          </a:solidFill>
          <a:ln>
            <a:noFill/>
          </a:ln>
          <a:effectLst/>
        </c:spPr>
        <c:marker>
          <c:symbol val="none"/>
        </c:marker>
      </c:pivotFmt>
      <c:pivotFmt>
        <c:idx val="686"/>
        <c:spPr>
          <a:solidFill>
            <a:schemeClr val="accent1"/>
          </a:solidFill>
          <a:ln>
            <a:noFill/>
          </a:ln>
          <a:effectLst/>
        </c:spPr>
        <c:marker>
          <c:symbol val="none"/>
        </c:marker>
      </c:pivotFmt>
      <c:pivotFmt>
        <c:idx val="687"/>
        <c:spPr>
          <a:solidFill>
            <a:schemeClr val="accent1"/>
          </a:solidFill>
          <a:ln>
            <a:noFill/>
          </a:ln>
          <a:effectLst/>
        </c:spPr>
        <c:marker>
          <c:symbol val="none"/>
        </c:marker>
      </c:pivotFmt>
      <c:pivotFmt>
        <c:idx val="688"/>
        <c:spPr>
          <a:solidFill>
            <a:schemeClr val="accent1"/>
          </a:solidFill>
          <a:ln>
            <a:noFill/>
          </a:ln>
          <a:effectLst/>
        </c:spPr>
        <c:marker>
          <c:symbol val="none"/>
        </c:marker>
      </c:pivotFmt>
      <c:pivotFmt>
        <c:idx val="689"/>
        <c:spPr>
          <a:solidFill>
            <a:schemeClr val="accent1"/>
          </a:solidFill>
          <a:ln>
            <a:noFill/>
          </a:ln>
          <a:effectLst/>
        </c:spPr>
        <c:marker>
          <c:symbol val="none"/>
        </c:marker>
      </c:pivotFmt>
      <c:pivotFmt>
        <c:idx val="690"/>
        <c:spPr>
          <a:solidFill>
            <a:schemeClr val="accent1"/>
          </a:solidFill>
          <a:ln>
            <a:noFill/>
          </a:ln>
          <a:effectLst/>
        </c:spPr>
        <c:marker>
          <c:symbol val="none"/>
        </c:marker>
      </c:pivotFmt>
      <c:pivotFmt>
        <c:idx val="691"/>
        <c:spPr>
          <a:solidFill>
            <a:schemeClr val="accent1"/>
          </a:solidFill>
          <a:ln>
            <a:noFill/>
          </a:ln>
          <a:effectLst/>
        </c:spPr>
        <c:marker>
          <c:symbol val="none"/>
        </c:marker>
      </c:pivotFmt>
      <c:pivotFmt>
        <c:idx val="692"/>
        <c:spPr>
          <a:solidFill>
            <a:schemeClr val="accent1"/>
          </a:solidFill>
          <a:ln>
            <a:noFill/>
          </a:ln>
          <a:effectLst/>
        </c:spPr>
        <c:marker>
          <c:symbol val="none"/>
        </c:marker>
      </c:pivotFmt>
      <c:pivotFmt>
        <c:idx val="693"/>
        <c:spPr>
          <a:solidFill>
            <a:schemeClr val="accent1"/>
          </a:solidFill>
          <a:ln>
            <a:noFill/>
          </a:ln>
          <a:effectLst/>
        </c:spPr>
        <c:marker>
          <c:symbol val="none"/>
        </c:marker>
      </c:pivotFmt>
      <c:pivotFmt>
        <c:idx val="694"/>
        <c:spPr>
          <a:solidFill>
            <a:schemeClr val="accent1"/>
          </a:solidFill>
          <a:ln>
            <a:noFill/>
          </a:ln>
          <a:effectLst/>
        </c:spPr>
        <c:marker>
          <c:symbol val="none"/>
        </c:marker>
      </c:pivotFmt>
      <c:pivotFmt>
        <c:idx val="695"/>
        <c:spPr>
          <a:solidFill>
            <a:schemeClr val="accent1"/>
          </a:solidFill>
          <a:ln>
            <a:noFill/>
          </a:ln>
          <a:effectLst/>
        </c:spPr>
        <c:marker>
          <c:symbol val="none"/>
        </c:marker>
      </c:pivotFmt>
      <c:pivotFmt>
        <c:idx val="696"/>
        <c:spPr>
          <a:solidFill>
            <a:schemeClr val="accent1"/>
          </a:solidFill>
          <a:ln>
            <a:noFill/>
          </a:ln>
          <a:effectLst/>
        </c:spPr>
        <c:marker>
          <c:symbol val="none"/>
        </c:marker>
      </c:pivotFmt>
      <c:pivotFmt>
        <c:idx val="697"/>
        <c:spPr>
          <a:solidFill>
            <a:schemeClr val="accent1"/>
          </a:solidFill>
          <a:ln>
            <a:noFill/>
          </a:ln>
          <a:effectLst/>
        </c:spPr>
        <c:marker>
          <c:symbol val="none"/>
        </c:marker>
      </c:pivotFmt>
      <c:pivotFmt>
        <c:idx val="698"/>
        <c:spPr>
          <a:solidFill>
            <a:schemeClr val="accent1"/>
          </a:solidFill>
          <a:ln>
            <a:noFill/>
          </a:ln>
          <a:effectLst/>
        </c:spPr>
        <c:marker>
          <c:symbol val="none"/>
        </c:marker>
      </c:pivotFmt>
      <c:pivotFmt>
        <c:idx val="699"/>
        <c:spPr>
          <a:solidFill>
            <a:schemeClr val="accent1"/>
          </a:solidFill>
          <a:ln>
            <a:noFill/>
          </a:ln>
          <a:effectLst/>
        </c:spPr>
        <c:marker>
          <c:symbol val="none"/>
        </c:marker>
      </c:pivotFmt>
      <c:pivotFmt>
        <c:idx val="700"/>
        <c:spPr>
          <a:solidFill>
            <a:schemeClr val="accent1"/>
          </a:solidFill>
          <a:ln>
            <a:noFill/>
          </a:ln>
          <a:effectLst/>
        </c:spPr>
        <c:marker>
          <c:symbol val="none"/>
        </c:marker>
      </c:pivotFmt>
      <c:pivotFmt>
        <c:idx val="701"/>
        <c:spPr>
          <a:solidFill>
            <a:schemeClr val="accent1"/>
          </a:solidFill>
          <a:ln>
            <a:noFill/>
          </a:ln>
          <a:effectLst/>
        </c:spPr>
        <c:marker>
          <c:symbol val="none"/>
        </c:marker>
      </c:pivotFmt>
      <c:pivotFmt>
        <c:idx val="702"/>
        <c:spPr>
          <a:solidFill>
            <a:schemeClr val="accent1"/>
          </a:solidFill>
          <a:ln>
            <a:noFill/>
          </a:ln>
          <a:effectLst/>
        </c:spPr>
        <c:marker>
          <c:symbol val="none"/>
        </c:marker>
      </c:pivotFmt>
      <c:pivotFmt>
        <c:idx val="703"/>
        <c:spPr>
          <a:solidFill>
            <a:schemeClr val="accent1"/>
          </a:solidFill>
          <a:ln>
            <a:noFill/>
          </a:ln>
          <a:effectLst/>
        </c:spPr>
        <c:marker>
          <c:symbol val="none"/>
        </c:marker>
      </c:pivotFmt>
      <c:pivotFmt>
        <c:idx val="704"/>
        <c:spPr>
          <a:solidFill>
            <a:schemeClr val="accent1"/>
          </a:solidFill>
          <a:ln>
            <a:noFill/>
          </a:ln>
          <a:effectLst/>
        </c:spPr>
        <c:marker>
          <c:symbol val="none"/>
        </c:marker>
      </c:pivotFmt>
      <c:pivotFmt>
        <c:idx val="705"/>
        <c:spPr>
          <a:solidFill>
            <a:schemeClr val="accent1"/>
          </a:solidFill>
          <a:ln>
            <a:noFill/>
          </a:ln>
          <a:effectLst/>
        </c:spPr>
        <c:marker>
          <c:symbol val="none"/>
        </c:marker>
      </c:pivotFmt>
      <c:pivotFmt>
        <c:idx val="706"/>
        <c:spPr>
          <a:solidFill>
            <a:schemeClr val="accent1"/>
          </a:solidFill>
          <a:ln>
            <a:noFill/>
          </a:ln>
          <a:effectLst/>
        </c:spPr>
        <c:marker>
          <c:symbol val="none"/>
        </c:marker>
      </c:pivotFmt>
      <c:pivotFmt>
        <c:idx val="707"/>
        <c:spPr>
          <a:solidFill>
            <a:schemeClr val="accent1"/>
          </a:solidFill>
          <a:ln>
            <a:noFill/>
          </a:ln>
          <a:effectLst/>
        </c:spPr>
        <c:marker>
          <c:symbol val="none"/>
        </c:marker>
      </c:pivotFmt>
      <c:pivotFmt>
        <c:idx val="708"/>
        <c:spPr>
          <a:solidFill>
            <a:schemeClr val="accent1"/>
          </a:solidFill>
          <a:ln>
            <a:noFill/>
          </a:ln>
          <a:effectLst/>
        </c:spPr>
        <c:marker>
          <c:symbol val="none"/>
        </c:marker>
      </c:pivotFmt>
      <c:pivotFmt>
        <c:idx val="709"/>
        <c:spPr>
          <a:solidFill>
            <a:schemeClr val="accent1"/>
          </a:solidFill>
          <a:ln>
            <a:noFill/>
          </a:ln>
          <a:effectLst/>
        </c:spPr>
        <c:marker>
          <c:symbol val="none"/>
        </c:marker>
      </c:pivotFmt>
      <c:pivotFmt>
        <c:idx val="710"/>
        <c:spPr>
          <a:solidFill>
            <a:schemeClr val="accent1"/>
          </a:solidFill>
          <a:ln>
            <a:noFill/>
          </a:ln>
          <a:effectLst/>
        </c:spPr>
        <c:marker>
          <c:symbol val="none"/>
        </c:marker>
      </c:pivotFmt>
      <c:pivotFmt>
        <c:idx val="711"/>
        <c:spPr>
          <a:solidFill>
            <a:schemeClr val="accent1"/>
          </a:solidFill>
          <a:ln w="25400">
            <a:noFill/>
          </a:ln>
          <a:effectLst/>
        </c:spPr>
        <c:marker>
          <c:symbol val="none"/>
        </c:marker>
      </c:pivotFmt>
      <c:pivotFmt>
        <c:idx val="712"/>
        <c:spPr>
          <a:solidFill>
            <a:schemeClr val="accent1"/>
          </a:solidFill>
          <a:ln w="25400">
            <a:noFill/>
          </a:ln>
          <a:effectLst/>
        </c:spPr>
        <c:marker>
          <c:symbol val="none"/>
        </c:marker>
      </c:pivotFmt>
      <c:pivotFmt>
        <c:idx val="713"/>
        <c:spPr>
          <a:solidFill>
            <a:schemeClr val="accent1"/>
          </a:solidFill>
          <a:ln w="25400">
            <a:noFill/>
          </a:ln>
          <a:effectLst/>
        </c:spPr>
        <c:marker>
          <c:symbol val="none"/>
        </c:marker>
      </c:pivotFmt>
      <c:pivotFmt>
        <c:idx val="714"/>
        <c:spPr>
          <a:solidFill>
            <a:schemeClr val="accent1"/>
          </a:solidFill>
          <a:ln w="25400">
            <a:noFill/>
          </a:ln>
          <a:effectLst/>
        </c:spPr>
        <c:marker>
          <c:symbol val="none"/>
        </c:marker>
      </c:pivotFmt>
      <c:pivotFmt>
        <c:idx val="715"/>
        <c:spPr>
          <a:solidFill>
            <a:schemeClr val="accent1"/>
          </a:solidFill>
          <a:ln w="25400">
            <a:noFill/>
          </a:ln>
          <a:effectLst/>
        </c:spPr>
        <c:marker>
          <c:symbol val="none"/>
        </c:marker>
      </c:pivotFmt>
      <c:pivotFmt>
        <c:idx val="716"/>
        <c:spPr>
          <a:solidFill>
            <a:schemeClr val="accent1"/>
          </a:solidFill>
          <a:ln w="25400">
            <a:noFill/>
          </a:ln>
          <a:effectLst/>
        </c:spPr>
        <c:marker>
          <c:symbol val="none"/>
        </c:marker>
      </c:pivotFmt>
      <c:pivotFmt>
        <c:idx val="717"/>
        <c:spPr>
          <a:solidFill>
            <a:schemeClr val="accent1"/>
          </a:solidFill>
          <a:ln>
            <a:noFill/>
          </a:ln>
          <a:effectLst/>
        </c:spPr>
        <c:marker>
          <c:symbol val="none"/>
        </c:marker>
      </c:pivotFmt>
      <c:pivotFmt>
        <c:idx val="718"/>
        <c:spPr>
          <a:solidFill>
            <a:schemeClr val="accent1"/>
          </a:solidFill>
          <a:ln>
            <a:noFill/>
          </a:ln>
          <a:effectLst/>
        </c:spPr>
        <c:marker>
          <c:symbol val="none"/>
        </c:marker>
      </c:pivotFmt>
      <c:pivotFmt>
        <c:idx val="719"/>
        <c:spPr>
          <a:solidFill>
            <a:schemeClr val="accent1"/>
          </a:solidFill>
          <a:ln w="25400">
            <a:noFill/>
          </a:ln>
          <a:effectLst/>
        </c:spPr>
        <c:marker>
          <c:symbol val="none"/>
        </c:marker>
      </c:pivotFmt>
      <c:pivotFmt>
        <c:idx val="720"/>
        <c:spPr>
          <a:solidFill>
            <a:schemeClr val="accent1"/>
          </a:solidFill>
          <a:ln w="25400">
            <a:noFill/>
          </a:ln>
          <a:effectLst/>
        </c:spPr>
        <c:marker>
          <c:symbol val="none"/>
        </c:marker>
      </c:pivotFmt>
      <c:pivotFmt>
        <c:idx val="721"/>
        <c:spPr>
          <a:solidFill>
            <a:schemeClr val="accent1"/>
          </a:solidFill>
          <a:ln w="25400">
            <a:noFill/>
          </a:ln>
          <a:effectLst/>
        </c:spPr>
        <c:marker>
          <c:symbol val="none"/>
        </c:marker>
      </c:pivotFmt>
      <c:pivotFmt>
        <c:idx val="722"/>
        <c:spPr>
          <a:solidFill>
            <a:schemeClr val="accent1"/>
          </a:solidFill>
          <a:ln w="25400">
            <a:noFill/>
          </a:ln>
          <a:effectLst/>
        </c:spPr>
        <c:marker>
          <c:symbol val="none"/>
        </c:marker>
      </c:pivotFmt>
      <c:pivotFmt>
        <c:idx val="723"/>
        <c:spPr>
          <a:solidFill>
            <a:schemeClr val="accent1"/>
          </a:solidFill>
          <a:ln w="25400">
            <a:noFill/>
          </a:ln>
          <a:effectLst/>
        </c:spPr>
        <c:marker>
          <c:symbol val="none"/>
        </c:marker>
      </c:pivotFmt>
      <c:pivotFmt>
        <c:idx val="724"/>
        <c:spPr>
          <a:solidFill>
            <a:schemeClr val="accent1"/>
          </a:solidFill>
          <a:ln w="25400">
            <a:noFill/>
          </a:ln>
          <a:effectLst/>
        </c:spPr>
        <c:marker>
          <c:symbol val="none"/>
        </c:marker>
      </c:pivotFmt>
      <c:pivotFmt>
        <c:idx val="725"/>
        <c:spPr>
          <a:solidFill>
            <a:schemeClr val="accent1"/>
          </a:solidFill>
          <a:ln w="25400">
            <a:noFill/>
          </a:ln>
          <a:effectLst/>
        </c:spPr>
        <c:marker>
          <c:symbol val="none"/>
        </c:marker>
      </c:pivotFmt>
      <c:pivotFmt>
        <c:idx val="726"/>
        <c:spPr>
          <a:solidFill>
            <a:schemeClr val="accent1"/>
          </a:solidFill>
          <a:ln w="25400">
            <a:noFill/>
          </a:ln>
          <a:effectLst/>
        </c:spPr>
        <c:marker>
          <c:symbol val="none"/>
        </c:marker>
      </c:pivotFmt>
      <c:pivotFmt>
        <c:idx val="727"/>
        <c:spPr>
          <a:solidFill>
            <a:schemeClr val="accent1"/>
          </a:solidFill>
          <a:ln w="25400">
            <a:noFill/>
          </a:ln>
          <a:effectLst/>
        </c:spPr>
        <c:marker>
          <c:symbol val="none"/>
        </c:marker>
      </c:pivotFmt>
      <c:pivotFmt>
        <c:idx val="728"/>
        <c:spPr>
          <a:solidFill>
            <a:schemeClr val="accent1"/>
          </a:solidFill>
          <a:ln w="25400">
            <a:noFill/>
          </a:ln>
          <a:effectLst/>
        </c:spPr>
        <c:marker>
          <c:symbol val="none"/>
        </c:marker>
      </c:pivotFmt>
      <c:pivotFmt>
        <c:idx val="729"/>
        <c:spPr>
          <a:solidFill>
            <a:schemeClr val="accent1"/>
          </a:solidFill>
          <a:ln w="25400">
            <a:noFill/>
          </a:ln>
          <a:effectLst/>
        </c:spPr>
        <c:marker>
          <c:symbol val="none"/>
        </c:marker>
      </c:pivotFmt>
      <c:pivotFmt>
        <c:idx val="730"/>
        <c:spPr>
          <a:solidFill>
            <a:schemeClr val="accent1"/>
          </a:solidFill>
          <a:ln w="25400">
            <a:noFill/>
          </a:ln>
          <a:effectLst/>
        </c:spPr>
        <c:marker>
          <c:symbol val="none"/>
        </c:marker>
      </c:pivotFmt>
      <c:pivotFmt>
        <c:idx val="731"/>
        <c:spPr>
          <a:solidFill>
            <a:schemeClr val="accent1"/>
          </a:solidFill>
          <a:ln w="25400">
            <a:noFill/>
          </a:ln>
          <a:effectLst/>
        </c:spPr>
        <c:marker>
          <c:symbol val="none"/>
        </c:marker>
      </c:pivotFmt>
      <c:pivotFmt>
        <c:idx val="732"/>
        <c:spPr>
          <a:solidFill>
            <a:schemeClr val="accent1"/>
          </a:solidFill>
          <a:ln w="25400">
            <a:noFill/>
          </a:ln>
          <a:effectLst/>
        </c:spPr>
        <c:marker>
          <c:symbol val="none"/>
        </c:marker>
      </c:pivotFmt>
      <c:pivotFmt>
        <c:idx val="733"/>
        <c:spPr>
          <a:solidFill>
            <a:schemeClr val="accent1"/>
          </a:solidFill>
          <a:ln w="25400">
            <a:noFill/>
          </a:ln>
          <a:effectLst/>
        </c:spPr>
        <c:marker>
          <c:symbol val="none"/>
        </c:marker>
      </c:pivotFmt>
      <c:pivotFmt>
        <c:idx val="734"/>
        <c:spPr>
          <a:solidFill>
            <a:schemeClr val="accent1"/>
          </a:solidFill>
          <a:ln w="25400">
            <a:noFill/>
          </a:ln>
          <a:effectLst/>
        </c:spPr>
        <c:marker>
          <c:symbol val="none"/>
        </c:marker>
      </c:pivotFmt>
      <c:pivotFmt>
        <c:idx val="735"/>
        <c:spPr>
          <a:solidFill>
            <a:schemeClr val="accent1"/>
          </a:solidFill>
          <a:ln w="25400">
            <a:noFill/>
          </a:ln>
          <a:effectLst/>
        </c:spPr>
        <c:marker>
          <c:symbol val="none"/>
        </c:marker>
      </c:pivotFmt>
      <c:pivotFmt>
        <c:idx val="736"/>
        <c:spPr>
          <a:solidFill>
            <a:schemeClr val="accent1"/>
          </a:solidFill>
          <a:ln w="25400">
            <a:noFill/>
          </a:ln>
          <a:effectLst/>
        </c:spPr>
        <c:marker>
          <c:symbol val="none"/>
        </c:marker>
      </c:pivotFmt>
      <c:pivotFmt>
        <c:idx val="737"/>
        <c:spPr>
          <a:solidFill>
            <a:schemeClr val="accent1"/>
          </a:solidFill>
          <a:ln w="25400">
            <a:noFill/>
          </a:ln>
          <a:effectLst/>
        </c:spPr>
        <c:marker>
          <c:symbol val="none"/>
        </c:marker>
      </c:pivotFmt>
      <c:pivotFmt>
        <c:idx val="738"/>
        <c:spPr>
          <a:solidFill>
            <a:schemeClr val="accent1"/>
          </a:solidFill>
          <a:ln w="25400">
            <a:noFill/>
          </a:ln>
          <a:effectLst/>
        </c:spPr>
        <c:marker>
          <c:symbol val="none"/>
        </c:marker>
      </c:pivotFmt>
      <c:pivotFmt>
        <c:idx val="739"/>
        <c:spPr>
          <a:solidFill>
            <a:schemeClr val="accent1"/>
          </a:solidFill>
          <a:ln w="25400">
            <a:noFill/>
          </a:ln>
          <a:effectLst/>
        </c:spPr>
        <c:marker>
          <c:symbol val="none"/>
        </c:marker>
      </c:pivotFmt>
      <c:pivotFmt>
        <c:idx val="740"/>
        <c:spPr>
          <a:solidFill>
            <a:schemeClr val="accent1"/>
          </a:solidFill>
          <a:ln w="25400">
            <a:noFill/>
          </a:ln>
          <a:effectLst/>
        </c:spPr>
        <c:marker>
          <c:symbol val="none"/>
        </c:marker>
      </c:pivotFmt>
      <c:pivotFmt>
        <c:idx val="741"/>
        <c:spPr>
          <a:solidFill>
            <a:schemeClr val="accent1"/>
          </a:solidFill>
          <a:ln w="25400">
            <a:noFill/>
          </a:ln>
          <a:effectLst/>
        </c:spPr>
        <c:marker>
          <c:symbol val="none"/>
        </c:marker>
      </c:pivotFmt>
      <c:pivotFmt>
        <c:idx val="742"/>
        <c:spPr>
          <a:solidFill>
            <a:schemeClr val="accent1"/>
          </a:solidFill>
          <a:ln w="25400">
            <a:noFill/>
          </a:ln>
          <a:effectLst/>
        </c:spPr>
        <c:marker>
          <c:symbol val="none"/>
        </c:marker>
      </c:pivotFmt>
      <c:pivotFmt>
        <c:idx val="743"/>
        <c:spPr>
          <a:solidFill>
            <a:schemeClr val="accent1"/>
          </a:solidFill>
          <a:ln w="25400">
            <a:noFill/>
          </a:ln>
          <a:effectLst/>
        </c:spPr>
        <c:marker>
          <c:symbol val="none"/>
        </c:marker>
      </c:pivotFmt>
      <c:pivotFmt>
        <c:idx val="744"/>
        <c:spPr>
          <a:solidFill>
            <a:schemeClr val="accent1"/>
          </a:solidFill>
          <a:ln w="25400">
            <a:noFill/>
          </a:ln>
          <a:effectLst/>
        </c:spPr>
        <c:marker>
          <c:symbol val="none"/>
        </c:marker>
      </c:pivotFmt>
      <c:pivotFmt>
        <c:idx val="745"/>
        <c:spPr>
          <a:solidFill>
            <a:schemeClr val="accent1"/>
          </a:solidFill>
          <a:ln w="25400">
            <a:noFill/>
          </a:ln>
          <a:effectLst/>
        </c:spPr>
        <c:marker>
          <c:symbol val="none"/>
        </c:marker>
      </c:pivotFmt>
      <c:pivotFmt>
        <c:idx val="746"/>
        <c:spPr>
          <a:solidFill>
            <a:schemeClr val="accent1"/>
          </a:solidFill>
          <a:ln w="25400">
            <a:noFill/>
          </a:ln>
          <a:effectLst/>
        </c:spPr>
        <c:marker>
          <c:symbol val="none"/>
        </c:marker>
      </c:pivotFmt>
      <c:pivotFmt>
        <c:idx val="747"/>
        <c:spPr>
          <a:solidFill>
            <a:schemeClr val="accent1"/>
          </a:solidFill>
          <a:ln w="25400">
            <a:noFill/>
          </a:ln>
          <a:effectLst/>
        </c:spPr>
        <c:marker>
          <c:symbol val="none"/>
        </c:marker>
      </c:pivotFmt>
      <c:pivotFmt>
        <c:idx val="748"/>
        <c:spPr>
          <a:solidFill>
            <a:schemeClr val="accent1"/>
          </a:solidFill>
          <a:ln w="25400">
            <a:noFill/>
          </a:ln>
          <a:effectLst/>
        </c:spPr>
        <c:marker>
          <c:symbol val="none"/>
        </c:marker>
      </c:pivotFmt>
      <c:pivotFmt>
        <c:idx val="749"/>
        <c:spPr>
          <a:solidFill>
            <a:schemeClr val="accent1"/>
          </a:solidFill>
          <a:ln w="25400">
            <a:noFill/>
          </a:ln>
          <a:effectLst/>
        </c:spPr>
        <c:marker>
          <c:symbol val="none"/>
        </c:marker>
      </c:pivotFmt>
      <c:pivotFmt>
        <c:idx val="750"/>
        <c:spPr>
          <a:solidFill>
            <a:schemeClr val="accent1"/>
          </a:solidFill>
          <a:ln w="25400">
            <a:noFill/>
          </a:ln>
          <a:effectLst/>
        </c:spPr>
        <c:marker>
          <c:symbol val="none"/>
        </c:marker>
      </c:pivotFmt>
      <c:pivotFmt>
        <c:idx val="751"/>
        <c:spPr>
          <a:solidFill>
            <a:schemeClr val="accent1"/>
          </a:solidFill>
          <a:ln w="25400">
            <a:noFill/>
          </a:ln>
          <a:effectLst/>
        </c:spPr>
        <c:marker>
          <c:symbol val="none"/>
        </c:marker>
      </c:pivotFmt>
      <c:pivotFmt>
        <c:idx val="752"/>
        <c:spPr>
          <a:solidFill>
            <a:schemeClr val="accent1"/>
          </a:solidFill>
          <a:ln w="25400">
            <a:noFill/>
          </a:ln>
          <a:effectLst/>
        </c:spPr>
        <c:marker>
          <c:symbol val="none"/>
        </c:marker>
      </c:pivotFmt>
      <c:pivotFmt>
        <c:idx val="753"/>
        <c:spPr>
          <a:solidFill>
            <a:schemeClr val="accent1"/>
          </a:solidFill>
          <a:ln w="25400">
            <a:noFill/>
          </a:ln>
          <a:effectLst/>
        </c:spPr>
        <c:marker>
          <c:symbol val="none"/>
        </c:marker>
      </c:pivotFmt>
      <c:pivotFmt>
        <c:idx val="754"/>
        <c:spPr>
          <a:solidFill>
            <a:schemeClr val="accent1"/>
          </a:solidFill>
          <a:ln w="25400">
            <a:noFill/>
          </a:ln>
          <a:effectLst/>
        </c:spPr>
        <c:marker>
          <c:symbol val="none"/>
        </c:marker>
      </c:pivotFmt>
      <c:pivotFmt>
        <c:idx val="755"/>
        <c:spPr>
          <a:solidFill>
            <a:schemeClr val="accent1"/>
          </a:solidFill>
          <a:ln w="25400">
            <a:noFill/>
          </a:ln>
          <a:effectLst/>
        </c:spPr>
        <c:marker>
          <c:symbol val="none"/>
        </c:marker>
      </c:pivotFmt>
      <c:pivotFmt>
        <c:idx val="756"/>
        <c:spPr>
          <a:solidFill>
            <a:schemeClr val="accent1"/>
          </a:solidFill>
          <a:ln w="25400">
            <a:noFill/>
          </a:ln>
          <a:effectLst/>
        </c:spPr>
        <c:marker>
          <c:symbol val="none"/>
        </c:marker>
      </c:pivotFmt>
      <c:pivotFmt>
        <c:idx val="757"/>
        <c:spPr>
          <a:solidFill>
            <a:schemeClr val="accent1"/>
          </a:solidFill>
          <a:ln w="25400">
            <a:noFill/>
          </a:ln>
          <a:effectLst/>
        </c:spPr>
        <c:marker>
          <c:symbol val="none"/>
        </c:marker>
      </c:pivotFmt>
      <c:pivotFmt>
        <c:idx val="758"/>
        <c:spPr>
          <a:solidFill>
            <a:schemeClr val="accent1"/>
          </a:solidFill>
          <a:ln w="25400">
            <a:noFill/>
          </a:ln>
          <a:effectLst/>
        </c:spPr>
        <c:marker>
          <c:symbol val="none"/>
        </c:marker>
      </c:pivotFmt>
      <c:pivotFmt>
        <c:idx val="759"/>
        <c:spPr>
          <a:solidFill>
            <a:schemeClr val="accent1"/>
          </a:solidFill>
          <a:ln w="25400">
            <a:noFill/>
          </a:ln>
          <a:effectLst/>
        </c:spPr>
        <c:marker>
          <c:symbol val="none"/>
        </c:marker>
      </c:pivotFmt>
      <c:pivotFmt>
        <c:idx val="760"/>
        <c:spPr>
          <a:solidFill>
            <a:schemeClr val="accent1"/>
          </a:solidFill>
          <a:ln w="25400">
            <a:noFill/>
          </a:ln>
          <a:effectLst/>
        </c:spPr>
        <c:marker>
          <c:symbol val="none"/>
        </c:marker>
      </c:pivotFmt>
      <c:pivotFmt>
        <c:idx val="761"/>
        <c:spPr>
          <a:solidFill>
            <a:schemeClr val="accent1"/>
          </a:solidFill>
          <a:ln w="25400">
            <a:noFill/>
          </a:ln>
          <a:effectLst/>
        </c:spPr>
        <c:marker>
          <c:symbol val="none"/>
        </c:marker>
      </c:pivotFmt>
      <c:pivotFmt>
        <c:idx val="762"/>
        <c:spPr>
          <a:solidFill>
            <a:schemeClr val="accent1"/>
          </a:solidFill>
          <a:ln w="25400">
            <a:noFill/>
          </a:ln>
          <a:effectLst/>
        </c:spPr>
        <c:marker>
          <c:symbol val="none"/>
        </c:marker>
      </c:pivotFmt>
      <c:pivotFmt>
        <c:idx val="763"/>
        <c:spPr>
          <a:solidFill>
            <a:schemeClr val="accent1"/>
          </a:solidFill>
          <a:ln w="25400">
            <a:noFill/>
          </a:ln>
          <a:effectLst/>
        </c:spPr>
        <c:marker>
          <c:symbol val="none"/>
        </c:marker>
      </c:pivotFmt>
      <c:pivotFmt>
        <c:idx val="764"/>
        <c:spPr>
          <a:solidFill>
            <a:schemeClr val="accent1"/>
          </a:solidFill>
          <a:ln w="25400">
            <a:noFill/>
          </a:ln>
          <a:effectLst/>
        </c:spPr>
        <c:marker>
          <c:symbol val="none"/>
        </c:marker>
      </c:pivotFmt>
      <c:pivotFmt>
        <c:idx val="765"/>
        <c:spPr>
          <a:solidFill>
            <a:schemeClr val="accent1"/>
          </a:solidFill>
          <a:ln w="25400">
            <a:noFill/>
          </a:ln>
          <a:effectLst/>
        </c:spPr>
        <c:marker>
          <c:symbol val="none"/>
        </c:marker>
      </c:pivotFmt>
      <c:pivotFmt>
        <c:idx val="766"/>
        <c:spPr>
          <a:solidFill>
            <a:schemeClr val="accent1"/>
          </a:solidFill>
          <a:ln w="25400">
            <a:noFill/>
          </a:ln>
          <a:effectLst/>
        </c:spPr>
        <c:marker>
          <c:symbol val="none"/>
        </c:marker>
      </c:pivotFmt>
      <c:pivotFmt>
        <c:idx val="767"/>
        <c:spPr>
          <a:solidFill>
            <a:schemeClr val="accent1"/>
          </a:solidFill>
          <a:ln w="25400">
            <a:noFill/>
          </a:ln>
          <a:effectLst/>
        </c:spPr>
        <c:marker>
          <c:symbol val="none"/>
        </c:marker>
      </c:pivotFmt>
      <c:pivotFmt>
        <c:idx val="768"/>
        <c:spPr>
          <a:solidFill>
            <a:schemeClr val="accent1"/>
          </a:solidFill>
          <a:ln w="25400">
            <a:noFill/>
          </a:ln>
          <a:effectLst/>
        </c:spPr>
        <c:marker>
          <c:symbol val="none"/>
        </c:marker>
      </c:pivotFmt>
      <c:pivotFmt>
        <c:idx val="769"/>
        <c:spPr>
          <a:solidFill>
            <a:schemeClr val="accent1"/>
          </a:solidFill>
          <a:ln w="25400">
            <a:noFill/>
          </a:ln>
          <a:effectLst/>
        </c:spPr>
        <c:marker>
          <c:symbol val="none"/>
        </c:marker>
      </c:pivotFmt>
      <c:pivotFmt>
        <c:idx val="770"/>
        <c:spPr>
          <a:solidFill>
            <a:schemeClr val="accent1"/>
          </a:solidFill>
          <a:ln w="25400">
            <a:noFill/>
          </a:ln>
          <a:effectLst/>
        </c:spPr>
        <c:marker>
          <c:symbol val="none"/>
        </c:marker>
      </c:pivotFmt>
      <c:pivotFmt>
        <c:idx val="771"/>
        <c:spPr>
          <a:solidFill>
            <a:schemeClr val="accent1"/>
          </a:solidFill>
          <a:ln w="25400">
            <a:noFill/>
          </a:ln>
          <a:effectLst/>
        </c:spPr>
        <c:marker>
          <c:symbol val="none"/>
        </c:marker>
      </c:pivotFmt>
      <c:pivotFmt>
        <c:idx val="772"/>
        <c:spPr>
          <a:solidFill>
            <a:schemeClr val="accent1"/>
          </a:solidFill>
          <a:ln w="25400">
            <a:noFill/>
          </a:ln>
          <a:effectLst/>
        </c:spPr>
        <c:marker>
          <c:symbol val="none"/>
        </c:marker>
      </c:pivotFmt>
      <c:pivotFmt>
        <c:idx val="773"/>
        <c:spPr>
          <a:solidFill>
            <a:schemeClr val="accent1"/>
          </a:solidFill>
          <a:ln w="25400">
            <a:noFill/>
          </a:ln>
          <a:effectLst/>
        </c:spPr>
        <c:marker>
          <c:symbol val="none"/>
        </c:marker>
      </c:pivotFmt>
      <c:pivotFmt>
        <c:idx val="774"/>
        <c:spPr>
          <a:solidFill>
            <a:schemeClr val="accent1"/>
          </a:solidFill>
          <a:ln w="25400">
            <a:noFill/>
          </a:ln>
          <a:effectLst/>
        </c:spPr>
        <c:marker>
          <c:symbol val="none"/>
        </c:marker>
      </c:pivotFmt>
      <c:pivotFmt>
        <c:idx val="775"/>
        <c:spPr>
          <a:solidFill>
            <a:schemeClr val="accent1"/>
          </a:solidFill>
          <a:ln w="25400">
            <a:noFill/>
          </a:ln>
          <a:effectLst/>
        </c:spPr>
        <c:marker>
          <c:symbol val="none"/>
        </c:marker>
      </c:pivotFmt>
      <c:pivotFmt>
        <c:idx val="776"/>
        <c:spPr>
          <a:solidFill>
            <a:schemeClr val="accent1"/>
          </a:solidFill>
          <a:ln w="25400">
            <a:noFill/>
          </a:ln>
          <a:effectLst/>
        </c:spPr>
        <c:marker>
          <c:symbol val="none"/>
        </c:marker>
      </c:pivotFmt>
      <c:pivotFmt>
        <c:idx val="777"/>
        <c:spPr>
          <a:solidFill>
            <a:schemeClr val="accent1"/>
          </a:solidFill>
          <a:ln w="25400">
            <a:noFill/>
          </a:ln>
          <a:effectLst/>
        </c:spPr>
        <c:marker>
          <c:symbol val="none"/>
        </c:marker>
      </c:pivotFmt>
      <c:pivotFmt>
        <c:idx val="778"/>
        <c:spPr>
          <a:solidFill>
            <a:schemeClr val="accent1"/>
          </a:solidFill>
          <a:ln w="25400">
            <a:noFill/>
          </a:ln>
          <a:effectLst/>
        </c:spPr>
        <c:marker>
          <c:symbol val="none"/>
        </c:marker>
      </c:pivotFmt>
      <c:pivotFmt>
        <c:idx val="779"/>
        <c:spPr>
          <a:solidFill>
            <a:schemeClr val="accent1"/>
          </a:solidFill>
          <a:ln w="25400">
            <a:noFill/>
          </a:ln>
          <a:effectLst/>
        </c:spPr>
        <c:marker>
          <c:symbol val="none"/>
        </c:marker>
      </c:pivotFmt>
      <c:pivotFmt>
        <c:idx val="780"/>
        <c:spPr>
          <a:solidFill>
            <a:schemeClr val="accent1"/>
          </a:solidFill>
          <a:ln w="25400">
            <a:noFill/>
          </a:ln>
          <a:effectLst/>
        </c:spPr>
        <c:marker>
          <c:symbol val="none"/>
        </c:marker>
      </c:pivotFmt>
      <c:pivotFmt>
        <c:idx val="781"/>
        <c:spPr>
          <a:solidFill>
            <a:schemeClr val="accent1"/>
          </a:solidFill>
          <a:ln w="25400">
            <a:noFill/>
          </a:ln>
          <a:effectLst/>
        </c:spPr>
        <c:marker>
          <c:symbol val="none"/>
        </c:marker>
      </c:pivotFmt>
      <c:pivotFmt>
        <c:idx val="782"/>
        <c:spPr>
          <a:solidFill>
            <a:schemeClr val="accent1"/>
          </a:solidFill>
          <a:ln w="25400">
            <a:noFill/>
          </a:ln>
          <a:effectLst/>
        </c:spPr>
        <c:marker>
          <c:symbol val="none"/>
        </c:marker>
      </c:pivotFmt>
      <c:pivotFmt>
        <c:idx val="783"/>
        <c:spPr>
          <a:solidFill>
            <a:schemeClr val="accent1"/>
          </a:solidFill>
          <a:ln w="25400">
            <a:noFill/>
          </a:ln>
          <a:effectLst/>
        </c:spPr>
        <c:marker>
          <c:symbol val="none"/>
        </c:marker>
      </c:pivotFmt>
      <c:pivotFmt>
        <c:idx val="784"/>
        <c:spPr>
          <a:solidFill>
            <a:schemeClr val="accent1"/>
          </a:solidFill>
          <a:ln w="25400">
            <a:noFill/>
          </a:ln>
          <a:effectLst/>
        </c:spPr>
        <c:marker>
          <c:symbol val="none"/>
        </c:marker>
      </c:pivotFmt>
      <c:pivotFmt>
        <c:idx val="785"/>
        <c:spPr>
          <a:solidFill>
            <a:schemeClr val="accent1"/>
          </a:solidFill>
          <a:ln w="25400">
            <a:noFill/>
          </a:ln>
          <a:effectLst/>
        </c:spPr>
        <c:marker>
          <c:symbol val="none"/>
        </c:marker>
      </c:pivotFmt>
      <c:pivotFmt>
        <c:idx val="786"/>
        <c:spPr>
          <a:solidFill>
            <a:schemeClr val="accent1"/>
          </a:solidFill>
          <a:ln w="25400">
            <a:noFill/>
          </a:ln>
          <a:effectLst/>
        </c:spPr>
        <c:marker>
          <c:symbol val="none"/>
        </c:marker>
      </c:pivotFmt>
      <c:pivotFmt>
        <c:idx val="787"/>
        <c:spPr>
          <a:solidFill>
            <a:schemeClr val="accent1"/>
          </a:solidFill>
          <a:ln w="25400">
            <a:noFill/>
          </a:ln>
          <a:effectLst/>
        </c:spPr>
        <c:marker>
          <c:symbol val="none"/>
        </c:marker>
      </c:pivotFmt>
      <c:pivotFmt>
        <c:idx val="788"/>
        <c:spPr>
          <a:solidFill>
            <a:schemeClr val="accent1"/>
          </a:solidFill>
          <a:ln w="25400">
            <a:noFill/>
          </a:ln>
          <a:effectLst/>
        </c:spPr>
        <c:marker>
          <c:symbol val="none"/>
        </c:marker>
      </c:pivotFmt>
      <c:pivotFmt>
        <c:idx val="789"/>
        <c:spPr>
          <a:solidFill>
            <a:schemeClr val="accent1"/>
          </a:solidFill>
          <a:ln w="25400">
            <a:noFill/>
          </a:ln>
          <a:effectLst/>
        </c:spPr>
        <c:marker>
          <c:symbol val="none"/>
        </c:marker>
      </c:pivotFmt>
      <c:pivotFmt>
        <c:idx val="790"/>
        <c:spPr>
          <a:solidFill>
            <a:schemeClr val="accent1"/>
          </a:solidFill>
          <a:ln w="25400">
            <a:noFill/>
          </a:ln>
          <a:effectLst/>
        </c:spPr>
        <c:marker>
          <c:symbol val="none"/>
        </c:marker>
      </c:pivotFmt>
      <c:pivotFmt>
        <c:idx val="791"/>
        <c:spPr>
          <a:solidFill>
            <a:schemeClr val="accent1"/>
          </a:solidFill>
          <a:ln w="25400">
            <a:noFill/>
          </a:ln>
          <a:effectLst/>
        </c:spPr>
        <c:marker>
          <c:symbol val="none"/>
        </c:marker>
      </c:pivotFmt>
      <c:pivotFmt>
        <c:idx val="792"/>
        <c:spPr>
          <a:solidFill>
            <a:schemeClr val="accent1"/>
          </a:solidFill>
          <a:ln w="25400">
            <a:noFill/>
          </a:ln>
          <a:effectLst/>
        </c:spPr>
        <c:marker>
          <c:symbol val="none"/>
        </c:marker>
      </c:pivotFmt>
      <c:pivotFmt>
        <c:idx val="793"/>
        <c:spPr>
          <a:solidFill>
            <a:schemeClr val="accent1"/>
          </a:solidFill>
          <a:ln w="25400">
            <a:noFill/>
          </a:ln>
          <a:effectLst/>
        </c:spPr>
        <c:marker>
          <c:symbol val="none"/>
        </c:marker>
      </c:pivotFmt>
      <c:pivotFmt>
        <c:idx val="794"/>
        <c:spPr>
          <a:solidFill>
            <a:schemeClr val="accent1"/>
          </a:solidFill>
          <a:ln w="25400">
            <a:noFill/>
          </a:ln>
          <a:effectLst/>
        </c:spPr>
        <c:marker>
          <c:symbol val="none"/>
        </c:marker>
      </c:pivotFmt>
      <c:pivotFmt>
        <c:idx val="795"/>
        <c:spPr>
          <a:solidFill>
            <a:schemeClr val="accent1"/>
          </a:solidFill>
          <a:ln w="25400">
            <a:noFill/>
          </a:ln>
          <a:effectLst/>
        </c:spPr>
        <c:marker>
          <c:symbol val="none"/>
        </c:marker>
      </c:pivotFmt>
      <c:pivotFmt>
        <c:idx val="796"/>
        <c:spPr>
          <a:solidFill>
            <a:schemeClr val="accent1"/>
          </a:solidFill>
          <a:ln w="25400">
            <a:noFill/>
          </a:ln>
          <a:effectLst/>
        </c:spPr>
        <c:marker>
          <c:symbol val="none"/>
        </c:marker>
      </c:pivotFmt>
      <c:pivotFmt>
        <c:idx val="797"/>
        <c:spPr>
          <a:solidFill>
            <a:schemeClr val="accent1"/>
          </a:solidFill>
          <a:ln w="25400">
            <a:noFill/>
          </a:ln>
          <a:effectLst/>
        </c:spPr>
        <c:marker>
          <c:symbol val="none"/>
        </c:marker>
      </c:pivotFmt>
      <c:pivotFmt>
        <c:idx val="798"/>
        <c:spPr>
          <a:solidFill>
            <a:schemeClr val="accent1"/>
          </a:solidFill>
          <a:ln w="25400">
            <a:noFill/>
          </a:ln>
          <a:effectLst/>
        </c:spPr>
        <c:marker>
          <c:symbol val="none"/>
        </c:marker>
      </c:pivotFmt>
      <c:pivotFmt>
        <c:idx val="799"/>
        <c:spPr>
          <a:solidFill>
            <a:schemeClr val="accent1"/>
          </a:solidFill>
          <a:ln w="25400">
            <a:noFill/>
          </a:ln>
          <a:effectLst/>
        </c:spPr>
        <c:marker>
          <c:symbol val="none"/>
        </c:marker>
      </c:pivotFmt>
      <c:pivotFmt>
        <c:idx val="800"/>
        <c:spPr>
          <a:solidFill>
            <a:schemeClr val="accent1"/>
          </a:solidFill>
          <a:ln w="25400">
            <a:noFill/>
          </a:ln>
          <a:effectLst/>
        </c:spPr>
        <c:marker>
          <c:symbol val="none"/>
        </c:marker>
      </c:pivotFmt>
      <c:pivotFmt>
        <c:idx val="801"/>
        <c:spPr>
          <a:solidFill>
            <a:schemeClr val="accent1"/>
          </a:solidFill>
          <a:ln w="25400">
            <a:noFill/>
          </a:ln>
          <a:effectLst/>
        </c:spPr>
        <c:marker>
          <c:symbol val="none"/>
        </c:marker>
      </c:pivotFmt>
      <c:pivotFmt>
        <c:idx val="802"/>
        <c:spPr>
          <a:solidFill>
            <a:schemeClr val="accent1"/>
          </a:solidFill>
          <a:ln w="25400">
            <a:noFill/>
          </a:ln>
          <a:effectLst/>
        </c:spPr>
        <c:marker>
          <c:symbol val="none"/>
        </c:marker>
      </c:pivotFmt>
      <c:pivotFmt>
        <c:idx val="803"/>
        <c:spPr>
          <a:solidFill>
            <a:schemeClr val="accent1"/>
          </a:solidFill>
          <a:ln w="25400">
            <a:noFill/>
          </a:ln>
          <a:effectLst/>
        </c:spPr>
        <c:marker>
          <c:symbol val="none"/>
        </c:marker>
      </c:pivotFmt>
      <c:pivotFmt>
        <c:idx val="804"/>
        <c:spPr>
          <a:solidFill>
            <a:schemeClr val="accent1"/>
          </a:solidFill>
          <a:ln w="25400">
            <a:noFill/>
          </a:ln>
          <a:effectLst/>
        </c:spPr>
        <c:marker>
          <c:symbol val="none"/>
        </c:marker>
      </c:pivotFmt>
      <c:pivotFmt>
        <c:idx val="805"/>
        <c:spPr>
          <a:solidFill>
            <a:schemeClr val="accent1"/>
          </a:solidFill>
          <a:ln w="25400">
            <a:noFill/>
          </a:ln>
          <a:effectLst/>
        </c:spPr>
        <c:marker>
          <c:symbol val="none"/>
        </c:marker>
      </c:pivotFmt>
      <c:pivotFmt>
        <c:idx val="806"/>
        <c:spPr>
          <a:solidFill>
            <a:schemeClr val="accent1"/>
          </a:solidFill>
          <a:ln w="25400">
            <a:noFill/>
          </a:ln>
          <a:effectLst/>
        </c:spPr>
        <c:marker>
          <c:symbol val="none"/>
        </c:marker>
      </c:pivotFmt>
      <c:pivotFmt>
        <c:idx val="807"/>
        <c:spPr>
          <a:solidFill>
            <a:schemeClr val="accent1"/>
          </a:solidFill>
          <a:ln w="25400">
            <a:noFill/>
          </a:ln>
          <a:effectLst/>
        </c:spPr>
        <c:marker>
          <c:symbol val="none"/>
        </c:marker>
      </c:pivotFmt>
      <c:pivotFmt>
        <c:idx val="808"/>
        <c:spPr>
          <a:solidFill>
            <a:schemeClr val="accent1"/>
          </a:solidFill>
          <a:ln w="25400">
            <a:noFill/>
          </a:ln>
          <a:effectLst/>
        </c:spPr>
        <c:marker>
          <c:symbol val="none"/>
        </c:marker>
      </c:pivotFmt>
      <c:pivotFmt>
        <c:idx val="809"/>
        <c:spPr>
          <a:solidFill>
            <a:schemeClr val="accent1"/>
          </a:solidFill>
          <a:ln w="25400">
            <a:noFill/>
          </a:ln>
          <a:effectLst/>
        </c:spPr>
        <c:marker>
          <c:symbol val="none"/>
        </c:marker>
      </c:pivotFmt>
      <c:pivotFmt>
        <c:idx val="810"/>
        <c:spPr>
          <a:solidFill>
            <a:schemeClr val="accent1"/>
          </a:solidFill>
          <a:ln w="25400">
            <a:noFill/>
          </a:ln>
          <a:effectLst/>
        </c:spPr>
        <c:marker>
          <c:symbol val="none"/>
        </c:marker>
      </c:pivotFmt>
      <c:pivotFmt>
        <c:idx val="811"/>
        <c:spPr>
          <a:solidFill>
            <a:schemeClr val="accent1"/>
          </a:solidFill>
          <a:ln w="25400">
            <a:noFill/>
          </a:ln>
          <a:effectLst/>
        </c:spPr>
        <c:marker>
          <c:symbol val="none"/>
        </c:marker>
      </c:pivotFmt>
      <c:pivotFmt>
        <c:idx val="812"/>
        <c:spPr>
          <a:solidFill>
            <a:schemeClr val="accent1"/>
          </a:solidFill>
          <a:ln w="25400">
            <a:noFill/>
          </a:ln>
          <a:effectLst/>
        </c:spPr>
        <c:marker>
          <c:symbol val="none"/>
        </c:marker>
      </c:pivotFmt>
      <c:pivotFmt>
        <c:idx val="813"/>
        <c:spPr>
          <a:solidFill>
            <a:schemeClr val="accent1"/>
          </a:solidFill>
          <a:ln w="25400">
            <a:noFill/>
          </a:ln>
          <a:effectLst/>
        </c:spPr>
        <c:marker>
          <c:symbol val="none"/>
        </c:marker>
      </c:pivotFmt>
      <c:pivotFmt>
        <c:idx val="814"/>
        <c:spPr>
          <a:solidFill>
            <a:schemeClr val="accent1"/>
          </a:solidFill>
          <a:ln w="25400">
            <a:noFill/>
          </a:ln>
          <a:effectLst/>
        </c:spPr>
        <c:marker>
          <c:symbol val="none"/>
        </c:marker>
      </c:pivotFmt>
    </c:pivotFmts>
    <c:plotArea>
      <c:layout/>
      <c:areaChart>
        <c:grouping val="stacked"/>
        <c:varyColors val="0"/>
        <c:ser>
          <c:idx val="0"/>
          <c:order val="0"/>
          <c:tx>
            <c:strRef>
              <c:f>'EL GEN - Time'!$F$5:$F$6</c:f>
              <c:strCache>
                <c:ptCount val="1"/>
                <c:pt idx="0">
                  <c:v>Backpressure</c:v>
                </c:pt>
              </c:strCache>
            </c:strRef>
          </c:tx>
          <c:spPr>
            <a:solidFill>
              <a:schemeClr val="accent1"/>
            </a:solidFill>
            <a:ln>
              <a:noFill/>
            </a:ln>
            <a:effectLst/>
          </c:spPr>
          <c:cat>
            <c:multiLvlStrRef>
              <c:f>'EL GEN - Time'!$B$7:$E$79</c:f>
              <c:multiLvlStrCache>
                <c:ptCount val="72"/>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T013</c:v>
                  </c:pt>
                  <c:pt idx="61">
                    <c:v>T014</c:v>
                  </c:pt>
                  <c:pt idx="62">
                    <c:v>T015</c:v>
                  </c:pt>
                  <c:pt idx="63">
                    <c:v>T016</c:v>
                  </c:pt>
                  <c:pt idx="64">
                    <c:v>T017</c:v>
                  </c:pt>
                  <c:pt idx="65">
                    <c:v>T018</c:v>
                  </c:pt>
                  <c:pt idx="66">
                    <c:v>T019</c:v>
                  </c:pt>
                  <c:pt idx="67">
                    <c:v>T020</c:v>
                  </c:pt>
                  <c:pt idx="68">
                    <c:v>T021</c:v>
                  </c:pt>
                  <c:pt idx="69">
                    <c:v>T022</c:v>
                  </c:pt>
                  <c:pt idx="70">
                    <c:v>T023</c:v>
                  </c:pt>
                  <c:pt idx="71">
                    <c:v>T024</c:v>
                  </c:pt>
                </c:lvl>
                <c:lvl>
                  <c:pt idx="0">
                    <c:v>S02</c:v>
                  </c:pt>
                  <c:pt idx="24">
                    <c:v>S02</c:v>
                  </c:pt>
                  <c:pt idx="48">
                    <c:v>S02</c:v>
                  </c:pt>
                </c:lvl>
                <c:lvl>
                  <c:pt idx="0">
                    <c:v>2016</c:v>
                  </c:pt>
                  <c:pt idx="24">
                    <c:v>2020</c:v>
                  </c:pt>
                  <c:pt idx="48">
                    <c:v>2030</c:v>
                  </c:pt>
                </c:lvl>
                <c:lvl>
                  <c:pt idx="0">
                    <c:v>2016</c:v>
                  </c:pt>
                  <c:pt idx="24">
                    <c:v>2020</c:v>
                  </c:pt>
                  <c:pt idx="48">
                    <c:v>2030</c:v>
                  </c:pt>
                </c:lvl>
              </c:multiLvlStrCache>
            </c:multiLvlStrRef>
          </c:cat>
          <c:val>
            <c:numRef>
              <c:f>'EL GEN - Time'!$F$7:$F$79</c:f>
              <c:numCache>
                <c:formatCode>General</c:formatCode>
                <c:ptCount val="72"/>
                <c:pt idx="0">
                  <c:v>20809.621937293425</c:v>
                </c:pt>
                <c:pt idx="1">
                  <c:v>16744.690097235438</c:v>
                </c:pt>
                <c:pt idx="2">
                  <c:v>20864.072724111687</c:v>
                </c:pt>
                <c:pt idx="3">
                  <c:v>20257.268202436688</c:v>
                </c:pt>
                <c:pt idx="4">
                  <c:v>20818.070069892896</c:v>
                </c:pt>
                <c:pt idx="5">
                  <c:v>24792.799199606321</c:v>
                </c:pt>
                <c:pt idx="6">
                  <c:v>28760.639416850314</c:v>
                </c:pt>
                <c:pt idx="7">
                  <c:v>34170.179991506622</c:v>
                </c:pt>
                <c:pt idx="8">
                  <c:v>38512.29846404925</c:v>
                </c:pt>
                <c:pt idx="9">
                  <c:v>34024.769393808456</c:v>
                </c:pt>
                <c:pt idx="10">
                  <c:v>28659.013700262665</c:v>
                </c:pt>
                <c:pt idx="11">
                  <c:v>24621.048798466898</c:v>
                </c:pt>
                <c:pt idx="12">
                  <c:v>22219.017316343066</c:v>
                </c:pt>
                <c:pt idx="13">
                  <c:v>22156.769655480599</c:v>
                </c:pt>
                <c:pt idx="14">
                  <c:v>22344.96007214889</c:v>
                </c:pt>
                <c:pt idx="15">
                  <c:v>27366.652872948158</c:v>
                </c:pt>
                <c:pt idx="16">
                  <c:v>29823.738396989334</c:v>
                </c:pt>
                <c:pt idx="17">
                  <c:v>27234.783360428093</c:v>
                </c:pt>
                <c:pt idx="18">
                  <c:v>29086.119392063174</c:v>
                </c:pt>
                <c:pt idx="19">
                  <c:v>25182.974322702659</c:v>
                </c:pt>
                <c:pt idx="20">
                  <c:v>24991.335211305824</c:v>
                </c:pt>
                <c:pt idx="21">
                  <c:v>20376.7240189888</c:v>
                </c:pt>
                <c:pt idx="22">
                  <c:v>13798.453339673219</c:v>
                </c:pt>
                <c:pt idx="23">
                  <c:v>11025.06111914153</c:v>
                </c:pt>
                <c:pt idx="24">
                  <c:v>13436.405730660848</c:v>
                </c:pt>
                <c:pt idx="25">
                  <c:v>13435.584217121064</c:v>
                </c:pt>
                <c:pt idx="26">
                  <c:v>13423.279431964809</c:v>
                </c:pt>
                <c:pt idx="27">
                  <c:v>13436.405730660848</c:v>
                </c:pt>
                <c:pt idx="28">
                  <c:v>14627.27367014118</c:v>
                </c:pt>
                <c:pt idx="29">
                  <c:v>16142.766547011624</c:v>
                </c:pt>
                <c:pt idx="30">
                  <c:v>23408.607735357542</c:v>
                </c:pt>
                <c:pt idx="31">
                  <c:v>32974.011442284158</c:v>
                </c:pt>
                <c:pt idx="32">
                  <c:v>34083.594985483738</c:v>
                </c:pt>
                <c:pt idx="33">
                  <c:v>32159.077719662251</c:v>
                </c:pt>
                <c:pt idx="34">
                  <c:v>26564.33894911849</c:v>
                </c:pt>
                <c:pt idx="35">
                  <c:v>17985.367492412857</c:v>
                </c:pt>
                <c:pt idx="36">
                  <c:v>15554.984374653492</c:v>
                </c:pt>
                <c:pt idx="37">
                  <c:v>15298.145409176022</c:v>
                </c:pt>
                <c:pt idx="38">
                  <c:v>17345.435753572125</c:v>
                </c:pt>
                <c:pt idx="39">
                  <c:v>22052.211196481399</c:v>
                </c:pt>
                <c:pt idx="40">
                  <c:v>24158.830018804165</c:v>
                </c:pt>
                <c:pt idx="41">
                  <c:v>23480.398402741161</c:v>
                </c:pt>
                <c:pt idx="42">
                  <c:v>22221.248692283538</c:v>
                </c:pt>
                <c:pt idx="43">
                  <c:v>17809.47189805673</c:v>
                </c:pt>
                <c:pt idx="44">
                  <c:v>16684.540285072202</c:v>
                </c:pt>
                <c:pt idx="45">
                  <c:v>13408.30660631759</c:v>
                </c:pt>
                <c:pt idx="46">
                  <c:v>6888.6221466755305</c:v>
                </c:pt>
                <c:pt idx="47">
                  <c:v>2691.8380801229869</c:v>
                </c:pt>
                <c:pt idx="48">
                  <c:v>1046.1855984434503</c:v>
                </c:pt>
                <c:pt idx="49">
                  <c:v>1046.1855984434503</c:v>
                </c:pt>
                <c:pt idx="50">
                  <c:v>1046.1855984434503</c:v>
                </c:pt>
                <c:pt idx="51">
                  <c:v>1046.1855984434503</c:v>
                </c:pt>
                <c:pt idx="52">
                  <c:v>1046.1855984434503</c:v>
                </c:pt>
                <c:pt idx="53">
                  <c:v>1323.7289611579868</c:v>
                </c:pt>
                <c:pt idx="54">
                  <c:v>1793.7067541686936</c:v>
                </c:pt>
                <c:pt idx="55">
                  <c:v>2571.9642960408432</c:v>
                </c:pt>
                <c:pt idx="56">
                  <c:v>2707.5537374287269</c:v>
                </c:pt>
                <c:pt idx="57">
                  <c:v>2250.725944017518</c:v>
                </c:pt>
                <c:pt idx="58">
                  <c:v>1337.8130810517355</c:v>
                </c:pt>
                <c:pt idx="59">
                  <c:v>1034.6452520632683</c:v>
                </c:pt>
                <c:pt idx="60">
                  <c:v>1034.6452520632683</c:v>
                </c:pt>
                <c:pt idx="61">
                  <c:v>1034.6452520632683</c:v>
                </c:pt>
                <c:pt idx="62">
                  <c:v>1046.1855984434503</c:v>
                </c:pt>
                <c:pt idx="63">
                  <c:v>1046.1855984434503</c:v>
                </c:pt>
                <c:pt idx="64">
                  <c:v>1351.9717335232956</c:v>
                </c:pt>
                <c:pt idx="65">
                  <c:v>1351.9717335232956</c:v>
                </c:pt>
                <c:pt idx="66">
                  <c:v>1351.9717335232956</c:v>
                </c:pt>
                <c:pt idx="67">
                  <c:v>1046.1855984434503</c:v>
                </c:pt>
                <c:pt idx="68">
                  <c:v>1046.1855984434503</c:v>
                </c:pt>
                <c:pt idx="69">
                  <c:v>1046.1855984434503</c:v>
                </c:pt>
                <c:pt idx="70">
                  <c:v>1046.1855984434503</c:v>
                </c:pt>
                <c:pt idx="71">
                  <c:v>1046.1855984434503</c:v>
                </c:pt>
              </c:numCache>
            </c:numRef>
          </c:val>
          <c:extLst>
            <c:ext xmlns:c16="http://schemas.microsoft.com/office/drawing/2014/chart" uri="{C3380CC4-5D6E-409C-BE32-E72D297353CC}">
              <c16:uniqueId val="{00000000-422C-4272-A169-BD2915ED7009}"/>
            </c:ext>
          </c:extLst>
        </c:ser>
        <c:ser>
          <c:idx val="1"/>
          <c:order val="1"/>
          <c:tx>
            <c:strRef>
              <c:f>'EL GEN - Time'!$G$5:$G$6</c:f>
              <c:strCache>
                <c:ptCount val="1"/>
                <c:pt idx="0">
                  <c:v>Condensing</c:v>
                </c:pt>
              </c:strCache>
            </c:strRef>
          </c:tx>
          <c:spPr>
            <a:solidFill>
              <a:schemeClr val="accent2"/>
            </a:solidFill>
            <a:ln>
              <a:noFill/>
            </a:ln>
            <a:effectLst/>
          </c:spPr>
          <c:cat>
            <c:multiLvlStrRef>
              <c:f>'EL GEN - Time'!$B$7:$E$79</c:f>
              <c:multiLvlStrCache>
                <c:ptCount val="72"/>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T013</c:v>
                  </c:pt>
                  <c:pt idx="61">
                    <c:v>T014</c:v>
                  </c:pt>
                  <c:pt idx="62">
                    <c:v>T015</c:v>
                  </c:pt>
                  <c:pt idx="63">
                    <c:v>T016</c:v>
                  </c:pt>
                  <c:pt idx="64">
                    <c:v>T017</c:v>
                  </c:pt>
                  <c:pt idx="65">
                    <c:v>T018</c:v>
                  </c:pt>
                  <c:pt idx="66">
                    <c:v>T019</c:v>
                  </c:pt>
                  <c:pt idx="67">
                    <c:v>T020</c:v>
                  </c:pt>
                  <c:pt idx="68">
                    <c:v>T021</c:v>
                  </c:pt>
                  <c:pt idx="69">
                    <c:v>T022</c:v>
                  </c:pt>
                  <c:pt idx="70">
                    <c:v>T023</c:v>
                  </c:pt>
                  <c:pt idx="71">
                    <c:v>T024</c:v>
                  </c:pt>
                </c:lvl>
                <c:lvl>
                  <c:pt idx="0">
                    <c:v>S02</c:v>
                  </c:pt>
                  <c:pt idx="24">
                    <c:v>S02</c:v>
                  </c:pt>
                  <c:pt idx="48">
                    <c:v>S02</c:v>
                  </c:pt>
                </c:lvl>
                <c:lvl>
                  <c:pt idx="0">
                    <c:v>2016</c:v>
                  </c:pt>
                  <c:pt idx="24">
                    <c:v>2020</c:v>
                  </c:pt>
                  <c:pt idx="48">
                    <c:v>2030</c:v>
                  </c:pt>
                </c:lvl>
                <c:lvl>
                  <c:pt idx="0">
                    <c:v>2016</c:v>
                  </c:pt>
                  <c:pt idx="24">
                    <c:v>2020</c:v>
                  </c:pt>
                  <c:pt idx="48">
                    <c:v>2030</c:v>
                  </c:pt>
                </c:lvl>
              </c:multiLvlStrCache>
            </c:multiLvlStrRef>
          </c:cat>
          <c:val>
            <c:numRef>
              <c:f>'EL GEN - Time'!$G$7:$G$79</c:f>
              <c:numCache>
                <c:formatCode>General</c:formatCode>
                <c:ptCount val="72"/>
                <c:pt idx="0">
                  <c:v>72402.42842906338</c:v>
                </c:pt>
                <c:pt idx="1">
                  <c:v>70321.246188416582</c:v>
                </c:pt>
                <c:pt idx="2">
                  <c:v>68932.399271442409</c:v>
                </c:pt>
                <c:pt idx="3">
                  <c:v>67651.072856757048</c:v>
                </c:pt>
                <c:pt idx="4">
                  <c:v>69004.735172355024</c:v>
                </c:pt>
                <c:pt idx="5">
                  <c:v>72281.419952075259</c:v>
                </c:pt>
                <c:pt idx="6">
                  <c:v>89823.201216026064</c:v>
                </c:pt>
                <c:pt idx="7">
                  <c:v>98850.697022532884</c:v>
                </c:pt>
                <c:pt idx="8">
                  <c:v>102913.07861701172</c:v>
                </c:pt>
                <c:pt idx="9">
                  <c:v>103580.01758327866</c:v>
                </c:pt>
                <c:pt idx="10">
                  <c:v>101824.0508709906</c:v>
                </c:pt>
                <c:pt idx="11">
                  <c:v>97535.422663599224</c:v>
                </c:pt>
                <c:pt idx="12">
                  <c:v>97809.492187617201</c:v>
                </c:pt>
                <c:pt idx="13">
                  <c:v>98207.184280870366</c:v>
                </c:pt>
                <c:pt idx="14">
                  <c:v>103541.98271279113</c:v>
                </c:pt>
                <c:pt idx="15">
                  <c:v>106692.20397743314</c:v>
                </c:pt>
                <c:pt idx="16">
                  <c:v>114075.32506865503</c:v>
                </c:pt>
                <c:pt idx="17">
                  <c:v>117750.05216365631</c:v>
                </c:pt>
                <c:pt idx="18">
                  <c:v>115712.66731653859</c:v>
                </c:pt>
                <c:pt idx="19">
                  <c:v>111232.06212035312</c:v>
                </c:pt>
                <c:pt idx="20">
                  <c:v>100436.47552847084</c:v>
                </c:pt>
                <c:pt idx="21">
                  <c:v>92112.850295830387</c:v>
                </c:pt>
                <c:pt idx="22">
                  <c:v>85447.321891112297</c:v>
                </c:pt>
                <c:pt idx="23">
                  <c:v>79964.288350616844</c:v>
                </c:pt>
                <c:pt idx="24">
                  <c:v>59909.427933913292</c:v>
                </c:pt>
                <c:pt idx="25">
                  <c:v>57267.158318922586</c:v>
                </c:pt>
                <c:pt idx="26">
                  <c:v>57549.722487914572</c:v>
                </c:pt>
                <c:pt idx="27">
                  <c:v>56100.982331086023</c:v>
                </c:pt>
                <c:pt idx="28">
                  <c:v>55830.295619366989</c:v>
                </c:pt>
                <c:pt idx="29">
                  <c:v>63333.689611784393</c:v>
                </c:pt>
                <c:pt idx="30">
                  <c:v>75778.271604317459</c:v>
                </c:pt>
                <c:pt idx="31">
                  <c:v>83003.532211364756</c:v>
                </c:pt>
                <c:pt idx="32">
                  <c:v>84407.389862599754</c:v>
                </c:pt>
                <c:pt idx="33">
                  <c:v>84407.389862599754</c:v>
                </c:pt>
                <c:pt idx="34">
                  <c:v>84169.489862599759</c:v>
                </c:pt>
                <c:pt idx="35">
                  <c:v>84721.874220136946</c:v>
                </c:pt>
                <c:pt idx="36">
                  <c:v>84148.296531764485</c:v>
                </c:pt>
                <c:pt idx="37">
                  <c:v>85977.408104807851</c:v>
                </c:pt>
                <c:pt idx="38">
                  <c:v>91377.711373273225</c:v>
                </c:pt>
                <c:pt idx="39">
                  <c:v>96245.14449591875</c:v>
                </c:pt>
                <c:pt idx="40">
                  <c:v>103528.8199190625</c:v>
                </c:pt>
                <c:pt idx="41">
                  <c:v>107968.6417377858</c:v>
                </c:pt>
                <c:pt idx="42">
                  <c:v>106883.05415646375</c:v>
                </c:pt>
                <c:pt idx="43">
                  <c:v>102630.81026425009</c:v>
                </c:pt>
                <c:pt idx="44">
                  <c:v>93518.382911157227</c:v>
                </c:pt>
                <c:pt idx="45">
                  <c:v>84220.213676529194</c:v>
                </c:pt>
                <c:pt idx="46">
                  <c:v>76605.487280022266</c:v>
                </c:pt>
                <c:pt idx="47">
                  <c:v>70125.65059617949</c:v>
                </c:pt>
                <c:pt idx="48">
                  <c:v>24592.108496966619</c:v>
                </c:pt>
                <c:pt idx="49">
                  <c:v>24592.108496966619</c:v>
                </c:pt>
                <c:pt idx="50">
                  <c:v>24592.108496966619</c:v>
                </c:pt>
                <c:pt idx="51">
                  <c:v>24592.108496966619</c:v>
                </c:pt>
                <c:pt idx="52">
                  <c:v>24592.108496966619</c:v>
                </c:pt>
                <c:pt idx="53">
                  <c:v>23908.108496966619</c:v>
                </c:pt>
                <c:pt idx="54">
                  <c:v>25839.108496966619</c:v>
                </c:pt>
                <c:pt idx="55">
                  <c:v>26121.084345053536</c:v>
                </c:pt>
                <c:pt idx="56">
                  <c:v>26203.108496966619</c:v>
                </c:pt>
                <c:pt idx="57">
                  <c:v>25839.108496966619</c:v>
                </c:pt>
                <c:pt idx="58">
                  <c:v>24960.642776671866</c:v>
                </c:pt>
                <c:pt idx="59">
                  <c:v>24592.108496966619</c:v>
                </c:pt>
                <c:pt idx="60">
                  <c:v>23908.108496966619</c:v>
                </c:pt>
                <c:pt idx="61">
                  <c:v>23908.108496966619</c:v>
                </c:pt>
                <c:pt idx="62">
                  <c:v>23908.108496966619</c:v>
                </c:pt>
                <c:pt idx="63">
                  <c:v>24714.108496966619</c:v>
                </c:pt>
                <c:pt idx="64">
                  <c:v>24714.108496966619</c:v>
                </c:pt>
                <c:pt idx="65">
                  <c:v>25020.082039710032</c:v>
                </c:pt>
                <c:pt idx="66">
                  <c:v>24714.108496966619</c:v>
                </c:pt>
                <c:pt idx="67">
                  <c:v>25398.108496966619</c:v>
                </c:pt>
                <c:pt idx="68">
                  <c:v>25398.108496966619</c:v>
                </c:pt>
                <c:pt idx="69">
                  <c:v>25398.108496966619</c:v>
                </c:pt>
                <c:pt idx="70">
                  <c:v>25398.108496966619</c:v>
                </c:pt>
                <c:pt idx="71">
                  <c:v>22622.108496966619</c:v>
                </c:pt>
              </c:numCache>
            </c:numRef>
          </c:val>
          <c:extLst>
            <c:ext xmlns:c16="http://schemas.microsoft.com/office/drawing/2014/chart" uri="{C3380CC4-5D6E-409C-BE32-E72D297353CC}">
              <c16:uniqueId val="{0000003D-66F2-4940-B061-2E4F5C8174DB}"/>
            </c:ext>
          </c:extLst>
        </c:ser>
        <c:ser>
          <c:idx val="2"/>
          <c:order val="2"/>
          <c:tx>
            <c:strRef>
              <c:f>'EL GEN - Time'!$H$5:$H$6</c:f>
              <c:strCache>
                <c:ptCount val="1"/>
                <c:pt idx="0">
                  <c:v>EL storage</c:v>
                </c:pt>
              </c:strCache>
            </c:strRef>
          </c:tx>
          <c:spPr>
            <a:solidFill>
              <a:schemeClr val="accent3"/>
            </a:solidFill>
            <a:ln>
              <a:noFill/>
            </a:ln>
            <a:effectLst/>
          </c:spPr>
          <c:cat>
            <c:multiLvlStrRef>
              <c:f>'EL GEN - Time'!$B$7:$E$79</c:f>
              <c:multiLvlStrCache>
                <c:ptCount val="72"/>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T013</c:v>
                  </c:pt>
                  <c:pt idx="61">
                    <c:v>T014</c:v>
                  </c:pt>
                  <c:pt idx="62">
                    <c:v>T015</c:v>
                  </c:pt>
                  <c:pt idx="63">
                    <c:v>T016</c:v>
                  </c:pt>
                  <c:pt idx="64">
                    <c:v>T017</c:v>
                  </c:pt>
                  <c:pt idx="65">
                    <c:v>T018</c:v>
                  </c:pt>
                  <c:pt idx="66">
                    <c:v>T019</c:v>
                  </c:pt>
                  <c:pt idx="67">
                    <c:v>T020</c:v>
                  </c:pt>
                  <c:pt idx="68">
                    <c:v>T021</c:v>
                  </c:pt>
                  <c:pt idx="69">
                    <c:v>T022</c:v>
                  </c:pt>
                  <c:pt idx="70">
                    <c:v>T023</c:v>
                  </c:pt>
                  <c:pt idx="71">
                    <c:v>T024</c:v>
                  </c:pt>
                </c:lvl>
                <c:lvl>
                  <c:pt idx="0">
                    <c:v>S02</c:v>
                  </c:pt>
                  <c:pt idx="24">
                    <c:v>S02</c:v>
                  </c:pt>
                  <c:pt idx="48">
                    <c:v>S02</c:v>
                  </c:pt>
                </c:lvl>
                <c:lvl>
                  <c:pt idx="0">
                    <c:v>2016</c:v>
                  </c:pt>
                  <c:pt idx="24">
                    <c:v>2020</c:v>
                  </c:pt>
                  <c:pt idx="48">
                    <c:v>2030</c:v>
                  </c:pt>
                </c:lvl>
                <c:lvl>
                  <c:pt idx="0">
                    <c:v>2016</c:v>
                  </c:pt>
                  <c:pt idx="24">
                    <c:v>2020</c:v>
                  </c:pt>
                  <c:pt idx="48">
                    <c:v>2030</c:v>
                  </c:pt>
                </c:lvl>
              </c:multiLvlStrCache>
            </c:multiLvlStrRef>
          </c:cat>
          <c:val>
            <c:numRef>
              <c:f>'EL GEN - Time'!$H$7:$H$79</c:f>
              <c:numCache>
                <c:formatCode>General</c:formatCode>
                <c:ptCount val="72"/>
                <c:pt idx="48">
                  <c:v>13180.823950614527</c:v>
                </c:pt>
                <c:pt idx="49">
                  <c:v>13971.617051525873</c:v>
                </c:pt>
                <c:pt idx="50">
                  <c:v>17197.820763764976</c:v>
                </c:pt>
                <c:pt idx="51">
                  <c:v>16796.361309615171</c:v>
                </c:pt>
                <c:pt idx="52">
                  <c:v>22519.721164334242</c:v>
                </c:pt>
                <c:pt idx="53">
                  <c:v>30873.467228302638</c:v>
                </c:pt>
                <c:pt idx="54">
                  <c:v>45640.884635144932</c:v>
                </c:pt>
                <c:pt idx="55">
                  <c:v>53816.752779154376</c:v>
                </c:pt>
                <c:pt idx="56">
                  <c:v>54618.506853275256</c:v>
                </c:pt>
                <c:pt idx="57">
                  <c:v>25809.158145361744</c:v>
                </c:pt>
                <c:pt idx="58">
                  <c:v>2139.9877089023544</c:v>
                </c:pt>
                <c:pt idx="59">
                  <c:v>286.4171324886637</c:v>
                </c:pt>
                <c:pt idx="63">
                  <c:v>1310.7539603738701</c:v>
                </c:pt>
                <c:pt idx="64">
                  <c:v>35946.669663107547</c:v>
                </c:pt>
                <c:pt idx="65">
                  <c:v>47248.280887791574</c:v>
                </c:pt>
                <c:pt idx="66">
                  <c:v>37439.657785744741</c:v>
                </c:pt>
                <c:pt idx="67">
                  <c:v>30383.455381356969</c:v>
                </c:pt>
                <c:pt idx="68">
                  <c:v>26872.27787403619</c:v>
                </c:pt>
                <c:pt idx="69">
                  <c:v>21119.62293839443</c:v>
                </c:pt>
                <c:pt idx="70">
                  <c:v>13281.690592594548</c:v>
                </c:pt>
                <c:pt idx="71">
                  <c:v>10827.38895065531</c:v>
                </c:pt>
              </c:numCache>
            </c:numRef>
          </c:val>
          <c:extLst>
            <c:ext xmlns:c16="http://schemas.microsoft.com/office/drawing/2014/chart" uri="{C3380CC4-5D6E-409C-BE32-E72D297353CC}">
              <c16:uniqueId val="{0000003E-66F2-4940-B061-2E4F5C8174DB}"/>
            </c:ext>
          </c:extLst>
        </c:ser>
        <c:ser>
          <c:idx val="3"/>
          <c:order val="3"/>
          <c:tx>
            <c:strRef>
              <c:f>'EL GEN - Time'!$I$5:$I$6</c:f>
              <c:strCache>
                <c:ptCount val="1"/>
                <c:pt idx="0">
                  <c:v>EL storage S</c:v>
                </c:pt>
              </c:strCache>
            </c:strRef>
          </c:tx>
          <c:spPr>
            <a:solidFill>
              <a:schemeClr val="accent4"/>
            </a:solidFill>
            <a:ln>
              <a:noFill/>
            </a:ln>
            <a:effectLst/>
          </c:spPr>
          <c:cat>
            <c:multiLvlStrRef>
              <c:f>'EL GEN - Time'!$B$7:$E$79</c:f>
              <c:multiLvlStrCache>
                <c:ptCount val="72"/>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T013</c:v>
                  </c:pt>
                  <c:pt idx="61">
                    <c:v>T014</c:v>
                  </c:pt>
                  <c:pt idx="62">
                    <c:v>T015</c:v>
                  </c:pt>
                  <c:pt idx="63">
                    <c:v>T016</c:v>
                  </c:pt>
                  <c:pt idx="64">
                    <c:v>T017</c:v>
                  </c:pt>
                  <c:pt idx="65">
                    <c:v>T018</c:v>
                  </c:pt>
                  <c:pt idx="66">
                    <c:v>T019</c:v>
                  </c:pt>
                  <c:pt idx="67">
                    <c:v>T020</c:v>
                  </c:pt>
                  <c:pt idx="68">
                    <c:v>T021</c:v>
                  </c:pt>
                  <c:pt idx="69">
                    <c:v>T022</c:v>
                  </c:pt>
                  <c:pt idx="70">
                    <c:v>T023</c:v>
                  </c:pt>
                  <c:pt idx="71">
                    <c:v>T024</c:v>
                  </c:pt>
                </c:lvl>
                <c:lvl>
                  <c:pt idx="0">
                    <c:v>S02</c:v>
                  </c:pt>
                  <c:pt idx="24">
                    <c:v>S02</c:v>
                  </c:pt>
                  <c:pt idx="48">
                    <c:v>S02</c:v>
                  </c:pt>
                </c:lvl>
                <c:lvl>
                  <c:pt idx="0">
                    <c:v>2016</c:v>
                  </c:pt>
                  <c:pt idx="24">
                    <c:v>2020</c:v>
                  </c:pt>
                  <c:pt idx="48">
                    <c:v>2030</c:v>
                  </c:pt>
                </c:lvl>
                <c:lvl>
                  <c:pt idx="0">
                    <c:v>2016</c:v>
                  </c:pt>
                  <c:pt idx="24">
                    <c:v>2020</c:v>
                  </c:pt>
                  <c:pt idx="48">
                    <c:v>2030</c:v>
                  </c:pt>
                </c:lvl>
              </c:multiLvlStrCache>
            </c:multiLvlStrRef>
          </c:cat>
          <c:val>
            <c:numRef>
              <c:f>'EL GEN - Time'!$I$7:$I$79</c:f>
              <c:numCache>
                <c:formatCode>General</c:formatCode>
                <c:ptCount val="72"/>
                <c:pt idx="0">
                  <c:v>505.31300060067673</c:v>
                </c:pt>
                <c:pt idx="1">
                  <c:v>2757.8847750426471</c:v>
                </c:pt>
                <c:pt idx="2">
                  <c:v>674.61766444961995</c:v>
                </c:pt>
                <c:pt idx="7">
                  <c:v>4502.7209747767311</c:v>
                </c:pt>
                <c:pt idx="8">
                  <c:v>2156.8121759081964</c:v>
                </c:pt>
                <c:pt idx="9">
                  <c:v>93.6</c:v>
                </c:pt>
                <c:pt idx="16">
                  <c:v>1648.2963918327739</c:v>
                </c:pt>
                <c:pt idx="17">
                  <c:v>5011.2367588521538</c:v>
                </c:pt>
                <c:pt idx="18">
                  <c:v>26.312000000000001</c:v>
                </c:pt>
                <c:pt idx="24">
                  <c:v>2944.6448716517843</c:v>
                </c:pt>
                <c:pt idx="25">
                  <c:v>2951.3551858905798</c:v>
                </c:pt>
                <c:pt idx="31">
                  <c:v>1464.7849972053648</c:v>
                </c:pt>
                <c:pt idx="32">
                  <c:v>4803.0669250124001</c:v>
                </c:pt>
                <c:pt idx="33">
                  <c:v>391.68122846716699</c:v>
                </c:pt>
                <c:pt idx="40">
                  <c:v>2893.9947945205463</c:v>
                </c:pt>
                <c:pt idx="41">
                  <c:v>3839.1105846078322</c:v>
                </c:pt>
                <c:pt idx="44">
                  <c:v>26.312000000000001</c:v>
                </c:pt>
                <c:pt idx="48">
                  <c:v>5324.3857111205489</c:v>
                </c:pt>
                <c:pt idx="49">
                  <c:v>997.70908339999869</c:v>
                </c:pt>
                <c:pt idx="51">
                  <c:v>2415</c:v>
                </c:pt>
                <c:pt idx="52">
                  <c:v>1025.14073280973</c:v>
                </c:pt>
                <c:pt idx="55">
                  <c:v>4362.2448717700117</c:v>
                </c:pt>
                <c:pt idx="56">
                  <c:v>2316.4781880192145</c:v>
                </c:pt>
                <c:pt idx="58">
                  <c:v>91.674090895698598</c:v>
                </c:pt>
                <c:pt idx="59">
                  <c:v>119.1</c:v>
                </c:pt>
                <c:pt idx="60">
                  <c:v>1860.77260273973</c:v>
                </c:pt>
                <c:pt idx="61">
                  <c:v>3073.0125402652002</c:v>
                </c:pt>
                <c:pt idx="62">
                  <c:v>2163</c:v>
                </c:pt>
                <c:pt idx="64">
                  <c:v>4827.3993141771998</c:v>
                </c:pt>
                <c:pt idx="65">
                  <c:v>1952.0458365077227</c:v>
                </c:pt>
                <c:pt idx="69">
                  <c:v>2534.1</c:v>
                </c:pt>
              </c:numCache>
            </c:numRef>
          </c:val>
          <c:extLst>
            <c:ext xmlns:c16="http://schemas.microsoft.com/office/drawing/2014/chart" uri="{C3380CC4-5D6E-409C-BE32-E72D297353CC}">
              <c16:uniqueId val="{0000003F-66F2-4940-B061-2E4F5C8174DB}"/>
            </c:ext>
          </c:extLst>
        </c:ser>
        <c:ser>
          <c:idx val="4"/>
          <c:order val="4"/>
          <c:tx>
            <c:strRef>
              <c:f>'EL GEN - Time'!$J$5:$J$6</c:f>
              <c:strCache>
                <c:ptCount val="1"/>
                <c:pt idx="0">
                  <c:v>Electricity to heat</c:v>
                </c:pt>
              </c:strCache>
            </c:strRef>
          </c:tx>
          <c:spPr>
            <a:solidFill>
              <a:schemeClr val="accent5"/>
            </a:solidFill>
            <a:ln>
              <a:noFill/>
            </a:ln>
            <a:effectLst/>
          </c:spPr>
          <c:cat>
            <c:multiLvlStrRef>
              <c:f>'EL GEN - Time'!$B$7:$E$79</c:f>
              <c:multiLvlStrCache>
                <c:ptCount val="72"/>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T013</c:v>
                  </c:pt>
                  <c:pt idx="61">
                    <c:v>T014</c:v>
                  </c:pt>
                  <c:pt idx="62">
                    <c:v>T015</c:v>
                  </c:pt>
                  <c:pt idx="63">
                    <c:v>T016</c:v>
                  </c:pt>
                  <c:pt idx="64">
                    <c:v>T017</c:v>
                  </c:pt>
                  <c:pt idx="65">
                    <c:v>T018</c:v>
                  </c:pt>
                  <c:pt idx="66">
                    <c:v>T019</c:v>
                  </c:pt>
                  <c:pt idx="67">
                    <c:v>T020</c:v>
                  </c:pt>
                  <c:pt idx="68">
                    <c:v>T021</c:v>
                  </c:pt>
                  <c:pt idx="69">
                    <c:v>T022</c:v>
                  </c:pt>
                  <c:pt idx="70">
                    <c:v>T023</c:v>
                  </c:pt>
                  <c:pt idx="71">
                    <c:v>T024</c:v>
                  </c:pt>
                </c:lvl>
                <c:lvl>
                  <c:pt idx="0">
                    <c:v>S02</c:v>
                  </c:pt>
                  <c:pt idx="24">
                    <c:v>S02</c:v>
                  </c:pt>
                  <c:pt idx="48">
                    <c:v>S02</c:v>
                  </c:pt>
                </c:lvl>
                <c:lvl>
                  <c:pt idx="0">
                    <c:v>2016</c:v>
                  </c:pt>
                  <c:pt idx="24">
                    <c:v>2020</c:v>
                  </c:pt>
                  <c:pt idx="48">
                    <c:v>2030</c:v>
                  </c:pt>
                </c:lvl>
                <c:lvl>
                  <c:pt idx="0">
                    <c:v>2016</c:v>
                  </c:pt>
                  <c:pt idx="24">
                    <c:v>2020</c:v>
                  </c:pt>
                  <c:pt idx="48">
                    <c:v>2030</c:v>
                  </c:pt>
                </c:lvl>
              </c:multiLvlStrCache>
            </c:multiLvlStrRef>
          </c:cat>
          <c:val>
            <c:numRef>
              <c:f>'EL GEN - Time'!$J$7:$J$79</c:f>
              <c:numCache>
                <c:formatCode>General</c:formatCode>
                <c:ptCount val="72"/>
                <c:pt idx="0">
                  <c:v>-40.05118246564863</c:v>
                </c:pt>
                <c:pt idx="1">
                  <c:v>-60.165267707763668</c:v>
                </c:pt>
                <c:pt idx="2">
                  <c:v>-60.608493528030557</c:v>
                </c:pt>
                <c:pt idx="3">
                  <c:v>-44.314323745013873</c:v>
                </c:pt>
                <c:pt idx="4">
                  <c:v>-52.320631874888527</c:v>
                </c:pt>
                <c:pt idx="5">
                  <c:v>-87.696527877162637</c:v>
                </c:pt>
                <c:pt idx="6">
                  <c:v>-165.80999358887249</c:v>
                </c:pt>
                <c:pt idx="7">
                  <c:v>-189.73111485509961</c:v>
                </c:pt>
                <c:pt idx="8">
                  <c:v>-178.34634083485759</c:v>
                </c:pt>
                <c:pt idx="9">
                  <c:v>-189.75871994995151</c:v>
                </c:pt>
                <c:pt idx="10">
                  <c:v>-171.68683531661154</c:v>
                </c:pt>
                <c:pt idx="11">
                  <c:v>-168.41824888105452</c:v>
                </c:pt>
                <c:pt idx="12">
                  <c:v>-161.97073260761647</c:v>
                </c:pt>
                <c:pt idx="13">
                  <c:v>-161.59023818166222</c:v>
                </c:pt>
                <c:pt idx="14">
                  <c:v>-157.4730769966682</c:v>
                </c:pt>
                <c:pt idx="15">
                  <c:v>-157.4267199980078</c:v>
                </c:pt>
                <c:pt idx="16">
                  <c:v>-145.85998278604043</c:v>
                </c:pt>
                <c:pt idx="17">
                  <c:v>-129.58032746125465</c:v>
                </c:pt>
                <c:pt idx="18">
                  <c:v>-118.47101015296026</c:v>
                </c:pt>
                <c:pt idx="19">
                  <c:v>-106.13657204787748</c:v>
                </c:pt>
                <c:pt idx="20">
                  <c:v>-92.290889559574865</c:v>
                </c:pt>
                <c:pt idx="21">
                  <c:v>-78.511752412715765</c:v>
                </c:pt>
                <c:pt idx="22">
                  <c:v>-74.272496127250861</c:v>
                </c:pt>
                <c:pt idx="23">
                  <c:v>-139.22085916839791</c:v>
                </c:pt>
              </c:numCache>
            </c:numRef>
          </c:val>
          <c:extLst>
            <c:ext xmlns:c16="http://schemas.microsoft.com/office/drawing/2014/chart" uri="{C3380CC4-5D6E-409C-BE32-E72D297353CC}">
              <c16:uniqueId val="{00000040-66F2-4940-B061-2E4F5C8174DB}"/>
            </c:ext>
          </c:extLst>
        </c:ser>
        <c:ser>
          <c:idx val="5"/>
          <c:order val="5"/>
          <c:tx>
            <c:strRef>
              <c:f>'EL GEN - Time'!$K$5:$K$6</c:f>
              <c:strCache>
                <c:ptCount val="1"/>
                <c:pt idx="0">
                  <c:v>Extraction</c:v>
                </c:pt>
              </c:strCache>
            </c:strRef>
          </c:tx>
          <c:spPr>
            <a:solidFill>
              <a:schemeClr val="accent6"/>
            </a:solidFill>
            <a:ln>
              <a:noFill/>
            </a:ln>
            <a:effectLst/>
          </c:spPr>
          <c:cat>
            <c:multiLvlStrRef>
              <c:f>'EL GEN - Time'!$B$7:$E$79</c:f>
              <c:multiLvlStrCache>
                <c:ptCount val="72"/>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T013</c:v>
                  </c:pt>
                  <c:pt idx="61">
                    <c:v>T014</c:v>
                  </c:pt>
                  <c:pt idx="62">
                    <c:v>T015</c:v>
                  </c:pt>
                  <c:pt idx="63">
                    <c:v>T016</c:v>
                  </c:pt>
                  <c:pt idx="64">
                    <c:v>T017</c:v>
                  </c:pt>
                  <c:pt idx="65">
                    <c:v>T018</c:v>
                  </c:pt>
                  <c:pt idx="66">
                    <c:v>T019</c:v>
                  </c:pt>
                  <c:pt idx="67">
                    <c:v>T020</c:v>
                  </c:pt>
                  <c:pt idx="68">
                    <c:v>T021</c:v>
                  </c:pt>
                  <c:pt idx="69">
                    <c:v>T022</c:v>
                  </c:pt>
                  <c:pt idx="70">
                    <c:v>T023</c:v>
                  </c:pt>
                  <c:pt idx="71">
                    <c:v>T024</c:v>
                  </c:pt>
                </c:lvl>
                <c:lvl>
                  <c:pt idx="0">
                    <c:v>S02</c:v>
                  </c:pt>
                  <c:pt idx="24">
                    <c:v>S02</c:v>
                  </c:pt>
                  <c:pt idx="48">
                    <c:v>S02</c:v>
                  </c:pt>
                </c:lvl>
                <c:lvl>
                  <c:pt idx="0">
                    <c:v>2016</c:v>
                  </c:pt>
                  <c:pt idx="24">
                    <c:v>2020</c:v>
                  </c:pt>
                  <c:pt idx="48">
                    <c:v>2030</c:v>
                  </c:pt>
                </c:lvl>
                <c:lvl>
                  <c:pt idx="0">
                    <c:v>2016</c:v>
                  </c:pt>
                  <c:pt idx="24">
                    <c:v>2020</c:v>
                  </c:pt>
                  <c:pt idx="48">
                    <c:v>2030</c:v>
                  </c:pt>
                </c:lvl>
              </c:multiLvlStrCache>
            </c:multiLvlStrRef>
          </c:cat>
          <c:val>
            <c:numRef>
              <c:f>'EL GEN - Time'!$K$7:$K$79</c:f>
              <c:numCache>
                <c:formatCode>General</c:formatCode>
                <c:ptCount val="72"/>
                <c:pt idx="0">
                  <c:v>3673.1823385077814</c:v>
                </c:pt>
                <c:pt idx="1">
                  <c:v>3551.3077508025908</c:v>
                </c:pt>
                <c:pt idx="2">
                  <c:v>3137.5526831599527</c:v>
                </c:pt>
                <c:pt idx="3">
                  <c:v>3582.5132506952145</c:v>
                </c:pt>
                <c:pt idx="4">
                  <c:v>3787.6589693923429</c:v>
                </c:pt>
                <c:pt idx="5">
                  <c:v>4685.3021864712855</c:v>
                </c:pt>
                <c:pt idx="6">
                  <c:v>5148.6881745072442</c:v>
                </c:pt>
                <c:pt idx="7">
                  <c:v>5399.5378066672047</c:v>
                </c:pt>
                <c:pt idx="8">
                  <c:v>5644.2842074155533</c:v>
                </c:pt>
                <c:pt idx="9">
                  <c:v>5615.3334039600395</c:v>
                </c:pt>
                <c:pt idx="10">
                  <c:v>5626.8577912015098</c:v>
                </c:pt>
                <c:pt idx="11">
                  <c:v>5594.2801856647111</c:v>
                </c:pt>
                <c:pt idx="12">
                  <c:v>5567.7930249074552</c:v>
                </c:pt>
                <c:pt idx="13">
                  <c:v>5542.9470862730286</c:v>
                </c:pt>
                <c:pt idx="14">
                  <c:v>5546.3672853824328</c:v>
                </c:pt>
                <c:pt idx="15">
                  <c:v>5551.5708092484592</c:v>
                </c:pt>
                <c:pt idx="16">
                  <c:v>5558.1945354339341</c:v>
                </c:pt>
                <c:pt idx="17">
                  <c:v>5575.1097160966056</c:v>
                </c:pt>
                <c:pt idx="18">
                  <c:v>5300.5161436253893</c:v>
                </c:pt>
                <c:pt idx="19">
                  <c:v>4620.7321782756871</c:v>
                </c:pt>
                <c:pt idx="20">
                  <c:v>4056.7775380156995</c:v>
                </c:pt>
                <c:pt idx="21">
                  <c:v>2956.3155893291614</c:v>
                </c:pt>
                <c:pt idx="22">
                  <c:v>2936.8891016682715</c:v>
                </c:pt>
                <c:pt idx="23">
                  <c:v>2799.3009125389381</c:v>
                </c:pt>
                <c:pt idx="24">
                  <c:v>5897.1476307583371</c:v>
                </c:pt>
                <c:pt idx="25">
                  <c:v>5897.1476307583371</c:v>
                </c:pt>
                <c:pt idx="26">
                  <c:v>5897.1476307583371</c:v>
                </c:pt>
                <c:pt idx="27">
                  <c:v>5897.1476307583371</c:v>
                </c:pt>
                <c:pt idx="28">
                  <c:v>5897.1476307583371</c:v>
                </c:pt>
                <c:pt idx="29">
                  <c:v>5897.1476307583371</c:v>
                </c:pt>
                <c:pt idx="30">
                  <c:v>6547.8556160053959</c:v>
                </c:pt>
                <c:pt idx="31">
                  <c:v>7031.6327415545211</c:v>
                </c:pt>
                <c:pt idx="32">
                  <c:v>7425.2573134995127</c:v>
                </c:pt>
                <c:pt idx="33">
                  <c:v>7584.100918546952</c:v>
                </c:pt>
                <c:pt idx="34">
                  <c:v>7302.2239414489777</c:v>
                </c:pt>
                <c:pt idx="35">
                  <c:v>7046.864435719086</c:v>
                </c:pt>
                <c:pt idx="36">
                  <c:v>7025.0457735832515</c:v>
                </c:pt>
                <c:pt idx="37">
                  <c:v>6940.2363404448597</c:v>
                </c:pt>
                <c:pt idx="38">
                  <c:v>6911.3999989013619</c:v>
                </c:pt>
                <c:pt idx="39">
                  <c:v>7068.2116988092057</c:v>
                </c:pt>
                <c:pt idx="40">
                  <c:v>7342.7510044972641</c:v>
                </c:pt>
                <c:pt idx="41">
                  <c:v>7173.8027600340292</c:v>
                </c:pt>
                <c:pt idx="42">
                  <c:v>6990.8081999875585</c:v>
                </c:pt>
                <c:pt idx="43">
                  <c:v>6537.3498584420895</c:v>
                </c:pt>
                <c:pt idx="44">
                  <c:v>6104.2560785019587</c:v>
                </c:pt>
                <c:pt idx="45">
                  <c:v>4366.6665975249043</c:v>
                </c:pt>
                <c:pt idx="46">
                  <c:v>3797.1998862329251</c:v>
                </c:pt>
                <c:pt idx="47">
                  <c:v>3298.1476307583371</c:v>
                </c:pt>
                <c:pt idx="48">
                  <c:v>236.14763075833702</c:v>
                </c:pt>
                <c:pt idx="49">
                  <c:v>236.14763075833702</c:v>
                </c:pt>
                <c:pt idx="50">
                  <c:v>236.14763075833702</c:v>
                </c:pt>
                <c:pt idx="51">
                  <c:v>236.14763075833702</c:v>
                </c:pt>
                <c:pt idx="52">
                  <c:v>236.14763075833702</c:v>
                </c:pt>
                <c:pt idx="53">
                  <c:v>236.14763075833702</c:v>
                </c:pt>
                <c:pt idx="54">
                  <c:v>324.14763075833702</c:v>
                </c:pt>
                <c:pt idx="55">
                  <c:v>610.14763075833707</c:v>
                </c:pt>
                <c:pt idx="56">
                  <c:v>778.14763075833696</c:v>
                </c:pt>
                <c:pt idx="57">
                  <c:v>361.88265649195375</c:v>
                </c:pt>
                <c:pt idx="58">
                  <c:v>331.14763075833702</c:v>
                </c:pt>
                <c:pt idx="59">
                  <c:v>262.22825869480772</c:v>
                </c:pt>
                <c:pt idx="60">
                  <c:v>236.14763075833702</c:v>
                </c:pt>
                <c:pt idx="61">
                  <c:v>236.14763075833702</c:v>
                </c:pt>
                <c:pt idx="62">
                  <c:v>236.14763075833702</c:v>
                </c:pt>
                <c:pt idx="63">
                  <c:v>236.14763075833702</c:v>
                </c:pt>
                <c:pt idx="64">
                  <c:v>331.14763075833702</c:v>
                </c:pt>
                <c:pt idx="65">
                  <c:v>331.14763075833702</c:v>
                </c:pt>
                <c:pt idx="66">
                  <c:v>236.14763075833702</c:v>
                </c:pt>
                <c:pt idx="67">
                  <c:v>236.14763075833702</c:v>
                </c:pt>
                <c:pt idx="68">
                  <c:v>236.14763075833702</c:v>
                </c:pt>
                <c:pt idx="69">
                  <c:v>236.14763075833702</c:v>
                </c:pt>
                <c:pt idx="70">
                  <c:v>236.14763075833702</c:v>
                </c:pt>
                <c:pt idx="71">
                  <c:v>202.14763075833702</c:v>
                </c:pt>
              </c:numCache>
            </c:numRef>
          </c:val>
          <c:extLst>
            <c:ext xmlns:c16="http://schemas.microsoft.com/office/drawing/2014/chart" uri="{C3380CC4-5D6E-409C-BE32-E72D297353CC}">
              <c16:uniqueId val="{00000041-66F2-4940-B061-2E4F5C8174DB}"/>
            </c:ext>
          </c:extLst>
        </c:ser>
        <c:ser>
          <c:idx val="6"/>
          <c:order val="6"/>
          <c:tx>
            <c:strRef>
              <c:f>'EL GEN - Time'!$L$5:$L$6</c:f>
              <c:strCache>
                <c:ptCount val="1"/>
                <c:pt idx="0">
                  <c:v>Hydro reservoir</c:v>
                </c:pt>
              </c:strCache>
            </c:strRef>
          </c:tx>
          <c:spPr>
            <a:solidFill>
              <a:schemeClr val="accent1">
                <a:lumMod val="60000"/>
              </a:schemeClr>
            </a:solidFill>
            <a:ln>
              <a:noFill/>
            </a:ln>
            <a:effectLst/>
          </c:spPr>
          <c:cat>
            <c:multiLvlStrRef>
              <c:f>'EL GEN - Time'!$B$7:$E$79</c:f>
              <c:multiLvlStrCache>
                <c:ptCount val="72"/>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T013</c:v>
                  </c:pt>
                  <c:pt idx="61">
                    <c:v>T014</c:v>
                  </c:pt>
                  <c:pt idx="62">
                    <c:v>T015</c:v>
                  </c:pt>
                  <c:pt idx="63">
                    <c:v>T016</c:v>
                  </c:pt>
                  <c:pt idx="64">
                    <c:v>T017</c:v>
                  </c:pt>
                  <c:pt idx="65">
                    <c:v>T018</c:v>
                  </c:pt>
                  <c:pt idx="66">
                    <c:v>T019</c:v>
                  </c:pt>
                  <c:pt idx="67">
                    <c:v>T020</c:v>
                  </c:pt>
                  <c:pt idx="68">
                    <c:v>T021</c:v>
                  </c:pt>
                  <c:pt idx="69">
                    <c:v>T022</c:v>
                  </c:pt>
                  <c:pt idx="70">
                    <c:v>T023</c:v>
                  </c:pt>
                  <c:pt idx="71">
                    <c:v>T024</c:v>
                  </c:pt>
                </c:lvl>
                <c:lvl>
                  <c:pt idx="0">
                    <c:v>S02</c:v>
                  </c:pt>
                  <c:pt idx="24">
                    <c:v>S02</c:v>
                  </c:pt>
                  <c:pt idx="48">
                    <c:v>S02</c:v>
                  </c:pt>
                </c:lvl>
                <c:lvl>
                  <c:pt idx="0">
                    <c:v>2016</c:v>
                  </c:pt>
                  <c:pt idx="24">
                    <c:v>2020</c:v>
                  </c:pt>
                  <c:pt idx="48">
                    <c:v>2030</c:v>
                  </c:pt>
                </c:lvl>
                <c:lvl>
                  <c:pt idx="0">
                    <c:v>2016</c:v>
                  </c:pt>
                  <c:pt idx="24">
                    <c:v>2020</c:v>
                  </c:pt>
                  <c:pt idx="48">
                    <c:v>2030</c:v>
                  </c:pt>
                </c:lvl>
              </c:multiLvlStrCache>
            </c:multiLvlStrRef>
          </c:cat>
          <c:val>
            <c:numRef>
              <c:f>'EL GEN - Time'!$L$7:$L$79</c:f>
              <c:numCache>
                <c:formatCode>General</c:formatCode>
                <c:ptCount val="72"/>
                <c:pt idx="0">
                  <c:v>13294.80428180544</c:v>
                </c:pt>
                <c:pt idx="1">
                  <c:v>12844.474748525401</c:v>
                </c:pt>
                <c:pt idx="2">
                  <c:v>13068.475156046816</c:v>
                </c:pt>
                <c:pt idx="3">
                  <c:v>13030.467173629591</c:v>
                </c:pt>
                <c:pt idx="4">
                  <c:v>13401.637482671171</c:v>
                </c:pt>
                <c:pt idx="5">
                  <c:v>15574.696880894766</c:v>
                </c:pt>
                <c:pt idx="6">
                  <c:v>18720.34389511164</c:v>
                </c:pt>
                <c:pt idx="7">
                  <c:v>23138.528779208435</c:v>
                </c:pt>
                <c:pt idx="8">
                  <c:v>23933.608031704818</c:v>
                </c:pt>
                <c:pt idx="9">
                  <c:v>23354.431312800254</c:v>
                </c:pt>
                <c:pt idx="10">
                  <c:v>20923.610468465518</c:v>
                </c:pt>
                <c:pt idx="11">
                  <c:v>20035.004524290413</c:v>
                </c:pt>
                <c:pt idx="12">
                  <c:v>19374.575620863958</c:v>
                </c:pt>
                <c:pt idx="13">
                  <c:v>19263.520871202032</c:v>
                </c:pt>
                <c:pt idx="14">
                  <c:v>19237.460172733838</c:v>
                </c:pt>
                <c:pt idx="15">
                  <c:v>19378.658504391849</c:v>
                </c:pt>
                <c:pt idx="16">
                  <c:v>19534.203465030692</c:v>
                </c:pt>
                <c:pt idx="17">
                  <c:v>19204.139819617161</c:v>
                </c:pt>
                <c:pt idx="18">
                  <c:v>17904.471965890581</c:v>
                </c:pt>
                <c:pt idx="19">
                  <c:v>17680.150822922595</c:v>
                </c:pt>
                <c:pt idx="20">
                  <c:v>16563.255732682872</c:v>
                </c:pt>
                <c:pt idx="21">
                  <c:v>15788.260943413785</c:v>
                </c:pt>
                <c:pt idx="22">
                  <c:v>13596.317936724781</c:v>
                </c:pt>
                <c:pt idx="23">
                  <c:v>11069.177955501118</c:v>
                </c:pt>
                <c:pt idx="24">
                  <c:v>12755.690253759087</c:v>
                </c:pt>
                <c:pt idx="25">
                  <c:v>12415.359658755808</c:v>
                </c:pt>
                <c:pt idx="26">
                  <c:v>12403.754309771823</c:v>
                </c:pt>
                <c:pt idx="27">
                  <c:v>12612.41302424417</c:v>
                </c:pt>
                <c:pt idx="28">
                  <c:v>13916.731876953027</c:v>
                </c:pt>
                <c:pt idx="29">
                  <c:v>15624.888756108938</c:v>
                </c:pt>
                <c:pt idx="30">
                  <c:v>20726.458251949873</c:v>
                </c:pt>
                <c:pt idx="31">
                  <c:v>24931.694300213898</c:v>
                </c:pt>
                <c:pt idx="32">
                  <c:v>25500.325768087889</c:v>
                </c:pt>
                <c:pt idx="33">
                  <c:v>24847.306025140617</c:v>
                </c:pt>
                <c:pt idx="34">
                  <c:v>22044.20424732862</c:v>
                </c:pt>
                <c:pt idx="35">
                  <c:v>21121.291075224904</c:v>
                </c:pt>
                <c:pt idx="36">
                  <c:v>20183.150474426806</c:v>
                </c:pt>
                <c:pt idx="37">
                  <c:v>19246.375016741164</c:v>
                </c:pt>
                <c:pt idx="38">
                  <c:v>19577.614330158649</c:v>
                </c:pt>
                <c:pt idx="39">
                  <c:v>19849.282571149521</c:v>
                </c:pt>
                <c:pt idx="40">
                  <c:v>20184.207491938443</c:v>
                </c:pt>
                <c:pt idx="41">
                  <c:v>19322.263696509002</c:v>
                </c:pt>
                <c:pt idx="42">
                  <c:v>18108.385549128368</c:v>
                </c:pt>
                <c:pt idx="43">
                  <c:v>17244.903128143163</c:v>
                </c:pt>
                <c:pt idx="44">
                  <c:v>14309.846239288152</c:v>
                </c:pt>
                <c:pt idx="45">
                  <c:v>12565.831438168459</c:v>
                </c:pt>
                <c:pt idx="46">
                  <c:v>10669.787332332469</c:v>
                </c:pt>
                <c:pt idx="47">
                  <c:v>9752.511730606695</c:v>
                </c:pt>
                <c:pt idx="48">
                  <c:v>19900.726348116601</c:v>
                </c:pt>
                <c:pt idx="49">
                  <c:v>16874.459528330339</c:v>
                </c:pt>
                <c:pt idx="50">
                  <c:v>17157.758715944427</c:v>
                </c:pt>
                <c:pt idx="51">
                  <c:v>16954.066843068569</c:v>
                </c:pt>
                <c:pt idx="52">
                  <c:v>17718.804927045207</c:v>
                </c:pt>
                <c:pt idx="53">
                  <c:v>19110.351617395696</c:v>
                </c:pt>
                <c:pt idx="54">
                  <c:v>22210.10487761713</c:v>
                </c:pt>
                <c:pt idx="55">
                  <c:v>24759.050681187167</c:v>
                </c:pt>
                <c:pt idx="56">
                  <c:v>26396.810360002961</c:v>
                </c:pt>
                <c:pt idx="57">
                  <c:v>25012.529262891534</c:v>
                </c:pt>
                <c:pt idx="58">
                  <c:v>16495.957917901018</c:v>
                </c:pt>
                <c:pt idx="59">
                  <c:v>12722.249743632914</c:v>
                </c:pt>
                <c:pt idx="60">
                  <c:v>10540.541743839114</c:v>
                </c:pt>
                <c:pt idx="61">
                  <c:v>10347.961128160428</c:v>
                </c:pt>
                <c:pt idx="62">
                  <c:v>9685.1544440724156</c:v>
                </c:pt>
                <c:pt idx="63">
                  <c:v>14930.852929376715</c:v>
                </c:pt>
                <c:pt idx="64">
                  <c:v>22925.047678978171</c:v>
                </c:pt>
                <c:pt idx="65">
                  <c:v>22433.160055310545</c:v>
                </c:pt>
                <c:pt idx="66">
                  <c:v>20232.851511954254</c:v>
                </c:pt>
                <c:pt idx="67">
                  <c:v>16418.253239247071</c:v>
                </c:pt>
                <c:pt idx="68">
                  <c:v>16567.750107594038</c:v>
                </c:pt>
                <c:pt idx="69">
                  <c:v>14932.144994869888</c:v>
                </c:pt>
                <c:pt idx="70">
                  <c:v>13224.523664024427</c:v>
                </c:pt>
                <c:pt idx="71">
                  <c:v>12363.164225568877</c:v>
                </c:pt>
              </c:numCache>
            </c:numRef>
          </c:val>
          <c:extLst>
            <c:ext xmlns:c16="http://schemas.microsoft.com/office/drawing/2014/chart" uri="{C3380CC4-5D6E-409C-BE32-E72D297353CC}">
              <c16:uniqueId val="{00000042-66F2-4940-B061-2E4F5C8174DB}"/>
            </c:ext>
          </c:extLst>
        </c:ser>
        <c:ser>
          <c:idx val="7"/>
          <c:order val="7"/>
          <c:tx>
            <c:strRef>
              <c:f>'EL GEN - Time'!$M$5:$M$6</c:f>
              <c:strCache>
                <c:ptCount val="1"/>
                <c:pt idx="0">
                  <c:v>Hydro ROR</c:v>
                </c:pt>
              </c:strCache>
            </c:strRef>
          </c:tx>
          <c:spPr>
            <a:solidFill>
              <a:schemeClr val="accent2">
                <a:lumMod val="60000"/>
              </a:schemeClr>
            </a:solidFill>
            <a:ln>
              <a:noFill/>
            </a:ln>
            <a:effectLst/>
          </c:spPr>
          <c:cat>
            <c:multiLvlStrRef>
              <c:f>'EL GEN - Time'!$B$7:$E$79</c:f>
              <c:multiLvlStrCache>
                <c:ptCount val="72"/>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T013</c:v>
                  </c:pt>
                  <c:pt idx="61">
                    <c:v>T014</c:v>
                  </c:pt>
                  <c:pt idx="62">
                    <c:v>T015</c:v>
                  </c:pt>
                  <c:pt idx="63">
                    <c:v>T016</c:v>
                  </c:pt>
                  <c:pt idx="64">
                    <c:v>T017</c:v>
                  </c:pt>
                  <c:pt idx="65">
                    <c:v>T018</c:v>
                  </c:pt>
                  <c:pt idx="66">
                    <c:v>T019</c:v>
                  </c:pt>
                  <c:pt idx="67">
                    <c:v>T020</c:v>
                  </c:pt>
                  <c:pt idx="68">
                    <c:v>T021</c:v>
                  </c:pt>
                  <c:pt idx="69">
                    <c:v>T022</c:v>
                  </c:pt>
                  <c:pt idx="70">
                    <c:v>T023</c:v>
                  </c:pt>
                  <c:pt idx="71">
                    <c:v>T024</c:v>
                  </c:pt>
                </c:lvl>
                <c:lvl>
                  <c:pt idx="0">
                    <c:v>S02</c:v>
                  </c:pt>
                  <c:pt idx="24">
                    <c:v>S02</c:v>
                  </c:pt>
                  <c:pt idx="48">
                    <c:v>S02</c:v>
                  </c:pt>
                </c:lvl>
                <c:lvl>
                  <c:pt idx="0">
                    <c:v>2016</c:v>
                  </c:pt>
                  <c:pt idx="24">
                    <c:v>2020</c:v>
                  </c:pt>
                  <c:pt idx="48">
                    <c:v>2030</c:v>
                  </c:pt>
                </c:lvl>
                <c:lvl>
                  <c:pt idx="0">
                    <c:v>2016</c:v>
                  </c:pt>
                  <c:pt idx="24">
                    <c:v>2020</c:v>
                  </c:pt>
                  <c:pt idx="48">
                    <c:v>2030</c:v>
                  </c:pt>
                </c:lvl>
              </c:multiLvlStrCache>
            </c:multiLvlStrRef>
          </c:cat>
          <c:val>
            <c:numRef>
              <c:f>'EL GEN - Time'!$M$7:$M$79</c:f>
              <c:numCache>
                <c:formatCode>General</c:formatCode>
                <c:ptCount val="72"/>
                <c:pt idx="0">
                  <c:v>13829.162535144897</c:v>
                </c:pt>
                <c:pt idx="1">
                  <c:v>13829.162535144897</c:v>
                </c:pt>
                <c:pt idx="2">
                  <c:v>13829.162535144897</c:v>
                </c:pt>
                <c:pt idx="3">
                  <c:v>13829.162535144897</c:v>
                </c:pt>
                <c:pt idx="4">
                  <c:v>13829.162535144897</c:v>
                </c:pt>
                <c:pt idx="5">
                  <c:v>13829.162535144897</c:v>
                </c:pt>
                <c:pt idx="6">
                  <c:v>13829.162535144897</c:v>
                </c:pt>
                <c:pt idx="7">
                  <c:v>13829.162535144897</c:v>
                </c:pt>
                <c:pt idx="8">
                  <c:v>13829.162535144897</c:v>
                </c:pt>
                <c:pt idx="9">
                  <c:v>13829.162535144897</c:v>
                </c:pt>
                <c:pt idx="10">
                  <c:v>13829.162535144897</c:v>
                </c:pt>
                <c:pt idx="11">
                  <c:v>13829.162535144897</c:v>
                </c:pt>
                <c:pt idx="12">
                  <c:v>13829.162535144897</c:v>
                </c:pt>
                <c:pt idx="13">
                  <c:v>13829.162535144897</c:v>
                </c:pt>
                <c:pt idx="14">
                  <c:v>13829.162535144897</c:v>
                </c:pt>
                <c:pt idx="15">
                  <c:v>13829.162535144897</c:v>
                </c:pt>
                <c:pt idx="16">
                  <c:v>13829.162535144897</c:v>
                </c:pt>
                <c:pt idx="17">
                  <c:v>13829.162535144897</c:v>
                </c:pt>
                <c:pt idx="18">
                  <c:v>13829.162535144897</c:v>
                </c:pt>
                <c:pt idx="19">
                  <c:v>13829.162535144897</c:v>
                </c:pt>
                <c:pt idx="20">
                  <c:v>13829.162535144897</c:v>
                </c:pt>
                <c:pt idx="21">
                  <c:v>13829.162535144897</c:v>
                </c:pt>
                <c:pt idx="22">
                  <c:v>13829.162535144897</c:v>
                </c:pt>
                <c:pt idx="23">
                  <c:v>13829.162535144897</c:v>
                </c:pt>
                <c:pt idx="24">
                  <c:v>14154.998025358786</c:v>
                </c:pt>
                <c:pt idx="25">
                  <c:v>14154.998025358786</c:v>
                </c:pt>
                <c:pt idx="26">
                  <c:v>14154.998025358786</c:v>
                </c:pt>
                <c:pt idx="27">
                  <c:v>14154.998025358786</c:v>
                </c:pt>
                <c:pt idx="28">
                  <c:v>14154.998025358786</c:v>
                </c:pt>
                <c:pt idx="29">
                  <c:v>14154.998025358786</c:v>
                </c:pt>
                <c:pt idx="30">
                  <c:v>14154.998025358786</c:v>
                </c:pt>
                <c:pt idx="31">
                  <c:v>14154.998025358786</c:v>
                </c:pt>
                <c:pt idx="32">
                  <c:v>14154.998025358786</c:v>
                </c:pt>
                <c:pt idx="33">
                  <c:v>14154.998025358786</c:v>
                </c:pt>
                <c:pt idx="34">
                  <c:v>14154.998025358786</c:v>
                </c:pt>
                <c:pt idx="35">
                  <c:v>14154.998025358786</c:v>
                </c:pt>
                <c:pt idx="36">
                  <c:v>14154.998025358786</c:v>
                </c:pt>
                <c:pt idx="37">
                  <c:v>14154.998025358786</c:v>
                </c:pt>
                <c:pt idx="38">
                  <c:v>14154.998025358786</c:v>
                </c:pt>
                <c:pt idx="39">
                  <c:v>14154.998025358786</c:v>
                </c:pt>
                <c:pt idx="40">
                  <c:v>14154.998025358786</c:v>
                </c:pt>
                <c:pt idx="41">
                  <c:v>14154.998025358786</c:v>
                </c:pt>
                <c:pt idx="42">
                  <c:v>14154.998025358786</c:v>
                </c:pt>
                <c:pt idx="43">
                  <c:v>14154.998025358786</c:v>
                </c:pt>
                <c:pt idx="44">
                  <c:v>14154.998025358786</c:v>
                </c:pt>
                <c:pt idx="45">
                  <c:v>14154.998025358786</c:v>
                </c:pt>
                <c:pt idx="46">
                  <c:v>14154.998025358786</c:v>
                </c:pt>
                <c:pt idx="47">
                  <c:v>14154.998025358786</c:v>
                </c:pt>
                <c:pt idx="48">
                  <c:v>14365.373226505413</c:v>
                </c:pt>
                <c:pt idx="49">
                  <c:v>14365.373226505413</c:v>
                </c:pt>
                <c:pt idx="50">
                  <c:v>14365.373226505413</c:v>
                </c:pt>
                <c:pt idx="51">
                  <c:v>14365.373226505413</c:v>
                </c:pt>
                <c:pt idx="52">
                  <c:v>14365.373226505413</c:v>
                </c:pt>
                <c:pt idx="53">
                  <c:v>14365.373226505413</c:v>
                </c:pt>
                <c:pt idx="54">
                  <c:v>14365.373226505413</c:v>
                </c:pt>
                <c:pt idx="55">
                  <c:v>14365.373226505413</c:v>
                </c:pt>
                <c:pt idx="56">
                  <c:v>14365.373226505413</c:v>
                </c:pt>
                <c:pt idx="57">
                  <c:v>14365.373226505413</c:v>
                </c:pt>
                <c:pt idx="58">
                  <c:v>14365.373226505413</c:v>
                </c:pt>
                <c:pt idx="59">
                  <c:v>14365.373226505413</c:v>
                </c:pt>
                <c:pt idx="60">
                  <c:v>14365.373226505413</c:v>
                </c:pt>
                <c:pt idx="61">
                  <c:v>14365.373226505413</c:v>
                </c:pt>
                <c:pt idx="62">
                  <c:v>14365.373226505413</c:v>
                </c:pt>
                <c:pt idx="63">
                  <c:v>14365.373226505413</c:v>
                </c:pt>
                <c:pt idx="64">
                  <c:v>14365.373226505413</c:v>
                </c:pt>
                <c:pt idx="65">
                  <c:v>14365.373226505413</c:v>
                </c:pt>
                <c:pt idx="66">
                  <c:v>14365.373226505413</c:v>
                </c:pt>
                <c:pt idx="67">
                  <c:v>14365.373226505413</c:v>
                </c:pt>
                <c:pt idx="68">
                  <c:v>14365.373226505413</c:v>
                </c:pt>
                <c:pt idx="69">
                  <c:v>14365.373226505413</c:v>
                </c:pt>
                <c:pt idx="70">
                  <c:v>14365.373226505413</c:v>
                </c:pt>
                <c:pt idx="71">
                  <c:v>14365.373226505413</c:v>
                </c:pt>
              </c:numCache>
            </c:numRef>
          </c:val>
          <c:extLst>
            <c:ext xmlns:c16="http://schemas.microsoft.com/office/drawing/2014/chart" uri="{C3380CC4-5D6E-409C-BE32-E72D297353CC}">
              <c16:uniqueId val="{00000000-AD10-4431-A271-4F6B478B3F90}"/>
            </c:ext>
          </c:extLst>
        </c:ser>
        <c:ser>
          <c:idx val="8"/>
          <c:order val="8"/>
          <c:tx>
            <c:strRef>
              <c:f>'EL GEN - Time'!$N$5:$N$6</c:f>
              <c:strCache>
                <c:ptCount val="1"/>
                <c:pt idx="0">
                  <c:v>Solar PV</c:v>
                </c:pt>
              </c:strCache>
            </c:strRef>
          </c:tx>
          <c:spPr>
            <a:solidFill>
              <a:schemeClr val="accent3">
                <a:lumMod val="60000"/>
              </a:schemeClr>
            </a:solidFill>
            <a:ln>
              <a:noFill/>
            </a:ln>
            <a:effectLst/>
          </c:spPr>
          <c:cat>
            <c:multiLvlStrRef>
              <c:f>'EL GEN - Time'!$B$7:$E$79</c:f>
              <c:multiLvlStrCache>
                <c:ptCount val="72"/>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T013</c:v>
                  </c:pt>
                  <c:pt idx="61">
                    <c:v>T014</c:v>
                  </c:pt>
                  <c:pt idx="62">
                    <c:v>T015</c:v>
                  </c:pt>
                  <c:pt idx="63">
                    <c:v>T016</c:v>
                  </c:pt>
                  <c:pt idx="64">
                    <c:v>T017</c:v>
                  </c:pt>
                  <c:pt idx="65">
                    <c:v>T018</c:v>
                  </c:pt>
                  <c:pt idx="66">
                    <c:v>T019</c:v>
                  </c:pt>
                  <c:pt idx="67">
                    <c:v>T020</c:v>
                  </c:pt>
                  <c:pt idx="68">
                    <c:v>T021</c:v>
                  </c:pt>
                  <c:pt idx="69">
                    <c:v>T022</c:v>
                  </c:pt>
                  <c:pt idx="70">
                    <c:v>T023</c:v>
                  </c:pt>
                  <c:pt idx="71">
                    <c:v>T024</c:v>
                  </c:pt>
                </c:lvl>
                <c:lvl>
                  <c:pt idx="0">
                    <c:v>S02</c:v>
                  </c:pt>
                  <c:pt idx="24">
                    <c:v>S02</c:v>
                  </c:pt>
                  <c:pt idx="48">
                    <c:v>S02</c:v>
                  </c:pt>
                </c:lvl>
                <c:lvl>
                  <c:pt idx="0">
                    <c:v>2016</c:v>
                  </c:pt>
                  <c:pt idx="24">
                    <c:v>2020</c:v>
                  </c:pt>
                  <c:pt idx="48">
                    <c:v>2030</c:v>
                  </c:pt>
                </c:lvl>
                <c:lvl>
                  <c:pt idx="0">
                    <c:v>2016</c:v>
                  </c:pt>
                  <c:pt idx="24">
                    <c:v>2020</c:v>
                  </c:pt>
                  <c:pt idx="48">
                    <c:v>2030</c:v>
                  </c:pt>
                </c:lvl>
              </c:multiLvlStrCache>
            </c:multiLvlStrRef>
          </c:cat>
          <c:val>
            <c:numRef>
              <c:f>'EL GEN - Time'!$N$7:$N$79</c:f>
              <c:numCache>
                <c:formatCode>General</c:formatCode>
                <c:ptCount val="72"/>
                <c:pt idx="5">
                  <c:v>91.934696158323504</c:v>
                </c:pt>
                <c:pt idx="6">
                  <c:v>183.86939231664701</c:v>
                </c:pt>
                <c:pt idx="7">
                  <c:v>220.643270779977</c:v>
                </c:pt>
                <c:pt idx="8">
                  <c:v>1176.0805771593928</c:v>
                </c:pt>
                <c:pt idx="9">
                  <c:v>8130.4619303789168</c:v>
                </c:pt>
                <c:pt idx="10">
                  <c:v>18563.825332569784</c:v>
                </c:pt>
                <c:pt idx="11">
                  <c:v>28115.141446769296</c:v>
                </c:pt>
                <c:pt idx="12">
                  <c:v>32167.59619761975</c:v>
                </c:pt>
                <c:pt idx="13">
                  <c:v>27881.221233303357</c:v>
                </c:pt>
                <c:pt idx="14">
                  <c:v>18207.360577234642</c:v>
                </c:pt>
                <c:pt idx="15">
                  <c:v>9142.2192496858097</c:v>
                </c:pt>
                <c:pt idx="16">
                  <c:v>1256.898982558145</c:v>
                </c:pt>
                <c:pt idx="17">
                  <c:v>36.773878463329403</c:v>
                </c:pt>
                <c:pt idx="18">
                  <c:v>36.773878463329403</c:v>
                </c:pt>
                <c:pt idx="19">
                  <c:v>18.386939231664702</c:v>
                </c:pt>
                <c:pt idx="29">
                  <c:v>141.50612619068841</c:v>
                </c:pt>
                <c:pt idx="30">
                  <c:v>283.0122523813771</c:v>
                </c:pt>
                <c:pt idx="31">
                  <c:v>339.61470285765301</c:v>
                </c:pt>
                <c:pt idx="32">
                  <c:v>1315.9734642909671</c:v>
                </c:pt>
                <c:pt idx="33">
                  <c:v>8793.5915219353101</c:v>
                </c:pt>
                <c:pt idx="34">
                  <c:v>19978.558388167563</c:v>
                </c:pt>
                <c:pt idx="35">
                  <c:v>30186.070251392164</c:v>
                </c:pt>
                <c:pt idx="36">
                  <c:v>34631.635840209237</c:v>
                </c:pt>
                <c:pt idx="37">
                  <c:v>29975.562814672936</c:v>
                </c:pt>
                <c:pt idx="38">
                  <c:v>19604.77637042226</c:v>
                </c:pt>
                <c:pt idx="39">
                  <c:v>9808.4802250320045</c:v>
                </c:pt>
                <c:pt idx="40">
                  <c:v>1379.5382459910984</c:v>
                </c:pt>
                <c:pt idx="41">
                  <c:v>56.602450476275408</c:v>
                </c:pt>
                <c:pt idx="42">
                  <c:v>56.602450476275408</c:v>
                </c:pt>
                <c:pt idx="43">
                  <c:v>28.301225238137711</c:v>
                </c:pt>
                <c:pt idx="53">
                  <c:v>1716.4823442196184</c:v>
                </c:pt>
                <c:pt idx="54">
                  <c:v>3432.9646884392369</c:v>
                </c:pt>
                <c:pt idx="55">
                  <c:v>4119.5576261270835</c:v>
                </c:pt>
                <c:pt idx="56">
                  <c:v>9808.2155912707021</c:v>
                </c:pt>
                <c:pt idx="57">
                  <c:v>55350.770777199592</c:v>
                </c:pt>
                <c:pt idx="58">
                  <c:v>123803.93806043062</c:v>
                </c:pt>
                <c:pt idx="59">
                  <c:v>185643.95250246365</c:v>
                </c:pt>
                <c:pt idx="60">
                  <c:v>214854.67319888546</c:v>
                </c:pt>
                <c:pt idx="61">
                  <c:v>185152.78020876748</c:v>
                </c:pt>
                <c:pt idx="62">
                  <c:v>132957.52287069961</c:v>
                </c:pt>
                <c:pt idx="63">
                  <c:v>65889.848498334613</c:v>
                </c:pt>
                <c:pt idx="64">
                  <c:v>9821.7651723697672</c:v>
                </c:pt>
                <c:pt idx="65">
                  <c:v>686.59293768784642</c:v>
                </c:pt>
                <c:pt idx="66">
                  <c:v>686.59293768784642</c:v>
                </c:pt>
                <c:pt idx="67">
                  <c:v>343.29646884392372</c:v>
                </c:pt>
              </c:numCache>
            </c:numRef>
          </c:val>
          <c:extLst>
            <c:ext xmlns:c16="http://schemas.microsoft.com/office/drawing/2014/chart" uri="{C3380CC4-5D6E-409C-BE32-E72D297353CC}">
              <c16:uniqueId val="{00000001-AD10-4431-A271-4F6B478B3F90}"/>
            </c:ext>
          </c:extLst>
        </c:ser>
        <c:ser>
          <c:idx val="9"/>
          <c:order val="9"/>
          <c:tx>
            <c:strRef>
              <c:f>'EL GEN - Time'!$O$5:$O$6</c:f>
              <c:strCache>
                <c:ptCount val="1"/>
                <c:pt idx="0">
                  <c:v>Wind</c:v>
                </c:pt>
              </c:strCache>
            </c:strRef>
          </c:tx>
          <c:spPr>
            <a:solidFill>
              <a:schemeClr val="accent4">
                <a:lumMod val="60000"/>
              </a:schemeClr>
            </a:solidFill>
            <a:ln>
              <a:noFill/>
            </a:ln>
            <a:effectLst/>
          </c:spPr>
          <c:cat>
            <c:multiLvlStrRef>
              <c:f>'EL GEN - Time'!$B$7:$E$79</c:f>
              <c:multiLvlStrCache>
                <c:ptCount val="72"/>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T013</c:v>
                  </c:pt>
                  <c:pt idx="61">
                    <c:v>T014</c:v>
                  </c:pt>
                  <c:pt idx="62">
                    <c:v>T015</c:v>
                  </c:pt>
                  <c:pt idx="63">
                    <c:v>T016</c:v>
                  </c:pt>
                  <c:pt idx="64">
                    <c:v>T017</c:v>
                  </c:pt>
                  <c:pt idx="65">
                    <c:v>T018</c:v>
                  </c:pt>
                  <c:pt idx="66">
                    <c:v>T019</c:v>
                  </c:pt>
                  <c:pt idx="67">
                    <c:v>T020</c:v>
                  </c:pt>
                  <c:pt idx="68">
                    <c:v>T021</c:v>
                  </c:pt>
                  <c:pt idx="69">
                    <c:v>T022</c:v>
                  </c:pt>
                  <c:pt idx="70">
                    <c:v>T023</c:v>
                  </c:pt>
                  <c:pt idx="71">
                    <c:v>T024</c:v>
                  </c:pt>
                </c:lvl>
                <c:lvl>
                  <c:pt idx="0">
                    <c:v>S02</c:v>
                  </c:pt>
                  <c:pt idx="24">
                    <c:v>S02</c:v>
                  </c:pt>
                  <c:pt idx="48">
                    <c:v>S02</c:v>
                  </c:pt>
                </c:lvl>
                <c:lvl>
                  <c:pt idx="0">
                    <c:v>2016</c:v>
                  </c:pt>
                  <c:pt idx="24">
                    <c:v>2020</c:v>
                  </c:pt>
                  <c:pt idx="48">
                    <c:v>2030</c:v>
                  </c:pt>
                </c:lvl>
                <c:lvl>
                  <c:pt idx="0">
                    <c:v>2016</c:v>
                  </c:pt>
                  <c:pt idx="24">
                    <c:v>2020</c:v>
                  </c:pt>
                  <c:pt idx="48">
                    <c:v>2030</c:v>
                  </c:pt>
                </c:lvl>
              </c:multiLvlStrCache>
            </c:multiLvlStrRef>
          </c:cat>
          <c:val>
            <c:numRef>
              <c:f>'EL GEN - Time'!$O$7:$O$79</c:f>
              <c:numCache>
                <c:formatCode>General</c:formatCode>
                <c:ptCount val="72"/>
                <c:pt idx="0">
                  <c:v>17311.331966654056</c:v>
                </c:pt>
                <c:pt idx="1">
                  <c:v>17318.522643738739</c:v>
                </c:pt>
                <c:pt idx="2">
                  <c:v>17210.80544110779</c:v>
                </c:pt>
                <c:pt idx="3">
                  <c:v>16825.233279227745</c:v>
                </c:pt>
                <c:pt idx="4">
                  <c:v>16070.588950084248</c:v>
                </c:pt>
                <c:pt idx="5">
                  <c:v>15373.778556644525</c:v>
                </c:pt>
                <c:pt idx="6">
                  <c:v>14270.277819800309</c:v>
                </c:pt>
                <c:pt idx="7">
                  <c:v>14486.213089911464</c:v>
                </c:pt>
                <c:pt idx="8">
                  <c:v>15373.130235023491</c:v>
                </c:pt>
                <c:pt idx="9">
                  <c:v>15993.88832320045</c:v>
                </c:pt>
                <c:pt idx="10">
                  <c:v>16842.929557754676</c:v>
                </c:pt>
                <c:pt idx="11">
                  <c:v>17702.689269213217</c:v>
                </c:pt>
                <c:pt idx="12">
                  <c:v>19900.164076742749</c:v>
                </c:pt>
                <c:pt idx="13">
                  <c:v>21843.206837636131</c:v>
                </c:pt>
                <c:pt idx="14">
                  <c:v>22975.854937674332</c:v>
                </c:pt>
                <c:pt idx="15">
                  <c:v>24828.31849067349</c:v>
                </c:pt>
                <c:pt idx="16">
                  <c:v>27359.207206460971</c:v>
                </c:pt>
                <c:pt idx="17">
                  <c:v>29740.490665036625</c:v>
                </c:pt>
                <c:pt idx="18">
                  <c:v>33353.71920618997</c:v>
                </c:pt>
                <c:pt idx="19">
                  <c:v>36487.941214878956</c:v>
                </c:pt>
                <c:pt idx="20">
                  <c:v>38564.951405288346</c:v>
                </c:pt>
                <c:pt idx="21">
                  <c:v>40924.497954198225</c:v>
                </c:pt>
                <c:pt idx="22">
                  <c:v>44003.310531339106</c:v>
                </c:pt>
                <c:pt idx="23">
                  <c:v>45979.24053604174</c:v>
                </c:pt>
                <c:pt idx="24">
                  <c:v>33492.267232478436</c:v>
                </c:pt>
                <c:pt idx="25">
                  <c:v>33947.976329753066</c:v>
                </c:pt>
                <c:pt idx="26">
                  <c:v>34306.031190573151</c:v>
                </c:pt>
                <c:pt idx="27">
                  <c:v>34242.154274133667</c:v>
                </c:pt>
                <c:pt idx="28">
                  <c:v>33307.895453594967</c:v>
                </c:pt>
                <c:pt idx="29">
                  <c:v>32360.235909544514</c:v>
                </c:pt>
                <c:pt idx="30">
                  <c:v>31042.645662854597</c:v>
                </c:pt>
                <c:pt idx="31">
                  <c:v>31654.205418437356</c:v>
                </c:pt>
                <c:pt idx="32">
                  <c:v>33178.978523671154</c:v>
                </c:pt>
                <c:pt idx="33">
                  <c:v>33514.157380880009</c:v>
                </c:pt>
                <c:pt idx="34">
                  <c:v>33342.540176775423</c:v>
                </c:pt>
                <c:pt idx="35">
                  <c:v>33546.049004206638</c:v>
                </c:pt>
                <c:pt idx="36">
                  <c:v>36337.928524590679</c:v>
                </c:pt>
                <c:pt idx="37">
                  <c:v>38496.519192869258</c:v>
                </c:pt>
                <c:pt idx="38">
                  <c:v>37953.932943513821</c:v>
                </c:pt>
                <c:pt idx="39">
                  <c:v>38996.851903451963</c:v>
                </c:pt>
                <c:pt idx="40">
                  <c:v>41193.572916906895</c:v>
                </c:pt>
                <c:pt idx="41">
                  <c:v>43800.889216059048</c:v>
                </c:pt>
                <c:pt idx="42">
                  <c:v>48546.819101866604</c:v>
                </c:pt>
                <c:pt idx="43">
                  <c:v>52233.010730768678</c:v>
                </c:pt>
                <c:pt idx="44">
                  <c:v>55184.126050931249</c:v>
                </c:pt>
                <c:pt idx="45">
                  <c:v>58584.755870013403</c:v>
                </c:pt>
                <c:pt idx="46">
                  <c:v>63082.950773645804</c:v>
                </c:pt>
                <c:pt idx="47">
                  <c:v>65682.987007521559</c:v>
                </c:pt>
                <c:pt idx="48">
                  <c:v>74634.554786063061</c:v>
                </c:pt>
                <c:pt idx="49">
                  <c:v>78779.409393149253</c:v>
                </c:pt>
                <c:pt idx="50">
                  <c:v>78745.557328150113</c:v>
                </c:pt>
                <c:pt idx="51">
                  <c:v>80361.708721384406</c:v>
                </c:pt>
                <c:pt idx="52">
                  <c:v>78585.123957823031</c:v>
                </c:pt>
                <c:pt idx="53">
                  <c:v>77812.553565437207</c:v>
                </c:pt>
                <c:pt idx="54">
                  <c:v>74770.357733487559</c:v>
                </c:pt>
                <c:pt idx="55">
                  <c:v>74638.122149755203</c:v>
                </c:pt>
                <c:pt idx="56">
                  <c:v>76243.920464707786</c:v>
                </c:pt>
                <c:pt idx="57">
                  <c:v>77112.694434206671</c:v>
                </c:pt>
                <c:pt idx="58">
                  <c:v>79764.199936396908</c:v>
                </c:pt>
                <c:pt idx="59">
                  <c:v>82802.061566345277</c:v>
                </c:pt>
                <c:pt idx="60">
                  <c:v>91379.558210748</c:v>
                </c:pt>
                <c:pt idx="61">
                  <c:v>98477.302872655186</c:v>
                </c:pt>
                <c:pt idx="62">
                  <c:v>102103.6371692073</c:v>
                </c:pt>
                <c:pt idx="63">
                  <c:v>106619.13873351457</c:v>
                </c:pt>
                <c:pt idx="64">
                  <c:v>110980.51627798002</c:v>
                </c:pt>
                <c:pt idx="65">
                  <c:v>113528.92534739416</c:v>
                </c:pt>
                <c:pt idx="66">
                  <c:v>124878.25845391845</c:v>
                </c:pt>
                <c:pt idx="67">
                  <c:v>136685.93916676776</c:v>
                </c:pt>
                <c:pt idx="68">
                  <c:v>140873.8004966036</c:v>
                </c:pt>
                <c:pt idx="69">
                  <c:v>149208.90924331188</c:v>
                </c:pt>
                <c:pt idx="70">
                  <c:v>155865.73232464481</c:v>
                </c:pt>
                <c:pt idx="71">
                  <c:v>161059.04283851665</c:v>
                </c:pt>
              </c:numCache>
            </c:numRef>
          </c:val>
          <c:extLst>
            <c:ext xmlns:c16="http://schemas.microsoft.com/office/drawing/2014/chart" uri="{C3380CC4-5D6E-409C-BE32-E72D297353CC}">
              <c16:uniqueId val="{00000002-AD10-4431-A271-4F6B478B3F90}"/>
            </c:ext>
          </c:extLst>
        </c:ser>
        <c:dLbls>
          <c:showLegendKey val="0"/>
          <c:showVal val="0"/>
          <c:showCatName val="0"/>
          <c:showSerName val="0"/>
          <c:showPercent val="0"/>
          <c:showBubbleSize val="0"/>
        </c:dLbls>
        <c:axId val="267784408"/>
        <c:axId val="267754600"/>
      </c:areaChart>
      <c:catAx>
        <c:axId val="2677844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754600"/>
        <c:crosses val="autoZero"/>
        <c:auto val="1"/>
        <c:lblAlgn val="ctr"/>
        <c:lblOffset val="100"/>
        <c:noMultiLvlLbl val="0"/>
      </c:catAx>
      <c:valAx>
        <c:axId val="267754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784408"/>
        <c:crosses val="autoZero"/>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 Annual!PivotTable2</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s>
    <c:plotArea>
      <c:layout/>
      <c:barChart>
        <c:barDir val="col"/>
        <c:grouping val="stacked"/>
        <c:varyColors val="0"/>
        <c:ser>
          <c:idx val="0"/>
          <c:order val="0"/>
          <c:tx>
            <c:strRef>
              <c:f>'HE GEN - Annual'!$E$2:$E$3</c:f>
              <c:strCache>
                <c:ptCount val="1"/>
                <c:pt idx="0">
                  <c:v>COAL</c:v>
                </c:pt>
              </c:strCache>
            </c:strRef>
          </c:tx>
          <c:spPr>
            <a:solidFill>
              <a:schemeClr val="accent1"/>
            </a:solidFill>
            <a:ln>
              <a:noFill/>
            </a:ln>
            <a:effectLst/>
          </c:spPr>
          <c:invertIfNegative val="0"/>
          <c:cat>
            <c:multiLvlStrRef>
              <c:f>'HE GEN - Annual'!$B$4:$D$12</c:f>
              <c:multiLvlStrCache>
                <c:ptCount val="8"/>
                <c:lvl>
                  <c:pt idx="0">
                    <c:v>2016</c:v>
                  </c:pt>
                  <c:pt idx="1">
                    <c:v>2016</c:v>
                  </c:pt>
                  <c:pt idx="2">
                    <c:v>2016</c:v>
                  </c:pt>
                  <c:pt idx="3">
                    <c:v>2016</c:v>
                  </c:pt>
                  <c:pt idx="4">
                    <c:v>2016</c:v>
                  </c:pt>
                  <c:pt idx="5">
                    <c:v>2016</c:v>
                  </c:pt>
                  <c:pt idx="6">
                    <c:v>2016</c:v>
                  </c:pt>
                  <c:pt idx="7">
                    <c:v>2016</c:v>
                  </c:pt>
                </c:lvl>
                <c:lvl>
                  <c:pt idx="0">
                    <c:v>2016</c:v>
                  </c:pt>
                  <c:pt idx="1">
                    <c:v>2016</c:v>
                  </c:pt>
                  <c:pt idx="2">
                    <c:v>2016</c:v>
                  </c:pt>
                  <c:pt idx="3">
                    <c:v>2016</c:v>
                  </c:pt>
                  <c:pt idx="4">
                    <c:v>2016</c:v>
                  </c:pt>
                  <c:pt idx="5">
                    <c:v>2016</c:v>
                  </c:pt>
                  <c:pt idx="6">
                    <c:v>2016</c:v>
                  </c:pt>
                  <c:pt idx="7">
                    <c:v>2016</c:v>
                  </c:pt>
                </c:lvl>
                <c:lvl>
                  <c:pt idx="0">
                    <c:v>DENMARK</c:v>
                  </c:pt>
                  <c:pt idx="1">
                    <c:v>GERMANY</c:v>
                  </c:pt>
                  <c:pt idx="2">
                    <c:v>NORWAY</c:v>
                  </c:pt>
                  <c:pt idx="3">
                    <c:v>SWEDEN</c:v>
                  </c:pt>
                  <c:pt idx="4">
                    <c:v>ESTONIA</c:v>
                  </c:pt>
                  <c:pt idx="5">
                    <c:v>LITHUANIA</c:v>
                  </c:pt>
                  <c:pt idx="6">
                    <c:v>POLAND</c:v>
                  </c:pt>
                  <c:pt idx="7">
                    <c:v>FINLAND</c:v>
                  </c:pt>
                </c:lvl>
              </c:multiLvlStrCache>
            </c:multiLvlStrRef>
          </c:cat>
          <c:val>
            <c:numRef>
              <c:f>'HE GEN - Annual'!$E$4:$E$12</c:f>
              <c:numCache>
                <c:formatCode>General</c:formatCode>
                <c:ptCount val="8"/>
                <c:pt idx="0">
                  <c:v>14.27595476666666</c:v>
                </c:pt>
                <c:pt idx="1">
                  <c:v>52.741259075610728</c:v>
                </c:pt>
                <c:pt idx="3">
                  <c:v>1.8241920265968998</c:v>
                </c:pt>
                <c:pt idx="6">
                  <c:v>58.722962528170221</c:v>
                </c:pt>
                <c:pt idx="7">
                  <c:v>10.66753631045998</c:v>
                </c:pt>
              </c:numCache>
            </c:numRef>
          </c:val>
          <c:extLst>
            <c:ext xmlns:c16="http://schemas.microsoft.com/office/drawing/2014/chart" uri="{C3380CC4-5D6E-409C-BE32-E72D297353CC}">
              <c16:uniqueId val="{00000000-C23E-490F-98BC-81548CC429A8}"/>
            </c:ext>
          </c:extLst>
        </c:ser>
        <c:ser>
          <c:idx val="1"/>
          <c:order val="1"/>
          <c:tx>
            <c:strRef>
              <c:f>'HE GEN - Annual'!$F$2:$F$3</c:f>
              <c:strCache>
                <c:ptCount val="1"/>
                <c:pt idx="0">
                  <c:v>ELECTRIC</c:v>
                </c:pt>
              </c:strCache>
            </c:strRef>
          </c:tx>
          <c:spPr>
            <a:solidFill>
              <a:schemeClr val="accent2"/>
            </a:solidFill>
            <a:ln>
              <a:noFill/>
            </a:ln>
            <a:effectLst/>
          </c:spPr>
          <c:invertIfNegative val="0"/>
          <c:cat>
            <c:multiLvlStrRef>
              <c:f>'HE GEN - Annual'!$B$4:$D$12</c:f>
              <c:multiLvlStrCache>
                <c:ptCount val="8"/>
                <c:lvl>
                  <c:pt idx="0">
                    <c:v>2016</c:v>
                  </c:pt>
                  <c:pt idx="1">
                    <c:v>2016</c:v>
                  </c:pt>
                  <c:pt idx="2">
                    <c:v>2016</c:v>
                  </c:pt>
                  <c:pt idx="3">
                    <c:v>2016</c:v>
                  </c:pt>
                  <c:pt idx="4">
                    <c:v>2016</c:v>
                  </c:pt>
                  <c:pt idx="5">
                    <c:v>2016</c:v>
                  </c:pt>
                  <c:pt idx="6">
                    <c:v>2016</c:v>
                  </c:pt>
                  <c:pt idx="7">
                    <c:v>2016</c:v>
                  </c:pt>
                </c:lvl>
                <c:lvl>
                  <c:pt idx="0">
                    <c:v>2016</c:v>
                  </c:pt>
                  <c:pt idx="1">
                    <c:v>2016</c:v>
                  </c:pt>
                  <c:pt idx="2">
                    <c:v>2016</c:v>
                  </c:pt>
                  <c:pt idx="3">
                    <c:v>2016</c:v>
                  </c:pt>
                  <c:pt idx="4">
                    <c:v>2016</c:v>
                  </c:pt>
                  <c:pt idx="5">
                    <c:v>2016</c:v>
                  </c:pt>
                  <c:pt idx="6">
                    <c:v>2016</c:v>
                  </c:pt>
                  <c:pt idx="7">
                    <c:v>2016</c:v>
                  </c:pt>
                </c:lvl>
                <c:lvl>
                  <c:pt idx="0">
                    <c:v>DENMARK</c:v>
                  </c:pt>
                  <c:pt idx="1">
                    <c:v>GERMANY</c:v>
                  </c:pt>
                  <c:pt idx="2">
                    <c:v>NORWAY</c:v>
                  </c:pt>
                  <c:pt idx="3">
                    <c:v>SWEDEN</c:v>
                  </c:pt>
                  <c:pt idx="4">
                    <c:v>ESTONIA</c:v>
                  </c:pt>
                  <c:pt idx="5">
                    <c:v>LITHUANIA</c:v>
                  </c:pt>
                  <c:pt idx="6">
                    <c:v>POLAND</c:v>
                  </c:pt>
                  <c:pt idx="7">
                    <c:v>FINLAND</c:v>
                  </c:pt>
                </c:lvl>
              </c:multiLvlStrCache>
            </c:multiLvlStrRef>
          </c:cat>
          <c:val>
            <c:numRef>
              <c:f>'HE GEN - Annual'!$F$4:$F$12</c:f>
              <c:numCache>
                <c:formatCode>General</c:formatCode>
                <c:ptCount val="8"/>
                <c:pt idx="0">
                  <c:v>0.13578291999999997</c:v>
                </c:pt>
                <c:pt idx="2">
                  <c:v>6.7557181127522001E-2</c:v>
                </c:pt>
                <c:pt idx="3">
                  <c:v>2.5800109775301689</c:v>
                </c:pt>
                <c:pt idx="7">
                  <c:v>0.57699199999999995</c:v>
                </c:pt>
              </c:numCache>
            </c:numRef>
          </c:val>
          <c:extLst>
            <c:ext xmlns:c16="http://schemas.microsoft.com/office/drawing/2014/chart" uri="{C3380CC4-5D6E-409C-BE32-E72D297353CC}">
              <c16:uniqueId val="{00000000-CC11-4F5E-BB3F-4E87481F6FEA}"/>
            </c:ext>
          </c:extLst>
        </c:ser>
        <c:ser>
          <c:idx val="2"/>
          <c:order val="2"/>
          <c:tx>
            <c:strRef>
              <c:f>'HE GEN - Annual'!$G$2:$G$3</c:f>
              <c:strCache>
                <c:ptCount val="1"/>
                <c:pt idx="0">
                  <c:v>MUNIWASTE</c:v>
                </c:pt>
              </c:strCache>
            </c:strRef>
          </c:tx>
          <c:spPr>
            <a:solidFill>
              <a:schemeClr val="accent3"/>
            </a:solidFill>
            <a:ln>
              <a:noFill/>
            </a:ln>
            <a:effectLst/>
          </c:spPr>
          <c:invertIfNegative val="0"/>
          <c:cat>
            <c:multiLvlStrRef>
              <c:f>'HE GEN - Annual'!$B$4:$D$12</c:f>
              <c:multiLvlStrCache>
                <c:ptCount val="8"/>
                <c:lvl>
                  <c:pt idx="0">
                    <c:v>2016</c:v>
                  </c:pt>
                  <c:pt idx="1">
                    <c:v>2016</c:v>
                  </c:pt>
                  <c:pt idx="2">
                    <c:v>2016</c:v>
                  </c:pt>
                  <c:pt idx="3">
                    <c:v>2016</c:v>
                  </c:pt>
                  <c:pt idx="4">
                    <c:v>2016</c:v>
                  </c:pt>
                  <c:pt idx="5">
                    <c:v>2016</c:v>
                  </c:pt>
                  <c:pt idx="6">
                    <c:v>2016</c:v>
                  </c:pt>
                  <c:pt idx="7">
                    <c:v>2016</c:v>
                  </c:pt>
                </c:lvl>
                <c:lvl>
                  <c:pt idx="0">
                    <c:v>2016</c:v>
                  </c:pt>
                  <c:pt idx="1">
                    <c:v>2016</c:v>
                  </c:pt>
                  <c:pt idx="2">
                    <c:v>2016</c:v>
                  </c:pt>
                  <c:pt idx="3">
                    <c:v>2016</c:v>
                  </c:pt>
                  <c:pt idx="4">
                    <c:v>2016</c:v>
                  </c:pt>
                  <c:pt idx="5">
                    <c:v>2016</c:v>
                  </c:pt>
                  <c:pt idx="6">
                    <c:v>2016</c:v>
                  </c:pt>
                  <c:pt idx="7">
                    <c:v>2016</c:v>
                  </c:pt>
                </c:lvl>
                <c:lvl>
                  <c:pt idx="0">
                    <c:v>DENMARK</c:v>
                  </c:pt>
                  <c:pt idx="1">
                    <c:v>GERMANY</c:v>
                  </c:pt>
                  <c:pt idx="2">
                    <c:v>NORWAY</c:v>
                  </c:pt>
                  <c:pt idx="3">
                    <c:v>SWEDEN</c:v>
                  </c:pt>
                  <c:pt idx="4">
                    <c:v>ESTONIA</c:v>
                  </c:pt>
                  <c:pt idx="5">
                    <c:v>LITHUANIA</c:v>
                  </c:pt>
                  <c:pt idx="6">
                    <c:v>POLAND</c:v>
                  </c:pt>
                  <c:pt idx="7">
                    <c:v>FINLAND</c:v>
                  </c:pt>
                </c:lvl>
              </c:multiLvlStrCache>
            </c:multiLvlStrRef>
          </c:cat>
          <c:val>
            <c:numRef>
              <c:f>'HE GEN - Annual'!$G$4:$G$12</c:f>
              <c:numCache>
                <c:formatCode>General</c:formatCode>
                <c:ptCount val="8"/>
                <c:pt idx="0">
                  <c:v>5.0226428287854459</c:v>
                </c:pt>
                <c:pt idx="1">
                  <c:v>0.78577186432912005</c:v>
                </c:pt>
                <c:pt idx="2">
                  <c:v>2.2378772137631433</c:v>
                </c:pt>
                <c:pt idx="3">
                  <c:v>15.724833200714237</c:v>
                </c:pt>
                <c:pt idx="4">
                  <c:v>0.29783999999999999</c:v>
                </c:pt>
                <c:pt idx="5">
                  <c:v>2.5841840458597689</c:v>
                </c:pt>
                <c:pt idx="6">
                  <c:v>1.4892000000000001</c:v>
                </c:pt>
              </c:numCache>
            </c:numRef>
          </c:val>
          <c:extLst>
            <c:ext xmlns:c16="http://schemas.microsoft.com/office/drawing/2014/chart" uri="{C3380CC4-5D6E-409C-BE32-E72D297353CC}">
              <c16:uniqueId val="{00000001-CC11-4F5E-BB3F-4E87481F6FEA}"/>
            </c:ext>
          </c:extLst>
        </c:ser>
        <c:ser>
          <c:idx val="3"/>
          <c:order val="3"/>
          <c:tx>
            <c:strRef>
              <c:f>'HE GEN - Annual'!$H$2:$H$3</c:f>
              <c:strCache>
                <c:ptCount val="1"/>
                <c:pt idx="0">
                  <c:v>WOODWASTE</c:v>
                </c:pt>
              </c:strCache>
            </c:strRef>
          </c:tx>
          <c:spPr>
            <a:solidFill>
              <a:schemeClr val="accent4"/>
            </a:solidFill>
            <a:ln>
              <a:noFill/>
            </a:ln>
            <a:effectLst/>
          </c:spPr>
          <c:invertIfNegative val="0"/>
          <c:cat>
            <c:multiLvlStrRef>
              <c:f>'HE GEN - Annual'!$B$4:$D$12</c:f>
              <c:multiLvlStrCache>
                <c:ptCount val="8"/>
                <c:lvl>
                  <c:pt idx="0">
                    <c:v>2016</c:v>
                  </c:pt>
                  <c:pt idx="1">
                    <c:v>2016</c:v>
                  </c:pt>
                  <c:pt idx="2">
                    <c:v>2016</c:v>
                  </c:pt>
                  <c:pt idx="3">
                    <c:v>2016</c:v>
                  </c:pt>
                  <c:pt idx="4">
                    <c:v>2016</c:v>
                  </c:pt>
                  <c:pt idx="5">
                    <c:v>2016</c:v>
                  </c:pt>
                  <c:pt idx="6">
                    <c:v>2016</c:v>
                  </c:pt>
                  <c:pt idx="7">
                    <c:v>2016</c:v>
                  </c:pt>
                </c:lvl>
                <c:lvl>
                  <c:pt idx="0">
                    <c:v>2016</c:v>
                  </c:pt>
                  <c:pt idx="1">
                    <c:v>2016</c:v>
                  </c:pt>
                  <c:pt idx="2">
                    <c:v>2016</c:v>
                  </c:pt>
                  <c:pt idx="3">
                    <c:v>2016</c:v>
                  </c:pt>
                  <c:pt idx="4">
                    <c:v>2016</c:v>
                  </c:pt>
                  <c:pt idx="5">
                    <c:v>2016</c:v>
                  </c:pt>
                  <c:pt idx="6">
                    <c:v>2016</c:v>
                  </c:pt>
                  <c:pt idx="7">
                    <c:v>2016</c:v>
                  </c:pt>
                </c:lvl>
                <c:lvl>
                  <c:pt idx="0">
                    <c:v>DENMARK</c:v>
                  </c:pt>
                  <c:pt idx="1">
                    <c:v>GERMANY</c:v>
                  </c:pt>
                  <c:pt idx="2">
                    <c:v>NORWAY</c:v>
                  </c:pt>
                  <c:pt idx="3">
                    <c:v>SWEDEN</c:v>
                  </c:pt>
                  <c:pt idx="4">
                    <c:v>ESTONIA</c:v>
                  </c:pt>
                  <c:pt idx="5">
                    <c:v>LITHUANIA</c:v>
                  </c:pt>
                  <c:pt idx="6">
                    <c:v>POLAND</c:v>
                  </c:pt>
                  <c:pt idx="7">
                    <c:v>FINLAND</c:v>
                  </c:pt>
                </c:lvl>
              </c:multiLvlStrCache>
            </c:multiLvlStrRef>
          </c:cat>
          <c:val>
            <c:numRef>
              <c:f>'HE GEN - Annual'!$H$4:$H$12</c:f>
              <c:numCache>
                <c:formatCode>General</c:formatCode>
                <c:ptCount val="8"/>
                <c:pt idx="0">
                  <c:v>0.70779777999999993</c:v>
                </c:pt>
                <c:pt idx="2">
                  <c:v>0.56083346287836799</c:v>
                </c:pt>
                <c:pt idx="3">
                  <c:v>25.267801691653688</c:v>
                </c:pt>
                <c:pt idx="4">
                  <c:v>0.62339731578947399</c:v>
                </c:pt>
                <c:pt idx="5">
                  <c:v>0.23974736842105299</c:v>
                </c:pt>
                <c:pt idx="7">
                  <c:v>6.14284725925926</c:v>
                </c:pt>
              </c:numCache>
            </c:numRef>
          </c:val>
          <c:extLst>
            <c:ext xmlns:c16="http://schemas.microsoft.com/office/drawing/2014/chart" uri="{C3380CC4-5D6E-409C-BE32-E72D297353CC}">
              <c16:uniqueId val="{00000002-CC11-4F5E-BB3F-4E87481F6FEA}"/>
            </c:ext>
          </c:extLst>
        </c:ser>
        <c:ser>
          <c:idx val="4"/>
          <c:order val="4"/>
          <c:tx>
            <c:strRef>
              <c:f>'HE GEN - Annual'!$I$2:$I$3</c:f>
              <c:strCache>
                <c:ptCount val="1"/>
                <c:pt idx="0">
                  <c:v>WASTEHEAT</c:v>
                </c:pt>
              </c:strCache>
            </c:strRef>
          </c:tx>
          <c:spPr>
            <a:solidFill>
              <a:schemeClr val="accent5"/>
            </a:solidFill>
            <a:ln>
              <a:noFill/>
            </a:ln>
            <a:effectLst/>
          </c:spPr>
          <c:invertIfNegative val="0"/>
          <c:cat>
            <c:multiLvlStrRef>
              <c:f>'HE GEN - Annual'!$B$4:$D$12</c:f>
              <c:multiLvlStrCache>
                <c:ptCount val="8"/>
                <c:lvl>
                  <c:pt idx="0">
                    <c:v>2016</c:v>
                  </c:pt>
                  <c:pt idx="1">
                    <c:v>2016</c:v>
                  </c:pt>
                  <c:pt idx="2">
                    <c:v>2016</c:v>
                  </c:pt>
                  <c:pt idx="3">
                    <c:v>2016</c:v>
                  </c:pt>
                  <c:pt idx="4">
                    <c:v>2016</c:v>
                  </c:pt>
                  <c:pt idx="5">
                    <c:v>2016</c:v>
                  </c:pt>
                  <c:pt idx="6">
                    <c:v>2016</c:v>
                  </c:pt>
                  <c:pt idx="7">
                    <c:v>2016</c:v>
                  </c:pt>
                </c:lvl>
                <c:lvl>
                  <c:pt idx="0">
                    <c:v>2016</c:v>
                  </c:pt>
                  <c:pt idx="1">
                    <c:v>2016</c:v>
                  </c:pt>
                  <c:pt idx="2">
                    <c:v>2016</c:v>
                  </c:pt>
                  <c:pt idx="3">
                    <c:v>2016</c:v>
                  </c:pt>
                  <c:pt idx="4">
                    <c:v>2016</c:v>
                  </c:pt>
                  <c:pt idx="5">
                    <c:v>2016</c:v>
                  </c:pt>
                  <c:pt idx="6">
                    <c:v>2016</c:v>
                  </c:pt>
                  <c:pt idx="7">
                    <c:v>2016</c:v>
                  </c:pt>
                </c:lvl>
                <c:lvl>
                  <c:pt idx="0">
                    <c:v>DENMARK</c:v>
                  </c:pt>
                  <c:pt idx="1">
                    <c:v>GERMANY</c:v>
                  </c:pt>
                  <c:pt idx="2">
                    <c:v>NORWAY</c:v>
                  </c:pt>
                  <c:pt idx="3">
                    <c:v>SWEDEN</c:v>
                  </c:pt>
                  <c:pt idx="4">
                    <c:v>ESTONIA</c:v>
                  </c:pt>
                  <c:pt idx="5">
                    <c:v>LITHUANIA</c:v>
                  </c:pt>
                  <c:pt idx="6">
                    <c:v>POLAND</c:v>
                  </c:pt>
                  <c:pt idx="7">
                    <c:v>FINLAND</c:v>
                  </c:pt>
                </c:lvl>
              </c:multiLvlStrCache>
            </c:multiLvlStrRef>
          </c:cat>
          <c:val>
            <c:numRef>
              <c:f>'HE GEN - Annual'!$I$4:$I$12</c:f>
              <c:numCache>
                <c:formatCode>General</c:formatCode>
                <c:ptCount val="8"/>
                <c:pt idx="0">
                  <c:v>2.9823420000000005</c:v>
                </c:pt>
                <c:pt idx="2">
                  <c:v>0.18840353579019692</c:v>
                </c:pt>
                <c:pt idx="3">
                  <c:v>5.1277931929321063</c:v>
                </c:pt>
                <c:pt idx="7">
                  <c:v>1.9283832417582336</c:v>
                </c:pt>
              </c:numCache>
            </c:numRef>
          </c:val>
          <c:extLst>
            <c:ext xmlns:c16="http://schemas.microsoft.com/office/drawing/2014/chart" uri="{C3380CC4-5D6E-409C-BE32-E72D297353CC}">
              <c16:uniqueId val="{00000003-CC11-4F5E-BB3F-4E87481F6FEA}"/>
            </c:ext>
          </c:extLst>
        </c:ser>
        <c:ser>
          <c:idx val="5"/>
          <c:order val="5"/>
          <c:tx>
            <c:strRef>
              <c:f>'HE GEN - Annual'!$J$2:$J$3</c:f>
              <c:strCache>
                <c:ptCount val="1"/>
                <c:pt idx="0">
                  <c:v>LIGNITE</c:v>
                </c:pt>
              </c:strCache>
            </c:strRef>
          </c:tx>
          <c:spPr>
            <a:solidFill>
              <a:schemeClr val="accent6"/>
            </a:solidFill>
            <a:ln>
              <a:noFill/>
            </a:ln>
            <a:effectLst/>
          </c:spPr>
          <c:invertIfNegative val="0"/>
          <c:cat>
            <c:multiLvlStrRef>
              <c:f>'HE GEN - Annual'!$B$4:$D$12</c:f>
              <c:multiLvlStrCache>
                <c:ptCount val="8"/>
                <c:lvl>
                  <c:pt idx="0">
                    <c:v>2016</c:v>
                  </c:pt>
                  <c:pt idx="1">
                    <c:v>2016</c:v>
                  </c:pt>
                  <c:pt idx="2">
                    <c:v>2016</c:v>
                  </c:pt>
                  <c:pt idx="3">
                    <c:v>2016</c:v>
                  </c:pt>
                  <c:pt idx="4">
                    <c:v>2016</c:v>
                  </c:pt>
                  <c:pt idx="5">
                    <c:v>2016</c:v>
                  </c:pt>
                  <c:pt idx="6">
                    <c:v>2016</c:v>
                  </c:pt>
                  <c:pt idx="7">
                    <c:v>2016</c:v>
                  </c:pt>
                </c:lvl>
                <c:lvl>
                  <c:pt idx="0">
                    <c:v>2016</c:v>
                  </c:pt>
                  <c:pt idx="1">
                    <c:v>2016</c:v>
                  </c:pt>
                  <c:pt idx="2">
                    <c:v>2016</c:v>
                  </c:pt>
                  <c:pt idx="3">
                    <c:v>2016</c:v>
                  </c:pt>
                  <c:pt idx="4">
                    <c:v>2016</c:v>
                  </c:pt>
                  <c:pt idx="5">
                    <c:v>2016</c:v>
                  </c:pt>
                  <c:pt idx="6">
                    <c:v>2016</c:v>
                  </c:pt>
                  <c:pt idx="7">
                    <c:v>2016</c:v>
                  </c:pt>
                </c:lvl>
                <c:lvl>
                  <c:pt idx="0">
                    <c:v>DENMARK</c:v>
                  </c:pt>
                  <c:pt idx="1">
                    <c:v>GERMANY</c:v>
                  </c:pt>
                  <c:pt idx="2">
                    <c:v>NORWAY</c:v>
                  </c:pt>
                  <c:pt idx="3">
                    <c:v>SWEDEN</c:v>
                  </c:pt>
                  <c:pt idx="4">
                    <c:v>ESTONIA</c:v>
                  </c:pt>
                  <c:pt idx="5">
                    <c:v>LITHUANIA</c:v>
                  </c:pt>
                  <c:pt idx="6">
                    <c:v>POLAND</c:v>
                  </c:pt>
                  <c:pt idx="7">
                    <c:v>FINLAND</c:v>
                  </c:pt>
                </c:lvl>
              </c:multiLvlStrCache>
            </c:multiLvlStrRef>
          </c:cat>
          <c:val>
            <c:numRef>
              <c:f>'HE GEN - Annual'!$J$4:$J$12</c:f>
              <c:numCache>
                <c:formatCode>General</c:formatCode>
                <c:ptCount val="8"/>
                <c:pt idx="1">
                  <c:v>143.20163712968863</c:v>
                </c:pt>
                <c:pt idx="6">
                  <c:v>1.003895854145854</c:v>
                </c:pt>
              </c:numCache>
            </c:numRef>
          </c:val>
          <c:extLst>
            <c:ext xmlns:c16="http://schemas.microsoft.com/office/drawing/2014/chart" uri="{C3380CC4-5D6E-409C-BE32-E72D297353CC}">
              <c16:uniqueId val="{00000004-CC11-4F5E-BB3F-4E87481F6FEA}"/>
            </c:ext>
          </c:extLst>
        </c:ser>
        <c:ser>
          <c:idx val="6"/>
          <c:order val="6"/>
          <c:tx>
            <c:strRef>
              <c:f>'HE GEN - Annual'!$K$2:$K$3</c:f>
              <c:strCache>
                <c:ptCount val="1"/>
                <c:pt idx="0">
                  <c:v>NATGAS</c:v>
                </c:pt>
              </c:strCache>
            </c:strRef>
          </c:tx>
          <c:spPr>
            <a:solidFill>
              <a:schemeClr val="accent1">
                <a:lumMod val="60000"/>
              </a:schemeClr>
            </a:solidFill>
            <a:ln>
              <a:noFill/>
            </a:ln>
            <a:effectLst/>
          </c:spPr>
          <c:invertIfNegative val="0"/>
          <c:cat>
            <c:multiLvlStrRef>
              <c:f>'HE GEN - Annual'!$B$4:$D$12</c:f>
              <c:multiLvlStrCache>
                <c:ptCount val="8"/>
                <c:lvl>
                  <c:pt idx="0">
                    <c:v>2016</c:v>
                  </c:pt>
                  <c:pt idx="1">
                    <c:v>2016</c:v>
                  </c:pt>
                  <c:pt idx="2">
                    <c:v>2016</c:v>
                  </c:pt>
                  <c:pt idx="3">
                    <c:v>2016</c:v>
                  </c:pt>
                  <c:pt idx="4">
                    <c:v>2016</c:v>
                  </c:pt>
                  <c:pt idx="5">
                    <c:v>2016</c:v>
                  </c:pt>
                  <c:pt idx="6">
                    <c:v>2016</c:v>
                  </c:pt>
                  <c:pt idx="7">
                    <c:v>2016</c:v>
                  </c:pt>
                </c:lvl>
                <c:lvl>
                  <c:pt idx="0">
                    <c:v>2016</c:v>
                  </c:pt>
                  <c:pt idx="1">
                    <c:v>2016</c:v>
                  </c:pt>
                  <c:pt idx="2">
                    <c:v>2016</c:v>
                  </c:pt>
                  <c:pt idx="3">
                    <c:v>2016</c:v>
                  </c:pt>
                  <c:pt idx="4">
                    <c:v>2016</c:v>
                  </c:pt>
                  <c:pt idx="5">
                    <c:v>2016</c:v>
                  </c:pt>
                  <c:pt idx="6">
                    <c:v>2016</c:v>
                  </c:pt>
                  <c:pt idx="7">
                    <c:v>2016</c:v>
                  </c:pt>
                </c:lvl>
                <c:lvl>
                  <c:pt idx="0">
                    <c:v>DENMARK</c:v>
                  </c:pt>
                  <c:pt idx="1">
                    <c:v>GERMANY</c:v>
                  </c:pt>
                  <c:pt idx="2">
                    <c:v>NORWAY</c:v>
                  </c:pt>
                  <c:pt idx="3">
                    <c:v>SWEDEN</c:v>
                  </c:pt>
                  <c:pt idx="4">
                    <c:v>ESTONIA</c:v>
                  </c:pt>
                  <c:pt idx="5">
                    <c:v>LITHUANIA</c:v>
                  </c:pt>
                  <c:pt idx="6">
                    <c:v>POLAND</c:v>
                  </c:pt>
                  <c:pt idx="7">
                    <c:v>FINLAND</c:v>
                  </c:pt>
                </c:lvl>
              </c:multiLvlStrCache>
            </c:multiLvlStrRef>
          </c:cat>
          <c:val>
            <c:numRef>
              <c:f>'HE GEN - Annual'!$K$4:$K$12</c:f>
              <c:numCache>
                <c:formatCode>General</c:formatCode>
                <c:ptCount val="8"/>
                <c:pt idx="0">
                  <c:v>0.6859561726241975</c:v>
                </c:pt>
                <c:pt idx="1">
                  <c:v>1.304157633809927</c:v>
                </c:pt>
                <c:pt idx="3">
                  <c:v>0.32547344687160062</c:v>
                </c:pt>
                <c:pt idx="4">
                  <c:v>0.84135231289547596</c:v>
                </c:pt>
                <c:pt idx="7">
                  <c:v>9.8112763378177057</c:v>
                </c:pt>
              </c:numCache>
            </c:numRef>
          </c:val>
          <c:extLst>
            <c:ext xmlns:c16="http://schemas.microsoft.com/office/drawing/2014/chart" uri="{C3380CC4-5D6E-409C-BE32-E72D297353CC}">
              <c16:uniqueId val="{00000005-CC11-4F5E-BB3F-4E87481F6FEA}"/>
            </c:ext>
          </c:extLst>
        </c:ser>
        <c:ser>
          <c:idx val="7"/>
          <c:order val="7"/>
          <c:tx>
            <c:strRef>
              <c:f>'HE GEN - Annual'!$L$2:$L$3</c:f>
              <c:strCache>
                <c:ptCount val="1"/>
                <c:pt idx="0">
                  <c:v>STRAW</c:v>
                </c:pt>
              </c:strCache>
            </c:strRef>
          </c:tx>
          <c:spPr>
            <a:solidFill>
              <a:schemeClr val="accent2">
                <a:lumMod val="60000"/>
              </a:schemeClr>
            </a:solidFill>
            <a:ln>
              <a:noFill/>
            </a:ln>
            <a:effectLst/>
          </c:spPr>
          <c:invertIfNegative val="0"/>
          <c:cat>
            <c:multiLvlStrRef>
              <c:f>'HE GEN - Annual'!$B$4:$D$12</c:f>
              <c:multiLvlStrCache>
                <c:ptCount val="8"/>
                <c:lvl>
                  <c:pt idx="0">
                    <c:v>2016</c:v>
                  </c:pt>
                  <c:pt idx="1">
                    <c:v>2016</c:v>
                  </c:pt>
                  <c:pt idx="2">
                    <c:v>2016</c:v>
                  </c:pt>
                  <c:pt idx="3">
                    <c:v>2016</c:v>
                  </c:pt>
                  <c:pt idx="4">
                    <c:v>2016</c:v>
                  </c:pt>
                  <c:pt idx="5">
                    <c:v>2016</c:v>
                  </c:pt>
                  <c:pt idx="6">
                    <c:v>2016</c:v>
                  </c:pt>
                  <c:pt idx="7">
                    <c:v>2016</c:v>
                  </c:pt>
                </c:lvl>
                <c:lvl>
                  <c:pt idx="0">
                    <c:v>2016</c:v>
                  </c:pt>
                  <c:pt idx="1">
                    <c:v>2016</c:v>
                  </c:pt>
                  <c:pt idx="2">
                    <c:v>2016</c:v>
                  </c:pt>
                  <c:pt idx="3">
                    <c:v>2016</c:v>
                  </c:pt>
                  <c:pt idx="4">
                    <c:v>2016</c:v>
                  </c:pt>
                  <c:pt idx="5">
                    <c:v>2016</c:v>
                  </c:pt>
                  <c:pt idx="6">
                    <c:v>2016</c:v>
                  </c:pt>
                  <c:pt idx="7">
                    <c:v>2016</c:v>
                  </c:pt>
                </c:lvl>
                <c:lvl>
                  <c:pt idx="0">
                    <c:v>DENMARK</c:v>
                  </c:pt>
                  <c:pt idx="1">
                    <c:v>GERMANY</c:v>
                  </c:pt>
                  <c:pt idx="2">
                    <c:v>NORWAY</c:v>
                  </c:pt>
                  <c:pt idx="3">
                    <c:v>SWEDEN</c:v>
                  </c:pt>
                  <c:pt idx="4">
                    <c:v>ESTONIA</c:v>
                  </c:pt>
                  <c:pt idx="5">
                    <c:v>LITHUANIA</c:v>
                  </c:pt>
                  <c:pt idx="6">
                    <c:v>POLAND</c:v>
                  </c:pt>
                  <c:pt idx="7">
                    <c:v>FINLAND</c:v>
                  </c:pt>
                </c:lvl>
              </c:multiLvlStrCache>
            </c:multiLvlStrRef>
          </c:cat>
          <c:val>
            <c:numRef>
              <c:f>'HE GEN - Annual'!$L$4:$L$12</c:f>
              <c:numCache>
                <c:formatCode>General</c:formatCode>
                <c:ptCount val="8"/>
                <c:pt idx="0">
                  <c:v>3.3512026748558474</c:v>
                </c:pt>
              </c:numCache>
            </c:numRef>
          </c:val>
          <c:extLst>
            <c:ext xmlns:c16="http://schemas.microsoft.com/office/drawing/2014/chart" uri="{C3380CC4-5D6E-409C-BE32-E72D297353CC}">
              <c16:uniqueId val="{00000006-CC11-4F5E-BB3F-4E87481F6FEA}"/>
            </c:ext>
          </c:extLst>
        </c:ser>
        <c:ser>
          <c:idx val="8"/>
          <c:order val="8"/>
          <c:tx>
            <c:strRef>
              <c:f>'HE GEN - Annual'!$M$2:$M$3</c:f>
              <c:strCache>
                <c:ptCount val="1"/>
                <c:pt idx="0">
                  <c:v>WOODCHIPS</c:v>
                </c:pt>
              </c:strCache>
            </c:strRef>
          </c:tx>
          <c:spPr>
            <a:solidFill>
              <a:schemeClr val="accent3">
                <a:lumMod val="60000"/>
              </a:schemeClr>
            </a:solidFill>
            <a:ln>
              <a:noFill/>
            </a:ln>
            <a:effectLst/>
          </c:spPr>
          <c:invertIfNegative val="0"/>
          <c:cat>
            <c:multiLvlStrRef>
              <c:f>'HE GEN - Annual'!$B$4:$D$12</c:f>
              <c:multiLvlStrCache>
                <c:ptCount val="8"/>
                <c:lvl>
                  <c:pt idx="0">
                    <c:v>2016</c:v>
                  </c:pt>
                  <c:pt idx="1">
                    <c:v>2016</c:v>
                  </c:pt>
                  <c:pt idx="2">
                    <c:v>2016</c:v>
                  </c:pt>
                  <c:pt idx="3">
                    <c:v>2016</c:v>
                  </c:pt>
                  <c:pt idx="4">
                    <c:v>2016</c:v>
                  </c:pt>
                  <c:pt idx="5">
                    <c:v>2016</c:v>
                  </c:pt>
                  <c:pt idx="6">
                    <c:v>2016</c:v>
                  </c:pt>
                  <c:pt idx="7">
                    <c:v>2016</c:v>
                  </c:pt>
                </c:lvl>
                <c:lvl>
                  <c:pt idx="0">
                    <c:v>2016</c:v>
                  </c:pt>
                  <c:pt idx="1">
                    <c:v>2016</c:v>
                  </c:pt>
                  <c:pt idx="2">
                    <c:v>2016</c:v>
                  </c:pt>
                  <c:pt idx="3">
                    <c:v>2016</c:v>
                  </c:pt>
                  <c:pt idx="4">
                    <c:v>2016</c:v>
                  </c:pt>
                  <c:pt idx="5">
                    <c:v>2016</c:v>
                  </c:pt>
                  <c:pt idx="6">
                    <c:v>2016</c:v>
                  </c:pt>
                  <c:pt idx="7">
                    <c:v>2016</c:v>
                  </c:pt>
                </c:lvl>
                <c:lvl>
                  <c:pt idx="0">
                    <c:v>DENMARK</c:v>
                  </c:pt>
                  <c:pt idx="1">
                    <c:v>GERMANY</c:v>
                  </c:pt>
                  <c:pt idx="2">
                    <c:v>NORWAY</c:v>
                  </c:pt>
                  <c:pt idx="3">
                    <c:v>SWEDEN</c:v>
                  </c:pt>
                  <c:pt idx="4">
                    <c:v>ESTONIA</c:v>
                  </c:pt>
                  <c:pt idx="5">
                    <c:v>LITHUANIA</c:v>
                  </c:pt>
                  <c:pt idx="6">
                    <c:v>POLAND</c:v>
                  </c:pt>
                  <c:pt idx="7">
                    <c:v>FINLAND</c:v>
                  </c:pt>
                </c:lvl>
              </c:multiLvlStrCache>
            </c:multiLvlStrRef>
          </c:cat>
          <c:val>
            <c:numRef>
              <c:f>'HE GEN - Annual'!$M$4:$M$12</c:f>
              <c:numCache>
                <c:formatCode>General</c:formatCode>
                <c:ptCount val="8"/>
                <c:pt idx="0">
                  <c:v>5.8334008570678488</c:v>
                </c:pt>
                <c:pt idx="3">
                  <c:v>0.53632480470374999</c:v>
                </c:pt>
                <c:pt idx="7">
                  <c:v>3.7180984493207547</c:v>
                </c:pt>
              </c:numCache>
            </c:numRef>
          </c:val>
          <c:extLst>
            <c:ext xmlns:c16="http://schemas.microsoft.com/office/drawing/2014/chart" uri="{C3380CC4-5D6E-409C-BE32-E72D297353CC}">
              <c16:uniqueId val="{00000007-CC11-4F5E-BB3F-4E87481F6FEA}"/>
            </c:ext>
          </c:extLst>
        </c:ser>
        <c:ser>
          <c:idx val="9"/>
          <c:order val="9"/>
          <c:tx>
            <c:strRef>
              <c:f>'HE GEN - Annual'!$N$2:$N$3</c:f>
              <c:strCache>
                <c:ptCount val="1"/>
                <c:pt idx="0">
                  <c:v>LPG</c:v>
                </c:pt>
              </c:strCache>
            </c:strRef>
          </c:tx>
          <c:spPr>
            <a:solidFill>
              <a:schemeClr val="accent4">
                <a:lumMod val="60000"/>
              </a:schemeClr>
            </a:solidFill>
            <a:ln>
              <a:noFill/>
            </a:ln>
            <a:effectLst/>
          </c:spPr>
          <c:invertIfNegative val="0"/>
          <c:cat>
            <c:multiLvlStrRef>
              <c:f>'HE GEN - Annual'!$B$4:$D$12</c:f>
              <c:multiLvlStrCache>
                <c:ptCount val="8"/>
                <c:lvl>
                  <c:pt idx="0">
                    <c:v>2016</c:v>
                  </c:pt>
                  <c:pt idx="1">
                    <c:v>2016</c:v>
                  </c:pt>
                  <c:pt idx="2">
                    <c:v>2016</c:v>
                  </c:pt>
                  <c:pt idx="3">
                    <c:v>2016</c:v>
                  </c:pt>
                  <c:pt idx="4">
                    <c:v>2016</c:v>
                  </c:pt>
                  <c:pt idx="5">
                    <c:v>2016</c:v>
                  </c:pt>
                  <c:pt idx="6">
                    <c:v>2016</c:v>
                  </c:pt>
                  <c:pt idx="7">
                    <c:v>2016</c:v>
                  </c:pt>
                </c:lvl>
                <c:lvl>
                  <c:pt idx="0">
                    <c:v>2016</c:v>
                  </c:pt>
                  <c:pt idx="1">
                    <c:v>2016</c:v>
                  </c:pt>
                  <c:pt idx="2">
                    <c:v>2016</c:v>
                  </c:pt>
                  <c:pt idx="3">
                    <c:v>2016</c:v>
                  </c:pt>
                  <c:pt idx="4">
                    <c:v>2016</c:v>
                  </c:pt>
                  <c:pt idx="5">
                    <c:v>2016</c:v>
                  </c:pt>
                  <c:pt idx="6">
                    <c:v>2016</c:v>
                  </c:pt>
                  <c:pt idx="7">
                    <c:v>2016</c:v>
                  </c:pt>
                </c:lvl>
                <c:lvl>
                  <c:pt idx="0">
                    <c:v>DENMARK</c:v>
                  </c:pt>
                  <c:pt idx="1">
                    <c:v>GERMANY</c:v>
                  </c:pt>
                  <c:pt idx="2">
                    <c:v>NORWAY</c:v>
                  </c:pt>
                  <c:pt idx="3">
                    <c:v>SWEDEN</c:v>
                  </c:pt>
                  <c:pt idx="4">
                    <c:v>ESTONIA</c:v>
                  </c:pt>
                  <c:pt idx="5">
                    <c:v>LITHUANIA</c:v>
                  </c:pt>
                  <c:pt idx="6">
                    <c:v>POLAND</c:v>
                  </c:pt>
                  <c:pt idx="7">
                    <c:v>FINLAND</c:v>
                  </c:pt>
                </c:lvl>
              </c:multiLvlStrCache>
            </c:multiLvlStrRef>
          </c:cat>
          <c:val>
            <c:numRef>
              <c:f>'HE GEN - Annual'!$N$4:$N$12</c:f>
              <c:numCache>
                <c:formatCode>General</c:formatCode>
                <c:ptCount val="8"/>
                <c:pt idx="2">
                  <c:v>1.7080823985253932</c:v>
                </c:pt>
              </c:numCache>
            </c:numRef>
          </c:val>
          <c:extLst>
            <c:ext xmlns:c16="http://schemas.microsoft.com/office/drawing/2014/chart" uri="{C3380CC4-5D6E-409C-BE32-E72D297353CC}">
              <c16:uniqueId val="{00000008-CC11-4F5E-BB3F-4E87481F6FEA}"/>
            </c:ext>
          </c:extLst>
        </c:ser>
        <c:ser>
          <c:idx val="10"/>
          <c:order val="10"/>
          <c:tx>
            <c:strRef>
              <c:f>'HE GEN - Annual'!$O$2:$O$3</c:f>
              <c:strCache>
                <c:ptCount val="1"/>
                <c:pt idx="0">
                  <c:v>PEAT</c:v>
                </c:pt>
              </c:strCache>
            </c:strRef>
          </c:tx>
          <c:spPr>
            <a:solidFill>
              <a:schemeClr val="accent5">
                <a:lumMod val="60000"/>
              </a:schemeClr>
            </a:solidFill>
            <a:ln>
              <a:noFill/>
            </a:ln>
            <a:effectLst/>
          </c:spPr>
          <c:invertIfNegative val="0"/>
          <c:cat>
            <c:multiLvlStrRef>
              <c:f>'HE GEN - Annual'!$B$4:$D$12</c:f>
              <c:multiLvlStrCache>
                <c:ptCount val="8"/>
                <c:lvl>
                  <c:pt idx="0">
                    <c:v>2016</c:v>
                  </c:pt>
                  <c:pt idx="1">
                    <c:v>2016</c:v>
                  </c:pt>
                  <c:pt idx="2">
                    <c:v>2016</c:v>
                  </c:pt>
                  <c:pt idx="3">
                    <c:v>2016</c:v>
                  </c:pt>
                  <c:pt idx="4">
                    <c:v>2016</c:v>
                  </c:pt>
                  <c:pt idx="5">
                    <c:v>2016</c:v>
                  </c:pt>
                  <c:pt idx="6">
                    <c:v>2016</c:v>
                  </c:pt>
                  <c:pt idx="7">
                    <c:v>2016</c:v>
                  </c:pt>
                </c:lvl>
                <c:lvl>
                  <c:pt idx="0">
                    <c:v>2016</c:v>
                  </c:pt>
                  <c:pt idx="1">
                    <c:v>2016</c:v>
                  </c:pt>
                  <c:pt idx="2">
                    <c:v>2016</c:v>
                  </c:pt>
                  <c:pt idx="3">
                    <c:v>2016</c:v>
                  </c:pt>
                  <c:pt idx="4">
                    <c:v>2016</c:v>
                  </c:pt>
                  <c:pt idx="5">
                    <c:v>2016</c:v>
                  </c:pt>
                  <c:pt idx="6">
                    <c:v>2016</c:v>
                  </c:pt>
                  <c:pt idx="7">
                    <c:v>2016</c:v>
                  </c:pt>
                </c:lvl>
                <c:lvl>
                  <c:pt idx="0">
                    <c:v>DENMARK</c:v>
                  </c:pt>
                  <c:pt idx="1">
                    <c:v>GERMANY</c:v>
                  </c:pt>
                  <c:pt idx="2">
                    <c:v>NORWAY</c:v>
                  </c:pt>
                  <c:pt idx="3">
                    <c:v>SWEDEN</c:v>
                  </c:pt>
                  <c:pt idx="4">
                    <c:v>ESTONIA</c:v>
                  </c:pt>
                  <c:pt idx="5">
                    <c:v>LITHUANIA</c:v>
                  </c:pt>
                  <c:pt idx="6">
                    <c:v>POLAND</c:v>
                  </c:pt>
                  <c:pt idx="7">
                    <c:v>FINLAND</c:v>
                  </c:pt>
                </c:lvl>
              </c:multiLvlStrCache>
            </c:multiLvlStrRef>
          </c:cat>
          <c:val>
            <c:numRef>
              <c:f>'HE GEN - Annual'!$O$4:$O$12</c:f>
              <c:numCache>
                <c:formatCode>General</c:formatCode>
                <c:ptCount val="8"/>
                <c:pt idx="3">
                  <c:v>0.89479545070746047</c:v>
                </c:pt>
                <c:pt idx="7">
                  <c:v>18.172689801685657</c:v>
                </c:pt>
              </c:numCache>
            </c:numRef>
          </c:val>
          <c:extLst>
            <c:ext xmlns:c16="http://schemas.microsoft.com/office/drawing/2014/chart" uri="{C3380CC4-5D6E-409C-BE32-E72D297353CC}">
              <c16:uniqueId val="{00000009-CC11-4F5E-BB3F-4E87481F6FEA}"/>
            </c:ext>
          </c:extLst>
        </c:ser>
        <c:ser>
          <c:idx val="11"/>
          <c:order val="11"/>
          <c:tx>
            <c:strRef>
              <c:f>'HE GEN - Annual'!$P$2:$P$3</c:f>
              <c:strCache>
                <c:ptCount val="1"/>
                <c:pt idx="0">
                  <c:v>RECYCLEDWOOD</c:v>
                </c:pt>
              </c:strCache>
            </c:strRef>
          </c:tx>
          <c:spPr>
            <a:solidFill>
              <a:schemeClr val="accent6">
                <a:lumMod val="60000"/>
              </a:schemeClr>
            </a:solidFill>
            <a:ln>
              <a:noFill/>
            </a:ln>
            <a:effectLst/>
          </c:spPr>
          <c:invertIfNegative val="0"/>
          <c:cat>
            <c:multiLvlStrRef>
              <c:f>'HE GEN - Annual'!$B$4:$D$12</c:f>
              <c:multiLvlStrCache>
                <c:ptCount val="8"/>
                <c:lvl>
                  <c:pt idx="0">
                    <c:v>2016</c:v>
                  </c:pt>
                  <c:pt idx="1">
                    <c:v>2016</c:v>
                  </c:pt>
                  <c:pt idx="2">
                    <c:v>2016</c:v>
                  </c:pt>
                  <c:pt idx="3">
                    <c:v>2016</c:v>
                  </c:pt>
                  <c:pt idx="4">
                    <c:v>2016</c:v>
                  </c:pt>
                  <c:pt idx="5">
                    <c:v>2016</c:v>
                  </c:pt>
                  <c:pt idx="6">
                    <c:v>2016</c:v>
                  </c:pt>
                  <c:pt idx="7">
                    <c:v>2016</c:v>
                  </c:pt>
                </c:lvl>
                <c:lvl>
                  <c:pt idx="0">
                    <c:v>2016</c:v>
                  </c:pt>
                  <c:pt idx="1">
                    <c:v>2016</c:v>
                  </c:pt>
                  <c:pt idx="2">
                    <c:v>2016</c:v>
                  </c:pt>
                  <c:pt idx="3">
                    <c:v>2016</c:v>
                  </c:pt>
                  <c:pt idx="4">
                    <c:v>2016</c:v>
                  </c:pt>
                  <c:pt idx="5">
                    <c:v>2016</c:v>
                  </c:pt>
                  <c:pt idx="6">
                    <c:v>2016</c:v>
                  </c:pt>
                  <c:pt idx="7">
                    <c:v>2016</c:v>
                  </c:pt>
                </c:lvl>
                <c:lvl>
                  <c:pt idx="0">
                    <c:v>DENMARK</c:v>
                  </c:pt>
                  <c:pt idx="1">
                    <c:v>GERMANY</c:v>
                  </c:pt>
                  <c:pt idx="2">
                    <c:v>NORWAY</c:v>
                  </c:pt>
                  <c:pt idx="3">
                    <c:v>SWEDEN</c:v>
                  </c:pt>
                  <c:pt idx="4">
                    <c:v>ESTONIA</c:v>
                  </c:pt>
                  <c:pt idx="5">
                    <c:v>LITHUANIA</c:v>
                  </c:pt>
                  <c:pt idx="6">
                    <c:v>POLAND</c:v>
                  </c:pt>
                  <c:pt idx="7">
                    <c:v>FINLAND</c:v>
                  </c:pt>
                </c:lvl>
              </c:multiLvlStrCache>
            </c:multiLvlStrRef>
          </c:cat>
          <c:val>
            <c:numRef>
              <c:f>'HE GEN - Annual'!$P$4:$P$12</c:f>
              <c:numCache>
                <c:formatCode>General</c:formatCode>
                <c:ptCount val="8"/>
                <c:pt idx="3">
                  <c:v>1.0898268120498238</c:v>
                </c:pt>
              </c:numCache>
            </c:numRef>
          </c:val>
          <c:extLst>
            <c:ext xmlns:c16="http://schemas.microsoft.com/office/drawing/2014/chart" uri="{C3380CC4-5D6E-409C-BE32-E72D297353CC}">
              <c16:uniqueId val="{0000000A-CC11-4F5E-BB3F-4E87481F6FEA}"/>
            </c:ext>
          </c:extLst>
        </c:ser>
        <c:ser>
          <c:idx val="12"/>
          <c:order val="12"/>
          <c:tx>
            <c:strRef>
              <c:f>'HE GEN - Annual'!$Q$2:$Q$3</c:f>
              <c:strCache>
                <c:ptCount val="1"/>
                <c:pt idx="0">
                  <c:v>OTHERGAS</c:v>
                </c:pt>
              </c:strCache>
            </c:strRef>
          </c:tx>
          <c:spPr>
            <a:solidFill>
              <a:schemeClr val="accent1">
                <a:lumMod val="80000"/>
                <a:lumOff val="20000"/>
              </a:schemeClr>
            </a:solidFill>
            <a:ln>
              <a:noFill/>
            </a:ln>
            <a:effectLst/>
          </c:spPr>
          <c:invertIfNegative val="0"/>
          <c:cat>
            <c:multiLvlStrRef>
              <c:f>'HE GEN - Annual'!$B$4:$D$12</c:f>
              <c:multiLvlStrCache>
                <c:ptCount val="8"/>
                <c:lvl>
                  <c:pt idx="0">
                    <c:v>2016</c:v>
                  </c:pt>
                  <c:pt idx="1">
                    <c:v>2016</c:v>
                  </c:pt>
                  <c:pt idx="2">
                    <c:v>2016</c:v>
                  </c:pt>
                  <c:pt idx="3">
                    <c:v>2016</c:v>
                  </c:pt>
                  <c:pt idx="4">
                    <c:v>2016</c:v>
                  </c:pt>
                  <c:pt idx="5">
                    <c:v>2016</c:v>
                  </c:pt>
                  <c:pt idx="6">
                    <c:v>2016</c:v>
                  </c:pt>
                  <c:pt idx="7">
                    <c:v>2016</c:v>
                  </c:pt>
                </c:lvl>
                <c:lvl>
                  <c:pt idx="0">
                    <c:v>2016</c:v>
                  </c:pt>
                  <c:pt idx="1">
                    <c:v>2016</c:v>
                  </c:pt>
                  <c:pt idx="2">
                    <c:v>2016</c:v>
                  </c:pt>
                  <c:pt idx="3">
                    <c:v>2016</c:v>
                  </c:pt>
                  <c:pt idx="4">
                    <c:v>2016</c:v>
                  </c:pt>
                  <c:pt idx="5">
                    <c:v>2016</c:v>
                  </c:pt>
                  <c:pt idx="6">
                    <c:v>2016</c:v>
                  </c:pt>
                  <c:pt idx="7">
                    <c:v>2016</c:v>
                  </c:pt>
                </c:lvl>
                <c:lvl>
                  <c:pt idx="0">
                    <c:v>DENMARK</c:v>
                  </c:pt>
                  <c:pt idx="1">
                    <c:v>GERMANY</c:v>
                  </c:pt>
                  <c:pt idx="2">
                    <c:v>NORWAY</c:v>
                  </c:pt>
                  <c:pt idx="3">
                    <c:v>SWEDEN</c:v>
                  </c:pt>
                  <c:pt idx="4">
                    <c:v>ESTONIA</c:v>
                  </c:pt>
                  <c:pt idx="5">
                    <c:v>LITHUANIA</c:v>
                  </c:pt>
                  <c:pt idx="6">
                    <c:v>POLAND</c:v>
                  </c:pt>
                  <c:pt idx="7">
                    <c:v>FINLAND</c:v>
                  </c:pt>
                </c:lvl>
              </c:multiLvlStrCache>
            </c:multiLvlStrRef>
          </c:cat>
          <c:val>
            <c:numRef>
              <c:f>'HE GEN - Annual'!$Q$4:$Q$12</c:f>
              <c:numCache>
                <c:formatCode>General</c:formatCode>
                <c:ptCount val="8"/>
                <c:pt idx="3">
                  <c:v>0.17519999999999999</c:v>
                </c:pt>
              </c:numCache>
            </c:numRef>
          </c:val>
          <c:extLst>
            <c:ext xmlns:c16="http://schemas.microsoft.com/office/drawing/2014/chart" uri="{C3380CC4-5D6E-409C-BE32-E72D297353CC}">
              <c16:uniqueId val="{0000000B-CC11-4F5E-BB3F-4E87481F6FEA}"/>
            </c:ext>
          </c:extLst>
        </c:ser>
        <c:ser>
          <c:idx val="13"/>
          <c:order val="13"/>
          <c:tx>
            <c:strRef>
              <c:f>'HE GEN - Annual'!$R$2:$R$3</c:f>
              <c:strCache>
                <c:ptCount val="1"/>
                <c:pt idx="0">
                  <c:v>WOOD</c:v>
                </c:pt>
              </c:strCache>
            </c:strRef>
          </c:tx>
          <c:spPr>
            <a:solidFill>
              <a:schemeClr val="accent2">
                <a:lumMod val="80000"/>
                <a:lumOff val="20000"/>
              </a:schemeClr>
            </a:solidFill>
            <a:ln>
              <a:noFill/>
            </a:ln>
            <a:effectLst/>
          </c:spPr>
          <c:invertIfNegative val="0"/>
          <c:cat>
            <c:multiLvlStrRef>
              <c:f>'HE GEN - Annual'!$B$4:$D$12</c:f>
              <c:multiLvlStrCache>
                <c:ptCount val="8"/>
                <c:lvl>
                  <c:pt idx="0">
                    <c:v>2016</c:v>
                  </c:pt>
                  <c:pt idx="1">
                    <c:v>2016</c:v>
                  </c:pt>
                  <c:pt idx="2">
                    <c:v>2016</c:v>
                  </c:pt>
                  <c:pt idx="3">
                    <c:v>2016</c:v>
                  </c:pt>
                  <c:pt idx="4">
                    <c:v>2016</c:v>
                  </c:pt>
                  <c:pt idx="5">
                    <c:v>2016</c:v>
                  </c:pt>
                  <c:pt idx="6">
                    <c:v>2016</c:v>
                  </c:pt>
                  <c:pt idx="7">
                    <c:v>2016</c:v>
                  </c:pt>
                </c:lvl>
                <c:lvl>
                  <c:pt idx="0">
                    <c:v>2016</c:v>
                  </c:pt>
                  <c:pt idx="1">
                    <c:v>2016</c:v>
                  </c:pt>
                  <c:pt idx="2">
                    <c:v>2016</c:v>
                  </c:pt>
                  <c:pt idx="3">
                    <c:v>2016</c:v>
                  </c:pt>
                  <c:pt idx="4">
                    <c:v>2016</c:v>
                  </c:pt>
                  <c:pt idx="5">
                    <c:v>2016</c:v>
                  </c:pt>
                  <c:pt idx="6">
                    <c:v>2016</c:v>
                  </c:pt>
                  <c:pt idx="7">
                    <c:v>2016</c:v>
                  </c:pt>
                </c:lvl>
                <c:lvl>
                  <c:pt idx="0">
                    <c:v>DENMARK</c:v>
                  </c:pt>
                  <c:pt idx="1">
                    <c:v>GERMANY</c:v>
                  </c:pt>
                  <c:pt idx="2">
                    <c:v>NORWAY</c:v>
                  </c:pt>
                  <c:pt idx="3">
                    <c:v>SWEDEN</c:v>
                  </c:pt>
                  <c:pt idx="4">
                    <c:v>ESTONIA</c:v>
                  </c:pt>
                  <c:pt idx="5">
                    <c:v>LITHUANIA</c:v>
                  </c:pt>
                  <c:pt idx="6">
                    <c:v>POLAND</c:v>
                  </c:pt>
                  <c:pt idx="7">
                    <c:v>FINLAND</c:v>
                  </c:pt>
                </c:lvl>
              </c:multiLvlStrCache>
            </c:multiLvlStrRef>
          </c:cat>
          <c:val>
            <c:numRef>
              <c:f>'HE GEN - Annual'!$R$4:$R$12</c:f>
              <c:numCache>
                <c:formatCode>General</c:formatCode>
                <c:ptCount val="8"/>
                <c:pt idx="4">
                  <c:v>1.7568398831800538</c:v>
                </c:pt>
              </c:numCache>
            </c:numRef>
          </c:val>
          <c:extLst>
            <c:ext xmlns:c16="http://schemas.microsoft.com/office/drawing/2014/chart" uri="{C3380CC4-5D6E-409C-BE32-E72D297353CC}">
              <c16:uniqueId val="{0000000C-CC11-4F5E-BB3F-4E87481F6FEA}"/>
            </c:ext>
          </c:extLst>
        </c:ser>
        <c:ser>
          <c:idx val="14"/>
          <c:order val="14"/>
          <c:tx>
            <c:strRef>
              <c:f>'HE GEN - Annual'!$S$2:$S$3</c:f>
              <c:strCache>
                <c:ptCount val="1"/>
                <c:pt idx="0">
                  <c:v>SHALE</c:v>
                </c:pt>
              </c:strCache>
            </c:strRef>
          </c:tx>
          <c:spPr>
            <a:solidFill>
              <a:schemeClr val="accent3">
                <a:lumMod val="80000"/>
                <a:lumOff val="20000"/>
              </a:schemeClr>
            </a:solidFill>
            <a:ln>
              <a:noFill/>
            </a:ln>
            <a:effectLst/>
          </c:spPr>
          <c:invertIfNegative val="0"/>
          <c:cat>
            <c:multiLvlStrRef>
              <c:f>'HE GEN - Annual'!$B$4:$D$12</c:f>
              <c:multiLvlStrCache>
                <c:ptCount val="8"/>
                <c:lvl>
                  <c:pt idx="0">
                    <c:v>2016</c:v>
                  </c:pt>
                  <c:pt idx="1">
                    <c:v>2016</c:v>
                  </c:pt>
                  <c:pt idx="2">
                    <c:v>2016</c:v>
                  </c:pt>
                  <c:pt idx="3">
                    <c:v>2016</c:v>
                  </c:pt>
                  <c:pt idx="4">
                    <c:v>2016</c:v>
                  </c:pt>
                  <c:pt idx="5">
                    <c:v>2016</c:v>
                  </c:pt>
                  <c:pt idx="6">
                    <c:v>2016</c:v>
                  </c:pt>
                  <c:pt idx="7">
                    <c:v>2016</c:v>
                  </c:pt>
                </c:lvl>
                <c:lvl>
                  <c:pt idx="0">
                    <c:v>2016</c:v>
                  </c:pt>
                  <c:pt idx="1">
                    <c:v>2016</c:v>
                  </c:pt>
                  <c:pt idx="2">
                    <c:v>2016</c:v>
                  </c:pt>
                  <c:pt idx="3">
                    <c:v>2016</c:v>
                  </c:pt>
                  <c:pt idx="4">
                    <c:v>2016</c:v>
                  </c:pt>
                  <c:pt idx="5">
                    <c:v>2016</c:v>
                  </c:pt>
                  <c:pt idx="6">
                    <c:v>2016</c:v>
                  </c:pt>
                  <c:pt idx="7">
                    <c:v>2016</c:v>
                  </c:pt>
                </c:lvl>
                <c:lvl>
                  <c:pt idx="0">
                    <c:v>DENMARK</c:v>
                  </c:pt>
                  <c:pt idx="1">
                    <c:v>GERMANY</c:v>
                  </c:pt>
                  <c:pt idx="2">
                    <c:v>NORWAY</c:v>
                  </c:pt>
                  <c:pt idx="3">
                    <c:v>SWEDEN</c:v>
                  </c:pt>
                  <c:pt idx="4">
                    <c:v>ESTONIA</c:v>
                  </c:pt>
                  <c:pt idx="5">
                    <c:v>LITHUANIA</c:v>
                  </c:pt>
                  <c:pt idx="6">
                    <c:v>POLAND</c:v>
                  </c:pt>
                  <c:pt idx="7">
                    <c:v>FINLAND</c:v>
                  </c:pt>
                </c:lvl>
              </c:multiLvlStrCache>
            </c:multiLvlStrRef>
          </c:cat>
          <c:val>
            <c:numRef>
              <c:f>'HE GEN - Annual'!$S$4:$S$12</c:f>
              <c:numCache>
                <c:formatCode>General</c:formatCode>
                <c:ptCount val="8"/>
                <c:pt idx="4">
                  <c:v>0.68061688172631207</c:v>
                </c:pt>
              </c:numCache>
            </c:numRef>
          </c:val>
          <c:extLst>
            <c:ext xmlns:c16="http://schemas.microsoft.com/office/drawing/2014/chart" uri="{C3380CC4-5D6E-409C-BE32-E72D297353CC}">
              <c16:uniqueId val="{0000000D-CC11-4F5E-BB3F-4E87481F6FEA}"/>
            </c:ext>
          </c:extLst>
        </c:ser>
        <c:dLbls>
          <c:showLegendKey val="0"/>
          <c:showVal val="0"/>
          <c:showCatName val="0"/>
          <c:showSerName val="0"/>
          <c:showPercent val="0"/>
          <c:showBubbleSize val="0"/>
        </c:dLbls>
        <c:gapWidth val="150"/>
        <c:overlap val="100"/>
        <c:axId val="267947144"/>
        <c:axId val="267947536"/>
      </c:barChart>
      <c:catAx>
        <c:axId val="267947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7536"/>
        <c:crosses val="autoZero"/>
        <c:auto val="1"/>
        <c:lblAlgn val="ctr"/>
        <c:lblOffset val="100"/>
        <c:noMultiLvlLbl val="0"/>
      </c:catAx>
      <c:valAx>
        <c:axId val="267947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7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 Time!PivotTable1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w="25400">
            <a:noFill/>
          </a:ln>
          <a:effectLst/>
        </c:spPr>
        <c:marker>
          <c:symbol val="none"/>
        </c:marker>
      </c:pivotFmt>
      <c:pivotFmt>
        <c:idx val="5"/>
        <c:spPr>
          <a:solidFill>
            <a:schemeClr val="accent1"/>
          </a:solidFill>
          <a:ln w="25400">
            <a:noFill/>
          </a:ln>
          <a:effectLst/>
        </c:spPr>
        <c:marker>
          <c:symbol val="none"/>
        </c:marker>
      </c:pivotFmt>
      <c:pivotFmt>
        <c:idx val="6"/>
        <c:spPr>
          <a:solidFill>
            <a:schemeClr val="accent1"/>
          </a:solidFill>
          <a:ln w="25400">
            <a:noFill/>
          </a:ln>
          <a:effectLst/>
        </c:spPr>
        <c:marker>
          <c:symbol val="none"/>
        </c:marker>
      </c:pivotFmt>
      <c:pivotFmt>
        <c:idx val="7"/>
        <c:spPr>
          <a:solidFill>
            <a:schemeClr val="accent1"/>
          </a:solidFill>
          <a:ln w="25400">
            <a:noFill/>
          </a:ln>
          <a:effectLst/>
        </c:spPr>
        <c:marker>
          <c:symbol val="none"/>
        </c:marker>
      </c:pivotFmt>
      <c:pivotFmt>
        <c:idx val="8"/>
        <c:spPr>
          <a:solidFill>
            <a:schemeClr val="accent1"/>
          </a:solidFill>
          <a:ln w="25400">
            <a:noFill/>
          </a:ln>
          <a:effectLst/>
        </c:spPr>
        <c:marker>
          <c:symbol val="none"/>
        </c:marker>
      </c:pivotFmt>
      <c:pivotFmt>
        <c:idx val="9"/>
        <c:spPr>
          <a:solidFill>
            <a:schemeClr val="accent1"/>
          </a:solidFill>
          <a:ln w="25400">
            <a:noFill/>
          </a:ln>
          <a:effectLst/>
        </c:spPr>
        <c:marker>
          <c:symbol val="none"/>
        </c:marker>
      </c:pivotFmt>
      <c:pivotFmt>
        <c:idx val="10"/>
        <c:spPr>
          <a:solidFill>
            <a:schemeClr val="accent1"/>
          </a:solidFill>
          <a:ln w="25400">
            <a:noFill/>
          </a:ln>
          <a:effectLst/>
        </c:spPr>
        <c:marker>
          <c:symbol val="none"/>
        </c:marker>
      </c:pivotFmt>
      <c:pivotFmt>
        <c:idx val="11"/>
        <c:spPr>
          <a:solidFill>
            <a:schemeClr val="accent1"/>
          </a:solidFill>
          <a:ln w="25400">
            <a:noFill/>
          </a:ln>
          <a:effectLst/>
        </c:spPr>
        <c:marker>
          <c:symbol val="none"/>
        </c:marker>
      </c:pivotFmt>
      <c:pivotFmt>
        <c:idx val="12"/>
        <c:spPr>
          <a:solidFill>
            <a:schemeClr val="accent1"/>
          </a:solidFill>
          <a:ln w="25400">
            <a:noFill/>
          </a:ln>
          <a:effectLst/>
        </c:spPr>
        <c:marker>
          <c:symbol val="none"/>
        </c:marker>
      </c:pivotFmt>
      <c:pivotFmt>
        <c:idx val="13"/>
        <c:spPr>
          <a:solidFill>
            <a:schemeClr val="accent1"/>
          </a:solidFill>
          <a:ln w="25400">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
        <c:idx val="113"/>
        <c:spPr>
          <a:solidFill>
            <a:schemeClr val="accent1"/>
          </a:solidFill>
          <a:ln w="25400">
            <a:noFill/>
          </a:ln>
          <a:effectLst/>
        </c:spPr>
        <c:marker>
          <c:symbol val="none"/>
        </c:marker>
      </c:pivotFmt>
      <c:pivotFmt>
        <c:idx val="114"/>
        <c:spPr>
          <a:solidFill>
            <a:schemeClr val="accent1"/>
          </a:solidFill>
          <a:ln w="25400">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w="25400">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w="25400">
            <a:noFill/>
          </a:ln>
          <a:effectLst/>
        </c:spPr>
        <c:marker>
          <c:symbol val="none"/>
        </c:marker>
      </c:pivotFmt>
      <c:pivotFmt>
        <c:idx val="124"/>
        <c:spPr>
          <a:solidFill>
            <a:schemeClr val="accent1"/>
          </a:solidFill>
          <a:ln w="25400">
            <a:noFill/>
          </a:ln>
          <a:effectLst/>
        </c:spPr>
        <c:marker>
          <c:symbol val="none"/>
        </c:marker>
      </c:pivotFmt>
      <c:pivotFmt>
        <c:idx val="125"/>
        <c:spPr>
          <a:solidFill>
            <a:schemeClr val="accent1"/>
          </a:solidFill>
          <a:ln w="25400">
            <a:noFill/>
          </a:ln>
          <a:effectLst/>
        </c:spPr>
        <c:marker>
          <c:symbol val="none"/>
        </c:marker>
      </c:pivotFmt>
      <c:pivotFmt>
        <c:idx val="126"/>
        <c:spPr>
          <a:solidFill>
            <a:schemeClr val="accent1"/>
          </a:solidFill>
          <a:ln w="25400">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w="25400">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w="25400">
            <a:noFill/>
          </a:ln>
          <a:effectLst/>
        </c:spPr>
        <c:marker>
          <c:symbol val="none"/>
        </c:marker>
      </c:pivotFmt>
      <c:pivotFmt>
        <c:idx val="144"/>
        <c:spPr>
          <a:solidFill>
            <a:schemeClr val="accent1"/>
          </a:solidFill>
          <a:ln w="25400">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w="25400">
            <a:noFill/>
          </a:ln>
          <a:effectLst/>
        </c:spPr>
        <c:marker>
          <c:symbol val="none"/>
        </c:marker>
      </c:pivotFmt>
      <c:pivotFmt>
        <c:idx val="147"/>
        <c:spPr>
          <a:solidFill>
            <a:schemeClr val="accent1"/>
          </a:solidFill>
          <a:ln w="25400">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w="25400">
            <a:noFill/>
          </a:ln>
          <a:effectLst/>
        </c:spPr>
        <c:marker>
          <c:symbol val="none"/>
        </c:marker>
      </c:pivotFmt>
      <c:pivotFmt>
        <c:idx val="150"/>
        <c:spPr>
          <a:solidFill>
            <a:schemeClr val="accent1"/>
          </a:solidFill>
          <a:ln w="25400">
            <a:noFill/>
          </a:ln>
          <a:effectLst/>
        </c:spPr>
        <c:marker>
          <c:symbol val="none"/>
        </c:marker>
      </c:pivotFmt>
      <c:pivotFmt>
        <c:idx val="151"/>
        <c:spPr>
          <a:solidFill>
            <a:schemeClr val="accent1"/>
          </a:solidFill>
          <a:ln w="25400">
            <a:noFill/>
          </a:ln>
          <a:effectLst/>
        </c:spPr>
        <c:marker>
          <c:symbol val="none"/>
        </c:marker>
      </c:pivotFmt>
      <c:pivotFmt>
        <c:idx val="152"/>
        <c:spPr>
          <a:solidFill>
            <a:schemeClr val="accent1"/>
          </a:solidFill>
          <a:ln w="25400">
            <a:noFill/>
          </a:ln>
          <a:effectLst/>
        </c:spPr>
        <c:marker>
          <c:symbol val="none"/>
        </c:marker>
      </c:pivotFmt>
      <c:pivotFmt>
        <c:idx val="153"/>
        <c:spPr>
          <a:solidFill>
            <a:schemeClr val="accent1"/>
          </a:solidFill>
          <a:ln w="25400">
            <a:noFill/>
          </a:ln>
          <a:effectLst/>
        </c:spPr>
        <c:marker>
          <c:symbol val="none"/>
        </c:marker>
      </c:pivotFmt>
      <c:pivotFmt>
        <c:idx val="154"/>
        <c:spPr>
          <a:solidFill>
            <a:schemeClr val="accent1"/>
          </a:solidFill>
          <a:ln w="25400">
            <a:noFill/>
          </a:ln>
          <a:effectLst/>
        </c:spPr>
        <c:marker>
          <c:symbol val="none"/>
        </c:marker>
      </c:pivotFmt>
      <c:pivotFmt>
        <c:idx val="155"/>
        <c:spPr>
          <a:solidFill>
            <a:schemeClr val="accent1"/>
          </a:solidFill>
          <a:ln w="25400">
            <a:noFill/>
          </a:ln>
          <a:effectLst/>
        </c:spPr>
        <c:marker>
          <c:symbol val="none"/>
        </c:marker>
      </c:pivotFmt>
      <c:pivotFmt>
        <c:idx val="156"/>
        <c:spPr>
          <a:solidFill>
            <a:schemeClr val="accent1"/>
          </a:solidFill>
          <a:ln w="25400">
            <a:noFill/>
          </a:ln>
          <a:effectLst/>
        </c:spPr>
        <c:marker>
          <c:symbol val="none"/>
        </c:marker>
      </c:pivotFmt>
      <c:pivotFmt>
        <c:idx val="157"/>
        <c:spPr>
          <a:solidFill>
            <a:schemeClr val="accent1"/>
          </a:solidFill>
          <a:ln w="25400">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
        <c:idx val="160"/>
        <c:spPr>
          <a:solidFill>
            <a:schemeClr val="accent1"/>
          </a:solidFill>
          <a:ln>
            <a:noFill/>
          </a:ln>
          <a:effectLst/>
        </c:spPr>
        <c:marker>
          <c:symbol val="none"/>
        </c:marker>
      </c:pivotFmt>
      <c:pivotFmt>
        <c:idx val="161"/>
        <c:spPr>
          <a:solidFill>
            <a:schemeClr val="accent1"/>
          </a:solidFill>
          <a:ln w="25400">
            <a:noFill/>
          </a:ln>
          <a:effectLst/>
        </c:spPr>
        <c:marker>
          <c:symbol val="none"/>
        </c:marker>
      </c:pivotFmt>
      <c:pivotFmt>
        <c:idx val="162"/>
        <c:spPr>
          <a:solidFill>
            <a:schemeClr val="accent1"/>
          </a:solidFill>
          <a:ln w="25400">
            <a:noFill/>
          </a:ln>
          <a:effectLst/>
        </c:spPr>
        <c:marker>
          <c:symbol val="none"/>
        </c:marker>
      </c:pivotFmt>
      <c:pivotFmt>
        <c:idx val="163"/>
        <c:spPr>
          <a:solidFill>
            <a:schemeClr val="accent1"/>
          </a:solidFill>
          <a:ln w="25400">
            <a:noFill/>
          </a:ln>
          <a:effectLst/>
        </c:spPr>
        <c:marker>
          <c:symbol val="none"/>
        </c:marker>
      </c:pivotFmt>
      <c:pivotFmt>
        <c:idx val="164"/>
        <c:spPr>
          <a:solidFill>
            <a:schemeClr val="accent1"/>
          </a:solidFill>
          <a:ln w="25400">
            <a:noFill/>
          </a:ln>
          <a:effectLst/>
        </c:spPr>
        <c:marker>
          <c:symbol val="none"/>
        </c:marker>
      </c:pivotFmt>
      <c:pivotFmt>
        <c:idx val="165"/>
        <c:spPr>
          <a:solidFill>
            <a:schemeClr val="accent1"/>
          </a:solidFill>
          <a:ln w="25400">
            <a:noFill/>
          </a:ln>
          <a:effectLst/>
        </c:spPr>
        <c:marker>
          <c:symbol val="none"/>
        </c:marker>
      </c:pivotFmt>
      <c:pivotFmt>
        <c:idx val="166"/>
        <c:spPr>
          <a:solidFill>
            <a:schemeClr val="accent1"/>
          </a:solidFill>
          <a:ln>
            <a:noFill/>
          </a:ln>
          <a:effectLst/>
        </c:spPr>
        <c:marker>
          <c:symbol val="none"/>
        </c:marker>
      </c:pivotFmt>
      <c:pivotFmt>
        <c:idx val="167"/>
        <c:spPr>
          <a:solidFill>
            <a:schemeClr val="accent1"/>
          </a:solidFill>
          <a:ln>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w="25400">
            <a:noFill/>
          </a:ln>
          <a:effectLst/>
        </c:spPr>
        <c:marker>
          <c:symbol val="none"/>
        </c:marker>
      </c:pivotFmt>
      <c:pivotFmt>
        <c:idx val="170"/>
        <c:spPr>
          <a:solidFill>
            <a:schemeClr val="accent1"/>
          </a:solidFill>
          <a:ln w="25400">
            <a:noFill/>
          </a:ln>
          <a:effectLst/>
        </c:spPr>
        <c:marker>
          <c:symbol val="none"/>
        </c:marker>
      </c:pivotFmt>
      <c:pivotFmt>
        <c:idx val="171"/>
        <c:spPr>
          <a:solidFill>
            <a:schemeClr val="accent1"/>
          </a:solidFill>
          <a:ln w="25400">
            <a:noFill/>
          </a:ln>
          <a:effectLst/>
        </c:spPr>
        <c:marker>
          <c:symbol val="none"/>
        </c:marker>
      </c:pivotFmt>
      <c:pivotFmt>
        <c:idx val="172"/>
        <c:spPr>
          <a:solidFill>
            <a:schemeClr val="accent1"/>
          </a:solidFill>
          <a:ln w="25400">
            <a:noFill/>
          </a:ln>
          <a:effectLst/>
        </c:spPr>
        <c:marker>
          <c:symbol val="none"/>
        </c:marker>
      </c:pivotFmt>
      <c:pivotFmt>
        <c:idx val="173"/>
        <c:spPr>
          <a:solidFill>
            <a:schemeClr val="accent1"/>
          </a:solidFill>
          <a:ln w="25400">
            <a:noFill/>
          </a:ln>
          <a:effectLst/>
        </c:spPr>
        <c:marker>
          <c:symbol val="none"/>
        </c:marker>
      </c:pivotFmt>
      <c:pivotFmt>
        <c:idx val="174"/>
        <c:spPr>
          <a:solidFill>
            <a:schemeClr val="accent1"/>
          </a:solidFill>
          <a:ln w="25400">
            <a:noFill/>
          </a:ln>
          <a:effectLst/>
        </c:spPr>
        <c:marker>
          <c:symbol val="none"/>
        </c:marker>
      </c:pivotFmt>
      <c:pivotFmt>
        <c:idx val="175"/>
        <c:spPr>
          <a:solidFill>
            <a:schemeClr val="accent1"/>
          </a:solidFill>
          <a:ln w="25400">
            <a:noFill/>
          </a:ln>
          <a:effectLst/>
        </c:spPr>
        <c:marker>
          <c:symbol val="none"/>
        </c:marker>
      </c:pivotFmt>
      <c:pivotFmt>
        <c:idx val="176"/>
        <c:spPr>
          <a:solidFill>
            <a:schemeClr val="accent1"/>
          </a:solidFill>
          <a:ln w="25400">
            <a:noFill/>
          </a:ln>
          <a:effectLst/>
        </c:spPr>
        <c:marker>
          <c:symbol val="none"/>
        </c:marker>
      </c:pivotFmt>
      <c:pivotFmt>
        <c:idx val="177"/>
        <c:spPr>
          <a:solidFill>
            <a:schemeClr val="accent1"/>
          </a:solidFill>
          <a:ln w="25400">
            <a:noFill/>
          </a:ln>
          <a:effectLst/>
        </c:spPr>
        <c:marker>
          <c:symbol val="none"/>
        </c:marker>
      </c:pivotFmt>
      <c:pivotFmt>
        <c:idx val="178"/>
        <c:spPr>
          <a:solidFill>
            <a:schemeClr val="accent1"/>
          </a:solidFill>
          <a:ln w="25400">
            <a:noFill/>
          </a:ln>
          <a:effectLst/>
        </c:spPr>
        <c:marker>
          <c:symbol val="none"/>
        </c:marker>
      </c:pivotFmt>
      <c:pivotFmt>
        <c:idx val="179"/>
        <c:spPr>
          <a:solidFill>
            <a:schemeClr val="accent1"/>
          </a:solidFill>
          <a:ln w="25400">
            <a:noFill/>
          </a:ln>
          <a:effectLst/>
        </c:spPr>
        <c:marker>
          <c:symbol val="none"/>
        </c:marker>
      </c:pivotFmt>
      <c:pivotFmt>
        <c:idx val="180"/>
        <c:spPr>
          <a:solidFill>
            <a:schemeClr val="accent1"/>
          </a:solidFill>
          <a:ln w="25400">
            <a:noFill/>
          </a:ln>
          <a:effectLst/>
        </c:spPr>
        <c:marker>
          <c:symbol val="none"/>
        </c:marker>
      </c:pivotFmt>
      <c:pivotFmt>
        <c:idx val="181"/>
        <c:spPr>
          <a:solidFill>
            <a:schemeClr val="accent1"/>
          </a:solidFill>
          <a:ln w="25400">
            <a:noFill/>
          </a:ln>
          <a:effectLst/>
        </c:spPr>
        <c:marker>
          <c:symbol val="none"/>
        </c:marker>
      </c:pivotFmt>
      <c:pivotFmt>
        <c:idx val="182"/>
        <c:spPr>
          <a:solidFill>
            <a:schemeClr val="accent1"/>
          </a:solidFill>
          <a:ln w="25400">
            <a:noFill/>
          </a:ln>
          <a:effectLst/>
        </c:spPr>
        <c:marker>
          <c:symbol val="none"/>
        </c:marker>
      </c:pivotFmt>
      <c:pivotFmt>
        <c:idx val="183"/>
        <c:spPr>
          <a:solidFill>
            <a:schemeClr val="accent1"/>
          </a:solidFill>
          <a:ln w="25400">
            <a:noFill/>
          </a:ln>
          <a:effectLst/>
        </c:spPr>
        <c:marker>
          <c:symbol val="none"/>
        </c:marker>
      </c:pivotFmt>
      <c:pivotFmt>
        <c:idx val="184"/>
        <c:spPr>
          <a:solidFill>
            <a:schemeClr val="accent1"/>
          </a:solidFill>
          <a:ln w="25400">
            <a:noFill/>
          </a:ln>
          <a:effectLst/>
        </c:spPr>
        <c:marker>
          <c:symbol val="none"/>
        </c:marker>
      </c:pivotFmt>
      <c:pivotFmt>
        <c:idx val="185"/>
        <c:spPr>
          <a:solidFill>
            <a:schemeClr val="accent1"/>
          </a:solidFill>
          <a:ln w="25400">
            <a:noFill/>
          </a:ln>
          <a:effectLst/>
        </c:spPr>
        <c:marker>
          <c:symbol val="none"/>
        </c:marker>
      </c:pivotFmt>
      <c:pivotFmt>
        <c:idx val="186"/>
        <c:spPr>
          <a:solidFill>
            <a:schemeClr val="accent1"/>
          </a:solidFill>
          <a:ln w="25400">
            <a:noFill/>
          </a:ln>
          <a:effectLst/>
        </c:spPr>
        <c:marker>
          <c:symbol val="none"/>
        </c:marker>
      </c:pivotFmt>
      <c:pivotFmt>
        <c:idx val="187"/>
        <c:spPr>
          <a:solidFill>
            <a:schemeClr val="accent1"/>
          </a:solidFill>
          <a:ln w="25400">
            <a:noFill/>
          </a:ln>
          <a:effectLst/>
        </c:spPr>
        <c:marker>
          <c:symbol val="none"/>
        </c:marker>
      </c:pivotFmt>
      <c:pivotFmt>
        <c:idx val="188"/>
        <c:spPr>
          <a:solidFill>
            <a:schemeClr val="accent1"/>
          </a:solidFill>
          <a:ln w="25400">
            <a:noFill/>
          </a:ln>
          <a:effectLst/>
        </c:spPr>
        <c:marker>
          <c:symbol val="none"/>
        </c:marker>
      </c:pivotFmt>
      <c:pivotFmt>
        <c:idx val="189"/>
        <c:spPr>
          <a:solidFill>
            <a:schemeClr val="accent1"/>
          </a:solidFill>
          <a:ln w="25400">
            <a:noFill/>
          </a:ln>
          <a:effectLst/>
        </c:spPr>
        <c:marker>
          <c:symbol val="none"/>
        </c:marker>
      </c:pivotFmt>
      <c:pivotFmt>
        <c:idx val="190"/>
        <c:spPr>
          <a:solidFill>
            <a:schemeClr val="accent1"/>
          </a:solidFill>
          <a:ln w="25400">
            <a:noFill/>
          </a:ln>
          <a:effectLst/>
        </c:spPr>
        <c:marker>
          <c:symbol val="none"/>
        </c:marker>
      </c:pivotFmt>
      <c:pivotFmt>
        <c:idx val="191"/>
        <c:spPr>
          <a:solidFill>
            <a:schemeClr val="accent1"/>
          </a:solidFill>
          <a:ln w="25400">
            <a:noFill/>
          </a:ln>
          <a:effectLst/>
        </c:spPr>
        <c:marker>
          <c:symbol val="none"/>
        </c:marker>
      </c:pivotFmt>
      <c:pivotFmt>
        <c:idx val="192"/>
        <c:spPr>
          <a:solidFill>
            <a:schemeClr val="accent1"/>
          </a:solidFill>
          <a:ln w="25400">
            <a:noFill/>
          </a:ln>
          <a:effectLst/>
        </c:spPr>
        <c:marker>
          <c:symbol val="none"/>
        </c:marker>
      </c:pivotFmt>
      <c:pivotFmt>
        <c:idx val="193"/>
        <c:spPr>
          <a:solidFill>
            <a:schemeClr val="accent1"/>
          </a:solidFill>
          <a:ln w="25400">
            <a:noFill/>
          </a:ln>
          <a:effectLst/>
        </c:spPr>
        <c:marker>
          <c:symbol val="none"/>
        </c:marker>
      </c:pivotFmt>
      <c:pivotFmt>
        <c:idx val="194"/>
        <c:spPr>
          <a:solidFill>
            <a:schemeClr val="accent1"/>
          </a:solidFill>
          <a:ln w="25400">
            <a:noFill/>
          </a:ln>
          <a:effectLst/>
        </c:spPr>
        <c:marker>
          <c:symbol val="none"/>
        </c:marker>
      </c:pivotFmt>
      <c:pivotFmt>
        <c:idx val="195"/>
        <c:spPr>
          <a:solidFill>
            <a:schemeClr val="accent1"/>
          </a:solidFill>
          <a:ln w="25400">
            <a:noFill/>
          </a:ln>
          <a:effectLst/>
        </c:spPr>
        <c:marker>
          <c:symbol val="none"/>
        </c:marker>
      </c:pivotFmt>
      <c:pivotFmt>
        <c:idx val="196"/>
        <c:spPr>
          <a:solidFill>
            <a:schemeClr val="accent1"/>
          </a:solidFill>
          <a:ln w="25400">
            <a:noFill/>
          </a:ln>
          <a:effectLst/>
        </c:spPr>
        <c:marker>
          <c:symbol val="none"/>
        </c:marker>
      </c:pivotFmt>
      <c:pivotFmt>
        <c:idx val="197"/>
        <c:spPr>
          <a:solidFill>
            <a:schemeClr val="accent1"/>
          </a:solidFill>
          <a:ln w="25400">
            <a:noFill/>
          </a:ln>
          <a:effectLst/>
        </c:spPr>
        <c:marker>
          <c:symbol val="none"/>
        </c:marker>
      </c:pivotFmt>
      <c:pivotFmt>
        <c:idx val="198"/>
        <c:spPr>
          <a:solidFill>
            <a:schemeClr val="accent1"/>
          </a:solidFill>
          <a:ln w="25400">
            <a:noFill/>
          </a:ln>
          <a:effectLst/>
        </c:spPr>
        <c:marker>
          <c:symbol val="none"/>
        </c:marker>
      </c:pivotFmt>
      <c:pivotFmt>
        <c:idx val="199"/>
        <c:spPr>
          <a:solidFill>
            <a:schemeClr val="accent1"/>
          </a:solidFill>
          <a:ln w="25400">
            <a:noFill/>
          </a:ln>
          <a:effectLst/>
        </c:spPr>
        <c:marker>
          <c:symbol val="none"/>
        </c:marker>
      </c:pivotFmt>
    </c:pivotFmts>
    <c:plotArea>
      <c:layout/>
      <c:areaChart>
        <c:grouping val="stacked"/>
        <c:varyColors val="0"/>
        <c:ser>
          <c:idx val="0"/>
          <c:order val="0"/>
          <c:tx>
            <c:strRef>
              <c:f>'HE GEN - Time'!$E$3:$E$4</c:f>
              <c:strCache>
                <c:ptCount val="1"/>
                <c:pt idx="0">
                  <c:v>COAL</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Time'!$E$5:$E$29</c:f>
              <c:numCache>
                <c:formatCode>General</c:formatCode>
                <c:ptCount val="24"/>
                <c:pt idx="0">
                  <c:v>11733.946938187519</c:v>
                </c:pt>
                <c:pt idx="1">
                  <c:v>11784.616600678099</c:v>
                </c:pt>
                <c:pt idx="2">
                  <c:v>11808.396036529983</c:v>
                </c:pt>
                <c:pt idx="3">
                  <c:v>11787.88506535249</c:v>
                </c:pt>
                <c:pt idx="4">
                  <c:v>11765.512349150718</c:v>
                </c:pt>
                <c:pt idx="5">
                  <c:v>15502.393918469714</c:v>
                </c:pt>
                <c:pt idx="6">
                  <c:v>20029.37719163256</c:v>
                </c:pt>
                <c:pt idx="7">
                  <c:v>30490.445134653197</c:v>
                </c:pt>
                <c:pt idx="8">
                  <c:v>26135.228398969102</c:v>
                </c:pt>
                <c:pt idx="9">
                  <c:v>25846.219143119539</c:v>
                </c:pt>
                <c:pt idx="10">
                  <c:v>19027.780321618451</c:v>
                </c:pt>
                <c:pt idx="11">
                  <c:v>10979.931946592005</c:v>
                </c:pt>
                <c:pt idx="12">
                  <c:v>10956.537094804542</c:v>
                </c:pt>
                <c:pt idx="13">
                  <c:v>10860.105416218337</c:v>
                </c:pt>
                <c:pt idx="14">
                  <c:v>14064.336093471722</c:v>
                </c:pt>
                <c:pt idx="15">
                  <c:v>15954.414911703207</c:v>
                </c:pt>
                <c:pt idx="16">
                  <c:v>20870.128631333824</c:v>
                </c:pt>
                <c:pt idx="17">
                  <c:v>19030.975898581633</c:v>
                </c:pt>
                <c:pt idx="18">
                  <c:v>20036.292589223456</c:v>
                </c:pt>
                <c:pt idx="19">
                  <c:v>15190.632629532978</c:v>
                </c:pt>
                <c:pt idx="20">
                  <c:v>14974.614654311305</c:v>
                </c:pt>
                <c:pt idx="21">
                  <c:v>11131.643786909104</c:v>
                </c:pt>
                <c:pt idx="22">
                  <c:v>9669.5151786164115</c:v>
                </c:pt>
                <c:pt idx="23">
                  <c:v>9086.6172141881088</c:v>
                </c:pt>
              </c:numCache>
            </c:numRef>
          </c:val>
          <c:extLst>
            <c:ext xmlns:c16="http://schemas.microsoft.com/office/drawing/2014/chart" uri="{C3380CC4-5D6E-409C-BE32-E72D297353CC}">
              <c16:uniqueId val="{00000000-177D-44E0-A469-C45A999AF873}"/>
            </c:ext>
          </c:extLst>
        </c:ser>
        <c:ser>
          <c:idx val="1"/>
          <c:order val="1"/>
          <c:tx>
            <c:strRef>
              <c:f>'HE GEN - Time'!$F$3:$F$4</c:f>
              <c:strCache>
                <c:ptCount val="1"/>
                <c:pt idx="0">
                  <c:v>ELECTRIC</c:v>
                </c:pt>
              </c:strCache>
            </c:strRef>
          </c:tx>
          <c:spPr>
            <a:solidFill>
              <a:schemeClr val="accent2"/>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Time'!$F$5:$F$29</c:f>
              <c:numCache>
                <c:formatCode>General</c:formatCode>
                <c:ptCount val="24"/>
                <c:pt idx="0">
                  <c:v>119.27446365889679</c:v>
                </c:pt>
                <c:pt idx="1">
                  <c:v>138.30400618236629</c:v>
                </c:pt>
                <c:pt idx="2">
                  <c:v>139.7666513892471</c:v>
                </c:pt>
                <c:pt idx="3">
                  <c:v>133.3428298808021</c:v>
                </c:pt>
                <c:pt idx="4">
                  <c:v>159.55153149852629</c:v>
                </c:pt>
                <c:pt idx="5">
                  <c:v>273.95200685626151</c:v>
                </c:pt>
                <c:pt idx="6">
                  <c:v>525.70644881290877</c:v>
                </c:pt>
                <c:pt idx="7">
                  <c:v>610.76511027521565</c:v>
                </c:pt>
                <c:pt idx="8">
                  <c:v>573.2328527224405</c:v>
                </c:pt>
                <c:pt idx="9">
                  <c:v>611.22281608166293</c:v>
                </c:pt>
                <c:pt idx="10">
                  <c:v>580.54297534783859</c:v>
                </c:pt>
                <c:pt idx="11">
                  <c:v>505.71139675857637</c:v>
                </c:pt>
                <c:pt idx="12">
                  <c:v>513.74418484926559</c:v>
                </c:pt>
                <c:pt idx="13">
                  <c:v>512.64479145198629</c:v>
                </c:pt>
                <c:pt idx="14">
                  <c:v>499.88031613684763</c:v>
                </c:pt>
                <c:pt idx="15">
                  <c:v>500.84264310469717</c:v>
                </c:pt>
                <c:pt idx="16">
                  <c:v>466.37413233269552</c:v>
                </c:pt>
                <c:pt idx="17">
                  <c:v>414.32605332894173</c:v>
                </c:pt>
                <c:pt idx="18">
                  <c:v>377.87889656007223</c:v>
                </c:pt>
                <c:pt idx="19">
                  <c:v>337.35624928025231</c:v>
                </c:pt>
                <c:pt idx="20">
                  <c:v>291.66549706885343</c:v>
                </c:pt>
                <c:pt idx="21">
                  <c:v>246.1943444842185</c:v>
                </c:pt>
                <c:pt idx="22">
                  <c:v>229.904798742184</c:v>
                </c:pt>
                <c:pt idx="23">
                  <c:v>444.23439677796904</c:v>
                </c:pt>
              </c:numCache>
            </c:numRef>
          </c:val>
          <c:extLst>
            <c:ext xmlns:c16="http://schemas.microsoft.com/office/drawing/2014/chart" uri="{C3380CC4-5D6E-409C-BE32-E72D297353CC}">
              <c16:uniqueId val="{00000001-177D-44E0-A469-C45A999AF873}"/>
            </c:ext>
          </c:extLst>
        </c:ser>
        <c:ser>
          <c:idx val="2"/>
          <c:order val="2"/>
          <c:tx>
            <c:strRef>
              <c:f>'HE GEN - Time'!$G$3:$G$4</c:f>
              <c:strCache>
                <c:ptCount val="1"/>
                <c:pt idx="0">
                  <c:v>MUNIWASTE</c:v>
                </c:pt>
              </c:strCache>
            </c:strRef>
          </c:tx>
          <c:spPr>
            <a:solidFill>
              <a:schemeClr val="accent3"/>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Time'!$G$5:$G$29</c:f>
              <c:numCache>
                <c:formatCode>General</c:formatCode>
                <c:ptCount val="24"/>
                <c:pt idx="0">
                  <c:v>2951.3917544422138</c:v>
                </c:pt>
                <c:pt idx="1">
                  <c:v>2960.2066533020102</c:v>
                </c:pt>
                <c:pt idx="2">
                  <c:v>2970.1917238614692</c:v>
                </c:pt>
                <c:pt idx="3">
                  <c:v>2980.3481052471961</c:v>
                </c:pt>
                <c:pt idx="4">
                  <c:v>3013.279296459018</c:v>
                </c:pt>
                <c:pt idx="5">
                  <c:v>3052.888040734912</c:v>
                </c:pt>
                <c:pt idx="6">
                  <c:v>3344.5865928323683</c:v>
                </c:pt>
                <c:pt idx="7">
                  <c:v>3459.0899036705396</c:v>
                </c:pt>
                <c:pt idx="8">
                  <c:v>3471.8810150617019</c:v>
                </c:pt>
                <c:pt idx="9">
                  <c:v>3470.2411289859119</c:v>
                </c:pt>
                <c:pt idx="10">
                  <c:v>3457.1585548439925</c:v>
                </c:pt>
                <c:pt idx="11">
                  <c:v>3454.2067599075708</c:v>
                </c:pt>
                <c:pt idx="12">
                  <c:v>3211.1730677666155</c:v>
                </c:pt>
                <c:pt idx="13">
                  <c:v>3211.1730677666155</c:v>
                </c:pt>
                <c:pt idx="14">
                  <c:v>3211.1730677666155</c:v>
                </c:pt>
                <c:pt idx="15">
                  <c:v>3414.2781956982799</c:v>
                </c:pt>
                <c:pt idx="16">
                  <c:v>3415.9318775476459</c:v>
                </c:pt>
                <c:pt idx="17">
                  <c:v>3431.671660837118</c:v>
                </c:pt>
                <c:pt idx="18">
                  <c:v>3199.4509206726898</c:v>
                </c:pt>
                <c:pt idx="19">
                  <c:v>3195.5376141330494</c:v>
                </c:pt>
                <c:pt idx="20">
                  <c:v>3191.0851367452442</c:v>
                </c:pt>
                <c:pt idx="21">
                  <c:v>3101.845581030726</c:v>
                </c:pt>
                <c:pt idx="22">
                  <c:v>2987.9622449939375</c:v>
                </c:pt>
                <c:pt idx="23">
                  <c:v>2945.5744835054502</c:v>
                </c:pt>
              </c:numCache>
            </c:numRef>
          </c:val>
          <c:extLst>
            <c:ext xmlns:c16="http://schemas.microsoft.com/office/drawing/2014/chart" uri="{C3380CC4-5D6E-409C-BE32-E72D297353CC}">
              <c16:uniqueId val="{00000002-177D-44E0-A469-C45A999AF873}"/>
            </c:ext>
          </c:extLst>
        </c:ser>
        <c:ser>
          <c:idx val="3"/>
          <c:order val="3"/>
          <c:tx>
            <c:strRef>
              <c:f>'HE GEN - Time'!$H$3:$H$4</c:f>
              <c:strCache>
                <c:ptCount val="1"/>
                <c:pt idx="0">
                  <c:v>WOODWASTE</c:v>
                </c:pt>
              </c:strCache>
            </c:strRef>
          </c:tx>
          <c:spPr>
            <a:solidFill>
              <a:schemeClr val="accent4"/>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Time'!$H$5:$H$29</c:f>
              <c:numCache>
                <c:formatCode>General</c:formatCode>
                <c:ptCount val="24"/>
                <c:pt idx="0">
                  <c:v>3704.1061228332997</c:v>
                </c:pt>
                <c:pt idx="1">
                  <c:v>3699.4031112013859</c:v>
                </c:pt>
                <c:pt idx="2">
                  <c:v>3705.208741300557</c:v>
                </c:pt>
                <c:pt idx="3">
                  <c:v>3729.2011668543068</c:v>
                </c:pt>
                <c:pt idx="4">
                  <c:v>3771.1335675081741</c:v>
                </c:pt>
                <c:pt idx="5">
                  <c:v>3835.1475900832334</c:v>
                </c:pt>
                <c:pt idx="6">
                  <c:v>3988.4859292440456</c:v>
                </c:pt>
                <c:pt idx="7">
                  <c:v>4069.3225751330269</c:v>
                </c:pt>
                <c:pt idx="8">
                  <c:v>4066.9432487875479</c:v>
                </c:pt>
                <c:pt idx="9">
                  <c:v>4064.2709313118362</c:v>
                </c:pt>
                <c:pt idx="10">
                  <c:v>4031.508495776045</c:v>
                </c:pt>
                <c:pt idx="11">
                  <c:v>4016.6320918032202</c:v>
                </c:pt>
                <c:pt idx="12">
                  <c:v>4011.209621040995</c:v>
                </c:pt>
                <c:pt idx="13">
                  <c:v>4010.070597989888</c:v>
                </c:pt>
                <c:pt idx="14">
                  <c:v>4001.871648267655</c:v>
                </c:pt>
                <c:pt idx="15">
                  <c:v>4007.4174797231458</c:v>
                </c:pt>
                <c:pt idx="16">
                  <c:v>3929.4505509655842</c:v>
                </c:pt>
                <c:pt idx="17">
                  <c:v>3790.2954362892224</c:v>
                </c:pt>
                <c:pt idx="18">
                  <c:v>3820.4709660973713</c:v>
                </c:pt>
                <c:pt idx="19">
                  <c:v>3762.9733876359774</c:v>
                </c:pt>
                <c:pt idx="20">
                  <c:v>3571.3988224095256</c:v>
                </c:pt>
                <c:pt idx="21">
                  <c:v>3414.4545558188242</c:v>
                </c:pt>
                <c:pt idx="22">
                  <c:v>3588.138468203294</c:v>
                </c:pt>
                <c:pt idx="23">
                  <c:v>3307.9393540008509</c:v>
                </c:pt>
              </c:numCache>
            </c:numRef>
          </c:val>
          <c:extLst>
            <c:ext xmlns:c16="http://schemas.microsoft.com/office/drawing/2014/chart" uri="{C3380CC4-5D6E-409C-BE32-E72D297353CC}">
              <c16:uniqueId val="{00000003-177D-44E0-A469-C45A999AF873}"/>
            </c:ext>
          </c:extLst>
        </c:ser>
        <c:ser>
          <c:idx val="4"/>
          <c:order val="4"/>
          <c:tx>
            <c:strRef>
              <c:f>'HE GEN - Time'!$I$3:$I$4</c:f>
              <c:strCache>
                <c:ptCount val="1"/>
                <c:pt idx="0">
                  <c:v>WASTEHEAT</c:v>
                </c:pt>
              </c:strCache>
            </c:strRef>
          </c:tx>
          <c:spPr>
            <a:solidFill>
              <a:schemeClr val="accent5"/>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Time'!$I$5:$I$29</c:f>
              <c:numCache>
                <c:formatCode>General</c:formatCode>
                <c:ptCount val="24"/>
                <c:pt idx="0">
                  <c:v>1128.3786651572698</c:v>
                </c:pt>
                <c:pt idx="1">
                  <c:v>1128.1359166545801</c:v>
                </c:pt>
                <c:pt idx="2">
                  <c:v>1130.2401519723699</c:v>
                </c:pt>
                <c:pt idx="3">
                  <c:v>1135.3037144267068</c:v>
                </c:pt>
                <c:pt idx="4">
                  <c:v>1144.9825265781831</c:v>
                </c:pt>
                <c:pt idx="5">
                  <c:v>1154.5517063764983</c:v>
                </c:pt>
                <c:pt idx="6">
                  <c:v>1175.7366146125464</c:v>
                </c:pt>
                <c:pt idx="7">
                  <c:v>1189.4640200037104</c:v>
                </c:pt>
                <c:pt idx="8">
                  <c:v>1191.8732697434252</c:v>
                </c:pt>
                <c:pt idx="9">
                  <c:v>1195.6536058177323</c:v>
                </c:pt>
                <c:pt idx="10">
                  <c:v>1190.3794049899172</c:v>
                </c:pt>
                <c:pt idx="11">
                  <c:v>1188.2624477084544</c:v>
                </c:pt>
                <c:pt idx="12">
                  <c:v>1188.4764033570293</c:v>
                </c:pt>
                <c:pt idx="13">
                  <c:v>1187.4264738316513</c:v>
                </c:pt>
                <c:pt idx="14">
                  <c:v>1186.7839769817804</c:v>
                </c:pt>
                <c:pt idx="15">
                  <c:v>1193.0906281091313</c:v>
                </c:pt>
                <c:pt idx="16">
                  <c:v>1182.4283061334804</c:v>
                </c:pt>
                <c:pt idx="17">
                  <c:v>1177.2485734844684</c:v>
                </c:pt>
                <c:pt idx="18">
                  <c:v>1174.1546722278483</c:v>
                </c:pt>
                <c:pt idx="19">
                  <c:v>1168.1920340234362</c:v>
                </c:pt>
                <c:pt idx="20">
                  <c:v>1162.0582132790751</c:v>
                </c:pt>
                <c:pt idx="21">
                  <c:v>1157.5100664374154</c:v>
                </c:pt>
                <c:pt idx="22">
                  <c:v>1148.7279698553239</c:v>
                </c:pt>
                <c:pt idx="23">
                  <c:v>1139.9049409243685</c:v>
                </c:pt>
              </c:numCache>
            </c:numRef>
          </c:val>
          <c:extLst>
            <c:ext xmlns:c16="http://schemas.microsoft.com/office/drawing/2014/chart" uri="{C3380CC4-5D6E-409C-BE32-E72D297353CC}">
              <c16:uniqueId val="{00000004-177D-44E0-A469-C45A999AF873}"/>
            </c:ext>
          </c:extLst>
        </c:ser>
        <c:ser>
          <c:idx val="5"/>
          <c:order val="5"/>
          <c:tx>
            <c:strRef>
              <c:f>'HE GEN - Time'!$J$3:$J$4</c:f>
              <c:strCache>
                <c:ptCount val="1"/>
                <c:pt idx="0">
                  <c:v>LIGNITE</c:v>
                </c:pt>
              </c:strCache>
            </c:strRef>
          </c:tx>
          <c:spPr>
            <a:solidFill>
              <a:schemeClr val="accent6"/>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Time'!$J$5:$J$29</c:f>
              <c:numCache>
                <c:formatCode>General</c:formatCode>
                <c:ptCount val="24"/>
                <c:pt idx="0">
                  <c:v>17285.715084915053</c:v>
                </c:pt>
                <c:pt idx="1">
                  <c:v>11830.171230132837</c:v>
                </c:pt>
                <c:pt idx="2">
                  <c:v>15964.781820374057</c:v>
                </c:pt>
                <c:pt idx="3">
                  <c:v>17285.715084915053</c:v>
                </c:pt>
                <c:pt idx="4">
                  <c:v>17285.715084915053</c:v>
                </c:pt>
                <c:pt idx="5">
                  <c:v>17859.466666666638</c:v>
                </c:pt>
                <c:pt idx="6">
                  <c:v>17859.466666666638</c:v>
                </c:pt>
                <c:pt idx="7">
                  <c:v>18028.799999999974</c:v>
                </c:pt>
                <c:pt idx="8">
                  <c:v>18028.799999999974</c:v>
                </c:pt>
                <c:pt idx="9">
                  <c:v>18028.799999999974</c:v>
                </c:pt>
                <c:pt idx="10">
                  <c:v>17859.466666666638</c:v>
                </c:pt>
                <c:pt idx="11">
                  <c:v>17859.466666666638</c:v>
                </c:pt>
                <c:pt idx="12">
                  <c:v>17859.466666666638</c:v>
                </c:pt>
                <c:pt idx="13">
                  <c:v>17859.466666666638</c:v>
                </c:pt>
                <c:pt idx="14">
                  <c:v>17859.466666666638</c:v>
                </c:pt>
                <c:pt idx="15">
                  <c:v>17859.466666666638</c:v>
                </c:pt>
                <c:pt idx="16">
                  <c:v>17859.466666666638</c:v>
                </c:pt>
                <c:pt idx="17">
                  <c:v>17859.466666666638</c:v>
                </c:pt>
                <c:pt idx="18">
                  <c:v>17859.466666666638</c:v>
                </c:pt>
                <c:pt idx="19">
                  <c:v>17859.466666666638</c:v>
                </c:pt>
                <c:pt idx="20">
                  <c:v>17859.466666666638</c:v>
                </c:pt>
                <c:pt idx="21">
                  <c:v>15189.14341990317</c:v>
                </c:pt>
                <c:pt idx="22">
                  <c:v>8673.1936646388895</c:v>
                </c:pt>
                <c:pt idx="23">
                  <c:v>5309.7499540447052</c:v>
                </c:pt>
              </c:numCache>
            </c:numRef>
          </c:val>
          <c:extLst>
            <c:ext xmlns:c16="http://schemas.microsoft.com/office/drawing/2014/chart" uri="{C3380CC4-5D6E-409C-BE32-E72D297353CC}">
              <c16:uniqueId val="{00000005-177D-44E0-A469-C45A999AF873}"/>
            </c:ext>
          </c:extLst>
        </c:ser>
        <c:ser>
          <c:idx val="6"/>
          <c:order val="6"/>
          <c:tx>
            <c:strRef>
              <c:f>'HE GEN - Time'!$K$3:$K$4</c:f>
              <c:strCache>
                <c:ptCount val="1"/>
                <c:pt idx="0">
                  <c:v>HEAT</c:v>
                </c:pt>
              </c:strCache>
            </c:strRef>
          </c:tx>
          <c:spPr>
            <a:solidFill>
              <a:schemeClr val="accent1">
                <a:lumMod val="60000"/>
              </a:schemeClr>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Time'!$K$5:$K$29</c:f>
              <c:numCache>
                <c:formatCode>General</c:formatCode>
                <c:ptCount val="24"/>
                <c:pt idx="0">
                  <c:v>178129.67077545103</c:v>
                </c:pt>
                <c:pt idx="1">
                  <c:v>183520.44132868684</c:v>
                </c:pt>
                <c:pt idx="2">
                  <c:v>179357.12316990033</c:v>
                </c:pt>
                <c:pt idx="3">
                  <c:v>178095.96358518561</c:v>
                </c:pt>
                <c:pt idx="4">
                  <c:v>178188.37516615176</c:v>
                </c:pt>
                <c:pt idx="5">
                  <c:v>177012.67618928297</c:v>
                </c:pt>
                <c:pt idx="6">
                  <c:v>176015.51164109429</c:v>
                </c:pt>
                <c:pt idx="7">
                  <c:v>167458.89387421717</c:v>
                </c:pt>
                <c:pt idx="8">
                  <c:v>172024.32300692587</c:v>
                </c:pt>
                <c:pt idx="9">
                  <c:v>171923.97793686474</c:v>
                </c:pt>
                <c:pt idx="10">
                  <c:v>178597.32371241873</c:v>
                </c:pt>
                <c:pt idx="11">
                  <c:v>182884.66906768858</c:v>
                </c:pt>
                <c:pt idx="12">
                  <c:v>182425.4713568491</c:v>
                </c:pt>
                <c:pt idx="13">
                  <c:v>182129.67073710301</c:v>
                </c:pt>
                <c:pt idx="14">
                  <c:v>182146.91198777963</c:v>
                </c:pt>
                <c:pt idx="15">
                  <c:v>180404.26861544445</c:v>
                </c:pt>
                <c:pt idx="16">
                  <c:v>175479.97381900606</c:v>
                </c:pt>
                <c:pt idx="17">
                  <c:v>177530.01121880868</c:v>
                </c:pt>
                <c:pt idx="18">
                  <c:v>176601.35811214894</c:v>
                </c:pt>
                <c:pt idx="19">
                  <c:v>181258.69344575761</c:v>
                </c:pt>
                <c:pt idx="20">
                  <c:v>180646.39442698442</c:v>
                </c:pt>
                <c:pt idx="21">
                  <c:v>182413.90850175012</c:v>
                </c:pt>
                <c:pt idx="22">
                  <c:v>188433.05833770122</c:v>
                </c:pt>
                <c:pt idx="23">
                  <c:v>189888.78940497589</c:v>
                </c:pt>
              </c:numCache>
            </c:numRef>
          </c:val>
          <c:extLst>
            <c:ext xmlns:c16="http://schemas.microsoft.com/office/drawing/2014/chart" uri="{C3380CC4-5D6E-409C-BE32-E72D297353CC}">
              <c16:uniqueId val="{00000006-177D-44E0-A469-C45A999AF873}"/>
            </c:ext>
          </c:extLst>
        </c:ser>
        <c:ser>
          <c:idx val="7"/>
          <c:order val="7"/>
          <c:tx>
            <c:strRef>
              <c:f>'HE GEN - Time'!$L$3:$L$4</c:f>
              <c:strCache>
                <c:ptCount val="1"/>
                <c:pt idx="0">
                  <c:v>NATGAS</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Time'!$L$5:$L$29</c:f>
              <c:numCache>
                <c:formatCode>General</c:formatCode>
                <c:ptCount val="24"/>
                <c:pt idx="0">
                  <c:v>927.85697774830453</c:v>
                </c:pt>
                <c:pt idx="1">
                  <c:v>886.7692519728887</c:v>
                </c:pt>
                <c:pt idx="2">
                  <c:v>878.6873628259159</c:v>
                </c:pt>
                <c:pt idx="3">
                  <c:v>935.89520680521207</c:v>
                </c:pt>
                <c:pt idx="4">
                  <c:v>994.87128713230982</c:v>
                </c:pt>
                <c:pt idx="5">
                  <c:v>1159.6271905942515</c:v>
                </c:pt>
                <c:pt idx="6">
                  <c:v>1723.4591850166244</c:v>
                </c:pt>
                <c:pt idx="7">
                  <c:v>2282.2203814327922</c:v>
                </c:pt>
                <c:pt idx="8">
                  <c:v>2275.0260093794191</c:v>
                </c:pt>
                <c:pt idx="9">
                  <c:v>2194.3811071641512</c:v>
                </c:pt>
                <c:pt idx="10">
                  <c:v>1894.5260566176651</c:v>
                </c:pt>
                <c:pt idx="11">
                  <c:v>1712.3156955839893</c:v>
                </c:pt>
                <c:pt idx="12">
                  <c:v>1657.2941312294622</c:v>
                </c:pt>
                <c:pt idx="13">
                  <c:v>1638.9211128629706</c:v>
                </c:pt>
                <c:pt idx="14">
                  <c:v>1650.0174223876663</c:v>
                </c:pt>
                <c:pt idx="15">
                  <c:v>1758.5957955136682</c:v>
                </c:pt>
                <c:pt idx="16">
                  <c:v>1712.8588982178424</c:v>
                </c:pt>
                <c:pt idx="17">
                  <c:v>1646.0625198521132</c:v>
                </c:pt>
                <c:pt idx="18">
                  <c:v>1672.777795498874</c:v>
                </c:pt>
                <c:pt idx="19">
                  <c:v>1456.943958949051</c:v>
                </c:pt>
                <c:pt idx="20">
                  <c:v>1383.5165813569593</c:v>
                </c:pt>
                <c:pt idx="21">
                  <c:v>1128.0010006151324</c:v>
                </c:pt>
                <c:pt idx="22">
                  <c:v>1029.7428644068984</c:v>
                </c:pt>
                <c:pt idx="23">
                  <c:v>928.99084798352146</c:v>
                </c:pt>
              </c:numCache>
            </c:numRef>
          </c:val>
          <c:extLst>
            <c:ext xmlns:c16="http://schemas.microsoft.com/office/drawing/2014/chart" uri="{C3380CC4-5D6E-409C-BE32-E72D297353CC}">
              <c16:uniqueId val="{00000007-177D-44E0-A469-C45A999AF873}"/>
            </c:ext>
          </c:extLst>
        </c:ser>
        <c:ser>
          <c:idx val="8"/>
          <c:order val="8"/>
          <c:tx>
            <c:strRef>
              <c:f>'HE GEN - Time'!$M$3:$M$4</c:f>
              <c:strCache>
                <c:ptCount val="1"/>
                <c:pt idx="0">
                  <c:v>STRAW</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Time'!$M$5:$M$29</c:f>
              <c:numCache>
                <c:formatCode>General</c:formatCode>
                <c:ptCount val="24"/>
                <c:pt idx="0">
                  <c:v>298.80648845923389</c:v>
                </c:pt>
                <c:pt idx="1">
                  <c:v>297.29483481187691</c:v>
                </c:pt>
                <c:pt idx="2">
                  <c:v>295.9206042233705</c:v>
                </c:pt>
                <c:pt idx="3">
                  <c:v>297.98195010613011</c:v>
                </c:pt>
                <c:pt idx="4">
                  <c:v>299.49360375348709</c:v>
                </c:pt>
                <c:pt idx="5">
                  <c:v>323.5426390523491</c:v>
                </c:pt>
                <c:pt idx="6">
                  <c:v>383.73393882892952</c:v>
                </c:pt>
                <c:pt idx="7">
                  <c:v>458.95758161714764</c:v>
                </c:pt>
                <c:pt idx="8">
                  <c:v>464.31708091232264</c:v>
                </c:pt>
                <c:pt idx="9">
                  <c:v>463.62996561806943</c:v>
                </c:pt>
                <c:pt idx="10">
                  <c:v>425.51054871952414</c:v>
                </c:pt>
                <c:pt idx="11">
                  <c:v>424.2737411898683</c:v>
                </c:pt>
                <c:pt idx="12">
                  <c:v>416.57804989423255</c:v>
                </c:pt>
                <c:pt idx="13">
                  <c:v>411.21855059905755</c:v>
                </c:pt>
                <c:pt idx="14">
                  <c:v>413.41731954066773</c:v>
                </c:pt>
                <c:pt idx="15">
                  <c:v>415.47866542342734</c:v>
                </c:pt>
                <c:pt idx="16">
                  <c:v>416.71547295308312</c:v>
                </c:pt>
                <c:pt idx="17">
                  <c:v>420.42589554205045</c:v>
                </c:pt>
                <c:pt idx="18">
                  <c:v>419.87620330664782</c:v>
                </c:pt>
                <c:pt idx="19">
                  <c:v>414.24185789377162</c:v>
                </c:pt>
                <c:pt idx="20">
                  <c:v>403.66028236227231</c:v>
                </c:pt>
                <c:pt idx="21">
                  <c:v>352.81375058753554</c:v>
                </c:pt>
                <c:pt idx="22">
                  <c:v>338.52175246706889</c:v>
                </c:pt>
                <c:pt idx="23">
                  <c:v>324.96641352375917</c:v>
                </c:pt>
              </c:numCache>
            </c:numRef>
          </c:val>
          <c:extLst>
            <c:ext xmlns:c16="http://schemas.microsoft.com/office/drawing/2014/chart" uri="{C3380CC4-5D6E-409C-BE32-E72D297353CC}">
              <c16:uniqueId val="{00000006-1313-4556-84DE-66D64760551D}"/>
            </c:ext>
          </c:extLst>
        </c:ser>
        <c:ser>
          <c:idx val="9"/>
          <c:order val="9"/>
          <c:tx>
            <c:strRef>
              <c:f>'HE GEN - Time'!$N$3:$N$4</c:f>
              <c:strCache>
                <c:ptCount val="1"/>
                <c:pt idx="0">
                  <c:v>WOODCHIPS</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Time'!$N$5:$N$29</c:f>
              <c:numCache>
                <c:formatCode>General</c:formatCode>
                <c:ptCount val="24"/>
                <c:pt idx="0">
                  <c:v>542.10952100175109</c:v>
                </c:pt>
                <c:pt idx="1">
                  <c:v>520.44778717585314</c:v>
                </c:pt>
                <c:pt idx="2">
                  <c:v>516.52731503193775</c:v>
                </c:pt>
                <c:pt idx="3">
                  <c:v>564.32880695643041</c:v>
                </c:pt>
                <c:pt idx="4">
                  <c:v>655.56733962910539</c:v>
                </c:pt>
                <c:pt idx="5">
                  <c:v>944.51109931540464</c:v>
                </c:pt>
                <c:pt idx="6">
                  <c:v>1517.6882829621195</c:v>
                </c:pt>
                <c:pt idx="7">
                  <c:v>1803.8250068209738</c:v>
                </c:pt>
                <c:pt idx="8">
                  <c:v>1826.3404484292864</c:v>
                </c:pt>
                <c:pt idx="9">
                  <c:v>1721.0633886712471</c:v>
                </c:pt>
                <c:pt idx="10">
                  <c:v>1670.9553847269156</c:v>
                </c:pt>
                <c:pt idx="11">
                  <c:v>1593.4264823383826</c:v>
                </c:pt>
                <c:pt idx="12">
                  <c:v>1523.8770169137579</c:v>
                </c:pt>
                <c:pt idx="13">
                  <c:v>1479.3368148501152</c:v>
                </c:pt>
                <c:pt idx="14">
                  <c:v>1471.0410732849441</c:v>
                </c:pt>
                <c:pt idx="15">
                  <c:v>1484.1354251403968</c:v>
                </c:pt>
                <c:pt idx="16">
                  <c:v>1357.0031226778456</c:v>
                </c:pt>
                <c:pt idx="17">
                  <c:v>1244.052239367795</c:v>
                </c:pt>
                <c:pt idx="18">
                  <c:v>1161.9976833484363</c:v>
                </c:pt>
                <c:pt idx="19">
                  <c:v>995.29759241171939</c:v>
                </c:pt>
                <c:pt idx="20">
                  <c:v>923.0442460975687</c:v>
                </c:pt>
                <c:pt idx="21">
                  <c:v>816.74954799045338</c:v>
                </c:pt>
                <c:pt idx="22">
                  <c:v>696.23142221924604</c:v>
                </c:pt>
                <c:pt idx="23">
                  <c:v>608.31722960363186</c:v>
                </c:pt>
              </c:numCache>
            </c:numRef>
          </c:val>
          <c:extLst>
            <c:ext xmlns:c16="http://schemas.microsoft.com/office/drawing/2014/chart" uri="{C3380CC4-5D6E-409C-BE32-E72D297353CC}">
              <c16:uniqueId val="{00000007-1313-4556-84DE-66D64760551D}"/>
            </c:ext>
          </c:extLst>
        </c:ser>
        <c:ser>
          <c:idx val="10"/>
          <c:order val="10"/>
          <c:tx>
            <c:strRef>
              <c:f>'HE GEN - Time'!$O$3:$O$4</c:f>
              <c:strCache>
                <c:ptCount val="1"/>
                <c:pt idx="0">
                  <c:v>LPG</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Time'!$O$5:$O$29</c:f>
              <c:numCache>
                <c:formatCode>General</c:formatCode>
                <c:ptCount val="24"/>
                <c:pt idx="0">
                  <c:v>172.67468646154848</c:v>
                </c:pt>
                <c:pt idx="1">
                  <c:v>172.50148709892053</c:v>
                </c:pt>
                <c:pt idx="2">
                  <c:v>172.8500258035607</c:v>
                </c:pt>
                <c:pt idx="3">
                  <c:v>173.64298492792562</c:v>
                </c:pt>
                <c:pt idx="4">
                  <c:v>176.40554176627509</c:v>
                </c:pt>
                <c:pt idx="5">
                  <c:v>188.989772912131</c:v>
                </c:pt>
                <c:pt idx="6">
                  <c:v>219.47914110175711</c:v>
                </c:pt>
                <c:pt idx="7">
                  <c:v>248.27835351655304</c:v>
                </c:pt>
                <c:pt idx="8">
                  <c:v>253.28089735335845</c:v>
                </c:pt>
                <c:pt idx="9">
                  <c:v>246.32083890053894</c:v>
                </c:pt>
                <c:pt idx="10">
                  <c:v>235.74289236899088</c:v>
                </c:pt>
                <c:pt idx="11">
                  <c:v>224.41748169992016</c:v>
                </c:pt>
                <c:pt idx="12">
                  <c:v>217.19770177055631</c:v>
                </c:pt>
                <c:pt idx="13">
                  <c:v>212.60350574048829</c:v>
                </c:pt>
                <c:pt idx="14">
                  <c:v>206.54024214991981</c:v>
                </c:pt>
                <c:pt idx="15">
                  <c:v>195.67004263752446</c:v>
                </c:pt>
                <c:pt idx="16">
                  <c:v>178.14416700084092</c:v>
                </c:pt>
                <c:pt idx="17">
                  <c:v>174.16449685082077</c:v>
                </c:pt>
                <c:pt idx="18">
                  <c:v>171.56706631903191</c:v>
                </c:pt>
                <c:pt idx="19">
                  <c:v>171.0143061236956</c:v>
                </c:pt>
                <c:pt idx="20">
                  <c:v>169.6362874791993</c:v>
                </c:pt>
                <c:pt idx="21">
                  <c:v>166.99108079205052</c:v>
                </c:pt>
                <c:pt idx="22">
                  <c:v>166.00239450840166</c:v>
                </c:pt>
                <c:pt idx="23">
                  <c:v>165.56240889514947</c:v>
                </c:pt>
              </c:numCache>
            </c:numRef>
          </c:val>
          <c:extLst>
            <c:ext xmlns:c16="http://schemas.microsoft.com/office/drawing/2014/chart" uri="{C3380CC4-5D6E-409C-BE32-E72D297353CC}">
              <c16:uniqueId val="{00000008-1313-4556-84DE-66D64760551D}"/>
            </c:ext>
          </c:extLst>
        </c:ser>
        <c:ser>
          <c:idx val="11"/>
          <c:order val="11"/>
          <c:tx>
            <c:strRef>
              <c:f>'HE GEN - Time'!$P$3:$P$4</c:f>
              <c:strCache>
                <c:ptCount val="1"/>
                <c:pt idx="0">
                  <c:v>PEAT</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Time'!$P$5:$P$29</c:f>
              <c:numCache>
                <c:formatCode>General</c:formatCode>
                <c:ptCount val="24"/>
                <c:pt idx="0">
                  <c:v>2074.5079682289561</c:v>
                </c:pt>
                <c:pt idx="1">
                  <c:v>2074.5079682289561</c:v>
                </c:pt>
                <c:pt idx="2">
                  <c:v>2074.5079682289561</c:v>
                </c:pt>
                <c:pt idx="3">
                  <c:v>2074.5079682289561</c:v>
                </c:pt>
                <c:pt idx="4">
                  <c:v>2091.4374924477784</c:v>
                </c:pt>
                <c:pt idx="5">
                  <c:v>2230.7045545906881</c:v>
                </c:pt>
                <c:pt idx="6">
                  <c:v>2323.7330372950237</c:v>
                </c:pt>
                <c:pt idx="7">
                  <c:v>2345.2999241457969</c:v>
                </c:pt>
                <c:pt idx="8">
                  <c:v>2345.2999241457969</c:v>
                </c:pt>
                <c:pt idx="9">
                  <c:v>2345.2999241457969</c:v>
                </c:pt>
                <c:pt idx="10">
                  <c:v>2344.8094093417358</c:v>
                </c:pt>
                <c:pt idx="11">
                  <c:v>2291.5394136404911</c:v>
                </c:pt>
                <c:pt idx="12">
                  <c:v>2270.7091177207944</c:v>
                </c:pt>
                <c:pt idx="13">
                  <c:v>2220.5330481704623</c:v>
                </c:pt>
                <c:pt idx="14">
                  <c:v>2208.1616763350644</c:v>
                </c:pt>
                <c:pt idx="15">
                  <c:v>2180.808712587112</c:v>
                </c:pt>
                <c:pt idx="16">
                  <c:v>2126.9725817314234</c:v>
                </c:pt>
                <c:pt idx="17">
                  <c:v>2169.2971244073074</c:v>
                </c:pt>
                <c:pt idx="18">
                  <c:v>2074.5079682289561</c:v>
                </c:pt>
                <c:pt idx="19">
                  <c:v>2074.5079682289561</c:v>
                </c:pt>
                <c:pt idx="20">
                  <c:v>2074.5079682289561</c:v>
                </c:pt>
                <c:pt idx="21">
                  <c:v>2074.5079682289561</c:v>
                </c:pt>
                <c:pt idx="22">
                  <c:v>2074.5079682289561</c:v>
                </c:pt>
                <c:pt idx="23">
                  <c:v>2074.5079682289561</c:v>
                </c:pt>
              </c:numCache>
            </c:numRef>
          </c:val>
          <c:extLst>
            <c:ext xmlns:c16="http://schemas.microsoft.com/office/drawing/2014/chart" uri="{C3380CC4-5D6E-409C-BE32-E72D297353CC}">
              <c16:uniqueId val="{00000009-1313-4556-84DE-66D64760551D}"/>
            </c:ext>
          </c:extLst>
        </c:ser>
        <c:ser>
          <c:idx val="12"/>
          <c:order val="12"/>
          <c:tx>
            <c:strRef>
              <c:f>'HE GEN - Time'!$Q$3:$Q$4</c:f>
              <c:strCache>
                <c:ptCount val="1"/>
                <c:pt idx="0">
                  <c:v>RECYCLEDWOOD</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Time'!$Q$5:$Q$29</c:f>
              <c:numCache>
                <c:formatCode>General</c:formatCode>
                <c:ptCount val="24"/>
                <c:pt idx="0">
                  <c:v>41.8561976683323</c:v>
                </c:pt>
                <c:pt idx="1">
                  <c:v>41.748739149488301</c:v>
                </c:pt>
                <c:pt idx="2">
                  <c:v>42.698455665386597</c:v>
                </c:pt>
                <c:pt idx="3">
                  <c:v>45.631586014068702</c:v>
                </c:pt>
                <c:pt idx="4">
                  <c:v>49.2739836602289</c:v>
                </c:pt>
                <c:pt idx="5">
                  <c:v>56.769498102953698</c:v>
                </c:pt>
                <c:pt idx="6">
                  <c:v>193.62182402664271</c:v>
                </c:pt>
                <c:pt idx="7">
                  <c:v>197.57673821228195</c:v>
                </c:pt>
                <c:pt idx="8">
                  <c:v>197.57673821228195</c:v>
                </c:pt>
                <c:pt idx="9">
                  <c:v>197.57673821228195</c:v>
                </c:pt>
                <c:pt idx="10">
                  <c:v>193.62182402664271</c:v>
                </c:pt>
                <c:pt idx="11">
                  <c:v>193.62182402664271</c:v>
                </c:pt>
                <c:pt idx="12">
                  <c:v>193.62182402664271</c:v>
                </c:pt>
                <c:pt idx="13">
                  <c:v>193.62182402664271</c:v>
                </c:pt>
                <c:pt idx="14">
                  <c:v>193.62182402664271</c:v>
                </c:pt>
                <c:pt idx="15">
                  <c:v>193.62182402664271</c:v>
                </c:pt>
                <c:pt idx="16">
                  <c:v>193.62182402664271</c:v>
                </c:pt>
                <c:pt idx="17">
                  <c:v>193.62182402664271</c:v>
                </c:pt>
                <c:pt idx="18">
                  <c:v>152.1962494971271</c:v>
                </c:pt>
                <c:pt idx="19">
                  <c:v>55.322239454791713</c:v>
                </c:pt>
                <c:pt idx="20">
                  <c:v>50.083754110444318</c:v>
                </c:pt>
                <c:pt idx="21">
                  <c:v>45.024757023234898</c:v>
                </c:pt>
                <c:pt idx="22">
                  <c:v>39.795299305600103</c:v>
                </c:pt>
                <c:pt idx="23">
                  <c:v>30.099491799994201</c:v>
                </c:pt>
              </c:numCache>
            </c:numRef>
          </c:val>
          <c:extLst>
            <c:ext xmlns:c16="http://schemas.microsoft.com/office/drawing/2014/chart" uri="{C3380CC4-5D6E-409C-BE32-E72D297353CC}">
              <c16:uniqueId val="{0000000A-1313-4556-84DE-66D64760551D}"/>
            </c:ext>
          </c:extLst>
        </c:ser>
        <c:ser>
          <c:idx val="13"/>
          <c:order val="13"/>
          <c:tx>
            <c:strRef>
              <c:f>'HE GEN - Time'!$R$3:$R$4</c:f>
              <c:strCache>
                <c:ptCount val="1"/>
                <c:pt idx="0">
                  <c:v>OTHERGAS</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Time'!$R$5:$R$29</c:f>
              <c:numCache>
                <c:formatCode>General</c:formatCode>
                <c:ptCount val="24"/>
                <c:pt idx="0">
                  <c:v>20</c:v>
                </c:pt>
                <c:pt idx="1">
                  <c:v>20</c:v>
                </c:pt>
                <c:pt idx="2">
                  <c:v>20</c:v>
                </c:pt>
                <c:pt idx="3">
                  <c:v>20</c:v>
                </c:pt>
                <c:pt idx="4">
                  <c:v>20</c:v>
                </c:pt>
                <c:pt idx="5">
                  <c:v>20</c:v>
                </c:pt>
                <c:pt idx="6">
                  <c:v>20</c:v>
                </c:pt>
                <c:pt idx="7">
                  <c:v>20</c:v>
                </c:pt>
                <c:pt idx="8">
                  <c:v>20</c:v>
                </c:pt>
                <c:pt idx="9">
                  <c:v>20</c:v>
                </c:pt>
                <c:pt idx="10">
                  <c:v>20</c:v>
                </c:pt>
                <c:pt idx="11">
                  <c:v>20</c:v>
                </c:pt>
                <c:pt idx="12">
                  <c:v>20</c:v>
                </c:pt>
                <c:pt idx="13">
                  <c:v>20</c:v>
                </c:pt>
                <c:pt idx="14">
                  <c:v>20</c:v>
                </c:pt>
                <c:pt idx="15">
                  <c:v>20</c:v>
                </c:pt>
                <c:pt idx="16">
                  <c:v>20</c:v>
                </c:pt>
                <c:pt idx="17">
                  <c:v>20</c:v>
                </c:pt>
                <c:pt idx="18">
                  <c:v>20</c:v>
                </c:pt>
                <c:pt idx="19">
                  <c:v>20</c:v>
                </c:pt>
                <c:pt idx="20">
                  <c:v>20</c:v>
                </c:pt>
                <c:pt idx="21">
                  <c:v>20</c:v>
                </c:pt>
                <c:pt idx="22">
                  <c:v>20</c:v>
                </c:pt>
                <c:pt idx="23">
                  <c:v>20</c:v>
                </c:pt>
              </c:numCache>
            </c:numRef>
          </c:val>
          <c:extLst>
            <c:ext xmlns:c16="http://schemas.microsoft.com/office/drawing/2014/chart" uri="{C3380CC4-5D6E-409C-BE32-E72D297353CC}">
              <c16:uniqueId val="{0000000B-1313-4556-84DE-66D64760551D}"/>
            </c:ext>
          </c:extLst>
        </c:ser>
        <c:ser>
          <c:idx val="14"/>
          <c:order val="14"/>
          <c:tx>
            <c:strRef>
              <c:f>'HE GEN - Time'!$S$3:$S$4</c:f>
              <c:strCache>
                <c:ptCount val="1"/>
                <c:pt idx="0">
                  <c:v>WOOD</c:v>
                </c:pt>
              </c:strCache>
            </c:strRef>
          </c:tx>
          <c:spPr>
            <a:solidFill>
              <a:schemeClr val="accent1"/>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Time'!$S$5:$S$29</c:f>
              <c:numCache>
                <c:formatCode>General</c:formatCode>
                <c:ptCount val="24"/>
                <c:pt idx="0">
                  <c:v>204.26765438243009</c:v>
                </c:pt>
                <c:pt idx="1">
                  <c:v>204.43443250028909</c:v>
                </c:pt>
                <c:pt idx="2">
                  <c:v>204.4865506621201</c:v>
                </c:pt>
                <c:pt idx="3">
                  <c:v>204.33019617662731</c:v>
                </c:pt>
                <c:pt idx="4">
                  <c:v>203.98621630854311</c:v>
                </c:pt>
                <c:pt idx="5">
                  <c:v>203.48588195496612</c:v>
                </c:pt>
                <c:pt idx="6">
                  <c:v>202.85004038062871</c:v>
                </c:pt>
                <c:pt idx="7">
                  <c:v>202.06826795316468</c:v>
                </c:pt>
                <c:pt idx="8">
                  <c:v>201.39073184936248</c:v>
                </c:pt>
                <c:pt idx="9">
                  <c:v>200.7757375397575</c:v>
                </c:pt>
                <c:pt idx="10">
                  <c:v>200.22328502434959</c:v>
                </c:pt>
                <c:pt idx="11">
                  <c:v>199.76464520023737</c:v>
                </c:pt>
                <c:pt idx="12">
                  <c:v>199.36854717032227</c:v>
                </c:pt>
                <c:pt idx="13">
                  <c:v>199.04541456697049</c:v>
                </c:pt>
                <c:pt idx="14">
                  <c:v>198.84736555201292</c:v>
                </c:pt>
                <c:pt idx="15">
                  <c:v>198.70143469888629</c:v>
                </c:pt>
                <c:pt idx="16">
                  <c:v>198.57635111049208</c:v>
                </c:pt>
                <c:pt idx="17">
                  <c:v>198.46169115446398</c:v>
                </c:pt>
                <c:pt idx="18">
                  <c:v>198.33660756606977</c:v>
                </c:pt>
                <c:pt idx="19">
                  <c:v>198.1906767129432</c:v>
                </c:pt>
                <c:pt idx="20">
                  <c:v>198.06559312454888</c:v>
                </c:pt>
                <c:pt idx="21">
                  <c:v>197.94050953615468</c:v>
                </c:pt>
                <c:pt idx="22">
                  <c:v>197.846696844859</c:v>
                </c:pt>
                <c:pt idx="23">
                  <c:v>197.81542594776047</c:v>
                </c:pt>
              </c:numCache>
            </c:numRef>
          </c:val>
          <c:extLst>
            <c:ext xmlns:c16="http://schemas.microsoft.com/office/drawing/2014/chart" uri="{C3380CC4-5D6E-409C-BE32-E72D297353CC}">
              <c16:uniqueId val="{0000000C-1313-4556-84DE-66D64760551D}"/>
            </c:ext>
          </c:extLst>
        </c:ser>
        <c:ser>
          <c:idx val="15"/>
          <c:order val="15"/>
          <c:tx>
            <c:strRef>
              <c:f>'HE GEN - Time'!$T$3:$T$4</c:f>
              <c:strCache>
                <c:ptCount val="1"/>
                <c:pt idx="0">
                  <c:v>SHALE</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Time'!$T$5:$T$29</c:f>
              <c:numCache>
                <c:formatCode>General</c:formatCode>
                <c:ptCount val="24"/>
                <c:pt idx="0">
                  <c:v>119.62256158739559</c:v>
                </c:pt>
                <c:pt idx="1">
                  <c:v>94.7142595096837</c:v>
                </c:pt>
                <c:pt idx="2">
                  <c:v>77.599663368840197</c:v>
                </c:pt>
                <c:pt idx="3">
                  <c:v>90.616961688016701</c:v>
                </c:pt>
                <c:pt idx="4">
                  <c:v>91.408261206056494</c:v>
                </c:pt>
                <c:pt idx="5">
                  <c:v>116.3377830379421</c:v>
                </c:pt>
                <c:pt idx="6">
                  <c:v>90.411426294860803</c:v>
                </c:pt>
                <c:pt idx="7">
                  <c:v>81.1130024182645</c:v>
                </c:pt>
                <c:pt idx="8">
                  <c:v>53.471016318335202</c:v>
                </c:pt>
                <c:pt idx="9">
                  <c:v>77.918770629634096</c:v>
                </c:pt>
                <c:pt idx="10">
                  <c:v>75.597527121353707</c:v>
                </c:pt>
                <c:pt idx="11">
                  <c:v>73.670457039007601</c:v>
                </c:pt>
                <c:pt idx="12">
                  <c:v>72.006169240617893</c:v>
                </c:pt>
                <c:pt idx="13">
                  <c:v>97.680240877046202</c:v>
                </c:pt>
                <c:pt idx="14">
                  <c:v>73.593360121658904</c:v>
                </c:pt>
                <c:pt idx="15">
                  <c:v>69.203158211750804</c:v>
                </c:pt>
                <c:pt idx="16">
                  <c:v>66.440991564038896</c:v>
                </c:pt>
                <c:pt idx="17">
                  <c:v>41.164046019715997</c:v>
                </c:pt>
                <c:pt idx="18">
                  <c:v>67.670261555339195</c:v>
                </c:pt>
                <c:pt idx="19">
                  <c:v>67.057102892774594</c:v>
                </c:pt>
                <c:pt idx="20">
                  <c:v>93.563318428397793</c:v>
                </c:pt>
                <c:pt idx="21">
                  <c:v>69.783017004292802</c:v>
                </c:pt>
                <c:pt idx="22">
                  <c:v>65.61180033101499</c:v>
                </c:pt>
                <c:pt idx="23">
                  <c:v>38.448629085501096</c:v>
                </c:pt>
              </c:numCache>
            </c:numRef>
          </c:val>
          <c:extLst>
            <c:ext xmlns:c16="http://schemas.microsoft.com/office/drawing/2014/chart" uri="{C3380CC4-5D6E-409C-BE32-E72D297353CC}">
              <c16:uniqueId val="{0000000D-1313-4556-84DE-66D64760551D}"/>
            </c:ext>
          </c:extLst>
        </c:ser>
        <c:ser>
          <c:idx val="16"/>
          <c:order val="16"/>
          <c:tx>
            <c:strRef>
              <c:f>'HE GEN - Time'!$U$3:$U$4</c:f>
              <c:strCache>
                <c:ptCount val="1"/>
                <c:pt idx="0">
                  <c:v>NATGAS_EXETS</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Time'!$U$5:$U$29</c:f>
              <c:numCache>
                <c:formatCode>General</c:formatCode>
                <c:ptCount val="24"/>
                <c:pt idx="0">
                  <c:v>149.52860767244599</c:v>
                </c:pt>
                <c:pt idx="1">
                  <c:v>148.11397551797</c:v>
                </c:pt>
                <c:pt idx="2">
                  <c:v>148.920468403635</c:v>
                </c:pt>
                <c:pt idx="3">
                  <c:v>151.89304732382701</c:v>
                </c:pt>
                <c:pt idx="4">
                  <c:v>159.13587041128</c:v>
                </c:pt>
                <c:pt idx="5">
                  <c:v>172.52372111809899</c:v>
                </c:pt>
                <c:pt idx="6">
                  <c:v>199.52607491453901</c:v>
                </c:pt>
                <c:pt idx="7">
                  <c:v>104.29736557263909</c:v>
                </c:pt>
                <c:pt idx="8">
                  <c:v>108.3326705457974</c:v>
                </c:pt>
                <c:pt idx="9">
                  <c:v>109.37402546148191</c:v>
                </c:pt>
                <c:pt idx="10">
                  <c:v>214.86282267246901</c:v>
                </c:pt>
                <c:pt idx="11">
                  <c:v>209.1814708423413</c:v>
                </c:pt>
                <c:pt idx="12">
                  <c:v>199.70524639063561</c:v>
                </c:pt>
                <c:pt idx="13">
                  <c:v>196.62830775031418</c:v>
                </c:pt>
                <c:pt idx="14">
                  <c:v>196.15241860368477</c:v>
                </c:pt>
                <c:pt idx="15">
                  <c:v>204.29628036823038</c:v>
                </c:pt>
                <c:pt idx="16">
                  <c:v>193.65138648410186</c:v>
                </c:pt>
                <c:pt idx="17">
                  <c:v>187.37738029969501</c:v>
                </c:pt>
                <c:pt idx="18">
                  <c:v>120.529175438628</c:v>
                </c:pt>
                <c:pt idx="19">
                  <c:v>185.11956391503901</c:v>
                </c:pt>
                <c:pt idx="20">
                  <c:v>201.090714855166</c:v>
                </c:pt>
                <c:pt idx="21">
                  <c:v>197.46182307952799</c:v>
                </c:pt>
                <c:pt idx="22">
                  <c:v>188.35195736357599</c:v>
                </c:pt>
                <c:pt idx="23">
                  <c:v>180.12969310496001</c:v>
                </c:pt>
              </c:numCache>
            </c:numRef>
          </c:val>
          <c:extLst>
            <c:ext xmlns:c16="http://schemas.microsoft.com/office/drawing/2014/chart" uri="{C3380CC4-5D6E-409C-BE32-E72D297353CC}">
              <c16:uniqueId val="{0000000E-1313-4556-84DE-66D64760551D}"/>
            </c:ext>
          </c:extLst>
        </c:ser>
        <c:dLbls>
          <c:showLegendKey val="0"/>
          <c:showVal val="0"/>
          <c:showCatName val="0"/>
          <c:showSerName val="0"/>
          <c:showPercent val="0"/>
          <c:showBubbleSize val="0"/>
        </c:dLbls>
        <c:axId val="267948712"/>
        <c:axId val="269917504"/>
      </c:areaChart>
      <c:catAx>
        <c:axId val="2679487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7504"/>
        <c:crosses val="autoZero"/>
        <c:auto val="1"/>
        <c:lblAlgn val="ctr"/>
        <c:lblOffset val="100"/>
        <c:noMultiLvlLbl val="0"/>
      </c:catAx>
      <c:valAx>
        <c:axId val="269917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871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tool.xlsm]Fuel CON - Time!PivotTable2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s>
    <c:plotArea>
      <c:layout/>
      <c:barChart>
        <c:barDir val="col"/>
        <c:grouping val="clustered"/>
        <c:varyColors val="0"/>
        <c:ser>
          <c:idx val="0"/>
          <c:order val="0"/>
          <c:tx>
            <c:strRef>
              <c:f>'Fuel CON - Time'!$C$3:$C$4</c:f>
              <c:strCache>
                <c:ptCount val="1"/>
                <c:pt idx="0">
                  <c:v>DENMARK</c:v>
                </c:pt>
              </c:strCache>
            </c:strRef>
          </c:tx>
          <c:spPr>
            <a:solidFill>
              <a:schemeClr val="accent1"/>
            </a:solidFill>
            <a:ln>
              <a:noFill/>
            </a:ln>
            <a:effectLst/>
          </c:spPr>
          <c:invertIfNegative val="0"/>
          <c:cat>
            <c:strRef>
              <c:f>'Fuel CON - Time'!$B$5:$B$27</c:f>
              <c:strCache>
                <c:ptCount val="22"/>
                <c:pt idx="0">
                  <c:v>SUN</c:v>
                </c:pt>
                <c:pt idx="1">
                  <c:v>COAL</c:v>
                </c:pt>
                <c:pt idx="2">
                  <c:v>ELECTRIC</c:v>
                </c:pt>
                <c:pt idx="3">
                  <c:v>MUNIWASTE</c:v>
                </c:pt>
                <c:pt idx="4">
                  <c:v>NATGAS</c:v>
                </c:pt>
                <c:pt idx="5">
                  <c:v>WIND</c:v>
                </c:pt>
                <c:pt idx="6">
                  <c:v>WOODWASTE</c:v>
                </c:pt>
                <c:pt idx="7">
                  <c:v>WASTEHEAT</c:v>
                </c:pt>
                <c:pt idx="8">
                  <c:v>WATER</c:v>
                </c:pt>
                <c:pt idx="9">
                  <c:v>LIGNITE</c:v>
                </c:pt>
                <c:pt idx="10">
                  <c:v>NUCLEAR</c:v>
                </c:pt>
                <c:pt idx="11">
                  <c:v>WOOD</c:v>
                </c:pt>
                <c:pt idx="12">
                  <c:v>STRAW</c:v>
                </c:pt>
                <c:pt idx="13">
                  <c:v>WOODCHIPS</c:v>
                </c:pt>
                <c:pt idx="14">
                  <c:v>SHALE</c:v>
                </c:pt>
                <c:pt idx="15">
                  <c:v>HEAT</c:v>
                </c:pt>
                <c:pt idx="16">
                  <c:v>LPG</c:v>
                </c:pt>
                <c:pt idx="17">
                  <c:v>PEAT</c:v>
                </c:pt>
                <c:pt idx="18">
                  <c:v>RECYCLEDWOOD</c:v>
                </c:pt>
                <c:pt idx="19">
                  <c:v>OTHERGAS</c:v>
                </c:pt>
                <c:pt idx="20">
                  <c:v>RETORTGAS</c:v>
                </c:pt>
                <c:pt idx="21">
                  <c:v>NATGAS_EXETS</c:v>
                </c:pt>
              </c:strCache>
            </c:strRef>
          </c:cat>
          <c:val>
            <c:numRef>
              <c:f>'Fuel CON - Time'!$C$5:$C$27</c:f>
              <c:numCache>
                <c:formatCode>General</c:formatCode>
                <c:ptCount val="22"/>
                <c:pt idx="0">
                  <c:v>3100939.924677385</c:v>
                </c:pt>
                <c:pt idx="1">
                  <c:v>190288766.17899996</c:v>
                </c:pt>
                <c:pt idx="3">
                  <c:v>24756387.933611378</c:v>
                </c:pt>
                <c:pt idx="4">
                  <c:v>2772325.722057662</c:v>
                </c:pt>
                <c:pt idx="5">
                  <c:v>64491839.121601194</c:v>
                </c:pt>
                <c:pt idx="6">
                  <c:v>2688309.0773990494</c:v>
                </c:pt>
                <c:pt idx="7">
                  <c:v>10736431.200000003</c:v>
                </c:pt>
                <c:pt idx="8">
                  <c:v>120679.67072189055</c:v>
                </c:pt>
                <c:pt idx="12">
                  <c:v>13050921.222477691</c:v>
                </c:pt>
                <c:pt idx="13">
                  <c:v>22341122.447485089</c:v>
                </c:pt>
              </c:numCache>
            </c:numRef>
          </c:val>
          <c:extLst>
            <c:ext xmlns:c16="http://schemas.microsoft.com/office/drawing/2014/chart" uri="{C3380CC4-5D6E-409C-BE32-E72D297353CC}">
              <c16:uniqueId val="{00000000-C276-4130-A710-9D626C89CFEA}"/>
            </c:ext>
          </c:extLst>
        </c:ser>
        <c:ser>
          <c:idx val="1"/>
          <c:order val="1"/>
          <c:tx>
            <c:strRef>
              <c:f>'Fuel CON - Time'!$D$3:$D$4</c:f>
              <c:strCache>
                <c:ptCount val="1"/>
                <c:pt idx="0">
                  <c:v>GERMANY</c:v>
                </c:pt>
              </c:strCache>
            </c:strRef>
          </c:tx>
          <c:spPr>
            <a:solidFill>
              <a:schemeClr val="accent2"/>
            </a:solidFill>
            <a:ln>
              <a:noFill/>
            </a:ln>
            <a:effectLst/>
          </c:spPr>
          <c:invertIfNegative val="0"/>
          <c:cat>
            <c:strRef>
              <c:f>'Fuel CON - Time'!$B$5:$B$27</c:f>
              <c:strCache>
                <c:ptCount val="22"/>
                <c:pt idx="0">
                  <c:v>SUN</c:v>
                </c:pt>
                <c:pt idx="1">
                  <c:v>COAL</c:v>
                </c:pt>
                <c:pt idx="2">
                  <c:v>ELECTRIC</c:v>
                </c:pt>
                <c:pt idx="3">
                  <c:v>MUNIWASTE</c:v>
                </c:pt>
                <c:pt idx="4">
                  <c:v>NATGAS</c:v>
                </c:pt>
                <c:pt idx="5">
                  <c:v>WIND</c:v>
                </c:pt>
                <c:pt idx="6">
                  <c:v>WOODWASTE</c:v>
                </c:pt>
                <c:pt idx="7">
                  <c:v>WASTEHEAT</c:v>
                </c:pt>
                <c:pt idx="8">
                  <c:v>WATER</c:v>
                </c:pt>
                <c:pt idx="9">
                  <c:v>LIGNITE</c:v>
                </c:pt>
                <c:pt idx="10">
                  <c:v>NUCLEAR</c:v>
                </c:pt>
                <c:pt idx="11">
                  <c:v>WOOD</c:v>
                </c:pt>
                <c:pt idx="12">
                  <c:v>STRAW</c:v>
                </c:pt>
                <c:pt idx="13">
                  <c:v>WOODCHIPS</c:v>
                </c:pt>
                <c:pt idx="14">
                  <c:v>SHALE</c:v>
                </c:pt>
                <c:pt idx="15">
                  <c:v>HEAT</c:v>
                </c:pt>
                <c:pt idx="16">
                  <c:v>LPG</c:v>
                </c:pt>
                <c:pt idx="17">
                  <c:v>PEAT</c:v>
                </c:pt>
                <c:pt idx="18">
                  <c:v>RECYCLEDWOOD</c:v>
                </c:pt>
                <c:pt idx="19">
                  <c:v>OTHERGAS</c:v>
                </c:pt>
                <c:pt idx="20">
                  <c:v>RETORTGAS</c:v>
                </c:pt>
                <c:pt idx="21">
                  <c:v>NATGAS_EXETS</c:v>
                </c:pt>
              </c:strCache>
            </c:strRef>
          </c:cat>
          <c:val>
            <c:numRef>
              <c:f>'Fuel CON - Time'!$D$5:$D$27</c:f>
              <c:numCache>
                <c:formatCode>General</c:formatCode>
                <c:ptCount val="22"/>
                <c:pt idx="0">
                  <c:v>163650747.39778465</c:v>
                </c:pt>
                <c:pt idx="1">
                  <c:v>1085368825.3274426</c:v>
                </c:pt>
                <c:pt idx="2">
                  <c:v>22117858.846214201</c:v>
                </c:pt>
                <c:pt idx="3">
                  <c:v>29095870.478479363</c:v>
                </c:pt>
                <c:pt idx="4">
                  <c:v>8780669.0324330516</c:v>
                </c:pt>
                <c:pt idx="5">
                  <c:v>416266046.49600011</c:v>
                </c:pt>
                <c:pt idx="7">
                  <c:v>1418489.2799999996</c:v>
                </c:pt>
                <c:pt idx="8">
                  <c:v>155605109.79785362</c:v>
                </c:pt>
                <c:pt idx="9">
                  <c:v>1817876715.7599058</c:v>
                </c:pt>
                <c:pt idx="10">
                  <c:v>1032087272.7272707</c:v>
                </c:pt>
              </c:numCache>
            </c:numRef>
          </c:val>
          <c:extLst>
            <c:ext xmlns:c16="http://schemas.microsoft.com/office/drawing/2014/chart" uri="{C3380CC4-5D6E-409C-BE32-E72D297353CC}">
              <c16:uniqueId val="{00000000-3339-4B6D-A0C0-6908B7D38E50}"/>
            </c:ext>
          </c:extLst>
        </c:ser>
        <c:ser>
          <c:idx val="2"/>
          <c:order val="2"/>
          <c:tx>
            <c:strRef>
              <c:f>'Fuel CON - Time'!$E$3:$E$4</c:f>
              <c:strCache>
                <c:ptCount val="1"/>
                <c:pt idx="0">
                  <c:v>NORWAY</c:v>
                </c:pt>
              </c:strCache>
            </c:strRef>
          </c:tx>
          <c:spPr>
            <a:solidFill>
              <a:schemeClr val="accent3"/>
            </a:solidFill>
            <a:ln>
              <a:noFill/>
            </a:ln>
            <a:effectLst/>
          </c:spPr>
          <c:invertIfNegative val="0"/>
          <c:cat>
            <c:strRef>
              <c:f>'Fuel CON - Time'!$B$5:$B$27</c:f>
              <c:strCache>
                <c:ptCount val="22"/>
                <c:pt idx="0">
                  <c:v>SUN</c:v>
                </c:pt>
                <c:pt idx="1">
                  <c:v>COAL</c:v>
                </c:pt>
                <c:pt idx="2">
                  <c:v>ELECTRIC</c:v>
                </c:pt>
                <c:pt idx="3">
                  <c:v>MUNIWASTE</c:v>
                </c:pt>
                <c:pt idx="4">
                  <c:v>NATGAS</c:v>
                </c:pt>
                <c:pt idx="5">
                  <c:v>WIND</c:v>
                </c:pt>
                <c:pt idx="6">
                  <c:v>WOODWASTE</c:v>
                </c:pt>
                <c:pt idx="7">
                  <c:v>WASTEHEAT</c:v>
                </c:pt>
                <c:pt idx="8">
                  <c:v>WATER</c:v>
                </c:pt>
                <c:pt idx="9">
                  <c:v>LIGNITE</c:v>
                </c:pt>
                <c:pt idx="10">
                  <c:v>NUCLEAR</c:v>
                </c:pt>
                <c:pt idx="11">
                  <c:v>WOOD</c:v>
                </c:pt>
                <c:pt idx="12">
                  <c:v>STRAW</c:v>
                </c:pt>
                <c:pt idx="13">
                  <c:v>WOODCHIPS</c:v>
                </c:pt>
                <c:pt idx="14">
                  <c:v>SHALE</c:v>
                </c:pt>
                <c:pt idx="15">
                  <c:v>HEAT</c:v>
                </c:pt>
                <c:pt idx="16">
                  <c:v>LPG</c:v>
                </c:pt>
                <c:pt idx="17">
                  <c:v>PEAT</c:v>
                </c:pt>
                <c:pt idx="18">
                  <c:v>RECYCLEDWOOD</c:v>
                </c:pt>
                <c:pt idx="19">
                  <c:v>OTHERGAS</c:v>
                </c:pt>
                <c:pt idx="20">
                  <c:v>RETORTGAS</c:v>
                </c:pt>
                <c:pt idx="21">
                  <c:v>NATGAS_EXETS</c:v>
                </c:pt>
              </c:strCache>
            </c:strRef>
          </c:cat>
          <c:val>
            <c:numRef>
              <c:f>'Fuel CON - Time'!$E$5:$E$27</c:f>
              <c:numCache>
                <c:formatCode>General</c:formatCode>
                <c:ptCount val="22"/>
                <c:pt idx="3">
                  <c:v>10686097.264259866</c:v>
                </c:pt>
                <c:pt idx="5">
                  <c:v>11962280.159999993</c:v>
                </c:pt>
                <c:pt idx="6">
                  <c:v>2375294.6663083825</c:v>
                </c:pt>
                <c:pt idx="7">
                  <c:v>678252.72884470888</c:v>
                </c:pt>
                <c:pt idx="8">
                  <c:v>494980742.98490012</c:v>
                </c:pt>
                <c:pt idx="16">
                  <c:v>7234231.3349310784</c:v>
                </c:pt>
              </c:numCache>
            </c:numRef>
          </c:val>
          <c:extLst>
            <c:ext xmlns:c16="http://schemas.microsoft.com/office/drawing/2014/chart" uri="{C3380CC4-5D6E-409C-BE32-E72D297353CC}">
              <c16:uniqueId val="{00000001-3339-4B6D-A0C0-6908B7D38E50}"/>
            </c:ext>
          </c:extLst>
        </c:ser>
        <c:ser>
          <c:idx val="3"/>
          <c:order val="3"/>
          <c:tx>
            <c:strRef>
              <c:f>'Fuel CON - Time'!$F$3:$F$4</c:f>
              <c:strCache>
                <c:ptCount val="1"/>
                <c:pt idx="0">
                  <c:v>SWEDEN</c:v>
                </c:pt>
              </c:strCache>
            </c:strRef>
          </c:tx>
          <c:spPr>
            <a:solidFill>
              <a:schemeClr val="accent4"/>
            </a:solidFill>
            <a:ln>
              <a:noFill/>
            </a:ln>
            <a:effectLst/>
          </c:spPr>
          <c:invertIfNegative val="0"/>
          <c:cat>
            <c:strRef>
              <c:f>'Fuel CON - Time'!$B$5:$B$27</c:f>
              <c:strCache>
                <c:ptCount val="22"/>
                <c:pt idx="0">
                  <c:v>SUN</c:v>
                </c:pt>
                <c:pt idx="1">
                  <c:v>COAL</c:v>
                </c:pt>
                <c:pt idx="2">
                  <c:v>ELECTRIC</c:v>
                </c:pt>
                <c:pt idx="3">
                  <c:v>MUNIWASTE</c:v>
                </c:pt>
                <c:pt idx="4">
                  <c:v>NATGAS</c:v>
                </c:pt>
                <c:pt idx="5">
                  <c:v>WIND</c:v>
                </c:pt>
                <c:pt idx="6">
                  <c:v>WOODWASTE</c:v>
                </c:pt>
                <c:pt idx="7">
                  <c:v>WASTEHEAT</c:v>
                </c:pt>
                <c:pt idx="8">
                  <c:v>WATER</c:v>
                </c:pt>
                <c:pt idx="9">
                  <c:v>LIGNITE</c:v>
                </c:pt>
                <c:pt idx="10">
                  <c:v>NUCLEAR</c:v>
                </c:pt>
                <c:pt idx="11">
                  <c:v>WOOD</c:v>
                </c:pt>
                <c:pt idx="12">
                  <c:v>STRAW</c:v>
                </c:pt>
                <c:pt idx="13">
                  <c:v>WOODCHIPS</c:v>
                </c:pt>
                <c:pt idx="14">
                  <c:v>SHALE</c:v>
                </c:pt>
                <c:pt idx="15">
                  <c:v>HEAT</c:v>
                </c:pt>
                <c:pt idx="16">
                  <c:v>LPG</c:v>
                </c:pt>
                <c:pt idx="17">
                  <c:v>PEAT</c:v>
                </c:pt>
                <c:pt idx="18">
                  <c:v>RECYCLEDWOOD</c:v>
                </c:pt>
                <c:pt idx="19">
                  <c:v>OTHERGAS</c:v>
                </c:pt>
                <c:pt idx="20">
                  <c:v>RETORTGAS</c:v>
                </c:pt>
                <c:pt idx="21">
                  <c:v>NATGAS_EXETS</c:v>
                </c:pt>
              </c:strCache>
            </c:strRef>
          </c:cat>
          <c:val>
            <c:numRef>
              <c:f>'Fuel CON - Time'!$F$5:$F$27</c:f>
              <c:numCache>
                <c:formatCode>General</c:formatCode>
                <c:ptCount val="22"/>
                <c:pt idx="1">
                  <c:v>10226256.009310428</c:v>
                </c:pt>
                <c:pt idx="3">
                  <c:v>75472229.869403437</c:v>
                </c:pt>
                <c:pt idx="4">
                  <c:v>2291864.4137757835</c:v>
                </c:pt>
                <c:pt idx="5">
                  <c:v>52768267.199999988</c:v>
                </c:pt>
                <c:pt idx="6">
                  <c:v>138052860.81678805</c:v>
                </c:pt>
                <c:pt idx="7">
                  <c:v>18460055.494555525</c:v>
                </c:pt>
                <c:pt idx="8">
                  <c:v>245151355.44443971</c:v>
                </c:pt>
                <c:pt idx="10">
                  <c:v>655451879.3744061</c:v>
                </c:pt>
                <c:pt idx="13">
                  <c:v>2145299.2188150003</c:v>
                </c:pt>
                <c:pt idx="17">
                  <c:v>4764667.4763997504</c:v>
                </c:pt>
                <c:pt idx="18">
                  <c:v>6544951.2583990414</c:v>
                </c:pt>
                <c:pt idx="19">
                  <c:v>742023.529411764</c:v>
                </c:pt>
              </c:numCache>
            </c:numRef>
          </c:val>
          <c:extLst>
            <c:ext xmlns:c16="http://schemas.microsoft.com/office/drawing/2014/chart" uri="{C3380CC4-5D6E-409C-BE32-E72D297353CC}">
              <c16:uniqueId val="{00000002-3339-4B6D-A0C0-6908B7D38E50}"/>
            </c:ext>
          </c:extLst>
        </c:ser>
        <c:ser>
          <c:idx val="4"/>
          <c:order val="4"/>
          <c:tx>
            <c:strRef>
              <c:f>'Fuel CON - Time'!$G$3:$G$4</c:f>
              <c:strCache>
                <c:ptCount val="1"/>
                <c:pt idx="0">
                  <c:v>NETHERLANDS</c:v>
                </c:pt>
              </c:strCache>
            </c:strRef>
          </c:tx>
          <c:spPr>
            <a:solidFill>
              <a:schemeClr val="accent5"/>
            </a:solidFill>
            <a:ln>
              <a:noFill/>
            </a:ln>
            <a:effectLst/>
          </c:spPr>
          <c:invertIfNegative val="0"/>
          <c:cat>
            <c:strRef>
              <c:f>'Fuel CON - Time'!$B$5:$B$27</c:f>
              <c:strCache>
                <c:ptCount val="22"/>
                <c:pt idx="0">
                  <c:v>SUN</c:v>
                </c:pt>
                <c:pt idx="1">
                  <c:v>COAL</c:v>
                </c:pt>
                <c:pt idx="2">
                  <c:v>ELECTRIC</c:v>
                </c:pt>
                <c:pt idx="3">
                  <c:v>MUNIWASTE</c:v>
                </c:pt>
                <c:pt idx="4">
                  <c:v>NATGAS</c:v>
                </c:pt>
                <c:pt idx="5">
                  <c:v>WIND</c:v>
                </c:pt>
                <c:pt idx="6">
                  <c:v>WOODWASTE</c:v>
                </c:pt>
                <c:pt idx="7">
                  <c:v>WASTEHEAT</c:v>
                </c:pt>
                <c:pt idx="8">
                  <c:v>WATER</c:v>
                </c:pt>
                <c:pt idx="9">
                  <c:v>LIGNITE</c:v>
                </c:pt>
                <c:pt idx="10">
                  <c:v>NUCLEAR</c:v>
                </c:pt>
                <c:pt idx="11">
                  <c:v>WOOD</c:v>
                </c:pt>
                <c:pt idx="12">
                  <c:v>STRAW</c:v>
                </c:pt>
                <c:pt idx="13">
                  <c:v>WOODCHIPS</c:v>
                </c:pt>
                <c:pt idx="14">
                  <c:v>SHALE</c:v>
                </c:pt>
                <c:pt idx="15">
                  <c:v>HEAT</c:v>
                </c:pt>
                <c:pt idx="16">
                  <c:v>LPG</c:v>
                </c:pt>
                <c:pt idx="17">
                  <c:v>PEAT</c:v>
                </c:pt>
                <c:pt idx="18">
                  <c:v>RECYCLEDWOOD</c:v>
                </c:pt>
                <c:pt idx="19">
                  <c:v>OTHERGAS</c:v>
                </c:pt>
                <c:pt idx="20">
                  <c:v>RETORTGAS</c:v>
                </c:pt>
                <c:pt idx="21">
                  <c:v>NATGAS_EXETS</c:v>
                </c:pt>
              </c:strCache>
            </c:strRef>
          </c:cat>
          <c:val>
            <c:numRef>
              <c:f>'Fuel CON - Time'!$G$5:$G$27</c:f>
              <c:numCache>
                <c:formatCode>General</c:formatCode>
                <c:ptCount val="22"/>
                <c:pt idx="0">
                  <c:v>3005506.9439999992</c:v>
                </c:pt>
                <c:pt idx="1">
                  <c:v>373673231.3944996</c:v>
                </c:pt>
                <c:pt idx="3">
                  <c:v>53926560</c:v>
                </c:pt>
                <c:pt idx="4">
                  <c:v>2417480.6406678199</c:v>
                </c:pt>
                <c:pt idx="5">
                  <c:v>27933048.000000007</c:v>
                </c:pt>
                <c:pt idx="8">
                  <c:v>574560</c:v>
                </c:pt>
                <c:pt idx="10">
                  <c:v>49215272.727272637</c:v>
                </c:pt>
                <c:pt idx="11">
                  <c:v>15328015.567778934</c:v>
                </c:pt>
              </c:numCache>
            </c:numRef>
          </c:val>
          <c:extLst>
            <c:ext xmlns:c16="http://schemas.microsoft.com/office/drawing/2014/chart" uri="{C3380CC4-5D6E-409C-BE32-E72D297353CC}">
              <c16:uniqueId val="{00000000-0B34-4001-84CD-AA886802C9FF}"/>
            </c:ext>
          </c:extLst>
        </c:ser>
        <c:ser>
          <c:idx val="5"/>
          <c:order val="5"/>
          <c:tx>
            <c:strRef>
              <c:f>'Fuel CON - Time'!$H$3:$H$4</c:f>
              <c:strCache>
                <c:ptCount val="1"/>
                <c:pt idx="0">
                  <c:v>UNITED_KINGDOM</c:v>
                </c:pt>
              </c:strCache>
            </c:strRef>
          </c:tx>
          <c:spPr>
            <a:solidFill>
              <a:schemeClr val="accent6"/>
            </a:solidFill>
            <a:ln>
              <a:noFill/>
            </a:ln>
            <a:effectLst/>
          </c:spPr>
          <c:invertIfNegative val="0"/>
          <c:cat>
            <c:strRef>
              <c:f>'Fuel CON - Time'!$B$5:$B$27</c:f>
              <c:strCache>
                <c:ptCount val="22"/>
                <c:pt idx="0">
                  <c:v>SUN</c:v>
                </c:pt>
                <c:pt idx="1">
                  <c:v>COAL</c:v>
                </c:pt>
                <c:pt idx="2">
                  <c:v>ELECTRIC</c:v>
                </c:pt>
                <c:pt idx="3">
                  <c:v>MUNIWASTE</c:v>
                </c:pt>
                <c:pt idx="4">
                  <c:v>NATGAS</c:v>
                </c:pt>
                <c:pt idx="5">
                  <c:v>WIND</c:v>
                </c:pt>
                <c:pt idx="6">
                  <c:v>WOODWASTE</c:v>
                </c:pt>
                <c:pt idx="7">
                  <c:v>WASTEHEAT</c:v>
                </c:pt>
                <c:pt idx="8">
                  <c:v>WATER</c:v>
                </c:pt>
                <c:pt idx="9">
                  <c:v>LIGNITE</c:v>
                </c:pt>
                <c:pt idx="10">
                  <c:v>NUCLEAR</c:v>
                </c:pt>
                <c:pt idx="11">
                  <c:v>WOOD</c:v>
                </c:pt>
                <c:pt idx="12">
                  <c:v>STRAW</c:v>
                </c:pt>
                <c:pt idx="13">
                  <c:v>WOODCHIPS</c:v>
                </c:pt>
                <c:pt idx="14">
                  <c:v>SHALE</c:v>
                </c:pt>
                <c:pt idx="15">
                  <c:v>HEAT</c:v>
                </c:pt>
                <c:pt idx="16">
                  <c:v>LPG</c:v>
                </c:pt>
                <c:pt idx="17">
                  <c:v>PEAT</c:v>
                </c:pt>
                <c:pt idx="18">
                  <c:v>RECYCLEDWOOD</c:v>
                </c:pt>
                <c:pt idx="19">
                  <c:v>OTHERGAS</c:v>
                </c:pt>
                <c:pt idx="20">
                  <c:v>RETORTGAS</c:v>
                </c:pt>
                <c:pt idx="21">
                  <c:v>NATGAS_EXETS</c:v>
                </c:pt>
              </c:strCache>
            </c:strRef>
          </c:cat>
          <c:val>
            <c:numRef>
              <c:f>'Fuel CON - Time'!$H$5:$H$27</c:f>
              <c:numCache>
                <c:formatCode>General</c:formatCode>
                <c:ptCount val="22"/>
                <c:pt idx="0">
                  <c:v>20753816.371199992</c:v>
                </c:pt>
                <c:pt idx="1">
                  <c:v>1639397612.5420084</c:v>
                </c:pt>
                <c:pt idx="3">
                  <c:v>63545040</c:v>
                </c:pt>
                <c:pt idx="4">
                  <c:v>349641342.39001739</c:v>
                </c:pt>
                <c:pt idx="5">
                  <c:v>147272903.99999994</c:v>
                </c:pt>
                <c:pt idx="8">
                  <c:v>19062826.55901638</c:v>
                </c:pt>
                <c:pt idx="10">
                  <c:v>898393745.45454514</c:v>
                </c:pt>
              </c:numCache>
            </c:numRef>
          </c:val>
          <c:extLst>
            <c:ext xmlns:c16="http://schemas.microsoft.com/office/drawing/2014/chart" uri="{C3380CC4-5D6E-409C-BE32-E72D297353CC}">
              <c16:uniqueId val="{00000001-0B34-4001-84CD-AA886802C9FF}"/>
            </c:ext>
          </c:extLst>
        </c:ser>
        <c:ser>
          <c:idx val="6"/>
          <c:order val="6"/>
          <c:tx>
            <c:strRef>
              <c:f>'Fuel CON - Time'!$I$3:$I$4</c:f>
              <c:strCache>
                <c:ptCount val="1"/>
                <c:pt idx="0">
                  <c:v>ESTONIA</c:v>
                </c:pt>
              </c:strCache>
            </c:strRef>
          </c:tx>
          <c:spPr>
            <a:solidFill>
              <a:schemeClr val="accent1">
                <a:lumMod val="60000"/>
              </a:schemeClr>
            </a:solidFill>
            <a:ln>
              <a:noFill/>
            </a:ln>
            <a:effectLst/>
          </c:spPr>
          <c:invertIfNegative val="0"/>
          <c:cat>
            <c:strRef>
              <c:f>'Fuel CON - Time'!$B$5:$B$27</c:f>
              <c:strCache>
                <c:ptCount val="22"/>
                <c:pt idx="0">
                  <c:v>SUN</c:v>
                </c:pt>
                <c:pt idx="1">
                  <c:v>COAL</c:v>
                </c:pt>
                <c:pt idx="2">
                  <c:v>ELECTRIC</c:v>
                </c:pt>
                <c:pt idx="3">
                  <c:v>MUNIWASTE</c:v>
                </c:pt>
                <c:pt idx="4">
                  <c:v>NATGAS</c:v>
                </c:pt>
                <c:pt idx="5">
                  <c:v>WIND</c:v>
                </c:pt>
                <c:pt idx="6">
                  <c:v>WOODWASTE</c:v>
                </c:pt>
                <c:pt idx="7">
                  <c:v>WASTEHEAT</c:v>
                </c:pt>
                <c:pt idx="8">
                  <c:v>WATER</c:v>
                </c:pt>
                <c:pt idx="9">
                  <c:v>LIGNITE</c:v>
                </c:pt>
                <c:pt idx="10">
                  <c:v>NUCLEAR</c:v>
                </c:pt>
                <c:pt idx="11">
                  <c:v>WOOD</c:v>
                </c:pt>
                <c:pt idx="12">
                  <c:v>STRAW</c:v>
                </c:pt>
                <c:pt idx="13">
                  <c:v>WOODCHIPS</c:v>
                </c:pt>
                <c:pt idx="14">
                  <c:v>SHALE</c:v>
                </c:pt>
                <c:pt idx="15">
                  <c:v>HEAT</c:v>
                </c:pt>
                <c:pt idx="16">
                  <c:v>LPG</c:v>
                </c:pt>
                <c:pt idx="17">
                  <c:v>PEAT</c:v>
                </c:pt>
                <c:pt idx="18">
                  <c:v>RECYCLEDWOOD</c:v>
                </c:pt>
                <c:pt idx="19">
                  <c:v>OTHERGAS</c:v>
                </c:pt>
                <c:pt idx="20">
                  <c:v>RETORTGAS</c:v>
                </c:pt>
                <c:pt idx="21">
                  <c:v>NATGAS_EXETS</c:v>
                </c:pt>
              </c:strCache>
            </c:strRef>
          </c:cat>
          <c:val>
            <c:numRef>
              <c:f>'Fuel CON - Time'!$I$5:$I$27</c:f>
              <c:numCache>
                <c:formatCode>General</c:formatCode>
                <c:ptCount val="22"/>
                <c:pt idx="3">
                  <c:v>1787040</c:v>
                </c:pt>
                <c:pt idx="4">
                  <c:v>4082162.9267654521</c:v>
                </c:pt>
                <c:pt idx="5">
                  <c:v>2810199.5999999996</c:v>
                </c:pt>
                <c:pt idx="6">
                  <c:v>2752577.2260178742</c:v>
                </c:pt>
                <c:pt idx="8">
                  <c:v>108000</c:v>
                </c:pt>
                <c:pt idx="11">
                  <c:v>9902612.7091059089</c:v>
                </c:pt>
                <c:pt idx="14">
                  <c:v>49488513.850222893</c:v>
                </c:pt>
                <c:pt idx="20">
                  <c:v>11292725.95041321</c:v>
                </c:pt>
              </c:numCache>
            </c:numRef>
          </c:val>
          <c:extLst>
            <c:ext xmlns:c16="http://schemas.microsoft.com/office/drawing/2014/chart" uri="{C3380CC4-5D6E-409C-BE32-E72D297353CC}">
              <c16:uniqueId val="{00000002-0B34-4001-84CD-AA886802C9FF}"/>
            </c:ext>
          </c:extLst>
        </c:ser>
        <c:ser>
          <c:idx val="7"/>
          <c:order val="7"/>
          <c:tx>
            <c:strRef>
              <c:f>'Fuel CON - Time'!$J$3:$J$4</c:f>
              <c:strCache>
                <c:ptCount val="1"/>
                <c:pt idx="0">
                  <c:v>LATVIA</c:v>
                </c:pt>
              </c:strCache>
            </c:strRef>
          </c:tx>
          <c:spPr>
            <a:solidFill>
              <a:schemeClr val="accent2">
                <a:lumMod val="60000"/>
              </a:schemeClr>
            </a:solidFill>
            <a:ln>
              <a:noFill/>
            </a:ln>
            <a:effectLst/>
          </c:spPr>
          <c:invertIfNegative val="0"/>
          <c:cat>
            <c:strRef>
              <c:f>'Fuel CON - Time'!$B$5:$B$27</c:f>
              <c:strCache>
                <c:ptCount val="22"/>
                <c:pt idx="0">
                  <c:v>SUN</c:v>
                </c:pt>
                <c:pt idx="1">
                  <c:v>COAL</c:v>
                </c:pt>
                <c:pt idx="2">
                  <c:v>ELECTRIC</c:v>
                </c:pt>
                <c:pt idx="3">
                  <c:v>MUNIWASTE</c:v>
                </c:pt>
                <c:pt idx="4">
                  <c:v>NATGAS</c:v>
                </c:pt>
                <c:pt idx="5">
                  <c:v>WIND</c:v>
                </c:pt>
                <c:pt idx="6">
                  <c:v>WOODWASTE</c:v>
                </c:pt>
                <c:pt idx="7">
                  <c:v>WASTEHEAT</c:v>
                </c:pt>
                <c:pt idx="8">
                  <c:v>WATER</c:v>
                </c:pt>
                <c:pt idx="9">
                  <c:v>LIGNITE</c:v>
                </c:pt>
                <c:pt idx="10">
                  <c:v>NUCLEAR</c:v>
                </c:pt>
                <c:pt idx="11">
                  <c:v>WOOD</c:v>
                </c:pt>
                <c:pt idx="12">
                  <c:v>STRAW</c:v>
                </c:pt>
                <c:pt idx="13">
                  <c:v>WOODCHIPS</c:v>
                </c:pt>
                <c:pt idx="14">
                  <c:v>SHALE</c:v>
                </c:pt>
                <c:pt idx="15">
                  <c:v>HEAT</c:v>
                </c:pt>
                <c:pt idx="16">
                  <c:v>LPG</c:v>
                </c:pt>
                <c:pt idx="17">
                  <c:v>PEAT</c:v>
                </c:pt>
                <c:pt idx="18">
                  <c:v>RECYCLEDWOOD</c:v>
                </c:pt>
                <c:pt idx="19">
                  <c:v>OTHERGAS</c:v>
                </c:pt>
                <c:pt idx="20">
                  <c:v>RETORTGAS</c:v>
                </c:pt>
                <c:pt idx="21">
                  <c:v>NATGAS_EXETS</c:v>
                </c:pt>
              </c:strCache>
            </c:strRef>
          </c:cat>
          <c:val>
            <c:numRef>
              <c:f>'Fuel CON - Time'!$J$5:$J$27</c:f>
              <c:numCache>
                <c:formatCode>General</c:formatCode>
                <c:ptCount val="22"/>
                <c:pt idx="4">
                  <c:v>11663425.247568818</c:v>
                </c:pt>
                <c:pt idx="5">
                  <c:v>418391.99999999988</c:v>
                </c:pt>
                <c:pt idx="8">
                  <c:v>1447.2</c:v>
                </c:pt>
              </c:numCache>
            </c:numRef>
          </c:val>
          <c:extLst>
            <c:ext xmlns:c16="http://schemas.microsoft.com/office/drawing/2014/chart" uri="{C3380CC4-5D6E-409C-BE32-E72D297353CC}">
              <c16:uniqueId val="{00000003-0B34-4001-84CD-AA886802C9FF}"/>
            </c:ext>
          </c:extLst>
        </c:ser>
        <c:ser>
          <c:idx val="8"/>
          <c:order val="8"/>
          <c:tx>
            <c:strRef>
              <c:f>'Fuel CON - Time'!$K$3:$K$4</c:f>
              <c:strCache>
                <c:ptCount val="1"/>
                <c:pt idx="0">
                  <c:v>LITHUANIA</c:v>
                </c:pt>
              </c:strCache>
            </c:strRef>
          </c:tx>
          <c:spPr>
            <a:solidFill>
              <a:schemeClr val="accent3">
                <a:lumMod val="60000"/>
              </a:schemeClr>
            </a:solidFill>
            <a:ln>
              <a:noFill/>
            </a:ln>
            <a:effectLst/>
          </c:spPr>
          <c:invertIfNegative val="0"/>
          <c:cat>
            <c:strRef>
              <c:f>'Fuel CON - Time'!$B$5:$B$27</c:f>
              <c:strCache>
                <c:ptCount val="22"/>
                <c:pt idx="0">
                  <c:v>SUN</c:v>
                </c:pt>
                <c:pt idx="1">
                  <c:v>COAL</c:v>
                </c:pt>
                <c:pt idx="2">
                  <c:v>ELECTRIC</c:v>
                </c:pt>
                <c:pt idx="3">
                  <c:v>MUNIWASTE</c:v>
                </c:pt>
                <c:pt idx="4">
                  <c:v>NATGAS</c:v>
                </c:pt>
                <c:pt idx="5">
                  <c:v>WIND</c:v>
                </c:pt>
                <c:pt idx="6">
                  <c:v>WOODWASTE</c:v>
                </c:pt>
                <c:pt idx="7">
                  <c:v>WASTEHEAT</c:v>
                </c:pt>
                <c:pt idx="8">
                  <c:v>WATER</c:v>
                </c:pt>
                <c:pt idx="9">
                  <c:v>LIGNITE</c:v>
                </c:pt>
                <c:pt idx="10">
                  <c:v>NUCLEAR</c:v>
                </c:pt>
                <c:pt idx="11">
                  <c:v>WOOD</c:v>
                </c:pt>
                <c:pt idx="12">
                  <c:v>STRAW</c:v>
                </c:pt>
                <c:pt idx="13">
                  <c:v>WOODCHIPS</c:v>
                </c:pt>
                <c:pt idx="14">
                  <c:v>SHALE</c:v>
                </c:pt>
                <c:pt idx="15">
                  <c:v>HEAT</c:v>
                </c:pt>
                <c:pt idx="16">
                  <c:v>LPG</c:v>
                </c:pt>
                <c:pt idx="17">
                  <c:v>PEAT</c:v>
                </c:pt>
                <c:pt idx="18">
                  <c:v>RECYCLEDWOOD</c:v>
                </c:pt>
                <c:pt idx="19">
                  <c:v>OTHERGAS</c:v>
                </c:pt>
                <c:pt idx="20">
                  <c:v>RETORTGAS</c:v>
                </c:pt>
                <c:pt idx="21">
                  <c:v>NATGAS_EXETS</c:v>
                </c:pt>
              </c:strCache>
            </c:strRef>
          </c:cat>
          <c:val>
            <c:numRef>
              <c:f>'Fuel CON - Time'!$K$5:$K$27</c:f>
              <c:numCache>
                <c:formatCode>General</c:formatCode>
                <c:ptCount val="22"/>
                <c:pt idx="0">
                  <c:v>316189.4775266478</c:v>
                </c:pt>
                <c:pt idx="3">
                  <c:v>12864539.625923064</c:v>
                </c:pt>
                <c:pt idx="4">
                  <c:v>464162.88435947639</c:v>
                </c:pt>
                <c:pt idx="5">
                  <c:v>3549358.8</c:v>
                </c:pt>
                <c:pt idx="6">
                  <c:v>1294635.789473684</c:v>
                </c:pt>
                <c:pt idx="8">
                  <c:v>2376864</c:v>
                </c:pt>
                <c:pt idx="15">
                  <c:v>2689835.2941176402</c:v>
                </c:pt>
              </c:numCache>
            </c:numRef>
          </c:val>
          <c:extLst>
            <c:ext xmlns:c16="http://schemas.microsoft.com/office/drawing/2014/chart" uri="{C3380CC4-5D6E-409C-BE32-E72D297353CC}">
              <c16:uniqueId val="{00000004-0B34-4001-84CD-AA886802C9FF}"/>
            </c:ext>
          </c:extLst>
        </c:ser>
        <c:ser>
          <c:idx val="9"/>
          <c:order val="9"/>
          <c:tx>
            <c:strRef>
              <c:f>'Fuel CON - Time'!$L$3:$L$4</c:f>
              <c:strCache>
                <c:ptCount val="1"/>
                <c:pt idx="0">
                  <c:v>POLAND</c:v>
                </c:pt>
              </c:strCache>
            </c:strRef>
          </c:tx>
          <c:spPr>
            <a:solidFill>
              <a:schemeClr val="accent4">
                <a:lumMod val="60000"/>
              </a:schemeClr>
            </a:solidFill>
            <a:ln>
              <a:noFill/>
            </a:ln>
            <a:effectLst/>
          </c:spPr>
          <c:invertIfNegative val="0"/>
          <c:cat>
            <c:strRef>
              <c:f>'Fuel CON - Time'!$B$5:$B$27</c:f>
              <c:strCache>
                <c:ptCount val="22"/>
                <c:pt idx="0">
                  <c:v>SUN</c:v>
                </c:pt>
                <c:pt idx="1">
                  <c:v>COAL</c:v>
                </c:pt>
                <c:pt idx="2">
                  <c:v>ELECTRIC</c:v>
                </c:pt>
                <c:pt idx="3">
                  <c:v>MUNIWASTE</c:v>
                </c:pt>
                <c:pt idx="4">
                  <c:v>NATGAS</c:v>
                </c:pt>
                <c:pt idx="5">
                  <c:v>WIND</c:v>
                </c:pt>
                <c:pt idx="6">
                  <c:v>WOODWASTE</c:v>
                </c:pt>
                <c:pt idx="7">
                  <c:v>WASTEHEAT</c:v>
                </c:pt>
                <c:pt idx="8">
                  <c:v>WATER</c:v>
                </c:pt>
                <c:pt idx="9">
                  <c:v>LIGNITE</c:v>
                </c:pt>
                <c:pt idx="10">
                  <c:v>NUCLEAR</c:v>
                </c:pt>
                <c:pt idx="11">
                  <c:v>WOOD</c:v>
                </c:pt>
                <c:pt idx="12">
                  <c:v>STRAW</c:v>
                </c:pt>
                <c:pt idx="13">
                  <c:v>WOODCHIPS</c:v>
                </c:pt>
                <c:pt idx="14">
                  <c:v>SHALE</c:v>
                </c:pt>
                <c:pt idx="15">
                  <c:v>HEAT</c:v>
                </c:pt>
                <c:pt idx="16">
                  <c:v>LPG</c:v>
                </c:pt>
                <c:pt idx="17">
                  <c:v>PEAT</c:v>
                </c:pt>
                <c:pt idx="18">
                  <c:v>RECYCLEDWOOD</c:v>
                </c:pt>
                <c:pt idx="19">
                  <c:v>OTHERGAS</c:v>
                </c:pt>
                <c:pt idx="20">
                  <c:v>RETORTGAS</c:v>
                </c:pt>
                <c:pt idx="21">
                  <c:v>NATGAS_EXETS</c:v>
                </c:pt>
              </c:strCache>
            </c:strRef>
          </c:cat>
          <c:val>
            <c:numRef>
              <c:f>'Fuel CON - Time'!$L$5:$L$27</c:f>
              <c:numCache>
                <c:formatCode>General</c:formatCode>
                <c:ptCount val="22"/>
                <c:pt idx="0">
                  <c:v>3952.3684690830964</c:v>
                </c:pt>
                <c:pt idx="1">
                  <c:v>982574935.88574433</c:v>
                </c:pt>
                <c:pt idx="3">
                  <c:v>7148160</c:v>
                </c:pt>
                <c:pt idx="5">
                  <c:v>24935688.000000004</c:v>
                </c:pt>
                <c:pt idx="8">
                  <c:v>8319690</c:v>
                </c:pt>
                <c:pt idx="9">
                  <c:v>482322881.13642436</c:v>
                </c:pt>
              </c:numCache>
            </c:numRef>
          </c:val>
          <c:extLst>
            <c:ext xmlns:c16="http://schemas.microsoft.com/office/drawing/2014/chart" uri="{C3380CC4-5D6E-409C-BE32-E72D297353CC}">
              <c16:uniqueId val="{00000005-0B34-4001-84CD-AA886802C9FF}"/>
            </c:ext>
          </c:extLst>
        </c:ser>
        <c:ser>
          <c:idx val="10"/>
          <c:order val="10"/>
          <c:tx>
            <c:strRef>
              <c:f>'Fuel CON - Time'!$M$3:$M$4</c:f>
              <c:strCache>
                <c:ptCount val="1"/>
                <c:pt idx="0">
                  <c:v>FINLAND</c:v>
                </c:pt>
              </c:strCache>
            </c:strRef>
          </c:tx>
          <c:spPr>
            <a:solidFill>
              <a:schemeClr val="accent5">
                <a:lumMod val="60000"/>
              </a:schemeClr>
            </a:solidFill>
            <a:ln>
              <a:noFill/>
            </a:ln>
            <a:effectLst/>
          </c:spPr>
          <c:invertIfNegative val="0"/>
          <c:cat>
            <c:strRef>
              <c:f>'Fuel CON - Time'!$B$5:$B$27</c:f>
              <c:strCache>
                <c:ptCount val="22"/>
                <c:pt idx="0">
                  <c:v>SUN</c:v>
                </c:pt>
                <c:pt idx="1">
                  <c:v>COAL</c:v>
                </c:pt>
                <c:pt idx="2">
                  <c:v>ELECTRIC</c:v>
                </c:pt>
                <c:pt idx="3">
                  <c:v>MUNIWASTE</c:v>
                </c:pt>
                <c:pt idx="4">
                  <c:v>NATGAS</c:v>
                </c:pt>
                <c:pt idx="5">
                  <c:v>WIND</c:v>
                </c:pt>
                <c:pt idx="6">
                  <c:v>WOODWASTE</c:v>
                </c:pt>
                <c:pt idx="7">
                  <c:v>WASTEHEAT</c:v>
                </c:pt>
                <c:pt idx="8">
                  <c:v>WATER</c:v>
                </c:pt>
                <c:pt idx="9">
                  <c:v>LIGNITE</c:v>
                </c:pt>
                <c:pt idx="10">
                  <c:v>NUCLEAR</c:v>
                </c:pt>
                <c:pt idx="11">
                  <c:v>WOOD</c:v>
                </c:pt>
                <c:pt idx="12">
                  <c:v>STRAW</c:v>
                </c:pt>
                <c:pt idx="13">
                  <c:v>WOODCHIPS</c:v>
                </c:pt>
                <c:pt idx="14">
                  <c:v>SHALE</c:v>
                </c:pt>
                <c:pt idx="15">
                  <c:v>HEAT</c:v>
                </c:pt>
                <c:pt idx="16">
                  <c:v>LPG</c:v>
                </c:pt>
                <c:pt idx="17">
                  <c:v>PEAT</c:v>
                </c:pt>
                <c:pt idx="18">
                  <c:v>RECYCLEDWOOD</c:v>
                </c:pt>
                <c:pt idx="19">
                  <c:v>OTHERGAS</c:v>
                </c:pt>
                <c:pt idx="20">
                  <c:v>RETORTGAS</c:v>
                </c:pt>
                <c:pt idx="21">
                  <c:v>NATGAS_EXETS</c:v>
                </c:pt>
              </c:strCache>
            </c:strRef>
          </c:cat>
          <c:val>
            <c:numRef>
              <c:f>'Fuel CON - Time'!$M$5:$M$27</c:f>
              <c:numCache>
                <c:formatCode>General</c:formatCode>
                <c:ptCount val="22"/>
                <c:pt idx="1">
                  <c:v>108853419.06489219</c:v>
                </c:pt>
                <c:pt idx="4">
                  <c:v>69401396.027593866</c:v>
                </c:pt>
                <c:pt idx="5">
                  <c:v>10684720.565999996</c:v>
                </c:pt>
                <c:pt idx="6">
                  <c:v>31975587.00178257</c:v>
                </c:pt>
                <c:pt idx="7">
                  <c:v>6942179.6703296425</c:v>
                </c:pt>
                <c:pt idx="8">
                  <c:v>61798395.033010572</c:v>
                </c:pt>
                <c:pt idx="10">
                  <c:v>261272480.2560001</c:v>
                </c:pt>
                <c:pt idx="13">
                  <c:v>15943352.783511981</c:v>
                </c:pt>
                <c:pt idx="17">
                  <c:v>122102907.46197744</c:v>
                </c:pt>
                <c:pt idx="21">
                  <c:v>6378595.1358784111</c:v>
                </c:pt>
              </c:numCache>
            </c:numRef>
          </c:val>
          <c:extLst>
            <c:ext xmlns:c16="http://schemas.microsoft.com/office/drawing/2014/chart" uri="{C3380CC4-5D6E-409C-BE32-E72D297353CC}">
              <c16:uniqueId val="{00000000-0876-49FE-905B-231D9A0EA93B}"/>
            </c:ext>
          </c:extLst>
        </c:ser>
        <c:dLbls>
          <c:showLegendKey val="0"/>
          <c:showVal val="0"/>
          <c:showCatName val="0"/>
          <c:showSerName val="0"/>
          <c:showPercent val="0"/>
          <c:showBubbleSize val="0"/>
        </c:dLbls>
        <c:gapWidth val="219"/>
        <c:overlap val="-27"/>
        <c:axId val="269918288"/>
        <c:axId val="269918680"/>
      </c:barChart>
      <c:catAx>
        <c:axId val="269918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8680"/>
        <c:crosses val="autoZero"/>
        <c:auto val="1"/>
        <c:lblAlgn val="ctr"/>
        <c:lblOffset val="100"/>
        <c:noMultiLvlLbl val="0"/>
      </c:catAx>
      <c:valAx>
        <c:axId val="269918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8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tool.xlsm]Fuel CON - Annual!PivotTable1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
        <c:idx val="110"/>
        <c:spPr>
          <a:solidFill>
            <a:schemeClr val="accent1"/>
          </a:solidFill>
          <a:ln>
            <a:noFill/>
          </a:ln>
          <a:effectLst/>
        </c:spPr>
        <c:marker>
          <c:symbol val="none"/>
        </c:marker>
      </c:pivotFmt>
      <c:pivotFmt>
        <c:idx val="111"/>
        <c:spPr>
          <a:solidFill>
            <a:schemeClr val="accent1"/>
          </a:solidFill>
          <a:ln>
            <a:noFill/>
          </a:ln>
          <a:effectLst/>
        </c:spPr>
        <c:marker>
          <c:symbol val="none"/>
        </c:marker>
      </c:pivotFmt>
      <c:pivotFmt>
        <c:idx val="112"/>
        <c:spPr>
          <a:solidFill>
            <a:schemeClr val="accent1"/>
          </a:solidFill>
          <a:ln>
            <a:noFill/>
          </a:ln>
          <a:effectLst/>
        </c:spPr>
        <c:marker>
          <c:symbol val="none"/>
        </c:marker>
      </c:pivotFmt>
      <c:pivotFmt>
        <c:idx val="113"/>
        <c:spPr>
          <a:solidFill>
            <a:schemeClr val="accent1"/>
          </a:solidFill>
          <a:ln>
            <a:noFill/>
          </a:ln>
          <a:effectLst/>
        </c:spPr>
        <c:marker>
          <c:symbol val="none"/>
        </c:marker>
      </c:pivotFmt>
      <c:pivotFmt>
        <c:idx val="114"/>
        <c:spPr>
          <a:solidFill>
            <a:schemeClr val="accent1"/>
          </a:solidFill>
          <a:ln>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a:noFill/>
          </a:ln>
          <a:effectLst/>
        </c:spPr>
        <c:marker>
          <c:symbol val="none"/>
        </c:marker>
      </c:pivotFmt>
      <c:pivotFmt>
        <c:idx val="124"/>
        <c:spPr>
          <a:solidFill>
            <a:schemeClr val="accent1"/>
          </a:solidFill>
          <a:ln>
            <a:noFill/>
          </a:ln>
          <a:effectLst/>
        </c:spPr>
        <c:marker>
          <c:symbol val="none"/>
        </c:marker>
      </c:pivotFmt>
      <c:pivotFmt>
        <c:idx val="125"/>
        <c:spPr>
          <a:solidFill>
            <a:schemeClr val="accent1"/>
          </a:solidFill>
          <a:ln>
            <a:noFill/>
          </a:ln>
          <a:effectLst/>
        </c:spPr>
        <c:marker>
          <c:symbol val="none"/>
        </c:marker>
      </c:pivotFmt>
      <c:pivotFmt>
        <c:idx val="126"/>
        <c:spPr>
          <a:solidFill>
            <a:schemeClr val="accent1"/>
          </a:solidFill>
          <a:ln>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a:noFill/>
          </a:ln>
          <a:effectLst/>
        </c:spPr>
        <c:marker>
          <c:symbol val="none"/>
        </c:marker>
      </c:pivotFmt>
      <c:pivotFmt>
        <c:idx val="144"/>
        <c:spPr>
          <a:solidFill>
            <a:schemeClr val="accent1"/>
          </a:solidFill>
          <a:ln>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a:noFill/>
          </a:ln>
          <a:effectLst/>
        </c:spPr>
        <c:marker>
          <c:symbol val="none"/>
        </c:marker>
      </c:pivotFmt>
      <c:pivotFmt>
        <c:idx val="147"/>
        <c:spPr>
          <a:solidFill>
            <a:schemeClr val="accent1"/>
          </a:solidFill>
          <a:ln>
            <a:noFill/>
          </a:ln>
          <a:effectLst/>
        </c:spPr>
        <c:marker>
          <c:symbol val="none"/>
        </c:marker>
      </c:pivotFmt>
    </c:pivotFmts>
    <c:plotArea>
      <c:layout/>
      <c:barChart>
        <c:barDir val="col"/>
        <c:grouping val="stacked"/>
        <c:varyColors val="0"/>
        <c:ser>
          <c:idx val="0"/>
          <c:order val="0"/>
          <c:tx>
            <c:strRef>
              <c:f>'Fuel CON - Annual'!$C$3:$C$4</c:f>
              <c:strCache>
                <c:ptCount val="1"/>
                <c:pt idx="0">
                  <c:v>SUN</c:v>
                </c:pt>
              </c:strCache>
            </c:strRef>
          </c:tx>
          <c:spPr>
            <a:solidFill>
              <a:schemeClr val="accent1"/>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Annual'!$C$5:$C$16</c:f>
              <c:numCache>
                <c:formatCode>General</c:formatCode>
                <c:ptCount val="11"/>
                <c:pt idx="0">
                  <c:v>0.86137220129927305</c:v>
                </c:pt>
                <c:pt idx="1">
                  <c:v>45.458540943829099</c:v>
                </c:pt>
                <c:pt idx="4">
                  <c:v>0.83486304</c:v>
                </c:pt>
                <c:pt idx="5">
                  <c:v>5.7649489919999999</c:v>
                </c:pt>
                <c:pt idx="8">
                  <c:v>8.7830410424068805E-2</c:v>
                </c:pt>
                <c:pt idx="9">
                  <c:v>1.09788013030086E-3</c:v>
                </c:pt>
              </c:numCache>
            </c:numRef>
          </c:val>
          <c:extLst>
            <c:ext xmlns:c16="http://schemas.microsoft.com/office/drawing/2014/chart" uri="{C3380CC4-5D6E-409C-BE32-E72D297353CC}">
              <c16:uniqueId val="{00000000-9575-4B09-8D6E-5D253FEFC951}"/>
            </c:ext>
          </c:extLst>
        </c:ser>
        <c:ser>
          <c:idx val="1"/>
          <c:order val="1"/>
          <c:tx>
            <c:strRef>
              <c:f>'Fuel CON - Annual'!$D$3:$D$4</c:f>
              <c:strCache>
                <c:ptCount val="1"/>
                <c:pt idx="0">
                  <c:v>COAL</c:v>
                </c:pt>
              </c:strCache>
            </c:strRef>
          </c:tx>
          <c:spPr>
            <a:solidFill>
              <a:schemeClr val="accent2"/>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Annual'!$D$5:$D$16</c:f>
              <c:numCache>
                <c:formatCode>General</c:formatCode>
                <c:ptCount val="11"/>
                <c:pt idx="0">
                  <c:v>52.857990605277784</c:v>
                </c:pt>
                <c:pt idx="1">
                  <c:v>301.4913403687338</c:v>
                </c:pt>
                <c:pt idx="3">
                  <c:v>2.8406266692529001</c:v>
                </c:pt>
                <c:pt idx="4">
                  <c:v>103.798119831805</c:v>
                </c:pt>
                <c:pt idx="5">
                  <c:v>455.38822570611296</c:v>
                </c:pt>
                <c:pt idx="9">
                  <c:v>272.93748219048445</c:v>
                </c:pt>
                <c:pt idx="10">
                  <c:v>30.237060851358798</c:v>
                </c:pt>
              </c:numCache>
            </c:numRef>
          </c:val>
          <c:extLst>
            <c:ext xmlns:c16="http://schemas.microsoft.com/office/drawing/2014/chart" uri="{C3380CC4-5D6E-409C-BE32-E72D297353CC}">
              <c16:uniqueId val="{00000001-9575-4B09-8D6E-5D253FEFC951}"/>
            </c:ext>
          </c:extLst>
        </c:ser>
        <c:ser>
          <c:idx val="2"/>
          <c:order val="2"/>
          <c:tx>
            <c:strRef>
              <c:f>'Fuel CON - Annual'!$E$3:$E$4</c:f>
              <c:strCache>
                <c:ptCount val="1"/>
                <c:pt idx="0">
                  <c:v>ELECTRIC</c:v>
                </c:pt>
              </c:strCache>
            </c:strRef>
          </c:tx>
          <c:spPr>
            <a:solidFill>
              <a:schemeClr val="accent3"/>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Annual'!$E$5:$E$16</c:f>
              <c:numCache>
                <c:formatCode>General</c:formatCode>
                <c:ptCount val="11"/>
                <c:pt idx="1">
                  <c:v>6.1438496795039397</c:v>
                </c:pt>
              </c:numCache>
            </c:numRef>
          </c:val>
          <c:extLst>
            <c:ext xmlns:c16="http://schemas.microsoft.com/office/drawing/2014/chart" uri="{C3380CC4-5D6E-409C-BE32-E72D297353CC}">
              <c16:uniqueId val="{00000002-9575-4B09-8D6E-5D253FEFC951}"/>
            </c:ext>
          </c:extLst>
        </c:ser>
        <c:ser>
          <c:idx val="3"/>
          <c:order val="3"/>
          <c:tx>
            <c:strRef>
              <c:f>'Fuel CON - Annual'!$F$3:$F$4</c:f>
              <c:strCache>
                <c:ptCount val="1"/>
                <c:pt idx="0">
                  <c:v>WIND</c:v>
                </c:pt>
              </c:strCache>
            </c:strRef>
          </c:tx>
          <c:spPr>
            <a:solidFill>
              <a:schemeClr val="accent4"/>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Annual'!$F$5:$F$16</c:f>
              <c:numCache>
                <c:formatCode>General</c:formatCode>
                <c:ptCount val="11"/>
                <c:pt idx="0">
                  <c:v>17.9143997560003</c:v>
                </c:pt>
                <c:pt idx="1">
                  <c:v>115.62945736</c:v>
                </c:pt>
                <c:pt idx="2">
                  <c:v>3.3228556000000005</c:v>
                </c:pt>
                <c:pt idx="3">
                  <c:v>14.657852</c:v>
                </c:pt>
                <c:pt idx="4">
                  <c:v>7.7591800000000006</c:v>
                </c:pt>
                <c:pt idx="5">
                  <c:v>40.909140000000001</c:v>
                </c:pt>
                <c:pt idx="6">
                  <c:v>0.78061100000000005</c:v>
                </c:pt>
                <c:pt idx="7">
                  <c:v>0.11622</c:v>
                </c:pt>
                <c:pt idx="8">
                  <c:v>0.98593299999999995</c:v>
                </c:pt>
                <c:pt idx="9">
                  <c:v>6.9265800000000004</c:v>
                </c:pt>
                <c:pt idx="10">
                  <c:v>2.967977935</c:v>
                </c:pt>
              </c:numCache>
            </c:numRef>
          </c:val>
          <c:extLst>
            <c:ext xmlns:c16="http://schemas.microsoft.com/office/drawing/2014/chart" uri="{C3380CC4-5D6E-409C-BE32-E72D297353CC}">
              <c16:uniqueId val="{00000003-9575-4B09-8D6E-5D253FEFC951}"/>
            </c:ext>
          </c:extLst>
        </c:ser>
        <c:ser>
          <c:idx val="4"/>
          <c:order val="4"/>
          <c:tx>
            <c:strRef>
              <c:f>'Fuel CON - Annual'!$G$3:$G$4</c:f>
              <c:strCache>
                <c:ptCount val="1"/>
                <c:pt idx="0">
                  <c:v>NATGAS</c:v>
                </c:pt>
              </c:strCache>
            </c:strRef>
          </c:tx>
          <c:spPr>
            <a:solidFill>
              <a:schemeClr val="accent5"/>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Annual'!$G$5:$G$16</c:f>
              <c:numCache>
                <c:formatCode>General</c:formatCode>
                <c:ptCount val="11"/>
                <c:pt idx="0">
                  <c:v>0.77009047834935207</c:v>
                </c:pt>
                <c:pt idx="1">
                  <c:v>2.4390747312314049</c:v>
                </c:pt>
                <c:pt idx="3">
                  <c:v>0.63662900382660581</c:v>
                </c:pt>
                <c:pt idx="4">
                  <c:v>0.67152240018550502</c:v>
                </c:pt>
                <c:pt idx="5">
                  <c:v>97.12259510833799</c:v>
                </c:pt>
                <c:pt idx="6">
                  <c:v>1.1339341463237369</c:v>
                </c:pt>
                <c:pt idx="7">
                  <c:v>3.2398403465468899</c:v>
                </c:pt>
                <c:pt idx="8">
                  <c:v>0.128934134544299</c:v>
                </c:pt>
                <c:pt idx="10">
                  <c:v>19.278165563220504</c:v>
                </c:pt>
              </c:numCache>
            </c:numRef>
          </c:val>
          <c:extLst>
            <c:ext xmlns:c16="http://schemas.microsoft.com/office/drawing/2014/chart" uri="{C3380CC4-5D6E-409C-BE32-E72D297353CC}">
              <c16:uniqueId val="{00000004-9575-4B09-8D6E-5D253FEFC951}"/>
            </c:ext>
          </c:extLst>
        </c:ser>
        <c:ser>
          <c:idx val="5"/>
          <c:order val="5"/>
          <c:tx>
            <c:strRef>
              <c:f>'Fuel CON - Annual'!$H$3:$H$4</c:f>
              <c:strCache>
                <c:ptCount val="1"/>
                <c:pt idx="0">
                  <c:v>MUNIWASTE</c:v>
                </c:pt>
              </c:strCache>
            </c:strRef>
          </c:tx>
          <c:spPr>
            <a:solidFill>
              <a:schemeClr val="accent6"/>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Annual'!$H$5:$H$16</c:f>
              <c:numCache>
                <c:formatCode>General</c:formatCode>
                <c:ptCount val="11"/>
                <c:pt idx="0">
                  <c:v>6.8767744260031662</c:v>
                </c:pt>
                <c:pt idx="1">
                  <c:v>8.0821862440220329</c:v>
                </c:pt>
                <c:pt idx="2">
                  <c:v>2.9683603511832866</c:v>
                </c:pt>
                <c:pt idx="3">
                  <c:v>20.964508297056515</c:v>
                </c:pt>
                <c:pt idx="4">
                  <c:v>14.9796</c:v>
                </c:pt>
                <c:pt idx="5">
                  <c:v>17.651399999999999</c:v>
                </c:pt>
                <c:pt idx="6">
                  <c:v>0.49640000000000001</c:v>
                </c:pt>
                <c:pt idx="8">
                  <c:v>3.5734832294230698</c:v>
                </c:pt>
                <c:pt idx="9">
                  <c:v>1.9856</c:v>
                </c:pt>
              </c:numCache>
            </c:numRef>
          </c:val>
          <c:extLst>
            <c:ext xmlns:c16="http://schemas.microsoft.com/office/drawing/2014/chart" uri="{C3380CC4-5D6E-409C-BE32-E72D297353CC}">
              <c16:uniqueId val="{00000005-9575-4B09-8D6E-5D253FEFC951}"/>
            </c:ext>
          </c:extLst>
        </c:ser>
        <c:ser>
          <c:idx val="6"/>
          <c:order val="6"/>
          <c:tx>
            <c:strRef>
              <c:f>'Fuel CON - Annual'!$I$3:$I$4</c:f>
              <c:strCache>
                <c:ptCount val="1"/>
                <c:pt idx="0">
                  <c:v>WOODWASTE</c:v>
                </c:pt>
              </c:strCache>
            </c:strRef>
          </c:tx>
          <c:spPr>
            <a:solidFill>
              <a:schemeClr val="accent1">
                <a:lumMod val="60000"/>
              </a:schemeClr>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Annual'!$I$5:$I$16</c:f>
              <c:numCache>
                <c:formatCode>General</c:formatCode>
                <c:ptCount val="11"/>
                <c:pt idx="0">
                  <c:v>0.74675252149973204</c:v>
                </c:pt>
                <c:pt idx="2">
                  <c:v>0.65980407397455099</c:v>
                </c:pt>
                <c:pt idx="3">
                  <c:v>38.348016893552355</c:v>
                </c:pt>
                <c:pt idx="6">
                  <c:v>0.76460478500496598</c:v>
                </c:pt>
                <c:pt idx="8">
                  <c:v>0.35962105263157901</c:v>
                </c:pt>
                <c:pt idx="10">
                  <c:v>8.8821075004951453</c:v>
                </c:pt>
              </c:numCache>
            </c:numRef>
          </c:val>
          <c:extLst>
            <c:ext xmlns:c16="http://schemas.microsoft.com/office/drawing/2014/chart" uri="{C3380CC4-5D6E-409C-BE32-E72D297353CC}">
              <c16:uniqueId val="{00000006-9575-4B09-8D6E-5D253FEFC951}"/>
            </c:ext>
          </c:extLst>
        </c:ser>
        <c:ser>
          <c:idx val="7"/>
          <c:order val="7"/>
          <c:tx>
            <c:strRef>
              <c:f>'Fuel CON - Annual'!$J$3:$J$4</c:f>
              <c:strCache>
                <c:ptCount val="1"/>
                <c:pt idx="0">
                  <c:v>WASTEHEAT</c:v>
                </c:pt>
              </c:strCache>
            </c:strRef>
          </c:tx>
          <c:spPr>
            <a:solidFill>
              <a:schemeClr val="accent2">
                <a:lumMod val="60000"/>
              </a:schemeClr>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Annual'!$J$5:$J$16</c:f>
              <c:numCache>
                <c:formatCode>General</c:formatCode>
                <c:ptCount val="11"/>
                <c:pt idx="0">
                  <c:v>2.9823420000000005</c:v>
                </c:pt>
                <c:pt idx="1">
                  <c:v>0.39402480000000001</c:v>
                </c:pt>
                <c:pt idx="2">
                  <c:v>0.18840353579019692</c:v>
                </c:pt>
                <c:pt idx="3">
                  <c:v>5.1277931929321072</c:v>
                </c:pt>
                <c:pt idx="10">
                  <c:v>1.9283832417582336</c:v>
                </c:pt>
              </c:numCache>
            </c:numRef>
          </c:val>
          <c:extLst>
            <c:ext xmlns:c16="http://schemas.microsoft.com/office/drawing/2014/chart" uri="{C3380CC4-5D6E-409C-BE32-E72D297353CC}">
              <c16:uniqueId val="{00000007-9575-4B09-8D6E-5D253FEFC951}"/>
            </c:ext>
          </c:extLst>
        </c:ser>
        <c:ser>
          <c:idx val="8"/>
          <c:order val="8"/>
          <c:tx>
            <c:strRef>
              <c:f>'Fuel CON - Annual'!$K$3:$K$4</c:f>
              <c:strCache>
                <c:ptCount val="1"/>
                <c:pt idx="0">
                  <c:v>WATER</c:v>
                </c:pt>
              </c:strCache>
            </c:strRef>
          </c:tx>
          <c:spPr>
            <a:solidFill>
              <a:schemeClr val="accent3">
                <a:lumMod val="60000"/>
              </a:schemeClr>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Annual'!$K$5:$K$16</c:f>
              <c:numCache>
                <c:formatCode>General</c:formatCode>
                <c:ptCount val="11"/>
                <c:pt idx="0">
                  <c:v>3.3522130756080723E-2</c:v>
                </c:pt>
                <c:pt idx="1">
                  <c:v>43.223641610514896</c:v>
                </c:pt>
                <c:pt idx="2">
                  <c:v>137.49465082913997</c:v>
                </c:pt>
                <c:pt idx="3">
                  <c:v>68.097598734565992</c:v>
                </c:pt>
                <c:pt idx="4">
                  <c:v>0.15959999999999999</c:v>
                </c:pt>
                <c:pt idx="5">
                  <c:v>5.2952295997267704</c:v>
                </c:pt>
                <c:pt idx="6">
                  <c:v>0.03</c:v>
                </c:pt>
                <c:pt idx="7">
                  <c:v>4.0200000000000001E-4</c:v>
                </c:pt>
                <c:pt idx="8">
                  <c:v>0.66023999999999994</c:v>
                </c:pt>
                <c:pt idx="9">
                  <c:v>2.3110249999999999</c:v>
                </c:pt>
                <c:pt idx="10">
                  <c:v>17.166220842502941</c:v>
                </c:pt>
              </c:numCache>
            </c:numRef>
          </c:val>
          <c:extLst>
            <c:ext xmlns:c16="http://schemas.microsoft.com/office/drawing/2014/chart" uri="{C3380CC4-5D6E-409C-BE32-E72D297353CC}">
              <c16:uniqueId val="{00000008-9575-4B09-8D6E-5D253FEFC951}"/>
            </c:ext>
          </c:extLst>
        </c:ser>
        <c:ser>
          <c:idx val="9"/>
          <c:order val="9"/>
          <c:tx>
            <c:strRef>
              <c:f>'Fuel CON - Annual'!$L$3:$L$4</c:f>
              <c:strCache>
                <c:ptCount val="1"/>
                <c:pt idx="0">
                  <c:v>LIGNITE</c:v>
                </c:pt>
              </c:strCache>
            </c:strRef>
          </c:tx>
          <c:spPr>
            <a:solidFill>
              <a:schemeClr val="accent4">
                <a:lumMod val="60000"/>
              </a:schemeClr>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Annual'!$L$5:$L$16</c:f>
              <c:numCache>
                <c:formatCode>General</c:formatCode>
                <c:ptCount val="11"/>
                <c:pt idx="1">
                  <c:v>504.96575437775169</c:v>
                </c:pt>
                <c:pt idx="9">
                  <c:v>133.9785780934512</c:v>
                </c:pt>
              </c:numCache>
            </c:numRef>
          </c:val>
          <c:extLst>
            <c:ext xmlns:c16="http://schemas.microsoft.com/office/drawing/2014/chart" uri="{C3380CC4-5D6E-409C-BE32-E72D297353CC}">
              <c16:uniqueId val="{00000009-9575-4B09-8D6E-5D253FEFC951}"/>
            </c:ext>
          </c:extLst>
        </c:ser>
        <c:ser>
          <c:idx val="10"/>
          <c:order val="10"/>
          <c:tx>
            <c:strRef>
              <c:f>'Fuel CON - Annual'!$M$3:$M$4</c:f>
              <c:strCache>
                <c:ptCount val="1"/>
                <c:pt idx="0">
                  <c:v>NUCLEAR</c:v>
                </c:pt>
              </c:strCache>
            </c:strRef>
          </c:tx>
          <c:spPr>
            <a:solidFill>
              <a:schemeClr val="accent5">
                <a:lumMod val="60000"/>
              </a:schemeClr>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Annual'!$M$5:$M$16</c:f>
              <c:numCache>
                <c:formatCode>General</c:formatCode>
                <c:ptCount val="11"/>
                <c:pt idx="1">
                  <c:v>286.69090909090932</c:v>
                </c:pt>
                <c:pt idx="3">
                  <c:v>182.06996649289101</c:v>
                </c:pt>
                <c:pt idx="4">
                  <c:v>13.670909090909101</c:v>
                </c:pt>
                <c:pt idx="5">
                  <c:v>249.553818181818</c:v>
                </c:pt>
                <c:pt idx="10">
                  <c:v>72.575688959999994</c:v>
                </c:pt>
              </c:numCache>
            </c:numRef>
          </c:val>
          <c:extLst>
            <c:ext xmlns:c16="http://schemas.microsoft.com/office/drawing/2014/chart" uri="{C3380CC4-5D6E-409C-BE32-E72D297353CC}">
              <c16:uniqueId val="{0000000A-9575-4B09-8D6E-5D253FEFC951}"/>
            </c:ext>
          </c:extLst>
        </c:ser>
        <c:ser>
          <c:idx val="11"/>
          <c:order val="11"/>
          <c:tx>
            <c:strRef>
              <c:f>'Fuel CON - Annual'!$N$3:$N$4</c:f>
              <c:strCache>
                <c:ptCount val="1"/>
                <c:pt idx="0">
                  <c:v>WOOD</c:v>
                </c:pt>
              </c:strCache>
            </c:strRef>
          </c:tx>
          <c:spPr>
            <a:solidFill>
              <a:schemeClr val="accent6">
                <a:lumMod val="60000"/>
              </a:schemeClr>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Annual'!$N$5:$N$16</c:f>
              <c:numCache>
                <c:formatCode>General</c:formatCode>
                <c:ptCount val="11"/>
                <c:pt idx="4">
                  <c:v>4.2577821021608102</c:v>
                </c:pt>
                <c:pt idx="6">
                  <c:v>2.7507257525294158</c:v>
                </c:pt>
              </c:numCache>
            </c:numRef>
          </c:val>
          <c:extLst>
            <c:ext xmlns:c16="http://schemas.microsoft.com/office/drawing/2014/chart" uri="{C3380CC4-5D6E-409C-BE32-E72D297353CC}">
              <c16:uniqueId val="{00000000-81FF-4F1F-B265-5E7B5905AE22}"/>
            </c:ext>
          </c:extLst>
        </c:ser>
        <c:ser>
          <c:idx val="12"/>
          <c:order val="12"/>
          <c:tx>
            <c:strRef>
              <c:f>'Fuel CON - Annual'!$O$3:$O$4</c:f>
              <c:strCache>
                <c:ptCount val="1"/>
                <c:pt idx="0">
                  <c:v>STRAW</c:v>
                </c:pt>
              </c:strCache>
            </c:strRef>
          </c:tx>
          <c:spPr>
            <a:solidFill>
              <a:schemeClr val="accent1">
                <a:lumMod val="80000"/>
                <a:lumOff val="20000"/>
              </a:schemeClr>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Annual'!$O$5:$O$16</c:f>
              <c:numCache>
                <c:formatCode>General</c:formatCode>
                <c:ptCount val="11"/>
                <c:pt idx="0">
                  <c:v>3.625255895132685</c:v>
                </c:pt>
              </c:numCache>
            </c:numRef>
          </c:val>
          <c:extLst>
            <c:ext xmlns:c16="http://schemas.microsoft.com/office/drawing/2014/chart" uri="{C3380CC4-5D6E-409C-BE32-E72D297353CC}">
              <c16:uniqueId val="{00000001-81FF-4F1F-B265-5E7B5905AE22}"/>
            </c:ext>
          </c:extLst>
        </c:ser>
        <c:ser>
          <c:idx val="13"/>
          <c:order val="13"/>
          <c:tx>
            <c:strRef>
              <c:f>'Fuel CON - Annual'!$P$3:$P$4</c:f>
              <c:strCache>
                <c:ptCount val="1"/>
                <c:pt idx="0">
                  <c:v>WOODCHIPS</c:v>
                </c:pt>
              </c:strCache>
            </c:strRef>
          </c:tx>
          <c:spPr>
            <a:solidFill>
              <a:schemeClr val="accent2">
                <a:lumMod val="80000"/>
                <a:lumOff val="20000"/>
              </a:schemeClr>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Annual'!$P$5:$P$16</c:f>
              <c:numCache>
                <c:formatCode>General</c:formatCode>
                <c:ptCount val="11"/>
                <c:pt idx="0">
                  <c:v>6.2058673465236387</c:v>
                </c:pt>
                <c:pt idx="3">
                  <c:v>0.59591644967083401</c:v>
                </c:pt>
                <c:pt idx="10">
                  <c:v>4.4287091065311035</c:v>
                </c:pt>
              </c:numCache>
            </c:numRef>
          </c:val>
          <c:extLst>
            <c:ext xmlns:c16="http://schemas.microsoft.com/office/drawing/2014/chart" uri="{C3380CC4-5D6E-409C-BE32-E72D297353CC}">
              <c16:uniqueId val="{00000006-3A7A-42A9-8EE0-2B9BE1BFD318}"/>
            </c:ext>
          </c:extLst>
        </c:ser>
        <c:ser>
          <c:idx val="14"/>
          <c:order val="14"/>
          <c:tx>
            <c:strRef>
              <c:f>'Fuel CON - Annual'!$Q$3:$Q$4</c:f>
              <c:strCache>
                <c:ptCount val="1"/>
                <c:pt idx="0">
                  <c:v>SHALE</c:v>
                </c:pt>
              </c:strCache>
            </c:strRef>
          </c:tx>
          <c:spPr>
            <a:solidFill>
              <a:schemeClr val="accent3">
                <a:lumMod val="80000"/>
                <a:lumOff val="20000"/>
              </a:schemeClr>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Annual'!$Q$5:$Q$16</c:f>
              <c:numCache>
                <c:formatCode>General</c:formatCode>
                <c:ptCount val="11"/>
                <c:pt idx="6">
                  <c:v>13.746809402839704</c:v>
                </c:pt>
              </c:numCache>
            </c:numRef>
          </c:val>
          <c:extLst>
            <c:ext xmlns:c16="http://schemas.microsoft.com/office/drawing/2014/chart" uri="{C3380CC4-5D6E-409C-BE32-E72D297353CC}">
              <c16:uniqueId val="{00000007-3A7A-42A9-8EE0-2B9BE1BFD318}"/>
            </c:ext>
          </c:extLst>
        </c:ser>
        <c:ser>
          <c:idx val="15"/>
          <c:order val="15"/>
          <c:tx>
            <c:strRef>
              <c:f>'Fuel CON - Annual'!$R$3:$R$4</c:f>
              <c:strCache>
                <c:ptCount val="1"/>
                <c:pt idx="0">
                  <c:v>HEAT</c:v>
                </c:pt>
              </c:strCache>
            </c:strRef>
          </c:tx>
          <c:spPr>
            <a:solidFill>
              <a:schemeClr val="accent4">
                <a:lumMod val="80000"/>
                <a:lumOff val="20000"/>
              </a:schemeClr>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Annual'!$R$5:$R$16</c:f>
              <c:numCache>
                <c:formatCode>General</c:formatCode>
                <c:ptCount val="11"/>
                <c:pt idx="8">
                  <c:v>0.747176470588235</c:v>
                </c:pt>
              </c:numCache>
            </c:numRef>
          </c:val>
          <c:extLst>
            <c:ext xmlns:c16="http://schemas.microsoft.com/office/drawing/2014/chart" uri="{C3380CC4-5D6E-409C-BE32-E72D297353CC}">
              <c16:uniqueId val="{00000008-3A7A-42A9-8EE0-2B9BE1BFD318}"/>
            </c:ext>
          </c:extLst>
        </c:ser>
        <c:ser>
          <c:idx val="16"/>
          <c:order val="16"/>
          <c:tx>
            <c:strRef>
              <c:f>'Fuel CON - Annual'!$S$3:$S$4</c:f>
              <c:strCache>
                <c:ptCount val="1"/>
                <c:pt idx="0">
                  <c:v>LPG</c:v>
                </c:pt>
              </c:strCache>
            </c:strRef>
          </c:tx>
          <c:spPr>
            <a:solidFill>
              <a:schemeClr val="accent5">
                <a:lumMod val="80000"/>
                <a:lumOff val="20000"/>
              </a:schemeClr>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Annual'!$S$5:$S$16</c:f>
              <c:numCache>
                <c:formatCode>General</c:formatCode>
                <c:ptCount val="11"/>
                <c:pt idx="2">
                  <c:v>2.0095087041475237</c:v>
                </c:pt>
              </c:numCache>
            </c:numRef>
          </c:val>
          <c:extLst>
            <c:ext xmlns:c16="http://schemas.microsoft.com/office/drawing/2014/chart" uri="{C3380CC4-5D6E-409C-BE32-E72D297353CC}">
              <c16:uniqueId val="{00000009-3A7A-42A9-8EE0-2B9BE1BFD318}"/>
            </c:ext>
          </c:extLst>
        </c:ser>
        <c:ser>
          <c:idx val="17"/>
          <c:order val="17"/>
          <c:tx>
            <c:strRef>
              <c:f>'Fuel CON - Annual'!$T$3:$T$4</c:f>
              <c:strCache>
                <c:ptCount val="1"/>
                <c:pt idx="0">
                  <c:v>PEAT</c:v>
                </c:pt>
              </c:strCache>
            </c:strRef>
          </c:tx>
          <c:spPr>
            <a:solidFill>
              <a:schemeClr val="accent6">
                <a:lumMod val="80000"/>
                <a:lumOff val="20000"/>
              </a:schemeClr>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Annual'!$T$5:$T$16</c:f>
              <c:numCache>
                <c:formatCode>General</c:formatCode>
                <c:ptCount val="11"/>
                <c:pt idx="3">
                  <c:v>1.3235187434443731</c:v>
                </c:pt>
                <c:pt idx="10">
                  <c:v>33.917474294993852</c:v>
                </c:pt>
              </c:numCache>
            </c:numRef>
          </c:val>
          <c:extLst>
            <c:ext xmlns:c16="http://schemas.microsoft.com/office/drawing/2014/chart" uri="{C3380CC4-5D6E-409C-BE32-E72D297353CC}">
              <c16:uniqueId val="{0000000A-3A7A-42A9-8EE0-2B9BE1BFD318}"/>
            </c:ext>
          </c:extLst>
        </c:ser>
        <c:ser>
          <c:idx val="18"/>
          <c:order val="18"/>
          <c:tx>
            <c:strRef>
              <c:f>'Fuel CON - Annual'!$U$3:$U$4</c:f>
              <c:strCache>
                <c:ptCount val="1"/>
                <c:pt idx="0">
                  <c:v>RECYCLEDWOOD</c:v>
                </c:pt>
              </c:strCache>
            </c:strRef>
          </c:tx>
          <c:spPr>
            <a:solidFill>
              <a:schemeClr val="accent1">
                <a:lumMod val="80000"/>
              </a:schemeClr>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Annual'!$U$5:$U$16</c:f>
              <c:numCache>
                <c:formatCode>General</c:formatCode>
                <c:ptCount val="11"/>
                <c:pt idx="3">
                  <c:v>1.8180420162219555</c:v>
                </c:pt>
              </c:numCache>
            </c:numRef>
          </c:val>
          <c:extLst>
            <c:ext xmlns:c16="http://schemas.microsoft.com/office/drawing/2014/chart" uri="{C3380CC4-5D6E-409C-BE32-E72D297353CC}">
              <c16:uniqueId val="{0000000B-3A7A-42A9-8EE0-2B9BE1BFD318}"/>
            </c:ext>
          </c:extLst>
        </c:ser>
        <c:ser>
          <c:idx val="19"/>
          <c:order val="19"/>
          <c:tx>
            <c:strRef>
              <c:f>'Fuel CON - Annual'!$V$3:$V$4</c:f>
              <c:strCache>
                <c:ptCount val="1"/>
                <c:pt idx="0">
                  <c:v>OTHERGAS</c:v>
                </c:pt>
              </c:strCache>
            </c:strRef>
          </c:tx>
          <c:spPr>
            <a:solidFill>
              <a:schemeClr val="accent2">
                <a:lumMod val="80000"/>
              </a:schemeClr>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Annual'!$V$5:$V$16</c:f>
              <c:numCache>
                <c:formatCode>General</c:formatCode>
                <c:ptCount val="11"/>
                <c:pt idx="3">
                  <c:v>0.20611764705882399</c:v>
                </c:pt>
              </c:numCache>
            </c:numRef>
          </c:val>
          <c:extLst>
            <c:ext xmlns:c16="http://schemas.microsoft.com/office/drawing/2014/chart" uri="{C3380CC4-5D6E-409C-BE32-E72D297353CC}">
              <c16:uniqueId val="{0000000C-3A7A-42A9-8EE0-2B9BE1BFD318}"/>
            </c:ext>
          </c:extLst>
        </c:ser>
        <c:ser>
          <c:idx val="20"/>
          <c:order val="20"/>
          <c:tx>
            <c:strRef>
              <c:f>'Fuel CON - Annual'!$W$3:$W$4</c:f>
              <c:strCache>
                <c:ptCount val="1"/>
                <c:pt idx="0">
                  <c:v>RETORTGAS</c:v>
                </c:pt>
              </c:strCache>
            </c:strRef>
          </c:tx>
          <c:spPr>
            <a:solidFill>
              <a:schemeClr val="accent3">
                <a:lumMod val="80000"/>
              </a:schemeClr>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Annual'!$W$5:$W$16</c:f>
              <c:numCache>
                <c:formatCode>General</c:formatCode>
                <c:ptCount val="11"/>
                <c:pt idx="6">
                  <c:v>3.13686831955923</c:v>
                </c:pt>
              </c:numCache>
            </c:numRef>
          </c:val>
          <c:extLst>
            <c:ext xmlns:c16="http://schemas.microsoft.com/office/drawing/2014/chart" uri="{C3380CC4-5D6E-409C-BE32-E72D297353CC}">
              <c16:uniqueId val="{0000000D-3A7A-42A9-8EE0-2B9BE1BFD318}"/>
            </c:ext>
          </c:extLst>
        </c:ser>
        <c:ser>
          <c:idx val="21"/>
          <c:order val="21"/>
          <c:tx>
            <c:strRef>
              <c:f>'Fuel CON - Annual'!$X$3:$X$4</c:f>
              <c:strCache>
                <c:ptCount val="1"/>
                <c:pt idx="0">
                  <c:v>NATGAS_EXETS</c:v>
                </c:pt>
              </c:strCache>
            </c:strRef>
          </c:tx>
          <c:spPr>
            <a:solidFill>
              <a:schemeClr val="accent4">
                <a:lumMod val="80000"/>
              </a:schemeClr>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Annual'!$X$5:$X$16</c:f>
              <c:numCache>
                <c:formatCode>General</c:formatCode>
                <c:ptCount val="11"/>
                <c:pt idx="10">
                  <c:v>1.771831982188449</c:v>
                </c:pt>
              </c:numCache>
            </c:numRef>
          </c:val>
          <c:extLst>
            <c:ext xmlns:c16="http://schemas.microsoft.com/office/drawing/2014/chart" uri="{C3380CC4-5D6E-409C-BE32-E72D297353CC}">
              <c16:uniqueId val="{00000016-3A7A-42A9-8EE0-2B9BE1BFD318}"/>
            </c:ext>
          </c:extLst>
        </c:ser>
        <c:dLbls>
          <c:showLegendKey val="0"/>
          <c:showVal val="0"/>
          <c:showCatName val="0"/>
          <c:showSerName val="0"/>
          <c:showPercent val="0"/>
          <c:showBubbleSize val="0"/>
        </c:dLbls>
        <c:gapWidth val="150"/>
        <c:overlap val="100"/>
        <c:axId val="269919464"/>
        <c:axId val="269919856"/>
      </c:barChart>
      <c:catAx>
        <c:axId val="269919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9856"/>
        <c:crosses val="autoZero"/>
        <c:auto val="1"/>
        <c:lblAlgn val="ctr"/>
        <c:lblOffset val="100"/>
        <c:noMultiLvlLbl val="0"/>
      </c:catAx>
      <c:valAx>
        <c:axId val="269919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9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tool.xlsm]Emissions - Annual!PivotTable3</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s>
    <c:plotArea>
      <c:layout/>
      <c:barChart>
        <c:barDir val="col"/>
        <c:grouping val="clustered"/>
        <c:varyColors val="0"/>
        <c:ser>
          <c:idx val="0"/>
          <c:order val="0"/>
          <c:tx>
            <c:strRef>
              <c:f>'Emissions - Annual'!$G$3</c:f>
              <c:strCache>
                <c:ptCount val="1"/>
                <c:pt idx="0">
                  <c:v>Sum of CO2 megatons</c:v>
                </c:pt>
              </c:strCache>
            </c:strRef>
          </c:tx>
          <c:spPr>
            <a:solidFill>
              <a:schemeClr val="accent1"/>
            </a:solidFill>
            <a:ln>
              <a:noFill/>
            </a:ln>
            <a:effectLst/>
          </c:spPr>
          <c:invertIfNegative val="0"/>
          <c:cat>
            <c:multiLvlStrRef>
              <c:f>'Emissions - Annual'!$B$4:$F$11</c:f>
              <c:multiLvlStrCache>
                <c:ptCount val="7"/>
                <c:lvl>
                  <c:pt idx="0">
                    <c:v>GNR_ST_COAL_BP_E-35</c:v>
                  </c:pt>
                  <c:pt idx="1">
                    <c:v>GNR_ST_COAL_EXT_E-47</c:v>
                  </c:pt>
                  <c:pt idx="2">
                    <c:v>GNR_ST_COAL_EXT_E-43</c:v>
                  </c:pt>
                  <c:pt idx="3">
                    <c:v>GNR_BO_COAL_E-91</c:v>
                  </c:pt>
                  <c:pt idx="4">
                    <c:v>GNR_ST_COAL_EXT_E-42</c:v>
                  </c:pt>
                  <c:pt idx="5">
                    <c:v>GNR_ST_COAL_EXT_E-41</c:v>
                  </c:pt>
                  <c:pt idx="6">
                    <c:v>GNR_ST_COAL_BP_E-38</c:v>
                  </c:pt>
                </c:lvl>
                <c:lvl>
                  <c:pt idx="0">
                    <c:v>COAL</c:v>
                  </c:pt>
                </c:lvl>
                <c:lvl>
                  <c:pt idx="0">
                    <c:v>DENMARK</c:v>
                  </c:pt>
                </c:lvl>
                <c:lvl>
                  <c:pt idx="0">
                    <c:v>2016</c:v>
                  </c:pt>
                </c:lvl>
                <c:lvl>
                  <c:pt idx="0">
                    <c:v>2016</c:v>
                  </c:pt>
                </c:lvl>
              </c:multiLvlStrCache>
            </c:multiLvlStrRef>
          </c:cat>
          <c:val>
            <c:numRef>
              <c:f>'Emissions - Annual'!$G$4:$G$11</c:f>
              <c:numCache>
                <c:formatCode>General</c:formatCode>
                <c:ptCount val="7"/>
                <c:pt idx="0">
                  <c:v>0.315378020571428</c:v>
                </c:pt>
                <c:pt idx="1">
                  <c:v>2.44377160851064</c:v>
                </c:pt>
                <c:pt idx="2">
                  <c:v>4.5226566000000004</c:v>
                </c:pt>
                <c:pt idx="3">
                  <c:v>3.2783578021978003E-2</c:v>
                </c:pt>
                <c:pt idx="4">
                  <c:v>6.6340272841371295</c:v>
                </c:pt>
                <c:pt idx="5">
                  <c:v>3.0591410845150802</c:v>
                </c:pt>
                <c:pt idx="6">
                  <c:v>0.99355910477715403</c:v>
                </c:pt>
              </c:numCache>
            </c:numRef>
          </c:val>
          <c:extLst>
            <c:ext xmlns:c16="http://schemas.microsoft.com/office/drawing/2014/chart" uri="{C3380CC4-5D6E-409C-BE32-E72D297353CC}">
              <c16:uniqueId val="{00000000-6BA7-479D-A0CB-94DBAADC6467}"/>
            </c:ext>
          </c:extLst>
        </c:ser>
        <c:ser>
          <c:idx val="1"/>
          <c:order val="1"/>
          <c:tx>
            <c:strRef>
              <c:f>'Emissions - Annual'!$H$3</c:f>
              <c:strCache>
                <c:ptCount val="1"/>
                <c:pt idx="0">
                  <c:v>Sum of SO2 kilotons</c:v>
                </c:pt>
              </c:strCache>
            </c:strRef>
          </c:tx>
          <c:spPr>
            <a:solidFill>
              <a:schemeClr val="accent2"/>
            </a:solidFill>
            <a:ln>
              <a:noFill/>
            </a:ln>
            <a:effectLst/>
          </c:spPr>
          <c:invertIfNegative val="0"/>
          <c:cat>
            <c:multiLvlStrRef>
              <c:f>'Emissions - Annual'!$B$4:$F$11</c:f>
              <c:multiLvlStrCache>
                <c:ptCount val="7"/>
                <c:lvl>
                  <c:pt idx="0">
                    <c:v>GNR_ST_COAL_BP_E-35</c:v>
                  </c:pt>
                  <c:pt idx="1">
                    <c:v>GNR_ST_COAL_EXT_E-47</c:v>
                  </c:pt>
                  <c:pt idx="2">
                    <c:v>GNR_ST_COAL_EXT_E-43</c:v>
                  </c:pt>
                  <c:pt idx="3">
                    <c:v>GNR_BO_COAL_E-91</c:v>
                  </c:pt>
                  <c:pt idx="4">
                    <c:v>GNR_ST_COAL_EXT_E-42</c:v>
                  </c:pt>
                  <c:pt idx="5">
                    <c:v>GNR_ST_COAL_EXT_E-41</c:v>
                  </c:pt>
                  <c:pt idx="6">
                    <c:v>GNR_ST_COAL_BP_E-38</c:v>
                  </c:pt>
                </c:lvl>
                <c:lvl>
                  <c:pt idx="0">
                    <c:v>COAL</c:v>
                  </c:pt>
                </c:lvl>
                <c:lvl>
                  <c:pt idx="0">
                    <c:v>DENMARK</c:v>
                  </c:pt>
                </c:lvl>
                <c:lvl>
                  <c:pt idx="0">
                    <c:v>2016</c:v>
                  </c:pt>
                </c:lvl>
                <c:lvl>
                  <c:pt idx="0">
                    <c:v>2016</c:v>
                  </c:pt>
                </c:lvl>
              </c:multiLvlStrCache>
            </c:multiLvlStrRef>
          </c:cat>
          <c:val>
            <c:numRef>
              <c:f>'Emissions - Annual'!$H$4:$H$11</c:f>
              <c:numCache>
                <c:formatCode>General</c:formatCode>
                <c:ptCount val="7"/>
                <c:pt idx="0">
                  <c:v>2.38033728</c:v>
                </c:pt>
                <c:pt idx="1">
                  <c:v>-1770.6752762553199</c:v>
                </c:pt>
                <c:pt idx="2">
                  <c:v>-3276.9658984186099</c:v>
                </c:pt>
                <c:pt idx="3">
                  <c:v>0.24743630769230801</c:v>
                </c:pt>
                <c:pt idx="4">
                  <c:v>-4806.7945683286998</c:v>
                </c:pt>
                <c:pt idx="5">
                  <c:v>-2216.5514428858501</c:v>
                </c:pt>
                <c:pt idx="6">
                  <c:v>7.4989556111087499</c:v>
                </c:pt>
              </c:numCache>
            </c:numRef>
          </c:val>
          <c:extLst>
            <c:ext xmlns:c16="http://schemas.microsoft.com/office/drawing/2014/chart" uri="{C3380CC4-5D6E-409C-BE32-E72D297353CC}">
              <c16:uniqueId val="{00000001-6BA7-479D-A0CB-94DBAADC6467}"/>
            </c:ext>
          </c:extLst>
        </c:ser>
        <c:ser>
          <c:idx val="2"/>
          <c:order val="2"/>
          <c:tx>
            <c:strRef>
              <c:f>'Emissions - Annual'!$I$3</c:f>
              <c:strCache>
                <c:ptCount val="1"/>
                <c:pt idx="0">
                  <c:v>Sum of N2O kilotons</c:v>
                </c:pt>
              </c:strCache>
            </c:strRef>
          </c:tx>
          <c:spPr>
            <a:solidFill>
              <a:schemeClr val="accent3"/>
            </a:solidFill>
            <a:ln>
              <a:noFill/>
            </a:ln>
            <a:effectLst/>
          </c:spPr>
          <c:invertIfNegative val="0"/>
          <c:cat>
            <c:multiLvlStrRef>
              <c:f>'Emissions - Annual'!$B$4:$F$11</c:f>
              <c:multiLvlStrCache>
                <c:ptCount val="7"/>
                <c:lvl>
                  <c:pt idx="0">
                    <c:v>GNR_ST_COAL_BP_E-35</c:v>
                  </c:pt>
                  <c:pt idx="1">
                    <c:v>GNR_ST_COAL_EXT_E-47</c:v>
                  </c:pt>
                  <c:pt idx="2">
                    <c:v>GNR_ST_COAL_EXT_E-43</c:v>
                  </c:pt>
                  <c:pt idx="3">
                    <c:v>GNR_BO_COAL_E-91</c:v>
                  </c:pt>
                  <c:pt idx="4">
                    <c:v>GNR_ST_COAL_EXT_E-42</c:v>
                  </c:pt>
                  <c:pt idx="5">
                    <c:v>GNR_ST_COAL_EXT_E-41</c:v>
                  </c:pt>
                  <c:pt idx="6">
                    <c:v>GNR_ST_COAL_BP_E-38</c:v>
                  </c:pt>
                </c:lvl>
                <c:lvl>
                  <c:pt idx="0">
                    <c:v>COAL</c:v>
                  </c:pt>
                </c:lvl>
                <c:lvl>
                  <c:pt idx="0">
                    <c:v>DENMARK</c:v>
                  </c:pt>
                </c:lvl>
                <c:lvl>
                  <c:pt idx="0">
                    <c:v>2016</c:v>
                  </c:pt>
                </c:lvl>
                <c:lvl>
                  <c:pt idx="0">
                    <c:v>2016</c:v>
                  </c:pt>
                </c:lvl>
              </c:multiLvlStrCache>
            </c:multiLvlStrRef>
          </c:cat>
          <c:val>
            <c:numRef>
              <c:f>'Emissions - Annual'!$I$4:$I$11</c:f>
              <c:numCache>
                <c:formatCode>General</c:formatCode>
                <c:ptCount val="7"/>
                <c:pt idx="0">
                  <c:v>1.00014171428571E-2</c:v>
                </c:pt>
                <c:pt idx="1">
                  <c:v>7.7498042553191496E-2</c:v>
                </c:pt>
                <c:pt idx="2">
                  <c:v>0.14342462790697699</c:v>
                </c:pt>
                <c:pt idx="3">
                  <c:v>1.03964835164835E-3</c:v>
                </c:pt>
                <c:pt idx="4">
                  <c:v>0.21038141493035251</c:v>
                </c:pt>
                <c:pt idx="5">
                  <c:v>9.7012930798575397E-2</c:v>
                </c:pt>
                <c:pt idx="6">
                  <c:v>3.1508216853398101E-2</c:v>
                </c:pt>
              </c:numCache>
            </c:numRef>
          </c:val>
          <c:extLst>
            <c:ext xmlns:c16="http://schemas.microsoft.com/office/drawing/2014/chart" uri="{C3380CC4-5D6E-409C-BE32-E72D297353CC}">
              <c16:uniqueId val="{00000002-6BA7-479D-A0CB-94DBAADC6467}"/>
            </c:ext>
          </c:extLst>
        </c:ser>
        <c:dLbls>
          <c:showLegendKey val="0"/>
          <c:showVal val="0"/>
          <c:showCatName val="0"/>
          <c:showSerName val="0"/>
          <c:showPercent val="0"/>
          <c:showBubbleSize val="0"/>
        </c:dLbls>
        <c:gapWidth val="219"/>
        <c:overlap val="-27"/>
        <c:axId val="267946752"/>
        <c:axId val="267946360"/>
      </c:barChart>
      <c:catAx>
        <c:axId val="267946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6360"/>
        <c:crosses val="autoZero"/>
        <c:auto val="1"/>
        <c:lblAlgn val="ctr"/>
        <c:lblOffset val="100"/>
        <c:noMultiLvlLbl val="0"/>
      </c:catAx>
      <c:valAx>
        <c:axId val="267946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6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STO - Time!PivotTable1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'HE STO - Time'!$E$5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'HE STO - Time'!$C$6:$D$30</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STO - Time'!$E$6:$E$30</c:f>
              <c:numCache>
                <c:formatCode>General</c:formatCode>
                <c:ptCount val="24"/>
                <c:pt idx="0">
                  <c:v>125007.72083034887</c:v>
                </c:pt>
                <c:pt idx="1">
                  <c:v>134256.63186529514</c:v>
                </c:pt>
                <c:pt idx="2">
                  <c:v>103693.44304584082</c:v>
                </c:pt>
                <c:pt idx="3">
                  <c:v>103824.60177809659</c:v>
                </c:pt>
                <c:pt idx="4">
                  <c:v>112154.63722855435</c:v>
                </c:pt>
                <c:pt idx="5">
                  <c:v>118350.23984551584</c:v>
                </c:pt>
                <c:pt idx="6">
                  <c:v>143772.36578202163</c:v>
                </c:pt>
                <c:pt idx="7">
                  <c:v>174587.9718884631</c:v>
                </c:pt>
                <c:pt idx="8">
                  <c:v>267901.45143967372</c:v>
                </c:pt>
                <c:pt idx="9">
                  <c:v>327609.16025975317</c:v>
                </c:pt>
                <c:pt idx="10">
                  <c:v>387783.53091354144</c:v>
                </c:pt>
                <c:pt idx="11">
                  <c:v>398228.77587033919</c:v>
                </c:pt>
                <c:pt idx="12">
                  <c:v>352175.71846303775</c:v>
                </c:pt>
                <c:pt idx="13">
                  <c:v>310195.97795459087</c:v>
                </c:pt>
                <c:pt idx="14">
                  <c:v>271058.52156846295</c:v>
                </c:pt>
                <c:pt idx="15">
                  <c:v>254275.40841268958</c:v>
                </c:pt>
                <c:pt idx="16">
                  <c:v>252540.38782337727</c:v>
                </c:pt>
                <c:pt idx="17">
                  <c:v>287198.58378077601</c:v>
                </c:pt>
                <c:pt idx="18">
                  <c:v>307412.4674132971</c:v>
                </c:pt>
                <c:pt idx="19">
                  <c:v>334051.48635134817</c:v>
                </c:pt>
                <c:pt idx="20">
                  <c:v>326765.05006988376</c:v>
                </c:pt>
                <c:pt idx="21">
                  <c:v>323655.20486851817</c:v>
                </c:pt>
                <c:pt idx="22">
                  <c:v>296844.1180566072</c:v>
                </c:pt>
                <c:pt idx="23">
                  <c:v>221678.6711764505</c:v>
                </c:pt>
              </c:numCache>
            </c:numRef>
          </c:val>
          <c:smooth val="0"/>
          <c:extLst>
            <c:ext xmlns:c16="http://schemas.microsoft.com/office/drawing/2014/chart" uri="{C3380CC4-5D6E-409C-BE32-E72D297353CC}">
              <c16:uniqueId val="{00000000-D811-4CDC-A13F-8250ED7B7CC8}"/>
            </c:ext>
          </c:extLst>
        </c:ser>
        <c:dLbls>
          <c:showLegendKey val="0"/>
          <c:showVal val="0"/>
          <c:showCatName val="0"/>
          <c:showSerName val="0"/>
          <c:showPercent val="0"/>
          <c:showBubbleSize val="0"/>
        </c:dLbls>
        <c:marker val="1"/>
        <c:smooth val="0"/>
        <c:axId val="267948320"/>
        <c:axId val="267945576"/>
      </c:lineChart>
      <c:catAx>
        <c:axId val="267948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5576"/>
        <c:crosses val="autoZero"/>
        <c:auto val="1"/>
        <c:lblAlgn val="ctr"/>
        <c:lblOffset val="100"/>
        <c:noMultiLvlLbl val="0"/>
      </c:catAx>
      <c:valAx>
        <c:axId val="267945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8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tool.xlsm]HY STO - Time!PivotTable2</c:name>
    <c:fmtId val="1"/>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6"/>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8"/>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9"/>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'HY STO - Time'!$D$4:$D$5</c:f>
              <c:strCache>
                <c:ptCount val="1"/>
                <c:pt idx="0">
                  <c:v>GERMANY</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'HY STO - Time'!$C$6:$C$7</c:f>
              <c:strCache>
                <c:ptCount val="1"/>
                <c:pt idx="0">
                  <c:v>S02</c:v>
                </c:pt>
              </c:strCache>
            </c:strRef>
          </c:cat>
          <c:val>
            <c:numRef>
              <c:f>'HY STO - Time'!$D$6:$D$7</c:f>
              <c:numCache>
                <c:formatCode>General</c:formatCode>
                <c:ptCount val="1"/>
                <c:pt idx="0">
                  <c:v>843.17092076853601</c:v>
                </c:pt>
              </c:numCache>
            </c:numRef>
          </c:val>
          <c:smooth val="0"/>
          <c:extLst>
            <c:ext xmlns:c16="http://schemas.microsoft.com/office/drawing/2014/chart" uri="{C3380CC4-5D6E-409C-BE32-E72D297353CC}">
              <c16:uniqueId val="{00000000-791D-4904-8726-1D04F7729FE0}"/>
            </c:ext>
          </c:extLst>
        </c:ser>
        <c:ser>
          <c:idx val="1"/>
          <c:order val="1"/>
          <c:tx>
            <c:strRef>
              <c:f>'HY STO - Time'!$E$4:$E$5</c:f>
              <c:strCache>
                <c:ptCount val="1"/>
                <c:pt idx="0">
                  <c:v>SWEDEN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'HY STO - Time'!$C$6:$C$7</c:f>
              <c:strCache>
                <c:ptCount val="1"/>
                <c:pt idx="0">
                  <c:v>S02</c:v>
                </c:pt>
              </c:strCache>
            </c:strRef>
          </c:cat>
          <c:val>
            <c:numRef>
              <c:f>'HY STO - Time'!$E$6:$E$7</c:f>
              <c:numCache>
                <c:formatCode>General</c:formatCode>
                <c:ptCount val="1"/>
                <c:pt idx="0">
                  <c:v>24887173</c:v>
                </c:pt>
              </c:numCache>
            </c:numRef>
          </c:val>
          <c:smooth val="0"/>
          <c:extLst>
            <c:ext xmlns:c16="http://schemas.microsoft.com/office/drawing/2014/chart" uri="{C3380CC4-5D6E-409C-BE32-E72D297353CC}">
              <c16:uniqueId val="{00000001-791D-4904-8726-1D04F7729FE0}"/>
            </c:ext>
          </c:extLst>
        </c:ser>
        <c:ser>
          <c:idx val="2"/>
          <c:order val="2"/>
          <c:tx>
            <c:strRef>
              <c:f>'HY STO - Time'!$F$4:$F$5</c:f>
              <c:strCache>
                <c:ptCount val="1"/>
                <c:pt idx="0">
                  <c:v>NORWAY</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'HY STO - Time'!$C$6:$C$7</c:f>
              <c:strCache>
                <c:ptCount val="1"/>
                <c:pt idx="0">
                  <c:v>S02</c:v>
                </c:pt>
              </c:strCache>
            </c:strRef>
          </c:cat>
          <c:val>
            <c:numRef>
              <c:f>'HY STO - Time'!$F$6:$F$7</c:f>
              <c:numCache>
                <c:formatCode>General</c:formatCode>
                <c:ptCount val="1"/>
                <c:pt idx="0">
                  <c:v>63815458</c:v>
                </c:pt>
              </c:numCache>
            </c:numRef>
          </c:val>
          <c:smooth val="0"/>
          <c:extLst>
            <c:ext xmlns:c16="http://schemas.microsoft.com/office/drawing/2014/chart" uri="{C3380CC4-5D6E-409C-BE32-E72D297353CC}">
              <c16:uniqueId val="{00000002-791D-4904-8726-1D04F7729FE0}"/>
            </c:ext>
          </c:extLst>
        </c:ser>
        <c:ser>
          <c:idx val="3"/>
          <c:order val="3"/>
          <c:tx>
            <c:strRef>
              <c:f>'HY STO - Time'!$G$4:$G$5</c:f>
              <c:strCache>
                <c:ptCount val="1"/>
                <c:pt idx="0">
                  <c:v>FINLAND</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'HY STO - Time'!$C$6:$C$7</c:f>
              <c:strCache>
                <c:ptCount val="1"/>
                <c:pt idx="0">
                  <c:v>S02</c:v>
                </c:pt>
              </c:strCache>
            </c:strRef>
          </c:cat>
          <c:val>
            <c:numRef>
              <c:f>'HY STO - Time'!$G$6:$G$7</c:f>
              <c:numCache>
                <c:formatCode>General</c:formatCode>
                <c:ptCount val="1"/>
                <c:pt idx="0">
                  <c:v>4278856.8726114603</c:v>
                </c:pt>
              </c:numCache>
            </c:numRef>
          </c:val>
          <c:smooth val="0"/>
          <c:extLst>
            <c:ext xmlns:c16="http://schemas.microsoft.com/office/drawing/2014/chart" uri="{C3380CC4-5D6E-409C-BE32-E72D297353CC}">
              <c16:uniqueId val="{00000000-7F01-4F1C-9663-8400EDFFD1FD}"/>
            </c:ext>
          </c:extLst>
        </c:ser>
        <c:dLbls>
          <c:showLegendKey val="0"/>
          <c:showVal val="0"/>
          <c:showCatName val="0"/>
          <c:showSerName val="0"/>
          <c:showPercent val="0"/>
          <c:showBubbleSize val="0"/>
        </c:dLbls>
        <c:marker val="1"/>
        <c:smooth val="0"/>
        <c:axId val="269702176"/>
        <c:axId val="269702568"/>
      </c:lineChart>
      <c:catAx>
        <c:axId val="26970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2568"/>
        <c:crosses val="autoZero"/>
        <c:auto val="1"/>
        <c:lblAlgn val="ctr"/>
        <c:lblOffset val="100"/>
        <c:noMultiLvlLbl val="0"/>
      </c:catAx>
      <c:valAx>
        <c:axId val="269702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21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DEM - Time!PivotTable1</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
        <c:idx val="24"/>
        <c:spPr>
          <a:ln w="28575" cap="rnd">
            <a:solidFill>
              <a:schemeClr val="accent1"/>
            </a:solidFill>
            <a:round/>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chemeClr val="accent1"/>
            </a:solidFill>
            <a:round/>
          </a:ln>
          <a:effectLst/>
        </c:spPr>
        <c:marker>
          <c:symbol val="none"/>
        </c:marker>
      </c:pivotFmt>
      <c:pivotFmt>
        <c:idx val="28"/>
        <c:spPr>
          <a:ln w="28575" cap="rnd">
            <a:solidFill>
              <a:schemeClr val="accent1"/>
            </a:solidFill>
            <a:round/>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chemeClr val="accent1"/>
            </a:solidFill>
            <a:round/>
          </a:ln>
          <a:effectLst/>
        </c:spPr>
        <c:marker>
          <c:symbol val="none"/>
        </c:marker>
      </c:pivotFmt>
    </c:pivotFmts>
    <c:plotArea>
      <c:layout/>
      <c:lineChart>
        <c:grouping val="standard"/>
        <c:varyColors val="0"/>
        <c:ser>
          <c:idx val="0"/>
          <c:order val="0"/>
          <c:tx>
            <c:strRef>
              <c:f>'EL DEM - Time'!$E$3:$E$4</c:f>
              <c:strCache>
                <c:ptCount val="1"/>
                <c:pt idx="0">
                  <c:v>DENMARK</c:v>
                </c:pt>
              </c:strCache>
            </c:strRef>
          </c:tx>
          <c:spPr>
            <a:ln w="28575" cap="rnd">
              <a:solidFill>
                <a:schemeClr val="accent1"/>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Time'!$E$5:$E$29</c:f>
              <c:numCache>
                <c:formatCode>General</c:formatCode>
                <c:ptCount val="24"/>
                <c:pt idx="0">
                  <c:v>2496.6137064477198</c:v>
                </c:pt>
                <c:pt idx="1">
                  <c:v>2394.0987726177</c:v>
                </c:pt>
                <c:pt idx="2">
                  <c:v>2332.6352149815602</c:v>
                </c:pt>
                <c:pt idx="3">
                  <c:v>2307.63553629642</c:v>
                </c:pt>
                <c:pt idx="4">
                  <c:v>2323.7326622190803</c:v>
                </c:pt>
                <c:pt idx="5">
                  <c:v>2596.3125936565602</c:v>
                </c:pt>
                <c:pt idx="6">
                  <c:v>3239.8722198630899</c:v>
                </c:pt>
                <c:pt idx="7">
                  <c:v>3958.8214377244703</c:v>
                </c:pt>
                <c:pt idx="8">
                  <c:v>4127.0695562963101</c:v>
                </c:pt>
                <c:pt idx="9">
                  <c:v>4110.5817460141807</c:v>
                </c:pt>
                <c:pt idx="10">
                  <c:v>4145.7375441651502</c:v>
                </c:pt>
                <c:pt idx="11">
                  <c:v>4141.4317030883903</c:v>
                </c:pt>
                <c:pt idx="12">
                  <c:v>4139.7783663427899</c:v>
                </c:pt>
                <c:pt idx="13">
                  <c:v>4130.19451613195</c:v>
                </c:pt>
                <c:pt idx="14">
                  <c:v>4059.21070806444</c:v>
                </c:pt>
                <c:pt idx="15">
                  <c:v>3984.2661861057104</c:v>
                </c:pt>
                <c:pt idx="16">
                  <c:v>4170.55538043467</c:v>
                </c:pt>
                <c:pt idx="17">
                  <c:v>4477.0465002425099</c:v>
                </c:pt>
                <c:pt idx="18">
                  <c:v>4317.5101350947998</c:v>
                </c:pt>
                <c:pt idx="19">
                  <c:v>4082.55692124392</c:v>
                </c:pt>
                <c:pt idx="20">
                  <c:v>3791.74511471096</c:v>
                </c:pt>
                <c:pt idx="21">
                  <c:v>3456.9203856784397</c:v>
                </c:pt>
                <c:pt idx="22">
                  <c:v>3156.1614303835499</c:v>
                </c:pt>
                <c:pt idx="23">
                  <c:v>2913.7774156202599</c:v>
                </c:pt>
              </c:numCache>
            </c:numRef>
          </c:val>
          <c:smooth val="0"/>
          <c:extLst>
            <c:ext xmlns:c16="http://schemas.microsoft.com/office/drawing/2014/chart" uri="{C3380CC4-5D6E-409C-BE32-E72D297353CC}">
              <c16:uniqueId val="{00000000-A847-44AA-82B9-3A455AABD4F5}"/>
            </c:ext>
          </c:extLst>
        </c:ser>
        <c:ser>
          <c:idx val="1"/>
          <c:order val="1"/>
          <c:tx>
            <c:strRef>
              <c:f>'EL DEM - Time'!$F$3:$F$4</c:f>
              <c:strCache>
                <c:ptCount val="1"/>
                <c:pt idx="0">
                  <c:v>GERMANY</c:v>
                </c:pt>
              </c:strCache>
            </c:strRef>
          </c:tx>
          <c:spPr>
            <a:ln w="28575" cap="rnd">
              <a:solidFill>
                <a:schemeClr val="accent2"/>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Time'!$F$5:$F$29</c:f>
              <c:numCache>
                <c:formatCode>General</c:formatCode>
                <c:ptCount val="24"/>
                <c:pt idx="0">
                  <c:v>44279.089600767533</c:v>
                </c:pt>
                <c:pt idx="1">
                  <c:v>42208.499056215005</c:v>
                </c:pt>
                <c:pt idx="2">
                  <c:v>41440.763217854001</c:v>
                </c:pt>
                <c:pt idx="3">
                  <c:v>41942.936334493235</c:v>
                </c:pt>
                <c:pt idx="4">
                  <c:v>43653.120328137637</c:v>
                </c:pt>
                <c:pt idx="5">
                  <c:v>47515.760066263829</c:v>
                </c:pt>
                <c:pt idx="6">
                  <c:v>56469.017541454989</c:v>
                </c:pt>
                <c:pt idx="7">
                  <c:v>64337.061939535182</c:v>
                </c:pt>
                <c:pt idx="8">
                  <c:v>67605.679800125799</c:v>
                </c:pt>
                <c:pt idx="9">
                  <c:v>67795.367458498396</c:v>
                </c:pt>
                <c:pt idx="10">
                  <c:v>69028.337237920918</c:v>
                </c:pt>
                <c:pt idx="11">
                  <c:v>70028.690046812655</c:v>
                </c:pt>
                <c:pt idx="12">
                  <c:v>69797.071432378725</c:v>
                </c:pt>
                <c:pt idx="13">
                  <c:v>69307.87694499646</c:v>
                </c:pt>
                <c:pt idx="14">
                  <c:v>68696.883013817089</c:v>
                </c:pt>
                <c:pt idx="15">
                  <c:v>68300.535643427807</c:v>
                </c:pt>
                <c:pt idx="16">
                  <c:v>68168.752638663602</c:v>
                </c:pt>
                <c:pt idx="17">
                  <c:v>70163.468119867059</c:v>
                </c:pt>
                <c:pt idx="18">
                  <c:v>69627.350895939977</c:v>
                </c:pt>
                <c:pt idx="19">
                  <c:v>67802.355951175283</c:v>
                </c:pt>
                <c:pt idx="20">
                  <c:v>63599.276784075031</c:v>
                </c:pt>
                <c:pt idx="21">
                  <c:v>59545.95103147957</c:v>
                </c:pt>
                <c:pt idx="22">
                  <c:v>56283.323307469225</c:v>
                </c:pt>
                <c:pt idx="23">
                  <c:v>51032.96859493223</c:v>
                </c:pt>
              </c:numCache>
            </c:numRef>
          </c:val>
          <c:smooth val="0"/>
          <c:extLst>
            <c:ext xmlns:c16="http://schemas.microsoft.com/office/drawing/2014/chart" uri="{C3380CC4-5D6E-409C-BE32-E72D297353CC}">
              <c16:uniqueId val="{00000000-0D8E-4FA7-9030-249117F0A5D4}"/>
            </c:ext>
          </c:extLst>
        </c:ser>
        <c:ser>
          <c:idx val="2"/>
          <c:order val="2"/>
          <c:tx>
            <c:strRef>
              <c:f>'EL DEM - Time'!$G$3:$G$4</c:f>
              <c:strCache>
                <c:ptCount val="1"/>
                <c:pt idx="0">
                  <c:v>NORWAY</c:v>
                </c:pt>
              </c:strCache>
            </c:strRef>
          </c:tx>
          <c:spPr>
            <a:ln w="28575" cap="rnd">
              <a:solidFill>
                <a:schemeClr val="accent3"/>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Time'!$G$5:$G$29</c:f>
              <c:numCache>
                <c:formatCode>General</c:formatCode>
                <c:ptCount val="24"/>
                <c:pt idx="0">
                  <c:v>12512.504553141369</c:v>
                </c:pt>
                <c:pt idx="1">
                  <c:v>12254.1646773672</c:v>
                </c:pt>
                <c:pt idx="2">
                  <c:v>12170.34028243956</c:v>
                </c:pt>
                <c:pt idx="3">
                  <c:v>12217.588806807169</c:v>
                </c:pt>
                <c:pt idx="4">
                  <c:v>12399.346386043442</c:v>
                </c:pt>
                <c:pt idx="5">
                  <c:v>12916.903315270451</c:v>
                </c:pt>
                <c:pt idx="6">
                  <c:v>13965.878461134631</c:v>
                </c:pt>
                <c:pt idx="7">
                  <c:v>15303.4219231201</c:v>
                </c:pt>
                <c:pt idx="8">
                  <c:v>15820.00074069203</c:v>
                </c:pt>
                <c:pt idx="9">
                  <c:v>15660.372508152099</c:v>
                </c:pt>
                <c:pt idx="10">
                  <c:v>15484.138256944399</c:v>
                </c:pt>
                <c:pt idx="11">
                  <c:v>15379.930559107501</c:v>
                </c:pt>
                <c:pt idx="12">
                  <c:v>15217.084928152111</c:v>
                </c:pt>
                <c:pt idx="13">
                  <c:v>15226.39027032233</c:v>
                </c:pt>
                <c:pt idx="14">
                  <c:v>15181.03316594914</c:v>
                </c:pt>
                <c:pt idx="15">
                  <c:v>15227.05989442164</c:v>
                </c:pt>
                <c:pt idx="16">
                  <c:v>15324.80039406154</c:v>
                </c:pt>
                <c:pt idx="17">
                  <c:v>15055.746644875071</c:v>
                </c:pt>
                <c:pt idx="18">
                  <c:v>14889.043480138911</c:v>
                </c:pt>
                <c:pt idx="19">
                  <c:v>14704.210621670081</c:v>
                </c:pt>
                <c:pt idx="20">
                  <c:v>14526.476277199839</c:v>
                </c:pt>
                <c:pt idx="21">
                  <c:v>14128.44682869588</c:v>
                </c:pt>
                <c:pt idx="22">
                  <c:v>13584.64813359407</c:v>
                </c:pt>
                <c:pt idx="23">
                  <c:v>13008.729164672139</c:v>
                </c:pt>
              </c:numCache>
            </c:numRef>
          </c:val>
          <c:smooth val="0"/>
          <c:extLst>
            <c:ext xmlns:c16="http://schemas.microsoft.com/office/drawing/2014/chart" uri="{C3380CC4-5D6E-409C-BE32-E72D297353CC}">
              <c16:uniqueId val="{00000001-0D8E-4FA7-9030-249117F0A5D4}"/>
            </c:ext>
          </c:extLst>
        </c:ser>
        <c:ser>
          <c:idx val="3"/>
          <c:order val="3"/>
          <c:tx>
            <c:strRef>
              <c:f>'EL DEM - Time'!$H$3:$H$4</c:f>
              <c:strCache>
                <c:ptCount val="1"/>
                <c:pt idx="0">
                  <c:v>SWEDEN</c:v>
                </c:pt>
              </c:strCache>
            </c:strRef>
          </c:tx>
          <c:spPr>
            <a:ln w="28575" cap="rnd">
              <a:solidFill>
                <a:schemeClr val="accent4"/>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Time'!$H$5:$H$29</c:f>
              <c:numCache>
                <c:formatCode>General</c:formatCode>
                <c:ptCount val="24"/>
                <c:pt idx="0">
                  <c:v>12195.01045471997</c:v>
                </c:pt>
                <c:pt idx="1">
                  <c:v>12021.05278844305</c:v>
                </c:pt>
                <c:pt idx="2">
                  <c:v>12063.173123686829</c:v>
                </c:pt>
                <c:pt idx="3">
                  <c:v>12135.767579057756</c:v>
                </c:pt>
                <c:pt idx="4">
                  <c:v>12412.788763435081</c:v>
                </c:pt>
                <c:pt idx="5">
                  <c:v>13025.740019769761</c:v>
                </c:pt>
                <c:pt idx="6">
                  <c:v>14717.990301077391</c:v>
                </c:pt>
                <c:pt idx="7">
                  <c:v>15839.723250863204</c:v>
                </c:pt>
                <c:pt idx="8">
                  <c:v>16302.8513509287</c:v>
                </c:pt>
                <c:pt idx="9">
                  <c:v>16065.81090292889</c:v>
                </c:pt>
                <c:pt idx="10">
                  <c:v>16235.233134945418</c:v>
                </c:pt>
                <c:pt idx="11">
                  <c:v>16156.963436666061</c:v>
                </c:pt>
                <c:pt idx="12">
                  <c:v>16169.214974724931</c:v>
                </c:pt>
                <c:pt idx="13">
                  <c:v>16095.86294185565</c:v>
                </c:pt>
                <c:pt idx="14">
                  <c:v>16249.303954167603</c:v>
                </c:pt>
                <c:pt idx="15">
                  <c:v>16448.06330361736</c:v>
                </c:pt>
                <c:pt idx="16">
                  <c:v>16501.109471256939</c:v>
                </c:pt>
                <c:pt idx="17">
                  <c:v>16491.97108687917</c:v>
                </c:pt>
                <c:pt idx="18">
                  <c:v>16249.171062526011</c:v>
                </c:pt>
                <c:pt idx="19">
                  <c:v>15993.57301002956</c:v>
                </c:pt>
                <c:pt idx="20">
                  <c:v>15540.168096416932</c:v>
                </c:pt>
                <c:pt idx="21">
                  <c:v>14813.808216940841</c:v>
                </c:pt>
                <c:pt idx="22">
                  <c:v>13950.509971969735</c:v>
                </c:pt>
                <c:pt idx="23">
                  <c:v>13173.429214051852</c:v>
                </c:pt>
              </c:numCache>
            </c:numRef>
          </c:val>
          <c:smooth val="0"/>
          <c:extLst>
            <c:ext xmlns:c16="http://schemas.microsoft.com/office/drawing/2014/chart" uri="{C3380CC4-5D6E-409C-BE32-E72D297353CC}">
              <c16:uniqueId val="{00000002-0D8E-4FA7-9030-249117F0A5D4}"/>
            </c:ext>
          </c:extLst>
        </c:ser>
        <c:ser>
          <c:idx val="4"/>
          <c:order val="4"/>
          <c:tx>
            <c:strRef>
              <c:f>'EL DEM - Time'!$I$3:$I$4</c:f>
              <c:strCache>
                <c:ptCount val="1"/>
                <c:pt idx="0">
                  <c:v>NETHERLANDS</c:v>
                </c:pt>
              </c:strCache>
            </c:strRef>
          </c:tx>
          <c:spPr>
            <a:ln w="28575" cap="rnd">
              <a:solidFill>
                <a:schemeClr val="accent5"/>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Time'!$I$5:$I$29</c:f>
              <c:numCache>
                <c:formatCode>General</c:formatCode>
                <c:ptCount val="24"/>
                <c:pt idx="0">
                  <c:v>9244.8732449516901</c:v>
                </c:pt>
                <c:pt idx="1">
                  <c:v>8760.3195324266508</c:v>
                </c:pt>
                <c:pt idx="2">
                  <c:v>8550.7827918752791</c:v>
                </c:pt>
                <c:pt idx="3">
                  <c:v>8492.7860154726695</c:v>
                </c:pt>
                <c:pt idx="4">
                  <c:v>8585.3937713413507</c:v>
                </c:pt>
                <c:pt idx="5">
                  <c:v>9030.6593450130094</c:v>
                </c:pt>
                <c:pt idx="6">
                  <c:v>10427.259138063</c:v>
                </c:pt>
                <c:pt idx="7">
                  <c:v>12839.7379500361</c:v>
                </c:pt>
                <c:pt idx="8">
                  <c:v>14346.718704626501</c:v>
                </c:pt>
                <c:pt idx="9">
                  <c:v>14696.570226797099</c:v>
                </c:pt>
                <c:pt idx="10">
                  <c:v>14743.341820670201</c:v>
                </c:pt>
                <c:pt idx="11">
                  <c:v>14925.7510367752</c:v>
                </c:pt>
                <c:pt idx="12">
                  <c:v>14815.370075234699</c:v>
                </c:pt>
                <c:pt idx="13">
                  <c:v>14960.362016241301</c:v>
                </c:pt>
                <c:pt idx="14">
                  <c:v>14868.68969225</c:v>
                </c:pt>
                <c:pt idx="15">
                  <c:v>14776.081936381301</c:v>
                </c:pt>
                <c:pt idx="16">
                  <c:v>15061.3886590071</c:v>
                </c:pt>
                <c:pt idx="17">
                  <c:v>15754.543680205999</c:v>
                </c:pt>
                <c:pt idx="18">
                  <c:v>15045.486317090301</c:v>
                </c:pt>
                <c:pt idx="19">
                  <c:v>14629.219131619901</c:v>
                </c:pt>
                <c:pt idx="20">
                  <c:v>13893.034244057701</c:v>
                </c:pt>
                <c:pt idx="21">
                  <c:v>13011.857415488999</c:v>
                </c:pt>
                <c:pt idx="22">
                  <c:v>11966.0445764871</c:v>
                </c:pt>
                <c:pt idx="23">
                  <c:v>10942.682102544301</c:v>
                </c:pt>
              </c:numCache>
            </c:numRef>
          </c:val>
          <c:smooth val="0"/>
          <c:extLst>
            <c:ext xmlns:c16="http://schemas.microsoft.com/office/drawing/2014/chart" uri="{C3380CC4-5D6E-409C-BE32-E72D297353CC}">
              <c16:uniqueId val="{00000000-070B-4FF1-AAF1-21F55AA776DF}"/>
            </c:ext>
          </c:extLst>
        </c:ser>
        <c:ser>
          <c:idx val="5"/>
          <c:order val="5"/>
          <c:tx>
            <c:strRef>
              <c:f>'EL DEM - Time'!$J$3:$J$4</c:f>
              <c:strCache>
                <c:ptCount val="1"/>
                <c:pt idx="0">
                  <c:v>UNITED_KINGDOM</c:v>
                </c:pt>
              </c:strCache>
            </c:strRef>
          </c:tx>
          <c:spPr>
            <a:ln w="28575" cap="rnd">
              <a:solidFill>
                <a:schemeClr val="accent6"/>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Time'!$J$5:$J$29</c:f>
              <c:numCache>
                <c:formatCode>General</c:formatCode>
                <c:ptCount val="24"/>
                <c:pt idx="0">
                  <c:v>27925.2310278068</c:v>
                </c:pt>
                <c:pt idx="1">
                  <c:v>27300.056696886</c:v>
                </c:pt>
                <c:pt idx="2">
                  <c:v>26417.8144134748</c:v>
                </c:pt>
                <c:pt idx="3">
                  <c:v>25472.121600955099</c:v>
                </c:pt>
                <c:pt idx="4">
                  <c:v>24732.176460029499</c:v>
                </c:pt>
                <c:pt idx="5">
                  <c:v>25899.479576420301</c:v>
                </c:pt>
                <c:pt idx="6">
                  <c:v>31354.825435716</c:v>
                </c:pt>
                <c:pt idx="7">
                  <c:v>38240.607487999099</c:v>
                </c:pt>
                <c:pt idx="8">
                  <c:v>40250.029759100304</c:v>
                </c:pt>
                <c:pt idx="9">
                  <c:v>41010.969560392601</c:v>
                </c:pt>
                <c:pt idx="10">
                  <c:v>41177.060651293999</c:v>
                </c:pt>
                <c:pt idx="11">
                  <c:v>41395.405119108102</c:v>
                </c:pt>
                <c:pt idx="12">
                  <c:v>41529.3043974471</c:v>
                </c:pt>
                <c:pt idx="13">
                  <c:v>41299.762777437398</c:v>
                </c:pt>
                <c:pt idx="14">
                  <c:v>41339.419358130101</c:v>
                </c:pt>
                <c:pt idx="15">
                  <c:v>41645.4748514764</c:v>
                </c:pt>
                <c:pt idx="16">
                  <c:v>45465.103394198799</c:v>
                </c:pt>
                <c:pt idx="17">
                  <c:v>47904.216380806</c:v>
                </c:pt>
                <c:pt idx="18">
                  <c:v>46756.0417327494</c:v>
                </c:pt>
                <c:pt idx="19">
                  <c:v>44260.476437156001</c:v>
                </c:pt>
                <c:pt idx="20">
                  <c:v>41308.160641584102</c:v>
                </c:pt>
                <c:pt idx="21">
                  <c:v>37925.221034489798</c:v>
                </c:pt>
                <c:pt idx="22">
                  <c:v>33819.132014763301</c:v>
                </c:pt>
                <c:pt idx="23">
                  <c:v>30229.511640058699</c:v>
                </c:pt>
              </c:numCache>
            </c:numRef>
          </c:val>
          <c:smooth val="0"/>
          <c:extLst>
            <c:ext xmlns:c16="http://schemas.microsoft.com/office/drawing/2014/chart" uri="{C3380CC4-5D6E-409C-BE32-E72D297353CC}">
              <c16:uniqueId val="{00000001-070B-4FF1-AAF1-21F55AA776DF}"/>
            </c:ext>
          </c:extLst>
        </c:ser>
        <c:ser>
          <c:idx val="6"/>
          <c:order val="6"/>
          <c:tx>
            <c:strRef>
              <c:f>'EL DEM - Time'!$K$3:$K$4</c:f>
              <c:strCache>
                <c:ptCount val="1"/>
                <c:pt idx="0">
                  <c:v>ESTONIA</c:v>
                </c:pt>
              </c:strCache>
            </c:strRef>
          </c:tx>
          <c:spPr>
            <a:ln w="28575" cap="rnd">
              <a:solidFill>
                <a:schemeClr val="accent1">
                  <a:lumMod val="60000"/>
                </a:schemeClr>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Time'!$K$5:$K$29</c:f>
              <c:numCache>
                <c:formatCode>General</c:formatCode>
                <c:ptCount val="24"/>
                <c:pt idx="0">
                  <c:v>870.65846578531102</c:v>
                </c:pt>
                <c:pt idx="1">
                  <c:v>832.46310001970096</c:v>
                </c:pt>
                <c:pt idx="2">
                  <c:v>811.89636460744998</c:v>
                </c:pt>
                <c:pt idx="3">
                  <c:v>806.02015448966404</c:v>
                </c:pt>
                <c:pt idx="4">
                  <c:v>808.95825954855695</c:v>
                </c:pt>
                <c:pt idx="5">
                  <c:v>821.69004813709296</c:v>
                </c:pt>
                <c:pt idx="6">
                  <c:v>848.13299366713102</c:v>
                </c:pt>
                <c:pt idx="7">
                  <c:v>891.225201197562</c:v>
                </c:pt>
                <c:pt idx="8">
                  <c:v>942.15235555170898</c:v>
                </c:pt>
                <c:pt idx="9">
                  <c:v>983.28582637621196</c:v>
                </c:pt>
                <c:pt idx="10">
                  <c:v>1027.3574022596099</c:v>
                </c:pt>
                <c:pt idx="11">
                  <c:v>1046.9447693188899</c:v>
                </c:pt>
                <c:pt idx="12">
                  <c:v>1048.90350602482</c:v>
                </c:pt>
                <c:pt idx="13">
                  <c:v>1052.8209794366801</c:v>
                </c:pt>
                <c:pt idx="14">
                  <c:v>1051.84161108372</c:v>
                </c:pt>
                <c:pt idx="15">
                  <c:v>1067.5115047311499</c:v>
                </c:pt>
                <c:pt idx="16">
                  <c:v>1137.04665779162</c:v>
                </c:pt>
                <c:pt idx="17">
                  <c:v>1157.6133932038699</c:v>
                </c:pt>
                <c:pt idx="18">
                  <c:v>1148.79907802719</c:v>
                </c:pt>
                <c:pt idx="19">
                  <c:v>1134.10855273272</c:v>
                </c:pt>
                <c:pt idx="20">
                  <c:v>1106.68623884972</c:v>
                </c:pt>
                <c:pt idx="21">
                  <c:v>1053.80034778965</c:v>
                </c:pt>
                <c:pt idx="22">
                  <c:v>989.16203649399802</c:v>
                </c:pt>
                <c:pt idx="23">
                  <c:v>922.564988492422</c:v>
                </c:pt>
              </c:numCache>
            </c:numRef>
          </c:val>
          <c:smooth val="0"/>
          <c:extLst>
            <c:ext xmlns:c16="http://schemas.microsoft.com/office/drawing/2014/chart" uri="{C3380CC4-5D6E-409C-BE32-E72D297353CC}">
              <c16:uniqueId val="{00000002-070B-4FF1-AAF1-21F55AA776DF}"/>
            </c:ext>
          </c:extLst>
        </c:ser>
        <c:ser>
          <c:idx val="7"/>
          <c:order val="7"/>
          <c:tx>
            <c:strRef>
              <c:f>'EL DEM - Time'!$L$3:$L$4</c:f>
              <c:strCache>
                <c:ptCount val="1"/>
                <c:pt idx="0">
                  <c:v>LATVIA</c:v>
                </c:pt>
              </c:strCache>
            </c:strRef>
          </c:tx>
          <c:spPr>
            <a:ln w="28575" cap="rnd">
              <a:solidFill>
                <a:schemeClr val="accent2">
                  <a:lumMod val="60000"/>
                </a:schemeClr>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Time'!$L$5:$L$29</c:f>
              <c:numCache>
                <c:formatCode>General</c:formatCode>
                <c:ptCount val="24"/>
                <c:pt idx="0">
                  <c:v>626.37691782578304</c:v>
                </c:pt>
                <c:pt idx="1">
                  <c:v>576.15719409339499</c:v>
                </c:pt>
                <c:pt idx="2">
                  <c:v>556.98239048648304</c:v>
                </c:pt>
                <c:pt idx="3">
                  <c:v>546.93844574000605</c:v>
                </c:pt>
                <c:pt idx="4">
                  <c:v>555.15621871439703</c:v>
                </c:pt>
                <c:pt idx="5">
                  <c:v>599.89742713052397</c:v>
                </c:pt>
                <c:pt idx="6">
                  <c:v>724.99019351847198</c:v>
                </c:pt>
                <c:pt idx="7">
                  <c:v>907.60737072715494</c:v>
                </c:pt>
                <c:pt idx="8">
                  <c:v>1029.9608794569699</c:v>
                </c:pt>
                <c:pt idx="9">
                  <c:v>1064.65814312662</c:v>
                </c:pt>
                <c:pt idx="10">
                  <c:v>1077.4413455312299</c:v>
                </c:pt>
                <c:pt idx="11">
                  <c:v>1057.35345603828</c:v>
                </c:pt>
                <c:pt idx="12">
                  <c:v>1053.7011124941</c:v>
                </c:pt>
                <c:pt idx="13">
                  <c:v>1049.1356830638799</c:v>
                </c:pt>
                <c:pt idx="14">
                  <c:v>1052.7880266080599</c:v>
                </c:pt>
                <c:pt idx="15">
                  <c:v>1060.0927136964101</c:v>
                </c:pt>
                <c:pt idx="16">
                  <c:v>1103.9208362264901</c:v>
                </c:pt>
                <c:pt idx="17">
                  <c:v>1095.7030632521</c:v>
                </c:pt>
                <c:pt idx="18">
                  <c:v>1068.3104866707999</c:v>
                </c:pt>
                <c:pt idx="19">
                  <c:v>1029.9608794569699</c:v>
                </c:pt>
                <c:pt idx="20">
                  <c:v>994.35052990127997</c:v>
                </c:pt>
                <c:pt idx="21">
                  <c:v>943.21772028284795</c:v>
                </c:pt>
                <c:pt idx="22">
                  <c:v>849.16987402037603</c:v>
                </c:pt>
                <c:pt idx="23">
                  <c:v>740.51265358120997</c:v>
                </c:pt>
              </c:numCache>
            </c:numRef>
          </c:val>
          <c:smooth val="0"/>
          <c:extLst>
            <c:ext xmlns:c16="http://schemas.microsoft.com/office/drawing/2014/chart" uri="{C3380CC4-5D6E-409C-BE32-E72D297353CC}">
              <c16:uniqueId val="{00000003-070B-4FF1-AAF1-21F55AA776DF}"/>
            </c:ext>
          </c:extLst>
        </c:ser>
        <c:ser>
          <c:idx val="8"/>
          <c:order val="8"/>
          <c:tx>
            <c:strRef>
              <c:f>'EL DEM - Time'!$M$3:$M$4</c:f>
              <c:strCache>
                <c:ptCount val="1"/>
                <c:pt idx="0">
                  <c:v>LITHUANIA</c:v>
                </c:pt>
              </c:strCache>
            </c:strRef>
          </c:tx>
          <c:spPr>
            <a:ln w="28575" cap="rnd">
              <a:solidFill>
                <a:schemeClr val="accent3">
                  <a:lumMod val="60000"/>
                </a:schemeClr>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Time'!$M$5:$M$29</c:f>
              <c:numCache>
                <c:formatCode>General</c:formatCode>
                <c:ptCount val="24"/>
                <c:pt idx="0">
                  <c:v>922.09306422709301</c:v>
                </c:pt>
                <c:pt idx="1">
                  <c:v>850.190348850345</c:v>
                </c:pt>
                <c:pt idx="2">
                  <c:v>807.52280346194505</c:v>
                </c:pt>
                <c:pt idx="3">
                  <c:v>786.97917049715898</c:v>
                </c:pt>
                <c:pt idx="4">
                  <c:v>777.49749374418104</c:v>
                </c:pt>
                <c:pt idx="5">
                  <c:v>786.18903076774404</c:v>
                </c:pt>
                <c:pt idx="6">
                  <c:v>843.07909128561096</c:v>
                </c:pt>
                <c:pt idx="7">
                  <c:v>1027.1816482392601</c:v>
                </c:pt>
                <c:pt idx="8">
                  <c:v>1220.76588194589</c:v>
                </c:pt>
                <c:pt idx="9">
                  <c:v>1321.11362758158</c:v>
                </c:pt>
                <c:pt idx="10">
                  <c:v>1332.1755837933799</c:v>
                </c:pt>
                <c:pt idx="11">
                  <c:v>1332.9657235228001</c:v>
                </c:pt>
                <c:pt idx="12">
                  <c:v>1332.9657235228001</c:v>
                </c:pt>
                <c:pt idx="13">
                  <c:v>1310.05167136977</c:v>
                </c:pt>
                <c:pt idx="14">
                  <c:v>1327.4347454168999</c:v>
                </c:pt>
                <c:pt idx="15">
                  <c:v>1326.64460568748</c:v>
                </c:pt>
                <c:pt idx="16">
                  <c:v>1326.64460568748</c:v>
                </c:pt>
                <c:pt idx="17">
                  <c:v>1355.8797756758299</c:v>
                </c:pt>
                <c:pt idx="18">
                  <c:v>1379.5839675582699</c:v>
                </c:pt>
                <c:pt idx="19">
                  <c:v>1344.02767973461</c:v>
                </c:pt>
                <c:pt idx="20">
                  <c:v>1306.8911124521101</c:v>
                </c:pt>
                <c:pt idx="21">
                  <c:v>1265.80384652254</c:v>
                </c:pt>
                <c:pt idx="22">
                  <c:v>1197.06169006345</c:v>
                </c:pt>
                <c:pt idx="23">
                  <c:v>1069.84919362766</c:v>
                </c:pt>
              </c:numCache>
            </c:numRef>
          </c:val>
          <c:smooth val="0"/>
          <c:extLst>
            <c:ext xmlns:c16="http://schemas.microsoft.com/office/drawing/2014/chart" uri="{C3380CC4-5D6E-409C-BE32-E72D297353CC}">
              <c16:uniqueId val="{00000004-070B-4FF1-AAF1-21F55AA776DF}"/>
            </c:ext>
          </c:extLst>
        </c:ser>
        <c:ser>
          <c:idx val="9"/>
          <c:order val="9"/>
          <c:tx>
            <c:strRef>
              <c:f>'EL DEM - Time'!$N$3:$N$4</c:f>
              <c:strCache>
                <c:ptCount val="1"/>
                <c:pt idx="0">
                  <c:v>POLAND</c:v>
                </c:pt>
              </c:strCache>
            </c:strRef>
          </c:tx>
          <c:spPr>
            <a:ln w="28575" cap="rnd">
              <a:solidFill>
                <a:schemeClr val="accent4">
                  <a:lumMod val="60000"/>
                </a:schemeClr>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Time'!$N$5:$N$29</c:f>
              <c:numCache>
                <c:formatCode>General</c:formatCode>
                <c:ptCount val="24"/>
                <c:pt idx="0">
                  <c:v>13308.6951599888</c:v>
                </c:pt>
                <c:pt idx="1">
                  <c:v>13012.2492689766</c:v>
                </c:pt>
                <c:pt idx="2">
                  <c:v>12948.725149473999</c:v>
                </c:pt>
                <c:pt idx="3">
                  <c:v>13124.396788592299</c:v>
                </c:pt>
                <c:pt idx="4">
                  <c:v>13603.572554222999</c:v>
                </c:pt>
                <c:pt idx="5">
                  <c:v>15026.1991317257</c:v>
                </c:pt>
                <c:pt idx="6">
                  <c:v>17854.198822174701</c:v>
                </c:pt>
                <c:pt idx="7">
                  <c:v>18697.265840264699</c:v>
                </c:pt>
                <c:pt idx="8">
                  <c:v>19099.5852637811</c:v>
                </c:pt>
                <c:pt idx="9">
                  <c:v>19130.170950949101</c:v>
                </c:pt>
                <c:pt idx="10">
                  <c:v>19352.897493402601</c:v>
                </c:pt>
                <c:pt idx="11">
                  <c:v>19265.845922232402</c:v>
                </c:pt>
                <c:pt idx="12">
                  <c:v>19321.527557845799</c:v>
                </c:pt>
                <c:pt idx="13">
                  <c:v>18755.300221044799</c:v>
                </c:pt>
                <c:pt idx="14">
                  <c:v>19021.160424889102</c:v>
                </c:pt>
                <c:pt idx="15">
                  <c:v>19991.275681984302</c:v>
                </c:pt>
                <c:pt idx="16">
                  <c:v>21362.926114206999</c:v>
                </c:pt>
                <c:pt idx="17">
                  <c:v>20902.5723099104</c:v>
                </c:pt>
                <c:pt idx="18">
                  <c:v>21033.541790860199</c:v>
                </c:pt>
                <c:pt idx="19">
                  <c:v>20687.688251346099</c:v>
                </c:pt>
                <c:pt idx="20">
                  <c:v>20014.018885263002</c:v>
                </c:pt>
                <c:pt idx="21">
                  <c:v>18029.870461293001</c:v>
                </c:pt>
                <c:pt idx="22">
                  <c:v>16967.213894305001</c:v>
                </c:pt>
                <c:pt idx="23">
                  <c:v>15700.6527461977</c:v>
                </c:pt>
              </c:numCache>
            </c:numRef>
          </c:val>
          <c:smooth val="0"/>
          <c:extLst>
            <c:ext xmlns:c16="http://schemas.microsoft.com/office/drawing/2014/chart" uri="{C3380CC4-5D6E-409C-BE32-E72D297353CC}">
              <c16:uniqueId val="{00000005-070B-4FF1-AAF1-21F55AA776DF}"/>
            </c:ext>
          </c:extLst>
        </c:ser>
        <c:ser>
          <c:idx val="10"/>
          <c:order val="10"/>
          <c:tx>
            <c:strRef>
              <c:f>'EL DEM - Time'!$O$3:$O$4</c:f>
              <c:strCache>
                <c:ptCount val="1"/>
                <c:pt idx="0">
                  <c:v>FINLAND</c:v>
                </c:pt>
              </c:strCache>
            </c:strRef>
          </c:tx>
          <c:spPr>
            <a:ln w="28575" cap="rnd">
              <a:solidFill>
                <a:schemeClr val="accent5">
                  <a:lumMod val="60000"/>
                </a:schemeClr>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Time'!$O$5:$O$29</c:f>
              <c:numCache>
                <c:formatCode>General</c:formatCode>
                <c:ptCount val="24"/>
                <c:pt idx="0">
                  <c:v>8431.4422706258101</c:v>
                </c:pt>
                <c:pt idx="1">
                  <c:v>8215.9630102729298</c:v>
                </c:pt>
                <c:pt idx="2">
                  <c:v>8184.9470561312301</c:v>
                </c:pt>
                <c:pt idx="3">
                  <c:v>8260.0383135269294</c:v>
                </c:pt>
                <c:pt idx="4">
                  <c:v>8619.1704141150603</c:v>
                </c:pt>
                <c:pt idx="5">
                  <c:v>9508.0223630706696</c:v>
                </c:pt>
                <c:pt idx="6">
                  <c:v>9961.8347447229407</c:v>
                </c:pt>
                <c:pt idx="7">
                  <c:v>10232.8162388031</c:v>
                </c:pt>
                <c:pt idx="8">
                  <c:v>10107.9362129167</c:v>
                </c:pt>
                <c:pt idx="9">
                  <c:v>9990.4020709060896</c:v>
                </c:pt>
                <c:pt idx="10">
                  <c:v>9983.8723963499397</c:v>
                </c:pt>
                <c:pt idx="11">
                  <c:v>9885.9272780077208</c:v>
                </c:pt>
                <c:pt idx="12">
                  <c:v>9803.49013673636</c:v>
                </c:pt>
                <c:pt idx="13">
                  <c:v>9735.7447632163203</c:v>
                </c:pt>
                <c:pt idx="14">
                  <c:v>9851.6464865879498</c:v>
                </c:pt>
                <c:pt idx="15">
                  <c:v>9981.4237683913907</c:v>
                </c:pt>
                <c:pt idx="16">
                  <c:v>10041.8232580358</c:v>
                </c:pt>
                <c:pt idx="17">
                  <c:v>10019.785606408799</c:v>
                </c:pt>
                <c:pt idx="18">
                  <c:v>10040.190839396701</c:v>
                </c:pt>
                <c:pt idx="19">
                  <c:v>9905.5163016761708</c:v>
                </c:pt>
                <c:pt idx="20">
                  <c:v>9537.4058985733409</c:v>
                </c:pt>
                <c:pt idx="21">
                  <c:v>9676.9776922109904</c:v>
                </c:pt>
                <c:pt idx="22">
                  <c:v>9284.3810095226108</c:v>
                </c:pt>
                <c:pt idx="23">
                  <c:v>8881.9898150000008</c:v>
                </c:pt>
              </c:numCache>
            </c:numRef>
          </c:val>
          <c:smooth val="0"/>
          <c:extLst>
            <c:ext xmlns:c16="http://schemas.microsoft.com/office/drawing/2014/chart" uri="{C3380CC4-5D6E-409C-BE32-E72D297353CC}">
              <c16:uniqueId val="{00000006-070B-4FF1-AAF1-21F55AA776DF}"/>
            </c:ext>
          </c:extLst>
        </c:ser>
        <c:dLbls>
          <c:showLegendKey val="0"/>
          <c:showVal val="0"/>
          <c:showCatName val="0"/>
          <c:showSerName val="0"/>
          <c:showPercent val="0"/>
          <c:showBubbleSize val="0"/>
        </c:dLbls>
        <c:smooth val="0"/>
        <c:axId val="269703352"/>
        <c:axId val="269703744"/>
      </c:lineChart>
      <c:catAx>
        <c:axId val="269703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3744"/>
        <c:crosses val="autoZero"/>
        <c:auto val="1"/>
        <c:lblAlgn val="ctr"/>
        <c:lblOffset val="100"/>
        <c:noMultiLvlLbl val="0"/>
      </c:catAx>
      <c:valAx>
        <c:axId val="269703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33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DEM - Annual!PivotTable3</c:name>
    <c:fmtId val="1"/>
  </c:pivotSource>
  <c:chart>
    <c:autoTitleDeleted val="1"/>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'EL DEM - Annual'!$D$4:$D$5</c:f>
              <c:strCache>
                <c:ptCount val="1"/>
                <c:pt idx="0">
                  <c:v>2016</c:v>
                </c:pt>
              </c:strCache>
            </c:strRef>
          </c:tx>
          <c:spPr>
            <a:solidFill>
              <a:schemeClr val="accent1"/>
            </a:solidFill>
            <a:ln>
              <a:noFill/>
            </a:ln>
            <a:effectLst/>
          </c:spPr>
          <c:invertIfNegative val="0"/>
          <c:cat>
            <c:strRef>
              <c:f>'EL DEM - Annual'!$C$6:$C$17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'EL DEM - Annual'!$D$6:$D$17</c:f>
              <c:numCache>
                <c:formatCode>General</c:formatCode>
                <c:ptCount val="11"/>
                <c:pt idx="0">
                  <c:v>30.971806999999998</c:v>
                </c:pt>
                <c:pt idx="1">
                  <c:v>525.1</c:v>
                </c:pt>
                <c:pt idx="2">
                  <c:v>124.887765</c:v>
                </c:pt>
                <c:pt idx="3">
                  <c:v>130.24962600000001</c:v>
                </c:pt>
                <c:pt idx="4">
                  <c:v>111.094668</c:v>
                </c:pt>
                <c:pt idx="5">
                  <c:v>322.90002489405998</c:v>
                </c:pt>
                <c:pt idx="6">
                  <c:v>8.6</c:v>
                </c:pt>
                <c:pt idx="7">
                  <c:v>7.798</c:v>
                </c:pt>
                <c:pt idx="8">
                  <c:v>10.055966111111101</c:v>
                </c:pt>
                <c:pt idx="9">
                  <c:v>155.567216</c:v>
                </c:pt>
                <c:pt idx="10">
                  <c:v>83.272103000000001</c:v>
                </c:pt>
              </c:numCache>
            </c:numRef>
          </c:val>
          <c:extLst>
            <c:ext xmlns:c16="http://schemas.microsoft.com/office/drawing/2014/chart" uri="{C3380CC4-5D6E-409C-BE32-E72D297353CC}">
              <c16:uniqueId val="{00000000-61C2-4C88-B3A0-5995242AC754}"/>
            </c:ext>
          </c:extLst>
        </c:ser>
        <c:dLbls>
          <c:showLegendKey val="0"/>
          <c:showVal val="0"/>
          <c:showCatName val="0"/>
          <c:showSerName val="0"/>
          <c:showPercent val="0"/>
          <c:showBubbleSize val="0"/>
        </c:dLbls>
        <c:gapWidth val="219"/>
        <c:overlap val="-27"/>
        <c:axId val="269704528"/>
        <c:axId val="269704920"/>
      </c:barChart>
      <c:catAx>
        <c:axId val="269704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4920"/>
        <c:crosses val="autoZero"/>
        <c:auto val="1"/>
        <c:lblAlgn val="ctr"/>
        <c:lblOffset val="100"/>
        <c:noMultiLvlLbl val="0"/>
      </c:catAx>
      <c:valAx>
        <c:axId val="269704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4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CAP Exo!PivotTable2</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bg1">
              <a:lumMod val="65000"/>
            </a:schemeClr>
          </a:solidFill>
          <a:ln>
            <a:noFill/>
          </a:ln>
          <a:effectLst/>
        </c:spPr>
        <c:marker>
          <c:symbol val="none"/>
        </c:marker>
      </c:pivotFmt>
      <c:pivotFmt>
        <c:idx val="17"/>
        <c:spPr>
          <a:solidFill>
            <a:srgbClr val="FFC000"/>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bg1">
              <a:lumMod val="65000"/>
            </a:schemeClr>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4">
              <a:lumMod val="50000"/>
            </a:schemeClr>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lumMod val="75000"/>
            </a:schemeClr>
          </a:solidFill>
          <a:ln>
            <a:noFill/>
          </a:ln>
          <a:effectLst/>
        </c:spPr>
        <c:marker>
          <c:symbol val="none"/>
        </c:marker>
      </c:pivotFmt>
      <c:pivotFmt>
        <c:idx val="30"/>
        <c:spPr>
          <a:solidFill>
            <a:schemeClr val="accent1">
              <a:lumMod val="40000"/>
              <a:lumOff val="60000"/>
            </a:schemeClr>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s>
    <c:plotArea>
      <c:layout/>
      <c:barChart>
        <c:barDir val="col"/>
        <c:grouping val="stacked"/>
        <c:varyColors val="0"/>
        <c:ser>
          <c:idx val="0"/>
          <c:order val="0"/>
          <c:tx>
            <c:strRef>
              <c:f>'EL GEN CAP Exo'!$D$4:$D$5</c:f>
              <c:strCache>
                <c:ptCount val="1"/>
                <c:pt idx="0">
                  <c:v>BIOGAS</c:v>
                </c:pt>
              </c:strCache>
            </c:strRef>
          </c:tx>
          <c:spPr>
            <a:solidFill>
              <a:schemeClr val="accent1"/>
            </a:solidFill>
            <a:ln>
              <a:noFill/>
            </a:ln>
            <a:effectLst/>
          </c:spPr>
          <c:invertIfNegative val="0"/>
          <c:cat>
            <c:multiLvlStrRef>
              <c:f>'EL GEN CAP Exo'!$B$6:$C$9</c:f>
              <c:multiLvlStrCache>
                <c:ptCount val="3"/>
                <c:lvl>
                  <c:pt idx="0">
                    <c:v>2016</c:v>
                  </c:pt>
                  <c:pt idx="1">
                    <c:v>2020</c:v>
                  </c:pt>
                  <c:pt idx="2">
                    <c:v>2030</c:v>
                  </c:pt>
                </c:lvl>
                <c:lvl>
                  <c:pt idx="0">
                    <c:v>ESTONIA</c:v>
                  </c:pt>
                </c:lvl>
              </c:multiLvlStrCache>
            </c:multiLvlStrRef>
          </c:cat>
          <c:val>
            <c:numRef>
              <c:f>'EL GEN CAP Exo'!$D$6:$D$9</c:f>
              <c:numCache>
                <c:formatCode>General</c:formatCode>
                <c:ptCount val="3"/>
                <c:pt idx="0">
                  <c:v>1.173333333333332E-3</c:v>
                </c:pt>
                <c:pt idx="1">
                  <c:v>1.173333333333332E-3</c:v>
                </c:pt>
                <c:pt idx="2">
                  <c:v>1.173333333333332E-3</c:v>
                </c:pt>
              </c:numCache>
            </c:numRef>
          </c:val>
          <c:extLst>
            <c:ext xmlns:c16="http://schemas.microsoft.com/office/drawing/2014/chart" uri="{C3380CC4-5D6E-409C-BE32-E72D297353CC}">
              <c16:uniqueId val="{00000000-918A-436D-9023-CD4EFEB653BD}"/>
            </c:ext>
          </c:extLst>
        </c:ser>
        <c:ser>
          <c:idx val="1"/>
          <c:order val="1"/>
          <c:tx>
            <c:strRef>
              <c:f>'EL GEN CAP Exo'!$E$4:$E$5</c:f>
              <c:strCache>
                <c:ptCount val="1"/>
                <c:pt idx="0">
                  <c:v>WATER</c:v>
                </c:pt>
              </c:strCache>
            </c:strRef>
          </c:tx>
          <c:spPr>
            <a:solidFill>
              <a:schemeClr val="accent2"/>
            </a:solidFill>
            <a:ln>
              <a:noFill/>
            </a:ln>
            <a:effectLst/>
          </c:spPr>
          <c:invertIfNegative val="0"/>
          <c:cat>
            <c:multiLvlStrRef>
              <c:f>'EL GEN CAP Exo'!$B$6:$C$9</c:f>
              <c:multiLvlStrCache>
                <c:ptCount val="3"/>
                <c:lvl>
                  <c:pt idx="0">
                    <c:v>2016</c:v>
                  </c:pt>
                  <c:pt idx="1">
                    <c:v>2020</c:v>
                  </c:pt>
                  <c:pt idx="2">
                    <c:v>2030</c:v>
                  </c:pt>
                </c:lvl>
                <c:lvl>
                  <c:pt idx="0">
                    <c:v>ESTONIA</c:v>
                  </c:pt>
                </c:lvl>
              </c:multiLvlStrCache>
            </c:multiLvlStrRef>
          </c:cat>
          <c:val>
            <c:numRef>
              <c:f>'EL GEN CAP Exo'!$E$6:$E$9</c:f>
              <c:numCache>
                <c:formatCode>General</c:formatCode>
                <c:ptCount val="3"/>
                <c:pt idx="0">
                  <c:v>2.93333333333333E-4</c:v>
                </c:pt>
                <c:pt idx="1">
                  <c:v>2.93333333333333E-4</c:v>
                </c:pt>
                <c:pt idx="2">
                  <c:v>2.93333333333333E-4</c:v>
                </c:pt>
              </c:numCache>
            </c:numRef>
          </c:val>
          <c:extLst>
            <c:ext xmlns:c16="http://schemas.microsoft.com/office/drawing/2014/chart" uri="{C3380CC4-5D6E-409C-BE32-E72D297353CC}">
              <c16:uniqueId val="{00000045-6DCC-4165-9A16-1E780A3AA617}"/>
            </c:ext>
          </c:extLst>
        </c:ser>
        <c:ser>
          <c:idx val="2"/>
          <c:order val="2"/>
          <c:tx>
            <c:strRef>
              <c:f>'EL GEN CAP Exo'!$F$4:$F$5</c:f>
              <c:strCache>
                <c:ptCount val="1"/>
                <c:pt idx="0">
                  <c:v>WIND</c:v>
                </c:pt>
              </c:strCache>
            </c:strRef>
          </c:tx>
          <c:spPr>
            <a:solidFill>
              <a:schemeClr val="accent3"/>
            </a:solidFill>
            <a:ln>
              <a:noFill/>
            </a:ln>
            <a:effectLst/>
          </c:spPr>
          <c:invertIfNegative val="0"/>
          <c:cat>
            <c:multiLvlStrRef>
              <c:f>'EL GEN CAP Exo'!$B$6:$C$9</c:f>
              <c:multiLvlStrCache>
                <c:ptCount val="3"/>
                <c:lvl>
                  <c:pt idx="0">
                    <c:v>2016</c:v>
                  </c:pt>
                  <c:pt idx="1">
                    <c:v>2020</c:v>
                  </c:pt>
                  <c:pt idx="2">
                    <c:v>2030</c:v>
                  </c:pt>
                </c:lvl>
                <c:lvl>
                  <c:pt idx="0">
                    <c:v>ESTONIA</c:v>
                  </c:pt>
                </c:lvl>
              </c:multiLvlStrCache>
            </c:multiLvlStrRef>
          </c:cat>
          <c:val>
            <c:numRef>
              <c:f>'EL GEN CAP Exo'!$F$6:$F$9</c:f>
              <c:numCache>
                <c:formatCode>General</c:formatCode>
                <c:ptCount val="3"/>
                <c:pt idx="0">
                  <c:v>2.93333333333333E-4</c:v>
                </c:pt>
                <c:pt idx="1">
                  <c:v>2.93333333333333E-4</c:v>
                </c:pt>
                <c:pt idx="2">
                  <c:v>2.93333333333333E-4</c:v>
                </c:pt>
              </c:numCache>
            </c:numRef>
          </c:val>
          <c:extLst>
            <c:ext xmlns:c16="http://schemas.microsoft.com/office/drawing/2014/chart" uri="{C3380CC4-5D6E-409C-BE32-E72D297353CC}">
              <c16:uniqueId val="{00000046-6DCC-4165-9A16-1E780A3AA617}"/>
            </c:ext>
          </c:extLst>
        </c:ser>
        <c:ser>
          <c:idx val="3"/>
          <c:order val="3"/>
          <c:tx>
            <c:strRef>
              <c:f>'EL GEN CAP Exo'!$G$4:$G$5</c:f>
              <c:strCache>
                <c:ptCount val="1"/>
                <c:pt idx="0">
                  <c:v>WOOD</c:v>
                </c:pt>
              </c:strCache>
            </c:strRef>
          </c:tx>
          <c:spPr>
            <a:solidFill>
              <a:schemeClr val="accent4"/>
            </a:solidFill>
            <a:ln>
              <a:noFill/>
            </a:ln>
            <a:effectLst/>
          </c:spPr>
          <c:invertIfNegative val="0"/>
          <c:cat>
            <c:multiLvlStrRef>
              <c:f>'EL GEN CAP Exo'!$B$6:$C$9</c:f>
              <c:multiLvlStrCache>
                <c:ptCount val="3"/>
                <c:lvl>
                  <c:pt idx="0">
                    <c:v>2016</c:v>
                  </c:pt>
                  <c:pt idx="1">
                    <c:v>2020</c:v>
                  </c:pt>
                  <c:pt idx="2">
                    <c:v>2030</c:v>
                  </c:pt>
                </c:lvl>
                <c:lvl>
                  <c:pt idx="0">
                    <c:v>ESTONIA</c:v>
                  </c:pt>
                </c:lvl>
              </c:multiLvlStrCache>
            </c:multiLvlStrRef>
          </c:cat>
          <c:val>
            <c:numRef>
              <c:f>'EL GEN CAP Exo'!$G$6:$G$9</c:f>
              <c:numCache>
                <c:formatCode>General</c:formatCode>
                <c:ptCount val="3"/>
                <c:pt idx="0">
                  <c:v>2.6399999999999969E-3</c:v>
                </c:pt>
                <c:pt idx="1">
                  <c:v>2.6399999999999969E-3</c:v>
                </c:pt>
                <c:pt idx="2">
                  <c:v>2.6399999999999969E-3</c:v>
                </c:pt>
              </c:numCache>
            </c:numRef>
          </c:val>
          <c:extLst>
            <c:ext xmlns:c16="http://schemas.microsoft.com/office/drawing/2014/chart" uri="{C3380CC4-5D6E-409C-BE32-E72D297353CC}">
              <c16:uniqueId val="{00000047-6DCC-4165-9A16-1E780A3AA617}"/>
            </c:ext>
          </c:extLst>
        </c:ser>
        <c:ser>
          <c:idx val="4"/>
          <c:order val="4"/>
          <c:tx>
            <c:strRef>
              <c:f>'EL GEN CAP Exo'!$H$4:$H$5</c:f>
              <c:strCache>
                <c:ptCount val="1"/>
                <c:pt idx="0">
                  <c:v>NATGAS</c:v>
                </c:pt>
              </c:strCache>
            </c:strRef>
          </c:tx>
          <c:spPr>
            <a:solidFill>
              <a:schemeClr val="accent5"/>
            </a:solidFill>
            <a:ln>
              <a:noFill/>
            </a:ln>
            <a:effectLst/>
          </c:spPr>
          <c:invertIfNegative val="0"/>
          <c:cat>
            <c:multiLvlStrRef>
              <c:f>'EL GEN CAP Exo'!$B$6:$C$9</c:f>
              <c:multiLvlStrCache>
                <c:ptCount val="3"/>
                <c:lvl>
                  <c:pt idx="0">
                    <c:v>2016</c:v>
                  </c:pt>
                  <c:pt idx="1">
                    <c:v>2020</c:v>
                  </c:pt>
                  <c:pt idx="2">
                    <c:v>2030</c:v>
                  </c:pt>
                </c:lvl>
                <c:lvl>
                  <c:pt idx="0">
                    <c:v>ESTONIA</c:v>
                  </c:pt>
                </c:lvl>
              </c:multiLvlStrCache>
            </c:multiLvlStrRef>
          </c:cat>
          <c:val>
            <c:numRef>
              <c:f>'EL GEN CAP Exo'!$H$6:$H$9</c:f>
              <c:numCache>
                <c:formatCode>General</c:formatCode>
                <c:ptCount val="3"/>
                <c:pt idx="0">
                  <c:v>1.7599999999999979E-3</c:v>
                </c:pt>
                <c:pt idx="1">
                  <c:v>1.7599999999999979E-3</c:v>
                </c:pt>
                <c:pt idx="2">
                  <c:v>1.4666666666666649E-3</c:v>
                </c:pt>
              </c:numCache>
            </c:numRef>
          </c:val>
          <c:extLst>
            <c:ext xmlns:c16="http://schemas.microsoft.com/office/drawing/2014/chart" uri="{C3380CC4-5D6E-409C-BE32-E72D297353CC}">
              <c16:uniqueId val="{00000048-6DCC-4165-9A16-1E780A3AA617}"/>
            </c:ext>
          </c:extLst>
        </c:ser>
        <c:ser>
          <c:idx val="5"/>
          <c:order val="5"/>
          <c:tx>
            <c:strRef>
              <c:f>'EL GEN CAP Exo'!$I$4:$I$5</c:f>
              <c:strCache>
                <c:ptCount val="1"/>
                <c:pt idx="0">
                  <c:v>WOODWASTE</c:v>
                </c:pt>
              </c:strCache>
            </c:strRef>
          </c:tx>
          <c:spPr>
            <a:solidFill>
              <a:schemeClr val="accent6"/>
            </a:solidFill>
            <a:ln>
              <a:noFill/>
            </a:ln>
            <a:effectLst/>
          </c:spPr>
          <c:invertIfNegative val="0"/>
          <c:cat>
            <c:multiLvlStrRef>
              <c:f>'EL GEN CAP Exo'!$B$6:$C$9</c:f>
              <c:multiLvlStrCache>
                <c:ptCount val="3"/>
                <c:lvl>
                  <c:pt idx="0">
                    <c:v>2016</c:v>
                  </c:pt>
                  <c:pt idx="1">
                    <c:v>2020</c:v>
                  </c:pt>
                  <c:pt idx="2">
                    <c:v>2030</c:v>
                  </c:pt>
                </c:lvl>
                <c:lvl>
                  <c:pt idx="0">
                    <c:v>ESTONIA</c:v>
                  </c:pt>
                </c:lvl>
              </c:multiLvlStrCache>
            </c:multiLvlStrRef>
          </c:cat>
          <c:val>
            <c:numRef>
              <c:f>'EL GEN CAP Exo'!$I$6:$I$9</c:f>
              <c:numCache>
                <c:formatCode>General</c:formatCode>
                <c:ptCount val="3"/>
                <c:pt idx="0">
                  <c:v>5.86666666666666E-4</c:v>
                </c:pt>
                <c:pt idx="1">
                  <c:v>5.86666666666666E-4</c:v>
                </c:pt>
                <c:pt idx="2">
                  <c:v>5.86666666666666E-4</c:v>
                </c:pt>
              </c:numCache>
            </c:numRef>
          </c:val>
          <c:extLst>
            <c:ext xmlns:c16="http://schemas.microsoft.com/office/drawing/2014/chart" uri="{C3380CC4-5D6E-409C-BE32-E72D297353CC}">
              <c16:uniqueId val="{00000049-6DCC-4165-9A16-1E780A3AA617}"/>
            </c:ext>
          </c:extLst>
        </c:ser>
        <c:ser>
          <c:idx val="6"/>
          <c:order val="6"/>
          <c:tx>
            <c:strRef>
              <c:f>'EL GEN CAP Exo'!$J$4:$J$5</c:f>
              <c:strCache>
                <c:ptCount val="1"/>
                <c:pt idx="0">
                  <c:v>MUNIWASTE</c:v>
                </c:pt>
              </c:strCache>
            </c:strRef>
          </c:tx>
          <c:spPr>
            <a:solidFill>
              <a:schemeClr val="accent1">
                <a:lumMod val="60000"/>
              </a:schemeClr>
            </a:solidFill>
            <a:ln>
              <a:noFill/>
            </a:ln>
            <a:effectLst/>
          </c:spPr>
          <c:invertIfNegative val="0"/>
          <c:cat>
            <c:multiLvlStrRef>
              <c:f>'EL GEN CAP Exo'!$B$6:$C$9</c:f>
              <c:multiLvlStrCache>
                <c:ptCount val="3"/>
                <c:lvl>
                  <c:pt idx="0">
                    <c:v>2016</c:v>
                  </c:pt>
                  <c:pt idx="1">
                    <c:v>2020</c:v>
                  </c:pt>
                  <c:pt idx="2">
                    <c:v>2030</c:v>
                  </c:pt>
                </c:lvl>
                <c:lvl>
                  <c:pt idx="0">
                    <c:v>ESTONIA</c:v>
                  </c:pt>
                </c:lvl>
              </c:multiLvlStrCache>
            </c:multiLvlStrRef>
          </c:cat>
          <c:val>
            <c:numRef>
              <c:f>'EL GEN CAP Exo'!$J$6:$J$9</c:f>
              <c:numCache>
                <c:formatCode>General</c:formatCode>
                <c:ptCount val="3"/>
                <c:pt idx="0">
                  <c:v>2.93333333333333E-4</c:v>
                </c:pt>
                <c:pt idx="1">
                  <c:v>2.93333333333333E-4</c:v>
                </c:pt>
                <c:pt idx="2">
                  <c:v>2.93333333333333E-4</c:v>
                </c:pt>
              </c:numCache>
            </c:numRef>
          </c:val>
          <c:extLst>
            <c:ext xmlns:c16="http://schemas.microsoft.com/office/drawing/2014/chart" uri="{C3380CC4-5D6E-409C-BE32-E72D297353CC}">
              <c16:uniqueId val="{0000004A-6DCC-4165-9A16-1E780A3AA617}"/>
            </c:ext>
          </c:extLst>
        </c:ser>
        <c:ser>
          <c:idx val="7"/>
          <c:order val="7"/>
          <c:tx>
            <c:strRef>
              <c:f>'EL GEN CAP Exo'!$K$4:$K$5</c:f>
              <c:strCache>
                <c:ptCount val="1"/>
                <c:pt idx="0">
                  <c:v>SHALE</c:v>
                </c:pt>
              </c:strCache>
            </c:strRef>
          </c:tx>
          <c:spPr>
            <a:solidFill>
              <a:schemeClr val="accent2">
                <a:lumMod val="60000"/>
              </a:schemeClr>
            </a:solidFill>
            <a:ln>
              <a:noFill/>
            </a:ln>
            <a:effectLst/>
          </c:spPr>
          <c:invertIfNegative val="0"/>
          <c:cat>
            <c:multiLvlStrRef>
              <c:f>'EL GEN CAP Exo'!$B$6:$C$9</c:f>
              <c:multiLvlStrCache>
                <c:ptCount val="3"/>
                <c:lvl>
                  <c:pt idx="0">
                    <c:v>2016</c:v>
                  </c:pt>
                  <c:pt idx="1">
                    <c:v>2020</c:v>
                  </c:pt>
                  <c:pt idx="2">
                    <c:v>2030</c:v>
                  </c:pt>
                </c:lvl>
                <c:lvl>
                  <c:pt idx="0">
                    <c:v>ESTONIA</c:v>
                  </c:pt>
                </c:lvl>
              </c:multiLvlStrCache>
            </c:multiLvlStrRef>
          </c:cat>
          <c:val>
            <c:numRef>
              <c:f>'EL GEN CAP Exo'!$K$6:$K$9</c:f>
              <c:numCache>
                <c:formatCode>General</c:formatCode>
                <c:ptCount val="3"/>
                <c:pt idx="0">
                  <c:v>3.2266666666666628E-3</c:v>
                </c:pt>
                <c:pt idx="1">
                  <c:v>3.2266666666666628E-3</c:v>
                </c:pt>
                <c:pt idx="2">
                  <c:v>2.0533333333333311E-3</c:v>
                </c:pt>
              </c:numCache>
            </c:numRef>
          </c:val>
          <c:extLst>
            <c:ext xmlns:c16="http://schemas.microsoft.com/office/drawing/2014/chart" uri="{C3380CC4-5D6E-409C-BE32-E72D297353CC}">
              <c16:uniqueId val="{0000004B-6DCC-4165-9A16-1E780A3AA617}"/>
            </c:ext>
          </c:extLst>
        </c:ser>
        <c:ser>
          <c:idx val="8"/>
          <c:order val="8"/>
          <c:tx>
            <c:strRef>
              <c:f>'EL GEN CAP Exo'!$L$4:$L$5</c:f>
              <c:strCache>
                <c:ptCount val="1"/>
                <c:pt idx="0">
                  <c:v>RETORTGAS</c:v>
                </c:pt>
              </c:strCache>
            </c:strRef>
          </c:tx>
          <c:spPr>
            <a:solidFill>
              <a:schemeClr val="accent3">
                <a:lumMod val="60000"/>
              </a:schemeClr>
            </a:solidFill>
            <a:ln>
              <a:noFill/>
            </a:ln>
            <a:effectLst/>
          </c:spPr>
          <c:invertIfNegative val="0"/>
          <c:cat>
            <c:multiLvlStrRef>
              <c:f>'EL GEN CAP Exo'!$B$6:$C$9</c:f>
              <c:multiLvlStrCache>
                <c:ptCount val="3"/>
                <c:lvl>
                  <c:pt idx="0">
                    <c:v>2016</c:v>
                  </c:pt>
                  <c:pt idx="1">
                    <c:v>2020</c:v>
                  </c:pt>
                  <c:pt idx="2">
                    <c:v>2030</c:v>
                  </c:pt>
                </c:lvl>
                <c:lvl>
                  <c:pt idx="0">
                    <c:v>ESTONIA</c:v>
                  </c:pt>
                </c:lvl>
              </c:multiLvlStrCache>
            </c:multiLvlStrRef>
          </c:cat>
          <c:val>
            <c:numRef>
              <c:f>'EL GEN CAP Exo'!$L$6:$L$9</c:f>
              <c:numCache>
                <c:formatCode>General</c:formatCode>
                <c:ptCount val="3"/>
                <c:pt idx="0">
                  <c:v>5.86666666666666E-4</c:v>
                </c:pt>
                <c:pt idx="1">
                  <c:v>5.86666666666666E-4</c:v>
                </c:pt>
                <c:pt idx="2">
                  <c:v>5.86666666666666E-4</c:v>
                </c:pt>
              </c:numCache>
            </c:numRef>
          </c:val>
          <c:extLst>
            <c:ext xmlns:c16="http://schemas.microsoft.com/office/drawing/2014/chart" uri="{C3380CC4-5D6E-409C-BE32-E72D297353CC}">
              <c16:uniqueId val="{0000004D-6DCC-4165-9A16-1E780A3AA617}"/>
            </c:ext>
          </c:extLst>
        </c:ser>
        <c:dLbls>
          <c:showLegendKey val="0"/>
          <c:showVal val="0"/>
          <c:showCatName val="0"/>
          <c:showSerName val="0"/>
          <c:showPercent val="0"/>
          <c:showBubbleSize val="0"/>
        </c:dLbls>
        <c:gapWidth val="150"/>
        <c:overlap val="100"/>
        <c:axId val="269705704"/>
        <c:axId val="271544240"/>
      </c:barChart>
      <c:catAx>
        <c:axId val="269705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71544240"/>
        <c:crosses val="autoZero"/>
        <c:auto val="1"/>
        <c:lblAlgn val="ctr"/>
        <c:lblOffset val="100"/>
        <c:noMultiLvlLbl val="0"/>
      </c:catAx>
      <c:valAx>
        <c:axId val="271544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57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CAP ENDO!PivotTable5</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s>
    <c:plotArea>
      <c:layout/>
      <c:barChart>
        <c:barDir val="col"/>
        <c:grouping val="stacked"/>
        <c:varyColors val="0"/>
        <c:ser>
          <c:idx val="0"/>
          <c:order val="0"/>
          <c:tx>
            <c:strRef>
              <c:f>'EL GEN CAP ENDO'!$E$3:$E$4</c:f>
              <c:strCache>
                <c:ptCount val="1"/>
                <c:pt idx="0">
                  <c:v>HEAT</c:v>
                </c:pt>
              </c:strCache>
            </c:strRef>
          </c:tx>
          <c:spPr>
            <a:solidFill>
              <a:schemeClr val="accent1"/>
            </a:solidFill>
            <a:ln>
              <a:noFill/>
            </a:ln>
            <a:effectLst/>
          </c:spPr>
          <c:invertIfNegative val="0"/>
          <c:cat>
            <c:multiLvlStrRef>
              <c:f>'EL GEN CAP ENDO'!$B$5:$D$11</c:f>
              <c:multiLvlStrCache>
                <c:ptCount val="6"/>
                <c:lvl>
                  <c:pt idx="0">
                    <c:v>2016</c:v>
                  </c:pt>
                  <c:pt idx="1">
                    <c:v>2016</c:v>
                  </c:pt>
                  <c:pt idx="2">
                    <c:v>2016</c:v>
                  </c:pt>
                  <c:pt idx="3">
                    <c:v>2016</c:v>
                  </c:pt>
                  <c:pt idx="4">
                    <c:v>2016</c:v>
                  </c:pt>
                  <c:pt idx="5">
                    <c:v>2016</c:v>
                  </c:pt>
                </c:lvl>
                <c:lvl>
                  <c:pt idx="0">
                    <c:v>2016</c:v>
                  </c:pt>
                  <c:pt idx="1">
                    <c:v>2016</c:v>
                  </c:pt>
                  <c:pt idx="2">
                    <c:v>2016</c:v>
                  </c:pt>
                  <c:pt idx="3">
                    <c:v>2016</c:v>
                  </c:pt>
                  <c:pt idx="4">
                    <c:v>2016</c:v>
                  </c:pt>
                  <c:pt idx="5">
                    <c:v>2016</c:v>
                  </c:pt>
                </c:lvl>
                <c:lvl>
                  <c:pt idx="0">
                    <c:v>DENMARK</c:v>
                  </c:pt>
                  <c:pt idx="1">
                    <c:v>FINLAND</c:v>
                  </c:pt>
                  <c:pt idx="2">
                    <c:v>GERMANY</c:v>
                  </c:pt>
                  <c:pt idx="3">
                    <c:v>NORWAY</c:v>
                  </c:pt>
                  <c:pt idx="4">
                    <c:v>SWEDEN</c:v>
                  </c:pt>
                  <c:pt idx="5">
                    <c:v>ESTONIA</c:v>
                  </c:pt>
                </c:lvl>
              </c:multiLvlStrCache>
            </c:multiLvlStrRef>
          </c:cat>
          <c:val>
            <c:numRef>
              <c:f>'EL GEN CAP ENDO'!$E$5:$E$11</c:f>
              <c:numCache>
                <c:formatCode>General</c:formatCode>
                <c:ptCount val="6"/>
                <c:pt idx="0">
                  <c:v>3848.812583491163</c:v>
                </c:pt>
                <c:pt idx="1">
                  <c:v>5448.4864935458263</c:v>
                </c:pt>
                <c:pt idx="2">
                  <c:v>1526832.6172089882</c:v>
                </c:pt>
                <c:pt idx="3">
                  <c:v>3384.0810394701089</c:v>
                </c:pt>
                <c:pt idx="4">
                  <c:v>24124.780072436944</c:v>
                </c:pt>
                <c:pt idx="5">
                  <c:v>216.25424082828599</c:v>
                </c:pt>
              </c:numCache>
            </c:numRef>
          </c:val>
          <c:extLst>
            <c:ext xmlns:c16="http://schemas.microsoft.com/office/drawing/2014/chart" uri="{C3380CC4-5D6E-409C-BE32-E72D297353CC}">
              <c16:uniqueId val="{00000005-B2D9-42C6-9F55-B9445E055303}"/>
            </c:ext>
          </c:extLst>
        </c:ser>
        <c:dLbls>
          <c:showLegendKey val="0"/>
          <c:showVal val="0"/>
          <c:showCatName val="0"/>
          <c:showSerName val="0"/>
          <c:showPercent val="0"/>
          <c:showBubbleSize val="0"/>
        </c:dLbls>
        <c:gapWidth val="219"/>
        <c:overlap val="100"/>
        <c:axId val="1671044639"/>
        <c:axId val="1671032991"/>
      </c:barChart>
      <c:catAx>
        <c:axId val="1671044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671032991"/>
        <c:crosses val="autoZero"/>
        <c:auto val="1"/>
        <c:lblAlgn val="ctr"/>
        <c:lblOffset val="100"/>
        <c:noMultiLvlLbl val="0"/>
      </c:catAx>
      <c:valAx>
        <c:axId val="16710329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6710446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B17" lockText="1" noThreeD="1"/>
</file>

<file path=xl/ctrlProps/ctrlProp3.xml><?xml version="1.0" encoding="utf-8"?>
<formControlPr xmlns="http://schemas.microsoft.com/office/spreadsheetml/2009/9/main" objectType="CheckBox" checked="Checked" fmlaLink="B18" lockText="1" noThreeD="1"/>
</file>

<file path=xl/ctrlProps/ctrlProp4.xml><?xml version="1.0" encoding="utf-8"?>
<formControlPr xmlns="http://schemas.microsoft.com/office/spreadsheetml/2009/9/main" objectType="CheckBox" checked="Checked" fmlaLink="B19" lockText="1" noThreeD="1"/>
</file>

<file path=xl/ctrlProps/ctrlProp5.xml><?xml version="1.0" encoding="utf-8"?>
<formControlPr xmlns="http://schemas.microsoft.com/office/spreadsheetml/2009/9/main" objectType="CheckBox" checked="Checked" fmlaLink="B20" lockText="1" noThreeD="1"/>
</file>

<file path=xl/ctrlProps/ctrlProp6.xml><?xml version="1.0" encoding="utf-8"?>
<formControlPr xmlns="http://schemas.microsoft.com/office/spreadsheetml/2009/9/main" objectType="CheckBox" checked="Checked" fmlaLink="B21" lockText="1" noThreeD="1"/>
</file>

<file path=xl/ctrlProps/ctrlProp7.xml><?xml version="1.0" encoding="utf-8"?>
<formControlPr xmlns="http://schemas.microsoft.com/office/spreadsheetml/2009/9/main" objectType="CheckBox" checked="Checked" fmlaLink="B22" lockText="1" noThreeD="1"/>
</file>

<file path=xl/ctrlProps/ctrlProp8.xml><?xml version="1.0" encoding="utf-8"?>
<formControlPr xmlns="http://schemas.microsoft.com/office/spreadsheetml/2009/9/main" objectType="CheckBox" checked="Checked" fmlaLink="B23" lockText="1" noThreeD="1"/>
</file>

<file path=xl/ctrlProps/ctrlProp9.xml><?xml version="1.0" encoding="utf-8"?>
<formControlPr xmlns="http://schemas.microsoft.com/office/spreadsheetml/2009/9/main" objectType="CheckBox" checked="Checked" fmlaLink="B24" lockText="1" noThreeD="1"/>
</file>

<file path=xl/ctrlProps/ctrlProp10.xml><?xml version="1.0" encoding="utf-8"?>
<formControlPr xmlns="http://schemas.microsoft.com/office/spreadsheetml/2009/9/main" objectType="CheckBox" checked="Checked" fmlaLink="B25"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firstButton="1" fmlaLink="B14"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CheckBox" fmlaLink="B31" lockText="1" noThreeD="1"/>
</file>

<file path=xl/ctrlProps/ctrlProp16.xml><?xml version="1.0" encoding="utf-8"?>
<formControlPr xmlns="http://schemas.microsoft.com/office/spreadsheetml/2009/9/main" objectType="CheckBox" checked="Checked" fmlaLink="B26"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1</xdr:row>
          <xdr:rowOff>180975</xdr:rowOff>
        </xdr:from>
        <xdr:to>
          <xdr:col>3</xdr:col>
          <xdr:colOff>0</xdr:colOff>
          <xdr:row>4</xdr:row>
          <xdr:rowOff>180975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Select database + 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xdr:row>
          <xdr:rowOff>171450</xdr:rowOff>
        </xdr:from>
        <xdr:to>
          <xdr:col>2</xdr:col>
          <xdr:colOff>123825</xdr:colOff>
          <xdr:row>17</xdr:row>
          <xdr:rowOff>28575</xdr:rowOff>
        </xdr:to>
        <xdr:sp macro="" textlink="">
          <xdr:nvSpPr>
            <xdr:cNvPr id="2067" name="Check Box 19" hidden="1">
              <a:extLst>
                <a:ext uri="{63B3BB69-23CF-44E3-9099-C40C66FF867C}">
                  <a14:compatExt spid="_x0000_s2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xdr:row>
          <xdr:rowOff>171450</xdr:rowOff>
        </xdr:from>
        <xdr:to>
          <xdr:col>2</xdr:col>
          <xdr:colOff>123825</xdr:colOff>
          <xdr:row>18</xdr:row>
          <xdr:rowOff>28575</xdr:rowOff>
        </xdr:to>
        <xdr:sp macro="" textlink="">
          <xdr:nvSpPr>
            <xdr:cNvPr id="2068" name="Check Box 20" hidden="1">
              <a:extLst>
                <a:ext uri="{63B3BB69-23CF-44E3-9099-C40C66FF867C}">
                  <a14:compatExt spid="_x0000_s2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171450</xdr:rowOff>
        </xdr:from>
        <xdr:to>
          <xdr:col>2</xdr:col>
          <xdr:colOff>123825</xdr:colOff>
          <xdr:row>19</xdr:row>
          <xdr:rowOff>28575</xdr:rowOff>
        </xdr:to>
        <xdr:sp macro="" textlink="">
          <xdr:nvSpPr>
            <xdr:cNvPr id="2069" name="Check Box 21" hidden="1">
              <a:extLst>
                <a:ext uri="{63B3BB69-23CF-44E3-9099-C40C66FF867C}">
                  <a14:compatExt spid="_x0000_s20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171450</xdr:rowOff>
        </xdr:from>
        <xdr:to>
          <xdr:col>2</xdr:col>
          <xdr:colOff>123825</xdr:colOff>
          <xdr:row>20</xdr:row>
          <xdr:rowOff>28575</xdr:rowOff>
        </xdr:to>
        <xdr:sp macro="" textlink="">
          <xdr:nvSpPr>
            <xdr:cNvPr id="2070" name="Check Box 22" hidden="1">
              <a:extLst>
                <a:ext uri="{63B3BB69-23CF-44E3-9099-C40C66FF867C}">
                  <a14:compatExt spid="_x0000_s20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171450</xdr:rowOff>
        </xdr:from>
        <xdr:to>
          <xdr:col>2</xdr:col>
          <xdr:colOff>123825</xdr:colOff>
          <xdr:row>21</xdr:row>
          <xdr:rowOff>28575</xdr:rowOff>
        </xdr:to>
        <xdr:sp macro="" textlink="">
          <xdr:nvSpPr>
            <xdr:cNvPr id="2071" name="Check Box 23" hidden="1">
              <a:extLst>
                <a:ext uri="{63B3BB69-23CF-44E3-9099-C40C66FF867C}">
                  <a14:compatExt spid="_x0000_s20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171450</xdr:rowOff>
        </xdr:from>
        <xdr:to>
          <xdr:col>2</xdr:col>
          <xdr:colOff>123825</xdr:colOff>
          <xdr:row>22</xdr:row>
          <xdr:rowOff>28575</xdr:rowOff>
        </xdr:to>
        <xdr:sp macro="" textlink="">
          <xdr:nvSpPr>
            <xdr:cNvPr id="2072" name="Check Box 24" hidden="1">
              <a:extLst>
                <a:ext uri="{63B3BB69-23CF-44E3-9099-C40C66FF867C}">
                  <a14:compatExt spid="_x0000_s2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171450</xdr:rowOff>
        </xdr:from>
        <xdr:to>
          <xdr:col>2</xdr:col>
          <xdr:colOff>123825</xdr:colOff>
          <xdr:row>23</xdr:row>
          <xdr:rowOff>28575</xdr:rowOff>
        </xdr:to>
        <xdr:sp macro="" textlink="">
          <xdr:nvSpPr>
            <xdr:cNvPr id="2073" name="Check Box 25" hidden="1">
              <a:extLst>
                <a:ext uri="{63B3BB69-23CF-44E3-9099-C40C66FF867C}">
                  <a14:compatExt spid="_x0000_s2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171450</xdr:rowOff>
        </xdr:from>
        <xdr:to>
          <xdr:col>2</xdr:col>
          <xdr:colOff>123825</xdr:colOff>
          <xdr:row>24</xdr:row>
          <xdr:rowOff>28575</xdr:rowOff>
        </xdr:to>
        <xdr:sp macro="" textlink="">
          <xdr:nvSpPr>
            <xdr:cNvPr id="2074" name="Check Box 26" hidden="1">
              <a:extLst>
                <a:ext uri="{63B3BB69-23CF-44E3-9099-C40C66FF867C}">
                  <a14:compatExt spid="_x0000_s20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171450</xdr:rowOff>
        </xdr:from>
        <xdr:to>
          <xdr:col>2</xdr:col>
          <xdr:colOff>123825</xdr:colOff>
          <xdr:row>25</xdr:row>
          <xdr:rowOff>28575</xdr:rowOff>
        </xdr:to>
        <xdr:sp macro="" textlink="">
          <xdr:nvSpPr>
            <xdr:cNvPr id="2075" name="Check Box 27" hidden="1">
              <a:extLst>
                <a:ext uri="{63B3BB69-23CF-44E3-9099-C40C66FF867C}">
                  <a14:compatExt spid="_x0000_s20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76200</xdr:colOff>
          <xdr:row>6</xdr:row>
          <xdr:rowOff>0</xdr:rowOff>
        </xdr:from>
        <xdr:to>
          <xdr:col>2</xdr:col>
          <xdr:colOff>504825</xdr:colOff>
          <xdr:row>8</xdr:row>
          <xdr:rowOff>190500</xdr:rowOff>
        </xdr:to>
        <xdr:sp macro="" textlink="">
          <xdr:nvSpPr>
            <xdr:cNvPr id="2082" name="Button 34" hidden="1">
              <a:extLst>
                <a:ext uri="{63B3BB69-23CF-44E3-9099-C40C66FF867C}">
                  <a14:compatExt spid="_x0000_s20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Select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6</xdr:row>
          <xdr:rowOff>0</xdr:rowOff>
        </xdr:from>
        <xdr:to>
          <xdr:col>3</xdr:col>
          <xdr:colOff>0</xdr:colOff>
          <xdr:row>8</xdr:row>
          <xdr:rowOff>180975</xdr:rowOff>
        </xdr:to>
        <xdr:sp macro="" textlink="">
          <xdr:nvSpPr>
            <xdr:cNvPr id="2083" name="Button 35" hidden="1">
              <a:extLst>
                <a:ext uri="{63B3BB69-23CF-44E3-9099-C40C66FF867C}">
                  <a14:compatExt spid="_x0000_s20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086" name="Option Button 38" hidden="1">
              <a:extLst>
                <a:ext uri="{63B3BB69-23CF-44E3-9099-C40C66FF867C}">
                  <a14:compatExt spid="_x0000_s2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2</xdr:col>
          <xdr:colOff>0</xdr:colOff>
          <xdr:row>14</xdr:row>
          <xdr:rowOff>190500</xdr:rowOff>
        </xdr:to>
        <xdr:sp macro="" textlink="">
          <xdr:nvSpPr>
            <xdr:cNvPr id="2087" name="Option Button 39" hidden="1">
              <a:extLst>
                <a:ext uri="{63B3BB69-23CF-44E3-9099-C40C66FF867C}">
                  <a14:compatExt spid="_x0000_s2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29</xdr:row>
          <xdr:rowOff>171450</xdr:rowOff>
        </xdr:from>
        <xdr:to>
          <xdr:col>2</xdr:col>
          <xdr:colOff>123825</xdr:colOff>
          <xdr:row>31</xdr:row>
          <xdr:rowOff>19050</xdr:rowOff>
        </xdr:to>
        <xdr:sp macro="" textlink="">
          <xdr:nvSpPr>
            <xdr:cNvPr id="2088" name="Check Box 40" hidden="1">
              <a:extLst>
                <a:ext uri="{63B3BB69-23CF-44E3-9099-C40C66FF867C}">
                  <a14:compatExt spid="_x0000_s2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171450</xdr:rowOff>
        </xdr:from>
        <xdr:to>
          <xdr:col>2</xdr:col>
          <xdr:colOff>123825</xdr:colOff>
          <xdr:row>26</xdr:row>
          <xdr:rowOff>28575</xdr:rowOff>
        </xdr:to>
        <xdr:sp macro="" textlink="">
          <xdr:nvSpPr>
            <xdr:cNvPr id="2089" name="Check Box 41" hidden="1">
              <a:extLst>
                <a:ext uri="{63B3BB69-23CF-44E3-9099-C40C66FF867C}">
                  <a14:compatExt spid="_x0000_s2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28575</xdr:colOff>
          <xdr:row>2</xdr:row>
          <xdr:rowOff>28575</xdr:rowOff>
        </xdr:from>
        <xdr:to>
          <xdr:col>8</xdr:col>
          <xdr:colOff>161925</xdr:colOff>
          <xdr:row>5</xdr:row>
          <xdr:rowOff>28575</xdr:rowOff>
        </xdr:to>
        <xdr:sp macro="" textlink="">
          <xdr:nvSpPr>
            <xdr:cNvPr id="2714" name="Button 666" hidden="1">
              <a:extLst>
                <a:ext uri="{63B3BB69-23CF-44E3-9099-C40C66FF867C}">
                  <a14:compatExt spid="_x0000_s27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Clean PivotTable cache and refresh all tables</a:t>
              </a:r>
            </a:p>
            <a:p>
              <a:pPr algn="ctr" rtl="0">
                <a:defRPr sz="1000"/>
              </a:pPr>
              <a:r>
                <a:rPr lang="et-EE" sz="1100" b="0" i="0" u="none" strike="noStrike" baseline="0">
                  <a:solidFill>
                    <a:srgbClr val="000000"/>
                  </a:solidFill>
                  <a:latin typeface="Calibri"/>
                  <a:cs typeface="Calibri"/>
                </a:rPr>
                <a:t>(TEST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0</xdr:rowOff>
        </xdr:from>
        <xdr:to>
          <xdr:col>6</xdr:col>
          <xdr:colOff>76200</xdr:colOff>
          <xdr:row>15</xdr:row>
          <xdr:rowOff>9525</xdr:rowOff>
        </xdr:to>
        <xdr:sp macro="" textlink="">
          <xdr:nvSpPr>
            <xdr:cNvPr id="2810" name="Check Box 762" hidden="1">
              <a:extLst>
                <a:ext uri="{63B3BB69-23CF-44E3-9099-C40C66FF867C}">
                  <a14:compatExt spid="_x0000_s281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0</xdr:rowOff>
        </xdr:from>
        <xdr:to>
          <xdr:col>6</xdr:col>
          <xdr:colOff>76200</xdr:colOff>
          <xdr:row>16</xdr:row>
          <xdr:rowOff>19050</xdr:rowOff>
        </xdr:to>
        <xdr:sp macro="" textlink="">
          <xdr:nvSpPr>
            <xdr:cNvPr id="2811" name="Check Box 763" hidden="1">
              <a:extLst>
                <a:ext uri="{63B3BB69-23CF-44E3-9099-C40C66FF867C}">
                  <a14:compatExt spid="_x0000_s281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76200</xdr:colOff>
          <xdr:row>17</xdr:row>
          <xdr:rowOff>19050</xdr:rowOff>
        </xdr:to>
        <xdr:sp macro="" textlink="">
          <xdr:nvSpPr>
            <xdr:cNvPr id="2812" name="Check Box 764" hidden="1">
              <a:extLst>
                <a:ext uri="{63B3BB69-23CF-44E3-9099-C40C66FF867C}">
                  <a14:compatExt spid="_x0000_s281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76200</xdr:colOff>
          <xdr:row>18</xdr:row>
          <xdr:rowOff>19050</xdr:rowOff>
        </xdr:to>
        <xdr:sp macro="" textlink="">
          <xdr:nvSpPr>
            <xdr:cNvPr id="2813" name="Check Box 765" hidden="1">
              <a:extLst>
                <a:ext uri="{63B3BB69-23CF-44E3-9099-C40C66FF867C}">
                  <a14:compatExt spid="_x0000_s281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76200</xdr:colOff>
          <xdr:row>19</xdr:row>
          <xdr:rowOff>19050</xdr:rowOff>
        </xdr:to>
        <xdr:sp macro="" textlink="">
          <xdr:nvSpPr>
            <xdr:cNvPr id="2814" name="Check Box 766" hidden="1">
              <a:extLst>
                <a:ext uri="{63B3BB69-23CF-44E3-9099-C40C66FF867C}">
                  <a14:compatExt spid="_x0000_s281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0</xdr:rowOff>
        </xdr:from>
        <xdr:to>
          <xdr:col>6</xdr:col>
          <xdr:colOff>76200</xdr:colOff>
          <xdr:row>20</xdr:row>
          <xdr:rowOff>19050</xdr:rowOff>
        </xdr:to>
        <xdr:sp macro="" textlink="">
          <xdr:nvSpPr>
            <xdr:cNvPr id="2815" name="Check Box 767" hidden="1">
              <a:extLst>
                <a:ext uri="{63B3BB69-23CF-44E3-9099-C40C66FF867C}">
                  <a14:compatExt spid="_x0000_s281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0</xdr:rowOff>
        </xdr:from>
        <xdr:to>
          <xdr:col>6</xdr:col>
          <xdr:colOff>76200</xdr:colOff>
          <xdr:row>21</xdr:row>
          <xdr:rowOff>19050</xdr:rowOff>
        </xdr:to>
        <xdr:sp macro="" textlink="">
          <xdr:nvSpPr>
            <xdr:cNvPr id="2816" name="Check Box 768" hidden="1">
              <a:extLst>
                <a:ext uri="{63B3BB69-23CF-44E3-9099-C40C66FF867C}">
                  <a14:compatExt spid="_x0000_s281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6</xdr:col>
          <xdr:colOff>76200</xdr:colOff>
          <xdr:row>22</xdr:row>
          <xdr:rowOff>19050</xdr:rowOff>
        </xdr:to>
        <xdr:sp macro="" textlink="">
          <xdr:nvSpPr>
            <xdr:cNvPr id="2817" name="Check Box 769" hidden="1">
              <a:extLst>
                <a:ext uri="{63B3BB69-23CF-44E3-9099-C40C66FF867C}">
                  <a14:compatExt spid="_x0000_s281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22</xdr:row>
          <xdr:rowOff>0</xdr:rowOff>
        </xdr:from>
        <xdr:to>
          <xdr:col>6</xdr:col>
          <xdr:colOff>76200</xdr:colOff>
          <xdr:row>23</xdr:row>
          <xdr:rowOff>19050</xdr:rowOff>
        </xdr:to>
        <xdr:sp macro="" textlink="">
          <xdr:nvSpPr>
            <xdr:cNvPr id="2818" name="Check Box 770" hidden="1">
              <a:extLst>
                <a:ext uri="{63B3BB69-23CF-44E3-9099-C40C66FF867C}">
                  <a14:compatExt spid="_x0000_s281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76200</xdr:colOff>
          <xdr:row>24</xdr:row>
          <xdr:rowOff>19050</xdr:rowOff>
        </xdr:to>
        <xdr:sp macro="" textlink="">
          <xdr:nvSpPr>
            <xdr:cNvPr id="2819" name="Check Box 771" hidden="1">
              <a:extLst>
                <a:ext uri="{63B3BB69-23CF-44E3-9099-C40C66FF867C}">
                  <a14:compatExt spid="_x0000_s281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76200</xdr:colOff>
          <xdr:row>25</xdr:row>
          <xdr:rowOff>19050</xdr:rowOff>
        </xdr:to>
        <xdr:sp macro="" textlink="">
          <xdr:nvSpPr>
            <xdr:cNvPr id="2820" name="Check Box 772" hidden="1">
              <a:extLst>
                <a:ext uri="{63B3BB69-23CF-44E3-9099-C40C66FF867C}">
                  <a14:compatExt spid="_x0000_s282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480365</xdr:colOff>
      <xdr:row>9</xdr:row>
      <xdr:rowOff>94861</xdr:rowOff>
    </xdr:from>
    <xdr:to>
      <xdr:col>14</xdr:col>
      <xdr:colOff>1300201</xdr:colOff>
      <xdr:row>33</xdr:row>
      <xdr:rowOff>8417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885824</xdr:colOff>
      <xdr:row>9</xdr:row>
      <xdr:rowOff>9524</xdr:rowOff>
    </xdr:from>
    <xdr:to>
      <xdr:col>8</xdr:col>
      <xdr:colOff>1523999</xdr:colOff>
      <xdr:row>26</xdr:row>
      <xdr:rowOff>171449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177037</xdr:colOff>
      <xdr:row>11</xdr:row>
      <xdr:rowOff>134888</xdr:rowOff>
    </xdr:from>
    <xdr:to>
      <xdr:col>10</xdr:col>
      <xdr:colOff>186950</xdr:colOff>
      <xdr:row>36</xdr:row>
      <xdr:rowOff>12423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870858</xdr:colOff>
      <xdr:row>7</xdr:row>
      <xdr:rowOff>136071</xdr:rowOff>
    </xdr:from>
    <xdr:to>
      <xdr:col>13</xdr:col>
      <xdr:colOff>103987</xdr:colOff>
      <xdr:row>46</xdr:row>
      <xdr:rowOff>86405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1000125</xdr:colOff>
      <xdr:row>4</xdr:row>
      <xdr:rowOff>166686</xdr:rowOff>
    </xdr:from>
    <xdr:to>
      <xdr:col>11</xdr:col>
      <xdr:colOff>228600</xdr:colOff>
      <xdr:row>29</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268942</xdr:colOff>
      <xdr:row>10</xdr:row>
      <xdr:rowOff>145676</xdr:rowOff>
    </xdr:from>
    <xdr:to>
      <xdr:col>9</xdr:col>
      <xdr:colOff>302558</xdr:colOff>
      <xdr:row>36</xdr:row>
      <xdr:rowOff>134469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619125</xdr:colOff>
      <xdr:row>2</xdr:row>
      <xdr:rowOff>80962</xdr:rowOff>
    </xdr:from>
    <xdr:to>
      <xdr:col>9</xdr:col>
      <xdr:colOff>257175</xdr:colOff>
      <xdr:row>16</xdr:row>
      <xdr:rowOff>157162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819149</xdr:colOff>
      <xdr:row>5</xdr:row>
      <xdr:rowOff>161925</xdr:rowOff>
    </xdr:from>
    <xdr:to>
      <xdr:col>13</xdr:col>
      <xdr:colOff>742949</xdr:colOff>
      <xdr:row>32</xdr:row>
      <xdr:rowOff>66675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xdr:col>
      <xdr:colOff>1095375</xdr:colOff>
      <xdr:row>12</xdr:row>
      <xdr:rowOff>161925</xdr:rowOff>
    </xdr:from>
    <xdr:to>
      <xdr:col>6</xdr:col>
      <xdr:colOff>1114425</xdr:colOff>
      <xdr:row>33</xdr:row>
      <xdr:rowOff>66675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6</xdr:col>
      <xdr:colOff>371474</xdr:colOff>
      <xdr:row>6</xdr:row>
      <xdr:rowOff>57149</xdr:rowOff>
    </xdr:from>
    <xdr:to>
      <xdr:col>15</xdr:col>
      <xdr:colOff>419099</xdr:colOff>
      <xdr:row>25</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2</xdr:col>
      <xdr:colOff>251731</xdr:colOff>
      <xdr:row>11</xdr:row>
      <xdr:rowOff>148318</xdr:rowOff>
    </xdr:from>
    <xdr:to>
      <xdr:col>10</xdr:col>
      <xdr:colOff>522513</xdr:colOff>
      <xdr:row>31</xdr:row>
      <xdr:rowOff>167368</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4762</xdr:colOff>
      <xdr:row>1</xdr:row>
      <xdr:rowOff>95250</xdr:rowOff>
    </xdr:from>
    <xdr:to>
      <xdr:col>11</xdr:col>
      <xdr:colOff>247650</xdr:colOff>
      <xdr:row>24</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2</xdr:col>
      <xdr:colOff>461962</xdr:colOff>
      <xdr:row>17</xdr:row>
      <xdr:rowOff>57150</xdr:rowOff>
    </xdr:from>
    <xdr:to>
      <xdr:col>8</xdr:col>
      <xdr:colOff>1090612</xdr:colOff>
      <xdr:row>31</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280986</xdr:colOff>
      <xdr:row>8</xdr:row>
      <xdr:rowOff>47624</xdr:rowOff>
    </xdr:from>
    <xdr:to>
      <xdr:col>11</xdr:col>
      <xdr:colOff>209549</xdr:colOff>
      <xdr:row>35</xdr:row>
      <xdr:rowOff>171449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xdr:col>
      <xdr:colOff>422463</xdr:colOff>
      <xdr:row>19</xdr:row>
      <xdr:rowOff>140074</xdr:rowOff>
    </xdr:from>
    <xdr:to>
      <xdr:col>13</xdr:col>
      <xdr:colOff>22413</xdr:colOff>
      <xdr:row>40</xdr:row>
      <xdr:rowOff>159124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_rels/pivotCacheDefinition12.xml.rels><?xml version="1.0" encoding="UTF-8" standalone="yes"?>
<Relationships xmlns="http://schemas.openxmlformats.org/package/2006/relationships"><Relationship Id="rId1" Type="http://schemas.openxmlformats.org/officeDocument/2006/relationships/pivotCacheRecords" Target="pivotCacheRecords12.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13.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14.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15.xml"/></Relationships>
</file>

<file path=xl/pivotCache/_rels/pivotCacheDefinition16.xml.rels><?xml version="1.0" encoding="UTF-8" standalone="yes"?>
<Relationships xmlns="http://schemas.openxmlformats.org/package/2006/relationships"><Relationship Id="rId1" Type="http://schemas.openxmlformats.org/officeDocument/2006/relationships/pivotCacheRecords" Target="pivotCacheRecords16.xml"/></Relationships>
</file>

<file path=xl/pivotCache/_rels/pivotCacheDefinition17.xml.rels><?xml version="1.0" encoding="UTF-8" standalone="yes"?>
<Relationships xmlns="http://schemas.openxmlformats.org/package/2006/relationships"><Relationship Id="rId1" Type="http://schemas.openxmlformats.org/officeDocument/2006/relationships/pivotCacheRecords" Target="pivotCacheRecords17.xml"/></Relationships>
</file>

<file path=xl/pivotCache/_rels/pivotCacheDefinition18.xml.rels><?xml version="1.0" encoding="UTF-8" standalone="yes"?>
<Relationships xmlns="http://schemas.openxmlformats.org/package/2006/relationships"><Relationship Id="rId1" Type="http://schemas.openxmlformats.org/officeDocument/2006/relationships/pivotCacheRecords" Target="pivotCacheRecords18.xml"/></Relationships>
</file>

<file path=xl/pivotCache/pivotCacheDefinition1.xml><?xml version="1.0" encoding="utf-8"?>
<pivotCacheDefinition xmlns="http://schemas.openxmlformats.org/spreadsheetml/2006/main" xmlns:r="http://schemas.openxmlformats.org/officeDocument/2006/relationships" r:id="rId1" refreshedBy="Hardi Koduvere" refreshedDate="43203.426305671295" missingItemsLimit="0" createdVersion="5" refreshedVersion="6" minRefreshableVersion="3" recordCount="1152">
  <cacheSource type="external" connectionId="19"/>
  <cacheFields count="10">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7">
        <s v="DENMARK"/>
        <s v="ESTONIA"/>
        <s v="FINLAND"/>
        <s v="GERMANY"/>
        <s v="NORWAY"/>
        <s v="POLAND"/>
        <s v="SWEDEN"/>
      </sharedItems>
    </cacheField>
    <cacheField name="Region" numFmtId="0" sqlType="-10">
      <sharedItems count="18">
        <s v="DK1"/>
        <s v="DK2"/>
        <s v="EE"/>
        <s v="FIN"/>
        <s v="DE4-E"/>
        <s v="DE4-N"/>
        <s v="DE4-S"/>
        <s v="DE4-W"/>
        <s v="NO1"/>
        <s v="NO2"/>
        <s v="NO3"/>
        <s v="NO4"/>
        <s v="NO5"/>
        <s v="PL"/>
        <s v="SE1"/>
        <s v="SE2"/>
        <s v="SE3"/>
        <s v="SE4"/>
      </sharedItems>
    </cacheField>
    <cacheField name="Area" numFmtId="0" sqlType="-10">
      <sharedItems count="48">
        <s v="DK1_Large"/>
        <s v="DK1_MedSmall"/>
        <s v="DK1_Medium"/>
        <s v="DK1_Rural"/>
        <s v="DK1_Small"/>
        <s v="DK2_Large"/>
        <s v="DK2_MedSmall"/>
        <s v="DK2_Medium"/>
        <s v="DK2_Rural"/>
        <s v="DK2_Small"/>
        <s v="EE_Industry"/>
        <s v="EE_Kohtla_Jarve"/>
        <s v="EE_Narva"/>
        <s v="EE_Parnu"/>
        <s v="EE_Tallinn"/>
        <s v="EE_Tartu"/>
        <s v="FIN_EL"/>
        <s v="FIN_ESPOO"/>
        <s v="FIN_GAS"/>
        <s v="FIN_HELS"/>
        <s v="FIN_HP"/>
        <s v="FIN_OTHER"/>
        <s v="FIN_TAMP"/>
        <s v="DE4-E_A"/>
        <s v="DE4-N_A"/>
        <s v="DE4-S_A"/>
        <s v="DE4-W_A"/>
        <s v="NO1_A1"/>
        <s v="NO1_A2"/>
        <s v="NO2_A1"/>
        <s v="NO3_A1"/>
        <s v="NO3_A2"/>
        <s v="NO4_A1"/>
        <s v="NO5_A1"/>
        <s v="PL_A"/>
        <s v="SE1_EL"/>
        <s v="SE1_OTHER"/>
        <s v="SE2_EL"/>
        <s v="SE2_OTHER"/>
        <s v="SE3_EL"/>
        <s v="SE3_GOT"/>
        <s v="SE3_HP"/>
        <s v="SE3_OTHER"/>
        <s v="SE3_STO"/>
        <s v="SE4_EL"/>
        <s v="SE4_HP"/>
        <s v="SE4_MAL"/>
        <s v="SE4_OTHER"/>
      </sharedItems>
    </cacheField>
    <cacheField name="Season" numFmtId="0" sqlType="-10">
      <sharedItems count="1">
        <s v="S0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OMONEY/GJ" numFmtId="0" sqlType="8">
      <sharedItems containsSemiMixedTypes="0" containsString="0" containsNumber="1" minValue="-1.04849587391239" maxValue="9.0439307935151998"/>
    </cacheField>
    <cacheField name="OMONEY/MWh" numFmtId="0" sqlType="8">
      <sharedItems containsSemiMixedTypes="0" containsString="0" containsNumber="1" minValue="-3.7745851460845898" maxValue="32.558150856654699"/>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Hardi Koduvere" refreshedDate="43203.426306944442" missingItemsLimit="0" createdVersion="5" refreshedVersion="6" minRefreshableVersion="3" recordCount="528">
  <cacheSource type="external" connectionId="10"/>
  <cacheFields count="8">
    <cacheField name="Case1"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Season" numFmtId="0" sqlType="-10">
      <sharedItems count="1">
        <s v="S0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OMONEY/MWh" numFmtId="0" sqlType="8">
      <sharedItems containsSemiMixedTypes="0" containsString="0" containsNumber="1" minValue="17.2174953495362" maxValue="74.530847758306606"/>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Hardi Koduvere" refreshedDate="43203.426311805553" missingItemsLimit="0" createdVersion="5" refreshedVersion="6" minRefreshableVersion="3" recordCount="22">
  <cacheSource type="external" connectionId="4"/>
  <cacheFields count="7">
    <cacheField name="Case" numFmtId="0" sqlType="-10">
      <sharedItems count="1">
        <s v="BASE"/>
      </sharedItems>
    </cacheField>
    <cacheField name="Year"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UserGroup" numFmtId="0" sqlType="-10">
      <sharedItems count="1">
        <s v="RESE"/>
      </sharedItems>
    </cacheField>
    <cacheField name="TWh" numFmtId="0" sqlType="8">
      <sharedItems containsSemiMixedTypes="0" containsString="0" containsNumber="1" minValue="7.798" maxValue="322.90002489405998" count="22">
        <n v="18.366678"/>
        <n v="12.605129"/>
        <n v="8.6"/>
        <n v="83.272103000000001"/>
        <n v="75.089299999999994"/>
        <n v="23.104399999999998"/>
        <n v="203.21369999999999"/>
        <n v="223.6926"/>
        <n v="7.798"/>
        <n v="10.055966111111101"/>
        <n v="111.094668"/>
        <n v="34.480893999999999"/>
        <n v="33.131326999999999"/>
        <n v="23.994347999999999"/>
        <n v="17.984932000000001"/>
        <n v="15.296264000000001"/>
        <n v="155.567216"/>
        <n v="9.0839719999999993"/>
        <n v="15.680241000000001"/>
        <n v="82.414223000000007"/>
        <n v="23.071190000000001"/>
        <n v="322.90002489405998"/>
      </sharedItems>
    </cacheField>
    <cacheField name="GWh" numFmtId="0" sqlType="8">
      <sharedItems containsSemiMixedTypes="0" containsString="0" containsNumber="1" minValue="7798" maxValue="322900.02489405998" count="22">
        <n v="18366.678"/>
        <n v="12605.129000000001"/>
        <n v="8600"/>
        <n v="83272.103000000003"/>
        <n v="75089.3"/>
        <n v="23104.400000000001"/>
        <n v="203213.7"/>
        <n v="223692.6"/>
        <n v="7798"/>
        <n v="10055.9661111111"/>
        <n v="111094.66800000001"/>
        <n v="34480.894"/>
        <n v="33131.326999999997"/>
        <n v="23994.348000000002"/>
        <n v="17984.932000000001"/>
        <n v="15296.263999999999"/>
        <n v="155567.21599999999"/>
        <n v="9083.9719999999998"/>
        <n v="15680.241"/>
        <n v="82414.222999999998"/>
        <n v="23071.19"/>
        <n v="322900.02489405998"/>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Hardi Koduvere" refreshedDate="43203.426312962962" missingItemsLimit="0" createdVersion="5" refreshedVersion="6" minRefreshableVersion="3" recordCount="528">
  <cacheSource type="external" connectionId="5"/>
  <cacheFields count="9">
    <cacheField name="Case" numFmtId="0" sqlType="-10">
      <sharedItems count="1">
        <s v="BASE"/>
      </sharedItems>
    </cacheField>
    <cacheField name="Year"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UserGroup" numFmtId="0" sqlType="-10">
      <sharedItems count="1">
        <s v="RESE"/>
      </sharedItems>
    </cacheField>
    <cacheField name="Season" numFmtId="0" sqlType="-10">
      <sharedItems count="1">
        <s v="S0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MW" numFmtId="0" sqlType="8">
      <sharedItems containsSemiMixedTypes="0" containsString="0" containsNumber="1" minValue="546.93844574000605" maxValue="47904.216380806"/>
    </cacheField>
    <cacheField name="MWh" numFmtId="0" sqlType="8">
      <sharedItems containsSemiMixedTypes="0" containsString="0" containsNumber="1" minValue="199632.53269510201" maxValue="17485038.978994198"/>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Hardi Koduvere" refreshedDate="43203.42631412037" missingItemsLimit="0" createdVersion="5" refreshedVersion="6" minRefreshableVersion="3" recordCount="92">
  <cacheSource type="external" connectionId="2"/>
  <cacheFields count="8">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1" numFmtId="0" sqlType="-10">
      <sharedItems count="11">
        <s v="DENMARK"/>
        <s v="ESTONIA"/>
        <s v="FINLAND"/>
        <s v="GERMANY"/>
        <s v="LATVIA"/>
        <s v="LITHUANIA"/>
        <s v="NETHERLANDS"/>
        <s v="NORWAY"/>
        <s v="POLAND"/>
        <s v="SWEDEN"/>
        <s v="UNITED_KINGDOM"/>
      </sharedItems>
    </cacheField>
    <cacheField name="Region1" numFmtId="0" sqlType="-10">
      <sharedItems count="22">
        <s v="DK1"/>
        <s v="DK2"/>
        <s v="EE"/>
        <s v="FIN"/>
        <s v="DE4-E"/>
        <s v="DE4-N"/>
        <s v="DE4-S"/>
        <s v="DE4-W"/>
        <s v="LV"/>
        <s v="LT"/>
        <s v="NL"/>
        <s v="NO1"/>
        <s v="NO2"/>
        <s v="NO3"/>
        <s v="NO4"/>
        <s v="NO5"/>
        <s v="PL"/>
        <s v="SE1"/>
        <s v="SE2"/>
        <s v="SE3"/>
        <s v="SE4"/>
        <s v="UK"/>
      </sharedItems>
    </cacheField>
    <cacheField name="Country2" numFmtId="0" sqlType="-10">
      <sharedItems count="11">
        <s v="DENMARK"/>
        <s v="GERMANY"/>
        <s v="NETHERLANDS"/>
        <s v="NORWAY"/>
        <s v="SWEDEN"/>
        <s v="UNITED_KINGDOM"/>
        <s v="FINLAND"/>
        <s v="LATVIA"/>
        <s v="ESTONIA"/>
        <s v="POLAND"/>
        <s v="LITHUANIA"/>
      </sharedItems>
    </cacheField>
    <cacheField name="Region2" numFmtId="0" sqlType="-10">
      <sharedItems count="22">
        <s v="DK2"/>
        <s v="DE4-N"/>
        <s v="NL"/>
        <s v="NO2"/>
        <s v="SE3"/>
        <s v="UK"/>
        <s v="DK1"/>
        <s v="DE4-E"/>
        <s v="SE4"/>
        <s v="FIN"/>
        <s v="LV"/>
        <s v="EE"/>
        <s v="NO4"/>
        <s v="SE1"/>
        <s v="DE4-S"/>
        <s v="DE4-W"/>
        <s v="PL"/>
        <s v="LT"/>
        <s v="NO3"/>
        <s v="NO5"/>
        <s v="NO1"/>
        <s v="SE2"/>
      </sharedItems>
    </cacheField>
    <cacheField name="GWh" numFmtId="0" sqlType="8">
      <sharedItems containsSemiMixedTypes="0" containsString="0" containsNumber="1" minValue="0" maxValue="42726.575006409199"/>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Hardi Koduvere" refreshedDate="43203.426315393517" missingItemsLimit="0" createdVersion="5" refreshedVersion="6" minRefreshableVersion="3" recordCount="2208">
  <cacheSource type="external" connectionId="3"/>
  <cacheFields count="8">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Source" numFmtId="0" sqlType="-10">
      <sharedItems count="22">
        <s v="DE4-E"/>
        <s v="DE4-N"/>
        <s v="DE4-S"/>
        <s v="DE4-W"/>
        <s v="DK1"/>
        <s v="DK2"/>
        <s v="EE"/>
        <s v="FIN"/>
        <s v="LT"/>
        <s v="LV"/>
        <s v="NL"/>
        <s v="NO1"/>
        <s v="NO2"/>
        <s v="NO3"/>
        <s v="NO4"/>
        <s v="NO5"/>
        <s v="PL"/>
        <s v="SE1"/>
        <s v="SE2"/>
        <s v="SE3"/>
        <s v="SE4"/>
        <s v="UK"/>
      </sharedItems>
    </cacheField>
    <cacheField name="Destination" numFmtId="0" sqlType="-10">
      <sharedItems count="22">
        <s v="DE4-N"/>
        <s v="DE4-S"/>
        <s v="DE4-W"/>
        <s v="DK2"/>
        <s v="PL"/>
        <s v="DE4-E"/>
        <s v="DK1"/>
        <s v="NO2"/>
        <s v="SE4"/>
        <s v="NL"/>
        <s v="SE3"/>
        <s v="UK"/>
        <s v="FIN"/>
        <s v="LV"/>
        <s v="EE"/>
        <s v="NO4"/>
        <s v="SE1"/>
        <s v="LT"/>
        <s v="NO3"/>
        <s v="NO5"/>
        <s v="NO1"/>
        <s v="SE2"/>
      </sharedItems>
    </cacheField>
    <cacheField name="Season" numFmtId="0" sqlType="-10">
      <sharedItems count="1">
        <s v="S0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GW" numFmtId="0" sqlType="8">
      <sharedItems containsSemiMixedTypes="0" containsString="0" containsNumber="1" minValue="-9.9107548101305092" maxValue="9.9107548101305092"/>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Hardi Koduvere" refreshedDate="43203.426316666664" missingItemsLimit="0" createdVersion="5" refreshedVersion="6" minRefreshableVersion="3" recordCount="11">
  <cacheSource type="external" connectionId="21"/>
  <cacheFields count="8">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4">
        <s v="FINLAND"/>
        <s v="GERMANY"/>
        <s v="SWEDEN"/>
        <s v="NORWAY"/>
      </sharedItems>
    </cacheField>
    <cacheField name="Region" numFmtId="0" sqlType="-10">
      <sharedItems count="11">
        <s v="FIN"/>
        <s v="DE4-S"/>
        <s v="SE1"/>
        <s v="SE2"/>
        <s v="SE3"/>
        <s v="SE4"/>
        <s v="NO1"/>
        <s v="NO2"/>
        <s v="NO3"/>
        <s v="NO4"/>
        <s v="NO5"/>
      </sharedItems>
    </cacheField>
    <cacheField name="Area" numFmtId="0" sqlType="-10">
      <sharedItems count="11">
        <s v="FinA"/>
        <s v="DE4-S_A"/>
        <s v="SE1A"/>
        <s v="SE2A"/>
        <s v="SE3A"/>
        <s v="SE4A"/>
        <s v="NO1_A1"/>
        <s v="NO2_A1"/>
        <s v="NO3_A1"/>
        <s v="NO4_A1"/>
        <s v="NO5_A1"/>
      </sharedItems>
    </cacheField>
    <cacheField name="Week" numFmtId="0" sqlType="-10">
      <sharedItems count="1">
        <s v="S02"/>
      </sharedItems>
    </cacheField>
    <cacheField name="MWh" numFmtId="0" sqlType="8">
      <sharedItems containsSemiMixedTypes="0" containsString="0" containsNumber="1" minValue="843.17092076853601" maxValue="26998125" count="11">
        <n v="4278856.8726114603"/>
        <n v="843.17092076853601"/>
        <n v="11982254"/>
        <n v="10847914"/>
        <n v="1955530"/>
        <n v="101475"/>
        <n v="3998817"/>
        <n v="26998125"/>
        <n v="5419446"/>
        <n v="15377398"/>
        <n v="12021672"/>
      </sharedItems>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Hardi Koduvere" refreshedDate="43203.426318055557" missingItemsLimit="0" createdVersion="5" refreshedVersion="6" minRefreshableVersion="3" recordCount="1224">
  <cacheSource type="external" connectionId="20"/>
  <cacheFields count="10">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9">
        <s v="DENMARK"/>
        <s v="ESTONIA"/>
        <s v="FINLAND"/>
        <s v="GERMANY"/>
        <s v="LATVIA"/>
        <s v="LITHUANIA"/>
        <s v="NORWAY"/>
        <s v="POLAND"/>
        <s v="SWEDEN"/>
      </sharedItems>
    </cacheField>
    <cacheField name="Region" numFmtId="0" sqlType="-10">
      <sharedItems count="20">
        <s v="DK1"/>
        <s v="DK2"/>
        <s v="EE"/>
        <s v="FIN"/>
        <s v="DE4-E"/>
        <s v="DE4-N"/>
        <s v="DE4-S"/>
        <s v="DE4-W"/>
        <s v="LV"/>
        <s v="LT"/>
        <s v="NO1"/>
        <s v="NO2"/>
        <s v="NO3"/>
        <s v="NO4"/>
        <s v="NO5"/>
        <s v="PL"/>
        <s v="SE1"/>
        <s v="SE2"/>
        <s v="SE3"/>
        <s v="SE4"/>
      </sharedItems>
    </cacheField>
    <cacheField name="Area" numFmtId="0" sqlType="-10">
      <sharedItems/>
    </cacheField>
    <cacheField name="Season" numFmtId="0" sqlType="-10">
      <sharedItems count="1">
        <s v="S0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MWh" numFmtId="0" sqlType="8">
      <sharedItems containsSemiMixedTypes="0" containsString="0" containsNumber="1" minValue="0" maxValue="173230.96813119599"/>
    </cacheField>
    <cacheField name="GJ" numFmtId="0" sqlType="8">
      <sharedItems containsSemiMixedTypes="0" containsString="0" containsNumber="1" minValue="0" maxValue="623631.48527230404"/>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Hardi Koduvere" refreshedDate="43203.42631909722" missingItemsLimit="0" createdVersion="5" refreshedVersion="6" minRefreshableVersion="3" recordCount="79">
  <cacheSource type="external" connectionId="11"/>
  <cacheFields count="14">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8">
        <s v="DENMARK"/>
        <s v="ESTONIA"/>
        <s v="FINLAND"/>
        <s v="GERMANY"/>
        <s v="NETHERLANDS"/>
        <s v="POLAND"/>
        <s v="SWEDEN"/>
        <s v="UNITED_KINGDOM"/>
      </sharedItems>
    </cacheField>
    <cacheField name="Region" numFmtId="0" sqlType="-10">
      <sharedItems count="13">
        <s v="DK1"/>
        <s v="DK2"/>
        <s v="EE"/>
        <s v="FIN"/>
        <s v="DE4-E"/>
        <s v="DE4-N"/>
        <s v="DE4-S"/>
        <s v="DE4-W"/>
        <s v="NL"/>
        <s v="PL"/>
        <s v="SE1"/>
        <s v="SE3"/>
        <s v="UK"/>
      </sharedItems>
    </cacheField>
    <cacheField name="Area" numFmtId="0" sqlType="-10">
      <sharedItems count="24">
        <s v="DK1_Large"/>
        <s v="DK1_Rural"/>
        <s v="DK2_Large"/>
        <s v="DK2_Medium"/>
        <s v="DK2_Rural"/>
        <s v="EE_Kohtla_Jarve"/>
        <s v="EE_Narva"/>
        <s v="FIN_EL"/>
        <s v="FIN_ESPOO"/>
        <s v="FIN_HELS"/>
        <s v="FIN_HP"/>
        <s v="FIN_OTHER"/>
        <s v="FinA"/>
        <s v="DE4-E_A"/>
        <s v="DE4-N_A"/>
        <s v="DE4-S_A"/>
        <s v="DE4-W_A"/>
        <s v="NL_A"/>
        <s v="PL_A"/>
        <s v="PL_Rural"/>
        <s v="SE1_OTHER"/>
        <s v="SE3_EL"/>
        <s v="SE3_STO"/>
        <s v="UK_A"/>
      </sharedItems>
    </cacheField>
    <cacheField name="Fuel" numFmtId="0" sqlType="-10">
      <sharedItems count="4">
        <s v="COAL"/>
        <s v="SHALE"/>
        <s v="PEAT"/>
        <s v="LIGNITE"/>
      </sharedItems>
    </cacheField>
    <cacheField name="Technology" numFmtId="0" sqlType="-10">
      <sharedItems count="75">
        <s v="GNR_ST_COAL_EXT_E-42"/>
        <s v="GNR_ST_COAL_EXT_E-43"/>
        <s v="GNR_ST_COAL_EXT_E-47"/>
        <s v="GNR_BO_COAL_E-91"/>
        <s v="GNR_ST_COAL_BP_E-38"/>
        <s v="GNR_ST_COAL_EXT_E-41"/>
        <s v="GNR_ST_COAL_BP_E-35"/>
        <s v="GNR_BO_SHALE_HO_E-34"/>
        <s v="NARVA-11_ST_SHALE_EXT"/>
        <s v="NARVA-4_ST_SHALE_CND"/>
        <s v="NARVA-6_ST_SHALE_CND"/>
        <s v="GEXT_COAL_KYMIJARVI"/>
        <s v="GHOB_PEAT"/>
        <s v="GBPR_COAL_SUOMENOJA"/>
        <s v="GBPR_COAL_MARTINLAAKSO"/>
        <s v="GBPR_COAL_SALMISAARI"/>
        <s v="GHOB_COAL"/>
        <s v="GBPR_COAL_NAANTALI"/>
        <s v="GBPR_COAL"/>
        <s v="GBPR_PEAT"/>
        <s v="GEXT_PEAT_KELJONLAHTI"/>
        <s v="GEXT_PEAT_SEVO"/>
        <s v="GEXT_PEAT_TOPPILA"/>
        <s v="GCND_COAL3"/>
        <s v="GBPR_PEAT_IND"/>
        <s v="GNR_ST_LIGN_BP_E-28"/>
        <s v="GNR_ST_LIGN_BP_E-39"/>
        <s v="GNR_ST_LIGN_CND_E-43"/>
        <s v="GNR_ST_COAL_BP_E-40"/>
        <s v="GNR_ST_COAL_CND_E-46"/>
        <s v="GNR_ST_COAL_BP_E-43"/>
        <s v="GNR_ST_COAL_CND_E-38"/>
        <s v="GNR_ST_COAL_CND_E-44"/>
        <s v="GNR_ST_COAL_BP_E-41"/>
        <s v="GNR_ST_COAL_CND_E-37"/>
        <s v="GNR_ST_COAL_CND_E-45"/>
        <s v="GNR_ST_LIGN_BP_E-33"/>
        <s v="GNR_ST_LIGN_BP_E-37"/>
        <s v="GNR_ST_LIGN_CND_E-32"/>
        <s v="GNR_ST_LIGN_CND_E-41"/>
        <s v="GNR_ST_COAL_CND_E-40"/>
        <s v="BIAL-4_ST_COAL_CND"/>
        <s v="BIEL-4_ST_COAL_BP"/>
        <s v="CHOR2-1_ST_COAL_BP"/>
        <s v="DOLN-1_ST_COAL_EXT"/>
        <s v="GDAN2-1_ST_COAL_BP"/>
        <s v="JAWO2-1_ST_COAL_BP"/>
        <s v="KARO-2_ST_COAL_BP"/>
        <s v="KATO_ST_COAL_BP"/>
        <s v="KOZI-1_ST_COAL_EXT"/>
        <s v="KRLEG-1_ST_COAL_BP"/>
        <s v="LAZI-1_ST_COAL_EXT"/>
        <s v="SIEK-1_ST_COAL_BP"/>
        <s v="SIER-1_ST_COAL_BP"/>
        <s v="TYCH_ST_COAL_BP"/>
        <s v="ZIEL-2_ST_COAL_BP"/>
        <s v="ZIEL-4_ST_COAL_BP"/>
        <s v="ADAM-1_ST_LIGNITE_EXT"/>
        <s v="BELC-1_ST_LIGNITE_EXT"/>
        <s v="DOLN-2_ST_COAL_CND"/>
        <s v="KOZI-2_ST_COAL_CND"/>
        <s v="LAGI-6_ST_COAL_CND"/>
        <s v="OPOL-1_ST_COAL_CND"/>
        <s v="OSTRB-1_ST_COAL_CND"/>
        <s v="POLA-2_ST_COAL_CND"/>
        <s v="RYBN-2_ST_COAL_CND"/>
        <s v="ADAM-2_ST_LIGNITE_CON"/>
        <s v="BELC-2_ST_LIGNITE_CON"/>
        <s v="PATN2-1_ST_LIGNITE_CON"/>
        <s v="GBPR_PEAT_38"/>
        <s v="GEXT_COAL_LINK"/>
        <s v="GEXT_PEAT"/>
        <s v="GBPR_COAL_VARTAN"/>
        <s v="GNR_ST_COAL_CND_E-33"/>
        <s v="GNR_ST_COAL_CND_E-35"/>
      </sharedItems>
    </cacheField>
    <cacheField name="CO2 kilotons" numFmtId="0" sqlType="8">
      <sharedItems containsSemiMixedTypes="0" containsString="0" containsNumber="1" minValue="11.4209607900154" maxValue="96003.050277443894"/>
    </cacheField>
    <cacheField name="CO2 megatons" numFmtId="0" sqlType="8">
      <sharedItems containsSemiMixedTypes="0" containsString="0" containsNumber="1" minValue="1.1420960790015399E-2" maxValue="96.003050277443805"/>
    </cacheField>
    <cacheField name="SO2 kilotons" numFmtId="0" sqlType="8">
      <sharedItems containsSemiMixedTypes="0" containsString="0" containsNumber="1" minValue="-3276.9658984186099" maxValue="982.52952062169595"/>
    </cacheField>
    <cacheField name="SO2 megatons" numFmtId="0" sqlType="8">
      <sharedItems containsSemiMixedTypes="0" containsString="0" containsNumber="1" minValue="-3.2769658984186001" maxValue="0.98252952062169596"/>
    </cacheField>
    <cacheField name="N2O kilotons" numFmtId="0" sqlType="8">
      <sharedItems containsSemiMixedTypes="0" containsString="0" containsNumber="1" minValue="3.3591061147104201E-4" maxValue="3.04449419484494"/>
    </cacheField>
    <cacheField name="N2O megatons" numFmtId="0" sqlType="8">
      <sharedItems containsSemiMixedTypes="0" containsString="0" containsNumber="1" minValue="3.35910611471042E-7" maxValue="3.0444941948449401E-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r:id="rId1" refreshedBy="Hardi Koduvere" refreshedDate="43203.426320486113" missingItemsLimit="0" createdVersion="5" refreshedVersion="6" minRefreshableVersion="3" recordCount="453">
  <cacheSource type="external" connectionId="14"/>
  <cacheFields count="10">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2">
        <s v="COAL"/>
        <s v="WASTEHEAT"/>
        <s v="MUNIWASTE"/>
        <s v="NATGAS"/>
        <s v="STRAW"/>
        <s v="WOODCHIPS"/>
        <s v="SUN"/>
        <s v="WATER"/>
        <s v="WIND"/>
        <s v="WOODWASTE"/>
        <s v="RETORTGAS"/>
        <s v="SHALE"/>
        <s v="WOOD"/>
        <s v="PEAT"/>
        <s v="NATGAS_EXETS"/>
        <s v="NUCLEAR"/>
        <s v="ELECTRIC"/>
        <s v="LIGNITE"/>
        <s v="HEAT"/>
        <s v="LPG"/>
        <s v="RECYCLEDWOOD"/>
        <s v="OTHERGAS"/>
      </sharedItems>
    </cacheField>
    <cacheField name="Technology" numFmtId="0" sqlType="-10">
      <sharedItems/>
    </cacheField>
    <cacheField name="TWh" numFmtId="0" sqlType="8">
      <sharedItems containsSemiMixedTypes="0" containsString="0" containsNumber="1" minValue="3.0082417582417501E-5" maxValue="281.89761063379098"/>
    </cacheField>
    <cacheField name="PJ" numFmtId="0" sqlType="8">
      <sharedItems containsSemiMixedTypes="0" containsString="0" containsNumber="1" minValue="1.08296703296703E-4" maxValue="1014.83139828165"/>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r:id="rId1" refreshedBy="Hardi Koduvere" refreshedDate="43203.426323032407" missingItemsLimit="0" createdVersion="5" refreshedVersion="6" minRefreshableVersion="3" recordCount="9115">
  <cacheSource type="external" connectionId="15"/>
  <cacheFields count="13">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2">
        <s v="COAL"/>
        <s v="WASTEHEAT"/>
        <s v="MUNIWASTE"/>
        <s v="NATGAS"/>
        <s v="STRAW"/>
        <s v="WOODCHIPS"/>
        <s v="SUN"/>
        <s v="WATER"/>
        <s v="WIND"/>
        <s v="WOODWASTE"/>
        <s v="RETORTGAS"/>
        <s v="SHALE"/>
        <s v="WOOD"/>
        <s v="PEAT"/>
        <s v="NATGAS_EXETS"/>
        <s v="NUCLEAR"/>
        <s v="ELECTRIC"/>
        <s v="LIGNITE"/>
        <s v="HEAT"/>
        <s v="LPG"/>
        <s v="RECYCLEDWOOD"/>
        <s v="OTHERGAS"/>
      </sharedItems>
    </cacheField>
    <cacheField name="Technology" numFmtId="0" sqlType="-10">
      <sharedItems/>
    </cacheField>
    <cacheField name="Season" numFmtId="0" sqlType="-10">
      <sharedItems count="1">
        <s v="S02"/>
      </sharedItems>
    </cacheField>
    <cacheField name="Term" numFmtId="0" sqlType="-10">
      <sharedItems count="24">
        <s v="T001"/>
        <s v="T002"/>
        <s v="T003"/>
        <s v="T004"/>
        <s v="T006"/>
        <s v="T007"/>
        <s v="T008"/>
        <s v="T009"/>
        <s v="T010"/>
        <s v="T011"/>
        <s v="T012"/>
        <s v="T013"/>
        <s v="T014"/>
        <s v="T015"/>
        <s v="T016"/>
        <s v="T017"/>
        <s v="T018"/>
        <s v="T019"/>
        <s v="T005"/>
        <s v="T020"/>
        <s v="T021"/>
        <s v="T022"/>
        <s v="T023"/>
        <s v="T024"/>
      </sharedItems>
    </cacheField>
    <cacheField name="MJ/s" numFmtId="0" sqlType="8">
      <sharedItems containsSemiMixedTypes="0" containsString="0" containsNumber="1" minValue="3.4340659340659201E-3" maxValue="33208.571428571398"/>
    </cacheField>
    <cacheField name="MWh" numFmtId="0" sqlType="8">
      <sharedItems containsSemiMixedTypes="0" containsString="0" containsNumber="1" minValue="1.2534340659340599" maxValue="12121128.571428601"/>
    </cacheField>
    <cacheField name="GJ" numFmtId="0" sqlType="8">
      <sharedItems containsSemiMixedTypes="0" containsString="0" containsNumber="1" minValue="4.51236263736262" maxValue="43636062.857142903"/>
    </cacheField>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r:id="rId1" refreshedBy="Hardi Koduvere" refreshedDate="43203.426325115739" missingItemsLimit="0" createdVersion="5" refreshedVersion="6" minRefreshableVersion="3" recordCount="6117">
  <cacheSource type="external" connectionId="18"/>
  <cacheFields count="13">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8">
        <s v="DENMARK"/>
        <s v="ESTONIA"/>
        <s v="FINLAND"/>
        <s v="GERMANY"/>
        <s v="LITHUANIA"/>
        <s v="NORWAY"/>
        <s v="POLAND"/>
        <s v="SWEDEN"/>
      </sharedItems>
    </cacheField>
    <cacheField name="Region" numFmtId="0" sqlType="-10">
      <sharedItems count="19">
        <s v="DK1"/>
        <s v="DK2"/>
        <s v="EE"/>
        <s v="FIN"/>
        <s v="DE4-E"/>
        <s v="DE4-N"/>
        <s v="DE4-S"/>
        <s v="DE4-W"/>
        <s v="LT"/>
        <s v="NO1"/>
        <s v="NO2"/>
        <s v="NO3"/>
        <s v="NO4"/>
        <s v="NO5"/>
        <s v="PL"/>
        <s v="SE1"/>
        <s v="SE2"/>
        <s v="SE3"/>
        <s v="SE4"/>
      </sharedItems>
    </cacheField>
    <cacheField name="Area" numFmtId="0" sqlType="-10">
      <sharedItems/>
    </cacheField>
    <cacheField name="Fuel" numFmtId="0" sqlType="-10">
      <sharedItems count="17">
        <s v="COAL"/>
        <s v="HEAT"/>
        <s v="WASTEHEAT"/>
        <s v="ELECTRIC"/>
        <s v="MUNIWASTE"/>
        <s v="NATGAS"/>
        <s v="STRAW"/>
        <s v="WOODCHIPS"/>
        <s v="WOODWASTE"/>
        <s v="SHALE"/>
        <s v="WOOD"/>
        <s v="PEAT"/>
        <s v="NATGAS_EXETS"/>
        <s v="LIGNITE"/>
        <s v="LPG"/>
        <s v="RECYCLEDWOOD"/>
        <s v="OTHERGAS"/>
      </sharedItems>
    </cacheField>
    <cacheField name="Technology" numFmtId="0" sqlType="-10">
      <sharedItems/>
    </cacheField>
    <cacheField name="Season" numFmtId="0" sqlType="-10">
      <sharedItems count="1">
        <s v="S02"/>
      </sharedItems>
    </cacheField>
    <cacheField name="Term" numFmtId="0" sqlType="-10">
      <sharedItems count="24">
        <s v="T006"/>
        <s v="T008"/>
        <s v="T010"/>
        <s v="T011"/>
        <s v="T012"/>
        <s v="T013"/>
        <s v="T015"/>
        <s v="T016"/>
        <s v="T017"/>
        <s v="T001"/>
        <s v="T002"/>
        <s v="T003"/>
        <s v="T004"/>
        <s v="T005"/>
        <s v="T007"/>
        <s v="T014"/>
        <s v="T018"/>
        <s v="T019"/>
        <s v="T020"/>
        <s v="T021"/>
        <s v="T022"/>
        <s v="T023"/>
        <s v="T024"/>
        <s v="T009"/>
      </sharedItems>
    </cacheField>
    <cacheField name="MW" numFmtId="0" sqlType="8">
      <sharedItems containsSemiMixedTypes="0" containsString="0" containsNumber="1" minValue="3.4340659340659201E-3" maxValue="136348.30520671999"/>
    </cacheField>
    <cacheField name="MWh" numFmtId="0" sqlType="8">
      <sharedItems containsSemiMixedTypes="0" containsString="0" containsNumber="1" minValue="1.2534340659340599" maxValue="49767131.400452703"/>
    </cacheField>
    <cacheField name="GJ" numFmtId="0" sqlType="8">
      <sharedItems containsSemiMixedTypes="0" containsString="0" containsNumber="1" minValue="4.51236263736262" maxValue="179161673.04163"/>
    </cacheField>
  </cacheFields>
  <extLst>
    <ext xmlns:x14="http://schemas.microsoft.com/office/spreadsheetml/2009/9/main" uri="{725AE2AE-9491-48be-B2B4-4EB974FC3084}">
      <x14:pivotCacheDefinition/>
    </ext>
  </extLst>
</pivotCacheDefinition>
</file>

<file path=xl/pivotCache/pivotCacheDefinition13.xml><?xml version="1.0" encoding="utf-8"?>
<pivotCacheDefinition xmlns="http://schemas.openxmlformats.org/spreadsheetml/2006/main" xmlns:r="http://schemas.openxmlformats.org/officeDocument/2006/relationships" r:id="rId1" refreshedBy="Hardi Koduvere" refreshedDate="43203.426327777779" missingItemsLimit="0" createdVersion="5" refreshedVersion="6" minRefreshableVersion="3" recordCount="347">
  <cacheSource type="external" connectionId="7"/>
  <cacheFields count="11">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19">
        <s v="COAL"/>
        <s v="ELECTRIC"/>
        <s v="MUNIWASTE"/>
        <s v="STRAW"/>
        <s v="WOODCHIPS"/>
        <s v="SUN"/>
        <s v="WATER"/>
        <s v="WIND"/>
        <s v="NATGAS"/>
        <s v="RETORTGAS"/>
        <s v="WOODWASTE"/>
        <s v="SHALE"/>
        <s v="WOOD"/>
        <s v="PEAT"/>
        <s v="NUCLEAR"/>
        <s v="LIGNITE"/>
        <s v="WASTEHEAT"/>
        <s v="HEAT"/>
        <s v="RECYCLEDWOOD"/>
      </sharedItems>
    </cacheField>
    <cacheField name="Technology Type" numFmtId="0" sqlType="-10">
      <sharedItems count="9">
        <s v="2.23e+303"/>
        <s v="2.41e+303"/>
        <s v="2.26e+303"/>
        <s v="2.19e+303"/>
        <s v="2.48e+303"/>
        <s v="2.21e+303"/>
        <s v="2.1e+303"/>
        <s v="2.46e+303"/>
        <s v="2.65e+303"/>
      </sharedItems>
    </cacheField>
    <cacheField name="Technology" numFmtId="0" sqlType="-10">
      <sharedItems/>
    </cacheField>
    <cacheField name="TWh" numFmtId="0" sqlType="8">
      <sharedItems containsSemiMixedTypes="0" containsString="0" containsNumber="1" minValue="7.2297909610526402E-5" maxValue="98.664163721826895"/>
    </cacheField>
    <cacheField name="PJ" numFmtId="0" sqlType="8">
      <sharedItems containsSemiMixedTypes="0" containsString="0" containsNumber="1" minValue="2.6027247459789498E-4" maxValue="355.19098939857702"/>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r:id="rId1" refreshedBy="Hardi Koduvere" refreshedDate="43203.426330092596" missingItemsLimit="0" createdVersion="5" refreshedVersion="6" minRefreshableVersion="3" recordCount="311">
  <cacheSource type="external" connectionId="17"/>
  <cacheFields count="10">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8">
        <s v="DENMARK"/>
        <s v="ESTONIA"/>
        <s v="FINLAND"/>
        <s v="GERMANY"/>
        <s v="LITHUANIA"/>
        <s v="NORWAY"/>
        <s v="POLAND"/>
        <s v="SWEDEN"/>
      </sharedItems>
    </cacheField>
    <cacheField name="Region" numFmtId="0" sqlType="-10">
      <sharedItems count="19">
        <s v="DK1"/>
        <s v="DK2"/>
        <s v="EE"/>
        <s v="FIN"/>
        <s v="DE4-E"/>
        <s v="DE4-N"/>
        <s v="DE4-S"/>
        <s v="DE4-W"/>
        <s v="LT"/>
        <s v="NO1"/>
        <s v="NO2"/>
        <s v="NO3"/>
        <s v="NO4"/>
        <s v="NO5"/>
        <s v="PL"/>
        <s v="SE1"/>
        <s v="SE2"/>
        <s v="SE3"/>
        <s v="SE4"/>
      </sharedItems>
    </cacheField>
    <cacheField name="Area" numFmtId="0" sqlType="-10">
      <sharedItems/>
    </cacheField>
    <cacheField name="Fuel" numFmtId="0" sqlType="-10">
      <sharedItems count="17">
        <s v="COAL"/>
        <s v="HEAT"/>
        <s v="WASTEHEAT"/>
        <s v="ELECTRIC"/>
        <s v="MUNIWASTE"/>
        <s v="NATGAS"/>
        <s v="STRAW"/>
        <s v="WOODCHIPS"/>
        <s v="WOODWASTE"/>
        <s v="SHALE"/>
        <s v="WOOD"/>
        <s v="PEAT"/>
        <s v="NATGAS_EXETS"/>
        <s v="LIGNITE"/>
        <s v="LPG"/>
        <s v="RECYCLEDWOOD"/>
        <s v="OTHERGAS"/>
      </sharedItems>
    </cacheField>
    <cacheField name="Technology" numFmtId="0" sqlType="-10">
      <sharedItems/>
    </cacheField>
    <cacheField name="TWh" numFmtId="0" sqlType="8">
      <sharedItems containsSemiMixedTypes="0" containsString="0" containsNumber="1" minValue="3.0082417582417501E-5" maxValue="1134.48668054123"/>
    </cacheField>
    <cacheField name="PJ" numFmtId="0" sqlType="8">
      <sharedItems containsSemiMixedTypes="0" containsString="0" containsNumber="1" minValue="1.08296703296703E-4" maxValue="4084.15204994844"/>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r:id="rId1" refreshedBy="Hardi Koduvere" refreshedDate="43203.426331365743" missingItemsLimit="0" createdVersion="6" refreshedVersion="6" minRefreshableVersion="3" recordCount="27">
  <cacheSource type="external" connectionId="12"/>
  <cacheFields count="10">
    <cacheField name="Case" numFmtId="0" sqlType="-10">
      <sharedItems count="1">
        <s v="BASE"/>
      </sharedItems>
    </cacheField>
    <cacheField name="BaseYear" numFmtId="0" sqlType="-10">
      <sharedItems count="1">
        <s v="2016"/>
      </sharedItems>
    </cacheField>
    <cacheField name="ModelYear" numFmtId="0" sqlType="-10">
      <sharedItems count="1">
        <s v="2016"/>
      </sharedItems>
    </cacheField>
    <cacheField name="Country" numFmtId="0" sqlType="-10">
      <sharedItems count="6">
        <s v="DENMARK"/>
        <s v="ESTONIA"/>
        <s v="FINLAND"/>
        <s v="GERMANY"/>
        <s v="NORWAY"/>
        <s v="SWEDEN"/>
      </sharedItems>
    </cacheField>
    <cacheField name="Region" numFmtId="0" sqlType="-10">
      <sharedItems count="13">
        <s v="DK1"/>
        <s v="DK2"/>
        <s v="EE"/>
        <s v="FIN"/>
        <s v="DE4-E"/>
        <s v="DE4-N"/>
        <s v="DE4-S"/>
        <s v="DE4-W"/>
        <s v="NO1"/>
        <s v="NO2"/>
        <s v="SE1"/>
        <s v="SE3"/>
        <s v="SE4"/>
      </sharedItems>
    </cacheField>
    <cacheField name="Area" numFmtId="0" sqlType="-10">
      <sharedItems count="27">
        <s v="DK1_Large"/>
        <s v="DK1_MedSmall"/>
        <s v="DK1_Medium"/>
        <s v="DK1_Rural"/>
        <s v="DK1_Small"/>
        <s v="DK2_Large"/>
        <s v="DK2_MedSmall"/>
        <s v="DK2_Medium"/>
        <s v="DK2_Small"/>
        <s v="EE_Narva"/>
        <s v="FIN_EL"/>
        <s v="FIN_HP"/>
        <s v="FIN_OTHER"/>
        <s v="DE4-E_A"/>
        <s v="DE4-N_A"/>
        <s v="DE4-S_A"/>
        <s v="DE4-W_A"/>
        <s v="NO1_A1"/>
        <s v="NO1_A2"/>
        <s v="NO2_A1"/>
        <s v="SE1_OTHER"/>
        <s v="SE3_EL"/>
        <s v="SE3_GOT"/>
        <s v="SE3_OTHER"/>
        <s v="SE4_HP"/>
        <s v="SE4_MAL"/>
        <s v="SE4_OTHER"/>
      </sharedItems>
    </cacheField>
    <cacheField name="Fuel" numFmtId="0" sqlType="-10">
      <sharedItems count="1">
        <s v="HEAT"/>
      </sharedItems>
    </cacheField>
    <cacheField name="Technology Type" numFmtId="0" sqlType="-10">
      <sharedItems count="1">
        <s v="2.58e+303"/>
      </sharedItems>
    </cacheField>
    <cacheField name="Technology" numFmtId="0" sqlType="-10">
      <sharedItems count="1">
        <s v="GNR_HS_HEAT_WTR-TANK_LS_E-95_Y-2010"/>
      </sharedItems>
    </cacheField>
    <cacheField name="MW" numFmtId="0" sqlType="8">
      <sharedItems containsSemiMixedTypes="0" containsString="0" containsNumber="1" minValue="10.9315118902093" maxValue="1090786.4416537599" count="27">
        <n v="1153.0624571441399"/>
        <n v="171.051792896699"/>
        <n v="951.73629443156199"/>
        <n v="963.25555054628603"/>
        <n v="15.6907633593109"/>
        <n v="252.59773069220699"/>
        <n v="128.274952626724"/>
        <n v="202.21152990402501"/>
        <n v="10.9315118902093"/>
        <n v="216.25424082828599"/>
        <n v="2918.0040292805602"/>
        <n v="2362.42945238423"/>
        <n v="168.05301188103701"/>
        <n v="1090786.4416537599"/>
        <n v="12403.653130402299"/>
        <n v="173230.96813119599"/>
        <n v="250411.55429363"/>
        <n v="1374.68999943772"/>
        <n v="1981.27313837559"/>
        <n v="28.117901656798999"/>
        <n v="841.91722787304502"/>
        <n v="1269.7900178744801"/>
        <n v="1472.2577229288399"/>
        <n v="14921.5895643074"/>
        <n v="126.06720520709401"/>
        <n v="143.209197367586"/>
        <n v="5349.9491368785002"/>
      </sharedItems>
    </cacheField>
  </cacheFields>
  <extLst>
    <ext xmlns:x14="http://schemas.microsoft.com/office/spreadsheetml/2009/9/main" uri="{725AE2AE-9491-48be-B2B4-4EB974FC3084}">
      <x14:pivotCacheDefinition/>
    </ext>
  </extLst>
</pivotCacheDefinition>
</file>

<file path=xl/pivotCache/pivotCacheDefinition16.xml><?xml version="1.0" encoding="utf-8"?>
<pivotCacheDefinition xmlns="http://schemas.openxmlformats.org/spreadsheetml/2006/main" xmlns:r="http://schemas.openxmlformats.org/officeDocument/2006/relationships" r:id="rId1" refreshedBy="Hardi Koduvere" refreshedDate="43207.632115624998" missingItemsLimit="0" createdVersion="5" refreshedVersion="6" minRefreshableVersion="3" recordCount="2322">
  <cacheSource type="external" connectionId="13"/>
  <cacheFields count="9">
    <cacheField name="Case" numFmtId="0" sqlType="-10">
      <sharedItems count="1">
        <s v="BASE"/>
      </sharedItems>
    </cacheField>
    <cacheField name="Year" numFmtId="0" sqlType="-10">
      <sharedItems count="3">
        <s v="2016"/>
        <s v="2020"/>
        <s v="2030"/>
      </sharedItems>
    </cacheField>
    <cacheField name="Country" numFmtId="0" sqlType="-10">
      <sharedItems count="11">
        <s v="FINLAND"/>
        <s v="SWEDEN"/>
        <s v="NORWAY"/>
        <s v="LITHUANIA"/>
        <s v="POLAND"/>
        <s v="GERMANY"/>
        <s v="ESTONIA"/>
        <s v="DENMARK"/>
        <s v="NETHERLANDS"/>
        <s v="UNITED_KINGDOM"/>
        <s v="LATVIA"/>
      </sharedItems>
    </cacheField>
    <cacheField name="Region" numFmtId="0" sqlType="-10">
      <sharedItems count="22">
        <s v="FIN"/>
        <s v="SE1"/>
        <s v="SE2"/>
        <s v="SE3"/>
        <s v="SE4"/>
        <s v="NO3"/>
        <s v="NO1"/>
        <s v="NO2"/>
        <s v="NO4"/>
        <s v="NO5"/>
        <s v="LT"/>
        <s v="PL"/>
        <s v="DE4-E"/>
        <s v="DE4-N"/>
        <s v="DE4-S"/>
        <s v="DE4-W"/>
        <s v="EE"/>
        <s v="DK1"/>
        <s v="DK2"/>
        <s v="NL"/>
        <s v="UK"/>
        <s v="LV"/>
      </sharedItems>
    </cacheField>
    <cacheField name="Area" numFmtId="0" sqlType="-10">
      <sharedItems/>
    </cacheField>
    <cacheField name="Fuel" numFmtId="0" sqlType="-10">
      <sharedItems count="25">
        <s v="COAL"/>
        <s v="FUELOIL"/>
        <s v="NATGAS"/>
        <s v="NUCLEAR"/>
        <s v="WOOD"/>
        <s v="PEAT"/>
        <s v="WOODCHIPS"/>
        <s v="WOODWASTE"/>
        <s v="BIOOIL"/>
        <s v="MUNIWASTE"/>
        <s v="RECYCLEDWOOD"/>
        <s v="WOODPELLETS"/>
        <s v="HEAVYFUELOIL"/>
        <s v="ELECTRIC"/>
        <s v="LIGNITE"/>
        <s v="SHALE"/>
        <s v="STRAW"/>
        <s v="RETORTGAS"/>
        <s v="BIOGAS"/>
        <s v="LIGHTOIL"/>
        <s v="WATER"/>
        <s v="WASTEHEAT"/>
        <s v="SUN"/>
        <s v="WIND"/>
        <s v="HEAT"/>
      </sharedItems>
    </cacheField>
    <cacheField name="Technology" numFmtId="0" sqlType="-10">
      <sharedItems/>
    </cacheField>
    <cacheField name="MW" numFmtId="0" sqlType="8">
      <sharedItems containsSemiMixedTypes="0" containsString="0" containsNumber="1" minValue="0.293333333333333" maxValue="0.293333333333333" count="1">
        <n v="0.293333333333333"/>
      </sharedItems>
    </cacheField>
    <cacheField name="GW" numFmtId="0" sqlType="8">
      <sharedItems containsSemiMixedTypes="0" containsString="0" containsNumber="1" minValue="2.93333333333333E-4" maxValue="2.93333333333333E-4" count="1">
        <n v="2.93333333333333E-4"/>
      </sharedItems>
    </cacheField>
  </cacheFields>
  <extLst>
    <ext xmlns:x14="http://schemas.microsoft.com/office/spreadsheetml/2009/9/main" uri="{725AE2AE-9491-48be-B2B4-4EB974FC3084}">
      <x14:pivotCacheDefinition/>
    </ext>
  </extLst>
</pivotCacheDefinition>
</file>

<file path=xl/pivotCache/pivotCacheDefinition17.xml><?xml version="1.0" encoding="utf-8"?>
<pivotCacheDefinition xmlns="http://schemas.openxmlformats.org/spreadsheetml/2006/main" xmlns:r="http://schemas.openxmlformats.org/officeDocument/2006/relationships" r:id="rId1" refreshedBy="Hardi Koduvere" refreshedDate="43208.438253472224" missingItemsLimit="0" createdVersion="5" refreshedVersion="6" minRefreshableVersion="3" recordCount="15982">
  <cacheSource type="external" connectionId="8"/>
  <cacheFields count="14">
    <cacheField name="Case" numFmtId="0" sqlType="-10">
      <sharedItems count="1">
        <s v="BASE"/>
      </sharedItems>
    </cacheField>
    <cacheField name="Year1" numFmtId="0" sqlType="-10">
      <sharedItems count="3">
        <s v="2016"/>
        <s v="2020"/>
        <s v="2030"/>
      </sharedItems>
    </cacheField>
    <cacheField name="Year2" numFmtId="0" sqlType="-10">
      <sharedItems count="3">
        <s v="2016"/>
        <s v="2020"/>
        <s v="203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0">
        <s v="COAL"/>
        <s v="ELECTRIC"/>
        <s v="MUNIWASTE"/>
        <s v="STRAW"/>
        <s v="WOODCHIPS"/>
        <s v="SUN"/>
        <s v="WATER"/>
        <s v="WIND"/>
        <s v="NATGAS"/>
        <s v="RETORTGAS"/>
        <s v="WOODWASTE"/>
        <s v="SHALE"/>
        <s v="WOOD"/>
        <s v="PEAT"/>
        <s v="NUCLEAR"/>
        <s v="LIGNITE"/>
        <s v="WASTEHEAT"/>
        <s v="HEAT"/>
        <s v="RECYCLEDWOOD"/>
        <s v="BIOGAS"/>
      </sharedItems>
    </cacheField>
    <cacheField name="Technology Type" numFmtId="0" sqlType="-10">
      <sharedItems count="10">
        <s v="Extraction"/>
        <s v="Electricity to heat"/>
        <s v="Backpressure"/>
        <s v="Solar PV"/>
        <s v="Hydro ROR"/>
        <s v="Wind"/>
        <s v="Condensing"/>
        <s v="Hydro reservoir"/>
        <s v="EL storage S"/>
        <s v="EL storage"/>
      </sharedItems>
    </cacheField>
    <cacheField name="Technology" numFmtId="0" sqlType="-10">
      <sharedItems/>
    </cacheField>
    <cacheField name="Season" numFmtId="0" sqlType="-10">
      <sharedItems count="1">
        <s v="S02"/>
      </sharedItems>
    </cacheField>
    <cacheField name="Term" numFmtId="0" sqlType="-10">
      <sharedItems count="24">
        <s v="T001"/>
        <s v="T002"/>
        <s v="T004"/>
        <s v="T005"/>
        <s v="T006"/>
        <s v="T007"/>
        <s v="T008"/>
        <s v="T009"/>
        <s v="T010"/>
        <s v="T011"/>
        <s v="T012"/>
        <s v="T013"/>
        <s v="T014"/>
        <s v="T015"/>
        <s v="T016"/>
        <s v="T017"/>
        <s v="T018"/>
        <s v="T019"/>
        <s v="T003"/>
        <s v="T020"/>
        <s v="T021"/>
        <s v="T022"/>
        <s v="T023"/>
        <s v="T024"/>
      </sharedItems>
    </cacheField>
    <cacheField name="MW" numFmtId="0" sqlType="8">
      <sharedItems containsSemiMixedTypes="0" containsString="0" containsNumber="1" minValue="-81.767737158283097" maxValue="58274.120067070398"/>
    </cacheField>
    <cacheField name="MWh" numFmtId="0" sqlType="8">
      <sharedItems containsSemiMixedTypes="0" containsString="0" containsNumber="1" minValue="-29845.224062773301" maxValue="21270053.824480701"/>
    </cacheField>
    <cacheField name="GJ" numFmtId="0" sqlType="8">
      <sharedItems containsSemiMixedTypes="0" containsString="0" containsNumber="1" minValue="-107442.806625984" maxValue="76572193.768130496"/>
    </cacheField>
  </cacheFields>
  <extLst>
    <ext xmlns:x14="http://schemas.microsoft.com/office/spreadsheetml/2009/9/main" uri="{725AE2AE-9491-48be-B2B4-4EB974FC3084}">
      <x14:pivotCacheDefinition/>
    </ext>
  </extLst>
</pivotCacheDefinition>
</file>

<file path=xl/pivotCache/pivotCacheDefinition18.xml><?xml version="1.0" encoding="utf-8"?>
<pivotCacheDefinition xmlns="http://schemas.openxmlformats.org/spreadsheetml/2006/main" xmlns:r="http://schemas.openxmlformats.org/officeDocument/2006/relationships" r:id="rId1" refreshedBy="Hardi Koduvere" refreshedDate="43208.691992824075" missingItemsLimit="0" createdVersion="5" refreshedVersion="6" minRefreshableVersion="3" recordCount="11">
  <cacheSource type="external" connectionId="1"/>
  <cacheFields count="3">
    <cacheField name="C" numFmtId="0" sqlType="-10">
      <sharedItems count="1">
        <s v="BASE"/>
      </sharedItems>
    </cacheField>
    <cacheField name="C2" numFmtId="0" sqlType="-10">
      <sharedItems count="1">
        <s v="1INPUT"/>
      </sharedItems>
    </cacheField>
    <cacheField name="C3" numFmtId="0" sqlType="-10">
      <sharedItems count="11">
        <s v="NORWAY"/>
        <s v="DENMARK"/>
        <s v="FINLAND"/>
        <s v="GERMANY"/>
        <s v="NETHERLANDS"/>
        <s v="SWEDEN"/>
        <s v="UNITED_KINGDOM"/>
        <s v="ESTONIA"/>
        <s v="LATVIA"/>
        <s v="LITHUANIA"/>
        <s v="POLAND"/>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152">
  <r>
    <x v="0"/>
    <x v="0"/>
    <x v="0"/>
    <x v="0"/>
    <x v="0"/>
    <x v="0"/>
    <x v="0"/>
    <x v="0"/>
    <n v="1.20558434566714"/>
    <n v="4.3401036444016903"/>
  </r>
  <r>
    <x v="0"/>
    <x v="0"/>
    <x v="0"/>
    <x v="0"/>
    <x v="0"/>
    <x v="0"/>
    <x v="0"/>
    <x v="1"/>
    <n v="1.20558434566714"/>
    <n v="4.3401036444016903"/>
  </r>
  <r>
    <x v="0"/>
    <x v="0"/>
    <x v="0"/>
    <x v="0"/>
    <x v="0"/>
    <x v="0"/>
    <x v="0"/>
    <x v="2"/>
    <n v="1.20558434566714"/>
    <n v="4.3401036444016903"/>
  </r>
  <r>
    <x v="0"/>
    <x v="0"/>
    <x v="0"/>
    <x v="0"/>
    <x v="0"/>
    <x v="0"/>
    <x v="0"/>
    <x v="3"/>
    <n v="1.20558434566714"/>
    <n v="4.3401036444016903"/>
  </r>
  <r>
    <x v="0"/>
    <x v="0"/>
    <x v="0"/>
    <x v="0"/>
    <x v="0"/>
    <x v="0"/>
    <x v="0"/>
    <x v="4"/>
    <n v="1.20558434566714"/>
    <n v="4.3401036444016903"/>
  </r>
  <r>
    <x v="0"/>
    <x v="0"/>
    <x v="0"/>
    <x v="0"/>
    <x v="0"/>
    <x v="0"/>
    <x v="0"/>
    <x v="5"/>
    <n v="1.20558434566714"/>
    <n v="4.3401036444016903"/>
  </r>
  <r>
    <x v="0"/>
    <x v="0"/>
    <x v="0"/>
    <x v="0"/>
    <x v="0"/>
    <x v="0"/>
    <x v="0"/>
    <x v="6"/>
    <n v="1.26162898722102"/>
    <n v="4.5418643539956598"/>
  </r>
  <r>
    <x v="0"/>
    <x v="0"/>
    <x v="0"/>
    <x v="0"/>
    <x v="0"/>
    <x v="0"/>
    <x v="0"/>
    <x v="7"/>
    <n v="1.4261388880325401"/>
    <n v="5.1340999969171603"/>
  </r>
  <r>
    <x v="0"/>
    <x v="0"/>
    <x v="0"/>
    <x v="0"/>
    <x v="0"/>
    <x v="0"/>
    <x v="0"/>
    <x v="8"/>
    <n v="1.4261388880325401"/>
    <n v="5.1340999969171603"/>
  </r>
  <r>
    <x v="0"/>
    <x v="0"/>
    <x v="0"/>
    <x v="0"/>
    <x v="0"/>
    <x v="0"/>
    <x v="0"/>
    <x v="9"/>
    <n v="1.4261388880325401"/>
    <n v="5.1340999969171603"/>
  </r>
  <r>
    <x v="0"/>
    <x v="0"/>
    <x v="0"/>
    <x v="0"/>
    <x v="0"/>
    <x v="0"/>
    <x v="0"/>
    <x v="10"/>
    <n v="1.29448483279309"/>
    <n v="4.6601453980551302"/>
  </r>
  <r>
    <x v="0"/>
    <x v="0"/>
    <x v="0"/>
    <x v="0"/>
    <x v="0"/>
    <x v="0"/>
    <x v="0"/>
    <x v="11"/>
    <n v="1.2749784069335199"/>
    <n v="4.5899222649606699"/>
  </r>
  <r>
    <x v="0"/>
    <x v="0"/>
    <x v="0"/>
    <x v="0"/>
    <x v="0"/>
    <x v="0"/>
    <x v="0"/>
    <x v="12"/>
    <n v="1.24560144775742"/>
    <n v="4.4841652119267099"/>
  </r>
  <r>
    <x v="0"/>
    <x v="0"/>
    <x v="0"/>
    <x v="0"/>
    <x v="0"/>
    <x v="0"/>
    <x v="0"/>
    <x v="13"/>
    <n v="1.24560144775742"/>
    <n v="4.4841652119267099"/>
  </r>
  <r>
    <x v="0"/>
    <x v="0"/>
    <x v="0"/>
    <x v="0"/>
    <x v="0"/>
    <x v="0"/>
    <x v="0"/>
    <x v="14"/>
    <n v="1.24560144775742"/>
    <n v="4.4841652119267099"/>
  </r>
  <r>
    <x v="0"/>
    <x v="0"/>
    <x v="0"/>
    <x v="0"/>
    <x v="0"/>
    <x v="0"/>
    <x v="0"/>
    <x v="15"/>
    <n v="1.25143002636029"/>
    <n v="4.5051480948970299"/>
  </r>
  <r>
    <x v="0"/>
    <x v="0"/>
    <x v="0"/>
    <x v="0"/>
    <x v="0"/>
    <x v="0"/>
    <x v="0"/>
    <x v="16"/>
    <n v="1.25143002636029"/>
    <n v="4.5051480948970299"/>
  </r>
  <r>
    <x v="0"/>
    <x v="0"/>
    <x v="0"/>
    <x v="0"/>
    <x v="0"/>
    <x v="0"/>
    <x v="0"/>
    <x v="17"/>
    <n v="1.25143002636029"/>
    <n v="4.5051480948970299"/>
  </r>
  <r>
    <x v="0"/>
    <x v="0"/>
    <x v="0"/>
    <x v="0"/>
    <x v="0"/>
    <x v="0"/>
    <x v="0"/>
    <x v="18"/>
    <n v="1.20558434566714"/>
    <n v="4.3401036444016903"/>
  </r>
  <r>
    <x v="0"/>
    <x v="0"/>
    <x v="0"/>
    <x v="0"/>
    <x v="0"/>
    <x v="0"/>
    <x v="0"/>
    <x v="19"/>
    <n v="1.1932819286182701"/>
    <n v="4.2958149430257802"/>
  </r>
  <r>
    <x v="0"/>
    <x v="0"/>
    <x v="0"/>
    <x v="0"/>
    <x v="0"/>
    <x v="0"/>
    <x v="0"/>
    <x v="20"/>
    <n v="1.1811648601771401"/>
    <n v="4.2521934966377204"/>
  </r>
  <r>
    <x v="0"/>
    <x v="0"/>
    <x v="0"/>
    <x v="0"/>
    <x v="0"/>
    <x v="0"/>
    <x v="0"/>
    <x v="21"/>
    <n v="1.3110526385300301"/>
    <n v="4.7197894987081197"/>
  </r>
  <r>
    <x v="0"/>
    <x v="0"/>
    <x v="0"/>
    <x v="0"/>
    <x v="0"/>
    <x v="0"/>
    <x v="0"/>
    <x v="22"/>
    <n v="1.3110526385300301"/>
    <n v="4.7197894987081197"/>
  </r>
  <r>
    <x v="0"/>
    <x v="0"/>
    <x v="0"/>
    <x v="0"/>
    <x v="0"/>
    <x v="0"/>
    <x v="0"/>
    <x v="23"/>
    <n v="1.3110526385300301"/>
    <n v="4.7197894987081197"/>
  </r>
  <r>
    <x v="0"/>
    <x v="0"/>
    <x v="0"/>
    <x v="0"/>
    <x v="0"/>
    <x v="1"/>
    <x v="0"/>
    <x v="0"/>
    <n v="7.4131514925631699"/>
    <n v="26.687345373227402"/>
  </r>
  <r>
    <x v="0"/>
    <x v="0"/>
    <x v="0"/>
    <x v="0"/>
    <x v="0"/>
    <x v="1"/>
    <x v="0"/>
    <x v="1"/>
    <n v="7.4131514925631699"/>
    <n v="26.687345373227402"/>
  </r>
  <r>
    <x v="0"/>
    <x v="0"/>
    <x v="0"/>
    <x v="0"/>
    <x v="0"/>
    <x v="1"/>
    <x v="0"/>
    <x v="2"/>
    <n v="7.4131514925631699"/>
    <n v="26.687345373227402"/>
  </r>
  <r>
    <x v="0"/>
    <x v="0"/>
    <x v="0"/>
    <x v="0"/>
    <x v="0"/>
    <x v="1"/>
    <x v="0"/>
    <x v="3"/>
    <n v="7.4131514925631699"/>
    <n v="26.687345373227402"/>
  </r>
  <r>
    <x v="0"/>
    <x v="0"/>
    <x v="0"/>
    <x v="0"/>
    <x v="0"/>
    <x v="1"/>
    <x v="0"/>
    <x v="4"/>
    <n v="7.4131514925631699"/>
    <n v="26.687345373227402"/>
  </r>
  <r>
    <x v="0"/>
    <x v="0"/>
    <x v="0"/>
    <x v="0"/>
    <x v="0"/>
    <x v="1"/>
    <x v="0"/>
    <x v="5"/>
    <n v="7.6242540451475502"/>
    <n v="27.447314562531201"/>
  </r>
  <r>
    <x v="0"/>
    <x v="0"/>
    <x v="0"/>
    <x v="0"/>
    <x v="0"/>
    <x v="1"/>
    <x v="0"/>
    <x v="6"/>
    <n v="7.6467742991223302"/>
    <n v="27.5283874768404"/>
  </r>
  <r>
    <x v="0"/>
    <x v="0"/>
    <x v="0"/>
    <x v="0"/>
    <x v="0"/>
    <x v="1"/>
    <x v="0"/>
    <x v="7"/>
    <n v="7.6467742991223302"/>
    <n v="27.5283874768404"/>
  </r>
  <r>
    <x v="0"/>
    <x v="0"/>
    <x v="0"/>
    <x v="0"/>
    <x v="0"/>
    <x v="1"/>
    <x v="0"/>
    <x v="8"/>
    <n v="7.6467742991223302"/>
    <n v="27.5283874768404"/>
  </r>
  <r>
    <x v="0"/>
    <x v="0"/>
    <x v="0"/>
    <x v="0"/>
    <x v="0"/>
    <x v="1"/>
    <x v="0"/>
    <x v="9"/>
    <n v="7.6467742991223302"/>
    <n v="27.5283874768404"/>
  </r>
  <r>
    <x v="0"/>
    <x v="0"/>
    <x v="0"/>
    <x v="0"/>
    <x v="0"/>
    <x v="1"/>
    <x v="0"/>
    <x v="10"/>
    <n v="7.6467742991223302"/>
    <n v="27.5283874768404"/>
  </r>
  <r>
    <x v="0"/>
    <x v="0"/>
    <x v="0"/>
    <x v="0"/>
    <x v="0"/>
    <x v="1"/>
    <x v="0"/>
    <x v="11"/>
    <n v="7.6467742991223302"/>
    <n v="27.5283874768404"/>
  </r>
  <r>
    <x v="0"/>
    <x v="0"/>
    <x v="0"/>
    <x v="0"/>
    <x v="0"/>
    <x v="1"/>
    <x v="0"/>
    <x v="12"/>
    <n v="7.6467742991223302"/>
    <n v="27.5283874768404"/>
  </r>
  <r>
    <x v="0"/>
    <x v="0"/>
    <x v="0"/>
    <x v="0"/>
    <x v="0"/>
    <x v="1"/>
    <x v="0"/>
    <x v="13"/>
    <n v="7.6467742991223302"/>
    <n v="27.5283874768404"/>
  </r>
  <r>
    <x v="0"/>
    <x v="0"/>
    <x v="0"/>
    <x v="0"/>
    <x v="0"/>
    <x v="1"/>
    <x v="0"/>
    <x v="14"/>
    <n v="7.6467742991223302"/>
    <n v="27.5283874768404"/>
  </r>
  <r>
    <x v="0"/>
    <x v="0"/>
    <x v="0"/>
    <x v="0"/>
    <x v="0"/>
    <x v="1"/>
    <x v="0"/>
    <x v="15"/>
    <n v="7.6467742991223302"/>
    <n v="27.5283874768404"/>
  </r>
  <r>
    <x v="0"/>
    <x v="0"/>
    <x v="0"/>
    <x v="0"/>
    <x v="0"/>
    <x v="1"/>
    <x v="0"/>
    <x v="16"/>
    <n v="7.6467742991223302"/>
    <n v="27.5283874768404"/>
  </r>
  <r>
    <x v="0"/>
    <x v="0"/>
    <x v="0"/>
    <x v="0"/>
    <x v="0"/>
    <x v="1"/>
    <x v="0"/>
    <x v="17"/>
    <n v="7.6467742991223302"/>
    <n v="27.5283874768404"/>
  </r>
  <r>
    <x v="0"/>
    <x v="0"/>
    <x v="0"/>
    <x v="0"/>
    <x v="0"/>
    <x v="1"/>
    <x v="0"/>
    <x v="18"/>
    <n v="7.6467742991223302"/>
    <n v="27.5283874768404"/>
  </r>
  <r>
    <x v="0"/>
    <x v="0"/>
    <x v="0"/>
    <x v="0"/>
    <x v="0"/>
    <x v="1"/>
    <x v="0"/>
    <x v="19"/>
    <n v="7.6467742991223302"/>
    <n v="27.5283874768404"/>
  </r>
  <r>
    <x v="0"/>
    <x v="0"/>
    <x v="0"/>
    <x v="0"/>
    <x v="0"/>
    <x v="1"/>
    <x v="0"/>
    <x v="20"/>
    <n v="7.6467742991223302"/>
    <n v="27.5283874768404"/>
  </r>
  <r>
    <x v="0"/>
    <x v="0"/>
    <x v="0"/>
    <x v="0"/>
    <x v="0"/>
    <x v="1"/>
    <x v="0"/>
    <x v="21"/>
    <n v="7.6242540451475502"/>
    <n v="27.447314562531201"/>
  </r>
  <r>
    <x v="0"/>
    <x v="0"/>
    <x v="0"/>
    <x v="0"/>
    <x v="0"/>
    <x v="1"/>
    <x v="0"/>
    <x v="22"/>
    <n v="7.6242540451475502"/>
    <n v="27.447314562531201"/>
  </r>
  <r>
    <x v="0"/>
    <x v="0"/>
    <x v="0"/>
    <x v="0"/>
    <x v="0"/>
    <x v="1"/>
    <x v="0"/>
    <x v="23"/>
    <n v="7.6242540451475502"/>
    <n v="27.447314562531201"/>
  </r>
  <r>
    <x v="0"/>
    <x v="0"/>
    <x v="0"/>
    <x v="0"/>
    <x v="0"/>
    <x v="2"/>
    <x v="0"/>
    <x v="0"/>
    <n v="6.6631634979693297"/>
    <n v="23.987388592689602"/>
  </r>
  <r>
    <x v="0"/>
    <x v="0"/>
    <x v="0"/>
    <x v="0"/>
    <x v="0"/>
    <x v="2"/>
    <x v="0"/>
    <x v="1"/>
    <n v="6.6631634979693297"/>
    <n v="23.987388592689602"/>
  </r>
  <r>
    <x v="0"/>
    <x v="0"/>
    <x v="0"/>
    <x v="0"/>
    <x v="0"/>
    <x v="2"/>
    <x v="0"/>
    <x v="2"/>
    <n v="6.6631634979693297"/>
    <n v="23.987388592689602"/>
  </r>
  <r>
    <x v="0"/>
    <x v="0"/>
    <x v="0"/>
    <x v="0"/>
    <x v="0"/>
    <x v="2"/>
    <x v="0"/>
    <x v="3"/>
    <n v="6.6631634979693297"/>
    <n v="23.987388592689602"/>
  </r>
  <r>
    <x v="0"/>
    <x v="0"/>
    <x v="0"/>
    <x v="0"/>
    <x v="0"/>
    <x v="2"/>
    <x v="0"/>
    <x v="4"/>
    <n v="6.6631634979693297"/>
    <n v="23.987388592689602"/>
  </r>
  <r>
    <x v="0"/>
    <x v="0"/>
    <x v="0"/>
    <x v="0"/>
    <x v="0"/>
    <x v="2"/>
    <x v="0"/>
    <x v="5"/>
    <n v="6.6631634979693297"/>
    <n v="23.987388592689602"/>
  </r>
  <r>
    <x v="0"/>
    <x v="0"/>
    <x v="0"/>
    <x v="0"/>
    <x v="0"/>
    <x v="2"/>
    <x v="0"/>
    <x v="6"/>
    <n v="6.5900690611358899"/>
    <n v="23.724248620089199"/>
  </r>
  <r>
    <x v="0"/>
    <x v="0"/>
    <x v="0"/>
    <x v="0"/>
    <x v="0"/>
    <x v="2"/>
    <x v="0"/>
    <x v="7"/>
    <n v="6.2656986290158398"/>
    <n v="22.556515064456999"/>
  </r>
  <r>
    <x v="0"/>
    <x v="0"/>
    <x v="0"/>
    <x v="0"/>
    <x v="0"/>
    <x v="2"/>
    <x v="0"/>
    <x v="8"/>
    <n v="6.2722412143855202"/>
    <n v="22.580068371787899"/>
  </r>
  <r>
    <x v="0"/>
    <x v="0"/>
    <x v="0"/>
    <x v="0"/>
    <x v="0"/>
    <x v="2"/>
    <x v="0"/>
    <x v="9"/>
    <n v="6.2722412143855202"/>
    <n v="22.580068371787899"/>
  </r>
  <r>
    <x v="0"/>
    <x v="0"/>
    <x v="0"/>
    <x v="0"/>
    <x v="0"/>
    <x v="2"/>
    <x v="0"/>
    <x v="10"/>
    <n v="6.53182852540884"/>
    <n v="23.514582691471801"/>
  </r>
  <r>
    <x v="0"/>
    <x v="0"/>
    <x v="0"/>
    <x v="0"/>
    <x v="0"/>
    <x v="2"/>
    <x v="0"/>
    <x v="11"/>
    <n v="6.5702900876247003"/>
    <n v="23.653044315448899"/>
  </r>
  <r>
    <x v="0"/>
    <x v="0"/>
    <x v="0"/>
    <x v="0"/>
    <x v="0"/>
    <x v="2"/>
    <x v="0"/>
    <x v="12"/>
    <n v="6.6158786922030997"/>
    <n v="23.817163291931202"/>
  </r>
  <r>
    <x v="0"/>
    <x v="0"/>
    <x v="0"/>
    <x v="0"/>
    <x v="0"/>
    <x v="2"/>
    <x v="0"/>
    <x v="13"/>
    <n v="6.6158786922030997"/>
    <n v="23.817163291931202"/>
  </r>
  <r>
    <x v="0"/>
    <x v="0"/>
    <x v="0"/>
    <x v="0"/>
    <x v="0"/>
    <x v="2"/>
    <x v="0"/>
    <x v="14"/>
    <n v="6.6158786922030997"/>
    <n v="23.817163291931202"/>
  </r>
  <r>
    <x v="0"/>
    <x v="0"/>
    <x v="0"/>
    <x v="0"/>
    <x v="0"/>
    <x v="2"/>
    <x v="0"/>
    <x v="15"/>
    <n v="6.6101787404029198"/>
    <n v="23.796643465450501"/>
  </r>
  <r>
    <x v="0"/>
    <x v="0"/>
    <x v="0"/>
    <x v="0"/>
    <x v="0"/>
    <x v="2"/>
    <x v="0"/>
    <x v="16"/>
    <n v="6.6101787404029198"/>
    <n v="23.796643465450501"/>
  </r>
  <r>
    <x v="0"/>
    <x v="0"/>
    <x v="0"/>
    <x v="0"/>
    <x v="0"/>
    <x v="2"/>
    <x v="0"/>
    <x v="17"/>
    <n v="6.6158786922030997"/>
    <n v="23.817163291931202"/>
  </r>
  <r>
    <x v="0"/>
    <x v="0"/>
    <x v="0"/>
    <x v="0"/>
    <x v="0"/>
    <x v="2"/>
    <x v="0"/>
    <x v="18"/>
    <n v="6.6631634979693297"/>
    <n v="23.987388592689602"/>
  </r>
  <r>
    <x v="0"/>
    <x v="0"/>
    <x v="0"/>
    <x v="0"/>
    <x v="0"/>
    <x v="2"/>
    <x v="0"/>
    <x v="19"/>
    <n v="6.6631634979693297"/>
    <n v="23.987388592689602"/>
  </r>
  <r>
    <x v="0"/>
    <x v="0"/>
    <x v="0"/>
    <x v="0"/>
    <x v="0"/>
    <x v="2"/>
    <x v="0"/>
    <x v="20"/>
    <n v="6.6631634979693297"/>
    <n v="23.987388592689602"/>
  </r>
  <r>
    <x v="0"/>
    <x v="0"/>
    <x v="0"/>
    <x v="0"/>
    <x v="0"/>
    <x v="2"/>
    <x v="0"/>
    <x v="21"/>
    <n v="6.6631634979693297"/>
    <n v="23.987388592689602"/>
  </r>
  <r>
    <x v="0"/>
    <x v="0"/>
    <x v="0"/>
    <x v="0"/>
    <x v="0"/>
    <x v="2"/>
    <x v="0"/>
    <x v="22"/>
    <n v="6.6631634979693297"/>
    <n v="23.987388592689602"/>
  </r>
  <r>
    <x v="0"/>
    <x v="0"/>
    <x v="0"/>
    <x v="0"/>
    <x v="0"/>
    <x v="2"/>
    <x v="0"/>
    <x v="23"/>
    <n v="6.6631634979693297"/>
    <n v="23.987388592689602"/>
  </r>
  <r>
    <x v="0"/>
    <x v="0"/>
    <x v="0"/>
    <x v="0"/>
    <x v="0"/>
    <x v="3"/>
    <x v="0"/>
    <x v="0"/>
    <n v="6.1194260097550002"/>
    <n v="22.029933635117999"/>
  </r>
  <r>
    <x v="0"/>
    <x v="0"/>
    <x v="0"/>
    <x v="0"/>
    <x v="0"/>
    <x v="3"/>
    <x v="0"/>
    <x v="1"/>
    <n v="6.1194260097550002"/>
    <n v="22.029933635117999"/>
  </r>
  <r>
    <x v="0"/>
    <x v="0"/>
    <x v="0"/>
    <x v="0"/>
    <x v="0"/>
    <x v="3"/>
    <x v="0"/>
    <x v="2"/>
    <n v="6.1194260097550002"/>
    <n v="22.029933635117999"/>
  </r>
  <r>
    <x v="0"/>
    <x v="0"/>
    <x v="0"/>
    <x v="0"/>
    <x v="0"/>
    <x v="3"/>
    <x v="0"/>
    <x v="3"/>
    <n v="6.1194260097550002"/>
    <n v="22.029933635117999"/>
  </r>
  <r>
    <x v="0"/>
    <x v="0"/>
    <x v="0"/>
    <x v="0"/>
    <x v="0"/>
    <x v="3"/>
    <x v="0"/>
    <x v="4"/>
    <n v="6.1194260097550002"/>
    <n v="22.029933635117999"/>
  </r>
  <r>
    <x v="0"/>
    <x v="0"/>
    <x v="0"/>
    <x v="0"/>
    <x v="0"/>
    <x v="3"/>
    <x v="0"/>
    <x v="5"/>
    <n v="6.1194260097550002"/>
    <n v="22.029933635117999"/>
  </r>
  <r>
    <x v="0"/>
    <x v="0"/>
    <x v="0"/>
    <x v="0"/>
    <x v="0"/>
    <x v="3"/>
    <x v="0"/>
    <x v="6"/>
    <n v="6.5361289771138704"/>
    <n v="23.530064317609899"/>
  </r>
  <r>
    <x v="0"/>
    <x v="0"/>
    <x v="0"/>
    <x v="0"/>
    <x v="0"/>
    <x v="3"/>
    <x v="0"/>
    <x v="7"/>
    <n v="6.6954623733913596"/>
    <n v="24.1036645442089"/>
  </r>
  <r>
    <x v="0"/>
    <x v="0"/>
    <x v="0"/>
    <x v="0"/>
    <x v="0"/>
    <x v="3"/>
    <x v="0"/>
    <x v="8"/>
    <n v="6.6954623733913596"/>
    <n v="24.1036645442089"/>
  </r>
  <r>
    <x v="0"/>
    <x v="0"/>
    <x v="0"/>
    <x v="0"/>
    <x v="0"/>
    <x v="3"/>
    <x v="0"/>
    <x v="9"/>
    <n v="6.6954623733913596"/>
    <n v="24.1036645442089"/>
  </r>
  <r>
    <x v="0"/>
    <x v="0"/>
    <x v="0"/>
    <x v="0"/>
    <x v="0"/>
    <x v="3"/>
    <x v="0"/>
    <x v="10"/>
    <n v="6.6954623733913596"/>
    <n v="24.1036645442089"/>
  </r>
  <r>
    <x v="0"/>
    <x v="0"/>
    <x v="0"/>
    <x v="0"/>
    <x v="0"/>
    <x v="3"/>
    <x v="0"/>
    <x v="11"/>
    <n v="6.6954623733913596"/>
    <n v="24.1036645442089"/>
  </r>
  <r>
    <x v="0"/>
    <x v="0"/>
    <x v="0"/>
    <x v="0"/>
    <x v="0"/>
    <x v="3"/>
    <x v="0"/>
    <x v="12"/>
    <n v="6.6954623733913596"/>
    <n v="24.1036645442089"/>
  </r>
  <r>
    <x v="0"/>
    <x v="0"/>
    <x v="0"/>
    <x v="0"/>
    <x v="0"/>
    <x v="3"/>
    <x v="0"/>
    <x v="13"/>
    <n v="6.6954623733913596"/>
    <n v="24.1036645442089"/>
  </r>
  <r>
    <x v="0"/>
    <x v="0"/>
    <x v="0"/>
    <x v="0"/>
    <x v="0"/>
    <x v="3"/>
    <x v="0"/>
    <x v="14"/>
    <n v="6.6954623733913596"/>
    <n v="24.1036645442089"/>
  </r>
  <r>
    <x v="0"/>
    <x v="0"/>
    <x v="0"/>
    <x v="0"/>
    <x v="0"/>
    <x v="3"/>
    <x v="0"/>
    <x v="15"/>
    <n v="6.6954623733913596"/>
    <n v="24.1036645442089"/>
  </r>
  <r>
    <x v="0"/>
    <x v="0"/>
    <x v="0"/>
    <x v="0"/>
    <x v="0"/>
    <x v="3"/>
    <x v="0"/>
    <x v="16"/>
    <n v="6.6954623733913596"/>
    <n v="24.1036645442089"/>
  </r>
  <r>
    <x v="0"/>
    <x v="0"/>
    <x v="0"/>
    <x v="0"/>
    <x v="0"/>
    <x v="3"/>
    <x v="0"/>
    <x v="17"/>
    <n v="6.6954623733913596"/>
    <n v="24.1036645442089"/>
  </r>
  <r>
    <x v="0"/>
    <x v="0"/>
    <x v="0"/>
    <x v="0"/>
    <x v="0"/>
    <x v="3"/>
    <x v="0"/>
    <x v="18"/>
    <n v="6.6954623733913596"/>
    <n v="24.1036645442089"/>
  </r>
  <r>
    <x v="0"/>
    <x v="0"/>
    <x v="0"/>
    <x v="0"/>
    <x v="0"/>
    <x v="3"/>
    <x v="0"/>
    <x v="19"/>
    <n v="6.6954623733913596"/>
    <n v="24.1036645442089"/>
  </r>
  <r>
    <x v="0"/>
    <x v="0"/>
    <x v="0"/>
    <x v="0"/>
    <x v="0"/>
    <x v="3"/>
    <x v="0"/>
    <x v="20"/>
    <n v="6.6954623733913596"/>
    <n v="24.1036645442089"/>
  </r>
  <r>
    <x v="0"/>
    <x v="0"/>
    <x v="0"/>
    <x v="0"/>
    <x v="0"/>
    <x v="3"/>
    <x v="0"/>
    <x v="21"/>
    <n v="6.2432197332617001"/>
    <n v="22.475591039742099"/>
  </r>
  <r>
    <x v="0"/>
    <x v="0"/>
    <x v="0"/>
    <x v="0"/>
    <x v="0"/>
    <x v="3"/>
    <x v="0"/>
    <x v="22"/>
    <n v="6.2432197332617001"/>
    <n v="22.475591039742099"/>
  </r>
  <r>
    <x v="0"/>
    <x v="0"/>
    <x v="0"/>
    <x v="0"/>
    <x v="0"/>
    <x v="3"/>
    <x v="0"/>
    <x v="23"/>
    <n v="6.2432197332617001"/>
    <n v="22.475591039742099"/>
  </r>
  <r>
    <x v="0"/>
    <x v="0"/>
    <x v="0"/>
    <x v="0"/>
    <x v="0"/>
    <x v="4"/>
    <x v="0"/>
    <x v="0"/>
    <n v="1.8618424720311699"/>
    <n v="6.7026328993122002"/>
  </r>
  <r>
    <x v="0"/>
    <x v="0"/>
    <x v="0"/>
    <x v="0"/>
    <x v="0"/>
    <x v="4"/>
    <x v="0"/>
    <x v="1"/>
    <n v="1.8618424720311699"/>
    <n v="6.7026328993122002"/>
  </r>
  <r>
    <x v="0"/>
    <x v="0"/>
    <x v="0"/>
    <x v="0"/>
    <x v="0"/>
    <x v="4"/>
    <x v="0"/>
    <x v="2"/>
    <n v="1.8618424720311699"/>
    <n v="6.7026328993122002"/>
  </r>
  <r>
    <x v="0"/>
    <x v="0"/>
    <x v="0"/>
    <x v="0"/>
    <x v="0"/>
    <x v="4"/>
    <x v="0"/>
    <x v="3"/>
    <n v="1.8618424720311699"/>
    <n v="6.7026328993122002"/>
  </r>
  <r>
    <x v="0"/>
    <x v="0"/>
    <x v="0"/>
    <x v="0"/>
    <x v="0"/>
    <x v="4"/>
    <x v="0"/>
    <x v="4"/>
    <n v="1.8618424720311699"/>
    <n v="6.7026328993122002"/>
  </r>
  <r>
    <x v="0"/>
    <x v="0"/>
    <x v="0"/>
    <x v="0"/>
    <x v="0"/>
    <x v="4"/>
    <x v="0"/>
    <x v="5"/>
    <n v="1.8618424720311699"/>
    <n v="6.7026328993122002"/>
  </r>
  <r>
    <x v="0"/>
    <x v="0"/>
    <x v="0"/>
    <x v="0"/>
    <x v="0"/>
    <x v="4"/>
    <x v="0"/>
    <x v="6"/>
    <n v="1.8627783694670601"/>
    <n v="6.7060021300814299"/>
  </r>
  <r>
    <x v="0"/>
    <x v="0"/>
    <x v="0"/>
    <x v="0"/>
    <x v="0"/>
    <x v="4"/>
    <x v="0"/>
    <x v="7"/>
    <n v="1.9763940032645"/>
    <n v="7.1150184117522004"/>
  </r>
  <r>
    <x v="0"/>
    <x v="0"/>
    <x v="0"/>
    <x v="0"/>
    <x v="0"/>
    <x v="4"/>
    <x v="0"/>
    <x v="8"/>
    <n v="1.9763940032645"/>
    <n v="7.1150184117522004"/>
  </r>
  <r>
    <x v="0"/>
    <x v="0"/>
    <x v="0"/>
    <x v="0"/>
    <x v="0"/>
    <x v="4"/>
    <x v="0"/>
    <x v="9"/>
    <n v="1.9763940032645"/>
    <n v="7.1150184117522004"/>
  </r>
  <r>
    <x v="0"/>
    <x v="0"/>
    <x v="0"/>
    <x v="0"/>
    <x v="0"/>
    <x v="4"/>
    <x v="0"/>
    <x v="10"/>
    <n v="1.9763940032645"/>
    <n v="7.1150184117522004"/>
  </r>
  <r>
    <x v="0"/>
    <x v="0"/>
    <x v="0"/>
    <x v="0"/>
    <x v="0"/>
    <x v="4"/>
    <x v="0"/>
    <x v="11"/>
    <n v="1.9763940032645"/>
    <n v="7.1150184117522004"/>
  </r>
  <r>
    <x v="0"/>
    <x v="0"/>
    <x v="0"/>
    <x v="0"/>
    <x v="0"/>
    <x v="4"/>
    <x v="0"/>
    <x v="12"/>
    <n v="1.9763940032645"/>
    <n v="7.1150184117522004"/>
  </r>
  <r>
    <x v="0"/>
    <x v="0"/>
    <x v="0"/>
    <x v="0"/>
    <x v="0"/>
    <x v="4"/>
    <x v="0"/>
    <x v="13"/>
    <n v="1.9763940032645"/>
    <n v="7.1150184117522004"/>
  </r>
  <r>
    <x v="0"/>
    <x v="0"/>
    <x v="0"/>
    <x v="0"/>
    <x v="0"/>
    <x v="4"/>
    <x v="0"/>
    <x v="14"/>
    <n v="1.9763940032645"/>
    <n v="7.1150184117522004"/>
  </r>
  <r>
    <x v="0"/>
    <x v="0"/>
    <x v="0"/>
    <x v="0"/>
    <x v="0"/>
    <x v="4"/>
    <x v="0"/>
    <x v="15"/>
    <n v="1.9763940032645"/>
    <n v="7.1150184117522004"/>
  </r>
  <r>
    <x v="0"/>
    <x v="0"/>
    <x v="0"/>
    <x v="0"/>
    <x v="0"/>
    <x v="4"/>
    <x v="0"/>
    <x v="16"/>
    <n v="1.9763940032645"/>
    <n v="7.1150184117522004"/>
  </r>
  <r>
    <x v="0"/>
    <x v="0"/>
    <x v="0"/>
    <x v="0"/>
    <x v="0"/>
    <x v="4"/>
    <x v="0"/>
    <x v="17"/>
    <n v="1.9763940032645"/>
    <n v="7.1150184117522004"/>
  </r>
  <r>
    <x v="0"/>
    <x v="0"/>
    <x v="0"/>
    <x v="0"/>
    <x v="0"/>
    <x v="4"/>
    <x v="0"/>
    <x v="18"/>
    <n v="1.9763940032645"/>
    <n v="7.1150184117522004"/>
  </r>
  <r>
    <x v="0"/>
    <x v="0"/>
    <x v="0"/>
    <x v="0"/>
    <x v="0"/>
    <x v="4"/>
    <x v="0"/>
    <x v="19"/>
    <n v="1.9763940032645"/>
    <n v="7.1150184117522004"/>
  </r>
  <r>
    <x v="0"/>
    <x v="0"/>
    <x v="0"/>
    <x v="0"/>
    <x v="0"/>
    <x v="4"/>
    <x v="0"/>
    <x v="20"/>
    <n v="1.8627783694670601"/>
    <n v="6.7060021300814299"/>
  </r>
  <r>
    <x v="0"/>
    <x v="0"/>
    <x v="0"/>
    <x v="0"/>
    <x v="0"/>
    <x v="4"/>
    <x v="0"/>
    <x v="21"/>
    <n v="1.8618424720311699"/>
    <n v="6.7026328993122002"/>
  </r>
  <r>
    <x v="0"/>
    <x v="0"/>
    <x v="0"/>
    <x v="0"/>
    <x v="0"/>
    <x v="4"/>
    <x v="0"/>
    <x v="22"/>
    <n v="1.8618424720311699"/>
    <n v="6.7026328993122002"/>
  </r>
  <r>
    <x v="0"/>
    <x v="0"/>
    <x v="0"/>
    <x v="0"/>
    <x v="0"/>
    <x v="4"/>
    <x v="0"/>
    <x v="23"/>
    <n v="1.8618424720311699"/>
    <n v="6.7026328993122002"/>
  </r>
  <r>
    <x v="0"/>
    <x v="0"/>
    <x v="0"/>
    <x v="0"/>
    <x v="1"/>
    <x v="5"/>
    <x v="0"/>
    <x v="0"/>
    <n v="6.7512153130816497"/>
    <n v="24.304375127093898"/>
  </r>
  <r>
    <x v="0"/>
    <x v="0"/>
    <x v="0"/>
    <x v="0"/>
    <x v="1"/>
    <x v="5"/>
    <x v="0"/>
    <x v="1"/>
    <n v="6.7512153130816497"/>
    <n v="24.304375127093898"/>
  </r>
  <r>
    <x v="0"/>
    <x v="0"/>
    <x v="0"/>
    <x v="0"/>
    <x v="1"/>
    <x v="5"/>
    <x v="0"/>
    <x v="2"/>
    <n v="6.7512153130816497"/>
    <n v="24.304375127093898"/>
  </r>
  <r>
    <x v="0"/>
    <x v="0"/>
    <x v="0"/>
    <x v="0"/>
    <x v="1"/>
    <x v="5"/>
    <x v="0"/>
    <x v="3"/>
    <n v="6.7512153130816497"/>
    <n v="24.304375127093898"/>
  </r>
  <r>
    <x v="0"/>
    <x v="0"/>
    <x v="0"/>
    <x v="0"/>
    <x v="1"/>
    <x v="5"/>
    <x v="0"/>
    <x v="4"/>
    <n v="6.69813315880796"/>
    <n v="24.1132793717087"/>
  </r>
  <r>
    <x v="0"/>
    <x v="0"/>
    <x v="0"/>
    <x v="0"/>
    <x v="1"/>
    <x v="5"/>
    <x v="0"/>
    <x v="5"/>
    <n v="6.9019693257582402"/>
    <n v="24.847089572729701"/>
  </r>
  <r>
    <x v="0"/>
    <x v="0"/>
    <x v="0"/>
    <x v="0"/>
    <x v="1"/>
    <x v="5"/>
    <x v="0"/>
    <x v="6"/>
    <n v="6.9019693257582402"/>
    <n v="24.847089572729701"/>
  </r>
  <r>
    <x v="0"/>
    <x v="0"/>
    <x v="0"/>
    <x v="0"/>
    <x v="1"/>
    <x v="5"/>
    <x v="0"/>
    <x v="7"/>
    <n v="6.7073354790081696"/>
    <n v="24.146407724429402"/>
  </r>
  <r>
    <x v="0"/>
    <x v="0"/>
    <x v="0"/>
    <x v="0"/>
    <x v="1"/>
    <x v="5"/>
    <x v="0"/>
    <x v="8"/>
    <n v="6.9019693257582402"/>
    <n v="24.847089572729701"/>
  </r>
  <r>
    <x v="0"/>
    <x v="0"/>
    <x v="0"/>
    <x v="0"/>
    <x v="1"/>
    <x v="5"/>
    <x v="0"/>
    <x v="9"/>
    <n v="6.7073354790081696"/>
    <n v="24.146407724429402"/>
  </r>
  <r>
    <x v="0"/>
    <x v="0"/>
    <x v="0"/>
    <x v="0"/>
    <x v="1"/>
    <x v="5"/>
    <x v="0"/>
    <x v="10"/>
    <n v="6.9019693257582402"/>
    <n v="24.847089572729701"/>
  </r>
  <r>
    <x v="0"/>
    <x v="0"/>
    <x v="0"/>
    <x v="0"/>
    <x v="1"/>
    <x v="5"/>
    <x v="0"/>
    <x v="11"/>
    <n v="6.9019693257582402"/>
    <n v="24.847089572729701"/>
  </r>
  <r>
    <x v="0"/>
    <x v="0"/>
    <x v="0"/>
    <x v="0"/>
    <x v="1"/>
    <x v="5"/>
    <x v="0"/>
    <x v="12"/>
    <n v="6.9019693257582402"/>
    <n v="24.847089572729701"/>
  </r>
  <r>
    <x v="0"/>
    <x v="0"/>
    <x v="0"/>
    <x v="0"/>
    <x v="1"/>
    <x v="5"/>
    <x v="0"/>
    <x v="13"/>
    <n v="6.9019693257582402"/>
    <n v="24.847089572729701"/>
  </r>
  <r>
    <x v="0"/>
    <x v="0"/>
    <x v="0"/>
    <x v="0"/>
    <x v="1"/>
    <x v="5"/>
    <x v="0"/>
    <x v="14"/>
    <n v="6.9019693257582402"/>
    <n v="24.847089572729701"/>
  </r>
  <r>
    <x v="0"/>
    <x v="0"/>
    <x v="0"/>
    <x v="0"/>
    <x v="1"/>
    <x v="5"/>
    <x v="0"/>
    <x v="15"/>
    <n v="6.9019693257582402"/>
    <n v="24.847089572729701"/>
  </r>
  <r>
    <x v="0"/>
    <x v="0"/>
    <x v="0"/>
    <x v="0"/>
    <x v="1"/>
    <x v="5"/>
    <x v="0"/>
    <x v="16"/>
    <n v="6.9019693257582402"/>
    <n v="24.847089572729701"/>
  </r>
  <r>
    <x v="0"/>
    <x v="0"/>
    <x v="0"/>
    <x v="0"/>
    <x v="1"/>
    <x v="5"/>
    <x v="0"/>
    <x v="17"/>
    <n v="6.9019693257582402"/>
    <n v="24.847089572729701"/>
  </r>
  <r>
    <x v="0"/>
    <x v="0"/>
    <x v="0"/>
    <x v="0"/>
    <x v="1"/>
    <x v="5"/>
    <x v="0"/>
    <x v="18"/>
    <n v="6.9019693257582402"/>
    <n v="24.847089572729701"/>
  </r>
  <r>
    <x v="0"/>
    <x v="0"/>
    <x v="0"/>
    <x v="0"/>
    <x v="1"/>
    <x v="5"/>
    <x v="0"/>
    <x v="19"/>
    <n v="6.9019693257582402"/>
    <n v="24.847089572729701"/>
  </r>
  <r>
    <x v="0"/>
    <x v="0"/>
    <x v="0"/>
    <x v="0"/>
    <x v="1"/>
    <x v="5"/>
    <x v="0"/>
    <x v="20"/>
    <n v="6.9019693257582402"/>
    <n v="24.847089572729701"/>
  </r>
  <r>
    <x v="0"/>
    <x v="0"/>
    <x v="0"/>
    <x v="0"/>
    <x v="1"/>
    <x v="5"/>
    <x v="0"/>
    <x v="21"/>
    <n v="6.9019693257582402"/>
    <n v="24.847089572729701"/>
  </r>
  <r>
    <x v="0"/>
    <x v="0"/>
    <x v="0"/>
    <x v="0"/>
    <x v="1"/>
    <x v="5"/>
    <x v="0"/>
    <x v="22"/>
    <n v="6.8519437243231902"/>
    <n v="24.6669974075635"/>
  </r>
  <r>
    <x v="0"/>
    <x v="0"/>
    <x v="0"/>
    <x v="0"/>
    <x v="1"/>
    <x v="5"/>
    <x v="0"/>
    <x v="23"/>
    <n v="6.8899197896551998"/>
    <n v="24.803711242758698"/>
  </r>
  <r>
    <x v="0"/>
    <x v="0"/>
    <x v="0"/>
    <x v="0"/>
    <x v="1"/>
    <x v="6"/>
    <x v="0"/>
    <x v="0"/>
    <n v="6.01656237339136"/>
    <n v="21.659624544208899"/>
  </r>
  <r>
    <x v="0"/>
    <x v="0"/>
    <x v="0"/>
    <x v="0"/>
    <x v="1"/>
    <x v="6"/>
    <x v="0"/>
    <x v="1"/>
    <n v="6.01656237339136"/>
    <n v="21.659624544208899"/>
  </r>
  <r>
    <x v="0"/>
    <x v="0"/>
    <x v="0"/>
    <x v="0"/>
    <x v="1"/>
    <x v="6"/>
    <x v="0"/>
    <x v="2"/>
    <n v="6.01656237339136"/>
    <n v="21.659624544208899"/>
  </r>
  <r>
    <x v="0"/>
    <x v="0"/>
    <x v="0"/>
    <x v="0"/>
    <x v="1"/>
    <x v="6"/>
    <x v="0"/>
    <x v="3"/>
    <n v="6.01656237339136"/>
    <n v="21.659624544208899"/>
  </r>
  <r>
    <x v="0"/>
    <x v="0"/>
    <x v="0"/>
    <x v="0"/>
    <x v="1"/>
    <x v="6"/>
    <x v="0"/>
    <x v="4"/>
    <n v="6.01656237339136"/>
    <n v="21.659624544208899"/>
  </r>
  <r>
    <x v="0"/>
    <x v="0"/>
    <x v="0"/>
    <x v="0"/>
    <x v="1"/>
    <x v="6"/>
    <x v="0"/>
    <x v="5"/>
    <n v="6.1653588637608197"/>
    <n v="22.195291909539002"/>
  </r>
  <r>
    <x v="0"/>
    <x v="0"/>
    <x v="0"/>
    <x v="0"/>
    <x v="1"/>
    <x v="6"/>
    <x v="0"/>
    <x v="6"/>
    <n v="6.1653588637608197"/>
    <n v="22.195291909539002"/>
  </r>
  <r>
    <x v="0"/>
    <x v="0"/>
    <x v="0"/>
    <x v="0"/>
    <x v="1"/>
    <x v="6"/>
    <x v="0"/>
    <x v="7"/>
    <n v="6.1092451013467102"/>
    <n v="21.993282364848199"/>
  </r>
  <r>
    <x v="0"/>
    <x v="0"/>
    <x v="0"/>
    <x v="0"/>
    <x v="1"/>
    <x v="6"/>
    <x v="0"/>
    <x v="8"/>
    <n v="6.1092451013467102"/>
    <n v="21.993282364848199"/>
  </r>
  <r>
    <x v="0"/>
    <x v="0"/>
    <x v="0"/>
    <x v="0"/>
    <x v="1"/>
    <x v="6"/>
    <x v="0"/>
    <x v="9"/>
    <n v="6.1092451013467102"/>
    <n v="21.993282364848199"/>
  </r>
  <r>
    <x v="0"/>
    <x v="0"/>
    <x v="0"/>
    <x v="0"/>
    <x v="1"/>
    <x v="6"/>
    <x v="0"/>
    <x v="10"/>
    <n v="6.3802130669242896"/>
    <n v="22.9687670409274"/>
  </r>
  <r>
    <x v="0"/>
    <x v="0"/>
    <x v="0"/>
    <x v="0"/>
    <x v="1"/>
    <x v="6"/>
    <x v="0"/>
    <x v="11"/>
    <n v="6.4203608354168296"/>
    <n v="23.113299007500601"/>
  </r>
  <r>
    <x v="0"/>
    <x v="0"/>
    <x v="0"/>
    <x v="0"/>
    <x v="1"/>
    <x v="6"/>
    <x v="0"/>
    <x v="12"/>
    <n v="6.4688276810826997"/>
    <n v="23.287779651897701"/>
  </r>
  <r>
    <x v="0"/>
    <x v="0"/>
    <x v="0"/>
    <x v="0"/>
    <x v="1"/>
    <x v="6"/>
    <x v="0"/>
    <x v="13"/>
    <n v="6.4688276810826997"/>
    <n v="23.287779651897701"/>
  </r>
  <r>
    <x v="0"/>
    <x v="0"/>
    <x v="0"/>
    <x v="0"/>
    <x v="1"/>
    <x v="6"/>
    <x v="0"/>
    <x v="14"/>
    <n v="6.4688276810826997"/>
    <n v="23.287779651897701"/>
  </r>
  <r>
    <x v="0"/>
    <x v="0"/>
    <x v="0"/>
    <x v="0"/>
    <x v="1"/>
    <x v="6"/>
    <x v="0"/>
    <x v="15"/>
    <n v="6.4688276810826997"/>
    <n v="23.287779651897701"/>
  </r>
  <r>
    <x v="0"/>
    <x v="0"/>
    <x v="0"/>
    <x v="0"/>
    <x v="1"/>
    <x v="6"/>
    <x v="0"/>
    <x v="16"/>
    <n v="6.4688276810826997"/>
    <n v="23.287779651897701"/>
  </r>
  <r>
    <x v="0"/>
    <x v="0"/>
    <x v="0"/>
    <x v="0"/>
    <x v="1"/>
    <x v="6"/>
    <x v="0"/>
    <x v="17"/>
    <n v="6.4688276810826997"/>
    <n v="23.287779651897701"/>
  </r>
  <r>
    <x v="0"/>
    <x v="0"/>
    <x v="0"/>
    <x v="0"/>
    <x v="1"/>
    <x v="6"/>
    <x v="0"/>
    <x v="18"/>
    <n v="6.4688276810826997"/>
    <n v="23.287779651897701"/>
  </r>
  <r>
    <x v="0"/>
    <x v="0"/>
    <x v="0"/>
    <x v="0"/>
    <x v="1"/>
    <x v="6"/>
    <x v="0"/>
    <x v="19"/>
    <n v="6.4688276810826997"/>
    <n v="23.287779651897701"/>
  </r>
  <r>
    <x v="0"/>
    <x v="0"/>
    <x v="0"/>
    <x v="0"/>
    <x v="1"/>
    <x v="6"/>
    <x v="0"/>
    <x v="20"/>
    <n v="6.4688276810826997"/>
    <n v="23.287779651897701"/>
  </r>
  <r>
    <x v="0"/>
    <x v="0"/>
    <x v="0"/>
    <x v="0"/>
    <x v="1"/>
    <x v="6"/>
    <x v="0"/>
    <x v="21"/>
    <n v="6.1653588637608197"/>
    <n v="22.195291909539002"/>
  </r>
  <r>
    <x v="0"/>
    <x v="0"/>
    <x v="0"/>
    <x v="0"/>
    <x v="1"/>
    <x v="6"/>
    <x v="0"/>
    <x v="22"/>
    <n v="6.1653588637608197"/>
    <n v="22.195291909539002"/>
  </r>
  <r>
    <x v="0"/>
    <x v="0"/>
    <x v="0"/>
    <x v="0"/>
    <x v="1"/>
    <x v="6"/>
    <x v="0"/>
    <x v="23"/>
    <n v="6.1653588637608197"/>
    <n v="22.195291909539002"/>
  </r>
  <r>
    <x v="0"/>
    <x v="0"/>
    <x v="0"/>
    <x v="0"/>
    <x v="1"/>
    <x v="7"/>
    <x v="0"/>
    <x v="0"/>
    <n v="1.14477572356886"/>
    <n v="4.1211926048478897"/>
  </r>
  <r>
    <x v="0"/>
    <x v="0"/>
    <x v="0"/>
    <x v="0"/>
    <x v="1"/>
    <x v="7"/>
    <x v="0"/>
    <x v="1"/>
    <n v="1.14477572356886"/>
    <n v="4.1211926048478897"/>
  </r>
  <r>
    <x v="0"/>
    <x v="0"/>
    <x v="0"/>
    <x v="0"/>
    <x v="1"/>
    <x v="7"/>
    <x v="0"/>
    <x v="2"/>
    <n v="1.14477572356886"/>
    <n v="4.1211926048478897"/>
  </r>
  <r>
    <x v="0"/>
    <x v="0"/>
    <x v="0"/>
    <x v="0"/>
    <x v="1"/>
    <x v="7"/>
    <x v="0"/>
    <x v="3"/>
    <n v="1.14477572356886"/>
    <n v="4.1211926048478897"/>
  </r>
  <r>
    <x v="0"/>
    <x v="0"/>
    <x v="0"/>
    <x v="0"/>
    <x v="1"/>
    <x v="7"/>
    <x v="0"/>
    <x v="4"/>
    <n v="1.01016820281933"/>
    <n v="3.6366055301495801"/>
  </r>
  <r>
    <x v="0"/>
    <x v="0"/>
    <x v="0"/>
    <x v="0"/>
    <x v="1"/>
    <x v="7"/>
    <x v="0"/>
    <x v="5"/>
    <n v="1.24612293767395"/>
    <n v="4.4860425756262403"/>
  </r>
  <r>
    <x v="0"/>
    <x v="0"/>
    <x v="0"/>
    <x v="0"/>
    <x v="1"/>
    <x v="7"/>
    <x v="0"/>
    <x v="6"/>
    <n v="1.31000850548182"/>
    <n v="4.7160306197345596"/>
  </r>
  <r>
    <x v="0"/>
    <x v="0"/>
    <x v="0"/>
    <x v="0"/>
    <x v="1"/>
    <x v="7"/>
    <x v="0"/>
    <x v="7"/>
    <n v="1.31000850548182"/>
    <n v="4.7160306197345596"/>
  </r>
  <r>
    <x v="0"/>
    <x v="0"/>
    <x v="0"/>
    <x v="0"/>
    <x v="1"/>
    <x v="7"/>
    <x v="0"/>
    <x v="8"/>
    <n v="1.31000850548182"/>
    <n v="4.7160306197345596"/>
  </r>
  <r>
    <x v="0"/>
    <x v="0"/>
    <x v="0"/>
    <x v="0"/>
    <x v="1"/>
    <x v="7"/>
    <x v="0"/>
    <x v="9"/>
    <n v="1.31000850548182"/>
    <n v="4.7160306197345596"/>
  </r>
  <r>
    <x v="0"/>
    <x v="0"/>
    <x v="0"/>
    <x v="0"/>
    <x v="1"/>
    <x v="7"/>
    <x v="0"/>
    <x v="10"/>
    <n v="1.31000850548182"/>
    <n v="4.7160306197345596"/>
  </r>
  <r>
    <x v="0"/>
    <x v="0"/>
    <x v="0"/>
    <x v="0"/>
    <x v="1"/>
    <x v="7"/>
    <x v="0"/>
    <x v="11"/>
    <n v="1.31000850548182"/>
    <n v="4.7160306197345596"/>
  </r>
  <r>
    <x v="0"/>
    <x v="0"/>
    <x v="0"/>
    <x v="0"/>
    <x v="1"/>
    <x v="7"/>
    <x v="0"/>
    <x v="12"/>
    <n v="1.3002147245206199"/>
    <n v="4.6807730082742296"/>
  </r>
  <r>
    <x v="0"/>
    <x v="0"/>
    <x v="0"/>
    <x v="0"/>
    <x v="1"/>
    <x v="7"/>
    <x v="0"/>
    <x v="13"/>
    <n v="1.3002147245206199"/>
    <n v="4.6807730082742198"/>
  </r>
  <r>
    <x v="0"/>
    <x v="0"/>
    <x v="0"/>
    <x v="0"/>
    <x v="1"/>
    <x v="7"/>
    <x v="0"/>
    <x v="14"/>
    <n v="1.3002147245206199"/>
    <n v="4.6807730082742198"/>
  </r>
  <r>
    <x v="0"/>
    <x v="0"/>
    <x v="0"/>
    <x v="0"/>
    <x v="1"/>
    <x v="7"/>
    <x v="0"/>
    <x v="15"/>
    <n v="1.3062988357970999"/>
    <n v="4.7026758088695502"/>
  </r>
  <r>
    <x v="0"/>
    <x v="0"/>
    <x v="0"/>
    <x v="0"/>
    <x v="1"/>
    <x v="7"/>
    <x v="0"/>
    <x v="16"/>
    <n v="1.3062988357970999"/>
    <n v="4.7026758088695502"/>
  </r>
  <r>
    <x v="0"/>
    <x v="0"/>
    <x v="0"/>
    <x v="0"/>
    <x v="1"/>
    <x v="7"/>
    <x v="0"/>
    <x v="17"/>
    <n v="1.3062988357970999"/>
    <n v="4.7026758088695502"/>
  </r>
  <r>
    <x v="0"/>
    <x v="0"/>
    <x v="0"/>
    <x v="0"/>
    <x v="1"/>
    <x v="7"/>
    <x v="0"/>
    <x v="18"/>
    <n v="1.2584432192071699"/>
    <n v="4.5303955891458099"/>
  </r>
  <r>
    <x v="0"/>
    <x v="0"/>
    <x v="0"/>
    <x v="0"/>
    <x v="1"/>
    <x v="7"/>
    <x v="0"/>
    <x v="19"/>
    <n v="1.24560144775742"/>
    <n v="4.4841652119267099"/>
  </r>
  <r>
    <x v="0"/>
    <x v="0"/>
    <x v="0"/>
    <x v="0"/>
    <x v="1"/>
    <x v="7"/>
    <x v="0"/>
    <x v="20"/>
    <n v="1.2329531508460101"/>
    <n v="4.4386313430456301"/>
  </r>
  <r>
    <x v="0"/>
    <x v="0"/>
    <x v="0"/>
    <x v="0"/>
    <x v="1"/>
    <x v="7"/>
    <x v="0"/>
    <x v="21"/>
    <n v="1.31000850548182"/>
    <n v="4.7160306197345596"/>
  </r>
  <r>
    <x v="0"/>
    <x v="0"/>
    <x v="0"/>
    <x v="0"/>
    <x v="1"/>
    <x v="7"/>
    <x v="0"/>
    <x v="22"/>
    <n v="1.31000850548182"/>
    <n v="4.7160306197345596"/>
  </r>
  <r>
    <x v="0"/>
    <x v="0"/>
    <x v="0"/>
    <x v="0"/>
    <x v="1"/>
    <x v="7"/>
    <x v="0"/>
    <x v="23"/>
    <n v="1.31000850548182"/>
    <n v="4.7160306197345596"/>
  </r>
  <r>
    <x v="0"/>
    <x v="0"/>
    <x v="0"/>
    <x v="0"/>
    <x v="1"/>
    <x v="8"/>
    <x v="0"/>
    <x v="0"/>
    <n v="5.4923857925319197"/>
    <n v="19.7725888531149"/>
  </r>
  <r>
    <x v="0"/>
    <x v="0"/>
    <x v="0"/>
    <x v="0"/>
    <x v="1"/>
    <x v="8"/>
    <x v="0"/>
    <x v="1"/>
    <n v="5.4923857925319197"/>
    <n v="19.7725888531149"/>
  </r>
  <r>
    <x v="0"/>
    <x v="0"/>
    <x v="0"/>
    <x v="0"/>
    <x v="1"/>
    <x v="8"/>
    <x v="0"/>
    <x v="2"/>
    <n v="5.4923857925319197"/>
    <n v="19.7725888531149"/>
  </r>
  <r>
    <x v="0"/>
    <x v="0"/>
    <x v="0"/>
    <x v="0"/>
    <x v="1"/>
    <x v="8"/>
    <x v="0"/>
    <x v="3"/>
    <n v="5.4923857925319197"/>
    <n v="19.7725888531149"/>
  </r>
  <r>
    <x v="0"/>
    <x v="0"/>
    <x v="0"/>
    <x v="0"/>
    <x v="1"/>
    <x v="8"/>
    <x v="0"/>
    <x v="4"/>
    <n v="5.4923857925319197"/>
    <n v="19.7725888531149"/>
  </r>
  <r>
    <x v="0"/>
    <x v="0"/>
    <x v="0"/>
    <x v="0"/>
    <x v="1"/>
    <x v="8"/>
    <x v="0"/>
    <x v="5"/>
    <n v="5.4923857925319197"/>
    <n v="19.7725888531149"/>
  </r>
  <r>
    <x v="0"/>
    <x v="0"/>
    <x v="0"/>
    <x v="0"/>
    <x v="1"/>
    <x v="8"/>
    <x v="0"/>
    <x v="6"/>
    <n v="5.5964252782852499"/>
    <n v="20.147131001826899"/>
  </r>
  <r>
    <x v="0"/>
    <x v="0"/>
    <x v="0"/>
    <x v="0"/>
    <x v="1"/>
    <x v="8"/>
    <x v="0"/>
    <x v="7"/>
    <n v="5.5964252782852499"/>
    <n v="20.147131001826899"/>
  </r>
  <r>
    <x v="0"/>
    <x v="0"/>
    <x v="0"/>
    <x v="0"/>
    <x v="1"/>
    <x v="8"/>
    <x v="0"/>
    <x v="8"/>
    <n v="5.5964252782852499"/>
    <n v="20.147131001826899"/>
  </r>
  <r>
    <x v="0"/>
    <x v="0"/>
    <x v="0"/>
    <x v="0"/>
    <x v="1"/>
    <x v="8"/>
    <x v="0"/>
    <x v="9"/>
    <n v="5.5964252782852499"/>
    <n v="20.147131001826899"/>
  </r>
  <r>
    <x v="0"/>
    <x v="0"/>
    <x v="0"/>
    <x v="0"/>
    <x v="1"/>
    <x v="8"/>
    <x v="0"/>
    <x v="10"/>
    <n v="5.5964252782852499"/>
    <n v="20.147131001826899"/>
  </r>
  <r>
    <x v="0"/>
    <x v="0"/>
    <x v="0"/>
    <x v="0"/>
    <x v="1"/>
    <x v="8"/>
    <x v="0"/>
    <x v="11"/>
    <n v="5.5964252782852499"/>
    <n v="20.147131001826899"/>
  </r>
  <r>
    <x v="0"/>
    <x v="0"/>
    <x v="0"/>
    <x v="0"/>
    <x v="1"/>
    <x v="8"/>
    <x v="0"/>
    <x v="12"/>
    <n v="5.5964252782852499"/>
    <n v="20.147131001826899"/>
  </r>
  <r>
    <x v="0"/>
    <x v="0"/>
    <x v="0"/>
    <x v="0"/>
    <x v="1"/>
    <x v="8"/>
    <x v="0"/>
    <x v="13"/>
    <n v="5.5964252782852499"/>
    <n v="20.147131001826899"/>
  </r>
  <r>
    <x v="0"/>
    <x v="0"/>
    <x v="0"/>
    <x v="0"/>
    <x v="1"/>
    <x v="8"/>
    <x v="0"/>
    <x v="14"/>
    <n v="5.5964252782852499"/>
    <n v="20.147131001826899"/>
  </r>
  <r>
    <x v="0"/>
    <x v="0"/>
    <x v="0"/>
    <x v="0"/>
    <x v="1"/>
    <x v="8"/>
    <x v="0"/>
    <x v="15"/>
    <n v="5.5964252782852499"/>
    <n v="20.147131001826899"/>
  </r>
  <r>
    <x v="0"/>
    <x v="0"/>
    <x v="0"/>
    <x v="0"/>
    <x v="1"/>
    <x v="8"/>
    <x v="0"/>
    <x v="16"/>
    <n v="5.5964252782852499"/>
    <n v="20.147131001826899"/>
  </r>
  <r>
    <x v="0"/>
    <x v="0"/>
    <x v="0"/>
    <x v="0"/>
    <x v="1"/>
    <x v="8"/>
    <x v="0"/>
    <x v="17"/>
    <n v="5.5964252782852499"/>
    <n v="20.147131001826899"/>
  </r>
  <r>
    <x v="0"/>
    <x v="0"/>
    <x v="0"/>
    <x v="0"/>
    <x v="1"/>
    <x v="8"/>
    <x v="0"/>
    <x v="18"/>
    <n v="5.5964252782852499"/>
    <n v="20.147131001826899"/>
  </r>
  <r>
    <x v="0"/>
    <x v="0"/>
    <x v="0"/>
    <x v="0"/>
    <x v="1"/>
    <x v="8"/>
    <x v="0"/>
    <x v="19"/>
    <n v="5.5964252782852499"/>
    <n v="20.147131001826899"/>
  </r>
  <r>
    <x v="0"/>
    <x v="0"/>
    <x v="0"/>
    <x v="0"/>
    <x v="1"/>
    <x v="8"/>
    <x v="0"/>
    <x v="20"/>
    <n v="5.5964252782852499"/>
    <n v="20.147131001826899"/>
  </r>
  <r>
    <x v="0"/>
    <x v="0"/>
    <x v="0"/>
    <x v="0"/>
    <x v="1"/>
    <x v="8"/>
    <x v="0"/>
    <x v="21"/>
    <n v="5.5964252782852499"/>
    <n v="20.147131001826899"/>
  </r>
  <r>
    <x v="0"/>
    <x v="0"/>
    <x v="0"/>
    <x v="0"/>
    <x v="1"/>
    <x v="8"/>
    <x v="0"/>
    <x v="22"/>
    <n v="5.5964252782852499"/>
    <n v="20.147131001826899"/>
  </r>
  <r>
    <x v="0"/>
    <x v="0"/>
    <x v="0"/>
    <x v="0"/>
    <x v="1"/>
    <x v="8"/>
    <x v="0"/>
    <x v="23"/>
    <n v="5.5964252782852499"/>
    <n v="20.147131001826899"/>
  </r>
  <r>
    <x v="0"/>
    <x v="0"/>
    <x v="0"/>
    <x v="0"/>
    <x v="1"/>
    <x v="9"/>
    <x v="0"/>
    <x v="0"/>
    <n v="7.4131514925631699"/>
    <n v="26.687345373227402"/>
  </r>
  <r>
    <x v="0"/>
    <x v="0"/>
    <x v="0"/>
    <x v="0"/>
    <x v="1"/>
    <x v="9"/>
    <x v="0"/>
    <x v="1"/>
    <n v="7.4131514925631699"/>
    <n v="26.687345373227402"/>
  </r>
  <r>
    <x v="0"/>
    <x v="0"/>
    <x v="0"/>
    <x v="0"/>
    <x v="1"/>
    <x v="9"/>
    <x v="0"/>
    <x v="2"/>
    <n v="7.4131514925631699"/>
    <n v="26.687345373227402"/>
  </r>
  <r>
    <x v="0"/>
    <x v="0"/>
    <x v="0"/>
    <x v="0"/>
    <x v="1"/>
    <x v="9"/>
    <x v="0"/>
    <x v="3"/>
    <n v="7.4131514925631699"/>
    <n v="26.687345373227402"/>
  </r>
  <r>
    <x v="0"/>
    <x v="0"/>
    <x v="0"/>
    <x v="0"/>
    <x v="1"/>
    <x v="9"/>
    <x v="0"/>
    <x v="4"/>
    <n v="7.4131514925631699"/>
    <n v="26.687345373227402"/>
  </r>
  <r>
    <x v="0"/>
    <x v="0"/>
    <x v="0"/>
    <x v="0"/>
    <x v="1"/>
    <x v="9"/>
    <x v="0"/>
    <x v="5"/>
    <n v="7.4215717593746096"/>
    <n v="26.717658333748599"/>
  </r>
  <r>
    <x v="0"/>
    <x v="0"/>
    <x v="0"/>
    <x v="0"/>
    <x v="1"/>
    <x v="9"/>
    <x v="0"/>
    <x v="6"/>
    <n v="7.6242540451475502"/>
    <n v="27.447314562531201"/>
  </r>
  <r>
    <x v="0"/>
    <x v="0"/>
    <x v="0"/>
    <x v="0"/>
    <x v="1"/>
    <x v="9"/>
    <x v="0"/>
    <x v="7"/>
    <n v="7.6242540451475502"/>
    <n v="27.447314562531201"/>
  </r>
  <r>
    <x v="0"/>
    <x v="0"/>
    <x v="0"/>
    <x v="0"/>
    <x v="1"/>
    <x v="9"/>
    <x v="0"/>
    <x v="8"/>
    <n v="7.6242540451475502"/>
    <n v="27.447314562531201"/>
  </r>
  <r>
    <x v="0"/>
    <x v="0"/>
    <x v="0"/>
    <x v="0"/>
    <x v="1"/>
    <x v="9"/>
    <x v="0"/>
    <x v="9"/>
    <n v="7.6242540451475502"/>
    <n v="27.447314562531201"/>
  </r>
  <r>
    <x v="0"/>
    <x v="0"/>
    <x v="0"/>
    <x v="0"/>
    <x v="1"/>
    <x v="9"/>
    <x v="0"/>
    <x v="10"/>
    <n v="7.6242540451475502"/>
    <n v="27.447314562531201"/>
  </r>
  <r>
    <x v="0"/>
    <x v="0"/>
    <x v="0"/>
    <x v="0"/>
    <x v="1"/>
    <x v="9"/>
    <x v="0"/>
    <x v="11"/>
    <n v="7.6242540451475502"/>
    <n v="27.447314562531201"/>
  </r>
  <r>
    <x v="0"/>
    <x v="0"/>
    <x v="0"/>
    <x v="0"/>
    <x v="1"/>
    <x v="9"/>
    <x v="0"/>
    <x v="12"/>
    <n v="7.6242540451475502"/>
    <n v="27.447314562531201"/>
  </r>
  <r>
    <x v="0"/>
    <x v="0"/>
    <x v="0"/>
    <x v="0"/>
    <x v="1"/>
    <x v="9"/>
    <x v="0"/>
    <x v="13"/>
    <n v="7.6242540451475502"/>
    <n v="27.447314562531201"/>
  </r>
  <r>
    <x v="0"/>
    <x v="0"/>
    <x v="0"/>
    <x v="0"/>
    <x v="1"/>
    <x v="9"/>
    <x v="0"/>
    <x v="14"/>
    <n v="7.6242540451475502"/>
    <n v="27.447314562531201"/>
  </r>
  <r>
    <x v="0"/>
    <x v="0"/>
    <x v="0"/>
    <x v="0"/>
    <x v="1"/>
    <x v="9"/>
    <x v="0"/>
    <x v="15"/>
    <n v="7.6242540451475502"/>
    <n v="27.447314562531201"/>
  </r>
  <r>
    <x v="0"/>
    <x v="0"/>
    <x v="0"/>
    <x v="0"/>
    <x v="1"/>
    <x v="9"/>
    <x v="0"/>
    <x v="16"/>
    <n v="7.6242540451475502"/>
    <n v="27.447314562531201"/>
  </r>
  <r>
    <x v="0"/>
    <x v="0"/>
    <x v="0"/>
    <x v="0"/>
    <x v="1"/>
    <x v="9"/>
    <x v="0"/>
    <x v="17"/>
    <n v="7.6242540451475502"/>
    <n v="27.447314562531201"/>
  </r>
  <r>
    <x v="0"/>
    <x v="0"/>
    <x v="0"/>
    <x v="0"/>
    <x v="1"/>
    <x v="9"/>
    <x v="0"/>
    <x v="18"/>
    <n v="7.6242540451475502"/>
    <n v="27.447314562531201"/>
  </r>
  <r>
    <x v="0"/>
    <x v="0"/>
    <x v="0"/>
    <x v="0"/>
    <x v="1"/>
    <x v="9"/>
    <x v="0"/>
    <x v="19"/>
    <n v="7.6242540451475502"/>
    <n v="27.447314562531201"/>
  </r>
  <r>
    <x v="0"/>
    <x v="0"/>
    <x v="0"/>
    <x v="0"/>
    <x v="1"/>
    <x v="9"/>
    <x v="0"/>
    <x v="20"/>
    <n v="7.6242540451475502"/>
    <n v="27.447314562531201"/>
  </r>
  <r>
    <x v="0"/>
    <x v="0"/>
    <x v="0"/>
    <x v="0"/>
    <x v="1"/>
    <x v="9"/>
    <x v="0"/>
    <x v="21"/>
    <n v="7.6242540451475502"/>
    <n v="27.447314562531201"/>
  </r>
  <r>
    <x v="0"/>
    <x v="0"/>
    <x v="0"/>
    <x v="0"/>
    <x v="1"/>
    <x v="9"/>
    <x v="0"/>
    <x v="22"/>
    <n v="7.6242540451475502"/>
    <n v="27.447314562531201"/>
  </r>
  <r>
    <x v="0"/>
    <x v="0"/>
    <x v="0"/>
    <x v="0"/>
    <x v="1"/>
    <x v="9"/>
    <x v="0"/>
    <x v="23"/>
    <n v="7.6242540451475502"/>
    <n v="27.447314562531201"/>
  </r>
  <r>
    <x v="0"/>
    <x v="0"/>
    <x v="0"/>
    <x v="1"/>
    <x v="2"/>
    <x v="10"/>
    <x v="0"/>
    <x v="0"/>
    <n v="0.43313653585029899"/>
    <n v="1.55929152906108"/>
  </r>
  <r>
    <x v="0"/>
    <x v="0"/>
    <x v="0"/>
    <x v="1"/>
    <x v="2"/>
    <x v="10"/>
    <x v="0"/>
    <x v="1"/>
    <n v="0.46178402871466101"/>
    <n v="1.66242250337278"/>
  </r>
  <r>
    <x v="0"/>
    <x v="0"/>
    <x v="0"/>
    <x v="1"/>
    <x v="2"/>
    <x v="10"/>
    <x v="0"/>
    <x v="2"/>
    <n v="0.51150634747448898"/>
    <n v="1.84142285090816"/>
  </r>
  <r>
    <x v="0"/>
    <x v="0"/>
    <x v="0"/>
    <x v="1"/>
    <x v="2"/>
    <x v="10"/>
    <x v="0"/>
    <x v="3"/>
    <n v="0.51112649545613198"/>
    <n v="1.8400553836420801"/>
  </r>
  <r>
    <x v="0"/>
    <x v="0"/>
    <x v="0"/>
    <x v="1"/>
    <x v="2"/>
    <x v="10"/>
    <x v="0"/>
    <x v="4"/>
    <n v="0.49978099309171298"/>
    <n v="1.79921157513017"/>
  </r>
  <r>
    <x v="0"/>
    <x v="0"/>
    <x v="0"/>
    <x v="1"/>
    <x v="2"/>
    <x v="10"/>
    <x v="0"/>
    <x v="5"/>
    <n v="0.41871756309357799"/>
    <n v="1.5073832271368801"/>
  </r>
  <r>
    <x v="0"/>
    <x v="0"/>
    <x v="0"/>
    <x v="1"/>
    <x v="2"/>
    <x v="10"/>
    <x v="0"/>
    <x v="6"/>
    <n v="0.38701353438859998"/>
    <n v="1.3932487237989599"/>
  </r>
  <r>
    <x v="0"/>
    <x v="0"/>
    <x v="0"/>
    <x v="1"/>
    <x v="2"/>
    <x v="10"/>
    <x v="0"/>
    <x v="7"/>
    <n v="0.31081102569390201"/>
    <n v="1.11891969249805"/>
  </r>
  <r>
    <x v="0"/>
    <x v="0"/>
    <x v="0"/>
    <x v="1"/>
    <x v="2"/>
    <x v="10"/>
    <x v="0"/>
    <x v="8"/>
    <n v="0.31081102569390201"/>
    <n v="1.11891969249805"/>
  </r>
  <r>
    <x v="0"/>
    <x v="0"/>
    <x v="0"/>
    <x v="1"/>
    <x v="2"/>
    <x v="10"/>
    <x v="0"/>
    <x v="9"/>
    <n v="0.322387337097638"/>
    <n v="1.1605944135515001"/>
  </r>
  <r>
    <x v="0"/>
    <x v="0"/>
    <x v="0"/>
    <x v="1"/>
    <x v="2"/>
    <x v="10"/>
    <x v="0"/>
    <x v="10"/>
    <n v="0.35462672132004802"/>
    <n v="1.2766561967521699"/>
  </r>
  <r>
    <x v="0"/>
    <x v="0"/>
    <x v="0"/>
    <x v="1"/>
    <x v="2"/>
    <x v="10"/>
    <x v="0"/>
    <x v="11"/>
    <n v="0.37385468386216802"/>
    <n v="1.3458768619038"/>
  </r>
  <r>
    <x v="0"/>
    <x v="0"/>
    <x v="0"/>
    <x v="1"/>
    <x v="2"/>
    <x v="10"/>
    <x v="0"/>
    <x v="12"/>
    <n v="0.40281227325890701"/>
    <n v="1.45012418373206"/>
  </r>
  <r>
    <x v="0"/>
    <x v="0"/>
    <x v="0"/>
    <x v="1"/>
    <x v="2"/>
    <x v="10"/>
    <x v="0"/>
    <x v="13"/>
    <n v="0.40281227325890701"/>
    <n v="1.45012418373207"/>
  </r>
  <r>
    <x v="0"/>
    <x v="0"/>
    <x v="0"/>
    <x v="1"/>
    <x v="2"/>
    <x v="10"/>
    <x v="0"/>
    <x v="14"/>
    <n v="0.40281227325890701"/>
    <n v="1.45012418373207"/>
  </r>
  <r>
    <x v="0"/>
    <x v="0"/>
    <x v="0"/>
    <x v="1"/>
    <x v="2"/>
    <x v="10"/>
    <x v="0"/>
    <x v="15"/>
    <n v="0.38549462702412901"/>
    <n v="1.3877806572868601"/>
  </r>
  <r>
    <x v="0"/>
    <x v="0"/>
    <x v="0"/>
    <x v="1"/>
    <x v="2"/>
    <x v="10"/>
    <x v="0"/>
    <x v="16"/>
    <n v="0.14062775929497101"/>
    <n v="0.50625993346189402"/>
  </r>
  <r>
    <x v="0"/>
    <x v="0"/>
    <x v="0"/>
    <x v="1"/>
    <x v="2"/>
    <x v="10"/>
    <x v="0"/>
    <x v="17"/>
    <n v="0.14062775929497101"/>
    <n v="0.50625993346189402"/>
  </r>
  <r>
    <x v="0"/>
    <x v="0"/>
    <x v="0"/>
    <x v="1"/>
    <x v="2"/>
    <x v="10"/>
    <x v="0"/>
    <x v="18"/>
    <n v="0.35451873035932502"/>
    <n v="1.2762674292935701"/>
  </r>
  <r>
    <x v="0"/>
    <x v="0"/>
    <x v="0"/>
    <x v="1"/>
    <x v="2"/>
    <x v="10"/>
    <x v="0"/>
    <x v="19"/>
    <n v="0.38549462702412901"/>
    <n v="1.3877806572868601"/>
  </r>
  <r>
    <x v="0"/>
    <x v="0"/>
    <x v="0"/>
    <x v="1"/>
    <x v="2"/>
    <x v="10"/>
    <x v="0"/>
    <x v="20"/>
    <n v="0.417037273055406"/>
    <n v="1.50133418299946"/>
  </r>
  <r>
    <x v="0"/>
    <x v="0"/>
    <x v="0"/>
    <x v="1"/>
    <x v="2"/>
    <x v="10"/>
    <x v="0"/>
    <x v="21"/>
    <n v="0.417037273055406"/>
    <n v="1.50133418299946"/>
  </r>
  <r>
    <x v="0"/>
    <x v="0"/>
    <x v="0"/>
    <x v="1"/>
    <x v="2"/>
    <x v="10"/>
    <x v="0"/>
    <x v="22"/>
    <n v="0.417037273055406"/>
    <n v="1.50133418299946"/>
  </r>
  <r>
    <x v="0"/>
    <x v="0"/>
    <x v="0"/>
    <x v="1"/>
    <x v="2"/>
    <x v="10"/>
    <x v="0"/>
    <x v="23"/>
    <n v="0.50106526028787302"/>
    <n v="1.80383493703634"/>
  </r>
  <r>
    <x v="0"/>
    <x v="0"/>
    <x v="0"/>
    <x v="1"/>
    <x v="2"/>
    <x v="11"/>
    <x v="0"/>
    <x v="0"/>
    <n v="8.6330373235019096"/>
    <n v="31.078934364606901"/>
  </r>
  <r>
    <x v="0"/>
    <x v="0"/>
    <x v="0"/>
    <x v="1"/>
    <x v="2"/>
    <x v="11"/>
    <x v="0"/>
    <x v="1"/>
    <n v="8.6330373235019096"/>
    <n v="31.078934364606901"/>
  </r>
  <r>
    <x v="0"/>
    <x v="0"/>
    <x v="0"/>
    <x v="1"/>
    <x v="2"/>
    <x v="11"/>
    <x v="0"/>
    <x v="2"/>
    <n v="8.6330373235019096"/>
    <n v="31.078934364606901"/>
  </r>
  <r>
    <x v="0"/>
    <x v="0"/>
    <x v="0"/>
    <x v="1"/>
    <x v="2"/>
    <x v="11"/>
    <x v="0"/>
    <x v="3"/>
    <n v="8.6330373235019096"/>
    <n v="31.078934364606901"/>
  </r>
  <r>
    <x v="0"/>
    <x v="0"/>
    <x v="0"/>
    <x v="1"/>
    <x v="2"/>
    <x v="11"/>
    <x v="0"/>
    <x v="4"/>
    <n v="8.6330373235019096"/>
    <n v="31.078934364606901"/>
  </r>
  <r>
    <x v="0"/>
    <x v="0"/>
    <x v="0"/>
    <x v="1"/>
    <x v="2"/>
    <x v="11"/>
    <x v="0"/>
    <x v="5"/>
    <n v="8.6330373235019096"/>
    <n v="31.078934364606901"/>
  </r>
  <r>
    <x v="0"/>
    <x v="0"/>
    <x v="0"/>
    <x v="1"/>
    <x v="2"/>
    <x v="11"/>
    <x v="0"/>
    <x v="6"/>
    <n v="8.6330373235019096"/>
    <n v="31.078934364606901"/>
  </r>
  <r>
    <x v="0"/>
    <x v="0"/>
    <x v="0"/>
    <x v="1"/>
    <x v="2"/>
    <x v="11"/>
    <x v="0"/>
    <x v="7"/>
    <n v="8.6330373235019096"/>
    <n v="31.078934364606901"/>
  </r>
  <r>
    <x v="0"/>
    <x v="0"/>
    <x v="0"/>
    <x v="1"/>
    <x v="2"/>
    <x v="11"/>
    <x v="0"/>
    <x v="8"/>
    <n v="8.6330373235019096"/>
    <n v="31.078934364606901"/>
  </r>
  <r>
    <x v="0"/>
    <x v="0"/>
    <x v="0"/>
    <x v="1"/>
    <x v="2"/>
    <x v="11"/>
    <x v="0"/>
    <x v="9"/>
    <n v="8.6330373235019096"/>
    <n v="31.078934364606901"/>
  </r>
  <r>
    <x v="0"/>
    <x v="0"/>
    <x v="0"/>
    <x v="1"/>
    <x v="2"/>
    <x v="11"/>
    <x v="0"/>
    <x v="10"/>
    <n v="8.6330373235019096"/>
    <n v="31.078934364606901"/>
  </r>
  <r>
    <x v="0"/>
    <x v="0"/>
    <x v="0"/>
    <x v="1"/>
    <x v="2"/>
    <x v="11"/>
    <x v="0"/>
    <x v="11"/>
    <n v="8.6330373235019096"/>
    <n v="31.078934364606901"/>
  </r>
  <r>
    <x v="0"/>
    <x v="0"/>
    <x v="0"/>
    <x v="1"/>
    <x v="2"/>
    <x v="11"/>
    <x v="0"/>
    <x v="12"/>
    <n v="8.6330373235019096"/>
    <n v="31.078934364606901"/>
  </r>
  <r>
    <x v="0"/>
    <x v="0"/>
    <x v="0"/>
    <x v="1"/>
    <x v="2"/>
    <x v="11"/>
    <x v="0"/>
    <x v="13"/>
    <n v="8.6330373235019096"/>
    <n v="31.078934364606901"/>
  </r>
  <r>
    <x v="0"/>
    <x v="0"/>
    <x v="0"/>
    <x v="1"/>
    <x v="2"/>
    <x v="11"/>
    <x v="0"/>
    <x v="14"/>
    <n v="8.6330373235019096"/>
    <n v="31.078934364606901"/>
  </r>
  <r>
    <x v="0"/>
    <x v="0"/>
    <x v="0"/>
    <x v="1"/>
    <x v="2"/>
    <x v="11"/>
    <x v="0"/>
    <x v="15"/>
    <n v="8.6330373235019096"/>
    <n v="31.078934364606901"/>
  </r>
  <r>
    <x v="0"/>
    <x v="0"/>
    <x v="0"/>
    <x v="1"/>
    <x v="2"/>
    <x v="11"/>
    <x v="0"/>
    <x v="16"/>
    <n v="8.6330373235019096"/>
    <n v="31.078934364606901"/>
  </r>
  <r>
    <x v="0"/>
    <x v="0"/>
    <x v="0"/>
    <x v="1"/>
    <x v="2"/>
    <x v="11"/>
    <x v="0"/>
    <x v="17"/>
    <n v="8.6330373235019096"/>
    <n v="31.078934364606901"/>
  </r>
  <r>
    <x v="0"/>
    <x v="0"/>
    <x v="0"/>
    <x v="1"/>
    <x v="2"/>
    <x v="11"/>
    <x v="0"/>
    <x v="18"/>
    <n v="8.6330373235019096"/>
    <n v="31.078934364606901"/>
  </r>
  <r>
    <x v="0"/>
    <x v="0"/>
    <x v="0"/>
    <x v="1"/>
    <x v="2"/>
    <x v="11"/>
    <x v="0"/>
    <x v="19"/>
    <n v="8.6330373235019096"/>
    <n v="31.078934364606901"/>
  </r>
  <r>
    <x v="0"/>
    <x v="0"/>
    <x v="0"/>
    <x v="1"/>
    <x v="2"/>
    <x v="11"/>
    <x v="0"/>
    <x v="20"/>
    <n v="8.6330373235019096"/>
    <n v="31.078934364606901"/>
  </r>
  <r>
    <x v="0"/>
    <x v="0"/>
    <x v="0"/>
    <x v="1"/>
    <x v="2"/>
    <x v="11"/>
    <x v="0"/>
    <x v="21"/>
    <n v="8.6330373235019096"/>
    <n v="31.078934364606901"/>
  </r>
  <r>
    <x v="0"/>
    <x v="0"/>
    <x v="0"/>
    <x v="1"/>
    <x v="2"/>
    <x v="11"/>
    <x v="0"/>
    <x v="22"/>
    <n v="8.6330373235019096"/>
    <n v="31.078934364606901"/>
  </r>
  <r>
    <x v="0"/>
    <x v="0"/>
    <x v="0"/>
    <x v="1"/>
    <x v="2"/>
    <x v="11"/>
    <x v="0"/>
    <x v="23"/>
    <n v="8.6330373235019096"/>
    <n v="31.078934364606901"/>
  </r>
  <r>
    <x v="0"/>
    <x v="0"/>
    <x v="0"/>
    <x v="1"/>
    <x v="2"/>
    <x v="12"/>
    <x v="0"/>
    <x v="0"/>
    <n v="1.98737546919198"/>
    <n v="7.1545516890911198"/>
  </r>
  <r>
    <x v="0"/>
    <x v="0"/>
    <x v="0"/>
    <x v="1"/>
    <x v="2"/>
    <x v="12"/>
    <x v="0"/>
    <x v="1"/>
    <n v="2.1746859994589598"/>
    <n v="7.8288695980522398"/>
  </r>
  <r>
    <x v="0"/>
    <x v="0"/>
    <x v="0"/>
    <x v="1"/>
    <x v="2"/>
    <x v="12"/>
    <x v="0"/>
    <x v="2"/>
    <n v="2.4997934682732201"/>
    <n v="8.9992564857835902"/>
  </r>
  <r>
    <x v="0"/>
    <x v="0"/>
    <x v="0"/>
    <x v="1"/>
    <x v="2"/>
    <x v="12"/>
    <x v="0"/>
    <x v="3"/>
    <n v="2.4973098204608899"/>
    <n v="8.9903153536591898"/>
  </r>
  <r>
    <x v="0"/>
    <x v="0"/>
    <x v="0"/>
    <x v="1"/>
    <x v="2"/>
    <x v="12"/>
    <x v="0"/>
    <x v="4"/>
    <n v="2.4231276896165999"/>
    <n v="8.7232596826197693"/>
  </r>
  <r>
    <x v="0"/>
    <x v="0"/>
    <x v="0"/>
    <x v="1"/>
    <x v="2"/>
    <x v="12"/>
    <x v="0"/>
    <x v="5"/>
    <n v="1.8930975703980299"/>
    <n v="6.8151512534329202"/>
  </r>
  <r>
    <x v="0"/>
    <x v="0"/>
    <x v="0"/>
    <x v="1"/>
    <x v="2"/>
    <x v="12"/>
    <x v="0"/>
    <x v="6"/>
    <n v="1.91327802578968"/>
    <n v="6.8878008928428596"/>
  </r>
  <r>
    <x v="0"/>
    <x v="0"/>
    <x v="0"/>
    <x v="1"/>
    <x v="2"/>
    <x v="12"/>
    <x v="0"/>
    <x v="7"/>
    <n v="2.0305126545507601"/>
    <n v="7.3098455563827303"/>
  </r>
  <r>
    <x v="0"/>
    <x v="0"/>
    <x v="0"/>
    <x v="1"/>
    <x v="2"/>
    <x v="12"/>
    <x v="0"/>
    <x v="8"/>
    <n v="2.0305126545507601"/>
    <n v="7.3098455563827303"/>
  </r>
  <r>
    <x v="0"/>
    <x v="0"/>
    <x v="0"/>
    <x v="1"/>
    <x v="2"/>
    <x v="12"/>
    <x v="0"/>
    <x v="9"/>
    <n v="2.01270294469886"/>
    <n v="7.2457306009158904"/>
  </r>
  <r>
    <x v="0"/>
    <x v="0"/>
    <x v="0"/>
    <x v="1"/>
    <x v="2"/>
    <x v="12"/>
    <x v="0"/>
    <x v="10"/>
    <n v="1.9631038920489901"/>
    <n v="7.0671740113763803"/>
  </r>
  <r>
    <x v="0"/>
    <x v="0"/>
    <x v="0"/>
    <x v="1"/>
    <x v="2"/>
    <x v="12"/>
    <x v="0"/>
    <x v="11"/>
    <n v="1.93352241121496"/>
    <n v="6.9606806803738701"/>
  </r>
  <r>
    <x v="0"/>
    <x v="0"/>
    <x v="0"/>
    <x v="1"/>
    <x v="2"/>
    <x v="12"/>
    <x v="0"/>
    <x v="12"/>
    <n v="1.88897227368152"/>
    <n v="6.8003001852534704"/>
  </r>
  <r>
    <x v="0"/>
    <x v="0"/>
    <x v="0"/>
    <x v="1"/>
    <x v="2"/>
    <x v="12"/>
    <x v="0"/>
    <x v="13"/>
    <n v="1.88897227368152"/>
    <n v="6.8003001852534704"/>
  </r>
  <r>
    <x v="0"/>
    <x v="0"/>
    <x v="0"/>
    <x v="1"/>
    <x v="2"/>
    <x v="12"/>
    <x v="0"/>
    <x v="14"/>
    <n v="1.88897227368152"/>
    <n v="6.8003001852534704"/>
  </r>
  <r>
    <x v="0"/>
    <x v="0"/>
    <x v="0"/>
    <x v="1"/>
    <x v="2"/>
    <x v="12"/>
    <x v="0"/>
    <x v="15"/>
    <n v="1.9156148063504099"/>
    <n v="6.8962133028614803"/>
  </r>
  <r>
    <x v="0"/>
    <x v="0"/>
    <x v="0"/>
    <x v="1"/>
    <x v="2"/>
    <x v="12"/>
    <x v="0"/>
    <x v="16"/>
    <n v="2.2923330643952702"/>
    <n v="8.2523990318229608"/>
  </r>
  <r>
    <x v="0"/>
    <x v="0"/>
    <x v="0"/>
    <x v="1"/>
    <x v="2"/>
    <x v="12"/>
    <x v="0"/>
    <x v="17"/>
    <n v="2.2923330643952702"/>
    <n v="8.2523990318229608"/>
  </r>
  <r>
    <x v="0"/>
    <x v="0"/>
    <x v="0"/>
    <x v="1"/>
    <x v="2"/>
    <x v="12"/>
    <x v="0"/>
    <x v="18"/>
    <n v="1.9632700319885701"/>
    <n v="7.0677721151588502"/>
  </r>
  <r>
    <x v="0"/>
    <x v="0"/>
    <x v="0"/>
    <x v="1"/>
    <x v="2"/>
    <x v="12"/>
    <x v="0"/>
    <x v="19"/>
    <n v="1.9156148063504099"/>
    <n v="6.8962133028614803"/>
  </r>
  <r>
    <x v="0"/>
    <x v="0"/>
    <x v="0"/>
    <x v="1"/>
    <x v="2"/>
    <x v="12"/>
    <x v="0"/>
    <x v="20"/>
    <n v="1.8821110586099801"/>
    <n v="6.7755998109959403"/>
  </r>
  <r>
    <x v="0"/>
    <x v="0"/>
    <x v="0"/>
    <x v="1"/>
    <x v="2"/>
    <x v="12"/>
    <x v="0"/>
    <x v="21"/>
    <n v="1.8821110586099801"/>
    <n v="6.7755998109959403"/>
  </r>
  <r>
    <x v="0"/>
    <x v="0"/>
    <x v="0"/>
    <x v="1"/>
    <x v="2"/>
    <x v="12"/>
    <x v="0"/>
    <x v="22"/>
    <n v="1.8821110586099801"/>
    <n v="6.7755998109959403"/>
  </r>
  <r>
    <x v="0"/>
    <x v="0"/>
    <x v="0"/>
    <x v="1"/>
    <x v="2"/>
    <x v="12"/>
    <x v="0"/>
    <x v="23"/>
    <n v="2.4315248212838001"/>
    <n v="8.7534893566216905"/>
  </r>
  <r>
    <x v="0"/>
    <x v="0"/>
    <x v="0"/>
    <x v="1"/>
    <x v="2"/>
    <x v="13"/>
    <x v="0"/>
    <x v="0"/>
    <n v="6.6704370331077003"/>
    <n v="24.013573319187699"/>
  </r>
  <r>
    <x v="0"/>
    <x v="0"/>
    <x v="0"/>
    <x v="1"/>
    <x v="2"/>
    <x v="13"/>
    <x v="0"/>
    <x v="1"/>
    <n v="6.7714377357769404"/>
    <n v="24.377175848796998"/>
  </r>
  <r>
    <x v="0"/>
    <x v="0"/>
    <x v="0"/>
    <x v="1"/>
    <x v="2"/>
    <x v="13"/>
    <x v="0"/>
    <x v="2"/>
    <n v="6.9467406551934703"/>
    <n v="25.008266358696499"/>
  </r>
  <r>
    <x v="0"/>
    <x v="0"/>
    <x v="0"/>
    <x v="1"/>
    <x v="2"/>
    <x v="13"/>
    <x v="0"/>
    <x v="3"/>
    <n v="6.9454014343078496"/>
    <n v="25.003445163508299"/>
  </r>
  <r>
    <x v="0"/>
    <x v="0"/>
    <x v="0"/>
    <x v="1"/>
    <x v="2"/>
    <x v="13"/>
    <x v="0"/>
    <x v="4"/>
    <n v="6.9054012948063797"/>
    <n v="24.859444661303002"/>
  </r>
  <r>
    <x v="0"/>
    <x v="0"/>
    <x v="0"/>
    <x v="1"/>
    <x v="2"/>
    <x v="13"/>
    <x v="0"/>
    <x v="5"/>
    <n v="6.6196009481807296"/>
    <n v="23.830563413450601"/>
  </r>
  <r>
    <x v="0"/>
    <x v="0"/>
    <x v="0"/>
    <x v="1"/>
    <x v="2"/>
    <x v="13"/>
    <x v="0"/>
    <x v="6"/>
    <n v="6.5078240051927398"/>
    <n v="23.428166418693898"/>
  </r>
  <r>
    <x v="0"/>
    <x v="0"/>
    <x v="0"/>
    <x v="1"/>
    <x v="2"/>
    <x v="13"/>
    <x v="0"/>
    <x v="7"/>
    <n v="6.2391615096729902"/>
    <n v="22.460981434822799"/>
  </r>
  <r>
    <x v="0"/>
    <x v="0"/>
    <x v="0"/>
    <x v="1"/>
    <x v="2"/>
    <x v="13"/>
    <x v="0"/>
    <x v="8"/>
    <n v="6.2391615096729902"/>
    <n v="22.460981434822799"/>
  </r>
  <r>
    <x v="0"/>
    <x v="0"/>
    <x v="0"/>
    <x v="1"/>
    <x v="2"/>
    <x v="13"/>
    <x v="0"/>
    <x v="9"/>
    <n v="6.27997539840075"/>
    <n v="22.607911434242698"/>
  </r>
  <r>
    <x v="0"/>
    <x v="0"/>
    <x v="0"/>
    <x v="1"/>
    <x v="2"/>
    <x v="13"/>
    <x v="0"/>
    <x v="10"/>
    <n v="6.3936398113916004"/>
    <n v="23.017103321009699"/>
  </r>
  <r>
    <x v="0"/>
    <x v="0"/>
    <x v="0"/>
    <x v="1"/>
    <x v="2"/>
    <x v="13"/>
    <x v="0"/>
    <x v="11"/>
    <n v="6.4614306556671099"/>
    <n v="23.261150360401601"/>
  </r>
  <r>
    <x v="0"/>
    <x v="0"/>
    <x v="0"/>
    <x v="1"/>
    <x v="2"/>
    <x v="13"/>
    <x v="0"/>
    <x v="12"/>
    <n v="6.5635246465976902"/>
    <n v="23.628688727751701"/>
  </r>
  <r>
    <x v="0"/>
    <x v="0"/>
    <x v="0"/>
    <x v="1"/>
    <x v="2"/>
    <x v="13"/>
    <x v="0"/>
    <x v="13"/>
    <n v="6.5635246465976902"/>
    <n v="23.628688727751701"/>
  </r>
  <r>
    <x v="0"/>
    <x v="0"/>
    <x v="0"/>
    <x v="1"/>
    <x v="2"/>
    <x v="13"/>
    <x v="0"/>
    <x v="14"/>
    <n v="6.5635246465976902"/>
    <n v="23.628688727751701"/>
  </r>
  <r>
    <x v="0"/>
    <x v="0"/>
    <x v="0"/>
    <x v="1"/>
    <x v="2"/>
    <x v="13"/>
    <x v="0"/>
    <x v="15"/>
    <n v="6.5024688869690399"/>
    <n v="23.408887993088602"/>
  </r>
  <r>
    <x v="0"/>
    <x v="0"/>
    <x v="0"/>
    <x v="1"/>
    <x v="2"/>
    <x v="13"/>
    <x v="0"/>
    <x v="16"/>
    <n v="5.6391568401466703"/>
    <n v="20.300964624528"/>
  </r>
  <r>
    <x v="0"/>
    <x v="0"/>
    <x v="0"/>
    <x v="1"/>
    <x v="2"/>
    <x v="13"/>
    <x v="0"/>
    <x v="17"/>
    <n v="5.6391568401466703"/>
    <n v="20.300964624528"/>
  </r>
  <r>
    <x v="0"/>
    <x v="0"/>
    <x v="0"/>
    <x v="1"/>
    <x v="2"/>
    <x v="13"/>
    <x v="0"/>
    <x v="18"/>
    <n v="6.3932590743069699"/>
    <n v="23.015732667505102"/>
  </r>
  <r>
    <x v="0"/>
    <x v="0"/>
    <x v="0"/>
    <x v="1"/>
    <x v="2"/>
    <x v="13"/>
    <x v="0"/>
    <x v="19"/>
    <n v="6.5024688869690399"/>
    <n v="23.408887993088602"/>
  </r>
  <r>
    <x v="0"/>
    <x v="0"/>
    <x v="0"/>
    <x v="1"/>
    <x v="2"/>
    <x v="13"/>
    <x v="0"/>
    <x v="20"/>
    <n v="6.61367685299561"/>
    <n v="23.809236670784198"/>
  </r>
  <r>
    <x v="0"/>
    <x v="0"/>
    <x v="0"/>
    <x v="1"/>
    <x v="2"/>
    <x v="13"/>
    <x v="0"/>
    <x v="21"/>
    <n v="6.61367685299561"/>
    <n v="23.809236670784198"/>
  </r>
  <r>
    <x v="0"/>
    <x v="0"/>
    <x v="0"/>
    <x v="1"/>
    <x v="2"/>
    <x v="13"/>
    <x v="0"/>
    <x v="22"/>
    <n v="6.61367685299561"/>
    <n v="23.809236670784198"/>
  </r>
  <r>
    <x v="0"/>
    <x v="0"/>
    <x v="0"/>
    <x v="1"/>
    <x v="2"/>
    <x v="13"/>
    <x v="0"/>
    <x v="23"/>
    <n v="6.9099291566280598"/>
    <n v="24.875744963860999"/>
  </r>
  <r>
    <x v="0"/>
    <x v="0"/>
    <x v="0"/>
    <x v="1"/>
    <x v="2"/>
    <x v="14"/>
    <x v="0"/>
    <x v="0"/>
    <n v="9.0439307935151998"/>
    <n v="32.558150856654699"/>
  </r>
  <r>
    <x v="0"/>
    <x v="0"/>
    <x v="0"/>
    <x v="1"/>
    <x v="2"/>
    <x v="14"/>
    <x v="0"/>
    <x v="1"/>
    <n v="9.0439307935151998"/>
    <n v="32.558150856654699"/>
  </r>
  <r>
    <x v="0"/>
    <x v="0"/>
    <x v="0"/>
    <x v="1"/>
    <x v="2"/>
    <x v="14"/>
    <x v="0"/>
    <x v="2"/>
    <n v="9.0439307935151998"/>
    <n v="32.558150856654699"/>
  </r>
  <r>
    <x v="0"/>
    <x v="0"/>
    <x v="0"/>
    <x v="1"/>
    <x v="2"/>
    <x v="14"/>
    <x v="0"/>
    <x v="3"/>
    <n v="9.0439307935151998"/>
    <n v="32.558150856654699"/>
  </r>
  <r>
    <x v="0"/>
    <x v="0"/>
    <x v="0"/>
    <x v="1"/>
    <x v="2"/>
    <x v="14"/>
    <x v="0"/>
    <x v="4"/>
    <n v="9.0439307935151998"/>
    <n v="32.558150856654699"/>
  </r>
  <r>
    <x v="0"/>
    <x v="0"/>
    <x v="0"/>
    <x v="1"/>
    <x v="2"/>
    <x v="14"/>
    <x v="0"/>
    <x v="5"/>
    <n v="9.0439307935151998"/>
    <n v="32.558150856654699"/>
  </r>
  <r>
    <x v="0"/>
    <x v="0"/>
    <x v="0"/>
    <x v="1"/>
    <x v="2"/>
    <x v="14"/>
    <x v="0"/>
    <x v="6"/>
    <n v="9.0439307935151998"/>
    <n v="32.558150856654699"/>
  </r>
  <r>
    <x v="0"/>
    <x v="0"/>
    <x v="0"/>
    <x v="1"/>
    <x v="2"/>
    <x v="14"/>
    <x v="0"/>
    <x v="7"/>
    <n v="9.0439307935151998"/>
    <n v="32.558150856654699"/>
  </r>
  <r>
    <x v="0"/>
    <x v="0"/>
    <x v="0"/>
    <x v="1"/>
    <x v="2"/>
    <x v="14"/>
    <x v="0"/>
    <x v="8"/>
    <n v="9.0439307935151998"/>
    <n v="32.558150856654699"/>
  </r>
  <r>
    <x v="0"/>
    <x v="0"/>
    <x v="0"/>
    <x v="1"/>
    <x v="2"/>
    <x v="14"/>
    <x v="0"/>
    <x v="9"/>
    <n v="9.0439307935151998"/>
    <n v="32.558150856654699"/>
  </r>
  <r>
    <x v="0"/>
    <x v="0"/>
    <x v="0"/>
    <x v="1"/>
    <x v="2"/>
    <x v="14"/>
    <x v="0"/>
    <x v="10"/>
    <n v="9.0439307935151998"/>
    <n v="32.558150856654699"/>
  </r>
  <r>
    <x v="0"/>
    <x v="0"/>
    <x v="0"/>
    <x v="1"/>
    <x v="2"/>
    <x v="14"/>
    <x v="0"/>
    <x v="11"/>
    <n v="9.0439307935151998"/>
    <n v="32.558150856654699"/>
  </r>
  <r>
    <x v="0"/>
    <x v="0"/>
    <x v="0"/>
    <x v="1"/>
    <x v="2"/>
    <x v="14"/>
    <x v="0"/>
    <x v="12"/>
    <n v="9.0439307935151998"/>
    <n v="32.558150856654699"/>
  </r>
  <r>
    <x v="0"/>
    <x v="0"/>
    <x v="0"/>
    <x v="1"/>
    <x v="2"/>
    <x v="14"/>
    <x v="0"/>
    <x v="13"/>
    <n v="9.0439307935151998"/>
    <n v="32.558150856654699"/>
  </r>
  <r>
    <x v="0"/>
    <x v="0"/>
    <x v="0"/>
    <x v="1"/>
    <x v="2"/>
    <x v="14"/>
    <x v="0"/>
    <x v="14"/>
    <n v="9.0439307935151998"/>
    <n v="32.558150856654699"/>
  </r>
  <r>
    <x v="0"/>
    <x v="0"/>
    <x v="0"/>
    <x v="1"/>
    <x v="2"/>
    <x v="14"/>
    <x v="0"/>
    <x v="15"/>
    <n v="9.0439307935151998"/>
    <n v="32.558150856654699"/>
  </r>
  <r>
    <x v="0"/>
    <x v="0"/>
    <x v="0"/>
    <x v="1"/>
    <x v="2"/>
    <x v="14"/>
    <x v="0"/>
    <x v="16"/>
    <n v="9.0439307935151998"/>
    <n v="32.558150856654699"/>
  </r>
  <r>
    <x v="0"/>
    <x v="0"/>
    <x v="0"/>
    <x v="1"/>
    <x v="2"/>
    <x v="14"/>
    <x v="0"/>
    <x v="17"/>
    <n v="9.0439307935151998"/>
    <n v="32.558150856654699"/>
  </r>
  <r>
    <x v="0"/>
    <x v="0"/>
    <x v="0"/>
    <x v="1"/>
    <x v="2"/>
    <x v="14"/>
    <x v="0"/>
    <x v="18"/>
    <n v="9.0439307935151998"/>
    <n v="32.558150856654699"/>
  </r>
  <r>
    <x v="0"/>
    <x v="0"/>
    <x v="0"/>
    <x v="1"/>
    <x v="2"/>
    <x v="14"/>
    <x v="0"/>
    <x v="19"/>
    <n v="9.0439307935151998"/>
    <n v="32.558150856654699"/>
  </r>
  <r>
    <x v="0"/>
    <x v="0"/>
    <x v="0"/>
    <x v="1"/>
    <x v="2"/>
    <x v="14"/>
    <x v="0"/>
    <x v="20"/>
    <n v="9.0439307935151998"/>
    <n v="32.558150856654699"/>
  </r>
  <r>
    <x v="0"/>
    <x v="0"/>
    <x v="0"/>
    <x v="1"/>
    <x v="2"/>
    <x v="14"/>
    <x v="0"/>
    <x v="21"/>
    <n v="9.0439307935151998"/>
    <n v="32.558150856654699"/>
  </r>
  <r>
    <x v="0"/>
    <x v="0"/>
    <x v="0"/>
    <x v="1"/>
    <x v="2"/>
    <x v="14"/>
    <x v="0"/>
    <x v="22"/>
    <n v="9.0439307935151998"/>
    <n v="32.558150856654699"/>
  </r>
  <r>
    <x v="0"/>
    <x v="0"/>
    <x v="0"/>
    <x v="1"/>
    <x v="2"/>
    <x v="14"/>
    <x v="0"/>
    <x v="23"/>
    <n v="9.0439307935151998"/>
    <n v="32.558150856654699"/>
  </r>
  <r>
    <x v="0"/>
    <x v="0"/>
    <x v="0"/>
    <x v="1"/>
    <x v="2"/>
    <x v="15"/>
    <x v="0"/>
    <x v="0"/>
    <n v="9.0439307935151998"/>
    <n v="32.558150856654699"/>
  </r>
  <r>
    <x v="0"/>
    <x v="0"/>
    <x v="0"/>
    <x v="1"/>
    <x v="2"/>
    <x v="15"/>
    <x v="0"/>
    <x v="1"/>
    <n v="9.0439307935151998"/>
    <n v="32.558150856654699"/>
  </r>
  <r>
    <x v="0"/>
    <x v="0"/>
    <x v="0"/>
    <x v="1"/>
    <x v="2"/>
    <x v="15"/>
    <x v="0"/>
    <x v="2"/>
    <n v="9.0439307935151998"/>
    <n v="32.558150856654699"/>
  </r>
  <r>
    <x v="0"/>
    <x v="0"/>
    <x v="0"/>
    <x v="1"/>
    <x v="2"/>
    <x v="15"/>
    <x v="0"/>
    <x v="3"/>
    <n v="9.0439307935151998"/>
    <n v="32.558150856654699"/>
  </r>
  <r>
    <x v="0"/>
    <x v="0"/>
    <x v="0"/>
    <x v="1"/>
    <x v="2"/>
    <x v="15"/>
    <x v="0"/>
    <x v="4"/>
    <n v="9.0439307935151998"/>
    <n v="32.558150856654699"/>
  </r>
  <r>
    <x v="0"/>
    <x v="0"/>
    <x v="0"/>
    <x v="1"/>
    <x v="2"/>
    <x v="15"/>
    <x v="0"/>
    <x v="5"/>
    <n v="9.0439307935151998"/>
    <n v="32.558150856654699"/>
  </r>
  <r>
    <x v="0"/>
    <x v="0"/>
    <x v="0"/>
    <x v="1"/>
    <x v="2"/>
    <x v="15"/>
    <x v="0"/>
    <x v="6"/>
    <n v="9.0439307935151998"/>
    <n v="32.558150856654699"/>
  </r>
  <r>
    <x v="0"/>
    <x v="0"/>
    <x v="0"/>
    <x v="1"/>
    <x v="2"/>
    <x v="15"/>
    <x v="0"/>
    <x v="7"/>
    <n v="9.0439307935151998"/>
    <n v="32.558150856654699"/>
  </r>
  <r>
    <x v="0"/>
    <x v="0"/>
    <x v="0"/>
    <x v="1"/>
    <x v="2"/>
    <x v="15"/>
    <x v="0"/>
    <x v="8"/>
    <n v="9.0439307935151998"/>
    <n v="32.558150856654699"/>
  </r>
  <r>
    <x v="0"/>
    <x v="0"/>
    <x v="0"/>
    <x v="1"/>
    <x v="2"/>
    <x v="15"/>
    <x v="0"/>
    <x v="9"/>
    <n v="9.0439307935151998"/>
    <n v="32.558150856654699"/>
  </r>
  <r>
    <x v="0"/>
    <x v="0"/>
    <x v="0"/>
    <x v="1"/>
    <x v="2"/>
    <x v="15"/>
    <x v="0"/>
    <x v="10"/>
    <n v="9.0439307935151998"/>
    <n v="32.558150856654699"/>
  </r>
  <r>
    <x v="0"/>
    <x v="0"/>
    <x v="0"/>
    <x v="1"/>
    <x v="2"/>
    <x v="15"/>
    <x v="0"/>
    <x v="11"/>
    <n v="9.0439307935151998"/>
    <n v="32.558150856654699"/>
  </r>
  <r>
    <x v="0"/>
    <x v="0"/>
    <x v="0"/>
    <x v="1"/>
    <x v="2"/>
    <x v="15"/>
    <x v="0"/>
    <x v="12"/>
    <n v="9.0439307935151998"/>
    <n v="32.558150856654699"/>
  </r>
  <r>
    <x v="0"/>
    <x v="0"/>
    <x v="0"/>
    <x v="1"/>
    <x v="2"/>
    <x v="15"/>
    <x v="0"/>
    <x v="13"/>
    <n v="9.0439307935151998"/>
    <n v="32.558150856654699"/>
  </r>
  <r>
    <x v="0"/>
    <x v="0"/>
    <x v="0"/>
    <x v="1"/>
    <x v="2"/>
    <x v="15"/>
    <x v="0"/>
    <x v="14"/>
    <n v="9.0439307935151998"/>
    <n v="32.558150856654699"/>
  </r>
  <r>
    <x v="0"/>
    <x v="0"/>
    <x v="0"/>
    <x v="1"/>
    <x v="2"/>
    <x v="15"/>
    <x v="0"/>
    <x v="15"/>
    <n v="9.0439307935151998"/>
    <n v="32.558150856654699"/>
  </r>
  <r>
    <x v="0"/>
    <x v="0"/>
    <x v="0"/>
    <x v="1"/>
    <x v="2"/>
    <x v="15"/>
    <x v="0"/>
    <x v="16"/>
    <n v="9.0439307935151998"/>
    <n v="32.558150856654699"/>
  </r>
  <r>
    <x v="0"/>
    <x v="0"/>
    <x v="0"/>
    <x v="1"/>
    <x v="2"/>
    <x v="15"/>
    <x v="0"/>
    <x v="17"/>
    <n v="9.0439307935151998"/>
    <n v="32.558150856654699"/>
  </r>
  <r>
    <x v="0"/>
    <x v="0"/>
    <x v="0"/>
    <x v="1"/>
    <x v="2"/>
    <x v="15"/>
    <x v="0"/>
    <x v="18"/>
    <n v="9.0439307935151998"/>
    <n v="32.558150856654699"/>
  </r>
  <r>
    <x v="0"/>
    <x v="0"/>
    <x v="0"/>
    <x v="1"/>
    <x v="2"/>
    <x v="15"/>
    <x v="0"/>
    <x v="19"/>
    <n v="9.0439307935151998"/>
    <n v="32.558150856654699"/>
  </r>
  <r>
    <x v="0"/>
    <x v="0"/>
    <x v="0"/>
    <x v="1"/>
    <x v="2"/>
    <x v="15"/>
    <x v="0"/>
    <x v="20"/>
    <n v="9.0439307935151998"/>
    <n v="32.558150856654699"/>
  </r>
  <r>
    <x v="0"/>
    <x v="0"/>
    <x v="0"/>
    <x v="1"/>
    <x v="2"/>
    <x v="15"/>
    <x v="0"/>
    <x v="21"/>
    <n v="9.0439307935151998"/>
    <n v="32.558150856654699"/>
  </r>
  <r>
    <x v="0"/>
    <x v="0"/>
    <x v="0"/>
    <x v="1"/>
    <x v="2"/>
    <x v="15"/>
    <x v="0"/>
    <x v="22"/>
    <n v="9.0439307935151998"/>
    <n v="32.558150856654699"/>
  </r>
  <r>
    <x v="0"/>
    <x v="0"/>
    <x v="0"/>
    <x v="1"/>
    <x v="2"/>
    <x v="15"/>
    <x v="0"/>
    <x v="23"/>
    <n v="9.0439307935151998"/>
    <n v="32.558150856654699"/>
  </r>
  <r>
    <x v="0"/>
    <x v="0"/>
    <x v="0"/>
    <x v="2"/>
    <x v="3"/>
    <x v="16"/>
    <x v="0"/>
    <x v="0"/>
    <n v="5.5844770472856302"/>
    <n v="20.104117370228298"/>
  </r>
  <r>
    <x v="0"/>
    <x v="0"/>
    <x v="0"/>
    <x v="2"/>
    <x v="3"/>
    <x v="16"/>
    <x v="0"/>
    <x v="1"/>
    <n v="5.5844770472856302"/>
    <n v="20.104117370228298"/>
  </r>
  <r>
    <x v="0"/>
    <x v="0"/>
    <x v="0"/>
    <x v="2"/>
    <x v="3"/>
    <x v="16"/>
    <x v="0"/>
    <x v="2"/>
    <n v="5.5844770472856302"/>
    <n v="20.104117370228298"/>
  </r>
  <r>
    <x v="0"/>
    <x v="0"/>
    <x v="0"/>
    <x v="2"/>
    <x v="3"/>
    <x v="16"/>
    <x v="0"/>
    <x v="3"/>
    <n v="5.5844770472856302"/>
    <n v="20.104117370228298"/>
  </r>
  <r>
    <x v="0"/>
    <x v="0"/>
    <x v="0"/>
    <x v="2"/>
    <x v="3"/>
    <x v="16"/>
    <x v="0"/>
    <x v="4"/>
    <n v="5.5844770472856302"/>
    <n v="20.104117370228298"/>
  </r>
  <r>
    <x v="0"/>
    <x v="0"/>
    <x v="0"/>
    <x v="2"/>
    <x v="3"/>
    <x v="16"/>
    <x v="0"/>
    <x v="5"/>
    <n v="5.5844770472856302"/>
    <n v="20.104117370228298"/>
  </r>
  <r>
    <x v="0"/>
    <x v="0"/>
    <x v="0"/>
    <x v="2"/>
    <x v="3"/>
    <x v="16"/>
    <x v="0"/>
    <x v="6"/>
    <n v="7.0404444444444501"/>
    <n v="25.345600000000001"/>
  </r>
  <r>
    <x v="0"/>
    <x v="0"/>
    <x v="0"/>
    <x v="2"/>
    <x v="3"/>
    <x v="16"/>
    <x v="0"/>
    <x v="7"/>
    <n v="7.0404444444444501"/>
    <n v="25.345600000000001"/>
  </r>
  <r>
    <x v="0"/>
    <x v="0"/>
    <x v="0"/>
    <x v="2"/>
    <x v="3"/>
    <x v="16"/>
    <x v="0"/>
    <x v="8"/>
    <n v="7.0404444444444501"/>
    <n v="25.345600000000001"/>
  </r>
  <r>
    <x v="0"/>
    <x v="0"/>
    <x v="0"/>
    <x v="2"/>
    <x v="3"/>
    <x v="16"/>
    <x v="0"/>
    <x v="9"/>
    <n v="7.0404444444444501"/>
    <n v="25.345600000000001"/>
  </r>
  <r>
    <x v="0"/>
    <x v="0"/>
    <x v="0"/>
    <x v="2"/>
    <x v="3"/>
    <x v="16"/>
    <x v="0"/>
    <x v="10"/>
    <n v="7.0404444444444501"/>
    <n v="25.345600000000001"/>
  </r>
  <r>
    <x v="0"/>
    <x v="0"/>
    <x v="0"/>
    <x v="2"/>
    <x v="3"/>
    <x v="16"/>
    <x v="0"/>
    <x v="11"/>
    <n v="7.0404444444444501"/>
    <n v="25.345600000000001"/>
  </r>
  <r>
    <x v="0"/>
    <x v="0"/>
    <x v="0"/>
    <x v="2"/>
    <x v="3"/>
    <x v="16"/>
    <x v="0"/>
    <x v="12"/>
    <n v="7.0404444444444501"/>
    <n v="25.345600000000001"/>
  </r>
  <r>
    <x v="0"/>
    <x v="0"/>
    <x v="0"/>
    <x v="2"/>
    <x v="3"/>
    <x v="16"/>
    <x v="0"/>
    <x v="13"/>
    <n v="7.0404444444444501"/>
    <n v="25.345600000000001"/>
  </r>
  <r>
    <x v="0"/>
    <x v="0"/>
    <x v="0"/>
    <x v="2"/>
    <x v="3"/>
    <x v="16"/>
    <x v="0"/>
    <x v="14"/>
    <n v="7.0404444444444501"/>
    <n v="25.345600000000001"/>
  </r>
  <r>
    <x v="0"/>
    <x v="0"/>
    <x v="0"/>
    <x v="2"/>
    <x v="3"/>
    <x v="16"/>
    <x v="0"/>
    <x v="15"/>
    <n v="7.0404444444444501"/>
    <n v="25.345600000000001"/>
  </r>
  <r>
    <x v="0"/>
    <x v="0"/>
    <x v="0"/>
    <x v="2"/>
    <x v="3"/>
    <x v="16"/>
    <x v="0"/>
    <x v="16"/>
    <n v="7.0404444444444501"/>
    <n v="25.345600000000001"/>
  </r>
  <r>
    <x v="0"/>
    <x v="0"/>
    <x v="0"/>
    <x v="2"/>
    <x v="3"/>
    <x v="16"/>
    <x v="0"/>
    <x v="17"/>
    <n v="7.0404444444444501"/>
    <n v="25.345600000000001"/>
  </r>
  <r>
    <x v="0"/>
    <x v="0"/>
    <x v="0"/>
    <x v="2"/>
    <x v="3"/>
    <x v="16"/>
    <x v="0"/>
    <x v="18"/>
    <n v="7.0404444444444501"/>
    <n v="25.345600000000001"/>
  </r>
  <r>
    <x v="0"/>
    <x v="0"/>
    <x v="0"/>
    <x v="2"/>
    <x v="3"/>
    <x v="16"/>
    <x v="0"/>
    <x v="19"/>
    <n v="7.0404444444444501"/>
    <n v="25.345600000000001"/>
  </r>
  <r>
    <x v="0"/>
    <x v="0"/>
    <x v="0"/>
    <x v="2"/>
    <x v="3"/>
    <x v="16"/>
    <x v="0"/>
    <x v="20"/>
    <n v="7.0404444444444501"/>
    <n v="25.345600000000001"/>
  </r>
  <r>
    <x v="0"/>
    <x v="0"/>
    <x v="0"/>
    <x v="2"/>
    <x v="3"/>
    <x v="16"/>
    <x v="0"/>
    <x v="21"/>
    <n v="7.0404444444444501"/>
    <n v="25.345600000000001"/>
  </r>
  <r>
    <x v="0"/>
    <x v="0"/>
    <x v="0"/>
    <x v="2"/>
    <x v="3"/>
    <x v="16"/>
    <x v="0"/>
    <x v="22"/>
    <n v="5.5844770472856302"/>
    <n v="20.104117370228298"/>
  </r>
  <r>
    <x v="0"/>
    <x v="0"/>
    <x v="0"/>
    <x v="2"/>
    <x v="3"/>
    <x v="16"/>
    <x v="0"/>
    <x v="23"/>
    <n v="5.5844770472856302"/>
    <n v="20.104117370228298"/>
  </r>
  <r>
    <x v="0"/>
    <x v="0"/>
    <x v="0"/>
    <x v="2"/>
    <x v="3"/>
    <x v="17"/>
    <x v="0"/>
    <x v="0"/>
    <n v="8.6957694601818698"/>
    <n v="31.3047700566547"/>
  </r>
  <r>
    <x v="0"/>
    <x v="0"/>
    <x v="0"/>
    <x v="2"/>
    <x v="3"/>
    <x v="17"/>
    <x v="0"/>
    <x v="1"/>
    <n v="8.6957694601818698"/>
    <n v="31.3047700566547"/>
  </r>
  <r>
    <x v="0"/>
    <x v="0"/>
    <x v="0"/>
    <x v="2"/>
    <x v="3"/>
    <x v="17"/>
    <x v="0"/>
    <x v="2"/>
    <n v="8.6957694601818698"/>
    <n v="31.3047700566547"/>
  </r>
  <r>
    <x v="0"/>
    <x v="0"/>
    <x v="0"/>
    <x v="2"/>
    <x v="3"/>
    <x v="17"/>
    <x v="0"/>
    <x v="3"/>
    <n v="8.6957694601818698"/>
    <n v="31.3047700566547"/>
  </r>
  <r>
    <x v="0"/>
    <x v="0"/>
    <x v="0"/>
    <x v="2"/>
    <x v="3"/>
    <x v="17"/>
    <x v="0"/>
    <x v="4"/>
    <n v="8.6957694601818698"/>
    <n v="31.3047700566547"/>
  </r>
  <r>
    <x v="0"/>
    <x v="0"/>
    <x v="0"/>
    <x v="2"/>
    <x v="3"/>
    <x v="17"/>
    <x v="0"/>
    <x v="5"/>
    <n v="8.6957694601818698"/>
    <n v="31.3047700566547"/>
  </r>
  <r>
    <x v="0"/>
    <x v="0"/>
    <x v="0"/>
    <x v="2"/>
    <x v="3"/>
    <x v="17"/>
    <x v="0"/>
    <x v="6"/>
    <n v="8.6957694601818698"/>
    <n v="31.3047700566547"/>
  </r>
  <r>
    <x v="0"/>
    <x v="0"/>
    <x v="0"/>
    <x v="2"/>
    <x v="3"/>
    <x v="17"/>
    <x v="0"/>
    <x v="7"/>
    <n v="8.6909812485477698"/>
    <n v="31.287532494772002"/>
  </r>
  <r>
    <x v="0"/>
    <x v="0"/>
    <x v="0"/>
    <x v="2"/>
    <x v="3"/>
    <x v="17"/>
    <x v="0"/>
    <x v="8"/>
    <n v="8.6909812485477698"/>
    <n v="31.287532494772002"/>
  </r>
  <r>
    <x v="0"/>
    <x v="0"/>
    <x v="0"/>
    <x v="2"/>
    <x v="3"/>
    <x v="17"/>
    <x v="0"/>
    <x v="9"/>
    <n v="8.6957694601818698"/>
    <n v="31.3047700566547"/>
  </r>
  <r>
    <x v="0"/>
    <x v="0"/>
    <x v="0"/>
    <x v="2"/>
    <x v="3"/>
    <x v="17"/>
    <x v="0"/>
    <x v="10"/>
    <n v="8.6957694601818698"/>
    <n v="31.3047700566547"/>
  </r>
  <r>
    <x v="0"/>
    <x v="0"/>
    <x v="0"/>
    <x v="2"/>
    <x v="3"/>
    <x v="17"/>
    <x v="0"/>
    <x v="11"/>
    <n v="8.3011752601818696"/>
    <n v="29.884230936654699"/>
  </r>
  <r>
    <x v="0"/>
    <x v="0"/>
    <x v="0"/>
    <x v="2"/>
    <x v="3"/>
    <x v="17"/>
    <x v="0"/>
    <x v="12"/>
    <n v="8.3011752601818696"/>
    <n v="29.884230936654699"/>
  </r>
  <r>
    <x v="0"/>
    <x v="0"/>
    <x v="0"/>
    <x v="2"/>
    <x v="3"/>
    <x v="17"/>
    <x v="0"/>
    <x v="13"/>
    <n v="8.3011752601818696"/>
    <n v="29.884230936654699"/>
  </r>
  <r>
    <x v="0"/>
    <x v="0"/>
    <x v="0"/>
    <x v="2"/>
    <x v="3"/>
    <x v="17"/>
    <x v="0"/>
    <x v="14"/>
    <n v="8.3011752601818696"/>
    <n v="29.884230936654699"/>
  </r>
  <r>
    <x v="0"/>
    <x v="0"/>
    <x v="0"/>
    <x v="2"/>
    <x v="3"/>
    <x v="17"/>
    <x v="0"/>
    <x v="15"/>
    <n v="8.3011752601818696"/>
    <n v="29.884230936654699"/>
  </r>
  <r>
    <x v="0"/>
    <x v="0"/>
    <x v="0"/>
    <x v="2"/>
    <x v="3"/>
    <x v="17"/>
    <x v="0"/>
    <x v="16"/>
    <n v="8.3011752601818696"/>
    <n v="29.884230936654699"/>
  </r>
  <r>
    <x v="0"/>
    <x v="0"/>
    <x v="0"/>
    <x v="2"/>
    <x v="3"/>
    <x v="17"/>
    <x v="0"/>
    <x v="17"/>
    <n v="8.1446236268500503"/>
    <n v="29.320645056660201"/>
  </r>
  <r>
    <x v="0"/>
    <x v="0"/>
    <x v="0"/>
    <x v="2"/>
    <x v="3"/>
    <x v="17"/>
    <x v="0"/>
    <x v="18"/>
    <n v="7.8950215884912298"/>
    <n v="28.422077718568399"/>
  </r>
  <r>
    <x v="0"/>
    <x v="0"/>
    <x v="0"/>
    <x v="2"/>
    <x v="3"/>
    <x v="17"/>
    <x v="0"/>
    <x v="19"/>
    <n v="8.1446236268500503"/>
    <n v="29.320645056660201"/>
  </r>
  <r>
    <x v="0"/>
    <x v="0"/>
    <x v="0"/>
    <x v="2"/>
    <x v="3"/>
    <x v="17"/>
    <x v="0"/>
    <x v="20"/>
    <n v="8.4550441875977196"/>
    <n v="30.438159075351798"/>
  </r>
  <r>
    <x v="0"/>
    <x v="0"/>
    <x v="0"/>
    <x v="2"/>
    <x v="3"/>
    <x v="17"/>
    <x v="0"/>
    <x v="21"/>
    <n v="8.3987924998235801"/>
    <n v="30.235652999364898"/>
  </r>
  <r>
    <x v="0"/>
    <x v="0"/>
    <x v="0"/>
    <x v="2"/>
    <x v="3"/>
    <x v="17"/>
    <x v="0"/>
    <x v="22"/>
    <n v="8.6957694601818698"/>
    <n v="31.3047700566547"/>
  </r>
  <r>
    <x v="0"/>
    <x v="0"/>
    <x v="0"/>
    <x v="2"/>
    <x v="3"/>
    <x v="17"/>
    <x v="0"/>
    <x v="23"/>
    <n v="8.6957694601818698"/>
    <n v="31.3047700566547"/>
  </r>
  <r>
    <x v="0"/>
    <x v="0"/>
    <x v="0"/>
    <x v="2"/>
    <x v="3"/>
    <x v="18"/>
    <x v="0"/>
    <x v="0"/>
    <n v="8.3011752601818696"/>
    <n v="29.884230936654699"/>
  </r>
  <r>
    <x v="0"/>
    <x v="0"/>
    <x v="0"/>
    <x v="2"/>
    <x v="3"/>
    <x v="18"/>
    <x v="0"/>
    <x v="1"/>
    <n v="8.3011752601818696"/>
    <n v="29.884230936654699"/>
  </r>
  <r>
    <x v="0"/>
    <x v="0"/>
    <x v="0"/>
    <x v="2"/>
    <x v="3"/>
    <x v="18"/>
    <x v="0"/>
    <x v="2"/>
    <n v="8.3011752601818696"/>
    <n v="29.884230936654699"/>
  </r>
  <r>
    <x v="0"/>
    <x v="0"/>
    <x v="0"/>
    <x v="2"/>
    <x v="3"/>
    <x v="18"/>
    <x v="0"/>
    <x v="3"/>
    <n v="8.3011752601818696"/>
    <n v="29.884230936654699"/>
  </r>
  <r>
    <x v="0"/>
    <x v="0"/>
    <x v="0"/>
    <x v="2"/>
    <x v="3"/>
    <x v="18"/>
    <x v="0"/>
    <x v="4"/>
    <n v="8.3011752601818696"/>
    <n v="29.884230936654699"/>
  </r>
  <r>
    <x v="0"/>
    <x v="0"/>
    <x v="0"/>
    <x v="2"/>
    <x v="3"/>
    <x v="18"/>
    <x v="0"/>
    <x v="5"/>
    <n v="8.3011752601818696"/>
    <n v="29.884230936654699"/>
  </r>
  <r>
    <x v="0"/>
    <x v="0"/>
    <x v="0"/>
    <x v="2"/>
    <x v="3"/>
    <x v="18"/>
    <x v="0"/>
    <x v="6"/>
    <n v="8.3011752601818696"/>
    <n v="29.884230936654699"/>
  </r>
  <r>
    <x v="0"/>
    <x v="0"/>
    <x v="0"/>
    <x v="2"/>
    <x v="3"/>
    <x v="18"/>
    <x v="0"/>
    <x v="7"/>
    <n v="8.3011752601818696"/>
    <n v="29.884230936654699"/>
  </r>
  <r>
    <x v="0"/>
    <x v="0"/>
    <x v="0"/>
    <x v="2"/>
    <x v="3"/>
    <x v="18"/>
    <x v="0"/>
    <x v="8"/>
    <n v="8.3011752601818696"/>
    <n v="29.884230936654699"/>
  </r>
  <r>
    <x v="0"/>
    <x v="0"/>
    <x v="0"/>
    <x v="2"/>
    <x v="3"/>
    <x v="18"/>
    <x v="0"/>
    <x v="9"/>
    <n v="8.3011752601818696"/>
    <n v="29.884230936654699"/>
  </r>
  <r>
    <x v="0"/>
    <x v="0"/>
    <x v="0"/>
    <x v="2"/>
    <x v="3"/>
    <x v="18"/>
    <x v="0"/>
    <x v="10"/>
    <n v="8.3011752601818696"/>
    <n v="29.884230936654699"/>
  </r>
  <r>
    <x v="0"/>
    <x v="0"/>
    <x v="0"/>
    <x v="2"/>
    <x v="3"/>
    <x v="18"/>
    <x v="0"/>
    <x v="11"/>
    <n v="8.3011752601818696"/>
    <n v="29.884230936654699"/>
  </r>
  <r>
    <x v="0"/>
    <x v="0"/>
    <x v="0"/>
    <x v="2"/>
    <x v="3"/>
    <x v="18"/>
    <x v="0"/>
    <x v="12"/>
    <n v="8.3011752601818696"/>
    <n v="29.884230936654699"/>
  </r>
  <r>
    <x v="0"/>
    <x v="0"/>
    <x v="0"/>
    <x v="2"/>
    <x v="3"/>
    <x v="18"/>
    <x v="0"/>
    <x v="13"/>
    <n v="8.3011752601818696"/>
    <n v="29.884230936654699"/>
  </r>
  <r>
    <x v="0"/>
    <x v="0"/>
    <x v="0"/>
    <x v="2"/>
    <x v="3"/>
    <x v="18"/>
    <x v="0"/>
    <x v="14"/>
    <n v="8.3011752601818696"/>
    <n v="29.884230936654699"/>
  </r>
  <r>
    <x v="0"/>
    <x v="0"/>
    <x v="0"/>
    <x v="2"/>
    <x v="3"/>
    <x v="18"/>
    <x v="0"/>
    <x v="15"/>
    <n v="8.3011752601818696"/>
    <n v="29.884230936654699"/>
  </r>
  <r>
    <x v="0"/>
    <x v="0"/>
    <x v="0"/>
    <x v="2"/>
    <x v="3"/>
    <x v="18"/>
    <x v="0"/>
    <x v="16"/>
    <n v="8.3011752601818696"/>
    <n v="29.884230936654699"/>
  </r>
  <r>
    <x v="0"/>
    <x v="0"/>
    <x v="0"/>
    <x v="2"/>
    <x v="3"/>
    <x v="18"/>
    <x v="0"/>
    <x v="17"/>
    <n v="8.3011752601818696"/>
    <n v="29.884230936654699"/>
  </r>
  <r>
    <x v="0"/>
    <x v="0"/>
    <x v="0"/>
    <x v="2"/>
    <x v="3"/>
    <x v="18"/>
    <x v="0"/>
    <x v="18"/>
    <n v="8.3011752601818696"/>
    <n v="29.884230936654699"/>
  </r>
  <r>
    <x v="0"/>
    <x v="0"/>
    <x v="0"/>
    <x v="2"/>
    <x v="3"/>
    <x v="18"/>
    <x v="0"/>
    <x v="19"/>
    <n v="8.3011752601818696"/>
    <n v="29.884230936654699"/>
  </r>
  <r>
    <x v="0"/>
    <x v="0"/>
    <x v="0"/>
    <x v="2"/>
    <x v="3"/>
    <x v="18"/>
    <x v="0"/>
    <x v="20"/>
    <n v="8.3011752601818696"/>
    <n v="29.884230936654699"/>
  </r>
  <r>
    <x v="0"/>
    <x v="0"/>
    <x v="0"/>
    <x v="2"/>
    <x v="3"/>
    <x v="18"/>
    <x v="0"/>
    <x v="21"/>
    <n v="8.3011752601818696"/>
    <n v="29.884230936654699"/>
  </r>
  <r>
    <x v="0"/>
    <x v="0"/>
    <x v="0"/>
    <x v="2"/>
    <x v="3"/>
    <x v="18"/>
    <x v="0"/>
    <x v="22"/>
    <n v="8.3011752601818696"/>
    <n v="29.884230936654699"/>
  </r>
  <r>
    <x v="0"/>
    <x v="0"/>
    <x v="0"/>
    <x v="2"/>
    <x v="3"/>
    <x v="18"/>
    <x v="0"/>
    <x v="23"/>
    <n v="8.3011752601818696"/>
    <n v="29.884230936654699"/>
  </r>
  <r>
    <x v="0"/>
    <x v="0"/>
    <x v="0"/>
    <x v="2"/>
    <x v="3"/>
    <x v="19"/>
    <x v="0"/>
    <x v="0"/>
    <n v="8.1880064148884806"/>
    <n v="29.476823093598501"/>
  </r>
  <r>
    <x v="0"/>
    <x v="0"/>
    <x v="0"/>
    <x v="2"/>
    <x v="3"/>
    <x v="19"/>
    <x v="0"/>
    <x v="1"/>
    <n v="8.3801331326896804"/>
    <n v="30.168479277682799"/>
  </r>
  <r>
    <x v="0"/>
    <x v="0"/>
    <x v="0"/>
    <x v="2"/>
    <x v="3"/>
    <x v="19"/>
    <x v="0"/>
    <x v="2"/>
    <n v="8.3801331326896804"/>
    <n v="30.168479277682799"/>
  </r>
  <r>
    <x v="0"/>
    <x v="0"/>
    <x v="0"/>
    <x v="2"/>
    <x v="3"/>
    <x v="19"/>
    <x v="0"/>
    <x v="3"/>
    <n v="8.1880064148884806"/>
    <n v="29.476823093598501"/>
  </r>
  <r>
    <x v="0"/>
    <x v="0"/>
    <x v="0"/>
    <x v="2"/>
    <x v="3"/>
    <x v="19"/>
    <x v="0"/>
    <x v="4"/>
    <n v="8.11142183028198"/>
    <n v="29.201118589015099"/>
  </r>
  <r>
    <x v="0"/>
    <x v="0"/>
    <x v="0"/>
    <x v="2"/>
    <x v="3"/>
    <x v="19"/>
    <x v="0"/>
    <x v="5"/>
    <n v="8.1408946425922704"/>
    <n v="29.3072207133322"/>
  </r>
  <r>
    <x v="0"/>
    <x v="0"/>
    <x v="0"/>
    <x v="2"/>
    <x v="3"/>
    <x v="19"/>
    <x v="0"/>
    <x v="6"/>
    <n v="8.6957694601818698"/>
    <n v="31.3047700566547"/>
  </r>
  <r>
    <x v="0"/>
    <x v="0"/>
    <x v="0"/>
    <x v="2"/>
    <x v="3"/>
    <x v="19"/>
    <x v="0"/>
    <x v="7"/>
    <n v="8.6957694601818698"/>
    <n v="31.3047700566547"/>
  </r>
  <r>
    <x v="0"/>
    <x v="0"/>
    <x v="0"/>
    <x v="2"/>
    <x v="3"/>
    <x v="19"/>
    <x v="0"/>
    <x v="8"/>
    <n v="8.6957694601818698"/>
    <n v="31.3047700566547"/>
  </r>
  <r>
    <x v="0"/>
    <x v="0"/>
    <x v="0"/>
    <x v="2"/>
    <x v="3"/>
    <x v="19"/>
    <x v="0"/>
    <x v="9"/>
    <n v="8.6957694601818698"/>
    <n v="31.3047700566547"/>
  </r>
  <r>
    <x v="0"/>
    <x v="0"/>
    <x v="0"/>
    <x v="2"/>
    <x v="3"/>
    <x v="19"/>
    <x v="0"/>
    <x v="10"/>
    <n v="8.6957694601818698"/>
    <n v="31.3047700566547"/>
  </r>
  <r>
    <x v="0"/>
    <x v="0"/>
    <x v="0"/>
    <x v="2"/>
    <x v="3"/>
    <x v="19"/>
    <x v="0"/>
    <x v="11"/>
    <n v="8.6957694601818698"/>
    <n v="31.3047700566547"/>
  </r>
  <r>
    <x v="0"/>
    <x v="0"/>
    <x v="0"/>
    <x v="2"/>
    <x v="3"/>
    <x v="19"/>
    <x v="0"/>
    <x v="12"/>
    <n v="8.6957694601818698"/>
    <n v="31.3047700566547"/>
  </r>
  <r>
    <x v="0"/>
    <x v="0"/>
    <x v="0"/>
    <x v="2"/>
    <x v="3"/>
    <x v="19"/>
    <x v="0"/>
    <x v="13"/>
    <n v="8.6957694601818698"/>
    <n v="31.3047700566547"/>
  </r>
  <r>
    <x v="0"/>
    <x v="0"/>
    <x v="0"/>
    <x v="2"/>
    <x v="3"/>
    <x v="19"/>
    <x v="0"/>
    <x v="14"/>
    <n v="8.6957694601818698"/>
    <n v="31.3047700566547"/>
  </r>
  <r>
    <x v="0"/>
    <x v="0"/>
    <x v="0"/>
    <x v="2"/>
    <x v="3"/>
    <x v="19"/>
    <x v="0"/>
    <x v="15"/>
    <n v="8.6957694601818698"/>
    <n v="31.3047700566547"/>
  </r>
  <r>
    <x v="0"/>
    <x v="0"/>
    <x v="0"/>
    <x v="2"/>
    <x v="3"/>
    <x v="19"/>
    <x v="0"/>
    <x v="16"/>
    <n v="8.6957694601818698"/>
    <n v="31.3047700566547"/>
  </r>
  <r>
    <x v="0"/>
    <x v="0"/>
    <x v="0"/>
    <x v="2"/>
    <x v="3"/>
    <x v="19"/>
    <x v="0"/>
    <x v="17"/>
    <n v="7.6368552907418001"/>
    <n v="27.492679046670499"/>
  </r>
  <r>
    <x v="0"/>
    <x v="0"/>
    <x v="0"/>
    <x v="2"/>
    <x v="3"/>
    <x v="19"/>
    <x v="0"/>
    <x v="18"/>
    <n v="7.4085867599350204"/>
    <n v="26.670912335766101"/>
  </r>
  <r>
    <x v="0"/>
    <x v="0"/>
    <x v="0"/>
    <x v="2"/>
    <x v="3"/>
    <x v="19"/>
    <x v="0"/>
    <x v="19"/>
    <n v="7.6368552907418001"/>
    <n v="27.492679046670499"/>
  </r>
  <r>
    <x v="0"/>
    <x v="0"/>
    <x v="0"/>
    <x v="2"/>
    <x v="3"/>
    <x v="19"/>
    <x v="0"/>
    <x v="20"/>
    <n v="7.9207441796306899"/>
    <n v="28.514679046670501"/>
  </r>
  <r>
    <x v="0"/>
    <x v="0"/>
    <x v="0"/>
    <x v="2"/>
    <x v="3"/>
    <x v="19"/>
    <x v="0"/>
    <x v="21"/>
    <n v="7.86930032841844"/>
    <n v="28.329481182306399"/>
  </r>
  <r>
    <x v="0"/>
    <x v="0"/>
    <x v="0"/>
    <x v="2"/>
    <x v="3"/>
    <x v="19"/>
    <x v="0"/>
    <x v="22"/>
    <n v="8.1408946425922704"/>
    <n v="29.3072207133322"/>
  </r>
  <r>
    <x v="0"/>
    <x v="0"/>
    <x v="0"/>
    <x v="2"/>
    <x v="3"/>
    <x v="19"/>
    <x v="0"/>
    <x v="23"/>
    <n v="8.1200909104674608"/>
    <n v="29.232327277682799"/>
  </r>
  <r>
    <x v="0"/>
    <x v="0"/>
    <x v="0"/>
    <x v="2"/>
    <x v="3"/>
    <x v="20"/>
    <x v="0"/>
    <x v="0"/>
    <n v="5.5844770472856302"/>
    <n v="20.104117370228298"/>
  </r>
  <r>
    <x v="0"/>
    <x v="0"/>
    <x v="0"/>
    <x v="2"/>
    <x v="3"/>
    <x v="20"/>
    <x v="0"/>
    <x v="1"/>
    <n v="5.5844770472856302"/>
    <n v="20.104117370228298"/>
  </r>
  <r>
    <x v="0"/>
    <x v="0"/>
    <x v="0"/>
    <x v="2"/>
    <x v="3"/>
    <x v="20"/>
    <x v="0"/>
    <x v="2"/>
    <n v="5.5844770472856302"/>
    <n v="20.104117370228298"/>
  </r>
  <r>
    <x v="0"/>
    <x v="0"/>
    <x v="0"/>
    <x v="2"/>
    <x v="3"/>
    <x v="20"/>
    <x v="0"/>
    <x v="3"/>
    <n v="5.5844770472856302"/>
    <n v="20.104117370228298"/>
  </r>
  <r>
    <x v="0"/>
    <x v="0"/>
    <x v="0"/>
    <x v="2"/>
    <x v="3"/>
    <x v="20"/>
    <x v="0"/>
    <x v="4"/>
    <n v="5.5844770472856302"/>
    <n v="20.104117370228298"/>
  </r>
  <r>
    <x v="0"/>
    <x v="0"/>
    <x v="0"/>
    <x v="2"/>
    <x v="3"/>
    <x v="20"/>
    <x v="0"/>
    <x v="5"/>
    <n v="7.0404444444444501"/>
    <n v="25.345600000000001"/>
  </r>
  <r>
    <x v="0"/>
    <x v="0"/>
    <x v="0"/>
    <x v="2"/>
    <x v="3"/>
    <x v="20"/>
    <x v="0"/>
    <x v="6"/>
    <n v="7.0404444444444501"/>
    <n v="25.345600000000001"/>
  </r>
  <r>
    <x v="0"/>
    <x v="0"/>
    <x v="0"/>
    <x v="2"/>
    <x v="3"/>
    <x v="20"/>
    <x v="0"/>
    <x v="7"/>
    <n v="7.0404444444444501"/>
    <n v="25.345600000000001"/>
  </r>
  <r>
    <x v="0"/>
    <x v="0"/>
    <x v="0"/>
    <x v="2"/>
    <x v="3"/>
    <x v="20"/>
    <x v="0"/>
    <x v="8"/>
    <n v="7.0404444444444501"/>
    <n v="25.345600000000001"/>
  </r>
  <r>
    <x v="0"/>
    <x v="0"/>
    <x v="0"/>
    <x v="2"/>
    <x v="3"/>
    <x v="20"/>
    <x v="0"/>
    <x v="9"/>
    <n v="7.0404444444444501"/>
    <n v="25.345600000000001"/>
  </r>
  <r>
    <x v="0"/>
    <x v="0"/>
    <x v="0"/>
    <x v="2"/>
    <x v="3"/>
    <x v="20"/>
    <x v="0"/>
    <x v="10"/>
    <n v="7.0404444444444501"/>
    <n v="25.345600000000001"/>
  </r>
  <r>
    <x v="0"/>
    <x v="0"/>
    <x v="0"/>
    <x v="2"/>
    <x v="3"/>
    <x v="20"/>
    <x v="0"/>
    <x v="11"/>
    <n v="7.0404444444444501"/>
    <n v="25.345600000000001"/>
  </r>
  <r>
    <x v="0"/>
    <x v="0"/>
    <x v="0"/>
    <x v="2"/>
    <x v="3"/>
    <x v="20"/>
    <x v="0"/>
    <x v="12"/>
    <n v="7.0404444444444501"/>
    <n v="25.345600000000001"/>
  </r>
  <r>
    <x v="0"/>
    <x v="0"/>
    <x v="0"/>
    <x v="2"/>
    <x v="3"/>
    <x v="20"/>
    <x v="0"/>
    <x v="13"/>
    <n v="7.0404444444444501"/>
    <n v="25.345600000000001"/>
  </r>
  <r>
    <x v="0"/>
    <x v="0"/>
    <x v="0"/>
    <x v="2"/>
    <x v="3"/>
    <x v="20"/>
    <x v="0"/>
    <x v="14"/>
    <n v="7.0404444444444501"/>
    <n v="25.345600000000001"/>
  </r>
  <r>
    <x v="0"/>
    <x v="0"/>
    <x v="0"/>
    <x v="2"/>
    <x v="3"/>
    <x v="20"/>
    <x v="0"/>
    <x v="15"/>
    <n v="7.0404444444444501"/>
    <n v="25.345600000000001"/>
  </r>
  <r>
    <x v="0"/>
    <x v="0"/>
    <x v="0"/>
    <x v="2"/>
    <x v="3"/>
    <x v="20"/>
    <x v="0"/>
    <x v="16"/>
    <n v="7.0404444444444501"/>
    <n v="25.345600000000001"/>
  </r>
  <r>
    <x v="0"/>
    <x v="0"/>
    <x v="0"/>
    <x v="2"/>
    <x v="3"/>
    <x v="20"/>
    <x v="0"/>
    <x v="17"/>
    <n v="7.0404444444444501"/>
    <n v="25.345600000000001"/>
  </r>
  <r>
    <x v="0"/>
    <x v="0"/>
    <x v="0"/>
    <x v="2"/>
    <x v="3"/>
    <x v="20"/>
    <x v="0"/>
    <x v="18"/>
    <n v="7.0404444444444501"/>
    <n v="25.345600000000001"/>
  </r>
  <r>
    <x v="0"/>
    <x v="0"/>
    <x v="0"/>
    <x v="2"/>
    <x v="3"/>
    <x v="20"/>
    <x v="0"/>
    <x v="19"/>
    <n v="5.5844770472856302"/>
    <n v="20.104117370228298"/>
  </r>
  <r>
    <x v="0"/>
    <x v="0"/>
    <x v="0"/>
    <x v="2"/>
    <x v="3"/>
    <x v="20"/>
    <x v="0"/>
    <x v="20"/>
    <n v="5.5844770472856302"/>
    <n v="20.104117370228298"/>
  </r>
  <r>
    <x v="0"/>
    <x v="0"/>
    <x v="0"/>
    <x v="2"/>
    <x v="3"/>
    <x v="20"/>
    <x v="0"/>
    <x v="21"/>
    <n v="5.5844770472856302"/>
    <n v="20.104117370228298"/>
  </r>
  <r>
    <x v="0"/>
    <x v="0"/>
    <x v="0"/>
    <x v="2"/>
    <x v="3"/>
    <x v="20"/>
    <x v="0"/>
    <x v="22"/>
    <n v="5.5844770472856302"/>
    <n v="20.104117370228298"/>
  </r>
  <r>
    <x v="0"/>
    <x v="0"/>
    <x v="0"/>
    <x v="2"/>
    <x v="3"/>
    <x v="20"/>
    <x v="0"/>
    <x v="23"/>
    <n v="5.5844770472856302"/>
    <n v="20.104117370228298"/>
  </r>
  <r>
    <x v="0"/>
    <x v="0"/>
    <x v="0"/>
    <x v="2"/>
    <x v="3"/>
    <x v="21"/>
    <x v="0"/>
    <x v="0"/>
    <n v="7.0404444444444501"/>
    <n v="25.345600000000001"/>
  </r>
  <r>
    <x v="0"/>
    <x v="0"/>
    <x v="0"/>
    <x v="2"/>
    <x v="3"/>
    <x v="21"/>
    <x v="0"/>
    <x v="1"/>
    <n v="6.6884222222222203"/>
    <n v="24.078320000000001"/>
  </r>
  <r>
    <x v="0"/>
    <x v="0"/>
    <x v="0"/>
    <x v="2"/>
    <x v="3"/>
    <x v="21"/>
    <x v="0"/>
    <x v="2"/>
    <n v="7.0404444444444501"/>
    <n v="25.345600000000001"/>
  </r>
  <r>
    <x v="0"/>
    <x v="0"/>
    <x v="0"/>
    <x v="2"/>
    <x v="3"/>
    <x v="21"/>
    <x v="0"/>
    <x v="3"/>
    <n v="7.0404444444444501"/>
    <n v="25.345600000000001"/>
  </r>
  <r>
    <x v="0"/>
    <x v="0"/>
    <x v="0"/>
    <x v="2"/>
    <x v="3"/>
    <x v="21"/>
    <x v="0"/>
    <x v="4"/>
    <n v="7.0404444444444501"/>
    <n v="25.345600000000001"/>
  </r>
  <r>
    <x v="0"/>
    <x v="0"/>
    <x v="0"/>
    <x v="2"/>
    <x v="3"/>
    <x v="21"/>
    <x v="0"/>
    <x v="5"/>
    <n v="7.0404444444444501"/>
    <n v="25.345600000000001"/>
  </r>
  <r>
    <x v="0"/>
    <x v="0"/>
    <x v="0"/>
    <x v="2"/>
    <x v="3"/>
    <x v="21"/>
    <x v="0"/>
    <x v="6"/>
    <n v="7.6138150679673497"/>
    <n v="27.4097342446825"/>
  </r>
  <r>
    <x v="0"/>
    <x v="0"/>
    <x v="0"/>
    <x v="2"/>
    <x v="3"/>
    <x v="21"/>
    <x v="0"/>
    <x v="7"/>
    <n v="7.3925628424917296"/>
    <n v="26.613226232970199"/>
  </r>
  <r>
    <x v="0"/>
    <x v="0"/>
    <x v="0"/>
    <x v="2"/>
    <x v="3"/>
    <x v="21"/>
    <x v="0"/>
    <x v="8"/>
    <n v="7.3925628424917296"/>
    <n v="26.613226232970199"/>
  </r>
  <r>
    <x v="0"/>
    <x v="0"/>
    <x v="0"/>
    <x v="2"/>
    <x v="3"/>
    <x v="21"/>
    <x v="0"/>
    <x v="9"/>
    <n v="7.4261743955068296"/>
    <n v="26.7342278238246"/>
  </r>
  <r>
    <x v="0"/>
    <x v="0"/>
    <x v="0"/>
    <x v="2"/>
    <x v="3"/>
    <x v="21"/>
    <x v="0"/>
    <x v="10"/>
    <n v="7.5197807036108104"/>
    <n v="27.071210532998901"/>
  </r>
  <r>
    <x v="0"/>
    <x v="0"/>
    <x v="0"/>
    <x v="2"/>
    <x v="3"/>
    <x v="21"/>
    <x v="0"/>
    <x v="11"/>
    <n v="7.5756086491296397"/>
    <n v="27.272191136866699"/>
  </r>
  <r>
    <x v="0"/>
    <x v="0"/>
    <x v="0"/>
    <x v="2"/>
    <x v="3"/>
    <x v="21"/>
    <x v="0"/>
    <x v="12"/>
    <n v="7.6596863416910104"/>
    <n v="27.574870830087601"/>
  </r>
  <r>
    <x v="0"/>
    <x v="0"/>
    <x v="0"/>
    <x v="2"/>
    <x v="3"/>
    <x v="21"/>
    <x v="0"/>
    <x v="13"/>
    <n v="7.6596863416910104"/>
    <n v="27.574870830087601"/>
  </r>
  <r>
    <x v="0"/>
    <x v="0"/>
    <x v="0"/>
    <x v="2"/>
    <x v="3"/>
    <x v="21"/>
    <x v="0"/>
    <x v="14"/>
    <n v="7.6596863416910104"/>
    <n v="27.574870830087601"/>
  </r>
  <r>
    <x v="0"/>
    <x v="0"/>
    <x v="0"/>
    <x v="2"/>
    <x v="3"/>
    <x v="21"/>
    <x v="0"/>
    <x v="15"/>
    <n v="7.6094049554863199"/>
    <n v="27.393857839750702"/>
  </r>
  <r>
    <x v="0"/>
    <x v="0"/>
    <x v="0"/>
    <x v="2"/>
    <x v="3"/>
    <x v="21"/>
    <x v="0"/>
    <x v="16"/>
    <n v="7.0404444444444501"/>
    <n v="25.345600000000001"/>
  </r>
  <r>
    <x v="0"/>
    <x v="0"/>
    <x v="0"/>
    <x v="2"/>
    <x v="3"/>
    <x v="21"/>
    <x v="0"/>
    <x v="17"/>
    <n v="7.0404444444444501"/>
    <n v="25.345600000000001"/>
  </r>
  <r>
    <x v="0"/>
    <x v="0"/>
    <x v="0"/>
    <x v="2"/>
    <x v="3"/>
    <x v="21"/>
    <x v="0"/>
    <x v="18"/>
    <n v="7.0404444444444501"/>
    <n v="25.345600000000001"/>
  </r>
  <r>
    <x v="0"/>
    <x v="0"/>
    <x v="0"/>
    <x v="2"/>
    <x v="3"/>
    <x v="21"/>
    <x v="0"/>
    <x v="19"/>
    <n v="7.0404444444444501"/>
    <n v="25.345600000000001"/>
  </r>
  <r>
    <x v="0"/>
    <x v="0"/>
    <x v="0"/>
    <x v="2"/>
    <x v="3"/>
    <x v="21"/>
    <x v="0"/>
    <x v="20"/>
    <n v="7.0404444444444501"/>
    <n v="25.345600000000001"/>
  </r>
  <r>
    <x v="0"/>
    <x v="0"/>
    <x v="0"/>
    <x v="2"/>
    <x v="3"/>
    <x v="21"/>
    <x v="0"/>
    <x v="21"/>
    <n v="7.0404444444444501"/>
    <n v="25.345600000000001"/>
  </r>
  <r>
    <x v="0"/>
    <x v="0"/>
    <x v="0"/>
    <x v="2"/>
    <x v="3"/>
    <x v="21"/>
    <x v="0"/>
    <x v="22"/>
    <n v="7.0404444444444501"/>
    <n v="25.345600000000001"/>
  </r>
  <r>
    <x v="0"/>
    <x v="0"/>
    <x v="0"/>
    <x v="2"/>
    <x v="3"/>
    <x v="21"/>
    <x v="0"/>
    <x v="23"/>
    <n v="6.1007049756967904"/>
    <n v="21.962537912508498"/>
  </r>
  <r>
    <x v="0"/>
    <x v="0"/>
    <x v="0"/>
    <x v="2"/>
    <x v="3"/>
    <x v="22"/>
    <x v="0"/>
    <x v="0"/>
    <n v="8.1022382919135207"/>
    <n v="29.168057850888701"/>
  </r>
  <r>
    <x v="0"/>
    <x v="0"/>
    <x v="0"/>
    <x v="2"/>
    <x v="3"/>
    <x v="22"/>
    <x v="0"/>
    <x v="1"/>
    <n v="8.2326998841322396"/>
    <n v="29.637719582876102"/>
  </r>
  <r>
    <x v="0"/>
    <x v="0"/>
    <x v="0"/>
    <x v="2"/>
    <x v="3"/>
    <x v="22"/>
    <x v="0"/>
    <x v="2"/>
    <n v="8.2326998841322396"/>
    <n v="29.637719582876102"/>
  </r>
  <r>
    <x v="0"/>
    <x v="0"/>
    <x v="0"/>
    <x v="2"/>
    <x v="3"/>
    <x v="22"/>
    <x v="0"/>
    <x v="3"/>
    <n v="8.1022382919135207"/>
    <n v="29.168057850888701"/>
  </r>
  <r>
    <x v="0"/>
    <x v="0"/>
    <x v="0"/>
    <x v="2"/>
    <x v="3"/>
    <x v="22"/>
    <x v="0"/>
    <x v="4"/>
    <n v="8.0502343490912001"/>
    <n v="28.9808436567283"/>
  </r>
  <r>
    <x v="0"/>
    <x v="0"/>
    <x v="0"/>
    <x v="2"/>
    <x v="3"/>
    <x v="22"/>
    <x v="0"/>
    <x v="5"/>
    <n v="7.8398968054276699"/>
    <n v="28.223628499539601"/>
  </r>
  <r>
    <x v="0"/>
    <x v="0"/>
    <x v="0"/>
    <x v="2"/>
    <x v="3"/>
    <x v="22"/>
    <x v="0"/>
    <x v="6"/>
    <n v="7.5333464858437003"/>
    <n v="27.1200473490373"/>
  </r>
  <r>
    <x v="0"/>
    <x v="0"/>
    <x v="0"/>
    <x v="2"/>
    <x v="3"/>
    <x v="22"/>
    <x v="0"/>
    <x v="7"/>
    <n v="7.1840599776055303"/>
    <n v="25.862615919379898"/>
  </r>
  <r>
    <x v="0"/>
    <x v="0"/>
    <x v="0"/>
    <x v="2"/>
    <x v="3"/>
    <x v="22"/>
    <x v="0"/>
    <x v="8"/>
    <n v="7.1840599776055303"/>
    <n v="25.862615919379898"/>
  </r>
  <r>
    <x v="0"/>
    <x v="0"/>
    <x v="0"/>
    <x v="2"/>
    <x v="3"/>
    <x v="22"/>
    <x v="0"/>
    <x v="9"/>
    <n v="7.2371218709440903"/>
    <n v="26.0536387353987"/>
  </r>
  <r>
    <x v="0"/>
    <x v="0"/>
    <x v="0"/>
    <x v="2"/>
    <x v="3"/>
    <x v="22"/>
    <x v="0"/>
    <x v="10"/>
    <n v="7.38489629642803"/>
    <n v="26.5856266671409"/>
  </r>
  <r>
    <x v="0"/>
    <x v="0"/>
    <x v="0"/>
    <x v="2"/>
    <x v="3"/>
    <x v="22"/>
    <x v="0"/>
    <x v="11"/>
    <n v="7.4730307687953301"/>
    <n v="26.902910767663201"/>
  </r>
  <r>
    <x v="0"/>
    <x v="0"/>
    <x v="0"/>
    <x v="2"/>
    <x v="3"/>
    <x v="22"/>
    <x v="0"/>
    <x v="12"/>
    <n v="7.6057625575597196"/>
    <n v="27.380745207215"/>
  </r>
  <r>
    <x v="0"/>
    <x v="0"/>
    <x v="0"/>
    <x v="2"/>
    <x v="3"/>
    <x v="22"/>
    <x v="0"/>
    <x v="13"/>
    <n v="7.6057625575597196"/>
    <n v="27.380745207215"/>
  </r>
  <r>
    <x v="0"/>
    <x v="0"/>
    <x v="0"/>
    <x v="2"/>
    <x v="3"/>
    <x v="22"/>
    <x v="0"/>
    <x v="14"/>
    <n v="7.6057625575597196"/>
    <n v="27.380745207215"/>
  </r>
  <r>
    <x v="0"/>
    <x v="0"/>
    <x v="0"/>
    <x v="2"/>
    <x v="3"/>
    <x v="22"/>
    <x v="0"/>
    <x v="15"/>
    <n v="7.5263843285766798"/>
    <n v="27.0949835828761"/>
  </r>
  <r>
    <x v="0"/>
    <x v="0"/>
    <x v="0"/>
    <x v="2"/>
    <x v="3"/>
    <x v="22"/>
    <x v="0"/>
    <x v="16"/>
    <n v="7.5263843285766798"/>
    <n v="27.0949835828761"/>
  </r>
  <r>
    <x v="0"/>
    <x v="0"/>
    <x v="0"/>
    <x v="2"/>
    <x v="3"/>
    <x v="22"/>
    <x v="0"/>
    <x v="17"/>
    <n v="7.5263843285766798"/>
    <n v="27.0949835828761"/>
  </r>
  <r>
    <x v="0"/>
    <x v="0"/>
    <x v="0"/>
    <x v="2"/>
    <x v="3"/>
    <x v="22"/>
    <x v="0"/>
    <x v="18"/>
    <n v="7.3844013024148598"/>
    <n v="26.5838446886935"/>
  </r>
  <r>
    <x v="0"/>
    <x v="0"/>
    <x v="0"/>
    <x v="2"/>
    <x v="3"/>
    <x v="22"/>
    <x v="0"/>
    <x v="19"/>
    <n v="7.5263843285766798"/>
    <n v="27.0949835828761"/>
  </r>
  <r>
    <x v="0"/>
    <x v="0"/>
    <x v="0"/>
    <x v="2"/>
    <x v="3"/>
    <x v="22"/>
    <x v="0"/>
    <x v="20"/>
    <n v="7.7029632174655696"/>
    <n v="27.730667582876102"/>
  </r>
  <r>
    <x v="0"/>
    <x v="0"/>
    <x v="0"/>
    <x v="2"/>
    <x v="3"/>
    <x v="22"/>
    <x v="0"/>
    <x v="21"/>
    <n v="7.6709651420115597"/>
    <n v="27.615474511241601"/>
  </r>
  <r>
    <x v="0"/>
    <x v="0"/>
    <x v="0"/>
    <x v="2"/>
    <x v="3"/>
    <x v="22"/>
    <x v="0"/>
    <x v="22"/>
    <n v="7.8398968054276699"/>
    <n v="28.223628499539601"/>
  </r>
  <r>
    <x v="0"/>
    <x v="0"/>
    <x v="0"/>
    <x v="2"/>
    <x v="3"/>
    <x v="22"/>
    <x v="0"/>
    <x v="23"/>
    <n v="8.0561209952433508"/>
    <n v="29.002035582876101"/>
  </r>
  <r>
    <x v="0"/>
    <x v="0"/>
    <x v="0"/>
    <x v="3"/>
    <x v="4"/>
    <x v="23"/>
    <x v="0"/>
    <x v="0"/>
    <n v="-1.04849587391238"/>
    <n v="-3.7745851460845801"/>
  </r>
  <r>
    <x v="0"/>
    <x v="0"/>
    <x v="0"/>
    <x v="3"/>
    <x v="4"/>
    <x v="23"/>
    <x v="0"/>
    <x v="1"/>
    <n v="-1.04849587391238"/>
    <n v="-3.7745851460845801"/>
  </r>
  <r>
    <x v="0"/>
    <x v="0"/>
    <x v="0"/>
    <x v="3"/>
    <x v="4"/>
    <x v="23"/>
    <x v="0"/>
    <x v="2"/>
    <n v="-1.04849587391239"/>
    <n v="-3.7745851460845898"/>
  </r>
  <r>
    <x v="0"/>
    <x v="0"/>
    <x v="0"/>
    <x v="3"/>
    <x v="4"/>
    <x v="23"/>
    <x v="0"/>
    <x v="3"/>
    <n v="-1.04849587391239"/>
    <n v="-3.7745851460845898"/>
  </r>
  <r>
    <x v="0"/>
    <x v="0"/>
    <x v="0"/>
    <x v="3"/>
    <x v="4"/>
    <x v="23"/>
    <x v="0"/>
    <x v="4"/>
    <n v="-1.04849587391239"/>
    <n v="-3.7745851460845898"/>
  </r>
  <r>
    <x v="0"/>
    <x v="0"/>
    <x v="0"/>
    <x v="3"/>
    <x v="4"/>
    <x v="23"/>
    <x v="0"/>
    <x v="5"/>
    <n v="-1.04849587391239"/>
    <n v="-3.7745851460845898"/>
  </r>
  <r>
    <x v="0"/>
    <x v="0"/>
    <x v="0"/>
    <x v="3"/>
    <x v="4"/>
    <x v="23"/>
    <x v="0"/>
    <x v="6"/>
    <n v="-1.04849587391239"/>
    <n v="-3.7745851460845898"/>
  </r>
  <r>
    <x v="0"/>
    <x v="0"/>
    <x v="0"/>
    <x v="3"/>
    <x v="4"/>
    <x v="23"/>
    <x v="0"/>
    <x v="7"/>
    <n v="-1.04849587391239"/>
    <n v="-3.7745851460845898"/>
  </r>
  <r>
    <x v="0"/>
    <x v="0"/>
    <x v="0"/>
    <x v="3"/>
    <x v="4"/>
    <x v="23"/>
    <x v="0"/>
    <x v="8"/>
    <n v="-1.04849587391239"/>
    <n v="-3.7745851460845898"/>
  </r>
  <r>
    <x v="0"/>
    <x v="0"/>
    <x v="0"/>
    <x v="3"/>
    <x v="4"/>
    <x v="23"/>
    <x v="0"/>
    <x v="9"/>
    <n v="-1.04849587391239"/>
    <n v="-3.7745851460845898"/>
  </r>
  <r>
    <x v="0"/>
    <x v="0"/>
    <x v="0"/>
    <x v="3"/>
    <x v="4"/>
    <x v="23"/>
    <x v="0"/>
    <x v="10"/>
    <n v="-1.04849587391239"/>
    <n v="-3.7745851460845898"/>
  </r>
  <r>
    <x v="0"/>
    <x v="0"/>
    <x v="0"/>
    <x v="3"/>
    <x v="4"/>
    <x v="23"/>
    <x v="0"/>
    <x v="11"/>
    <n v="-1.04849587391239"/>
    <n v="-3.7745851460845898"/>
  </r>
  <r>
    <x v="0"/>
    <x v="0"/>
    <x v="0"/>
    <x v="3"/>
    <x v="4"/>
    <x v="23"/>
    <x v="0"/>
    <x v="12"/>
    <n v="-1.04849587391239"/>
    <n v="-3.7745851460845898"/>
  </r>
  <r>
    <x v="0"/>
    <x v="0"/>
    <x v="0"/>
    <x v="3"/>
    <x v="4"/>
    <x v="23"/>
    <x v="0"/>
    <x v="13"/>
    <n v="-1.04849587391239"/>
    <n v="-3.7745851460845898"/>
  </r>
  <r>
    <x v="0"/>
    <x v="0"/>
    <x v="0"/>
    <x v="3"/>
    <x v="4"/>
    <x v="23"/>
    <x v="0"/>
    <x v="14"/>
    <n v="-1.04849587391239"/>
    <n v="-3.7745851460845898"/>
  </r>
  <r>
    <x v="0"/>
    <x v="0"/>
    <x v="0"/>
    <x v="3"/>
    <x v="4"/>
    <x v="23"/>
    <x v="0"/>
    <x v="15"/>
    <n v="-1.04849587391239"/>
    <n v="-3.7745851460845898"/>
  </r>
  <r>
    <x v="0"/>
    <x v="0"/>
    <x v="0"/>
    <x v="3"/>
    <x v="4"/>
    <x v="23"/>
    <x v="0"/>
    <x v="16"/>
    <n v="-1.04849587391239"/>
    <n v="-3.7745851460845898"/>
  </r>
  <r>
    <x v="0"/>
    <x v="0"/>
    <x v="0"/>
    <x v="3"/>
    <x v="4"/>
    <x v="23"/>
    <x v="0"/>
    <x v="17"/>
    <n v="-1.04849587391239"/>
    <n v="-3.7745851460845898"/>
  </r>
  <r>
    <x v="0"/>
    <x v="0"/>
    <x v="0"/>
    <x v="3"/>
    <x v="4"/>
    <x v="23"/>
    <x v="0"/>
    <x v="18"/>
    <n v="-1.04849587391239"/>
    <n v="-3.7745851460845898"/>
  </r>
  <r>
    <x v="0"/>
    <x v="0"/>
    <x v="0"/>
    <x v="3"/>
    <x v="4"/>
    <x v="23"/>
    <x v="0"/>
    <x v="19"/>
    <n v="-1.04849587391239"/>
    <n v="-3.7745851460845898"/>
  </r>
  <r>
    <x v="0"/>
    <x v="0"/>
    <x v="0"/>
    <x v="3"/>
    <x v="4"/>
    <x v="23"/>
    <x v="0"/>
    <x v="20"/>
    <n v="-1.04849587391239"/>
    <n v="-3.7745851460845898"/>
  </r>
  <r>
    <x v="0"/>
    <x v="0"/>
    <x v="0"/>
    <x v="3"/>
    <x v="4"/>
    <x v="23"/>
    <x v="0"/>
    <x v="21"/>
    <n v="-1.04849587391239"/>
    <n v="-3.7745851460845898"/>
  </r>
  <r>
    <x v="0"/>
    <x v="0"/>
    <x v="0"/>
    <x v="3"/>
    <x v="4"/>
    <x v="23"/>
    <x v="0"/>
    <x v="22"/>
    <n v="-1.04849587391239"/>
    <n v="-3.7745851460845898"/>
  </r>
  <r>
    <x v="0"/>
    <x v="0"/>
    <x v="0"/>
    <x v="3"/>
    <x v="4"/>
    <x v="23"/>
    <x v="0"/>
    <x v="23"/>
    <n v="-0.99607108021676605"/>
    <n v="-3.58585588878036"/>
  </r>
  <r>
    <x v="0"/>
    <x v="0"/>
    <x v="0"/>
    <x v="3"/>
    <x v="5"/>
    <x v="24"/>
    <x v="0"/>
    <x v="0"/>
    <n v="6.4138065010158796"/>
    <n v="23.0897034036572"/>
  </r>
  <r>
    <x v="0"/>
    <x v="0"/>
    <x v="0"/>
    <x v="3"/>
    <x v="5"/>
    <x v="24"/>
    <x v="0"/>
    <x v="1"/>
    <n v="6.4138065010158796"/>
    <n v="23.0897034036572"/>
  </r>
  <r>
    <x v="0"/>
    <x v="0"/>
    <x v="0"/>
    <x v="3"/>
    <x v="5"/>
    <x v="24"/>
    <x v="0"/>
    <x v="2"/>
    <n v="6.4138065010158796"/>
    <n v="23.0897034036572"/>
  </r>
  <r>
    <x v="0"/>
    <x v="0"/>
    <x v="0"/>
    <x v="3"/>
    <x v="5"/>
    <x v="24"/>
    <x v="0"/>
    <x v="3"/>
    <n v="6.4138065010158796"/>
    <n v="23.0897034036572"/>
  </r>
  <r>
    <x v="0"/>
    <x v="0"/>
    <x v="0"/>
    <x v="3"/>
    <x v="5"/>
    <x v="24"/>
    <x v="0"/>
    <x v="4"/>
    <n v="6.4138065010158796"/>
    <n v="23.0897034036572"/>
  </r>
  <r>
    <x v="0"/>
    <x v="0"/>
    <x v="0"/>
    <x v="3"/>
    <x v="5"/>
    <x v="24"/>
    <x v="0"/>
    <x v="5"/>
    <n v="6.4138065010158796"/>
    <n v="23.0897034036572"/>
  </r>
  <r>
    <x v="0"/>
    <x v="0"/>
    <x v="0"/>
    <x v="3"/>
    <x v="5"/>
    <x v="24"/>
    <x v="0"/>
    <x v="6"/>
    <n v="7.5087059074568199"/>
    <n v="27.031341266844599"/>
  </r>
  <r>
    <x v="0"/>
    <x v="0"/>
    <x v="0"/>
    <x v="3"/>
    <x v="5"/>
    <x v="24"/>
    <x v="0"/>
    <x v="7"/>
    <n v="7.9134228167920799"/>
    <n v="28.488322140451501"/>
  </r>
  <r>
    <x v="0"/>
    <x v="0"/>
    <x v="0"/>
    <x v="3"/>
    <x v="5"/>
    <x v="24"/>
    <x v="0"/>
    <x v="8"/>
    <n v="7.9134228167920799"/>
    <n v="28.488322140451501"/>
  </r>
  <r>
    <x v="0"/>
    <x v="0"/>
    <x v="0"/>
    <x v="3"/>
    <x v="5"/>
    <x v="24"/>
    <x v="0"/>
    <x v="9"/>
    <n v="7.9134228167920799"/>
    <n v="28.488322140451501"/>
  </r>
  <r>
    <x v="0"/>
    <x v="0"/>
    <x v="0"/>
    <x v="3"/>
    <x v="5"/>
    <x v="24"/>
    <x v="0"/>
    <x v="10"/>
    <n v="7.9134228167920799"/>
    <n v="28.488322140451501"/>
  </r>
  <r>
    <x v="0"/>
    <x v="0"/>
    <x v="0"/>
    <x v="3"/>
    <x v="5"/>
    <x v="24"/>
    <x v="0"/>
    <x v="11"/>
    <n v="7.9134228167920799"/>
    <n v="28.488322140451501"/>
  </r>
  <r>
    <x v="0"/>
    <x v="0"/>
    <x v="0"/>
    <x v="3"/>
    <x v="5"/>
    <x v="24"/>
    <x v="0"/>
    <x v="12"/>
    <n v="7.9134228167920799"/>
    <n v="28.488322140451501"/>
  </r>
  <r>
    <x v="0"/>
    <x v="0"/>
    <x v="0"/>
    <x v="3"/>
    <x v="5"/>
    <x v="24"/>
    <x v="0"/>
    <x v="13"/>
    <n v="7.9134228167920799"/>
    <n v="28.488322140451501"/>
  </r>
  <r>
    <x v="0"/>
    <x v="0"/>
    <x v="0"/>
    <x v="3"/>
    <x v="5"/>
    <x v="24"/>
    <x v="0"/>
    <x v="14"/>
    <n v="7.9134228167920799"/>
    <n v="28.488322140451501"/>
  </r>
  <r>
    <x v="0"/>
    <x v="0"/>
    <x v="0"/>
    <x v="3"/>
    <x v="5"/>
    <x v="24"/>
    <x v="0"/>
    <x v="15"/>
    <n v="7.9134228167920799"/>
    <n v="28.488322140451501"/>
  </r>
  <r>
    <x v="0"/>
    <x v="0"/>
    <x v="0"/>
    <x v="3"/>
    <x v="5"/>
    <x v="24"/>
    <x v="0"/>
    <x v="16"/>
    <n v="7.9134228167920799"/>
    <n v="28.488322140451501"/>
  </r>
  <r>
    <x v="0"/>
    <x v="0"/>
    <x v="0"/>
    <x v="3"/>
    <x v="5"/>
    <x v="24"/>
    <x v="0"/>
    <x v="17"/>
    <n v="7.9134228167920799"/>
    <n v="28.488322140451501"/>
  </r>
  <r>
    <x v="0"/>
    <x v="0"/>
    <x v="0"/>
    <x v="3"/>
    <x v="5"/>
    <x v="24"/>
    <x v="0"/>
    <x v="18"/>
    <n v="7.9134228167920799"/>
    <n v="28.488322140451501"/>
  </r>
  <r>
    <x v="0"/>
    <x v="0"/>
    <x v="0"/>
    <x v="3"/>
    <x v="5"/>
    <x v="24"/>
    <x v="0"/>
    <x v="19"/>
    <n v="7.9134228167920799"/>
    <n v="28.488322140451501"/>
  </r>
  <r>
    <x v="0"/>
    <x v="0"/>
    <x v="0"/>
    <x v="3"/>
    <x v="5"/>
    <x v="24"/>
    <x v="0"/>
    <x v="20"/>
    <n v="7.9134228167920799"/>
    <n v="28.488322140451501"/>
  </r>
  <r>
    <x v="0"/>
    <x v="0"/>
    <x v="0"/>
    <x v="3"/>
    <x v="5"/>
    <x v="24"/>
    <x v="0"/>
    <x v="21"/>
    <n v="6.6706595880383901"/>
    <n v="24.014374516938201"/>
  </r>
  <r>
    <x v="0"/>
    <x v="0"/>
    <x v="0"/>
    <x v="3"/>
    <x v="5"/>
    <x v="24"/>
    <x v="0"/>
    <x v="22"/>
    <n v="6.4138065010158796"/>
    <n v="23.0897034036572"/>
  </r>
  <r>
    <x v="0"/>
    <x v="0"/>
    <x v="0"/>
    <x v="3"/>
    <x v="5"/>
    <x v="24"/>
    <x v="0"/>
    <x v="23"/>
    <n v="6.4138065010158796"/>
    <n v="23.0897034036572"/>
  </r>
  <r>
    <x v="0"/>
    <x v="0"/>
    <x v="0"/>
    <x v="3"/>
    <x v="6"/>
    <x v="25"/>
    <x v="0"/>
    <x v="0"/>
    <n v="-7.0346341116116595E-2"/>
    <n v="-0.25324682801802001"/>
  </r>
  <r>
    <x v="0"/>
    <x v="0"/>
    <x v="0"/>
    <x v="3"/>
    <x v="6"/>
    <x v="25"/>
    <x v="0"/>
    <x v="1"/>
    <n v="-7.0346341116116595E-2"/>
    <n v="-0.25324682801802001"/>
  </r>
  <r>
    <x v="0"/>
    <x v="0"/>
    <x v="0"/>
    <x v="3"/>
    <x v="6"/>
    <x v="25"/>
    <x v="0"/>
    <x v="2"/>
    <n v="-7.0346341116116595E-2"/>
    <n v="-0.25324682801802001"/>
  </r>
  <r>
    <x v="0"/>
    <x v="0"/>
    <x v="0"/>
    <x v="3"/>
    <x v="6"/>
    <x v="25"/>
    <x v="0"/>
    <x v="3"/>
    <n v="-7.0346341116116595E-2"/>
    <n v="-0.25324682801802001"/>
  </r>
  <r>
    <x v="0"/>
    <x v="0"/>
    <x v="0"/>
    <x v="3"/>
    <x v="6"/>
    <x v="25"/>
    <x v="0"/>
    <x v="4"/>
    <n v="-7.0346341116116595E-2"/>
    <n v="-0.25324682801802001"/>
  </r>
  <r>
    <x v="0"/>
    <x v="0"/>
    <x v="0"/>
    <x v="3"/>
    <x v="6"/>
    <x v="25"/>
    <x v="0"/>
    <x v="5"/>
    <n v="-0.39585489081745101"/>
    <n v="-1.4250776069428199"/>
  </r>
  <r>
    <x v="0"/>
    <x v="0"/>
    <x v="0"/>
    <x v="3"/>
    <x v="6"/>
    <x v="25"/>
    <x v="0"/>
    <x v="6"/>
    <n v="-0.72092783363407298"/>
    <n v="-2.5953402010826601"/>
  </r>
  <r>
    <x v="0"/>
    <x v="0"/>
    <x v="0"/>
    <x v="3"/>
    <x v="6"/>
    <x v="25"/>
    <x v="0"/>
    <x v="7"/>
    <n v="-0.72092783363407298"/>
    <n v="-2.5953402010826601"/>
  </r>
  <r>
    <x v="0"/>
    <x v="0"/>
    <x v="0"/>
    <x v="3"/>
    <x v="6"/>
    <x v="25"/>
    <x v="0"/>
    <x v="8"/>
    <n v="-0.72092783363407298"/>
    <n v="-2.5953402010826601"/>
  </r>
  <r>
    <x v="0"/>
    <x v="0"/>
    <x v="0"/>
    <x v="3"/>
    <x v="6"/>
    <x v="25"/>
    <x v="0"/>
    <x v="9"/>
    <n v="-0.72092783363407298"/>
    <n v="-2.5953402010826601"/>
  </r>
  <r>
    <x v="0"/>
    <x v="0"/>
    <x v="0"/>
    <x v="3"/>
    <x v="6"/>
    <x v="25"/>
    <x v="0"/>
    <x v="10"/>
    <n v="-0.72092783363407298"/>
    <n v="-2.5953402010826601"/>
  </r>
  <r>
    <x v="0"/>
    <x v="0"/>
    <x v="0"/>
    <x v="3"/>
    <x v="6"/>
    <x v="25"/>
    <x v="0"/>
    <x v="11"/>
    <n v="-0.62978126322845696"/>
    <n v="-2.2672125476224498"/>
  </r>
  <r>
    <x v="0"/>
    <x v="0"/>
    <x v="0"/>
    <x v="3"/>
    <x v="6"/>
    <x v="25"/>
    <x v="0"/>
    <x v="12"/>
    <n v="-0.62978126322845696"/>
    <n v="-2.2672125476224498"/>
  </r>
  <r>
    <x v="0"/>
    <x v="0"/>
    <x v="0"/>
    <x v="3"/>
    <x v="6"/>
    <x v="25"/>
    <x v="0"/>
    <x v="13"/>
    <n v="-0.62978126322845696"/>
    <n v="-2.2672125476224498"/>
  </r>
  <r>
    <x v="0"/>
    <x v="0"/>
    <x v="0"/>
    <x v="3"/>
    <x v="6"/>
    <x v="25"/>
    <x v="0"/>
    <x v="14"/>
    <n v="-0.62978126322845696"/>
    <n v="-2.2672125476224498"/>
  </r>
  <r>
    <x v="0"/>
    <x v="0"/>
    <x v="0"/>
    <x v="3"/>
    <x v="6"/>
    <x v="25"/>
    <x v="0"/>
    <x v="15"/>
    <n v="-0.66292764550363903"/>
    <n v="-2.3865395238131"/>
  </r>
  <r>
    <x v="0"/>
    <x v="0"/>
    <x v="0"/>
    <x v="3"/>
    <x v="6"/>
    <x v="25"/>
    <x v="0"/>
    <x v="16"/>
    <n v="-0.66292764550363903"/>
    <n v="-2.3865395238131"/>
  </r>
  <r>
    <x v="0"/>
    <x v="0"/>
    <x v="0"/>
    <x v="3"/>
    <x v="6"/>
    <x v="25"/>
    <x v="0"/>
    <x v="17"/>
    <n v="-0.66292764550363903"/>
    <n v="-2.3865395238131"/>
  </r>
  <r>
    <x v="0"/>
    <x v="0"/>
    <x v="0"/>
    <x v="3"/>
    <x v="6"/>
    <x v="25"/>
    <x v="0"/>
    <x v="18"/>
    <n v="-0.66292764550363903"/>
    <n v="-2.3865395238131"/>
  </r>
  <r>
    <x v="0"/>
    <x v="0"/>
    <x v="0"/>
    <x v="3"/>
    <x v="6"/>
    <x v="25"/>
    <x v="0"/>
    <x v="19"/>
    <n v="-0.62978126322845696"/>
    <n v="-2.2672125476224498"/>
  </r>
  <r>
    <x v="0"/>
    <x v="0"/>
    <x v="0"/>
    <x v="3"/>
    <x v="6"/>
    <x v="25"/>
    <x v="0"/>
    <x v="20"/>
    <n v="-0.62978126322845696"/>
    <n v="-2.2672125476224498"/>
  </r>
  <r>
    <x v="0"/>
    <x v="0"/>
    <x v="0"/>
    <x v="3"/>
    <x v="6"/>
    <x v="25"/>
    <x v="0"/>
    <x v="21"/>
    <n v="-7.0346341116116595E-2"/>
    <n v="-0.25324682801802001"/>
  </r>
  <r>
    <x v="0"/>
    <x v="0"/>
    <x v="0"/>
    <x v="3"/>
    <x v="6"/>
    <x v="25"/>
    <x v="0"/>
    <x v="22"/>
    <n v="-7.0346341116116595E-2"/>
    <n v="-0.25324682801802001"/>
  </r>
  <r>
    <x v="0"/>
    <x v="0"/>
    <x v="0"/>
    <x v="3"/>
    <x v="6"/>
    <x v="25"/>
    <x v="0"/>
    <x v="23"/>
    <n v="-7.0346341116116595E-2"/>
    <n v="-0.25324682801802001"/>
  </r>
  <r>
    <x v="0"/>
    <x v="0"/>
    <x v="0"/>
    <x v="3"/>
    <x v="7"/>
    <x v="26"/>
    <x v="0"/>
    <x v="0"/>
    <n v="-1.04849587391239"/>
    <n v="-3.7745851460845898"/>
  </r>
  <r>
    <x v="0"/>
    <x v="0"/>
    <x v="0"/>
    <x v="3"/>
    <x v="7"/>
    <x v="26"/>
    <x v="0"/>
    <x v="1"/>
    <n v="-1.04849587391239"/>
    <n v="-3.7745851460845898"/>
  </r>
  <r>
    <x v="0"/>
    <x v="0"/>
    <x v="0"/>
    <x v="3"/>
    <x v="7"/>
    <x v="26"/>
    <x v="0"/>
    <x v="2"/>
    <n v="-1.04849587391239"/>
    <n v="-3.7745851460845898"/>
  </r>
  <r>
    <x v="0"/>
    <x v="0"/>
    <x v="0"/>
    <x v="3"/>
    <x v="7"/>
    <x v="26"/>
    <x v="0"/>
    <x v="3"/>
    <n v="-1.04849587391239"/>
    <n v="-3.7745851460845898"/>
  </r>
  <r>
    <x v="0"/>
    <x v="0"/>
    <x v="0"/>
    <x v="3"/>
    <x v="7"/>
    <x v="26"/>
    <x v="0"/>
    <x v="4"/>
    <n v="-1.04849587391239"/>
    <n v="-3.7745851460845898"/>
  </r>
  <r>
    <x v="0"/>
    <x v="0"/>
    <x v="0"/>
    <x v="3"/>
    <x v="7"/>
    <x v="26"/>
    <x v="0"/>
    <x v="5"/>
    <n v="-1.04849587391239"/>
    <n v="-3.7745851460845898"/>
  </r>
  <r>
    <x v="0"/>
    <x v="0"/>
    <x v="0"/>
    <x v="3"/>
    <x v="7"/>
    <x v="26"/>
    <x v="0"/>
    <x v="6"/>
    <n v="-1.04849587391239"/>
    <n v="-3.7745851460845898"/>
  </r>
  <r>
    <x v="0"/>
    <x v="0"/>
    <x v="0"/>
    <x v="3"/>
    <x v="7"/>
    <x v="26"/>
    <x v="0"/>
    <x v="7"/>
    <n v="-1.04849587391239"/>
    <n v="-3.7745851460845898"/>
  </r>
  <r>
    <x v="0"/>
    <x v="0"/>
    <x v="0"/>
    <x v="3"/>
    <x v="7"/>
    <x v="26"/>
    <x v="0"/>
    <x v="8"/>
    <n v="-1.04849587391239"/>
    <n v="-3.7745851460845898"/>
  </r>
  <r>
    <x v="0"/>
    <x v="0"/>
    <x v="0"/>
    <x v="3"/>
    <x v="7"/>
    <x v="26"/>
    <x v="0"/>
    <x v="9"/>
    <n v="-1.04849587391239"/>
    <n v="-3.7745851460845898"/>
  </r>
  <r>
    <x v="0"/>
    <x v="0"/>
    <x v="0"/>
    <x v="3"/>
    <x v="7"/>
    <x v="26"/>
    <x v="0"/>
    <x v="10"/>
    <n v="-1.04849587391239"/>
    <n v="-3.7745851460845898"/>
  </r>
  <r>
    <x v="0"/>
    <x v="0"/>
    <x v="0"/>
    <x v="3"/>
    <x v="7"/>
    <x v="26"/>
    <x v="0"/>
    <x v="11"/>
    <n v="-1.04849587391239"/>
    <n v="-3.7745851460845898"/>
  </r>
  <r>
    <x v="0"/>
    <x v="0"/>
    <x v="0"/>
    <x v="3"/>
    <x v="7"/>
    <x v="26"/>
    <x v="0"/>
    <x v="12"/>
    <n v="-1.04849587391239"/>
    <n v="-3.7745851460845898"/>
  </r>
  <r>
    <x v="0"/>
    <x v="0"/>
    <x v="0"/>
    <x v="3"/>
    <x v="7"/>
    <x v="26"/>
    <x v="0"/>
    <x v="13"/>
    <n v="-1.04849587391239"/>
    <n v="-3.7745851460845898"/>
  </r>
  <r>
    <x v="0"/>
    <x v="0"/>
    <x v="0"/>
    <x v="3"/>
    <x v="7"/>
    <x v="26"/>
    <x v="0"/>
    <x v="14"/>
    <n v="-1.04849587391239"/>
    <n v="-3.7745851460845898"/>
  </r>
  <r>
    <x v="0"/>
    <x v="0"/>
    <x v="0"/>
    <x v="3"/>
    <x v="7"/>
    <x v="26"/>
    <x v="0"/>
    <x v="15"/>
    <n v="-1.04849587391239"/>
    <n v="-3.7745851460845898"/>
  </r>
  <r>
    <x v="0"/>
    <x v="0"/>
    <x v="0"/>
    <x v="3"/>
    <x v="7"/>
    <x v="26"/>
    <x v="0"/>
    <x v="16"/>
    <n v="-1.04849587391239"/>
    <n v="-3.7745851460845898"/>
  </r>
  <r>
    <x v="0"/>
    <x v="0"/>
    <x v="0"/>
    <x v="3"/>
    <x v="7"/>
    <x v="26"/>
    <x v="0"/>
    <x v="17"/>
    <n v="-1.04849587391239"/>
    <n v="-3.7745851460845898"/>
  </r>
  <r>
    <x v="0"/>
    <x v="0"/>
    <x v="0"/>
    <x v="3"/>
    <x v="7"/>
    <x v="26"/>
    <x v="0"/>
    <x v="18"/>
    <n v="-1.04849587391239"/>
    <n v="-3.7745851460845898"/>
  </r>
  <r>
    <x v="0"/>
    <x v="0"/>
    <x v="0"/>
    <x v="3"/>
    <x v="7"/>
    <x v="26"/>
    <x v="0"/>
    <x v="19"/>
    <n v="-1.04849587391239"/>
    <n v="-3.7745851460845898"/>
  </r>
  <r>
    <x v="0"/>
    <x v="0"/>
    <x v="0"/>
    <x v="3"/>
    <x v="7"/>
    <x v="26"/>
    <x v="0"/>
    <x v="20"/>
    <n v="-1.04849587391239"/>
    <n v="-3.7745851460845898"/>
  </r>
  <r>
    <x v="0"/>
    <x v="0"/>
    <x v="0"/>
    <x v="3"/>
    <x v="7"/>
    <x v="26"/>
    <x v="0"/>
    <x v="21"/>
    <n v="-1.04849587391239"/>
    <n v="-3.7745851460845898"/>
  </r>
  <r>
    <x v="0"/>
    <x v="0"/>
    <x v="0"/>
    <x v="3"/>
    <x v="7"/>
    <x v="26"/>
    <x v="0"/>
    <x v="22"/>
    <n v="-1.04849587391239"/>
    <n v="-3.7745851460845898"/>
  </r>
  <r>
    <x v="0"/>
    <x v="0"/>
    <x v="0"/>
    <x v="3"/>
    <x v="7"/>
    <x v="26"/>
    <x v="0"/>
    <x v="23"/>
    <n v="-0.99607108021676605"/>
    <n v="-3.58585588878036"/>
  </r>
  <r>
    <x v="0"/>
    <x v="0"/>
    <x v="0"/>
    <x v="4"/>
    <x v="8"/>
    <x v="27"/>
    <x v="0"/>
    <x v="0"/>
    <n v="0.78219470650008205"/>
    <n v="2.8159009434003002"/>
  </r>
  <r>
    <x v="0"/>
    <x v="0"/>
    <x v="0"/>
    <x v="4"/>
    <x v="8"/>
    <x v="27"/>
    <x v="0"/>
    <x v="1"/>
    <n v="0.78219470650008205"/>
    <n v="2.8159009434003002"/>
  </r>
  <r>
    <x v="0"/>
    <x v="0"/>
    <x v="0"/>
    <x v="4"/>
    <x v="8"/>
    <x v="27"/>
    <x v="0"/>
    <x v="2"/>
    <n v="0.78219470650008205"/>
    <n v="2.8159009434003002"/>
  </r>
  <r>
    <x v="0"/>
    <x v="0"/>
    <x v="0"/>
    <x v="4"/>
    <x v="8"/>
    <x v="27"/>
    <x v="0"/>
    <x v="3"/>
    <n v="0.78219470650008205"/>
    <n v="2.8159009434003002"/>
  </r>
  <r>
    <x v="0"/>
    <x v="0"/>
    <x v="0"/>
    <x v="4"/>
    <x v="8"/>
    <x v="27"/>
    <x v="0"/>
    <x v="4"/>
    <n v="0.78219470650008205"/>
    <n v="2.8159009434003002"/>
  </r>
  <r>
    <x v="0"/>
    <x v="0"/>
    <x v="0"/>
    <x v="4"/>
    <x v="8"/>
    <x v="27"/>
    <x v="0"/>
    <x v="5"/>
    <n v="0.78219470650008205"/>
    <n v="2.8159009434003002"/>
  </r>
  <r>
    <x v="0"/>
    <x v="0"/>
    <x v="0"/>
    <x v="4"/>
    <x v="8"/>
    <x v="27"/>
    <x v="0"/>
    <x v="6"/>
    <n v="1.98541040151229"/>
    <n v="7.1474774454442498"/>
  </r>
  <r>
    <x v="0"/>
    <x v="0"/>
    <x v="0"/>
    <x v="4"/>
    <x v="8"/>
    <x v="27"/>
    <x v="0"/>
    <x v="7"/>
    <n v="1.98541040151229"/>
    <n v="7.1474774454442498"/>
  </r>
  <r>
    <x v="0"/>
    <x v="0"/>
    <x v="0"/>
    <x v="4"/>
    <x v="8"/>
    <x v="27"/>
    <x v="0"/>
    <x v="8"/>
    <n v="1.98541040151229"/>
    <n v="7.1474774454442498"/>
  </r>
  <r>
    <x v="0"/>
    <x v="0"/>
    <x v="0"/>
    <x v="4"/>
    <x v="8"/>
    <x v="27"/>
    <x v="0"/>
    <x v="9"/>
    <n v="1.98541040151229"/>
    <n v="7.1474774454442498"/>
  </r>
  <r>
    <x v="0"/>
    <x v="0"/>
    <x v="0"/>
    <x v="4"/>
    <x v="8"/>
    <x v="27"/>
    <x v="0"/>
    <x v="10"/>
    <n v="1.98541040151229"/>
    <n v="7.1474774454442498"/>
  </r>
  <r>
    <x v="0"/>
    <x v="0"/>
    <x v="0"/>
    <x v="4"/>
    <x v="8"/>
    <x v="27"/>
    <x v="0"/>
    <x v="11"/>
    <n v="1.98541040151229"/>
    <n v="7.1474774454442498"/>
  </r>
  <r>
    <x v="0"/>
    <x v="0"/>
    <x v="0"/>
    <x v="4"/>
    <x v="8"/>
    <x v="27"/>
    <x v="0"/>
    <x v="12"/>
    <n v="1.98541040151229"/>
    <n v="7.1474774454442498"/>
  </r>
  <r>
    <x v="0"/>
    <x v="0"/>
    <x v="0"/>
    <x v="4"/>
    <x v="8"/>
    <x v="27"/>
    <x v="0"/>
    <x v="13"/>
    <n v="1.98541040151229"/>
    <n v="7.1474774454442498"/>
  </r>
  <r>
    <x v="0"/>
    <x v="0"/>
    <x v="0"/>
    <x v="4"/>
    <x v="8"/>
    <x v="27"/>
    <x v="0"/>
    <x v="14"/>
    <n v="1.98541040151229"/>
    <n v="7.1474774454442498"/>
  </r>
  <r>
    <x v="0"/>
    <x v="0"/>
    <x v="0"/>
    <x v="4"/>
    <x v="8"/>
    <x v="27"/>
    <x v="0"/>
    <x v="15"/>
    <n v="0.78219470650008205"/>
    <n v="2.8159009434003002"/>
  </r>
  <r>
    <x v="0"/>
    <x v="0"/>
    <x v="0"/>
    <x v="4"/>
    <x v="8"/>
    <x v="27"/>
    <x v="0"/>
    <x v="16"/>
    <n v="0.78219470650008205"/>
    <n v="2.8159009434003002"/>
  </r>
  <r>
    <x v="0"/>
    <x v="0"/>
    <x v="0"/>
    <x v="4"/>
    <x v="8"/>
    <x v="27"/>
    <x v="0"/>
    <x v="17"/>
    <n v="0.78219470650008205"/>
    <n v="2.8159009434003002"/>
  </r>
  <r>
    <x v="0"/>
    <x v="0"/>
    <x v="0"/>
    <x v="4"/>
    <x v="8"/>
    <x v="27"/>
    <x v="0"/>
    <x v="18"/>
    <n v="0.78219470650008205"/>
    <n v="2.8159009434003002"/>
  </r>
  <r>
    <x v="0"/>
    <x v="0"/>
    <x v="0"/>
    <x v="4"/>
    <x v="8"/>
    <x v="27"/>
    <x v="0"/>
    <x v="19"/>
    <n v="0.78219470650008205"/>
    <n v="2.8159009434003002"/>
  </r>
  <r>
    <x v="0"/>
    <x v="0"/>
    <x v="0"/>
    <x v="4"/>
    <x v="8"/>
    <x v="27"/>
    <x v="0"/>
    <x v="20"/>
    <n v="0.78219470650008205"/>
    <n v="2.8159009434003002"/>
  </r>
  <r>
    <x v="0"/>
    <x v="0"/>
    <x v="0"/>
    <x v="4"/>
    <x v="8"/>
    <x v="27"/>
    <x v="0"/>
    <x v="21"/>
    <n v="0.78219470650008205"/>
    <n v="2.8159009434003002"/>
  </r>
  <r>
    <x v="0"/>
    <x v="0"/>
    <x v="0"/>
    <x v="4"/>
    <x v="8"/>
    <x v="27"/>
    <x v="0"/>
    <x v="22"/>
    <n v="0.78219470650008205"/>
    <n v="2.8159009434003002"/>
  </r>
  <r>
    <x v="0"/>
    <x v="0"/>
    <x v="0"/>
    <x v="4"/>
    <x v="8"/>
    <x v="27"/>
    <x v="0"/>
    <x v="23"/>
    <n v="0.78219470650008205"/>
    <n v="2.8159009434003002"/>
  </r>
  <r>
    <x v="0"/>
    <x v="0"/>
    <x v="0"/>
    <x v="4"/>
    <x v="8"/>
    <x v="28"/>
    <x v="0"/>
    <x v="0"/>
    <n v="1.9325007291459699"/>
    <n v="6.9570026249254804"/>
  </r>
  <r>
    <x v="0"/>
    <x v="0"/>
    <x v="0"/>
    <x v="4"/>
    <x v="8"/>
    <x v="28"/>
    <x v="0"/>
    <x v="1"/>
    <n v="1.9325007291459699"/>
    <n v="6.9570026249254804"/>
  </r>
  <r>
    <x v="0"/>
    <x v="0"/>
    <x v="0"/>
    <x v="4"/>
    <x v="8"/>
    <x v="28"/>
    <x v="0"/>
    <x v="2"/>
    <n v="1.9325007291459699"/>
    <n v="6.9570026249254804"/>
  </r>
  <r>
    <x v="0"/>
    <x v="0"/>
    <x v="0"/>
    <x v="4"/>
    <x v="8"/>
    <x v="28"/>
    <x v="0"/>
    <x v="3"/>
    <n v="1.9325007291459699"/>
    <n v="6.9570026249254804"/>
  </r>
  <r>
    <x v="0"/>
    <x v="0"/>
    <x v="0"/>
    <x v="4"/>
    <x v="8"/>
    <x v="28"/>
    <x v="0"/>
    <x v="4"/>
    <n v="1.9325007291459699"/>
    <n v="6.9570026249254804"/>
  </r>
  <r>
    <x v="0"/>
    <x v="0"/>
    <x v="0"/>
    <x v="4"/>
    <x v="8"/>
    <x v="28"/>
    <x v="0"/>
    <x v="5"/>
    <n v="3.0768467596887801"/>
    <n v="11.0766483348796"/>
  </r>
  <r>
    <x v="0"/>
    <x v="0"/>
    <x v="0"/>
    <x v="4"/>
    <x v="8"/>
    <x v="28"/>
    <x v="0"/>
    <x v="6"/>
    <n v="3.1962588464027002"/>
    <n v="11.5065318470497"/>
  </r>
  <r>
    <x v="0"/>
    <x v="0"/>
    <x v="0"/>
    <x v="4"/>
    <x v="8"/>
    <x v="28"/>
    <x v="0"/>
    <x v="7"/>
    <n v="3.1962588464027002"/>
    <n v="11.5065318470497"/>
  </r>
  <r>
    <x v="0"/>
    <x v="0"/>
    <x v="0"/>
    <x v="4"/>
    <x v="8"/>
    <x v="28"/>
    <x v="0"/>
    <x v="8"/>
    <n v="3.1962588464027002"/>
    <n v="11.5065318470497"/>
  </r>
  <r>
    <x v="0"/>
    <x v="0"/>
    <x v="0"/>
    <x v="4"/>
    <x v="8"/>
    <x v="28"/>
    <x v="0"/>
    <x v="9"/>
    <n v="3.1962588464027002"/>
    <n v="11.5065318470497"/>
  </r>
  <r>
    <x v="0"/>
    <x v="0"/>
    <x v="0"/>
    <x v="4"/>
    <x v="8"/>
    <x v="28"/>
    <x v="0"/>
    <x v="10"/>
    <n v="3.1962588464027002"/>
    <n v="11.5065318470497"/>
  </r>
  <r>
    <x v="0"/>
    <x v="0"/>
    <x v="0"/>
    <x v="4"/>
    <x v="8"/>
    <x v="28"/>
    <x v="0"/>
    <x v="11"/>
    <n v="3.1962588464027002"/>
    <n v="11.5065318470497"/>
  </r>
  <r>
    <x v="0"/>
    <x v="0"/>
    <x v="0"/>
    <x v="4"/>
    <x v="8"/>
    <x v="28"/>
    <x v="0"/>
    <x v="12"/>
    <n v="3.1962588464027002"/>
    <n v="11.5065318470497"/>
  </r>
  <r>
    <x v="0"/>
    <x v="0"/>
    <x v="0"/>
    <x v="4"/>
    <x v="8"/>
    <x v="28"/>
    <x v="0"/>
    <x v="13"/>
    <n v="3.1962588464027002"/>
    <n v="11.5065318470497"/>
  </r>
  <r>
    <x v="0"/>
    <x v="0"/>
    <x v="0"/>
    <x v="4"/>
    <x v="8"/>
    <x v="28"/>
    <x v="0"/>
    <x v="14"/>
    <n v="3.1962588464027002"/>
    <n v="11.5065318470497"/>
  </r>
  <r>
    <x v="0"/>
    <x v="0"/>
    <x v="0"/>
    <x v="4"/>
    <x v="8"/>
    <x v="28"/>
    <x v="0"/>
    <x v="15"/>
    <n v="3.1962588464027002"/>
    <n v="11.5065318470497"/>
  </r>
  <r>
    <x v="0"/>
    <x v="0"/>
    <x v="0"/>
    <x v="4"/>
    <x v="8"/>
    <x v="28"/>
    <x v="0"/>
    <x v="16"/>
    <n v="3.1962588464027002"/>
    <n v="11.5065318470497"/>
  </r>
  <r>
    <x v="0"/>
    <x v="0"/>
    <x v="0"/>
    <x v="4"/>
    <x v="8"/>
    <x v="28"/>
    <x v="0"/>
    <x v="17"/>
    <n v="1.9325007291459699"/>
    <n v="6.9570026249254804"/>
  </r>
  <r>
    <x v="0"/>
    <x v="0"/>
    <x v="0"/>
    <x v="4"/>
    <x v="8"/>
    <x v="28"/>
    <x v="0"/>
    <x v="18"/>
    <n v="1.9325007291459699"/>
    <n v="6.9570026249254804"/>
  </r>
  <r>
    <x v="0"/>
    <x v="0"/>
    <x v="0"/>
    <x v="4"/>
    <x v="8"/>
    <x v="28"/>
    <x v="0"/>
    <x v="19"/>
    <n v="1.9325007291459699"/>
    <n v="6.9570026249254804"/>
  </r>
  <r>
    <x v="0"/>
    <x v="0"/>
    <x v="0"/>
    <x v="4"/>
    <x v="8"/>
    <x v="28"/>
    <x v="0"/>
    <x v="20"/>
    <n v="1.9325007291459699"/>
    <n v="6.9570026249254804"/>
  </r>
  <r>
    <x v="0"/>
    <x v="0"/>
    <x v="0"/>
    <x v="4"/>
    <x v="8"/>
    <x v="28"/>
    <x v="0"/>
    <x v="21"/>
    <n v="1.9325007291459699"/>
    <n v="6.9570026249254804"/>
  </r>
  <r>
    <x v="0"/>
    <x v="0"/>
    <x v="0"/>
    <x v="4"/>
    <x v="8"/>
    <x v="28"/>
    <x v="0"/>
    <x v="22"/>
    <n v="1.9325007291459699"/>
    <n v="6.9570026249254804"/>
  </r>
  <r>
    <x v="0"/>
    <x v="0"/>
    <x v="0"/>
    <x v="4"/>
    <x v="8"/>
    <x v="28"/>
    <x v="0"/>
    <x v="23"/>
    <n v="1.9325007291459699"/>
    <n v="6.9570026249254804"/>
  </r>
  <r>
    <x v="0"/>
    <x v="0"/>
    <x v="0"/>
    <x v="4"/>
    <x v="9"/>
    <x v="29"/>
    <x v="0"/>
    <x v="0"/>
    <n v="0.10015091963546"/>
    <n v="0.36054331068765499"/>
  </r>
  <r>
    <x v="0"/>
    <x v="0"/>
    <x v="0"/>
    <x v="4"/>
    <x v="9"/>
    <x v="29"/>
    <x v="0"/>
    <x v="1"/>
    <n v="0.10015091963546"/>
    <n v="0.36054331068765499"/>
  </r>
  <r>
    <x v="0"/>
    <x v="0"/>
    <x v="0"/>
    <x v="4"/>
    <x v="9"/>
    <x v="29"/>
    <x v="0"/>
    <x v="2"/>
    <n v="0.10015091963546"/>
    <n v="0.36054331068765499"/>
  </r>
  <r>
    <x v="0"/>
    <x v="0"/>
    <x v="0"/>
    <x v="4"/>
    <x v="9"/>
    <x v="29"/>
    <x v="0"/>
    <x v="3"/>
    <n v="0.10015091963546"/>
    <n v="0.36054331068765499"/>
  </r>
  <r>
    <x v="0"/>
    <x v="0"/>
    <x v="0"/>
    <x v="4"/>
    <x v="9"/>
    <x v="29"/>
    <x v="0"/>
    <x v="4"/>
    <n v="0.10015091963546"/>
    <n v="0.36054331068765499"/>
  </r>
  <r>
    <x v="0"/>
    <x v="0"/>
    <x v="0"/>
    <x v="4"/>
    <x v="9"/>
    <x v="29"/>
    <x v="0"/>
    <x v="5"/>
    <n v="0.44383055294117701"/>
    <n v="1.59778999058824"/>
  </r>
  <r>
    <x v="0"/>
    <x v="0"/>
    <x v="0"/>
    <x v="4"/>
    <x v="9"/>
    <x v="29"/>
    <x v="0"/>
    <x v="6"/>
    <n v="0.44383055294117701"/>
    <n v="1.59778999058824"/>
  </r>
  <r>
    <x v="0"/>
    <x v="0"/>
    <x v="0"/>
    <x v="4"/>
    <x v="9"/>
    <x v="29"/>
    <x v="0"/>
    <x v="7"/>
    <n v="0.44383055294117701"/>
    <n v="1.59778999058824"/>
  </r>
  <r>
    <x v="0"/>
    <x v="0"/>
    <x v="0"/>
    <x v="4"/>
    <x v="9"/>
    <x v="29"/>
    <x v="0"/>
    <x v="8"/>
    <n v="0.44383055294117701"/>
    <n v="1.59778999058824"/>
  </r>
  <r>
    <x v="0"/>
    <x v="0"/>
    <x v="0"/>
    <x v="4"/>
    <x v="9"/>
    <x v="29"/>
    <x v="0"/>
    <x v="9"/>
    <n v="0.44383055294117701"/>
    <n v="1.59778999058824"/>
  </r>
  <r>
    <x v="0"/>
    <x v="0"/>
    <x v="0"/>
    <x v="4"/>
    <x v="9"/>
    <x v="29"/>
    <x v="0"/>
    <x v="10"/>
    <n v="0.44383055294117701"/>
    <n v="1.59778999058824"/>
  </r>
  <r>
    <x v="0"/>
    <x v="0"/>
    <x v="0"/>
    <x v="4"/>
    <x v="9"/>
    <x v="29"/>
    <x v="0"/>
    <x v="11"/>
    <n v="0.44383055294117701"/>
    <n v="1.59778999058824"/>
  </r>
  <r>
    <x v="0"/>
    <x v="0"/>
    <x v="0"/>
    <x v="4"/>
    <x v="9"/>
    <x v="29"/>
    <x v="0"/>
    <x v="12"/>
    <n v="0.44383055294117701"/>
    <n v="1.59778999058824"/>
  </r>
  <r>
    <x v="0"/>
    <x v="0"/>
    <x v="0"/>
    <x v="4"/>
    <x v="9"/>
    <x v="29"/>
    <x v="0"/>
    <x v="13"/>
    <n v="0.44383055294117701"/>
    <n v="1.59778999058824"/>
  </r>
  <r>
    <x v="0"/>
    <x v="0"/>
    <x v="0"/>
    <x v="4"/>
    <x v="9"/>
    <x v="29"/>
    <x v="0"/>
    <x v="14"/>
    <n v="0.44383055294117701"/>
    <n v="1.59778999058824"/>
  </r>
  <r>
    <x v="0"/>
    <x v="0"/>
    <x v="0"/>
    <x v="4"/>
    <x v="9"/>
    <x v="29"/>
    <x v="0"/>
    <x v="15"/>
    <n v="0.44383055294117701"/>
    <n v="1.59778999058824"/>
  </r>
  <r>
    <x v="0"/>
    <x v="0"/>
    <x v="0"/>
    <x v="4"/>
    <x v="9"/>
    <x v="29"/>
    <x v="0"/>
    <x v="16"/>
    <n v="0.44383055294117701"/>
    <n v="1.59778999058824"/>
  </r>
  <r>
    <x v="0"/>
    <x v="0"/>
    <x v="0"/>
    <x v="4"/>
    <x v="9"/>
    <x v="29"/>
    <x v="0"/>
    <x v="17"/>
    <n v="0.44383055294117701"/>
    <n v="1.59778999058824"/>
  </r>
  <r>
    <x v="0"/>
    <x v="0"/>
    <x v="0"/>
    <x v="4"/>
    <x v="9"/>
    <x v="29"/>
    <x v="0"/>
    <x v="18"/>
    <n v="0.10015091963546"/>
    <n v="0.36054331068765499"/>
  </r>
  <r>
    <x v="0"/>
    <x v="0"/>
    <x v="0"/>
    <x v="4"/>
    <x v="9"/>
    <x v="29"/>
    <x v="0"/>
    <x v="19"/>
    <n v="0.10015091963546"/>
    <n v="0.36054331068765499"/>
  </r>
  <r>
    <x v="0"/>
    <x v="0"/>
    <x v="0"/>
    <x v="4"/>
    <x v="9"/>
    <x v="29"/>
    <x v="0"/>
    <x v="20"/>
    <n v="0.10015091963546"/>
    <n v="0.36054331068765499"/>
  </r>
  <r>
    <x v="0"/>
    <x v="0"/>
    <x v="0"/>
    <x v="4"/>
    <x v="9"/>
    <x v="29"/>
    <x v="0"/>
    <x v="21"/>
    <n v="0.10015091963546"/>
    <n v="0.36054331068765499"/>
  </r>
  <r>
    <x v="0"/>
    <x v="0"/>
    <x v="0"/>
    <x v="4"/>
    <x v="9"/>
    <x v="29"/>
    <x v="0"/>
    <x v="22"/>
    <n v="-0.65749214327373395"/>
    <n v="-2.3669717157854402"/>
  </r>
  <r>
    <x v="0"/>
    <x v="0"/>
    <x v="0"/>
    <x v="4"/>
    <x v="9"/>
    <x v="29"/>
    <x v="0"/>
    <x v="23"/>
    <n v="-0.65749214327373395"/>
    <n v="-2.3669717157854402"/>
  </r>
  <r>
    <x v="0"/>
    <x v="0"/>
    <x v="0"/>
    <x v="4"/>
    <x v="10"/>
    <x v="30"/>
    <x v="0"/>
    <x v="0"/>
    <n v="0.44383055294117701"/>
    <n v="1.59778999058824"/>
  </r>
  <r>
    <x v="0"/>
    <x v="0"/>
    <x v="0"/>
    <x v="4"/>
    <x v="10"/>
    <x v="30"/>
    <x v="0"/>
    <x v="1"/>
    <n v="0.44383055294117701"/>
    <n v="1.59778999058824"/>
  </r>
  <r>
    <x v="0"/>
    <x v="0"/>
    <x v="0"/>
    <x v="4"/>
    <x v="10"/>
    <x v="30"/>
    <x v="0"/>
    <x v="2"/>
    <n v="0.44383055294117701"/>
    <n v="1.59778999058824"/>
  </r>
  <r>
    <x v="0"/>
    <x v="0"/>
    <x v="0"/>
    <x v="4"/>
    <x v="10"/>
    <x v="30"/>
    <x v="0"/>
    <x v="3"/>
    <n v="0.44383055294117701"/>
    <n v="1.59778999058824"/>
  </r>
  <r>
    <x v="0"/>
    <x v="0"/>
    <x v="0"/>
    <x v="4"/>
    <x v="10"/>
    <x v="30"/>
    <x v="0"/>
    <x v="4"/>
    <n v="0.44383055294117701"/>
    <n v="1.59778999058824"/>
  </r>
  <r>
    <x v="0"/>
    <x v="0"/>
    <x v="0"/>
    <x v="4"/>
    <x v="10"/>
    <x v="30"/>
    <x v="0"/>
    <x v="5"/>
    <n v="0.44383055294117701"/>
    <n v="1.59778999058824"/>
  </r>
  <r>
    <x v="0"/>
    <x v="0"/>
    <x v="0"/>
    <x v="4"/>
    <x v="10"/>
    <x v="30"/>
    <x v="0"/>
    <x v="6"/>
    <n v="0.44383055294117701"/>
    <n v="1.59778999058824"/>
  </r>
  <r>
    <x v="0"/>
    <x v="0"/>
    <x v="0"/>
    <x v="4"/>
    <x v="10"/>
    <x v="30"/>
    <x v="0"/>
    <x v="7"/>
    <n v="0.44383055294117701"/>
    <n v="1.59778999058824"/>
  </r>
  <r>
    <x v="0"/>
    <x v="0"/>
    <x v="0"/>
    <x v="4"/>
    <x v="10"/>
    <x v="30"/>
    <x v="0"/>
    <x v="8"/>
    <n v="0.44383055294117701"/>
    <n v="1.59778999058824"/>
  </r>
  <r>
    <x v="0"/>
    <x v="0"/>
    <x v="0"/>
    <x v="4"/>
    <x v="10"/>
    <x v="30"/>
    <x v="0"/>
    <x v="9"/>
    <n v="0.44383055294117701"/>
    <n v="1.59778999058824"/>
  </r>
  <r>
    <x v="0"/>
    <x v="0"/>
    <x v="0"/>
    <x v="4"/>
    <x v="10"/>
    <x v="30"/>
    <x v="0"/>
    <x v="10"/>
    <n v="0.44383055294117701"/>
    <n v="1.59778999058824"/>
  </r>
  <r>
    <x v="0"/>
    <x v="0"/>
    <x v="0"/>
    <x v="4"/>
    <x v="10"/>
    <x v="30"/>
    <x v="0"/>
    <x v="11"/>
    <n v="0.44383055294117701"/>
    <n v="1.59778999058824"/>
  </r>
  <r>
    <x v="0"/>
    <x v="0"/>
    <x v="0"/>
    <x v="4"/>
    <x v="10"/>
    <x v="30"/>
    <x v="0"/>
    <x v="12"/>
    <n v="0.44383055294117701"/>
    <n v="1.59778999058824"/>
  </r>
  <r>
    <x v="0"/>
    <x v="0"/>
    <x v="0"/>
    <x v="4"/>
    <x v="10"/>
    <x v="30"/>
    <x v="0"/>
    <x v="13"/>
    <n v="0.44383055294117701"/>
    <n v="1.59778999058824"/>
  </r>
  <r>
    <x v="0"/>
    <x v="0"/>
    <x v="0"/>
    <x v="4"/>
    <x v="10"/>
    <x v="30"/>
    <x v="0"/>
    <x v="14"/>
    <n v="0.44383055294117701"/>
    <n v="1.59778999058824"/>
  </r>
  <r>
    <x v="0"/>
    <x v="0"/>
    <x v="0"/>
    <x v="4"/>
    <x v="10"/>
    <x v="30"/>
    <x v="0"/>
    <x v="15"/>
    <n v="0.44383055294117701"/>
    <n v="1.59778999058824"/>
  </r>
  <r>
    <x v="0"/>
    <x v="0"/>
    <x v="0"/>
    <x v="4"/>
    <x v="10"/>
    <x v="30"/>
    <x v="0"/>
    <x v="16"/>
    <n v="0.44383055294117701"/>
    <n v="1.59778999058824"/>
  </r>
  <r>
    <x v="0"/>
    <x v="0"/>
    <x v="0"/>
    <x v="4"/>
    <x v="10"/>
    <x v="30"/>
    <x v="0"/>
    <x v="17"/>
    <n v="0.44383055294117701"/>
    <n v="1.59778999058824"/>
  </r>
  <r>
    <x v="0"/>
    <x v="0"/>
    <x v="0"/>
    <x v="4"/>
    <x v="10"/>
    <x v="30"/>
    <x v="0"/>
    <x v="18"/>
    <n v="0.44383055294117701"/>
    <n v="1.59778999058824"/>
  </r>
  <r>
    <x v="0"/>
    <x v="0"/>
    <x v="0"/>
    <x v="4"/>
    <x v="10"/>
    <x v="30"/>
    <x v="0"/>
    <x v="19"/>
    <n v="0.44383055294117701"/>
    <n v="1.59778999058824"/>
  </r>
  <r>
    <x v="0"/>
    <x v="0"/>
    <x v="0"/>
    <x v="4"/>
    <x v="10"/>
    <x v="30"/>
    <x v="0"/>
    <x v="20"/>
    <n v="0.44383055294117701"/>
    <n v="1.59778999058824"/>
  </r>
  <r>
    <x v="0"/>
    <x v="0"/>
    <x v="0"/>
    <x v="4"/>
    <x v="10"/>
    <x v="30"/>
    <x v="0"/>
    <x v="21"/>
    <n v="0.10015091963546"/>
    <n v="0.36054331068765499"/>
  </r>
  <r>
    <x v="0"/>
    <x v="0"/>
    <x v="0"/>
    <x v="4"/>
    <x v="10"/>
    <x v="30"/>
    <x v="0"/>
    <x v="22"/>
    <n v="0.10015091963546"/>
    <n v="0.36054331068765499"/>
  </r>
  <r>
    <x v="0"/>
    <x v="0"/>
    <x v="0"/>
    <x v="4"/>
    <x v="10"/>
    <x v="30"/>
    <x v="0"/>
    <x v="23"/>
    <n v="0.10015091963546"/>
    <n v="0.36054331068765499"/>
  </r>
  <r>
    <x v="0"/>
    <x v="0"/>
    <x v="0"/>
    <x v="4"/>
    <x v="10"/>
    <x v="31"/>
    <x v="0"/>
    <x v="0"/>
    <n v="0.120235294117647"/>
    <n v="0.43284705882352897"/>
  </r>
  <r>
    <x v="0"/>
    <x v="0"/>
    <x v="0"/>
    <x v="4"/>
    <x v="10"/>
    <x v="31"/>
    <x v="0"/>
    <x v="1"/>
    <n v="0.120235294117647"/>
    <n v="0.43284705882352897"/>
  </r>
  <r>
    <x v="0"/>
    <x v="0"/>
    <x v="0"/>
    <x v="4"/>
    <x v="10"/>
    <x v="31"/>
    <x v="0"/>
    <x v="2"/>
    <n v="0.120235294117647"/>
    <n v="0.43284705882352897"/>
  </r>
  <r>
    <x v="0"/>
    <x v="0"/>
    <x v="0"/>
    <x v="4"/>
    <x v="10"/>
    <x v="31"/>
    <x v="0"/>
    <x v="3"/>
    <n v="0.120235294117647"/>
    <n v="0.43284705882352897"/>
  </r>
  <r>
    <x v="0"/>
    <x v="0"/>
    <x v="0"/>
    <x v="4"/>
    <x v="10"/>
    <x v="31"/>
    <x v="0"/>
    <x v="4"/>
    <n v="0.120235294117647"/>
    <n v="0.43284705882352897"/>
  </r>
  <r>
    <x v="0"/>
    <x v="0"/>
    <x v="0"/>
    <x v="4"/>
    <x v="10"/>
    <x v="31"/>
    <x v="0"/>
    <x v="5"/>
    <n v="0.44383055294117701"/>
    <n v="1.59778999058824"/>
  </r>
  <r>
    <x v="0"/>
    <x v="0"/>
    <x v="0"/>
    <x v="4"/>
    <x v="10"/>
    <x v="31"/>
    <x v="0"/>
    <x v="6"/>
    <n v="0.44383055294117701"/>
    <n v="1.59778999058824"/>
  </r>
  <r>
    <x v="0"/>
    <x v="0"/>
    <x v="0"/>
    <x v="4"/>
    <x v="10"/>
    <x v="31"/>
    <x v="0"/>
    <x v="7"/>
    <n v="0.44383055294117701"/>
    <n v="1.59778999058824"/>
  </r>
  <r>
    <x v="0"/>
    <x v="0"/>
    <x v="0"/>
    <x v="4"/>
    <x v="10"/>
    <x v="31"/>
    <x v="0"/>
    <x v="8"/>
    <n v="0.44383055294117701"/>
    <n v="1.59778999058824"/>
  </r>
  <r>
    <x v="0"/>
    <x v="0"/>
    <x v="0"/>
    <x v="4"/>
    <x v="10"/>
    <x v="31"/>
    <x v="0"/>
    <x v="9"/>
    <n v="0.44383055294117701"/>
    <n v="1.59778999058824"/>
  </r>
  <r>
    <x v="0"/>
    <x v="0"/>
    <x v="0"/>
    <x v="4"/>
    <x v="10"/>
    <x v="31"/>
    <x v="0"/>
    <x v="10"/>
    <n v="0.44383055294117701"/>
    <n v="1.59778999058824"/>
  </r>
  <r>
    <x v="0"/>
    <x v="0"/>
    <x v="0"/>
    <x v="4"/>
    <x v="10"/>
    <x v="31"/>
    <x v="0"/>
    <x v="11"/>
    <n v="0.44383055294117701"/>
    <n v="1.59778999058824"/>
  </r>
  <r>
    <x v="0"/>
    <x v="0"/>
    <x v="0"/>
    <x v="4"/>
    <x v="10"/>
    <x v="31"/>
    <x v="0"/>
    <x v="12"/>
    <n v="0.44383055294117701"/>
    <n v="1.59778999058824"/>
  </r>
  <r>
    <x v="0"/>
    <x v="0"/>
    <x v="0"/>
    <x v="4"/>
    <x v="10"/>
    <x v="31"/>
    <x v="0"/>
    <x v="13"/>
    <n v="0.44383055294117701"/>
    <n v="1.59778999058824"/>
  </r>
  <r>
    <x v="0"/>
    <x v="0"/>
    <x v="0"/>
    <x v="4"/>
    <x v="10"/>
    <x v="31"/>
    <x v="0"/>
    <x v="14"/>
    <n v="0.44383055294117701"/>
    <n v="1.59778999058824"/>
  </r>
  <r>
    <x v="0"/>
    <x v="0"/>
    <x v="0"/>
    <x v="4"/>
    <x v="10"/>
    <x v="31"/>
    <x v="0"/>
    <x v="15"/>
    <n v="0.44383055294117701"/>
    <n v="1.59778999058824"/>
  </r>
  <r>
    <x v="0"/>
    <x v="0"/>
    <x v="0"/>
    <x v="4"/>
    <x v="10"/>
    <x v="31"/>
    <x v="0"/>
    <x v="16"/>
    <n v="0.120235294117647"/>
    <n v="0.43284705882352897"/>
  </r>
  <r>
    <x v="0"/>
    <x v="0"/>
    <x v="0"/>
    <x v="4"/>
    <x v="10"/>
    <x v="31"/>
    <x v="0"/>
    <x v="17"/>
    <n v="0.120235294117647"/>
    <n v="0.43284705882352897"/>
  </r>
  <r>
    <x v="0"/>
    <x v="0"/>
    <x v="0"/>
    <x v="4"/>
    <x v="10"/>
    <x v="31"/>
    <x v="0"/>
    <x v="18"/>
    <n v="0.120235294117647"/>
    <n v="0.43284705882352897"/>
  </r>
  <r>
    <x v="0"/>
    <x v="0"/>
    <x v="0"/>
    <x v="4"/>
    <x v="10"/>
    <x v="31"/>
    <x v="0"/>
    <x v="19"/>
    <n v="0.120235294117647"/>
    <n v="0.43284705882352897"/>
  </r>
  <r>
    <x v="0"/>
    <x v="0"/>
    <x v="0"/>
    <x v="4"/>
    <x v="10"/>
    <x v="31"/>
    <x v="0"/>
    <x v="20"/>
    <n v="0.120235294117647"/>
    <n v="0.43284705882352897"/>
  </r>
  <r>
    <x v="0"/>
    <x v="0"/>
    <x v="0"/>
    <x v="4"/>
    <x v="10"/>
    <x v="31"/>
    <x v="0"/>
    <x v="21"/>
    <n v="0.120235294117647"/>
    <n v="0.43284705882352897"/>
  </r>
  <r>
    <x v="0"/>
    <x v="0"/>
    <x v="0"/>
    <x v="4"/>
    <x v="10"/>
    <x v="31"/>
    <x v="0"/>
    <x v="22"/>
    <n v="0.120235294117647"/>
    <n v="0.43284705882352897"/>
  </r>
  <r>
    <x v="0"/>
    <x v="0"/>
    <x v="0"/>
    <x v="4"/>
    <x v="10"/>
    <x v="31"/>
    <x v="0"/>
    <x v="23"/>
    <n v="0.120235294117647"/>
    <n v="0.43284705882352897"/>
  </r>
  <r>
    <x v="0"/>
    <x v="0"/>
    <x v="0"/>
    <x v="4"/>
    <x v="11"/>
    <x v="32"/>
    <x v="0"/>
    <x v="0"/>
    <n v="0.120235294117647"/>
    <n v="0.43284705882352897"/>
  </r>
  <r>
    <x v="0"/>
    <x v="0"/>
    <x v="0"/>
    <x v="4"/>
    <x v="11"/>
    <x v="32"/>
    <x v="0"/>
    <x v="1"/>
    <n v="0.120235294117647"/>
    <n v="0.43284705882352897"/>
  </r>
  <r>
    <x v="0"/>
    <x v="0"/>
    <x v="0"/>
    <x v="4"/>
    <x v="11"/>
    <x v="32"/>
    <x v="0"/>
    <x v="2"/>
    <n v="0.120235294117647"/>
    <n v="0.43284705882352897"/>
  </r>
  <r>
    <x v="0"/>
    <x v="0"/>
    <x v="0"/>
    <x v="4"/>
    <x v="11"/>
    <x v="32"/>
    <x v="0"/>
    <x v="3"/>
    <n v="0.120235294117647"/>
    <n v="0.43284705882352897"/>
  </r>
  <r>
    <x v="0"/>
    <x v="0"/>
    <x v="0"/>
    <x v="4"/>
    <x v="11"/>
    <x v="32"/>
    <x v="0"/>
    <x v="4"/>
    <n v="0.120235294117647"/>
    <n v="0.43284705882352897"/>
  </r>
  <r>
    <x v="0"/>
    <x v="0"/>
    <x v="0"/>
    <x v="4"/>
    <x v="11"/>
    <x v="32"/>
    <x v="0"/>
    <x v="5"/>
    <n v="0.120235294117647"/>
    <n v="0.43284705882352897"/>
  </r>
  <r>
    <x v="0"/>
    <x v="0"/>
    <x v="0"/>
    <x v="4"/>
    <x v="11"/>
    <x v="32"/>
    <x v="0"/>
    <x v="6"/>
    <n v="0.44383055294117701"/>
    <n v="1.59778999058824"/>
  </r>
  <r>
    <x v="0"/>
    <x v="0"/>
    <x v="0"/>
    <x v="4"/>
    <x v="11"/>
    <x v="32"/>
    <x v="0"/>
    <x v="7"/>
    <n v="0.44383055294117701"/>
    <n v="1.59778999058824"/>
  </r>
  <r>
    <x v="0"/>
    <x v="0"/>
    <x v="0"/>
    <x v="4"/>
    <x v="11"/>
    <x v="32"/>
    <x v="0"/>
    <x v="8"/>
    <n v="0.44383055294117701"/>
    <n v="1.59778999058824"/>
  </r>
  <r>
    <x v="0"/>
    <x v="0"/>
    <x v="0"/>
    <x v="4"/>
    <x v="11"/>
    <x v="32"/>
    <x v="0"/>
    <x v="9"/>
    <n v="0.44383055294117701"/>
    <n v="1.59778999058824"/>
  </r>
  <r>
    <x v="0"/>
    <x v="0"/>
    <x v="0"/>
    <x v="4"/>
    <x v="11"/>
    <x v="32"/>
    <x v="0"/>
    <x v="10"/>
    <n v="0.44383055294117701"/>
    <n v="1.59778999058824"/>
  </r>
  <r>
    <x v="0"/>
    <x v="0"/>
    <x v="0"/>
    <x v="4"/>
    <x v="11"/>
    <x v="32"/>
    <x v="0"/>
    <x v="11"/>
    <n v="0.44383055294117701"/>
    <n v="1.59778999058824"/>
  </r>
  <r>
    <x v="0"/>
    <x v="0"/>
    <x v="0"/>
    <x v="4"/>
    <x v="11"/>
    <x v="32"/>
    <x v="0"/>
    <x v="12"/>
    <n v="0.44383055294117701"/>
    <n v="1.59778999058824"/>
  </r>
  <r>
    <x v="0"/>
    <x v="0"/>
    <x v="0"/>
    <x v="4"/>
    <x v="11"/>
    <x v="32"/>
    <x v="0"/>
    <x v="13"/>
    <n v="0.44383055294117701"/>
    <n v="1.59778999058824"/>
  </r>
  <r>
    <x v="0"/>
    <x v="0"/>
    <x v="0"/>
    <x v="4"/>
    <x v="11"/>
    <x v="32"/>
    <x v="0"/>
    <x v="14"/>
    <n v="0.44383055294117701"/>
    <n v="1.59778999058824"/>
  </r>
  <r>
    <x v="0"/>
    <x v="0"/>
    <x v="0"/>
    <x v="4"/>
    <x v="11"/>
    <x v="32"/>
    <x v="0"/>
    <x v="15"/>
    <n v="0.44383055294117701"/>
    <n v="1.59778999058824"/>
  </r>
  <r>
    <x v="0"/>
    <x v="0"/>
    <x v="0"/>
    <x v="4"/>
    <x v="11"/>
    <x v="32"/>
    <x v="0"/>
    <x v="16"/>
    <n v="0.44383055294117701"/>
    <n v="1.59778999058824"/>
  </r>
  <r>
    <x v="0"/>
    <x v="0"/>
    <x v="0"/>
    <x v="4"/>
    <x v="11"/>
    <x v="32"/>
    <x v="0"/>
    <x v="17"/>
    <n v="0.44383055294117701"/>
    <n v="1.59778999058824"/>
  </r>
  <r>
    <x v="0"/>
    <x v="0"/>
    <x v="0"/>
    <x v="4"/>
    <x v="11"/>
    <x v="32"/>
    <x v="0"/>
    <x v="18"/>
    <n v="0.120235294117647"/>
    <n v="0.43284705882352897"/>
  </r>
  <r>
    <x v="0"/>
    <x v="0"/>
    <x v="0"/>
    <x v="4"/>
    <x v="11"/>
    <x v="32"/>
    <x v="0"/>
    <x v="19"/>
    <n v="0.120235294117647"/>
    <n v="0.43284705882352897"/>
  </r>
  <r>
    <x v="0"/>
    <x v="0"/>
    <x v="0"/>
    <x v="4"/>
    <x v="11"/>
    <x v="32"/>
    <x v="0"/>
    <x v="20"/>
    <n v="0.120235294117647"/>
    <n v="0.43284705882352897"/>
  </r>
  <r>
    <x v="0"/>
    <x v="0"/>
    <x v="0"/>
    <x v="4"/>
    <x v="11"/>
    <x v="32"/>
    <x v="0"/>
    <x v="21"/>
    <n v="0.120235294117647"/>
    <n v="0.43284705882352897"/>
  </r>
  <r>
    <x v="0"/>
    <x v="0"/>
    <x v="0"/>
    <x v="4"/>
    <x v="11"/>
    <x v="32"/>
    <x v="0"/>
    <x v="22"/>
    <n v="0.120235294117647"/>
    <n v="0.43284705882352897"/>
  </r>
  <r>
    <x v="0"/>
    <x v="0"/>
    <x v="0"/>
    <x v="4"/>
    <x v="11"/>
    <x v="32"/>
    <x v="0"/>
    <x v="23"/>
    <n v="0.120235294117647"/>
    <n v="0.43284705882352897"/>
  </r>
  <r>
    <x v="0"/>
    <x v="0"/>
    <x v="0"/>
    <x v="4"/>
    <x v="12"/>
    <x v="33"/>
    <x v="0"/>
    <x v="0"/>
    <n v="0.44383055294117701"/>
    <n v="1.59778999058824"/>
  </r>
  <r>
    <x v="0"/>
    <x v="0"/>
    <x v="0"/>
    <x v="4"/>
    <x v="12"/>
    <x v="33"/>
    <x v="0"/>
    <x v="1"/>
    <n v="0.44383055294117701"/>
    <n v="1.59778999058824"/>
  </r>
  <r>
    <x v="0"/>
    <x v="0"/>
    <x v="0"/>
    <x v="4"/>
    <x v="12"/>
    <x v="33"/>
    <x v="0"/>
    <x v="2"/>
    <n v="0.44383055294117701"/>
    <n v="1.59778999058824"/>
  </r>
  <r>
    <x v="0"/>
    <x v="0"/>
    <x v="0"/>
    <x v="4"/>
    <x v="12"/>
    <x v="33"/>
    <x v="0"/>
    <x v="3"/>
    <n v="0.44383055294117701"/>
    <n v="1.59778999058824"/>
  </r>
  <r>
    <x v="0"/>
    <x v="0"/>
    <x v="0"/>
    <x v="4"/>
    <x v="12"/>
    <x v="33"/>
    <x v="0"/>
    <x v="4"/>
    <n v="0.44383055294117701"/>
    <n v="1.59778999058824"/>
  </r>
  <r>
    <x v="0"/>
    <x v="0"/>
    <x v="0"/>
    <x v="4"/>
    <x v="12"/>
    <x v="33"/>
    <x v="0"/>
    <x v="5"/>
    <n v="0.44383055294117701"/>
    <n v="1.59778999058824"/>
  </r>
  <r>
    <x v="0"/>
    <x v="0"/>
    <x v="0"/>
    <x v="4"/>
    <x v="12"/>
    <x v="33"/>
    <x v="0"/>
    <x v="6"/>
    <n v="0.44383055294117701"/>
    <n v="1.59778999058824"/>
  </r>
  <r>
    <x v="0"/>
    <x v="0"/>
    <x v="0"/>
    <x v="4"/>
    <x v="12"/>
    <x v="33"/>
    <x v="0"/>
    <x v="7"/>
    <n v="0.44383055294117701"/>
    <n v="1.59778999058824"/>
  </r>
  <r>
    <x v="0"/>
    <x v="0"/>
    <x v="0"/>
    <x v="4"/>
    <x v="12"/>
    <x v="33"/>
    <x v="0"/>
    <x v="8"/>
    <n v="0.44383055294117701"/>
    <n v="1.59778999058824"/>
  </r>
  <r>
    <x v="0"/>
    <x v="0"/>
    <x v="0"/>
    <x v="4"/>
    <x v="12"/>
    <x v="33"/>
    <x v="0"/>
    <x v="9"/>
    <n v="0.44383055294117701"/>
    <n v="1.59778999058824"/>
  </r>
  <r>
    <x v="0"/>
    <x v="0"/>
    <x v="0"/>
    <x v="4"/>
    <x v="12"/>
    <x v="33"/>
    <x v="0"/>
    <x v="10"/>
    <n v="0.44383055294117701"/>
    <n v="1.59778999058824"/>
  </r>
  <r>
    <x v="0"/>
    <x v="0"/>
    <x v="0"/>
    <x v="4"/>
    <x v="12"/>
    <x v="33"/>
    <x v="0"/>
    <x v="11"/>
    <n v="0.44383055294117701"/>
    <n v="1.59778999058824"/>
  </r>
  <r>
    <x v="0"/>
    <x v="0"/>
    <x v="0"/>
    <x v="4"/>
    <x v="12"/>
    <x v="33"/>
    <x v="0"/>
    <x v="12"/>
    <n v="0.44383055294117701"/>
    <n v="1.59778999058824"/>
  </r>
  <r>
    <x v="0"/>
    <x v="0"/>
    <x v="0"/>
    <x v="4"/>
    <x v="12"/>
    <x v="33"/>
    <x v="0"/>
    <x v="13"/>
    <n v="0.44383055294117701"/>
    <n v="1.59778999058824"/>
  </r>
  <r>
    <x v="0"/>
    <x v="0"/>
    <x v="0"/>
    <x v="4"/>
    <x v="12"/>
    <x v="33"/>
    <x v="0"/>
    <x v="14"/>
    <n v="0.44383055294117701"/>
    <n v="1.59778999058824"/>
  </r>
  <r>
    <x v="0"/>
    <x v="0"/>
    <x v="0"/>
    <x v="4"/>
    <x v="12"/>
    <x v="33"/>
    <x v="0"/>
    <x v="15"/>
    <n v="0.44383055294117701"/>
    <n v="1.59778999058824"/>
  </r>
  <r>
    <x v="0"/>
    <x v="0"/>
    <x v="0"/>
    <x v="4"/>
    <x v="12"/>
    <x v="33"/>
    <x v="0"/>
    <x v="16"/>
    <n v="0.44383055294117701"/>
    <n v="1.59778999058824"/>
  </r>
  <r>
    <x v="0"/>
    <x v="0"/>
    <x v="0"/>
    <x v="4"/>
    <x v="12"/>
    <x v="33"/>
    <x v="0"/>
    <x v="17"/>
    <n v="0.44383055294117701"/>
    <n v="1.59778999058824"/>
  </r>
  <r>
    <x v="0"/>
    <x v="0"/>
    <x v="0"/>
    <x v="4"/>
    <x v="12"/>
    <x v="33"/>
    <x v="0"/>
    <x v="18"/>
    <n v="0.44383055294117701"/>
    <n v="1.59778999058824"/>
  </r>
  <r>
    <x v="0"/>
    <x v="0"/>
    <x v="0"/>
    <x v="4"/>
    <x v="12"/>
    <x v="33"/>
    <x v="0"/>
    <x v="19"/>
    <n v="0.44383055294117701"/>
    <n v="1.59778999058824"/>
  </r>
  <r>
    <x v="0"/>
    <x v="0"/>
    <x v="0"/>
    <x v="4"/>
    <x v="12"/>
    <x v="33"/>
    <x v="0"/>
    <x v="20"/>
    <n v="0.44383055294117701"/>
    <n v="1.59778999058824"/>
  </r>
  <r>
    <x v="0"/>
    <x v="0"/>
    <x v="0"/>
    <x v="4"/>
    <x v="12"/>
    <x v="33"/>
    <x v="0"/>
    <x v="21"/>
    <n v="0.44383055294117701"/>
    <n v="1.59778999058824"/>
  </r>
  <r>
    <x v="0"/>
    <x v="0"/>
    <x v="0"/>
    <x v="4"/>
    <x v="12"/>
    <x v="33"/>
    <x v="0"/>
    <x v="22"/>
    <n v="0.44383055294117701"/>
    <n v="1.59778999058824"/>
  </r>
  <r>
    <x v="0"/>
    <x v="0"/>
    <x v="0"/>
    <x v="4"/>
    <x v="12"/>
    <x v="33"/>
    <x v="0"/>
    <x v="23"/>
    <n v="0.44383055294117701"/>
    <n v="1.59778999058824"/>
  </r>
  <r>
    <x v="0"/>
    <x v="0"/>
    <x v="0"/>
    <x v="5"/>
    <x v="13"/>
    <x v="34"/>
    <x v="0"/>
    <x v="0"/>
    <n v="1.8852497368280401"/>
    <n v="6.7868990525809503"/>
  </r>
  <r>
    <x v="0"/>
    <x v="0"/>
    <x v="0"/>
    <x v="5"/>
    <x v="13"/>
    <x v="34"/>
    <x v="0"/>
    <x v="1"/>
    <n v="1.9802492304728601"/>
    <n v="7.1288972297022903"/>
  </r>
  <r>
    <x v="0"/>
    <x v="0"/>
    <x v="0"/>
    <x v="5"/>
    <x v="13"/>
    <x v="34"/>
    <x v="0"/>
    <x v="2"/>
    <n v="1.9802492304728601"/>
    <n v="7.1288972297022903"/>
  </r>
  <r>
    <x v="0"/>
    <x v="0"/>
    <x v="0"/>
    <x v="5"/>
    <x v="13"/>
    <x v="34"/>
    <x v="0"/>
    <x v="3"/>
    <n v="1.8852497368280401"/>
    <n v="6.7868990525809503"/>
  </r>
  <r>
    <x v="0"/>
    <x v="0"/>
    <x v="0"/>
    <x v="5"/>
    <x v="13"/>
    <x v="34"/>
    <x v="0"/>
    <x v="4"/>
    <n v="1.8852497368280401"/>
    <n v="6.7868990525809503"/>
  </r>
  <r>
    <x v="0"/>
    <x v="0"/>
    <x v="0"/>
    <x v="5"/>
    <x v="13"/>
    <x v="34"/>
    <x v="0"/>
    <x v="5"/>
    <n v="1.56633113332264"/>
    <n v="5.6387920799615197"/>
  </r>
  <r>
    <x v="0"/>
    <x v="0"/>
    <x v="0"/>
    <x v="5"/>
    <x v="13"/>
    <x v="34"/>
    <x v="0"/>
    <x v="6"/>
    <n v="1.56633113332264"/>
    <n v="5.6387920799615197"/>
  </r>
  <r>
    <x v="0"/>
    <x v="0"/>
    <x v="0"/>
    <x v="5"/>
    <x v="13"/>
    <x v="34"/>
    <x v="0"/>
    <x v="7"/>
    <n v="1.56633113332264"/>
    <n v="5.6387920799615197"/>
  </r>
  <r>
    <x v="0"/>
    <x v="0"/>
    <x v="0"/>
    <x v="5"/>
    <x v="13"/>
    <x v="34"/>
    <x v="0"/>
    <x v="8"/>
    <n v="1.56633113332264"/>
    <n v="5.6387920799615197"/>
  </r>
  <r>
    <x v="0"/>
    <x v="0"/>
    <x v="0"/>
    <x v="5"/>
    <x v="13"/>
    <x v="34"/>
    <x v="0"/>
    <x v="9"/>
    <n v="1.56633113332264"/>
    <n v="5.6387920799615197"/>
  </r>
  <r>
    <x v="0"/>
    <x v="0"/>
    <x v="0"/>
    <x v="5"/>
    <x v="13"/>
    <x v="34"/>
    <x v="0"/>
    <x v="10"/>
    <n v="1.56633113332264"/>
    <n v="5.6387920799615197"/>
  </r>
  <r>
    <x v="0"/>
    <x v="0"/>
    <x v="0"/>
    <x v="5"/>
    <x v="13"/>
    <x v="34"/>
    <x v="0"/>
    <x v="11"/>
    <n v="1.56633113332264"/>
    <n v="5.6387920799615197"/>
  </r>
  <r>
    <x v="0"/>
    <x v="0"/>
    <x v="0"/>
    <x v="5"/>
    <x v="13"/>
    <x v="34"/>
    <x v="0"/>
    <x v="12"/>
    <n v="1.3045028971114301"/>
    <n v="4.6962104296011304"/>
  </r>
  <r>
    <x v="0"/>
    <x v="0"/>
    <x v="0"/>
    <x v="5"/>
    <x v="13"/>
    <x v="34"/>
    <x v="0"/>
    <x v="13"/>
    <n v="1.3045028971114301"/>
    <n v="4.6962104296011304"/>
  </r>
  <r>
    <x v="0"/>
    <x v="0"/>
    <x v="0"/>
    <x v="5"/>
    <x v="13"/>
    <x v="34"/>
    <x v="0"/>
    <x v="14"/>
    <n v="1.3045028971114301"/>
    <n v="4.6962104296011304"/>
  </r>
  <r>
    <x v="0"/>
    <x v="0"/>
    <x v="0"/>
    <x v="5"/>
    <x v="13"/>
    <x v="34"/>
    <x v="0"/>
    <x v="15"/>
    <n v="1.3045028971114301"/>
    <n v="4.6962104296011304"/>
  </r>
  <r>
    <x v="0"/>
    <x v="0"/>
    <x v="0"/>
    <x v="5"/>
    <x v="13"/>
    <x v="34"/>
    <x v="0"/>
    <x v="16"/>
    <n v="1.3045028971114301"/>
    <n v="4.6962104296011304"/>
  </r>
  <r>
    <x v="0"/>
    <x v="0"/>
    <x v="0"/>
    <x v="5"/>
    <x v="13"/>
    <x v="34"/>
    <x v="0"/>
    <x v="17"/>
    <n v="1.3045028971114301"/>
    <n v="4.6962104296011304"/>
  </r>
  <r>
    <x v="0"/>
    <x v="0"/>
    <x v="0"/>
    <x v="5"/>
    <x v="13"/>
    <x v="34"/>
    <x v="0"/>
    <x v="18"/>
    <n v="1.3045028971114301"/>
    <n v="4.6962104296011304"/>
  </r>
  <r>
    <x v="0"/>
    <x v="0"/>
    <x v="0"/>
    <x v="5"/>
    <x v="13"/>
    <x v="34"/>
    <x v="0"/>
    <x v="19"/>
    <n v="1.3045028971114301"/>
    <n v="4.6962104296011304"/>
  </r>
  <r>
    <x v="0"/>
    <x v="0"/>
    <x v="0"/>
    <x v="5"/>
    <x v="13"/>
    <x v="34"/>
    <x v="0"/>
    <x v="20"/>
    <n v="1.3045028971114301"/>
    <n v="4.6962104296011304"/>
  </r>
  <r>
    <x v="0"/>
    <x v="0"/>
    <x v="0"/>
    <x v="5"/>
    <x v="13"/>
    <x v="34"/>
    <x v="0"/>
    <x v="21"/>
    <n v="1.3045028971114301"/>
    <n v="4.6962104296011304"/>
  </r>
  <r>
    <x v="0"/>
    <x v="0"/>
    <x v="0"/>
    <x v="5"/>
    <x v="13"/>
    <x v="34"/>
    <x v="0"/>
    <x v="22"/>
    <n v="1.3045028971114301"/>
    <n v="4.6962104296011304"/>
  </r>
  <r>
    <x v="0"/>
    <x v="0"/>
    <x v="0"/>
    <x v="5"/>
    <x v="13"/>
    <x v="34"/>
    <x v="0"/>
    <x v="23"/>
    <n v="1.6588569010063099"/>
    <n v="5.9718848436227203"/>
  </r>
  <r>
    <x v="0"/>
    <x v="0"/>
    <x v="0"/>
    <x v="6"/>
    <x v="14"/>
    <x v="35"/>
    <x v="0"/>
    <x v="0"/>
    <n v="0.10015091963546"/>
    <n v="0.36054331068765499"/>
  </r>
  <r>
    <x v="0"/>
    <x v="0"/>
    <x v="0"/>
    <x v="6"/>
    <x v="14"/>
    <x v="35"/>
    <x v="0"/>
    <x v="1"/>
    <n v="0.10015091963546"/>
    <n v="0.36054331068765499"/>
  </r>
  <r>
    <x v="0"/>
    <x v="0"/>
    <x v="0"/>
    <x v="6"/>
    <x v="14"/>
    <x v="35"/>
    <x v="0"/>
    <x v="2"/>
    <n v="0.10015091963546"/>
    <n v="0.36054331068765499"/>
  </r>
  <r>
    <x v="0"/>
    <x v="0"/>
    <x v="0"/>
    <x v="6"/>
    <x v="14"/>
    <x v="35"/>
    <x v="0"/>
    <x v="3"/>
    <n v="0.10015091963546"/>
    <n v="0.36054331068765499"/>
  </r>
  <r>
    <x v="0"/>
    <x v="0"/>
    <x v="0"/>
    <x v="6"/>
    <x v="14"/>
    <x v="35"/>
    <x v="0"/>
    <x v="4"/>
    <n v="0.10015091963546"/>
    <n v="0.36054331068765499"/>
  </r>
  <r>
    <x v="0"/>
    <x v="0"/>
    <x v="0"/>
    <x v="6"/>
    <x v="14"/>
    <x v="35"/>
    <x v="0"/>
    <x v="5"/>
    <n v="0.10015091963546"/>
    <n v="0.36054331068765499"/>
  </r>
  <r>
    <x v="0"/>
    <x v="0"/>
    <x v="0"/>
    <x v="6"/>
    <x v="14"/>
    <x v="35"/>
    <x v="0"/>
    <x v="6"/>
    <n v="0.10015091963546"/>
    <n v="0.36054331068765499"/>
  </r>
  <r>
    <x v="0"/>
    <x v="0"/>
    <x v="0"/>
    <x v="6"/>
    <x v="14"/>
    <x v="35"/>
    <x v="0"/>
    <x v="7"/>
    <n v="0.10015091963546"/>
    <n v="0.36054331068765499"/>
  </r>
  <r>
    <x v="0"/>
    <x v="0"/>
    <x v="0"/>
    <x v="6"/>
    <x v="14"/>
    <x v="35"/>
    <x v="0"/>
    <x v="8"/>
    <n v="0.10015091963546"/>
    <n v="0.36054331068765499"/>
  </r>
  <r>
    <x v="0"/>
    <x v="0"/>
    <x v="0"/>
    <x v="6"/>
    <x v="14"/>
    <x v="35"/>
    <x v="0"/>
    <x v="9"/>
    <n v="0.10015091963546"/>
    <n v="0.36054331068765499"/>
  </r>
  <r>
    <x v="0"/>
    <x v="0"/>
    <x v="0"/>
    <x v="6"/>
    <x v="14"/>
    <x v="35"/>
    <x v="0"/>
    <x v="10"/>
    <n v="0.10015091963546"/>
    <n v="0.36054331068765499"/>
  </r>
  <r>
    <x v="0"/>
    <x v="0"/>
    <x v="0"/>
    <x v="6"/>
    <x v="14"/>
    <x v="35"/>
    <x v="0"/>
    <x v="11"/>
    <n v="0.10015091963546"/>
    <n v="0.36054331068765499"/>
  </r>
  <r>
    <x v="0"/>
    <x v="0"/>
    <x v="0"/>
    <x v="6"/>
    <x v="14"/>
    <x v="35"/>
    <x v="0"/>
    <x v="12"/>
    <n v="0.10015091963546"/>
    <n v="0.36054331068765499"/>
  </r>
  <r>
    <x v="0"/>
    <x v="0"/>
    <x v="0"/>
    <x v="6"/>
    <x v="14"/>
    <x v="35"/>
    <x v="0"/>
    <x v="13"/>
    <n v="0.10015091963546"/>
    <n v="0.36054331068765499"/>
  </r>
  <r>
    <x v="0"/>
    <x v="0"/>
    <x v="0"/>
    <x v="6"/>
    <x v="14"/>
    <x v="35"/>
    <x v="0"/>
    <x v="14"/>
    <n v="0.10015091963546"/>
    <n v="0.36054331068765499"/>
  </r>
  <r>
    <x v="0"/>
    <x v="0"/>
    <x v="0"/>
    <x v="6"/>
    <x v="14"/>
    <x v="35"/>
    <x v="0"/>
    <x v="15"/>
    <n v="0.10015091963546"/>
    <n v="0.36054331068765499"/>
  </r>
  <r>
    <x v="0"/>
    <x v="0"/>
    <x v="0"/>
    <x v="6"/>
    <x v="14"/>
    <x v="35"/>
    <x v="0"/>
    <x v="16"/>
    <n v="0.10015091963546"/>
    <n v="0.36054331068765499"/>
  </r>
  <r>
    <x v="0"/>
    <x v="0"/>
    <x v="0"/>
    <x v="6"/>
    <x v="14"/>
    <x v="35"/>
    <x v="0"/>
    <x v="17"/>
    <n v="0.10015091963546"/>
    <n v="0.36054331068765499"/>
  </r>
  <r>
    <x v="0"/>
    <x v="0"/>
    <x v="0"/>
    <x v="6"/>
    <x v="14"/>
    <x v="35"/>
    <x v="0"/>
    <x v="18"/>
    <n v="0.10015091963546"/>
    <n v="0.36054331068765499"/>
  </r>
  <r>
    <x v="0"/>
    <x v="0"/>
    <x v="0"/>
    <x v="6"/>
    <x v="14"/>
    <x v="35"/>
    <x v="0"/>
    <x v="19"/>
    <n v="0.10015091963546"/>
    <n v="0.36054331068765499"/>
  </r>
  <r>
    <x v="0"/>
    <x v="0"/>
    <x v="0"/>
    <x v="6"/>
    <x v="14"/>
    <x v="35"/>
    <x v="0"/>
    <x v="20"/>
    <n v="0.10015091963546"/>
    <n v="0.36054331068765499"/>
  </r>
  <r>
    <x v="0"/>
    <x v="0"/>
    <x v="0"/>
    <x v="6"/>
    <x v="14"/>
    <x v="35"/>
    <x v="0"/>
    <x v="21"/>
    <n v="0.10015091963546"/>
    <n v="0.36054331068765499"/>
  </r>
  <r>
    <x v="0"/>
    <x v="0"/>
    <x v="0"/>
    <x v="6"/>
    <x v="14"/>
    <x v="35"/>
    <x v="0"/>
    <x v="22"/>
    <n v="0.10015091963546"/>
    <n v="0.36054331068765499"/>
  </r>
  <r>
    <x v="0"/>
    <x v="0"/>
    <x v="0"/>
    <x v="6"/>
    <x v="14"/>
    <x v="35"/>
    <x v="0"/>
    <x v="23"/>
    <n v="0.10015091963546"/>
    <n v="0.36054331068765499"/>
  </r>
  <r>
    <x v="0"/>
    <x v="0"/>
    <x v="0"/>
    <x v="6"/>
    <x v="14"/>
    <x v="36"/>
    <x v="0"/>
    <x v="0"/>
    <n v="1.14004063611822"/>
    <n v="4.1041462900255796"/>
  </r>
  <r>
    <x v="0"/>
    <x v="0"/>
    <x v="0"/>
    <x v="6"/>
    <x v="14"/>
    <x v="36"/>
    <x v="0"/>
    <x v="1"/>
    <n v="1.14004063611822"/>
    <n v="4.1041462900255796"/>
  </r>
  <r>
    <x v="0"/>
    <x v="0"/>
    <x v="0"/>
    <x v="6"/>
    <x v="14"/>
    <x v="36"/>
    <x v="0"/>
    <x v="2"/>
    <n v="1.14004063611822"/>
    <n v="4.1041462900255796"/>
  </r>
  <r>
    <x v="0"/>
    <x v="0"/>
    <x v="0"/>
    <x v="6"/>
    <x v="14"/>
    <x v="36"/>
    <x v="0"/>
    <x v="3"/>
    <n v="1.14004063611822"/>
    <n v="4.1041462900255796"/>
  </r>
  <r>
    <x v="0"/>
    <x v="0"/>
    <x v="0"/>
    <x v="6"/>
    <x v="14"/>
    <x v="36"/>
    <x v="0"/>
    <x v="4"/>
    <n v="1.14004063611822"/>
    <n v="4.1041462900255796"/>
  </r>
  <r>
    <x v="0"/>
    <x v="0"/>
    <x v="0"/>
    <x v="6"/>
    <x v="14"/>
    <x v="36"/>
    <x v="0"/>
    <x v="5"/>
    <n v="1.14004063611822"/>
    <n v="4.1041462900255796"/>
  </r>
  <r>
    <x v="0"/>
    <x v="0"/>
    <x v="0"/>
    <x v="6"/>
    <x v="14"/>
    <x v="36"/>
    <x v="0"/>
    <x v="6"/>
    <n v="2.3620903274261198"/>
    <n v="8.50352517873403"/>
  </r>
  <r>
    <x v="0"/>
    <x v="0"/>
    <x v="0"/>
    <x v="6"/>
    <x v="14"/>
    <x v="36"/>
    <x v="0"/>
    <x v="7"/>
    <n v="2.3620903274261198"/>
    <n v="8.50352517873403"/>
  </r>
  <r>
    <x v="0"/>
    <x v="0"/>
    <x v="0"/>
    <x v="6"/>
    <x v="14"/>
    <x v="36"/>
    <x v="0"/>
    <x v="8"/>
    <n v="2.3620903274261198"/>
    <n v="8.50352517873403"/>
  </r>
  <r>
    <x v="0"/>
    <x v="0"/>
    <x v="0"/>
    <x v="6"/>
    <x v="14"/>
    <x v="36"/>
    <x v="0"/>
    <x v="9"/>
    <n v="2.3620903274261198"/>
    <n v="8.50352517873403"/>
  </r>
  <r>
    <x v="0"/>
    <x v="0"/>
    <x v="0"/>
    <x v="6"/>
    <x v="14"/>
    <x v="36"/>
    <x v="0"/>
    <x v="10"/>
    <n v="2.3620903274261198"/>
    <n v="8.50352517873403"/>
  </r>
  <r>
    <x v="0"/>
    <x v="0"/>
    <x v="0"/>
    <x v="6"/>
    <x v="14"/>
    <x v="36"/>
    <x v="0"/>
    <x v="11"/>
    <n v="2.3620903274261198"/>
    <n v="8.50352517873403"/>
  </r>
  <r>
    <x v="0"/>
    <x v="0"/>
    <x v="0"/>
    <x v="6"/>
    <x v="14"/>
    <x v="36"/>
    <x v="0"/>
    <x v="12"/>
    <n v="2.3620903274261198"/>
    <n v="8.5035251787340194"/>
  </r>
  <r>
    <x v="0"/>
    <x v="0"/>
    <x v="0"/>
    <x v="6"/>
    <x v="14"/>
    <x v="36"/>
    <x v="0"/>
    <x v="13"/>
    <n v="2.3620903274261198"/>
    <n v="8.50352517873403"/>
  </r>
  <r>
    <x v="0"/>
    <x v="0"/>
    <x v="0"/>
    <x v="6"/>
    <x v="14"/>
    <x v="36"/>
    <x v="0"/>
    <x v="14"/>
    <n v="2.3620903274261198"/>
    <n v="8.5035251787340194"/>
  </r>
  <r>
    <x v="0"/>
    <x v="0"/>
    <x v="0"/>
    <x v="6"/>
    <x v="14"/>
    <x v="36"/>
    <x v="0"/>
    <x v="15"/>
    <n v="2.3620903274261198"/>
    <n v="8.50352517873403"/>
  </r>
  <r>
    <x v="0"/>
    <x v="0"/>
    <x v="0"/>
    <x v="6"/>
    <x v="14"/>
    <x v="36"/>
    <x v="0"/>
    <x v="16"/>
    <n v="2.3620903274261198"/>
    <n v="8.50352517873403"/>
  </r>
  <r>
    <x v="0"/>
    <x v="0"/>
    <x v="0"/>
    <x v="6"/>
    <x v="14"/>
    <x v="36"/>
    <x v="0"/>
    <x v="17"/>
    <n v="2.3620903274261198"/>
    <n v="8.50352517873403"/>
  </r>
  <r>
    <x v="0"/>
    <x v="0"/>
    <x v="0"/>
    <x v="6"/>
    <x v="14"/>
    <x v="36"/>
    <x v="0"/>
    <x v="18"/>
    <n v="1.14004063611822"/>
    <n v="4.1041462900255796"/>
  </r>
  <r>
    <x v="0"/>
    <x v="0"/>
    <x v="0"/>
    <x v="6"/>
    <x v="14"/>
    <x v="36"/>
    <x v="0"/>
    <x v="19"/>
    <n v="1.14004063611822"/>
    <n v="4.1041462900255796"/>
  </r>
  <r>
    <x v="0"/>
    <x v="0"/>
    <x v="0"/>
    <x v="6"/>
    <x v="14"/>
    <x v="36"/>
    <x v="0"/>
    <x v="20"/>
    <n v="1.14004063611822"/>
    <n v="4.1041462900255796"/>
  </r>
  <r>
    <x v="0"/>
    <x v="0"/>
    <x v="0"/>
    <x v="6"/>
    <x v="14"/>
    <x v="36"/>
    <x v="0"/>
    <x v="21"/>
    <n v="1.14004063611822"/>
    <n v="4.1041462900255796"/>
  </r>
  <r>
    <x v="0"/>
    <x v="0"/>
    <x v="0"/>
    <x v="6"/>
    <x v="14"/>
    <x v="36"/>
    <x v="0"/>
    <x v="22"/>
    <n v="1.14004063611822"/>
    <n v="4.1041462900255796"/>
  </r>
  <r>
    <x v="0"/>
    <x v="0"/>
    <x v="0"/>
    <x v="6"/>
    <x v="14"/>
    <x v="36"/>
    <x v="0"/>
    <x v="23"/>
    <n v="1.14004063611822"/>
    <n v="4.1041462900255796"/>
  </r>
  <r>
    <x v="0"/>
    <x v="0"/>
    <x v="0"/>
    <x v="6"/>
    <x v="15"/>
    <x v="37"/>
    <x v="0"/>
    <x v="0"/>
    <n v="0.51911551614496598"/>
    <n v="1.8688158581218799"/>
  </r>
  <r>
    <x v="0"/>
    <x v="0"/>
    <x v="0"/>
    <x v="6"/>
    <x v="15"/>
    <x v="37"/>
    <x v="0"/>
    <x v="1"/>
    <n v="0.51911551614496598"/>
    <n v="1.8688158581218799"/>
  </r>
  <r>
    <x v="0"/>
    <x v="0"/>
    <x v="0"/>
    <x v="6"/>
    <x v="15"/>
    <x v="37"/>
    <x v="0"/>
    <x v="2"/>
    <n v="0.51911551614496598"/>
    <n v="1.8688158581218799"/>
  </r>
  <r>
    <x v="0"/>
    <x v="0"/>
    <x v="0"/>
    <x v="6"/>
    <x v="15"/>
    <x v="37"/>
    <x v="0"/>
    <x v="3"/>
    <n v="0.47099133900629198"/>
    <n v="1.69556882042265"/>
  </r>
  <r>
    <x v="0"/>
    <x v="0"/>
    <x v="0"/>
    <x v="6"/>
    <x v="15"/>
    <x v="37"/>
    <x v="0"/>
    <x v="4"/>
    <n v="0.45180832189199199"/>
    <n v="1.62650995881117"/>
  </r>
  <r>
    <x v="0"/>
    <x v="0"/>
    <x v="0"/>
    <x v="6"/>
    <x v="15"/>
    <x v="37"/>
    <x v="0"/>
    <x v="5"/>
    <n v="0.37421980685066702"/>
    <n v="1.3471913046624"/>
  </r>
  <r>
    <x v="0"/>
    <x v="0"/>
    <x v="0"/>
    <x v="6"/>
    <x v="15"/>
    <x v="37"/>
    <x v="0"/>
    <x v="6"/>
    <n v="0.26114068807949797"/>
    <n v="0.94010647708619399"/>
  </r>
  <r>
    <x v="0"/>
    <x v="0"/>
    <x v="0"/>
    <x v="6"/>
    <x v="15"/>
    <x v="37"/>
    <x v="0"/>
    <x v="7"/>
    <n v="0.13229720618773999"/>
    <n v="0.476269942275864"/>
  </r>
  <r>
    <x v="0"/>
    <x v="0"/>
    <x v="0"/>
    <x v="6"/>
    <x v="15"/>
    <x v="37"/>
    <x v="0"/>
    <x v="8"/>
    <n v="0.13229720618773999"/>
    <n v="0.476269942275864"/>
  </r>
  <r>
    <x v="0"/>
    <x v="0"/>
    <x v="0"/>
    <x v="6"/>
    <x v="15"/>
    <x v="37"/>
    <x v="0"/>
    <x v="9"/>
    <n v="0.151870476074382"/>
    <n v="0.54673371386777703"/>
  </r>
  <r>
    <x v="0"/>
    <x v="0"/>
    <x v="0"/>
    <x v="6"/>
    <x v="15"/>
    <x v="37"/>
    <x v="0"/>
    <x v="10"/>
    <n v="0.206380945459371"/>
    <n v="0.74297140365373504"/>
  </r>
  <r>
    <x v="0"/>
    <x v="0"/>
    <x v="0"/>
    <x v="6"/>
    <x v="15"/>
    <x v="37"/>
    <x v="0"/>
    <x v="11"/>
    <n v="0.23889165522532499"/>
    <n v="0.86000995881117204"/>
  </r>
  <r>
    <x v="0"/>
    <x v="0"/>
    <x v="0"/>
    <x v="6"/>
    <x v="15"/>
    <x v="37"/>
    <x v="0"/>
    <x v="12"/>
    <n v="0.28785325385215998"/>
    <n v="1.0362717138677799"/>
  </r>
  <r>
    <x v="0"/>
    <x v="0"/>
    <x v="0"/>
    <x v="6"/>
    <x v="15"/>
    <x v="37"/>
    <x v="0"/>
    <x v="13"/>
    <n v="0.28785325385216098"/>
    <n v="1.0362717138677799"/>
  </r>
  <r>
    <x v="0"/>
    <x v="0"/>
    <x v="0"/>
    <x v="6"/>
    <x v="15"/>
    <x v="37"/>
    <x v="0"/>
    <x v="14"/>
    <n v="0.28785325385216098"/>
    <n v="1.0362717138677799"/>
  </r>
  <r>
    <x v="0"/>
    <x v="0"/>
    <x v="0"/>
    <x v="6"/>
    <x v="15"/>
    <x v="37"/>
    <x v="0"/>
    <x v="15"/>
    <n v="0.27813895618071399"/>
    <n v="1.0013002422505699"/>
  </r>
  <r>
    <x v="0"/>
    <x v="0"/>
    <x v="0"/>
    <x v="6"/>
    <x v="15"/>
    <x v="37"/>
    <x v="0"/>
    <x v="16"/>
    <n v="0.27813895618071399"/>
    <n v="1.0013002422505699"/>
  </r>
  <r>
    <x v="0"/>
    <x v="0"/>
    <x v="0"/>
    <x v="6"/>
    <x v="15"/>
    <x v="37"/>
    <x v="0"/>
    <x v="17"/>
    <n v="0.27813895618071399"/>
    <n v="1.0013002422505699"/>
  </r>
  <r>
    <x v="0"/>
    <x v="0"/>
    <x v="0"/>
    <x v="6"/>
    <x v="15"/>
    <x v="37"/>
    <x v="0"/>
    <x v="18"/>
    <n v="0.35454842400263198"/>
    <n v="1.27637432640947"/>
  </r>
  <r>
    <x v="0"/>
    <x v="0"/>
    <x v="0"/>
    <x v="6"/>
    <x v="15"/>
    <x v="37"/>
    <x v="0"/>
    <x v="19"/>
    <n v="0.37505245241740198"/>
    <n v="1.35018882870265"/>
  </r>
  <r>
    <x v="0"/>
    <x v="0"/>
    <x v="0"/>
    <x v="6"/>
    <x v="15"/>
    <x v="37"/>
    <x v="0"/>
    <x v="20"/>
    <n v="0.39524756648595299"/>
    <n v="1.42289123934943"/>
  </r>
  <r>
    <x v="0"/>
    <x v="0"/>
    <x v="0"/>
    <x v="6"/>
    <x v="15"/>
    <x v="37"/>
    <x v="0"/>
    <x v="21"/>
    <n v="0.45180832189199199"/>
    <n v="1.62650995881117"/>
  </r>
  <r>
    <x v="0"/>
    <x v="0"/>
    <x v="0"/>
    <x v="6"/>
    <x v="15"/>
    <x v="37"/>
    <x v="0"/>
    <x v="22"/>
    <n v="0.51979971078088105"/>
    <n v="1.87127895881117"/>
  </r>
  <r>
    <x v="0"/>
    <x v="0"/>
    <x v="0"/>
    <x v="6"/>
    <x v="15"/>
    <x v="37"/>
    <x v="0"/>
    <x v="23"/>
    <n v="0.55055182688644699"/>
    <n v="1.9819865767912099"/>
  </r>
  <r>
    <x v="0"/>
    <x v="0"/>
    <x v="0"/>
    <x v="6"/>
    <x v="15"/>
    <x v="38"/>
    <x v="0"/>
    <x v="0"/>
    <n v="0.78219470650008205"/>
    <n v="2.8159009434003002"/>
  </r>
  <r>
    <x v="0"/>
    <x v="0"/>
    <x v="0"/>
    <x v="6"/>
    <x v="15"/>
    <x v="38"/>
    <x v="0"/>
    <x v="1"/>
    <n v="0.78219470650008205"/>
    <n v="2.8159009434003002"/>
  </r>
  <r>
    <x v="0"/>
    <x v="0"/>
    <x v="0"/>
    <x v="6"/>
    <x v="15"/>
    <x v="38"/>
    <x v="0"/>
    <x v="2"/>
    <n v="0.78219470650008205"/>
    <n v="2.8159009434003002"/>
  </r>
  <r>
    <x v="0"/>
    <x v="0"/>
    <x v="0"/>
    <x v="6"/>
    <x v="15"/>
    <x v="38"/>
    <x v="0"/>
    <x v="3"/>
    <n v="0.78219470650008205"/>
    <n v="2.8159009434003002"/>
  </r>
  <r>
    <x v="0"/>
    <x v="0"/>
    <x v="0"/>
    <x v="6"/>
    <x v="15"/>
    <x v="38"/>
    <x v="0"/>
    <x v="4"/>
    <n v="0.78219470650008205"/>
    <n v="2.8159009434003002"/>
  </r>
  <r>
    <x v="0"/>
    <x v="0"/>
    <x v="0"/>
    <x v="6"/>
    <x v="15"/>
    <x v="38"/>
    <x v="0"/>
    <x v="5"/>
    <n v="0.78219470650008205"/>
    <n v="2.8159009434003002"/>
  </r>
  <r>
    <x v="0"/>
    <x v="0"/>
    <x v="0"/>
    <x v="6"/>
    <x v="15"/>
    <x v="38"/>
    <x v="0"/>
    <x v="6"/>
    <n v="0.78219470650008205"/>
    <n v="2.8159009434003002"/>
  </r>
  <r>
    <x v="0"/>
    <x v="0"/>
    <x v="0"/>
    <x v="6"/>
    <x v="15"/>
    <x v="38"/>
    <x v="0"/>
    <x v="7"/>
    <n v="0.78219470650008205"/>
    <n v="2.8159009434003002"/>
  </r>
  <r>
    <x v="0"/>
    <x v="0"/>
    <x v="0"/>
    <x v="6"/>
    <x v="15"/>
    <x v="38"/>
    <x v="0"/>
    <x v="8"/>
    <n v="0.78219470650008205"/>
    <n v="2.8159009434003002"/>
  </r>
  <r>
    <x v="0"/>
    <x v="0"/>
    <x v="0"/>
    <x v="6"/>
    <x v="15"/>
    <x v="38"/>
    <x v="0"/>
    <x v="9"/>
    <n v="0.78219470650008205"/>
    <n v="2.8159009434003002"/>
  </r>
  <r>
    <x v="0"/>
    <x v="0"/>
    <x v="0"/>
    <x v="6"/>
    <x v="15"/>
    <x v="38"/>
    <x v="0"/>
    <x v="10"/>
    <n v="0.78219470650008205"/>
    <n v="2.8159009434003002"/>
  </r>
  <r>
    <x v="0"/>
    <x v="0"/>
    <x v="0"/>
    <x v="6"/>
    <x v="15"/>
    <x v="38"/>
    <x v="0"/>
    <x v="11"/>
    <n v="0.78219470650008205"/>
    <n v="2.8159009434003002"/>
  </r>
  <r>
    <x v="0"/>
    <x v="0"/>
    <x v="0"/>
    <x v="6"/>
    <x v="15"/>
    <x v="38"/>
    <x v="0"/>
    <x v="12"/>
    <n v="0.78219470650008205"/>
    <n v="2.8159009434003002"/>
  </r>
  <r>
    <x v="0"/>
    <x v="0"/>
    <x v="0"/>
    <x v="6"/>
    <x v="15"/>
    <x v="38"/>
    <x v="0"/>
    <x v="13"/>
    <n v="0.78219470650008205"/>
    <n v="2.8159009434003002"/>
  </r>
  <r>
    <x v="0"/>
    <x v="0"/>
    <x v="0"/>
    <x v="6"/>
    <x v="15"/>
    <x v="38"/>
    <x v="0"/>
    <x v="14"/>
    <n v="0.78219470650008205"/>
    <n v="2.8159009434003002"/>
  </r>
  <r>
    <x v="0"/>
    <x v="0"/>
    <x v="0"/>
    <x v="6"/>
    <x v="15"/>
    <x v="38"/>
    <x v="0"/>
    <x v="15"/>
    <n v="0.78219470650008205"/>
    <n v="2.8159009434003002"/>
  </r>
  <r>
    <x v="0"/>
    <x v="0"/>
    <x v="0"/>
    <x v="6"/>
    <x v="15"/>
    <x v="38"/>
    <x v="0"/>
    <x v="16"/>
    <n v="0.78219470650008205"/>
    <n v="2.8159009434003002"/>
  </r>
  <r>
    <x v="0"/>
    <x v="0"/>
    <x v="0"/>
    <x v="6"/>
    <x v="15"/>
    <x v="38"/>
    <x v="0"/>
    <x v="17"/>
    <n v="0.78219470650008205"/>
    <n v="2.8159009434003002"/>
  </r>
  <r>
    <x v="0"/>
    <x v="0"/>
    <x v="0"/>
    <x v="6"/>
    <x v="15"/>
    <x v="38"/>
    <x v="0"/>
    <x v="18"/>
    <n v="0.78219470650008205"/>
    <n v="2.8159009434003002"/>
  </r>
  <r>
    <x v="0"/>
    <x v="0"/>
    <x v="0"/>
    <x v="6"/>
    <x v="15"/>
    <x v="38"/>
    <x v="0"/>
    <x v="19"/>
    <n v="0.78219470650008205"/>
    <n v="2.8159009434003002"/>
  </r>
  <r>
    <x v="0"/>
    <x v="0"/>
    <x v="0"/>
    <x v="6"/>
    <x v="15"/>
    <x v="38"/>
    <x v="0"/>
    <x v="20"/>
    <n v="0.78219470650008205"/>
    <n v="2.8159009434003002"/>
  </r>
  <r>
    <x v="0"/>
    <x v="0"/>
    <x v="0"/>
    <x v="6"/>
    <x v="15"/>
    <x v="38"/>
    <x v="0"/>
    <x v="21"/>
    <n v="0.78219470650008205"/>
    <n v="2.8159009434003002"/>
  </r>
  <r>
    <x v="0"/>
    <x v="0"/>
    <x v="0"/>
    <x v="6"/>
    <x v="15"/>
    <x v="38"/>
    <x v="0"/>
    <x v="22"/>
    <n v="0.78219470650008205"/>
    <n v="2.8159009434003002"/>
  </r>
  <r>
    <x v="0"/>
    <x v="0"/>
    <x v="0"/>
    <x v="6"/>
    <x v="15"/>
    <x v="38"/>
    <x v="0"/>
    <x v="23"/>
    <n v="0.78219470650008205"/>
    <n v="2.8159009434003002"/>
  </r>
  <r>
    <x v="0"/>
    <x v="0"/>
    <x v="0"/>
    <x v="6"/>
    <x v="16"/>
    <x v="39"/>
    <x v="0"/>
    <x v="0"/>
    <n v="1.5783946490969201"/>
    <n v="5.6822207367489197"/>
  </r>
  <r>
    <x v="0"/>
    <x v="0"/>
    <x v="0"/>
    <x v="6"/>
    <x v="16"/>
    <x v="39"/>
    <x v="0"/>
    <x v="1"/>
    <n v="1.5783946490969201"/>
    <n v="5.6822207367489197"/>
  </r>
  <r>
    <x v="0"/>
    <x v="0"/>
    <x v="0"/>
    <x v="6"/>
    <x v="16"/>
    <x v="39"/>
    <x v="0"/>
    <x v="2"/>
    <n v="1.5783946490969201"/>
    <n v="5.6822207367489197"/>
  </r>
  <r>
    <x v="0"/>
    <x v="0"/>
    <x v="0"/>
    <x v="6"/>
    <x v="16"/>
    <x v="39"/>
    <x v="0"/>
    <x v="3"/>
    <n v="1.8360185577129999"/>
    <n v="6.6096668077667999"/>
  </r>
  <r>
    <x v="0"/>
    <x v="0"/>
    <x v="0"/>
    <x v="6"/>
    <x v="16"/>
    <x v="39"/>
    <x v="0"/>
    <x v="4"/>
    <n v="2.2893668188068501"/>
    <n v="8.2417205477046593"/>
  </r>
  <r>
    <x v="0"/>
    <x v="0"/>
    <x v="0"/>
    <x v="6"/>
    <x v="16"/>
    <x v="39"/>
    <x v="0"/>
    <x v="5"/>
    <n v="2.1921786997571702"/>
    <n v="7.8918433191258304"/>
  </r>
  <r>
    <x v="0"/>
    <x v="0"/>
    <x v="0"/>
    <x v="6"/>
    <x v="16"/>
    <x v="39"/>
    <x v="0"/>
    <x v="6"/>
    <n v="2.1748984778665101"/>
    <n v="7.8296345203194297"/>
  </r>
  <r>
    <x v="0"/>
    <x v="0"/>
    <x v="0"/>
    <x v="6"/>
    <x v="16"/>
    <x v="39"/>
    <x v="0"/>
    <x v="7"/>
    <n v="2.8235156042458098"/>
    <n v="10.1646561752849"/>
  </r>
  <r>
    <x v="0"/>
    <x v="0"/>
    <x v="0"/>
    <x v="6"/>
    <x v="16"/>
    <x v="39"/>
    <x v="0"/>
    <x v="8"/>
    <n v="2.8235156042458098"/>
    <n v="10.1646561752849"/>
  </r>
  <r>
    <x v="0"/>
    <x v="0"/>
    <x v="0"/>
    <x v="6"/>
    <x v="16"/>
    <x v="39"/>
    <x v="0"/>
    <x v="9"/>
    <n v="2.8235156042458098"/>
    <n v="10.1646561752849"/>
  </r>
  <r>
    <x v="0"/>
    <x v="0"/>
    <x v="0"/>
    <x v="6"/>
    <x v="16"/>
    <x v="39"/>
    <x v="0"/>
    <x v="10"/>
    <n v="2.7297802474144901"/>
    <n v="9.8272088906921695"/>
  </r>
  <r>
    <x v="0"/>
    <x v="0"/>
    <x v="0"/>
    <x v="6"/>
    <x v="16"/>
    <x v="39"/>
    <x v="0"/>
    <x v="11"/>
    <n v="2.13214625412526"/>
    <n v="7.6757265148509397"/>
  </r>
  <r>
    <x v="0"/>
    <x v="0"/>
    <x v="0"/>
    <x v="6"/>
    <x v="16"/>
    <x v="39"/>
    <x v="0"/>
    <x v="12"/>
    <n v="2.0839951260638498"/>
    <n v="7.50238245382985"/>
  </r>
  <r>
    <x v="0"/>
    <x v="0"/>
    <x v="0"/>
    <x v="6"/>
    <x v="16"/>
    <x v="39"/>
    <x v="0"/>
    <x v="13"/>
    <n v="2.0839951260638498"/>
    <n v="7.50238245382985"/>
  </r>
  <r>
    <x v="0"/>
    <x v="0"/>
    <x v="0"/>
    <x v="6"/>
    <x v="16"/>
    <x v="39"/>
    <x v="0"/>
    <x v="14"/>
    <n v="2.0839951260638498"/>
    <n v="7.50238245382985"/>
  </r>
  <r>
    <x v="0"/>
    <x v="0"/>
    <x v="0"/>
    <x v="6"/>
    <x v="16"/>
    <x v="39"/>
    <x v="0"/>
    <x v="15"/>
    <n v="2.0718269035108898"/>
    <n v="7.4585768526391902"/>
  </r>
  <r>
    <x v="0"/>
    <x v="0"/>
    <x v="0"/>
    <x v="6"/>
    <x v="16"/>
    <x v="39"/>
    <x v="0"/>
    <x v="16"/>
    <n v="2.0718269035108898"/>
    <n v="7.4585768526391902"/>
  </r>
  <r>
    <x v="0"/>
    <x v="0"/>
    <x v="0"/>
    <x v="6"/>
    <x v="16"/>
    <x v="39"/>
    <x v="0"/>
    <x v="17"/>
    <n v="2.0718269035108898"/>
    <n v="7.4585768526391902"/>
  </r>
  <r>
    <x v="0"/>
    <x v="0"/>
    <x v="0"/>
    <x v="6"/>
    <x v="16"/>
    <x v="39"/>
    <x v="0"/>
    <x v="18"/>
    <n v="2.1604240872826801"/>
    <n v="7.7775267142176396"/>
  </r>
  <r>
    <x v="0"/>
    <x v="0"/>
    <x v="0"/>
    <x v="6"/>
    <x v="16"/>
    <x v="39"/>
    <x v="0"/>
    <x v="19"/>
    <n v="2.1808704247483002"/>
    <n v="7.8511335290938797"/>
  </r>
  <r>
    <x v="0"/>
    <x v="0"/>
    <x v="0"/>
    <x v="6"/>
    <x v="16"/>
    <x v="39"/>
    <x v="0"/>
    <x v="20"/>
    <n v="2.1808704247483002"/>
    <n v="7.8511335290938797"/>
  </r>
  <r>
    <x v="0"/>
    <x v="0"/>
    <x v="0"/>
    <x v="6"/>
    <x v="16"/>
    <x v="39"/>
    <x v="0"/>
    <x v="21"/>
    <n v="1.8143926094004299"/>
    <n v="6.5318133938415501"/>
  </r>
  <r>
    <x v="0"/>
    <x v="0"/>
    <x v="0"/>
    <x v="6"/>
    <x v="16"/>
    <x v="39"/>
    <x v="0"/>
    <x v="22"/>
    <n v="1.5783946490969201"/>
    <n v="5.6822207367489197"/>
  </r>
  <r>
    <x v="0"/>
    <x v="0"/>
    <x v="0"/>
    <x v="6"/>
    <x v="16"/>
    <x v="39"/>
    <x v="0"/>
    <x v="23"/>
    <n v="1.5783946490969201"/>
    <n v="5.6822207367489197"/>
  </r>
  <r>
    <x v="0"/>
    <x v="0"/>
    <x v="0"/>
    <x v="6"/>
    <x v="16"/>
    <x v="40"/>
    <x v="0"/>
    <x v="0"/>
    <n v="2.33408900848795"/>
    <n v="8.4027204305566006"/>
  </r>
  <r>
    <x v="0"/>
    <x v="0"/>
    <x v="0"/>
    <x v="6"/>
    <x v="16"/>
    <x v="40"/>
    <x v="0"/>
    <x v="1"/>
    <n v="2.33408900848795"/>
    <n v="8.4027204305566006"/>
  </r>
  <r>
    <x v="0"/>
    <x v="0"/>
    <x v="0"/>
    <x v="6"/>
    <x v="16"/>
    <x v="40"/>
    <x v="0"/>
    <x v="2"/>
    <n v="2.33408900848795"/>
    <n v="8.4027204305566006"/>
  </r>
  <r>
    <x v="0"/>
    <x v="0"/>
    <x v="0"/>
    <x v="6"/>
    <x v="16"/>
    <x v="40"/>
    <x v="0"/>
    <x v="3"/>
    <n v="2.3949787119594101"/>
    <n v="8.6219233630538898"/>
  </r>
  <r>
    <x v="0"/>
    <x v="0"/>
    <x v="0"/>
    <x v="6"/>
    <x v="16"/>
    <x v="40"/>
    <x v="0"/>
    <x v="4"/>
    <n v="2.4192502588871001"/>
    <n v="8.7093009319935693"/>
  </r>
  <r>
    <x v="0"/>
    <x v="0"/>
    <x v="0"/>
    <x v="6"/>
    <x v="16"/>
    <x v="40"/>
    <x v="0"/>
    <x v="5"/>
    <n v="2.517420076109"/>
    <n v="9.0627122739923998"/>
  </r>
  <r>
    <x v="0"/>
    <x v="0"/>
    <x v="0"/>
    <x v="6"/>
    <x v="16"/>
    <x v="40"/>
    <x v="0"/>
    <x v="6"/>
    <n v="3.6180721029439602"/>
    <n v="13.0250595705983"/>
  </r>
  <r>
    <x v="0"/>
    <x v="0"/>
    <x v="0"/>
    <x v="6"/>
    <x v="16"/>
    <x v="40"/>
    <x v="0"/>
    <x v="7"/>
    <n v="3.6180721029439602"/>
    <n v="13.0250595705983"/>
  </r>
  <r>
    <x v="0"/>
    <x v="0"/>
    <x v="0"/>
    <x v="6"/>
    <x v="16"/>
    <x v="40"/>
    <x v="0"/>
    <x v="8"/>
    <n v="3.6180721029439602"/>
    <n v="13.0250595705983"/>
  </r>
  <r>
    <x v="0"/>
    <x v="0"/>
    <x v="0"/>
    <x v="6"/>
    <x v="16"/>
    <x v="40"/>
    <x v="0"/>
    <x v="9"/>
    <n v="3.6180721029439602"/>
    <n v="13.0250595705983"/>
  </r>
  <r>
    <x v="0"/>
    <x v="0"/>
    <x v="0"/>
    <x v="6"/>
    <x v="16"/>
    <x v="40"/>
    <x v="0"/>
    <x v="10"/>
    <n v="3.6180721029439602"/>
    <n v="13.0250595705983"/>
  </r>
  <r>
    <x v="0"/>
    <x v="0"/>
    <x v="0"/>
    <x v="6"/>
    <x v="16"/>
    <x v="40"/>
    <x v="0"/>
    <x v="11"/>
    <n v="3.6180721029439602"/>
    <n v="13.0250595705983"/>
  </r>
  <r>
    <x v="0"/>
    <x v="0"/>
    <x v="0"/>
    <x v="6"/>
    <x v="16"/>
    <x v="40"/>
    <x v="0"/>
    <x v="12"/>
    <n v="2.62669641317297"/>
    <n v="9.45610708742268"/>
  </r>
  <r>
    <x v="0"/>
    <x v="0"/>
    <x v="0"/>
    <x v="6"/>
    <x v="16"/>
    <x v="40"/>
    <x v="0"/>
    <x v="13"/>
    <n v="2.62669641317297"/>
    <n v="9.45610708742268"/>
  </r>
  <r>
    <x v="0"/>
    <x v="0"/>
    <x v="0"/>
    <x v="6"/>
    <x v="16"/>
    <x v="40"/>
    <x v="0"/>
    <x v="14"/>
    <n v="2.62669641317297"/>
    <n v="9.45610708742268"/>
  </r>
  <r>
    <x v="0"/>
    <x v="0"/>
    <x v="0"/>
    <x v="6"/>
    <x v="16"/>
    <x v="40"/>
    <x v="0"/>
    <x v="15"/>
    <n v="2.6389875470648501"/>
    <n v="9.5003551694334405"/>
  </r>
  <r>
    <x v="0"/>
    <x v="0"/>
    <x v="0"/>
    <x v="6"/>
    <x v="16"/>
    <x v="40"/>
    <x v="0"/>
    <x v="16"/>
    <n v="2.6389875470648501"/>
    <n v="9.5003551694334405"/>
  </r>
  <r>
    <x v="0"/>
    <x v="0"/>
    <x v="0"/>
    <x v="6"/>
    <x v="16"/>
    <x v="40"/>
    <x v="0"/>
    <x v="17"/>
    <n v="2.6389875470648501"/>
    <n v="9.5003551694334405"/>
  </r>
  <r>
    <x v="0"/>
    <x v="0"/>
    <x v="0"/>
    <x v="6"/>
    <x v="16"/>
    <x v="40"/>
    <x v="0"/>
    <x v="18"/>
    <n v="2.54230953375186"/>
    <n v="9.1523143215066902"/>
  </r>
  <r>
    <x v="0"/>
    <x v="0"/>
    <x v="0"/>
    <x v="6"/>
    <x v="16"/>
    <x v="40"/>
    <x v="0"/>
    <x v="19"/>
    <n v="2.5163665611260999"/>
    <n v="9.0589196200539508"/>
  </r>
  <r>
    <x v="0"/>
    <x v="0"/>
    <x v="0"/>
    <x v="6"/>
    <x v="16"/>
    <x v="40"/>
    <x v="0"/>
    <x v="20"/>
    <n v="2.49081444615355"/>
    <n v="8.9669320061527902"/>
  </r>
  <r>
    <x v="0"/>
    <x v="0"/>
    <x v="0"/>
    <x v="6"/>
    <x v="16"/>
    <x v="40"/>
    <x v="0"/>
    <x v="21"/>
    <n v="2.4192502588871001"/>
    <n v="8.7093009319935693"/>
  </r>
  <r>
    <x v="0"/>
    <x v="0"/>
    <x v="0"/>
    <x v="6"/>
    <x v="16"/>
    <x v="40"/>
    <x v="0"/>
    <x v="22"/>
    <n v="2.33322332286017"/>
    <n v="8.3996039622966006"/>
  </r>
  <r>
    <x v="0"/>
    <x v="0"/>
    <x v="0"/>
    <x v="6"/>
    <x v="16"/>
    <x v="40"/>
    <x v="0"/>
    <x v="23"/>
    <n v="2.33322332286017"/>
    <n v="8.3996039622966006"/>
  </r>
  <r>
    <x v="0"/>
    <x v="0"/>
    <x v="0"/>
    <x v="6"/>
    <x v="16"/>
    <x v="41"/>
    <x v="0"/>
    <x v="0"/>
    <n v="1.54049874560204"/>
    <n v="5.5457954841673596"/>
  </r>
  <r>
    <x v="0"/>
    <x v="0"/>
    <x v="0"/>
    <x v="6"/>
    <x v="16"/>
    <x v="41"/>
    <x v="0"/>
    <x v="1"/>
    <n v="1.54049874560204"/>
    <n v="5.5457954841673596"/>
  </r>
  <r>
    <x v="0"/>
    <x v="0"/>
    <x v="0"/>
    <x v="6"/>
    <x v="16"/>
    <x v="41"/>
    <x v="0"/>
    <x v="2"/>
    <n v="1.54049874560204"/>
    <n v="5.5457954841673596"/>
  </r>
  <r>
    <x v="0"/>
    <x v="0"/>
    <x v="0"/>
    <x v="6"/>
    <x v="16"/>
    <x v="41"/>
    <x v="0"/>
    <x v="3"/>
    <n v="1.58068594989321"/>
    <n v="5.6904694196155701"/>
  </r>
  <r>
    <x v="0"/>
    <x v="0"/>
    <x v="0"/>
    <x v="6"/>
    <x v="16"/>
    <x v="41"/>
    <x v="0"/>
    <x v="4"/>
    <n v="1.59670517086549"/>
    <n v="5.7481386151157601"/>
  </r>
  <r>
    <x v="0"/>
    <x v="0"/>
    <x v="0"/>
    <x v="6"/>
    <x v="16"/>
    <x v="41"/>
    <x v="0"/>
    <x v="5"/>
    <n v="1.6614972502319401"/>
    <n v="5.9813901008349797"/>
  </r>
  <r>
    <x v="0"/>
    <x v="0"/>
    <x v="0"/>
    <x v="6"/>
    <x v="16"/>
    <x v="41"/>
    <x v="0"/>
    <x v="6"/>
    <n v="1.7559265769719501"/>
    <n v="6.3213356770990403"/>
  </r>
  <r>
    <x v="0"/>
    <x v="0"/>
    <x v="0"/>
    <x v="6"/>
    <x v="16"/>
    <x v="41"/>
    <x v="0"/>
    <x v="7"/>
    <n v="1.8635202988022299"/>
    <n v="6.7086730756880399"/>
  </r>
  <r>
    <x v="0"/>
    <x v="0"/>
    <x v="0"/>
    <x v="6"/>
    <x v="16"/>
    <x v="41"/>
    <x v="0"/>
    <x v="8"/>
    <n v="1.8635202988022299"/>
    <n v="6.7086730756880399"/>
  </r>
  <r>
    <x v="0"/>
    <x v="0"/>
    <x v="0"/>
    <x v="6"/>
    <x v="16"/>
    <x v="41"/>
    <x v="0"/>
    <x v="9"/>
    <n v="1.8471751882497101"/>
    <n v="6.6498306776989704"/>
  </r>
  <r>
    <x v="0"/>
    <x v="0"/>
    <x v="0"/>
    <x v="6"/>
    <x v="16"/>
    <x v="41"/>
    <x v="0"/>
    <x v="10"/>
    <n v="1.8016549632935599"/>
    <n v="6.4859578678568299"/>
  </r>
  <r>
    <x v="0"/>
    <x v="0"/>
    <x v="0"/>
    <x v="6"/>
    <x v="16"/>
    <x v="41"/>
    <x v="0"/>
    <x v="11"/>
    <n v="1.7745061451174"/>
    <n v="6.3882221224226496"/>
  </r>
  <r>
    <x v="0"/>
    <x v="0"/>
    <x v="0"/>
    <x v="6"/>
    <x v="16"/>
    <x v="41"/>
    <x v="0"/>
    <x v="12"/>
    <n v="1.73361963269416"/>
    <n v="6.2410306776989701"/>
  </r>
  <r>
    <x v="0"/>
    <x v="0"/>
    <x v="0"/>
    <x v="6"/>
    <x v="16"/>
    <x v="41"/>
    <x v="0"/>
    <x v="13"/>
    <n v="1.73361963269416"/>
    <n v="6.2410306776989701"/>
  </r>
  <r>
    <x v="0"/>
    <x v="0"/>
    <x v="0"/>
    <x v="6"/>
    <x v="16"/>
    <x v="41"/>
    <x v="0"/>
    <x v="14"/>
    <n v="1.73361963269416"/>
    <n v="6.2410306776989701"/>
  </r>
  <r>
    <x v="0"/>
    <x v="0"/>
    <x v="0"/>
    <x v="6"/>
    <x v="16"/>
    <x v="41"/>
    <x v="0"/>
    <x v="15"/>
    <n v="1.7417317810627999"/>
    <n v="6.2702344118260704"/>
  </r>
  <r>
    <x v="0"/>
    <x v="0"/>
    <x v="0"/>
    <x v="6"/>
    <x v="16"/>
    <x v="41"/>
    <x v="0"/>
    <x v="16"/>
    <n v="1.7417317810627999"/>
    <n v="6.2702344118260704"/>
  </r>
  <r>
    <x v="0"/>
    <x v="0"/>
    <x v="0"/>
    <x v="6"/>
    <x v="16"/>
    <x v="41"/>
    <x v="0"/>
    <x v="17"/>
    <n v="1.7417317810627999"/>
    <n v="6.2702344118260704"/>
  </r>
  <r>
    <x v="0"/>
    <x v="0"/>
    <x v="0"/>
    <x v="6"/>
    <x v="16"/>
    <x v="41"/>
    <x v="0"/>
    <x v="18"/>
    <n v="1.6779242922762301"/>
    <n v="6.0405274521944197"/>
  </r>
  <r>
    <x v="0"/>
    <x v="0"/>
    <x v="0"/>
    <x v="6"/>
    <x v="16"/>
    <x v="41"/>
    <x v="0"/>
    <x v="19"/>
    <n v="1.66080193034323"/>
    <n v="5.9788869492356103"/>
  </r>
  <r>
    <x v="0"/>
    <x v="0"/>
    <x v="0"/>
    <x v="6"/>
    <x v="16"/>
    <x v="41"/>
    <x v="0"/>
    <x v="20"/>
    <n v="1.64393753446135"/>
    <n v="5.9181751240608396"/>
  </r>
  <r>
    <x v="0"/>
    <x v="0"/>
    <x v="0"/>
    <x v="6"/>
    <x v="16"/>
    <x v="41"/>
    <x v="0"/>
    <x v="21"/>
    <n v="1.59670517086549"/>
    <n v="5.7481386151157601"/>
  </r>
  <r>
    <x v="0"/>
    <x v="0"/>
    <x v="0"/>
    <x v="6"/>
    <x v="16"/>
    <x v="41"/>
    <x v="0"/>
    <x v="22"/>
    <n v="1.53992739308771"/>
    <n v="5.5437386151157604"/>
  </r>
  <r>
    <x v="0"/>
    <x v="0"/>
    <x v="0"/>
    <x v="6"/>
    <x v="16"/>
    <x v="41"/>
    <x v="0"/>
    <x v="23"/>
    <n v="1.5142471291164701"/>
    <n v="5.4512896648192797"/>
  </r>
  <r>
    <x v="0"/>
    <x v="0"/>
    <x v="0"/>
    <x v="6"/>
    <x v="16"/>
    <x v="42"/>
    <x v="0"/>
    <x v="0"/>
    <n v="0.78219470650008205"/>
    <n v="2.8159009434003002"/>
  </r>
  <r>
    <x v="0"/>
    <x v="0"/>
    <x v="0"/>
    <x v="6"/>
    <x v="16"/>
    <x v="42"/>
    <x v="0"/>
    <x v="1"/>
    <n v="0.78219470650008205"/>
    <n v="2.8159009434003002"/>
  </r>
  <r>
    <x v="0"/>
    <x v="0"/>
    <x v="0"/>
    <x v="6"/>
    <x v="16"/>
    <x v="42"/>
    <x v="0"/>
    <x v="2"/>
    <n v="0.78219470650008205"/>
    <n v="2.8159009434003002"/>
  </r>
  <r>
    <x v="0"/>
    <x v="0"/>
    <x v="0"/>
    <x v="6"/>
    <x v="16"/>
    <x v="42"/>
    <x v="0"/>
    <x v="3"/>
    <n v="0.78219470650008205"/>
    <n v="2.8159009434003002"/>
  </r>
  <r>
    <x v="0"/>
    <x v="0"/>
    <x v="0"/>
    <x v="6"/>
    <x v="16"/>
    <x v="42"/>
    <x v="0"/>
    <x v="4"/>
    <n v="0.78219470650008205"/>
    <n v="2.8159009434003002"/>
  </r>
  <r>
    <x v="0"/>
    <x v="0"/>
    <x v="0"/>
    <x v="6"/>
    <x v="16"/>
    <x v="42"/>
    <x v="0"/>
    <x v="5"/>
    <n v="0.78219470650008205"/>
    <n v="2.8159009434003002"/>
  </r>
  <r>
    <x v="0"/>
    <x v="0"/>
    <x v="0"/>
    <x v="6"/>
    <x v="16"/>
    <x v="42"/>
    <x v="0"/>
    <x v="6"/>
    <n v="1.98541040151229"/>
    <n v="7.1474774454442498"/>
  </r>
  <r>
    <x v="0"/>
    <x v="0"/>
    <x v="0"/>
    <x v="6"/>
    <x v="16"/>
    <x v="42"/>
    <x v="0"/>
    <x v="7"/>
    <n v="1.98541040151229"/>
    <n v="7.1474774454442498"/>
  </r>
  <r>
    <x v="0"/>
    <x v="0"/>
    <x v="0"/>
    <x v="6"/>
    <x v="16"/>
    <x v="42"/>
    <x v="0"/>
    <x v="8"/>
    <n v="1.98541040151229"/>
    <n v="7.1474774454442498"/>
  </r>
  <r>
    <x v="0"/>
    <x v="0"/>
    <x v="0"/>
    <x v="6"/>
    <x v="16"/>
    <x v="42"/>
    <x v="0"/>
    <x v="9"/>
    <n v="1.98541040151229"/>
    <n v="7.1474774454442498"/>
  </r>
  <r>
    <x v="0"/>
    <x v="0"/>
    <x v="0"/>
    <x v="6"/>
    <x v="16"/>
    <x v="42"/>
    <x v="0"/>
    <x v="10"/>
    <n v="1.98541040151229"/>
    <n v="7.1474774454442498"/>
  </r>
  <r>
    <x v="0"/>
    <x v="0"/>
    <x v="0"/>
    <x v="6"/>
    <x v="16"/>
    <x v="42"/>
    <x v="0"/>
    <x v="11"/>
    <n v="1.98541040151229"/>
    <n v="7.1474774454442498"/>
  </r>
  <r>
    <x v="0"/>
    <x v="0"/>
    <x v="0"/>
    <x v="6"/>
    <x v="16"/>
    <x v="42"/>
    <x v="0"/>
    <x v="12"/>
    <n v="1.98541040151229"/>
    <n v="7.1474774454442498"/>
  </r>
  <r>
    <x v="0"/>
    <x v="0"/>
    <x v="0"/>
    <x v="6"/>
    <x v="16"/>
    <x v="42"/>
    <x v="0"/>
    <x v="13"/>
    <n v="1.98541040151229"/>
    <n v="7.1474774454442498"/>
  </r>
  <r>
    <x v="0"/>
    <x v="0"/>
    <x v="0"/>
    <x v="6"/>
    <x v="16"/>
    <x v="42"/>
    <x v="0"/>
    <x v="14"/>
    <n v="1.98541040151229"/>
    <n v="7.1474774454442498"/>
  </r>
  <r>
    <x v="0"/>
    <x v="0"/>
    <x v="0"/>
    <x v="6"/>
    <x v="16"/>
    <x v="42"/>
    <x v="0"/>
    <x v="15"/>
    <n v="1.98541040151229"/>
    <n v="7.1474774454442498"/>
  </r>
  <r>
    <x v="0"/>
    <x v="0"/>
    <x v="0"/>
    <x v="6"/>
    <x v="16"/>
    <x v="42"/>
    <x v="0"/>
    <x v="16"/>
    <n v="0.78219470650008205"/>
    <n v="2.8159009434003002"/>
  </r>
  <r>
    <x v="0"/>
    <x v="0"/>
    <x v="0"/>
    <x v="6"/>
    <x v="16"/>
    <x v="42"/>
    <x v="0"/>
    <x v="17"/>
    <n v="0.78219470650008205"/>
    <n v="2.8159009434003002"/>
  </r>
  <r>
    <x v="0"/>
    <x v="0"/>
    <x v="0"/>
    <x v="6"/>
    <x v="16"/>
    <x v="42"/>
    <x v="0"/>
    <x v="18"/>
    <n v="0.78219470650008205"/>
    <n v="2.8159009434003002"/>
  </r>
  <r>
    <x v="0"/>
    <x v="0"/>
    <x v="0"/>
    <x v="6"/>
    <x v="16"/>
    <x v="42"/>
    <x v="0"/>
    <x v="19"/>
    <n v="0.78219470650008205"/>
    <n v="2.8159009434003002"/>
  </r>
  <r>
    <x v="0"/>
    <x v="0"/>
    <x v="0"/>
    <x v="6"/>
    <x v="16"/>
    <x v="42"/>
    <x v="0"/>
    <x v="20"/>
    <n v="0.78219470650008205"/>
    <n v="2.8159009434003002"/>
  </r>
  <r>
    <x v="0"/>
    <x v="0"/>
    <x v="0"/>
    <x v="6"/>
    <x v="16"/>
    <x v="42"/>
    <x v="0"/>
    <x v="21"/>
    <n v="0.78219470650008205"/>
    <n v="2.8159009434003002"/>
  </r>
  <r>
    <x v="0"/>
    <x v="0"/>
    <x v="0"/>
    <x v="6"/>
    <x v="16"/>
    <x v="42"/>
    <x v="0"/>
    <x v="22"/>
    <n v="0.78219470650008205"/>
    <n v="2.8159009434003002"/>
  </r>
  <r>
    <x v="0"/>
    <x v="0"/>
    <x v="0"/>
    <x v="6"/>
    <x v="16"/>
    <x v="42"/>
    <x v="0"/>
    <x v="23"/>
    <n v="0.78219470650008205"/>
    <n v="2.8159009434003002"/>
  </r>
  <r>
    <x v="0"/>
    <x v="0"/>
    <x v="0"/>
    <x v="6"/>
    <x v="16"/>
    <x v="43"/>
    <x v="0"/>
    <x v="0"/>
    <n v="2.2899009369552701"/>
    <n v="8.2436433730389496"/>
  </r>
  <r>
    <x v="0"/>
    <x v="0"/>
    <x v="0"/>
    <x v="6"/>
    <x v="16"/>
    <x v="43"/>
    <x v="0"/>
    <x v="1"/>
    <n v="2.2899009369552701"/>
    <n v="8.2436433730389496"/>
  </r>
  <r>
    <x v="0"/>
    <x v="0"/>
    <x v="0"/>
    <x v="6"/>
    <x v="16"/>
    <x v="43"/>
    <x v="0"/>
    <x v="2"/>
    <n v="2.2899009369552701"/>
    <n v="8.2436433730389496"/>
  </r>
  <r>
    <x v="0"/>
    <x v="0"/>
    <x v="0"/>
    <x v="6"/>
    <x v="16"/>
    <x v="43"/>
    <x v="0"/>
    <x v="3"/>
    <n v="2.1954610068710201"/>
    <n v="7.9036596247356696"/>
  </r>
  <r>
    <x v="0"/>
    <x v="0"/>
    <x v="0"/>
    <x v="6"/>
    <x v="16"/>
    <x v="43"/>
    <x v="0"/>
    <x v="4"/>
    <n v="2.15781583758617"/>
    <n v="7.7681370153102201"/>
  </r>
  <r>
    <x v="0"/>
    <x v="0"/>
    <x v="0"/>
    <x v="6"/>
    <x v="16"/>
    <x v="43"/>
    <x v="0"/>
    <x v="5"/>
    <n v="2.517420076109"/>
    <n v="9.0627122739923998"/>
  </r>
  <r>
    <x v="0"/>
    <x v="0"/>
    <x v="0"/>
    <x v="6"/>
    <x v="16"/>
    <x v="43"/>
    <x v="0"/>
    <x v="6"/>
    <n v="2.66049481359387"/>
    <n v="9.5777813289379292"/>
  </r>
  <r>
    <x v="0"/>
    <x v="0"/>
    <x v="0"/>
    <x v="6"/>
    <x v="16"/>
    <x v="43"/>
    <x v="0"/>
    <x v="7"/>
    <n v="2.8235156042458098"/>
    <n v="10.1646561752849"/>
  </r>
  <r>
    <x v="0"/>
    <x v="0"/>
    <x v="0"/>
    <x v="6"/>
    <x v="16"/>
    <x v="43"/>
    <x v="0"/>
    <x v="8"/>
    <n v="2.8235156042458098"/>
    <n v="10.1646561752849"/>
  </r>
  <r>
    <x v="0"/>
    <x v="0"/>
    <x v="0"/>
    <x v="6"/>
    <x v="16"/>
    <x v="43"/>
    <x v="0"/>
    <x v="9"/>
    <n v="2.79875028522684"/>
    <n v="10.0755010268166"/>
  </r>
  <r>
    <x v="0"/>
    <x v="0"/>
    <x v="0"/>
    <x v="6"/>
    <x v="16"/>
    <x v="43"/>
    <x v="0"/>
    <x v="10"/>
    <n v="2.7297802474144901"/>
    <n v="9.8272088906921695"/>
  </r>
  <r>
    <x v="0"/>
    <x v="0"/>
    <x v="0"/>
    <x v="6"/>
    <x v="16"/>
    <x v="43"/>
    <x v="0"/>
    <x v="11"/>
    <n v="2.68864567442031"/>
    <n v="9.6791244279131003"/>
  </r>
  <r>
    <x v="0"/>
    <x v="0"/>
    <x v="0"/>
    <x v="6"/>
    <x v="16"/>
    <x v="43"/>
    <x v="0"/>
    <x v="12"/>
    <n v="2.62669641317297"/>
    <n v="9.45610708742268"/>
  </r>
  <r>
    <x v="0"/>
    <x v="0"/>
    <x v="0"/>
    <x v="6"/>
    <x v="16"/>
    <x v="43"/>
    <x v="0"/>
    <x v="13"/>
    <n v="2.62669641317297"/>
    <n v="9.45610708742268"/>
  </r>
  <r>
    <x v="0"/>
    <x v="0"/>
    <x v="0"/>
    <x v="6"/>
    <x v="16"/>
    <x v="43"/>
    <x v="0"/>
    <x v="14"/>
    <n v="2.62669641317297"/>
    <n v="9.45610708742268"/>
  </r>
  <r>
    <x v="0"/>
    <x v="0"/>
    <x v="0"/>
    <x v="6"/>
    <x v="16"/>
    <x v="43"/>
    <x v="0"/>
    <x v="15"/>
    <n v="2.6389875470648501"/>
    <n v="9.5003551694334405"/>
  </r>
  <r>
    <x v="0"/>
    <x v="0"/>
    <x v="0"/>
    <x v="6"/>
    <x v="16"/>
    <x v="43"/>
    <x v="0"/>
    <x v="16"/>
    <n v="2.6389875470648501"/>
    <n v="9.5003551694334405"/>
  </r>
  <r>
    <x v="0"/>
    <x v="0"/>
    <x v="0"/>
    <x v="6"/>
    <x v="16"/>
    <x v="43"/>
    <x v="0"/>
    <x v="17"/>
    <n v="2.6389875470648501"/>
    <n v="9.5003551694334405"/>
  </r>
  <r>
    <x v="0"/>
    <x v="0"/>
    <x v="0"/>
    <x v="6"/>
    <x v="16"/>
    <x v="43"/>
    <x v="0"/>
    <x v="18"/>
    <n v="2.54230953375186"/>
    <n v="9.1523143215066902"/>
  </r>
  <r>
    <x v="0"/>
    <x v="0"/>
    <x v="0"/>
    <x v="6"/>
    <x v="16"/>
    <x v="43"/>
    <x v="0"/>
    <x v="19"/>
    <n v="2.5163665611260999"/>
    <n v="9.0589196200539508"/>
  </r>
  <r>
    <x v="0"/>
    <x v="0"/>
    <x v="0"/>
    <x v="6"/>
    <x v="16"/>
    <x v="43"/>
    <x v="0"/>
    <x v="20"/>
    <n v="2.49081444615355"/>
    <n v="8.9669320061527902"/>
  </r>
  <r>
    <x v="0"/>
    <x v="0"/>
    <x v="0"/>
    <x v="6"/>
    <x v="16"/>
    <x v="43"/>
    <x v="0"/>
    <x v="21"/>
    <n v="2.4192502588871001"/>
    <n v="8.7093009319935693"/>
  </r>
  <r>
    <x v="0"/>
    <x v="0"/>
    <x v="0"/>
    <x v="6"/>
    <x v="16"/>
    <x v="43"/>
    <x v="0"/>
    <x v="22"/>
    <n v="2.33322332286017"/>
    <n v="8.3996039622966006"/>
  </r>
  <r>
    <x v="0"/>
    <x v="0"/>
    <x v="0"/>
    <x v="6"/>
    <x v="16"/>
    <x v="43"/>
    <x v="0"/>
    <x v="23"/>
    <n v="2.2943138319946401"/>
    <n v="8.2595297951807201"/>
  </r>
  <r>
    <x v="0"/>
    <x v="0"/>
    <x v="0"/>
    <x v="6"/>
    <x v="17"/>
    <x v="44"/>
    <x v="0"/>
    <x v="0"/>
    <n v="2.2408152519895701"/>
    <n v="8.0669349071624499"/>
  </r>
  <r>
    <x v="0"/>
    <x v="0"/>
    <x v="0"/>
    <x v="6"/>
    <x v="17"/>
    <x v="44"/>
    <x v="0"/>
    <x v="1"/>
    <n v="2.2408152519895701"/>
    <n v="8.0669349071624499"/>
  </r>
  <r>
    <x v="0"/>
    <x v="0"/>
    <x v="0"/>
    <x v="6"/>
    <x v="17"/>
    <x v="44"/>
    <x v="0"/>
    <x v="2"/>
    <n v="2.2408152519895701"/>
    <n v="8.0669349071624499"/>
  </r>
  <r>
    <x v="0"/>
    <x v="0"/>
    <x v="0"/>
    <x v="6"/>
    <x v="17"/>
    <x v="44"/>
    <x v="0"/>
    <x v="3"/>
    <n v="2.13845953333565"/>
    <n v="7.6984543200083504"/>
  </r>
  <r>
    <x v="0"/>
    <x v="0"/>
    <x v="0"/>
    <x v="6"/>
    <x v="17"/>
    <x v="44"/>
    <x v="0"/>
    <x v="4"/>
    <n v="2.6882464284518601"/>
    <n v="9.6776871424266897"/>
  </r>
  <r>
    <x v="0"/>
    <x v="0"/>
    <x v="0"/>
    <x v="6"/>
    <x v="17"/>
    <x v="44"/>
    <x v="0"/>
    <x v="5"/>
    <n v="2.7973313489287399"/>
    <n v="10.070392856143499"/>
  </r>
  <r>
    <x v="0"/>
    <x v="0"/>
    <x v="0"/>
    <x v="6"/>
    <x v="17"/>
    <x v="44"/>
    <x v="0"/>
    <x v="6"/>
    <n v="2.9563139853689302"/>
    <n v="10.6427303473282"/>
  </r>
  <r>
    <x v="0"/>
    <x v="0"/>
    <x v="0"/>
    <x v="6"/>
    <x v="17"/>
    <x v="44"/>
    <x v="0"/>
    <x v="7"/>
    <n v="3.13746039561588"/>
    <n v="11.2948574242172"/>
  </r>
  <r>
    <x v="0"/>
    <x v="0"/>
    <x v="0"/>
    <x v="6"/>
    <x v="17"/>
    <x v="44"/>
    <x v="0"/>
    <x v="8"/>
    <n v="3.13746039561588"/>
    <n v="11.2948574242172"/>
  </r>
  <r>
    <x v="0"/>
    <x v="0"/>
    <x v="0"/>
    <x v="6"/>
    <x v="17"/>
    <x v="44"/>
    <x v="0"/>
    <x v="9"/>
    <n v="3.1099415213608501"/>
    <n v="11.195789476899099"/>
  </r>
  <r>
    <x v="0"/>
    <x v="0"/>
    <x v="0"/>
    <x v="6"/>
    <x v="17"/>
    <x v="44"/>
    <x v="0"/>
    <x v="10"/>
    <n v="3.0333029851696098"/>
    <n v="10.9198907466106"/>
  </r>
  <r>
    <x v="0"/>
    <x v="0"/>
    <x v="0"/>
    <x v="6"/>
    <x v="17"/>
    <x v="44"/>
    <x v="0"/>
    <x v="11"/>
    <n v="2.9875948260744498"/>
    <n v="10.755341373867999"/>
  </r>
  <r>
    <x v="0"/>
    <x v="0"/>
    <x v="0"/>
    <x v="6"/>
    <x v="17"/>
    <x v="44"/>
    <x v="0"/>
    <x v="12"/>
    <n v="2.9187576780792202"/>
    <n v="10.507527641085201"/>
  </r>
  <r>
    <x v="0"/>
    <x v="0"/>
    <x v="0"/>
    <x v="6"/>
    <x v="17"/>
    <x v="44"/>
    <x v="0"/>
    <x v="13"/>
    <n v="2.9187576780792202"/>
    <n v="10.507527641085201"/>
  </r>
  <r>
    <x v="0"/>
    <x v="0"/>
    <x v="0"/>
    <x v="6"/>
    <x v="17"/>
    <x v="44"/>
    <x v="0"/>
    <x v="14"/>
    <n v="2.9187576780792202"/>
    <n v="10.507527641085201"/>
  </r>
  <r>
    <x v="0"/>
    <x v="0"/>
    <x v="0"/>
    <x v="6"/>
    <x v="17"/>
    <x v="44"/>
    <x v="0"/>
    <x v="15"/>
    <n v="2.9324154132274498"/>
    <n v="10.5566954876188"/>
  </r>
  <r>
    <x v="0"/>
    <x v="0"/>
    <x v="0"/>
    <x v="6"/>
    <x v="17"/>
    <x v="44"/>
    <x v="0"/>
    <x v="16"/>
    <n v="2.9324154132274498"/>
    <n v="10.5566954876188"/>
  </r>
  <r>
    <x v="0"/>
    <x v="0"/>
    <x v="0"/>
    <x v="6"/>
    <x v="17"/>
    <x v="44"/>
    <x v="0"/>
    <x v="17"/>
    <n v="2.9324154132274498"/>
    <n v="10.5566954876188"/>
  </r>
  <r>
    <x v="0"/>
    <x v="0"/>
    <x v="0"/>
    <x v="6"/>
    <x v="17"/>
    <x v="44"/>
    <x v="0"/>
    <x v="18"/>
    <n v="2.8249881642770598"/>
    <n v="10.1699573913974"/>
  </r>
  <r>
    <x v="0"/>
    <x v="0"/>
    <x v="0"/>
    <x v="6"/>
    <x v="17"/>
    <x v="44"/>
    <x v="0"/>
    <x v="19"/>
    <n v="2.6299186735141502"/>
    <n v="9.4677072246509493"/>
  </r>
  <r>
    <x v="0"/>
    <x v="0"/>
    <x v="0"/>
    <x v="6"/>
    <x v="17"/>
    <x v="44"/>
    <x v="0"/>
    <x v="20"/>
    <n v="2.6592553287721401"/>
    <n v="9.5733191835797005"/>
  </r>
  <r>
    <x v="0"/>
    <x v="0"/>
    <x v="0"/>
    <x v="6"/>
    <x v="17"/>
    <x v="44"/>
    <x v="0"/>
    <x v="21"/>
    <n v="2.0976590122789198"/>
    <n v="7.5515724442041101"/>
  </r>
  <r>
    <x v="0"/>
    <x v="0"/>
    <x v="0"/>
    <x v="6"/>
    <x v="17"/>
    <x v="44"/>
    <x v="0"/>
    <x v="22"/>
    <n v="2.24227047133714"/>
    <n v="8.0721736968137101"/>
  </r>
  <r>
    <x v="0"/>
    <x v="0"/>
    <x v="0"/>
    <x v="6"/>
    <x v="17"/>
    <x v="44"/>
    <x v="0"/>
    <x v="23"/>
    <n v="2.3076774067127501"/>
    <n v="8.3076386641659106"/>
  </r>
  <r>
    <x v="0"/>
    <x v="0"/>
    <x v="0"/>
    <x v="6"/>
    <x v="17"/>
    <x v="45"/>
    <x v="0"/>
    <x v="0"/>
    <n v="8.6946961441772803"/>
    <n v="31.300906119038199"/>
  </r>
  <r>
    <x v="0"/>
    <x v="0"/>
    <x v="0"/>
    <x v="6"/>
    <x v="17"/>
    <x v="45"/>
    <x v="0"/>
    <x v="1"/>
    <n v="8.6946961441772803"/>
    <n v="31.300906119038199"/>
  </r>
  <r>
    <x v="0"/>
    <x v="0"/>
    <x v="0"/>
    <x v="6"/>
    <x v="17"/>
    <x v="45"/>
    <x v="0"/>
    <x v="2"/>
    <n v="8.6946961441772803"/>
    <n v="31.300906119038199"/>
  </r>
  <r>
    <x v="0"/>
    <x v="0"/>
    <x v="0"/>
    <x v="6"/>
    <x v="17"/>
    <x v="45"/>
    <x v="0"/>
    <x v="3"/>
    <n v="8.6946961441772803"/>
    <n v="31.300906119038199"/>
  </r>
  <r>
    <x v="0"/>
    <x v="0"/>
    <x v="0"/>
    <x v="6"/>
    <x v="17"/>
    <x v="45"/>
    <x v="0"/>
    <x v="4"/>
    <n v="8.6946961441772803"/>
    <n v="31.300906119038199"/>
  </r>
  <r>
    <x v="0"/>
    <x v="0"/>
    <x v="0"/>
    <x v="6"/>
    <x v="17"/>
    <x v="45"/>
    <x v="0"/>
    <x v="5"/>
    <n v="8.6946961441772803"/>
    <n v="31.300906119038199"/>
  </r>
  <r>
    <x v="0"/>
    <x v="0"/>
    <x v="0"/>
    <x v="6"/>
    <x v="17"/>
    <x v="45"/>
    <x v="0"/>
    <x v="6"/>
    <n v="8.20184997121269"/>
    <n v="29.5266598963657"/>
  </r>
  <r>
    <x v="0"/>
    <x v="0"/>
    <x v="0"/>
    <x v="6"/>
    <x v="17"/>
    <x v="45"/>
    <x v="0"/>
    <x v="7"/>
    <n v="7.7256046096377498"/>
    <n v="27.812176594695899"/>
  </r>
  <r>
    <x v="0"/>
    <x v="0"/>
    <x v="0"/>
    <x v="6"/>
    <x v="17"/>
    <x v="45"/>
    <x v="0"/>
    <x v="8"/>
    <n v="7.7256046096377498"/>
    <n v="27.812176594695899"/>
  </r>
  <r>
    <x v="0"/>
    <x v="0"/>
    <x v="0"/>
    <x v="6"/>
    <x v="17"/>
    <x v="45"/>
    <x v="0"/>
    <x v="9"/>
    <n v="7.7256046096377498"/>
    <n v="27.812176594695899"/>
  </r>
  <r>
    <x v="0"/>
    <x v="0"/>
    <x v="0"/>
    <x v="6"/>
    <x v="17"/>
    <x v="45"/>
    <x v="0"/>
    <x v="10"/>
    <n v="7.9631840718305904"/>
    <n v="28.6674626585901"/>
  </r>
  <r>
    <x v="0"/>
    <x v="0"/>
    <x v="0"/>
    <x v="6"/>
    <x v="17"/>
    <x v="45"/>
    <x v="0"/>
    <x v="11"/>
    <n v="8.1048793650255995"/>
    <n v="29.1775657140922"/>
  </r>
  <r>
    <x v="0"/>
    <x v="0"/>
    <x v="0"/>
    <x v="6"/>
    <x v="17"/>
    <x v="45"/>
    <x v="0"/>
    <x v="12"/>
    <n v="8.3182745238107998"/>
    <n v="29.945788285718901"/>
  </r>
  <r>
    <x v="0"/>
    <x v="0"/>
    <x v="0"/>
    <x v="6"/>
    <x v="17"/>
    <x v="45"/>
    <x v="0"/>
    <x v="13"/>
    <n v="8.3182745238107998"/>
    <n v="29.945788285718901"/>
  </r>
  <r>
    <x v="0"/>
    <x v="0"/>
    <x v="0"/>
    <x v="6"/>
    <x v="17"/>
    <x v="45"/>
    <x v="0"/>
    <x v="14"/>
    <n v="8.3182745238107998"/>
    <n v="29.945788285718901"/>
  </r>
  <r>
    <x v="0"/>
    <x v="0"/>
    <x v="0"/>
    <x v="6"/>
    <x v="17"/>
    <x v="45"/>
    <x v="0"/>
    <x v="15"/>
    <n v="8.2759355448513006"/>
    <n v="29.7933679614647"/>
  </r>
  <r>
    <x v="0"/>
    <x v="0"/>
    <x v="0"/>
    <x v="6"/>
    <x v="17"/>
    <x v="45"/>
    <x v="0"/>
    <x v="16"/>
    <n v="8.2759355448513006"/>
    <n v="29.7933679614647"/>
  </r>
  <r>
    <x v="0"/>
    <x v="0"/>
    <x v="0"/>
    <x v="6"/>
    <x v="17"/>
    <x v="45"/>
    <x v="0"/>
    <x v="17"/>
    <n v="8.2759355448513006"/>
    <n v="29.7933679614647"/>
  </r>
  <r>
    <x v="0"/>
    <x v="0"/>
    <x v="0"/>
    <x v="6"/>
    <x v="17"/>
    <x v="45"/>
    <x v="0"/>
    <x v="18"/>
    <n v="8.6089600165974893"/>
    <n v="30.992256059751"/>
  </r>
  <r>
    <x v="0"/>
    <x v="0"/>
    <x v="0"/>
    <x v="6"/>
    <x v="17"/>
    <x v="45"/>
    <x v="0"/>
    <x v="19"/>
    <n v="8.6957694601818698"/>
    <n v="31.3047700566547"/>
  </r>
  <r>
    <x v="0"/>
    <x v="0"/>
    <x v="0"/>
    <x v="6"/>
    <x v="17"/>
    <x v="45"/>
    <x v="0"/>
    <x v="20"/>
    <n v="8.6957694601818698"/>
    <n v="31.3047700566547"/>
  </r>
  <r>
    <x v="0"/>
    <x v="0"/>
    <x v="0"/>
    <x v="6"/>
    <x v="17"/>
    <x v="45"/>
    <x v="0"/>
    <x v="21"/>
    <n v="8.6957694601818698"/>
    <n v="31.3047700566547"/>
  </r>
  <r>
    <x v="0"/>
    <x v="0"/>
    <x v="0"/>
    <x v="6"/>
    <x v="17"/>
    <x v="45"/>
    <x v="0"/>
    <x v="22"/>
    <n v="7.6913925395668503"/>
    <n v="27.689013142440601"/>
  </r>
  <r>
    <x v="0"/>
    <x v="0"/>
    <x v="0"/>
    <x v="6"/>
    <x v="17"/>
    <x v="45"/>
    <x v="0"/>
    <x v="23"/>
    <n v="7.6913925395668503"/>
    <n v="27.689013142440601"/>
  </r>
  <r>
    <x v="0"/>
    <x v="0"/>
    <x v="0"/>
    <x v="6"/>
    <x v="17"/>
    <x v="46"/>
    <x v="0"/>
    <x v="0"/>
    <n v="7.0404444444444501"/>
    <n v="25.345600000000001"/>
  </r>
  <r>
    <x v="0"/>
    <x v="0"/>
    <x v="0"/>
    <x v="6"/>
    <x v="17"/>
    <x v="46"/>
    <x v="0"/>
    <x v="1"/>
    <n v="7.0404444444444501"/>
    <n v="25.345600000000001"/>
  </r>
  <r>
    <x v="0"/>
    <x v="0"/>
    <x v="0"/>
    <x v="6"/>
    <x v="17"/>
    <x v="46"/>
    <x v="0"/>
    <x v="2"/>
    <n v="7.0404444444444501"/>
    <n v="25.345600000000001"/>
  </r>
  <r>
    <x v="0"/>
    <x v="0"/>
    <x v="0"/>
    <x v="6"/>
    <x v="17"/>
    <x v="46"/>
    <x v="0"/>
    <x v="3"/>
    <n v="7.0404444444444501"/>
    <n v="25.345600000000001"/>
  </r>
  <r>
    <x v="0"/>
    <x v="0"/>
    <x v="0"/>
    <x v="6"/>
    <x v="17"/>
    <x v="46"/>
    <x v="0"/>
    <x v="4"/>
    <n v="7.0404444444444501"/>
    <n v="25.345600000000001"/>
  </r>
  <r>
    <x v="0"/>
    <x v="0"/>
    <x v="0"/>
    <x v="6"/>
    <x v="17"/>
    <x v="46"/>
    <x v="0"/>
    <x v="5"/>
    <n v="7.0404444444444501"/>
    <n v="25.345600000000001"/>
  </r>
  <r>
    <x v="0"/>
    <x v="0"/>
    <x v="0"/>
    <x v="6"/>
    <x v="17"/>
    <x v="46"/>
    <x v="0"/>
    <x v="6"/>
    <n v="8.4762261354905295"/>
    <n v="30.5144140877659"/>
  </r>
  <r>
    <x v="0"/>
    <x v="0"/>
    <x v="0"/>
    <x v="6"/>
    <x v="17"/>
    <x v="46"/>
    <x v="0"/>
    <x v="7"/>
    <n v="8.2347579706313407"/>
    <n v="29.645128694272799"/>
  </r>
  <r>
    <x v="0"/>
    <x v="0"/>
    <x v="0"/>
    <x v="6"/>
    <x v="17"/>
    <x v="46"/>
    <x v="0"/>
    <x v="8"/>
    <n v="8.2347579706313407"/>
    <n v="29.645128694272799"/>
  </r>
  <r>
    <x v="0"/>
    <x v="0"/>
    <x v="0"/>
    <x v="6"/>
    <x v="17"/>
    <x v="46"/>
    <x v="0"/>
    <x v="9"/>
    <n v="8.2714406300133003"/>
    <n v="29.777186268047899"/>
  </r>
  <r>
    <x v="0"/>
    <x v="0"/>
    <x v="0"/>
    <x v="6"/>
    <x v="17"/>
    <x v="46"/>
    <x v="0"/>
    <x v="10"/>
    <n v="8.3735997987562207"/>
    <n v="30.1449592755224"/>
  </r>
  <r>
    <x v="0"/>
    <x v="0"/>
    <x v="0"/>
    <x v="6"/>
    <x v="17"/>
    <x v="46"/>
    <x v="0"/>
    <x v="11"/>
    <n v="8.4345287748300795"/>
    <n v="30.3643035893883"/>
  </r>
  <r>
    <x v="0"/>
    <x v="0"/>
    <x v="0"/>
    <x v="6"/>
    <x v="17"/>
    <x v="46"/>
    <x v="0"/>
    <x v="12"/>
    <n v="8.5262886931077109"/>
    <n v="30.694639295187802"/>
  </r>
  <r>
    <x v="0"/>
    <x v="0"/>
    <x v="0"/>
    <x v="6"/>
    <x v="17"/>
    <x v="46"/>
    <x v="0"/>
    <x v="13"/>
    <n v="8.5262886931077109"/>
    <n v="30.694639295187802"/>
  </r>
  <r>
    <x v="0"/>
    <x v="0"/>
    <x v="0"/>
    <x v="6"/>
    <x v="17"/>
    <x v="46"/>
    <x v="0"/>
    <x v="14"/>
    <n v="8.5262886931077109"/>
    <n v="30.694639295187802"/>
  </r>
  <r>
    <x v="0"/>
    <x v="0"/>
    <x v="0"/>
    <x v="6"/>
    <x v="17"/>
    <x v="46"/>
    <x v="0"/>
    <x v="15"/>
    <n v="8.5080829321551299"/>
    <n v="30.6290985557585"/>
  </r>
  <r>
    <x v="0"/>
    <x v="0"/>
    <x v="0"/>
    <x v="6"/>
    <x v="17"/>
    <x v="46"/>
    <x v="0"/>
    <x v="16"/>
    <n v="8.5080829321551299"/>
    <n v="30.6290985557585"/>
  </r>
  <r>
    <x v="0"/>
    <x v="0"/>
    <x v="0"/>
    <x v="6"/>
    <x v="17"/>
    <x v="46"/>
    <x v="0"/>
    <x v="17"/>
    <n v="8.5080829321551299"/>
    <n v="30.6290985557585"/>
  </r>
  <r>
    <x v="0"/>
    <x v="0"/>
    <x v="0"/>
    <x v="6"/>
    <x v="17"/>
    <x v="46"/>
    <x v="0"/>
    <x v="18"/>
    <n v="8.5730417046116205"/>
    <n v="30.8629501366018"/>
  </r>
  <r>
    <x v="0"/>
    <x v="0"/>
    <x v="0"/>
    <x v="6"/>
    <x v="17"/>
    <x v="46"/>
    <x v="0"/>
    <x v="19"/>
    <n v="8.5730417046116205"/>
    <n v="30.8629501366018"/>
  </r>
  <r>
    <x v="0"/>
    <x v="0"/>
    <x v="0"/>
    <x v="6"/>
    <x v="17"/>
    <x v="46"/>
    <x v="0"/>
    <x v="20"/>
    <n v="7.0404444444444501"/>
    <n v="25.345600000000001"/>
  </r>
  <r>
    <x v="0"/>
    <x v="0"/>
    <x v="0"/>
    <x v="6"/>
    <x v="17"/>
    <x v="46"/>
    <x v="0"/>
    <x v="21"/>
    <n v="7.0404444444444501"/>
    <n v="25.345600000000001"/>
  </r>
  <r>
    <x v="0"/>
    <x v="0"/>
    <x v="0"/>
    <x v="6"/>
    <x v="17"/>
    <x v="46"/>
    <x v="0"/>
    <x v="22"/>
    <n v="7.0404444444444501"/>
    <n v="25.345600000000001"/>
  </r>
  <r>
    <x v="0"/>
    <x v="0"/>
    <x v="0"/>
    <x v="6"/>
    <x v="17"/>
    <x v="46"/>
    <x v="0"/>
    <x v="23"/>
    <n v="7.0404444444444501"/>
    <n v="25.345600000000001"/>
  </r>
  <r>
    <x v="0"/>
    <x v="0"/>
    <x v="0"/>
    <x v="6"/>
    <x v="17"/>
    <x v="47"/>
    <x v="0"/>
    <x v="0"/>
    <n v="0.78219470650008205"/>
    <n v="2.8159009434003002"/>
  </r>
  <r>
    <x v="0"/>
    <x v="0"/>
    <x v="0"/>
    <x v="6"/>
    <x v="17"/>
    <x v="47"/>
    <x v="0"/>
    <x v="1"/>
    <n v="0.78219470650008205"/>
    <n v="2.8159009434003002"/>
  </r>
  <r>
    <x v="0"/>
    <x v="0"/>
    <x v="0"/>
    <x v="6"/>
    <x v="17"/>
    <x v="47"/>
    <x v="0"/>
    <x v="2"/>
    <n v="0.78219470650008205"/>
    <n v="2.8159009434003002"/>
  </r>
  <r>
    <x v="0"/>
    <x v="0"/>
    <x v="0"/>
    <x v="6"/>
    <x v="17"/>
    <x v="47"/>
    <x v="0"/>
    <x v="3"/>
    <n v="0.78219470650008205"/>
    <n v="2.8159009434003002"/>
  </r>
  <r>
    <x v="0"/>
    <x v="0"/>
    <x v="0"/>
    <x v="6"/>
    <x v="17"/>
    <x v="47"/>
    <x v="0"/>
    <x v="4"/>
    <n v="0.78219470650008205"/>
    <n v="2.8159009434003002"/>
  </r>
  <r>
    <x v="0"/>
    <x v="0"/>
    <x v="0"/>
    <x v="6"/>
    <x v="17"/>
    <x v="47"/>
    <x v="0"/>
    <x v="5"/>
    <n v="0.78219470650008205"/>
    <n v="2.8159009434003002"/>
  </r>
  <r>
    <x v="0"/>
    <x v="0"/>
    <x v="0"/>
    <x v="6"/>
    <x v="17"/>
    <x v="47"/>
    <x v="0"/>
    <x v="6"/>
    <n v="1.98541040151229"/>
    <n v="7.1474774454442498"/>
  </r>
  <r>
    <x v="0"/>
    <x v="0"/>
    <x v="0"/>
    <x v="6"/>
    <x v="17"/>
    <x v="47"/>
    <x v="0"/>
    <x v="7"/>
    <n v="1.98541040151229"/>
    <n v="7.1474774454442498"/>
  </r>
  <r>
    <x v="0"/>
    <x v="0"/>
    <x v="0"/>
    <x v="6"/>
    <x v="17"/>
    <x v="47"/>
    <x v="0"/>
    <x v="8"/>
    <n v="1.98541040151229"/>
    <n v="7.1474774454442498"/>
  </r>
  <r>
    <x v="0"/>
    <x v="0"/>
    <x v="0"/>
    <x v="6"/>
    <x v="17"/>
    <x v="47"/>
    <x v="0"/>
    <x v="9"/>
    <n v="1.98541040151229"/>
    <n v="7.1474774454442498"/>
  </r>
  <r>
    <x v="0"/>
    <x v="0"/>
    <x v="0"/>
    <x v="6"/>
    <x v="17"/>
    <x v="47"/>
    <x v="0"/>
    <x v="10"/>
    <n v="1.98541040151229"/>
    <n v="7.1474774454442498"/>
  </r>
  <r>
    <x v="0"/>
    <x v="0"/>
    <x v="0"/>
    <x v="6"/>
    <x v="17"/>
    <x v="47"/>
    <x v="0"/>
    <x v="11"/>
    <n v="1.98541040151229"/>
    <n v="7.1474774454442498"/>
  </r>
  <r>
    <x v="0"/>
    <x v="0"/>
    <x v="0"/>
    <x v="6"/>
    <x v="17"/>
    <x v="47"/>
    <x v="0"/>
    <x v="12"/>
    <n v="1.98541040151229"/>
    <n v="7.1474774454442498"/>
  </r>
  <r>
    <x v="0"/>
    <x v="0"/>
    <x v="0"/>
    <x v="6"/>
    <x v="17"/>
    <x v="47"/>
    <x v="0"/>
    <x v="13"/>
    <n v="1.98541040151229"/>
    <n v="7.1474774454442498"/>
  </r>
  <r>
    <x v="0"/>
    <x v="0"/>
    <x v="0"/>
    <x v="6"/>
    <x v="17"/>
    <x v="47"/>
    <x v="0"/>
    <x v="14"/>
    <n v="1.98541040151229"/>
    <n v="7.1474774454442498"/>
  </r>
  <r>
    <x v="0"/>
    <x v="0"/>
    <x v="0"/>
    <x v="6"/>
    <x v="17"/>
    <x v="47"/>
    <x v="0"/>
    <x v="15"/>
    <n v="1.98541040151229"/>
    <n v="7.1474774454442498"/>
  </r>
  <r>
    <x v="0"/>
    <x v="0"/>
    <x v="0"/>
    <x v="6"/>
    <x v="17"/>
    <x v="47"/>
    <x v="0"/>
    <x v="16"/>
    <n v="1.98541040151229"/>
    <n v="7.1474774454442498"/>
  </r>
  <r>
    <x v="0"/>
    <x v="0"/>
    <x v="0"/>
    <x v="6"/>
    <x v="17"/>
    <x v="47"/>
    <x v="0"/>
    <x v="17"/>
    <n v="0.78219470650008205"/>
    <n v="2.8159009434003002"/>
  </r>
  <r>
    <x v="0"/>
    <x v="0"/>
    <x v="0"/>
    <x v="6"/>
    <x v="17"/>
    <x v="47"/>
    <x v="0"/>
    <x v="18"/>
    <n v="0.78219470650008205"/>
    <n v="2.8159009434003002"/>
  </r>
  <r>
    <x v="0"/>
    <x v="0"/>
    <x v="0"/>
    <x v="6"/>
    <x v="17"/>
    <x v="47"/>
    <x v="0"/>
    <x v="19"/>
    <n v="0.78219470650008205"/>
    <n v="2.8159009434003002"/>
  </r>
  <r>
    <x v="0"/>
    <x v="0"/>
    <x v="0"/>
    <x v="6"/>
    <x v="17"/>
    <x v="47"/>
    <x v="0"/>
    <x v="20"/>
    <n v="0.78219470650008205"/>
    <n v="2.8159009434003002"/>
  </r>
  <r>
    <x v="0"/>
    <x v="0"/>
    <x v="0"/>
    <x v="6"/>
    <x v="17"/>
    <x v="47"/>
    <x v="0"/>
    <x v="21"/>
    <n v="0.78219470650008205"/>
    <n v="2.8159009434003002"/>
  </r>
  <r>
    <x v="0"/>
    <x v="0"/>
    <x v="0"/>
    <x v="6"/>
    <x v="17"/>
    <x v="47"/>
    <x v="0"/>
    <x v="22"/>
    <n v="0.78219470650008205"/>
    <n v="2.8159009434003002"/>
  </r>
  <r>
    <x v="0"/>
    <x v="0"/>
    <x v="0"/>
    <x v="6"/>
    <x v="17"/>
    <x v="47"/>
    <x v="0"/>
    <x v="23"/>
    <n v="0.78219470650008205"/>
    <n v="2.8159009434003002"/>
  </r>
</pivotCacheRecords>
</file>

<file path=xl/pivotCache/pivotCacheRecords2.xml><?xml version="1.0" encoding="utf-8"?>
<pivotCacheRecords xmlns="http://schemas.openxmlformats.org/spreadsheetml/2006/main" xmlns:r="http://schemas.openxmlformats.org/officeDocument/2006/relationships" count="528">
  <r>
    <x v="0"/>
    <x v="0"/>
    <x v="0"/>
    <x v="0"/>
    <x v="0"/>
    <x v="0"/>
    <x v="0"/>
    <n v="28.934024296011302"/>
  </r>
  <r>
    <x v="0"/>
    <x v="0"/>
    <x v="0"/>
    <x v="0"/>
    <x v="0"/>
    <x v="0"/>
    <x v="1"/>
    <n v="28.934024296011302"/>
  </r>
  <r>
    <x v="0"/>
    <x v="0"/>
    <x v="0"/>
    <x v="0"/>
    <x v="0"/>
    <x v="0"/>
    <x v="2"/>
    <n v="28.934024296011302"/>
  </r>
  <r>
    <x v="0"/>
    <x v="0"/>
    <x v="0"/>
    <x v="0"/>
    <x v="0"/>
    <x v="0"/>
    <x v="3"/>
    <n v="28.934024296011302"/>
  </r>
  <r>
    <x v="0"/>
    <x v="0"/>
    <x v="0"/>
    <x v="0"/>
    <x v="0"/>
    <x v="0"/>
    <x v="4"/>
    <n v="28.934024296011302"/>
  </r>
  <r>
    <x v="0"/>
    <x v="0"/>
    <x v="0"/>
    <x v="0"/>
    <x v="0"/>
    <x v="0"/>
    <x v="5"/>
    <n v="28.934024296011302"/>
  </r>
  <r>
    <x v="0"/>
    <x v="0"/>
    <x v="0"/>
    <x v="0"/>
    <x v="0"/>
    <x v="0"/>
    <x v="6"/>
    <n v="30.279095693304399"/>
  </r>
  <r>
    <x v="0"/>
    <x v="0"/>
    <x v="0"/>
    <x v="0"/>
    <x v="0"/>
    <x v="0"/>
    <x v="7"/>
    <n v="34.227333312781099"/>
  </r>
  <r>
    <x v="0"/>
    <x v="0"/>
    <x v="0"/>
    <x v="0"/>
    <x v="0"/>
    <x v="0"/>
    <x v="8"/>
    <n v="34.227333312781099"/>
  </r>
  <r>
    <x v="0"/>
    <x v="0"/>
    <x v="0"/>
    <x v="0"/>
    <x v="0"/>
    <x v="0"/>
    <x v="9"/>
    <n v="34.227333312781099"/>
  </r>
  <r>
    <x v="0"/>
    <x v="0"/>
    <x v="0"/>
    <x v="0"/>
    <x v="0"/>
    <x v="0"/>
    <x v="10"/>
    <n v="31.067635987034201"/>
  </r>
  <r>
    <x v="0"/>
    <x v="0"/>
    <x v="0"/>
    <x v="0"/>
    <x v="0"/>
    <x v="0"/>
    <x v="11"/>
    <n v="30.599481766404502"/>
  </r>
  <r>
    <x v="0"/>
    <x v="0"/>
    <x v="0"/>
    <x v="0"/>
    <x v="0"/>
    <x v="0"/>
    <x v="12"/>
    <n v="29.894434746178099"/>
  </r>
  <r>
    <x v="0"/>
    <x v="0"/>
    <x v="0"/>
    <x v="0"/>
    <x v="0"/>
    <x v="0"/>
    <x v="13"/>
    <n v="29.894434746178"/>
  </r>
  <r>
    <x v="0"/>
    <x v="0"/>
    <x v="0"/>
    <x v="0"/>
    <x v="0"/>
    <x v="0"/>
    <x v="14"/>
    <n v="29.894434746178"/>
  </r>
  <r>
    <x v="0"/>
    <x v="0"/>
    <x v="0"/>
    <x v="0"/>
    <x v="0"/>
    <x v="0"/>
    <x v="15"/>
    <n v="30.034320632646899"/>
  </r>
  <r>
    <x v="0"/>
    <x v="0"/>
    <x v="0"/>
    <x v="0"/>
    <x v="0"/>
    <x v="0"/>
    <x v="16"/>
    <n v="30.034320632646899"/>
  </r>
  <r>
    <x v="0"/>
    <x v="0"/>
    <x v="0"/>
    <x v="0"/>
    <x v="0"/>
    <x v="0"/>
    <x v="17"/>
    <n v="30.034320632646899"/>
  </r>
  <r>
    <x v="0"/>
    <x v="0"/>
    <x v="0"/>
    <x v="0"/>
    <x v="0"/>
    <x v="0"/>
    <x v="18"/>
    <n v="28.934024296011302"/>
  </r>
  <r>
    <x v="0"/>
    <x v="0"/>
    <x v="0"/>
    <x v="0"/>
    <x v="0"/>
    <x v="0"/>
    <x v="19"/>
    <n v="28.638766286838599"/>
  </r>
  <r>
    <x v="0"/>
    <x v="0"/>
    <x v="0"/>
    <x v="0"/>
    <x v="0"/>
    <x v="0"/>
    <x v="20"/>
    <n v="28.347956644251401"/>
  </r>
  <r>
    <x v="0"/>
    <x v="0"/>
    <x v="0"/>
    <x v="0"/>
    <x v="0"/>
    <x v="0"/>
    <x v="21"/>
    <n v="27.533481766404499"/>
  </r>
  <r>
    <x v="0"/>
    <x v="0"/>
    <x v="0"/>
    <x v="0"/>
    <x v="0"/>
    <x v="0"/>
    <x v="22"/>
    <n v="26.5544057664045"/>
  </r>
  <r>
    <x v="0"/>
    <x v="0"/>
    <x v="0"/>
    <x v="0"/>
    <x v="0"/>
    <x v="0"/>
    <x v="23"/>
    <n v="26.1115752944843"/>
  </r>
  <r>
    <x v="0"/>
    <x v="0"/>
    <x v="0"/>
    <x v="0"/>
    <x v="1"/>
    <x v="0"/>
    <x v="0"/>
    <n v="28.944759520706501"/>
  </r>
  <r>
    <x v="0"/>
    <x v="0"/>
    <x v="0"/>
    <x v="0"/>
    <x v="1"/>
    <x v="0"/>
    <x v="1"/>
    <n v="28.944759520706501"/>
  </r>
  <r>
    <x v="0"/>
    <x v="0"/>
    <x v="0"/>
    <x v="0"/>
    <x v="1"/>
    <x v="0"/>
    <x v="2"/>
    <n v="28.944759520706501"/>
  </r>
  <r>
    <x v="0"/>
    <x v="0"/>
    <x v="0"/>
    <x v="0"/>
    <x v="1"/>
    <x v="0"/>
    <x v="3"/>
    <n v="28.944759520706501"/>
  </r>
  <r>
    <x v="0"/>
    <x v="0"/>
    <x v="0"/>
    <x v="0"/>
    <x v="1"/>
    <x v="0"/>
    <x v="4"/>
    <n v="29.5908756203042"/>
  </r>
  <r>
    <x v="0"/>
    <x v="0"/>
    <x v="0"/>
    <x v="0"/>
    <x v="1"/>
    <x v="0"/>
    <x v="5"/>
    <n v="29.906950504174901"/>
  </r>
  <r>
    <x v="0"/>
    <x v="0"/>
    <x v="0"/>
    <x v="0"/>
    <x v="1"/>
    <x v="0"/>
    <x v="6"/>
    <n v="31.606678385495201"/>
  </r>
  <r>
    <x v="0"/>
    <x v="0"/>
    <x v="0"/>
    <x v="0"/>
    <x v="1"/>
    <x v="0"/>
    <x v="7"/>
    <n v="35.728012017516797"/>
  </r>
  <r>
    <x v="0"/>
    <x v="0"/>
    <x v="0"/>
    <x v="0"/>
    <x v="1"/>
    <x v="0"/>
    <x v="8"/>
    <n v="35.728012017516797"/>
  </r>
  <r>
    <x v="0"/>
    <x v="0"/>
    <x v="0"/>
    <x v="0"/>
    <x v="1"/>
    <x v="0"/>
    <x v="9"/>
    <n v="35.728012017516797"/>
  </r>
  <r>
    <x v="0"/>
    <x v="0"/>
    <x v="0"/>
    <x v="0"/>
    <x v="1"/>
    <x v="0"/>
    <x v="10"/>
    <n v="32.429789339284198"/>
  </r>
  <r>
    <x v="0"/>
    <x v="0"/>
    <x v="0"/>
    <x v="0"/>
    <x v="1"/>
    <x v="0"/>
    <x v="11"/>
    <n v="31.941110612113199"/>
  </r>
  <r>
    <x v="0"/>
    <x v="0"/>
    <x v="0"/>
    <x v="0"/>
    <x v="1"/>
    <x v="0"/>
    <x v="12"/>
    <n v="31.2051533884948"/>
  </r>
  <r>
    <x v="0"/>
    <x v="0"/>
    <x v="0"/>
    <x v="0"/>
    <x v="1"/>
    <x v="0"/>
    <x v="13"/>
    <n v="31.2051533884948"/>
  </r>
  <r>
    <x v="0"/>
    <x v="0"/>
    <x v="0"/>
    <x v="0"/>
    <x v="1"/>
    <x v="0"/>
    <x v="14"/>
    <n v="31.2051533884948"/>
  </r>
  <r>
    <x v="0"/>
    <x v="0"/>
    <x v="0"/>
    <x v="0"/>
    <x v="1"/>
    <x v="0"/>
    <x v="15"/>
    <n v="31.351172059130398"/>
  </r>
  <r>
    <x v="0"/>
    <x v="0"/>
    <x v="0"/>
    <x v="0"/>
    <x v="1"/>
    <x v="0"/>
    <x v="16"/>
    <n v="31.351172059130398"/>
  </r>
  <r>
    <x v="0"/>
    <x v="0"/>
    <x v="0"/>
    <x v="0"/>
    <x v="1"/>
    <x v="0"/>
    <x v="17"/>
    <n v="31.351172059130398"/>
  </r>
  <r>
    <x v="0"/>
    <x v="0"/>
    <x v="0"/>
    <x v="0"/>
    <x v="1"/>
    <x v="0"/>
    <x v="18"/>
    <n v="30.2026372609721"/>
  </r>
  <r>
    <x v="0"/>
    <x v="0"/>
    <x v="0"/>
    <x v="0"/>
    <x v="1"/>
    <x v="0"/>
    <x v="19"/>
    <n v="29.894434746178"/>
  </r>
  <r>
    <x v="0"/>
    <x v="0"/>
    <x v="0"/>
    <x v="0"/>
    <x v="1"/>
    <x v="0"/>
    <x v="20"/>
    <n v="29.5908756203042"/>
  </r>
  <r>
    <x v="0"/>
    <x v="0"/>
    <x v="0"/>
    <x v="0"/>
    <x v="1"/>
    <x v="0"/>
    <x v="21"/>
    <n v="28.7406930755788"/>
  </r>
  <r>
    <x v="0"/>
    <x v="0"/>
    <x v="0"/>
    <x v="0"/>
    <x v="1"/>
    <x v="0"/>
    <x v="22"/>
    <n v="27.718693075578798"/>
  </r>
  <r>
    <x v="0"/>
    <x v="0"/>
    <x v="0"/>
    <x v="0"/>
    <x v="1"/>
    <x v="0"/>
    <x v="23"/>
    <n v="27.2564483240964"/>
  </r>
  <r>
    <x v="0"/>
    <x v="0"/>
    <x v="0"/>
    <x v="1"/>
    <x v="2"/>
    <x v="0"/>
    <x v="0"/>
    <n v="33.161752116044198"/>
  </r>
  <r>
    <x v="0"/>
    <x v="0"/>
    <x v="0"/>
    <x v="1"/>
    <x v="2"/>
    <x v="0"/>
    <x v="1"/>
    <n v="32.368436929031098"/>
  </r>
  <r>
    <x v="0"/>
    <x v="0"/>
    <x v="0"/>
    <x v="1"/>
    <x v="2"/>
    <x v="0"/>
    <x v="2"/>
    <n v="30.991511178758898"/>
  </r>
  <r>
    <x v="0"/>
    <x v="0"/>
    <x v="0"/>
    <x v="1"/>
    <x v="2"/>
    <x v="0"/>
    <x v="3"/>
    <n v="31.0020301577288"/>
  </r>
  <r>
    <x v="0"/>
    <x v="0"/>
    <x v="0"/>
    <x v="1"/>
    <x v="2"/>
    <x v="0"/>
    <x v="4"/>
    <n v="31.316213300128101"/>
  </r>
  <r>
    <x v="0"/>
    <x v="0"/>
    <x v="0"/>
    <x v="1"/>
    <x v="2"/>
    <x v="0"/>
    <x v="5"/>
    <n v="33.561046746230303"/>
  </r>
  <r>
    <x v="0"/>
    <x v="0"/>
    <x v="0"/>
    <x v="1"/>
    <x v="2"/>
    <x v="0"/>
    <x v="6"/>
    <n v="34.4390044642143"/>
  </r>
  <r>
    <x v="0"/>
    <x v="0"/>
    <x v="0"/>
    <x v="1"/>
    <x v="2"/>
    <x v="0"/>
    <x v="7"/>
    <n v="36.5492277819137"/>
  </r>
  <r>
    <x v="0"/>
    <x v="0"/>
    <x v="0"/>
    <x v="1"/>
    <x v="2"/>
    <x v="0"/>
    <x v="8"/>
    <n v="36.5492277819137"/>
  </r>
  <r>
    <x v="0"/>
    <x v="0"/>
    <x v="0"/>
    <x v="1"/>
    <x v="2"/>
    <x v="0"/>
    <x v="9"/>
    <n v="36.2286530045794"/>
  </r>
  <r>
    <x v="0"/>
    <x v="0"/>
    <x v="0"/>
    <x v="1"/>
    <x v="2"/>
    <x v="0"/>
    <x v="10"/>
    <n v="35.335870056881902"/>
  </r>
  <r>
    <x v="0"/>
    <x v="0"/>
    <x v="0"/>
    <x v="1"/>
    <x v="2"/>
    <x v="0"/>
    <x v="11"/>
    <n v="34.803403401869403"/>
  </r>
  <r>
    <x v="0"/>
    <x v="0"/>
    <x v="0"/>
    <x v="1"/>
    <x v="2"/>
    <x v="0"/>
    <x v="12"/>
    <n v="34.001500926267397"/>
  </r>
  <r>
    <x v="0"/>
    <x v="0"/>
    <x v="0"/>
    <x v="1"/>
    <x v="2"/>
    <x v="0"/>
    <x v="13"/>
    <n v="34.001500926267397"/>
  </r>
  <r>
    <x v="0"/>
    <x v="0"/>
    <x v="0"/>
    <x v="1"/>
    <x v="2"/>
    <x v="0"/>
    <x v="14"/>
    <n v="34.001500926267397"/>
  </r>
  <r>
    <x v="0"/>
    <x v="0"/>
    <x v="0"/>
    <x v="1"/>
    <x v="2"/>
    <x v="0"/>
    <x v="15"/>
    <n v="34.4810665143074"/>
  </r>
  <r>
    <x v="0"/>
    <x v="0"/>
    <x v="0"/>
    <x v="1"/>
    <x v="2"/>
    <x v="0"/>
    <x v="16"/>
    <n v="41.261995159114797"/>
  </r>
  <r>
    <x v="0"/>
    <x v="0"/>
    <x v="0"/>
    <x v="1"/>
    <x v="2"/>
    <x v="0"/>
    <x v="17"/>
    <n v="41.261995159114797"/>
  </r>
  <r>
    <x v="0"/>
    <x v="0"/>
    <x v="0"/>
    <x v="1"/>
    <x v="2"/>
    <x v="0"/>
    <x v="18"/>
    <n v="35.3388605757942"/>
  </r>
  <r>
    <x v="0"/>
    <x v="0"/>
    <x v="0"/>
    <x v="1"/>
    <x v="2"/>
    <x v="0"/>
    <x v="19"/>
    <n v="34.4810665143074"/>
  </r>
  <r>
    <x v="0"/>
    <x v="0"/>
    <x v="0"/>
    <x v="1"/>
    <x v="2"/>
    <x v="0"/>
    <x v="20"/>
    <n v="33.607577854979702"/>
  </r>
  <r>
    <x v="0"/>
    <x v="0"/>
    <x v="0"/>
    <x v="1"/>
    <x v="2"/>
    <x v="0"/>
    <x v="21"/>
    <n v="33.607577854979702"/>
  </r>
  <r>
    <x v="0"/>
    <x v="0"/>
    <x v="0"/>
    <x v="1"/>
    <x v="2"/>
    <x v="0"/>
    <x v="22"/>
    <n v="33.607577854979702"/>
  </r>
  <r>
    <x v="0"/>
    <x v="0"/>
    <x v="0"/>
    <x v="1"/>
    <x v="2"/>
    <x v="0"/>
    <x v="23"/>
    <n v="31.280648977772898"/>
  </r>
  <r>
    <x v="0"/>
    <x v="0"/>
    <x v="0"/>
    <x v="2"/>
    <x v="3"/>
    <x v="0"/>
    <x v="0"/>
    <n v="29.699842691104202"/>
  </r>
  <r>
    <x v="0"/>
    <x v="0"/>
    <x v="0"/>
    <x v="2"/>
    <x v="3"/>
    <x v="0"/>
    <x v="1"/>
    <n v="28.944759520706501"/>
  </r>
  <r>
    <x v="0"/>
    <x v="0"/>
    <x v="0"/>
    <x v="2"/>
    <x v="3"/>
    <x v="0"/>
    <x v="2"/>
    <n v="28.944759520706501"/>
  </r>
  <r>
    <x v="0"/>
    <x v="0"/>
    <x v="0"/>
    <x v="2"/>
    <x v="3"/>
    <x v="0"/>
    <x v="3"/>
    <n v="29.699842691104202"/>
  </r>
  <r>
    <x v="0"/>
    <x v="0"/>
    <x v="0"/>
    <x v="2"/>
    <x v="3"/>
    <x v="0"/>
    <x v="4"/>
    <n v="30.000830141522702"/>
  </r>
  <r>
    <x v="0"/>
    <x v="0"/>
    <x v="0"/>
    <x v="2"/>
    <x v="3"/>
    <x v="0"/>
    <x v="5"/>
    <n v="31.218217854044799"/>
  </r>
  <r>
    <x v="0"/>
    <x v="0"/>
    <x v="0"/>
    <x v="2"/>
    <x v="3"/>
    <x v="0"/>
    <x v="6"/>
    <n v="32.992464076717297"/>
  </r>
  <r>
    <x v="0"/>
    <x v="0"/>
    <x v="0"/>
    <x v="2"/>
    <x v="3"/>
    <x v="0"/>
    <x v="7"/>
    <n v="35.014058015073303"/>
  </r>
  <r>
    <x v="0"/>
    <x v="0"/>
    <x v="0"/>
    <x v="2"/>
    <x v="3"/>
    <x v="0"/>
    <x v="8"/>
    <n v="35.014058015073303"/>
  </r>
  <r>
    <x v="0"/>
    <x v="0"/>
    <x v="0"/>
    <x v="2"/>
    <x v="3"/>
    <x v="0"/>
    <x v="9"/>
    <n v="34.706947378387099"/>
  </r>
  <r>
    <x v="0"/>
    <x v="0"/>
    <x v="0"/>
    <x v="2"/>
    <x v="3"/>
    <x v="0"/>
    <x v="10"/>
    <n v="33.851661314492901"/>
  </r>
  <r>
    <x v="0"/>
    <x v="0"/>
    <x v="0"/>
    <x v="2"/>
    <x v="3"/>
    <x v="0"/>
    <x v="11"/>
    <n v="33.341558258990901"/>
  </r>
  <r>
    <x v="0"/>
    <x v="0"/>
    <x v="0"/>
    <x v="2"/>
    <x v="3"/>
    <x v="0"/>
    <x v="12"/>
    <n v="32.5733356873641"/>
  </r>
  <r>
    <x v="0"/>
    <x v="0"/>
    <x v="0"/>
    <x v="2"/>
    <x v="3"/>
    <x v="0"/>
    <x v="13"/>
    <n v="32.5733356873641"/>
  </r>
  <r>
    <x v="0"/>
    <x v="0"/>
    <x v="0"/>
    <x v="2"/>
    <x v="3"/>
    <x v="0"/>
    <x v="14"/>
    <n v="32.5733356873641"/>
  </r>
  <r>
    <x v="0"/>
    <x v="0"/>
    <x v="0"/>
    <x v="2"/>
    <x v="3"/>
    <x v="0"/>
    <x v="15"/>
    <n v="33.032759520706499"/>
  </r>
  <r>
    <x v="0"/>
    <x v="0"/>
    <x v="0"/>
    <x v="2"/>
    <x v="3"/>
    <x v="0"/>
    <x v="16"/>
    <n v="33.032759520706499"/>
  </r>
  <r>
    <x v="0"/>
    <x v="0"/>
    <x v="0"/>
    <x v="2"/>
    <x v="3"/>
    <x v="0"/>
    <x v="17"/>
    <n v="33.032759520706499"/>
  </r>
  <r>
    <x v="0"/>
    <x v="0"/>
    <x v="0"/>
    <x v="2"/>
    <x v="3"/>
    <x v="0"/>
    <x v="18"/>
    <n v="33.854526231610897"/>
  </r>
  <r>
    <x v="0"/>
    <x v="0"/>
    <x v="0"/>
    <x v="2"/>
    <x v="3"/>
    <x v="0"/>
    <x v="19"/>
    <n v="33.032759520706499"/>
  </r>
  <r>
    <x v="0"/>
    <x v="0"/>
    <x v="0"/>
    <x v="2"/>
    <x v="3"/>
    <x v="0"/>
    <x v="20"/>
    <n v="32.0107595207065"/>
  </r>
  <r>
    <x v="0"/>
    <x v="0"/>
    <x v="0"/>
    <x v="2"/>
    <x v="3"/>
    <x v="0"/>
    <x v="21"/>
    <n v="32.1959573850705"/>
  </r>
  <r>
    <x v="0"/>
    <x v="0"/>
    <x v="0"/>
    <x v="2"/>
    <x v="3"/>
    <x v="0"/>
    <x v="22"/>
    <n v="31.218217854044799"/>
  </r>
  <r>
    <x v="0"/>
    <x v="0"/>
    <x v="0"/>
    <x v="2"/>
    <x v="3"/>
    <x v="0"/>
    <x v="23"/>
    <n v="29.9667595207065"/>
  </r>
  <r>
    <x v="0"/>
    <x v="0"/>
    <x v="0"/>
    <x v="3"/>
    <x v="4"/>
    <x v="0"/>
    <x v="0"/>
    <n v="27.728977420836799"/>
  </r>
  <r>
    <x v="0"/>
    <x v="0"/>
    <x v="0"/>
    <x v="3"/>
    <x v="4"/>
    <x v="0"/>
    <x v="1"/>
    <n v="27.728977420836799"/>
  </r>
  <r>
    <x v="0"/>
    <x v="0"/>
    <x v="0"/>
    <x v="3"/>
    <x v="4"/>
    <x v="0"/>
    <x v="2"/>
    <n v="27.728977420836799"/>
  </r>
  <r>
    <x v="0"/>
    <x v="0"/>
    <x v="0"/>
    <x v="3"/>
    <x v="4"/>
    <x v="0"/>
    <x v="3"/>
    <n v="27.728977420836799"/>
  </r>
  <r>
    <x v="0"/>
    <x v="0"/>
    <x v="0"/>
    <x v="3"/>
    <x v="4"/>
    <x v="0"/>
    <x v="4"/>
    <n v="28.347956644251401"/>
  </r>
  <r>
    <x v="0"/>
    <x v="0"/>
    <x v="0"/>
    <x v="3"/>
    <x v="4"/>
    <x v="0"/>
    <x v="5"/>
    <n v="30.174645212897602"/>
  </r>
  <r>
    <x v="0"/>
    <x v="0"/>
    <x v="0"/>
    <x v="3"/>
    <x v="4"/>
    <x v="0"/>
    <x v="6"/>
    <n v="32.878654338694503"/>
  </r>
  <r>
    <x v="0"/>
    <x v="0"/>
    <x v="0"/>
    <x v="3"/>
    <x v="4"/>
    <x v="0"/>
    <x v="7"/>
    <n v="35.728012017516797"/>
  </r>
  <r>
    <x v="0"/>
    <x v="0"/>
    <x v="0"/>
    <x v="3"/>
    <x v="4"/>
    <x v="0"/>
    <x v="8"/>
    <n v="35.728012017516797"/>
  </r>
  <r>
    <x v="0"/>
    <x v="0"/>
    <x v="0"/>
    <x v="3"/>
    <x v="4"/>
    <x v="0"/>
    <x v="9"/>
    <n v="35.728012017516797"/>
  </r>
  <r>
    <x v="0"/>
    <x v="0"/>
    <x v="0"/>
    <x v="3"/>
    <x v="4"/>
    <x v="0"/>
    <x v="10"/>
    <n v="31.606678385495201"/>
  </r>
  <r>
    <x v="0"/>
    <x v="0"/>
    <x v="0"/>
    <x v="3"/>
    <x v="4"/>
    <x v="0"/>
    <x v="11"/>
    <n v="31.2051533884948"/>
  </r>
  <r>
    <x v="0"/>
    <x v="0"/>
    <x v="0"/>
    <x v="3"/>
    <x v="4"/>
    <x v="0"/>
    <x v="12"/>
    <n v="31.2051533884948"/>
  </r>
  <r>
    <x v="0"/>
    <x v="0"/>
    <x v="0"/>
    <x v="3"/>
    <x v="4"/>
    <x v="0"/>
    <x v="13"/>
    <n v="31.2051533884948"/>
  </r>
  <r>
    <x v="0"/>
    <x v="0"/>
    <x v="0"/>
    <x v="3"/>
    <x v="4"/>
    <x v="0"/>
    <x v="14"/>
    <n v="31.2051533884948"/>
  </r>
  <r>
    <x v="0"/>
    <x v="0"/>
    <x v="0"/>
    <x v="3"/>
    <x v="4"/>
    <x v="0"/>
    <x v="15"/>
    <n v="31.351172059130398"/>
  </r>
  <r>
    <x v="0"/>
    <x v="0"/>
    <x v="0"/>
    <x v="3"/>
    <x v="4"/>
    <x v="0"/>
    <x v="16"/>
    <n v="31.351172059130398"/>
  </r>
  <r>
    <x v="0"/>
    <x v="0"/>
    <x v="0"/>
    <x v="3"/>
    <x v="4"/>
    <x v="0"/>
    <x v="17"/>
    <n v="31.351172059130398"/>
  </r>
  <r>
    <x v="0"/>
    <x v="0"/>
    <x v="0"/>
    <x v="3"/>
    <x v="4"/>
    <x v="0"/>
    <x v="18"/>
    <n v="31.351172059130398"/>
  </r>
  <r>
    <x v="0"/>
    <x v="0"/>
    <x v="0"/>
    <x v="3"/>
    <x v="4"/>
    <x v="0"/>
    <x v="19"/>
    <n v="31.2051533884948"/>
  </r>
  <r>
    <x v="0"/>
    <x v="0"/>
    <x v="0"/>
    <x v="3"/>
    <x v="4"/>
    <x v="0"/>
    <x v="20"/>
    <n v="30.888285824952199"/>
  </r>
  <r>
    <x v="0"/>
    <x v="0"/>
    <x v="0"/>
    <x v="3"/>
    <x v="4"/>
    <x v="0"/>
    <x v="21"/>
    <n v="27.728977420836799"/>
  </r>
  <r>
    <x v="0"/>
    <x v="0"/>
    <x v="0"/>
    <x v="3"/>
    <x v="4"/>
    <x v="0"/>
    <x v="22"/>
    <n v="27.728977420836799"/>
  </r>
  <r>
    <x v="0"/>
    <x v="0"/>
    <x v="0"/>
    <x v="3"/>
    <x v="4"/>
    <x v="0"/>
    <x v="23"/>
    <n v="27.477338411097801"/>
  </r>
  <r>
    <x v="0"/>
    <x v="0"/>
    <x v="0"/>
    <x v="3"/>
    <x v="5"/>
    <x v="0"/>
    <x v="0"/>
    <n v="27.728977420836799"/>
  </r>
  <r>
    <x v="0"/>
    <x v="0"/>
    <x v="0"/>
    <x v="3"/>
    <x v="5"/>
    <x v="0"/>
    <x v="1"/>
    <n v="27.728977420836799"/>
  </r>
  <r>
    <x v="0"/>
    <x v="0"/>
    <x v="0"/>
    <x v="3"/>
    <x v="5"/>
    <x v="0"/>
    <x v="2"/>
    <n v="27.728977420836799"/>
  </r>
  <r>
    <x v="0"/>
    <x v="0"/>
    <x v="0"/>
    <x v="3"/>
    <x v="5"/>
    <x v="0"/>
    <x v="3"/>
    <n v="27.728977420836799"/>
  </r>
  <r>
    <x v="0"/>
    <x v="0"/>
    <x v="0"/>
    <x v="3"/>
    <x v="5"/>
    <x v="0"/>
    <x v="4"/>
    <n v="28.347956644251401"/>
  </r>
  <r>
    <x v="0"/>
    <x v="0"/>
    <x v="0"/>
    <x v="3"/>
    <x v="5"/>
    <x v="0"/>
    <x v="5"/>
    <n v="30.174645212897602"/>
  </r>
  <r>
    <x v="0"/>
    <x v="0"/>
    <x v="0"/>
    <x v="3"/>
    <x v="5"/>
    <x v="0"/>
    <x v="6"/>
    <n v="31.606678385495201"/>
  </r>
  <r>
    <x v="0"/>
    <x v="0"/>
    <x v="0"/>
    <x v="3"/>
    <x v="5"/>
    <x v="0"/>
    <x v="7"/>
    <n v="35.728012017516797"/>
  </r>
  <r>
    <x v="0"/>
    <x v="0"/>
    <x v="0"/>
    <x v="3"/>
    <x v="5"/>
    <x v="0"/>
    <x v="8"/>
    <n v="35.728012017516797"/>
  </r>
  <r>
    <x v="0"/>
    <x v="0"/>
    <x v="0"/>
    <x v="3"/>
    <x v="5"/>
    <x v="0"/>
    <x v="9"/>
    <n v="35.728012017516797"/>
  </r>
  <r>
    <x v="0"/>
    <x v="0"/>
    <x v="0"/>
    <x v="3"/>
    <x v="5"/>
    <x v="0"/>
    <x v="10"/>
    <n v="31.606678385495201"/>
  </r>
  <r>
    <x v="0"/>
    <x v="0"/>
    <x v="0"/>
    <x v="3"/>
    <x v="5"/>
    <x v="0"/>
    <x v="11"/>
    <n v="31.2051533884948"/>
  </r>
  <r>
    <x v="0"/>
    <x v="0"/>
    <x v="0"/>
    <x v="3"/>
    <x v="5"/>
    <x v="0"/>
    <x v="12"/>
    <n v="31.2051533884948"/>
  </r>
  <r>
    <x v="0"/>
    <x v="0"/>
    <x v="0"/>
    <x v="3"/>
    <x v="5"/>
    <x v="0"/>
    <x v="13"/>
    <n v="31.2051533884948"/>
  </r>
  <r>
    <x v="0"/>
    <x v="0"/>
    <x v="0"/>
    <x v="3"/>
    <x v="5"/>
    <x v="0"/>
    <x v="14"/>
    <n v="31.2051533884948"/>
  </r>
  <r>
    <x v="0"/>
    <x v="0"/>
    <x v="0"/>
    <x v="3"/>
    <x v="5"/>
    <x v="0"/>
    <x v="15"/>
    <n v="31.351172059130398"/>
  </r>
  <r>
    <x v="0"/>
    <x v="0"/>
    <x v="0"/>
    <x v="3"/>
    <x v="5"/>
    <x v="0"/>
    <x v="16"/>
    <n v="31.351172059130398"/>
  </r>
  <r>
    <x v="0"/>
    <x v="0"/>
    <x v="0"/>
    <x v="3"/>
    <x v="5"/>
    <x v="0"/>
    <x v="17"/>
    <n v="31.351172059130398"/>
  </r>
  <r>
    <x v="0"/>
    <x v="0"/>
    <x v="0"/>
    <x v="3"/>
    <x v="5"/>
    <x v="0"/>
    <x v="18"/>
    <n v="31.351172059130398"/>
  </r>
  <r>
    <x v="0"/>
    <x v="0"/>
    <x v="0"/>
    <x v="3"/>
    <x v="5"/>
    <x v="0"/>
    <x v="19"/>
    <n v="31.2051533884948"/>
  </r>
  <r>
    <x v="0"/>
    <x v="0"/>
    <x v="0"/>
    <x v="3"/>
    <x v="5"/>
    <x v="0"/>
    <x v="20"/>
    <n v="31.2051533884948"/>
  </r>
  <r>
    <x v="0"/>
    <x v="0"/>
    <x v="0"/>
    <x v="3"/>
    <x v="5"/>
    <x v="0"/>
    <x v="21"/>
    <n v="28.7406930755788"/>
  </r>
  <r>
    <x v="0"/>
    <x v="0"/>
    <x v="0"/>
    <x v="3"/>
    <x v="5"/>
    <x v="0"/>
    <x v="22"/>
    <n v="27.718693075578798"/>
  </r>
  <r>
    <x v="0"/>
    <x v="0"/>
    <x v="0"/>
    <x v="3"/>
    <x v="5"/>
    <x v="0"/>
    <x v="23"/>
    <n v="27.2564483240964"/>
  </r>
  <r>
    <x v="0"/>
    <x v="0"/>
    <x v="0"/>
    <x v="3"/>
    <x v="6"/>
    <x v="0"/>
    <x v="0"/>
    <n v="30.213843132261399"/>
  </r>
  <r>
    <x v="0"/>
    <x v="0"/>
    <x v="0"/>
    <x v="3"/>
    <x v="6"/>
    <x v="0"/>
    <x v="1"/>
    <n v="30.213843132261399"/>
  </r>
  <r>
    <x v="0"/>
    <x v="0"/>
    <x v="0"/>
    <x v="3"/>
    <x v="6"/>
    <x v="0"/>
    <x v="2"/>
    <n v="30.213843132261399"/>
  </r>
  <r>
    <x v="0"/>
    <x v="0"/>
    <x v="0"/>
    <x v="3"/>
    <x v="6"/>
    <x v="0"/>
    <x v="3"/>
    <n v="30.213843132261399"/>
  </r>
  <r>
    <x v="0"/>
    <x v="0"/>
    <x v="0"/>
    <x v="3"/>
    <x v="6"/>
    <x v="0"/>
    <x v="4"/>
    <n v="30.888285824952199"/>
  </r>
  <r>
    <x v="0"/>
    <x v="0"/>
    <x v="0"/>
    <x v="3"/>
    <x v="6"/>
    <x v="0"/>
    <x v="5"/>
    <n v="32.878654338694503"/>
  </r>
  <r>
    <x v="0"/>
    <x v="0"/>
    <x v="0"/>
    <x v="3"/>
    <x v="6"/>
    <x v="0"/>
    <x v="6"/>
    <n v="34.4390044642143"/>
  </r>
  <r>
    <x v="0"/>
    <x v="0"/>
    <x v="0"/>
    <x v="3"/>
    <x v="6"/>
    <x v="0"/>
    <x v="7"/>
    <n v="38.929629104123499"/>
  </r>
  <r>
    <x v="0"/>
    <x v="0"/>
    <x v="0"/>
    <x v="3"/>
    <x v="6"/>
    <x v="0"/>
    <x v="8"/>
    <n v="38.929629104123499"/>
  </r>
  <r>
    <x v="0"/>
    <x v="0"/>
    <x v="0"/>
    <x v="3"/>
    <x v="6"/>
    <x v="0"/>
    <x v="9"/>
    <n v="38.929629104123499"/>
  </r>
  <r>
    <x v="0"/>
    <x v="0"/>
    <x v="0"/>
    <x v="3"/>
    <x v="6"/>
    <x v="0"/>
    <x v="10"/>
    <n v="34.4390044642143"/>
  </r>
  <r>
    <x v="0"/>
    <x v="0"/>
    <x v="0"/>
    <x v="3"/>
    <x v="6"/>
    <x v="0"/>
    <x v="11"/>
    <n v="34.001500926267397"/>
  </r>
  <r>
    <x v="0"/>
    <x v="0"/>
    <x v="0"/>
    <x v="3"/>
    <x v="6"/>
    <x v="0"/>
    <x v="12"/>
    <n v="34.001500926267397"/>
  </r>
  <r>
    <x v="0"/>
    <x v="0"/>
    <x v="0"/>
    <x v="3"/>
    <x v="6"/>
    <x v="0"/>
    <x v="13"/>
    <n v="34.001500926267397"/>
  </r>
  <r>
    <x v="0"/>
    <x v="0"/>
    <x v="0"/>
    <x v="3"/>
    <x v="6"/>
    <x v="0"/>
    <x v="14"/>
    <n v="34.001500926267397"/>
  </r>
  <r>
    <x v="0"/>
    <x v="0"/>
    <x v="0"/>
    <x v="3"/>
    <x v="6"/>
    <x v="0"/>
    <x v="15"/>
    <n v="34.160603561188204"/>
  </r>
  <r>
    <x v="0"/>
    <x v="0"/>
    <x v="0"/>
    <x v="3"/>
    <x v="6"/>
    <x v="0"/>
    <x v="16"/>
    <n v="34.160603561188204"/>
  </r>
  <r>
    <x v="0"/>
    <x v="0"/>
    <x v="0"/>
    <x v="3"/>
    <x v="6"/>
    <x v="0"/>
    <x v="17"/>
    <n v="34.160603561188204"/>
  </r>
  <r>
    <x v="0"/>
    <x v="0"/>
    <x v="0"/>
    <x v="3"/>
    <x v="6"/>
    <x v="0"/>
    <x v="18"/>
    <n v="34.160603561188204"/>
  </r>
  <r>
    <x v="0"/>
    <x v="0"/>
    <x v="0"/>
    <x v="3"/>
    <x v="6"/>
    <x v="0"/>
    <x v="19"/>
    <n v="34.001500926267397"/>
  </r>
  <r>
    <x v="0"/>
    <x v="0"/>
    <x v="0"/>
    <x v="3"/>
    <x v="6"/>
    <x v="0"/>
    <x v="20"/>
    <n v="34.001500926267397"/>
  </r>
  <r>
    <x v="0"/>
    <x v="0"/>
    <x v="0"/>
    <x v="3"/>
    <x v="6"/>
    <x v="0"/>
    <x v="21"/>
    <n v="31.316213300128101"/>
  </r>
  <r>
    <x v="0"/>
    <x v="0"/>
    <x v="0"/>
    <x v="3"/>
    <x v="6"/>
    <x v="0"/>
    <x v="22"/>
    <n v="30.213843132261498"/>
  </r>
  <r>
    <x v="0"/>
    <x v="0"/>
    <x v="0"/>
    <x v="3"/>
    <x v="6"/>
    <x v="0"/>
    <x v="23"/>
    <n v="29.698973191034298"/>
  </r>
  <r>
    <x v="0"/>
    <x v="0"/>
    <x v="0"/>
    <x v="3"/>
    <x v="7"/>
    <x v="0"/>
    <x v="0"/>
    <n v="28.944759520706501"/>
  </r>
  <r>
    <x v="0"/>
    <x v="0"/>
    <x v="0"/>
    <x v="3"/>
    <x v="7"/>
    <x v="0"/>
    <x v="1"/>
    <n v="28.944759520706501"/>
  </r>
  <r>
    <x v="0"/>
    <x v="0"/>
    <x v="0"/>
    <x v="3"/>
    <x v="7"/>
    <x v="0"/>
    <x v="2"/>
    <n v="28.944759520706501"/>
  </r>
  <r>
    <x v="0"/>
    <x v="0"/>
    <x v="0"/>
    <x v="3"/>
    <x v="7"/>
    <x v="0"/>
    <x v="3"/>
    <n v="28.944759520706501"/>
  </r>
  <r>
    <x v="0"/>
    <x v="0"/>
    <x v="0"/>
    <x v="3"/>
    <x v="7"/>
    <x v="0"/>
    <x v="4"/>
    <n v="29.5908756203042"/>
  </r>
  <r>
    <x v="0"/>
    <x v="0"/>
    <x v="0"/>
    <x v="3"/>
    <x v="7"/>
    <x v="0"/>
    <x v="5"/>
    <n v="31.497648656469401"/>
  </r>
  <r>
    <x v="0"/>
    <x v="0"/>
    <x v="0"/>
    <x v="3"/>
    <x v="7"/>
    <x v="0"/>
    <x v="6"/>
    <n v="32.992464076717297"/>
  </r>
  <r>
    <x v="0"/>
    <x v="0"/>
    <x v="0"/>
    <x v="3"/>
    <x v="7"/>
    <x v="0"/>
    <x v="7"/>
    <n v="37.2944824817503"/>
  </r>
  <r>
    <x v="0"/>
    <x v="0"/>
    <x v="0"/>
    <x v="3"/>
    <x v="7"/>
    <x v="0"/>
    <x v="8"/>
    <n v="37.2944824817503"/>
  </r>
  <r>
    <x v="0"/>
    <x v="0"/>
    <x v="0"/>
    <x v="3"/>
    <x v="7"/>
    <x v="0"/>
    <x v="9"/>
    <n v="37.2944824817503"/>
  </r>
  <r>
    <x v="0"/>
    <x v="0"/>
    <x v="0"/>
    <x v="3"/>
    <x v="7"/>
    <x v="0"/>
    <x v="10"/>
    <n v="32.992464076717297"/>
  </r>
  <r>
    <x v="0"/>
    <x v="0"/>
    <x v="0"/>
    <x v="3"/>
    <x v="7"/>
    <x v="0"/>
    <x v="11"/>
    <n v="32.5733356873641"/>
  </r>
  <r>
    <x v="0"/>
    <x v="0"/>
    <x v="0"/>
    <x v="3"/>
    <x v="7"/>
    <x v="0"/>
    <x v="12"/>
    <n v="32.5733356873641"/>
  </r>
  <r>
    <x v="0"/>
    <x v="0"/>
    <x v="0"/>
    <x v="3"/>
    <x v="7"/>
    <x v="0"/>
    <x v="13"/>
    <n v="32.5733356873641"/>
  </r>
  <r>
    <x v="0"/>
    <x v="0"/>
    <x v="0"/>
    <x v="3"/>
    <x v="7"/>
    <x v="0"/>
    <x v="14"/>
    <n v="32.5733356873641"/>
  </r>
  <r>
    <x v="0"/>
    <x v="0"/>
    <x v="0"/>
    <x v="3"/>
    <x v="7"/>
    <x v="0"/>
    <x v="15"/>
    <n v="32.725756011618301"/>
  </r>
  <r>
    <x v="0"/>
    <x v="0"/>
    <x v="0"/>
    <x v="3"/>
    <x v="7"/>
    <x v="0"/>
    <x v="16"/>
    <n v="32.725756011618301"/>
  </r>
  <r>
    <x v="0"/>
    <x v="0"/>
    <x v="0"/>
    <x v="3"/>
    <x v="7"/>
    <x v="0"/>
    <x v="17"/>
    <n v="32.725756011618301"/>
  </r>
  <r>
    <x v="0"/>
    <x v="0"/>
    <x v="0"/>
    <x v="3"/>
    <x v="7"/>
    <x v="0"/>
    <x v="18"/>
    <n v="32.725756011618301"/>
  </r>
  <r>
    <x v="0"/>
    <x v="0"/>
    <x v="0"/>
    <x v="3"/>
    <x v="7"/>
    <x v="0"/>
    <x v="19"/>
    <n v="32.5733356873641"/>
  </r>
  <r>
    <x v="0"/>
    <x v="0"/>
    <x v="0"/>
    <x v="3"/>
    <x v="7"/>
    <x v="0"/>
    <x v="20"/>
    <n v="32.5733356873641"/>
  </r>
  <r>
    <x v="0"/>
    <x v="0"/>
    <x v="0"/>
    <x v="3"/>
    <x v="7"/>
    <x v="0"/>
    <x v="21"/>
    <n v="30.000830141522702"/>
  </r>
  <r>
    <x v="0"/>
    <x v="0"/>
    <x v="0"/>
    <x v="3"/>
    <x v="7"/>
    <x v="0"/>
    <x v="22"/>
    <n v="28.944759520706501"/>
  </r>
  <r>
    <x v="0"/>
    <x v="0"/>
    <x v="0"/>
    <x v="3"/>
    <x v="7"/>
    <x v="0"/>
    <x v="23"/>
    <n v="28.451514117010799"/>
  </r>
  <r>
    <x v="0"/>
    <x v="0"/>
    <x v="0"/>
    <x v="4"/>
    <x v="8"/>
    <x v="0"/>
    <x v="0"/>
    <n v="34.6157143173739"/>
  </r>
  <r>
    <x v="0"/>
    <x v="0"/>
    <x v="0"/>
    <x v="4"/>
    <x v="8"/>
    <x v="0"/>
    <x v="1"/>
    <n v="33.787619132600298"/>
  </r>
  <r>
    <x v="0"/>
    <x v="0"/>
    <x v="0"/>
    <x v="4"/>
    <x v="8"/>
    <x v="0"/>
    <x v="2"/>
    <n v="32.350327117702399"/>
  </r>
  <r>
    <x v="0"/>
    <x v="0"/>
    <x v="0"/>
    <x v="4"/>
    <x v="8"/>
    <x v="0"/>
    <x v="3"/>
    <n v="32.361307262764903"/>
  </r>
  <r>
    <x v="0"/>
    <x v="0"/>
    <x v="0"/>
    <x v="4"/>
    <x v="8"/>
    <x v="0"/>
    <x v="4"/>
    <n v="32.689264613912499"/>
  </r>
  <r>
    <x v="0"/>
    <x v="0"/>
    <x v="0"/>
    <x v="4"/>
    <x v="8"/>
    <x v="0"/>
    <x v="5"/>
    <n v="35.032514557651702"/>
  </r>
  <r>
    <x v="0"/>
    <x v="0"/>
    <x v="0"/>
    <x v="4"/>
    <x v="8"/>
    <x v="0"/>
    <x v="6"/>
    <n v="37.395676081011601"/>
  </r>
  <r>
    <x v="0"/>
    <x v="0"/>
    <x v="0"/>
    <x v="4"/>
    <x v="8"/>
    <x v="0"/>
    <x v="7"/>
    <n v="49.0691262388711"/>
  </r>
  <r>
    <x v="0"/>
    <x v="0"/>
    <x v="0"/>
    <x v="4"/>
    <x v="8"/>
    <x v="0"/>
    <x v="8"/>
    <n v="49.0691262388711"/>
  </r>
  <r>
    <x v="0"/>
    <x v="0"/>
    <x v="0"/>
    <x v="4"/>
    <x v="8"/>
    <x v="0"/>
    <x v="9"/>
    <n v="49.0691262388711"/>
  </r>
  <r>
    <x v="0"/>
    <x v="0"/>
    <x v="0"/>
    <x v="4"/>
    <x v="8"/>
    <x v="0"/>
    <x v="10"/>
    <n v="49.0691262388711"/>
  </r>
  <r>
    <x v="0"/>
    <x v="0"/>
    <x v="0"/>
    <x v="4"/>
    <x v="8"/>
    <x v="0"/>
    <x v="11"/>
    <n v="49.0691262388711"/>
  </r>
  <r>
    <x v="0"/>
    <x v="0"/>
    <x v="0"/>
    <x v="4"/>
    <x v="8"/>
    <x v="0"/>
    <x v="12"/>
    <n v="49.0691262388711"/>
  </r>
  <r>
    <x v="0"/>
    <x v="0"/>
    <x v="0"/>
    <x v="4"/>
    <x v="8"/>
    <x v="0"/>
    <x v="13"/>
    <n v="49.0691262388711"/>
  </r>
  <r>
    <x v="0"/>
    <x v="0"/>
    <x v="0"/>
    <x v="4"/>
    <x v="8"/>
    <x v="0"/>
    <x v="14"/>
    <n v="49.0691262388711"/>
  </r>
  <r>
    <x v="0"/>
    <x v="0"/>
    <x v="0"/>
    <x v="4"/>
    <x v="8"/>
    <x v="0"/>
    <x v="15"/>
    <n v="49.0691262388711"/>
  </r>
  <r>
    <x v="0"/>
    <x v="0"/>
    <x v="0"/>
    <x v="4"/>
    <x v="8"/>
    <x v="0"/>
    <x v="16"/>
    <n v="49.0691262388711"/>
  </r>
  <r>
    <x v="0"/>
    <x v="0"/>
    <x v="0"/>
    <x v="4"/>
    <x v="8"/>
    <x v="0"/>
    <x v="17"/>
    <n v="49.0691262388711"/>
  </r>
  <r>
    <x v="0"/>
    <x v="0"/>
    <x v="0"/>
    <x v="4"/>
    <x v="8"/>
    <x v="0"/>
    <x v="18"/>
    <n v="49.0691262388711"/>
  </r>
  <r>
    <x v="0"/>
    <x v="0"/>
    <x v="0"/>
    <x v="4"/>
    <x v="8"/>
    <x v="0"/>
    <x v="19"/>
    <n v="49.0691262388711"/>
  </r>
  <r>
    <x v="0"/>
    <x v="0"/>
    <x v="0"/>
    <x v="4"/>
    <x v="8"/>
    <x v="0"/>
    <x v="20"/>
    <n v="49.0691262388711"/>
  </r>
  <r>
    <x v="0"/>
    <x v="0"/>
    <x v="0"/>
    <x v="4"/>
    <x v="8"/>
    <x v="0"/>
    <x v="21"/>
    <n v="37.395676081011601"/>
  </r>
  <r>
    <x v="0"/>
    <x v="0"/>
    <x v="0"/>
    <x v="4"/>
    <x v="8"/>
    <x v="0"/>
    <x v="22"/>
    <n v="37.395676081011601"/>
  </r>
  <r>
    <x v="0"/>
    <x v="0"/>
    <x v="0"/>
    <x v="4"/>
    <x v="8"/>
    <x v="0"/>
    <x v="23"/>
    <n v="32.6892646139124"/>
  </r>
  <r>
    <x v="0"/>
    <x v="0"/>
    <x v="0"/>
    <x v="5"/>
    <x v="9"/>
    <x v="0"/>
    <x v="0"/>
    <n v="33.161752116044198"/>
  </r>
  <r>
    <x v="0"/>
    <x v="0"/>
    <x v="0"/>
    <x v="5"/>
    <x v="9"/>
    <x v="0"/>
    <x v="1"/>
    <n v="32.368436929031098"/>
  </r>
  <r>
    <x v="0"/>
    <x v="0"/>
    <x v="0"/>
    <x v="5"/>
    <x v="9"/>
    <x v="0"/>
    <x v="2"/>
    <n v="31.316213300128101"/>
  </r>
  <r>
    <x v="0"/>
    <x v="0"/>
    <x v="0"/>
    <x v="5"/>
    <x v="9"/>
    <x v="0"/>
    <x v="3"/>
    <n v="31.316213300128101"/>
  </r>
  <r>
    <x v="0"/>
    <x v="0"/>
    <x v="0"/>
    <x v="5"/>
    <x v="9"/>
    <x v="0"/>
    <x v="4"/>
    <n v="31.316213300128101"/>
  </r>
  <r>
    <x v="0"/>
    <x v="0"/>
    <x v="0"/>
    <x v="5"/>
    <x v="9"/>
    <x v="0"/>
    <x v="5"/>
    <n v="33.561046746230303"/>
  </r>
  <r>
    <x v="0"/>
    <x v="0"/>
    <x v="0"/>
    <x v="5"/>
    <x v="9"/>
    <x v="0"/>
    <x v="6"/>
    <n v="35.824955485609102"/>
  </r>
  <r>
    <x v="0"/>
    <x v="0"/>
    <x v="0"/>
    <x v="5"/>
    <x v="9"/>
    <x v="0"/>
    <x v="7"/>
    <n v="47.008120736838499"/>
  </r>
  <r>
    <x v="0"/>
    <x v="0"/>
    <x v="0"/>
    <x v="5"/>
    <x v="9"/>
    <x v="0"/>
    <x v="8"/>
    <n v="47.761185375442302"/>
  </r>
  <r>
    <x v="0"/>
    <x v="0"/>
    <x v="0"/>
    <x v="5"/>
    <x v="9"/>
    <x v="0"/>
    <x v="9"/>
    <n v="47.761185375442302"/>
  </r>
  <r>
    <x v="0"/>
    <x v="0"/>
    <x v="0"/>
    <x v="5"/>
    <x v="9"/>
    <x v="0"/>
    <x v="10"/>
    <n v="47.761185375442302"/>
  </r>
  <r>
    <x v="0"/>
    <x v="0"/>
    <x v="0"/>
    <x v="5"/>
    <x v="9"/>
    <x v="0"/>
    <x v="11"/>
    <n v="47.761185375442302"/>
  </r>
  <r>
    <x v="0"/>
    <x v="0"/>
    <x v="0"/>
    <x v="5"/>
    <x v="9"/>
    <x v="0"/>
    <x v="12"/>
    <n v="47.761185375442302"/>
  </r>
  <r>
    <x v="0"/>
    <x v="0"/>
    <x v="0"/>
    <x v="5"/>
    <x v="9"/>
    <x v="0"/>
    <x v="13"/>
    <n v="47.008120736838499"/>
  </r>
  <r>
    <x v="0"/>
    <x v="0"/>
    <x v="0"/>
    <x v="5"/>
    <x v="9"/>
    <x v="0"/>
    <x v="14"/>
    <n v="47.761185375442302"/>
  </r>
  <r>
    <x v="0"/>
    <x v="0"/>
    <x v="0"/>
    <x v="5"/>
    <x v="9"/>
    <x v="0"/>
    <x v="15"/>
    <n v="47.761185375442302"/>
  </r>
  <r>
    <x v="0"/>
    <x v="0"/>
    <x v="0"/>
    <x v="5"/>
    <x v="9"/>
    <x v="0"/>
    <x v="16"/>
    <n v="47.008120736838499"/>
  </r>
  <r>
    <x v="0"/>
    <x v="0"/>
    <x v="0"/>
    <x v="5"/>
    <x v="9"/>
    <x v="0"/>
    <x v="17"/>
    <n v="47.761185375442302"/>
  </r>
  <r>
    <x v="0"/>
    <x v="0"/>
    <x v="0"/>
    <x v="5"/>
    <x v="9"/>
    <x v="0"/>
    <x v="18"/>
    <n v="47.008120736838499"/>
  </r>
  <r>
    <x v="0"/>
    <x v="0"/>
    <x v="0"/>
    <x v="5"/>
    <x v="9"/>
    <x v="0"/>
    <x v="19"/>
    <n v="47.008120736838499"/>
  </r>
  <r>
    <x v="0"/>
    <x v="0"/>
    <x v="0"/>
    <x v="5"/>
    <x v="9"/>
    <x v="0"/>
    <x v="20"/>
    <n v="47.008120736838499"/>
  </r>
  <r>
    <x v="0"/>
    <x v="0"/>
    <x v="0"/>
    <x v="5"/>
    <x v="9"/>
    <x v="0"/>
    <x v="21"/>
    <n v="35.824955485609102"/>
  </r>
  <r>
    <x v="0"/>
    <x v="0"/>
    <x v="0"/>
    <x v="5"/>
    <x v="9"/>
    <x v="0"/>
    <x v="22"/>
    <n v="35.824955485609102"/>
  </r>
  <r>
    <x v="0"/>
    <x v="0"/>
    <x v="0"/>
    <x v="5"/>
    <x v="9"/>
    <x v="0"/>
    <x v="23"/>
    <n v="31.316213300128101"/>
  </r>
  <r>
    <x v="0"/>
    <x v="0"/>
    <x v="0"/>
    <x v="6"/>
    <x v="10"/>
    <x v="0"/>
    <x v="0"/>
    <n v="30.280569510811802"/>
  </r>
  <r>
    <x v="0"/>
    <x v="0"/>
    <x v="0"/>
    <x v="6"/>
    <x v="10"/>
    <x v="0"/>
    <x v="1"/>
    <n v="30.280569510811802"/>
  </r>
  <r>
    <x v="0"/>
    <x v="0"/>
    <x v="0"/>
    <x v="6"/>
    <x v="10"/>
    <x v="0"/>
    <x v="2"/>
    <n v="30.280569510811802"/>
  </r>
  <r>
    <x v="0"/>
    <x v="0"/>
    <x v="0"/>
    <x v="6"/>
    <x v="10"/>
    <x v="0"/>
    <x v="3"/>
    <n v="30.280569510811802"/>
  </r>
  <r>
    <x v="0"/>
    <x v="0"/>
    <x v="0"/>
    <x v="6"/>
    <x v="10"/>
    <x v="0"/>
    <x v="4"/>
    <n v="30.888285824952199"/>
  </r>
  <r>
    <x v="0"/>
    <x v="0"/>
    <x v="0"/>
    <x v="6"/>
    <x v="10"/>
    <x v="0"/>
    <x v="5"/>
    <n v="32.878654338694503"/>
  </r>
  <r>
    <x v="0"/>
    <x v="0"/>
    <x v="0"/>
    <x v="6"/>
    <x v="10"/>
    <x v="0"/>
    <x v="6"/>
    <n v="34.755003888918402"/>
  </r>
  <r>
    <x v="0"/>
    <x v="0"/>
    <x v="0"/>
    <x v="6"/>
    <x v="10"/>
    <x v="0"/>
    <x v="7"/>
    <n v="47.013171606198298"/>
  </r>
  <r>
    <x v="0"/>
    <x v="0"/>
    <x v="0"/>
    <x v="6"/>
    <x v="10"/>
    <x v="0"/>
    <x v="8"/>
    <n v="54.304061624210597"/>
  </r>
  <r>
    <x v="0"/>
    <x v="0"/>
    <x v="0"/>
    <x v="6"/>
    <x v="10"/>
    <x v="0"/>
    <x v="9"/>
    <n v="54.304061624210597"/>
  </r>
  <r>
    <x v="0"/>
    <x v="0"/>
    <x v="0"/>
    <x v="6"/>
    <x v="10"/>
    <x v="0"/>
    <x v="10"/>
    <n v="54.304061624210597"/>
  </r>
  <r>
    <x v="0"/>
    <x v="0"/>
    <x v="0"/>
    <x v="6"/>
    <x v="10"/>
    <x v="0"/>
    <x v="11"/>
    <n v="54.304061624210597"/>
  </r>
  <r>
    <x v="0"/>
    <x v="0"/>
    <x v="0"/>
    <x v="6"/>
    <x v="10"/>
    <x v="0"/>
    <x v="12"/>
    <n v="54.304061624210597"/>
  </r>
  <r>
    <x v="0"/>
    <x v="0"/>
    <x v="0"/>
    <x v="6"/>
    <x v="10"/>
    <x v="0"/>
    <x v="13"/>
    <n v="54.304061624210597"/>
  </r>
  <r>
    <x v="0"/>
    <x v="0"/>
    <x v="0"/>
    <x v="6"/>
    <x v="10"/>
    <x v="0"/>
    <x v="14"/>
    <n v="54.304061624210597"/>
  </r>
  <r>
    <x v="0"/>
    <x v="0"/>
    <x v="0"/>
    <x v="6"/>
    <x v="10"/>
    <x v="0"/>
    <x v="15"/>
    <n v="58.119395559973697"/>
  </r>
  <r>
    <x v="0"/>
    <x v="0"/>
    <x v="0"/>
    <x v="6"/>
    <x v="10"/>
    <x v="0"/>
    <x v="16"/>
    <n v="63.801807804727297"/>
  </r>
  <r>
    <x v="0"/>
    <x v="0"/>
    <x v="0"/>
    <x v="6"/>
    <x v="10"/>
    <x v="0"/>
    <x v="17"/>
    <n v="74.530847758306606"/>
  </r>
  <r>
    <x v="0"/>
    <x v="0"/>
    <x v="0"/>
    <x v="6"/>
    <x v="10"/>
    <x v="0"/>
    <x v="18"/>
    <n v="68.7715634533903"/>
  </r>
  <r>
    <x v="0"/>
    <x v="0"/>
    <x v="0"/>
    <x v="6"/>
    <x v="10"/>
    <x v="0"/>
    <x v="19"/>
    <n v="58.119395559973697"/>
  </r>
  <r>
    <x v="0"/>
    <x v="0"/>
    <x v="0"/>
    <x v="6"/>
    <x v="10"/>
    <x v="0"/>
    <x v="20"/>
    <n v="58.119395559973697"/>
  </r>
  <r>
    <x v="0"/>
    <x v="0"/>
    <x v="0"/>
    <x v="6"/>
    <x v="10"/>
    <x v="0"/>
    <x v="21"/>
    <n v="49.838112704882001"/>
  </r>
  <r>
    <x v="0"/>
    <x v="0"/>
    <x v="0"/>
    <x v="6"/>
    <x v="10"/>
    <x v="0"/>
    <x v="22"/>
    <n v="31.538565064991101"/>
  </r>
  <r>
    <x v="0"/>
    <x v="0"/>
    <x v="0"/>
    <x v="6"/>
    <x v="10"/>
    <x v="0"/>
    <x v="23"/>
    <n v="31.001122537614101"/>
  </r>
  <r>
    <x v="0"/>
    <x v="0"/>
    <x v="0"/>
    <x v="7"/>
    <x v="11"/>
    <x v="0"/>
    <x v="0"/>
    <n v="28.934024296011302"/>
  </r>
  <r>
    <x v="0"/>
    <x v="0"/>
    <x v="0"/>
    <x v="7"/>
    <x v="11"/>
    <x v="0"/>
    <x v="1"/>
    <n v="28.934024296011302"/>
  </r>
  <r>
    <x v="0"/>
    <x v="0"/>
    <x v="0"/>
    <x v="7"/>
    <x v="11"/>
    <x v="0"/>
    <x v="2"/>
    <n v="28.934024296011302"/>
  </r>
  <r>
    <x v="0"/>
    <x v="0"/>
    <x v="0"/>
    <x v="7"/>
    <x v="11"/>
    <x v="0"/>
    <x v="3"/>
    <n v="28.934024296011302"/>
  </r>
  <r>
    <x v="0"/>
    <x v="0"/>
    <x v="0"/>
    <x v="7"/>
    <x v="11"/>
    <x v="0"/>
    <x v="4"/>
    <n v="28.934024296011302"/>
  </r>
  <r>
    <x v="0"/>
    <x v="0"/>
    <x v="0"/>
    <x v="7"/>
    <x v="11"/>
    <x v="0"/>
    <x v="5"/>
    <n v="29.906950504174901"/>
  </r>
  <r>
    <x v="0"/>
    <x v="0"/>
    <x v="0"/>
    <x v="7"/>
    <x v="11"/>
    <x v="0"/>
    <x v="6"/>
    <n v="30.279095693304399"/>
  </r>
  <r>
    <x v="0"/>
    <x v="0"/>
    <x v="0"/>
    <x v="7"/>
    <x v="11"/>
    <x v="0"/>
    <x v="7"/>
    <n v="32.134441832545697"/>
  </r>
  <r>
    <x v="0"/>
    <x v="0"/>
    <x v="0"/>
    <x v="7"/>
    <x v="11"/>
    <x v="0"/>
    <x v="8"/>
    <n v="32.134441832545697"/>
  </r>
  <r>
    <x v="0"/>
    <x v="0"/>
    <x v="0"/>
    <x v="7"/>
    <x v="11"/>
    <x v="0"/>
    <x v="9"/>
    <n v="32.134441832545697"/>
  </r>
  <r>
    <x v="0"/>
    <x v="0"/>
    <x v="0"/>
    <x v="7"/>
    <x v="11"/>
    <x v="0"/>
    <x v="10"/>
    <n v="31.067635987034201"/>
  </r>
  <r>
    <x v="0"/>
    <x v="0"/>
    <x v="0"/>
    <x v="7"/>
    <x v="11"/>
    <x v="0"/>
    <x v="11"/>
    <n v="31.067635987034201"/>
  </r>
  <r>
    <x v="0"/>
    <x v="0"/>
    <x v="0"/>
    <x v="7"/>
    <x v="11"/>
    <x v="0"/>
    <x v="12"/>
    <n v="31.067635987034201"/>
  </r>
  <r>
    <x v="0"/>
    <x v="0"/>
    <x v="0"/>
    <x v="7"/>
    <x v="11"/>
    <x v="0"/>
    <x v="13"/>
    <n v="31.067635987034201"/>
  </r>
  <r>
    <x v="0"/>
    <x v="0"/>
    <x v="0"/>
    <x v="7"/>
    <x v="11"/>
    <x v="0"/>
    <x v="14"/>
    <n v="31.067635987034201"/>
  </r>
  <r>
    <x v="0"/>
    <x v="0"/>
    <x v="0"/>
    <x v="7"/>
    <x v="11"/>
    <x v="0"/>
    <x v="15"/>
    <n v="31.067635987034201"/>
  </r>
  <r>
    <x v="0"/>
    <x v="0"/>
    <x v="0"/>
    <x v="7"/>
    <x v="11"/>
    <x v="0"/>
    <x v="16"/>
    <n v="31.067635987034201"/>
  </r>
  <r>
    <x v="0"/>
    <x v="0"/>
    <x v="0"/>
    <x v="7"/>
    <x v="11"/>
    <x v="0"/>
    <x v="17"/>
    <n v="31.067635987034201"/>
  </r>
  <r>
    <x v="0"/>
    <x v="0"/>
    <x v="0"/>
    <x v="7"/>
    <x v="11"/>
    <x v="0"/>
    <x v="18"/>
    <n v="30.2026372609721"/>
  </r>
  <r>
    <x v="0"/>
    <x v="0"/>
    <x v="0"/>
    <x v="7"/>
    <x v="11"/>
    <x v="0"/>
    <x v="19"/>
    <n v="30.000830141522702"/>
  </r>
  <r>
    <x v="0"/>
    <x v="0"/>
    <x v="0"/>
    <x v="7"/>
    <x v="11"/>
    <x v="0"/>
    <x v="20"/>
    <n v="30.000830141522702"/>
  </r>
  <r>
    <x v="0"/>
    <x v="0"/>
    <x v="0"/>
    <x v="7"/>
    <x v="11"/>
    <x v="0"/>
    <x v="21"/>
    <n v="30.000830141522702"/>
  </r>
  <r>
    <x v="0"/>
    <x v="0"/>
    <x v="0"/>
    <x v="7"/>
    <x v="11"/>
    <x v="0"/>
    <x v="22"/>
    <n v="28.934024296011302"/>
  </r>
  <r>
    <x v="0"/>
    <x v="0"/>
    <x v="0"/>
    <x v="7"/>
    <x v="11"/>
    <x v="0"/>
    <x v="23"/>
    <n v="28.451514117010799"/>
  </r>
  <r>
    <x v="0"/>
    <x v="0"/>
    <x v="0"/>
    <x v="7"/>
    <x v="12"/>
    <x v="0"/>
    <x v="0"/>
    <n v="27.718693075578798"/>
  </r>
  <r>
    <x v="0"/>
    <x v="0"/>
    <x v="0"/>
    <x v="7"/>
    <x v="12"/>
    <x v="0"/>
    <x v="1"/>
    <n v="27.718693075578798"/>
  </r>
  <r>
    <x v="0"/>
    <x v="0"/>
    <x v="0"/>
    <x v="7"/>
    <x v="12"/>
    <x v="0"/>
    <x v="2"/>
    <n v="27.718693075578798"/>
  </r>
  <r>
    <x v="0"/>
    <x v="0"/>
    <x v="0"/>
    <x v="7"/>
    <x v="12"/>
    <x v="0"/>
    <x v="3"/>
    <n v="27.718693075578798"/>
  </r>
  <r>
    <x v="0"/>
    <x v="0"/>
    <x v="0"/>
    <x v="7"/>
    <x v="12"/>
    <x v="0"/>
    <x v="4"/>
    <n v="27.718693075578798"/>
  </r>
  <r>
    <x v="0"/>
    <x v="0"/>
    <x v="0"/>
    <x v="7"/>
    <x v="12"/>
    <x v="0"/>
    <x v="5"/>
    <n v="28.650756382999599"/>
  </r>
  <r>
    <x v="0"/>
    <x v="0"/>
    <x v="0"/>
    <x v="7"/>
    <x v="12"/>
    <x v="0"/>
    <x v="6"/>
    <n v="29.0072714741856"/>
  </r>
  <r>
    <x v="0"/>
    <x v="0"/>
    <x v="0"/>
    <x v="7"/>
    <x v="12"/>
    <x v="0"/>
    <x v="7"/>
    <n v="30.784693075578801"/>
  </r>
  <r>
    <x v="0"/>
    <x v="0"/>
    <x v="0"/>
    <x v="7"/>
    <x v="12"/>
    <x v="0"/>
    <x v="8"/>
    <n v="30.784693075578801"/>
  </r>
  <r>
    <x v="0"/>
    <x v="0"/>
    <x v="0"/>
    <x v="7"/>
    <x v="12"/>
    <x v="0"/>
    <x v="9"/>
    <n v="30.784693075578801"/>
  </r>
  <r>
    <x v="0"/>
    <x v="0"/>
    <x v="0"/>
    <x v="7"/>
    <x v="12"/>
    <x v="0"/>
    <x v="10"/>
    <n v="29.762693075578799"/>
  </r>
  <r>
    <x v="0"/>
    <x v="0"/>
    <x v="0"/>
    <x v="7"/>
    <x v="12"/>
    <x v="0"/>
    <x v="11"/>
    <n v="29.762693075578799"/>
  </r>
  <r>
    <x v="0"/>
    <x v="0"/>
    <x v="0"/>
    <x v="7"/>
    <x v="12"/>
    <x v="0"/>
    <x v="12"/>
    <n v="29.762693075578799"/>
  </r>
  <r>
    <x v="0"/>
    <x v="0"/>
    <x v="0"/>
    <x v="7"/>
    <x v="12"/>
    <x v="0"/>
    <x v="13"/>
    <n v="29.762693075578799"/>
  </r>
  <r>
    <x v="0"/>
    <x v="0"/>
    <x v="0"/>
    <x v="7"/>
    <x v="12"/>
    <x v="0"/>
    <x v="14"/>
    <n v="29.762693075578799"/>
  </r>
  <r>
    <x v="0"/>
    <x v="0"/>
    <x v="0"/>
    <x v="7"/>
    <x v="12"/>
    <x v="0"/>
    <x v="15"/>
    <n v="29.762693075578799"/>
  </r>
  <r>
    <x v="0"/>
    <x v="0"/>
    <x v="0"/>
    <x v="7"/>
    <x v="12"/>
    <x v="0"/>
    <x v="16"/>
    <n v="29.762693075578799"/>
  </r>
  <r>
    <x v="0"/>
    <x v="0"/>
    <x v="0"/>
    <x v="7"/>
    <x v="12"/>
    <x v="0"/>
    <x v="17"/>
    <n v="29.762693075578799"/>
  </r>
  <r>
    <x v="0"/>
    <x v="0"/>
    <x v="0"/>
    <x v="7"/>
    <x v="12"/>
    <x v="0"/>
    <x v="18"/>
    <n v="28.934024296011302"/>
  </r>
  <r>
    <x v="0"/>
    <x v="0"/>
    <x v="0"/>
    <x v="7"/>
    <x v="12"/>
    <x v="0"/>
    <x v="19"/>
    <n v="28.7406930755788"/>
  </r>
  <r>
    <x v="0"/>
    <x v="0"/>
    <x v="0"/>
    <x v="7"/>
    <x v="12"/>
    <x v="0"/>
    <x v="20"/>
    <n v="28.7406930755788"/>
  </r>
  <r>
    <x v="0"/>
    <x v="0"/>
    <x v="0"/>
    <x v="7"/>
    <x v="12"/>
    <x v="0"/>
    <x v="21"/>
    <n v="28.7406930755788"/>
  </r>
  <r>
    <x v="0"/>
    <x v="0"/>
    <x v="0"/>
    <x v="7"/>
    <x v="12"/>
    <x v="0"/>
    <x v="22"/>
    <n v="27.718693075578798"/>
  </r>
  <r>
    <x v="0"/>
    <x v="0"/>
    <x v="0"/>
    <x v="7"/>
    <x v="12"/>
    <x v="0"/>
    <x v="23"/>
    <n v="27.2564483240964"/>
  </r>
  <r>
    <x v="0"/>
    <x v="0"/>
    <x v="0"/>
    <x v="7"/>
    <x v="13"/>
    <x v="0"/>
    <x v="0"/>
    <n v="27.718693075578798"/>
  </r>
  <r>
    <x v="0"/>
    <x v="0"/>
    <x v="0"/>
    <x v="7"/>
    <x v="13"/>
    <x v="0"/>
    <x v="1"/>
    <n v="27.718693075578798"/>
  </r>
  <r>
    <x v="0"/>
    <x v="0"/>
    <x v="0"/>
    <x v="7"/>
    <x v="13"/>
    <x v="0"/>
    <x v="2"/>
    <n v="27.718693075578798"/>
  </r>
  <r>
    <x v="0"/>
    <x v="0"/>
    <x v="0"/>
    <x v="7"/>
    <x v="13"/>
    <x v="0"/>
    <x v="3"/>
    <n v="27.718693075578798"/>
  </r>
  <r>
    <x v="0"/>
    <x v="0"/>
    <x v="0"/>
    <x v="7"/>
    <x v="13"/>
    <x v="0"/>
    <x v="4"/>
    <n v="27.718693075578798"/>
  </r>
  <r>
    <x v="0"/>
    <x v="0"/>
    <x v="0"/>
    <x v="7"/>
    <x v="13"/>
    <x v="0"/>
    <x v="5"/>
    <n v="28.650756382999599"/>
  </r>
  <r>
    <x v="0"/>
    <x v="0"/>
    <x v="0"/>
    <x v="7"/>
    <x v="13"/>
    <x v="0"/>
    <x v="6"/>
    <n v="29.0072714741856"/>
  </r>
  <r>
    <x v="0"/>
    <x v="0"/>
    <x v="0"/>
    <x v="7"/>
    <x v="13"/>
    <x v="0"/>
    <x v="7"/>
    <n v="30.784693075578801"/>
  </r>
  <r>
    <x v="0"/>
    <x v="0"/>
    <x v="0"/>
    <x v="7"/>
    <x v="13"/>
    <x v="0"/>
    <x v="8"/>
    <n v="30.784693075578801"/>
  </r>
  <r>
    <x v="0"/>
    <x v="0"/>
    <x v="0"/>
    <x v="7"/>
    <x v="13"/>
    <x v="0"/>
    <x v="9"/>
    <n v="30.784693075578801"/>
  </r>
  <r>
    <x v="0"/>
    <x v="0"/>
    <x v="0"/>
    <x v="7"/>
    <x v="13"/>
    <x v="0"/>
    <x v="10"/>
    <n v="29.762693075578799"/>
  </r>
  <r>
    <x v="0"/>
    <x v="0"/>
    <x v="0"/>
    <x v="7"/>
    <x v="13"/>
    <x v="0"/>
    <x v="11"/>
    <n v="29.762693075578799"/>
  </r>
  <r>
    <x v="0"/>
    <x v="0"/>
    <x v="0"/>
    <x v="7"/>
    <x v="13"/>
    <x v="0"/>
    <x v="12"/>
    <n v="29.762693075578799"/>
  </r>
  <r>
    <x v="0"/>
    <x v="0"/>
    <x v="0"/>
    <x v="7"/>
    <x v="13"/>
    <x v="0"/>
    <x v="13"/>
    <n v="29.762693075578799"/>
  </r>
  <r>
    <x v="0"/>
    <x v="0"/>
    <x v="0"/>
    <x v="7"/>
    <x v="13"/>
    <x v="0"/>
    <x v="14"/>
    <n v="29.762693075578799"/>
  </r>
  <r>
    <x v="0"/>
    <x v="0"/>
    <x v="0"/>
    <x v="7"/>
    <x v="13"/>
    <x v="0"/>
    <x v="15"/>
    <n v="29.762693075578799"/>
  </r>
  <r>
    <x v="0"/>
    <x v="0"/>
    <x v="0"/>
    <x v="7"/>
    <x v="13"/>
    <x v="0"/>
    <x v="16"/>
    <n v="29.762693075578799"/>
  </r>
  <r>
    <x v="0"/>
    <x v="0"/>
    <x v="0"/>
    <x v="7"/>
    <x v="13"/>
    <x v="0"/>
    <x v="17"/>
    <n v="29.762693075578799"/>
  </r>
  <r>
    <x v="0"/>
    <x v="0"/>
    <x v="0"/>
    <x v="7"/>
    <x v="13"/>
    <x v="0"/>
    <x v="18"/>
    <n v="28.934024296011302"/>
  </r>
  <r>
    <x v="0"/>
    <x v="0"/>
    <x v="0"/>
    <x v="7"/>
    <x v="13"/>
    <x v="0"/>
    <x v="19"/>
    <n v="28.7406930755788"/>
  </r>
  <r>
    <x v="0"/>
    <x v="0"/>
    <x v="0"/>
    <x v="7"/>
    <x v="13"/>
    <x v="0"/>
    <x v="20"/>
    <n v="28.7406930755788"/>
  </r>
  <r>
    <x v="0"/>
    <x v="0"/>
    <x v="0"/>
    <x v="7"/>
    <x v="13"/>
    <x v="0"/>
    <x v="21"/>
    <n v="28.7406930755788"/>
  </r>
  <r>
    <x v="0"/>
    <x v="0"/>
    <x v="0"/>
    <x v="7"/>
    <x v="13"/>
    <x v="0"/>
    <x v="22"/>
    <n v="27.718693075578798"/>
  </r>
  <r>
    <x v="0"/>
    <x v="0"/>
    <x v="0"/>
    <x v="7"/>
    <x v="13"/>
    <x v="0"/>
    <x v="23"/>
    <n v="27.2564483240964"/>
  </r>
  <r>
    <x v="0"/>
    <x v="0"/>
    <x v="0"/>
    <x v="7"/>
    <x v="14"/>
    <x v="0"/>
    <x v="0"/>
    <n v="26.5544057664045"/>
  </r>
  <r>
    <x v="0"/>
    <x v="0"/>
    <x v="0"/>
    <x v="7"/>
    <x v="14"/>
    <x v="0"/>
    <x v="1"/>
    <n v="26.5544057664045"/>
  </r>
  <r>
    <x v="0"/>
    <x v="0"/>
    <x v="0"/>
    <x v="7"/>
    <x v="14"/>
    <x v="0"/>
    <x v="2"/>
    <n v="26.5544057664045"/>
  </r>
  <r>
    <x v="0"/>
    <x v="0"/>
    <x v="0"/>
    <x v="7"/>
    <x v="14"/>
    <x v="0"/>
    <x v="3"/>
    <n v="26.5544057664045"/>
  </r>
  <r>
    <x v="0"/>
    <x v="0"/>
    <x v="0"/>
    <x v="7"/>
    <x v="14"/>
    <x v="0"/>
    <x v="4"/>
    <n v="26.5544057664045"/>
  </r>
  <r>
    <x v="0"/>
    <x v="0"/>
    <x v="0"/>
    <x v="7"/>
    <x v="14"/>
    <x v="0"/>
    <x v="5"/>
    <n v="27.4473224149136"/>
  </r>
  <r>
    <x v="0"/>
    <x v="0"/>
    <x v="0"/>
    <x v="7"/>
    <x v="14"/>
    <x v="0"/>
    <x v="6"/>
    <n v="27.7888638722698"/>
  </r>
  <r>
    <x v="0"/>
    <x v="0"/>
    <x v="0"/>
    <x v="7"/>
    <x v="14"/>
    <x v="0"/>
    <x v="7"/>
    <n v="28.555481766404501"/>
  </r>
  <r>
    <x v="0"/>
    <x v="0"/>
    <x v="0"/>
    <x v="7"/>
    <x v="14"/>
    <x v="0"/>
    <x v="8"/>
    <n v="29.491633766404501"/>
  </r>
  <r>
    <x v="0"/>
    <x v="0"/>
    <x v="0"/>
    <x v="7"/>
    <x v="14"/>
    <x v="0"/>
    <x v="9"/>
    <n v="29.491633766404501"/>
  </r>
  <r>
    <x v="0"/>
    <x v="0"/>
    <x v="0"/>
    <x v="7"/>
    <x v="14"/>
    <x v="0"/>
    <x v="10"/>
    <n v="28.512557766404498"/>
  </r>
  <r>
    <x v="0"/>
    <x v="0"/>
    <x v="0"/>
    <x v="7"/>
    <x v="14"/>
    <x v="0"/>
    <x v="11"/>
    <n v="28.512557766404498"/>
  </r>
  <r>
    <x v="0"/>
    <x v="0"/>
    <x v="0"/>
    <x v="7"/>
    <x v="14"/>
    <x v="0"/>
    <x v="12"/>
    <n v="28.512557766404498"/>
  </r>
  <r>
    <x v="0"/>
    <x v="0"/>
    <x v="0"/>
    <x v="7"/>
    <x v="14"/>
    <x v="0"/>
    <x v="13"/>
    <n v="28.512557766404498"/>
  </r>
  <r>
    <x v="0"/>
    <x v="0"/>
    <x v="0"/>
    <x v="7"/>
    <x v="14"/>
    <x v="0"/>
    <x v="14"/>
    <n v="28.512557766404498"/>
  </r>
  <r>
    <x v="0"/>
    <x v="0"/>
    <x v="0"/>
    <x v="7"/>
    <x v="14"/>
    <x v="0"/>
    <x v="15"/>
    <n v="28.512557766404498"/>
  </r>
  <r>
    <x v="0"/>
    <x v="0"/>
    <x v="0"/>
    <x v="7"/>
    <x v="14"/>
    <x v="0"/>
    <x v="16"/>
    <n v="28.512557766404498"/>
  </r>
  <r>
    <x v="0"/>
    <x v="0"/>
    <x v="0"/>
    <x v="7"/>
    <x v="14"/>
    <x v="0"/>
    <x v="17"/>
    <n v="28.512557766404498"/>
  </r>
  <r>
    <x v="0"/>
    <x v="0"/>
    <x v="0"/>
    <x v="7"/>
    <x v="14"/>
    <x v="0"/>
    <x v="18"/>
    <n v="27.718693075578798"/>
  </r>
  <r>
    <x v="0"/>
    <x v="0"/>
    <x v="0"/>
    <x v="7"/>
    <x v="14"/>
    <x v="0"/>
    <x v="19"/>
    <n v="27.533481766404499"/>
  </r>
  <r>
    <x v="0"/>
    <x v="0"/>
    <x v="0"/>
    <x v="7"/>
    <x v="14"/>
    <x v="0"/>
    <x v="20"/>
    <n v="27.533481766404499"/>
  </r>
  <r>
    <x v="0"/>
    <x v="0"/>
    <x v="0"/>
    <x v="7"/>
    <x v="14"/>
    <x v="0"/>
    <x v="21"/>
    <n v="27.533481766404499"/>
  </r>
  <r>
    <x v="0"/>
    <x v="0"/>
    <x v="0"/>
    <x v="7"/>
    <x v="14"/>
    <x v="0"/>
    <x v="22"/>
    <n v="26.5544057664045"/>
  </r>
  <r>
    <x v="0"/>
    <x v="0"/>
    <x v="0"/>
    <x v="7"/>
    <x v="14"/>
    <x v="0"/>
    <x v="23"/>
    <n v="26.1115752944843"/>
  </r>
  <r>
    <x v="0"/>
    <x v="0"/>
    <x v="0"/>
    <x v="7"/>
    <x v="15"/>
    <x v="0"/>
    <x v="0"/>
    <n v="17.2174953495362"/>
  </r>
  <r>
    <x v="0"/>
    <x v="0"/>
    <x v="0"/>
    <x v="7"/>
    <x v="15"/>
    <x v="0"/>
    <x v="1"/>
    <n v="17.2174953495362"/>
  </r>
  <r>
    <x v="0"/>
    <x v="0"/>
    <x v="0"/>
    <x v="7"/>
    <x v="15"/>
    <x v="0"/>
    <x v="2"/>
    <n v="17.2174953495362"/>
  </r>
  <r>
    <x v="0"/>
    <x v="0"/>
    <x v="0"/>
    <x v="7"/>
    <x v="15"/>
    <x v="0"/>
    <x v="3"/>
    <n v="17.2174953495362"/>
  </r>
  <r>
    <x v="0"/>
    <x v="0"/>
    <x v="0"/>
    <x v="7"/>
    <x v="15"/>
    <x v="0"/>
    <x v="4"/>
    <n v="17.2174953495362"/>
  </r>
  <r>
    <x v="0"/>
    <x v="0"/>
    <x v="0"/>
    <x v="7"/>
    <x v="15"/>
    <x v="0"/>
    <x v="5"/>
    <n v="17.2174953495362"/>
  </r>
  <r>
    <x v="0"/>
    <x v="0"/>
    <x v="0"/>
    <x v="7"/>
    <x v="15"/>
    <x v="0"/>
    <x v="6"/>
    <n v="17.2174953495362"/>
  </r>
  <r>
    <x v="0"/>
    <x v="0"/>
    <x v="0"/>
    <x v="7"/>
    <x v="15"/>
    <x v="0"/>
    <x v="7"/>
    <n v="18.239495349536199"/>
  </r>
  <r>
    <x v="0"/>
    <x v="0"/>
    <x v="0"/>
    <x v="7"/>
    <x v="15"/>
    <x v="0"/>
    <x v="8"/>
    <n v="18.239495349536199"/>
  </r>
  <r>
    <x v="0"/>
    <x v="0"/>
    <x v="0"/>
    <x v="7"/>
    <x v="15"/>
    <x v="0"/>
    <x v="9"/>
    <n v="18.239495349536199"/>
  </r>
  <r>
    <x v="0"/>
    <x v="0"/>
    <x v="0"/>
    <x v="7"/>
    <x v="15"/>
    <x v="0"/>
    <x v="10"/>
    <n v="18.239495349536199"/>
  </r>
  <r>
    <x v="0"/>
    <x v="0"/>
    <x v="0"/>
    <x v="7"/>
    <x v="15"/>
    <x v="0"/>
    <x v="11"/>
    <n v="18.239495349536199"/>
  </r>
  <r>
    <x v="0"/>
    <x v="0"/>
    <x v="0"/>
    <x v="7"/>
    <x v="15"/>
    <x v="0"/>
    <x v="12"/>
    <n v="18.239495349536199"/>
  </r>
  <r>
    <x v="0"/>
    <x v="0"/>
    <x v="0"/>
    <x v="7"/>
    <x v="15"/>
    <x v="0"/>
    <x v="13"/>
    <n v="18.239495349536199"/>
  </r>
  <r>
    <x v="0"/>
    <x v="0"/>
    <x v="0"/>
    <x v="7"/>
    <x v="15"/>
    <x v="0"/>
    <x v="14"/>
    <n v="18.239495349536199"/>
  </r>
  <r>
    <x v="0"/>
    <x v="0"/>
    <x v="0"/>
    <x v="7"/>
    <x v="15"/>
    <x v="0"/>
    <x v="15"/>
    <n v="18.239495349536199"/>
  </r>
  <r>
    <x v="0"/>
    <x v="0"/>
    <x v="0"/>
    <x v="7"/>
    <x v="15"/>
    <x v="0"/>
    <x v="16"/>
    <n v="18.239495349536199"/>
  </r>
  <r>
    <x v="0"/>
    <x v="0"/>
    <x v="0"/>
    <x v="7"/>
    <x v="15"/>
    <x v="0"/>
    <x v="17"/>
    <n v="17.2174953495362"/>
  </r>
  <r>
    <x v="0"/>
    <x v="0"/>
    <x v="0"/>
    <x v="7"/>
    <x v="15"/>
    <x v="0"/>
    <x v="18"/>
    <n v="17.2174953495362"/>
  </r>
  <r>
    <x v="0"/>
    <x v="0"/>
    <x v="0"/>
    <x v="7"/>
    <x v="15"/>
    <x v="0"/>
    <x v="19"/>
    <n v="17.2174953495362"/>
  </r>
  <r>
    <x v="0"/>
    <x v="0"/>
    <x v="0"/>
    <x v="7"/>
    <x v="15"/>
    <x v="0"/>
    <x v="20"/>
    <n v="17.2174953495362"/>
  </r>
  <r>
    <x v="0"/>
    <x v="0"/>
    <x v="0"/>
    <x v="7"/>
    <x v="15"/>
    <x v="0"/>
    <x v="21"/>
    <n v="17.2174953495362"/>
  </r>
  <r>
    <x v="0"/>
    <x v="0"/>
    <x v="0"/>
    <x v="7"/>
    <x v="15"/>
    <x v="0"/>
    <x v="22"/>
    <n v="17.2174953495362"/>
  </r>
  <r>
    <x v="0"/>
    <x v="0"/>
    <x v="0"/>
    <x v="7"/>
    <x v="15"/>
    <x v="0"/>
    <x v="23"/>
    <n v="17.2174953495362"/>
  </r>
  <r>
    <x v="0"/>
    <x v="0"/>
    <x v="0"/>
    <x v="8"/>
    <x v="16"/>
    <x v="0"/>
    <x v="0"/>
    <n v="31.768856327170301"/>
  </r>
  <r>
    <x v="0"/>
    <x v="0"/>
    <x v="0"/>
    <x v="8"/>
    <x v="16"/>
    <x v="0"/>
    <x v="1"/>
    <n v="31.0088603780118"/>
  </r>
  <r>
    <x v="0"/>
    <x v="0"/>
    <x v="0"/>
    <x v="8"/>
    <x v="16"/>
    <x v="0"/>
    <x v="2"/>
    <n v="31.0088603780118"/>
  </r>
  <r>
    <x v="0"/>
    <x v="0"/>
    <x v="0"/>
    <x v="8"/>
    <x v="16"/>
    <x v="0"/>
    <x v="3"/>
    <n v="31.768856327170301"/>
  </r>
  <r>
    <x v="0"/>
    <x v="0"/>
    <x v="0"/>
    <x v="8"/>
    <x v="16"/>
    <x v="0"/>
    <x v="4"/>
    <n v="31.768856327170301"/>
  </r>
  <r>
    <x v="0"/>
    <x v="0"/>
    <x v="0"/>
    <x v="8"/>
    <x v="16"/>
    <x v="0"/>
    <x v="5"/>
    <n v="34.3202051552135"/>
  </r>
  <r>
    <x v="0"/>
    <x v="0"/>
    <x v="0"/>
    <x v="8"/>
    <x v="16"/>
    <x v="0"/>
    <x v="6"/>
    <n v="34.3202051552135"/>
  </r>
  <r>
    <x v="0"/>
    <x v="0"/>
    <x v="0"/>
    <x v="8"/>
    <x v="16"/>
    <x v="0"/>
    <x v="7"/>
    <n v="34.3202051552135"/>
  </r>
  <r>
    <x v="0"/>
    <x v="0"/>
    <x v="0"/>
    <x v="8"/>
    <x v="16"/>
    <x v="0"/>
    <x v="8"/>
    <n v="34.3202051552135"/>
  </r>
  <r>
    <x v="0"/>
    <x v="0"/>
    <x v="0"/>
    <x v="8"/>
    <x v="16"/>
    <x v="0"/>
    <x v="9"/>
    <n v="34.3202051552135"/>
  </r>
  <r>
    <x v="0"/>
    <x v="0"/>
    <x v="0"/>
    <x v="8"/>
    <x v="16"/>
    <x v="0"/>
    <x v="10"/>
    <n v="34.3202051552135"/>
  </r>
  <r>
    <x v="0"/>
    <x v="0"/>
    <x v="0"/>
    <x v="8"/>
    <x v="16"/>
    <x v="0"/>
    <x v="11"/>
    <n v="34.3202051552135"/>
  </r>
  <r>
    <x v="0"/>
    <x v="0"/>
    <x v="0"/>
    <x v="8"/>
    <x v="16"/>
    <x v="0"/>
    <x v="12"/>
    <n v="34.3202051552135"/>
  </r>
  <r>
    <x v="0"/>
    <x v="0"/>
    <x v="0"/>
    <x v="8"/>
    <x v="16"/>
    <x v="0"/>
    <x v="13"/>
    <n v="34.3202051552135"/>
  </r>
  <r>
    <x v="0"/>
    <x v="0"/>
    <x v="0"/>
    <x v="8"/>
    <x v="16"/>
    <x v="0"/>
    <x v="14"/>
    <n v="34.3202051552135"/>
  </r>
  <r>
    <x v="0"/>
    <x v="0"/>
    <x v="0"/>
    <x v="8"/>
    <x v="16"/>
    <x v="0"/>
    <x v="15"/>
    <n v="34.3202051552135"/>
  </r>
  <r>
    <x v="0"/>
    <x v="0"/>
    <x v="0"/>
    <x v="8"/>
    <x v="16"/>
    <x v="0"/>
    <x v="16"/>
    <n v="34.3202051552135"/>
  </r>
  <r>
    <x v="0"/>
    <x v="0"/>
    <x v="0"/>
    <x v="8"/>
    <x v="16"/>
    <x v="0"/>
    <x v="17"/>
    <n v="34.3202051552135"/>
  </r>
  <r>
    <x v="0"/>
    <x v="0"/>
    <x v="0"/>
    <x v="8"/>
    <x v="16"/>
    <x v="0"/>
    <x v="18"/>
    <n v="34.3202051552135"/>
  </r>
  <r>
    <x v="0"/>
    <x v="0"/>
    <x v="0"/>
    <x v="8"/>
    <x v="16"/>
    <x v="0"/>
    <x v="19"/>
    <n v="34.3202051552135"/>
  </r>
  <r>
    <x v="0"/>
    <x v="0"/>
    <x v="0"/>
    <x v="8"/>
    <x v="16"/>
    <x v="0"/>
    <x v="20"/>
    <n v="34.3202051552135"/>
  </r>
  <r>
    <x v="0"/>
    <x v="0"/>
    <x v="0"/>
    <x v="8"/>
    <x v="16"/>
    <x v="0"/>
    <x v="21"/>
    <n v="34.3202051552135"/>
  </r>
  <r>
    <x v="0"/>
    <x v="0"/>
    <x v="0"/>
    <x v="8"/>
    <x v="16"/>
    <x v="0"/>
    <x v="22"/>
    <n v="34.3202051552135"/>
  </r>
  <r>
    <x v="0"/>
    <x v="0"/>
    <x v="0"/>
    <x v="8"/>
    <x v="16"/>
    <x v="0"/>
    <x v="23"/>
    <n v="31.768856327170301"/>
  </r>
  <r>
    <x v="0"/>
    <x v="0"/>
    <x v="0"/>
    <x v="9"/>
    <x v="17"/>
    <x v="0"/>
    <x v="0"/>
    <n v="27.728977420836799"/>
  </r>
  <r>
    <x v="0"/>
    <x v="0"/>
    <x v="0"/>
    <x v="9"/>
    <x v="17"/>
    <x v="0"/>
    <x v="1"/>
    <n v="27.728977420836799"/>
  </r>
  <r>
    <x v="0"/>
    <x v="0"/>
    <x v="0"/>
    <x v="9"/>
    <x v="17"/>
    <x v="0"/>
    <x v="2"/>
    <n v="27.728977420836799"/>
  </r>
  <r>
    <x v="0"/>
    <x v="0"/>
    <x v="0"/>
    <x v="9"/>
    <x v="17"/>
    <x v="0"/>
    <x v="3"/>
    <n v="28.452347098077801"/>
  </r>
  <r>
    <x v="0"/>
    <x v="0"/>
    <x v="0"/>
    <x v="9"/>
    <x v="17"/>
    <x v="0"/>
    <x v="4"/>
    <n v="28.7406930755788"/>
  </r>
  <r>
    <x v="0"/>
    <x v="0"/>
    <x v="0"/>
    <x v="9"/>
    <x v="17"/>
    <x v="0"/>
    <x v="5"/>
    <n v="28.7406930755788"/>
  </r>
  <r>
    <x v="0"/>
    <x v="0"/>
    <x v="0"/>
    <x v="9"/>
    <x v="17"/>
    <x v="0"/>
    <x v="6"/>
    <n v="29.762693075578799"/>
  </r>
  <r>
    <x v="0"/>
    <x v="0"/>
    <x v="0"/>
    <x v="9"/>
    <x v="17"/>
    <x v="0"/>
    <x v="7"/>
    <n v="30.784693075578801"/>
  </r>
  <r>
    <x v="0"/>
    <x v="0"/>
    <x v="0"/>
    <x v="9"/>
    <x v="17"/>
    <x v="0"/>
    <x v="8"/>
    <n v="30.784693075578801"/>
  </r>
  <r>
    <x v="0"/>
    <x v="0"/>
    <x v="0"/>
    <x v="9"/>
    <x v="17"/>
    <x v="0"/>
    <x v="9"/>
    <n v="30.514675902838601"/>
  </r>
  <r>
    <x v="0"/>
    <x v="0"/>
    <x v="0"/>
    <x v="9"/>
    <x v="17"/>
    <x v="0"/>
    <x v="10"/>
    <n v="29.762693075578799"/>
  </r>
  <r>
    <x v="0"/>
    <x v="0"/>
    <x v="0"/>
    <x v="9"/>
    <x v="17"/>
    <x v="0"/>
    <x v="11"/>
    <n v="29.762693075578799"/>
  </r>
  <r>
    <x v="0"/>
    <x v="0"/>
    <x v="0"/>
    <x v="9"/>
    <x v="17"/>
    <x v="0"/>
    <x v="12"/>
    <n v="29.762693075578799"/>
  </r>
  <r>
    <x v="0"/>
    <x v="0"/>
    <x v="0"/>
    <x v="9"/>
    <x v="17"/>
    <x v="0"/>
    <x v="13"/>
    <n v="29.762693075578799"/>
  </r>
  <r>
    <x v="0"/>
    <x v="0"/>
    <x v="0"/>
    <x v="9"/>
    <x v="17"/>
    <x v="0"/>
    <x v="14"/>
    <n v="29.762693075578799"/>
  </r>
  <r>
    <x v="0"/>
    <x v="0"/>
    <x v="0"/>
    <x v="9"/>
    <x v="17"/>
    <x v="0"/>
    <x v="15"/>
    <n v="29.762693075578799"/>
  </r>
  <r>
    <x v="0"/>
    <x v="0"/>
    <x v="0"/>
    <x v="9"/>
    <x v="17"/>
    <x v="0"/>
    <x v="16"/>
    <n v="28.7727769660757"/>
  </r>
  <r>
    <x v="0"/>
    <x v="0"/>
    <x v="0"/>
    <x v="9"/>
    <x v="17"/>
    <x v="0"/>
    <x v="17"/>
    <n v="28.7727769660757"/>
  </r>
  <r>
    <x v="0"/>
    <x v="0"/>
    <x v="0"/>
    <x v="9"/>
    <x v="17"/>
    <x v="0"/>
    <x v="18"/>
    <n v="28.7406930755788"/>
  </r>
  <r>
    <x v="0"/>
    <x v="0"/>
    <x v="0"/>
    <x v="9"/>
    <x v="17"/>
    <x v="0"/>
    <x v="19"/>
    <n v="28.7406930755788"/>
  </r>
  <r>
    <x v="0"/>
    <x v="0"/>
    <x v="0"/>
    <x v="9"/>
    <x v="17"/>
    <x v="0"/>
    <x v="20"/>
    <n v="28.7406930755788"/>
  </r>
  <r>
    <x v="0"/>
    <x v="0"/>
    <x v="0"/>
    <x v="9"/>
    <x v="17"/>
    <x v="0"/>
    <x v="21"/>
    <n v="28.7406930755788"/>
  </r>
  <r>
    <x v="0"/>
    <x v="0"/>
    <x v="0"/>
    <x v="9"/>
    <x v="17"/>
    <x v="0"/>
    <x v="22"/>
    <n v="27.718693075578798"/>
  </r>
  <r>
    <x v="0"/>
    <x v="0"/>
    <x v="0"/>
    <x v="9"/>
    <x v="17"/>
    <x v="0"/>
    <x v="23"/>
    <n v="27.2564483240964"/>
  </r>
  <r>
    <x v="0"/>
    <x v="0"/>
    <x v="0"/>
    <x v="9"/>
    <x v="18"/>
    <x v="0"/>
    <x v="0"/>
    <n v="26.564258169161601"/>
  </r>
  <r>
    <x v="0"/>
    <x v="0"/>
    <x v="0"/>
    <x v="9"/>
    <x v="18"/>
    <x v="0"/>
    <x v="1"/>
    <n v="26.564258169161601"/>
  </r>
  <r>
    <x v="0"/>
    <x v="0"/>
    <x v="0"/>
    <x v="9"/>
    <x v="18"/>
    <x v="0"/>
    <x v="2"/>
    <n v="26.564258169161601"/>
  </r>
  <r>
    <x v="0"/>
    <x v="0"/>
    <x v="0"/>
    <x v="9"/>
    <x v="18"/>
    <x v="0"/>
    <x v="3"/>
    <n v="27.2572463199586"/>
  </r>
  <r>
    <x v="0"/>
    <x v="0"/>
    <x v="0"/>
    <x v="9"/>
    <x v="18"/>
    <x v="0"/>
    <x v="4"/>
    <n v="27.533481766404499"/>
  </r>
  <r>
    <x v="0"/>
    <x v="0"/>
    <x v="0"/>
    <x v="9"/>
    <x v="18"/>
    <x v="0"/>
    <x v="5"/>
    <n v="28.650756382999599"/>
  </r>
  <r>
    <x v="0"/>
    <x v="0"/>
    <x v="0"/>
    <x v="9"/>
    <x v="18"/>
    <x v="0"/>
    <x v="6"/>
    <n v="30.279095693304399"/>
  </r>
  <r>
    <x v="0"/>
    <x v="0"/>
    <x v="0"/>
    <x v="9"/>
    <x v="18"/>
    <x v="0"/>
    <x v="7"/>
    <n v="32.134441832545697"/>
  </r>
  <r>
    <x v="0"/>
    <x v="0"/>
    <x v="0"/>
    <x v="9"/>
    <x v="18"/>
    <x v="0"/>
    <x v="8"/>
    <n v="32.134441832545697"/>
  </r>
  <r>
    <x v="0"/>
    <x v="0"/>
    <x v="0"/>
    <x v="9"/>
    <x v="18"/>
    <x v="0"/>
    <x v="9"/>
    <n v="31.852586746178101"/>
  </r>
  <r>
    <x v="0"/>
    <x v="0"/>
    <x v="0"/>
    <x v="9"/>
    <x v="18"/>
    <x v="0"/>
    <x v="10"/>
    <n v="31.067635987034201"/>
  </r>
  <r>
    <x v="0"/>
    <x v="0"/>
    <x v="0"/>
    <x v="9"/>
    <x v="18"/>
    <x v="0"/>
    <x v="11"/>
    <n v="30.599481766404502"/>
  </r>
  <r>
    <x v="0"/>
    <x v="0"/>
    <x v="0"/>
    <x v="9"/>
    <x v="18"/>
    <x v="0"/>
    <x v="12"/>
    <n v="29.894434746178099"/>
  </r>
  <r>
    <x v="0"/>
    <x v="0"/>
    <x v="0"/>
    <x v="9"/>
    <x v="18"/>
    <x v="0"/>
    <x v="13"/>
    <n v="29.894434746178"/>
  </r>
  <r>
    <x v="0"/>
    <x v="0"/>
    <x v="0"/>
    <x v="9"/>
    <x v="18"/>
    <x v="0"/>
    <x v="14"/>
    <n v="29.894434746178"/>
  </r>
  <r>
    <x v="0"/>
    <x v="0"/>
    <x v="0"/>
    <x v="9"/>
    <x v="18"/>
    <x v="0"/>
    <x v="15"/>
    <n v="30.034320632646899"/>
  </r>
  <r>
    <x v="0"/>
    <x v="0"/>
    <x v="0"/>
    <x v="9"/>
    <x v="18"/>
    <x v="0"/>
    <x v="16"/>
    <n v="30.034320632646899"/>
  </r>
  <r>
    <x v="0"/>
    <x v="0"/>
    <x v="0"/>
    <x v="9"/>
    <x v="18"/>
    <x v="0"/>
    <x v="17"/>
    <n v="30.034320632646899"/>
  </r>
  <r>
    <x v="0"/>
    <x v="0"/>
    <x v="0"/>
    <x v="9"/>
    <x v="18"/>
    <x v="0"/>
    <x v="18"/>
    <n v="28.934024296011302"/>
  </r>
  <r>
    <x v="0"/>
    <x v="0"/>
    <x v="0"/>
    <x v="9"/>
    <x v="18"/>
    <x v="0"/>
    <x v="19"/>
    <n v="28.638766286838599"/>
  </r>
  <r>
    <x v="0"/>
    <x v="0"/>
    <x v="0"/>
    <x v="9"/>
    <x v="18"/>
    <x v="0"/>
    <x v="20"/>
    <n v="28.347956644251401"/>
  </r>
  <r>
    <x v="0"/>
    <x v="0"/>
    <x v="0"/>
    <x v="9"/>
    <x v="18"/>
    <x v="0"/>
    <x v="21"/>
    <n v="27.533481766404499"/>
  </r>
  <r>
    <x v="0"/>
    <x v="0"/>
    <x v="0"/>
    <x v="9"/>
    <x v="18"/>
    <x v="0"/>
    <x v="22"/>
    <n v="26.5544057664045"/>
  </r>
  <r>
    <x v="0"/>
    <x v="0"/>
    <x v="0"/>
    <x v="9"/>
    <x v="18"/>
    <x v="0"/>
    <x v="23"/>
    <n v="26.1115752944843"/>
  </r>
  <r>
    <x v="0"/>
    <x v="0"/>
    <x v="0"/>
    <x v="9"/>
    <x v="19"/>
    <x v="0"/>
    <x v="0"/>
    <n v="27.728977420836799"/>
  </r>
  <r>
    <x v="0"/>
    <x v="0"/>
    <x v="0"/>
    <x v="9"/>
    <x v="19"/>
    <x v="0"/>
    <x v="1"/>
    <n v="27.728977420836799"/>
  </r>
  <r>
    <x v="0"/>
    <x v="0"/>
    <x v="0"/>
    <x v="9"/>
    <x v="19"/>
    <x v="0"/>
    <x v="2"/>
    <n v="27.728977420836799"/>
  </r>
  <r>
    <x v="0"/>
    <x v="0"/>
    <x v="0"/>
    <x v="9"/>
    <x v="19"/>
    <x v="0"/>
    <x v="3"/>
    <n v="28.452347098077801"/>
  </r>
  <r>
    <x v="0"/>
    <x v="0"/>
    <x v="0"/>
    <x v="9"/>
    <x v="19"/>
    <x v="0"/>
    <x v="4"/>
    <n v="28.7406930755788"/>
  </r>
  <r>
    <x v="0"/>
    <x v="0"/>
    <x v="0"/>
    <x v="9"/>
    <x v="19"/>
    <x v="0"/>
    <x v="5"/>
    <n v="29.906950504174901"/>
  </r>
  <r>
    <x v="0"/>
    <x v="0"/>
    <x v="0"/>
    <x v="9"/>
    <x v="19"/>
    <x v="0"/>
    <x v="6"/>
    <n v="31.606678385495201"/>
  </r>
  <r>
    <x v="0"/>
    <x v="0"/>
    <x v="0"/>
    <x v="9"/>
    <x v="19"/>
    <x v="0"/>
    <x v="7"/>
    <n v="33.5433653784402"/>
  </r>
  <r>
    <x v="0"/>
    <x v="0"/>
    <x v="0"/>
    <x v="9"/>
    <x v="19"/>
    <x v="0"/>
    <x v="8"/>
    <n v="33.5433653784402"/>
  </r>
  <r>
    <x v="0"/>
    <x v="0"/>
    <x v="0"/>
    <x v="9"/>
    <x v="19"/>
    <x v="0"/>
    <x v="9"/>
    <n v="33.249153388494797"/>
  </r>
  <r>
    <x v="0"/>
    <x v="0"/>
    <x v="0"/>
    <x v="9"/>
    <x v="19"/>
    <x v="0"/>
    <x v="10"/>
    <n v="32.429789339284198"/>
  </r>
  <r>
    <x v="0"/>
    <x v="0"/>
    <x v="0"/>
    <x v="9"/>
    <x v="19"/>
    <x v="0"/>
    <x v="11"/>
    <n v="31.941110612113199"/>
  </r>
  <r>
    <x v="0"/>
    <x v="0"/>
    <x v="0"/>
    <x v="9"/>
    <x v="19"/>
    <x v="0"/>
    <x v="12"/>
    <n v="31.2051533884948"/>
  </r>
  <r>
    <x v="0"/>
    <x v="0"/>
    <x v="0"/>
    <x v="9"/>
    <x v="19"/>
    <x v="0"/>
    <x v="13"/>
    <n v="31.2051533884948"/>
  </r>
  <r>
    <x v="0"/>
    <x v="0"/>
    <x v="0"/>
    <x v="9"/>
    <x v="19"/>
    <x v="0"/>
    <x v="14"/>
    <n v="31.2051533884948"/>
  </r>
  <r>
    <x v="0"/>
    <x v="0"/>
    <x v="0"/>
    <x v="9"/>
    <x v="19"/>
    <x v="0"/>
    <x v="15"/>
    <n v="31.351172059130398"/>
  </r>
  <r>
    <x v="0"/>
    <x v="0"/>
    <x v="0"/>
    <x v="9"/>
    <x v="19"/>
    <x v="0"/>
    <x v="16"/>
    <n v="31.351172059130398"/>
  </r>
  <r>
    <x v="0"/>
    <x v="0"/>
    <x v="0"/>
    <x v="9"/>
    <x v="19"/>
    <x v="0"/>
    <x v="17"/>
    <n v="31.351172059130398"/>
  </r>
  <r>
    <x v="0"/>
    <x v="0"/>
    <x v="0"/>
    <x v="9"/>
    <x v="19"/>
    <x v="0"/>
    <x v="18"/>
    <n v="30.2026372609721"/>
  </r>
  <r>
    <x v="0"/>
    <x v="0"/>
    <x v="0"/>
    <x v="9"/>
    <x v="19"/>
    <x v="0"/>
    <x v="19"/>
    <n v="29.894434746178"/>
  </r>
  <r>
    <x v="0"/>
    <x v="0"/>
    <x v="0"/>
    <x v="9"/>
    <x v="19"/>
    <x v="0"/>
    <x v="20"/>
    <n v="29.5908756203042"/>
  </r>
  <r>
    <x v="0"/>
    <x v="0"/>
    <x v="0"/>
    <x v="9"/>
    <x v="19"/>
    <x v="0"/>
    <x v="21"/>
    <n v="28.7406930755788"/>
  </r>
  <r>
    <x v="0"/>
    <x v="0"/>
    <x v="0"/>
    <x v="9"/>
    <x v="19"/>
    <x v="0"/>
    <x v="22"/>
    <n v="27.718693075578798"/>
  </r>
  <r>
    <x v="0"/>
    <x v="0"/>
    <x v="0"/>
    <x v="9"/>
    <x v="19"/>
    <x v="0"/>
    <x v="23"/>
    <n v="27.2564483240964"/>
  </r>
  <r>
    <x v="0"/>
    <x v="0"/>
    <x v="0"/>
    <x v="9"/>
    <x v="20"/>
    <x v="0"/>
    <x v="0"/>
    <n v="28.944759520706501"/>
  </r>
  <r>
    <x v="0"/>
    <x v="0"/>
    <x v="0"/>
    <x v="9"/>
    <x v="20"/>
    <x v="0"/>
    <x v="1"/>
    <n v="28.944759520706501"/>
  </r>
  <r>
    <x v="0"/>
    <x v="0"/>
    <x v="0"/>
    <x v="9"/>
    <x v="20"/>
    <x v="0"/>
    <x v="2"/>
    <n v="28.944759520706501"/>
  </r>
  <r>
    <x v="0"/>
    <x v="0"/>
    <x v="0"/>
    <x v="9"/>
    <x v="20"/>
    <x v="0"/>
    <x v="3"/>
    <n v="29.699842691104202"/>
  </r>
  <r>
    <x v="0"/>
    <x v="0"/>
    <x v="0"/>
    <x v="9"/>
    <x v="20"/>
    <x v="0"/>
    <x v="4"/>
    <n v="30.000830141522702"/>
  </r>
  <r>
    <x v="0"/>
    <x v="0"/>
    <x v="0"/>
    <x v="9"/>
    <x v="20"/>
    <x v="0"/>
    <x v="5"/>
    <n v="31.218217854044799"/>
  </r>
  <r>
    <x v="0"/>
    <x v="0"/>
    <x v="0"/>
    <x v="9"/>
    <x v="20"/>
    <x v="0"/>
    <x v="6"/>
    <n v="32.992464076717297"/>
  </r>
  <r>
    <x v="0"/>
    <x v="0"/>
    <x v="0"/>
    <x v="9"/>
    <x v="20"/>
    <x v="0"/>
    <x v="7"/>
    <n v="35.014058015073303"/>
  </r>
  <r>
    <x v="0"/>
    <x v="0"/>
    <x v="0"/>
    <x v="9"/>
    <x v="20"/>
    <x v="0"/>
    <x v="8"/>
    <n v="35.014058015073303"/>
  </r>
  <r>
    <x v="0"/>
    <x v="0"/>
    <x v="0"/>
    <x v="9"/>
    <x v="20"/>
    <x v="0"/>
    <x v="9"/>
    <n v="34.706947378387099"/>
  </r>
  <r>
    <x v="0"/>
    <x v="0"/>
    <x v="0"/>
    <x v="9"/>
    <x v="20"/>
    <x v="0"/>
    <x v="10"/>
    <n v="33.851661314492901"/>
  </r>
  <r>
    <x v="0"/>
    <x v="0"/>
    <x v="0"/>
    <x v="9"/>
    <x v="20"/>
    <x v="0"/>
    <x v="11"/>
    <n v="33.341558258990901"/>
  </r>
  <r>
    <x v="0"/>
    <x v="0"/>
    <x v="0"/>
    <x v="9"/>
    <x v="20"/>
    <x v="0"/>
    <x v="12"/>
    <n v="32.5733356873641"/>
  </r>
  <r>
    <x v="0"/>
    <x v="0"/>
    <x v="0"/>
    <x v="9"/>
    <x v="20"/>
    <x v="0"/>
    <x v="13"/>
    <n v="32.5733356873641"/>
  </r>
  <r>
    <x v="0"/>
    <x v="0"/>
    <x v="0"/>
    <x v="9"/>
    <x v="20"/>
    <x v="0"/>
    <x v="14"/>
    <n v="32.5733356873641"/>
  </r>
  <r>
    <x v="0"/>
    <x v="0"/>
    <x v="0"/>
    <x v="9"/>
    <x v="20"/>
    <x v="0"/>
    <x v="15"/>
    <n v="32.725756011618301"/>
  </r>
  <r>
    <x v="0"/>
    <x v="0"/>
    <x v="0"/>
    <x v="9"/>
    <x v="20"/>
    <x v="0"/>
    <x v="16"/>
    <n v="32.725756011618301"/>
  </r>
  <r>
    <x v="0"/>
    <x v="0"/>
    <x v="0"/>
    <x v="9"/>
    <x v="20"/>
    <x v="0"/>
    <x v="17"/>
    <n v="32.725756011618301"/>
  </r>
  <r>
    <x v="0"/>
    <x v="0"/>
    <x v="0"/>
    <x v="9"/>
    <x v="20"/>
    <x v="0"/>
    <x v="18"/>
    <n v="31.526867913332001"/>
  </r>
  <r>
    <x v="0"/>
    <x v="0"/>
    <x v="0"/>
    <x v="9"/>
    <x v="20"/>
    <x v="0"/>
    <x v="19"/>
    <n v="31.2051533884948"/>
  </r>
  <r>
    <x v="0"/>
    <x v="0"/>
    <x v="0"/>
    <x v="9"/>
    <x v="20"/>
    <x v="0"/>
    <x v="20"/>
    <n v="30.888285824952199"/>
  </r>
  <r>
    <x v="0"/>
    <x v="0"/>
    <x v="0"/>
    <x v="9"/>
    <x v="20"/>
    <x v="0"/>
    <x v="21"/>
    <n v="30.000830141522702"/>
  </r>
  <r>
    <x v="0"/>
    <x v="0"/>
    <x v="0"/>
    <x v="9"/>
    <x v="20"/>
    <x v="0"/>
    <x v="22"/>
    <n v="28.934024296011302"/>
  </r>
  <r>
    <x v="0"/>
    <x v="0"/>
    <x v="0"/>
    <x v="9"/>
    <x v="20"/>
    <x v="0"/>
    <x v="23"/>
    <n v="28.451514117010799"/>
  </r>
  <r>
    <x v="0"/>
    <x v="0"/>
    <x v="0"/>
    <x v="10"/>
    <x v="21"/>
    <x v="0"/>
    <x v="0"/>
    <n v="36.278816376741602"/>
  </r>
  <r>
    <x v="0"/>
    <x v="0"/>
    <x v="0"/>
    <x v="10"/>
    <x v="21"/>
    <x v="0"/>
    <x v="1"/>
    <n v="36.278816376741602"/>
  </r>
  <r>
    <x v="0"/>
    <x v="0"/>
    <x v="0"/>
    <x v="10"/>
    <x v="21"/>
    <x v="0"/>
    <x v="2"/>
    <n v="34.3202051552135"/>
  </r>
  <r>
    <x v="0"/>
    <x v="0"/>
    <x v="0"/>
    <x v="10"/>
    <x v="21"/>
    <x v="0"/>
    <x v="3"/>
    <n v="34.3202051552135"/>
  </r>
  <r>
    <x v="0"/>
    <x v="0"/>
    <x v="0"/>
    <x v="10"/>
    <x v="21"/>
    <x v="0"/>
    <x v="4"/>
    <n v="34.3202051552135"/>
  </r>
  <r>
    <x v="0"/>
    <x v="0"/>
    <x v="0"/>
    <x v="10"/>
    <x v="21"/>
    <x v="0"/>
    <x v="5"/>
    <n v="34.3202051552135"/>
  </r>
  <r>
    <x v="0"/>
    <x v="0"/>
    <x v="0"/>
    <x v="10"/>
    <x v="21"/>
    <x v="0"/>
    <x v="6"/>
    <n v="36.278816376741602"/>
  </r>
  <r>
    <x v="0"/>
    <x v="0"/>
    <x v="0"/>
    <x v="10"/>
    <x v="21"/>
    <x v="0"/>
    <x v="7"/>
    <n v="52.0231888359938"/>
  </r>
  <r>
    <x v="0"/>
    <x v="0"/>
    <x v="0"/>
    <x v="10"/>
    <x v="21"/>
    <x v="0"/>
    <x v="8"/>
    <n v="52.0231888359938"/>
  </r>
  <r>
    <x v="0"/>
    <x v="0"/>
    <x v="0"/>
    <x v="10"/>
    <x v="21"/>
    <x v="0"/>
    <x v="9"/>
    <n v="52.0231888359938"/>
  </r>
  <r>
    <x v="0"/>
    <x v="0"/>
    <x v="0"/>
    <x v="10"/>
    <x v="21"/>
    <x v="0"/>
    <x v="10"/>
    <n v="52.0231888359938"/>
  </r>
  <r>
    <x v="0"/>
    <x v="0"/>
    <x v="0"/>
    <x v="10"/>
    <x v="21"/>
    <x v="0"/>
    <x v="11"/>
    <n v="52.0231888359938"/>
  </r>
  <r>
    <x v="0"/>
    <x v="0"/>
    <x v="0"/>
    <x v="10"/>
    <x v="21"/>
    <x v="0"/>
    <x v="12"/>
    <n v="52.0231888359938"/>
  </r>
  <r>
    <x v="0"/>
    <x v="0"/>
    <x v="0"/>
    <x v="10"/>
    <x v="21"/>
    <x v="0"/>
    <x v="13"/>
    <n v="52.0231888359938"/>
  </r>
  <r>
    <x v="0"/>
    <x v="0"/>
    <x v="0"/>
    <x v="10"/>
    <x v="21"/>
    <x v="0"/>
    <x v="14"/>
    <n v="52.0231888359938"/>
  </r>
  <r>
    <x v="0"/>
    <x v="0"/>
    <x v="0"/>
    <x v="10"/>
    <x v="21"/>
    <x v="0"/>
    <x v="15"/>
    <n v="55.678278746454801"/>
  </r>
  <r>
    <x v="0"/>
    <x v="0"/>
    <x v="0"/>
    <x v="10"/>
    <x v="21"/>
    <x v="0"/>
    <x v="16"/>
    <n v="61.122029676928697"/>
  </r>
  <r>
    <x v="0"/>
    <x v="0"/>
    <x v="0"/>
    <x v="10"/>
    <x v="21"/>
    <x v="0"/>
    <x v="17"/>
    <n v="61.122029676928697"/>
  </r>
  <r>
    <x v="0"/>
    <x v="0"/>
    <x v="0"/>
    <x v="10"/>
    <x v="21"/>
    <x v="0"/>
    <x v="18"/>
    <n v="61.122029676928697"/>
  </r>
  <r>
    <x v="0"/>
    <x v="0"/>
    <x v="0"/>
    <x v="10"/>
    <x v="21"/>
    <x v="0"/>
    <x v="19"/>
    <n v="55.678278746454801"/>
  </r>
  <r>
    <x v="0"/>
    <x v="0"/>
    <x v="0"/>
    <x v="10"/>
    <x v="21"/>
    <x v="0"/>
    <x v="20"/>
    <n v="55.678278746454801"/>
  </r>
  <r>
    <x v="0"/>
    <x v="0"/>
    <x v="0"/>
    <x v="10"/>
    <x v="21"/>
    <x v="0"/>
    <x v="21"/>
    <n v="52.0231888359938"/>
  </r>
  <r>
    <x v="0"/>
    <x v="0"/>
    <x v="0"/>
    <x v="10"/>
    <x v="21"/>
    <x v="0"/>
    <x v="22"/>
    <n v="52.0231888359938"/>
  </r>
  <r>
    <x v="0"/>
    <x v="0"/>
    <x v="0"/>
    <x v="10"/>
    <x v="21"/>
    <x v="0"/>
    <x v="23"/>
    <n v="36.278816376741602"/>
  </r>
</pivotCacheRecords>
</file>

<file path=xl/pivotCache/pivotCacheRecords3.xml><?xml version="1.0" encoding="utf-8"?>
<pivotCacheRecords xmlns="http://schemas.openxmlformats.org/spreadsheetml/2006/main" xmlns:r="http://schemas.openxmlformats.org/officeDocument/2006/relationships" count="22">
  <r>
    <x v="0"/>
    <x v="0"/>
    <x v="0"/>
    <x v="0"/>
    <x v="0"/>
    <x v="0"/>
    <x v="0"/>
  </r>
  <r>
    <x v="0"/>
    <x v="0"/>
    <x v="0"/>
    <x v="1"/>
    <x v="0"/>
    <x v="1"/>
    <x v="1"/>
  </r>
  <r>
    <x v="0"/>
    <x v="0"/>
    <x v="1"/>
    <x v="2"/>
    <x v="0"/>
    <x v="2"/>
    <x v="2"/>
  </r>
  <r>
    <x v="0"/>
    <x v="0"/>
    <x v="2"/>
    <x v="3"/>
    <x v="0"/>
    <x v="3"/>
    <x v="3"/>
  </r>
  <r>
    <x v="0"/>
    <x v="0"/>
    <x v="3"/>
    <x v="4"/>
    <x v="0"/>
    <x v="4"/>
    <x v="4"/>
  </r>
  <r>
    <x v="0"/>
    <x v="0"/>
    <x v="3"/>
    <x v="5"/>
    <x v="0"/>
    <x v="5"/>
    <x v="5"/>
  </r>
  <r>
    <x v="0"/>
    <x v="0"/>
    <x v="3"/>
    <x v="6"/>
    <x v="0"/>
    <x v="6"/>
    <x v="6"/>
  </r>
  <r>
    <x v="0"/>
    <x v="0"/>
    <x v="3"/>
    <x v="7"/>
    <x v="0"/>
    <x v="7"/>
    <x v="7"/>
  </r>
  <r>
    <x v="0"/>
    <x v="0"/>
    <x v="4"/>
    <x v="8"/>
    <x v="0"/>
    <x v="8"/>
    <x v="8"/>
  </r>
  <r>
    <x v="0"/>
    <x v="0"/>
    <x v="5"/>
    <x v="9"/>
    <x v="0"/>
    <x v="9"/>
    <x v="9"/>
  </r>
  <r>
    <x v="0"/>
    <x v="0"/>
    <x v="6"/>
    <x v="10"/>
    <x v="0"/>
    <x v="10"/>
    <x v="10"/>
  </r>
  <r>
    <x v="0"/>
    <x v="0"/>
    <x v="7"/>
    <x v="11"/>
    <x v="0"/>
    <x v="11"/>
    <x v="11"/>
  </r>
  <r>
    <x v="0"/>
    <x v="0"/>
    <x v="7"/>
    <x v="12"/>
    <x v="0"/>
    <x v="12"/>
    <x v="12"/>
  </r>
  <r>
    <x v="0"/>
    <x v="0"/>
    <x v="7"/>
    <x v="13"/>
    <x v="0"/>
    <x v="13"/>
    <x v="13"/>
  </r>
  <r>
    <x v="0"/>
    <x v="0"/>
    <x v="7"/>
    <x v="14"/>
    <x v="0"/>
    <x v="14"/>
    <x v="14"/>
  </r>
  <r>
    <x v="0"/>
    <x v="0"/>
    <x v="7"/>
    <x v="15"/>
    <x v="0"/>
    <x v="15"/>
    <x v="15"/>
  </r>
  <r>
    <x v="0"/>
    <x v="0"/>
    <x v="8"/>
    <x v="16"/>
    <x v="0"/>
    <x v="16"/>
    <x v="16"/>
  </r>
  <r>
    <x v="0"/>
    <x v="0"/>
    <x v="9"/>
    <x v="17"/>
    <x v="0"/>
    <x v="17"/>
    <x v="17"/>
  </r>
  <r>
    <x v="0"/>
    <x v="0"/>
    <x v="9"/>
    <x v="18"/>
    <x v="0"/>
    <x v="18"/>
    <x v="18"/>
  </r>
  <r>
    <x v="0"/>
    <x v="0"/>
    <x v="9"/>
    <x v="19"/>
    <x v="0"/>
    <x v="19"/>
    <x v="19"/>
  </r>
  <r>
    <x v="0"/>
    <x v="0"/>
    <x v="9"/>
    <x v="20"/>
    <x v="0"/>
    <x v="20"/>
    <x v="20"/>
  </r>
  <r>
    <x v="0"/>
    <x v="0"/>
    <x v="10"/>
    <x v="21"/>
    <x v="0"/>
    <x v="21"/>
    <x v="21"/>
  </r>
</pivotCacheRecords>
</file>

<file path=xl/pivotCache/pivotCacheRecords4.xml><?xml version="1.0" encoding="utf-8"?>
<pivotCacheRecords xmlns="http://schemas.openxmlformats.org/spreadsheetml/2006/main" xmlns:r="http://schemas.openxmlformats.org/officeDocument/2006/relationships" count="528">
  <r>
    <x v="0"/>
    <x v="0"/>
    <x v="0"/>
    <x v="0"/>
    <x v="0"/>
    <x v="0"/>
    <x v="0"/>
    <n v="1414.8255655869"/>
    <n v="516411.33143921703"/>
  </r>
  <r>
    <x v="0"/>
    <x v="0"/>
    <x v="0"/>
    <x v="0"/>
    <x v="0"/>
    <x v="0"/>
    <x v="1"/>
    <n v="1364.04496825772"/>
    <n v="497876.41341406602"/>
  </r>
  <r>
    <x v="0"/>
    <x v="0"/>
    <x v="0"/>
    <x v="0"/>
    <x v="0"/>
    <x v="0"/>
    <x v="2"/>
    <n v="1324.20173035328"/>
    <n v="483333.63157894701"/>
  </r>
  <r>
    <x v="0"/>
    <x v="0"/>
    <x v="0"/>
    <x v="0"/>
    <x v="0"/>
    <x v="0"/>
    <x v="3"/>
    <n v="1299.20205166814"/>
    <n v="474208.74885887298"/>
  </r>
  <r>
    <x v="0"/>
    <x v="0"/>
    <x v="0"/>
    <x v="0"/>
    <x v="0"/>
    <x v="0"/>
    <x v="4"/>
    <n v="1289.04593220231"/>
    <n v="470501.76525384298"/>
  </r>
  <r>
    <x v="0"/>
    <x v="0"/>
    <x v="0"/>
    <x v="0"/>
    <x v="0"/>
    <x v="0"/>
    <x v="5"/>
    <n v="1489.04336168339"/>
    <n v="543500.82701443904"/>
  </r>
  <r>
    <x v="0"/>
    <x v="0"/>
    <x v="0"/>
    <x v="0"/>
    <x v="0"/>
    <x v="0"/>
    <x v="6"/>
    <n v="1917.94409912525"/>
    <n v="700049.596180717"/>
  </r>
  <r>
    <x v="0"/>
    <x v="0"/>
    <x v="0"/>
    <x v="0"/>
    <x v="0"/>
    <x v="0"/>
    <x v="7"/>
    <n v="2389.0317943482801"/>
    <n v="871996.60493712197"/>
  </r>
  <r>
    <x v="0"/>
    <x v="0"/>
    <x v="0"/>
    <x v="0"/>
    <x v="0"/>
    <x v="0"/>
    <x v="8"/>
    <n v="2514.81142773287"/>
    <n v="917906.17112249695"/>
  </r>
  <r>
    <x v="0"/>
    <x v="0"/>
    <x v="0"/>
    <x v="0"/>
    <x v="0"/>
    <x v="0"/>
    <x v="9"/>
    <n v="2491.3742289655502"/>
    <n v="909351.59357242705"/>
  </r>
  <r>
    <x v="0"/>
    <x v="0"/>
    <x v="0"/>
    <x v="0"/>
    <x v="0"/>
    <x v="0"/>
    <x v="10"/>
    <n v="2526.5300271165202"/>
    <n v="922183.45989753201"/>
  </r>
  <r>
    <x v="0"/>
    <x v="0"/>
    <x v="0"/>
    <x v="0"/>
    <x v="0"/>
    <x v="0"/>
    <x v="11"/>
    <n v="2554.6546656372998"/>
    <n v="932448.95295761502"/>
  </r>
  <r>
    <x v="0"/>
    <x v="0"/>
    <x v="0"/>
    <x v="0"/>
    <x v="0"/>
    <x v="0"/>
    <x v="12"/>
    <n v="2545.2797861303802"/>
    <n v="929027.12193758704"/>
  </r>
  <r>
    <x v="0"/>
    <x v="0"/>
    <x v="0"/>
    <x v="0"/>
    <x v="0"/>
    <x v="0"/>
    <x v="13"/>
    <n v="2517.9363875685099"/>
    <n v="919046.78146250604"/>
  </r>
  <r>
    <x v="0"/>
    <x v="0"/>
    <x v="0"/>
    <x v="0"/>
    <x v="0"/>
    <x v="0"/>
    <x v="14"/>
    <n v="2456.2184308145802"/>
    <n v="896519.72724732198"/>
  </r>
  <r>
    <x v="0"/>
    <x v="0"/>
    <x v="0"/>
    <x v="0"/>
    <x v="0"/>
    <x v="0"/>
    <x v="15"/>
    <n v="2385.9068345126402"/>
    <n v="870855.99459711195"/>
  </r>
  <r>
    <x v="0"/>
    <x v="0"/>
    <x v="0"/>
    <x v="0"/>
    <x v="0"/>
    <x v="0"/>
    <x v="16"/>
    <n v="2469.4995101160598"/>
    <n v="901367.321192362"/>
  </r>
  <r>
    <x v="0"/>
    <x v="0"/>
    <x v="0"/>
    <x v="0"/>
    <x v="0"/>
    <x v="0"/>
    <x v="17"/>
    <n v="2664.0282598847698"/>
    <n v="972370.314857941"/>
  </r>
  <r>
    <x v="0"/>
    <x v="0"/>
    <x v="0"/>
    <x v="0"/>
    <x v="0"/>
    <x v="0"/>
    <x v="18"/>
    <n v="2556.9983855140299"/>
    <n v="933304.41071262199"/>
  </r>
  <r>
    <x v="0"/>
    <x v="0"/>
    <x v="0"/>
    <x v="0"/>
    <x v="0"/>
    <x v="0"/>
    <x v="19"/>
    <n v="2405.4378334854"/>
    <n v="877984.80922217097"/>
  </r>
  <r>
    <x v="0"/>
    <x v="0"/>
    <x v="0"/>
    <x v="0"/>
    <x v="0"/>
    <x v="0"/>
    <x v="20"/>
    <n v="2231.22132264836"/>
    <n v="814395.78276665101"/>
  </r>
  <r>
    <x v="0"/>
    <x v="0"/>
    <x v="0"/>
    <x v="0"/>
    <x v="0"/>
    <x v="0"/>
    <x v="21"/>
    <n v="1990.5994153039301"/>
    <n v="726568.78658593399"/>
  </r>
  <r>
    <x v="0"/>
    <x v="0"/>
    <x v="0"/>
    <x v="0"/>
    <x v="0"/>
    <x v="0"/>
    <x v="22"/>
    <n v="1824.1953040559899"/>
    <n v="665831.285980438"/>
  </r>
  <r>
    <x v="0"/>
    <x v="0"/>
    <x v="0"/>
    <x v="0"/>
    <x v="0"/>
    <x v="0"/>
    <x v="23"/>
    <n v="1697.63443071249"/>
    <n v="619636.56721006101"/>
  </r>
  <r>
    <x v="0"/>
    <x v="0"/>
    <x v="0"/>
    <x v="1"/>
    <x v="0"/>
    <x v="0"/>
    <x v="0"/>
    <n v="1081.78814086082"/>
    <n v="394852.671414198"/>
  </r>
  <r>
    <x v="0"/>
    <x v="0"/>
    <x v="0"/>
    <x v="1"/>
    <x v="0"/>
    <x v="0"/>
    <x v="1"/>
    <n v="1030.0538043599799"/>
    <n v="375969.63859139202"/>
  </r>
  <r>
    <x v="0"/>
    <x v="0"/>
    <x v="0"/>
    <x v="1"/>
    <x v="0"/>
    <x v="0"/>
    <x v="2"/>
    <n v="1008.43348462828"/>
    <n v="368078.22188932402"/>
  </r>
  <r>
    <x v="0"/>
    <x v="0"/>
    <x v="0"/>
    <x v="1"/>
    <x v="0"/>
    <x v="0"/>
    <x v="3"/>
    <n v="1008.43348462828"/>
    <n v="368078.22188932402"/>
  </r>
  <r>
    <x v="0"/>
    <x v="0"/>
    <x v="0"/>
    <x v="1"/>
    <x v="0"/>
    <x v="0"/>
    <x v="4"/>
    <n v="1034.6867300167701"/>
    <n v="377660.65645612101"/>
  </r>
  <r>
    <x v="0"/>
    <x v="0"/>
    <x v="0"/>
    <x v="1"/>
    <x v="0"/>
    <x v="0"/>
    <x v="5"/>
    <n v="1107.26923197317"/>
    <n v="404153.269670207"/>
  </r>
  <r>
    <x v="0"/>
    <x v="0"/>
    <x v="0"/>
    <x v="1"/>
    <x v="0"/>
    <x v="0"/>
    <x v="6"/>
    <n v="1321.9281207378399"/>
    <n v="482503.76406931202"/>
  </r>
  <r>
    <x v="0"/>
    <x v="0"/>
    <x v="0"/>
    <x v="1"/>
    <x v="0"/>
    <x v="0"/>
    <x v="7"/>
    <n v="1569.78964337619"/>
    <n v="572973.21983230906"/>
  </r>
  <r>
    <x v="0"/>
    <x v="0"/>
    <x v="0"/>
    <x v="1"/>
    <x v="0"/>
    <x v="0"/>
    <x v="8"/>
    <n v="1612.2581285634401"/>
    <n v="588474.21692565701"/>
  </r>
  <r>
    <x v="0"/>
    <x v="0"/>
    <x v="0"/>
    <x v="1"/>
    <x v="0"/>
    <x v="0"/>
    <x v="9"/>
    <n v="1619.2075170486301"/>
    <n v="591010.74372274999"/>
  </r>
  <r>
    <x v="0"/>
    <x v="0"/>
    <x v="0"/>
    <x v="1"/>
    <x v="0"/>
    <x v="0"/>
    <x v="10"/>
    <n v="1619.2075170486301"/>
    <n v="591010.74372274999"/>
  </r>
  <r>
    <x v="0"/>
    <x v="0"/>
    <x v="0"/>
    <x v="1"/>
    <x v="0"/>
    <x v="0"/>
    <x v="11"/>
    <n v="1586.7770374510901"/>
    <n v="579173.61866964796"/>
  </r>
  <r>
    <x v="0"/>
    <x v="0"/>
    <x v="0"/>
    <x v="1"/>
    <x v="0"/>
    <x v="0"/>
    <x v="12"/>
    <n v="1594.4985802124099"/>
    <n v="581991.981777529"/>
  </r>
  <r>
    <x v="0"/>
    <x v="0"/>
    <x v="0"/>
    <x v="1"/>
    <x v="0"/>
    <x v="0"/>
    <x v="13"/>
    <n v="1612.2581285634401"/>
    <n v="588474.21692565701"/>
  </r>
  <r>
    <x v="0"/>
    <x v="0"/>
    <x v="0"/>
    <x v="1"/>
    <x v="0"/>
    <x v="0"/>
    <x v="14"/>
    <n v="1602.9922772498601"/>
    <n v="585092.18119619903"/>
  </r>
  <r>
    <x v="0"/>
    <x v="0"/>
    <x v="0"/>
    <x v="1"/>
    <x v="0"/>
    <x v="0"/>
    <x v="15"/>
    <n v="1598.35935159307"/>
    <n v="583401.16333146999"/>
  </r>
  <r>
    <x v="0"/>
    <x v="0"/>
    <x v="0"/>
    <x v="1"/>
    <x v="0"/>
    <x v="0"/>
    <x v="16"/>
    <n v="1701.05587031861"/>
    <n v="620885.39266629401"/>
  </r>
  <r>
    <x v="0"/>
    <x v="0"/>
    <x v="0"/>
    <x v="1"/>
    <x v="0"/>
    <x v="0"/>
    <x v="17"/>
    <n v="1813.0182403577401"/>
    <n v="661751.657730576"/>
  </r>
  <r>
    <x v="0"/>
    <x v="0"/>
    <x v="0"/>
    <x v="1"/>
    <x v="0"/>
    <x v="0"/>
    <x v="18"/>
    <n v="1760.5117495807699"/>
    <n v="642586.78859698202"/>
  </r>
  <r>
    <x v="0"/>
    <x v="0"/>
    <x v="0"/>
    <x v="1"/>
    <x v="0"/>
    <x v="0"/>
    <x v="19"/>
    <n v="1677.11908775852"/>
    <n v="612148.46703186096"/>
  </r>
  <r>
    <x v="0"/>
    <x v="0"/>
    <x v="0"/>
    <x v="1"/>
    <x v="0"/>
    <x v="0"/>
    <x v="20"/>
    <n v="1560.5237920626"/>
    <n v="569591.18410285097"/>
  </r>
  <r>
    <x v="0"/>
    <x v="0"/>
    <x v="0"/>
    <x v="1"/>
    <x v="0"/>
    <x v="0"/>
    <x v="21"/>
    <n v="1466.3209703745099"/>
    <n v="535207.15418669605"/>
  </r>
  <r>
    <x v="0"/>
    <x v="0"/>
    <x v="0"/>
    <x v="1"/>
    <x v="0"/>
    <x v="0"/>
    <x v="22"/>
    <n v="1331.96612632756"/>
    <n v="486167.63610955799"/>
  </r>
  <r>
    <x v="0"/>
    <x v="0"/>
    <x v="0"/>
    <x v="1"/>
    <x v="0"/>
    <x v="0"/>
    <x v="23"/>
    <n v="1216.1429849077699"/>
    <n v="443892.189491336"/>
  </r>
  <r>
    <x v="0"/>
    <x v="0"/>
    <x v="1"/>
    <x v="2"/>
    <x v="0"/>
    <x v="0"/>
    <x v="0"/>
    <n v="870.65846578531102"/>
    <n v="317790.340011639"/>
  </r>
  <r>
    <x v="0"/>
    <x v="0"/>
    <x v="1"/>
    <x v="2"/>
    <x v="0"/>
    <x v="0"/>
    <x v="1"/>
    <n v="832.46310001970096"/>
    <n v="303849.03150719102"/>
  </r>
  <r>
    <x v="0"/>
    <x v="0"/>
    <x v="1"/>
    <x v="2"/>
    <x v="0"/>
    <x v="0"/>
    <x v="2"/>
    <n v="811.89636460744998"/>
    <n v="296342.17308171903"/>
  </r>
  <r>
    <x v="0"/>
    <x v="0"/>
    <x v="1"/>
    <x v="2"/>
    <x v="0"/>
    <x v="0"/>
    <x v="3"/>
    <n v="806.02015448966404"/>
    <n v="294197.35638872703"/>
  </r>
  <r>
    <x v="0"/>
    <x v="0"/>
    <x v="1"/>
    <x v="2"/>
    <x v="0"/>
    <x v="0"/>
    <x v="4"/>
    <n v="808.95825954855695"/>
    <n v="295269.76473522303"/>
  </r>
  <r>
    <x v="0"/>
    <x v="0"/>
    <x v="1"/>
    <x v="2"/>
    <x v="0"/>
    <x v="0"/>
    <x v="5"/>
    <n v="821.69004813709296"/>
    <n v="299916.867570039"/>
  </r>
  <r>
    <x v="0"/>
    <x v="0"/>
    <x v="1"/>
    <x v="2"/>
    <x v="0"/>
    <x v="0"/>
    <x v="6"/>
    <n v="848.13299366713102"/>
    <n v="309568.54268850299"/>
  </r>
  <r>
    <x v="0"/>
    <x v="0"/>
    <x v="1"/>
    <x v="2"/>
    <x v="0"/>
    <x v="0"/>
    <x v="7"/>
    <n v="891.225201197562"/>
    <n v="325297.19843711"/>
  </r>
  <r>
    <x v="0"/>
    <x v="0"/>
    <x v="1"/>
    <x v="2"/>
    <x v="0"/>
    <x v="0"/>
    <x v="8"/>
    <n v="942.15235555170898"/>
    <n v="343885.60977637401"/>
  </r>
  <r>
    <x v="0"/>
    <x v="0"/>
    <x v="1"/>
    <x v="2"/>
    <x v="0"/>
    <x v="0"/>
    <x v="9"/>
    <n v="983.28582637621196"/>
    <n v="358899.326627317"/>
  </r>
  <r>
    <x v="0"/>
    <x v="0"/>
    <x v="1"/>
    <x v="2"/>
    <x v="0"/>
    <x v="0"/>
    <x v="10"/>
    <n v="1027.3574022596099"/>
    <n v="374985.45182475698"/>
  </r>
  <r>
    <x v="0"/>
    <x v="0"/>
    <x v="1"/>
    <x v="2"/>
    <x v="0"/>
    <x v="0"/>
    <x v="11"/>
    <n v="1046.9447693188899"/>
    <n v="382134.84080139699"/>
  </r>
  <r>
    <x v="0"/>
    <x v="0"/>
    <x v="1"/>
    <x v="2"/>
    <x v="0"/>
    <x v="0"/>
    <x v="12"/>
    <n v="1048.90350602482"/>
    <n v="382849.77969906101"/>
  </r>
  <r>
    <x v="0"/>
    <x v="0"/>
    <x v="1"/>
    <x v="2"/>
    <x v="0"/>
    <x v="0"/>
    <x v="13"/>
    <n v="1052.8209794366801"/>
    <n v="384279.65749438899"/>
  </r>
  <r>
    <x v="0"/>
    <x v="0"/>
    <x v="1"/>
    <x v="2"/>
    <x v="0"/>
    <x v="0"/>
    <x v="14"/>
    <n v="1051.84161108372"/>
    <n v="383922.18804555701"/>
  </r>
  <r>
    <x v="0"/>
    <x v="0"/>
    <x v="1"/>
    <x v="2"/>
    <x v="0"/>
    <x v="0"/>
    <x v="15"/>
    <n v="1067.5115047311499"/>
    <n v="389641.69922686799"/>
  </r>
  <r>
    <x v="0"/>
    <x v="0"/>
    <x v="1"/>
    <x v="2"/>
    <x v="0"/>
    <x v="0"/>
    <x v="16"/>
    <n v="1137.04665779162"/>
    <n v="415022.03009393997"/>
  </r>
  <r>
    <x v="0"/>
    <x v="0"/>
    <x v="1"/>
    <x v="2"/>
    <x v="0"/>
    <x v="0"/>
    <x v="17"/>
    <n v="1157.6133932038699"/>
    <n v="422528.88851941098"/>
  </r>
  <r>
    <x v="0"/>
    <x v="0"/>
    <x v="1"/>
    <x v="2"/>
    <x v="0"/>
    <x v="0"/>
    <x v="18"/>
    <n v="1148.79907802719"/>
    <n v="419311.66347992403"/>
  </r>
  <r>
    <x v="0"/>
    <x v="0"/>
    <x v="1"/>
    <x v="2"/>
    <x v="0"/>
    <x v="0"/>
    <x v="19"/>
    <n v="1134.10855273272"/>
    <n v="413949.62174744398"/>
  </r>
  <r>
    <x v="0"/>
    <x v="0"/>
    <x v="1"/>
    <x v="2"/>
    <x v="0"/>
    <x v="0"/>
    <x v="20"/>
    <n v="1106.68623884972"/>
    <n v="403940.47718014801"/>
  </r>
  <r>
    <x v="0"/>
    <x v="0"/>
    <x v="1"/>
    <x v="2"/>
    <x v="0"/>
    <x v="0"/>
    <x v="21"/>
    <n v="1053.80034778965"/>
    <n v="384637.12694322102"/>
  </r>
  <r>
    <x v="0"/>
    <x v="0"/>
    <x v="1"/>
    <x v="2"/>
    <x v="0"/>
    <x v="0"/>
    <x v="22"/>
    <n v="989.16203649399802"/>
    <n v="361044.143320309"/>
  </r>
  <r>
    <x v="0"/>
    <x v="0"/>
    <x v="1"/>
    <x v="2"/>
    <x v="0"/>
    <x v="0"/>
    <x v="23"/>
    <n v="922.564988492422"/>
    <n v="336736.220799734"/>
  </r>
  <r>
    <x v="0"/>
    <x v="0"/>
    <x v="2"/>
    <x v="3"/>
    <x v="0"/>
    <x v="0"/>
    <x v="0"/>
    <n v="8431.4422706258101"/>
    <n v="3077476.4287784202"/>
  </r>
  <r>
    <x v="0"/>
    <x v="0"/>
    <x v="2"/>
    <x v="3"/>
    <x v="0"/>
    <x v="0"/>
    <x v="1"/>
    <n v="8215.9630102729298"/>
    <n v="2998826.4987496198"/>
  </r>
  <r>
    <x v="0"/>
    <x v="0"/>
    <x v="2"/>
    <x v="3"/>
    <x v="0"/>
    <x v="0"/>
    <x v="2"/>
    <n v="8184.9470561312301"/>
    <n v="2987505.6754879002"/>
  </r>
  <r>
    <x v="0"/>
    <x v="0"/>
    <x v="2"/>
    <x v="3"/>
    <x v="0"/>
    <x v="0"/>
    <x v="3"/>
    <n v="8260.0383135269294"/>
    <n v="3014913.9844373302"/>
  </r>
  <r>
    <x v="0"/>
    <x v="0"/>
    <x v="2"/>
    <x v="3"/>
    <x v="0"/>
    <x v="0"/>
    <x v="4"/>
    <n v="8619.1704141150603"/>
    <n v="3145997.2011520001"/>
  </r>
  <r>
    <x v="0"/>
    <x v="0"/>
    <x v="2"/>
    <x v="3"/>
    <x v="0"/>
    <x v="0"/>
    <x v="5"/>
    <n v="9508.0223630706696"/>
    <n v="3470428.1625207998"/>
  </r>
  <r>
    <x v="0"/>
    <x v="0"/>
    <x v="2"/>
    <x v="3"/>
    <x v="0"/>
    <x v="0"/>
    <x v="6"/>
    <n v="9961.8347447229407"/>
    <n v="3636069.6818238702"/>
  </r>
  <r>
    <x v="0"/>
    <x v="0"/>
    <x v="2"/>
    <x v="3"/>
    <x v="0"/>
    <x v="0"/>
    <x v="7"/>
    <n v="10232.8162388031"/>
    <n v="3734977.9271631199"/>
  </r>
  <r>
    <x v="0"/>
    <x v="0"/>
    <x v="2"/>
    <x v="3"/>
    <x v="0"/>
    <x v="0"/>
    <x v="8"/>
    <n v="10107.9362129167"/>
    <n v="3689396.71771461"/>
  </r>
  <r>
    <x v="0"/>
    <x v="0"/>
    <x v="2"/>
    <x v="3"/>
    <x v="0"/>
    <x v="0"/>
    <x v="9"/>
    <n v="9990.4020709060896"/>
    <n v="3646496.75588072"/>
  </r>
  <r>
    <x v="0"/>
    <x v="0"/>
    <x v="2"/>
    <x v="3"/>
    <x v="0"/>
    <x v="0"/>
    <x v="10"/>
    <n v="9983.8723963499397"/>
    <n v="3644113.42466773"/>
  </r>
  <r>
    <x v="0"/>
    <x v="0"/>
    <x v="2"/>
    <x v="3"/>
    <x v="0"/>
    <x v="0"/>
    <x v="11"/>
    <n v="9885.9272780077208"/>
    <n v="3608363.4564728201"/>
  </r>
  <r>
    <x v="0"/>
    <x v="0"/>
    <x v="2"/>
    <x v="3"/>
    <x v="0"/>
    <x v="0"/>
    <x v="12"/>
    <n v="9803.49013673636"/>
    <n v="3578273.8999087699"/>
  </r>
  <r>
    <x v="0"/>
    <x v="0"/>
    <x v="2"/>
    <x v="3"/>
    <x v="0"/>
    <x v="0"/>
    <x v="13"/>
    <n v="9735.7447632163203"/>
    <n v="3553546.8385739601"/>
  </r>
  <r>
    <x v="0"/>
    <x v="0"/>
    <x v="2"/>
    <x v="3"/>
    <x v="0"/>
    <x v="0"/>
    <x v="14"/>
    <n v="9851.6464865879498"/>
    <n v="3595850.9676045999"/>
  </r>
  <r>
    <x v="0"/>
    <x v="0"/>
    <x v="2"/>
    <x v="3"/>
    <x v="0"/>
    <x v="0"/>
    <x v="15"/>
    <n v="9981.4237683913907"/>
    <n v="3643219.6754628601"/>
  </r>
  <r>
    <x v="0"/>
    <x v="0"/>
    <x v="2"/>
    <x v="3"/>
    <x v="0"/>
    <x v="0"/>
    <x v="16"/>
    <n v="10041.8232580358"/>
    <n v="3665265.4891830501"/>
  </r>
  <r>
    <x v="0"/>
    <x v="0"/>
    <x v="2"/>
    <x v="3"/>
    <x v="0"/>
    <x v="0"/>
    <x v="17"/>
    <n v="10019.785606408799"/>
    <n v="3657221.7463391898"/>
  </r>
  <r>
    <x v="0"/>
    <x v="0"/>
    <x v="2"/>
    <x v="3"/>
    <x v="0"/>
    <x v="0"/>
    <x v="18"/>
    <n v="10040.190839396701"/>
    <n v="3664669.6563797998"/>
  </r>
  <r>
    <x v="0"/>
    <x v="0"/>
    <x v="2"/>
    <x v="3"/>
    <x v="0"/>
    <x v="0"/>
    <x v="19"/>
    <n v="9905.5163016761708"/>
    <n v="3615513.4501117999"/>
  </r>
  <r>
    <x v="0"/>
    <x v="0"/>
    <x v="2"/>
    <x v="3"/>
    <x v="0"/>
    <x v="0"/>
    <x v="20"/>
    <n v="9537.4058985733409"/>
    <n v="3481153.1529792701"/>
  </r>
  <r>
    <x v="0"/>
    <x v="0"/>
    <x v="2"/>
    <x v="3"/>
    <x v="0"/>
    <x v="0"/>
    <x v="21"/>
    <n v="9676.9776922109904"/>
    <n v="3532096.8576570102"/>
  </r>
  <r>
    <x v="0"/>
    <x v="0"/>
    <x v="2"/>
    <x v="3"/>
    <x v="0"/>
    <x v="0"/>
    <x v="22"/>
    <n v="9284.3810095226108"/>
    <n v="3388799.0684757498"/>
  </r>
  <r>
    <x v="0"/>
    <x v="0"/>
    <x v="2"/>
    <x v="3"/>
    <x v="0"/>
    <x v="0"/>
    <x v="23"/>
    <n v="8881.9898150000008"/>
    <n v="3241926.2824749998"/>
  </r>
  <r>
    <x v="0"/>
    <x v="0"/>
    <x v="3"/>
    <x v="4"/>
    <x v="0"/>
    <x v="0"/>
    <x v="0"/>
    <n v="6331.9098129097601"/>
    <n v="2311147.0817120601"/>
  </r>
  <r>
    <x v="0"/>
    <x v="0"/>
    <x v="3"/>
    <x v="4"/>
    <x v="0"/>
    <x v="0"/>
    <x v="1"/>
    <n v="6035.8153650387503"/>
    <n v="2203072.6082391501"/>
  </r>
  <r>
    <x v="0"/>
    <x v="0"/>
    <x v="3"/>
    <x v="4"/>
    <x v="0"/>
    <x v="0"/>
    <x v="2"/>
    <n v="5926.0291401531204"/>
    <n v="2163000.6361558898"/>
  </r>
  <r>
    <x v="0"/>
    <x v="0"/>
    <x v="3"/>
    <x v="4"/>
    <x v="0"/>
    <x v="0"/>
    <x v="3"/>
    <n v="5997.8398958325397"/>
    <n v="2189211.5619788799"/>
  </r>
  <r>
    <x v="0"/>
    <x v="0"/>
    <x v="3"/>
    <x v="4"/>
    <x v="0"/>
    <x v="0"/>
    <x v="4"/>
    <n v="6242.3962069236804"/>
    <n v="2278474.61552714"/>
  </r>
  <r>
    <x v="0"/>
    <x v="0"/>
    <x v="3"/>
    <x v="4"/>
    <x v="0"/>
    <x v="0"/>
    <x v="5"/>
    <n v="6794.7536894757204"/>
    <n v="2480085.0966586401"/>
  </r>
  <r>
    <x v="0"/>
    <x v="0"/>
    <x v="3"/>
    <x v="4"/>
    <x v="0"/>
    <x v="0"/>
    <x v="6"/>
    <n v="8075.0695084280696"/>
    <n v="2947400.3705762499"/>
  </r>
  <r>
    <x v="0"/>
    <x v="0"/>
    <x v="3"/>
    <x v="4"/>
    <x v="0"/>
    <x v="0"/>
    <x v="7"/>
    <n v="9200.1998573535293"/>
    <n v="3358072.9479340399"/>
  </r>
  <r>
    <x v="0"/>
    <x v="0"/>
    <x v="3"/>
    <x v="4"/>
    <x v="0"/>
    <x v="0"/>
    <x v="8"/>
    <n v="9667.6122114179798"/>
    <n v="3528678.4571675598"/>
  </r>
  <r>
    <x v="0"/>
    <x v="0"/>
    <x v="3"/>
    <x v="4"/>
    <x v="0"/>
    <x v="0"/>
    <x v="9"/>
    <n v="9694.7375465652694"/>
    <n v="3538579.2044963301"/>
  </r>
  <r>
    <x v="0"/>
    <x v="0"/>
    <x v="3"/>
    <x v="4"/>
    <x v="0"/>
    <x v="0"/>
    <x v="10"/>
    <n v="9871.0522250226895"/>
    <n v="3602934.0621332801"/>
  </r>
  <r>
    <x v="0"/>
    <x v="0"/>
    <x v="3"/>
    <x v="4"/>
    <x v="0"/>
    <x v="0"/>
    <x v="11"/>
    <n v="10014.1026766942"/>
    <n v="3655147.4769933899"/>
  </r>
  <r>
    <x v="0"/>
    <x v="0"/>
    <x v="3"/>
    <x v="4"/>
    <x v="0"/>
    <x v="0"/>
    <x v="12"/>
    <n v="9980.9812148301608"/>
    <n v="3643058.1434130101"/>
  </r>
  <r>
    <x v="0"/>
    <x v="0"/>
    <x v="3"/>
    <x v="4"/>
    <x v="0"/>
    <x v="0"/>
    <x v="13"/>
    <n v="9911.0264031344996"/>
    <n v="3617524.6371440901"/>
  </r>
  <r>
    <x v="0"/>
    <x v="0"/>
    <x v="3"/>
    <x v="4"/>
    <x v="0"/>
    <x v="0"/>
    <x v="14"/>
    <n v="9823.6542709758396"/>
    <n v="3585633.8089061799"/>
  </r>
  <r>
    <x v="0"/>
    <x v="0"/>
    <x v="3"/>
    <x v="4"/>
    <x v="0"/>
    <x v="0"/>
    <x v="15"/>
    <n v="9766.9765970101798"/>
    <n v="3564946.4579087198"/>
  </r>
  <r>
    <x v="0"/>
    <x v="0"/>
    <x v="3"/>
    <x v="4"/>
    <x v="0"/>
    <x v="0"/>
    <x v="16"/>
    <n v="9748.1316273288994"/>
    <n v="3558068.0439750501"/>
  </r>
  <r>
    <x v="0"/>
    <x v="0"/>
    <x v="3"/>
    <x v="4"/>
    <x v="0"/>
    <x v="0"/>
    <x v="17"/>
    <n v="10033.375941140999"/>
    <n v="3662182.2185164602"/>
  </r>
  <r>
    <x v="0"/>
    <x v="0"/>
    <x v="3"/>
    <x v="4"/>
    <x v="0"/>
    <x v="0"/>
    <x v="18"/>
    <n v="9956.7111781194199"/>
    <n v="3634199.5800135899"/>
  </r>
  <r>
    <x v="0"/>
    <x v="0"/>
    <x v="3"/>
    <x v="4"/>
    <x v="0"/>
    <x v="0"/>
    <x v="19"/>
    <n v="9695.7369010180701"/>
    <n v="3538943.9688716"/>
  </r>
  <r>
    <x v="0"/>
    <x v="0"/>
    <x v="3"/>
    <x v="4"/>
    <x v="0"/>
    <x v="0"/>
    <x v="20"/>
    <n v="9094.6965801227307"/>
    <n v="3319564.2517447998"/>
  </r>
  <r>
    <x v="0"/>
    <x v="0"/>
    <x v="3"/>
    <x v="4"/>
    <x v="0"/>
    <x v="0"/>
    <x v="21"/>
    <n v="8515.0709975015707"/>
    <n v="3108000.9140880699"/>
  </r>
  <r>
    <x v="0"/>
    <x v="0"/>
    <x v="3"/>
    <x v="4"/>
    <x v="0"/>
    <x v="0"/>
    <x v="22"/>
    <n v="8048.5152329680895"/>
    <n v="2937708.0600333498"/>
  </r>
  <r>
    <x v="0"/>
    <x v="0"/>
    <x v="3"/>
    <x v="4"/>
    <x v="0"/>
    <x v="0"/>
    <x v="23"/>
    <n v="7297.7145090753102"/>
    <n v="2663665.7958124899"/>
  </r>
  <r>
    <x v="0"/>
    <x v="0"/>
    <x v="3"/>
    <x v="5"/>
    <x v="0"/>
    <x v="0"/>
    <x v="0"/>
    <n v="1948.27994243377"/>
    <n v="711122.17898832704"/>
  </r>
  <r>
    <x v="0"/>
    <x v="0"/>
    <x v="3"/>
    <x v="5"/>
    <x v="0"/>
    <x v="0"/>
    <x v="1"/>
    <n v="1857.1739584734601"/>
    <n v="677868.49484281405"/>
  </r>
  <r>
    <x v="0"/>
    <x v="0"/>
    <x v="3"/>
    <x v="5"/>
    <x v="0"/>
    <x v="0"/>
    <x v="2"/>
    <n v="1823.39358158558"/>
    <n v="665538.65727873496"/>
  </r>
  <r>
    <x v="0"/>
    <x v="0"/>
    <x v="3"/>
    <x v="5"/>
    <x v="0"/>
    <x v="0"/>
    <x v="3"/>
    <n v="1845.4891987177"/>
    <n v="673603.55753196205"/>
  </r>
  <r>
    <x v="0"/>
    <x v="0"/>
    <x v="3"/>
    <x v="5"/>
    <x v="0"/>
    <x v="0"/>
    <x v="4"/>
    <n v="1920.73729443806"/>
    <n v="701069.11246989097"/>
  </r>
  <r>
    <x v="0"/>
    <x v="0"/>
    <x v="3"/>
    <x v="5"/>
    <x v="0"/>
    <x v="0"/>
    <x v="5"/>
    <n v="2090.6934429156099"/>
    <n v="763103.10666419601"/>
  </r>
  <r>
    <x v="0"/>
    <x v="0"/>
    <x v="3"/>
    <x v="5"/>
    <x v="0"/>
    <x v="0"/>
    <x v="6"/>
    <n v="2484.6367718240199"/>
    <n v="906892.42171576805"/>
  </r>
  <r>
    <x v="0"/>
    <x v="0"/>
    <x v="3"/>
    <x v="5"/>
    <x v="0"/>
    <x v="0"/>
    <x v="7"/>
    <n v="2830.8307253395501"/>
    <n v="1033253.21474893"/>
  </r>
  <r>
    <x v="0"/>
    <x v="0"/>
    <x v="3"/>
    <x v="5"/>
    <x v="0"/>
    <x v="0"/>
    <x v="8"/>
    <n v="2974.6499112055299"/>
    <n v="1085747.21759002"/>
  </r>
  <r>
    <x v="0"/>
    <x v="0"/>
    <x v="3"/>
    <x v="5"/>
    <x v="0"/>
    <x v="0"/>
    <x v="9"/>
    <n v="2982.9961681739301"/>
    <n v="1088793.60138348"/>
  </r>
  <r>
    <x v="0"/>
    <x v="0"/>
    <x v="3"/>
    <x v="5"/>
    <x v="0"/>
    <x v="0"/>
    <x v="10"/>
    <n v="3037.2468384685199"/>
    <n v="1108595.09604101"/>
  </r>
  <r>
    <x v="0"/>
    <x v="0"/>
    <x v="3"/>
    <x v="5"/>
    <x v="0"/>
    <x v="0"/>
    <x v="11"/>
    <n v="3081.2623620597601"/>
    <n v="1124660.7621518101"/>
  </r>
  <r>
    <x v="0"/>
    <x v="0"/>
    <x v="3"/>
    <x v="5"/>
    <x v="0"/>
    <x v="0"/>
    <x v="12"/>
    <n v="3071.0711430246602"/>
    <n v="1120940.9672040001"/>
  </r>
  <r>
    <x v="0"/>
    <x v="0"/>
    <x v="3"/>
    <x v="5"/>
    <x v="0"/>
    <x v="0"/>
    <x v="13"/>
    <n v="3049.5465855798502"/>
    <n v="1113084.5037366401"/>
  </r>
  <r>
    <x v="0"/>
    <x v="0"/>
    <x v="3"/>
    <x v="5"/>
    <x v="0"/>
    <x v="0"/>
    <x v="14"/>
    <n v="3022.6628526079498"/>
    <n v="1103271.9412018999"/>
  </r>
  <r>
    <x v="0"/>
    <x v="0"/>
    <x v="3"/>
    <x v="5"/>
    <x v="0"/>
    <x v="0"/>
    <x v="15"/>
    <n v="3005.2235683108202"/>
    <n v="1096906.6024334501"/>
  </r>
  <r>
    <x v="0"/>
    <x v="0"/>
    <x v="3"/>
    <x v="5"/>
    <x v="0"/>
    <x v="0"/>
    <x v="16"/>
    <n v="2999.4251161011998"/>
    <n v="1094790.1673769399"/>
  </r>
  <r>
    <x v="0"/>
    <x v="0"/>
    <x v="3"/>
    <x v="5"/>
    <x v="0"/>
    <x v="0"/>
    <x v="17"/>
    <n v="3087.1925972741501"/>
    <n v="1126825.2980050601"/>
  </r>
  <r>
    <x v="0"/>
    <x v="0"/>
    <x v="3"/>
    <x v="5"/>
    <x v="0"/>
    <x v="0"/>
    <x v="18"/>
    <n v="3063.6034394213598"/>
    <n v="1118215.2553888001"/>
  </r>
  <r>
    <x v="0"/>
    <x v="0"/>
    <x v="3"/>
    <x v="5"/>
    <x v="0"/>
    <x v="0"/>
    <x v="19"/>
    <n v="2983.3036618517099"/>
    <n v="1088905.8365758799"/>
  </r>
  <r>
    <x v="0"/>
    <x v="0"/>
    <x v="3"/>
    <x v="5"/>
    <x v="0"/>
    <x v="0"/>
    <x v="20"/>
    <n v="2798.3681784993"/>
    <n v="1021404.3851522499"/>
  </r>
  <r>
    <x v="0"/>
    <x v="0"/>
    <x v="3"/>
    <x v="5"/>
    <x v="0"/>
    <x v="0"/>
    <x v="21"/>
    <n v="2620.0218453850998"/>
    <n v="956307.973565561"/>
  </r>
  <r>
    <x v="0"/>
    <x v="0"/>
    <x v="3"/>
    <x v="5"/>
    <x v="0"/>
    <x v="0"/>
    <x v="22"/>
    <n v="2476.4662255286398"/>
    <n v="903910.17231795401"/>
  </r>
  <r>
    <x v="0"/>
    <x v="0"/>
    <x v="3"/>
    <x v="5"/>
    <x v="0"/>
    <x v="0"/>
    <x v="23"/>
    <n v="2245.4506181770198"/>
    <n v="819589.47563461203"/>
  </r>
  <r>
    <x v="0"/>
    <x v="0"/>
    <x v="3"/>
    <x v="6"/>
    <x v="0"/>
    <x v="0"/>
    <x v="0"/>
    <n v="17136.007675497"/>
    <n v="6254642.8015564196"/>
  </r>
  <r>
    <x v="0"/>
    <x v="0"/>
    <x v="3"/>
    <x v="6"/>
    <x v="0"/>
    <x v="0"/>
    <x v="1"/>
    <n v="16334.689134755199"/>
    <n v="5962161.5341856601"/>
  </r>
  <r>
    <x v="0"/>
    <x v="0"/>
    <x v="3"/>
    <x v="6"/>
    <x v="0"/>
    <x v="0"/>
    <x v="2"/>
    <n v="16037.5753653095"/>
    <n v="5853715.0083379699"/>
  </r>
  <r>
    <x v="0"/>
    <x v="0"/>
    <x v="3"/>
    <x v="6"/>
    <x v="0"/>
    <x v="0"/>
    <x v="3"/>
    <n v="16231.916361448901"/>
    <n v="5924649.4719288498"/>
  </r>
  <r>
    <x v="0"/>
    <x v="0"/>
    <x v="3"/>
    <x v="6"/>
    <x v="0"/>
    <x v="0"/>
    <x v="4"/>
    <n v="16893.757566989301"/>
    <n v="6166221.5119510796"/>
  </r>
  <r>
    <x v="0"/>
    <x v="0"/>
    <x v="3"/>
    <x v="6"/>
    <x v="0"/>
    <x v="0"/>
    <x v="5"/>
    <n v="18388.599145644101"/>
    <n v="6711838.6881600898"/>
  </r>
  <r>
    <x v="0"/>
    <x v="0"/>
    <x v="3"/>
    <x v="6"/>
    <x v="0"/>
    <x v="0"/>
    <x v="6"/>
    <n v="21853.509788543099"/>
    <n v="7976531.0728182299"/>
  </r>
  <r>
    <x v="0"/>
    <x v="0"/>
    <x v="3"/>
    <x v="6"/>
    <x v="0"/>
    <x v="0"/>
    <x v="7"/>
    <n v="24898.442970600099"/>
    <n v="9087931.6842690408"/>
  </r>
  <r>
    <x v="0"/>
    <x v="0"/>
    <x v="3"/>
    <x v="6"/>
    <x v="0"/>
    <x v="0"/>
    <x v="8"/>
    <n v="26163.398082648699"/>
    <n v="9549640.3001667596"/>
  </r>
  <r>
    <x v="0"/>
    <x v="0"/>
    <x v="3"/>
    <x v="6"/>
    <x v="0"/>
    <x v="0"/>
    <x v="9"/>
    <n v="26236.807206438902"/>
    <n v="9576434.6303501893"/>
  </r>
  <r>
    <x v="0"/>
    <x v="0"/>
    <x v="3"/>
    <x v="6"/>
    <x v="0"/>
    <x v="0"/>
    <x v="10"/>
    <n v="26713.966511075399"/>
    <n v="9750597.7765425202"/>
  </r>
  <r>
    <x v="0"/>
    <x v="0"/>
    <x v="3"/>
    <x v="6"/>
    <x v="0"/>
    <x v="0"/>
    <x v="11"/>
    <n v="27101.1030481165"/>
    <n v="9891902.6125625297"/>
  </r>
  <r>
    <x v="0"/>
    <x v="0"/>
    <x v="3"/>
    <x v="6"/>
    <x v="0"/>
    <x v="0"/>
    <x v="12"/>
    <n v="27011.466644330601"/>
    <n v="9859185.3251806591"/>
  </r>
  <r>
    <x v="0"/>
    <x v="0"/>
    <x v="3"/>
    <x v="6"/>
    <x v="0"/>
    <x v="0"/>
    <x v="13"/>
    <n v="26822.148377713602"/>
    <n v="9790084.1578654796"/>
  </r>
  <r>
    <x v="0"/>
    <x v="0"/>
    <x v="3"/>
    <x v="6"/>
    <x v="0"/>
    <x v="0"/>
    <x v="14"/>
    <n v="26585.693726347199"/>
    <n v="9703778.2101167291"/>
  </r>
  <r>
    <x v="0"/>
    <x v="0"/>
    <x v="3"/>
    <x v="6"/>
    <x v="0"/>
    <x v="0"/>
    <x v="15"/>
    <n v="26432.307294006601"/>
    <n v="9647792.1623123996"/>
  </r>
  <r>
    <x v="0"/>
    <x v="0"/>
    <x v="3"/>
    <x v="6"/>
    <x v="0"/>
    <x v="0"/>
    <x v="16"/>
    <n v="26381.307271162801"/>
    <n v="9629177.1539744306"/>
  </r>
  <r>
    <x v="0"/>
    <x v="0"/>
    <x v="3"/>
    <x v="6"/>
    <x v="0"/>
    <x v="0"/>
    <x v="17"/>
    <n v="27153.262162388499"/>
    <n v="9910940.6892718207"/>
  </r>
  <r>
    <x v="0"/>
    <x v="0"/>
    <x v="3"/>
    <x v="6"/>
    <x v="0"/>
    <x v="0"/>
    <x v="18"/>
    <n v="26945.7847967288"/>
    <n v="9835211.4508059993"/>
  </r>
  <r>
    <x v="0"/>
    <x v="0"/>
    <x v="3"/>
    <x v="6"/>
    <x v="0"/>
    <x v="0"/>
    <x v="19"/>
    <n v="26239.511753104802"/>
    <n v="9577421.7898832709"/>
  </r>
  <r>
    <x v="0"/>
    <x v="0"/>
    <x v="3"/>
    <x v="6"/>
    <x v="0"/>
    <x v="0"/>
    <x v="20"/>
    <n v="24612.920115436998"/>
    <n v="8983715.8421345204"/>
  </r>
  <r>
    <x v="0"/>
    <x v="0"/>
    <x v="3"/>
    <x v="6"/>
    <x v="0"/>
    <x v="0"/>
    <x v="21"/>
    <n v="23044.283049182599"/>
    <n v="8411163.3129516393"/>
  </r>
  <r>
    <x v="0"/>
    <x v="0"/>
    <x v="3"/>
    <x v="6"/>
    <x v="0"/>
    <x v="0"/>
    <x v="22"/>
    <n v="21781.646119990601"/>
    <n v="7950300.8337965496"/>
  </r>
  <r>
    <x v="0"/>
    <x v="0"/>
    <x v="3"/>
    <x v="6"/>
    <x v="0"/>
    <x v="0"/>
    <x v="23"/>
    <n v="19749.758846238801"/>
    <n v="7208661.9788771505"/>
  </r>
  <r>
    <x v="0"/>
    <x v="0"/>
    <x v="3"/>
    <x v="7"/>
    <x v="0"/>
    <x v="0"/>
    <x v="0"/>
    <n v="18862.892169926999"/>
    <n v="6884955.6420233501"/>
  </r>
  <r>
    <x v="0"/>
    <x v="0"/>
    <x v="3"/>
    <x v="7"/>
    <x v="0"/>
    <x v="0"/>
    <x v="1"/>
    <n v="17980.820597947601"/>
    <n v="6562999.5182508798"/>
  </r>
  <r>
    <x v="0"/>
    <x v="0"/>
    <x v="3"/>
    <x v="7"/>
    <x v="0"/>
    <x v="0"/>
    <x v="2"/>
    <n v="17653.765130805801"/>
    <n v="6443624.2727441201"/>
  </r>
  <r>
    <x v="0"/>
    <x v="0"/>
    <x v="3"/>
    <x v="7"/>
    <x v="0"/>
    <x v="0"/>
    <x v="3"/>
    <n v="17867.690878494101"/>
    <n v="6521707.1706503602"/>
  </r>
  <r>
    <x v="0"/>
    <x v="0"/>
    <x v="3"/>
    <x v="7"/>
    <x v="0"/>
    <x v="0"/>
    <x v="4"/>
    <n v="18596.2292597866"/>
    <n v="6787623.6798221199"/>
  </r>
  <r>
    <x v="0"/>
    <x v="0"/>
    <x v="3"/>
    <x v="7"/>
    <x v="0"/>
    <x v="0"/>
    <x v="5"/>
    <n v="20241.713788228401"/>
    <n v="7388225.5327033503"/>
  </r>
  <r>
    <x v="0"/>
    <x v="0"/>
    <x v="3"/>
    <x v="7"/>
    <x v="0"/>
    <x v="0"/>
    <x v="6"/>
    <n v="24055.801472659801"/>
    <n v="8780367.5375208408"/>
  </r>
  <r>
    <x v="0"/>
    <x v="0"/>
    <x v="3"/>
    <x v="7"/>
    <x v="0"/>
    <x v="0"/>
    <x v="7"/>
    <n v="27407.588386242001"/>
    <n v="10003769.7609783"/>
  </r>
  <r>
    <x v="0"/>
    <x v="0"/>
    <x v="3"/>
    <x v="7"/>
    <x v="0"/>
    <x v="0"/>
    <x v="8"/>
    <n v="28800.019594853598"/>
    <n v="10512007.152121499"/>
  </r>
  <r>
    <x v="0"/>
    <x v="0"/>
    <x v="3"/>
    <x v="7"/>
    <x v="0"/>
    <x v="0"/>
    <x v="9"/>
    <n v="28880.826537320299"/>
    <n v="10541501.6861219"/>
  </r>
  <r>
    <x v="0"/>
    <x v="0"/>
    <x v="3"/>
    <x v="7"/>
    <x v="0"/>
    <x v="0"/>
    <x v="10"/>
    <n v="29406.071663354302"/>
    <n v="10733216.1571243"/>
  </r>
  <r>
    <x v="0"/>
    <x v="0"/>
    <x v="3"/>
    <x v="7"/>
    <x v="0"/>
    <x v="0"/>
    <x v="11"/>
    <n v="29832.221959942199"/>
    <n v="10888761.0153789"/>
  </r>
  <r>
    <x v="0"/>
    <x v="0"/>
    <x v="3"/>
    <x v="7"/>
    <x v="0"/>
    <x v="0"/>
    <x v="12"/>
    <n v="29733.5524301933"/>
    <n v="10852746.637020599"/>
  </r>
  <r>
    <x v="0"/>
    <x v="0"/>
    <x v="3"/>
    <x v="7"/>
    <x v="0"/>
    <x v="0"/>
    <x v="13"/>
    <n v="29525.155578568501"/>
    <n v="10776681.786177499"/>
  </r>
  <r>
    <x v="0"/>
    <x v="0"/>
    <x v="3"/>
    <x v="7"/>
    <x v="0"/>
    <x v="0"/>
    <x v="14"/>
    <n v="29264.872163886099"/>
    <n v="10681678.339818399"/>
  </r>
  <r>
    <x v="0"/>
    <x v="0"/>
    <x v="3"/>
    <x v="7"/>
    <x v="0"/>
    <x v="0"/>
    <x v="15"/>
    <n v="29096.0281841002"/>
    <n v="10620050.287196601"/>
  </r>
  <r>
    <x v="0"/>
    <x v="0"/>
    <x v="3"/>
    <x v="7"/>
    <x v="0"/>
    <x v="0"/>
    <x v="16"/>
    <n v="29039.8886240707"/>
    <n v="10599559.347785801"/>
  </r>
  <r>
    <x v="0"/>
    <x v="0"/>
    <x v="3"/>
    <x v="7"/>
    <x v="0"/>
    <x v="0"/>
    <x v="17"/>
    <n v="29889.637419063401"/>
    <n v="10909717.6579581"/>
  </r>
  <r>
    <x v="0"/>
    <x v="0"/>
    <x v="3"/>
    <x v="7"/>
    <x v="0"/>
    <x v="0"/>
    <x v="18"/>
    <n v="29661.251481670399"/>
    <n v="10826356.7908097"/>
  </r>
  <r>
    <x v="0"/>
    <x v="0"/>
    <x v="3"/>
    <x v="7"/>
    <x v="0"/>
    <x v="0"/>
    <x v="19"/>
    <n v="28883.8036352007"/>
    <n v="10542588.3268482"/>
  </r>
  <r>
    <x v="0"/>
    <x v="0"/>
    <x v="3"/>
    <x v="7"/>
    <x v="0"/>
    <x v="0"/>
    <x v="20"/>
    <n v="27093.291910016"/>
    <n v="9889051.5471558291"/>
  </r>
  <r>
    <x v="0"/>
    <x v="0"/>
    <x v="3"/>
    <x v="7"/>
    <x v="0"/>
    <x v="0"/>
    <x v="21"/>
    <n v="25366.575139410299"/>
    <n v="9258799.9258847497"/>
  </r>
  <r>
    <x v="0"/>
    <x v="0"/>
    <x v="3"/>
    <x v="7"/>
    <x v="0"/>
    <x v="0"/>
    <x v="22"/>
    <n v="23976.6957289819"/>
    <n v="8751493.9410783798"/>
  </r>
  <r>
    <x v="0"/>
    <x v="0"/>
    <x v="3"/>
    <x v="7"/>
    <x v="0"/>
    <x v="0"/>
    <x v="23"/>
    <n v="21740.044621441099"/>
    <n v="7935116.2868260099"/>
  </r>
  <r>
    <x v="0"/>
    <x v="0"/>
    <x v="4"/>
    <x v="8"/>
    <x v="0"/>
    <x v="0"/>
    <x v="0"/>
    <n v="626.37691782578304"/>
    <n v="228627.575006411"/>
  </r>
  <r>
    <x v="0"/>
    <x v="0"/>
    <x v="4"/>
    <x v="8"/>
    <x v="0"/>
    <x v="0"/>
    <x v="1"/>
    <n v="576.15719409339499"/>
    <n v="210297.37584408899"/>
  </r>
  <r>
    <x v="0"/>
    <x v="0"/>
    <x v="4"/>
    <x v="8"/>
    <x v="0"/>
    <x v="0"/>
    <x v="2"/>
    <n v="556.98239048648304"/>
    <n v="203298.57252756599"/>
  </r>
  <r>
    <x v="0"/>
    <x v="0"/>
    <x v="4"/>
    <x v="8"/>
    <x v="0"/>
    <x v="0"/>
    <x v="3"/>
    <n v="546.93844574000605"/>
    <n v="199632.53269510201"/>
  </r>
  <r>
    <x v="0"/>
    <x v="0"/>
    <x v="4"/>
    <x v="8"/>
    <x v="0"/>
    <x v="0"/>
    <x v="4"/>
    <n v="555.15621871439703"/>
    <n v="202632.01983075499"/>
  </r>
  <r>
    <x v="0"/>
    <x v="0"/>
    <x v="4"/>
    <x v="8"/>
    <x v="0"/>
    <x v="0"/>
    <x v="5"/>
    <n v="599.89742713052397"/>
    <n v="218962.56090264101"/>
  </r>
  <r>
    <x v="0"/>
    <x v="0"/>
    <x v="4"/>
    <x v="8"/>
    <x v="0"/>
    <x v="0"/>
    <x v="6"/>
    <n v="724.99019351847198"/>
    <n v="264621.42063424201"/>
  </r>
  <r>
    <x v="0"/>
    <x v="0"/>
    <x v="4"/>
    <x v="8"/>
    <x v="0"/>
    <x v="0"/>
    <x v="7"/>
    <n v="907.60737072715494"/>
    <n v="331276.69031541201"/>
  </r>
  <r>
    <x v="0"/>
    <x v="0"/>
    <x v="4"/>
    <x v="8"/>
    <x v="0"/>
    <x v="0"/>
    <x v="8"/>
    <n v="1029.9608794569699"/>
    <n v="375935.72100179503"/>
  </r>
  <r>
    <x v="0"/>
    <x v="0"/>
    <x v="4"/>
    <x v="8"/>
    <x v="0"/>
    <x v="0"/>
    <x v="9"/>
    <n v="1064.65814312662"/>
    <n v="388600.22224121698"/>
  </r>
  <r>
    <x v="0"/>
    <x v="0"/>
    <x v="4"/>
    <x v="8"/>
    <x v="0"/>
    <x v="0"/>
    <x v="10"/>
    <n v="1077.4413455312299"/>
    <n v="393266.091118899"/>
  </r>
  <r>
    <x v="0"/>
    <x v="0"/>
    <x v="4"/>
    <x v="8"/>
    <x v="0"/>
    <x v="0"/>
    <x v="11"/>
    <n v="1057.35345603828"/>
    <n v="385934.01145396999"/>
  </r>
  <r>
    <x v="0"/>
    <x v="0"/>
    <x v="4"/>
    <x v="8"/>
    <x v="0"/>
    <x v="0"/>
    <x v="12"/>
    <n v="1053.7011124941"/>
    <n v="384600.90606034698"/>
  </r>
  <r>
    <x v="0"/>
    <x v="0"/>
    <x v="4"/>
    <x v="8"/>
    <x v="0"/>
    <x v="0"/>
    <x v="13"/>
    <n v="1049.1356830638799"/>
    <n v="382934.524318318"/>
  </r>
  <r>
    <x v="0"/>
    <x v="0"/>
    <x v="4"/>
    <x v="8"/>
    <x v="0"/>
    <x v="0"/>
    <x v="14"/>
    <n v="1052.7880266080599"/>
    <n v="384267.629711941"/>
  </r>
  <r>
    <x v="0"/>
    <x v="0"/>
    <x v="4"/>
    <x v="8"/>
    <x v="0"/>
    <x v="0"/>
    <x v="15"/>
    <n v="1060.0927136964101"/>
    <n v="386933.84049918799"/>
  </r>
  <r>
    <x v="0"/>
    <x v="0"/>
    <x v="4"/>
    <x v="8"/>
    <x v="0"/>
    <x v="0"/>
    <x v="16"/>
    <n v="1103.9208362264901"/>
    <n v="402931.10522266902"/>
  </r>
  <r>
    <x v="0"/>
    <x v="0"/>
    <x v="4"/>
    <x v="8"/>
    <x v="0"/>
    <x v="0"/>
    <x v="17"/>
    <n v="1095.7030632521"/>
    <n v="399931.61808701599"/>
  </r>
  <r>
    <x v="0"/>
    <x v="0"/>
    <x v="4"/>
    <x v="8"/>
    <x v="0"/>
    <x v="0"/>
    <x v="18"/>
    <n v="1068.3104866707999"/>
    <n v="389933.32763484103"/>
  </r>
  <r>
    <x v="0"/>
    <x v="0"/>
    <x v="4"/>
    <x v="8"/>
    <x v="0"/>
    <x v="0"/>
    <x v="19"/>
    <n v="1029.9608794569699"/>
    <n v="375935.72100179503"/>
  </r>
  <r>
    <x v="0"/>
    <x v="0"/>
    <x v="4"/>
    <x v="8"/>
    <x v="0"/>
    <x v="0"/>
    <x v="20"/>
    <n v="994.35052990127997"/>
    <n v="362937.94341396698"/>
  </r>
  <r>
    <x v="0"/>
    <x v="0"/>
    <x v="4"/>
    <x v="8"/>
    <x v="0"/>
    <x v="0"/>
    <x v="21"/>
    <n v="943.21772028284795"/>
    <n v="344274.46790324"/>
  </r>
  <r>
    <x v="0"/>
    <x v="0"/>
    <x v="4"/>
    <x v="8"/>
    <x v="0"/>
    <x v="0"/>
    <x v="22"/>
    <n v="849.16987402037603"/>
    <n v="309947.00401743699"/>
  </r>
  <r>
    <x v="0"/>
    <x v="0"/>
    <x v="4"/>
    <x v="8"/>
    <x v="0"/>
    <x v="0"/>
    <x v="23"/>
    <n v="740.51265358120997"/>
    <n v="270287.11855714198"/>
  </r>
  <r>
    <x v="0"/>
    <x v="0"/>
    <x v="5"/>
    <x v="9"/>
    <x v="0"/>
    <x v="0"/>
    <x v="0"/>
    <n v="922.09306422709301"/>
    <n v="336563.96844288899"/>
  </r>
  <r>
    <x v="0"/>
    <x v="0"/>
    <x v="5"/>
    <x v="9"/>
    <x v="0"/>
    <x v="0"/>
    <x v="1"/>
    <n v="850.190348850345"/>
    <n v="310319.47733037599"/>
  </r>
  <r>
    <x v="0"/>
    <x v="0"/>
    <x v="5"/>
    <x v="9"/>
    <x v="0"/>
    <x v="0"/>
    <x v="2"/>
    <n v="807.52280346194505"/>
    <n v="294745.82326361001"/>
  </r>
  <r>
    <x v="0"/>
    <x v="0"/>
    <x v="5"/>
    <x v="9"/>
    <x v="0"/>
    <x v="0"/>
    <x v="3"/>
    <n v="786.97917049715898"/>
    <n v="287247.39723146299"/>
  </r>
  <r>
    <x v="0"/>
    <x v="0"/>
    <x v="5"/>
    <x v="9"/>
    <x v="0"/>
    <x v="0"/>
    <x v="4"/>
    <n v="777.49749374418104"/>
    <n v="283786.585216626"/>
  </r>
  <r>
    <x v="0"/>
    <x v="0"/>
    <x v="5"/>
    <x v="9"/>
    <x v="0"/>
    <x v="0"/>
    <x v="5"/>
    <n v="786.18903076774404"/>
    <n v="286958.996230227"/>
  </r>
  <r>
    <x v="0"/>
    <x v="0"/>
    <x v="5"/>
    <x v="9"/>
    <x v="0"/>
    <x v="0"/>
    <x v="6"/>
    <n v="843.07909128561096"/>
    <n v="307723.86831924802"/>
  </r>
  <r>
    <x v="0"/>
    <x v="0"/>
    <x v="5"/>
    <x v="9"/>
    <x v="0"/>
    <x v="0"/>
    <x v="7"/>
    <n v="1027.1816482392601"/>
    <n v="374921.30160733103"/>
  </r>
  <r>
    <x v="0"/>
    <x v="0"/>
    <x v="5"/>
    <x v="9"/>
    <x v="0"/>
    <x v="0"/>
    <x v="8"/>
    <n v="1220.76588194589"/>
    <n v="445579.54691025103"/>
  </r>
  <r>
    <x v="0"/>
    <x v="0"/>
    <x v="5"/>
    <x v="9"/>
    <x v="0"/>
    <x v="0"/>
    <x v="9"/>
    <n v="1321.11362758158"/>
    <n v="482206.474067275"/>
  </r>
  <r>
    <x v="0"/>
    <x v="0"/>
    <x v="5"/>
    <x v="9"/>
    <x v="0"/>
    <x v="0"/>
    <x v="10"/>
    <n v="1332.1755837933799"/>
    <n v="486244.08808458498"/>
  </r>
  <r>
    <x v="0"/>
    <x v="0"/>
    <x v="5"/>
    <x v="9"/>
    <x v="0"/>
    <x v="0"/>
    <x v="11"/>
    <n v="1332.9657235228001"/>
    <n v="486532.48908582202"/>
  </r>
  <r>
    <x v="0"/>
    <x v="0"/>
    <x v="5"/>
    <x v="9"/>
    <x v="0"/>
    <x v="0"/>
    <x v="12"/>
    <n v="1332.9657235228001"/>
    <n v="486532.48908582202"/>
  </r>
  <r>
    <x v="0"/>
    <x v="0"/>
    <x v="5"/>
    <x v="9"/>
    <x v="0"/>
    <x v="0"/>
    <x v="13"/>
    <n v="1310.05167136977"/>
    <n v="478168.86004996602"/>
  </r>
  <r>
    <x v="0"/>
    <x v="0"/>
    <x v="5"/>
    <x v="9"/>
    <x v="0"/>
    <x v="0"/>
    <x v="14"/>
    <n v="1327.4347454168999"/>
    <n v="484513.68207716697"/>
  </r>
  <r>
    <x v="0"/>
    <x v="0"/>
    <x v="5"/>
    <x v="9"/>
    <x v="0"/>
    <x v="0"/>
    <x v="15"/>
    <n v="1326.64460568748"/>
    <n v="484225.28107592999"/>
  </r>
  <r>
    <x v="0"/>
    <x v="0"/>
    <x v="5"/>
    <x v="9"/>
    <x v="0"/>
    <x v="0"/>
    <x v="16"/>
    <n v="1326.64460568748"/>
    <n v="484225.28107592999"/>
  </r>
  <r>
    <x v="0"/>
    <x v="0"/>
    <x v="5"/>
    <x v="9"/>
    <x v="0"/>
    <x v="0"/>
    <x v="17"/>
    <n v="1355.8797756758299"/>
    <n v="494896.11812167702"/>
  </r>
  <r>
    <x v="0"/>
    <x v="0"/>
    <x v="5"/>
    <x v="9"/>
    <x v="0"/>
    <x v="0"/>
    <x v="18"/>
    <n v="1379.5839675582699"/>
    <n v="503548.14815877"/>
  </r>
  <r>
    <x v="0"/>
    <x v="0"/>
    <x v="5"/>
    <x v="9"/>
    <x v="0"/>
    <x v="0"/>
    <x v="19"/>
    <n v="1344.02767973461"/>
    <n v="490570.103103131"/>
  </r>
  <r>
    <x v="0"/>
    <x v="0"/>
    <x v="5"/>
    <x v="9"/>
    <x v="0"/>
    <x v="0"/>
    <x v="20"/>
    <n v="1306.8911124521101"/>
    <n v="477015.25604502001"/>
  </r>
  <r>
    <x v="0"/>
    <x v="0"/>
    <x v="5"/>
    <x v="9"/>
    <x v="0"/>
    <x v="0"/>
    <x v="21"/>
    <n v="1265.80384652254"/>
    <n v="462018.40398072702"/>
  </r>
  <r>
    <x v="0"/>
    <x v="0"/>
    <x v="5"/>
    <x v="9"/>
    <x v="0"/>
    <x v="0"/>
    <x v="22"/>
    <n v="1197.06169006345"/>
    <n v="436927.51687315898"/>
  </r>
  <r>
    <x v="0"/>
    <x v="0"/>
    <x v="5"/>
    <x v="9"/>
    <x v="0"/>
    <x v="0"/>
    <x v="23"/>
    <n v="1069.84919362766"/>
    <n v="390494.955674097"/>
  </r>
  <r>
    <x v="0"/>
    <x v="0"/>
    <x v="6"/>
    <x v="10"/>
    <x v="0"/>
    <x v="0"/>
    <x v="0"/>
    <n v="9244.8732449516901"/>
    <n v="3374378.73440737"/>
  </r>
  <r>
    <x v="0"/>
    <x v="0"/>
    <x v="6"/>
    <x v="10"/>
    <x v="0"/>
    <x v="0"/>
    <x v="1"/>
    <n v="8760.3195324266508"/>
    <n v="3197516.6293357299"/>
  </r>
  <r>
    <x v="0"/>
    <x v="0"/>
    <x v="6"/>
    <x v="10"/>
    <x v="0"/>
    <x v="0"/>
    <x v="2"/>
    <n v="8550.7827918752791"/>
    <n v="3121035.7190344799"/>
  </r>
  <r>
    <x v="0"/>
    <x v="0"/>
    <x v="6"/>
    <x v="10"/>
    <x v="0"/>
    <x v="0"/>
    <x v="3"/>
    <n v="8492.7860154726695"/>
    <n v="3099866.8956475202"/>
  </r>
  <r>
    <x v="0"/>
    <x v="0"/>
    <x v="6"/>
    <x v="10"/>
    <x v="0"/>
    <x v="0"/>
    <x v="4"/>
    <n v="8585.3937713413507"/>
    <n v="3133668.7265395899"/>
  </r>
  <r>
    <x v="0"/>
    <x v="0"/>
    <x v="6"/>
    <x v="10"/>
    <x v="0"/>
    <x v="0"/>
    <x v="5"/>
    <n v="9030.6593450130094"/>
    <n v="3296190.6609297502"/>
  </r>
  <r>
    <x v="0"/>
    <x v="0"/>
    <x v="6"/>
    <x v="10"/>
    <x v="0"/>
    <x v="0"/>
    <x v="6"/>
    <n v="10427.259138063"/>
    <n v="3805949.5853929901"/>
  </r>
  <r>
    <x v="0"/>
    <x v="0"/>
    <x v="6"/>
    <x v="10"/>
    <x v="0"/>
    <x v="0"/>
    <x v="7"/>
    <n v="12839.7379500361"/>
    <n v="4686504.3517631805"/>
  </r>
  <r>
    <x v="0"/>
    <x v="0"/>
    <x v="6"/>
    <x v="10"/>
    <x v="0"/>
    <x v="0"/>
    <x v="8"/>
    <n v="14346.718704626501"/>
    <n v="5236552.3271886902"/>
  </r>
  <r>
    <x v="0"/>
    <x v="0"/>
    <x v="6"/>
    <x v="10"/>
    <x v="0"/>
    <x v="0"/>
    <x v="9"/>
    <n v="14696.570226797099"/>
    <n v="5364248.1327809496"/>
  </r>
  <r>
    <x v="0"/>
    <x v="0"/>
    <x v="6"/>
    <x v="10"/>
    <x v="0"/>
    <x v="0"/>
    <x v="10"/>
    <n v="14743.341820670201"/>
    <n v="5381319.7645446202"/>
  </r>
  <r>
    <x v="0"/>
    <x v="0"/>
    <x v="6"/>
    <x v="10"/>
    <x v="0"/>
    <x v="0"/>
    <x v="11"/>
    <n v="14925.7510367752"/>
    <n v="5447899.1284229401"/>
  </r>
  <r>
    <x v="0"/>
    <x v="0"/>
    <x v="6"/>
    <x v="10"/>
    <x v="0"/>
    <x v="0"/>
    <x v="12"/>
    <n v="14815.370075234699"/>
    <n v="5407610.0774606802"/>
  </r>
  <r>
    <x v="0"/>
    <x v="0"/>
    <x v="6"/>
    <x v="10"/>
    <x v="0"/>
    <x v="0"/>
    <x v="13"/>
    <n v="14960.362016241301"/>
    <n v="5460532.1359280599"/>
  </r>
  <r>
    <x v="0"/>
    <x v="0"/>
    <x v="6"/>
    <x v="10"/>
    <x v="0"/>
    <x v="0"/>
    <x v="14"/>
    <n v="14868.68969225"/>
    <n v="5427071.7376712598"/>
  </r>
  <r>
    <x v="0"/>
    <x v="0"/>
    <x v="6"/>
    <x v="10"/>
    <x v="0"/>
    <x v="0"/>
    <x v="15"/>
    <n v="14776.081936381301"/>
    <n v="5393269.9067791896"/>
  </r>
  <r>
    <x v="0"/>
    <x v="0"/>
    <x v="6"/>
    <x v="10"/>
    <x v="0"/>
    <x v="0"/>
    <x v="16"/>
    <n v="15061.3886590071"/>
    <n v="5497406.8605375905"/>
  </r>
  <r>
    <x v="0"/>
    <x v="0"/>
    <x v="6"/>
    <x v="10"/>
    <x v="0"/>
    <x v="0"/>
    <x v="17"/>
    <n v="15754.543680205999"/>
    <n v="5750408.4432752104"/>
  </r>
  <r>
    <x v="0"/>
    <x v="0"/>
    <x v="6"/>
    <x v="10"/>
    <x v="0"/>
    <x v="0"/>
    <x v="18"/>
    <n v="15045.486317090301"/>
    <n v="5491602.5057379398"/>
  </r>
  <r>
    <x v="0"/>
    <x v="0"/>
    <x v="6"/>
    <x v="10"/>
    <x v="0"/>
    <x v="0"/>
    <x v="19"/>
    <n v="14629.219131619901"/>
    <n v="5339664.9830412604"/>
  </r>
  <r>
    <x v="0"/>
    <x v="0"/>
    <x v="6"/>
    <x v="10"/>
    <x v="0"/>
    <x v="0"/>
    <x v="20"/>
    <n v="13893.034244057701"/>
    <n v="5070957.4990810696"/>
  </r>
  <r>
    <x v="0"/>
    <x v="0"/>
    <x v="6"/>
    <x v="10"/>
    <x v="0"/>
    <x v="0"/>
    <x v="21"/>
    <n v="13011.857415488999"/>
    <n v="4749327.9566534897"/>
  </r>
  <r>
    <x v="0"/>
    <x v="0"/>
    <x v="6"/>
    <x v="10"/>
    <x v="0"/>
    <x v="0"/>
    <x v="22"/>
    <n v="11966.0445764871"/>
    <n v="4367606.2704177899"/>
  </r>
  <r>
    <x v="0"/>
    <x v="0"/>
    <x v="6"/>
    <x v="10"/>
    <x v="0"/>
    <x v="0"/>
    <x v="23"/>
    <n v="10942.682102544301"/>
    <n v="3994078.9674286498"/>
  </r>
  <r>
    <x v="0"/>
    <x v="0"/>
    <x v="7"/>
    <x v="11"/>
    <x v="0"/>
    <x v="0"/>
    <x v="0"/>
    <n v="3289.87832020419"/>
    <n v="1200805.58687453"/>
  </r>
  <r>
    <x v="0"/>
    <x v="0"/>
    <x v="7"/>
    <x v="11"/>
    <x v="0"/>
    <x v="0"/>
    <x v="1"/>
    <n v="3235.83880267015"/>
    <n v="1181081.1629746"/>
  </r>
  <r>
    <x v="0"/>
    <x v="0"/>
    <x v="7"/>
    <x v="11"/>
    <x v="0"/>
    <x v="0"/>
    <x v="2"/>
    <n v="3223.9619856296999"/>
    <n v="1176746.12475484"/>
  </r>
  <r>
    <x v="0"/>
    <x v="0"/>
    <x v="7"/>
    <x v="11"/>
    <x v="0"/>
    <x v="0"/>
    <x v="3"/>
    <n v="3235.2449618181299"/>
    <n v="1180864.4110636199"/>
  </r>
  <r>
    <x v="0"/>
    <x v="0"/>
    <x v="7"/>
    <x v="11"/>
    <x v="0"/>
    <x v="0"/>
    <x v="4"/>
    <n v="3282.7522299799198"/>
    <n v="1198204.5639426699"/>
  </r>
  <r>
    <x v="0"/>
    <x v="0"/>
    <x v="7"/>
    <x v="11"/>
    <x v="0"/>
    <x v="0"/>
    <x v="5"/>
    <n v="3437.74469235777"/>
    <n v="1254776.81271059"/>
  </r>
  <r>
    <x v="0"/>
    <x v="0"/>
    <x v="7"/>
    <x v="11"/>
    <x v="0"/>
    <x v="0"/>
    <x v="6"/>
    <n v="3847.4948802532399"/>
    <n v="1404335.63129243"/>
  </r>
  <r>
    <x v="0"/>
    <x v="0"/>
    <x v="7"/>
    <x v="11"/>
    <x v="0"/>
    <x v="0"/>
    <x v="7"/>
    <n v="4292.2816784180304"/>
    <n v="1566682.81262258"/>
  </r>
  <r>
    <x v="0"/>
    <x v="0"/>
    <x v="7"/>
    <x v="11"/>
    <x v="0"/>
    <x v="0"/>
    <x v="8"/>
    <n v="4400.3607134861104"/>
    <n v="1606131.6604224299"/>
  </r>
  <r>
    <x v="0"/>
    <x v="0"/>
    <x v="7"/>
    <x v="11"/>
    <x v="0"/>
    <x v="0"/>
    <x v="9"/>
    <n v="4331.4751746515103"/>
    <n v="1580988.4387478"/>
  </r>
  <r>
    <x v="0"/>
    <x v="0"/>
    <x v="7"/>
    <x v="11"/>
    <x v="0"/>
    <x v="0"/>
    <x v="10"/>
    <n v="4359.3856946965598"/>
    <n v="1591175.7785642401"/>
  </r>
  <r>
    <x v="0"/>
    <x v="0"/>
    <x v="7"/>
    <x v="11"/>
    <x v="0"/>
    <x v="0"/>
    <x v="11"/>
    <n v="4314.2537899428598"/>
    <n v="1574702.63332914"/>
  </r>
  <r>
    <x v="0"/>
    <x v="0"/>
    <x v="7"/>
    <x v="11"/>
    <x v="0"/>
    <x v="0"/>
    <x v="12"/>
    <n v="4300.5954503463399"/>
    <n v="1569717.33937641"/>
  </r>
  <r>
    <x v="0"/>
    <x v="0"/>
    <x v="7"/>
    <x v="11"/>
    <x v="0"/>
    <x v="0"/>
    <x v="13"/>
    <n v="4286.3432698978004"/>
    <n v="1564515.2935126999"/>
  </r>
  <r>
    <x v="0"/>
    <x v="0"/>
    <x v="7"/>
    <x v="11"/>
    <x v="0"/>
    <x v="0"/>
    <x v="14"/>
    <n v="4248.9312962203903"/>
    <n v="1550859.92312044"/>
  </r>
  <r>
    <x v="0"/>
    <x v="0"/>
    <x v="7"/>
    <x v="11"/>
    <x v="0"/>
    <x v="0"/>
    <x v="15"/>
    <n v="4264.9649992249997"/>
    <n v="1556712.2247171199"/>
  </r>
  <r>
    <x v="0"/>
    <x v="0"/>
    <x v="7"/>
    <x v="11"/>
    <x v="0"/>
    <x v="0"/>
    <x v="16"/>
    <n v="4345.1335142480202"/>
    <n v="1585973.73270053"/>
  </r>
  <r>
    <x v="0"/>
    <x v="0"/>
    <x v="7"/>
    <x v="11"/>
    <x v="0"/>
    <x v="0"/>
    <x v="17"/>
    <n v="4285.7494290457798"/>
    <n v="1564298.54160171"/>
  </r>
  <r>
    <x v="0"/>
    <x v="0"/>
    <x v="7"/>
    <x v="11"/>
    <x v="0"/>
    <x v="0"/>
    <x v="18"/>
    <n v="4221.02077617534"/>
    <n v="1540672.5833040001"/>
  </r>
  <r>
    <x v="0"/>
    <x v="0"/>
    <x v="7"/>
    <x v="11"/>
    <x v="0"/>
    <x v="0"/>
    <x v="19"/>
    <n v="4098.6895606587204"/>
    <n v="1496021.68964043"/>
  </r>
  <r>
    <x v="0"/>
    <x v="0"/>
    <x v="7"/>
    <x v="11"/>
    <x v="0"/>
    <x v="0"/>
    <x v="20"/>
    <n v="4017.3333639316502"/>
    <n v="1466326.67783505"/>
  </r>
  <r>
    <x v="0"/>
    <x v="0"/>
    <x v="7"/>
    <x v="11"/>
    <x v="0"/>
    <x v="0"/>
    <x v="21"/>
    <n v="3929.4449178323298"/>
    <n v="1434247.3950088001"/>
  </r>
  <r>
    <x v="0"/>
    <x v="0"/>
    <x v="7"/>
    <x v="11"/>
    <x v="0"/>
    <x v="0"/>
    <x v="22"/>
    <n v="3697.25314469157"/>
    <n v="1349497.39781242"/>
  </r>
  <r>
    <x v="0"/>
    <x v="0"/>
    <x v="7"/>
    <x v="11"/>
    <x v="0"/>
    <x v="0"/>
    <x v="23"/>
    <n v="3522.0700933449498"/>
    <n v="1285555.58407091"/>
  </r>
  <r>
    <x v="0"/>
    <x v="0"/>
    <x v="7"/>
    <x v="12"/>
    <x v="0"/>
    <x v="0"/>
    <x v="0"/>
    <n v="3303.5305846607798"/>
    <n v="1205788.66340119"/>
  </r>
  <r>
    <x v="0"/>
    <x v="0"/>
    <x v="7"/>
    <x v="12"/>
    <x v="0"/>
    <x v="0"/>
    <x v="1"/>
    <n v="3218.5421846742702"/>
    <n v="1174767.8974061101"/>
  </r>
  <r>
    <x v="0"/>
    <x v="0"/>
    <x v="7"/>
    <x v="12"/>
    <x v="0"/>
    <x v="0"/>
    <x v="2"/>
    <n v="3190.2127180121101"/>
    <n v="1164427.6420744199"/>
  </r>
  <r>
    <x v="0"/>
    <x v="0"/>
    <x v="7"/>
    <x v="12"/>
    <x v="0"/>
    <x v="0"/>
    <x v="3"/>
    <n v="3261.8233142970398"/>
    <n v="1190565.50971842"/>
  </r>
  <r>
    <x v="0"/>
    <x v="0"/>
    <x v="7"/>
    <x v="12"/>
    <x v="0"/>
    <x v="0"/>
    <x v="4"/>
    <n v="3326.3515439164198"/>
    <n v="1214118.31352949"/>
  </r>
  <r>
    <x v="0"/>
    <x v="0"/>
    <x v="7"/>
    <x v="12"/>
    <x v="0"/>
    <x v="0"/>
    <x v="5"/>
    <n v="3471.1465957452901"/>
    <n v="1266968.5074470299"/>
  </r>
  <r>
    <x v="0"/>
    <x v="0"/>
    <x v="7"/>
    <x v="12"/>
    <x v="0"/>
    <x v="0"/>
    <x v="6"/>
    <n v="3765.4582771800501"/>
    <n v="1374392.27117072"/>
  </r>
  <r>
    <x v="0"/>
    <x v="0"/>
    <x v="7"/>
    <x v="12"/>
    <x v="0"/>
    <x v="0"/>
    <x v="7"/>
    <n v="4110.1334549031099"/>
    <n v="1500198.71103964"/>
  </r>
  <r>
    <x v="0"/>
    <x v="0"/>
    <x v="7"/>
    <x v="12"/>
    <x v="0"/>
    <x v="0"/>
    <x v="8"/>
    <n v="4209.2865882207097"/>
    <n v="1536389.60470056"/>
  </r>
  <r>
    <x v="0"/>
    <x v="0"/>
    <x v="7"/>
    <x v="12"/>
    <x v="0"/>
    <x v="0"/>
    <x v="9"/>
    <n v="4201.4172919256598"/>
    <n v="1533517.3115528701"/>
  </r>
  <r>
    <x v="0"/>
    <x v="0"/>
    <x v="7"/>
    <x v="12"/>
    <x v="0"/>
    <x v="0"/>
    <x v="10"/>
    <n v="4093.6079326835202"/>
    <n v="1494166.8954294799"/>
  </r>
  <r>
    <x v="0"/>
    <x v="0"/>
    <x v="7"/>
    <x v="12"/>
    <x v="0"/>
    <x v="0"/>
    <x v="11"/>
    <n v="4085.7386363884698"/>
    <n v="1491294.60228179"/>
  </r>
  <r>
    <x v="0"/>
    <x v="0"/>
    <x v="7"/>
    <x v="12"/>
    <x v="0"/>
    <x v="0"/>
    <x v="12"/>
    <n v="4026.7189141756198"/>
    <n v="1469752.4036741001"/>
  </r>
  <r>
    <x v="0"/>
    <x v="0"/>
    <x v="7"/>
    <x v="12"/>
    <x v="0"/>
    <x v="0"/>
    <x v="13"/>
    <n v="4044.0313660247198"/>
    <n v="1476071.44859902"/>
  </r>
  <r>
    <x v="0"/>
    <x v="0"/>
    <x v="7"/>
    <x v="12"/>
    <x v="0"/>
    <x v="0"/>
    <x v="14"/>
    <n v="4036.9489993591801"/>
    <n v="1473486.3847661"/>
  </r>
  <r>
    <x v="0"/>
    <x v="0"/>
    <x v="7"/>
    <x v="12"/>
    <x v="0"/>
    <x v="0"/>
    <x v="15"/>
    <n v="4018.0626882510701"/>
    <n v="1466592.8812116401"/>
  </r>
  <r>
    <x v="0"/>
    <x v="0"/>
    <x v="7"/>
    <x v="12"/>
    <x v="0"/>
    <x v="0"/>
    <x v="16"/>
    <n v="4062.9176771328298"/>
    <n v="1482964.9521534799"/>
  </r>
  <r>
    <x v="0"/>
    <x v="0"/>
    <x v="7"/>
    <x v="12"/>
    <x v="0"/>
    <x v="0"/>
    <x v="17"/>
    <n v="3961.40375492672"/>
    <n v="1445912.3705482499"/>
  </r>
  <r>
    <x v="0"/>
    <x v="0"/>
    <x v="7"/>
    <x v="12"/>
    <x v="0"/>
    <x v="0"/>
    <x v="18"/>
    <n v="3929.13964011703"/>
    <n v="1434135.96864271"/>
  </r>
  <r>
    <x v="0"/>
    <x v="0"/>
    <x v="7"/>
    <x v="12"/>
    <x v="0"/>
    <x v="0"/>
    <x v="19"/>
    <n v="3892.94087715982"/>
    <n v="1420923.4201633299"/>
  </r>
  <r>
    <x v="0"/>
    <x v="0"/>
    <x v="7"/>
    <x v="12"/>
    <x v="0"/>
    <x v="0"/>
    <x v="20"/>
    <n v="3849.65974753705"/>
    <n v="1405125.80785102"/>
  </r>
  <r>
    <x v="0"/>
    <x v="0"/>
    <x v="7"/>
    <x v="12"/>
    <x v="0"/>
    <x v="0"/>
    <x v="21"/>
    <n v="3706.4385549672002"/>
    <n v="1352850.0725630301"/>
  </r>
  <r>
    <x v="0"/>
    <x v="0"/>
    <x v="7"/>
    <x v="12"/>
    <x v="0"/>
    <x v="0"/>
    <x v="22"/>
    <n v="3591.5468290595099"/>
    <n v="1310914.59260672"/>
  </r>
  <r>
    <x v="0"/>
    <x v="0"/>
    <x v="7"/>
    <x v="12"/>
    <x v="0"/>
    <x v="0"/>
    <x v="23"/>
    <n v="3413.7007327914398"/>
    <n v="1246000.7674688799"/>
  </r>
  <r>
    <x v="0"/>
    <x v="0"/>
    <x v="7"/>
    <x v="13"/>
    <x v="0"/>
    <x v="0"/>
    <x v="0"/>
    <n v="2490.9316438014798"/>
    <n v="909190.04998754"/>
  </r>
  <r>
    <x v="0"/>
    <x v="0"/>
    <x v="7"/>
    <x v="13"/>
    <x v="0"/>
    <x v="0"/>
    <x v="1"/>
    <n v="2448.6356498771001"/>
    <n v="893752.01220514299"/>
  </r>
  <r>
    <x v="0"/>
    <x v="0"/>
    <x v="7"/>
    <x v="13"/>
    <x v="0"/>
    <x v="0"/>
    <x v="2"/>
    <n v="2421.8777715637798"/>
    <n v="883985.38662077906"/>
  </r>
  <r>
    <x v="0"/>
    <x v="0"/>
    <x v="7"/>
    <x v="13"/>
    <x v="0"/>
    <x v="0"/>
    <x v="3"/>
    <n v="2400.4212396503499"/>
    <n v="876153.75247237703"/>
  </r>
  <r>
    <x v="0"/>
    <x v="0"/>
    <x v="7"/>
    <x v="13"/>
    <x v="0"/>
    <x v="0"/>
    <x v="4"/>
    <n v="2431.1190467886099"/>
    <n v="887358.45207784395"/>
  </r>
  <r>
    <x v="0"/>
    <x v="0"/>
    <x v="7"/>
    <x v="13"/>
    <x v="0"/>
    <x v="0"/>
    <x v="5"/>
    <n v="2520.2032580711898"/>
    <n v="919874.189195983"/>
  </r>
  <r>
    <x v="0"/>
    <x v="0"/>
    <x v="7"/>
    <x v="13"/>
    <x v="0"/>
    <x v="0"/>
    <x v="6"/>
    <n v="2665.4090110382599"/>
    <n v="972874.28902896401"/>
  </r>
  <r>
    <x v="0"/>
    <x v="0"/>
    <x v="7"/>
    <x v="13"/>
    <x v="0"/>
    <x v="0"/>
    <x v="7"/>
    <n v="2921.96690298473"/>
    <n v="1066517.9195894301"/>
  </r>
  <r>
    <x v="0"/>
    <x v="0"/>
    <x v="7"/>
    <x v="13"/>
    <x v="0"/>
    <x v="0"/>
    <x v="8"/>
    <n v="3055.0892226677902"/>
    <n v="1115107.56627374"/>
  </r>
  <r>
    <x v="0"/>
    <x v="0"/>
    <x v="7"/>
    <x v="13"/>
    <x v="0"/>
    <x v="0"/>
    <x v="9"/>
    <n v="2987.7229172904999"/>
    <n v="1090518.86481103"/>
  </r>
  <r>
    <x v="0"/>
    <x v="0"/>
    <x v="7"/>
    <x v="13"/>
    <x v="0"/>
    <x v="0"/>
    <x v="10"/>
    <n v="2958.98655149976"/>
    <n v="1080030.09129741"/>
  </r>
  <r>
    <x v="0"/>
    <x v="0"/>
    <x v="7"/>
    <x v="13"/>
    <x v="0"/>
    <x v="0"/>
    <x v="11"/>
    <n v="2952.8215345181102"/>
    <n v="1077779.8600991101"/>
  </r>
  <r>
    <x v="0"/>
    <x v="0"/>
    <x v="7"/>
    <x v="13"/>
    <x v="0"/>
    <x v="0"/>
    <x v="12"/>
    <n v="2894.84082826551"/>
    <n v="1056616.90231691"/>
  </r>
  <r>
    <x v="0"/>
    <x v="0"/>
    <x v="7"/>
    <x v="13"/>
    <x v="0"/>
    <x v="0"/>
    <x v="13"/>
    <n v="2874.6411643302599"/>
    <n v="1049244.0249805499"/>
  </r>
  <r>
    <x v="0"/>
    <x v="0"/>
    <x v="7"/>
    <x v="13"/>
    <x v="0"/>
    <x v="0"/>
    <x v="14"/>
    <n v="2868.7375213404698"/>
    <n v="1047089.19528927"/>
  </r>
  <r>
    <x v="0"/>
    <x v="0"/>
    <x v="7"/>
    <x v="13"/>
    <x v="0"/>
    <x v="0"/>
    <x v="15"/>
    <n v="2882.3789708976301"/>
    <n v="1052068.3243776399"/>
  </r>
  <r>
    <x v="0"/>
    <x v="0"/>
    <x v="7"/>
    <x v="13"/>
    <x v="0"/>
    <x v="0"/>
    <x v="16"/>
    <n v="2859.8348958963802"/>
    <n v="1043839.73700218"/>
  </r>
  <r>
    <x v="0"/>
    <x v="0"/>
    <x v="7"/>
    <x v="13"/>
    <x v="0"/>
    <x v="0"/>
    <x v="17"/>
    <n v="2837.8556159992399"/>
    <n v="1035817.29983972"/>
  </r>
  <r>
    <x v="0"/>
    <x v="0"/>
    <x v="7"/>
    <x v="13"/>
    <x v="0"/>
    <x v="0"/>
    <x v="18"/>
    <n v="2821.5186051000601"/>
    <n v="1029854.29086152"/>
  </r>
  <r>
    <x v="0"/>
    <x v="0"/>
    <x v="7"/>
    <x v="13"/>
    <x v="0"/>
    <x v="0"/>
    <x v="19"/>
    <n v="2806.2145896729999"/>
    <n v="1024268.32523065"/>
  </r>
  <r>
    <x v="0"/>
    <x v="0"/>
    <x v="7"/>
    <x v="13"/>
    <x v="0"/>
    <x v="0"/>
    <x v="20"/>
    <n v="2776.9827497064002"/>
    <n v="1013598.70364284"/>
  </r>
  <r>
    <x v="0"/>
    <x v="0"/>
    <x v="7"/>
    <x v="13"/>
    <x v="0"/>
    <x v="0"/>
    <x v="21"/>
    <n v="2716.20193251504"/>
    <n v="991413.70536798902"/>
  </r>
  <r>
    <x v="0"/>
    <x v="0"/>
    <x v="7"/>
    <x v="13"/>
    <x v="0"/>
    <x v="0"/>
    <x v="22"/>
    <n v="2636.0578481623402"/>
    <n v="962161.11457925499"/>
  </r>
  <r>
    <x v="0"/>
    <x v="0"/>
    <x v="7"/>
    <x v="13"/>
    <x v="0"/>
    <x v="0"/>
    <x v="23"/>
    <n v="2507.49025438941"/>
    <n v="915233.942852134"/>
  </r>
  <r>
    <x v="0"/>
    <x v="0"/>
    <x v="7"/>
    <x v="14"/>
    <x v="0"/>
    <x v="0"/>
    <x v="0"/>
    <n v="1862.5829873370101"/>
    <n v="679842.79037800699"/>
  </r>
  <r>
    <x v="0"/>
    <x v="0"/>
    <x v="7"/>
    <x v="14"/>
    <x v="0"/>
    <x v="0"/>
    <x v="1"/>
    <n v="1826.1858686379801"/>
    <n v="666557.84205286298"/>
  </r>
  <r>
    <x v="0"/>
    <x v="0"/>
    <x v="7"/>
    <x v="14"/>
    <x v="0"/>
    <x v="0"/>
    <x v="2"/>
    <n v="1824.60338521628"/>
    <n v="665980.23560394405"/>
  </r>
  <r>
    <x v="0"/>
    <x v="0"/>
    <x v="7"/>
    <x v="14"/>
    <x v="0"/>
    <x v="0"/>
    <x v="3"/>
    <n v="1796.90992533659"/>
    <n v="655872.12274785596"/>
  </r>
  <r>
    <x v="0"/>
    <x v="0"/>
    <x v="7"/>
    <x v="14"/>
    <x v="0"/>
    <x v="0"/>
    <x v="4"/>
    <n v="1807.1960675776199"/>
    <n v="659626.56466583197"/>
  </r>
  <r>
    <x v="0"/>
    <x v="0"/>
    <x v="7"/>
    <x v="14"/>
    <x v="0"/>
    <x v="0"/>
    <x v="5"/>
    <n v="1876.82533813228"/>
    <n v="685041.24841828097"/>
  </r>
  <r>
    <x v="0"/>
    <x v="0"/>
    <x v="7"/>
    <x v="14"/>
    <x v="0"/>
    <x v="0"/>
    <x v="6"/>
    <n v="1970.98310172323"/>
    <n v="719408.83212897799"/>
  </r>
  <r>
    <x v="0"/>
    <x v="0"/>
    <x v="7"/>
    <x v="14"/>
    <x v="0"/>
    <x v="0"/>
    <x v="7"/>
    <n v="2114.1978513867798"/>
    <n v="771682.21575617394"/>
  </r>
  <r>
    <x v="0"/>
    <x v="0"/>
    <x v="7"/>
    <x v="14"/>
    <x v="0"/>
    <x v="0"/>
    <x v="8"/>
    <n v="2228.9278994597898"/>
    <n v="813558.68330282299"/>
  </r>
  <r>
    <x v="0"/>
    <x v="0"/>
    <x v="7"/>
    <x v="14"/>
    <x v="0"/>
    <x v="0"/>
    <x v="9"/>
    <n v="2234.4665914357302"/>
    <n v="815580.30587404"/>
  </r>
  <r>
    <x v="0"/>
    <x v="0"/>
    <x v="7"/>
    <x v="14"/>
    <x v="0"/>
    <x v="0"/>
    <x v="10"/>
    <n v="2185.4096053631301"/>
    <n v="797674.50595754199"/>
  </r>
  <r>
    <x v="0"/>
    <x v="0"/>
    <x v="7"/>
    <x v="14"/>
    <x v="0"/>
    <x v="0"/>
    <x v="11"/>
    <n v="2151.3862117966501"/>
    <n v="785255.96730577794"/>
  </r>
  <r>
    <x v="0"/>
    <x v="0"/>
    <x v="7"/>
    <x v="14"/>
    <x v="0"/>
    <x v="0"/>
    <x v="12"/>
    <n v="2143.4737946881701"/>
    <n v="782367.93506118096"/>
  </r>
  <r>
    <x v="0"/>
    <x v="0"/>
    <x v="7"/>
    <x v="14"/>
    <x v="0"/>
    <x v="0"/>
    <x v="13"/>
    <n v="2169.5847711461602"/>
    <n v="791898.44146835001"/>
  </r>
  <r>
    <x v="0"/>
    <x v="0"/>
    <x v="7"/>
    <x v="14"/>
    <x v="0"/>
    <x v="0"/>
    <x v="14"/>
    <n v="2181.4533968088899"/>
    <n v="796230.48983524402"/>
  </r>
  <r>
    <x v="0"/>
    <x v="0"/>
    <x v="7"/>
    <x v="14"/>
    <x v="0"/>
    <x v="0"/>
    <x v="15"/>
    <n v="2222.5979657729999"/>
    <n v="811248.25750714599"/>
  </r>
  <r>
    <x v="0"/>
    <x v="0"/>
    <x v="7"/>
    <x v="14"/>
    <x v="0"/>
    <x v="0"/>
    <x v="16"/>
    <n v="2202.0256812909502"/>
    <n v="803739.373671195"/>
  </r>
  <r>
    <x v="0"/>
    <x v="0"/>
    <x v="7"/>
    <x v="14"/>
    <x v="0"/>
    <x v="0"/>
    <x v="17"/>
    <n v="2149.80372837495"/>
    <n v="784678.36085685797"/>
  </r>
  <r>
    <x v="0"/>
    <x v="0"/>
    <x v="7"/>
    <x v="14"/>
    <x v="0"/>
    <x v="0"/>
    <x v="18"/>
    <n v="2113.4066096759302"/>
    <n v="771393.412531715"/>
  </r>
  <r>
    <x v="0"/>
    <x v="0"/>
    <x v="7"/>
    <x v="14"/>
    <x v="0"/>
    <x v="0"/>
    <x v="19"/>
    <n v="2109.45040112169"/>
    <n v="769949.39640941704"/>
  </r>
  <r>
    <x v="0"/>
    <x v="0"/>
    <x v="7"/>
    <x v="14"/>
    <x v="0"/>
    <x v="0"/>
    <x v="20"/>
    <n v="2107.0766759891399"/>
    <n v="769082.986736038"/>
  </r>
  <r>
    <x v="0"/>
    <x v="0"/>
    <x v="7"/>
    <x v="14"/>
    <x v="0"/>
    <x v="0"/>
    <x v="21"/>
    <n v="2057.2284482056998"/>
    <n v="750888.38359508"/>
  </r>
  <r>
    <x v="0"/>
    <x v="0"/>
    <x v="7"/>
    <x v="14"/>
    <x v="0"/>
    <x v="0"/>
    <x v="22"/>
    <n v="1981.2692439642601"/>
    <n v="723163.274046954"/>
  </r>
  <r>
    <x v="0"/>
    <x v="0"/>
    <x v="7"/>
    <x v="14"/>
    <x v="0"/>
    <x v="0"/>
    <x v="23"/>
    <n v="1956.7407509279601"/>
    <n v="714210.37408870505"/>
  </r>
  <r>
    <x v="0"/>
    <x v="0"/>
    <x v="7"/>
    <x v="15"/>
    <x v="0"/>
    <x v="0"/>
    <x v="0"/>
    <n v="1565.5810171379101"/>
    <n v="571437.07125533605"/>
  </r>
  <r>
    <x v="0"/>
    <x v="0"/>
    <x v="7"/>
    <x v="15"/>
    <x v="0"/>
    <x v="0"/>
    <x v="1"/>
    <n v="1524.9621715077001"/>
    <n v="556611.19260031194"/>
  </r>
  <r>
    <x v="0"/>
    <x v="0"/>
    <x v="7"/>
    <x v="15"/>
    <x v="0"/>
    <x v="0"/>
    <x v="2"/>
    <n v="1509.6844220176899"/>
    <n v="551034.81403645803"/>
  </r>
  <r>
    <x v="0"/>
    <x v="0"/>
    <x v="7"/>
    <x v="15"/>
    <x v="0"/>
    <x v="0"/>
    <x v="3"/>
    <n v="1523.18936570506"/>
    <n v="555964.118482347"/>
  </r>
  <r>
    <x v="0"/>
    <x v="0"/>
    <x v="7"/>
    <x v="15"/>
    <x v="0"/>
    <x v="0"/>
    <x v="4"/>
    <n v="1551.92749778087"/>
    <n v="566453.53669001802"/>
  </r>
  <r>
    <x v="0"/>
    <x v="0"/>
    <x v="7"/>
    <x v="15"/>
    <x v="0"/>
    <x v="0"/>
    <x v="5"/>
    <n v="1610.98343096392"/>
    <n v="588008.95230183098"/>
  </r>
  <r>
    <x v="0"/>
    <x v="0"/>
    <x v="7"/>
    <x v="15"/>
    <x v="0"/>
    <x v="0"/>
    <x v="6"/>
    <n v="1716.5331909398501"/>
    <n v="626534.61469304399"/>
  </r>
  <r>
    <x v="0"/>
    <x v="0"/>
    <x v="7"/>
    <x v="15"/>
    <x v="0"/>
    <x v="0"/>
    <x v="7"/>
    <n v="1864.8420354274499"/>
    <n v="680667.34293101798"/>
  </r>
  <r>
    <x v="0"/>
    <x v="0"/>
    <x v="7"/>
    <x v="15"/>
    <x v="0"/>
    <x v="0"/>
    <x v="8"/>
    <n v="1926.33631685763"/>
    <n v="703112.75565303501"/>
  </r>
  <r>
    <x v="0"/>
    <x v="0"/>
    <x v="7"/>
    <x v="15"/>
    <x v="0"/>
    <x v="0"/>
    <x v="9"/>
    <n v="1905.2905328487"/>
    <n v="695431.04448977602"/>
  </r>
  <r>
    <x v="0"/>
    <x v="0"/>
    <x v="7"/>
    <x v="15"/>
    <x v="0"/>
    <x v="0"/>
    <x v="10"/>
    <n v="1886.74847270143"/>
    <n v="688663.192536021"/>
  </r>
  <r>
    <x v="0"/>
    <x v="0"/>
    <x v="7"/>
    <x v="15"/>
    <x v="0"/>
    <x v="0"/>
    <x v="11"/>
    <n v="1875.73038646141"/>
    <n v="684641.59105841501"/>
  </r>
  <r>
    <x v="0"/>
    <x v="0"/>
    <x v="7"/>
    <x v="15"/>
    <x v="0"/>
    <x v="0"/>
    <x v="12"/>
    <n v="1851.4559406764699"/>
    <n v="675781.41834691202"/>
  </r>
  <r>
    <x v="0"/>
    <x v="0"/>
    <x v="7"/>
    <x v="15"/>
    <x v="0"/>
    <x v="0"/>
    <x v="13"/>
    <n v="1851.78969892339"/>
    <n v="675903.24010703503"/>
  </r>
  <r>
    <x v="0"/>
    <x v="0"/>
    <x v="7"/>
    <x v="15"/>
    <x v="0"/>
    <x v="0"/>
    <x v="14"/>
    <n v="1844.9619522202099"/>
    <n v="673411.11256037501"/>
  </r>
  <r>
    <x v="0"/>
    <x v="0"/>
    <x v="7"/>
    <x v="15"/>
    <x v="0"/>
    <x v="0"/>
    <x v="15"/>
    <n v="1839.0552702749401"/>
    <n v="671255.173650351"/>
  </r>
  <r>
    <x v="0"/>
    <x v="0"/>
    <x v="7"/>
    <x v="15"/>
    <x v="0"/>
    <x v="0"/>
    <x v="16"/>
    <n v="1854.88862549336"/>
    <n v="677034.34830507601"/>
  </r>
  <r>
    <x v="0"/>
    <x v="0"/>
    <x v="7"/>
    <x v="15"/>
    <x v="0"/>
    <x v="0"/>
    <x v="17"/>
    <n v="1820.9341165283799"/>
    <n v="664640.95253285696"/>
  </r>
  <r>
    <x v="0"/>
    <x v="0"/>
    <x v="7"/>
    <x v="15"/>
    <x v="0"/>
    <x v="0"/>
    <x v="18"/>
    <n v="1803.9578490705501"/>
    <n v="658444.61491074902"/>
  </r>
  <r>
    <x v="0"/>
    <x v="0"/>
    <x v="7"/>
    <x v="15"/>
    <x v="0"/>
    <x v="0"/>
    <x v="19"/>
    <n v="1796.9151930568501"/>
    <n v="655874.04546575202"/>
  </r>
  <r>
    <x v="0"/>
    <x v="0"/>
    <x v="7"/>
    <x v="15"/>
    <x v="0"/>
    <x v="0"/>
    <x v="20"/>
    <n v="1775.4237400356001"/>
    <n v="648029.66511299403"/>
  </r>
  <r>
    <x v="0"/>
    <x v="0"/>
    <x v="7"/>
    <x v="15"/>
    <x v="0"/>
    <x v="0"/>
    <x v="21"/>
    <n v="1719.13297517561"/>
    <n v="627483.53593909799"/>
  </r>
  <r>
    <x v="0"/>
    <x v="0"/>
    <x v="7"/>
    <x v="15"/>
    <x v="0"/>
    <x v="0"/>
    <x v="22"/>
    <n v="1678.52106771639"/>
    <n v="612660.18971648405"/>
  </r>
  <r>
    <x v="0"/>
    <x v="0"/>
    <x v="7"/>
    <x v="15"/>
    <x v="0"/>
    <x v="0"/>
    <x v="23"/>
    <n v="1608.72733321838"/>
    <n v="587185.47662470699"/>
  </r>
  <r>
    <x v="0"/>
    <x v="0"/>
    <x v="8"/>
    <x v="16"/>
    <x v="0"/>
    <x v="0"/>
    <x v="0"/>
    <n v="13308.6951599888"/>
    <n v="4857673.7333958903"/>
  </r>
  <r>
    <x v="0"/>
    <x v="0"/>
    <x v="8"/>
    <x v="16"/>
    <x v="0"/>
    <x v="0"/>
    <x v="1"/>
    <n v="13012.2492689766"/>
    <n v="4749470.9831764698"/>
  </r>
  <r>
    <x v="0"/>
    <x v="0"/>
    <x v="8"/>
    <x v="16"/>
    <x v="0"/>
    <x v="0"/>
    <x v="2"/>
    <n v="12948.725149473999"/>
    <n v="4726284.6795580201"/>
  </r>
  <r>
    <x v="0"/>
    <x v="0"/>
    <x v="8"/>
    <x v="16"/>
    <x v="0"/>
    <x v="0"/>
    <x v="3"/>
    <n v="13124.396788592299"/>
    <n v="4790404.8278361997"/>
  </r>
  <r>
    <x v="0"/>
    <x v="0"/>
    <x v="8"/>
    <x v="16"/>
    <x v="0"/>
    <x v="0"/>
    <x v="4"/>
    <n v="13603.572554222999"/>
    <n v="4965303.9822914097"/>
  </r>
  <r>
    <x v="0"/>
    <x v="0"/>
    <x v="8"/>
    <x v="16"/>
    <x v="0"/>
    <x v="0"/>
    <x v="5"/>
    <n v="15026.1991317257"/>
    <n v="5484562.6830798704"/>
  </r>
  <r>
    <x v="0"/>
    <x v="0"/>
    <x v="8"/>
    <x v="16"/>
    <x v="0"/>
    <x v="0"/>
    <x v="6"/>
    <n v="17854.198822174701"/>
    <n v="6516782.57009375"/>
  </r>
  <r>
    <x v="0"/>
    <x v="0"/>
    <x v="8"/>
    <x v="16"/>
    <x v="0"/>
    <x v="0"/>
    <x v="7"/>
    <n v="18697.265840264699"/>
    <n v="6824502.0316966102"/>
  </r>
  <r>
    <x v="0"/>
    <x v="0"/>
    <x v="8"/>
    <x v="16"/>
    <x v="0"/>
    <x v="0"/>
    <x v="8"/>
    <n v="19099.5852637811"/>
    <n v="6971348.6212801198"/>
  </r>
  <r>
    <x v="0"/>
    <x v="0"/>
    <x v="8"/>
    <x v="16"/>
    <x v="0"/>
    <x v="0"/>
    <x v="9"/>
    <n v="19130.170950949101"/>
    <n v="6982512.3970964104"/>
  </r>
  <r>
    <x v="0"/>
    <x v="0"/>
    <x v="8"/>
    <x v="16"/>
    <x v="0"/>
    <x v="0"/>
    <x v="10"/>
    <n v="19352.897493402601"/>
    <n v="7063807.5850919597"/>
  </r>
  <r>
    <x v="0"/>
    <x v="0"/>
    <x v="8"/>
    <x v="16"/>
    <x v="0"/>
    <x v="0"/>
    <x v="11"/>
    <n v="19265.845922232402"/>
    <n v="7032033.76161482"/>
  </r>
  <r>
    <x v="0"/>
    <x v="0"/>
    <x v="8"/>
    <x v="16"/>
    <x v="0"/>
    <x v="0"/>
    <x v="12"/>
    <n v="19321.527557845799"/>
    <n v="7052357.5586137101"/>
  </r>
  <r>
    <x v="0"/>
    <x v="0"/>
    <x v="8"/>
    <x v="16"/>
    <x v="0"/>
    <x v="0"/>
    <x v="13"/>
    <n v="18755.300221044799"/>
    <n v="6845684.5806813696"/>
  </r>
  <r>
    <x v="0"/>
    <x v="0"/>
    <x v="8"/>
    <x v="16"/>
    <x v="0"/>
    <x v="0"/>
    <x v="14"/>
    <n v="19021.160424889102"/>
    <n v="6942723.5550845005"/>
  </r>
  <r>
    <x v="0"/>
    <x v="0"/>
    <x v="8"/>
    <x v="16"/>
    <x v="0"/>
    <x v="0"/>
    <x v="15"/>
    <n v="19991.275681984302"/>
    <n v="7296815.62392426"/>
  </r>
  <r>
    <x v="0"/>
    <x v="0"/>
    <x v="8"/>
    <x v="16"/>
    <x v="0"/>
    <x v="0"/>
    <x v="16"/>
    <n v="21362.926114206999"/>
    <n v="7797468.0316855703"/>
  </r>
  <r>
    <x v="0"/>
    <x v="0"/>
    <x v="8"/>
    <x v="16"/>
    <x v="0"/>
    <x v="0"/>
    <x v="17"/>
    <n v="20902.5723099104"/>
    <n v="7629438.8931173095"/>
  </r>
  <r>
    <x v="0"/>
    <x v="0"/>
    <x v="8"/>
    <x v="16"/>
    <x v="0"/>
    <x v="0"/>
    <x v="18"/>
    <n v="21033.541790860199"/>
    <n v="7677242.7536639897"/>
  </r>
  <r>
    <x v="0"/>
    <x v="0"/>
    <x v="8"/>
    <x v="16"/>
    <x v="0"/>
    <x v="0"/>
    <x v="19"/>
    <n v="20687.688251346099"/>
    <n v="7551006.2117413301"/>
  </r>
  <r>
    <x v="0"/>
    <x v="0"/>
    <x v="8"/>
    <x v="16"/>
    <x v="0"/>
    <x v="0"/>
    <x v="20"/>
    <n v="20014.018885263002"/>
    <n v="7305116.8931209901"/>
  </r>
  <r>
    <x v="0"/>
    <x v="0"/>
    <x v="8"/>
    <x v="16"/>
    <x v="0"/>
    <x v="0"/>
    <x v="21"/>
    <n v="18029.870461293001"/>
    <n v="6580902.7183719296"/>
  </r>
  <r>
    <x v="0"/>
    <x v="0"/>
    <x v="8"/>
    <x v="16"/>
    <x v="0"/>
    <x v="0"/>
    <x v="22"/>
    <n v="16967.213894305001"/>
    <n v="6193033.0714213401"/>
  </r>
  <r>
    <x v="0"/>
    <x v="0"/>
    <x v="8"/>
    <x v="16"/>
    <x v="0"/>
    <x v="0"/>
    <x v="23"/>
    <n v="15700.6527461977"/>
    <n v="5730738.25236216"/>
  </r>
  <r>
    <x v="0"/>
    <x v="0"/>
    <x v="9"/>
    <x v="17"/>
    <x v="0"/>
    <x v="0"/>
    <x v="0"/>
    <n v="869.92615271130899"/>
    <n v="317523.04573962803"/>
  </r>
  <r>
    <x v="0"/>
    <x v="0"/>
    <x v="9"/>
    <x v="17"/>
    <x v="0"/>
    <x v="0"/>
    <x v="1"/>
    <n v="839.23056023575998"/>
    <n v="306319.15448605199"/>
  </r>
  <r>
    <x v="0"/>
    <x v="0"/>
    <x v="9"/>
    <x v="17"/>
    <x v="0"/>
    <x v="0"/>
    <x v="2"/>
    <n v="834.65887625003995"/>
    <n v="304650.489831265"/>
  </r>
  <r>
    <x v="0"/>
    <x v="0"/>
    <x v="9"/>
    <x v="17"/>
    <x v="0"/>
    <x v="0"/>
    <x v="3"/>
    <n v="839.88365794800598"/>
    <n v="306557.53515102202"/>
  </r>
  <r>
    <x v="0"/>
    <x v="0"/>
    <x v="9"/>
    <x v="17"/>
    <x v="0"/>
    <x v="0"/>
    <x v="4"/>
    <n v="845.108439645972"/>
    <n v="308464.58047078003"/>
  </r>
  <r>
    <x v="0"/>
    <x v="0"/>
    <x v="9"/>
    <x v="17"/>
    <x v="0"/>
    <x v="0"/>
    <x v="5"/>
    <n v="852.94561219291995"/>
    <n v="311325.14845041599"/>
  </r>
  <r>
    <x v="0"/>
    <x v="0"/>
    <x v="9"/>
    <x v="17"/>
    <x v="0"/>
    <x v="0"/>
    <x v="6"/>
    <n v="1058.0182938380799"/>
    <n v="386176.67725089903"/>
  </r>
  <r>
    <x v="0"/>
    <x v="0"/>
    <x v="9"/>
    <x v="17"/>
    <x v="0"/>
    <x v="0"/>
    <x v="7"/>
    <n v="985.52444777880305"/>
    <n v="359716.42343926302"/>
  </r>
  <r>
    <x v="0"/>
    <x v="0"/>
    <x v="9"/>
    <x v="17"/>
    <x v="0"/>
    <x v="0"/>
    <x v="8"/>
    <n v="1129.20594447286"/>
    <n v="412160.16973259498"/>
  </r>
  <r>
    <x v="0"/>
    <x v="0"/>
    <x v="9"/>
    <x v="17"/>
    <x v="0"/>
    <x v="0"/>
    <x v="9"/>
    <n v="1065.85546638503"/>
    <n v="389037.24523053499"/>
  </r>
  <r>
    <x v="0"/>
    <x v="0"/>
    <x v="9"/>
    <x v="17"/>
    <x v="0"/>
    <x v="0"/>
    <x v="10"/>
    <n v="1099.8165474218099"/>
    <n v="401433.039808959"/>
  </r>
  <r>
    <x v="0"/>
    <x v="0"/>
    <x v="9"/>
    <x v="17"/>
    <x v="0"/>
    <x v="0"/>
    <x v="11"/>
    <n v="1053.4466098523601"/>
    <n v="384508.01259611099"/>
  </r>
  <r>
    <x v="0"/>
    <x v="0"/>
    <x v="9"/>
    <x v="17"/>
    <x v="0"/>
    <x v="0"/>
    <x v="12"/>
    <n v="1136.3900193075699"/>
    <n v="414782.35704726202"/>
  </r>
  <r>
    <x v="0"/>
    <x v="0"/>
    <x v="9"/>
    <x v="17"/>
    <x v="0"/>
    <x v="0"/>
    <x v="13"/>
    <n v="1122.0218696381601"/>
    <n v="409537.982417928"/>
  </r>
  <r>
    <x v="0"/>
    <x v="0"/>
    <x v="9"/>
    <x v="17"/>
    <x v="0"/>
    <x v="0"/>
    <x v="14"/>
    <n v="1257.2130960730301"/>
    <n v="458882.78006665403"/>
  </r>
  <r>
    <x v="0"/>
    <x v="0"/>
    <x v="9"/>
    <x v="17"/>
    <x v="0"/>
    <x v="0"/>
    <x v="15"/>
    <n v="1216.72103791379"/>
    <n v="444103.17883853399"/>
  </r>
  <r>
    <x v="0"/>
    <x v="0"/>
    <x v="9"/>
    <x v="17"/>
    <x v="0"/>
    <x v="0"/>
    <x v="16"/>
    <n v="1147.4926804157401"/>
    <n v="418834.82835174602"/>
  </r>
  <r>
    <x v="0"/>
    <x v="0"/>
    <x v="9"/>
    <x v="17"/>
    <x v="0"/>
    <x v="0"/>
    <x v="17"/>
    <n v="1118.75638107693"/>
    <n v="408346.07909308001"/>
  </r>
  <r>
    <x v="0"/>
    <x v="0"/>
    <x v="9"/>
    <x v="17"/>
    <x v="0"/>
    <x v="0"/>
    <x v="18"/>
    <n v="1162.5139277973999"/>
    <n v="424317.58364604902"/>
  </r>
  <r>
    <x v="0"/>
    <x v="0"/>
    <x v="9"/>
    <x v="17"/>
    <x v="0"/>
    <x v="0"/>
    <x v="19"/>
    <n v="1187.33164086273"/>
    <n v="433376.04891489702"/>
  </r>
  <r>
    <x v="0"/>
    <x v="0"/>
    <x v="9"/>
    <x v="17"/>
    <x v="0"/>
    <x v="0"/>
    <x v="20"/>
    <n v="1126.5935536238801"/>
    <n v="411206.64707271598"/>
  </r>
  <r>
    <x v="0"/>
    <x v="0"/>
    <x v="9"/>
    <x v="17"/>
    <x v="0"/>
    <x v="0"/>
    <x v="21"/>
    <n v="1038.4253624707101"/>
    <n v="379025.25730180799"/>
  </r>
  <r>
    <x v="0"/>
    <x v="0"/>
    <x v="9"/>
    <x v="17"/>
    <x v="0"/>
    <x v="0"/>
    <x v="22"/>
    <n v="933.27663079914498"/>
    <n v="340645.97024168802"/>
  </r>
  <r>
    <x v="0"/>
    <x v="0"/>
    <x v="9"/>
    <x v="17"/>
    <x v="0"/>
    <x v="0"/>
    <x v="23"/>
    <n v="967.23771183592305"/>
    <n v="353041.76482011197"/>
  </r>
  <r>
    <x v="0"/>
    <x v="0"/>
    <x v="9"/>
    <x v="18"/>
    <x v="0"/>
    <x v="0"/>
    <x v="0"/>
    <n v="1588.80716295667"/>
    <n v="579914.61447918403"/>
  </r>
  <r>
    <x v="0"/>
    <x v="0"/>
    <x v="9"/>
    <x v="18"/>
    <x v="0"/>
    <x v="0"/>
    <x v="1"/>
    <n v="1565.1043436177999"/>
    <n v="571263.08542049804"/>
  </r>
  <r>
    <x v="0"/>
    <x v="0"/>
    <x v="9"/>
    <x v="18"/>
    <x v="0"/>
    <x v="0"/>
    <x v="2"/>
    <n v="1562.2312746070299"/>
    <n v="570214.41523156699"/>
  </r>
  <r>
    <x v="0"/>
    <x v="0"/>
    <x v="9"/>
    <x v="18"/>
    <x v="0"/>
    <x v="0"/>
    <x v="3"/>
    <n v="1602.4542407578299"/>
    <n v="584895.79787660902"/>
  </r>
  <r>
    <x v="0"/>
    <x v="0"/>
    <x v="9"/>
    <x v="18"/>
    <x v="0"/>
    <x v="0"/>
    <x v="4"/>
    <n v="1606.0455770213"/>
    <n v="586206.63561277394"/>
  </r>
  <r>
    <x v="0"/>
    <x v="0"/>
    <x v="9"/>
    <x v="18"/>
    <x v="0"/>
    <x v="0"/>
    <x v="5"/>
    <n v="1632.6214653709301"/>
    <n v="595906.83486039098"/>
  </r>
  <r>
    <x v="0"/>
    <x v="0"/>
    <x v="9"/>
    <x v="18"/>
    <x v="0"/>
    <x v="0"/>
    <x v="6"/>
    <n v="1844.5103049153399"/>
    <n v="673246.26129409799"/>
  </r>
  <r>
    <x v="0"/>
    <x v="0"/>
    <x v="9"/>
    <x v="18"/>
    <x v="0"/>
    <x v="0"/>
    <x v="7"/>
    <n v="1867.4948570015099"/>
    <n v="681635.62280555104"/>
  </r>
  <r>
    <x v="0"/>
    <x v="0"/>
    <x v="9"/>
    <x v="18"/>
    <x v="0"/>
    <x v="0"/>
    <x v="8"/>
    <n v="1889.0428745823001"/>
    <n v="689500.64922253799"/>
  </r>
  <r>
    <x v="0"/>
    <x v="0"/>
    <x v="9"/>
    <x v="18"/>
    <x v="0"/>
    <x v="0"/>
    <x v="9"/>
    <n v="1891.19767634037"/>
    <n v="690287.15186423704"/>
  </r>
  <r>
    <x v="0"/>
    <x v="0"/>
    <x v="9"/>
    <x v="18"/>
    <x v="0"/>
    <x v="0"/>
    <x v="10"/>
    <n v="1914.9004956792401"/>
    <n v="698938.68092292303"/>
  </r>
  <r>
    <x v="0"/>
    <x v="0"/>
    <x v="9"/>
    <x v="18"/>
    <x v="0"/>
    <x v="0"/>
    <x v="11"/>
    <n v="1914.9004956792401"/>
    <n v="698938.68092292303"/>
  </r>
  <r>
    <x v="0"/>
    <x v="0"/>
    <x v="9"/>
    <x v="18"/>
    <x v="0"/>
    <x v="0"/>
    <x v="12"/>
    <n v="1896.94381436192"/>
    <n v="692384.49224209995"/>
  </r>
  <r>
    <x v="0"/>
    <x v="0"/>
    <x v="9"/>
    <x v="18"/>
    <x v="0"/>
    <x v="0"/>
    <x v="13"/>
    <n v="1920.6466337007801"/>
    <n v="701036.02130078594"/>
  </r>
  <r>
    <x v="0"/>
    <x v="0"/>
    <x v="9"/>
    <x v="18"/>
    <x v="0"/>
    <x v="0"/>
    <x v="14"/>
    <n v="1936.44851326003"/>
    <n v="706803.70733990998"/>
  </r>
  <r>
    <x v="0"/>
    <x v="0"/>
    <x v="9"/>
    <x v="18"/>
    <x v="0"/>
    <x v="0"/>
    <x v="15"/>
    <n v="1948.6590565558099"/>
    <n v="711260.55564286897"/>
  </r>
  <r>
    <x v="0"/>
    <x v="0"/>
    <x v="9"/>
    <x v="18"/>
    <x v="0"/>
    <x v="0"/>
    <x v="16"/>
    <n v="1909.1543576577001"/>
    <n v="696841.34054505895"/>
  </r>
  <r>
    <x v="0"/>
    <x v="0"/>
    <x v="9"/>
    <x v="18"/>
    <x v="0"/>
    <x v="0"/>
    <x v="17"/>
    <n v="1886.1698055715201"/>
    <n v="688451.97903360601"/>
  </r>
  <r>
    <x v="0"/>
    <x v="0"/>
    <x v="9"/>
    <x v="18"/>
    <x v="0"/>
    <x v="0"/>
    <x v="18"/>
    <n v="1833.0180288722499"/>
    <n v="669051.580538371"/>
  </r>
  <r>
    <x v="0"/>
    <x v="0"/>
    <x v="9"/>
    <x v="18"/>
    <x v="0"/>
    <x v="0"/>
    <x v="19"/>
    <n v="1782.0210539310599"/>
    <n v="650437.68468483503"/>
  </r>
  <r>
    <x v="0"/>
    <x v="0"/>
    <x v="9"/>
    <x v="18"/>
    <x v="0"/>
    <x v="0"/>
    <x v="20"/>
    <n v="1765.50090711912"/>
    <n v="644407.83109847899"/>
  </r>
  <r>
    <x v="0"/>
    <x v="0"/>
    <x v="9"/>
    <x v="18"/>
    <x v="0"/>
    <x v="0"/>
    <x v="21"/>
    <n v="1777.7114504148999"/>
    <n v="648864.67940143798"/>
  </r>
  <r>
    <x v="0"/>
    <x v="0"/>
    <x v="9"/>
    <x v="18"/>
    <x v="0"/>
    <x v="0"/>
    <x v="22"/>
    <n v="1728.86927723178"/>
    <n v="631037.28618960001"/>
  </r>
  <r>
    <x v="0"/>
    <x v="0"/>
    <x v="9"/>
    <x v="18"/>
    <x v="0"/>
    <x v="0"/>
    <x v="23"/>
    <n v="1695.1107163552199"/>
    <n v="618715.41146965395"/>
  </r>
  <r>
    <x v="0"/>
    <x v="0"/>
    <x v="9"/>
    <x v="19"/>
    <x v="0"/>
    <x v="0"/>
    <x v="0"/>
    <n v="7607.3427310165298"/>
    <n v="2776680.0968210301"/>
  </r>
  <r>
    <x v="0"/>
    <x v="0"/>
    <x v="9"/>
    <x v="19"/>
    <x v="0"/>
    <x v="0"/>
    <x v="1"/>
    <n v="7539.1279274993103"/>
    <n v="2751781.6935372502"/>
  </r>
  <r>
    <x v="0"/>
    <x v="0"/>
    <x v="9"/>
    <x v="19"/>
    <x v="0"/>
    <x v="0"/>
    <x v="2"/>
    <n v="7586.4606483071702"/>
    <n v="2769058.1366321198"/>
  </r>
  <r>
    <x v="0"/>
    <x v="0"/>
    <x v="9"/>
    <x v="19"/>
    <x v="0"/>
    <x v="0"/>
    <x v="3"/>
    <n v="7613.6073558293301"/>
    <n v="2778966.68487771"/>
  </r>
  <r>
    <x v="0"/>
    <x v="0"/>
    <x v="9"/>
    <x v="19"/>
    <x v="0"/>
    <x v="0"/>
    <x v="4"/>
    <n v="7846.0945433267698"/>
    <n v="2863824.5083142701"/>
  </r>
  <r>
    <x v="0"/>
    <x v="0"/>
    <x v="9"/>
    <x v="19"/>
    <x v="0"/>
    <x v="0"/>
    <x v="5"/>
    <n v="8293.6671827305308"/>
    <n v="3027188.5216966402"/>
  </r>
  <r>
    <x v="0"/>
    <x v="0"/>
    <x v="9"/>
    <x v="19"/>
    <x v="0"/>
    <x v="0"/>
    <x v="6"/>
    <n v="9298.0953610503002"/>
    <n v="3393804.80678336"/>
  </r>
  <r>
    <x v="0"/>
    <x v="0"/>
    <x v="9"/>
    <x v="19"/>
    <x v="0"/>
    <x v="0"/>
    <x v="7"/>
    <n v="10138.947224813501"/>
    <n v="3700715.7370569301"/>
  </r>
  <r>
    <x v="0"/>
    <x v="0"/>
    <x v="9"/>
    <x v="19"/>
    <x v="0"/>
    <x v="0"/>
    <x v="8"/>
    <n v="10361.6894403799"/>
    <n v="3782016.6457386701"/>
  </r>
  <r>
    <x v="0"/>
    <x v="0"/>
    <x v="9"/>
    <x v="19"/>
    <x v="0"/>
    <x v="0"/>
    <x v="9"/>
    <n v="10235.7008747002"/>
    <n v="3736030.8192655598"/>
  </r>
  <r>
    <x v="0"/>
    <x v="0"/>
    <x v="9"/>
    <x v="19"/>
    <x v="0"/>
    <x v="0"/>
    <x v="10"/>
    <n v="10298.3471228282"/>
    <n v="3758896.6998323002"/>
  </r>
  <r>
    <x v="0"/>
    <x v="0"/>
    <x v="9"/>
    <x v="19"/>
    <x v="0"/>
    <x v="0"/>
    <x v="11"/>
    <n v="10275.3768318479"/>
    <n v="3750512.54362449"/>
  </r>
  <r>
    <x v="0"/>
    <x v="0"/>
    <x v="9"/>
    <x v="19"/>
    <x v="0"/>
    <x v="0"/>
    <x v="12"/>
    <n v="10252.4065408676"/>
    <n v="3742128.3874166901"/>
  </r>
  <r>
    <x v="0"/>
    <x v="0"/>
    <x v="9"/>
    <x v="19"/>
    <x v="0"/>
    <x v="0"/>
    <x v="13"/>
    <n v="10145.9079190499"/>
    <n v="3703256.3904532301"/>
  </r>
  <r>
    <x v="0"/>
    <x v="0"/>
    <x v="9"/>
    <x v="19"/>
    <x v="0"/>
    <x v="0"/>
    <x v="14"/>
    <n v="10153.564682710001"/>
    <n v="3706051.1091891699"/>
  </r>
  <r>
    <x v="0"/>
    <x v="0"/>
    <x v="9"/>
    <x v="19"/>
    <x v="0"/>
    <x v="0"/>
    <x v="15"/>
    <n v="10346.375913059701"/>
    <n v="3776427.2082667998"/>
  </r>
  <r>
    <x v="0"/>
    <x v="0"/>
    <x v="9"/>
    <x v="19"/>
    <x v="0"/>
    <x v="0"/>
    <x v="16"/>
    <n v="10460.5312985375"/>
    <n v="3818093.9239661898"/>
  </r>
  <r>
    <x v="0"/>
    <x v="0"/>
    <x v="9"/>
    <x v="19"/>
    <x v="0"/>
    <x v="0"/>
    <x v="17"/>
    <n v="10468.8841316212"/>
    <n v="3821142.7080417499"/>
  </r>
  <r>
    <x v="0"/>
    <x v="0"/>
    <x v="9"/>
    <x v="19"/>
    <x v="0"/>
    <x v="0"/>
    <x v="18"/>
    <n v="10335.934871705"/>
    <n v="3772616.22817234"/>
  </r>
  <r>
    <x v="0"/>
    <x v="0"/>
    <x v="9"/>
    <x v="19"/>
    <x v="0"/>
    <x v="0"/>
    <x v="19"/>
    <n v="10166.7900017593"/>
    <n v="3710878.35064214"/>
  </r>
  <r>
    <x v="0"/>
    <x v="0"/>
    <x v="9"/>
    <x v="19"/>
    <x v="0"/>
    <x v="0"/>
    <x v="20"/>
    <n v="9870.26442728652"/>
    <n v="3602646.51595958"/>
  </r>
  <r>
    <x v="0"/>
    <x v="0"/>
    <x v="9"/>
    <x v="19"/>
    <x v="0"/>
    <x v="0"/>
    <x v="21"/>
    <n v="9364.2219562965802"/>
    <n v="3417941.0140482499"/>
  </r>
  <r>
    <x v="0"/>
    <x v="0"/>
    <x v="9"/>
    <x v="19"/>
    <x v="0"/>
    <x v="0"/>
    <x v="22"/>
    <n v="8849.1305827992601"/>
    <n v="3229932.6627217298"/>
  </r>
  <r>
    <x v="0"/>
    <x v="0"/>
    <x v="9"/>
    <x v="19"/>
    <x v="0"/>
    <x v="0"/>
    <x v="23"/>
    <n v="8283.9222107994901"/>
    <n v="3023631.6069418099"/>
  </r>
  <r>
    <x v="0"/>
    <x v="0"/>
    <x v="9"/>
    <x v="20"/>
    <x v="0"/>
    <x v="0"/>
    <x v="0"/>
    <n v="2128.9344080354599"/>
    <n v="777061.05893294397"/>
  </r>
  <r>
    <x v="0"/>
    <x v="0"/>
    <x v="9"/>
    <x v="20"/>
    <x v="0"/>
    <x v="0"/>
    <x v="1"/>
    <n v="2077.5899570901802"/>
    <n v="758320.33433791704"/>
  </r>
  <r>
    <x v="0"/>
    <x v="0"/>
    <x v="9"/>
    <x v="20"/>
    <x v="0"/>
    <x v="0"/>
    <x v="2"/>
    <n v="2079.82232452259"/>
    <n v="759135.14845074399"/>
  </r>
  <r>
    <x v="0"/>
    <x v="0"/>
    <x v="9"/>
    <x v="20"/>
    <x v="0"/>
    <x v="0"/>
    <x v="3"/>
    <n v="2079.82232452259"/>
    <n v="759135.14845074399"/>
  </r>
  <r>
    <x v="0"/>
    <x v="0"/>
    <x v="9"/>
    <x v="20"/>
    <x v="0"/>
    <x v="0"/>
    <x v="4"/>
    <n v="2115.5402034410399"/>
    <n v="772172.17425597995"/>
  </r>
  <r>
    <x v="0"/>
    <x v="0"/>
    <x v="9"/>
    <x v="20"/>
    <x v="0"/>
    <x v="0"/>
    <x v="5"/>
    <n v="2246.5057594753798"/>
    <n v="819974.602208514"/>
  </r>
  <r>
    <x v="0"/>
    <x v="0"/>
    <x v="9"/>
    <x v="20"/>
    <x v="0"/>
    <x v="0"/>
    <x v="6"/>
    <n v="2517.3663412736701"/>
    <n v="918838.71456489002"/>
  </r>
  <r>
    <x v="0"/>
    <x v="0"/>
    <x v="9"/>
    <x v="20"/>
    <x v="0"/>
    <x v="0"/>
    <x v="7"/>
    <n v="2847.7567212693898"/>
    <n v="1039431.20326333"/>
  </r>
  <r>
    <x v="0"/>
    <x v="0"/>
    <x v="9"/>
    <x v="20"/>
    <x v="0"/>
    <x v="0"/>
    <x v="8"/>
    <n v="2922.91309149364"/>
    <n v="1066863.2783951799"/>
  </r>
  <r>
    <x v="0"/>
    <x v="0"/>
    <x v="9"/>
    <x v="20"/>
    <x v="0"/>
    <x v="0"/>
    <x v="9"/>
    <n v="2873.0568855032898"/>
    <n v="1048665.7632087001"/>
  </r>
  <r>
    <x v="0"/>
    <x v="0"/>
    <x v="9"/>
    <x v="20"/>
    <x v="0"/>
    <x v="0"/>
    <x v="10"/>
    <n v="2922.1689690161702"/>
    <n v="1066591.6736909"/>
  </r>
  <r>
    <x v="0"/>
    <x v="0"/>
    <x v="9"/>
    <x v="20"/>
    <x v="0"/>
    <x v="0"/>
    <x v="11"/>
    <n v="2913.2394992865602"/>
    <n v="1063332.4172395901"/>
  </r>
  <r>
    <x v="0"/>
    <x v="0"/>
    <x v="9"/>
    <x v="20"/>
    <x v="0"/>
    <x v="0"/>
    <x v="12"/>
    <n v="2883.4746001878402"/>
    <n v="1052468.2290685601"/>
  </r>
  <r>
    <x v="0"/>
    <x v="0"/>
    <x v="9"/>
    <x v="20"/>
    <x v="0"/>
    <x v="0"/>
    <x v="13"/>
    <n v="2907.2865194668102"/>
    <n v="1061159.5796053901"/>
  </r>
  <r>
    <x v="0"/>
    <x v="0"/>
    <x v="9"/>
    <x v="20"/>
    <x v="0"/>
    <x v="0"/>
    <x v="14"/>
    <n v="2902.07766212454"/>
    <n v="1059258.34667546"/>
  </r>
  <r>
    <x v="0"/>
    <x v="0"/>
    <x v="9"/>
    <x v="20"/>
    <x v="0"/>
    <x v="0"/>
    <x v="15"/>
    <n v="2936.30729608806"/>
    <n v="1071752.16307214"/>
  </r>
  <r>
    <x v="0"/>
    <x v="0"/>
    <x v="9"/>
    <x v="20"/>
    <x v="0"/>
    <x v="0"/>
    <x v="16"/>
    <n v="2983.9311346459999"/>
    <n v="1089134.86414579"/>
  </r>
  <r>
    <x v="0"/>
    <x v="0"/>
    <x v="9"/>
    <x v="20"/>
    <x v="0"/>
    <x v="0"/>
    <x v="17"/>
    <n v="3018.1607686095199"/>
    <n v="1101628.68054248"/>
  </r>
  <r>
    <x v="0"/>
    <x v="0"/>
    <x v="9"/>
    <x v="20"/>
    <x v="0"/>
    <x v="0"/>
    <x v="18"/>
    <n v="2917.7042341513602"/>
    <n v="1064962.04546525"/>
  </r>
  <r>
    <x v="0"/>
    <x v="0"/>
    <x v="9"/>
    <x v="20"/>
    <x v="0"/>
    <x v="0"/>
    <x v="19"/>
    <n v="2857.43031347647"/>
    <n v="1042962.06441891"/>
  </r>
  <r>
    <x v="0"/>
    <x v="0"/>
    <x v="9"/>
    <x v="20"/>
    <x v="0"/>
    <x v="0"/>
    <x v="20"/>
    <n v="2777.8092083874099"/>
    <n v="1013900.36106141"/>
  </r>
  <r>
    <x v="0"/>
    <x v="0"/>
    <x v="9"/>
    <x v="20"/>
    <x v="0"/>
    <x v="0"/>
    <x v="21"/>
    <n v="2633.44944775865"/>
    <n v="961209.04843190801"/>
  </r>
  <r>
    <x v="0"/>
    <x v="0"/>
    <x v="9"/>
    <x v="20"/>
    <x v="0"/>
    <x v="0"/>
    <x v="22"/>
    <n v="2439.2334811395499"/>
    <n v="890320.22061593505"/>
  </r>
  <r>
    <x v="0"/>
    <x v="0"/>
    <x v="9"/>
    <x v="20"/>
    <x v="0"/>
    <x v="0"/>
    <x v="23"/>
    <n v="2227.1585750612198"/>
    <n v="812912.87989734404"/>
  </r>
  <r>
    <x v="0"/>
    <x v="0"/>
    <x v="10"/>
    <x v="21"/>
    <x v="0"/>
    <x v="0"/>
    <x v="0"/>
    <n v="27925.2310278068"/>
    <n v="10192709.325149501"/>
  </r>
  <r>
    <x v="0"/>
    <x v="0"/>
    <x v="10"/>
    <x v="21"/>
    <x v="0"/>
    <x v="0"/>
    <x v="1"/>
    <n v="27300.056696886"/>
    <n v="9964520.6943634097"/>
  </r>
  <r>
    <x v="0"/>
    <x v="0"/>
    <x v="10"/>
    <x v="21"/>
    <x v="0"/>
    <x v="0"/>
    <x v="2"/>
    <n v="26417.8144134748"/>
    <n v="9642502.2609182894"/>
  </r>
  <r>
    <x v="0"/>
    <x v="0"/>
    <x v="10"/>
    <x v="21"/>
    <x v="0"/>
    <x v="0"/>
    <x v="3"/>
    <n v="25472.121600955099"/>
    <n v="9297324.3843486104"/>
  </r>
  <r>
    <x v="0"/>
    <x v="0"/>
    <x v="10"/>
    <x v="21"/>
    <x v="0"/>
    <x v="0"/>
    <x v="4"/>
    <n v="24732.176460029499"/>
    <n v="9027244.4079107698"/>
  </r>
  <r>
    <x v="0"/>
    <x v="0"/>
    <x v="10"/>
    <x v="21"/>
    <x v="0"/>
    <x v="0"/>
    <x v="5"/>
    <n v="25899.479576420301"/>
    <n v="9453310.0453934204"/>
  </r>
  <r>
    <x v="0"/>
    <x v="0"/>
    <x v="10"/>
    <x v="21"/>
    <x v="0"/>
    <x v="0"/>
    <x v="6"/>
    <n v="31354.825435716"/>
    <n v="11444511.2840364"/>
  </r>
  <r>
    <x v="0"/>
    <x v="0"/>
    <x v="10"/>
    <x v="21"/>
    <x v="0"/>
    <x v="0"/>
    <x v="7"/>
    <n v="38240.607487999099"/>
    <n v="13957821.7331197"/>
  </r>
  <r>
    <x v="0"/>
    <x v="0"/>
    <x v="10"/>
    <x v="21"/>
    <x v="0"/>
    <x v="0"/>
    <x v="8"/>
    <n v="40250.029759100304"/>
    <n v="14691260.8620716"/>
  </r>
  <r>
    <x v="0"/>
    <x v="0"/>
    <x v="10"/>
    <x v="21"/>
    <x v="0"/>
    <x v="0"/>
    <x v="9"/>
    <n v="41010.969560392601"/>
    <n v="14969003.8895433"/>
  </r>
  <r>
    <x v="0"/>
    <x v="0"/>
    <x v="10"/>
    <x v="21"/>
    <x v="0"/>
    <x v="0"/>
    <x v="10"/>
    <n v="41177.060651293999"/>
    <n v="15029627.1377223"/>
  </r>
  <r>
    <x v="0"/>
    <x v="0"/>
    <x v="10"/>
    <x v="21"/>
    <x v="0"/>
    <x v="0"/>
    <x v="11"/>
    <n v="41395.405119108102"/>
    <n v="15109322.8684744"/>
  </r>
  <r>
    <x v="0"/>
    <x v="0"/>
    <x v="10"/>
    <x v="21"/>
    <x v="0"/>
    <x v="0"/>
    <x v="12"/>
    <n v="41529.3043974471"/>
    <n v="15158196.105068199"/>
  </r>
  <r>
    <x v="0"/>
    <x v="0"/>
    <x v="10"/>
    <x v="21"/>
    <x v="0"/>
    <x v="0"/>
    <x v="13"/>
    <n v="41299.762777437398"/>
    <n v="15074413.4137646"/>
  </r>
  <r>
    <x v="0"/>
    <x v="0"/>
    <x v="10"/>
    <x v="21"/>
    <x v="0"/>
    <x v="0"/>
    <x v="14"/>
    <n v="41339.419358130101"/>
    <n v="15088888.0657175"/>
  </r>
  <r>
    <x v="0"/>
    <x v="0"/>
    <x v="10"/>
    <x v="21"/>
    <x v="0"/>
    <x v="0"/>
    <x v="15"/>
    <n v="41645.4748514764"/>
    <n v="15200598.320788899"/>
  </r>
  <r>
    <x v="0"/>
    <x v="0"/>
    <x v="10"/>
    <x v="21"/>
    <x v="0"/>
    <x v="0"/>
    <x v="16"/>
    <n v="45465.103394198799"/>
    <n v="16594762.738882599"/>
  </r>
  <r>
    <x v="0"/>
    <x v="0"/>
    <x v="10"/>
    <x v="21"/>
    <x v="0"/>
    <x v="0"/>
    <x v="17"/>
    <n v="47904.216380806"/>
    <n v="17485038.978994198"/>
  </r>
  <r>
    <x v="0"/>
    <x v="0"/>
    <x v="10"/>
    <x v="21"/>
    <x v="0"/>
    <x v="0"/>
    <x v="18"/>
    <n v="46756.0417327494"/>
    <n v="17065955.232453499"/>
  </r>
  <r>
    <x v="0"/>
    <x v="0"/>
    <x v="10"/>
    <x v="21"/>
    <x v="0"/>
    <x v="0"/>
    <x v="19"/>
    <n v="44260.476437156001"/>
    <n v="16155073.899561999"/>
  </r>
  <r>
    <x v="0"/>
    <x v="0"/>
    <x v="10"/>
    <x v="21"/>
    <x v="0"/>
    <x v="0"/>
    <x v="20"/>
    <n v="41308.160641584102"/>
    <n v="15077478.634178201"/>
  </r>
  <r>
    <x v="0"/>
    <x v="0"/>
    <x v="10"/>
    <x v="21"/>
    <x v="0"/>
    <x v="0"/>
    <x v="21"/>
    <n v="37925.221034489798"/>
    <n v="13842705.6775888"/>
  </r>
  <r>
    <x v="0"/>
    <x v="0"/>
    <x v="10"/>
    <x v="21"/>
    <x v="0"/>
    <x v="0"/>
    <x v="22"/>
    <n v="33819.132014763301"/>
    <n v="12343983.1853886"/>
  </r>
  <r>
    <x v="0"/>
    <x v="0"/>
    <x v="10"/>
    <x v="21"/>
    <x v="0"/>
    <x v="0"/>
    <x v="23"/>
    <n v="30229.511640058699"/>
    <n v="11033771.7486214"/>
  </r>
</pivotCacheRecords>
</file>

<file path=xl/pivotCache/pivotCacheRecords5.xml><?xml version="1.0" encoding="utf-8"?>
<pivotCacheRecords xmlns="http://schemas.openxmlformats.org/spreadsheetml/2006/main" xmlns:r="http://schemas.openxmlformats.org/officeDocument/2006/relationships" count="92">
  <r>
    <x v="0"/>
    <x v="0"/>
    <x v="0"/>
    <x v="0"/>
    <x v="0"/>
    <x v="0"/>
    <x v="0"/>
    <n v="2081.91574115506"/>
  </r>
  <r>
    <x v="0"/>
    <x v="0"/>
    <x v="0"/>
    <x v="0"/>
    <x v="0"/>
    <x v="1"/>
    <x v="1"/>
    <n v="6004.5424756239699"/>
  </r>
  <r>
    <x v="0"/>
    <x v="0"/>
    <x v="0"/>
    <x v="0"/>
    <x v="0"/>
    <x v="2"/>
    <x v="2"/>
    <n v="0"/>
  </r>
  <r>
    <x v="0"/>
    <x v="0"/>
    <x v="0"/>
    <x v="0"/>
    <x v="0"/>
    <x v="3"/>
    <x v="3"/>
    <n v="714.73738100491198"/>
  </r>
  <r>
    <x v="0"/>
    <x v="0"/>
    <x v="0"/>
    <x v="0"/>
    <x v="0"/>
    <x v="4"/>
    <x v="4"/>
    <n v="1861.18602543824"/>
  </r>
  <r>
    <x v="0"/>
    <x v="0"/>
    <x v="0"/>
    <x v="0"/>
    <x v="0"/>
    <x v="5"/>
    <x v="5"/>
    <n v="0"/>
  </r>
  <r>
    <x v="0"/>
    <x v="0"/>
    <x v="0"/>
    <x v="0"/>
    <x v="1"/>
    <x v="0"/>
    <x v="6"/>
    <n v="0"/>
  </r>
  <r>
    <x v="0"/>
    <x v="0"/>
    <x v="0"/>
    <x v="0"/>
    <x v="1"/>
    <x v="1"/>
    <x v="7"/>
    <n v="190.28649803963199"/>
  </r>
  <r>
    <x v="0"/>
    <x v="0"/>
    <x v="0"/>
    <x v="0"/>
    <x v="1"/>
    <x v="1"/>
    <x v="1"/>
    <n v="0"/>
  </r>
  <r>
    <x v="0"/>
    <x v="0"/>
    <x v="0"/>
    <x v="0"/>
    <x v="1"/>
    <x v="4"/>
    <x v="8"/>
    <n v="3165.5028658479"/>
  </r>
  <r>
    <x v="0"/>
    <x v="0"/>
    <x v="0"/>
    <x v="1"/>
    <x v="2"/>
    <x v="6"/>
    <x v="9"/>
    <n v="0"/>
  </r>
  <r>
    <x v="0"/>
    <x v="0"/>
    <x v="0"/>
    <x v="1"/>
    <x v="2"/>
    <x v="7"/>
    <x v="10"/>
    <n v="6067.5543422511801"/>
  </r>
  <r>
    <x v="0"/>
    <x v="0"/>
    <x v="0"/>
    <x v="1"/>
    <x v="2"/>
    <x v="4"/>
    <x v="4"/>
    <n v="0"/>
  </r>
  <r>
    <x v="0"/>
    <x v="0"/>
    <x v="0"/>
    <x v="2"/>
    <x v="3"/>
    <x v="8"/>
    <x v="11"/>
    <n v="7618.6970879640903"/>
  </r>
  <r>
    <x v="0"/>
    <x v="0"/>
    <x v="0"/>
    <x v="2"/>
    <x v="3"/>
    <x v="3"/>
    <x v="12"/>
    <n v="0"/>
  </r>
  <r>
    <x v="0"/>
    <x v="0"/>
    <x v="0"/>
    <x v="2"/>
    <x v="3"/>
    <x v="4"/>
    <x v="13"/>
    <n v="0"/>
  </r>
  <r>
    <x v="0"/>
    <x v="0"/>
    <x v="0"/>
    <x v="2"/>
    <x v="3"/>
    <x v="4"/>
    <x v="4"/>
    <n v="0"/>
  </r>
  <r>
    <x v="0"/>
    <x v="0"/>
    <x v="0"/>
    <x v="3"/>
    <x v="4"/>
    <x v="0"/>
    <x v="0"/>
    <n v="439.84822415155998"/>
  </r>
  <r>
    <x v="0"/>
    <x v="0"/>
    <x v="0"/>
    <x v="3"/>
    <x v="4"/>
    <x v="1"/>
    <x v="1"/>
    <n v="0"/>
  </r>
  <r>
    <x v="0"/>
    <x v="0"/>
    <x v="0"/>
    <x v="3"/>
    <x v="4"/>
    <x v="1"/>
    <x v="14"/>
    <n v="23730.84"/>
  </r>
  <r>
    <x v="0"/>
    <x v="0"/>
    <x v="0"/>
    <x v="3"/>
    <x v="4"/>
    <x v="1"/>
    <x v="15"/>
    <n v="20530.505639050902"/>
  </r>
  <r>
    <x v="0"/>
    <x v="0"/>
    <x v="0"/>
    <x v="3"/>
    <x v="4"/>
    <x v="9"/>
    <x v="16"/>
    <n v="13506.660964016"/>
  </r>
  <r>
    <x v="0"/>
    <x v="0"/>
    <x v="0"/>
    <x v="3"/>
    <x v="5"/>
    <x v="0"/>
    <x v="6"/>
    <n v="0"/>
  </r>
  <r>
    <x v="0"/>
    <x v="0"/>
    <x v="0"/>
    <x v="3"/>
    <x v="5"/>
    <x v="0"/>
    <x v="0"/>
    <n v="0"/>
  </r>
  <r>
    <x v="0"/>
    <x v="0"/>
    <x v="0"/>
    <x v="3"/>
    <x v="5"/>
    <x v="1"/>
    <x v="7"/>
    <n v="0"/>
  </r>
  <r>
    <x v="0"/>
    <x v="0"/>
    <x v="0"/>
    <x v="3"/>
    <x v="5"/>
    <x v="1"/>
    <x v="15"/>
    <n v="37799.213278450203"/>
  </r>
  <r>
    <x v="0"/>
    <x v="0"/>
    <x v="0"/>
    <x v="3"/>
    <x v="5"/>
    <x v="3"/>
    <x v="3"/>
    <n v="0"/>
  </r>
  <r>
    <x v="0"/>
    <x v="0"/>
    <x v="0"/>
    <x v="3"/>
    <x v="5"/>
    <x v="4"/>
    <x v="8"/>
    <n v="2307.1707720902"/>
  </r>
  <r>
    <x v="0"/>
    <x v="0"/>
    <x v="0"/>
    <x v="3"/>
    <x v="6"/>
    <x v="1"/>
    <x v="7"/>
    <n v="0"/>
  </r>
  <r>
    <x v="0"/>
    <x v="0"/>
    <x v="0"/>
    <x v="3"/>
    <x v="6"/>
    <x v="1"/>
    <x v="15"/>
    <n v="0"/>
  </r>
  <r>
    <x v="0"/>
    <x v="0"/>
    <x v="0"/>
    <x v="3"/>
    <x v="6"/>
    <x v="2"/>
    <x v="2"/>
    <n v="19128.0084933705"/>
  </r>
  <r>
    <x v="0"/>
    <x v="0"/>
    <x v="0"/>
    <x v="3"/>
    <x v="7"/>
    <x v="1"/>
    <x v="7"/>
    <n v="0"/>
  </r>
  <r>
    <x v="0"/>
    <x v="0"/>
    <x v="0"/>
    <x v="3"/>
    <x v="7"/>
    <x v="1"/>
    <x v="1"/>
    <n v="0"/>
  </r>
  <r>
    <x v="0"/>
    <x v="0"/>
    <x v="0"/>
    <x v="3"/>
    <x v="7"/>
    <x v="1"/>
    <x v="14"/>
    <n v="42726.575006409199"/>
  </r>
  <r>
    <x v="0"/>
    <x v="0"/>
    <x v="0"/>
    <x v="3"/>
    <x v="7"/>
    <x v="2"/>
    <x v="2"/>
    <n v="29983.085419706"/>
  </r>
  <r>
    <x v="0"/>
    <x v="0"/>
    <x v="0"/>
    <x v="4"/>
    <x v="8"/>
    <x v="8"/>
    <x v="11"/>
    <n v="0"/>
  </r>
  <r>
    <x v="0"/>
    <x v="0"/>
    <x v="0"/>
    <x v="4"/>
    <x v="8"/>
    <x v="10"/>
    <x v="17"/>
    <n v="0"/>
  </r>
  <r>
    <x v="0"/>
    <x v="0"/>
    <x v="0"/>
    <x v="4"/>
    <x v="8"/>
    <x v="4"/>
    <x v="4"/>
    <n v="0"/>
  </r>
  <r>
    <x v="0"/>
    <x v="0"/>
    <x v="0"/>
    <x v="5"/>
    <x v="9"/>
    <x v="7"/>
    <x v="10"/>
    <n v="451.32880503467601"/>
  </r>
  <r>
    <x v="0"/>
    <x v="0"/>
    <x v="0"/>
    <x v="5"/>
    <x v="9"/>
    <x v="9"/>
    <x v="16"/>
    <n v="0"/>
  </r>
  <r>
    <x v="0"/>
    <x v="0"/>
    <x v="0"/>
    <x v="5"/>
    <x v="9"/>
    <x v="4"/>
    <x v="8"/>
    <n v="0"/>
  </r>
  <r>
    <x v="0"/>
    <x v="0"/>
    <x v="0"/>
    <x v="6"/>
    <x v="10"/>
    <x v="0"/>
    <x v="6"/>
    <n v="0"/>
  </r>
  <r>
    <x v="0"/>
    <x v="0"/>
    <x v="0"/>
    <x v="6"/>
    <x v="10"/>
    <x v="1"/>
    <x v="14"/>
    <n v="0"/>
  </r>
  <r>
    <x v="0"/>
    <x v="0"/>
    <x v="0"/>
    <x v="6"/>
    <x v="10"/>
    <x v="1"/>
    <x v="15"/>
    <n v="0"/>
  </r>
  <r>
    <x v="0"/>
    <x v="0"/>
    <x v="0"/>
    <x v="6"/>
    <x v="10"/>
    <x v="3"/>
    <x v="3"/>
    <n v="0"/>
  </r>
  <r>
    <x v="0"/>
    <x v="0"/>
    <x v="0"/>
    <x v="6"/>
    <x v="10"/>
    <x v="5"/>
    <x v="5"/>
    <n v="3196.6928192998798"/>
  </r>
  <r>
    <x v="0"/>
    <x v="0"/>
    <x v="0"/>
    <x v="7"/>
    <x v="11"/>
    <x v="3"/>
    <x v="3"/>
    <n v="0"/>
  </r>
  <r>
    <x v="0"/>
    <x v="0"/>
    <x v="0"/>
    <x v="7"/>
    <x v="11"/>
    <x v="3"/>
    <x v="18"/>
    <n v="0"/>
  </r>
  <r>
    <x v="0"/>
    <x v="0"/>
    <x v="0"/>
    <x v="7"/>
    <x v="11"/>
    <x v="3"/>
    <x v="19"/>
    <n v="0"/>
  </r>
  <r>
    <x v="0"/>
    <x v="0"/>
    <x v="0"/>
    <x v="7"/>
    <x v="11"/>
    <x v="4"/>
    <x v="4"/>
    <n v="107.007126055212"/>
  </r>
  <r>
    <x v="0"/>
    <x v="0"/>
    <x v="0"/>
    <x v="7"/>
    <x v="12"/>
    <x v="0"/>
    <x v="6"/>
    <n v="1895.2695324863901"/>
  </r>
  <r>
    <x v="0"/>
    <x v="0"/>
    <x v="0"/>
    <x v="7"/>
    <x v="12"/>
    <x v="1"/>
    <x v="1"/>
    <n v="0"/>
  </r>
  <r>
    <x v="0"/>
    <x v="0"/>
    <x v="0"/>
    <x v="7"/>
    <x v="12"/>
    <x v="2"/>
    <x v="2"/>
    <n v="5518.8"/>
  </r>
  <r>
    <x v="0"/>
    <x v="0"/>
    <x v="0"/>
    <x v="7"/>
    <x v="12"/>
    <x v="3"/>
    <x v="20"/>
    <n v="15821.514998102701"/>
  </r>
  <r>
    <x v="0"/>
    <x v="0"/>
    <x v="0"/>
    <x v="7"/>
    <x v="12"/>
    <x v="3"/>
    <x v="19"/>
    <n v="0"/>
  </r>
  <r>
    <x v="0"/>
    <x v="0"/>
    <x v="0"/>
    <x v="7"/>
    <x v="12"/>
    <x v="5"/>
    <x v="5"/>
    <n v="0"/>
  </r>
  <r>
    <x v="0"/>
    <x v="0"/>
    <x v="0"/>
    <x v="7"/>
    <x v="13"/>
    <x v="3"/>
    <x v="20"/>
    <n v="6671.1832363854701"/>
  </r>
  <r>
    <x v="0"/>
    <x v="0"/>
    <x v="0"/>
    <x v="7"/>
    <x v="13"/>
    <x v="3"/>
    <x v="12"/>
    <n v="0"/>
  </r>
  <r>
    <x v="0"/>
    <x v="0"/>
    <x v="0"/>
    <x v="7"/>
    <x v="13"/>
    <x v="3"/>
    <x v="19"/>
    <n v="0"/>
  </r>
  <r>
    <x v="0"/>
    <x v="0"/>
    <x v="0"/>
    <x v="7"/>
    <x v="13"/>
    <x v="4"/>
    <x v="21"/>
    <n v="163.33595959847699"/>
  </r>
  <r>
    <x v="0"/>
    <x v="0"/>
    <x v="0"/>
    <x v="7"/>
    <x v="14"/>
    <x v="6"/>
    <x v="9"/>
    <n v="0"/>
  </r>
  <r>
    <x v="0"/>
    <x v="0"/>
    <x v="0"/>
    <x v="7"/>
    <x v="14"/>
    <x v="3"/>
    <x v="18"/>
    <n v="5134.6467701613101"/>
  </r>
  <r>
    <x v="0"/>
    <x v="0"/>
    <x v="0"/>
    <x v="7"/>
    <x v="14"/>
    <x v="4"/>
    <x v="13"/>
    <n v="0"/>
  </r>
  <r>
    <x v="0"/>
    <x v="0"/>
    <x v="0"/>
    <x v="7"/>
    <x v="14"/>
    <x v="4"/>
    <x v="21"/>
    <n v="1045.27748462112"/>
  </r>
  <r>
    <x v="0"/>
    <x v="0"/>
    <x v="0"/>
    <x v="7"/>
    <x v="15"/>
    <x v="3"/>
    <x v="20"/>
    <n v="1467.47252133762"/>
  </r>
  <r>
    <x v="0"/>
    <x v="0"/>
    <x v="0"/>
    <x v="7"/>
    <x v="15"/>
    <x v="3"/>
    <x v="3"/>
    <n v="9460.7999999999993"/>
  </r>
  <r>
    <x v="0"/>
    <x v="0"/>
    <x v="0"/>
    <x v="7"/>
    <x v="15"/>
    <x v="3"/>
    <x v="18"/>
    <n v="7884"/>
  </r>
  <r>
    <x v="0"/>
    <x v="0"/>
    <x v="0"/>
    <x v="8"/>
    <x v="16"/>
    <x v="1"/>
    <x v="7"/>
    <n v="0"/>
  </r>
  <r>
    <x v="0"/>
    <x v="0"/>
    <x v="0"/>
    <x v="8"/>
    <x v="16"/>
    <x v="10"/>
    <x v="17"/>
    <n v="2683.9423128224798"/>
  </r>
  <r>
    <x v="0"/>
    <x v="0"/>
    <x v="0"/>
    <x v="8"/>
    <x v="16"/>
    <x v="4"/>
    <x v="8"/>
    <n v="0"/>
  </r>
  <r>
    <x v="0"/>
    <x v="0"/>
    <x v="0"/>
    <x v="9"/>
    <x v="17"/>
    <x v="6"/>
    <x v="9"/>
    <n v="10103.9379200329"/>
  </r>
  <r>
    <x v="0"/>
    <x v="0"/>
    <x v="0"/>
    <x v="9"/>
    <x v="17"/>
    <x v="3"/>
    <x v="12"/>
    <n v="0"/>
  </r>
  <r>
    <x v="0"/>
    <x v="0"/>
    <x v="0"/>
    <x v="9"/>
    <x v="17"/>
    <x v="4"/>
    <x v="21"/>
    <n v="613.20463893289798"/>
  </r>
  <r>
    <x v="0"/>
    <x v="0"/>
    <x v="0"/>
    <x v="9"/>
    <x v="18"/>
    <x v="3"/>
    <x v="18"/>
    <n v="4.9984576527000604"/>
  </r>
  <r>
    <x v="0"/>
    <x v="0"/>
    <x v="0"/>
    <x v="9"/>
    <x v="18"/>
    <x v="3"/>
    <x v="12"/>
    <n v="0"/>
  </r>
  <r>
    <x v="0"/>
    <x v="0"/>
    <x v="0"/>
    <x v="9"/>
    <x v="18"/>
    <x v="4"/>
    <x v="13"/>
    <n v="496.252269315067"/>
  </r>
  <r>
    <x v="0"/>
    <x v="0"/>
    <x v="0"/>
    <x v="9"/>
    <x v="18"/>
    <x v="4"/>
    <x v="4"/>
    <n v="29250.773977032699"/>
  </r>
  <r>
    <x v="0"/>
    <x v="0"/>
    <x v="0"/>
    <x v="9"/>
    <x v="19"/>
    <x v="0"/>
    <x v="6"/>
    <n v="0"/>
  </r>
  <r>
    <x v="0"/>
    <x v="0"/>
    <x v="0"/>
    <x v="9"/>
    <x v="19"/>
    <x v="8"/>
    <x v="11"/>
    <n v="0"/>
  </r>
  <r>
    <x v="0"/>
    <x v="0"/>
    <x v="0"/>
    <x v="9"/>
    <x v="19"/>
    <x v="6"/>
    <x v="9"/>
    <n v="9730.77974062662"/>
  </r>
  <r>
    <x v="0"/>
    <x v="0"/>
    <x v="0"/>
    <x v="9"/>
    <x v="19"/>
    <x v="7"/>
    <x v="10"/>
    <n v="0"/>
  </r>
  <r>
    <x v="0"/>
    <x v="0"/>
    <x v="0"/>
    <x v="9"/>
    <x v="19"/>
    <x v="3"/>
    <x v="20"/>
    <n v="254.62728697063099"/>
  </r>
  <r>
    <x v="0"/>
    <x v="0"/>
    <x v="0"/>
    <x v="9"/>
    <x v="19"/>
    <x v="4"/>
    <x v="21"/>
    <n v="0"/>
  </r>
  <r>
    <x v="0"/>
    <x v="0"/>
    <x v="0"/>
    <x v="9"/>
    <x v="19"/>
    <x v="4"/>
    <x v="8"/>
    <n v="19634.7443056335"/>
  </r>
  <r>
    <x v="0"/>
    <x v="0"/>
    <x v="0"/>
    <x v="9"/>
    <x v="20"/>
    <x v="0"/>
    <x v="0"/>
    <n v="0"/>
  </r>
  <r>
    <x v="0"/>
    <x v="0"/>
    <x v="0"/>
    <x v="9"/>
    <x v="20"/>
    <x v="1"/>
    <x v="1"/>
    <n v="0"/>
  </r>
  <r>
    <x v="0"/>
    <x v="0"/>
    <x v="0"/>
    <x v="9"/>
    <x v="20"/>
    <x v="10"/>
    <x v="17"/>
    <n v="5516.2905493435101"/>
  </r>
  <r>
    <x v="0"/>
    <x v="0"/>
    <x v="0"/>
    <x v="9"/>
    <x v="20"/>
    <x v="9"/>
    <x v="16"/>
    <n v="0"/>
  </r>
  <r>
    <x v="0"/>
    <x v="0"/>
    <x v="0"/>
    <x v="9"/>
    <x v="20"/>
    <x v="4"/>
    <x v="4"/>
    <n v="0"/>
  </r>
  <r>
    <x v="0"/>
    <x v="0"/>
    <x v="0"/>
    <x v="10"/>
    <x v="21"/>
    <x v="0"/>
    <x v="6"/>
    <n v="0"/>
  </r>
  <r>
    <x v="0"/>
    <x v="0"/>
    <x v="0"/>
    <x v="10"/>
    <x v="21"/>
    <x v="2"/>
    <x v="2"/>
    <n v="2279.87884756836"/>
  </r>
  <r>
    <x v="0"/>
    <x v="0"/>
    <x v="0"/>
    <x v="10"/>
    <x v="21"/>
    <x v="3"/>
    <x v="3"/>
    <n v="0"/>
  </r>
</pivotCacheRecords>
</file>

<file path=xl/pivotCache/pivotCacheRecords6.xml><?xml version="1.0" encoding="utf-8"?>
<pivotCacheRecords xmlns="http://schemas.openxmlformats.org/spreadsheetml/2006/main" xmlns:r="http://schemas.openxmlformats.org/officeDocument/2006/relationships" count="2208">
  <r>
    <x v="0"/>
    <x v="0"/>
    <x v="0"/>
    <x v="0"/>
    <x v="0"/>
    <x v="0"/>
    <x v="0"/>
    <n v="0"/>
  </r>
  <r>
    <x v="0"/>
    <x v="0"/>
    <x v="0"/>
    <x v="0"/>
    <x v="0"/>
    <x v="0"/>
    <x v="1"/>
    <n v="0"/>
  </r>
  <r>
    <x v="0"/>
    <x v="0"/>
    <x v="0"/>
    <x v="0"/>
    <x v="0"/>
    <x v="0"/>
    <x v="2"/>
    <n v="0"/>
  </r>
  <r>
    <x v="0"/>
    <x v="0"/>
    <x v="0"/>
    <x v="0"/>
    <x v="0"/>
    <x v="0"/>
    <x v="3"/>
    <n v="0"/>
  </r>
  <r>
    <x v="0"/>
    <x v="0"/>
    <x v="0"/>
    <x v="0"/>
    <x v="0"/>
    <x v="0"/>
    <x v="4"/>
    <n v="0"/>
  </r>
  <r>
    <x v="0"/>
    <x v="0"/>
    <x v="0"/>
    <x v="0"/>
    <x v="0"/>
    <x v="0"/>
    <x v="5"/>
    <n v="0"/>
  </r>
  <r>
    <x v="0"/>
    <x v="0"/>
    <x v="0"/>
    <x v="0"/>
    <x v="0"/>
    <x v="0"/>
    <x v="6"/>
    <n v="0"/>
  </r>
  <r>
    <x v="0"/>
    <x v="0"/>
    <x v="0"/>
    <x v="0"/>
    <x v="0"/>
    <x v="0"/>
    <x v="7"/>
    <n v="0"/>
  </r>
  <r>
    <x v="0"/>
    <x v="0"/>
    <x v="0"/>
    <x v="0"/>
    <x v="0"/>
    <x v="0"/>
    <x v="8"/>
    <n v="0"/>
  </r>
  <r>
    <x v="0"/>
    <x v="0"/>
    <x v="0"/>
    <x v="0"/>
    <x v="0"/>
    <x v="0"/>
    <x v="9"/>
    <n v="0"/>
  </r>
  <r>
    <x v="0"/>
    <x v="0"/>
    <x v="0"/>
    <x v="0"/>
    <x v="0"/>
    <x v="0"/>
    <x v="10"/>
    <n v="0"/>
  </r>
  <r>
    <x v="0"/>
    <x v="0"/>
    <x v="0"/>
    <x v="0"/>
    <x v="0"/>
    <x v="0"/>
    <x v="11"/>
    <n v="0"/>
  </r>
  <r>
    <x v="0"/>
    <x v="0"/>
    <x v="0"/>
    <x v="0"/>
    <x v="0"/>
    <x v="0"/>
    <x v="12"/>
    <n v="0"/>
  </r>
  <r>
    <x v="0"/>
    <x v="0"/>
    <x v="0"/>
    <x v="0"/>
    <x v="0"/>
    <x v="0"/>
    <x v="13"/>
    <n v="0"/>
  </r>
  <r>
    <x v="0"/>
    <x v="0"/>
    <x v="0"/>
    <x v="0"/>
    <x v="0"/>
    <x v="0"/>
    <x v="14"/>
    <n v="0"/>
  </r>
  <r>
    <x v="0"/>
    <x v="0"/>
    <x v="0"/>
    <x v="0"/>
    <x v="0"/>
    <x v="0"/>
    <x v="15"/>
    <n v="0"/>
  </r>
  <r>
    <x v="0"/>
    <x v="0"/>
    <x v="0"/>
    <x v="0"/>
    <x v="0"/>
    <x v="0"/>
    <x v="16"/>
    <n v="0"/>
  </r>
  <r>
    <x v="0"/>
    <x v="0"/>
    <x v="0"/>
    <x v="0"/>
    <x v="0"/>
    <x v="0"/>
    <x v="17"/>
    <n v="0"/>
  </r>
  <r>
    <x v="0"/>
    <x v="0"/>
    <x v="0"/>
    <x v="0"/>
    <x v="0"/>
    <x v="0"/>
    <x v="18"/>
    <n v="0"/>
  </r>
  <r>
    <x v="0"/>
    <x v="0"/>
    <x v="0"/>
    <x v="0"/>
    <x v="0"/>
    <x v="0"/>
    <x v="19"/>
    <n v="0"/>
  </r>
  <r>
    <x v="0"/>
    <x v="0"/>
    <x v="0"/>
    <x v="0"/>
    <x v="0"/>
    <x v="0"/>
    <x v="20"/>
    <n v="0"/>
  </r>
  <r>
    <x v="0"/>
    <x v="0"/>
    <x v="0"/>
    <x v="0"/>
    <x v="0"/>
    <x v="0"/>
    <x v="21"/>
    <n v="0"/>
  </r>
  <r>
    <x v="0"/>
    <x v="0"/>
    <x v="0"/>
    <x v="0"/>
    <x v="0"/>
    <x v="0"/>
    <x v="22"/>
    <n v="0"/>
  </r>
  <r>
    <x v="0"/>
    <x v="0"/>
    <x v="0"/>
    <x v="0"/>
    <x v="0"/>
    <x v="0"/>
    <x v="23"/>
    <n v="0"/>
  </r>
  <r>
    <x v="0"/>
    <x v="0"/>
    <x v="0"/>
    <x v="0"/>
    <x v="1"/>
    <x v="0"/>
    <x v="0"/>
    <n v="2.7090000000000001"/>
  </r>
  <r>
    <x v="0"/>
    <x v="0"/>
    <x v="0"/>
    <x v="0"/>
    <x v="1"/>
    <x v="0"/>
    <x v="1"/>
    <n v="2.7090000000000001"/>
  </r>
  <r>
    <x v="0"/>
    <x v="0"/>
    <x v="0"/>
    <x v="0"/>
    <x v="1"/>
    <x v="0"/>
    <x v="2"/>
    <n v="2.7090000000000001"/>
  </r>
  <r>
    <x v="0"/>
    <x v="0"/>
    <x v="0"/>
    <x v="0"/>
    <x v="1"/>
    <x v="0"/>
    <x v="3"/>
    <n v="2.7090000000000001"/>
  </r>
  <r>
    <x v="0"/>
    <x v="0"/>
    <x v="0"/>
    <x v="0"/>
    <x v="1"/>
    <x v="0"/>
    <x v="4"/>
    <n v="2.7090000000000001"/>
  </r>
  <r>
    <x v="0"/>
    <x v="0"/>
    <x v="0"/>
    <x v="0"/>
    <x v="1"/>
    <x v="0"/>
    <x v="5"/>
    <n v="2.7090000000000001"/>
  </r>
  <r>
    <x v="0"/>
    <x v="0"/>
    <x v="0"/>
    <x v="0"/>
    <x v="1"/>
    <x v="0"/>
    <x v="6"/>
    <n v="2.7090000000000001"/>
  </r>
  <r>
    <x v="0"/>
    <x v="0"/>
    <x v="0"/>
    <x v="0"/>
    <x v="1"/>
    <x v="0"/>
    <x v="7"/>
    <n v="2.7090000000000001"/>
  </r>
  <r>
    <x v="0"/>
    <x v="0"/>
    <x v="0"/>
    <x v="0"/>
    <x v="1"/>
    <x v="0"/>
    <x v="8"/>
    <n v="2.7090000000000001"/>
  </r>
  <r>
    <x v="0"/>
    <x v="0"/>
    <x v="0"/>
    <x v="0"/>
    <x v="1"/>
    <x v="0"/>
    <x v="9"/>
    <n v="2.7090000000000001"/>
  </r>
  <r>
    <x v="0"/>
    <x v="0"/>
    <x v="0"/>
    <x v="0"/>
    <x v="1"/>
    <x v="0"/>
    <x v="10"/>
    <n v="2.7090000000000001"/>
  </r>
  <r>
    <x v="0"/>
    <x v="0"/>
    <x v="0"/>
    <x v="0"/>
    <x v="1"/>
    <x v="0"/>
    <x v="11"/>
    <n v="2.7090000000000001"/>
  </r>
  <r>
    <x v="0"/>
    <x v="0"/>
    <x v="0"/>
    <x v="0"/>
    <x v="1"/>
    <x v="0"/>
    <x v="12"/>
    <n v="2.7090000000000001"/>
  </r>
  <r>
    <x v="0"/>
    <x v="0"/>
    <x v="0"/>
    <x v="0"/>
    <x v="1"/>
    <x v="0"/>
    <x v="13"/>
    <n v="2.7090000000000001"/>
  </r>
  <r>
    <x v="0"/>
    <x v="0"/>
    <x v="0"/>
    <x v="0"/>
    <x v="1"/>
    <x v="0"/>
    <x v="14"/>
    <n v="2.7090000000000001"/>
  </r>
  <r>
    <x v="0"/>
    <x v="0"/>
    <x v="0"/>
    <x v="0"/>
    <x v="1"/>
    <x v="0"/>
    <x v="15"/>
    <n v="2.7090000000000001"/>
  </r>
  <r>
    <x v="0"/>
    <x v="0"/>
    <x v="0"/>
    <x v="0"/>
    <x v="1"/>
    <x v="0"/>
    <x v="16"/>
    <n v="2.7090000000000001"/>
  </r>
  <r>
    <x v="0"/>
    <x v="0"/>
    <x v="0"/>
    <x v="0"/>
    <x v="1"/>
    <x v="0"/>
    <x v="17"/>
    <n v="2.7090000000000001"/>
  </r>
  <r>
    <x v="0"/>
    <x v="0"/>
    <x v="0"/>
    <x v="0"/>
    <x v="1"/>
    <x v="0"/>
    <x v="18"/>
    <n v="2.7090000000000001"/>
  </r>
  <r>
    <x v="0"/>
    <x v="0"/>
    <x v="0"/>
    <x v="0"/>
    <x v="1"/>
    <x v="0"/>
    <x v="19"/>
    <n v="2.7090000000000001"/>
  </r>
  <r>
    <x v="0"/>
    <x v="0"/>
    <x v="0"/>
    <x v="0"/>
    <x v="1"/>
    <x v="0"/>
    <x v="20"/>
    <n v="2.7090000000000001"/>
  </r>
  <r>
    <x v="0"/>
    <x v="0"/>
    <x v="0"/>
    <x v="0"/>
    <x v="1"/>
    <x v="0"/>
    <x v="21"/>
    <n v="2.7090000000000001"/>
  </r>
  <r>
    <x v="0"/>
    <x v="0"/>
    <x v="0"/>
    <x v="0"/>
    <x v="1"/>
    <x v="0"/>
    <x v="22"/>
    <n v="2.7090000000000001"/>
  </r>
  <r>
    <x v="0"/>
    <x v="0"/>
    <x v="0"/>
    <x v="0"/>
    <x v="1"/>
    <x v="0"/>
    <x v="23"/>
    <n v="2.7090000000000001"/>
  </r>
  <r>
    <x v="0"/>
    <x v="0"/>
    <x v="0"/>
    <x v="0"/>
    <x v="2"/>
    <x v="0"/>
    <x v="0"/>
    <n v="1.8781817692690099"/>
  </r>
  <r>
    <x v="0"/>
    <x v="0"/>
    <x v="0"/>
    <x v="0"/>
    <x v="2"/>
    <x v="0"/>
    <x v="1"/>
    <n v="0"/>
  </r>
  <r>
    <x v="0"/>
    <x v="0"/>
    <x v="0"/>
    <x v="0"/>
    <x v="2"/>
    <x v="0"/>
    <x v="2"/>
    <n v="0"/>
  </r>
  <r>
    <x v="0"/>
    <x v="0"/>
    <x v="0"/>
    <x v="0"/>
    <x v="2"/>
    <x v="0"/>
    <x v="3"/>
    <n v="1.3081328017549401"/>
  </r>
  <r>
    <x v="0"/>
    <x v="0"/>
    <x v="0"/>
    <x v="0"/>
    <x v="2"/>
    <x v="0"/>
    <x v="4"/>
    <n v="1.6424661447837201"/>
  </r>
  <r>
    <x v="0"/>
    <x v="0"/>
    <x v="0"/>
    <x v="0"/>
    <x v="2"/>
    <x v="0"/>
    <x v="5"/>
    <n v="0.94817730146264401"/>
  </r>
  <r>
    <x v="0"/>
    <x v="0"/>
    <x v="0"/>
    <x v="0"/>
    <x v="2"/>
    <x v="0"/>
    <x v="6"/>
    <n v="0"/>
  </r>
  <r>
    <x v="0"/>
    <x v="0"/>
    <x v="0"/>
    <x v="0"/>
    <x v="2"/>
    <x v="0"/>
    <x v="7"/>
    <n v="0.22516030002056001"/>
  </r>
  <r>
    <x v="0"/>
    <x v="0"/>
    <x v="0"/>
    <x v="0"/>
    <x v="2"/>
    <x v="0"/>
    <x v="8"/>
    <n v="2.1785486852723599"/>
  </r>
  <r>
    <x v="0"/>
    <x v="0"/>
    <x v="0"/>
    <x v="0"/>
    <x v="2"/>
    <x v="0"/>
    <x v="9"/>
    <n v="1.3978816996512999"/>
  </r>
  <r>
    <x v="0"/>
    <x v="0"/>
    <x v="0"/>
    <x v="0"/>
    <x v="2"/>
    <x v="0"/>
    <x v="10"/>
    <n v="1.88912164011185"/>
  </r>
  <r>
    <x v="0"/>
    <x v="0"/>
    <x v="0"/>
    <x v="0"/>
    <x v="2"/>
    <x v="0"/>
    <x v="11"/>
    <n v="4.0877118904556298"/>
  </r>
  <r>
    <x v="0"/>
    <x v="0"/>
    <x v="0"/>
    <x v="0"/>
    <x v="2"/>
    <x v="0"/>
    <x v="12"/>
    <n v="3.1603086648392398"/>
  </r>
  <r>
    <x v="0"/>
    <x v="0"/>
    <x v="0"/>
    <x v="0"/>
    <x v="2"/>
    <x v="0"/>
    <x v="13"/>
    <n v="4.9551789885197204"/>
  </r>
  <r>
    <x v="0"/>
    <x v="0"/>
    <x v="0"/>
    <x v="0"/>
    <x v="2"/>
    <x v="0"/>
    <x v="14"/>
    <n v="3.89885743695138"/>
  </r>
  <r>
    <x v="0"/>
    <x v="0"/>
    <x v="0"/>
    <x v="0"/>
    <x v="2"/>
    <x v="0"/>
    <x v="15"/>
    <n v="2.6343486670176901"/>
  </r>
  <r>
    <x v="0"/>
    <x v="0"/>
    <x v="0"/>
    <x v="0"/>
    <x v="2"/>
    <x v="0"/>
    <x v="16"/>
    <n v="4.16328275529672"/>
  </r>
  <r>
    <x v="0"/>
    <x v="0"/>
    <x v="0"/>
    <x v="0"/>
    <x v="2"/>
    <x v="0"/>
    <x v="17"/>
    <n v="2.2840776020076001"/>
  </r>
  <r>
    <x v="0"/>
    <x v="0"/>
    <x v="0"/>
    <x v="0"/>
    <x v="2"/>
    <x v="0"/>
    <x v="18"/>
    <n v="2.8393530523580099"/>
  </r>
  <r>
    <x v="0"/>
    <x v="0"/>
    <x v="0"/>
    <x v="0"/>
    <x v="2"/>
    <x v="0"/>
    <x v="19"/>
    <n v="4.2696267275748001"/>
  </r>
  <r>
    <x v="0"/>
    <x v="0"/>
    <x v="0"/>
    <x v="0"/>
    <x v="2"/>
    <x v="0"/>
    <x v="20"/>
    <n v="5.4180000000000001"/>
  </r>
  <r>
    <x v="0"/>
    <x v="0"/>
    <x v="0"/>
    <x v="0"/>
    <x v="2"/>
    <x v="0"/>
    <x v="21"/>
    <n v="5.4180000000000001"/>
  </r>
  <r>
    <x v="0"/>
    <x v="0"/>
    <x v="0"/>
    <x v="0"/>
    <x v="2"/>
    <x v="0"/>
    <x v="22"/>
    <n v="1.6515445275868801"/>
  </r>
  <r>
    <x v="0"/>
    <x v="0"/>
    <x v="0"/>
    <x v="0"/>
    <x v="2"/>
    <x v="0"/>
    <x v="23"/>
    <n v="0"/>
  </r>
  <r>
    <x v="0"/>
    <x v="0"/>
    <x v="0"/>
    <x v="0"/>
    <x v="3"/>
    <x v="0"/>
    <x v="0"/>
    <n v="0.34489369658414998"/>
  </r>
  <r>
    <x v="0"/>
    <x v="0"/>
    <x v="0"/>
    <x v="0"/>
    <x v="3"/>
    <x v="0"/>
    <x v="1"/>
    <n v="0.26491075136133102"/>
  </r>
  <r>
    <x v="0"/>
    <x v="0"/>
    <x v="0"/>
    <x v="0"/>
    <x v="3"/>
    <x v="0"/>
    <x v="2"/>
    <n v="0.24235958629603899"/>
  </r>
  <r>
    <x v="0"/>
    <x v="0"/>
    <x v="0"/>
    <x v="0"/>
    <x v="3"/>
    <x v="0"/>
    <x v="3"/>
    <n v="0.24943079848838401"/>
  </r>
  <r>
    <x v="0"/>
    <x v="0"/>
    <x v="0"/>
    <x v="0"/>
    <x v="3"/>
    <x v="0"/>
    <x v="4"/>
    <n v="0.10346879508258799"/>
  </r>
  <r>
    <x v="0"/>
    <x v="0"/>
    <x v="0"/>
    <x v="0"/>
    <x v="3"/>
    <x v="0"/>
    <x v="5"/>
    <n v="0"/>
  </r>
  <r>
    <x v="0"/>
    <x v="0"/>
    <x v="0"/>
    <x v="0"/>
    <x v="3"/>
    <x v="0"/>
    <x v="6"/>
    <n v="0"/>
  </r>
  <r>
    <x v="0"/>
    <x v="0"/>
    <x v="0"/>
    <x v="0"/>
    <x v="3"/>
    <x v="0"/>
    <x v="7"/>
    <n v="0"/>
  </r>
  <r>
    <x v="0"/>
    <x v="0"/>
    <x v="0"/>
    <x v="0"/>
    <x v="3"/>
    <x v="0"/>
    <x v="8"/>
    <n v="0"/>
  </r>
  <r>
    <x v="0"/>
    <x v="0"/>
    <x v="0"/>
    <x v="0"/>
    <x v="3"/>
    <x v="0"/>
    <x v="9"/>
    <n v="0"/>
  </r>
  <r>
    <x v="0"/>
    <x v="0"/>
    <x v="0"/>
    <x v="0"/>
    <x v="3"/>
    <x v="0"/>
    <x v="10"/>
    <n v="0"/>
  </r>
  <r>
    <x v="0"/>
    <x v="0"/>
    <x v="0"/>
    <x v="0"/>
    <x v="3"/>
    <x v="0"/>
    <x v="11"/>
    <n v="0"/>
  </r>
  <r>
    <x v="0"/>
    <x v="0"/>
    <x v="0"/>
    <x v="0"/>
    <x v="3"/>
    <x v="0"/>
    <x v="12"/>
    <n v="0"/>
  </r>
  <r>
    <x v="0"/>
    <x v="0"/>
    <x v="0"/>
    <x v="0"/>
    <x v="3"/>
    <x v="0"/>
    <x v="13"/>
    <n v="0"/>
  </r>
  <r>
    <x v="0"/>
    <x v="0"/>
    <x v="0"/>
    <x v="0"/>
    <x v="3"/>
    <x v="0"/>
    <x v="14"/>
    <n v="0"/>
  </r>
  <r>
    <x v="0"/>
    <x v="0"/>
    <x v="0"/>
    <x v="0"/>
    <x v="3"/>
    <x v="0"/>
    <x v="15"/>
    <n v="0"/>
  </r>
  <r>
    <x v="0"/>
    <x v="0"/>
    <x v="0"/>
    <x v="0"/>
    <x v="3"/>
    <x v="0"/>
    <x v="16"/>
    <n v="0"/>
  </r>
  <r>
    <x v="0"/>
    <x v="0"/>
    <x v="0"/>
    <x v="0"/>
    <x v="3"/>
    <x v="0"/>
    <x v="17"/>
    <n v="0"/>
  </r>
  <r>
    <x v="0"/>
    <x v="0"/>
    <x v="0"/>
    <x v="0"/>
    <x v="3"/>
    <x v="0"/>
    <x v="18"/>
    <n v="0"/>
  </r>
  <r>
    <x v="0"/>
    <x v="0"/>
    <x v="0"/>
    <x v="0"/>
    <x v="3"/>
    <x v="0"/>
    <x v="19"/>
    <n v="-0.35473100120905698"/>
  </r>
  <r>
    <x v="0"/>
    <x v="0"/>
    <x v="0"/>
    <x v="0"/>
    <x v="3"/>
    <x v="0"/>
    <x v="20"/>
    <n v="-0.16660187013239999"/>
  </r>
  <r>
    <x v="0"/>
    <x v="0"/>
    <x v="0"/>
    <x v="0"/>
    <x v="3"/>
    <x v="0"/>
    <x v="21"/>
    <n v="0"/>
  </r>
  <r>
    <x v="0"/>
    <x v="0"/>
    <x v="0"/>
    <x v="0"/>
    <x v="3"/>
    <x v="0"/>
    <x v="22"/>
    <n v="0"/>
  </r>
  <r>
    <x v="0"/>
    <x v="0"/>
    <x v="0"/>
    <x v="0"/>
    <x v="3"/>
    <x v="0"/>
    <x v="23"/>
    <n v="0"/>
  </r>
  <r>
    <x v="0"/>
    <x v="0"/>
    <x v="0"/>
    <x v="0"/>
    <x v="4"/>
    <x v="0"/>
    <x v="0"/>
    <n v="1.8"/>
  </r>
  <r>
    <x v="0"/>
    <x v="0"/>
    <x v="0"/>
    <x v="0"/>
    <x v="4"/>
    <x v="0"/>
    <x v="1"/>
    <n v="1.8"/>
  </r>
  <r>
    <x v="0"/>
    <x v="0"/>
    <x v="0"/>
    <x v="0"/>
    <x v="4"/>
    <x v="0"/>
    <x v="2"/>
    <n v="1.8"/>
  </r>
  <r>
    <x v="0"/>
    <x v="0"/>
    <x v="0"/>
    <x v="0"/>
    <x v="4"/>
    <x v="0"/>
    <x v="3"/>
    <n v="1.8"/>
  </r>
  <r>
    <x v="0"/>
    <x v="0"/>
    <x v="0"/>
    <x v="0"/>
    <x v="4"/>
    <x v="0"/>
    <x v="4"/>
    <n v="1.8"/>
  </r>
  <r>
    <x v="0"/>
    <x v="0"/>
    <x v="0"/>
    <x v="0"/>
    <x v="4"/>
    <x v="0"/>
    <x v="5"/>
    <n v="1.8"/>
  </r>
  <r>
    <x v="0"/>
    <x v="0"/>
    <x v="0"/>
    <x v="0"/>
    <x v="4"/>
    <x v="0"/>
    <x v="6"/>
    <n v="1.0045505863451201"/>
  </r>
  <r>
    <x v="0"/>
    <x v="0"/>
    <x v="0"/>
    <x v="0"/>
    <x v="4"/>
    <x v="0"/>
    <x v="7"/>
    <n v="0"/>
  </r>
  <r>
    <x v="0"/>
    <x v="0"/>
    <x v="0"/>
    <x v="0"/>
    <x v="4"/>
    <x v="0"/>
    <x v="8"/>
    <n v="0"/>
  </r>
  <r>
    <x v="0"/>
    <x v="0"/>
    <x v="0"/>
    <x v="0"/>
    <x v="4"/>
    <x v="0"/>
    <x v="9"/>
    <n v="0"/>
  </r>
  <r>
    <x v="0"/>
    <x v="0"/>
    <x v="0"/>
    <x v="0"/>
    <x v="4"/>
    <x v="0"/>
    <x v="10"/>
    <n v="1.8"/>
  </r>
  <r>
    <x v="0"/>
    <x v="0"/>
    <x v="0"/>
    <x v="0"/>
    <x v="4"/>
    <x v="0"/>
    <x v="11"/>
    <n v="1.8"/>
  </r>
  <r>
    <x v="0"/>
    <x v="0"/>
    <x v="0"/>
    <x v="0"/>
    <x v="4"/>
    <x v="0"/>
    <x v="12"/>
    <n v="1.8"/>
  </r>
  <r>
    <x v="0"/>
    <x v="0"/>
    <x v="0"/>
    <x v="0"/>
    <x v="4"/>
    <x v="0"/>
    <x v="13"/>
    <n v="1.8"/>
  </r>
  <r>
    <x v="0"/>
    <x v="0"/>
    <x v="0"/>
    <x v="0"/>
    <x v="4"/>
    <x v="0"/>
    <x v="14"/>
    <n v="1.8"/>
  </r>
  <r>
    <x v="0"/>
    <x v="0"/>
    <x v="0"/>
    <x v="0"/>
    <x v="4"/>
    <x v="0"/>
    <x v="15"/>
    <n v="1.8"/>
  </r>
  <r>
    <x v="0"/>
    <x v="0"/>
    <x v="0"/>
    <x v="0"/>
    <x v="4"/>
    <x v="0"/>
    <x v="16"/>
    <n v="1.8"/>
  </r>
  <r>
    <x v="0"/>
    <x v="0"/>
    <x v="0"/>
    <x v="0"/>
    <x v="4"/>
    <x v="0"/>
    <x v="17"/>
    <n v="1.8"/>
  </r>
  <r>
    <x v="0"/>
    <x v="0"/>
    <x v="0"/>
    <x v="0"/>
    <x v="4"/>
    <x v="0"/>
    <x v="18"/>
    <n v="1.8"/>
  </r>
  <r>
    <x v="0"/>
    <x v="0"/>
    <x v="0"/>
    <x v="0"/>
    <x v="4"/>
    <x v="0"/>
    <x v="19"/>
    <n v="1.8"/>
  </r>
  <r>
    <x v="0"/>
    <x v="0"/>
    <x v="0"/>
    <x v="0"/>
    <x v="4"/>
    <x v="0"/>
    <x v="20"/>
    <n v="1.8"/>
  </r>
  <r>
    <x v="0"/>
    <x v="0"/>
    <x v="0"/>
    <x v="0"/>
    <x v="4"/>
    <x v="0"/>
    <x v="21"/>
    <n v="1.8"/>
  </r>
  <r>
    <x v="0"/>
    <x v="0"/>
    <x v="0"/>
    <x v="0"/>
    <x v="4"/>
    <x v="0"/>
    <x v="22"/>
    <n v="1.8"/>
  </r>
  <r>
    <x v="0"/>
    <x v="0"/>
    <x v="0"/>
    <x v="0"/>
    <x v="4"/>
    <x v="0"/>
    <x v="23"/>
    <n v="1.8"/>
  </r>
  <r>
    <x v="0"/>
    <x v="0"/>
    <x v="0"/>
    <x v="1"/>
    <x v="5"/>
    <x v="0"/>
    <x v="0"/>
    <n v="0"/>
  </r>
  <r>
    <x v="0"/>
    <x v="0"/>
    <x v="0"/>
    <x v="1"/>
    <x v="5"/>
    <x v="0"/>
    <x v="1"/>
    <n v="0"/>
  </r>
  <r>
    <x v="0"/>
    <x v="0"/>
    <x v="0"/>
    <x v="1"/>
    <x v="5"/>
    <x v="0"/>
    <x v="2"/>
    <n v="0"/>
  </r>
  <r>
    <x v="0"/>
    <x v="0"/>
    <x v="0"/>
    <x v="1"/>
    <x v="5"/>
    <x v="0"/>
    <x v="3"/>
    <n v="0"/>
  </r>
  <r>
    <x v="0"/>
    <x v="0"/>
    <x v="0"/>
    <x v="1"/>
    <x v="5"/>
    <x v="0"/>
    <x v="4"/>
    <n v="0"/>
  </r>
  <r>
    <x v="0"/>
    <x v="0"/>
    <x v="0"/>
    <x v="1"/>
    <x v="5"/>
    <x v="0"/>
    <x v="5"/>
    <n v="0"/>
  </r>
  <r>
    <x v="0"/>
    <x v="0"/>
    <x v="0"/>
    <x v="1"/>
    <x v="5"/>
    <x v="0"/>
    <x v="6"/>
    <n v="0"/>
  </r>
  <r>
    <x v="0"/>
    <x v="0"/>
    <x v="0"/>
    <x v="1"/>
    <x v="5"/>
    <x v="0"/>
    <x v="7"/>
    <n v="0"/>
  </r>
  <r>
    <x v="0"/>
    <x v="0"/>
    <x v="0"/>
    <x v="1"/>
    <x v="5"/>
    <x v="0"/>
    <x v="8"/>
    <n v="0"/>
  </r>
  <r>
    <x v="0"/>
    <x v="0"/>
    <x v="0"/>
    <x v="1"/>
    <x v="5"/>
    <x v="0"/>
    <x v="9"/>
    <n v="0"/>
  </r>
  <r>
    <x v="0"/>
    <x v="0"/>
    <x v="0"/>
    <x v="1"/>
    <x v="5"/>
    <x v="0"/>
    <x v="10"/>
    <n v="0"/>
  </r>
  <r>
    <x v="0"/>
    <x v="0"/>
    <x v="0"/>
    <x v="1"/>
    <x v="5"/>
    <x v="0"/>
    <x v="11"/>
    <n v="0"/>
  </r>
  <r>
    <x v="0"/>
    <x v="0"/>
    <x v="0"/>
    <x v="1"/>
    <x v="5"/>
    <x v="0"/>
    <x v="12"/>
    <n v="0"/>
  </r>
  <r>
    <x v="0"/>
    <x v="0"/>
    <x v="0"/>
    <x v="1"/>
    <x v="5"/>
    <x v="0"/>
    <x v="13"/>
    <n v="0"/>
  </r>
  <r>
    <x v="0"/>
    <x v="0"/>
    <x v="0"/>
    <x v="1"/>
    <x v="5"/>
    <x v="0"/>
    <x v="14"/>
    <n v="0"/>
  </r>
  <r>
    <x v="0"/>
    <x v="0"/>
    <x v="0"/>
    <x v="1"/>
    <x v="5"/>
    <x v="0"/>
    <x v="15"/>
    <n v="0"/>
  </r>
  <r>
    <x v="0"/>
    <x v="0"/>
    <x v="0"/>
    <x v="1"/>
    <x v="5"/>
    <x v="0"/>
    <x v="16"/>
    <n v="0"/>
  </r>
  <r>
    <x v="0"/>
    <x v="0"/>
    <x v="0"/>
    <x v="1"/>
    <x v="5"/>
    <x v="0"/>
    <x v="17"/>
    <n v="0"/>
  </r>
  <r>
    <x v="0"/>
    <x v="0"/>
    <x v="0"/>
    <x v="1"/>
    <x v="5"/>
    <x v="0"/>
    <x v="18"/>
    <n v="0"/>
  </r>
  <r>
    <x v="0"/>
    <x v="0"/>
    <x v="0"/>
    <x v="1"/>
    <x v="5"/>
    <x v="0"/>
    <x v="19"/>
    <n v="0"/>
  </r>
  <r>
    <x v="0"/>
    <x v="0"/>
    <x v="0"/>
    <x v="1"/>
    <x v="5"/>
    <x v="0"/>
    <x v="20"/>
    <n v="0"/>
  </r>
  <r>
    <x v="0"/>
    <x v="0"/>
    <x v="0"/>
    <x v="1"/>
    <x v="5"/>
    <x v="0"/>
    <x v="21"/>
    <n v="0"/>
  </r>
  <r>
    <x v="0"/>
    <x v="0"/>
    <x v="0"/>
    <x v="1"/>
    <x v="5"/>
    <x v="0"/>
    <x v="22"/>
    <n v="0"/>
  </r>
  <r>
    <x v="0"/>
    <x v="0"/>
    <x v="0"/>
    <x v="1"/>
    <x v="5"/>
    <x v="0"/>
    <x v="23"/>
    <n v="0"/>
  </r>
  <r>
    <x v="0"/>
    <x v="0"/>
    <x v="0"/>
    <x v="1"/>
    <x v="2"/>
    <x v="0"/>
    <x v="0"/>
    <n v="2.9943168802223799"/>
  </r>
  <r>
    <x v="0"/>
    <x v="0"/>
    <x v="0"/>
    <x v="1"/>
    <x v="2"/>
    <x v="0"/>
    <x v="1"/>
    <n v="3.0559076153274698"/>
  </r>
  <r>
    <x v="0"/>
    <x v="0"/>
    <x v="0"/>
    <x v="1"/>
    <x v="2"/>
    <x v="0"/>
    <x v="2"/>
    <n v="3.0147098724360499"/>
  </r>
  <r>
    <x v="0"/>
    <x v="0"/>
    <x v="0"/>
    <x v="1"/>
    <x v="2"/>
    <x v="0"/>
    <x v="3"/>
    <n v="2.8325604275818801"/>
  </r>
  <r>
    <x v="0"/>
    <x v="0"/>
    <x v="0"/>
    <x v="1"/>
    <x v="2"/>
    <x v="0"/>
    <x v="4"/>
    <n v="2.6309908556113801"/>
  </r>
  <r>
    <x v="0"/>
    <x v="0"/>
    <x v="0"/>
    <x v="1"/>
    <x v="2"/>
    <x v="0"/>
    <x v="5"/>
    <n v="2.8828248129232801"/>
  </r>
  <r>
    <x v="0"/>
    <x v="0"/>
    <x v="0"/>
    <x v="1"/>
    <x v="2"/>
    <x v="0"/>
    <x v="6"/>
    <n v="2.1920291658393398"/>
  </r>
  <r>
    <x v="0"/>
    <x v="0"/>
    <x v="0"/>
    <x v="1"/>
    <x v="2"/>
    <x v="0"/>
    <x v="7"/>
    <n v="3.3381909583277198"/>
  </r>
  <r>
    <x v="0"/>
    <x v="0"/>
    <x v="0"/>
    <x v="1"/>
    <x v="2"/>
    <x v="0"/>
    <x v="8"/>
    <n v="3.28275826898824"/>
  </r>
  <r>
    <x v="0"/>
    <x v="0"/>
    <x v="0"/>
    <x v="1"/>
    <x v="2"/>
    <x v="0"/>
    <x v="9"/>
    <n v="3.7820673326844401"/>
  </r>
  <r>
    <x v="0"/>
    <x v="0"/>
    <x v="0"/>
    <x v="1"/>
    <x v="2"/>
    <x v="0"/>
    <x v="10"/>
    <n v="2.3116521570207702"/>
  </r>
  <r>
    <x v="0"/>
    <x v="0"/>
    <x v="0"/>
    <x v="1"/>
    <x v="2"/>
    <x v="0"/>
    <x v="11"/>
    <n v="2.5712169248037902"/>
  </r>
  <r>
    <x v="0"/>
    <x v="0"/>
    <x v="0"/>
    <x v="1"/>
    <x v="2"/>
    <x v="0"/>
    <x v="12"/>
    <n v="2.99808217573776"/>
  </r>
  <r>
    <x v="0"/>
    <x v="0"/>
    <x v="0"/>
    <x v="1"/>
    <x v="2"/>
    <x v="0"/>
    <x v="13"/>
    <n v="3.5137775466897598"/>
  </r>
  <r>
    <x v="0"/>
    <x v="0"/>
    <x v="0"/>
    <x v="1"/>
    <x v="2"/>
    <x v="0"/>
    <x v="14"/>
    <n v="3.8325831797543"/>
  </r>
  <r>
    <x v="0"/>
    <x v="0"/>
    <x v="0"/>
    <x v="1"/>
    <x v="2"/>
    <x v="0"/>
    <x v="15"/>
    <n v="4.6319798811204702"/>
  </r>
  <r>
    <x v="0"/>
    <x v="0"/>
    <x v="0"/>
    <x v="1"/>
    <x v="2"/>
    <x v="0"/>
    <x v="16"/>
    <n v="4.9934945703540299"/>
  </r>
  <r>
    <x v="0"/>
    <x v="0"/>
    <x v="0"/>
    <x v="1"/>
    <x v="2"/>
    <x v="0"/>
    <x v="17"/>
    <n v="5.7264627251198901"/>
  </r>
  <r>
    <x v="0"/>
    <x v="0"/>
    <x v="0"/>
    <x v="1"/>
    <x v="2"/>
    <x v="0"/>
    <x v="18"/>
    <n v="6.3201136586414099"/>
  </r>
  <r>
    <x v="0"/>
    <x v="0"/>
    <x v="0"/>
    <x v="1"/>
    <x v="2"/>
    <x v="0"/>
    <x v="19"/>
    <n v="6.5698768752613601"/>
  </r>
  <r>
    <x v="0"/>
    <x v="0"/>
    <x v="0"/>
    <x v="1"/>
    <x v="2"/>
    <x v="0"/>
    <x v="20"/>
    <n v="7.3538116798254496"/>
  </r>
  <r>
    <x v="0"/>
    <x v="0"/>
    <x v="0"/>
    <x v="1"/>
    <x v="2"/>
    <x v="0"/>
    <x v="21"/>
    <n v="7.3512399370697601"/>
  </r>
  <r>
    <x v="0"/>
    <x v="0"/>
    <x v="0"/>
    <x v="1"/>
    <x v="2"/>
    <x v="0"/>
    <x v="22"/>
    <n v="7.7706"/>
  </r>
  <r>
    <x v="0"/>
    <x v="0"/>
    <x v="0"/>
    <x v="1"/>
    <x v="2"/>
    <x v="0"/>
    <x v="23"/>
    <n v="7.6082409327692897"/>
  </r>
  <r>
    <x v="0"/>
    <x v="0"/>
    <x v="0"/>
    <x v="1"/>
    <x v="6"/>
    <x v="0"/>
    <x v="0"/>
    <n v="0"/>
  </r>
  <r>
    <x v="0"/>
    <x v="0"/>
    <x v="0"/>
    <x v="1"/>
    <x v="6"/>
    <x v="0"/>
    <x v="1"/>
    <n v="0"/>
  </r>
  <r>
    <x v="0"/>
    <x v="0"/>
    <x v="0"/>
    <x v="1"/>
    <x v="6"/>
    <x v="0"/>
    <x v="2"/>
    <n v="0"/>
  </r>
  <r>
    <x v="0"/>
    <x v="0"/>
    <x v="0"/>
    <x v="1"/>
    <x v="6"/>
    <x v="0"/>
    <x v="3"/>
    <n v="0"/>
  </r>
  <r>
    <x v="0"/>
    <x v="0"/>
    <x v="0"/>
    <x v="1"/>
    <x v="6"/>
    <x v="0"/>
    <x v="4"/>
    <n v="0"/>
  </r>
  <r>
    <x v="0"/>
    <x v="0"/>
    <x v="0"/>
    <x v="1"/>
    <x v="6"/>
    <x v="0"/>
    <x v="5"/>
    <n v="0"/>
  </r>
  <r>
    <x v="0"/>
    <x v="0"/>
    <x v="0"/>
    <x v="1"/>
    <x v="6"/>
    <x v="0"/>
    <x v="6"/>
    <n v="-0.342451758808966"/>
  </r>
  <r>
    <x v="0"/>
    <x v="0"/>
    <x v="0"/>
    <x v="1"/>
    <x v="6"/>
    <x v="0"/>
    <x v="7"/>
    <n v="-1.0953452781687101"/>
  </r>
  <r>
    <x v="0"/>
    <x v="0"/>
    <x v="0"/>
    <x v="1"/>
    <x v="6"/>
    <x v="0"/>
    <x v="8"/>
    <n v="-1.1953277176235499"/>
  </r>
  <r>
    <x v="0"/>
    <x v="0"/>
    <x v="0"/>
    <x v="1"/>
    <x v="6"/>
    <x v="0"/>
    <x v="9"/>
    <n v="-1.43112035914632"/>
  </r>
  <r>
    <x v="0"/>
    <x v="0"/>
    <x v="0"/>
    <x v="1"/>
    <x v="6"/>
    <x v="0"/>
    <x v="10"/>
    <n v="0"/>
  </r>
  <r>
    <x v="0"/>
    <x v="0"/>
    <x v="0"/>
    <x v="1"/>
    <x v="6"/>
    <x v="0"/>
    <x v="11"/>
    <n v="0"/>
  </r>
  <r>
    <x v="0"/>
    <x v="0"/>
    <x v="0"/>
    <x v="1"/>
    <x v="6"/>
    <x v="0"/>
    <x v="12"/>
    <n v="0"/>
  </r>
  <r>
    <x v="0"/>
    <x v="0"/>
    <x v="0"/>
    <x v="1"/>
    <x v="6"/>
    <x v="0"/>
    <x v="13"/>
    <n v="0"/>
  </r>
  <r>
    <x v="0"/>
    <x v="0"/>
    <x v="0"/>
    <x v="1"/>
    <x v="6"/>
    <x v="0"/>
    <x v="14"/>
    <n v="-0.61620079269246897"/>
  </r>
  <r>
    <x v="0"/>
    <x v="0"/>
    <x v="0"/>
    <x v="1"/>
    <x v="6"/>
    <x v="0"/>
    <x v="15"/>
    <n v="-0.60833391870415998"/>
  </r>
  <r>
    <x v="0"/>
    <x v="0"/>
    <x v="0"/>
    <x v="1"/>
    <x v="6"/>
    <x v="0"/>
    <x v="16"/>
    <n v="-1.1872576300881901"/>
  </r>
  <r>
    <x v="0"/>
    <x v="0"/>
    <x v="0"/>
    <x v="1"/>
    <x v="6"/>
    <x v="0"/>
    <x v="17"/>
    <n v="-1.43558466928724"/>
  </r>
  <r>
    <x v="0"/>
    <x v="0"/>
    <x v="0"/>
    <x v="1"/>
    <x v="6"/>
    <x v="0"/>
    <x v="18"/>
    <n v="-1.6020000000000001"/>
  </r>
  <r>
    <x v="0"/>
    <x v="0"/>
    <x v="0"/>
    <x v="1"/>
    <x v="6"/>
    <x v="0"/>
    <x v="19"/>
    <n v="-1.6020000000000001"/>
  </r>
  <r>
    <x v="0"/>
    <x v="0"/>
    <x v="0"/>
    <x v="1"/>
    <x v="6"/>
    <x v="0"/>
    <x v="20"/>
    <n v="-1.6020000000000001"/>
  </r>
  <r>
    <x v="0"/>
    <x v="0"/>
    <x v="0"/>
    <x v="1"/>
    <x v="6"/>
    <x v="0"/>
    <x v="21"/>
    <n v="-1.6020000000000001"/>
  </r>
  <r>
    <x v="0"/>
    <x v="0"/>
    <x v="0"/>
    <x v="1"/>
    <x v="6"/>
    <x v="0"/>
    <x v="22"/>
    <n v="-1.6020000000000001"/>
  </r>
  <r>
    <x v="0"/>
    <x v="0"/>
    <x v="0"/>
    <x v="1"/>
    <x v="6"/>
    <x v="0"/>
    <x v="23"/>
    <n v="-0.52917917855977203"/>
  </r>
  <r>
    <x v="0"/>
    <x v="0"/>
    <x v="0"/>
    <x v="1"/>
    <x v="3"/>
    <x v="0"/>
    <x v="0"/>
    <n v="0"/>
  </r>
  <r>
    <x v="0"/>
    <x v="0"/>
    <x v="0"/>
    <x v="1"/>
    <x v="3"/>
    <x v="0"/>
    <x v="1"/>
    <n v="0"/>
  </r>
  <r>
    <x v="0"/>
    <x v="0"/>
    <x v="0"/>
    <x v="1"/>
    <x v="3"/>
    <x v="0"/>
    <x v="2"/>
    <n v="0"/>
  </r>
  <r>
    <x v="0"/>
    <x v="0"/>
    <x v="0"/>
    <x v="1"/>
    <x v="3"/>
    <x v="0"/>
    <x v="3"/>
    <n v="0"/>
  </r>
  <r>
    <x v="0"/>
    <x v="0"/>
    <x v="0"/>
    <x v="1"/>
    <x v="3"/>
    <x v="0"/>
    <x v="4"/>
    <n v="0"/>
  </r>
  <r>
    <x v="0"/>
    <x v="0"/>
    <x v="0"/>
    <x v="1"/>
    <x v="3"/>
    <x v="0"/>
    <x v="5"/>
    <n v="0"/>
  </r>
  <r>
    <x v="0"/>
    <x v="0"/>
    <x v="0"/>
    <x v="1"/>
    <x v="3"/>
    <x v="0"/>
    <x v="6"/>
    <n v="0"/>
  </r>
  <r>
    <x v="0"/>
    <x v="0"/>
    <x v="0"/>
    <x v="1"/>
    <x v="3"/>
    <x v="0"/>
    <x v="7"/>
    <n v="0"/>
  </r>
  <r>
    <x v="0"/>
    <x v="0"/>
    <x v="0"/>
    <x v="1"/>
    <x v="3"/>
    <x v="0"/>
    <x v="8"/>
    <n v="0"/>
  </r>
  <r>
    <x v="0"/>
    <x v="0"/>
    <x v="0"/>
    <x v="1"/>
    <x v="3"/>
    <x v="0"/>
    <x v="9"/>
    <n v="0"/>
  </r>
  <r>
    <x v="0"/>
    <x v="0"/>
    <x v="0"/>
    <x v="1"/>
    <x v="3"/>
    <x v="0"/>
    <x v="10"/>
    <n v="0"/>
  </r>
  <r>
    <x v="0"/>
    <x v="0"/>
    <x v="0"/>
    <x v="1"/>
    <x v="3"/>
    <x v="0"/>
    <x v="11"/>
    <n v="0"/>
  </r>
  <r>
    <x v="0"/>
    <x v="0"/>
    <x v="0"/>
    <x v="1"/>
    <x v="3"/>
    <x v="0"/>
    <x v="12"/>
    <n v="0"/>
  </r>
  <r>
    <x v="0"/>
    <x v="0"/>
    <x v="0"/>
    <x v="1"/>
    <x v="3"/>
    <x v="0"/>
    <x v="13"/>
    <n v="0"/>
  </r>
  <r>
    <x v="0"/>
    <x v="0"/>
    <x v="0"/>
    <x v="1"/>
    <x v="3"/>
    <x v="0"/>
    <x v="14"/>
    <n v="0"/>
  </r>
  <r>
    <x v="0"/>
    <x v="0"/>
    <x v="0"/>
    <x v="1"/>
    <x v="3"/>
    <x v="0"/>
    <x v="15"/>
    <n v="0"/>
  </r>
  <r>
    <x v="0"/>
    <x v="0"/>
    <x v="0"/>
    <x v="1"/>
    <x v="3"/>
    <x v="0"/>
    <x v="16"/>
    <n v="0"/>
  </r>
  <r>
    <x v="0"/>
    <x v="0"/>
    <x v="0"/>
    <x v="1"/>
    <x v="3"/>
    <x v="0"/>
    <x v="17"/>
    <n v="0"/>
  </r>
  <r>
    <x v="0"/>
    <x v="0"/>
    <x v="0"/>
    <x v="1"/>
    <x v="3"/>
    <x v="0"/>
    <x v="18"/>
    <n v="0"/>
  </r>
  <r>
    <x v="0"/>
    <x v="0"/>
    <x v="0"/>
    <x v="1"/>
    <x v="3"/>
    <x v="0"/>
    <x v="19"/>
    <n v="0"/>
  </r>
  <r>
    <x v="0"/>
    <x v="0"/>
    <x v="0"/>
    <x v="1"/>
    <x v="3"/>
    <x v="0"/>
    <x v="20"/>
    <n v="0"/>
  </r>
  <r>
    <x v="0"/>
    <x v="0"/>
    <x v="0"/>
    <x v="1"/>
    <x v="3"/>
    <x v="0"/>
    <x v="21"/>
    <n v="0"/>
  </r>
  <r>
    <x v="0"/>
    <x v="0"/>
    <x v="0"/>
    <x v="1"/>
    <x v="3"/>
    <x v="0"/>
    <x v="22"/>
    <n v="0"/>
  </r>
  <r>
    <x v="0"/>
    <x v="0"/>
    <x v="0"/>
    <x v="1"/>
    <x v="3"/>
    <x v="0"/>
    <x v="23"/>
    <n v="0"/>
  </r>
  <r>
    <x v="0"/>
    <x v="0"/>
    <x v="0"/>
    <x v="1"/>
    <x v="7"/>
    <x v="0"/>
    <x v="0"/>
    <n v="0"/>
  </r>
  <r>
    <x v="0"/>
    <x v="0"/>
    <x v="0"/>
    <x v="1"/>
    <x v="7"/>
    <x v="0"/>
    <x v="1"/>
    <n v="0"/>
  </r>
  <r>
    <x v="0"/>
    <x v="0"/>
    <x v="0"/>
    <x v="1"/>
    <x v="7"/>
    <x v="0"/>
    <x v="2"/>
    <n v="0"/>
  </r>
  <r>
    <x v="0"/>
    <x v="0"/>
    <x v="0"/>
    <x v="1"/>
    <x v="7"/>
    <x v="0"/>
    <x v="3"/>
    <n v="0"/>
  </r>
  <r>
    <x v="0"/>
    <x v="0"/>
    <x v="0"/>
    <x v="1"/>
    <x v="7"/>
    <x v="0"/>
    <x v="4"/>
    <n v="0"/>
  </r>
  <r>
    <x v="0"/>
    <x v="0"/>
    <x v="0"/>
    <x v="1"/>
    <x v="7"/>
    <x v="0"/>
    <x v="5"/>
    <n v="0"/>
  </r>
  <r>
    <x v="0"/>
    <x v="0"/>
    <x v="0"/>
    <x v="1"/>
    <x v="7"/>
    <x v="0"/>
    <x v="6"/>
    <n v="0"/>
  </r>
  <r>
    <x v="0"/>
    <x v="0"/>
    <x v="0"/>
    <x v="1"/>
    <x v="7"/>
    <x v="0"/>
    <x v="7"/>
    <n v="0"/>
  </r>
  <r>
    <x v="0"/>
    <x v="0"/>
    <x v="0"/>
    <x v="1"/>
    <x v="7"/>
    <x v="0"/>
    <x v="8"/>
    <n v="0"/>
  </r>
  <r>
    <x v="0"/>
    <x v="0"/>
    <x v="0"/>
    <x v="1"/>
    <x v="7"/>
    <x v="0"/>
    <x v="9"/>
    <n v="0"/>
  </r>
  <r>
    <x v="0"/>
    <x v="0"/>
    <x v="0"/>
    <x v="1"/>
    <x v="7"/>
    <x v="0"/>
    <x v="10"/>
    <n v="0"/>
  </r>
  <r>
    <x v="0"/>
    <x v="0"/>
    <x v="0"/>
    <x v="1"/>
    <x v="7"/>
    <x v="0"/>
    <x v="11"/>
    <n v="0"/>
  </r>
  <r>
    <x v="0"/>
    <x v="0"/>
    <x v="0"/>
    <x v="1"/>
    <x v="7"/>
    <x v="0"/>
    <x v="12"/>
    <n v="0"/>
  </r>
  <r>
    <x v="0"/>
    <x v="0"/>
    <x v="0"/>
    <x v="1"/>
    <x v="7"/>
    <x v="0"/>
    <x v="13"/>
    <n v="0"/>
  </r>
  <r>
    <x v="0"/>
    <x v="0"/>
    <x v="0"/>
    <x v="1"/>
    <x v="7"/>
    <x v="0"/>
    <x v="14"/>
    <n v="0"/>
  </r>
  <r>
    <x v="0"/>
    <x v="0"/>
    <x v="0"/>
    <x v="1"/>
    <x v="7"/>
    <x v="0"/>
    <x v="15"/>
    <n v="0"/>
  </r>
  <r>
    <x v="0"/>
    <x v="0"/>
    <x v="0"/>
    <x v="1"/>
    <x v="7"/>
    <x v="0"/>
    <x v="16"/>
    <n v="0"/>
  </r>
  <r>
    <x v="0"/>
    <x v="0"/>
    <x v="0"/>
    <x v="1"/>
    <x v="7"/>
    <x v="0"/>
    <x v="17"/>
    <n v="0"/>
  </r>
  <r>
    <x v="0"/>
    <x v="0"/>
    <x v="0"/>
    <x v="1"/>
    <x v="7"/>
    <x v="0"/>
    <x v="18"/>
    <n v="0"/>
  </r>
  <r>
    <x v="0"/>
    <x v="0"/>
    <x v="0"/>
    <x v="1"/>
    <x v="7"/>
    <x v="0"/>
    <x v="19"/>
    <n v="0"/>
  </r>
  <r>
    <x v="0"/>
    <x v="0"/>
    <x v="0"/>
    <x v="1"/>
    <x v="7"/>
    <x v="0"/>
    <x v="20"/>
    <n v="0"/>
  </r>
  <r>
    <x v="0"/>
    <x v="0"/>
    <x v="0"/>
    <x v="1"/>
    <x v="7"/>
    <x v="0"/>
    <x v="21"/>
    <n v="0"/>
  </r>
  <r>
    <x v="0"/>
    <x v="0"/>
    <x v="0"/>
    <x v="1"/>
    <x v="7"/>
    <x v="0"/>
    <x v="22"/>
    <n v="0"/>
  </r>
  <r>
    <x v="0"/>
    <x v="0"/>
    <x v="0"/>
    <x v="1"/>
    <x v="7"/>
    <x v="0"/>
    <x v="23"/>
    <n v="0"/>
  </r>
  <r>
    <x v="0"/>
    <x v="0"/>
    <x v="0"/>
    <x v="1"/>
    <x v="8"/>
    <x v="0"/>
    <x v="0"/>
    <n v="0.435694443465384"/>
  </r>
  <r>
    <x v="0"/>
    <x v="0"/>
    <x v="0"/>
    <x v="1"/>
    <x v="8"/>
    <x v="0"/>
    <x v="1"/>
    <n v="0.419907968385138"/>
  </r>
  <r>
    <x v="0"/>
    <x v="0"/>
    <x v="0"/>
    <x v="1"/>
    <x v="8"/>
    <x v="0"/>
    <x v="2"/>
    <n v="0.45405685729555401"/>
  </r>
  <r>
    <x v="0"/>
    <x v="0"/>
    <x v="0"/>
    <x v="1"/>
    <x v="8"/>
    <x v="0"/>
    <x v="3"/>
    <n v="0.54"/>
  </r>
  <r>
    <x v="0"/>
    <x v="0"/>
    <x v="0"/>
    <x v="1"/>
    <x v="8"/>
    <x v="0"/>
    <x v="4"/>
    <n v="0.54"/>
  </r>
  <r>
    <x v="0"/>
    <x v="0"/>
    <x v="0"/>
    <x v="1"/>
    <x v="8"/>
    <x v="0"/>
    <x v="5"/>
    <n v="0"/>
  </r>
  <r>
    <x v="0"/>
    <x v="0"/>
    <x v="0"/>
    <x v="1"/>
    <x v="8"/>
    <x v="0"/>
    <x v="6"/>
    <n v="0.54"/>
  </r>
  <r>
    <x v="0"/>
    <x v="0"/>
    <x v="0"/>
    <x v="1"/>
    <x v="8"/>
    <x v="0"/>
    <x v="7"/>
    <n v="0"/>
  </r>
  <r>
    <x v="0"/>
    <x v="0"/>
    <x v="0"/>
    <x v="1"/>
    <x v="8"/>
    <x v="0"/>
    <x v="8"/>
    <n v="0"/>
  </r>
  <r>
    <x v="0"/>
    <x v="0"/>
    <x v="0"/>
    <x v="1"/>
    <x v="8"/>
    <x v="0"/>
    <x v="9"/>
    <n v="0"/>
  </r>
  <r>
    <x v="0"/>
    <x v="0"/>
    <x v="0"/>
    <x v="1"/>
    <x v="8"/>
    <x v="0"/>
    <x v="10"/>
    <n v="0.54"/>
  </r>
  <r>
    <x v="0"/>
    <x v="0"/>
    <x v="0"/>
    <x v="1"/>
    <x v="8"/>
    <x v="0"/>
    <x v="11"/>
    <n v="0.54"/>
  </r>
  <r>
    <x v="0"/>
    <x v="0"/>
    <x v="0"/>
    <x v="1"/>
    <x v="8"/>
    <x v="0"/>
    <x v="12"/>
    <n v="0.54"/>
  </r>
  <r>
    <x v="0"/>
    <x v="0"/>
    <x v="0"/>
    <x v="1"/>
    <x v="8"/>
    <x v="0"/>
    <x v="13"/>
    <n v="8.9502640835634598E-2"/>
  </r>
  <r>
    <x v="0"/>
    <x v="0"/>
    <x v="0"/>
    <x v="1"/>
    <x v="8"/>
    <x v="0"/>
    <x v="14"/>
    <n v="0.54"/>
  </r>
  <r>
    <x v="0"/>
    <x v="0"/>
    <x v="0"/>
    <x v="1"/>
    <x v="8"/>
    <x v="0"/>
    <x v="15"/>
    <n v="0"/>
  </r>
  <r>
    <x v="0"/>
    <x v="0"/>
    <x v="0"/>
    <x v="1"/>
    <x v="8"/>
    <x v="0"/>
    <x v="16"/>
    <n v="0.26002942304575999"/>
  </r>
  <r>
    <x v="0"/>
    <x v="0"/>
    <x v="0"/>
    <x v="1"/>
    <x v="8"/>
    <x v="0"/>
    <x v="17"/>
    <n v="0"/>
  </r>
  <r>
    <x v="0"/>
    <x v="0"/>
    <x v="0"/>
    <x v="1"/>
    <x v="8"/>
    <x v="0"/>
    <x v="18"/>
    <n v="0"/>
  </r>
  <r>
    <x v="0"/>
    <x v="0"/>
    <x v="0"/>
    <x v="1"/>
    <x v="8"/>
    <x v="0"/>
    <x v="19"/>
    <n v="0"/>
  </r>
  <r>
    <x v="0"/>
    <x v="0"/>
    <x v="0"/>
    <x v="1"/>
    <x v="8"/>
    <x v="0"/>
    <x v="20"/>
    <n v="0"/>
  </r>
  <r>
    <x v="0"/>
    <x v="0"/>
    <x v="0"/>
    <x v="1"/>
    <x v="8"/>
    <x v="0"/>
    <x v="21"/>
    <n v="0.307458315563369"/>
  </r>
  <r>
    <x v="0"/>
    <x v="0"/>
    <x v="0"/>
    <x v="1"/>
    <x v="8"/>
    <x v="0"/>
    <x v="22"/>
    <n v="0.490644801823926"/>
  </r>
  <r>
    <x v="0"/>
    <x v="0"/>
    <x v="0"/>
    <x v="1"/>
    <x v="8"/>
    <x v="0"/>
    <x v="23"/>
    <n v="8.3721363530998405E-2"/>
  </r>
  <r>
    <x v="0"/>
    <x v="0"/>
    <x v="0"/>
    <x v="2"/>
    <x v="5"/>
    <x v="0"/>
    <x v="0"/>
    <n v="-2.7090000000000001"/>
  </r>
  <r>
    <x v="0"/>
    <x v="0"/>
    <x v="0"/>
    <x v="2"/>
    <x v="5"/>
    <x v="0"/>
    <x v="1"/>
    <n v="-2.7090000000000001"/>
  </r>
  <r>
    <x v="0"/>
    <x v="0"/>
    <x v="0"/>
    <x v="2"/>
    <x v="5"/>
    <x v="0"/>
    <x v="2"/>
    <n v="-2.7090000000000001"/>
  </r>
  <r>
    <x v="0"/>
    <x v="0"/>
    <x v="0"/>
    <x v="2"/>
    <x v="5"/>
    <x v="0"/>
    <x v="3"/>
    <n v="-2.7090000000000001"/>
  </r>
  <r>
    <x v="0"/>
    <x v="0"/>
    <x v="0"/>
    <x v="2"/>
    <x v="5"/>
    <x v="0"/>
    <x v="4"/>
    <n v="-2.7090000000000001"/>
  </r>
  <r>
    <x v="0"/>
    <x v="0"/>
    <x v="0"/>
    <x v="2"/>
    <x v="5"/>
    <x v="0"/>
    <x v="5"/>
    <n v="-2.7090000000000001"/>
  </r>
  <r>
    <x v="0"/>
    <x v="0"/>
    <x v="0"/>
    <x v="2"/>
    <x v="5"/>
    <x v="0"/>
    <x v="6"/>
    <n v="-2.7090000000000001"/>
  </r>
  <r>
    <x v="0"/>
    <x v="0"/>
    <x v="0"/>
    <x v="2"/>
    <x v="5"/>
    <x v="0"/>
    <x v="7"/>
    <n v="-2.7090000000000001"/>
  </r>
  <r>
    <x v="0"/>
    <x v="0"/>
    <x v="0"/>
    <x v="2"/>
    <x v="5"/>
    <x v="0"/>
    <x v="8"/>
    <n v="-2.7090000000000001"/>
  </r>
  <r>
    <x v="0"/>
    <x v="0"/>
    <x v="0"/>
    <x v="2"/>
    <x v="5"/>
    <x v="0"/>
    <x v="9"/>
    <n v="-2.7090000000000001"/>
  </r>
  <r>
    <x v="0"/>
    <x v="0"/>
    <x v="0"/>
    <x v="2"/>
    <x v="5"/>
    <x v="0"/>
    <x v="10"/>
    <n v="-2.7090000000000001"/>
  </r>
  <r>
    <x v="0"/>
    <x v="0"/>
    <x v="0"/>
    <x v="2"/>
    <x v="5"/>
    <x v="0"/>
    <x v="11"/>
    <n v="-2.7090000000000001"/>
  </r>
  <r>
    <x v="0"/>
    <x v="0"/>
    <x v="0"/>
    <x v="2"/>
    <x v="5"/>
    <x v="0"/>
    <x v="12"/>
    <n v="-2.7090000000000001"/>
  </r>
  <r>
    <x v="0"/>
    <x v="0"/>
    <x v="0"/>
    <x v="2"/>
    <x v="5"/>
    <x v="0"/>
    <x v="13"/>
    <n v="-2.7090000000000001"/>
  </r>
  <r>
    <x v="0"/>
    <x v="0"/>
    <x v="0"/>
    <x v="2"/>
    <x v="5"/>
    <x v="0"/>
    <x v="14"/>
    <n v="-2.7090000000000001"/>
  </r>
  <r>
    <x v="0"/>
    <x v="0"/>
    <x v="0"/>
    <x v="2"/>
    <x v="5"/>
    <x v="0"/>
    <x v="15"/>
    <n v="-2.7090000000000001"/>
  </r>
  <r>
    <x v="0"/>
    <x v="0"/>
    <x v="0"/>
    <x v="2"/>
    <x v="5"/>
    <x v="0"/>
    <x v="16"/>
    <n v="-2.7090000000000001"/>
  </r>
  <r>
    <x v="0"/>
    <x v="0"/>
    <x v="0"/>
    <x v="2"/>
    <x v="5"/>
    <x v="0"/>
    <x v="17"/>
    <n v="-2.7090000000000001"/>
  </r>
  <r>
    <x v="0"/>
    <x v="0"/>
    <x v="0"/>
    <x v="2"/>
    <x v="5"/>
    <x v="0"/>
    <x v="18"/>
    <n v="-2.7090000000000001"/>
  </r>
  <r>
    <x v="0"/>
    <x v="0"/>
    <x v="0"/>
    <x v="2"/>
    <x v="5"/>
    <x v="0"/>
    <x v="19"/>
    <n v="-2.7090000000000001"/>
  </r>
  <r>
    <x v="0"/>
    <x v="0"/>
    <x v="0"/>
    <x v="2"/>
    <x v="5"/>
    <x v="0"/>
    <x v="20"/>
    <n v="-2.7090000000000001"/>
  </r>
  <r>
    <x v="0"/>
    <x v="0"/>
    <x v="0"/>
    <x v="2"/>
    <x v="5"/>
    <x v="0"/>
    <x v="21"/>
    <n v="-2.7090000000000001"/>
  </r>
  <r>
    <x v="0"/>
    <x v="0"/>
    <x v="0"/>
    <x v="2"/>
    <x v="5"/>
    <x v="0"/>
    <x v="22"/>
    <n v="-2.7090000000000001"/>
  </r>
  <r>
    <x v="0"/>
    <x v="0"/>
    <x v="0"/>
    <x v="2"/>
    <x v="5"/>
    <x v="0"/>
    <x v="23"/>
    <n v="-2.7090000000000001"/>
  </r>
  <r>
    <x v="0"/>
    <x v="0"/>
    <x v="0"/>
    <x v="2"/>
    <x v="2"/>
    <x v="0"/>
    <x v="0"/>
    <n v="-2.5142125948670699"/>
  </r>
  <r>
    <x v="0"/>
    <x v="0"/>
    <x v="0"/>
    <x v="2"/>
    <x v="2"/>
    <x v="0"/>
    <x v="1"/>
    <n v="-1.60987399609911"/>
  </r>
  <r>
    <x v="0"/>
    <x v="0"/>
    <x v="0"/>
    <x v="2"/>
    <x v="2"/>
    <x v="0"/>
    <x v="2"/>
    <n v="-1.8366210907971201"/>
  </r>
  <r>
    <x v="0"/>
    <x v="0"/>
    <x v="0"/>
    <x v="2"/>
    <x v="2"/>
    <x v="0"/>
    <x v="3"/>
    <n v="-2.5576821890020098"/>
  </r>
  <r>
    <x v="0"/>
    <x v="0"/>
    <x v="0"/>
    <x v="2"/>
    <x v="2"/>
    <x v="0"/>
    <x v="4"/>
    <n v="-2.7781216565261402"/>
  </r>
  <r>
    <x v="0"/>
    <x v="0"/>
    <x v="0"/>
    <x v="2"/>
    <x v="2"/>
    <x v="0"/>
    <x v="5"/>
    <n v="-1.1434217722964499"/>
  </r>
  <r>
    <x v="0"/>
    <x v="0"/>
    <x v="0"/>
    <x v="2"/>
    <x v="2"/>
    <x v="0"/>
    <x v="6"/>
    <n v="-1.29332465004161"/>
  </r>
  <r>
    <x v="0"/>
    <x v="0"/>
    <x v="0"/>
    <x v="2"/>
    <x v="2"/>
    <x v="0"/>
    <x v="7"/>
    <n v="-6.0221890550080603"/>
  </r>
  <r>
    <x v="0"/>
    <x v="0"/>
    <x v="0"/>
    <x v="2"/>
    <x v="2"/>
    <x v="0"/>
    <x v="8"/>
    <n v="-4.9616575775268199"/>
  </r>
  <r>
    <x v="0"/>
    <x v="0"/>
    <x v="0"/>
    <x v="2"/>
    <x v="2"/>
    <x v="0"/>
    <x v="9"/>
    <n v="-4.2540018471305396"/>
  </r>
  <r>
    <x v="0"/>
    <x v="0"/>
    <x v="0"/>
    <x v="2"/>
    <x v="2"/>
    <x v="0"/>
    <x v="10"/>
    <n v="-1.8354666743099599"/>
  </r>
  <r>
    <x v="0"/>
    <x v="0"/>
    <x v="0"/>
    <x v="2"/>
    <x v="2"/>
    <x v="0"/>
    <x v="11"/>
    <n v="-4.2312827746807899"/>
  </r>
  <r>
    <x v="0"/>
    <x v="0"/>
    <x v="0"/>
    <x v="2"/>
    <x v="2"/>
    <x v="0"/>
    <x v="12"/>
    <n v="-4.6181086643597302"/>
  </r>
  <r>
    <x v="0"/>
    <x v="0"/>
    <x v="0"/>
    <x v="2"/>
    <x v="2"/>
    <x v="0"/>
    <x v="13"/>
    <n v="-4.1036497691193796"/>
  </r>
  <r>
    <x v="0"/>
    <x v="0"/>
    <x v="0"/>
    <x v="2"/>
    <x v="2"/>
    <x v="0"/>
    <x v="14"/>
    <n v="-4.8243507435879698"/>
  </r>
  <r>
    <x v="0"/>
    <x v="0"/>
    <x v="0"/>
    <x v="2"/>
    <x v="2"/>
    <x v="0"/>
    <x v="15"/>
    <n v="-5.6590789068967098"/>
  </r>
  <r>
    <x v="0"/>
    <x v="0"/>
    <x v="0"/>
    <x v="2"/>
    <x v="2"/>
    <x v="0"/>
    <x v="16"/>
    <n v="-6.83881171710531"/>
  </r>
  <r>
    <x v="0"/>
    <x v="0"/>
    <x v="0"/>
    <x v="2"/>
    <x v="2"/>
    <x v="0"/>
    <x v="17"/>
    <n v="-6.2878849835676904"/>
  </r>
  <r>
    <x v="0"/>
    <x v="0"/>
    <x v="0"/>
    <x v="2"/>
    <x v="2"/>
    <x v="0"/>
    <x v="18"/>
    <n v="-7.2277666799780604"/>
  </r>
  <r>
    <x v="0"/>
    <x v="0"/>
    <x v="0"/>
    <x v="2"/>
    <x v="2"/>
    <x v="0"/>
    <x v="19"/>
    <n v="-9.9107548101305092"/>
  </r>
  <r>
    <x v="0"/>
    <x v="0"/>
    <x v="0"/>
    <x v="2"/>
    <x v="2"/>
    <x v="0"/>
    <x v="20"/>
    <n v="-7.9973948876532797"/>
  </r>
  <r>
    <x v="0"/>
    <x v="0"/>
    <x v="0"/>
    <x v="2"/>
    <x v="2"/>
    <x v="0"/>
    <x v="21"/>
    <n v="-9.3982247413354294"/>
  </r>
  <r>
    <x v="0"/>
    <x v="0"/>
    <x v="0"/>
    <x v="2"/>
    <x v="2"/>
    <x v="0"/>
    <x v="22"/>
    <n v="-8.3799553918811505"/>
  </r>
  <r>
    <x v="0"/>
    <x v="0"/>
    <x v="0"/>
    <x v="2"/>
    <x v="2"/>
    <x v="0"/>
    <x v="23"/>
    <n v="-6.7752724326994898"/>
  </r>
  <r>
    <x v="0"/>
    <x v="0"/>
    <x v="0"/>
    <x v="2"/>
    <x v="9"/>
    <x v="0"/>
    <x v="0"/>
    <n v="0"/>
  </r>
  <r>
    <x v="0"/>
    <x v="0"/>
    <x v="0"/>
    <x v="2"/>
    <x v="9"/>
    <x v="0"/>
    <x v="1"/>
    <n v="0"/>
  </r>
  <r>
    <x v="0"/>
    <x v="0"/>
    <x v="0"/>
    <x v="2"/>
    <x v="9"/>
    <x v="0"/>
    <x v="2"/>
    <n v="0"/>
  </r>
  <r>
    <x v="0"/>
    <x v="0"/>
    <x v="0"/>
    <x v="2"/>
    <x v="9"/>
    <x v="0"/>
    <x v="3"/>
    <n v="0"/>
  </r>
  <r>
    <x v="0"/>
    <x v="0"/>
    <x v="0"/>
    <x v="2"/>
    <x v="9"/>
    <x v="0"/>
    <x v="4"/>
    <n v="0"/>
  </r>
  <r>
    <x v="0"/>
    <x v="0"/>
    <x v="0"/>
    <x v="2"/>
    <x v="9"/>
    <x v="0"/>
    <x v="5"/>
    <n v="0"/>
  </r>
  <r>
    <x v="0"/>
    <x v="0"/>
    <x v="0"/>
    <x v="2"/>
    <x v="9"/>
    <x v="0"/>
    <x v="6"/>
    <n v="0"/>
  </r>
  <r>
    <x v="0"/>
    <x v="0"/>
    <x v="0"/>
    <x v="2"/>
    <x v="9"/>
    <x v="0"/>
    <x v="7"/>
    <n v="3.2075891493256599"/>
  </r>
  <r>
    <x v="0"/>
    <x v="0"/>
    <x v="0"/>
    <x v="2"/>
    <x v="9"/>
    <x v="0"/>
    <x v="8"/>
    <n v="3.2075891493256599"/>
  </r>
  <r>
    <x v="0"/>
    <x v="0"/>
    <x v="0"/>
    <x v="2"/>
    <x v="9"/>
    <x v="0"/>
    <x v="9"/>
    <n v="3.2075891493256599"/>
  </r>
  <r>
    <x v="0"/>
    <x v="0"/>
    <x v="0"/>
    <x v="2"/>
    <x v="9"/>
    <x v="0"/>
    <x v="10"/>
    <n v="3.2075891493256599"/>
  </r>
  <r>
    <x v="0"/>
    <x v="0"/>
    <x v="0"/>
    <x v="2"/>
    <x v="9"/>
    <x v="0"/>
    <x v="11"/>
    <n v="3.2075891493256599"/>
  </r>
  <r>
    <x v="0"/>
    <x v="0"/>
    <x v="0"/>
    <x v="2"/>
    <x v="9"/>
    <x v="0"/>
    <x v="12"/>
    <n v="3.2075891493256599"/>
  </r>
  <r>
    <x v="0"/>
    <x v="0"/>
    <x v="0"/>
    <x v="2"/>
    <x v="9"/>
    <x v="0"/>
    <x v="13"/>
    <n v="3.2075891493256599"/>
  </r>
  <r>
    <x v="0"/>
    <x v="0"/>
    <x v="0"/>
    <x v="2"/>
    <x v="9"/>
    <x v="0"/>
    <x v="14"/>
    <n v="3.2075891493256599"/>
  </r>
  <r>
    <x v="0"/>
    <x v="0"/>
    <x v="0"/>
    <x v="2"/>
    <x v="9"/>
    <x v="0"/>
    <x v="15"/>
    <n v="3.2075891493256599"/>
  </r>
  <r>
    <x v="0"/>
    <x v="0"/>
    <x v="0"/>
    <x v="2"/>
    <x v="9"/>
    <x v="0"/>
    <x v="16"/>
    <n v="3.2075891493256599"/>
  </r>
  <r>
    <x v="0"/>
    <x v="0"/>
    <x v="0"/>
    <x v="2"/>
    <x v="9"/>
    <x v="0"/>
    <x v="17"/>
    <n v="3.2075891493256599"/>
  </r>
  <r>
    <x v="0"/>
    <x v="0"/>
    <x v="0"/>
    <x v="2"/>
    <x v="9"/>
    <x v="0"/>
    <x v="18"/>
    <n v="3.2075891493256599"/>
  </r>
  <r>
    <x v="0"/>
    <x v="0"/>
    <x v="0"/>
    <x v="2"/>
    <x v="9"/>
    <x v="0"/>
    <x v="19"/>
    <n v="3.2075891493256599"/>
  </r>
  <r>
    <x v="0"/>
    <x v="0"/>
    <x v="0"/>
    <x v="2"/>
    <x v="9"/>
    <x v="0"/>
    <x v="20"/>
    <n v="3.2075891493256599"/>
  </r>
  <r>
    <x v="0"/>
    <x v="0"/>
    <x v="0"/>
    <x v="2"/>
    <x v="9"/>
    <x v="0"/>
    <x v="21"/>
    <n v="3.2075891493256599"/>
  </r>
  <r>
    <x v="0"/>
    <x v="0"/>
    <x v="0"/>
    <x v="2"/>
    <x v="9"/>
    <x v="0"/>
    <x v="22"/>
    <n v="2.67233396779723"/>
  </r>
  <r>
    <x v="0"/>
    <x v="0"/>
    <x v="0"/>
    <x v="2"/>
    <x v="9"/>
    <x v="0"/>
    <x v="23"/>
    <n v="1.6193315138809601"/>
  </r>
  <r>
    <x v="0"/>
    <x v="0"/>
    <x v="0"/>
    <x v="3"/>
    <x v="5"/>
    <x v="0"/>
    <x v="0"/>
    <n v="-1.8781817692690099"/>
  </r>
  <r>
    <x v="0"/>
    <x v="0"/>
    <x v="0"/>
    <x v="3"/>
    <x v="5"/>
    <x v="0"/>
    <x v="1"/>
    <n v="0"/>
  </r>
  <r>
    <x v="0"/>
    <x v="0"/>
    <x v="0"/>
    <x v="3"/>
    <x v="5"/>
    <x v="0"/>
    <x v="2"/>
    <n v="0"/>
  </r>
  <r>
    <x v="0"/>
    <x v="0"/>
    <x v="0"/>
    <x v="3"/>
    <x v="5"/>
    <x v="0"/>
    <x v="3"/>
    <n v="-1.3081328017549401"/>
  </r>
  <r>
    <x v="0"/>
    <x v="0"/>
    <x v="0"/>
    <x v="3"/>
    <x v="5"/>
    <x v="0"/>
    <x v="4"/>
    <n v="-1.6424661447837201"/>
  </r>
  <r>
    <x v="0"/>
    <x v="0"/>
    <x v="0"/>
    <x v="3"/>
    <x v="5"/>
    <x v="0"/>
    <x v="5"/>
    <n v="-0.94817730146264401"/>
  </r>
  <r>
    <x v="0"/>
    <x v="0"/>
    <x v="0"/>
    <x v="3"/>
    <x v="5"/>
    <x v="0"/>
    <x v="6"/>
    <n v="0"/>
  </r>
  <r>
    <x v="0"/>
    <x v="0"/>
    <x v="0"/>
    <x v="3"/>
    <x v="5"/>
    <x v="0"/>
    <x v="7"/>
    <n v="-0.22516030002056001"/>
  </r>
  <r>
    <x v="0"/>
    <x v="0"/>
    <x v="0"/>
    <x v="3"/>
    <x v="5"/>
    <x v="0"/>
    <x v="8"/>
    <n v="-2.1785486852723599"/>
  </r>
  <r>
    <x v="0"/>
    <x v="0"/>
    <x v="0"/>
    <x v="3"/>
    <x v="5"/>
    <x v="0"/>
    <x v="9"/>
    <n v="-1.3978816996512999"/>
  </r>
  <r>
    <x v="0"/>
    <x v="0"/>
    <x v="0"/>
    <x v="3"/>
    <x v="5"/>
    <x v="0"/>
    <x v="10"/>
    <n v="-1.88912164011185"/>
  </r>
  <r>
    <x v="0"/>
    <x v="0"/>
    <x v="0"/>
    <x v="3"/>
    <x v="5"/>
    <x v="0"/>
    <x v="11"/>
    <n v="-4.0877118904556298"/>
  </r>
  <r>
    <x v="0"/>
    <x v="0"/>
    <x v="0"/>
    <x v="3"/>
    <x v="5"/>
    <x v="0"/>
    <x v="12"/>
    <n v="-3.1603086648392398"/>
  </r>
  <r>
    <x v="0"/>
    <x v="0"/>
    <x v="0"/>
    <x v="3"/>
    <x v="5"/>
    <x v="0"/>
    <x v="13"/>
    <n v="-4.9551789885197204"/>
  </r>
  <r>
    <x v="0"/>
    <x v="0"/>
    <x v="0"/>
    <x v="3"/>
    <x v="5"/>
    <x v="0"/>
    <x v="14"/>
    <n v="-3.89885743695138"/>
  </r>
  <r>
    <x v="0"/>
    <x v="0"/>
    <x v="0"/>
    <x v="3"/>
    <x v="5"/>
    <x v="0"/>
    <x v="15"/>
    <n v="-2.6343486670176901"/>
  </r>
  <r>
    <x v="0"/>
    <x v="0"/>
    <x v="0"/>
    <x v="3"/>
    <x v="5"/>
    <x v="0"/>
    <x v="16"/>
    <n v="-4.16328275529672"/>
  </r>
  <r>
    <x v="0"/>
    <x v="0"/>
    <x v="0"/>
    <x v="3"/>
    <x v="5"/>
    <x v="0"/>
    <x v="17"/>
    <n v="-2.2840776020076001"/>
  </r>
  <r>
    <x v="0"/>
    <x v="0"/>
    <x v="0"/>
    <x v="3"/>
    <x v="5"/>
    <x v="0"/>
    <x v="18"/>
    <n v="-2.8393530523580099"/>
  </r>
  <r>
    <x v="0"/>
    <x v="0"/>
    <x v="0"/>
    <x v="3"/>
    <x v="5"/>
    <x v="0"/>
    <x v="19"/>
    <n v="-4.2696267275748001"/>
  </r>
  <r>
    <x v="0"/>
    <x v="0"/>
    <x v="0"/>
    <x v="3"/>
    <x v="5"/>
    <x v="0"/>
    <x v="20"/>
    <n v="-5.4180000000000001"/>
  </r>
  <r>
    <x v="0"/>
    <x v="0"/>
    <x v="0"/>
    <x v="3"/>
    <x v="5"/>
    <x v="0"/>
    <x v="21"/>
    <n v="-5.4180000000000001"/>
  </r>
  <r>
    <x v="0"/>
    <x v="0"/>
    <x v="0"/>
    <x v="3"/>
    <x v="5"/>
    <x v="0"/>
    <x v="22"/>
    <n v="-1.6515445275868801"/>
  </r>
  <r>
    <x v="0"/>
    <x v="0"/>
    <x v="0"/>
    <x v="3"/>
    <x v="5"/>
    <x v="0"/>
    <x v="23"/>
    <n v="0"/>
  </r>
  <r>
    <x v="0"/>
    <x v="0"/>
    <x v="0"/>
    <x v="3"/>
    <x v="0"/>
    <x v="0"/>
    <x v="0"/>
    <n v="-2.9943168802223799"/>
  </r>
  <r>
    <x v="0"/>
    <x v="0"/>
    <x v="0"/>
    <x v="3"/>
    <x v="0"/>
    <x v="0"/>
    <x v="1"/>
    <n v="-3.0559076153274698"/>
  </r>
  <r>
    <x v="0"/>
    <x v="0"/>
    <x v="0"/>
    <x v="3"/>
    <x v="0"/>
    <x v="0"/>
    <x v="2"/>
    <n v="-3.0147098724360499"/>
  </r>
  <r>
    <x v="0"/>
    <x v="0"/>
    <x v="0"/>
    <x v="3"/>
    <x v="0"/>
    <x v="0"/>
    <x v="3"/>
    <n v="-2.8325604275818801"/>
  </r>
  <r>
    <x v="0"/>
    <x v="0"/>
    <x v="0"/>
    <x v="3"/>
    <x v="0"/>
    <x v="0"/>
    <x v="4"/>
    <n v="-2.6309908556113801"/>
  </r>
  <r>
    <x v="0"/>
    <x v="0"/>
    <x v="0"/>
    <x v="3"/>
    <x v="0"/>
    <x v="0"/>
    <x v="5"/>
    <n v="-2.8828248129232801"/>
  </r>
  <r>
    <x v="0"/>
    <x v="0"/>
    <x v="0"/>
    <x v="3"/>
    <x v="0"/>
    <x v="0"/>
    <x v="6"/>
    <n v="-2.1920291658393398"/>
  </r>
  <r>
    <x v="0"/>
    <x v="0"/>
    <x v="0"/>
    <x v="3"/>
    <x v="0"/>
    <x v="0"/>
    <x v="7"/>
    <n v="-3.3381909583277198"/>
  </r>
  <r>
    <x v="0"/>
    <x v="0"/>
    <x v="0"/>
    <x v="3"/>
    <x v="0"/>
    <x v="0"/>
    <x v="8"/>
    <n v="-3.28275826898824"/>
  </r>
  <r>
    <x v="0"/>
    <x v="0"/>
    <x v="0"/>
    <x v="3"/>
    <x v="0"/>
    <x v="0"/>
    <x v="9"/>
    <n v="-3.7820673326844401"/>
  </r>
  <r>
    <x v="0"/>
    <x v="0"/>
    <x v="0"/>
    <x v="3"/>
    <x v="0"/>
    <x v="0"/>
    <x v="10"/>
    <n v="-2.3116521570207702"/>
  </r>
  <r>
    <x v="0"/>
    <x v="0"/>
    <x v="0"/>
    <x v="3"/>
    <x v="0"/>
    <x v="0"/>
    <x v="11"/>
    <n v="-2.5712169248037902"/>
  </r>
  <r>
    <x v="0"/>
    <x v="0"/>
    <x v="0"/>
    <x v="3"/>
    <x v="0"/>
    <x v="0"/>
    <x v="12"/>
    <n v="-2.99808217573776"/>
  </r>
  <r>
    <x v="0"/>
    <x v="0"/>
    <x v="0"/>
    <x v="3"/>
    <x v="0"/>
    <x v="0"/>
    <x v="13"/>
    <n v="-3.5137775466897598"/>
  </r>
  <r>
    <x v="0"/>
    <x v="0"/>
    <x v="0"/>
    <x v="3"/>
    <x v="0"/>
    <x v="0"/>
    <x v="14"/>
    <n v="-3.8325831797543"/>
  </r>
  <r>
    <x v="0"/>
    <x v="0"/>
    <x v="0"/>
    <x v="3"/>
    <x v="0"/>
    <x v="0"/>
    <x v="15"/>
    <n v="-4.6319798811204702"/>
  </r>
  <r>
    <x v="0"/>
    <x v="0"/>
    <x v="0"/>
    <x v="3"/>
    <x v="0"/>
    <x v="0"/>
    <x v="16"/>
    <n v="-4.9934945703540299"/>
  </r>
  <r>
    <x v="0"/>
    <x v="0"/>
    <x v="0"/>
    <x v="3"/>
    <x v="0"/>
    <x v="0"/>
    <x v="17"/>
    <n v="-5.7264627251198901"/>
  </r>
  <r>
    <x v="0"/>
    <x v="0"/>
    <x v="0"/>
    <x v="3"/>
    <x v="0"/>
    <x v="0"/>
    <x v="18"/>
    <n v="-6.3201136586414099"/>
  </r>
  <r>
    <x v="0"/>
    <x v="0"/>
    <x v="0"/>
    <x v="3"/>
    <x v="0"/>
    <x v="0"/>
    <x v="19"/>
    <n v="-6.5698768752613601"/>
  </r>
  <r>
    <x v="0"/>
    <x v="0"/>
    <x v="0"/>
    <x v="3"/>
    <x v="0"/>
    <x v="0"/>
    <x v="20"/>
    <n v="-7.3538116798254496"/>
  </r>
  <r>
    <x v="0"/>
    <x v="0"/>
    <x v="0"/>
    <x v="3"/>
    <x v="0"/>
    <x v="0"/>
    <x v="21"/>
    <n v="-7.3512399370697601"/>
  </r>
  <r>
    <x v="0"/>
    <x v="0"/>
    <x v="0"/>
    <x v="3"/>
    <x v="0"/>
    <x v="0"/>
    <x v="22"/>
    <n v="-7.7706"/>
  </r>
  <r>
    <x v="0"/>
    <x v="0"/>
    <x v="0"/>
    <x v="3"/>
    <x v="0"/>
    <x v="0"/>
    <x v="23"/>
    <n v="-7.6082409327692897"/>
  </r>
  <r>
    <x v="0"/>
    <x v="0"/>
    <x v="0"/>
    <x v="3"/>
    <x v="1"/>
    <x v="0"/>
    <x v="0"/>
    <n v="2.5142125948670699"/>
  </r>
  <r>
    <x v="0"/>
    <x v="0"/>
    <x v="0"/>
    <x v="3"/>
    <x v="1"/>
    <x v="0"/>
    <x v="1"/>
    <n v="1.60987399609911"/>
  </r>
  <r>
    <x v="0"/>
    <x v="0"/>
    <x v="0"/>
    <x v="3"/>
    <x v="1"/>
    <x v="0"/>
    <x v="2"/>
    <n v="1.8366210907971201"/>
  </r>
  <r>
    <x v="0"/>
    <x v="0"/>
    <x v="0"/>
    <x v="3"/>
    <x v="1"/>
    <x v="0"/>
    <x v="3"/>
    <n v="2.5576821890020098"/>
  </r>
  <r>
    <x v="0"/>
    <x v="0"/>
    <x v="0"/>
    <x v="3"/>
    <x v="1"/>
    <x v="0"/>
    <x v="4"/>
    <n v="2.7781216565261402"/>
  </r>
  <r>
    <x v="0"/>
    <x v="0"/>
    <x v="0"/>
    <x v="3"/>
    <x v="1"/>
    <x v="0"/>
    <x v="5"/>
    <n v="1.1434217722964499"/>
  </r>
  <r>
    <x v="0"/>
    <x v="0"/>
    <x v="0"/>
    <x v="3"/>
    <x v="1"/>
    <x v="0"/>
    <x v="6"/>
    <n v="1.29332465004161"/>
  </r>
  <r>
    <x v="0"/>
    <x v="0"/>
    <x v="0"/>
    <x v="3"/>
    <x v="1"/>
    <x v="0"/>
    <x v="7"/>
    <n v="6.0221890550080603"/>
  </r>
  <r>
    <x v="0"/>
    <x v="0"/>
    <x v="0"/>
    <x v="3"/>
    <x v="1"/>
    <x v="0"/>
    <x v="8"/>
    <n v="4.9616575775268199"/>
  </r>
  <r>
    <x v="0"/>
    <x v="0"/>
    <x v="0"/>
    <x v="3"/>
    <x v="1"/>
    <x v="0"/>
    <x v="9"/>
    <n v="4.2540018471305396"/>
  </r>
  <r>
    <x v="0"/>
    <x v="0"/>
    <x v="0"/>
    <x v="3"/>
    <x v="1"/>
    <x v="0"/>
    <x v="10"/>
    <n v="1.8354666743099599"/>
  </r>
  <r>
    <x v="0"/>
    <x v="0"/>
    <x v="0"/>
    <x v="3"/>
    <x v="1"/>
    <x v="0"/>
    <x v="11"/>
    <n v="4.2312827746807899"/>
  </r>
  <r>
    <x v="0"/>
    <x v="0"/>
    <x v="0"/>
    <x v="3"/>
    <x v="1"/>
    <x v="0"/>
    <x v="12"/>
    <n v="4.6181086643597302"/>
  </r>
  <r>
    <x v="0"/>
    <x v="0"/>
    <x v="0"/>
    <x v="3"/>
    <x v="1"/>
    <x v="0"/>
    <x v="13"/>
    <n v="4.1036497691193796"/>
  </r>
  <r>
    <x v="0"/>
    <x v="0"/>
    <x v="0"/>
    <x v="3"/>
    <x v="1"/>
    <x v="0"/>
    <x v="14"/>
    <n v="4.8243507435879698"/>
  </r>
  <r>
    <x v="0"/>
    <x v="0"/>
    <x v="0"/>
    <x v="3"/>
    <x v="1"/>
    <x v="0"/>
    <x v="15"/>
    <n v="5.6590789068967098"/>
  </r>
  <r>
    <x v="0"/>
    <x v="0"/>
    <x v="0"/>
    <x v="3"/>
    <x v="1"/>
    <x v="0"/>
    <x v="16"/>
    <n v="6.83881171710531"/>
  </r>
  <r>
    <x v="0"/>
    <x v="0"/>
    <x v="0"/>
    <x v="3"/>
    <x v="1"/>
    <x v="0"/>
    <x v="17"/>
    <n v="6.2878849835676904"/>
  </r>
  <r>
    <x v="0"/>
    <x v="0"/>
    <x v="0"/>
    <x v="3"/>
    <x v="1"/>
    <x v="0"/>
    <x v="18"/>
    <n v="7.2277666799780604"/>
  </r>
  <r>
    <x v="0"/>
    <x v="0"/>
    <x v="0"/>
    <x v="3"/>
    <x v="1"/>
    <x v="0"/>
    <x v="19"/>
    <n v="9.9107548101305092"/>
  </r>
  <r>
    <x v="0"/>
    <x v="0"/>
    <x v="0"/>
    <x v="3"/>
    <x v="1"/>
    <x v="0"/>
    <x v="20"/>
    <n v="7.9973948876532797"/>
  </r>
  <r>
    <x v="0"/>
    <x v="0"/>
    <x v="0"/>
    <x v="3"/>
    <x v="1"/>
    <x v="0"/>
    <x v="21"/>
    <n v="9.3982247413354294"/>
  </r>
  <r>
    <x v="0"/>
    <x v="0"/>
    <x v="0"/>
    <x v="3"/>
    <x v="1"/>
    <x v="0"/>
    <x v="22"/>
    <n v="8.3799553918811505"/>
  </r>
  <r>
    <x v="0"/>
    <x v="0"/>
    <x v="0"/>
    <x v="3"/>
    <x v="1"/>
    <x v="0"/>
    <x v="23"/>
    <n v="6.7752724326994898"/>
  </r>
  <r>
    <x v="0"/>
    <x v="0"/>
    <x v="0"/>
    <x v="3"/>
    <x v="9"/>
    <x v="0"/>
    <x v="0"/>
    <n v="3.51"/>
  </r>
  <r>
    <x v="0"/>
    <x v="0"/>
    <x v="0"/>
    <x v="3"/>
    <x v="9"/>
    <x v="0"/>
    <x v="1"/>
    <n v="3.51"/>
  </r>
  <r>
    <x v="0"/>
    <x v="0"/>
    <x v="0"/>
    <x v="3"/>
    <x v="9"/>
    <x v="0"/>
    <x v="2"/>
    <n v="3.51"/>
  </r>
  <r>
    <x v="0"/>
    <x v="0"/>
    <x v="0"/>
    <x v="3"/>
    <x v="9"/>
    <x v="0"/>
    <x v="3"/>
    <n v="3.51"/>
  </r>
  <r>
    <x v="0"/>
    <x v="0"/>
    <x v="0"/>
    <x v="3"/>
    <x v="9"/>
    <x v="0"/>
    <x v="4"/>
    <n v="2.4282726271434498"/>
  </r>
  <r>
    <x v="0"/>
    <x v="0"/>
    <x v="0"/>
    <x v="3"/>
    <x v="9"/>
    <x v="0"/>
    <x v="5"/>
    <n v="2.49716687890042"/>
  </r>
  <r>
    <x v="0"/>
    <x v="0"/>
    <x v="0"/>
    <x v="3"/>
    <x v="9"/>
    <x v="0"/>
    <x v="6"/>
    <n v="3.51"/>
  </r>
  <r>
    <x v="0"/>
    <x v="0"/>
    <x v="0"/>
    <x v="3"/>
    <x v="9"/>
    <x v="0"/>
    <x v="7"/>
    <n v="3.51"/>
  </r>
  <r>
    <x v="0"/>
    <x v="0"/>
    <x v="0"/>
    <x v="3"/>
    <x v="9"/>
    <x v="0"/>
    <x v="8"/>
    <n v="3.51"/>
  </r>
  <r>
    <x v="0"/>
    <x v="0"/>
    <x v="0"/>
    <x v="3"/>
    <x v="9"/>
    <x v="0"/>
    <x v="9"/>
    <n v="3.51"/>
  </r>
  <r>
    <x v="0"/>
    <x v="0"/>
    <x v="0"/>
    <x v="3"/>
    <x v="9"/>
    <x v="0"/>
    <x v="10"/>
    <n v="3.51"/>
  </r>
  <r>
    <x v="0"/>
    <x v="0"/>
    <x v="0"/>
    <x v="3"/>
    <x v="9"/>
    <x v="0"/>
    <x v="11"/>
    <n v="3.51"/>
  </r>
  <r>
    <x v="0"/>
    <x v="0"/>
    <x v="0"/>
    <x v="3"/>
    <x v="9"/>
    <x v="0"/>
    <x v="12"/>
    <n v="3.51"/>
  </r>
  <r>
    <x v="0"/>
    <x v="0"/>
    <x v="0"/>
    <x v="3"/>
    <x v="9"/>
    <x v="0"/>
    <x v="13"/>
    <n v="3.51"/>
  </r>
  <r>
    <x v="0"/>
    <x v="0"/>
    <x v="0"/>
    <x v="3"/>
    <x v="9"/>
    <x v="0"/>
    <x v="14"/>
    <n v="3.51"/>
  </r>
  <r>
    <x v="0"/>
    <x v="0"/>
    <x v="0"/>
    <x v="3"/>
    <x v="9"/>
    <x v="0"/>
    <x v="15"/>
    <n v="3.51"/>
  </r>
  <r>
    <x v="0"/>
    <x v="0"/>
    <x v="0"/>
    <x v="3"/>
    <x v="9"/>
    <x v="0"/>
    <x v="16"/>
    <n v="3.51"/>
  </r>
  <r>
    <x v="0"/>
    <x v="0"/>
    <x v="0"/>
    <x v="3"/>
    <x v="9"/>
    <x v="0"/>
    <x v="17"/>
    <n v="3.51"/>
  </r>
  <r>
    <x v="0"/>
    <x v="0"/>
    <x v="0"/>
    <x v="3"/>
    <x v="9"/>
    <x v="0"/>
    <x v="18"/>
    <n v="3.51"/>
  </r>
  <r>
    <x v="0"/>
    <x v="0"/>
    <x v="0"/>
    <x v="3"/>
    <x v="9"/>
    <x v="0"/>
    <x v="19"/>
    <n v="3.51"/>
  </r>
  <r>
    <x v="0"/>
    <x v="0"/>
    <x v="0"/>
    <x v="3"/>
    <x v="9"/>
    <x v="0"/>
    <x v="20"/>
    <n v="3.51"/>
  </r>
  <r>
    <x v="0"/>
    <x v="0"/>
    <x v="0"/>
    <x v="3"/>
    <x v="9"/>
    <x v="0"/>
    <x v="21"/>
    <n v="3.51"/>
  </r>
  <r>
    <x v="0"/>
    <x v="0"/>
    <x v="0"/>
    <x v="3"/>
    <x v="9"/>
    <x v="0"/>
    <x v="22"/>
    <n v="3.51"/>
  </r>
  <r>
    <x v="0"/>
    <x v="0"/>
    <x v="0"/>
    <x v="3"/>
    <x v="9"/>
    <x v="0"/>
    <x v="23"/>
    <n v="3.51"/>
  </r>
  <r>
    <x v="0"/>
    <x v="0"/>
    <x v="0"/>
    <x v="4"/>
    <x v="0"/>
    <x v="0"/>
    <x v="0"/>
    <n v="0"/>
  </r>
  <r>
    <x v="0"/>
    <x v="0"/>
    <x v="0"/>
    <x v="4"/>
    <x v="0"/>
    <x v="0"/>
    <x v="1"/>
    <n v="0"/>
  </r>
  <r>
    <x v="0"/>
    <x v="0"/>
    <x v="0"/>
    <x v="4"/>
    <x v="0"/>
    <x v="0"/>
    <x v="2"/>
    <n v="0"/>
  </r>
  <r>
    <x v="0"/>
    <x v="0"/>
    <x v="0"/>
    <x v="4"/>
    <x v="0"/>
    <x v="0"/>
    <x v="3"/>
    <n v="0"/>
  </r>
  <r>
    <x v="0"/>
    <x v="0"/>
    <x v="0"/>
    <x v="4"/>
    <x v="0"/>
    <x v="0"/>
    <x v="4"/>
    <n v="0"/>
  </r>
  <r>
    <x v="0"/>
    <x v="0"/>
    <x v="0"/>
    <x v="4"/>
    <x v="0"/>
    <x v="0"/>
    <x v="5"/>
    <n v="0"/>
  </r>
  <r>
    <x v="0"/>
    <x v="0"/>
    <x v="0"/>
    <x v="4"/>
    <x v="0"/>
    <x v="0"/>
    <x v="6"/>
    <n v="0.342451758808966"/>
  </r>
  <r>
    <x v="0"/>
    <x v="0"/>
    <x v="0"/>
    <x v="4"/>
    <x v="0"/>
    <x v="0"/>
    <x v="7"/>
    <n v="1.0953452781687101"/>
  </r>
  <r>
    <x v="0"/>
    <x v="0"/>
    <x v="0"/>
    <x v="4"/>
    <x v="0"/>
    <x v="0"/>
    <x v="8"/>
    <n v="1.1953277176235499"/>
  </r>
  <r>
    <x v="0"/>
    <x v="0"/>
    <x v="0"/>
    <x v="4"/>
    <x v="0"/>
    <x v="0"/>
    <x v="9"/>
    <n v="1.43112035914632"/>
  </r>
  <r>
    <x v="0"/>
    <x v="0"/>
    <x v="0"/>
    <x v="4"/>
    <x v="0"/>
    <x v="0"/>
    <x v="10"/>
    <n v="0"/>
  </r>
  <r>
    <x v="0"/>
    <x v="0"/>
    <x v="0"/>
    <x v="4"/>
    <x v="0"/>
    <x v="0"/>
    <x v="11"/>
    <n v="0"/>
  </r>
  <r>
    <x v="0"/>
    <x v="0"/>
    <x v="0"/>
    <x v="4"/>
    <x v="0"/>
    <x v="0"/>
    <x v="12"/>
    <n v="0"/>
  </r>
  <r>
    <x v="0"/>
    <x v="0"/>
    <x v="0"/>
    <x v="4"/>
    <x v="0"/>
    <x v="0"/>
    <x v="13"/>
    <n v="0"/>
  </r>
  <r>
    <x v="0"/>
    <x v="0"/>
    <x v="0"/>
    <x v="4"/>
    <x v="0"/>
    <x v="0"/>
    <x v="14"/>
    <n v="0.61620079269246897"/>
  </r>
  <r>
    <x v="0"/>
    <x v="0"/>
    <x v="0"/>
    <x v="4"/>
    <x v="0"/>
    <x v="0"/>
    <x v="15"/>
    <n v="0.60833391870415998"/>
  </r>
  <r>
    <x v="0"/>
    <x v="0"/>
    <x v="0"/>
    <x v="4"/>
    <x v="0"/>
    <x v="0"/>
    <x v="16"/>
    <n v="1.1872576300881901"/>
  </r>
  <r>
    <x v="0"/>
    <x v="0"/>
    <x v="0"/>
    <x v="4"/>
    <x v="0"/>
    <x v="0"/>
    <x v="17"/>
    <n v="1.43558466928724"/>
  </r>
  <r>
    <x v="0"/>
    <x v="0"/>
    <x v="0"/>
    <x v="4"/>
    <x v="0"/>
    <x v="0"/>
    <x v="18"/>
    <n v="1.6020000000000001"/>
  </r>
  <r>
    <x v="0"/>
    <x v="0"/>
    <x v="0"/>
    <x v="4"/>
    <x v="0"/>
    <x v="0"/>
    <x v="19"/>
    <n v="1.6020000000000001"/>
  </r>
  <r>
    <x v="0"/>
    <x v="0"/>
    <x v="0"/>
    <x v="4"/>
    <x v="0"/>
    <x v="0"/>
    <x v="20"/>
    <n v="1.6020000000000001"/>
  </r>
  <r>
    <x v="0"/>
    <x v="0"/>
    <x v="0"/>
    <x v="4"/>
    <x v="0"/>
    <x v="0"/>
    <x v="21"/>
    <n v="1.6020000000000001"/>
  </r>
  <r>
    <x v="0"/>
    <x v="0"/>
    <x v="0"/>
    <x v="4"/>
    <x v="0"/>
    <x v="0"/>
    <x v="22"/>
    <n v="1.6020000000000001"/>
  </r>
  <r>
    <x v="0"/>
    <x v="0"/>
    <x v="0"/>
    <x v="4"/>
    <x v="0"/>
    <x v="0"/>
    <x v="23"/>
    <n v="0.52917917855977203"/>
  </r>
  <r>
    <x v="0"/>
    <x v="0"/>
    <x v="0"/>
    <x v="4"/>
    <x v="3"/>
    <x v="0"/>
    <x v="0"/>
    <n v="0"/>
  </r>
  <r>
    <x v="0"/>
    <x v="0"/>
    <x v="0"/>
    <x v="4"/>
    <x v="3"/>
    <x v="0"/>
    <x v="1"/>
    <n v="0"/>
  </r>
  <r>
    <x v="0"/>
    <x v="0"/>
    <x v="0"/>
    <x v="4"/>
    <x v="3"/>
    <x v="0"/>
    <x v="2"/>
    <n v="0"/>
  </r>
  <r>
    <x v="0"/>
    <x v="0"/>
    <x v="0"/>
    <x v="4"/>
    <x v="3"/>
    <x v="0"/>
    <x v="3"/>
    <n v="0"/>
  </r>
  <r>
    <x v="0"/>
    <x v="0"/>
    <x v="0"/>
    <x v="4"/>
    <x v="3"/>
    <x v="0"/>
    <x v="4"/>
    <n v="0"/>
  </r>
  <r>
    <x v="0"/>
    <x v="0"/>
    <x v="0"/>
    <x v="4"/>
    <x v="3"/>
    <x v="0"/>
    <x v="5"/>
    <n v="0"/>
  </r>
  <r>
    <x v="0"/>
    <x v="0"/>
    <x v="0"/>
    <x v="4"/>
    <x v="3"/>
    <x v="0"/>
    <x v="6"/>
    <n v="0"/>
  </r>
  <r>
    <x v="0"/>
    <x v="0"/>
    <x v="0"/>
    <x v="4"/>
    <x v="3"/>
    <x v="0"/>
    <x v="7"/>
    <n v="0.17411404133257899"/>
  </r>
  <r>
    <x v="0"/>
    <x v="0"/>
    <x v="0"/>
    <x v="4"/>
    <x v="3"/>
    <x v="0"/>
    <x v="8"/>
    <n v="0.20675506459401"/>
  </r>
  <r>
    <x v="0"/>
    <x v="0"/>
    <x v="0"/>
    <x v="4"/>
    <x v="3"/>
    <x v="0"/>
    <x v="9"/>
    <n v="0.146612126232987"/>
  </r>
  <r>
    <x v="0"/>
    <x v="0"/>
    <x v="0"/>
    <x v="4"/>
    <x v="3"/>
    <x v="0"/>
    <x v="10"/>
    <n v="0.39190341643811399"/>
  </r>
  <r>
    <x v="0"/>
    <x v="0"/>
    <x v="0"/>
    <x v="4"/>
    <x v="3"/>
    <x v="0"/>
    <x v="11"/>
    <n v="0.54"/>
  </r>
  <r>
    <x v="0"/>
    <x v="0"/>
    <x v="0"/>
    <x v="4"/>
    <x v="3"/>
    <x v="0"/>
    <x v="12"/>
    <n v="8.0468842948748898E-2"/>
  </r>
  <r>
    <x v="0"/>
    <x v="0"/>
    <x v="0"/>
    <x v="4"/>
    <x v="3"/>
    <x v="0"/>
    <x v="13"/>
    <n v="0.27728739357162302"/>
  </r>
  <r>
    <x v="0"/>
    <x v="0"/>
    <x v="0"/>
    <x v="4"/>
    <x v="3"/>
    <x v="0"/>
    <x v="14"/>
    <n v="0.47624077662407999"/>
  </r>
  <r>
    <x v="0"/>
    <x v="0"/>
    <x v="0"/>
    <x v="4"/>
    <x v="3"/>
    <x v="0"/>
    <x v="15"/>
    <n v="0.54"/>
  </r>
  <r>
    <x v="0"/>
    <x v="0"/>
    <x v="0"/>
    <x v="4"/>
    <x v="3"/>
    <x v="0"/>
    <x v="16"/>
    <n v="0.54"/>
  </r>
  <r>
    <x v="0"/>
    <x v="0"/>
    <x v="0"/>
    <x v="4"/>
    <x v="3"/>
    <x v="0"/>
    <x v="17"/>
    <n v="0.54"/>
  </r>
  <r>
    <x v="0"/>
    <x v="0"/>
    <x v="0"/>
    <x v="4"/>
    <x v="3"/>
    <x v="0"/>
    <x v="18"/>
    <n v="0.39008575850352101"/>
  </r>
  <r>
    <x v="0"/>
    <x v="0"/>
    <x v="0"/>
    <x v="4"/>
    <x v="3"/>
    <x v="0"/>
    <x v="19"/>
    <n v="0.28839989857910298"/>
  </r>
  <r>
    <x v="0"/>
    <x v="0"/>
    <x v="0"/>
    <x v="4"/>
    <x v="3"/>
    <x v="0"/>
    <x v="20"/>
    <n v="0.54"/>
  </r>
  <r>
    <x v="0"/>
    <x v="0"/>
    <x v="0"/>
    <x v="4"/>
    <x v="3"/>
    <x v="0"/>
    <x v="21"/>
    <n v="3.2011424065820998E-2"/>
  </r>
  <r>
    <x v="0"/>
    <x v="0"/>
    <x v="0"/>
    <x v="4"/>
    <x v="3"/>
    <x v="0"/>
    <x v="22"/>
    <n v="0.54"/>
  </r>
  <r>
    <x v="0"/>
    <x v="0"/>
    <x v="0"/>
    <x v="4"/>
    <x v="3"/>
    <x v="0"/>
    <x v="23"/>
    <n v="0"/>
  </r>
  <r>
    <x v="0"/>
    <x v="0"/>
    <x v="0"/>
    <x v="4"/>
    <x v="9"/>
    <x v="0"/>
    <x v="0"/>
    <n v="0"/>
  </r>
  <r>
    <x v="0"/>
    <x v="0"/>
    <x v="0"/>
    <x v="4"/>
    <x v="9"/>
    <x v="0"/>
    <x v="1"/>
    <n v="0"/>
  </r>
  <r>
    <x v="0"/>
    <x v="0"/>
    <x v="0"/>
    <x v="4"/>
    <x v="9"/>
    <x v="0"/>
    <x v="2"/>
    <n v="0"/>
  </r>
  <r>
    <x v="0"/>
    <x v="0"/>
    <x v="0"/>
    <x v="4"/>
    <x v="9"/>
    <x v="0"/>
    <x v="3"/>
    <n v="0"/>
  </r>
  <r>
    <x v="0"/>
    <x v="0"/>
    <x v="0"/>
    <x v="4"/>
    <x v="9"/>
    <x v="0"/>
    <x v="4"/>
    <n v="0"/>
  </r>
  <r>
    <x v="0"/>
    <x v="0"/>
    <x v="0"/>
    <x v="4"/>
    <x v="9"/>
    <x v="0"/>
    <x v="5"/>
    <n v="0"/>
  </r>
  <r>
    <x v="0"/>
    <x v="0"/>
    <x v="0"/>
    <x v="4"/>
    <x v="9"/>
    <x v="0"/>
    <x v="6"/>
    <n v="0"/>
  </r>
  <r>
    <x v="0"/>
    <x v="0"/>
    <x v="0"/>
    <x v="4"/>
    <x v="9"/>
    <x v="0"/>
    <x v="7"/>
    <n v="0"/>
  </r>
  <r>
    <x v="0"/>
    <x v="0"/>
    <x v="0"/>
    <x v="4"/>
    <x v="9"/>
    <x v="0"/>
    <x v="8"/>
    <n v="0"/>
  </r>
  <r>
    <x v="0"/>
    <x v="0"/>
    <x v="0"/>
    <x v="4"/>
    <x v="9"/>
    <x v="0"/>
    <x v="9"/>
    <n v="0"/>
  </r>
  <r>
    <x v="0"/>
    <x v="0"/>
    <x v="0"/>
    <x v="4"/>
    <x v="9"/>
    <x v="0"/>
    <x v="10"/>
    <n v="0"/>
  </r>
  <r>
    <x v="0"/>
    <x v="0"/>
    <x v="0"/>
    <x v="4"/>
    <x v="9"/>
    <x v="0"/>
    <x v="11"/>
    <n v="0"/>
  </r>
  <r>
    <x v="0"/>
    <x v="0"/>
    <x v="0"/>
    <x v="4"/>
    <x v="9"/>
    <x v="0"/>
    <x v="12"/>
    <n v="0"/>
  </r>
  <r>
    <x v="0"/>
    <x v="0"/>
    <x v="0"/>
    <x v="4"/>
    <x v="9"/>
    <x v="0"/>
    <x v="13"/>
    <n v="0"/>
  </r>
  <r>
    <x v="0"/>
    <x v="0"/>
    <x v="0"/>
    <x v="4"/>
    <x v="9"/>
    <x v="0"/>
    <x v="14"/>
    <n v="0"/>
  </r>
  <r>
    <x v="0"/>
    <x v="0"/>
    <x v="0"/>
    <x v="4"/>
    <x v="9"/>
    <x v="0"/>
    <x v="15"/>
    <n v="0"/>
  </r>
  <r>
    <x v="0"/>
    <x v="0"/>
    <x v="0"/>
    <x v="4"/>
    <x v="9"/>
    <x v="0"/>
    <x v="16"/>
    <n v="0"/>
  </r>
  <r>
    <x v="0"/>
    <x v="0"/>
    <x v="0"/>
    <x v="4"/>
    <x v="9"/>
    <x v="0"/>
    <x v="17"/>
    <n v="0"/>
  </r>
  <r>
    <x v="0"/>
    <x v="0"/>
    <x v="0"/>
    <x v="4"/>
    <x v="9"/>
    <x v="0"/>
    <x v="18"/>
    <n v="0"/>
  </r>
  <r>
    <x v="0"/>
    <x v="0"/>
    <x v="0"/>
    <x v="4"/>
    <x v="9"/>
    <x v="0"/>
    <x v="19"/>
    <n v="0"/>
  </r>
  <r>
    <x v="0"/>
    <x v="0"/>
    <x v="0"/>
    <x v="4"/>
    <x v="9"/>
    <x v="0"/>
    <x v="20"/>
    <n v="0"/>
  </r>
  <r>
    <x v="0"/>
    <x v="0"/>
    <x v="0"/>
    <x v="4"/>
    <x v="9"/>
    <x v="0"/>
    <x v="21"/>
    <n v="0"/>
  </r>
  <r>
    <x v="0"/>
    <x v="0"/>
    <x v="0"/>
    <x v="4"/>
    <x v="9"/>
    <x v="0"/>
    <x v="22"/>
    <n v="0"/>
  </r>
  <r>
    <x v="0"/>
    <x v="0"/>
    <x v="0"/>
    <x v="4"/>
    <x v="9"/>
    <x v="0"/>
    <x v="23"/>
    <n v="0"/>
  </r>
  <r>
    <x v="0"/>
    <x v="0"/>
    <x v="0"/>
    <x v="4"/>
    <x v="7"/>
    <x v="0"/>
    <x v="0"/>
    <n v="0"/>
  </r>
  <r>
    <x v="0"/>
    <x v="0"/>
    <x v="0"/>
    <x v="4"/>
    <x v="7"/>
    <x v="0"/>
    <x v="1"/>
    <n v="0"/>
  </r>
  <r>
    <x v="0"/>
    <x v="0"/>
    <x v="0"/>
    <x v="4"/>
    <x v="7"/>
    <x v="0"/>
    <x v="2"/>
    <n v="0"/>
  </r>
  <r>
    <x v="0"/>
    <x v="0"/>
    <x v="0"/>
    <x v="4"/>
    <x v="7"/>
    <x v="0"/>
    <x v="3"/>
    <n v="-7.5776002347950705E-2"/>
  </r>
  <r>
    <x v="0"/>
    <x v="0"/>
    <x v="0"/>
    <x v="4"/>
    <x v="7"/>
    <x v="0"/>
    <x v="4"/>
    <n v="-0.203615527758507"/>
  </r>
  <r>
    <x v="0"/>
    <x v="0"/>
    <x v="0"/>
    <x v="4"/>
    <x v="7"/>
    <x v="0"/>
    <x v="5"/>
    <n v="0"/>
  </r>
  <r>
    <x v="0"/>
    <x v="0"/>
    <x v="0"/>
    <x v="4"/>
    <x v="7"/>
    <x v="0"/>
    <x v="6"/>
    <n v="-0.32312773697955399"/>
  </r>
  <r>
    <x v="0"/>
    <x v="0"/>
    <x v="0"/>
    <x v="4"/>
    <x v="7"/>
    <x v="0"/>
    <x v="7"/>
    <n v="-1.53"/>
  </r>
  <r>
    <x v="0"/>
    <x v="0"/>
    <x v="0"/>
    <x v="4"/>
    <x v="7"/>
    <x v="0"/>
    <x v="8"/>
    <n v="-1.53"/>
  </r>
  <r>
    <x v="0"/>
    <x v="0"/>
    <x v="0"/>
    <x v="4"/>
    <x v="7"/>
    <x v="0"/>
    <x v="9"/>
    <n v="-1.53"/>
  </r>
  <r>
    <x v="0"/>
    <x v="0"/>
    <x v="0"/>
    <x v="4"/>
    <x v="7"/>
    <x v="0"/>
    <x v="10"/>
    <n v="0"/>
  </r>
  <r>
    <x v="0"/>
    <x v="0"/>
    <x v="0"/>
    <x v="4"/>
    <x v="7"/>
    <x v="0"/>
    <x v="11"/>
    <n v="0"/>
  </r>
  <r>
    <x v="0"/>
    <x v="0"/>
    <x v="0"/>
    <x v="4"/>
    <x v="7"/>
    <x v="0"/>
    <x v="12"/>
    <n v="0"/>
  </r>
  <r>
    <x v="0"/>
    <x v="0"/>
    <x v="0"/>
    <x v="4"/>
    <x v="7"/>
    <x v="0"/>
    <x v="13"/>
    <n v="0"/>
  </r>
  <r>
    <x v="0"/>
    <x v="0"/>
    <x v="0"/>
    <x v="4"/>
    <x v="7"/>
    <x v="0"/>
    <x v="14"/>
    <n v="0"/>
  </r>
  <r>
    <x v="0"/>
    <x v="0"/>
    <x v="0"/>
    <x v="4"/>
    <x v="7"/>
    <x v="0"/>
    <x v="15"/>
    <n v="0"/>
  </r>
  <r>
    <x v="0"/>
    <x v="0"/>
    <x v="0"/>
    <x v="4"/>
    <x v="7"/>
    <x v="0"/>
    <x v="16"/>
    <n v="0"/>
  </r>
  <r>
    <x v="0"/>
    <x v="0"/>
    <x v="0"/>
    <x v="4"/>
    <x v="7"/>
    <x v="0"/>
    <x v="17"/>
    <n v="0"/>
  </r>
  <r>
    <x v="0"/>
    <x v="0"/>
    <x v="0"/>
    <x v="4"/>
    <x v="7"/>
    <x v="0"/>
    <x v="18"/>
    <n v="0"/>
  </r>
  <r>
    <x v="0"/>
    <x v="0"/>
    <x v="0"/>
    <x v="4"/>
    <x v="7"/>
    <x v="0"/>
    <x v="19"/>
    <n v="0"/>
  </r>
  <r>
    <x v="0"/>
    <x v="0"/>
    <x v="0"/>
    <x v="4"/>
    <x v="7"/>
    <x v="0"/>
    <x v="20"/>
    <n v="0"/>
  </r>
  <r>
    <x v="0"/>
    <x v="0"/>
    <x v="0"/>
    <x v="4"/>
    <x v="7"/>
    <x v="0"/>
    <x v="21"/>
    <n v="0"/>
  </r>
  <r>
    <x v="0"/>
    <x v="0"/>
    <x v="0"/>
    <x v="4"/>
    <x v="7"/>
    <x v="0"/>
    <x v="22"/>
    <n v="0.42818460549290899"/>
  </r>
  <r>
    <x v="0"/>
    <x v="0"/>
    <x v="0"/>
    <x v="4"/>
    <x v="7"/>
    <x v="0"/>
    <x v="23"/>
    <n v="1.53"/>
  </r>
  <r>
    <x v="0"/>
    <x v="0"/>
    <x v="0"/>
    <x v="4"/>
    <x v="10"/>
    <x v="0"/>
    <x v="0"/>
    <n v="0"/>
  </r>
  <r>
    <x v="0"/>
    <x v="0"/>
    <x v="0"/>
    <x v="4"/>
    <x v="10"/>
    <x v="0"/>
    <x v="1"/>
    <n v="0"/>
  </r>
  <r>
    <x v="0"/>
    <x v="0"/>
    <x v="0"/>
    <x v="4"/>
    <x v="10"/>
    <x v="0"/>
    <x v="2"/>
    <n v="0"/>
  </r>
  <r>
    <x v="0"/>
    <x v="0"/>
    <x v="0"/>
    <x v="4"/>
    <x v="10"/>
    <x v="0"/>
    <x v="3"/>
    <n v="0"/>
  </r>
  <r>
    <x v="0"/>
    <x v="0"/>
    <x v="0"/>
    <x v="4"/>
    <x v="10"/>
    <x v="0"/>
    <x v="4"/>
    <n v="0"/>
  </r>
  <r>
    <x v="0"/>
    <x v="0"/>
    <x v="0"/>
    <x v="4"/>
    <x v="10"/>
    <x v="0"/>
    <x v="5"/>
    <n v="0"/>
  </r>
  <r>
    <x v="0"/>
    <x v="0"/>
    <x v="0"/>
    <x v="4"/>
    <x v="10"/>
    <x v="0"/>
    <x v="6"/>
    <n v="0"/>
  </r>
  <r>
    <x v="0"/>
    <x v="0"/>
    <x v="0"/>
    <x v="4"/>
    <x v="10"/>
    <x v="0"/>
    <x v="7"/>
    <n v="0"/>
  </r>
  <r>
    <x v="0"/>
    <x v="0"/>
    <x v="0"/>
    <x v="4"/>
    <x v="10"/>
    <x v="0"/>
    <x v="8"/>
    <n v="0"/>
  </r>
  <r>
    <x v="0"/>
    <x v="0"/>
    <x v="0"/>
    <x v="4"/>
    <x v="10"/>
    <x v="0"/>
    <x v="9"/>
    <n v="0"/>
  </r>
  <r>
    <x v="0"/>
    <x v="0"/>
    <x v="0"/>
    <x v="4"/>
    <x v="10"/>
    <x v="0"/>
    <x v="10"/>
    <n v="0"/>
  </r>
  <r>
    <x v="0"/>
    <x v="0"/>
    <x v="0"/>
    <x v="4"/>
    <x v="10"/>
    <x v="0"/>
    <x v="11"/>
    <n v="0.115053432026104"/>
  </r>
  <r>
    <x v="0"/>
    <x v="0"/>
    <x v="0"/>
    <x v="4"/>
    <x v="10"/>
    <x v="0"/>
    <x v="12"/>
    <n v="0.66600000000000004"/>
  </r>
  <r>
    <x v="0"/>
    <x v="0"/>
    <x v="0"/>
    <x v="4"/>
    <x v="10"/>
    <x v="0"/>
    <x v="13"/>
    <n v="0.66600000000000004"/>
  </r>
  <r>
    <x v="0"/>
    <x v="0"/>
    <x v="0"/>
    <x v="4"/>
    <x v="10"/>
    <x v="0"/>
    <x v="14"/>
    <n v="0"/>
  </r>
  <r>
    <x v="0"/>
    <x v="0"/>
    <x v="0"/>
    <x v="4"/>
    <x v="10"/>
    <x v="0"/>
    <x v="15"/>
    <n v="0.29189804384701901"/>
  </r>
  <r>
    <x v="0"/>
    <x v="0"/>
    <x v="0"/>
    <x v="4"/>
    <x v="10"/>
    <x v="0"/>
    <x v="16"/>
    <n v="0"/>
  </r>
  <r>
    <x v="0"/>
    <x v="0"/>
    <x v="0"/>
    <x v="4"/>
    <x v="10"/>
    <x v="0"/>
    <x v="17"/>
    <n v="0.150960481664803"/>
  </r>
  <r>
    <x v="0"/>
    <x v="0"/>
    <x v="0"/>
    <x v="4"/>
    <x v="10"/>
    <x v="0"/>
    <x v="18"/>
    <n v="0.66600000000000004"/>
  </r>
  <r>
    <x v="0"/>
    <x v="0"/>
    <x v="0"/>
    <x v="4"/>
    <x v="10"/>
    <x v="0"/>
    <x v="19"/>
    <n v="0.66600000000000004"/>
  </r>
  <r>
    <x v="0"/>
    <x v="0"/>
    <x v="0"/>
    <x v="4"/>
    <x v="10"/>
    <x v="0"/>
    <x v="20"/>
    <n v="0.54522783818328902"/>
  </r>
  <r>
    <x v="0"/>
    <x v="0"/>
    <x v="0"/>
    <x v="4"/>
    <x v="10"/>
    <x v="0"/>
    <x v="21"/>
    <n v="0.66600000000000004"/>
  </r>
  <r>
    <x v="0"/>
    <x v="0"/>
    <x v="0"/>
    <x v="4"/>
    <x v="10"/>
    <x v="0"/>
    <x v="22"/>
    <n v="0"/>
  </r>
  <r>
    <x v="0"/>
    <x v="0"/>
    <x v="0"/>
    <x v="4"/>
    <x v="10"/>
    <x v="0"/>
    <x v="23"/>
    <n v="0.66600000000000004"/>
  </r>
  <r>
    <x v="0"/>
    <x v="0"/>
    <x v="0"/>
    <x v="4"/>
    <x v="11"/>
    <x v="0"/>
    <x v="0"/>
    <n v="0"/>
  </r>
  <r>
    <x v="0"/>
    <x v="0"/>
    <x v="0"/>
    <x v="4"/>
    <x v="11"/>
    <x v="0"/>
    <x v="1"/>
    <n v="0"/>
  </r>
  <r>
    <x v="0"/>
    <x v="0"/>
    <x v="0"/>
    <x v="4"/>
    <x v="11"/>
    <x v="0"/>
    <x v="2"/>
    <n v="0"/>
  </r>
  <r>
    <x v="0"/>
    <x v="0"/>
    <x v="0"/>
    <x v="4"/>
    <x v="11"/>
    <x v="0"/>
    <x v="3"/>
    <n v="0"/>
  </r>
  <r>
    <x v="0"/>
    <x v="0"/>
    <x v="0"/>
    <x v="4"/>
    <x v="11"/>
    <x v="0"/>
    <x v="4"/>
    <n v="0"/>
  </r>
  <r>
    <x v="0"/>
    <x v="0"/>
    <x v="0"/>
    <x v="4"/>
    <x v="11"/>
    <x v="0"/>
    <x v="5"/>
    <n v="0"/>
  </r>
  <r>
    <x v="0"/>
    <x v="0"/>
    <x v="0"/>
    <x v="4"/>
    <x v="11"/>
    <x v="0"/>
    <x v="6"/>
    <n v="0"/>
  </r>
  <r>
    <x v="0"/>
    <x v="0"/>
    <x v="0"/>
    <x v="4"/>
    <x v="11"/>
    <x v="0"/>
    <x v="7"/>
    <n v="0"/>
  </r>
  <r>
    <x v="0"/>
    <x v="0"/>
    <x v="0"/>
    <x v="4"/>
    <x v="11"/>
    <x v="0"/>
    <x v="8"/>
    <n v="0"/>
  </r>
  <r>
    <x v="0"/>
    <x v="0"/>
    <x v="0"/>
    <x v="4"/>
    <x v="11"/>
    <x v="0"/>
    <x v="9"/>
    <n v="0"/>
  </r>
  <r>
    <x v="0"/>
    <x v="0"/>
    <x v="0"/>
    <x v="4"/>
    <x v="11"/>
    <x v="0"/>
    <x v="10"/>
    <n v="0"/>
  </r>
  <r>
    <x v="0"/>
    <x v="0"/>
    <x v="0"/>
    <x v="4"/>
    <x v="11"/>
    <x v="0"/>
    <x v="11"/>
    <n v="0"/>
  </r>
  <r>
    <x v="0"/>
    <x v="0"/>
    <x v="0"/>
    <x v="4"/>
    <x v="11"/>
    <x v="0"/>
    <x v="12"/>
    <n v="0"/>
  </r>
  <r>
    <x v="0"/>
    <x v="0"/>
    <x v="0"/>
    <x v="4"/>
    <x v="11"/>
    <x v="0"/>
    <x v="13"/>
    <n v="0"/>
  </r>
  <r>
    <x v="0"/>
    <x v="0"/>
    <x v="0"/>
    <x v="4"/>
    <x v="11"/>
    <x v="0"/>
    <x v="14"/>
    <n v="0"/>
  </r>
  <r>
    <x v="0"/>
    <x v="0"/>
    <x v="0"/>
    <x v="4"/>
    <x v="11"/>
    <x v="0"/>
    <x v="15"/>
    <n v="0"/>
  </r>
  <r>
    <x v="0"/>
    <x v="0"/>
    <x v="0"/>
    <x v="4"/>
    <x v="11"/>
    <x v="0"/>
    <x v="16"/>
    <n v="0"/>
  </r>
  <r>
    <x v="0"/>
    <x v="0"/>
    <x v="0"/>
    <x v="4"/>
    <x v="11"/>
    <x v="0"/>
    <x v="17"/>
    <n v="0"/>
  </r>
  <r>
    <x v="0"/>
    <x v="0"/>
    <x v="0"/>
    <x v="4"/>
    <x v="11"/>
    <x v="0"/>
    <x v="18"/>
    <n v="0"/>
  </r>
  <r>
    <x v="0"/>
    <x v="0"/>
    <x v="0"/>
    <x v="4"/>
    <x v="11"/>
    <x v="0"/>
    <x v="19"/>
    <n v="0"/>
  </r>
  <r>
    <x v="0"/>
    <x v="0"/>
    <x v="0"/>
    <x v="4"/>
    <x v="11"/>
    <x v="0"/>
    <x v="20"/>
    <n v="0"/>
  </r>
  <r>
    <x v="0"/>
    <x v="0"/>
    <x v="0"/>
    <x v="4"/>
    <x v="11"/>
    <x v="0"/>
    <x v="21"/>
    <n v="0"/>
  </r>
  <r>
    <x v="0"/>
    <x v="0"/>
    <x v="0"/>
    <x v="4"/>
    <x v="11"/>
    <x v="0"/>
    <x v="22"/>
    <n v="0"/>
  </r>
  <r>
    <x v="0"/>
    <x v="0"/>
    <x v="0"/>
    <x v="4"/>
    <x v="11"/>
    <x v="0"/>
    <x v="23"/>
    <n v="0"/>
  </r>
  <r>
    <x v="0"/>
    <x v="0"/>
    <x v="0"/>
    <x v="5"/>
    <x v="5"/>
    <x v="0"/>
    <x v="0"/>
    <n v="-0.34489369658414998"/>
  </r>
  <r>
    <x v="0"/>
    <x v="0"/>
    <x v="0"/>
    <x v="5"/>
    <x v="5"/>
    <x v="0"/>
    <x v="1"/>
    <n v="-0.26491075136133102"/>
  </r>
  <r>
    <x v="0"/>
    <x v="0"/>
    <x v="0"/>
    <x v="5"/>
    <x v="5"/>
    <x v="0"/>
    <x v="2"/>
    <n v="-0.24235958629603899"/>
  </r>
  <r>
    <x v="0"/>
    <x v="0"/>
    <x v="0"/>
    <x v="5"/>
    <x v="5"/>
    <x v="0"/>
    <x v="3"/>
    <n v="-0.24943079848838401"/>
  </r>
  <r>
    <x v="0"/>
    <x v="0"/>
    <x v="0"/>
    <x v="5"/>
    <x v="5"/>
    <x v="0"/>
    <x v="4"/>
    <n v="-0.10346879508258799"/>
  </r>
  <r>
    <x v="0"/>
    <x v="0"/>
    <x v="0"/>
    <x v="5"/>
    <x v="5"/>
    <x v="0"/>
    <x v="5"/>
    <n v="0"/>
  </r>
  <r>
    <x v="0"/>
    <x v="0"/>
    <x v="0"/>
    <x v="5"/>
    <x v="5"/>
    <x v="0"/>
    <x v="6"/>
    <n v="0"/>
  </r>
  <r>
    <x v="0"/>
    <x v="0"/>
    <x v="0"/>
    <x v="5"/>
    <x v="5"/>
    <x v="0"/>
    <x v="7"/>
    <n v="0"/>
  </r>
  <r>
    <x v="0"/>
    <x v="0"/>
    <x v="0"/>
    <x v="5"/>
    <x v="5"/>
    <x v="0"/>
    <x v="8"/>
    <n v="0"/>
  </r>
  <r>
    <x v="0"/>
    <x v="0"/>
    <x v="0"/>
    <x v="5"/>
    <x v="5"/>
    <x v="0"/>
    <x v="9"/>
    <n v="0"/>
  </r>
  <r>
    <x v="0"/>
    <x v="0"/>
    <x v="0"/>
    <x v="5"/>
    <x v="5"/>
    <x v="0"/>
    <x v="10"/>
    <n v="0"/>
  </r>
  <r>
    <x v="0"/>
    <x v="0"/>
    <x v="0"/>
    <x v="5"/>
    <x v="5"/>
    <x v="0"/>
    <x v="11"/>
    <n v="0"/>
  </r>
  <r>
    <x v="0"/>
    <x v="0"/>
    <x v="0"/>
    <x v="5"/>
    <x v="5"/>
    <x v="0"/>
    <x v="12"/>
    <n v="0"/>
  </r>
  <r>
    <x v="0"/>
    <x v="0"/>
    <x v="0"/>
    <x v="5"/>
    <x v="5"/>
    <x v="0"/>
    <x v="13"/>
    <n v="0"/>
  </r>
  <r>
    <x v="0"/>
    <x v="0"/>
    <x v="0"/>
    <x v="5"/>
    <x v="5"/>
    <x v="0"/>
    <x v="14"/>
    <n v="0"/>
  </r>
  <r>
    <x v="0"/>
    <x v="0"/>
    <x v="0"/>
    <x v="5"/>
    <x v="5"/>
    <x v="0"/>
    <x v="15"/>
    <n v="0"/>
  </r>
  <r>
    <x v="0"/>
    <x v="0"/>
    <x v="0"/>
    <x v="5"/>
    <x v="5"/>
    <x v="0"/>
    <x v="16"/>
    <n v="0"/>
  </r>
  <r>
    <x v="0"/>
    <x v="0"/>
    <x v="0"/>
    <x v="5"/>
    <x v="5"/>
    <x v="0"/>
    <x v="17"/>
    <n v="0"/>
  </r>
  <r>
    <x v="0"/>
    <x v="0"/>
    <x v="0"/>
    <x v="5"/>
    <x v="5"/>
    <x v="0"/>
    <x v="18"/>
    <n v="0"/>
  </r>
  <r>
    <x v="0"/>
    <x v="0"/>
    <x v="0"/>
    <x v="5"/>
    <x v="5"/>
    <x v="0"/>
    <x v="19"/>
    <n v="0.35473100120905698"/>
  </r>
  <r>
    <x v="0"/>
    <x v="0"/>
    <x v="0"/>
    <x v="5"/>
    <x v="5"/>
    <x v="0"/>
    <x v="20"/>
    <n v="0.16660187013239999"/>
  </r>
  <r>
    <x v="0"/>
    <x v="0"/>
    <x v="0"/>
    <x v="5"/>
    <x v="5"/>
    <x v="0"/>
    <x v="21"/>
    <n v="0"/>
  </r>
  <r>
    <x v="0"/>
    <x v="0"/>
    <x v="0"/>
    <x v="5"/>
    <x v="5"/>
    <x v="0"/>
    <x v="22"/>
    <n v="0"/>
  </r>
  <r>
    <x v="0"/>
    <x v="0"/>
    <x v="0"/>
    <x v="5"/>
    <x v="5"/>
    <x v="0"/>
    <x v="23"/>
    <n v="0"/>
  </r>
  <r>
    <x v="0"/>
    <x v="0"/>
    <x v="0"/>
    <x v="5"/>
    <x v="0"/>
    <x v="0"/>
    <x v="0"/>
    <n v="0"/>
  </r>
  <r>
    <x v="0"/>
    <x v="0"/>
    <x v="0"/>
    <x v="5"/>
    <x v="0"/>
    <x v="0"/>
    <x v="1"/>
    <n v="0"/>
  </r>
  <r>
    <x v="0"/>
    <x v="0"/>
    <x v="0"/>
    <x v="5"/>
    <x v="0"/>
    <x v="0"/>
    <x v="2"/>
    <n v="0"/>
  </r>
  <r>
    <x v="0"/>
    <x v="0"/>
    <x v="0"/>
    <x v="5"/>
    <x v="0"/>
    <x v="0"/>
    <x v="3"/>
    <n v="0"/>
  </r>
  <r>
    <x v="0"/>
    <x v="0"/>
    <x v="0"/>
    <x v="5"/>
    <x v="0"/>
    <x v="0"/>
    <x v="4"/>
    <n v="0"/>
  </r>
  <r>
    <x v="0"/>
    <x v="0"/>
    <x v="0"/>
    <x v="5"/>
    <x v="0"/>
    <x v="0"/>
    <x v="5"/>
    <n v="0"/>
  </r>
  <r>
    <x v="0"/>
    <x v="0"/>
    <x v="0"/>
    <x v="5"/>
    <x v="0"/>
    <x v="0"/>
    <x v="6"/>
    <n v="0"/>
  </r>
  <r>
    <x v="0"/>
    <x v="0"/>
    <x v="0"/>
    <x v="5"/>
    <x v="0"/>
    <x v="0"/>
    <x v="7"/>
    <n v="0"/>
  </r>
  <r>
    <x v="0"/>
    <x v="0"/>
    <x v="0"/>
    <x v="5"/>
    <x v="0"/>
    <x v="0"/>
    <x v="8"/>
    <n v="0"/>
  </r>
  <r>
    <x v="0"/>
    <x v="0"/>
    <x v="0"/>
    <x v="5"/>
    <x v="0"/>
    <x v="0"/>
    <x v="9"/>
    <n v="0"/>
  </r>
  <r>
    <x v="0"/>
    <x v="0"/>
    <x v="0"/>
    <x v="5"/>
    <x v="0"/>
    <x v="0"/>
    <x v="10"/>
    <n v="0"/>
  </r>
  <r>
    <x v="0"/>
    <x v="0"/>
    <x v="0"/>
    <x v="5"/>
    <x v="0"/>
    <x v="0"/>
    <x v="11"/>
    <n v="0"/>
  </r>
  <r>
    <x v="0"/>
    <x v="0"/>
    <x v="0"/>
    <x v="5"/>
    <x v="0"/>
    <x v="0"/>
    <x v="12"/>
    <n v="0"/>
  </r>
  <r>
    <x v="0"/>
    <x v="0"/>
    <x v="0"/>
    <x v="5"/>
    <x v="0"/>
    <x v="0"/>
    <x v="13"/>
    <n v="0"/>
  </r>
  <r>
    <x v="0"/>
    <x v="0"/>
    <x v="0"/>
    <x v="5"/>
    <x v="0"/>
    <x v="0"/>
    <x v="14"/>
    <n v="0"/>
  </r>
  <r>
    <x v="0"/>
    <x v="0"/>
    <x v="0"/>
    <x v="5"/>
    <x v="0"/>
    <x v="0"/>
    <x v="15"/>
    <n v="0"/>
  </r>
  <r>
    <x v="0"/>
    <x v="0"/>
    <x v="0"/>
    <x v="5"/>
    <x v="0"/>
    <x v="0"/>
    <x v="16"/>
    <n v="0"/>
  </r>
  <r>
    <x v="0"/>
    <x v="0"/>
    <x v="0"/>
    <x v="5"/>
    <x v="0"/>
    <x v="0"/>
    <x v="17"/>
    <n v="0"/>
  </r>
  <r>
    <x v="0"/>
    <x v="0"/>
    <x v="0"/>
    <x v="5"/>
    <x v="0"/>
    <x v="0"/>
    <x v="18"/>
    <n v="0"/>
  </r>
  <r>
    <x v="0"/>
    <x v="0"/>
    <x v="0"/>
    <x v="5"/>
    <x v="0"/>
    <x v="0"/>
    <x v="19"/>
    <n v="0"/>
  </r>
  <r>
    <x v="0"/>
    <x v="0"/>
    <x v="0"/>
    <x v="5"/>
    <x v="0"/>
    <x v="0"/>
    <x v="20"/>
    <n v="0"/>
  </r>
  <r>
    <x v="0"/>
    <x v="0"/>
    <x v="0"/>
    <x v="5"/>
    <x v="0"/>
    <x v="0"/>
    <x v="21"/>
    <n v="0"/>
  </r>
  <r>
    <x v="0"/>
    <x v="0"/>
    <x v="0"/>
    <x v="5"/>
    <x v="0"/>
    <x v="0"/>
    <x v="22"/>
    <n v="0"/>
  </r>
  <r>
    <x v="0"/>
    <x v="0"/>
    <x v="0"/>
    <x v="5"/>
    <x v="0"/>
    <x v="0"/>
    <x v="23"/>
    <n v="0"/>
  </r>
  <r>
    <x v="0"/>
    <x v="0"/>
    <x v="0"/>
    <x v="5"/>
    <x v="6"/>
    <x v="0"/>
    <x v="0"/>
    <n v="0"/>
  </r>
  <r>
    <x v="0"/>
    <x v="0"/>
    <x v="0"/>
    <x v="5"/>
    <x v="6"/>
    <x v="0"/>
    <x v="1"/>
    <n v="0"/>
  </r>
  <r>
    <x v="0"/>
    <x v="0"/>
    <x v="0"/>
    <x v="5"/>
    <x v="6"/>
    <x v="0"/>
    <x v="2"/>
    <n v="0"/>
  </r>
  <r>
    <x v="0"/>
    <x v="0"/>
    <x v="0"/>
    <x v="5"/>
    <x v="6"/>
    <x v="0"/>
    <x v="3"/>
    <n v="0"/>
  </r>
  <r>
    <x v="0"/>
    <x v="0"/>
    <x v="0"/>
    <x v="5"/>
    <x v="6"/>
    <x v="0"/>
    <x v="4"/>
    <n v="0"/>
  </r>
  <r>
    <x v="0"/>
    <x v="0"/>
    <x v="0"/>
    <x v="5"/>
    <x v="6"/>
    <x v="0"/>
    <x v="5"/>
    <n v="0"/>
  </r>
  <r>
    <x v="0"/>
    <x v="0"/>
    <x v="0"/>
    <x v="5"/>
    <x v="6"/>
    <x v="0"/>
    <x v="6"/>
    <n v="0"/>
  </r>
  <r>
    <x v="0"/>
    <x v="0"/>
    <x v="0"/>
    <x v="5"/>
    <x v="6"/>
    <x v="0"/>
    <x v="7"/>
    <n v="-0.17411404133257899"/>
  </r>
  <r>
    <x v="0"/>
    <x v="0"/>
    <x v="0"/>
    <x v="5"/>
    <x v="6"/>
    <x v="0"/>
    <x v="8"/>
    <n v="-0.20675506459401"/>
  </r>
  <r>
    <x v="0"/>
    <x v="0"/>
    <x v="0"/>
    <x v="5"/>
    <x v="6"/>
    <x v="0"/>
    <x v="9"/>
    <n v="-0.146612126232987"/>
  </r>
  <r>
    <x v="0"/>
    <x v="0"/>
    <x v="0"/>
    <x v="5"/>
    <x v="6"/>
    <x v="0"/>
    <x v="10"/>
    <n v="-0.39190341643811399"/>
  </r>
  <r>
    <x v="0"/>
    <x v="0"/>
    <x v="0"/>
    <x v="5"/>
    <x v="6"/>
    <x v="0"/>
    <x v="11"/>
    <n v="-0.54"/>
  </r>
  <r>
    <x v="0"/>
    <x v="0"/>
    <x v="0"/>
    <x v="5"/>
    <x v="6"/>
    <x v="0"/>
    <x v="12"/>
    <n v="-8.0468842948748898E-2"/>
  </r>
  <r>
    <x v="0"/>
    <x v="0"/>
    <x v="0"/>
    <x v="5"/>
    <x v="6"/>
    <x v="0"/>
    <x v="13"/>
    <n v="-0.27728739357162302"/>
  </r>
  <r>
    <x v="0"/>
    <x v="0"/>
    <x v="0"/>
    <x v="5"/>
    <x v="6"/>
    <x v="0"/>
    <x v="14"/>
    <n v="-0.47624077662407999"/>
  </r>
  <r>
    <x v="0"/>
    <x v="0"/>
    <x v="0"/>
    <x v="5"/>
    <x v="6"/>
    <x v="0"/>
    <x v="15"/>
    <n v="-0.54"/>
  </r>
  <r>
    <x v="0"/>
    <x v="0"/>
    <x v="0"/>
    <x v="5"/>
    <x v="6"/>
    <x v="0"/>
    <x v="16"/>
    <n v="-0.54"/>
  </r>
  <r>
    <x v="0"/>
    <x v="0"/>
    <x v="0"/>
    <x v="5"/>
    <x v="6"/>
    <x v="0"/>
    <x v="17"/>
    <n v="-0.54"/>
  </r>
  <r>
    <x v="0"/>
    <x v="0"/>
    <x v="0"/>
    <x v="5"/>
    <x v="6"/>
    <x v="0"/>
    <x v="18"/>
    <n v="-0.39008575850352101"/>
  </r>
  <r>
    <x v="0"/>
    <x v="0"/>
    <x v="0"/>
    <x v="5"/>
    <x v="6"/>
    <x v="0"/>
    <x v="19"/>
    <n v="-0.28839989857910298"/>
  </r>
  <r>
    <x v="0"/>
    <x v="0"/>
    <x v="0"/>
    <x v="5"/>
    <x v="6"/>
    <x v="0"/>
    <x v="20"/>
    <n v="-0.54"/>
  </r>
  <r>
    <x v="0"/>
    <x v="0"/>
    <x v="0"/>
    <x v="5"/>
    <x v="6"/>
    <x v="0"/>
    <x v="21"/>
    <n v="-3.2011424065820998E-2"/>
  </r>
  <r>
    <x v="0"/>
    <x v="0"/>
    <x v="0"/>
    <x v="5"/>
    <x v="6"/>
    <x v="0"/>
    <x v="22"/>
    <n v="-0.54"/>
  </r>
  <r>
    <x v="0"/>
    <x v="0"/>
    <x v="0"/>
    <x v="5"/>
    <x v="6"/>
    <x v="0"/>
    <x v="23"/>
    <n v="0"/>
  </r>
  <r>
    <x v="0"/>
    <x v="0"/>
    <x v="0"/>
    <x v="5"/>
    <x v="8"/>
    <x v="0"/>
    <x v="0"/>
    <n v="0"/>
  </r>
  <r>
    <x v="0"/>
    <x v="0"/>
    <x v="0"/>
    <x v="5"/>
    <x v="8"/>
    <x v="0"/>
    <x v="1"/>
    <n v="0"/>
  </r>
  <r>
    <x v="0"/>
    <x v="0"/>
    <x v="0"/>
    <x v="5"/>
    <x v="8"/>
    <x v="0"/>
    <x v="2"/>
    <n v="0"/>
  </r>
  <r>
    <x v="0"/>
    <x v="0"/>
    <x v="0"/>
    <x v="5"/>
    <x v="8"/>
    <x v="0"/>
    <x v="3"/>
    <n v="0"/>
  </r>
  <r>
    <x v="0"/>
    <x v="0"/>
    <x v="0"/>
    <x v="5"/>
    <x v="8"/>
    <x v="0"/>
    <x v="4"/>
    <n v="0"/>
  </r>
  <r>
    <x v="0"/>
    <x v="0"/>
    <x v="0"/>
    <x v="5"/>
    <x v="8"/>
    <x v="0"/>
    <x v="5"/>
    <n v="0.27220985472497999"/>
  </r>
  <r>
    <x v="0"/>
    <x v="0"/>
    <x v="0"/>
    <x v="5"/>
    <x v="8"/>
    <x v="0"/>
    <x v="6"/>
    <n v="5.4917044544903299E-3"/>
  </r>
  <r>
    <x v="0"/>
    <x v="0"/>
    <x v="0"/>
    <x v="5"/>
    <x v="8"/>
    <x v="0"/>
    <x v="7"/>
    <n v="0"/>
  </r>
  <r>
    <x v="0"/>
    <x v="0"/>
    <x v="0"/>
    <x v="5"/>
    <x v="8"/>
    <x v="0"/>
    <x v="8"/>
    <n v="0"/>
  </r>
  <r>
    <x v="0"/>
    <x v="0"/>
    <x v="0"/>
    <x v="5"/>
    <x v="8"/>
    <x v="0"/>
    <x v="9"/>
    <n v="0"/>
  </r>
  <r>
    <x v="0"/>
    <x v="0"/>
    <x v="0"/>
    <x v="5"/>
    <x v="8"/>
    <x v="0"/>
    <x v="10"/>
    <n v="0.29577549805986703"/>
  </r>
  <r>
    <x v="0"/>
    <x v="0"/>
    <x v="0"/>
    <x v="5"/>
    <x v="8"/>
    <x v="0"/>
    <x v="11"/>
    <n v="0.59437712337672399"/>
  </r>
  <r>
    <x v="0"/>
    <x v="0"/>
    <x v="0"/>
    <x v="5"/>
    <x v="8"/>
    <x v="0"/>
    <x v="12"/>
    <n v="0.18616383492205599"/>
  </r>
  <r>
    <x v="0"/>
    <x v="0"/>
    <x v="0"/>
    <x v="5"/>
    <x v="8"/>
    <x v="0"/>
    <x v="13"/>
    <n v="0.36715359103527101"/>
  </r>
  <r>
    <x v="0"/>
    <x v="0"/>
    <x v="0"/>
    <x v="5"/>
    <x v="8"/>
    <x v="0"/>
    <x v="14"/>
    <n v="0.51342950540506105"/>
  </r>
  <r>
    <x v="0"/>
    <x v="0"/>
    <x v="0"/>
    <x v="5"/>
    <x v="8"/>
    <x v="0"/>
    <x v="15"/>
    <n v="0.68164955922496195"/>
  </r>
  <r>
    <x v="0"/>
    <x v="0"/>
    <x v="0"/>
    <x v="5"/>
    <x v="8"/>
    <x v="0"/>
    <x v="16"/>
    <n v="0.65075868886993204"/>
  </r>
  <r>
    <x v="0"/>
    <x v="0"/>
    <x v="0"/>
    <x v="5"/>
    <x v="8"/>
    <x v="0"/>
    <x v="17"/>
    <n v="0.52443563760074696"/>
  </r>
  <r>
    <x v="0"/>
    <x v="0"/>
    <x v="0"/>
    <x v="5"/>
    <x v="8"/>
    <x v="0"/>
    <x v="18"/>
    <n v="0.62429061792407103"/>
  </r>
  <r>
    <x v="0"/>
    <x v="0"/>
    <x v="0"/>
    <x v="5"/>
    <x v="8"/>
    <x v="0"/>
    <x v="19"/>
    <n v="0.61151301811102399"/>
  </r>
  <r>
    <x v="0"/>
    <x v="0"/>
    <x v="0"/>
    <x v="5"/>
    <x v="8"/>
    <x v="0"/>
    <x v="20"/>
    <n v="1.0039747441723299"/>
  </r>
  <r>
    <x v="0"/>
    <x v="0"/>
    <x v="0"/>
    <x v="5"/>
    <x v="8"/>
    <x v="0"/>
    <x v="21"/>
    <n v="0.574802942558851"/>
  </r>
  <r>
    <x v="0"/>
    <x v="0"/>
    <x v="0"/>
    <x v="5"/>
    <x v="8"/>
    <x v="0"/>
    <x v="22"/>
    <n v="1.0590576037321"/>
  </r>
  <r>
    <x v="0"/>
    <x v="0"/>
    <x v="0"/>
    <x v="5"/>
    <x v="8"/>
    <x v="0"/>
    <x v="23"/>
    <n v="0.70752666719162804"/>
  </r>
  <r>
    <x v="0"/>
    <x v="0"/>
    <x v="0"/>
    <x v="6"/>
    <x v="12"/>
    <x v="0"/>
    <x v="0"/>
    <n v="-0.9"/>
  </r>
  <r>
    <x v="0"/>
    <x v="0"/>
    <x v="0"/>
    <x v="6"/>
    <x v="12"/>
    <x v="0"/>
    <x v="1"/>
    <n v="-0.9"/>
  </r>
  <r>
    <x v="0"/>
    <x v="0"/>
    <x v="0"/>
    <x v="6"/>
    <x v="12"/>
    <x v="0"/>
    <x v="2"/>
    <n v="-0.9"/>
  </r>
  <r>
    <x v="0"/>
    <x v="0"/>
    <x v="0"/>
    <x v="6"/>
    <x v="12"/>
    <x v="0"/>
    <x v="3"/>
    <n v="-0.85207927293239105"/>
  </r>
  <r>
    <x v="0"/>
    <x v="0"/>
    <x v="0"/>
    <x v="6"/>
    <x v="12"/>
    <x v="0"/>
    <x v="4"/>
    <n v="-0.87192508444379802"/>
  </r>
  <r>
    <x v="0"/>
    <x v="0"/>
    <x v="0"/>
    <x v="6"/>
    <x v="12"/>
    <x v="0"/>
    <x v="5"/>
    <n v="-0.9"/>
  </r>
  <r>
    <x v="0"/>
    <x v="0"/>
    <x v="0"/>
    <x v="6"/>
    <x v="12"/>
    <x v="0"/>
    <x v="6"/>
    <n v="-0.72013594581082396"/>
  </r>
  <r>
    <x v="0"/>
    <x v="0"/>
    <x v="0"/>
    <x v="6"/>
    <x v="12"/>
    <x v="0"/>
    <x v="7"/>
    <n v="-0.76711059469436005"/>
  </r>
  <r>
    <x v="0"/>
    <x v="0"/>
    <x v="0"/>
    <x v="6"/>
    <x v="12"/>
    <x v="0"/>
    <x v="8"/>
    <n v="-0.81733837173808099"/>
  </r>
  <r>
    <x v="0"/>
    <x v="0"/>
    <x v="0"/>
    <x v="6"/>
    <x v="12"/>
    <x v="0"/>
    <x v="9"/>
    <n v="-0.85914264897707504"/>
  </r>
  <r>
    <x v="0"/>
    <x v="0"/>
    <x v="0"/>
    <x v="6"/>
    <x v="12"/>
    <x v="0"/>
    <x v="10"/>
    <n v="-0.89216670659178898"/>
  </r>
  <r>
    <x v="0"/>
    <x v="0"/>
    <x v="0"/>
    <x v="6"/>
    <x v="12"/>
    <x v="0"/>
    <x v="11"/>
    <n v="-0.89897261100732795"/>
  </r>
  <r>
    <x v="0"/>
    <x v="0"/>
    <x v="0"/>
    <x v="6"/>
    <x v="12"/>
    <x v="0"/>
    <x v="12"/>
    <n v="-0.89450981037826505"/>
  </r>
  <r>
    <x v="0"/>
    <x v="0"/>
    <x v="0"/>
    <x v="6"/>
    <x v="12"/>
    <x v="0"/>
    <x v="13"/>
    <n v="-0.89747338338387705"/>
  </r>
  <r>
    <x v="0"/>
    <x v="0"/>
    <x v="0"/>
    <x v="6"/>
    <x v="12"/>
    <x v="0"/>
    <x v="14"/>
    <n v="-0.89158689552219395"/>
  </r>
  <r>
    <x v="0"/>
    <x v="0"/>
    <x v="0"/>
    <x v="6"/>
    <x v="12"/>
    <x v="0"/>
    <x v="15"/>
    <n v="-0.87558758207710596"/>
  </r>
  <r>
    <x v="0"/>
    <x v="0"/>
    <x v="0"/>
    <x v="6"/>
    <x v="12"/>
    <x v="0"/>
    <x v="16"/>
    <n v="-0.9"/>
  </r>
  <r>
    <x v="0"/>
    <x v="0"/>
    <x v="0"/>
    <x v="6"/>
    <x v="12"/>
    <x v="0"/>
    <x v="17"/>
    <n v="-0.9"/>
  </r>
  <r>
    <x v="0"/>
    <x v="0"/>
    <x v="0"/>
    <x v="6"/>
    <x v="12"/>
    <x v="0"/>
    <x v="18"/>
    <n v="-0.899358358804206"/>
  </r>
  <r>
    <x v="0"/>
    <x v="0"/>
    <x v="0"/>
    <x v="6"/>
    <x v="12"/>
    <x v="0"/>
    <x v="19"/>
    <n v="-0.80809443681388704"/>
  </r>
  <r>
    <x v="0"/>
    <x v="0"/>
    <x v="0"/>
    <x v="6"/>
    <x v="12"/>
    <x v="0"/>
    <x v="20"/>
    <n v="-0.9"/>
  </r>
  <r>
    <x v="0"/>
    <x v="0"/>
    <x v="0"/>
    <x v="6"/>
    <x v="12"/>
    <x v="0"/>
    <x v="21"/>
    <n v="-0.85324179690061697"/>
  </r>
  <r>
    <x v="0"/>
    <x v="0"/>
    <x v="0"/>
    <x v="6"/>
    <x v="12"/>
    <x v="0"/>
    <x v="22"/>
    <n v="-0.9"/>
  </r>
  <r>
    <x v="0"/>
    <x v="0"/>
    <x v="0"/>
    <x v="6"/>
    <x v="12"/>
    <x v="0"/>
    <x v="23"/>
    <n v="-0.87441920667512896"/>
  </r>
  <r>
    <x v="0"/>
    <x v="0"/>
    <x v="0"/>
    <x v="6"/>
    <x v="13"/>
    <x v="0"/>
    <x v="0"/>
    <n v="0.59712175996358097"/>
  </r>
  <r>
    <x v="0"/>
    <x v="0"/>
    <x v="0"/>
    <x v="6"/>
    <x v="13"/>
    <x v="0"/>
    <x v="1"/>
    <n v="0.62076719085950305"/>
  </r>
  <r>
    <x v="0"/>
    <x v="0"/>
    <x v="0"/>
    <x v="6"/>
    <x v="13"/>
    <x v="0"/>
    <x v="2"/>
    <n v="0.60769367686715003"/>
  </r>
  <r>
    <x v="0"/>
    <x v="0"/>
    <x v="0"/>
    <x v="6"/>
    <x v="13"/>
    <x v="0"/>
    <x v="3"/>
    <n v="0.596920248144995"/>
  </r>
  <r>
    <x v="0"/>
    <x v="0"/>
    <x v="0"/>
    <x v="6"/>
    <x v="13"/>
    <x v="0"/>
    <x v="4"/>
    <n v="0.60700041740130595"/>
  </r>
  <r>
    <x v="0"/>
    <x v="0"/>
    <x v="0"/>
    <x v="6"/>
    <x v="13"/>
    <x v="0"/>
    <x v="5"/>
    <n v="0.63393326087628898"/>
  </r>
  <r>
    <x v="0"/>
    <x v="0"/>
    <x v="0"/>
    <x v="6"/>
    <x v="13"/>
    <x v="0"/>
    <x v="6"/>
    <n v="0.72"/>
  </r>
  <r>
    <x v="0"/>
    <x v="0"/>
    <x v="0"/>
    <x v="6"/>
    <x v="13"/>
    <x v="0"/>
    <x v="7"/>
    <n v="0.72"/>
  </r>
  <r>
    <x v="0"/>
    <x v="0"/>
    <x v="0"/>
    <x v="6"/>
    <x v="13"/>
    <x v="0"/>
    <x v="8"/>
    <n v="0.72"/>
  </r>
  <r>
    <x v="0"/>
    <x v="0"/>
    <x v="0"/>
    <x v="6"/>
    <x v="13"/>
    <x v="0"/>
    <x v="9"/>
    <n v="0.72"/>
  </r>
  <r>
    <x v="0"/>
    <x v="0"/>
    <x v="0"/>
    <x v="6"/>
    <x v="13"/>
    <x v="0"/>
    <x v="10"/>
    <n v="0.72"/>
  </r>
  <r>
    <x v="0"/>
    <x v="0"/>
    <x v="0"/>
    <x v="6"/>
    <x v="13"/>
    <x v="0"/>
    <x v="11"/>
    <n v="0.72"/>
  </r>
  <r>
    <x v="0"/>
    <x v="0"/>
    <x v="0"/>
    <x v="6"/>
    <x v="13"/>
    <x v="0"/>
    <x v="12"/>
    <n v="0.72"/>
  </r>
  <r>
    <x v="0"/>
    <x v="0"/>
    <x v="0"/>
    <x v="6"/>
    <x v="13"/>
    <x v="0"/>
    <x v="13"/>
    <n v="0.72"/>
  </r>
  <r>
    <x v="0"/>
    <x v="0"/>
    <x v="0"/>
    <x v="6"/>
    <x v="13"/>
    <x v="0"/>
    <x v="14"/>
    <n v="0.72"/>
  </r>
  <r>
    <x v="0"/>
    <x v="0"/>
    <x v="0"/>
    <x v="6"/>
    <x v="13"/>
    <x v="0"/>
    <x v="15"/>
    <n v="0.72"/>
  </r>
  <r>
    <x v="0"/>
    <x v="0"/>
    <x v="0"/>
    <x v="6"/>
    <x v="13"/>
    <x v="0"/>
    <x v="16"/>
    <n v="0.72"/>
  </r>
  <r>
    <x v="0"/>
    <x v="0"/>
    <x v="0"/>
    <x v="6"/>
    <x v="13"/>
    <x v="0"/>
    <x v="17"/>
    <n v="0.72"/>
  </r>
  <r>
    <x v="0"/>
    <x v="0"/>
    <x v="0"/>
    <x v="6"/>
    <x v="13"/>
    <x v="0"/>
    <x v="18"/>
    <n v="0.72"/>
  </r>
  <r>
    <x v="0"/>
    <x v="0"/>
    <x v="0"/>
    <x v="6"/>
    <x v="13"/>
    <x v="0"/>
    <x v="19"/>
    <n v="0.72"/>
  </r>
  <r>
    <x v="0"/>
    <x v="0"/>
    <x v="0"/>
    <x v="6"/>
    <x v="13"/>
    <x v="0"/>
    <x v="20"/>
    <n v="0.72"/>
  </r>
  <r>
    <x v="0"/>
    <x v="0"/>
    <x v="0"/>
    <x v="6"/>
    <x v="13"/>
    <x v="0"/>
    <x v="21"/>
    <n v="0.72"/>
  </r>
  <r>
    <x v="0"/>
    <x v="0"/>
    <x v="0"/>
    <x v="6"/>
    <x v="13"/>
    <x v="0"/>
    <x v="22"/>
    <n v="0.72"/>
  </r>
  <r>
    <x v="0"/>
    <x v="0"/>
    <x v="0"/>
    <x v="6"/>
    <x v="13"/>
    <x v="0"/>
    <x v="23"/>
    <n v="0.72"/>
  </r>
  <r>
    <x v="0"/>
    <x v="0"/>
    <x v="0"/>
    <x v="6"/>
    <x v="10"/>
    <x v="0"/>
    <x v="0"/>
    <n v="0"/>
  </r>
  <r>
    <x v="0"/>
    <x v="0"/>
    <x v="0"/>
    <x v="6"/>
    <x v="10"/>
    <x v="0"/>
    <x v="1"/>
    <n v="0"/>
  </r>
  <r>
    <x v="0"/>
    <x v="0"/>
    <x v="0"/>
    <x v="6"/>
    <x v="10"/>
    <x v="0"/>
    <x v="2"/>
    <n v="0"/>
  </r>
  <r>
    <x v="0"/>
    <x v="0"/>
    <x v="0"/>
    <x v="6"/>
    <x v="10"/>
    <x v="0"/>
    <x v="3"/>
    <n v="0"/>
  </r>
  <r>
    <x v="0"/>
    <x v="0"/>
    <x v="0"/>
    <x v="6"/>
    <x v="10"/>
    <x v="0"/>
    <x v="4"/>
    <n v="0"/>
  </r>
  <r>
    <x v="0"/>
    <x v="0"/>
    <x v="0"/>
    <x v="6"/>
    <x v="10"/>
    <x v="0"/>
    <x v="5"/>
    <n v="0"/>
  </r>
  <r>
    <x v="0"/>
    <x v="0"/>
    <x v="0"/>
    <x v="6"/>
    <x v="10"/>
    <x v="0"/>
    <x v="6"/>
    <n v="0"/>
  </r>
  <r>
    <x v="0"/>
    <x v="0"/>
    <x v="0"/>
    <x v="6"/>
    <x v="10"/>
    <x v="0"/>
    <x v="7"/>
    <n v="0"/>
  </r>
  <r>
    <x v="0"/>
    <x v="0"/>
    <x v="0"/>
    <x v="6"/>
    <x v="10"/>
    <x v="0"/>
    <x v="8"/>
    <n v="0"/>
  </r>
  <r>
    <x v="0"/>
    <x v="0"/>
    <x v="0"/>
    <x v="6"/>
    <x v="10"/>
    <x v="0"/>
    <x v="9"/>
    <n v="0"/>
  </r>
  <r>
    <x v="0"/>
    <x v="0"/>
    <x v="0"/>
    <x v="6"/>
    <x v="10"/>
    <x v="0"/>
    <x v="10"/>
    <n v="0"/>
  </r>
  <r>
    <x v="0"/>
    <x v="0"/>
    <x v="0"/>
    <x v="6"/>
    <x v="10"/>
    <x v="0"/>
    <x v="11"/>
    <n v="0"/>
  </r>
  <r>
    <x v="0"/>
    <x v="0"/>
    <x v="0"/>
    <x v="6"/>
    <x v="10"/>
    <x v="0"/>
    <x v="12"/>
    <n v="0"/>
  </r>
  <r>
    <x v="0"/>
    <x v="0"/>
    <x v="0"/>
    <x v="6"/>
    <x v="10"/>
    <x v="0"/>
    <x v="13"/>
    <n v="0"/>
  </r>
  <r>
    <x v="0"/>
    <x v="0"/>
    <x v="0"/>
    <x v="6"/>
    <x v="10"/>
    <x v="0"/>
    <x v="14"/>
    <n v="0"/>
  </r>
  <r>
    <x v="0"/>
    <x v="0"/>
    <x v="0"/>
    <x v="6"/>
    <x v="10"/>
    <x v="0"/>
    <x v="15"/>
    <n v="0"/>
  </r>
  <r>
    <x v="0"/>
    <x v="0"/>
    <x v="0"/>
    <x v="6"/>
    <x v="10"/>
    <x v="0"/>
    <x v="16"/>
    <n v="0"/>
  </r>
  <r>
    <x v="0"/>
    <x v="0"/>
    <x v="0"/>
    <x v="6"/>
    <x v="10"/>
    <x v="0"/>
    <x v="17"/>
    <n v="0"/>
  </r>
  <r>
    <x v="0"/>
    <x v="0"/>
    <x v="0"/>
    <x v="6"/>
    <x v="10"/>
    <x v="0"/>
    <x v="18"/>
    <n v="0"/>
  </r>
  <r>
    <x v="0"/>
    <x v="0"/>
    <x v="0"/>
    <x v="6"/>
    <x v="10"/>
    <x v="0"/>
    <x v="19"/>
    <n v="0"/>
  </r>
  <r>
    <x v="0"/>
    <x v="0"/>
    <x v="0"/>
    <x v="6"/>
    <x v="10"/>
    <x v="0"/>
    <x v="20"/>
    <n v="0"/>
  </r>
  <r>
    <x v="0"/>
    <x v="0"/>
    <x v="0"/>
    <x v="6"/>
    <x v="10"/>
    <x v="0"/>
    <x v="21"/>
    <n v="0"/>
  </r>
  <r>
    <x v="0"/>
    <x v="0"/>
    <x v="0"/>
    <x v="6"/>
    <x v="10"/>
    <x v="0"/>
    <x v="22"/>
    <n v="0"/>
  </r>
  <r>
    <x v="0"/>
    <x v="0"/>
    <x v="0"/>
    <x v="6"/>
    <x v="10"/>
    <x v="0"/>
    <x v="23"/>
    <n v="0"/>
  </r>
  <r>
    <x v="0"/>
    <x v="0"/>
    <x v="0"/>
    <x v="7"/>
    <x v="14"/>
    <x v="0"/>
    <x v="0"/>
    <n v="0.9"/>
  </r>
  <r>
    <x v="0"/>
    <x v="0"/>
    <x v="0"/>
    <x v="7"/>
    <x v="14"/>
    <x v="0"/>
    <x v="1"/>
    <n v="0.9"/>
  </r>
  <r>
    <x v="0"/>
    <x v="0"/>
    <x v="0"/>
    <x v="7"/>
    <x v="14"/>
    <x v="0"/>
    <x v="2"/>
    <n v="0.9"/>
  </r>
  <r>
    <x v="0"/>
    <x v="0"/>
    <x v="0"/>
    <x v="7"/>
    <x v="14"/>
    <x v="0"/>
    <x v="3"/>
    <n v="0.85207927293239105"/>
  </r>
  <r>
    <x v="0"/>
    <x v="0"/>
    <x v="0"/>
    <x v="7"/>
    <x v="14"/>
    <x v="0"/>
    <x v="4"/>
    <n v="0.87192508444379802"/>
  </r>
  <r>
    <x v="0"/>
    <x v="0"/>
    <x v="0"/>
    <x v="7"/>
    <x v="14"/>
    <x v="0"/>
    <x v="5"/>
    <n v="0.9"/>
  </r>
  <r>
    <x v="0"/>
    <x v="0"/>
    <x v="0"/>
    <x v="7"/>
    <x v="14"/>
    <x v="0"/>
    <x v="6"/>
    <n v="0.72013594581082396"/>
  </r>
  <r>
    <x v="0"/>
    <x v="0"/>
    <x v="0"/>
    <x v="7"/>
    <x v="14"/>
    <x v="0"/>
    <x v="7"/>
    <n v="0.76711059469436005"/>
  </r>
  <r>
    <x v="0"/>
    <x v="0"/>
    <x v="0"/>
    <x v="7"/>
    <x v="14"/>
    <x v="0"/>
    <x v="8"/>
    <n v="0.81733837173808099"/>
  </r>
  <r>
    <x v="0"/>
    <x v="0"/>
    <x v="0"/>
    <x v="7"/>
    <x v="14"/>
    <x v="0"/>
    <x v="9"/>
    <n v="0.85914264897707504"/>
  </r>
  <r>
    <x v="0"/>
    <x v="0"/>
    <x v="0"/>
    <x v="7"/>
    <x v="14"/>
    <x v="0"/>
    <x v="10"/>
    <n v="0.89216670659178898"/>
  </r>
  <r>
    <x v="0"/>
    <x v="0"/>
    <x v="0"/>
    <x v="7"/>
    <x v="14"/>
    <x v="0"/>
    <x v="11"/>
    <n v="0.89897261100732795"/>
  </r>
  <r>
    <x v="0"/>
    <x v="0"/>
    <x v="0"/>
    <x v="7"/>
    <x v="14"/>
    <x v="0"/>
    <x v="12"/>
    <n v="0.89450981037826505"/>
  </r>
  <r>
    <x v="0"/>
    <x v="0"/>
    <x v="0"/>
    <x v="7"/>
    <x v="14"/>
    <x v="0"/>
    <x v="13"/>
    <n v="0.89747338338387705"/>
  </r>
  <r>
    <x v="0"/>
    <x v="0"/>
    <x v="0"/>
    <x v="7"/>
    <x v="14"/>
    <x v="0"/>
    <x v="14"/>
    <n v="0.89158689552219395"/>
  </r>
  <r>
    <x v="0"/>
    <x v="0"/>
    <x v="0"/>
    <x v="7"/>
    <x v="14"/>
    <x v="0"/>
    <x v="15"/>
    <n v="0.87558758207710596"/>
  </r>
  <r>
    <x v="0"/>
    <x v="0"/>
    <x v="0"/>
    <x v="7"/>
    <x v="14"/>
    <x v="0"/>
    <x v="16"/>
    <n v="0.9"/>
  </r>
  <r>
    <x v="0"/>
    <x v="0"/>
    <x v="0"/>
    <x v="7"/>
    <x v="14"/>
    <x v="0"/>
    <x v="17"/>
    <n v="0.9"/>
  </r>
  <r>
    <x v="0"/>
    <x v="0"/>
    <x v="0"/>
    <x v="7"/>
    <x v="14"/>
    <x v="0"/>
    <x v="18"/>
    <n v="0.899358358804206"/>
  </r>
  <r>
    <x v="0"/>
    <x v="0"/>
    <x v="0"/>
    <x v="7"/>
    <x v="14"/>
    <x v="0"/>
    <x v="19"/>
    <n v="0.80809443681388704"/>
  </r>
  <r>
    <x v="0"/>
    <x v="0"/>
    <x v="0"/>
    <x v="7"/>
    <x v="14"/>
    <x v="0"/>
    <x v="20"/>
    <n v="0.9"/>
  </r>
  <r>
    <x v="0"/>
    <x v="0"/>
    <x v="0"/>
    <x v="7"/>
    <x v="14"/>
    <x v="0"/>
    <x v="21"/>
    <n v="0.85324179690061697"/>
  </r>
  <r>
    <x v="0"/>
    <x v="0"/>
    <x v="0"/>
    <x v="7"/>
    <x v="14"/>
    <x v="0"/>
    <x v="22"/>
    <n v="0.9"/>
  </r>
  <r>
    <x v="0"/>
    <x v="0"/>
    <x v="0"/>
    <x v="7"/>
    <x v="14"/>
    <x v="0"/>
    <x v="23"/>
    <n v="0.87441920667512896"/>
  </r>
  <r>
    <x v="0"/>
    <x v="0"/>
    <x v="0"/>
    <x v="7"/>
    <x v="15"/>
    <x v="0"/>
    <x v="0"/>
    <n v="0"/>
  </r>
  <r>
    <x v="0"/>
    <x v="0"/>
    <x v="0"/>
    <x v="7"/>
    <x v="15"/>
    <x v="0"/>
    <x v="1"/>
    <n v="0"/>
  </r>
  <r>
    <x v="0"/>
    <x v="0"/>
    <x v="0"/>
    <x v="7"/>
    <x v="15"/>
    <x v="0"/>
    <x v="2"/>
    <n v="0"/>
  </r>
  <r>
    <x v="0"/>
    <x v="0"/>
    <x v="0"/>
    <x v="7"/>
    <x v="15"/>
    <x v="0"/>
    <x v="3"/>
    <n v="0"/>
  </r>
  <r>
    <x v="0"/>
    <x v="0"/>
    <x v="0"/>
    <x v="7"/>
    <x v="15"/>
    <x v="0"/>
    <x v="4"/>
    <n v="0"/>
  </r>
  <r>
    <x v="0"/>
    <x v="0"/>
    <x v="0"/>
    <x v="7"/>
    <x v="15"/>
    <x v="0"/>
    <x v="5"/>
    <n v="0"/>
  </r>
  <r>
    <x v="0"/>
    <x v="0"/>
    <x v="0"/>
    <x v="7"/>
    <x v="15"/>
    <x v="0"/>
    <x v="6"/>
    <n v="0"/>
  </r>
  <r>
    <x v="0"/>
    <x v="0"/>
    <x v="0"/>
    <x v="7"/>
    <x v="15"/>
    <x v="0"/>
    <x v="7"/>
    <n v="0"/>
  </r>
  <r>
    <x v="0"/>
    <x v="0"/>
    <x v="0"/>
    <x v="7"/>
    <x v="15"/>
    <x v="0"/>
    <x v="8"/>
    <n v="0"/>
  </r>
  <r>
    <x v="0"/>
    <x v="0"/>
    <x v="0"/>
    <x v="7"/>
    <x v="15"/>
    <x v="0"/>
    <x v="9"/>
    <n v="0"/>
  </r>
  <r>
    <x v="0"/>
    <x v="0"/>
    <x v="0"/>
    <x v="7"/>
    <x v="15"/>
    <x v="0"/>
    <x v="10"/>
    <n v="0"/>
  </r>
  <r>
    <x v="0"/>
    <x v="0"/>
    <x v="0"/>
    <x v="7"/>
    <x v="15"/>
    <x v="0"/>
    <x v="11"/>
    <n v="0"/>
  </r>
  <r>
    <x v="0"/>
    <x v="0"/>
    <x v="0"/>
    <x v="7"/>
    <x v="15"/>
    <x v="0"/>
    <x v="12"/>
    <n v="0"/>
  </r>
  <r>
    <x v="0"/>
    <x v="0"/>
    <x v="0"/>
    <x v="7"/>
    <x v="15"/>
    <x v="0"/>
    <x v="13"/>
    <n v="0"/>
  </r>
  <r>
    <x v="0"/>
    <x v="0"/>
    <x v="0"/>
    <x v="7"/>
    <x v="15"/>
    <x v="0"/>
    <x v="14"/>
    <n v="0"/>
  </r>
  <r>
    <x v="0"/>
    <x v="0"/>
    <x v="0"/>
    <x v="7"/>
    <x v="15"/>
    <x v="0"/>
    <x v="15"/>
    <n v="0"/>
  </r>
  <r>
    <x v="0"/>
    <x v="0"/>
    <x v="0"/>
    <x v="7"/>
    <x v="15"/>
    <x v="0"/>
    <x v="16"/>
    <n v="0"/>
  </r>
  <r>
    <x v="0"/>
    <x v="0"/>
    <x v="0"/>
    <x v="7"/>
    <x v="15"/>
    <x v="0"/>
    <x v="17"/>
    <n v="0"/>
  </r>
  <r>
    <x v="0"/>
    <x v="0"/>
    <x v="0"/>
    <x v="7"/>
    <x v="15"/>
    <x v="0"/>
    <x v="18"/>
    <n v="0"/>
  </r>
  <r>
    <x v="0"/>
    <x v="0"/>
    <x v="0"/>
    <x v="7"/>
    <x v="15"/>
    <x v="0"/>
    <x v="19"/>
    <n v="0"/>
  </r>
  <r>
    <x v="0"/>
    <x v="0"/>
    <x v="0"/>
    <x v="7"/>
    <x v="15"/>
    <x v="0"/>
    <x v="20"/>
    <n v="0"/>
  </r>
  <r>
    <x v="0"/>
    <x v="0"/>
    <x v="0"/>
    <x v="7"/>
    <x v="15"/>
    <x v="0"/>
    <x v="21"/>
    <n v="0"/>
  </r>
  <r>
    <x v="0"/>
    <x v="0"/>
    <x v="0"/>
    <x v="7"/>
    <x v="15"/>
    <x v="0"/>
    <x v="22"/>
    <n v="0"/>
  </r>
  <r>
    <x v="0"/>
    <x v="0"/>
    <x v="0"/>
    <x v="7"/>
    <x v="15"/>
    <x v="0"/>
    <x v="23"/>
    <n v="0"/>
  </r>
  <r>
    <x v="0"/>
    <x v="0"/>
    <x v="0"/>
    <x v="7"/>
    <x v="16"/>
    <x v="0"/>
    <x v="0"/>
    <n v="-1.17"/>
  </r>
  <r>
    <x v="0"/>
    <x v="0"/>
    <x v="0"/>
    <x v="7"/>
    <x v="16"/>
    <x v="0"/>
    <x v="1"/>
    <n v="-1.17"/>
  </r>
  <r>
    <x v="0"/>
    <x v="0"/>
    <x v="0"/>
    <x v="7"/>
    <x v="16"/>
    <x v="0"/>
    <x v="2"/>
    <n v="-1.17"/>
  </r>
  <r>
    <x v="0"/>
    <x v="0"/>
    <x v="0"/>
    <x v="7"/>
    <x v="16"/>
    <x v="0"/>
    <x v="3"/>
    <n v="-0.99734298378338304"/>
  </r>
  <r>
    <x v="0"/>
    <x v="0"/>
    <x v="0"/>
    <x v="7"/>
    <x v="16"/>
    <x v="0"/>
    <x v="4"/>
    <n v="-0.94467871493684197"/>
  </r>
  <r>
    <x v="0"/>
    <x v="0"/>
    <x v="0"/>
    <x v="7"/>
    <x v="16"/>
    <x v="0"/>
    <x v="5"/>
    <n v="-1.17"/>
  </r>
  <r>
    <x v="0"/>
    <x v="0"/>
    <x v="0"/>
    <x v="7"/>
    <x v="16"/>
    <x v="0"/>
    <x v="6"/>
    <n v="-1.17"/>
  </r>
  <r>
    <x v="0"/>
    <x v="0"/>
    <x v="0"/>
    <x v="7"/>
    <x v="16"/>
    <x v="0"/>
    <x v="7"/>
    <n v="-1.17"/>
  </r>
  <r>
    <x v="0"/>
    <x v="0"/>
    <x v="0"/>
    <x v="7"/>
    <x v="16"/>
    <x v="0"/>
    <x v="8"/>
    <n v="-1.17"/>
  </r>
  <r>
    <x v="0"/>
    <x v="0"/>
    <x v="0"/>
    <x v="7"/>
    <x v="16"/>
    <x v="0"/>
    <x v="9"/>
    <n v="-1.17"/>
  </r>
  <r>
    <x v="0"/>
    <x v="0"/>
    <x v="0"/>
    <x v="7"/>
    <x v="16"/>
    <x v="0"/>
    <x v="10"/>
    <n v="-1.17"/>
  </r>
  <r>
    <x v="0"/>
    <x v="0"/>
    <x v="0"/>
    <x v="7"/>
    <x v="16"/>
    <x v="0"/>
    <x v="11"/>
    <n v="-1.17"/>
  </r>
  <r>
    <x v="0"/>
    <x v="0"/>
    <x v="0"/>
    <x v="7"/>
    <x v="16"/>
    <x v="0"/>
    <x v="12"/>
    <n v="-1.17"/>
  </r>
  <r>
    <x v="0"/>
    <x v="0"/>
    <x v="0"/>
    <x v="7"/>
    <x v="16"/>
    <x v="0"/>
    <x v="13"/>
    <n v="-1.17"/>
  </r>
  <r>
    <x v="0"/>
    <x v="0"/>
    <x v="0"/>
    <x v="7"/>
    <x v="16"/>
    <x v="0"/>
    <x v="14"/>
    <n v="-1.17"/>
  </r>
  <r>
    <x v="0"/>
    <x v="0"/>
    <x v="0"/>
    <x v="7"/>
    <x v="16"/>
    <x v="0"/>
    <x v="15"/>
    <n v="-1.17"/>
  </r>
  <r>
    <x v="0"/>
    <x v="0"/>
    <x v="0"/>
    <x v="7"/>
    <x v="16"/>
    <x v="0"/>
    <x v="16"/>
    <n v="-1.17"/>
  </r>
  <r>
    <x v="0"/>
    <x v="0"/>
    <x v="0"/>
    <x v="7"/>
    <x v="16"/>
    <x v="0"/>
    <x v="17"/>
    <n v="-1.17"/>
  </r>
  <r>
    <x v="0"/>
    <x v="0"/>
    <x v="0"/>
    <x v="7"/>
    <x v="16"/>
    <x v="0"/>
    <x v="18"/>
    <n v="-1.17"/>
  </r>
  <r>
    <x v="0"/>
    <x v="0"/>
    <x v="0"/>
    <x v="7"/>
    <x v="16"/>
    <x v="0"/>
    <x v="19"/>
    <n v="-1.17"/>
  </r>
  <r>
    <x v="0"/>
    <x v="0"/>
    <x v="0"/>
    <x v="7"/>
    <x v="16"/>
    <x v="0"/>
    <x v="20"/>
    <n v="-1.17"/>
  </r>
  <r>
    <x v="0"/>
    <x v="0"/>
    <x v="0"/>
    <x v="7"/>
    <x v="16"/>
    <x v="0"/>
    <x v="21"/>
    <n v="-1.17"/>
  </r>
  <r>
    <x v="0"/>
    <x v="0"/>
    <x v="0"/>
    <x v="7"/>
    <x v="16"/>
    <x v="0"/>
    <x v="22"/>
    <n v="-1.17"/>
  </r>
  <r>
    <x v="0"/>
    <x v="0"/>
    <x v="0"/>
    <x v="7"/>
    <x v="16"/>
    <x v="0"/>
    <x v="23"/>
    <n v="-1.17"/>
  </r>
  <r>
    <x v="0"/>
    <x v="0"/>
    <x v="0"/>
    <x v="7"/>
    <x v="10"/>
    <x v="0"/>
    <x v="0"/>
    <n v="-1.2150000000000001"/>
  </r>
  <r>
    <x v="0"/>
    <x v="0"/>
    <x v="0"/>
    <x v="7"/>
    <x v="10"/>
    <x v="0"/>
    <x v="1"/>
    <n v="-1.2150000000000001"/>
  </r>
  <r>
    <x v="0"/>
    <x v="0"/>
    <x v="0"/>
    <x v="7"/>
    <x v="10"/>
    <x v="0"/>
    <x v="2"/>
    <n v="-1.09951060277603"/>
  </r>
  <r>
    <x v="0"/>
    <x v="0"/>
    <x v="0"/>
    <x v="7"/>
    <x v="10"/>
    <x v="0"/>
    <x v="3"/>
    <n v="-1.2150000000000001"/>
  </r>
  <r>
    <x v="0"/>
    <x v="0"/>
    <x v="0"/>
    <x v="7"/>
    <x v="10"/>
    <x v="0"/>
    <x v="4"/>
    <n v="-0.95805541543845396"/>
  </r>
  <r>
    <x v="0"/>
    <x v="0"/>
    <x v="0"/>
    <x v="7"/>
    <x v="10"/>
    <x v="0"/>
    <x v="5"/>
    <n v="-1.20544731165047"/>
  </r>
  <r>
    <x v="0"/>
    <x v="0"/>
    <x v="0"/>
    <x v="7"/>
    <x v="10"/>
    <x v="0"/>
    <x v="6"/>
    <n v="-1.05917868819787"/>
  </r>
  <r>
    <x v="0"/>
    <x v="0"/>
    <x v="0"/>
    <x v="7"/>
    <x v="10"/>
    <x v="0"/>
    <x v="7"/>
    <n v="-0.82750887401828399"/>
  </r>
  <r>
    <x v="0"/>
    <x v="0"/>
    <x v="0"/>
    <x v="7"/>
    <x v="10"/>
    <x v="0"/>
    <x v="8"/>
    <n v="-0.74863044636256904"/>
  </r>
  <r>
    <x v="0"/>
    <x v="0"/>
    <x v="0"/>
    <x v="7"/>
    <x v="10"/>
    <x v="0"/>
    <x v="9"/>
    <n v="-0.72930215438405599"/>
  </r>
  <r>
    <x v="0"/>
    <x v="0"/>
    <x v="0"/>
    <x v="7"/>
    <x v="10"/>
    <x v="0"/>
    <x v="10"/>
    <n v="-1.0837061980490199"/>
  </r>
  <r>
    <x v="0"/>
    <x v="0"/>
    <x v="0"/>
    <x v="7"/>
    <x v="10"/>
    <x v="0"/>
    <x v="11"/>
    <n v="-0.98831523871612104"/>
  </r>
  <r>
    <x v="0"/>
    <x v="0"/>
    <x v="0"/>
    <x v="7"/>
    <x v="10"/>
    <x v="0"/>
    <x v="12"/>
    <n v="-1.11330354172816"/>
  </r>
  <r>
    <x v="0"/>
    <x v="0"/>
    <x v="0"/>
    <x v="7"/>
    <x v="10"/>
    <x v="0"/>
    <x v="13"/>
    <n v="-1.0701106950380901"/>
  </r>
  <r>
    <x v="0"/>
    <x v="0"/>
    <x v="0"/>
    <x v="7"/>
    <x v="10"/>
    <x v="0"/>
    <x v="14"/>
    <n v="-1.1966013559055799"/>
  </r>
  <r>
    <x v="0"/>
    <x v="0"/>
    <x v="0"/>
    <x v="7"/>
    <x v="10"/>
    <x v="0"/>
    <x v="15"/>
    <n v="-1.2150000000000001"/>
  </r>
  <r>
    <x v="0"/>
    <x v="0"/>
    <x v="0"/>
    <x v="7"/>
    <x v="10"/>
    <x v="0"/>
    <x v="16"/>
    <n v="-1.2150000000000001"/>
  </r>
  <r>
    <x v="0"/>
    <x v="0"/>
    <x v="0"/>
    <x v="7"/>
    <x v="10"/>
    <x v="0"/>
    <x v="17"/>
    <n v="-1.2150000000000001"/>
  </r>
  <r>
    <x v="0"/>
    <x v="0"/>
    <x v="0"/>
    <x v="7"/>
    <x v="10"/>
    <x v="0"/>
    <x v="18"/>
    <n v="-1.2150000000000001"/>
  </r>
  <r>
    <x v="0"/>
    <x v="0"/>
    <x v="0"/>
    <x v="7"/>
    <x v="10"/>
    <x v="0"/>
    <x v="19"/>
    <n v="-1.2150000000000001"/>
  </r>
  <r>
    <x v="0"/>
    <x v="0"/>
    <x v="0"/>
    <x v="7"/>
    <x v="10"/>
    <x v="0"/>
    <x v="20"/>
    <n v="-1.2150000000000001"/>
  </r>
  <r>
    <x v="0"/>
    <x v="0"/>
    <x v="0"/>
    <x v="7"/>
    <x v="10"/>
    <x v="0"/>
    <x v="21"/>
    <n v="-1.2150000000000001"/>
  </r>
  <r>
    <x v="0"/>
    <x v="0"/>
    <x v="0"/>
    <x v="7"/>
    <x v="10"/>
    <x v="0"/>
    <x v="22"/>
    <n v="-1.2150000000000001"/>
  </r>
  <r>
    <x v="0"/>
    <x v="0"/>
    <x v="0"/>
    <x v="7"/>
    <x v="10"/>
    <x v="0"/>
    <x v="23"/>
    <n v="-1.2150000000000001"/>
  </r>
  <r>
    <x v="0"/>
    <x v="0"/>
    <x v="0"/>
    <x v="8"/>
    <x v="13"/>
    <x v="0"/>
    <x v="0"/>
    <n v="8.7451645261734906E-2"/>
  </r>
  <r>
    <x v="0"/>
    <x v="0"/>
    <x v="0"/>
    <x v="8"/>
    <x v="13"/>
    <x v="0"/>
    <x v="1"/>
    <n v="7.8903193230347602E-3"/>
  </r>
  <r>
    <x v="0"/>
    <x v="0"/>
    <x v="0"/>
    <x v="8"/>
    <x v="13"/>
    <x v="0"/>
    <x v="2"/>
    <n v="0"/>
  </r>
  <r>
    <x v="0"/>
    <x v="0"/>
    <x v="0"/>
    <x v="8"/>
    <x v="13"/>
    <x v="0"/>
    <x v="3"/>
    <n v="0"/>
  </r>
  <r>
    <x v="0"/>
    <x v="0"/>
    <x v="0"/>
    <x v="8"/>
    <x v="13"/>
    <x v="0"/>
    <x v="4"/>
    <n v="0"/>
  </r>
  <r>
    <x v="0"/>
    <x v="0"/>
    <x v="0"/>
    <x v="8"/>
    <x v="13"/>
    <x v="0"/>
    <x v="5"/>
    <n v="2.3488687450257499E-2"/>
  </r>
  <r>
    <x v="0"/>
    <x v="0"/>
    <x v="0"/>
    <x v="8"/>
    <x v="13"/>
    <x v="0"/>
    <x v="6"/>
    <n v="7.6237256725029803E-2"/>
  </r>
  <r>
    <x v="0"/>
    <x v="0"/>
    <x v="0"/>
    <x v="8"/>
    <x v="13"/>
    <x v="0"/>
    <x v="7"/>
    <n v="0.18895820715964901"/>
  </r>
  <r>
    <x v="0"/>
    <x v="0"/>
    <x v="0"/>
    <x v="8"/>
    <x v="13"/>
    <x v="0"/>
    <x v="8"/>
    <n v="0"/>
  </r>
  <r>
    <x v="0"/>
    <x v="0"/>
    <x v="0"/>
    <x v="8"/>
    <x v="13"/>
    <x v="0"/>
    <x v="9"/>
    <n v="0"/>
  </r>
  <r>
    <x v="0"/>
    <x v="0"/>
    <x v="0"/>
    <x v="8"/>
    <x v="13"/>
    <x v="0"/>
    <x v="10"/>
    <n v="0"/>
  </r>
  <r>
    <x v="0"/>
    <x v="0"/>
    <x v="0"/>
    <x v="8"/>
    <x v="13"/>
    <x v="0"/>
    <x v="11"/>
    <n v="0"/>
  </r>
  <r>
    <x v="0"/>
    <x v="0"/>
    <x v="0"/>
    <x v="8"/>
    <x v="13"/>
    <x v="0"/>
    <x v="12"/>
    <n v="0"/>
  </r>
  <r>
    <x v="0"/>
    <x v="0"/>
    <x v="0"/>
    <x v="8"/>
    <x v="13"/>
    <x v="0"/>
    <x v="13"/>
    <n v="3.0217974366929098E-3"/>
  </r>
  <r>
    <x v="0"/>
    <x v="0"/>
    <x v="0"/>
    <x v="8"/>
    <x v="13"/>
    <x v="0"/>
    <x v="14"/>
    <n v="0"/>
  </r>
  <r>
    <x v="0"/>
    <x v="0"/>
    <x v="0"/>
    <x v="8"/>
    <x v="13"/>
    <x v="0"/>
    <x v="15"/>
    <n v="0"/>
  </r>
  <r>
    <x v="0"/>
    <x v="0"/>
    <x v="0"/>
    <x v="8"/>
    <x v="13"/>
    <x v="0"/>
    <x v="16"/>
    <n v="1.14926521648795E-2"/>
  </r>
  <r>
    <x v="0"/>
    <x v="0"/>
    <x v="0"/>
    <x v="8"/>
    <x v="13"/>
    <x v="0"/>
    <x v="17"/>
    <n v="0"/>
  </r>
  <r>
    <x v="0"/>
    <x v="0"/>
    <x v="0"/>
    <x v="8"/>
    <x v="13"/>
    <x v="0"/>
    <x v="18"/>
    <n v="2.0152403864256599E-3"/>
  </r>
  <r>
    <x v="0"/>
    <x v="0"/>
    <x v="0"/>
    <x v="8"/>
    <x v="13"/>
    <x v="0"/>
    <x v="19"/>
    <n v="0.130379008222272"/>
  </r>
  <r>
    <x v="0"/>
    <x v="0"/>
    <x v="0"/>
    <x v="8"/>
    <x v="13"/>
    <x v="0"/>
    <x v="20"/>
    <n v="0.21344392479292501"/>
  </r>
  <r>
    <x v="0"/>
    <x v="0"/>
    <x v="0"/>
    <x v="8"/>
    <x v="13"/>
    <x v="0"/>
    <x v="21"/>
    <n v="0.27378557704158502"/>
  </r>
  <r>
    <x v="0"/>
    <x v="0"/>
    <x v="0"/>
    <x v="8"/>
    <x v="13"/>
    <x v="0"/>
    <x v="22"/>
    <n v="0.16976473410649201"/>
  </r>
  <r>
    <x v="0"/>
    <x v="0"/>
    <x v="0"/>
    <x v="8"/>
    <x v="13"/>
    <x v="0"/>
    <x v="23"/>
    <n v="4.8588223996625997E-2"/>
  </r>
  <r>
    <x v="0"/>
    <x v="0"/>
    <x v="0"/>
    <x v="8"/>
    <x v="4"/>
    <x v="0"/>
    <x v="0"/>
    <n v="-0.199606914423785"/>
  </r>
  <r>
    <x v="0"/>
    <x v="0"/>
    <x v="0"/>
    <x v="8"/>
    <x v="4"/>
    <x v="0"/>
    <x v="1"/>
    <n v="-3.1313161626517601E-2"/>
  </r>
  <r>
    <x v="0"/>
    <x v="0"/>
    <x v="0"/>
    <x v="8"/>
    <x v="4"/>
    <x v="0"/>
    <x v="2"/>
    <n v="0"/>
  </r>
  <r>
    <x v="0"/>
    <x v="0"/>
    <x v="0"/>
    <x v="8"/>
    <x v="4"/>
    <x v="0"/>
    <x v="3"/>
    <n v="0"/>
  </r>
  <r>
    <x v="0"/>
    <x v="0"/>
    <x v="0"/>
    <x v="8"/>
    <x v="4"/>
    <x v="0"/>
    <x v="4"/>
    <n v="0"/>
  </r>
  <r>
    <x v="0"/>
    <x v="0"/>
    <x v="0"/>
    <x v="8"/>
    <x v="4"/>
    <x v="0"/>
    <x v="5"/>
    <n v="0"/>
  </r>
  <r>
    <x v="0"/>
    <x v="0"/>
    <x v="0"/>
    <x v="8"/>
    <x v="4"/>
    <x v="0"/>
    <x v="6"/>
    <n v="-0.12915764539719801"/>
  </r>
  <r>
    <x v="0"/>
    <x v="0"/>
    <x v="0"/>
    <x v="8"/>
    <x v="4"/>
    <x v="0"/>
    <x v="7"/>
    <n v="-0.45"/>
  </r>
  <r>
    <x v="0"/>
    <x v="0"/>
    <x v="0"/>
    <x v="8"/>
    <x v="4"/>
    <x v="0"/>
    <x v="8"/>
    <n v="-0.45"/>
  </r>
  <r>
    <x v="0"/>
    <x v="0"/>
    <x v="0"/>
    <x v="8"/>
    <x v="4"/>
    <x v="0"/>
    <x v="9"/>
    <n v="-0.45"/>
  </r>
  <r>
    <x v="0"/>
    <x v="0"/>
    <x v="0"/>
    <x v="8"/>
    <x v="4"/>
    <x v="0"/>
    <x v="10"/>
    <n v="-0.45"/>
  </r>
  <r>
    <x v="0"/>
    <x v="0"/>
    <x v="0"/>
    <x v="8"/>
    <x v="4"/>
    <x v="0"/>
    <x v="11"/>
    <n v="-0.45"/>
  </r>
  <r>
    <x v="0"/>
    <x v="0"/>
    <x v="0"/>
    <x v="8"/>
    <x v="4"/>
    <x v="0"/>
    <x v="12"/>
    <n v="-0.45"/>
  </r>
  <r>
    <x v="0"/>
    <x v="0"/>
    <x v="0"/>
    <x v="8"/>
    <x v="4"/>
    <x v="0"/>
    <x v="13"/>
    <n v="-0.45"/>
  </r>
  <r>
    <x v="0"/>
    <x v="0"/>
    <x v="0"/>
    <x v="8"/>
    <x v="4"/>
    <x v="0"/>
    <x v="14"/>
    <n v="-0.45"/>
  </r>
  <r>
    <x v="0"/>
    <x v="0"/>
    <x v="0"/>
    <x v="8"/>
    <x v="4"/>
    <x v="0"/>
    <x v="15"/>
    <n v="-0.45"/>
  </r>
  <r>
    <x v="0"/>
    <x v="0"/>
    <x v="0"/>
    <x v="8"/>
    <x v="4"/>
    <x v="0"/>
    <x v="16"/>
    <n v="-0.45"/>
  </r>
  <r>
    <x v="0"/>
    <x v="0"/>
    <x v="0"/>
    <x v="8"/>
    <x v="4"/>
    <x v="0"/>
    <x v="17"/>
    <n v="-0.45"/>
  </r>
  <r>
    <x v="0"/>
    <x v="0"/>
    <x v="0"/>
    <x v="8"/>
    <x v="4"/>
    <x v="0"/>
    <x v="18"/>
    <n v="-0.45"/>
  </r>
  <r>
    <x v="0"/>
    <x v="0"/>
    <x v="0"/>
    <x v="8"/>
    <x v="4"/>
    <x v="0"/>
    <x v="19"/>
    <n v="-0.45"/>
  </r>
  <r>
    <x v="0"/>
    <x v="0"/>
    <x v="0"/>
    <x v="8"/>
    <x v="4"/>
    <x v="0"/>
    <x v="20"/>
    <n v="-0.45"/>
  </r>
  <r>
    <x v="0"/>
    <x v="0"/>
    <x v="0"/>
    <x v="8"/>
    <x v="4"/>
    <x v="0"/>
    <x v="21"/>
    <n v="-0.441548044732818"/>
  </r>
  <r>
    <x v="0"/>
    <x v="0"/>
    <x v="0"/>
    <x v="8"/>
    <x v="4"/>
    <x v="0"/>
    <x v="22"/>
    <n v="-0.25164084429223699"/>
  </r>
  <r>
    <x v="0"/>
    <x v="0"/>
    <x v="0"/>
    <x v="8"/>
    <x v="4"/>
    <x v="0"/>
    <x v="23"/>
    <n v="0"/>
  </r>
  <r>
    <x v="0"/>
    <x v="0"/>
    <x v="0"/>
    <x v="8"/>
    <x v="8"/>
    <x v="0"/>
    <x v="0"/>
    <n v="-0.63"/>
  </r>
  <r>
    <x v="0"/>
    <x v="0"/>
    <x v="0"/>
    <x v="8"/>
    <x v="8"/>
    <x v="0"/>
    <x v="1"/>
    <n v="-0.63"/>
  </r>
  <r>
    <x v="0"/>
    <x v="0"/>
    <x v="0"/>
    <x v="8"/>
    <x v="8"/>
    <x v="0"/>
    <x v="2"/>
    <n v="-0.63"/>
  </r>
  <r>
    <x v="0"/>
    <x v="0"/>
    <x v="0"/>
    <x v="8"/>
    <x v="8"/>
    <x v="0"/>
    <x v="3"/>
    <n v="-0.63"/>
  </r>
  <r>
    <x v="0"/>
    <x v="0"/>
    <x v="0"/>
    <x v="8"/>
    <x v="8"/>
    <x v="0"/>
    <x v="4"/>
    <n v="-0.62312479272194299"/>
  </r>
  <r>
    <x v="0"/>
    <x v="0"/>
    <x v="0"/>
    <x v="8"/>
    <x v="8"/>
    <x v="0"/>
    <x v="5"/>
    <n v="-0.63"/>
  </r>
  <r>
    <x v="0"/>
    <x v="0"/>
    <x v="0"/>
    <x v="8"/>
    <x v="8"/>
    <x v="0"/>
    <x v="6"/>
    <n v="-0.63"/>
  </r>
  <r>
    <x v="0"/>
    <x v="0"/>
    <x v="0"/>
    <x v="8"/>
    <x v="8"/>
    <x v="0"/>
    <x v="7"/>
    <n v="-0.63"/>
  </r>
  <r>
    <x v="0"/>
    <x v="0"/>
    <x v="0"/>
    <x v="8"/>
    <x v="8"/>
    <x v="0"/>
    <x v="8"/>
    <n v="-0.63"/>
  </r>
  <r>
    <x v="0"/>
    <x v="0"/>
    <x v="0"/>
    <x v="8"/>
    <x v="8"/>
    <x v="0"/>
    <x v="9"/>
    <n v="-0.63"/>
  </r>
  <r>
    <x v="0"/>
    <x v="0"/>
    <x v="0"/>
    <x v="8"/>
    <x v="8"/>
    <x v="0"/>
    <x v="10"/>
    <n v="-0.63"/>
  </r>
  <r>
    <x v="0"/>
    <x v="0"/>
    <x v="0"/>
    <x v="8"/>
    <x v="8"/>
    <x v="0"/>
    <x v="11"/>
    <n v="-0.63"/>
  </r>
  <r>
    <x v="0"/>
    <x v="0"/>
    <x v="0"/>
    <x v="8"/>
    <x v="8"/>
    <x v="0"/>
    <x v="12"/>
    <n v="-0.63"/>
  </r>
  <r>
    <x v="0"/>
    <x v="0"/>
    <x v="0"/>
    <x v="8"/>
    <x v="8"/>
    <x v="0"/>
    <x v="13"/>
    <n v="-0.63"/>
  </r>
  <r>
    <x v="0"/>
    <x v="0"/>
    <x v="0"/>
    <x v="8"/>
    <x v="8"/>
    <x v="0"/>
    <x v="14"/>
    <n v="-0.63"/>
  </r>
  <r>
    <x v="0"/>
    <x v="0"/>
    <x v="0"/>
    <x v="8"/>
    <x v="8"/>
    <x v="0"/>
    <x v="15"/>
    <n v="-0.63"/>
  </r>
  <r>
    <x v="0"/>
    <x v="0"/>
    <x v="0"/>
    <x v="8"/>
    <x v="8"/>
    <x v="0"/>
    <x v="16"/>
    <n v="-0.63"/>
  </r>
  <r>
    <x v="0"/>
    <x v="0"/>
    <x v="0"/>
    <x v="8"/>
    <x v="8"/>
    <x v="0"/>
    <x v="17"/>
    <n v="-0.63"/>
  </r>
  <r>
    <x v="0"/>
    <x v="0"/>
    <x v="0"/>
    <x v="8"/>
    <x v="8"/>
    <x v="0"/>
    <x v="18"/>
    <n v="-0.63"/>
  </r>
  <r>
    <x v="0"/>
    <x v="0"/>
    <x v="0"/>
    <x v="8"/>
    <x v="8"/>
    <x v="0"/>
    <x v="19"/>
    <n v="-0.63"/>
  </r>
  <r>
    <x v="0"/>
    <x v="0"/>
    <x v="0"/>
    <x v="8"/>
    <x v="8"/>
    <x v="0"/>
    <x v="20"/>
    <n v="-0.63"/>
  </r>
  <r>
    <x v="0"/>
    <x v="0"/>
    <x v="0"/>
    <x v="8"/>
    <x v="8"/>
    <x v="0"/>
    <x v="21"/>
    <n v="-0.63"/>
  </r>
  <r>
    <x v="0"/>
    <x v="0"/>
    <x v="0"/>
    <x v="8"/>
    <x v="8"/>
    <x v="0"/>
    <x v="22"/>
    <n v="-0.63"/>
  </r>
  <r>
    <x v="0"/>
    <x v="0"/>
    <x v="0"/>
    <x v="8"/>
    <x v="8"/>
    <x v="0"/>
    <x v="23"/>
    <n v="-0.63"/>
  </r>
  <r>
    <x v="0"/>
    <x v="0"/>
    <x v="0"/>
    <x v="9"/>
    <x v="14"/>
    <x v="0"/>
    <x v="0"/>
    <n v="-0.59712175996358097"/>
  </r>
  <r>
    <x v="0"/>
    <x v="0"/>
    <x v="0"/>
    <x v="9"/>
    <x v="14"/>
    <x v="0"/>
    <x v="1"/>
    <n v="-0.62076719085950305"/>
  </r>
  <r>
    <x v="0"/>
    <x v="0"/>
    <x v="0"/>
    <x v="9"/>
    <x v="14"/>
    <x v="0"/>
    <x v="2"/>
    <n v="-0.60769367686715003"/>
  </r>
  <r>
    <x v="0"/>
    <x v="0"/>
    <x v="0"/>
    <x v="9"/>
    <x v="14"/>
    <x v="0"/>
    <x v="3"/>
    <n v="-0.596920248144995"/>
  </r>
  <r>
    <x v="0"/>
    <x v="0"/>
    <x v="0"/>
    <x v="9"/>
    <x v="14"/>
    <x v="0"/>
    <x v="4"/>
    <n v="-0.60700041740130595"/>
  </r>
  <r>
    <x v="0"/>
    <x v="0"/>
    <x v="0"/>
    <x v="9"/>
    <x v="14"/>
    <x v="0"/>
    <x v="5"/>
    <n v="-0.63393326087628898"/>
  </r>
  <r>
    <x v="0"/>
    <x v="0"/>
    <x v="0"/>
    <x v="9"/>
    <x v="14"/>
    <x v="0"/>
    <x v="6"/>
    <n v="-0.72"/>
  </r>
  <r>
    <x v="0"/>
    <x v="0"/>
    <x v="0"/>
    <x v="9"/>
    <x v="14"/>
    <x v="0"/>
    <x v="7"/>
    <n v="-0.72"/>
  </r>
  <r>
    <x v="0"/>
    <x v="0"/>
    <x v="0"/>
    <x v="9"/>
    <x v="14"/>
    <x v="0"/>
    <x v="8"/>
    <n v="-0.72"/>
  </r>
  <r>
    <x v="0"/>
    <x v="0"/>
    <x v="0"/>
    <x v="9"/>
    <x v="14"/>
    <x v="0"/>
    <x v="9"/>
    <n v="-0.72"/>
  </r>
  <r>
    <x v="0"/>
    <x v="0"/>
    <x v="0"/>
    <x v="9"/>
    <x v="14"/>
    <x v="0"/>
    <x v="10"/>
    <n v="-0.72"/>
  </r>
  <r>
    <x v="0"/>
    <x v="0"/>
    <x v="0"/>
    <x v="9"/>
    <x v="14"/>
    <x v="0"/>
    <x v="11"/>
    <n v="-0.72"/>
  </r>
  <r>
    <x v="0"/>
    <x v="0"/>
    <x v="0"/>
    <x v="9"/>
    <x v="14"/>
    <x v="0"/>
    <x v="12"/>
    <n v="-0.72"/>
  </r>
  <r>
    <x v="0"/>
    <x v="0"/>
    <x v="0"/>
    <x v="9"/>
    <x v="14"/>
    <x v="0"/>
    <x v="13"/>
    <n v="-0.72"/>
  </r>
  <r>
    <x v="0"/>
    <x v="0"/>
    <x v="0"/>
    <x v="9"/>
    <x v="14"/>
    <x v="0"/>
    <x v="14"/>
    <n v="-0.72"/>
  </r>
  <r>
    <x v="0"/>
    <x v="0"/>
    <x v="0"/>
    <x v="9"/>
    <x v="14"/>
    <x v="0"/>
    <x v="15"/>
    <n v="-0.72"/>
  </r>
  <r>
    <x v="0"/>
    <x v="0"/>
    <x v="0"/>
    <x v="9"/>
    <x v="14"/>
    <x v="0"/>
    <x v="16"/>
    <n v="-0.72"/>
  </r>
  <r>
    <x v="0"/>
    <x v="0"/>
    <x v="0"/>
    <x v="9"/>
    <x v="14"/>
    <x v="0"/>
    <x v="17"/>
    <n v="-0.72"/>
  </r>
  <r>
    <x v="0"/>
    <x v="0"/>
    <x v="0"/>
    <x v="9"/>
    <x v="14"/>
    <x v="0"/>
    <x v="18"/>
    <n v="-0.72"/>
  </r>
  <r>
    <x v="0"/>
    <x v="0"/>
    <x v="0"/>
    <x v="9"/>
    <x v="14"/>
    <x v="0"/>
    <x v="19"/>
    <n v="-0.72"/>
  </r>
  <r>
    <x v="0"/>
    <x v="0"/>
    <x v="0"/>
    <x v="9"/>
    <x v="14"/>
    <x v="0"/>
    <x v="20"/>
    <n v="-0.72"/>
  </r>
  <r>
    <x v="0"/>
    <x v="0"/>
    <x v="0"/>
    <x v="9"/>
    <x v="14"/>
    <x v="0"/>
    <x v="21"/>
    <n v="-0.72"/>
  </r>
  <r>
    <x v="0"/>
    <x v="0"/>
    <x v="0"/>
    <x v="9"/>
    <x v="14"/>
    <x v="0"/>
    <x v="22"/>
    <n v="-0.72"/>
  </r>
  <r>
    <x v="0"/>
    <x v="0"/>
    <x v="0"/>
    <x v="9"/>
    <x v="14"/>
    <x v="0"/>
    <x v="23"/>
    <n v="-0.72"/>
  </r>
  <r>
    <x v="0"/>
    <x v="0"/>
    <x v="0"/>
    <x v="9"/>
    <x v="17"/>
    <x v="0"/>
    <x v="0"/>
    <n v="-8.7451645261734906E-2"/>
  </r>
  <r>
    <x v="0"/>
    <x v="0"/>
    <x v="0"/>
    <x v="9"/>
    <x v="17"/>
    <x v="0"/>
    <x v="1"/>
    <n v="-7.8903193230347602E-3"/>
  </r>
  <r>
    <x v="0"/>
    <x v="0"/>
    <x v="0"/>
    <x v="9"/>
    <x v="17"/>
    <x v="0"/>
    <x v="2"/>
    <n v="0"/>
  </r>
  <r>
    <x v="0"/>
    <x v="0"/>
    <x v="0"/>
    <x v="9"/>
    <x v="17"/>
    <x v="0"/>
    <x v="3"/>
    <n v="0"/>
  </r>
  <r>
    <x v="0"/>
    <x v="0"/>
    <x v="0"/>
    <x v="9"/>
    <x v="17"/>
    <x v="0"/>
    <x v="4"/>
    <n v="0"/>
  </r>
  <r>
    <x v="0"/>
    <x v="0"/>
    <x v="0"/>
    <x v="9"/>
    <x v="17"/>
    <x v="0"/>
    <x v="5"/>
    <n v="-2.3488687450257499E-2"/>
  </r>
  <r>
    <x v="0"/>
    <x v="0"/>
    <x v="0"/>
    <x v="9"/>
    <x v="17"/>
    <x v="0"/>
    <x v="6"/>
    <n v="-7.6237256725029803E-2"/>
  </r>
  <r>
    <x v="0"/>
    <x v="0"/>
    <x v="0"/>
    <x v="9"/>
    <x v="17"/>
    <x v="0"/>
    <x v="7"/>
    <n v="-0.18895820715964901"/>
  </r>
  <r>
    <x v="0"/>
    <x v="0"/>
    <x v="0"/>
    <x v="9"/>
    <x v="17"/>
    <x v="0"/>
    <x v="8"/>
    <n v="0"/>
  </r>
  <r>
    <x v="0"/>
    <x v="0"/>
    <x v="0"/>
    <x v="9"/>
    <x v="17"/>
    <x v="0"/>
    <x v="9"/>
    <n v="0"/>
  </r>
  <r>
    <x v="0"/>
    <x v="0"/>
    <x v="0"/>
    <x v="9"/>
    <x v="17"/>
    <x v="0"/>
    <x v="10"/>
    <n v="0"/>
  </r>
  <r>
    <x v="0"/>
    <x v="0"/>
    <x v="0"/>
    <x v="9"/>
    <x v="17"/>
    <x v="0"/>
    <x v="11"/>
    <n v="0"/>
  </r>
  <r>
    <x v="0"/>
    <x v="0"/>
    <x v="0"/>
    <x v="9"/>
    <x v="17"/>
    <x v="0"/>
    <x v="12"/>
    <n v="0"/>
  </r>
  <r>
    <x v="0"/>
    <x v="0"/>
    <x v="0"/>
    <x v="9"/>
    <x v="17"/>
    <x v="0"/>
    <x v="13"/>
    <n v="-3.0217974366929098E-3"/>
  </r>
  <r>
    <x v="0"/>
    <x v="0"/>
    <x v="0"/>
    <x v="9"/>
    <x v="17"/>
    <x v="0"/>
    <x v="14"/>
    <n v="0"/>
  </r>
  <r>
    <x v="0"/>
    <x v="0"/>
    <x v="0"/>
    <x v="9"/>
    <x v="17"/>
    <x v="0"/>
    <x v="15"/>
    <n v="0"/>
  </r>
  <r>
    <x v="0"/>
    <x v="0"/>
    <x v="0"/>
    <x v="9"/>
    <x v="17"/>
    <x v="0"/>
    <x v="16"/>
    <n v="-1.14926521648795E-2"/>
  </r>
  <r>
    <x v="0"/>
    <x v="0"/>
    <x v="0"/>
    <x v="9"/>
    <x v="17"/>
    <x v="0"/>
    <x v="17"/>
    <n v="0"/>
  </r>
  <r>
    <x v="0"/>
    <x v="0"/>
    <x v="0"/>
    <x v="9"/>
    <x v="17"/>
    <x v="0"/>
    <x v="18"/>
    <n v="-2.0152403864256599E-3"/>
  </r>
  <r>
    <x v="0"/>
    <x v="0"/>
    <x v="0"/>
    <x v="9"/>
    <x v="17"/>
    <x v="0"/>
    <x v="19"/>
    <n v="-0.130379008222272"/>
  </r>
  <r>
    <x v="0"/>
    <x v="0"/>
    <x v="0"/>
    <x v="9"/>
    <x v="17"/>
    <x v="0"/>
    <x v="20"/>
    <n v="-0.21344392479292501"/>
  </r>
  <r>
    <x v="0"/>
    <x v="0"/>
    <x v="0"/>
    <x v="9"/>
    <x v="17"/>
    <x v="0"/>
    <x v="21"/>
    <n v="-0.27378557704158502"/>
  </r>
  <r>
    <x v="0"/>
    <x v="0"/>
    <x v="0"/>
    <x v="9"/>
    <x v="17"/>
    <x v="0"/>
    <x v="22"/>
    <n v="-0.16976473410649201"/>
  </r>
  <r>
    <x v="0"/>
    <x v="0"/>
    <x v="0"/>
    <x v="9"/>
    <x v="17"/>
    <x v="0"/>
    <x v="23"/>
    <n v="-4.8588223996625997E-2"/>
  </r>
  <r>
    <x v="0"/>
    <x v="0"/>
    <x v="0"/>
    <x v="9"/>
    <x v="10"/>
    <x v="0"/>
    <x v="0"/>
    <n v="0"/>
  </r>
  <r>
    <x v="0"/>
    <x v="0"/>
    <x v="0"/>
    <x v="9"/>
    <x v="10"/>
    <x v="0"/>
    <x v="1"/>
    <n v="0"/>
  </r>
  <r>
    <x v="0"/>
    <x v="0"/>
    <x v="0"/>
    <x v="9"/>
    <x v="10"/>
    <x v="0"/>
    <x v="2"/>
    <n v="0"/>
  </r>
  <r>
    <x v="0"/>
    <x v="0"/>
    <x v="0"/>
    <x v="9"/>
    <x v="10"/>
    <x v="0"/>
    <x v="3"/>
    <n v="0"/>
  </r>
  <r>
    <x v="0"/>
    <x v="0"/>
    <x v="0"/>
    <x v="9"/>
    <x v="10"/>
    <x v="0"/>
    <x v="4"/>
    <n v="0"/>
  </r>
  <r>
    <x v="0"/>
    <x v="0"/>
    <x v="0"/>
    <x v="9"/>
    <x v="10"/>
    <x v="0"/>
    <x v="5"/>
    <n v="0"/>
  </r>
  <r>
    <x v="0"/>
    <x v="0"/>
    <x v="0"/>
    <x v="9"/>
    <x v="10"/>
    <x v="0"/>
    <x v="6"/>
    <n v="0"/>
  </r>
  <r>
    <x v="0"/>
    <x v="0"/>
    <x v="0"/>
    <x v="9"/>
    <x v="10"/>
    <x v="0"/>
    <x v="7"/>
    <n v="0"/>
  </r>
  <r>
    <x v="0"/>
    <x v="0"/>
    <x v="0"/>
    <x v="9"/>
    <x v="10"/>
    <x v="0"/>
    <x v="8"/>
    <n v="0"/>
  </r>
  <r>
    <x v="0"/>
    <x v="0"/>
    <x v="0"/>
    <x v="9"/>
    <x v="10"/>
    <x v="0"/>
    <x v="9"/>
    <n v="0"/>
  </r>
  <r>
    <x v="0"/>
    <x v="0"/>
    <x v="0"/>
    <x v="9"/>
    <x v="10"/>
    <x v="0"/>
    <x v="10"/>
    <n v="0"/>
  </r>
  <r>
    <x v="0"/>
    <x v="0"/>
    <x v="0"/>
    <x v="9"/>
    <x v="10"/>
    <x v="0"/>
    <x v="11"/>
    <n v="0"/>
  </r>
  <r>
    <x v="0"/>
    <x v="0"/>
    <x v="0"/>
    <x v="9"/>
    <x v="10"/>
    <x v="0"/>
    <x v="12"/>
    <n v="0"/>
  </r>
  <r>
    <x v="0"/>
    <x v="0"/>
    <x v="0"/>
    <x v="9"/>
    <x v="10"/>
    <x v="0"/>
    <x v="13"/>
    <n v="0"/>
  </r>
  <r>
    <x v="0"/>
    <x v="0"/>
    <x v="0"/>
    <x v="9"/>
    <x v="10"/>
    <x v="0"/>
    <x v="14"/>
    <n v="0"/>
  </r>
  <r>
    <x v="0"/>
    <x v="0"/>
    <x v="0"/>
    <x v="9"/>
    <x v="10"/>
    <x v="0"/>
    <x v="15"/>
    <n v="0"/>
  </r>
  <r>
    <x v="0"/>
    <x v="0"/>
    <x v="0"/>
    <x v="9"/>
    <x v="10"/>
    <x v="0"/>
    <x v="16"/>
    <n v="0"/>
  </r>
  <r>
    <x v="0"/>
    <x v="0"/>
    <x v="0"/>
    <x v="9"/>
    <x v="10"/>
    <x v="0"/>
    <x v="17"/>
    <n v="0"/>
  </r>
  <r>
    <x v="0"/>
    <x v="0"/>
    <x v="0"/>
    <x v="9"/>
    <x v="10"/>
    <x v="0"/>
    <x v="18"/>
    <n v="0"/>
  </r>
  <r>
    <x v="0"/>
    <x v="0"/>
    <x v="0"/>
    <x v="9"/>
    <x v="10"/>
    <x v="0"/>
    <x v="19"/>
    <n v="0"/>
  </r>
  <r>
    <x v="0"/>
    <x v="0"/>
    <x v="0"/>
    <x v="9"/>
    <x v="10"/>
    <x v="0"/>
    <x v="20"/>
    <n v="0"/>
  </r>
  <r>
    <x v="0"/>
    <x v="0"/>
    <x v="0"/>
    <x v="9"/>
    <x v="10"/>
    <x v="0"/>
    <x v="21"/>
    <n v="0"/>
  </r>
  <r>
    <x v="0"/>
    <x v="0"/>
    <x v="0"/>
    <x v="9"/>
    <x v="10"/>
    <x v="0"/>
    <x v="22"/>
    <n v="0"/>
  </r>
  <r>
    <x v="0"/>
    <x v="0"/>
    <x v="0"/>
    <x v="9"/>
    <x v="10"/>
    <x v="0"/>
    <x v="23"/>
    <n v="0"/>
  </r>
  <r>
    <x v="0"/>
    <x v="0"/>
    <x v="0"/>
    <x v="10"/>
    <x v="1"/>
    <x v="0"/>
    <x v="0"/>
    <n v="0"/>
  </r>
  <r>
    <x v="0"/>
    <x v="0"/>
    <x v="0"/>
    <x v="10"/>
    <x v="1"/>
    <x v="0"/>
    <x v="1"/>
    <n v="0"/>
  </r>
  <r>
    <x v="0"/>
    <x v="0"/>
    <x v="0"/>
    <x v="10"/>
    <x v="1"/>
    <x v="0"/>
    <x v="2"/>
    <n v="0"/>
  </r>
  <r>
    <x v="0"/>
    <x v="0"/>
    <x v="0"/>
    <x v="10"/>
    <x v="1"/>
    <x v="0"/>
    <x v="3"/>
    <n v="0"/>
  </r>
  <r>
    <x v="0"/>
    <x v="0"/>
    <x v="0"/>
    <x v="10"/>
    <x v="1"/>
    <x v="0"/>
    <x v="4"/>
    <n v="0"/>
  </r>
  <r>
    <x v="0"/>
    <x v="0"/>
    <x v="0"/>
    <x v="10"/>
    <x v="1"/>
    <x v="0"/>
    <x v="5"/>
    <n v="0"/>
  </r>
  <r>
    <x v="0"/>
    <x v="0"/>
    <x v="0"/>
    <x v="10"/>
    <x v="1"/>
    <x v="0"/>
    <x v="6"/>
    <n v="0"/>
  </r>
  <r>
    <x v="0"/>
    <x v="0"/>
    <x v="0"/>
    <x v="10"/>
    <x v="1"/>
    <x v="0"/>
    <x v="7"/>
    <n v="-3.2075891493256599"/>
  </r>
  <r>
    <x v="0"/>
    <x v="0"/>
    <x v="0"/>
    <x v="10"/>
    <x v="1"/>
    <x v="0"/>
    <x v="8"/>
    <n v="-3.2075891493256599"/>
  </r>
  <r>
    <x v="0"/>
    <x v="0"/>
    <x v="0"/>
    <x v="10"/>
    <x v="1"/>
    <x v="0"/>
    <x v="9"/>
    <n v="-3.2075891493256599"/>
  </r>
  <r>
    <x v="0"/>
    <x v="0"/>
    <x v="0"/>
    <x v="10"/>
    <x v="1"/>
    <x v="0"/>
    <x v="10"/>
    <n v="-3.2075891493256599"/>
  </r>
  <r>
    <x v="0"/>
    <x v="0"/>
    <x v="0"/>
    <x v="10"/>
    <x v="1"/>
    <x v="0"/>
    <x v="11"/>
    <n v="-3.2075891493256599"/>
  </r>
  <r>
    <x v="0"/>
    <x v="0"/>
    <x v="0"/>
    <x v="10"/>
    <x v="1"/>
    <x v="0"/>
    <x v="12"/>
    <n v="-3.2075891493256599"/>
  </r>
  <r>
    <x v="0"/>
    <x v="0"/>
    <x v="0"/>
    <x v="10"/>
    <x v="1"/>
    <x v="0"/>
    <x v="13"/>
    <n v="-3.2075891493256599"/>
  </r>
  <r>
    <x v="0"/>
    <x v="0"/>
    <x v="0"/>
    <x v="10"/>
    <x v="1"/>
    <x v="0"/>
    <x v="14"/>
    <n v="-3.2075891493256599"/>
  </r>
  <r>
    <x v="0"/>
    <x v="0"/>
    <x v="0"/>
    <x v="10"/>
    <x v="1"/>
    <x v="0"/>
    <x v="15"/>
    <n v="-3.2075891493256599"/>
  </r>
  <r>
    <x v="0"/>
    <x v="0"/>
    <x v="0"/>
    <x v="10"/>
    <x v="1"/>
    <x v="0"/>
    <x v="16"/>
    <n v="-3.2075891493256599"/>
  </r>
  <r>
    <x v="0"/>
    <x v="0"/>
    <x v="0"/>
    <x v="10"/>
    <x v="1"/>
    <x v="0"/>
    <x v="17"/>
    <n v="-3.2075891493256599"/>
  </r>
  <r>
    <x v="0"/>
    <x v="0"/>
    <x v="0"/>
    <x v="10"/>
    <x v="1"/>
    <x v="0"/>
    <x v="18"/>
    <n v="-3.2075891493256599"/>
  </r>
  <r>
    <x v="0"/>
    <x v="0"/>
    <x v="0"/>
    <x v="10"/>
    <x v="1"/>
    <x v="0"/>
    <x v="19"/>
    <n v="-3.2075891493256599"/>
  </r>
  <r>
    <x v="0"/>
    <x v="0"/>
    <x v="0"/>
    <x v="10"/>
    <x v="1"/>
    <x v="0"/>
    <x v="20"/>
    <n v="-3.2075891493256599"/>
  </r>
  <r>
    <x v="0"/>
    <x v="0"/>
    <x v="0"/>
    <x v="10"/>
    <x v="1"/>
    <x v="0"/>
    <x v="21"/>
    <n v="-3.2075891493256599"/>
  </r>
  <r>
    <x v="0"/>
    <x v="0"/>
    <x v="0"/>
    <x v="10"/>
    <x v="1"/>
    <x v="0"/>
    <x v="22"/>
    <n v="-2.67233396779723"/>
  </r>
  <r>
    <x v="0"/>
    <x v="0"/>
    <x v="0"/>
    <x v="10"/>
    <x v="1"/>
    <x v="0"/>
    <x v="23"/>
    <n v="-1.6193315138809601"/>
  </r>
  <r>
    <x v="0"/>
    <x v="0"/>
    <x v="0"/>
    <x v="10"/>
    <x v="2"/>
    <x v="0"/>
    <x v="0"/>
    <n v="-3.51"/>
  </r>
  <r>
    <x v="0"/>
    <x v="0"/>
    <x v="0"/>
    <x v="10"/>
    <x v="2"/>
    <x v="0"/>
    <x v="1"/>
    <n v="-3.51"/>
  </r>
  <r>
    <x v="0"/>
    <x v="0"/>
    <x v="0"/>
    <x v="10"/>
    <x v="2"/>
    <x v="0"/>
    <x v="2"/>
    <n v="-3.51"/>
  </r>
  <r>
    <x v="0"/>
    <x v="0"/>
    <x v="0"/>
    <x v="10"/>
    <x v="2"/>
    <x v="0"/>
    <x v="3"/>
    <n v="-3.51"/>
  </r>
  <r>
    <x v="0"/>
    <x v="0"/>
    <x v="0"/>
    <x v="10"/>
    <x v="2"/>
    <x v="0"/>
    <x v="4"/>
    <n v="-2.4282726271434498"/>
  </r>
  <r>
    <x v="0"/>
    <x v="0"/>
    <x v="0"/>
    <x v="10"/>
    <x v="2"/>
    <x v="0"/>
    <x v="5"/>
    <n v="-2.49716687890042"/>
  </r>
  <r>
    <x v="0"/>
    <x v="0"/>
    <x v="0"/>
    <x v="10"/>
    <x v="2"/>
    <x v="0"/>
    <x v="6"/>
    <n v="-3.51"/>
  </r>
  <r>
    <x v="0"/>
    <x v="0"/>
    <x v="0"/>
    <x v="10"/>
    <x v="2"/>
    <x v="0"/>
    <x v="7"/>
    <n v="-3.51"/>
  </r>
  <r>
    <x v="0"/>
    <x v="0"/>
    <x v="0"/>
    <x v="10"/>
    <x v="2"/>
    <x v="0"/>
    <x v="8"/>
    <n v="-3.51"/>
  </r>
  <r>
    <x v="0"/>
    <x v="0"/>
    <x v="0"/>
    <x v="10"/>
    <x v="2"/>
    <x v="0"/>
    <x v="9"/>
    <n v="-3.51"/>
  </r>
  <r>
    <x v="0"/>
    <x v="0"/>
    <x v="0"/>
    <x v="10"/>
    <x v="2"/>
    <x v="0"/>
    <x v="10"/>
    <n v="-3.51"/>
  </r>
  <r>
    <x v="0"/>
    <x v="0"/>
    <x v="0"/>
    <x v="10"/>
    <x v="2"/>
    <x v="0"/>
    <x v="11"/>
    <n v="-3.51"/>
  </r>
  <r>
    <x v="0"/>
    <x v="0"/>
    <x v="0"/>
    <x v="10"/>
    <x v="2"/>
    <x v="0"/>
    <x v="12"/>
    <n v="-3.51"/>
  </r>
  <r>
    <x v="0"/>
    <x v="0"/>
    <x v="0"/>
    <x v="10"/>
    <x v="2"/>
    <x v="0"/>
    <x v="13"/>
    <n v="-3.51"/>
  </r>
  <r>
    <x v="0"/>
    <x v="0"/>
    <x v="0"/>
    <x v="10"/>
    <x v="2"/>
    <x v="0"/>
    <x v="14"/>
    <n v="-3.51"/>
  </r>
  <r>
    <x v="0"/>
    <x v="0"/>
    <x v="0"/>
    <x v="10"/>
    <x v="2"/>
    <x v="0"/>
    <x v="15"/>
    <n v="-3.51"/>
  </r>
  <r>
    <x v="0"/>
    <x v="0"/>
    <x v="0"/>
    <x v="10"/>
    <x v="2"/>
    <x v="0"/>
    <x v="16"/>
    <n v="-3.51"/>
  </r>
  <r>
    <x v="0"/>
    <x v="0"/>
    <x v="0"/>
    <x v="10"/>
    <x v="2"/>
    <x v="0"/>
    <x v="17"/>
    <n v="-3.51"/>
  </r>
  <r>
    <x v="0"/>
    <x v="0"/>
    <x v="0"/>
    <x v="10"/>
    <x v="2"/>
    <x v="0"/>
    <x v="18"/>
    <n v="-3.51"/>
  </r>
  <r>
    <x v="0"/>
    <x v="0"/>
    <x v="0"/>
    <x v="10"/>
    <x v="2"/>
    <x v="0"/>
    <x v="19"/>
    <n v="-3.51"/>
  </r>
  <r>
    <x v="0"/>
    <x v="0"/>
    <x v="0"/>
    <x v="10"/>
    <x v="2"/>
    <x v="0"/>
    <x v="20"/>
    <n v="-3.51"/>
  </r>
  <r>
    <x v="0"/>
    <x v="0"/>
    <x v="0"/>
    <x v="10"/>
    <x v="2"/>
    <x v="0"/>
    <x v="21"/>
    <n v="-3.51"/>
  </r>
  <r>
    <x v="0"/>
    <x v="0"/>
    <x v="0"/>
    <x v="10"/>
    <x v="2"/>
    <x v="0"/>
    <x v="22"/>
    <n v="-3.51"/>
  </r>
  <r>
    <x v="0"/>
    <x v="0"/>
    <x v="0"/>
    <x v="10"/>
    <x v="2"/>
    <x v="0"/>
    <x v="23"/>
    <n v="-3.51"/>
  </r>
  <r>
    <x v="0"/>
    <x v="0"/>
    <x v="0"/>
    <x v="10"/>
    <x v="6"/>
    <x v="0"/>
    <x v="0"/>
    <n v="0"/>
  </r>
  <r>
    <x v="0"/>
    <x v="0"/>
    <x v="0"/>
    <x v="10"/>
    <x v="6"/>
    <x v="0"/>
    <x v="1"/>
    <n v="0"/>
  </r>
  <r>
    <x v="0"/>
    <x v="0"/>
    <x v="0"/>
    <x v="10"/>
    <x v="6"/>
    <x v="0"/>
    <x v="2"/>
    <n v="0"/>
  </r>
  <r>
    <x v="0"/>
    <x v="0"/>
    <x v="0"/>
    <x v="10"/>
    <x v="6"/>
    <x v="0"/>
    <x v="3"/>
    <n v="0"/>
  </r>
  <r>
    <x v="0"/>
    <x v="0"/>
    <x v="0"/>
    <x v="10"/>
    <x v="6"/>
    <x v="0"/>
    <x v="4"/>
    <n v="0"/>
  </r>
  <r>
    <x v="0"/>
    <x v="0"/>
    <x v="0"/>
    <x v="10"/>
    <x v="6"/>
    <x v="0"/>
    <x v="5"/>
    <n v="0"/>
  </r>
  <r>
    <x v="0"/>
    <x v="0"/>
    <x v="0"/>
    <x v="10"/>
    <x v="6"/>
    <x v="0"/>
    <x v="6"/>
    <n v="0"/>
  </r>
  <r>
    <x v="0"/>
    <x v="0"/>
    <x v="0"/>
    <x v="10"/>
    <x v="6"/>
    <x v="0"/>
    <x v="7"/>
    <n v="0"/>
  </r>
  <r>
    <x v="0"/>
    <x v="0"/>
    <x v="0"/>
    <x v="10"/>
    <x v="6"/>
    <x v="0"/>
    <x v="8"/>
    <n v="0"/>
  </r>
  <r>
    <x v="0"/>
    <x v="0"/>
    <x v="0"/>
    <x v="10"/>
    <x v="6"/>
    <x v="0"/>
    <x v="9"/>
    <n v="0"/>
  </r>
  <r>
    <x v="0"/>
    <x v="0"/>
    <x v="0"/>
    <x v="10"/>
    <x v="6"/>
    <x v="0"/>
    <x v="10"/>
    <n v="0"/>
  </r>
  <r>
    <x v="0"/>
    <x v="0"/>
    <x v="0"/>
    <x v="10"/>
    <x v="6"/>
    <x v="0"/>
    <x v="11"/>
    <n v="0"/>
  </r>
  <r>
    <x v="0"/>
    <x v="0"/>
    <x v="0"/>
    <x v="10"/>
    <x v="6"/>
    <x v="0"/>
    <x v="12"/>
    <n v="0"/>
  </r>
  <r>
    <x v="0"/>
    <x v="0"/>
    <x v="0"/>
    <x v="10"/>
    <x v="6"/>
    <x v="0"/>
    <x v="13"/>
    <n v="0"/>
  </r>
  <r>
    <x v="0"/>
    <x v="0"/>
    <x v="0"/>
    <x v="10"/>
    <x v="6"/>
    <x v="0"/>
    <x v="14"/>
    <n v="0"/>
  </r>
  <r>
    <x v="0"/>
    <x v="0"/>
    <x v="0"/>
    <x v="10"/>
    <x v="6"/>
    <x v="0"/>
    <x v="15"/>
    <n v="0"/>
  </r>
  <r>
    <x v="0"/>
    <x v="0"/>
    <x v="0"/>
    <x v="10"/>
    <x v="6"/>
    <x v="0"/>
    <x v="16"/>
    <n v="0"/>
  </r>
  <r>
    <x v="0"/>
    <x v="0"/>
    <x v="0"/>
    <x v="10"/>
    <x v="6"/>
    <x v="0"/>
    <x v="17"/>
    <n v="0"/>
  </r>
  <r>
    <x v="0"/>
    <x v="0"/>
    <x v="0"/>
    <x v="10"/>
    <x v="6"/>
    <x v="0"/>
    <x v="18"/>
    <n v="0"/>
  </r>
  <r>
    <x v="0"/>
    <x v="0"/>
    <x v="0"/>
    <x v="10"/>
    <x v="6"/>
    <x v="0"/>
    <x v="19"/>
    <n v="0"/>
  </r>
  <r>
    <x v="0"/>
    <x v="0"/>
    <x v="0"/>
    <x v="10"/>
    <x v="6"/>
    <x v="0"/>
    <x v="20"/>
    <n v="0"/>
  </r>
  <r>
    <x v="0"/>
    <x v="0"/>
    <x v="0"/>
    <x v="10"/>
    <x v="6"/>
    <x v="0"/>
    <x v="21"/>
    <n v="0"/>
  </r>
  <r>
    <x v="0"/>
    <x v="0"/>
    <x v="0"/>
    <x v="10"/>
    <x v="6"/>
    <x v="0"/>
    <x v="22"/>
    <n v="0"/>
  </r>
  <r>
    <x v="0"/>
    <x v="0"/>
    <x v="0"/>
    <x v="10"/>
    <x v="6"/>
    <x v="0"/>
    <x v="23"/>
    <n v="0"/>
  </r>
  <r>
    <x v="0"/>
    <x v="0"/>
    <x v="0"/>
    <x v="10"/>
    <x v="7"/>
    <x v="0"/>
    <x v="0"/>
    <n v="-0.63"/>
  </r>
  <r>
    <x v="0"/>
    <x v="0"/>
    <x v="0"/>
    <x v="10"/>
    <x v="7"/>
    <x v="0"/>
    <x v="1"/>
    <n v="-0.63"/>
  </r>
  <r>
    <x v="0"/>
    <x v="0"/>
    <x v="0"/>
    <x v="10"/>
    <x v="7"/>
    <x v="0"/>
    <x v="2"/>
    <n v="-0.63"/>
  </r>
  <r>
    <x v="0"/>
    <x v="0"/>
    <x v="0"/>
    <x v="10"/>
    <x v="7"/>
    <x v="0"/>
    <x v="3"/>
    <n v="-0.63"/>
  </r>
  <r>
    <x v="0"/>
    <x v="0"/>
    <x v="0"/>
    <x v="10"/>
    <x v="7"/>
    <x v="0"/>
    <x v="4"/>
    <n v="-0.63"/>
  </r>
  <r>
    <x v="0"/>
    <x v="0"/>
    <x v="0"/>
    <x v="10"/>
    <x v="7"/>
    <x v="0"/>
    <x v="5"/>
    <n v="-0.63"/>
  </r>
  <r>
    <x v="0"/>
    <x v="0"/>
    <x v="0"/>
    <x v="10"/>
    <x v="7"/>
    <x v="0"/>
    <x v="6"/>
    <n v="-0.63"/>
  </r>
  <r>
    <x v="0"/>
    <x v="0"/>
    <x v="0"/>
    <x v="10"/>
    <x v="7"/>
    <x v="0"/>
    <x v="7"/>
    <n v="-0.63"/>
  </r>
  <r>
    <x v="0"/>
    <x v="0"/>
    <x v="0"/>
    <x v="10"/>
    <x v="7"/>
    <x v="0"/>
    <x v="8"/>
    <n v="-0.63"/>
  </r>
  <r>
    <x v="0"/>
    <x v="0"/>
    <x v="0"/>
    <x v="10"/>
    <x v="7"/>
    <x v="0"/>
    <x v="9"/>
    <n v="-0.63"/>
  </r>
  <r>
    <x v="0"/>
    <x v="0"/>
    <x v="0"/>
    <x v="10"/>
    <x v="7"/>
    <x v="0"/>
    <x v="10"/>
    <n v="-0.63"/>
  </r>
  <r>
    <x v="0"/>
    <x v="0"/>
    <x v="0"/>
    <x v="10"/>
    <x v="7"/>
    <x v="0"/>
    <x v="11"/>
    <n v="-0.63"/>
  </r>
  <r>
    <x v="0"/>
    <x v="0"/>
    <x v="0"/>
    <x v="10"/>
    <x v="7"/>
    <x v="0"/>
    <x v="12"/>
    <n v="-0.63"/>
  </r>
  <r>
    <x v="0"/>
    <x v="0"/>
    <x v="0"/>
    <x v="10"/>
    <x v="7"/>
    <x v="0"/>
    <x v="13"/>
    <n v="-0.63"/>
  </r>
  <r>
    <x v="0"/>
    <x v="0"/>
    <x v="0"/>
    <x v="10"/>
    <x v="7"/>
    <x v="0"/>
    <x v="14"/>
    <n v="-0.63"/>
  </r>
  <r>
    <x v="0"/>
    <x v="0"/>
    <x v="0"/>
    <x v="10"/>
    <x v="7"/>
    <x v="0"/>
    <x v="15"/>
    <n v="-0.63"/>
  </r>
  <r>
    <x v="0"/>
    <x v="0"/>
    <x v="0"/>
    <x v="10"/>
    <x v="7"/>
    <x v="0"/>
    <x v="16"/>
    <n v="-0.63"/>
  </r>
  <r>
    <x v="0"/>
    <x v="0"/>
    <x v="0"/>
    <x v="10"/>
    <x v="7"/>
    <x v="0"/>
    <x v="17"/>
    <n v="-0.63"/>
  </r>
  <r>
    <x v="0"/>
    <x v="0"/>
    <x v="0"/>
    <x v="10"/>
    <x v="7"/>
    <x v="0"/>
    <x v="18"/>
    <n v="-0.63"/>
  </r>
  <r>
    <x v="0"/>
    <x v="0"/>
    <x v="0"/>
    <x v="10"/>
    <x v="7"/>
    <x v="0"/>
    <x v="19"/>
    <n v="-0.63"/>
  </r>
  <r>
    <x v="0"/>
    <x v="0"/>
    <x v="0"/>
    <x v="10"/>
    <x v="7"/>
    <x v="0"/>
    <x v="20"/>
    <n v="-0.63"/>
  </r>
  <r>
    <x v="0"/>
    <x v="0"/>
    <x v="0"/>
    <x v="10"/>
    <x v="7"/>
    <x v="0"/>
    <x v="21"/>
    <n v="-0.63"/>
  </r>
  <r>
    <x v="0"/>
    <x v="0"/>
    <x v="0"/>
    <x v="10"/>
    <x v="7"/>
    <x v="0"/>
    <x v="22"/>
    <n v="-0.63"/>
  </r>
  <r>
    <x v="0"/>
    <x v="0"/>
    <x v="0"/>
    <x v="10"/>
    <x v="7"/>
    <x v="0"/>
    <x v="23"/>
    <n v="-0.63"/>
  </r>
  <r>
    <x v="0"/>
    <x v="0"/>
    <x v="0"/>
    <x v="10"/>
    <x v="11"/>
    <x v="0"/>
    <x v="0"/>
    <n v="0.9"/>
  </r>
  <r>
    <x v="0"/>
    <x v="0"/>
    <x v="0"/>
    <x v="10"/>
    <x v="11"/>
    <x v="0"/>
    <x v="1"/>
    <n v="0.9"/>
  </r>
  <r>
    <x v="0"/>
    <x v="0"/>
    <x v="0"/>
    <x v="10"/>
    <x v="11"/>
    <x v="0"/>
    <x v="2"/>
    <n v="0.9"/>
  </r>
  <r>
    <x v="0"/>
    <x v="0"/>
    <x v="0"/>
    <x v="10"/>
    <x v="11"/>
    <x v="0"/>
    <x v="3"/>
    <n v="0.9"/>
  </r>
  <r>
    <x v="0"/>
    <x v="0"/>
    <x v="0"/>
    <x v="10"/>
    <x v="11"/>
    <x v="0"/>
    <x v="4"/>
    <n v="0.9"/>
  </r>
  <r>
    <x v="0"/>
    <x v="0"/>
    <x v="0"/>
    <x v="10"/>
    <x v="11"/>
    <x v="0"/>
    <x v="5"/>
    <n v="0.57969587264719602"/>
  </r>
  <r>
    <x v="0"/>
    <x v="0"/>
    <x v="0"/>
    <x v="10"/>
    <x v="11"/>
    <x v="0"/>
    <x v="6"/>
    <n v="0.115375418947918"/>
  </r>
  <r>
    <x v="0"/>
    <x v="0"/>
    <x v="0"/>
    <x v="10"/>
    <x v="11"/>
    <x v="0"/>
    <x v="7"/>
    <n v="0.9"/>
  </r>
  <r>
    <x v="0"/>
    <x v="0"/>
    <x v="0"/>
    <x v="10"/>
    <x v="11"/>
    <x v="0"/>
    <x v="8"/>
    <n v="-0.51967542257251897"/>
  </r>
  <r>
    <x v="0"/>
    <x v="0"/>
    <x v="0"/>
    <x v="10"/>
    <x v="11"/>
    <x v="0"/>
    <x v="9"/>
    <n v="-0.75164021621101795"/>
  </r>
  <r>
    <x v="0"/>
    <x v="0"/>
    <x v="0"/>
    <x v="10"/>
    <x v="11"/>
    <x v="0"/>
    <x v="10"/>
    <n v="-0.54211372025968896"/>
  </r>
  <r>
    <x v="0"/>
    <x v="0"/>
    <x v="0"/>
    <x v="10"/>
    <x v="11"/>
    <x v="0"/>
    <x v="11"/>
    <n v="-0.51064611303026297"/>
  </r>
  <r>
    <x v="0"/>
    <x v="0"/>
    <x v="0"/>
    <x v="10"/>
    <x v="11"/>
    <x v="0"/>
    <x v="12"/>
    <n v="-0.180661961433184"/>
  </r>
  <r>
    <x v="0"/>
    <x v="0"/>
    <x v="0"/>
    <x v="10"/>
    <x v="11"/>
    <x v="0"/>
    <x v="13"/>
    <n v="-0.279566926583318"/>
  </r>
  <r>
    <x v="0"/>
    <x v="0"/>
    <x v="0"/>
    <x v="10"/>
    <x v="11"/>
    <x v="0"/>
    <x v="14"/>
    <n v="-0.12668894639074099"/>
  </r>
  <r>
    <x v="0"/>
    <x v="0"/>
    <x v="0"/>
    <x v="10"/>
    <x v="11"/>
    <x v="0"/>
    <x v="15"/>
    <n v="-0.18539072561273801"/>
  </r>
  <r>
    <x v="0"/>
    <x v="0"/>
    <x v="0"/>
    <x v="10"/>
    <x v="11"/>
    <x v="0"/>
    <x v="16"/>
    <n v="-0.74813443968140203"/>
  </r>
  <r>
    <x v="0"/>
    <x v="0"/>
    <x v="0"/>
    <x v="10"/>
    <x v="11"/>
    <x v="0"/>
    <x v="17"/>
    <n v="-0.9"/>
  </r>
  <r>
    <x v="0"/>
    <x v="0"/>
    <x v="0"/>
    <x v="10"/>
    <x v="11"/>
    <x v="0"/>
    <x v="18"/>
    <n v="-0.9"/>
  </r>
  <r>
    <x v="0"/>
    <x v="0"/>
    <x v="0"/>
    <x v="10"/>
    <x v="11"/>
    <x v="0"/>
    <x v="19"/>
    <n v="-0.56532861492505904"/>
  </r>
  <r>
    <x v="0"/>
    <x v="0"/>
    <x v="0"/>
    <x v="10"/>
    <x v="11"/>
    <x v="0"/>
    <x v="20"/>
    <n v="-3.6396331295567498E-2"/>
  </r>
  <r>
    <x v="0"/>
    <x v="0"/>
    <x v="0"/>
    <x v="10"/>
    <x v="11"/>
    <x v="0"/>
    <x v="21"/>
    <n v="0.86299122703468401"/>
  </r>
  <r>
    <x v="0"/>
    <x v="0"/>
    <x v="0"/>
    <x v="10"/>
    <x v="11"/>
    <x v="0"/>
    <x v="22"/>
    <n v="0.9"/>
  </r>
  <r>
    <x v="0"/>
    <x v="0"/>
    <x v="0"/>
    <x v="10"/>
    <x v="11"/>
    <x v="0"/>
    <x v="23"/>
    <n v="0.9"/>
  </r>
  <r>
    <x v="0"/>
    <x v="0"/>
    <x v="0"/>
    <x v="11"/>
    <x v="7"/>
    <x v="0"/>
    <x v="0"/>
    <n v="-1.5000356798084"/>
  </r>
  <r>
    <x v="0"/>
    <x v="0"/>
    <x v="0"/>
    <x v="11"/>
    <x v="7"/>
    <x v="0"/>
    <x v="1"/>
    <n v="-1.32764366688803"/>
  </r>
  <r>
    <x v="0"/>
    <x v="0"/>
    <x v="0"/>
    <x v="11"/>
    <x v="7"/>
    <x v="0"/>
    <x v="2"/>
    <n v="-1.27786917902232"/>
  </r>
  <r>
    <x v="0"/>
    <x v="0"/>
    <x v="0"/>
    <x v="11"/>
    <x v="7"/>
    <x v="0"/>
    <x v="3"/>
    <n v="-1.2226858674282901"/>
  </r>
  <r>
    <x v="0"/>
    <x v="0"/>
    <x v="0"/>
    <x v="11"/>
    <x v="7"/>
    <x v="0"/>
    <x v="4"/>
    <n v="-1.30992385370446"/>
  </r>
  <r>
    <x v="0"/>
    <x v="0"/>
    <x v="0"/>
    <x v="11"/>
    <x v="7"/>
    <x v="0"/>
    <x v="5"/>
    <n v="-1.5650906861765901"/>
  </r>
  <r>
    <x v="0"/>
    <x v="0"/>
    <x v="0"/>
    <x v="11"/>
    <x v="7"/>
    <x v="0"/>
    <x v="6"/>
    <n v="-1.8194356916019201"/>
  </r>
  <r>
    <x v="0"/>
    <x v="0"/>
    <x v="0"/>
    <x v="11"/>
    <x v="7"/>
    <x v="0"/>
    <x v="7"/>
    <n v="-1.6324369627986599"/>
  </r>
  <r>
    <x v="0"/>
    <x v="0"/>
    <x v="0"/>
    <x v="11"/>
    <x v="7"/>
    <x v="0"/>
    <x v="8"/>
    <n v="-1.8181102106196401"/>
  </r>
  <r>
    <x v="0"/>
    <x v="0"/>
    <x v="0"/>
    <x v="11"/>
    <x v="7"/>
    <x v="0"/>
    <x v="9"/>
    <n v="-1.5620736858517399"/>
  </r>
  <r>
    <x v="0"/>
    <x v="0"/>
    <x v="0"/>
    <x v="11"/>
    <x v="7"/>
    <x v="0"/>
    <x v="10"/>
    <n v="-2.3118991216532798"/>
  </r>
  <r>
    <x v="0"/>
    <x v="0"/>
    <x v="0"/>
    <x v="11"/>
    <x v="7"/>
    <x v="0"/>
    <x v="11"/>
    <n v="-2.18019221649317"/>
  </r>
  <r>
    <x v="0"/>
    <x v="0"/>
    <x v="0"/>
    <x v="11"/>
    <x v="7"/>
    <x v="0"/>
    <x v="12"/>
    <n v="-2.39005090664471"/>
  </r>
  <r>
    <x v="0"/>
    <x v="0"/>
    <x v="0"/>
    <x v="11"/>
    <x v="7"/>
    <x v="0"/>
    <x v="13"/>
    <n v="-2.0363814737297199"/>
  </r>
  <r>
    <x v="0"/>
    <x v="0"/>
    <x v="0"/>
    <x v="11"/>
    <x v="7"/>
    <x v="0"/>
    <x v="14"/>
    <n v="-1.9648607362223001"/>
  </r>
  <r>
    <x v="0"/>
    <x v="0"/>
    <x v="0"/>
    <x v="11"/>
    <x v="7"/>
    <x v="0"/>
    <x v="15"/>
    <n v="-2.27308483294469"/>
  </r>
  <r>
    <x v="0"/>
    <x v="0"/>
    <x v="0"/>
    <x v="11"/>
    <x v="7"/>
    <x v="0"/>
    <x v="16"/>
    <n v="-2.0912647071530399"/>
  </r>
  <r>
    <x v="0"/>
    <x v="0"/>
    <x v="0"/>
    <x v="11"/>
    <x v="7"/>
    <x v="0"/>
    <x v="17"/>
    <n v="-1.94951853522187"/>
  </r>
  <r>
    <x v="0"/>
    <x v="0"/>
    <x v="0"/>
    <x v="11"/>
    <x v="7"/>
    <x v="0"/>
    <x v="18"/>
    <n v="-1.9395994691244101"/>
  </r>
  <r>
    <x v="0"/>
    <x v="0"/>
    <x v="0"/>
    <x v="11"/>
    <x v="7"/>
    <x v="0"/>
    <x v="19"/>
    <n v="-1.9623991710656099"/>
  </r>
  <r>
    <x v="0"/>
    <x v="0"/>
    <x v="0"/>
    <x v="11"/>
    <x v="7"/>
    <x v="0"/>
    <x v="20"/>
    <n v="-1.8114309807343401"/>
  </r>
  <r>
    <x v="0"/>
    <x v="0"/>
    <x v="0"/>
    <x v="11"/>
    <x v="7"/>
    <x v="0"/>
    <x v="21"/>
    <n v="-1.6844711339357199"/>
  </r>
  <r>
    <x v="0"/>
    <x v="0"/>
    <x v="0"/>
    <x v="11"/>
    <x v="7"/>
    <x v="0"/>
    <x v="22"/>
    <n v="-1.57651163553769"/>
  </r>
  <r>
    <x v="0"/>
    <x v="0"/>
    <x v="0"/>
    <x v="11"/>
    <x v="7"/>
    <x v="0"/>
    <x v="23"/>
    <n v="-2.1396460287975301"/>
  </r>
  <r>
    <x v="0"/>
    <x v="0"/>
    <x v="0"/>
    <x v="11"/>
    <x v="18"/>
    <x v="0"/>
    <x v="0"/>
    <n v="-0.61237840421314205"/>
  </r>
  <r>
    <x v="0"/>
    <x v="0"/>
    <x v="0"/>
    <x v="11"/>
    <x v="18"/>
    <x v="0"/>
    <x v="1"/>
    <n v="-0.72541196243545902"/>
  </r>
  <r>
    <x v="0"/>
    <x v="0"/>
    <x v="0"/>
    <x v="11"/>
    <x v="18"/>
    <x v="0"/>
    <x v="2"/>
    <n v="-0.76214063608182003"/>
  </r>
  <r>
    <x v="0"/>
    <x v="0"/>
    <x v="0"/>
    <x v="11"/>
    <x v="18"/>
    <x v="0"/>
    <x v="3"/>
    <n v="-0.82971747118423"/>
  </r>
  <r>
    <x v="0"/>
    <x v="0"/>
    <x v="0"/>
    <x v="11"/>
    <x v="18"/>
    <x v="0"/>
    <x v="4"/>
    <n v="-0.79466274178546703"/>
  </r>
  <r>
    <x v="0"/>
    <x v="0"/>
    <x v="0"/>
    <x v="11"/>
    <x v="18"/>
    <x v="0"/>
    <x v="5"/>
    <n v="-0.54639503885355101"/>
  </r>
  <r>
    <x v="0"/>
    <x v="0"/>
    <x v="0"/>
    <x v="11"/>
    <x v="18"/>
    <x v="0"/>
    <x v="6"/>
    <n v="-0.85883885299014695"/>
  </r>
  <r>
    <x v="0"/>
    <x v="0"/>
    <x v="0"/>
    <x v="11"/>
    <x v="18"/>
    <x v="0"/>
    <x v="7"/>
    <n v="-1.08"/>
  </r>
  <r>
    <x v="0"/>
    <x v="0"/>
    <x v="0"/>
    <x v="11"/>
    <x v="18"/>
    <x v="0"/>
    <x v="8"/>
    <n v="-0.84602904779641497"/>
  </r>
  <r>
    <x v="0"/>
    <x v="0"/>
    <x v="0"/>
    <x v="11"/>
    <x v="18"/>
    <x v="0"/>
    <x v="9"/>
    <n v="-1.08"/>
  </r>
  <r>
    <x v="0"/>
    <x v="0"/>
    <x v="0"/>
    <x v="11"/>
    <x v="18"/>
    <x v="0"/>
    <x v="10"/>
    <n v="-0.68309225088502301"/>
  </r>
  <r>
    <x v="0"/>
    <x v="0"/>
    <x v="0"/>
    <x v="11"/>
    <x v="18"/>
    <x v="0"/>
    <x v="11"/>
    <n v="-0.72377896149735099"/>
  </r>
  <r>
    <x v="0"/>
    <x v="0"/>
    <x v="0"/>
    <x v="11"/>
    <x v="18"/>
    <x v="0"/>
    <x v="12"/>
    <n v="-0.51013097695416698"/>
  </r>
  <r>
    <x v="0"/>
    <x v="0"/>
    <x v="0"/>
    <x v="11"/>
    <x v="18"/>
    <x v="0"/>
    <x v="13"/>
    <n v="-0.84814543280594401"/>
  </r>
  <r>
    <x v="0"/>
    <x v="0"/>
    <x v="0"/>
    <x v="11"/>
    <x v="18"/>
    <x v="0"/>
    <x v="14"/>
    <n v="-0.87732919521605501"/>
  </r>
  <r>
    <x v="0"/>
    <x v="0"/>
    <x v="0"/>
    <x v="11"/>
    <x v="18"/>
    <x v="0"/>
    <x v="15"/>
    <n v="-0.584776162994049"/>
  </r>
  <r>
    <x v="0"/>
    <x v="0"/>
    <x v="0"/>
    <x v="11"/>
    <x v="18"/>
    <x v="0"/>
    <x v="16"/>
    <n v="-0.84858326089813396"/>
  </r>
  <r>
    <x v="0"/>
    <x v="0"/>
    <x v="0"/>
    <x v="11"/>
    <x v="18"/>
    <x v="0"/>
    <x v="17"/>
    <n v="-0.92275784353485502"/>
  </r>
  <r>
    <x v="0"/>
    <x v="0"/>
    <x v="0"/>
    <x v="11"/>
    <x v="18"/>
    <x v="0"/>
    <x v="18"/>
    <n v="-0.86157722213684695"/>
  </r>
  <r>
    <x v="0"/>
    <x v="0"/>
    <x v="0"/>
    <x v="11"/>
    <x v="18"/>
    <x v="0"/>
    <x v="19"/>
    <n v="-0.87142024751503999"/>
  </r>
  <r>
    <x v="0"/>
    <x v="0"/>
    <x v="0"/>
    <x v="11"/>
    <x v="18"/>
    <x v="0"/>
    <x v="20"/>
    <n v="-0.93302461044375296"/>
  </r>
  <r>
    <x v="0"/>
    <x v="0"/>
    <x v="0"/>
    <x v="11"/>
    <x v="18"/>
    <x v="0"/>
    <x v="21"/>
    <n v="-0.93739091054391799"/>
  </r>
  <r>
    <x v="0"/>
    <x v="0"/>
    <x v="0"/>
    <x v="11"/>
    <x v="18"/>
    <x v="0"/>
    <x v="22"/>
    <n v="-0.53963311549618798"/>
  </r>
  <r>
    <x v="0"/>
    <x v="0"/>
    <x v="0"/>
    <x v="11"/>
    <x v="18"/>
    <x v="0"/>
    <x v="23"/>
    <n v="0"/>
  </r>
  <r>
    <x v="0"/>
    <x v="0"/>
    <x v="0"/>
    <x v="11"/>
    <x v="19"/>
    <x v="0"/>
    <x v="0"/>
    <n v="-0.16751969421662299"/>
  </r>
  <r>
    <x v="0"/>
    <x v="0"/>
    <x v="0"/>
    <x v="11"/>
    <x v="19"/>
    <x v="0"/>
    <x v="1"/>
    <n v="-0.16751969421662299"/>
  </r>
  <r>
    <x v="0"/>
    <x v="0"/>
    <x v="0"/>
    <x v="11"/>
    <x v="19"/>
    <x v="0"/>
    <x v="2"/>
    <n v="-0.16751969421662299"/>
  </r>
  <r>
    <x v="0"/>
    <x v="0"/>
    <x v="0"/>
    <x v="11"/>
    <x v="19"/>
    <x v="0"/>
    <x v="3"/>
    <n v="-0.16751969421662299"/>
  </r>
  <r>
    <x v="0"/>
    <x v="0"/>
    <x v="0"/>
    <x v="11"/>
    <x v="19"/>
    <x v="0"/>
    <x v="4"/>
    <n v="-0.16751969421662299"/>
  </r>
  <r>
    <x v="0"/>
    <x v="0"/>
    <x v="0"/>
    <x v="11"/>
    <x v="19"/>
    <x v="0"/>
    <x v="5"/>
    <n v="-0.16751969421662299"/>
  </r>
  <r>
    <x v="0"/>
    <x v="0"/>
    <x v="0"/>
    <x v="11"/>
    <x v="19"/>
    <x v="0"/>
    <x v="6"/>
    <n v="-0.16751969421662299"/>
  </r>
  <r>
    <x v="0"/>
    <x v="0"/>
    <x v="0"/>
    <x v="11"/>
    <x v="19"/>
    <x v="0"/>
    <x v="7"/>
    <n v="-0.16751969421662299"/>
  </r>
  <r>
    <x v="0"/>
    <x v="0"/>
    <x v="0"/>
    <x v="11"/>
    <x v="19"/>
    <x v="0"/>
    <x v="8"/>
    <n v="-0.16751969421662299"/>
  </r>
  <r>
    <x v="0"/>
    <x v="0"/>
    <x v="0"/>
    <x v="11"/>
    <x v="19"/>
    <x v="0"/>
    <x v="9"/>
    <n v="-0.16751969421662299"/>
  </r>
  <r>
    <x v="0"/>
    <x v="0"/>
    <x v="0"/>
    <x v="11"/>
    <x v="19"/>
    <x v="0"/>
    <x v="10"/>
    <n v="-0.16751969421662299"/>
  </r>
  <r>
    <x v="0"/>
    <x v="0"/>
    <x v="0"/>
    <x v="11"/>
    <x v="19"/>
    <x v="0"/>
    <x v="11"/>
    <n v="-0.16751969421662299"/>
  </r>
  <r>
    <x v="0"/>
    <x v="0"/>
    <x v="0"/>
    <x v="11"/>
    <x v="19"/>
    <x v="0"/>
    <x v="12"/>
    <n v="-0.16751969421662299"/>
  </r>
  <r>
    <x v="0"/>
    <x v="0"/>
    <x v="0"/>
    <x v="11"/>
    <x v="19"/>
    <x v="0"/>
    <x v="13"/>
    <n v="-0.16751969421662299"/>
  </r>
  <r>
    <x v="0"/>
    <x v="0"/>
    <x v="0"/>
    <x v="11"/>
    <x v="19"/>
    <x v="0"/>
    <x v="14"/>
    <n v="-0.16751969421662299"/>
  </r>
  <r>
    <x v="0"/>
    <x v="0"/>
    <x v="0"/>
    <x v="11"/>
    <x v="19"/>
    <x v="0"/>
    <x v="15"/>
    <n v="-0.16751969421662299"/>
  </r>
  <r>
    <x v="0"/>
    <x v="0"/>
    <x v="0"/>
    <x v="11"/>
    <x v="19"/>
    <x v="0"/>
    <x v="16"/>
    <n v="-0.16751969421662299"/>
  </r>
  <r>
    <x v="0"/>
    <x v="0"/>
    <x v="0"/>
    <x v="11"/>
    <x v="19"/>
    <x v="0"/>
    <x v="17"/>
    <n v="-0.16751969421662299"/>
  </r>
  <r>
    <x v="0"/>
    <x v="0"/>
    <x v="0"/>
    <x v="11"/>
    <x v="19"/>
    <x v="0"/>
    <x v="18"/>
    <n v="-0.16751969421662299"/>
  </r>
  <r>
    <x v="0"/>
    <x v="0"/>
    <x v="0"/>
    <x v="11"/>
    <x v="19"/>
    <x v="0"/>
    <x v="19"/>
    <n v="-0.16751969421662299"/>
  </r>
  <r>
    <x v="0"/>
    <x v="0"/>
    <x v="0"/>
    <x v="11"/>
    <x v="19"/>
    <x v="0"/>
    <x v="20"/>
    <n v="-0.16751969421662299"/>
  </r>
  <r>
    <x v="0"/>
    <x v="0"/>
    <x v="0"/>
    <x v="11"/>
    <x v="19"/>
    <x v="0"/>
    <x v="21"/>
    <n v="-0.16751969421662299"/>
  </r>
  <r>
    <x v="0"/>
    <x v="0"/>
    <x v="0"/>
    <x v="11"/>
    <x v="19"/>
    <x v="0"/>
    <x v="22"/>
    <n v="-0.16751969421662299"/>
  </r>
  <r>
    <x v="0"/>
    <x v="0"/>
    <x v="0"/>
    <x v="11"/>
    <x v="19"/>
    <x v="0"/>
    <x v="23"/>
    <n v="-0.16751969421662299"/>
  </r>
  <r>
    <x v="0"/>
    <x v="0"/>
    <x v="0"/>
    <x v="11"/>
    <x v="10"/>
    <x v="0"/>
    <x v="0"/>
    <n v="0"/>
  </r>
  <r>
    <x v="0"/>
    <x v="0"/>
    <x v="0"/>
    <x v="11"/>
    <x v="10"/>
    <x v="0"/>
    <x v="1"/>
    <n v="0"/>
  </r>
  <r>
    <x v="0"/>
    <x v="0"/>
    <x v="0"/>
    <x v="11"/>
    <x v="10"/>
    <x v="0"/>
    <x v="2"/>
    <n v="0"/>
  </r>
  <r>
    <x v="0"/>
    <x v="0"/>
    <x v="0"/>
    <x v="11"/>
    <x v="10"/>
    <x v="0"/>
    <x v="3"/>
    <n v="0"/>
  </r>
  <r>
    <x v="0"/>
    <x v="0"/>
    <x v="0"/>
    <x v="11"/>
    <x v="10"/>
    <x v="0"/>
    <x v="4"/>
    <n v="0"/>
  </r>
  <r>
    <x v="0"/>
    <x v="0"/>
    <x v="0"/>
    <x v="11"/>
    <x v="10"/>
    <x v="0"/>
    <x v="5"/>
    <n v="0"/>
  </r>
  <r>
    <x v="0"/>
    <x v="0"/>
    <x v="0"/>
    <x v="11"/>
    <x v="10"/>
    <x v="0"/>
    <x v="6"/>
    <n v="0.264207273576058"/>
  </r>
  <r>
    <x v="0"/>
    <x v="0"/>
    <x v="0"/>
    <x v="11"/>
    <x v="10"/>
    <x v="0"/>
    <x v="7"/>
    <n v="0"/>
  </r>
  <r>
    <x v="0"/>
    <x v="0"/>
    <x v="0"/>
    <x v="11"/>
    <x v="10"/>
    <x v="0"/>
    <x v="8"/>
    <n v="0"/>
  </r>
  <r>
    <x v="0"/>
    <x v="0"/>
    <x v="0"/>
    <x v="11"/>
    <x v="10"/>
    <x v="0"/>
    <x v="9"/>
    <n v="0"/>
  </r>
  <r>
    <x v="0"/>
    <x v="0"/>
    <x v="0"/>
    <x v="11"/>
    <x v="10"/>
    <x v="0"/>
    <x v="10"/>
    <n v="2.8962934794386001E-2"/>
  </r>
  <r>
    <x v="0"/>
    <x v="0"/>
    <x v="0"/>
    <x v="11"/>
    <x v="10"/>
    <x v="0"/>
    <x v="11"/>
    <n v="0"/>
  </r>
  <r>
    <x v="0"/>
    <x v="0"/>
    <x v="0"/>
    <x v="11"/>
    <x v="10"/>
    <x v="0"/>
    <x v="12"/>
    <n v="0"/>
  </r>
  <r>
    <x v="0"/>
    <x v="0"/>
    <x v="0"/>
    <x v="11"/>
    <x v="10"/>
    <x v="0"/>
    <x v="13"/>
    <n v="0"/>
  </r>
  <r>
    <x v="0"/>
    <x v="0"/>
    <x v="0"/>
    <x v="11"/>
    <x v="10"/>
    <x v="0"/>
    <x v="14"/>
    <n v="0"/>
  </r>
  <r>
    <x v="0"/>
    <x v="0"/>
    <x v="0"/>
    <x v="11"/>
    <x v="10"/>
    <x v="0"/>
    <x v="15"/>
    <n v="0"/>
  </r>
  <r>
    <x v="0"/>
    <x v="0"/>
    <x v="0"/>
    <x v="11"/>
    <x v="10"/>
    <x v="0"/>
    <x v="16"/>
    <n v="0"/>
  </r>
  <r>
    <x v="0"/>
    <x v="0"/>
    <x v="0"/>
    <x v="11"/>
    <x v="10"/>
    <x v="0"/>
    <x v="17"/>
    <n v="0"/>
  </r>
  <r>
    <x v="0"/>
    <x v="0"/>
    <x v="0"/>
    <x v="11"/>
    <x v="10"/>
    <x v="0"/>
    <x v="18"/>
    <n v="0"/>
  </r>
  <r>
    <x v="0"/>
    <x v="0"/>
    <x v="0"/>
    <x v="11"/>
    <x v="10"/>
    <x v="0"/>
    <x v="19"/>
    <n v="0"/>
  </r>
  <r>
    <x v="0"/>
    <x v="0"/>
    <x v="0"/>
    <x v="11"/>
    <x v="10"/>
    <x v="0"/>
    <x v="20"/>
    <n v="0"/>
  </r>
  <r>
    <x v="0"/>
    <x v="0"/>
    <x v="0"/>
    <x v="11"/>
    <x v="10"/>
    <x v="0"/>
    <x v="21"/>
    <n v="-2.6054521475258899E-2"/>
  </r>
  <r>
    <x v="0"/>
    <x v="0"/>
    <x v="0"/>
    <x v="11"/>
    <x v="10"/>
    <x v="0"/>
    <x v="22"/>
    <n v="-0.443740760711407"/>
  </r>
  <r>
    <x v="0"/>
    <x v="0"/>
    <x v="0"/>
    <x v="11"/>
    <x v="10"/>
    <x v="0"/>
    <x v="23"/>
    <n v="-0.22781372321232299"/>
  </r>
  <r>
    <x v="0"/>
    <x v="0"/>
    <x v="0"/>
    <x v="12"/>
    <x v="0"/>
    <x v="0"/>
    <x v="0"/>
    <n v="0"/>
  </r>
  <r>
    <x v="0"/>
    <x v="0"/>
    <x v="0"/>
    <x v="12"/>
    <x v="0"/>
    <x v="0"/>
    <x v="1"/>
    <n v="0"/>
  </r>
  <r>
    <x v="0"/>
    <x v="0"/>
    <x v="0"/>
    <x v="12"/>
    <x v="0"/>
    <x v="0"/>
    <x v="2"/>
    <n v="0"/>
  </r>
  <r>
    <x v="0"/>
    <x v="0"/>
    <x v="0"/>
    <x v="12"/>
    <x v="0"/>
    <x v="0"/>
    <x v="3"/>
    <n v="0"/>
  </r>
  <r>
    <x v="0"/>
    <x v="0"/>
    <x v="0"/>
    <x v="12"/>
    <x v="0"/>
    <x v="0"/>
    <x v="4"/>
    <n v="0"/>
  </r>
  <r>
    <x v="0"/>
    <x v="0"/>
    <x v="0"/>
    <x v="12"/>
    <x v="0"/>
    <x v="0"/>
    <x v="5"/>
    <n v="0"/>
  </r>
  <r>
    <x v="0"/>
    <x v="0"/>
    <x v="0"/>
    <x v="12"/>
    <x v="0"/>
    <x v="0"/>
    <x v="6"/>
    <n v="0"/>
  </r>
  <r>
    <x v="0"/>
    <x v="0"/>
    <x v="0"/>
    <x v="12"/>
    <x v="0"/>
    <x v="0"/>
    <x v="7"/>
    <n v="0"/>
  </r>
  <r>
    <x v="0"/>
    <x v="0"/>
    <x v="0"/>
    <x v="12"/>
    <x v="0"/>
    <x v="0"/>
    <x v="8"/>
    <n v="0"/>
  </r>
  <r>
    <x v="0"/>
    <x v="0"/>
    <x v="0"/>
    <x v="12"/>
    <x v="0"/>
    <x v="0"/>
    <x v="9"/>
    <n v="0"/>
  </r>
  <r>
    <x v="0"/>
    <x v="0"/>
    <x v="0"/>
    <x v="12"/>
    <x v="0"/>
    <x v="0"/>
    <x v="10"/>
    <n v="0"/>
  </r>
  <r>
    <x v="0"/>
    <x v="0"/>
    <x v="0"/>
    <x v="12"/>
    <x v="0"/>
    <x v="0"/>
    <x v="11"/>
    <n v="0"/>
  </r>
  <r>
    <x v="0"/>
    <x v="0"/>
    <x v="0"/>
    <x v="12"/>
    <x v="0"/>
    <x v="0"/>
    <x v="12"/>
    <n v="0"/>
  </r>
  <r>
    <x v="0"/>
    <x v="0"/>
    <x v="0"/>
    <x v="12"/>
    <x v="0"/>
    <x v="0"/>
    <x v="13"/>
    <n v="0"/>
  </r>
  <r>
    <x v="0"/>
    <x v="0"/>
    <x v="0"/>
    <x v="12"/>
    <x v="0"/>
    <x v="0"/>
    <x v="14"/>
    <n v="0"/>
  </r>
  <r>
    <x v="0"/>
    <x v="0"/>
    <x v="0"/>
    <x v="12"/>
    <x v="0"/>
    <x v="0"/>
    <x v="15"/>
    <n v="0"/>
  </r>
  <r>
    <x v="0"/>
    <x v="0"/>
    <x v="0"/>
    <x v="12"/>
    <x v="0"/>
    <x v="0"/>
    <x v="16"/>
    <n v="0"/>
  </r>
  <r>
    <x v="0"/>
    <x v="0"/>
    <x v="0"/>
    <x v="12"/>
    <x v="0"/>
    <x v="0"/>
    <x v="17"/>
    <n v="0"/>
  </r>
  <r>
    <x v="0"/>
    <x v="0"/>
    <x v="0"/>
    <x v="12"/>
    <x v="0"/>
    <x v="0"/>
    <x v="18"/>
    <n v="0"/>
  </r>
  <r>
    <x v="0"/>
    <x v="0"/>
    <x v="0"/>
    <x v="12"/>
    <x v="0"/>
    <x v="0"/>
    <x v="19"/>
    <n v="0"/>
  </r>
  <r>
    <x v="0"/>
    <x v="0"/>
    <x v="0"/>
    <x v="12"/>
    <x v="0"/>
    <x v="0"/>
    <x v="20"/>
    <n v="0"/>
  </r>
  <r>
    <x v="0"/>
    <x v="0"/>
    <x v="0"/>
    <x v="12"/>
    <x v="0"/>
    <x v="0"/>
    <x v="21"/>
    <n v="0"/>
  </r>
  <r>
    <x v="0"/>
    <x v="0"/>
    <x v="0"/>
    <x v="12"/>
    <x v="0"/>
    <x v="0"/>
    <x v="22"/>
    <n v="0"/>
  </r>
  <r>
    <x v="0"/>
    <x v="0"/>
    <x v="0"/>
    <x v="12"/>
    <x v="0"/>
    <x v="0"/>
    <x v="23"/>
    <n v="0"/>
  </r>
  <r>
    <x v="0"/>
    <x v="0"/>
    <x v="0"/>
    <x v="12"/>
    <x v="6"/>
    <x v="0"/>
    <x v="0"/>
    <n v="0"/>
  </r>
  <r>
    <x v="0"/>
    <x v="0"/>
    <x v="0"/>
    <x v="12"/>
    <x v="6"/>
    <x v="0"/>
    <x v="1"/>
    <n v="0"/>
  </r>
  <r>
    <x v="0"/>
    <x v="0"/>
    <x v="0"/>
    <x v="12"/>
    <x v="6"/>
    <x v="0"/>
    <x v="2"/>
    <n v="0"/>
  </r>
  <r>
    <x v="0"/>
    <x v="0"/>
    <x v="0"/>
    <x v="12"/>
    <x v="6"/>
    <x v="0"/>
    <x v="3"/>
    <n v="7.5776002347950705E-2"/>
  </r>
  <r>
    <x v="0"/>
    <x v="0"/>
    <x v="0"/>
    <x v="12"/>
    <x v="6"/>
    <x v="0"/>
    <x v="4"/>
    <n v="0.203615527758507"/>
  </r>
  <r>
    <x v="0"/>
    <x v="0"/>
    <x v="0"/>
    <x v="12"/>
    <x v="6"/>
    <x v="0"/>
    <x v="5"/>
    <n v="0"/>
  </r>
  <r>
    <x v="0"/>
    <x v="0"/>
    <x v="0"/>
    <x v="12"/>
    <x v="6"/>
    <x v="0"/>
    <x v="6"/>
    <n v="0.32312773697955399"/>
  </r>
  <r>
    <x v="0"/>
    <x v="0"/>
    <x v="0"/>
    <x v="12"/>
    <x v="6"/>
    <x v="0"/>
    <x v="7"/>
    <n v="1.53"/>
  </r>
  <r>
    <x v="0"/>
    <x v="0"/>
    <x v="0"/>
    <x v="12"/>
    <x v="6"/>
    <x v="0"/>
    <x v="8"/>
    <n v="1.53"/>
  </r>
  <r>
    <x v="0"/>
    <x v="0"/>
    <x v="0"/>
    <x v="12"/>
    <x v="6"/>
    <x v="0"/>
    <x v="9"/>
    <n v="1.53"/>
  </r>
  <r>
    <x v="0"/>
    <x v="0"/>
    <x v="0"/>
    <x v="12"/>
    <x v="6"/>
    <x v="0"/>
    <x v="10"/>
    <n v="0"/>
  </r>
  <r>
    <x v="0"/>
    <x v="0"/>
    <x v="0"/>
    <x v="12"/>
    <x v="6"/>
    <x v="0"/>
    <x v="11"/>
    <n v="0"/>
  </r>
  <r>
    <x v="0"/>
    <x v="0"/>
    <x v="0"/>
    <x v="12"/>
    <x v="6"/>
    <x v="0"/>
    <x v="12"/>
    <n v="0"/>
  </r>
  <r>
    <x v="0"/>
    <x v="0"/>
    <x v="0"/>
    <x v="12"/>
    <x v="6"/>
    <x v="0"/>
    <x v="13"/>
    <n v="0"/>
  </r>
  <r>
    <x v="0"/>
    <x v="0"/>
    <x v="0"/>
    <x v="12"/>
    <x v="6"/>
    <x v="0"/>
    <x v="14"/>
    <n v="0"/>
  </r>
  <r>
    <x v="0"/>
    <x v="0"/>
    <x v="0"/>
    <x v="12"/>
    <x v="6"/>
    <x v="0"/>
    <x v="15"/>
    <n v="0"/>
  </r>
  <r>
    <x v="0"/>
    <x v="0"/>
    <x v="0"/>
    <x v="12"/>
    <x v="6"/>
    <x v="0"/>
    <x v="16"/>
    <n v="0"/>
  </r>
  <r>
    <x v="0"/>
    <x v="0"/>
    <x v="0"/>
    <x v="12"/>
    <x v="6"/>
    <x v="0"/>
    <x v="17"/>
    <n v="0"/>
  </r>
  <r>
    <x v="0"/>
    <x v="0"/>
    <x v="0"/>
    <x v="12"/>
    <x v="6"/>
    <x v="0"/>
    <x v="18"/>
    <n v="0"/>
  </r>
  <r>
    <x v="0"/>
    <x v="0"/>
    <x v="0"/>
    <x v="12"/>
    <x v="6"/>
    <x v="0"/>
    <x v="19"/>
    <n v="0"/>
  </r>
  <r>
    <x v="0"/>
    <x v="0"/>
    <x v="0"/>
    <x v="12"/>
    <x v="6"/>
    <x v="0"/>
    <x v="20"/>
    <n v="0"/>
  </r>
  <r>
    <x v="0"/>
    <x v="0"/>
    <x v="0"/>
    <x v="12"/>
    <x v="6"/>
    <x v="0"/>
    <x v="21"/>
    <n v="0"/>
  </r>
  <r>
    <x v="0"/>
    <x v="0"/>
    <x v="0"/>
    <x v="12"/>
    <x v="6"/>
    <x v="0"/>
    <x v="22"/>
    <n v="-0.42818460549290899"/>
  </r>
  <r>
    <x v="0"/>
    <x v="0"/>
    <x v="0"/>
    <x v="12"/>
    <x v="6"/>
    <x v="0"/>
    <x v="23"/>
    <n v="-1.53"/>
  </r>
  <r>
    <x v="0"/>
    <x v="0"/>
    <x v="0"/>
    <x v="12"/>
    <x v="9"/>
    <x v="0"/>
    <x v="0"/>
    <n v="0.63"/>
  </r>
  <r>
    <x v="0"/>
    <x v="0"/>
    <x v="0"/>
    <x v="12"/>
    <x v="9"/>
    <x v="0"/>
    <x v="1"/>
    <n v="0.63"/>
  </r>
  <r>
    <x v="0"/>
    <x v="0"/>
    <x v="0"/>
    <x v="12"/>
    <x v="9"/>
    <x v="0"/>
    <x v="2"/>
    <n v="0.63"/>
  </r>
  <r>
    <x v="0"/>
    <x v="0"/>
    <x v="0"/>
    <x v="12"/>
    <x v="9"/>
    <x v="0"/>
    <x v="3"/>
    <n v="0.63"/>
  </r>
  <r>
    <x v="0"/>
    <x v="0"/>
    <x v="0"/>
    <x v="12"/>
    <x v="9"/>
    <x v="0"/>
    <x v="4"/>
    <n v="0.63"/>
  </r>
  <r>
    <x v="0"/>
    <x v="0"/>
    <x v="0"/>
    <x v="12"/>
    <x v="9"/>
    <x v="0"/>
    <x v="5"/>
    <n v="0.63"/>
  </r>
  <r>
    <x v="0"/>
    <x v="0"/>
    <x v="0"/>
    <x v="12"/>
    <x v="9"/>
    <x v="0"/>
    <x v="6"/>
    <n v="0.63"/>
  </r>
  <r>
    <x v="0"/>
    <x v="0"/>
    <x v="0"/>
    <x v="12"/>
    <x v="9"/>
    <x v="0"/>
    <x v="7"/>
    <n v="0.63"/>
  </r>
  <r>
    <x v="0"/>
    <x v="0"/>
    <x v="0"/>
    <x v="12"/>
    <x v="9"/>
    <x v="0"/>
    <x v="8"/>
    <n v="0.63"/>
  </r>
  <r>
    <x v="0"/>
    <x v="0"/>
    <x v="0"/>
    <x v="12"/>
    <x v="9"/>
    <x v="0"/>
    <x v="9"/>
    <n v="0.63"/>
  </r>
  <r>
    <x v="0"/>
    <x v="0"/>
    <x v="0"/>
    <x v="12"/>
    <x v="9"/>
    <x v="0"/>
    <x v="10"/>
    <n v="0.63"/>
  </r>
  <r>
    <x v="0"/>
    <x v="0"/>
    <x v="0"/>
    <x v="12"/>
    <x v="9"/>
    <x v="0"/>
    <x v="11"/>
    <n v="0.63"/>
  </r>
  <r>
    <x v="0"/>
    <x v="0"/>
    <x v="0"/>
    <x v="12"/>
    <x v="9"/>
    <x v="0"/>
    <x v="12"/>
    <n v="0.63"/>
  </r>
  <r>
    <x v="0"/>
    <x v="0"/>
    <x v="0"/>
    <x v="12"/>
    <x v="9"/>
    <x v="0"/>
    <x v="13"/>
    <n v="0.63"/>
  </r>
  <r>
    <x v="0"/>
    <x v="0"/>
    <x v="0"/>
    <x v="12"/>
    <x v="9"/>
    <x v="0"/>
    <x v="14"/>
    <n v="0.63"/>
  </r>
  <r>
    <x v="0"/>
    <x v="0"/>
    <x v="0"/>
    <x v="12"/>
    <x v="9"/>
    <x v="0"/>
    <x v="15"/>
    <n v="0.63"/>
  </r>
  <r>
    <x v="0"/>
    <x v="0"/>
    <x v="0"/>
    <x v="12"/>
    <x v="9"/>
    <x v="0"/>
    <x v="16"/>
    <n v="0.63"/>
  </r>
  <r>
    <x v="0"/>
    <x v="0"/>
    <x v="0"/>
    <x v="12"/>
    <x v="9"/>
    <x v="0"/>
    <x v="17"/>
    <n v="0.63"/>
  </r>
  <r>
    <x v="0"/>
    <x v="0"/>
    <x v="0"/>
    <x v="12"/>
    <x v="9"/>
    <x v="0"/>
    <x v="18"/>
    <n v="0.63"/>
  </r>
  <r>
    <x v="0"/>
    <x v="0"/>
    <x v="0"/>
    <x v="12"/>
    <x v="9"/>
    <x v="0"/>
    <x v="19"/>
    <n v="0.63"/>
  </r>
  <r>
    <x v="0"/>
    <x v="0"/>
    <x v="0"/>
    <x v="12"/>
    <x v="9"/>
    <x v="0"/>
    <x v="20"/>
    <n v="0.63"/>
  </r>
  <r>
    <x v="0"/>
    <x v="0"/>
    <x v="0"/>
    <x v="12"/>
    <x v="9"/>
    <x v="0"/>
    <x v="21"/>
    <n v="0.63"/>
  </r>
  <r>
    <x v="0"/>
    <x v="0"/>
    <x v="0"/>
    <x v="12"/>
    <x v="9"/>
    <x v="0"/>
    <x v="22"/>
    <n v="0.63"/>
  </r>
  <r>
    <x v="0"/>
    <x v="0"/>
    <x v="0"/>
    <x v="12"/>
    <x v="9"/>
    <x v="0"/>
    <x v="23"/>
    <n v="0.63"/>
  </r>
  <r>
    <x v="0"/>
    <x v="0"/>
    <x v="0"/>
    <x v="12"/>
    <x v="20"/>
    <x v="0"/>
    <x v="0"/>
    <n v="1.5000356798084"/>
  </r>
  <r>
    <x v="0"/>
    <x v="0"/>
    <x v="0"/>
    <x v="12"/>
    <x v="20"/>
    <x v="0"/>
    <x v="1"/>
    <n v="1.32764366688803"/>
  </r>
  <r>
    <x v="0"/>
    <x v="0"/>
    <x v="0"/>
    <x v="12"/>
    <x v="20"/>
    <x v="0"/>
    <x v="2"/>
    <n v="1.27786917902232"/>
  </r>
  <r>
    <x v="0"/>
    <x v="0"/>
    <x v="0"/>
    <x v="12"/>
    <x v="20"/>
    <x v="0"/>
    <x v="3"/>
    <n v="1.2226858674282901"/>
  </r>
  <r>
    <x v="0"/>
    <x v="0"/>
    <x v="0"/>
    <x v="12"/>
    <x v="20"/>
    <x v="0"/>
    <x v="4"/>
    <n v="1.30992385370446"/>
  </r>
  <r>
    <x v="0"/>
    <x v="0"/>
    <x v="0"/>
    <x v="12"/>
    <x v="20"/>
    <x v="0"/>
    <x v="5"/>
    <n v="1.5650906861765901"/>
  </r>
  <r>
    <x v="0"/>
    <x v="0"/>
    <x v="0"/>
    <x v="12"/>
    <x v="20"/>
    <x v="0"/>
    <x v="6"/>
    <n v="1.8194356916019201"/>
  </r>
  <r>
    <x v="0"/>
    <x v="0"/>
    <x v="0"/>
    <x v="12"/>
    <x v="20"/>
    <x v="0"/>
    <x v="7"/>
    <n v="1.6324369627986599"/>
  </r>
  <r>
    <x v="0"/>
    <x v="0"/>
    <x v="0"/>
    <x v="12"/>
    <x v="20"/>
    <x v="0"/>
    <x v="8"/>
    <n v="1.8181102106196401"/>
  </r>
  <r>
    <x v="0"/>
    <x v="0"/>
    <x v="0"/>
    <x v="12"/>
    <x v="20"/>
    <x v="0"/>
    <x v="9"/>
    <n v="1.5620736858517399"/>
  </r>
  <r>
    <x v="0"/>
    <x v="0"/>
    <x v="0"/>
    <x v="12"/>
    <x v="20"/>
    <x v="0"/>
    <x v="10"/>
    <n v="2.3118991216532798"/>
  </r>
  <r>
    <x v="0"/>
    <x v="0"/>
    <x v="0"/>
    <x v="12"/>
    <x v="20"/>
    <x v="0"/>
    <x v="11"/>
    <n v="2.18019221649317"/>
  </r>
  <r>
    <x v="0"/>
    <x v="0"/>
    <x v="0"/>
    <x v="12"/>
    <x v="20"/>
    <x v="0"/>
    <x v="12"/>
    <n v="2.39005090664471"/>
  </r>
  <r>
    <x v="0"/>
    <x v="0"/>
    <x v="0"/>
    <x v="12"/>
    <x v="20"/>
    <x v="0"/>
    <x v="13"/>
    <n v="2.0363814737297199"/>
  </r>
  <r>
    <x v="0"/>
    <x v="0"/>
    <x v="0"/>
    <x v="12"/>
    <x v="20"/>
    <x v="0"/>
    <x v="14"/>
    <n v="1.9648607362223001"/>
  </r>
  <r>
    <x v="0"/>
    <x v="0"/>
    <x v="0"/>
    <x v="12"/>
    <x v="20"/>
    <x v="0"/>
    <x v="15"/>
    <n v="2.27308483294469"/>
  </r>
  <r>
    <x v="0"/>
    <x v="0"/>
    <x v="0"/>
    <x v="12"/>
    <x v="20"/>
    <x v="0"/>
    <x v="16"/>
    <n v="2.0912647071530399"/>
  </r>
  <r>
    <x v="0"/>
    <x v="0"/>
    <x v="0"/>
    <x v="12"/>
    <x v="20"/>
    <x v="0"/>
    <x v="17"/>
    <n v="1.94951853522187"/>
  </r>
  <r>
    <x v="0"/>
    <x v="0"/>
    <x v="0"/>
    <x v="12"/>
    <x v="20"/>
    <x v="0"/>
    <x v="18"/>
    <n v="1.9395994691244101"/>
  </r>
  <r>
    <x v="0"/>
    <x v="0"/>
    <x v="0"/>
    <x v="12"/>
    <x v="20"/>
    <x v="0"/>
    <x v="19"/>
    <n v="1.9623991710656099"/>
  </r>
  <r>
    <x v="0"/>
    <x v="0"/>
    <x v="0"/>
    <x v="12"/>
    <x v="20"/>
    <x v="0"/>
    <x v="20"/>
    <n v="1.8114309807343401"/>
  </r>
  <r>
    <x v="0"/>
    <x v="0"/>
    <x v="0"/>
    <x v="12"/>
    <x v="20"/>
    <x v="0"/>
    <x v="21"/>
    <n v="1.6844711339357199"/>
  </r>
  <r>
    <x v="0"/>
    <x v="0"/>
    <x v="0"/>
    <x v="12"/>
    <x v="20"/>
    <x v="0"/>
    <x v="22"/>
    <n v="1.57651163553769"/>
  </r>
  <r>
    <x v="0"/>
    <x v="0"/>
    <x v="0"/>
    <x v="12"/>
    <x v="20"/>
    <x v="0"/>
    <x v="23"/>
    <n v="2.1396460287975301"/>
  </r>
  <r>
    <x v="0"/>
    <x v="0"/>
    <x v="0"/>
    <x v="12"/>
    <x v="19"/>
    <x v="0"/>
    <x v="0"/>
    <n v="-1.08"/>
  </r>
  <r>
    <x v="0"/>
    <x v="0"/>
    <x v="0"/>
    <x v="12"/>
    <x v="19"/>
    <x v="0"/>
    <x v="1"/>
    <n v="-1.08"/>
  </r>
  <r>
    <x v="0"/>
    <x v="0"/>
    <x v="0"/>
    <x v="12"/>
    <x v="19"/>
    <x v="0"/>
    <x v="2"/>
    <n v="-1.08"/>
  </r>
  <r>
    <x v="0"/>
    <x v="0"/>
    <x v="0"/>
    <x v="12"/>
    <x v="19"/>
    <x v="0"/>
    <x v="3"/>
    <n v="-1.08"/>
  </r>
  <r>
    <x v="0"/>
    <x v="0"/>
    <x v="0"/>
    <x v="12"/>
    <x v="19"/>
    <x v="0"/>
    <x v="4"/>
    <n v="-1.08"/>
  </r>
  <r>
    <x v="0"/>
    <x v="0"/>
    <x v="0"/>
    <x v="12"/>
    <x v="19"/>
    <x v="0"/>
    <x v="5"/>
    <n v="-1.08"/>
  </r>
  <r>
    <x v="0"/>
    <x v="0"/>
    <x v="0"/>
    <x v="12"/>
    <x v="19"/>
    <x v="0"/>
    <x v="6"/>
    <n v="-1.08"/>
  </r>
  <r>
    <x v="0"/>
    <x v="0"/>
    <x v="0"/>
    <x v="12"/>
    <x v="19"/>
    <x v="0"/>
    <x v="7"/>
    <n v="-1.08"/>
  </r>
  <r>
    <x v="0"/>
    <x v="0"/>
    <x v="0"/>
    <x v="12"/>
    <x v="19"/>
    <x v="0"/>
    <x v="8"/>
    <n v="-1.08"/>
  </r>
  <r>
    <x v="0"/>
    <x v="0"/>
    <x v="0"/>
    <x v="12"/>
    <x v="19"/>
    <x v="0"/>
    <x v="9"/>
    <n v="-1.08"/>
  </r>
  <r>
    <x v="0"/>
    <x v="0"/>
    <x v="0"/>
    <x v="12"/>
    <x v="19"/>
    <x v="0"/>
    <x v="10"/>
    <n v="-1.08"/>
  </r>
  <r>
    <x v="0"/>
    <x v="0"/>
    <x v="0"/>
    <x v="12"/>
    <x v="19"/>
    <x v="0"/>
    <x v="11"/>
    <n v="-1.08"/>
  </r>
  <r>
    <x v="0"/>
    <x v="0"/>
    <x v="0"/>
    <x v="12"/>
    <x v="19"/>
    <x v="0"/>
    <x v="12"/>
    <n v="-1.08"/>
  </r>
  <r>
    <x v="0"/>
    <x v="0"/>
    <x v="0"/>
    <x v="12"/>
    <x v="19"/>
    <x v="0"/>
    <x v="13"/>
    <n v="-1.08"/>
  </r>
  <r>
    <x v="0"/>
    <x v="0"/>
    <x v="0"/>
    <x v="12"/>
    <x v="19"/>
    <x v="0"/>
    <x v="14"/>
    <n v="-1.08"/>
  </r>
  <r>
    <x v="0"/>
    <x v="0"/>
    <x v="0"/>
    <x v="12"/>
    <x v="19"/>
    <x v="0"/>
    <x v="15"/>
    <n v="-1.08"/>
  </r>
  <r>
    <x v="0"/>
    <x v="0"/>
    <x v="0"/>
    <x v="12"/>
    <x v="19"/>
    <x v="0"/>
    <x v="16"/>
    <n v="-1.08"/>
  </r>
  <r>
    <x v="0"/>
    <x v="0"/>
    <x v="0"/>
    <x v="12"/>
    <x v="19"/>
    <x v="0"/>
    <x v="17"/>
    <n v="-1.08"/>
  </r>
  <r>
    <x v="0"/>
    <x v="0"/>
    <x v="0"/>
    <x v="12"/>
    <x v="19"/>
    <x v="0"/>
    <x v="18"/>
    <n v="-1.08"/>
  </r>
  <r>
    <x v="0"/>
    <x v="0"/>
    <x v="0"/>
    <x v="12"/>
    <x v="19"/>
    <x v="0"/>
    <x v="19"/>
    <n v="-1.08"/>
  </r>
  <r>
    <x v="0"/>
    <x v="0"/>
    <x v="0"/>
    <x v="12"/>
    <x v="19"/>
    <x v="0"/>
    <x v="20"/>
    <n v="-1.08"/>
  </r>
  <r>
    <x v="0"/>
    <x v="0"/>
    <x v="0"/>
    <x v="12"/>
    <x v="19"/>
    <x v="0"/>
    <x v="21"/>
    <n v="-1.08"/>
  </r>
  <r>
    <x v="0"/>
    <x v="0"/>
    <x v="0"/>
    <x v="12"/>
    <x v="19"/>
    <x v="0"/>
    <x v="22"/>
    <n v="-1.08"/>
  </r>
  <r>
    <x v="0"/>
    <x v="0"/>
    <x v="0"/>
    <x v="12"/>
    <x v="19"/>
    <x v="0"/>
    <x v="23"/>
    <n v="-1.08"/>
  </r>
  <r>
    <x v="0"/>
    <x v="0"/>
    <x v="0"/>
    <x v="12"/>
    <x v="11"/>
    <x v="0"/>
    <x v="0"/>
    <n v="0"/>
  </r>
  <r>
    <x v="0"/>
    <x v="0"/>
    <x v="0"/>
    <x v="12"/>
    <x v="11"/>
    <x v="0"/>
    <x v="1"/>
    <n v="0"/>
  </r>
  <r>
    <x v="0"/>
    <x v="0"/>
    <x v="0"/>
    <x v="12"/>
    <x v="11"/>
    <x v="0"/>
    <x v="2"/>
    <n v="0"/>
  </r>
  <r>
    <x v="0"/>
    <x v="0"/>
    <x v="0"/>
    <x v="12"/>
    <x v="11"/>
    <x v="0"/>
    <x v="3"/>
    <n v="0"/>
  </r>
  <r>
    <x v="0"/>
    <x v="0"/>
    <x v="0"/>
    <x v="12"/>
    <x v="11"/>
    <x v="0"/>
    <x v="4"/>
    <n v="0"/>
  </r>
  <r>
    <x v="0"/>
    <x v="0"/>
    <x v="0"/>
    <x v="12"/>
    <x v="11"/>
    <x v="0"/>
    <x v="5"/>
    <n v="0"/>
  </r>
  <r>
    <x v="0"/>
    <x v="0"/>
    <x v="0"/>
    <x v="12"/>
    <x v="11"/>
    <x v="0"/>
    <x v="6"/>
    <n v="0"/>
  </r>
  <r>
    <x v="0"/>
    <x v="0"/>
    <x v="0"/>
    <x v="12"/>
    <x v="11"/>
    <x v="0"/>
    <x v="7"/>
    <n v="0"/>
  </r>
  <r>
    <x v="0"/>
    <x v="0"/>
    <x v="0"/>
    <x v="12"/>
    <x v="11"/>
    <x v="0"/>
    <x v="8"/>
    <n v="0"/>
  </r>
  <r>
    <x v="0"/>
    <x v="0"/>
    <x v="0"/>
    <x v="12"/>
    <x v="11"/>
    <x v="0"/>
    <x v="9"/>
    <n v="0"/>
  </r>
  <r>
    <x v="0"/>
    <x v="0"/>
    <x v="0"/>
    <x v="12"/>
    <x v="11"/>
    <x v="0"/>
    <x v="10"/>
    <n v="0"/>
  </r>
  <r>
    <x v="0"/>
    <x v="0"/>
    <x v="0"/>
    <x v="12"/>
    <x v="11"/>
    <x v="0"/>
    <x v="11"/>
    <n v="0"/>
  </r>
  <r>
    <x v="0"/>
    <x v="0"/>
    <x v="0"/>
    <x v="12"/>
    <x v="11"/>
    <x v="0"/>
    <x v="12"/>
    <n v="0"/>
  </r>
  <r>
    <x v="0"/>
    <x v="0"/>
    <x v="0"/>
    <x v="12"/>
    <x v="11"/>
    <x v="0"/>
    <x v="13"/>
    <n v="0"/>
  </r>
  <r>
    <x v="0"/>
    <x v="0"/>
    <x v="0"/>
    <x v="12"/>
    <x v="11"/>
    <x v="0"/>
    <x v="14"/>
    <n v="0"/>
  </r>
  <r>
    <x v="0"/>
    <x v="0"/>
    <x v="0"/>
    <x v="12"/>
    <x v="11"/>
    <x v="0"/>
    <x v="15"/>
    <n v="0"/>
  </r>
  <r>
    <x v="0"/>
    <x v="0"/>
    <x v="0"/>
    <x v="12"/>
    <x v="11"/>
    <x v="0"/>
    <x v="16"/>
    <n v="0"/>
  </r>
  <r>
    <x v="0"/>
    <x v="0"/>
    <x v="0"/>
    <x v="12"/>
    <x v="11"/>
    <x v="0"/>
    <x v="17"/>
    <n v="0"/>
  </r>
  <r>
    <x v="0"/>
    <x v="0"/>
    <x v="0"/>
    <x v="12"/>
    <x v="11"/>
    <x v="0"/>
    <x v="18"/>
    <n v="0"/>
  </r>
  <r>
    <x v="0"/>
    <x v="0"/>
    <x v="0"/>
    <x v="12"/>
    <x v="11"/>
    <x v="0"/>
    <x v="19"/>
    <n v="0"/>
  </r>
  <r>
    <x v="0"/>
    <x v="0"/>
    <x v="0"/>
    <x v="12"/>
    <x v="11"/>
    <x v="0"/>
    <x v="20"/>
    <n v="0"/>
  </r>
  <r>
    <x v="0"/>
    <x v="0"/>
    <x v="0"/>
    <x v="12"/>
    <x v="11"/>
    <x v="0"/>
    <x v="21"/>
    <n v="0"/>
  </r>
  <r>
    <x v="0"/>
    <x v="0"/>
    <x v="0"/>
    <x v="12"/>
    <x v="11"/>
    <x v="0"/>
    <x v="22"/>
    <n v="0"/>
  </r>
  <r>
    <x v="0"/>
    <x v="0"/>
    <x v="0"/>
    <x v="12"/>
    <x v="11"/>
    <x v="0"/>
    <x v="23"/>
    <n v="0"/>
  </r>
  <r>
    <x v="0"/>
    <x v="0"/>
    <x v="0"/>
    <x v="13"/>
    <x v="20"/>
    <x v="0"/>
    <x v="0"/>
    <n v="0.61237840421314205"/>
  </r>
  <r>
    <x v="0"/>
    <x v="0"/>
    <x v="0"/>
    <x v="13"/>
    <x v="20"/>
    <x v="0"/>
    <x v="1"/>
    <n v="0.72541196243545902"/>
  </r>
  <r>
    <x v="0"/>
    <x v="0"/>
    <x v="0"/>
    <x v="13"/>
    <x v="20"/>
    <x v="0"/>
    <x v="2"/>
    <n v="0.76214063608182003"/>
  </r>
  <r>
    <x v="0"/>
    <x v="0"/>
    <x v="0"/>
    <x v="13"/>
    <x v="20"/>
    <x v="0"/>
    <x v="3"/>
    <n v="0.82971747118423"/>
  </r>
  <r>
    <x v="0"/>
    <x v="0"/>
    <x v="0"/>
    <x v="13"/>
    <x v="20"/>
    <x v="0"/>
    <x v="4"/>
    <n v="0.79466274178546703"/>
  </r>
  <r>
    <x v="0"/>
    <x v="0"/>
    <x v="0"/>
    <x v="13"/>
    <x v="20"/>
    <x v="0"/>
    <x v="5"/>
    <n v="0.54639503885355101"/>
  </r>
  <r>
    <x v="0"/>
    <x v="0"/>
    <x v="0"/>
    <x v="13"/>
    <x v="20"/>
    <x v="0"/>
    <x v="6"/>
    <n v="0.85883885299014695"/>
  </r>
  <r>
    <x v="0"/>
    <x v="0"/>
    <x v="0"/>
    <x v="13"/>
    <x v="20"/>
    <x v="0"/>
    <x v="7"/>
    <n v="1.08"/>
  </r>
  <r>
    <x v="0"/>
    <x v="0"/>
    <x v="0"/>
    <x v="13"/>
    <x v="20"/>
    <x v="0"/>
    <x v="8"/>
    <n v="0.84602904779641497"/>
  </r>
  <r>
    <x v="0"/>
    <x v="0"/>
    <x v="0"/>
    <x v="13"/>
    <x v="20"/>
    <x v="0"/>
    <x v="9"/>
    <n v="1.08"/>
  </r>
  <r>
    <x v="0"/>
    <x v="0"/>
    <x v="0"/>
    <x v="13"/>
    <x v="20"/>
    <x v="0"/>
    <x v="10"/>
    <n v="0.68309225088502301"/>
  </r>
  <r>
    <x v="0"/>
    <x v="0"/>
    <x v="0"/>
    <x v="13"/>
    <x v="20"/>
    <x v="0"/>
    <x v="11"/>
    <n v="0.72377896149735099"/>
  </r>
  <r>
    <x v="0"/>
    <x v="0"/>
    <x v="0"/>
    <x v="13"/>
    <x v="20"/>
    <x v="0"/>
    <x v="12"/>
    <n v="0.51013097695416698"/>
  </r>
  <r>
    <x v="0"/>
    <x v="0"/>
    <x v="0"/>
    <x v="13"/>
    <x v="20"/>
    <x v="0"/>
    <x v="13"/>
    <n v="0.84814543280594401"/>
  </r>
  <r>
    <x v="0"/>
    <x v="0"/>
    <x v="0"/>
    <x v="13"/>
    <x v="20"/>
    <x v="0"/>
    <x v="14"/>
    <n v="0.87732919521605501"/>
  </r>
  <r>
    <x v="0"/>
    <x v="0"/>
    <x v="0"/>
    <x v="13"/>
    <x v="20"/>
    <x v="0"/>
    <x v="15"/>
    <n v="0.584776162994049"/>
  </r>
  <r>
    <x v="0"/>
    <x v="0"/>
    <x v="0"/>
    <x v="13"/>
    <x v="20"/>
    <x v="0"/>
    <x v="16"/>
    <n v="0.84858326089813396"/>
  </r>
  <r>
    <x v="0"/>
    <x v="0"/>
    <x v="0"/>
    <x v="13"/>
    <x v="20"/>
    <x v="0"/>
    <x v="17"/>
    <n v="0.92275784353485502"/>
  </r>
  <r>
    <x v="0"/>
    <x v="0"/>
    <x v="0"/>
    <x v="13"/>
    <x v="20"/>
    <x v="0"/>
    <x v="18"/>
    <n v="0.86157722213684695"/>
  </r>
  <r>
    <x v="0"/>
    <x v="0"/>
    <x v="0"/>
    <x v="13"/>
    <x v="20"/>
    <x v="0"/>
    <x v="19"/>
    <n v="0.87142024751503999"/>
  </r>
  <r>
    <x v="0"/>
    <x v="0"/>
    <x v="0"/>
    <x v="13"/>
    <x v="20"/>
    <x v="0"/>
    <x v="20"/>
    <n v="0.93302461044375296"/>
  </r>
  <r>
    <x v="0"/>
    <x v="0"/>
    <x v="0"/>
    <x v="13"/>
    <x v="20"/>
    <x v="0"/>
    <x v="21"/>
    <n v="0.93739091054391799"/>
  </r>
  <r>
    <x v="0"/>
    <x v="0"/>
    <x v="0"/>
    <x v="13"/>
    <x v="20"/>
    <x v="0"/>
    <x v="22"/>
    <n v="0.53963311549618798"/>
  </r>
  <r>
    <x v="0"/>
    <x v="0"/>
    <x v="0"/>
    <x v="13"/>
    <x v="20"/>
    <x v="0"/>
    <x v="23"/>
    <n v="0"/>
  </r>
  <r>
    <x v="0"/>
    <x v="0"/>
    <x v="0"/>
    <x v="13"/>
    <x v="15"/>
    <x v="0"/>
    <x v="0"/>
    <n v="-0.52934653142352805"/>
  </r>
  <r>
    <x v="0"/>
    <x v="0"/>
    <x v="0"/>
    <x v="13"/>
    <x v="15"/>
    <x v="0"/>
    <x v="1"/>
    <n v="-0.58727796114799502"/>
  </r>
  <r>
    <x v="0"/>
    <x v="0"/>
    <x v="0"/>
    <x v="13"/>
    <x v="15"/>
    <x v="0"/>
    <x v="2"/>
    <n v="-0.59241217404755697"/>
  </r>
  <r>
    <x v="0"/>
    <x v="0"/>
    <x v="0"/>
    <x v="13"/>
    <x v="15"/>
    <x v="0"/>
    <x v="3"/>
    <n v="-0.63025593628862597"/>
  </r>
  <r>
    <x v="0"/>
    <x v="0"/>
    <x v="0"/>
    <x v="13"/>
    <x v="15"/>
    <x v="0"/>
    <x v="4"/>
    <n v="-0.61770812014259502"/>
  </r>
  <r>
    <x v="0"/>
    <x v="0"/>
    <x v="0"/>
    <x v="13"/>
    <x v="15"/>
    <x v="0"/>
    <x v="5"/>
    <n v="-0.45416387606686498"/>
  </r>
  <r>
    <x v="0"/>
    <x v="0"/>
    <x v="0"/>
    <x v="13"/>
    <x v="15"/>
    <x v="0"/>
    <x v="6"/>
    <n v="-0.66990754108959105"/>
  </r>
  <r>
    <x v="0"/>
    <x v="0"/>
    <x v="0"/>
    <x v="13"/>
    <x v="15"/>
    <x v="0"/>
    <x v="7"/>
    <n v="-0.9"/>
  </r>
  <r>
    <x v="0"/>
    <x v="0"/>
    <x v="0"/>
    <x v="13"/>
    <x v="15"/>
    <x v="0"/>
    <x v="8"/>
    <n v="-0.83627547850959605"/>
  </r>
  <r>
    <x v="0"/>
    <x v="0"/>
    <x v="0"/>
    <x v="13"/>
    <x v="15"/>
    <x v="0"/>
    <x v="9"/>
    <n v="-0.83449137384535099"/>
  </r>
  <r>
    <x v="0"/>
    <x v="0"/>
    <x v="0"/>
    <x v="13"/>
    <x v="15"/>
    <x v="0"/>
    <x v="10"/>
    <n v="-0.46797090742196301"/>
  </r>
  <r>
    <x v="0"/>
    <x v="0"/>
    <x v="0"/>
    <x v="13"/>
    <x v="15"/>
    <x v="0"/>
    <x v="11"/>
    <n v="-0.49477890297433902"/>
  </r>
  <r>
    <x v="0"/>
    <x v="0"/>
    <x v="0"/>
    <x v="13"/>
    <x v="15"/>
    <x v="0"/>
    <x v="12"/>
    <n v="-0.50265082030632702"/>
  </r>
  <r>
    <x v="0"/>
    <x v="0"/>
    <x v="0"/>
    <x v="13"/>
    <x v="15"/>
    <x v="0"/>
    <x v="13"/>
    <n v="-0.48366651891803603"/>
  </r>
  <r>
    <x v="0"/>
    <x v="0"/>
    <x v="0"/>
    <x v="13"/>
    <x v="15"/>
    <x v="0"/>
    <x v="14"/>
    <n v="-0.48675641530952102"/>
  </r>
  <r>
    <x v="0"/>
    <x v="0"/>
    <x v="0"/>
    <x v="13"/>
    <x v="15"/>
    <x v="0"/>
    <x v="15"/>
    <n v="-0.44716481455637402"/>
  </r>
  <r>
    <x v="0"/>
    <x v="0"/>
    <x v="0"/>
    <x v="13"/>
    <x v="15"/>
    <x v="0"/>
    <x v="16"/>
    <n v="-0.46698701674798399"/>
  </r>
  <r>
    <x v="0"/>
    <x v="0"/>
    <x v="0"/>
    <x v="13"/>
    <x v="15"/>
    <x v="0"/>
    <x v="17"/>
    <n v="-0.50726496567753399"/>
  </r>
  <r>
    <x v="0"/>
    <x v="0"/>
    <x v="0"/>
    <x v="13"/>
    <x v="15"/>
    <x v="0"/>
    <x v="18"/>
    <n v="-0.72618201980678598"/>
  </r>
  <r>
    <x v="0"/>
    <x v="0"/>
    <x v="0"/>
    <x v="13"/>
    <x v="15"/>
    <x v="0"/>
    <x v="19"/>
    <n v="-0.74179626912447405"/>
  </r>
  <r>
    <x v="0"/>
    <x v="0"/>
    <x v="0"/>
    <x v="13"/>
    <x v="15"/>
    <x v="0"/>
    <x v="20"/>
    <n v="-0.75921988288417797"/>
  </r>
  <r>
    <x v="0"/>
    <x v="0"/>
    <x v="0"/>
    <x v="13"/>
    <x v="15"/>
    <x v="0"/>
    <x v="21"/>
    <n v="-0.72077452380890505"/>
  </r>
  <r>
    <x v="0"/>
    <x v="0"/>
    <x v="0"/>
    <x v="13"/>
    <x v="15"/>
    <x v="0"/>
    <x v="22"/>
    <n v="-0.51043164848488198"/>
  </r>
  <r>
    <x v="0"/>
    <x v="0"/>
    <x v="0"/>
    <x v="13"/>
    <x v="15"/>
    <x v="0"/>
    <x v="23"/>
    <n v="-0.100041699119206"/>
  </r>
  <r>
    <x v="0"/>
    <x v="0"/>
    <x v="0"/>
    <x v="13"/>
    <x v="19"/>
    <x v="0"/>
    <x v="0"/>
    <n v="-0.9"/>
  </r>
  <r>
    <x v="0"/>
    <x v="0"/>
    <x v="0"/>
    <x v="13"/>
    <x v="19"/>
    <x v="0"/>
    <x v="1"/>
    <n v="-0.9"/>
  </r>
  <r>
    <x v="0"/>
    <x v="0"/>
    <x v="0"/>
    <x v="13"/>
    <x v="19"/>
    <x v="0"/>
    <x v="2"/>
    <n v="-0.9"/>
  </r>
  <r>
    <x v="0"/>
    <x v="0"/>
    <x v="0"/>
    <x v="13"/>
    <x v="19"/>
    <x v="0"/>
    <x v="3"/>
    <n v="-0.9"/>
  </r>
  <r>
    <x v="0"/>
    <x v="0"/>
    <x v="0"/>
    <x v="13"/>
    <x v="19"/>
    <x v="0"/>
    <x v="4"/>
    <n v="-0.9"/>
  </r>
  <r>
    <x v="0"/>
    <x v="0"/>
    <x v="0"/>
    <x v="13"/>
    <x v="19"/>
    <x v="0"/>
    <x v="5"/>
    <n v="-0.9"/>
  </r>
  <r>
    <x v="0"/>
    <x v="0"/>
    <x v="0"/>
    <x v="13"/>
    <x v="19"/>
    <x v="0"/>
    <x v="6"/>
    <n v="-0.9"/>
  </r>
  <r>
    <x v="0"/>
    <x v="0"/>
    <x v="0"/>
    <x v="13"/>
    <x v="19"/>
    <x v="0"/>
    <x v="7"/>
    <n v="-0.9"/>
  </r>
  <r>
    <x v="0"/>
    <x v="0"/>
    <x v="0"/>
    <x v="13"/>
    <x v="19"/>
    <x v="0"/>
    <x v="8"/>
    <n v="-0.9"/>
  </r>
  <r>
    <x v="0"/>
    <x v="0"/>
    <x v="0"/>
    <x v="13"/>
    <x v="19"/>
    <x v="0"/>
    <x v="9"/>
    <n v="-0.9"/>
  </r>
  <r>
    <x v="0"/>
    <x v="0"/>
    <x v="0"/>
    <x v="13"/>
    <x v="19"/>
    <x v="0"/>
    <x v="10"/>
    <n v="-0.9"/>
  </r>
  <r>
    <x v="0"/>
    <x v="0"/>
    <x v="0"/>
    <x v="13"/>
    <x v="19"/>
    <x v="0"/>
    <x v="11"/>
    <n v="-0.9"/>
  </r>
  <r>
    <x v="0"/>
    <x v="0"/>
    <x v="0"/>
    <x v="13"/>
    <x v="19"/>
    <x v="0"/>
    <x v="12"/>
    <n v="-0.9"/>
  </r>
  <r>
    <x v="0"/>
    <x v="0"/>
    <x v="0"/>
    <x v="13"/>
    <x v="19"/>
    <x v="0"/>
    <x v="13"/>
    <n v="-0.9"/>
  </r>
  <r>
    <x v="0"/>
    <x v="0"/>
    <x v="0"/>
    <x v="13"/>
    <x v="19"/>
    <x v="0"/>
    <x v="14"/>
    <n v="-0.9"/>
  </r>
  <r>
    <x v="0"/>
    <x v="0"/>
    <x v="0"/>
    <x v="13"/>
    <x v="19"/>
    <x v="0"/>
    <x v="15"/>
    <n v="-0.9"/>
  </r>
  <r>
    <x v="0"/>
    <x v="0"/>
    <x v="0"/>
    <x v="13"/>
    <x v="19"/>
    <x v="0"/>
    <x v="16"/>
    <n v="-0.9"/>
  </r>
  <r>
    <x v="0"/>
    <x v="0"/>
    <x v="0"/>
    <x v="13"/>
    <x v="19"/>
    <x v="0"/>
    <x v="17"/>
    <n v="-0.9"/>
  </r>
  <r>
    <x v="0"/>
    <x v="0"/>
    <x v="0"/>
    <x v="13"/>
    <x v="19"/>
    <x v="0"/>
    <x v="18"/>
    <n v="-0.9"/>
  </r>
  <r>
    <x v="0"/>
    <x v="0"/>
    <x v="0"/>
    <x v="13"/>
    <x v="19"/>
    <x v="0"/>
    <x v="19"/>
    <n v="-0.9"/>
  </r>
  <r>
    <x v="0"/>
    <x v="0"/>
    <x v="0"/>
    <x v="13"/>
    <x v="19"/>
    <x v="0"/>
    <x v="20"/>
    <n v="-0.9"/>
  </r>
  <r>
    <x v="0"/>
    <x v="0"/>
    <x v="0"/>
    <x v="13"/>
    <x v="19"/>
    <x v="0"/>
    <x v="21"/>
    <n v="-0.9"/>
  </r>
  <r>
    <x v="0"/>
    <x v="0"/>
    <x v="0"/>
    <x v="13"/>
    <x v="19"/>
    <x v="0"/>
    <x v="22"/>
    <n v="-0.9"/>
  </r>
  <r>
    <x v="0"/>
    <x v="0"/>
    <x v="0"/>
    <x v="13"/>
    <x v="19"/>
    <x v="0"/>
    <x v="23"/>
    <n v="-0.9"/>
  </r>
  <r>
    <x v="0"/>
    <x v="0"/>
    <x v="0"/>
    <x v="13"/>
    <x v="21"/>
    <x v="0"/>
    <x v="0"/>
    <n v="0"/>
  </r>
  <r>
    <x v="0"/>
    <x v="0"/>
    <x v="0"/>
    <x v="13"/>
    <x v="21"/>
    <x v="0"/>
    <x v="1"/>
    <n v="0"/>
  </r>
  <r>
    <x v="0"/>
    <x v="0"/>
    <x v="0"/>
    <x v="13"/>
    <x v="21"/>
    <x v="0"/>
    <x v="2"/>
    <n v="0"/>
  </r>
  <r>
    <x v="0"/>
    <x v="0"/>
    <x v="0"/>
    <x v="13"/>
    <x v="21"/>
    <x v="0"/>
    <x v="3"/>
    <n v="0"/>
  </r>
  <r>
    <x v="0"/>
    <x v="0"/>
    <x v="0"/>
    <x v="13"/>
    <x v="21"/>
    <x v="0"/>
    <x v="4"/>
    <n v="0"/>
  </r>
  <r>
    <x v="0"/>
    <x v="0"/>
    <x v="0"/>
    <x v="13"/>
    <x v="21"/>
    <x v="0"/>
    <x v="5"/>
    <n v="0"/>
  </r>
  <r>
    <x v="0"/>
    <x v="0"/>
    <x v="0"/>
    <x v="13"/>
    <x v="21"/>
    <x v="0"/>
    <x v="6"/>
    <n v="0"/>
  </r>
  <r>
    <x v="0"/>
    <x v="0"/>
    <x v="0"/>
    <x v="13"/>
    <x v="21"/>
    <x v="0"/>
    <x v="7"/>
    <n v="8.29899324357872E-2"/>
  </r>
  <r>
    <x v="0"/>
    <x v="0"/>
    <x v="0"/>
    <x v="13"/>
    <x v="21"/>
    <x v="0"/>
    <x v="8"/>
    <n v="0.364505847286066"/>
  </r>
  <r>
    <x v="0"/>
    <x v="0"/>
    <x v="0"/>
    <x v="13"/>
    <x v="21"/>
    <x v="0"/>
    <x v="9"/>
    <n v="0"/>
  </r>
  <r>
    <x v="0"/>
    <x v="0"/>
    <x v="0"/>
    <x v="13"/>
    <x v="21"/>
    <x v="0"/>
    <x v="10"/>
    <n v="0"/>
  </r>
  <r>
    <x v="0"/>
    <x v="0"/>
    <x v="0"/>
    <x v="13"/>
    <x v="21"/>
    <x v="0"/>
    <x v="11"/>
    <n v="0"/>
  </r>
  <r>
    <x v="0"/>
    <x v="0"/>
    <x v="0"/>
    <x v="13"/>
    <x v="21"/>
    <x v="0"/>
    <x v="12"/>
    <n v="0"/>
  </r>
  <r>
    <x v="0"/>
    <x v="0"/>
    <x v="0"/>
    <x v="13"/>
    <x v="21"/>
    <x v="0"/>
    <x v="13"/>
    <n v="0"/>
  </r>
  <r>
    <x v="0"/>
    <x v="0"/>
    <x v="0"/>
    <x v="13"/>
    <x v="21"/>
    <x v="0"/>
    <x v="14"/>
    <n v="0"/>
  </r>
  <r>
    <x v="0"/>
    <x v="0"/>
    <x v="0"/>
    <x v="13"/>
    <x v="21"/>
    <x v="0"/>
    <x v="15"/>
    <n v="0"/>
  </r>
  <r>
    <x v="0"/>
    <x v="0"/>
    <x v="0"/>
    <x v="13"/>
    <x v="21"/>
    <x v="0"/>
    <x v="16"/>
    <n v="0"/>
  </r>
  <r>
    <x v="0"/>
    <x v="0"/>
    <x v="0"/>
    <x v="13"/>
    <x v="21"/>
    <x v="0"/>
    <x v="17"/>
    <n v="0"/>
  </r>
  <r>
    <x v="0"/>
    <x v="0"/>
    <x v="0"/>
    <x v="13"/>
    <x v="21"/>
    <x v="0"/>
    <x v="18"/>
    <n v="0"/>
  </r>
  <r>
    <x v="0"/>
    <x v="0"/>
    <x v="0"/>
    <x v="13"/>
    <x v="21"/>
    <x v="0"/>
    <x v="19"/>
    <n v="0"/>
  </r>
  <r>
    <x v="0"/>
    <x v="0"/>
    <x v="0"/>
    <x v="13"/>
    <x v="21"/>
    <x v="0"/>
    <x v="20"/>
    <n v="0"/>
  </r>
  <r>
    <x v="0"/>
    <x v="0"/>
    <x v="0"/>
    <x v="13"/>
    <x v="21"/>
    <x v="0"/>
    <x v="21"/>
    <n v="0"/>
  </r>
  <r>
    <x v="0"/>
    <x v="0"/>
    <x v="0"/>
    <x v="13"/>
    <x v="21"/>
    <x v="0"/>
    <x v="22"/>
    <n v="0"/>
  </r>
  <r>
    <x v="0"/>
    <x v="0"/>
    <x v="0"/>
    <x v="13"/>
    <x v="21"/>
    <x v="0"/>
    <x v="23"/>
    <n v="-1.36944045279454E-2"/>
  </r>
  <r>
    <x v="0"/>
    <x v="0"/>
    <x v="0"/>
    <x v="14"/>
    <x v="12"/>
    <x v="0"/>
    <x v="0"/>
    <n v="0"/>
  </r>
  <r>
    <x v="0"/>
    <x v="0"/>
    <x v="0"/>
    <x v="14"/>
    <x v="12"/>
    <x v="0"/>
    <x v="1"/>
    <n v="0"/>
  </r>
  <r>
    <x v="0"/>
    <x v="0"/>
    <x v="0"/>
    <x v="14"/>
    <x v="12"/>
    <x v="0"/>
    <x v="2"/>
    <n v="0"/>
  </r>
  <r>
    <x v="0"/>
    <x v="0"/>
    <x v="0"/>
    <x v="14"/>
    <x v="12"/>
    <x v="0"/>
    <x v="3"/>
    <n v="0"/>
  </r>
  <r>
    <x v="0"/>
    <x v="0"/>
    <x v="0"/>
    <x v="14"/>
    <x v="12"/>
    <x v="0"/>
    <x v="4"/>
    <n v="0"/>
  </r>
  <r>
    <x v="0"/>
    <x v="0"/>
    <x v="0"/>
    <x v="14"/>
    <x v="12"/>
    <x v="0"/>
    <x v="5"/>
    <n v="0"/>
  </r>
  <r>
    <x v="0"/>
    <x v="0"/>
    <x v="0"/>
    <x v="14"/>
    <x v="12"/>
    <x v="0"/>
    <x v="6"/>
    <n v="0"/>
  </r>
  <r>
    <x v="0"/>
    <x v="0"/>
    <x v="0"/>
    <x v="14"/>
    <x v="12"/>
    <x v="0"/>
    <x v="7"/>
    <n v="0"/>
  </r>
  <r>
    <x v="0"/>
    <x v="0"/>
    <x v="0"/>
    <x v="14"/>
    <x v="12"/>
    <x v="0"/>
    <x v="8"/>
    <n v="0"/>
  </r>
  <r>
    <x v="0"/>
    <x v="0"/>
    <x v="0"/>
    <x v="14"/>
    <x v="12"/>
    <x v="0"/>
    <x v="9"/>
    <n v="0"/>
  </r>
  <r>
    <x v="0"/>
    <x v="0"/>
    <x v="0"/>
    <x v="14"/>
    <x v="12"/>
    <x v="0"/>
    <x v="10"/>
    <n v="0"/>
  </r>
  <r>
    <x v="0"/>
    <x v="0"/>
    <x v="0"/>
    <x v="14"/>
    <x v="12"/>
    <x v="0"/>
    <x v="11"/>
    <n v="0"/>
  </r>
  <r>
    <x v="0"/>
    <x v="0"/>
    <x v="0"/>
    <x v="14"/>
    <x v="12"/>
    <x v="0"/>
    <x v="12"/>
    <n v="0"/>
  </r>
  <r>
    <x v="0"/>
    <x v="0"/>
    <x v="0"/>
    <x v="14"/>
    <x v="12"/>
    <x v="0"/>
    <x v="13"/>
    <n v="0"/>
  </r>
  <r>
    <x v="0"/>
    <x v="0"/>
    <x v="0"/>
    <x v="14"/>
    <x v="12"/>
    <x v="0"/>
    <x v="14"/>
    <n v="0"/>
  </r>
  <r>
    <x v="0"/>
    <x v="0"/>
    <x v="0"/>
    <x v="14"/>
    <x v="12"/>
    <x v="0"/>
    <x v="15"/>
    <n v="0"/>
  </r>
  <r>
    <x v="0"/>
    <x v="0"/>
    <x v="0"/>
    <x v="14"/>
    <x v="12"/>
    <x v="0"/>
    <x v="16"/>
    <n v="0"/>
  </r>
  <r>
    <x v="0"/>
    <x v="0"/>
    <x v="0"/>
    <x v="14"/>
    <x v="12"/>
    <x v="0"/>
    <x v="17"/>
    <n v="0"/>
  </r>
  <r>
    <x v="0"/>
    <x v="0"/>
    <x v="0"/>
    <x v="14"/>
    <x v="12"/>
    <x v="0"/>
    <x v="18"/>
    <n v="0"/>
  </r>
  <r>
    <x v="0"/>
    <x v="0"/>
    <x v="0"/>
    <x v="14"/>
    <x v="12"/>
    <x v="0"/>
    <x v="19"/>
    <n v="0"/>
  </r>
  <r>
    <x v="0"/>
    <x v="0"/>
    <x v="0"/>
    <x v="14"/>
    <x v="12"/>
    <x v="0"/>
    <x v="20"/>
    <n v="0"/>
  </r>
  <r>
    <x v="0"/>
    <x v="0"/>
    <x v="0"/>
    <x v="14"/>
    <x v="12"/>
    <x v="0"/>
    <x v="21"/>
    <n v="0"/>
  </r>
  <r>
    <x v="0"/>
    <x v="0"/>
    <x v="0"/>
    <x v="14"/>
    <x v="12"/>
    <x v="0"/>
    <x v="22"/>
    <n v="0"/>
  </r>
  <r>
    <x v="0"/>
    <x v="0"/>
    <x v="0"/>
    <x v="14"/>
    <x v="12"/>
    <x v="0"/>
    <x v="23"/>
    <n v="0"/>
  </r>
  <r>
    <x v="0"/>
    <x v="0"/>
    <x v="0"/>
    <x v="14"/>
    <x v="18"/>
    <x v="0"/>
    <x v="0"/>
    <n v="0.52934653142352805"/>
  </r>
  <r>
    <x v="0"/>
    <x v="0"/>
    <x v="0"/>
    <x v="14"/>
    <x v="18"/>
    <x v="0"/>
    <x v="1"/>
    <n v="0.58727796114799502"/>
  </r>
  <r>
    <x v="0"/>
    <x v="0"/>
    <x v="0"/>
    <x v="14"/>
    <x v="18"/>
    <x v="0"/>
    <x v="2"/>
    <n v="0.59241217404755697"/>
  </r>
  <r>
    <x v="0"/>
    <x v="0"/>
    <x v="0"/>
    <x v="14"/>
    <x v="18"/>
    <x v="0"/>
    <x v="3"/>
    <n v="0.63025593628862597"/>
  </r>
  <r>
    <x v="0"/>
    <x v="0"/>
    <x v="0"/>
    <x v="14"/>
    <x v="18"/>
    <x v="0"/>
    <x v="4"/>
    <n v="0.61770812014259502"/>
  </r>
  <r>
    <x v="0"/>
    <x v="0"/>
    <x v="0"/>
    <x v="14"/>
    <x v="18"/>
    <x v="0"/>
    <x v="5"/>
    <n v="0.45416387606686498"/>
  </r>
  <r>
    <x v="0"/>
    <x v="0"/>
    <x v="0"/>
    <x v="14"/>
    <x v="18"/>
    <x v="0"/>
    <x v="6"/>
    <n v="0.66990754108959105"/>
  </r>
  <r>
    <x v="0"/>
    <x v="0"/>
    <x v="0"/>
    <x v="14"/>
    <x v="18"/>
    <x v="0"/>
    <x v="7"/>
    <n v="0.9"/>
  </r>
  <r>
    <x v="0"/>
    <x v="0"/>
    <x v="0"/>
    <x v="14"/>
    <x v="18"/>
    <x v="0"/>
    <x v="8"/>
    <n v="0.83627547850959605"/>
  </r>
  <r>
    <x v="0"/>
    <x v="0"/>
    <x v="0"/>
    <x v="14"/>
    <x v="18"/>
    <x v="0"/>
    <x v="9"/>
    <n v="0.83449137384535099"/>
  </r>
  <r>
    <x v="0"/>
    <x v="0"/>
    <x v="0"/>
    <x v="14"/>
    <x v="18"/>
    <x v="0"/>
    <x v="10"/>
    <n v="0.46797090742196301"/>
  </r>
  <r>
    <x v="0"/>
    <x v="0"/>
    <x v="0"/>
    <x v="14"/>
    <x v="18"/>
    <x v="0"/>
    <x v="11"/>
    <n v="0.49477890297433902"/>
  </r>
  <r>
    <x v="0"/>
    <x v="0"/>
    <x v="0"/>
    <x v="14"/>
    <x v="18"/>
    <x v="0"/>
    <x v="12"/>
    <n v="0.50265082030632702"/>
  </r>
  <r>
    <x v="0"/>
    <x v="0"/>
    <x v="0"/>
    <x v="14"/>
    <x v="18"/>
    <x v="0"/>
    <x v="13"/>
    <n v="0.48366651891803603"/>
  </r>
  <r>
    <x v="0"/>
    <x v="0"/>
    <x v="0"/>
    <x v="14"/>
    <x v="18"/>
    <x v="0"/>
    <x v="14"/>
    <n v="0.48675641530952102"/>
  </r>
  <r>
    <x v="0"/>
    <x v="0"/>
    <x v="0"/>
    <x v="14"/>
    <x v="18"/>
    <x v="0"/>
    <x v="15"/>
    <n v="0.44716481455637402"/>
  </r>
  <r>
    <x v="0"/>
    <x v="0"/>
    <x v="0"/>
    <x v="14"/>
    <x v="18"/>
    <x v="0"/>
    <x v="16"/>
    <n v="0.46698701674798399"/>
  </r>
  <r>
    <x v="0"/>
    <x v="0"/>
    <x v="0"/>
    <x v="14"/>
    <x v="18"/>
    <x v="0"/>
    <x v="17"/>
    <n v="0.50726496567753399"/>
  </r>
  <r>
    <x v="0"/>
    <x v="0"/>
    <x v="0"/>
    <x v="14"/>
    <x v="18"/>
    <x v="0"/>
    <x v="18"/>
    <n v="0.72618201980678598"/>
  </r>
  <r>
    <x v="0"/>
    <x v="0"/>
    <x v="0"/>
    <x v="14"/>
    <x v="18"/>
    <x v="0"/>
    <x v="19"/>
    <n v="0.74179626912447405"/>
  </r>
  <r>
    <x v="0"/>
    <x v="0"/>
    <x v="0"/>
    <x v="14"/>
    <x v="18"/>
    <x v="0"/>
    <x v="20"/>
    <n v="0.75921988288417797"/>
  </r>
  <r>
    <x v="0"/>
    <x v="0"/>
    <x v="0"/>
    <x v="14"/>
    <x v="18"/>
    <x v="0"/>
    <x v="21"/>
    <n v="0.72077452380890505"/>
  </r>
  <r>
    <x v="0"/>
    <x v="0"/>
    <x v="0"/>
    <x v="14"/>
    <x v="18"/>
    <x v="0"/>
    <x v="22"/>
    <n v="0.51043164848488198"/>
  </r>
  <r>
    <x v="0"/>
    <x v="0"/>
    <x v="0"/>
    <x v="14"/>
    <x v="18"/>
    <x v="0"/>
    <x v="23"/>
    <n v="0.100041699119206"/>
  </r>
  <r>
    <x v="0"/>
    <x v="0"/>
    <x v="0"/>
    <x v="14"/>
    <x v="16"/>
    <x v="0"/>
    <x v="0"/>
    <n v="0"/>
  </r>
  <r>
    <x v="0"/>
    <x v="0"/>
    <x v="0"/>
    <x v="14"/>
    <x v="16"/>
    <x v="0"/>
    <x v="1"/>
    <n v="0"/>
  </r>
  <r>
    <x v="0"/>
    <x v="0"/>
    <x v="0"/>
    <x v="14"/>
    <x v="16"/>
    <x v="0"/>
    <x v="2"/>
    <n v="0"/>
  </r>
  <r>
    <x v="0"/>
    <x v="0"/>
    <x v="0"/>
    <x v="14"/>
    <x v="16"/>
    <x v="0"/>
    <x v="3"/>
    <n v="0"/>
  </r>
  <r>
    <x v="0"/>
    <x v="0"/>
    <x v="0"/>
    <x v="14"/>
    <x v="16"/>
    <x v="0"/>
    <x v="4"/>
    <n v="0"/>
  </r>
  <r>
    <x v="0"/>
    <x v="0"/>
    <x v="0"/>
    <x v="14"/>
    <x v="16"/>
    <x v="0"/>
    <x v="5"/>
    <n v="0"/>
  </r>
  <r>
    <x v="0"/>
    <x v="0"/>
    <x v="0"/>
    <x v="14"/>
    <x v="16"/>
    <x v="0"/>
    <x v="6"/>
    <n v="0"/>
  </r>
  <r>
    <x v="0"/>
    <x v="0"/>
    <x v="0"/>
    <x v="14"/>
    <x v="16"/>
    <x v="0"/>
    <x v="7"/>
    <n v="0"/>
  </r>
  <r>
    <x v="0"/>
    <x v="0"/>
    <x v="0"/>
    <x v="14"/>
    <x v="16"/>
    <x v="0"/>
    <x v="8"/>
    <n v="0"/>
  </r>
  <r>
    <x v="0"/>
    <x v="0"/>
    <x v="0"/>
    <x v="14"/>
    <x v="16"/>
    <x v="0"/>
    <x v="9"/>
    <n v="0"/>
  </r>
  <r>
    <x v="0"/>
    <x v="0"/>
    <x v="0"/>
    <x v="14"/>
    <x v="16"/>
    <x v="0"/>
    <x v="10"/>
    <n v="0"/>
  </r>
  <r>
    <x v="0"/>
    <x v="0"/>
    <x v="0"/>
    <x v="14"/>
    <x v="16"/>
    <x v="0"/>
    <x v="11"/>
    <n v="0"/>
  </r>
  <r>
    <x v="0"/>
    <x v="0"/>
    <x v="0"/>
    <x v="14"/>
    <x v="16"/>
    <x v="0"/>
    <x v="12"/>
    <n v="0"/>
  </r>
  <r>
    <x v="0"/>
    <x v="0"/>
    <x v="0"/>
    <x v="14"/>
    <x v="16"/>
    <x v="0"/>
    <x v="13"/>
    <n v="0"/>
  </r>
  <r>
    <x v="0"/>
    <x v="0"/>
    <x v="0"/>
    <x v="14"/>
    <x v="16"/>
    <x v="0"/>
    <x v="14"/>
    <n v="0"/>
  </r>
  <r>
    <x v="0"/>
    <x v="0"/>
    <x v="0"/>
    <x v="14"/>
    <x v="16"/>
    <x v="0"/>
    <x v="15"/>
    <n v="0"/>
  </r>
  <r>
    <x v="0"/>
    <x v="0"/>
    <x v="0"/>
    <x v="14"/>
    <x v="16"/>
    <x v="0"/>
    <x v="16"/>
    <n v="0"/>
  </r>
  <r>
    <x v="0"/>
    <x v="0"/>
    <x v="0"/>
    <x v="14"/>
    <x v="16"/>
    <x v="0"/>
    <x v="17"/>
    <n v="0"/>
  </r>
  <r>
    <x v="0"/>
    <x v="0"/>
    <x v="0"/>
    <x v="14"/>
    <x v="16"/>
    <x v="0"/>
    <x v="18"/>
    <n v="0"/>
  </r>
  <r>
    <x v="0"/>
    <x v="0"/>
    <x v="0"/>
    <x v="14"/>
    <x v="16"/>
    <x v="0"/>
    <x v="19"/>
    <n v="0"/>
  </r>
  <r>
    <x v="0"/>
    <x v="0"/>
    <x v="0"/>
    <x v="14"/>
    <x v="16"/>
    <x v="0"/>
    <x v="20"/>
    <n v="0"/>
  </r>
  <r>
    <x v="0"/>
    <x v="0"/>
    <x v="0"/>
    <x v="14"/>
    <x v="16"/>
    <x v="0"/>
    <x v="21"/>
    <n v="0"/>
  </r>
  <r>
    <x v="0"/>
    <x v="0"/>
    <x v="0"/>
    <x v="14"/>
    <x v="16"/>
    <x v="0"/>
    <x v="22"/>
    <n v="0"/>
  </r>
  <r>
    <x v="0"/>
    <x v="0"/>
    <x v="0"/>
    <x v="14"/>
    <x v="16"/>
    <x v="0"/>
    <x v="23"/>
    <n v="0"/>
  </r>
  <r>
    <x v="0"/>
    <x v="0"/>
    <x v="0"/>
    <x v="14"/>
    <x v="21"/>
    <x v="0"/>
    <x v="0"/>
    <n v="0"/>
  </r>
  <r>
    <x v="0"/>
    <x v="0"/>
    <x v="0"/>
    <x v="14"/>
    <x v="21"/>
    <x v="0"/>
    <x v="1"/>
    <n v="0"/>
  </r>
  <r>
    <x v="0"/>
    <x v="0"/>
    <x v="0"/>
    <x v="14"/>
    <x v="21"/>
    <x v="0"/>
    <x v="2"/>
    <n v="0"/>
  </r>
  <r>
    <x v="0"/>
    <x v="0"/>
    <x v="0"/>
    <x v="14"/>
    <x v="21"/>
    <x v="0"/>
    <x v="3"/>
    <n v="0"/>
  </r>
  <r>
    <x v="0"/>
    <x v="0"/>
    <x v="0"/>
    <x v="14"/>
    <x v="21"/>
    <x v="0"/>
    <x v="4"/>
    <n v="0"/>
  </r>
  <r>
    <x v="0"/>
    <x v="0"/>
    <x v="0"/>
    <x v="14"/>
    <x v="21"/>
    <x v="0"/>
    <x v="5"/>
    <n v="0.105929012883412"/>
  </r>
  <r>
    <x v="0"/>
    <x v="0"/>
    <x v="0"/>
    <x v="14"/>
    <x v="21"/>
    <x v="0"/>
    <x v="6"/>
    <n v="0.22500000000000001"/>
  </r>
  <r>
    <x v="0"/>
    <x v="0"/>
    <x v="0"/>
    <x v="14"/>
    <x v="21"/>
    <x v="0"/>
    <x v="7"/>
    <n v="0.22500000000000001"/>
  </r>
  <r>
    <x v="0"/>
    <x v="0"/>
    <x v="0"/>
    <x v="14"/>
    <x v="21"/>
    <x v="0"/>
    <x v="8"/>
    <n v="0.22500000000000001"/>
  </r>
  <r>
    <x v="0"/>
    <x v="0"/>
    <x v="0"/>
    <x v="14"/>
    <x v="21"/>
    <x v="0"/>
    <x v="9"/>
    <n v="0.22500000000000001"/>
  </r>
  <r>
    <x v="0"/>
    <x v="0"/>
    <x v="0"/>
    <x v="14"/>
    <x v="21"/>
    <x v="0"/>
    <x v="10"/>
    <n v="0.22500000000000001"/>
  </r>
  <r>
    <x v="0"/>
    <x v="0"/>
    <x v="0"/>
    <x v="14"/>
    <x v="21"/>
    <x v="0"/>
    <x v="11"/>
    <n v="0.22500000000000001"/>
  </r>
  <r>
    <x v="0"/>
    <x v="0"/>
    <x v="0"/>
    <x v="14"/>
    <x v="21"/>
    <x v="0"/>
    <x v="12"/>
    <n v="0.22500000000000001"/>
  </r>
  <r>
    <x v="0"/>
    <x v="0"/>
    <x v="0"/>
    <x v="14"/>
    <x v="21"/>
    <x v="0"/>
    <x v="13"/>
    <n v="0.22500000000000001"/>
  </r>
  <r>
    <x v="0"/>
    <x v="0"/>
    <x v="0"/>
    <x v="14"/>
    <x v="21"/>
    <x v="0"/>
    <x v="14"/>
    <n v="0.22500000000000001"/>
  </r>
  <r>
    <x v="0"/>
    <x v="0"/>
    <x v="0"/>
    <x v="14"/>
    <x v="21"/>
    <x v="0"/>
    <x v="15"/>
    <n v="0.22500000000000001"/>
  </r>
  <r>
    <x v="0"/>
    <x v="0"/>
    <x v="0"/>
    <x v="14"/>
    <x v="21"/>
    <x v="0"/>
    <x v="16"/>
    <n v="0.22500000000000001"/>
  </r>
  <r>
    <x v="0"/>
    <x v="0"/>
    <x v="0"/>
    <x v="14"/>
    <x v="21"/>
    <x v="0"/>
    <x v="17"/>
    <n v="0.22500000000000001"/>
  </r>
  <r>
    <x v="0"/>
    <x v="0"/>
    <x v="0"/>
    <x v="14"/>
    <x v="21"/>
    <x v="0"/>
    <x v="18"/>
    <n v="5.7844917585416399E-2"/>
  </r>
  <r>
    <x v="0"/>
    <x v="0"/>
    <x v="0"/>
    <x v="14"/>
    <x v="21"/>
    <x v="0"/>
    <x v="19"/>
    <n v="0"/>
  </r>
  <r>
    <x v="0"/>
    <x v="0"/>
    <x v="0"/>
    <x v="14"/>
    <x v="21"/>
    <x v="0"/>
    <x v="20"/>
    <n v="0"/>
  </r>
  <r>
    <x v="0"/>
    <x v="0"/>
    <x v="0"/>
    <x v="14"/>
    <x v="21"/>
    <x v="0"/>
    <x v="21"/>
    <n v="0"/>
  </r>
  <r>
    <x v="0"/>
    <x v="0"/>
    <x v="0"/>
    <x v="14"/>
    <x v="21"/>
    <x v="0"/>
    <x v="22"/>
    <n v="0"/>
  </r>
  <r>
    <x v="0"/>
    <x v="0"/>
    <x v="0"/>
    <x v="14"/>
    <x v="21"/>
    <x v="0"/>
    <x v="23"/>
    <n v="0"/>
  </r>
  <r>
    <x v="0"/>
    <x v="0"/>
    <x v="0"/>
    <x v="15"/>
    <x v="20"/>
    <x v="0"/>
    <x v="0"/>
    <n v="0.16751969421662299"/>
  </r>
  <r>
    <x v="0"/>
    <x v="0"/>
    <x v="0"/>
    <x v="15"/>
    <x v="20"/>
    <x v="0"/>
    <x v="1"/>
    <n v="0.16751969421662299"/>
  </r>
  <r>
    <x v="0"/>
    <x v="0"/>
    <x v="0"/>
    <x v="15"/>
    <x v="20"/>
    <x v="0"/>
    <x v="2"/>
    <n v="0.16751969421662299"/>
  </r>
  <r>
    <x v="0"/>
    <x v="0"/>
    <x v="0"/>
    <x v="15"/>
    <x v="20"/>
    <x v="0"/>
    <x v="3"/>
    <n v="0.16751969421662299"/>
  </r>
  <r>
    <x v="0"/>
    <x v="0"/>
    <x v="0"/>
    <x v="15"/>
    <x v="20"/>
    <x v="0"/>
    <x v="4"/>
    <n v="0.16751969421662299"/>
  </r>
  <r>
    <x v="0"/>
    <x v="0"/>
    <x v="0"/>
    <x v="15"/>
    <x v="20"/>
    <x v="0"/>
    <x v="5"/>
    <n v="0.16751969421662299"/>
  </r>
  <r>
    <x v="0"/>
    <x v="0"/>
    <x v="0"/>
    <x v="15"/>
    <x v="20"/>
    <x v="0"/>
    <x v="6"/>
    <n v="0.16751969421662299"/>
  </r>
  <r>
    <x v="0"/>
    <x v="0"/>
    <x v="0"/>
    <x v="15"/>
    <x v="20"/>
    <x v="0"/>
    <x v="7"/>
    <n v="0.16751969421662299"/>
  </r>
  <r>
    <x v="0"/>
    <x v="0"/>
    <x v="0"/>
    <x v="15"/>
    <x v="20"/>
    <x v="0"/>
    <x v="8"/>
    <n v="0.16751969421662299"/>
  </r>
  <r>
    <x v="0"/>
    <x v="0"/>
    <x v="0"/>
    <x v="15"/>
    <x v="20"/>
    <x v="0"/>
    <x v="9"/>
    <n v="0.16751969421662299"/>
  </r>
  <r>
    <x v="0"/>
    <x v="0"/>
    <x v="0"/>
    <x v="15"/>
    <x v="20"/>
    <x v="0"/>
    <x v="10"/>
    <n v="0.16751969421662299"/>
  </r>
  <r>
    <x v="0"/>
    <x v="0"/>
    <x v="0"/>
    <x v="15"/>
    <x v="20"/>
    <x v="0"/>
    <x v="11"/>
    <n v="0.16751969421662299"/>
  </r>
  <r>
    <x v="0"/>
    <x v="0"/>
    <x v="0"/>
    <x v="15"/>
    <x v="20"/>
    <x v="0"/>
    <x v="12"/>
    <n v="0.16751969421662299"/>
  </r>
  <r>
    <x v="0"/>
    <x v="0"/>
    <x v="0"/>
    <x v="15"/>
    <x v="20"/>
    <x v="0"/>
    <x v="13"/>
    <n v="0.16751969421662299"/>
  </r>
  <r>
    <x v="0"/>
    <x v="0"/>
    <x v="0"/>
    <x v="15"/>
    <x v="20"/>
    <x v="0"/>
    <x v="14"/>
    <n v="0.16751969421662299"/>
  </r>
  <r>
    <x v="0"/>
    <x v="0"/>
    <x v="0"/>
    <x v="15"/>
    <x v="20"/>
    <x v="0"/>
    <x v="15"/>
    <n v="0.16751969421662299"/>
  </r>
  <r>
    <x v="0"/>
    <x v="0"/>
    <x v="0"/>
    <x v="15"/>
    <x v="20"/>
    <x v="0"/>
    <x v="16"/>
    <n v="0.16751969421662299"/>
  </r>
  <r>
    <x v="0"/>
    <x v="0"/>
    <x v="0"/>
    <x v="15"/>
    <x v="20"/>
    <x v="0"/>
    <x v="17"/>
    <n v="0.16751969421662299"/>
  </r>
  <r>
    <x v="0"/>
    <x v="0"/>
    <x v="0"/>
    <x v="15"/>
    <x v="20"/>
    <x v="0"/>
    <x v="18"/>
    <n v="0.16751969421662299"/>
  </r>
  <r>
    <x v="0"/>
    <x v="0"/>
    <x v="0"/>
    <x v="15"/>
    <x v="20"/>
    <x v="0"/>
    <x v="19"/>
    <n v="0.16751969421662299"/>
  </r>
  <r>
    <x v="0"/>
    <x v="0"/>
    <x v="0"/>
    <x v="15"/>
    <x v="20"/>
    <x v="0"/>
    <x v="20"/>
    <n v="0.16751969421662299"/>
  </r>
  <r>
    <x v="0"/>
    <x v="0"/>
    <x v="0"/>
    <x v="15"/>
    <x v="20"/>
    <x v="0"/>
    <x v="21"/>
    <n v="0.16751969421662299"/>
  </r>
  <r>
    <x v="0"/>
    <x v="0"/>
    <x v="0"/>
    <x v="15"/>
    <x v="20"/>
    <x v="0"/>
    <x v="22"/>
    <n v="0.16751969421662299"/>
  </r>
  <r>
    <x v="0"/>
    <x v="0"/>
    <x v="0"/>
    <x v="15"/>
    <x v="20"/>
    <x v="0"/>
    <x v="23"/>
    <n v="0.16751969421662299"/>
  </r>
  <r>
    <x v="0"/>
    <x v="0"/>
    <x v="0"/>
    <x v="15"/>
    <x v="7"/>
    <x v="0"/>
    <x v="0"/>
    <n v="1.08"/>
  </r>
  <r>
    <x v="0"/>
    <x v="0"/>
    <x v="0"/>
    <x v="15"/>
    <x v="7"/>
    <x v="0"/>
    <x v="1"/>
    <n v="1.08"/>
  </r>
  <r>
    <x v="0"/>
    <x v="0"/>
    <x v="0"/>
    <x v="15"/>
    <x v="7"/>
    <x v="0"/>
    <x v="2"/>
    <n v="1.08"/>
  </r>
  <r>
    <x v="0"/>
    <x v="0"/>
    <x v="0"/>
    <x v="15"/>
    <x v="7"/>
    <x v="0"/>
    <x v="3"/>
    <n v="1.08"/>
  </r>
  <r>
    <x v="0"/>
    <x v="0"/>
    <x v="0"/>
    <x v="15"/>
    <x v="7"/>
    <x v="0"/>
    <x v="4"/>
    <n v="1.08"/>
  </r>
  <r>
    <x v="0"/>
    <x v="0"/>
    <x v="0"/>
    <x v="15"/>
    <x v="7"/>
    <x v="0"/>
    <x v="5"/>
    <n v="1.08"/>
  </r>
  <r>
    <x v="0"/>
    <x v="0"/>
    <x v="0"/>
    <x v="15"/>
    <x v="7"/>
    <x v="0"/>
    <x v="6"/>
    <n v="1.08"/>
  </r>
  <r>
    <x v="0"/>
    <x v="0"/>
    <x v="0"/>
    <x v="15"/>
    <x v="7"/>
    <x v="0"/>
    <x v="7"/>
    <n v="1.08"/>
  </r>
  <r>
    <x v="0"/>
    <x v="0"/>
    <x v="0"/>
    <x v="15"/>
    <x v="7"/>
    <x v="0"/>
    <x v="8"/>
    <n v="1.08"/>
  </r>
  <r>
    <x v="0"/>
    <x v="0"/>
    <x v="0"/>
    <x v="15"/>
    <x v="7"/>
    <x v="0"/>
    <x v="9"/>
    <n v="1.08"/>
  </r>
  <r>
    <x v="0"/>
    <x v="0"/>
    <x v="0"/>
    <x v="15"/>
    <x v="7"/>
    <x v="0"/>
    <x v="10"/>
    <n v="1.08"/>
  </r>
  <r>
    <x v="0"/>
    <x v="0"/>
    <x v="0"/>
    <x v="15"/>
    <x v="7"/>
    <x v="0"/>
    <x v="11"/>
    <n v="1.08"/>
  </r>
  <r>
    <x v="0"/>
    <x v="0"/>
    <x v="0"/>
    <x v="15"/>
    <x v="7"/>
    <x v="0"/>
    <x v="12"/>
    <n v="1.08"/>
  </r>
  <r>
    <x v="0"/>
    <x v="0"/>
    <x v="0"/>
    <x v="15"/>
    <x v="7"/>
    <x v="0"/>
    <x v="13"/>
    <n v="1.08"/>
  </r>
  <r>
    <x v="0"/>
    <x v="0"/>
    <x v="0"/>
    <x v="15"/>
    <x v="7"/>
    <x v="0"/>
    <x v="14"/>
    <n v="1.08"/>
  </r>
  <r>
    <x v="0"/>
    <x v="0"/>
    <x v="0"/>
    <x v="15"/>
    <x v="7"/>
    <x v="0"/>
    <x v="15"/>
    <n v="1.08"/>
  </r>
  <r>
    <x v="0"/>
    <x v="0"/>
    <x v="0"/>
    <x v="15"/>
    <x v="7"/>
    <x v="0"/>
    <x v="16"/>
    <n v="1.08"/>
  </r>
  <r>
    <x v="0"/>
    <x v="0"/>
    <x v="0"/>
    <x v="15"/>
    <x v="7"/>
    <x v="0"/>
    <x v="17"/>
    <n v="1.08"/>
  </r>
  <r>
    <x v="0"/>
    <x v="0"/>
    <x v="0"/>
    <x v="15"/>
    <x v="7"/>
    <x v="0"/>
    <x v="18"/>
    <n v="1.08"/>
  </r>
  <r>
    <x v="0"/>
    <x v="0"/>
    <x v="0"/>
    <x v="15"/>
    <x v="7"/>
    <x v="0"/>
    <x v="19"/>
    <n v="1.08"/>
  </r>
  <r>
    <x v="0"/>
    <x v="0"/>
    <x v="0"/>
    <x v="15"/>
    <x v="7"/>
    <x v="0"/>
    <x v="20"/>
    <n v="1.08"/>
  </r>
  <r>
    <x v="0"/>
    <x v="0"/>
    <x v="0"/>
    <x v="15"/>
    <x v="7"/>
    <x v="0"/>
    <x v="21"/>
    <n v="1.08"/>
  </r>
  <r>
    <x v="0"/>
    <x v="0"/>
    <x v="0"/>
    <x v="15"/>
    <x v="7"/>
    <x v="0"/>
    <x v="22"/>
    <n v="1.08"/>
  </r>
  <r>
    <x v="0"/>
    <x v="0"/>
    <x v="0"/>
    <x v="15"/>
    <x v="7"/>
    <x v="0"/>
    <x v="23"/>
    <n v="1.08"/>
  </r>
  <r>
    <x v="0"/>
    <x v="0"/>
    <x v="0"/>
    <x v="15"/>
    <x v="18"/>
    <x v="0"/>
    <x v="0"/>
    <n v="0.9"/>
  </r>
  <r>
    <x v="0"/>
    <x v="0"/>
    <x v="0"/>
    <x v="15"/>
    <x v="18"/>
    <x v="0"/>
    <x v="1"/>
    <n v="0.9"/>
  </r>
  <r>
    <x v="0"/>
    <x v="0"/>
    <x v="0"/>
    <x v="15"/>
    <x v="18"/>
    <x v="0"/>
    <x v="2"/>
    <n v="0.9"/>
  </r>
  <r>
    <x v="0"/>
    <x v="0"/>
    <x v="0"/>
    <x v="15"/>
    <x v="18"/>
    <x v="0"/>
    <x v="3"/>
    <n v="0.9"/>
  </r>
  <r>
    <x v="0"/>
    <x v="0"/>
    <x v="0"/>
    <x v="15"/>
    <x v="18"/>
    <x v="0"/>
    <x v="4"/>
    <n v="0.9"/>
  </r>
  <r>
    <x v="0"/>
    <x v="0"/>
    <x v="0"/>
    <x v="15"/>
    <x v="18"/>
    <x v="0"/>
    <x v="5"/>
    <n v="0.9"/>
  </r>
  <r>
    <x v="0"/>
    <x v="0"/>
    <x v="0"/>
    <x v="15"/>
    <x v="18"/>
    <x v="0"/>
    <x v="6"/>
    <n v="0.9"/>
  </r>
  <r>
    <x v="0"/>
    <x v="0"/>
    <x v="0"/>
    <x v="15"/>
    <x v="18"/>
    <x v="0"/>
    <x v="7"/>
    <n v="0.9"/>
  </r>
  <r>
    <x v="0"/>
    <x v="0"/>
    <x v="0"/>
    <x v="15"/>
    <x v="18"/>
    <x v="0"/>
    <x v="8"/>
    <n v="0.9"/>
  </r>
  <r>
    <x v="0"/>
    <x v="0"/>
    <x v="0"/>
    <x v="15"/>
    <x v="18"/>
    <x v="0"/>
    <x v="9"/>
    <n v="0.9"/>
  </r>
  <r>
    <x v="0"/>
    <x v="0"/>
    <x v="0"/>
    <x v="15"/>
    <x v="18"/>
    <x v="0"/>
    <x v="10"/>
    <n v="0.9"/>
  </r>
  <r>
    <x v="0"/>
    <x v="0"/>
    <x v="0"/>
    <x v="15"/>
    <x v="18"/>
    <x v="0"/>
    <x v="11"/>
    <n v="0.9"/>
  </r>
  <r>
    <x v="0"/>
    <x v="0"/>
    <x v="0"/>
    <x v="15"/>
    <x v="18"/>
    <x v="0"/>
    <x v="12"/>
    <n v="0.9"/>
  </r>
  <r>
    <x v="0"/>
    <x v="0"/>
    <x v="0"/>
    <x v="15"/>
    <x v="18"/>
    <x v="0"/>
    <x v="13"/>
    <n v="0.9"/>
  </r>
  <r>
    <x v="0"/>
    <x v="0"/>
    <x v="0"/>
    <x v="15"/>
    <x v="18"/>
    <x v="0"/>
    <x v="14"/>
    <n v="0.9"/>
  </r>
  <r>
    <x v="0"/>
    <x v="0"/>
    <x v="0"/>
    <x v="15"/>
    <x v="18"/>
    <x v="0"/>
    <x v="15"/>
    <n v="0.9"/>
  </r>
  <r>
    <x v="0"/>
    <x v="0"/>
    <x v="0"/>
    <x v="15"/>
    <x v="18"/>
    <x v="0"/>
    <x v="16"/>
    <n v="0.9"/>
  </r>
  <r>
    <x v="0"/>
    <x v="0"/>
    <x v="0"/>
    <x v="15"/>
    <x v="18"/>
    <x v="0"/>
    <x v="17"/>
    <n v="0.9"/>
  </r>
  <r>
    <x v="0"/>
    <x v="0"/>
    <x v="0"/>
    <x v="15"/>
    <x v="18"/>
    <x v="0"/>
    <x v="18"/>
    <n v="0.9"/>
  </r>
  <r>
    <x v="0"/>
    <x v="0"/>
    <x v="0"/>
    <x v="15"/>
    <x v="18"/>
    <x v="0"/>
    <x v="19"/>
    <n v="0.9"/>
  </r>
  <r>
    <x v="0"/>
    <x v="0"/>
    <x v="0"/>
    <x v="15"/>
    <x v="18"/>
    <x v="0"/>
    <x v="20"/>
    <n v="0.9"/>
  </r>
  <r>
    <x v="0"/>
    <x v="0"/>
    <x v="0"/>
    <x v="15"/>
    <x v="18"/>
    <x v="0"/>
    <x v="21"/>
    <n v="0.9"/>
  </r>
  <r>
    <x v="0"/>
    <x v="0"/>
    <x v="0"/>
    <x v="15"/>
    <x v="18"/>
    <x v="0"/>
    <x v="22"/>
    <n v="0.9"/>
  </r>
  <r>
    <x v="0"/>
    <x v="0"/>
    <x v="0"/>
    <x v="15"/>
    <x v="18"/>
    <x v="0"/>
    <x v="23"/>
    <n v="0.9"/>
  </r>
  <r>
    <x v="0"/>
    <x v="0"/>
    <x v="0"/>
    <x v="16"/>
    <x v="5"/>
    <x v="0"/>
    <x v="0"/>
    <n v="-1.8"/>
  </r>
  <r>
    <x v="0"/>
    <x v="0"/>
    <x v="0"/>
    <x v="16"/>
    <x v="5"/>
    <x v="0"/>
    <x v="1"/>
    <n v="-1.8"/>
  </r>
  <r>
    <x v="0"/>
    <x v="0"/>
    <x v="0"/>
    <x v="16"/>
    <x v="5"/>
    <x v="0"/>
    <x v="2"/>
    <n v="-1.8"/>
  </r>
  <r>
    <x v="0"/>
    <x v="0"/>
    <x v="0"/>
    <x v="16"/>
    <x v="5"/>
    <x v="0"/>
    <x v="3"/>
    <n v="-1.8"/>
  </r>
  <r>
    <x v="0"/>
    <x v="0"/>
    <x v="0"/>
    <x v="16"/>
    <x v="5"/>
    <x v="0"/>
    <x v="4"/>
    <n v="-1.8"/>
  </r>
  <r>
    <x v="0"/>
    <x v="0"/>
    <x v="0"/>
    <x v="16"/>
    <x v="5"/>
    <x v="0"/>
    <x v="5"/>
    <n v="-1.8"/>
  </r>
  <r>
    <x v="0"/>
    <x v="0"/>
    <x v="0"/>
    <x v="16"/>
    <x v="5"/>
    <x v="0"/>
    <x v="6"/>
    <n v="-1.0045505863451201"/>
  </r>
  <r>
    <x v="0"/>
    <x v="0"/>
    <x v="0"/>
    <x v="16"/>
    <x v="5"/>
    <x v="0"/>
    <x v="7"/>
    <n v="0"/>
  </r>
  <r>
    <x v="0"/>
    <x v="0"/>
    <x v="0"/>
    <x v="16"/>
    <x v="5"/>
    <x v="0"/>
    <x v="8"/>
    <n v="0"/>
  </r>
  <r>
    <x v="0"/>
    <x v="0"/>
    <x v="0"/>
    <x v="16"/>
    <x v="5"/>
    <x v="0"/>
    <x v="9"/>
    <n v="0"/>
  </r>
  <r>
    <x v="0"/>
    <x v="0"/>
    <x v="0"/>
    <x v="16"/>
    <x v="5"/>
    <x v="0"/>
    <x v="10"/>
    <n v="-1.8"/>
  </r>
  <r>
    <x v="0"/>
    <x v="0"/>
    <x v="0"/>
    <x v="16"/>
    <x v="5"/>
    <x v="0"/>
    <x v="11"/>
    <n v="-1.8"/>
  </r>
  <r>
    <x v="0"/>
    <x v="0"/>
    <x v="0"/>
    <x v="16"/>
    <x v="5"/>
    <x v="0"/>
    <x v="12"/>
    <n v="-1.8"/>
  </r>
  <r>
    <x v="0"/>
    <x v="0"/>
    <x v="0"/>
    <x v="16"/>
    <x v="5"/>
    <x v="0"/>
    <x v="13"/>
    <n v="-1.8"/>
  </r>
  <r>
    <x v="0"/>
    <x v="0"/>
    <x v="0"/>
    <x v="16"/>
    <x v="5"/>
    <x v="0"/>
    <x v="14"/>
    <n v="-1.8"/>
  </r>
  <r>
    <x v="0"/>
    <x v="0"/>
    <x v="0"/>
    <x v="16"/>
    <x v="5"/>
    <x v="0"/>
    <x v="15"/>
    <n v="-1.8"/>
  </r>
  <r>
    <x v="0"/>
    <x v="0"/>
    <x v="0"/>
    <x v="16"/>
    <x v="5"/>
    <x v="0"/>
    <x v="16"/>
    <n v="-1.8"/>
  </r>
  <r>
    <x v="0"/>
    <x v="0"/>
    <x v="0"/>
    <x v="16"/>
    <x v="5"/>
    <x v="0"/>
    <x v="17"/>
    <n v="-1.8"/>
  </r>
  <r>
    <x v="0"/>
    <x v="0"/>
    <x v="0"/>
    <x v="16"/>
    <x v="5"/>
    <x v="0"/>
    <x v="18"/>
    <n v="-1.8"/>
  </r>
  <r>
    <x v="0"/>
    <x v="0"/>
    <x v="0"/>
    <x v="16"/>
    <x v="5"/>
    <x v="0"/>
    <x v="19"/>
    <n v="-1.8"/>
  </r>
  <r>
    <x v="0"/>
    <x v="0"/>
    <x v="0"/>
    <x v="16"/>
    <x v="5"/>
    <x v="0"/>
    <x v="20"/>
    <n v="-1.8"/>
  </r>
  <r>
    <x v="0"/>
    <x v="0"/>
    <x v="0"/>
    <x v="16"/>
    <x v="5"/>
    <x v="0"/>
    <x v="21"/>
    <n v="-1.8"/>
  </r>
  <r>
    <x v="0"/>
    <x v="0"/>
    <x v="0"/>
    <x v="16"/>
    <x v="5"/>
    <x v="0"/>
    <x v="22"/>
    <n v="-1.8"/>
  </r>
  <r>
    <x v="0"/>
    <x v="0"/>
    <x v="0"/>
    <x v="16"/>
    <x v="5"/>
    <x v="0"/>
    <x v="23"/>
    <n v="-1.8"/>
  </r>
  <r>
    <x v="0"/>
    <x v="0"/>
    <x v="0"/>
    <x v="16"/>
    <x v="17"/>
    <x v="0"/>
    <x v="0"/>
    <n v="0.199606914423785"/>
  </r>
  <r>
    <x v="0"/>
    <x v="0"/>
    <x v="0"/>
    <x v="16"/>
    <x v="17"/>
    <x v="0"/>
    <x v="1"/>
    <n v="3.1313161626517601E-2"/>
  </r>
  <r>
    <x v="0"/>
    <x v="0"/>
    <x v="0"/>
    <x v="16"/>
    <x v="17"/>
    <x v="0"/>
    <x v="2"/>
    <n v="0"/>
  </r>
  <r>
    <x v="0"/>
    <x v="0"/>
    <x v="0"/>
    <x v="16"/>
    <x v="17"/>
    <x v="0"/>
    <x v="3"/>
    <n v="0"/>
  </r>
  <r>
    <x v="0"/>
    <x v="0"/>
    <x v="0"/>
    <x v="16"/>
    <x v="17"/>
    <x v="0"/>
    <x v="4"/>
    <n v="0"/>
  </r>
  <r>
    <x v="0"/>
    <x v="0"/>
    <x v="0"/>
    <x v="16"/>
    <x v="17"/>
    <x v="0"/>
    <x v="5"/>
    <n v="0"/>
  </r>
  <r>
    <x v="0"/>
    <x v="0"/>
    <x v="0"/>
    <x v="16"/>
    <x v="17"/>
    <x v="0"/>
    <x v="6"/>
    <n v="0.12915764539719801"/>
  </r>
  <r>
    <x v="0"/>
    <x v="0"/>
    <x v="0"/>
    <x v="16"/>
    <x v="17"/>
    <x v="0"/>
    <x v="7"/>
    <n v="0.45"/>
  </r>
  <r>
    <x v="0"/>
    <x v="0"/>
    <x v="0"/>
    <x v="16"/>
    <x v="17"/>
    <x v="0"/>
    <x v="8"/>
    <n v="0.45"/>
  </r>
  <r>
    <x v="0"/>
    <x v="0"/>
    <x v="0"/>
    <x v="16"/>
    <x v="17"/>
    <x v="0"/>
    <x v="9"/>
    <n v="0.45"/>
  </r>
  <r>
    <x v="0"/>
    <x v="0"/>
    <x v="0"/>
    <x v="16"/>
    <x v="17"/>
    <x v="0"/>
    <x v="10"/>
    <n v="0.45"/>
  </r>
  <r>
    <x v="0"/>
    <x v="0"/>
    <x v="0"/>
    <x v="16"/>
    <x v="17"/>
    <x v="0"/>
    <x v="11"/>
    <n v="0.45"/>
  </r>
  <r>
    <x v="0"/>
    <x v="0"/>
    <x v="0"/>
    <x v="16"/>
    <x v="17"/>
    <x v="0"/>
    <x v="12"/>
    <n v="0.45"/>
  </r>
  <r>
    <x v="0"/>
    <x v="0"/>
    <x v="0"/>
    <x v="16"/>
    <x v="17"/>
    <x v="0"/>
    <x v="13"/>
    <n v="0.45"/>
  </r>
  <r>
    <x v="0"/>
    <x v="0"/>
    <x v="0"/>
    <x v="16"/>
    <x v="17"/>
    <x v="0"/>
    <x v="14"/>
    <n v="0.45"/>
  </r>
  <r>
    <x v="0"/>
    <x v="0"/>
    <x v="0"/>
    <x v="16"/>
    <x v="17"/>
    <x v="0"/>
    <x v="15"/>
    <n v="0.45"/>
  </r>
  <r>
    <x v="0"/>
    <x v="0"/>
    <x v="0"/>
    <x v="16"/>
    <x v="17"/>
    <x v="0"/>
    <x v="16"/>
    <n v="0.45"/>
  </r>
  <r>
    <x v="0"/>
    <x v="0"/>
    <x v="0"/>
    <x v="16"/>
    <x v="17"/>
    <x v="0"/>
    <x v="17"/>
    <n v="0.45"/>
  </r>
  <r>
    <x v="0"/>
    <x v="0"/>
    <x v="0"/>
    <x v="16"/>
    <x v="17"/>
    <x v="0"/>
    <x v="18"/>
    <n v="0.45"/>
  </r>
  <r>
    <x v="0"/>
    <x v="0"/>
    <x v="0"/>
    <x v="16"/>
    <x v="17"/>
    <x v="0"/>
    <x v="19"/>
    <n v="0.45"/>
  </r>
  <r>
    <x v="0"/>
    <x v="0"/>
    <x v="0"/>
    <x v="16"/>
    <x v="17"/>
    <x v="0"/>
    <x v="20"/>
    <n v="0.45"/>
  </r>
  <r>
    <x v="0"/>
    <x v="0"/>
    <x v="0"/>
    <x v="16"/>
    <x v="17"/>
    <x v="0"/>
    <x v="21"/>
    <n v="0.441548044732818"/>
  </r>
  <r>
    <x v="0"/>
    <x v="0"/>
    <x v="0"/>
    <x v="16"/>
    <x v="17"/>
    <x v="0"/>
    <x v="22"/>
    <n v="0.25164084429223699"/>
  </r>
  <r>
    <x v="0"/>
    <x v="0"/>
    <x v="0"/>
    <x v="16"/>
    <x v="17"/>
    <x v="0"/>
    <x v="23"/>
    <n v="0"/>
  </r>
  <r>
    <x v="0"/>
    <x v="0"/>
    <x v="0"/>
    <x v="16"/>
    <x v="8"/>
    <x v="0"/>
    <x v="0"/>
    <n v="0"/>
  </r>
  <r>
    <x v="0"/>
    <x v="0"/>
    <x v="0"/>
    <x v="16"/>
    <x v="8"/>
    <x v="0"/>
    <x v="1"/>
    <n v="0"/>
  </r>
  <r>
    <x v="0"/>
    <x v="0"/>
    <x v="0"/>
    <x v="16"/>
    <x v="8"/>
    <x v="0"/>
    <x v="2"/>
    <n v="0"/>
  </r>
  <r>
    <x v="0"/>
    <x v="0"/>
    <x v="0"/>
    <x v="16"/>
    <x v="8"/>
    <x v="0"/>
    <x v="3"/>
    <n v="0"/>
  </r>
  <r>
    <x v="0"/>
    <x v="0"/>
    <x v="0"/>
    <x v="16"/>
    <x v="8"/>
    <x v="0"/>
    <x v="4"/>
    <n v="0"/>
  </r>
  <r>
    <x v="0"/>
    <x v="0"/>
    <x v="0"/>
    <x v="16"/>
    <x v="8"/>
    <x v="0"/>
    <x v="5"/>
    <n v="0"/>
  </r>
  <r>
    <x v="0"/>
    <x v="0"/>
    <x v="0"/>
    <x v="16"/>
    <x v="8"/>
    <x v="0"/>
    <x v="6"/>
    <n v="0"/>
  </r>
  <r>
    <x v="0"/>
    <x v="0"/>
    <x v="0"/>
    <x v="16"/>
    <x v="8"/>
    <x v="0"/>
    <x v="7"/>
    <n v="0"/>
  </r>
  <r>
    <x v="0"/>
    <x v="0"/>
    <x v="0"/>
    <x v="16"/>
    <x v="8"/>
    <x v="0"/>
    <x v="8"/>
    <n v="0"/>
  </r>
  <r>
    <x v="0"/>
    <x v="0"/>
    <x v="0"/>
    <x v="16"/>
    <x v="8"/>
    <x v="0"/>
    <x v="9"/>
    <n v="0"/>
  </r>
  <r>
    <x v="0"/>
    <x v="0"/>
    <x v="0"/>
    <x v="16"/>
    <x v="8"/>
    <x v="0"/>
    <x v="10"/>
    <n v="0"/>
  </r>
  <r>
    <x v="0"/>
    <x v="0"/>
    <x v="0"/>
    <x v="16"/>
    <x v="8"/>
    <x v="0"/>
    <x v="11"/>
    <n v="0"/>
  </r>
  <r>
    <x v="0"/>
    <x v="0"/>
    <x v="0"/>
    <x v="16"/>
    <x v="8"/>
    <x v="0"/>
    <x v="12"/>
    <n v="0"/>
  </r>
  <r>
    <x v="0"/>
    <x v="0"/>
    <x v="0"/>
    <x v="16"/>
    <x v="8"/>
    <x v="0"/>
    <x v="13"/>
    <n v="0"/>
  </r>
  <r>
    <x v="0"/>
    <x v="0"/>
    <x v="0"/>
    <x v="16"/>
    <x v="8"/>
    <x v="0"/>
    <x v="14"/>
    <n v="0"/>
  </r>
  <r>
    <x v="0"/>
    <x v="0"/>
    <x v="0"/>
    <x v="16"/>
    <x v="8"/>
    <x v="0"/>
    <x v="15"/>
    <n v="0"/>
  </r>
  <r>
    <x v="0"/>
    <x v="0"/>
    <x v="0"/>
    <x v="16"/>
    <x v="8"/>
    <x v="0"/>
    <x v="16"/>
    <n v="0"/>
  </r>
  <r>
    <x v="0"/>
    <x v="0"/>
    <x v="0"/>
    <x v="16"/>
    <x v="8"/>
    <x v="0"/>
    <x v="17"/>
    <n v="0"/>
  </r>
  <r>
    <x v="0"/>
    <x v="0"/>
    <x v="0"/>
    <x v="16"/>
    <x v="8"/>
    <x v="0"/>
    <x v="18"/>
    <n v="0"/>
  </r>
  <r>
    <x v="0"/>
    <x v="0"/>
    <x v="0"/>
    <x v="16"/>
    <x v="8"/>
    <x v="0"/>
    <x v="19"/>
    <n v="0"/>
  </r>
  <r>
    <x v="0"/>
    <x v="0"/>
    <x v="0"/>
    <x v="16"/>
    <x v="8"/>
    <x v="0"/>
    <x v="20"/>
    <n v="0"/>
  </r>
  <r>
    <x v="0"/>
    <x v="0"/>
    <x v="0"/>
    <x v="16"/>
    <x v="8"/>
    <x v="0"/>
    <x v="21"/>
    <n v="0"/>
  </r>
  <r>
    <x v="0"/>
    <x v="0"/>
    <x v="0"/>
    <x v="16"/>
    <x v="8"/>
    <x v="0"/>
    <x v="22"/>
    <n v="0"/>
  </r>
  <r>
    <x v="0"/>
    <x v="0"/>
    <x v="0"/>
    <x v="16"/>
    <x v="8"/>
    <x v="0"/>
    <x v="23"/>
    <n v="0"/>
  </r>
  <r>
    <x v="0"/>
    <x v="0"/>
    <x v="0"/>
    <x v="17"/>
    <x v="12"/>
    <x v="0"/>
    <x v="0"/>
    <n v="1.17"/>
  </r>
  <r>
    <x v="0"/>
    <x v="0"/>
    <x v="0"/>
    <x v="17"/>
    <x v="12"/>
    <x v="0"/>
    <x v="1"/>
    <n v="1.17"/>
  </r>
  <r>
    <x v="0"/>
    <x v="0"/>
    <x v="0"/>
    <x v="17"/>
    <x v="12"/>
    <x v="0"/>
    <x v="2"/>
    <n v="1.17"/>
  </r>
  <r>
    <x v="0"/>
    <x v="0"/>
    <x v="0"/>
    <x v="17"/>
    <x v="12"/>
    <x v="0"/>
    <x v="3"/>
    <n v="0.99734298378338304"/>
  </r>
  <r>
    <x v="0"/>
    <x v="0"/>
    <x v="0"/>
    <x v="17"/>
    <x v="12"/>
    <x v="0"/>
    <x v="4"/>
    <n v="0.94467871493684197"/>
  </r>
  <r>
    <x v="0"/>
    <x v="0"/>
    <x v="0"/>
    <x v="17"/>
    <x v="12"/>
    <x v="0"/>
    <x v="5"/>
    <n v="1.17"/>
  </r>
  <r>
    <x v="0"/>
    <x v="0"/>
    <x v="0"/>
    <x v="17"/>
    <x v="12"/>
    <x v="0"/>
    <x v="6"/>
    <n v="1.17"/>
  </r>
  <r>
    <x v="0"/>
    <x v="0"/>
    <x v="0"/>
    <x v="17"/>
    <x v="12"/>
    <x v="0"/>
    <x v="7"/>
    <n v="1.17"/>
  </r>
  <r>
    <x v="0"/>
    <x v="0"/>
    <x v="0"/>
    <x v="17"/>
    <x v="12"/>
    <x v="0"/>
    <x v="8"/>
    <n v="1.17"/>
  </r>
  <r>
    <x v="0"/>
    <x v="0"/>
    <x v="0"/>
    <x v="17"/>
    <x v="12"/>
    <x v="0"/>
    <x v="9"/>
    <n v="1.17"/>
  </r>
  <r>
    <x v="0"/>
    <x v="0"/>
    <x v="0"/>
    <x v="17"/>
    <x v="12"/>
    <x v="0"/>
    <x v="10"/>
    <n v="1.17"/>
  </r>
  <r>
    <x v="0"/>
    <x v="0"/>
    <x v="0"/>
    <x v="17"/>
    <x v="12"/>
    <x v="0"/>
    <x v="11"/>
    <n v="1.17"/>
  </r>
  <r>
    <x v="0"/>
    <x v="0"/>
    <x v="0"/>
    <x v="17"/>
    <x v="12"/>
    <x v="0"/>
    <x v="12"/>
    <n v="1.17"/>
  </r>
  <r>
    <x v="0"/>
    <x v="0"/>
    <x v="0"/>
    <x v="17"/>
    <x v="12"/>
    <x v="0"/>
    <x v="13"/>
    <n v="1.17"/>
  </r>
  <r>
    <x v="0"/>
    <x v="0"/>
    <x v="0"/>
    <x v="17"/>
    <x v="12"/>
    <x v="0"/>
    <x v="14"/>
    <n v="1.17"/>
  </r>
  <r>
    <x v="0"/>
    <x v="0"/>
    <x v="0"/>
    <x v="17"/>
    <x v="12"/>
    <x v="0"/>
    <x v="15"/>
    <n v="1.17"/>
  </r>
  <r>
    <x v="0"/>
    <x v="0"/>
    <x v="0"/>
    <x v="17"/>
    <x v="12"/>
    <x v="0"/>
    <x v="16"/>
    <n v="1.17"/>
  </r>
  <r>
    <x v="0"/>
    <x v="0"/>
    <x v="0"/>
    <x v="17"/>
    <x v="12"/>
    <x v="0"/>
    <x v="17"/>
    <n v="1.17"/>
  </r>
  <r>
    <x v="0"/>
    <x v="0"/>
    <x v="0"/>
    <x v="17"/>
    <x v="12"/>
    <x v="0"/>
    <x v="18"/>
    <n v="1.17"/>
  </r>
  <r>
    <x v="0"/>
    <x v="0"/>
    <x v="0"/>
    <x v="17"/>
    <x v="12"/>
    <x v="0"/>
    <x v="19"/>
    <n v="1.17"/>
  </r>
  <r>
    <x v="0"/>
    <x v="0"/>
    <x v="0"/>
    <x v="17"/>
    <x v="12"/>
    <x v="0"/>
    <x v="20"/>
    <n v="1.17"/>
  </r>
  <r>
    <x v="0"/>
    <x v="0"/>
    <x v="0"/>
    <x v="17"/>
    <x v="12"/>
    <x v="0"/>
    <x v="21"/>
    <n v="1.17"/>
  </r>
  <r>
    <x v="0"/>
    <x v="0"/>
    <x v="0"/>
    <x v="17"/>
    <x v="12"/>
    <x v="0"/>
    <x v="22"/>
    <n v="1.17"/>
  </r>
  <r>
    <x v="0"/>
    <x v="0"/>
    <x v="0"/>
    <x v="17"/>
    <x v="12"/>
    <x v="0"/>
    <x v="23"/>
    <n v="1.17"/>
  </r>
  <r>
    <x v="0"/>
    <x v="0"/>
    <x v="0"/>
    <x v="17"/>
    <x v="15"/>
    <x v="0"/>
    <x v="0"/>
    <n v="0"/>
  </r>
  <r>
    <x v="0"/>
    <x v="0"/>
    <x v="0"/>
    <x v="17"/>
    <x v="15"/>
    <x v="0"/>
    <x v="1"/>
    <n v="0"/>
  </r>
  <r>
    <x v="0"/>
    <x v="0"/>
    <x v="0"/>
    <x v="17"/>
    <x v="15"/>
    <x v="0"/>
    <x v="2"/>
    <n v="0"/>
  </r>
  <r>
    <x v="0"/>
    <x v="0"/>
    <x v="0"/>
    <x v="17"/>
    <x v="15"/>
    <x v="0"/>
    <x v="3"/>
    <n v="0"/>
  </r>
  <r>
    <x v="0"/>
    <x v="0"/>
    <x v="0"/>
    <x v="17"/>
    <x v="15"/>
    <x v="0"/>
    <x v="4"/>
    <n v="0"/>
  </r>
  <r>
    <x v="0"/>
    <x v="0"/>
    <x v="0"/>
    <x v="17"/>
    <x v="15"/>
    <x v="0"/>
    <x v="5"/>
    <n v="0"/>
  </r>
  <r>
    <x v="0"/>
    <x v="0"/>
    <x v="0"/>
    <x v="17"/>
    <x v="15"/>
    <x v="0"/>
    <x v="6"/>
    <n v="0"/>
  </r>
  <r>
    <x v="0"/>
    <x v="0"/>
    <x v="0"/>
    <x v="17"/>
    <x v="15"/>
    <x v="0"/>
    <x v="7"/>
    <n v="0"/>
  </r>
  <r>
    <x v="0"/>
    <x v="0"/>
    <x v="0"/>
    <x v="17"/>
    <x v="15"/>
    <x v="0"/>
    <x v="8"/>
    <n v="0"/>
  </r>
  <r>
    <x v="0"/>
    <x v="0"/>
    <x v="0"/>
    <x v="17"/>
    <x v="15"/>
    <x v="0"/>
    <x v="9"/>
    <n v="0"/>
  </r>
  <r>
    <x v="0"/>
    <x v="0"/>
    <x v="0"/>
    <x v="17"/>
    <x v="15"/>
    <x v="0"/>
    <x v="10"/>
    <n v="0"/>
  </r>
  <r>
    <x v="0"/>
    <x v="0"/>
    <x v="0"/>
    <x v="17"/>
    <x v="15"/>
    <x v="0"/>
    <x v="11"/>
    <n v="0"/>
  </r>
  <r>
    <x v="0"/>
    <x v="0"/>
    <x v="0"/>
    <x v="17"/>
    <x v="15"/>
    <x v="0"/>
    <x v="12"/>
    <n v="0"/>
  </r>
  <r>
    <x v="0"/>
    <x v="0"/>
    <x v="0"/>
    <x v="17"/>
    <x v="15"/>
    <x v="0"/>
    <x v="13"/>
    <n v="0"/>
  </r>
  <r>
    <x v="0"/>
    <x v="0"/>
    <x v="0"/>
    <x v="17"/>
    <x v="15"/>
    <x v="0"/>
    <x v="14"/>
    <n v="0"/>
  </r>
  <r>
    <x v="0"/>
    <x v="0"/>
    <x v="0"/>
    <x v="17"/>
    <x v="15"/>
    <x v="0"/>
    <x v="15"/>
    <n v="0"/>
  </r>
  <r>
    <x v="0"/>
    <x v="0"/>
    <x v="0"/>
    <x v="17"/>
    <x v="15"/>
    <x v="0"/>
    <x v="16"/>
    <n v="0"/>
  </r>
  <r>
    <x v="0"/>
    <x v="0"/>
    <x v="0"/>
    <x v="17"/>
    <x v="15"/>
    <x v="0"/>
    <x v="17"/>
    <n v="0"/>
  </r>
  <r>
    <x v="0"/>
    <x v="0"/>
    <x v="0"/>
    <x v="17"/>
    <x v="15"/>
    <x v="0"/>
    <x v="18"/>
    <n v="0"/>
  </r>
  <r>
    <x v="0"/>
    <x v="0"/>
    <x v="0"/>
    <x v="17"/>
    <x v="15"/>
    <x v="0"/>
    <x v="19"/>
    <n v="0"/>
  </r>
  <r>
    <x v="0"/>
    <x v="0"/>
    <x v="0"/>
    <x v="17"/>
    <x v="15"/>
    <x v="0"/>
    <x v="20"/>
    <n v="0"/>
  </r>
  <r>
    <x v="0"/>
    <x v="0"/>
    <x v="0"/>
    <x v="17"/>
    <x v="15"/>
    <x v="0"/>
    <x v="21"/>
    <n v="0"/>
  </r>
  <r>
    <x v="0"/>
    <x v="0"/>
    <x v="0"/>
    <x v="17"/>
    <x v="15"/>
    <x v="0"/>
    <x v="22"/>
    <n v="0"/>
  </r>
  <r>
    <x v="0"/>
    <x v="0"/>
    <x v="0"/>
    <x v="17"/>
    <x v="15"/>
    <x v="0"/>
    <x v="23"/>
    <n v="0"/>
  </r>
  <r>
    <x v="0"/>
    <x v="0"/>
    <x v="0"/>
    <x v="17"/>
    <x v="21"/>
    <x v="0"/>
    <x v="0"/>
    <n v="-0.27823914879185901"/>
  </r>
  <r>
    <x v="0"/>
    <x v="0"/>
    <x v="0"/>
    <x v="17"/>
    <x v="21"/>
    <x v="0"/>
    <x v="1"/>
    <n v="-0.243943414496924"/>
  </r>
  <r>
    <x v="0"/>
    <x v="0"/>
    <x v="0"/>
    <x v="17"/>
    <x v="21"/>
    <x v="0"/>
    <x v="2"/>
    <n v="-0.23391416913106899"/>
  </r>
  <r>
    <x v="0"/>
    <x v="0"/>
    <x v="0"/>
    <x v="17"/>
    <x v="21"/>
    <x v="0"/>
    <x v="3"/>
    <n v="-4.67644769450778E-2"/>
  </r>
  <r>
    <x v="0"/>
    <x v="0"/>
    <x v="0"/>
    <x v="17"/>
    <x v="21"/>
    <x v="0"/>
    <x v="4"/>
    <n v="0"/>
  </r>
  <r>
    <x v="0"/>
    <x v="0"/>
    <x v="0"/>
    <x v="17"/>
    <x v="21"/>
    <x v="0"/>
    <x v="5"/>
    <n v="0"/>
  </r>
  <r>
    <x v="0"/>
    <x v="0"/>
    <x v="0"/>
    <x v="17"/>
    <x v="21"/>
    <x v="0"/>
    <x v="6"/>
    <n v="0"/>
  </r>
  <r>
    <x v="0"/>
    <x v="0"/>
    <x v="0"/>
    <x v="17"/>
    <x v="21"/>
    <x v="0"/>
    <x v="7"/>
    <n v="0.44261488725540699"/>
  </r>
  <r>
    <x v="0"/>
    <x v="0"/>
    <x v="0"/>
    <x v="17"/>
    <x v="21"/>
    <x v="0"/>
    <x v="8"/>
    <n v="0.28517903931613198"/>
  </r>
  <r>
    <x v="0"/>
    <x v="0"/>
    <x v="0"/>
    <x v="17"/>
    <x v="21"/>
    <x v="0"/>
    <x v="9"/>
    <n v="0.34792879127621301"/>
  </r>
  <r>
    <x v="0"/>
    <x v="0"/>
    <x v="0"/>
    <x v="17"/>
    <x v="21"/>
    <x v="0"/>
    <x v="10"/>
    <n v="0.30790976934935099"/>
  </r>
  <r>
    <x v="0"/>
    <x v="0"/>
    <x v="0"/>
    <x v="17"/>
    <x v="21"/>
    <x v="0"/>
    <x v="11"/>
    <n v="0"/>
  </r>
  <r>
    <x v="0"/>
    <x v="0"/>
    <x v="0"/>
    <x v="17"/>
    <x v="21"/>
    <x v="0"/>
    <x v="12"/>
    <n v="0"/>
  </r>
  <r>
    <x v="0"/>
    <x v="0"/>
    <x v="0"/>
    <x v="17"/>
    <x v="21"/>
    <x v="0"/>
    <x v="13"/>
    <n v="0"/>
  </r>
  <r>
    <x v="0"/>
    <x v="0"/>
    <x v="0"/>
    <x v="17"/>
    <x v="21"/>
    <x v="0"/>
    <x v="14"/>
    <n v="0"/>
  </r>
  <r>
    <x v="0"/>
    <x v="0"/>
    <x v="0"/>
    <x v="17"/>
    <x v="21"/>
    <x v="0"/>
    <x v="15"/>
    <n v="0"/>
  </r>
  <r>
    <x v="0"/>
    <x v="0"/>
    <x v="0"/>
    <x v="17"/>
    <x v="21"/>
    <x v="0"/>
    <x v="16"/>
    <n v="4.1534003128161003E-2"/>
  </r>
  <r>
    <x v="0"/>
    <x v="0"/>
    <x v="0"/>
    <x v="17"/>
    <x v="21"/>
    <x v="0"/>
    <x v="17"/>
    <n v="0.25484621907993499"/>
  </r>
  <r>
    <x v="0"/>
    <x v="0"/>
    <x v="0"/>
    <x v="17"/>
    <x v="21"/>
    <x v="0"/>
    <x v="18"/>
    <n v="0"/>
  </r>
  <r>
    <x v="0"/>
    <x v="0"/>
    <x v="0"/>
    <x v="17"/>
    <x v="21"/>
    <x v="0"/>
    <x v="19"/>
    <n v="0"/>
  </r>
  <r>
    <x v="0"/>
    <x v="0"/>
    <x v="0"/>
    <x v="17"/>
    <x v="21"/>
    <x v="0"/>
    <x v="20"/>
    <n v="0"/>
  </r>
  <r>
    <x v="0"/>
    <x v="0"/>
    <x v="0"/>
    <x v="17"/>
    <x v="21"/>
    <x v="0"/>
    <x v="21"/>
    <n v="0"/>
  </r>
  <r>
    <x v="0"/>
    <x v="0"/>
    <x v="0"/>
    <x v="17"/>
    <x v="21"/>
    <x v="0"/>
    <x v="22"/>
    <n v="-8.5716913123630306E-2"/>
  </r>
  <r>
    <x v="0"/>
    <x v="0"/>
    <x v="0"/>
    <x v="17"/>
    <x v="21"/>
    <x v="0"/>
    <x v="23"/>
    <n v="-0.471017135908884"/>
  </r>
  <r>
    <x v="0"/>
    <x v="0"/>
    <x v="0"/>
    <x v="18"/>
    <x v="18"/>
    <x v="0"/>
    <x v="0"/>
    <n v="0"/>
  </r>
  <r>
    <x v="0"/>
    <x v="0"/>
    <x v="0"/>
    <x v="18"/>
    <x v="18"/>
    <x v="0"/>
    <x v="1"/>
    <n v="0"/>
  </r>
  <r>
    <x v="0"/>
    <x v="0"/>
    <x v="0"/>
    <x v="18"/>
    <x v="18"/>
    <x v="0"/>
    <x v="2"/>
    <n v="0"/>
  </r>
  <r>
    <x v="0"/>
    <x v="0"/>
    <x v="0"/>
    <x v="18"/>
    <x v="18"/>
    <x v="0"/>
    <x v="3"/>
    <n v="0"/>
  </r>
  <r>
    <x v="0"/>
    <x v="0"/>
    <x v="0"/>
    <x v="18"/>
    <x v="18"/>
    <x v="0"/>
    <x v="4"/>
    <n v="0"/>
  </r>
  <r>
    <x v="0"/>
    <x v="0"/>
    <x v="0"/>
    <x v="18"/>
    <x v="18"/>
    <x v="0"/>
    <x v="5"/>
    <n v="0"/>
  </r>
  <r>
    <x v="0"/>
    <x v="0"/>
    <x v="0"/>
    <x v="18"/>
    <x v="18"/>
    <x v="0"/>
    <x v="6"/>
    <n v="0"/>
  </r>
  <r>
    <x v="0"/>
    <x v="0"/>
    <x v="0"/>
    <x v="18"/>
    <x v="18"/>
    <x v="0"/>
    <x v="7"/>
    <n v="-8.29899324357872E-2"/>
  </r>
  <r>
    <x v="0"/>
    <x v="0"/>
    <x v="0"/>
    <x v="18"/>
    <x v="18"/>
    <x v="0"/>
    <x v="8"/>
    <n v="-0.364505847286066"/>
  </r>
  <r>
    <x v="0"/>
    <x v="0"/>
    <x v="0"/>
    <x v="18"/>
    <x v="18"/>
    <x v="0"/>
    <x v="9"/>
    <n v="0"/>
  </r>
  <r>
    <x v="0"/>
    <x v="0"/>
    <x v="0"/>
    <x v="18"/>
    <x v="18"/>
    <x v="0"/>
    <x v="10"/>
    <n v="0"/>
  </r>
  <r>
    <x v="0"/>
    <x v="0"/>
    <x v="0"/>
    <x v="18"/>
    <x v="18"/>
    <x v="0"/>
    <x v="11"/>
    <n v="0"/>
  </r>
  <r>
    <x v="0"/>
    <x v="0"/>
    <x v="0"/>
    <x v="18"/>
    <x v="18"/>
    <x v="0"/>
    <x v="12"/>
    <n v="0"/>
  </r>
  <r>
    <x v="0"/>
    <x v="0"/>
    <x v="0"/>
    <x v="18"/>
    <x v="18"/>
    <x v="0"/>
    <x v="13"/>
    <n v="0"/>
  </r>
  <r>
    <x v="0"/>
    <x v="0"/>
    <x v="0"/>
    <x v="18"/>
    <x v="18"/>
    <x v="0"/>
    <x v="14"/>
    <n v="0"/>
  </r>
  <r>
    <x v="0"/>
    <x v="0"/>
    <x v="0"/>
    <x v="18"/>
    <x v="18"/>
    <x v="0"/>
    <x v="15"/>
    <n v="0"/>
  </r>
  <r>
    <x v="0"/>
    <x v="0"/>
    <x v="0"/>
    <x v="18"/>
    <x v="18"/>
    <x v="0"/>
    <x v="16"/>
    <n v="0"/>
  </r>
  <r>
    <x v="0"/>
    <x v="0"/>
    <x v="0"/>
    <x v="18"/>
    <x v="18"/>
    <x v="0"/>
    <x v="17"/>
    <n v="0"/>
  </r>
  <r>
    <x v="0"/>
    <x v="0"/>
    <x v="0"/>
    <x v="18"/>
    <x v="18"/>
    <x v="0"/>
    <x v="18"/>
    <n v="0"/>
  </r>
  <r>
    <x v="0"/>
    <x v="0"/>
    <x v="0"/>
    <x v="18"/>
    <x v="18"/>
    <x v="0"/>
    <x v="19"/>
    <n v="0"/>
  </r>
  <r>
    <x v="0"/>
    <x v="0"/>
    <x v="0"/>
    <x v="18"/>
    <x v="18"/>
    <x v="0"/>
    <x v="20"/>
    <n v="0"/>
  </r>
  <r>
    <x v="0"/>
    <x v="0"/>
    <x v="0"/>
    <x v="18"/>
    <x v="18"/>
    <x v="0"/>
    <x v="21"/>
    <n v="0"/>
  </r>
  <r>
    <x v="0"/>
    <x v="0"/>
    <x v="0"/>
    <x v="18"/>
    <x v="18"/>
    <x v="0"/>
    <x v="22"/>
    <n v="0"/>
  </r>
  <r>
    <x v="0"/>
    <x v="0"/>
    <x v="0"/>
    <x v="18"/>
    <x v="18"/>
    <x v="0"/>
    <x v="23"/>
    <n v="1.36944045279454E-2"/>
  </r>
  <r>
    <x v="0"/>
    <x v="0"/>
    <x v="0"/>
    <x v="18"/>
    <x v="15"/>
    <x v="0"/>
    <x v="0"/>
    <n v="0"/>
  </r>
  <r>
    <x v="0"/>
    <x v="0"/>
    <x v="0"/>
    <x v="18"/>
    <x v="15"/>
    <x v="0"/>
    <x v="1"/>
    <n v="0"/>
  </r>
  <r>
    <x v="0"/>
    <x v="0"/>
    <x v="0"/>
    <x v="18"/>
    <x v="15"/>
    <x v="0"/>
    <x v="2"/>
    <n v="0"/>
  </r>
  <r>
    <x v="0"/>
    <x v="0"/>
    <x v="0"/>
    <x v="18"/>
    <x v="15"/>
    <x v="0"/>
    <x v="3"/>
    <n v="0"/>
  </r>
  <r>
    <x v="0"/>
    <x v="0"/>
    <x v="0"/>
    <x v="18"/>
    <x v="15"/>
    <x v="0"/>
    <x v="4"/>
    <n v="0"/>
  </r>
  <r>
    <x v="0"/>
    <x v="0"/>
    <x v="0"/>
    <x v="18"/>
    <x v="15"/>
    <x v="0"/>
    <x v="5"/>
    <n v="-0.105929012883412"/>
  </r>
  <r>
    <x v="0"/>
    <x v="0"/>
    <x v="0"/>
    <x v="18"/>
    <x v="15"/>
    <x v="0"/>
    <x v="6"/>
    <n v="-0.22500000000000001"/>
  </r>
  <r>
    <x v="0"/>
    <x v="0"/>
    <x v="0"/>
    <x v="18"/>
    <x v="15"/>
    <x v="0"/>
    <x v="7"/>
    <n v="-0.22500000000000001"/>
  </r>
  <r>
    <x v="0"/>
    <x v="0"/>
    <x v="0"/>
    <x v="18"/>
    <x v="15"/>
    <x v="0"/>
    <x v="8"/>
    <n v="-0.22500000000000001"/>
  </r>
  <r>
    <x v="0"/>
    <x v="0"/>
    <x v="0"/>
    <x v="18"/>
    <x v="15"/>
    <x v="0"/>
    <x v="9"/>
    <n v="-0.22500000000000001"/>
  </r>
  <r>
    <x v="0"/>
    <x v="0"/>
    <x v="0"/>
    <x v="18"/>
    <x v="15"/>
    <x v="0"/>
    <x v="10"/>
    <n v="-0.22500000000000001"/>
  </r>
  <r>
    <x v="0"/>
    <x v="0"/>
    <x v="0"/>
    <x v="18"/>
    <x v="15"/>
    <x v="0"/>
    <x v="11"/>
    <n v="-0.22500000000000001"/>
  </r>
  <r>
    <x v="0"/>
    <x v="0"/>
    <x v="0"/>
    <x v="18"/>
    <x v="15"/>
    <x v="0"/>
    <x v="12"/>
    <n v="-0.22500000000000001"/>
  </r>
  <r>
    <x v="0"/>
    <x v="0"/>
    <x v="0"/>
    <x v="18"/>
    <x v="15"/>
    <x v="0"/>
    <x v="13"/>
    <n v="-0.22500000000000001"/>
  </r>
  <r>
    <x v="0"/>
    <x v="0"/>
    <x v="0"/>
    <x v="18"/>
    <x v="15"/>
    <x v="0"/>
    <x v="14"/>
    <n v="-0.22500000000000001"/>
  </r>
  <r>
    <x v="0"/>
    <x v="0"/>
    <x v="0"/>
    <x v="18"/>
    <x v="15"/>
    <x v="0"/>
    <x v="15"/>
    <n v="-0.22500000000000001"/>
  </r>
  <r>
    <x v="0"/>
    <x v="0"/>
    <x v="0"/>
    <x v="18"/>
    <x v="15"/>
    <x v="0"/>
    <x v="16"/>
    <n v="-0.22500000000000001"/>
  </r>
  <r>
    <x v="0"/>
    <x v="0"/>
    <x v="0"/>
    <x v="18"/>
    <x v="15"/>
    <x v="0"/>
    <x v="17"/>
    <n v="-0.22500000000000001"/>
  </r>
  <r>
    <x v="0"/>
    <x v="0"/>
    <x v="0"/>
    <x v="18"/>
    <x v="15"/>
    <x v="0"/>
    <x v="18"/>
    <n v="-5.7844917585416399E-2"/>
  </r>
  <r>
    <x v="0"/>
    <x v="0"/>
    <x v="0"/>
    <x v="18"/>
    <x v="15"/>
    <x v="0"/>
    <x v="19"/>
    <n v="0"/>
  </r>
  <r>
    <x v="0"/>
    <x v="0"/>
    <x v="0"/>
    <x v="18"/>
    <x v="15"/>
    <x v="0"/>
    <x v="20"/>
    <n v="0"/>
  </r>
  <r>
    <x v="0"/>
    <x v="0"/>
    <x v="0"/>
    <x v="18"/>
    <x v="15"/>
    <x v="0"/>
    <x v="21"/>
    <n v="0"/>
  </r>
  <r>
    <x v="0"/>
    <x v="0"/>
    <x v="0"/>
    <x v="18"/>
    <x v="15"/>
    <x v="0"/>
    <x v="22"/>
    <n v="0"/>
  </r>
  <r>
    <x v="0"/>
    <x v="0"/>
    <x v="0"/>
    <x v="18"/>
    <x v="15"/>
    <x v="0"/>
    <x v="23"/>
    <n v="0"/>
  </r>
  <r>
    <x v="0"/>
    <x v="0"/>
    <x v="0"/>
    <x v="18"/>
    <x v="16"/>
    <x v="0"/>
    <x v="0"/>
    <n v="0.27823914879185901"/>
  </r>
  <r>
    <x v="0"/>
    <x v="0"/>
    <x v="0"/>
    <x v="18"/>
    <x v="16"/>
    <x v="0"/>
    <x v="1"/>
    <n v="0.243943414496924"/>
  </r>
  <r>
    <x v="0"/>
    <x v="0"/>
    <x v="0"/>
    <x v="18"/>
    <x v="16"/>
    <x v="0"/>
    <x v="2"/>
    <n v="0.23391416913106899"/>
  </r>
  <r>
    <x v="0"/>
    <x v="0"/>
    <x v="0"/>
    <x v="18"/>
    <x v="16"/>
    <x v="0"/>
    <x v="3"/>
    <n v="4.67644769450778E-2"/>
  </r>
  <r>
    <x v="0"/>
    <x v="0"/>
    <x v="0"/>
    <x v="18"/>
    <x v="16"/>
    <x v="0"/>
    <x v="4"/>
    <n v="0"/>
  </r>
  <r>
    <x v="0"/>
    <x v="0"/>
    <x v="0"/>
    <x v="18"/>
    <x v="16"/>
    <x v="0"/>
    <x v="5"/>
    <n v="0"/>
  </r>
  <r>
    <x v="0"/>
    <x v="0"/>
    <x v="0"/>
    <x v="18"/>
    <x v="16"/>
    <x v="0"/>
    <x v="6"/>
    <n v="0"/>
  </r>
  <r>
    <x v="0"/>
    <x v="0"/>
    <x v="0"/>
    <x v="18"/>
    <x v="16"/>
    <x v="0"/>
    <x v="7"/>
    <n v="-0.44261488725540699"/>
  </r>
  <r>
    <x v="0"/>
    <x v="0"/>
    <x v="0"/>
    <x v="18"/>
    <x v="16"/>
    <x v="0"/>
    <x v="8"/>
    <n v="-0.28517903931613198"/>
  </r>
  <r>
    <x v="0"/>
    <x v="0"/>
    <x v="0"/>
    <x v="18"/>
    <x v="16"/>
    <x v="0"/>
    <x v="9"/>
    <n v="-0.34792879127621301"/>
  </r>
  <r>
    <x v="0"/>
    <x v="0"/>
    <x v="0"/>
    <x v="18"/>
    <x v="16"/>
    <x v="0"/>
    <x v="10"/>
    <n v="-0.30790976934935099"/>
  </r>
  <r>
    <x v="0"/>
    <x v="0"/>
    <x v="0"/>
    <x v="18"/>
    <x v="16"/>
    <x v="0"/>
    <x v="11"/>
    <n v="0"/>
  </r>
  <r>
    <x v="0"/>
    <x v="0"/>
    <x v="0"/>
    <x v="18"/>
    <x v="16"/>
    <x v="0"/>
    <x v="12"/>
    <n v="0"/>
  </r>
  <r>
    <x v="0"/>
    <x v="0"/>
    <x v="0"/>
    <x v="18"/>
    <x v="16"/>
    <x v="0"/>
    <x v="13"/>
    <n v="0"/>
  </r>
  <r>
    <x v="0"/>
    <x v="0"/>
    <x v="0"/>
    <x v="18"/>
    <x v="16"/>
    <x v="0"/>
    <x v="14"/>
    <n v="0"/>
  </r>
  <r>
    <x v="0"/>
    <x v="0"/>
    <x v="0"/>
    <x v="18"/>
    <x v="16"/>
    <x v="0"/>
    <x v="15"/>
    <n v="0"/>
  </r>
  <r>
    <x v="0"/>
    <x v="0"/>
    <x v="0"/>
    <x v="18"/>
    <x v="16"/>
    <x v="0"/>
    <x v="16"/>
    <n v="-4.1534003128161003E-2"/>
  </r>
  <r>
    <x v="0"/>
    <x v="0"/>
    <x v="0"/>
    <x v="18"/>
    <x v="16"/>
    <x v="0"/>
    <x v="17"/>
    <n v="-0.25484621907993499"/>
  </r>
  <r>
    <x v="0"/>
    <x v="0"/>
    <x v="0"/>
    <x v="18"/>
    <x v="16"/>
    <x v="0"/>
    <x v="18"/>
    <n v="0"/>
  </r>
  <r>
    <x v="0"/>
    <x v="0"/>
    <x v="0"/>
    <x v="18"/>
    <x v="16"/>
    <x v="0"/>
    <x v="19"/>
    <n v="0"/>
  </r>
  <r>
    <x v="0"/>
    <x v="0"/>
    <x v="0"/>
    <x v="18"/>
    <x v="16"/>
    <x v="0"/>
    <x v="20"/>
    <n v="0"/>
  </r>
  <r>
    <x v="0"/>
    <x v="0"/>
    <x v="0"/>
    <x v="18"/>
    <x v="16"/>
    <x v="0"/>
    <x v="21"/>
    <n v="0"/>
  </r>
  <r>
    <x v="0"/>
    <x v="0"/>
    <x v="0"/>
    <x v="18"/>
    <x v="16"/>
    <x v="0"/>
    <x v="22"/>
    <n v="8.5716913123630306E-2"/>
  </r>
  <r>
    <x v="0"/>
    <x v="0"/>
    <x v="0"/>
    <x v="18"/>
    <x v="16"/>
    <x v="0"/>
    <x v="23"/>
    <n v="0.471017135908884"/>
  </r>
  <r>
    <x v="0"/>
    <x v="0"/>
    <x v="0"/>
    <x v="18"/>
    <x v="10"/>
    <x v="0"/>
    <x v="0"/>
    <n v="1.7125590046536201"/>
  </r>
  <r>
    <x v="0"/>
    <x v="0"/>
    <x v="0"/>
    <x v="18"/>
    <x v="10"/>
    <x v="0"/>
    <x v="1"/>
    <n v="1.6608531804934901"/>
  </r>
  <r>
    <x v="0"/>
    <x v="0"/>
    <x v="0"/>
    <x v="18"/>
    <x v="10"/>
    <x v="0"/>
    <x v="2"/>
    <n v="1.6712083090983401"/>
  </r>
  <r>
    <x v="0"/>
    <x v="0"/>
    <x v="0"/>
    <x v="18"/>
    <x v="10"/>
    <x v="0"/>
    <x v="3"/>
    <n v="1.76762343864731"/>
  </r>
  <r>
    <x v="0"/>
    <x v="0"/>
    <x v="0"/>
    <x v="18"/>
    <x v="10"/>
    <x v="0"/>
    <x v="4"/>
    <n v="1.8060118042456701"/>
  </r>
  <r>
    <x v="0"/>
    <x v="0"/>
    <x v="0"/>
    <x v="18"/>
    <x v="10"/>
    <x v="0"/>
    <x v="5"/>
    <n v="2.8933149989127802"/>
  </r>
  <r>
    <x v="0"/>
    <x v="0"/>
    <x v="0"/>
    <x v="18"/>
    <x v="10"/>
    <x v="0"/>
    <x v="6"/>
    <n v="3.3106423172547998"/>
  </r>
  <r>
    <x v="0"/>
    <x v="0"/>
    <x v="0"/>
    <x v="18"/>
    <x v="10"/>
    <x v="0"/>
    <x v="7"/>
    <n v="4.8993648517689499"/>
  </r>
  <r>
    <x v="0"/>
    <x v="0"/>
    <x v="0"/>
    <x v="18"/>
    <x v="10"/>
    <x v="0"/>
    <x v="8"/>
    <n v="5.1041905209185403"/>
  </r>
  <r>
    <x v="0"/>
    <x v="0"/>
    <x v="0"/>
    <x v="18"/>
    <x v="10"/>
    <x v="0"/>
    <x v="9"/>
    <n v="4.9196728774808802"/>
  </r>
  <r>
    <x v="0"/>
    <x v="0"/>
    <x v="0"/>
    <x v="18"/>
    <x v="10"/>
    <x v="0"/>
    <x v="10"/>
    <n v="4.5169319499503002"/>
  </r>
  <r>
    <x v="0"/>
    <x v="0"/>
    <x v="0"/>
    <x v="18"/>
    <x v="10"/>
    <x v="0"/>
    <x v="11"/>
    <n v="4.1057159976100301"/>
  </r>
  <r>
    <x v="0"/>
    <x v="0"/>
    <x v="0"/>
    <x v="18"/>
    <x v="10"/>
    <x v="0"/>
    <x v="12"/>
    <n v="4.1519509256989604"/>
  </r>
  <r>
    <x v="0"/>
    <x v="0"/>
    <x v="0"/>
    <x v="18"/>
    <x v="10"/>
    <x v="0"/>
    <x v="13"/>
    <n v="4.1768942142972003"/>
  </r>
  <r>
    <x v="0"/>
    <x v="0"/>
    <x v="0"/>
    <x v="18"/>
    <x v="10"/>
    <x v="0"/>
    <x v="14"/>
    <n v="4.22643165646085"/>
  </r>
  <r>
    <x v="0"/>
    <x v="0"/>
    <x v="0"/>
    <x v="18"/>
    <x v="10"/>
    <x v="0"/>
    <x v="15"/>
    <n v="4.3247481987328804"/>
  </r>
  <r>
    <x v="0"/>
    <x v="0"/>
    <x v="0"/>
    <x v="18"/>
    <x v="10"/>
    <x v="0"/>
    <x v="16"/>
    <n v="4.4317847413422404"/>
  </r>
  <r>
    <x v="0"/>
    <x v="0"/>
    <x v="0"/>
    <x v="18"/>
    <x v="10"/>
    <x v="0"/>
    <x v="17"/>
    <n v="4.4451807733884499"/>
  </r>
  <r>
    <x v="0"/>
    <x v="0"/>
    <x v="0"/>
    <x v="18"/>
    <x v="10"/>
    <x v="0"/>
    <x v="18"/>
    <n v="3.5485713324400701"/>
  </r>
  <r>
    <x v="0"/>
    <x v="0"/>
    <x v="0"/>
    <x v="18"/>
    <x v="10"/>
    <x v="0"/>
    <x v="19"/>
    <n v="3.4904871125191201"/>
  </r>
  <r>
    <x v="0"/>
    <x v="0"/>
    <x v="0"/>
    <x v="18"/>
    <x v="10"/>
    <x v="0"/>
    <x v="20"/>
    <n v="2.9663011459497799"/>
  </r>
  <r>
    <x v="0"/>
    <x v="0"/>
    <x v="0"/>
    <x v="18"/>
    <x v="10"/>
    <x v="0"/>
    <x v="21"/>
    <n v="2.5606693509511702"/>
  </r>
  <r>
    <x v="0"/>
    <x v="0"/>
    <x v="0"/>
    <x v="18"/>
    <x v="10"/>
    <x v="0"/>
    <x v="22"/>
    <n v="2.2410006941875902"/>
  </r>
  <r>
    <x v="0"/>
    <x v="0"/>
    <x v="0"/>
    <x v="18"/>
    <x v="10"/>
    <x v="0"/>
    <x v="23"/>
    <n v="1.2069973893878501"/>
  </r>
  <r>
    <x v="0"/>
    <x v="0"/>
    <x v="0"/>
    <x v="19"/>
    <x v="6"/>
    <x v="0"/>
    <x v="0"/>
    <n v="0"/>
  </r>
  <r>
    <x v="0"/>
    <x v="0"/>
    <x v="0"/>
    <x v="19"/>
    <x v="6"/>
    <x v="0"/>
    <x v="1"/>
    <n v="0"/>
  </r>
  <r>
    <x v="0"/>
    <x v="0"/>
    <x v="0"/>
    <x v="19"/>
    <x v="6"/>
    <x v="0"/>
    <x v="2"/>
    <n v="0"/>
  </r>
  <r>
    <x v="0"/>
    <x v="0"/>
    <x v="0"/>
    <x v="19"/>
    <x v="6"/>
    <x v="0"/>
    <x v="3"/>
    <n v="0"/>
  </r>
  <r>
    <x v="0"/>
    <x v="0"/>
    <x v="0"/>
    <x v="19"/>
    <x v="6"/>
    <x v="0"/>
    <x v="4"/>
    <n v="0"/>
  </r>
  <r>
    <x v="0"/>
    <x v="0"/>
    <x v="0"/>
    <x v="19"/>
    <x v="6"/>
    <x v="0"/>
    <x v="5"/>
    <n v="0"/>
  </r>
  <r>
    <x v="0"/>
    <x v="0"/>
    <x v="0"/>
    <x v="19"/>
    <x v="6"/>
    <x v="0"/>
    <x v="6"/>
    <n v="0"/>
  </r>
  <r>
    <x v="0"/>
    <x v="0"/>
    <x v="0"/>
    <x v="19"/>
    <x v="6"/>
    <x v="0"/>
    <x v="7"/>
    <n v="0"/>
  </r>
  <r>
    <x v="0"/>
    <x v="0"/>
    <x v="0"/>
    <x v="19"/>
    <x v="6"/>
    <x v="0"/>
    <x v="8"/>
    <n v="0"/>
  </r>
  <r>
    <x v="0"/>
    <x v="0"/>
    <x v="0"/>
    <x v="19"/>
    <x v="6"/>
    <x v="0"/>
    <x v="9"/>
    <n v="0"/>
  </r>
  <r>
    <x v="0"/>
    <x v="0"/>
    <x v="0"/>
    <x v="19"/>
    <x v="6"/>
    <x v="0"/>
    <x v="10"/>
    <n v="0"/>
  </r>
  <r>
    <x v="0"/>
    <x v="0"/>
    <x v="0"/>
    <x v="19"/>
    <x v="6"/>
    <x v="0"/>
    <x v="11"/>
    <n v="-0.115053432026104"/>
  </r>
  <r>
    <x v="0"/>
    <x v="0"/>
    <x v="0"/>
    <x v="19"/>
    <x v="6"/>
    <x v="0"/>
    <x v="12"/>
    <n v="-0.66600000000000004"/>
  </r>
  <r>
    <x v="0"/>
    <x v="0"/>
    <x v="0"/>
    <x v="19"/>
    <x v="6"/>
    <x v="0"/>
    <x v="13"/>
    <n v="-0.66600000000000004"/>
  </r>
  <r>
    <x v="0"/>
    <x v="0"/>
    <x v="0"/>
    <x v="19"/>
    <x v="6"/>
    <x v="0"/>
    <x v="14"/>
    <n v="0"/>
  </r>
  <r>
    <x v="0"/>
    <x v="0"/>
    <x v="0"/>
    <x v="19"/>
    <x v="6"/>
    <x v="0"/>
    <x v="15"/>
    <n v="-0.29189804384701901"/>
  </r>
  <r>
    <x v="0"/>
    <x v="0"/>
    <x v="0"/>
    <x v="19"/>
    <x v="6"/>
    <x v="0"/>
    <x v="16"/>
    <n v="0"/>
  </r>
  <r>
    <x v="0"/>
    <x v="0"/>
    <x v="0"/>
    <x v="19"/>
    <x v="6"/>
    <x v="0"/>
    <x v="17"/>
    <n v="-0.150960481664803"/>
  </r>
  <r>
    <x v="0"/>
    <x v="0"/>
    <x v="0"/>
    <x v="19"/>
    <x v="6"/>
    <x v="0"/>
    <x v="18"/>
    <n v="-0.66600000000000004"/>
  </r>
  <r>
    <x v="0"/>
    <x v="0"/>
    <x v="0"/>
    <x v="19"/>
    <x v="6"/>
    <x v="0"/>
    <x v="19"/>
    <n v="-0.66600000000000004"/>
  </r>
  <r>
    <x v="0"/>
    <x v="0"/>
    <x v="0"/>
    <x v="19"/>
    <x v="6"/>
    <x v="0"/>
    <x v="20"/>
    <n v="-0.54522783818328902"/>
  </r>
  <r>
    <x v="0"/>
    <x v="0"/>
    <x v="0"/>
    <x v="19"/>
    <x v="6"/>
    <x v="0"/>
    <x v="21"/>
    <n v="-0.66600000000000004"/>
  </r>
  <r>
    <x v="0"/>
    <x v="0"/>
    <x v="0"/>
    <x v="19"/>
    <x v="6"/>
    <x v="0"/>
    <x v="22"/>
    <n v="0"/>
  </r>
  <r>
    <x v="0"/>
    <x v="0"/>
    <x v="0"/>
    <x v="19"/>
    <x v="6"/>
    <x v="0"/>
    <x v="23"/>
    <n v="-0.66600000000000004"/>
  </r>
  <r>
    <x v="0"/>
    <x v="0"/>
    <x v="0"/>
    <x v="19"/>
    <x v="14"/>
    <x v="0"/>
    <x v="0"/>
    <n v="0"/>
  </r>
  <r>
    <x v="0"/>
    <x v="0"/>
    <x v="0"/>
    <x v="19"/>
    <x v="14"/>
    <x v="0"/>
    <x v="1"/>
    <n v="0"/>
  </r>
  <r>
    <x v="0"/>
    <x v="0"/>
    <x v="0"/>
    <x v="19"/>
    <x v="14"/>
    <x v="0"/>
    <x v="2"/>
    <n v="0"/>
  </r>
  <r>
    <x v="0"/>
    <x v="0"/>
    <x v="0"/>
    <x v="19"/>
    <x v="14"/>
    <x v="0"/>
    <x v="3"/>
    <n v="0"/>
  </r>
  <r>
    <x v="0"/>
    <x v="0"/>
    <x v="0"/>
    <x v="19"/>
    <x v="14"/>
    <x v="0"/>
    <x v="4"/>
    <n v="0"/>
  </r>
  <r>
    <x v="0"/>
    <x v="0"/>
    <x v="0"/>
    <x v="19"/>
    <x v="14"/>
    <x v="0"/>
    <x v="5"/>
    <n v="0"/>
  </r>
  <r>
    <x v="0"/>
    <x v="0"/>
    <x v="0"/>
    <x v="19"/>
    <x v="14"/>
    <x v="0"/>
    <x v="6"/>
    <n v="0"/>
  </r>
  <r>
    <x v="0"/>
    <x v="0"/>
    <x v="0"/>
    <x v="19"/>
    <x v="14"/>
    <x v="0"/>
    <x v="7"/>
    <n v="0"/>
  </r>
  <r>
    <x v="0"/>
    <x v="0"/>
    <x v="0"/>
    <x v="19"/>
    <x v="14"/>
    <x v="0"/>
    <x v="8"/>
    <n v="0"/>
  </r>
  <r>
    <x v="0"/>
    <x v="0"/>
    <x v="0"/>
    <x v="19"/>
    <x v="14"/>
    <x v="0"/>
    <x v="9"/>
    <n v="0"/>
  </r>
  <r>
    <x v="0"/>
    <x v="0"/>
    <x v="0"/>
    <x v="19"/>
    <x v="14"/>
    <x v="0"/>
    <x v="10"/>
    <n v="0"/>
  </r>
  <r>
    <x v="0"/>
    <x v="0"/>
    <x v="0"/>
    <x v="19"/>
    <x v="14"/>
    <x v="0"/>
    <x v="11"/>
    <n v="0"/>
  </r>
  <r>
    <x v="0"/>
    <x v="0"/>
    <x v="0"/>
    <x v="19"/>
    <x v="14"/>
    <x v="0"/>
    <x v="12"/>
    <n v="0"/>
  </r>
  <r>
    <x v="0"/>
    <x v="0"/>
    <x v="0"/>
    <x v="19"/>
    <x v="14"/>
    <x v="0"/>
    <x v="13"/>
    <n v="0"/>
  </r>
  <r>
    <x v="0"/>
    <x v="0"/>
    <x v="0"/>
    <x v="19"/>
    <x v="14"/>
    <x v="0"/>
    <x v="14"/>
    <n v="0"/>
  </r>
  <r>
    <x v="0"/>
    <x v="0"/>
    <x v="0"/>
    <x v="19"/>
    <x v="14"/>
    <x v="0"/>
    <x v="15"/>
    <n v="0"/>
  </r>
  <r>
    <x v="0"/>
    <x v="0"/>
    <x v="0"/>
    <x v="19"/>
    <x v="14"/>
    <x v="0"/>
    <x v="16"/>
    <n v="0"/>
  </r>
  <r>
    <x v="0"/>
    <x v="0"/>
    <x v="0"/>
    <x v="19"/>
    <x v="14"/>
    <x v="0"/>
    <x v="17"/>
    <n v="0"/>
  </r>
  <r>
    <x v="0"/>
    <x v="0"/>
    <x v="0"/>
    <x v="19"/>
    <x v="14"/>
    <x v="0"/>
    <x v="18"/>
    <n v="0"/>
  </r>
  <r>
    <x v="0"/>
    <x v="0"/>
    <x v="0"/>
    <x v="19"/>
    <x v="14"/>
    <x v="0"/>
    <x v="19"/>
    <n v="0"/>
  </r>
  <r>
    <x v="0"/>
    <x v="0"/>
    <x v="0"/>
    <x v="19"/>
    <x v="14"/>
    <x v="0"/>
    <x v="20"/>
    <n v="0"/>
  </r>
  <r>
    <x v="0"/>
    <x v="0"/>
    <x v="0"/>
    <x v="19"/>
    <x v="14"/>
    <x v="0"/>
    <x v="21"/>
    <n v="0"/>
  </r>
  <r>
    <x v="0"/>
    <x v="0"/>
    <x v="0"/>
    <x v="19"/>
    <x v="14"/>
    <x v="0"/>
    <x v="22"/>
    <n v="0"/>
  </r>
  <r>
    <x v="0"/>
    <x v="0"/>
    <x v="0"/>
    <x v="19"/>
    <x v="14"/>
    <x v="0"/>
    <x v="23"/>
    <n v="0"/>
  </r>
  <r>
    <x v="0"/>
    <x v="0"/>
    <x v="0"/>
    <x v="19"/>
    <x v="12"/>
    <x v="0"/>
    <x v="0"/>
    <n v="1.2150000000000001"/>
  </r>
  <r>
    <x v="0"/>
    <x v="0"/>
    <x v="0"/>
    <x v="19"/>
    <x v="12"/>
    <x v="0"/>
    <x v="1"/>
    <n v="1.2150000000000001"/>
  </r>
  <r>
    <x v="0"/>
    <x v="0"/>
    <x v="0"/>
    <x v="19"/>
    <x v="12"/>
    <x v="0"/>
    <x v="2"/>
    <n v="1.09951060277603"/>
  </r>
  <r>
    <x v="0"/>
    <x v="0"/>
    <x v="0"/>
    <x v="19"/>
    <x v="12"/>
    <x v="0"/>
    <x v="3"/>
    <n v="1.2150000000000001"/>
  </r>
  <r>
    <x v="0"/>
    <x v="0"/>
    <x v="0"/>
    <x v="19"/>
    <x v="12"/>
    <x v="0"/>
    <x v="4"/>
    <n v="0.95805541543845396"/>
  </r>
  <r>
    <x v="0"/>
    <x v="0"/>
    <x v="0"/>
    <x v="19"/>
    <x v="12"/>
    <x v="0"/>
    <x v="5"/>
    <n v="1.20544731165047"/>
  </r>
  <r>
    <x v="0"/>
    <x v="0"/>
    <x v="0"/>
    <x v="19"/>
    <x v="12"/>
    <x v="0"/>
    <x v="6"/>
    <n v="1.05917868819787"/>
  </r>
  <r>
    <x v="0"/>
    <x v="0"/>
    <x v="0"/>
    <x v="19"/>
    <x v="12"/>
    <x v="0"/>
    <x v="7"/>
    <n v="0.82750887401828399"/>
  </r>
  <r>
    <x v="0"/>
    <x v="0"/>
    <x v="0"/>
    <x v="19"/>
    <x v="12"/>
    <x v="0"/>
    <x v="8"/>
    <n v="0.74863044636256904"/>
  </r>
  <r>
    <x v="0"/>
    <x v="0"/>
    <x v="0"/>
    <x v="19"/>
    <x v="12"/>
    <x v="0"/>
    <x v="9"/>
    <n v="0.72930215438405599"/>
  </r>
  <r>
    <x v="0"/>
    <x v="0"/>
    <x v="0"/>
    <x v="19"/>
    <x v="12"/>
    <x v="0"/>
    <x v="10"/>
    <n v="1.0837061980490199"/>
  </r>
  <r>
    <x v="0"/>
    <x v="0"/>
    <x v="0"/>
    <x v="19"/>
    <x v="12"/>
    <x v="0"/>
    <x v="11"/>
    <n v="0.98831523871612104"/>
  </r>
  <r>
    <x v="0"/>
    <x v="0"/>
    <x v="0"/>
    <x v="19"/>
    <x v="12"/>
    <x v="0"/>
    <x v="12"/>
    <n v="1.11330354172816"/>
  </r>
  <r>
    <x v="0"/>
    <x v="0"/>
    <x v="0"/>
    <x v="19"/>
    <x v="12"/>
    <x v="0"/>
    <x v="13"/>
    <n v="1.0701106950380901"/>
  </r>
  <r>
    <x v="0"/>
    <x v="0"/>
    <x v="0"/>
    <x v="19"/>
    <x v="12"/>
    <x v="0"/>
    <x v="14"/>
    <n v="1.1966013559055799"/>
  </r>
  <r>
    <x v="0"/>
    <x v="0"/>
    <x v="0"/>
    <x v="19"/>
    <x v="12"/>
    <x v="0"/>
    <x v="15"/>
    <n v="1.2150000000000001"/>
  </r>
  <r>
    <x v="0"/>
    <x v="0"/>
    <x v="0"/>
    <x v="19"/>
    <x v="12"/>
    <x v="0"/>
    <x v="16"/>
    <n v="1.2150000000000001"/>
  </r>
  <r>
    <x v="0"/>
    <x v="0"/>
    <x v="0"/>
    <x v="19"/>
    <x v="12"/>
    <x v="0"/>
    <x v="17"/>
    <n v="1.2150000000000001"/>
  </r>
  <r>
    <x v="0"/>
    <x v="0"/>
    <x v="0"/>
    <x v="19"/>
    <x v="12"/>
    <x v="0"/>
    <x v="18"/>
    <n v="1.2150000000000001"/>
  </r>
  <r>
    <x v="0"/>
    <x v="0"/>
    <x v="0"/>
    <x v="19"/>
    <x v="12"/>
    <x v="0"/>
    <x v="19"/>
    <n v="1.2150000000000001"/>
  </r>
  <r>
    <x v="0"/>
    <x v="0"/>
    <x v="0"/>
    <x v="19"/>
    <x v="12"/>
    <x v="0"/>
    <x v="20"/>
    <n v="1.2150000000000001"/>
  </r>
  <r>
    <x v="0"/>
    <x v="0"/>
    <x v="0"/>
    <x v="19"/>
    <x v="12"/>
    <x v="0"/>
    <x v="21"/>
    <n v="1.2150000000000001"/>
  </r>
  <r>
    <x v="0"/>
    <x v="0"/>
    <x v="0"/>
    <x v="19"/>
    <x v="12"/>
    <x v="0"/>
    <x v="22"/>
    <n v="1.2150000000000001"/>
  </r>
  <r>
    <x v="0"/>
    <x v="0"/>
    <x v="0"/>
    <x v="19"/>
    <x v="12"/>
    <x v="0"/>
    <x v="23"/>
    <n v="1.2150000000000001"/>
  </r>
  <r>
    <x v="0"/>
    <x v="0"/>
    <x v="0"/>
    <x v="19"/>
    <x v="13"/>
    <x v="0"/>
    <x v="0"/>
    <n v="0"/>
  </r>
  <r>
    <x v="0"/>
    <x v="0"/>
    <x v="0"/>
    <x v="19"/>
    <x v="13"/>
    <x v="0"/>
    <x v="1"/>
    <n v="0"/>
  </r>
  <r>
    <x v="0"/>
    <x v="0"/>
    <x v="0"/>
    <x v="19"/>
    <x v="13"/>
    <x v="0"/>
    <x v="2"/>
    <n v="0"/>
  </r>
  <r>
    <x v="0"/>
    <x v="0"/>
    <x v="0"/>
    <x v="19"/>
    <x v="13"/>
    <x v="0"/>
    <x v="3"/>
    <n v="0"/>
  </r>
  <r>
    <x v="0"/>
    <x v="0"/>
    <x v="0"/>
    <x v="19"/>
    <x v="13"/>
    <x v="0"/>
    <x v="4"/>
    <n v="0"/>
  </r>
  <r>
    <x v="0"/>
    <x v="0"/>
    <x v="0"/>
    <x v="19"/>
    <x v="13"/>
    <x v="0"/>
    <x v="5"/>
    <n v="0"/>
  </r>
  <r>
    <x v="0"/>
    <x v="0"/>
    <x v="0"/>
    <x v="19"/>
    <x v="13"/>
    <x v="0"/>
    <x v="6"/>
    <n v="0"/>
  </r>
  <r>
    <x v="0"/>
    <x v="0"/>
    <x v="0"/>
    <x v="19"/>
    <x v="13"/>
    <x v="0"/>
    <x v="7"/>
    <n v="0"/>
  </r>
  <r>
    <x v="0"/>
    <x v="0"/>
    <x v="0"/>
    <x v="19"/>
    <x v="13"/>
    <x v="0"/>
    <x v="8"/>
    <n v="0"/>
  </r>
  <r>
    <x v="0"/>
    <x v="0"/>
    <x v="0"/>
    <x v="19"/>
    <x v="13"/>
    <x v="0"/>
    <x v="9"/>
    <n v="0"/>
  </r>
  <r>
    <x v="0"/>
    <x v="0"/>
    <x v="0"/>
    <x v="19"/>
    <x v="13"/>
    <x v="0"/>
    <x v="10"/>
    <n v="0"/>
  </r>
  <r>
    <x v="0"/>
    <x v="0"/>
    <x v="0"/>
    <x v="19"/>
    <x v="13"/>
    <x v="0"/>
    <x v="11"/>
    <n v="0"/>
  </r>
  <r>
    <x v="0"/>
    <x v="0"/>
    <x v="0"/>
    <x v="19"/>
    <x v="13"/>
    <x v="0"/>
    <x v="12"/>
    <n v="0"/>
  </r>
  <r>
    <x v="0"/>
    <x v="0"/>
    <x v="0"/>
    <x v="19"/>
    <x v="13"/>
    <x v="0"/>
    <x v="13"/>
    <n v="0"/>
  </r>
  <r>
    <x v="0"/>
    <x v="0"/>
    <x v="0"/>
    <x v="19"/>
    <x v="13"/>
    <x v="0"/>
    <x v="14"/>
    <n v="0"/>
  </r>
  <r>
    <x v="0"/>
    <x v="0"/>
    <x v="0"/>
    <x v="19"/>
    <x v="13"/>
    <x v="0"/>
    <x v="15"/>
    <n v="0"/>
  </r>
  <r>
    <x v="0"/>
    <x v="0"/>
    <x v="0"/>
    <x v="19"/>
    <x v="13"/>
    <x v="0"/>
    <x v="16"/>
    <n v="0"/>
  </r>
  <r>
    <x v="0"/>
    <x v="0"/>
    <x v="0"/>
    <x v="19"/>
    <x v="13"/>
    <x v="0"/>
    <x v="17"/>
    <n v="0"/>
  </r>
  <r>
    <x v="0"/>
    <x v="0"/>
    <x v="0"/>
    <x v="19"/>
    <x v="13"/>
    <x v="0"/>
    <x v="18"/>
    <n v="0"/>
  </r>
  <r>
    <x v="0"/>
    <x v="0"/>
    <x v="0"/>
    <x v="19"/>
    <x v="13"/>
    <x v="0"/>
    <x v="19"/>
    <n v="0"/>
  </r>
  <r>
    <x v="0"/>
    <x v="0"/>
    <x v="0"/>
    <x v="19"/>
    <x v="13"/>
    <x v="0"/>
    <x v="20"/>
    <n v="0"/>
  </r>
  <r>
    <x v="0"/>
    <x v="0"/>
    <x v="0"/>
    <x v="19"/>
    <x v="13"/>
    <x v="0"/>
    <x v="21"/>
    <n v="0"/>
  </r>
  <r>
    <x v="0"/>
    <x v="0"/>
    <x v="0"/>
    <x v="19"/>
    <x v="13"/>
    <x v="0"/>
    <x v="22"/>
    <n v="0"/>
  </r>
  <r>
    <x v="0"/>
    <x v="0"/>
    <x v="0"/>
    <x v="19"/>
    <x v="13"/>
    <x v="0"/>
    <x v="23"/>
    <n v="0"/>
  </r>
  <r>
    <x v="0"/>
    <x v="0"/>
    <x v="0"/>
    <x v="19"/>
    <x v="20"/>
    <x v="0"/>
    <x v="0"/>
    <n v="0"/>
  </r>
  <r>
    <x v="0"/>
    <x v="0"/>
    <x v="0"/>
    <x v="19"/>
    <x v="20"/>
    <x v="0"/>
    <x v="1"/>
    <n v="0"/>
  </r>
  <r>
    <x v="0"/>
    <x v="0"/>
    <x v="0"/>
    <x v="19"/>
    <x v="20"/>
    <x v="0"/>
    <x v="2"/>
    <n v="0"/>
  </r>
  <r>
    <x v="0"/>
    <x v="0"/>
    <x v="0"/>
    <x v="19"/>
    <x v="20"/>
    <x v="0"/>
    <x v="3"/>
    <n v="0"/>
  </r>
  <r>
    <x v="0"/>
    <x v="0"/>
    <x v="0"/>
    <x v="19"/>
    <x v="20"/>
    <x v="0"/>
    <x v="4"/>
    <n v="0"/>
  </r>
  <r>
    <x v="0"/>
    <x v="0"/>
    <x v="0"/>
    <x v="19"/>
    <x v="20"/>
    <x v="0"/>
    <x v="5"/>
    <n v="0"/>
  </r>
  <r>
    <x v="0"/>
    <x v="0"/>
    <x v="0"/>
    <x v="19"/>
    <x v="20"/>
    <x v="0"/>
    <x v="6"/>
    <n v="-0.264207273576058"/>
  </r>
  <r>
    <x v="0"/>
    <x v="0"/>
    <x v="0"/>
    <x v="19"/>
    <x v="20"/>
    <x v="0"/>
    <x v="7"/>
    <n v="0"/>
  </r>
  <r>
    <x v="0"/>
    <x v="0"/>
    <x v="0"/>
    <x v="19"/>
    <x v="20"/>
    <x v="0"/>
    <x v="8"/>
    <n v="0"/>
  </r>
  <r>
    <x v="0"/>
    <x v="0"/>
    <x v="0"/>
    <x v="19"/>
    <x v="20"/>
    <x v="0"/>
    <x v="9"/>
    <n v="0"/>
  </r>
  <r>
    <x v="0"/>
    <x v="0"/>
    <x v="0"/>
    <x v="19"/>
    <x v="20"/>
    <x v="0"/>
    <x v="10"/>
    <n v="-2.8962934794386001E-2"/>
  </r>
  <r>
    <x v="0"/>
    <x v="0"/>
    <x v="0"/>
    <x v="19"/>
    <x v="20"/>
    <x v="0"/>
    <x v="11"/>
    <n v="0"/>
  </r>
  <r>
    <x v="0"/>
    <x v="0"/>
    <x v="0"/>
    <x v="19"/>
    <x v="20"/>
    <x v="0"/>
    <x v="12"/>
    <n v="0"/>
  </r>
  <r>
    <x v="0"/>
    <x v="0"/>
    <x v="0"/>
    <x v="19"/>
    <x v="20"/>
    <x v="0"/>
    <x v="13"/>
    <n v="0"/>
  </r>
  <r>
    <x v="0"/>
    <x v="0"/>
    <x v="0"/>
    <x v="19"/>
    <x v="20"/>
    <x v="0"/>
    <x v="14"/>
    <n v="0"/>
  </r>
  <r>
    <x v="0"/>
    <x v="0"/>
    <x v="0"/>
    <x v="19"/>
    <x v="20"/>
    <x v="0"/>
    <x v="15"/>
    <n v="0"/>
  </r>
  <r>
    <x v="0"/>
    <x v="0"/>
    <x v="0"/>
    <x v="19"/>
    <x v="20"/>
    <x v="0"/>
    <x v="16"/>
    <n v="0"/>
  </r>
  <r>
    <x v="0"/>
    <x v="0"/>
    <x v="0"/>
    <x v="19"/>
    <x v="20"/>
    <x v="0"/>
    <x v="17"/>
    <n v="0"/>
  </r>
  <r>
    <x v="0"/>
    <x v="0"/>
    <x v="0"/>
    <x v="19"/>
    <x v="20"/>
    <x v="0"/>
    <x v="18"/>
    <n v="0"/>
  </r>
  <r>
    <x v="0"/>
    <x v="0"/>
    <x v="0"/>
    <x v="19"/>
    <x v="20"/>
    <x v="0"/>
    <x v="19"/>
    <n v="0"/>
  </r>
  <r>
    <x v="0"/>
    <x v="0"/>
    <x v="0"/>
    <x v="19"/>
    <x v="20"/>
    <x v="0"/>
    <x v="20"/>
    <n v="0"/>
  </r>
  <r>
    <x v="0"/>
    <x v="0"/>
    <x v="0"/>
    <x v="19"/>
    <x v="20"/>
    <x v="0"/>
    <x v="21"/>
    <n v="2.6054521475258899E-2"/>
  </r>
  <r>
    <x v="0"/>
    <x v="0"/>
    <x v="0"/>
    <x v="19"/>
    <x v="20"/>
    <x v="0"/>
    <x v="22"/>
    <n v="0.443740760711407"/>
  </r>
  <r>
    <x v="0"/>
    <x v="0"/>
    <x v="0"/>
    <x v="19"/>
    <x v="20"/>
    <x v="0"/>
    <x v="23"/>
    <n v="0.22781372321232299"/>
  </r>
  <r>
    <x v="0"/>
    <x v="0"/>
    <x v="0"/>
    <x v="19"/>
    <x v="21"/>
    <x v="0"/>
    <x v="0"/>
    <n v="-1.7125590046536201"/>
  </r>
  <r>
    <x v="0"/>
    <x v="0"/>
    <x v="0"/>
    <x v="19"/>
    <x v="21"/>
    <x v="0"/>
    <x v="1"/>
    <n v="-1.6608531804934901"/>
  </r>
  <r>
    <x v="0"/>
    <x v="0"/>
    <x v="0"/>
    <x v="19"/>
    <x v="21"/>
    <x v="0"/>
    <x v="2"/>
    <n v="-1.6712083090983401"/>
  </r>
  <r>
    <x v="0"/>
    <x v="0"/>
    <x v="0"/>
    <x v="19"/>
    <x v="21"/>
    <x v="0"/>
    <x v="3"/>
    <n v="-1.76762343864731"/>
  </r>
  <r>
    <x v="0"/>
    <x v="0"/>
    <x v="0"/>
    <x v="19"/>
    <x v="21"/>
    <x v="0"/>
    <x v="4"/>
    <n v="-1.8060118042456701"/>
  </r>
  <r>
    <x v="0"/>
    <x v="0"/>
    <x v="0"/>
    <x v="19"/>
    <x v="21"/>
    <x v="0"/>
    <x v="5"/>
    <n v="-2.8933149989127802"/>
  </r>
  <r>
    <x v="0"/>
    <x v="0"/>
    <x v="0"/>
    <x v="19"/>
    <x v="21"/>
    <x v="0"/>
    <x v="6"/>
    <n v="-3.3106423172547998"/>
  </r>
  <r>
    <x v="0"/>
    <x v="0"/>
    <x v="0"/>
    <x v="19"/>
    <x v="21"/>
    <x v="0"/>
    <x v="7"/>
    <n v="-4.8993648517689499"/>
  </r>
  <r>
    <x v="0"/>
    <x v="0"/>
    <x v="0"/>
    <x v="19"/>
    <x v="21"/>
    <x v="0"/>
    <x v="8"/>
    <n v="-5.1041905209185403"/>
  </r>
  <r>
    <x v="0"/>
    <x v="0"/>
    <x v="0"/>
    <x v="19"/>
    <x v="21"/>
    <x v="0"/>
    <x v="9"/>
    <n v="-4.9196728774808802"/>
  </r>
  <r>
    <x v="0"/>
    <x v="0"/>
    <x v="0"/>
    <x v="19"/>
    <x v="21"/>
    <x v="0"/>
    <x v="10"/>
    <n v="-4.5169319499503002"/>
  </r>
  <r>
    <x v="0"/>
    <x v="0"/>
    <x v="0"/>
    <x v="19"/>
    <x v="21"/>
    <x v="0"/>
    <x v="11"/>
    <n v="-4.1057159976100301"/>
  </r>
  <r>
    <x v="0"/>
    <x v="0"/>
    <x v="0"/>
    <x v="19"/>
    <x v="21"/>
    <x v="0"/>
    <x v="12"/>
    <n v="-4.1519509256989604"/>
  </r>
  <r>
    <x v="0"/>
    <x v="0"/>
    <x v="0"/>
    <x v="19"/>
    <x v="21"/>
    <x v="0"/>
    <x v="13"/>
    <n v="-4.1768942142972003"/>
  </r>
  <r>
    <x v="0"/>
    <x v="0"/>
    <x v="0"/>
    <x v="19"/>
    <x v="21"/>
    <x v="0"/>
    <x v="14"/>
    <n v="-4.22643165646085"/>
  </r>
  <r>
    <x v="0"/>
    <x v="0"/>
    <x v="0"/>
    <x v="19"/>
    <x v="21"/>
    <x v="0"/>
    <x v="15"/>
    <n v="-4.3247481987328804"/>
  </r>
  <r>
    <x v="0"/>
    <x v="0"/>
    <x v="0"/>
    <x v="19"/>
    <x v="21"/>
    <x v="0"/>
    <x v="16"/>
    <n v="-4.4317847413422404"/>
  </r>
  <r>
    <x v="0"/>
    <x v="0"/>
    <x v="0"/>
    <x v="19"/>
    <x v="21"/>
    <x v="0"/>
    <x v="17"/>
    <n v="-4.4451807733884499"/>
  </r>
  <r>
    <x v="0"/>
    <x v="0"/>
    <x v="0"/>
    <x v="19"/>
    <x v="21"/>
    <x v="0"/>
    <x v="18"/>
    <n v="-3.5485713324400701"/>
  </r>
  <r>
    <x v="0"/>
    <x v="0"/>
    <x v="0"/>
    <x v="19"/>
    <x v="21"/>
    <x v="0"/>
    <x v="19"/>
    <n v="-3.4904871125191201"/>
  </r>
  <r>
    <x v="0"/>
    <x v="0"/>
    <x v="0"/>
    <x v="19"/>
    <x v="21"/>
    <x v="0"/>
    <x v="20"/>
    <n v="-2.9663011459497799"/>
  </r>
  <r>
    <x v="0"/>
    <x v="0"/>
    <x v="0"/>
    <x v="19"/>
    <x v="21"/>
    <x v="0"/>
    <x v="21"/>
    <n v="-2.5606693509511702"/>
  </r>
  <r>
    <x v="0"/>
    <x v="0"/>
    <x v="0"/>
    <x v="19"/>
    <x v="21"/>
    <x v="0"/>
    <x v="22"/>
    <n v="-2.2410006941875902"/>
  </r>
  <r>
    <x v="0"/>
    <x v="0"/>
    <x v="0"/>
    <x v="19"/>
    <x v="21"/>
    <x v="0"/>
    <x v="23"/>
    <n v="-1.2069973893878501"/>
  </r>
  <r>
    <x v="0"/>
    <x v="0"/>
    <x v="0"/>
    <x v="19"/>
    <x v="8"/>
    <x v="0"/>
    <x v="0"/>
    <n v="2.0600078981282102"/>
  </r>
  <r>
    <x v="0"/>
    <x v="0"/>
    <x v="0"/>
    <x v="19"/>
    <x v="8"/>
    <x v="0"/>
    <x v="1"/>
    <n v="2.0302169028674801"/>
  </r>
  <r>
    <x v="0"/>
    <x v="0"/>
    <x v="0"/>
    <x v="19"/>
    <x v="8"/>
    <x v="0"/>
    <x v="2"/>
    <n v="2.0086727390319301"/>
  </r>
  <r>
    <x v="0"/>
    <x v="0"/>
    <x v="0"/>
    <x v="19"/>
    <x v="8"/>
    <x v="0"/>
    <x v="3"/>
    <n v="1.9316880784960699"/>
  </r>
  <r>
    <x v="0"/>
    <x v="0"/>
    <x v="0"/>
    <x v="19"/>
    <x v="8"/>
    <x v="0"/>
    <x v="4"/>
    <n v="1.98010284252805"/>
  </r>
  <r>
    <x v="0"/>
    <x v="0"/>
    <x v="0"/>
    <x v="19"/>
    <x v="8"/>
    <x v="0"/>
    <x v="5"/>
    <n v="2.3848970225539401"/>
  </r>
  <r>
    <x v="0"/>
    <x v="0"/>
    <x v="0"/>
    <x v="19"/>
    <x v="8"/>
    <x v="0"/>
    <x v="6"/>
    <n v="2.3757442758373002"/>
  </r>
  <r>
    <x v="0"/>
    <x v="0"/>
    <x v="0"/>
    <x v="19"/>
    <x v="8"/>
    <x v="0"/>
    <x v="7"/>
    <n v="3.2692699859848502"/>
  </r>
  <r>
    <x v="0"/>
    <x v="0"/>
    <x v="0"/>
    <x v="19"/>
    <x v="8"/>
    <x v="0"/>
    <x v="8"/>
    <n v="3.3706596034910601"/>
  </r>
  <r>
    <x v="0"/>
    <x v="0"/>
    <x v="0"/>
    <x v="19"/>
    <x v="8"/>
    <x v="0"/>
    <x v="9"/>
    <n v="3.3181254925752199"/>
  </r>
  <r>
    <x v="0"/>
    <x v="0"/>
    <x v="0"/>
    <x v="19"/>
    <x v="8"/>
    <x v="0"/>
    <x v="10"/>
    <n v="2.5691131154669402"/>
  </r>
  <r>
    <x v="0"/>
    <x v="0"/>
    <x v="0"/>
    <x v="19"/>
    <x v="8"/>
    <x v="0"/>
    <x v="11"/>
    <n v="2.2652368092286199"/>
  </r>
  <r>
    <x v="0"/>
    <x v="0"/>
    <x v="0"/>
    <x v="19"/>
    <x v="8"/>
    <x v="0"/>
    <x v="12"/>
    <n v="2.6559067824295099"/>
  </r>
  <r>
    <x v="0"/>
    <x v="0"/>
    <x v="0"/>
    <x v="19"/>
    <x v="8"/>
    <x v="0"/>
    <x v="13"/>
    <n v="2.93886114723297"/>
  </r>
  <r>
    <x v="0"/>
    <x v="0"/>
    <x v="0"/>
    <x v="19"/>
    <x v="8"/>
    <x v="0"/>
    <x v="14"/>
    <n v="2.2873986752501101"/>
  </r>
  <r>
    <x v="0"/>
    <x v="0"/>
    <x v="0"/>
    <x v="19"/>
    <x v="8"/>
    <x v="0"/>
    <x v="15"/>
    <n v="2.61813547331103"/>
  </r>
  <r>
    <x v="0"/>
    <x v="0"/>
    <x v="0"/>
    <x v="19"/>
    <x v="8"/>
    <x v="0"/>
    <x v="16"/>
    <n v="2.3238084658968701"/>
  </r>
  <r>
    <x v="0"/>
    <x v="0"/>
    <x v="0"/>
    <x v="19"/>
    <x v="8"/>
    <x v="0"/>
    <x v="17"/>
    <n v="2.5481531029587998"/>
  </r>
  <r>
    <x v="0"/>
    <x v="0"/>
    <x v="0"/>
    <x v="19"/>
    <x v="8"/>
    <x v="0"/>
    <x v="18"/>
    <n v="2.1142788277141702"/>
  </r>
  <r>
    <x v="0"/>
    <x v="0"/>
    <x v="0"/>
    <x v="19"/>
    <x v="8"/>
    <x v="0"/>
    <x v="19"/>
    <n v="1.9888838944128699"/>
  </r>
  <r>
    <x v="0"/>
    <x v="0"/>
    <x v="0"/>
    <x v="19"/>
    <x v="8"/>
    <x v="0"/>
    <x v="20"/>
    <n v="1.5882397986565899"/>
  </r>
  <r>
    <x v="0"/>
    <x v="0"/>
    <x v="0"/>
    <x v="19"/>
    <x v="8"/>
    <x v="0"/>
    <x v="21"/>
    <n v="1.5949062833012999"/>
  </r>
  <r>
    <x v="0"/>
    <x v="0"/>
    <x v="0"/>
    <x v="19"/>
    <x v="8"/>
    <x v="0"/>
    <x v="22"/>
    <n v="0.616763382886372"/>
  </r>
  <r>
    <x v="0"/>
    <x v="0"/>
    <x v="0"/>
    <x v="19"/>
    <x v="8"/>
    <x v="0"/>
    <x v="23"/>
    <n v="0.95474941519406398"/>
  </r>
  <r>
    <x v="0"/>
    <x v="0"/>
    <x v="0"/>
    <x v="20"/>
    <x v="0"/>
    <x v="0"/>
    <x v="0"/>
    <n v="-0.435694443465384"/>
  </r>
  <r>
    <x v="0"/>
    <x v="0"/>
    <x v="0"/>
    <x v="20"/>
    <x v="0"/>
    <x v="0"/>
    <x v="1"/>
    <n v="-0.419907968385138"/>
  </r>
  <r>
    <x v="0"/>
    <x v="0"/>
    <x v="0"/>
    <x v="20"/>
    <x v="0"/>
    <x v="0"/>
    <x v="2"/>
    <n v="-0.45405685729555401"/>
  </r>
  <r>
    <x v="0"/>
    <x v="0"/>
    <x v="0"/>
    <x v="20"/>
    <x v="0"/>
    <x v="0"/>
    <x v="3"/>
    <n v="-0.54"/>
  </r>
  <r>
    <x v="0"/>
    <x v="0"/>
    <x v="0"/>
    <x v="20"/>
    <x v="0"/>
    <x v="0"/>
    <x v="4"/>
    <n v="-0.54"/>
  </r>
  <r>
    <x v="0"/>
    <x v="0"/>
    <x v="0"/>
    <x v="20"/>
    <x v="0"/>
    <x v="0"/>
    <x v="5"/>
    <n v="0"/>
  </r>
  <r>
    <x v="0"/>
    <x v="0"/>
    <x v="0"/>
    <x v="20"/>
    <x v="0"/>
    <x v="0"/>
    <x v="6"/>
    <n v="-0.54"/>
  </r>
  <r>
    <x v="0"/>
    <x v="0"/>
    <x v="0"/>
    <x v="20"/>
    <x v="0"/>
    <x v="0"/>
    <x v="7"/>
    <n v="0"/>
  </r>
  <r>
    <x v="0"/>
    <x v="0"/>
    <x v="0"/>
    <x v="20"/>
    <x v="0"/>
    <x v="0"/>
    <x v="8"/>
    <n v="0"/>
  </r>
  <r>
    <x v="0"/>
    <x v="0"/>
    <x v="0"/>
    <x v="20"/>
    <x v="0"/>
    <x v="0"/>
    <x v="9"/>
    <n v="0"/>
  </r>
  <r>
    <x v="0"/>
    <x v="0"/>
    <x v="0"/>
    <x v="20"/>
    <x v="0"/>
    <x v="0"/>
    <x v="10"/>
    <n v="-0.54"/>
  </r>
  <r>
    <x v="0"/>
    <x v="0"/>
    <x v="0"/>
    <x v="20"/>
    <x v="0"/>
    <x v="0"/>
    <x v="11"/>
    <n v="-0.54"/>
  </r>
  <r>
    <x v="0"/>
    <x v="0"/>
    <x v="0"/>
    <x v="20"/>
    <x v="0"/>
    <x v="0"/>
    <x v="12"/>
    <n v="-0.54"/>
  </r>
  <r>
    <x v="0"/>
    <x v="0"/>
    <x v="0"/>
    <x v="20"/>
    <x v="0"/>
    <x v="0"/>
    <x v="13"/>
    <n v="-8.9502640835634598E-2"/>
  </r>
  <r>
    <x v="0"/>
    <x v="0"/>
    <x v="0"/>
    <x v="20"/>
    <x v="0"/>
    <x v="0"/>
    <x v="14"/>
    <n v="-0.54"/>
  </r>
  <r>
    <x v="0"/>
    <x v="0"/>
    <x v="0"/>
    <x v="20"/>
    <x v="0"/>
    <x v="0"/>
    <x v="15"/>
    <n v="0"/>
  </r>
  <r>
    <x v="0"/>
    <x v="0"/>
    <x v="0"/>
    <x v="20"/>
    <x v="0"/>
    <x v="0"/>
    <x v="16"/>
    <n v="-0.26002942304575999"/>
  </r>
  <r>
    <x v="0"/>
    <x v="0"/>
    <x v="0"/>
    <x v="20"/>
    <x v="0"/>
    <x v="0"/>
    <x v="17"/>
    <n v="0"/>
  </r>
  <r>
    <x v="0"/>
    <x v="0"/>
    <x v="0"/>
    <x v="20"/>
    <x v="0"/>
    <x v="0"/>
    <x v="18"/>
    <n v="0"/>
  </r>
  <r>
    <x v="0"/>
    <x v="0"/>
    <x v="0"/>
    <x v="20"/>
    <x v="0"/>
    <x v="0"/>
    <x v="19"/>
    <n v="0"/>
  </r>
  <r>
    <x v="0"/>
    <x v="0"/>
    <x v="0"/>
    <x v="20"/>
    <x v="0"/>
    <x v="0"/>
    <x v="20"/>
    <n v="0"/>
  </r>
  <r>
    <x v="0"/>
    <x v="0"/>
    <x v="0"/>
    <x v="20"/>
    <x v="0"/>
    <x v="0"/>
    <x v="21"/>
    <n v="-0.307458315563369"/>
  </r>
  <r>
    <x v="0"/>
    <x v="0"/>
    <x v="0"/>
    <x v="20"/>
    <x v="0"/>
    <x v="0"/>
    <x v="22"/>
    <n v="-0.490644801823926"/>
  </r>
  <r>
    <x v="0"/>
    <x v="0"/>
    <x v="0"/>
    <x v="20"/>
    <x v="0"/>
    <x v="0"/>
    <x v="23"/>
    <n v="-8.3721363530998405E-2"/>
  </r>
  <r>
    <x v="0"/>
    <x v="0"/>
    <x v="0"/>
    <x v="20"/>
    <x v="3"/>
    <x v="0"/>
    <x v="0"/>
    <n v="0"/>
  </r>
  <r>
    <x v="0"/>
    <x v="0"/>
    <x v="0"/>
    <x v="20"/>
    <x v="3"/>
    <x v="0"/>
    <x v="1"/>
    <n v="0"/>
  </r>
  <r>
    <x v="0"/>
    <x v="0"/>
    <x v="0"/>
    <x v="20"/>
    <x v="3"/>
    <x v="0"/>
    <x v="2"/>
    <n v="0"/>
  </r>
  <r>
    <x v="0"/>
    <x v="0"/>
    <x v="0"/>
    <x v="20"/>
    <x v="3"/>
    <x v="0"/>
    <x v="3"/>
    <n v="0"/>
  </r>
  <r>
    <x v="0"/>
    <x v="0"/>
    <x v="0"/>
    <x v="20"/>
    <x v="3"/>
    <x v="0"/>
    <x v="4"/>
    <n v="0"/>
  </r>
  <r>
    <x v="0"/>
    <x v="0"/>
    <x v="0"/>
    <x v="20"/>
    <x v="3"/>
    <x v="0"/>
    <x v="5"/>
    <n v="-0.27220985472497999"/>
  </r>
  <r>
    <x v="0"/>
    <x v="0"/>
    <x v="0"/>
    <x v="20"/>
    <x v="3"/>
    <x v="0"/>
    <x v="6"/>
    <n v="-5.4917044544903299E-3"/>
  </r>
  <r>
    <x v="0"/>
    <x v="0"/>
    <x v="0"/>
    <x v="20"/>
    <x v="3"/>
    <x v="0"/>
    <x v="7"/>
    <n v="0"/>
  </r>
  <r>
    <x v="0"/>
    <x v="0"/>
    <x v="0"/>
    <x v="20"/>
    <x v="3"/>
    <x v="0"/>
    <x v="8"/>
    <n v="0"/>
  </r>
  <r>
    <x v="0"/>
    <x v="0"/>
    <x v="0"/>
    <x v="20"/>
    <x v="3"/>
    <x v="0"/>
    <x v="9"/>
    <n v="0"/>
  </r>
  <r>
    <x v="0"/>
    <x v="0"/>
    <x v="0"/>
    <x v="20"/>
    <x v="3"/>
    <x v="0"/>
    <x v="10"/>
    <n v="-0.29577549805986703"/>
  </r>
  <r>
    <x v="0"/>
    <x v="0"/>
    <x v="0"/>
    <x v="20"/>
    <x v="3"/>
    <x v="0"/>
    <x v="11"/>
    <n v="-0.59437712337672399"/>
  </r>
  <r>
    <x v="0"/>
    <x v="0"/>
    <x v="0"/>
    <x v="20"/>
    <x v="3"/>
    <x v="0"/>
    <x v="12"/>
    <n v="-0.18616383492205599"/>
  </r>
  <r>
    <x v="0"/>
    <x v="0"/>
    <x v="0"/>
    <x v="20"/>
    <x v="3"/>
    <x v="0"/>
    <x v="13"/>
    <n v="-0.36715359103527101"/>
  </r>
  <r>
    <x v="0"/>
    <x v="0"/>
    <x v="0"/>
    <x v="20"/>
    <x v="3"/>
    <x v="0"/>
    <x v="14"/>
    <n v="-0.51342950540506105"/>
  </r>
  <r>
    <x v="0"/>
    <x v="0"/>
    <x v="0"/>
    <x v="20"/>
    <x v="3"/>
    <x v="0"/>
    <x v="15"/>
    <n v="-0.68164955922496195"/>
  </r>
  <r>
    <x v="0"/>
    <x v="0"/>
    <x v="0"/>
    <x v="20"/>
    <x v="3"/>
    <x v="0"/>
    <x v="16"/>
    <n v="-0.65075868886993204"/>
  </r>
  <r>
    <x v="0"/>
    <x v="0"/>
    <x v="0"/>
    <x v="20"/>
    <x v="3"/>
    <x v="0"/>
    <x v="17"/>
    <n v="-0.52443563760074696"/>
  </r>
  <r>
    <x v="0"/>
    <x v="0"/>
    <x v="0"/>
    <x v="20"/>
    <x v="3"/>
    <x v="0"/>
    <x v="18"/>
    <n v="-0.62429061792407103"/>
  </r>
  <r>
    <x v="0"/>
    <x v="0"/>
    <x v="0"/>
    <x v="20"/>
    <x v="3"/>
    <x v="0"/>
    <x v="19"/>
    <n v="-0.61151301811102399"/>
  </r>
  <r>
    <x v="0"/>
    <x v="0"/>
    <x v="0"/>
    <x v="20"/>
    <x v="3"/>
    <x v="0"/>
    <x v="20"/>
    <n v="-1.0039747441723299"/>
  </r>
  <r>
    <x v="0"/>
    <x v="0"/>
    <x v="0"/>
    <x v="20"/>
    <x v="3"/>
    <x v="0"/>
    <x v="21"/>
    <n v="-0.574802942558851"/>
  </r>
  <r>
    <x v="0"/>
    <x v="0"/>
    <x v="0"/>
    <x v="20"/>
    <x v="3"/>
    <x v="0"/>
    <x v="22"/>
    <n v="-1.0590576037321"/>
  </r>
  <r>
    <x v="0"/>
    <x v="0"/>
    <x v="0"/>
    <x v="20"/>
    <x v="3"/>
    <x v="0"/>
    <x v="23"/>
    <n v="-0.70752666719162804"/>
  </r>
  <r>
    <x v="0"/>
    <x v="0"/>
    <x v="0"/>
    <x v="20"/>
    <x v="17"/>
    <x v="0"/>
    <x v="0"/>
    <n v="0.63"/>
  </r>
  <r>
    <x v="0"/>
    <x v="0"/>
    <x v="0"/>
    <x v="20"/>
    <x v="17"/>
    <x v="0"/>
    <x v="1"/>
    <n v="0.63"/>
  </r>
  <r>
    <x v="0"/>
    <x v="0"/>
    <x v="0"/>
    <x v="20"/>
    <x v="17"/>
    <x v="0"/>
    <x v="2"/>
    <n v="0.63"/>
  </r>
  <r>
    <x v="0"/>
    <x v="0"/>
    <x v="0"/>
    <x v="20"/>
    <x v="17"/>
    <x v="0"/>
    <x v="3"/>
    <n v="0.63"/>
  </r>
  <r>
    <x v="0"/>
    <x v="0"/>
    <x v="0"/>
    <x v="20"/>
    <x v="17"/>
    <x v="0"/>
    <x v="4"/>
    <n v="0.62312479272194299"/>
  </r>
  <r>
    <x v="0"/>
    <x v="0"/>
    <x v="0"/>
    <x v="20"/>
    <x v="17"/>
    <x v="0"/>
    <x v="5"/>
    <n v="0.63"/>
  </r>
  <r>
    <x v="0"/>
    <x v="0"/>
    <x v="0"/>
    <x v="20"/>
    <x v="17"/>
    <x v="0"/>
    <x v="6"/>
    <n v="0.63"/>
  </r>
  <r>
    <x v="0"/>
    <x v="0"/>
    <x v="0"/>
    <x v="20"/>
    <x v="17"/>
    <x v="0"/>
    <x v="7"/>
    <n v="0.63"/>
  </r>
  <r>
    <x v="0"/>
    <x v="0"/>
    <x v="0"/>
    <x v="20"/>
    <x v="17"/>
    <x v="0"/>
    <x v="8"/>
    <n v="0.63"/>
  </r>
  <r>
    <x v="0"/>
    <x v="0"/>
    <x v="0"/>
    <x v="20"/>
    <x v="17"/>
    <x v="0"/>
    <x v="9"/>
    <n v="0.63"/>
  </r>
  <r>
    <x v="0"/>
    <x v="0"/>
    <x v="0"/>
    <x v="20"/>
    <x v="17"/>
    <x v="0"/>
    <x v="10"/>
    <n v="0.63"/>
  </r>
  <r>
    <x v="0"/>
    <x v="0"/>
    <x v="0"/>
    <x v="20"/>
    <x v="17"/>
    <x v="0"/>
    <x v="11"/>
    <n v="0.63"/>
  </r>
  <r>
    <x v="0"/>
    <x v="0"/>
    <x v="0"/>
    <x v="20"/>
    <x v="17"/>
    <x v="0"/>
    <x v="12"/>
    <n v="0.63"/>
  </r>
  <r>
    <x v="0"/>
    <x v="0"/>
    <x v="0"/>
    <x v="20"/>
    <x v="17"/>
    <x v="0"/>
    <x v="13"/>
    <n v="0.63"/>
  </r>
  <r>
    <x v="0"/>
    <x v="0"/>
    <x v="0"/>
    <x v="20"/>
    <x v="17"/>
    <x v="0"/>
    <x v="14"/>
    <n v="0.63"/>
  </r>
  <r>
    <x v="0"/>
    <x v="0"/>
    <x v="0"/>
    <x v="20"/>
    <x v="17"/>
    <x v="0"/>
    <x v="15"/>
    <n v="0.63"/>
  </r>
  <r>
    <x v="0"/>
    <x v="0"/>
    <x v="0"/>
    <x v="20"/>
    <x v="17"/>
    <x v="0"/>
    <x v="16"/>
    <n v="0.63"/>
  </r>
  <r>
    <x v="0"/>
    <x v="0"/>
    <x v="0"/>
    <x v="20"/>
    <x v="17"/>
    <x v="0"/>
    <x v="17"/>
    <n v="0.63"/>
  </r>
  <r>
    <x v="0"/>
    <x v="0"/>
    <x v="0"/>
    <x v="20"/>
    <x v="17"/>
    <x v="0"/>
    <x v="18"/>
    <n v="0.63"/>
  </r>
  <r>
    <x v="0"/>
    <x v="0"/>
    <x v="0"/>
    <x v="20"/>
    <x v="17"/>
    <x v="0"/>
    <x v="19"/>
    <n v="0.63"/>
  </r>
  <r>
    <x v="0"/>
    <x v="0"/>
    <x v="0"/>
    <x v="20"/>
    <x v="17"/>
    <x v="0"/>
    <x v="20"/>
    <n v="0.63"/>
  </r>
  <r>
    <x v="0"/>
    <x v="0"/>
    <x v="0"/>
    <x v="20"/>
    <x v="17"/>
    <x v="0"/>
    <x v="21"/>
    <n v="0.63"/>
  </r>
  <r>
    <x v="0"/>
    <x v="0"/>
    <x v="0"/>
    <x v="20"/>
    <x v="17"/>
    <x v="0"/>
    <x v="22"/>
    <n v="0.63"/>
  </r>
  <r>
    <x v="0"/>
    <x v="0"/>
    <x v="0"/>
    <x v="20"/>
    <x v="17"/>
    <x v="0"/>
    <x v="23"/>
    <n v="0.63"/>
  </r>
  <r>
    <x v="0"/>
    <x v="0"/>
    <x v="0"/>
    <x v="20"/>
    <x v="4"/>
    <x v="0"/>
    <x v="0"/>
    <n v="0"/>
  </r>
  <r>
    <x v="0"/>
    <x v="0"/>
    <x v="0"/>
    <x v="20"/>
    <x v="4"/>
    <x v="0"/>
    <x v="1"/>
    <n v="0"/>
  </r>
  <r>
    <x v="0"/>
    <x v="0"/>
    <x v="0"/>
    <x v="20"/>
    <x v="4"/>
    <x v="0"/>
    <x v="2"/>
    <n v="0"/>
  </r>
  <r>
    <x v="0"/>
    <x v="0"/>
    <x v="0"/>
    <x v="20"/>
    <x v="4"/>
    <x v="0"/>
    <x v="3"/>
    <n v="0"/>
  </r>
  <r>
    <x v="0"/>
    <x v="0"/>
    <x v="0"/>
    <x v="20"/>
    <x v="4"/>
    <x v="0"/>
    <x v="4"/>
    <n v="0"/>
  </r>
  <r>
    <x v="0"/>
    <x v="0"/>
    <x v="0"/>
    <x v="20"/>
    <x v="4"/>
    <x v="0"/>
    <x v="5"/>
    <n v="0"/>
  </r>
  <r>
    <x v="0"/>
    <x v="0"/>
    <x v="0"/>
    <x v="20"/>
    <x v="4"/>
    <x v="0"/>
    <x v="6"/>
    <n v="0"/>
  </r>
  <r>
    <x v="0"/>
    <x v="0"/>
    <x v="0"/>
    <x v="20"/>
    <x v="4"/>
    <x v="0"/>
    <x v="7"/>
    <n v="0"/>
  </r>
  <r>
    <x v="0"/>
    <x v="0"/>
    <x v="0"/>
    <x v="20"/>
    <x v="4"/>
    <x v="0"/>
    <x v="8"/>
    <n v="0"/>
  </r>
  <r>
    <x v="0"/>
    <x v="0"/>
    <x v="0"/>
    <x v="20"/>
    <x v="4"/>
    <x v="0"/>
    <x v="9"/>
    <n v="0"/>
  </r>
  <r>
    <x v="0"/>
    <x v="0"/>
    <x v="0"/>
    <x v="20"/>
    <x v="4"/>
    <x v="0"/>
    <x v="10"/>
    <n v="0"/>
  </r>
  <r>
    <x v="0"/>
    <x v="0"/>
    <x v="0"/>
    <x v="20"/>
    <x v="4"/>
    <x v="0"/>
    <x v="11"/>
    <n v="0"/>
  </r>
  <r>
    <x v="0"/>
    <x v="0"/>
    <x v="0"/>
    <x v="20"/>
    <x v="4"/>
    <x v="0"/>
    <x v="12"/>
    <n v="0"/>
  </r>
  <r>
    <x v="0"/>
    <x v="0"/>
    <x v="0"/>
    <x v="20"/>
    <x v="4"/>
    <x v="0"/>
    <x v="13"/>
    <n v="0"/>
  </r>
  <r>
    <x v="0"/>
    <x v="0"/>
    <x v="0"/>
    <x v="20"/>
    <x v="4"/>
    <x v="0"/>
    <x v="14"/>
    <n v="0"/>
  </r>
  <r>
    <x v="0"/>
    <x v="0"/>
    <x v="0"/>
    <x v="20"/>
    <x v="4"/>
    <x v="0"/>
    <x v="15"/>
    <n v="0"/>
  </r>
  <r>
    <x v="0"/>
    <x v="0"/>
    <x v="0"/>
    <x v="20"/>
    <x v="4"/>
    <x v="0"/>
    <x v="16"/>
    <n v="0"/>
  </r>
  <r>
    <x v="0"/>
    <x v="0"/>
    <x v="0"/>
    <x v="20"/>
    <x v="4"/>
    <x v="0"/>
    <x v="17"/>
    <n v="0"/>
  </r>
  <r>
    <x v="0"/>
    <x v="0"/>
    <x v="0"/>
    <x v="20"/>
    <x v="4"/>
    <x v="0"/>
    <x v="18"/>
    <n v="0"/>
  </r>
  <r>
    <x v="0"/>
    <x v="0"/>
    <x v="0"/>
    <x v="20"/>
    <x v="4"/>
    <x v="0"/>
    <x v="19"/>
    <n v="0"/>
  </r>
  <r>
    <x v="0"/>
    <x v="0"/>
    <x v="0"/>
    <x v="20"/>
    <x v="4"/>
    <x v="0"/>
    <x v="20"/>
    <n v="0"/>
  </r>
  <r>
    <x v="0"/>
    <x v="0"/>
    <x v="0"/>
    <x v="20"/>
    <x v="4"/>
    <x v="0"/>
    <x v="21"/>
    <n v="0"/>
  </r>
  <r>
    <x v="0"/>
    <x v="0"/>
    <x v="0"/>
    <x v="20"/>
    <x v="4"/>
    <x v="0"/>
    <x v="22"/>
    <n v="0"/>
  </r>
  <r>
    <x v="0"/>
    <x v="0"/>
    <x v="0"/>
    <x v="20"/>
    <x v="4"/>
    <x v="0"/>
    <x v="23"/>
    <n v="0"/>
  </r>
  <r>
    <x v="0"/>
    <x v="0"/>
    <x v="0"/>
    <x v="20"/>
    <x v="10"/>
    <x v="0"/>
    <x v="0"/>
    <n v="-2.0600078981282102"/>
  </r>
  <r>
    <x v="0"/>
    <x v="0"/>
    <x v="0"/>
    <x v="20"/>
    <x v="10"/>
    <x v="0"/>
    <x v="1"/>
    <n v="-2.0302169028674801"/>
  </r>
  <r>
    <x v="0"/>
    <x v="0"/>
    <x v="0"/>
    <x v="20"/>
    <x v="10"/>
    <x v="0"/>
    <x v="2"/>
    <n v="-2.0086727390319301"/>
  </r>
  <r>
    <x v="0"/>
    <x v="0"/>
    <x v="0"/>
    <x v="20"/>
    <x v="10"/>
    <x v="0"/>
    <x v="3"/>
    <n v="-1.9316880784960699"/>
  </r>
  <r>
    <x v="0"/>
    <x v="0"/>
    <x v="0"/>
    <x v="20"/>
    <x v="10"/>
    <x v="0"/>
    <x v="4"/>
    <n v="-1.98010284252805"/>
  </r>
  <r>
    <x v="0"/>
    <x v="0"/>
    <x v="0"/>
    <x v="20"/>
    <x v="10"/>
    <x v="0"/>
    <x v="5"/>
    <n v="-2.3848970225539401"/>
  </r>
  <r>
    <x v="0"/>
    <x v="0"/>
    <x v="0"/>
    <x v="20"/>
    <x v="10"/>
    <x v="0"/>
    <x v="6"/>
    <n v="-2.3757442758373002"/>
  </r>
  <r>
    <x v="0"/>
    <x v="0"/>
    <x v="0"/>
    <x v="20"/>
    <x v="10"/>
    <x v="0"/>
    <x v="7"/>
    <n v="-3.2692699859848502"/>
  </r>
  <r>
    <x v="0"/>
    <x v="0"/>
    <x v="0"/>
    <x v="20"/>
    <x v="10"/>
    <x v="0"/>
    <x v="8"/>
    <n v="-3.3706596034910601"/>
  </r>
  <r>
    <x v="0"/>
    <x v="0"/>
    <x v="0"/>
    <x v="20"/>
    <x v="10"/>
    <x v="0"/>
    <x v="9"/>
    <n v="-3.3181254925752199"/>
  </r>
  <r>
    <x v="0"/>
    <x v="0"/>
    <x v="0"/>
    <x v="20"/>
    <x v="10"/>
    <x v="0"/>
    <x v="10"/>
    <n v="-2.5691131154669402"/>
  </r>
  <r>
    <x v="0"/>
    <x v="0"/>
    <x v="0"/>
    <x v="20"/>
    <x v="10"/>
    <x v="0"/>
    <x v="11"/>
    <n v="-2.2652368092286199"/>
  </r>
  <r>
    <x v="0"/>
    <x v="0"/>
    <x v="0"/>
    <x v="20"/>
    <x v="10"/>
    <x v="0"/>
    <x v="12"/>
    <n v="-2.6559067824295099"/>
  </r>
  <r>
    <x v="0"/>
    <x v="0"/>
    <x v="0"/>
    <x v="20"/>
    <x v="10"/>
    <x v="0"/>
    <x v="13"/>
    <n v="-2.93886114723297"/>
  </r>
  <r>
    <x v="0"/>
    <x v="0"/>
    <x v="0"/>
    <x v="20"/>
    <x v="10"/>
    <x v="0"/>
    <x v="14"/>
    <n v="-2.2873986752501101"/>
  </r>
  <r>
    <x v="0"/>
    <x v="0"/>
    <x v="0"/>
    <x v="20"/>
    <x v="10"/>
    <x v="0"/>
    <x v="15"/>
    <n v="-2.61813547331103"/>
  </r>
  <r>
    <x v="0"/>
    <x v="0"/>
    <x v="0"/>
    <x v="20"/>
    <x v="10"/>
    <x v="0"/>
    <x v="16"/>
    <n v="-2.3238084658968701"/>
  </r>
  <r>
    <x v="0"/>
    <x v="0"/>
    <x v="0"/>
    <x v="20"/>
    <x v="10"/>
    <x v="0"/>
    <x v="17"/>
    <n v="-2.5481531029587998"/>
  </r>
  <r>
    <x v="0"/>
    <x v="0"/>
    <x v="0"/>
    <x v="20"/>
    <x v="10"/>
    <x v="0"/>
    <x v="18"/>
    <n v="-2.1142788277141702"/>
  </r>
  <r>
    <x v="0"/>
    <x v="0"/>
    <x v="0"/>
    <x v="20"/>
    <x v="10"/>
    <x v="0"/>
    <x v="19"/>
    <n v="-1.9888838944128699"/>
  </r>
  <r>
    <x v="0"/>
    <x v="0"/>
    <x v="0"/>
    <x v="20"/>
    <x v="10"/>
    <x v="0"/>
    <x v="20"/>
    <n v="-1.5882397986565899"/>
  </r>
  <r>
    <x v="0"/>
    <x v="0"/>
    <x v="0"/>
    <x v="20"/>
    <x v="10"/>
    <x v="0"/>
    <x v="21"/>
    <n v="-1.5949062833012999"/>
  </r>
  <r>
    <x v="0"/>
    <x v="0"/>
    <x v="0"/>
    <x v="20"/>
    <x v="10"/>
    <x v="0"/>
    <x v="22"/>
    <n v="-0.616763382886372"/>
  </r>
  <r>
    <x v="0"/>
    <x v="0"/>
    <x v="0"/>
    <x v="20"/>
    <x v="10"/>
    <x v="0"/>
    <x v="23"/>
    <n v="-0.95474941519406398"/>
  </r>
  <r>
    <x v="0"/>
    <x v="0"/>
    <x v="0"/>
    <x v="21"/>
    <x v="6"/>
    <x v="0"/>
    <x v="0"/>
    <n v="0"/>
  </r>
  <r>
    <x v="0"/>
    <x v="0"/>
    <x v="0"/>
    <x v="21"/>
    <x v="6"/>
    <x v="0"/>
    <x v="1"/>
    <n v="0"/>
  </r>
  <r>
    <x v="0"/>
    <x v="0"/>
    <x v="0"/>
    <x v="21"/>
    <x v="6"/>
    <x v="0"/>
    <x v="2"/>
    <n v="0"/>
  </r>
  <r>
    <x v="0"/>
    <x v="0"/>
    <x v="0"/>
    <x v="21"/>
    <x v="6"/>
    <x v="0"/>
    <x v="3"/>
    <n v="0"/>
  </r>
  <r>
    <x v="0"/>
    <x v="0"/>
    <x v="0"/>
    <x v="21"/>
    <x v="6"/>
    <x v="0"/>
    <x v="4"/>
    <n v="0"/>
  </r>
  <r>
    <x v="0"/>
    <x v="0"/>
    <x v="0"/>
    <x v="21"/>
    <x v="6"/>
    <x v="0"/>
    <x v="5"/>
    <n v="0"/>
  </r>
  <r>
    <x v="0"/>
    <x v="0"/>
    <x v="0"/>
    <x v="21"/>
    <x v="6"/>
    <x v="0"/>
    <x v="6"/>
    <n v="0"/>
  </r>
  <r>
    <x v="0"/>
    <x v="0"/>
    <x v="0"/>
    <x v="21"/>
    <x v="6"/>
    <x v="0"/>
    <x v="7"/>
    <n v="0"/>
  </r>
  <r>
    <x v="0"/>
    <x v="0"/>
    <x v="0"/>
    <x v="21"/>
    <x v="6"/>
    <x v="0"/>
    <x v="8"/>
    <n v="0"/>
  </r>
  <r>
    <x v="0"/>
    <x v="0"/>
    <x v="0"/>
    <x v="21"/>
    <x v="6"/>
    <x v="0"/>
    <x v="9"/>
    <n v="0"/>
  </r>
  <r>
    <x v="0"/>
    <x v="0"/>
    <x v="0"/>
    <x v="21"/>
    <x v="6"/>
    <x v="0"/>
    <x v="10"/>
    <n v="0"/>
  </r>
  <r>
    <x v="0"/>
    <x v="0"/>
    <x v="0"/>
    <x v="21"/>
    <x v="6"/>
    <x v="0"/>
    <x v="11"/>
    <n v="0"/>
  </r>
  <r>
    <x v="0"/>
    <x v="0"/>
    <x v="0"/>
    <x v="21"/>
    <x v="6"/>
    <x v="0"/>
    <x v="12"/>
    <n v="0"/>
  </r>
  <r>
    <x v="0"/>
    <x v="0"/>
    <x v="0"/>
    <x v="21"/>
    <x v="6"/>
    <x v="0"/>
    <x v="13"/>
    <n v="0"/>
  </r>
  <r>
    <x v="0"/>
    <x v="0"/>
    <x v="0"/>
    <x v="21"/>
    <x v="6"/>
    <x v="0"/>
    <x v="14"/>
    <n v="0"/>
  </r>
  <r>
    <x v="0"/>
    <x v="0"/>
    <x v="0"/>
    <x v="21"/>
    <x v="6"/>
    <x v="0"/>
    <x v="15"/>
    <n v="0"/>
  </r>
  <r>
    <x v="0"/>
    <x v="0"/>
    <x v="0"/>
    <x v="21"/>
    <x v="6"/>
    <x v="0"/>
    <x v="16"/>
    <n v="0"/>
  </r>
  <r>
    <x v="0"/>
    <x v="0"/>
    <x v="0"/>
    <x v="21"/>
    <x v="6"/>
    <x v="0"/>
    <x v="17"/>
    <n v="0"/>
  </r>
  <r>
    <x v="0"/>
    <x v="0"/>
    <x v="0"/>
    <x v="21"/>
    <x v="6"/>
    <x v="0"/>
    <x v="18"/>
    <n v="0"/>
  </r>
  <r>
    <x v="0"/>
    <x v="0"/>
    <x v="0"/>
    <x v="21"/>
    <x v="6"/>
    <x v="0"/>
    <x v="19"/>
    <n v="0"/>
  </r>
  <r>
    <x v="0"/>
    <x v="0"/>
    <x v="0"/>
    <x v="21"/>
    <x v="6"/>
    <x v="0"/>
    <x v="20"/>
    <n v="0"/>
  </r>
  <r>
    <x v="0"/>
    <x v="0"/>
    <x v="0"/>
    <x v="21"/>
    <x v="6"/>
    <x v="0"/>
    <x v="21"/>
    <n v="0"/>
  </r>
  <r>
    <x v="0"/>
    <x v="0"/>
    <x v="0"/>
    <x v="21"/>
    <x v="6"/>
    <x v="0"/>
    <x v="22"/>
    <n v="0"/>
  </r>
  <r>
    <x v="0"/>
    <x v="0"/>
    <x v="0"/>
    <x v="21"/>
    <x v="6"/>
    <x v="0"/>
    <x v="23"/>
    <n v="0"/>
  </r>
  <r>
    <x v="0"/>
    <x v="0"/>
    <x v="0"/>
    <x v="21"/>
    <x v="9"/>
    <x v="0"/>
    <x v="0"/>
    <n v="-0.9"/>
  </r>
  <r>
    <x v="0"/>
    <x v="0"/>
    <x v="0"/>
    <x v="21"/>
    <x v="9"/>
    <x v="0"/>
    <x v="1"/>
    <n v="-0.9"/>
  </r>
  <r>
    <x v="0"/>
    <x v="0"/>
    <x v="0"/>
    <x v="21"/>
    <x v="9"/>
    <x v="0"/>
    <x v="2"/>
    <n v="-0.9"/>
  </r>
  <r>
    <x v="0"/>
    <x v="0"/>
    <x v="0"/>
    <x v="21"/>
    <x v="9"/>
    <x v="0"/>
    <x v="3"/>
    <n v="-0.9"/>
  </r>
  <r>
    <x v="0"/>
    <x v="0"/>
    <x v="0"/>
    <x v="21"/>
    <x v="9"/>
    <x v="0"/>
    <x v="4"/>
    <n v="-0.9"/>
  </r>
  <r>
    <x v="0"/>
    <x v="0"/>
    <x v="0"/>
    <x v="21"/>
    <x v="9"/>
    <x v="0"/>
    <x v="5"/>
    <n v="-0.57969587264719602"/>
  </r>
  <r>
    <x v="0"/>
    <x v="0"/>
    <x v="0"/>
    <x v="21"/>
    <x v="9"/>
    <x v="0"/>
    <x v="6"/>
    <n v="-0.115375418947918"/>
  </r>
  <r>
    <x v="0"/>
    <x v="0"/>
    <x v="0"/>
    <x v="21"/>
    <x v="9"/>
    <x v="0"/>
    <x v="7"/>
    <n v="-0.9"/>
  </r>
  <r>
    <x v="0"/>
    <x v="0"/>
    <x v="0"/>
    <x v="21"/>
    <x v="9"/>
    <x v="0"/>
    <x v="8"/>
    <n v="0.51967542257251897"/>
  </r>
  <r>
    <x v="0"/>
    <x v="0"/>
    <x v="0"/>
    <x v="21"/>
    <x v="9"/>
    <x v="0"/>
    <x v="9"/>
    <n v="0.75164021621101795"/>
  </r>
  <r>
    <x v="0"/>
    <x v="0"/>
    <x v="0"/>
    <x v="21"/>
    <x v="9"/>
    <x v="0"/>
    <x v="10"/>
    <n v="0.54211372025968896"/>
  </r>
  <r>
    <x v="0"/>
    <x v="0"/>
    <x v="0"/>
    <x v="21"/>
    <x v="9"/>
    <x v="0"/>
    <x v="11"/>
    <n v="0.51064611303026297"/>
  </r>
  <r>
    <x v="0"/>
    <x v="0"/>
    <x v="0"/>
    <x v="21"/>
    <x v="9"/>
    <x v="0"/>
    <x v="12"/>
    <n v="0.180661961433184"/>
  </r>
  <r>
    <x v="0"/>
    <x v="0"/>
    <x v="0"/>
    <x v="21"/>
    <x v="9"/>
    <x v="0"/>
    <x v="13"/>
    <n v="0.279566926583318"/>
  </r>
  <r>
    <x v="0"/>
    <x v="0"/>
    <x v="0"/>
    <x v="21"/>
    <x v="9"/>
    <x v="0"/>
    <x v="14"/>
    <n v="0.12668894639074099"/>
  </r>
  <r>
    <x v="0"/>
    <x v="0"/>
    <x v="0"/>
    <x v="21"/>
    <x v="9"/>
    <x v="0"/>
    <x v="15"/>
    <n v="0.18539072561273801"/>
  </r>
  <r>
    <x v="0"/>
    <x v="0"/>
    <x v="0"/>
    <x v="21"/>
    <x v="9"/>
    <x v="0"/>
    <x v="16"/>
    <n v="0.74813443968140203"/>
  </r>
  <r>
    <x v="0"/>
    <x v="0"/>
    <x v="0"/>
    <x v="21"/>
    <x v="9"/>
    <x v="0"/>
    <x v="17"/>
    <n v="0.9"/>
  </r>
  <r>
    <x v="0"/>
    <x v="0"/>
    <x v="0"/>
    <x v="21"/>
    <x v="9"/>
    <x v="0"/>
    <x v="18"/>
    <n v="0.9"/>
  </r>
  <r>
    <x v="0"/>
    <x v="0"/>
    <x v="0"/>
    <x v="21"/>
    <x v="9"/>
    <x v="0"/>
    <x v="19"/>
    <n v="0.56532861492505904"/>
  </r>
  <r>
    <x v="0"/>
    <x v="0"/>
    <x v="0"/>
    <x v="21"/>
    <x v="9"/>
    <x v="0"/>
    <x v="20"/>
    <n v="3.6396331295567498E-2"/>
  </r>
  <r>
    <x v="0"/>
    <x v="0"/>
    <x v="0"/>
    <x v="21"/>
    <x v="9"/>
    <x v="0"/>
    <x v="21"/>
    <n v="-0.86299122703468401"/>
  </r>
  <r>
    <x v="0"/>
    <x v="0"/>
    <x v="0"/>
    <x v="21"/>
    <x v="9"/>
    <x v="0"/>
    <x v="22"/>
    <n v="-0.9"/>
  </r>
  <r>
    <x v="0"/>
    <x v="0"/>
    <x v="0"/>
    <x v="21"/>
    <x v="9"/>
    <x v="0"/>
    <x v="23"/>
    <n v="-0.9"/>
  </r>
  <r>
    <x v="0"/>
    <x v="0"/>
    <x v="0"/>
    <x v="21"/>
    <x v="7"/>
    <x v="0"/>
    <x v="0"/>
    <n v="0"/>
  </r>
  <r>
    <x v="0"/>
    <x v="0"/>
    <x v="0"/>
    <x v="21"/>
    <x v="7"/>
    <x v="0"/>
    <x v="1"/>
    <n v="0"/>
  </r>
  <r>
    <x v="0"/>
    <x v="0"/>
    <x v="0"/>
    <x v="21"/>
    <x v="7"/>
    <x v="0"/>
    <x v="2"/>
    <n v="0"/>
  </r>
  <r>
    <x v="0"/>
    <x v="0"/>
    <x v="0"/>
    <x v="21"/>
    <x v="7"/>
    <x v="0"/>
    <x v="3"/>
    <n v="0"/>
  </r>
  <r>
    <x v="0"/>
    <x v="0"/>
    <x v="0"/>
    <x v="21"/>
    <x v="7"/>
    <x v="0"/>
    <x v="4"/>
    <n v="0"/>
  </r>
  <r>
    <x v="0"/>
    <x v="0"/>
    <x v="0"/>
    <x v="21"/>
    <x v="7"/>
    <x v="0"/>
    <x v="5"/>
    <n v="0"/>
  </r>
  <r>
    <x v="0"/>
    <x v="0"/>
    <x v="0"/>
    <x v="21"/>
    <x v="7"/>
    <x v="0"/>
    <x v="6"/>
    <n v="0"/>
  </r>
  <r>
    <x v="0"/>
    <x v="0"/>
    <x v="0"/>
    <x v="21"/>
    <x v="7"/>
    <x v="0"/>
    <x v="7"/>
    <n v="0"/>
  </r>
  <r>
    <x v="0"/>
    <x v="0"/>
    <x v="0"/>
    <x v="21"/>
    <x v="7"/>
    <x v="0"/>
    <x v="8"/>
    <n v="0"/>
  </r>
  <r>
    <x v="0"/>
    <x v="0"/>
    <x v="0"/>
    <x v="21"/>
    <x v="7"/>
    <x v="0"/>
    <x v="9"/>
    <n v="0"/>
  </r>
  <r>
    <x v="0"/>
    <x v="0"/>
    <x v="0"/>
    <x v="21"/>
    <x v="7"/>
    <x v="0"/>
    <x v="10"/>
    <n v="0"/>
  </r>
  <r>
    <x v="0"/>
    <x v="0"/>
    <x v="0"/>
    <x v="21"/>
    <x v="7"/>
    <x v="0"/>
    <x v="11"/>
    <n v="0"/>
  </r>
  <r>
    <x v="0"/>
    <x v="0"/>
    <x v="0"/>
    <x v="21"/>
    <x v="7"/>
    <x v="0"/>
    <x v="12"/>
    <n v="0"/>
  </r>
  <r>
    <x v="0"/>
    <x v="0"/>
    <x v="0"/>
    <x v="21"/>
    <x v="7"/>
    <x v="0"/>
    <x v="13"/>
    <n v="0"/>
  </r>
  <r>
    <x v="0"/>
    <x v="0"/>
    <x v="0"/>
    <x v="21"/>
    <x v="7"/>
    <x v="0"/>
    <x v="14"/>
    <n v="0"/>
  </r>
  <r>
    <x v="0"/>
    <x v="0"/>
    <x v="0"/>
    <x v="21"/>
    <x v="7"/>
    <x v="0"/>
    <x v="15"/>
    <n v="0"/>
  </r>
  <r>
    <x v="0"/>
    <x v="0"/>
    <x v="0"/>
    <x v="21"/>
    <x v="7"/>
    <x v="0"/>
    <x v="16"/>
    <n v="0"/>
  </r>
  <r>
    <x v="0"/>
    <x v="0"/>
    <x v="0"/>
    <x v="21"/>
    <x v="7"/>
    <x v="0"/>
    <x v="17"/>
    <n v="0"/>
  </r>
  <r>
    <x v="0"/>
    <x v="0"/>
    <x v="0"/>
    <x v="21"/>
    <x v="7"/>
    <x v="0"/>
    <x v="18"/>
    <n v="0"/>
  </r>
  <r>
    <x v="0"/>
    <x v="0"/>
    <x v="0"/>
    <x v="21"/>
    <x v="7"/>
    <x v="0"/>
    <x v="19"/>
    <n v="0"/>
  </r>
  <r>
    <x v="0"/>
    <x v="0"/>
    <x v="0"/>
    <x v="21"/>
    <x v="7"/>
    <x v="0"/>
    <x v="20"/>
    <n v="0"/>
  </r>
  <r>
    <x v="0"/>
    <x v="0"/>
    <x v="0"/>
    <x v="21"/>
    <x v="7"/>
    <x v="0"/>
    <x v="21"/>
    <n v="0"/>
  </r>
  <r>
    <x v="0"/>
    <x v="0"/>
    <x v="0"/>
    <x v="21"/>
    <x v="7"/>
    <x v="0"/>
    <x v="22"/>
    <n v="0"/>
  </r>
  <r>
    <x v="0"/>
    <x v="0"/>
    <x v="0"/>
    <x v="21"/>
    <x v="7"/>
    <x v="0"/>
    <x v="23"/>
    <n v="0"/>
  </r>
</pivotCacheRecords>
</file>

<file path=xl/pivotCache/pivotCacheRecords7.xml><?xml version="1.0" encoding="utf-8"?>
<pivotCacheRecords xmlns="http://schemas.openxmlformats.org/spreadsheetml/2006/main" xmlns:r="http://schemas.openxmlformats.org/officeDocument/2006/relationships" count="11">
  <r>
    <x v="0"/>
    <x v="0"/>
    <x v="0"/>
    <x v="0"/>
    <x v="0"/>
    <x v="0"/>
    <x v="0"/>
    <x v="0"/>
  </r>
  <r>
    <x v="0"/>
    <x v="0"/>
    <x v="0"/>
    <x v="1"/>
    <x v="1"/>
    <x v="1"/>
    <x v="0"/>
    <x v="1"/>
  </r>
  <r>
    <x v="0"/>
    <x v="0"/>
    <x v="0"/>
    <x v="2"/>
    <x v="2"/>
    <x v="2"/>
    <x v="0"/>
    <x v="2"/>
  </r>
  <r>
    <x v="0"/>
    <x v="0"/>
    <x v="0"/>
    <x v="2"/>
    <x v="3"/>
    <x v="3"/>
    <x v="0"/>
    <x v="3"/>
  </r>
  <r>
    <x v="0"/>
    <x v="0"/>
    <x v="0"/>
    <x v="2"/>
    <x v="4"/>
    <x v="4"/>
    <x v="0"/>
    <x v="4"/>
  </r>
  <r>
    <x v="0"/>
    <x v="0"/>
    <x v="0"/>
    <x v="2"/>
    <x v="5"/>
    <x v="5"/>
    <x v="0"/>
    <x v="5"/>
  </r>
  <r>
    <x v="0"/>
    <x v="0"/>
    <x v="0"/>
    <x v="3"/>
    <x v="6"/>
    <x v="6"/>
    <x v="0"/>
    <x v="6"/>
  </r>
  <r>
    <x v="0"/>
    <x v="0"/>
    <x v="0"/>
    <x v="3"/>
    <x v="7"/>
    <x v="7"/>
    <x v="0"/>
    <x v="7"/>
  </r>
  <r>
    <x v="0"/>
    <x v="0"/>
    <x v="0"/>
    <x v="3"/>
    <x v="8"/>
    <x v="8"/>
    <x v="0"/>
    <x v="8"/>
  </r>
  <r>
    <x v="0"/>
    <x v="0"/>
    <x v="0"/>
    <x v="3"/>
    <x v="9"/>
    <x v="9"/>
    <x v="0"/>
    <x v="9"/>
  </r>
  <r>
    <x v="0"/>
    <x v="0"/>
    <x v="0"/>
    <x v="3"/>
    <x v="10"/>
    <x v="10"/>
    <x v="0"/>
    <x v="10"/>
  </r>
</pivotCacheRecords>
</file>

<file path=xl/pivotCache/pivotCacheRecords8.xml><?xml version="1.0" encoding="utf-8"?>
<pivotCacheRecords xmlns="http://schemas.openxmlformats.org/spreadsheetml/2006/main" xmlns:r="http://schemas.openxmlformats.org/officeDocument/2006/relationships" count="1224">
  <r>
    <x v="0"/>
    <x v="0"/>
    <x v="0"/>
    <x v="0"/>
    <x v="0"/>
    <s v="DK1_Large"/>
    <x v="0"/>
    <x v="0"/>
    <n v="2484.1524138670202"/>
    <n v="8942.9486899212607"/>
  </r>
  <r>
    <x v="0"/>
    <x v="0"/>
    <x v="0"/>
    <x v="0"/>
    <x v="0"/>
    <s v="DK1_Large"/>
    <x v="0"/>
    <x v="1"/>
    <n v="3495.8538486208899"/>
    <n v="12585.0738550352"/>
  </r>
  <r>
    <x v="0"/>
    <x v="0"/>
    <x v="0"/>
    <x v="0"/>
    <x v="0"/>
    <s v="DK1_Large"/>
    <x v="0"/>
    <x v="2"/>
    <n v="4507.5552833747697"/>
    <n v="16227.199020149201"/>
  </r>
  <r>
    <x v="0"/>
    <x v="0"/>
    <x v="0"/>
    <x v="0"/>
    <x v="0"/>
    <s v="DK1_Large"/>
    <x v="0"/>
    <x v="3"/>
    <n v="5519.2567181286404"/>
    <n v="19869.3241852631"/>
  </r>
  <r>
    <x v="0"/>
    <x v="0"/>
    <x v="0"/>
    <x v="0"/>
    <x v="0"/>
    <s v="DK1_Large"/>
    <x v="0"/>
    <x v="4"/>
    <n v="6530.9581528825202"/>
    <n v="23511.449350377101"/>
  </r>
  <r>
    <x v="0"/>
    <x v="0"/>
    <x v="0"/>
    <x v="0"/>
    <x v="0"/>
    <s v="DK1_Large"/>
    <x v="0"/>
    <x v="5"/>
    <n v="7542.6595876363899"/>
    <n v="27153.574515491"/>
  </r>
  <r>
    <x v="0"/>
    <x v="0"/>
    <x v="0"/>
    <x v="0"/>
    <x v="0"/>
    <s v="DK1_Large"/>
    <x v="0"/>
    <x v="6"/>
    <n v="8554.3610223902706"/>
    <n v="30795.699680605001"/>
  </r>
  <r>
    <x v="0"/>
    <x v="0"/>
    <x v="0"/>
    <x v="0"/>
    <x v="0"/>
    <s v="DK1_Large"/>
    <x v="0"/>
    <x v="7"/>
    <n v="9566.0624571441404"/>
    <n v="34437.824845718897"/>
  </r>
  <r>
    <x v="0"/>
    <x v="0"/>
    <x v="0"/>
    <x v="0"/>
    <x v="0"/>
    <s v="DK1_Large"/>
    <x v="0"/>
    <x v="8"/>
    <n v="6540.5629897750596"/>
    <n v="23546.026763190199"/>
  </r>
  <r>
    <x v="0"/>
    <x v="0"/>
    <x v="0"/>
    <x v="0"/>
    <x v="0"/>
    <s v="DK1_Large"/>
    <x v="0"/>
    <x v="9"/>
    <n v="0"/>
    <n v="0"/>
  </r>
  <r>
    <x v="0"/>
    <x v="0"/>
    <x v="0"/>
    <x v="0"/>
    <x v="0"/>
    <s v="DK1_Large"/>
    <x v="0"/>
    <x v="10"/>
    <n v="0"/>
    <n v="0"/>
  </r>
  <r>
    <x v="0"/>
    <x v="0"/>
    <x v="0"/>
    <x v="0"/>
    <x v="0"/>
    <s v="DK1_Large"/>
    <x v="0"/>
    <x v="11"/>
    <n v="0"/>
    <n v="0"/>
  </r>
  <r>
    <x v="0"/>
    <x v="0"/>
    <x v="0"/>
    <x v="0"/>
    <x v="0"/>
    <s v="DK1_Large"/>
    <x v="0"/>
    <x v="12"/>
    <n v="460.74954435926497"/>
    <n v="1658.6983596933501"/>
  </r>
  <r>
    <x v="0"/>
    <x v="0"/>
    <x v="0"/>
    <x v="0"/>
    <x v="0"/>
    <s v="DK1_Large"/>
    <x v="0"/>
    <x v="13"/>
    <n v="1472.45097911314"/>
    <n v="5300.8235248073097"/>
  </r>
  <r>
    <x v="0"/>
    <x v="0"/>
    <x v="0"/>
    <x v="0"/>
    <x v="0"/>
    <s v="DK1_Large"/>
    <x v="0"/>
    <x v="14"/>
    <n v="2484.1524138670202"/>
    <n v="8942.9486899212607"/>
  </r>
  <r>
    <x v="0"/>
    <x v="0"/>
    <x v="0"/>
    <x v="0"/>
    <x v="0"/>
    <s v="DK1_Large"/>
    <x v="0"/>
    <x v="15"/>
    <n v="3495.8538486208899"/>
    <n v="12585.0738550352"/>
  </r>
  <r>
    <x v="0"/>
    <x v="0"/>
    <x v="0"/>
    <x v="0"/>
    <x v="0"/>
    <s v="DK1_Large"/>
    <x v="0"/>
    <x v="16"/>
    <n v="4507.5552833747697"/>
    <n v="16227.199020149201"/>
  </r>
  <r>
    <x v="0"/>
    <x v="0"/>
    <x v="0"/>
    <x v="0"/>
    <x v="0"/>
    <s v="DK1_Large"/>
    <x v="0"/>
    <x v="17"/>
    <n v="5519.2567181286404"/>
    <n v="19869.3241852631"/>
  </r>
  <r>
    <x v="0"/>
    <x v="0"/>
    <x v="0"/>
    <x v="0"/>
    <x v="0"/>
    <s v="DK1_Large"/>
    <x v="0"/>
    <x v="18"/>
    <n v="6530.9581528825202"/>
    <n v="23511.449350377101"/>
  </r>
  <r>
    <x v="0"/>
    <x v="0"/>
    <x v="0"/>
    <x v="0"/>
    <x v="0"/>
    <s v="DK1_Large"/>
    <x v="0"/>
    <x v="19"/>
    <n v="7542.6595876363899"/>
    <n v="27153.574515491"/>
  </r>
  <r>
    <x v="0"/>
    <x v="0"/>
    <x v="0"/>
    <x v="0"/>
    <x v="0"/>
    <s v="DK1_Large"/>
    <x v="0"/>
    <x v="20"/>
    <n v="8554.3610223902706"/>
    <n v="30795.699680605001"/>
  </r>
  <r>
    <x v="0"/>
    <x v="0"/>
    <x v="0"/>
    <x v="0"/>
    <x v="0"/>
    <s v="DK1_Large"/>
    <x v="0"/>
    <x v="21"/>
    <n v="9566.0624571441404"/>
    <n v="34437.824845718897"/>
  </r>
  <r>
    <x v="0"/>
    <x v="0"/>
    <x v="0"/>
    <x v="0"/>
    <x v="0"/>
    <s v="DK1_Large"/>
    <x v="0"/>
    <x v="22"/>
    <n v="6877.3928091538701"/>
    <n v="24758.614112953899"/>
  </r>
  <r>
    <x v="0"/>
    <x v="0"/>
    <x v="0"/>
    <x v="0"/>
    <x v="0"/>
    <s v="DK1_Large"/>
    <x v="0"/>
    <x v="23"/>
    <n v="4538.4029735928298"/>
    <n v="16338.2507049342"/>
  </r>
  <r>
    <x v="0"/>
    <x v="0"/>
    <x v="0"/>
    <x v="0"/>
    <x v="0"/>
    <s v="DK1_MedSmall"/>
    <x v="0"/>
    <x v="0"/>
    <n v="450.24450293722401"/>
    <n v="1620.8802105740101"/>
  </r>
  <r>
    <x v="0"/>
    <x v="0"/>
    <x v="0"/>
    <x v="0"/>
    <x v="0"/>
    <s v="DK1_MedSmall"/>
    <x v="0"/>
    <x v="1"/>
    <n v="600.32600391629899"/>
    <n v="2161.17361409868"/>
  </r>
  <r>
    <x v="0"/>
    <x v="0"/>
    <x v="0"/>
    <x v="0"/>
    <x v="0"/>
    <s v="DK1_MedSmall"/>
    <x v="0"/>
    <x v="2"/>
    <n v="750.40750489537402"/>
    <n v="2701.4670176233499"/>
  </r>
  <r>
    <x v="0"/>
    <x v="0"/>
    <x v="0"/>
    <x v="0"/>
    <x v="0"/>
    <s v="DK1_MedSmall"/>
    <x v="0"/>
    <x v="3"/>
    <n v="900.48900587444905"/>
    <n v="3241.7604211480202"/>
  </r>
  <r>
    <x v="0"/>
    <x v="0"/>
    <x v="0"/>
    <x v="0"/>
    <x v="0"/>
    <s v="DK1_MedSmall"/>
    <x v="0"/>
    <x v="4"/>
    <n v="1050.5705068535201"/>
    <n v="3782.0538246726801"/>
  </r>
  <r>
    <x v="0"/>
    <x v="0"/>
    <x v="0"/>
    <x v="0"/>
    <x v="0"/>
    <s v="DK1_MedSmall"/>
    <x v="0"/>
    <x v="5"/>
    <n v="1200.6520078326"/>
    <n v="4322.34722819735"/>
  </r>
  <r>
    <x v="0"/>
    <x v="0"/>
    <x v="0"/>
    <x v="0"/>
    <x v="0"/>
    <s v="DK1_MedSmall"/>
    <x v="0"/>
    <x v="6"/>
    <n v="1350.7335088116699"/>
    <n v="4862.6406317220199"/>
  </r>
  <r>
    <x v="0"/>
    <x v="0"/>
    <x v="0"/>
    <x v="0"/>
    <x v="0"/>
    <s v="DK1_MedSmall"/>
    <x v="0"/>
    <x v="7"/>
    <n v="1422.31906019183"/>
    <n v="5120.3486166905996"/>
  </r>
  <r>
    <x v="0"/>
    <x v="0"/>
    <x v="0"/>
    <x v="0"/>
    <x v="0"/>
    <s v="DK1_MedSmall"/>
    <x v="0"/>
    <x v="8"/>
    <n v="1526.0196220380301"/>
    <n v="5493.6706393369104"/>
  </r>
  <r>
    <x v="0"/>
    <x v="0"/>
    <x v="0"/>
    <x v="0"/>
    <x v="0"/>
    <s v="DK1_MedSmall"/>
    <x v="0"/>
    <x v="9"/>
    <n v="1593.24017994153"/>
    <n v="5735.6646477895001"/>
  </r>
  <r>
    <x v="0"/>
    <x v="0"/>
    <x v="0"/>
    <x v="0"/>
    <x v="0"/>
    <s v="DK1_MedSmall"/>
    <x v="0"/>
    <x v="10"/>
    <n v="1665.13766142742"/>
    <n v="5994.4955811387299"/>
  </r>
  <r>
    <x v="0"/>
    <x v="0"/>
    <x v="0"/>
    <x v="0"/>
    <x v="0"/>
    <s v="DK1_MedSmall"/>
    <x v="0"/>
    <x v="11"/>
    <n v="1452.3662589978201"/>
    <n v="5228.5185323921696"/>
  </r>
  <r>
    <x v="0"/>
    <x v="0"/>
    <x v="0"/>
    <x v="0"/>
    <x v="0"/>
    <s v="DK1_MedSmall"/>
    <x v="0"/>
    <x v="12"/>
    <n v="1248.01331901654"/>
    <n v="4492.84794845954"/>
  </r>
  <r>
    <x v="0"/>
    <x v="0"/>
    <x v="0"/>
    <x v="0"/>
    <x v="0"/>
    <s v="DK1_MedSmall"/>
    <x v="0"/>
    <x v="13"/>
    <n v="1096.0419231581"/>
    <n v="3945.7509233691799"/>
  </r>
  <r>
    <x v="0"/>
    <x v="0"/>
    <x v="0"/>
    <x v="0"/>
    <x v="0"/>
    <s v="DK1_MedSmall"/>
    <x v="0"/>
    <x v="14"/>
    <n v="980.55053124236895"/>
    <n v="3529.98191247253"/>
  </r>
  <r>
    <x v="0"/>
    <x v="0"/>
    <x v="0"/>
    <x v="0"/>
    <x v="0"/>
    <s v="DK1_MedSmall"/>
    <x v="0"/>
    <x v="15"/>
    <n v="850.092983862962"/>
    <n v="3060.3347419066599"/>
  </r>
  <r>
    <x v="0"/>
    <x v="0"/>
    <x v="0"/>
    <x v="0"/>
    <x v="0"/>
    <s v="DK1_MedSmall"/>
    <x v="0"/>
    <x v="16"/>
    <n v="705.60466573636302"/>
    <n v="2540.1767966509101"/>
  </r>
  <r>
    <x v="0"/>
    <x v="0"/>
    <x v="0"/>
    <x v="0"/>
    <x v="0"/>
    <s v="DK1_MedSmall"/>
    <x v="0"/>
    <x v="17"/>
    <n v="552.69788516144899"/>
    <n v="1989.71238658122"/>
  </r>
  <r>
    <x v="0"/>
    <x v="0"/>
    <x v="0"/>
    <x v="0"/>
    <x v="0"/>
    <s v="DK1_MedSmall"/>
    <x v="0"/>
    <x v="18"/>
    <n v="374.53571724159002"/>
    <n v="1348.3285820697199"/>
  </r>
  <r>
    <x v="0"/>
    <x v="0"/>
    <x v="0"/>
    <x v="0"/>
    <x v="0"/>
    <s v="DK1_MedSmall"/>
    <x v="0"/>
    <x v="19"/>
    <n v="200.11508818764801"/>
    <n v="720.41431747553202"/>
  </r>
  <r>
    <x v="0"/>
    <x v="0"/>
    <x v="0"/>
    <x v="0"/>
    <x v="0"/>
    <s v="DK1_MedSmall"/>
    <x v="0"/>
    <x v="20"/>
    <n v="64.045232509364197"/>
    <n v="230.56283703371099"/>
  </r>
  <r>
    <x v="0"/>
    <x v="0"/>
    <x v="0"/>
    <x v="0"/>
    <x v="0"/>
    <s v="DK1_MedSmall"/>
    <x v="0"/>
    <x v="21"/>
    <n v="0"/>
    <n v="0"/>
  </r>
  <r>
    <x v="0"/>
    <x v="0"/>
    <x v="0"/>
    <x v="0"/>
    <x v="0"/>
    <s v="DK1_MedSmall"/>
    <x v="0"/>
    <x v="22"/>
    <n v="150.081500979075"/>
    <n v="540.29340352466897"/>
  </r>
  <r>
    <x v="0"/>
    <x v="0"/>
    <x v="0"/>
    <x v="0"/>
    <x v="0"/>
    <s v="DK1_MedSmall"/>
    <x v="0"/>
    <x v="23"/>
    <n v="300.16300195815001"/>
    <n v="1080.58680704934"/>
  </r>
  <r>
    <x v="0"/>
    <x v="0"/>
    <x v="0"/>
    <x v="0"/>
    <x v="0"/>
    <s v="DK1_Medium"/>
    <x v="0"/>
    <x v="0"/>
    <n v="0"/>
    <n v="0"/>
  </r>
  <r>
    <x v="0"/>
    <x v="0"/>
    <x v="0"/>
    <x v="0"/>
    <x v="0"/>
    <s v="DK1_Medium"/>
    <x v="0"/>
    <x v="1"/>
    <n v="10.465176077507699"/>
    <n v="37.674633879027702"/>
  </r>
  <r>
    <x v="0"/>
    <x v="0"/>
    <x v="0"/>
    <x v="0"/>
    <x v="0"/>
    <s v="DK1_Medium"/>
    <x v="0"/>
    <x v="2"/>
    <n v="42.626903303958301"/>
    <n v="153.45685189425001"/>
  </r>
  <r>
    <x v="0"/>
    <x v="0"/>
    <x v="0"/>
    <x v="0"/>
    <x v="0"/>
    <s v="DK1_Medium"/>
    <x v="0"/>
    <x v="3"/>
    <n v="94.512767938539298"/>
    <n v="340.245964578741"/>
  </r>
  <r>
    <x v="0"/>
    <x v="0"/>
    <x v="0"/>
    <x v="0"/>
    <x v="0"/>
    <s v="DK1_Medium"/>
    <x v="0"/>
    <x v="4"/>
    <n v="116.812426460925"/>
    <n v="420.52473525932999"/>
  </r>
  <r>
    <x v="0"/>
    <x v="0"/>
    <x v="0"/>
    <x v="0"/>
    <x v="0"/>
    <s v="DK1_Medium"/>
    <x v="0"/>
    <x v="5"/>
    <n v="117.41553383436801"/>
    <n v="422.69592180372302"/>
  </r>
  <r>
    <x v="0"/>
    <x v="0"/>
    <x v="0"/>
    <x v="0"/>
    <x v="0"/>
    <s v="DK1_Medium"/>
    <x v="0"/>
    <x v="6"/>
    <n v="0"/>
    <n v="0"/>
  </r>
  <r>
    <x v="0"/>
    <x v="0"/>
    <x v="0"/>
    <x v="0"/>
    <x v="0"/>
    <s v="DK1_Medium"/>
    <x v="0"/>
    <x v="7"/>
    <n v="835.05708525846205"/>
    <n v="3006.2055069304602"/>
  </r>
  <r>
    <x v="0"/>
    <x v="0"/>
    <x v="0"/>
    <x v="0"/>
    <x v="0"/>
    <s v="DK1_Medium"/>
    <x v="0"/>
    <x v="8"/>
    <n v="1670.11417051692"/>
    <n v="6012.4110138609303"/>
  </r>
  <r>
    <x v="0"/>
    <x v="0"/>
    <x v="0"/>
    <x v="0"/>
    <x v="0"/>
    <s v="DK1_Medium"/>
    <x v="0"/>
    <x v="9"/>
    <n v="2505.1712557753899"/>
    <n v="9018.6165207913891"/>
  </r>
  <r>
    <x v="0"/>
    <x v="0"/>
    <x v="0"/>
    <x v="0"/>
    <x v="0"/>
    <s v="DK1_Medium"/>
    <x v="0"/>
    <x v="10"/>
    <n v="3340.22834103385"/>
    <n v="12024.822027721901"/>
  </r>
  <r>
    <x v="0"/>
    <x v="0"/>
    <x v="0"/>
    <x v="0"/>
    <x v="0"/>
    <s v="DK1_Medium"/>
    <x v="0"/>
    <x v="11"/>
    <n v="4175.2854262923101"/>
    <n v="15031.027534652299"/>
  </r>
  <r>
    <x v="0"/>
    <x v="0"/>
    <x v="0"/>
    <x v="0"/>
    <x v="0"/>
    <s v="DK1_Medium"/>
    <x v="0"/>
    <x v="12"/>
    <n v="5010.3425115507698"/>
    <n v="18037.2330415828"/>
  </r>
  <r>
    <x v="0"/>
    <x v="0"/>
    <x v="0"/>
    <x v="0"/>
    <x v="0"/>
    <s v="DK1_Medium"/>
    <x v="0"/>
    <x v="13"/>
    <n v="4403.9785235162399"/>
    <n v="15854.3226846585"/>
  </r>
  <r>
    <x v="0"/>
    <x v="0"/>
    <x v="0"/>
    <x v="0"/>
    <x v="0"/>
    <s v="DK1_Medium"/>
    <x v="0"/>
    <x v="14"/>
    <n v="3874.5386713734201"/>
    <n v="13948.3392169443"/>
  </r>
  <r>
    <x v="0"/>
    <x v="0"/>
    <x v="0"/>
    <x v="0"/>
    <x v="0"/>
    <s v="DK1_Medium"/>
    <x v="0"/>
    <x v="15"/>
    <n v="3313.5401993775799"/>
    <n v="11928.7447177593"/>
  </r>
  <r>
    <x v="0"/>
    <x v="0"/>
    <x v="0"/>
    <x v="0"/>
    <x v="0"/>
    <s v="DK1_Medium"/>
    <x v="0"/>
    <x v="16"/>
    <n v="4148.5972846360501"/>
    <n v="14934.950224689799"/>
  </r>
  <r>
    <x v="0"/>
    <x v="0"/>
    <x v="0"/>
    <x v="0"/>
    <x v="0"/>
    <s v="DK1_Medium"/>
    <x v="0"/>
    <x v="17"/>
    <n v="4983.6543698945097"/>
    <n v="17941.155731620202"/>
  </r>
  <r>
    <x v="0"/>
    <x v="0"/>
    <x v="0"/>
    <x v="0"/>
    <x v="0"/>
    <s v="DK1_Medium"/>
    <x v="0"/>
    <x v="18"/>
    <n v="5807.7362944315601"/>
    <n v="20907.850659953601"/>
  </r>
  <r>
    <x v="0"/>
    <x v="0"/>
    <x v="0"/>
    <x v="0"/>
    <x v="0"/>
    <s v="DK1_Medium"/>
    <x v="0"/>
    <x v="19"/>
    <n v="4904.3498502755401"/>
    <n v="17655.659460991999"/>
  </r>
  <r>
    <x v="0"/>
    <x v="0"/>
    <x v="0"/>
    <x v="0"/>
    <x v="0"/>
    <s v="DK1_Medium"/>
    <x v="0"/>
    <x v="20"/>
    <n v="3257.98748407013"/>
    <n v="11728.7549426525"/>
  </r>
  <r>
    <x v="0"/>
    <x v="0"/>
    <x v="0"/>
    <x v="0"/>
    <x v="0"/>
    <s v="DK1_Medium"/>
    <x v="0"/>
    <x v="21"/>
    <n v="1763.50097590731"/>
    <n v="6348.6035132663201"/>
  </r>
  <r>
    <x v="0"/>
    <x v="0"/>
    <x v="0"/>
    <x v="0"/>
    <x v="0"/>
    <s v="DK1_Medium"/>
    <x v="0"/>
    <x v="22"/>
    <n v="998.80755184530801"/>
    <n v="3595.7071866431102"/>
  </r>
  <r>
    <x v="0"/>
    <x v="0"/>
    <x v="0"/>
    <x v="0"/>
    <x v="0"/>
    <s v="DK1_Medium"/>
    <x v="0"/>
    <x v="23"/>
    <n v="439.24515682785699"/>
    <n v="1581.28256458029"/>
  </r>
  <r>
    <x v="0"/>
    <x v="0"/>
    <x v="0"/>
    <x v="0"/>
    <x v="0"/>
    <s v="DK1_Rural"/>
    <x v="0"/>
    <x v="0"/>
    <n v="1930.4108012761701"/>
    <n v="6949.4788845942203"/>
  </r>
  <r>
    <x v="0"/>
    <x v="0"/>
    <x v="0"/>
    <x v="0"/>
    <x v="0"/>
    <s v="DK1_Rural"/>
    <x v="0"/>
    <x v="1"/>
    <n v="2775.5749261545202"/>
    <n v="9992.06973415629"/>
  </r>
  <r>
    <x v="0"/>
    <x v="0"/>
    <x v="0"/>
    <x v="0"/>
    <x v="0"/>
    <s v="DK1_Rural"/>
    <x v="0"/>
    <x v="2"/>
    <n v="3620.7390510328801"/>
    <n v="13034.6605837184"/>
  </r>
  <r>
    <x v="0"/>
    <x v="0"/>
    <x v="0"/>
    <x v="0"/>
    <x v="0"/>
    <s v="DK1_Rural"/>
    <x v="0"/>
    <x v="3"/>
    <n v="4465.9031759112304"/>
    <n v="16077.2514332804"/>
  </r>
  <r>
    <x v="0"/>
    <x v="0"/>
    <x v="0"/>
    <x v="0"/>
    <x v="0"/>
    <s v="DK1_Rural"/>
    <x v="0"/>
    <x v="4"/>
    <n v="5311.0673007895803"/>
    <n v="19119.842282842499"/>
  </r>
  <r>
    <x v="0"/>
    <x v="0"/>
    <x v="0"/>
    <x v="0"/>
    <x v="0"/>
    <s v="DK1_Rural"/>
    <x v="0"/>
    <x v="5"/>
    <n v="6156.2314256679301"/>
    <n v="22162.4331324046"/>
  </r>
  <r>
    <x v="0"/>
    <x v="0"/>
    <x v="0"/>
    <x v="0"/>
    <x v="0"/>
    <s v="DK1_Rural"/>
    <x v="0"/>
    <x v="6"/>
    <n v="7001.39555054629"/>
    <n v="25205.023981966599"/>
  </r>
  <r>
    <x v="0"/>
    <x v="0"/>
    <x v="0"/>
    <x v="0"/>
    <x v="0"/>
    <s v="DK1_Rural"/>
    <x v="0"/>
    <x v="7"/>
    <n v="7001.39555054629"/>
    <n v="25205.023981966599"/>
  </r>
  <r>
    <x v="0"/>
    <x v="0"/>
    <x v="0"/>
    <x v="0"/>
    <x v="0"/>
    <s v="DK1_Rural"/>
    <x v="0"/>
    <x v="8"/>
    <n v="7001.39555054629"/>
    <n v="25205.023981966599"/>
  </r>
  <r>
    <x v="0"/>
    <x v="0"/>
    <x v="0"/>
    <x v="0"/>
    <x v="0"/>
    <s v="DK1_Rural"/>
    <x v="0"/>
    <x v="9"/>
    <n v="6998.99414546558"/>
    <n v="25196.3789236761"/>
  </r>
  <r>
    <x v="0"/>
    <x v="0"/>
    <x v="0"/>
    <x v="0"/>
    <x v="0"/>
    <s v="DK1_Rural"/>
    <x v="0"/>
    <x v="10"/>
    <n v="6285.7145541024302"/>
    <n v="22628.5723947687"/>
  </r>
  <r>
    <x v="0"/>
    <x v="0"/>
    <x v="0"/>
    <x v="0"/>
    <x v="0"/>
    <s v="DK1_Rural"/>
    <x v="0"/>
    <x v="11"/>
    <n v="5548.4919074504896"/>
    <n v="19974.570866821799"/>
  </r>
  <r>
    <x v="0"/>
    <x v="0"/>
    <x v="0"/>
    <x v="0"/>
    <x v="0"/>
    <s v="DK1_Rural"/>
    <x v="0"/>
    <x v="12"/>
    <n v="4835.2123160873398"/>
    <n v="17406.764337914399"/>
  </r>
  <r>
    <x v="0"/>
    <x v="0"/>
    <x v="0"/>
    <x v="0"/>
    <x v="0"/>
    <s v="DK1_Rural"/>
    <x v="0"/>
    <x v="13"/>
    <n v="4270.9117354099099"/>
    <n v="15375.282247475699"/>
  </r>
  <r>
    <x v="0"/>
    <x v="0"/>
    <x v="0"/>
    <x v="0"/>
    <x v="0"/>
    <s v="DK1_Rural"/>
    <x v="0"/>
    <x v="14"/>
    <n v="3810.3643943171801"/>
    <n v="13717.311819541899"/>
  </r>
  <r>
    <x v="0"/>
    <x v="0"/>
    <x v="0"/>
    <x v="0"/>
    <x v="0"/>
    <s v="DK1_Rural"/>
    <x v="0"/>
    <x v="15"/>
    <n v="3307.2516215999599"/>
    <n v="11906.1058377599"/>
  </r>
  <r>
    <x v="0"/>
    <x v="0"/>
    <x v="0"/>
    <x v="0"/>
    <x v="0"/>
    <s v="DK1_Rural"/>
    <x v="0"/>
    <x v="16"/>
    <n v="2764.2337567347799"/>
    <n v="9951.2415242452098"/>
  </r>
  <r>
    <x v="0"/>
    <x v="0"/>
    <x v="0"/>
    <x v="0"/>
    <x v="0"/>
    <s v="DK1_Rural"/>
    <x v="0"/>
    <x v="17"/>
    <n v="2197.2728365808198"/>
    <n v="7910.1822116909598"/>
  </r>
  <r>
    <x v="0"/>
    <x v="0"/>
    <x v="0"/>
    <x v="0"/>
    <x v="0"/>
    <s v="DK1_Rural"/>
    <x v="0"/>
    <x v="18"/>
    <n v="1558.4827505605299"/>
    <n v="5610.5379020179098"/>
  </r>
  <r>
    <x v="0"/>
    <x v="0"/>
    <x v="0"/>
    <x v="0"/>
    <x v="0"/>
    <s v="DK1_Rural"/>
    <x v="0"/>
    <x v="19"/>
    <n v="930.33402244636102"/>
    <n v="3349.2024808069"/>
  </r>
  <r>
    <x v="0"/>
    <x v="0"/>
    <x v="0"/>
    <x v="0"/>
    <x v="0"/>
    <s v="DK1_Rural"/>
    <x v="0"/>
    <x v="20"/>
    <n v="411.259212869956"/>
    <n v="1480.53316633184"/>
  </r>
  <r>
    <x v="0"/>
    <x v="0"/>
    <x v="0"/>
    <x v="0"/>
    <x v="0"/>
    <s v="DK1_Rural"/>
    <x v="0"/>
    <x v="21"/>
    <n v="0"/>
    <n v="0"/>
  </r>
  <r>
    <x v="0"/>
    <x v="0"/>
    <x v="0"/>
    <x v="0"/>
    <x v="0"/>
    <s v="DK1_Rural"/>
    <x v="0"/>
    <x v="22"/>
    <n v="417.02889344645001"/>
    <n v="1501.3040164072199"/>
  </r>
  <r>
    <x v="0"/>
    <x v="0"/>
    <x v="0"/>
    <x v="0"/>
    <x v="0"/>
    <s v="DK1_Rural"/>
    <x v="0"/>
    <x v="23"/>
    <n v="1110.73309245211"/>
    <n v="3998.6391328275799"/>
  </r>
  <r>
    <x v="0"/>
    <x v="0"/>
    <x v="0"/>
    <x v="0"/>
    <x v="0"/>
    <s v="DK1_Small"/>
    <x v="0"/>
    <x v="0"/>
    <n v="55.068544482196799"/>
    <n v="198.246760135909"/>
  </r>
  <r>
    <x v="0"/>
    <x v="0"/>
    <x v="0"/>
    <x v="0"/>
    <x v="0"/>
    <s v="DK1_Small"/>
    <x v="0"/>
    <x v="1"/>
    <n v="68.835680602745995"/>
    <n v="247.80845016988599"/>
  </r>
  <r>
    <x v="0"/>
    <x v="0"/>
    <x v="0"/>
    <x v="0"/>
    <x v="0"/>
    <s v="DK1_Small"/>
    <x v="0"/>
    <x v="2"/>
    <n v="82.602816723295206"/>
    <n v="297.370140203863"/>
  </r>
  <r>
    <x v="0"/>
    <x v="0"/>
    <x v="0"/>
    <x v="0"/>
    <x v="0"/>
    <s v="DK1_Small"/>
    <x v="0"/>
    <x v="3"/>
    <n v="96.369952843844501"/>
    <n v="346.93183023784002"/>
  </r>
  <r>
    <x v="0"/>
    <x v="0"/>
    <x v="0"/>
    <x v="0"/>
    <x v="0"/>
    <s v="DK1_Small"/>
    <x v="0"/>
    <x v="4"/>
    <n v="110.137088964394"/>
    <n v="396.49352027181698"/>
  </r>
  <r>
    <x v="0"/>
    <x v="0"/>
    <x v="0"/>
    <x v="0"/>
    <x v="0"/>
    <s v="DK1_Small"/>
    <x v="0"/>
    <x v="5"/>
    <n v="123.90422508494299"/>
    <n v="446.05521030579399"/>
  </r>
  <r>
    <x v="0"/>
    <x v="0"/>
    <x v="0"/>
    <x v="0"/>
    <x v="0"/>
    <s v="DK1_Small"/>
    <x v="0"/>
    <x v="6"/>
    <n v="137.67136120549199"/>
    <n v="495.61690033977197"/>
  </r>
  <r>
    <x v="0"/>
    <x v="0"/>
    <x v="0"/>
    <x v="0"/>
    <x v="0"/>
    <s v="DK1_Small"/>
    <x v="0"/>
    <x v="7"/>
    <n v="151.43849732604099"/>
    <n v="545.17859037374899"/>
  </r>
  <r>
    <x v="0"/>
    <x v="0"/>
    <x v="0"/>
    <x v="0"/>
    <x v="0"/>
    <s v="DK1_Small"/>
    <x v="0"/>
    <x v="8"/>
    <n v="138.72781382371099"/>
    <n v="499.42012976536"/>
  </r>
  <r>
    <x v="0"/>
    <x v="0"/>
    <x v="0"/>
    <x v="0"/>
    <x v="0"/>
    <s v="DK1_Small"/>
    <x v="0"/>
    <x v="9"/>
    <n v="117.046877988617"/>
    <n v="421.36876075902097"/>
  </r>
  <r>
    <x v="0"/>
    <x v="0"/>
    <x v="0"/>
    <x v="0"/>
    <x v="0"/>
    <s v="DK1_Small"/>
    <x v="0"/>
    <x v="10"/>
    <n v="96.515974503877203"/>
    <n v="347.45750821395802"/>
  </r>
  <r>
    <x v="0"/>
    <x v="0"/>
    <x v="0"/>
    <x v="0"/>
    <x v="0"/>
    <s v="DK1_Small"/>
    <x v="0"/>
    <x v="11"/>
    <n v="73.915012788499695"/>
    <n v="266.094046038599"/>
  </r>
  <r>
    <x v="0"/>
    <x v="0"/>
    <x v="0"/>
    <x v="0"/>
    <x v="0"/>
    <s v="DK1_Small"/>
    <x v="0"/>
    <x v="12"/>
    <n v="53.384109303759899"/>
    <n v="192.182793493536"/>
  </r>
  <r>
    <x v="0"/>
    <x v="0"/>
    <x v="0"/>
    <x v="0"/>
    <x v="0"/>
    <s v="DK1_Small"/>
    <x v="0"/>
    <x v="13"/>
    <n v="45.733568142988702"/>
    <n v="164.64084531475899"/>
  </r>
  <r>
    <x v="0"/>
    <x v="0"/>
    <x v="0"/>
    <x v="0"/>
    <x v="0"/>
    <s v="DK1_Small"/>
    <x v="0"/>
    <x v="14"/>
    <n v="47.053279314981303"/>
    <n v="169.391805533933"/>
  </r>
  <r>
    <x v="0"/>
    <x v="0"/>
    <x v="0"/>
    <x v="0"/>
    <x v="0"/>
    <s v="DK1_Small"/>
    <x v="0"/>
    <x v="15"/>
    <n v="44.692886965840103"/>
    <n v="160.89439307702401"/>
  </r>
  <r>
    <x v="0"/>
    <x v="0"/>
    <x v="0"/>
    <x v="0"/>
    <x v="0"/>
    <s v="DK1_Small"/>
    <x v="0"/>
    <x v="16"/>
    <n v="38.882397565635898"/>
    <n v="139.97663123628899"/>
  </r>
  <r>
    <x v="0"/>
    <x v="0"/>
    <x v="0"/>
    <x v="0"/>
    <x v="0"/>
    <s v="DK1_Small"/>
    <x v="0"/>
    <x v="17"/>
    <n v="31.001849934793899"/>
    <n v="111.606659765258"/>
  </r>
  <r>
    <x v="0"/>
    <x v="0"/>
    <x v="0"/>
    <x v="0"/>
    <x v="0"/>
    <s v="DK1_Small"/>
    <x v="0"/>
    <x v="18"/>
    <n v="16.911127612038399"/>
    <n v="60.8800594033384"/>
  </r>
  <r>
    <x v="0"/>
    <x v="0"/>
    <x v="0"/>
    <x v="0"/>
    <x v="0"/>
    <s v="DK1_Small"/>
    <x v="0"/>
    <x v="19"/>
    <n v="3.7404311695664201"/>
    <n v="13.4655522104391"/>
  </r>
  <r>
    <x v="0"/>
    <x v="0"/>
    <x v="0"/>
    <x v="0"/>
    <x v="0"/>
    <s v="DK1_Small"/>
    <x v="0"/>
    <x v="20"/>
    <n v="0"/>
    <n v="0"/>
  </r>
  <r>
    <x v="0"/>
    <x v="0"/>
    <x v="0"/>
    <x v="0"/>
    <x v="0"/>
    <s v="DK1_Small"/>
    <x v="0"/>
    <x v="21"/>
    <n v="13.7671361205492"/>
    <n v="49.5616900339772"/>
  </r>
  <r>
    <x v="0"/>
    <x v="0"/>
    <x v="0"/>
    <x v="0"/>
    <x v="0"/>
    <s v="DK1_Small"/>
    <x v="0"/>
    <x v="22"/>
    <n v="27.5342722410984"/>
    <n v="99.123380067954301"/>
  </r>
  <r>
    <x v="0"/>
    <x v="0"/>
    <x v="0"/>
    <x v="0"/>
    <x v="0"/>
    <s v="DK1_Small"/>
    <x v="0"/>
    <x v="23"/>
    <n v="41.301408361647603"/>
    <n v="148.68507010193099"/>
  </r>
  <r>
    <x v="0"/>
    <x v="0"/>
    <x v="0"/>
    <x v="0"/>
    <x v="1"/>
    <s v="DK2_Large"/>
    <x v="0"/>
    <x v="0"/>
    <n v="612.20067244366203"/>
    <n v="2203.9224207971802"/>
  </r>
  <r>
    <x v="0"/>
    <x v="0"/>
    <x v="0"/>
    <x v="0"/>
    <x v="1"/>
    <s v="DK2_Large"/>
    <x v="0"/>
    <x v="1"/>
    <n v="833.830892882738"/>
    <n v="3001.7912143778599"/>
  </r>
  <r>
    <x v="0"/>
    <x v="0"/>
    <x v="0"/>
    <x v="0"/>
    <x v="1"/>
    <s v="DK2_Large"/>
    <x v="0"/>
    <x v="2"/>
    <n v="1055.46111332181"/>
    <n v="3799.6600079585301"/>
  </r>
  <r>
    <x v="0"/>
    <x v="0"/>
    <x v="0"/>
    <x v="0"/>
    <x v="1"/>
    <s v="DK2_Large"/>
    <x v="0"/>
    <x v="3"/>
    <n v="1277.0913337608899"/>
    <n v="4597.5288015391998"/>
  </r>
  <r>
    <x v="0"/>
    <x v="0"/>
    <x v="0"/>
    <x v="0"/>
    <x v="1"/>
    <s v="DK2_Large"/>
    <x v="0"/>
    <x v="4"/>
    <n v="1498.7215541999699"/>
    <n v="5395.39759511988"/>
  </r>
  <r>
    <x v="0"/>
    <x v="0"/>
    <x v="0"/>
    <x v="0"/>
    <x v="1"/>
    <s v="DK2_Large"/>
    <x v="0"/>
    <x v="5"/>
    <n v="1720.3517746390401"/>
    <n v="6193.2663887005501"/>
  </r>
  <r>
    <x v="0"/>
    <x v="0"/>
    <x v="0"/>
    <x v="0"/>
    <x v="1"/>
    <s v="DK2_Large"/>
    <x v="0"/>
    <x v="6"/>
    <n v="1756.3472060880999"/>
    <n v="6322.8499419171703"/>
  </r>
  <r>
    <x v="0"/>
    <x v="0"/>
    <x v="0"/>
    <x v="0"/>
    <x v="1"/>
    <s v="DK2_Large"/>
    <x v="0"/>
    <x v="7"/>
    <n v="1454.4412705745201"/>
    <n v="5235.9885740682703"/>
  </r>
  <r>
    <x v="0"/>
    <x v="0"/>
    <x v="0"/>
    <x v="0"/>
    <x v="1"/>
    <s v="DK2_Large"/>
    <x v="0"/>
    <x v="8"/>
    <n v="1676.0714910136001"/>
    <n v="6033.8573676489495"/>
  </r>
  <r>
    <x v="0"/>
    <x v="0"/>
    <x v="0"/>
    <x v="0"/>
    <x v="1"/>
    <s v="DK2_Large"/>
    <x v="0"/>
    <x v="9"/>
    <n v="1864.0563024616299"/>
    <n v="6710.6026888618899"/>
  </r>
  <r>
    <x v="0"/>
    <x v="0"/>
    <x v="0"/>
    <x v="0"/>
    <x v="1"/>
    <s v="DK2_Large"/>
    <x v="0"/>
    <x v="10"/>
    <n v="2085.6865229007099"/>
    <n v="7508.47148244256"/>
  </r>
  <r>
    <x v="0"/>
    <x v="0"/>
    <x v="0"/>
    <x v="0"/>
    <x v="1"/>
    <s v="DK2_Large"/>
    <x v="0"/>
    <x v="11"/>
    <n v="1855.79235411687"/>
    <n v="6680.8524748207401"/>
  </r>
  <r>
    <x v="0"/>
    <x v="0"/>
    <x v="0"/>
    <x v="0"/>
    <x v="1"/>
    <s v="DK2_Large"/>
    <x v="0"/>
    <x v="12"/>
    <n v="1758.84298544948"/>
    <n v="6331.8347476181398"/>
  </r>
  <r>
    <x v="0"/>
    <x v="0"/>
    <x v="0"/>
    <x v="0"/>
    <x v="1"/>
    <s v="DK2_Large"/>
    <x v="0"/>
    <x v="13"/>
    <n v="1794.8384168985399"/>
    <n v="6461.41830083476"/>
  </r>
  <r>
    <x v="0"/>
    <x v="0"/>
    <x v="0"/>
    <x v="0"/>
    <x v="1"/>
    <s v="DK2_Large"/>
    <x v="0"/>
    <x v="14"/>
    <n v="1764.36144828938"/>
    <n v="6351.7012138417704"/>
  </r>
  <r>
    <x v="0"/>
    <x v="0"/>
    <x v="0"/>
    <x v="0"/>
    <x v="1"/>
    <s v="DK2_Large"/>
    <x v="0"/>
    <x v="15"/>
    <n v="1667.41207962199"/>
    <n v="6002.68348663916"/>
  </r>
  <r>
    <x v="0"/>
    <x v="0"/>
    <x v="0"/>
    <x v="0"/>
    <x v="1"/>
    <s v="DK2_Large"/>
    <x v="0"/>
    <x v="16"/>
    <n v="1503.9903108963799"/>
    <n v="5414.3651192269499"/>
  </r>
  <r>
    <x v="0"/>
    <x v="0"/>
    <x v="0"/>
    <x v="0"/>
    <x v="1"/>
    <s v="DK2_Large"/>
    <x v="0"/>
    <x v="17"/>
    <n v="1202.0843753827901"/>
    <n v="4327.5037513780599"/>
  </r>
  <r>
    <x v="0"/>
    <x v="0"/>
    <x v="0"/>
    <x v="0"/>
    <x v="1"/>
    <s v="DK2_Large"/>
    <x v="0"/>
    <x v="18"/>
    <n v="833.706039810986"/>
    <n v="3001.34174331955"/>
  </r>
  <r>
    <x v="0"/>
    <x v="0"/>
    <x v="0"/>
    <x v="0"/>
    <x v="1"/>
    <s v="DK2_Large"/>
    <x v="0"/>
    <x v="19"/>
    <n v="398.85530418095402"/>
    <n v="1435.8790950514301"/>
  </r>
  <r>
    <x v="0"/>
    <x v="0"/>
    <x v="0"/>
    <x v="0"/>
    <x v="1"/>
    <s v="DK2_Large"/>
    <x v="0"/>
    <x v="20"/>
    <n v="96.949368667389393"/>
    <n v="349.01772720260198"/>
  </r>
  <r>
    <x v="0"/>
    <x v="0"/>
    <x v="0"/>
    <x v="0"/>
    <x v="1"/>
    <s v="DK2_Large"/>
    <x v="0"/>
    <x v="21"/>
    <n v="0"/>
    <n v="0"/>
  </r>
  <r>
    <x v="0"/>
    <x v="0"/>
    <x v="0"/>
    <x v="0"/>
    <x v="1"/>
    <s v="DK2_Large"/>
    <x v="0"/>
    <x v="22"/>
    <n v="168.94023156551"/>
    <n v="608.18483363583698"/>
  </r>
  <r>
    <x v="0"/>
    <x v="0"/>
    <x v="0"/>
    <x v="0"/>
    <x v="1"/>
    <s v="DK2_Large"/>
    <x v="0"/>
    <x v="23"/>
    <n v="390.570452004586"/>
    <n v="1406.05362721651"/>
  </r>
  <r>
    <x v="0"/>
    <x v="0"/>
    <x v="0"/>
    <x v="0"/>
    <x v="1"/>
    <s v="DK2_MedSmall"/>
    <x v="0"/>
    <x v="0"/>
    <n v="140.983540367176"/>
    <n v="507.540745321835"/>
  </r>
  <r>
    <x v="0"/>
    <x v="0"/>
    <x v="0"/>
    <x v="0"/>
    <x v="1"/>
    <s v="DK2_MedSmall"/>
    <x v="0"/>
    <x v="1"/>
    <n v="253.53247716706599"/>
    <n v="912.71691780143897"/>
  </r>
  <r>
    <x v="0"/>
    <x v="0"/>
    <x v="0"/>
    <x v="0"/>
    <x v="1"/>
    <s v="DK2_MedSmall"/>
    <x v="0"/>
    <x v="2"/>
    <n v="366.08141396695601"/>
    <n v="1317.89309028104"/>
  </r>
  <r>
    <x v="0"/>
    <x v="0"/>
    <x v="0"/>
    <x v="0"/>
    <x v="1"/>
    <s v="DK2_MedSmall"/>
    <x v="0"/>
    <x v="3"/>
    <n v="478.63035076684599"/>
    <n v="1723.06926276065"/>
  </r>
  <r>
    <x v="0"/>
    <x v="0"/>
    <x v="0"/>
    <x v="0"/>
    <x v="1"/>
    <s v="DK2_MedSmall"/>
    <x v="0"/>
    <x v="4"/>
    <n v="591.17928756673598"/>
    <n v="2128.2454352402501"/>
  </r>
  <r>
    <x v="0"/>
    <x v="0"/>
    <x v="0"/>
    <x v="0"/>
    <x v="1"/>
    <s v="DK2_MedSmall"/>
    <x v="0"/>
    <x v="5"/>
    <n v="703.72822436662602"/>
    <n v="2533.4216077198498"/>
  </r>
  <r>
    <x v="0"/>
    <x v="0"/>
    <x v="0"/>
    <x v="0"/>
    <x v="1"/>
    <s v="DK2_MedSmall"/>
    <x v="0"/>
    <x v="6"/>
    <n v="791.38993355210403"/>
    <n v="2849.0037607875802"/>
  </r>
  <r>
    <x v="0"/>
    <x v="0"/>
    <x v="0"/>
    <x v="0"/>
    <x v="1"/>
    <s v="DK2_MedSmall"/>
    <x v="0"/>
    <x v="7"/>
    <n v="734.62814222705401"/>
    <n v="2644.6613120173902"/>
  </r>
  <r>
    <x v="0"/>
    <x v="0"/>
    <x v="0"/>
    <x v="0"/>
    <x v="1"/>
    <s v="DK2_MedSmall"/>
    <x v="0"/>
    <x v="8"/>
    <n v="847.17707902694406"/>
    <n v="3049.8374844969999"/>
  </r>
  <r>
    <x v="0"/>
    <x v="0"/>
    <x v="0"/>
    <x v="0"/>
    <x v="1"/>
    <s v="DK2_MedSmall"/>
    <x v="0"/>
    <x v="9"/>
    <n v="959.72601582683399"/>
    <n v="3455.0136569766"/>
  </r>
  <r>
    <x v="0"/>
    <x v="0"/>
    <x v="0"/>
    <x v="0"/>
    <x v="1"/>
    <s v="DK2_MedSmall"/>
    <x v="0"/>
    <x v="10"/>
    <n v="1072.2749526267201"/>
    <n v="3860.1898294562102"/>
  </r>
  <r>
    <x v="0"/>
    <x v="0"/>
    <x v="0"/>
    <x v="0"/>
    <x v="1"/>
    <s v="DK2_MedSmall"/>
    <x v="0"/>
    <x v="11"/>
    <n v="1072.2749526267201"/>
    <n v="3860.1898294562102"/>
  </r>
  <r>
    <x v="0"/>
    <x v="0"/>
    <x v="0"/>
    <x v="0"/>
    <x v="1"/>
    <s v="DK2_MedSmall"/>
    <x v="0"/>
    <x v="12"/>
    <n v="1072.2749526267201"/>
    <n v="3860.1898294562102"/>
  </r>
  <r>
    <x v="0"/>
    <x v="0"/>
    <x v="0"/>
    <x v="0"/>
    <x v="1"/>
    <s v="DK2_MedSmall"/>
    <x v="0"/>
    <x v="13"/>
    <n v="936.70673065779999"/>
    <n v="3372.1442303680801"/>
  </r>
  <r>
    <x v="0"/>
    <x v="0"/>
    <x v="0"/>
    <x v="0"/>
    <x v="1"/>
    <s v="DK2_MedSmall"/>
    <x v="0"/>
    <x v="14"/>
    <n v="813.99813544666404"/>
    <n v="2930.3932876079898"/>
  </r>
  <r>
    <x v="0"/>
    <x v="0"/>
    <x v="0"/>
    <x v="0"/>
    <x v="1"/>
    <s v="DK2_MedSmall"/>
    <x v="0"/>
    <x v="15"/>
    <n v="686.01379592464002"/>
    <n v="2469.6496653286999"/>
  </r>
  <r>
    <x v="0"/>
    <x v="0"/>
    <x v="0"/>
    <x v="0"/>
    <x v="1"/>
    <s v="DK2_MedSmall"/>
    <x v="0"/>
    <x v="16"/>
    <n v="553.08344611116001"/>
    <n v="1991.1004060001801"/>
  </r>
  <r>
    <x v="0"/>
    <x v="0"/>
    <x v="0"/>
    <x v="0"/>
    <x v="1"/>
    <s v="DK2_MedSmall"/>
    <x v="0"/>
    <x v="17"/>
    <n v="417.18549012280602"/>
    <n v="1501.8677644421"/>
  </r>
  <r>
    <x v="0"/>
    <x v="0"/>
    <x v="0"/>
    <x v="0"/>
    <x v="1"/>
    <s v="DK2_MedSmall"/>
    <x v="0"/>
    <x v="18"/>
    <n v="378.01780621632298"/>
    <n v="1360.86410237876"/>
  </r>
  <r>
    <x v="0"/>
    <x v="0"/>
    <x v="0"/>
    <x v="0"/>
    <x v="1"/>
    <s v="DK2_MedSmall"/>
    <x v="0"/>
    <x v="19"/>
    <n v="234.53596778106899"/>
    <n v="844.32948401184797"/>
  </r>
  <r>
    <x v="0"/>
    <x v="0"/>
    <x v="0"/>
    <x v="0"/>
    <x v="1"/>
    <s v="DK2_MedSmall"/>
    <x v="0"/>
    <x v="20"/>
    <n v="104.573224142463"/>
    <n v="376.463606912866"/>
  </r>
  <r>
    <x v="0"/>
    <x v="0"/>
    <x v="0"/>
    <x v="0"/>
    <x v="1"/>
    <s v="DK2_MedSmall"/>
    <x v="0"/>
    <x v="21"/>
    <n v="0"/>
    <n v="0"/>
  </r>
  <r>
    <x v="0"/>
    <x v="0"/>
    <x v="0"/>
    <x v="0"/>
    <x v="1"/>
    <s v="DK2_MedSmall"/>
    <x v="0"/>
    <x v="22"/>
    <n v="17.4283630467968"/>
    <n v="62.742106968468299"/>
  </r>
  <r>
    <x v="0"/>
    <x v="0"/>
    <x v="0"/>
    <x v="0"/>
    <x v="1"/>
    <s v="DK2_MedSmall"/>
    <x v="0"/>
    <x v="23"/>
    <n v="69.149064114358396"/>
    <n v="248.93663081169001"/>
  </r>
  <r>
    <x v="0"/>
    <x v="0"/>
    <x v="0"/>
    <x v="0"/>
    <x v="1"/>
    <s v="DK2_Medium"/>
    <x v="0"/>
    <x v="0"/>
    <n v="0"/>
    <n v="0"/>
  </r>
  <r>
    <x v="0"/>
    <x v="0"/>
    <x v="0"/>
    <x v="0"/>
    <x v="1"/>
    <s v="DK2_Medium"/>
    <x v="0"/>
    <x v="1"/>
    <n v="177.42117407444499"/>
    <n v="638.71622666800101"/>
  </r>
  <r>
    <x v="0"/>
    <x v="0"/>
    <x v="0"/>
    <x v="0"/>
    <x v="1"/>
    <s v="DK2_Medium"/>
    <x v="0"/>
    <x v="2"/>
    <n v="354.84234814888902"/>
    <n v="1277.432453336"/>
  </r>
  <r>
    <x v="0"/>
    <x v="0"/>
    <x v="0"/>
    <x v="0"/>
    <x v="1"/>
    <s v="DK2_Medium"/>
    <x v="0"/>
    <x v="3"/>
    <n v="532.26352222333401"/>
    <n v="1916.148680004"/>
  </r>
  <r>
    <x v="0"/>
    <x v="0"/>
    <x v="0"/>
    <x v="0"/>
    <x v="1"/>
    <s v="DK2_Medium"/>
    <x v="0"/>
    <x v="4"/>
    <n v="709.68469629777906"/>
    <n v="2554.864906672"/>
  </r>
  <r>
    <x v="0"/>
    <x v="0"/>
    <x v="0"/>
    <x v="0"/>
    <x v="1"/>
    <s v="DK2_Medium"/>
    <x v="0"/>
    <x v="5"/>
    <n v="887.10587037222297"/>
    <n v="3193.5811333400002"/>
  </r>
  <r>
    <x v="0"/>
    <x v="0"/>
    <x v="0"/>
    <x v="0"/>
    <x v="1"/>
    <s v="DK2_Medium"/>
    <x v="0"/>
    <x v="6"/>
    <n v="1064.5270444466701"/>
    <n v="3832.2973600079999"/>
  </r>
  <r>
    <x v="0"/>
    <x v="0"/>
    <x v="0"/>
    <x v="0"/>
    <x v="1"/>
    <s v="DK2_Medium"/>
    <x v="0"/>
    <x v="7"/>
    <n v="1063.0185535660701"/>
    <n v="3826.86679283785"/>
  </r>
  <r>
    <x v="0"/>
    <x v="0"/>
    <x v="0"/>
    <x v="0"/>
    <x v="1"/>
    <s v="DK2_Medium"/>
    <x v="0"/>
    <x v="8"/>
    <n v="981.89136957753999"/>
    <n v="3534.8089304791401"/>
  </r>
  <r>
    <x v="0"/>
    <x v="0"/>
    <x v="0"/>
    <x v="0"/>
    <x v="1"/>
    <s v="DK2_Medium"/>
    <x v="0"/>
    <x v="9"/>
    <n v="868.10010636524305"/>
    <n v="3125.1603829148698"/>
  </r>
  <r>
    <x v="0"/>
    <x v="0"/>
    <x v="0"/>
    <x v="0"/>
    <x v="1"/>
    <s v="DK2_Medium"/>
    <x v="0"/>
    <x v="10"/>
    <n v="746.14282334700397"/>
    <n v="2686.1141640492101"/>
  </r>
  <r>
    <x v="0"/>
    <x v="0"/>
    <x v="0"/>
    <x v="0"/>
    <x v="1"/>
    <s v="DK2_Medium"/>
    <x v="0"/>
    <x v="11"/>
    <n v="607.85350071688094"/>
    <n v="2188.2726025807701"/>
  </r>
  <r>
    <x v="0"/>
    <x v="0"/>
    <x v="0"/>
    <x v="0"/>
    <x v="1"/>
    <s v="DK2_Medium"/>
    <x v="0"/>
    <x v="12"/>
    <n v="465.48116818378799"/>
    <n v="1675.73220546164"/>
  </r>
  <r>
    <x v="0"/>
    <x v="0"/>
    <x v="0"/>
    <x v="0"/>
    <x v="1"/>
    <s v="DK2_Medium"/>
    <x v="0"/>
    <x v="13"/>
    <n v="642.90234225823303"/>
    <n v="2314.44843212964"/>
  </r>
  <r>
    <x v="0"/>
    <x v="0"/>
    <x v="0"/>
    <x v="0"/>
    <x v="1"/>
    <s v="DK2_Medium"/>
    <x v="0"/>
    <x v="14"/>
    <n v="820.32351633267695"/>
    <n v="2953.1646587976402"/>
  </r>
  <r>
    <x v="0"/>
    <x v="0"/>
    <x v="0"/>
    <x v="0"/>
    <x v="1"/>
    <s v="DK2_Medium"/>
    <x v="0"/>
    <x v="15"/>
    <n v="997.74469040712199"/>
    <n v="3591.8808854656399"/>
  </r>
  <r>
    <x v="0"/>
    <x v="0"/>
    <x v="0"/>
    <x v="0"/>
    <x v="1"/>
    <s v="DK2_Medium"/>
    <x v="0"/>
    <x v="16"/>
    <n v="1175.16586448157"/>
    <n v="4230.5971121336397"/>
  </r>
  <r>
    <x v="0"/>
    <x v="0"/>
    <x v="0"/>
    <x v="0"/>
    <x v="1"/>
    <s v="DK2_Medium"/>
    <x v="0"/>
    <x v="17"/>
    <n v="1352.5870385560099"/>
    <n v="4869.3133388016404"/>
  </r>
  <r>
    <x v="0"/>
    <x v="0"/>
    <x v="0"/>
    <x v="0"/>
    <x v="1"/>
    <s v="DK2_Medium"/>
    <x v="0"/>
    <x v="18"/>
    <n v="1530.0082126304601"/>
    <n v="5508.0295654696401"/>
  </r>
  <r>
    <x v="0"/>
    <x v="0"/>
    <x v="0"/>
    <x v="0"/>
    <x v="1"/>
    <s v="DK2_Medium"/>
    <x v="0"/>
    <x v="19"/>
    <n v="1707.4293867049"/>
    <n v="6146.7457921376399"/>
  </r>
  <r>
    <x v="0"/>
    <x v="0"/>
    <x v="0"/>
    <x v="0"/>
    <x v="1"/>
    <s v="DK2_Medium"/>
    <x v="0"/>
    <x v="20"/>
    <n v="1884.85056077935"/>
    <n v="6785.4620188056397"/>
  </r>
  <r>
    <x v="0"/>
    <x v="0"/>
    <x v="0"/>
    <x v="0"/>
    <x v="1"/>
    <s v="DK2_Medium"/>
    <x v="0"/>
    <x v="21"/>
    <n v="2062.2717348537899"/>
    <n v="7424.1782454736503"/>
  </r>
  <r>
    <x v="0"/>
    <x v="0"/>
    <x v="0"/>
    <x v="0"/>
    <x v="1"/>
    <s v="DK2_Medium"/>
    <x v="0"/>
    <x v="22"/>
    <n v="2177.1290262078601"/>
    <n v="7837.6644943483097"/>
  </r>
  <r>
    <x v="0"/>
    <x v="0"/>
    <x v="0"/>
    <x v="0"/>
    <x v="1"/>
    <s v="DK2_Medium"/>
    <x v="0"/>
    <x v="23"/>
    <n v="1067.1287111133299"/>
    <n v="3841.6633600079999"/>
  </r>
  <r>
    <x v="0"/>
    <x v="0"/>
    <x v="0"/>
    <x v="0"/>
    <x v="1"/>
    <s v="DK2_Rural"/>
    <x v="0"/>
    <x v="0"/>
    <n v="0"/>
    <n v="0"/>
  </r>
  <r>
    <x v="0"/>
    <x v="0"/>
    <x v="0"/>
    <x v="0"/>
    <x v="1"/>
    <s v="DK2_Rural"/>
    <x v="0"/>
    <x v="1"/>
    <n v="0"/>
    <n v="0"/>
  </r>
  <r>
    <x v="0"/>
    <x v="0"/>
    <x v="0"/>
    <x v="0"/>
    <x v="1"/>
    <s v="DK2_Rural"/>
    <x v="0"/>
    <x v="2"/>
    <n v="0"/>
    <n v="0"/>
  </r>
  <r>
    <x v="0"/>
    <x v="0"/>
    <x v="0"/>
    <x v="0"/>
    <x v="1"/>
    <s v="DK2_Rural"/>
    <x v="0"/>
    <x v="3"/>
    <n v="0"/>
    <n v="0"/>
  </r>
  <r>
    <x v="0"/>
    <x v="0"/>
    <x v="0"/>
    <x v="0"/>
    <x v="1"/>
    <s v="DK2_Rural"/>
    <x v="0"/>
    <x v="4"/>
    <n v="0"/>
    <n v="0"/>
  </r>
  <r>
    <x v="0"/>
    <x v="0"/>
    <x v="0"/>
    <x v="0"/>
    <x v="1"/>
    <s v="DK2_Rural"/>
    <x v="0"/>
    <x v="5"/>
    <n v="0"/>
    <n v="0"/>
  </r>
  <r>
    <x v="0"/>
    <x v="0"/>
    <x v="0"/>
    <x v="0"/>
    <x v="1"/>
    <s v="DK2_Rural"/>
    <x v="0"/>
    <x v="6"/>
    <n v="0"/>
    <n v="0"/>
  </r>
  <r>
    <x v="0"/>
    <x v="0"/>
    <x v="0"/>
    <x v="0"/>
    <x v="1"/>
    <s v="DK2_Rural"/>
    <x v="0"/>
    <x v="7"/>
    <n v="0"/>
    <n v="0"/>
  </r>
  <r>
    <x v="0"/>
    <x v="0"/>
    <x v="0"/>
    <x v="0"/>
    <x v="1"/>
    <s v="DK2_Rural"/>
    <x v="0"/>
    <x v="8"/>
    <n v="0"/>
    <n v="0"/>
  </r>
  <r>
    <x v="0"/>
    <x v="0"/>
    <x v="0"/>
    <x v="0"/>
    <x v="1"/>
    <s v="DK2_Rural"/>
    <x v="0"/>
    <x v="9"/>
    <n v="0"/>
    <n v="0"/>
  </r>
  <r>
    <x v="0"/>
    <x v="0"/>
    <x v="0"/>
    <x v="0"/>
    <x v="1"/>
    <s v="DK2_Rural"/>
    <x v="0"/>
    <x v="10"/>
    <n v="0"/>
    <n v="0"/>
  </r>
  <r>
    <x v="0"/>
    <x v="0"/>
    <x v="0"/>
    <x v="0"/>
    <x v="1"/>
    <s v="DK2_Rural"/>
    <x v="0"/>
    <x v="11"/>
    <n v="0"/>
    <n v="0"/>
  </r>
  <r>
    <x v="0"/>
    <x v="0"/>
    <x v="0"/>
    <x v="0"/>
    <x v="1"/>
    <s v="DK2_Rural"/>
    <x v="0"/>
    <x v="12"/>
    <n v="0"/>
    <n v="0"/>
  </r>
  <r>
    <x v="0"/>
    <x v="0"/>
    <x v="0"/>
    <x v="0"/>
    <x v="1"/>
    <s v="DK2_Rural"/>
    <x v="0"/>
    <x v="13"/>
    <n v="0"/>
    <n v="0"/>
  </r>
  <r>
    <x v="0"/>
    <x v="0"/>
    <x v="0"/>
    <x v="0"/>
    <x v="1"/>
    <s v="DK2_Rural"/>
    <x v="0"/>
    <x v="14"/>
    <n v="0"/>
    <n v="0"/>
  </r>
  <r>
    <x v="0"/>
    <x v="0"/>
    <x v="0"/>
    <x v="0"/>
    <x v="1"/>
    <s v="DK2_Rural"/>
    <x v="0"/>
    <x v="15"/>
    <n v="0"/>
    <n v="0"/>
  </r>
  <r>
    <x v="0"/>
    <x v="0"/>
    <x v="0"/>
    <x v="0"/>
    <x v="1"/>
    <s v="DK2_Rural"/>
    <x v="0"/>
    <x v="16"/>
    <n v="0"/>
    <n v="0"/>
  </r>
  <r>
    <x v="0"/>
    <x v="0"/>
    <x v="0"/>
    <x v="0"/>
    <x v="1"/>
    <s v="DK2_Rural"/>
    <x v="0"/>
    <x v="17"/>
    <n v="0"/>
    <n v="0"/>
  </r>
  <r>
    <x v="0"/>
    <x v="0"/>
    <x v="0"/>
    <x v="0"/>
    <x v="1"/>
    <s v="DK2_Rural"/>
    <x v="0"/>
    <x v="18"/>
    <n v="0"/>
    <n v="0"/>
  </r>
  <r>
    <x v="0"/>
    <x v="0"/>
    <x v="0"/>
    <x v="0"/>
    <x v="1"/>
    <s v="DK2_Rural"/>
    <x v="0"/>
    <x v="19"/>
    <n v="0"/>
    <n v="0"/>
  </r>
  <r>
    <x v="0"/>
    <x v="0"/>
    <x v="0"/>
    <x v="0"/>
    <x v="1"/>
    <s v="DK2_Rural"/>
    <x v="0"/>
    <x v="20"/>
    <n v="0"/>
    <n v="0"/>
  </r>
  <r>
    <x v="0"/>
    <x v="0"/>
    <x v="0"/>
    <x v="0"/>
    <x v="1"/>
    <s v="DK2_Rural"/>
    <x v="0"/>
    <x v="21"/>
    <n v="0"/>
    <n v="0"/>
  </r>
  <r>
    <x v="0"/>
    <x v="0"/>
    <x v="0"/>
    <x v="0"/>
    <x v="1"/>
    <s v="DK2_Rural"/>
    <x v="0"/>
    <x v="22"/>
    <n v="0"/>
    <n v="0"/>
  </r>
  <r>
    <x v="0"/>
    <x v="0"/>
    <x v="0"/>
    <x v="0"/>
    <x v="1"/>
    <s v="DK2_Rural"/>
    <x v="0"/>
    <x v="23"/>
    <n v="0"/>
    <n v="0"/>
  </r>
  <r>
    <x v="0"/>
    <x v="0"/>
    <x v="0"/>
    <x v="0"/>
    <x v="1"/>
    <s v="DK2_Small"/>
    <x v="0"/>
    <x v="0"/>
    <n v="7.0201492160094103"/>
    <n v="25.2725371776339"/>
  </r>
  <r>
    <x v="0"/>
    <x v="0"/>
    <x v="0"/>
    <x v="0"/>
    <x v="1"/>
    <s v="DK2_Small"/>
    <x v="0"/>
    <x v="1"/>
    <n v="16.611499792755598"/>
    <n v="59.801399253920103"/>
  </r>
  <r>
    <x v="0"/>
    <x v="0"/>
    <x v="0"/>
    <x v="0"/>
    <x v="1"/>
    <s v="DK2_Small"/>
    <x v="0"/>
    <x v="2"/>
    <n v="26.2028503695017"/>
    <n v="94.330261330206298"/>
  </r>
  <r>
    <x v="0"/>
    <x v="0"/>
    <x v="0"/>
    <x v="0"/>
    <x v="1"/>
    <s v="DK2_Small"/>
    <x v="0"/>
    <x v="3"/>
    <n v="35.794200946247898"/>
    <n v="128.85912340649199"/>
  </r>
  <r>
    <x v="0"/>
    <x v="0"/>
    <x v="0"/>
    <x v="0"/>
    <x v="1"/>
    <s v="DK2_Small"/>
    <x v="0"/>
    <x v="4"/>
    <n v="45.385551522994099"/>
    <n v="163.38798548277899"/>
  </r>
  <r>
    <x v="0"/>
    <x v="0"/>
    <x v="0"/>
    <x v="0"/>
    <x v="1"/>
    <s v="DK2_Small"/>
    <x v="0"/>
    <x v="5"/>
    <n v="54.976902099740201"/>
    <n v="197.91684755906499"/>
  </r>
  <r>
    <x v="0"/>
    <x v="0"/>
    <x v="0"/>
    <x v="0"/>
    <x v="1"/>
    <s v="DK2_Small"/>
    <x v="0"/>
    <x v="6"/>
    <n v="64.568252676486395"/>
    <n v="232.44570963535099"/>
  </r>
  <r>
    <x v="0"/>
    <x v="0"/>
    <x v="0"/>
    <x v="0"/>
    <x v="1"/>
    <s v="DK2_Small"/>
    <x v="0"/>
    <x v="7"/>
    <n v="40.228407402165502"/>
    <n v="144.822266647796"/>
  </r>
  <r>
    <x v="0"/>
    <x v="0"/>
    <x v="0"/>
    <x v="0"/>
    <x v="1"/>
    <s v="DK2_Small"/>
    <x v="0"/>
    <x v="8"/>
    <n v="0"/>
    <n v="0"/>
  </r>
  <r>
    <x v="0"/>
    <x v="0"/>
    <x v="0"/>
    <x v="0"/>
    <x v="1"/>
    <s v="DK2_Small"/>
    <x v="0"/>
    <x v="9"/>
    <n v="0"/>
    <n v="0"/>
  </r>
  <r>
    <x v="0"/>
    <x v="0"/>
    <x v="0"/>
    <x v="0"/>
    <x v="1"/>
    <s v="DK2_Small"/>
    <x v="0"/>
    <x v="10"/>
    <n v="0"/>
    <n v="0"/>
  </r>
  <r>
    <x v="0"/>
    <x v="0"/>
    <x v="0"/>
    <x v="0"/>
    <x v="1"/>
    <s v="DK2_Small"/>
    <x v="0"/>
    <x v="11"/>
    <n v="0"/>
    <n v="0"/>
  </r>
  <r>
    <x v="0"/>
    <x v="0"/>
    <x v="0"/>
    <x v="0"/>
    <x v="1"/>
    <s v="DK2_Small"/>
    <x v="0"/>
    <x v="12"/>
    <n v="0"/>
    <n v="0"/>
  </r>
  <r>
    <x v="0"/>
    <x v="0"/>
    <x v="0"/>
    <x v="0"/>
    <x v="1"/>
    <s v="DK2_Small"/>
    <x v="0"/>
    <x v="13"/>
    <n v="0"/>
    <n v="0"/>
  </r>
  <r>
    <x v="0"/>
    <x v="0"/>
    <x v="0"/>
    <x v="0"/>
    <x v="1"/>
    <s v="DK2_Small"/>
    <x v="0"/>
    <x v="14"/>
    <n v="0"/>
    <n v="0"/>
  </r>
  <r>
    <x v="0"/>
    <x v="0"/>
    <x v="0"/>
    <x v="0"/>
    <x v="1"/>
    <s v="DK2_Small"/>
    <x v="0"/>
    <x v="15"/>
    <n v="0"/>
    <n v="0"/>
  </r>
  <r>
    <x v="0"/>
    <x v="0"/>
    <x v="0"/>
    <x v="0"/>
    <x v="1"/>
    <s v="DK2_Small"/>
    <x v="0"/>
    <x v="16"/>
    <n v="0"/>
    <n v="0"/>
  </r>
  <r>
    <x v="0"/>
    <x v="0"/>
    <x v="0"/>
    <x v="0"/>
    <x v="1"/>
    <s v="DK2_Small"/>
    <x v="0"/>
    <x v="17"/>
    <n v="0"/>
    <n v="0"/>
  </r>
  <r>
    <x v="0"/>
    <x v="0"/>
    <x v="0"/>
    <x v="0"/>
    <x v="1"/>
    <s v="DK2_Small"/>
    <x v="0"/>
    <x v="18"/>
    <n v="0"/>
    <n v="0"/>
  </r>
  <r>
    <x v="0"/>
    <x v="0"/>
    <x v="0"/>
    <x v="0"/>
    <x v="1"/>
    <s v="DK2_Small"/>
    <x v="0"/>
    <x v="19"/>
    <n v="0"/>
    <n v="0"/>
  </r>
  <r>
    <x v="0"/>
    <x v="0"/>
    <x v="0"/>
    <x v="0"/>
    <x v="1"/>
    <s v="DK2_Small"/>
    <x v="0"/>
    <x v="20"/>
    <n v="0"/>
    <n v="0"/>
  </r>
  <r>
    <x v="0"/>
    <x v="0"/>
    <x v="0"/>
    <x v="0"/>
    <x v="1"/>
    <s v="DK2_Small"/>
    <x v="0"/>
    <x v="21"/>
    <n v="0"/>
    <n v="0"/>
  </r>
  <r>
    <x v="0"/>
    <x v="0"/>
    <x v="0"/>
    <x v="0"/>
    <x v="1"/>
    <s v="DK2_Small"/>
    <x v="0"/>
    <x v="22"/>
    <n v="0"/>
    <n v="0"/>
  </r>
  <r>
    <x v="0"/>
    <x v="0"/>
    <x v="0"/>
    <x v="0"/>
    <x v="1"/>
    <s v="DK2_Small"/>
    <x v="0"/>
    <x v="23"/>
    <n v="1.1472858558185299"/>
    <n v="4.1302290809466999"/>
  </r>
  <r>
    <x v="0"/>
    <x v="0"/>
    <x v="0"/>
    <x v="1"/>
    <x v="2"/>
    <s v="EE_A"/>
    <x v="0"/>
    <x v="0"/>
    <n v="0"/>
    <n v="0"/>
  </r>
  <r>
    <x v="0"/>
    <x v="0"/>
    <x v="0"/>
    <x v="1"/>
    <x v="2"/>
    <s v="EE_A"/>
    <x v="0"/>
    <x v="1"/>
    <n v="0"/>
    <n v="0"/>
  </r>
  <r>
    <x v="0"/>
    <x v="0"/>
    <x v="0"/>
    <x v="1"/>
    <x v="2"/>
    <s v="EE_A"/>
    <x v="0"/>
    <x v="2"/>
    <n v="0"/>
    <n v="0"/>
  </r>
  <r>
    <x v="0"/>
    <x v="0"/>
    <x v="0"/>
    <x v="1"/>
    <x v="2"/>
    <s v="EE_A"/>
    <x v="0"/>
    <x v="3"/>
    <n v="0"/>
    <n v="0"/>
  </r>
  <r>
    <x v="0"/>
    <x v="0"/>
    <x v="0"/>
    <x v="1"/>
    <x v="2"/>
    <s v="EE_A"/>
    <x v="0"/>
    <x v="4"/>
    <n v="0"/>
    <n v="0"/>
  </r>
  <r>
    <x v="0"/>
    <x v="0"/>
    <x v="0"/>
    <x v="1"/>
    <x v="2"/>
    <s v="EE_A"/>
    <x v="0"/>
    <x v="5"/>
    <n v="0"/>
    <n v="0"/>
  </r>
  <r>
    <x v="0"/>
    <x v="0"/>
    <x v="0"/>
    <x v="1"/>
    <x v="2"/>
    <s v="EE_A"/>
    <x v="0"/>
    <x v="6"/>
    <n v="0"/>
    <n v="0"/>
  </r>
  <r>
    <x v="0"/>
    <x v="0"/>
    <x v="0"/>
    <x v="1"/>
    <x v="2"/>
    <s v="EE_A"/>
    <x v="0"/>
    <x v="7"/>
    <n v="0"/>
    <n v="0"/>
  </r>
  <r>
    <x v="0"/>
    <x v="0"/>
    <x v="0"/>
    <x v="1"/>
    <x v="2"/>
    <s v="EE_A"/>
    <x v="0"/>
    <x v="8"/>
    <n v="0"/>
    <n v="0"/>
  </r>
  <r>
    <x v="0"/>
    <x v="0"/>
    <x v="0"/>
    <x v="1"/>
    <x v="2"/>
    <s v="EE_A"/>
    <x v="0"/>
    <x v="9"/>
    <n v="0"/>
    <n v="0"/>
  </r>
  <r>
    <x v="0"/>
    <x v="0"/>
    <x v="0"/>
    <x v="1"/>
    <x v="2"/>
    <s v="EE_A"/>
    <x v="0"/>
    <x v="10"/>
    <n v="0"/>
    <n v="0"/>
  </r>
  <r>
    <x v="0"/>
    <x v="0"/>
    <x v="0"/>
    <x v="1"/>
    <x v="2"/>
    <s v="EE_A"/>
    <x v="0"/>
    <x v="11"/>
    <n v="0"/>
    <n v="0"/>
  </r>
  <r>
    <x v="0"/>
    <x v="0"/>
    <x v="0"/>
    <x v="1"/>
    <x v="2"/>
    <s v="EE_A"/>
    <x v="0"/>
    <x v="12"/>
    <n v="0"/>
    <n v="0"/>
  </r>
  <r>
    <x v="0"/>
    <x v="0"/>
    <x v="0"/>
    <x v="1"/>
    <x v="2"/>
    <s v="EE_A"/>
    <x v="0"/>
    <x v="13"/>
    <n v="0"/>
    <n v="0"/>
  </r>
  <r>
    <x v="0"/>
    <x v="0"/>
    <x v="0"/>
    <x v="1"/>
    <x v="2"/>
    <s v="EE_A"/>
    <x v="0"/>
    <x v="14"/>
    <n v="0"/>
    <n v="0"/>
  </r>
  <r>
    <x v="0"/>
    <x v="0"/>
    <x v="0"/>
    <x v="1"/>
    <x v="2"/>
    <s v="EE_A"/>
    <x v="0"/>
    <x v="15"/>
    <n v="0"/>
    <n v="0"/>
  </r>
  <r>
    <x v="0"/>
    <x v="0"/>
    <x v="0"/>
    <x v="1"/>
    <x v="2"/>
    <s v="EE_A"/>
    <x v="0"/>
    <x v="16"/>
    <n v="0"/>
    <n v="0"/>
  </r>
  <r>
    <x v="0"/>
    <x v="0"/>
    <x v="0"/>
    <x v="1"/>
    <x v="2"/>
    <s v="EE_A"/>
    <x v="0"/>
    <x v="17"/>
    <n v="0"/>
    <n v="0"/>
  </r>
  <r>
    <x v="0"/>
    <x v="0"/>
    <x v="0"/>
    <x v="1"/>
    <x v="2"/>
    <s v="EE_A"/>
    <x v="0"/>
    <x v="18"/>
    <n v="0"/>
    <n v="0"/>
  </r>
  <r>
    <x v="0"/>
    <x v="0"/>
    <x v="0"/>
    <x v="1"/>
    <x v="2"/>
    <s v="EE_A"/>
    <x v="0"/>
    <x v="19"/>
    <n v="0"/>
    <n v="0"/>
  </r>
  <r>
    <x v="0"/>
    <x v="0"/>
    <x v="0"/>
    <x v="1"/>
    <x v="2"/>
    <s v="EE_A"/>
    <x v="0"/>
    <x v="20"/>
    <n v="0"/>
    <n v="0"/>
  </r>
  <r>
    <x v="0"/>
    <x v="0"/>
    <x v="0"/>
    <x v="1"/>
    <x v="2"/>
    <s v="EE_A"/>
    <x v="0"/>
    <x v="21"/>
    <n v="0"/>
    <n v="0"/>
  </r>
  <r>
    <x v="0"/>
    <x v="0"/>
    <x v="0"/>
    <x v="1"/>
    <x v="2"/>
    <s v="EE_A"/>
    <x v="0"/>
    <x v="22"/>
    <n v="0"/>
    <n v="0"/>
  </r>
  <r>
    <x v="0"/>
    <x v="0"/>
    <x v="0"/>
    <x v="1"/>
    <x v="2"/>
    <s v="EE_A"/>
    <x v="0"/>
    <x v="23"/>
    <n v="0"/>
    <n v="0"/>
  </r>
  <r>
    <x v="0"/>
    <x v="0"/>
    <x v="0"/>
    <x v="1"/>
    <x v="2"/>
    <s v="EE_Industry"/>
    <x v="0"/>
    <x v="0"/>
    <n v="0"/>
    <n v="0"/>
  </r>
  <r>
    <x v="0"/>
    <x v="0"/>
    <x v="0"/>
    <x v="1"/>
    <x v="2"/>
    <s v="EE_Industry"/>
    <x v="0"/>
    <x v="1"/>
    <n v="0"/>
    <n v="0"/>
  </r>
  <r>
    <x v="0"/>
    <x v="0"/>
    <x v="0"/>
    <x v="1"/>
    <x v="2"/>
    <s v="EE_Industry"/>
    <x v="0"/>
    <x v="2"/>
    <n v="0"/>
    <n v="0"/>
  </r>
  <r>
    <x v="0"/>
    <x v="0"/>
    <x v="0"/>
    <x v="1"/>
    <x v="2"/>
    <s v="EE_Industry"/>
    <x v="0"/>
    <x v="3"/>
    <n v="0"/>
    <n v="0"/>
  </r>
  <r>
    <x v="0"/>
    <x v="0"/>
    <x v="0"/>
    <x v="1"/>
    <x v="2"/>
    <s v="EE_Industry"/>
    <x v="0"/>
    <x v="4"/>
    <n v="0"/>
    <n v="0"/>
  </r>
  <r>
    <x v="0"/>
    <x v="0"/>
    <x v="0"/>
    <x v="1"/>
    <x v="2"/>
    <s v="EE_Industry"/>
    <x v="0"/>
    <x v="5"/>
    <n v="0"/>
    <n v="0"/>
  </r>
  <r>
    <x v="0"/>
    <x v="0"/>
    <x v="0"/>
    <x v="1"/>
    <x v="2"/>
    <s v="EE_Industry"/>
    <x v="0"/>
    <x v="6"/>
    <n v="0"/>
    <n v="0"/>
  </r>
  <r>
    <x v="0"/>
    <x v="0"/>
    <x v="0"/>
    <x v="1"/>
    <x v="2"/>
    <s v="EE_Industry"/>
    <x v="0"/>
    <x v="7"/>
    <n v="0"/>
    <n v="0"/>
  </r>
  <r>
    <x v="0"/>
    <x v="0"/>
    <x v="0"/>
    <x v="1"/>
    <x v="2"/>
    <s v="EE_Industry"/>
    <x v="0"/>
    <x v="8"/>
    <n v="0"/>
    <n v="0"/>
  </r>
  <r>
    <x v="0"/>
    <x v="0"/>
    <x v="0"/>
    <x v="1"/>
    <x v="2"/>
    <s v="EE_Industry"/>
    <x v="0"/>
    <x v="9"/>
    <n v="0"/>
    <n v="0"/>
  </r>
  <r>
    <x v="0"/>
    <x v="0"/>
    <x v="0"/>
    <x v="1"/>
    <x v="2"/>
    <s v="EE_Industry"/>
    <x v="0"/>
    <x v="10"/>
    <n v="0"/>
    <n v="0"/>
  </r>
  <r>
    <x v="0"/>
    <x v="0"/>
    <x v="0"/>
    <x v="1"/>
    <x v="2"/>
    <s v="EE_Industry"/>
    <x v="0"/>
    <x v="11"/>
    <n v="0"/>
    <n v="0"/>
  </r>
  <r>
    <x v="0"/>
    <x v="0"/>
    <x v="0"/>
    <x v="1"/>
    <x v="2"/>
    <s v="EE_Industry"/>
    <x v="0"/>
    <x v="12"/>
    <n v="0"/>
    <n v="0"/>
  </r>
  <r>
    <x v="0"/>
    <x v="0"/>
    <x v="0"/>
    <x v="1"/>
    <x v="2"/>
    <s v="EE_Industry"/>
    <x v="0"/>
    <x v="13"/>
    <n v="0"/>
    <n v="0"/>
  </r>
  <r>
    <x v="0"/>
    <x v="0"/>
    <x v="0"/>
    <x v="1"/>
    <x v="2"/>
    <s v="EE_Industry"/>
    <x v="0"/>
    <x v="14"/>
    <n v="0"/>
    <n v="0"/>
  </r>
  <r>
    <x v="0"/>
    <x v="0"/>
    <x v="0"/>
    <x v="1"/>
    <x v="2"/>
    <s v="EE_Industry"/>
    <x v="0"/>
    <x v="15"/>
    <n v="0"/>
    <n v="0"/>
  </r>
  <r>
    <x v="0"/>
    <x v="0"/>
    <x v="0"/>
    <x v="1"/>
    <x v="2"/>
    <s v="EE_Industry"/>
    <x v="0"/>
    <x v="16"/>
    <n v="0"/>
    <n v="0"/>
  </r>
  <r>
    <x v="0"/>
    <x v="0"/>
    <x v="0"/>
    <x v="1"/>
    <x v="2"/>
    <s v="EE_Industry"/>
    <x v="0"/>
    <x v="17"/>
    <n v="0"/>
    <n v="0"/>
  </r>
  <r>
    <x v="0"/>
    <x v="0"/>
    <x v="0"/>
    <x v="1"/>
    <x v="2"/>
    <s v="EE_Industry"/>
    <x v="0"/>
    <x v="18"/>
    <n v="0"/>
    <n v="0"/>
  </r>
  <r>
    <x v="0"/>
    <x v="0"/>
    <x v="0"/>
    <x v="1"/>
    <x v="2"/>
    <s v="EE_Industry"/>
    <x v="0"/>
    <x v="19"/>
    <n v="0"/>
    <n v="0"/>
  </r>
  <r>
    <x v="0"/>
    <x v="0"/>
    <x v="0"/>
    <x v="1"/>
    <x v="2"/>
    <s v="EE_Industry"/>
    <x v="0"/>
    <x v="20"/>
    <n v="0"/>
    <n v="0"/>
  </r>
  <r>
    <x v="0"/>
    <x v="0"/>
    <x v="0"/>
    <x v="1"/>
    <x v="2"/>
    <s v="EE_Industry"/>
    <x v="0"/>
    <x v="21"/>
    <n v="0"/>
    <n v="0"/>
  </r>
  <r>
    <x v="0"/>
    <x v="0"/>
    <x v="0"/>
    <x v="1"/>
    <x v="2"/>
    <s v="EE_Industry"/>
    <x v="0"/>
    <x v="22"/>
    <n v="0"/>
    <n v="0"/>
  </r>
  <r>
    <x v="0"/>
    <x v="0"/>
    <x v="0"/>
    <x v="1"/>
    <x v="2"/>
    <s v="EE_Industry"/>
    <x v="0"/>
    <x v="23"/>
    <n v="0"/>
    <n v="0"/>
  </r>
  <r>
    <x v="0"/>
    <x v="0"/>
    <x v="0"/>
    <x v="1"/>
    <x v="2"/>
    <s v="EE_Kohtla_Jarve"/>
    <x v="0"/>
    <x v="0"/>
    <n v="0"/>
    <n v="0"/>
  </r>
  <r>
    <x v="0"/>
    <x v="0"/>
    <x v="0"/>
    <x v="1"/>
    <x v="2"/>
    <s v="EE_Kohtla_Jarve"/>
    <x v="0"/>
    <x v="1"/>
    <n v="0"/>
    <n v="0"/>
  </r>
  <r>
    <x v="0"/>
    <x v="0"/>
    <x v="0"/>
    <x v="1"/>
    <x v="2"/>
    <s v="EE_Kohtla_Jarve"/>
    <x v="0"/>
    <x v="2"/>
    <n v="0"/>
    <n v="0"/>
  </r>
  <r>
    <x v="0"/>
    <x v="0"/>
    <x v="0"/>
    <x v="1"/>
    <x v="2"/>
    <s v="EE_Kohtla_Jarve"/>
    <x v="0"/>
    <x v="3"/>
    <n v="0"/>
    <n v="0"/>
  </r>
  <r>
    <x v="0"/>
    <x v="0"/>
    <x v="0"/>
    <x v="1"/>
    <x v="2"/>
    <s v="EE_Kohtla_Jarve"/>
    <x v="0"/>
    <x v="4"/>
    <n v="0"/>
    <n v="0"/>
  </r>
  <r>
    <x v="0"/>
    <x v="0"/>
    <x v="0"/>
    <x v="1"/>
    <x v="2"/>
    <s v="EE_Kohtla_Jarve"/>
    <x v="0"/>
    <x v="5"/>
    <n v="0"/>
    <n v="0"/>
  </r>
  <r>
    <x v="0"/>
    <x v="0"/>
    <x v="0"/>
    <x v="1"/>
    <x v="2"/>
    <s v="EE_Kohtla_Jarve"/>
    <x v="0"/>
    <x v="6"/>
    <n v="0"/>
    <n v="0"/>
  </r>
  <r>
    <x v="0"/>
    <x v="0"/>
    <x v="0"/>
    <x v="1"/>
    <x v="2"/>
    <s v="EE_Kohtla_Jarve"/>
    <x v="0"/>
    <x v="7"/>
    <n v="0"/>
    <n v="0"/>
  </r>
  <r>
    <x v="0"/>
    <x v="0"/>
    <x v="0"/>
    <x v="1"/>
    <x v="2"/>
    <s v="EE_Kohtla_Jarve"/>
    <x v="0"/>
    <x v="8"/>
    <n v="0"/>
    <n v="0"/>
  </r>
  <r>
    <x v="0"/>
    <x v="0"/>
    <x v="0"/>
    <x v="1"/>
    <x v="2"/>
    <s v="EE_Kohtla_Jarve"/>
    <x v="0"/>
    <x v="9"/>
    <n v="0"/>
    <n v="0"/>
  </r>
  <r>
    <x v="0"/>
    <x v="0"/>
    <x v="0"/>
    <x v="1"/>
    <x v="2"/>
    <s v="EE_Kohtla_Jarve"/>
    <x v="0"/>
    <x v="10"/>
    <n v="0"/>
    <n v="0"/>
  </r>
  <r>
    <x v="0"/>
    <x v="0"/>
    <x v="0"/>
    <x v="1"/>
    <x v="2"/>
    <s v="EE_Kohtla_Jarve"/>
    <x v="0"/>
    <x v="11"/>
    <n v="0"/>
    <n v="0"/>
  </r>
  <r>
    <x v="0"/>
    <x v="0"/>
    <x v="0"/>
    <x v="1"/>
    <x v="2"/>
    <s v="EE_Kohtla_Jarve"/>
    <x v="0"/>
    <x v="12"/>
    <n v="0"/>
    <n v="0"/>
  </r>
  <r>
    <x v="0"/>
    <x v="0"/>
    <x v="0"/>
    <x v="1"/>
    <x v="2"/>
    <s v="EE_Kohtla_Jarve"/>
    <x v="0"/>
    <x v="13"/>
    <n v="0"/>
    <n v="0"/>
  </r>
  <r>
    <x v="0"/>
    <x v="0"/>
    <x v="0"/>
    <x v="1"/>
    <x v="2"/>
    <s v="EE_Kohtla_Jarve"/>
    <x v="0"/>
    <x v="14"/>
    <n v="0"/>
    <n v="0"/>
  </r>
  <r>
    <x v="0"/>
    <x v="0"/>
    <x v="0"/>
    <x v="1"/>
    <x v="2"/>
    <s v="EE_Kohtla_Jarve"/>
    <x v="0"/>
    <x v="15"/>
    <n v="0"/>
    <n v="0"/>
  </r>
  <r>
    <x v="0"/>
    <x v="0"/>
    <x v="0"/>
    <x v="1"/>
    <x v="2"/>
    <s v="EE_Kohtla_Jarve"/>
    <x v="0"/>
    <x v="16"/>
    <n v="0"/>
    <n v="0"/>
  </r>
  <r>
    <x v="0"/>
    <x v="0"/>
    <x v="0"/>
    <x v="1"/>
    <x v="2"/>
    <s v="EE_Kohtla_Jarve"/>
    <x v="0"/>
    <x v="17"/>
    <n v="0"/>
    <n v="0"/>
  </r>
  <r>
    <x v="0"/>
    <x v="0"/>
    <x v="0"/>
    <x v="1"/>
    <x v="2"/>
    <s v="EE_Kohtla_Jarve"/>
    <x v="0"/>
    <x v="18"/>
    <n v="0"/>
    <n v="0"/>
  </r>
  <r>
    <x v="0"/>
    <x v="0"/>
    <x v="0"/>
    <x v="1"/>
    <x v="2"/>
    <s v="EE_Kohtla_Jarve"/>
    <x v="0"/>
    <x v="19"/>
    <n v="0"/>
    <n v="0"/>
  </r>
  <r>
    <x v="0"/>
    <x v="0"/>
    <x v="0"/>
    <x v="1"/>
    <x v="2"/>
    <s v="EE_Kohtla_Jarve"/>
    <x v="0"/>
    <x v="20"/>
    <n v="0"/>
    <n v="0"/>
  </r>
  <r>
    <x v="0"/>
    <x v="0"/>
    <x v="0"/>
    <x v="1"/>
    <x v="2"/>
    <s v="EE_Kohtla_Jarve"/>
    <x v="0"/>
    <x v="21"/>
    <n v="0"/>
    <n v="0"/>
  </r>
  <r>
    <x v="0"/>
    <x v="0"/>
    <x v="0"/>
    <x v="1"/>
    <x v="2"/>
    <s v="EE_Kohtla_Jarve"/>
    <x v="0"/>
    <x v="22"/>
    <n v="0"/>
    <n v="0"/>
  </r>
  <r>
    <x v="0"/>
    <x v="0"/>
    <x v="0"/>
    <x v="1"/>
    <x v="2"/>
    <s v="EE_Kohtla_Jarve"/>
    <x v="0"/>
    <x v="23"/>
    <n v="0"/>
    <n v="0"/>
  </r>
  <r>
    <x v="0"/>
    <x v="0"/>
    <x v="0"/>
    <x v="1"/>
    <x v="2"/>
    <s v="EE_Narva"/>
    <x v="0"/>
    <x v="0"/>
    <n v="16.5255011968984"/>
    <n v="59.491804308834197"/>
  </r>
  <r>
    <x v="0"/>
    <x v="0"/>
    <x v="0"/>
    <x v="1"/>
    <x v="2"/>
    <s v="EE_Narva"/>
    <x v="0"/>
    <x v="1"/>
    <n v="206.26780384671699"/>
    <n v="742.56409384818005"/>
  </r>
  <r>
    <x v="0"/>
    <x v="0"/>
    <x v="0"/>
    <x v="1"/>
    <x v="2"/>
    <s v="EE_Narva"/>
    <x v="0"/>
    <x v="2"/>
    <n v="216.25424082828599"/>
    <n v="778.51526698183"/>
  </r>
  <r>
    <x v="0"/>
    <x v="0"/>
    <x v="0"/>
    <x v="1"/>
    <x v="2"/>
    <s v="EE_Narva"/>
    <x v="0"/>
    <x v="3"/>
    <n v="16.5255011968984"/>
    <n v="59.491804308834197"/>
  </r>
  <r>
    <x v="0"/>
    <x v="0"/>
    <x v="0"/>
    <x v="1"/>
    <x v="2"/>
    <s v="EE_Narva"/>
    <x v="0"/>
    <x v="4"/>
    <n v="0"/>
    <n v="0"/>
  </r>
  <r>
    <x v="0"/>
    <x v="0"/>
    <x v="0"/>
    <x v="1"/>
    <x v="2"/>
    <s v="EE_Narva"/>
    <x v="0"/>
    <x v="5"/>
    <n v="0"/>
    <n v="0"/>
  </r>
  <r>
    <x v="0"/>
    <x v="0"/>
    <x v="0"/>
    <x v="1"/>
    <x v="2"/>
    <s v="EE_Narva"/>
    <x v="0"/>
    <x v="6"/>
    <n v="189.74230264981799"/>
    <n v="683.072289539346"/>
  </r>
  <r>
    <x v="0"/>
    <x v="0"/>
    <x v="0"/>
    <x v="1"/>
    <x v="2"/>
    <s v="EE_Narva"/>
    <x v="0"/>
    <x v="7"/>
    <n v="216.25424082828599"/>
    <n v="778.51526698183"/>
  </r>
  <r>
    <x v="0"/>
    <x v="0"/>
    <x v="0"/>
    <x v="1"/>
    <x v="2"/>
    <s v="EE_Narva"/>
    <x v="0"/>
    <x v="8"/>
    <n v="199.72873963138801"/>
    <n v="719.02346267299595"/>
  </r>
  <r>
    <x v="0"/>
    <x v="0"/>
    <x v="0"/>
    <x v="1"/>
    <x v="2"/>
    <s v="EE_Narva"/>
    <x v="0"/>
    <x v="9"/>
    <n v="0"/>
    <n v="0"/>
  </r>
  <r>
    <x v="0"/>
    <x v="0"/>
    <x v="0"/>
    <x v="1"/>
    <x v="2"/>
    <s v="EE_Narva"/>
    <x v="0"/>
    <x v="10"/>
    <n v="0"/>
    <n v="0"/>
  </r>
  <r>
    <x v="0"/>
    <x v="0"/>
    <x v="0"/>
    <x v="1"/>
    <x v="2"/>
    <s v="EE_Narva"/>
    <x v="0"/>
    <x v="11"/>
    <n v="0"/>
    <n v="0"/>
  </r>
  <r>
    <x v="0"/>
    <x v="0"/>
    <x v="0"/>
    <x v="1"/>
    <x v="2"/>
    <s v="EE_Narva"/>
    <x v="0"/>
    <x v="12"/>
    <n v="0"/>
    <n v="0"/>
  </r>
  <r>
    <x v="0"/>
    <x v="0"/>
    <x v="0"/>
    <x v="1"/>
    <x v="2"/>
    <s v="EE_Narva"/>
    <x v="0"/>
    <x v="13"/>
    <n v="0"/>
    <n v="0"/>
  </r>
  <r>
    <x v="0"/>
    <x v="0"/>
    <x v="0"/>
    <x v="1"/>
    <x v="2"/>
    <s v="EE_Narva"/>
    <x v="0"/>
    <x v="14"/>
    <n v="189.74230264981799"/>
    <n v="683.072289539346"/>
  </r>
  <r>
    <x v="0"/>
    <x v="0"/>
    <x v="0"/>
    <x v="1"/>
    <x v="2"/>
    <s v="EE_Narva"/>
    <x v="0"/>
    <x v="15"/>
    <n v="216.25424082828599"/>
    <n v="778.51526698183"/>
  </r>
  <r>
    <x v="0"/>
    <x v="0"/>
    <x v="0"/>
    <x v="1"/>
    <x v="2"/>
    <s v="EE_Narva"/>
    <x v="0"/>
    <x v="16"/>
    <n v="216.25424082828599"/>
    <n v="778.51526698183"/>
  </r>
  <r>
    <x v="0"/>
    <x v="0"/>
    <x v="0"/>
    <x v="1"/>
    <x v="2"/>
    <s v="EE_Narva"/>
    <x v="0"/>
    <x v="17"/>
    <n v="199.72873963138801"/>
    <n v="719.02346267299595"/>
  </r>
  <r>
    <x v="0"/>
    <x v="0"/>
    <x v="0"/>
    <x v="1"/>
    <x v="2"/>
    <s v="EE_Narva"/>
    <x v="0"/>
    <x v="18"/>
    <n v="0"/>
    <n v="0"/>
  </r>
  <r>
    <x v="0"/>
    <x v="0"/>
    <x v="0"/>
    <x v="1"/>
    <x v="2"/>
    <s v="EE_Narva"/>
    <x v="0"/>
    <x v="19"/>
    <n v="0"/>
    <n v="0"/>
  </r>
  <r>
    <x v="0"/>
    <x v="0"/>
    <x v="0"/>
    <x v="1"/>
    <x v="2"/>
    <s v="EE_Narva"/>
    <x v="0"/>
    <x v="20"/>
    <n v="0"/>
    <n v="0"/>
  </r>
  <r>
    <x v="0"/>
    <x v="0"/>
    <x v="0"/>
    <x v="1"/>
    <x v="2"/>
    <s v="EE_Narva"/>
    <x v="0"/>
    <x v="21"/>
    <n v="189.74230264981799"/>
    <n v="683.072289539346"/>
  </r>
  <r>
    <x v="0"/>
    <x v="0"/>
    <x v="0"/>
    <x v="1"/>
    <x v="2"/>
    <s v="EE_Narva"/>
    <x v="0"/>
    <x v="22"/>
    <n v="216.25424082828599"/>
    <n v="778.51526698183"/>
  </r>
  <r>
    <x v="0"/>
    <x v="0"/>
    <x v="0"/>
    <x v="1"/>
    <x v="2"/>
    <s v="EE_Narva"/>
    <x v="0"/>
    <x v="23"/>
    <n v="216.25424082828599"/>
    <n v="778.51526698183"/>
  </r>
  <r>
    <x v="0"/>
    <x v="0"/>
    <x v="0"/>
    <x v="1"/>
    <x v="2"/>
    <s v="EE_Parnu"/>
    <x v="0"/>
    <x v="0"/>
    <n v="0"/>
    <n v="0"/>
  </r>
  <r>
    <x v="0"/>
    <x v="0"/>
    <x v="0"/>
    <x v="1"/>
    <x v="2"/>
    <s v="EE_Parnu"/>
    <x v="0"/>
    <x v="1"/>
    <n v="0"/>
    <n v="0"/>
  </r>
  <r>
    <x v="0"/>
    <x v="0"/>
    <x v="0"/>
    <x v="1"/>
    <x v="2"/>
    <s v="EE_Parnu"/>
    <x v="0"/>
    <x v="2"/>
    <n v="0"/>
    <n v="0"/>
  </r>
  <r>
    <x v="0"/>
    <x v="0"/>
    <x v="0"/>
    <x v="1"/>
    <x v="2"/>
    <s v="EE_Parnu"/>
    <x v="0"/>
    <x v="3"/>
    <n v="0"/>
    <n v="0"/>
  </r>
  <r>
    <x v="0"/>
    <x v="0"/>
    <x v="0"/>
    <x v="1"/>
    <x v="2"/>
    <s v="EE_Parnu"/>
    <x v="0"/>
    <x v="4"/>
    <n v="0"/>
    <n v="0"/>
  </r>
  <r>
    <x v="0"/>
    <x v="0"/>
    <x v="0"/>
    <x v="1"/>
    <x v="2"/>
    <s v="EE_Parnu"/>
    <x v="0"/>
    <x v="5"/>
    <n v="0"/>
    <n v="0"/>
  </r>
  <r>
    <x v="0"/>
    <x v="0"/>
    <x v="0"/>
    <x v="1"/>
    <x v="2"/>
    <s v="EE_Parnu"/>
    <x v="0"/>
    <x v="6"/>
    <n v="0"/>
    <n v="0"/>
  </r>
  <r>
    <x v="0"/>
    <x v="0"/>
    <x v="0"/>
    <x v="1"/>
    <x v="2"/>
    <s v="EE_Parnu"/>
    <x v="0"/>
    <x v="7"/>
    <n v="0"/>
    <n v="0"/>
  </r>
  <r>
    <x v="0"/>
    <x v="0"/>
    <x v="0"/>
    <x v="1"/>
    <x v="2"/>
    <s v="EE_Parnu"/>
    <x v="0"/>
    <x v="8"/>
    <n v="0"/>
    <n v="0"/>
  </r>
  <r>
    <x v="0"/>
    <x v="0"/>
    <x v="0"/>
    <x v="1"/>
    <x v="2"/>
    <s v="EE_Parnu"/>
    <x v="0"/>
    <x v="9"/>
    <n v="0"/>
    <n v="0"/>
  </r>
  <r>
    <x v="0"/>
    <x v="0"/>
    <x v="0"/>
    <x v="1"/>
    <x v="2"/>
    <s v="EE_Parnu"/>
    <x v="0"/>
    <x v="10"/>
    <n v="0"/>
    <n v="0"/>
  </r>
  <r>
    <x v="0"/>
    <x v="0"/>
    <x v="0"/>
    <x v="1"/>
    <x v="2"/>
    <s v="EE_Parnu"/>
    <x v="0"/>
    <x v="11"/>
    <n v="0"/>
    <n v="0"/>
  </r>
  <r>
    <x v="0"/>
    <x v="0"/>
    <x v="0"/>
    <x v="1"/>
    <x v="2"/>
    <s v="EE_Parnu"/>
    <x v="0"/>
    <x v="12"/>
    <n v="0"/>
    <n v="0"/>
  </r>
  <r>
    <x v="0"/>
    <x v="0"/>
    <x v="0"/>
    <x v="1"/>
    <x v="2"/>
    <s v="EE_Parnu"/>
    <x v="0"/>
    <x v="13"/>
    <n v="0"/>
    <n v="0"/>
  </r>
  <r>
    <x v="0"/>
    <x v="0"/>
    <x v="0"/>
    <x v="1"/>
    <x v="2"/>
    <s v="EE_Parnu"/>
    <x v="0"/>
    <x v="14"/>
    <n v="0"/>
    <n v="0"/>
  </r>
  <r>
    <x v="0"/>
    <x v="0"/>
    <x v="0"/>
    <x v="1"/>
    <x v="2"/>
    <s v="EE_Parnu"/>
    <x v="0"/>
    <x v="15"/>
    <n v="0"/>
    <n v="0"/>
  </r>
  <r>
    <x v="0"/>
    <x v="0"/>
    <x v="0"/>
    <x v="1"/>
    <x v="2"/>
    <s v="EE_Parnu"/>
    <x v="0"/>
    <x v="16"/>
    <n v="0"/>
    <n v="0"/>
  </r>
  <r>
    <x v="0"/>
    <x v="0"/>
    <x v="0"/>
    <x v="1"/>
    <x v="2"/>
    <s v="EE_Parnu"/>
    <x v="0"/>
    <x v="17"/>
    <n v="0"/>
    <n v="0"/>
  </r>
  <r>
    <x v="0"/>
    <x v="0"/>
    <x v="0"/>
    <x v="1"/>
    <x v="2"/>
    <s v="EE_Parnu"/>
    <x v="0"/>
    <x v="18"/>
    <n v="0"/>
    <n v="0"/>
  </r>
  <r>
    <x v="0"/>
    <x v="0"/>
    <x v="0"/>
    <x v="1"/>
    <x v="2"/>
    <s v="EE_Parnu"/>
    <x v="0"/>
    <x v="19"/>
    <n v="0"/>
    <n v="0"/>
  </r>
  <r>
    <x v="0"/>
    <x v="0"/>
    <x v="0"/>
    <x v="1"/>
    <x v="2"/>
    <s v="EE_Parnu"/>
    <x v="0"/>
    <x v="20"/>
    <n v="0"/>
    <n v="0"/>
  </r>
  <r>
    <x v="0"/>
    <x v="0"/>
    <x v="0"/>
    <x v="1"/>
    <x v="2"/>
    <s v="EE_Parnu"/>
    <x v="0"/>
    <x v="21"/>
    <n v="0"/>
    <n v="0"/>
  </r>
  <r>
    <x v="0"/>
    <x v="0"/>
    <x v="0"/>
    <x v="1"/>
    <x v="2"/>
    <s v="EE_Parnu"/>
    <x v="0"/>
    <x v="22"/>
    <n v="0"/>
    <n v="0"/>
  </r>
  <r>
    <x v="0"/>
    <x v="0"/>
    <x v="0"/>
    <x v="1"/>
    <x v="2"/>
    <s v="EE_Parnu"/>
    <x v="0"/>
    <x v="23"/>
    <n v="0"/>
    <n v="0"/>
  </r>
  <r>
    <x v="0"/>
    <x v="0"/>
    <x v="0"/>
    <x v="1"/>
    <x v="2"/>
    <s v="EE_Tallinn"/>
    <x v="0"/>
    <x v="0"/>
    <n v="0"/>
    <n v="0"/>
  </r>
  <r>
    <x v="0"/>
    <x v="0"/>
    <x v="0"/>
    <x v="1"/>
    <x v="2"/>
    <s v="EE_Tallinn"/>
    <x v="0"/>
    <x v="1"/>
    <n v="0"/>
    <n v="0"/>
  </r>
  <r>
    <x v="0"/>
    <x v="0"/>
    <x v="0"/>
    <x v="1"/>
    <x v="2"/>
    <s v="EE_Tallinn"/>
    <x v="0"/>
    <x v="2"/>
    <n v="0"/>
    <n v="0"/>
  </r>
  <r>
    <x v="0"/>
    <x v="0"/>
    <x v="0"/>
    <x v="1"/>
    <x v="2"/>
    <s v="EE_Tallinn"/>
    <x v="0"/>
    <x v="3"/>
    <n v="0"/>
    <n v="0"/>
  </r>
  <r>
    <x v="0"/>
    <x v="0"/>
    <x v="0"/>
    <x v="1"/>
    <x v="2"/>
    <s v="EE_Tallinn"/>
    <x v="0"/>
    <x v="4"/>
    <n v="0"/>
    <n v="0"/>
  </r>
  <r>
    <x v="0"/>
    <x v="0"/>
    <x v="0"/>
    <x v="1"/>
    <x v="2"/>
    <s v="EE_Tallinn"/>
    <x v="0"/>
    <x v="5"/>
    <n v="0"/>
    <n v="0"/>
  </r>
  <r>
    <x v="0"/>
    <x v="0"/>
    <x v="0"/>
    <x v="1"/>
    <x v="2"/>
    <s v="EE_Tallinn"/>
    <x v="0"/>
    <x v="6"/>
    <n v="0"/>
    <n v="0"/>
  </r>
  <r>
    <x v="0"/>
    <x v="0"/>
    <x v="0"/>
    <x v="1"/>
    <x v="2"/>
    <s v="EE_Tallinn"/>
    <x v="0"/>
    <x v="7"/>
    <n v="0"/>
    <n v="0"/>
  </r>
  <r>
    <x v="0"/>
    <x v="0"/>
    <x v="0"/>
    <x v="1"/>
    <x v="2"/>
    <s v="EE_Tallinn"/>
    <x v="0"/>
    <x v="8"/>
    <n v="0"/>
    <n v="0"/>
  </r>
  <r>
    <x v="0"/>
    <x v="0"/>
    <x v="0"/>
    <x v="1"/>
    <x v="2"/>
    <s v="EE_Tallinn"/>
    <x v="0"/>
    <x v="9"/>
    <n v="0"/>
    <n v="0"/>
  </r>
  <r>
    <x v="0"/>
    <x v="0"/>
    <x v="0"/>
    <x v="1"/>
    <x v="2"/>
    <s v="EE_Tallinn"/>
    <x v="0"/>
    <x v="10"/>
    <n v="0"/>
    <n v="0"/>
  </r>
  <r>
    <x v="0"/>
    <x v="0"/>
    <x v="0"/>
    <x v="1"/>
    <x v="2"/>
    <s v="EE_Tallinn"/>
    <x v="0"/>
    <x v="11"/>
    <n v="0"/>
    <n v="0"/>
  </r>
  <r>
    <x v="0"/>
    <x v="0"/>
    <x v="0"/>
    <x v="1"/>
    <x v="2"/>
    <s v="EE_Tallinn"/>
    <x v="0"/>
    <x v="12"/>
    <n v="0"/>
    <n v="0"/>
  </r>
  <r>
    <x v="0"/>
    <x v="0"/>
    <x v="0"/>
    <x v="1"/>
    <x v="2"/>
    <s v="EE_Tallinn"/>
    <x v="0"/>
    <x v="13"/>
    <n v="0"/>
    <n v="0"/>
  </r>
  <r>
    <x v="0"/>
    <x v="0"/>
    <x v="0"/>
    <x v="1"/>
    <x v="2"/>
    <s v="EE_Tallinn"/>
    <x v="0"/>
    <x v="14"/>
    <n v="0"/>
    <n v="0"/>
  </r>
  <r>
    <x v="0"/>
    <x v="0"/>
    <x v="0"/>
    <x v="1"/>
    <x v="2"/>
    <s v="EE_Tallinn"/>
    <x v="0"/>
    <x v="15"/>
    <n v="0"/>
    <n v="0"/>
  </r>
  <r>
    <x v="0"/>
    <x v="0"/>
    <x v="0"/>
    <x v="1"/>
    <x v="2"/>
    <s v="EE_Tallinn"/>
    <x v="0"/>
    <x v="16"/>
    <n v="0"/>
    <n v="0"/>
  </r>
  <r>
    <x v="0"/>
    <x v="0"/>
    <x v="0"/>
    <x v="1"/>
    <x v="2"/>
    <s v="EE_Tallinn"/>
    <x v="0"/>
    <x v="17"/>
    <n v="0"/>
    <n v="0"/>
  </r>
  <r>
    <x v="0"/>
    <x v="0"/>
    <x v="0"/>
    <x v="1"/>
    <x v="2"/>
    <s v="EE_Tallinn"/>
    <x v="0"/>
    <x v="18"/>
    <n v="0"/>
    <n v="0"/>
  </r>
  <r>
    <x v="0"/>
    <x v="0"/>
    <x v="0"/>
    <x v="1"/>
    <x v="2"/>
    <s v="EE_Tallinn"/>
    <x v="0"/>
    <x v="19"/>
    <n v="0"/>
    <n v="0"/>
  </r>
  <r>
    <x v="0"/>
    <x v="0"/>
    <x v="0"/>
    <x v="1"/>
    <x v="2"/>
    <s v="EE_Tallinn"/>
    <x v="0"/>
    <x v="20"/>
    <n v="0"/>
    <n v="0"/>
  </r>
  <r>
    <x v="0"/>
    <x v="0"/>
    <x v="0"/>
    <x v="1"/>
    <x v="2"/>
    <s v="EE_Tallinn"/>
    <x v="0"/>
    <x v="21"/>
    <n v="0"/>
    <n v="0"/>
  </r>
  <r>
    <x v="0"/>
    <x v="0"/>
    <x v="0"/>
    <x v="1"/>
    <x v="2"/>
    <s v="EE_Tallinn"/>
    <x v="0"/>
    <x v="22"/>
    <n v="0"/>
    <n v="0"/>
  </r>
  <r>
    <x v="0"/>
    <x v="0"/>
    <x v="0"/>
    <x v="1"/>
    <x v="2"/>
    <s v="EE_Tallinn"/>
    <x v="0"/>
    <x v="23"/>
    <n v="0"/>
    <n v="0"/>
  </r>
  <r>
    <x v="0"/>
    <x v="0"/>
    <x v="0"/>
    <x v="1"/>
    <x v="2"/>
    <s v="EE_Tartu"/>
    <x v="0"/>
    <x v="0"/>
    <n v="0"/>
    <n v="0"/>
  </r>
  <r>
    <x v="0"/>
    <x v="0"/>
    <x v="0"/>
    <x v="1"/>
    <x v="2"/>
    <s v="EE_Tartu"/>
    <x v="0"/>
    <x v="1"/>
    <n v="0"/>
    <n v="0"/>
  </r>
  <r>
    <x v="0"/>
    <x v="0"/>
    <x v="0"/>
    <x v="1"/>
    <x v="2"/>
    <s v="EE_Tartu"/>
    <x v="0"/>
    <x v="2"/>
    <n v="0"/>
    <n v="0"/>
  </r>
  <r>
    <x v="0"/>
    <x v="0"/>
    <x v="0"/>
    <x v="1"/>
    <x v="2"/>
    <s v="EE_Tartu"/>
    <x v="0"/>
    <x v="3"/>
    <n v="0"/>
    <n v="0"/>
  </r>
  <r>
    <x v="0"/>
    <x v="0"/>
    <x v="0"/>
    <x v="1"/>
    <x v="2"/>
    <s v="EE_Tartu"/>
    <x v="0"/>
    <x v="4"/>
    <n v="0"/>
    <n v="0"/>
  </r>
  <r>
    <x v="0"/>
    <x v="0"/>
    <x v="0"/>
    <x v="1"/>
    <x v="2"/>
    <s v="EE_Tartu"/>
    <x v="0"/>
    <x v="5"/>
    <n v="0"/>
    <n v="0"/>
  </r>
  <r>
    <x v="0"/>
    <x v="0"/>
    <x v="0"/>
    <x v="1"/>
    <x v="2"/>
    <s v="EE_Tartu"/>
    <x v="0"/>
    <x v="6"/>
    <n v="0"/>
    <n v="0"/>
  </r>
  <r>
    <x v="0"/>
    <x v="0"/>
    <x v="0"/>
    <x v="1"/>
    <x v="2"/>
    <s v="EE_Tartu"/>
    <x v="0"/>
    <x v="7"/>
    <n v="0"/>
    <n v="0"/>
  </r>
  <r>
    <x v="0"/>
    <x v="0"/>
    <x v="0"/>
    <x v="1"/>
    <x v="2"/>
    <s v="EE_Tartu"/>
    <x v="0"/>
    <x v="8"/>
    <n v="0"/>
    <n v="0"/>
  </r>
  <r>
    <x v="0"/>
    <x v="0"/>
    <x v="0"/>
    <x v="1"/>
    <x v="2"/>
    <s v="EE_Tartu"/>
    <x v="0"/>
    <x v="9"/>
    <n v="0"/>
    <n v="0"/>
  </r>
  <r>
    <x v="0"/>
    <x v="0"/>
    <x v="0"/>
    <x v="1"/>
    <x v="2"/>
    <s v="EE_Tartu"/>
    <x v="0"/>
    <x v="10"/>
    <n v="0"/>
    <n v="0"/>
  </r>
  <r>
    <x v="0"/>
    <x v="0"/>
    <x v="0"/>
    <x v="1"/>
    <x v="2"/>
    <s v="EE_Tartu"/>
    <x v="0"/>
    <x v="11"/>
    <n v="0"/>
    <n v="0"/>
  </r>
  <r>
    <x v="0"/>
    <x v="0"/>
    <x v="0"/>
    <x v="1"/>
    <x v="2"/>
    <s v="EE_Tartu"/>
    <x v="0"/>
    <x v="12"/>
    <n v="0"/>
    <n v="0"/>
  </r>
  <r>
    <x v="0"/>
    <x v="0"/>
    <x v="0"/>
    <x v="1"/>
    <x v="2"/>
    <s v="EE_Tartu"/>
    <x v="0"/>
    <x v="13"/>
    <n v="0"/>
    <n v="0"/>
  </r>
  <r>
    <x v="0"/>
    <x v="0"/>
    <x v="0"/>
    <x v="1"/>
    <x v="2"/>
    <s v="EE_Tartu"/>
    <x v="0"/>
    <x v="14"/>
    <n v="0"/>
    <n v="0"/>
  </r>
  <r>
    <x v="0"/>
    <x v="0"/>
    <x v="0"/>
    <x v="1"/>
    <x v="2"/>
    <s v="EE_Tartu"/>
    <x v="0"/>
    <x v="15"/>
    <n v="0"/>
    <n v="0"/>
  </r>
  <r>
    <x v="0"/>
    <x v="0"/>
    <x v="0"/>
    <x v="1"/>
    <x v="2"/>
    <s v="EE_Tartu"/>
    <x v="0"/>
    <x v="16"/>
    <n v="0"/>
    <n v="0"/>
  </r>
  <r>
    <x v="0"/>
    <x v="0"/>
    <x v="0"/>
    <x v="1"/>
    <x v="2"/>
    <s v="EE_Tartu"/>
    <x v="0"/>
    <x v="17"/>
    <n v="0"/>
    <n v="0"/>
  </r>
  <r>
    <x v="0"/>
    <x v="0"/>
    <x v="0"/>
    <x v="1"/>
    <x v="2"/>
    <s v="EE_Tartu"/>
    <x v="0"/>
    <x v="18"/>
    <n v="0"/>
    <n v="0"/>
  </r>
  <r>
    <x v="0"/>
    <x v="0"/>
    <x v="0"/>
    <x v="1"/>
    <x v="2"/>
    <s v="EE_Tartu"/>
    <x v="0"/>
    <x v="19"/>
    <n v="0"/>
    <n v="0"/>
  </r>
  <r>
    <x v="0"/>
    <x v="0"/>
    <x v="0"/>
    <x v="1"/>
    <x v="2"/>
    <s v="EE_Tartu"/>
    <x v="0"/>
    <x v="20"/>
    <n v="0"/>
    <n v="0"/>
  </r>
  <r>
    <x v="0"/>
    <x v="0"/>
    <x v="0"/>
    <x v="1"/>
    <x v="2"/>
    <s v="EE_Tartu"/>
    <x v="0"/>
    <x v="21"/>
    <n v="0"/>
    <n v="0"/>
  </r>
  <r>
    <x v="0"/>
    <x v="0"/>
    <x v="0"/>
    <x v="1"/>
    <x v="2"/>
    <s v="EE_Tartu"/>
    <x v="0"/>
    <x v="22"/>
    <n v="0"/>
    <n v="0"/>
  </r>
  <r>
    <x v="0"/>
    <x v="0"/>
    <x v="0"/>
    <x v="1"/>
    <x v="2"/>
    <s v="EE_Tartu"/>
    <x v="0"/>
    <x v="23"/>
    <n v="0"/>
    <n v="0"/>
  </r>
  <r>
    <x v="0"/>
    <x v="0"/>
    <x v="0"/>
    <x v="2"/>
    <x v="3"/>
    <s v="FIN_EL"/>
    <x v="0"/>
    <x v="0"/>
    <n v="126.31593135758099"/>
    <n v="454.73735288729301"/>
  </r>
  <r>
    <x v="0"/>
    <x v="0"/>
    <x v="0"/>
    <x v="2"/>
    <x v="3"/>
    <s v="FIN_EL"/>
    <x v="0"/>
    <x v="1"/>
    <n v="685.63110950917496"/>
    <n v="2468.27199423303"/>
  </r>
  <r>
    <x v="0"/>
    <x v="0"/>
    <x v="0"/>
    <x v="2"/>
    <x v="3"/>
    <s v="FIN_EL"/>
    <x v="0"/>
    <x v="2"/>
    <n v="1264.8430499093399"/>
    <n v="4553.4349796736296"/>
  </r>
  <r>
    <x v="0"/>
    <x v="0"/>
    <x v="0"/>
    <x v="2"/>
    <x v="3"/>
    <s v="FIN_EL"/>
    <x v="0"/>
    <x v="3"/>
    <n v="1829.4215186221099"/>
    <n v="6585.9174670395796"/>
  </r>
  <r>
    <x v="0"/>
    <x v="0"/>
    <x v="0"/>
    <x v="2"/>
    <x v="3"/>
    <s v="FIN_EL"/>
    <x v="0"/>
    <x v="4"/>
    <n v="2338.1436343830001"/>
    <n v="8417.3170837788093"/>
  </r>
  <r>
    <x v="0"/>
    <x v="0"/>
    <x v="0"/>
    <x v="2"/>
    <x v="3"/>
    <s v="FIN_EL"/>
    <x v="0"/>
    <x v="5"/>
    <n v="2722.23576973746"/>
    <n v="9800.0487710548405"/>
  </r>
  <r>
    <x v="0"/>
    <x v="0"/>
    <x v="0"/>
    <x v="2"/>
    <x v="3"/>
    <s v="FIN_EL"/>
    <x v="0"/>
    <x v="6"/>
    <n v="2918.0040292805602"/>
    <n v="10504.81450541"/>
  </r>
  <r>
    <x v="0"/>
    <x v="0"/>
    <x v="0"/>
    <x v="2"/>
    <x v="3"/>
    <s v="FIN_EL"/>
    <x v="0"/>
    <x v="7"/>
    <n v="2914.8045896640401"/>
    <n v="10493.296522790601"/>
  </r>
  <r>
    <x v="0"/>
    <x v="0"/>
    <x v="0"/>
    <x v="2"/>
    <x v="3"/>
    <s v="FIN_EL"/>
    <x v="0"/>
    <x v="8"/>
    <n v="2428.3282113372202"/>
    <n v="8741.9815608140107"/>
  </r>
  <r>
    <x v="0"/>
    <x v="0"/>
    <x v="0"/>
    <x v="2"/>
    <x v="3"/>
    <s v="FIN_EL"/>
    <x v="0"/>
    <x v="9"/>
    <n v="1922.1434474796199"/>
    <n v="6919.7164109266196"/>
  </r>
  <r>
    <x v="0"/>
    <x v="0"/>
    <x v="0"/>
    <x v="2"/>
    <x v="3"/>
    <s v="FIN_EL"/>
    <x v="0"/>
    <x v="10"/>
    <n v="1580.8794979167601"/>
    <n v="5691.16619250032"/>
  </r>
  <r>
    <x v="0"/>
    <x v="0"/>
    <x v="0"/>
    <x v="2"/>
    <x v="3"/>
    <s v="FIN_EL"/>
    <x v="0"/>
    <x v="11"/>
    <n v="1334.3194202791401"/>
    <n v="4803.5499130049102"/>
  </r>
  <r>
    <x v="0"/>
    <x v="0"/>
    <x v="0"/>
    <x v="2"/>
    <x v="3"/>
    <s v="FIN_EL"/>
    <x v="0"/>
    <x v="12"/>
    <n v="1135.9629923095899"/>
    <n v="4089.4667723145199"/>
  </r>
  <r>
    <x v="0"/>
    <x v="0"/>
    <x v="0"/>
    <x v="2"/>
    <x v="3"/>
    <s v="FIN_EL"/>
    <x v="0"/>
    <x v="13"/>
    <n v="960.35843845628597"/>
    <n v="3457.2903784426298"/>
  </r>
  <r>
    <x v="0"/>
    <x v="0"/>
    <x v="0"/>
    <x v="2"/>
    <x v="3"/>
    <s v="FIN_EL"/>
    <x v="0"/>
    <x v="14"/>
    <n v="791.38762663564501"/>
    <n v="2848.9954558883201"/>
  </r>
  <r>
    <x v="0"/>
    <x v="0"/>
    <x v="0"/>
    <x v="2"/>
    <x v="3"/>
    <s v="FIN_EL"/>
    <x v="0"/>
    <x v="15"/>
    <n v="609.60042740751601"/>
    <n v="2194.5615386670602"/>
  </r>
  <r>
    <x v="0"/>
    <x v="0"/>
    <x v="0"/>
    <x v="2"/>
    <x v="3"/>
    <s v="FIN_EL"/>
    <x v="0"/>
    <x v="16"/>
    <n v="321.58611987722799"/>
    <n v="1157.7100315580201"/>
  </r>
  <r>
    <x v="0"/>
    <x v="0"/>
    <x v="0"/>
    <x v="2"/>
    <x v="3"/>
    <s v="FIN_EL"/>
    <x v="0"/>
    <x v="17"/>
    <n v="175.10952655410401"/>
    <n v="630.39429559477605"/>
  </r>
  <r>
    <x v="0"/>
    <x v="0"/>
    <x v="0"/>
    <x v="2"/>
    <x v="3"/>
    <s v="FIN_EL"/>
    <x v="0"/>
    <x v="18"/>
    <n v="110.792325457125"/>
    <n v="398.85237164565098"/>
  </r>
  <r>
    <x v="0"/>
    <x v="0"/>
    <x v="0"/>
    <x v="2"/>
    <x v="3"/>
    <s v="FIN_EL"/>
    <x v="0"/>
    <x v="19"/>
    <n v="30.1166089737272"/>
    <n v="108.419792305418"/>
  </r>
  <r>
    <x v="0"/>
    <x v="0"/>
    <x v="0"/>
    <x v="2"/>
    <x v="3"/>
    <s v="FIN_EL"/>
    <x v="0"/>
    <x v="20"/>
    <n v="0"/>
    <n v="0"/>
  </r>
  <r>
    <x v="0"/>
    <x v="0"/>
    <x v="0"/>
    <x v="2"/>
    <x v="3"/>
    <s v="FIN_EL"/>
    <x v="0"/>
    <x v="21"/>
    <n v="0"/>
    <n v="0"/>
  </r>
  <r>
    <x v="0"/>
    <x v="0"/>
    <x v="0"/>
    <x v="2"/>
    <x v="3"/>
    <s v="FIN_EL"/>
    <x v="0"/>
    <x v="22"/>
    <n v="0"/>
    <n v="0"/>
  </r>
  <r>
    <x v="0"/>
    <x v="0"/>
    <x v="0"/>
    <x v="2"/>
    <x v="3"/>
    <s v="FIN_EL"/>
    <x v="0"/>
    <x v="23"/>
    <n v="0.97532580815616599"/>
    <n v="3.5111729093621999"/>
  </r>
  <r>
    <x v="0"/>
    <x v="0"/>
    <x v="0"/>
    <x v="2"/>
    <x v="3"/>
    <s v="FIN_ESPOO"/>
    <x v="0"/>
    <x v="0"/>
    <n v="0"/>
    <n v="0"/>
  </r>
  <r>
    <x v="0"/>
    <x v="0"/>
    <x v="0"/>
    <x v="2"/>
    <x v="3"/>
    <s v="FIN_ESPOO"/>
    <x v="0"/>
    <x v="1"/>
    <n v="0"/>
    <n v="0"/>
  </r>
  <r>
    <x v="0"/>
    <x v="0"/>
    <x v="0"/>
    <x v="2"/>
    <x v="3"/>
    <s v="FIN_ESPOO"/>
    <x v="0"/>
    <x v="2"/>
    <n v="0"/>
    <n v="0"/>
  </r>
  <r>
    <x v="0"/>
    <x v="0"/>
    <x v="0"/>
    <x v="2"/>
    <x v="3"/>
    <s v="FIN_ESPOO"/>
    <x v="0"/>
    <x v="3"/>
    <n v="0"/>
    <n v="0"/>
  </r>
  <r>
    <x v="0"/>
    <x v="0"/>
    <x v="0"/>
    <x v="2"/>
    <x v="3"/>
    <s v="FIN_ESPOO"/>
    <x v="0"/>
    <x v="4"/>
    <n v="0"/>
    <n v="0"/>
  </r>
  <r>
    <x v="0"/>
    <x v="0"/>
    <x v="0"/>
    <x v="2"/>
    <x v="3"/>
    <s v="FIN_ESPOO"/>
    <x v="0"/>
    <x v="5"/>
    <n v="0"/>
    <n v="0"/>
  </r>
  <r>
    <x v="0"/>
    <x v="0"/>
    <x v="0"/>
    <x v="2"/>
    <x v="3"/>
    <s v="FIN_ESPOO"/>
    <x v="0"/>
    <x v="6"/>
    <n v="0"/>
    <n v="0"/>
  </r>
  <r>
    <x v="0"/>
    <x v="0"/>
    <x v="0"/>
    <x v="2"/>
    <x v="3"/>
    <s v="FIN_ESPOO"/>
    <x v="0"/>
    <x v="7"/>
    <n v="0"/>
    <n v="0"/>
  </r>
  <r>
    <x v="0"/>
    <x v="0"/>
    <x v="0"/>
    <x v="2"/>
    <x v="3"/>
    <s v="FIN_ESPOO"/>
    <x v="0"/>
    <x v="8"/>
    <n v="0"/>
    <n v="0"/>
  </r>
  <r>
    <x v="0"/>
    <x v="0"/>
    <x v="0"/>
    <x v="2"/>
    <x v="3"/>
    <s v="FIN_ESPOO"/>
    <x v="0"/>
    <x v="9"/>
    <n v="0"/>
    <n v="0"/>
  </r>
  <r>
    <x v="0"/>
    <x v="0"/>
    <x v="0"/>
    <x v="2"/>
    <x v="3"/>
    <s v="FIN_ESPOO"/>
    <x v="0"/>
    <x v="10"/>
    <n v="0"/>
    <n v="0"/>
  </r>
  <r>
    <x v="0"/>
    <x v="0"/>
    <x v="0"/>
    <x v="2"/>
    <x v="3"/>
    <s v="FIN_ESPOO"/>
    <x v="0"/>
    <x v="11"/>
    <n v="0"/>
    <n v="0"/>
  </r>
  <r>
    <x v="0"/>
    <x v="0"/>
    <x v="0"/>
    <x v="2"/>
    <x v="3"/>
    <s v="FIN_ESPOO"/>
    <x v="0"/>
    <x v="12"/>
    <n v="0"/>
    <n v="0"/>
  </r>
  <r>
    <x v="0"/>
    <x v="0"/>
    <x v="0"/>
    <x v="2"/>
    <x v="3"/>
    <s v="FIN_ESPOO"/>
    <x v="0"/>
    <x v="13"/>
    <n v="0"/>
    <n v="0"/>
  </r>
  <r>
    <x v="0"/>
    <x v="0"/>
    <x v="0"/>
    <x v="2"/>
    <x v="3"/>
    <s v="FIN_ESPOO"/>
    <x v="0"/>
    <x v="14"/>
    <n v="0"/>
    <n v="0"/>
  </r>
  <r>
    <x v="0"/>
    <x v="0"/>
    <x v="0"/>
    <x v="2"/>
    <x v="3"/>
    <s v="FIN_ESPOO"/>
    <x v="0"/>
    <x v="15"/>
    <n v="0"/>
    <n v="0"/>
  </r>
  <r>
    <x v="0"/>
    <x v="0"/>
    <x v="0"/>
    <x v="2"/>
    <x v="3"/>
    <s v="FIN_ESPOO"/>
    <x v="0"/>
    <x v="16"/>
    <n v="0"/>
    <n v="0"/>
  </r>
  <r>
    <x v="0"/>
    <x v="0"/>
    <x v="0"/>
    <x v="2"/>
    <x v="3"/>
    <s v="FIN_ESPOO"/>
    <x v="0"/>
    <x v="17"/>
    <n v="0"/>
    <n v="0"/>
  </r>
  <r>
    <x v="0"/>
    <x v="0"/>
    <x v="0"/>
    <x v="2"/>
    <x v="3"/>
    <s v="FIN_ESPOO"/>
    <x v="0"/>
    <x v="18"/>
    <n v="0"/>
    <n v="0"/>
  </r>
  <r>
    <x v="0"/>
    <x v="0"/>
    <x v="0"/>
    <x v="2"/>
    <x v="3"/>
    <s v="FIN_ESPOO"/>
    <x v="0"/>
    <x v="19"/>
    <n v="0"/>
    <n v="0"/>
  </r>
  <r>
    <x v="0"/>
    <x v="0"/>
    <x v="0"/>
    <x v="2"/>
    <x v="3"/>
    <s v="FIN_ESPOO"/>
    <x v="0"/>
    <x v="20"/>
    <n v="0"/>
    <n v="0"/>
  </r>
  <r>
    <x v="0"/>
    <x v="0"/>
    <x v="0"/>
    <x v="2"/>
    <x v="3"/>
    <s v="FIN_ESPOO"/>
    <x v="0"/>
    <x v="21"/>
    <n v="0"/>
    <n v="0"/>
  </r>
  <r>
    <x v="0"/>
    <x v="0"/>
    <x v="0"/>
    <x v="2"/>
    <x v="3"/>
    <s v="FIN_ESPOO"/>
    <x v="0"/>
    <x v="22"/>
    <n v="0"/>
    <n v="0"/>
  </r>
  <r>
    <x v="0"/>
    <x v="0"/>
    <x v="0"/>
    <x v="2"/>
    <x v="3"/>
    <s v="FIN_ESPOO"/>
    <x v="0"/>
    <x v="23"/>
    <n v="0"/>
    <n v="0"/>
  </r>
  <r>
    <x v="0"/>
    <x v="0"/>
    <x v="0"/>
    <x v="2"/>
    <x v="3"/>
    <s v="FIN_GAS"/>
    <x v="0"/>
    <x v="0"/>
    <n v="0"/>
    <n v="0"/>
  </r>
  <r>
    <x v="0"/>
    <x v="0"/>
    <x v="0"/>
    <x v="2"/>
    <x v="3"/>
    <s v="FIN_GAS"/>
    <x v="0"/>
    <x v="1"/>
    <n v="0"/>
    <n v="0"/>
  </r>
  <r>
    <x v="0"/>
    <x v="0"/>
    <x v="0"/>
    <x v="2"/>
    <x v="3"/>
    <s v="FIN_GAS"/>
    <x v="0"/>
    <x v="2"/>
    <n v="0"/>
    <n v="0"/>
  </r>
  <r>
    <x v="0"/>
    <x v="0"/>
    <x v="0"/>
    <x v="2"/>
    <x v="3"/>
    <s v="FIN_GAS"/>
    <x v="0"/>
    <x v="3"/>
    <n v="0"/>
    <n v="0"/>
  </r>
  <r>
    <x v="0"/>
    <x v="0"/>
    <x v="0"/>
    <x v="2"/>
    <x v="3"/>
    <s v="FIN_GAS"/>
    <x v="0"/>
    <x v="4"/>
    <n v="0"/>
    <n v="0"/>
  </r>
  <r>
    <x v="0"/>
    <x v="0"/>
    <x v="0"/>
    <x v="2"/>
    <x v="3"/>
    <s v="FIN_GAS"/>
    <x v="0"/>
    <x v="5"/>
    <n v="0"/>
    <n v="0"/>
  </r>
  <r>
    <x v="0"/>
    <x v="0"/>
    <x v="0"/>
    <x v="2"/>
    <x v="3"/>
    <s v="FIN_GAS"/>
    <x v="0"/>
    <x v="6"/>
    <n v="0"/>
    <n v="0"/>
  </r>
  <r>
    <x v="0"/>
    <x v="0"/>
    <x v="0"/>
    <x v="2"/>
    <x v="3"/>
    <s v="FIN_GAS"/>
    <x v="0"/>
    <x v="7"/>
    <n v="0"/>
    <n v="0"/>
  </r>
  <r>
    <x v="0"/>
    <x v="0"/>
    <x v="0"/>
    <x v="2"/>
    <x v="3"/>
    <s v="FIN_GAS"/>
    <x v="0"/>
    <x v="8"/>
    <n v="0"/>
    <n v="0"/>
  </r>
  <r>
    <x v="0"/>
    <x v="0"/>
    <x v="0"/>
    <x v="2"/>
    <x v="3"/>
    <s v="FIN_GAS"/>
    <x v="0"/>
    <x v="9"/>
    <n v="0"/>
    <n v="0"/>
  </r>
  <r>
    <x v="0"/>
    <x v="0"/>
    <x v="0"/>
    <x v="2"/>
    <x v="3"/>
    <s v="FIN_GAS"/>
    <x v="0"/>
    <x v="10"/>
    <n v="0"/>
    <n v="0"/>
  </r>
  <r>
    <x v="0"/>
    <x v="0"/>
    <x v="0"/>
    <x v="2"/>
    <x v="3"/>
    <s v="FIN_GAS"/>
    <x v="0"/>
    <x v="11"/>
    <n v="0"/>
    <n v="0"/>
  </r>
  <r>
    <x v="0"/>
    <x v="0"/>
    <x v="0"/>
    <x v="2"/>
    <x v="3"/>
    <s v="FIN_GAS"/>
    <x v="0"/>
    <x v="12"/>
    <n v="0"/>
    <n v="0"/>
  </r>
  <r>
    <x v="0"/>
    <x v="0"/>
    <x v="0"/>
    <x v="2"/>
    <x v="3"/>
    <s v="FIN_GAS"/>
    <x v="0"/>
    <x v="13"/>
    <n v="0"/>
    <n v="0"/>
  </r>
  <r>
    <x v="0"/>
    <x v="0"/>
    <x v="0"/>
    <x v="2"/>
    <x v="3"/>
    <s v="FIN_GAS"/>
    <x v="0"/>
    <x v="14"/>
    <n v="0"/>
    <n v="0"/>
  </r>
  <r>
    <x v="0"/>
    <x v="0"/>
    <x v="0"/>
    <x v="2"/>
    <x v="3"/>
    <s v="FIN_GAS"/>
    <x v="0"/>
    <x v="15"/>
    <n v="0"/>
    <n v="0"/>
  </r>
  <r>
    <x v="0"/>
    <x v="0"/>
    <x v="0"/>
    <x v="2"/>
    <x v="3"/>
    <s v="FIN_GAS"/>
    <x v="0"/>
    <x v="16"/>
    <n v="0"/>
    <n v="0"/>
  </r>
  <r>
    <x v="0"/>
    <x v="0"/>
    <x v="0"/>
    <x v="2"/>
    <x v="3"/>
    <s v="FIN_GAS"/>
    <x v="0"/>
    <x v="17"/>
    <n v="0"/>
    <n v="0"/>
  </r>
  <r>
    <x v="0"/>
    <x v="0"/>
    <x v="0"/>
    <x v="2"/>
    <x v="3"/>
    <s v="FIN_GAS"/>
    <x v="0"/>
    <x v="18"/>
    <n v="0"/>
    <n v="0"/>
  </r>
  <r>
    <x v="0"/>
    <x v="0"/>
    <x v="0"/>
    <x v="2"/>
    <x v="3"/>
    <s v="FIN_GAS"/>
    <x v="0"/>
    <x v="19"/>
    <n v="0"/>
    <n v="0"/>
  </r>
  <r>
    <x v="0"/>
    <x v="0"/>
    <x v="0"/>
    <x v="2"/>
    <x v="3"/>
    <s v="FIN_GAS"/>
    <x v="0"/>
    <x v="20"/>
    <n v="0"/>
    <n v="0"/>
  </r>
  <r>
    <x v="0"/>
    <x v="0"/>
    <x v="0"/>
    <x v="2"/>
    <x v="3"/>
    <s v="FIN_GAS"/>
    <x v="0"/>
    <x v="21"/>
    <n v="0"/>
    <n v="0"/>
  </r>
  <r>
    <x v="0"/>
    <x v="0"/>
    <x v="0"/>
    <x v="2"/>
    <x v="3"/>
    <s v="FIN_GAS"/>
    <x v="0"/>
    <x v="22"/>
    <n v="0"/>
    <n v="0"/>
  </r>
  <r>
    <x v="0"/>
    <x v="0"/>
    <x v="0"/>
    <x v="2"/>
    <x v="3"/>
    <s v="FIN_GAS"/>
    <x v="0"/>
    <x v="23"/>
    <n v="0"/>
    <n v="0"/>
  </r>
  <r>
    <x v="0"/>
    <x v="0"/>
    <x v="0"/>
    <x v="2"/>
    <x v="3"/>
    <s v="FIN_HELS"/>
    <x v="0"/>
    <x v="0"/>
    <n v="0"/>
    <n v="0"/>
  </r>
  <r>
    <x v="0"/>
    <x v="0"/>
    <x v="0"/>
    <x v="2"/>
    <x v="3"/>
    <s v="FIN_HELS"/>
    <x v="0"/>
    <x v="1"/>
    <n v="0"/>
    <n v="0"/>
  </r>
  <r>
    <x v="0"/>
    <x v="0"/>
    <x v="0"/>
    <x v="2"/>
    <x v="3"/>
    <s v="FIN_HELS"/>
    <x v="0"/>
    <x v="2"/>
    <n v="0"/>
    <n v="0"/>
  </r>
  <r>
    <x v="0"/>
    <x v="0"/>
    <x v="0"/>
    <x v="2"/>
    <x v="3"/>
    <s v="FIN_HELS"/>
    <x v="0"/>
    <x v="3"/>
    <n v="0"/>
    <n v="0"/>
  </r>
  <r>
    <x v="0"/>
    <x v="0"/>
    <x v="0"/>
    <x v="2"/>
    <x v="3"/>
    <s v="FIN_HELS"/>
    <x v="0"/>
    <x v="4"/>
    <n v="0"/>
    <n v="0"/>
  </r>
  <r>
    <x v="0"/>
    <x v="0"/>
    <x v="0"/>
    <x v="2"/>
    <x v="3"/>
    <s v="FIN_HELS"/>
    <x v="0"/>
    <x v="5"/>
    <n v="0"/>
    <n v="0"/>
  </r>
  <r>
    <x v="0"/>
    <x v="0"/>
    <x v="0"/>
    <x v="2"/>
    <x v="3"/>
    <s v="FIN_HELS"/>
    <x v="0"/>
    <x v="6"/>
    <n v="0"/>
    <n v="0"/>
  </r>
  <r>
    <x v="0"/>
    <x v="0"/>
    <x v="0"/>
    <x v="2"/>
    <x v="3"/>
    <s v="FIN_HELS"/>
    <x v="0"/>
    <x v="7"/>
    <n v="0"/>
    <n v="0"/>
  </r>
  <r>
    <x v="0"/>
    <x v="0"/>
    <x v="0"/>
    <x v="2"/>
    <x v="3"/>
    <s v="FIN_HELS"/>
    <x v="0"/>
    <x v="8"/>
    <n v="0"/>
    <n v="0"/>
  </r>
  <r>
    <x v="0"/>
    <x v="0"/>
    <x v="0"/>
    <x v="2"/>
    <x v="3"/>
    <s v="FIN_HELS"/>
    <x v="0"/>
    <x v="9"/>
    <n v="0"/>
    <n v="0"/>
  </r>
  <r>
    <x v="0"/>
    <x v="0"/>
    <x v="0"/>
    <x v="2"/>
    <x v="3"/>
    <s v="FIN_HELS"/>
    <x v="0"/>
    <x v="10"/>
    <n v="0"/>
    <n v="0"/>
  </r>
  <r>
    <x v="0"/>
    <x v="0"/>
    <x v="0"/>
    <x v="2"/>
    <x v="3"/>
    <s v="FIN_HELS"/>
    <x v="0"/>
    <x v="11"/>
    <n v="0"/>
    <n v="0"/>
  </r>
  <r>
    <x v="0"/>
    <x v="0"/>
    <x v="0"/>
    <x v="2"/>
    <x v="3"/>
    <s v="FIN_HELS"/>
    <x v="0"/>
    <x v="12"/>
    <n v="0"/>
    <n v="0"/>
  </r>
  <r>
    <x v="0"/>
    <x v="0"/>
    <x v="0"/>
    <x v="2"/>
    <x v="3"/>
    <s v="FIN_HELS"/>
    <x v="0"/>
    <x v="13"/>
    <n v="0"/>
    <n v="0"/>
  </r>
  <r>
    <x v="0"/>
    <x v="0"/>
    <x v="0"/>
    <x v="2"/>
    <x v="3"/>
    <s v="FIN_HELS"/>
    <x v="0"/>
    <x v="14"/>
    <n v="0"/>
    <n v="0"/>
  </r>
  <r>
    <x v="0"/>
    <x v="0"/>
    <x v="0"/>
    <x v="2"/>
    <x v="3"/>
    <s v="FIN_HELS"/>
    <x v="0"/>
    <x v="15"/>
    <n v="0"/>
    <n v="0"/>
  </r>
  <r>
    <x v="0"/>
    <x v="0"/>
    <x v="0"/>
    <x v="2"/>
    <x v="3"/>
    <s v="FIN_HELS"/>
    <x v="0"/>
    <x v="16"/>
    <n v="0"/>
    <n v="0"/>
  </r>
  <r>
    <x v="0"/>
    <x v="0"/>
    <x v="0"/>
    <x v="2"/>
    <x v="3"/>
    <s v="FIN_HELS"/>
    <x v="0"/>
    <x v="17"/>
    <n v="0"/>
    <n v="0"/>
  </r>
  <r>
    <x v="0"/>
    <x v="0"/>
    <x v="0"/>
    <x v="2"/>
    <x v="3"/>
    <s v="FIN_HELS"/>
    <x v="0"/>
    <x v="18"/>
    <n v="0"/>
    <n v="0"/>
  </r>
  <r>
    <x v="0"/>
    <x v="0"/>
    <x v="0"/>
    <x v="2"/>
    <x v="3"/>
    <s v="FIN_HELS"/>
    <x v="0"/>
    <x v="19"/>
    <n v="0"/>
    <n v="0"/>
  </r>
  <r>
    <x v="0"/>
    <x v="0"/>
    <x v="0"/>
    <x v="2"/>
    <x v="3"/>
    <s v="FIN_HELS"/>
    <x v="0"/>
    <x v="20"/>
    <n v="0"/>
    <n v="0"/>
  </r>
  <r>
    <x v="0"/>
    <x v="0"/>
    <x v="0"/>
    <x v="2"/>
    <x v="3"/>
    <s v="FIN_HELS"/>
    <x v="0"/>
    <x v="21"/>
    <n v="0"/>
    <n v="0"/>
  </r>
  <r>
    <x v="0"/>
    <x v="0"/>
    <x v="0"/>
    <x v="2"/>
    <x v="3"/>
    <s v="FIN_HELS"/>
    <x v="0"/>
    <x v="22"/>
    <n v="0"/>
    <n v="0"/>
  </r>
  <r>
    <x v="0"/>
    <x v="0"/>
    <x v="0"/>
    <x v="2"/>
    <x v="3"/>
    <s v="FIN_HELS"/>
    <x v="0"/>
    <x v="23"/>
    <n v="0"/>
    <n v="0"/>
  </r>
  <r>
    <x v="0"/>
    <x v="0"/>
    <x v="0"/>
    <x v="2"/>
    <x v="3"/>
    <s v="FIN_HP"/>
    <x v="0"/>
    <x v="0"/>
    <n v="1304.8873114631201"/>
    <n v="4697.59432126722"/>
  </r>
  <r>
    <x v="0"/>
    <x v="0"/>
    <x v="0"/>
    <x v="2"/>
    <x v="3"/>
    <s v="FIN_HP"/>
    <x v="0"/>
    <x v="1"/>
    <n v="1574.0939186299299"/>
    <n v="5666.7381070677502"/>
  </r>
  <r>
    <x v="0"/>
    <x v="0"/>
    <x v="0"/>
    <x v="2"/>
    <x v="3"/>
    <s v="FIN_HP"/>
    <x v="0"/>
    <x v="2"/>
    <n v="1857.62375707827"/>
    <n v="6687.4455254817804"/>
  </r>
  <r>
    <x v="0"/>
    <x v="0"/>
    <x v="0"/>
    <x v="2"/>
    <x v="3"/>
    <s v="FIN_HP"/>
    <x v="0"/>
    <x v="3"/>
    <n v="2106.1364090096299"/>
    <n v="7582.0910724346604"/>
  </r>
  <r>
    <x v="0"/>
    <x v="0"/>
    <x v="0"/>
    <x v="2"/>
    <x v="3"/>
    <s v="FIN_HP"/>
    <x v="0"/>
    <x v="4"/>
    <n v="2289.54257557251"/>
    <n v="8242.3532720610292"/>
  </r>
  <r>
    <x v="0"/>
    <x v="0"/>
    <x v="0"/>
    <x v="2"/>
    <x v="3"/>
    <s v="FIN_HP"/>
    <x v="0"/>
    <x v="5"/>
    <n v="2362.42945238423"/>
    <n v="8504.7460285832403"/>
  </r>
  <r>
    <x v="0"/>
    <x v="0"/>
    <x v="0"/>
    <x v="2"/>
    <x v="3"/>
    <s v="FIN_HP"/>
    <x v="0"/>
    <x v="6"/>
    <n v="2362.42945238423"/>
    <n v="8504.7460285832403"/>
  </r>
  <r>
    <x v="0"/>
    <x v="0"/>
    <x v="0"/>
    <x v="2"/>
    <x v="3"/>
    <s v="FIN_HP"/>
    <x v="0"/>
    <x v="7"/>
    <n v="1884.52024045037"/>
    <n v="6784.2728656213403"/>
  </r>
  <r>
    <x v="0"/>
    <x v="0"/>
    <x v="0"/>
    <x v="2"/>
    <x v="3"/>
    <s v="FIN_HP"/>
    <x v="0"/>
    <x v="8"/>
    <n v="1169.8238951462599"/>
    <n v="4211.3660225265303"/>
  </r>
  <r>
    <x v="0"/>
    <x v="0"/>
    <x v="0"/>
    <x v="2"/>
    <x v="3"/>
    <s v="FIN_HP"/>
    <x v="0"/>
    <x v="9"/>
    <n v="456.78572615429601"/>
    <n v="1644.4286141554701"/>
  </r>
  <r>
    <x v="0"/>
    <x v="0"/>
    <x v="0"/>
    <x v="2"/>
    <x v="3"/>
    <s v="FIN_HP"/>
    <x v="0"/>
    <x v="10"/>
    <n v="0"/>
    <n v="0"/>
  </r>
  <r>
    <x v="0"/>
    <x v="0"/>
    <x v="0"/>
    <x v="2"/>
    <x v="3"/>
    <s v="FIN_HP"/>
    <x v="0"/>
    <x v="11"/>
    <n v="0"/>
    <n v="0"/>
  </r>
  <r>
    <x v="0"/>
    <x v="0"/>
    <x v="0"/>
    <x v="2"/>
    <x v="3"/>
    <s v="FIN_HP"/>
    <x v="0"/>
    <x v="12"/>
    <n v="0"/>
    <n v="0"/>
  </r>
  <r>
    <x v="0"/>
    <x v="0"/>
    <x v="0"/>
    <x v="2"/>
    <x v="3"/>
    <s v="FIN_HP"/>
    <x v="0"/>
    <x v="13"/>
    <n v="0"/>
    <n v="0"/>
  </r>
  <r>
    <x v="0"/>
    <x v="0"/>
    <x v="0"/>
    <x v="2"/>
    <x v="3"/>
    <s v="FIN_HP"/>
    <x v="0"/>
    <x v="14"/>
    <n v="0"/>
    <n v="0"/>
  </r>
  <r>
    <x v="0"/>
    <x v="0"/>
    <x v="0"/>
    <x v="2"/>
    <x v="3"/>
    <s v="FIN_HP"/>
    <x v="0"/>
    <x v="15"/>
    <n v="0"/>
    <n v="0"/>
  </r>
  <r>
    <x v="0"/>
    <x v="0"/>
    <x v="0"/>
    <x v="2"/>
    <x v="3"/>
    <s v="FIN_HP"/>
    <x v="0"/>
    <x v="16"/>
    <n v="0"/>
    <n v="0"/>
  </r>
  <r>
    <x v="0"/>
    <x v="0"/>
    <x v="0"/>
    <x v="2"/>
    <x v="3"/>
    <s v="FIN_HP"/>
    <x v="0"/>
    <x v="17"/>
    <n v="0"/>
    <n v="0"/>
  </r>
  <r>
    <x v="0"/>
    <x v="0"/>
    <x v="0"/>
    <x v="2"/>
    <x v="3"/>
    <s v="FIN_HP"/>
    <x v="0"/>
    <x v="18"/>
    <n v="0"/>
    <n v="0"/>
  </r>
  <r>
    <x v="0"/>
    <x v="0"/>
    <x v="0"/>
    <x v="2"/>
    <x v="3"/>
    <s v="FIN_HP"/>
    <x v="0"/>
    <x v="19"/>
    <n v="0"/>
    <n v="0"/>
  </r>
  <r>
    <x v="0"/>
    <x v="0"/>
    <x v="0"/>
    <x v="2"/>
    <x v="3"/>
    <s v="FIN_HP"/>
    <x v="0"/>
    <x v="20"/>
    <n v="76.828773026944503"/>
    <n v="276.58358289699999"/>
  </r>
  <r>
    <x v="0"/>
    <x v="0"/>
    <x v="0"/>
    <x v="2"/>
    <x v="3"/>
    <s v="FIN_HP"/>
    <x v="0"/>
    <x v="21"/>
    <n v="235.34910991291599"/>
    <n v="847.256795686499"/>
  </r>
  <r>
    <x v="0"/>
    <x v="0"/>
    <x v="0"/>
    <x v="2"/>
    <x v="3"/>
    <s v="FIN_HP"/>
    <x v="0"/>
    <x v="22"/>
    <n v="450.89359759071999"/>
    <n v="1623.2169513265901"/>
  </r>
  <r>
    <x v="0"/>
    <x v="0"/>
    <x v="0"/>
    <x v="2"/>
    <x v="3"/>
    <s v="FIN_HP"/>
    <x v="0"/>
    <x v="23"/>
    <n v="793.74616738838904"/>
    <n v="2857.4862025982002"/>
  </r>
  <r>
    <x v="0"/>
    <x v="0"/>
    <x v="0"/>
    <x v="2"/>
    <x v="3"/>
    <s v="FIN_OTHER"/>
    <x v="0"/>
    <x v="0"/>
    <n v="147.45035898216"/>
    <n v="530.82129233577405"/>
  </r>
  <r>
    <x v="0"/>
    <x v="0"/>
    <x v="0"/>
    <x v="2"/>
    <x v="3"/>
    <s v="FIN_OTHER"/>
    <x v="0"/>
    <x v="1"/>
    <n v="123.247402854101"/>
    <n v="443.69065027476398"/>
  </r>
  <r>
    <x v="0"/>
    <x v="0"/>
    <x v="0"/>
    <x v="2"/>
    <x v="3"/>
    <s v="FIN_OTHER"/>
    <x v="0"/>
    <x v="2"/>
    <n v="168.05301188103701"/>
    <n v="604.99084277173199"/>
  </r>
  <r>
    <x v="0"/>
    <x v="0"/>
    <x v="0"/>
    <x v="2"/>
    <x v="3"/>
    <s v="FIN_OTHER"/>
    <x v="0"/>
    <x v="3"/>
    <n v="168.05301188103701"/>
    <n v="604.99084277173199"/>
  </r>
  <r>
    <x v="0"/>
    <x v="0"/>
    <x v="0"/>
    <x v="2"/>
    <x v="3"/>
    <s v="FIN_OTHER"/>
    <x v="0"/>
    <x v="4"/>
    <n v="168.05301188103701"/>
    <n v="604.99084277173199"/>
  </r>
  <r>
    <x v="0"/>
    <x v="0"/>
    <x v="0"/>
    <x v="2"/>
    <x v="3"/>
    <s v="FIN_OTHER"/>
    <x v="0"/>
    <x v="5"/>
    <n v="168.05301188103701"/>
    <n v="604.99084277173199"/>
  </r>
  <r>
    <x v="0"/>
    <x v="0"/>
    <x v="0"/>
    <x v="2"/>
    <x v="3"/>
    <s v="FIN_OTHER"/>
    <x v="0"/>
    <x v="6"/>
    <n v="168.05301188103701"/>
    <n v="604.99084277173199"/>
  </r>
  <r>
    <x v="0"/>
    <x v="0"/>
    <x v="0"/>
    <x v="2"/>
    <x v="3"/>
    <s v="FIN_OTHER"/>
    <x v="0"/>
    <x v="7"/>
    <n v="168.05301188103701"/>
    <n v="604.99084277173199"/>
  </r>
  <r>
    <x v="0"/>
    <x v="0"/>
    <x v="0"/>
    <x v="2"/>
    <x v="3"/>
    <s v="FIN_OTHER"/>
    <x v="0"/>
    <x v="8"/>
    <n v="168.05301188103701"/>
    <n v="604.99084277173199"/>
  </r>
  <r>
    <x v="0"/>
    <x v="0"/>
    <x v="0"/>
    <x v="2"/>
    <x v="3"/>
    <s v="FIN_OTHER"/>
    <x v="0"/>
    <x v="9"/>
    <n v="168.05301188103701"/>
    <n v="604.99084277173199"/>
  </r>
  <r>
    <x v="0"/>
    <x v="0"/>
    <x v="0"/>
    <x v="2"/>
    <x v="3"/>
    <s v="FIN_OTHER"/>
    <x v="0"/>
    <x v="10"/>
    <n v="168.05301188103701"/>
    <n v="604.99084277173199"/>
  </r>
  <r>
    <x v="0"/>
    <x v="0"/>
    <x v="0"/>
    <x v="2"/>
    <x v="3"/>
    <s v="FIN_OTHER"/>
    <x v="0"/>
    <x v="11"/>
    <n v="168.05301188103701"/>
    <n v="604.99084277173199"/>
  </r>
  <r>
    <x v="0"/>
    <x v="0"/>
    <x v="0"/>
    <x v="2"/>
    <x v="3"/>
    <s v="FIN_OTHER"/>
    <x v="0"/>
    <x v="12"/>
    <n v="168.05301188103701"/>
    <n v="604.99084277173199"/>
  </r>
  <r>
    <x v="0"/>
    <x v="0"/>
    <x v="0"/>
    <x v="2"/>
    <x v="3"/>
    <s v="FIN_OTHER"/>
    <x v="0"/>
    <x v="13"/>
    <n v="153.66702125375599"/>
    <n v="553.20127651352095"/>
  </r>
  <r>
    <x v="0"/>
    <x v="0"/>
    <x v="0"/>
    <x v="2"/>
    <x v="3"/>
    <s v="FIN_OTHER"/>
    <x v="0"/>
    <x v="14"/>
    <n v="0"/>
    <n v="0"/>
  </r>
  <r>
    <x v="0"/>
    <x v="0"/>
    <x v="0"/>
    <x v="2"/>
    <x v="3"/>
    <s v="FIN_OTHER"/>
    <x v="0"/>
    <x v="15"/>
    <n v="0"/>
    <n v="0"/>
  </r>
  <r>
    <x v="0"/>
    <x v="0"/>
    <x v="0"/>
    <x v="2"/>
    <x v="3"/>
    <s v="FIN_OTHER"/>
    <x v="0"/>
    <x v="16"/>
    <n v="0"/>
    <n v="0"/>
  </r>
  <r>
    <x v="0"/>
    <x v="0"/>
    <x v="0"/>
    <x v="2"/>
    <x v="3"/>
    <s v="FIN_OTHER"/>
    <x v="0"/>
    <x v="17"/>
    <n v="0"/>
    <n v="0"/>
  </r>
  <r>
    <x v="0"/>
    <x v="0"/>
    <x v="0"/>
    <x v="2"/>
    <x v="3"/>
    <s v="FIN_OTHER"/>
    <x v="0"/>
    <x v="18"/>
    <n v="0"/>
    <n v="0"/>
  </r>
  <r>
    <x v="0"/>
    <x v="0"/>
    <x v="0"/>
    <x v="2"/>
    <x v="3"/>
    <s v="FIN_OTHER"/>
    <x v="0"/>
    <x v="19"/>
    <n v="0"/>
    <n v="0"/>
  </r>
  <r>
    <x v="0"/>
    <x v="0"/>
    <x v="0"/>
    <x v="2"/>
    <x v="3"/>
    <s v="FIN_OTHER"/>
    <x v="0"/>
    <x v="20"/>
    <n v="0"/>
    <n v="0"/>
  </r>
  <r>
    <x v="0"/>
    <x v="0"/>
    <x v="0"/>
    <x v="2"/>
    <x v="3"/>
    <s v="FIN_OTHER"/>
    <x v="0"/>
    <x v="21"/>
    <n v="0"/>
    <n v="0"/>
  </r>
  <r>
    <x v="0"/>
    <x v="0"/>
    <x v="0"/>
    <x v="2"/>
    <x v="3"/>
    <s v="FIN_OTHER"/>
    <x v="0"/>
    <x v="22"/>
    <n v="0"/>
    <n v="0"/>
  </r>
  <r>
    <x v="0"/>
    <x v="0"/>
    <x v="0"/>
    <x v="2"/>
    <x v="3"/>
    <s v="FIN_OTHER"/>
    <x v="0"/>
    <x v="23"/>
    <n v="0"/>
    <n v="0"/>
  </r>
  <r>
    <x v="0"/>
    <x v="0"/>
    <x v="0"/>
    <x v="2"/>
    <x v="3"/>
    <s v="FIN_TAMP"/>
    <x v="0"/>
    <x v="0"/>
    <n v="0"/>
    <n v="0"/>
  </r>
  <r>
    <x v="0"/>
    <x v="0"/>
    <x v="0"/>
    <x v="2"/>
    <x v="3"/>
    <s v="FIN_TAMP"/>
    <x v="0"/>
    <x v="1"/>
    <n v="0"/>
    <n v="0"/>
  </r>
  <r>
    <x v="0"/>
    <x v="0"/>
    <x v="0"/>
    <x v="2"/>
    <x v="3"/>
    <s v="FIN_TAMP"/>
    <x v="0"/>
    <x v="2"/>
    <n v="0"/>
    <n v="0"/>
  </r>
  <r>
    <x v="0"/>
    <x v="0"/>
    <x v="0"/>
    <x v="2"/>
    <x v="3"/>
    <s v="FIN_TAMP"/>
    <x v="0"/>
    <x v="3"/>
    <n v="0"/>
    <n v="0"/>
  </r>
  <r>
    <x v="0"/>
    <x v="0"/>
    <x v="0"/>
    <x v="2"/>
    <x v="3"/>
    <s v="FIN_TAMP"/>
    <x v="0"/>
    <x v="4"/>
    <n v="0"/>
    <n v="0"/>
  </r>
  <r>
    <x v="0"/>
    <x v="0"/>
    <x v="0"/>
    <x v="2"/>
    <x v="3"/>
    <s v="FIN_TAMP"/>
    <x v="0"/>
    <x v="5"/>
    <n v="0"/>
    <n v="0"/>
  </r>
  <r>
    <x v="0"/>
    <x v="0"/>
    <x v="0"/>
    <x v="2"/>
    <x v="3"/>
    <s v="FIN_TAMP"/>
    <x v="0"/>
    <x v="6"/>
    <n v="0"/>
    <n v="0"/>
  </r>
  <r>
    <x v="0"/>
    <x v="0"/>
    <x v="0"/>
    <x v="2"/>
    <x v="3"/>
    <s v="FIN_TAMP"/>
    <x v="0"/>
    <x v="7"/>
    <n v="0"/>
    <n v="0"/>
  </r>
  <r>
    <x v="0"/>
    <x v="0"/>
    <x v="0"/>
    <x v="2"/>
    <x v="3"/>
    <s v="FIN_TAMP"/>
    <x v="0"/>
    <x v="8"/>
    <n v="0"/>
    <n v="0"/>
  </r>
  <r>
    <x v="0"/>
    <x v="0"/>
    <x v="0"/>
    <x v="2"/>
    <x v="3"/>
    <s v="FIN_TAMP"/>
    <x v="0"/>
    <x v="9"/>
    <n v="0"/>
    <n v="0"/>
  </r>
  <r>
    <x v="0"/>
    <x v="0"/>
    <x v="0"/>
    <x v="2"/>
    <x v="3"/>
    <s v="FIN_TAMP"/>
    <x v="0"/>
    <x v="10"/>
    <n v="0"/>
    <n v="0"/>
  </r>
  <r>
    <x v="0"/>
    <x v="0"/>
    <x v="0"/>
    <x v="2"/>
    <x v="3"/>
    <s v="FIN_TAMP"/>
    <x v="0"/>
    <x v="11"/>
    <n v="0"/>
    <n v="0"/>
  </r>
  <r>
    <x v="0"/>
    <x v="0"/>
    <x v="0"/>
    <x v="2"/>
    <x v="3"/>
    <s v="FIN_TAMP"/>
    <x v="0"/>
    <x v="12"/>
    <n v="0"/>
    <n v="0"/>
  </r>
  <r>
    <x v="0"/>
    <x v="0"/>
    <x v="0"/>
    <x v="2"/>
    <x v="3"/>
    <s v="FIN_TAMP"/>
    <x v="0"/>
    <x v="13"/>
    <n v="0"/>
    <n v="0"/>
  </r>
  <r>
    <x v="0"/>
    <x v="0"/>
    <x v="0"/>
    <x v="2"/>
    <x v="3"/>
    <s v="FIN_TAMP"/>
    <x v="0"/>
    <x v="14"/>
    <n v="0"/>
    <n v="0"/>
  </r>
  <r>
    <x v="0"/>
    <x v="0"/>
    <x v="0"/>
    <x v="2"/>
    <x v="3"/>
    <s v="FIN_TAMP"/>
    <x v="0"/>
    <x v="15"/>
    <n v="0"/>
    <n v="0"/>
  </r>
  <r>
    <x v="0"/>
    <x v="0"/>
    <x v="0"/>
    <x v="2"/>
    <x v="3"/>
    <s v="FIN_TAMP"/>
    <x v="0"/>
    <x v="16"/>
    <n v="0"/>
    <n v="0"/>
  </r>
  <r>
    <x v="0"/>
    <x v="0"/>
    <x v="0"/>
    <x v="2"/>
    <x v="3"/>
    <s v="FIN_TAMP"/>
    <x v="0"/>
    <x v="17"/>
    <n v="0"/>
    <n v="0"/>
  </r>
  <r>
    <x v="0"/>
    <x v="0"/>
    <x v="0"/>
    <x v="2"/>
    <x v="3"/>
    <s v="FIN_TAMP"/>
    <x v="0"/>
    <x v="18"/>
    <n v="0"/>
    <n v="0"/>
  </r>
  <r>
    <x v="0"/>
    <x v="0"/>
    <x v="0"/>
    <x v="2"/>
    <x v="3"/>
    <s v="FIN_TAMP"/>
    <x v="0"/>
    <x v="19"/>
    <n v="0"/>
    <n v="0"/>
  </r>
  <r>
    <x v="0"/>
    <x v="0"/>
    <x v="0"/>
    <x v="2"/>
    <x v="3"/>
    <s v="FIN_TAMP"/>
    <x v="0"/>
    <x v="20"/>
    <n v="0"/>
    <n v="0"/>
  </r>
  <r>
    <x v="0"/>
    <x v="0"/>
    <x v="0"/>
    <x v="2"/>
    <x v="3"/>
    <s v="FIN_TAMP"/>
    <x v="0"/>
    <x v="21"/>
    <n v="0"/>
    <n v="0"/>
  </r>
  <r>
    <x v="0"/>
    <x v="0"/>
    <x v="0"/>
    <x v="2"/>
    <x v="3"/>
    <s v="FIN_TAMP"/>
    <x v="0"/>
    <x v="22"/>
    <n v="0"/>
    <n v="0"/>
  </r>
  <r>
    <x v="0"/>
    <x v="0"/>
    <x v="0"/>
    <x v="2"/>
    <x v="3"/>
    <s v="FIN_TAMP"/>
    <x v="0"/>
    <x v="23"/>
    <n v="0"/>
    <n v="0"/>
  </r>
  <r>
    <x v="0"/>
    <x v="0"/>
    <x v="0"/>
    <x v="3"/>
    <x v="4"/>
    <s v="DE4-E_A"/>
    <x v="0"/>
    <x v="0"/>
    <n v="0"/>
    <n v="0"/>
  </r>
  <r>
    <x v="0"/>
    <x v="0"/>
    <x v="0"/>
    <x v="3"/>
    <x v="4"/>
    <s v="DE4-E_A"/>
    <x v="0"/>
    <x v="1"/>
    <n v="20037.942648792901"/>
    <n v="72136.593535654305"/>
  </r>
  <r>
    <x v="0"/>
    <x v="0"/>
    <x v="0"/>
    <x v="3"/>
    <x v="4"/>
    <s v="DE4-E_A"/>
    <x v="0"/>
    <x v="2"/>
    <n v="0"/>
    <n v="0"/>
  </r>
  <r>
    <x v="0"/>
    <x v="0"/>
    <x v="0"/>
    <x v="3"/>
    <x v="4"/>
    <s v="DE4-E_A"/>
    <x v="0"/>
    <x v="3"/>
    <n v="10723.392008487601"/>
    <n v="38604.211230555396"/>
  </r>
  <r>
    <x v="0"/>
    <x v="0"/>
    <x v="0"/>
    <x v="3"/>
    <x v="4"/>
    <s v="DE4-E_A"/>
    <x v="0"/>
    <x v="4"/>
    <n v="30888.586478716999"/>
    <n v="111198.91132338101"/>
  </r>
  <r>
    <x v="0"/>
    <x v="0"/>
    <x v="0"/>
    <x v="3"/>
    <x v="4"/>
    <s v="DE4-E_A"/>
    <x v="0"/>
    <x v="5"/>
    <n v="50820.4859429793"/>
    <n v="182953.74939472601"/>
  </r>
  <r>
    <x v="0"/>
    <x v="0"/>
    <x v="0"/>
    <x v="3"/>
    <x v="4"/>
    <s v="DE4-E_A"/>
    <x v="0"/>
    <x v="6"/>
    <n v="67040.873948671695"/>
    <n v="241347.146215218"/>
  </r>
  <r>
    <x v="0"/>
    <x v="0"/>
    <x v="0"/>
    <x v="3"/>
    <x v="4"/>
    <s v="DE4-E_A"/>
    <x v="0"/>
    <x v="7"/>
    <n v="73971.878989485995"/>
    <n v="266298.76436214999"/>
  </r>
  <r>
    <x v="0"/>
    <x v="0"/>
    <x v="0"/>
    <x v="3"/>
    <x v="4"/>
    <s v="DE4-E_A"/>
    <x v="0"/>
    <x v="8"/>
    <n v="76618.576896319995"/>
    <n v="275826.87682675198"/>
  </r>
  <r>
    <x v="0"/>
    <x v="0"/>
    <x v="0"/>
    <x v="3"/>
    <x v="4"/>
    <s v="DE4-E_A"/>
    <x v="0"/>
    <x v="9"/>
    <n v="78438.137963815607"/>
    <n v="282377.29666973598"/>
  </r>
  <r>
    <x v="0"/>
    <x v="0"/>
    <x v="0"/>
    <x v="3"/>
    <x v="4"/>
    <s v="DE4-E_A"/>
    <x v="0"/>
    <x v="10"/>
    <n v="80363.742215841805"/>
    <n v="289309.47197702999"/>
  </r>
  <r>
    <x v="0"/>
    <x v="0"/>
    <x v="0"/>
    <x v="3"/>
    <x v="4"/>
    <s v="DE4-E_A"/>
    <x v="0"/>
    <x v="11"/>
    <n v="80847.321637197398"/>
    <n v="291050.35789391102"/>
  </r>
  <r>
    <x v="0"/>
    <x v="0"/>
    <x v="0"/>
    <x v="3"/>
    <x v="4"/>
    <s v="DE4-E_A"/>
    <x v="0"/>
    <x v="12"/>
    <n v="81521.778790707904"/>
    <n v="293478.40364654898"/>
  </r>
  <r>
    <x v="0"/>
    <x v="0"/>
    <x v="0"/>
    <x v="3"/>
    <x v="4"/>
    <s v="DE4-E_A"/>
    <x v="0"/>
    <x v="13"/>
    <n v="83383.919610960904"/>
    <n v="300182.11059945897"/>
  </r>
  <r>
    <x v="0"/>
    <x v="0"/>
    <x v="0"/>
    <x v="3"/>
    <x v="4"/>
    <s v="DE4-E_A"/>
    <x v="0"/>
    <x v="14"/>
    <n v="86073.197270552293"/>
    <n v="309863.510173988"/>
  </r>
  <r>
    <x v="0"/>
    <x v="0"/>
    <x v="0"/>
    <x v="3"/>
    <x v="4"/>
    <s v="DE4-E_A"/>
    <x v="0"/>
    <x v="15"/>
    <n v="88423.136739645895"/>
    <n v="318323.29226272501"/>
  </r>
  <r>
    <x v="0"/>
    <x v="0"/>
    <x v="0"/>
    <x v="3"/>
    <x v="4"/>
    <s v="DE4-E_A"/>
    <x v="0"/>
    <x v="16"/>
    <n v="90454.946655147694"/>
    <n v="325637.80795853201"/>
  </r>
  <r>
    <x v="0"/>
    <x v="0"/>
    <x v="0"/>
    <x v="3"/>
    <x v="4"/>
    <s v="DE4-E_A"/>
    <x v="0"/>
    <x v="17"/>
    <n v="92295.878838494697"/>
    <n v="332265.16381858097"/>
  </r>
  <r>
    <x v="0"/>
    <x v="0"/>
    <x v="0"/>
    <x v="3"/>
    <x v="4"/>
    <s v="DE4-E_A"/>
    <x v="0"/>
    <x v="18"/>
    <n v="93564.177825376493"/>
    <n v="336831.04017135501"/>
  </r>
  <r>
    <x v="0"/>
    <x v="0"/>
    <x v="0"/>
    <x v="3"/>
    <x v="4"/>
    <s v="DE4-E_A"/>
    <x v="0"/>
    <x v="19"/>
    <n v="94917.311359882806"/>
    <n v="341702.32089557801"/>
  </r>
  <r>
    <x v="0"/>
    <x v="0"/>
    <x v="0"/>
    <x v="3"/>
    <x v="4"/>
    <s v="DE4-E_A"/>
    <x v="0"/>
    <x v="20"/>
    <n v="97139.999007539707"/>
    <n v="349703.99642714299"/>
  </r>
  <r>
    <x v="0"/>
    <x v="0"/>
    <x v="0"/>
    <x v="3"/>
    <x v="4"/>
    <s v="DE4-E_A"/>
    <x v="0"/>
    <x v="21"/>
    <n v="100995.751696967"/>
    <n v="363584.70610908302"/>
  </r>
  <r>
    <x v="0"/>
    <x v="0"/>
    <x v="0"/>
    <x v="3"/>
    <x v="4"/>
    <s v="DE4-E_A"/>
    <x v="0"/>
    <x v="22"/>
    <n v="100716.824500456"/>
    <n v="362580.56820164103"/>
  </r>
  <r>
    <x v="0"/>
    <x v="0"/>
    <x v="0"/>
    <x v="3"/>
    <x v="4"/>
    <s v="DE4-E_A"/>
    <x v="0"/>
    <x v="23"/>
    <n v="54499.432370693401"/>
    <n v="196197.95653449601"/>
  </r>
  <r>
    <x v="0"/>
    <x v="0"/>
    <x v="0"/>
    <x v="3"/>
    <x v="5"/>
    <s v="DE4-N_A"/>
    <x v="0"/>
    <x v="0"/>
    <n v="821.04733438134895"/>
    <n v="2955.7704037728599"/>
  </r>
  <r>
    <x v="0"/>
    <x v="0"/>
    <x v="0"/>
    <x v="3"/>
    <x v="5"/>
    <s v="DE4-N_A"/>
    <x v="0"/>
    <x v="1"/>
    <n v="2910.6175759727798"/>
    <n v="10478.223273502001"/>
  </r>
  <r>
    <x v="0"/>
    <x v="0"/>
    <x v="0"/>
    <x v="3"/>
    <x v="5"/>
    <s v="DE4-N_A"/>
    <x v="0"/>
    <x v="2"/>
    <n v="5071.6366079642503"/>
    <n v="18257.891788671299"/>
  </r>
  <r>
    <x v="0"/>
    <x v="0"/>
    <x v="0"/>
    <x v="3"/>
    <x v="5"/>
    <s v="DE4-N_A"/>
    <x v="0"/>
    <x v="3"/>
    <n v="7297.60908577393"/>
    <n v="26271.392708786199"/>
  </r>
  <r>
    <x v="0"/>
    <x v="0"/>
    <x v="0"/>
    <x v="3"/>
    <x v="5"/>
    <s v="DE4-N_A"/>
    <x v="0"/>
    <x v="4"/>
    <n v="9426.1513948562897"/>
    <n v="33934.145021482698"/>
  </r>
  <r>
    <x v="0"/>
    <x v="0"/>
    <x v="0"/>
    <x v="3"/>
    <x v="5"/>
    <s v="DE4-N_A"/>
    <x v="0"/>
    <x v="5"/>
    <n v="11483.2449135386"/>
    <n v="41339.681688739001"/>
  </r>
  <r>
    <x v="0"/>
    <x v="0"/>
    <x v="0"/>
    <x v="3"/>
    <x v="5"/>
    <s v="DE4-N_A"/>
    <x v="0"/>
    <x v="6"/>
    <n v="12403.653130402299"/>
    <n v="44653.151269448099"/>
  </r>
  <r>
    <x v="0"/>
    <x v="0"/>
    <x v="0"/>
    <x v="3"/>
    <x v="5"/>
    <s v="DE4-N_A"/>
    <x v="0"/>
    <x v="7"/>
    <n v="12403.653130402299"/>
    <n v="44653.151269448099"/>
  </r>
  <r>
    <x v="0"/>
    <x v="0"/>
    <x v="0"/>
    <x v="3"/>
    <x v="5"/>
    <s v="DE4-N_A"/>
    <x v="0"/>
    <x v="8"/>
    <n v="11755.870084112699"/>
    <n v="42321.132302805898"/>
  </r>
  <r>
    <x v="0"/>
    <x v="0"/>
    <x v="0"/>
    <x v="3"/>
    <x v="5"/>
    <s v="DE4-N_A"/>
    <x v="0"/>
    <x v="9"/>
    <n v="10841.436049727399"/>
    <n v="39029.169779018703"/>
  </r>
  <r>
    <x v="0"/>
    <x v="0"/>
    <x v="0"/>
    <x v="3"/>
    <x v="5"/>
    <s v="DE4-N_A"/>
    <x v="0"/>
    <x v="10"/>
    <n v="9961.1880394569307"/>
    <n v="35860.276942044999"/>
  </r>
  <r>
    <x v="0"/>
    <x v="0"/>
    <x v="0"/>
    <x v="3"/>
    <x v="5"/>
    <s v="DE4-N_A"/>
    <x v="0"/>
    <x v="11"/>
    <n v="9019.4051857797294"/>
    <n v="32469.858668806999"/>
  </r>
  <r>
    <x v="0"/>
    <x v="0"/>
    <x v="0"/>
    <x v="3"/>
    <x v="5"/>
    <s v="DE4-N_A"/>
    <x v="0"/>
    <x v="12"/>
    <n v="7357.1902389370498"/>
    <n v="26485.884860173399"/>
  </r>
  <r>
    <x v="0"/>
    <x v="0"/>
    <x v="0"/>
    <x v="3"/>
    <x v="5"/>
    <s v="DE4-N_A"/>
    <x v="0"/>
    <x v="13"/>
    <n v="6077.8587621806601"/>
    <n v="21880.291543850399"/>
  </r>
  <r>
    <x v="0"/>
    <x v="0"/>
    <x v="0"/>
    <x v="3"/>
    <x v="5"/>
    <s v="DE4-N_A"/>
    <x v="0"/>
    <x v="14"/>
    <n v="5065.1782735201004"/>
    <n v="18234.641784672302"/>
  </r>
  <r>
    <x v="0"/>
    <x v="0"/>
    <x v="0"/>
    <x v="3"/>
    <x v="5"/>
    <s v="DE4-N_A"/>
    <x v="0"/>
    <x v="15"/>
    <n v="4096.8655959335001"/>
    <n v="14748.7161453606"/>
  </r>
  <r>
    <x v="0"/>
    <x v="0"/>
    <x v="0"/>
    <x v="3"/>
    <x v="5"/>
    <s v="DE4-N_A"/>
    <x v="0"/>
    <x v="16"/>
    <n v="3654.1986943330699"/>
    <n v="13155.1152995991"/>
  </r>
  <r>
    <x v="0"/>
    <x v="0"/>
    <x v="0"/>
    <x v="3"/>
    <x v="5"/>
    <s v="DE4-N_A"/>
    <x v="0"/>
    <x v="17"/>
    <n v="3149.99694932592"/>
    <n v="11339.9890175733"/>
  </r>
  <r>
    <x v="0"/>
    <x v="0"/>
    <x v="0"/>
    <x v="3"/>
    <x v="5"/>
    <s v="DE4-N_A"/>
    <x v="0"/>
    <x v="18"/>
    <n v="2461.1906740985901"/>
    <n v="8860.2864267549303"/>
  </r>
  <r>
    <x v="0"/>
    <x v="0"/>
    <x v="0"/>
    <x v="3"/>
    <x v="5"/>
    <s v="DE4-N_A"/>
    <x v="0"/>
    <x v="19"/>
    <n v="1799.73321816314"/>
    <n v="6479.0395853872997"/>
  </r>
  <r>
    <x v="0"/>
    <x v="0"/>
    <x v="0"/>
    <x v="3"/>
    <x v="5"/>
    <s v="DE4-N_A"/>
    <x v="0"/>
    <x v="20"/>
    <n v="636.63422339724002"/>
    <n v="2291.8832042300701"/>
  </r>
  <r>
    <x v="0"/>
    <x v="0"/>
    <x v="0"/>
    <x v="3"/>
    <x v="5"/>
    <s v="DE4-N_A"/>
    <x v="0"/>
    <x v="21"/>
    <n v="0"/>
    <n v="0"/>
  </r>
  <r>
    <x v="0"/>
    <x v="0"/>
    <x v="0"/>
    <x v="3"/>
    <x v="5"/>
    <s v="DE4-N_A"/>
    <x v="0"/>
    <x v="22"/>
    <n v="0"/>
    <n v="0"/>
  </r>
  <r>
    <x v="0"/>
    <x v="0"/>
    <x v="0"/>
    <x v="3"/>
    <x v="5"/>
    <s v="DE4-N_A"/>
    <x v="0"/>
    <x v="23"/>
    <n v="212.41565744513099"/>
    <n v="764.69636680247095"/>
  </r>
  <r>
    <x v="0"/>
    <x v="0"/>
    <x v="0"/>
    <x v="3"/>
    <x v="6"/>
    <s v="DE4-S_A"/>
    <x v="0"/>
    <x v="0"/>
    <n v="105933.371017182"/>
    <n v="381360.13566185703"/>
  </r>
  <r>
    <x v="0"/>
    <x v="0"/>
    <x v="0"/>
    <x v="3"/>
    <x v="6"/>
    <s v="DE4-S_A"/>
    <x v="0"/>
    <x v="1"/>
    <n v="84659.957426178604"/>
    <n v="304775.84673424298"/>
  </r>
  <r>
    <x v="0"/>
    <x v="0"/>
    <x v="0"/>
    <x v="3"/>
    <x v="6"/>
    <s v="DE4-S_A"/>
    <x v="0"/>
    <x v="2"/>
    <n v="63531.1094811203"/>
    <n v="228711.994132033"/>
  </r>
  <r>
    <x v="0"/>
    <x v="0"/>
    <x v="0"/>
    <x v="3"/>
    <x v="6"/>
    <s v="DE4-S_A"/>
    <x v="0"/>
    <x v="3"/>
    <n v="42533.6848505581"/>
    <n v="153121.265462009"/>
  </r>
  <r>
    <x v="0"/>
    <x v="0"/>
    <x v="0"/>
    <x v="3"/>
    <x v="6"/>
    <s v="DE4-S_A"/>
    <x v="0"/>
    <x v="4"/>
    <n v="21339.125248251799"/>
    <n v="76820.850893706607"/>
  </r>
  <r>
    <x v="0"/>
    <x v="0"/>
    <x v="0"/>
    <x v="3"/>
    <x v="6"/>
    <s v="DE4-S_A"/>
    <x v="0"/>
    <x v="5"/>
    <n v="0"/>
    <n v="0"/>
  </r>
  <r>
    <x v="0"/>
    <x v="0"/>
    <x v="0"/>
    <x v="3"/>
    <x v="6"/>
    <s v="DE4-S_A"/>
    <x v="0"/>
    <x v="6"/>
    <n v="0"/>
    <n v="0"/>
  </r>
  <r>
    <x v="0"/>
    <x v="0"/>
    <x v="0"/>
    <x v="3"/>
    <x v="6"/>
    <s v="DE4-S_A"/>
    <x v="0"/>
    <x v="7"/>
    <n v="28477.133921803299"/>
    <n v="102517.682118492"/>
  </r>
  <r>
    <x v="0"/>
    <x v="0"/>
    <x v="0"/>
    <x v="3"/>
    <x v="6"/>
    <s v="DE4-S_A"/>
    <x v="0"/>
    <x v="8"/>
    <n v="69057.186289944002"/>
    <n v="248605.870643798"/>
  </r>
  <r>
    <x v="0"/>
    <x v="0"/>
    <x v="0"/>
    <x v="3"/>
    <x v="6"/>
    <s v="DE4-S_A"/>
    <x v="0"/>
    <x v="9"/>
    <n v="109097.71136699599"/>
    <n v="392751.76092118502"/>
  </r>
  <r>
    <x v="0"/>
    <x v="0"/>
    <x v="0"/>
    <x v="3"/>
    <x v="6"/>
    <s v="DE4-S_A"/>
    <x v="0"/>
    <x v="10"/>
    <n v="149207.406609572"/>
    <n v="537146.66379445896"/>
  </r>
  <r>
    <x v="0"/>
    <x v="0"/>
    <x v="0"/>
    <x v="3"/>
    <x v="6"/>
    <s v="DE4-S_A"/>
    <x v="0"/>
    <x v="11"/>
    <n v="173230.96813119599"/>
    <n v="623631.48527230404"/>
  </r>
  <r>
    <x v="0"/>
    <x v="0"/>
    <x v="0"/>
    <x v="3"/>
    <x v="6"/>
    <s v="DE4-S_A"/>
    <x v="0"/>
    <x v="12"/>
    <n v="139958.605926708"/>
    <n v="503850.98133614799"/>
  </r>
  <r>
    <x v="0"/>
    <x v="0"/>
    <x v="0"/>
    <x v="3"/>
    <x v="6"/>
    <s v="DE4-S_A"/>
    <x v="0"/>
    <x v="13"/>
    <n v="107422.214283397"/>
    <n v="386719.97142022999"/>
  </r>
  <r>
    <x v="0"/>
    <x v="0"/>
    <x v="0"/>
    <x v="3"/>
    <x v="6"/>
    <s v="DE4-S_A"/>
    <x v="0"/>
    <x v="14"/>
    <n v="75398.373566621405"/>
    <n v="271434.14483983698"/>
  </r>
  <r>
    <x v="0"/>
    <x v="0"/>
    <x v="0"/>
    <x v="3"/>
    <x v="6"/>
    <s v="DE4-S_A"/>
    <x v="0"/>
    <x v="15"/>
    <n v="66012.226555916102"/>
    <n v="237644.01560129799"/>
  </r>
  <r>
    <x v="0"/>
    <x v="0"/>
    <x v="0"/>
    <x v="3"/>
    <x v="6"/>
    <s v="DE4-S_A"/>
    <x v="0"/>
    <x v="16"/>
    <n v="70560.495608022495"/>
    <n v="254017.78418888099"/>
  </r>
  <r>
    <x v="0"/>
    <x v="0"/>
    <x v="0"/>
    <x v="3"/>
    <x v="6"/>
    <s v="DE4-S_A"/>
    <x v="0"/>
    <x v="17"/>
    <n v="111431.062671365"/>
    <n v="401151.82561691402"/>
  </r>
  <r>
    <x v="0"/>
    <x v="0"/>
    <x v="0"/>
    <x v="3"/>
    <x v="6"/>
    <s v="DE4-S_A"/>
    <x v="0"/>
    <x v="18"/>
    <n v="138489.441592744"/>
    <n v="498561.98973387998"/>
  </r>
  <r>
    <x v="0"/>
    <x v="0"/>
    <x v="0"/>
    <x v="3"/>
    <x v="6"/>
    <s v="DE4-S_A"/>
    <x v="0"/>
    <x v="19"/>
    <n v="173230.96813119599"/>
    <n v="623631.48527230404"/>
  </r>
  <r>
    <x v="0"/>
    <x v="0"/>
    <x v="0"/>
    <x v="3"/>
    <x v="6"/>
    <s v="DE4-S_A"/>
    <x v="0"/>
    <x v="20"/>
    <n v="173230.96813119599"/>
    <n v="623631.48527230404"/>
  </r>
  <r>
    <x v="0"/>
    <x v="0"/>
    <x v="0"/>
    <x v="3"/>
    <x v="6"/>
    <s v="DE4-S_A"/>
    <x v="0"/>
    <x v="21"/>
    <n v="173230.96813119599"/>
    <n v="623631.48527230404"/>
  </r>
  <r>
    <x v="0"/>
    <x v="0"/>
    <x v="0"/>
    <x v="3"/>
    <x v="6"/>
    <s v="DE4-S_A"/>
    <x v="0"/>
    <x v="22"/>
    <n v="155274.783558633"/>
    <n v="558989.22081107798"/>
  </r>
  <r>
    <x v="0"/>
    <x v="0"/>
    <x v="0"/>
    <x v="3"/>
    <x v="6"/>
    <s v="DE4-S_A"/>
    <x v="0"/>
    <x v="23"/>
    <n v="130203.23617869501"/>
    <n v="468731.65024330199"/>
  </r>
  <r>
    <x v="0"/>
    <x v="0"/>
    <x v="0"/>
    <x v="3"/>
    <x v="7"/>
    <s v="DE4-W_A"/>
    <x v="0"/>
    <x v="0"/>
    <n v="0"/>
    <n v="0"/>
  </r>
  <r>
    <x v="0"/>
    <x v="0"/>
    <x v="0"/>
    <x v="3"/>
    <x v="7"/>
    <s v="DE4-W_A"/>
    <x v="0"/>
    <x v="1"/>
    <n v="990.65483008202898"/>
    <n v="3566.3573882953001"/>
  </r>
  <r>
    <x v="0"/>
    <x v="0"/>
    <x v="0"/>
    <x v="3"/>
    <x v="7"/>
    <s v="DE4-W_A"/>
    <x v="0"/>
    <x v="2"/>
    <n v="2197.2216714569099"/>
    <n v="7909.9980172448704"/>
  </r>
  <r>
    <x v="0"/>
    <x v="0"/>
    <x v="0"/>
    <x v="3"/>
    <x v="7"/>
    <s v="DE4-W_A"/>
    <x v="0"/>
    <x v="3"/>
    <n v="3600.0721594615902"/>
    <n v="12960.2597740617"/>
  </r>
  <r>
    <x v="0"/>
    <x v="0"/>
    <x v="0"/>
    <x v="3"/>
    <x v="7"/>
    <s v="DE4-W_A"/>
    <x v="0"/>
    <x v="4"/>
    <n v="4708.4971775215199"/>
    <n v="16950.5898390775"/>
  </r>
  <r>
    <x v="0"/>
    <x v="0"/>
    <x v="0"/>
    <x v="3"/>
    <x v="7"/>
    <s v="DE4-W_A"/>
    <x v="0"/>
    <x v="5"/>
    <n v="5601.0101842886397"/>
    <n v="20163.636663439102"/>
  </r>
  <r>
    <x v="0"/>
    <x v="0"/>
    <x v="0"/>
    <x v="3"/>
    <x v="7"/>
    <s v="DE4-W_A"/>
    <x v="0"/>
    <x v="6"/>
    <n v="10806.8049890686"/>
    <n v="38904.497960646797"/>
  </r>
  <r>
    <x v="0"/>
    <x v="0"/>
    <x v="0"/>
    <x v="3"/>
    <x v="7"/>
    <s v="DE4-W_A"/>
    <x v="0"/>
    <x v="7"/>
    <n v="7415.37607146136"/>
    <n v="26695.3538572609"/>
  </r>
  <r>
    <x v="0"/>
    <x v="0"/>
    <x v="0"/>
    <x v="3"/>
    <x v="7"/>
    <s v="DE4-W_A"/>
    <x v="0"/>
    <x v="8"/>
    <n v="66220.460736115201"/>
    <n v="238393.65865001499"/>
  </r>
  <r>
    <x v="0"/>
    <x v="0"/>
    <x v="0"/>
    <x v="3"/>
    <x v="7"/>
    <s v="DE4-W_A"/>
    <x v="0"/>
    <x v="9"/>
    <n v="97258.453079810701"/>
    <n v="350130.43108731799"/>
  </r>
  <r>
    <x v="0"/>
    <x v="0"/>
    <x v="0"/>
    <x v="3"/>
    <x v="7"/>
    <s v="DE4-W_A"/>
    <x v="0"/>
    <x v="10"/>
    <n v="121008.509982209"/>
    <n v="435630.63593595102"/>
  </r>
  <r>
    <x v="0"/>
    <x v="0"/>
    <x v="0"/>
    <x v="3"/>
    <x v="7"/>
    <s v="DE4-W_A"/>
    <x v="0"/>
    <x v="11"/>
    <n v="111650.058207054"/>
    <n v="401940.20954539499"/>
  </r>
  <r>
    <x v="0"/>
    <x v="0"/>
    <x v="0"/>
    <x v="3"/>
    <x v="7"/>
    <s v="DE4-W_A"/>
    <x v="0"/>
    <x v="12"/>
    <n v="102468.261713867"/>
    <n v="368885.74216992001"/>
  </r>
  <r>
    <x v="0"/>
    <x v="0"/>
    <x v="0"/>
    <x v="3"/>
    <x v="7"/>
    <s v="DE4-W_A"/>
    <x v="0"/>
    <x v="13"/>
    <n v="94385.653641806202"/>
    <n v="339788.35311050201"/>
  </r>
  <r>
    <x v="0"/>
    <x v="0"/>
    <x v="0"/>
    <x v="3"/>
    <x v="7"/>
    <s v="DE4-W_A"/>
    <x v="0"/>
    <x v="14"/>
    <n v="87068.551791602207"/>
    <n v="313446.786449768"/>
  </r>
  <r>
    <x v="0"/>
    <x v="0"/>
    <x v="0"/>
    <x v="3"/>
    <x v="7"/>
    <s v="DE4-W_A"/>
    <x v="0"/>
    <x v="15"/>
    <n v="79437.396106790402"/>
    <n v="285974.62598444498"/>
  </r>
  <r>
    <x v="0"/>
    <x v="0"/>
    <x v="0"/>
    <x v="3"/>
    <x v="7"/>
    <s v="DE4-W_A"/>
    <x v="0"/>
    <x v="16"/>
    <n v="71511.814952033805"/>
    <n v="257442.53382732201"/>
  </r>
  <r>
    <x v="0"/>
    <x v="0"/>
    <x v="0"/>
    <x v="3"/>
    <x v="7"/>
    <s v="DE4-W_A"/>
    <x v="0"/>
    <x v="17"/>
    <n v="63409.578515310299"/>
    <n v="228274.482655117"/>
  </r>
  <r>
    <x v="0"/>
    <x v="0"/>
    <x v="0"/>
    <x v="3"/>
    <x v="7"/>
    <s v="DE4-W_A"/>
    <x v="0"/>
    <x v="18"/>
    <n v="54777.3762326863"/>
    <n v="197198.554437671"/>
  </r>
  <r>
    <x v="0"/>
    <x v="0"/>
    <x v="0"/>
    <x v="3"/>
    <x v="7"/>
    <s v="DE4-W_A"/>
    <x v="0"/>
    <x v="19"/>
    <n v="46223.687408714199"/>
    <n v="166405.27467137101"/>
  </r>
  <r>
    <x v="0"/>
    <x v="0"/>
    <x v="0"/>
    <x v="3"/>
    <x v="7"/>
    <s v="DE4-W_A"/>
    <x v="0"/>
    <x v="20"/>
    <n v="38474.761535924503"/>
    <n v="138509.14152932799"/>
  </r>
  <r>
    <x v="0"/>
    <x v="0"/>
    <x v="0"/>
    <x v="3"/>
    <x v="7"/>
    <s v="DE4-W_A"/>
    <x v="0"/>
    <x v="21"/>
    <n v="32237.219742184599"/>
    <n v="116053.991071864"/>
  </r>
  <r>
    <x v="0"/>
    <x v="0"/>
    <x v="0"/>
    <x v="3"/>
    <x v="7"/>
    <s v="DE4-W_A"/>
    <x v="0"/>
    <x v="22"/>
    <n v="25513.927259713801"/>
    <n v="91850.1381349695"/>
  </r>
  <r>
    <x v="0"/>
    <x v="0"/>
    <x v="0"/>
    <x v="3"/>
    <x v="7"/>
    <s v="DE4-W_A"/>
    <x v="0"/>
    <x v="23"/>
    <n v="20831.984702193098"/>
    <n v="74995.144927895206"/>
  </r>
  <r>
    <x v="0"/>
    <x v="0"/>
    <x v="0"/>
    <x v="4"/>
    <x v="8"/>
    <s v="LV_A"/>
    <x v="0"/>
    <x v="0"/>
    <n v="0"/>
    <n v="0"/>
  </r>
  <r>
    <x v="0"/>
    <x v="0"/>
    <x v="0"/>
    <x v="4"/>
    <x v="8"/>
    <s v="LV_A"/>
    <x v="0"/>
    <x v="1"/>
    <n v="0"/>
    <n v="0"/>
  </r>
  <r>
    <x v="0"/>
    <x v="0"/>
    <x v="0"/>
    <x v="4"/>
    <x v="8"/>
    <s v="LV_A"/>
    <x v="0"/>
    <x v="2"/>
    <n v="0"/>
    <n v="0"/>
  </r>
  <r>
    <x v="0"/>
    <x v="0"/>
    <x v="0"/>
    <x v="4"/>
    <x v="8"/>
    <s v="LV_A"/>
    <x v="0"/>
    <x v="3"/>
    <n v="0"/>
    <n v="0"/>
  </r>
  <r>
    <x v="0"/>
    <x v="0"/>
    <x v="0"/>
    <x v="4"/>
    <x v="8"/>
    <s v="LV_A"/>
    <x v="0"/>
    <x v="4"/>
    <n v="0"/>
    <n v="0"/>
  </r>
  <r>
    <x v="0"/>
    <x v="0"/>
    <x v="0"/>
    <x v="4"/>
    <x v="8"/>
    <s v="LV_A"/>
    <x v="0"/>
    <x v="5"/>
    <n v="0"/>
    <n v="0"/>
  </r>
  <r>
    <x v="0"/>
    <x v="0"/>
    <x v="0"/>
    <x v="4"/>
    <x v="8"/>
    <s v="LV_A"/>
    <x v="0"/>
    <x v="6"/>
    <n v="0"/>
    <n v="0"/>
  </r>
  <r>
    <x v="0"/>
    <x v="0"/>
    <x v="0"/>
    <x v="4"/>
    <x v="8"/>
    <s v="LV_A"/>
    <x v="0"/>
    <x v="7"/>
    <n v="0"/>
    <n v="0"/>
  </r>
  <r>
    <x v="0"/>
    <x v="0"/>
    <x v="0"/>
    <x v="4"/>
    <x v="8"/>
    <s v="LV_A"/>
    <x v="0"/>
    <x v="8"/>
    <n v="0"/>
    <n v="0"/>
  </r>
  <r>
    <x v="0"/>
    <x v="0"/>
    <x v="0"/>
    <x v="4"/>
    <x v="8"/>
    <s v="LV_A"/>
    <x v="0"/>
    <x v="9"/>
    <n v="0"/>
    <n v="0"/>
  </r>
  <r>
    <x v="0"/>
    <x v="0"/>
    <x v="0"/>
    <x v="4"/>
    <x v="8"/>
    <s v="LV_A"/>
    <x v="0"/>
    <x v="10"/>
    <n v="0"/>
    <n v="0"/>
  </r>
  <r>
    <x v="0"/>
    <x v="0"/>
    <x v="0"/>
    <x v="4"/>
    <x v="8"/>
    <s v="LV_A"/>
    <x v="0"/>
    <x v="11"/>
    <n v="0"/>
    <n v="0"/>
  </r>
  <r>
    <x v="0"/>
    <x v="0"/>
    <x v="0"/>
    <x v="4"/>
    <x v="8"/>
    <s v="LV_A"/>
    <x v="0"/>
    <x v="12"/>
    <n v="0"/>
    <n v="0"/>
  </r>
  <r>
    <x v="0"/>
    <x v="0"/>
    <x v="0"/>
    <x v="4"/>
    <x v="8"/>
    <s v="LV_A"/>
    <x v="0"/>
    <x v="13"/>
    <n v="0"/>
    <n v="0"/>
  </r>
  <r>
    <x v="0"/>
    <x v="0"/>
    <x v="0"/>
    <x v="4"/>
    <x v="8"/>
    <s v="LV_A"/>
    <x v="0"/>
    <x v="14"/>
    <n v="0"/>
    <n v="0"/>
  </r>
  <r>
    <x v="0"/>
    <x v="0"/>
    <x v="0"/>
    <x v="4"/>
    <x v="8"/>
    <s v="LV_A"/>
    <x v="0"/>
    <x v="15"/>
    <n v="0"/>
    <n v="0"/>
  </r>
  <r>
    <x v="0"/>
    <x v="0"/>
    <x v="0"/>
    <x v="4"/>
    <x v="8"/>
    <s v="LV_A"/>
    <x v="0"/>
    <x v="16"/>
    <n v="0"/>
    <n v="0"/>
  </r>
  <r>
    <x v="0"/>
    <x v="0"/>
    <x v="0"/>
    <x v="4"/>
    <x v="8"/>
    <s v="LV_A"/>
    <x v="0"/>
    <x v="17"/>
    <n v="0"/>
    <n v="0"/>
  </r>
  <r>
    <x v="0"/>
    <x v="0"/>
    <x v="0"/>
    <x v="4"/>
    <x v="8"/>
    <s v="LV_A"/>
    <x v="0"/>
    <x v="18"/>
    <n v="0"/>
    <n v="0"/>
  </r>
  <r>
    <x v="0"/>
    <x v="0"/>
    <x v="0"/>
    <x v="4"/>
    <x v="8"/>
    <s v="LV_A"/>
    <x v="0"/>
    <x v="19"/>
    <n v="0"/>
    <n v="0"/>
  </r>
  <r>
    <x v="0"/>
    <x v="0"/>
    <x v="0"/>
    <x v="4"/>
    <x v="8"/>
    <s v="LV_A"/>
    <x v="0"/>
    <x v="20"/>
    <n v="0"/>
    <n v="0"/>
  </r>
  <r>
    <x v="0"/>
    <x v="0"/>
    <x v="0"/>
    <x v="4"/>
    <x v="8"/>
    <s v="LV_A"/>
    <x v="0"/>
    <x v="21"/>
    <n v="0"/>
    <n v="0"/>
  </r>
  <r>
    <x v="0"/>
    <x v="0"/>
    <x v="0"/>
    <x v="4"/>
    <x v="8"/>
    <s v="LV_A"/>
    <x v="0"/>
    <x v="22"/>
    <n v="0"/>
    <n v="0"/>
  </r>
  <r>
    <x v="0"/>
    <x v="0"/>
    <x v="0"/>
    <x v="4"/>
    <x v="8"/>
    <s v="LV_A"/>
    <x v="0"/>
    <x v="23"/>
    <n v="0"/>
    <n v="0"/>
  </r>
  <r>
    <x v="0"/>
    <x v="0"/>
    <x v="0"/>
    <x v="5"/>
    <x v="9"/>
    <s v="LT_A"/>
    <x v="0"/>
    <x v="0"/>
    <n v="0"/>
    <n v="0"/>
  </r>
  <r>
    <x v="0"/>
    <x v="0"/>
    <x v="0"/>
    <x v="5"/>
    <x v="9"/>
    <s v="LT_A"/>
    <x v="0"/>
    <x v="1"/>
    <n v="0"/>
    <n v="0"/>
  </r>
  <r>
    <x v="0"/>
    <x v="0"/>
    <x v="0"/>
    <x v="5"/>
    <x v="9"/>
    <s v="LT_A"/>
    <x v="0"/>
    <x v="2"/>
    <n v="0"/>
    <n v="0"/>
  </r>
  <r>
    <x v="0"/>
    <x v="0"/>
    <x v="0"/>
    <x v="5"/>
    <x v="9"/>
    <s v="LT_A"/>
    <x v="0"/>
    <x v="3"/>
    <n v="0"/>
    <n v="0"/>
  </r>
  <r>
    <x v="0"/>
    <x v="0"/>
    <x v="0"/>
    <x v="5"/>
    <x v="9"/>
    <s v="LT_A"/>
    <x v="0"/>
    <x v="4"/>
    <n v="0"/>
    <n v="0"/>
  </r>
  <r>
    <x v="0"/>
    <x v="0"/>
    <x v="0"/>
    <x v="5"/>
    <x v="9"/>
    <s v="LT_A"/>
    <x v="0"/>
    <x v="5"/>
    <n v="0"/>
    <n v="0"/>
  </r>
  <r>
    <x v="0"/>
    <x v="0"/>
    <x v="0"/>
    <x v="5"/>
    <x v="9"/>
    <s v="LT_A"/>
    <x v="0"/>
    <x v="6"/>
    <n v="0"/>
    <n v="0"/>
  </r>
  <r>
    <x v="0"/>
    <x v="0"/>
    <x v="0"/>
    <x v="5"/>
    <x v="9"/>
    <s v="LT_A"/>
    <x v="0"/>
    <x v="7"/>
    <n v="0"/>
    <n v="0"/>
  </r>
  <r>
    <x v="0"/>
    <x v="0"/>
    <x v="0"/>
    <x v="5"/>
    <x v="9"/>
    <s v="LT_A"/>
    <x v="0"/>
    <x v="8"/>
    <n v="0"/>
    <n v="0"/>
  </r>
  <r>
    <x v="0"/>
    <x v="0"/>
    <x v="0"/>
    <x v="5"/>
    <x v="9"/>
    <s v="LT_A"/>
    <x v="0"/>
    <x v="9"/>
    <n v="0"/>
    <n v="0"/>
  </r>
  <r>
    <x v="0"/>
    <x v="0"/>
    <x v="0"/>
    <x v="5"/>
    <x v="9"/>
    <s v="LT_A"/>
    <x v="0"/>
    <x v="10"/>
    <n v="0"/>
    <n v="0"/>
  </r>
  <r>
    <x v="0"/>
    <x v="0"/>
    <x v="0"/>
    <x v="5"/>
    <x v="9"/>
    <s v="LT_A"/>
    <x v="0"/>
    <x v="11"/>
    <n v="0"/>
    <n v="0"/>
  </r>
  <r>
    <x v="0"/>
    <x v="0"/>
    <x v="0"/>
    <x v="5"/>
    <x v="9"/>
    <s v="LT_A"/>
    <x v="0"/>
    <x v="12"/>
    <n v="0"/>
    <n v="0"/>
  </r>
  <r>
    <x v="0"/>
    <x v="0"/>
    <x v="0"/>
    <x v="5"/>
    <x v="9"/>
    <s v="LT_A"/>
    <x v="0"/>
    <x v="13"/>
    <n v="0"/>
    <n v="0"/>
  </r>
  <r>
    <x v="0"/>
    <x v="0"/>
    <x v="0"/>
    <x v="5"/>
    <x v="9"/>
    <s v="LT_A"/>
    <x v="0"/>
    <x v="14"/>
    <n v="0"/>
    <n v="0"/>
  </r>
  <r>
    <x v="0"/>
    <x v="0"/>
    <x v="0"/>
    <x v="5"/>
    <x v="9"/>
    <s v="LT_A"/>
    <x v="0"/>
    <x v="15"/>
    <n v="0"/>
    <n v="0"/>
  </r>
  <r>
    <x v="0"/>
    <x v="0"/>
    <x v="0"/>
    <x v="5"/>
    <x v="9"/>
    <s v="LT_A"/>
    <x v="0"/>
    <x v="16"/>
    <n v="0"/>
    <n v="0"/>
  </r>
  <r>
    <x v="0"/>
    <x v="0"/>
    <x v="0"/>
    <x v="5"/>
    <x v="9"/>
    <s v="LT_A"/>
    <x v="0"/>
    <x v="17"/>
    <n v="0"/>
    <n v="0"/>
  </r>
  <r>
    <x v="0"/>
    <x v="0"/>
    <x v="0"/>
    <x v="5"/>
    <x v="9"/>
    <s v="LT_A"/>
    <x v="0"/>
    <x v="18"/>
    <n v="0"/>
    <n v="0"/>
  </r>
  <r>
    <x v="0"/>
    <x v="0"/>
    <x v="0"/>
    <x v="5"/>
    <x v="9"/>
    <s v="LT_A"/>
    <x v="0"/>
    <x v="19"/>
    <n v="0"/>
    <n v="0"/>
  </r>
  <r>
    <x v="0"/>
    <x v="0"/>
    <x v="0"/>
    <x v="5"/>
    <x v="9"/>
    <s v="LT_A"/>
    <x v="0"/>
    <x v="20"/>
    <n v="0"/>
    <n v="0"/>
  </r>
  <r>
    <x v="0"/>
    <x v="0"/>
    <x v="0"/>
    <x v="5"/>
    <x v="9"/>
    <s v="LT_A"/>
    <x v="0"/>
    <x v="21"/>
    <n v="0"/>
    <n v="0"/>
  </r>
  <r>
    <x v="0"/>
    <x v="0"/>
    <x v="0"/>
    <x v="5"/>
    <x v="9"/>
    <s v="LT_A"/>
    <x v="0"/>
    <x v="22"/>
    <n v="0"/>
    <n v="0"/>
  </r>
  <r>
    <x v="0"/>
    <x v="0"/>
    <x v="0"/>
    <x v="5"/>
    <x v="9"/>
    <s v="LT_A"/>
    <x v="0"/>
    <x v="23"/>
    <n v="0"/>
    <n v="0"/>
  </r>
  <r>
    <x v="0"/>
    <x v="0"/>
    <x v="0"/>
    <x v="6"/>
    <x v="10"/>
    <s v="NO1_A1"/>
    <x v="0"/>
    <x v="0"/>
    <n v="668.71202762323503"/>
    <n v="2407.3632994436498"/>
  </r>
  <r>
    <x v="0"/>
    <x v="0"/>
    <x v="0"/>
    <x v="6"/>
    <x v="10"/>
    <s v="NO1_A1"/>
    <x v="0"/>
    <x v="1"/>
    <n v="834.01169381683701"/>
    <n v="3002.4420977406098"/>
  </r>
  <r>
    <x v="0"/>
    <x v="0"/>
    <x v="0"/>
    <x v="6"/>
    <x v="10"/>
    <s v="NO1_A1"/>
    <x v="0"/>
    <x v="2"/>
    <n v="1000.7975997988"/>
    <n v="3602.8713592756799"/>
  </r>
  <r>
    <x v="0"/>
    <x v="0"/>
    <x v="0"/>
    <x v="6"/>
    <x v="10"/>
    <s v="NO1_A1"/>
    <x v="0"/>
    <x v="3"/>
    <n v="1152.32722835136"/>
    <n v="4148.3780220649096"/>
  </r>
  <r>
    <x v="0"/>
    <x v="0"/>
    <x v="0"/>
    <x v="6"/>
    <x v="10"/>
    <s v="NO1_A1"/>
    <x v="0"/>
    <x v="4"/>
    <n v="1284.54643699548"/>
    <n v="4624.3671731837203"/>
  </r>
  <r>
    <x v="0"/>
    <x v="0"/>
    <x v="0"/>
    <x v="6"/>
    <x v="10"/>
    <s v="NO1_A1"/>
    <x v="0"/>
    <x v="5"/>
    <n v="1369.0504163355799"/>
    <n v="4928.5814988081002"/>
  </r>
  <r>
    <x v="0"/>
    <x v="0"/>
    <x v="0"/>
    <x v="6"/>
    <x v="10"/>
    <s v="NO1_A1"/>
    <x v="0"/>
    <x v="6"/>
    <n v="1374.68999943772"/>
    <n v="4948.8839979757804"/>
  </r>
  <r>
    <x v="0"/>
    <x v="0"/>
    <x v="0"/>
    <x v="6"/>
    <x v="10"/>
    <s v="NO1_A1"/>
    <x v="0"/>
    <x v="7"/>
    <n v="1208.50225256765"/>
    <n v="4350.6081092435397"/>
  </r>
  <r>
    <x v="0"/>
    <x v="0"/>
    <x v="0"/>
    <x v="6"/>
    <x v="10"/>
    <s v="NO1_A1"/>
    <x v="0"/>
    <x v="8"/>
    <n v="926.069825329683"/>
    <n v="3333.85137118686"/>
  </r>
  <r>
    <x v="0"/>
    <x v="0"/>
    <x v="0"/>
    <x v="6"/>
    <x v="10"/>
    <s v="NO1_A1"/>
    <x v="0"/>
    <x v="9"/>
    <n v="647.22362685370604"/>
    <n v="2330.0050566733398"/>
  </r>
  <r>
    <x v="0"/>
    <x v="0"/>
    <x v="0"/>
    <x v="6"/>
    <x v="10"/>
    <s v="NO1_A1"/>
    <x v="0"/>
    <x v="10"/>
    <n v="405.82340329669597"/>
    <n v="1460.9642518681001"/>
  </r>
  <r>
    <x v="0"/>
    <x v="0"/>
    <x v="0"/>
    <x v="6"/>
    <x v="10"/>
    <s v="NO1_A1"/>
    <x v="0"/>
    <x v="11"/>
    <n v="229.59914169782101"/>
    <n v="826.55691011215697"/>
  </r>
  <r>
    <x v="0"/>
    <x v="0"/>
    <x v="0"/>
    <x v="6"/>
    <x v="10"/>
    <s v="NO1_A1"/>
    <x v="0"/>
    <x v="12"/>
    <n v="109.503165238831"/>
    <n v="394.21139485979"/>
  </r>
  <r>
    <x v="0"/>
    <x v="0"/>
    <x v="0"/>
    <x v="6"/>
    <x v="10"/>
    <s v="NO1_A1"/>
    <x v="0"/>
    <x v="13"/>
    <n v="34.498175558210903"/>
    <n v="124.193432009559"/>
  </r>
  <r>
    <x v="0"/>
    <x v="0"/>
    <x v="0"/>
    <x v="6"/>
    <x v="10"/>
    <s v="NO1_A1"/>
    <x v="0"/>
    <x v="14"/>
    <n v="3.6404419954710199"/>
    <n v="13.105591183695701"/>
  </r>
  <r>
    <x v="0"/>
    <x v="0"/>
    <x v="0"/>
    <x v="6"/>
    <x v="10"/>
    <s v="NO1_A1"/>
    <x v="0"/>
    <x v="15"/>
    <n v="0"/>
    <n v="0"/>
  </r>
  <r>
    <x v="0"/>
    <x v="0"/>
    <x v="0"/>
    <x v="6"/>
    <x v="10"/>
    <s v="NO1_A1"/>
    <x v="0"/>
    <x v="16"/>
    <n v="0"/>
    <n v="0"/>
  </r>
  <r>
    <x v="0"/>
    <x v="0"/>
    <x v="0"/>
    <x v="6"/>
    <x v="10"/>
    <s v="NO1_A1"/>
    <x v="0"/>
    <x v="17"/>
    <n v="0"/>
    <n v="0"/>
  </r>
  <r>
    <x v="0"/>
    <x v="0"/>
    <x v="0"/>
    <x v="6"/>
    <x v="10"/>
    <s v="NO1_A1"/>
    <x v="0"/>
    <x v="18"/>
    <n v="0"/>
    <n v="0"/>
  </r>
  <r>
    <x v="0"/>
    <x v="0"/>
    <x v="0"/>
    <x v="6"/>
    <x v="10"/>
    <s v="NO1_A1"/>
    <x v="0"/>
    <x v="19"/>
    <n v="0"/>
    <n v="0"/>
  </r>
  <r>
    <x v="0"/>
    <x v="0"/>
    <x v="0"/>
    <x v="6"/>
    <x v="10"/>
    <s v="NO1_A1"/>
    <x v="0"/>
    <x v="20"/>
    <n v="0"/>
    <n v="0"/>
  </r>
  <r>
    <x v="0"/>
    <x v="0"/>
    <x v="0"/>
    <x v="6"/>
    <x v="10"/>
    <s v="NO1_A1"/>
    <x v="0"/>
    <x v="21"/>
    <n v="206.62835428235601"/>
    <n v="743.86207541648105"/>
  </r>
  <r>
    <x v="0"/>
    <x v="0"/>
    <x v="0"/>
    <x v="6"/>
    <x v="10"/>
    <s v="NO1_A1"/>
    <x v="0"/>
    <x v="22"/>
    <n v="403.12609004272798"/>
    <n v="1451.25392415382"/>
  </r>
  <r>
    <x v="0"/>
    <x v="0"/>
    <x v="0"/>
    <x v="6"/>
    <x v="10"/>
    <s v="NO1_A1"/>
    <x v="0"/>
    <x v="23"/>
    <n v="403.12609004272798"/>
    <n v="1451.25392415382"/>
  </r>
  <r>
    <x v="0"/>
    <x v="0"/>
    <x v="0"/>
    <x v="6"/>
    <x v="10"/>
    <s v="NO1_A2"/>
    <x v="0"/>
    <x v="0"/>
    <n v="1295.5639187500101"/>
    <n v="4664.0301075000398"/>
  </r>
  <r>
    <x v="0"/>
    <x v="0"/>
    <x v="0"/>
    <x v="6"/>
    <x v="10"/>
    <s v="NO1_A2"/>
    <x v="0"/>
    <x v="1"/>
    <n v="1488.70362583876"/>
    <n v="5359.3330530195499"/>
  </r>
  <r>
    <x v="0"/>
    <x v="0"/>
    <x v="0"/>
    <x v="6"/>
    <x v="10"/>
    <s v="NO1_A2"/>
    <x v="0"/>
    <x v="2"/>
    <n v="1673.91111257488"/>
    <n v="6026.0800052695804"/>
  </r>
  <r>
    <x v="0"/>
    <x v="0"/>
    <x v="0"/>
    <x v="6"/>
    <x v="10"/>
    <s v="NO1_A2"/>
    <x v="0"/>
    <x v="3"/>
    <n v="1845.03866447937"/>
    <n v="6642.13919212574"/>
  </r>
  <r>
    <x v="0"/>
    <x v="0"/>
    <x v="0"/>
    <x v="6"/>
    <x v="10"/>
    <s v="NO1_A2"/>
    <x v="0"/>
    <x v="4"/>
    <n v="1958.77772013653"/>
    <n v="7051.59979249153"/>
  </r>
  <r>
    <x v="0"/>
    <x v="0"/>
    <x v="0"/>
    <x v="6"/>
    <x v="10"/>
    <s v="NO1_A2"/>
    <x v="0"/>
    <x v="5"/>
    <n v="1981.27313837559"/>
    <n v="7132.5832981521298"/>
  </r>
  <r>
    <x v="0"/>
    <x v="0"/>
    <x v="0"/>
    <x v="6"/>
    <x v="10"/>
    <s v="NO1_A2"/>
    <x v="0"/>
    <x v="6"/>
    <n v="1981.27313837559"/>
    <n v="7132.5832981521298"/>
  </r>
  <r>
    <x v="0"/>
    <x v="0"/>
    <x v="0"/>
    <x v="6"/>
    <x v="10"/>
    <s v="NO1_A2"/>
    <x v="0"/>
    <x v="7"/>
    <n v="1895.4138233199401"/>
    <n v="6823.4897639517903"/>
  </r>
  <r>
    <x v="0"/>
    <x v="0"/>
    <x v="0"/>
    <x v="6"/>
    <x v="10"/>
    <s v="NO1_A2"/>
    <x v="0"/>
    <x v="8"/>
    <n v="1422.8103819932001"/>
    <n v="5122.1173751755096"/>
  </r>
  <r>
    <x v="0"/>
    <x v="0"/>
    <x v="0"/>
    <x v="6"/>
    <x v="10"/>
    <s v="NO1_A2"/>
    <x v="0"/>
    <x v="9"/>
    <n v="945.58424345793799"/>
    <n v="3404.1032764485799"/>
  </r>
  <r>
    <x v="0"/>
    <x v="0"/>
    <x v="0"/>
    <x v="6"/>
    <x v="10"/>
    <s v="NO1_A2"/>
    <x v="0"/>
    <x v="10"/>
    <n v="512.79018046030103"/>
    <n v="1846.0446496570801"/>
  </r>
  <r>
    <x v="0"/>
    <x v="0"/>
    <x v="0"/>
    <x v="6"/>
    <x v="10"/>
    <s v="NO1_A2"/>
    <x v="0"/>
    <x v="11"/>
    <n v="370.98852687235899"/>
    <n v="1335.5586967404899"/>
  </r>
  <r>
    <x v="0"/>
    <x v="0"/>
    <x v="0"/>
    <x v="6"/>
    <x v="10"/>
    <s v="NO1_A2"/>
    <x v="0"/>
    <x v="12"/>
    <n v="63.929948529410801"/>
    <n v="230.147814705879"/>
  </r>
  <r>
    <x v="0"/>
    <x v="0"/>
    <x v="0"/>
    <x v="6"/>
    <x v="10"/>
    <s v="NO1_A2"/>
    <x v="0"/>
    <x v="13"/>
    <n v="16.381720447599101"/>
    <n v="58.974193611356903"/>
  </r>
  <r>
    <x v="0"/>
    <x v="0"/>
    <x v="0"/>
    <x v="6"/>
    <x v="10"/>
    <s v="NO1_A2"/>
    <x v="0"/>
    <x v="14"/>
    <n v="0"/>
    <n v="0"/>
  </r>
  <r>
    <x v="0"/>
    <x v="0"/>
    <x v="0"/>
    <x v="6"/>
    <x v="10"/>
    <s v="NO1_A2"/>
    <x v="0"/>
    <x v="15"/>
    <n v="0"/>
    <n v="0"/>
  </r>
  <r>
    <x v="0"/>
    <x v="0"/>
    <x v="0"/>
    <x v="6"/>
    <x v="10"/>
    <s v="NO1_A2"/>
    <x v="0"/>
    <x v="16"/>
    <n v="0"/>
    <n v="0"/>
  </r>
  <r>
    <x v="0"/>
    <x v="0"/>
    <x v="0"/>
    <x v="6"/>
    <x v="10"/>
    <s v="NO1_A2"/>
    <x v="0"/>
    <x v="17"/>
    <n v="0"/>
    <n v="0"/>
  </r>
  <r>
    <x v="0"/>
    <x v="0"/>
    <x v="0"/>
    <x v="6"/>
    <x v="10"/>
    <s v="NO1_A2"/>
    <x v="0"/>
    <x v="18"/>
    <n v="42.992651605840898"/>
    <n v="154.773545781027"/>
  </r>
  <r>
    <x v="0"/>
    <x v="0"/>
    <x v="0"/>
    <x v="6"/>
    <x v="10"/>
    <s v="NO1_A2"/>
    <x v="0"/>
    <x v="19"/>
    <n v="140.35000896340901"/>
    <n v="505.26003226827402"/>
  </r>
  <r>
    <x v="0"/>
    <x v="0"/>
    <x v="0"/>
    <x v="6"/>
    <x v="10"/>
    <s v="NO1_A2"/>
    <x v="0"/>
    <x v="20"/>
    <n v="291.16278075630902"/>
    <n v="1048.1860107227101"/>
  </r>
  <r>
    <x v="0"/>
    <x v="0"/>
    <x v="0"/>
    <x v="6"/>
    <x v="10"/>
    <s v="NO1_A2"/>
    <x v="0"/>
    <x v="21"/>
    <n v="482.36621992406901"/>
    <n v="1736.51839172665"/>
  </r>
  <r>
    <x v="0"/>
    <x v="0"/>
    <x v="0"/>
    <x v="6"/>
    <x v="10"/>
    <s v="NO1_A2"/>
    <x v="0"/>
    <x v="22"/>
    <n v="715.76572708573599"/>
    <n v="2576.7566175086499"/>
  </r>
  <r>
    <x v="0"/>
    <x v="0"/>
    <x v="0"/>
    <x v="6"/>
    <x v="10"/>
    <s v="NO1_A2"/>
    <x v="0"/>
    <x v="23"/>
    <n v="993.85522451246095"/>
    <n v="3577.87880824486"/>
  </r>
  <r>
    <x v="0"/>
    <x v="0"/>
    <x v="0"/>
    <x v="6"/>
    <x v="11"/>
    <s v="NO2_A1"/>
    <x v="0"/>
    <x v="0"/>
    <n v="28.117901656798999"/>
    <n v="101.224445964476"/>
  </r>
  <r>
    <x v="0"/>
    <x v="0"/>
    <x v="0"/>
    <x v="6"/>
    <x v="11"/>
    <s v="NO2_A1"/>
    <x v="0"/>
    <x v="1"/>
    <n v="28.117901656798999"/>
    <n v="101.224445964476"/>
  </r>
  <r>
    <x v="0"/>
    <x v="0"/>
    <x v="0"/>
    <x v="6"/>
    <x v="11"/>
    <s v="NO2_A1"/>
    <x v="0"/>
    <x v="2"/>
    <n v="28.117901656798999"/>
    <n v="101.224445964476"/>
  </r>
  <r>
    <x v="0"/>
    <x v="0"/>
    <x v="0"/>
    <x v="6"/>
    <x v="11"/>
    <s v="NO2_A1"/>
    <x v="0"/>
    <x v="3"/>
    <n v="28.117901656798999"/>
    <n v="101.224445964476"/>
  </r>
  <r>
    <x v="0"/>
    <x v="0"/>
    <x v="0"/>
    <x v="6"/>
    <x v="11"/>
    <s v="NO2_A1"/>
    <x v="0"/>
    <x v="4"/>
    <n v="28.117901656798999"/>
    <n v="101.224445964476"/>
  </r>
  <r>
    <x v="0"/>
    <x v="0"/>
    <x v="0"/>
    <x v="6"/>
    <x v="11"/>
    <s v="NO2_A1"/>
    <x v="0"/>
    <x v="5"/>
    <n v="28.117901656798999"/>
    <n v="101.224445964476"/>
  </r>
  <r>
    <x v="0"/>
    <x v="0"/>
    <x v="0"/>
    <x v="6"/>
    <x v="11"/>
    <s v="NO2_A1"/>
    <x v="0"/>
    <x v="6"/>
    <n v="28.117901656798999"/>
    <n v="101.224445964476"/>
  </r>
  <r>
    <x v="0"/>
    <x v="0"/>
    <x v="0"/>
    <x v="6"/>
    <x v="11"/>
    <s v="NO2_A1"/>
    <x v="0"/>
    <x v="7"/>
    <n v="28.117901656798999"/>
    <n v="101.224445964476"/>
  </r>
  <r>
    <x v="0"/>
    <x v="0"/>
    <x v="0"/>
    <x v="6"/>
    <x v="11"/>
    <s v="NO2_A1"/>
    <x v="0"/>
    <x v="8"/>
    <n v="28.117901656798999"/>
    <n v="101.224445964476"/>
  </r>
  <r>
    <x v="0"/>
    <x v="0"/>
    <x v="0"/>
    <x v="6"/>
    <x v="11"/>
    <s v="NO2_A1"/>
    <x v="0"/>
    <x v="9"/>
    <n v="28.117901656798999"/>
    <n v="101.224445964476"/>
  </r>
  <r>
    <x v="0"/>
    <x v="0"/>
    <x v="0"/>
    <x v="6"/>
    <x v="11"/>
    <s v="NO2_A1"/>
    <x v="0"/>
    <x v="10"/>
    <n v="28.117901656798999"/>
    <n v="101.224445964476"/>
  </r>
  <r>
    <x v="0"/>
    <x v="0"/>
    <x v="0"/>
    <x v="6"/>
    <x v="11"/>
    <s v="NO2_A1"/>
    <x v="0"/>
    <x v="11"/>
    <n v="28.117901656798999"/>
    <n v="101.224445964476"/>
  </r>
  <r>
    <x v="0"/>
    <x v="0"/>
    <x v="0"/>
    <x v="6"/>
    <x v="11"/>
    <s v="NO2_A1"/>
    <x v="0"/>
    <x v="12"/>
    <n v="28.117901656798999"/>
    <n v="101.224445964476"/>
  </r>
  <r>
    <x v="0"/>
    <x v="0"/>
    <x v="0"/>
    <x v="6"/>
    <x v="11"/>
    <s v="NO2_A1"/>
    <x v="0"/>
    <x v="13"/>
    <n v="28.117901656798999"/>
    <n v="101.224445964476"/>
  </r>
  <r>
    <x v="0"/>
    <x v="0"/>
    <x v="0"/>
    <x v="6"/>
    <x v="11"/>
    <s v="NO2_A1"/>
    <x v="0"/>
    <x v="14"/>
    <n v="28.117901656798999"/>
    <n v="101.224445964476"/>
  </r>
  <r>
    <x v="0"/>
    <x v="0"/>
    <x v="0"/>
    <x v="6"/>
    <x v="11"/>
    <s v="NO2_A1"/>
    <x v="0"/>
    <x v="15"/>
    <n v="28.117901656798999"/>
    <n v="101.224445964476"/>
  </r>
  <r>
    <x v="0"/>
    <x v="0"/>
    <x v="0"/>
    <x v="6"/>
    <x v="11"/>
    <s v="NO2_A1"/>
    <x v="0"/>
    <x v="16"/>
    <n v="24.125058204138799"/>
    <n v="86.850209534899705"/>
  </r>
  <r>
    <x v="0"/>
    <x v="0"/>
    <x v="0"/>
    <x v="6"/>
    <x v="11"/>
    <s v="NO2_A1"/>
    <x v="0"/>
    <x v="17"/>
    <n v="0"/>
    <n v="0"/>
  </r>
  <r>
    <x v="0"/>
    <x v="0"/>
    <x v="0"/>
    <x v="6"/>
    <x v="11"/>
    <s v="NO2_A1"/>
    <x v="0"/>
    <x v="18"/>
    <n v="0"/>
    <n v="0"/>
  </r>
  <r>
    <x v="0"/>
    <x v="0"/>
    <x v="0"/>
    <x v="6"/>
    <x v="11"/>
    <s v="NO2_A1"/>
    <x v="0"/>
    <x v="19"/>
    <n v="0"/>
    <n v="0"/>
  </r>
  <r>
    <x v="0"/>
    <x v="0"/>
    <x v="0"/>
    <x v="6"/>
    <x v="11"/>
    <s v="NO2_A1"/>
    <x v="0"/>
    <x v="20"/>
    <n v="0"/>
    <n v="0"/>
  </r>
  <r>
    <x v="0"/>
    <x v="0"/>
    <x v="0"/>
    <x v="6"/>
    <x v="11"/>
    <s v="NO2_A1"/>
    <x v="0"/>
    <x v="21"/>
    <n v="0"/>
    <n v="0"/>
  </r>
  <r>
    <x v="0"/>
    <x v="0"/>
    <x v="0"/>
    <x v="6"/>
    <x v="11"/>
    <s v="NO2_A1"/>
    <x v="0"/>
    <x v="22"/>
    <n v="0"/>
    <n v="0"/>
  </r>
  <r>
    <x v="0"/>
    <x v="0"/>
    <x v="0"/>
    <x v="6"/>
    <x v="11"/>
    <s v="NO2_A1"/>
    <x v="0"/>
    <x v="23"/>
    <n v="9.8758258342357195"/>
    <n v="35.552973003248603"/>
  </r>
  <r>
    <x v="0"/>
    <x v="0"/>
    <x v="0"/>
    <x v="6"/>
    <x v="12"/>
    <s v="NO3_A1"/>
    <x v="0"/>
    <x v="0"/>
    <n v="0"/>
    <n v="0"/>
  </r>
  <r>
    <x v="0"/>
    <x v="0"/>
    <x v="0"/>
    <x v="6"/>
    <x v="12"/>
    <s v="NO3_A1"/>
    <x v="0"/>
    <x v="1"/>
    <n v="0"/>
    <n v="0"/>
  </r>
  <r>
    <x v="0"/>
    <x v="0"/>
    <x v="0"/>
    <x v="6"/>
    <x v="12"/>
    <s v="NO3_A1"/>
    <x v="0"/>
    <x v="2"/>
    <n v="0"/>
    <n v="0"/>
  </r>
  <r>
    <x v="0"/>
    <x v="0"/>
    <x v="0"/>
    <x v="6"/>
    <x v="12"/>
    <s v="NO3_A1"/>
    <x v="0"/>
    <x v="3"/>
    <n v="0"/>
    <n v="0"/>
  </r>
  <r>
    <x v="0"/>
    <x v="0"/>
    <x v="0"/>
    <x v="6"/>
    <x v="12"/>
    <s v="NO3_A1"/>
    <x v="0"/>
    <x v="4"/>
    <n v="0"/>
    <n v="0"/>
  </r>
  <r>
    <x v="0"/>
    <x v="0"/>
    <x v="0"/>
    <x v="6"/>
    <x v="12"/>
    <s v="NO3_A1"/>
    <x v="0"/>
    <x v="5"/>
    <n v="0"/>
    <n v="0"/>
  </r>
  <r>
    <x v="0"/>
    <x v="0"/>
    <x v="0"/>
    <x v="6"/>
    <x v="12"/>
    <s v="NO3_A1"/>
    <x v="0"/>
    <x v="6"/>
    <n v="0"/>
    <n v="0"/>
  </r>
  <r>
    <x v="0"/>
    <x v="0"/>
    <x v="0"/>
    <x v="6"/>
    <x v="12"/>
    <s v="NO3_A1"/>
    <x v="0"/>
    <x v="7"/>
    <n v="0"/>
    <n v="0"/>
  </r>
  <r>
    <x v="0"/>
    <x v="0"/>
    <x v="0"/>
    <x v="6"/>
    <x v="12"/>
    <s v="NO3_A1"/>
    <x v="0"/>
    <x v="8"/>
    <n v="0"/>
    <n v="0"/>
  </r>
  <r>
    <x v="0"/>
    <x v="0"/>
    <x v="0"/>
    <x v="6"/>
    <x v="12"/>
    <s v="NO3_A1"/>
    <x v="0"/>
    <x v="9"/>
    <n v="0"/>
    <n v="0"/>
  </r>
  <r>
    <x v="0"/>
    <x v="0"/>
    <x v="0"/>
    <x v="6"/>
    <x v="12"/>
    <s v="NO3_A1"/>
    <x v="0"/>
    <x v="10"/>
    <n v="0"/>
    <n v="0"/>
  </r>
  <r>
    <x v="0"/>
    <x v="0"/>
    <x v="0"/>
    <x v="6"/>
    <x v="12"/>
    <s v="NO3_A1"/>
    <x v="0"/>
    <x v="11"/>
    <n v="0"/>
    <n v="0"/>
  </r>
  <r>
    <x v="0"/>
    <x v="0"/>
    <x v="0"/>
    <x v="6"/>
    <x v="12"/>
    <s v="NO3_A1"/>
    <x v="0"/>
    <x v="12"/>
    <n v="0"/>
    <n v="0"/>
  </r>
  <r>
    <x v="0"/>
    <x v="0"/>
    <x v="0"/>
    <x v="6"/>
    <x v="12"/>
    <s v="NO3_A1"/>
    <x v="0"/>
    <x v="13"/>
    <n v="0"/>
    <n v="0"/>
  </r>
  <r>
    <x v="0"/>
    <x v="0"/>
    <x v="0"/>
    <x v="6"/>
    <x v="12"/>
    <s v="NO3_A1"/>
    <x v="0"/>
    <x v="14"/>
    <n v="0"/>
    <n v="0"/>
  </r>
  <r>
    <x v="0"/>
    <x v="0"/>
    <x v="0"/>
    <x v="6"/>
    <x v="12"/>
    <s v="NO3_A1"/>
    <x v="0"/>
    <x v="15"/>
    <n v="0"/>
    <n v="0"/>
  </r>
  <r>
    <x v="0"/>
    <x v="0"/>
    <x v="0"/>
    <x v="6"/>
    <x v="12"/>
    <s v="NO3_A1"/>
    <x v="0"/>
    <x v="16"/>
    <n v="0"/>
    <n v="0"/>
  </r>
  <r>
    <x v="0"/>
    <x v="0"/>
    <x v="0"/>
    <x v="6"/>
    <x v="12"/>
    <s v="NO3_A1"/>
    <x v="0"/>
    <x v="17"/>
    <n v="0"/>
    <n v="0"/>
  </r>
  <r>
    <x v="0"/>
    <x v="0"/>
    <x v="0"/>
    <x v="6"/>
    <x v="12"/>
    <s v="NO3_A1"/>
    <x v="0"/>
    <x v="18"/>
    <n v="0"/>
    <n v="0"/>
  </r>
  <r>
    <x v="0"/>
    <x v="0"/>
    <x v="0"/>
    <x v="6"/>
    <x v="12"/>
    <s v="NO3_A1"/>
    <x v="0"/>
    <x v="19"/>
    <n v="0"/>
    <n v="0"/>
  </r>
  <r>
    <x v="0"/>
    <x v="0"/>
    <x v="0"/>
    <x v="6"/>
    <x v="12"/>
    <s v="NO3_A1"/>
    <x v="0"/>
    <x v="20"/>
    <n v="0"/>
    <n v="0"/>
  </r>
  <r>
    <x v="0"/>
    <x v="0"/>
    <x v="0"/>
    <x v="6"/>
    <x v="12"/>
    <s v="NO3_A1"/>
    <x v="0"/>
    <x v="21"/>
    <n v="0"/>
    <n v="0"/>
  </r>
  <r>
    <x v="0"/>
    <x v="0"/>
    <x v="0"/>
    <x v="6"/>
    <x v="12"/>
    <s v="NO3_A1"/>
    <x v="0"/>
    <x v="22"/>
    <n v="0"/>
    <n v="0"/>
  </r>
  <r>
    <x v="0"/>
    <x v="0"/>
    <x v="0"/>
    <x v="6"/>
    <x v="12"/>
    <s v="NO3_A1"/>
    <x v="0"/>
    <x v="23"/>
    <n v="0"/>
    <n v="0"/>
  </r>
  <r>
    <x v="0"/>
    <x v="0"/>
    <x v="0"/>
    <x v="6"/>
    <x v="12"/>
    <s v="NO3_A2"/>
    <x v="0"/>
    <x v="0"/>
    <n v="0"/>
    <n v="0"/>
  </r>
  <r>
    <x v="0"/>
    <x v="0"/>
    <x v="0"/>
    <x v="6"/>
    <x v="12"/>
    <s v="NO3_A2"/>
    <x v="0"/>
    <x v="1"/>
    <n v="0"/>
    <n v="0"/>
  </r>
  <r>
    <x v="0"/>
    <x v="0"/>
    <x v="0"/>
    <x v="6"/>
    <x v="12"/>
    <s v="NO3_A2"/>
    <x v="0"/>
    <x v="2"/>
    <n v="0"/>
    <n v="0"/>
  </r>
  <r>
    <x v="0"/>
    <x v="0"/>
    <x v="0"/>
    <x v="6"/>
    <x v="12"/>
    <s v="NO3_A2"/>
    <x v="0"/>
    <x v="3"/>
    <n v="0"/>
    <n v="0"/>
  </r>
  <r>
    <x v="0"/>
    <x v="0"/>
    <x v="0"/>
    <x v="6"/>
    <x v="12"/>
    <s v="NO3_A2"/>
    <x v="0"/>
    <x v="4"/>
    <n v="0"/>
    <n v="0"/>
  </r>
  <r>
    <x v="0"/>
    <x v="0"/>
    <x v="0"/>
    <x v="6"/>
    <x v="12"/>
    <s v="NO3_A2"/>
    <x v="0"/>
    <x v="5"/>
    <n v="0"/>
    <n v="0"/>
  </r>
  <r>
    <x v="0"/>
    <x v="0"/>
    <x v="0"/>
    <x v="6"/>
    <x v="12"/>
    <s v="NO3_A2"/>
    <x v="0"/>
    <x v="6"/>
    <n v="0"/>
    <n v="0"/>
  </r>
  <r>
    <x v="0"/>
    <x v="0"/>
    <x v="0"/>
    <x v="6"/>
    <x v="12"/>
    <s v="NO3_A2"/>
    <x v="0"/>
    <x v="7"/>
    <n v="0"/>
    <n v="0"/>
  </r>
  <r>
    <x v="0"/>
    <x v="0"/>
    <x v="0"/>
    <x v="6"/>
    <x v="12"/>
    <s v="NO3_A2"/>
    <x v="0"/>
    <x v="8"/>
    <n v="0"/>
    <n v="0"/>
  </r>
  <r>
    <x v="0"/>
    <x v="0"/>
    <x v="0"/>
    <x v="6"/>
    <x v="12"/>
    <s v="NO3_A2"/>
    <x v="0"/>
    <x v="9"/>
    <n v="0"/>
    <n v="0"/>
  </r>
  <r>
    <x v="0"/>
    <x v="0"/>
    <x v="0"/>
    <x v="6"/>
    <x v="12"/>
    <s v="NO3_A2"/>
    <x v="0"/>
    <x v="10"/>
    <n v="0"/>
    <n v="0"/>
  </r>
  <r>
    <x v="0"/>
    <x v="0"/>
    <x v="0"/>
    <x v="6"/>
    <x v="12"/>
    <s v="NO3_A2"/>
    <x v="0"/>
    <x v="11"/>
    <n v="0"/>
    <n v="0"/>
  </r>
  <r>
    <x v="0"/>
    <x v="0"/>
    <x v="0"/>
    <x v="6"/>
    <x v="12"/>
    <s v="NO3_A2"/>
    <x v="0"/>
    <x v="12"/>
    <n v="0"/>
    <n v="0"/>
  </r>
  <r>
    <x v="0"/>
    <x v="0"/>
    <x v="0"/>
    <x v="6"/>
    <x v="12"/>
    <s v="NO3_A2"/>
    <x v="0"/>
    <x v="13"/>
    <n v="0"/>
    <n v="0"/>
  </r>
  <r>
    <x v="0"/>
    <x v="0"/>
    <x v="0"/>
    <x v="6"/>
    <x v="12"/>
    <s v="NO3_A2"/>
    <x v="0"/>
    <x v="14"/>
    <n v="0"/>
    <n v="0"/>
  </r>
  <r>
    <x v="0"/>
    <x v="0"/>
    <x v="0"/>
    <x v="6"/>
    <x v="12"/>
    <s v="NO3_A2"/>
    <x v="0"/>
    <x v="15"/>
    <n v="0"/>
    <n v="0"/>
  </r>
  <r>
    <x v="0"/>
    <x v="0"/>
    <x v="0"/>
    <x v="6"/>
    <x v="12"/>
    <s v="NO3_A2"/>
    <x v="0"/>
    <x v="16"/>
    <n v="0"/>
    <n v="0"/>
  </r>
  <r>
    <x v="0"/>
    <x v="0"/>
    <x v="0"/>
    <x v="6"/>
    <x v="12"/>
    <s v="NO3_A2"/>
    <x v="0"/>
    <x v="17"/>
    <n v="0"/>
    <n v="0"/>
  </r>
  <r>
    <x v="0"/>
    <x v="0"/>
    <x v="0"/>
    <x v="6"/>
    <x v="12"/>
    <s v="NO3_A2"/>
    <x v="0"/>
    <x v="18"/>
    <n v="0"/>
    <n v="0"/>
  </r>
  <r>
    <x v="0"/>
    <x v="0"/>
    <x v="0"/>
    <x v="6"/>
    <x v="12"/>
    <s v="NO3_A2"/>
    <x v="0"/>
    <x v="19"/>
    <n v="0"/>
    <n v="0"/>
  </r>
  <r>
    <x v="0"/>
    <x v="0"/>
    <x v="0"/>
    <x v="6"/>
    <x v="12"/>
    <s v="NO3_A2"/>
    <x v="0"/>
    <x v="20"/>
    <n v="0"/>
    <n v="0"/>
  </r>
  <r>
    <x v="0"/>
    <x v="0"/>
    <x v="0"/>
    <x v="6"/>
    <x v="12"/>
    <s v="NO3_A2"/>
    <x v="0"/>
    <x v="21"/>
    <n v="0"/>
    <n v="0"/>
  </r>
  <r>
    <x v="0"/>
    <x v="0"/>
    <x v="0"/>
    <x v="6"/>
    <x v="12"/>
    <s v="NO3_A2"/>
    <x v="0"/>
    <x v="22"/>
    <n v="0"/>
    <n v="0"/>
  </r>
  <r>
    <x v="0"/>
    <x v="0"/>
    <x v="0"/>
    <x v="6"/>
    <x v="12"/>
    <s v="NO3_A2"/>
    <x v="0"/>
    <x v="23"/>
    <n v="0"/>
    <n v="0"/>
  </r>
  <r>
    <x v="0"/>
    <x v="0"/>
    <x v="0"/>
    <x v="6"/>
    <x v="13"/>
    <s v="NO4_A1"/>
    <x v="0"/>
    <x v="0"/>
    <n v="0"/>
    <n v="0"/>
  </r>
  <r>
    <x v="0"/>
    <x v="0"/>
    <x v="0"/>
    <x v="6"/>
    <x v="13"/>
    <s v="NO4_A1"/>
    <x v="0"/>
    <x v="1"/>
    <n v="0"/>
    <n v="0"/>
  </r>
  <r>
    <x v="0"/>
    <x v="0"/>
    <x v="0"/>
    <x v="6"/>
    <x v="13"/>
    <s v="NO4_A1"/>
    <x v="0"/>
    <x v="2"/>
    <n v="0"/>
    <n v="0"/>
  </r>
  <r>
    <x v="0"/>
    <x v="0"/>
    <x v="0"/>
    <x v="6"/>
    <x v="13"/>
    <s v="NO4_A1"/>
    <x v="0"/>
    <x v="3"/>
    <n v="0"/>
    <n v="0"/>
  </r>
  <r>
    <x v="0"/>
    <x v="0"/>
    <x v="0"/>
    <x v="6"/>
    <x v="13"/>
    <s v="NO4_A1"/>
    <x v="0"/>
    <x v="4"/>
    <n v="0"/>
    <n v="0"/>
  </r>
  <r>
    <x v="0"/>
    <x v="0"/>
    <x v="0"/>
    <x v="6"/>
    <x v="13"/>
    <s v="NO4_A1"/>
    <x v="0"/>
    <x v="5"/>
    <n v="0"/>
    <n v="0"/>
  </r>
  <r>
    <x v="0"/>
    <x v="0"/>
    <x v="0"/>
    <x v="6"/>
    <x v="13"/>
    <s v="NO4_A1"/>
    <x v="0"/>
    <x v="6"/>
    <n v="0"/>
    <n v="0"/>
  </r>
  <r>
    <x v="0"/>
    <x v="0"/>
    <x v="0"/>
    <x v="6"/>
    <x v="13"/>
    <s v="NO4_A1"/>
    <x v="0"/>
    <x v="7"/>
    <n v="0"/>
    <n v="0"/>
  </r>
  <r>
    <x v="0"/>
    <x v="0"/>
    <x v="0"/>
    <x v="6"/>
    <x v="13"/>
    <s v="NO4_A1"/>
    <x v="0"/>
    <x v="8"/>
    <n v="0"/>
    <n v="0"/>
  </r>
  <r>
    <x v="0"/>
    <x v="0"/>
    <x v="0"/>
    <x v="6"/>
    <x v="13"/>
    <s v="NO4_A1"/>
    <x v="0"/>
    <x v="9"/>
    <n v="0"/>
    <n v="0"/>
  </r>
  <r>
    <x v="0"/>
    <x v="0"/>
    <x v="0"/>
    <x v="6"/>
    <x v="13"/>
    <s v="NO4_A1"/>
    <x v="0"/>
    <x v="10"/>
    <n v="0"/>
    <n v="0"/>
  </r>
  <r>
    <x v="0"/>
    <x v="0"/>
    <x v="0"/>
    <x v="6"/>
    <x v="13"/>
    <s v="NO4_A1"/>
    <x v="0"/>
    <x v="11"/>
    <n v="0"/>
    <n v="0"/>
  </r>
  <r>
    <x v="0"/>
    <x v="0"/>
    <x v="0"/>
    <x v="6"/>
    <x v="13"/>
    <s v="NO4_A1"/>
    <x v="0"/>
    <x v="12"/>
    <n v="0"/>
    <n v="0"/>
  </r>
  <r>
    <x v="0"/>
    <x v="0"/>
    <x v="0"/>
    <x v="6"/>
    <x v="13"/>
    <s v="NO4_A1"/>
    <x v="0"/>
    <x v="13"/>
    <n v="0"/>
    <n v="0"/>
  </r>
  <r>
    <x v="0"/>
    <x v="0"/>
    <x v="0"/>
    <x v="6"/>
    <x v="13"/>
    <s v="NO4_A1"/>
    <x v="0"/>
    <x v="14"/>
    <n v="0"/>
    <n v="0"/>
  </r>
  <r>
    <x v="0"/>
    <x v="0"/>
    <x v="0"/>
    <x v="6"/>
    <x v="13"/>
    <s v="NO4_A1"/>
    <x v="0"/>
    <x v="15"/>
    <n v="0"/>
    <n v="0"/>
  </r>
  <r>
    <x v="0"/>
    <x v="0"/>
    <x v="0"/>
    <x v="6"/>
    <x v="13"/>
    <s v="NO4_A1"/>
    <x v="0"/>
    <x v="16"/>
    <n v="0"/>
    <n v="0"/>
  </r>
  <r>
    <x v="0"/>
    <x v="0"/>
    <x v="0"/>
    <x v="6"/>
    <x v="13"/>
    <s v="NO4_A1"/>
    <x v="0"/>
    <x v="17"/>
    <n v="0"/>
    <n v="0"/>
  </r>
  <r>
    <x v="0"/>
    <x v="0"/>
    <x v="0"/>
    <x v="6"/>
    <x v="13"/>
    <s v="NO4_A1"/>
    <x v="0"/>
    <x v="18"/>
    <n v="0"/>
    <n v="0"/>
  </r>
  <r>
    <x v="0"/>
    <x v="0"/>
    <x v="0"/>
    <x v="6"/>
    <x v="13"/>
    <s v="NO4_A1"/>
    <x v="0"/>
    <x v="19"/>
    <n v="0"/>
    <n v="0"/>
  </r>
  <r>
    <x v="0"/>
    <x v="0"/>
    <x v="0"/>
    <x v="6"/>
    <x v="13"/>
    <s v="NO4_A1"/>
    <x v="0"/>
    <x v="20"/>
    <n v="0"/>
    <n v="0"/>
  </r>
  <r>
    <x v="0"/>
    <x v="0"/>
    <x v="0"/>
    <x v="6"/>
    <x v="13"/>
    <s v="NO4_A1"/>
    <x v="0"/>
    <x v="21"/>
    <n v="0"/>
    <n v="0"/>
  </r>
  <r>
    <x v="0"/>
    <x v="0"/>
    <x v="0"/>
    <x v="6"/>
    <x v="13"/>
    <s v="NO4_A1"/>
    <x v="0"/>
    <x v="22"/>
    <n v="0"/>
    <n v="0"/>
  </r>
  <r>
    <x v="0"/>
    <x v="0"/>
    <x v="0"/>
    <x v="6"/>
    <x v="13"/>
    <s v="NO4_A1"/>
    <x v="0"/>
    <x v="23"/>
    <n v="0"/>
    <n v="0"/>
  </r>
  <r>
    <x v="0"/>
    <x v="0"/>
    <x v="0"/>
    <x v="6"/>
    <x v="14"/>
    <s v="NO5_A1"/>
    <x v="0"/>
    <x v="0"/>
    <n v="0"/>
    <n v="0"/>
  </r>
  <r>
    <x v="0"/>
    <x v="0"/>
    <x v="0"/>
    <x v="6"/>
    <x v="14"/>
    <s v="NO5_A1"/>
    <x v="0"/>
    <x v="1"/>
    <n v="0"/>
    <n v="0"/>
  </r>
  <r>
    <x v="0"/>
    <x v="0"/>
    <x v="0"/>
    <x v="6"/>
    <x v="14"/>
    <s v="NO5_A1"/>
    <x v="0"/>
    <x v="2"/>
    <n v="0"/>
    <n v="0"/>
  </r>
  <r>
    <x v="0"/>
    <x v="0"/>
    <x v="0"/>
    <x v="6"/>
    <x v="14"/>
    <s v="NO5_A1"/>
    <x v="0"/>
    <x v="3"/>
    <n v="0"/>
    <n v="0"/>
  </r>
  <r>
    <x v="0"/>
    <x v="0"/>
    <x v="0"/>
    <x v="6"/>
    <x v="14"/>
    <s v="NO5_A1"/>
    <x v="0"/>
    <x v="4"/>
    <n v="0"/>
    <n v="0"/>
  </r>
  <r>
    <x v="0"/>
    <x v="0"/>
    <x v="0"/>
    <x v="6"/>
    <x v="14"/>
    <s v="NO5_A1"/>
    <x v="0"/>
    <x v="5"/>
    <n v="0"/>
    <n v="0"/>
  </r>
  <r>
    <x v="0"/>
    <x v="0"/>
    <x v="0"/>
    <x v="6"/>
    <x v="14"/>
    <s v="NO5_A1"/>
    <x v="0"/>
    <x v="6"/>
    <n v="0"/>
    <n v="0"/>
  </r>
  <r>
    <x v="0"/>
    <x v="0"/>
    <x v="0"/>
    <x v="6"/>
    <x v="14"/>
    <s v="NO5_A1"/>
    <x v="0"/>
    <x v="7"/>
    <n v="0"/>
    <n v="0"/>
  </r>
  <r>
    <x v="0"/>
    <x v="0"/>
    <x v="0"/>
    <x v="6"/>
    <x v="14"/>
    <s v="NO5_A1"/>
    <x v="0"/>
    <x v="8"/>
    <n v="0"/>
    <n v="0"/>
  </r>
  <r>
    <x v="0"/>
    <x v="0"/>
    <x v="0"/>
    <x v="6"/>
    <x v="14"/>
    <s v="NO5_A1"/>
    <x v="0"/>
    <x v="9"/>
    <n v="0"/>
    <n v="0"/>
  </r>
  <r>
    <x v="0"/>
    <x v="0"/>
    <x v="0"/>
    <x v="6"/>
    <x v="14"/>
    <s v="NO5_A1"/>
    <x v="0"/>
    <x v="10"/>
    <n v="0"/>
    <n v="0"/>
  </r>
  <r>
    <x v="0"/>
    <x v="0"/>
    <x v="0"/>
    <x v="6"/>
    <x v="14"/>
    <s v="NO5_A1"/>
    <x v="0"/>
    <x v="11"/>
    <n v="0"/>
    <n v="0"/>
  </r>
  <r>
    <x v="0"/>
    <x v="0"/>
    <x v="0"/>
    <x v="6"/>
    <x v="14"/>
    <s v="NO5_A1"/>
    <x v="0"/>
    <x v="12"/>
    <n v="0"/>
    <n v="0"/>
  </r>
  <r>
    <x v="0"/>
    <x v="0"/>
    <x v="0"/>
    <x v="6"/>
    <x v="14"/>
    <s v="NO5_A1"/>
    <x v="0"/>
    <x v="13"/>
    <n v="0"/>
    <n v="0"/>
  </r>
  <r>
    <x v="0"/>
    <x v="0"/>
    <x v="0"/>
    <x v="6"/>
    <x v="14"/>
    <s v="NO5_A1"/>
    <x v="0"/>
    <x v="14"/>
    <n v="0"/>
    <n v="0"/>
  </r>
  <r>
    <x v="0"/>
    <x v="0"/>
    <x v="0"/>
    <x v="6"/>
    <x v="14"/>
    <s v="NO5_A1"/>
    <x v="0"/>
    <x v="15"/>
    <n v="0"/>
    <n v="0"/>
  </r>
  <r>
    <x v="0"/>
    <x v="0"/>
    <x v="0"/>
    <x v="6"/>
    <x v="14"/>
    <s v="NO5_A1"/>
    <x v="0"/>
    <x v="16"/>
    <n v="0"/>
    <n v="0"/>
  </r>
  <r>
    <x v="0"/>
    <x v="0"/>
    <x v="0"/>
    <x v="6"/>
    <x v="14"/>
    <s v="NO5_A1"/>
    <x v="0"/>
    <x v="17"/>
    <n v="0"/>
    <n v="0"/>
  </r>
  <r>
    <x v="0"/>
    <x v="0"/>
    <x v="0"/>
    <x v="6"/>
    <x v="14"/>
    <s v="NO5_A1"/>
    <x v="0"/>
    <x v="18"/>
    <n v="0"/>
    <n v="0"/>
  </r>
  <r>
    <x v="0"/>
    <x v="0"/>
    <x v="0"/>
    <x v="6"/>
    <x v="14"/>
    <s v="NO5_A1"/>
    <x v="0"/>
    <x v="19"/>
    <n v="0"/>
    <n v="0"/>
  </r>
  <r>
    <x v="0"/>
    <x v="0"/>
    <x v="0"/>
    <x v="6"/>
    <x v="14"/>
    <s v="NO5_A1"/>
    <x v="0"/>
    <x v="20"/>
    <n v="0"/>
    <n v="0"/>
  </r>
  <r>
    <x v="0"/>
    <x v="0"/>
    <x v="0"/>
    <x v="6"/>
    <x v="14"/>
    <s v="NO5_A1"/>
    <x v="0"/>
    <x v="21"/>
    <n v="0"/>
    <n v="0"/>
  </r>
  <r>
    <x v="0"/>
    <x v="0"/>
    <x v="0"/>
    <x v="6"/>
    <x v="14"/>
    <s v="NO5_A1"/>
    <x v="0"/>
    <x v="22"/>
    <n v="0"/>
    <n v="0"/>
  </r>
  <r>
    <x v="0"/>
    <x v="0"/>
    <x v="0"/>
    <x v="6"/>
    <x v="14"/>
    <s v="NO5_A1"/>
    <x v="0"/>
    <x v="23"/>
    <n v="0"/>
    <n v="0"/>
  </r>
  <r>
    <x v="0"/>
    <x v="0"/>
    <x v="0"/>
    <x v="7"/>
    <x v="15"/>
    <s v="PL_A"/>
    <x v="0"/>
    <x v="0"/>
    <n v="0"/>
    <n v="0"/>
  </r>
  <r>
    <x v="0"/>
    <x v="0"/>
    <x v="0"/>
    <x v="7"/>
    <x v="15"/>
    <s v="PL_A"/>
    <x v="0"/>
    <x v="1"/>
    <n v="0"/>
    <n v="0"/>
  </r>
  <r>
    <x v="0"/>
    <x v="0"/>
    <x v="0"/>
    <x v="7"/>
    <x v="15"/>
    <s v="PL_A"/>
    <x v="0"/>
    <x v="2"/>
    <n v="0"/>
    <n v="0"/>
  </r>
  <r>
    <x v="0"/>
    <x v="0"/>
    <x v="0"/>
    <x v="7"/>
    <x v="15"/>
    <s v="PL_A"/>
    <x v="0"/>
    <x v="3"/>
    <n v="0"/>
    <n v="0"/>
  </r>
  <r>
    <x v="0"/>
    <x v="0"/>
    <x v="0"/>
    <x v="7"/>
    <x v="15"/>
    <s v="PL_A"/>
    <x v="0"/>
    <x v="4"/>
    <n v="0"/>
    <n v="0"/>
  </r>
  <r>
    <x v="0"/>
    <x v="0"/>
    <x v="0"/>
    <x v="7"/>
    <x v="15"/>
    <s v="PL_A"/>
    <x v="0"/>
    <x v="5"/>
    <n v="0"/>
    <n v="0"/>
  </r>
  <r>
    <x v="0"/>
    <x v="0"/>
    <x v="0"/>
    <x v="7"/>
    <x v="15"/>
    <s v="PL_A"/>
    <x v="0"/>
    <x v="6"/>
    <n v="0"/>
    <n v="0"/>
  </r>
  <r>
    <x v="0"/>
    <x v="0"/>
    <x v="0"/>
    <x v="7"/>
    <x v="15"/>
    <s v="PL_A"/>
    <x v="0"/>
    <x v="7"/>
    <n v="0"/>
    <n v="0"/>
  </r>
  <r>
    <x v="0"/>
    <x v="0"/>
    <x v="0"/>
    <x v="7"/>
    <x v="15"/>
    <s v="PL_A"/>
    <x v="0"/>
    <x v="8"/>
    <n v="0"/>
    <n v="0"/>
  </r>
  <r>
    <x v="0"/>
    <x v="0"/>
    <x v="0"/>
    <x v="7"/>
    <x v="15"/>
    <s v="PL_A"/>
    <x v="0"/>
    <x v="9"/>
    <n v="0"/>
    <n v="0"/>
  </r>
  <r>
    <x v="0"/>
    <x v="0"/>
    <x v="0"/>
    <x v="7"/>
    <x v="15"/>
    <s v="PL_A"/>
    <x v="0"/>
    <x v="10"/>
    <n v="0"/>
    <n v="0"/>
  </r>
  <r>
    <x v="0"/>
    <x v="0"/>
    <x v="0"/>
    <x v="7"/>
    <x v="15"/>
    <s v="PL_A"/>
    <x v="0"/>
    <x v="11"/>
    <n v="0"/>
    <n v="0"/>
  </r>
  <r>
    <x v="0"/>
    <x v="0"/>
    <x v="0"/>
    <x v="7"/>
    <x v="15"/>
    <s v="PL_A"/>
    <x v="0"/>
    <x v="12"/>
    <n v="0"/>
    <n v="0"/>
  </r>
  <r>
    <x v="0"/>
    <x v="0"/>
    <x v="0"/>
    <x v="7"/>
    <x v="15"/>
    <s v="PL_A"/>
    <x v="0"/>
    <x v="13"/>
    <n v="0"/>
    <n v="0"/>
  </r>
  <r>
    <x v="0"/>
    <x v="0"/>
    <x v="0"/>
    <x v="7"/>
    <x v="15"/>
    <s v="PL_A"/>
    <x v="0"/>
    <x v="14"/>
    <n v="0"/>
    <n v="0"/>
  </r>
  <r>
    <x v="0"/>
    <x v="0"/>
    <x v="0"/>
    <x v="7"/>
    <x v="15"/>
    <s v="PL_A"/>
    <x v="0"/>
    <x v="15"/>
    <n v="0"/>
    <n v="0"/>
  </r>
  <r>
    <x v="0"/>
    <x v="0"/>
    <x v="0"/>
    <x v="7"/>
    <x v="15"/>
    <s v="PL_A"/>
    <x v="0"/>
    <x v="16"/>
    <n v="0"/>
    <n v="0"/>
  </r>
  <r>
    <x v="0"/>
    <x v="0"/>
    <x v="0"/>
    <x v="7"/>
    <x v="15"/>
    <s v="PL_A"/>
    <x v="0"/>
    <x v="17"/>
    <n v="0"/>
    <n v="0"/>
  </r>
  <r>
    <x v="0"/>
    <x v="0"/>
    <x v="0"/>
    <x v="7"/>
    <x v="15"/>
    <s v="PL_A"/>
    <x v="0"/>
    <x v="18"/>
    <n v="0"/>
    <n v="0"/>
  </r>
  <r>
    <x v="0"/>
    <x v="0"/>
    <x v="0"/>
    <x v="7"/>
    <x v="15"/>
    <s v="PL_A"/>
    <x v="0"/>
    <x v="19"/>
    <n v="0"/>
    <n v="0"/>
  </r>
  <r>
    <x v="0"/>
    <x v="0"/>
    <x v="0"/>
    <x v="7"/>
    <x v="15"/>
    <s v="PL_A"/>
    <x v="0"/>
    <x v="20"/>
    <n v="0"/>
    <n v="0"/>
  </r>
  <r>
    <x v="0"/>
    <x v="0"/>
    <x v="0"/>
    <x v="7"/>
    <x v="15"/>
    <s v="PL_A"/>
    <x v="0"/>
    <x v="21"/>
    <n v="0"/>
    <n v="0"/>
  </r>
  <r>
    <x v="0"/>
    <x v="0"/>
    <x v="0"/>
    <x v="7"/>
    <x v="15"/>
    <s v="PL_A"/>
    <x v="0"/>
    <x v="22"/>
    <n v="0"/>
    <n v="0"/>
  </r>
  <r>
    <x v="0"/>
    <x v="0"/>
    <x v="0"/>
    <x v="7"/>
    <x v="15"/>
    <s v="PL_A"/>
    <x v="0"/>
    <x v="23"/>
    <n v="0"/>
    <n v="0"/>
  </r>
  <r>
    <x v="0"/>
    <x v="0"/>
    <x v="0"/>
    <x v="8"/>
    <x v="16"/>
    <s v="SE1_EL"/>
    <x v="0"/>
    <x v="0"/>
    <n v="0"/>
    <n v="0"/>
  </r>
  <r>
    <x v="0"/>
    <x v="0"/>
    <x v="0"/>
    <x v="8"/>
    <x v="16"/>
    <s v="SE1_EL"/>
    <x v="0"/>
    <x v="1"/>
    <n v="0"/>
    <n v="0"/>
  </r>
  <r>
    <x v="0"/>
    <x v="0"/>
    <x v="0"/>
    <x v="8"/>
    <x v="16"/>
    <s v="SE1_EL"/>
    <x v="0"/>
    <x v="2"/>
    <n v="0"/>
    <n v="0"/>
  </r>
  <r>
    <x v="0"/>
    <x v="0"/>
    <x v="0"/>
    <x v="8"/>
    <x v="16"/>
    <s v="SE1_EL"/>
    <x v="0"/>
    <x v="3"/>
    <n v="0"/>
    <n v="0"/>
  </r>
  <r>
    <x v="0"/>
    <x v="0"/>
    <x v="0"/>
    <x v="8"/>
    <x v="16"/>
    <s v="SE1_EL"/>
    <x v="0"/>
    <x v="4"/>
    <n v="0"/>
    <n v="0"/>
  </r>
  <r>
    <x v="0"/>
    <x v="0"/>
    <x v="0"/>
    <x v="8"/>
    <x v="16"/>
    <s v="SE1_EL"/>
    <x v="0"/>
    <x v="5"/>
    <n v="0"/>
    <n v="0"/>
  </r>
  <r>
    <x v="0"/>
    <x v="0"/>
    <x v="0"/>
    <x v="8"/>
    <x v="16"/>
    <s v="SE1_EL"/>
    <x v="0"/>
    <x v="6"/>
    <n v="0"/>
    <n v="0"/>
  </r>
  <r>
    <x v="0"/>
    <x v="0"/>
    <x v="0"/>
    <x v="8"/>
    <x v="16"/>
    <s v="SE1_EL"/>
    <x v="0"/>
    <x v="7"/>
    <n v="0"/>
    <n v="0"/>
  </r>
  <r>
    <x v="0"/>
    <x v="0"/>
    <x v="0"/>
    <x v="8"/>
    <x v="16"/>
    <s v="SE1_EL"/>
    <x v="0"/>
    <x v="8"/>
    <n v="0"/>
    <n v="0"/>
  </r>
  <r>
    <x v="0"/>
    <x v="0"/>
    <x v="0"/>
    <x v="8"/>
    <x v="16"/>
    <s v="SE1_EL"/>
    <x v="0"/>
    <x v="9"/>
    <n v="0"/>
    <n v="0"/>
  </r>
  <r>
    <x v="0"/>
    <x v="0"/>
    <x v="0"/>
    <x v="8"/>
    <x v="16"/>
    <s v="SE1_EL"/>
    <x v="0"/>
    <x v="10"/>
    <n v="0"/>
    <n v="0"/>
  </r>
  <r>
    <x v="0"/>
    <x v="0"/>
    <x v="0"/>
    <x v="8"/>
    <x v="16"/>
    <s v="SE1_EL"/>
    <x v="0"/>
    <x v="11"/>
    <n v="0"/>
    <n v="0"/>
  </r>
  <r>
    <x v="0"/>
    <x v="0"/>
    <x v="0"/>
    <x v="8"/>
    <x v="16"/>
    <s v="SE1_EL"/>
    <x v="0"/>
    <x v="12"/>
    <n v="0"/>
    <n v="0"/>
  </r>
  <r>
    <x v="0"/>
    <x v="0"/>
    <x v="0"/>
    <x v="8"/>
    <x v="16"/>
    <s v="SE1_EL"/>
    <x v="0"/>
    <x v="13"/>
    <n v="0"/>
    <n v="0"/>
  </r>
  <r>
    <x v="0"/>
    <x v="0"/>
    <x v="0"/>
    <x v="8"/>
    <x v="16"/>
    <s v="SE1_EL"/>
    <x v="0"/>
    <x v="14"/>
    <n v="0"/>
    <n v="0"/>
  </r>
  <r>
    <x v="0"/>
    <x v="0"/>
    <x v="0"/>
    <x v="8"/>
    <x v="16"/>
    <s v="SE1_EL"/>
    <x v="0"/>
    <x v="15"/>
    <n v="0"/>
    <n v="0"/>
  </r>
  <r>
    <x v="0"/>
    <x v="0"/>
    <x v="0"/>
    <x v="8"/>
    <x v="16"/>
    <s v="SE1_EL"/>
    <x v="0"/>
    <x v="16"/>
    <n v="0"/>
    <n v="0"/>
  </r>
  <r>
    <x v="0"/>
    <x v="0"/>
    <x v="0"/>
    <x v="8"/>
    <x v="16"/>
    <s v="SE1_EL"/>
    <x v="0"/>
    <x v="17"/>
    <n v="0"/>
    <n v="0"/>
  </r>
  <r>
    <x v="0"/>
    <x v="0"/>
    <x v="0"/>
    <x v="8"/>
    <x v="16"/>
    <s v="SE1_EL"/>
    <x v="0"/>
    <x v="18"/>
    <n v="0"/>
    <n v="0"/>
  </r>
  <r>
    <x v="0"/>
    <x v="0"/>
    <x v="0"/>
    <x v="8"/>
    <x v="16"/>
    <s v="SE1_EL"/>
    <x v="0"/>
    <x v="19"/>
    <n v="0"/>
    <n v="0"/>
  </r>
  <r>
    <x v="0"/>
    <x v="0"/>
    <x v="0"/>
    <x v="8"/>
    <x v="16"/>
    <s v="SE1_EL"/>
    <x v="0"/>
    <x v="20"/>
    <n v="0"/>
    <n v="0"/>
  </r>
  <r>
    <x v="0"/>
    <x v="0"/>
    <x v="0"/>
    <x v="8"/>
    <x v="16"/>
    <s v="SE1_EL"/>
    <x v="0"/>
    <x v="21"/>
    <n v="0"/>
    <n v="0"/>
  </r>
  <r>
    <x v="0"/>
    <x v="0"/>
    <x v="0"/>
    <x v="8"/>
    <x v="16"/>
    <s v="SE1_EL"/>
    <x v="0"/>
    <x v="22"/>
    <n v="0"/>
    <n v="0"/>
  </r>
  <r>
    <x v="0"/>
    <x v="0"/>
    <x v="0"/>
    <x v="8"/>
    <x v="16"/>
    <s v="SE1_EL"/>
    <x v="0"/>
    <x v="23"/>
    <n v="0"/>
    <n v="0"/>
  </r>
  <r>
    <x v="0"/>
    <x v="0"/>
    <x v="0"/>
    <x v="8"/>
    <x v="16"/>
    <s v="SE1_OTHER"/>
    <x v="0"/>
    <x v="0"/>
    <n v="383.61816928731901"/>
    <n v="1381.02540943435"/>
  </r>
  <r>
    <x v="0"/>
    <x v="0"/>
    <x v="0"/>
    <x v="8"/>
    <x v="16"/>
    <s v="SE1_OTHER"/>
    <x v="0"/>
    <x v="1"/>
    <n v="471.87636933006797"/>
    <n v="1698.75492958825"/>
  </r>
  <r>
    <x v="0"/>
    <x v="0"/>
    <x v="0"/>
    <x v="8"/>
    <x v="16"/>
    <s v="SE1_OTHER"/>
    <x v="0"/>
    <x v="2"/>
    <n v="575.33928680815802"/>
    <n v="2071.2214325093701"/>
  </r>
  <r>
    <x v="0"/>
    <x v="0"/>
    <x v="0"/>
    <x v="8"/>
    <x v="16"/>
    <s v="SE1_OTHER"/>
    <x v="0"/>
    <x v="3"/>
    <n v="676.918611582121"/>
    <n v="2436.9070016956398"/>
  </r>
  <r>
    <x v="0"/>
    <x v="0"/>
    <x v="0"/>
    <x v="8"/>
    <x v="16"/>
    <s v="SE1_OTHER"/>
    <x v="0"/>
    <x v="4"/>
    <n v="768.086940715168"/>
    <n v="2765.1129865746002"/>
  </r>
  <r>
    <x v="0"/>
    <x v="0"/>
    <x v="0"/>
    <x v="8"/>
    <x v="16"/>
    <s v="SE1_OTHER"/>
    <x v="0"/>
    <x v="5"/>
    <n v="834.21525779468504"/>
    <n v="3003.1749280608701"/>
  </r>
  <r>
    <x v="0"/>
    <x v="0"/>
    <x v="0"/>
    <x v="8"/>
    <x v="16"/>
    <s v="SE1_OTHER"/>
    <x v="0"/>
    <x v="6"/>
    <n v="841.91722787304502"/>
    <n v="3030.90202034296"/>
  </r>
  <r>
    <x v="0"/>
    <x v="0"/>
    <x v="0"/>
    <x v="8"/>
    <x v="16"/>
    <s v="SE1_OTHER"/>
    <x v="0"/>
    <x v="7"/>
    <n v="694.30716019285398"/>
    <n v="2499.50577669427"/>
  </r>
  <r>
    <x v="0"/>
    <x v="0"/>
    <x v="0"/>
    <x v="8"/>
    <x v="16"/>
    <s v="SE1_OTHER"/>
    <x v="0"/>
    <x v="8"/>
    <n v="612.66497735030703"/>
    <n v="2205.5939184611002"/>
  </r>
  <r>
    <x v="0"/>
    <x v="0"/>
    <x v="0"/>
    <x v="8"/>
    <x v="16"/>
    <s v="SE1_OTHER"/>
    <x v="0"/>
    <x v="9"/>
    <n v="524.97247522491398"/>
    <n v="1889.90091080969"/>
  </r>
  <r>
    <x v="0"/>
    <x v="0"/>
    <x v="0"/>
    <x v="8"/>
    <x v="16"/>
    <s v="SE1_OTHER"/>
    <x v="0"/>
    <x v="10"/>
    <n v="465.46406083791601"/>
    <n v="1675.6706190165"/>
  </r>
  <r>
    <x v="0"/>
    <x v="0"/>
    <x v="0"/>
    <x v="8"/>
    <x v="16"/>
    <s v="SE1_OTHER"/>
    <x v="0"/>
    <x v="11"/>
    <n v="441.23818277321601"/>
    <n v="1588.4574579835801"/>
  </r>
  <r>
    <x v="0"/>
    <x v="0"/>
    <x v="0"/>
    <x v="8"/>
    <x v="16"/>
    <s v="SE1_OTHER"/>
    <x v="0"/>
    <x v="12"/>
    <n v="284.90004470023501"/>
    <n v="1025.6401609208399"/>
  </r>
  <r>
    <x v="0"/>
    <x v="0"/>
    <x v="0"/>
    <x v="8"/>
    <x v="16"/>
    <s v="SE1_OTHER"/>
    <x v="0"/>
    <x v="13"/>
    <n v="284.90004470023501"/>
    <n v="1025.6401609208399"/>
  </r>
  <r>
    <x v="0"/>
    <x v="0"/>
    <x v="0"/>
    <x v="8"/>
    <x v="16"/>
    <s v="SE1_OTHER"/>
    <x v="0"/>
    <x v="14"/>
    <n v="160.24042361468801"/>
    <n v="576.86552501287701"/>
  </r>
  <r>
    <x v="0"/>
    <x v="0"/>
    <x v="0"/>
    <x v="8"/>
    <x v="16"/>
    <s v="SE1_OTHER"/>
    <x v="0"/>
    <x v="15"/>
    <n v="160.24042361468801"/>
    <n v="576.86552501287701"/>
  </r>
  <r>
    <x v="0"/>
    <x v="0"/>
    <x v="0"/>
    <x v="8"/>
    <x v="16"/>
    <s v="SE1_OTHER"/>
    <x v="0"/>
    <x v="16"/>
    <n v="64.811426411752606"/>
    <n v="233.32113508230901"/>
  </r>
  <r>
    <x v="0"/>
    <x v="0"/>
    <x v="0"/>
    <x v="8"/>
    <x v="16"/>
    <s v="SE1_OTHER"/>
    <x v="0"/>
    <x v="17"/>
    <n v="12.211573758076"/>
    <n v="43.961665529073699"/>
  </r>
  <r>
    <x v="0"/>
    <x v="0"/>
    <x v="0"/>
    <x v="8"/>
    <x v="16"/>
    <s v="SE1_OTHER"/>
    <x v="0"/>
    <x v="18"/>
    <n v="0"/>
    <n v="0"/>
  </r>
  <r>
    <x v="0"/>
    <x v="0"/>
    <x v="0"/>
    <x v="8"/>
    <x v="16"/>
    <s v="SE1_OTHER"/>
    <x v="0"/>
    <x v="19"/>
    <n v="6.6389917891299302"/>
    <n v="23.9003704408677"/>
  </r>
  <r>
    <x v="0"/>
    <x v="0"/>
    <x v="0"/>
    <x v="8"/>
    <x v="16"/>
    <s v="SE1_OTHER"/>
    <x v="0"/>
    <x v="20"/>
    <n v="34.392036015285498"/>
    <n v="123.811329655028"/>
  </r>
  <r>
    <x v="0"/>
    <x v="0"/>
    <x v="0"/>
    <x v="8"/>
    <x v="16"/>
    <s v="SE1_OTHER"/>
    <x v="0"/>
    <x v="21"/>
    <n v="84.641159188156607"/>
    <n v="304.70817307736399"/>
  </r>
  <r>
    <x v="0"/>
    <x v="0"/>
    <x v="0"/>
    <x v="8"/>
    <x v="16"/>
    <s v="SE1_OTHER"/>
    <x v="0"/>
    <x v="22"/>
    <n v="154.10898680004601"/>
    <n v="554.79235248016596"/>
  </r>
  <r>
    <x v="0"/>
    <x v="0"/>
    <x v="0"/>
    <x v="8"/>
    <x v="16"/>
    <s v="SE1_OTHER"/>
    <x v="0"/>
    <x v="23"/>
    <n v="252.74092691937199"/>
    <n v="909.86733690974097"/>
  </r>
  <r>
    <x v="0"/>
    <x v="0"/>
    <x v="0"/>
    <x v="8"/>
    <x v="17"/>
    <s v="SE2_EL"/>
    <x v="0"/>
    <x v="0"/>
    <n v="0"/>
    <n v="0"/>
  </r>
  <r>
    <x v="0"/>
    <x v="0"/>
    <x v="0"/>
    <x v="8"/>
    <x v="17"/>
    <s v="SE2_EL"/>
    <x v="0"/>
    <x v="1"/>
    <n v="0"/>
    <n v="0"/>
  </r>
  <r>
    <x v="0"/>
    <x v="0"/>
    <x v="0"/>
    <x v="8"/>
    <x v="17"/>
    <s v="SE2_EL"/>
    <x v="0"/>
    <x v="2"/>
    <n v="0"/>
    <n v="0"/>
  </r>
  <r>
    <x v="0"/>
    <x v="0"/>
    <x v="0"/>
    <x v="8"/>
    <x v="17"/>
    <s v="SE2_EL"/>
    <x v="0"/>
    <x v="3"/>
    <n v="0"/>
    <n v="0"/>
  </r>
  <r>
    <x v="0"/>
    <x v="0"/>
    <x v="0"/>
    <x v="8"/>
    <x v="17"/>
    <s v="SE2_EL"/>
    <x v="0"/>
    <x v="4"/>
    <n v="0"/>
    <n v="0"/>
  </r>
  <r>
    <x v="0"/>
    <x v="0"/>
    <x v="0"/>
    <x v="8"/>
    <x v="17"/>
    <s v="SE2_EL"/>
    <x v="0"/>
    <x v="5"/>
    <n v="0"/>
    <n v="0"/>
  </r>
  <r>
    <x v="0"/>
    <x v="0"/>
    <x v="0"/>
    <x v="8"/>
    <x v="17"/>
    <s v="SE2_EL"/>
    <x v="0"/>
    <x v="6"/>
    <n v="0"/>
    <n v="0"/>
  </r>
  <r>
    <x v="0"/>
    <x v="0"/>
    <x v="0"/>
    <x v="8"/>
    <x v="17"/>
    <s v="SE2_EL"/>
    <x v="0"/>
    <x v="7"/>
    <n v="0"/>
    <n v="0"/>
  </r>
  <r>
    <x v="0"/>
    <x v="0"/>
    <x v="0"/>
    <x v="8"/>
    <x v="17"/>
    <s v="SE2_EL"/>
    <x v="0"/>
    <x v="8"/>
    <n v="0"/>
    <n v="0"/>
  </r>
  <r>
    <x v="0"/>
    <x v="0"/>
    <x v="0"/>
    <x v="8"/>
    <x v="17"/>
    <s v="SE2_EL"/>
    <x v="0"/>
    <x v="9"/>
    <n v="0"/>
    <n v="0"/>
  </r>
  <r>
    <x v="0"/>
    <x v="0"/>
    <x v="0"/>
    <x v="8"/>
    <x v="17"/>
    <s v="SE2_EL"/>
    <x v="0"/>
    <x v="10"/>
    <n v="0"/>
    <n v="0"/>
  </r>
  <r>
    <x v="0"/>
    <x v="0"/>
    <x v="0"/>
    <x v="8"/>
    <x v="17"/>
    <s v="SE2_EL"/>
    <x v="0"/>
    <x v="11"/>
    <n v="0"/>
    <n v="0"/>
  </r>
  <r>
    <x v="0"/>
    <x v="0"/>
    <x v="0"/>
    <x v="8"/>
    <x v="17"/>
    <s v="SE2_EL"/>
    <x v="0"/>
    <x v="12"/>
    <n v="0"/>
    <n v="0"/>
  </r>
  <r>
    <x v="0"/>
    <x v="0"/>
    <x v="0"/>
    <x v="8"/>
    <x v="17"/>
    <s v="SE2_EL"/>
    <x v="0"/>
    <x v="13"/>
    <n v="0"/>
    <n v="0"/>
  </r>
  <r>
    <x v="0"/>
    <x v="0"/>
    <x v="0"/>
    <x v="8"/>
    <x v="17"/>
    <s v="SE2_EL"/>
    <x v="0"/>
    <x v="14"/>
    <n v="0"/>
    <n v="0"/>
  </r>
  <r>
    <x v="0"/>
    <x v="0"/>
    <x v="0"/>
    <x v="8"/>
    <x v="17"/>
    <s v="SE2_EL"/>
    <x v="0"/>
    <x v="15"/>
    <n v="0"/>
    <n v="0"/>
  </r>
  <r>
    <x v="0"/>
    <x v="0"/>
    <x v="0"/>
    <x v="8"/>
    <x v="17"/>
    <s v="SE2_EL"/>
    <x v="0"/>
    <x v="16"/>
    <n v="0"/>
    <n v="0"/>
  </r>
  <r>
    <x v="0"/>
    <x v="0"/>
    <x v="0"/>
    <x v="8"/>
    <x v="17"/>
    <s v="SE2_EL"/>
    <x v="0"/>
    <x v="17"/>
    <n v="0"/>
    <n v="0"/>
  </r>
  <r>
    <x v="0"/>
    <x v="0"/>
    <x v="0"/>
    <x v="8"/>
    <x v="17"/>
    <s v="SE2_EL"/>
    <x v="0"/>
    <x v="18"/>
    <n v="0"/>
    <n v="0"/>
  </r>
  <r>
    <x v="0"/>
    <x v="0"/>
    <x v="0"/>
    <x v="8"/>
    <x v="17"/>
    <s v="SE2_EL"/>
    <x v="0"/>
    <x v="19"/>
    <n v="0"/>
    <n v="0"/>
  </r>
  <r>
    <x v="0"/>
    <x v="0"/>
    <x v="0"/>
    <x v="8"/>
    <x v="17"/>
    <s v="SE2_EL"/>
    <x v="0"/>
    <x v="20"/>
    <n v="0"/>
    <n v="0"/>
  </r>
  <r>
    <x v="0"/>
    <x v="0"/>
    <x v="0"/>
    <x v="8"/>
    <x v="17"/>
    <s v="SE2_EL"/>
    <x v="0"/>
    <x v="21"/>
    <n v="0"/>
    <n v="0"/>
  </r>
  <r>
    <x v="0"/>
    <x v="0"/>
    <x v="0"/>
    <x v="8"/>
    <x v="17"/>
    <s v="SE2_EL"/>
    <x v="0"/>
    <x v="22"/>
    <n v="0"/>
    <n v="0"/>
  </r>
  <r>
    <x v="0"/>
    <x v="0"/>
    <x v="0"/>
    <x v="8"/>
    <x v="17"/>
    <s v="SE2_EL"/>
    <x v="0"/>
    <x v="23"/>
    <n v="0"/>
    <n v="0"/>
  </r>
  <r>
    <x v="0"/>
    <x v="0"/>
    <x v="0"/>
    <x v="8"/>
    <x v="17"/>
    <s v="SE2_OTHER"/>
    <x v="0"/>
    <x v="0"/>
    <n v="0"/>
    <n v="0"/>
  </r>
  <r>
    <x v="0"/>
    <x v="0"/>
    <x v="0"/>
    <x v="8"/>
    <x v="17"/>
    <s v="SE2_OTHER"/>
    <x v="0"/>
    <x v="1"/>
    <n v="0"/>
    <n v="0"/>
  </r>
  <r>
    <x v="0"/>
    <x v="0"/>
    <x v="0"/>
    <x v="8"/>
    <x v="17"/>
    <s v="SE2_OTHER"/>
    <x v="0"/>
    <x v="2"/>
    <n v="0"/>
    <n v="0"/>
  </r>
  <r>
    <x v="0"/>
    <x v="0"/>
    <x v="0"/>
    <x v="8"/>
    <x v="17"/>
    <s v="SE2_OTHER"/>
    <x v="0"/>
    <x v="3"/>
    <n v="0"/>
    <n v="0"/>
  </r>
  <r>
    <x v="0"/>
    <x v="0"/>
    <x v="0"/>
    <x v="8"/>
    <x v="17"/>
    <s v="SE2_OTHER"/>
    <x v="0"/>
    <x v="4"/>
    <n v="0"/>
    <n v="0"/>
  </r>
  <r>
    <x v="0"/>
    <x v="0"/>
    <x v="0"/>
    <x v="8"/>
    <x v="17"/>
    <s v="SE2_OTHER"/>
    <x v="0"/>
    <x v="5"/>
    <n v="0"/>
    <n v="0"/>
  </r>
  <r>
    <x v="0"/>
    <x v="0"/>
    <x v="0"/>
    <x v="8"/>
    <x v="17"/>
    <s v="SE2_OTHER"/>
    <x v="0"/>
    <x v="6"/>
    <n v="0"/>
    <n v="0"/>
  </r>
  <r>
    <x v="0"/>
    <x v="0"/>
    <x v="0"/>
    <x v="8"/>
    <x v="17"/>
    <s v="SE2_OTHER"/>
    <x v="0"/>
    <x v="7"/>
    <n v="0"/>
    <n v="0"/>
  </r>
  <r>
    <x v="0"/>
    <x v="0"/>
    <x v="0"/>
    <x v="8"/>
    <x v="17"/>
    <s v="SE2_OTHER"/>
    <x v="0"/>
    <x v="8"/>
    <n v="0"/>
    <n v="0"/>
  </r>
  <r>
    <x v="0"/>
    <x v="0"/>
    <x v="0"/>
    <x v="8"/>
    <x v="17"/>
    <s v="SE2_OTHER"/>
    <x v="0"/>
    <x v="9"/>
    <n v="0"/>
    <n v="0"/>
  </r>
  <r>
    <x v="0"/>
    <x v="0"/>
    <x v="0"/>
    <x v="8"/>
    <x v="17"/>
    <s v="SE2_OTHER"/>
    <x v="0"/>
    <x v="10"/>
    <n v="0"/>
    <n v="0"/>
  </r>
  <r>
    <x v="0"/>
    <x v="0"/>
    <x v="0"/>
    <x v="8"/>
    <x v="17"/>
    <s v="SE2_OTHER"/>
    <x v="0"/>
    <x v="11"/>
    <n v="0"/>
    <n v="0"/>
  </r>
  <r>
    <x v="0"/>
    <x v="0"/>
    <x v="0"/>
    <x v="8"/>
    <x v="17"/>
    <s v="SE2_OTHER"/>
    <x v="0"/>
    <x v="12"/>
    <n v="0"/>
    <n v="0"/>
  </r>
  <r>
    <x v="0"/>
    <x v="0"/>
    <x v="0"/>
    <x v="8"/>
    <x v="17"/>
    <s v="SE2_OTHER"/>
    <x v="0"/>
    <x v="13"/>
    <n v="0"/>
    <n v="0"/>
  </r>
  <r>
    <x v="0"/>
    <x v="0"/>
    <x v="0"/>
    <x v="8"/>
    <x v="17"/>
    <s v="SE2_OTHER"/>
    <x v="0"/>
    <x v="14"/>
    <n v="0"/>
    <n v="0"/>
  </r>
  <r>
    <x v="0"/>
    <x v="0"/>
    <x v="0"/>
    <x v="8"/>
    <x v="17"/>
    <s v="SE2_OTHER"/>
    <x v="0"/>
    <x v="15"/>
    <n v="0"/>
    <n v="0"/>
  </r>
  <r>
    <x v="0"/>
    <x v="0"/>
    <x v="0"/>
    <x v="8"/>
    <x v="17"/>
    <s v="SE2_OTHER"/>
    <x v="0"/>
    <x v="16"/>
    <n v="0"/>
    <n v="0"/>
  </r>
  <r>
    <x v="0"/>
    <x v="0"/>
    <x v="0"/>
    <x v="8"/>
    <x v="17"/>
    <s v="SE2_OTHER"/>
    <x v="0"/>
    <x v="17"/>
    <n v="0"/>
    <n v="0"/>
  </r>
  <r>
    <x v="0"/>
    <x v="0"/>
    <x v="0"/>
    <x v="8"/>
    <x v="17"/>
    <s v="SE2_OTHER"/>
    <x v="0"/>
    <x v="18"/>
    <n v="0"/>
    <n v="0"/>
  </r>
  <r>
    <x v="0"/>
    <x v="0"/>
    <x v="0"/>
    <x v="8"/>
    <x v="17"/>
    <s v="SE2_OTHER"/>
    <x v="0"/>
    <x v="19"/>
    <n v="0"/>
    <n v="0"/>
  </r>
  <r>
    <x v="0"/>
    <x v="0"/>
    <x v="0"/>
    <x v="8"/>
    <x v="17"/>
    <s v="SE2_OTHER"/>
    <x v="0"/>
    <x v="20"/>
    <n v="0"/>
    <n v="0"/>
  </r>
  <r>
    <x v="0"/>
    <x v="0"/>
    <x v="0"/>
    <x v="8"/>
    <x v="17"/>
    <s v="SE2_OTHER"/>
    <x v="0"/>
    <x v="21"/>
    <n v="0"/>
    <n v="0"/>
  </r>
  <r>
    <x v="0"/>
    <x v="0"/>
    <x v="0"/>
    <x v="8"/>
    <x v="17"/>
    <s v="SE2_OTHER"/>
    <x v="0"/>
    <x v="22"/>
    <n v="0"/>
    <n v="0"/>
  </r>
  <r>
    <x v="0"/>
    <x v="0"/>
    <x v="0"/>
    <x v="8"/>
    <x v="17"/>
    <s v="SE2_OTHER"/>
    <x v="0"/>
    <x v="23"/>
    <n v="0"/>
    <n v="0"/>
  </r>
  <r>
    <x v="0"/>
    <x v="0"/>
    <x v="0"/>
    <x v="8"/>
    <x v="18"/>
    <s v="SE3_EL"/>
    <x v="0"/>
    <x v="0"/>
    <n v="604.37662975432102"/>
    <n v="2175.7558671155598"/>
  </r>
  <r>
    <x v="0"/>
    <x v="0"/>
    <x v="0"/>
    <x v="8"/>
    <x v="18"/>
    <s v="SE3_EL"/>
    <x v="0"/>
    <x v="1"/>
    <n v="892.19246054626205"/>
    <n v="3211.8928579665399"/>
  </r>
  <r>
    <x v="0"/>
    <x v="0"/>
    <x v="0"/>
    <x v="8"/>
    <x v="18"/>
    <s v="SE3_EL"/>
    <x v="0"/>
    <x v="2"/>
    <n v="1114.9307861094601"/>
    <n v="4013.75082999405"/>
  </r>
  <r>
    <x v="0"/>
    <x v="0"/>
    <x v="0"/>
    <x v="8"/>
    <x v="18"/>
    <s v="SE3_EL"/>
    <x v="0"/>
    <x v="3"/>
    <n v="1269.7900178744801"/>
    <n v="4571.2440643481305"/>
  </r>
  <r>
    <x v="0"/>
    <x v="0"/>
    <x v="0"/>
    <x v="8"/>
    <x v="18"/>
    <s v="SE3_EL"/>
    <x v="0"/>
    <x v="4"/>
    <n v="1269.7900178744801"/>
    <n v="4571.2440643481305"/>
  </r>
  <r>
    <x v="0"/>
    <x v="0"/>
    <x v="0"/>
    <x v="8"/>
    <x v="18"/>
    <s v="SE3_EL"/>
    <x v="0"/>
    <x v="5"/>
    <n v="1048.80714914082"/>
    <n v="3775.7057369069398"/>
  </r>
  <r>
    <x v="0"/>
    <x v="0"/>
    <x v="0"/>
    <x v="8"/>
    <x v="18"/>
    <s v="SE3_EL"/>
    <x v="0"/>
    <x v="6"/>
    <n v="1048.80714914082"/>
    <n v="3775.7057369069398"/>
  </r>
  <r>
    <x v="0"/>
    <x v="0"/>
    <x v="0"/>
    <x v="8"/>
    <x v="18"/>
    <s v="SE3_EL"/>
    <x v="0"/>
    <x v="7"/>
    <n v="1269.7900178744801"/>
    <n v="4571.2440643481305"/>
  </r>
  <r>
    <x v="0"/>
    <x v="0"/>
    <x v="0"/>
    <x v="8"/>
    <x v="18"/>
    <s v="SE3_EL"/>
    <x v="0"/>
    <x v="8"/>
    <n v="911.55835397524004"/>
    <n v="3281.61007431087"/>
  </r>
  <r>
    <x v="0"/>
    <x v="0"/>
    <x v="0"/>
    <x v="8"/>
    <x v="18"/>
    <s v="SE3_EL"/>
    <x v="0"/>
    <x v="9"/>
    <n v="188.20224280979701"/>
    <n v="677.52807411526999"/>
  </r>
  <r>
    <x v="0"/>
    <x v="0"/>
    <x v="0"/>
    <x v="8"/>
    <x v="18"/>
    <s v="SE3_EL"/>
    <x v="0"/>
    <x v="10"/>
    <n v="0"/>
    <n v="0"/>
  </r>
  <r>
    <x v="0"/>
    <x v="0"/>
    <x v="0"/>
    <x v="8"/>
    <x v="18"/>
    <s v="SE3_EL"/>
    <x v="0"/>
    <x v="11"/>
    <n v="0"/>
    <n v="0"/>
  </r>
  <r>
    <x v="0"/>
    <x v="0"/>
    <x v="0"/>
    <x v="8"/>
    <x v="18"/>
    <s v="SE3_EL"/>
    <x v="0"/>
    <x v="12"/>
    <n v="0"/>
    <n v="0"/>
  </r>
  <r>
    <x v="0"/>
    <x v="0"/>
    <x v="0"/>
    <x v="8"/>
    <x v="18"/>
    <s v="SE3_EL"/>
    <x v="0"/>
    <x v="13"/>
    <n v="0"/>
    <n v="0"/>
  </r>
  <r>
    <x v="0"/>
    <x v="0"/>
    <x v="0"/>
    <x v="8"/>
    <x v="18"/>
    <s v="SE3_EL"/>
    <x v="0"/>
    <x v="14"/>
    <n v="0"/>
    <n v="0"/>
  </r>
  <r>
    <x v="0"/>
    <x v="0"/>
    <x v="0"/>
    <x v="8"/>
    <x v="18"/>
    <s v="SE3_EL"/>
    <x v="0"/>
    <x v="15"/>
    <n v="0"/>
    <n v="0"/>
  </r>
  <r>
    <x v="0"/>
    <x v="0"/>
    <x v="0"/>
    <x v="8"/>
    <x v="18"/>
    <s v="SE3_EL"/>
    <x v="0"/>
    <x v="16"/>
    <n v="0"/>
    <n v="0"/>
  </r>
  <r>
    <x v="0"/>
    <x v="0"/>
    <x v="0"/>
    <x v="8"/>
    <x v="18"/>
    <s v="SE3_EL"/>
    <x v="0"/>
    <x v="17"/>
    <n v="0"/>
    <n v="0"/>
  </r>
  <r>
    <x v="0"/>
    <x v="0"/>
    <x v="0"/>
    <x v="8"/>
    <x v="18"/>
    <s v="SE3_EL"/>
    <x v="0"/>
    <x v="18"/>
    <n v="666.86360736806398"/>
    <n v="2400.70898652503"/>
  </r>
  <r>
    <x v="0"/>
    <x v="0"/>
    <x v="0"/>
    <x v="8"/>
    <x v="18"/>
    <s v="SE3_EL"/>
    <x v="0"/>
    <x v="19"/>
    <n v="666.86360736806398"/>
    <n v="2400.70898652503"/>
  </r>
  <r>
    <x v="0"/>
    <x v="0"/>
    <x v="0"/>
    <x v="8"/>
    <x v="18"/>
    <s v="SE3_EL"/>
    <x v="0"/>
    <x v="20"/>
    <n v="222.079597694444"/>
    <n v="799.48655169999995"/>
  </r>
  <r>
    <x v="0"/>
    <x v="0"/>
    <x v="0"/>
    <x v="8"/>
    <x v="18"/>
    <s v="SE3_EL"/>
    <x v="0"/>
    <x v="21"/>
    <n v="0"/>
    <n v="0"/>
  </r>
  <r>
    <x v="0"/>
    <x v="0"/>
    <x v="0"/>
    <x v="8"/>
    <x v="18"/>
    <s v="SE3_EL"/>
    <x v="0"/>
    <x v="22"/>
    <n v="0"/>
    <n v="0"/>
  </r>
  <r>
    <x v="0"/>
    <x v="0"/>
    <x v="0"/>
    <x v="8"/>
    <x v="18"/>
    <s v="SE3_EL"/>
    <x v="0"/>
    <x v="23"/>
    <n v="81.955803158084507"/>
    <n v="295.04089136910397"/>
  </r>
  <r>
    <x v="0"/>
    <x v="0"/>
    <x v="0"/>
    <x v="8"/>
    <x v="18"/>
    <s v="SE3_GOT"/>
    <x v="0"/>
    <x v="0"/>
    <n v="1472.2577229288399"/>
    <n v="5300.1278025438296"/>
  </r>
  <r>
    <x v="0"/>
    <x v="0"/>
    <x v="0"/>
    <x v="8"/>
    <x v="18"/>
    <s v="SE3_GOT"/>
    <x v="0"/>
    <x v="1"/>
    <n v="1472.2577229288399"/>
    <n v="5300.1278025438296"/>
  </r>
  <r>
    <x v="0"/>
    <x v="0"/>
    <x v="0"/>
    <x v="8"/>
    <x v="18"/>
    <s v="SE3_GOT"/>
    <x v="0"/>
    <x v="2"/>
    <n v="1472.2577229288399"/>
    <n v="5300.1278025438296"/>
  </r>
  <r>
    <x v="0"/>
    <x v="0"/>
    <x v="0"/>
    <x v="8"/>
    <x v="18"/>
    <s v="SE3_GOT"/>
    <x v="0"/>
    <x v="3"/>
    <n v="1472.2577229288399"/>
    <n v="5300.1278025438296"/>
  </r>
  <r>
    <x v="0"/>
    <x v="0"/>
    <x v="0"/>
    <x v="8"/>
    <x v="18"/>
    <s v="SE3_GOT"/>
    <x v="0"/>
    <x v="4"/>
    <n v="1472.2577229288399"/>
    <n v="5300.1278025438296"/>
  </r>
  <r>
    <x v="0"/>
    <x v="0"/>
    <x v="0"/>
    <x v="8"/>
    <x v="18"/>
    <s v="SE3_GOT"/>
    <x v="0"/>
    <x v="5"/>
    <n v="1472.2577229288399"/>
    <n v="5300.1278025438296"/>
  </r>
  <r>
    <x v="0"/>
    <x v="0"/>
    <x v="0"/>
    <x v="8"/>
    <x v="18"/>
    <s v="SE3_GOT"/>
    <x v="0"/>
    <x v="6"/>
    <n v="1472.2577229288399"/>
    <n v="5300.1278025438296"/>
  </r>
  <r>
    <x v="0"/>
    <x v="0"/>
    <x v="0"/>
    <x v="8"/>
    <x v="18"/>
    <s v="SE3_GOT"/>
    <x v="0"/>
    <x v="7"/>
    <n v="1306.1407055151501"/>
    <n v="4702.1065398545397"/>
  </r>
  <r>
    <x v="0"/>
    <x v="0"/>
    <x v="0"/>
    <x v="8"/>
    <x v="18"/>
    <s v="SE3_GOT"/>
    <x v="0"/>
    <x v="8"/>
    <n v="862.35651417388101"/>
    <n v="3104.4834510259702"/>
  </r>
  <r>
    <x v="0"/>
    <x v="0"/>
    <x v="0"/>
    <x v="8"/>
    <x v="18"/>
    <s v="SE3_GOT"/>
    <x v="0"/>
    <x v="9"/>
    <n v="464.17304128882802"/>
    <n v="1671.02294863978"/>
  </r>
  <r>
    <x v="0"/>
    <x v="0"/>
    <x v="0"/>
    <x v="8"/>
    <x v="18"/>
    <s v="SE3_GOT"/>
    <x v="0"/>
    <x v="10"/>
    <n v="192.89448566149099"/>
    <n v="694.42014838136595"/>
  </r>
  <r>
    <x v="0"/>
    <x v="0"/>
    <x v="0"/>
    <x v="8"/>
    <x v="18"/>
    <s v="SE3_GOT"/>
    <x v="0"/>
    <x v="11"/>
    <n v="38.4104407869835"/>
    <n v="138.27758683314099"/>
  </r>
  <r>
    <x v="0"/>
    <x v="0"/>
    <x v="0"/>
    <x v="8"/>
    <x v="18"/>
    <s v="SE3_GOT"/>
    <x v="0"/>
    <x v="12"/>
    <n v="0"/>
    <n v="0"/>
  </r>
  <r>
    <x v="0"/>
    <x v="0"/>
    <x v="0"/>
    <x v="8"/>
    <x v="18"/>
    <s v="SE3_GOT"/>
    <x v="0"/>
    <x v="13"/>
    <n v="0"/>
    <n v="0"/>
  </r>
  <r>
    <x v="0"/>
    <x v="0"/>
    <x v="0"/>
    <x v="8"/>
    <x v="18"/>
    <s v="SE3_GOT"/>
    <x v="0"/>
    <x v="14"/>
    <n v="0"/>
    <n v="0"/>
  </r>
  <r>
    <x v="0"/>
    <x v="0"/>
    <x v="0"/>
    <x v="8"/>
    <x v="18"/>
    <s v="SE3_GOT"/>
    <x v="0"/>
    <x v="15"/>
    <n v="0"/>
    <n v="0"/>
  </r>
  <r>
    <x v="0"/>
    <x v="0"/>
    <x v="0"/>
    <x v="8"/>
    <x v="18"/>
    <s v="SE3_GOT"/>
    <x v="0"/>
    <x v="16"/>
    <n v="0"/>
    <n v="0"/>
  </r>
  <r>
    <x v="0"/>
    <x v="0"/>
    <x v="0"/>
    <x v="8"/>
    <x v="18"/>
    <s v="SE3_GOT"/>
    <x v="0"/>
    <x v="17"/>
    <n v="0"/>
    <n v="0"/>
  </r>
  <r>
    <x v="0"/>
    <x v="0"/>
    <x v="0"/>
    <x v="8"/>
    <x v="18"/>
    <s v="SE3_GOT"/>
    <x v="0"/>
    <x v="18"/>
    <n v="0"/>
    <n v="0"/>
  </r>
  <r>
    <x v="0"/>
    <x v="0"/>
    <x v="0"/>
    <x v="8"/>
    <x v="18"/>
    <s v="SE3_GOT"/>
    <x v="0"/>
    <x v="19"/>
    <n v="0"/>
    <n v="0"/>
  </r>
  <r>
    <x v="0"/>
    <x v="0"/>
    <x v="0"/>
    <x v="8"/>
    <x v="18"/>
    <s v="SE3_GOT"/>
    <x v="0"/>
    <x v="20"/>
    <n v="0"/>
    <n v="0"/>
  </r>
  <r>
    <x v="0"/>
    <x v="0"/>
    <x v="0"/>
    <x v="8"/>
    <x v="18"/>
    <s v="SE3_GOT"/>
    <x v="0"/>
    <x v="21"/>
    <n v="0"/>
    <n v="0"/>
  </r>
  <r>
    <x v="0"/>
    <x v="0"/>
    <x v="0"/>
    <x v="8"/>
    <x v="18"/>
    <s v="SE3_GOT"/>
    <x v="0"/>
    <x v="22"/>
    <n v="0"/>
    <n v="0"/>
  </r>
  <r>
    <x v="0"/>
    <x v="0"/>
    <x v="0"/>
    <x v="8"/>
    <x v="18"/>
    <s v="SE3_GOT"/>
    <x v="0"/>
    <x v="23"/>
    <n v="305.966797001781"/>
    <n v="1101.4804692064099"/>
  </r>
  <r>
    <x v="0"/>
    <x v="0"/>
    <x v="0"/>
    <x v="8"/>
    <x v="18"/>
    <s v="SE3_HP"/>
    <x v="0"/>
    <x v="0"/>
    <n v="0"/>
    <n v="0"/>
  </r>
  <r>
    <x v="0"/>
    <x v="0"/>
    <x v="0"/>
    <x v="8"/>
    <x v="18"/>
    <s v="SE3_HP"/>
    <x v="0"/>
    <x v="1"/>
    <n v="0"/>
    <n v="0"/>
  </r>
  <r>
    <x v="0"/>
    <x v="0"/>
    <x v="0"/>
    <x v="8"/>
    <x v="18"/>
    <s v="SE3_HP"/>
    <x v="0"/>
    <x v="2"/>
    <n v="0"/>
    <n v="0"/>
  </r>
  <r>
    <x v="0"/>
    <x v="0"/>
    <x v="0"/>
    <x v="8"/>
    <x v="18"/>
    <s v="SE3_HP"/>
    <x v="0"/>
    <x v="3"/>
    <n v="0"/>
    <n v="0"/>
  </r>
  <r>
    <x v="0"/>
    <x v="0"/>
    <x v="0"/>
    <x v="8"/>
    <x v="18"/>
    <s v="SE3_HP"/>
    <x v="0"/>
    <x v="4"/>
    <n v="0"/>
    <n v="0"/>
  </r>
  <r>
    <x v="0"/>
    <x v="0"/>
    <x v="0"/>
    <x v="8"/>
    <x v="18"/>
    <s v="SE3_HP"/>
    <x v="0"/>
    <x v="5"/>
    <n v="0"/>
    <n v="0"/>
  </r>
  <r>
    <x v="0"/>
    <x v="0"/>
    <x v="0"/>
    <x v="8"/>
    <x v="18"/>
    <s v="SE3_HP"/>
    <x v="0"/>
    <x v="6"/>
    <n v="0"/>
    <n v="0"/>
  </r>
  <r>
    <x v="0"/>
    <x v="0"/>
    <x v="0"/>
    <x v="8"/>
    <x v="18"/>
    <s v="SE3_HP"/>
    <x v="0"/>
    <x v="7"/>
    <n v="0"/>
    <n v="0"/>
  </r>
  <r>
    <x v="0"/>
    <x v="0"/>
    <x v="0"/>
    <x v="8"/>
    <x v="18"/>
    <s v="SE3_HP"/>
    <x v="0"/>
    <x v="8"/>
    <n v="0"/>
    <n v="0"/>
  </r>
  <r>
    <x v="0"/>
    <x v="0"/>
    <x v="0"/>
    <x v="8"/>
    <x v="18"/>
    <s v="SE3_HP"/>
    <x v="0"/>
    <x v="9"/>
    <n v="0"/>
    <n v="0"/>
  </r>
  <r>
    <x v="0"/>
    <x v="0"/>
    <x v="0"/>
    <x v="8"/>
    <x v="18"/>
    <s v="SE3_HP"/>
    <x v="0"/>
    <x v="10"/>
    <n v="0"/>
    <n v="0"/>
  </r>
  <r>
    <x v="0"/>
    <x v="0"/>
    <x v="0"/>
    <x v="8"/>
    <x v="18"/>
    <s v="SE3_HP"/>
    <x v="0"/>
    <x v="11"/>
    <n v="0"/>
    <n v="0"/>
  </r>
  <r>
    <x v="0"/>
    <x v="0"/>
    <x v="0"/>
    <x v="8"/>
    <x v="18"/>
    <s v="SE3_HP"/>
    <x v="0"/>
    <x v="12"/>
    <n v="0"/>
    <n v="0"/>
  </r>
  <r>
    <x v="0"/>
    <x v="0"/>
    <x v="0"/>
    <x v="8"/>
    <x v="18"/>
    <s v="SE3_HP"/>
    <x v="0"/>
    <x v="13"/>
    <n v="0"/>
    <n v="0"/>
  </r>
  <r>
    <x v="0"/>
    <x v="0"/>
    <x v="0"/>
    <x v="8"/>
    <x v="18"/>
    <s v="SE3_HP"/>
    <x v="0"/>
    <x v="14"/>
    <n v="0"/>
    <n v="0"/>
  </r>
  <r>
    <x v="0"/>
    <x v="0"/>
    <x v="0"/>
    <x v="8"/>
    <x v="18"/>
    <s v="SE3_HP"/>
    <x v="0"/>
    <x v="15"/>
    <n v="0"/>
    <n v="0"/>
  </r>
  <r>
    <x v="0"/>
    <x v="0"/>
    <x v="0"/>
    <x v="8"/>
    <x v="18"/>
    <s v="SE3_HP"/>
    <x v="0"/>
    <x v="16"/>
    <n v="0"/>
    <n v="0"/>
  </r>
  <r>
    <x v="0"/>
    <x v="0"/>
    <x v="0"/>
    <x v="8"/>
    <x v="18"/>
    <s v="SE3_HP"/>
    <x v="0"/>
    <x v="17"/>
    <n v="0"/>
    <n v="0"/>
  </r>
  <r>
    <x v="0"/>
    <x v="0"/>
    <x v="0"/>
    <x v="8"/>
    <x v="18"/>
    <s v="SE3_HP"/>
    <x v="0"/>
    <x v="18"/>
    <n v="0"/>
    <n v="0"/>
  </r>
  <r>
    <x v="0"/>
    <x v="0"/>
    <x v="0"/>
    <x v="8"/>
    <x v="18"/>
    <s v="SE3_HP"/>
    <x v="0"/>
    <x v="19"/>
    <n v="0"/>
    <n v="0"/>
  </r>
  <r>
    <x v="0"/>
    <x v="0"/>
    <x v="0"/>
    <x v="8"/>
    <x v="18"/>
    <s v="SE3_HP"/>
    <x v="0"/>
    <x v="20"/>
    <n v="0"/>
    <n v="0"/>
  </r>
  <r>
    <x v="0"/>
    <x v="0"/>
    <x v="0"/>
    <x v="8"/>
    <x v="18"/>
    <s v="SE3_HP"/>
    <x v="0"/>
    <x v="21"/>
    <n v="0"/>
    <n v="0"/>
  </r>
  <r>
    <x v="0"/>
    <x v="0"/>
    <x v="0"/>
    <x v="8"/>
    <x v="18"/>
    <s v="SE3_HP"/>
    <x v="0"/>
    <x v="22"/>
    <n v="0"/>
    <n v="0"/>
  </r>
  <r>
    <x v="0"/>
    <x v="0"/>
    <x v="0"/>
    <x v="8"/>
    <x v="18"/>
    <s v="SE3_HP"/>
    <x v="0"/>
    <x v="23"/>
    <n v="0"/>
    <n v="0"/>
  </r>
  <r>
    <x v="0"/>
    <x v="0"/>
    <x v="0"/>
    <x v="8"/>
    <x v="18"/>
    <s v="SE3_OTHER"/>
    <x v="0"/>
    <x v="0"/>
    <n v="4694.13027102453"/>
    <n v="16898.8689756883"/>
  </r>
  <r>
    <x v="0"/>
    <x v="0"/>
    <x v="0"/>
    <x v="8"/>
    <x v="18"/>
    <s v="SE3_OTHER"/>
    <x v="0"/>
    <x v="1"/>
    <n v="7057.0069039419895"/>
    <n v="25405.224854191201"/>
  </r>
  <r>
    <x v="0"/>
    <x v="0"/>
    <x v="0"/>
    <x v="8"/>
    <x v="18"/>
    <s v="SE3_OTHER"/>
    <x v="0"/>
    <x v="2"/>
    <n v="9338.1622269412401"/>
    <n v="33617.384016988501"/>
  </r>
  <r>
    <x v="0"/>
    <x v="0"/>
    <x v="0"/>
    <x v="8"/>
    <x v="18"/>
    <s v="SE3_OTHER"/>
    <x v="0"/>
    <x v="3"/>
    <n v="11537.400855497601"/>
    <n v="41534.6430797914"/>
  </r>
  <r>
    <x v="0"/>
    <x v="0"/>
    <x v="0"/>
    <x v="8"/>
    <x v="18"/>
    <s v="SE3_OTHER"/>
    <x v="0"/>
    <x v="4"/>
    <n v="13389.880291211401"/>
    <n v="48203.569048361001"/>
  </r>
  <r>
    <x v="0"/>
    <x v="0"/>
    <x v="0"/>
    <x v="8"/>
    <x v="18"/>
    <s v="SE3_OTHER"/>
    <x v="0"/>
    <x v="5"/>
    <n v="14599.779794313999"/>
    <n v="52559.207259530398"/>
  </r>
  <r>
    <x v="0"/>
    <x v="0"/>
    <x v="0"/>
    <x v="8"/>
    <x v="18"/>
    <s v="SE3_OTHER"/>
    <x v="0"/>
    <x v="6"/>
    <n v="14921.5895643074"/>
    <n v="53717.722431506802"/>
  </r>
  <r>
    <x v="0"/>
    <x v="0"/>
    <x v="0"/>
    <x v="8"/>
    <x v="18"/>
    <s v="SE3_OTHER"/>
    <x v="0"/>
    <x v="7"/>
    <n v="13518.021867515899"/>
    <n v="48664.8787230573"/>
  </r>
  <r>
    <x v="0"/>
    <x v="0"/>
    <x v="0"/>
    <x v="8"/>
    <x v="18"/>
    <s v="SE3_OTHER"/>
    <x v="0"/>
    <x v="8"/>
    <n v="11064.4628244823"/>
    <n v="39832.066168136203"/>
  </r>
  <r>
    <x v="0"/>
    <x v="0"/>
    <x v="0"/>
    <x v="8"/>
    <x v="18"/>
    <s v="SE3_OTHER"/>
    <x v="0"/>
    <x v="9"/>
    <n v="8523.4508811989399"/>
    <n v="30684.423172316201"/>
  </r>
  <r>
    <x v="0"/>
    <x v="0"/>
    <x v="0"/>
    <x v="8"/>
    <x v="18"/>
    <s v="SE3_OTHER"/>
    <x v="0"/>
    <x v="10"/>
    <n v="6140.7327101495703"/>
    <n v="22106.637756538501"/>
  </r>
  <r>
    <x v="0"/>
    <x v="0"/>
    <x v="0"/>
    <x v="8"/>
    <x v="18"/>
    <s v="SE3_OTHER"/>
    <x v="0"/>
    <x v="11"/>
    <n v="4288.4528194065297"/>
    <n v="15438.4301498635"/>
  </r>
  <r>
    <x v="0"/>
    <x v="0"/>
    <x v="0"/>
    <x v="8"/>
    <x v="18"/>
    <s v="SE3_OTHER"/>
    <x v="0"/>
    <x v="12"/>
    <n v="2864.2010526124"/>
    <n v="10311.123789404601"/>
  </r>
  <r>
    <x v="0"/>
    <x v="0"/>
    <x v="0"/>
    <x v="8"/>
    <x v="18"/>
    <s v="SE3_OTHER"/>
    <x v="0"/>
    <x v="13"/>
    <n v="1782.5018522340399"/>
    <n v="6417.0066680425398"/>
  </r>
  <r>
    <x v="0"/>
    <x v="0"/>
    <x v="0"/>
    <x v="8"/>
    <x v="18"/>
    <s v="SE3_OTHER"/>
    <x v="0"/>
    <x v="14"/>
    <n v="977.89483642528103"/>
    <n v="3520.4214111310098"/>
  </r>
  <r>
    <x v="0"/>
    <x v="0"/>
    <x v="0"/>
    <x v="8"/>
    <x v="18"/>
    <s v="SE3_OTHER"/>
    <x v="0"/>
    <x v="15"/>
    <n v="436.81361909524901"/>
    <n v="1572.5290287429"/>
  </r>
  <r>
    <x v="0"/>
    <x v="0"/>
    <x v="0"/>
    <x v="8"/>
    <x v="18"/>
    <s v="SE3_OTHER"/>
    <x v="0"/>
    <x v="16"/>
    <n v="0"/>
    <n v="0"/>
  </r>
  <r>
    <x v="0"/>
    <x v="0"/>
    <x v="0"/>
    <x v="8"/>
    <x v="18"/>
    <s v="SE3_OTHER"/>
    <x v="0"/>
    <x v="17"/>
    <n v="0"/>
    <n v="0"/>
  </r>
  <r>
    <x v="0"/>
    <x v="0"/>
    <x v="0"/>
    <x v="8"/>
    <x v="18"/>
    <s v="SE3_OTHER"/>
    <x v="0"/>
    <x v="18"/>
    <n v="0"/>
    <n v="0"/>
  </r>
  <r>
    <x v="0"/>
    <x v="0"/>
    <x v="0"/>
    <x v="8"/>
    <x v="18"/>
    <s v="SE3_OTHER"/>
    <x v="0"/>
    <x v="19"/>
    <n v="937.84138830405595"/>
    <n v="3376.2289978946001"/>
  </r>
  <r>
    <x v="0"/>
    <x v="0"/>
    <x v="0"/>
    <x v="8"/>
    <x v="18"/>
    <s v="SE3_OTHER"/>
    <x v="0"/>
    <x v="20"/>
    <n v="2187.1752359259299"/>
    <n v="7873.8308493333598"/>
  </r>
  <r>
    <x v="0"/>
    <x v="0"/>
    <x v="0"/>
    <x v="8"/>
    <x v="18"/>
    <s v="SE3_OTHER"/>
    <x v="0"/>
    <x v="21"/>
    <n v="2564.09144697088"/>
    <n v="9230.7292090951596"/>
  </r>
  <r>
    <x v="0"/>
    <x v="0"/>
    <x v="0"/>
    <x v="8"/>
    <x v="18"/>
    <s v="SE3_OTHER"/>
    <x v="0"/>
    <x v="22"/>
    <n v="2564.09144697088"/>
    <n v="9230.7292090951596"/>
  </r>
  <r>
    <x v="0"/>
    <x v="0"/>
    <x v="0"/>
    <x v="8"/>
    <x v="18"/>
    <s v="SE3_OTHER"/>
    <x v="0"/>
    <x v="23"/>
    <n v="4694.13027102453"/>
    <n v="16898.8689756883"/>
  </r>
  <r>
    <x v="0"/>
    <x v="0"/>
    <x v="0"/>
    <x v="8"/>
    <x v="18"/>
    <s v="SE3_STO"/>
    <x v="0"/>
    <x v="0"/>
    <n v="0"/>
    <n v="0"/>
  </r>
  <r>
    <x v="0"/>
    <x v="0"/>
    <x v="0"/>
    <x v="8"/>
    <x v="18"/>
    <s v="SE3_STO"/>
    <x v="0"/>
    <x v="1"/>
    <n v="0"/>
    <n v="0"/>
  </r>
  <r>
    <x v="0"/>
    <x v="0"/>
    <x v="0"/>
    <x v="8"/>
    <x v="18"/>
    <s v="SE3_STO"/>
    <x v="0"/>
    <x v="2"/>
    <n v="0"/>
    <n v="0"/>
  </r>
  <r>
    <x v="0"/>
    <x v="0"/>
    <x v="0"/>
    <x v="8"/>
    <x v="18"/>
    <s v="SE3_STO"/>
    <x v="0"/>
    <x v="3"/>
    <n v="0"/>
    <n v="0"/>
  </r>
  <r>
    <x v="0"/>
    <x v="0"/>
    <x v="0"/>
    <x v="8"/>
    <x v="18"/>
    <s v="SE3_STO"/>
    <x v="0"/>
    <x v="4"/>
    <n v="0"/>
    <n v="0"/>
  </r>
  <r>
    <x v="0"/>
    <x v="0"/>
    <x v="0"/>
    <x v="8"/>
    <x v="18"/>
    <s v="SE3_STO"/>
    <x v="0"/>
    <x v="5"/>
    <n v="0"/>
    <n v="0"/>
  </r>
  <r>
    <x v="0"/>
    <x v="0"/>
    <x v="0"/>
    <x v="8"/>
    <x v="18"/>
    <s v="SE3_STO"/>
    <x v="0"/>
    <x v="6"/>
    <n v="0"/>
    <n v="0"/>
  </r>
  <r>
    <x v="0"/>
    <x v="0"/>
    <x v="0"/>
    <x v="8"/>
    <x v="18"/>
    <s v="SE3_STO"/>
    <x v="0"/>
    <x v="7"/>
    <n v="0"/>
    <n v="0"/>
  </r>
  <r>
    <x v="0"/>
    <x v="0"/>
    <x v="0"/>
    <x v="8"/>
    <x v="18"/>
    <s v="SE3_STO"/>
    <x v="0"/>
    <x v="8"/>
    <n v="0"/>
    <n v="0"/>
  </r>
  <r>
    <x v="0"/>
    <x v="0"/>
    <x v="0"/>
    <x v="8"/>
    <x v="18"/>
    <s v="SE3_STO"/>
    <x v="0"/>
    <x v="9"/>
    <n v="0"/>
    <n v="0"/>
  </r>
  <r>
    <x v="0"/>
    <x v="0"/>
    <x v="0"/>
    <x v="8"/>
    <x v="18"/>
    <s v="SE3_STO"/>
    <x v="0"/>
    <x v="10"/>
    <n v="0"/>
    <n v="0"/>
  </r>
  <r>
    <x v="0"/>
    <x v="0"/>
    <x v="0"/>
    <x v="8"/>
    <x v="18"/>
    <s v="SE3_STO"/>
    <x v="0"/>
    <x v="11"/>
    <n v="0"/>
    <n v="0"/>
  </r>
  <r>
    <x v="0"/>
    <x v="0"/>
    <x v="0"/>
    <x v="8"/>
    <x v="18"/>
    <s v="SE3_STO"/>
    <x v="0"/>
    <x v="12"/>
    <n v="0"/>
    <n v="0"/>
  </r>
  <r>
    <x v="0"/>
    <x v="0"/>
    <x v="0"/>
    <x v="8"/>
    <x v="18"/>
    <s v="SE3_STO"/>
    <x v="0"/>
    <x v="13"/>
    <n v="0"/>
    <n v="0"/>
  </r>
  <r>
    <x v="0"/>
    <x v="0"/>
    <x v="0"/>
    <x v="8"/>
    <x v="18"/>
    <s v="SE3_STO"/>
    <x v="0"/>
    <x v="14"/>
    <n v="0"/>
    <n v="0"/>
  </r>
  <r>
    <x v="0"/>
    <x v="0"/>
    <x v="0"/>
    <x v="8"/>
    <x v="18"/>
    <s v="SE3_STO"/>
    <x v="0"/>
    <x v="15"/>
    <n v="0"/>
    <n v="0"/>
  </r>
  <r>
    <x v="0"/>
    <x v="0"/>
    <x v="0"/>
    <x v="8"/>
    <x v="18"/>
    <s v="SE3_STO"/>
    <x v="0"/>
    <x v="16"/>
    <n v="0"/>
    <n v="0"/>
  </r>
  <r>
    <x v="0"/>
    <x v="0"/>
    <x v="0"/>
    <x v="8"/>
    <x v="18"/>
    <s v="SE3_STO"/>
    <x v="0"/>
    <x v="17"/>
    <n v="0"/>
    <n v="0"/>
  </r>
  <r>
    <x v="0"/>
    <x v="0"/>
    <x v="0"/>
    <x v="8"/>
    <x v="18"/>
    <s v="SE3_STO"/>
    <x v="0"/>
    <x v="18"/>
    <n v="0"/>
    <n v="0"/>
  </r>
  <r>
    <x v="0"/>
    <x v="0"/>
    <x v="0"/>
    <x v="8"/>
    <x v="18"/>
    <s v="SE3_STO"/>
    <x v="0"/>
    <x v="19"/>
    <n v="0"/>
    <n v="0"/>
  </r>
  <r>
    <x v="0"/>
    <x v="0"/>
    <x v="0"/>
    <x v="8"/>
    <x v="18"/>
    <s v="SE3_STO"/>
    <x v="0"/>
    <x v="20"/>
    <n v="0"/>
    <n v="0"/>
  </r>
  <r>
    <x v="0"/>
    <x v="0"/>
    <x v="0"/>
    <x v="8"/>
    <x v="18"/>
    <s v="SE3_STO"/>
    <x v="0"/>
    <x v="21"/>
    <n v="0"/>
    <n v="0"/>
  </r>
  <r>
    <x v="0"/>
    <x v="0"/>
    <x v="0"/>
    <x v="8"/>
    <x v="18"/>
    <s v="SE3_STO"/>
    <x v="0"/>
    <x v="22"/>
    <n v="0"/>
    <n v="0"/>
  </r>
  <r>
    <x v="0"/>
    <x v="0"/>
    <x v="0"/>
    <x v="8"/>
    <x v="18"/>
    <s v="SE3_STO"/>
    <x v="0"/>
    <x v="23"/>
    <n v="0"/>
    <n v="0"/>
  </r>
  <r>
    <x v="0"/>
    <x v="0"/>
    <x v="0"/>
    <x v="8"/>
    <x v="19"/>
    <s v="SE4_EL"/>
    <x v="0"/>
    <x v="0"/>
    <n v="0"/>
    <n v="0"/>
  </r>
  <r>
    <x v="0"/>
    <x v="0"/>
    <x v="0"/>
    <x v="8"/>
    <x v="19"/>
    <s v="SE4_EL"/>
    <x v="0"/>
    <x v="1"/>
    <n v="0"/>
    <n v="0"/>
  </r>
  <r>
    <x v="0"/>
    <x v="0"/>
    <x v="0"/>
    <x v="8"/>
    <x v="19"/>
    <s v="SE4_EL"/>
    <x v="0"/>
    <x v="2"/>
    <n v="0"/>
    <n v="0"/>
  </r>
  <r>
    <x v="0"/>
    <x v="0"/>
    <x v="0"/>
    <x v="8"/>
    <x v="19"/>
    <s v="SE4_EL"/>
    <x v="0"/>
    <x v="3"/>
    <n v="0"/>
    <n v="0"/>
  </r>
  <r>
    <x v="0"/>
    <x v="0"/>
    <x v="0"/>
    <x v="8"/>
    <x v="19"/>
    <s v="SE4_EL"/>
    <x v="0"/>
    <x v="4"/>
    <n v="0"/>
    <n v="0"/>
  </r>
  <r>
    <x v="0"/>
    <x v="0"/>
    <x v="0"/>
    <x v="8"/>
    <x v="19"/>
    <s v="SE4_EL"/>
    <x v="0"/>
    <x v="5"/>
    <n v="0"/>
    <n v="0"/>
  </r>
  <r>
    <x v="0"/>
    <x v="0"/>
    <x v="0"/>
    <x v="8"/>
    <x v="19"/>
    <s v="SE4_EL"/>
    <x v="0"/>
    <x v="6"/>
    <n v="0"/>
    <n v="0"/>
  </r>
  <r>
    <x v="0"/>
    <x v="0"/>
    <x v="0"/>
    <x v="8"/>
    <x v="19"/>
    <s v="SE4_EL"/>
    <x v="0"/>
    <x v="7"/>
    <n v="0"/>
    <n v="0"/>
  </r>
  <r>
    <x v="0"/>
    <x v="0"/>
    <x v="0"/>
    <x v="8"/>
    <x v="19"/>
    <s v="SE4_EL"/>
    <x v="0"/>
    <x v="8"/>
    <n v="0"/>
    <n v="0"/>
  </r>
  <r>
    <x v="0"/>
    <x v="0"/>
    <x v="0"/>
    <x v="8"/>
    <x v="19"/>
    <s v="SE4_EL"/>
    <x v="0"/>
    <x v="9"/>
    <n v="0"/>
    <n v="0"/>
  </r>
  <r>
    <x v="0"/>
    <x v="0"/>
    <x v="0"/>
    <x v="8"/>
    <x v="19"/>
    <s v="SE4_EL"/>
    <x v="0"/>
    <x v="10"/>
    <n v="0"/>
    <n v="0"/>
  </r>
  <r>
    <x v="0"/>
    <x v="0"/>
    <x v="0"/>
    <x v="8"/>
    <x v="19"/>
    <s v="SE4_EL"/>
    <x v="0"/>
    <x v="11"/>
    <n v="0"/>
    <n v="0"/>
  </r>
  <r>
    <x v="0"/>
    <x v="0"/>
    <x v="0"/>
    <x v="8"/>
    <x v="19"/>
    <s v="SE4_EL"/>
    <x v="0"/>
    <x v="12"/>
    <n v="0"/>
    <n v="0"/>
  </r>
  <r>
    <x v="0"/>
    <x v="0"/>
    <x v="0"/>
    <x v="8"/>
    <x v="19"/>
    <s v="SE4_EL"/>
    <x v="0"/>
    <x v="13"/>
    <n v="0"/>
    <n v="0"/>
  </r>
  <r>
    <x v="0"/>
    <x v="0"/>
    <x v="0"/>
    <x v="8"/>
    <x v="19"/>
    <s v="SE4_EL"/>
    <x v="0"/>
    <x v="14"/>
    <n v="0"/>
    <n v="0"/>
  </r>
  <r>
    <x v="0"/>
    <x v="0"/>
    <x v="0"/>
    <x v="8"/>
    <x v="19"/>
    <s v="SE4_EL"/>
    <x v="0"/>
    <x v="15"/>
    <n v="0"/>
    <n v="0"/>
  </r>
  <r>
    <x v="0"/>
    <x v="0"/>
    <x v="0"/>
    <x v="8"/>
    <x v="19"/>
    <s v="SE4_EL"/>
    <x v="0"/>
    <x v="16"/>
    <n v="0"/>
    <n v="0"/>
  </r>
  <r>
    <x v="0"/>
    <x v="0"/>
    <x v="0"/>
    <x v="8"/>
    <x v="19"/>
    <s v="SE4_EL"/>
    <x v="0"/>
    <x v="17"/>
    <n v="0"/>
    <n v="0"/>
  </r>
  <r>
    <x v="0"/>
    <x v="0"/>
    <x v="0"/>
    <x v="8"/>
    <x v="19"/>
    <s v="SE4_EL"/>
    <x v="0"/>
    <x v="18"/>
    <n v="0"/>
    <n v="0"/>
  </r>
  <r>
    <x v="0"/>
    <x v="0"/>
    <x v="0"/>
    <x v="8"/>
    <x v="19"/>
    <s v="SE4_EL"/>
    <x v="0"/>
    <x v="19"/>
    <n v="0"/>
    <n v="0"/>
  </r>
  <r>
    <x v="0"/>
    <x v="0"/>
    <x v="0"/>
    <x v="8"/>
    <x v="19"/>
    <s v="SE4_EL"/>
    <x v="0"/>
    <x v="20"/>
    <n v="0"/>
    <n v="0"/>
  </r>
  <r>
    <x v="0"/>
    <x v="0"/>
    <x v="0"/>
    <x v="8"/>
    <x v="19"/>
    <s v="SE4_EL"/>
    <x v="0"/>
    <x v="21"/>
    <n v="0"/>
    <n v="0"/>
  </r>
  <r>
    <x v="0"/>
    <x v="0"/>
    <x v="0"/>
    <x v="8"/>
    <x v="19"/>
    <s v="SE4_EL"/>
    <x v="0"/>
    <x v="22"/>
    <n v="0"/>
    <n v="0"/>
  </r>
  <r>
    <x v="0"/>
    <x v="0"/>
    <x v="0"/>
    <x v="8"/>
    <x v="19"/>
    <s v="SE4_EL"/>
    <x v="0"/>
    <x v="23"/>
    <n v="0"/>
    <n v="0"/>
  </r>
  <r>
    <x v="0"/>
    <x v="0"/>
    <x v="0"/>
    <x v="8"/>
    <x v="19"/>
    <s v="SE4_HP"/>
    <x v="0"/>
    <x v="0"/>
    <n v="126.06720520709401"/>
    <n v="453.84193874553898"/>
  </r>
  <r>
    <x v="0"/>
    <x v="0"/>
    <x v="0"/>
    <x v="8"/>
    <x v="19"/>
    <s v="SE4_HP"/>
    <x v="0"/>
    <x v="1"/>
    <n v="116.28249603509801"/>
    <n v="418.61698572635299"/>
  </r>
  <r>
    <x v="0"/>
    <x v="0"/>
    <x v="0"/>
    <x v="8"/>
    <x v="19"/>
    <s v="SE4_HP"/>
    <x v="0"/>
    <x v="2"/>
    <n v="111.675972676171"/>
    <n v="402.03350163421499"/>
  </r>
  <r>
    <x v="0"/>
    <x v="0"/>
    <x v="0"/>
    <x v="8"/>
    <x v="19"/>
    <s v="SE4_HP"/>
    <x v="0"/>
    <x v="3"/>
    <n v="110.53875057148301"/>
    <n v="397.93950205734001"/>
  </r>
  <r>
    <x v="0"/>
    <x v="0"/>
    <x v="0"/>
    <x v="8"/>
    <x v="19"/>
    <s v="SE4_HP"/>
    <x v="0"/>
    <x v="4"/>
    <n v="97.105679223158006"/>
    <n v="349.58044520336898"/>
  </r>
  <r>
    <x v="0"/>
    <x v="0"/>
    <x v="0"/>
    <x v="8"/>
    <x v="19"/>
    <s v="SE4_HP"/>
    <x v="0"/>
    <x v="5"/>
    <n v="54.538874193579097"/>
    <n v="196.339947096885"/>
  </r>
  <r>
    <x v="0"/>
    <x v="0"/>
    <x v="0"/>
    <x v="8"/>
    <x v="19"/>
    <s v="SE4_HP"/>
    <x v="0"/>
    <x v="6"/>
    <n v="0"/>
    <n v="0"/>
  </r>
  <r>
    <x v="0"/>
    <x v="0"/>
    <x v="0"/>
    <x v="8"/>
    <x v="19"/>
    <s v="SE4_HP"/>
    <x v="0"/>
    <x v="7"/>
    <n v="0"/>
    <n v="0"/>
  </r>
  <r>
    <x v="0"/>
    <x v="0"/>
    <x v="0"/>
    <x v="8"/>
    <x v="19"/>
    <s v="SE4_HP"/>
    <x v="0"/>
    <x v="8"/>
    <n v="36.514029831627397"/>
    <n v="131.450507393859"/>
  </r>
  <r>
    <x v="0"/>
    <x v="0"/>
    <x v="0"/>
    <x v="8"/>
    <x v="19"/>
    <s v="SE4_HP"/>
    <x v="0"/>
    <x v="9"/>
    <n v="84.600741956610307"/>
    <n v="304.56267104379702"/>
  </r>
  <r>
    <x v="0"/>
    <x v="0"/>
    <x v="0"/>
    <x v="8"/>
    <x v="19"/>
    <s v="SE4_HP"/>
    <x v="0"/>
    <x v="10"/>
    <n v="126.06720520709401"/>
    <n v="453.84193874553898"/>
  </r>
  <r>
    <x v="0"/>
    <x v="0"/>
    <x v="0"/>
    <x v="8"/>
    <x v="19"/>
    <s v="SE4_HP"/>
    <x v="0"/>
    <x v="11"/>
    <n v="126.06720520709401"/>
    <n v="453.84193874553898"/>
  </r>
  <r>
    <x v="0"/>
    <x v="0"/>
    <x v="0"/>
    <x v="8"/>
    <x v="19"/>
    <s v="SE4_HP"/>
    <x v="0"/>
    <x v="12"/>
    <n v="126.06720520709401"/>
    <n v="453.84193874553898"/>
  </r>
  <r>
    <x v="0"/>
    <x v="0"/>
    <x v="0"/>
    <x v="8"/>
    <x v="19"/>
    <s v="SE4_HP"/>
    <x v="0"/>
    <x v="13"/>
    <n v="126.06720520709401"/>
    <n v="453.84193874553898"/>
  </r>
  <r>
    <x v="0"/>
    <x v="0"/>
    <x v="0"/>
    <x v="8"/>
    <x v="19"/>
    <s v="SE4_HP"/>
    <x v="0"/>
    <x v="14"/>
    <n v="126.06720520709401"/>
    <n v="453.84193874553898"/>
  </r>
  <r>
    <x v="0"/>
    <x v="0"/>
    <x v="0"/>
    <x v="8"/>
    <x v="19"/>
    <s v="SE4_HP"/>
    <x v="0"/>
    <x v="15"/>
    <n v="126.06720520709401"/>
    <n v="453.84193874553898"/>
  </r>
  <r>
    <x v="0"/>
    <x v="0"/>
    <x v="0"/>
    <x v="8"/>
    <x v="19"/>
    <s v="SE4_HP"/>
    <x v="0"/>
    <x v="16"/>
    <n v="126.06720520709401"/>
    <n v="453.84193874553898"/>
  </r>
  <r>
    <x v="0"/>
    <x v="0"/>
    <x v="0"/>
    <x v="8"/>
    <x v="19"/>
    <s v="SE4_HP"/>
    <x v="0"/>
    <x v="17"/>
    <n v="126.06720520709401"/>
    <n v="453.84193874553898"/>
  </r>
  <r>
    <x v="0"/>
    <x v="0"/>
    <x v="0"/>
    <x v="8"/>
    <x v="19"/>
    <s v="SE4_HP"/>
    <x v="0"/>
    <x v="18"/>
    <n v="126.06720520709401"/>
    <n v="453.84193874553898"/>
  </r>
  <r>
    <x v="0"/>
    <x v="0"/>
    <x v="0"/>
    <x v="8"/>
    <x v="19"/>
    <s v="SE4_HP"/>
    <x v="0"/>
    <x v="19"/>
    <n v="126.06720520709401"/>
    <n v="453.84193874553898"/>
  </r>
  <r>
    <x v="0"/>
    <x v="0"/>
    <x v="0"/>
    <x v="8"/>
    <x v="19"/>
    <s v="SE4_HP"/>
    <x v="0"/>
    <x v="20"/>
    <n v="97.022642978452893"/>
    <n v="349.28151472243002"/>
  </r>
  <r>
    <x v="0"/>
    <x v="0"/>
    <x v="0"/>
    <x v="8"/>
    <x v="19"/>
    <s v="SE4_HP"/>
    <x v="0"/>
    <x v="21"/>
    <n v="22.844401216585801"/>
    <n v="82.239844379708799"/>
  </r>
  <r>
    <x v="0"/>
    <x v="0"/>
    <x v="0"/>
    <x v="8"/>
    <x v="19"/>
    <s v="SE4_HP"/>
    <x v="0"/>
    <x v="22"/>
    <n v="0"/>
    <n v="0"/>
  </r>
  <r>
    <x v="0"/>
    <x v="0"/>
    <x v="0"/>
    <x v="8"/>
    <x v="19"/>
    <s v="SE4_HP"/>
    <x v="0"/>
    <x v="23"/>
    <n v="17.3624272196842"/>
    <n v="62.504737990863099"/>
  </r>
  <r>
    <x v="0"/>
    <x v="0"/>
    <x v="0"/>
    <x v="8"/>
    <x v="19"/>
    <s v="SE4_MAL"/>
    <x v="0"/>
    <x v="0"/>
    <n v="143.209197367586"/>
    <n v="515.55311052331001"/>
  </r>
  <r>
    <x v="0"/>
    <x v="0"/>
    <x v="0"/>
    <x v="8"/>
    <x v="19"/>
    <s v="SE4_MAL"/>
    <x v="0"/>
    <x v="1"/>
    <n v="143.209197367586"/>
    <n v="515.55311052331001"/>
  </r>
  <r>
    <x v="0"/>
    <x v="0"/>
    <x v="0"/>
    <x v="8"/>
    <x v="19"/>
    <s v="SE4_MAL"/>
    <x v="0"/>
    <x v="2"/>
    <n v="143.209197367586"/>
    <n v="515.55311052331001"/>
  </r>
  <r>
    <x v="0"/>
    <x v="0"/>
    <x v="0"/>
    <x v="8"/>
    <x v="19"/>
    <s v="SE4_MAL"/>
    <x v="0"/>
    <x v="3"/>
    <n v="143.209197367586"/>
    <n v="515.55311052331001"/>
  </r>
  <r>
    <x v="0"/>
    <x v="0"/>
    <x v="0"/>
    <x v="8"/>
    <x v="19"/>
    <s v="SE4_MAL"/>
    <x v="0"/>
    <x v="4"/>
    <n v="143.209197367586"/>
    <n v="515.55311052331001"/>
  </r>
  <r>
    <x v="0"/>
    <x v="0"/>
    <x v="0"/>
    <x v="8"/>
    <x v="19"/>
    <s v="SE4_MAL"/>
    <x v="0"/>
    <x v="5"/>
    <n v="143.209197367586"/>
    <n v="515.55311052331001"/>
  </r>
  <r>
    <x v="0"/>
    <x v="0"/>
    <x v="0"/>
    <x v="8"/>
    <x v="19"/>
    <s v="SE4_MAL"/>
    <x v="0"/>
    <x v="6"/>
    <n v="143.209197367586"/>
    <n v="515.55311052331001"/>
  </r>
  <r>
    <x v="0"/>
    <x v="0"/>
    <x v="0"/>
    <x v="8"/>
    <x v="19"/>
    <s v="SE4_MAL"/>
    <x v="0"/>
    <x v="7"/>
    <n v="143.209197367586"/>
    <n v="515.55311052331001"/>
  </r>
  <r>
    <x v="0"/>
    <x v="0"/>
    <x v="0"/>
    <x v="8"/>
    <x v="19"/>
    <s v="SE4_MAL"/>
    <x v="0"/>
    <x v="8"/>
    <n v="143.209197367586"/>
    <n v="515.55311052331001"/>
  </r>
  <r>
    <x v="0"/>
    <x v="0"/>
    <x v="0"/>
    <x v="8"/>
    <x v="19"/>
    <s v="SE4_MAL"/>
    <x v="0"/>
    <x v="9"/>
    <n v="143.209197367586"/>
    <n v="515.55311052331001"/>
  </r>
  <r>
    <x v="0"/>
    <x v="0"/>
    <x v="0"/>
    <x v="8"/>
    <x v="19"/>
    <s v="SE4_MAL"/>
    <x v="0"/>
    <x v="10"/>
    <n v="143.209197367586"/>
    <n v="515.55311052331001"/>
  </r>
  <r>
    <x v="0"/>
    <x v="0"/>
    <x v="0"/>
    <x v="8"/>
    <x v="19"/>
    <s v="SE4_MAL"/>
    <x v="0"/>
    <x v="11"/>
    <n v="143.209197367586"/>
    <n v="515.55311052331001"/>
  </r>
  <r>
    <x v="0"/>
    <x v="0"/>
    <x v="0"/>
    <x v="8"/>
    <x v="19"/>
    <s v="SE4_MAL"/>
    <x v="0"/>
    <x v="12"/>
    <n v="143.209197367586"/>
    <n v="515.55311052331001"/>
  </r>
  <r>
    <x v="0"/>
    <x v="0"/>
    <x v="0"/>
    <x v="8"/>
    <x v="19"/>
    <s v="SE4_MAL"/>
    <x v="0"/>
    <x v="13"/>
    <n v="143.209197367586"/>
    <n v="515.55311052331001"/>
  </r>
  <r>
    <x v="0"/>
    <x v="0"/>
    <x v="0"/>
    <x v="8"/>
    <x v="19"/>
    <s v="SE4_MAL"/>
    <x v="0"/>
    <x v="14"/>
    <n v="143.209197367586"/>
    <n v="515.55311052331001"/>
  </r>
  <r>
    <x v="0"/>
    <x v="0"/>
    <x v="0"/>
    <x v="8"/>
    <x v="19"/>
    <s v="SE4_MAL"/>
    <x v="0"/>
    <x v="15"/>
    <n v="143.209197367586"/>
    <n v="515.55311052331001"/>
  </r>
  <r>
    <x v="0"/>
    <x v="0"/>
    <x v="0"/>
    <x v="8"/>
    <x v="19"/>
    <s v="SE4_MAL"/>
    <x v="0"/>
    <x v="16"/>
    <n v="143.209197367586"/>
    <n v="515.55311052331001"/>
  </r>
  <r>
    <x v="0"/>
    <x v="0"/>
    <x v="0"/>
    <x v="8"/>
    <x v="19"/>
    <s v="SE4_MAL"/>
    <x v="0"/>
    <x v="17"/>
    <n v="143.209197367586"/>
    <n v="515.55311052331001"/>
  </r>
  <r>
    <x v="0"/>
    <x v="0"/>
    <x v="0"/>
    <x v="8"/>
    <x v="19"/>
    <s v="SE4_MAL"/>
    <x v="0"/>
    <x v="18"/>
    <n v="143.209197367586"/>
    <n v="515.55311052331001"/>
  </r>
  <r>
    <x v="0"/>
    <x v="0"/>
    <x v="0"/>
    <x v="8"/>
    <x v="19"/>
    <s v="SE4_MAL"/>
    <x v="0"/>
    <x v="19"/>
    <n v="49.888784404116201"/>
    <n v="179.59962385481799"/>
  </r>
  <r>
    <x v="0"/>
    <x v="0"/>
    <x v="0"/>
    <x v="8"/>
    <x v="19"/>
    <s v="SE4_MAL"/>
    <x v="0"/>
    <x v="20"/>
    <n v="0"/>
    <n v="0"/>
  </r>
  <r>
    <x v="0"/>
    <x v="0"/>
    <x v="0"/>
    <x v="8"/>
    <x v="19"/>
    <s v="SE4_MAL"/>
    <x v="0"/>
    <x v="21"/>
    <n v="0"/>
    <n v="0"/>
  </r>
  <r>
    <x v="0"/>
    <x v="0"/>
    <x v="0"/>
    <x v="8"/>
    <x v="19"/>
    <s v="SE4_MAL"/>
    <x v="0"/>
    <x v="22"/>
    <n v="0"/>
    <n v="0"/>
  </r>
  <r>
    <x v="0"/>
    <x v="0"/>
    <x v="0"/>
    <x v="8"/>
    <x v="19"/>
    <s v="SE4_MAL"/>
    <x v="0"/>
    <x v="23"/>
    <n v="17.556896792660801"/>
    <n v="63.204828453578898"/>
  </r>
  <r>
    <x v="0"/>
    <x v="0"/>
    <x v="0"/>
    <x v="8"/>
    <x v="19"/>
    <s v="SE4_OTHER"/>
    <x v="0"/>
    <x v="0"/>
    <n v="1561.98970759657"/>
    <n v="5623.1629473476596"/>
  </r>
  <r>
    <x v="0"/>
    <x v="0"/>
    <x v="0"/>
    <x v="8"/>
    <x v="19"/>
    <s v="SE4_OTHER"/>
    <x v="0"/>
    <x v="1"/>
    <n v="2332.1090986776899"/>
    <n v="8395.5927552396806"/>
  </r>
  <r>
    <x v="0"/>
    <x v="0"/>
    <x v="0"/>
    <x v="8"/>
    <x v="19"/>
    <s v="SE4_OTHER"/>
    <x v="0"/>
    <x v="2"/>
    <n v="3121.7801336030502"/>
    <n v="11238.408480971"/>
  </r>
  <r>
    <x v="0"/>
    <x v="0"/>
    <x v="0"/>
    <x v="8"/>
    <x v="19"/>
    <s v="SE4_OTHER"/>
    <x v="0"/>
    <x v="3"/>
    <n v="3913.7972544020199"/>
    <n v="14089.670115847301"/>
  </r>
  <r>
    <x v="0"/>
    <x v="0"/>
    <x v="0"/>
    <x v="8"/>
    <x v="19"/>
    <s v="SE4_OTHER"/>
    <x v="0"/>
    <x v="4"/>
    <n v="4620.2492337233298"/>
    <n v="16632.897241404"/>
  </r>
  <r>
    <x v="0"/>
    <x v="0"/>
    <x v="0"/>
    <x v="8"/>
    <x v="19"/>
    <s v="SE4_OTHER"/>
    <x v="0"/>
    <x v="5"/>
    <n v="5154.50556706524"/>
    <n v="18556.220041434899"/>
  </r>
  <r>
    <x v="0"/>
    <x v="0"/>
    <x v="0"/>
    <x v="8"/>
    <x v="19"/>
    <s v="SE4_OTHER"/>
    <x v="0"/>
    <x v="6"/>
    <n v="5349.9491368785002"/>
    <n v="19259.816892762599"/>
  </r>
  <r>
    <x v="0"/>
    <x v="0"/>
    <x v="0"/>
    <x v="8"/>
    <x v="19"/>
    <s v="SE4_OTHER"/>
    <x v="0"/>
    <x v="7"/>
    <n v="4804.2057422394601"/>
    <n v="17295.140672062"/>
  </r>
  <r>
    <x v="0"/>
    <x v="0"/>
    <x v="0"/>
    <x v="8"/>
    <x v="19"/>
    <s v="SE4_OTHER"/>
    <x v="0"/>
    <x v="8"/>
    <n v="3893.6994827071799"/>
    <n v="14017.3181377459"/>
  </r>
  <r>
    <x v="0"/>
    <x v="0"/>
    <x v="0"/>
    <x v="8"/>
    <x v="19"/>
    <s v="SE4_OTHER"/>
    <x v="0"/>
    <x v="9"/>
    <n v="2970.5703782485998"/>
    <n v="10694.0533616949"/>
  </r>
  <r>
    <x v="0"/>
    <x v="0"/>
    <x v="0"/>
    <x v="8"/>
    <x v="19"/>
    <s v="SE4_OTHER"/>
    <x v="0"/>
    <x v="10"/>
    <n v="2186.9515820844399"/>
    <n v="7873.0256955039804"/>
  </r>
  <r>
    <x v="0"/>
    <x v="0"/>
    <x v="0"/>
    <x v="8"/>
    <x v="19"/>
    <s v="SE4_OTHER"/>
    <x v="0"/>
    <x v="11"/>
    <n v="1526.58744819401"/>
    <n v="5495.71481349844"/>
  </r>
  <r>
    <x v="0"/>
    <x v="0"/>
    <x v="0"/>
    <x v="8"/>
    <x v="19"/>
    <s v="SE4_OTHER"/>
    <x v="0"/>
    <x v="12"/>
    <n v="1041.63636673722"/>
    <n v="3749.8909202539999"/>
  </r>
  <r>
    <x v="0"/>
    <x v="0"/>
    <x v="0"/>
    <x v="8"/>
    <x v="19"/>
    <s v="SE4_OTHER"/>
    <x v="0"/>
    <x v="13"/>
    <n v="733.06588020951199"/>
    <n v="2639.0371687542402"/>
  </r>
  <r>
    <x v="0"/>
    <x v="0"/>
    <x v="0"/>
    <x v="8"/>
    <x v="19"/>
    <s v="SE4_OTHER"/>
    <x v="0"/>
    <x v="14"/>
    <n v="437.57834043091299"/>
    <n v="1575.28202555129"/>
  </r>
  <r>
    <x v="0"/>
    <x v="0"/>
    <x v="0"/>
    <x v="8"/>
    <x v="19"/>
    <s v="SE4_OTHER"/>
    <x v="0"/>
    <x v="15"/>
    <n v="222.87829284543301"/>
    <n v="802.36185424355995"/>
  </r>
  <r>
    <x v="0"/>
    <x v="0"/>
    <x v="0"/>
    <x v="8"/>
    <x v="19"/>
    <s v="SE4_OTHER"/>
    <x v="0"/>
    <x v="16"/>
    <n v="65.765656407362798"/>
    <n v="236.756363066506"/>
  </r>
  <r>
    <x v="0"/>
    <x v="0"/>
    <x v="0"/>
    <x v="8"/>
    <x v="19"/>
    <s v="SE4_OTHER"/>
    <x v="0"/>
    <x v="17"/>
    <n v="0"/>
    <n v="0"/>
  </r>
  <r>
    <x v="0"/>
    <x v="0"/>
    <x v="0"/>
    <x v="8"/>
    <x v="19"/>
    <s v="SE4_OTHER"/>
    <x v="0"/>
    <x v="18"/>
    <n v="0"/>
    <n v="0"/>
  </r>
  <r>
    <x v="0"/>
    <x v="0"/>
    <x v="0"/>
    <x v="8"/>
    <x v="19"/>
    <s v="SE4_OTHER"/>
    <x v="0"/>
    <x v="19"/>
    <n v="0"/>
    <n v="0"/>
  </r>
  <r>
    <x v="0"/>
    <x v="0"/>
    <x v="0"/>
    <x v="8"/>
    <x v="19"/>
    <s v="SE4_OTHER"/>
    <x v="0"/>
    <x v="20"/>
    <n v="0"/>
    <n v="0"/>
  </r>
  <r>
    <x v="0"/>
    <x v="0"/>
    <x v="0"/>
    <x v="8"/>
    <x v="19"/>
    <s v="SE4_OTHER"/>
    <x v="0"/>
    <x v="21"/>
    <n v="0"/>
    <n v="0"/>
  </r>
  <r>
    <x v="0"/>
    <x v="0"/>
    <x v="0"/>
    <x v="8"/>
    <x v="19"/>
    <s v="SE4_OTHER"/>
    <x v="0"/>
    <x v="22"/>
    <n v="0"/>
    <n v="0"/>
  </r>
  <r>
    <x v="0"/>
    <x v="0"/>
    <x v="0"/>
    <x v="8"/>
    <x v="19"/>
    <s v="SE4_OTHER"/>
    <x v="0"/>
    <x v="23"/>
    <n v="186.21512461281199"/>
    <n v="670.37444860612197"/>
  </r>
</pivotCacheRecords>
</file>

<file path=xl/pivotCache/pivotCacheRecords9.xml><?xml version="1.0" encoding="utf-8"?>
<pivotCacheRecords xmlns="http://schemas.openxmlformats.org/spreadsheetml/2006/main" xmlns:r="http://schemas.openxmlformats.org/officeDocument/2006/relationships" count="79">
  <r>
    <x v="0"/>
    <x v="0"/>
    <x v="0"/>
    <x v="0"/>
    <x v="0"/>
    <x v="0"/>
    <x v="0"/>
    <x v="0"/>
    <n v="3082.4729984228402"/>
    <n v="3.0824729984228401"/>
    <n v="-2233.4569683287"/>
    <n v="-2.2334569683287002"/>
    <n v="9.7752843501781497E-2"/>
    <n v="9.7752843501781506E-5"/>
  </r>
  <r>
    <x v="0"/>
    <x v="0"/>
    <x v="0"/>
    <x v="0"/>
    <x v="0"/>
    <x v="0"/>
    <x v="0"/>
    <x v="1"/>
    <n v="4522.6566000000003"/>
    <n v="4.5226566000000004"/>
    <n v="-3276.9658984186099"/>
    <n v="-3.2769658984186001"/>
    <n v="0.14342462790697699"/>
    <n v="1.43424627906977E-4"/>
  </r>
  <r>
    <x v="0"/>
    <x v="0"/>
    <x v="0"/>
    <x v="0"/>
    <x v="0"/>
    <x v="0"/>
    <x v="0"/>
    <x v="2"/>
    <n v="2443.7716085106399"/>
    <n v="2.44377160851064"/>
    <n v="-1770.6752762553199"/>
    <n v="-1.77067527625532"/>
    <n v="7.7498042553191496E-2"/>
    <n v="7.7498042553191503E-5"/>
  </r>
  <r>
    <x v="0"/>
    <x v="0"/>
    <x v="0"/>
    <x v="0"/>
    <x v="0"/>
    <x v="1"/>
    <x v="0"/>
    <x v="3"/>
    <n v="32.783578021978002"/>
    <n v="3.2783578021978003E-2"/>
    <n v="0.24743630769230801"/>
    <n v="2.4743630769230801E-4"/>
    <n v="1.03964835164835E-3"/>
    <n v="1.0396483516483501E-6"/>
  </r>
  <r>
    <x v="0"/>
    <x v="0"/>
    <x v="0"/>
    <x v="0"/>
    <x v="1"/>
    <x v="2"/>
    <x v="0"/>
    <x v="0"/>
    <n v="3551.55428571429"/>
    <n v="3.5515542857142899"/>
    <n v="-2573.3375999999998"/>
    <n v="-2.5733375999999999"/>
    <n v="0.11262857142857099"/>
    <n v="1.12628571428571E-4"/>
  </r>
  <r>
    <x v="0"/>
    <x v="0"/>
    <x v="0"/>
    <x v="0"/>
    <x v="1"/>
    <x v="3"/>
    <x v="0"/>
    <x v="4"/>
    <n v="993.55910477715304"/>
    <n v="0.99355910477715403"/>
    <n v="7.4989556111087499"/>
    <n v="7.4989556111087503E-3"/>
    <n v="3.1508216853398101E-2"/>
    <n v="3.1508216853398103E-5"/>
  </r>
  <r>
    <x v="0"/>
    <x v="0"/>
    <x v="0"/>
    <x v="0"/>
    <x v="1"/>
    <x v="3"/>
    <x v="0"/>
    <x v="5"/>
    <n v="3059.1410845150799"/>
    <n v="3.0591410845150802"/>
    <n v="-2216.5514428858501"/>
    <n v="-2.2165514428858502"/>
    <n v="9.7012930798575397E-2"/>
    <n v="9.7012930798575395E-5"/>
  </r>
  <r>
    <x v="0"/>
    <x v="0"/>
    <x v="0"/>
    <x v="0"/>
    <x v="1"/>
    <x v="4"/>
    <x v="0"/>
    <x v="6"/>
    <n v="315.37802057142801"/>
    <n v="0.315378020571428"/>
    <n v="2.38033728"/>
    <n v="2.3803372799999999E-3"/>
    <n v="1.00014171428571E-2"/>
    <n v="1.0001417142857099E-5"/>
  </r>
  <r>
    <x v="0"/>
    <x v="0"/>
    <x v="0"/>
    <x v="1"/>
    <x v="2"/>
    <x v="5"/>
    <x v="1"/>
    <x v="7"/>
    <n v="200.38027701842799"/>
    <n v="0.200380277018428"/>
    <n v="2.8053238782579899"/>
    <n v="2.80532387825799E-3"/>
    <n v="5.89353755936552E-3"/>
    <n v="5.8935375593655201E-6"/>
  </r>
  <r>
    <x v="0"/>
    <x v="0"/>
    <x v="0"/>
    <x v="1"/>
    <x v="2"/>
    <x v="6"/>
    <x v="1"/>
    <x v="8"/>
    <n v="1357.68993963512"/>
    <n v="1.3576899396351201"/>
    <n v="0.47519147887229102"/>
    <n v="4.75191478872292E-4"/>
    <n v="3.9932057048091697E-2"/>
    <n v="3.9932057048091697E-5"/>
  </r>
  <r>
    <x v="0"/>
    <x v="0"/>
    <x v="0"/>
    <x v="1"/>
    <x v="2"/>
    <x v="6"/>
    <x v="1"/>
    <x v="9"/>
    <n v="19.770864112400901"/>
    <n v="1.97708641124009E-2"/>
    <n v="7.7501787320611401E-2"/>
    <n v="7.7501787320611405E-5"/>
    <n v="5.8149600330590799E-4"/>
    <n v="5.8149600330590803E-7"/>
  </r>
  <r>
    <x v="0"/>
    <x v="0"/>
    <x v="0"/>
    <x v="1"/>
    <x v="2"/>
    <x v="6"/>
    <x v="1"/>
    <x v="10"/>
    <n v="11.4209607900154"/>
    <n v="1.1420960790015399E-2"/>
    <n v="4.4770166296860398E-2"/>
    <n v="4.4770166296860397E-5"/>
    <n v="3.3591061147104201E-4"/>
    <n v="3.35910611471042E-7"/>
  </r>
  <r>
    <x v="0"/>
    <x v="0"/>
    <x v="0"/>
    <x v="2"/>
    <x v="3"/>
    <x v="7"/>
    <x v="0"/>
    <x v="11"/>
    <n v="1051.4553633379101"/>
    <n v="1.05145536333791"/>
    <n v="7.9359316006687903"/>
    <n v="7.9359316006687806E-3"/>
    <n v="3.3344250422978103E-2"/>
    <n v="3.3344250422978101E-5"/>
  </r>
  <r>
    <x v="0"/>
    <x v="0"/>
    <x v="0"/>
    <x v="2"/>
    <x v="3"/>
    <x v="7"/>
    <x v="2"/>
    <x v="12"/>
    <n v="76.528272283366604"/>
    <n v="7.65282722833667E-2"/>
    <n v="0.171652199514093"/>
    <n v="1.7165219951409299E-4"/>
    <n v="2.14565249392617E-3"/>
    <n v="2.14565249392617E-6"/>
  </r>
  <r>
    <x v="0"/>
    <x v="0"/>
    <x v="0"/>
    <x v="2"/>
    <x v="3"/>
    <x v="8"/>
    <x v="0"/>
    <x v="13"/>
    <n v="740.80925641513704"/>
    <n v="0.74080925641513695"/>
    <n v="5.59130876406351"/>
    <n v="5.5913087640635101E-3"/>
    <n v="2.34928939666534E-2"/>
    <n v="2.3492893966653401E-5"/>
  </r>
  <r>
    <x v="0"/>
    <x v="0"/>
    <x v="0"/>
    <x v="2"/>
    <x v="3"/>
    <x v="9"/>
    <x v="0"/>
    <x v="14"/>
    <n v="1294.9951596569899"/>
    <n v="1.29499515965699"/>
    <n v="9.7740649470939598"/>
    <n v="9.7740649470939595E-3"/>
    <n v="4.1067499777705699E-2"/>
    <n v="4.1067499777705703E-5"/>
  </r>
  <r>
    <x v="0"/>
    <x v="0"/>
    <x v="0"/>
    <x v="2"/>
    <x v="3"/>
    <x v="9"/>
    <x v="0"/>
    <x v="15"/>
    <n v="1102.9624672852001"/>
    <n v="1.1029624672852001"/>
    <n v="8.3246850067826195"/>
    <n v="8.3246850067826197E-3"/>
    <n v="3.4977668095725299E-2"/>
    <n v="3.4977668095725302E-5"/>
  </r>
  <r>
    <x v="0"/>
    <x v="0"/>
    <x v="0"/>
    <x v="2"/>
    <x v="3"/>
    <x v="9"/>
    <x v="0"/>
    <x v="16"/>
    <n v="797.116836260225"/>
    <n v="0.797116836260225"/>
    <n v="6.0162940918583603"/>
    <n v="6.0162940918583596E-3"/>
    <n v="2.5278546604446901E-2"/>
    <n v="2.52785466044469E-5"/>
  </r>
  <r>
    <x v="0"/>
    <x v="0"/>
    <x v="0"/>
    <x v="2"/>
    <x v="3"/>
    <x v="10"/>
    <x v="0"/>
    <x v="17"/>
    <n v="1828.6798008322801"/>
    <n v="1.82867980083228"/>
    <n v="13.802086446028"/>
    <n v="1.3802086446028001E-2"/>
    <n v="5.7991959857260501E-2"/>
    <n v="5.7991959857260502E-5"/>
  </r>
  <r>
    <x v="0"/>
    <x v="0"/>
    <x v="0"/>
    <x v="2"/>
    <x v="3"/>
    <x v="10"/>
    <x v="2"/>
    <x v="12"/>
    <n v="19.678698587151398"/>
    <n v="1.9678698587151398E-2"/>
    <n v="4.4139137017909703E-2"/>
    <n v="4.4139137017909699E-5"/>
    <n v="5.5173921272387105E-4"/>
    <n v="5.5173921272387096E-7"/>
  </r>
  <r>
    <x v="0"/>
    <x v="0"/>
    <x v="0"/>
    <x v="2"/>
    <x v="3"/>
    <x v="11"/>
    <x v="0"/>
    <x v="18"/>
    <n v="24.983958809516501"/>
    <n v="2.49839588095166E-2"/>
    <n v="0.18856814577161499"/>
    <n v="1.8856814577161501E-4"/>
    <n v="7.9230313349418202E-4"/>
    <n v="7.9230313349418301E-7"/>
  </r>
  <r>
    <x v="0"/>
    <x v="0"/>
    <x v="0"/>
    <x v="2"/>
    <x v="3"/>
    <x v="11"/>
    <x v="2"/>
    <x v="19"/>
    <n v="3163.80066014971"/>
    <n v="3.1638006601497102"/>
    <n v="7.0963753124853204"/>
    <n v="7.09637531248532E-3"/>
    <n v="8.8704691406066502E-2"/>
    <n v="8.8704691406066497E-5"/>
  </r>
  <r>
    <x v="0"/>
    <x v="0"/>
    <x v="0"/>
    <x v="2"/>
    <x v="3"/>
    <x v="11"/>
    <x v="2"/>
    <x v="20"/>
    <n v="975.96055476669903"/>
    <n v="0.97596055476669796"/>
    <n v="2.1890704032150201"/>
    <n v="2.1890704032150299E-3"/>
    <n v="2.7363380040187801E-2"/>
    <n v="2.7363380040187802E-5"/>
  </r>
  <r>
    <x v="0"/>
    <x v="0"/>
    <x v="0"/>
    <x v="2"/>
    <x v="3"/>
    <x v="11"/>
    <x v="2"/>
    <x v="21"/>
    <n v="875.123301875675"/>
    <n v="0.875123301875675"/>
    <n v="1.9628933873846901"/>
    <n v="1.9628933873846901E-3"/>
    <n v="2.45361673423087E-2"/>
    <n v="2.4536167342308701E-5"/>
  </r>
  <r>
    <x v="0"/>
    <x v="0"/>
    <x v="0"/>
    <x v="2"/>
    <x v="3"/>
    <x v="11"/>
    <x v="2"/>
    <x v="22"/>
    <n v="576.212873662996"/>
    <n v="0.57621287366299601"/>
    <n v="1.2924400904590601"/>
    <n v="1.2924400904590599E-3"/>
    <n v="1.6155501130738201E-2"/>
    <n v="1.6155501130738201E-5"/>
  </r>
  <r>
    <x v="0"/>
    <x v="0"/>
    <x v="0"/>
    <x v="2"/>
    <x v="3"/>
    <x v="11"/>
    <x v="2"/>
    <x v="12"/>
    <n v="1753.5906963217101"/>
    <n v="1.75359069632172"/>
    <n v="3.93328754315151"/>
    <n v="3.9332875431515096E-3"/>
    <n v="4.9166094289393898E-2"/>
    <n v="4.9166094289393903E-5"/>
  </r>
  <r>
    <x v="0"/>
    <x v="0"/>
    <x v="0"/>
    <x v="2"/>
    <x v="3"/>
    <x v="12"/>
    <x v="0"/>
    <x v="23"/>
    <n v="3456.5306009415099"/>
    <n v="3.4565306009415102"/>
    <n v="1.3044201105033"/>
    <n v="1.3044201105033E-3"/>
    <n v="0.109615135336411"/>
    <n v="1.09615135336411E-4"/>
  </r>
  <r>
    <x v="0"/>
    <x v="0"/>
    <x v="0"/>
    <x v="2"/>
    <x v="3"/>
    <x v="12"/>
    <x v="2"/>
    <x v="24"/>
    <n v="5624.1160407843099"/>
    <n v="5.62411604078431"/>
    <n v="12.614839717647101"/>
    <n v="1.2614839717647101E-2"/>
    <n v="0.15768549647058799"/>
    <n v="1.5768549647058799E-4"/>
  </r>
  <r>
    <x v="0"/>
    <x v="0"/>
    <x v="0"/>
    <x v="3"/>
    <x v="4"/>
    <x v="13"/>
    <x v="3"/>
    <x v="25"/>
    <n v="198.64441928571401"/>
    <n v="0.198644419285714"/>
    <n v="2.5532333999999999"/>
    <n v="2.5532333999999999E-3"/>
    <n v="5.3639357142857202E-3"/>
    <n v="5.3639357142857196E-6"/>
  </r>
  <r>
    <x v="0"/>
    <x v="0"/>
    <x v="0"/>
    <x v="3"/>
    <x v="4"/>
    <x v="13"/>
    <x v="3"/>
    <x v="26"/>
    <n v="76441.897577780401"/>
    <n v="76.441897577780395"/>
    <n v="982.52952062169595"/>
    <n v="0.98252952062169596"/>
    <n v="2.0641376483649099"/>
    <n v="2.0641376483649101E-3"/>
  </r>
  <r>
    <x v="0"/>
    <x v="0"/>
    <x v="0"/>
    <x v="3"/>
    <x v="4"/>
    <x v="13"/>
    <x v="3"/>
    <x v="27"/>
    <n v="5214.7342883720903"/>
    <n v="5.2147342883720897"/>
    <n v="67.026467720930199"/>
    <n v="6.7026467720930197E-2"/>
    <n v="0.14081190697674401"/>
    <n v="1.40811906976744E-4"/>
  </r>
  <r>
    <x v="0"/>
    <x v="0"/>
    <x v="0"/>
    <x v="3"/>
    <x v="5"/>
    <x v="14"/>
    <x v="0"/>
    <x v="28"/>
    <n v="6891.4359359999999"/>
    <n v="6.8914359359999997"/>
    <n v="52.013586240000102"/>
    <n v="5.201358624E-2"/>
    <n v="0.21854448000000001"/>
    <n v="2.1854447999999999E-4"/>
  </r>
  <r>
    <x v="0"/>
    <x v="0"/>
    <x v="0"/>
    <x v="3"/>
    <x v="5"/>
    <x v="14"/>
    <x v="0"/>
    <x v="29"/>
    <n v="10376.715130434801"/>
    <n v="10.3767151304348"/>
    <n v="78.3189704347825"/>
    <n v="7.83189704347826E-2"/>
    <n v="0.329071304347826"/>
    <n v="3.2907130434782597E-4"/>
  </r>
  <r>
    <x v="0"/>
    <x v="0"/>
    <x v="0"/>
    <x v="3"/>
    <x v="6"/>
    <x v="15"/>
    <x v="0"/>
    <x v="30"/>
    <n v="20792.860475515401"/>
    <n v="20.792860475515401"/>
    <n v="156.935543123869"/>
    <n v="0.15693554312386901"/>
    <n v="0.65939303833558305"/>
    <n v="6.5939303833558295E-4"/>
  </r>
  <r>
    <x v="0"/>
    <x v="0"/>
    <x v="0"/>
    <x v="3"/>
    <x v="6"/>
    <x v="15"/>
    <x v="0"/>
    <x v="31"/>
    <n v="3799.7892378947399"/>
    <n v="3.79978923789474"/>
    <n v="28.679170357894701"/>
    <n v="2.86791703578947E-2"/>
    <n v="0.12050071578947399"/>
    <n v="1.20500715789474E-4"/>
  </r>
  <r>
    <x v="0"/>
    <x v="0"/>
    <x v="0"/>
    <x v="3"/>
    <x v="6"/>
    <x v="15"/>
    <x v="0"/>
    <x v="32"/>
    <n v="3573.1864799999998"/>
    <n v="3.5731864799999999"/>
    <n v="26.9688704727273"/>
    <n v="2.6968870472727301E-2"/>
    <n v="0.11331458181818201"/>
    <n v="1.13314581818182E-4"/>
  </r>
  <r>
    <x v="0"/>
    <x v="0"/>
    <x v="0"/>
    <x v="3"/>
    <x v="7"/>
    <x v="16"/>
    <x v="0"/>
    <x v="33"/>
    <n v="4326.0195468802904"/>
    <n v="4.32601954688029"/>
    <n v="32.650929772436797"/>
    <n v="3.2650929772436797E-2"/>
    <n v="0.137188780556457"/>
    <n v="1.3718878055645701E-4"/>
  </r>
  <r>
    <x v="0"/>
    <x v="0"/>
    <x v="0"/>
    <x v="3"/>
    <x v="7"/>
    <x v="16"/>
    <x v="0"/>
    <x v="34"/>
    <n v="30050.504037250801"/>
    <n v="30.0505040372508"/>
    <n v="226.808244002083"/>
    <n v="0.22680824400208399"/>
    <n v="0.952975815134805"/>
    <n v="9.5297581513480503E-4"/>
  </r>
  <r>
    <x v="0"/>
    <x v="0"/>
    <x v="0"/>
    <x v="3"/>
    <x v="7"/>
    <x v="16"/>
    <x v="0"/>
    <x v="35"/>
    <n v="22865.380032000001"/>
    <n v="22.865380032000001"/>
    <n v="172.57802688000001"/>
    <n v="0.17257802688000001"/>
    <n v="0.72511775999999994"/>
    <n v="7.2511775999999995E-4"/>
  </r>
  <r>
    <x v="0"/>
    <x v="0"/>
    <x v="0"/>
    <x v="3"/>
    <x v="7"/>
    <x v="16"/>
    <x v="3"/>
    <x v="36"/>
    <n v="5566.9099200000001"/>
    <n v="5.5669099199999996"/>
    <n v="71.553081599999999"/>
    <n v="7.1553081599999999E-2"/>
    <n v="0.1503216"/>
    <n v="1.5032159999999999E-4"/>
  </r>
  <r>
    <x v="0"/>
    <x v="0"/>
    <x v="0"/>
    <x v="3"/>
    <x v="7"/>
    <x v="16"/>
    <x v="3"/>
    <x v="37"/>
    <n v="30408.525198536099"/>
    <n v="30.4085251985361"/>
    <n v="390.84945079666602"/>
    <n v="0.390849450796665"/>
    <n v="0.82111229158963395"/>
    <n v="8.2111229158963398E-4"/>
  </r>
  <r>
    <x v="0"/>
    <x v="0"/>
    <x v="0"/>
    <x v="3"/>
    <x v="7"/>
    <x v="16"/>
    <x v="3"/>
    <x v="38"/>
    <n v="49697.079794999998"/>
    <n v="49.697079795000001"/>
    <n v="638.77074660000005"/>
    <n v="0.63877074659999999"/>
    <n v="1.3419553500000001"/>
    <n v="1.34195535E-3"/>
  </r>
  <r>
    <x v="0"/>
    <x v="0"/>
    <x v="0"/>
    <x v="3"/>
    <x v="7"/>
    <x v="16"/>
    <x v="3"/>
    <x v="39"/>
    <n v="34438.311921951201"/>
    <n v="34.438311921951197"/>
    <n v="442.64544936585298"/>
    <n v="0.44264544936585398"/>
    <n v="0.92992741463414696"/>
    <n v="9.2992741463414602E-4"/>
  </r>
  <r>
    <x v="0"/>
    <x v="0"/>
    <x v="0"/>
    <x v="4"/>
    <x v="8"/>
    <x v="17"/>
    <x v="0"/>
    <x v="40"/>
    <n v="35349.487689919697"/>
    <n v="35.349487689919698"/>
    <n v="266.80268721567302"/>
    <n v="0.26680268721567302"/>
    <n v="1.1210196941835"/>
    <n v="1.1210196941835E-3"/>
  </r>
  <r>
    <x v="0"/>
    <x v="0"/>
    <x v="0"/>
    <x v="5"/>
    <x v="9"/>
    <x v="18"/>
    <x v="0"/>
    <x v="41"/>
    <n v="145.69631999999999"/>
    <n v="0.14569631999999999"/>
    <n v="1.0996529860465101"/>
    <n v="1.0996529860465101E-3"/>
    <n v="4.6203906976744202E-3"/>
    <n v="4.6203906976744198E-6"/>
  </r>
  <r>
    <x v="0"/>
    <x v="0"/>
    <x v="0"/>
    <x v="5"/>
    <x v="9"/>
    <x v="18"/>
    <x v="0"/>
    <x v="42"/>
    <n v="208.29088856374401"/>
    <n v="0.208290888563744"/>
    <n v="1.57208979317667"/>
    <n v="1.57208979317667E-3"/>
    <n v="6.60541929906165E-3"/>
    <n v="6.6054192990616497E-6"/>
  </r>
  <r>
    <x v="0"/>
    <x v="0"/>
    <x v="0"/>
    <x v="5"/>
    <x v="9"/>
    <x v="18"/>
    <x v="0"/>
    <x v="43"/>
    <n v="2386.6444799999999"/>
    <n v="2.3866444800000002"/>
    <n v="18.013363200000001"/>
    <n v="1.80133632E-2"/>
    <n v="7.5686400000000001E-2"/>
    <n v="7.5686399999999994E-5"/>
  </r>
  <r>
    <x v="0"/>
    <x v="0"/>
    <x v="0"/>
    <x v="5"/>
    <x v="9"/>
    <x v="18"/>
    <x v="0"/>
    <x v="44"/>
    <n v="1503.3057979922301"/>
    <n v="1.50330579799223"/>
    <n v="11.3463038030281"/>
    <n v="1.1346303803028099E-2"/>
    <n v="4.7673545390874303E-2"/>
    <n v="4.7673545390874202E-5"/>
  </r>
  <r>
    <x v="0"/>
    <x v="0"/>
    <x v="0"/>
    <x v="5"/>
    <x v="9"/>
    <x v="18"/>
    <x v="0"/>
    <x v="45"/>
    <n v="1106.7096673569699"/>
    <n v="1.1067096673569701"/>
    <n v="8.3529672567957007"/>
    <n v="8.3529672567957004E-3"/>
    <n v="3.5096501078973497E-2"/>
    <n v="3.5096501078973498E-5"/>
  </r>
  <r>
    <x v="0"/>
    <x v="0"/>
    <x v="0"/>
    <x v="5"/>
    <x v="9"/>
    <x v="18"/>
    <x v="0"/>
    <x v="46"/>
    <n v="21263.599304645501"/>
    <n v="21.263599304645499"/>
    <n v="160.488476781363"/>
    <n v="0.16048847678136299"/>
    <n v="0.67432133101412906"/>
    <n v="6.7432133101412905E-4"/>
  </r>
  <r>
    <x v="0"/>
    <x v="0"/>
    <x v="0"/>
    <x v="5"/>
    <x v="9"/>
    <x v="18"/>
    <x v="0"/>
    <x v="47"/>
    <n v="1411.2404964498401"/>
    <n v="1.41124049644984"/>
    <n v="10.6514346137969"/>
    <n v="1.06514346137969E-2"/>
    <n v="4.4753926948726402E-2"/>
    <n v="4.4753926948726398E-5"/>
  </r>
  <r>
    <x v="0"/>
    <x v="0"/>
    <x v="0"/>
    <x v="5"/>
    <x v="9"/>
    <x v="18"/>
    <x v="0"/>
    <x v="48"/>
    <n v="991.74753729729696"/>
    <n v="0.99174753729729703"/>
    <n v="7.4852826810810704"/>
    <n v="7.4852826810810798E-3"/>
    <n v="3.1450767567567497E-2"/>
    <n v="3.1450767567567501E-5"/>
  </r>
  <r>
    <x v="0"/>
    <x v="0"/>
    <x v="0"/>
    <x v="5"/>
    <x v="9"/>
    <x v="18"/>
    <x v="0"/>
    <x v="49"/>
    <n v="1529.90030769231"/>
    <n v="1.5299003076923099"/>
    <n v="11.547027692307701"/>
    <n v="1.15470276923077E-2"/>
    <n v="4.8516923076923103E-2"/>
    <n v="4.85169230769231E-5"/>
  </r>
  <r>
    <x v="0"/>
    <x v="0"/>
    <x v="0"/>
    <x v="5"/>
    <x v="9"/>
    <x v="18"/>
    <x v="0"/>
    <x v="50"/>
    <n v="1886.50207058823"/>
    <n v="1.8865020705882301"/>
    <n v="14.238504000000001"/>
    <n v="1.4238504000000001E-2"/>
    <n v="5.9825647058823497E-2"/>
    <n v="5.9825647058823498E-5"/>
  </r>
  <r>
    <x v="0"/>
    <x v="0"/>
    <x v="0"/>
    <x v="5"/>
    <x v="9"/>
    <x v="18"/>
    <x v="0"/>
    <x v="51"/>
    <n v="857.70036000000096"/>
    <n v="0.85770036000000005"/>
    <n v="6.4735524"/>
    <n v="6.4735523999999997E-3"/>
    <n v="2.71998E-2"/>
    <n v="2.71998E-5"/>
  </r>
  <r>
    <x v="0"/>
    <x v="0"/>
    <x v="0"/>
    <x v="5"/>
    <x v="9"/>
    <x v="18"/>
    <x v="0"/>
    <x v="52"/>
    <n v="56.434171808464797"/>
    <n v="5.64341718084648E-2"/>
    <n v="0.425940789336616"/>
    <n v="4.2594078933661601E-4"/>
    <n v="1.7896671820866201E-3"/>
    <n v="1.7896671820866201E-6"/>
  </r>
  <r>
    <x v="0"/>
    <x v="0"/>
    <x v="0"/>
    <x v="5"/>
    <x v="9"/>
    <x v="18"/>
    <x v="0"/>
    <x v="53"/>
    <n v="3717.1987776000001"/>
    <n v="3.7171987776000002"/>
    <n v="28.055813184000002"/>
    <n v="2.8055813184000002E-2"/>
    <n v="0.11788156800000001"/>
    <n v="1.17881568E-4"/>
  </r>
  <r>
    <x v="0"/>
    <x v="0"/>
    <x v="0"/>
    <x v="5"/>
    <x v="9"/>
    <x v="18"/>
    <x v="0"/>
    <x v="54"/>
    <n v="343.08014400000002"/>
    <n v="0.34308014399999998"/>
    <n v="2.58942096"/>
    <n v="2.5894209599999999E-3"/>
    <n v="1.087992E-2"/>
    <n v="1.087992E-5"/>
  </r>
  <r>
    <x v="0"/>
    <x v="0"/>
    <x v="0"/>
    <x v="5"/>
    <x v="9"/>
    <x v="18"/>
    <x v="0"/>
    <x v="55"/>
    <n v="65.632723200000001"/>
    <n v="6.5632723200000007E-2"/>
    <n v="0.49536748800000002"/>
    <n v="4.9536748800000003E-4"/>
    <n v="2.0813759999999998E-3"/>
    <n v="2.0813759999999999E-6"/>
  </r>
  <r>
    <x v="0"/>
    <x v="0"/>
    <x v="0"/>
    <x v="5"/>
    <x v="9"/>
    <x v="18"/>
    <x v="0"/>
    <x v="56"/>
    <n v="357.99667199999999"/>
    <n v="0.35799667200000002"/>
    <n v="2.7020044799999998"/>
    <n v="2.7020044799999999E-3"/>
    <n v="1.135296E-2"/>
    <n v="1.135296E-5"/>
  </r>
  <r>
    <x v="0"/>
    <x v="0"/>
    <x v="0"/>
    <x v="5"/>
    <x v="9"/>
    <x v="18"/>
    <x v="3"/>
    <x v="57"/>
    <n v="1060.8272400000001"/>
    <n v="1.0608272400000001"/>
    <n v="13.6351152"/>
    <n v="1.3635115200000001E-2"/>
    <n v="2.8645199999999999E-2"/>
    <n v="2.8645200000000001E-5"/>
  </r>
  <r>
    <x v="0"/>
    <x v="0"/>
    <x v="0"/>
    <x v="5"/>
    <x v="9"/>
    <x v="18"/>
    <x v="3"/>
    <x v="58"/>
    <n v="3072.4311876923098"/>
    <n v="3.0724311876923101"/>
    <n v="39.490834707692301"/>
    <n v="3.9490834707692303E-2"/>
    <n v="8.2963938461538503E-2"/>
    <n v="8.2963938461538405E-5"/>
  </r>
  <r>
    <x v="0"/>
    <x v="0"/>
    <x v="0"/>
    <x v="5"/>
    <x v="9"/>
    <x v="19"/>
    <x v="0"/>
    <x v="59"/>
    <n v="6690.6962011859996"/>
    <n v="6.6906962011860003"/>
    <n v="50.498489298591998"/>
    <n v="5.0498489298591999E-2"/>
    <n v="0.212178526464673"/>
    <n v="2.12178526464672E-4"/>
  </r>
  <r>
    <x v="0"/>
    <x v="0"/>
    <x v="0"/>
    <x v="5"/>
    <x v="9"/>
    <x v="19"/>
    <x v="0"/>
    <x v="60"/>
    <n v="11085.4711606452"/>
    <n v="11.0854711606452"/>
    <n v="83.668355271677299"/>
    <n v="8.3668355271677305E-2"/>
    <n v="0.35154771122553502"/>
    <n v="3.5154771122553502E-4"/>
  </r>
  <r>
    <x v="0"/>
    <x v="0"/>
    <x v="0"/>
    <x v="5"/>
    <x v="9"/>
    <x v="19"/>
    <x v="0"/>
    <x v="61"/>
    <n v="2830.8255359999998"/>
    <n v="2.8308255359999999"/>
    <n v="21.36585024"/>
    <n v="2.1365850240000001E-2"/>
    <n v="8.9772480000000002E-2"/>
    <n v="8.977248E-5"/>
  </r>
  <r>
    <x v="0"/>
    <x v="0"/>
    <x v="0"/>
    <x v="5"/>
    <x v="9"/>
    <x v="19"/>
    <x v="0"/>
    <x v="62"/>
    <n v="10590.73488"/>
    <n v="10.590734879999999"/>
    <n v="79.934299199999998"/>
    <n v="7.9934299200000003E-2"/>
    <n v="0.3358584"/>
    <n v="3.358584E-4"/>
  </r>
  <r>
    <x v="0"/>
    <x v="0"/>
    <x v="0"/>
    <x v="5"/>
    <x v="9"/>
    <x v="19"/>
    <x v="0"/>
    <x v="63"/>
    <n v="3420.8570880000002"/>
    <n v="3.420857088"/>
    <n v="25.819153920000002"/>
    <n v="2.5819153920000001E-2"/>
    <n v="0.10848384"/>
    <n v="1.0848384E-4"/>
  </r>
  <r>
    <x v="0"/>
    <x v="0"/>
    <x v="0"/>
    <x v="5"/>
    <x v="9"/>
    <x v="19"/>
    <x v="0"/>
    <x v="64"/>
    <n v="10495.988406984299"/>
    <n v="10.495988406984299"/>
    <n v="79.219193684850097"/>
    <n v="7.9219193684850003E-2"/>
    <n v="0.332853754978362"/>
    <n v="3.3285375497836198E-4"/>
  </r>
  <r>
    <x v="0"/>
    <x v="0"/>
    <x v="0"/>
    <x v="5"/>
    <x v="9"/>
    <x v="19"/>
    <x v="0"/>
    <x v="65"/>
    <n v="10005.335942781299"/>
    <n v="10.005335942781301"/>
    <n v="75.515960498370106"/>
    <n v="7.5515960498370199E-2"/>
    <n v="0.31729395167382402"/>
    <n v="3.1729395167382401E-4"/>
  </r>
  <r>
    <x v="0"/>
    <x v="0"/>
    <x v="0"/>
    <x v="5"/>
    <x v="9"/>
    <x v="19"/>
    <x v="3"/>
    <x v="66"/>
    <n v="7124.08752"/>
    <n v="7.1240875199999998"/>
    <n v="91.567929599999999"/>
    <n v="9.15679296E-2"/>
    <n v="0.1923696"/>
    <n v="1.923696E-4"/>
  </r>
  <r>
    <x v="0"/>
    <x v="0"/>
    <x v="0"/>
    <x v="5"/>
    <x v="9"/>
    <x v="19"/>
    <x v="3"/>
    <x v="67"/>
    <n v="38560.166454857099"/>
    <n v="38.560166454857097"/>
    <n v="495.62482175999997"/>
    <n v="0.49562482176"/>
    <n v="1.04122861714286"/>
    <n v="1.04122861714286E-3"/>
  </r>
  <r>
    <x v="0"/>
    <x v="0"/>
    <x v="0"/>
    <x v="5"/>
    <x v="9"/>
    <x v="19"/>
    <x v="3"/>
    <x v="68"/>
    <n v="3768.5596917073199"/>
    <n v="3.7685596917073201"/>
    <n v="48.438372995121902"/>
    <n v="4.8438372995121902E-2"/>
    <n v="0.101761287804878"/>
    <n v="1.01761287804878E-4"/>
  </r>
  <r>
    <x v="0"/>
    <x v="0"/>
    <x v="0"/>
    <x v="6"/>
    <x v="10"/>
    <x v="20"/>
    <x v="2"/>
    <x v="69"/>
    <n v="26.121345540988301"/>
    <n v="2.61213455409883E-2"/>
    <n v="5.8589933923712097E-2"/>
    <n v="5.8589933923712099E-5"/>
    <n v="7.3237417404640201E-4"/>
    <n v="7.3237417404640204E-7"/>
  </r>
  <r>
    <x v="0"/>
    <x v="0"/>
    <x v="0"/>
    <x v="6"/>
    <x v="11"/>
    <x v="21"/>
    <x v="0"/>
    <x v="70"/>
    <n v="101.911821781548"/>
    <n v="0.10191182178154801"/>
    <n v="0.76918647729413503"/>
    <n v="7.6918647729413503E-4"/>
    <n v="3.2318759550173698E-3"/>
    <n v="3.2318759550173702E-6"/>
  </r>
  <r>
    <x v="0"/>
    <x v="0"/>
    <x v="0"/>
    <x v="6"/>
    <x v="11"/>
    <x v="21"/>
    <x v="2"/>
    <x v="69"/>
    <n v="61.127722001557402"/>
    <n v="6.1127722001557402E-2"/>
    <n v="0.13710890916237201"/>
    <n v="1.37108909162372E-4"/>
    <n v="1.7138613645296501E-3"/>
    <n v="1.71386136452965E-6"/>
  </r>
  <r>
    <x v="0"/>
    <x v="0"/>
    <x v="0"/>
    <x v="6"/>
    <x v="11"/>
    <x v="21"/>
    <x v="2"/>
    <x v="71"/>
    <n v="422.57035243222799"/>
    <n v="0.42257035243222801"/>
    <n v="0.947821351249857"/>
    <n v="9.4782135124985695E-4"/>
    <n v="1.1847766890623199E-2"/>
    <n v="1.18477668906232E-5"/>
  </r>
  <r>
    <x v="0"/>
    <x v="0"/>
    <x v="0"/>
    <x v="6"/>
    <x v="11"/>
    <x v="22"/>
    <x v="0"/>
    <x v="72"/>
    <n v="865.49199669921904"/>
    <n v="0.86549199669921895"/>
    <n v="6.53236031335351"/>
    <n v="6.5323603133535099E-3"/>
    <n v="2.7446892072913901E-2"/>
    <n v="2.7446892072913898E-5"/>
  </r>
  <r>
    <x v="0"/>
    <x v="0"/>
    <x v="0"/>
    <x v="7"/>
    <x v="12"/>
    <x v="23"/>
    <x v="0"/>
    <x v="73"/>
    <n v="59083.963869029998"/>
    <n v="59.0839638690301"/>
    <n v="445.940276981897"/>
    <n v="0.44594027698189698"/>
    <n v="1.87369864278108"/>
    <n v="1.8736986427810799E-3"/>
  </r>
  <r>
    <x v="0"/>
    <x v="0"/>
    <x v="0"/>
    <x v="7"/>
    <x v="12"/>
    <x v="23"/>
    <x v="0"/>
    <x v="74"/>
    <n v="96003.050277443894"/>
    <n v="96.003050277443805"/>
    <n v="724.58961837309698"/>
    <n v="0.72458961837309599"/>
    <n v="3.04449419484494"/>
    <n v="3.0444941948449401E-3"/>
  </r>
</pivotCacheRecords>
</file>

<file path=xl/pivotCache/pivotCacheRecords10.xml><?xml version="1.0" encoding="utf-8"?>
<pivotCacheRecords xmlns="http://schemas.openxmlformats.org/spreadsheetml/2006/main" xmlns:r="http://schemas.openxmlformats.org/officeDocument/2006/relationships" count="453">
  <r>
    <x v="0"/>
    <x v="0"/>
    <x v="0"/>
    <x v="0"/>
    <x v="0"/>
    <s v="DK1_Large"/>
    <x v="0"/>
    <s v="GNR_ST_COAL_EXT_E-42"/>
    <n v="9.0511892131279197"/>
    <n v="32.5842811672605"/>
  </r>
  <r>
    <x v="0"/>
    <x v="0"/>
    <x v="0"/>
    <x v="0"/>
    <x v="0"/>
    <s v="DK1_Large"/>
    <x v="0"/>
    <s v="GNR_ST_COAL_EXT_E-43"/>
    <n v="13.2800581395349"/>
    <n v="47.808209302325601"/>
  </r>
  <r>
    <x v="0"/>
    <x v="0"/>
    <x v="0"/>
    <x v="0"/>
    <x v="0"/>
    <s v="DK1_Large"/>
    <x v="0"/>
    <s v="GNR_ST_COAL_EXT_E-47"/>
    <n v="7.1757446808510599"/>
    <n v="25.832680851063799"/>
  </r>
  <r>
    <x v="0"/>
    <x v="0"/>
    <x v="0"/>
    <x v="0"/>
    <x v="0"/>
    <s v="DK1_Large"/>
    <x v="1"/>
    <s v="GNR_EH_HEAT"/>
    <n v="1.5254664"/>
    <n v="5.4916790400000002"/>
  </r>
  <r>
    <x v="0"/>
    <x v="0"/>
    <x v="0"/>
    <x v="0"/>
    <x v="0"/>
    <s v="DK1_MedSmall"/>
    <x v="2"/>
    <s v="GNR_BO_MSW_E-100"/>
    <n v="5.6939999999999998E-2"/>
    <n v="0.204984"/>
  </r>
  <r>
    <x v="0"/>
    <x v="0"/>
    <x v="0"/>
    <x v="0"/>
    <x v="0"/>
    <s v="DK1_MedSmall"/>
    <x v="2"/>
    <s v="GNR_ST_MSW_BP_E-17"/>
    <n v="0.123670588235294"/>
    <n v="0.44521411764705898"/>
  </r>
  <r>
    <x v="0"/>
    <x v="0"/>
    <x v="0"/>
    <x v="0"/>
    <x v="0"/>
    <s v="DK1_MedSmall"/>
    <x v="2"/>
    <s v="GNR_ST_MSW_BP_E-20"/>
    <n v="0.14454"/>
    <n v="0.52034400000000003"/>
  </r>
  <r>
    <x v="0"/>
    <x v="0"/>
    <x v="0"/>
    <x v="0"/>
    <x v="0"/>
    <s v="DK1_MedSmall"/>
    <x v="2"/>
    <s v="GNR_ST_MSW_BP_E-21"/>
    <n v="0.41714285714285798"/>
    <n v="1.50171428571429"/>
  </r>
  <r>
    <x v="0"/>
    <x v="0"/>
    <x v="0"/>
    <x v="0"/>
    <x v="0"/>
    <s v="DK1_MedSmall"/>
    <x v="2"/>
    <s v="GNR_ST_MSW_BP_E-22"/>
    <n v="0.179181818181818"/>
    <n v="0.64505454545454599"/>
  </r>
  <r>
    <x v="0"/>
    <x v="0"/>
    <x v="0"/>
    <x v="0"/>
    <x v="0"/>
    <s v="DK1_MedSmall"/>
    <x v="2"/>
    <s v="GNR_ST_MSW_BP_E-26"/>
    <n v="0.23584615384615401"/>
    <n v="0.84904615384615501"/>
  </r>
  <r>
    <x v="0"/>
    <x v="0"/>
    <x v="0"/>
    <x v="0"/>
    <x v="0"/>
    <s v="DK1_MedSmall"/>
    <x v="3"/>
    <s v="GNR_BO_NGAS_E-101"/>
    <n v="0.37116749529850801"/>
    <n v="1.33620298307463"/>
  </r>
  <r>
    <x v="0"/>
    <x v="0"/>
    <x v="0"/>
    <x v="0"/>
    <x v="0"/>
    <s v="DK1_MedSmall"/>
    <x v="3"/>
    <s v="GNR_BO_NGAS_E-102"/>
    <n v="3.4674999999999997E-2"/>
    <n v="0.12483"/>
  </r>
  <r>
    <x v="0"/>
    <x v="0"/>
    <x v="0"/>
    <x v="0"/>
    <x v="0"/>
    <s v="DK1_MedSmall"/>
    <x v="3"/>
    <s v="GNR_BO_NGAS_E-104"/>
    <n v="8.6878086998382106E-2"/>
    <n v="0.31276111319417599"/>
  </r>
  <r>
    <x v="0"/>
    <x v="0"/>
    <x v="0"/>
    <x v="0"/>
    <x v="0"/>
    <s v="DK1_MedSmall"/>
    <x v="4"/>
    <s v="GNR_BO_STRW_E-102"/>
    <n v="9.2151764705882294E-2"/>
    <n v="0.33174635294117599"/>
  </r>
  <r>
    <x v="0"/>
    <x v="0"/>
    <x v="0"/>
    <x v="0"/>
    <x v="0"/>
    <s v="DK1_MedSmall"/>
    <x v="4"/>
    <s v="GNR_ST_STRW_BP_E-21"/>
    <n v="9.1249999999999998E-2"/>
    <n v="0.32850000000000001"/>
  </r>
  <r>
    <x v="0"/>
    <x v="0"/>
    <x v="0"/>
    <x v="0"/>
    <x v="0"/>
    <s v="DK1_MedSmall"/>
    <x v="1"/>
    <s v="GNR_EH_HEAT"/>
    <n v="0.1095"/>
    <n v="0.39419999999999999"/>
  </r>
  <r>
    <x v="0"/>
    <x v="0"/>
    <x v="0"/>
    <x v="0"/>
    <x v="0"/>
    <s v="DK1_MedSmall"/>
    <x v="1"/>
    <s v="GNR_GEO_HEAT_HO"/>
    <n v="7.2707999999999995E-2"/>
    <n v="0.2617488"/>
  </r>
  <r>
    <x v="0"/>
    <x v="0"/>
    <x v="0"/>
    <x v="0"/>
    <x v="0"/>
    <s v="DK1_MedSmall"/>
    <x v="5"/>
    <s v="GNR_BO_WOODCHI_E-100"/>
    <n v="1.8395999999999999E-2"/>
    <n v="6.6225599999999996E-2"/>
  </r>
  <r>
    <x v="0"/>
    <x v="0"/>
    <x v="0"/>
    <x v="0"/>
    <x v="0"/>
    <s v="DK1_MedSmall"/>
    <x v="5"/>
    <s v="GNR_BO_WOODCHI_E-110"/>
    <n v="0.13538181818181799"/>
    <n v="0.48737454545454501"/>
  </r>
  <r>
    <x v="0"/>
    <x v="0"/>
    <x v="0"/>
    <x v="0"/>
    <x v="0"/>
    <s v="DK1_Medium"/>
    <x v="2"/>
    <s v="GNR_BO_MSW_E-105"/>
    <n v="5.8400000000000001E-2"/>
    <n v="0.21024000000000001"/>
  </r>
  <r>
    <x v="0"/>
    <x v="0"/>
    <x v="0"/>
    <x v="0"/>
    <x v="0"/>
    <s v="DK1_Medium"/>
    <x v="2"/>
    <s v="GNR_ST_MSW_BP_E-21"/>
    <n v="2.14160163672945E-2"/>
    <n v="7.7097658922260406E-2"/>
  </r>
  <r>
    <x v="0"/>
    <x v="0"/>
    <x v="0"/>
    <x v="0"/>
    <x v="0"/>
    <s v="DK1_Medium"/>
    <x v="2"/>
    <s v="GNR_ST_MSW_BP_E-22"/>
    <n v="0.89147119585153201"/>
    <n v="3.2092963050655201"/>
  </r>
  <r>
    <x v="0"/>
    <x v="0"/>
    <x v="0"/>
    <x v="0"/>
    <x v="0"/>
    <s v="DK1_Medium"/>
    <x v="4"/>
    <s v="GNR_BO_STRW_E-102"/>
    <n v="2.0783529411764701E-2"/>
    <n v="7.48207058823529E-2"/>
  </r>
  <r>
    <x v="0"/>
    <x v="0"/>
    <x v="0"/>
    <x v="0"/>
    <x v="0"/>
    <s v="DK1_Medium"/>
    <x v="1"/>
    <s v="GNR_GEO_HEAT_HO"/>
    <n v="8.7599999999999997E-2"/>
    <n v="0.31535999999999997"/>
  </r>
  <r>
    <x v="0"/>
    <x v="0"/>
    <x v="0"/>
    <x v="0"/>
    <x v="0"/>
    <s v="DK1_Medium"/>
    <x v="5"/>
    <s v="GNR_ST_WOODCHI_BP_E-27"/>
    <n v="0.91237650411776305"/>
    <n v="3.28455541482395"/>
  </r>
  <r>
    <x v="0"/>
    <x v="0"/>
    <x v="0"/>
    <x v="0"/>
    <x v="0"/>
    <s v="DK1_Medium"/>
    <x v="5"/>
    <s v="GNR_ST_WOODCHI_BP_E-30"/>
    <n v="2.6396799999999998"/>
    <n v="9.5028480000000002"/>
  </r>
  <r>
    <x v="0"/>
    <x v="0"/>
    <x v="0"/>
    <x v="0"/>
    <x v="0"/>
    <s v="DK1_NoDH"/>
    <x v="6"/>
    <s v="GNR_PV_SUN"/>
    <n v="0.56990659346167905"/>
    <n v="2.05166373646205"/>
  </r>
  <r>
    <x v="0"/>
    <x v="0"/>
    <x v="0"/>
    <x v="0"/>
    <x v="0"/>
    <s v="DK1_NoDH"/>
    <x v="7"/>
    <s v="GNR_ROR_WTR"/>
    <n v="3.3449832846470198E-2"/>
    <n v="0.120419398247293"/>
  </r>
  <r>
    <x v="0"/>
    <x v="0"/>
    <x v="0"/>
    <x v="0"/>
    <x v="0"/>
    <s v="DK1_NoDH"/>
    <x v="8"/>
    <s v="GNR_WT_WIND_ONS"/>
    <n v="10.4267294285003"/>
    <n v="37.536225942601099"/>
  </r>
  <r>
    <x v="0"/>
    <x v="0"/>
    <x v="0"/>
    <x v="0"/>
    <x v="0"/>
    <s v="DK1_Offshore"/>
    <x v="8"/>
    <s v="GNR_WT_WIND_OFF"/>
    <n v="3.66971220000001"/>
    <n v="13.210963919999999"/>
  </r>
  <r>
    <x v="0"/>
    <x v="0"/>
    <x v="0"/>
    <x v="0"/>
    <x v="0"/>
    <s v="DK1_Rural"/>
    <x v="0"/>
    <s v="GNR_BO_COAL_E-91"/>
    <n v="9.6263736263736202E-2"/>
    <n v="0.34654945054945102"/>
  </r>
  <r>
    <x v="0"/>
    <x v="0"/>
    <x v="0"/>
    <x v="0"/>
    <x v="0"/>
    <s v="DK1_Rural"/>
    <x v="4"/>
    <s v="GNR_BO_STRW_E-100"/>
    <n v="1.1683212000000001"/>
    <n v="4.2059563200000003"/>
  </r>
  <r>
    <x v="0"/>
    <x v="0"/>
    <x v="0"/>
    <x v="0"/>
    <x v="0"/>
    <s v="DK1_Rural"/>
    <x v="4"/>
    <s v="GNR_BO_STRW_E-102"/>
    <n v="0.48918588235294103"/>
    <n v="1.7610691764705899"/>
  </r>
  <r>
    <x v="0"/>
    <x v="0"/>
    <x v="0"/>
    <x v="0"/>
    <x v="0"/>
    <s v="DK1_Rural"/>
    <x v="4"/>
    <s v="GNR_ST_STRW_BP_E-26"/>
    <n v="7.42634615384615E-2"/>
    <n v="0.26734846153846098"/>
  </r>
  <r>
    <x v="0"/>
    <x v="0"/>
    <x v="0"/>
    <x v="0"/>
    <x v="0"/>
    <s v="DK1_Rural"/>
    <x v="1"/>
    <s v="GNR_EH_HEAT"/>
    <n v="0.76220759999999999"/>
    <n v="2.7439473599999999"/>
  </r>
  <r>
    <x v="0"/>
    <x v="0"/>
    <x v="0"/>
    <x v="0"/>
    <x v="0"/>
    <s v="DK1_Rural"/>
    <x v="5"/>
    <s v="GNR_BO_WOODCHI_E-100"/>
    <n v="7.0044412506962903E-2"/>
    <n v="0.25215988502506598"/>
  </r>
  <r>
    <x v="0"/>
    <x v="0"/>
    <x v="0"/>
    <x v="0"/>
    <x v="0"/>
    <s v="DK1_Rural"/>
    <x v="5"/>
    <s v="GNR_BO_WOODCHI_E-105"/>
    <n v="3.6499999999999998E-2"/>
    <n v="0.13139999999999999"/>
  </r>
  <r>
    <x v="0"/>
    <x v="0"/>
    <x v="0"/>
    <x v="0"/>
    <x v="0"/>
    <s v="DK1_Rural"/>
    <x v="5"/>
    <s v="GNR_BO_WOODCHI_E-106"/>
    <n v="1.42040094339623E-2"/>
    <n v="5.1134433962264199E-2"/>
  </r>
  <r>
    <x v="0"/>
    <x v="0"/>
    <x v="0"/>
    <x v="0"/>
    <x v="0"/>
    <s v="DK1_Rural"/>
    <x v="5"/>
    <s v="GNR_BO_WOODCHI_E-107"/>
    <n v="6.3857943925233598E-2"/>
    <n v="0.229888598130841"/>
  </r>
  <r>
    <x v="0"/>
    <x v="0"/>
    <x v="0"/>
    <x v="0"/>
    <x v="0"/>
    <s v="DK1_Rural"/>
    <x v="5"/>
    <s v="GNR_BO_WOODCHI_E-108"/>
    <n v="2.1291666666666698E-2"/>
    <n v="7.6649999999999996E-2"/>
  </r>
  <r>
    <x v="0"/>
    <x v="0"/>
    <x v="0"/>
    <x v="0"/>
    <x v="0"/>
    <s v="DK1_Rural"/>
    <x v="5"/>
    <s v="GNR_BO_WOODCHI_E-110"/>
    <n v="0.873114038100956"/>
    <n v="3.1432105371634398"/>
  </r>
  <r>
    <x v="0"/>
    <x v="0"/>
    <x v="0"/>
    <x v="0"/>
    <x v="0"/>
    <s v="DK1_Rural"/>
    <x v="5"/>
    <s v="GNR_BO_WOODCHI_E-112"/>
    <n v="0.14860714285714299"/>
    <n v="0.53498571428571495"/>
  </r>
  <r>
    <x v="0"/>
    <x v="0"/>
    <x v="0"/>
    <x v="0"/>
    <x v="0"/>
    <s v="DK1_Rural"/>
    <x v="5"/>
    <s v="GNR_BO_WOODCHI_E-113"/>
    <n v="3.6884210526315797E-2"/>
    <n v="0.13278315789473699"/>
  </r>
  <r>
    <x v="0"/>
    <x v="0"/>
    <x v="0"/>
    <x v="0"/>
    <x v="0"/>
    <s v="DK1_Rural"/>
    <x v="5"/>
    <s v="GNR_BO_WOODCHI_E-114"/>
    <n v="0.15996521739130401"/>
    <n v="0.57587478260869596"/>
  </r>
  <r>
    <x v="0"/>
    <x v="0"/>
    <x v="0"/>
    <x v="0"/>
    <x v="0"/>
    <s v="DK1_Rural"/>
    <x v="5"/>
    <s v="GNR_BO_WOODCHI_E-117"/>
    <n v="0.14974358974359001"/>
    <n v="0.53907692307692301"/>
  </r>
  <r>
    <x v="0"/>
    <x v="0"/>
    <x v="0"/>
    <x v="0"/>
    <x v="0"/>
    <s v="DK1_Rural"/>
    <x v="5"/>
    <s v="GNR_BO_WOODCHI_E-120"/>
    <n v="0.17519999999999999"/>
    <n v="0.63071999999999995"/>
  </r>
  <r>
    <x v="0"/>
    <x v="0"/>
    <x v="0"/>
    <x v="0"/>
    <x v="0"/>
    <s v="DK1_Rural"/>
    <x v="5"/>
    <s v="GNR_ST_WOODCHI_BP_E-27"/>
    <n v="8.4268580005579505E-2"/>
    <n v="0.30336688802008599"/>
  </r>
  <r>
    <x v="0"/>
    <x v="0"/>
    <x v="0"/>
    <x v="0"/>
    <x v="0"/>
    <s v="DK1_Rural"/>
    <x v="9"/>
    <s v="GNR_BO_WOODWST_E-100"/>
    <n v="0.26937"/>
    <n v="0.96973200000000004"/>
  </r>
  <r>
    <x v="0"/>
    <x v="0"/>
    <x v="0"/>
    <x v="0"/>
    <x v="0"/>
    <s v="DK1_Rural"/>
    <x v="9"/>
    <s v="GNR_BO_WOODWST_E-113"/>
    <n v="3.0736842105263201E-2"/>
    <n v="0.110652631578947"/>
  </r>
  <r>
    <x v="0"/>
    <x v="0"/>
    <x v="0"/>
    <x v="0"/>
    <x v="0"/>
    <s v="DK1_Rural"/>
    <x v="9"/>
    <s v="GNR_BO_WOODWST_E-84"/>
    <n v="6.0589999999999998E-2"/>
    <n v="0.21812400000000001"/>
  </r>
  <r>
    <x v="0"/>
    <x v="0"/>
    <x v="0"/>
    <x v="0"/>
    <x v="0"/>
    <s v="DK1_Rural"/>
    <x v="9"/>
    <s v="GNR_BO_WOODWST_E-86"/>
    <n v="3.0558139534883701E-2"/>
    <n v="0.110009302325581"/>
  </r>
  <r>
    <x v="0"/>
    <x v="0"/>
    <x v="0"/>
    <x v="0"/>
    <x v="0"/>
    <s v="DK1_Rural"/>
    <x v="9"/>
    <s v="GNR_BO_WOODWST_E-89"/>
    <n v="6.8898876404494394E-2"/>
    <n v="0.24803595505618001"/>
  </r>
  <r>
    <x v="0"/>
    <x v="0"/>
    <x v="0"/>
    <x v="0"/>
    <x v="0"/>
    <s v="DK1_Rural"/>
    <x v="9"/>
    <s v="GNR_BO_WOODWST_E-90"/>
    <n v="8.7599999999999997E-2"/>
    <n v="0.31535999999999997"/>
  </r>
  <r>
    <x v="0"/>
    <x v="0"/>
    <x v="0"/>
    <x v="0"/>
    <x v="0"/>
    <s v="DK1_Rural"/>
    <x v="9"/>
    <s v="GNR_BO_WOODWST_E-91"/>
    <n v="3.0323076923076901E-2"/>
    <n v="0.109163076923077"/>
  </r>
  <r>
    <x v="0"/>
    <x v="0"/>
    <x v="0"/>
    <x v="0"/>
    <x v="0"/>
    <s v="DK1_Rural"/>
    <x v="9"/>
    <s v="GNR_BO_WOODWST_E-94"/>
    <n v="8.6668085106383005E-3"/>
    <n v="3.1200510638297901E-2"/>
  </r>
  <r>
    <x v="0"/>
    <x v="0"/>
    <x v="0"/>
    <x v="0"/>
    <x v="0"/>
    <s v="DK1_Small"/>
    <x v="2"/>
    <s v="GNR_BO_MSW_E-104"/>
    <n v="3.3373217693759803E-2"/>
    <n v="0.120143583697535"/>
  </r>
  <r>
    <x v="0"/>
    <x v="0"/>
    <x v="0"/>
    <x v="0"/>
    <x v="0"/>
    <s v="DK1_Small"/>
    <x v="2"/>
    <s v="GNR_BO_MSW_E-105"/>
    <n v="0.25407387961760902"/>
    <n v="0.91466596662339394"/>
  </r>
  <r>
    <x v="0"/>
    <x v="0"/>
    <x v="0"/>
    <x v="0"/>
    <x v="0"/>
    <s v="DK1_Small"/>
    <x v="1"/>
    <s v="GNR_EH_HEAT"/>
    <n v="0.12264"/>
    <n v="0.44150400000000001"/>
  </r>
  <r>
    <x v="0"/>
    <x v="0"/>
    <x v="0"/>
    <x v="0"/>
    <x v="0"/>
    <s v="DK1_Small"/>
    <x v="9"/>
    <s v="GNR_BO_WOODWST_E-100"/>
    <n v="1.533E-2"/>
    <n v="5.5188000000000001E-2"/>
  </r>
  <r>
    <x v="0"/>
    <x v="0"/>
    <x v="0"/>
    <x v="0"/>
    <x v="0"/>
    <s v="DK1_Small"/>
    <x v="9"/>
    <s v="GNR_BO_WOODWST_E-89"/>
    <n v="1.7500314606741601E-2"/>
    <n v="6.3001132584269606E-2"/>
  </r>
  <r>
    <x v="0"/>
    <x v="0"/>
    <x v="0"/>
    <x v="0"/>
    <x v="1"/>
    <s v="DK2_Large"/>
    <x v="0"/>
    <s v="GNR_ST_COAL_EXT_E-42"/>
    <n v="10.4285714285714"/>
    <n v="37.542857142857102"/>
  </r>
  <r>
    <x v="0"/>
    <x v="0"/>
    <x v="0"/>
    <x v="0"/>
    <x v="1"/>
    <s v="DK2_Large"/>
    <x v="2"/>
    <s v="GNR_ST_MSW_BP_E-16"/>
    <n v="1.2598478428442801"/>
    <n v="4.5354522342393899"/>
  </r>
  <r>
    <x v="0"/>
    <x v="0"/>
    <x v="0"/>
    <x v="0"/>
    <x v="1"/>
    <s v="DK2_Large"/>
    <x v="2"/>
    <s v="GNR_ST_MSW_BP_E-20"/>
    <n v="1.7081999999999999"/>
    <n v="6.1495200000000096"/>
  </r>
  <r>
    <x v="0"/>
    <x v="0"/>
    <x v="0"/>
    <x v="0"/>
    <x v="1"/>
    <s v="DK2_Large"/>
    <x v="2"/>
    <s v="GNR_ST_MSW_BP_E-21"/>
    <n v="0.57148571428571504"/>
    <n v="2.05734857142857"/>
  </r>
  <r>
    <x v="0"/>
    <x v="0"/>
    <x v="0"/>
    <x v="0"/>
    <x v="1"/>
    <s v="DK2_Large"/>
    <x v="2"/>
    <s v="GNR_ST_MSW_BP_E-27"/>
    <n v="0.62942222222222399"/>
    <n v="2.2659199999999999"/>
  </r>
  <r>
    <x v="0"/>
    <x v="0"/>
    <x v="0"/>
    <x v="0"/>
    <x v="1"/>
    <s v="DK2_Large"/>
    <x v="3"/>
    <s v="GNR_ST_NGAS_BP_E-39"/>
    <n v="0.21169488288735899"/>
    <n v="0.762101578394491"/>
  </r>
  <r>
    <x v="0"/>
    <x v="0"/>
    <x v="0"/>
    <x v="0"/>
    <x v="1"/>
    <s v="DK2_Large"/>
    <x v="1"/>
    <s v="GNR_GEO_HEAT_HO"/>
    <n v="0.12264"/>
    <n v="0.44150400000000001"/>
  </r>
  <r>
    <x v="0"/>
    <x v="0"/>
    <x v="0"/>
    <x v="0"/>
    <x v="1"/>
    <s v="DK2_Large"/>
    <x v="5"/>
    <s v="GNR_ST_WOODCHI_BP_E-27"/>
    <n v="0.48666666666666802"/>
    <n v="1.75200000000001"/>
  </r>
  <r>
    <x v="0"/>
    <x v="0"/>
    <x v="0"/>
    <x v="0"/>
    <x v="1"/>
    <s v="DK2_Large"/>
    <x v="9"/>
    <s v="GNR_BO_WOODWST_E-90"/>
    <n v="6.4824000000000007E-2"/>
    <n v="0.2333664"/>
  </r>
  <r>
    <x v="0"/>
    <x v="0"/>
    <x v="0"/>
    <x v="0"/>
    <x v="1"/>
    <s v="DK2_MedSmall"/>
    <x v="2"/>
    <s v="GNR_BO_MSW_E-105"/>
    <n v="0.141828571428571"/>
    <n v="0.51058285714285701"/>
  </r>
  <r>
    <x v="0"/>
    <x v="0"/>
    <x v="0"/>
    <x v="0"/>
    <x v="1"/>
    <s v="DK2_MedSmall"/>
    <x v="2"/>
    <s v="GNR_ST_MSW_BP_E-28"/>
    <n v="6.4002919714628001E-2"/>
    <n v="0.23041051097266099"/>
  </r>
  <r>
    <x v="0"/>
    <x v="0"/>
    <x v="0"/>
    <x v="0"/>
    <x v="1"/>
    <s v="DK2_MedSmall"/>
    <x v="4"/>
    <s v="GNR_BO_STRW_E-100"/>
    <n v="0.12956039999999999"/>
    <n v="0.46641744000000002"/>
  </r>
  <r>
    <x v="0"/>
    <x v="0"/>
    <x v="0"/>
    <x v="0"/>
    <x v="1"/>
    <s v="DK2_MedSmall"/>
    <x v="4"/>
    <s v="GNR_BO_STRW_E-102"/>
    <n v="8.5882352941176396E-2"/>
    <n v="0.309176470588235"/>
  </r>
  <r>
    <x v="0"/>
    <x v="0"/>
    <x v="0"/>
    <x v="0"/>
    <x v="1"/>
    <s v="DK2_MedSmall"/>
    <x v="1"/>
    <s v="GNR_EH_HEAT"/>
    <n v="1.7520000000000001E-2"/>
    <n v="6.3072000000000003E-2"/>
  </r>
  <r>
    <x v="0"/>
    <x v="0"/>
    <x v="0"/>
    <x v="0"/>
    <x v="1"/>
    <s v="DK2_MedSmall"/>
    <x v="5"/>
    <s v="GNR_BO_WOODCHI_E-112"/>
    <n v="0.10099402097594599"/>
    <n v="0.363578475513407"/>
  </r>
  <r>
    <x v="0"/>
    <x v="0"/>
    <x v="0"/>
    <x v="0"/>
    <x v="1"/>
    <s v="DK2_MedSmall"/>
    <x v="5"/>
    <s v="GNR_BO_WOODCHI_E-118"/>
    <n v="7.86915254237288E-2"/>
    <n v="0.28328949152542399"/>
  </r>
  <r>
    <x v="0"/>
    <x v="0"/>
    <x v="0"/>
    <x v="0"/>
    <x v="1"/>
    <s v="DK2_Medium"/>
    <x v="0"/>
    <s v="GNR_ST_COAL_BP_E-38"/>
    <n v="2.9174274864257499"/>
    <n v="10.502738951132701"/>
  </r>
  <r>
    <x v="0"/>
    <x v="0"/>
    <x v="0"/>
    <x v="0"/>
    <x v="1"/>
    <s v="DK2_Medium"/>
    <x v="0"/>
    <s v="GNR_ST_COAL_EXT_E-41"/>
    <n v="8.9826787776458694"/>
    <n v="32.337643599525201"/>
  </r>
  <r>
    <x v="0"/>
    <x v="0"/>
    <x v="0"/>
    <x v="0"/>
    <x v="1"/>
    <s v="DK2_Medium"/>
    <x v="1"/>
    <s v="GNR_EH_HEAT"/>
    <n v="1.7520000000000001E-2"/>
    <n v="6.3072000000000003E-2"/>
  </r>
  <r>
    <x v="0"/>
    <x v="0"/>
    <x v="0"/>
    <x v="0"/>
    <x v="1"/>
    <s v="DK2_Medium"/>
    <x v="9"/>
    <s v="GNR_BO_WOODWST_E-82"/>
    <n v="7.1664634146341496E-3"/>
    <n v="2.5799268292682899E-2"/>
  </r>
  <r>
    <x v="0"/>
    <x v="0"/>
    <x v="0"/>
    <x v="0"/>
    <x v="1"/>
    <s v="DK2_NoDH"/>
    <x v="6"/>
    <s v="GNR_PV_SUN"/>
    <n v="0.29146560783759401"/>
    <n v="1.0492761882153401"/>
  </r>
  <r>
    <x v="0"/>
    <x v="0"/>
    <x v="0"/>
    <x v="0"/>
    <x v="1"/>
    <s v="DK2_NoDH"/>
    <x v="7"/>
    <s v="GNR_ROR_WTR"/>
    <n v="7.2297909610526402E-5"/>
    <n v="2.6027247459789498E-4"/>
  </r>
  <r>
    <x v="0"/>
    <x v="0"/>
    <x v="0"/>
    <x v="0"/>
    <x v="1"/>
    <s v="DK2_NoDH"/>
    <x v="8"/>
    <s v="GNR_WT_WIND_ONS"/>
    <n v="1.8714861274999901"/>
    <n v="6.7373500589999802"/>
  </r>
  <r>
    <x v="0"/>
    <x v="0"/>
    <x v="0"/>
    <x v="0"/>
    <x v="1"/>
    <s v="DK2_Offshore"/>
    <x v="8"/>
    <s v="GNR_WT_WIND_OFF"/>
    <n v="1.946472"/>
    <n v="7.0072992000000198"/>
  </r>
  <r>
    <x v="0"/>
    <x v="0"/>
    <x v="0"/>
    <x v="0"/>
    <x v="1"/>
    <s v="DK2_Rural"/>
    <x v="0"/>
    <s v="GNR_ST_COAL_BP_E-35"/>
    <n v="0.92605714285714202"/>
    <n v="3.33380571428571"/>
  </r>
  <r>
    <x v="0"/>
    <x v="0"/>
    <x v="0"/>
    <x v="0"/>
    <x v="1"/>
    <s v="DK2_Rural"/>
    <x v="2"/>
    <s v="GNR_BO_MSW_E-105"/>
    <n v="5.8400000000000001E-2"/>
    <n v="0.21024000000000001"/>
  </r>
  <r>
    <x v="0"/>
    <x v="0"/>
    <x v="0"/>
    <x v="0"/>
    <x v="1"/>
    <s v="DK2_Rural"/>
    <x v="4"/>
    <s v="GNR_BO_STRW_E-100"/>
    <n v="0.457103645547555"/>
    <n v="1.6455731239711999"/>
  </r>
  <r>
    <x v="0"/>
    <x v="0"/>
    <x v="0"/>
    <x v="0"/>
    <x v="1"/>
    <s v="DK2_Rural"/>
    <x v="4"/>
    <s v="GNR_BO_STRW_E-102"/>
    <n v="0.36958768162340999"/>
    <n v="1.3305156538442799"/>
  </r>
  <r>
    <x v="0"/>
    <x v="0"/>
    <x v="0"/>
    <x v="0"/>
    <x v="1"/>
    <s v="DK2_Rural"/>
    <x v="4"/>
    <s v="GNR_ST_STRW_BP_E-27"/>
    <n v="0.24284666666666599"/>
    <n v="0.87424800000000003"/>
  </r>
  <r>
    <x v="0"/>
    <x v="0"/>
    <x v="0"/>
    <x v="0"/>
    <x v="1"/>
    <s v="DK2_Rural"/>
    <x v="4"/>
    <s v="GNR_ST_STRW_BP_E-28"/>
    <n v="0.347379310344828"/>
    <n v="1.2505655172413801"/>
  </r>
  <r>
    <x v="0"/>
    <x v="0"/>
    <x v="0"/>
    <x v="0"/>
    <x v="1"/>
    <s v="DK2_Rural"/>
    <x v="1"/>
    <s v="GNR_EH_HEAT"/>
    <n v="0.14454"/>
    <n v="0.52034400000000003"/>
  </r>
  <r>
    <x v="0"/>
    <x v="0"/>
    <x v="0"/>
    <x v="0"/>
    <x v="1"/>
    <s v="DK2_Rural"/>
    <x v="9"/>
    <s v="GNR_BO_WOODWST_E-100"/>
    <n v="5.5188000000000001E-2"/>
    <n v="0.19867679999999999"/>
  </r>
  <r>
    <x v="0"/>
    <x v="0"/>
    <x v="0"/>
    <x v="0"/>
    <x v="1"/>
    <s v="DK2_Small"/>
    <x v="2"/>
    <s v="GNR_BO_MSW_E-105"/>
    <n v="2.7531428571428599E-2"/>
    <n v="9.91131428571429E-2"/>
  </r>
  <r>
    <x v="0"/>
    <x v="0"/>
    <x v="0"/>
    <x v="0"/>
    <x v="1"/>
    <s v="DK2_Small"/>
    <x v="3"/>
    <s v="GNR_BO_NGAS_E-101"/>
    <n v="2.9700456390231E-2"/>
    <n v="0.10692164300483099"/>
  </r>
  <r>
    <x v="0"/>
    <x v="0"/>
    <x v="0"/>
    <x v="0"/>
    <x v="1"/>
    <s v="DK2_Small"/>
    <x v="3"/>
    <s v="GNR_BO_NGAS_E-104"/>
    <n v="3.5974556774871901E-2"/>
    <n v="0.12950840438953901"/>
  </r>
  <r>
    <x v="0"/>
    <x v="0"/>
    <x v="0"/>
    <x v="0"/>
    <x v="1"/>
    <s v="DK2_Small"/>
    <x v="4"/>
    <s v="GNR_BO_STRW_E-100"/>
    <n v="5.6939999999999998E-2"/>
    <n v="0.204984"/>
  </r>
  <r>
    <x v="0"/>
    <x v="0"/>
    <x v="0"/>
    <x v="1"/>
    <x v="2"/>
    <s v="EE_Enefit"/>
    <x v="10"/>
    <s v="ENEFIT_ST_RETORT-GAS_CND"/>
    <n v="1.2263999999999999"/>
    <n v="4.4150400000000003"/>
  </r>
  <r>
    <x v="0"/>
    <x v="0"/>
    <x v="0"/>
    <x v="1"/>
    <x v="2"/>
    <s v="EE_Industry"/>
    <x v="10"/>
    <s v="GNR_ENG_RETORT-GAS_E-44"/>
    <n v="1.91046831955923"/>
    <n v="6.8776859504132197"/>
  </r>
  <r>
    <x v="0"/>
    <x v="0"/>
    <x v="0"/>
    <x v="1"/>
    <x v="2"/>
    <s v="EE_Industry"/>
    <x v="9"/>
    <s v="GNR_ST_WOODWST_BP_E-53"/>
    <n v="0.418815311320755"/>
    <n v="1.50773512075472"/>
  </r>
  <r>
    <x v="0"/>
    <x v="0"/>
    <x v="0"/>
    <x v="1"/>
    <x v="2"/>
    <s v="EE_Kohtla_Jarve"/>
    <x v="3"/>
    <s v="GNR_ENG_NGAS_EXT_E-44"/>
    <n v="0.30989447774793"/>
    <n v="1.1156201198925499"/>
  </r>
  <r>
    <x v="0"/>
    <x v="0"/>
    <x v="0"/>
    <x v="1"/>
    <x v="2"/>
    <s v="EE_Kohtla_Jarve"/>
    <x v="11"/>
    <s v="GNR_BO_SHALE_HO_E-34"/>
    <n v="0.54569792216347401"/>
    <n v="1.96451251978851"/>
  </r>
  <r>
    <x v="0"/>
    <x v="0"/>
    <x v="0"/>
    <x v="1"/>
    <x v="2"/>
    <s v="EE_Narva"/>
    <x v="11"/>
    <s v="AUVERE_ST_SHALE_CND"/>
    <n v="6.0383396226415096"/>
    <n v="21.738022641509399"/>
  </r>
  <r>
    <x v="0"/>
    <x v="0"/>
    <x v="0"/>
    <x v="1"/>
    <x v="2"/>
    <s v="EE_Narva"/>
    <x v="11"/>
    <s v="NARVA-11_ST_SHALE_EXT"/>
    <n v="3.6974126896381199"/>
    <n v="13.3106856826972"/>
  </r>
  <r>
    <x v="0"/>
    <x v="0"/>
    <x v="0"/>
    <x v="1"/>
    <x v="2"/>
    <s v="EE_Narva"/>
    <x v="11"/>
    <s v="NARVA-4_ST_SHALE_CND"/>
    <n v="5.3842222528324803E-2"/>
    <n v="0.19383200110196899"/>
  </r>
  <r>
    <x v="0"/>
    <x v="0"/>
    <x v="0"/>
    <x v="1"/>
    <x v="2"/>
    <s v="EE_Narva"/>
    <x v="11"/>
    <s v="NARVA-6_ST_SHALE_CND"/>
    <n v="3.1102834395466801E-2"/>
    <n v="0.111970203823681"/>
  </r>
  <r>
    <x v="0"/>
    <x v="0"/>
    <x v="0"/>
    <x v="1"/>
    <x v="2"/>
    <s v="EE_Narva"/>
    <x v="11"/>
    <s v="NARVA-8_ST_SHALE_CND"/>
    <n v="3.3804141114728101"/>
    <n v="12.1694908013021"/>
  </r>
  <r>
    <x v="0"/>
    <x v="0"/>
    <x v="0"/>
    <x v="1"/>
    <x v="2"/>
    <s v="EE_Parnu"/>
    <x v="12"/>
    <s v="PARNU-1_ST_WOOD_BP"/>
    <n v="0.31315957515981002"/>
    <n v="1.1273744705753099"/>
  </r>
  <r>
    <x v="0"/>
    <x v="0"/>
    <x v="0"/>
    <x v="1"/>
    <x v="2"/>
    <s v="EE_Rural"/>
    <x v="7"/>
    <s v="GNR_ROR_WTR"/>
    <n v="0.03"/>
    <n v="0.108"/>
  </r>
  <r>
    <x v="0"/>
    <x v="0"/>
    <x v="0"/>
    <x v="1"/>
    <x v="2"/>
    <s v="EE_Rural"/>
    <x v="8"/>
    <s v="GNR_WT_WIND_ONS"/>
    <n v="0.78061100000000005"/>
    <n v="2.8101995999999998"/>
  </r>
  <r>
    <x v="0"/>
    <x v="0"/>
    <x v="0"/>
    <x v="1"/>
    <x v="2"/>
    <s v="EE_Rural"/>
    <x v="9"/>
    <s v="EBAVERE_ST_WOODWST_BP"/>
    <n v="0.34578947368421098"/>
    <n v="1.24484210526316"/>
  </r>
  <r>
    <x v="0"/>
    <x v="0"/>
    <x v="0"/>
    <x v="1"/>
    <x v="2"/>
    <s v="EE_Tallinn"/>
    <x v="2"/>
    <s v="IRU_ST_MSW_BP"/>
    <n v="0.49640000000000001"/>
    <n v="1.78704"/>
  </r>
  <r>
    <x v="0"/>
    <x v="0"/>
    <x v="0"/>
    <x v="1"/>
    <x v="2"/>
    <s v="EE_Tallinn"/>
    <x v="3"/>
    <s v="GNR_BO_NGAS_HO_E-85"/>
    <n v="0.67946285014589503"/>
    <n v="2.4460662605252201"/>
  </r>
  <r>
    <x v="0"/>
    <x v="0"/>
    <x v="0"/>
    <x v="1"/>
    <x v="2"/>
    <s v="EE_Tallinn"/>
    <x v="3"/>
    <s v="GNR_ENG_NGAS_EXT_E-44"/>
    <n v="2.9830119375573901E-2"/>
    <n v="0.107388429752066"/>
  </r>
  <r>
    <x v="0"/>
    <x v="0"/>
    <x v="0"/>
    <x v="1"/>
    <x v="2"/>
    <s v="EE_Tallinn"/>
    <x v="12"/>
    <s v="MUSTAMAE_ST_WOOD_BP"/>
    <n v="0.409435096826401"/>
    <n v="1.4739663485750401"/>
  </r>
  <r>
    <x v="0"/>
    <x v="0"/>
    <x v="0"/>
    <x v="1"/>
    <x v="2"/>
    <s v="EE_Tallinn"/>
    <x v="12"/>
    <s v="VAO-1_ST_WOOD_BP"/>
    <n v="0.63795658572522795"/>
    <n v="2.2966437086108198"/>
  </r>
  <r>
    <x v="0"/>
    <x v="0"/>
    <x v="0"/>
    <x v="1"/>
    <x v="2"/>
    <s v="EE_Tallinn"/>
    <x v="12"/>
    <s v="VAO-2_ST_WOOD_BP"/>
    <n v="0.72365242329204404"/>
    <n v="2.60514872385136"/>
  </r>
  <r>
    <x v="0"/>
    <x v="0"/>
    <x v="0"/>
    <x v="1"/>
    <x v="2"/>
    <s v="EE_Tartu"/>
    <x v="3"/>
    <s v="GNR_BO_NGAS_HO_E-85"/>
    <n v="0.114746699054338"/>
    <n v="0.41308811659561601"/>
  </r>
  <r>
    <x v="0"/>
    <x v="0"/>
    <x v="0"/>
    <x v="1"/>
    <x v="2"/>
    <s v="EE_Tartu"/>
    <x v="12"/>
    <s v="TARTU-1_ST_WOOD_BP"/>
    <n v="0.66652207152593301"/>
    <n v="2.39947945749336"/>
  </r>
  <r>
    <x v="0"/>
    <x v="0"/>
    <x v="0"/>
    <x v="2"/>
    <x v="3"/>
    <s v="FIN_EL"/>
    <x v="0"/>
    <s v="GEXT_COAL_KYMIJARVI"/>
    <n v="3.0874305947201899"/>
    <n v="11.114750140992699"/>
  </r>
  <r>
    <x v="0"/>
    <x v="0"/>
    <x v="0"/>
    <x v="2"/>
    <x v="3"/>
    <s v="FIN_EL"/>
    <x v="13"/>
    <s v="GHOB_PEAT"/>
    <n v="0.198671527215386"/>
    <n v="0.71521749797539003"/>
  </r>
  <r>
    <x v="0"/>
    <x v="0"/>
    <x v="0"/>
    <x v="2"/>
    <x v="3"/>
    <s v="FIN_EL"/>
    <x v="5"/>
    <s v="GHOB_WOODCHIPS"/>
    <n v="0.16585568409305401"/>
    <n v="0.59708046273499604"/>
  </r>
  <r>
    <x v="0"/>
    <x v="0"/>
    <x v="0"/>
    <x v="2"/>
    <x v="3"/>
    <s v="FIN_EL"/>
    <x v="9"/>
    <s v="GBPR_WOODWASTE_FINEL"/>
    <n v="3.08590909090909"/>
    <n v="11.1092727272727"/>
  </r>
  <r>
    <x v="0"/>
    <x v="0"/>
    <x v="0"/>
    <x v="2"/>
    <x v="3"/>
    <s v="FIN_ESPOO"/>
    <x v="0"/>
    <s v="GBPR_COAL_SUOMENOJA"/>
    <n v="2.17526795987532"/>
    <n v="7.8309646555511296"/>
  </r>
  <r>
    <x v="0"/>
    <x v="0"/>
    <x v="0"/>
    <x v="2"/>
    <x v="3"/>
    <s v="FIN_ESPOO"/>
    <x v="3"/>
    <s v="GBPR_NATGAS_SUOMENOJA"/>
    <n v="4.2583952985871802E-2"/>
    <n v="0.15330223074913801"/>
  </r>
  <r>
    <x v="0"/>
    <x v="0"/>
    <x v="0"/>
    <x v="2"/>
    <x v="3"/>
    <s v="FIN_ESPOO"/>
    <x v="3"/>
    <s v="GBPR_NATGAS_SUOMENOJA2"/>
    <n v="3.0570186059475901"/>
    <n v="11.0052669814113"/>
  </r>
  <r>
    <x v="0"/>
    <x v="0"/>
    <x v="0"/>
    <x v="2"/>
    <x v="3"/>
    <s v="FIN_ESPOO"/>
    <x v="3"/>
    <s v="GHOB_NATGAS"/>
    <n v="0.40203395083504001"/>
    <n v="1.44732222300614"/>
  </r>
  <r>
    <x v="0"/>
    <x v="0"/>
    <x v="0"/>
    <x v="2"/>
    <x v="3"/>
    <s v="FIN_ESPOO"/>
    <x v="14"/>
    <s v="GHOB_NATGAS_EXETS"/>
    <n v="0.15110004039941899"/>
    <n v="0.54396014543790905"/>
  </r>
  <r>
    <x v="0"/>
    <x v="0"/>
    <x v="0"/>
    <x v="2"/>
    <x v="3"/>
    <s v="FIN_GAS"/>
    <x v="3"/>
    <s v="GBPR_NATGAS_GASAREA"/>
    <n v="0.25480211329928198"/>
    <n v="0.91728760787741703"/>
  </r>
  <r>
    <x v="0"/>
    <x v="0"/>
    <x v="0"/>
    <x v="2"/>
    <x v="3"/>
    <s v="FIN_GAS"/>
    <x v="14"/>
    <s v="GHOB_NATGAS_EXETS"/>
    <n v="1.62073194178903"/>
    <n v="5.8346349904404997"/>
  </r>
  <r>
    <x v="0"/>
    <x v="0"/>
    <x v="0"/>
    <x v="2"/>
    <x v="3"/>
    <s v="FIN_HELS"/>
    <x v="0"/>
    <s v="GBPR_COAL_MARTINLAAKSO"/>
    <n v="3.8025462757134898"/>
    <n v="13.689166592568601"/>
  </r>
  <r>
    <x v="0"/>
    <x v="0"/>
    <x v="0"/>
    <x v="2"/>
    <x v="3"/>
    <s v="FIN_HELS"/>
    <x v="0"/>
    <s v="GBPR_COAL_SALMISAARI"/>
    <n v="3.23867297182642"/>
    <n v="11.6592226985751"/>
  </r>
  <r>
    <x v="0"/>
    <x v="0"/>
    <x v="0"/>
    <x v="2"/>
    <x v="3"/>
    <s v="FIN_HELS"/>
    <x v="0"/>
    <s v="GHOB_COAL"/>
    <n v="2.3406061670784202"/>
    <n v="8.4261822014823"/>
  </r>
  <r>
    <x v="0"/>
    <x v="0"/>
    <x v="0"/>
    <x v="2"/>
    <x v="3"/>
    <s v="FIN_HELS"/>
    <x v="3"/>
    <s v="GBPR_NATGAS_MARTINLAAKSOGT"/>
    <n v="0.228502610151434"/>
    <n v="0.82260939654516396"/>
  </r>
  <r>
    <x v="0"/>
    <x v="0"/>
    <x v="0"/>
    <x v="2"/>
    <x v="3"/>
    <s v="FIN_HELS"/>
    <x v="3"/>
    <s v="GBPR_NATGAS_VOUSAARI"/>
    <n v="1.95984156396553"/>
    <n v="7.0554296302759196"/>
  </r>
  <r>
    <x v="0"/>
    <x v="0"/>
    <x v="0"/>
    <x v="2"/>
    <x v="3"/>
    <s v="FIN_HELS"/>
    <x v="3"/>
    <s v="GEXT_NATGAS_VOUSAARI"/>
    <n v="7.7295976576954901"/>
    <n v="27.826551567703799"/>
  </r>
  <r>
    <x v="0"/>
    <x v="0"/>
    <x v="0"/>
    <x v="2"/>
    <x v="3"/>
    <s v="FIN_HELS"/>
    <x v="3"/>
    <s v="GHOB_NATGAS"/>
    <n v="0.45915022834026498"/>
    <n v="1.65294082202495"/>
  </r>
  <r>
    <x v="0"/>
    <x v="0"/>
    <x v="0"/>
    <x v="2"/>
    <x v="3"/>
    <s v="FIN_HP"/>
    <x v="0"/>
    <s v="GBPR_COAL_NAANTALI"/>
    <n v="5.3696259127093002"/>
    <n v="19.330653285753499"/>
  </r>
  <r>
    <x v="0"/>
    <x v="0"/>
    <x v="0"/>
    <x v="2"/>
    <x v="3"/>
    <s v="FIN_HP"/>
    <x v="13"/>
    <s v="GHOB_PEAT"/>
    <n v="5.10869641410992E-2"/>
    <n v="0.183913070907957"/>
  </r>
  <r>
    <x v="0"/>
    <x v="0"/>
    <x v="0"/>
    <x v="2"/>
    <x v="3"/>
    <s v="FIN_HP"/>
    <x v="1"/>
    <s v="GHOB_WASTEHEAT"/>
    <n v="4.6126373626373403E-2"/>
    <n v="0.166054945054944"/>
  </r>
  <r>
    <x v="0"/>
    <x v="0"/>
    <x v="0"/>
    <x v="2"/>
    <x v="3"/>
    <s v="FIN_HP"/>
    <x v="5"/>
    <s v="GHOB_WOODCHIPS"/>
    <n v="0.166769370138589"/>
    <n v="0.600369732498922"/>
  </r>
  <r>
    <x v="0"/>
    <x v="0"/>
    <x v="0"/>
    <x v="2"/>
    <x v="3"/>
    <s v="FIN_HP"/>
    <x v="9"/>
    <s v="GHOB_WOODWASTE"/>
    <n v="0.30402352941176503"/>
    <n v="1.0944847058823499"/>
  </r>
  <r>
    <x v="0"/>
    <x v="0"/>
    <x v="0"/>
    <x v="2"/>
    <x v="3"/>
    <s v="FIN_OTHER"/>
    <x v="0"/>
    <s v="GBPR_COAL"/>
    <n v="7.3361401249461305E-2"/>
    <n v="0.26410104449806099"/>
  </r>
  <r>
    <x v="0"/>
    <x v="0"/>
    <x v="0"/>
    <x v="2"/>
    <x v="3"/>
    <s v="FIN_OTHER"/>
    <x v="13"/>
    <s v="GBPR_PEAT"/>
    <n v="8.2133973524135708"/>
    <n v="29.5682304686888"/>
  </r>
  <r>
    <x v="0"/>
    <x v="0"/>
    <x v="0"/>
    <x v="2"/>
    <x v="3"/>
    <s v="FIN_OTHER"/>
    <x v="13"/>
    <s v="GEXT_PEAT_KELJONLAHTI"/>
    <n v="2.5336463000173901"/>
    <n v="9.1211266800626092"/>
  </r>
  <r>
    <x v="0"/>
    <x v="0"/>
    <x v="0"/>
    <x v="2"/>
    <x v="3"/>
    <s v="FIN_OTHER"/>
    <x v="13"/>
    <s v="GEXT_PEAT_SEVO"/>
    <n v="2.2718673465100601"/>
    <n v="8.1787224474362201"/>
  </r>
  <r>
    <x v="0"/>
    <x v="0"/>
    <x v="0"/>
    <x v="2"/>
    <x v="3"/>
    <s v="FIN_OTHER"/>
    <x v="13"/>
    <s v="GEXT_PEAT_TOPPILA"/>
    <n v="1.49587973432761"/>
    <n v="5.3851670435793997"/>
  </r>
  <r>
    <x v="0"/>
    <x v="0"/>
    <x v="0"/>
    <x v="2"/>
    <x v="3"/>
    <s v="FIN_OTHER"/>
    <x v="13"/>
    <s v="GHOB_PEAT"/>
    <n v="4.5524161379068397"/>
    <n v="16.388698096464601"/>
  </r>
  <r>
    <x v="0"/>
    <x v="0"/>
    <x v="0"/>
    <x v="2"/>
    <x v="3"/>
    <s v="FIN_OTHER"/>
    <x v="1"/>
    <s v="GHOB_WASTEHEAT"/>
    <n v="1.8822568681318601"/>
    <n v="6.7761247252747001"/>
  </r>
  <r>
    <x v="0"/>
    <x v="0"/>
    <x v="0"/>
    <x v="2"/>
    <x v="3"/>
    <s v="FIN_OTHER"/>
    <x v="5"/>
    <s v="GBPR_WOODCHIPS_FINOTHER"/>
    <n v="0.99634064789320997"/>
    <n v="3.5868263324155598"/>
  </r>
  <r>
    <x v="0"/>
    <x v="0"/>
    <x v="0"/>
    <x v="2"/>
    <x v="3"/>
    <s v="FIN_OTHER"/>
    <x v="5"/>
    <s v="GHOB_WOODCHIPS"/>
    <n v="3.09974340440625"/>
    <n v="11.1590762558625"/>
  </r>
  <r>
    <x v="0"/>
    <x v="0"/>
    <x v="0"/>
    <x v="2"/>
    <x v="3"/>
    <s v="FIN_OTHER"/>
    <x v="9"/>
    <s v="GBPR_WOODWASTE_FINOTHER"/>
    <n v="3.7731537037037"/>
    <n v="13.583353333333299"/>
  </r>
  <r>
    <x v="0"/>
    <x v="0"/>
    <x v="0"/>
    <x v="2"/>
    <x v="3"/>
    <s v="FIN_OTHER"/>
    <x v="9"/>
    <s v="GHOB_WOODWASTE"/>
    <n v="1.7190211764705901"/>
    <n v="6.1884762352941198"/>
  </r>
  <r>
    <x v="0"/>
    <x v="0"/>
    <x v="0"/>
    <x v="2"/>
    <x v="3"/>
    <s v="FIN_TAMP"/>
    <x v="3"/>
    <s v="GEXT_NATGAS_TAMPERE"/>
    <n v="5.1446348799999999"/>
    <n v="18.520685568000001"/>
  </r>
  <r>
    <x v="0"/>
    <x v="0"/>
    <x v="0"/>
    <x v="2"/>
    <x v="3"/>
    <s v="FinA"/>
    <x v="0"/>
    <s v="GCND_COAL3"/>
    <n v="10.149549568186201"/>
    <n v="36.538378445470499"/>
  </r>
  <r>
    <x v="0"/>
    <x v="0"/>
    <x v="0"/>
    <x v="2"/>
    <x v="3"/>
    <s v="FinA"/>
    <x v="15"/>
    <s v="GCND_NUCLEAR"/>
    <n v="72.575688959999994"/>
    <n v="261.27248025599999"/>
  </r>
  <r>
    <x v="0"/>
    <x v="0"/>
    <x v="0"/>
    <x v="2"/>
    <x v="3"/>
    <s v="FinA"/>
    <x v="13"/>
    <s v="GBPR_PEAT_IND"/>
    <n v="14.600508932461899"/>
    <n v="52.5618321568627"/>
  </r>
  <r>
    <x v="0"/>
    <x v="0"/>
    <x v="0"/>
    <x v="2"/>
    <x v="3"/>
    <s v="FinA"/>
    <x v="7"/>
    <s v="GNR_RES_WTR_NOPMP_MC-01"/>
    <n v="1.3748819999999999"/>
    <n v="4.9495752"/>
  </r>
  <r>
    <x v="0"/>
    <x v="0"/>
    <x v="0"/>
    <x v="2"/>
    <x v="3"/>
    <s v="FinA"/>
    <x v="7"/>
    <s v="GNR_RES_WTR_NOPMP_MC-02"/>
    <n v="1.3748819999999999"/>
    <n v="4.9495752"/>
  </r>
  <r>
    <x v="0"/>
    <x v="0"/>
    <x v="0"/>
    <x v="2"/>
    <x v="3"/>
    <s v="FinA"/>
    <x v="7"/>
    <s v="GNR_RES_WTR_NOPMP_MC-03"/>
    <n v="1.3748819999999999"/>
    <n v="4.9495752"/>
  </r>
  <r>
    <x v="0"/>
    <x v="0"/>
    <x v="0"/>
    <x v="2"/>
    <x v="3"/>
    <s v="FinA"/>
    <x v="7"/>
    <s v="GNR_RES_WTR_NOPMP_MC-04"/>
    <n v="1.3121613011694799"/>
    <n v="4.7237806842101104"/>
  </r>
  <r>
    <x v="0"/>
    <x v="0"/>
    <x v="0"/>
    <x v="2"/>
    <x v="3"/>
    <s v="FinA"/>
    <x v="7"/>
    <s v="GNR_RES_WTR_NOPMP_MC-05"/>
    <n v="1.1045631535501701"/>
    <n v="3.9764273527806302"/>
  </r>
  <r>
    <x v="0"/>
    <x v="0"/>
    <x v="0"/>
    <x v="2"/>
    <x v="3"/>
    <s v="FinA"/>
    <x v="7"/>
    <s v="GNR_RES_WTR_NOPMP_MC-06"/>
    <n v="1.0311615000000001"/>
    <n v="3.7121814"/>
  </r>
  <r>
    <x v="0"/>
    <x v="0"/>
    <x v="0"/>
    <x v="2"/>
    <x v="3"/>
    <s v="FinA"/>
    <x v="7"/>
    <s v="GNR_RES_WTR_NOPMP_MC-07"/>
    <n v="0.86125729102885795"/>
    <n v="3.1005262477038902"/>
  </r>
  <r>
    <x v="0"/>
    <x v="0"/>
    <x v="0"/>
    <x v="2"/>
    <x v="3"/>
    <s v="FinA"/>
    <x v="7"/>
    <s v="GNR_RES_WTR_NOPMP_MC-08"/>
    <n v="0.49745050425149201"/>
    <n v="1.7908218153053701"/>
  </r>
  <r>
    <x v="0"/>
    <x v="0"/>
    <x v="0"/>
    <x v="2"/>
    <x v="3"/>
    <s v="FinA"/>
    <x v="7"/>
    <s v="GNR_RES_WTR_NOPMP_MC-09"/>
    <n v="0.17186024999999999"/>
    <n v="0.61869689999999999"/>
  </r>
  <r>
    <x v="0"/>
    <x v="0"/>
    <x v="0"/>
    <x v="2"/>
    <x v="3"/>
    <s v="FinA"/>
    <x v="7"/>
    <s v="GNR_ROR_WTR"/>
    <n v="8.0631208425029399"/>
    <n v="29.027235033010601"/>
  </r>
  <r>
    <x v="0"/>
    <x v="0"/>
    <x v="0"/>
    <x v="2"/>
    <x v="3"/>
    <s v="FinA"/>
    <x v="8"/>
    <s v="GNR_WT_WIND_ONS"/>
    <n v="2.967977935"/>
    <n v="10.684720565999999"/>
  </r>
  <r>
    <x v="0"/>
    <x v="0"/>
    <x v="0"/>
    <x v="3"/>
    <x v="4"/>
    <s v="DE4-E_A"/>
    <x v="16"/>
    <s v="AGG-DE4-E_RES_WTR_PMP"/>
    <n v="2.71059281688279"/>
    <n v="9.7581341407780506"/>
  </r>
  <r>
    <x v="0"/>
    <x v="0"/>
    <x v="0"/>
    <x v="3"/>
    <x v="4"/>
    <s v="DE4-E_A"/>
    <x v="17"/>
    <s v="GNR_ST_LIGN_BP_E-28"/>
    <n v="0.49666071428571401"/>
    <n v="1.7879785714285701"/>
  </r>
  <r>
    <x v="0"/>
    <x v="0"/>
    <x v="0"/>
    <x v="3"/>
    <x v="4"/>
    <s v="DE4-E_A"/>
    <x v="17"/>
    <s v="GNR_ST_LIGN_BP_E-39"/>
    <n v="191.12385633008401"/>
    <n v="688.04588278830204"/>
  </r>
  <r>
    <x v="0"/>
    <x v="0"/>
    <x v="0"/>
    <x v="3"/>
    <x v="4"/>
    <s v="DE4-E_A"/>
    <x v="17"/>
    <s v="GNR_ST_LIGN_CND_E-43"/>
    <n v="13.038139534883699"/>
    <n v="46.937302325581399"/>
  </r>
  <r>
    <x v="0"/>
    <x v="0"/>
    <x v="0"/>
    <x v="3"/>
    <x v="4"/>
    <s v="DE4-E_A"/>
    <x v="2"/>
    <s v="GNR_ST_MSW_CND_E-33"/>
    <n v="1.7281090909090899"/>
    <n v="6.2211927272727303"/>
  </r>
  <r>
    <x v="0"/>
    <x v="0"/>
    <x v="0"/>
    <x v="3"/>
    <x v="4"/>
    <s v="DE4-E_A"/>
    <x v="6"/>
    <s v="GNR_PV_SUN"/>
    <n v="11.438265235278299"/>
    <n v="41.1777548470018"/>
  </r>
  <r>
    <x v="0"/>
    <x v="0"/>
    <x v="0"/>
    <x v="3"/>
    <x v="4"/>
    <s v="DE4-E_A"/>
    <x v="1"/>
    <s v="GNR_GEO_HEAT_EO"/>
    <n v="1.9272E-3"/>
    <n v="6.9379200000000002E-3"/>
  </r>
  <r>
    <x v="0"/>
    <x v="0"/>
    <x v="0"/>
    <x v="3"/>
    <x v="4"/>
    <s v="DE4-E_A"/>
    <x v="7"/>
    <s v="GNR_ROR_WTR"/>
    <n v="2.6530440910678799"/>
    <n v="9.5509587278443497"/>
  </r>
  <r>
    <x v="0"/>
    <x v="0"/>
    <x v="0"/>
    <x v="3"/>
    <x v="4"/>
    <s v="DE4-E_A"/>
    <x v="8"/>
    <s v="GNR_WT_WIND_ONS"/>
    <n v="40.504328129999998"/>
    <n v="145.81558126799999"/>
  </r>
  <r>
    <x v="0"/>
    <x v="0"/>
    <x v="0"/>
    <x v="3"/>
    <x v="4"/>
    <s v="DE4-E_Offshore_A"/>
    <x v="8"/>
    <s v="GNR_WT_WIND_OFF"/>
    <n v="1.4729939999999999"/>
    <n v="5.3027784000000002"/>
  </r>
  <r>
    <x v="0"/>
    <x v="0"/>
    <x v="0"/>
    <x v="3"/>
    <x v="5"/>
    <s v="DE4-N_A"/>
    <x v="0"/>
    <s v="GNR_ST_COAL_BP_E-40"/>
    <n v="20.235600000000002"/>
    <n v="72.848160000000107"/>
  </r>
  <r>
    <x v="0"/>
    <x v="0"/>
    <x v="0"/>
    <x v="3"/>
    <x v="5"/>
    <s v="DE4-N_A"/>
    <x v="0"/>
    <s v="GNR_ST_COAL_CND_E-46"/>
    <n v="30.469565217391299"/>
    <n v="109.690434782609"/>
  </r>
  <r>
    <x v="0"/>
    <x v="0"/>
    <x v="0"/>
    <x v="3"/>
    <x v="5"/>
    <s v="DE4-N_A"/>
    <x v="16"/>
    <s v="AGG-DE4-N_RES_WTR_PMP"/>
    <n v="0.14256269999999999"/>
    <n v="0.51322572"/>
  </r>
  <r>
    <x v="0"/>
    <x v="0"/>
    <x v="0"/>
    <x v="3"/>
    <x v="5"/>
    <s v="DE4-N_A"/>
    <x v="2"/>
    <s v="GNR_BO_MSW_E-80"/>
    <n v="3.3944999999999999E-3"/>
    <n v="1.2220200000000001E-2"/>
  </r>
  <r>
    <x v="0"/>
    <x v="0"/>
    <x v="0"/>
    <x v="3"/>
    <x v="5"/>
    <s v="DE4-N_A"/>
    <x v="2"/>
    <s v="GNR_ST_MSW_BP_E-33"/>
    <n v="0.70180992584022195"/>
    <n v="2.5265157330247998"/>
  </r>
  <r>
    <x v="0"/>
    <x v="0"/>
    <x v="0"/>
    <x v="3"/>
    <x v="5"/>
    <s v="DE4-N_A"/>
    <x v="3"/>
    <s v="GNR_CC_NGAS_BP_E-57"/>
    <n v="0.66658785240518503"/>
    <n v="2.3997162686586702"/>
  </r>
  <r>
    <x v="0"/>
    <x v="0"/>
    <x v="0"/>
    <x v="3"/>
    <x v="5"/>
    <s v="DE4-N_A"/>
    <x v="3"/>
    <s v="GNR_ST_NGAS_BP_E-39"/>
    <n v="1.77248687882622"/>
    <n v="6.3809527637743804"/>
  </r>
  <r>
    <x v="0"/>
    <x v="0"/>
    <x v="0"/>
    <x v="3"/>
    <x v="5"/>
    <s v="DE4-N_A"/>
    <x v="15"/>
    <s v="GNR_ST_NUCL_CND_E-33"/>
    <n v="37.429090909090903"/>
    <n v="134.744727272727"/>
  </r>
  <r>
    <x v="0"/>
    <x v="0"/>
    <x v="0"/>
    <x v="3"/>
    <x v="5"/>
    <s v="DE4-N_A"/>
    <x v="6"/>
    <s v="GNR_PV_SUN"/>
    <n v="1.6803275310545001"/>
    <n v="6.0491791117962102"/>
  </r>
  <r>
    <x v="0"/>
    <x v="0"/>
    <x v="0"/>
    <x v="3"/>
    <x v="5"/>
    <s v="DE4-N_A"/>
    <x v="7"/>
    <s v="GNR_ROR_WTR"/>
    <n v="2.3376999999999998E-2"/>
    <n v="8.4157200000000001E-2"/>
  </r>
  <r>
    <x v="0"/>
    <x v="0"/>
    <x v="0"/>
    <x v="3"/>
    <x v="5"/>
    <s v="DE4-N_A"/>
    <x v="8"/>
    <s v="GNR_WT_WIND_ONS"/>
    <n v="17.132994289999999"/>
    <n v="61.678779444"/>
  </r>
  <r>
    <x v="0"/>
    <x v="0"/>
    <x v="0"/>
    <x v="3"/>
    <x v="5"/>
    <s v="DE4-N_Offshore_A"/>
    <x v="8"/>
    <s v="GNR_WT_WIND_OFF"/>
    <n v="4.0293000000000001"/>
    <n v="14.50548"/>
  </r>
  <r>
    <x v="0"/>
    <x v="0"/>
    <x v="0"/>
    <x v="3"/>
    <x v="6"/>
    <s v="DE4-S_A"/>
    <x v="0"/>
    <s v="GNR_ST_COAL_BP_E-43"/>
    <n v="61.054910956998398"/>
    <n v="219.79767944519401"/>
  </r>
  <r>
    <x v="0"/>
    <x v="0"/>
    <x v="0"/>
    <x v="3"/>
    <x v="6"/>
    <s v="DE4-S_A"/>
    <x v="0"/>
    <s v="GNR_ST_COAL_CND_E-38"/>
    <n v="11.157473684210499"/>
    <n v="40.166905263157901"/>
  </r>
  <r>
    <x v="0"/>
    <x v="0"/>
    <x v="0"/>
    <x v="3"/>
    <x v="6"/>
    <s v="DE4-S_A"/>
    <x v="0"/>
    <s v="GNR_ST_COAL_CND_E-44"/>
    <n v="10.4920909090909"/>
    <n v="37.771527272727297"/>
  </r>
  <r>
    <x v="0"/>
    <x v="0"/>
    <x v="0"/>
    <x v="3"/>
    <x v="6"/>
    <s v="DE4-S_A"/>
    <x v="16"/>
    <s v="AGG-DE4-S_RES_WTR_PMP"/>
    <n v="2.33722216262115"/>
    <n v="8.4139997854361503"/>
  </r>
  <r>
    <x v="0"/>
    <x v="0"/>
    <x v="0"/>
    <x v="3"/>
    <x v="6"/>
    <s v="DE4-S_A"/>
    <x v="2"/>
    <s v="GNR_ST_MSW_CND_E-33"/>
    <n v="1.06181818181818"/>
    <n v="3.8225454545454598"/>
  </r>
  <r>
    <x v="0"/>
    <x v="0"/>
    <x v="0"/>
    <x v="3"/>
    <x v="6"/>
    <s v="DE4-S_A"/>
    <x v="15"/>
    <s v="GNR_ST_NUCL_CND_E-33"/>
    <n v="177.69527272727299"/>
    <n v="639.70298181818202"/>
  </r>
  <r>
    <x v="0"/>
    <x v="0"/>
    <x v="0"/>
    <x v="3"/>
    <x v="6"/>
    <s v="DE4-S_A"/>
    <x v="6"/>
    <s v="GNR_PV_SUN"/>
    <n v="21.7176092114785"/>
    <n v="78.183393161322698"/>
  </r>
  <r>
    <x v="0"/>
    <x v="0"/>
    <x v="0"/>
    <x v="3"/>
    <x v="6"/>
    <s v="DE4-S_A"/>
    <x v="1"/>
    <s v="GNR_GEO_HEAT_EO"/>
    <n v="0.39209759999999999"/>
    <n v="1.41155136"/>
  </r>
  <r>
    <x v="0"/>
    <x v="0"/>
    <x v="0"/>
    <x v="3"/>
    <x v="6"/>
    <s v="DE4-S_A"/>
    <x v="7"/>
    <s v="GNR_RES_WTR_NOPMP"/>
    <n v="0.59766271944701799"/>
    <n v="2.1515857900092699"/>
  </r>
  <r>
    <x v="0"/>
    <x v="0"/>
    <x v="0"/>
    <x v="3"/>
    <x v="6"/>
    <s v="DE4-S_A"/>
    <x v="7"/>
    <s v="GNR_ROR_WTR"/>
    <n v="38.207127800000002"/>
    <n v="137.54566008"/>
  </r>
  <r>
    <x v="0"/>
    <x v="0"/>
    <x v="0"/>
    <x v="3"/>
    <x v="6"/>
    <s v="DE4-S_A"/>
    <x v="8"/>
    <s v="GNR_WT_WIND_ONS"/>
    <n v="13.97148009"/>
    <n v="50.297328323999999"/>
  </r>
  <r>
    <x v="0"/>
    <x v="0"/>
    <x v="0"/>
    <x v="3"/>
    <x v="7"/>
    <s v="DE4-W_A"/>
    <x v="0"/>
    <s v="GNR_ST_COAL_BP_E-41"/>
    <n v="12.702664866338599"/>
    <n v="45.729593518819101"/>
  </r>
  <r>
    <x v="0"/>
    <x v="0"/>
    <x v="0"/>
    <x v="3"/>
    <x v="7"/>
    <s v="DE4-W_A"/>
    <x v="0"/>
    <s v="GNR_ST_COAL_CND_E-37"/>
    <n v="88.238501401370797"/>
    <n v="317.65860504493497"/>
  </r>
  <r>
    <x v="0"/>
    <x v="0"/>
    <x v="0"/>
    <x v="3"/>
    <x v="7"/>
    <s v="DE4-W_A"/>
    <x v="0"/>
    <s v="GNR_ST_COAL_CND_E-45"/>
    <n v="67.140533333333295"/>
    <n v="241.70591999999999"/>
  </r>
  <r>
    <x v="0"/>
    <x v="0"/>
    <x v="0"/>
    <x v="3"/>
    <x v="7"/>
    <s v="DE4-W_A"/>
    <x v="16"/>
    <s v="AGG-DE4-W_RES_WTR_PMP"/>
    <n v="0.95347199999999999"/>
    <n v="3.4324992000000001"/>
  </r>
  <r>
    <x v="0"/>
    <x v="0"/>
    <x v="0"/>
    <x v="3"/>
    <x v="7"/>
    <s v="DE4-W_A"/>
    <x v="17"/>
    <s v="GNR_ST_LIGN_BP_E-33"/>
    <n v="13.9186666666667"/>
    <n v="50.107199999999999"/>
  </r>
  <r>
    <x v="0"/>
    <x v="0"/>
    <x v="0"/>
    <x v="3"/>
    <x v="7"/>
    <s v="DE4-W_A"/>
    <x v="17"/>
    <s v="GNR_ST_LIGN_BP_E-37"/>
    <n v="76.028915887929003"/>
    <n v="273.70409719654401"/>
  </r>
  <r>
    <x v="0"/>
    <x v="0"/>
    <x v="0"/>
    <x v="3"/>
    <x v="7"/>
    <s v="DE4-W_A"/>
    <x v="17"/>
    <s v="GNR_ST_LIGN_CND_E-32"/>
    <n v="124.25512500000001"/>
    <n v="447.31844999999998"/>
  </r>
  <r>
    <x v="0"/>
    <x v="0"/>
    <x v="0"/>
    <x v="3"/>
    <x v="7"/>
    <s v="DE4-W_A"/>
    <x v="17"/>
    <s v="GNR_ST_LIGN_CND_E-41"/>
    <n v="86.1043902439025"/>
    <n v="309.97580487804902"/>
  </r>
  <r>
    <x v="0"/>
    <x v="0"/>
    <x v="0"/>
    <x v="3"/>
    <x v="7"/>
    <s v="DE4-W_A"/>
    <x v="2"/>
    <s v="GNR_ST_MSW_CND_E-33"/>
    <n v="4.5870545454545404"/>
    <n v="16.513396363636399"/>
  </r>
  <r>
    <x v="0"/>
    <x v="0"/>
    <x v="0"/>
    <x v="3"/>
    <x v="7"/>
    <s v="DE4-W_A"/>
    <x v="15"/>
    <s v="GNR_ST_NUCL_CND_E-33"/>
    <n v="71.566545454545405"/>
    <n v="257.63956363636402"/>
  </r>
  <r>
    <x v="0"/>
    <x v="0"/>
    <x v="0"/>
    <x v="3"/>
    <x v="7"/>
    <s v="DE4-W_A"/>
    <x v="6"/>
    <s v="GNR_PV_SUN"/>
    <n v="10.6223389660178"/>
    <n v="38.240420277664001"/>
  </r>
  <r>
    <x v="0"/>
    <x v="0"/>
    <x v="0"/>
    <x v="3"/>
    <x v="7"/>
    <s v="DE4-W_A"/>
    <x v="7"/>
    <s v="GNR_ROR_WTR"/>
    <n v="1.7424299999999999"/>
    <n v="6.272748"/>
  </r>
  <r>
    <x v="0"/>
    <x v="0"/>
    <x v="0"/>
    <x v="3"/>
    <x v="7"/>
    <s v="DE4-W_A"/>
    <x v="8"/>
    <s v="GNR_WT_WIND_ONS"/>
    <n v="38.021413850000002"/>
    <n v="136.87708986000001"/>
  </r>
  <r>
    <x v="0"/>
    <x v="0"/>
    <x v="0"/>
    <x v="3"/>
    <x v="7"/>
    <s v="DE4-W_Offshore_A"/>
    <x v="8"/>
    <s v="GNR_WT_WIND_OFF"/>
    <n v="0.49694700000000003"/>
    <n v="1.7890092"/>
  </r>
  <r>
    <x v="0"/>
    <x v="0"/>
    <x v="0"/>
    <x v="4"/>
    <x v="8"/>
    <s v="LV_RigaR"/>
    <x v="3"/>
    <s v="RIGA-TEC2_CC_NGAS_EXT"/>
    <n v="3.2398403465468899"/>
    <n v="11.663425247568799"/>
  </r>
  <r>
    <x v="0"/>
    <x v="0"/>
    <x v="0"/>
    <x v="4"/>
    <x v="8"/>
    <s v="LV_RigaR"/>
    <x v="7"/>
    <s v="GNR_RES_WTR_NOPMP"/>
    <n v="4.0200000000000001E-4"/>
    <n v="1.4472E-3"/>
  </r>
  <r>
    <x v="0"/>
    <x v="0"/>
    <x v="0"/>
    <x v="4"/>
    <x v="8"/>
    <s v="LV_Rural"/>
    <x v="8"/>
    <s v="GNR_WT_WIND_ONS"/>
    <n v="0.11622"/>
    <n v="0.41839199999999999"/>
  </r>
  <r>
    <x v="0"/>
    <x v="0"/>
    <x v="0"/>
    <x v="5"/>
    <x v="9"/>
    <s v="LT_KauU"/>
    <x v="2"/>
    <s v="KAUNAS_ST_MSW_BP"/>
    <n v="0.80672871432093995"/>
    <n v="2.9042233715553798"/>
  </r>
  <r>
    <x v="0"/>
    <x v="0"/>
    <x v="0"/>
    <x v="5"/>
    <x v="9"/>
    <s v="LT_KauU"/>
    <x v="7"/>
    <s v="GNR_ROR_WTR"/>
    <n v="0.61343999999999999"/>
    <n v="2.2083840000000001"/>
  </r>
  <r>
    <x v="0"/>
    <x v="0"/>
    <x v="0"/>
    <x v="5"/>
    <x v="9"/>
    <s v="LT_KlaU"/>
    <x v="6"/>
    <s v="GNR_PV_SUN"/>
    <n v="8.7830410424068805E-2"/>
    <n v="0.316189477526648"/>
  </r>
  <r>
    <x v="0"/>
    <x v="0"/>
    <x v="0"/>
    <x v="5"/>
    <x v="9"/>
    <s v="LT_Other_DH"/>
    <x v="18"/>
    <s v="LIFOSA_ST_HEAT_BP"/>
    <n v="0.747176470588235"/>
    <n v="2.6898352941176502"/>
  </r>
  <r>
    <x v="0"/>
    <x v="0"/>
    <x v="0"/>
    <x v="5"/>
    <x v="9"/>
    <s v="LT_Other_DH"/>
    <x v="9"/>
    <s v="EBAVERE_ST_WOODWST_BP"/>
    <n v="0.35962105263157901"/>
    <n v="1.29463578947368"/>
  </r>
  <r>
    <x v="0"/>
    <x v="0"/>
    <x v="0"/>
    <x v="5"/>
    <x v="9"/>
    <s v="LT_Rural"/>
    <x v="8"/>
    <s v="GNR_WT_WIND_ONS"/>
    <n v="0.98593299999999995"/>
    <n v="3.5493587999999998"/>
  </r>
  <r>
    <x v="0"/>
    <x v="0"/>
    <x v="0"/>
    <x v="5"/>
    <x v="9"/>
    <s v="LT_VilU"/>
    <x v="2"/>
    <s v="VILNIUS_ST_MSW_BP"/>
    <n v="2.76675451510213"/>
    <n v="9.9603162543676707"/>
  </r>
  <r>
    <x v="0"/>
    <x v="0"/>
    <x v="0"/>
    <x v="5"/>
    <x v="9"/>
    <s v="LT_VilU"/>
    <x v="3"/>
    <s v="GNR_CC_NGAS_CND_E-58"/>
    <n v="0.128934134544299"/>
    <n v="0.464162884359476"/>
  </r>
  <r>
    <x v="0"/>
    <x v="0"/>
    <x v="0"/>
    <x v="5"/>
    <x v="9"/>
    <s v="LT_VilU"/>
    <x v="7"/>
    <s v="GNR_ES_WTR_PMP"/>
    <n v="4.6800000000000001E-2"/>
    <n v="0.16847999999999999"/>
  </r>
  <r>
    <x v="0"/>
    <x v="0"/>
    <x v="0"/>
    <x v="6"/>
    <x v="10"/>
    <s v="NL_A"/>
    <x v="0"/>
    <s v="GNR_ST_COAL_CND_E-40"/>
    <n v="103.798119831805"/>
    <n v="373.673231394499"/>
  </r>
  <r>
    <x v="0"/>
    <x v="0"/>
    <x v="0"/>
    <x v="6"/>
    <x v="10"/>
    <s v="NL_A"/>
    <x v="2"/>
    <s v="GNR_ST_MSW_CND_E-40"/>
    <n v="14.9796"/>
    <n v="53.926560000000002"/>
  </r>
  <r>
    <x v="0"/>
    <x v="0"/>
    <x v="0"/>
    <x v="6"/>
    <x v="10"/>
    <s v="NL_A"/>
    <x v="3"/>
    <s v="GNR_CC_NGAS_CND_E-38"/>
    <n v="0.67152240018550502"/>
    <n v="2.41748064066782"/>
  </r>
  <r>
    <x v="0"/>
    <x v="0"/>
    <x v="0"/>
    <x v="6"/>
    <x v="10"/>
    <s v="NL_A"/>
    <x v="15"/>
    <s v="GNR_ST_NUCL_CND_E-33"/>
    <n v="13.670909090909101"/>
    <n v="49.215272727272698"/>
  </r>
  <r>
    <x v="0"/>
    <x v="0"/>
    <x v="0"/>
    <x v="6"/>
    <x v="10"/>
    <s v="NL_A"/>
    <x v="6"/>
    <s v="GNR_PV_SUN"/>
    <n v="0.83486304"/>
    <n v="3.005506944"/>
  </r>
  <r>
    <x v="0"/>
    <x v="0"/>
    <x v="0"/>
    <x v="6"/>
    <x v="10"/>
    <s v="NL_A"/>
    <x v="7"/>
    <s v="GNR_ROR_WTR"/>
    <n v="0.15959999999999999"/>
    <n v="0.57455999999999996"/>
  </r>
  <r>
    <x v="0"/>
    <x v="0"/>
    <x v="0"/>
    <x v="6"/>
    <x v="10"/>
    <s v="NL_A"/>
    <x v="8"/>
    <s v="GNR_WT_WIND_OFF"/>
    <n v="0.70642000000000005"/>
    <n v="2.5431119999999998"/>
  </r>
  <r>
    <x v="0"/>
    <x v="0"/>
    <x v="0"/>
    <x v="6"/>
    <x v="10"/>
    <s v="NL_A"/>
    <x v="8"/>
    <s v="GNR_WT_WIND_ONS"/>
    <n v="7.0527600000000001"/>
    <n v="25.389935999999999"/>
  </r>
  <r>
    <x v="0"/>
    <x v="0"/>
    <x v="0"/>
    <x v="6"/>
    <x v="10"/>
    <s v="NL_A"/>
    <x v="12"/>
    <s v="GNR_ST_WOOD_CND_E-50"/>
    <n v="4.2577821021608102"/>
    <n v="15.3280155677789"/>
  </r>
  <r>
    <x v="0"/>
    <x v="0"/>
    <x v="0"/>
    <x v="7"/>
    <x v="11"/>
    <s v="NO1_A1"/>
    <x v="19"/>
    <s v="GHOB_LNG"/>
    <n v="0.23703529411764701"/>
    <n v="0.85332705882352899"/>
  </r>
  <r>
    <x v="0"/>
    <x v="0"/>
    <x v="0"/>
    <x v="7"/>
    <x v="11"/>
    <s v="NO1_A1"/>
    <x v="19"/>
    <s v="GHOB_LPG"/>
    <n v="0.42872470588235301"/>
    <n v="1.54340894117647"/>
  </r>
  <r>
    <x v="0"/>
    <x v="0"/>
    <x v="0"/>
    <x v="7"/>
    <x v="11"/>
    <s v="NO1_A1"/>
    <x v="2"/>
    <s v="GBPR_MUNIWASTE"/>
    <n v="0.33727569892473103"/>
    <n v="1.2141925161290299"/>
  </r>
  <r>
    <x v="0"/>
    <x v="0"/>
    <x v="0"/>
    <x v="7"/>
    <x v="11"/>
    <s v="NO1_A1"/>
    <x v="2"/>
    <s v="GHOB_MUNIWASTE"/>
    <n v="7.6716988235294103E-2"/>
    <n v="0.27618115764705897"/>
  </r>
  <r>
    <x v="0"/>
    <x v="0"/>
    <x v="0"/>
    <x v="7"/>
    <x v="11"/>
    <s v="NO1_A1"/>
    <x v="1"/>
    <s v="GHOB_WASTEHEAT"/>
    <n v="2.5974162087911999E-2"/>
    <n v="9.3506983516483094E-2"/>
  </r>
  <r>
    <x v="0"/>
    <x v="0"/>
    <x v="0"/>
    <x v="7"/>
    <x v="11"/>
    <s v="NO1_A1"/>
    <x v="7"/>
    <s v="GNR_RES_WTR_NOPMP_MC-01"/>
    <n v="1.4016"/>
    <n v="5.0457599999999996"/>
  </r>
  <r>
    <x v="0"/>
    <x v="0"/>
    <x v="0"/>
    <x v="7"/>
    <x v="11"/>
    <s v="NO1_A1"/>
    <x v="7"/>
    <s v="GNR_RES_WTR_NOPMP_MC-02"/>
    <n v="1.4016"/>
    <n v="5.0457599999999996"/>
  </r>
  <r>
    <x v="0"/>
    <x v="0"/>
    <x v="0"/>
    <x v="7"/>
    <x v="11"/>
    <s v="NO1_A1"/>
    <x v="7"/>
    <s v="GNR_RES_WTR_NOPMP_MC-03"/>
    <n v="0.99280000000000002"/>
    <n v="3.5740799999999999"/>
  </r>
  <r>
    <x v="0"/>
    <x v="0"/>
    <x v="0"/>
    <x v="7"/>
    <x v="11"/>
    <s v="NO1_A1"/>
    <x v="7"/>
    <s v="GNR_RES_WTR_NOPMP_MC-04"/>
    <n v="0.75919999999999999"/>
    <n v="2.73312"/>
  </r>
  <r>
    <x v="0"/>
    <x v="0"/>
    <x v="0"/>
    <x v="7"/>
    <x v="11"/>
    <s v="NO1_A1"/>
    <x v="7"/>
    <s v="GNR_RES_WTR_NOPMP_MC-05"/>
    <n v="0.17519999999999999"/>
    <n v="0.63071999999999995"/>
  </r>
  <r>
    <x v="0"/>
    <x v="0"/>
    <x v="0"/>
    <x v="7"/>
    <x v="11"/>
    <s v="NO1_A1"/>
    <x v="7"/>
    <s v="GNR_RES_WTR_NOPMP_MC-06"/>
    <n v="9.8057635581695501E-2"/>
    <n v="0.35300748809410398"/>
  </r>
  <r>
    <x v="0"/>
    <x v="0"/>
    <x v="0"/>
    <x v="7"/>
    <x v="11"/>
    <s v="NO1_A1"/>
    <x v="7"/>
    <s v="GNR_ROR_WTR"/>
    <n v="8.2207838348424804"/>
    <n v="29.5948218054329"/>
  </r>
  <r>
    <x v="0"/>
    <x v="0"/>
    <x v="0"/>
    <x v="7"/>
    <x v="11"/>
    <s v="NO1_A1"/>
    <x v="9"/>
    <s v="GHOB_WOODWASTE"/>
    <n v="0.49490995632749202"/>
    <n v="1.7816758427789701"/>
  </r>
  <r>
    <x v="0"/>
    <x v="0"/>
    <x v="0"/>
    <x v="7"/>
    <x v="11"/>
    <s v="NO1_A2"/>
    <x v="19"/>
    <s v="GHOB_LPG"/>
    <n v="1.03058823529412"/>
    <n v="3.7101176470588202"/>
  </r>
  <r>
    <x v="0"/>
    <x v="0"/>
    <x v="0"/>
    <x v="7"/>
    <x v="11"/>
    <s v="NO1_A2"/>
    <x v="2"/>
    <s v="GBPR_MUNIWASTE"/>
    <n v="0.45628192114694799"/>
    <n v="1.64261491612901"/>
  </r>
  <r>
    <x v="0"/>
    <x v="0"/>
    <x v="0"/>
    <x v="7"/>
    <x v="11"/>
    <s v="NO1_A2"/>
    <x v="2"/>
    <s v="GHOB_MUNIWASTE"/>
    <n v="0.32978823529411799"/>
    <n v="1.18723764705882"/>
  </r>
  <r>
    <x v="0"/>
    <x v="0"/>
    <x v="0"/>
    <x v="7"/>
    <x v="11"/>
    <s v="NO1_A2"/>
    <x v="9"/>
    <s v="GHOB_WOODWASTE"/>
    <n v="0.164894117647059"/>
    <n v="0.59361882352941198"/>
  </r>
  <r>
    <x v="0"/>
    <x v="0"/>
    <x v="0"/>
    <x v="7"/>
    <x v="12"/>
    <s v="NO2_A1"/>
    <x v="19"/>
    <s v="GHOB_LNG"/>
    <n v="2.4657791703272302E-3"/>
    <n v="8.8768050131780105E-3"/>
  </r>
  <r>
    <x v="0"/>
    <x v="0"/>
    <x v="0"/>
    <x v="7"/>
    <x v="12"/>
    <s v="NO2_A1"/>
    <x v="19"/>
    <s v="GHOB_LPG"/>
    <n v="4.9007501986216999E-2"/>
    <n v="0.17642700715038101"/>
  </r>
  <r>
    <x v="0"/>
    <x v="0"/>
    <x v="0"/>
    <x v="7"/>
    <x v="12"/>
    <s v="NO2_A1"/>
    <x v="2"/>
    <s v="GBPR_MUNIWASTE"/>
    <n v="0.44421677419354799"/>
    <n v="1.59918038709677"/>
  </r>
  <r>
    <x v="0"/>
    <x v="0"/>
    <x v="0"/>
    <x v="7"/>
    <x v="12"/>
    <s v="NO2_A1"/>
    <x v="1"/>
    <s v="GHOB_WASTEHEAT"/>
    <n v="3.7727902169053001E-2"/>
    <n v="0.13582044780859101"/>
  </r>
  <r>
    <x v="0"/>
    <x v="0"/>
    <x v="0"/>
    <x v="7"/>
    <x v="12"/>
    <s v="NO2_A1"/>
    <x v="7"/>
    <s v="GNR_RES_WTR_NOPMP_MC-01"/>
    <n v="3.2166024084082498"/>
    <n v="11.579768670269701"/>
  </r>
  <r>
    <x v="0"/>
    <x v="0"/>
    <x v="0"/>
    <x v="7"/>
    <x v="12"/>
    <s v="NO2_A1"/>
    <x v="7"/>
    <s v="GNR_RES_WTR_NOPMP_MC-02"/>
    <n v="7.7718024084082398"/>
    <n v="27.978488670269702"/>
  </r>
  <r>
    <x v="0"/>
    <x v="0"/>
    <x v="0"/>
    <x v="7"/>
    <x v="12"/>
    <s v="NO2_A1"/>
    <x v="7"/>
    <s v="GNR_RES_WTR_NOPMP_MC-03"/>
    <n v="7.7718024084082398"/>
    <n v="27.978488670269702"/>
  </r>
  <r>
    <x v="0"/>
    <x v="0"/>
    <x v="0"/>
    <x v="7"/>
    <x v="12"/>
    <s v="NO2_A1"/>
    <x v="7"/>
    <s v="GNR_RES_WTR_NOPMP_MC-04"/>
    <n v="6.6228250810895002"/>
    <n v="23.842170291922201"/>
  </r>
  <r>
    <x v="0"/>
    <x v="0"/>
    <x v="0"/>
    <x v="7"/>
    <x v="12"/>
    <s v="NO2_A1"/>
    <x v="7"/>
    <s v="GNR_RES_WTR_NOPMP_MC-05"/>
    <n v="4.9174114832861999"/>
    <n v="17.702681339830299"/>
  </r>
  <r>
    <x v="0"/>
    <x v="0"/>
    <x v="0"/>
    <x v="7"/>
    <x v="12"/>
    <s v="NO2_A1"/>
    <x v="7"/>
    <s v="GNR_RES_WTR_NOPMP_MC-06"/>
    <n v="1.9675827604426599"/>
    <n v="7.0832979375935796"/>
  </r>
  <r>
    <x v="0"/>
    <x v="0"/>
    <x v="0"/>
    <x v="7"/>
    <x v="12"/>
    <s v="NO2_A1"/>
    <x v="7"/>
    <s v="GNR_RES_WTR_NOPMP_MC-07"/>
    <n v="0.65899265537388096"/>
    <n v="2.3723735593459701"/>
  </r>
  <r>
    <x v="0"/>
    <x v="0"/>
    <x v="0"/>
    <x v="7"/>
    <x v="12"/>
    <s v="NO2_A1"/>
    <x v="7"/>
    <s v="GNR_RES_WTR_PMP_MC-01"/>
    <n v="4.5552000000000001"/>
    <n v="16.398720000000001"/>
  </r>
  <r>
    <x v="0"/>
    <x v="0"/>
    <x v="0"/>
    <x v="7"/>
    <x v="12"/>
    <s v="NO2_A1"/>
    <x v="7"/>
    <s v="GNR_ROR_WTR"/>
    <n v="9.2743043586350105"/>
    <n v="33.387495691086102"/>
  </r>
  <r>
    <x v="0"/>
    <x v="0"/>
    <x v="0"/>
    <x v="7"/>
    <x v="12"/>
    <s v="NO2_A1"/>
    <x v="8"/>
    <s v="GNR_WT_WIND_ONS"/>
    <n v="1.5001477000000001"/>
    <n v="5.40053172"/>
  </r>
  <r>
    <x v="0"/>
    <x v="0"/>
    <x v="0"/>
    <x v="7"/>
    <x v="13"/>
    <s v="NO3_A1"/>
    <x v="19"/>
    <s v="GHOB_LNG"/>
    <n v="8.0992663159044007E-3"/>
    <n v="2.9157358737255799E-2"/>
  </r>
  <r>
    <x v="0"/>
    <x v="0"/>
    <x v="0"/>
    <x v="7"/>
    <x v="13"/>
    <s v="NO3_A1"/>
    <x v="19"/>
    <s v="GHOB_LPG"/>
    <n v="6.6210724427783404E-2"/>
    <n v="0.23835860794002001"/>
  </r>
  <r>
    <x v="0"/>
    <x v="0"/>
    <x v="0"/>
    <x v="7"/>
    <x v="13"/>
    <s v="NO3_A1"/>
    <x v="2"/>
    <s v="GBPR_MUNIWASTE"/>
    <n v="0.17645277419354799"/>
    <n v="0.63522998709677403"/>
  </r>
  <r>
    <x v="0"/>
    <x v="0"/>
    <x v="0"/>
    <x v="7"/>
    <x v="13"/>
    <s v="NO3_A1"/>
    <x v="1"/>
    <s v="GHOB_WASTEHEAT"/>
    <n v="3.6714411093671802E-2"/>
    <n v="0.13217187993721899"/>
  </r>
  <r>
    <x v="0"/>
    <x v="0"/>
    <x v="0"/>
    <x v="7"/>
    <x v="13"/>
    <s v="NO3_A1"/>
    <x v="7"/>
    <s v="GNR_RES_WTR_NOPMP_MC-01"/>
    <n v="1.94337545966466"/>
    <n v="6.9961516547927696"/>
  </r>
  <r>
    <x v="0"/>
    <x v="0"/>
    <x v="0"/>
    <x v="7"/>
    <x v="13"/>
    <s v="NO3_A1"/>
    <x v="7"/>
    <s v="GNR_RES_WTR_NOPMP_MC-02"/>
    <n v="2.4716034596646601"/>
    <n v="8.8977724547927703"/>
  </r>
  <r>
    <x v="0"/>
    <x v="0"/>
    <x v="0"/>
    <x v="7"/>
    <x v="13"/>
    <s v="NO3_A1"/>
    <x v="7"/>
    <s v="GNR_RES_WTR_NOPMP_MC-03"/>
    <n v="2.4716034596646601"/>
    <n v="8.8977724547927703"/>
  </r>
  <r>
    <x v="0"/>
    <x v="0"/>
    <x v="0"/>
    <x v="7"/>
    <x v="13"/>
    <s v="NO3_A1"/>
    <x v="7"/>
    <s v="GNR_RES_WTR_NOPMP_MC-04"/>
    <n v="2.3686199821786298"/>
    <n v="8.5270319358430697"/>
  </r>
  <r>
    <x v="0"/>
    <x v="0"/>
    <x v="0"/>
    <x v="7"/>
    <x v="13"/>
    <s v="NO3_A1"/>
    <x v="7"/>
    <s v="GNR_RES_WTR_NOPMP_MC-05"/>
    <n v="1.64773563977644"/>
    <n v="5.9318483031951796"/>
  </r>
  <r>
    <x v="0"/>
    <x v="0"/>
    <x v="0"/>
    <x v="7"/>
    <x v="13"/>
    <s v="NO3_A1"/>
    <x v="7"/>
    <s v="GNR_RES_WTR_NOPMP_MC-06"/>
    <n v="0.94470580349606903"/>
    <n v="3.40094089258585"/>
  </r>
  <r>
    <x v="0"/>
    <x v="0"/>
    <x v="0"/>
    <x v="7"/>
    <x v="13"/>
    <s v="NO3_A1"/>
    <x v="7"/>
    <s v="GNR_RES_WTR_NOPMP_MC-07"/>
    <n v="0.155342095046619"/>
    <n v="0.559231542167827"/>
  </r>
  <r>
    <x v="0"/>
    <x v="0"/>
    <x v="0"/>
    <x v="7"/>
    <x v="13"/>
    <s v="NO3_A1"/>
    <x v="7"/>
    <s v="GNR_RES_WTR_PMP_MC-01"/>
    <n v="0.52822800000000003"/>
    <n v="1.9016207999999999"/>
  </r>
  <r>
    <x v="0"/>
    <x v="0"/>
    <x v="0"/>
    <x v="7"/>
    <x v="13"/>
    <s v="NO3_A1"/>
    <x v="7"/>
    <s v="GNR_ROR_WTR"/>
    <n v="6.0353824559844602"/>
    <n v="21.727376841544"/>
  </r>
  <r>
    <x v="0"/>
    <x v="0"/>
    <x v="0"/>
    <x v="7"/>
    <x v="13"/>
    <s v="NO3_A1"/>
    <x v="8"/>
    <s v="GNR_WT_WIND_ONS"/>
    <n v="1.0027718999999999"/>
    <n v="3.6099788400000001"/>
  </r>
  <r>
    <x v="0"/>
    <x v="0"/>
    <x v="0"/>
    <x v="7"/>
    <x v="13"/>
    <s v="NO3_A2"/>
    <x v="19"/>
    <s v="GHOB_LNG"/>
    <n v="6.7669911301143304E-2"/>
    <n v="0.24361168068411601"/>
  </r>
  <r>
    <x v="0"/>
    <x v="0"/>
    <x v="0"/>
    <x v="7"/>
    <x v="13"/>
    <s v="NO3_A2"/>
    <x v="2"/>
    <s v="GHOB_MUNIWASTE"/>
    <n v="0.66437244164003295"/>
    <n v="2.3917407899041199"/>
  </r>
  <r>
    <x v="0"/>
    <x v="0"/>
    <x v="0"/>
    <x v="7"/>
    <x v="14"/>
    <s v="NO4_A1"/>
    <x v="19"/>
    <s v="GHOB_LNG"/>
    <n v="2.4579099677666701E-2"/>
    <n v="8.8484758839600094E-2"/>
  </r>
  <r>
    <x v="0"/>
    <x v="0"/>
    <x v="0"/>
    <x v="7"/>
    <x v="14"/>
    <s v="NO4_A1"/>
    <x v="19"/>
    <s v="GHOB_LPG"/>
    <n v="8.3887931849879506E-3"/>
    <n v="3.0199655465956599E-2"/>
  </r>
  <r>
    <x v="0"/>
    <x v="0"/>
    <x v="0"/>
    <x v="7"/>
    <x v="14"/>
    <s v="NO4_A1"/>
    <x v="2"/>
    <s v="GBPR_MUNIWASTE"/>
    <n v="6.8409383225806501E-3"/>
    <n v="2.46273779612903E-2"/>
  </r>
  <r>
    <x v="0"/>
    <x v="0"/>
    <x v="0"/>
    <x v="7"/>
    <x v="14"/>
    <s v="NO4_A1"/>
    <x v="2"/>
    <s v="GHOB_MUNIWASTE"/>
    <n v="0.14736511686689499"/>
    <n v="0.530514420720823"/>
  </r>
  <r>
    <x v="0"/>
    <x v="0"/>
    <x v="0"/>
    <x v="7"/>
    <x v="14"/>
    <s v="NO4_A1"/>
    <x v="1"/>
    <s v="GHOB_WASTEHEAT"/>
    <n v="8.7987060439560102E-2"/>
    <n v="0.31675341758241599"/>
  </r>
  <r>
    <x v="0"/>
    <x v="0"/>
    <x v="0"/>
    <x v="7"/>
    <x v="14"/>
    <s v="NO4_A1"/>
    <x v="7"/>
    <s v="GNR_RES_WTR_NOPMP_MC-01"/>
    <n v="3.67537745819287"/>
    <n v="13.231358849494301"/>
  </r>
  <r>
    <x v="0"/>
    <x v="0"/>
    <x v="0"/>
    <x v="7"/>
    <x v="14"/>
    <s v="NO4_A1"/>
    <x v="7"/>
    <s v="GNR_RES_WTR_NOPMP_MC-02"/>
    <n v="3.67537745819287"/>
    <n v="13.231358849494301"/>
  </r>
  <r>
    <x v="0"/>
    <x v="0"/>
    <x v="0"/>
    <x v="7"/>
    <x v="14"/>
    <s v="NO4_A1"/>
    <x v="7"/>
    <s v="GNR_RES_WTR_NOPMP_MC-03"/>
    <n v="3.67537745819287"/>
    <n v="13.231358849494301"/>
  </r>
  <r>
    <x v="0"/>
    <x v="0"/>
    <x v="0"/>
    <x v="7"/>
    <x v="14"/>
    <s v="NO4_A1"/>
    <x v="7"/>
    <s v="GNR_RES_WTR_NOPMP_MC-04"/>
    <n v="3.67537745819287"/>
    <n v="13.231358849494301"/>
  </r>
  <r>
    <x v="0"/>
    <x v="0"/>
    <x v="0"/>
    <x v="7"/>
    <x v="14"/>
    <s v="NO4_A1"/>
    <x v="7"/>
    <s v="GNR_RES_WTR_NOPMP_MC-05"/>
    <n v="3.5222367307681699"/>
    <n v="12.6800522307654"/>
  </r>
  <r>
    <x v="0"/>
    <x v="0"/>
    <x v="0"/>
    <x v="7"/>
    <x v="14"/>
    <s v="NO4_A1"/>
    <x v="7"/>
    <s v="GNR_RES_WTR_NOPMP_MC-06"/>
    <n v="2.4109358451538001"/>
    <n v="8.6793690425536898"/>
  </r>
  <r>
    <x v="0"/>
    <x v="0"/>
    <x v="0"/>
    <x v="7"/>
    <x v="14"/>
    <s v="NO4_A1"/>
    <x v="7"/>
    <s v="GNR_RES_WTR_NOPMP_MC-07"/>
    <n v="0.43690600992398598"/>
    <n v="1.5728616357263501"/>
  </r>
  <r>
    <x v="0"/>
    <x v="0"/>
    <x v="0"/>
    <x v="7"/>
    <x v="14"/>
    <s v="NO4_A1"/>
    <x v="7"/>
    <s v="GNR_ROR_WTR"/>
    <n v="3.2123587841587899"/>
    <n v="11.5644916229716"/>
  </r>
  <r>
    <x v="0"/>
    <x v="0"/>
    <x v="0"/>
    <x v="7"/>
    <x v="14"/>
    <s v="NO4_A1"/>
    <x v="8"/>
    <s v="GNR_WT_WIND_ONS"/>
    <n v="0.819936"/>
    <n v="2.9517696"/>
  </r>
  <r>
    <x v="0"/>
    <x v="0"/>
    <x v="0"/>
    <x v="7"/>
    <x v="15"/>
    <s v="NO5_A1"/>
    <x v="19"/>
    <s v="GHOB_LPG"/>
    <n v="8.6739392789373801E-2"/>
    <n v="0.31226181404174602"/>
  </r>
  <r>
    <x v="0"/>
    <x v="0"/>
    <x v="0"/>
    <x v="7"/>
    <x v="15"/>
    <s v="NO5_A1"/>
    <x v="2"/>
    <s v="GBPR_MUNIWASTE"/>
    <n v="0.32904946236559102"/>
    <n v="1.1845780645161299"/>
  </r>
  <r>
    <x v="0"/>
    <x v="0"/>
    <x v="0"/>
    <x v="7"/>
    <x v="15"/>
    <s v="NO5_A1"/>
    <x v="7"/>
    <s v="GNR_RES_WTR_NOPMP_MC-01"/>
    <n v="1.3507327989206199"/>
    <n v="4.8626380761142496"/>
  </r>
  <r>
    <x v="0"/>
    <x v="0"/>
    <x v="0"/>
    <x v="7"/>
    <x v="15"/>
    <s v="NO5_A1"/>
    <x v="7"/>
    <s v="GNR_RES_WTR_NOPMP_MC-02"/>
    <n v="5.2401727989206197"/>
    <n v="18.864622076114198"/>
  </r>
  <r>
    <x v="0"/>
    <x v="0"/>
    <x v="0"/>
    <x v="7"/>
    <x v="15"/>
    <s v="NO5_A1"/>
    <x v="7"/>
    <s v="GNR_RES_WTR_NOPMP_MC-03"/>
    <n v="5.2401727989206197"/>
    <n v="18.864622076114198"/>
  </r>
  <r>
    <x v="0"/>
    <x v="0"/>
    <x v="0"/>
    <x v="7"/>
    <x v="15"/>
    <s v="NO5_A1"/>
    <x v="7"/>
    <s v="GNR_RES_WTR_NOPMP_MC-04"/>
    <n v="5.2401727989206197"/>
    <n v="18.864622076114198"/>
  </r>
  <r>
    <x v="0"/>
    <x v="0"/>
    <x v="0"/>
    <x v="7"/>
    <x v="15"/>
    <s v="NO5_A1"/>
    <x v="7"/>
    <s v="GNR_RES_WTR_NOPMP_MC-05"/>
    <n v="4.2982970837830798"/>
    <n v="15.473869501619101"/>
  </r>
  <r>
    <x v="0"/>
    <x v="0"/>
    <x v="0"/>
    <x v="7"/>
    <x v="15"/>
    <s v="NO5_A1"/>
    <x v="7"/>
    <s v="GNR_RES_WTR_NOPMP_MC-06"/>
    <n v="0.14343428250611201"/>
    <n v="0.51636341702200295"/>
  </r>
  <r>
    <x v="0"/>
    <x v="0"/>
    <x v="0"/>
    <x v="7"/>
    <x v="15"/>
    <s v="NO5_A1"/>
    <x v="7"/>
    <s v="GNR_RES_WTR_PMP_MC-01"/>
    <n v="3.88944"/>
    <n v="14.001984"/>
  </r>
  <r>
    <x v="0"/>
    <x v="0"/>
    <x v="0"/>
    <x v="7"/>
    <x v="15"/>
    <s v="NO5_A1"/>
    <x v="7"/>
    <s v="GNR_ROR_WTR"/>
    <n v="9.43591967443969"/>
    <n v="33.969310827982902"/>
  </r>
  <r>
    <x v="0"/>
    <x v="0"/>
    <x v="0"/>
    <x v="8"/>
    <x v="16"/>
    <s v="PL_A"/>
    <x v="0"/>
    <s v="BIAL-4_ST_COAL_CND"/>
    <n v="0.42781395348837198"/>
    <n v="1.5401302325581401"/>
  </r>
  <r>
    <x v="0"/>
    <x v="0"/>
    <x v="0"/>
    <x v="8"/>
    <x v="16"/>
    <s v="PL_A"/>
    <x v="0"/>
    <s v="BIEL-4_ST_COAL_BP"/>
    <n v="0.61161289806126395"/>
    <n v="2.20180643302055"/>
  </r>
  <r>
    <x v="0"/>
    <x v="0"/>
    <x v="0"/>
    <x v="8"/>
    <x v="16"/>
    <s v="PL_A"/>
    <x v="0"/>
    <s v="CHOR2-1_ST_COAL_BP"/>
    <n v="7.008"/>
    <n v="25.2288"/>
  </r>
  <r>
    <x v="0"/>
    <x v="0"/>
    <x v="0"/>
    <x v="8"/>
    <x v="16"/>
    <s v="PL_A"/>
    <x v="0"/>
    <s v="DOLN-1_ST_COAL_EXT"/>
    <n v="4.4142171658216904"/>
    <n v="15.891181796958101"/>
  </r>
  <r>
    <x v="0"/>
    <x v="0"/>
    <x v="0"/>
    <x v="8"/>
    <x v="16"/>
    <s v="PL_A"/>
    <x v="0"/>
    <s v="GDAN2-1_ST_COAL_BP"/>
    <n v="3.2496760258308801"/>
    <n v="11.698833692991199"/>
  </r>
  <r>
    <x v="0"/>
    <x v="0"/>
    <x v="0"/>
    <x v="8"/>
    <x v="16"/>
    <s v="PL_A"/>
    <x v="0"/>
    <s v="JAWO2-1_ST_COAL_BP"/>
    <n v="62.437160279086001"/>
    <n v="224.77377700471001"/>
  </r>
  <r>
    <x v="0"/>
    <x v="0"/>
    <x v="0"/>
    <x v="8"/>
    <x v="16"/>
    <s v="PL_A"/>
    <x v="0"/>
    <s v="KARO-2_ST_COAL_BP"/>
    <n v="4.1438821248820696"/>
    <n v="14.917975649575499"/>
  </r>
  <r>
    <x v="0"/>
    <x v="0"/>
    <x v="0"/>
    <x v="8"/>
    <x v="16"/>
    <s v="PL_A"/>
    <x v="0"/>
    <s v="KATO_ST_COAL_BP"/>
    <n v="2.9121081081081099"/>
    <n v="10.4835891891892"/>
  </r>
  <r>
    <x v="0"/>
    <x v="0"/>
    <x v="0"/>
    <x v="8"/>
    <x v="16"/>
    <s v="PL_A"/>
    <x v="0"/>
    <s v="KOZI-1_ST_COAL_EXT"/>
    <n v="4.4923076923076897"/>
    <n v="16.172307692307701"/>
  </r>
  <r>
    <x v="0"/>
    <x v="0"/>
    <x v="0"/>
    <x v="8"/>
    <x v="16"/>
    <s v="PL_A"/>
    <x v="0"/>
    <s v="KRLEG-1_ST_COAL_BP"/>
    <n v="5.5394117647058803"/>
    <n v="19.941882352941199"/>
  </r>
  <r>
    <x v="0"/>
    <x v="0"/>
    <x v="0"/>
    <x v="8"/>
    <x v="16"/>
    <s v="PL_A"/>
    <x v="0"/>
    <s v="LAZI-1_ST_COAL_EXT"/>
    <n v="2.5185"/>
    <n v="9.0665999999999993"/>
  </r>
  <r>
    <x v="0"/>
    <x v="0"/>
    <x v="0"/>
    <x v="8"/>
    <x v="16"/>
    <s v="PL_A"/>
    <x v="0"/>
    <s v="SIEK-1_ST_COAL_BP"/>
    <n v="0.16570992426728001"/>
    <n v="0.59655572736220797"/>
  </r>
  <r>
    <x v="0"/>
    <x v="0"/>
    <x v="0"/>
    <x v="8"/>
    <x v="16"/>
    <s v="PL_A"/>
    <x v="0"/>
    <s v="SIER-1_ST_COAL_BP"/>
    <n v="10.914960000000001"/>
    <n v="39.293855999999998"/>
  </r>
  <r>
    <x v="0"/>
    <x v="0"/>
    <x v="0"/>
    <x v="8"/>
    <x v="16"/>
    <s v="PL_A"/>
    <x v="0"/>
    <s v="TYCH_ST_COAL_BP"/>
    <n v="1.0074000000000001"/>
    <n v="3.6266400000000001"/>
  </r>
  <r>
    <x v="0"/>
    <x v="0"/>
    <x v="0"/>
    <x v="8"/>
    <x v="16"/>
    <s v="PL_A"/>
    <x v="0"/>
    <s v="ZIEL-2_ST_COAL_BP"/>
    <n v="0.19272"/>
    <n v="0.69379199999999996"/>
  </r>
  <r>
    <x v="0"/>
    <x v="0"/>
    <x v="0"/>
    <x v="8"/>
    <x v="16"/>
    <s v="PL_A"/>
    <x v="0"/>
    <s v="ZIEL-4_ST_COAL_BP"/>
    <n v="1.0511999999999999"/>
    <n v="3.7843200000000001"/>
  </r>
  <r>
    <x v="0"/>
    <x v="0"/>
    <x v="0"/>
    <x v="8"/>
    <x v="16"/>
    <s v="PL_A"/>
    <x v="17"/>
    <s v="ADAM-1_ST_LIGNITE_EXT"/>
    <n v="2.6523333333333299"/>
    <n v="9.5484000000000009"/>
  </r>
  <r>
    <x v="0"/>
    <x v="0"/>
    <x v="0"/>
    <x v="8"/>
    <x v="16"/>
    <s v="PL_A"/>
    <x v="17"/>
    <s v="BELC-1_ST_LIGNITE_EXT"/>
    <n v="7.6818461538461502"/>
    <n v="27.654646153846102"/>
  </r>
  <r>
    <x v="0"/>
    <x v="0"/>
    <x v="0"/>
    <x v="8"/>
    <x v="16"/>
    <s v="PL_A"/>
    <x v="2"/>
    <s v="GNR_ST_MSW_BP_E-15"/>
    <n v="1.9856"/>
    <n v="7.1481599999999998"/>
  </r>
  <r>
    <x v="0"/>
    <x v="0"/>
    <x v="0"/>
    <x v="8"/>
    <x v="16"/>
    <s v="PL_A"/>
    <x v="6"/>
    <s v="GNR_PV_SUN"/>
    <n v="1.09788013030086E-3"/>
    <n v="3.9523684690831E-3"/>
  </r>
  <r>
    <x v="0"/>
    <x v="0"/>
    <x v="0"/>
    <x v="8"/>
    <x v="16"/>
    <s v="PL_A"/>
    <x v="8"/>
    <s v="GNR_WT_WIND_ONS"/>
    <n v="6.9265800000000004"/>
    <n v="24.935687999999999"/>
  </r>
  <r>
    <x v="0"/>
    <x v="0"/>
    <x v="0"/>
    <x v="8"/>
    <x v="16"/>
    <s v="PL_Rural"/>
    <x v="0"/>
    <s v="DOLN-2_ST_COAL_CND"/>
    <n v="19.646159857840001"/>
    <n v="70.7261754882242"/>
  </r>
  <r>
    <x v="0"/>
    <x v="0"/>
    <x v="0"/>
    <x v="8"/>
    <x v="16"/>
    <s v="PL_Rural"/>
    <x v="0"/>
    <s v="KOZI-2_ST_COAL_CND"/>
    <n v="32.550714002364302"/>
    <n v="117.18257040851201"/>
  </r>
  <r>
    <x v="0"/>
    <x v="0"/>
    <x v="0"/>
    <x v="8"/>
    <x v="16"/>
    <s v="PL_Rural"/>
    <x v="0"/>
    <s v="LAGI-6_ST_COAL_CND"/>
    <n v="8.3122666666666607"/>
    <n v="29.924160000000001"/>
  </r>
  <r>
    <x v="0"/>
    <x v="0"/>
    <x v="0"/>
    <x v="8"/>
    <x v="16"/>
    <s v="PL_Rural"/>
    <x v="0"/>
    <s v="OPOL-1_ST_COAL_CND"/>
    <n v="31.097999999999999"/>
    <n v="111.9528"/>
  </r>
  <r>
    <x v="0"/>
    <x v="0"/>
    <x v="0"/>
    <x v="8"/>
    <x v="16"/>
    <s v="PL_Rural"/>
    <x v="0"/>
    <s v="OSTRB-1_ST_COAL_CND"/>
    <n v="10.0448"/>
    <n v="36.161279999999998"/>
  </r>
  <r>
    <x v="0"/>
    <x v="0"/>
    <x v="0"/>
    <x v="8"/>
    <x v="16"/>
    <s v="PL_Rural"/>
    <x v="0"/>
    <s v="POLA-2_ST_COAL_CND"/>
    <n v="30.819792127626101"/>
    <n v="110.951251659454"/>
  </r>
  <r>
    <x v="0"/>
    <x v="0"/>
    <x v="0"/>
    <x v="8"/>
    <x v="16"/>
    <s v="PL_Rural"/>
    <x v="0"/>
    <s v="RYBN-2_ST_COAL_CND"/>
    <n v="29.379069599428199"/>
    <n v="105.764650557941"/>
  </r>
  <r>
    <x v="0"/>
    <x v="0"/>
    <x v="0"/>
    <x v="8"/>
    <x v="16"/>
    <s v="PL_Rural"/>
    <x v="17"/>
    <s v="ADAM-2_ST_LIGNITE_CON"/>
    <n v="17.812000000000001"/>
    <n v="64.123199999999997"/>
  </r>
  <r>
    <x v="0"/>
    <x v="0"/>
    <x v="0"/>
    <x v="8"/>
    <x v="16"/>
    <s v="PL_Rural"/>
    <x v="17"/>
    <s v="BELC-2_ST_LIGNITE_CON"/>
    <n v="96.410057142857099"/>
    <n v="347.076205714286"/>
  </r>
  <r>
    <x v="0"/>
    <x v="0"/>
    <x v="0"/>
    <x v="8"/>
    <x v="16"/>
    <s v="PL_Rural"/>
    <x v="17"/>
    <s v="PATN2-1_ST_LIGNITE_CON"/>
    <n v="9.4223414634146305"/>
    <n v="33.9204292682927"/>
  </r>
  <r>
    <x v="0"/>
    <x v="0"/>
    <x v="0"/>
    <x v="8"/>
    <x v="16"/>
    <s v="PL_Rural"/>
    <x v="7"/>
    <s v="GNR_ROR_WTR"/>
    <n v="2.3110249999999999"/>
    <n v="8.3196899999999996"/>
  </r>
  <r>
    <x v="0"/>
    <x v="0"/>
    <x v="0"/>
    <x v="9"/>
    <x v="17"/>
    <s v="SE1A"/>
    <x v="7"/>
    <s v="GNR_RES_WTR_NOPMP_MC-01"/>
    <n v="3.5521799999999999"/>
    <n v="12.787848"/>
  </r>
  <r>
    <x v="0"/>
    <x v="0"/>
    <x v="0"/>
    <x v="9"/>
    <x v="17"/>
    <s v="SE1A"/>
    <x v="7"/>
    <s v="GNR_RES_WTR_NOPMP_MC-02"/>
    <n v="3.5521799999999999"/>
    <n v="12.787848"/>
  </r>
  <r>
    <x v="0"/>
    <x v="0"/>
    <x v="0"/>
    <x v="9"/>
    <x v="17"/>
    <s v="SE1A"/>
    <x v="7"/>
    <s v="GNR_RES_WTR_NOPMP_MC-03"/>
    <n v="3.3784273879578302"/>
    <n v="12.162338596648199"/>
  </r>
  <r>
    <x v="0"/>
    <x v="0"/>
    <x v="0"/>
    <x v="9"/>
    <x v="17"/>
    <s v="SE1A"/>
    <x v="7"/>
    <s v="GNR_RES_WTR_NOPMP_MC-04"/>
    <n v="2.04907613709099"/>
    <n v="7.3766740935275497"/>
  </r>
  <r>
    <x v="0"/>
    <x v="0"/>
    <x v="0"/>
    <x v="9"/>
    <x v="17"/>
    <s v="SE1A"/>
    <x v="7"/>
    <s v="GNR_RES_WTR_NOPMP_MC-05"/>
    <n v="0.77050968853483004"/>
    <n v="2.7738348787253901"/>
  </r>
  <r>
    <x v="0"/>
    <x v="0"/>
    <x v="0"/>
    <x v="9"/>
    <x v="17"/>
    <s v="SE1A"/>
    <x v="7"/>
    <s v="GNR_ROR_WTR"/>
    <n v="4.9412659291283996"/>
    <n v="17.788557344862198"/>
  </r>
  <r>
    <x v="0"/>
    <x v="0"/>
    <x v="0"/>
    <x v="9"/>
    <x v="17"/>
    <s v="SE1A"/>
    <x v="8"/>
    <s v="GNR_WT_WIND_ONS"/>
    <n v="1.3272919999999999"/>
    <n v="4.7782511999999997"/>
  </r>
  <r>
    <x v="0"/>
    <x v="0"/>
    <x v="0"/>
    <x v="9"/>
    <x v="17"/>
    <s v="SE1_EL"/>
    <x v="2"/>
    <s v="GBPR_MUNIWASTE"/>
    <n v="0.16184098599587399"/>
    <n v="0.58262754958514695"/>
  </r>
  <r>
    <x v="0"/>
    <x v="0"/>
    <x v="0"/>
    <x v="9"/>
    <x v="17"/>
    <s v="SE1_EL"/>
    <x v="1"/>
    <s v="GHOB_WASTEHEAT"/>
    <n v="1.08094453633871"/>
    <n v="3.8914003308193599"/>
  </r>
  <r>
    <x v="0"/>
    <x v="0"/>
    <x v="0"/>
    <x v="9"/>
    <x v="17"/>
    <s v="SE1_OTHER"/>
    <x v="13"/>
    <s v="GBPR_PEAT_38"/>
    <n v="6.7812423522814996E-2"/>
    <n v="0.244124724682134"/>
  </r>
  <r>
    <x v="0"/>
    <x v="0"/>
    <x v="0"/>
    <x v="9"/>
    <x v="17"/>
    <s v="SE1_OTHER"/>
    <x v="1"/>
    <s v="GHOB_WASTEHEAT"/>
    <n v="0.31385989010988902"/>
    <n v="1.1298956043956001"/>
  </r>
  <r>
    <x v="0"/>
    <x v="0"/>
    <x v="0"/>
    <x v="9"/>
    <x v="17"/>
    <s v="SE1_OTHER"/>
    <x v="9"/>
    <s v="GBPR_WOODWASTE"/>
    <n v="0.85386876368320896"/>
    <n v="3.0739275492595501"/>
  </r>
  <r>
    <x v="0"/>
    <x v="0"/>
    <x v="0"/>
    <x v="9"/>
    <x v="17"/>
    <s v="SE1_OTHER"/>
    <x v="9"/>
    <s v="GHOB_WOODWASTE"/>
    <n v="0.27512244211393799"/>
    <n v="0.99044079161017795"/>
  </r>
  <r>
    <x v="0"/>
    <x v="0"/>
    <x v="0"/>
    <x v="9"/>
    <x v="18"/>
    <s v="SE2A"/>
    <x v="7"/>
    <s v="GNR_RES_WTR_NOPMP_MC-01"/>
    <n v="3.5695705432814999"/>
    <n v="12.8504539558134"/>
  </r>
  <r>
    <x v="0"/>
    <x v="0"/>
    <x v="0"/>
    <x v="9"/>
    <x v="18"/>
    <s v="SE2A"/>
    <x v="7"/>
    <s v="GNR_RES_WTR_NOPMP_MC-02"/>
    <n v="4.51565054328149"/>
    <n v="16.256341955813401"/>
  </r>
  <r>
    <x v="0"/>
    <x v="0"/>
    <x v="0"/>
    <x v="9"/>
    <x v="18"/>
    <s v="SE2A"/>
    <x v="7"/>
    <s v="GNR_RES_WTR_NOPMP_MC-03"/>
    <n v="4.32749843731143"/>
    <n v="15.5789943743212"/>
  </r>
  <r>
    <x v="0"/>
    <x v="0"/>
    <x v="0"/>
    <x v="9"/>
    <x v="18"/>
    <s v="SE2A"/>
    <x v="7"/>
    <s v="GNR_RES_WTR_NOPMP_MC-04"/>
    <n v="3.09060717323556"/>
    <n v="11.126185823647999"/>
  </r>
  <r>
    <x v="0"/>
    <x v="0"/>
    <x v="0"/>
    <x v="9"/>
    <x v="18"/>
    <s v="SE2A"/>
    <x v="7"/>
    <s v="GNR_RES_WTR_NOPMP_MC-05"/>
    <n v="2.8222815895509301"/>
    <n v="10.1602137223834"/>
  </r>
  <r>
    <x v="0"/>
    <x v="0"/>
    <x v="0"/>
    <x v="9"/>
    <x v="18"/>
    <s v="SE2A"/>
    <x v="7"/>
    <s v="GNR_RES_WTR_NOPMP_MC-06"/>
    <n v="2.2578252716407499"/>
    <n v="8.1281709779066897"/>
  </r>
  <r>
    <x v="0"/>
    <x v="0"/>
    <x v="0"/>
    <x v="9"/>
    <x v="18"/>
    <s v="SE2A"/>
    <x v="7"/>
    <s v="GNR_RES_WTR_NOPMP_MC-07"/>
    <n v="0.80071520441753796"/>
    <n v="2.8825747359031402"/>
  </r>
  <r>
    <x v="0"/>
    <x v="0"/>
    <x v="0"/>
    <x v="9"/>
    <x v="18"/>
    <s v="SE2A"/>
    <x v="7"/>
    <s v="GNR_RES_WTR_NOPMP_MC-08"/>
    <n v="0.56445631791018702"/>
    <n v="2.0320427444766702"/>
  </r>
  <r>
    <x v="0"/>
    <x v="0"/>
    <x v="0"/>
    <x v="9"/>
    <x v="18"/>
    <s v="SE2A"/>
    <x v="7"/>
    <s v="GNR_RES_WTR_PMP_MC-01"/>
    <n v="0.94608000000000003"/>
    <n v="3.405888"/>
  </r>
  <r>
    <x v="0"/>
    <x v="0"/>
    <x v="0"/>
    <x v="9"/>
    <x v="18"/>
    <s v="SE2A"/>
    <x v="7"/>
    <s v="GNR_ROR_WTR"/>
    <n v="14.6401234618342"/>
    <n v="52.704444462603199"/>
  </r>
  <r>
    <x v="0"/>
    <x v="0"/>
    <x v="0"/>
    <x v="9"/>
    <x v="18"/>
    <s v="SE2A"/>
    <x v="8"/>
    <s v="GNR_WT_WIND_ONS"/>
    <n v="5.7980369999999999"/>
    <n v="20.872933199999999"/>
  </r>
  <r>
    <x v="0"/>
    <x v="0"/>
    <x v="0"/>
    <x v="9"/>
    <x v="18"/>
    <s v="SE2_EL"/>
    <x v="2"/>
    <s v="GBPR_MUNIWASTE_24"/>
    <n v="2.09834811861099"/>
    <n v="7.5540532269995797"/>
  </r>
  <r>
    <x v="0"/>
    <x v="0"/>
    <x v="0"/>
    <x v="9"/>
    <x v="18"/>
    <s v="SE2_EL"/>
    <x v="1"/>
    <s v="GHOB_WASTEHEAT"/>
    <n v="0.151414835164835"/>
    <n v="0.545093406593404"/>
  </r>
  <r>
    <x v="0"/>
    <x v="0"/>
    <x v="0"/>
    <x v="9"/>
    <x v="18"/>
    <s v="SE2_EL"/>
    <x v="9"/>
    <s v="GBPR_WOODWASTE_25"/>
    <n v="1.24078915144532"/>
    <n v="4.4668409452031703"/>
  </r>
  <r>
    <x v="0"/>
    <x v="0"/>
    <x v="0"/>
    <x v="9"/>
    <x v="18"/>
    <s v="SE2_EL"/>
    <x v="9"/>
    <s v="GEXT_WOODWASTE_HORNEBORG"/>
    <n v="0.89947250437828397"/>
    <n v="3.2381010157618202"/>
  </r>
  <r>
    <x v="0"/>
    <x v="0"/>
    <x v="0"/>
    <x v="9"/>
    <x v="18"/>
    <s v="SE2_OTHER"/>
    <x v="2"/>
    <s v="GBPR_MUNIWASTE_24"/>
    <n v="0.15905345873548299"/>
    <n v="0.57259245144773696"/>
  </r>
  <r>
    <x v="0"/>
    <x v="0"/>
    <x v="0"/>
    <x v="9"/>
    <x v="18"/>
    <s v="SE2_OTHER"/>
    <x v="1"/>
    <s v="GHOB_WASTEHEAT"/>
    <n v="0.14043415109890101"/>
    <n v="0.50556294395604195"/>
  </r>
  <r>
    <x v="0"/>
    <x v="0"/>
    <x v="0"/>
    <x v="9"/>
    <x v="18"/>
    <s v="SE2_OTHER"/>
    <x v="9"/>
    <s v="GBPR_WOODWASTE_36"/>
    <n v="1.63875627353489"/>
    <n v="5.8995225847255899"/>
  </r>
  <r>
    <x v="0"/>
    <x v="0"/>
    <x v="0"/>
    <x v="9"/>
    <x v="18"/>
    <s v="SE2_OTHER"/>
    <x v="9"/>
    <s v="GHOB_WOODWASTE"/>
    <n v="0.55098366587601499"/>
    <n v="1.9835411971536501"/>
  </r>
  <r>
    <x v="0"/>
    <x v="0"/>
    <x v="0"/>
    <x v="9"/>
    <x v="19"/>
    <s v="SE3A"/>
    <x v="15"/>
    <s v="GCND_NUCLEAR"/>
    <n v="182.06996649289101"/>
    <n v="655.45187937440699"/>
  </r>
  <r>
    <x v="0"/>
    <x v="0"/>
    <x v="0"/>
    <x v="9"/>
    <x v="19"/>
    <s v="SE3A"/>
    <x v="7"/>
    <s v="GNR_RES_WTR_NOPMP_MC-01"/>
    <n v="1.1528160000000001"/>
    <n v="4.1501375999999999"/>
  </r>
  <r>
    <x v="0"/>
    <x v="0"/>
    <x v="0"/>
    <x v="9"/>
    <x v="19"/>
    <s v="SE3A"/>
    <x v="7"/>
    <s v="GNR_RES_WTR_NOPMP_MC-02"/>
    <n v="1.1528160000000001"/>
    <n v="4.1501375999999999"/>
  </r>
  <r>
    <x v="0"/>
    <x v="0"/>
    <x v="0"/>
    <x v="9"/>
    <x v="19"/>
    <s v="SE3A"/>
    <x v="7"/>
    <s v="GNR_RES_WTR_NOPMP_MC-03"/>
    <n v="0.91264599999999996"/>
    <n v="3.2855256000000002"/>
  </r>
  <r>
    <x v="0"/>
    <x v="0"/>
    <x v="0"/>
    <x v="9"/>
    <x v="19"/>
    <s v="SE3A"/>
    <x v="7"/>
    <s v="GNR_RES_WTR_NOPMP_MC-04"/>
    <n v="0.768544"/>
    <n v="2.7667584000000001"/>
  </r>
  <r>
    <x v="0"/>
    <x v="0"/>
    <x v="0"/>
    <x v="9"/>
    <x v="19"/>
    <s v="SE3A"/>
    <x v="7"/>
    <s v="GNR_RES_WTR_NOPMP_MC-05"/>
    <n v="0.62444200000000005"/>
    <n v="2.2479912"/>
  </r>
  <r>
    <x v="0"/>
    <x v="0"/>
    <x v="0"/>
    <x v="9"/>
    <x v="19"/>
    <s v="SE3A"/>
    <x v="7"/>
    <s v="GNR_RES_WTR_NOPMP_MC-06"/>
    <n v="0.43408543739192001"/>
    <n v="1.56270757461091"/>
  </r>
  <r>
    <x v="0"/>
    <x v="0"/>
    <x v="0"/>
    <x v="9"/>
    <x v="19"/>
    <s v="SE3A"/>
    <x v="7"/>
    <s v="GNR_RES_WTR_NOPMP_MC-07"/>
    <n v="0.192136"/>
    <n v="0.69168960000000002"/>
  </r>
  <r>
    <x v="0"/>
    <x v="0"/>
    <x v="0"/>
    <x v="9"/>
    <x v="19"/>
    <s v="SE3A"/>
    <x v="7"/>
    <s v="GNR_RES_WTR_NOPMP_MC-08"/>
    <n v="0.129172237353778"/>
    <n v="0.46502005447360001"/>
  </r>
  <r>
    <x v="0"/>
    <x v="0"/>
    <x v="0"/>
    <x v="9"/>
    <x v="19"/>
    <s v="SE3A"/>
    <x v="7"/>
    <s v="GNR_ROR_WTR"/>
    <n v="5.3666576747457002"/>
    <n v="19.319967629084498"/>
  </r>
  <r>
    <x v="0"/>
    <x v="0"/>
    <x v="0"/>
    <x v="9"/>
    <x v="19"/>
    <s v="SE3A"/>
    <x v="8"/>
    <s v="GNR_WT_WIND_ONS"/>
    <n v="4.6407759999999998"/>
    <n v="16.706793600000001"/>
  </r>
  <r>
    <x v="0"/>
    <x v="0"/>
    <x v="0"/>
    <x v="9"/>
    <x v="19"/>
    <s v="SE3_EL"/>
    <x v="0"/>
    <s v="GEXT_COAL_LINK"/>
    <n v="0.29924777361271998"/>
    <n v="1.07729198500579"/>
  </r>
  <r>
    <x v="0"/>
    <x v="0"/>
    <x v="0"/>
    <x v="9"/>
    <x v="19"/>
    <s v="SE3_EL"/>
    <x v="2"/>
    <s v="GBPR_MUNIWASTE_24"/>
    <n v="2.3244554751372699"/>
    <n v="8.3680397104941804"/>
  </r>
  <r>
    <x v="0"/>
    <x v="0"/>
    <x v="0"/>
    <x v="9"/>
    <x v="19"/>
    <s v="SE3_EL"/>
    <x v="2"/>
    <s v="GBPR_MUNIWASTE_LINK"/>
    <n v="2.1075384356157101"/>
    <n v="7.5871383682165501"/>
  </r>
  <r>
    <x v="0"/>
    <x v="0"/>
    <x v="0"/>
    <x v="9"/>
    <x v="19"/>
    <s v="SE3_EL"/>
    <x v="2"/>
    <s v="GHOB_MUNIWASTE"/>
    <n v="1.8324392432951799"/>
    <n v="6.5967812758626501"/>
  </r>
  <r>
    <x v="0"/>
    <x v="0"/>
    <x v="0"/>
    <x v="9"/>
    <x v="19"/>
    <s v="SE3_EL"/>
    <x v="13"/>
    <s v="GBPR_PEAT_38"/>
    <n v="0.15869086708607799"/>
    <n v="0.57128712150988203"/>
  </r>
  <r>
    <x v="0"/>
    <x v="0"/>
    <x v="0"/>
    <x v="9"/>
    <x v="19"/>
    <s v="SE3_EL"/>
    <x v="13"/>
    <s v="GEXT_PEAT"/>
    <n v="1.0970154528354801"/>
    <n v="3.9492556302077402"/>
  </r>
  <r>
    <x v="0"/>
    <x v="0"/>
    <x v="0"/>
    <x v="9"/>
    <x v="19"/>
    <s v="SE3_EL"/>
    <x v="20"/>
    <s v="GBPR_RECYCLEDWOOD_SE3EL"/>
    <n v="1.0563044724600801"/>
    <n v="3.8026961008562901"/>
  </r>
  <r>
    <x v="0"/>
    <x v="0"/>
    <x v="0"/>
    <x v="9"/>
    <x v="19"/>
    <s v="SE3_EL"/>
    <x v="1"/>
    <s v="GHOB_WASTEHEAT"/>
    <n v="0.23845329670329601"/>
    <n v="0.85843186813186501"/>
  </r>
  <r>
    <x v="0"/>
    <x v="0"/>
    <x v="0"/>
    <x v="9"/>
    <x v="19"/>
    <s v="SE3_EL"/>
    <x v="9"/>
    <s v="GBPR_WOODWASTE_25"/>
    <n v="2.6918360070052501"/>
    <n v="9.6906096252189204"/>
  </r>
  <r>
    <x v="0"/>
    <x v="0"/>
    <x v="0"/>
    <x v="9"/>
    <x v="19"/>
    <s v="SE3_EL"/>
    <x v="9"/>
    <s v="GBPR_WOODWASTE_ABY"/>
    <n v="1.8515006254691"/>
    <n v="6.6654022516887501"/>
  </r>
  <r>
    <x v="0"/>
    <x v="0"/>
    <x v="0"/>
    <x v="9"/>
    <x v="19"/>
    <s v="SE3_EL"/>
    <x v="9"/>
    <s v="GHOB_WOODWASTE"/>
    <n v="0.58845633452147905"/>
    <n v="2.1184428042773198"/>
  </r>
  <r>
    <x v="0"/>
    <x v="0"/>
    <x v="0"/>
    <x v="9"/>
    <x v="19"/>
    <s v="SE3_GOT"/>
    <x v="2"/>
    <s v="GBPR_MUNIWASTE_24"/>
    <n v="2.04172888888889"/>
    <n v="7.3502239999999999"/>
  </r>
  <r>
    <x v="0"/>
    <x v="0"/>
    <x v="0"/>
    <x v="9"/>
    <x v="19"/>
    <s v="SE3_GOT"/>
    <x v="1"/>
    <s v="GHOB_WASTEHEAT"/>
    <n v="1.03583791208791"/>
    <n v="3.7290164835164701"/>
  </r>
  <r>
    <x v="0"/>
    <x v="0"/>
    <x v="0"/>
    <x v="9"/>
    <x v="19"/>
    <s v="SE3_GOT"/>
    <x v="9"/>
    <s v="GBPR_WOODWASTE_GOT"/>
    <n v="0.88850392869135597"/>
    <n v="3.1986141432888799"/>
  </r>
  <r>
    <x v="0"/>
    <x v="0"/>
    <x v="0"/>
    <x v="9"/>
    <x v="19"/>
    <s v="SE3_HP"/>
    <x v="2"/>
    <s v="GBPR_MUNIWASTE_24"/>
    <n v="1.66803115779105"/>
    <n v="6.0049121680477802"/>
  </r>
  <r>
    <x v="0"/>
    <x v="0"/>
    <x v="0"/>
    <x v="9"/>
    <x v="19"/>
    <s v="SE3_HP"/>
    <x v="1"/>
    <s v="GHOB_WASTEHEAT"/>
    <n v="3.0082417582417501E-5"/>
    <n v="1.08296703296703E-4"/>
  </r>
  <r>
    <x v="0"/>
    <x v="0"/>
    <x v="0"/>
    <x v="9"/>
    <x v="19"/>
    <s v="SE3_HP"/>
    <x v="9"/>
    <s v="GBPR_WOODWASTE_36"/>
    <n v="0.93238003502626998"/>
    <n v="3.3565681260945701"/>
  </r>
  <r>
    <x v="0"/>
    <x v="0"/>
    <x v="0"/>
    <x v="9"/>
    <x v="19"/>
    <s v="SE3_HP"/>
    <x v="9"/>
    <s v="GEXT_WOODWASTE"/>
    <n v="4.3099044415151999"/>
    <n v="15.5156559894547"/>
  </r>
  <r>
    <x v="0"/>
    <x v="0"/>
    <x v="0"/>
    <x v="9"/>
    <x v="19"/>
    <s v="SE3_HP"/>
    <x v="9"/>
    <s v="GHOB_WOODWASTE"/>
    <n v="0.179339073377975"/>
    <n v="0.64562066416070896"/>
  </r>
  <r>
    <x v="0"/>
    <x v="0"/>
    <x v="0"/>
    <x v="9"/>
    <x v="19"/>
    <s v="SE3_OTHER"/>
    <x v="2"/>
    <s v="GBPR_MUNIWASTE_24"/>
    <n v="1.45422925753667"/>
    <n v="5.2352253271320297"/>
  </r>
  <r>
    <x v="0"/>
    <x v="0"/>
    <x v="0"/>
    <x v="9"/>
    <x v="19"/>
    <s v="SE3_OTHER"/>
    <x v="2"/>
    <s v="GHOB_MUNIWASTE"/>
    <n v="1.22537459775631"/>
    <n v="4.4113485519227096"/>
  </r>
  <r>
    <x v="0"/>
    <x v="0"/>
    <x v="0"/>
    <x v="9"/>
    <x v="19"/>
    <s v="SE3_OTHER"/>
    <x v="21"/>
    <s v="GHOB_OTHERGAS"/>
    <n v="0.20611764705882399"/>
    <n v="0.74202352941176497"/>
  </r>
  <r>
    <x v="0"/>
    <x v="0"/>
    <x v="0"/>
    <x v="9"/>
    <x v="19"/>
    <s v="SE3_OTHER"/>
    <x v="1"/>
    <s v="GHOB_WASTEHEAT"/>
    <n v="1.18305324175824"/>
    <n v="4.2589916703296504"/>
  </r>
  <r>
    <x v="0"/>
    <x v="0"/>
    <x v="0"/>
    <x v="9"/>
    <x v="19"/>
    <s v="SE3_OTHER"/>
    <x v="9"/>
    <s v="GBPR_WOODWASTE_25"/>
    <n v="7.4340950008318698"/>
    <n v="26.762742002994798"/>
  </r>
  <r>
    <x v="0"/>
    <x v="0"/>
    <x v="0"/>
    <x v="9"/>
    <x v="19"/>
    <s v="SE3_OTHER"/>
    <x v="9"/>
    <s v="GHOB_WOODWASTE"/>
    <n v="3.7262207355130599"/>
    <n v="13.414394647847001"/>
  </r>
  <r>
    <x v="0"/>
    <x v="0"/>
    <x v="0"/>
    <x v="9"/>
    <x v="19"/>
    <s v="SE3_STO"/>
    <x v="0"/>
    <s v="GBPR_COAL_VARTAN"/>
    <n v="2.5413788956401802"/>
    <n v="9.1489640243046395"/>
  </r>
  <r>
    <x v="0"/>
    <x v="0"/>
    <x v="0"/>
    <x v="9"/>
    <x v="19"/>
    <s v="SE3_STO"/>
    <x v="2"/>
    <s v="GBPR_MUNIWASTE_HOGDALEN"/>
    <n v="1.6516474319766601"/>
    <n v="5.9459307551159997"/>
  </r>
  <r>
    <x v="0"/>
    <x v="0"/>
    <x v="0"/>
    <x v="9"/>
    <x v="19"/>
    <s v="SE3_STO"/>
    <x v="2"/>
    <s v="GHOB_MUNIWASTE"/>
    <n v="1.17147583935945"/>
    <n v="4.21731302169401"/>
  </r>
  <r>
    <x v="0"/>
    <x v="0"/>
    <x v="0"/>
    <x v="9"/>
    <x v="19"/>
    <s v="SE3_STO"/>
    <x v="9"/>
    <s v="GBPR_WOODWASTE"/>
    <n v="2.9383130985569199"/>
    <n v="10.5779271548049"/>
  </r>
  <r>
    <x v="0"/>
    <x v="0"/>
    <x v="0"/>
    <x v="9"/>
    <x v="19"/>
    <s v="SE3_STO"/>
    <x v="9"/>
    <s v="GBPR_WOODWASTE_BRISTA"/>
    <n v="1.62036013258871"/>
    <n v="5.8332964773193599"/>
  </r>
  <r>
    <x v="0"/>
    <x v="0"/>
    <x v="0"/>
    <x v="9"/>
    <x v="20"/>
    <s v="SE4A"/>
    <x v="7"/>
    <s v="GNR_RES_WTR_NOPMP_MC-01"/>
    <n v="0.133916753811192"/>
    <n v="0.482100313720292"/>
  </r>
  <r>
    <x v="0"/>
    <x v="0"/>
    <x v="0"/>
    <x v="9"/>
    <x v="20"/>
    <s v="SE4A"/>
    <x v="7"/>
    <s v="GNR_RES_WTR_NOPMP_MC-02"/>
    <n v="0.133916753811192"/>
    <n v="0.482100313720292"/>
  </r>
  <r>
    <x v="0"/>
    <x v="0"/>
    <x v="0"/>
    <x v="9"/>
    <x v="20"/>
    <s v="SE4A"/>
    <x v="7"/>
    <s v="GNR_RES_WTR_NOPMP_MC-03"/>
    <n v="0.124362190896582"/>
    <n v="0.447703887227696"/>
  </r>
  <r>
    <x v="0"/>
    <x v="0"/>
    <x v="0"/>
    <x v="9"/>
    <x v="20"/>
    <s v="SE4A"/>
    <x v="7"/>
    <s v="GNR_RES_WTR_NOPMP_MC-04"/>
    <n v="0.100437565358394"/>
    <n v="0.36157523529021901"/>
  </r>
  <r>
    <x v="0"/>
    <x v="0"/>
    <x v="0"/>
    <x v="9"/>
    <x v="20"/>
    <s v="SE4A"/>
    <x v="7"/>
    <s v="GNR_RES_WTR_NOPMP_MC-05"/>
    <n v="8.3697971131995105E-2"/>
    <n v="0.30131269607518202"/>
  </r>
  <r>
    <x v="0"/>
    <x v="0"/>
    <x v="0"/>
    <x v="9"/>
    <x v="20"/>
    <s v="SE4A"/>
    <x v="7"/>
    <s v="GNR_RES_WTR_NOPMP_MC-06"/>
    <n v="6.6958376905596098E-2"/>
    <n v="0.241050156860146"/>
  </r>
  <r>
    <x v="0"/>
    <x v="0"/>
    <x v="0"/>
    <x v="9"/>
    <x v="20"/>
    <s v="SE4A"/>
    <x v="7"/>
    <s v="GNR_RES_WTR_NOPMP_MC-07"/>
    <n v="2.7899323710664999E-2"/>
    <n v="0.100437565358394"/>
  </r>
  <r>
    <x v="0"/>
    <x v="0"/>
    <x v="0"/>
    <x v="9"/>
    <x v="20"/>
    <s v="SE4A"/>
    <x v="7"/>
    <s v="GNR_RES_WTR_NOPMP_MC-08"/>
    <n v="1.6739594226399E-2"/>
    <n v="6.0262539215036499E-2"/>
  </r>
  <r>
    <x v="0"/>
    <x v="0"/>
    <x v="0"/>
    <x v="9"/>
    <x v="20"/>
    <s v="SE4A"/>
    <x v="7"/>
    <s v="GNR_ROR_WTR"/>
    <n v="0.89790717004695797"/>
    <n v="3.2324658121690502"/>
  </r>
  <r>
    <x v="0"/>
    <x v="0"/>
    <x v="0"/>
    <x v="9"/>
    <x v="20"/>
    <s v="SE4A"/>
    <x v="8"/>
    <s v="GNR_WT_WIND_ONS"/>
    <n v="2.8917470000000001"/>
    <n v="10.410289199999999"/>
  </r>
  <r>
    <x v="0"/>
    <x v="0"/>
    <x v="0"/>
    <x v="9"/>
    <x v="20"/>
    <s v="SE4_EL"/>
    <x v="20"/>
    <s v="GBPR_RECYCLEDWOOD"/>
    <n v="0.69481808031332204"/>
    <n v="2.5013450891279598"/>
  </r>
  <r>
    <x v="0"/>
    <x v="0"/>
    <x v="0"/>
    <x v="9"/>
    <x v="20"/>
    <s v="SE4_EL"/>
    <x v="20"/>
    <s v="GBPR_RECYCLEDWOOD_SE4EL"/>
    <n v="6.1824603409406403E-2"/>
    <n v="0.22256857227386301"/>
  </r>
  <r>
    <x v="0"/>
    <x v="0"/>
    <x v="0"/>
    <x v="9"/>
    <x v="20"/>
    <s v="SE4_EL"/>
    <x v="20"/>
    <s v="GHOB_RECYCLEDWOOD"/>
    <n v="5.09486003914701E-3"/>
    <n v="1.8341496140929201E-2"/>
  </r>
  <r>
    <x v="0"/>
    <x v="0"/>
    <x v="0"/>
    <x v="9"/>
    <x v="20"/>
    <s v="SE4_EL"/>
    <x v="1"/>
    <s v="GHOB_WASTEHEAT"/>
    <n v="9.1249999999999595E-2"/>
    <n v="0.32849999999999902"/>
  </r>
  <r>
    <x v="0"/>
    <x v="0"/>
    <x v="0"/>
    <x v="9"/>
    <x v="20"/>
    <s v="SE4_EL"/>
    <x v="9"/>
    <s v="GHOB_WOODWASTE"/>
    <n v="0.56807689436489095"/>
    <n v="2.0450768197136102"/>
  </r>
  <r>
    <x v="0"/>
    <x v="0"/>
    <x v="0"/>
    <x v="9"/>
    <x v="20"/>
    <s v="SE4_HP"/>
    <x v="2"/>
    <s v="GBPR_MUNIWASTE_65"/>
    <n v="0.45329523809523797"/>
    <n v="1.6318628571428599"/>
  </r>
  <r>
    <x v="0"/>
    <x v="0"/>
    <x v="0"/>
    <x v="9"/>
    <x v="20"/>
    <s v="SE4_HP"/>
    <x v="3"/>
    <s v="GBPR_NATGAS_100"/>
    <n v="0.38416381698598301"/>
    <n v="1.38298974114954"/>
  </r>
  <r>
    <x v="0"/>
    <x v="0"/>
    <x v="0"/>
    <x v="9"/>
    <x v="20"/>
    <s v="SE4_HP"/>
    <x v="3"/>
    <s v="GHOB_NATGAS"/>
    <n v="4.5955021134407902E-3"/>
    <n v="1.65438076083868E-2"/>
  </r>
  <r>
    <x v="0"/>
    <x v="0"/>
    <x v="0"/>
    <x v="9"/>
    <x v="20"/>
    <s v="SE4_HP"/>
    <x v="1"/>
    <s v="GHOB_WASTEHEAT"/>
    <n v="0.30282967032966901"/>
    <n v="1.09018681318681"/>
  </r>
  <r>
    <x v="0"/>
    <x v="0"/>
    <x v="0"/>
    <x v="9"/>
    <x v="20"/>
    <s v="SE4_HP"/>
    <x v="9"/>
    <s v="GHOB_WOODWASTE"/>
    <n v="0.16558295127227801"/>
    <n v="0.59609862458020002"/>
  </r>
  <r>
    <x v="0"/>
    <x v="0"/>
    <x v="0"/>
    <x v="9"/>
    <x v="20"/>
    <s v="SE4_MAL"/>
    <x v="2"/>
    <s v="GBPR_MUNIWASTE_24"/>
    <n v="1.27387505353143"/>
    <n v="4.5859501927131596"/>
  </r>
  <r>
    <x v="0"/>
    <x v="0"/>
    <x v="0"/>
    <x v="9"/>
    <x v="20"/>
    <s v="SE4_MAL"/>
    <x v="2"/>
    <s v="GHOB_MUNIWASTE"/>
    <n v="0.50206107401119204"/>
    <n v="1.8074198664402901"/>
  </r>
  <r>
    <x v="0"/>
    <x v="0"/>
    <x v="0"/>
    <x v="9"/>
    <x v="20"/>
    <s v="SE4_MAL"/>
    <x v="3"/>
    <s v="GBPR_NATGAS_MAL"/>
    <n v="0.24786968472718199"/>
    <n v="0.89233086501785597"/>
  </r>
  <r>
    <x v="0"/>
    <x v="0"/>
    <x v="0"/>
    <x v="9"/>
    <x v="20"/>
    <s v="SE4_MAL"/>
    <x v="1"/>
    <s v="GHOB_WASTEHEAT"/>
    <n v="0.108296703296703"/>
    <n v="0.38986813186813102"/>
  </r>
  <r>
    <x v="0"/>
    <x v="0"/>
    <x v="0"/>
    <x v="9"/>
    <x v="20"/>
    <s v="SE4_MAL"/>
    <x v="5"/>
    <s v="GHOB_WOODCHIPS"/>
    <n v="0.59591644967083401"/>
    <n v="2.145299218815"/>
  </r>
  <r>
    <x v="0"/>
    <x v="0"/>
    <x v="0"/>
    <x v="9"/>
    <x v="20"/>
    <s v="SE4_OTHER"/>
    <x v="2"/>
    <s v="GBPR_MUNIWASTE_19"/>
    <n v="0.70351571231326704"/>
    <n v="2.5326565643277599"/>
  </r>
  <r>
    <x v="0"/>
    <x v="0"/>
    <x v="0"/>
    <x v="9"/>
    <x v="20"/>
    <s v="SE4_OTHER"/>
    <x v="2"/>
    <s v="GHOB_MUNIWASTE"/>
    <n v="0.13559832840585601"/>
    <n v="0.48815398226108198"/>
  </r>
  <r>
    <x v="0"/>
    <x v="0"/>
    <x v="0"/>
    <x v="9"/>
    <x v="20"/>
    <s v="SE4_OTHER"/>
    <x v="1"/>
    <s v="GHOB_WASTEHEAT"/>
    <n v="0.481388873626372"/>
    <n v="1.73299994505494"/>
  </r>
  <r>
    <x v="0"/>
    <x v="0"/>
    <x v="0"/>
    <x v="9"/>
    <x v="20"/>
    <s v="SE4_OTHER"/>
    <x v="9"/>
    <s v="GBPR_WOODWASTE_36"/>
    <n v="2.6305548721541201"/>
    <n v="9.4699975397548197"/>
  </r>
  <r>
    <x v="0"/>
    <x v="0"/>
    <x v="0"/>
    <x v="9"/>
    <x v="20"/>
    <s v="SE4_OTHER"/>
    <x v="9"/>
    <s v="GHOB_WOODWASTE"/>
    <n v="2.36389996163222"/>
    <n v="8.5100398618759705"/>
  </r>
  <r>
    <x v="0"/>
    <x v="0"/>
    <x v="0"/>
    <x v="10"/>
    <x v="21"/>
    <s v="UK_A"/>
    <x v="0"/>
    <s v="GNR_ST_COAL_CND_E-33"/>
    <n v="173.49061507232199"/>
    <n v="624.56621426035997"/>
  </r>
  <r>
    <x v="0"/>
    <x v="0"/>
    <x v="0"/>
    <x v="10"/>
    <x v="21"/>
    <s v="UK_A"/>
    <x v="0"/>
    <s v="GNR_ST_COAL_CND_E-35"/>
    <n v="281.89761063379098"/>
    <n v="1014.83139828165"/>
  </r>
  <r>
    <x v="0"/>
    <x v="0"/>
    <x v="0"/>
    <x v="10"/>
    <x v="21"/>
    <s v="UK_A"/>
    <x v="2"/>
    <s v="GNR_ST_MSW_CND_E-40"/>
    <n v="17.651399999999999"/>
    <n v="63.54504"/>
  </r>
  <r>
    <x v="0"/>
    <x v="0"/>
    <x v="0"/>
    <x v="10"/>
    <x v="21"/>
    <s v="UK_A"/>
    <x v="3"/>
    <s v="GNR_CC_NGAS_CND_E-47"/>
    <n v="5.2407381524815904"/>
    <n v="18.8666573489337"/>
  </r>
  <r>
    <x v="0"/>
    <x v="0"/>
    <x v="0"/>
    <x v="10"/>
    <x v="21"/>
    <s v="UK_A"/>
    <x v="3"/>
    <s v="GNR_CC_NGAS_CND_E-52"/>
    <n v="22.219054125028901"/>
    <n v="79.988594850104107"/>
  </r>
  <r>
    <x v="0"/>
    <x v="0"/>
    <x v="0"/>
    <x v="10"/>
    <x v="21"/>
    <s v="UK_A"/>
    <x v="3"/>
    <s v="GNR_CC_NGAS_CND_E-56"/>
    <n v="69.662802830827502"/>
    <n v="250.786090190979"/>
  </r>
  <r>
    <x v="0"/>
    <x v="0"/>
    <x v="0"/>
    <x v="10"/>
    <x v="21"/>
    <s v="UK_A"/>
    <x v="15"/>
    <s v="GNR_ST_NUCL_CND_E-33"/>
    <n v="249.553818181818"/>
    <n v="898.39374545454496"/>
  </r>
  <r>
    <x v="0"/>
    <x v="0"/>
    <x v="0"/>
    <x v="10"/>
    <x v="21"/>
    <s v="UK_A"/>
    <x v="6"/>
    <s v="GNR_PV_SUN"/>
    <n v="5.7649489919999999"/>
    <n v="20.753816371199999"/>
  </r>
  <r>
    <x v="0"/>
    <x v="0"/>
    <x v="0"/>
    <x v="10"/>
    <x v="21"/>
    <s v="UK_A"/>
    <x v="7"/>
    <s v="GNR_ES_WTR_PMP"/>
    <n v="1.3155999999999999E-2"/>
    <n v="4.7361599999999997E-2"/>
  </r>
  <r>
    <x v="0"/>
    <x v="0"/>
    <x v="0"/>
    <x v="10"/>
    <x v="21"/>
    <s v="UK_A"/>
    <x v="7"/>
    <s v="GNR_ROR_WTR"/>
    <n v="5.28207359972677"/>
    <n v="19.015464959016398"/>
  </r>
  <r>
    <x v="0"/>
    <x v="0"/>
    <x v="0"/>
    <x v="10"/>
    <x v="21"/>
    <s v="UK_A"/>
    <x v="8"/>
    <s v="GNR_WT_WIND_ONS"/>
    <n v="26.306808"/>
    <n v="94.704508799999999"/>
  </r>
  <r>
    <x v="0"/>
    <x v="0"/>
    <x v="0"/>
    <x v="10"/>
    <x v="21"/>
    <s v="UK_Offshore"/>
    <x v="8"/>
    <s v="GNR_WT_WIND_OFF"/>
    <n v="14.602332000000001"/>
    <n v="52.568395199999998"/>
  </r>
</pivotCacheRecords>
</file>

<file path=xl/pivotCache/pivotCacheRecords11.xml><?xml version="1.0" encoding="utf-8"?>
<pivotCacheRecords xmlns="http://schemas.openxmlformats.org/spreadsheetml/2006/main" xmlns:r="http://schemas.openxmlformats.org/officeDocument/2006/relationships" count="9115">
  <r>
    <x v="0"/>
    <x v="0"/>
    <x v="0"/>
    <x v="0"/>
    <x v="0"/>
    <s v="DK1_Large"/>
    <x v="0"/>
    <s v="GNR_ST_COAL_EXT_E-42"/>
    <x v="0"/>
    <x v="0"/>
    <n v="742.21333444236905"/>
    <n v="270907.86707146501"/>
    <n v="975268.32145727298"/>
  </r>
  <r>
    <x v="0"/>
    <x v="0"/>
    <x v="0"/>
    <x v="0"/>
    <x v="0"/>
    <s v="DK1_Large"/>
    <x v="0"/>
    <s v="GNR_ST_COAL_EXT_E-42"/>
    <x v="0"/>
    <x v="1"/>
    <n v="628.29995047753198"/>
    <n v="229329.48192429901"/>
    <n v="825586.13492747699"/>
  </r>
  <r>
    <x v="0"/>
    <x v="0"/>
    <x v="0"/>
    <x v="0"/>
    <x v="0"/>
    <s v="DK1_Large"/>
    <x v="0"/>
    <s v="GNR_ST_COAL_EXT_E-42"/>
    <x v="0"/>
    <x v="2"/>
    <n v="580.290781545958"/>
    <n v="211806.13526427501"/>
    <n v="762502.08695138898"/>
  </r>
  <r>
    <x v="0"/>
    <x v="0"/>
    <x v="0"/>
    <x v="0"/>
    <x v="0"/>
    <s v="DK1_Large"/>
    <x v="0"/>
    <s v="GNR_ST_COAL_EXT_E-42"/>
    <x v="0"/>
    <x v="3"/>
    <n v="344.63102801912299"/>
    <n v="125790.32522698"/>
    <n v="452845.17081712699"/>
  </r>
  <r>
    <x v="0"/>
    <x v="0"/>
    <x v="0"/>
    <x v="0"/>
    <x v="0"/>
    <s v="DK1_Large"/>
    <x v="0"/>
    <s v="GNR_ST_COAL_EXT_E-42"/>
    <x v="0"/>
    <x v="4"/>
    <n v="891.58095172877495"/>
    <n v="325427.04738100298"/>
    <n v="1171537.3705716101"/>
  </r>
  <r>
    <x v="0"/>
    <x v="0"/>
    <x v="0"/>
    <x v="0"/>
    <x v="0"/>
    <s v="DK1_Large"/>
    <x v="0"/>
    <s v="GNR_ST_COAL_EXT_E-42"/>
    <x v="0"/>
    <x v="5"/>
    <n v="1700"/>
    <n v="620500"/>
    <n v="2233800"/>
  </r>
  <r>
    <x v="0"/>
    <x v="0"/>
    <x v="0"/>
    <x v="0"/>
    <x v="0"/>
    <s v="DK1_Large"/>
    <x v="0"/>
    <s v="GNR_ST_COAL_EXT_E-42"/>
    <x v="0"/>
    <x v="6"/>
    <n v="1700"/>
    <n v="620500"/>
    <n v="2233800"/>
  </r>
  <r>
    <x v="0"/>
    <x v="0"/>
    <x v="0"/>
    <x v="0"/>
    <x v="0"/>
    <s v="DK1_Large"/>
    <x v="0"/>
    <s v="GNR_ST_COAL_EXT_E-42"/>
    <x v="0"/>
    <x v="7"/>
    <n v="1700"/>
    <n v="620500"/>
    <n v="2233800"/>
  </r>
  <r>
    <x v="0"/>
    <x v="0"/>
    <x v="0"/>
    <x v="0"/>
    <x v="0"/>
    <s v="DK1_Large"/>
    <x v="0"/>
    <s v="GNR_ST_COAL_EXT_E-42"/>
    <x v="0"/>
    <x v="8"/>
    <n v="1700"/>
    <n v="620500"/>
    <n v="2233800"/>
  </r>
  <r>
    <x v="0"/>
    <x v="0"/>
    <x v="0"/>
    <x v="0"/>
    <x v="0"/>
    <s v="DK1_Large"/>
    <x v="0"/>
    <s v="GNR_ST_COAL_EXT_E-42"/>
    <x v="0"/>
    <x v="9"/>
    <n v="1700"/>
    <n v="620500"/>
    <n v="2233800"/>
  </r>
  <r>
    <x v="0"/>
    <x v="0"/>
    <x v="0"/>
    <x v="0"/>
    <x v="0"/>
    <s v="DK1_Large"/>
    <x v="0"/>
    <s v="GNR_ST_COAL_EXT_E-42"/>
    <x v="0"/>
    <x v="10"/>
    <n v="1700"/>
    <n v="620500"/>
    <n v="2233800"/>
  </r>
  <r>
    <x v="0"/>
    <x v="0"/>
    <x v="0"/>
    <x v="0"/>
    <x v="0"/>
    <s v="DK1_Large"/>
    <x v="0"/>
    <s v="GNR_ST_COAL_EXT_E-42"/>
    <x v="0"/>
    <x v="11"/>
    <n v="1700"/>
    <n v="620500"/>
    <n v="2233800"/>
  </r>
  <r>
    <x v="0"/>
    <x v="0"/>
    <x v="0"/>
    <x v="0"/>
    <x v="0"/>
    <s v="DK1_Large"/>
    <x v="0"/>
    <s v="GNR_ST_COAL_EXT_E-42"/>
    <x v="0"/>
    <x v="12"/>
    <n v="1700"/>
    <n v="620500"/>
    <n v="2233800"/>
  </r>
  <r>
    <x v="0"/>
    <x v="0"/>
    <x v="0"/>
    <x v="0"/>
    <x v="0"/>
    <s v="DK1_Large"/>
    <x v="0"/>
    <s v="GNR_ST_COAL_EXT_E-42"/>
    <x v="0"/>
    <x v="13"/>
    <n v="1700"/>
    <n v="620500"/>
    <n v="2233800"/>
  </r>
  <r>
    <x v="0"/>
    <x v="0"/>
    <x v="0"/>
    <x v="0"/>
    <x v="0"/>
    <s v="DK1_Large"/>
    <x v="0"/>
    <s v="GNR_ST_COAL_EXT_E-42"/>
    <x v="0"/>
    <x v="14"/>
    <n v="1700"/>
    <n v="620500"/>
    <n v="2233800"/>
  </r>
  <r>
    <x v="0"/>
    <x v="0"/>
    <x v="0"/>
    <x v="0"/>
    <x v="0"/>
    <s v="DK1_Large"/>
    <x v="0"/>
    <s v="GNR_ST_COAL_EXT_E-42"/>
    <x v="0"/>
    <x v="15"/>
    <n v="1700"/>
    <n v="620500"/>
    <n v="2233800"/>
  </r>
  <r>
    <x v="0"/>
    <x v="0"/>
    <x v="0"/>
    <x v="0"/>
    <x v="0"/>
    <s v="DK1_Large"/>
    <x v="0"/>
    <s v="GNR_ST_COAL_EXT_E-42"/>
    <x v="0"/>
    <x v="16"/>
    <n v="1700"/>
    <n v="620500"/>
    <n v="2233800"/>
  </r>
  <r>
    <x v="0"/>
    <x v="0"/>
    <x v="0"/>
    <x v="0"/>
    <x v="0"/>
    <s v="DK1_Large"/>
    <x v="0"/>
    <s v="GNR_ST_COAL_EXT_E-42"/>
    <x v="0"/>
    <x v="17"/>
    <n v="1210.7626198901301"/>
    <n v="441928.356259897"/>
    <n v="1590942.0825356301"/>
  </r>
  <r>
    <x v="0"/>
    <x v="0"/>
    <x v="0"/>
    <x v="0"/>
    <x v="0"/>
    <s v="DK1_Large"/>
    <x v="0"/>
    <s v="GNR_ST_COAL_EXT_E-43"/>
    <x v="0"/>
    <x v="0"/>
    <n v="1732.55813953488"/>
    <n v="632383.72093023302"/>
    <n v="2276581.3953488399"/>
  </r>
  <r>
    <x v="0"/>
    <x v="0"/>
    <x v="0"/>
    <x v="0"/>
    <x v="0"/>
    <s v="DK1_Large"/>
    <x v="0"/>
    <s v="GNR_ST_COAL_EXT_E-43"/>
    <x v="0"/>
    <x v="1"/>
    <n v="1732.55813953488"/>
    <n v="632383.72093023302"/>
    <n v="2276581.3953488399"/>
  </r>
  <r>
    <x v="0"/>
    <x v="0"/>
    <x v="0"/>
    <x v="0"/>
    <x v="0"/>
    <s v="DK1_Large"/>
    <x v="0"/>
    <s v="GNR_ST_COAL_EXT_E-43"/>
    <x v="0"/>
    <x v="2"/>
    <n v="1732.55813953488"/>
    <n v="632383.72093023302"/>
    <n v="2276581.3953488399"/>
  </r>
  <r>
    <x v="0"/>
    <x v="0"/>
    <x v="0"/>
    <x v="0"/>
    <x v="0"/>
    <s v="DK1_Large"/>
    <x v="0"/>
    <s v="GNR_ST_COAL_EXT_E-43"/>
    <x v="0"/>
    <x v="3"/>
    <n v="1732.55813953488"/>
    <n v="632383.72093023302"/>
    <n v="2276581.3953488399"/>
  </r>
  <r>
    <x v="0"/>
    <x v="0"/>
    <x v="0"/>
    <x v="0"/>
    <x v="0"/>
    <s v="DK1_Large"/>
    <x v="0"/>
    <s v="GNR_ST_COAL_EXT_E-43"/>
    <x v="0"/>
    <x v="18"/>
    <n v="1732.55813953488"/>
    <n v="632383.72093023302"/>
    <n v="2276581.3953488399"/>
  </r>
  <r>
    <x v="0"/>
    <x v="0"/>
    <x v="0"/>
    <x v="0"/>
    <x v="0"/>
    <s v="DK1_Large"/>
    <x v="0"/>
    <s v="GNR_ST_COAL_EXT_E-43"/>
    <x v="0"/>
    <x v="4"/>
    <n v="1732.55813953488"/>
    <n v="632383.72093023302"/>
    <n v="2276581.3953488399"/>
  </r>
  <r>
    <x v="0"/>
    <x v="0"/>
    <x v="0"/>
    <x v="0"/>
    <x v="0"/>
    <s v="DK1_Large"/>
    <x v="0"/>
    <s v="GNR_ST_COAL_EXT_E-43"/>
    <x v="0"/>
    <x v="5"/>
    <n v="1732.55813953488"/>
    <n v="632383.72093023302"/>
    <n v="2276581.3953488399"/>
  </r>
  <r>
    <x v="0"/>
    <x v="0"/>
    <x v="0"/>
    <x v="0"/>
    <x v="0"/>
    <s v="DK1_Large"/>
    <x v="0"/>
    <s v="GNR_ST_COAL_EXT_E-43"/>
    <x v="0"/>
    <x v="6"/>
    <n v="1732.55813953488"/>
    <n v="632383.72093023302"/>
    <n v="2276581.3953488399"/>
  </r>
  <r>
    <x v="0"/>
    <x v="0"/>
    <x v="0"/>
    <x v="0"/>
    <x v="0"/>
    <s v="DK1_Large"/>
    <x v="0"/>
    <s v="GNR_ST_COAL_EXT_E-43"/>
    <x v="0"/>
    <x v="7"/>
    <n v="1732.55813953488"/>
    <n v="632383.72093023302"/>
    <n v="2276581.3953488399"/>
  </r>
  <r>
    <x v="0"/>
    <x v="0"/>
    <x v="0"/>
    <x v="0"/>
    <x v="0"/>
    <s v="DK1_Large"/>
    <x v="0"/>
    <s v="GNR_ST_COAL_EXT_E-43"/>
    <x v="0"/>
    <x v="8"/>
    <n v="1732.55813953488"/>
    <n v="632383.72093023302"/>
    <n v="2276581.3953488399"/>
  </r>
  <r>
    <x v="0"/>
    <x v="0"/>
    <x v="0"/>
    <x v="0"/>
    <x v="0"/>
    <s v="DK1_Large"/>
    <x v="0"/>
    <s v="GNR_ST_COAL_EXT_E-43"/>
    <x v="0"/>
    <x v="9"/>
    <n v="1732.55813953488"/>
    <n v="632383.72093023302"/>
    <n v="2276581.3953488399"/>
  </r>
  <r>
    <x v="0"/>
    <x v="0"/>
    <x v="0"/>
    <x v="0"/>
    <x v="0"/>
    <s v="DK1_Large"/>
    <x v="0"/>
    <s v="GNR_ST_COAL_EXT_E-43"/>
    <x v="0"/>
    <x v="10"/>
    <n v="1732.55813953488"/>
    <n v="632383.72093023302"/>
    <n v="2276581.3953488399"/>
  </r>
  <r>
    <x v="0"/>
    <x v="0"/>
    <x v="0"/>
    <x v="0"/>
    <x v="0"/>
    <s v="DK1_Large"/>
    <x v="0"/>
    <s v="GNR_ST_COAL_EXT_E-43"/>
    <x v="0"/>
    <x v="11"/>
    <n v="1732.55813953488"/>
    <n v="632383.72093023302"/>
    <n v="2276581.3953488399"/>
  </r>
  <r>
    <x v="0"/>
    <x v="0"/>
    <x v="0"/>
    <x v="0"/>
    <x v="0"/>
    <s v="DK1_Large"/>
    <x v="0"/>
    <s v="GNR_ST_COAL_EXT_E-43"/>
    <x v="0"/>
    <x v="12"/>
    <n v="1732.55813953488"/>
    <n v="632383.72093023302"/>
    <n v="2276581.3953488399"/>
  </r>
  <r>
    <x v="0"/>
    <x v="0"/>
    <x v="0"/>
    <x v="0"/>
    <x v="0"/>
    <s v="DK1_Large"/>
    <x v="0"/>
    <s v="GNR_ST_COAL_EXT_E-43"/>
    <x v="0"/>
    <x v="13"/>
    <n v="1732.55813953488"/>
    <n v="632383.72093023302"/>
    <n v="2276581.3953488399"/>
  </r>
  <r>
    <x v="0"/>
    <x v="0"/>
    <x v="0"/>
    <x v="0"/>
    <x v="0"/>
    <s v="DK1_Large"/>
    <x v="0"/>
    <s v="GNR_ST_COAL_EXT_E-43"/>
    <x v="0"/>
    <x v="14"/>
    <n v="1732.55813953488"/>
    <n v="632383.72093023302"/>
    <n v="2276581.3953488399"/>
  </r>
  <r>
    <x v="0"/>
    <x v="0"/>
    <x v="0"/>
    <x v="0"/>
    <x v="0"/>
    <s v="DK1_Large"/>
    <x v="0"/>
    <s v="GNR_ST_COAL_EXT_E-43"/>
    <x v="0"/>
    <x v="15"/>
    <n v="1732.55813953488"/>
    <n v="632383.72093023302"/>
    <n v="2276581.3953488399"/>
  </r>
  <r>
    <x v="0"/>
    <x v="0"/>
    <x v="0"/>
    <x v="0"/>
    <x v="0"/>
    <s v="DK1_Large"/>
    <x v="0"/>
    <s v="GNR_ST_COAL_EXT_E-43"/>
    <x v="0"/>
    <x v="16"/>
    <n v="1732.55813953488"/>
    <n v="632383.72093023302"/>
    <n v="2276581.3953488399"/>
  </r>
  <r>
    <x v="0"/>
    <x v="0"/>
    <x v="0"/>
    <x v="0"/>
    <x v="0"/>
    <s v="DK1_Large"/>
    <x v="0"/>
    <s v="GNR_ST_COAL_EXT_E-43"/>
    <x v="0"/>
    <x v="17"/>
    <n v="1732.55813953488"/>
    <n v="632383.72093023302"/>
    <n v="2276581.3953488399"/>
  </r>
  <r>
    <x v="0"/>
    <x v="0"/>
    <x v="0"/>
    <x v="0"/>
    <x v="0"/>
    <s v="DK1_Large"/>
    <x v="0"/>
    <s v="GNR_ST_COAL_EXT_E-43"/>
    <x v="0"/>
    <x v="19"/>
    <n v="1732.55813953488"/>
    <n v="632383.72093023302"/>
    <n v="2276581.3953488399"/>
  </r>
  <r>
    <x v="0"/>
    <x v="0"/>
    <x v="0"/>
    <x v="0"/>
    <x v="0"/>
    <s v="DK1_Large"/>
    <x v="0"/>
    <s v="GNR_ST_COAL_EXT_E-43"/>
    <x v="0"/>
    <x v="20"/>
    <n v="1732.55813953488"/>
    <n v="632383.72093023302"/>
    <n v="2276581.3953488399"/>
  </r>
  <r>
    <x v="0"/>
    <x v="0"/>
    <x v="0"/>
    <x v="0"/>
    <x v="0"/>
    <s v="DK1_Large"/>
    <x v="0"/>
    <s v="GNR_ST_COAL_EXT_E-47"/>
    <x v="0"/>
    <x v="0"/>
    <n v="819.14893617021301"/>
    <n v="298989.36170212802"/>
    <n v="1076361.7021276599"/>
  </r>
  <r>
    <x v="0"/>
    <x v="0"/>
    <x v="0"/>
    <x v="0"/>
    <x v="0"/>
    <s v="DK1_Large"/>
    <x v="0"/>
    <s v="GNR_ST_COAL_EXT_E-47"/>
    <x v="0"/>
    <x v="1"/>
    <n v="819.14893617021301"/>
    <n v="298989.36170212802"/>
    <n v="1076361.7021276599"/>
  </r>
  <r>
    <x v="0"/>
    <x v="0"/>
    <x v="0"/>
    <x v="0"/>
    <x v="0"/>
    <s v="DK1_Large"/>
    <x v="0"/>
    <s v="GNR_ST_COAL_EXT_E-47"/>
    <x v="0"/>
    <x v="2"/>
    <n v="819.14893617021301"/>
    <n v="298989.36170212802"/>
    <n v="1076361.7021276599"/>
  </r>
  <r>
    <x v="0"/>
    <x v="0"/>
    <x v="0"/>
    <x v="0"/>
    <x v="0"/>
    <s v="DK1_Large"/>
    <x v="0"/>
    <s v="GNR_ST_COAL_EXT_E-47"/>
    <x v="0"/>
    <x v="3"/>
    <n v="819.14893617021301"/>
    <n v="298989.36170212802"/>
    <n v="1076361.7021276599"/>
  </r>
  <r>
    <x v="0"/>
    <x v="0"/>
    <x v="0"/>
    <x v="0"/>
    <x v="0"/>
    <s v="DK1_Large"/>
    <x v="0"/>
    <s v="GNR_ST_COAL_EXT_E-47"/>
    <x v="0"/>
    <x v="18"/>
    <n v="819.14893617021301"/>
    <n v="298989.36170212802"/>
    <n v="1076361.7021276599"/>
  </r>
  <r>
    <x v="0"/>
    <x v="0"/>
    <x v="0"/>
    <x v="0"/>
    <x v="0"/>
    <s v="DK1_Large"/>
    <x v="0"/>
    <s v="GNR_ST_COAL_EXT_E-47"/>
    <x v="0"/>
    <x v="4"/>
    <n v="819.14893617021301"/>
    <n v="298989.36170212802"/>
    <n v="1076361.7021276599"/>
  </r>
  <r>
    <x v="0"/>
    <x v="0"/>
    <x v="0"/>
    <x v="0"/>
    <x v="0"/>
    <s v="DK1_Large"/>
    <x v="0"/>
    <s v="GNR_ST_COAL_EXT_E-47"/>
    <x v="0"/>
    <x v="5"/>
    <n v="819.14893617021301"/>
    <n v="298989.36170212802"/>
    <n v="1076361.7021276599"/>
  </r>
  <r>
    <x v="0"/>
    <x v="0"/>
    <x v="0"/>
    <x v="0"/>
    <x v="0"/>
    <s v="DK1_Large"/>
    <x v="0"/>
    <s v="GNR_ST_COAL_EXT_E-47"/>
    <x v="0"/>
    <x v="6"/>
    <n v="819.14893617021301"/>
    <n v="298989.36170212802"/>
    <n v="1076361.7021276599"/>
  </r>
  <r>
    <x v="0"/>
    <x v="0"/>
    <x v="0"/>
    <x v="0"/>
    <x v="0"/>
    <s v="DK1_Large"/>
    <x v="0"/>
    <s v="GNR_ST_COAL_EXT_E-47"/>
    <x v="0"/>
    <x v="7"/>
    <n v="819.14893617021301"/>
    <n v="298989.36170212802"/>
    <n v="1076361.7021276599"/>
  </r>
  <r>
    <x v="0"/>
    <x v="0"/>
    <x v="0"/>
    <x v="0"/>
    <x v="0"/>
    <s v="DK1_Large"/>
    <x v="0"/>
    <s v="GNR_ST_COAL_EXT_E-47"/>
    <x v="0"/>
    <x v="8"/>
    <n v="819.14893617021301"/>
    <n v="298989.36170212802"/>
    <n v="1076361.7021276599"/>
  </r>
  <r>
    <x v="0"/>
    <x v="0"/>
    <x v="0"/>
    <x v="0"/>
    <x v="0"/>
    <s v="DK1_Large"/>
    <x v="0"/>
    <s v="GNR_ST_COAL_EXT_E-47"/>
    <x v="0"/>
    <x v="9"/>
    <n v="819.14893617021301"/>
    <n v="298989.36170212802"/>
    <n v="1076361.7021276599"/>
  </r>
  <r>
    <x v="0"/>
    <x v="0"/>
    <x v="0"/>
    <x v="0"/>
    <x v="0"/>
    <s v="DK1_Large"/>
    <x v="0"/>
    <s v="GNR_ST_COAL_EXT_E-47"/>
    <x v="0"/>
    <x v="10"/>
    <n v="819.14893617021301"/>
    <n v="298989.36170212802"/>
    <n v="1076361.7021276599"/>
  </r>
  <r>
    <x v="0"/>
    <x v="0"/>
    <x v="0"/>
    <x v="0"/>
    <x v="0"/>
    <s v="DK1_Large"/>
    <x v="0"/>
    <s v="GNR_ST_COAL_EXT_E-47"/>
    <x v="0"/>
    <x v="11"/>
    <n v="819.14893617021301"/>
    <n v="298989.36170212802"/>
    <n v="1076361.7021276599"/>
  </r>
  <r>
    <x v="0"/>
    <x v="0"/>
    <x v="0"/>
    <x v="0"/>
    <x v="0"/>
    <s v="DK1_Large"/>
    <x v="0"/>
    <s v="GNR_ST_COAL_EXT_E-47"/>
    <x v="0"/>
    <x v="12"/>
    <n v="819.14893617021301"/>
    <n v="298989.36170212802"/>
    <n v="1076361.7021276599"/>
  </r>
  <r>
    <x v="0"/>
    <x v="0"/>
    <x v="0"/>
    <x v="0"/>
    <x v="0"/>
    <s v="DK1_Large"/>
    <x v="0"/>
    <s v="GNR_ST_COAL_EXT_E-47"/>
    <x v="0"/>
    <x v="13"/>
    <n v="819.14893617021301"/>
    <n v="298989.36170212802"/>
    <n v="1076361.7021276599"/>
  </r>
  <r>
    <x v="0"/>
    <x v="0"/>
    <x v="0"/>
    <x v="0"/>
    <x v="0"/>
    <s v="DK1_Large"/>
    <x v="0"/>
    <s v="GNR_ST_COAL_EXT_E-47"/>
    <x v="0"/>
    <x v="14"/>
    <n v="819.14893617021301"/>
    <n v="298989.36170212802"/>
    <n v="1076361.7021276599"/>
  </r>
  <r>
    <x v="0"/>
    <x v="0"/>
    <x v="0"/>
    <x v="0"/>
    <x v="0"/>
    <s v="DK1_Large"/>
    <x v="0"/>
    <s v="GNR_ST_COAL_EXT_E-47"/>
    <x v="0"/>
    <x v="15"/>
    <n v="819.14893617021301"/>
    <n v="298989.36170212802"/>
    <n v="1076361.7021276599"/>
  </r>
  <r>
    <x v="0"/>
    <x v="0"/>
    <x v="0"/>
    <x v="0"/>
    <x v="0"/>
    <s v="DK1_Large"/>
    <x v="0"/>
    <s v="GNR_ST_COAL_EXT_E-47"/>
    <x v="0"/>
    <x v="16"/>
    <n v="819.14893617021301"/>
    <n v="298989.36170212802"/>
    <n v="1076361.7021276599"/>
  </r>
  <r>
    <x v="0"/>
    <x v="0"/>
    <x v="0"/>
    <x v="0"/>
    <x v="0"/>
    <s v="DK1_Large"/>
    <x v="0"/>
    <s v="GNR_ST_COAL_EXT_E-47"/>
    <x v="0"/>
    <x v="17"/>
    <n v="819.14893617021301"/>
    <n v="298989.36170212802"/>
    <n v="1076361.7021276599"/>
  </r>
  <r>
    <x v="0"/>
    <x v="0"/>
    <x v="0"/>
    <x v="0"/>
    <x v="0"/>
    <s v="DK1_Large"/>
    <x v="0"/>
    <s v="GNR_ST_COAL_EXT_E-47"/>
    <x v="0"/>
    <x v="19"/>
    <n v="819.14893617021301"/>
    <n v="298989.36170212802"/>
    <n v="1076361.7021276599"/>
  </r>
  <r>
    <x v="0"/>
    <x v="0"/>
    <x v="0"/>
    <x v="0"/>
    <x v="0"/>
    <s v="DK1_Large"/>
    <x v="0"/>
    <s v="GNR_ST_COAL_EXT_E-47"/>
    <x v="0"/>
    <x v="20"/>
    <n v="819.14893617021301"/>
    <n v="298989.36170212802"/>
    <n v="1076361.7021276599"/>
  </r>
  <r>
    <x v="0"/>
    <x v="0"/>
    <x v="0"/>
    <x v="0"/>
    <x v="0"/>
    <s v="DK1_Large"/>
    <x v="0"/>
    <s v="GNR_ST_COAL_EXT_E-47"/>
    <x v="0"/>
    <x v="21"/>
    <n v="819.14893617021301"/>
    <n v="298989.36170212802"/>
    <n v="1076361.7021276599"/>
  </r>
  <r>
    <x v="0"/>
    <x v="0"/>
    <x v="0"/>
    <x v="0"/>
    <x v="0"/>
    <s v="DK1_Large"/>
    <x v="0"/>
    <s v="GNR_ST_COAL_EXT_E-47"/>
    <x v="0"/>
    <x v="22"/>
    <n v="819.14893617021301"/>
    <n v="298989.36170212802"/>
    <n v="1076361.7021276599"/>
  </r>
  <r>
    <x v="0"/>
    <x v="0"/>
    <x v="0"/>
    <x v="0"/>
    <x v="0"/>
    <s v="DK1_Large"/>
    <x v="0"/>
    <s v="GNR_ST_COAL_EXT_E-47"/>
    <x v="0"/>
    <x v="23"/>
    <n v="819.14893617021301"/>
    <n v="298989.36170212802"/>
    <n v="1076361.7021276599"/>
  </r>
  <r>
    <x v="0"/>
    <x v="0"/>
    <x v="0"/>
    <x v="0"/>
    <x v="0"/>
    <s v="DK1_Large"/>
    <x v="1"/>
    <s v="GNR_EH_HEAT"/>
    <x v="0"/>
    <x v="0"/>
    <n v="174.14"/>
    <n v="63561.1"/>
    <n v="228819.96"/>
  </r>
  <r>
    <x v="0"/>
    <x v="0"/>
    <x v="0"/>
    <x v="0"/>
    <x v="0"/>
    <s v="DK1_Large"/>
    <x v="1"/>
    <s v="GNR_EH_HEAT"/>
    <x v="0"/>
    <x v="1"/>
    <n v="174.14"/>
    <n v="63561.1"/>
    <n v="228819.96"/>
  </r>
  <r>
    <x v="0"/>
    <x v="0"/>
    <x v="0"/>
    <x v="0"/>
    <x v="0"/>
    <s v="DK1_Large"/>
    <x v="1"/>
    <s v="GNR_EH_HEAT"/>
    <x v="0"/>
    <x v="2"/>
    <n v="174.14"/>
    <n v="63561.1"/>
    <n v="228819.96"/>
  </r>
  <r>
    <x v="0"/>
    <x v="0"/>
    <x v="0"/>
    <x v="0"/>
    <x v="0"/>
    <s v="DK1_Large"/>
    <x v="1"/>
    <s v="GNR_EH_HEAT"/>
    <x v="0"/>
    <x v="3"/>
    <n v="174.14"/>
    <n v="63561.1"/>
    <n v="228819.96"/>
  </r>
  <r>
    <x v="0"/>
    <x v="0"/>
    <x v="0"/>
    <x v="0"/>
    <x v="0"/>
    <s v="DK1_Large"/>
    <x v="1"/>
    <s v="GNR_EH_HEAT"/>
    <x v="0"/>
    <x v="18"/>
    <n v="174.14"/>
    <n v="63561.1"/>
    <n v="228819.96"/>
  </r>
  <r>
    <x v="0"/>
    <x v="0"/>
    <x v="0"/>
    <x v="0"/>
    <x v="0"/>
    <s v="DK1_Large"/>
    <x v="1"/>
    <s v="GNR_EH_HEAT"/>
    <x v="0"/>
    <x v="4"/>
    <n v="174.14"/>
    <n v="63561.1"/>
    <n v="228819.96"/>
  </r>
  <r>
    <x v="0"/>
    <x v="0"/>
    <x v="0"/>
    <x v="0"/>
    <x v="0"/>
    <s v="DK1_Large"/>
    <x v="1"/>
    <s v="GNR_EH_HEAT"/>
    <x v="0"/>
    <x v="5"/>
    <n v="174.14"/>
    <n v="63561.1"/>
    <n v="228819.96"/>
  </r>
  <r>
    <x v="0"/>
    <x v="0"/>
    <x v="0"/>
    <x v="0"/>
    <x v="0"/>
    <s v="DK1_Large"/>
    <x v="1"/>
    <s v="GNR_EH_HEAT"/>
    <x v="0"/>
    <x v="6"/>
    <n v="174.14"/>
    <n v="63561.1"/>
    <n v="228819.96"/>
  </r>
  <r>
    <x v="0"/>
    <x v="0"/>
    <x v="0"/>
    <x v="0"/>
    <x v="0"/>
    <s v="DK1_Large"/>
    <x v="1"/>
    <s v="GNR_EH_HEAT"/>
    <x v="0"/>
    <x v="7"/>
    <n v="174.14"/>
    <n v="63561.1"/>
    <n v="228819.96"/>
  </r>
  <r>
    <x v="0"/>
    <x v="0"/>
    <x v="0"/>
    <x v="0"/>
    <x v="0"/>
    <s v="DK1_Large"/>
    <x v="1"/>
    <s v="GNR_EH_HEAT"/>
    <x v="0"/>
    <x v="8"/>
    <n v="174.14"/>
    <n v="63561.1"/>
    <n v="228819.96"/>
  </r>
  <r>
    <x v="0"/>
    <x v="0"/>
    <x v="0"/>
    <x v="0"/>
    <x v="0"/>
    <s v="DK1_Large"/>
    <x v="1"/>
    <s v="GNR_EH_HEAT"/>
    <x v="0"/>
    <x v="9"/>
    <n v="174.14"/>
    <n v="63561.1"/>
    <n v="228819.96"/>
  </r>
  <r>
    <x v="0"/>
    <x v="0"/>
    <x v="0"/>
    <x v="0"/>
    <x v="0"/>
    <s v="DK1_Large"/>
    <x v="1"/>
    <s v="GNR_EH_HEAT"/>
    <x v="0"/>
    <x v="10"/>
    <n v="174.14"/>
    <n v="63561.1"/>
    <n v="228819.96"/>
  </r>
  <r>
    <x v="0"/>
    <x v="0"/>
    <x v="0"/>
    <x v="0"/>
    <x v="0"/>
    <s v="DK1_Large"/>
    <x v="1"/>
    <s v="GNR_EH_HEAT"/>
    <x v="0"/>
    <x v="11"/>
    <n v="174.14"/>
    <n v="63561.1"/>
    <n v="228819.96"/>
  </r>
  <r>
    <x v="0"/>
    <x v="0"/>
    <x v="0"/>
    <x v="0"/>
    <x v="0"/>
    <s v="DK1_Large"/>
    <x v="1"/>
    <s v="GNR_EH_HEAT"/>
    <x v="0"/>
    <x v="12"/>
    <n v="174.14"/>
    <n v="63561.1"/>
    <n v="228819.96"/>
  </r>
  <r>
    <x v="0"/>
    <x v="0"/>
    <x v="0"/>
    <x v="0"/>
    <x v="0"/>
    <s v="DK1_Large"/>
    <x v="1"/>
    <s v="GNR_EH_HEAT"/>
    <x v="0"/>
    <x v="13"/>
    <n v="174.14"/>
    <n v="63561.1"/>
    <n v="228819.96"/>
  </r>
  <r>
    <x v="0"/>
    <x v="0"/>
    <x v="0"/>
    <x v="0"/>
    <x v="0"/>
    <s v="DK1_Large"/>
    <x v="1"/>
    <s v="GNR_EH_HEAT"/>
    <x v="0"/>
    <x v="14"/>
    <n v="174.14"/>
    <n v="63561.1"/>
    <n v="228819.96"/>
  </r>
  <r>
    <x v="0"/>
    <x v="0"/>
    <x v="0"/>
    <x v="0"/>
    <x v="0"/>
    <s v="DK1_Large"/>
    <x v="1"/>
    <s v="GNR_EH_HEAT"/>
    <x v="0"/>
    <x v="15"/>
    <n v="174.14"/>
    <n v="63561.1"/>
    <n v="228819.96"/>
  </r>
  <r>
    <x v="0"/>
    <x v="0"/>
    <x v="0"/>
    <x v="0"/>
    <x v="0"/>
    <s v="DK1_Large"/>
    <x v="1"/>
    <s v="GNR_EH_HEAT"/>
    <x v="0"/>
    <x v="16"/>
    <n v="174.14"/>
    <n v="63561.1"/>
    <n v="228819.96"/>
  </r>
  <r>
    <x v="0"/>
    <x v="0"/>
    <x v="0"/>
    <x v="0"/>
    <x v="0"/>
    <s v="DK1_Large"/>
    <x v="1"/>
    <s v="GNR_EH_HEAT"/>
    <x v="0"/>
    <x v="17"/>
    <n v="174.14"/>
    <n v="63561.1"/>
    <n v="228819.96"/>
  </r>
  <r>
    <x v="0"/>
    <x v="0"/>
    <x v="0"/>
    <x v="0"/>
    <x v="0"/>
    <s v="DK1_Large"/>
    <x v="1"/>
    <s v="GNR_EH_HEAT"/>
    <x v="0"/>
    <x v="19"/>
    <n v="174.14"/>
    <n v="63561.1"/>
    <n v="228819.96"/>
  </r>
  <r>
    <x v="0"/>
    <x v="0"/>
    <x v="0"/>
    <x v="0"/>
    <x v="0"/>
    <s v="DK1_Large"/>
    <x v="1"/>
    <s v="GNR_EH_HEAT"/>
    <x v="0"/>
    <x v="20"/>
    <n v="174.14"/>
    <n v="63561.1"/>
    <n v="228819.96"/>
  </r>
  <r>
    <x v="0"/>
    <x v="0"/>
    <x v="0"/>
    <x v="0"/>
    <x v="0"/>
    <s v="DK1_Large"/>
    <x v="1"/>
    <s v="GNR_EH_HEAT"/>
    <x v="0"/>
    <x v="21"/>
    <n v="174.14"/>
    <n v="63561.1"/>
    <n v="228819.96"/>
  </r>
  <r>
    <x v="0"/>
    <x v="0"/>
    <x v="0"/>
    <x v="0"/>
    <x v="0"/>
    <s v="DK1_Large"/>
    <x v="1"/>
    <s v="GNR_EH_HEAT"/>
    <x v="0"/>
    <x v="22"/>
    <n v="174.14"/>
    <n v="63561.1"/>
    <n v="228819.96"/>
  </r>
  <r>
    <x v="0"/>
    <x v="0"/>
    <x v="0"/>
    <x v="0"/>
    <x v="0"/>
    <s v="DK1_Large"/>
    <x v="1"/>
    <s v="GNR_EH_HEAT"/>
    <x v="0"/>
    <x v="23"/>
    <n v="174.14"/>
    <n v="63561.1"/>
    <n v="228819.96"/>
  </r>
  <r>
    <x v="0"/>
    <x v="0"/>
    <x v="0"/>
    <x v="0"/>
    <x v="0"/>
    <s v="DK1_MedSmall"/>
    <x v="2"/>
    <s v="GNR_BO_MSW_E-100"/>
    <x v="0"/>
    <x v="0"/>
    <n v="6.5"/>
    <n v="2372.5"/>
    <n v="8541"/>
  </r>
  <r>
    <x v="0"/>
    <x v="0"/>
    <x v="0"/>
    <x v="0"/>
    <x v="0"/>
    <s v="DK1_MedSmall"/>
    <x v="2"/>
    <s v="GNR_BO_MSW_E-100"/>
    <x v="0"/>
    <x v="1"/>
    <n v="6.5"/>
    <n v="2372.5"/>
    <n v="8541"/>
  </r>
  <r>
    <x v="0"/>
    <x v="0"/>
    <x v="0"/>
    <x v="0"/>
    <x v="0"/>
    <s v="DK1_MedSmall"/>
    <x v="2"/>
    <s v="GNR_BO_MSW_E-100"/>
    <x v="0"/>
    <x v="2"/>
    <n v="6.5"/>
    <n v="2372.5"/>
    <n v="8541"/>
  </r>
  <r>
    <x v="0"/>
    <x v="0"/>
    <x v="0"/>
    <x v="0"/>
    <x v="0"/>
    <s v="DK1_MedSmall"/>
    <x v="2"/>
    <s v="GNR_BO_MSW_E-100"/>
    <x v="0"/>
    <x v="3"/>
    <n v="6.5"/>
    <n v="2372.5"/>
    <n v="8541"/>
  </r>
  <r>
    <x v="0"/>
    <x v="0"/>
    <x v="0"/>
    <x v="0"/>
    <x v="0"/>
    <s v="DK1_MedSmall"/>
    <x v="2"/>
    <s v="GNR_BO_MSW_E-100"/>
    <x v="0"/>
    <x v="18"/>
    <n v="6.5"/>
    <n v="2372.5"/>
    <n v="8541"/>
  </r>
  <r>
    <x v="0"/>
    <x v="0"/>
    <x v="0"/>
    <x v="0"/>
    <x v="0"/>
    <s v="DK1_MedSmall"/>
    <x v="2"/>
    <s v="GNR_BO_MSW_E-100"/>
    <x v="0"/>
    <x v="4"/>
    <n v="6.5"/>
    <n v="2372.5"/>
    <n v="8541"/>
  </r>
  <r>
    <x v="0"/>
    <x v="0"/>
    <x v="0"/>
    <x v="0"/>
    <x v="0"/>
    <s v="DK1_MedSmall"/>
    <x v="2"/>
    <s v="GNR_BO_MSW_E-100"/>
    <x v="0"/>
    <x v="5"/>
    <n v="6.5"/>
    <n v="2372.5"/>
    <n v="8541"/>
  </r>
  <r>
    <x v="0"/>
    <x v="0"/>
    <x v="0"/>
    <x v="0"/>
    <x v="0"/>
    <s v="DK1_MedSmall"/>
    <x v="2"/>
    <s v="GNR_BO_MSW_E-100"/>
    <x v="0"/>
    <x v="6"/>
    <n v="6.5"/>
    <n v="2372.5"/>
    <n v="8541"/>
  </r>
  <r>
    <x v="0"/>
    <x v="0"/>
    <x v="0"/>
    <x v="0"/>
    <x v="0"/>
    <s v="DK1_MedSmall"/>
    <x v="2"/>
    <s v="GNR_BO_MSW_E-100"/>
    <x v="0"/>
    <x v="7"/>
    <n v="6.5"/>
    <n v="2372.5"/>
    <n v="8541"/>
  </r>
  <r>
    <x v="0"/>
    <x v="0"/>
    <x v="0"/>
    <x v="0"/>
    <x v="0"/>
    <s v="DK1_MedSmall"/>
    <x v="2"/>
    <s v="GNR_BO_MSW_E-100"/>
    <x v="0"/>
    <x v="8"/>
    <n v="6.5"/>
    <n v="2372.5"/>
    <n v="8541"/>
  </r>
  <r>
    <x v="0"/>
    <x v="0"/>
    <x v="0"/>
    <x v="0"/>
    <x v="0"/>
    <s v="DK1_MedSmall"/>
    <x v="2"/>
    <s v="GNR_BO_MSW_E-100"/>
    <x v="0"/>
    <x v="9"/>
    <n v="6.5"/>
    <n v="2372.5"/>
    <n v="8541"/>
  </r>
  <r>
    <x v="0"/>
    <x v="0"/>
    <x v="0"/>
    <x v="0"/>
    <x v="0"/>
    <s v="DK1_MedSmall"/>
    <x v="2"/>
    <s v="GNR_BO_MSW_E-100"/>
    <x v="0"/>
    <x v="10"/>
    <n v="6.5"/>
    <n v="2372.5"/>
    <n v="8541"/>
  </r>
  <r>
    <x v="0"/>
    <x v="0"/>
    <x v="0"/>
    <x v="0"/>
    <x v="0"/>
    <s v="DK1_MedSmall"/>
    <x v="2"/>
    <s v="GNR_BO_MSW_E-100"/>
    <x v="0"/>
    <x v="11"/>
    <n v="6.5"/>
    <n v="2372.5"/>
    <n v="8541"/>
  </r>
  <r>
    <x v="0"/>
    <x v="0"/>
    <x v="0"/>
    <x v="0"/>
    <x v="0"/>
    <s v="DK1_MedSmall"/>
    <x v="2"/>
    <s v="GNR_BO_MSW_E-100"/>
    <x v="0"/>
    <x v="12"/>
    <n v="6.5"/>
    <n v="2372.5"/>
    <n v="8541"/>
  </r>
  <r>
    <x v="0"/>
    <x v="0"/>
    <x v="0"/>
    <x v="0"/>
    <x v="0"/>
    <s v="DK1_MedSmall"/>
    <x v="2"/>
    <s v="GNR_BO_MSW_E-100"/>
    <x v="0"/>
    <x v="13"/>
    <n v="6.5"/>
    <n v="2372.5"/>
    <n v="8541"/>
  </r>
  <r>
    <x v="0"/>
    <x v="0"/>
    <x v="0"/>
    <x v="0"/>
    <x v="0"/>
    <s v="DK1_MedSmall"/>
    <x v="2"/>
    <s v="GNR_BO_MSW_E-100"/>
    <x v="0"/>
    <x v="14"/>
    <n v="6.5"/>
    <n v="2372.5"/>
    <n v="8541"/>
  </r>
  <r>
    <x v="0"/>
    <x v="0"/>
    <x v="0"/>
    <x v="0"/>
    <x v="0"/>
    <s v="DK1_MedSmall"/>
    <x v="2"/>
    <s v="GNR_BO_MSW_E-100"/>
    <x v="0"/>
    <x v="15"/>
    <n v="6.5"/>
    <n v="2372.5"/>
    <n v="8541"/>
  </r>
  <r>
    <x v="0"/>
    <x v="0"/>
    <x v="0"/>
    <x v="0"/>
    <x v="0"/>
    <s v="DK1_MedSmall"/>
    <x v="2"/>
    <s v="GNR_BO_MSW_E-100"/>
    <x v="0"/>
    <x v="16"/>
    <n v="6.5"/>
    <n v="2372.5"/>
    <n v="8541"/>
  </r>
  <r>
    <x v="0"/>
    <x v="0"/>
    <x v="0"/>
    <x v="0"/>
    <x v="0"/>
    <s v="DK1_MedSmall"/>
    <x v="2"/>
    <s v="GNR_BO_MSW_E-100"/>
    <x v="0"/>
    <x v="17"/>
    <n v="6.5"/>
    <n v="2372.5"/>
    <n v="8541"/>
  </r>
  <r>
    <x v="0"/>
    <x v="0"/>
    <x v="0"/>
    <x v="0"/>
    <x v="0"/>
    <s v="DK1_MedSmall"/>
    <x v="2"/>
    <s v="GNR_BO_MSW_E-100"/>
    <x v="0"/>
    <x v="19"/>
    <n v="6.5"/>
    <n v="2372.5"/>
    <n v="8541"/>
  </r>
  <r>
    <x v="0"/>
    <x v="0"/>
    <x v="0"/>
    <x v="0"/>
    <x v="0"/>
    <s v="DK1_MedSmall"/>
    <x v="2"/>
    <s v="GNR_BO_MSW_E-100"/>
    <x v="0"/>
    <x v="20"/>
    <n v="6.5"/>
    <n v="2372.5"/>
    <n v="8541"/>
  </r>
  <r>
    <x v="0"/>
    <x v="0"/>
    <x v="0"/>
    <x v="0"/>
    <x v="0"/>
    <s v="DK1_MedSmall"/>
    <x v="2"/>
    <s v="GNR_BO_MSW_E-100"/>
    <x v="0"/>
    <x v="21"/>
    <n v="6.5"/>
    <n v="2372.5"/>
    <n v="8541"/>
  </r>
  <r>
    <x v="0"/>
    <x v="0"/>
    <x v="0"/>
    <x v="0"/>
    <x v="0"/>
    <s v="DK1_MedSmall"/>
    <x v="2"/>
    <s v="GNR_BO_MSW_E-100"/>
    <x v="0"/>
    <x v="22"/>
    <n v="6.5"/>
    <n v="2372.5"/>
    <n v="8541"/>
  </r>
  <r>
    <x v="0"/>
    <x v="0"/>
    <x v="0"/>
    <x v="0"/>
    <x v="0"/>
    <s v="DK1_MedSmall"/>
    <x v="2"/>
    <s v="GNR_BO_MSW_E-100"/>
    <x v="0"/>
    <x v="23"/>
    <n v="6.5"/>
    <n v="2372.5"/>
    <n v="8541"/>
  </r>
  <r>
    <x v="0"/>
    <x v="0"/>
    <x v="0"/>
    <x v="0"/>
    <x v="0"/>
    <s v="DK1_MedSmall"/>
    <x v="2"/>
    <s v="GNR_ST_MSW_BP_E-17"/>
    <x v="0"/>
    <x v="0"/>
    <n v="14.117647058823501"/>
    <n v="5152.9411764705901"/>
    <n v="18550.588235294101"/>
  </r>
  <r>
    <x v="0"/>
    <x v="0"/>
    <x v="0"/>
    <x v="0"/>
    <x v="0"/>
    <s v="DK1_MedSmall"/>
    <x v="2"/>
    <s v="GNR_ST_MSW_BP_E-17"/>
    <x v="0"/>
    <x v="1"/>
    <n v="14.117647058823501"/>
    <n v="5152.9411764705901"/>
    <n v="18550.588235294101"/>
  </r>
  <r>
    <x v="0"/>
    <x v="0"/>
    <x v="0"/>
    <x v="0"/>
    <x v="0"/>
    <s v="DK1_MedSmall"/>
    <x v="2"/>
    <s v="GNR_ST_MSW_BP_E-17"/>
    <x v="0"/>
    <x v="2"/>
    <n v="14.117647058823501"/>
    <n v="5152.9411764705901"/>
    <n v="18550.588235294101"/>
  </r>
  <r>
    <x v="0"/>
    <x v="0"/>
    <x v="0"/>
    <x v="0"/>
    <x v="0"/>
    <s v="DK1_MedSmall"/>
    <x v="2"/>
    <s v="GNR_ST_MSW_BP_E-17"/>
    <x v="0"/>
    <x v="3"/>
    <n v="14.117647058823501"/>
    <n v="5152.9411764705901"/>
    <n v="18550.588235294101"/>
  </r>
  <r>
    <x v="0"/>
    <x v="0"/>
    <x v="0"/>
    <x v="0"/>
    <x v="0"/>
    <s v="DK1_MedSmall"/>
    <x v="2"/>
    <s v="GNR_ST_MSW_BP_E-17"/>
    <x v="0"/>
    <x v="18"/>
    <n v="14.117647058823501"/>
    <n v="5152.9411764705901"/>
    <n v="18550.588235294101"/>
  </r>
  <r>
    <x v="0"/>
    <x v="0"/>
    <x v="0"/>
    <x v="0"/>
    <x v="0"/>
    <s v="DK1_MedSmall"/>
    <x v="2"/>
    <s v="GNR_ST_MSW_BP_E-17"/>
    <x v="0"/>
    <x v="4"/>
    <n v="14.117647058823501"/>
    <n v="5152.9411764705901"/>
    <n v="18550.588235294101"/>
  </r>
  <r>
    <x v="0"/>
    <x v="0"/>
    <x v="0"/>
    <x v="0"/>
    <x v="0"/>
    <s v="DK1_MedSmall"/>
    <x v="2"/>
    <s v="GNR_ST_MSW_BP_E-17"/>
    <x v="0"/>
    <x v="5"/>
    <n v="14.117647058823501"/>
    <n v="5152.9411764705901"/>
    <n v="18550.588235294101"/>
  </r>
  <r>
    <x v="0"/>
    <x v="0"/>
    <x v="0"/>
    <x v="0"/>
    <x v="0"/>
    <s v="DK1_MedSmall"/>
    <x v="2"/>
    <s v="GNR_ST_MSW_BP_E-17"/>
    <x v="0"/>
    <x v="6"/>
    <n v="14.117647058823501"/>
    <n v="5152.9411764705901"/>
    <n v="18550.588235294101"/>
  </r>
  <r>
    <x v="0"/>
    <x v="0"/>
    <x v="0"/>
    <x v="0"/>
    <x v="0"/>
    <s v="DK1_MedSmall"/>
    <x v="2"/>
    <s v="GNR_ST_MSW_BP_E-17"/>
    <x v="0"/>
    <x v="7"/>
    <n v="14.117647058823501"/>
    <n v="5152.9411764705901"/>
    <n v="18550.588235294101"/>
  </r>
  <r>
    <x v="0"/>
    <x v="0"/>
    <x v="0"/>
    <x v="0"/>
    <x v="0"/>
    <s v="DK1_MedSmall"/>
    <x v="2"/>
    <s v="GNR_ST_MSW_BP_E-17"/>
    <x v="0"/>
    <x v="8"/>
    <n v="14.117647058823501"/>
    <n v="5152.9411764705901"/>
    <n v="18550.588235294101"/>
  </r>
  <r>
    <x v="0"/>
    <x v="0"/>
    <x v="0"/>
    <x v="0"/>
    <x v="0"/>
    <s v="DK1_MedSmall"/>
    <x v="2"/>
    <s v="GNR_ST_MSW_BP_E-17"/>
    <x v="0"/>
    <x v="9"/>
    <n v="14.117647058823501"/>
    <n v="5152.9411764705901"/>
    <n v="18550.588235294101"/>
  </r>
  <r>
    <x v="0"/>
    <x v="0"/>
    <x v="0"/>
    <x v="0"/>
    <x v="0"/>
    <s v="DK1_MedSmall"/>
    <x v="2"/>
    <s v="GNR_ST_MSW_BP_E-17"/>
    <x v="0"/>
    <x v="10"/>
    <n v="14.117647058823501"/>
    <n v="5152.9411764705901"/>
    <n v="18550.588235294101"/>
  </r>
  <r>
    <x v="0"/>
    <x v="0"/>
    <x v="0"/>
    <x v="0"/>
    <x v="0"/>
    <s v="DK1_MedSmall"/>
    <x v="2"/>
    <s v="GNR_ST_MSW_BP_E-17"/>
    <x v="0"/>
    <x v="11"/>
    <n v="14.117647058823501"/>
    <n v="5152.9411764705901"/>
    <n v="18550.588235294101"/>
  </r>
  <r>
    <x v="0"/>
    <x v="0"/>
    <x v="0"/>
    <x v="0"/>
    <x v="0"/>
    <s v="DK1_MedSmall"/>
    <x v="2"/>
    <s v="GNR_ST_MSW_BP_E-17"/>
    <x v="0"/>
    <x v="12"/>
    <n v="14.117647058823501"/>
    <n v="5152.9411764705901"/>
    <n v="18550.588235294101"/>
  </r>
  <r>
    <x v="0"/>
    <x v="0"/>
    <x v="0"/>
    <x v="0"/>
    <x v="0"/>
    <s v="DK1_MedSmall"/>
    <x v="2"/>
    <s v="GNR_ST_MSW_BP_E-17"/>
    <x v="0"/>
    <x v="13"/>
    <n v="14.117647058823501"/>
    <n v="5152.9411764705901"/>
    <n v="18550.588235294101"/>
  </r>
  <r>
    <x v="0"/>
    <x v="0"/>
    <x v="0"/>
    <x v="0"/>
    <x v="0"/>
    <s v="DK1_MedSmall"/>
    <x v="2"/>
    <s v="GNR_ST_MSW_BP_E-17"/>
    <x v="0"/>
    <x v="14"/>
    <n v="14.117647058823501"/>
    <n v="5152.9411764705901"/>
    <n v="18550.588235294101"/>
  </r>
  <r>
    <x v="0"/>
    <x v="0"/>
    <x v="0"/>
    <x v="0"/>
    <x v="0"/>
    <s v="DK1_MedSmall"/>
    <x v="2"/>
    <s v="GNR_ST_MSW_BP_E-17"/>
    <x v="0"/>
    <x v="15"/>
    <n v="14.117647058823501"/>
    <n v="5152.9411764705901"/>
    <n v="18550.588235294101"/>
  </r>
  <r>
    <x v="0"/>
    <x v="0"/>
    <x v="0"/>
    <x v="0"/>
    <x v="0"/>
    <s v="DK1_MedSmall"/>
    <x v="2"/>
    <s v="GNR_ST_MSW_BP_E-17"/>
    <x v="0"/>
    <x v="16"/>
    <n v="14.117647058823501"/>
    <n v="5152.9411764705901"/>
    <n v="18550.588235294101"/>
  </r>
  <r>
    <x v="0"/>
    <x v="0"/>
    <x v="0"/>
    <x v="0"/>
    <x v="0"/>
    <s v="DK1_MedSmall"/>
    <x v="2"/>
    <s v="GNR_ST_MSW_BP_E-17"/>
    <x v="0"/>
    <x v="17"/>
    <n v="14.117647058823501"/>
    <n v="5152.9411764705901"/>
    <n v="18550.588235294101"/>
  </r>
  <r>
    <x v="0"/>
    <x v="0"/>
    <x v="0"/>
    <x v="0"/>
    <x v="0"/>
    <s v="DK1_MedSmall"/>
    <x v="2"/>
    <s v="GNR_ST_MSW_BP_E-17"/>
    <x v="0"/>
    <x v="19"/>
    <n v="14.117647058823501"/>
    <n v="5152.9411764705901"/>
    <n v="18550.588235294101"/>
  </r>
  <r>
    <x v="0"/>
    <x v="0"/>
    <x v="0"/>
    <x v="0"/>
    <x v="0"/>
    <s v="DK1_MedSmall"/>
    <x v="2"/>
    <s v="GNR_ST_MSW_BP_E-17"/>
    <x v="0"/>
    <x v="20"/>
    <n v="14.117647058823501"/>
    <n v="5152.9411764705901"/>
    <n v="18550.588235294101"/>
  </r>
  <r>
    <x v="0"/>
    <x v="0"/>
    <x v="0"/>
    <x v="0"/>
    <x v="0"/>
    <s v="DK1_MedSmall"/>
    <x v="2"/>
    <s v="GNR_ST_MSW_BP_E-17"/>
    <x v="0"/>
    <x v="21"/>
    <n v="14.117647058823501"/>
    <n v="5152.9411764705901"/>
    <n v="18550.588235294101"/>
  </r>
  <r>
    <x v="0"/>
    <x v="0"/>
    <x v="0"/>
    <x v="0"/>
    <x v="0"/>
    <s v="DK1_MedSmall"/>
    <x v="2"/>
    <s v="GNR_ST_MSW_BP_E-17"/>
    <x v="0"/>
    <x v="22"/>
    <n v="14.117647058823501"/>
    <n v="5152.9411764705901"/>
    <n v="18550.588235294101"/>
  </r>
  <r>
    <x v="0"/>
    <x v="0"/>
    <x v="0"/>
    <x v="0"/>
    <x v="0"/>
    <s v="DK1_MedSmall"/>
    <x v="2"/>
    <s v="GNR_ST_MSW_BP_E-17"/>
    <x v="0"/>
    <x v="23"/>
    <n v="14.117647058823501"/>
    <n v="5152.9411764705901"/>
    <n v="18550.588235294101"/>
  </r>
  <r>
    <x v="0"/>
    <x v="0"/>
    <x v="0"/>
    <x v="0"/>
    <x v="0"/>
    <s v="DK1_MedSmall"/>
    <x v="2"/>
    <s v="GNR_ST_MSW_BP_E-20"/>
    <x v="0"/>
    <x v="0"/>
    <n v="16.5"/>
    <n v="6022.50000000001"/>
    <n v="21681"/>
  </r>
  <r>
    <x v="0"/>
    <x v="0"/>
    <x v="0"/>
    <x v="0"/>
    <x v="0"/>
    <s v="DK1_MedSmall"/>
    <x v="2"/>
    <s v="GNR_ST_MSW_BP_E-20"/>
    <x v="0"/>
    <x v="1"/>
    <n v="16.5"/>
    <n v="6022.50000000001"/>
    <n v="21681"/>
  </r>
  <r>
    <x v="0"/>
    <x v="0"/>
    <x v="0"/>
    <x v="0"/>
    <x v="0"/>
    <s v="DK1_MedSmall"/>
    <x v="2"/>
    <s v="GNR_ST_MSW_BP_E-20"/>
    <x v="0"/>
    <x v="2"/>
    <n v="16.5"/>
    <n v="6022.50000000001"/>
    <n v="21681"/>
  </r>
  <r>
    <x v="0"/>
    <x v="0"/>
    <x v="0"/>
    <x v="0"/>
    <x v="0"/>
    <s v="DK1_MedSmall"/>
    <x v="2"/>
    <s v="GNR_ST_MSW_BP_E-20"/>
    <x v="0"/>
    <x v="3"/>
    <n v="16.5"/>
    <n v="6022.50000000001"/>
    <n v="21681"/>
  </r>
  <r>
    <x v="0"/>
    <x v="0"/>
    <x v="0"/>
    <x v="0"/>
    <x v="0"/>
    <s v="DK1_MedSmall"/>
    <x v="2"/>
    <s v="GNR_ST_MSW_BP_E-20"/>
    <x v="0"/>
    <x v="18"/>
    <n v="16.5"/>
    <n v="6022.50000000001"/>
    <n v="21681"/>
  </r>
  <r>
    <x v="0"/>
    <x v="0"/>
    <x v="0"/>
    <x v="0"/>
    <x v="0"/>
    <s v="DK1_MedSmall"/>
    <x v="2"/>
    <s v="GNR_ST_MSW_BP_E-20"/>
    <x v="0"/>
    <x v="4"/>
    <n v="16.5"/>
    <n v="6022.50000000001"/>
    <n v="21681"/>
  </r>
  <r>
    <x v="0"/>
    <x v="0"/>
    <x v="0"/>
    <x v="0"/>
    <x v="0"/>
    <s v="DK1_MedSmall"/>
    <x v="2"/>
    <s v="GNR_ST_MSW_BP_E-20"/>
    <x v="0"/>
    <x v="5"/>
    <n v="16.5"/>
    <n v="6022.50000000001"/>
    <n v="21681"/>
  </r>
  <r>
    <x v="0"/>
    <x v="0"/>
    <x v="0"/>
    <x v="0"/>
    <x v="0"/>
    <s v="DK1_MedSmall"/>
    <x v="2"/>
    <s v="GNR_ST_MSW_BP_E-20"/>
    <x v="0"/>
    <x v="6"/>
    <n v="16.5"/>
    <n v="6022.50000000001"/>
    <n v="21681"/>
  </r>
  <r>
    <x v="0"/>
    <x v="0"/>
    <x v="0"/>
    <x v="0"/>
    <x v="0"/>
    <s v="DK1_MedSmall"/>
    <x v="2"/>
    <s v="GNR_ST_MSW_BP_E-20"/>
    <x v="0"/>
    <x v="7"/>
    <n v="16.5"/>
    <n v="6022.50000000001"/>
    <n v="21681"/>
  </r>
  <r>
    <x v="0"/>
    <x v="0"/>
    <x v="0"/>
    <x v="0"/>
    <x v="0"/>
    <s v="DK1_MedSmall"/>
    <x v="2"/>
    <s v="GNR_ST_MSW_BP_E-20"/>
    <x v="0"/>
    <x v="8"/>
    <n v="16.5"/>
    <n v="6022.50000000001"/>
    <n v="21681"/>
  </r>
  <r>
    <x v="0"/>
    <x v="0"/>
    <x v="0"/>
    <x v="0"/>
    <x v="0"/>
    <s v="DK1_MedSmall"/>
    <x v="2"/>
    <s v="GNR_ST_MSW_BP_E-20"/>
    <x v="0"/>
    <x v="9"/>
    <n v="16.5"/>
    <n v="6022.50000000001"/>
    <n v="21681"/>
  </r>
  <r>
    <x v="0"/>
    <x v="0"/>
    <x v="0"/>
    <x v="0"/>
    <x v="0"/>
    <s v="DK1_MedSmall"/>
    <x v="2"/>
    <s v="GNR_ST_MSW_BP_E-20"/>
    <x v="0"/>
    <x v="10"/>
    <n v="16.5"/>
    <n v="6022.50000000001"/>
    <n v="21681"/>
  </r>
  <r>
    <x v="0"/>
    <x v="0"/>
    <x v="0"/>
    <x v="0"/>
    <x v="0"/>
    <s v="DK1_MedSmall"/>
    <x v="2"/>
    <s v="GNR_ST_MSW_BP_E-20"/>
    <x v="0"/>
    <x v="11"/>
    <n v="16.5"/>
    <n v="6022.50000000001"/>
    <n v="21681"/>
  </r>
  <r>
    <x v="0"/>
    <x v="0"/>
    <x v="0"/>
    <x v="0"/>
    <x v="0"/>
    <s v="DK1_MedSmall"/>
    <x v="2"/>
    <s v="GNR_ST_MSW_BP_E-20"/>
    <x v="0"/>
    <x v="12"/>
    <n v="16.5"/>
    <n v="6022.50000000001"/>
    <n v="21681"/>
  </r>
  <r>
    <x v="0"/>
    <x v="0"/>
    <x v="0"/>
    <x v="0"/>
    <x v="0"/>
    <s v="DK1_MedSmall"/>
    <x v="2"/>
    <s v="GNR_ST_MSW_BP_E-20"/>
    <x v="0"/>
    <x v="13"/>
    <n v="16.5"/>
    <n v="6022.50000000001"/>
    <n v="21681"/>
  </r>
  <r>
    <x v="0"/>
    <x v="0"/>
    <x v="0"/>
    <x v="0"/>
    <x v="0"/>
    <s v="DK1_MedSmall"/>
    <x v="2"/>
    <s v="GNR_ST_MSW_BP_E-20"/>
    <x v="0"/>
    <x v="14"/>
    <n v="16.5"/>
    <n v="6022.50000000001"/>
    <n v="21681"/>
  </r>
  <r>
    <x v="0"/>
    <x v="0"/>
    <x v="0"/>
    <x v="0"/>
    <x v="0"/>
    <s v="DK1_MedSmall"/>
    <x v="2"/>
    <s v="GNR_ST_MSW_BP_E-20"/>
    <x v="0"/>
    <x v="15"/>
    <n v="16.5"/>
    <n v="6022.50000000001"/>
    <n v="21681"/>
  </r>
  <r>
    <x v="0"/>
    <x v="0"/>
    <x v="0"/>
    <x v="0"/>
    <x v="0"/>
    <s v="DK1_MedSmall"/>
    <x v="2"/>
    <s v="GNR_ST_MSW_BP_E-20"/>
    <x v="0"/>
    <x v="16"/>
    <n v="16.5"/>
    <n v="6022.50000000001"/>
    <n v="21681"/>
  </r>
  <r>
    <x v="0"/>
    <x v="0"/>
    <x v="0"/>
    <x v="0"/>
    <x v="0"/>
    <s v="DK1_MedSmall"/>
    <x v="2"/>
    <s v="GNR_ST_MSW_BP_E-20"/>
    <x v="0"/>
    <x v="17"/>
    <n v="16.5"/>
    <n v="6022.50000000001"/>
    <n v="21681"/>
  </r>
  <r>
    <x v="0"/>
    <x v="0"/>
    <x v="0"/>
    <x v="0"/>
    <x v="0"/>
    <s v="DK1_MedSmall"/>
    <x v="2"/>
    <s v="GNR_ST_MSW_BP_E-20"/>
    <x v="0"/>
    <x v="19"/>
    <n v="16.5"/>
    <n v="6022.50000000001"/>
    <n v="21681"/>
  </r>
  <r>
    <x v="0"/>
    <x v="0"/>
    <x v="0"/>
    <x v="0"/>
    <x v="0"/>
    <s v="DK1_MedSmall"/>
    <x v="2"/>
    <s v="GNR_ST_MSW_BP_E-20"/>
    <x v="0"/>
    <x v="20"/>
    <n v="16.5"/>
    <n v="6022.50000000001"/>
    <n v="21681"/>
  </r>
  <r>
    <x v="0"/>
    <x v="0"/>
    <x v="0"/>
    <x v="0"/>
    <x v="0"/>
    <s v="DK1_MedSmall"/>
    <x v="2"/>
    <s v="GNR_ST_MSW_BP_E-20"/>
    <x v="0"/>
    <x v="21"/>
    <n v="16.5"/>
    <n v="6022.50000000001"/>
    <n v="21681"/>
  </r>
  <r>
    <x v="0"/>
    <x v="0"/>
    <x v="0"/>
    <x v="0"/>
    <x v="0"/>
    <s v="DK1_MedSmall"/>
    <x v="2"/>
    <s v="GNR_ST_MSW_BP_E-20"/>
    <x v="0"/>
    <x v="22"/>
    <n v="16.5"/>
    <n v="6022.50000000001"/>
    <n v="21681"/>
  </r>
  <r>
    <x v="0"/>
    <x v="0"/>
    <x v="0"/>
    <x v="0"/>
    <x v="0"/>
    <s v="DK1_MedSmall"/>
    <x v="2"/>
    <s v="GNR_ST_MSW_BP_E-20"/>
    <x v="0"/>
    <x v="23"/>
    <n v="16.5"/>
    <n v="6022.50000000001"/>
    <n v="21681"/>
  </r>
  <r>
    <x v="0"/>
    <x v="0"/>
    <x v="0"/>
    <x v="0"/>
    <x v="0"/>
    <s v="DK1_MedSmall"/>
    <x v="2"/>
    <s v="GNR_ST_MSW_BP_E-21"/>
    <x v="0"/>
    <x v="0"/>
    <n v="47.619047619047699"/>
    <n v="17380.9523809524"/>
    <n v="62571.428571428703"/>
  </r>
  <r>
    <x v="0"/>
    <x v="0"/>
    <x v="0"/>
    <x v="0"/>
    <x v="0"/>
    <s v="DK1_MedSmall"/>
    <x v="2"/>
    <s v="GNR_ST_MSW_BP_E-21"/>
    <x v="0"/>
    <x v="1"/>
    <n v="47.619047619047699"/>
    <n v="17380.9523809524"/>
    <n v="62571.428571428703"/>
  </r>
  <r>
    <x v="0"/>
    <x v="0"/>
    <x v="0"/>
    <x v="0"/>
    <x v="0"/>
    <s v="DK1_MedSmall"/>
    <x v="2"/>
    <s v="GNR_ST_MSW_BP_E-21"/>
    <x v="0"/>
    <x v="2"/>
    <n v="47.619047619047699"/>
    <n v="17380.9523809524"/>
    <n v="62571.428571428703"/>
  </r>
  <r>
    <x v="0"/>
    <x v="0"/>
    <x v="0"/>
    <x v="0"/>
    <x v="0"/>
    <s v="DK1_MedSmall"/>
    <x v="2"/>
    <s v="GNR_ST_MSW_BP_E-21"/>
    <x v="0"/>
    <x v="3"/>
    <n v="47.619047619047699"/>
    <n v="17380.9523809524"/>
    <n v="62571.428571428703"/>
  </r>
  <r>
    <x v="0"/>
    <x v="0"/>
    <x v="0"/>
    <x v="0"/>
    <x v="0"/>
    <s v="DK1_MedSmall"/>
    <x v="2"/>
    <s v="GNR_ST_MSW_BP_E-21"/>
    <x v="0"/>
    <x v="18"/>
    <n v="47.619047619047699"/>
    <n v="17380.9523809524"/>
    <n v="62571.428571428703"/>
  </r>
  <r>
    <x v="0"/>
    <x v="0"/>
    <x v="0"/>
    <x v="0"/>
    <x v="0"/>
    <s v="DK1_MedSmall"/>
    <x v="2"/>
    <s v="GNR_ST_MSW_BP_E-21"/>
    <x v="0"/>
    <x v="4"/>
    <n v="47.619047619047699"/>
    <n v="17380.9523809524"/>
    <n v="62571.428571428703"/>
  </r>
  <r>
    <x v="0"/>
    <x v="0"/>
    <x v="0"/>
    <x v="0"/>
    <x v="0"/>
    <s v="DK1_MedSmall"/>
    <x v="2"/>
    <s v="GNR_ST_MSW_BP_E-21"/>
    <x v="0"/>
    <x v="5"/>
    <n v="47.619047619047699"/>
    <n v="17380.9523809524"/>
    <n v="62571.428571428703"/>
  </r>
  <r>
    <x v="0"/>
    <x v="0"/>
    <x v="0"/>
    <x v="0"/>
    <x v="0"/>
    <s v="DK1_MedSmall"/>
    <x v="2"/>
    <s v="GNR_ST_MSW_BP_E-21"/>
    <x v="0"/>
    <x v="6"/>
    <n v="47.619047619047699"/>
    <n v="17380.9523809524"/>
    <n v="62571.428571428703"/>
  </r>
  <r>
    <x v="0"/>
    <x v="0"/>
    <x v="0"/>
    <x v="0"/>
    <x v="0"/>
    <s v="DK1_MedSmall"/>
    <x v="2"/>
    <s v="GNR_ST_MSW_BP_E-21"/>
    <x v="0"/>
    <x v="7"/>
    <n v="47.619047619047699"/>
    <n v="17380.9523809524"/>
    <n v="62571.428571428703"/>
  </r>
  <r>
    <x v="0"/>
    <x v="0"/>
    <x v="0"/>
    <x v="0"/>
    <x v="0"/>
    <s v="DK1_MedSmall"/>
    <x v="2"/>
    <s v="GNR_ST_MSW_BP_E-21"/>
    <x v="0"/>
    <x v="8"/>
    <n v="47.619047619047699"/>
    <n v="17380.9523809524"/>
    <n v="62571.428571428703"/>
  </r>
  <r>
    <x v="0"/>
    <x v="0"/>
    <x v="0"/>
    <x v="0"/>
    <x v="0"/>
    <s v="DK1_MedSmall"/>
    <x v="2"/>
    <s v="GNR_ST_MSW_BP_E-21"/>
    <x v="0"/>
    <x v="9"/>
    <n v="47.619047619047699"/>
    <n v="17380.9523809524"/>
    <n v="62571.428571428703"/>
  </r>
  <r>
    <x v="0"/>
    <x v="0"/>
    <x v="0"/>
    <x v="0"/>
    <x v="0"/>
    <s v="DK1_MedSmall"/>
    <x v="2"/>
    <s v="GNR_ST_MSW_BP_E-21"/>
    <x v="0"/>
    <x v="10"/>
    <n v="47.619047619047699"/>
    <n v="17380.9523809524"/>
    <n v="62571.428571428703"/>
  </r>
  <r>
    <x v="0"/>
    <x v="0"/>
    <x v="0"/>
    <x v="0"/>
    <x v="0"/>
    <s v="DK1_MedSmall"/>
    <x v="2"/>
    <s v="GNR_ST_MSW_BP_E-21"/>
    <x v="0"/>
    <x v="11"/>
    <n v="47.619047619047699"/>
    <n v="17380.9523809524"/>
    <n v="62571.428571428703"/>
  </r>
  <r>
    <x v="0"/>
    <x v="0"/>
    <x v="0"/>
    <x v="0"/>
    <x v="0"/>
    <s v="DK1_MedSmall"/>
    <x v="2"/>
    <s v="GNR_ST_MSW_BP_E-21"/>
    <x v="0"/>
    <x v="12"/>
    <n v="47.619047619047699"/>
    <n v="17380.9523809524"/>
    <n v="62571.428571428703"/>
  </r>
  <r>
    <x v="0"/>
    <x v="0"/>
    <x v="0"/>
    <x v="0"/>
    <x v="0"/>
    <s v="DK1_MedSmall"/>
    <x v="2"/>
    <s v="GNR_ST_MSW_BP_E-21"/>
    <x v="0"/>
    <x v="13"/>
    <n v="47.619047619047699"/>
    <n v="17380.9523809524"/>
    <n v="62571.428571428703"/>
  </r>
  <r>
    <x v="0"/>
    <x v="0"/>
    <x v="0"/>
    <x v="0"/>
    <x v="0"/>
    <s v="DK1_MedSmall"/>
    <x v="2"/>
    <s v="GNR_ST_MSW_BP_E-21"/>
    <x v="0"/>
    <x v="14"/>
    <n v="47.619047619047699"/>
    <n v="17380.9523809524"/>
    <n v="62571.428571428703"/>
  </r>
  <r>
    <x v="0"/>
    <x v="0"/>
    <x v="0"/>
    <x v="0"/>
    <x v="0"/>
    <s v="DK1_MedSmall"/>
    <x v="2"/>
    <s v="GNR_ST_MSW_BP_E-21"/>
    <x v="0"/>
    <x v="15"/>
    <n v="47.619047619047699"/>
    <n v="17380.9523809524"/>
    <n v="62571.428571428703"/>
  </r>
  <r>
    <x v="0"/>
    <x v="0"/>
    <x v="0"/>
    <x v="0"/>
    <x v="0"/>
    <s v="DK1_MedSmall"/>
    <x v="2"/>
    <s v="GNR_ST_MSW_BP_E-21"/>
    <x v="0"/>
    <x v="16"/>
    <n v="47.619047619047699"/>
    <n v="17380.9523809524"/>
    <n v="62571.428571428703"/>
  </r>
  <r>
    <x v="0"/>
    <x v="0"/>
    <x v="0"/>
    <x v="0"/>
    <x v="0"/>
    <s v="DK1_MedSmall"/>
    <x v="2"/>
    <s v="GNR_ST_MSW_BP_E-21"/>
    <x v="0"/>
    <x v="17"/>
    <n v="47.619047619047699"/>
    <n v="17380.9523809524"/>
    <n v="62571.428571428703"/>
  </r>
  <r>
    <x v="0"/>
    <x v="0"/>
    <x v="0"/>
    <x v="0"/>
    <x v="0"/>
    <s v="DK1_MedSmall"/>
    <x v="2"/>
    <s v="GNR_ST_MSW_BP_E-21"/>
    <x v="0"/>
    <x v="19"/>
    <n v="47.619047619047699"/>
    <n v="17380.9523809524"/>
    <n v="62571.428571428703"/>
  </r>
  <r>
    <x v="0"/>
    <x v="0"/>
    <x v="0"/>
    <x v="0"/>
    <x v="0"/>
    <s v="DK1_MedSmall"/>
    <x v="2"/>
    <s v="GNR_ST_MSW_BP_E-21"/>
    <x v="0"/>
    <x v="20"/>
    <n v="47.619047619047699"/>
    <n v="17380.9523809524"/>
    <n v="62571.428571428703"/>
  </r>
  <r>
    <x v="0"/>
    <x v="0"/>
    <x v="0"/>
    <x v="0"/>
    <x v="0"/>
    <s v="DK1_MedSmall"/>
    <x v="2"/>
    <s v="GNR_ST_MSW_BP_E-21"/>
    <x v="0"/>
    <x v="21"/>
    <n v="47.619047619047699"/>
    <n v="17380.9523809524"/>
    <n v="62571.428571428703"/>
  </r>
  <r>
    <x v="0"/>
    <x v="0"/>
    <x v="0"/>
    <x v="0"/>
    <x v="0"/>
    <s v="DK1_MedSmall"/>
    <x v="2"/>
    <s v="GNR_ST_MSW_BP_E-21"/>
    <x v="0"/>
    <x v="22"/>
    <n v="47.619047619047699"/>
    <n v="17380.9523809524"/>
    <n v="62571.428571428703"/>
  </r>
  <r>
    <x v="0"/>
    <x v="0"/>
    <x v="0"/>
    <x v="0"/>
    <x v="0"/>
    <s v="DK1_MedSmall"/>
    <x v="2"/>
    <s v="GNR_ST_MSW_BP_E-21"/>
    <x v="0"/>
    <x v="23"/>
    <n v="47.619047619047699"/>
    <n v="17380.9523809524"/>
    <n v="62571.428571428703"/>
  </r>
  <r>
    <x v="0"/>
    <x v="0"/>
    <x v="0"/>
    <x v="0"/>
    <x v="0"/>
    <s v="DK1_MedSmall"/>
    <x v="2"/>
    <s v="GNR_ST_MSW_BP_E-22"/>
    <x v="0"/>
    <x v="0"/>
    <n v="20.454545454545499"/>
    <n v="7465.9090909091001"/>
    <n v="26877.272727272801"/>
  </r>
  <r>
    <x v="0"/>
    <x v="0"/>
    <x v="0"/>
    <x v="0"/>
    <x v="0"/>
    <s v="DK1_MedSmall"/>
    <x v="2"/>
    <s v="GNR_ST_MSW_BP_E-22"/>
    <x v="0"/>
    <x v="1"/>
    <n v="20.454545454545499"/>
    <n v="7465.9090909091001"/>
    <n v="26877.272727272801"/>
  </r>
  <r>
    <x v="0"/>
    <x v="0"/>
    <x v="0"/>
    <x v="0"/>
    <x v="0"/>
    <s v="DK1_MedSmall"/>
    <x v="2"/>
    <s v="GNR_ST_MSW_BP_E-22"/>
    <x v="0"/>
    <x v="2"/>
    <n v="20.454545454545499"/>
    <n v="7465.9090909091001"/>
    <n v="26877.272727272801"/>
  </r>
  <r>
    <x v="0"/>
    <x v="0"/>
    <x v="0"/>
    <x v="0"/>
    <x v="0"/>
    <s v="DK1_MedSmall"/>
    <x v="2"/>
    <s v="GNR_ST_MSW_BP_E-22"/>
    <x v="0"/>
    <x v="3"/>
    <n v="20.454545454545499"/>
    <n v="7465.9090909091001"/>
    <n v="26877.272727272801"/>
  </r>
  <r>
    <x v="0"/>
    <x v="0"/>
    <x v="0"/>
    <x v="0"/>
    <x v="0"/>
    <s v="DK1_MedSmall"/>
    <x v="2"/>
    <s v="GNR_ST_MSW_BP_E-22"/>
    <x v="0"/>
    <x v="18"/>
    <n v="20.454545454545499"/>
    <n v="7465.9090909091001"/>
    <n v="26877.272727272801"/>
  </r>
  <r>
    <x v="0"/>
    <x v="0"/>
    <x v="0"/>
    <x v="0"/>
    <x v="0"/>
    <s v="DK1_MedSmall"/>
    <x v="2"/>
    <s v="GNR_ST_MSW_BP_E-22"/>
    <x v="0"/>
    <x v="4"/>
    <n v="20.454545454545499"/>
    <n v="7465.9090909091001"/>
    <n v="26877.272727272801"/>
  </r>
  <r>
    <x v="0"/>
    <x v="0"/>
    <x v="0"/>
    <x v="0"/>
    <x v="0"/>
    <s v="DK1_MedSmall"/>
    <x v="2"/>
    <s v="GNR_ST_MSW_BP_E-22"/>
    <x v="0"/>
    <x v="5"/>
    <n v="20.454545454545499"/>
    <n v="7465.9090909091001"/>
    <n v="26877.272727272801"/>
  </r>
  <r>
    <x v="0"/>
    <x v="0"/>
    <x v="0"/>
    <x v="0"/>
    <x v="0"/>
    <s v="DK1_MedSmall"/>
    <x v="2"/>
    <s v="GNR_ST_MSW_BP_E-22"/>
    <x v="0"/>
    <x v="6"/>
    <n v="20.454545454545499"/>
    <n v="7465.9090909091001"/>
    <n v="26877.272727272801"/>
  </r>
  <r>
    <x v="0"/>
    <x v="0"/>
    <x v="0"/>
    <x v="0"/>
    <x v="0"/>
    <s v="DK1_MedSmall"/>
    <x v="2"/>
    <s v="GNR_ST_MSW_BP_E-22"/>
    <x v="0"/>
    <x v="7"/>
    <n v="20.454545454545499"/>
    <n v="7465.9090909091001"/>
    <n v="26877.272727272801"/>
  </r>
  <r>
    <x v="0"/>
    <x v="0"/>
    <x v="0"/>
    <x v="0"/>
    <x v="0"/>
    <s v="DK1_MedSmall"/>
    <x v="2"/>
    <s v="GNR_ST_MSW_BP_E-22"/>
    <x v="0"/>
    <x v="8"/>
    <n v="20.454545454545499"/>
    <n v="7465.9090909091001"/>
    <n v="26877.272727272801"/>
  </r>
  <r>
    <x v="0"/>
    <x v="0"/>
    <x v="0"/>
    <x v="0"/>
    <x v="0"/>
    <s v="DK1_MedSmall"/>
    <x v="2"/>
    <s v="GNR_ST_MSW_BP_E-22"/>
    <x v="0"/>
    <x v="9"/>
    <n v="20.454545454545499"/>
    <n v="7465.9090909091001"/>
    <n v="26877.272727272801"/>
  </r>
  <r>
    <x v="0"/>
    <x v="0"/>
    <x v="0"/>
    <x v="0"/>
    <x v="0"/>
    <s v="DK1_MedSmall"/>
    <x v="2"/>
    <s v="GNR_ST_MSW_BP_E-22"/>
    <x v="0"/>
    <x v="10"/>
    <n v="20.454545454545499"/>
    <n v="7465.9090909091001"/>
    <n v="26877.272727272801"/>
  </r>
  <r>
    <x v="0"/>
    <x v="0"/>
    <x v="0"/>
    <x v="0"/>
    <x v="0"/>
    <s v="DK1_MedSmall"/>
    <x v="2"/>
    <s v="GNR_ST_MSW_BP_E-22"/>
    <x v="0"/>
    <x v="11"/>
    <n v="20.454545454545499"/>
    <n v="7465.9090909091001"/>
    <n v="26877.272727272801"/>
  </r>
  <r>
    <x v="0"/>
    <x v="0"/>
    <x v="0"/>
    <x v="0"/>
    <x v="0"/>
    <s v="DK1_MedSmall"/>
    <x v="2"/>
    <s v="GNR_ST_MSW_BP_E-22"/>
    <x v="0"/>
    <x v="12"/>
    <n v="20.454545454545499"/>
    <n v="7465.9090909091001"/>
    <n v="26877.272727272801"/>
  </r>
  <r>
    <x v="0"/>
    <x v="0"/>
    <x v="0"/>
    <x v="0"/>
    <x v="0"/>
    <s v="DK1_MedSmall"/>
    <x v="2"/>
    <s v="GNR_ST_MSW_BP_E-22"/>
    <x v="0"/>
    <x v="13"/>
    <n v="20.454545454545499"/>
    <n v="7465.9090909091001"/>
    <n v="26877.272727272801"/>
  </r>
  <r>
    <x v="0"/>
    <x v="0"/>
    <x v="0"/>
    <x v="0"/>
    <x v="0"/>
    <s v="DK1_MedSmall"/>
    <x v="2"/>
    <s v="GNR_ST_MSW_BP_E-22"/>
    <x v="0"/>
    <x v="14"/>
    <n v="20.454545454545499"/>
    <n v="7465.9090909091001"/>
    <n v="26877.272727272801"/>
  </r>
  <r>
    <x v="0"/>
    <x v="0"/>
    <x v="0"/>
    <x v="0"/>
    <x v="0"/>
    <s v="DK1_MedSmall"/>
    <x v="2"/>
    <s v="GNR_ST_MSW_BP_E-22"/>
    <x v="0"/>
    <x v="15"/>
    <n v="20.454545454545499"/>
    <n v="7465.9090909091001"/>
    <n v="26877.272727272801"/>
  </r>
  <r>
    <x v="0"/>
    <x v="0"/>
    <x v="0"/>
    <x v="0"/>
    <x v="0"/>
    <s v="DK1_MedSmall"/>
    <x v="2"/>
    <s v="GNR_ST_MSW_BP_E-22"/>
    <x v="0"/>
    <x v="16"/>
    <n v="20.454545454545499"/>
    <n v="7465.9090909091001"/>
    <n v="26877.272727272801"/>
  </r>
  <r>
    <x v="0"/>
    <x v="0"/>
    <x v="0"/>
    <x v="0"/>
    <x v="0"/>
    <s v="DK1_MedSmall"/>
    <x v="2"/>
    <s v="GNR_ST_MSW_BP_E-22"/>
    <x v="0"/>
    <x v="17"/>
    <n v="20.454545454545499"/>
    <n v="7465.9090909091001"/>
    <n v="26877.272727272801"/>
  </r>
  <r>
    <x v="0"/>
    <x v="0"/>
    <x v="0"/>
    <x v="0"/>
    <x v="0"/>
    <s v="DK1_MedSmall"/>
    <x v="2"/>
    <s v="GNR_ST_MSW_BP_E-22"/>
    <x v="0"/>
    <x v="19"/>
    <n v="20.454545454545499"/>
    <n v="7465.9090909091001"/>
    <n v="26877.272727272801"/>
  </r>
  <r>
    <x v="0"/>
    <x v="0"/>
    <x v="0"/>
    <x v="0"/>
    <x v="0"/>
    <s v="DK1_MedSmall"/>
    <x v="2"/>
    <s v="GNR_ST_MSW_BP_E-22"/>
    <x v="0"/>
    <x v="20"/>
    <n v="20.454545454545499"/>
    <n v="7465.9090909091001"/>
    <n v="26877.272727272801"/>
  </r>
  <r>
    <x v="0"/>
    <x v="0"/>
    <x v="0"/>
    <x v="0"/>
    <x v="0"/>
    <s v="DK1_MedSmall"/>
    <x v="2"/>
    <s v="GNR_ST_MSW_BP_E-22"/>
    <x v="0"/>
    <x v="21"/>
    <n v="20.454545454545499"/>
    <n v="7465.9090909091001"/>
    <n v="26877.272727272801"/>
  </r>
  <r>
    <x v="0"/>
    <x v="0"/>
    <x v="0"/>
    <x v="0"/>
    <x v="0"/>
    <s v="DK1_MedSmall"/>
    <x v="2"/>
    <s v="GNR_ST_MSW_BP_E-22"/>
    <x v="0"/>
    <x v="22"/>
    <n v="20.454545454545499"/>
    <n v="7465.9090909091001"/>
    <n v="26877.272727272801"/>
  </r>
  <r>
    <x v="0"/>
    <x v="0"/>
    <x v="0"/>
    <x v="0"/>
    <x v="0"/>
    <s v="DK1_MedSmall"/>
    <x v="2"/>
    <s v="GNR_ST_MSW_BP_E-22"/>
    <x v="0"/>
    <x v="23"/>
    <n v="20.454545454545499"/>
    <n v="7465.9090909091001"/>
    <n v="26877.272727272801"/>
  </r>
  <r>
    <x v="0"/>
    <x v="0"/>
    <x v="0"/>
    <x v="0"/>
    <x v="0"/>
    <s v="DK1_MedSmall"/>
    <x v="2"/>
    <s v="GNR_ST_MSW_BP_E-26"/>
    <x v="0"/>
    <x v="0"/>
    <n v="26.923076923077002"/>
    <n v="9826.9230769230908"/>
    <n v="35376.9230769231"/>
  </r>
  <r>
    <x v="0"/>
    <x v="0"/>
    <x v="0"/>
    <x v="0"/>
    <x v="0"/>
    <s v="DK1_MedSmall"/>
    <x v="2"/>
    <s v="GNR_ST_MSW_BP_E-26"/>
    <x v="0"/>
    <x v="1"/>
    <n v="26.923076923077002"/>
    <n v="9826.9230769230908"/>
    <n v="35376.9230769231"/>
  </r>
  <r>
    <x v="0"/>
    <x v="0"/>
    <x v="0"/>
    <x v="0"/>
    <x v="0"/>
    <s v="DK1_MedSmall"/>
    <x v="2"/>
    <s v="GNR_ST_MSW_BP_E-26"/>
    <x v="0"/>
    <x v="2"/>
    <n v="26.923076923077002"/>
    <n v="9826.9230769230908"/>
    <n v="35376.9230769231"/>
  </r>
  <r>
    <x v="0"/>
    <x v="0"/>
    <x v="0"/>
    <x v="0"/>
    <x v="0"/>
    <s v="DK1_MedSmall"/>
    <x v="2"/>
    <s v="GNR_ST_MSW_BP_E-26"/>
    <x v="0"/>
    <x v="3"/>
    <n v="26.923076923077002"/>
    <n v="9826.9230769230908"/>
    <n v="35376.9230769231"/>
  </r>
  <r>
    <x v="0"/>
    <x v="0"/>
    <x v="0"/>
    <x v="0"/>
    <x v="0"/>
    <s v="DK1_MedSmall"/>
    <x v="2"/>
    <s v="GNR_ST_MSW_BP_E-26"/>
    <x v="0"/>
    <x v="18"/>
    <n v="26.923076923077002"/>
    <n v="9826.9230769230908"/>
    <n v="35376.9230769231"/>
  </r>
  <r>
    <x v="0"/>
    <x v="0"/>
    <x v="0"/>
    <x v="0"/>
    <x v="0"/>
    <s v="DK1_MedSmall"/>
    <x v="2"/>
    <s v="GNR_ST_MSW_BP_E-26"/>
    <x v="0"/>
    <x v="4"/>
    <n v="26.923076923077002"/>
    <n v="9826.9230769230908"/>
    <n v="35376.9230769231"/>
  </r>
  <r>
    <x v="0"/>
    <x v="0"/>
    <x v="0"/>
    <x v="0"/>
    <x v="0"/>
    <s v="DK1_MedSmall"/>
    <x v="2"/>
    <s v="GNR_ST_MSW_BP_E-26"/>
    <x v="0"/>
    <x v="5"/>
    <n v="26.923076923077002"/>
    <n v="9826.9230769230908"/>
    <n v="35376.9230769231"/>
  </r>
  <r>
    <x v="0"/>
    <x v="0"/>
    <x v="0"/>
    <x v="0"/>
    <x v="0"/>
    <s v="DK1_MedSmall"/>
    <x v="2"/>
    <s v="GNR_ST_MSW_BP_E-26"/>
    <x v="0"/>
    <x v="6"/>
    <n v="26.923076923077002"/>
    <n v="9826.9230769230908"/>
    <n v="35376.9230769231"/>
  </r>
  <r>
    <x v="0"/>
    <x v="0"/>
    <x v="0"/>
    <x v="0"/>
    <x v="0"/>
    <s v="DK1_MedSmall"/>
    <x v="2"/>
    <s v="GNR_ST_MSW_BP_E-26"/>
    <x v="0"/>
    <x v="7"/>
    <n v="26.923076923077002"/>
    <n v="9826.9230769230908"/>
    <n v="35376.9230769231"/>
  </r>
  <r>
    <x v="0"/>
    <x v="0"/>
    <x v="0"/>
    <x v="0"/>
    <x v="0"/>
    <s v="DK1_MedSmall"/>
    <x v="2"/>
    <s v="GNR_ST_MSW_BP_E-26"/>
    <x v="0"/>
    <x v="8"/>
    <n v="26.923076923077002"/>
    <n v="9826.9230769230908"/>
    <n v="35376.9230769231"/>
  </r>
  <r>
    <x v="0"/>
    <x v="0"/>
    <x v="0"/>
    <x v="0"/>
    <x v="0"/>
    <s v="DK1_MedSmall"/>
    <x v="2"/>
    <s v="GNR_ST_MSW_BP_E-26"/>
    <x v="0"/>
    <x v="9"/>
    <n v="26.923076923077002"/>
    <n v="9826.9230769230908"/>
    <n v="35376.9230769231"/>
  </r>
  <r>
    <x v="0"/>
    <x v="0"/>
    <x v="0"/>
    <x v="0"/>
    <x v="0"/>
    <s v="DK1_MedSmall"/>
    <x v="2"/>
    <s v="GNR_ST_MSW_BP_E-26"/>
    <x v="0"/>
    <x v="10"/>
    <n v="26.923076923077002"/>
    <n v="9826.9230769230908"/>
    <n v="35376.9230769231"/>
  </r>
  <r>
    <x v="0"/>
    <x v="0"/>
    <x v="0"/>
    <x v="0"/>
    <x v="0"/>
    <s v="DK1_MedSmall"/>
    <x v="2"/>
    <s v="GNR_ST_MSW_BP_E-26"/>
    <x v="0"/>
    <x v="11"/>
    <n v="26.923076923077002"/>
    <n v="9826.9230769230908"/>
    <n v="35376.9230769231"/>
  </r>
  <r>
    <x v="0"/>
    <x v="0"/>
    <x v="0"/>
    <x v="0"/>
    <x v="0"/>
    <s v="DK1_MedSmall"/>
    <x v="2"/>
    <s v="GNR_ST_MSW_BP_E-26"/>
    <x v="0"/>
    <x v="12"/>
    <n v="26.923076923077002"/>
    <n v="9826.9230769230908"/>
    <n v="35376.9230769231"/>
  </r>
  <r>
    <x v="0"/>
    <x v="0"/>
    <x v="0"/>
    <x v="0"/>
    <x v="0"/>
    <s v="DK1_MedSmall"/>
    <x v="2"/>
    <s v="GNR_ST_MSW_BP_E-26"/>
    <x v="0"/>
    <x v="13"/>
    <n v="26.923076923077002"/>
    <n v="9826.9230769230908"/>
    <n v="35376.9230769231"/>
  </r>
  <r>
    <x v="0"/>
    <x v="0"/>
    <x v="0"/>
    <x v="0"/>
    <x v="0"/>
    <s v="DK1_MedSmall"/>
    <x v="2"/>
    <s v="GNR_ST_MSW_BP_E-26"/>
    <x v="0"/>
    <x v="14"/>
    <n v="26.923076923077002"/>
    <n v="9826.9230769230908"/>
    <n v="35376.9230769231"/>
  </r>
  <r>
    <x v="0"/>
    <x v="0"/>
    <x v="0"/>
    <x v="0"/>
    <x v="0"/>
    <s v="DK1_MedSmall"/>
    <x v="2"/>
    <s v="GNR_ST_MSW_BP_E-26"/>
    <x v="0"/>
    <x v="15"/>
    <n v="26.923076923077002"/>
    <n v="9826.9230769230908"/>
    <n v="35376.9230769231"/>
  </r>
  <r>
    <x v="0"/>
    <x v="0"/>
    <x v="0"/>
    <x v="0"/>
    <x v="0"/>
    <s v="DK1_MedSmall"/>
    <x v="2"/>
    <s v="GNR_ST_MSW_BP_E-26"/>
    <x v="0"/>
    <x v="16"/>
    <n v="26.923076923077002"/>
    <n v="9826.9230769230908"/>
    <n v="35376.9230769231"/>
  </r>
  <r>
    <x v="0"/>
    <x v="0"/>
    <x v="0"/>
    <x v="0"/>
    <x v="0"/>
    <s v="DK1_MedSmall"/>
    <x v="2"/>
    <s v="GNR_ST_MSW_BP_E-26"/>
    <x v="0"/>
    <x v="17"/>
    <n v="26.923076923077002"/>
    <n v="9826.9230769230908"/>
    <n v="35376.9230769231"/>
  </r>
  <r>
    <x v="0"/>
    <x v="0"/>
    <x v="0"/>
    <x v="0"/>
    <x v="0"/>
    <s v="DK1_MedSmall"/>
    <x v="2"/>
    <s v="GNR_ST_MSW_BP_E-26"/>
    <x v="0"/>
    <x v="19"/>
    <n v="26.923076923077002"/>
    <n v="9826.9230769230908"/>
    <n v="35376.9230769231"/>
  </r>
  <r>
    <x v="0"/>
    <x v="0"/>
    <x v="0"/>
    <x v="0"/>
    <x v="0"/>
    <s v="DK1_MedSmall"/>
    <x v="2"/>
    <s v="GNR_ST_MSW_BP_E-26"/>
    <x v="0"/>
    <x v="20"/>
    <n v="26.923076923077002"/>
    <n v="9826.9230769230908"/>
    <n v="35376.9230769231"/>
  </r>
  <r>
    <x v="0"/>
    <x v="0"/>
    <x v="0"/>
    <x v="0"/>
    <x v="0"/>
    <s v="DK1_MedSmall"/>
    <x v="2"/>
    <s v="GNR_ST_MSW_BP_E-26"/>
    <x v="0"/>
    <x v="21"/>
    <n v="26.923076923077002"/>
    <n v="9826.9230769230908"/>
    <n v="35376.9230769231"/>
  </r>
  <r>
    <x v="0"/>
    <x v="0"/>
    <x v="0"/>
    <x v="0"/>
    <x v="0"/>
    <s v="DK1_MedSmall"/>
    <x v="2"/>
    <s v="GNR_ST_MSW_BP_E-26"/>
    <x v="0"/>
    <x v="22"/>
    <n v="26.923076923077002"/>
    <n v="9826.9230769230908"/>
    <n v="35376.9230769231"/>
  </r>
  <r>
    <x v="0"/>
    <x v="0"/>
    <x v="0"/>
    <x v="0"/>
    <x v="0"/>
    <s v="DK1_MedSmall"/>
    <x v="2"/>
    <s v="GNR_ST_MSW_BP_E-26"/>
    <x v="0"/>
    <x v="23"/>
    <n v="26.923076923077002"/>
    <n v="9826.9230769230908"/>
    <n v="35376.9230769231"/>
  </r>
  <r>
    <x v="0"/>
    <x v="0"/>
    <x v="0"/>
    <x v="0"/>
    <x v="0"/>
    <s v="DK1_MedSmall"/>
    <x v="3"/>
    <s v="GNR_BO_NGAS_E-101"/>
    <x v="0"/>
    <x v="4"/>
    <n v="14.1732458337369"/>
    <n v="5173.2347293139801"/>
    <n v="18623.645025530299"/>
  </r>
  <r>
    <x v="0"/>
    <x v="0"/>
    <x v="0"/>
    <x v="0"/>
    <x v="0"/>
    <s v="DK1_MedSmall"/>
    <x v="3"/>
    <s v="GNR_BO_NGAS_E-101"/>
    <x v="0"/>
    <x v="5"/>
    <n v="60.891089108910897"/>
    <n v="22225.2475247525"/>
    <n v="80010.891089108904"/>
  </r>
  <r>
    <x v="0"/>
    <x v="0"/>
    <x v="0"/>
    <x v="0"/>
    <x v="0"/>
    <s v="DK1_MedSmall"/>
    <x v="3"/>
    <s v="GNR_BO_NGAS_E-101"/>
    <x v="0"/>
    <x v="6"/>
    <n v="60.891089108910897"/>
    <n v="22225.2475247525"/>
    <n v="80010.891089108904"/>
  </r>
  <r>
    <x v="0"/>
    <x v="0"/>
    <x v="0"/>
    <x v="0"/>
    <x v="0"/>
    <s v="DK1_MedSmall"/>
    <x v="3"/>
    <s v="GNR_BO_NGAS_E-101"/>
    <x v="0"/>
    <x v="7"/>
    <n v="60.891089108910897"/>
    <n v="22225.2475247525"/>
    <n v="80010.891089108904"/>
  </r>
  <r>
    <x v="0"/>
    <x v="0"/>
    <x v="0"/>
    <x v="0"/>
    <x v="0"/>
    <s v="DK1_MedSmall"/>
    <x v="3"/>
    <s v="GNR_BO_NGAS_E-101"/>
    <x v="0"/>
    <x v="8"/>
    <n v="60.891089108910897"/>
    <n v="22225.2475247525"/>
    <n v="80010.891089108904"/>
  </r>
  <r>
    <x v="0"/>
    <x v="0"/>
    <x v="0"/>
    <x v="0"/>
    <x v="0"/>
    <s v="DK1_MedSmall"/>
    <x v="3"/>
    <s v="GNR_BO_NGAS_E-101"/>
    <x v="0"/>
    <x v="9"/>
    <n v="60.891089108910897"/>
    <n v="22225.2475247525"/>
    <n v="80010.891089108904"/>
  </r>
  <r>
    <x v="0"/>
    <x v="0"/>
    <x v="0"/>
    <x v="0"/>
    <x v="0"/>
    <s v="DK1_MedSmall"/>
    <x v="3"/>
    <s v="GNR_BO_NGAS_E-101"/>
    <x v="0"/>
    <x v="10"/>
    <n v="60.891089108910897"/>
    <n v="22225.2475247525"/>
    <n v="80010.891089108904"/>
  </r>
  <r>
    <x v="0"/>
    <x v="0"/>
    <x v="0"/>
    <x v="0"/>
    <x v="0"/>
    <s v="DK1_MedSmall"/>
    <x v="3"/>
    <s v="GNR_BO_NGAS_E-101"/>
    <x v="0"/>
    <x v="11"/>
    <n v="60.891089108910897"/>
    <n v="22225.2475247525"/>
    <n v="80010.891089108904"/>
  </r>
  <r>
    <x v="0"/>
    <x v="0"/>
    <x v="0"/>
    <x v="0"/>
    <x v="0"/>
    <s v="DK1_MedSmall"/>
    <x v="3"/>
    <s v="GNR_BO_NGAS_E-101"/>
    <x v="0"/>
    <x v="12"/>
    <n v="60.891089108910897"/>
    <n v="22225.2475247525"/>
    <n v="80010.891089108904"/>
  </r>
  <r>
    <x v="0"/>
    <x v="0"/>
    <x v="0"/>
    <x v="0"/>
    <x v="0"/>
    <s v="DK1_MedSmall"/>
    <x v="3"/>
    <s v="GNR_BO_NGAS_E-101"/>
    <x v="0"/>
    <x v="13"/>
    <n v="60.891089108910897"/>
    <n v="22225.2475247525"/>
    <n v="80010.891089108904"/>
  </r>
  <r>
    <x v="0"/>
    <x v="0"/>
    <x v="0"/>
    <x v="0"/>
    <x v="0"/>
    <s v="DK1_MedSmall"/>
    <x v="3"/>
    <s v="GNR_BO_NGAS_E-101"/>
    <x v="0"/>
    <x v="14"/>
    <n v="60.891089108910897"/>
    <n v="22225.2475247525"/>
    <n v="80010.891089108904"/>
  </r>
  <r>
    <x v="0"/>
    <x v="0"/>
    <x v="0"/>
    <x v="0"/>
    <x v="0"/>
    <s v="DK1_MedSmall"/>
    <x v="3"/>
    <s v="GNR_BO_NGAS_E-101"/>
    <x v="0"/>
    <x v="15"/>
    <n v="60.891089108910897"/>
    <n v="22225.2475247525"/>
    <n v="80010.891089108904"/>
  </r>
  <r>
    <x v="0"/>
    <x v="0"/>
    <x v="0"/>
    <x v="0"/>
    <x v="0"/>
    <s v="DK1_MedSmall"/>
    <x v="3"/>
    <s v="GNR_BO_NGAS_E-101"/>
    <x v="0"/>
    <x v="16"/>
    <n v="60.891089108910897"/>
    <n v="22225.2475247525"/>
    <n v="80010.891089108904"/>
  </r>
  <r>
    <x v="0"/>
    <x v="0"/>
    <x v="0"/>
    <x v="0"/>
    <x v="0"/>
    <s v="DK1_MedSmall"/>
    <x v="3"/>
    <s v="GNR_BO_NGAS_E-101"/>
    <x v="0"/>
    <x v="17"/>
    <n v="60.891089108910897"/>
    <n v="22225.2475247525"/>
    <n v="80010.891089108904"/>
  </r>
  <r>
    <x v="0"/>
    <x v="0"/>
    <x v="0"/>
    <x v="0"/>
    <x v="0"/>
    <s v="DK1_MedSmall"/>
    <x v="3"/>
    <s v="GNR_BO_NGAS_E-101"/>
    <x v="0"/>
    <x v="19"/>
    <n v="60.891089108910897"/>
    <n v="22225.2475247525"/>
    <n v="80010.891089108904"/>
  </r>
  <r>
    <x v="0"/>
    <x v="0"/>
    <x v="0"/>
    <x v="0"/>
    <x v="0"/>
    <s v="DK1_MedSmall"/>
    <x v="3"/>
    <s v="GNR_BO_NGAS_E-101"/>
    <x v="0"/>
    <x v="20"/>
    <n v="60.891089108910897"/>
    <n v="22225.2475247525"/>
    <n v="80010.891089108904"/>
  </r>
  <r>
    <x v="0"/>
    <x v="0"/>
    <x v="0"/>
    <x v="0"/>
    <x v="0"/>
    <s v="DK1_MedSmall"/>
    <x v="3"/>
    <s v="GNR_BO_NGAS_E-101"/>
    <x v="0"/>
    <x v="21"/>
    <n v="42.276653184141502"/>
    <n v="15430.9784122116"/>
    <n v="55551.522283961902"/>
  </r>
  <r>
    <x v="0"/>
    <x v="0"/>
    <x v="0"/>
    <x v="0"/>
    <x v="0"/>
    <s v="DK1_MedSmall"/>
    <x v="3"/>
    <s v="GNR_BO_NGAS_E-101"/>
    <x v="0"/>
    <x v="22"/>
    <n v="27.564702697986601"/>
    <n v="10061.1164847651"/>
    <n v="36220.019345154396"/>
  </r>
  <r>
    <x v="0"/>
    <x v="0"/>
    <x v="0"/>
    <x v="0"/>
    <x v="0"/>
    <s v="DK1_MedSmall"/>
    <x v="3"/>
    <s v="GNR_BO_NGAS_E-101"/>
    <x v="0"/>
    <x v="23"/>
    <n v="19.516309043645499"/>
    <n v="7123.4528009305895"/>
    <n v="25644.4300833501"/>
  </r>
  <r>
    <x v="0"/>
    <x v="0"/>
    <x v="0"/>
    <x v="0"/>
    <x v="0"/>
    <s v="DK1_MedSmall"/>
    <x v="3"/>
    <s v="GNR_BO_NGAS_E-102"/>
    <x v="0"/>
    <x v="4"/>
    <n v="5"/>
    <n v="1825"/>
    <n v="6570"/>
  </r>
  <r>
    <x v="0"/>
    <x v="0"/>
    <x v="0"/>
    <x v="0"/>
    <x v="0"/>
    <s v="DK1_MedSmall"/>
    <x v="3"/>
    <s v="GNR_BO_NGAS_E-102"/>
    <x v="0"/>
    <x v="5"/>
    <n v="5"/>
    <n v="1825"/>
    <n v="6570"/>
  </r>
  <r>
    <x v="0"/>
    <x v="0"/>
    <x v="0"/>
    <x v="0"/>
    <x v="0"/>
    <s v="DK1_MedSmall"/>
    <x v="3"/>
    <s v="GNR_BO_NGAS_E-102"/>
    <x v="0"/>
    <x v="6"/>
    <n v="5"/>
    <n v="1825"/>
    <n v="6570"/>
  </r>
  <r>
    <x v="0"/>
    <x v="0"/>
    <x v="0"/>
    <x v="0"/>
    <x v="0"/>
    <s v="DK1_MedSmall"/>
    <x v="3"/>
    <s v="GNR_BO_NGAS_E-102"/>
    <x v="0"/>
    <x v="7"/>
    <n v="5"/>
    <n v="1825"/>
    <n v="6570"/>
  </r>
  <r>
    <x v="0"/>
    <x v="0"/>
    <x v="0"/>
    <x v="0"/>
    <x v="0"/>
    <s v="DK1_MedSmall"/>
    <x v="3"/>
    <s v="GNR_BO_NGAS_E-102"/>
    <x v="0"/>
    <x v="8"/>
    <n v="5"/>
    <n v="1825"/>
    <n v="6570"/>
  </r>
  <r>
    <x v="0"/>
    <x v="0"/>
    <x v="0"/>
    <x v="0"/>
    <x v="0"/>
    <s v="DK1_MedSmall"/>
    <x v="3"/>
    <s v="GNR_BO_NGAS_E-102"/>
    <x v="0"/>
    <x v="9"/>
    <n v="5"/>
    <n v="1825"/>
    <n v="6570"/>
  </r>
  <r>
    <x v="0"/>
    <x v="0"/>
    <x v="0"/>
    <x v="0"/>
    <x v="0"/>
    <s v="DK1_MedSmall"/>
    <x v="3"/>
    <s v="GNR_BO_NGAS_E-102"/>
    <x v="0"/>
    <x v="10"/>
    <n v="5"/>
    <n v="1825"/>
    <n v="6570"/>
  </r>
  <r>
    <x v="0"/>
    <x v="0"/>
    <x v="0"/>
    <x v="0"/>
    <x v="0"/>
    <s v="DK1_MedSmall"/>
    <x v="3"/>
    <s v="GNR_BO_NGAS_E-102"/>
    <x v="0"/>
    <x v="11"/>
    <n v="5"/>
    <n v="1825"/>
    <n v="6570"/>
  </r>
  <r>
    <x v="0"/>
    <x v="0"/>
    <x v="0"/>
    <x v="0"/>
    <x v="0"/>
    <s v="DK1_MedSmall"/>
    <x v="3"/>
    <s v="GNR_BO_NGAS_E-102"/>
    <x v="0"/>
    <x v="12"/>
    <n v="5"/>
    <n v="1825"/>
    <n v="6570"/>
  </r>
  <r>
    <x v="0"/>
    <x v="0"/>
    <x v="0"/>
    <x v="0"/>
    <x v="0"/>
    <s v="DK1_MedSmall"/>
    <x v="3"/>
    <s v="GNR_BO_NGAS_E-102"/>
    <x v="0"/>
    <x v="13"/>
    <n v="5"/>
    <n v="1825"/>
    <n v="6570"/>
  </r>
  <r>
    <x v="0"/>
    <x v="0"/>
    <x v="0"/>
    <x v="0"/>
    <x v="0"/>
    <s v="DK1_MedSmall"/>
    <x v="3"/>
    <s v="GNR_BO_NGAS_E-102"/>
    <x v="0"/>
    <x v="14"/>
    <n v="5"/>
    <n v="1825"/>
    <n v="6570"/>
  </r>
  <r>
    <x v="0"/>
    <x v="0"/>
    <x v="0"/>
    <x v="0"/>
    <x v="0"/>
    <s v="DK1_MedSmall"/>
    <x v="3"/>
    <s v="GNR_BO_NGAS_E-102"/>
    <x v="0"/>
    <x v="15"/>
    <n v="5"/>
    <n v="1825"/>
    <n v="6570"/>
  </r>
  <r>
    <x v="0"/>
    <x v="0"/>
    <x v="0"/>
    <x v="0"/>
    <x v="0"/>
    <s v="DK1_MedSmall"/>
    <x v="3"/>
    <s v="GNR_BO_NGAS_E-102"/>
    <x v="0"/>
    <x v="16"/>
    <n v="5"/>
    <n v="1825"/>
    <n v="6570"/>
  </r>
  <r>
    <x v="0"/>
    <x v="0"/>
    <x v="0"/>
    <x v="0"/>
    <x v="0"/>
    <s v="DK1_MedSmall"/>
    <x v="3"/>
    <s v="GNR_BO_NGAS_E-102"/>
    <x v="0"/>
    <x v="17"/>
    <n v="5"/>
    <n v="1825"/>
    <n v="6570"/>
  </r>
  <r>
    <x v="0"/>
    <x v="0"/>
    <x v="0"/>
    <x v="0"/>
    <x v="0"/>
    <s v="DK1_MedSmall"/>
    <x v="3"/>
    <s v="GNR_BO_NGAS_E-102"/>
    <x v="0"/>
    <x v="19"/>
    <n v="5"/>
    <n v="1825"/>
    <n v="6570"/>
  </r>
  <r>
    <x v="0"/>
    <x v="0"/>
    <x v="0"/>
    <x v="0"/>
    <x v="0"/>
    <s v="DK1_MedSmall"/>
    <x v="3"/>
    <s v="GNR_BO_NGAS_E-102"/>
    <x v="0"/>
    <x v="20"/>
    <n v="5"/>
    <n v="1825"/>
    <n v="6570"/>
  </r>
  <r>
    <x v="0"/>
    <x v="0"/>
    <x v="0"/>
    <x v="0"/>
    <x v="0"/>
    <s v="DK1_MedSmall"/>
    <x v="3"/>
    <s v="GNR_BO_NGAS_E-102"/>
    <x v="0"/>
    <x v="21"/>
    <n v="5"/>
    <n v="1825"/>
    <n v="6570"/>
  </r>
  <r>
    <x v="0"/>
    <x v="0"/>
    <x v="0"/>
    <x v="0"/>
    <x v="0"/>
    <s v="DK1_MedSmall"/>
    <x v="3"/>
    <s v="GNR_BO_NGAS_E-102"/>
    <x v="0"/>
    <x v="22"/>
    <n v="5"/>
    <n v="1825"/>
    <n v="6570"/>
  </r>
  <r>
    <x v="0"/>
    <x v="0"/>
    <x v="0"/>
    <x v="0"/>
    <x v="0"/>
    <s v="DK1_MedSmall"/>
    <x v="3"/>
    <s v="GNR_BO_NGAS_E-102"/>
    <x v="0"/>
    <x v="23"/>
    <n v="5"/>
    <n v="1825"/>
    <n v="6570"/>
  </r>
  <r>
    <x v="0"/>
    <x v="0"/>
    <x v="0"/>
    <x v="0"/>
    <x v="0"/>
    <s v="DK1_MedSmall"/>
    <x v="3"/>
    <s v="GNR_BO_NGAS_E-104"/>
    <x v="0"/>
    <x v="0"/>
    <n v="6.6135830620633396"/>
    <n v="2413.9578176531199"/>
    <n v="8690.2481435512309"/>
  </r>
  <r>
    <x v="0"/>
    <x v="0"/>
    <x v="0"/>
    <x v="0"/>
    <x v="0"/>
    <s v="DK1_MedSmall"/>
    <x v="3"/>
    <s v="GNR_BO_NGAS_E-104"/>
    <x v="0"/>
    <x v="1"/>
    <n v="5.2040992427107096"/>
    <n v="1899.49622358941"/>
    <n v="6838.1864049218702"/>
  </r>
  <r>
    <x v="0"/>
    <x v="0"/>
    <x v="0"/>
    <x v="0"/>
    <x v="0"/>
    <s v="DK1_MedSmall"/>
    <x v="3"/>
    <s v="GNR_BO_NGAS_E-104"/>
    <x v="0"/>
    <x v="2"/>
    <n v="3.9227503160264998"/>
    <n v="1431.8038653496701"/>
    <n v="5154.4939152588204"/>
  </r>
  <r>
    <x v="0"/>
    <x v="0"/>
    <x v="0"/>
    <x v="0"/>
    <x v="0"/>
    <s v="DK1_MedSmall"/>
    <x v="3"/>
    <s v="GNR_BO_NGAS_E-104"/>
    <x v="0"/>
    <x v="3"/>
    <n v="5.84477370605281"/>
    <n v="2133.3424027092801"/>
    <n v="7680.0326497533897"/>
  </r>
  <r>
    <x v="0"/>
    <x v="0"/>
    <x v="0"/>
    <x v="0"/>
    <x v="0"/>
    <s v="DK1_MedSmall"/>
    <x v="3"/>
    <s v="GNR_BO_NGAS_E-104"/>
    <x v="0"/>
    <x v="18"/>
    <n v="7.2542575254054498"/>
    <n v="2647.8039967729901"/>
    <n v="9532.0943883827604"/>
  </r>
  <r>
    <x v="0"/>
    <x v="0"/>
    <x v="0"/>
    <x v="0"/>
    <x v="0"/>
    <s v="DK1_MedSmall"/>
    <x v="3"/>
    <s v="GNR_BO_NGAS_E-104"/>
    <x v="0"/>
    <x v="4"/>
    <n v="11.009615384615399"/>
    <n v="4018.5096153846098"/>
    <n v="14466.634615384601"/>
  </r>
  <r>
    <x v="0"/>
    <x v="0"/>
    <x v="0"/>
    <x v="0"/>
    <x v="0"/>
    <s v="DK1_MedSmall"/>
    <x v="3"/>
    <s v="GNR_BO_NGAS_E-104"/>
    <x v="0"/>
    <x v="5"/>
    <n v="11.009615384615399"/>
    <n v="4018.5096153846098"/>
    <n v="14466.634615384601"/>
  </r>
  <r>
    <x v="0"/>
    <x v="0"/>
    <x v="0"/>
    <x v="0"/>
    <x v="0"/>
    <s v="DK1_MedSmall"/>
    <x v="3"/>
    <s v="GNR_BO_NGAS_E-104"/>
    <x v="0"/>
    <x v="6"/>
    <n v="11.009615384615399"/>
    <n v="4018.5096153846098"/>
    <n v="14466.634615384601"/>
  </r>
  <r>
    <x v="0"/>
    <x v="0"/>
    <x v="0"/>
    <x v="0"/>
    <x v="0"/>
    <s v="DK1_MedSmall"/>
    <x v="3"/>
    <s v="GNR_BO_NGAS_E-104"/>
    <x v="0"/>
    <x v="7"/>
    <n v="11.009615384615399"/>
    <n v="4018.5096153846098"/>
    <n v="14466.634615384601"/>
  </r>
  <r>
    <x v="0"/>
    <x v="0"/>
    <x v="0"/>
    <x v="0"/>
    <x v="0"/>
    <s v="DK1_MedSmall"/>
    <x v="3"/>
    <s v="GNR_BO_NGAS_E-104"/>
    <x v="0"/>
    <x v="8"/>
    <n v="11.009615384615399"/>
    <n v="4018.5096153846098"/>
    <n v="14466.634615384601"/>
  </r>
  <r>
    <x v="0"/>
    <x v="0"/>
    <x v="0"/>
    <x v="0"/>
    <x v="0"/>
    <s v="DK1_MedSmall"/>
    <x v="3"/>
    <s v="GNR_BO_NGAS_E-104"/>
    <x v="0"/>
    <x v="9"/>
    <n v="11.009615384615399"/>
    <n v="4018.5096153846098"/>
    <n v="14466.634615384601"/>
  </r>
  <r>
    <x v="0"/>
    <x v="0"/>
    <x v="0"/>
    <x v="0"/>
    <x v="0"/>
    <s v="DK1_MedSmall"/>
    <x v="3"/>
    <s v="GNR_BO_NGAS_E-104"/>
    <x v="0"/>
    <x v="10"/>
    <n v="11.009615384615399"/>
    <n v="4018.5096153846098"/>
    <n v="14466.634615384601"/>
  </r>
  <r>
    <x v="0"/>
    <x v="0"/>
    <x v="0"/>
    <x v="0"/>
    <x v="0"/>
    <s v="DK1_MedSmall"/>
    <x v="3"/>
    <s v="GNR_BO_NGAS_E-104"/>
    <x v="0"/>
    <x v="11"/>
    <n v="11.009615384615399"/>
    <n v="4018.5096153846098"/>
    <n v="14466.634615384601"/>
  </r>
  <r>
    <x v="0"/>
    <x v="0"/>
    <x v="0"/>
    <x v="0"/>
    <x v="0"/>
    <s v="DK1_MedSmall"/>
    <x v="3"/>
    <s v="GNR_BO_NGAS_E-104"/>
    <x v="0"/>
    <x v="12"/>
    <n v="11.009615384615399"/>
    <n v="4018.5096153846098"/>
    <n v="14466.634615384601"/>
  </r>
  <r>
    <x v="0"/>
    <x v="0"/>
    <x v="0"/>
    <x v="0"/>
    <x v="0"/>
    <s v="DK1_MedSmall"/>
    <x v="3"/>
    <s v="GNR_BO_NGAS_E-104"/>
    <x v="0"/>
    <x v="13"/>
    <n v="11.009615384615399"/>
    <n v="4018.5096153846098"/>
    <n v="14466.634615384601"/>
  </r>
  <r>
    <x v="0"/>
    <x v="0"/>
    <x v="0"/>
    <x v="0"/>
    <x v="0"/>
    <s v="DK1_MedSmall"/>
    <x v="3"/>
    <s v="GNR_BO_NGAS_E-104"/>
    <x v="0"/>
    <x v="14"/>
    <n v="11.009615384615399"/>
    <n v="4018.5096153846098"/>
    <n v="14466.634615384601"/>
  </r>
  <r>
    <x v="0"/>
    <x v="0"/>
    <x v="0"/>
    <x v="0"/>
    <x v="0"/>
    <s v="DK1_MedSmall"/>
    <x v="3"/>
    <s v="GNR_BO_NGAS_E-104"/>
    <x v="0"/>
    <x v="15"/>
    <n v="11.009615384615399"/>
    <n v="4018.5096153846098"/>
    <n v="14466.634615384601"/>
  </r>
  <r>
    <x v="0"/>
    <x v="0"/>
    <x v="0"/>
    <x v="0"/>
    <x v="0"/>
    <s v="DK1_MedSmall"/>
    <x v="3"/>
    <s v="GNR_BO_NGAS_E-104"/>
    <x v="0"/>
    <x v="16"/>
    <n v="11.009615384615399"/>
    <n v="4018.5096153846098"/>
    <n v="14466.634615384601"/>
  </r>
  <r>
    <x v="0"/>
    <x v="0"/>
    <x v="0"/>
    <x v="0"/>
    <x v="0"/>
    <s v="DK1_MedSmall"/>
    <x v="3"/>
    <s v="GNR_BO_NGAS_E-104"/>
    <x v="0"/>
    <x v="17"/>
    <n v="11.009615384615399"/>
    <n v="4018.5096153846098"/>
    <n v="14466.634615384601"/>
  </r>
  <r>
    <x v="0"/>
    <x v="0"/>
    <x v="0"/>
    <x v="0"/>
    <x v="0"/>
    <s v="DK1_MedSmall"/>
    <x v="3"/>
    <s v="GNR_BO_NGAS_E-104"/>
    <x v="0"/>
    <x v="19"/>
    <n v="11.009615384615399"/>
    <n v="4018.5096153846098"/>
    <n v="14466.634615384601"/>
  </r>
  <r>
    <x v="0"/>
    <x v="0"/>
    <x v="0"/>
    <x v="0"/>
    <x v="0"/>
    <s v="DK1_MedSmall"/>
    <x v="3"/>
    <s v="GNR_BO_NGAS_E-104"/>
    <x v="0"/>
    <x v="20"/>
    <n v="11.009615384615399"/>
    <n v="4018.5096153846098"/>
    <n v="14466.634615384601"/>
  </r>
  <r>
    <x v="0"/>
    <x v="0"/>
    <x v="0"/>
    <x v="0"/>
    <x v="0"/>
    <s v="DK1_MedSmall"/>
    <x v="3"/>
    <s v="GNR_BO_NGAS_E-104"/>
    <x v="0"/>
    <x v="21"/>
    <n v="11.009615384615399"/>
    <n v="4018.5096153846098"/>
    <n v="14466.634615384601"/>
  </r>
  <r>
    <x v="0"/>
    <x v="0"/>
    <x v="0"/>
    <x v="0"/>
    <x v="0"/>
    <s v="DK1_MedSmall"/>
    <x v="3"/>
    <s v="GNR_BO_NGAS_E-104"/>
    <x v="0"/>
    <x v="22"/>
    <n v="11.009615384615399"/>
    <n v="4018.5096153846098"/>
    <n v="14466.634615384601"/>
  </r>
  <r>
    <x v="0"/>
    <x v="0"/>
    <x v="0"/>
    <x v="0"/>
    <x v="0"/>
    <s v="DK1_MedSmall"/>
    <x v="3"/>
    <s v="GNR_BO_NGAS_E-104"/>
    <x v="0"/>
    <x v="23"/>
    <n v="11.009615384615399"/>
    <n v="4018.5096153846098"/>
    <n v="14466.634615384601"/>
  </r>
  <r>
    <x v="0"/>
    <x v="0"/>
    <x v="0"/>
    <x v="0"/>
    <x v="0"/>
    <s v="DK1_MedSmall"/>
    <x v="4"/>
    <s v="GNR_BO_STRW_E-102"/>
    <x v="0"/>
    <x v="0"/>
    <n v="10.519607843137299"/>
    <n v="3839.6568627451002"/>
    <n v="13822.7647058824"/>
  </r>
  <r>
    <x v="0"/>
    <x v="0"/>
    <x v="0"/>
    <x v="0"/>
    <x v="0"/>
    <s v="DK1_MedSmall"/>
    <x v="4"/>
    <s v="GNR_BO_STRW_E-102"/>
    <x v="0"/>
    <x v="1"/>
    <n v="10.519607843137299"/>
    <n v="3839.6568627451002"/>
    <n v="13822.7647058824"/>
  </r>
  <r>
    <x v="0"/>
    <x v="0"/>
    <x v="0"/>
    <x v="0"/>
    <x v="0"/>
    <s v="DK1_MedSmall"/>
    <x v="4"/>
    <s v="GNR_BO_STRW_E-102"/>
    <x v="0"/>
    <x v="2"/>
    <n v="10.519607843137299"/>
    <n v="3839.6568627451002"/>
    <n v="13822.7647058824"/>
  </r>
  <r>
    <x v="0"/>
    <x v="0"/>
    <x v="0"/>
    <x v="0"/>
    <x v="0"/>
    <s v="DK1_MedSmall"/>
    <x v="4"/>
    <s v="GNR_BO_STRW_E-102"/>
    <x v="0"/>
    <x v="3"/>
    <n v="10.519607843137299"/>
    <n v="3839.6568627451002"/>
    <n v="13822.7647058824"/>
  </r>
  <r>
    <x v="0"/>
    <x v="0"/>
    <x v="0"/>
    <x v="0"/>
    <x v="0"/>
    <s v="DK1_MedSmall"/>
    <x v="4"/>
    <s v="GNR_BO_STRW_E-102"/>
    <x v="0"/>
    <x v="18"/>
    <n v="10.519607843137299"/>
    <n v="3839.6568627451002"/>
    <n v="13822.7647058824"/>
  </r>
  <r>
    <x v="0"/>
    <x v="0"/>
    <x v="0"/>
    <x v="0"/>
    <x v="0"/>
    <s v="DK1_MedSmall"/>
    <x v="4"/>
    <s v="GNR_BO_STRW_E-102"/>
    <x v="0"/>
    <x v="4"/>
    <n v="10.519607843137299"/>
    <n v="3839.6568627451002"/>
    <n v="13822.7647058824"/>
  </r>
  <r>
    <x v="0"/>
    <x v="0"/>
    <x v="0"/>
    <x v="0"/>
    <x v="0"/>
    <s v="DK1_MedSmall"/>
    <x v="4"/>
    <s v="GNR_BO_STRW_E-102"/>
    <x v="0"/>
    <x v="5"/>
    <n v="10.519607843137299"/>
    <n v="3839.6568627451002"/>
    <n v="13822.7647058824"/>
  </r>
  <r>
    <x v="0"/>
    <x v="0"/>
    <x v="0"/>
    <x v="0"/>
    <x v="0"/>
    <s v="DK1_MedSmall"/>
    <x v="4"/>
    <s v="GNR_BO_STRW_E-102"/>
    <x v="0"/>
    <x v="6"/>
    <n v="10.519607843137299"/>
    <n v="3839.6568627451002"/>
    <n v="13822.7647058824"/>
  </r>
  <r>
    <x v="0"/>
    <x v="0"/>
    <x v="0"/>
    <x v="0"/>
    <x v="0"/>
    <s v="DK1_MedSmall"/>
    <x v="4"/>
    <s v="GNR_BO_STRW_E-102"/>
    <x v="0"/>
    <x v="7"/>
    <n v="10.519607843137299"/>
    <n v="3839.6568627451002"/>
    <n v="13822.7647058824"/>
  </r>
  <r>
    <x v="0"/>
    <x v="0"/>
    <x v="0"/>
    <x v="0"/>
    <x v="0"/>
    <s v="DK1_MedSmall"/>
    <x v="4"/>
    <s v="GNR_BO_STRW_E-102"/>
    <x v="0"/>
    <x v="8"/>
    <n v="10.519607843137299"/>
    <n v="3839.6568627451002"/>
    <n v="13822.7647058824"/>
  </r>
  <r>
    <x v="0"/>
    <x v="0"/>
    <x v="0"/>
    <x v="0"/>
    <x v="0"/>
    <s v="DK1_MedSmall"/>
    <x v="4"/>
    <s v="GNR_BO_STRW_E-102"/>
    <x v="0"/>
    <x v="9"/>
    <n v="10.519607843137299"/>
    <n v="3839.6568627451002"/>
    <n v="13822.7647058824"/>
  </r>
  <r>
    <x v="0"/>
    <x v="0"/>
    <x v="0"/>
    <x v="0"/>
    <x v="0"/>
    <s v="DK1_MedSmall"/>
    <x v="4"/>
    <s v="GNR_BO_STRW_E-102"/>
    <x v="0"/>
    <x v="10"/>
    <n v="10.519607843137299"/>
    <n v="3839.6568627451002"/>
    <n v="13822.7647058824"/>
  </r>
  <r>
    <x v="0"/>
    <x v="0"/>
    <x v="0"/>
    <x v="0"/>
    <x v="0"/>
    <s v="DK1_MedSmall"/>
    <x v="4"/>
    <s v="GNR_BO_STRW_E-102"/>
    <x v="0"/>
    <x v="11"/>
    <n v="10.519607843137299"/>
    <n v="3839.6568627451002"/>
    <n v="13822.7647058824"/>
  </r>
  <r>
    <x v="0"/>
    <x v="0"/>
    <x v="0"/>
    <x v="0"/>
    <x v="0"/>
    <s v="DK1_MedSmall"/>
    <x v="4"/>
    <s v="GNR_BO_STRW_E-102"/>
    <x v="0"/>
    <x v="12"/>
    <n v="10.519607843137299"/>
    <n v="3839.6568627451002"/>
    <n v="13822.7647058824"/>
  </r>
  <r>
    <x v="0"/>
    <x v="0"/>
    <x v="0"/>
    <x v="0"/>
    <x v="0"/>
    <s v="DK1_MedSmall"/>
    <x v="4"/>
    <s v="GNR_BO_STRW_E-102"/>
    <x v="0"/>
    <x v="13"/>
    <n v="10.519607843137299"/>
    <n v="3839.6568627451002"/>
    <n v="13822.7647058824"/>
  </r>
  <r>
    <x v="0"/>
    <x v="0"/>
    <x v="0"/>
    <x v="0"/>
    <x v="0"/>
    <s v="DK1_MedSmall"/>
    <x v="4"/>
    <s v="GNR_BO_STRW_E-102"/>
    <x v="0"/>
    <x v="14"/>
    <n v="10.519607843137299"/>
    <n v="3839.6568627451002"/>
    <n v="13822.7647058824"/>
  </r>
  <r>
    <x v="0"/>
    <x v="0"/>
    <x v="0"/>
    <x v="0"/>
    <x v="0"/>
    <s v="DK1_MedSmall"/>
    <x v="4"/>
    <s v="GNR_BO_STRW_E-102"/>
    <x v="0"/>
    <x v="15"/>
    <n v="10.519607843137299"/>
    <n v="3839.6568627451002"/>
    <n v="13822.7647058824"/>
  </r>
  <r>
    <x v="0"/>
    <x v="0"/>
    <x v="0"/>
    <x v="0"/>
    <x v="0"/>
    <s v="DK1_MedSmall"/>
    <x v="4"/>
    <s v="GNR_BO_STRW_E-102"/>
    <x v="0"/>
    <x v="16"/>
    <n v="10.519607843137299"/>
    <n v="3839.6568627451002"/>
    <n v="13822.7647058824"/>
  </r>
  <r>
    <x v="0"/>
    <x v="0"/>
    <x v="0"/>
    <x v="0"/>
    <x v="0"/>
    <s v="DK1_MedSmall"/>
    <x v="4"/>
    <s v="GNR_BO_STRW_E-102"/>
    <x v="0"/>
    <x v="17"/>
    <n v="10.519607843137299"/>
    <n v="3839.6568627451002"/>
    <n v="13822.7647058824"/>
  </r>
  <r>
    <x v="0"/>
    <x v="0"/>
    <x v="0"/>
    <x v="0"/>
    <x v="0"/>
    <s v="DK1_MedSmall"/>
    <x v="4"/>
    <s v="GNR_BO_STRW_E-102"/>
    <x v="0"/>
    <x v="19"/>
    <n v="10.519607843137299"/>
    <n v="3839.6568627451002"/>
    <n v="13822.7647058824"/>
  </r>
  <r>
    <x v="0"/>
    <x v="0"/>
    <x v="0"/>
    <x v="0"/>
    <x v="0"/>
    <s v="DK1_MedSmall"/>
    <x v="4"/>
    <s v="GNR_BO_STRW_E-102"/>
    <x v="0"/>
    <x v="20"/>
    <n v="10.519607843137299"/>
    <n v="3839.6568627451002"/>
    <n v="13822.7647058824"/>
  </r>
  <r>
    <x v="0"/>
    <x v="0"/>
    <x v="0"/>
    <x v="0"/>
    <x v="0"/>
    <s v="DK1_MedSmall"/>
    <x v="4"/>
    <s v="GNR_BO_STRW_E-102"/>
    <x v="0"/>
    <x v="21"/>
    <n v="10.519607843137299"/>
    <n v="3839.6568627451002"/>
    <n v="13822.7647058824"/>
  </r>
  <r>
    <x v="0"/>
    <x v="0"/>
    <x v="0"/>
    <x v="0"/>
    <x v="0"/>
    <s v="DK1_MedSmall"/>
    <x v="4"/>
    <s v="GNR_BO_STRW_E-102"/>
    <x v="0"/>
    <x v="22"/>
    <n v="10.519607843137299"/>
    <n v="3839.6568627451002"/>
    <n v="13822.7647058824"/>
  </r>
  <r>
    <x v="0"/>
    <x v="0"/>
    <x v="0"/>
    <x v="0"/>
    <x v="0"/>
    <s v="DK1_MedSmall"/>
    <x v="4"/>
    <s v="GNR_BO_STRW_E-102"/>
    <x v="0"/>
    <x v="23"/>
    <n v="10.519607843137299"/>
    <n v="3839.6568627451002"/>
    <n v="13822.7647058824"/>
  </r>
  <r>
    <x v="0"/>
    <x v="0"/>
    <x v="0"/>
    <x v="0"/>
    <x v="0"/>
    <s v="DK1_MedSmall"/>
    <x v="4"/>
    <s v="GNR_ST_STRW_BP_E-21"/>
    <x v="0"/>
    <x v="6"/>
    <n v="83.3333333333333"/>
    <n v="30416.666666666599"/>
    <n v="109500"/>
  </r>
  <r>
    <x v="0"/>
    <x v="0"/>
    <x v="0"/>
    <x v="0"/>
    <x v="0"/>
    <s v="DK1_MedSmall"/>
    <x v="4"/>
    <s v="GNR_ST_STRW_BP_E-21"/>
    <x v="0"/>
    <x v="7"/>
    <n v="83.3333333333333"/>
    <n v="30416.666666666599"/>
    <n v="109500"/>
  </r>
  <r>
    <x v="0"/>
    <x v="0"/>
    <x v="0"/>
    <x v="0"/>
    <x v="0"/>
    <s v="DK1_MedSmall"/>
    <x v="4"/>
    <s v="GNR_ST_STRW_BP_E-21"/>
    <x v="0"/>
    <x v="8"/>
    <n v="83.3333333333333"/>
    <n v="30416.666666666599"/>
    <n v="109500"/>
  </r>
  <r>
    <x v="0"/>
    <x v="0"/>
    <x v="0"/>
    <x v="0"/>
    <x v="0"/>
    <s v="DK1_MedSmall"/>
    <x v="1"/>
    <s v="GNR_EH_HEAT"/>
    <x v="0"/>
    <x v="0"/>
    <n v="12.5"/>
    <n v="4562.5"/>
    <n v="16425"/>
  </r>
  <r>
    <x v="0"/>
    <x v="0"/>
    <x v="0"/>
    <x v="0"/>
    <x v="0"/>
    <s v="DK1_MedSmall"/>
    <x v="1"/>
    <s v="GNR_EH_HEAT"/>
    <x v="0"/>
    <x v="1"/>
    <n v="12.5"/>
    <n v="4562.5"/>
    <n v="16425"/>
  </r>
  <r>
    <x v="0"/>
    <x v="0"/>
    <x v="0"/>
    <x v="0"/>
    <x v="0"/>
    <s v="DK1_MedSmall"/>
    <x v="1"/>
    <s v="GNR_EH_HEAT"/>
    <x v="0"/>
    <x v="2"/>
    <n v="12.5"/>
    <n v="4562.5"/>
    <n v="16425"/>
  </r>
  <r>
    <x v="0"/>
    <x v="0"/>
    <x v="0"/>
    <x v="0"/>
    <x v="0"/>
    <s v="DK1_MedSmall"/>
    <x v="1"/>
    <s v="GNR_EH_HEAT"/>
    <x v="0"/>
    <x v="3"/>
    <n v="12.5"/>
    <n v="4562.5"/>
    <n v="16425"/>
  </r>
  <r>
    <x v="0"/>
    <x v="0"/>
    <x v="0"/>
    <x v="0"/>
    <x v="0"/>
    <s v="DK1_MedSmall"/>
    <x v="1"/>
    <s v="GNR_EH_HEAT"/>
    <x v="0"/>
    <x v="18"/>
    <n v="12.5"/>
    <n v="4562.5"/>
    <n v="16425"/>
  </r>
  <r>
    <x v="0"/>
    <x v="0"/>
    <x v="0"/>
    <x v="0"/>
    <x v="0"/>
    <s v="DK1_MedSmall"/>
    <x v="1"/>
    <s v="GNR_EH_HEAT"/>
    <x v="0"/>
    <x v="4"/>
    <n v="12.5"/>
    <n v="4562.5"/>
    <n v="16425"/>
  </r>
  <r>
    <x v="0"/>
    <x v="0"/>
    <x v="0"/>
    <x v="0"/>
    <x v="0"/>
    <s v="DK1_MedSmall"/>
    <x v="1"/>
    <s v="GNR_EH_HEAT"/>
    <x v="0"/>
    <x v="5"/>
    <n v="12.5"/>
    <n v="4562.5"/>
    <n v="16425"/>
  </r>
  <r>
    <x v="0"/>
    <x v="0"/>
    <x v="0"/>
    <x v="0"/>
    <x v="0"/>
    <s v="DK1_MedSmall"/>
    <x v="1"/>
    <s v="GNR_EH_HEAT"/>
    <x v="0"/>
    <x v="6"/>
    <n v="12.5"/>
    <n v="4562.5"/>
    <n v="16425"/>
  </r>
  <r>
    <x v="0"/>
    <x v="0"/>
    <x v="0"/>
    <x v="0"/>
    <x v="0"/>
    <s v="DK1_MedSmall"/>
    <x v="1"/>
    <s v="GNR_EH_HEAT"/>
    <x v="0"/>
    <x v="7"/>
    <n v="12.5"/>
    <n v="4562.5"/>
    <n v="16425"/>
  </r>
  <r>
    <x v="0"/>
    <x v="0"/>
    <x v="0"/>
    <x v="0"/>
    <x v="0"/>
    <s v="DK1_MedSmall"/>
    <x v="1"/>
    <s v="GNR_EH_HEAT"/>
    <x v="0"/>
    <x v="8"/>
    <n v="12.5"/>
    <n v="4562.5"/>
    <n v="16425"/>
  </r>
  <r>
    <x v="0"/>
    <x v="0"/>
    <x v="0"/>
    <x v="0"/>
    <x v="0"/>
    <s v="DK1_MedSmall"/>
    <x v="1"/>
    <s v="GNR_EH_HEAT"/>
    <x v="0"/>
    <x v="9"/>
    <n v="12.5"/>
    <n v="4562.5"/>
    <n v="16425"/>
  </r>
  <r>
    <x v="0"/>
    <x v="0"/>
    <x v="0"/>
    <x v="0"/>
    <x v="0"/>
    <s v="DK1_MedSmall"/>
    <x v="1"/>
    <s v="GNR_EH_HEAT"/>
    <x v="0"/>
    <x v="10"/>
    <n v="12.5"/>
    <n v="4562.5"/>
    <n v="16425"/>
  </r>
  <r>
    <x v="0"/>
    <x v="0"/>
    <x v="0"/>
    <x v="0"/>
    <x v="0"/>
    <s v="DK1_MedSmall"/>
    <x v="1"/>
    <s v="GNR_EH_HEAT"/>
    <x v="0"/>
    <x v="11"/>
    <n v="12.5"/>
    <n v="4562.5"/>
    <n v="16425"/>
  </r>
  <r>
    <x v="0"/>
    <x v="0"/>
    <x v="0"/>
    <x v="0"/>
    <x v="0"/>
    <s v="DK1_MedSmall"/>
    <x v="1"/>
    <s v="GNR_EH_HEAT"/>
    <x v="0"/>
    <x v="12"/>
    <n v="12.5"/>
    <n v="4562.5"/>
    <n v="16425"/>
  </r>
  <r>
    <x v="0"/>
    <x v="0"/>
    <x v="0"/>
    <x v="0"/>
    <x v="0"/>
    <s v="DK1_MedSmall"/>
    <x v="1"/>
    <s v="GNR_EH_HEAT"/>
    <x v="0"/>
    <x v="13"/>
    <n v="12.5"/>
    <n v="4562.5"/>
    <n v="16425"/>
  </r>
  <r>
    <x v="0"/>
    <x v="0"/>
    <x v="0"/>
    <x v="0"/>
    <x v="0"/>
    <s v="DK1_MedSmall"/>
    <x v="1"/>
    <s v="GNR_EH_HEAT"/>
    <x v="0"/>
    <x v="14"/>
    <n v="12.5"/>
    <n v="4562.5"/>
    <n v="16425"/>
  </r>
  <r>
    <x v="0"/>
    <x v="0"/>
    <x v="0"/>
    <x v="0"/>
    <x v="0"/>
    <s v="DK1_MedSmall"/>
    <x v="1"/>
    <s v="GNR_EH_HEAT"/>
    <x v="0"/>
    <x v="15"/>
    <n v="12.5"/>
    <n v="4562.5"/>
    <n v="16425"/>
  </r>
  <r>
    <x v="0"/>
    <x v="0"/>
    <x v="0"/>
    <x v="0"/>
    <x v="0"/>
    <s v="DK1_MedSmall"/>
    <x v="1"/>
    <s v="GNR_EH_HEAT"/>
    <x v="0"/>
    <x v="16"/>
    <n v="12.5"/>
    <n v="4562.5"/>
    <n v="16425"/>
  </r>
  <r>
    <x v="0"/>
    <x v="0"/>
    <x v="0"/>
    <x v="0"/>
    <x v="0"/>
    <s v="DK1_MedSmall"/>
    <x v="1"/>
    <s v="GNR_EH_HEAT"/>
    <x v="0"/>
    <x v="17"/>
    <n v="12.5"/>
    <n v="4562.5"/>
    <n v="16425"/>
  </r>
  <r>
    <x v="0"/>
    <x v="0"/>
    <x v="0"/>
    <x v="0"/>
    <x v="0"/>
    <s v="DK1_MedSmall"/>
    <x v="1"/>
    <s v="GNR_EH_HEAT"/>
    <x v="0"/>
    <x v="19"/>
    <n v="12.5"/>
    <n v="4562.5"/>
    <n v="16425"/>
  </r>
  <r>
    <x v="0"/>
    <x v="0"/>
    <x v="0"/>
    <x v="0"/>
    <x v="0"/>
    <s v="DK1_MedSmall"/>
    <x v="1"/>
    <s v="GNR_EH_HEAT"/>
    <x v="0"/>
    <x v="20"/>
    <n v="12.5"/>
    <n v="4562.5"/>
    <n v="16425"/>
  </r>
  <r>
    <x v="0"/>
    <x v="0"/>
    <x v="0"/>
    <x v="0"/>
    <x v="0"/>
    <s v="DK1_MedSmall"/>
    <x v="1"/>
    <s v="GNR_EH_HEAT"/>
    <x v="0"/>
    <x v="21"/>
    <n v="12.5"/>
    <n v="4562.5"/>
    <n v="16425"/>
  </r>
  <r>
    <x v="0"/>
    <x v="0"/>
    <x v="0"/>
    <x v="0"/>
    <x v="0"/>
    <s v="DK1_MedSmall"/>
    <x v="1"/>
    <s v="GNR_EH_HEAT"/>
    <x v="0"/>
    <x v="22"/>
    <n v="12.5"/>
    <n v="4562.5"/>
    <n v="16425"/>
  </r>
  <r>
    <x v="0"/>
    <x v="0"/>
    <x v="0"/>
    <x v="0"/>
    <x v="0"/>
    <s v="DK1_MedSmall"/>
    <x v="1"/>
    <s v="GNR_EH_HEAT"/>
    <x v="0"/>
    <x v="23"/>
    <n v="12.5"/>
    <n v="4562.5"/>
    <n v="16425"/>
  </r>
  <r>
    <x v="0"/>
    <x v="0"/>
    <x v="0"/>
    <x v="0"/>
    <x v="0"/>
    <s v="DK1_MedSmall"/>
    <x v="1"/>
    <s v="GNR_GEO_HEAT_HO"/>
    <x v="0"/>
    <x v="0"/>
    <n v="8.3000000000000007"/>
    <n v="3029.5"/>
    <n v="10906.2"/>
  </r>
  <r>
    <x v="0"/>
    <x v="0"/>
    <x v="0"/>
    <x v="0"/>
    <x v="0"/>
    <s v="DK1_MedSmall"/>
    <x v="1"/>
    <s v="GNR_GEO_HEAT_HO"/>
    <x v="0"/>
    <x v="1"/>
    <n v="8.3000000000000007"/>
    <n v="3029.5"/>
    <n v="10906.2"/>
  </r>
  <r>
    <x v="0"/>
    <x v="0"/>
    <x v="0"/>
    <x v="0"/>
    <x v="0"/>
    <s v="DK1_MedSmall"/>
    <x v="1"/>
    <s v="GNR_GEO_HEAT_HO"/>
    <x v="0"/>
    <x v="2"/>
    <n v="8.3000000000000007"/>
    <n v="3029.5"/>
    <n v="10906.2"/>
  </r>
  <r>
    <x v="0"/>
    <x v="0"/>
    <x v="0"/>
    <x v="0"/>
    <x v="0"/>
    <s v="DK1_MedSmall"/>
    <x v="1"/>
    <s v="GNR_GEO_HEAT_HO"/>
    <x v="0"/>
    <x v="3"/>
    <n v="8.3000000000000007"/>
    <n v="3029.5"/>
    <n v="10906.2"/>
  </r>
  <r>
    <x v="0"/>
    <x v="0"/>
    <x v="0"/>
    <x v="0"/>
    <x v="0"/>
    <s v="DK1_MedSmall"/>
    <x v="1"/>
    <s v="GNR_GEO_HEAT_HO"/>
    <x v="0"/>
    <x v="18"/>
    <n v="8.3000000000000007"/>
    <n v="3029.5"/>
    <n v="10906.2"/>
  </r>
  <r>
    <x v="0"/>
    <x v="0"/>
    <x v="0"/>
    <x v="0"/>
    <x v="0"/>
    <s v="DK1_MedSmall"/>
    <x v="1"/>
    <s v="GNR_GEO_HEAT_HO"/>
    <x v="0"/>
    <x v="4"/>
    <n v="8.3000000000000007"/>
    <n v="3029.5"/>
    <n v="10906.2"/>
  </r>
  <r>
    <x v="0"/>
    <x v="0"/>
    <x v="0"/>
    <x v="0"/>
    <x v="0"/>
    <s v="DK1_MedSmall"/>
    <x v="1"/>
    <s v="GNR_GEO_HEAT_HO"/>
    <x v="0"/>
    <x v="5"/>
    <n v="8.3000000000000007"/>
    <n v="3029.5"/>
    <n v="10906.2"/>
  </r>
  <r>
    <x v="0"/>
    <x v="0"/>
    <x v="0"/>
    <x v="0"/>
    <x v="0"/>
    <s v="DK1_MedSmall"/>
    <x v="1"/>
    <s v="GNR_GEO_HEAT_HO"/>
    <x v="0"/>
    <x v="6"/>
    <n v="8.3000000000000007"/>
    <n v="3029.5"/>
    <n v="10906.2"/>
  </r>
  <r>
    <x v="0"/>
    <x v="0"/>
    <x v="0"/>
    <x v="0"/>
    <x v="0"/>
    <s v="DK1_MedSmall"/>
    <x v="1"/>
    <s v="GNR_GEO_HEAT_HO"/>
    <x v="0"/>
    <x v="7"/>
    <n v="8.3000000000000007"/>
    <n v="3029.5"/>
    <n v="10906.2"/>
  </r>
  <r>
    <x v="0"/>
    <x v="0"/>
    <x v="0"/>
    <x v="0"/>
    <x v="0"/>
    <s v="DK1_MedSmall"/>
    <x v="1"/>
    <s v="GNR_GEO_HEAT_HO"/>
    <x v="0"/>
    <x v="8"/>
    <n v="8.3000000000000007"/>
    <n v="3029.5"/>
    <n v="10906.2"/>
  </r>
  <r>
    <x v="0"/>
    <x v="0"/>
    <x v="0"/>
    <x v="0"/>
    <x v="0"/>
    <s v="DK1_MedSmall"/>
    <x v="1"/>
    <s v="GNR_GEO_HEAT_HO"/>
    <x v="0"/>
    <x v="9"/>
    <n v="8.3000000000000007"/>
    <n v="3029.5"/>
    <n v="10906.2"/>
  </r>
  <r>
    <x v="0"/>
    <x v="0"/>
    <x v="0"/>
    <x v="0"/>
    <x v="0"/>
    <s v="DK1_MedSmall"/>
    <x v="1"/>
    <s v="GNR_GEO_HEAT_HO"/>
    <x v="0"/>
    <x v="10"/>
    <n v="8.3000000000000007"/>
    <n v="3029.5"/>
    <n v="10906.2"/>
  </r>
  <r>
    <x v="0"/>
    <x v="0"/>
    <x v="0"/>
    <x v="0"/>
    <x v="0"/>
    <s v="DK1_MedSmall"/>
    <x v="1"/>
    <s v="GNR_GEO_HEAT_HO"/>
    <x v="0"/>
    <x v="11"/>
    <n v="8.3000000000000007"/>
    <n v="3029.5"/>
    <n v="10906.2"/>
  </r>
  <r>
    <x v="0"/>
    <x v="0"/>
    <x v="0"/>
    <x v="0"/>
    <x v="0"/>
    <s v="DK1_MedSmall"/>
    <x v="1"/>
    <s v="GNR_GEO_HEAT_HO"/>
    <x v="0"/>
    <x v="12"/>
    <n v="8.3000000000000007"/>
    <n v="3029.5"/>
    <n v="10906.2"/>
  </r>
  <r>
    <x v="0"/>
    <x v="0"/>
    <x v="0"/>
    <x v="0"/>
    <x v="0"/>
    <s v="DK1_MedSmall"/>
    <x v="1"/>
    <s v="GNR_GEO_HEAT_HO"/>
    <x v="0"/>
    <x v="13"/>
    <n v="8.3000000000000007"/>
    <n v="3029.5"/>
    <n v="10906.2"/>
  </r>
  <r>
    <x v="0"/>
    <x v="0"/>
    <x v="0"/>
    <x v="0"/>
    <x v="0"/>
    <s v="DK1_MedSmall"/>
    <x v="1"/>
    <s v="GNR_GEO_HEAT_HO"/>
    <x v="0"/>
    <x v="14"/>
    <n v="8.3000000000000007"/>
    <n v="3029.5"/>
    <n v="10906.2"/>
  </r>
  <r>
    <x v="0"/>
    <x v="0"/>
    <x v="0"/>
    <x v="0"/>
    <x v="0"/>
    <s v="DK1_MedSmall"/>
    <x v="1"/>
    <s v="GNR_GEO_HEAT_HO"/>
    <x v="0"/>
    <x v="15"/>
    <n v="8.3000000000000007"/>
    <n v="3029.5"/>
    <n v="10906.2"/>
  </r>
  <r>
    <x v="0"/>
    <x v="0"/>
    <x v="0"/>
    <x v="0"/>
    <x v="0"/>
    <s v="DK1_MedSmall"/>
    <x v="1"/>
    <s v="GNR_GEO_HEAT_HO"/>
    <x v="0"/>
    <x v="16"/>
    <n v="8.3000000000000007"/>
    <n v="3029.5"/>
    <n v="10906.2"/>
  </r>
  <r>
    <x v="0"/>
    <x v="0"/>
    <x v="0"/>
    <x v="0"/>
    <x v="0"/>
    <s v="DK1_MedSmall"/>
    <x v="1"/>
    <s v="GNR_GEO_HEAT_HO"/>
    <x v="0"/>
    <x v="17"/>
    <n v="8.3000000000000007"/>
    <n v="3029.5"/>
    <n v="10906.2"/>
  </r>
  <r>
    <x v="0"/>
    <x v="0"/>
    <x v="0"/>
    <x v="0"/>
    <x v="0"/>
    <s v="DK1_MedSmall"/>
    <x v="1"/>
    <s v="GNR_GEO_HEAT_HO"/>
    <x v="0"/>
    <x v="19"/>
    <n v="8.3000000000000007"/>
    <n v="3029.5"/>
    <n v="10906.2"/>
  </r>
  <r>
    <x v="0"/>
    <x v="0"/>
    <x v="0"/>
    <x v="0"/>
    <x v="0"/>
    <s v="DK1_MedSmall"/>
    <x v="1"/>
    <s v="GNR_GEO_HEAT_HO"/>
    <x v="0"/>
    <x v="20"/>
    <n v="8.3000000000000007"/>
    <n v="3029.5"/>
    <n v="10906.2"/>
  </r>
  <r>
    <x v="0"/>
    <x v="0"/>
    <x v="0"/>
    <x v="0"/>
    <x v="0"/>
    <s v="DK1_MedSmall"/>
    <x v="1"/>
    <s v="GNR_GEO_HEAT_HO"/>
    <x v="0"/>
    <x v="21"/>
    <n v="8.3000000000000007"/>
    <n v="3029.5"/>
    <n v="10906.2"/>
  </r>
  <r>
    <x v="0"/>
    <x v="0"/>
    <x v="0"/>
    <x v="0"/>
    <x v="0"/>
    <s v="DK1_MedSmall"/>
    <x v="1"/>
    <s v="GNR_GEO_HEAT_HO"/>
    <x v="0"/>
    <x v="22"/>
    <n v="8.3000000000000007"/>
    <n v="3029.5"/>
    <n v="10906.2"/>
  </r>
  <r>
    <x v="0"/>
    <x v="0"/>
    <x v="0"/>
    <x v="0"/>
    <x v="0"/>
    <s v="DK1_MedSmall"/>
    <x v="1"/>
    <s v="GNR_GEO_HEAT_HO"/>
    <x v="0"/>
    <x v="23"/>
    <n v="8.3000000000000007"/>
    <n v="3029.5"/>
    <n v="10906.2"/>
  </r>
  <r>
    <x v="0"/>
    <x v="0"/>
    <x v="0"/>
    <x v="0"/>
    <x v="0"/>
    <s v="DK1_MedSmall"/>
    <x v="5"/>
    <s v="GNR_BO_WOODCHI_E-100"/>
    <x v="0"/>
    <x v="0"/>
    <n v="2.1"/>
    <n v="766.5"/>
    <n v="2759.4"/>
  </r>
  <r>
    <x v="0"/>
    <x v="0"/>
    <x v="0"/>
    <x v="0"/>
    <x v="0"/>
    <s v="DK1_MedSmall"/>
    <x v="5"/>
    <s v="GNR_BO_WOODCHI_E-100"/>
    <x v="0"/>
    <x v="1"/>
    <n v="2.1"/>
    <n v="766.5"/>
    <n v="2759.4"/>
  </r>
  <r>
    <x v="0"/>
    <x v="0"/>
    <x v="0"/>
    <x v="0"/>
    <x v="0"/>
    <s v="DK1_MedSmall"/>
    <x v="5"/>
    <s v="GNR_BO_WOODCHI_E-100"/>
    <x v="0"/>
    <x v="2"/>
    <n v="2.1"/>
    <n v="766.5"/>
    <n v="2759.4"/>
  </r>
  <r>
    <x v="0"/>
    <x v="0"/>
    <x v="0"/>
    <x v="0"/>
    <x v="0"/>
    <s v="DK1_MedSmall"/>
    <x v="5"/>
    <s v="GNR_BO_WOODCHI_E-100"/>
    <x v="0"/>
    <x v="3"/>
    <n v="2.1"/>
    <n v="766.5"/>
    <n v="2759.4"/>
  </r>
  <r>
    <x v="0"/>
    <x v="0"/>
    <x v="0"/>
    <x v="0"/>
    <x v="0"/>
    <s v="DK1_MedSmall"/>
    <x v="5"/>
    <s v="GNR_BO_WOODCHI_E-100"/>
    <x v="0"/>
    <x v="18"/>
    <n v="2.1"/>
    <n v="766.5"/>
    <n v="2759.4"/>
  </r>
  <r>
    <x v="0"/>
    <x v="0"/>
    <x v="0"/>
    <x v="0"/>
    <x v="0"/>
    <s v="DK1_MedSmall"/>
    <x v="5"/>
    <s v="GNR_BO_WOODCHI_E-100"/>
    <x v="0"/>
    <x v="4"/>
    <n v="2.1"/>
    <n v="766.5"/>
    <n v="2759.4"/>
  </r>
  <r>
    <x v="0"/>
    <x v="0"/>
    <x v="0"/>
    <x v="0"/>
    <x v="0"/>
    <s v="DK1_MedSmall"/>
    <x v="5"/>
    <s v="GNR_BO_WOODCHI_E-100"/>
    <x v="0"/>
    <x v="5"/>
    <n v="2.1"/>
    <n v="766.5"/>
    <n v="2759.4"/>
  </r>
  <r>
    <x v="0"/>
    <x v="0"/>
    <x v="0"/>
    <x v="0"/>
    <x v="0"/>
    <s v="DK1_MedSmall"/>
    <x v="5"/>
    <s v="GNR_BO_WOODCHI_E-100"/>
    <x v="0"/>
    <x v="6"/>
    <n v="2.1"/>
    <n v="766.5"/>
    <n v="2759.4"/>
  </r>
  <r>
    <x v="0"/>
    <x v="0"/>
    <x v="0"/>
    <x v="0"/>
    <x v="0"/>
    <s v="DK1_MedSmall"/>
    <x v="5"/>
    <s v="GNR_BO_WOODCHI_E-100"/>
    <x v="0"/>
    <x v="7"/>
    <n v="2.1"/>
    <n v="766.5"/>
    <n v="2759.4"/>
  </r>
  <r>
    <x v="0"/>
    <x v="0"/>
    <x v="0"/>
    <x v="0"/>
    <x v="0"/>
    <s v="DK1_MedSmall"/>
    <x v="5"/>
    <s v="GNR_BO_WOODCHI_E-100"/>
    <x v="0"/>
    <x v="8"/>
    <n v="2.1"/>
    <n v="766.5"/>
    <n v="2759.4"/>
  </r>
  <r>
    <x v="0"/>
    <x v="0"/>
    <x v="0"/>
    <x v="0"/>
    <x v="0"/>
    <s v="DK1_MedSmall"/>
    <x v="5"/>
    <s v="GNR_BO_WOODCHI_E-100"/>
    <x v="0"/>
    <x v="9"/>
    <n v="2.1"/>
    <n v="766.5"/>
    <n v="2759.4"/>
  </r>
  <r>
    <x v="0"/>
    <x v="0"/>
    <x v="0"/>
    <x v="0"/>
    <x v="0"/>
    <s v="DK1_MedSmall"/>
    <x v="5"/>
    <s v="GNR_BO_WOODCHI_E-100"/>
    <x v="0"/>
    <x v="10"/>
    <n v="2.1"/>
    <n v="766.5"/>
    <n v="2759.4"/>
  </r>
  <r>
    <x v="0"/>
    <x v="0"/>
    <x v="0"/>
    <x v="0"/>
    <x v="0"/>
    <s v="DK1_MedSmall"/>
    <x v="5"/>
    <s v="GNR_BO_WOODCHI_E-100"/>
    <x v="0"/>
    <x v="11"/>
    <n v="2.1"/>
    <n v="766.5"/>
    <n v="2759.4"/>
  </r>
  <r>
    <x v="0"/>
    <x v="0"/>
    <x v="0"/>
    <x v="0"/>
    <x v="0"/>
    <s v="DK1_MedSmall"/>
    <x v="5"/>
    <s v="GNR_BO_WOODCHI_E-100"/>
    <x v="0"/>
    <x v="12"/>
    <n v="2.1"/>
    <n v="766.5"/>
    <n v="2759.4"/>
  </r>
  <r>
    <x v="0"/>
    <x v="0"/>
    <x v="0"/>
    <x v="0"/>
    <x v="0"/>
    <s v="DK1_MedSmall"/>
    <x v="5"/>
    <s v="GNR_BO_WOODCHI_E-100"/>
    <x v="0"/>
    <x v="13"/>
    <n v="2.1"/>
    <n v="766.5"/>
    <n v="2759.4"/>
  </r>
  <r>
    <x v="0"/>
    <x v="0"/>
    <x v="0"/>
    <x v="0"/>
    <x v="0"/>
    <s v="DK1_MedSmall"/>
    <x v="5"/>
    <s v="GNR_BO_WOODCHI_E-100"/>
    <x v="0"/>
    <x v="14"/>
    <n v="2.1"/>
    <n v="766.5"/>
    <n v="2759.4"/>
  </r>
  <r>
    <x v="0"/>
    <x v="0"/>
    <x v="0"/>
    <x v="0"/>
    <x v="0"/>
    <s v="DK1_MedSmall"/>
    <x v="5"/>
    <s v="GNR_BO_WOODCHI_E-100"/>
    <x v="0"/>
    <x v="15"/>
    <n v="2.1"/>
    <n v="766.5"/>
    <n v="2759.4"/>
  </r>
  <r>
    <x v="0"/>
    <x v="0"/>
    <x v="0"/>
    <x v="0"/>
    <x v="0"/>
    <s v="DK1_MedSmall"/>
    <x v="5"/>
    <s v="GNR_BO_WOODCHI_E-100"/>
    <x v="0"/>
    <x v="16"/>
    <n v="2.1"/>
    <n v="766.5"/>
    <n v="2759.4"/>
  </r>
  <r>
    <x v="0"/>
    <x v="0"/>
    <x v="0"/>
    <x v="0"/>
    <x v="0"/>
    <s v="DK1_MedSmall"/>
    <x v="5"/>
    <s v="GNR_BO_WOODCHI_E-100"/>
    <x v="0"/>
    <x v="17"/>
    <n v="2.1"/>
    <n v="766.5"/>
    <n v="2759.4"/>
  </r>
  <r>
    <x v="0"/>
    <x v="0"/>
    <x v="0"/>
    <x v="0"/>
    <x v="0"/>
    <s v="DK1_MedSmall"/>
    <x v="5"/>
    <s v="GNR_BO_WOODCHI_E-100"/>
    <x v="0"/>
    <x v="19"/>
    <n v="2.1"/>
    <n v="766.5"/>
    <n v="2759.4"/>
  </r>
  <r>
    <x v="0"/>
    <x v="0"/>
    <x v="0"/>
    <x v="0"/>
    <x v="0"/>
    <s v="DK1_MedSmall"/>
    <x v="5"/>
    <s v="GNR_BO_WOODCHI_E-100"/>
    <x v="0"/>
    <x v="20"/>
    <n v="2.1"/>
    <n v="766.5"/>
    <n v="2759.4"/>
  </r>
  <r>
    <x v="0"/>
    <x v="0"/>
    <x v="0"/>
    <x v="0"/>
    <x v="0"/>
    <s v="DK1_MedSmall"/>
    <x v="5"/>
    <s v="GNR_BO_WOODCHI_E-100"/>
    <x v="0"/>
    <x v="21"/>
    <n v="2.1"/>
    <n v="766.5"/>
    <n v="2759.4"/>
  </r>
  <r>
    <x v="0"/>
    <x v="0"/>
    <x v="0"/>
    <x v="0"/>
    <x v="0"/>
    <s v="DK1_MedSmall"/>
    <x v="5"/>
    <s v="GNR_BO_WOODCHI_E-100"/>
    <x v="0"/>
    <x v="22"/>
    <n v="2.1"/>
    <n v="766.5"/>
    <n v="2759.4"/>
  </r>
  <r>
    <x v="0"/>
    <x v="0"/>
    <x v="0"/>
    <x v="0"/>
    <x v="0"/>
    <s v="DK1_MedSmall"/>
    <x v="5"/>
    <s v="GNR_BO_WOODCHI_E-100"/>
    <x v="0"/>
    <x v="23"/>
    <n v="2.1"/>
    <n v="766.5"/>
    <n v="2759.4"/>
  </r>
  <r>
    <x v="0"/>
    <x v="0"/>
    <x v="0"/>
    <x v="0"/>
    <x v="0"/>
    <s v="DK1_MedSmall"/>
    <x v="5"/>
    <s v="GNR_BO_WOODCHI_E-110"/>
    <x v="0"/>
    <x v="0"/>
    <n v="15.454545454545499"/>
    <n v="5640.9090909090901"/>
    <n v="20307.272727272699"/>
  </r>
  <r>
    <x v="0"/>
    <x v="0"/>
    <x v="0"/>
    <x v="0"/>
    <x v="0"/>
    <s v="DK1_MedSmall"/>
    <x v="5"/>
    <s v="GNR_BO_WOODCHI_E-110"/>
    <x v="0"/>
    <x v="1"/>
    <n v="15.454545454545499"/>
    <n v="5640.9090909090901"/>
    <n v="20307.272727272699"/>
  </r>
  <r>
    <x v="0"/>
    <x v="0"/>
    <x v="0"/>
    <x v="0"/>
    <x v="0"/>
    <s v="DK1_MedSmall"/>
    <x v="5"/>
    <s v="GNR_BO_WOODCHI_E-110"/>
    <x v="0"/>
    <x v="2"/>
    <n v="15.454545454545499"/>
    <n v="5640.9090909090901"/>
    <n v="20307.272727272699"/>
  </r>
  <r>
    <x v="0"/>
    <x v="0"/>
    <x v="0"/>
    <x v="0"/>
    <x v="0"/>
    <s v="DK1_MedSmall"/>
    <x v="5"/>
    <s v="GNR_BO_WOODCHI_E-110"/>
    <x v="0"/>
    <x v="3"/>
    <n v="15.454545454545499"/>
    <n v="5640.9090909090901"/>
    <n v="20307.272727272699"/>
  </r>
  <r>
    <x v="0"/>
    <x v="0"/>
    <x v="0"/>
    <x v="0"/>
    <x v="0"/>
    <s v="DK1_MedSmall"/>
    <x v="5"/>
    <s v="GNR_BO_WOODCHI_E-110"/>
    <x v="0"/>
    <x v="18"/>
    <n v="15.454545454545499"/>
    <n v="5640.9090909090901"/>
    <n v="20307.272727272699"/>
  </r>
  <r>
    <x v="0"/>
    <x v="0"/>
    <x v="0"/>
    <x v="0"/>
    <x v="0"/>
    <s v="DK1_MedSmall"/>
    <x v="5"/>
    <s v="GNR_BO_WOODCHI_E-110"/>
    <x v="0"/>
    <x v="4"/>
    <n v="15.454545454545499"/>
    <n v="5640.9090909090901"/>
    <n v="20307.272727272699"/>
  </r>
  <r>
    <x v="0"/>
    <x v="0"/>
    <x v="0"/>
    <x v="0"/>
    <x v="0"/>
    <s v="DK1_MedSmall"/>
    <x v="5"/>
    <s v="GNR_BO_WOODCHI_E-110"/>
    <x v="0"/>
    <x v="5"/>
    <n v="15.454545454545499"/>
    <n v="5640.9090909090901"/>
    <n v="20307.272727272699"/>
  </r>
  <r>
    <x v="0"/>
    <x v="0"/>
    <x v="0"/>
    <x v="0"/>
    <x v="0"/>
    <s v="DK1_MedSmall"/>
    <x v="5"/>
    <s v="GNR_BO_WOODCHI_E-110"/>
    <x v="0"/>
    <x v="6"/>
    <n v="15.454545454545499"/>
    <n v="5640.9090909090901"/>
    <n v="20307.272727272699"/>
  </r>
  <r>
    <x v="0"/>
    <x v="0"/>
    <x v="0"/>
    <x v="0"/>
    <x v="0"/>
    <s v="DK1_MedSmall"/>
    <x v="5"/>
    <s v="GNR_BO_WOODCHI_E-110"/>
    <x v="0"/>
    <x v="7"/>
    <n v="15.454545454545499"/>
    <n v="5640.9090909090901"/>
    <n v="20307.272727272699"/>
  </r>
  <r>
    <x v="0"/>
    <x v="0"/>
    <x v="0"/>
    <x v="0"/>
    <x v="0"/>
    <s v="DK1_MedSmall"/>
    <x v="5"/>
    <s v="GNR_BO_WOODCHI_E-110"/>
    <x v="0"/>
    <x v="8"/>
    <n v="15.454545454545499"/>
    <n v="5640.9090909090901"/>
    <n v="20307.272727272699"/>
  </r>
  <r>
    <x v="0"/>
    <x v="0"/>
    <x v="0"/>
    <x v="0"/>
    <x v="0"/>
    <s v="DK1_MedSmall"/>
    <x v="5"/>
    <s v="GNR_BO_WOODCHI_E-110"/>
    <x v="0"/>
    <x v="9"/>
    <n v="15.454545454545499"/>
    <n v="5640.9090909090901"/>
    <n v="20307.272727272699"/>
  </r>
  <r>
    <x v="0"/>
    <x v="0"/>
    <x v="0"/>
    <x v="0"/>
    <x v="0"/>
    <s v="DK1_MedSmall"/>
    <x v="5"/>
    <s v="GNR_BO_WOODCHI_E-110"/>
    <x v="0"/>
    <x v="10"/>
    <n v="15.454545454545499"/>
    <n v="5640.9090909090901"/>
    <n v="20307.272727272699"/>
  </r>
  <r>
    <x v="0"/>
    <x v="0"/>
    <x v="0"/>
    <x v="0"/>
    <x v="0"/>
    <s v="DK1_MedSmall"/>
    <x v="5"/>
    <s v="GNR_BO_WOODCHI_E-110"/>
    <x v="0"/>
    <x v="11"/>
    <n v="15.454545454545499"/>
    <n v="5640.9090909090901"/>
    <n v="20307.272727272699"/>
  </r>
  <r>
    <x v="0"/>
    <x v="0"/>
    <x v="0"/>
    <x v="0"/>
    <x v="0"/>
    <s v="DK1_MedSmall"/>
    <x v="5"/>
    <s v="GNR_BO_WOODCHI_E-110"/>
    <x v="0"/>
    <x v="12"/>
    <n v="15.454545454545499"/>
    <n v="5640.9090909090901"/>
    <n v="20307.272727272699"/>
  </r>
  <r>
    <x v="0"/>
    <x v="0"/>
    <x v="0"/>
    <x v="0"/>
    <x v="0"/>
    <s v="DK1_MedSmall"/>
    <x v="5"/>
    <s v="GNR_BO_WOODCHI_E-110"/>
    <x v="0"/>
    <x v="13"/>
    <n v="15.454545454545499"/>
    <n v="5640.9090909090901"/>
    <n v="20307.272727272699"/>
  </r>
  <r>
    <x v="0"/>
    <x v="0"/>
    <x v="0"/>
    <x v="0"/>
    <x v="0"/>
    <s v="DK1_MedSmall"/>
    <x v="5"/>
    <s v="GNR_BO_WOODCHI_E-110"/>
    <x v="0"/>
    <x v="14"/>
    <n v="15.454545454545499"/>
    <n v="5640.9090909090901"/>
    <n v="20307.272727272699"/>
  </r>
  <r>
    <x v="0"/>
    <x v="0"/>
    <x v="0"/>
    <x v="0"/>
    <x v="0"/>
    <s v="DK1_MedSmall"/>
    <x v="5"/>
    <s v="GNR_BO_WOODCHI_E-110"/>
    <x v="0"/>
    <x v="15"/>
    <n v="15.454545454545499"/>
    <n v="5640.9090909090901"/>
    <n v="20307.272727272699"/>
  </r>
  <r>
    <x v="0"/>
    <x v="0"/>
    <x v="0"/>
    <x v="0"/>
    <x v="0"/>
    <s v="DK1_MedSmall"/>
    <x v="5"/>
    <s v="GNR_BO_WOODCHI_E-110"/>
    <x v="0"/>
    <x v="16"/>
    <n v="15.454545454545499"/>
    <n v="5640.9090909090901"/>
    <n v="20307.272727272699"/>
  </r>
  <r>
    <x v="0"/>
    <x v="0"/>
    <x v="0"/>
    <x v="0"/>
    <x v="0"/>
    <s v="DK1_MedSmall"/>
    <x v="5"/>
    <s v="GNR_BO_WOODCHI_E-110"/>
    <x v="0"/>
    <x v="17"/>
    <n v="15.454545454545499"/>
    <n v="5640.9090909090901"/>
    <n v="20307.272727272699"/>
  </r>
  <r>
    <x v="0"/>
    <x v="0"/>
    <x v="0"/>
    <x v="0"/>
    <x v="0"/>
    <s v="DK1_MedSmall"/>
    <x v="5"/>
    <s v="GNR_BO_WOODCHI_E-110"/>
    <x v="0"/>
    <x v="19"/>
    <n v="15.454545454545499"/>
    <n v="5640.9090909090901"/>
    <n v="20307.272727272699"/>
  </r>
  <r>
    <x v="0"/>
    <x v="0"/>
    <x v="0"/>
    <x v="0"/>
    <x v="0"/>
    <s v="DK1_MedSmall"/>
    <x v="5"/>
    <s v="GNR_BO_WOODCHI_E-110"/>
    <x v="0"/>
    <x v="20"/>
    <n v="15.454545454545499"/>
    <n v="5640.9090909090901"/>
    <n v="20307.272727272699"/>
  </r>
  <r>
    <x v="0"/>
    <x v="0"/>
    <x v="0"/>
    <x v="0"/>
    <x v="0"/>
    <s v="DK1_MedSmall"/>
    <x v="5"/>
    <s v="GNR_BO_WOODCHI_E-110"/>
    <x v="0"/>
    <x v="21"/>
    <n v="15.454545454545499"/>
    <n v="5640.9090909090901"/>
    <n v="20307.272727272699"/>
  </r>
  <r>
    <x v="0"/>
    <x v="0"/>
    <x v="0"/>
    <x v="0"/>
    <x v="0"/>
    <s v="DK1_MedSmall"/>
    <x v="5"/>
    <s v="GNR_BO_WOODCHI_E-110"/>
    <x v="0"/>
    <x v="22"/>
    <n v="15.454545454545499"/>
    <n v="5640.9090909090901"/>
    <n v="20307.272727272699"/>
  </r>
  <r>
    <x v="0"/>
    <x v="0"/>
    <x v="0"/>
    <x v="0"/>
    <x v="0"/>
    <s v="DK1_MedSmall"/>
    <x v="5"/>
    <s v="GNR_BO_WOODCHI_E-110"/>
    <x v="0"/>
    <x v="23"/>
    <n v="15.454545454545499"/>
    <n v="5640.9090909090901"/>
    <n v="20307.272727272699"/>
  </r>
  <r>
    <x v="0"/>
    <x v="0"/>
    <x v="0"/>
    <x v="0"/>
    <x v="0"/>
    <s v="DK1_Medium"/>
    <x v="2"/>
    <s v="GNR_BO_MSW_E-105"/>
    <x v="0"/>
    <x v="0"/>
    <n v="6.6666666666666696"/>
    <n v="2433.3333333333298"/>
    <n v="8760"/>
  </r>
  <r>
    <x v="0"/>
    <x v="0"/>
    <x v="0"/>
    <x v="0"/>
    <x v="0"/>
    <s v="DK1_Medium"/>
    <x v="2"/>
    <s v="GNR_BO_MSW_E-105"/>
    <x v="0"/>
    <x v="1"/>
    <n v="6.6666666666666696"/>
    <n v="2433.3333333333298"/>
    <n v="8760"/>
  </r>
  <r>
    <x v="0"/>
    <x v="0"/>
    <x v="0"/>
    <x v="0"/>
    <x v="0"/>
    <s v="DK1_Medium"/>
    <x v="2"/>
    <s v="GNR_BO_MSW_E-105"/>
    <x v="0"/>
    <x v="2"/>
    <n v="6.6666666666666696"/>
    <n v="2433.3333333333298"/>
    <n v="8760"/>
  </r>
  <r>
    <x v="0"/>
    <x v="0"/>
    <x v="0"/>
    <x v="0"/>
    <x v="0"/>
    <s v="DK1_Medium"/>
    <x v="2"/>
    <s v="GNR_BO_MSW_E-105"/>
    <x v="0"/>
    <x v="3"/>
    <n v="6.6666666666666696"/>
    <n v="2433.3333333333298"/>
    <n v="8760"/>
  </r>
  <r>
    <x v="0"/>
    <x v="0"/>
    <x v="0"/>
    <x v="0"/>
    <x v="0"/>
    <s v="DK1_Medium"/>
    <x v="2"/>
    <s v="GNR_BO_MSW_E-105"/>
    <x v="0"/>
    <x v="18"/>
    <n v="6.6666666666666696"/>
    <n v="2433.3333333333298"/>
    <n v="8760"/>
  </r>
  <r>
    <x v="0"/>
    <x v="0"/>
    <x v="0"/>
    <x v="0"/>
    <x v="0"/>
    <s v="DK1_Medium"/>
    <x v="2"/>
    <s v="GNR_BO_MSW_E-105"/>
    <x v="0"/>
    <x v="4"/>
    <n v="6.6666666666666696"/>
    <n v="2433.3333333333298"/>
    <n v="8760"/>
  </r>
  <r>
    <x v="0"/>
    <x v="0"/>
    <x v="0"/>
    <x v="0"/>
    <x v="0"/>
    <s v="DK1_Medium"/>
    <x v="2"/>
    <s v="GNR_BO_MSW_E-105"/>
    <x v="0"/>
    <x v="5"/>
    <n v="6.6666666666666696"/>
    <n v="2433.3333333333298"/>
    <n v="8760"/>
  </r>
  <r>
    <x v="0"/>
    <x v="0"/>
    <x v="0"/>
    <x v="0"/>
    <x v="0"/>
    <s v="DK1_Medium"/>
    <x v="2"/>
    <s v="GNR_BO_MSW_E-105"/>
    <x v="0"/>
    <x v="6"/>
    <n v="6.6666666666666696"/>
    <n v="2433.3333333333298"/>
    <n v="8760"/>
  </r>
  <r>
    <x v="0"/>
    <x v="0"/>
    <x v="0"/>
    <x v="0"/>
    <x v="0"/>
    <s v="DK1_Medium"/>
    <x v="2"/>
    <s v="GNR_BO_MSW_E-105"/>
    <x v="0"/>
    <x v="7"/>
    <n v="6.6666666666666696"/>
    <n v="2433.3333333333298"/>
    <n v="8760"/>
  </r>
  <r>
    <x v="0"/>
    <x v="0"/>
    <x v="0"/>
    <x v="0"/>
    <x v="0"/>
    <s v="DK1_Medium"/>
    <x v="2"/>
    <s v="GNR_BO_MSW_E-105"/>
    <x v="0"/>
    <x v="8"/>
    <n v="6.6666666666666696"/>
    <n v="2433.3333333333298"/>
    <n v="8760"/>
  </r>
  <r>
    <x v="0"/>
    <x v="0"/>
    <x v="0"/>
    <x v="0"/>
    <x v="0"/>
    <s v="DK1_Medium"/>
    <x v="2"/>
    <s v="GNR_BO_MSW_E-105"/>
    <x v="0"/>
    <x v="9"/>
    <n v="6.6666666666666696"/>
    <n v="2433.3333333333298"/>
    <n v="8760"/>
  </r>
  <r>
    <x v="0"/>
    <x v="0"/>
    <x v="0"/>
    <x v="0"/>
    <x v="0"/>
    <s v="DK1_Medium"/>
    <x v="2"/>
    <s v="GNR_BO_MSW_E-105"/>
    <x v="0"/>
    <x v="10"/>
    <n v="6.6666666666666696"/>
    <n v="2433.3333333333298"/>
    <n v="8760"/>
  </r>
  <r>
    <x v="0"/>
    <x v="0"/>
    <x v="0"/>
    <x v="0"/>
    <x v="0"/>
    <s v="DK1_Medium"/>
    <x v="2"/>
    <s v="GNR_BO_MSW_E-105"/>
    <x v="0"/>
    <x v="11"/>
    <n v="6.6666666666666696"/>
    <n v="2433.3333333333298"/>
    <n v="8760"/>
  </r>
  <r>
    <x v="0"/>
    <x v="0"/>
    <x v="0"/>
    <x v="0"/>
    <x v="0"/>
    <s v="DK1_Medium"/>
    <x v="2"/>
    <s v="GNR_BO_MSW_E-105"/>
    <x v="0"/>
    <x v="12"/>
    <n v="6.6666666666666696"/>
    <n v="2433.3333333333298"/>
    <n v="8760"/>
  </r>
  <r>
    <x v="0"/>
    <x v="0"/>
    <x v="0"/>
    <x v="0"/>
    <x v="0"/>
    <s v="DK1_Medium"/>
    <x v="2"/>
    <s v="GNR_BO_MSW_E-105"/>
    <x v="0"/>
    <x v="13"/>
    <n v="6.6666666666666696"/>
    <n v="2433.3333333333298"/>
    <n v="8760"/>
  </r>
  <r>
    <x v="0"/>
    <x v="0"/>
    <x v="0"/>
    <x v="0"/>
    <x v="0"/>
    <s v="DK1_Medium"/>
    <x v="2"/>
    <s v="GNR_BO_MSW_E-105"/>
    <x v="0"/>
    <x v="14"/>
    <n v="6.6666666666666696"/>
    <n v="2433.3333333333298"/>
    <n v="8760"/>
  </r>
  <r>
    <x v="0"/>
    <x v="0"/>
    <x v="0"/>
    <x v="0"/>
    <x v="0"/>
    <s v="DK1_Medium"/>
    <x v="2"/>
    <s v="GNR_BO_MSW_E-105"/>
    <x v="0"/>
    <x v="15"/>
    <n v="6.6666666666666696"/>
    <n v="2433.3333333333298"/>
    <n v="8760"/>
  </r>
  <r>
    <x v="0"/>
    <x v="0"/>
    <x v="0"/>
    <x v="0"/>
    <x v="0"/>
    <s v="DK1_Medium"/>
    <x v="2"/>
    <s v="GNR_BO_MSW_E-105"/>
    <x v="0"/>
    <x v="16"/>
    <n v="6.6666666666666696"/>
    <n v="2433.3333333333298"/>
    <n v="8760"/>
  </r>
  <r>
    <x v="0"/>
    <x v="0"/>
    <x v="0"/>
    <x v="0"/>
    <x v="0"/>
    <s v="DK1_Medium"/>
    <x v="2"/>
    <s v="GNR_BO_MSW_E-105"/>
    <x v="0"/>
    <x v="17"/>
    <n v="6.6666666666666696"/>
    <n v="2433.3333333333298"/>
    <n v="8760"/>
  </r>
  <r>
    <x v="0"/>
    <x v="0"/>
    <x v="0"/>
    <x v="0"/>
    <x v="0"/>
    <s v="DK1_Medium"/>
    <x v="2"/>
    <s v="GNR_BO_MSW_E-105"/>
    <x v="0"/>
    <x v="19"/>
    <n v="6.6666666666666696"/>
    <n v="2433.3333333333298"/>
    <n v="8760"/>
  </r>
  <r>
    <x v="0"/>
    <x v="0"/>
    <x v="0"/>
    <x v="0"/>
    <x v="0"/>
    <s v="DK1_Medium"/>
    <x v="2"/>
    <s v="GNR_BO_MSW_E-105"/>
    <x v="0"/>
    <x v="20"/>
    <n v="6.6666666666666696"/>
    <n v="2433.3333333333298"/>
    <n v="8760"/>
  </r>
  <r>
    <x v="0"/>
    <x v="0"/>
    <x v="0"/>
    <x v="0"/>
    <x v="0"/>
    <s v="DK1_Medium"/>
    <x v="2"/>
    <s v="GNR_BO_MSW_E-105"/>
    <x v="0"/>
    <x v="21"/>
    <n v="6.6666666666666696"/>
    <n v="2433.3333333333298"/>
    <n v="8760"/>
  </r>
  <r>
    <x v="0"/>
    <x v="0"/>
    <x v="0"/>
    <x v="0"/>
    <x v="0"/>
    <s v="DK1_Medium"/>
    <x v="2"/>
    <s v="GNR_BO_MSW_E-105"/>
    <x v="0"/>
    <x v="22"/>
    <n v="6.6666666666666696"/>
    <n v="2433.3333333333298"/>
    <n v="8760"/>
  </r>
  <r>
    <x v="0"/>
    <x v="0"/>
    <x v="0"/>
    <x v="0"/>
    <x v="0"/>
    <s v="DK1_Medium"/>
    <x v="2"/>
    <s v="GNR_BO_MSW_E-105"/>
    <x v="0"/>
    <x v="23"/>
    <n v="6.6666666666666696"/>
    <n v="2433.3333333333298"/>
    <n v="8760"/>
  </r>
  <r>
    <x v="0"/>
    <x v="0"/>
    <x v="0"/>
    <x v="0"/>
    <x v="0"/>
    <s v="DK1_Medium"/>
    <x v="2"/>
    <s v="GNR_ST_MSW_BP_E-21"/>
    <x v="0"/>
    <x v="7"/>
    <n v="15.262141332628"/>
    <n v="5570.6815864091996"/>
    <n v="20054.4537110731"/>
  </r>
  <r>
    <x v="0"/>
    <x v="0"/>
    <x v="0"/>
    <x v="0"/>
    <x v="0"/>
    <s v="DK1_Medium"/>
    <x v="2"/>
    <s v="GNR_ST_MSW_BP_E-21"/>
    <x v="0"/>
    <x v="8"/>
    <n v="13.2833514277369"/>
    <n v="4848.4232711239601"/>
    <n v="17454.323776046302"/>
  </r>
  <r>
    <x v="0"/>
    <x v="0"/>
    <x v="0"/>
    <x v="0"/>
    <x v="0"/>
    <s v="DK1_Medium"/>
    <x v="2"/>
    <s v="GNR_ST_MSW_BP_E-21"/>
    <x v="0"/>
    <x v="9"/>
    <n v="16.8451732565408"/>
    <n v="6148.4882386374002"/>
    <n v="22134.5576590946"/>
  </r>
  <r>
    <x v="0"/>
    <x v="0"/>
    <x v="0"/>
    <x v="0"/>
    <x v="0"/>
    <s v="DK1_Medium"/>
    <x v="2"/>
    <s v="GNR_ST_MSW_BP_E-21"/>
    <x v="0"/>
    <x v="10"/>
    <n v="13.2833514277369"/>
    <n v="4848.4232711239802"/>
    <n v="17454.323776046302"/>
  </r>
  <r>
    <x v="0"/>
    <x v="0"/>
    <x v="0"/>
    <x v="0"/>
    <x v="0"/>
    <s v="DK1_Medium"/>
    <x v="2"/>
    <s v="GNR_ST_MSW_BP_E-22"/>
    <x v="0"/>
    <x v="5"/>
    <n v="185.78316762829201"/>
    <n v="67810.856184326607"/>
    <n v="244119.08226357601"/>
  </r>
  <r>
    <x v="0"/>
    <x v="0"/>
    <x v="0"/>
    <x v="0"/>
    <x v="0"/>
    <s v="DK1_Medium"/>
    <x v="2"/>
    <s v="GNR_ST_MSW_BP_E-22"/>
    <x v="0"/>
    <x v="6"/>
    <n v="284.38087188927398"/>
    <n v="103799.018239585"/>
    <n v="373676.465662506"/>
  </r>
  <r>
    <x v="0"/>
    <x v="0"/>
    <x v="0"/>
    <x v="0"/>
    <x v="0"/>
    <s v="DK1_Medium"/>
    <x v="2"/>
    <s v="GNR_ST_MSW_BP_E-22"/>
    <x v="0"/>
    <x v="7"/>
    <n v="284.54545454545502"/>
    <n v="103859.090909091"/>
    <n v="373892.72727272799"/>
  </r>
  <r>
    <x v="0"/>
    <x v="0"/>
    <x v="0"/>
    <x v="0"/>
    <x v="0"/>
    <s v="DK1_Medium"/>
    <x v="2"/>
    <s v="GNR_ST_MSW_BP_E-22"/>
    <x v="0"/>
    <x v="8"/>
    <n v="284.54545454545502"/>
    <n v="103859.090909091"/>
    <n v="373892.72727272799"/>
  </r>
  <r>
    <x v="0"/>
    <x v="0"/>
    <x v="0"/>
    <x v="0"/>
    <x v="0"/>
    <s v="DK1_Medium"/>
    <x v="2"/>
    <s v="GNR_ST_MSW_BP_E-22"/>
    <x v="0"/>
    <x v="9"/>
    <n v="284.54545454545502"/>
    <n v="103859.090909091"/>
    <n v="373892.72727272799"/>
  </r>
  <r>
    <x v="0"/>
    <x v="0"/>
    <x v="0"/>
    <x v="0"/>
    <x v="0"/>
    <s v="DK1_Medium"/>
    <x v="2"/>
    <s v="GNR_ST_MSW_BP_E-22"/>
    <x v="0"/>
    <x v="10"/>
    <n v="284.54545454545502"/>
    <n v="103859.090909091"/>
    <n v="373892.72727272799"/>
  </r>
  <r>
    <x v="0"/>
    <x v="0"/>
    <x v="0"/>
    <x v="0"/>
    <x v="0"/>
    <s v="DK1_Medium"/>
    <x v="2"/>
    <s v="GNR_ST_MSW_BP_E-22"/>
    <x v="0"/>
    <x v="14"/>
    <n v="273.04780243398898"/>
    <n v="99662.447888405994"/>
    <n v="358784.81239826197"/>
  </r>
  <r>
    <x v="0"/>
    <x v="0"/>
    <x v="0"/>
    <x v="0"/>
    <x v="0"/>
    <s v="DK1_Medium"/>
    <x v="2"/>
    <s v="GNR_ST_MSW_BP_E-22"/>
    <x v="0"/>
    <x v="15"/>
    <n v="276.44772327057501"/>
    <n v="100903.41899376"/>
    <n v="363252.30837753502"/>
  </r>
  <r>
    <x v="0"/>
    <x v="0"/>
    <x v="0"/>
    <x v="0"/>
    <x v="0"/>
    <s v="DK1_Medium"/>
    <x v="2"/>
    <s v="GNR_ST_MSW_BP_E-22"/>
    <x v="0"/>
    <x v="16"/>
    <n v="284.54545454545502"/>
    <n v="103859.090909091"/>
    <n v="373892.72727272799"/>
  </r>
  <r>
    <x v="0"/>
    <x v="0"/>
    <x v="0"/>
    <x v="0"/>
    <x v="0"/>
    <s v="DK1_Medium"/>
    <x v="4"/>
    <s v="GNR_BO_STRW_E-102"/>
    <x v="0"/>
    <x v="0"/>
    <n v="2.37254901960784"/>
    <n v="865.98039215686299"/>
    <n v="3117.5294117647099"/>
  </r>
  <r>
    <x v="0"/>
    <x v="0"/>
    <x v="0"/>
    <x v="0"/>
    <x v="0"/>
    <s v="DK1_Medium"/>
    <x v="4"/>
    <s v="GNR_BO_STRW_E-102"/>
    <x v="0"/>
    <x v="1"/>
    <n v="2.37254901960784"/>
    <n v="865.98039215686299"/>
    <n v="3117.5294117647099"/>
  </r>
  <r>
    <x v="0"/>
    <x v="0"/>
    <x v="0"/>
    <x v="0"/>
    <x v="0"/>
    <s v="DK1_Medium"/>
    <x v="4"/>
    <s v="GNR_BO_STRW_E-102"/>
    <x v="0"/>
    <x v="2"/>
    <n v="2.37254901960784"/>
    <n v="865.98039215686299"/>
    <n v="3117.5294117647099"/>
  </r>
  <r>
    <x v="0"/>
    <x v="0"/>
    <x v="0"/>
    <x v="0"/>
    <x v="0"/>
    <s v="DK1_Medium"/>
    <x v="4"/>
    <s v="GNR_BO_STRW_E-102"/>
    <x v="0"/>
    <x v="3"/>
    <n v="2.37254901960784"/>
    <n v="865.98039215686299"/>
    <n v="3117.5294117647099"/>
  </r>
  <r>
    <x v="0"/>
    <x v="0"/>
    <x v="0"/>
    <x v="0"/>
    <x v="0"/>
    <s v="DK1_Medium"/>
    <x v="4"/>
    <s v="GNR_BO_STRW_E-102"/>
    <x v="0"/>
    <x v="18"/>
    <n v="2.37254901960784"/>
    <n v="865.98039215686299"/>
    <n v="3117.5294117647099"/>
  </r>
  <r>
    <x v="0"/>
    <x v="0"/>
    <x v="0"/>
    <x v="0"/>
    <x v="0"/>
    <s v="DK1_Medium"/>
    <x v="4"/>
    <s v="GNR_BO_STRW_E-102"/>
    <x v="0"/>
    <x v="4"/>
    <n v="2.37254901960784"/>
    <n v="865.98039215686299"/>
    <n v="3117.5294117647099"/>
  </r>
  <r>
    <x v="0"/>
    <x v="0"/>
    <x v="0"/>
    <x v="0"/>
    <x v="0"/>
    <s v="DK1_Medium"/>
    <x v="4"/>
    <s v="GNR_BO_STRW_E-102"/>
    <x v="0"/>
    <x v="5"/>
    <n v="2.37254901960784"/>
    <n v="865.98039215686299"/>
    <n v="3117.5294117647099"/>
  </r>
  <r>
    <x v="0"/>
    <x v="0"/>
    <x v="0"/>
    <x v="0"/>
    <x v="0"/>
    <s v="DK1_Medium"/>
    <x v="4"/>
    <s v="GNR_BO_STRW_E-102"/>
    <x v="0"/>
    <x v="6"/>
    <n v="2.37254901960784"/>
    <n v="865.98039215686299"/>
    <n v="3117.5294117647099"/>
  </r>
  <r>
    <x v="0"/>
    <x v="0"/>
    <x v="0"/>
    <x v="0"/>
    <x v="0"/>
    <s v="DK1_Medium"/>
    <x v="4"/>
    <s v="GNR_BO_STRW_E-102"/>
    <x v="0"/>
    <x v="7"/>
    <n v="2.37254901960784"/>
    <n v="865.98039215686299"/>
    <n v="3117.5294117647099"/>
  </r>
  <r>
    <x v="0"/>
    <x v="0"/>
    <x v="0"/>
    <x v="0"/>
    <x v="0"/>
    <s v="DK1_Medium"/>
    <x v="4"/>
    <s v="GNR_BO_STRW_E-102"/>
    <x v="0"/>
    <x v="8"/>
    <n v="2.37254901960784"/>
    <n v="865.98039215686299"/>
    <n v="3117.5294117647099"/>
  </r>
  <r>
    <x v="0"/>
    <x v="0"/>
    <x v="0"/>
    <x v="0"/>
    <x v="0"/>
    <s v="DK1_Medium"/>
    <x v="4"/>
    <s v="GNR_BO_STRW_E-102"/>
    <x v="0"/>
    <x v="9"/>
    <n v="2.37254901960784"/>
    <n v="865.98039215686299"/>
    <n v="3117.5294117647099"/>
  </r>
  <r>
    <x v="0"/>
    <x v="0"/>
    <x v="0"/>
    <x v="0"/>
    <x v="0"/>
    <s v="DK1_Medium"/>
    <x v="4"/>
    <s v="GNR_BO_STRW_E-102"/>
    <x v="0"/>
    <x v="10"/>
    <n v="2.37254901960784"/>
    <n v="865.98039215686299"/>
    <n v="3117.5294117647099"/>
  </r>
  <r>
    <x v="0"/>
    <x v="0"/>
    <x v="0"/>
    <x v="0"/>
    <x v="0"/>
    <s v="DK1_Medium"/>
    <x v="4"/>
    <s v="GNR_BO_STRW_E-102"/>
    <x v="0"/>
    <x v="11"/>
    <n v="2.37254901960784"/>
    <n v="865.98039215686299"/>
    <n v="3117.5294117647099"/>
  </r>
  <r>
    <x v="0"/>
    <x v="0"/>
    <x v="0"/>
    <x v="0"/>
    <x v="0"/>
    <s v="DK1_Medium"/>
    <x v="4"/>
    <s v="GNR_BO_STRW_E-102"/>
    <x v="0"/>
    <x v="12"/>
    <n v="2.37254901960784"/>
    <n v="865.98039215686299"/>
    <n v="3117.5294117647099"/>
  </r>
  <r>
    <x v="0"/>
    <x v="0"/>
    <x v="0"/>
    <x v="0"/>
    <x v="0"/>
    <s v="DK1_Medium"/>
    <x v="4"/>
    <s v="GNR_BO_STRW_E-102"/>
    <x v="0"/>
    <x v="13"/>
    <n v="2.37254901960784"/>
    <n v="865.98039215686299"/>
    <n v="3117.5294117647099"/>
  </r>
  <r>
    <x v="0"/>
    <x v="0"/>
    <x v="0"/>
    <x v="0"/>
    <x v="0"/>
    <s v="DK1_Medium"/>
    <x v="4"/>
    <s v="GNR_BO_STRW_E-102"/>
    <x v="0"/>
    <x v="14"/>
    <n v="2.37254901960784"/>
    <n v="865.98039215686299"/>
    <n v="3117.5294117647099"/>
  </r>
  <r>
    <x v="0"/>
    <x v="0"/>
    <x v="0"/>
    <x v="0"/>
    <x v="0"/>
    <s v="DK1_Medium"/>
    <x v="4"/>
    <s v="GNR_BO_STRW_E-102"/>
    <x v="0"/>
    <x v="15"/>
    <n v="2.37254901960784"/>
    <n v="865.98039215686299"/>
    <n v="3117.5294117647099"/>
  </r>
  <r>
    <x v="0"/>
    <x v="0"/>
    <x v="0"/>
    <x v="0"/>
    <x v="0"/>
    <s v="DK1_Medium"/>
    <x v="4"/>
    <s v="GNR_BO_STRW_E-102"/>
    <x v="0"/>
    <x v="16"/>
    <n v="2.37254901960784"/>
    <n v="865.98039215686299"/>
    <n v="3117.5294117647099"/>
  </r>
  <r>
    <x v="0"/>
    <x v="0"/>
    <x v="0"/>
    <x v="0"/>
    <x v="0"/>
    <s v="DK1_Medium"/>
    <x v="4"/>
    <s v="GNR_BO_STRW_E-102"/>
    <x v="0"/>
    <x v="17"/>
    <n v="2.37254901960784"/>
    <n v="865.98039215686299"/>
    <n v="3117.5294117647099"/>
  </r>
  <r>
    <x v="0"/>
    <x v="0"/>
    <x v="0"/>
    <x v="0"/>
    <x v="0"/>
    <s v="DK1_Medium"/>
    <x v="4"/>
    <s v="GNR_BO_STRW_E-102"/>
    <x v="0"/>
    <x v="19"/>
    <n v="2.37254901960784"/>
    <n v="865.98039215686299"/>
    <n v="3117.5294117647099"/>
  </r>
  <r>
    <x v="0"/>
    <x v="0"/>
    <x v="0"/>
    <x v="0"/>
    <x v="0"/>
    <s v="DK1_Medium"/>
    <x v="4"/>
    <s v="GNR_BO_STRW_E-102"/>
    <x v="0"/>
    <x v="20"/>
    <n v="2.37254901960784"/>
    <n v="865.98039215686299"/>
    <n v="3117.5294117647099"/>
  </r>
  <r>
    <x v="0"/>
    <x v="0"/>
    <x v="0"/>
    <x v="0"/>
    <x v="0"/>
    <s v="DK1_Medium"/>
    <x v="4"/>
    <s v="GNR_BO_STRW_E-102"/>
    <x v="0"/>
    <x v="21"/>
    <n v="2.37254901960784"/>
    <n v="865.98039215686299"/>
    <n v="3117.5294117647099"/>
  </r>
  <r>
    <x v="0"/>
    <x v="0"/>
    <x v="0"/>
    <x v="0"/>
    <x v="0"/>
    <s v="DK1_Medium"/>
    <x v="4"/>
    <s v="GNR_BO_STRW_E-102"/>
    <x v="0"/>
    <x v="22"/>
    <n v="2.37254901960784"/>
    <n v="865.98039215686299"/>
    <n v="3117.5294117647099"/>
  </r>
  <r>
    <x v="0"/>
    <x v="0"/>
    <x v="0"/>
    <x v="0"/>
    <x v="0"/>
    <s v="DK1_Medium"/>
    <x v="4"/>
    <s v="GNR_BO_STRW_E-102"/>
    <x v="0"/>
    <x v="23"/>
    <n v="2.37254901960784"/>
    <n v="865.98039215686299"/>
    <n v="3117.5294117647099"/>
  </r>
  <r>
    <x v="0"/>
    <x v="0"/>
    <x v="0"/>
    <x v="0"/>
    <x v="0"/>
    <s v="DK1_Medium"/>
    <x v="1"/>
    <s v="GNR_GEO_HEAT_HO"/>
    <x v="0"/>
    <x v="0"/>
    <n v="10"/>
    <n v="3650"/>
    <n v="13140"/>
  </r>
  <r>
    <x v="0"/>
    <x v="0"/>
    <x v="0"/>
    <x v="0"/>
    <x v="0"/>
    <s v="DK1_Medium"/>
    <x v="1"/>
    <s v="GNR_GEO_HEAT_HO"/>
    <x v="0"/>
    <x v="1"/>
    <n v="10"/>
    <n v="3650"/>
    <n v="13140"/>
  </r>
  <r>
    <x v="0"/>
    <x v="0"/>
    <x v="0"/>
    <x v="0"/>
    <x v="0"/>
    <s v="DK1_Medium"/>
    <x v="1"/>
    <s v="GNR_GEO_HEAT_HO"/>
    <x v="0"/>
    <x v="2"/>
    <n v="10"/>
    <n v="3650"/>
    <n v="13140"/>
  </r>
  <r>
    <x v="0"/>
    <x v="0"/>
    <x v="0"/>
    <x v="0"/>
    <x v="0"/>
    <s v="DK1_Medium"/>
    <x v="1"/>
    <s v="GNR_GEO_HEAT_HO"/>
    <x v="0"/>
    <x v="3"/>
    <n v="10"/>
    <n v="3650"/>
    <n v="13140"/>
  </r>
  <r>
    <x v="0"/>
    <x v="0"/>
    <x v="0"/>
    <x v="0"/>
    <x v="0"/>
    <s v="DK1_Medium"/>
    <x v="1"/>
    <s v="GNR_GEO_HEAT_HO"/>
    <x v="0"/>
    <x v="18"/>
    <n v="10"/>
    <n v="3650"/>
    <n v="13140"/>
  </r>
  <r>
    <x v="0"/>
    <x v="0"/>
    <x v="0"/>
    <x v="0"/>
    <x v="0"/>
    <s v="DK1_Medium"/>
    <x v="1"/>
    <s v="GNR_GEO_HEAT_HO"/>
    <x v="0"/>
    <x v="4"/>
    <n v="10"/>
    <n v="3650"/>
    <n v="13140"/>
  </r>
  <r>
    <x v="0"/>
    <x v="0"/>
    <x v="0"/>
    <x v="0"/>
    <x v="0"/>
    <s v="DK1_Medium"/>
    <x v="1"/>
    <s v="GNR_GEO_HEAT_HO"/>
    <x v="0"/>
    <x v="5"/>
    <n v="10"/>
    <n v="3650"/>
    <n v="13140"/>
  </r>
  <r>
    <x v="0"/>
    <x v="0"/>
    <x v="0"/>
    <x v="0"/>
    <x v="0"/>
    <s v="DK1_Medium"/>
    <x v="1"/>
    <s v="GNR_GEO_HEAT_HO"/>
    <x v="0"/>
    <x v="6"/>
    <n v="10"/>
    <n v="3650"/>
    <n v="13140"/>
  </r>
  <r>
    <x v="0"/>
    <x v="0"/>
    <x v="0"/>
    <x v="0"/>
    <x v="0"/>
    <s v="DK1_Medium"/>
    <x v="1"/>
    <s v="GNR_GEO_HEAT_HO"/>
    <x v="0"/>
    <x v="7"/>
    <n v="10"/>
    <n v="3650"/>
    <n v="13140"/>
  </r>
  <r>
    <x v="0"/>
    <x v="0"/>
    <x v="0"/>
    <x v="0"/>
    <x v="0"/>
    <s v="DK1_Medium"/>
    <x v="1"/>
    <s v="GNR_GEO_HEAT_HO"/>
    <x v="0"/>
    <x v="8"/>
    <n v="10"/>
    <n v="3650"/>
    <n v="13140"/>
  </r>
  <r>
    <x v="0"/>
    <x v="0"/>
    <x v="0"/>
    <x v="0"/>
    <x v="0"/>
    <s v="DK1_Medium"/>
    <x v="1"/>
    <s v="GNR_GEO_HEAT_HO"/>
    <x v="0"/>
    <x v="9"/>
    <n v="10"/>
    <n v="3650"/>
    <n v="13140"/>
  </r>
  <r>
    <x v="0"/>
    <x v="0"/>
    <x v="0"/>
    <x v="0"/>
    <x v="0"/>
    <s v="DK1_Medium"/>
    <x v="1"/>
    <s v="GNR_GEO_HEAT_HO"/>
    <x v="0"/>
    <x v="10"/>
    <n v="10"/>
    <n v="3650"/>
    <n v="13140"/>
  </r>
  <r>
    <x v="0"/>
    <x v="0"/>
    <x v="0"/>
    <x v="0"/>
    <x v="0"/>
    <s v="DK1_Medium"/>
    <x v="1"/>
    <s v="GNR_GEO_HEAT_HO"/>
    <x v="0"/>
    <x v="11"/>
    <n v="10"/>
    <n v="3650"/>
    <n v="13140"/>
  </r>
  <r>
    <x v="0"/>
    <x v="0"/>
    <x v="0"/>
    <x v="0"/>
    <x v="0"/>
    <s v="DK1_Medium"/>
    <x v="1"/>
    <s v="GNR_GEO_HEAT_HO"/>
    <x v="0"/>
    <x v="12"/>
    <n v="10"/>
    <n v="3650"/>
    <n v="13140"/>
  </r>
  <r>
    <x v="0"/>
    <x v="0"/>
    <x v="0"/>
    <x v="0"/>
    <x v="0"/>
    <s v="DK1_Medium"/>
    <x v="1"/>
    <s v="GNR_GEO_HEAT_HO"/>
    <x v="0"/>
    <x v="13"/>
    <n v="10"/>
    <n v="3650"/>
    <n v="13140"/>
  </r>
  <r>
    <x v="0"/>
    <x v="0"/>
    <x v="0"/>
    <x v="0"/>
    <x v="0"/>
    <s v="DK1_Medium"/>
    <x v="1"/>
    <s v="GNR_GEO_HEAT_HO"/>
    <x v="0"/>
    <x v="14"/>
    <n v="10"/>
    <n v="3650"/>
    <n v="13140"/>
  </r>
  <r>
    <x v="0"/>
    <x v="0"/>
    <x v="0"/>
    <x v="0"/>
    <x v="0"/>
    <s v="DK1_Medium"/>
    <x v="1"/>
    <s v="GNR_GEO_HEAT_HO"/>
    <x v="0"/>
    <x v="15"/>
    <n v="10"/>
    <n v="3650"/>
    <n v="13140"/>
  </r>
  <r>
    <x v="0"/>
    <x v="0"/>
    <x v="0"/>
    <x v="0"/>
    <x v="0"/>
    <s v="DK1_Medium"/>
    <x v="1"/>
    <s v="GNR_GEO_HEAT_HO"/>
    <x v="0"/>
    <x v="16"/>
    <n v="10"/>
    <n v="3650"/>
    <n v="13140"/>
  </r>
  <r>
    <x v="0"/>
    <x v="0"/>
    <x v="0"/>
    <x v="0"/>
    <x v="0"/>
    <s v="DK1_Medium"/>
    <x v="1"/>
    <s v="GNR_GEO_HEAT_HO"/>
    <x v="0"/>
    <x v="17"/>
    <n v="10"/>
    <n v="3650"/>
    <n v="13140"/>
  </r>
  <r>
    <x v="0"/>
    <x v="0"/>
    <x v="0"/>
    <x v="0"/>
    <x v="0"/>
    <s v="DK1_Medium"/>
    <x v="1"/>
    <s v="GNR_GEO_HEAT_HO"/>
    <x v="0"/>
    <x v="19"/>
    <n v="10"/>
    <n v="3650"/>
    <n v="13140"/>
  </r>
  <r>
    <x v="0"/>
    <x v="0"/>
    <x v="0"/>
    <x v="0"/>
    <x v="0"/>
    <s v="DK1_Medium"/>
    <x v="1"/>
    <s v="GNR_GEO_HEAT_HO"/>
    <x v="0"/>
    <x v="20"/>
    <n v="10"/>
    <n v="3650"/>
    <n v="13140"/>
  </r>
  <r>
    <x v="0"/>
    <x v="0"/>
    <x v="0"/>
    <x v="0"/>
    <x v="0"/>
    <s v="DK1_Medium"/>
    <x v="1"/>
    <s v="GNR_GEO_HEAT_HO"/>
    <x v="0"/>
    <x v="21"/>
    <n v="10"/>
    <n v="3650"/>
    <n v="13140"/>
  </r>
  <r>
    <x v="0"/>
    <x v="0"/>
    <x v="0"/>
    <x v="0"/>
    <x v="0"/>
    <s v="DK1_Medium"/>
    <x v="1"/>
    <s v="GNR_GEO_HEAT_HO"/>
    <x v="0"/>
    <x v="22"/>
    <n v="10"/>
    <n v="3650"/>
    <n v="13140"/>
  </r>
  <r>
    <x v="0"/>
    <x v="0"/>
    <x v="0"/>
    <x v="0"/>
    <x v="0"/>
    <s v="DK1_Medium"/>
    <x v="1"/>
    <s v="GNR_GEO_HEAT_HO"/>
    <x v="0"/>
    <x v="23"/>
    <n v="10"/>
    <n v="3650"/>
    <n v="13140"/>
  </r>
  <r>
    <x v="0"/>
    <x v="0"/>
    <x v="0"/>
    <x v="0"/>
    <x v="0"/>
    <s v="DK1_Medium"/>
    <x v="5"/>
    <s v="GNR_ST_WOODCHI_BP_E-27"/>
    <x v="0"/>
    <x v="4"/>
    <n v="40.751684804884398"/>
    <n v="14874.364953782801"/>
    <n v="53547.713833618203"/>
  </r>
  <r>
    <x v="0"/>
    <x v="0"/>
    <x v="0"/>
    <x v="0"/>
    <x v="0"/>
    <s v="DK1_Medium"/>
    <x v="5"/>
    <s v="GNR_ST_WOODCHI_BP_E-27"/>
    <x v="0"/>
    <x v="5"/>
    <n v="192.59259259259301"/>
    <n v="70296.296296296496"/>
    <n v="253066.666666668"/>
  </r>
  <r>
    <x v="0"/>
    <x v="0"/>
    <x v="0"/>
    <x v="0"/>
    <x v="0"/>
    <s v="DK1_Medium"/>
    <x v="5"/>
    <s v="GNR_ST_WOODCHI_BP_E-27"/>
    <x v="0"/>
    <x v="6"/>
    <n v="192.59259259259301"/>
    <n v="70296.296296296496"/>
    <n v="253066.666666668"/>
  </r>
  <r>
    <x v="0"/>
    <x v="0"/>
    <x v="0"/>
    <x v="0"/>
    <x v="0"/>
    <s v="DK1_Medium"/>
    <x v="5"/>
    <s v="GNR_ST_WOODCHI_BP_E-27"/>
    <x v="0"/>
    <x v="7"/>
    <n v="192.59259259259301"/>
    <n v="70296.296296296496"/>
    <n v="253066.666666668"/>
  </r>
  <r>
    <x v="0"/>
    <x v="0"/>
    <x v="0"/>
    <x v="0"/>
    <x v="0"/>
    <s v="DK1_Medium"/>
    <x v="5"/>
    <s v="GNR_ST_WOODCHI_BP_E-27"/>
    <x v="0"/>
    <x v="8"/>
    <n v="192.59259259259301"/>
    <n v="70296.296296296496"/>
    <n v="253066.666666668"/>
  </r>
  <r>
    <x v="0"/>
    <x v="0"/>
    <x v="0"/>
    <x v="0"/>
    <x v="0"/>
    <s v="DK1_Medium"/>
    <x v="5"/>
    <s v="GNR_ST_WOODCHI_BP_E-27"/>
    <x v="0"/>
    <x v="9"/>
    <n v="192.59259259259301"/>
    <n v="70296.296296296496"/>
    <n v="253066.666666668"/>
  </r>
  <r>
    <x v="0"/>
    <x v="0"/>
    <x v="0"/>
    <x v="0"/>
    <x v="0"/>
    <s v="DK1_Medium"/>
    <x v="5"/>
    <s v="GNR_ST_WOODCHI_BP_E-27"/>
    <x v="0"/>
    <x v="10"/>
    <n v="192.59259259259301"/>
    <n v="70296.296296296496"/>
    <n v="253066.666666668"/>
  </r>
  <r>
    <x v="0"/>
    <x v="0"/>
    <x v="0"/>
    <x v="0"/>
    <x v="0"/>
    <s v="DK1_Medium"/>
    <x v="5"/>
    <s v="GNR_ST_WOODCHI_BP_E-27"/>
    <x v="0"/>
    <x v="11"/>
    <n v="192.59259259259301"/>
    <n v="70296.296296296496"/>
    <n v="253066.666666668"/>
  </r>
  <r>
    <x v="0"/>
    <x v="0"/>
    <x v="0"/>
    <x v="0"/>
    <x v="0"/>
    <s v="DK1_Medium"/>
    <x v="5"/>
    <s v="GNR_ST_WOODCHI_BP_E-27"/>
    <x v="0"/>
    <x v="12"/>
    <n v="192.59259259259301"/>
    <n v="70296.296296296496"/>
    <n v="253066.666666668"/>
  </r>
  <r>
    <x v="0"/>
    <x v="0"/>
    <x v="0"/>
    <x v="0"/>
    <x v="0"/>
    <s v="DK1_Medium"/>
    <x v="5"/>
    <s v="GNR_ST_WOODCHI_BP_E-27"/>
    <x v="0"/>
    <x v="13"/>
    <n v="192.59259259259301"/>
    <n v="70296.296296296496"/>
    <n v="253066.666666668"/>
  </r>
  <r>
    <x v="0"/>
    <x v="0"/>
    <x v="0"/>
    <x v="0"/>
    <x v="0"/>
    <s v="DK1_Medium"/>
    <x v="5"/>
    <s v="GNR_ST_WOODCHI_BP_E-27"/>
    <x v="0"/>
    <x v="14"/>
    <n v="192.59259259259301"/>
    <n v="70296.296296296496"/>
    <n v="253066.666666668"/>
  </r>
  <r>
    <x v="0"/>
    <x v="0"/>
    <x v="0"/>
    <x v="0"/>
    <x v="0"/>
    <s v="DK1_Medium"/>
    <x v="5"/>
    <s v="GNR_ST_WOODCHI_BP_E-27"/>
    <x v="0"/>
    <x v="15"/>
    <n v="192.59259259259301"/>
    <n v="70296.296296296496"/>
    <n v="253066.666666668"/>
  </r>
  <r>
    <x v="0"/>
    <x v="0"/>
    <x v="0"/>
    <x v="0"/>
    <x v="0"/>
    <s v="DK1_Medium"/>
    <x v="5"/>
    <s v="GNR_ST_WOODCHI_BP_E-27"/>
    <x v="0"/>
    <x v="16"/>
    <n v="192.59259259259301"/>
    <n v="70296.296296296496"/>
    <n v="253066.666666668"/>
  </r>
  <r>
    <x v="0"/>
    <x v="0"/>
    <x v="0"/>
    <x v="0"/>
    <x v="0"/>
    <s v="DK1_Medium"/>
    <x v="5"/>
    <s v="GNR_ST_WOODCHI_BP_E-27"/>
    <x v="0"/>
    <x v="17"/>
    <n v="147.79885920115601"/>
    <n v="53946.583608421897"/>
    <n v="194207.70099031899"/>
  </r>
  <r>
    <x v="0"/>
    <x v="0"/>
    <x v="0"/>
    <x v="0"/>
    <x v="0"/>
    <s v="DK1_Medium"/>
    <x v="5"/>
    <s v="GNR_ST_WOODCHI_BP_E-30"/>
    <x v="0"/>
    <x v="0"/>
    <n v="301.33333333333297"/>
    <n v="109986.66666666701"/>
    <n v="395952"/>
  </r>
  <r>
    <x v="0"/>
    <x v="0"/>
    <x v="0"/>
    <x v="0"/>
    <x v="0"/>
    <s v="DK1_Medium"/>
    <x v="5"/>
    <s v="GNR_ST_WOODCHI_BP_E-30"/>
    <x v="0"/>
    <x v="1"/>
    <n v="301.33333333333297"/>
    <n v="109986.66666666701"/>
    <n v="395952"/>
  </r>
  <r>
    <x v="0"/>
    <x v="0"/>
    <x v="0"/>
    <x v="0"/>
    <x v="0"/>
    <s v="DK1_Medium"/>
    <x v="5"/>
    <s v="GNR_ST_WOODCHI_BP_E-30"/>
    <x v="0"/>
    <x v="2"/>
    <n v="301.33333333333297"/>
    <n v="109986.66666666701"/>
    <n v="395952"/>
  </r>
  <r>
    <x v="0"/>
    <x v="0"/>
    <x v="0"/>
    <x v="0"/>
    <x v="0"/>
    <s v="DK1_Medium"/>
    <x v="5"/>
    <s v="GNR_ST_WOODCHI_BP_E-30"/>
    <x v="0"/>
    <x v="3"/>
    <n v="301.33333333333297"/>
    <n v="109986.66666666701"/>
    <n v="395952"/>
  </r>
  <r>
    <x v="0"/>
    <x v="0"/>
    <x v="0"/>
    <x v="0"/>
    <x v="0"/>
    <s v="DK1_Medium"/>
    <x v="5"/>
    <s v="GNR_ST_WOODCHI_BP_E-30"/>
    <x v="0"/>
    <x v="18"/>
    <n v="301.33333333333297"/>
    <n v="109986.66666666701"/>
    <n v="395952"/>
  </r>
  <r>
    <x v="0"/>
    <x v="0"/>
    <x v="0"/>
    <x v="0"/>
    <x v="0"/>
    <s v="DK1_Medium"/>
    <x v="5"/>
    <s v="GNR_ST_WOODCHI_BP_E-30"/>
    <x v="0"/>
    <x v="4"/>
    <n v="301.33333333333297"/>
    <n v="109986.66666666701"/>
    <n v="395952"/>
  </r>
  <r>
    <x v="0"/>
    <x v="0"/>
    <x v="0"/>
    <x v="0"/>
    <x v="0"/>
    <s v="DK1_Medium"/>
    <x v="5"/>
    <s v="GNR_ST_WOODCHI_BP_E-30"/>
    <x v="0"/>
    <x v="5"/>
    <n v="301.33333333333297"/>
    <n v="109986.66666666701"/>
    <n v="395952"/>
  </r>
  <r>
    <x v="0"/>
    <x v="0"/>
    <x v="0"/>
    <x v="0"/>
    <x v="0"/>
    <s v="DK1_Medium"/>
    <x v="5"/>
    <s v="GNR_ST_WOODCHI_BP_E-30"/>
    <x v="0"/>
    <x v="6"/>
    <n v="301.33333333333297"/>
    <n v="109986.66666666701"/>
    <n v="395952"/>
  </r>
  <r>
    <x v="0"/>
    <x v="0"/>
    <x v="0"/>
    <x v="0"/>
    <x v="0"/>
    <s v="DK1_Medium"/>
    <x v="5"/>
    <s v="GNR_ST_WOODCHI_BP_E-30"/>
    <x v="0"/>
    <x v="7"/>
    <n v="301.33333333333297"/>
    <n v="109986.66666666701"/>
    <n v="395952"/>
  </r>
  <r>
    <x v="0"/>
    <x v="0"/>
    <x v="0"/>
    <x v="0"/>
    <x v="0"/>
    <s v="DK1_Medium"/>
    <x v="5"/>
    <s v="GNR_ST_WOODCHI_BP_E-30"/>
    <x v="0"/>
    <x v="8"/>
    <n v="301.33333333333297"/>
    <n v="109986.66666666701"/>
    <n v="395952"/>
  </r>
  <r>
    <x v="0"/>
    <x v="0"/>
    <x v="0"/>
    <x v="0"/>
    <x v="0"/>
    <s v="DK1_Medium"/>
    <x v="5"/>
    <s v="GNR_ST_WOODCHI_BP_E-30"/>
    <x v="0"/>
    <x v="9"/>
    <n v="301.33333333333297"/>
    <n v="109986.66666666701"/>
    <n v="395952"/>
  </r>
  <r>
    <x v="0"/>
    <x v="0"/>
    <x v="0"/>
    <x v="0"/>
    <x v="0"/>
    <s v="DK1_Medium"/>
    <x v="5"/>
    <s v="GNR_ST_WOODCHI_BP_E-30"/>
    <x v="0"/>
    <x v="10"/>
    <n v="301.33333333333297"/>
    <n v="109986.66666666701"/>
    <n v="395952"/>
  </r>
  <r>
    <x v="0"/>
    <x v="0"/>
    <x v="0"/>
    <x v="0"/>
    <x v="0"/>
    <s v="DK1_Medium"/>
    <x v="5"/>
    <s v="GNR_ST_WOODCHI_BP_E-30"/>
    <x v="0"/>
    <x v="11"/>
    <n v="301.33333333333297"/>
    <n v="109986.66666666701"/>
    <n v="395952"/>
  </r>
  <r>
    <x v="0"/>
    <x v="0"/>
    <x v="0"/>
    <x v="0"/>
    <x v="0"/>
    <s v="DK1_Medium"/>
    <x v="5"/>
    <s v="GNR_ST_WOODCHI_BP_E-30"/>
    <x v="0"/>
    <x v="12"/>
    <n v="301.33333333333297"/>
    <n v="109986.66666666701"/>
    <n v="395952"/>
  </r>
  <r>
    <x v="0"/>
    <x v="0"/>
    <x v="0"/>
    <x v="0"/>
    <x v="0"/>
    <s v="DK1_Medium"/>
    <x v="5"/>
    <s v="GNR_ST_WOODCHI_BP_E-30"/>
    <x v="0"/>
    <x v="13"/>
    <n v="301.33333333333297"/>
    <n v="109986.66666666701"/>
    <n v="395952"/>
  </r>
  <r>
    <x v="0"/>
    <x v="0"/>
    <x v="0"/>
    <x v="0"/>
    <x v="0"/>
    <s v="DK1_Medium"/>
    <x v="5"/>
    <s v="GNR_ST_WOODCHI_BP_E-30"/>
    <x v="0"/>
    <x v="14"/>
    <n v="301.33333333333297"/>
    <n v="109986.66666666701"/>
    <n v="395952"/>
  </r>
  <r>
    <x v="0"/>
    <x v="0"/>
    <x v="0"/>
    <x v="0"/>
    <x v="0"/>
    <s v="DK1_Medium"/>
    <x v="5"/>
    <s v="GNR_ST_WOODCHI_BP_E-30"/>
    <x v="0"/>
    <x v="15"/>
    <n v="301.33333333333297"/>
    <n v="109986.66666666701"/>
    <n v="395952"/>
  </r>
  <r>
    <x v="0"/>
    <x v="0"/>
    <x v="0"/>
    <x v="0"/>
    <x v="0"/>
    <s v="DK1_Medium"/>
    <x v="5"/>
    <s v="GNR_ST_WOODCHI_BP_E-30"/>
    <x v="0"/>
    <x v="16"/>
    <n v="301.33333333333297"/>
    <n v="109986.66666666701"/>
    <n v="395952"/>
  </r>
  <r>
    <x v="0"/>
    <x v="0"/>
    <x v="0"/>
    <x v="0"/>
    <x v="0"/>
    <s v="DK1_Medium"/>
    <x v="5"/>
    <s v="GNR_ST_WOODCHI_BP_E-30"/>
    <x v="0"/>
    <x v="17"/>
    <n v="301.33333333333297"/>
    <n v="109986.66666666701"/>
    <n v="395952"/>
  </r>
  <r>
    <x v="0"/>
    <x v="0"/>
    <x v="0"/>
    <x v="0"/>
    <x v="0"/>
    <s v="DK1_Medium"/>
    <x v="5"/>
    <s v="GNR_ST_WOODCHI_BP_E-30"/>
    <x v="0"/>
    <x v="19"/>
    <n v="301.33333333333297"/>
    <n v="109986.66666666701"/>
    <n v="395952"/>
  </r>
  <r>
    <x v="0"/>
    <x v="0"/>
    <x v="0"/>
    <x v="0"/>
    <x v="0"/>
    <s v="DK1_Medium"/>
    <x v="5"/>
    <s v="GNR_ST_WOODCHI_BP_E-30"/>
    <x v="0"/>
    <x v="20"/>
    <n v="301.33333333333297"/>
    <n v="109986.66666666701"/>
    <n v="395952"/>
  </r>
  <r>
    <x v="0"/>
    <x v="0"/>
    <x v="0"/>
    <x v="0"/>
    <x v="0"/>
    <s v="DK1_Medium"/>
    <x v="5"/>
    <s v="GNR_ST_WOODCHI_BP_E-30"/>
    <x v="0"/>
    <x v="21"/>
    <n v="301.33333333333297"/>
    <n v="109986.66666666701"/>
    <n v="395952"/>
  </r>
  <r>
    <x v="0"/>
    <x v="0"/>
    <x v="0"/>
    <x v="0"/>
    <x v="0"/>
    <s v="DK1_Medium"/>
    <x v="5"/>
    <s v="GNR_ST_WOODCHI_BP_E-30"/>
    <x v="0"/>
    <x v="22"/>
    <n v="301.33333333333297"/>
    <n v="109986.66666666701"/>
    <n v="395952"/>
  </r>
  <r>
    <x v="0"/>
    <x v="0"/>
    <x v="0"/>
    <x v="0"/>
    <x v="0"/>
    <s v="DK1_Medium"/>
    <x v="5"/>
    <s v="GNR_ST_WOODCHI_BP_E-30"/>
    <x v="0"/>
    <x v="23"/>
    <n v="301.33333333333297"/>
    <n v="109986.66666666701"/>
    <n v="395952"/>
  </r>
  <r>
    <x v="0"/>
    <x v="0"/>
    <x v="0"/>
    <x v="0"/>
    <x v="0"/>
    <s v="DK1_NoDH"/>
    <x v="6"/>
    <s v="GNR_PV_SUN"/>
    <x v="0"/>
    <x v="7"/>
    <n v="11.5255572480597"/>
    <n v="4206.8283955417901"/>
    <n v="15144.5822239504"/>
  </r>
  <r>
    <x v="0"/>
    <x v="0"/>
    <x v="0"/>
    <x v="0"/>
    <x v="0"/>
    <s v="DK1_NoDH"/>
    <x v="6"/>
    <s v="GNR_PV_SUN"/>
    <x v="0"/>
    <x v="8"/>
    <n v="86.766759180264799"/>
    <n v="31669.867100796699"/>
    <n v="114011.521562868"/>
  </r>
  <r>
    <x v="0"/>
    <x v="0"/>
    <x v="0"/>
    <x v="0"/>
    <x v="0"/>
    <s v="DK1_NoDH"/>
    <x v="6"/>
    <s v="GNR_PV_SUN"/>
    <x v="0"/>
    <x v="9"/>
    <n v="200.426485272669"/>
    <n v="73155.667124524203"/>
    <n v="263360.40164828702"/>
  </r>
  <r>
    <x v="0"/>
    <x v="0"/>
    <x v="0"/>
    <x v="0"/>
    <x v="0"/>
    <s v="DK1_NoDH"/>
    <x v="6"/>
    <s v="GNR_PV_SUN"/>
    <x v="0"/>
    <x v="10"/>
    <n v="305.22039809733502"/>
    <n v="111405.445305527"/>
    <n v="401059.60309989803"/>
  </r>
  <r>
    <x v="0"/>
    <x v="0"/>
    <x v="0"/>
    <x v="0"/>
    <x v="0"/>
    <s v="DK1_NoDH"/>
    <x v="6"/>
    <s v="GNR_PV_SUN"/>
    <x v="0"/>
    <x v="11"/>
    <n v="347.00793129927399"/>
    <n v="126657.89492423501"/>
    <n v="455968.42172724602"/>
  </r>
  <r>
    <x v="0"/>
    <x v="0"/>
    <x v="0"/>
    <x v="0"/>
    <x v="0"/>
    <s v="DK1_NoDH"/>
    <x v="6"/>
    <s v="GNR_PV_SUN"/>
    <x v="0"/>
    <x v="12"/>
    <n v="301.73317821202397"/>
    <n v="110132.610047389"/>
    <n v="396477.39617060003"/>
  </r>
  <r>
    <x v="0"/>
    <x v="0"/>
    <x v="0"/>
    <x v="0"/>
    <x v="0"/>
    <s v="DK1_NoDH"/>
    <x v="6"/>
    <s v="GNR_PV_SUN"/>
    <x v="0"/>
    <x v="13"/>
    <n v="196.348211169509"/>
    <n v="71667.097076870894"/>
    <n v="258001.549476735"/>
  </r>
  <r>
    <x v="0"/>
    <x v="0"/>
    <x v="0"/>
    <x v="0"/>
    <x v="0"/>
    <s v="DK1_NoDH"/>
    <x v="6"/>
    <s v="GNR_PV_SUN"/>
    <x v="0"/>
    <x v="14"/>
    <n v="99.415319442238001"/>
    <n v="36286.591596416903"/>
    <n v="130631.729747101"/>
  </r>
  <r>
    <x v="0"/>
    <x v="0"/>
    <x v="0"/>
    <x v="0"/>
    <x v="0"/>
    <s v="DK1_NoDH"/>
    <x v="6"/>
    <s v="GNR_PV_SUN"/>
    <x v="0"/>
    <x v="15"/>
    <n v="12.944087370897799"/>
    <n v="4724.5918903777001"/>
    <n v="17008.5308053597"/>
  </r>
  <r>
    <x v="0"/>
    <x v="0"/>
    <x v="0"/>
    <x v="0"/>
    <x v="0"/>
    <s v="DK1_NoDH"/>
    <x v="7"/>
    <s v="GNR_ROR_WTR"/>
    <x v="0"/>
    <x v="0"/>
    <n v="3.81847406923176"/>
    <n v="1393.7430352695901"/>
    <n v="5017.4749269705299"/>
  </r>
  <r>
    <x v="0"/>
    <x v="0"/>
    <x v="0"/>
    <x v="0"/>
    <x v="0"/>
    <s v="DK1_NoDH"/>
    <x v="7"/>
    <s v="GNR_ROR_WTR"/>
    <x v="0"/>
    <x v="1"/>
    <n v="3.81847406923176"/>
    <n v="1393.7430352695901"/>
    <n v="5017.4749269705299"/>
  </r>
  <r>
    <x v="0"/>
    <x v="0"/>
    <x v="0"/>
    <x v="0"/>
    <x v="0"/>
    <s v="DK1_NoDH"/>
    <x v="7"/>
    <s v="GNR_ROR_WTR"/>
    <x v="0"/>
    <x v="2"/>
    <n v="3.81847406923176"/>
    <n v="1393.7430352695901"/>
    <n v="5017.4749269705299"/>
  </r>
  <r>
    <x v="0"/>
    <x v="0"/>
    <x v="0"/>
    <x v="0"/>
    <x v="0"/>
    <s v="DK1_NoDH"/>
    <x v="7"/>
    <s v="GNR_ROR_WTR"/>
    <x v="0"/>
    <x v="3"/>
    <n v="3.81847406923176"/>
    <n v="1393.7430352695901"/>
    <n v="5017.4749269705299"/>
  </r>
  <r>
    <x v="0"/>
    <x v="0"/>
    <x v="0"/>
    <x v="0"/>
    <x v="0"/>
    <s v="DK1_NoDH"/>
    <x v="7"/>
    <s v="GNR_ROR_WTR"/>
    <x v="0"/>
    <x v="18"/>
    <n v="3.81847406923176"/>
    <n v="1393.7430352695901"/>
    <n v="5017.4749269705299"/>
  </r>
  <r>
    <x v="0"/>
    <x v="0"/>
    <x v="0"/>
    <x v="0"/>
    <x v="0"/>
    <s v="DK1_NoDH"/>
    <x v="7"/>
    <s v="GNR_ROR_WTR"/>
    <x v="0"/>
    <x v="4"/>
    <n v="3.81847406923176"/>
    <n v="1393.7430352695901"/>
    <n v="5017.4749269705299"/>
  </r>
  <r>
    <x v="0"/>
    <x v="0"/>
    <x v="0"/>
    <x v="0"/>
    <x v="0"/>
    <s v="DK1_NoDH"/>
    <x v="7"/>
    <s v="GNR_ROR_WTR"/>
    <x v="0"/>
    <x v="5"/>
    <n v="3.81847406923176"/>
    <n v="1393.7430352695901"/>
    <n v="5017.4749269705299"/>
  </r>
  <r>
    <x v="0"/>
    <x v="0"/>
    <x v="0"/>
    <x v="0"/>
    <x v="0"/>
    <s v="DK1_NoDH"/>
    <x v="7"/>
    <s v="GNR_ROR_WTR"/>
    <x v="0"/>
    <x v="6"/>
    <n v="3.81847406923176"/>
    <n v="1393.7430352695901"/>
    <n v="5017.4749269705299"/>
  </r>
  <r>
    <x v="0"/>
    <x v="0"/>
    <x v="0"/>
    <x v="0"/>
    <x v="0"/>
    <s v="DK1_NoDH"/>
    <x v="7"/>
    <s v="GNR_ROR_WTR"/>
    <x v="0"/>
    <x v="7"/>
    <n v="3.81847406923176"/>
    <n v="1393.7430352695901"/>
    <n v="5017.4749269705299"/>
  </r>
  <r>
    <x v="0"/>
    <x v="0"/>
    <x v="0"/>
    <x v="0"/>
    <x v="0"/>
    <s v="DK1_NoDH"/>
    <x v="7"/>
    <s v="GNR_ROR_WTR"/>
    <x v="0"/>
    <x v="8"/>
    <n v="3.81847406923176"/>
    <n v="1393.7430352695901"/>
    <n v="5017.4749269705299"/>
  </r>
  <r>
    <x v="0"/>
    <x v="0"/>
    <x v="0"/>
    <x v="0"/>
    <x v="0"/>
    <s v="DK1_NoDH"/>
    <x v="7"/>
    <s v="GNR_ROR_WTR"/>
    <x v="0"/>
    <x v="9"/>
    <n v="3.81847406923176"/>
    <n v="1393.7430352695901"/>
    <n v="5017.4749269705299"/>
  </r>
  <r>
    <x v="0"/>
    <x v="0"/>
    <x v="0"/>
    <x v="0"/>
    <x v="0"/>
    <s v="DK1_NoDH"/>
    <x v="7"/>
    <s v="GNR_ROR_WTR"/>
    <x v="0"/>
    <x v="10"/>
    <n v="3.81847406923176"/>
    <n v="1393.7430352695901"/>
    <n v="5017.4749269705299"/>
  </r>
  <r>
    <x v="0"/>
    <x v="0"/>
    <x v="0"/>
    <x v="0"/>
    <x v="0"/>
    <s v="DK1_NoDH"/>
    <x v="7"/>
    <s v="GNR_ROR_WTR"/>
    <x v="0"/>
    <x v="11"/>
    <n v="3.81847406923176"/>
    <n v="1393.7430352695901"/>
    <n v="5017.4749269705299"/>
  </r>
  <r>
    <x v="0"/>
    <x v="0"/>
    <x v="0"/>
    <x v="0"/>
    <x v="0"/>
    <s v="DK1_NoDH"/>
    <x v="7"/>
    <s v="GNR_ROR_WTR"/>
    <x v="0"/>
    <x v="12"/>
    <n v="3.81847406923176"/>
    <n v="1393.7430352695901"/>
    <n v="5017.4749269705299"/>
  </r>
  <r>
    <x v="0"/>
    <x v="0"/>
    <x v="0"/>
    <x v="0"/>
    <x v="0"/>
    <s v="DK1_NoDH"/>
    <x v="7"/>
    <s v="GNR_ROR_WTR"/>
    <x v="0"/>
    <x v="13"/>
    <n v="3.81847406923176"/>
    <n v="1393.7430352695901"/>
    <n v="5017.4749269705299"/>
  </r>
  <r>
    <x v="0"/>
    <x v="0"/>
    <x v="0"/>
    <x v="0"/>
    <x v="0"/>
    <s v="DK1_NoDH"/>
    <x v="7"/>
    <s v="GNR_ROR_WTR"/>
    <x v="0"/>
    <x v="14"/>
    <n v="3.81847406923176"/>
    <n v="1393.7430352695901"/>
    <n v="5017.4749269705299"/>
  </r>
  <r>
    <x v="0"/>
    <x v="0"/>
    <x v="0"/>
    <x v="0"/>
    <x v="0"/>
    <s v="DK1_NoDH"/>
    <x v="7"/>
    <s v="GNR_ROR_WTR"/>
    <x v="0"/>
    <x v="15"/>
    <n v="3.81847406923176"/>
    <n v="1393.7430352695901"/>
    <n v="5017.4749269705299"/>
  </r>
  <r>
    <x v="0"/>
    <x v="0"/>
    <x v="0"/>
    <x v="0"/>
    <x v="0"/>
    <s v="DK1_NoDH"/>
    <x v="7"/>
    <s v="GNR_ROR_WTR"/>
    <x v="0"/>
    <x v="16"/>
    <n v="3.81847406923176"/>
    <n v="1393.7430352695901"/>
    <n v="5017.4749269705299"/>
  </r>
  <r>
    <x v="0"/>
    <x v="0"/>
    <x v="0"/>
    <x v="0"/>
    <x v="0"/>
    <s v="DK1_NoDH"/>
    <x v="7"/>
    <s v="GNR_ROR_WTR"/>
    <x v="0"/>
    <x v="17"/>
    <n v="3.81847406923176"/>
    <n v="1393.7430352695901"/>
    <n v="5017.4749269705299"/>
  </r>
  <r>
    <x v="0"/>
    <x v="0"/>
    <x v="0"/>
    <x v="0"/>
    <x v="0"/>
    <s v="DK1_NoDH"/>
    <x v="7"/>
    <s v="GNR_ROR_WTR"/>
    <x v="0"/>
    <x v="19"/>
    <n v="3.81847406923176"/>
    <n v="1393.7430352695901"/>
    <n v="5017.4749269705299"/>
  </r>
  <r>
    <x v="0"/>
    <x v="0"/>
    <x v="0"/>
    <x v="0"/>
    <x v="0"/>
    <s v="DK1_NoDH"/>
    <x v="7"/>
    <s v="GNR_ROR_WTR"/>
    <x v="0"/>
    <x v="20"/>
    <n v="3.81847406923176"/>
    <n v="1393.7430352695901"/>
    <n v="5017.4749269705299"/>
  </r>
  <r>
    <x v="0"/>
    <x v="0"/>
    <x v="0"/>
    <x v="0"/>
    <x v="0"/>
    <s v="DK1_NoDH"/>
    <x v="7"/>
    <s v="GNR_ROR_WTR"/>
    <x v="0"/>
    <x v="21"/>
    <n v="3.81847406923176"/>
    <n v="1393.7430352695901"/>
    <n v="5017.4749269705299"/>
  </r>
  <r>
    <x v="0"/>
    <x v="0"/>
    <x v="0"/>
    <x v="0"/>
    <x v="0"/>
    <s v="DK1_NoDH"/>
    <x v="7"/>
    <s v="GNR_ROR_WTR"/>
    <x v="0"/>
    <x v="22"/>
    <n v="3.81847406923176"/>
    <n v="1393.7430352695901"/>
    <n v="5017.4749269705299"/>
  </r>
  <r>
    <x v="0"/>
    <x v="0"/>
    <x v="0"/>
    <x v="0"/>
    <x v="0"/>
    <s v="DK1_NoDH"/>
    <x v="7"/>
    <s v="GNR_ROR_WTR"/>
    <x v="0"/>
    <x v="23"/>
    <n v="3.81847406923176"/>
    <n v="1393.7430352695901"/>
    <n v="5017.4749269705299"/>
  </r>
  <r>
    <x v="0"/>
    <x v="0"/>
    <x v="0"/>
    <x v="0"/>
    <x v="0"/>
    <s v="DK1_NoDH"/>
    <x v="8"/>
    <s v="GNR_WT_WIND_ONS"/>
    <x v="0"/>
    <x v="0"/>
    <n v="30.762561377727302"/>
    <n v="11228.3349028705"/>
    <n v="40422.005650333696"/>
  </r>
  <r>
    <x v="0"/>
    <x v="0"/>
    <x v="0"/>
    <x v="0"/>
    <x v="0"/>
    <s v="DK1_NoDH"/>
    <x v="8"/>
    <s v="GNR_WT_WIND_ONS"/>
    <x v="0"/>
    <x v="1"/>
    <n v="28.087556040533599"/>
    <n v="10251.9579547948"/>
    <n v="36907.048637261199"/>
  </r>
  <r>
    <x v="0"/>
    <x v="0"/>
    <x v="0"/>
    <x v="0"/>
    <x v="0"/>
    <s v="DK1_NoDH"/>
    <x v="8"/>
    <s v="GNR_WT_WIND_ONS"/>
    <x v="0"/>
    <x v="2"/>
    <n v="13.3750266859684"/>
    <n v="4881.8847403784603"/>
    <n v="17574.785065362499"/>
  </r>
  <r>
    <x v="0"/>
    <x v="0"/>
    <x v="0"/>
    <x v="0"/>
    <x v="0"/>
    <s v="DK1_NoDH"/>
    <x v="8"/>
    <s v="GNR_WT_WIND_ONS"/>
    <x v="0"/>
    <x v="3"/>
    <n v="14.7125293545652"/>
    <n v="5370.0732144163103"/>
    <n v="19332.2635718987"/>
  </r>
  <r>
    <x v="0"/>
    <x v="0"/>
    <x v="0"/>
    <x v="0"/>
    <x v="0"/>
    <s v="DK1_NoDH"/>
    <x v="8"/>
    <s v="GNR_WT_WIND_ONS"/>
    <x v="0"/>
    <x v="18"/>
    <n v="26.750053371936801"/>
    <n v="9763.7694807569205"/>
    <n v="35149.570130724896"/>
  </r>
  <r>
    <x v="0"/>
    <x v="0"/>
    <x v="0"/>
    <x v="0"/>
    <x v="0"/>
    <s v="DK1_NoDH"/>
    <x v="8"/>
    <s v="GNR_WT_WIND_ONS"/>
    <x v="0"/>
    <x v="4"/>
    <n v="46.812593400889398"/>
    <n v="17086.5965913246"/>
    <n v="61511.747728768598"/>
  </r>
  <r>
    <x v="0"/>
    <x v="0"/>
    <x v="0"/>
    <x v="0"/>
    <x v="0"/>
    <s v="DK1_NoDH"/>
    <x v="8"/>
    <s v="GNR_WT_WIND_ONS"/>
    <x v="0"/>
    <x v="5"/>
    <n v="94.962689470375594"/>
    <n v="34661.381656687103"/>
    <n v="124780.973964073"/>
  </r>
  <r>
    <x v="0"/>
    <x v="0"/>
    <x v="0"/>
    <x v="0"/>
    <x v="0"/>
    <s v="DK1_NoDH"/>
    <x v="8"/>
    <s v="GNR_WT_WIND_ONS"/>
    <x v="0"/>
    <x v="6"/>
    <n v="197.950394952332"/>
    <n v="72251.8941576012"/>
    <n v="260106.818967364"/>
  </r>
  <r>
    <x v="0"/>
    <x v="0"/>
    <x v="0"/>
    <x v="0"/>
    <x v="0"/>
    <s v="DK1_NoDH"/>
    <x v="8"/>
    <s v="GNR_WT_WIND_ONS"/>
    <x v="0"/>
    <x v="7"/>
    <n v="327.68815380622601"/>
    <n v="119606.17613927199"/>
    <n v="430582.23410137999"/>
  </r>
  <r>
    <x v="0"/>
    <x v="0"/>
    <x v="0"/>
    <x v="0"/>
    <x v="0"/>
    <s v="DK1_NoDH"/>
    <x v="8"/>
    <s v="GNR_WT_WIND_ONS"/>
    <x v="0"/>
    <x v="8"/>
    <n v="484.17596603205601"/>
    <n v="176724.2276017"/>
    <n v="636207.21936612099"/>
  </r>
  <r>
    <x v="0"/>
    <x v="0"/>
    <x v="0"/>
    <x v="0"/>
    <x v="0"/>
    <s v="DK1_NoDH"/>
    <x v="8"/>
    <s v="GNR_WT_WIND_ONS"/>
    <x v="0"/>
    <x v="9"/>
    <n v="643.33878359507901"/>
    <n v="234818.65601220401"/>
    <n v="845347.16164393397"/>
  </r>
  <r>
    <x v="0"/>
    <x v="0"/>
    <x v="0"/>
    <x v="0"/>
    <x v="0"/>
    <s v="DK1_NoDH"/>
    <x v="8"/>
    <s v="GNR_WT_WIND_ONS"/>
    <x v="0"/>
    <x v="10"/>
    <n v="787.78907180353804"/>
    <n v="287543.01120829099"/>
    <n v="1035154.84034985"/>
  </r>
  <r>
    <x v="0"/>
    <x v="0"/>
    <x v="0"/>
    <x v="0"/>
    <x v="0"/>
    <s v="DK1_NoDH"/>
    <x v="8"/>
    <s v="GNR_WT_WIND_ONS"/>
    <x v="0"/>
    <x v="11"/>
    <n v="872.05173992513903"/>
    <n v="318298.885072676"/>
    <n v="1145875.98626163"/>
  </r>
  <r>
    <x v="0"/>
    <x v="0"/>
    <x v="0"/>
    <x v="0"/>
    <x v="0"/>
    <s v="DK1_NoDH"/>
    <x v="8"/>
    <s v="GNR_WT_WIND_ONS"/>
    <x v="0"/>
    <x v="12"/>
    <n v="1031.2145574881599"/>
    <n v="376393.31348317902"/>
    <n v="1355015.92853945"/>
  </r>
  <r>
    <x v="0"/>
    <x v="0"/>
    <x v="0"/>
    <x v="0"/>
    <x v="0"/>
    <s v="DK1_NoDH"/>
    <x v="8"/>
    <s v="GNR_WT_WIND_ONS"/>
    <x v="0"/>
    <x v="13"/>
    <n v="1172.98984035943"/>
    <n v="428141.29173119098"/>
    <n v="1541308.6502322899"/>
  </r>
  <r>
    <x v="0"/>
    <x v="0"/>
    <x v="0"/>
    <x v="0"/>
    <x v="0"/>
    <s v="DK1_NoDH"/>
    <x v="8"/>
    <s v="GNR_WT_WIND_ONS"/>
    <x v="0"/>
    <x v="14"/>
    <n v="1404.37780202668"/>
    <n v="512597.89773973898"/>
    <n v="1845352.43186306"/>
  </r>
  <r>
    <x v="0"/>
    <x v="0"/>
    <x v="0"/>
    <x v="0"/>
    <x v="0"/>
    <s v="DK1_NoDH"/>
    <x v="8"/>
    <s v="GNR_WT_WIND_ONS"/>
    <x v="0"/>
    <x v="15"/>
    <n v="1746.7784851874701"/>
    <n v="637574.14709342702"/>
    <n v="2295266.9295363398"/>
  </r>
  <r>
    <x v="0"/>
    <x v="0"/>
    <x v="0"/>
    <x v="0"/>
    <x v="0"/>
    <s v="DK1_NoDH"/>
    <x v="8"/>
    <s v="GNR_WT_WIND_ONS"/>
    <x v="0"/>
    <x v="16"/>
    <n v="2201.5293925104002"/>
    <n v="803558.22826629505"/>
    <n v="2892809.6217586598"/>
  </r>
  <r>
    <x v="0"/>
    <x v="0"/>
    <x v="0"/>
    <x v="0"/>
    <x v="0"/>
    <s v="DK1_NoDH"/>
    <x v="8"/>
    <s v="GNR_WT_WIND_ONS"/>
    <x v="0"/>
    <x v="17"/>
    <n v="2720.4804279259702"/>
    <n v="992975.35619297903"/>
    <n v="3574711.2822947302"/>
  </r>
  <r>
    <x v="0"/>
    <x v="0"/>
    <x v="0"/>
    <x v="0"/>
    <x v="0"/>
    <s v="DK1_NoDH"/>
    <x v="8"/>
    <s v="GNR_WT_WIND_ONS"/>
    <x v="0"/>
    <x v="19"/>
    <n v="2931.8058495642699"/>
    <n v="1070109.13509096"/>
    <n v="3852392.8863274502"/>
  </r>
  <r>
    <x v="0"/>
    <x v="0"/>
    <x v="0"/>
    <x v="0"/>
    <x v="0"/>
    <s v="DK1_NoDH"/>
    <x v="8"/>
    <s v="GNR_WT_WIND_ONS"/>
    <x v="0"/>
    <x v="20"/>
    <n v="2894.3557748435601"/>
    <n v="1056439.8578178999"/>
    <n v="3803183.4881444401"/>
  </r>
  <r>
    <x v="0"/>
    <x v="0"/>
    <x v="0"/>
    <x v="0"/>
    <x v="0"/>
    <s v="DK1_NoDH"/>
    <x v="8"/>
    <s v="GNR_WT_WIND_ONS"/>
    <x v="0"/>
    <x v="21"/>
    <n v="2910.40580686672"/>
    <n v="1062298.11950635"/>
    <n v="3824273.2302228701"/>
  </r>
  <r>
    <x v="0"/>
    <x v="0"/>
    <x v="0"/>
    <x v="0"/>
    <x v="0"/>
    <s v="DK1_NoDH"/>
    <x v="8"/>
    <s v="GNR_WT_WIND_ONS"/>
    <x v="0"/>
    <x v="22"/>
    <n v="2982.6309509709499"/>
    <n v="1088660.2971043999"/>
    <n v="3919177.0695758299"/>
  </r>
  <r>
    <x v="0"/>
    <x v="0"/>
    <x v="0"/>
    <x v="0"/>
    <x v="0"/>
    <s v="DK1_NoDH"/>
    <x v="8"/>
    <s v="GNR_WT_WIND_ONS"/>
    <x v="0"/>
    <x v="23"/>
    <n v="3001.3559883313101"/>
    <n v="1095494.93574093"/>
    <n v="3943781.7686673398"/>
  </r>
  <r>
    <x v="0"/>
    <x v="0"/>
    <x v="0"/>
    <x v="0"/>
    <x v="0"/>
    <s v="DK1_Offshore"/>
    <x v="8"/>
    <s v="GNR_WT_WIND_OFF"/>
    <x v="0"/>
    <x v="0"/>
    <n v="10.826956579742401"/>
    <n v="3951.8391516059701"/>
    <n v="14226.6209457815"/>
  </r>
  <r>
    <x v="0"/>
    <x v="0"/>
    <x v="0"/>
    <x v="0"/>
    <x v="0"/>
    <s v="DK1_Offshore"/>
    <x v="8"/>
    <s v="GNR_WT_WIND_OFF"/>
    <x v="0"/>
    <x v="1"/>
    <n v="9.88548209454739"/>
    <n v="3608.2009645098001"/>
    <n v="12989.5234722353"/>
  </r>
  <r>
    <x v="0"/>
    <x v="0"/>
    <x v="0"/>
    <x v="0"/>
    <x v="0"/>
    <s v="DK1_Offshore"/>
    <x v="8"/>
    <s v="GNR_WT_WIND_OFF"/>
    <x v="0"/>
    <x v="2"/>
    <n v="4.7073724259749499"/>
    <n v="1718.1909354808599"/>
    <n v="6185.4873677310798"/>
  </r>
  <r>
    <x v="0"/>
    <x v="0"/>
    <x v="0"/>
    <x v="0"/>
    <x v="0"/>
    <s v="DK1_Offshore"/>
    <x v="8"/>
    <s v="GNR_WT_WIND_OFF"/>
    <x v="0"/>
    <x v="3"/>
    <n v="5.1781096685724401"/>
    <n v="1890.0100290289399"/>
    <n v="6804.03610450419"/>
  </r>
  <r>
    <x v="0"/>
    <x v="0"/>
    <x v="0"/>
    <x v="0"/>
    <x v="0"/>
    <s v="DK1_Offshore"/>
    <x v="8"/>
    <s v="GNR_WT_WIND_OFF"/>
    <x v="0"/>
    <x v="18"/>
    <n v="9.4147448519498997"/>
    <n v="3436.3818709617099"/>
    <n v="12370.9747354622"/>
  </r>
  <r>
    <x v="0"/>
    <x v="0"/>
    <x v="0"/>
    <x v="0"/>
    <x v="0"/>
    <s v="DK1_Offshore"/>
    <x v="8"/>
    <s v="GNR_WT_WIND_OFF"/>
    <x v="0"/>
    <x v="4"/>
    <n v="16.475803490912298"/>
    <n v="6013.668274183"/>
    <n v="21649.2057870588"/>
  </r>
  <r>
    <x v="0"/>
    <x v="0"/>
    <x v="0"/>
    <x v="0"/>
    <x v="0"/>
    <s v="DK1_Offshore"/>
    <x v="8"/>
    <s v="GNR_WT_WIND_OFF"/>
    <x v="0"/>
    <x v="5"/>
    <n v="33.422344224422098"/>
    <n v="12199.1556419141"/>
    <n v="43916.960310890703"/>
  </r>
  <r>
    <x v="0"/>
    <x v="0"/>
    <x v="0"/>
    <x v="0"/>
    <x v="0"/>
    <s v="DK1_Offshore"/>
    <x v="8"/>
    <s v="GNR_WT_WIND_OFF"/>
    <x v="0"/>
    <x v="6"/>
    <n v="69.669111904429201"/>
    <n v="25429.2258451167"/>
    <n v="91545.21304242"/>
  </r>
  <r>
    <x v="0"/>
    <x v="0"/>
    <x v="0"/>
    <x v="0"/>
    <x v="0"/>
    <s v="DK1_Offshore"/>
    <x v="8"/>
    <s v="GNR_WT_WIND_OFF"/>
    <x v="0"/>
    <x v="7"/>
    <n v="115.330624436386"/>
    <n v="42095.677919280999"/>
    <n v="151544.440509412"/>
  </r>
  <r>
    <x v="0"/>
    <x v="0"/>
    <x v="0"/>
    <x v="0"/>
    <x v="0"/>
    <s v="DK1_Offshore"/>
    <x v="8"/>
    <s v="GNR_WT_WIND_OFF"/>
    <x v="0"/>
    <x v="8"/>
    <n v="170.40688182029299"/>
    <n v="62198.511864407003"/>
    <n v="223914.64271186499"/>
  </r>
  <r>
    <x v="0"/>
    <x v="0"/>
    <x v="0"/>
    <x v="0"/>
    <x v="0"/>
    <s v="DK1_Offshore"/>
    <x v="8"/>
    <s v="GNR_WT_WIND_OFF"/>
    <x v="0"/>
    <x v="9"/>
    <n v="226.42461368939499"/>
    <n v="82644.983996629206"/>
    <n v="297521.94238786498"/>
  </r>
  <r>
    <x v="0"/>
    <x v="0"/>
    <x v="0"/>
    <x v="0"/>
    <x v="0"/>
    <s v="DK1_Offshore"/>
    <x v="8"/>
    <s v="GNR_WT_WIND_OFF"/>
    <x v="0"/>
    <x v="10"/>
    <n v="277.26423588992498"/>
    <n v="101201.446099822"/>
    <n v="364325.20595936099"/>
  </r>
  <r>
    <x v="0"/>
    <x v="0"/>
    <x v="0"/>
    <x v="0"/>
    <x v="0"/>
    <s v="DK1_Offshore"/>
    <x v="8"/>
    <s v="GNR_WT_WIND_OFF"/>
    <x v="0"/>
    <x v="11"/>
    <n v="306.920682173567"/>
    <n v="112026.048993352"/>
    <n v="403293.77637606702"/>
  </r>
  <r>
    <x v="0"/>
    <x v="0"/>
    <x v="0"/>
    <x v="0"/>
    <x v="0"/>
    <s v="DK1_Offshore"/>
    <x v="8"/>
    <s v="GNR_WT_WIND_OFF"/>
    <x v="0"/>
    <x v="12"/>
    <n v="362.93841404266902"/>
    <n v="132472.52112557401"/>
    <n v="476901.076052066"/>
  </r>
  <r>
    <x v="0"/>
    <x v="0"/>
    <x v="0"/>
    <x v="0"/>
    <x v="0"/>
    <s v="DK1_Offshore"/>
    <x v="8"/>
    <s v="GNR_WT_WIND_OFF"/>
    <x v="0"/>
    <x v="13"/>
    <n v="412.83656175800297"/>
    <n v="150685.34504167101"/>
    <n v="542467.24215001601"/>
  </r>
  <r>
    <x v="0"/>
    <x v="0"/>
    <x v="0"/>
    <x v="0"/>
    <x v="0"/>
    <s v="DK1_Offshore"/>
    <x v="8"/>
    <s v="GNR_WT_WIND_OFF"/>
    <x v="0"/>
    <x v="14"/>
    <n v="494.27410472737"/>
    <n v="180410.04822549"/>
    <n v="649476.17361176398"/>
  </r>
  <r>
    <x v="0"/>
    <x v="0"/>
    <x v="0"/>
    <x v="0"/>
    <x v="0"/>
    <s v="DK1_Offshore"/>
    <x v="8"/>
    <s v="GNR_WT_WIND_OFF"/>
    <x v="0"/>
    <x v="15"/>
    <n v="614.78283883232803"/>
    <n v="224395.73617379999"/>
    <n v="807824.65022567997"/>
  </r>
  <r>
    <x v="0"/>
    <x v="0"/>
    <x v="0"/>
    <x v="0"/>
    <x v="0"/>
    <s v="DK1_Offshore"/>
    <x v="8"/>
    <s v="GNR_WT_WIND_OFF"/>
    <x v="0"/>
    <x v="16"/>
    <n v="774.83350131547695"/>
    <n v="282814.22798014898"/>
    <n v="1018131.22072854"/>
  </r>
  <r>
    <x v="0"/>
    <x v="0"/>
    <x v="0"/>
    <x v="0"/>
    <x v="0"/>
    <s v="DK1_Offshore"/>
    <x v="8"/>
    <s v="GNR_WT_WIND_OFF"/>
    <x v="0"/>
    <x v="17"/>
    <n v="957.47955144330501"/>
    <n v="349480.03627680597"/>
    <n v="1258128.1305964999"/>
  </r>
  <r>
    <x v="0"/>
    <x v="0"/>
    <x v="0"/>
    <x v="0"/>
    <x v="0"/>
    <s v="DK1_Offshore"/>
    <x v="8"/>
    <s v="GNR_WT_WIND_OFF"/>
    <x v="0"/>
    <x v="19"/>
    <n v="1031.8560357737099"/>
    <n v="376627.45305740403"/>
    <n v="1355858.8310066501"/>
  </r>
  <r>
    <x v="0"/>
    <x v="0"/>
    <x v="0"/>
    <x v="0"/>
    <x v="0"/>
    <s v="DK1_Offshore"/>
    <x v="8"/>
    <s v="GNR_WT_WIND_OFF"/>
    <x v="0"/>
    <x v="20"/>
    <n v="1018.67539298098"/>
    <n v="371816.51843805698"/>
    <n v="1338539.4663770101"/>
  </r>
  <r>
    <x v="0"/>
    <x v="0"/>
    <x v="0"/>
    <x v="0"/>
    <x v="0"/>
    <s v="DK1_Offshore"/>
    <x v="8"/>
    <s v="GNR_WT_WIND_OFF"/>
    <x v="0"/>
    <x v="21"/>
    <n v="1024.32423989215"/>
    <n v="373878.34756063402"/>
    <n v="1345962.0512182801"/>
  </r>
  <r>
    <x v="0"/>
    <x v="0"/>
    <x v="0"/>
    <x v="0"/>
    <x v="0"/>
    <s v="DK1_Offshore"/>
    <x v="8"/>
    <s v="GNR_WT_WIND_OFF"/>
    <x v="0"/>
    <x v="22"/>
    <n v="1049.7440509924099"/>
    <n v="383156.57861223101"/>
    <n v="1379363.68300403"/>
  </r>
  <r>
    <x v="0"/>
    <x v="0"/>
    <x v="0"/>
    <x v="0"/>
    <x v="0"/>
    <s v="DK1_Offshore"/>
    <x v="8"/>
    <s v="GNR_WT_WIND_OFF"/>
    <x v="0"/>
    <x v="23"/>
    <n v="1056.3343723887799"/>
    <n v="385562.04592190398"/>
    <n v="1388023.3653188599"/>
  </r>
  <r>
    <x v="0"/>
    <x v="0"/>
    <x v="0"/>
    <x v="0"/>
    <x v="0"/>
    <s v="DK1_Rural"/>
    <x v="0"/>
    <s v="GNR_BO_COAL_E-91"/>
    <x v="0"/>
    <x v="0"/>
    <n v="10.989010989011"/>
    <n v="4010.9890109890098"/>
    <n v="14439.5604395604"/>
  </r>
  <r>
    <x v="0"/>
    <x v="0"/>
    <x v="0"/>
    <x v="0"/>
    <x v="0"/>
    <s v="DK1_Rural"/>
    <x v="0"/>
    <s v="GNR_BO_COAL_E-91"/>
    <x v="0"/>
    <x v="1"/>
    <n v="10.989010989011"/>
    <n v="4010.9890109890098"/>
    <n v="14439.5604395604"/>
  </r>
  <r>
    <x v="0"/>
    <x v="0"/>
    <x v="0"/>
    <x v="0"/>
    <x v="0"/>
    <s v="DK1_Rural"/>
    <x v="0"/>
    <s v="GNR_BO_COAL_E-91"/>
    <x v="0"/>
    <x v="2"/>
    <n v="10.989010989011"/>
    <n v="4010.9890109890098"/>
    <n v="14439.5604395604"/>
  </r>
  <r>
    <x v="0"/>
    <x v="0"/>
    <x v="0"/>
    <x v="0"/>
    <x v="0"/>
    <s v="DK1_Rural"/>
    <x v="0"/>
    <s v="GNR_BO_COAL_E-91"/>
    <x v="0"/>
    <x v="3"/>
    <n v="10.989010989011"/>
    <n v="4010.9890109890098"/>
    <n v="14439.5604395604"/>
  </r>
  <r>
    <x v="0"/>
    <x v="0"/>
    <x v="0"/>
    <x v="0"/>
    <x v="0"/>
    <s v="DK1_Rural"/>
    <x v="0"/>
    <s v="GNR_BO_COAL_E-91"/>
    <x v="0"/>
    <x v="18"/>
    <n v="10.989010989011"/>
    <n v="4010.9890109890098"/>
    <n v="14439.5604395604"/>
  </r>
  <r>
    <x v="0"/>
    <x v="0"/>
    <x v="0"/>
    <x v="0"/>
    <x v="0"/>
    <s v="DK1_Rural"/>
    <x v="0"/>
    <s v="GNR_BO_COAL_E-91"/>
    <x v="0"/>
    <x v="4"/>
    <n v="10.989010989011"/>
    <n v="4010.9890109890098"/>
    <n v="14439.5604395604"/>
  </r>
  <r>
    <x v="0"/>
    <x v="0"/>
    <x v="0"/>
    <x v="0"/>
    <x v="0"/>
    <s v="DK1_Rural"/>
    <x v="0"/>
    <s v="GNR_BO_COAL_E-91"/>
    <x v="0"/>
    <x v="5"/>
    <n v="10.989010989011"/>
    <n v="4010.9890109890098"/>
    <n v="14439.5604395604"/>
  </r>
  <r>
    <x v="0"/>
    <x v="0"/>
    <x v="0"/>
    <x v="0"/>
    <x v="0"/>
    <s v="DK1_Rural"/>
    <x v="0"/>
    <s v="GNR_BO_COAL_E-91"/>
    <x v="0"/>
    <x v="6"/>
    <n v="10.989010989011"/>
    <n v="4010.9890109890098"/>
    <n v="14439.5604395604"/>
  </r>
  <r>
    <x v="0"/>
    <x v="0"/>
    <x v="0"/>
    <x v="0"/>
    <x v="0"/>
    <s v="DK1_Rural"/>
    <x v="0"/>
    <s v="GNR_BO_COAL_E-91"/>
    <x v="0"/>
    <x v="7"/>
    <n v="10.989010989011"/>
    <n v="4010.9890109890098"/>
    <n v="14439.5604395604"/>
  </r>
  <r>
    <x v="0"/>
    <x v="0"/>
    <x v="0"/>
    <x v="0"/>
    <x v="0"/>
    <s v="DK1_Rural"/>
    <x v="0"/>
    <s v="GNR_BO_COAL_E-91"/>
    <x v="0"/>
    <x v="8"/>
    <n v="10.989010989011"/>
    <n v="4010.9890109890098"/>
    <n v="14439.5604395604"/>
  </r>
  <r>
    <x v="0"/>
    <x v="0"/>
    <x v="0"/>
    <x v="0"/>
    <x v="0"/>
    <s v="DK1_Rural"/>
    <x v="0"/>
    <s v="GNR_BO_COAL_E-91"/>
    <x v="0"/>
    <x v="9"/>
    <n v="10.989010989011"/>
    <n v="4010.9890109890098"/>
    <n v="14439.5604395604"/>
  </r>
  <r>
    <x v="0"/>
    <x v="0"/>
    <x v="0"/>
    <x v="0"/>
    <x v="0"/>
    <s v="DK1_Rural"/>
    <x v="0"/>
    <s v="GNR_BO_COAL_E-91"/>
    <x v="0"/>
    <x v="10"/>
    <n v="10.989010989011"/>
    <n v="4010.9890109890098"/>
    <n v="14439.5604395604"/>
  </r>
  <r>
    <x v="0"/>
    <x v="0"/>
    <x v="0"/>
    <x v="0"/>
    <x v="0"/>
    <s v="DK1_Rural"/>
    <x v="0"/>
    <s v="GNR_BO_COAL_E-91"/>
    <x v="0"/>
    <x v="11"/>
    <n v="10.989010989011"/>
    <n v="4010.9890109890098"/>
    <n v="14439.5604395604"/>
  </r>
  <r>
    <x v="0"/>
    <x v="0"/>
    <x v="0"/>
    <x v="0"/>
    <x v="0"/>
    <s v="DK1_Rural"/>
    <x v="0"/>
    <s v="GNR_BO_COAL_E-91"/>
    <x v="0"/>
    <x v="12"/>
    <n v="10.989010989011"/>
    <n v="4010.9890109890098"/>
    <n v="14439.5604395604"/>
  </r>
  <r>
    <x v="0"/>
    <x v="0"/>
    <x v="0"/>
    <x v="0"/>
    <x v="0"/>
    <s v="DK1_Rural"/>
    <x v="0"/>
    <s v="GNR_BO_COAL_E-91"/>
    <x v="0"/>
    <x v="13"/>
    <n v="10.989010989011"/>
    <n v="4010.9890109890098"/>
    <n v="14439.5604395604"/>
  </r>
  <r>
    <x v="0"/>
    <x v="0"/>
    <x v="0"/>
    <x v="0"/>
    <x v="0"/>
    <s v="DK1_Rural"/>
    <x v="0"/>
    <s v="GNR_BO_COAL_E-91"/>
    <x v="0"/>
    <x v="14"/>
    <n v="10.989010989011"/>
    <n v="4010.9890109890098"/>
    <n v="14439.5604395604"/>
  </r>
  <r>
    <x v="0"/>
    <x v="0"/>
    <x v="0"/>
    <x v="0"/>
    <x v="0"/>
    <s v="DK1_Rural"/>
    <x v="0"/>
    <s v="GNR_BO_COAL_E-91"/>
    <x v="0"/>
    <x v="15"/>
    <n v="10.989010989011"/>
    <n v="4010.9890109890098"/>
    <n v="14439.5604395604"/>
  </r>
  <r>
    <x v="0"/>
    <x v="0"/>
    <x v="0"/>
    <x v="0"/>
    <x v="0"/>
    <s v="DK1_Rural"/>
    <x v="0"/>
    <s v="GNR_BO_COAL_E-91"/>
    <x v="0"/>
    <x v="16"/>
    <n v="10.989010989011"/>
    <n v="4010.9890109890098"/>
    <n v="14439.5604395604"/>
  </r>
  <r>
    <x v="0"/>
    <x v="0"/>
    <x v="0"/>
    <x v="0"/>
    <x v="0"/>
    <s v="DK1_Rural"/>
    <x v="0"/>
    <s v="GNR_BO_COAL_E-91"/>
    <x v="0"/>
    <x v="17"/>
    <n v="10.989010989011"/>
    <n v="4010.9890109890098"/>
    <n v="14439.5604395604"/>
  </r>
  <r>
    <x v="0"/>
    <x v="0"/>
    <x v="0"/>
    <x v="0"/>
    <x v="0"/>
    <s v="DK1_Rural"/>
    <x v="0"/>
    <s v="GNR_BO_COAL_E-91"/>
    <x v="0"/>
    <x v="19"/>
    <n v="10.989010989011"/>
    <n v="4010.9890109890098"/>
    <n v="14439.5604395604"/>
  </r>
  <r>
    <x v="0"/>
    <x v="0"/>
    <x v="0"/>
    <x v="0"/>
    <x v="0"/>
    <s v="DK1_Rural"/>
    <x v="0"/>
    <s v="GNR_BO_COAL_E-91"/>
    <x v="0"/>
    <x v="20"/>
    <n v="10.989010989011"/>
    <n v="4010.9890109890098"/>
    <n v="14439.5604395604"/>
  </r>
  <r>
    <x v="0"/>
    <x v="0"/>
    <x v="0"/>
    <x v="0"/>
    <x v="0"/>
    <s v="DK1_Rural"/>
    <x v="0"/>
    <s v="GNR_BO_COAL_E-91"/>
    <x v="0"/>
    <x v="21"/>
    <n v="10.989010989011"/>
    <n v="4010.9890109890098"/>
    <n v="14439.5604395604"/>
  </r>
  <r>
    <x v="0"/>
    <x v="0"/>
    <x v="0"/>
    <x v="0"/>
    <x v="0"/>
    <s v="DK1_Rural"/>
    <x v="0"/>
    <s v="GNR_BO_COAL_E-91"/>
    <x v="0"/>
    <x v="22"/>
    <n v="10.989010989011"/>
    <n v="4010.9890109890098"/>
    <n v="14439.5604395604"/>
  </r>
  <r>
    <x v="0"/>
    <x v="0"/>
    <x v="0"/>
    <x v="0"/>
    <x v="0"/>
    <s v="DK1_Rural"/>
    <x v="0"/>
    <s v="GNR_BO_COAL_E-91"/>
    <x v="0"/>
    <x v="23"/>
    <n v="10.989010989011"/>
    <n v="4010.9890109890098"/>
    <n v="14439.5604395604"/>
  </r>
  <r>
    <x v="0"/>
    <x v="0"/>
    <x v="0"/>
    <x v="0"/>
    <x v="0"/>
    <s v="DK1_Rural"/>
    <x v="4"/>
    <s v="GNR_BO_STRW_E-100"/>
    <x v="0"/>
    <x v="0"/>
    <n v="133.37"/>
    <n v="48680.05"/>
    <n v="175248.18"/>
  </r>
  <r>
    <x v="0"/>
    <x v="0"/>
    <x v="0"/>
    <x v="0"/>
    <x v="0"/>
    <s v="DK1_Rural"/>
    <x v="4"/>
    <s v="GNR_BO_STRW_E-100"/>
    <x v="0"/>
    <x v="1"/>
    <n v="133.37"/>
    <n v="48680.05"/>
    <n v="175248.18"/>
  </r>
  <r>
    <x v="0"/>
    <x v="0"/>
    <x v="0"/>
    <x v="0"/>
    <x v="0"/>
    <s v="DK1_Rural"/>
    <x v="4"/>
    <s v="GNR_BO_STRW_E-100"/>
    <x v="0"/>
    <x v="2"/>
    <n v="133.37"/>
    <n v="48680.05"/>
    <n v="175248.18"/>
  </r>
  <r>
    <x v="0"/>
    <x v="0"/>
    <x v="0"/>
    <x v="0"/>
    <x v="0"/>
    <s v="DK1_Rural"/>
    <x v="4"/>
    <s v="GNR_BO_STRW_E-100"/>
    <x v="0"/>
    <x v="3"/>
    <n v="133.37"/>
    <n v="48680.05"/>
    <n v="175248.18"/>
  </r>
  <r>
    <x v="0"/>
    <x v="0"/>
    <x v="0"/>
    <x v="0"/>
    <x v="0"/>
    <s v="DK1_Rural"/>
    <x v="4"/>
    <s v="GNR_BO_STRW_E-100"/>
    <x v="0"/>
    <x v="18"/>
    <n v="133.37"/>
    <n v="48680.05"/>
    <n v="175248.18"/>
  </r>
  <r>
    <x v="0"/>
    <x v="0"/>
    <x v="0"/>
    <x v="0"/>
    <x v="0"/>
    <s v="DK1_Rural"/>
    <x v="4"/>
    <s v="GNR_BO_STRW_E-100"/>
    <x v="0"/>
    <x v="4"/>
    <n v="133.37"/>
    <n v="48680.05"/>
    <n v="175248.18"/>
  </r>
  <r>
    <x v="0"/>
    <x v="0"/>
    <x v="0"/>
    <x v="0"/>
    <x v="0"/>
    <s v="DK1_Rural"/>
    <x v="4"/>
    <s v="GNR_BO_STRW_E-100"/>
    <x v="0"/>
    <x v="5"/>
    <n v="133.37"/>
    <n v="48680.05"/>
    <n v="175248.18"/>
  </r>
  <r>
    <x v="0"/>
    <x v="0"/>
    <x v="0"/>
    <x v="0"/>
    <x v="0"/>
    <s v="DK1_Rural"/>
    <x v="4"/>
    <s v="GNR_BO_STRW_E-100"/>
    <x v="0"/>
    <x v="6"/>
    <n v="133.37"/>
    <n v="48680.05"/>
    <n v="175248.18"/>
  </r>
  <r>
    <x v="0"/>
    <x v="0"/>
    <x v="0"/>
    <x v="0"/>
    <x v="0"/>
    <s v="DK1_Rural"/>
    <x v="4"/>
    <s v="GNR_BO_STRW_E-100"/>
    <x v="0"/>
    <x v="7"/>
    <n v="133.37"/>
    <n v="48680.05"/>
    <n v="175248.18"/>
  </r>
  <r>
    <x v="0"/>
    <x v="0"/>
    <x v="0"/>
    <x v="0"/>
    <x v="0"/>
    <s v="DK1_Rural"/>
    <x v="4"/>
    <s v="GNR_BO_STRW_E-100"/>
    <x v="0"/>
    <x v="8"/>
    <n v="133.37"/>
    <n v="48680.05"/>
    <n v="175248.18"/>
  </r>
  <r>
    <x v="0"/>
    <x v="0"/>
    <x v="0"/>
    <x v="0"/>
    <x v="0"/>
    <s v="DK1_Rural"/>
    <x v="4"/>
    <s v="GNR_BO_STRW_E-100"/>
    <x v="0"/>
    <x v="9"/>
    <n v="133.37"/>
    <n v="48680.05"/>
    <n v="175248.18"/>
  </r>
  <r>
    <x v="0"/>
    <x v="0"/>
    <x v="0"/>
    <x v="0"/>
    <x v="0"/>
    <s v="DK1_Rural"/>
    <x v="4"/>
    <s v="GNR_BO_STRW_E-100"/>
    <x v="0"/>
    <x v="10"/>
    <n v="133.37"/>
    <n v="48680.05"/>
    <n v="175248.18"/>
  </r>
  <r>
    <x v="0"/>
    <x v="0"/>
    <x v="0"/>
    <x v="0"/>
    <x v="0"/>
    <s v="DK1_Rural"/>
    <x v="4"/>
    <s v="GNR_BO_STRW_E-100"/>
    <x v="0"/>
    <x v="11"/>
    <n v="133.37"/>
    <n v="48680.05"/>
    <n v="175248.18"/>
  </r>
  <r>
    <x v="0"/>
    <x v="0"/>
    <x v="0"/>
    <x v="0"/>
    <x v="0"/>
    <s v="DK1_Rural"/>
    <x v="4"/>
    <s v="GNR_BO_STRW_E-100"/>
    <x v="0"/>
    <x v="12"/>
    <n v="133.37"/>
    <n v="48680.05"/>
    <n v="175248.18"/>
  </r>
  <r>
    <x v="0"/>
    <x v="0"/>
    <x v="0"/>
    <x v="0"/>
    <x v="0"/>
    <s v="DK1_Rural"/>
    <x v="4"/>
    <s v="GNR_BO_STRW_E-100"/>
    <x v="0"/>
    <x v="13"/>
    <n v="133.37"/>
    <n v="48680.05"/>
    <n v="175248.18"/>
  </r>
  <r>
    <x v="0"/>
    <x v="0"/>
    <x v="0"/>
    <x v="0"/>
    <x v="0"/>
    <s v="DK1_Rural"/>
    <x v="4"/>
    <s v="GNR_BO_STRW_E-100"/>
    <x v="0"/>
    <x v="14"/>
    <n v="133.37"/>
    <n v="48680.05"/>
    <n v="175248.18"/>
  </r>
  <r>
    <x v="0"/>
    <x v="0"/>
    <x v="0"/>
    <x v="0"/>
    <x v="0"/>
    <s v="DK1_Rural"/>
    <x v="4"/>
    <s v="GNR_BO_STRW_E-100"/>
    <x v="0"/>
    <x v="15"/>
    <n v="133.37"/>
    <n v="48680.05"/>
    <n v="175248.18"/>
  </r>
  <r>
    <x v="0"/>
    <x v="0"/>
    <x v="0"/>
    <x v="0"/>
    <x v="0"/>
    <s v="DK1_Rural"/>
    <x v="4"/>
    <s v="GNR_BO_STRW_E-100"/>
    <x v="0"/>
    <x v="16"/>
    <n v="133.37"/>
    <n v="48680.05"/>
    <n v="175248.18"/>
  </r>
  <r>
    <x v="0"/>
    <x v="0"/>
    <x v="0"/>
    <x v="0"/>
    <x v="0"/>
    <s v="DK1_Rural"/>
    <x v="4"/>
    <s v="GNR_BO_STRW_E-100"/>
    <x v="0"/>
    <x v="17"/>
    <n v="133.37"/>
    <n v="48680.05"/>
    <n v="175248.18"/>
  </r>
  <r>
    <x v="0"/>
    <x v="0"/>
    <x v="0"/>
    <x v="0"/>
    <x v="0"/>
    <s v="DK1_Rural"/>
    <x v="4"/>
    <s v="GNR_BO_STRW_E-100"/>
    <x v="0"/>
    <x v="19"/>
    <n v="133.37"/>
    <n v="48680.05"/>
    <n v="175248.18"/>
  </r>
  <r>
    <x v="0"/>
    <x v="0"/>
    <x v="0"/>
    <x v="0"/>
    <x v="0"/>
    <s v="DK1_Rural"/>
    <x v="4"/>
    <s v="GNR_BO_STRW_E-100"/>
    <x v="0"/>
    <x v="20"/>
    <n v="133.37"/>
    <n v="48680.05"/>
    <n v="175248.18"/>
  </r>
  <r>
    <x v="0"/>
    <x v="0"/>
    <x v="0"/>
    <x v="0"/>
    <x v="0"/>
    <s v="DK1_Rural"/>
    <x v="4"/>
    <s v="GNR_BO_STRW_E-100"/>
    <x v="0"/>
    <x v="21"/>
    <n v="133.37"/>
    <n v="48680.05"/>
    <n v="175248.18"/>
  </r>
  <r>
    <x v="0"/>
    <x v="0"/>
    <x v="0"/>
    <x v="0"/>
    <x v="0"/>
    <s v="DK1_Rural"/>
    <x v="4"/>
    <s v="GNR_BO_STRW_E-100"/>
    <x v="0"/>
    <x v="22"/>
    <n v="133.37"/>
    <n v="48680.05"/>
    <n v="175248.18"/>
  </r>
  <r>
    <x v="0"/>
    <x v="0"/>
    <x v="0"/>
    <x v="0"/>
    <x v="0"/>
    <s v="DK1_Rural"/>
    <x v="4"/>
    <s v="GNR_BO_STRW_E-100"/>
    <x v="0"/>
    <x v="23"/>
    <n v="133.37"/>
    <n v="48680.05"/>
    <n v="175248.18"/>
  </r>
  <r>
    <x v="0"/>
    <x v="0"/>
    <x v="0"/>
    <x v="0"/>
    <x v="0"/>
    <s v="DK1_Rural"/>
    <x v="4"/>
    <s v="GNR_BO_STRW_E-102"/>
    <x v="0"/>
    <x v="0"/>
    <n v="55.843137254901997"/>
    <n v="20382.745098039199"/>
    <n v="73377.882352941204"/>
  </r>
  <r>
    <x v="0"/>
    <x v="0"/>
    <x v="0"/>
    <x v="0"/>
    <x v="0"/>
    <s v="DK1_Rural"/>
    <x v="4"/>
    <s v="GNR_BO_STRW_E-102"/>
    <x v="0"/>
    <x v="1"/>
    <n v="55.843137254901997"/>
    <n v="20382.745098039199"/>
    <n v="73377.882352941204"/>
  </r>
  <r>
    <x v="0"/>
    <x v="0"/>
    <x v="0"/>
    <x v="0"/>
    <x v="0"/>
    <s v="DK1_Rural"/>
    <x v="4"/>
    <s v="GNR_BO_STRW_E-102"/>
    <x v="0"/>
    <x v="2"/>
    <n v="55.843137254901997"/>
    <n v="20382.745098039199"/>
    <n v="73377.882352941204"/>
  </r>
  <r>
    <x v="0"/>
    <x v="0"/>
    <x v="0"/>
    <x v="0"/>
    <x v="0"/>
    <s v="DK1_Rural"/>
    <x v="4"/>
    <s v="GNR_BO_STRW_E-102"/>
    <x v="0"/>
    <x v="3"/>
    <n v="55.843137254901997"/>
    <n v="20382.745098039199"/>
    <n v="73377.882352941204"/>
  </r>
  <r>
    <x v="0"/>
    <x v="0"/>
    <x v="0"/>
    <x v="0"/>
    <x v="0"/>
    <s v="DK1_Rural"/>
    <x v="4"/>
    <s v="GNR_BO_STRW_E-102"/>
    <x v="0"/>
    <x v="18"/>
    <n v="55.843137254901997"/>
    <n v="20382.745098039199"/>
    <n v="73377.882352941204"/>
  </r>
  <r>
    <x v="0"/>
    <x v="0"/>
    <x v="0"/>
    <x v="0"/>
    <x v="0"/>
    <s v="DK1_Rural"/>
    <x v="4"/>
    <s v="GNR_BO_STRW_E-102"/>
    <x v="0"/>
    <x v="4"/>
    <n v="55.843137254901997"/>
    <n v="20382.745098039199"/>
    <n v="73377.882352941204"/>
  </r>
  <r>
    <x v="0"/>
    <x v="0"/>
    <x v="0"/>
    <x v="0"/>
    <x v="0"/>
    <s v="DK1_Rural"/>
    <x v="4"/>
    <s v="GNR_BO_STRW_E-102"/>
    <x v="0"/>
    <x v="5"/>
    <n v="55.843137254901997"/>
    <n v="20382.745098039199"/>
    <n v="73377.882352941204"/>
  </r>
  <r>
    <x v="0"/>
    <x v="0"/>
    <x v="0"/>
    <x v="0"/>
    <x v="0"/>
    <s v="DK1_Rural"/>
    <x v="4"/>
    <s v="GNR_BO_STRW_E-102"/>
    <x v="0"/>
    <x v="6"/>
    <n v="55.843137254901997"/>
    <n v="20382.745098039199"/>
    <n v="73377.882352941204"/>
  </r>
  <r>
    <x v="0"/>
    <x v="0"/>
    <x v="0"/>
    <x v="0"/>
    <x v="0"/>
    <s v="DK1_Rural"/>
    <x v="4"/>
    <s v="GNR_BO_STRW_E-102"/>
    <x v="0"/>
    <x v="7"/>
    <n v="55.843137254901997"/>
    <n v="20382.745098039199"/>
    <n v="73377.882352941204"/>
  </r>
  <r>
    <x v="0"/>
    <x v="0"/>
    <x v="0"/>
    <x v="0"/>
    <x v="0"/>
    <s v="DK1_Rural"/>
    <x v="4"/>
    <s v="GNR_BO_STRW_E-102"/>
    <x v="0"/>
    <x v="8"/>
    <n v="55.843137254901997"/>
    <n v="20382.745098039199"/>
    <n v="73377.882352941204"/>
  </r>
  <r>
    <x v="0"/>
    <x v="0"/>
    <x v="0"/>
    <x v="0"/>
    <x v="0"/>
    <s v="DK1_Rural"/>
    <x v="4"/>
    <s v="GNR_BO_STRW_E-102"/>
    <x v="0"/>
    <x v="9"/>
    <n v="55.843137254901997"/>
    <n v="20382.745098039199"/>
    <n v="73377.882352941204"/>
  </r>
  <r>
    <x v="0"/>
    <x v="0"/>
    <x v="0"/>
    <x v="0"/>
    <x v="0"/>
    <s v="DK1_Rural"/>
    <x v="4"/>
    <s v="GNR_BO_STRW_E-102"/>
    <x v="0"/>
    <x v="10"/>
    <n v="55.843137254901997"/>
    <n v="20382.745098039199"/>
    <n v="73377.882352941204"/>
  </r>
  <r>
    <x v="0"/>
    <x v="0"/>
    <x v="0"/>
    <x v="0"/>
    <x v="0"/>
    <s v="DK1_Rural"/>
    <x v="4"/>
    <s v="GNR_BO_STRW_E-102"/>
    <x v="0"/>
    <x v="11"/>
    <n v="55.843137254901997"/>
    <n v="20382.745098039199"/>
    <n v="73377.882352941204"/>
  </r>
  <r>
    <x v="0"/>
    <x v="0"/>
    <x v="0"/>
    <x v="0"/>
    <x v="0"/>
    <s v="DK1_Rural"/>
    <x v="4"/>
    <s v="GNR_BO_STRW_E-102"/>
    <x v="0"/>
    <x v="12"/>
    <n v="55.843137254901997"/>
    <n v="20382.745098039199"/>
    <n v="73377.882352941204"/>
  </r>
  <r>
    <x v="0"/>
    <x v="0"/>
    <x v="0"/>
    <x v="0"/>
    <x v="0"/>
    <s v="DK1_Rural"/>
    <x v="4"/>
    <s v="GNR_BO_STRW_E-102"/>
    <x v="0"/>
    <x v="13"/>
    <n v="55.843137254901997"/>
    <n v="20382.745098039199"/>
    <n v="73377.882352941204"/>
  </r>
  <r>
    <x v="0"/>
    <x v="0"/>
    <x v="0"/>
    <x v="0"/>
    <x v="0"/>
    <s v="DK1_Rural"/>
    <x v="4"/>
    <s v="GNR_BO_STRW_E-102"/>
    <x v="0"/>
    <x v="14"/>
    <n v="55.843137254901997"/>
    <n v="20382.745098039199"/>
    <n v="73377.882352941204"/>
  </r>
  <r>
    <x v="0"/>
    <x v="0"/>
    <x v="0"/>
    <x v="0"/>
    <x v="0"/>
    <s v="DK1_Rural"/>
    <x v="4"/>
    <s v="GNR_BO_STRW_E-102"/>
    <x v="0"/>
    <x v="15"/>
    <n v="55.843137254901997"/>
    <n v="20382.745098039199"/>
    <n v="73377.882352941204"/>
  </r>
  <r>
    <x v="0"/>
    <x v="0"/>
    <x v="0"/>
    <x v="0"/>
    <x v="0"/>
    <s v="DK1_Rural"/>
    <x v="4"/>
    <s v="GNR_BO_STRW_E-102"/>
    <x v="0"/>
    <x v="16"/>
    <n v="55.843137254901997"/>
    <n v="20382.745098039199"/>
    <n v="73377.882352941204"/>
  </r>
  <r>
    <x v="0"/>
    <x v="0"/>
    <x v="0"/>
    <x v="0"/>
    <x v="0"/>
    <s v="DK1_Rural"/>
    <x v="4"/>
    <s v="GNR_BO_STRW_E-102"/>
    <x v="0"/>
    <x v="17"/>
    <n v="55.843137254901997"/>
    <n v="20382.745098039199"/>
    <n v="73377.882352941204"/>
  </r>
  <r>
    <x v="0"/>
    <x v="0"/>
    <x v="0"/>
    <x v="0"/>
    <x v="0"/>
    <s v="DK1_Rural"/>
    <x v="4"/>
    <s v="GNR_BO_STRW_E-102"/>
    <x v="0"/>
    <x v="19"/>
    <n v="55.843137254901997"/>
    <n v="20382.745098039199"/>
    <n v="73377.882352941204"/>
  </r>
  <r>
    <x v="0"/>
    <x v="0"/>
    <x v="0"/>
    <x v="0"/>
    <x v="0"/>
    <s v="DK1_Rural"/>
    <x v="4"/>
    <s v="GNR_BO_STRW_E-102"/>
    <x v="0"/>
    <x v="20"/>
    <n v="55.843137254901997"/>
    <n v="20382.745098039199"/>
    <n v="73377.882352941204"/>
  </r>
  <r>
    <x v="0"/>
    <x v="0"/>
    <x v="0"/>
    <x v="0"/>
    <x v="0"/>
    <s v="DK1_Rural"/>
    <x v="4"/>
    <s v="GNR_BO_STRW_E-102"/>
    <x v="0"/>
    <x v="21"/>
    <n v="55.843137254901997"/>
    <n v="20382.745098039199"/>
    <n v="73377.882352941204"/>
  </r>
  <r>
    <x v="0"/>
    <x v="0"/>
    <x v="0"/>
    <x v="0"/>
    <x v="0"/>
    <s v="DK1_Rural"/>
    <x v="4"/>
    <s v="GNR_BO_STRW_E-102"/>
    <x v="0"/>
    <x v="22"/>
    <n v="55.843137254901997"/>
    <n v="20382.745098039199"/>
    <n v="73377.882352941204"/>
  </r>
  <r>
    <x v="0"/>
    <x v="0"/>
    <x v="0"/>
    <x v="0"/>
    <x v="0"/>
    <s v="DK1_Rural"/>
    <x v="4"/>
    <s v="GNR_BO_STRW_E-102"/>
    <x v="0"/>
    <x v="23"/>
    <n v="55.843137254901997"/>
    <n v="20382.745098039199"/>
    <n v="73377.882352941204"/>
  </r>
  <r>
    <x v="0"/>
    <x v="0"/>
    <x v="0"/>
    <x v="0"/>
    <x v="0"/>
    <s v="DK1_Rural"/>
    <x v="4"/>
    <s v="GNR_ST_STRW_BP_E-26"/>
    <x v="0"/>
    <x v="0"/>
    <n v="8.8461538461538396"/>
    <n v="3228.8461538461502"/>
    <n v="11623.8461538461"/>
  </r>
  <r>
    <x v="0"/>
    <x v="0"/>
    <x v="0"/>
    <x v="0"/>
    <x v="0"/>
    <s v="DK1_Rural"/>
    <x v="4"/>
    <s v="GNR_ST_STRW_BP_E-26"/>
    <x v="0"/>
    <x v="1"/>
    <n v="8.8461538461538396"/>
    <n v="3228.8461538461502"/>
    <n v="11623.8461538461"/>
  </r>
  <r>
    <x v="0"/>
    <x v="0"/>
    <x v="0"/>
    <x v="0"/>
    <x v="0"/>
    <s v="DK1_Rural"/>
    <x v="4"/>
    <s v="GNR_ST_STRW_BP_E-26"/>
    <x v="0"/>
    <x v="2"/>
    <n v="8.8461538461538396"/>
    <n v="3228.8461538461502"/>
    <n v="11623.8461538461"/>
  </r>
  <r>
    <x v="0"/>
    <x v="0"/>
    <x v="0"/>
    <x v="0"/>
    <x v="0"/>
    <s v="DK1_Rural"/>
    <x v="4"/>
    <s v="GNR_ST_STRW_BP_E-26"/>
    <x v="0"/>
    <x v="3"/>
    <n v="8.8461538461538396"/>
    <n v="3228.8461538461502"/>
    <n v="11623.8461538461"/>
  </r>
  <r>
    <x v="0"/>
    <x v="0"/>
    <x v="0"/>
    <x v="0"/>
    <x v="0"/>
    <s v="DK1_Rural"/>
    <x v="4"/>
    <s v="GNR_ST_STRW_BP_E-26"/>
    <x v="0"/>
    <x v="18"/>
    <n v="8.8461538461538396"/>
    <n v="3228.8461538461502"/>
    <n v="11623.8461538461"/>
  </r>
  <r>
    <x v="0"/>
    <x v="0"/>
    <x v="0"/>
    <x v="0"/>
    <x v="0"/>
    <s v="DK1_Rural"/>
    <x v="4"/>
    <s v="GNR_ST_STRW_BP_E-26"/>
    <x v="0"/>
    <x v="4"/>
    <n v="8.8461538461538396"/>
    <n v="3228.8461538461502"/>
    <n v="11623.8461538461"/>
  </r>
  <r>
    <x v="0"/>
    <x v="0"/>
    <x v="0"/>
    <x v="0"/>
    <x v="0"/>
    <s v="DK1_Rural"/>
    <x v="4"/>
    <s v="GNR_ST_STRW_BP_E-26"/>
    <x v="0"/>
    <x v="5"/>
    <n v="8.8461538461538396"/>
    <n v="3228.8461538461502"/>
    <n v="11623.8461538461"/>
  </r>
  <r>
    <x v="0"/>
    <x v="0"/>
    <x v="0"/>
    <x v="0"/>
    <x v="0"/>
    <s v="DK1_Rural"/>
    <x v="4"/>
    <s v="GNR_ST_STRW_BP_E-26"/>
    <x v="0"/>
    <x v="6"/>
    <n v="8.8461538461538396"/>
    <n v="3228.8461538461502"/>
    <n v="11623.8461538461"/>
  </r>
  <r>
    <x v="0"/>
    <x v="0"/>
    <x v="0"/>
    <x v="0"/>
    <x v="0"/>
    <s v="DK1_Rural"/>
    <x v="4"/>
    <s v="GNR_ST_STRW_BP_E-26"/>
    <x v="0"/>
    <x v="7"/>
    <n v="8.8461538461538396"/>
    <n v="3228.8461538461502"/>
    <n v="11623.8461538461"/>
  </r>
  <r>
    <x v="0"/>
    <x v="0"/>
    <x v="0"/>
    <x v="0"/>
    <x v="0"/>
    <s v="DK1_Rural"/>
    <x v="4"/>
    <s v="GNR_ST_STRW_BP_E-26"/>
    <x v="0"/>
    <x v="8"/>
    <n v="8.8461538461538396"/>
    <n v="3228.8461538461502"/>
    <n v="11623.8461538461"/>
  </r>
  <r>
    <x v="0"/>
    <x v="0"/>
    <x v="0"/>
    <x v="0"/>
    <x v="0"/>
    <s v="DK1_Rural"/>
    <x v="4"/>
    <s v="GNR_ST_STRW_BP_E-26"/>
    <x v="0"/>
    <x v="9"/>
    <n v="8.8461538461538396"/>
    <n v="3228.8461538461502"/>
    <n v="11623.8461538461"/>
  </r>
  <r>
    <x v="0"/>
    <x v="0"/>
    <x v="0"/>
    <x v="0"/>
    <x v="0"/>
    <s v="DK1_Rural"/>
    <x v="4"/>
    <s v="GNR_ST_STRW_BP_E-26"/>
    <x v="0"/>
    <x v="10"/>
    <n v="8.8461538461538396"/>
    <n v="3228.8461538461502"/>
    <n v="11623.8461538461"/>
  </r>
  <r>
    <x v="0"/>
    <x v="0"/>
    <x v="0"/>
    <x v="0"/>
    <x v="0"/>
    <s v="DK1_Rural"/>
    <x v="4"/>
    <s v="GNR_ST_STRW_BP_E-26"/>
    <x v="0"/>
    <x v="11"/>
    <n v="8.8461538461538396"/>
    <n v="3228.8461538461502"/>
    <n v="11623.8461538461"/>
  </r>
  <r>
    <x v="0"/>
    <x v="0"/>
    <x v="0"/>
    <x v="0"/>
    <x v="0"/>
    <s v="DK1_Rural"/>
    <x v="4"/>
    <s v="GNR_ST_STRW_BP_E-26"/>
    <x v="0"/>
    <x v="12"/>
    <n v="8.8461538461538396"/>
    <n v="3228.8461538461502"/>
    <n v="11623.8461538461"/>
  </r>
  <r>
    <x v="0"/>
    <x v="0"/>
    <x v="0"/>
    <x v="0"/>
    <x v="0"/>
    <s v="DK1_Rural"/>
    <x v="4"/>
    <s v="GNR_ST_STRW_BP_E-26"/>
    <x v="0"/>
    <x v="13"/>
    <n v="8.8461538461538396"/>
    <n v="3228.8461538461502"/>
    <n v="11623.8461538461"/>
  </r>
  <r>
    <x v="0"/>
    <x v="0"/>
    <x v="0"/>
    <x v="0"/>
    <x v="0"/>
    <s v="DK1_Rural"/>
    <x v="4"/>
    <s v="GNR_ST_STRW_BP_E-26"/>
    <x v="0"/>
    <x v="14"/>
    <n v="8.8461538461538396"/>
    <n v="3228.8461538461502"/>
    <n v="11623.8461538461"/>
  </r>
  <r>
    <x v="0"/>
    <x v="0"/>
    <x v="0"/>
    <x v="0"/>
    <x v="0"/>
    <s v="DK1_Rural"/>
    <x v="4"/>
    <s v="GNR_ST_STRW_BP_E-26"/>
    <x v="0"/>
    <x v="15"/>
    <n v="8.8461538461538396"/>
    <n v="3228.8461538461502"/>
    <n v="11623.8461538461"/>
  </r>
  <r>
    <x v="0"/>
    <x v="0"/>
    <x v="0"/>
    <x v="0"/>
    <x v="0"/>
    <s v="DK1_Rural"/>
    <x v="4"/>
    <s v="GNR_ST_STRW_BP_E-26"/>
    <x v="0"/>
    <x v="16"/>
    <n v="8.8461538461538396"/>
    <n v="3228.8461538461502"/>
    <n v="11623.8461538461"/>
  </r>
  <r>
    <x v="0"/>
    <x v="0"/>
    <x v="0"/>
    <x v="0"/>
    <x v="0"/>
    <s v="DK1_Rural"/>
    <x v="4"/>
    <s v="GNR_ST_STRW_BP_E-26"/>
    <x v="0"/>
    <x v="17"/>
    <n v="8.8461538461538396"/>
    <n v="3228.8461538461502"/>
    <n v="11623.8461538461"/>
  </r>
  <r>
    <x v="0"/>
    <x v="0"/>
    <x v="0"/>
    <x v="0"/>
    <x v="0"/>
    <s v="DK1_Rural"/>
    <x v="4"/>
    <s v="GNR_ST_STRW_BP_E-26"/>
    <x v="0"/>
    <x v="19"/>
    <n v="8.8461538461538396"/>
    <n v="3228.8461538461502"/>
    <n v="11623.8461538461"/>
  </r>
  <r>
    <x v="0"/>
    <x v="0"/>
    <x v="0"/>
    <x v="0"/>
    <x v="0"/>
    <s v="DK1_Rural"/>
    <x v="4"/>
    <s v="GNR_ST_STRW_BP_E-26"/>
    <x v="0"/>
    <x v="20"/>
    <n v="8.8461538461538396"/>
    <n v="3228.8461538461502"/>
    <n v="11623.8461538461"/>
  </r>
  <r>
    <x v="0"/>
    <x v="0"/>
    <x v="0"/>
    <x v="0"/>
    <x v="0"/>
    <s v="DK1_Rural"/>
    <x v="4"/>
    <s v="GNR_ST_STRW_BP_E-26"/>
    <x v="0"/>
    <x v="21"/>
    <n v="8.8461538461538396"/>
    <n v="3228.8461538461502"/>
    <n v="11623.8461538461"/>
  </r>
  <r>
    <x v="0"/>
    <x v="0"/>
    <x v="0"/>
    <x v="0"/>
    <x v="0"/>
    <s v="DK1_Rural"/>
    <x v="4"/>
    <s v="GNR_ST_STRW_BP_E-26"/>
    <x v="0"/>
    <x v="22"/>
    <n v="8.8461538461538396"/>
    <n v="3228.8461538461502"/>
    <n v="11623.8461538461"/>
  </r>
  <r>
    <x v="0"/>
    <x v="0"/>
    <x v="0"/>
    <x v="0"/>
    <x v="0"/>
    <s v="DK1_Rural"/>
    <x v="1"/>
    <s v="GNR_EH_HEAT"/>
    <x v="0"/>
    <x v="0"/>
    <n v="87.01"/>
    <n v="31758.65"/>
    <n v="114331.14"/>
  </r>
  <r>
    <x v="0"/>
    <x v="0"/>
    <x v="0"/>
    <x v="0"/>
    <x v="0"/>
    <s v="DK1_Rural"/>
    <x v="1"/>
    <s v="GNR_EH_HEAT"/>
    <x v="0"/>
    <x v="1"/>
    <n v="87.01"/>
    <n v="31758.65"/>
    <n v="114331.14"/>
  </r>
  <r>
    <x v="0"/>
    <x v="0"/>
    <x v="0"/>
    <x v="0"/>
    <x v="0"/>
    <s v="DK1_Rural"/>
    <x v="1"/>
    <s v="GNR_EH_HEAT"/>
    <x v="0"/>
    <x v="2"/>
    <n v="87.01"/>
    <n v="31758.65"/>
    <n v="114331.14"/>
  </r>
  <r>
    <x v="0"/>
    <x v="0"/>
    <x v="0"/>
    <x v="0"/>
    <x v="0"/>
    <s v="DK1_Rural"/>
    <x v="1"/>
    <s v="GNR_EH_HEAT"/>
    <x v="0"/>
    <x v="3"/>
    <n v="87.01"/>
    <n v="31758.65"/>
    <n v="114331.14"/>
  </r>
  <r>
    <x v="0"/>
    <x v="0"/>
    <x v="0"/>
    <x v="0"/>
    <x v="0"/>
    <s v="DK1_Rural"/>
    <x v="1"/>
    <s v="GNR_EH_HEAT"/>
    <x v="0"/>
    <x v="18"/>
    <n v="87.01"/>
    <n v="31758.65"/>
    <n v="114331.14"/>
  </r>
  <r>
    <x v="0"/>
    <x v="0"/>
    <x v="0"/>
    <x v="0"/>
    <x v="0"/>
    <s v="DK1_Rural"/>
    <x v="1"/>
    <s v="GNR_EH_HEAT"/>
    <x v="0"/>
    <x v="4"/>
    <n v="87.01"/>
    <n v="31758.65"/>
    <n v="114331.14"/>
  </r>
  <r>
    <x v="0"/>
    <x v="0"/>
    <x v="0"/>
    <x v="0"/>
    <x v="0"/>
    <s v="DK1_Rural"/>
    <x v="1"/>
    <s v="GNR_EH_HEAT"/>
    <x v="0"/>
    <x v="5"/>
    <n v="87.01"/>
    <n v="31758.65"/>
    <n v="114331.14"/>
  </r>
  <r>
    <x v="0"/>
    <x v="0"/>
    <x v="0"/>
    <x v="0"/>
    <x v="0"/>
    <s v="DK1_Rural"/>
    <x v="1"/>
    <s v="GNR_EH_HEAT"/>
    <x v="0"/>
    <x v="6"/>
    <n v="87.01"/>
    <n v="31758.65"/>
    <n v="114331.14"/>
  </r>
  <r>
    <x v="0"/>
    <x v="0"/>
    <x v="0"/>
    <x v="0"/>
    <x v="0"/>
    <s v="DK1_Rural"/>
    <x v="1"/>
    <s v="GNR_EH_HEAT"/>
    <x v="0"/>
    <x v="7"/>
    <n v="87.01"/>
    <n v="31758.65"/>
    <n v="114331.14"/>
  </r>
  <r>
    <x v="0"/>
    <x v="0"/>
    <x v="0"/>
    <x v="0"/>
    <x v="0"/>
    <s v="DK1_Rural"/>
    <x v="1"/>
    <s v="GNR_EH_HEAT"/>
    <x v="0"/>
    <x v="8"/>
    <n v="87.01"/>
    <n v="31758.65"/>
    <n v="114331.14"/>
  </r>
  <r>
    <x v="0"/>
    <x v="0"/>
    <x v="0"/>
    <x v="0"/>
    <x v="0"/>
    <s v="DK1_Rural"/>
    <x v="1"/>
    <s v="GNR_EH_HEAT"/>
    <x v="0"/>
    <x v="9"/>
    <n v="87.01"/>
    <n v="31758.65"/>
    <n v="114331.14"/>
  </r>
  <r>
    <x v="0"/>
    <x v="0"/>
    <x v="0"/>
    <x v="0"/>
    <x v="0"/>
    <s v="DK1_Rural"/>
    <x v="1"/>
    <s v="GNR_EH_HEAT"/>
    <x v="0"/>
    <x v="10"/>
    <n v="87.01"/>
    <n v="31758.65"/>
    <n v="114331.14"/>
  </r>
  <r>
    <x v="0"/>
    <x v="0"/>
    <x v="0"/>
    <x v="0"/>
    <x v="0"/>
    <s v="DK1_Rural"/>
    <x v="1"/>
    <s v="GNR_EH_HEAT"/>
    <x v="0"/>
    <x v="11"/>
    <n v="87.01"/>
    <n v="31758.65"/>
    <n v="114331.14"/>
  </r>
  <r>
    <x v="0"/>
    <x v="0"/>
    <x v="0"/>
    <x v="0"/>
    <x v="0"/>
    <s v="DK1_Rural"/>
    <x v="1"/>
    <s v="GNR_EH_HEAT"/>
    <x v="0"/>
    <x v="12"/>
    <n v="87.01"/>
    <n v="31758.65"/>
    <n v="114331.14"/>
  </r>
  <r>
    <x v="0"/>
    <x v="0"/>
    <x v="0"/>
    <x v="0"/>
    <x v="0"/>
    <s v="DK1_Rural"/>
    <x v="1"/>
    <s v="GNR_EH_HEAT"/>
    <x v="0"/>
    <x v="13"/>
    <n v="87.01"/>
    <n v="31758.65"/>
    <n v="114331.14"/>
  </r>
  <r>
    <x v="0"/>
    <x v="0"/>
    <x v="0"/>
    <x v="0"/>
    <x v="0"/>
    <s v="DK1_Rural"/>
    <x v="1"/>
    <s v="GNR_EH_HEAT"/>
    <x v="0"/>
    <x v="14"/>
    <n v="87.01"/>
    <n v="31758.65"/>
    <n v="114331.14"/>
  </r>
  <r>
    <x v="0"/>
    <x v="0"/>
    <x v="0"/>
    <x v="0"/>
    <x v="0"/>
    <s v="DK1_Rural"/>
    <x v="1"/>
    <s v="GNR_EH_HEAT"/>
    <x v="0"/>
    <x v="15"/>
    <n v="87.01"/>
    <n v="31758.65"/>
    <n v="114331.14"/>
  </r>
  <r>
    <x v="0"/>
    <x v="0"/>
    <x v="0"/>
    <x v="0"/>
    <x v="0"/>
    <s v="DK1_Rural"/>
    <x v="1"/>
    <s v="GNR_EH_HEAT"/>
    <x v="0"/>
    <x v="16"/>
    <n v="87.01"/>
    <n v="31758.65"/>
    <n v="114331.14"/>
  </r>
  <r>
    <x v="0"/>
    <x v="0"/>
    <x v="0"/>
    <x v="0"/>
    <x v="0"/>
    <s v="DK1_Rural"/>
    <x v="1"/>
    <s v="GNR_EH_HEAT"/>
    <x v="0"/>
    <x v="17"/>
    <n v="87.01"/>
    <n v="31758.65"/>
    <n v="114331.14"/>
  </r>
  <r>
    <x v="0"/>
    <x v="0"/>
    <x v="0"/>
    <x v="0"/>
    <x v="0"/>
    <s v="DK1_Rural"/>
    <x v="1"/>
    <s v="GNR_EH_HEAT"/>
    <x v="0"/>
    <x v="19"/>
    <n v="87.01"/>
    <n v="31758.65"/>
    <n v="114331.14"/>
  </r>
  <r>
    <x v="0"/>
    <x v="0"/>
    <x v="0"/>
    <x v="0"/>
    <x v="0"/>
    <s v="DK1_Rural"/>
    <x v="1"/>
    <s v="GNR_EH_HEAT"/>
    <x v="0"/>
    <x v="20"/>
    <n v="87.01"/>
    <n v="31758.65"/>
    <n v="114331.14"/>
  </r>
  <r>
    <x v="0"/>
    <x v="0"/>
    <x v="0"/>
    <x v="0"/>
    <x v="0"/>
    <s v="DK1_Rural"/>
    <x v="1"/>
    <s v="GNR_EH_HEAT"/>
    <x v="0"/>
    <x v="21"/>
    <n v="87.01"/>
    <n v="31758.65"/>
    <n v="114331.14"/>
  </r>
  <r>
    <x v="0"/>
    <x v="0"/>
    <x v="0"/>
    <x v="0"/>
    <x v="0"/>
    <s v="DK1_Rural"/>
    <x v="1"/>
    <s v="GNR_EH_HEAT"/>
    <x v="0"/>
    <x v="22"/>
    <n v="87.01"/>
    <n v="31758.65"/>
    <n v="114331.14"/>
  </r>
  <r>
    <x v="0"/>
    <x v="0"/>
    <x v="0"/>
    <x v="0"/>
    <x v="0"/>
    <s v="DK1_Rural"/>
    <x v="1"/>
    <s v="GNR_EH_HEAT"/>
    <x v="0"/>
    <x v="23"/>
    <n v="87.01"/>
    <n v="31758.65"/>
    <n v="114331.14"/>
  </r>
  <r>
    <x v="0"/>
    <x v="0"/>
    <x v="0"/>
    <x v="0"/>
    <x v="0"/>
    <s v="DK1_Rural"/>
    <x v="5"/>
    <s v="GNR_BO_WOODCHI_E-100"/>
    <x v="0"/>
    <x v="6"/>
    <n v="88.731667277746695"/>
    <n v="32387.058556377498"/>
    <n v="116593.410802959"/>
  </r>
  <r>
    <x v="0"/>
    <x v="0"/>
    <x v="0"/>
    <x v="0"/>
    <x v="0"/>
    <s v="DK1_Rural"/>
    <x v="5"/>
    <s v="GNR_BO_WOODCHI_E-100"/>
    <x v="0"/>
    <x v="7"/>
    <n v="103.17083274133"/>
    <n v="37657.353950585399"/>
    <n v="135566.474222107"/>
  </r>
  <r>
    <x v="0"/>
    <x v="0"/>
    <x v="0"/>
    <x v="0"/>
    <x v="0"/>
    <s v="DK1_Rural"/>
    <x v="5"/>
    <s v="GNR_BO_WOODCHI_E-105"/>
    <x v="0"/>
    <x v="5"/>
    <n v="6.6666666666666696"/>
    <n v="2433.3333333333298"/>
    <n v="8760"/>
  </r>
  <r>
    <x v="0"/>
    <x v="0"/>
    <x v="0"/>
    <x v="0"/>
    <x v="0"/>
    <s v="DK1_Rural"/>
    <x v="5"/>
    <s v="GNR_BO_WOODCHI_E-105"/>
    <x v="0"/>
    <x v="6"/>
    <n v="6.6666666666666696"/>
    <n v="2433.3333333333298"/>
    <n v="8760"/>
  </r>
  <r>
    <x v="0"/>
    <x v="0"/>
    <x v="0"/>
    <x v="0"/>
    <x v="0"/>
    <s v="DK1_Rural"/>
    <x v="5"/>
    <s v="GNR_BO_WOODCHI_E-105"/>
    <x v="0"/>
    <x v="7"/>
    <n v="6.6666666666666696"/>
    <n v="2433.3333333333298"/>
    <n v="8760"/>
  </r>
  <r>
    <x v="0"/>
    <x v="0"/>
    <x v="0"/>
    <x v="0"/>
    <x v="0"/>
    <s v="DK1_Rural"/>
    <x v="5"/>
    <s v="GNR_BO_WOODCHI_E-105"/>
    <x v="0"/>
    <x v="8"/>
    <n v="6.6666666666666696"/>
    <n v="2433.3333333333298"/>
    <n v="8760"/>
  </r>
  <r>
    <x v="0"/>
    <x v="0"/>
    <x v="0"/>
    <x v="0"/>
    <x v="0"/>
    <s v="DK1_Rural"/>
    <x v="5"/>
    <s v="GNR_BO_WOODCHI_E-105"/>
    <x v="0"/>
    <x v="9"/>
    <n v="6.6666666666666696"/>
    <n v="2433.3333333333298"/>
    <n v="8760"/>
  </r>
  <r>
    <x v="0"/>
    <x v="0"/>
    <x v="0"/>
    <x v="0"/>
    <x v="0"/>
    <s v="DK1_Rural"/>
    <x v="5"/>
    <s v="GNR_BO_WOODCHI_E-105"/>
    <x v="0"/>
    <x v="10"/>
    <n v="6.6666666666666696"/>
    <n v="2433.3333333333298"/>
    <n v="8760"/>
  </r>
  <r>
    <x v="0"/>
    <x v="0"/>
    <x v="0"/>
    <x v="0"/>
    <x v="0"/>
    <s v="DK1_Rural"/>
    <x v="5"/>
    <s v="GNR_BO_WOODCHI_E-105"/>
    <x v="0"/>
    <x v="11"/>
    <n v="6.6666666666666696"/>
    <n v="2433.3333333333298"/>
    <n v="8760"/>
  </r>
  <r>
    <x v="0"/>
    <x v="0"/>
    <x v="0"/>
    <x v="0"/>
    <x v="0"/>
    <s v="DK1_Rural"/>
    <x v="5"/>
    <s v="GNR_BO_WOODCHI_E-105"/>
    <x v="0"/>
    <x v="12"/>
    <n v="6.6666666666666696"/>
    <n v="2433.3333333333298"/>
    <n v="8760"/>
  </r>
  <r>
    <x v="0"/>
    <x v="0"/>
    <x v="0"/>
    <x v="0"/>
    <x v="0"/>
    <s v="DK1_Rural"/>
    <x v="5"/>
    <s v="GNR_BO_WOODCHI_E-105"/>
    <x v="0"/>
    <x v="13"/>
    <n v="6.6666666666666696"/>
    <n v="2433.3333333333298"/>
    <n v="8760"/>
  </r>
  <r>
    <x v="0"/>
    <x v="0"/>
    <x v="0"/>
    <x v="0"/>
    <x v="0"/>
    <s v="DK1_Rural"/>
    <x v="5"/>
    <s v="GNR_BO_WOODCHI_E-105"/>
    <x v="0"/>
    <x v="14"/>
    <n v="6.6666666666666696"/>
    <n v="2433.3333333333298"/>
    <n v="8760"/>
  </r>
  <r>
    <x v="0"/>
    <x v="0"/>
    <x v="0"/>
    <x v="0"/>
    <x v="0"/>
    <s v="DK1_Rural"/>
    <x v="5"/>
    <s v="GNR_BO_WOODCHI_E-105"/>
    <x v="0"/>
    <x v="15"/>
    <n v="6.6666666666666696"/>
    <n v="2433.3333333333298"/>
    <n v="8760"/>
  </r>
  <r>
    <x v="0"/>
    <x v="0"/>
    <x v="0"/>
    <x v="0"/>
    <x v="0"/>
    <s v="DK1_Rural"/>
    <x v="5"/>
    <s v="GNR_BO_WOODCHI_E-105"/>
    <x v="0"/>
    <x v="16"/>
    <n v="6.6666666666666696"/>
    <n v="2433.3333333333298"/>
    <n v="8760"/>
  </r>
  <r>
    <x v="0"/>
    <x v="0"/>
    <x v="0"/>
    <x v="0"/>
    <x v="0"/>
    <s v="DK1_Rural"/>
    <x v="5"/>
    <s v="GNR_BO_WOODCHI_E-105"/>
    <x v="0"/>
    <x v="17"/>
    <n v="6.6666666666666696"/>
    <n v="2433.3333333333298"/>
    <n v="8760"/>
  </r>
  <r>
    <x v="0"/>
    <x v="0"/>
    <x v="0"/>
    <x v="0"/>
    <x v="0"/>
    <s v="DK1_Rural"/>
    <x v="5"/>
    <s v="GNR_BO_WOODCHI_E-105"/>
    <x v="0"/>
    <x v="19"/>
    <n v="6.6666666666666696"/>
    <n v="2433.3333333333298"/>
    <n v="8760"/>
  </r>
  <r>
    <x v="0"/>
    <x v="0"/>
    <x v="0"/>
    <x v="0"/>
    <x v="0"/>
    <s v="DK1_Rural"/>
    <x v="5"/>
    <s v="GNR_BO_WOODCHI_E-105"/>
    <x v="0"/>
    <x v="20"/>
    <n v="6.6666666666666696"/>
    <n v="2433.3333333333298"/>
    <n v="8760"/>
  </r>
  <r>
    <x v="0"/>
    <x v="0"/>
    <x v="0"/>
    <x v="0"/>
    <x v="0"/>
    <s v="DK1_Rural"/>
    <x v="5"/>
    <s v="GNR_BO_WOODCHI_E-106"/>
    <x v="0"/>
    <x v="5"/>
    <n v="2.5943396226415101"/>
    <n v="946.93396226415098"/>
    <n v="3408.96226415094"/>
  </r>
  <r>
    <x v="0"/>
    <x v="0"/>
    <x v="0"/>
    <x v="0"/>
    <x v="0"/>
    <s v="DK1_Rural"/>
    <x v="5"/>
    <s v="GNR_BO_WOODCHI_E-106"/>
    <x v="0"/>
    <x v="6"/>
    <n v="2.5943396226415101"/>
    <n v="946.93396226415098"/>
    <n v="3408.96226415094"/>
  </r>
  <r>
    <x v="0"/>
    <x v="0"/>
    <x v="0"/>
    <x v="0"/>
    <x v="0"/>
    <s v="DK1_Rural"/>
    <x v="5"/>
    <s v="GNR_BO_WOODCHI_E-106"/>
    <x v="0"/>
    <x v="7"/>
    <n v="2.5943396226415101"/>
    <n v="946.93396226415098"/>
    <n v="3408.96226415094"/>
  </r>
  <r>
    <x v="0"/>
    <x v="0"/>
    <x v="0"/>
    <x v="0"/>
    <x v="0"/>
    <s v="DK1_Rural"/>
    <x v="5"/>
    <s v="GNR_BO_WOODCHI_E-106"/>
    <x v="0"/>
    <x v="8"/>
    <n v="2.5943396226415101"/>
    <n v="946.93396226415098"/>
    <n v="3408.96226415094"/>
  </r>
  <r>
    <x v="0"/>
    <x v="0"/>
    <x v="0"/>
    <x v="0"/>
    <x v="0"/>
    <s v="DK1_Rural"/>
    <x v="5"/>
    <s v="GNR_BO_WOODCHI_E-106"/>
    <x v="0"/>
    <x v="9"/>
    <n v="2.5943396226415101"/>
    <n v="946.93396226415098"/>
    <n v="3408.96226415094"/>
  </r>
  <r>
    <x v="0"/>
    <x v="0"/>
    <x v="0"/>
    <x v="0"/>
    <x v="0"/>
    <s v="DK1_Rural"/>
    <x v="5"/>
    <s v="GNR_BO_WOODCHI_E-106"/>
    <x v="0"/>
    <x v="10"/>
    <n v="2.5943396226415101"/>
    <n v="946.93396226415098"/>
    <n v="3408.96226415094"/>
  </r>
  <r>
    <x v="0"/>
    <x v="0"/>
    <x v="0"/>
    <x v="0"/>
    <x v="0"/>
    <s v="DK1_Rural"/>
    <x v="5"/>
    <s v="GNR_BO_WOODCHI_E-106"/>
    <x v="0"/>
    <x v="11"/>
    <n v="2.5943396226415101"/>
    <n v="946.93396226415098"/>
    <n v="3408.96226415094"/>
  </r>
  <r>
    <x v="0"/>
    <x v="0"/>
    <x v="0"/>
    <x v="0"/>
    <x v="0"/>
    <s v="DK1_Rural"/>
    <x v="5"/>
    <s v="GNR_BO_WOODCHI_E-106"/>
    <x v="0"/>
    <x v="12"/>
    <n v="2.5943396226415101"/>
    <n v="946.93396226415098"/>
    <n v="3408.96226415094"/>
  </r>
  <r>
    <x v="0"/>
    <x v="0"/>
    <x v="0"/>
    <x v="0"/>
    <x v="0"/>
    <s v="DK1_Rural"/>
    <x v="5"/>
    <s v="GNR_BO_WOODCHI_E-106"/>
    <x v="0"/>
    <x v="13"/>
    <n v="2.5943396226415101"/>
    <n v="946.93396226415098"/>
    <n v="3408.96226415094"/>
  </r>
  <r>
    <x v="0"/>
    <x v="0"/>
    <x v="0"/>
    <x v="0"/>
    <x v="0"/>
    <s v="DK1_Rural"/>
    <x v="5"/>
    <s v="GNR_BO_WOODCHI_E-106"/>
    <x v="0"/>
    <x v="14"/>
    <n v="2.5943396226415101"/>
    <n v="946.93396226415098"/>
    <n v="3408.96226415094"/>
  </r>
  <r>
    <x v="0"/>
    <x v="0"/>
    <x v="0"/>
    <x v="0"/>
    <x v="0"/>
    <s v="DK1_Rural"/>
    <x v="5"/>
    <s v="GNR_BO_WOODCHI_E-106"/>
    <x v="0"/>
    <x v="15"/>
    <n v="2.5943396226415101"/>
    <n v="946.93396226415098"/>
    <n v="3408.96226415094"/>
  </r>
  <r>
    <x v="0"/>
    <x v="0"/>
    <x v="0"/>
    <x v="0"/>
    <x v="0"/>
    <s v="DK1_Rural"/>
    <x v="5"/>
    <s v="GNR_BO_WOODCHI_E-106"/>
    <x v="0"/>
    <x v="16"/>
    <n v="2.5943396226415101"/>
    <n v="946.93396226415098"/>
    <n v="3408.96226415094"/>
  </r>
  <r>
    <x v="0"/>
    <x v="0"/>
    <x v="0"/>
    <x v="0"/>
    <x v="0"/>
    <s v="DK1_Rural"/>
    <x v="5"/>
    <s v="GNR_BO_WOODCHI_E-106"/>
    <x v="0"/>
    <x v="17"/>
    <n v="2.5943396226415101"/>
    <n v="946.93396226415098"/>
    <n v="3408.96226415094"/>
  </r>
  <r>
    <x v="0"/>
    <x v="0"/>
    <x v="0"/>
    <x v="0"/>
    <x v="0"/>
    <s v="DK1_Rural"/>
    <x v="5"/>
    <s v="GNR_BO_WOODCHI_E-106"/>
    <x v="0"/>
    <x v="19"/>
    <n v="2.5943396226415101"/>
    <n v="946.93396226415098"/>
    <n v="3408.96226415094"/>
  </r>
  <r>
    <x v="0"/>
    <x v="0"/>
    <x v="0"/>
    <x v="0"/>
    <x v="0"/>
    <s v="DK1_Rural"/>
    <x v="5"/>
    <s v="GNR_BO_WOODCHI_E-106"/>
    <x v="0"/>
    <x v="20"/>
    <n v="2.5943396226415101"/>
    <n v="946.93396226415098"/>
    <n v="3408.96226415094"/>
  </r>
  <r>
    <x v="0"/>
    <x v="0"/>
    <x v="0"/>
    <x v="0"/>
    <x v="0"/>
    <s v="DK1_Rural"/>
    <x v="5"/>
    <s v="GNR_BO_WOODCHI_E-107"/>
    <x v="0"/>
    <x v="5"/>
    <n v="11.663551401869199"/>
    <n v="4257.1962616822402"/>
    <n v="15325.9065420561"/>
  </r>
  <r>
    <x v="0"/>
    <x v="0"/>
    <x v="0"/>
    <x v="0"/>
    <x v="0"/>
    <s v="DK1_Rural"/>
    <x v="5"/>
    <s v="GNR_BO_WOODCHI_E-107"/>
    <x v="0"/>
    <x v="6"/>
    <n v="11.663551401869199"/>
    <n v="4257.1962616822402"/>
    <n v="15325.9065420561"/>
  </r>
  <r>
    <x v="0"/>
    <x v="0"/>
    <x v="0"/>
    <x v="0"/>
    <x v="0"/>
    <s v="DK1_Rural"/>
    <x v="5"/>
    <s v="GNR_BO_WOODCHI_E-107"/>
    <x v="0"/>
    <x v="7"/>
    <n v="11.663551401869199"/>
    <n v="4257.1962616822402"/>
    <n v="15325.9065420561"/>
  </r>
  <r>
    <x v="0"/>
    <x v="0"/>
    <x v="0"/>
    <x v="0"/>
    <x v="0"/>
    <s v="DK1_Rural"/>
    <x v="5"/>
    <s v="GNR_BO_WOODCHI_E-107"/>
    <x v="0"/>
    <x v="8"/>
    <n v="11.663551401869199"/>
    <n v="4257.1962616822402"/>
    <n v="15325.9065420561"/>
  </r>
  <r>
    <x v="0"/>
    <x v="0"/>
    <x v="0"/>
    <x v="0"/>
    <x v="0"/>
    <s v="DK1_Rural"/>
    <x v="5"/>
    <s v="GNR_BO_WOODCHI_E-107"/>
    <x v="0"/>
    <x v="9"/>
    <n v="11.663551401869199"/>
    <n v="4257.1962616822402"/>
    <n v="15325.9065420561"/>
  </r>
  <r>
    <x v="0"/>
    <x v="0"/>
    <x v="0"/>
    <x v="0"/>
    <x v="0"/>
    <s v="DK1_Rural"/>
    <x v="5"/>
    <s v="GNR_BO_WOODCHI_E-107"/>
    <x v="0"/>
    <x v="10"/>
    <n v="11.663551401869199"/>
    <n v="4257.1962616822402"/>
    <n v="15325.9065420561"/>
  </r>
  <r>
    <x v="0"/>
    <x v="0"/>
    <x v="0"/>
    <x v="0"/>
    <x v="0"/>
    <s v="DK1_Rural"/>
    <x v="5"/>
    <s v="GNR_BO_WOODCHI_E-107"/>
    <x v="0"/>
    <x v="11"/>
    <n v="11.663551401869199"/>
    <n v="4257.1962616822402"/>
    <n v="15325.9065420561"/>
  </r>
  <r>
    <x v="0"/>
    <x v="0"/>
    <x v="0"/>
    <x v="0"/>
    <x v="0"/>
    <s v="DK1_Rural"/>
    <x v="5"/>
    <s v="GNR_BO_WOODCHI_E-107"/>
    <x v="0"/>
    <x v="12"/>
    <n v="11.663551401869199"/>
    <n v="4257.1962616822402"/>
    <n v="15325.9065420561"/>
  </r>
  <r>
    <x v="0"/>
    <x v="0"/>
    <x v="0"/>
    <x v="0"/>
    <x v="0"/>
    <s v="DK1_Rural"/>
    <x v="5"/>
    <s v="GNR_BO_WOODCHI_E-107"/>
    <x v="0"/>
    <x v="13"/>
    <n v="11.663551401869199"/>
    <n v="4257.1962616822402"/>
    <n v="15325.9065420561"/>
  </r>
  <r>
    <x v="0"/>
    <x v="0"/>
    <x v="0"/>
    <x v="0"/>
    <x v="0"/>
    <s v="DK1_Rural"/>
    <x v="5"/>
    <s v="GNR_BO_WOODCHI_E-107"/>
    <x v="0"/>
    <x v="14"/>
    <n v="11.663551401869199"/>
    <n v="4257.1962616822402"/>
    <n v="15325.9065420561"/>
  </r>
  <r>
    <x v="0"/>
    <x v="0"/>
    <x v="0"/>
    <x v="0"/>
    <x v="0"/>
    <s v="DK1_Rural"/>
    <x v="5"/>
    <s v="GNR_BO_WOODCHI_E-107"/>
    <x v="0"/>
    <x v="15"/>
    <n v="11.663551401869199"/>
    <n v="4257.1962616822402"/>
    <n v="15325.9065420561"/>
  </r>
  <r>
    <x v="0"/>
    <x v="0"/>
    <x v="0"/>
    <x v="0"/>
    <x v="0"/>
    <s v="DK1_Rural"/>
    <x v="5"/>
    <s v="GNR_BO_WOODCHI_E-107"/>
    <x v="0"/>
    <x v="16"/>
    <n v="11.663551401869199"/>
    <n v="4257.1962616822402"/>
    <n v="15325.9065420561"/>
  </r>
  <r>
    <x v="0"/>
    <x v="0"/>
    <x v="0"/>
    <x v="0"/>
    <x v="0"/>
    <s v="DK1_Rural"/>
    <x v="5"/>
    <s v="GNR_BO_WOODCHI_E-107"/>
    <x v="0"/>
    <x v="17"/>
    <n v="11.663551401869199"/>
    <n v="4257.1962616822402"/>
    <n v="15325.9065420561"/>
  </r>
  <r>
    <x v="0"/>
    <x v="0"/>
    <x v="0"/>
    <x v="0"/>
    <x v="0"/>
    <s v="DK1_Rural"/>
    <x v="5"/>
    <s v="GNR_BO_WOODCHI_E-107"/>
    <x v="0"/>
    <x v="19"/>
    <n v="11.663551401869199"/>
    <n v="4257.1962616822402"/>
    <n v="15325.9065420561"/>
  </r>
  <r>
    <x v="0"/>
    <x v="0"/>
    <x v="0"/>
    <x v="0"/>
    <x v="0"/>
    <s v="DK1_Rural"/>
    <x v="5"/>
    <s v="GNR_BO_WOODCHI_E-107"/>
    <x v="0"/>
    <x v="20"/>
    <n v="11.663551401869199"/>
    <n v="4257.1962616822402"/>
    <n v="15325.9065420561"/>
  </r>
  <r>
    <x v="0"/>
    <x v="0"/>
    <x v="0"/>
    <x v="0"/>
    <x v="0"/>
    <s v="DK1_Rural"/>
    <x v="5"/>
    <s v="GNR_BO_WOODCHI_E-108"/>
    <x v="0"/>
    <x v="5"/>
    <n v="3.24074074074074"/>
    <n v="1182.87037037037"/>
    <n v="4258.3333333333303"/>
  </r>
  <r>
    <x v="0"/>
    <x v="0"/>
    <x v="0"/>
    <x v="0"/>
    <x v="0"/>
    <s v="DK1_Rural"/>
    <x v="5"/>
    <s v="GNR_BO_WOODCHI_E-108"/>
    <x v="0"/>
    <x v="6"/>
    <n v="3.24074074074074"/>
    <n v="1182.87037037037"/>
    <n v="4258.3333333333303"/>
  </r>
  <r>
    <x v="0"/>
    <x v="0"/>
    <x v="0"/>
    <x v="0"/>
    <x v="0"/>
    <s v="DK1_Rural"/>
    <x v="5"/>
    <s v="GNR_BO_WOODCHI_E-108"/>
    <x v="0"/>
    <x v="7"/>
    <n v="3.24074074074074"/>
    <n v="1182.87037037037"/>
    <n v="4258.3333333333303"/>
  </r>
  <r>
    <x v="0"/>
    <x v="0"/>
    <x v="0"/>
    <x v="0"/>
    <x v="0"/>
    <s v="DK1_Rural"/>
    <x v="5"/>
    <s v="GNR_BO_WOODCHI_E-108"/>
    <x v="0"/>
    <x v="8"/>
    <n v="3.24074074074074"/>
    <n v="1182.87037037037"/>
    <n v="4258.3333333333303"/>
  </r>
  <r>
    <x v="0"/>
    <x v="0"/>
    <x v="0"/>
    <x v="0"/>
    <x v="0"/>
    <s v="DK1_Rural"/>
    <x v="5"/>
    <s v="GNR_BO_WOODCHI_E-108"/>
    <x v="0"/>
    <x v="9"/>
    <n v="3.24074074074074"/>
    <n v="1182.87037037037"/>
    <n v="4258.3333333333303"/>
  </r>
  <r>
    <x v="0"/>
    <x v="0"/>
    <x v="0"/>
    <x v="0"/>
    <x v="0"/>
    <s v="DK1_Rural"/>
    <x v="5"/>
    <s v="GNR_BO_WOODCHI_E-108"/>
    <x v="0"/>
    <x v="10"/>
    <n v="3.24074074074074"/>
    <n v="1182.87037037037"/>
    <n v="4258.3333333333303"/>
  </r>
  <r>
    <x v="0"/>
    <x v="0"/>
    <x v="0"/>
    <x v="0"/>
    <x v="0"/>
    <s v="DK1_Rural"/>
    <x v="5"/>
    <s v="GNR_BO_WOODCHI_E-108"/>
    <x v="0"/>
    <x v="11"/>
    <n v="3.24074074074074"/>
    <n v="1182.87037037037"/>
    <n v="4258.3333333333303"/>
  </r>
  <r>
    <x v="0"/>
    <x v="0"/>
    <x v="0"/>
    <x v="0"/>
    <x v="0"/>
    <s v="DK1_Rural"/>
    <x v="5"/>
    <s v="GNR_BO_WOODCHI_E-108"/>
    <x v="0"/>
    <x v="12"/>
    <n v="3.24074074074074"/>
    <n v="1182.87037037037"/>
    <n v="4258.3333333333303"/>
  </r>
  <r>
    <x v="0"/>
    <x v="0"/>
    <x v="0"/>
    <x v="0"/>
    <x v="0"/>
    <s v="DK1_Rural"/>
    <x v="5"/>
    <s v="GNR_BO_WOODCHI_E-108"/>
    <x v="0"/>
    <x v="13"/>
    <n v="3.24074074074074"/>
    <n v="1182.87037037037"/>
    <n v="4258.3333333333303"/>
  </r>
  <r>
    <x v="0"/>
    <x v="0"/>
    <x v="0"/>
    <x v="0"/>
    <x v="0"/>
    <s v="DK1_Rural"/>
    <x v="5"/>
    <s v="GNR_BO_WOODCHI_E-108"/>
    <x v="0"/>
    <x v="14"/>
    <n v="3.24074074074074"/>
    <n v="1182.87037037037"/>
    <n v="4258.3333333333303"/>
  </r>
  <r>
    <x v="0"/>
    <x v="0"/>
    <x v="0"/>
    <x v="0"/>
    <x v="0"/>
    <s v="DK1_Rural"/>
    <x v="5"/>
    <s v="GNR_BO_WOODCHI_E-108"/>
    <x v="0"/>
    <x v="15"/>
    <n v="3.24074074074074"/>
    <n v="1182.87037037037"/>
    <n v="4258.3333333333303"/>
  </r>
  <r>
    <x v="0"/>
    <x v="0"/>
    <x v="0"/>
    <x v="0"/>
    <x v="0"/>
    <s v="DK1_Rural"/>
    <x v="5"/>
    <s v="GNR_BO_WOODCHI_E-108"/>
    <x v="0"/>
    <x v="16"/>
    <n v="3.24074074074074"/>
    <n v="1182.87037037037"/>
    <n v="4258.3333333333303"/>
  </r>
  <r>
    <x v="0"/>
    <x v="0"/>
    <x v="0"/>
    <x v="0"/>
    <x v="0"/>
    <s v="DK1_Rural"/>
    <x v="5"/>
    <s v="GNR_BO_WOODCHI_E-108"/>
    <x v="0"/>
    <x v="17"/>
    <n v="3.24074074074074"/>
    <n v="1182.87037037037"/>
    <n v="4258.3333333333303"/>
  </r>
  <r>
    <x v="0"/>
    <x v="0"/>
    <x v="0"/>
    <x v="0"/>
    <x v="0"/>
    <s v="DK1_Rural"/>
    <x v="5"/>
    <s v="GNR_BO_WOODCHI_E-108"/>
    <x v="0"/>
    <x v="19"/>
    <n v="3.24074074074074"/>
    <n v="1182.87037037037"/>
    <n v="4258.3333333333303"/>
  </r>
  <r>
    <x v="0"/>
    <x v="0"/>
    <x v="0"/>
    <x v="0"/>
    <x v="0"/>
    <s v="DK1_Rural"/>
    <x v="5"/>
    <s v="GNR_BO_WOODCHI_E-108"/>
    <x v="0"/>
    <x v="20"/>
    <n v="3.24074074074074"/>
    <n v="1182.87037037037"/>
    <n v="4258.3333333333303"/>
  </r>
  <r>
    <x v="0"/>
    <x v="0"/>
    <x v="0"/>
    <x v="0"/>
    <x v="0"/>
    <s v="DK1_Rural"/>
    <x v="5"/>
    <s v="GNR_BO_WOODCHI_E-108"/>
    <x v="0"/>
    <x v="21"/>
    <n v="3.24074074074074"/>
    <n v="1182.87037037037"/>
    <n v="4258.3333333333303"/>
  </r>
  <r>
    <x v="0"/>
    <x v="0"/>
    <x v="0"/>
    <x v="0"/>
    <x v="0"/>
    <s v="DK1_Rural"/>
    <x v="5"/>
    <s v="GNR_BO_WOODCHI_E-108"/>
    <x v="0"/>
    <x v="22"/>
    <n v="3.24074074074074"/>
    <n v="1182.87037037037"/>
    <n v="4258.3333333333303"/>
  </r>
  <r>
    <x v="0"/>
    <x v="0"/>
    <x v="0"/>
    <x v="0"/>
    <x v="0"/>
    <s v="DK1_Rural"/>
    <x v="5"/>
    <s v="GNR_BO_WOODCHI_E-108"/>
    <x v="0"/>
    <x v="23"/>
    <n v="3.24074074074074"/>
    <n v="1182.87037037037"/>
    <n v="4258.3333333333303"/>
  </r>
  <r>
    <x v="0"/>
    <x v="0"/>
    <x v="0"/>
    <x v="0"/>
    <x v="0"/>
    <s v="DK1_Rural"/>
    <x v="5"/>
    <s v="GNR_BO_WOODCHI_E-110"/>
    <x v="0"/>
    <x v="0"/>
    <n v="39.977047302801701"/>
    <n v="14591.622265522599"/>
    <n v="52529.8401558814"/>
  </r>
  <r>
    <x v="0"/>
    <x v="0"/>
    <x v="0"/>
    <x v="0"/>
    <x v="0"/>
    <s v="DK1_Rural"/>
    <x v="5"/>
    <s v="GNR_BO_WOODCHI_E-110"/>
    <x v="0"/>
    <x v="1"/>
    <n v="36.186974623908498"/>
    <n v="13208.2457377266"/>
    <n v="47549.684655815799"/>
  </r>
  <r>
    <x v="0"/>
    <x v="0"/>
    <x v="0"/>
    <x v="0"/>
    <x v="0"/>
    <s v="DK1_Rural"/>
    <x v="5"/>
    <s v="GNR_BO_WOODCHI_E-110"/>
    <x v="0"/>
    <x v="2"/>
    <n v="32.741454006732802"/>
    <n v="11950.6307124575"/>
    <n v="43022.270564846898"/>
  </r>
  <r>
    <x v="0"/>
    <x v="0"/>
    <x v="0"/>
    <x v="0"/>
    <x v="0"/>
    <s v="DK1_Rural"/>
    <x v="5"/>
    <s v="GNR_BO_WOODCHI_E-110"/>
    <x v="0"/>
    <x v="3"/>
    <n v="37.909734932496299"/>
    <n v="13837.053250361199"/>
    <n v="49813.391701300199"/>
  </r>
  <r>
    <x v="0"/>
    <x v="0"/>
    <x v="0"/>
    <x v="0"/>
    <x v="0"/>
    <s v="DK1_Rural"/>
    <x v="5"/>
    <s v="GNR_BO_WOODCHI_E-110"/>
    <x v="0"/>
    <x v="18"/>
    <n v="41.699807611389502"/>
    <n v="15220.4297781572"/>
    <n v="54793.5472013658"/>
  </r>
  <r>
    <x v="0"/>
    <x v="0"/>
    <x v="0"/>
    <x v="0"/>
    <x v="0"/>
    <s v="DK1_Rural"/>
    <x v="5"/>
    <s v="GNR_BO_WOODCHI_E-110"/>
    <x v="0"/>
    <x v="4"/>
    <n v="101.996418411964"/>
    <n v="37228.692720366802"/>
    <n v="134023.29379331999"/>
  </r>
  <r>
    <x v="0"/>
    <x v="0"/>
    <x v="0"/>
    <x v="0"/>
    <x v="0"/>
    <s v="DK1_Rural"/>
    <x v="5"/>
    <s v="GNR_BO_WOODCHI_E-110"/>
    <x v="0"/>
    <x v="5"/>
    <n v="116.754545454545"/>
    <n v="42615.409090909103"/>
    <n v="153415.47272727301"/>
  </r>
  <r>
    <x v="0"/>
    <x v="0"/>
    <x v="0"/>
    <x v="0"/>
    <x v="0"/>
    <s v="DK1_Rural"/>
    <x v="5"/>
    <s v="GNR_BO_WOODCHI_E-110"/>
    <x v="0"/>
    <x v="6"/>
    <n v="116.754545454545"/>
    <n v="42615.409090909103"/>
    <n v="153415.47272727301"/>
  </r>
  <r>
    <x v="0"/>
    <x v="0"/>
    <x v="0"/>
    <x v="0"/>
    <x v="0"/>
    <s v="DK1_Rural"/>
    <x v="5"/>
    <s v="GNR_BO_WOODCHI_E-110"/>
    <x v="0"/>
    <x v="7"/>
    <n v="116.754545454545"/>
    <n v="42615.409090909103"/>
    <n v="153415.47272727301"/>
  </r>
  <r>
    <x v="0"/>
    <x v="0"/>
    <x v="0"/>
    <x v="0"/>
    <x v="0"/>
    <s v="DK1_Rural"/>
    <x v="5"/>
    <s v="GNR_BO_WOODCHI_E-110"/>
    <x v="0"/>
    <x v="8"/>
    <n v="116.754545454545"/>
    <n v="42615.409090909103"/>
    <n v="153415.47272727301"/>
  </r>
  <r>
    <x v="0"/>
    <x v="0"/>
    <x v="0"/>
    <x v="0"/>
    <x v="0"/>
    <s v="DK1_Rural"/>
    <x v="5"/>
    <s v="GNR_BO_WOODCHI_E-110"/>
    <x v="0"/>
    <x v="9"/>
    <n v="116.754545454545"/>
    <n v="42615.409090909103"/>
    <n v="153415.47272727301"/>
  </r>
  <r>
    <x v="0"/>
    <x v="0"/>
    <x v="0"/>
    <x v="0"/>
    <x v="0"/>
    <s v="DK1_Rural"/>
    <x v="5"/>
    <s v="GNR_BO_WOODCHI_E-110"/>
    <x v="0"/>
    <x v="10"/>
    <n v="116.754545454545"/>
    <n v="42615.409090909103"/>
    <n v="153415.47272727301"/>
  </r>
  <r>
    <x v="0"/>
    <x v="0"/>
    <x v="0"/>
    <x v="0"/>
    <x v="0"/>
    <s v="DK1_Rural"/>
    <x v="5"/>
    <s v="GNR_BO_WOODCHI_E-110"/>
    <x v="0"/>
    <x v="11"/>
    <n v="116.754545454545"/>
    <n v="42615.409090909103"/>
    <n v="153415.47272727301"/>
  </r>
  <r>
    <x v="0"/>
    <x v="0"/>
    <x v="0"/>
    <x v="0"/>
    <x v="0"/>
    <s v="DK1_Rural"/>
    <x v="5"/>
    <s v="GNR_BO_WOODCHI_E-110"/>
    <x v="0"/>
    <x v="12"/>
    <n v="116.754545454545"/>
    <n v="42615.409090909103"/>
    <n v="153415.47272727301"/>
  </r>
  <r>
    <x v="0"/>
    <x v="0"/>
    <x v="0"/>
    <x v="0"/>
    <x v="0"/>
    <s v="DK1_Rural"/>
    <x v="5"/>
    <s v="GNR_BO_WOODCHI_E-110"/>
    <x v="0"/>
    <x v="13"/>
    <n v="116.754545454545"/>
    <n v="42615.409090909103"/>
    <n v="153415.47272727301"/>
  </r>
  <r>
    <x v="0"/>
    <x v="0"/>
    <x v="0"/>
    <x v="0"/>
    <x v="0"/>
    <s v="DK1_Rural"/>
    <x v="5"/>
    <s v="GNR_BO_WOODCHI_E-110"/>
    <x v="0"/>
    <x v="14"/>
    <n v="116.754545454545"/>
    <n v="42615.409090909103"/>
    <n v="153415.47272727301"/>
  </r>
  <r>
    <x v="0"/>
    <x v="0"/>
    <x v="0"/>
    <x v="0"/>
    <x v="0"/>
    <s v="DK1_Rural"/>
    <x v="5"/>
    <s v="GNR_BO_WOODCHI_E-110"/>
    <x v="0"/>
    <x v="15"/>
    <n v="116.754545454545"/>
    <n v="42615.409090909103"/>
    <n v="153415.47272727301"/>
  </r>
  <r>
    <x v="0"/>
    <x v="0"/>
    <x v="0"/>
    <x v="0"/>
    <x v="0"/>
    <s v="DK1_Rural"/>
    <x v="5"/>
    <s v="GNR_BO_WOODCHI_E-110"/>
    <x v="0"/>
    <x v="16"/>
    <n v="116.754545454545"/>
    <n v="42615.409090909103"/>
    <n v="153415.47272727301"/>
  </r>
  <r>
    <x v="0"/>
    <x v="0"/>
    <x v="0"/>
    <x v="0"/>
    <x v="0"/>
    <s v="DK1_Rural"/>
    <x v="5"/>
    <s v="GNR_BO_WOODCHI_E-110"/>
    <x v="0"/>
    <x v="17"/>
    <n v="116.754545454545"/>
    <n v="42615.409090909103"/>
    <n v="153415.47272727301"/>
  </r>
  <r>
    <x v="0"/>
    <x v="0"/>
    <x v="0"/>
    <x v="0"/>
    <x v="0"/>
    <s v="DK1_Rural"/>
    <x v="5"/>
    <s v="GNR_BO_WOODCHI_E-110"/>
    <x v="0"/>
    <x v="19"/>
    <n v="116.754545454545"/>
    <n v="42615.409090909103"/>
    <n v="153415.47272727301"/>
  </r>
  <r>
    <x v="0"/>
    <x v="0"/>
    <x v="0"/>
    <x v="0"/>
    <x v="0"/>
    <s v="DK1_Rural"/>
    <x v="5"/>
    <s v="GNR_BO_WOODCHI_E-110"/>
    <x v="0"/>
    <x v="20"/>
    <n v="116.754545454545"/>
    <n v="42615.409090909103"/>
    <n v="153415.47272727301"/>
  </r>
  <r>
    <x v="0"/>
    <x v="0"/>
    <x v="0"/>
    <x v="0"/>
    <x v="0"/>
    <s v="DK1_Rural"/>
    <x v="5"/>
    <s v="GNR_BO_WOODCHI_E-110"/>
    <x v="0"/>
    <x v="21"/>
    <n v="116.754545454545"/>
    <n v="42615.409090909103"/>
    <n v="153415.47272727301"/>
  </r>
  <r>
    <x v="0"/>
    <x v="0"/>
    <x v="0"/>
    <x v="0"/>
    <x v="0"/>
    <s v="DK1_Rural"/>
    <x v="5"/>
    <s v="GNR_BO_WOODCHI_E-110"/>
    <x v="0"/>
    <x v="22"/>
    <n v="116.754545454545"/>
    <n v="42615.409090909103"/>
    <n v="153415.47272727301"/>
  </r>
  <r>
    <x v="0"/>
    <x v="0"/>
    <x v="0"/>
    <x v="0"/>
    <x v="0"/>
    <s v="DK1_Rural"/>
    <x v="5"/>
    <s v="GNR_BO_WOODCHI_E-110"/>
    <x v="0"/>
    <x v="23"/>
    <n v="116.754545454545"/>
    <n v="42615.409090909103"/>
    <n v="153415.47272727301"/>
  </r>
  <r>
    <x v="0"/>
    <x v="0"/>
    <x v="0"/>
    <x v="0"/>
    <x v="0"/>
    <s v="DK1_Rural"/>
    <x v="5"/>
    <s v="GNR_BO_WOODCHI_E-112"/>
    <x v="0"/>
    <x v="0"/>
    <n v="16.964285714285701"/>
    <n v="6191.9642857142799"/>
    <n v="22291.071428571398"/>
  </r>
  <r>
    <x v="0"/>
    <x v="0"/>
    <x v="0"/>
    <x v="0"/>
    <x v="0"/>
    <s v="DK1_Rural"/>
    <x v="5"/>
    <s v="GNR_BO_WOODCHI_E-112"/>
    <x v="0"/>
    <x v="1"/>
    <n v="16.964285714285701"/>
    <n v="6191.9642857142799"/>
    <n v="22291.071428571398"/>
  </r>
  <r>
    <x v="0"/>
    <x v="0"/>
    <x v="0"/>
    <x v="0"/>
    <x v="0"/>
    <s v="DK1_Rural"/>
    <x v="5"/>
    <s v="GNR_BO_WOODCHI_E-112"/>
    <x v="0"/>
    <x v="2"/>
    <n v="16.964285714285701"/>
    <n v="6191.9642857142799"/>
    <n v="22291.071428571398"/>
  </r>
  <r>
    <x v="0"/>
    <x v="0"/>
    <x v="0"/>
    <x v="0"/>
    <x v="0"/>
    <s v="DK1_Rural"/>
    <x v="5"/>
    <s v="GNR_BO_WOODCHI_E-112"/>
    <x v="0"/>
    <x v="3"/>
    <n v="16.964285714285701"/>
    <n v="6191.9642857142799"/>
    <n v="22291.071428571398"/>
  </r>
  <r>
    <x v="0"/>
    <x v="0"/>
    <x v="0"/>
    <x v="0"/>
    <x v="0"/>
    <s v="DK1_Rural"/>
    <x v="5"/>
    <s v="GNR_BO_WOODCHI_E-112"/>
    <x v="0"/>
    <x v="18"/>
    <n v="16.964285714285701"/>
    <n v="6191.9642857142799"/>
    <n v="22291.071428571398"/>
  </r>
  <r>
    <x v="0"/>
    <x v="0"/>
    <x v="0"/>
    <x v="0"/>
    <x v="0"/>
    <s v="DK1_Rural"/>
    <x v="5"/>
    <s v="GNR_BO_WOODCHI_E-112"/>
    <x v="0"/>
    <x v="4"/>
    <n v="16.964285714285701"/>
    <n v="6191.9642857142799"/>
    <n v="22291.071428571398"/>
  </r>
  <r>
    <x v="0"/>
    <x v="0"/>
    <x v="0"/>
    <x v="0"/>
    <x v="0"/>
    <s v="DK1_Rural"/>
    <x v="5"/>
    <s v="GNR_BO_WOODCHI_E-112"/>
    <x v="0"/>
    <x v="5"/>
    <n v="16.964285714285701"/>
    <n v="6191.9642857142799"/>
    <n v="22291.071428571398"/>
  </r>
  <r>
    <x v="0"/>
    <x v="0"/>
    <x v="0"/>
    <x v="0"/>
    <x v="0"/>
    <s v="DK1_Rural"/>
    <x v="5"/>
    <s v="GNR_BO_WOODCHI_E-112"/>
    <x v="0"/>
    <x v="6"/>
    <n v="16.964285714285701"/>
    <n v="6191.9642857142799"/>
    <n v="22291.071428571398"/>
  </r>
  <r>
    <x v="0"/>
    <x v="0"/>
    <x v="0"/>
    <x v="0"/>
    <x v="0"/>
    <s v="DK1_Rural"/>
    <x v="5"/>
    <s v="GNR_BO_WOODCHI_E-112"/>
    <x v="0"/>
    <x v="7"/>
    <n v="16.964285714285701"/>
    <n v="6191.9642857142799"/>
    <n v="22291.071428571398"/>
  </r>
  <r>
    <x v="0"/>
    <x v="0"/>
    <x v="0"/>
    <x v="0"/>
    <x v="0"/>
    <s v="DK1_Rural"/>
    <x v="5"/>
    <s v="GNR_BO_WOODCHI_E-112"/>
    <x v="0"/>
    <x v="8"/>
    <n v="16.964285714285701"/>
    <n v="6191.9642857142799"/>
    <n v="22291.071428571398"/>
  </r>
  <r>
    <x v="0"/>
    <x v="0"/>
    <x v="0"/>
    <x v="0"/>
    <x v="0"/>
    <s v="DK1_Rural"/>
    <x v="5"/>
    <s v="GNR_BO_WOODCHI_E-112"/>
    <x v="0"/>
    <x v="9"/>
    <n v="16.964285714285701"/>
    <n v="6191.9642857142799"/>
    <n v="22291.071428571398"/>
  </r>
  <r>
    <x v="0"/>
    <x v="0"/>
    <x v="0"/>
    <x v="0"/>
    <x v="0"/>
    <s v="DK1_Rural"/>
    <x v="5"/>
    <s v="GNR_BO_WOODCHI_E-112"/>
    <x v="0"/>
    <x v="10"/>
    <n v="16.964285714285701"/>
    <n v="6191.9642857142799"/>
    <n v="22291.071428571398"/>
  </r>
  <r>
    <x v="0"/>
    <x v="0"/>
    <x v="0"/>
    <x v="0"/>
    <x v="0"/>
    <s v="DK1_Rural"/>
    <x v="5"/>
    <s v="GNR_BO_WOODCHI_E-112"/>
    <x v="0"/>
    <x v="11"/>
    <n v="16.964285714285701"/>
    <n v="6191.9642857142799"/>
    <n v="22291.071428571398"/>
  </r>
  <r>
    <x v="0"/>
    <x v="0"/>
    <x v="0"/>
    <x v="0"/>
    <x v="0"/>
    <s v="DK1_Rural"/>
    <x v="5"/>
    <s v="GNR_BO_WOODCHI_E-112"/>
    <x v="0"/>
    <x v="12"/>
    <n v="16.964285714285701"/>
    <n v="6191.9642857142799"/>
    <n v="22291.071428571398"/>
  </r>
  <r>
    <x v="0"/>
    <x v="0"/>
    <x v="0"/>
    <x v="0"/>
    <x v="0"/>
    <s v="DK1_Rural"/>
    <x v="5"/>
    <s v="GNR_BO_WOODCHI_E-112"/>
    <x v="0"/>
    <x v="13"/>
    <n v="16.964285714285701"/>
    <n v="6191.9642857142799"/>
    <n v="22291.071428571398"/>
  </r>
  <r>
    <x v="0"/>
    <x v="0"/>
    <x v="0"/>
    <x v="0"/>
    <x v="0"/>
    <s v="DK1_Rural"/>
    <x v="5"/>
    <s v="GNR_BO_WOODCHI_E-112"/>
    <x v="0"/>
    <x v="14"/>
    <n v="16.964285714285701"/>
    <n v="6191.9642857142799"/>
    <n v="22291.071428571398"/>
  </r>
  <r>
    <x v="0"/>
    <x v="0"/>
    <x v="0"/>
    <x v="0"/>
    <x v="0"/>
    <s v="DK1_Rural"/>
    <x v="5"/>
    <s v="GNR_BO_WOODCHI_E-112"/>
    <x v="0"/>
    <x v="15"/>
    <n v="16.964285714285701"/>
    <n v="6191.9642857142799"/>
    <n v="22291.071428571398"/>
  </r>
  <r>
    <x v="0"/>
    <x v="0"/>
    <x v="0"/>
    <x v="0"/>
    <x v="0"/>
    <s v="DK1_Rural"/>
    <x v="5"/>
    <s v="GNR_BO_WOODCHI_E-112"/>
    <x v="0"/>
    <x v="16"/>
    <n v="16.964285714285701"/>
    <n v="6191.9642857142799"/>
    <n v="22291.071428571398"/>
  </r>
  <r>
    <x v="0"/>
    <x v="0"/>
    <x v="0"/>
    <x v="0"/>
    <x v="0"/>
    <s v="DK1_Rural"/>
    <x v="5"/>
    <s v="GNR_BO_WOODCHI_E-112"/>
    <x v="0"/>
    <x v="17"/>
    <n v="16.964285714285701"/>
    <n v="6191.9642857142799"/>
    <n v="22291.071428571398"/>
  </r>
  <r>
    <x v="0"/>
    <x v="0"/>
    <x v="0"/>
    <x v="0"/>
    <x v="0"/>
    <s v="DK1_Rural"/>
    <x v="5"/>
    <s v="GNR_BO_WOODCHI_E-112"/>
    <x v="0"/>
    <x v="19"/>
    <n v="16.964285714285701"/>
    <n v="6191.9642857142799"/>
    <n v="22291.071428571398"/>
  </r>
  <r>
    <x v="0"/>
    <x v="0"/>
    <x v="0"/>
    <x v="0"/>
    <x v="0"/>
    <s v="DK1_Rural"/>
    <x v="5"/>
    <s v="GNR_BO_WOODCHI_E-112"/>
    <x v="0"/>
    <x v="20"/>
    <n v="16.964285714285701"/>
    <n v="6191.9642857142799"/>
    <n v="22291.071428571398"/>
  </r>
  <r>
    <x v="0"/>
    <x v="0"/>
    <x v="0"/>
    <x v="0"/>
    <x v="0"/>
    <s v="DK1_Rural"/>
    <x v="5"/>
    <s v="GNR_BO_WOODCHI_E-112"/>
    <x v="0"/>
    <x v="21"/>
    <n v="16.964285714285701"/>
    <n v="6191.9642857142799"/>
    <n v="22291.071428571398"/>
  </r>
  <r>
    <x v="0"/>
    <x v="0"/>
    <x v="0"/>
    <x v="0"/>
    <x v="0"/>
    <s v="DK1_Rural"/>
    <x v="5"/>
    <s v="GNR_BO_WOODCHI_E-112"/>
    <x v="0"/>
    <x v="22"/>
    <n v="16.964285714285701"/>
    <n v="6191.9642857142799"/>
    <n v="22291.071428571398"/>
  </r>
  <r>
    <x v="0"/>
    <x v="0"/>
    <x v="0"/>
    <x v="0"/>
    <x v="0"/>
    <s v="DK1_Rural"/>
    <x v="5"/>
    <s v="GNR_BO_WOODCHI_E-112"/>
    <x v="0"/>
    <x v="23"/>
    <n v="16.964285714285701"/>
    <n v="6191.9642857142799"/>
    <n v="22291.071428571398"/>
  </r>
  <r>
    <x v="0"/>
    <x v="0"/>
    <x v="0"/>
    <x v="0"/>
    <x v="0"/>
    <s v="DK1_Rural"/>
    <x v="5"/>
    <s v="GNR_BO_WOODCHI_E-113"/>
    <x v="0"/>
    <x v="0"/>
    <n v="4.2105263157894699"/>
    <n v="1536.84210526316"/>
    <n v="5532.6315789473701"/>
  </r>
  <r>
    <x v="0"/>
    <x v="0"/>
    <x v="0"/>
    <x v="0"/>
    <x v="0"/>
    <s v="DK1_Rural"/>
    <x v="5"/>
    <s v="GNR_BO_WOODCHI_E-113"/>
    <x v="0"/>
    <x v="1"/>
    <n v="4.2105263157894699"/>
    <n v="1536.84210526316"/>
    <n v="5532.6315789473701"/>
  </r>
  <r>
    <x v="0"/>
    <x v="0"/>
    <x v="0"/>
    <x v="0"/>
    <x v="0"/>
    <s v="DK1_Rural"/>
    <x v="5"/>
    <s v="GNR_BO_WOODCHI_E-113"/>
    <x v="0"/>
    <x v="2"/>
    <n v="4.2105263157894699"/>
    <n v="1536.84210526316"/>
    <n v="5532.6315789473701"/>
  </r>
  <r>
    <x v="0"/>
    <x v="0"/>
    <x v="0"/>
    <x v="0"/>
    <x v="0"/>
    <s v="DK1_Rural"/>
    <x v="5"/>
    <s v="GNR_BO_WOODCHI_E-113"/>
    <x v="0"/>
    <x v="3"/>
    <n v="4.2105263157894699"/>
    <n v="1536.84210526316"/>
    <n v="5532.6315789473701"/>
  </r>
  <r>
    <x v="0"/>
    <x v="0"/>
    <x v="0"/>
    <x v="0"/>
    <x v="0"/>
    <s v="DK1_Rural"/>
    <x v="5"/>
    <s v="GNR_BO_WOODCHI_E-113"/>
    <x v="0"/>
    <x v="18"/>
    <n v="4.2105263157894699"/>
    <n v="1536.84210526316"/>
    <n v="5532.6315789473701"/>
  </r>
  <r>
    <x v="0"/>
    <x v="0"/>
    <x v="0"/>
    <x v="0"/>
    <x v="0"/>
    <s v="DK1_Rural"/>
    <x v="5"/>
    <s v="GNR_BO_WOODCHI_E-113"/>
    <x v="0"/>
    <x v="4"/>
    <n v="4.2105263157894699"/>
    <n v="1536.84210526316"/>
    <n v="5532.6315789473701"/>
  </r>
  <r>
    <x v="0"/>
    <x v="0"/>
    <x v="0"/>
    <x v="0"/>
    <x v="0"/>
    <s v="DK1_Rural"/>
    <x v="5"/>
    <s v="GNR_BO_WOODCHI_E-113"/>
    <x v="0"/>
    <x v="5"/>
    <n v="4.2105263157894699"/>
    <n v="1536.84210526316"/>
    <n v="5532.6315789473701"/>
  </r>
  <r>
    <x v="0"/>
    <x v="0"/>
    <x v="0"/>
    <x v="0"/>
    <x v="0"/>
    <s v="DK1_Rural"/>
    <x v="5"/>
    <s v="GNR_BO_WOODCHI_E-113"/>
    <x v="0"/>
    <x v="6"/>
    <n v="4.2105263157894699"/>
    <n v="1536.84210526316"/>
    <n v="5532.6315789473701"/>
  </r>
  <r>
    <x v="0"/>
    <x v="0"/>
    <x v="0"/>
    <x v="0"/>
    <x v="0"/>
    <s v="DK1_Rural"/>
    <x v="5"/>
    <s v="GNR_BO_WOODCHI_E-113"/>
    <x v="0"/>
    <x v="7"/>
    <n v="4.2105263157894699"/>
    <n v="1536.84210526316"/>
    <n v="5532.6315789473701"/>
  </r>
  <r>
    <x v="0"/>
    <x v="0"/>
    <x v="0"/>
    <x v="0"/>
    <x v="0"/>
    <s v="DK1_Rural"/>
    <x v="5"/>
    <s v="GNR_BO_WOODCHI_E-113"/>
    <x v="0"/>
    <x v="8"/>
    <n v="4.2105263157894699"/>
    <n v="1536.84210526316"/>
    <n v="5532.6315789473701"/>
  </r>
  <r>
    <x v="0"/>
    <x v="0"/>
    <x v="0"/>
    <x v="0"/>
    <x v="0"/>
    <s v="DK1_Rural"/>
    <x v="5"/>
    <s v="GNR_BO_WOODCHI_E-113"/>
    <x v="0"/>
    <x v="9"/>
    <n v="4.2105263157894699"/>
    <n v="1536.84210526316"/>
    <n v="5532.6315789473701"/>
  </r>
  <r>
    <x v="0"/>
    <x v="0"/>
    <x v="0"/>
    <x v="0"/>
    <x v="0"/>
    <s v="DK1_Rural"/>
    <x v="5"/>
    <s v="GNR_BO_WOODCHI_E-113"/>
    <x v="0"/>
    <x v="10"/>
    <n v="4.2105263157894699"/>
    <n v="1536.84210526316"/>
    <n v="5532.6315789473701"/>
  </r>
  <r>
    <x v="0"/>
    <x v="0"/>
    <x v="0"/>
    <x v="0"/>
    <x v="0"/>
    <s v="DK1_Rural"/>
    <x v="5"/>
    <s v="GNR_BO_WOODCHI_E-113"/>
    <x v="0"/>
    <x v="11"/>
    <n v="4.2105263157894699"/>
    <n v="1536.84210526316"/>
    <n v="5532.6315789473701"/>
  </r>
  <r>
    <x v="0"/>
    <x v="0"/>
    <x v="0"/>
    <x v="0"/>
    <x v="0"/>
    <s v="DK1_Rural"/>
    <x v="5"/>
    <s v="GNR_BO_WOODCHI_E-113"/>
    <x v="0"/>
    <x v="12"/>
    <n v="4.2105263157894699"/>
    <n v="1536.84210526316"/>
    <n v="5532.6315789473701"/>
  </r>
  <r>
    <x v="0"/>
    <x v="0"/>
    <x v="0"/>
    <x v="0"/>
    <x v="0"/>
    <s v="DK1_Rural"/>
    <x v="5"/>
    <s v="GNR_BO_WOODCHI_E-113"/>
    <x v="0"/>
    <x v="13"/>
    <n v="4.2105263157894699"/>
    <n v="1536.84210526316"/>
    <n v="5532.6315789473701"/>
  </r>
  <r>
    <x v="0"/>
    <x v="0"/>
    <x v="0"/>
    <x v="0"/>
    <x v="0"/>
    <s v="DK1_Rural"/>
    <x v="5"/>
    <s v="GNR_BO_WOODCHI_E-113"/>
    <x v="0"/>
    <x v="14"/>
    <n v="4.2105263157894699"/>
    <n v="1536.84210526316"/>
    <n v="5532.6315789473701"/>
  </r>
  <r>
    <x v="0"/>
    <x v="0"/>
    <x v="0"/>
    <x v="0"/>
    <x v="0"/>
    <s v="DK1_Rural"/>
    <x v="5"/>
    <s v="GNR_BO_WOODCHI_E-113"/>
    <x v="0"/>
    <x v="15"/>
    <n v="4.2105263157894699"/>
    <n v="1536.84210526316"/>
    <n v="5532.6315789473701"/>
  </r>
  <r>
    <x v="0"/>
    <x v="0"/>
    <x v="0"/>
    <x v="0"/>
    <x v="0"/>
    <s v="DK1_Rural"/>
    <x v="5"/>
    <s v="GNR_BO_WOODCHI_E-113"/>
    <x v="0"/>
    <x v="16"/>
    <n v="4.2105263157894699"/>
    <n v="1536.84210526316"/>
    <n v="5532.6315789473701"/>
  </r>
  <r>
    <x v="0"/>
    <x v="0"/>
    <x v="0"/>
    <x v="0"/>
    <x v="0"/>
    <s v="DK1_Rural"/>
    <x v="5"/>
    <s v="GNR_BO_WOODCHI_E-113"/>
    <x v="0"/>
    <x v="17"/>
    <n v="4.2105263157894699"/>
    <n v="1536.84210526316"/>
    <n v="5532.6315789473701"/>
  </r>
  <r>
    <x v="0"/>
    <x v="0"/>
    <x v="0"/>
    <x v="0"/>
    <x v="0"/>
    <s v="DK1_Rural"/>
    <x v="5"/>
    <s v="GNR_BO_WOODCHI_E-113"/>
    <x v="0"/>
    <x v="19"/>
    <n v="4.2105263157894699"/>
    <n v="1536.84210526316"/>
    <n v="5532.6315789473701"/>
  </r>
  <r>
    <x v="0"/>
    <x v="0"/>
    <x v="0"/>
    <x v="0"/>
    <x v="0"/>
    <s v="DK1_Rural"/>
    <x v="5"/>
    <s v="GNR_BO_WOODCHI_E-113"/>
    <x v="0"/>
    <x v="20"/>
    <n v="4.2105263157894699"/>
    <n v="1536.84210526316"/>
    <n v="5532.6315789473701"/>
  </r>
  <r>
    <x v="0"/>
    <x v="0"/>
    <x v="0"/>
    <x v="0"/>
    <x v="0"/>
    <s v="DK1_Rural"/>
    <x v="5"/>
    <s v="GNR_BO_WOODCHI_E-113"/>
    <x v="0"/>
    <x v="21"/>
    <n v="4.2105263157894699"/>
    <n v="1536.84210526316"/>
    <n v="5532.6315789473701"/>
  </r>
  <r>
    <x v="0"/>
    <x v="0"/>
    <x v="0"/>
    <x v="0"/>
    <x v="0"/>
    <s v="DK1_Rural"/>
    <x v="5"/>
    <s v="GNR_BO_WOODCHI_E-113"/>
    <x v="0"/>
    <x v="22"/>
    <n v="4.2105263157894699"/>
    <n v="1536.84210526316"/>
    <n v="5532.6315789473701"/>
  </r>
  <r>
    <x v="0"/>
    <x v="0"/>
    <x v="0"/>
    <x v="0"/>
    <x v="0"/>
    <s v="DK1_Rural"/>
    <x v="5"/>
    <s v="GNR_BO_WOODCHI_E-113"/>
    <x v="0"/>
    <x v="23"/>
    <n v="4.2105263157894699"/>
    <n v="1536.84210526316"/>
    <n v="5532.6315789473701"/>
  </r>
  <r>
    <x v="0"/>
    <x v="0"/>
    <x v="0"/>
    <x v="0"/>
    <x v="0"/>
    <s v="DK1_Rural"/>
    <x v="5"/>
    <s v="GNR_BO_WOODCHI_E-114"/>
    <x v="0"/>
    <x v="0"/>
    <n v="18.260869565217401"/>
    <n v="6665.2173913043498"/>
    <n v="23994.782608695699"/>
  </r>
  <r>
    <x v="0"/>
    <x v="0"/>
    <x v="0"/>
    <x v="0"/>
    <x v="0"/>
    <s v="DK1_Rural"/>
    <x v="5"/>
    <s v="GNR_BO_WOODCHI_E-114"/>
    <x v="0"/>
    <x v="1"/>
    <n v="18.260869565217401"/>
    <n v="6665.2173913043498"/>
    <n v="23994.782608695699"/>
  </r>
  <r>
    <x v="0"/>
    <x v="0"/>
    <x v="0"/>
    <x v="0"/>
    <x v="0"/>
    <s v="DK1_Rural"/>
    <x v="5"/>
    <s v="GNR_BO_WOODCHI_E-114"/>
    <x v="0"/>
    <x v="2"/>
    <n v="18.260869565217401"/>
    <n v="6665.2173913043498"/>
    <n v="23994.782608695699"/>
  </r>
  <r>
    <x v="0"/>
    <x v="0"/>
    <x v="0"/>
    <x v="0"/>
    <x v="0"/>
    <s v="DK1_Rural"/>
    <x v="5"/>
    <s v="GNR_BO_WOODCHI_E-114"/>
    <x v="0"/>
    <x v="3"/>
    <n v="18.260869565217401"/>
    <n v="6665.2173913043498"/>
    <n v="23994.782608695699"/>
  </r>
  <r>
    <x v="0"/>
    <x v="0"/>
    <x v="0"/>
    <x v="0"/>
    <x v="0"/>
    <s v="DK1_Rural"/>
    <x v="5"/>
    <s v="GNR_BO_WOODCHI_E-114"/>
    <x v="0"/>
    <x v="18"/>
    <n v="18.260869565217401"/>
    <n v="6665.2173913043498"/>
    <n v="23994.782608695699"/>
  </r>
  <r>
    <x v="0"/>
    <x v="0"/>
    <x v="0"/>
    <x v="0"/>
    <x v="0"/>
    <s v="DK1_Rural"/>
    <x v="5"/>
    <s v="GNR_BO_WOODCHI_E-114"/>
    <x v="0"/>
    <x v="4"/>
    <n v="18.260869565217401"/>
    <n v="6665.2173913043498"/>
    <n v="23994.782608695699"/>
  </r>
  <r>
    <x v="0"/>
    <x v="0"/>
    <x v="0"/>
    <x v="0"/>
    <x v="0"/>
    <s v="DK1_Rural"/>
    <x v="5"/>
    <s v="GNR_BO_WOODCHI_E-114"/>
    <x v="0"/>
    <x v="5"/>
    <n v="18.260869565217401"/>
    <n v="6665.2173913043498"/>
    <n v="23994.782608695699"/>
  </r>
  <r>
    <x v="0"/>
    <x v="0"/>
    <x v="0"/>
    <x v="0"/>
    <x v="0"/>
    <s v="DK1_Rural"/>
    <x v="5"/>
    <s v="GNR_BO_WOODCHI_E-114"/>
    <x v="0"/>
    <x v="6"/>
    <n v="18.260869565217401"/>
    <n v="6665.2173913043498"/>
    <n v="23994.782608695699"/>
  </r>
  <r>
    <x v="0"/>
    <x v="0"/>
    <x v="0"/>
    <x v="0"/>
    <x v="0"/>
    <s v="DK1_Rural"/>
    <x v="5"/>
    <s v="GNR_BO_WOODCHI_E-114"/>
    <x v="0"/>
    <x v="7"/>
    <n v="18.260869565217401"/>
    <n v="6665.2173913043498"/>
    <n v="23994.782608695699"/>
  </r>
  <r>
    <x v="0"/>
    <x v="0"/>
    <x v="0"/>
    <x v="0"/>
    <x v="0"/>
    <s v="DK1_Rural"/>
    <x v="5"/>
    <s v="GNR_BO_WOODCHI_E-114"/>
    <x v="0"/>
    <x v="8"/>
    <n v="18.260869565217401"/>
    <n v="6665.2173913043498"/>
    <n v="23994.782608695699"/>
  </r>
  <r>
    <x v="0"/>
    <x v="0"/>
    <x v="0"/>
    <x v="0"/>
    <x v="0"/>
    <s v="DK1_Rural"/>
    <x v="5"/>
    <s v="GNR_BO_WOODCHI_E-114"/>
    <x v="0"/>
    <x v="9"/>
    <n v="18.260869565217401"/>
    <n v="6665.2173913043498"/>
    <n v="23994.782608695699"/>
  </r>
  <r>
    <x v="0"/>
    <x v="0"/>
    <x v="0"/>
    <x v="0"/>
    <x v="0"/>
    <s v="DK1_Rural"/>
    <x v="5"/>
    <s v="GNR_BO_WOODCHI_E-114"/>
    <x v="0"/>
    <x v="10"/>
    <n v="18.260869565217401"/>
    <n v="6665.2173913043498"/>
    <n v="23994.782608695699"/>
  </r>
  <r>
    <x v="0"/>
    <x v="0"/>
    <x v="0"/>
    <x v="0"/>
    <x v="0"/>
    <s v="DK1_Rural"/>
    <x v="5"/>
    <s v="GNR_BO_WOODCHI_E-114"/>
    <x v="0"/>
    <x v="11"/>
    <n v="18.260869565217401"/>
    <n v="6665.2173913043498"/>
    <n v="23994.782608695699"/>
  </r>
  <r>
    <x v="0"/>
    <x v="0"/>
    <x v="0"/>
    <x v="0"/>
    <x v="0"/>
    <s v="DK1_Rural"/>
    <x v="5"/>
    <s v="GNR_BO_WOODCHI_E-114"/>
    <x v="0"/>
    <x v="12"/>
    <n v="18.260869565217401"/>
    <n v="6665.2173913043498"/>
    <n v="23994.782608695699"/>
  </r>
  <r>
    <x v="0"/>
    <x v="0"/>
    <x v="0"/>
    <x v="0"/>
    <x v="0"/>
    <s v="DK1_Rural"/>
    <x v="5"/>
    <s v="GNR_BO_WOODCHI_E-114"/>
    <x v="0"/>
    <x v="13"/>
    <n v="18.260869565217401"/>
    <n v="6665.2173913043498"/>
    <n v="23994.782608695699"/>
  </r>
  <r>
    <x v="0"/>
    <x v="0"/>
    <x v="0"/>
    <x v="0"/>
    <x v="0"/>
    <s v="DK1_Rural"/>
    <x v="5"/>
    <s v="GNR_BO_WOODCHI_E-114"/>
    <x v="0"/>
    <x v="14"/>
    <n v="18.260869565217401"/>
    <n v="6665.2173913043498"/>
    <n v="23994.782608695699"/>
  </r>
  <r>
    <x v="0"/>
    <x v="0"/>
    <x v="0"/>
    <x v="0"/>
    <x v="0"/>
    <s v="DK1_Rural"/>
    <x v="5"/>
    <s v="GNR_BO_WOODCHI_E-114"/>
    <x v="0"/>
    <x v="15"/>
    <n v="18.260869565217401"/>
    <n v="6665.2173913043498"/>
    <n v="23994.782608695699"/>
  </r>
  <r>
    <x v="0"/>
    <x v="0"/>
    <x v="0"/>
    <x v="0"/>
    <x v="0"/>
    <s v="DK1_Rural"/>
    <x v="5"/>
    <s v="GNR_BO_WOODCHI_E-114"/>
    <x v="0"/>
    <x v="16"/>
    <n v="18.260869565217401"/>
    <n v="6665.2173913043498"/>
    <n v="23994.782608695699"/>
  </r>
  <r>
    <x v="0"/>
    <x v="0"/>
    <x v="0"/>
    <x v="0"/>
    <x v="0"/>
    <s v="DK1_Rural"/>
    <x v="5"/>
    <s v="GNR_BO_WOODCHI_E-114"/>
    <x v="0"/>
    <x v="17"/>
    <n v="18.260869565217401"/>
    <n v="6665.2173913043498"/>
    <n v="23994.782608695699"/>
  </r>
  <r>
    <x v="0"/>
    <x v="0"/>
    <x v="0"/>
    <x v="0"/>
    <x v="0"/>
    <s v="DK1_Rural"/>
    <x v="5"/>
    <s v="GNR_BO_WOODCHI_E-114"/>
    <x v="0"/>
    <x v="19"/>
    <n v="18.260869565217401"/>
    <n v="6665.2173913043498"/>
    <n v="23994.782608695699"/>
  </r>
  <r>
    <x v="0"/>
    <x v="0"/>
    <x v="0"/>
    <x v="0"/>
    <x v="0"/>
    <s v="DK1_Rural"/>
    <x v="5"/>
    <s v="GNR_BO_WOODCHI_E-114"/>
    <x v="0"/>
    <x v="20"/>
    <n v="18.260869565217401"/>
    <n v="6665.2173913043498"/>
    <n v="23994.782608695699"/>
  </r>
  <r>
    <x v="0"/>
    <x v="0"/>
    <x v="0"/>
    <x v="0"/>
    <x v="0"/>
    <s v="DK1_Rural"/>
    <x v="5"/>
    <s v="GNR_BO_WOODCHI_E-114"/>
    <x v="0"/>
    <x v="21"/>
    <n v="18.260869565217401"/>
    <n v="6665.2173913043498"/>
    <n v="23994.782608695699"/>
  </r>
  <r>
    <x v="0"/>
    <x v="0"/>
    <x v="0"/>
    <x v="0"/>
    <x v="0"/>
    <s v="DK1_Rural"/>
    <x v="5"/>
    <s v="GNR_BO_WOODCHI_E-114"/>
    <x v="0"/>
    <x v="22"/>
    <n v="18.260869565217401"/>
    <n v="6665.2173913043498"/>
    <n v="23994.782608695699"/>
  </r>
  <r>
    <x v="0"/>
    <x v="0"/>
    <x v="0"/>
    <x v="0"/>
    <x v="0"/>
    <s v="DK1_Rural"/>
    <x v="5"/>
    <s v="GNR_BO_WOODCHI_E-114"/>
    <x v="0"/>
    <x v="23"/>
    <n v="18.260869565217401"/>
    <n v="6665.2173913043498"/>
    <n v="23994.782608695699"/>
  </r>
  <r>
    <x v="0"/>
    <x v="0"/>
    <x v="0"/>
    <x v="0"/>
    <x v="0"/>
    <s v="DK1_Rural"/>
    <x v="5"/>
    <s v="GNR_BO_WOODCHI_E-117"/>
    <x v="0"/>
    <x v="0"/>
    <n v="17.094017094017101"/>
    <n v="6239.3162393162402"/>
    <n v="22461.538461538501"/>
  </r>
  <r>
    <x v="0"/>
    <x v="0"/>
    <x v="0"/>
    <x v="0"/>
    <x v="0"/>
    <s v="DK1_Rural"/>
    <x v="5"/>
    <s v="GNR_BO_WOODCHI_E-117"/>
    <x v="0"/>
    <x v="1"/>
    <n v="17.094017094017101"/>
    <n v="6239.3162393162402"/>
    <n v="22461.538461538501"/>
  </r>
  <r>
    <x v="0"/>
    <x v="0"/>
    <x v="0"/>
    <x v="0"/>
    <x v="0"/>
    <s v="DK1_Rural"/>
    <x v="5"/>
    <s v="GNR_BO_WOODCHI_E-117"/>
    <x v="0"/>
    <x v="2"/>
    <n v="17.094017094017101"/>
    <n v="6239.3162393162402"/>
    <n v="22461.538461538501"/>
  </r>
  <r>
    <x v="0"/>
    <x v="0"/>
    <x v="0"/>
    <x v="0"/>
    <x v="0"/>
    <s v="DK1_Rural"/>
    <x v="5"/>
    <s v="GNR_BO_WOODCHI_E-117"/>
    <x v="0"/>
    <x v="3"/>
    <n v="17.094017094017101"/>
    <n v="6239.3162393162402"/>
    <n v="22461.538461538501"/>
  </r>
  <r>
    <x v="0"/>
    <x v="0"/>
    <x v="0"/>
    <x v="0"/>
    <x v="0"/>
    <s v="DK1_Rural"/>
    <x v="5"/>
    <s v="GNR_BO_WOODCHI_E-117"/>
    <x v="0"/>
    <x v="18"/>
    <n v="17.094017094017101"/>
    <n v="6239.3162393162402"/>
    <n v="22461.538461538501"/>
  </r>
  <r>
    <x v="0"/>
    <x v="0"/>
    <x v="0"/>
    <x v="0"/>
    <x v="0"/>
    <s v="DK1_Rural"/>
    <x v="5"/>
    <s v="GNR_BO_WOODCHI_E-117"/>
    <x v="0"/>
    <x v="4"/>
    <n v="17.094017094017101"/>
    <n v="6239.3162393162402"/>
    <n v="22461.538461538501"/>
  </r>
  <r>
    <x v="0"/>
    <x v="0"/>
    <x v="0"/>
    <x v="0"/>
    <x v="0"/>
    <s v="DK1_Rural"/>
    <x v="5"/>
    <s v="GNR_BO_WOODCHI_E-117"/>
    <x v="0"/>
    <x v="5"/>
    <n v="17.094017094017101"/>
    <n v="6239.3162393162402"/>
    <n v="22461.538461538501"/>
  </r>
  <r>
    <x v="0"/>
    <x v="0"/>
    <x v="0"/>
    <x v="0"/>
    <x v="0"/>
    <s v="DK1_Rural"/>
    <x v="5"/>
    <s v="GNR_BO_WOODCHI_E-117"/>
    <x v="0"/>
    <x v="6"/>
    <n v="17.094017094017101"/>
    <n v="6239.3162393162402"/>
    <n v="22461.538461538501"/>
  </r>
  <r>
    <x v="0"/>
    <x v="0"/>
    <x v="0"/>
    <x v="0"/>
    <x v="0"/>
    <s v="DK1_Rural"/>
    <x v="5"/>
    <s v="GNR_BO_WOODCHI_E-117"/>
    <x v="0"/>
    <x v="7"/>
    <n v="17.094017094017101"/>
    <n v="6239.3162393162402"/>
    <n v="22461.538461538501"/>
  </r>
  <r>
    <x v="0"/>
    <x v="0"/>
    <x v="0"/>
    <x v="0"/>
    <x v="0"/>
    <s v="DK1_Rural"/>
    <x v="5"/>
    <s v="GNR_BO_WOODCHI_E-117"/>
    <x v="0"/>
    <x v="8"/>
    <n v="17.094017094017101"/>
    <n v="6239.3162393162402"/>
    <n v="22461.538461538501"/>
  </r>
  <r>
    <x v="0"/>
    <x v="0"/>
    <x v="0"/>
    <x v="0"/>
    <x v="0"/>
    <s v="DK1_Rural"/>
    <x v="5"/>
    <s v="GNR_BO_WOODCHI_E-117"/>
    <x v="0"/>
    <x v="9"/>
    <n v="17.094017094017101"/>
    <n v="6239.3162393162402"/>
    <n v="22461.538461538501"/>
  </r>
  <r>
    <x v="0"/>
    <x v="0"/>
    <x v="0"/>
    <x v="0"/>
    <x v="0"/>
    <s v="DK1_Rural"/>
    <x v="5"/>
    <s v="GNR_BO_WOODCHI_E-117"/>
    <x v="0"/>
    <x v="10"/>
    <n v="17.094017094017101"/>
    <n v="6239.3162393162402"/>
    <n v="22461.538461538501"/>
  </r>
  <r>
    <x v="0"/>
    <x v="0"/>
    <x v="0"/>
    <x v="0"/>
    <x v="0"/>
    <s v="DK1_Rural"/>
    <x v="5"/>
    <s v="GNR_BO_WOODCHI_E-117"/>
    <x v="0"/>
    <x v="11"/>
    <n v="17.094017094017101"/>
    <n v="6239.3162393162402"/>
    <n v="22461.538461538501"/>
  </r>
  <r>
    <x v="0"/>
    <x v="0"/>
    <x v="0"/>
    <x v="0"/>
    <x v="0"/>
    <s v="DK1_Rural"/>
    <x v="5"/>
    <s v="GNR_BO_WOODCHI_E-117"/>
    <x v="0"/>
    <x v="12"/>
    <n v="17.094017094017101"/>
    <n v="6239.3162393162402"/>
    <n v="22461.538461538501"/>
  </r>
  <r>
    <x v="0"/>
    <x v="0"/>
    <x v="0"/>
    <x v="0"/>
    <x v="0"/>
    <s v="DK1_Rural"/>
    <x v="5"/>
    <s v="GNR_BO_WOODCHI_E-117"/>
    <x v="0"/>
    <x v="13"/>
    <n v="17.094017094017101"/>
    <n v="6239.3162393162402"/>
    <n v="22461.538461538501"/>
  </r>
  <r>
    <x v="0"/>
    <x v="0"/>
    <x v="0"/>
    <x v="0"/>
    <x v="0"/>
    <s v="DK1_Rural"/>
    <x v="5"/>
    <s v="GNR_BO_WOODCHI_E-117"/>
    <x v="0"/>
    <x v="14"/>
    <n v="17.094017094017101"/>
    <n v="6239.3162393162402"/>
    <n v="22461.538461538501"/>
  </r>
  <r>
    <x v="0"/>
    <x v="0"/>
    <x v="0"/>
    <x v="0"/>
    <x v="0"/>
    <s v="DK1_Rural"/>
    <x v="5"/>
    <s v="GNR_BO_WOODCHI_E-117"/>
    <x v="0"/>
    <x v="15"/>
    <n v="17.094017094017101"/>
    <n v="6239.3162393162402"/>
    <n v="22461.538461538501"/>
  </r>
  <r>
    <x v="0"/>
    <x v="0"/>
    <x v="0"/>
    <x v="0"/>
    <x v="0"/>
    <s v="DK1_Rural"/>
    <x v="5"/>
    <s v="GNR_BO_WOODCHI_E-117"/>
    <x v="0"/>
    <x v="16"/>
    <n v="17.094017094017101"/>
    <n v="6239.3162393162402"/>
    <n v="22461.538461538501"/>
  </r>
  <r>
    <x v="0"/>
    <x v="0"/>
    <x v="0"/>
    <x v="0"/>
    <x v="0"/>
    <s v="DK1_Rural"/>
    <x v="5"/>
    <s v="GNR_BO_WOODCHI_E-117"/>
    <x v="0"/>
    <x v="17"/>
    <n v="17.094017094017101"/>
    <n v="6239.3162393162402"/>
    <n v="22461.538461538501"/>
  </r>
  <r>
    <x v="0"/>
    <x v="0"/>
    <x v="0"/>
    <x v="0"/>
    <x v="0"/>
    <s v="DK1_Rural"/>
    <x v="5"/>
    <s v="GNR_BO_WOODCHI_E-117"/>
    <x v="0"/>
    <x v="19"/>
    <n v="17.094017094017101"/>
    <n v="6239.3162393162402"/>
    <n v="22461.538461538501"/>
  </r>
  <r>
    <x v="0"/>
    <x v="0"/>
    <x v="0"/>
    <x v="0"/>
    <x v="0"/>
    <s v="DK1_Rural"/>
    <x v="5"/>
    <s v="GNR_BO_WOODCHI_E-117"/>
    <x v="0"/>
    <x v="20"/>
    <n v="17.094017094017101"/>
    <n v="6239.3162393162402"/>
    <n v="22461.538461538501"/>
  </r>
  <r>
    <x v="0"/>
    <x v="0"/>
    <x v="0"/>
    <x v="0"/>
    <x v="0"/>
    <s v="DK1_Rural"/>
    <x v="5"/>
    <s v="GNR_BO_WOODCHI_E-117"/>
    <x v="0"/>
    <x v="21"/>
    <n v="17.094017094017101"/>
    <n v="6239.3162393162402"/>
    <n v="22461.538461538501"/>
  </r>
  <r>
    <x v="0"/>
    <x v="0"/>
    <x v="0"/>
    <x v="0"/>
    <x v="0"/>
    <s v="DK1_Rural"/>
    <x v="5"/>
    <s v="GNR_BO_WOODCHI_E-117"/>
    <x v="0"/>
    <x v="22"/>
    <n v="17.094017094017101"/>
    <n v="6239.3162393162402"/>
    <n v="22461.538461538501"/>
  </r>
  <r>
    <x v="0"/>
    <x v="0"/>
    <x v="0"/>
    <x v="0"/>
    <x v="0"/>
    <s v="DK1_Rural"/>
    <x v="5"/>
    <s v="GNR_BO_WOODCHI_E-117"/>
    <x v="0"/>
    <x v="23"/>
    <n v="17.094017094017101"/>
    <n v="6239.3162393162402"/>
    <n v="22461.538461538501"/>
  </r>
  <r>
    <x v="0"/>
    <x v="0"/>
    <x v="0"/>
    <x v="0"/>
    <x v="0"/>
    <s v="DK1_Rural"/>
    <x v="5"/>
    <s v="GNR_BO_WOODCHI_E-120"/>
    <x v="0"/>
    <x v="0"/>
    <n v="20"/>
    <n v="7300"/>
    <n v="26280"/>
  </r>
  <r>
    <x v="0"/>
    <x v="0"/>
    <x v="0"/>
    <x v="0"/>
    <x v="0"/>
    <s v="DK1_Rural"/>
    <x v="5"/>
    <s v="GNR_BO_WOODCHI_E-120"/>
    <x v="0"/>
    <x v="1"/>
    <n v="20"/>
    <n v="7300"/>
    <n v="26280"/>
  </r>
  <r>
    <x v="0"/>
    <x v="0"/>
    <x v="0"/>
    <x v="0"/>
    <x v="0"/>
    <s v="DK1_Rural"/>
    <x v="5"/>
    <s v="GNR_BO_WOODCHI_E-120"/>
    <x v="0"/>
    <x v="2"/>
    <n v="20"/>
    <n v="7300"/>
    <n v="26280"/>
  </r>
  <r>
    <x v="0"/>
    <x v="0"/>
    <x v="0"/>
    <x v="0"/>
    <x v="0"/>
    <s v="DK1_Rural"/>
    <x v="5"/>
    <s v="GNR_BO_WOODCHI_E-120"/>
    <x v="0"/>
    <x v="3"/>
    <n v="20"/>
    <n v="7300"/>
    <n v="26280"/>
  </r>
  <r>
    <x v="0"/>
    <x v="0"/>
    <x v="0"/>
    <x v="0"/>
    <x v="0"/>
    <s v="DK1_Rural"/>
    <x v="5"/>
    <s v="GNR_BO_WOODCHI_E-120"/>
    <x v="0"/>
    <x v="18"/>
    <n v="20"/>
    <n v="7300"/>
    <n v="26280"/>
  </r>
  <r>
    <x v="0"/>
    <x v="0"/>
    <x v="0"/>
    <x v="0"/>
    <x v="0"/>
    <s v="DK1_Rural"/>
    <x v="5"/>
    <s v="GNR_BO_WOODCHI_E-120"/>
    <x v="0"/>
    <x v="4"/>
    <n v="20"/>
    <n v="7300"/>
    <n v="26280"/>
  </r>
  <r>
    <x v="0"/>
    <x v="0"/>
    <x v="0"/>
    <x v="0"/>
    <x v="0"/>
    <s v="DK1_Rural"/>
    <x v="5"/>
    <s v="GNR_BO_WOODCHI_E-120"/>
    <x v="0"/>
    <x v="5"/>
    <n v="20"/>
    <n v="7300"/>
    <n v="26280"/>
  </r>
  <r>
    <x v="0"/>
    <x v="0"/>
    <x v="0"/>
    <x v="0"/>
    <x v="0"/>
    <s v="DK1_Rural"/>
    <x v="5"/>
    <s v="GNR_BO_WOODCHI_E-120"/>
    <x v="0"/>
    <x v="6"/>
    <n v="20"/>
    <n v="7300"/>
    <n v="26280"/>
  </r>
  <r>
    <x v="0"/>
    <x v="0"/>
    <x v="0"/>
    <x v="0"/>
    <x v="0"/>
    <s v="DK1_Rural"/>
    <x v="5"/>
    <s v="GNR_BO_WOODCHI_E-120"/>
    <x v="0"/>
    <x v="7"/>
    <n v="20"/>
    <n v="7300"/>
    <n v="26280"/>
  </r>
  <r>
    <x v="0"/>
    <x v="0"/>
    <x v="0"/>
    <x v="0"/>
    <x v="0"/>
    <s v="DK1_Rural"/>
    <x v="5"/>
    <s v="GNR_BO_WOODCHI_E-120"/>
    <x v="0"/>
    <x v="8"/>
    <n v="20"/>
    <n v="7300"/>
    <n v="26280"/>
  </r>
  <r>
    <x v="0"/>
    <x v="0"/>
    <x v="0"/>
    <x v="0"/>
    <x v="0"/>
    <s v="DK1_Rural"/>
    <x v="5"/>
    <s v="GNR_BO_WOODCHI_E-120"/>
    <x v="0"/>
    <x v="9"/>
    <n v="20"/>
    <n v="7300"/>
    <n v="26280"/>
  </r>
  <r>
    <x v="0"/>
    <x v="0"/>
    <x v="0"/>
    <x v="0"/>
    <x v="0"/>
    <s v="DK1_Rural"/>
    <x v="5"/>
    <s v="GNR_BO_WOODCHI_E-120"/>
    <x v="0"/>
    <x v="10"/>
    <n v="20"/>
    <n v="7300"/>
    <n v="26280"/>
  </r>
  <r>
    <x v="0"/>
    <x v="0"/>
    <x v="0"/>
    <x v="0"/>
    <x v="0"/>
    <s v="DK1_Rural"/>
    <x v="5"/>
    <s v="GNR_BO_WOODCHI_E-120"/>
    <x v="0"/>
    <x v="11"/>
    <n v="20"/>
    <n v="7300"/>
    <n v="26280"/>
  </r>
  <r>
    <x v="0"/>
    <x v="0"/>
    <x v="0"/>
    <x v="0"/>
    <x v="0"/>
    <s v="DK1_Rural"/>
    <x v="5"/>
    <s v="GNR_BO_WOODCHI_E-120"/>
    <x v="0"/>
    <x v="12"/>
    <n v="20"/>
    <n v="7300"/>
    <n v="26280"/>
  </r>
  <r>
    <x v="0"/>
    <x v="0"/>
    <x v="0"/>
    <x v="0"/>
    <x v="0"/>
    <s v="DK1_Rural"/>
    <x v="5"/>
    <s v="GNR_BO_WOODCHI_E-120"/>
    <x v="0"/>
    <x v="13"/>
    <n v="20"/>
    <n v="7300"/>
    <n v="26280"/>
  </r>
  <r>
    <x v="0"/>
    <x v="0"/>
    <x v="0"/>
    <x v="0"/>
    <x v="0"/>
    <s v="DK1_Rural"/>
    <x v="5"/>
    <s v="GNR_BO_WOODCHI_E-120"/>
    <x v="0"/>
    <x v="14"/>
    <n v="20"/>
    <n v="7300"/>
    <n v="26280"/>
  </r>
  <r>
    <x v="0"/>
    <x v="0"/>
    <x v="0"/>
    <x v="0"/>
    <x v="0"/>
    <s v="DK1_Rural"/>
    <x v="5"/>
    <s v="GNR_BO_WOODCHI_E-120"/>
    <x v="0"/>
    <x v="15"/>
    <n v="20"/>
    <n v="7300"/>
    <n v="26280"/>
  </r>
  <r>
    <x v="0"/>
    <x v="0"/>
    <x v="0"/>
    <x v="0"/>
    <x v="0"/>
    <s v="DK1_Rural"/>
    <x v="5"/>
    <s v="GNR_BO_WOODCHI_E-120"/>
    <x v="0"/>
    <x v="16"/>
    <n v="20"/>
    <n v="7300"/>
    <n v="26280"/>
  </r>
  <r>
    <x v="0"/>
    <x v="0"/>
    <x v="0"/>
    <x v="0"/>
    <x v="0"/>
    <s v="DK1_Rural"/>
    <x v="5"/>
    <s v="GNR_BO_WOODCHI_E-120"/>
    <x v="0"/>
    <x v="17"/>
    <n v="20"/>
    <n v="7300"/>
    <n v="26280"/>
  </r>
  <r>
    <x v="0"/>
    <x v="0"/>
    <x v="0"/>
    <x v="0"/>
    <x v="0"/>
    <s v="DK1_Rural"/>
    <x v="5"/>
    <s v="GNR_BO_WOODCHI_E-120"/>
    <x v="0"/>
    <x v="19"/>
    <n v="20"/>
    <n v="7300"/>
    <n v="26280"/>
  </r>
  <r>
    <x v="0"/>
    <x v="0"/>
    <x v="0"/>
    <x v="0"/>
    <x v="0"/>
    <s v="DK1_Rural"/>
    <x v="5"/>
    <s v="GNR_BO_WOODCHI_E-120"/>
    <x v="0"/>
    <x v="20"/>
    <n v="20"/>
    <n v="7300"/>
    <n v="26280"/>
  </r>
  <r>
    <x v="0"/>
    <x v="0"/>
    <x v="0"/>
    <x v="0"/>
    <x v="0"/>
    <s v="DK1_Rural"/>
    <x v="5"/>
    <s v="GNR_BO_WOODCHI_E-120"/>
    <x v="0"/>
    <x v="21"/>
    <n v="20"/>
    <n v="7300"/>
    <n v="26280"/>
  </r>
  <r>
    <x v="0"/>
    <x v="0"/>
    <x v="0"/>
    <x v="0"/>
    <x v="0"/>
    <s v="DK1_Rural"/>
    <x v="5"/>
    <s v="GNR_BO_WOODCHI_E-120"/>
    <x v="0"/>
    <x v="22"/>
    <n v="20"/>
    <n v="7300"/>
    <n v="26280"/>
  </r>
  <r>
    <x v="0"/>
    <x v="0"/>
    <x v="0"/>
    <x v="0"/>
    <x v="0"/>
    <s v="DK1_Rural"/>
    <x v="5"/>
    <s v="GNR_BO_WOODCHI_E-120"/>
    <x v="0"/>
    <x v="23"/>
    <n v="20"/>
    <n v="7300"/>
    <n v="26280"/>
  </r>
  <r>
    <x v="0"/>
    <x v="0"/>
    <x v="0"/>
    <x v="0"/>
    <x v="0"/>
    <s v="DK1_Rural"/>
    <x v="5"/>
    <s v="GNR_ST_WOODCHI_BP_E-27"/>
    <x v="0"/>
    <x v="5"/>
    <n v="4.5765256367975704"/>
    <n v="1670.4318574311101"/>
    <n v="6013.5546867519997"/>
  </r>
  <r>
    <x v="0"/>
    <x v="0"/>
    <x v="0"/>
    <x v="0"/>
    <x v="0"/>
    <s v="DK1_Rural"/>
    <x v="5"/>
    <s v="GNR_ST_WOODCHI_BP_E-27"/>
    <x v="0"/>
    <x v="6"/>
    <n v="17.407407407407501"/>
    <n v="6353.7037037037198"/>
    <n v="22873.333333333401"/>
  </r>
  <r>
    <x v="0"/>
    <x v="0"/>
    <x v="0"/>
    <x v="0"/>
    <x v="0"/>
    <s v="DK1_Rural"/>
    <x v="5"/>
    <s v="GNR_ST_WOODCHI_BP_E-27"/>
    <x v="0"/>
    <x v="7"/>
    <n v="17.407407407407501"/>
    <n v="6353.7037037037198"/>
    <n v="22873.333333333401"/>
  </r>
  <r>
    <x v="0"/>
    <x v="0"/>
    <x v="0"/>
    <x v="0"/>
    <x v="0"/>
    <s v="DK1_Rural"/>
    <x v="5"/>
    <s v="GNR_ST_WOODCHI_BP_E-27"/>
    <x v="0"/>
    <x v="8"/>
    <n v="17.407407407407501"/>
    <n v="6353.7037037037198"/>
    <n v="22873.333333333401"/>
  </r>
  <r>
    <x v="0"/>
    <x v="0"/>
    <x v="0"/>
    <x v="0"/>
    <x v="0"/>
    <s v="DK1_Rural"/>
    <x v="5"/>
    <s v="GNR_ST_WOODCHI_BP_E-27"/>
    <x v="0"/>
    <x v="9"/>
    <n v="17.407407407407501"/>
    <n v="6353.7037037037198"/>
    <n v="22873.333333333401"/>
  </r>
  <r>
    <x v="0"/>
    <x v="0"/>
    <x v="0"/>
    <x v="0"/>
    <x v="0"/>
    <s v="DK1_Rural"/>
    <x v="5"/>
    <s v="GNR_ST_WOODCHI_BP_E-27"/>
    <x v="0"/>
    <x v="10"/>
    <n v="17.407407407407501"/>
    <n v="6353.7037037037198"/>
    <n v="22873.333333333401"/>
  </r>
  <r>
    <x v="0"/>
    <x v="0"/>
    <x v="0"/>
    <x v="0"/>
    <x v="0"/>
    <s v="DK1_Rural"/>
    <x v="5"/>
    <s v="GNR_ST_WOODCHI_BP_E-27"/>
    <x v="0"/>
    <x v="11"/>
    <n v="17.407407407407501"/>
    <n v="6353.7037037037198"/>
    <n v="22873.333333333401"/>
  </r>
  <r>
    <x v="0"/>
    <x v="0"/>
    <x v="0"/>
    <x v="0"/>
    <x v="0"/>
    <s v="DK1_Rural"/>
    <x v="5"/>
    <s v="GNR_ST_WOODCHI_BP_E-27"/>
    <x v="0"/>
    <x v="12"/>
    <n v="17.407407407407501"/>
    <n v="6353.7037037037198"/>
    <n v="22873.333333333401"/>
  </r>
  <r>
    <x v="0"/>
    <x v="0"/>
    <x v="0"/>
    <x v="0"/>
    <x v="0"/>
    <s v="DK1_Rural"/>
    <x v="5"/>
    <s v="GNR_ST_WOODCHI_BP_E-27"/>
    <x v="0"/>
    <x v="13"/>
    <n v="17.407407407407501"/>
    <n v="6353.7037037037198"/>
    <n v="22873.333333333401"/>
  </r>
  <r>
    <x v="0"/>
    <x v="0"/>
    <x v="0"/>
    <x v="0"/>
    <x v="0"/>
    <s v="DK1_Rural"/>
    <x v="5"/>
    <s v="GNR_ST_WOODCHI_BP_E-27"/>
    <x v="0"/>
    <x v="14"/>
    <n v="17.407407407407501"/>
    <n v="6353.7037037037198"/>
    <n v="22873.333333333401"/>
  </r>
  <r>
    <x v="0"/>
    <x v="0"/>
    <x v="0"/>
    <x v="0"/>
    <x v="0"/>
    <s v="DK1_Rural"/>
    <x v="5"/>
    <s v="GNR_ST_WOODCHI_BP_E-27"/>
    <x v="0"/>
    <x v="15"/>
    <n v="17.407407407407501"/>
    <n v="6353.7037037037198"/>
    <n v="22873.333333333401"/>
  </r>
  <r>
    <x v="0"/>
    <x v="0"/>
    <x v="0"/>
    <x v="0"/>
    <x v="0"/>
    <s v="DK1_Rural"/>
    <x v="5"/>
    <s v="GNR_ST_WOODCHI_BP_E-27"/>
    <x v="0"/>
    <x v="16"/>
    <n v="17.407407407407501"/>
    <n v="6353.7037037037198"/>
    <n v="22873.333333333401"/>
  </r>
  <r>
    <x v="0"/>
    <x v="0"/>
    <x v="0"/>
    <x v="0"/>
    <x v="0"/>
    <s v="DK1_Rural"/>
    <x v="5"/>
    <s v="GNR_ST_WOODCHI_BP_E-27"/>
    <x v="0"/>
    <x v="17"/>
    <n v="17.407407407407501"/>
    <n v="6353.7037037037198"/>
    <n v="22873.333333333401"/>
  </r>
  <r>
    <x v="0"/>
    <x v="0"/>
    <x v="0"/>
    <x v="0"/>
    <x v="0"/>
    <s v="DK1_Rural"/>
    <x v="5"/>
    <s v="GNR_ST_WOODCHI_BP_E-27"/>
    <x v="0"/>
    <x v="19"/>
    <n v="17.407407407407501"/>
    <n v="6353.7037037037198"/>
    <n v="22873.333333333401"/>
  </r>
  <r>
    <x v="0"/>
    <x v="0"/>
    <x v="0"/>
    <x v="0"/>
    <x v="0"/>
    <s v="DK1_Rural"/>
    <x v="9"/>
    <s v="GNR_BO_WOODWST_E-100"/>
    <x v="0"/>
    <x v="0"/>
    <n v="30.75"/>
    <n v="11223.75"/>
    <n v="40405.5"/>
  </r>
  <r>
    <x v="0"/>
    <x v="0"/>
    <x v="0"/>
    <x v="0"/>
    <x v="0"/>
    <s v="DK1_Rural"/>
    <x v="9"/>
    <s v="GNR_BO_WOODWST_E-100"/>
    <x v="0"/>
    <x v="1"/>
    <n v="30.75"/>
    <n v="11223.75"/>
    <n v="40405.5"/>
  </r>
  <r>
    <x v="0"/>
    <x v="0"/>
    <x v="0"/>
    <x v="0"/>
    <x v="0"/>
    <s v="DK1_Rural"/>
    <x v="9"/>
    <s v="GNR_BO_WOODWST_E-100"/>
    <x v="0"/>
    <x v="2"/>
    <n v="30.75"/>
    <n v="11223.75"/>
    <n v="40405.5"/>
  </r>
  <r>
    <x v="0"/>
    <x v="0"/>
    <x v="0"/>
    <x v="0"/>
    <x v="0"/>
    <s v="DK1_Rural"/>
    <x v="9"/>
    <s v="GNR_BO_WOODWST_E-100"/>
    <x v="0"/>
    <x v="3"/>
    <n v="30.75"/>
    <n v="11223.75"/>
    <n v="40405.5"/>
  </r>
  <r>
    <x v="0"/>
    <x v="0"/>
    <x v="0"/>
    <x v="0"/>
    <x v="0"/>
    <s v="DK1_Rural"/>
    <x v="9"/>
    <s v="GNR_BO_WOODWST_E-100"/>
    <x v="0"/>
    <x v="18"/>
    <n v="30.75"/>
    <n v="11223.75"/>
    <n v="40405.5"/>
  </r>
  <r>
    <x v="0"/>
    <x v="0"/>
    <x v="0"/>
    <x v="0"/>
    <x v="0"/>
    <s v="DK1_Rural"/>
    <x v="9"/>
    <s v="GNR_BO_WOODWST_E-100"/>
    <x v="0"/>
    <x v="4"/>
    <n v="30.75"/>
    <n v="11223.75"/>
    <n v="40405.5"/>
  </r>
  <r>
    <x v="0"/>
    <x v="0"/>
    <x v="0"/>
    <x v="0"/>
    <x v="0"/>
    <s v="DK1_Rural"/>
    <x v="9"/>
    <s v="GNR_BO_WOODWST_E-100"/>
    <x v="0"/>
    <x v="5"/>
    <n v="30.75"/>
    <n v="11223.75"/>
    <n v="40405.5"/>
  </r>
  <r>
    <x v="0"/>
    <x v="0"/>
    <x v="0"/>
    <x v="0"/>
    <x v="0"/>
    <s v="DK1_Rural"/>
    <x v="9"/>
    <s v="GNR_BO_WOODWST_E-100"/>
    <x v="0"/>
    <x v="6"/>
    <n v="30.75"/>
    <n v="11223.75"/>
    <n v="40405.5"/>
  </r>
  <r>
    <x v="0"/>
    <x v="0"/>
    <x v="0"/>
    <x v="0"/>
    <x v="0"/>
    <s v="DK1_Rural"/>
    <x v="9"/>
    <s v="GNR_BO_WOODWST_E-100"/>
    <x v="0"/>
    <x v="7"/>
    <n v="30.75"/>
    <n v="11223.75"/>
    <n v="40405.5"/>
  </r>
  <r>
    <x v="0"/>
    <x v="0"/>
    <x v="0"/>
    <x v="0"/>
    <x v="0"/>
    <s v="DK1_Rural"/>
    <x v="9"/>
    <s v="GNR_BO_WOODWST_E-100"/>
    <x v="0"/>
    <x v="8"/>
    <n v="30.75"/>
    <n v="11223.75"/>
    <n v="40405.5"/>
  </r>
  <r>
    <x v="0"/>
    <x v="0"/>
    <x v="0"/>
    <x v="0"/>
    <x v="0"/>
    <s v="DK1_Rural"/>
    <x v="9"/>
    <s v="GNR_BO_WOODWST_E-100"/>
    <x v="0"/>
    <x v="9"/>
    <n v="30.75"/>
    <n v="11223.75"/>
    <n v="40405.5"/>
  </r>
  <r>
    <x v="0"/>
    <x v="0"/>
    <x v="0"/>
    <x v="0"/>
    <x v="0"/>
    <s v="DK1_Rural"/>
    <x v="9"/>
    <s v="GNR_BO_WOODWST_E-100"/>
    <x v="0"/>
    <x v="10"/>
    <n v="30.75"/>
    <n v="11223.75"/>
    <n v="40405.5"/>
  </r>
  <r>
    <x v="0"/>
    <x v="0"/>
    <x v="0"/>
    <x v="0"/>
    <x v="0"/>
    <s v="DK1_Rural"/>
    <x v="9"/>
    <s v="GNR_BO_WOODWST_E-100"/>
    <x v="0"/>
    <x v="11"/>
    <n v="30.75"/>
    <n v="11223.75"/>
    <n v="40405.5"/>
  </r>
  <r>
    <x v="0"/>
    <x v="0"/>
    <x v="0"/>
    <x v="0"/>
    <x v="0"/>
    <s v="DK1_Rural"/>
    <x v="9"/>
    <s v="GNR_BO_WOODWST_E-100"/>
    <x v="0"/>
    <x v="12"/>
    <n v="30.75"/>
    <n v="11223.75"/>
    <n v="40405.5"/>
  </r>
  <r>
    <x v="0"/>
    <x v="0"/>
    <x v="0"/>
    <x v="0"/>
    <x v="0"/>
    <s v="DK1_Rural"/>
    <x v="9"/>
    <s v="GNR_BO_WOODWST_E-100"/>
    <x v="0"/>
    <x v="13"/>
    <n v="30.75"/>
    <n v="11223.75"/>
    <n v="40405.5"/>
  </r>
  <r>
    <x v="0"/>
    <x v="0"/>
    <x v="0"/>
    <x v="0"/>
    <x v="0"/>
    <s v="DK1_Rural"/>
    <x v="9"/>
    <s v="GNR_BO_WOODWST_E-100"/>
    <x v="0"/>
    <x v="14"/>
    <n v="30.75"/>
    <n v="11223.75"/>
    <n v="40405.5"/>
  </r>
  <r>
    <x v="0"/>
    <x v="0"/>
    <x v="0"/>
    <x v="0"/>
    <x v="0"/>
    <s v="DK1_Rural"/>
    <x v="9"/>
    <s v="GNR_BO_WOODWST_E-100"/>
    <x v="0"/>
    <x v="15"/>
    <n v="30.75"/>
    <n v="11223.75"/>
    <n v="40405.5"/>
  </r>
  <r>
    <x v="0"/>
    <x v="0"/>
    <x v="0"/>
    <x v="0"/>
    <x v="0"/>
    <s v="DK1_Rural"/>
    <x v="9"/>
    <s v="GNR_BO_WOODWST_E-100"/>
    <x v="0"/>
    <x v="16"/>
    <n v="30.75"/>
    <n v="11223.75"/>
    <n v="40405.5"/>
  </r>
  <r>
    <x v="0"/>
    <x v="0"/>
    <x v="0"/>
    <x v="0"/>
    <x v="0"/>
    <s v="DK1_Rural"/>
    <x v="9"/>
    <s v="GNR_BO_WOODWST_E-100"/>
    <x v="0"/>
    <x v="17"/>
    <n v="30.75"/>
    <n v="11223.75"/>
    <n v="40405.5"/>
  </r>
  <r>
    <x v="0"/>
    <x v="0"/>
    <x v="0"/>
    <x v="0"/>
    <x v="0"/>
    <s v="DK1_Rural"/>
    <x v="9"/>
    <s v="GNR_BO_WOODWST_E-100"/>
    <x v="0"/>
    <x v="19"/>
    <n v="30.75"/>
    <n v="11223.75"/>
    <n v="40405.5"/>
  </r>
  <r>
    <x v="0"/>
    <x v="0"/>
    <x v="0"/>
    <x v="0"/>
    <x v="0"/>
    <s v="DK1_Rural"/>
    <x v="9"/>
    <s v="GNR_BO_WOODWST_E-100"/>
    <x v="0"/>
    <x v="20"/>
    <n v="30.75"/>
    <n v="11223.75"/>
    <n v="40405.5"/>
  </r>
  <r>
    <x v="0"/>
    <x v="0"/>
    <x v="0"/>
    <x v="0"/>
    <x v="0"/>
    <s v="DK1_Rural"/>
    <x v="9"/>
    <s v="GNR_BO_WOODWST_E-100"/>
    <x v="0"/>
    <x v="21"/>
    <n v="30.75"/>
    <n v="11223.75"/>
    <n v="40405.5"/>
  </r>
  <r>
    <x v="0"/>
    <x v="0"/>
    <x v="0"/>
    <x v="0"/>
    <x v="0"/>
    <s v="DK1_Rural"/>
    <x v="9"/>
    <s v="GNR_BO_WOODWST_E-100"/>
    <x v="0"/>
    <x v="22"/>
    <n v="30.75"/>
    <n v="11223.75"/>
    <n v="40405.5"/>
  </r>
  <r>
    <x v="0"/>
    <x v="0"/>
    <x v="0"/>
    <x v="0"/>
    <x v="0"/>
    <s v="DK1_Rural"/>
    <x v="9"/>
    <s v="GNR_BO_WOODWST_E-100"/>
    <x v="0"/>
    <x v="23"/>
    <n v="30.75"/>
    <n v="11223.75"/>
    <n v="40405.5"/>
  </r>
  <r>
    <x v="0"/>
    <x v="0"/>
    <x v="0"/>
    <x v="0"/>
    <x v="0"/>
    <s v="DK1_Rural"/>
    <x v="9"/>
    <s v="GNR_BO_WOODWST_E-113"/>
    <x v="0"/>
    <x v="0"/>
    <n v="3.5087719298245599"/>
    <n v="1280.7017543859599"/>
    <n v="4610.5263157894697"/>
  </r>
  <r>
    <x v="0"/>
    <x v="0"/>
    <x v="0"/>
    <x v="0"/>
    <x v="0"/>
    <s v="DK1_Rural"/>
    <x v="9"/>
    <s v="GNR_BO_WOODWST_E-113"/>
    <x v="0"/>
    <x v="1"/>
    <n v="3.5087719298245599"/>
    <n v="1280.7017543859599"/>
    <n v="4610.5263157894697"/>
  </r>
  <r>
    <x v="0"/>
    <x v="0"/>
    <x v="0"/>
    <x v="0"/>
    <x v="0"/>
    <s v="DK1_Rural"/>
    <x v="9"/>
    <s v="GNR_BO_WOODWST_E-113"/>
    <x v="0"/>
    <x v="2"/>
    <n v="3.5087719298245599"/>
    <n v="1280.7017543859599"/>
    <n v="4610.5263157894697"/>
  </r>
  <r>
    <x v="0"/>
    <x v="0"/>
    <x v="0"/>
    <x v="0"/>
    <x v="0"/>
    <s v="DK1_Rural"/>
    <x v="9"/>
    <s v="GNR_BO_WOODWST_E-113"/>
    <x v="0"/>
    <x v="3"/>
    <n v="3.5087719298245599"/>
    <n v="1280.7017543859599"/>
    <n v="4610.5263157894697"/>
  </r>
  <r>
    <x v="0"/>
    <x v="0"/>
    <x v="0"/>
    <x v="0"/>
    <x v="0"/>
    <s v="DK1_Rural"/>
    <x v="9"/>
    <s v="GNR_BO_WOODWST_E-113"/>
    <x v="0"/>
    <x v="18"/>
    <n v="3.5087719298245599"/>
    <n v="1280.7017543859599"/>
    <n v="4610.5263157894697"/>
  </r>
  <r>
    <x v="0"/>
    <x v="0"/>
    <x v="0"/>
    <x v="0"/>
    <x v="0"/>
    <s v="DK1_Rural"/>
    <x v="9"/>
    <s v="GNR_BO_WOODWST_E-113"/>
    <x v="0"/>
    <x v="4"/>
    <n v="3.5087719298245599"/>
    <n v="1280.7017543859599"/>
    <n v="4610.5263157894697"/>
  </r>
  <r>
    <x v="0"/>
    <x v="0"/>
    <x v="0"/>
    <x v="0"/>
    <x v="0"/>
    <s v="DK1_Rural"/>
    <x v="9"/>
    <s v="GNR_BO_WOODWST_E-113"/>
    <x v="0"/>
    <x v="5"/>
    <n v="3.5087719298245599"/>
    <n v="1280.7017543859599"/>
    <n v="4610.5263157894697"/>
  </r>
  <r>
    <x v="0"/>
    <x v="0"/>
    <x v="0"/>
    <x v="0"/>
    <x v="0"/>
    <s v="DK1_Rural"/>
    <x v="9"/>
    <s v="GNR_BO_WOODWST_E-113"/>
    <x v="0"/>
    <x v="6"/>
    <n v="3.5087719298245599"/>
    <n v="1280.7017543859599"/>
    <n v="4610.5263157894697"/>
  </r>
  <r>
    <x v="0"/>
    <x v="0"/>
    <x v="0"/>
    <x v="0"/>
    <x v="0"/>
    <s v="DK1_Rural"/>
    <x v="9"/>
    <s v="GNR_BO_WOODWST_E-113"/>
    <x v="0"/>
    <x v="7"/>
    <n v="3.5087719298245599"/>
    <n v="1280.7017543859599"/>
    <n v="4610.5263157894697"/>
  </r>
  <r>
    <x v="0"/>
    <x v="0"/>
    <x v="0"/>
    <x v="0"/>
    <x v="0"/>
    <s v="DK1_Rural"/>
    <x v="9"/>
    <s v="GNR_BO_WOODWST_E-113"/>
    <x v="0"/>
    <x v="8"/>
    <n v="3.5087719298245599"/>
    <n v="1280.7017543859599"/>
    <n v="4610.5263157894697"/>
  </r>
  <r>
    <x v="0"/>
    <x v="0"/>
    <x v="0"/>
    <x v="0"/>
    <x v="0"/>
    <s v="DK1_Rural"/>
    <x v="9"/>
    <s v="GNR_BO_WOODWST_E-113"/>
    <x v="0"/>
    <x v="9"/>
    <n v="3.5087719298245599"/>
    <n v="1280.7017543859599"/>
    <n v="4610.5263157894697"/>
  </r>
  <r>
    <x v="0"/>
    <x v="0"/>
    <x v="0"/>
    <x v="0"/>
    <x v="0"/>
    <s v="DK1_Rural"/>
    <x v="9"/>
    <s v="GNR_BO_WOODWST_E-113"/>
    <x v="0"/>
    <x v="10"/>
    <n v="3.5087719298245599"/>
    <n v="1280.7017543859599"/>
    <n v="4610.5263157894697"/>
  </r>
  <r>
    <x v="0"/>
    <x v="0"/>
    <x v="0"/>
    <x v="0"/>
    <x v="0"/>
    <s v="DK1_Rural"/>
    <x v="9"/>
    <s v="GNR_BO_WOODWST_E-113"/>
    <x v="0"/>
    <x v="11"/>
    <n v="3.5087719298245599"/>
    <n v="1280.7017543859599"/>
    <n v="4610.5263157894697"/>
  </r>
  <r>
    <x v="0"/>
    <x v="0"/>
    <x v="0"/>
    <x v="0"/>
    <x v="0"/>
    <s v="DK1_Rural"/>
    <x v="9"/>
    <s v="GNR_BO_WOODWST_E-113"/>
    <x v="0"/>
    <x v="12"/>
    <n v="3.5087719298245599"/>
    <n v="1280.7017543859599"/>
    <n v="4610.5263157894697"/>
  </r>
  <r>
    <x v="0"/>
    <x v="0"/>
    <x v="0"/>
    <x v="0"/>
    <x v="0"/>
    <s v="DK1_Rural"/>
    <x v="9"/>
    <s v="GNR_BO_WOODWST_E-113"/>
    <x v="0"/>
    <x v="13"/>
    <n v="3.5087719298245599"/>
    <n v="1280.7017543859599"/>
    <n v="4610.5263157894697"/>
  </r>
  <r>
    <x v="0"/>
    <x v="0"/>
    <x v="0"/>
    <x v="0"/>
    <x v="0"/>
    <s v="DK1_Rural"/>
    <x v="9"/>
    <s v="GNR_BO_WOODWST_E-113"/>
    <x v="0"/>
    <x v="14"/>
    <n v="3.5087719298245599"/>
    <n v="1280.7017543859599"/>
    <n v="4610.5263157894697"/>
  </r>
  <r>
    <x v="0"/>
    <x v="0"/>
    <x v="0"/>
    <x v="0"/>
    <x v="0"/>
    <s v="DK1_Rural"/>
    <x v="9"/>
    <s v="GNR_BO_WOODWST_E-113"/>
    <x v="0"/>
    <x v="15"/>
    <n v="3.5087719298245599"/>
    <n v="1280.7017543859599"/>
    <n v="4610.5263157894697"/>
  </r>
  <r>
    <x v="0"/>
    <x v="0"/>
    <x v="0"/>
    <x v="0"/>
    <x v="0"/>
    <s v="DK1_Rural"/>
    <x v="9"/>
    <s v="GNR_BO_WOODWST_E-113"/>
    <x v="0"/>
    <x v="16"/>
    <n v="3.5087719298245599"/>
    <n v="1280.7017543859599"/>
    <n v="4610.5263157894697"/>
  </r>
  <r>
    <x v="0"/>
    <x v="0"/>
    <x v="0"/>
    <x v="0"/>
    <x v="0"/>
    <s v="DK1_Rural"/>
    <x v="9"/>
    <s v="GNR_BO_WOODWST_E-113"/>
    <x v="0"/>
    <x v="17"/>
    <n v="3.5087719298245599"/>
    <n v="1280.7017543859599"/>
    <n v="4610.5263157894697"/>
  </r>
  <r>
    <x v="0"/>
    <x v="0"/>
    <x v="0"/>
    <x v="0"/>
    <x v="0"/>
    <s v="DK1_Rural"/>
    <x v="9"/>
    <s v="GNR_BO_WOODWST_E-113"/>
    <x v="0"/>
    <x v="19"/>
    <n v="3.5087719298245599"/>
    <n v="1280.7017543859599"/>
    <n v="4610.5263157894697"/>
  </r>
  <r>
    <x v="0"/>
    <x v="0"/>
    <x v="0"/>
    <x v="0"/>
    <x v="0"/>
    <s v="DK1_Rural"/>
    <x v="9"/>
    <s v="GNR_BO_WOODWST_E-113"/>
    <x v="0"/>
    <x v="20"/>
    <n v="3.5087719298245599"/>
    <n v="1280.7017543859599"/>
    <n v="4610.5263157894697"/>
  </r>
  <r>
    <x v="0"/>
    <x v="0"/>
    <x v="0"/>
    <x v="0"/>
    <x v="0"/>
    <s v="DK1_Rural"/>
    <x v="9"/>
    <s v="GNR_BO_WOODWST_E-113"/>
    <x v="0"/>
    <x v="21"/>
    <n v="3.5087719298245599"/>
    <n v="1280.7017543859599"/>
    <n v="4610.5263157894697"/>
  </r>
  <r>
    <x v="0"/>
    <x v="0"/>
    <x v="0"/>
    <x v="0"/>
    <x v="0"/>
    <s v="DK1_Rural"/>
    <x v="9"/>
    <s v="GNR_BO_WOODWST_E-113"/>
    <x v="0"/>
    <x v="22"/>
    <n v="3.5087719298245599"/>
    <n v="1280.7017543859599"/>
    <n v="4610.5263157894697"/>
  </r>
  <r>
    <x v="0"/>
    <x v="0"/>
    <x v="0"/>
    <x v="0"/>
    <x v="0"/>
    <s v="DK1_Rural"/>
    <x v="9"/>
    <s v="GNR_BO_WOODWST_E-113"/>
    <x v="0"/>
    <x v="23"/>
    <n v="3.5087719298245599"/>
    <n v="1280.7017543859599"/>
    <n v="4610.5263157894697"/>
  </r>
  <r>
    <x v="0"/>
    <x v="0"/>
    <x v="0"/>
    <x v="0"/>
    <x v="0"/>
    <s v="DK1_Rural"/>
    <x v="9"/>
    <s v="GNR_BO_WOODWST_E-84"/>
    <x v="0"/>
    <x v="0"/>
    <n v="6.9166666666666696"/>
    <n v="2524.5833333333298"/>
    <n v="9088.5"/>
  </r>
  <r>
    <x v="0"/>
    <x v="0"/>
    <x v="0"/>
    <x v="0"/>
    <x v="0"/>
    <s v="DK1_Rural"/>
    <x v="9"/>
    <s v="GNR_BO_WOODWST_E-84"/>
    <x v="0"/>
    <x v="1"/>
    <n v="6.9166666666666696"/>
    <n v="2524.5833333333298"/>
    <n v="9088.5"/>
  </r>
  <r>
    <x v="0"/>
    <x v="0"/>
    <x v="0"/>
    <x v="0"/>
    <x v="0"/>
    <s v="DK1_Rural"/>
    <x v="9"/>
    <s v="GNR_BO_WOODWST_E-84"/>
    <x v="0"/>
    <x v="2"/>
    <n v="6.9166666666666696"/>
    <n v="2524.5833333333298"/>
    <n v="9088.5"/>
  </r>
  <r>
    <x v="0"/>
    <x v="0"/>
    <x v="0"/>
    <x v="0"/>
    <x v="0"/>
    <s v="DK1_Rural"/>
    <x v="9"/>
    <s v="GNR_BO_WOODWST_E-84"/>
    <x v="0"/>
    <x v="3"/>
    <n v="6.9166666666666696"/>
    <n v="2524.5833333333298"/>
    <n v="9088.5"/>
  </r>
  <r>
    <x v="0"/>
    <x v="0"/>
    <x v="0"/>
    <x v="0"/>
    <x v="0"/>
    <s v="DK1_Rural"/>
    <x v="9"/>
    <s v="GNR_BO_WOODWST_E-84"/>
    <x v="0"/>
    <x v="18"/>
    <n v="6.9166666666666696"/>
    <n v="2524.5833333333298"/>
    <n v="9088.5"/>
  </r>
  <r>
    <x v="0"/>
    <x v="0"/>
    <x v="0"/>
    <x v="0"/>
    <x v="0"/>
    <s v="DK1_Rural"/>
    <x v="9"/>
    <s v="GNR_BO_WOODWST_E-84"/>
    <x v="0"/>
    <x v="4"/>
    <n v="6.9166666666666696"/>
    <n v="2524.5833333333298"/>
    <n v="9088.5"/>
  </r>
  <r>
    <x v="0"/>
    <x v="0"/>
    <x v="0"/>
    <x v="0"/>
    <x v="0"/>
    <s v="DK1_Rural"/>
    <x v="9"/>
    <s v="GNR_BO_WOODWST_E-84"/>
    <x v="0"/>
    <x v="5"/>
    <n v="6.9166666666666696"/>
    <n v="2524.5833333333298"/>
    <n v="9088.5"/>
  </r>
  <r>
    <x v="0"/>
    <x v="0"/>
    <x v="0"/>
    <x v="0"/>
    <x v="0"/>
    <s v="DK1_Rural"/>
    <x v="9"/>
    <s v="GNR_BO_WOODWST_E-84"/>
    <x v="0"/>
    <x v="6"/>
    <n v="6.9166666666666696"/>
    <n v="2524.5833333333298"/>
    <n v="9088.5"/>
  </r>
  <r>
    <x v="0"/>
    <x v="0"/>
    <x v="0"/>
    <x v="0"/>
    <x v="0"/>
    <s v="DK1_Rural"/>
    <x v="9"/>
    <s v="GNR_BO_WOODWST_E-84"/>
    <x v="0"/>
    <x v="7"/>
    <n v="6.9166666666666696"/>
    <n v="2524.5833333333298"/>
    <n v="9088.5"/>
  </r>
  <r>
    <x v="0"/>
    <x v="0"/>
    <x v="0"/>
    <x v="0"/>
    <x v="0"/>
    <s v="DK1_Rural"/>
    <x v="9"/>
    <s v="GNR_BO_WOODWST_E-84"/>
    <x v="0"/>
    <x v="8"/>
    <n v="6.9166666666666696"/>
    <n v="2524.5833333333298"/>
    <n v="9088.5"/>
  </r>
  <r>
    <x v="0"/>
    <x v="0"/>
    <x v="0"/>
    <x v="0"/>
    <x v="0"/>
    <s v="DK1_Rural"/>
    <x v="9"/>
    <s v="GNR_BO_WOODWST_E-84"/>
    <x v="0"/>
    <x v="9"/>
    <n v="6.9166666666666696"/>
    <n v="2524.5833333333298"/>
    <n v="9088.5"/>
  </r>
  <r>
    <x v="0"/>
    <x v="0"/>
    <x v="0"/>
    <x v="0"/>
    <x v="0"/>
    <s v="DK1_Rural"/>
    <x v="9"/>
    <s v="GNR_BO_WOODWST_E-84"/>
    <x v="0"/>
    <x v="10"/>
    <n v="6.9166666666666696"/>
    <n v="2524.5833333333298"/>
    <n v="9088.5"/>
  </r>
  <r>
    <x v="0"/>
    <x v="0"/>
    <x v="0"/>
    <x v="0"/>
    <x v="0"/>
    <s v="DK1_Rural"/>
    <x v="9"/>
    <s v="GNR_BO_WOODWST_E-84"/>
    <x v="0"/>
    <x v="11"/>
    <n v="6.9166666666666696"/>
    <n v="2524.5833333333298"/>
    <n v="9088.5"/>
  </r>
  <r>
    <x v="0"/>
    <x v="0"/>
    <x v="0"/>
    <x v="0"/>
    <x v="0"/>
    <s v="DK1_Rural"/>
    <x v="9"/>
    <s v="GNR_BO_WOODWST_E-84"/>
    <x v="0"/>
    <x v="12"/>
    <n v="6.9166666666666696"/>
    <n v="2524.5833333333298"/>
    <n v="9088.5"/>
  </r>
  <r>
    <x v="0"/>
    <x v="0"/>
    <x v="0"/>
    <x v="0"/>
    <x v="0"/>
    <s v="DK1_Rural"/>
    <x v="9"/>
    <s v="GNR_BO_WOODWST_E-84"/>
    <x v="0"/>
    <x v="13"/>
    <n v="6.9166666666666696"/>
    <n v="2524.5833333333298"/>
    <n v="9088.5"/>
  </r>
  <r>
    <x v="0"/>
    <x v="0"/>
    <x v="0"/>
    <x v="0"/>
    <x v="0"/>
    <s v="DK1_Rural"/>
    <x v="9"/>
    <s v="GNR_BO_WOODWST_E-84"/>
    <x v="0"/>
    <x v="14"/>
    <n v="6.9166666666666696"/>
    <n v="2524.5833333333298"/>
    <n v="9088.5"/>
  </r>
  <r>
    <x v="0"/>
    <x v="0"/>
    <x v="0"/>
    <x v="0"/>
    <x v="0"/>
    <s v="DK1_Rural"/>
    <x v="9"/>
    <s v="GNR_BO_WOODWST_E-84"/>
    <x v="0"/>
    <x v="15"/>
    <n v="6.9166666666666696"/>
    <n v="2524.5833333333298"/>
    <n v="9088.5"/>
  </r>
  <r>
    <x v="0"/>
    <x v="0"/>
    <x v="0"/>
    <x v="0"/>
    <x v="0"/>
    <s v="DK1_Rural"/>
    <x v="9"/>
    <s v="GNR_BO_WOODWST_E-84"/>
    <x v="0"/>
    <x v="16"/>
    <n v="6.9166666666666696"/>
    <n v="2524.5833333333298"/>
    <n v="9088.5"/>
  </r>
  <r>
    <x v="0"/>
    <x v="0"/>
    <x v="0"/>
    <x v="0"/>
    <x v="0"/>
    <s v="DK1_Rural"/>
    <x v="9"/>
    <s v="GNR_BO_WOODWST_E-84"/>
    <x v="0"/>
    <x v="17"/>
    <n v="6.9166666666666696"/>
    <n v="2524.5833333333298"/>
    <n v="9088.5"/>
  </r>
  <r>
    <x v="0"/>
    <x v="0"/>
    <x v="0"/>
    <x v="0"/>
    <x v="0"/>
    <s v="DK1_Rural"/>
    <x v="9"/>
    <s v="GNR_BO_WOODWST_E-84"/>
    <x v="0"/>
    <x v="19"/>
    <n v="6.9166666666666696"/>
    <n v="2524.5833333333298"/>
    <n v="9088.5"/>
  </r>
  <r>
    <x v="0"/>
    <x v="0"/>
    <x v="0"/>
    <x v="0"/>
    <x v="0"/>
    <s v="DK1_Rural"/>
    <x v="9"/>
    <s v="GNR_BO_WOODWST_E-84"/>
    <x v="0"/>
    <x v="20"/>
    <n v="6.9166666666666696"/>
    <n v="2524.5833333333298"/>
    <n v="9088.5"/>
  </r>
  <r>
    <x v="0"/>
    <x v="0"/>
    <x v="0"/>
    <x v="0"/>
    <x v="0"/>
    <s v="DK1_Rural"/>
    <x v="9"/>
    <s v="GNR_BO_WOODWST_E-84"/>
    <x v="0"/>
    <x v="21"/>
    <n v="6.9166666666666696"/>
    <n v="2524.5833333333298"/>
    <n v="9088.5"/>
  </r>
  <r>
    <x v="0"/>
    <x v="0"/>
    <x v="0"/>
    <x v="0"/>
    <x v="0"/>
    <s v="DK1_Rural"/>
    <x v="9"/>
    <s v="GNR_BO_WOODWST_E-84"/>
    <x v="0"/>
    <x v="22"/>
    <n v="6.9166666666666696"/>
    <n v="2524.5833333333298"/>
    <n v="9088.5"/>
  </r>
  <r>
    <x v="0"/>
    <x v="0"/>
    <x v="0"/>
    <x v="0"/>
    <x v="0"/>
    <s v="DK1_Rural"/>
    <x v="9"/>
    <s v="GNR_BO_WOODWST_E-84"/>
    <x v="0"/>
    <x v="23"/>
    <n v="6.9166666666666696"/>
    <n v="2524.5833333333298"/>
    <n v="9088.5"/>
  </r>
  <r>
    <x v="0"/>
    <x v="0"/>
    <x v="0"/>
    <x v="0"/>
    <x v="0"/>
    <s v="DK1_Rural"/>
    <x v="9"/>
    <s v="GNR_BO_WOODWST_E-86"/>
    <x v="0"/>
    <x v="0"/>
    <n v="3.4883720930232598"/>
    <n v="1273.2558139534899"/>
    <n v="4583.72093023256"/>
  </r>
  <r>
    <x v="0"/>
    <x v="0"/>
    <x v="0"/>
    <x v="0"/>
    <x v="0"/>
    <s v="DK1_Rural"/>
    <x v="9"/>
    <s v="GNR_BO_WOODWST_E-86"/>
    <x v="0"/>
    <x v="1"/>
    <n v="3.4883720930232598"/>
    <n v="1273.2558139534899"/>
    <n v="4583.72093023256"/>
  </r>
  <r>
    <x v="0"/>
    <x v="0"/>
    <x v="0"/>
    <x v="0"/>
    <x v="0"/>
    <s v="DK1_Rural"/>
    <x v="9"/>
    <s v="GNR_BO_WOODWST_E-86"/>
    <x v="0"/>
    <x v="2"/>
    <n v="3.4883720930232598"/>
    <n v="1273.2558139534899"/>
    <n v="4583.72093023256"/>
  </r>
  <r>
    <x v="0"/>
    <x v="0"/>
    <x v="0"/>
    <x v="0"/>
    <x v="0"/>
    <s v="DK1_Rural"/>
    <x v="9"/>
    <s v="GNR_BO_WOODWST_E-86"/>
    <x v="0"/>
    <x v="3"/>
    <n v="3.4883720930232598"/>
    <n v="1273.2558139534899"/>
    <n v="4583.72093023256"/>
  </r>
  <r>
    <x v="0"/>
    <x v="0"/>
    <x v="0"/>
    <x v="0"/>
    <x v="0"/>
    <s v="DK1_Rural"/>
    <x v="9"/>
    <s v="GNR_BO_WOODWST_E-86"/>
    <x v="0"/>
    <x v="18"/>
    <n v="3.4883720930232598"/>
    <n v="1273.2558139534899"/>
    <n v="4583.72093023256"/>
  </r>
  <r>
    <x v="0"/>
    <x v="0"/>
    <x v="0"/>
    <x v="0"/>
    <x v="0"/>
    <s v="DK1_Rural"/>
    <x v="9"/>
    <s v="GNR_BO_WOODWST_E-86"/>
    <x v="0"/>
    <x v="4"/>
    <n v="3.4883720930232598"/>
    <n v="1273.2558139534899"/>
    <n v="4583.72093023256"/>
  </r>
  <r>
    <x v="0"/>
    <x v="0"/>
    <x v="0"/>
    <x v="0"/>
    <x v="0"/>
    <s v="DK1_Rural"/>
    <x v="9"/>
    <s v="GNR_BO_WOODWST_E-86"/>
    <x v="0"/>
    <x v="5"/>
    <n v="3.4883720930232598"/>
    <n v="1273.2558139534899"/>
    <n v="4583.72093023256"/>
  </r>
  <r>
    <x v="0"/>
    <x v="0"/>
    <x v="0"/>
    <x v="0"/>
    <x v="0"/>
    <s v="DK1_Rural"/>
    <x v="9"/>
    <s v="GNR_BO_WOODWST_E-86"/>
    <x v="0"/>
    <x v="6"/>
    <n v="3.4883720930232598"/>
    <n v="1273.2558139534899"/>
    <n v="4583.72093023256"/>
  </r>
  <r>
    <x v="0"/>
    <x v="0"/>
    <x v="0"/>
    <x v="0"/>
    <x v="0"/>
    <s v="DK1_Rural"/>
    <x v="9"/>
    <s v="GNR_BO_WOODWST_E-86"/>
    <x v="0"/>
    <x v="7"/>
    <n v="3.4883720930232598"/>
    <n v="1273.2558139534899"/>
    <n v="4583.72093023256"/>
  </r>
  <r>
    <x v="0"/>
    <x v="0"/>
    <x v="0"/>
    <x v="0"/>
    <x v="0"/>
    <s v="DK1_Rural"/>
    <x v="9"/>
    <s v="GNR_BO_WOODWST_E-86"/>
    <x v="0"/>
    <x v="8"/>
    <n v="3.4883720930232598"/>
    <n v="1273.2558139534899"/>
    <n v="4583.72093023256"/>
  </r>
  <r>
    <x v="0"/>
    <x v="0"/>
    <x v="0"/>
    <x v="0"/>
    <x v="0"/>
    <s v="DK1_Rural"/>
    <x v="9"/>
    <s v="GNR_BO_WOODWST_E-86"/>
    <x v="0"/>
    <x v="9"/>
    <n v="3.4883720930232598"/>
    <n v="1273.2558139534899"/>
    <n v="4583.72093023256"/>
  </r>
  <r>
    <x v="0"/>
    <x v="0"/>
    <x v="0"/>
    <x v="0"/>
    <x v="0"/>
    <s v="DK1_Rural"/>
    <x v="9"/>
    <s v="GNR_BO_WOODWST_E-86"/>
    <x v="0"/>
    <x v="10"/>
    <n v="3.4883720930232598"/>
    <n v="1273.2558139534899"/>
    <n v="4583.72093023256"/>
  </r>
  <r>
    <x v="0"/>
    <x v="0"/>
    <x v="0"/>
    <x v="0"/>
    <x v="0"/>
    <s v="DK1_Rural"/>
    <x v="9"/>
    <s v="GNR_BO_WOODWST_E-86"/>
    <x v="0"/>
    <x v="11"/>
    <n v="3.4883720930232598"/>
    <n v="1273.2558139534899"/>
    <n v="4583.72093023256"/>
  </r>
  <r>
    <x v="0"/>
    <x v="0"/>
    <x v="0"/>
    <x v="0"/>
    <x v="0"/>
    <s v="DK1_Rural"/>
    <x v="9"/>
    <s v="GNR_BO_WOODWST_E-86"/>
    <x v="0"/>
    <x v="12"/>
    <n v="3.4883720930232598"/>
    <n v="1273.2558139534899"/>
    <n v="4583.72093023256"/>
  </r>
  <r>
    <x v="0"/>
    <x v="0"/>
    <x v="0"/>
    <x v="0"/>
    <x v="0"/>
    <s v="DK1_Rural"/>
    <x v="9"/>
    <s v="GNR_BO_WOODWST_E-86"/>
    <x v="0"/>
    <x v="13"/>
    <n v="3.4883720930232598"/>
    <n v="1273.2558139534899"/>
    <n v="4583.72093023256"/>
  </r>
  <r>
    <x v="0"/>
    <x v="0"/>
    <x v="0"/>
    <x v="0"/>
    <x v="0"/>
    <s v="DK1_Rural"/>
    <x v="9"/>
    <s v="GNR_BO_WOODWST_E-86"/>
    <x v="0"/>
    <x v="14"/>
    <n v="3.4883720930232598"/>
    <n v="1273.2558139534899"/>
    <n v="4583.72093023256"/>
  </r>
  <r>
    <x v="0"/>
    <x v="0"/>
    <x v="0"/>
    <x v="0"/>
    <x v="0"/>
    <s v="DK1_Rural"/>
    <x v="9"/>
    <s v="GNR_BO_WOODWST_E-86"/>
    <x v="0"/>
    <x v="15"/>
    <n v="3.4883720930232598"/>
    <n v="1273.2558139534899"/>
    <n v="4583.72093023256"/>
  </r>
  <r>
    <x v="0"/>
    <x v="0"/>
    <x v="0"/>
    <x v="0"/>
    <x v="0"/>
    <s v="DK1_Rural"/>
    <x v="9"/>
    <s v="GNR_BO_WOODWST_E-86"/>
    <x v="0"/>
    <x v="16"/>
    <n v="3.4883720930232598"/>
    <n v="1273.2558139534899"/>
    <n v="4583.72093023256"/>
  </r>
  <r>
    <x v="0"/>
    <x v="0"/>
    <x v="0"/>
    <x v="0"/>
    <x v="0"/>
    <s v="DK1_Rural"/>
    <x v="9"/>
    <s v="GNR_BO_WOODWST_E-86"/>
    <x v="0"/>
    <x v="17"/>
    <n v="3.4883720930232598"/>
    <n v="1273.2558139534899"/>
    <n v="4583.72093023256"/>
  </r>
  <r>
    <x v="0"/>
    <x v="0"/>
    <x v="0"/>
    <x v="0"/>
    <x v="0"/>
    <s v="DK1_Rural"/>
    <x v="9"/>
    <s v="GNR_BO_WOODWST_E-86"/>
    <x v="0"/>
    <x v="19"/>
    <n v="3.4883720930232598"/>
    <n v="1273.2558139534899"/>
    <n v="4583.72093023256"/>
  </r>
  <r>
    <x v="0"/>
    <x v="0"/>
    <x v="0"/>
    <x v="0"/>
    <x v="0"/>
    <s v="DK1_Rural"/>
    <x v="9"/>
    <s v="GNR_BO_WOODWST_E-86"/>
    <x v="0"/>
    <x v="20"/>
    <n v="3.4883720930232598"/>
    <n v="1273.2558139534899"/>
    <n v="4583.72093023256"/>
  </r>
  <r>
    <x v="0"/>
    <x v="0"/>
    <x v="0"/>
    <x v="0"/>
    <x v="0"/>
    <s v="DK1_Rural"/>
    <x v="9"/>
    <s v="GNR_BO_WOODWST_E-86"/>
    <x v="0"/>
    <x v="21"/>
    <n v="3.4883720930232598"/>
    <n v="1273.2558139534899"/>
    <n v="4583.72093023256"/>
  </r>
  <r>
    <x v="0"/>
    <x v="0"/>
    <x v="0"/>
    <x v="0"/>
    <x v="0"/>
    <s v="DK1_Rural"/>
    <x v="9"/>
    <s v="GNR_BO_WOODWST_E-86"/>
    <x v="0"/>
    <x v="22"/>
    <n v="3.4883720930232598"/>
    <n v="1273.2558139534899"/>
    <n v="4583.72093023256"/>
  </r>
  <r>
    <x v="0"/>
    <x v="0"/>
    <x v="0"/>
    <x v="0"/>
    <x v="0"/>
    <s v="DK1_Rural"/>
    <x v="9"/>
    <s v="GNR_BO_WOODWST_E-86"/>
    <x v="0"/>
    <x v="23"/>
    <n v="3.4883720930232598"/>
    <n v="1273.2558139534899"/>
    <n v="4583.72093023256"/>
  </r>
  <r>
    <x v="0"/>
    <x v="0"/>
    <x v="0"/>
    <x v="0"/>
    <x v="0"/>
    <s v="DK1_Rural"/>
    <x v="9"/>
    <s v="GNR_BO_WOODWST_E-89"/>
    <x v="0"/>
    <x v="0"/>
    <n v="7.8651685393258397"/>
    <n v="2870.7865168539302"/>
    <n v="10334.831460674201"/>
  </r>
  <r>
    <x v="0"/>
    <x v="0"/>
    <x v="0"/>
    <x v="0"/>
    <x v="0"/>
    <s v="DK1_Rural"/>
    <x v="9"/>
    <s v="GNR_BO_WOODWST_E-89"/>
    <x v="0"/>
    <x v="1"/>
    <n v="7.8651685393258397"/>
    <n v="2870.7865168539302"/>
    <n v="10334.831460674201"/>
  </r>
  <r>
    <x v="0"/>
    <x v="0"/>
    <x v="0"/>
    <x v="0"/>
    <x v="0"/>
    <s v="DK1_Rural"/>
    <x v="9"/>
    <s v="GNR_BO_WOODWST_E-89"/>
    <x v="0"/>
    <x v="2"/>
    <n v="7.8651685393258397"/>
    <n v="2870.7865168539302"/>
    <n v="10334.831460674201"/>
  </r>
  <r>
    <x v="0"/>
    <x v="0"/>
    <x v="0"/>
    <x v="0"/>
    <x v="0"/>
    <s v="DK1_Rural"/>
    <x v="9"/>
    <s v="GNR_BO_WOODWST_E-89"/>
    <x v="0"/>
    <x v="3"/>
    <n v="7.8651685393258397"/>
    <n v="2870.7865168539302"/>
    <n v="10334.831460674201"/>
  </r>
  <r>
    <x v="0"/>
    <x v="0"/>
    <x v="0"/>
    <x v="0"/>
    <x v="0"/>
    <s v="DK1_Rural"/>
    <x v="9"/>
    <s v="GNR_BO_WOODWST_E-89"/>
    <x v="0"/>
    <x v="18"/>
    <n v="7.8651685393258397"/>
    <n v="2870.7865168539302"/>
    <n v="10334.831460674201"/>
  </r>
  <r>
    <x v="0"/>
    <x v="0"/>
    <x v="0"/>
    <x v="0"/>
    <x v="0"/>
    <s v="DK1_Rural"/>
    <x v="9"/>
    <s v="GNR_BO_WOODWST_E-89"/>
    <x v="0"/>
    <x v="4"/>
    <n v="7.8651685393258397"/>
    <n v="2870.7865168539302"/>
    <n v="10334.831460674201"/>
  </r>
  <r>
    <x v="0"/>
    <x v="0"/>
    <x v="0"/>
    <x v="0"/>
    <x v="0"/>
    <s v="DK1_Rural"/>
    <x v="9"/>
    <s v="GNR_BO_WOODWST_E-89"/>
    <x v="0"/>
    <x v="5"/>
    <n v="7.8651685393258397"/>
    <n v="2870.7865168539302"/>
    <n v="10334.831460674201"/>
  </r>
  <r>
    <x v="0"/>
    <x v="0"/>
    <x v="0"/>
    <x v="0"/>
    <x v="0"/>
    <s v="DK1_Rural"/>
    <x v="9"/>
    <s v="GNR_BO_WOODWST_E-89"/>
    <x v="0"/>
    <x v="6"/>
    <n v="7.8651685393258397"/>
    <n v="2870.7865168539302"/>
    <n v="10334.831460674201"/>
  </r>
  <r>
    <x v="0"/>
    <x v="0"/>
    <x v="0"/>
    <x v="0"/>
    <x v="0"/>
    <s v="DK1_Rural"/>
    <x v="9"/>
    <s v="GNR_BO_WOODWST_E-89"/>
    <x v="0"/>
    <x v="7"/>
    <n v="7.8651685393258397"/>
    <n v="2870.7865168539302"/>
    <n v="10334.831460674201"/>
  </r>
  <r>
    <x v="0"/>
    <x v="0"/>
    <x v="0"/>
    <x v="0"/>
    <x v="0"/>
    <s v="DK1_Rural"/>
    <x v="9"/>
    <s v="GNR_BO_WOODWST_E-89"/>
    <x v="0"/>
    <x v="8"/>
    <n v="7.8651685393258397"/>
    <n v="2870.7865168539302"/>
    <n v="10334.831460674201"/>
  </r>
  <r>
    <x v="0"/>
    <x v="0"/>
    <x v="0"/>
    <x v="0"/>
    <x v="0"/>
    <s v="DK1_Rural"/>
    <x v="9"/>
    <s v="GNR_BO_WOODWST_E-89"/>
    <x v="0"/>
    <x v="9"/>
    <n v="7.8651685393258397"/>
    <n v="2870.7865168539302"/>
    <n v="10334.831460674201"/>
  </r>
  <r>
    <x v="0"/>
    <x v="0"/>
    <x v="0"/>
    <x v="0"/>
    <x v="0"/>
    <s v="DK1_Rural"/>
    <x v="9"/>
    <s v="GNR_BO_WOODWST_E-89"/>
    <x v="0"/>
    <x v="10"/>
    <n v="7.8651685393258397"/>
    <n v="2870.7865168539302"/>
    <n v="10334.831460674201"/>
  </r>
  <r>
    <x v="0"/>
    <x v="0"/>
    <x v="0"/>
    <x v="0"/>
    <x v="0"/>
    <s v="DK1_Rural"/>
    <x v="9"/>
    <s v="GNR_BO_WOODWST_E-89"/>
    <x v="0"/>
    <x v="11"/>
    <n v="7.8651685393258397"/>
    <n v="2870.7865168539302"/>
    <n v="10334.831460674201"/>
  </r>
  <r>
    <x v="0"/>
    <x v="0"/>
    <x v="0"/>
    <x v="0"/>
    <x v="0"/>
    <s v="DK1_Rural"/>
    <x v="9"/>
    <s v="GNR_BO_WOODWST_E-89"/>
    <x v="0"/>
    <x v="12"/>
    <n v="7.8651685393258397"/>
    <n v="2870.7865168539302"/>
    <n v="10334.831460674201"/>
  </r>
  <r>
    <x v="0"/>
    <x v="0"/>
    <x v="0"/>
    <x v="0"/>
    <x v="0"/>
    <s v="DK1_Rural"/>
    <x v="9"/>
    <s v="GNR_BO_WOODWST_E-89"/>
    <x v="0"/>
    <x v="13"/>
    <n v="7.8651685393258397"/>
    <n v="2870.7865168539302"/>
    <n v="10334.831460674201"/>
  </r>
  <r>
    <x v="0"/>
    <x v="0"/>
    <x v="0"/>
    <x v="0"/>
    <x v="0"/>
    <s v="DK1_Rural"/>
    <x v="9"/>
    <s v="GNR_BO_WOODWST_E-89"/>
    <x v="0"/>
    <x v="14"/>
    <n v="7.8651685393258397"/>
    <n v="2870.7865168539302"/>
    <n v="10334.831460674201"/>
  </r>
  <r>
    <x v="0"/>
    <x v="0"/>
    <x v="0"/>
    <x v="0"/>
    <x v="0"/>
    <s v="DK1_Rural"/>
    <x v="9"/>
    <s v="GNR_BO_WOODWST_E-89"/>
    <x v="0"/>
    <x v="15"/>
    <n v="7.8651685393258397"/>
    <n v="2870.7865168539302"/>
    <n v="10334.831460674201"/>
  </r>
  <r>
    <x v="0"/>
    <x v="0"/>
    <x v="0"/>
    <x v="0"/>
    <x v="0"/>
    <s v="DK1_Rural"/>
    <x v="9"/>
    <s v="GNR_BO_WOODWST_E-89"/>
    <x v="0"/>
    <x v="16"/>
    <n v="7.8651685393258397"/>
    <n v="2870.7865168539302"/>
    <n v="10334.831460674201"/>
  </r>
  <r>
    <x v="0"/>
    <x v="0"/>
    <x v="0"/>
    <x v="0"/>
    <x v="0"/>
    <s v="DK1_Rural"/>
    <x v="9"/>
    <s v="GNR_BO_WOODWST_E-89"/>
    <x v="0"/>
    <x v="17"/>
    <n v="7.8651685393258397"/>
    <n v="2870.7865168539302"/>
    <n v="10334.831460674201"/>
  </r>
  <r>
    <x v="0"/>
    <x v="0"/>
    <x v="0"/>
    <x v="0"/>
    <x v="0"/>
    <s v="DK1_Rural"/>
    <x v="9"/>
    <s v="GNR_BO_WOODWST_E-89"/>
    <x v="0"/>
    <x v="19"/>
    <n v="7.8651685393258397"/>
    <n v="2870.7865168539302"/>
    <n v="10334.831460674201"/>
  </r>
  <r>
    <x v="0"/>
    <x v="0"/>
    <x v="0"/>
    <x v="0"/>
    <x v="0"/>
    <s v="DK1_Rural"/>
    <x v="9"/>
    <s v="GNR_BO_WOODWST_E-89"/>
    <x v="0"/>
    <x v="20"/>
    <n v="7.8651685393258397"/>
    <n v="2870.7865168539302"/>
    <n v="10334.831460674201"/>
  </r>
  <r>
    <x v="0"/>
    <x v="0"/>
    <x v="0"/>
    <x v="0"/>
    <x v="0"/>
    <s v="DK1_Rural"/>
    <x v="9"/>
    <s v="GNR_BO_WOODWST_E-89"/>
    <x v="0"/>
    <x v="21"/>
    <n v="7.8651685393258397"/>
    <n v="2870.7865168539302"/>
    <n v="10334.831460674201"/>
  </r>
  <r>
    <x v="0"/>
    <x v="0"/>
    <x v="0"/>
    <x v="0"/>
    <x v="0"/>
    <s v="DK1_Rural"/>
    <x v="9"/>
    <s v="GNR_BO_WOODWST_E-89"/>
    <x v="0"/>
    <x v="22"/>
    <n v="7.8651685393258397"/>
    <n v="2870.7865168539302"/>
    <n v="10334.831460674201"/>
  </r>
  <r>
    <x v="0"/>
    <x v="0"/>
    <x v="0"/>
    <x v="0"/>
    <x v="0"/>
    <s v="DK1_Rural"/>
    <x v="9"/>
    <s v="GNR_BO_WOODWST_E-89"/>
    <x v="0"/>
    <x v="23"/>
    <n v="7.8651685393258397"/>
    <n v="2870.7865168539302"/>
    <n v="10334.831460674201"/>
  </r>
  <r>
    <x v="0"/>
    <x v="0"/>
    <x v="0"/>
    <x v="0"/>
    <x v="0"/>
    <s v="DK1_Rural"/>
    <x v="9"/>
    <s v="GNR_BO_WOODWST_E-90"/>
    <x v="0"/>
    <x v="0"/>
    <n v="10"/>
    <n v="3650"/>
    <n v="13140"/>
  </r>
  <r>
    <x v="0"/>
    <x v="0"/>
    <x v="0"/>
    <x v="0"/>
    <x v="0"/>
    <s v="DK1_Rural"/>
    <x v="9"/>
    <s v="GNR_BO_WOODWST_E-90"/>
    <x v="0"/>
    <x v="1"/>
    <n v="10"/>
    <n v="3650"/>
    <n v="13140"/>
  </r>
  <r>
    <x v="0"/>
    <x v="0"/>
    <x v="0"/>
    <x v="0"/>
    <x v="0"/>
    <s v="DK1_Rural"/>
    <x v="9"/>
    <s v="GNR_BO_WOODWST_E-90"/>
    <x v="0"/>
    <x v="2"/>
    <n v="10"/>
    <n v="3650"/>
    <n v="13140"/>
  </r>
  <r>
    <x v="0"/>
    <x v="0"/>
    <x v="0"/>
    <x v="0"/>
    <x v="0"/>
    <s v="DK1_Rural"/>
    <x v="9"/>
    <s v="GNR_BO_WOODWST_E-90"/>
    <x v="0"/>
    <x v="3"/>
    <n v="10"/>
    <n v="3650"/>
    <n v="13140"/>
  </r>
  <r>
    <x v="0"/>
    <x v="0"/>
    <x v="0"/>
    <x v="0"/>
    <x v="0"/>
    <s v="DK1_Rural"/>
    <x v="9"/>
    <s v="GNR_BO_WOODWST_E-90"/>
    <x v="0"/>
    <x v="18"/>
    <n v="10"/>
    <n v="3650"/>
    <n v="13140"/>
  </r>
  <r>
    <x v="0"/>
    <x v="0"/>
    <x v="0"/>
    <x v="0"/>
    <x v="0"/>
    <s v="DK1_Rural"/>
    <x v="9"/>
    <s v="GNR_BO_WOODWST_E-90"/>
    <x v="0"/>
    <x v="4"/>
    <n v="10"/>
    <n v="3650"/>
    <n v="13140"/>
  </r>
  <r>
    <x v="0"/>
    <x v="0"/>
    <x v="0"/>
    <x v="0"/>
    <x v="0"/>
    <s v="DK1_Rural"/>
    <x v="9"/>
    <s v="GNR_BO_WOODWST_E-90"/>
    <x v="0"/>
    <x v="5"/>
    <n v="10"/>
    <n v="3650"/>
    <n v="13140"/>
  </r>
  <r>
    <x v="0"/>
    <x v="0"/>
    <x v="0"/>
    <x v="0"/>
    <x v="0"/>
    <s v="DK1_Rural"/>
    <x v="9"/>
    <s v="GNR_BO_WOODWST_E-90"/>
    <x v="0"/>
    <x v="6"/>
    <n v="10"/>
    <n v="3650"/>
    <n v="13140"/>
  </r>
  <r>
    <x v="0"/>
    <x v="0"/>
    <x v="0"/>
    <x v="0"/>
    <x v="0"/>
    <s v="DK1_Rural"/>
    <x v="9"/>
    <s v="GNR_BO_WOODWST_E-90"/>
    <x v="0"/>
    <x v="7"/>
    <n v="10"/>
    <n v="3650"/>
    <n v="13140"/>
  </r>
  <r>
    <x v="0"/>
    <x v="0"/>
    <x v="0"/>
    <x v="0"/>
    <x v="0"/>
    <s v="DK1_Rural"/>
    <x v="9"/>
    <s v="GNR_BO_WOODWST_E-90"/>
    <x v="0"/>
    <x v="8"/>
    <n v="10"/>
    <n v="3650"/>
    <n v="13140"/>
  </r>
  <r>
    <x v="0"/>
    <x v="0"/>
    <x v="0"/>
    <x v="0"/>
    <x v="0"/>
    <s v="DK1_Rural"/>
    <x v="9"/>
    <s v="GNR_BO_WOODWST_E-90"/>
    <x v="0"/>
    <x v="9"/>
    <n v="10"/>
    <n v="3650"/>
    <n v="13140"/>
  </r>
  <r>
    <x v="0"/>
    <x v="0"/>
    <x v="0"/>
    <x v="0"/>
    <x v="0"/>
    <s v="DK1_Rural"/>
    <x v="9"/>
    <s v="GNR_BO_WOODWST_E-90"/>
    <x v="0"/>
    <x v="10"/>
    <n v="10"/>
    <n v="3650"/>
    <n v="13140"/>
  </r>
  <r>
    <x v="0"/>
    <x v="0"/>
    <x v="0"/>
    <x v="0"/>
    <x v="0"/>
    <s v="DK1_Rural"/>
    <x v="9"/>
    <s v="GNR_BO_WOODWST_E-90"/>
    <x v="0"/>
    <x v="11"/>
    <n v="10"/>
    <n v="3650"/>
    <n v="13140"/>
  </r>
  <r>
    <x v="0"/>
    <x v="0"/>
    <x v="0"/>
    <x v="0"/>
    <x v="0"/>
    <s v="DK1_Rural"/>
    <x v="9"/>
    <s v="GNR_BO_WOODWST_E-90"/>
    <x v="0"/>
    <x v="12"/>
    <n v="10"/>
    <n v="3650"/>
    <n v="13140"/>
  </r>
  <r>
    <x v="0"/>
    <x v="0"/>
    <x v="0"/>
    <x v="0"/>
    <x v="0"/>
    <s v="DK1_Rural"/>
    <x v="9"/>
    <s v="GNR_BO_WOODWST_E-90"/>
    <x v="0"/>
    <x v="13"/>
    <n v="10"/>
    <n v="3650"/>
    <n v="13140"/>
  </r>
  <r>
    <x v="0"/>
    <x v="0"/>
    <x v="0"/>
    <x v="0"/>
    <x v="0"/>
    <s v="DK1_Rural"/>
    <x v="9"/>
    <s v="GNR_BO_WOODWST_E-90"/>
    <x v="0"/>
    <x v="14"/>
    <n v="10"/>
    <n v="3650"/>
    <n v="13140"/>
  </r>
  <r>
    <x v="0"/>
    <x v="0"/>
    <x v="0"/>
    <x v="0"/>
    <x v="0"/>
    <s v="DK1_Rural"/>
    <x v="9"/>
    <s v="GNR_BO_WOODWST_E-90"/>
    <x v="0"/>
    <x v="15"/>
    <n v="10"/>
    <n v="3650"/>
    <n v="13140"/>
  </r>
  <r>
    <x v="0"/>
    <x v="0"/>
    <x v="0"/>
    <x v="0"/>
    <x v="0"/>
    <s v="DK1_Rural"/>
    <x v="9"/>
    <s v="GNR_BO_WOODWST_E-90"/>
    <x v="0"/>
    <x v="16"/>
    <n v="10"/>
    <n v="3650"/>
    <n v="13140"/>
  </r>
  <r>
    <x v="0"/>
    <x v="0"/>
    <x v="0"/>
    <x v="0"/>
    <x v="0"/>
    <s v="DK1_Rural"/>
    <x v="9"/>
    <s v="GNR_BO_WOODWST_E-90"/>
    <x v="0"/>
    <x v="17"/>
    <n v="10"/>
    <n v="3650"/>
    <n v="13140"/>
  </r>
  <r>
    <x v="0"/>
    <x v="0"/>
    <x v="0"/>
    <x v="0"/>
    <x v="0"/>
    <s v="DK1_Rural"/>
    <x v="9"/>
    <s v="GNR_BO_WOODWST_E-90"/>
    <x v="0"/>
    <x v="19"/>
    <n v="10"/>
    <n v="3650"/>
    <n v="13140"/>
  </r>
  <r>
    <x v="0"/>
    <x v="0"/>
    <x v="0"/>
    <x v="0"/>
    <x v="0"/>
    <s v="DK1_Rural"/>
    <x v="9"/>
    <s v="GNR_BO_WOODWST_E-90"/>
    <x v="0"/>
    <x v="20"/>
    <n v="10"/>
    <n v="3650"/>
    <n v="13140"/>
  </r>
  <r>
    <x v="0"/>
    <x v="0"/>
    <x v="0"/>
    <x v="0"/>
    <x v="0"/>
    <s v="DK1_Rural"/>
    <x v="9"/>
    <s v="GNR_BO_WOODWST_E-90"/>
    <x v="0"/>
    <x v="21"/>
    <n v="10"/>
    <n v="3650"/>
    <n v="13140"/>
  </r>
  <r>
    <x v="0"/>
    <x v="0"/>
    <x v="0"/>
    <x v="0"/>
    <x v="0"/>
    <s v="DK1_Rural"/>
    <x v="9"/>
    <s v="GNR_BO_WOODWST_E-90"/>
    <x v="0"/>
    <x v="22"/>
    <n v="10"/>
    <n v="3650"/>
    <n v="13140"/>
  </r>
  <r>
    <x v="0"/>
    <x v="0"/>
    <x v="0"/>
    <x v="0"/>
    <x v="0"/>
    <s v="DK1_Rural"/>
    <x v="9"/>
    <s v="GNR_BO_WOODWST_E-90"/>
    <x v="0"/>
    <x v="23"/>
    <n v="10"/>
    <n v="3650"/>
    <n v="13140"/>
  </r>
  <r>
    <x v="0"/>
    <x v="0"/>
    <x v="0"/>
    <x v="0"/>
    <x v="0"/>
    <s v="DK1_Rural"/>
    <x v="9"/>
    <s v="GNR_BO_WOODWST_E-91"/>
    <x v="0"/>
    <x v="0"/>
    <n v="3.4615384615384599"/>
    <n v="1263.4615384615399"/>
    <n v="4548.4615384615399"/>
  </r>
  <r>
    <x v="0"/>
    <x v="0"/>
    <x v="0"/>
    <x v="0"/>
    <x v="0"/>
    <s v="DK1_Rural"/>
    <x v="9"/>
    <s v="GNR_BO_WOODWST_E-91"/>
    <x v="0"/>
    <x v="1"/>
    <n v="3.4615384615384599"/>
    <n v="1263.4615384615399"/>
    <n v="4548.4615384615399"/>
  </r>
  <r>
    <x v="0"/>
    <x v="0"/>
    <x v="0"/>
    <x v="0"/>
    <x v="0"/>
    <s v="DK1_Rural"/>
    <x v="9"/>
    <s v="GNR_BO_WOODWST_E-91"/>
    <x v="0"/>
    <x v="2"/>
    <n v="3.4615384615384599"/>
    <n v="1263.4615384615399"/>
    <n v="4548.4615384615399"/>
  </r>
  <r>
    <x v="0"/>
    <x v="0"/>
    <x v="0"/>
    <x v="0"/>
    <x v="0"/>
    <s v="DK1_Rural"/>
    <x v="9"/>
    <s v="GNR_BO_WOODWST_E-91"/>
    <x v="0"/>
    <x v="3"/>
    <n v="3.4615384615384599"/>
    <n v="1263.4615384615399"/>
    <n v="4548.4615384615399"/>
  </r>
  <r>
    <x v="0"/>
    <x v="0"/>
    <x v="0"/>
    <x v="0"/>
    <x v="0"/>
    <s v="DK1_Rural"/>
    <x v="9"/>
    <s v="GNR_BO_WOODWST_E-91"/>
    <x v="0"/>
    <x v="18"/>
    <n v="3.4615384615384599"/>
    <n v="1263.4615384615399"/>
    <n v="4548.4615384615399"/>
  </r>
  <r>
    <x v="0"/>
    <x v="0"/>
    <x v="0"/>
    <x v="0"/>
    <x v="0"/>
    <s v="DK1_Rural"/>
    <x v="9"/>
    <s v="GNR_BO_WOODWST_E-91"/>
    <x v="0"/>
    <x v="4"/>
    <n v="3.4615384615384599"/>
    <n v="1263.4615384615399"/>
    <n v="4548.4615384615399"/>
  </r>
  <r>
    <x v="0"/>
    <x v="0"/>
    <x v="0"/>
    <x v="0"/>
    <x v="0"/>
    <s v="DK1_Rural"/>
    <x v="9"/>
    <s v="GNR_BO_WOODWST_E-91"/>
    <x v="0"/>
    <x v="5"/>
    <n v="3.4615384615384599"/>
    <n v="1263.4615384615399"/>
    <n v="4548.4615384615399"/>
  </r>
  <r>
    <x v="0"/>
    <x v="0"/>
    <x v="0"/>
    <x v="0"/>
    <x v="0"/>
    <s v="DK1_Rural"/>
    <x v="9"/>
    <s v="GNR_BO_WOODWST_E-91"/>
    <x v="0"/>
    <x v="6"/>
    <n v="3.4615384615384599"/>
    <n v="1263.4615384615399"/>
    <n v="4548.4615384615399"/>
  </r>
  <r>
    <x v="0"/>
    <x v="0"/>
    <x v="0"/>
    <x v="0"/>
    <x v="0"/>
    <s v="DK1_Rural"/>
    <x v="9"/>
    <s v="GNR_BO_WOODWST_E-91"/>
    <x v="0"/>
    <x v="7"/>
    <n v="3.4615384615384599"/>
    <n v="1263.4615384615399"/>
    <n v="4548.4615384615399"/>
  </r>
  <r>
    <x v="0"/>
    <x v="0"/>
    <x v="0"/>
    <x v="0"/>
    <x v="0"/>
    <s v="DK1_Rural"/>
    <x v="9"/>
    <s v="GNR_BO_WOODWST_E-91"/>
    <x v="0"/>
    <x v="8"/>
    <n v="3.4615384615384599"/>
    <n v="1263.4615384615399"/>
    <n v="4548.4615384615399"/>
  </r>
  <r>
    <x v="0"/>
    <x v="0"/>
    <x v="0"/>
    <x v="0"/>
    <x v="0"/>
    <s v="DK1_Rural"/>
    <x v="9"/>
    <s v="GNR_BO_WOODWST_E-91"/>
    <x v="0"/>
    <x v="9"/>
    <n v="3.4615384615384599"/>
    <n v="1263.4615384615399"/>
    <n v="4548.4615384615399"/>
  </r>
  <r>
    <x v="0"/>
    <x v="0"/>
    <x v="0"/>
    <x v="0"/>
    <x v="0"/>
    <s v="DK1_Rural"/>
    <x v="9"/>
    <s v="GNR_BO_WOODWST_E-91"/>
    <x v="0"/>
    <x v="10"/>
    <n v="3.4615384615384599"/>
    <n v="1263.4615384615399"/>
    <n v="4548.4615384615399"/>
  </r>
  <r>
    <x v="0"/>
    <x v="0"/>
    <x v="0"/>
    <x v="0"/>
    <x v="0"/>
    <s v="DK1_Rural"/>
    <x v="9"/>
    <s v="GNR_BO_WOODWST_E-91"/>
    <x v="0"/>
    <x v="11"/>
    <n v="3.4615384615384599"/>
    <n v="1263.4615384615399"/>
    <n v="4548.4615384615399"/>
  </r>
  <r>
    <x v="0"/>
    <x v="0"/>
    <x v="0"/>
    <x v="0"/>
    <x v="0"/>
    <s v="DK1_Rural"/>
    <x v="9"/>
    <s v="GNR_BO_WOODWST_E-91"/>
    <x v="0"/>
    <x v="12"/>
    <n v="3.4615384615384599"/>
    <n v="1263.4615384615399"/>
    <n v="4548.4615384615399"/>
  </r>
  <r>
    <x v="0"/>
    <x v="0"/>
    <x v="0"/>
    <x v="0"/>
    <x v="0"/>
    <s v="DK1_Rural"/>
    <x v="9"/>
    <s v="GNR_BO_WOODWST_E-91"/>
    <x v="0"/>
    <x v="13"/>
    <n v="3.4615384615384599"/>
    <n v="1263.4615384615399"/>
    <n v="4548.4615384615399"/>
  </r>
  <r>
    <x v="0"/>
    <x v="0"/>
    <x v="0"/>
    <x v="0"/>
    <x v="0"/>
    <s v="DK1_Rural"/>
    <x v="9"/>
    <s v="GNR_BO_WOODWST_E-91"/>
    <x v="0"/>
    <x v="14"/>
    <n v="3.4615384615384599"/>
    <n v="1263.4615384615399"/>
    <n v="4548.4615384615399"/>
  </r>
  <r>
    <x v="0"/>
    <x v="0"/>
    <x v="0"/>
    <x v="0"/>
    <x v="0"/>
    <s v="DK1_Rural"/>
    <x v="9"/>
    <s v="GNR_BO_WOODWST_E-91"/>
    <x v="0"/>
    <x v="15"/>
    <n v="3.4615384615384599"/>
    <n v="1263.4615384615399"/>
    <n v="4548.4615384615399"/>
  </r>
  <r>
    <x v="0"/>
    <x v="0"/>
    <x v="0"/>
    <x v="0"/>
    <x v="0"/>
    <s v="DK1_Rural"/>
    <x v="9"/>
    <s v="GNR_BO_WOODWST_E-91"/>
    <x v="0"/>
    <x v="16"/>
    <n v="3.4615384615384599"/>
    <n v="1263.4615384615399"/>
    <n v="4548.4615384615399"/>
  </r>
  <r>
    <x v="0"/>
    <x v="0"/>
    <x v="0"/>
    <x v="0"/>
    <x v="0"/>
    <s v="DK1_Rural"/>
    <x v="9"/>
    <s v="GNR_BO_WOODWST_E-91"/>
    <x v="0"/>
    <x v="17"/>
    <n v="3.4615384615384599"/>
    <n v="1263.4615384615399"/>
    <n v="4548.4615384615399"/>
  </r>
  <r>
    <x v="0"/>
    <x v="0"/>
    <x v="0"/>
    <x v="0"/>
    <x v="0"/>
    <s v="DK1_Rural"/>
    <x v="9"/>
    <s v="GNR_BO_WOODWST_E-91"/>
    <x v="0"/>
    <x v="19"/>
    <n v="3.4615384615384599"/>
    <n v="1263.4615384615399"/>
    <n v="4548.4615384615399"/>
  </r>
  <r>
    <x v="0"/>
    <x v="0"/>
    <x v="0"/>
    <x v="0"/>
    <x v="0"/>
    <s v="DK1_Rural"/>
    <x v="9"/>
    <s v="GNR_BO_WOODWST_E-91"/>
    <x v="0"/>
    <x v="20"/>
    <n v="3.4615384615384599"/>
    <n v="1263.4615384615399"/>
    <n v="4548.4615384615399"/>
  </r>
  <r>
    <x v="0"/>
    <x v="0"/>
    <x v="0"/>
    <x v="0"/>
    <x v="0"/>
    <s v="DK1_Rural"/>
    <x v="9"/>
    <s v="GNR_BO_WOODWST_E-91"/>
    <x v="0"/>
    <x v="21"/>
    <n v="3.4615384615384599"/>
    <n v="1263.4615384615399"/>
    <n v="4548.4615384615399"/>
  </r>
  <r>
    <x v="0"/>
    <x v="0"/>
    <x v="0"/>
    <x v="0"/>
    <x v="0"/>
    <s v="DK1_Rural"/>
    <x v="9"/>
    <s v="GNR_BO_WOODWST_E-91"/>
    <x v="0"/>
    <x v="22"/>
    <n v="3.4615384615384599"/>
    <n v="1263.4615384615399"/>
    <n v="4548.4615384615399"/>
  </r>
  <r>
    <x v="0"/>
    <x v="0"/>
    <x v="0"/>
    <x v="0"/>
    <x v="0"/>
    <s v="DK1_Rural"/>
    <x v="9"/>
    <s v="GNR_BO_WOODWST_E-91"/>
    <x v="0"/>
    <x v="23"/>
    <n v="3.4615384615384599"/>
    <n v="1263.4615384615399"/>
    <n v="4548.4615384615399"/>
  </r>
  <r>
    <x v="0"/>
    <x v="0"/>
    <x v="0"/>
    <x v="0"/>
    <x v="0"/>
    <s v="DK1_Rural"/>
    <x v="9"/>
    <s v="GNR_BO_WOODWST_E-94"/>
    <x v="0"/>
    <x v="0"/>
    <n v="0.98936170212765995"/>
    <n v="361.11702127659601"/>
    <n v="1300.0212765957399"/>
  </r>
  <r>
    <x v="0"/>
    <x v="0"/>
    <x v="0"/>
    <x v="0"/>
    <x v="0"/>
    <s v="DK1_Rural"/>
    <x v="9"/>
    <s v="GNR_BO_WOODWST_E-94"/>
    <x v="0"/>
    <x v="1"/>
    <n v="0.98936170212765995"/>
    <n v="361.11702127659601"/>
    <n v="1300.0212765957399"/>
  </r>
  <r>
    <x v="0"/>
    <x v="0"/>
    <x v="0"/>
    <x v="0"/>
    <x v="0"/>
    <s v="DK1_Rural"/>
    <x v="9"/>
    <s v="GNR_BO_WOODWST_E-94"/>
    <x v="0"/>
    <x v="2"/>
    <n v="0.98936170212765995"/>
    <n v="361.11702127659601"/>
    <n v="1300.0212765957399"/>
  </r>
  <r>
    <x v="0"/>
    <x v="0"/>
    <x v="0"/>
    <x v="0"/>
    <x v="0"/>
    <s v="DK1_Rural"/>
    <x v="9"/>
    <s v="GNR_BO_WOODWST_E-94"/>
    <x v="0"/>
    <x v="3"/>
    <n v="0.98936170212765995"/>
    <n v="361.11702127659601"/>
    <n v="1300.0212765957399"/>
  </r>
  <r>
    <x v="0"/>
    <x v="0"/>
    <x v="0"/>
    <x v="0"/>
    <x v="0"/>
    <s v="DK1_Rural"/>
    <x v="9"/>
    <s v="GNR_BO_WOODWST_E-94"/>
    <x v="0"/>
    <x v="18"/>
    <n v="0.98936170212765995"/>
    <n v="361.11702127659601"/>
    <n v="1300.0212765957399"/>
  </r>
  <r>
    <x v="0"/>
    <x v="0"/>
    <x v="0"/>
    <x v="0"/>
    <x v="0"/>
    <s v="DK1_Rural"/>
    <x v="9"/>
    <s v="GNR_BO_WOODWST_E-94"/>
    <x v="0"/>
    <x v="4"/>
    <n v="0.98936170212765995"/>
    <n v="361.11702127659601"/>
    <n v="1300.0212765957399"/>
  </r>
  <r>
    <x v="0"/>
    <x v="0"/>
    <x v="0"/>
    <x v="0"/>
    <x v="0"/>
    <s v="DK1_Rural"/>
    <x v="9"/>
    <s v="GNR_BO_WOODWST_E-94"/>
    <x v="0"/>
    <x v="5"/>
    <n v="0.98936170212765995"/>
    <n v="361.11702127659601"/>
    <n v="1300.0212765957399"/>
  </r>
  <r>
    <x v="0"/>
    <x v="0"/>
    <x v="0"/>
    <x v="0"/>
    <x v="0"/>
    <s v="DK1_Rural"/>
    <x v="9"/>
    <s v="GNR_BO_WOODWST_E-94"/>
    <x v="0"/>
    <x v="6"/>
    <n v="0.98936170212765995"/>
    <n v="361.11702127659601"/>
    <n v="1300.0212765957399"/>
  </r>
  <r>
    <x v="0"/>
    <x v="0"/>
    <x v="0"/>
    <x v="0"/>
    <x v="0"/>
    <s v="DK1_Rural"/>
    <x v="9"/>
    <s v="GNR_BO_WOODWST_E-94"/>
    <x v="0"/>
    <x v="7"/>
    <n v="0.98936170212765995"/>
    <n v="361.11702127659601"/>
    <n v="1300.0212765957399"/>
  </r>
  <r>
    <x v="0"/>
    <x v="0"/>
    <x v="0"/>
    <x v="0"/>
    <x v="0"/>
    <s v="DK1_Rural"/>
    <x v="9"/>
    <s v="GNR_BO_WOODWST_E-94"/>
    <x v="0"/>
    <x v="8"/>
    <n v="0.98936170212765995"/>
    <n v="361.11702127659601"/>
    <n v="1300.0212765957399"/>
  </r>
  <r>
    <x v="0"/>
    <x v="0"/>
    <x v="0"/>
    <x v="0"/>
    <x v="0"/>
    <s v="DK1_Rural"/>
    <x v="9"/>
    <s v="GNR_BO_WOODWST_E-94"/>
    <x v="0"/>
    <x v="9"/>
    <n v="0.98936170212765995"/>
    <n v="361.11702127659601"/>
    <n v="1300.0212765957399"/>
  </r>
  <r>
    <x v="0"/>
    <x v="0"/>
    <x v="0"/>
    <x v="0"/>
    <x v="0"/>
    <s v="DK1_Rural"/>
    <x v="9"/>
    <s v="GNR_BO_WOODWST_E-94"/>
    <x v="0"/>
    <x v="10"/>
    <n v="0.98936170212765995"/>
    <n v="361.11702127659601"/>
    <n v="1300.0212765957399"/>
  </r>
  <r>
    <x v="0"/>
    <x v="0"/>
    <x v="0"/>
    <x v="0"/>
    <x v="0"/>
    <s v="DK1_Rural"/>
    <x v="9"/>
    <s v="GNR_BO_WOODWST_E-94"/>
    <x v="0"/>
    <x v="11"/>
    <n v="0.98936170212765995"/>
    <n v="361.11702127659601"/>
    <n v="1300.0212765957399"/>
  </r>
  <r>
    <x v="0"/>
    <x v="0"/>
    <x v="0"/>
    <x v="0"/>
    <x v="0"/>
    <s v="DK1_Rural"/>
    <x v="9"/>
    <s v="GNR_BO_WOODWST_E-94"/>
    <x v="0"/>
    <x v="12"/>
    <n v="0.98936170212765995"/>
    <n v="361.11702127659601"/>
    <n v="1300.0212765957399"/>
  </r>
  <r>
    <x v="0"/>
    <x v="0"/>
    <x v="0"/>
    <x v="0"/>
    <x v="0"/>
    <s v="DK1_Rural"/>
    <x v="9"/>
    <s v="GNR_BO_WOODWST_E-94"/>
    <x v="0"/>
    <x v="13"/>
    <n v="0.98936170212765995"/>
    <n v="361.11702127659601"/>
    <n v="1300.0212765957399"/>
  </r>
  <r>
    <x v="0"/>
    <x v="0"/>
    <x v="0"/>
    <x v="0"/>
    <x v="0"/>
    <s v="DK1_Rural"/>
    <x v="9"/>
    <s v="GNR_BO_WOODWST_E-94"/>
    <x v="0"/>
    <x v="14"/>
    <n v="0.98936170212765995"/>
    <n v="361.11702127659601"/>
    <n v="1300.0212765957399"/>
  </r>
  <r>
    <x v="0"/>
    <x v="0"/>
    <x v="0"/>
    <x v="0"/>
    <x v="0"/>
    <s v="DK1_Rural"/>
    <x v="9"/>
    <s v="GNR_BO_WOODWST_E-94"/>
    <x v="0"/>
    <x v="15"/>
    <n v="0.98936170212765995"/>
    <n v="361.11702127659601"/>
    <n v="1300.0212765957399"/>
  </r>
  <r>
    <x v="0"/>
    <x v="0"/>
    <x v="0"/>
    <x v="0"/>
    <x v="0"/>
    <s v="DK1_Rural"/>
    <x v="9"/>
    <s v="GNR_BO_WOODWST_E-94"/>
    <x v="0"/>
    <x v="16"/>
    <n v="0.98936170212765995"/>
    <n v="361.11702127659601"/>
    <n v="1300.0212765957399"/>
  </r>
  <r>
    <x v="0"/>
    <x v="0"/>
    <x v="0"/>
    <x v="0"/>
    <x v="0"/>
    <s v="DK1_Rural"/>
    <x v="9"/>
    <s v="GNR_BO_WOODWST_E-94"/>
    <x v="0"/>
    <x v="17"/>
    <n v="0.98936170212765995"/>
    <n v="361.11702127659601"/>
    <n v="1300.0212765957399"/>
  </r>
  <r>
    <x v="0"/>
    <x v="0"/>
    <x v="0"/>
    <x v="0"/>
    <x v="0"/>
    <s v="DK1_Rural"/>
    <x v="9"/>
    <s v="GNR_BO_WOODWST_E-94"/>
    <x v="0"/>
    <x v="19"/>
    <n v="0.98936170212765995"/>
    <n v="361.11702127659601"/>
    <n v="1300.0212765957399"/>
  </r>
  <r>
    <x v="0"/>
    <x v="0"/>
    <x v="0"/>
    <x v="0"/>
    <x v="0"/>
    <s v="DK1_Rural"/>
    <x v="9"/>
    <s v="GNR_BO_WOODWST_E-94"/>
    <x v="0"/>
    <x v="20"/>
    <n v="0.98936170212765995"/>
    <n v="361.11702127659601"/>
    <n v="1300.0212765957399"/>
  </r>
  <r>
    <x v="0"/>
    <x v="0"/>
    <x v="0"/>
    <x v="0"/>
    <x v="0"/>
    <s v="DK1_Rural"/>
    <x v="9"/>
    <s v="GNR_BO_WOODWST_E-94"/>
    <x v="0"/>
    <x v="21"/>
    <n v="0.98936170212765995"/>
    <n v="361.11702127659601"/>
    <n v="1300.0212765957399"/>
  </r>
  <r>
    <x v="0"/>
    <x v="0"/>
    <x v="0"/>
    <x v="0"/>
    <x v="0"/>
    <s v="DK1_Rural"/>
    <x v="9"/>
    <s v="GNR_BO_WOODWST_E-94"/>
    <x v="0"/>
    <x v="22"/>
    <n v="0.98936170212765995"/>
    <n v="361.11702127659601"/>
    <n v="1300.0212765957399"/>
  </r>
  <r>
    <x v="0"/>
    <x v="0"/>
    <x v="0"/>
    <x v="0"/>
    <x v="0"/>
    <s v="DK1_Rural"/>
    <x v="9"/>
    <s v="GNR_BO_WOODWST_E-94"/>
    <x v="0"/>
    <x v="23"/>
    <n v="0.98936170212765995"/>
    <n v="361.11702127659601"/>
    <n v="1300.0212765957399"/>
  </r>
  <r>
    <x v="0"/>
    <x v="0"/>
    <x v="0"/>
    <x v="0"/>
    <x v="0"/>
    <s v="DK1_Small"/>
    <x v="2"/>
    <s v="GNR_BO_MSW_E-104"/>
    <x v="0"/>
    <x v="5"/>
    <n v="1.8074257338986199"/>
    <n v="659.71039287299698"/>
    <n v="2374.9574143427899"/>
  </r>
  <r>
    <x v="0"/>
    <x v="0"/>
    <x v="0"/>
    <x v="0"/>
    <x v="0"/>
    <s v="DK1_Small"/>
    <x v="2"/>
    <s v="GNR_BO_MSW_E-104"/>
    <x v="0"/>
    <x v="6"/>
    <n v="6.4038461538461497"/>
    <n v="2337.4038461538498"/>
    <n v="8414.6538461538494"/>
  </r>
  <r>
    <x v="0"/>
    <x v="0"/>
    <x v="0"/>
    <x v="0"/>
    <x v="0"/>
    <s v="DK1_Small"/>
    <x v="2"/>
    <s v="GNR_BO_MSW_E-104"/>
    <x v="0"/>
    <x v="7"/>
    <n v="6.4038461538461497"/>
    <n v="2337.4038461538498"/>
    <n v="8414.6538461538494"/>
  </r>
  <r>
    <x v="0"/>
    <x v="0"/>
    <x v="0"/>
    <x v="0"/>
    <x v="0"/>
    <s v="DK1_Small"/>
    <x v="2"/>
    <s v="GNR_BO_MSW_E-104"/>
    <x v="0"/>
    <x v="8"/>
    <n v="6.4038461538461497"/>
    <n v="2337.4038461538498"/>
    <n v="8414.6538461538494"/>
  </r>
  <r>
    <x v="0"/>
    <x v="0"/>
    <x v="0"/>
    <x v="0"/>
    <x v="0"/>
    <s v="DK1_Small"/>
    <x v="2"/>
    <s v="GNR_BO_MSW_E-104"/>
    <x v="0"/>
    <x v="9"/>
    <n v="6.4038461538461497"/>
    <n v="2337.4038461538498"/>
    <n v="8414.6538461538494"/>
  </r>
  <r>
    <x v="0"/>
    <x v="0"/>
    <x v="0"/>
    <x v="0"/>
    <x v="0"/>
    <s v="DK1_Small"/>
    <x v="2"/>
    <s v="GNR_BO_MSW_E-104"/>
    <x v="0"/>
    <x v="10"/>
    <n v="6.4038461538461497"/>
    <n v="2337.4038461538498"/>
    <n v="8414.6538461538494"/>
  </r>
  <r>
    <x v="0"/>
    <x v="0"/>
    <x v="0"/>
    <x v="0"/>
    <x v="0"/>
    <s v="DK1_Small"/>
    <x v="2"/>
    <s v="GNR_BO_MSW_E-104"/>
    <x v="0"/>
    <x v="11"/>
    <n v="6.4038461538461497"/>
    <n v="2337.4038461538498"/>
    <n v="8414.6538461538494"/>
  </r>
  <r>
    <x v="0"/>
    <x v="0"/>
    <x v="0"/>
    <x v="0"/>
    <x v="0"/>
    <s v="DK1_Small"/>
    <x v="2"/>
    <s v="GNR_BO_MSW_E-104"/>
    <x v="0"/>
    <x v="12"/>
    <n v="6.4038461538461497"/>
    <n v="2337.4038461538498"/>
    <n v="8414.6538461538494"/>
  </r>
  <r>
    <x v="0"/>
    <x v="0"/>
    <x v="0"/>
    <x v="0"/>
    <x v="0"/>
    <s v="DK1_Small"/>
    <x v="2"/>
    <s v="GNR_BO_MSW_E-104"/>
    <x v="0"/>
    <x v="13"/>
    <n v="6.4038461538461497"/>
    <n v="2337.4038461538498"/>
    <n v="8414.6538461538494"/>
  </r>
  <r>
    <x v="0"/>
    <x v="0"/>
    <x v="0"/>
    <x v="0"/>
    <x v="0"/>
    <s v="DK1_Small"/>
    <x v="2"/>
    <s v="GNR_BO_MSW_E-104"/>
    <x v="0"/>
    <x v="14"/>
    <n v="6.4038461538461497"/>
    <n v="2337.4038461538498"/>
    <n v="8414.6538461538494"/>
  </r>
  <r>
    <x v="0"/>
    <x v="0"/>
    <x v="0"/>
    <x v="0"/>
    <x v="0"/>
    <s v="DK1_Small"/>
    <x v="2"/>
    <s v="GNR_BO_MSW_E-104"/>
    <x v="0"/>
    <x v="15"/>
    <n v="6.4038461538461497"/>
    <n v="2337.4038461538498"/>
    <n v="8414.6538461538494"/>
  </r>
  <r>
    <x v="0"/>
    <x v="0"/>
    <x v="0"/>
    <x v="0"/>
    <x v="0"/>
    <s v="DK1_Small"/>
    <x v="2"/>
    <s v="GNR_BO_MSW_E-104"/>
    <x v="0"/>
    <x v="16"/>
    <n v="6.4038461538461497"/>
    <n v="2337.4038461538498"/>
    <n v="8414.6538461538494"/>
  </r>
  <r>
    <x v="0"/>
    <x v="0"/>
    <x v="0"/>
    <x v="0"/>
    <x v="0"/>
    <s v="DK1_Small"/>
    <x v="2"/>
    <s v="GNR_BO_MSW_E-104"/>
    <x v="0"/>
    <x v="17"/>
    <n v="6.4038461538461497"/>
    <n v="2337.4038461538498"/>
    <n v="8414.6538461538494"/>
  </r>
  <r>
    <x v="0"/>
    <x v="0"/>
    <x v="0"/>
    <x v="0"/>
    <x v="0"/>
    <s v="DK1_Small"/>
    <x v="2"/>
    <s v="GNR_BO_MSW_E-104"/>
    <x v="0"/>
    <x v="19"/>
    <n v="6.4038461538461497"/>
    <n v="2337.4038461538498"/>
    <n v="8414.6538461538494"/>
  </r>
  <r>
    <x v="0"/>
    <x v="0"/>
    <x v="0"/>
    <x v="0"/>
    <x v="0"/>
    <s v="DK1_Small"/>
    <x v="2"/>
    <s v="GNR_BO_MSW_E-104"/>
    <x v="0"/>
    <x v="20"/>
    <n v="6.3760473996898304"/>
    <n v="2327.2573008867898"/>
    <n v="8378.1262831924396"/>
  </r>
  <r>
    <x v="0"/>
    <x v="0"/>
    <x v="0"/>
    <x v="0"/>
    <x v="0"/>
    <s v="DK1_Small"/>
    <x v="2"/>
    <s v="GNR_BO_MSW_E-105"/>
    <x v="0"/>
    <x v="0"/>
    <n v="16.694353258683702"/>
    <n v="6093.4389394195396"/>
    <n v="21936.380181910401"/>
  </r>
  <r>
    <x v="0"/>
    <x v="0"/>
    <x v="0"/>
    <x v="0"/>
    <x v="0"/>
    <s v="DK1_Small"/>
    <x v="2"/>
    <s v="GNR_BO_MSW_E-105"/>
    <x v="0"/>
    <x v="1"/>
    <n v="16.351068977194998"/>
    <n v="5968.1401766761701"/>
    <n v="21485.304636034201"/>
  </r>
  <r>
    <x v="0"/>
    <x v="0"/>
    <x v="0"/>
    <x v="0"/>
    <x v="0"/>
    <s v="DK1_Small"/>
    <x v="2"/>
    <s v="GNR_BO_MSW_E-105"/>
    <x v="0"/>
    <x v="2"/>
    <n v="16.038992357659801"/>
    <n v="5854.2322105458397"/>
    <n v="21075.235957965"/>
  </r>
  <r>
    <x v="0"/>
    <x v="0"/>
    <x v="0"/>
    <x v="0"/>
    <x v="0"/>
    <s v="DK1_Small"/>
    <x v="2"/>
    <s v="GNR_BO_MSW_E-105"/>
    <x v="0"/>
    <x v="3"/>
    <n v="16.507107286962601"/>
    <n v="6025.0941597413403"/>
    <n v="21690.3389750688"/>
  </r>
  <r>
    <x v="0"/>
    <x v="0"/>
    <x v="0"/>
    <x v="0"/>
    <x v="0"/>
    <s v="DK1_Small"/>
    <x v="2"/>
    <s v="GNR_BO_MSW_E-105"/>
    <x v="0"/>
    <x v="18"/>
    <n v="16.8503915684513"/>
    <n v="6150.3929224847097"/>
    <n v="22141.414520945"/>
  </r>
  <r>
    <x v="0"/>
    <x v="0"/>
    <x v="0"/>
    <x v="0"/>
    <x v="0"/>
    <s v="DK1_Small"/>
    <x v="2"/>
    <s v="GNR_BO_MSW_E-105"/>
    <x v="0"/>
    <x v="4"/>
    <n v="22.311732410316601"/>
    <n v="8143.7823297655596"/>
    <n v="29317.616387155998"/>
  </r>
  <r>
    <x v="0"/>
    <x v="0"/>
    <x v="0"/>
    <x v="0"/>
    <x v="0"/>
    <s v="DK1_Small"/>
    <x v="2"/>
    <s v="GNR_BO_MSW_E-105"/>
    <x v="0"/>
    <x v="5"/>
    <n v="34.190476190476197"/>
    <n v="12479.5238095238"/>
    <n v="44926.285714285703"/>
  </r>
  <r>
    <x v="0"/>
    <x v="0"/>
    <x v="0"/>
    <x v="0"/>
    <x v="0"/>
    <s v="DK1_Small"/>
    <x v="2"/>
    <s v="GNR_BO_MSW_E-105"/>
    <x v="0"/>
    <x v="6"/>
    <n v="34.190476190476197"/>
    <n v="12479.5238095238"/>
    <n v="44926.285714285703"/>
  </r>
  <r>
    <x v="0"/>
    <x v="0"/>
    <x v="0"/>
    <x v="0"/>
    <x v="0"/>
    <s v="DK1_Small"/>
    <x v="2"/>
    <s v="GNR_BO_MSW_E-105"/>
    <x v="0"/>
    <x v="7"/>
    <n v="34.190476190476197"/>
    <n v="12479.5238095238"/>
    <n v="44926.285714285703"/>
  </r>
  <r>
    <x v="0"/>
    <x v="0"/>
    <x v="0"/>
    <x v="0"/>
    <x v="0"/>
    <s v="DK1_Small"/>
    <x v="2"/>
    <s v="GNR_BO_MSW_E-105"/>
    <x v="0"/>
    <x v="8"/>
    <n v="34.190476190476197"/>
    <n v="12479.5238095238"/>
    <n v="44926.285714285703"/>
  </r>
  <r>
    <x v="0"/>
    <x v="0"/>
    <x v="0"/>
    <x v="0"/>
    <x v="0"/>
    <s v="DK1_Small"/>
    <x v="2"/>
    <s v="GNR_BO_MSW_E-105"/>
    <x v="0"/>
    <x v="9"/>
    <n v="34.190476190476197"/>
    <n v="12479.5238095238"/>
    <n v="44926.285714285703"/>
  </r>
  <r>
    <x v="0"/>
    <x v="0"/>
    <x v="0"/>
    <x v="0"/>
    <x v="0"/>
    <s v="DK1_Small"/>
    <x v="2"/>
    <s v="GNR_BO_MSW_E-105"/>
    <x v="0"/>
    <x v="10"/>
    <n v="34.190476190476197"/>
    <n v="12479.5238095238"/>
    <n v="44926.285714285703"/>
  </r>
  <r>
    <x v="0"/>
    <x v="0"/>
    <x v="0"/>
    <x v="0"/>
    <x v="0"/>
    <s v="DK1_Small"/>
    <x v="2"/>
    <s v="GNR_BO_MSW_E-105"/>
    <x v="0"/>
    <x v="11"/>
    <n v="34.190476190476197"/>
    <n v="12479.5238095238"/>
    <n v="44926.285714285703"/>
  </r>
  <r>
    <x v="0"/>
    <x v="0"/>
    <x v="0"/>
    <x v="0"/>
    <x v="0"/>
    <s v="DK1_Small"/>
    <x v="2"/>
    <s v="GNR_BO_MSW_E-105"/>
    <x v="0"/>
    <x v="12"/>
    <n v="34.190476190476197"/>
    <n v="12479.5238095238"/>
    <n v="44926.285714285703"/>
  </r>
  <r>
    <x v="0"/>
    <x v="0"/>
    <x v="0"/>
    <x v="0"/>
    <x v="0"/>
    <s v="DK1_Small"/>
    <x v="2"/>
    <s v="GNR_BO_MSW_E-105"/>
    <x v="0"/>
    <x v="13"/>
    <n v="34.190476190476197"/>
    <n v="12479.5238095238"/>
    <n v="44926.285714285703"/>
  </r>
  <r>
    <x v="0"/>
    <x v="0"/>
    <x v="0"/>
    <x v="0"/>
    <x v="0"/>
    <s v="DK1_Small"/>
    <x v="2"/>
    <s v="GNR_BO_MSW_E-105"/>
    <x v="0"/>
    <x v="14"/>
    <n v="34.190476190476197"/>
    <n v="12479.5238095238"/>
    <n v="44926.285714285703"/>
  </r>
  <r>
    <x v="0"/>
    <x v="0"/>
    <x v="0"/>
    <x v="0"/>
    <x v="0"/>
    <s v="DK1_Small"/>
    <x v="2"/>
    <s v="GNR_BO_MSW_E-105"/>
    <x v="0"/>
    <x v="15"/>
    <n v="34.190476190476197"/>
    <n v="12479.5238095238"/>
    <n v="44926.285714285703"/>
  </r>
  <r>
    <x v="0"/>
    <x v="0"/>
    <x v="0"/>
    <x v="0"/>
    <x v="0"/>
    <s v="DK1_Small"/>
    <x v="2"/>
    <s v="GNR_BO_MSW_E-105"/>
    <x v="0"/>
    <x v="16"/>
    <n v="34.190476190476197"/>
    <n v="12479.5238095238"/>
    <n v="44926.285714285703"/>
  </r>
  <r>
    <x v="0"/>
    <x v="0"/>
    <x v="0"/>
    <x v="0"/>
    <x v="0"/>
    <s v="DK1_Small"/>
    <x v="2"/>
    <s v="GNR_BO_MSW_E-105"/>
    <x v="0"/>
    <x v="17"/>
    <n v="34.190476190476197"/>
    <n v="12479.5238095238"/>
    <n v="44926.285714285703"/>
  </r>
  <r>
    <x v="0"/>
    <x v="0"/>
    <x v="0"/>
    <x v="0"/>
    <x v="0"/>
    <s v="DK1_Small"/>
    <x v="2"/>
    <s v="GNR_BO_MSW_E-105"/>
    <x v="0"/>
    <x v="19"/>
    <n v="34.190476190476197"/>
    <n v="12479.5238095238"/>
    <n v="44926.285714285703"/>
  </r>
  <r>
    <x v="0"/>
    <x v="0"/>
    <x v="0"/>
    <x v="0"/>
    <x v="0"/>
    <s v="DK1_Small"/>
    <x v="2"/>
    <s v="GNR_BO_MSW_E-105"/>
    <x v="0"/>
    <x v="20"/>
    <n v="34.190476190476197"/>
    <n v="12479.5238095238"/>
    <n v="44926.285714285703"/>
  </r>
  <r>
    <x v="0"/>
    <x v="0"/>
    <x v="0"/>
    <x v="0"/>
    <x v="0"/>
    <s v="DK1_Small"/>
    <x v="2"/>
    <s v="GNR_BO_MSW_E-105"/>
    <x v="0"/>
    <x v="21"/>
    <n v="28.9589644064156"/>
    <n v="10570.022008341701"/>
    <n v="38052.079230030096"/>
  </r>
  <r>
    <x v="0"/>
    <x v="0"/>
    <x v="0"/>
    <x v="0"/>
    <x v="0"/>
    <s v="DK1_Small"/>
    <x v="2"/>
    <s v="GNR_BO_MSW_E-105"/>
    <x v="0"/>
    <x v="22"/>
    <n v="25.7133675632499"/>
    <n v="9385.3791605862098"/>
    <n v="33787.364978110301"/>
  </r>
  <r>
    <x v="0"/>
    <x v="0"/>
    <x v="0"/>
    <x v="0"/>
    <x v="0"/>
    <s v="DK1_Small"/>
    <x v="2"/>
    <s v="GNR_BO_MSW_E-105"/>
    <x v="0"/>
    <x v="23"/>
    <n v="23.809700184085401"/>
    <n v="8690.5405671911703"/>
    <n v="31285.946041888201"/>
  </r>
  <r>
    <x v="0"/>
    <x v="0"/>
    <x v="0"/>
    <x v="0"/>
    <x v="0"/>
    <s v="DK1_Small"/>
    <x v="1"/>
    <s v="GNR_EH_HEAT"/>
    <x v="0"/>
    <x v="0"/>
    <n v="14"/>
    <n v="5110"/>
    <n v="18396"/>
  </r>
  <r>
    <x v="0"/>
    <x v="0"/>
    <x v="0"/>
    <x v="0"/>
    <x v="0"/>
    <s v="DK1_Small"/>
    <x v="1"/>
    <s v="GNR_EH_HEAT"/>
    <x v="0"/>
    <x v="1"/>
    <n v="14"/>
    <n v="5110"/>
    <n v="18396"/>
  </r>
  <r>
    <x v="0"/>
    <x v="0"/>
    <x v="0"/>
    <x v="0"/>
    <x v="0"/>
    <s v="DK1_Small"/>
    <x v="1"/>
    <s v="GNR_EH_HEAT"/>
    <x v="0"/>
    <x v="2"/>
    <n v="14"/>
    <n v="5110"/>
    <n v="18396"/>
  </r>
  <r>
    <x v="0"/>
    <x v="0"/>
    <x v="0"/>
    <x v="0"/>
    <x v="0"/>
    <s v="DK1_Small"/>
    <x v="1"/>
    <s v="GNR_EH_HEAT"/>
    <x v="0"/>
    <x v="3"/>
    <n v="14"/>
    <n v="5110"/>
    <n v="18396"/>
  </r>
  <r>
    <x v="0"/>
    <x v="0"/>
    <x v="0"/>
    <x v="0"/>
    <x v="0"/>
    <s v="DK1_Small"/>
    <x v="1"/>
    <s v="GNR_EH_HEAT"/>
    <x v="0"/>
    <x v="18"/>
    <n v="14"/>
    <n v="5110"/>
    <n v="18396"/>
  </r>
  <r>
    <x v="0"/>
    <x v="0"/>
    <x v="0"/>
    <x v="0"/>
    <x v="0"/>
    <s v="DK1_Small"/>
    <x v="1"/>
    <s v="GNR_EH_HEAT"/>
    <x v="0"/>
    <x v="4"/>
    <n v="14"/>
    <n v="5110"/>
    <n v="18396"/>
  </r>
  <r>
    <x v="0"/>
    <x v="0"/>
    <x v="0"/>
    <x v="0"/>
    <x v="0"/>
    <s v="DK1_Small"/>
    <x v="1"/>
    <s v="GNR_EH_HEAT"/>
    <x v="0"/>
    <x v="5"/>
    <n v="14"/>
    <n v="5110"/>
    <n v="18396"/>
  </r>
  <r>
    <x v="0"/>
    <x v="0"/>
    <x v="0"/>
    <x v="0"/>
    <x v="0"/>
    <s v="DK1_Small"/>
    <x v="1"/>
    <s v="GNR_EH_HEAT"/>
    <x v="0"/>
    <x v="6"/>
    <n v="14"/>
    <n v="5110"/>
    <n v="18396"/>
  </r>
  <r>
    <x v="0"/>
    <x v="0"/>
    <x v="0"/>
    <x v="0"/>
    <x v="0"/>
    <s v="DK1_Small"/>
    <x v="1"/>
    <s v="GNR_EH_HEAT"/>
    <x v="0"/>
    <x v="7"/>
    <n v="14"/>
    <n v="5110"/>
    <n v="18396"/>
  </r>
  <r>
    <x v="0"/>
    <x v="0"/>
    <x v="0"/>
    <x v="0"/>
    <x v="0"/>
    <s v="DK1_Small"/>
    <x v="1"/>
    <s v="GNR_EH_HEAT"/>
    <x v="0"/>
    <x v="8"/>
    <n v="14"/>
    <n v="5110"/>
    <n v="18396"/>
  </r>
  <r>
    <x v="0"/>
    <x v="0"/>
    <x v="0"/>
    <x v="0"/>
    <x v="0"/>
    <s v="DK1_Small"/>
    <x v="1"/>
    <s v="GNR_EH_HEAT"/>
    <x v="0"/>
    <x v="9"/>
    <n v="14"/>
    <n v="5110"/>
    <n v="18396"/>
  </r>
  <r>
    <x v="0"/>
    <x v="0"/>
    <x v="0"/>
    <x v="0"/>
    <x v="0"/>
    <s v="DK1_Small"/>
    <x v="1"/>
    <s v="GNR_EH_HEAT"/>
    <x v="0"/>
    <x v="10"/>
    <n v="14"/>
    <n v="5110"/>
    <n v="18396"/>
  </r>
  <r>
    <x v="0"/>
    <x v="0"/>
    <x v="0"/>
    <x v="0"/>
    <x v="0"/>
    <s v="DK1_Small"/>
    <x v="1"/>
    <s v="GNR_EH_HEAT"/>
    <x v="0"/>
    <x v="11"/>
    <n v="14"/>
    <n v="5110"/>
    <n v="18396"/>
  </r>
  <r>
    <x v="0"/>
    <x v="0"/>
    <x v="0"/>
    <x v="0"/>
    <x v="0"/>
    <s v="DK1_Small"/>
    <x v="1"/>
    <s v="GNR_EH_HEAT"/>
    <x v="0"/>
    <x v="12"/>
    <n v="14"/>
    <n v="5110"/>
    <n v="18396"/>
  </r>
  <r>
    <x v="0"/>
    <x v="0"/>
    <x v="0"/>
    <x v="0"/>
    <x v="0"/>
    <s v="DK1_Small"/>
    <x v="1"/>
    <s v="GNR_EH_HEAT"/>
    <x v="0"/>
    <x v="13"/>
    <n v="14"/>
    <n v="5110"/>
    <n v="18396"/>
  </r>
  <r>
    <x v="0"/>
    <x v="0"/>
    <x v="0"/>
    <x v="0"/>
    <x v="0"/>
    <s v="DK1_Small"/>
    <x v="1"/>
    <s v="GNR_EH_HEAT"/>
    <x v="0"/>
    <x v="14"/>
    <n v="14"/>
    <n v="5110"/>
    <n v="18396"/>
  </r>
  <r>
    <x v="0"/>
    <x v="0"/>
    <x v="0"/>
    <x v="0"/>
    <x v="0"/>
    <s v="DK1_Small"/>
    <x v="1"/>
    <s v="GNR_EH_HEAT"/>
    <x v="0"/>
    <x v="15"/>
    <n v="14"/>
    <n v="5110"/>
    <n v="18396"/>
  </r>
  <r>
    <x v="0"/>
    <x v="0"/>
    <x v="0"/>
    <x v="0"/>
    <x v="0"/>
    <s v="DK1_Small"/>
    <x v="1"/>
    <s v="GNR_EH_HEAT"/>
    <x v="0"/>
    <x v="16"/>
    <n v="14"/>
    <n v="5110"/>
    <n v="18396"/>
  </r>
  <r>
    <x v="0"/>
    <x v="0"/>
    <x v="0"/>
    <x v="0"/>
    <x v="0"/>
    <s v="DK1_Small"/>
    <x v="1"/>
    <s v="GNR_EH_HEAT"/>
    <x v="0"/>
    <x v="17"/>
    <n v="14"/>
    <n v="5110"/>
    <n v="18396"/>
  </r>
  <r>
    <x v="0"/>
    <x v="0"/>
    <x v="0"/>
    <x v="0"/>
    <x v="0"/>
    <s v="DK1_Small"/>
    <x v="1"/>
    <s v="GNR_EH_HEAT"/>
    <x v="0"/>
    <x v="19"/>
    <n v="14"/>
    <n v="5110"/>
    <n v="18396"/>
  </r>
  <r>
    <x v="0"/>
    <x v="0"/>
    <x v="0"/>
    <x v="0"/>
    <x v="0"/>
    <s v="DK1_Small"/>
    <x v="1"/>
    <s v="GNR_EH_HEAT"/>
    <x v="0"/>
    <x v="20"/>
    <n v="14"/>
    <n v="5110"/>
    <n v="18396"/>
  </r>
  <r>
    <x v="0"/>
    <x v="0"/>
    <x v="0"/>
    <x v="0"/>
    <x v="0"/>
    <s v="DK1_Small"/>
    <x v="1"/>
    <s v="GNR_EH_HEAT"/>
    <x v="0"/>
    <x v="21"/>
    <n v="14"/>
    <n v="5110"/>
    <n v="18396"/>
  </r>
  <r>
    <x v="0"/>
    <x v="0"/>
    <x v="0"/>
    <x v="0"/>
    <x v="0"/>
    <s v="DK1_Small"/>
    <x v="1"/>
    <s v="GNR_EH_HEAT"/>
    <x v="0"/>
    <x v="22"/>
    <n v="14"/>
    <n v="5110"/>
    <n v="18396"/>
  </r>
  <r>
    <x v="0"/>
    <x v="0"/>
    <x v="0"/>
    <x v="0"/>
    <x v="0"/>
    <s v="DK1_Small"/>
    <x v="1"/>
    <s v="GNR_EH_HEAT"/>
    <x v="0"/>
    <x v="23"/>
    <n v="14"/>
    <n v="5110"/>
    <n v="18396"/>
  </r>
  <r>
    <x v="0"/>
    <x v="0"/>
    <x v="0"/>
    <x v="0"/>
    <x v="0"/>
    <s v="DK1_Small"/>
    <x v="9"/>
    <s v="GNR_BO_WOODWST_E-100"/>
    <x v="0"/>
    <x v="0"/>
    <n v="1.75"/>
    <n v="638.75"/>
    <n v="2299.5"/>
  </r>
  <r>
    <x v="0"/>
    <x v="0"/>
    <x v="0"/>
    <x v="0"/>
    <x v="0"/>
    <s v="DK1_Small"/>
    <x v="9"/>
    <s v="GNR_BO_WOODWST_E-100"/>
    <x v="0"/>
    <x v="1"/>
    <n v="1.75"/>
    <n v="638.75"/>
    <n v="2299.5"/>
  </r>
  <r>
    <x v="0"/>
    <x v="0"/>
    <x v="0"/>
    <x v="0"/>
    <x v="0"/>
    <s v="DK1_Small"/>
    <x v="9"/>
    <s v="GNR_BO_WOODWST_E-100"/>
    <x v="0"/>
    <x v="2"/>
    <n v="1.75"/>
    <n v="638.75"/>
    <n v="2299.5"/>
  </r>
  <r>
    <x v="0"/>
    <x v="0"/>
    <x v="0"/>
    <x v="0"/>
    <x v="0"/>
    <s v="DK1_Small"/>
    <x v="9"/>
    <s v="GNR_BO_WOODWST_E-100"/>
    <x v="0"/>
    <x v="3"/>
    <n v="1.75"/>
    <n v="638.75"/>
    <n v="2299.5"/>
  </r>
  <r>
    <x v="0"/>
    <x v="0"/>
    <x v="0"/>
    <x v="0"/>
    <x v="0"/>
    <s v="DK1_Small"/>
    <x v="9"/>
    <s v="GNR_BO_WOODWST_E-100"/>
    <x v="0"/>
    <x v="18"/>
    <n v="1.75"/>
    <n v="638.75"/>
    <n v="2299.5"/>
  </r>
  <r>
    <x v="0"/>
    <x v="0"/>
    <x v="0"/>
    <x v="0"/>
    <x v="0"/>
    <s v="DK1_Small"/>
    <x v="9"/>
    <s v="GNR_BO_WOODWST_E-100"/>
    <x v="0"/>
    <x v="4"/>
    <n v="1.75"/>
    <n v="638.75"/>
    <n v="2299.5"/>
  </r>
  <r>
    <x v="0"/>
    <x v="0"/>
    <x v="0"/>
    <x v="0"/>
    <x v="0"/>
    <s v="DK1_Small"/>
    <x v="9"/>
    <s v="GNR_BO_WOODWST_E-100"/>
    <x v="0"/>
    <x v="5"/>
    <n v="1.75"/>
    <n v="638.75"/>
    <n v="2299.5"/>
  </r>
  <r>
    <x v="0"/>
    <x v="0"/>
    <x v="0"/>
    <x v="0"/>
    <x v="0"/>
    <s v="DK1_Small"/>
    <x v="9"/>
    <s v="GNR_BO_WOODWST_E-100"/>
    <x v="0"/>
    <x v="6"/>
    <n v="1.75"/>
    <n v="638.75"/>
    <n v="2299.5"/>
  </r>
  <r>
    <x v="0"/>
    <x v="0"/>
    <x v="0"/>
    <x v="0"/>
    <x v="0"/>
    <s v="DK1_Small"/>
    <x v="9"/>
    <s v="GNR_BO_WOODWST_E-100"/>
    <x v="0"/>
    <x v="7"/>
    <n v="1.75"/>
    <n v="638.75"/>
    <n v="2299.5"/>
  </r>
  <r>
    <x v="0"/>
    <x v="0"/>
    <x v="0"/>
    <x v="0"/>
    <x v="0"/>
    <s v="DK1_Small"/>
    <x v="9"/>
    <s v="GNR_BO_WOODWST_E-100"/>
    <x v="0"/>
    <x v="8"/>
    <n v="1.75"/>
    <n v="638.75"/>
    <n v="2299.5"/>
  </r>
  <r>
    <x v="0"/>
    <x v="0"/>
    <x v="0"/>
    <x v="0"/>
    <x v="0"/>
    <s v="DK1_Small"/>
    <x v="9"/>
    <s v="GNR_BO_WOODWST_E-100"/>
    <x v="0"/>
    <x v="9"/>
    <n v="1.75"/>
    <n v="638.75"/>
    <n v="2299.5"/>
  </r>
  <r>
    <x v="0"/>
    <x v="0"/>
    <x v="0"/>
    <x v="0"/>
    <x v="0"/>
    <s v="DK1_Small"/>
    <x v="9"/>
    <s v="GNR_BO_WOODWST_E-100"/>
    <x v="0"/>
    <x v="10"/>
    <n v="1.75"/>
    <n v="638.75"/>
    <n v="2299.5"/>
  </r>
  <r>
    <x v="0"/>
    <x v="0"/>
    <x v="0"/>
    <x v="0"/>
    <x v="0"/>
    <s v="DK1_Small"/>
    <x v="9"/>
    <s v="GNR_BO_WOODWST_E-100"/>
    <x v="0"/>
    <x v="11"/>
    <n v="1.75"/>
    <n v="638.75"/>
    <n v="2299.5"/>
  </r>
  <r>
    <x v="0"/>
    <x v="0"/>
    <x v="0"/>
    <x v="0"/>
    <x v="0"/>
    <s v="DK1_Small"/>
    <x v="9"/>
    <s v="GNR_BO_WOODWST_E-100"/>
    <x v="0"/>
    <x v="12"/>
    <n v="1.75"/>
    <n v="638.75"/>
    <n v="2299.5"/>
  </r>
  <r>
    <x v="0"/>
    <x v="0"/>
    <x v="0"/>
    <x v="0"/>
    <x v="0"/>
    <s v="DK1_Small"/>
    <x v="9"/>
    <s v="GNR_BO_WOODWST_E-100"/>
    <x v="0"/>
    <x v="13"/>
    <n v="1.75"/>
    <n v="638.75"/>
    <n v="2299.5"/>
  </r>
  <r>
    <x v="0"/>
    <x v="0"/>
    <x v="0"/>
    <x v="0"/>
    <x v="0"/>
    <s v="DK1_Small"/>
    <x v="9"/>
    <s v="GNR_BO_WOODWST_E-100"/>
    <x v="0"/>
    <x v="14"/>
    <n v="1.75"/>
    <n v="638.75"/>
    <n v="2299.5"/>
  </r>
  <r>
    <x v="0"/>
    <x v="0"/>
    <x v="0"/>
    <x v="0"/>
    <x v="0"/>
    <s v="DK1_Small"/>
    <x v="9"/>
    <s v="GNR_BO_WOODWST_E-100"/>
    <x v="0"/>
    <x v="15"/>
    <n v="1.75"/>
    <n v="638.75"/>
    <n v="2299.5"/>
  </r>
  <r>
    <x v="0"/>
    <x v="0"/>
    <x v="0"/>
    <x v="0"/>
    <x v="0"/>
    <s v="DK1_Small"/>
    <x v="9"/>
    <s v="GNR_BO_WOODWST_E-100"/>
    <x v="0"/>
    <x v="16"/>
    <n v="1.75"/>
    <n v="638.75"/>
    <n v="2299.5"/>
  </r>
  <r>
    <x v="0"/>
    <x v="0"/>
    <x v="0"/>
    <x v="0"/>
    <x v="0"/>
    <s v="DK1_Small"/>
    <x v="9"/>
    <s v="GNR_BO_WOODWST_E-100"/>
    <x v="0"/>
    <x v="17"/>
    <n v="1.75"/>
    <n v="638.75"/>
    <n v="2299.5"/>
  </r>
  <r>
    <x v="0"/>
    <x v="0"/>
    <x v="0"/>
    <x v="0"/>
    <x v="0"/>
    <s v="DK1_Small"/>
    <x v="9"/>
    <s v="GNR_BO_WOODWST_E-100"/>
    <x v="0"/>
    <x v="19"/>
    <n v="1.75"/>
    <n v="638.75"/>
    <n v="2299.5"/>
  </r>
  <r>
    <x v="0"/>
    <x v="0"/>
    <x v="0"/>
    <x v="0"/>
    <x v="0"/>
    <s v="DK1_Small"/>
    <x v="9"/>
    <s v="GNR_BO_WOODWST_E-100"/>
    <x v="0"/>
    <x v="20"/>
    <n v="1.75"/>
    <n v="638.75"/>
    <n v="2299.5"/>
  </r>
  <r>
    <x v="0"/>
    <x v="0"/>
    <x v="0"/>
    <x v="0"/>
    <x v="0"/>
    <s v="DK1_Small"/>
    <x v="9"/>
    <s v="GNR_BO_WOODWST_E-100"/>
    <x v="0"/>
    <x v="21"/>
    <n v="1.75"/>
    <n v="638.75"/>
    <n v="2299.5"/>
  </r>
  <r>
    <x v="0"/>
    <x v="0"/>
    <x v="0"/>
    <x v="0"/>
    <x v="0"/>
    <s v="DK1_Small"/>
    <x v="9"/>
    <s v="GNR_BO_WOODWST_E-100"/>
    <x v="0"/>
    <x v="22"/>
    <n v="1.75"/>
    <n v="638.75"/>
    <n v="2299.5"/>
  </r>
  <r>
    <x v="0"/>
    <x v="0"/>
    <x v="0"/>
    <x v="0"/>
    <x v="0"/>
    <s v="DK1_Small"/>
    <x v="9"/>
    <s v="GNR_BO_WOODWST_E-100"/>
    <x v="0"/>
    <x v="23"/>
    <n v="1.75"/>
    <n v="638.75"/>
    <n v="2299.5"/>
  </r>
  <r>
    <x v="0"/>
    <x v="0"/>
    <x v="0"/>
    <x v="0"/>
    <x v="0"/>
    <s v="DK1_Small"/>
    <x v="9"/>
    <s v="GNR_BO_WOODWST_E-89"/>
    <x v="0"/>
    <x v="0"/>
    <n v="1.99775280898876"/>
    <n v="729.17977528089898"/>
    <n v="2625.0471910112401"/>
  </r>
  <r>
    <x v="0"/>
    <x v="0"/>
    <x v="0"/>
    <x v="0"/>
    <x v="0"/>
    <s v="DK1_Small"/>
    <x v="9"/>
    <s v="GNR_BO_WOODWST_E-89"/>
    <x v="0"/>
    <x v="1"/>
    <n v="1.99775280898876"/>
    <n v="729.17977528089898"/>
    <n v="2625.0471910112401"/>
  </r>
  <r>
    <x v="0"/>
    <x v="0"/>
    <x v="0"/>
    <x v="0"/>
    <x v="0"/>
    <s v="DK1_Small"/>
    <x v="9"/>
    <s v="GNR_BO_WOODWST_E-89"/>
    <x v="0"/>
    <x v="2"/>
    <n v="1.99775280898876"/>
    <n v="729.17977528089898"/>
    <n v="2625.0471910112401"/>
  </r>
  <r>
    <x v="0"/>
    <x v="0"/>
    <x v="0"/>
    <x v="0"/>
    <x v="0"/>
    <s v="DK1_Small"/>
    <x v="9"/>
    <s v="GNR_BO_WOODWST_E-89"/>
    <x v="0"/>
    <x v="3"/>
    <n v="1.99775280898876"/>
    <n v="729.17977528089898"/>
    <n v="2625.0471910112401"/>
  </r>
  <r>
    <x v="0"/>
    <x v="0"/>
    <x v="0"/>
    <x v="0"/>
    <x v="0"/>
    <s v="DK1_Small"/>
    <x v="9"/>
    <s v="GNR_BO_WOODWST_E-89"/>
    <x v="0"/>
    <x v="18"/>
    <n v="1.99775280898876"/>
    <n v="729.17977528089898"/>
    <n v="2625.0471910112401"/>
  </r>
  <r>
    <x v="0"/>
    <x v="0"/>
    <x v="0"/>
    <x v="0"/>
    <x v="0"/>
    <s v="DK1_Small"/>
    <x v="9"/>
    <s v="GNR_BO_WOODWST_E-89"/>
    <x v="0"/>
    <x v="4"/>
    <n v="1.99775280898876"/>
    <n v="729.17977528089898"/>
    <n v="2625.0471910112401"/>
  </r>
  <r>
    <x v="0"/>
    <x v="0"/>
    <x v="0"/>
    <x v="0"/>
    <x v="0"/>
    <s v="DK1_Small"/>
    <x v="9"/>
    <s v="GNR_BO_WOODWST_E-89"/>
    <x v="0"/>
    <x v="5"/>
    <n v="1.99775280898876"/>
    <n v="729.17977528089898"/>
    <n v="2625.0471910112401"/>
  </r>
  <r>
    <x v="0"/>
    <x v="0"/>
    <x v="0"/>
    <x v="0"/>
    <x v="0"/>
    <s v="DK1_Small"/>
    <x v="9"/>
    <s v="GNR_BO_WOODWST_E-89"/>
    <x v="0"/>
    <x v="6"/>
    <n v="1.99775280898876"/>
    <n v="729.17977528089898"/>
    <n v="2625.0471910112401"/>
  </r>
  <r>
    <x v="0"/>
    <x v="0"/>
    <x v="0"/>
    <x v="0"/>
    <x v="0"/>
    <s v="DK1_Small"/>
    <x v="9"/>
    <s v="GNR_BO_WOODWST_E-89"/>
    <x v="0"/>
    <x v="7"/>
    <n v="1.99775280898876"/>
    <n v="729.17977528089898"/>
    <n v="2625.0471910112401"/>
  </r>
  <r>
    <x v="0"/>
    <x v="0"/>
    <x v="0"/>
    <x v="0"/>
    <x v="0"/>
    <s v="DK1_Small"/>
    <x v="9"/>
    <s v="GNR_BO_WOODWST_E-89"/>
    <x v="0"/>
    <x v="8"/>
    <n v="1.99775280898876"/>
    <n v="729.17977528089898"/>
    <n v="2625.0471910112401"/>
  </r>
  <r>
    <x v="0"/>
    <x v="0"/>
    <x v="0"/>
    <x v="0"/>
    <x v="0"/>
    <s v="DK1_Small"/>
    <x v="9"/>
    <s v="GNR_BO_WOODWST_E-89"/>
    <x v="0"/>
    <x v="9"/>
    <n v="1.99775280898876"/>
    <n v="729.17977528089898"/>
    <n v="2625.0471910112401"/>
  </r>
  <r>
    <x v="0"/>
    <x v="0"/>
    <x v="0"/>
    <x v="0"/>
    <x v="0"/>
    <s v="DK1_Small"/>
    <x v="9"/>
    <s v="GNR_BO_WOODWST_E-89"/>
    <x v="0"/>
    <x v="10"/>
    <n v="1.99775280898876"/>
    <n v="729.17977528089898"/>
    <n v="2625.0471910112401"/>
  </r>
  <r>
    <x v="0"/>
    <x v="0"/>
    <x v="0"/>
    <x v="0"/>
    <x v="0"/>
    <s v="DK1_Small"/>
    <x v="9"/>
    <s v="GNR_BO_WOODWST_E-89"/>
    <x v="0"/>
    <x v="11"/>
    <n v="1.99775280898876"/>
    <n v="729.17977528089898"/>
    <n v="2625.0471910112401"/>
  </r>
  <r>
    <x v="0"/>
    <x v="0"/>
    <x v="0"/>
    <x v="0"/>
    <x v="0"/>
    <s v="DK1_Small"/>
    <x v="9"/>
    <s v="GNR_BO_WOODWST_E-89"/>
    <x v="0"/>
    <x v="12"/>
    <n v="1.99775280898876"/>
    <n v="729.17977528089898"/>
    <n v="2625.0471910112401"/>
  </r>
  <r>
    <x v="0"/>
    <x v="0"/>
    <x v="0"/>
    <x v="0"/>
    <x v="0"/>
    <s v="DK1_Small"/>
    <x v="9"/>
    <s v="GNR_BO_WOODWST_E-89"/>
    <x v="0"/>
    <x v="13"/>
    <n v="1.99775280898876"/>
    <n v="729.17977528089898"/>
    <n v="2625.0471910112401"/>
  </r>
  <r>
    <x v="0"/>
    <x v="0"/>
    <x v="0"/>
    <x v="0"/>
    <x v="0"/>
    <s v="DK1_Small"/>
    <x v="9"/>
    <s v="GNR_BO_WOODWST_E-89"/>
    <x v="0"/>
    <x v="14"/>
    <n v="1.99775280898876"/>
    <n v="729.17977528089898"/>
    <n v="2625.0471910112401"/>
  </r>
  <r>
    <x v="0"/>
    <x v="0"/>
    <x v="0"/>
    <x v="0"/>
    <x v="0"/>
    <s v="DK1_Small"/>
    <x v="9"/>
    <s v="GNR_BO_WOODWST_E-89"/>
    <x v="0"/>
    <x v="15"/>
    <n v="1.99775280898876"/>
    <n v="729.17977528089898"/>
    <n v="2625.0471910112401"/>
  </r>
  <r>
    <x v="0"/>
    <x v="0"/>
    <x v="0"/>
    <x v="0"/>
    <x v="0"/>
    <s v="DK1_Small"/>
    <x v="9"/>
    <s v="GNR_BO_WOODWST_E-89"/>
    <x v="0"/>
    <x v="16"/>
    <n v="1.99775280898876"/>
    <n v="729.17977528089898"/>
    <n v="2625.0471910112401"/>
  </r>
  <r>
    <x v="0"/>
    <x v="0"/>
    <x v="0"/>
    <x v="0"/>
    <x v="0"/>
    <s v="DK1_Small"/>
    <x v="9"/>
    <s v="GNR_BO_WOODWST_E-89"/>
    <x v="0"/>
    <x v="17"/>
    <n v="1.99775280898876"/>
    <n v="729.17977528089898"/>
    <n v="2625.0471910112401"/>
  </r>
  <r>
    <x v="0"/>
    <x v="0"/>
    <x v="0"/>
    <x v="0"/>
    <x v="0"/>
    <s v="DK1_Small"/>
    <x v="9"/>
    <s v="GNR_BO_WOODWST_E-89"/>
    <x v="0"/>
    <x v="19"/>
    <n v="1.99775280898876"/>
    <n v="729.17977528089898"/>
    <n v="2625.0471910112401"/>
  </r>
  <r>
    <x v="0"/>
    <x v="0"/>
    <x v="0"/>
    <x v="0"/>
    <x v="0"/>
    <s v="DK1_Small"/>
    <x v="9"/>
    <s v="GNR_BO_WOODWST_E-89"/>
    <x v="0"/>
    <x v="20"/>
    <n v="1.99775280898876"/>
    <n v="729.17977528089898"/>
    <n v="2625.0471910112401"/>
  </r>
  <r>
    <x v="0"/>
    <x v="0"/>
    <x v="0"/>
    <x v="0"/>
    <x v="0"/>
    <s v="DK1_Small"/>
    <x v="9"/>
    <s v="GNR_BO_WOODWST_E-89"/>
    <x v="0"/>
    <x v="21"/>
    <n v="1.99775280898876"/>
    <n v="729.17977528089898"/>
    <n v="2625.0471910112401"/>
  </r>
  <r>
    <x v="0"/>
    <x v="0"/>
    <x v="0"/>
    <x v="0"/>
    <x v="0"/>
    <s v="DK1_Small"/>
    <x v="9"/>
    <s v="GNR_BO_WOODWST_E-89"/>
    <x v="0"/>
    <x v="22"/>
    <n v="1.99775280898876"/>
    <n v="729.17977528089898"/>
    <n v="2625.0471910112401"/>
  </r>
  <r>
    <x v="0"/>
    <x v="0"/>
    <x v="0"/>
    <x v="0"/>
    <x v="0"/>
    <s v="DK1_Small"/>
    <x v="9"/>
    <s v="GNR_BO_WOODWST_E-89"/>
    <x v="0"/>
    <x v="23"/>
    <n v="1.99775280898876"/>
    <n v="729.17977528089898"/>
    <n v="2625.0471910112401"/>
  </r>
  <r>
    <x v="0"/>
    <x v="0"/>
    <x v="0"/>
    <x v="0"/>
    <x v="1"/>
    <s v="DK2_Large"/>
    <x v="0"/>
    <s v="GNR_ST_COAL_EXT_E-42"/>
    <x v="0"/>
    <x v="0"/>
    <n v="1190.4761904761899"/>
    <n v="434523.809523809"/>
    <n v="1564285.7142857099"/>
  </r>
  <r>
    <x v="0"/>
    <x v="0"/>
    <x v="0"/>
    <x v="0"/>
    <x v="1"/>
    <s v="DK2_Large"/>
    <x v="0"/>
    <s v="GNR_ST_COAL_EXT_E-42"/>
    <x v="0"/>
    <x v="1"/>
    <n v="1190.4761904761899"/>
    <n v="434523.809523809"/>
    <n v="1564285.7142857099"/>
  </r>
  <r>
    <x v="0"/>
    <x v="0"/>
    <x v="0"/>
    <x v="0"/>
    <x v="1"/>
    <s v="DK2_Large"/>
    <x v="0"/>
    <s v="GNR_ST_COAL_EXT_E-42"/>
    <x v="0"/>
    <x v="2"/>
    <n v="1190.4761904761899"/>
    <n v="434523.809523809"/>
    <n v="1564285.7142857099"/>
  </r>
  <r>
    <x v="0"/>
    <x v="0"/>
    <x v="0"/>
    <x v="0"/>
    <x v="1"/>
    <s v="DK2_Large"/>
    <x v="0"/>
    <s v="GNR_ST_COAL_EXT_E-42"/>
    <x v="0"/>
    <x v="3"/>
    <n v="1190.4761904761899"/>
    <n v="434523.809523809"/>
    <n v="1564285.7142857099"/>
  </r>
  <r>
    <x v="0"/>
    <x v="0"/>
    <x v="0"/>
    <x v="0"/>
    <x v="1"/>
    <s v="DK2_Large"/>
    <x v="0"/>
    <s v="GNR_ST_COAL_EXT_E-42"/>
    <x v="0"/>
    <x v="18"/>
    <n v="1190.4761904761899"/>
    <n v="434523.809523809"/>
    <n v="1564285.7142857099"/>
  </r>
  <r>
    <x v="0"/>
    <x v="0"/>
    <x v="0"/>
    <x v="0"/>
    <x v="1"/>
    <s v="DK2_Large"/>
    <x v="0"/>
    <s v="GNR_ST_COAL_EXT_E-42"/>
    <x v="0"/>
    <x v="4"/>
    <n v="1190.4761904761899"/>
    <n v="434523.809523809"/>
    <n v="1564285.7142857099"/>
  </r>
  <r>
    <x v="0"/>
    <x v="0"/>
    <x v="0"/>
    <x v="0"/>
    <x v="1"/>
    <s v="DK2_Large"/>
    <x v="0"/>
    <s v="GNR_ST_COAL_EXT_E-42"/>
    <x v="0"/>
    <x v="5"/>
    <n v="1190.4761904761899"/>
    <n v="434523.809523809"/>
    <n v="1564285.7142857099"/>
  </r>
  <r>
    <x v="0"/>
    <x v="0"/>
    <x v="0"/>
    <x v="0"/>
    <x v="1"/>
    <s v="DK2_Large"/>
    <x v="0"/>
    <s v="GNR_ST_COAL_EXT_E-42"/>
    <x v="0"/>
    <x v="6"/>
    <n v="1190.4761904761899"/>
    <n v="434523.809523809"/>
    <n v="1564285.7142857099"/>
  </r>
  <r>
    <x v="0"/>
    <x v="0"/>
    <x v="0"/>
    <x v="0"/>
    <x v="1"/>
    <s v="DK2_Large"/>
    <x v="0"/>
    <s v="GNR_ST_COAL_EXT_E-42"/>
    <x v="0"/>
    <x v="7"/>
    <n v="1190.4761904761899"/>
    <n v="434523.809523809"/>
    <n v="1564285.7142857099"/>
  </r>
  <r>
    <x v="0"/>
    <x v="0"/>
    <x v="0"/>
    <x v="0"/>
    <x v="1"/>
    <s v="DK2_Large"/>
    <x v="0"/>
    <s v="GNR_ST_COAL_EXT_E-42"/>
    <x v="0"/>
    <x v="8"/>
    <n v="1190.4761904761899"/>
    <n v="434523.809523809"/>
    <n v="1564285.7142857099"/>
  </r>
  <r>
    <x v="0"/>
    <x v="0"/>
    <x v="0"/>
    <x v="0"/>
    <x v="1"/>
    <s v="DK2_Large"/>
    <x v="0"/>
    <s v="GNR_ST_COAL_EXT_E-42"/>
    <x v="0"/>
    <x v="9"/>
    <n v="1190.4761904761899"/>
    <n v="434523.809523809"/>
    <n v="1564285.7142857099"/>
  </r>
  <r>
    <x v="0"/>
    <x v="0"/>
    <x v="0"/>
    <x v="0"/>
    <x v="1"/>
    <s v="DK2_Large"/>
    <x v="0"/>
    <s v="GNR_ST_COAL_EXT_E-42"/>
    <x v="0"/>
    <x v="10"/>
    <n v="1190.4761904761899"/>
    <n v="434523.809523809"/>
    <n v="1564285.7142857099"/>
  </r>
  <r>
    <x v="0"/>
    <x v="0"/>
    <x v="0"/>
    <x v="0"/>
    <x v="1"/>
    <s v="DK2_Large"/>
    <x v="0"/>
    <s v="GNR_ST_COAL_EXT_E-42"/>
    <x v="0"/>
    <x v="11"/>
    <n v="1190.4761904761899"/>
    <n v="434523.809523809"/>
    <n v="1564285.7142857099"/>
  </r>
  <r>
    <x v="0"/>
    <x v="0"/>
    <x v="0"/>
    <x v="0"/>
    <x v="1"/>
    <s v="DK2_Large"/>
    <x v="0"/>
    <s v="GNR_ST_COAL_EXT_E-42"/>
    <x v="0"/>
    <x v="12"/>
    <n v="1190.4761904761899"/>
    <n v="434523.809523809"/>
    <n v="1564285.7142857099"/>
  </r>
  <r>
    <x v="0"/>
    <x v="0"/>
    <x v="0"/>
    <x v="0"/>
    <x v="1"/>
    <s v="DK2_Large"/>
    <x v="0"/>
    <s v="GNR_ST_COAL_EXT_E-42"/>
    <x v="0"/>
    <x v="13"/>
    <n v="1190.4761904761899"/>
    <n v="434523.809523809"/>
    <n v="1564285.7142857099"/>
  </r>
  <r>
    <x v="0"/>
    <x v="0"/>
    <x v="0"/>
    <x v="0"/>
    <x v="1"/>
    <s v="DK2_Large"/>
    <x v="0"/>
    <s v="GNR_ST_COAL_EXT_E-42"/>
    <x v="0"/>
    <x v="14"/>
    <n v="1190.4761904761899"/>
    <n v="434523.809523809"/>
    <n v="1564285.7142857099"/>
  </r>
  <r>
    <x v="0"/>
    <x v="0"/>
    <x v="0"/>
    <x v="0"/>
    <x v="1"/>
    <s v="DK2_Large"/>
    <x v="0"/>
    <s v="GNR_ST_COAL_EXT_E-42"/>
    <x v="0"/>
    <x v="15"/>
    <n v="1190.4761904761899"/>
    <n v="434523.809523809"/>
    <n v="1564285.7142857099"/>
  </r>
  <r>
    <x v="0"/>
    <x v="0"/>
    <x v="0"/>
    <x v="0"/>
    <x v="1"/>
    <s v="DK2_Large"/>
    <x v="0"/>
    <s v="GNR_ST_COAL_EXT_E-42"/>
    <x v="0"/>
    <x v="16"/>
    <n v="1190.4761904761899"/>
    <n v="434523.809523809"/>
    <n v="1564285.7142857099"/>
  </r>
  <r>
    <x v="0"/>
    <x v="0"/>
    <x v="0"/>
    <x v="0"/>
    <x v="1"/>
    <s v="DK2_Large"/>
    <x v="0"/>
    <s v="GNR_ST_COAL_EXT_E-42"/>
    <x v="0"/>
    <x v="17"/>
    <n v="1190.4761904761899"/>
    <n v="434523.809523809"/>
    <n v="1564285.7142857099"/>
  </r>
  <r>
    <x v="0"/>
    <x v="0"/>
    <x v="0"/>
    <x v="0"/>
    <x v="1"/>
    <s v="DK2_Large"/>
    <x v="0"/>
    <s v="GNR_ST_COAL_EXT_E-42"/>
    <x v="0"/>
    <x v="19"/>
    <n v="1190.4761904761899"/>
    <n v="434523.809523809"/>
    <n v="1564285.7142857099"/>
  </r>
  <r>
    <x v="0"/>
    <x v="0"/>
    <x v="0"/>
    <x v="0"/>
    <x v="1"/>
    <s v="DK2_Large"/>
    <x v="0"/>
    <s v="GNR_ST_COAL_EXT_E-42"/>
    <x v="0"/>
    <x v="20"/>
    <n v="1190.4761904761899"/>
    <n v="434523.809523809"/>
    <n v="1564285.7142857099"/>
  </r>
  <r>
    <x v="0"/>
    <x v="0"/>
    <x v="0"/>
    <x v="0"/>
    <x v="1"/>
    <s v="DK2_Large"/>
    <x v="0"/>
    <s v="GNR_ST_COAL_EXT_E-42"/>
    <x v="0"/>
    <x v="21"/>
    <n v="1190.4761904761899"/>
    <n v="434523.809523809"/>
    <n v="1564285.7142857099"/>
  </r>
  <r>
    <x v="0"/>
    <x v="0"/>
    <x v="0"/>
    <x v="0"/>
    <x v="1"/>
    <s v="DK2_Large"/>
    <x v="0"/>
    <s v="GNR_ST_COAL_EXT_E-42"/>
    <x v="0"/>
    <x v="22"/>
    <n v="1190.4761904761899"/>
    <n v="434523.809523809"/>
    <n v="1564285.7142857099"/>
  </r>
  <r>
    <x v="0"/>
    <x v="0"/>
    <x v="0"/>
    <x v="0"/>
    <x v="1"/>
    <s v="DK2_Large"/>
    <x v="0"/>
    <s v="GNR_ST_COAL_EXT_E-42"/>
    <x v="0"/>
    <x v="23"/>
    <n v="1190.4761904761899"/>
    <n v="434523.809523809"/>
    <n v="1564285.7142857099"/>
  </r>
  <r>
    <x v="0"/>
    <x v="0"/>
    <x v="0"/>
    <x v="0"/>
    <x v="1"/>
    <s v="DK2_Large"/>
    <x v="2"/>
    <s v="GNR_ST_MSW_BP_E-16"/>
    <x v="0"/>
    <x v="0"/>
    <n v="15.487930194258199"/>
    <n v="5653.0945209042302"/>
    <n v="20351.140275255199"/>
  </r>
  <r>
    <x v="0"/>
    <x v="0"/>
    <x v="0"/>
    <x v="0"/>
    <x v="1"/>
    <s v="DK2_Large"/>
    <x v="2"/>
    <s v="GNR_ST_MSW_BP_E-16"/>
    <x v="0"/>
    <x v="1"/>
    <n v="32.9933420965328"/>
    <n v="12042.5698652345"/>
    <n v="43353.251514844102"/>
  </r>
  <r>
    <x v="0"/>
    <x v="0"/>
    <x v="0"/>
    <x v="0"/>
    <x v="1"/>
    <s v="DK2_Large"/>
    <x v="2"/>
    <s v="GNR_ST_MSW_BP_E-16"/>
    <x v="0"/>
    <x v="2"/>
    <n v="50.498753998807302"/>
    <n v="18432.045209564702"/>
    <n v="66355.362754432805"/>
  </r>
  <r>
    <x v="0"/>
    <x v="0"/>
    <x v="0"/>
    <x v="0"/>
    <x v="1"/>
    <s v="DK2_Large"/>
    <x v="2"/>
    <s v="GNR_ST_MSW_BP_E-16"/>
    <x v="0"/>
    <x v="3"/>
    <n v="68.004165901082004"/>
    <n v="24821.520553894901"/>
    <n v="89357.473994021697"/>
  </r>
  <r>
    <x v="0"/>
    <x v="0"/>
    <x v="0"/>
    <x v="0"/>
    <x v="1"/>
    <s v="DK2_Large"/>
    <x v="2"/>
    <s v="GNR_ST_MSW_BP_E-16"/>
    <x v="0"/>
    <x v="18"/>
    <n v="120.520401607906"/>
    <n v="43989.946586885599"/>
    <n v="158363.807712788"/>
  </r>
  <r>
    <x v="0"/>
    <x v="0"/>
    <x v="0"/>
    <x v="0"/>
    <x v="1"/>
    <s v="DK2_Large"/>
    <x v="2"/>
    <s v="GNR_ST_MSW_BP_E-16"/>
    <x v="0"/>
    <x v="4"/>
    <n v="178.125"/>
    <n v="65015.625000000102"/>
    <n v="234056.25"/>
  </r>
  <r>
    <x v="0"/>
    <x v="0"/>
    <x v="0"/>
    <x v="0"/>
    <x v="1"/>
    <s v="DK2_Large"/>
    <x v="2"/>
    <s v="GNR_ST_MSW_BP_E-16"/>
    <x v="0"/>
    <x v="5"/>
    <n v="178.125"/>
    <n v="65015.625000000102"/>
    <n v="234056.25"/>
  </r>
  <r>
    <x v="0"/>
    <x v="0"/>
    <x v="0"/>
    <x v="0"/>
    <x v="1"/>
    <s v="DK2_Large"/>
    <x v="2"/>
    <s v="GNR_ST_MSW_BP_E-16"/>
    <x v="0"/>
    <x v="6"/>
    <n v="178.125"/>
    <n v="65015.625000000102"/>
    <n v="234056.25"/>
  </r>
  <r>
    <x v="0"/>
    <x v="0"/>
    <x v="0"/>
    <x v="0"/>
    <x v="1"/>
    <s v="DK2_Large"/>
    <x v="2"/>
    <s v="GNR_ST_MSW_BP_E-16"/>
    <x v="0"/>
    <x v="7"/>
    <n v="178.125"/>
    <n v="65015.625000000102"/>
    <n v="234056.25"/>
  </r>
  <r>
    <x v="0"/>
    <x v="0"/>
    <x v="0"/>
    <x v="0"/>
    <x v="1"/>
    <s v="DK2_Large"/>
    <x v="2"/>
    <s v="GNR_ST_MSW_BP_E-16"/>
    <x v="0"/>
    <x v="8"/>
    <n v="178.125"/>
    <n v="65015.625000000102"/>
    <n v="234056.25"/>
  </r>
  <r>
    <x v="0"/>
    <x v="0"/>
    <x v="0"/>
    <x v="0"/>
    <x v="1"/>
    <s v="DK2_Large"/>
    <x v="2"/>
    <s v="GNR_ST_MSW_BP_E-16"/>
    <x v="0"/>
    <x v="9"/>
    <n v="178.125"/>
    <n v="65015.625000000102"/>
    <n v="234056.25"/>
  </r>
  <r>
    <x v="0"/>
    <x v="0"/>
    <x v="0"/>
    <x v="0"/>
    <x v="1"/>
    <s v="DK2_Large"/>
    <x v="2"/>
    <s v="GNR_ST_MSW_BP_E-16"/>
    <x v="0"/>
    <x v="10"/>
    <n v="178.125"/>
    <n v="65015.625000000102"/>
    <n v="234056.25"/>
  </r>
  <r>
    <x v="0"/>
    <x v="0"/>
    <x v="0"/>
    <x v="0"/>
    <x v="1"/>
    <s v="DK2_Large"/>
    <x v="2"/>
    <s v="GNR_ST_MSW_BP_E-16"/>
    <x v="0"/>
    <x v="11"/>
    <n v="178.125"/>
    <n v="65015.625000000102"/>
    <n v="234056.25"/>
  </r>
  <r>
    <x v="0"/>
    <x v="0"/>
    <x v="0"/>
    <x v="0"/>
    <x v="1"/>
    <s v="DK2_Large"/>
    <x v="2"/>
    <s v="GNR_ST_MSW_BP_E-16"/>
    <x v="0"/>
    <x v="12"/>
    <n v="178.125"/>
    <n v="65015.625000000102"/>
    <n v="234056.25"/>
  </r>
  <r>
    <x v="0"/>
    <x v="0"/>
    <x v="0"/>
    <x v="0"/>
    <x v="1"/>
    <s v="DK2_Large"/>
    <x v="2"/>
    <s v="GNR_ST_MSW_BP_E-16"/>
    <x v="0"/>
    <x v="13"/>
    <n v="178.125"/>
    <n v="65015.625000000102"/>
    <n v="234056.25"/>
  </r>
  <r>
    <x v="0"/>
    <x v="0"/>
    <x v="0"/>
    <x v="0"/>
    <x v="1"/>
    <s v="DK2_Large"/>
    <x v="2"/>
    <s v="GNR_ST_MSW_BP_E-16"/>
    <x v="0"/>
    <x v="14"/>
    <n v="178.125"/>
    <n v="65015.625000000102"/>
    <n v="234056.25"/>
  </r>
  <r>
    <x v="0"/>
    <x v="0"/>
    <x v="0"/>
    <x v="0"/>
    <x v="1"/>
    <s v="DK2_Large"/>
    <x v="2"/>
    <s v="GNR_ST_MSW_BP_E-16"/>
    <x v="0"/>
    <x v="15"/>
    <n v="178.125"/>
    <n v="65015.625000000102"/>
    <n v="234056.25"/>
  </r>
  <r>
    <x v="0"/>
    <x v="0"/>
    <x v="0"/>
    <x v="0"/>
    <x v="1"/>
    <s v="DK2_Large"/>
    <x v="2"/>
    <s v="GNR_ST_MSW_BP_E-16"/>
    <x v="0"/>
    <x v="16"/>
    <n v="178.125"/>
    <n v="65015.625000000102"/>
    <n v="234056.25"/>
  </r>
  <r>
    <x v="0"/>
    <x v="0"/>
    <x v="0"/>
    <x v="0"/>
    <x v="1"/>
    <s v="DK2_Large"/>
    <x v="2"/>
    <s v="GNR_ST_MSW_BP_E-16"/>
    <x v="0"/>
    <x v="17"/>
    <n v="178.125"/>
    <n v="65015.625000000102"/>
    <n v="234056.25"/>
  </r>
  <r>
    <x v="0"/>
    <x v="0"/>
    <x v="0"/>
    <x v="0"/>
    <x v="1"/>
    <s v="DK2_Large"/>
    <x v="2"/>
    <s v="GNR_ST_MSW_BP_E-16"/>
    <x v="0"/>
    <x v="19"/>
    <n v="178.125"/>
    <n v="65015.625000000102"/>
    <n v="234056.25"/>
  </r>
  <r>
    <x v="0"/>
    <x v="0"/>
    <x v="0"/>
    <x v="0"/>
    <x v="1"/>
    <s v="DK2_Large"/>
    <x v="2"/>
    <s v="GNR_ST_MSW_BP_E-16"/>
    <x v="0"/>
    <x v="20"/>
    <n v="178.125"/>
    <n v="65015.625000000102"/>
    <n v="234056.25"/>
  </r>
  <r>
    <x v="0"/>
    <x v="0"/>
    <x v="0"/>
    <x v="0"/>
    <x v="1"/>
    <s v="DK2_Large"/>
    <x v="2"/>
    <s v="GNR_ST_MSW_BP_E-16"/>
    <x v="0"/>
    <x v="21"/>
    <n v="178.125"/>
    <n v="65015.625000000102"/>
    <n v="234056.25"/>
  </r>
  <r>
    <x v="0"/>
    <x v="0"/>
    <x v="0"/>
    <x v="0"/>
    <x v="1"/>
    <s v="DK2_Large"/>
    <x v="2"/>
    <s v="GNR_ST_MSW_BP_E-16"/>
    <x v="0"/>
    <x v="22"/>
    <n v="103.014989705631"/>
    <n v="37600.471242555403"/>
    <n v="135361.69647319999"/>
  </r>
  <r>
    <x v="0"/>
    <x v="0"/>
    <x v="0"/>
    <x v="0"/>
    <x v="1"/>
    <s v="DK2_Large"/>
    <x v="2"/>
    <s v="GNR_ST_MSW_BP_E-16"/>
    <x v="0"/>
    <x v="23"/>
    <n v="32.9933420965328"/>
    <n v="12042.5698652345"/>
    <n v="43353.251514844102"/>
  </r>
  <r>
    <x v="0"/>
    <x v="0"/>
    <x v="0"/>
    <x v="0"/>
    <x v="1"/>
    <s v="DK2_Large"/>
    <x v="2"/>
    <s v="GNR_ST_MSW_BP_E-20"/>
    <x v="0"/>
    <x v="0"/>
    <n v="195"/>
    <n v="71175.000000000102"/>
    <n v="256230"/>
  </r>
  <r>
    <x v="0"/>
    <x v="0"/>
    <x v="0"/>
    <x v="0"/>
    <x v="1"/>
    <s v="DK2_Large"/>
    <x v="2"/>
    <s v="GNR_ST_MSW_BP_E-20"/>
    <x v="0"/>
    <x v="1"/>
    <n v="195"/>
    <n v="71175.000000000102"/>
    <n v="256230"/>
  </r>
  <r>
    <x v="0"/>
    <x v="0"/>
    <x v="0"/>
    <x v="0"/>
    <x v="1"/>
    <s v="DK2_Large"/>
    <x v="2"/>
    <s v="GNR_ST_MSW_BP_E-20"/>
    <x v="0"/>
    <x v="2"/>
    <n v="195"/>
    <n v="71175.000000000102"/>
    <n v="256230"/>
  </r>
  <r>
    <x v="0"/>
    <x v="0"/>
    <x v="0"/>
    <x v="0"/>
    <x v="1"/>
    <s v="DK2_Large"/>
    <x v="2"/>
    <s v="GNR_ST_MSW_BP_E-20"/>
    <x v="0"/>
    <x v="3"/>
    <n v="195"/>
    <n v="71175.000000000102"/>
    <n v="256230"/>
  </r>
  <r>
    <x v="0"/>
    <x v="0"/>
    <x v="0"/>
    <x v="0"/>
    <x v="1"/>
    <s v="DK2_Large"/>
    <x v="2"/>
    <s v="GNR_ST_MSW_BP_E-20"/>
    <x v="0"/>
    <x v="18"/>
    <n v="195"/>
    <n v="71175.000000000102"/>
    <n v="256230"/>
  </r>
  <r>
    <x v="0"/>
    <x v="0"/>
    <x v="0"/>
    <x v="0"/>
    <x v="1"/>
    <s v="DK2_Large"/>
    <x v="2"/>
    <s v="GNR_ST_MSW_BP_E-20"/>
    <x v="0"/>
    <x v="4"/>
    <n v="195"/>
    <n v="71175.000000000102"/>
    <n v="256230"/>
  </r>
  <r>
    <x v="0"/>
    <x v="0"/>
    <x v="0"/>
    <x v="0"/>
    <x v="1"/>
    <s v="DK2_Large"/>
    <x v="2"/>
    <s v="GNR_ST_MSW_BP_E-20"/>
    <x v="0"/>
    <x v="5"/>
    <n v="195"/>
    <n v="71175.000000000102"/>
    <n v="256230"/>
  </r>
  <r>
    <x v="0"/>
    <x v="0"/>
    <x v="0"/>
    <x v="0"/>
    <x v="1"/>
    <s v="DK2_Large"/>
    <x v="2"/>
    <s v="GNR_ST_MSW_BP_E-20"/>
    <x v="0"/>
    <x v="6"/>
    <n v="195"/>
    <n v="71175.000000000102"/>
    <n v="256230"/>
  </r>
  <r>
    <x v="0"/>
    <x v="0"/>
    <x v="0"/>
    <x v="0"/>
    <x v="1"/>
    <s v="DK2_Large"/>
    <x v="2"/>
    <s v="GNR_ST_MSW_BP_E-20"/>
    <x v="0"/>
    <x v="7"/>
    <n v="195"/>
    <n v="71175.000000000102"/>
    <n v="256230"/>
  </r>
  <r>
    <x v="0"/>
    <x v="0"/>
    <x v="0"/>
    <x v="0"/>
    <x v="1"/>
    <s v="DK2_Large"/>
    <x v="2"/>
    <s v="GNR_ST_MSW_BP_E-20"/>
    <x v="0"/>
    <x v="8"/>
    <n v="195"/>
    <n v="71175.000000000102"/>
    <n v="256230"/>
  </r>
  <r>
    <x v="0"/>
    <x v="0"/>
    <x v="0"/>
    <x v="0"/>
    <x v="1"/>
    <s v="DK2_Large"/>
    <x v="2"/>
    <s v="GNR_ST_MSW_BP_E-20"/>
    <x v="0"/>
    <x v="9"/>
    <n v="195"/>
    <n v="71175.000000000102"/>
    <n v="256230"/>
  </r>
  <r>
    <x v="0"/>
    <x v="0"/>
    <x v="0"/>
    <x v="0"/>
    <x v="1"/>
    <s v="DK2_Large"/>
    <x v="2"/>
    <s v="GNR_ST_MSW_BP_E-20"/>
    <x v="0"/>
    <x v="10"/>
    <n v="195"/>
    <n v="71175.000000000102"/>
    <n v="256230"/>
  </r>
  <r>
    <x v="0"/>
    <x v="0"/>
    <x v="0"/>
    <x v="0"/>
    <x v="1"/>
    <s v="DK2_Large"/>
    <x v="2"/>
    <s v="GNR_ST_MSW_BP_E-20"/>
    <x v="0"/>
    <x v="11"/>
    <n v="195"/>
    <n v="71175.000000000102"/>
    <n v="256230"/>
  </r>
  <r>
    <x v="0"/>
    <x v="0"/>
    <x v="0"/>
    <x v="0"/>
    <x v="1"/>
    <s v="DK2_Large"/>
    <x v="2"/>
    <s v="GNR_ST_MSW_BP_E-20"/>
    <x v="0"/>
    <x v="12"/>
    <n v="195"/>
    <n v="71175.000000000102"/>
    <n v="256230"/>
  </r>
  <r>
    <x v="0"/>
    <x v="0"/>
    <x v="0"/>
    <x v="0"/>
    <x v="1"/>
    <s v="DK2_Large"/>
    <x v="2"/>
    <s v="GNR_ST_MSW_BP_E-20"/>
    <x v="0"/>
    <x v="13"/>
    <n v="195"/>
    <n v="71175.000000000102"/>
    <n v="256230"/>
  </r>
  <r>
    <x v="0"/>
    <x v="0"/>
    <x v="0"/>
    <x v="0"/>
    <x v="1"/>
    <s v="DK2_Large"/>
    <x v="2"/>
    <s v="GNR_ST_MSW_BP_E-20"/>
    <x v="0"/>
    <x v="14"/>
    <n v="195"/>
    <n v="71175.000000000102"/>
    <n v="256230"/>
  </r>
  <r>
    <x v="0"/>
    <x v="0"/>
    <x v="0"/>
    <x v="0"/>
    <x v="1"/>
    <s v="DK2_Large"/>
    <x v="2"/>
    <s v="GNR_ST_MSW_BP_E-20"/>
    <x v="0"/>
    <x v="15"/>
    <n v="195"/>
    <n v="71175.000000000102"/>
    <n v="256230"/>
  </r>
  <r>
    <x v="0"/>
    <x v="0"/>
    <x v="0"/>
    <x v="0"/>
    <x v="1"/>
    <s v="DK2_Large"/>
    <x v="2"/>
    <s v="GNR_ST_MSW_BP_E-20"/>
    <x v="0"/>
    <x v="16"/>
    <n v="195"/>
    <n v="71175.000000000102"/>
    <n v="256230"/>
  </r>
  <r>
    <x v="0"/>
    <x v="0"/>
    <x v="0"/>
    <x v="0"/>
    <x v="1"/>
    <s v="DK2_Large"/>
    <x v="2"/>
    <s v="GNR_ST_MSW_BP_E-20"/>
    <x v="0"/>
    <x v="17"/>
    <n v="195"/>
    <n v="71175.000000000102"/>
    <n v="256230"/>
  </r>
  <r>
    <x v="0"/>
    <x v="0"/>
    <x v="0"/>
    <x v="0"/>
    <x v="1"/>
    <s v="DK2_Large"/>
    <x v="2"/>
    <s v="GNR_ST_MSW_BP_E-20"/>
    <x v="0"/>
    <x v="19"/>
    <n v="195"/>
    <n v="71175.000000000102"/>
    <n v="256230"/>
  </r>
  <r>
    <x v="0"/>
    <x v="0"/>
    <x v="0"/>
    <x v="0"/>
    <x v="1"/>
    <s v="DK2_Large"/>
    <x v="2"/>
    <s v="GNR_ST_MSW_BP_E-20"/>
    <x v="0"/>
    <x v="20"/>
    <n v="195"/>
    <n v="71175.000000000102"/>
    <n v="256230"/>
  </r>
  <r>
    <x v="0"/>
    <x v="0"/>
    <x v="0"/>
    <x v="0"/>
    <x v="1"/>
    <s v="DK2_Large"/>
    <x v="2"/>
    <s v="GNR_ST_MSW_BP_E-20"/>
    <x v="0"/>
    <x v="21"/>
    <n v="195"/>
    <n v="71175.000000000102"/>
    <n v="256230"/>
  </r>
  <r>
    <x v="0"/>
    <x v="0"/>
    <x v="0"/>
    <x v="0"/>
    <x v="1"/>
    <s v="DK2_Large"/>
    <x v="2"/>
    <s v="GNR_ST_MSW_BP_E-20"/>
    <x v="0"/>
    <x v="22"/>
    <n v="195"/>
    <n v="71175.000000000102"/>
    <n v="256230"/>
  </r>
  <r>
    <x v="0"/>
    <x v="0"/>
    <x v="0"/>
    <x v="0"/>
    <x v="1"/>
    <s v="DK2_Large"/>
    <x v="2"/>
    <s v="GNR_ST_MSW_BP_E-20"/>
    <x v="0"/>
    <x v="23"/>
    <n v="195"/>
    <n v="71175.000000000102"/>
    <n v="256230"/>
  </r>
  <r>
    <x v="0"/>
    <x v="0"/>
    <x v="0"/>
    <x v="0"/>
    <x v="1"/>
    <s v="DK2_Large"/>
    <x v="2"/>
    <s v="GNR_ST_MSW_BP_E-21"/>
    <x v="0"/>
    <x v="0"/>
    <n v="65.238095238095298"/>
    <n v="23811.9047619048"/>
    <n v="85722.857142857305"/>
  </r>
  <r>
    <x v="0"/>
    <x v="0"/>
    <x v="0"/>
    <x v="0"/>
    <x v="1"/>
    <s v="DK2_Large"/>
    <x v="2"/>
    <s v="GNR_ST_MSW_BP_E-21"/>
    <x v="0"/>
    <x v="1"/>
    <n v="65.238095238095298"/>
    <n v="23811.9047619048"/>
    <n v="85722.857142857305"/>
  </r>
  <r>
    <x v="0"/>
    <x v="0"/>
    <x v="0"/>
    <x v="0"/>
    <x v="1"/>
    <s v="DK2_Large"/>
    <x v="2"/>
    <s v="GNR_ST_MSW_BP_E-21"/>
    <x v="0"/>
    <x v="2"/>
    <n v="65.238095238095298"/>
    <n v="23811.9047619048"/>
    <n v="85722.857142857305"/>
  </r>
  <r>
    <x v="0"/>
    <x v="0"/>
    <x v="0"/>
    <x v="0"/>
    <x v="1"/>
    <s v="DK2_Large"/>
    <x v="2"/>
    <s v="GNR_ST_MSW_BP_E-21"/>
    <x v="0"/>
    <x v="3"/>
    <n v="65.238095238095298"/>
    <n v="23811.9047619048"/>
    <n v="85722.857142857305"/>
  </r>
  <r>
    <x v="0"/>
    <x v="0"/>
    <x v="0"/>
    <x v="0"/>
    <x v="1"/>
    <s v="DK2_Large"/>
    <x v="2"/>
    <s v="GNR_ST_MSW_BP_E-21"/>
    <x v="0"/>
    <x v="18"/>
    <n v="65.238095238095298"/>
    <n v="23811.9047619048"/>
    <n v="85722.857142857305"/>
  </r>
  <r>
    <x v="0"/>
    <x v="0"/>
    <x v="0"/>
    <x v="0"/>
    <x v="1"/>
    <s v="DK2_Large"/>
    <x v="2"/>
    <s v="GNR_ST_MSW_BP_E-21"/>
    <x v="0"/>
    <x v="4"/>
    <n v="65.238095238095298"/>
    <n v="23811.9047619048"/>
    <n v="85722.857142857305"/>
  </r>
  <r>
    <x v="0"/>
    <x v="0"/>
    <x v="0"/>
    <x v="0"/>
    <x v="1"/>
    <s v="DK2_Large"/>
    <x v="2"/>
    <s v="GNR_ST_MSW_BP_E-21"/>
    <x v="0"/>
    <x v="5"/>
    <n v="65.238095238095298"/>
    <n v="23811.9047619048"/>
    <n v="85722.857142857305"/>
  </r>
  <r>
    <x v="0"/>
    <x v="0"/>
    <x v="0"/>
    <x v="0"/>
    <x v="1"/>
    <s v="DK2_Large"/>
    <x v="2"/>
    <s v="GNR_ST_MSW_BP_E-21"/>
    <x v="0"/>
    <x v="6"/>
    <n v="65.238095238095298"/>
    <n v="23811.9047619048"/>
    <n v="85722.857142857305"/>
  </r>
  <r>
    <x v="0"/>
    <x v="0"/>
    <x v="0"/>
    <x v="0"/>
    <x v="1"/>
    <s v="DK2_Large"/>
    <x v="2"/>
    <s v="GNR_ST_MSW_BP_E-21"/>
    <x v="0"/>
    <x v="7"/>
    <n v="65.238095238095298"/>
    <n v="23811.9047619048"/>
    <n v="85722.857142857305"/>
  </r>
  <r>
    <x v="0"/>
    <x v="0"/>
    <x v="0"/>
    <x v="0"/>
    <x v="1"/>
    <s v="DK2_Large"/>
    <x v="2"/>
    <s v="GNR_ST_MSW_BP_E-21"/>
    <x v="0"/>
    <x v="8"/>
    <n v="65.238095238095298"/>
    <n v="23811.9047619048"/>
    <n v="85722.857142857305"/>
  </r>
  <r>
    <x v="0"/>
    <x v="0"/>
    <x v="0"/>
    <x v="0"/>
    <x v="1"/>
    <s v="DK2_Large"/>
    <x v="2"/>
    <s v="GNR_ST_MSW_BP_E-21"/>
    <x v="0"/>
    <x v="9"/>
    <n v="65.238095238095298"/>
    <n v="23811.9047619048"/>
    <n v="85722.857142857305"/>
  </r>
  <r>
    <x v="0"/>
    <x v="0"/>
    <x v="0"/>
    <x v="0"/>
    <x v="1"/>
    <s v="DK2_Large"/>
    <x v="2"/>
    <s v="GNR_ST_MSW_BP_E-21"/>
    <x v="0"/>
    <x v="10"/>
    <n v="65.238095238095298"/>
    <n v="23811.9047619048"/>
    <n v="85722.857142857305"/>
  </r>
  <r>
    <x v="0"/>
    <x v="0"/>
    <x v="0"/>
    <x v="0"/>
    <x v="1"/>
    <s v="DK2_Large"/>
    <x v="2"/>
    <s v="GNR_ST_MSW_BP_E-21"/>
    <x v="0"/>
    <x v="11"/>
    <n v="65.238095238095298"/>
    <n v="23811.9047619048"/>
    <n v="85722.857142857305"/>
  </r>
  <r>
    <x v="0"/>
    <x v="0"/>
    <x v="0"/>
    <x v="0"/>
    <x v="1"/>
    <s v="DK2_Large"/>
    <x v="2"/>
    <s v="GNR_ST_MSW_BP_E-21"/>
    <x v="0"/>
    <x v="12"/>
    <n v="65.238095238095298"/>
    <n v="23811.9047619048"/>
    <n v="85722.857142857305"/>
  </r>
  <r>
    <x v="0"/>
    <x v="0"/>
    <x v="0"/>
    <x v="0"/>
    <x v="1"/>
    <s v="DK2_Large"/>
    <x v="2"/>
    <s v="GNR_ST_MSW_BP_E-21"/>
    <x v="0"/>
    <x v="13"/>
    <n v="65.238095238095298"/>
    <n v="23811.9047619048"/>
    <n v="85722.857142857305"/>
  </r>
  <r>
    <x v="0"/>
    <x v="0"/>
    <x v="0"/>
    <x v="0"/>
    <x v="1"/>
    <s v="DK2_Large"/>
    <x v="2"/>
    <s v="GNR_ST_MSW_BP_E-21"/>
    <x v="0"/>
    <x v="14"/>
    <n v="65.238095238095298"/>
    <n v="23811.9047619048"/>
    <n v="85722.857142857305"/>
  </r>
  <r>
    <x v="0"/>
    <x v="0"/>
    <x v="0"/>
    <x v="0"/>
    <x v="1"/>
    <s v="DK2_Large"/>
    <x v="2"/>
    <s v="GNR_ST_MSW_BP_E-21"/>
    <x v="0"/>
    <x v="15"/>
    <n v="65.238095238095298"/>
    <n v="23811.9047619048"/>
    <n v="85722.857142857305"/>
  </r>
  <r>
    <x v="0"/>
    <x v="0"/>
    <x v="0"/>
    <x v="0"/>
    <x v="1"/>
    <s v="DK2_Large"/>
    <x v="2"/>
    <s v="GNR_ST_MSW_BP_E-21"/>
    <x v="0"/>
    <x v="16"/>
    <n v="65.238095238095298"/>
    <n v="23811.9047619048"/>
    <n v="85722.857142857305"/>
  </r>
  <r>
    <x v="0"/>
    <x v="0"/>
    <x v="0"/>
    <x v="0"/>
    <x v="1"/>
    <s v="DK2_Large"/>
    <x v="2"/>
    <s v="GNR_ST_MSW_BP_E-21"/>
    <x v="0"/>
    <x v="17"/>
    <n v="65.238095238095298"/>
    <n v="23811.9047619048"/>
    <n v="85722.857142857305"/>
  </r>
  <r>
    <x v="0"/>
    <x v="0"/>
    <x v="0"/>
    <x v="0"/>
    <x v="1"/>
    <s v="DK2_Large"/>
    <x v="2"/>
    <s v="GNR_ST_MSW_BP_E-21"/>
    <x v="0"/>
    <x v="19"/>
    <n v="65.238095238095298"/>
    <n v="23811.9047619048"/>
    <n v="85722.857142857305"/>
  </r>
  <r>
    <x v="0"/>
    <x v="0"/>
    <x v="0"/>
    <x v="0"/>
    <x v="1"/>
    <s v="DK2_Large"/>
    <x v="2"/>
    <s v="GNR_ST_MSW_BP_E-21"/>
    <x v="0"/>
    <x v="20"/>
    <n v="65.238095238095298"/>
    <n v="23811.9047619048"/>
    <n v="85722.857142857305"/>
  </r>
  <r>
    <x v="0"/>
    <x v="0"/>
    <x v="0"/>
    <x v="0"/>
    <x v="1"/>
    <s v="DK2_Large"/>
    <x v="2"/>
    <s v="GNR_ST_MSW_BP_E-21"/>
    <x v="0"/>
    <x v="21"/>
    <n v="65.238095238095298"/>
    <n v="23811.9047619048"/>
    <n v="85722.857142857305"/>
  </r>
  <r>
    <x v="0"/>
    <x v="0"/>
    <x v="0"/>
    <x v="0"/>
    <x v="1"/>
    <s v="DK2_Large"/>
    <x v="2"/>
    <s v="GNR_ST_MSW_BP_E-21"/>
    <x v="0"/>
    <x v="22"/>
    <n v="65.238095238095298"/>
    <n v="23811.9047619048"/>
    <n v="85722.857142857305"/>
  </r>
  <r>
    <x v="0"/>
    <x v="0"/>
    <x v="0"/>
    <x v="0"/>
    <x v="1"/>
    <s v="DK2_Large"/>
    <x v="2"/>
    <s v="GNR_ST_MSW_BP_E-21"/>
    <x v="0"/>
    <x v="23"/>
    <n v="65.238095238095298"/>
    <n v="23811.9047619048"/>
    <n v="85722.857142857305"/>
  </r>
  <r>
    <x v="0"/>
    <x v="0"/>
    <x v="0"/>
    <x v="0"/>
    <x v="1"/>
    <s v="DK2_Large"/>
    <x v="2"/>
    <s v="GNR_ST_MSW_BP_E-27"/>
    <x v="0"/>
    <x v="0"/>
    <n v="71.851851851852004"/>
    <n v="26225.925925926"/>
    <n v="94413.333333333503"/>
  </r>
  <r>
    <x v="0"/>
    <x v="0"/>
    <x v="0"/>
    <x v="0"/>
    <x v="1"/>
    <s v="DK2_Large"/>
    <x v="2"/>
    <s v="GNR_ST_MSW_BP_E-27"/>
    <x v="0"/>
    <x v="1"/>
    <n v="71.851851851852004"/>
    <n v="26225.925925926"/>
    <n v="94413.333333333503"/>
  </r>
  <r>
    <x v="0"/>
    <x v="0"/>
    <x v="0"/>
    <x v="0"/>
    <x v="1"/>
    <s v="DK2_Large"/>
    <x v="2"/>
    <s v="GNR_ST_MSW_BP_E-27"/>
    <x v="0"/>
    <x v="2"/>
    <n v="71.851851851852004"/>
    <n v="26225.925925926"/>
    <n v="94413.333333333503"/>
  </r>
  <r>
    <x v="0"/>
    <x v="0"/>
    <x v="0"/>
    <x v="0"/>
    <x v="1"/>
    <s v="DK2_Large"/>
    <x v="2"/>
    <s v="GNR_ST_MSW_BP_E-27"/>
    <x v="0"/>
    <x v="3"/>
    <n v="71.851851851852004"/>
    <n v="26225.925925926"/>
    <n v="94413.333333333503"/>
  </r>
  <r>
    <x v="0"/>
    <x v="0"/>
    <x v="0"/>
    <x v="0"/>
    <x v="1"/>
    <s v="DK2_Large"/>
    <x v="2"/>
    <s v="GNR_ST_MSW_BP_E-27"/>
    <x v="0"/>
    <x v="18"/>
    <n v="71.851851851852004"/>
    <n v="26225.925925926"/>
    <n v="94413.333333333503"/>
  </r>
  <r>
    <x v="0"/>
    <x v="0"/>
    <x v="0"/>
    <x v="0"/>
    <x v="1"/>
    <s v="DK2_Large"/>
    <x v="2"/>
    <s v="GNR_ST_MSW_BP_E-27"/>
    <x v="0"/>
    <x v="4"/>
    <n v="71.851851851852004"/>
    <n v="26225.925925926"/>
    <n v="94413.333333333503"/>
  </r>
  <r>
    <x v="0"/>
    <x v="0"/>
    <x v="0"/>
    <x v="0"/>
    <x v="1"/>
    <s v="DK2_Large"/>
    <x v="2"/>
    <s v="GNR_ST_MSW_BP_E-27"/>
    <x v="0"/>
    <x v="5"/>
    <n v="71.851851851852004"/>
    <n v="26225.925925926"/>
    <n v="94413.333333333503"/>
  </r>
  <r>
    <x v="0"/>
    <x v="0"/>
    <x v="0"/>
    <x v="0"/>
    <x v="1"/>
    <s v="DK2_Large"/>
    <x v="2"/>
    <s v="GNR_ST_MSW_BP_E-27"/>
    <x v="0"/>
    <x v="6"/>
    <n v="71.851851851852004"/>
    <n v="26225.925925926"/>
    <n v="94413.333333333503"/>
  </r>
  <r>
    <x v="0"/>
    <x v="0"/>
    <x v="0"/>
    <x v="0"/>
    <x v="1"/>
    <s v="DK2_Large"/>
    <x v="2"/>
    <s v="GNR_ST_MSW_BP_E-27"/>
    <x v="0"/>
    <x v="7"/>
    <n v="71.851851851852004"/>
    <n v="26225.925925926"/>
    <n v="94413.333333333503"/>
  </r>
  <r>
    <x v="0"/>
    <x v="0"/>
    <x v="0"/>
    <x v="0"/>
    <x v="1"/>
    <s v="DK2_Large"/>
    <x v="2"/>
    <s v="GNR_ST_MSW_BP_E-27"/>
    <x v="0"/>
    <x v="8"/>
    <n v="71.851851851852004"/>
    <n v="26225.925925926"/>
    <n v="94413.333333333503"/>
  </r>
  <r>
    <x v="0"/>
    <x v="0"/>
    <x v="0"/>
    <x v="0"/>
    <x v="1"/>
    <s v="DK2_Large"/>
    <x v="2"/>
    <s v="GNR_ST_MSW_BP_E-27"/>
    <x v="0"/>
    <x v="9"/>
    <n v="71.851851851852004"/>
    <n v="26225.925925926"/>
    <n v="94413.333333333503"/>
  </r>
  <r>
    <x v="0"/>
    <x v="0"/>
    <x v="0"/>
    <x v="0"/>
    <x v="1"/>
    <s v="DK2_Large"/>
    <x v="2"/>
    <s v="GNR_ST_MSW_BP_E-27"/>
    <x v="0"/>
    <x v="10"/>
    <n v="71.851851851852004"/>
    <n v="26225.925925926"/>
    <n v="94413.333333333503"/>
  </r>
  <r>
    <x v="0"/>
    <x v="0"/>
    <x v="0"/>
    <x v="0"/>
    <x v="1"/>
    <s v="DK2_Large"/>
    <x v="2"/>
    <s v="GNR_ST_MSW_BP_E-27"/>
    <x v="0"/>
    <x v="11"/>
    <n v="71.851851851852004"/>
    <n v="26225.925925926"/>
    <n v="94413.333333333503"/>
  </r>
  <r>
    <x v="0"/>
    <x v="0"/>
    <x v="0"/>
    <x v="0"/>
    <x v="1"/>
    <s v="DK2_Large"/>
    <x v="2"/>
    <s v="GNR_ST_MSW_BP_E-27"/>
    <x v="0"/>
    <x v="12"/>
    <n v="71.851851851852004"/>
    <n v="26225.925925926"/>
    <n v="94413.333333333503"/>
  </r>
  <r>
    <x v="0"/>
    <x v="0"/>
    <x v="0"/>
    <x v="0"/>
    <x v="1"/>
    <s v="DK2_Large"/>
    <x v="2"/>
    <s v="GNR_ST_MSW_BP_E-27"/>
    <x v="0"/>
    <x v="13"/>
    <n v="71.851851851852004"/>
    <n v="26225.925925926"/>
    <n v="94413.333333333503"/>
  </r>
  <r>
    <x v="0"/>
    <x v="0"/>
    <x v="0"/>
    <x v="0"/>
    <x v="1"/>
    <s v="DK2_Large"/>
    <x v="2"/>
    <s v="GNR_ST_MSW_BP_E-27"/>
    <x v="0"/>
    <x v="14"/>
    <n v="71.851851851852004"/>
    <n v="26225.925925926"/>
    <n v="94413.333333333503"/>
  </r>
  <r>
    <x v="0"/>
    <x v="0"/>
    <x v="0"/>
    <x v="0"/>
    <x v="1"/>
    <s v="DK2_Large"/>
    <x v="2"/>
    <s v="GNR_ST_MSW_BP_E-27"/>
    <x v="0"/>
    <x v="15"/>
    <n v="71.851851851852004"/>
    <n v="26225.925925926"/>
    <n v="94413.333333333503"/>
  </r>
  <r>
    <x v="0"/>
    <x v="0"/>
    <x v="0"/>
    <x v="0"/>
    <x v="1"/>
    <s v="DK2_Large"/>
    <x v="2"/>
    <s v="GNR_ST_MSW_BP_E-27"/>
    <x v="0"/>
    <x v="16"/>
    <n v="71.851851851852004"/>
    <n v="26225.925925926"/>
    <n v="94413.333333333503"/>
  </r>
  <r>
    <x v="0"/>
    <x v="0"/>
    <x v="0"/>
    <x v="0"/>
    <x v="1"/>
    <s v="DK2_Large"/>
    <x v="2"/>
    <s v="GNR_ST_MSW_BP_E-27"/>
    <x v="0"/>
    <x v="17"/>
    <n v="71.851851851852004"/>
    <n v="26225.925925926"/>
    <n v="94413.333333333503"/>
  </r>
  <r>
    <x v="0"/>
    <x v="0"/>
    <x v="0"/>
    <x v="0"/>
    <x v="1"/>
    <s v="DK2_Large"/>
    <x v="2"/>
    <s v="GNR_ST_MSW_BP_E-27"/>
    <x v="0"/>
    <x v="19"/>
    <n v="71.851851851852004"/>
    <n v="26225.925925926"/>
    <n v="94413.333333333503"/>
  </r>
  <r>
    <x v="0"/>
    <x v="0"/>
    <x v="0"/>
    <x v="0"/>
    <x v="1"/>
    <s v="DK2_Large"/>
    <x v="2"/>
    <s v="GNR_ST_MSW_BP_E-27"/>
    <x v="0"/>
    <x v="20"/>
    <n v="71.851851851852004"/>
    <n v="26225.925925926"/>
    <n v="94413.333333333503"/>
  </r>
  <r>
    <x v="0"/>
    <x v="0"/>
    <x v="0"/>
    <x v="0"/>
    <x v="1"/>
    <s v="DK2_Large"/>
    <x v="2"/>
    <s v="GNR_ST_MSW_BP_E-27"/>
    <x v="0"/>
    <x v="21"/>
    <n v="71.851851851852004"/>
    <n v="26225.925925926"/>
    <n v="94413.333333333503"/>
  </r>
  <r>
    <x v="0"/>
    <x v="0"/>
    <x v="0"/>
    <x v="0"/>
    <x v="1"/>
    <s v="DK2_Large"/>
    <x v="2"/>
    <s v="GNR_ST_MSW_BP_E-27"/>
    <x v="0"/>
    <x v="22"/>
    <n v="71.851851851852004"/>
    <n v="26225.925925926"/>
    <n v="94413.333333333503"/>
  </r>
  <r>
    <x v="0"/>
    <x v="0"/>
    <x v="0"/>
    <x v="0"/>
    <x v="1"/>
    <s v="DK2_Large"/>
    <x v="2"/>
    <s v="GNR_ST_MSW_BP_E-27"/>
    <x v="0"/>
    <x v="23"/>
    <n v="71.851851851852004"/>
    <n v="26225.925925926"/>
    <n v="94413.333333333503"/>
  </r>
  <r>
    <x v="0"/>
    <x v="0"/>
    <x v="0"/>
    <x v="0"/>
    <x v="1"/>
    <s v="DK2_Large"/>
    <x v="3"/>
    <s v="GNR_ST_NGAS_BP_E-39"/>
    <x v="0"/>
    <x v="6"/>
    <n v="201.86229381913799"/>
    <n v="73679.737243985393"/>
    <n v="265247.05407834798"/>
  </r>
  <r>
    <x v="0"/>
    <x v="0"/>
    <x v="0"/>
    <x v="0"/>
    <x v="1"/>
    <s v="DK2_Large"/>
    <x v="3"/>
    <s v="GNR_ST_NGAS_BP_E-39"/>
    <x v="0"/>
    <x v="7"/>
    <n v="210.25641025640999"/>
    <n v="76743.589743589793"/>
    <n v="276276.92307692301"/>
  </r>
  <r>
    <x v="0"/>
    <x v="0"/>
    <x v="0"/>
    <x v="0"/>
    <x v="1"/>
    <s v="DK2_Large"/>
    <x v="3"/>
    <s v="GNR_ST_NGAS_BP_E-39"/>
    <x v="0"/>
    <x v="8"/>
    <n v="167.867276437763"/>
    <n v="61271.555899783503"/>
    <n v="220577.601239221"/>
  </r>
  <r>
    <x v="0"/>
    <x v="0"/>
    <x v="0"/>
    <x v="0"/>
    <x v="1"/>
    <s v="DK2_Large"/>
    <x v="1"/>
    <s v="GNR_GEO_HEAT_HO"/>
    <x v="0"/>
    <x v="0"/>
    <n v="14"/>
    <n v="5110"/>
    <n v="18396"/>
  </r>
  <r>
    <x v="0"/>
    <x v="0"/>
    <x v="0"/>
    <x v="0"/>
    <x v="1"/>
    <s v="DK2_Large"/>
    <x v="1"/>
    <s v="GNR_GEO_HEAT_HO"/>
    <x v="0"/>
    <x v="1"/>
    <n v="14"/>
    <n v="5110"/>
    <n v="18396"/>
  </r>
  <r>
    <x v="0"/>
    <x v="0"/>
    <x v="0"/>
    <x v="0"/>
    <x v="1"/>
    <s v="DK2_Large"/>
    <x v="1"/>
    <s v="GNR_GEO_HEAT_HO"/>
    <x v="0"/>
    <x v="2"/>
    <n v="14"/>
    <n v="5110"/>
    <n v="18396"/>
  </r>
  <r>
    <x v="0"/>
    <x v="0"/>
    <x v="0"/>
    <x v="0"/>
    <x v="1"/>
    <s v="DK2_Large"/>
    <x v="1"/>
    <s v="GNR_GEO_HEAT_HO"/>
    <x v="0"/>
    <x v="3"/>
    <n v="14"/>
    <n v="5110"/>
    <n v="18396"/>
  </r>
  <r>
    <x v="0"/>
    <x v="0"/>
    <x v="0"/>
    <x v="0"/>
    <x v="1"/>
    <s v="DK2_Large"/>
    <x v="1"/>
    <s v="GNR_GEO_HEAT_HO"/>
    <x v="0"/>
    <x v="18"/>
    <n v="14"/>
    <n v="5110"/>
    <n v="18396"/>
  </r>
  <r>
    <x v="0"/>
    <x v="0"/>
    <x v="0"/>
    <x v="0"/>
    <x v="1"/>
    <s v="DK2_Large"/>
    <x v="1"/>
    <s v="GNR_GEO_HEAT_HO"/>
    <x v="0"/>
    <x v="4"/>
    <n v="14"/>
    <n v="5110"/>
    <n v="18396"/>
  </r>
  <r>
    <x v="0"/>
    <x v="0"/>
    <x v="0"/>
    <x v="0"/>
    <x v="1"/>
    <s v="DK2_Large"/>
    <x v="1"/>
    <s v="GNR_GEO_HEAT_HO"/>
    <x v="0"/>
    <x v="5"/>
    <n v="14"/>
    <n v="5110"/>
    <n v="18396"/>
  </r>
  <r>
    <x v="0"/>
    <x v="0"/>
    <x v="0"/>
    <x v="0"/>
    <x v="1"/>
    <s v="DK2_Large"/>
    <x v="1"/>
    <s v="GNR_GEO_HEAT_HO"/>
    <x v="0"/>
    <x v="6"/>
    <n v="14"/>
    <n v="5110"/>
    <n v="18396"/>
  </r>
  <r>
    <x v="0"/>
    <x v="0"/>
    <x v="0"/>
    <x v="0"/>
    <x v="1"/>
    <s v="DK2_Large"/>
    <x v="1"/>
    <s v="GNR_GEO_HEAT_HO"/>
    <x v="0"/>
    <x v="7"/>
    <n v="14"/>
    <n v="5110"/>
    <n v="18396"/>
  </r>
  <r>
    <x v="0"/>
    <x v="0"/>
    <x v="0"/>
    <x v="0"/>
    <x v="1"/>
    <s v="DK2_Large"/>
    <x v="1"/>
    <s v="GNR_GEO_HEAT_HO"/>
    <x v="0"/>
    <x v="8"/>
    <n v="14"/>
    <n v="5110"/>
    <n v="18396"/>
  </r>
  <r>
    <x v="0"/>
    <x v="0"/>
    <x v="0"/>
    <x v="0"/>
    <x v="1"/>
    <s v="DK2_Large"/>
    <x v="1"/>
    <s v="GNR_GEO_HEAT_HO"/>
    <x v="0"/>
    <x v="9"/>
    <n v="14"/>
    <n v="5110"/>
    <n v="18396"/>
  </r>
  <r>
    <x v="0"/>
    <x v="0"/>
    <x v="0"/>
    <x v="0"/>
    <x v="1"/>
    <s v="DK2_Large"/>
    <x v="1"/>
    <s v="GNR_GEO_HEAT_HO"/>
    <x v="0"/>
    <x v="10"/>
    <n v="14"/>
    <n v="5110"/>
    <n v="18396"/>
  </r>
  <r>
    <x v="0"/>
    <x v="0"/>
    <x v="0"/>
    <x v="0"/>
    <x v="1"/>
    <s v="DK2_Large"/>
    <x v="1"/>
    <s v="GNR_GEO_HEAT_HO"/>
    <x v="0"/>
    <x v="11"/>
    <n v="14"/>
    <n v="5110"/>
    <n v="18396"/>
  </r>
  <r>
    <x v="0"/>
    <x v="0"/>
    <x v="0"/>
    <x v="0"/>
    <x v="1"/>
    <s v="DK2_Large"/>
    <x v="1"/>
    <s v="GNR_GEO_HEAT_HO"/>
    <x v="0"/>
    <x v="12"/>
    <n v="14"/>
    <n v="5110"/>
    <n v="18396"/>
  </r>
  <r>
    <x v="0"/>
    <x v="0"/>
    <x v="0"/>
    <x v="0"/>
    <x v="1"/>
    <s v="DK2_Large"/>
    <x v="1"/>
    <s v="GNR_GEO_HEAT_HO"/>
    <x v="0"/>
    <x v="13"/>
    <n v="14"/>
    <n v="5110"/>
    <n v="18396"/>
  </r>
  <r>
    <x v="0"/>
    <x v="0"/>
    <x v="0"/>
    <x v="0"/>
    <x v="1"/>
    <s v="DK2_Large"/>
    <x v="1"/>
    <s v="GNR_GEO_HEAT_HO"/>
    <x v="0"/>
    <x v="14"/>
    <n v="14"/>
    <n v="5110"/>
    <n v="18396"/>
  </r>
  <r>
    <x v="0"/>
    <x v="0"/>
    <x v="0"/>
    <x v="0"/>
    <x v="1"/>
    <s v="DK2_Large"/>
    <x v="1"/>
    <s v="GNR_GEO_HEAT_HO"/>
    <x v="0"/>
    <x v="15"/>
    <n v="14"/>
    <n v="5110"/>
    <n v="18396"/>
  </r>
  <r>
    <x v="0"/>
    <x v="0"/>
    <x v="0"/>
    <x v="0"/>
    <x v="1"/>
    <s v="DK2_Large"/>
    <x v="1"/>
    <s v="GNR_GEO_HEAT_HO"/>
    <x v="0"/>
    <x v="16"/>
    <n v="14"/>
    <n v="5110"/>
    <n v="18396"/>
  </r>
  <r>
    <x v="0"/>
    <x v="0"/>
    <x v="0"/>
    <x v="0"/>
    <x v="1"/>
    <s v="DK2_Large"/>
    <x v="1"/>
    <s v="GNR_GEO_HEAT_HO"/>
    <x v="0"/>
    <x v="17"/>
    <n v="14"/>
    <n v="5110"/>
    <n v="18396"/>
  </r>
  <r>
    <x v="0"/>
    <x v="0"/>
    <x v="0"/>
    <x v="0"/>
    <x v="1"/>
    <s v="DK2_Large"/>
    <x v="1"/>
    <s v="GNR_GEO_HEAT_HO"/>
    <x v="0"/>
    <x v="19"/>
    <n v="14"/>
    <n v="5110"/>
    <n v="18396"/>
  </r>
  <r>
    <x v="0"/>
    <x v="0"/>
    <x v="0"/>
    <x v="0"/>
    <x v="1"/>
    <s v="DK2_Large"/>
    <x v="1"/>
    <s v="GNR_GEO_HEAT_HO"/>
    <x v="0"/>
    <x v="20"/>
    <n v="14"/>
    <n v="5110"/>
    <n v="18396"/>
  </r>
  <r>
    <x v="0"/>
    <x v="0"/>
    <x v="0"/>
    <x v="0"/>
    <x v="1"/>
    <s v="DK2_Large"/>
    <x v="1"/>
    <s v="GNR_GEO_HEAT_HO"/>
    <x v="0"/>
    <x v="21"/>
    <n v="14"/>
    <n v="5110"/>
    <n v="18396"/>
  </r>
  <r>
    <x v="0"/>
    <x v="0"/>
    <x v="0"/>
    <x v="0"/>
    <x v="1"/>
    <s v="DK2_Large"/>
    <x v="1"/>
    <s v="GNR_GEO_HEAT_HO"/>
    <x v="0"/>
    <x v="22"/>
    <n v="14"/>
    <n v="5110"/>
    <n v="18396"/>
  </r>
  <r>
    <x v="0"/>
    <x v="0"/>
    <x v="0"/>
    <x v="0"/>
    <x v="1"/>
    <s v="DK2_Large"/>
    <x v="1"/>
    <s v="GNR_GEO_HEAT_HO"/>
    <x v="0"/>
    <x v="23"/>
    <n v="14"/>
    <n v="5110"/>
    <n v="18396"/>
  </r>
  <r>
    <x v="0"/>
    <x v="0"/>
    <x v="0"/>
    <x v="0"/>
    <x v="1"/>
    <s v="DK2_Large"/>
    <x v="5"/>
    <s v="GNR_ST_WOODCHI_BP_E-27"/>
    <x v="0"/>
    <x v="0"/>
    <n v="55.555555555555699"/>
    <n v="20277.777777777799"/>
    <n v="73000.000000000204"/>
  </r>
  <r>
    <x v="0"/>
    <x v="0"/>
    <x v="0"/>
    <x v="0"/>
    <x v="1"/>
    <s v="DK2_Large"/>
    <x v="5"/>
    <s v="GNR_ST_WOODCHI_BP_E-27"/>
    <x v="0"/>
    <x v="1"/>
    <n v="55.555555555555699"/>
    <n v="20277.777777777799"/>
    <n v="73000.000000000204"/>
  </r>
  <r>
    <x v="0"/>
    <x v="0"/>
    <x v="0"/>
    <x v="0"/>
    <x v="1"/>
    <s v="DK2_Large"/>
    <x v="5"/>
    <s v="GNR_ST_WOODCHI_BP_E-27"/>
    <x v="0"/>
    <x v="2"/>
    <n v="55.555555555555699"/>
    <n v="20277.777777777799"/>
    <n v="73000.000000000204"/>
  </r>
  <r>
    <x v="0"/>
    <x v="0"/>
    <x v="0"/>
    <x v="0"/>
    <x v="1"/>
    <s v="DK2_Large"/>
    <x v="5"/>
    <s v="GNR_ST_WOODCHI_BP_E-27"/>
    <x v="0"/>
    <x v="3"/>
    <n v="55.555555555555699"/>
    <n v="20277.777777777799"/>
    <n v="73000.000000000204"/>
  </r>
  <r>
    <x v="0"/>
    <x v="0"/>
    <x v="0"/>
    <x v="0"/>
    <x v="1"/>
    <s v="DK2_Large"/>
    <x v="5"/>
    <s v="GNR_ST_WOODCHI_BP_E-27"/>
    <x v="0"/>
    <x v="18"/>
    <n v="55.555555555555699"/>
    <n v="20277.777777777799"/>
    <n v="73000.000000000204"/>
  </r>
  <r>
    <x v="0"/>
    <x v="0"/>
    <x v="0"/>
    <x v="0"/>
    <x v="1"/>
    <s v="DK2_Large"/>
    <x v="5"/>
    <s v="GNR_ST_WOODCHI_BP_E-27"/>
    <x v="0"/>
    <x v="4"/>
    <n v="55.555555555555699"/>
    <n v="20277.777777777799"/>
    <n v="73000.000000000204"/>
  </r>
  <r>
    <x v="0"/>
    <x v="0"/>
    <x v="0"/>
    <x v="0"/>
    <x v="1"/>
    <s v="DK2_Large"/>
    <x v="5"/>
    <s v="GNR_ST_WOODCHI_BP_E-27"/>
    <x v="0"/>
    <x v="5"/>
    <n v="55.555555555555699"/>
    <n v="20277.777777777799"/>
    <n v="73000.000000000204"/>
  </r>
  <r>
    <x v="0"/>
    <x v="0"/>
    <x v="0"/>
    <x v="0"/>
    <x v="1"/>
    <s v="DK2_Large"/>
    <x v="5"/>
    <s v="GNR_ST_WOODCHI_BP_E-27"/>
    <x v="0"/>
    <x v="6"/>
    <n v="55.555555555555699"/>
    <n v="20277.777777777799"/>
    <n v="73000.000000000204"/>
  </r>
  <r>
    <x v="0"/>
    <x v="0"/>
    <x v="0"/>
    <x v="0"/>
    <x v="1"/>
    <s v="DK2_Large"/>
    <x v="5"/>
    <s v="GNR_ST_WOODCHI_BP_E-27"/>
    <x v="0"/>
    <x v="7"/>
    <n v="55.555555555555699"/>
    <n v="20277.777777777799"/>
    <n v="73000.000000000204"/>
  </r>
  <r>
    <x v="0"/>
    <x v="0"/>
    <x v="0"/>
    <x v="0"/>
    <x v="1"/>
    <s v="DK2_Large"/>
    <x v="5"/>
    <s v="GNR_ST_WOODCHI_BP_E-27"/>
    <x v="0"/>
    <x v="8"/>
    <n v="55.555555555555699"/>
    <n v="20277.777777777799"/>
    <n v="73000.000000000204"/>
  </r>
  <r>
    <x v="0"/>
    <x v="0"/>
    <x v="0"/>
    <x v="0"/>
    <x v="1"/>
    <s v="DK2_Large"/>
    <x v="5"/>
    <s v="GNR_ST_WOODCHI_BP_E-27"/>
    <x v="0"/>
    <x v="9"/>
    <n v="55.555555555555699"/>
    <n v="20277.777777777799"/>
    <n v="73000.000000000204"/>
  </r>
  <r>
    <x v="0"/>
    <x v="0"/>
    <x v="0"/>
    <x v="0"/>
    <x v="1"/>
    <s v="DK2_Large"/>
    <x v="5"/>
    <s v="GNR_ST_WOODCHI_BP_E-27"/>
    <x v="0"/>
    <x v="10"/>
    <n v="55.555555555555699"/>
    <n v="20277.777777777799"/>
    <n v="73000.000000000204"/>
  </r>
  <r>
    <x v="0"/>
    <x v="0"/>
    <x v="0"/>
    <x v="0"/>
    <x v="1"/>
    <s v="DK2_Large"/>
    <x v="5"/>
    <s v="GNR_ST_WOODCHI_BP_E-27"/>
    <x v="0"/>
    <x v="11"/>
    <n v="55.555555555555699"/>
    <n v="20277.777777777799"/>
    <n v="73000.000000000204"/>
  </r>
  <r>
    <x v="0"/>
    <x v="0"/>
    <x v="0"/>
    <x v="0"/>
    <x v="1"/>
    <s v="DK2_Large"/>
    <x v="5"/>
    <s v="GNR_ST_WOODCHI_BP_E-27"/>
    <x v="0"/>
    <x v="12"/>
    <n v="55.555555555555699"/>
    <n v="20277.777777777799"/>
    <n v="73000.000000000204"/>
  </r>
  <r>
    <x v="0"/>
    <x v="0"/>
    <x v="0"/>
    <x v="0"/>
    <x v="1"/>
    <s v="DK2_Large"/>
    <x v="5"/>
    <s v="GNR_ST_WOODCHI_BP_E-27"/>
    <x v="0"/>
    <x v="13"/>
    <n v="55.555555555555699"/>
    <n v="20277.777777777799"/>
    <n v="73000.000000000204"/>
  </r>
  <r>
    <x v="0"/>
    <x v="0"/>
    <x v="0"/>
    <x v="0"/>
    <x v="1"/>
    <s v="DK2_Large"/>
    <x v="5"/>
    <s v="GNR_ST_WOODCHI_BP_E-27"/>
    <x v="0"/>
    <x v="14"/>
    <n v="55.555555555555699"/>
    <n v="20277.777777777799"/>
    <n v="73000.000000000204"/>
  </r>
  <r>
    <x v="0"/>
    <x v="0"/>
    <x v="0"/>
    <x v="0"/>
    <x v="1"/>
    <s v="DK2_Large"/>
    <x v="5"/>
    <s v="GNR_ST_WOODCHI_BP_E-27"/>
    <x v="0"/>
    <x v="15"/>
    <n v="55.555555555555699"/>
    <n v="20277.777777777799"/>
    <n v="73000.000000000204"/>
  </r>
  <r>
    <x v="0"/>
    <x v="0"/>
    <x v="0"/>
    <x v="0"/>
    <x v="1"/>
    <s v="DK2_Large"/>
    <x v="5"/>
    <s v="GNR_ST_WOODCHI_BP_E-27"/>
    <x v="0"/>
    <x v="16"/>
    <n v="55.555555555555699"/>
    <n v="20277.777777777799"/>
    <n v="73000.000000000204"/>
  </r>
  <r>
    <x v="0"/>
    <x v="0"/>
    <x v="0"/>
    <x v="0"/>
    <x v="1"/>
    <s v="DK2_Large"/>
    <x v="5"/>
    <s v="GNR_ST_WOODCHI_BP_E-27"/>
    <x v="0"/>
    <x v="17"/>
    <n v="55.555555555555699"/>
    <n v="20277.777777777799"/>
    <n v="73000.000000000204"/>
  </r>
  <r>
    <x v="0"/>
    <x v="0"/>
    <x v="0"/>
    <x v="0"/>
    <x v="1"/>
    <s v="DK2_Large"/>
    <x v="5"/>
    <s v="GNR_ST_WOODCHI_BP_E-27"/>
    <x v="0"/>
    <x v="19"/>
    <n v="55.555555555555699"/>
    <n v="20277.777777777799"/>
    <n v="73000.000000000204"/>
  </r>
  <r>
    <x v="0"/>
    <x v="0"/>
    <x v="0"/>
    <x v="0"/>
    <x v="1"/>
    <s v="DK2_Large"/>
    <x v="5"/>
    <s v="GNR_ST_WOODCHI_BP_E-27"/>
    <x v="0"/>
    <x v="20"/>
    <n v="55.555555555555699"/>
    <n v="20277.777777777799"/>
    <n v="73000.000000000204"/>
  </r>
  <r>
    <x v="0"/>
    <x v="0"/>
    <x v="0"/>
    <x v="0"/>
    <x v="1"/>
    <s v="DK2_Large"/>
    <x v="5"/>
    <s v="GNR_ST_WOODCHI_BP_E-27"/>
    <x v="0"/>
    <x v="21"/>
    <n v="55.555555555555699"/>
    <n v="20277.777777777799"/>
    <n v="73000.000000000204"/>
  </r>
  <r>
    <x v="0"/>
    <x v="0"/>
    <x v="0"/>
    <x v="0"/>
    <x v="1"/>
    <s v="DK2_Large"/>
    <x v="5"/>
    <s v="GNR_ST_WOODCHI_BP_E-27"/>
    <x v="0"/>
    <x v="22"/>
    <n v="55.555555555555699"/>
    <n v="20277.777777777799"/>
    <n v="73000.000000000204"/>
  </r>
  <r>
    <x v="0"/>
    <x v="0"/>
    <x v="0"/>
    <x v="0"/>
    <x v="1"/>
    <s v="DK2_Large"/>
    <x v="5"/>
    <s v="GNR_ST_WOODCHI_BP_E-27"/>
    <x v="0"/>
    <x v="23"/>
    <n v="55.555555555555699"/>
    <n v="20277.777777777799"/>
    <n v="73000.000000000204"/>
  </r>
  <r>
    <x v="0"/>
    <x v="0"/>
    <x v="0"/>
    <x v="0"/>
    <x v="1"/>
    <s v="DK2_Large"/>
    <x v="9"/>
    <s v="GNR_BO_WOODWST_E-90"/>
    <x v="0"/>
    <x v="0"/>
    <n v="7.4"/>
    <n v="2701"/>
    <n v="9723.6"/>
  </r>
  <r>
    <x v="0"/>
    <x v="0"/>
    <x v="0"/>
    <x v="0"/>
    <x v="1"/>
    <s v="DK2_Large"/>
    <x v="9"/>
    <s v="GNR_BO_WOODWST_E-90"/>
    <x v="0"/>
    <x v="1"/>
    <n v="7.4"/>
    <n v="2701"/>
    <n v="9723.6"/>
  </r>
  <r>
    <x v="0"/>
    <x v="0"/>
    <x v="0"/>
    <x v="0"/>
    <x v="1"/>
    <s v="DK2_Large"/>
    <x v="9"/>
    <s v="GNR_BO_WOODWST_E-90"/>
    <x v="0"/>
    <x v="2"/>
    <n v="7.4"/>
    <n v="2701"/>
    <n v="9723.6"/>
  </r>
  <r>
    <x v="0"/>
    <x v="0"/>
    <x v="0"/>
    <x v="0"/>
    <x v="1"/>
    <s v="DK2_Large"/>
    <x v="9"/>
    <s v="GNR_BO_WOODWST_E-90"/>
    <x v="0"/>
    <x v="3"/>
    <n v="7.4"/>
    <n v="2701"/>
    <n v="9723.6"/>
  </r>
  <r>
    <x v="0"/>
    <x v="0"/>
    <x v="0"/>
    <x v="0"/>
    <x v="1"/>
    <s v="DK2_Large"/>
    <x v="9"/>
    <s v="GNR_BO_WOODWST_E-90"/>
    <x v="0"/>
    <x v="18"/>
    <n v="7.4"/>
    <n v="2701"/>
    <n v="9723.6"/>
  </r>
  <r>
    <x v="0"/>
    <x v="0"/>
    <x v="0"/>
    <x v="0"/>
    <x v="1"/>
    <s v="DK2_Large"/>
    <x v="9"/>
    <s v="GNR_BO_WOODWST_E-90"/>
    <x v="0"/>
    <x v="4"/>
    <n v="7.4"/>
    <n v="2701"/>
    <n v="9723.6"/>
  </r>
  <r>
    <x v="0"/>
    <x v="0"/>
    <x v="0"/>
    <x v="0"/>
    <x v="1"/>
    <s v="DK2_Large"/>
    <x v="9"/>
    <s v="GNR_BO_WOODWST_E-90"/>
    <x v="0"/>
    <x v="5"/>
    <n v="7.4"/>
    <n v="2701"/>
    <n v="9723.6"/>
  </r>
  <r>
    <x v="0"/>
    <x v="0"/>
    <x v="0"/>
    <x v="0"/>
    <x v="1"/>
    <s v="DK2_Large"/>
    <x v="9"/>
    <s v="GNR_BO_WOODWST_E-90"/>
    <x v="0"/>
    <x v="6"/>
    <n v="7.4"/>
    <n v="2701"/>
    <n v="9723.6"/>
  </r>
  <r>
    <x v="0"/>
    <x v="0"/>
    <x v="0"/>
    <x v="0"/>
    <x v="1"/>
    <s v="DK2_Large"/>
    <x v="9"/>
    <s v="GNR_BO_WOODWST_E-90"/>
    <x v="0"/>
    <x v="7"/>
    <n v="7.4"/>
    <n v="2701"/>
    <n v="9723.6"/>
  </r>
  <r>
    <x v="0"/>
    <x v="0"/>
    <x v="0"/>
    <x v="0"/>
    <x v="1"/>
    <s v="DK2_Large"/>
    <x v="9"/>
    <s v="GNR_BO_WOODWST_E-90"/>
    <x v="0"/>
    <x v="8"/>
    <n v="7.4"/>
    <n v="2701"/>
    <n v="9723.6"/>
  </r>
  <r>
    <x v="0"/>
    <x v="0"/>
    <x v="0"/>
    <x v="0"/>
    <x v="1"/>
    <s v="DK2_Large"/>
    <x v="9"/>
    <s v="GNR_BO_WOODWST_E-90"/>
    <x v="0"/>
    <x v="9"/>
    <n v="7.4"/>
    <n v="2701"/>
    <n v="9723.6"/>
  </r>
  <r>
    <x v="0"/>
    <x v="0"/>
    <x v="0"/>
    <x v="0"/>
    <x v="1"/>
    <s v="DK2_Large"/>
    <x v="9"/>
    <s v="GNR_BO_WOODWST_E-90"/>
    <x v="0"/>
    <x v="10"/>
    <n v="7.4"/>
    <n v="2701"/>
    <n v="9723.6"/>
  </r>
  <r>
    <x v="0"/>
    <x v="0"/>
    <x v="0"/>
    <x v="0"/>
    <x v="1"/>
    <s v="DK2_Large"/>
    <x v="9"/>
    <s v="GNR_BO_WOODWST_E-90"/>
    <x v="0"/>
    <x v="11"/>
    <n v="7.4"/>
    <n v="2701"/>
    <n v="9723.6"/>
  </r>
  <r>
    <x v="0"/>
    <x v="0"/>
    <x v="0"/>
    <x v="0"/>
    <x v="1"/>
    <s v="DK2_Large"/>
    <x v="9"/>
    <s v="GNR_BO_WOODWST_E-90"/>
    <x v="0"/>
    <x v="12"/>
    <n v="7.4"/>
    <n v="2701"/>
    <n v="9723.6"/>
  </r>
  <r>
    <x v="0"/>
    <x v="0"/>
    <x v="0"/>
    <x v="0"/>
    <x v="1"/>
    <s v="DK2_Large"/>
    <x v="9"/>
    <s v="GNR_BO_WOODWST_E-90"/>
    <x v="0"/>
    <x v="13"/>
    <n v="7.4"/>
    <n v="2701"/>
    <n v="9723.6"/>
  </r>
  <r>
    <x v="0"/>
    <x v="0"/>
    <x v="0"/>
    <x v="0"/>
    <x v="1"/>
    <s v="DK2_Large"/>
    <x v="9"/>
    <s v="GNR_BO_WOODWST_E-90"/>
    <x v="0"/>
    <x v="14"/>
    <n v="7.4"/>
    <n v="2701"/>
    <n v="9723.6"/>
  </r>
  <r>
    <x v="0"/>
    <x v="0"/>
    <x v="0"/>
    <x v="0"/>
    <x v="1"/>
    <s v="DK2_Large"/>
    <x v="9"/>
    <s v="GNR_BO_WOODWST_E-90"/>
    <x v="0"/>
    <x v="15"/>
    <n v="7.4"/>
    <n v="2701"/>
    <n v="9723.6"/>
  </r>
  <r>
    <x v="0"/>
    <x v="0"/>
    <x v="0"/>
    <x v="0"/>
    <x v="1"/>
    <s v="DK2_Large"/>
    <x v="9"/>
    <s v="GNR_BO_WOODWST_E-90"/>
    <x v="0"/>
    <x v="16"/>
    <n v="7.4"/>
    <n v="2701"/>
    <n v="9723.6"/>
  </r>
  <r>
    <x v="0"/>
    <x v="0"/>
    <x v="0"/>
    <x v="0"/>
    <x v="1"/>
    <s v="DK2_Large"/>
    <x v="9"/>
    <s v="GNR_BO_WOODWST_E-90"/>
    <x v="0"/>
    <x v="17"/>
    <n v="7.4"/>
    <n v="2701"/>
    <n v="9723.6"/>
  </r>
  <r>
    <x v="0"/>
    <x v="0"/>
    <x v="0"/>
    <x v="0"/>
    <x v="1"/>
    <s v="DK2_Large"/>
    <x v="9"/>
    <s v="GNR_BO_WOODWST_E-90"/>
    <x v="0"/>
    <x v="19"/>
    <n v="7.4"/>
    <n v="2701"/>
    <n v="9723.6"/>
  </r>
  <r>
    <x v="0"/>
    <x v="0"/>
    <x v="0"/>
    <x v="0"/>
    <x v="1"/>
    <s v="DK2_Large"/>
    <x v="9"/>
    <s v="GNR_BO_WOODWST_E-90"/>
    <x v="0"/>
    <x v="20"/>
    <n v="7.4"/>
    <n v="2701"/>
    <n v="9723.6"/>
  </r>
  <r>
    <x v="0"/>
    <x v="0"/>
    <x v="0"/>
    <x v="0"/>
    <x v="1"/>
    <s v="DK2_Large"/>
    <x v="9"/>
    <s v="GNR_BO_WOODWST_E-90"/>
    <x v="0"/>
    <x v="21"/>
    <n v="7.4"/>
    <n v="2701"/>
    <n v="9723.6"/>
  </r>
  <r>
    <x v="0"/>
    <x v="0"/>
    <x v="0"/>
    <x v="0"/>
    <x v="1"/>
    <s v="DK2_Large"/>
    <x v="9"/>
    <s v="GNR_BO_WOODWST_E-90"/>
    <x v="0"/>
    <x v="22"/>
    <n v="7.4"/>
    <n v="2701"/>
    <n v="9723.6"/>
  </r>
  <r>
    <x v="0"/>
    <x v="0"/>
    <x v="0"/>
    <x v="0"/>
    <x v="1"/>
    <s v="DK2_Large"/>
    <x v="9"/>
    <s v="GNR_BO_WOODWST_E-90"/>
    <x v="0"/>
    <x v="23"/>
    <n v="7.4"/>
    <n v="2701"/>
    <n v="9723.6"/>
  </r>
  <r>
    <x v="0"/>
    <x v="0"/>
    <x v="0"/>
    <x v="0"/>
    <x v="1"/>
    <s v="DK2_MedSmall"/>
    <x v="2"/>
    <s v="GNR_BO_MSW_E-105"/>
    <x v="0"/>
    <x v="0"/>
    <n v="16.1904761904762"/>
    <n v="5909.5238095238101"/>
    <n v="21274.285714285699"/>
  </r>
  <r>
    <x v="0"/>
    <x v="0"/>
    <x v="0"/>
    <x v="0"/>
    <x v="1"/>
    <s v="DK2_MedSmall"/>
    <x v="2"/>
    <s v="GNR_BO_MSW_E-105"/>
    <x v="0"/>
    <x v="1"/>
    <n v="16.1904761904762"/>
    <n v="5909.5238095238101"/>
    <n v="21274.285714285699"/>
  </r>
  <r>
    <x v="0"/>
    <x v="0"/>
    <x v="0"/>
    <x v="0"/>
    <x v="1"/>
    <s v="DK2_MedSmall"/>
    <x v="2"/>
    <s v="GNR_BO_MSW_E-105"/>
    <x v="0"/>
    <x v="2"/>
    <n v="16.1904761904762"/>
    <n v="5909.5238095238101"/>
    <n v="21274.285714285699"/>
  </r>
  <r>
    <x v="0"/>
    <x v="0"/>
    <x v="0"/>
    <x v="0"/>
    <x v="1"/>
    <s v="DK2_MedSmall"/>
    <x v="2"/>
    <s v="GNR_BO_MSW_E-105"/>
    <x v="0"/>
    <x v="3"/>
    <n v="16.1904761904762"/>
    <n v="5909.5238095238101"/>
    <n v="21274.285714285699"/>
  </r>
  <r>
    <x v="0"/>
    <x v="0"/>
    <x v="0"/>
    <x v="0"/>
    <x v="1"/>
    <s v="DK2_MedSmall"/>
    <x v="2"/>
    <s v="GNR_BO_MSW_E-105"/>
    <x v="0"/>
    <x v="18"/>
    <n v="16.1904761904762"/>
    <n v="5909.5238095238101"/>
    <n v="21274.285714285699"/>
  </r>
  <r>
    <x v="0"/>
    <x v="0"/>
    <x v="0"/>
    <x v="0"/>
    <x v="1"/>
    <s v="DK2_MedSmall"/>
    <x v="2"/>
    <s v="GNR_BO_MSW_E-105"/>
    <x v="0"/>
    <x v="4"/>
    <n v="16.1904761904762"/>
    <n v="5909.5238095238101"/>
    <n v="21274.285714285699"/>
  </r>
  <r>
    <x v="0"/>
    <x v="0"/>
    <x v="0"/>
    <x v="0"/>
    <x v="1"/>
    <s v="DK2_MedSmall"/>
    <x v="2"/>
    <s v="GNR_BO_MSW_E-105"/>
    <x v="0"/>
    <x v="5"/>
    <n v="16.1904761904762"/>
    <n v="5909.5238095238101"/>
    <n v="21274.285714285699"/>
  </r>
  <r>
    <x v="0"/>
    <x v="0"/>
    <x v="0"/>
    <x v="0"/>
    <x v="1"/>
    <s v="DK2_MedSmall"/>
    <x v="2"/>
    <s v="GNR_BO_MSW_E-105"/>
    <x v="0"/>
    <x v="6"/>
    <n v="16.1904761904762"/>
    <n v="5909.5238095238101"/>
    <n v="21274.285714285699"/>
  </r>
  <r>
    <x v="0"/>
    <x v="0"/>
    <x v="0"/>
    <x v="0"/>
    <x v="1"/>
    <s v="DK2_MedSmall"/>
    <x v="2"/>
    <s v="GNR_BO_MSW_E-105"/>
    <x v="0"/>
    <x v="7"/>
    <n v="16.1904761904762"/>
    <n v="5909.5238095238101"/>
    <n v="21274.285714285699"/>
  </r>
  <r>
    <x v="0"/>
    <x v="0"/>
    <x v="0"/>
    <x v="0"/>
    <x v="1"/>
    <s v="DK2_MedSmall"/>
    <x v="2"/>
    <s v="GNR_BO_MSW_E-105"/>
    <x v="0"/>
    <x v="8"/>
    <n v="16.1904761904762"/>
    <n v="5909.5238095238101"/>
    <n v="21274.285714285699"/>
  </r>
  <r>
    <x v="0"/>
    <x v="0"/>
    <x v="0"/>
    <x v="0"/>
    <x v="1"/>
    <s v="DK2_MedSmall"/>
    <x v="2"/>
    <s v="GNR_BO_MSW_E-105"/>
    <x v="0"/>
    <x v="9"/>
    <n v="16.1904761904762"/>
    <n v="5909.5238095238101"/>
    <n v="21274.285714285699"/>
  </r>
  <r>
    <x v="0"/>
    <x v="0"/>
    <x v="0"/>
    <x v="0"/>
    <x v="1"/>
    <s v="DK2_MedSmall"/>
    <x v="2"/>
    <s v="GNR_BO_MSW_E-105"/>
    <x v="0"/>
    <x v="10"/>
    <n v="16.1904761904762"/>
    <n v="5909.5238095238101"/>
    <n v="21274.285714285699"/>
  </r>
  <r>
    <x v="0"/>
    <x v="0"/>
    <x v="0"/>
    <x v="0"/>
    <x v="1"/>
    <s v="DK2_MedSmall"/>
    <x v="2"/>
    <s v="GNR_BO_MSW_E-105"/>
    <x v="0"/>
    <x v="11"/>
    <n v="16.1904761904762"/>
    <n v="5909.5238095238101"/>
    <n v="21274.285714285699"/>
  </r>
  <r>
    <x v="0"/>
    <x v="0"/>
    <x v="0"/>
    <x v="0"/>
    <x v="1"/>
    <s v="DK2_MedSmall"/>
    <x v="2"/>
    <s v="GNR_BO_MSW_E-105"/>
    <x v="0"/>
    <x v="12"/>
    <n v="16.1904761904762"/>
    <n v="5909.5238095238101"/>
    <n v="21274.285714285699"/>
  </r>
  <r>
    <x v="0"/>
    <x v="0"/>
    <x v="0"/>
    <x v="0"/>
    <x v="1"/>
    <s v="DK2_MedSmall"/>
    <x v="2"/>
    <s v="GNR_BO_MSW_E-105"/>
    <x v="0"/>
    <x v="13"/>
    <n v="16.1904761904762"/>
    <n v="5909.5238095238101"/>
    <n v="21274.285714285699"/>
  </r>
  <r>
    <x v="0"/>
    <x v="0"/>
    <x v="0"/>
    <x v="0"/>
    <x v="1"/>
    <s v="DK2_MedSmall"/>
    <x v="2"/>
    <s v="GNR_BO_MSW_E-105"/>
    <x v="0"/>
    <x v="14"/>
    <n v="16.1904761904762"/>
    <n v="5909.5238095238101"/>
    <n v="21274.285714285699"/>
  </r>
  <r>
    <x v="0"/>
    <x v="0"/>
    <x v="0"/>
    <x v="0"/>
    <x v="1"/>
    <s v="DK2_MedSmall"/>
    <x v="2"/>
    <s v="GNR_BO_MSW_E-105"/>
    <x v="0"/>
    <x v="15"/>
    <n v="16.1904761904762"/>
    <n v="5909.5238095238101"/>
    <n v="21274.285714285699"/>
  </r>
  <r>
    <x v="0"/>
    <x v="0"/>
    <x v="0"/>
    <x v="0"/>
    <x v="1"/>
    <s v="DK2_MedSmall"/>
    <x v="2"/>
    <s v="GNR_BO_MSW_E-105"/>
    <x v="0"/>
    <x v="16"/>
    <n v="16.1904761904762"/>
    <n v="5909.5238095238101"/>
    <n v="21274.285714285699"/>
  </r>
  <r>
    <x v="0"/>
    <x v="0"/>
    <x v="0"/>
    <x v="0"/>
    <x v="1"/>
    <s v="DK2_MedSmall"/>
    <x v="2"/>
    <s v="GNR_BO_MSW_E-105"/>
    <x v="0"/>
    <x v="17"/>
    <n v="16.1904761904762"/>
    <n v="5909.5238095238101"/>
    <n v="21274.285714285699"/>
  </r>
  <r>
    <x v="0"/>
    <x v="0"/>
    <x v="0"/>
    <x v="0"/>
    <x v="1"/>
    <s v="DK2_MedSmall"/>
    <x v="2"/>
    <s v="GNR_BO_MSW_E-105"/>
    <x v="0"/>
    <x v="19"/>
    <n v="16.1904761904762"/>
    <n v="5909.5238095238101"/>
    <n v="21274.285714285699"/>
  </r>
  <r>
    <x v="0"/>
    <x v="0"/>
    <x v="0"/>
    <x v="0"/>
    <x v="1"/>
    <s v="DK2_MedSmall"/>
    <x v="2"/>
    <s v="GNR_BO_MSW_E-105"/>
    <x v="0"/>
    <x v="20"/>
    <n v="16.1904761904762"/>
    <n v="5909.5238095238101"/>
    <n v="21274.285714285699"/>
  </r>
  <r>
    <x v="0"/>
    <x v="0"/>
    <x v="0"/>
    <x v="0"/>
    <x v="1"/>
    <s v="DK2_MedSmall"/>
    <x v="2"/>
    <s v="GNR_BO_MSW_E-105"/>
    <x v="0"/>
    <x v="21"/>
    <n v="16.1904761904762"/>
    <n v="5909.5238095238101"/>
    <n v="21274.285714285699"/>
  </r>
  <r>
    <x v="0"/>
    <x v="0"/>
    <x v="0"/>
    <x v="0"/>
    <x v="1"/>
    <s v="DK2_MedSmall"/>
    <x v="2"/>
    <s v="GNR_BO_MSW_E-105"/>
    <x v="0"/>
    <x v="22"/>
    <n v="16.1904761904762"/>
    <n v="5909.5238095238101"/>
    <n v="21274.285714285699"/>
  </r>
  <r>
    <x v="0"/>
    <x v="0"/>
    <x v="0"/>
    <x v="0"/>
    <x v="1"/>
    <s v="DK2_MedSmall"/>
    <x v="2"/>
    <s v="GNR_BO_MSW_E-105"/>
    <x v="0"/>
    <x v="23"/>
    <n v="16.1904761904762"/>
    <n v="5909.5238095238101"/>
    <n v="21274.285714285699"/>
  </r>
  <r>
    <x v="0"/>
    <x v="0"/>
    <x v="0"/>
    <x v="0"/>
    <x v="1"/>
    <s v="DK2_MedSmall"/>
    <x v="2"/>
    <s v="GNR_ST_MSW_BP_E-28"/>
    <x v="0"/>
    <x v="6"/>
    <n v="37.104369718829801"/>
    <n v="13543.0949473729"/>
    <n v="48755.1418105423"/>
  </r>
  <r>
    <x v="0"/>
    <x v="0"/>
    <x v="0"/>
    <x v="0"/>
    <x v="1"/>
    <s v="DK2_MedSmall"/>
    <x v="2"/>
    <s v="GNR_ST_MSW_BP_E-28"/>
    <x v="0"/>
    <x v="7"/>
    <n v="38.972819040351801"/>
    <n v="14225.0789497284"/>
    <n v="51210.2842190222"/>
  </r>
  <r>
    <x v="0"/>
    <x v="0"/>
    <x v="0"/>
    <x v="0"/>
    <x v="1"/>
    <s v="DK2_MedSmall"/>
    <x v="2"/>
    <s v="GNR_ST_MSW_BP_E-28"/>
    <x v="0"/>
    <x v="8"/>
    <n v="38.733274255541197"/>
    <n v="14137.6451032725"/>
    <n v="50895.522371781197"/>
  </r>
  <r>
    <x v="0"/>
    <x v="0"/>
    <x v="0"/>
    <x v="0"/>
    <x v="1"/>
    <s v="DK2_MedSmall"/>
    <x v="2"/>
    <s v="GNR_ST_MSW_BP_E-28"/>
    <x v="0"/>
    <x v="9"/>
    <n v="22.811570872213402"/>
    <n v="8326.2233683578797"/>
    <n v="29974.404126088401"/>
  </r>
  <r>
    <x v="0"/>
    <x v="0"/>
    <x v="0"/>
    <x v="0"/>
    <x v="1"/>
    <s v="DK2_MedSmall"/>
    <x v="2"/>
    <s v="GNR_ST_MSW_BP_E-28"/>
    <x v="0"/>
    <x v="10"/>
    <n v="22.380390259554499"/>
    <n v="8168.84244473738"/>
    <n v="29407.832801054599"/>
  </r>
  <r>
    <x v="0"/>
    <x v="0"/>
    <x v="0"/>
    <x v="0"/>
    <x v="1"/>
    <s v="DK2_MedSmall"/>
    <x v="2"/>
    <s v="GNR_ST_MSW_BP_E-28"/>
    <x v="0"/>
    <x v="16"/>
    <n v="15.348040825093101"/>
    <n v="5602.0349011589697"/>
    <n v="20167.325644172299"/>
  </r>
  <r>
    <x v="0"/>
    <x v="0"/>
    <x v="0"/>
    <x v="0"/>
    <x v="1"/>
    <s v="DK2_MedSmall"/>
    <x v="4"/>
    <s v="GNR_BO_STRW_E-100"/>
    <x v="0"/>
    <x v="0"/>
    <n v="14.79"/>
    <n v="5398.35"/>
    <n v="19434.060000000001"/>
  </r>
  <r>
    <x v="0"/>
    <x v="0"/>
    <x v="0"/>
    <x v="0"/>
    <x v="1"/>
    <s v="DK2_MedSmall"/>
    <x v="4"/>
    <s v="GNR_BO_STRW_E-100"/>
    <x v="0"/>
    <x v="1"/>
    <n v="14.79"/>
    <n v="5398.35"/>
    <n v="19434.060000000001"/>
  </r>
  <r>
    <x v="0"/>
    <x v="0"/>
    <x v="0"/>
    <x v="0"/>
    <x v="1"/>
    <s v="DK2_MedSmall"/>
    <x v="4"/>
    <s v="GNR_BO_STRW_E-100"/>
    <x v="0"/>
    <x v="2"/>
    <n v="14.79"/>
    <n v="5398.35"/>
    <n v="19434.060000000001"/>
  </r>
  <r>
    <x v="0"/>
    <x v="0"/>
    <x v="0"/>
    <x v="0"/>
    <x v="1"/>
    <s v="DK2_MedSmall"/>
    <x v="4"/>
    <s v="GNR_BO_STRW_E-100"/>
    <x v="0"/>
    <x v="3"/>
    <n v="14.79"/>
    <n v="5398.35"/>
    <n v="19434.060000000001"/>
  </r>
  <r>
    <x v="0"/>
    <x v="0"/>
    <x v="0"/>
    <x v="0"/>
    <x v="1"/>
    <s v="DK2_MedSmall"/>
    <x v="4"/>
    <s v="GNR_BO_STRW_E-100"/>
    <x v="0"/>
    <x v="18"/>
    <n v="14.79"/>
    <n v="5398.35"/>
    <n v="19434.060000000001"/>
  </r>
  <r>
    <x v="0"/>
    <x v="0"/>
    <x v="0"/>
    <x v="0"/>
    <x v="1"/>
    <s v="DK2_MedSmall"/>
    <x v="4"/>
    <s v="GNR_BO_STRW_E-100"/>
    <x v="0"/>
    <x v="4"/>
    <n v="14.79"/>
    <n v="5398.35"/>
    <n v="19434.060000000001"/>
  </r>
  <r>
    <x v="0"/>
    <x v="0"/>
    <x v="0"/>
    <x v="0"/>
    <x v="1"/>
    <s v="DK2_MedSmall"/>
    <x v="4"/>
    <s v="GNR_BO_STRW_E-100"/>
    <x v="0"/>
    <x v="5"/>
    <n v="14.79"/>
    <n v="5398.35"/>
    <n v="19434.060000000001"/>
  </r>
  <r>
    <x v="0"/>
    <x v="0"/>
    <x v="0"/>
    <x v="0"/>
    <x v="1"/>
    <s v="DK2_MedSmall"/>
    <x v="4"/>
    <s v="GNR_BO_STRW_E-100"/>
    <x v="0"/>
    <x v="6"/>
    <n v="14.79"/>
    <n v="5398.35"/>
    <n v="19434.060000000001"/>
  </r>
  <r>
    <x v="0"/>
    <x v="0"/>
    <x v="0"/>
    <x v="0"/>
    <x v="1"/>
    <s v="DK2_MedSmall"/>
    <x v="4"/>
    <s v="GNR_BO_STRW_E-100"/>
    <x v="0"/>
    <x v="7"/>
    <n v="14.79"/>
    <n v="5398.35"/>
    <n v="19434.060000000001"/>
  </r>
  <r>
    <x v="0"/>
    <x v="0"/>
    <x v="0"/>
    <x v="0"/>
    <x v="1"/>
    <s v="DK2_MedSmall"/>
    <x v="4"/>
    <s v="GNR_BO_STRW_E-100"/>
    <x v="0"/>
    <x v="8"/>
    <n v="14.79"/>
    <n v="5398.35"/>
    <n v="19434.060000000001"/>
  </r>
  <r>
    <x v="0"/>
    <x v="0"/>
    <x v="0"/>
    <x v="0"/>
    <x v="1"/>
    <s v="DK2_MedSmall"/>
    <x v="4"/>
    <s v="GNR_BO_STRW_E-100"/>
    <x v="0"/>
    <x v="9"/>
    <n v="14.79"/>
    <n v="5398.35"/>
    <n v="19434.060000000001"/>
  </r>
  <r>
    <x v="0"/>
    <x v="0"/>
    <x v="0"/>
    <x v="0"/>
    <x v="1"/>
    <s v="DK2_MedSmall"/>
    <x v="4"/>
    <s v="GNR_BO_STRW_E-100"/>
    <x v="0"/>
    <x v="10"/>
    <n v="14.79"/>
    <n v="5398.35"/>
    <n v="19434.060000000001"/>
  </r>
  <r>
    <x v="0"/>
    <x v="0"/>
    <x v="0"/>
    <x v="0"/>
    <x v="1"/>
    <s v="DK2_MedSmall"/>
    <x v="4"/>
    <s v="GNR_BO_STRW_E-100"/>
    <x v="0"/>
    <x v="11"/>
    <n v="14.79"/>
    <n v="5398.35"/>
    <n v="19434.060000000001"/>
  </r>
  <r>
    <x v="0"/>
    <x v="0"/>
    <x v="0"/>
    <x v="0"/>
    <x v="1"/>
    <s v="DK2_MedSmall"/>
    <x v="4"/>
    <s v="GNR_BO_STRW_E-100"/>
    <x v="0"/>
    <x v="12"/>
    <n v="14.79"/>
    <n v="5398.35"/>
    <n v="19434.060000000001"/>
  </r>
  <r>
    <x v="0"/>
    <x v="0"/>
    <x v="0"/>
    <x v="0"/>
    <x v="1"/>
    <s v="DK2_MedSmall"/>
    <x v="4"/>
    <s v="GNR_BO_STRW_E-100"/>
    <x v="0"/>
    <x v="13"/>
    <n v="14.79"/>
    <n v="5398.35"/>
    <n v="19434.060000000001"/>
  </r>
  <r>
    <x v="0"/>
    <x v="0"/>
    <x v="0"/>
    <x v="0"/>
    <x v="1"/>
    <s v="DK2_MedSmall"/>
    <x v="4"/>
    <s v="GNR_BO_STRW_E-100"/>
    <x v="0"/>
    <x v="14"/>
    <n v="14.79"/>
    <n v="5398.35"/>
    <n v="19434.060000000001"/>
  </r>
  <r>
    <x v="0"/>
    <x v="0"/>
    <x v="0"/>
    <x v="0"/>
    <x v="1"/>
    <s v="DK2_MedSmall"/>
    <x v="4"/>
    <s v="GNR_BO_STRW_E-100"/>
    <x v="0"/>
    <x v="15"/>
    <n v="14.79"/>
    <n v="5398.35"/>
    <n v="19434.060000000001"/>
  </r>
  <r>
    <x v="0"/>
    <x v="0"/>
    <x v="0"/>
    <x v="0"/>
    <x v="1"/>
    <s v="DK2_MedSmall"/>
    <x v="4"/>
    <s v="GNR_BO_STRW_E-100"/>
    <x v="0"/>
    <x v="16"/>
    <n v="14.79"/>
    <n v="5398.35"/>
    <n v="19434.060000000001"/>
  </r>
  <r>
    <x v="0"/>
    <x v="0"/>
    <x v="0"/>
    <x v="0"/>
    <x v="1"/>
    <s v="DK2_MedSmall"/>
    <x v="4"/>
    <s v="GNR_BO_STRW_E-100"/>
    <x v="0"/>
    <x v="17"/>
    <n v="14.79"/>
    <n v="5398.35"/>
    <n v="19434.060000000001"/>
  </r>
  <r>
    <x v="0"/>
    <x v="0"/>
    <x v="0"/>
    <x v="0"/>
    <x v="1"/>
    <s v="DK2_MedSmall"/>
    <x v="4"/>
    <s v="GNR_BO_STRW_E-100"/>
    <x v="0"/>
    <x v="19"/>
    <n v="14.79"/>
    <n v="5398.35"/>
    <n v="19434.060000000001"/>
  </r>
  <r>
    <x v="0"/>
    <x v="0"/>
    <x v="0"/>
    <x v="0"/>
    <x v="1"/>
    <s v="DK2_MedSmall"/>
    <x v="4"/>
    <s v="GNR_BO_STRW_E-100"/>
    <x v="0"/>
    <x v="20"/>
    <n v="14.79"/>
    <n v="5398.35"/>
    <n v="19434.060000000001"/>
  </r>
  <r>
    <x v="0"/>
    <x v="0"/>
    <x v="0"/>
    <x v="0"/>
    <x v="1"/>
    <s v="DK2_MedSmall"/>
    <x v="4"/>
    <s v="GNR_BO_STRW_E-100"/>
    <x v="0"/>
    <x v="21"/>
    <n v="14.79"/>
    <n v="5398.35"/>
    <n v="19434.060000000001"/>
  </r>
  <r>
    <x v="0"/>
    <x v="0"/>
    <x v="0"/>
    <x v="0"/>
    <x v="1"/>
    <s v="DK2_MedSmall"/>
    <x v="4"/>
    <s v="GNR_BO_STRW_E-100"/>
    <x v="0"/>
    <x v="22"/>
    <n v="14.79"/>
    <n v="5398.35"/>
    <n v="19434.060000000001"/>
  </r>
  <r>
    <x v="0"/>
    <x v="0"/>
    <x v="0"/>
    <x v="0"/>
    <x v="1"/>
    <s v="DK2_MedSmall"/>
    <x v="4"/>
    <s v="GNR_BO_STRW_E-100"/>
    <x v="0"/>
    <x v="23"/>
    <n v="14.79"/>
    <n v="5398.35"/>
    <n v="19434.060000000001"/>
  </r>
  <r>
    <x v="0"/>
    <x v="0"/>
    <x v="0"/>
    <x v="0"/>
    <x v="1"/>
    <s v="DK2_MedSmall"/>
    <x v="4"/>
    <s v="GNR_BO_STRW_E-102"/>
    <x v="0"/>
    <x v="0"/>
    <n v="9.8039215686274499"/>
    <n v="3578.4313725490201"/>
    <n v="12882.352941176499"/>
  </r>
  <r>
    <x v="0"/>
    <x v="0"/>
    <x v="0"/>
    <x v="0"/>
    <x v="1"/>
    <s v="DK2_MedSmall"/>
    <x v="4"/>
    <s v="GNR_BO_STRW_E-102"/>
    <x v="0"/>
    <x v="1"/>
    <n v="9.8039215686274499"/>
    <n v="3578.4313725490201"/>
    <n v="12882.352941176499"/>
  </r>
  <r>
    <x v="0"/>
    <x v="0"/>
    <x v="0"/>
    <x v="0"/>
    <x v="1"/>
    <s v="DK2_MedSmall"/>
    <x v="4"/>
    <s v="GNR_BO_STRW_E-102"/>
    <x v="0"/>
    <x v="2"/>
    <n v="9.8039215686274499"/>
    <n v="3578.4313725490201"/>
    <n v="12882.352941176499"/>
  </r>
  <r>
    <x v="0"/>
    <x v="0"/>
    <x v="0"/>
    <x v="0"/>
    <x v="1"/>
    <s v="DK2_MedSmall"/>
    <x v="4"/>
    <s v="GNR_BO_STRW_E-102"/>
    <x v="0"/>
    <x v="3"/>
    <n v="9.8039215686274499"/>
    <n v="3578.4313725490201"/>
    <n v="12882.352941176499"/>
  </r>
  <r>
    <x v="0"/>
    <x v="0"/>
    <x v="0"/>
    <x v="0"/>
    <x v="1"/>
    <s v="DK2_MedSmall"/>
    <x v="4"/>
    <s v="GNR_BO_STRW_E-102"/>
    <x v="0"/>
    <x v="18"/>
    <n v="9.8039215686274499"/>
    <n v="3578.4313725490201"/>
    <n v="12882.352941176499"/>
  </r>
  <r>
    <x v="0"/>
    <x v="0"/>
    <x v="0"/>
    <x v="0"/>
    <x v="1"/>
    <s v="DK2_MedSmall"/>
    <x v="4"/>
    <s v="GNR_BO_STRW_E-102"/>
    <x v="0"/>
    <x v="4"/>
    <n v="9.8039215686274499"/>
    <n v="3578.4313725490201"/>
    <n v="12882.352941176499"/>
  </r>
  <r>
    <x v="0"/>
    <x v="0"/>
    <x v="0"/>
    <x v="0"/>
    <x v="1"/>
    <s v="DK2_MedSmall"/>
    <x v="4"/>
    <s v="GNR_BO_STRW_E-102"/>
    <x v="0"/>
    <x v="5"/>
    <n v="9.8039215686274499"/>
    <n v="3578.4313725490201"/>
    <n v="12882.352941176499"/>
  </r>
  <r>
    <x v="0"/>
    <x v="0"/>
    <x v="0"/>
    <x v="0"/>
    <x v="1"/>
    <s v="DK2_MedSmall"/>
    <x v="4"/>
    <s v="GNR_BO_STRW_E-102"/>
    <x v="0"/>
    <x v="6"/>
    <n v="9.8039215686274499"/>
    <n v="3578.4313725490201"/>
    <n v="12882.352941176499"/>
  </r>
  <r>
    <x v="0"/>
    <x v="0"/>
    <x v="0"/>
    <x v="0"/>
    <x v="1"/>
    <s v="DK2_MedSmall"/>
    <x v="4"/>
    <s v="GNR_BO_STRW_E-102"/>
    <x v="0"/>
    <x v="7"/>
    <n v="9.8039215686274499"/>
    <n v="3578.4313725490201"/>
    <n v="12882.352941176499"/>
  </r>
  <r>
    <x v="0"/>
    <x v="0"/>
    <x v="0"/>
    <x v="0"/>
    <x v="1"/>
    <s v="DK2_MedSmall"/>
    <x v="4"/>
    <s v="GNR_BO_STRW_E-102"/>
    <x v="0"/>
    <x v="8"/>
    <n v="9.8039215686274499"/>
    <n v="3578.4313725490201"/>
    <n v="12882.352941176499"/>
  </r>
  <r>
    <x v="0"/>
    <x v="0"/>
    <x v="0"/>
    <x v="0"/>
    <x v="1"/>
    <s v="DK2_MedSmall"/>
    <x v="4"/>
    <s v="GNR_BO_STRW_E-102"/>
    <x v="0"/>
    <x v="9"/>
    <n v="9.8039215686274499"/>
    <n v="3578.4313725490201"/>
    <n v="12882.352941176499"/>
  </r>
  <r>
    <x v="0"/>
    <x v="0"/>
    <x v="0"/>
    <x v="0"/>
    <x v="1"/>
    <s v="DK2_MedSmall"/>
    <x v="4"/>
    <s v="GNR_BO_STRW_E-102"/>
    <x v="0"/>
    <x v="10"/>
    <n v="9.8039215686274499"/>
    <n v="3578.4313725490201"/>
    <n v="12882.352941176499"/>
  </r>
  <r>
    <x v="0"/>
    <x v="0"/>
    <x v="0"/>
    <x v="0"/>
    <x v="1"/>
    <s v="DK2_MedSmall"/>
    <x v="4"/>
    <s v="GNR_BO_STRW_E-102"/>
    <x v="0"/>
    <x v="11"/>
    <n v="9.8039215686274499"/>
    <n v="3578.4313725490201"/>
    <n v="12882.352941176499"/>
  </r>
  <r>
    <x v="0"/>
    <x v="0"/>
    <x v="0"/>
    <x v="0"/>
    <x v="1"/>
    <s v="DK2_MedSmall"/>
    <x v="4"/>
    <s v="GNR_BO_STRW_E-102"/>
    <x v="0"/>
    <x v="12"/>
    <n v="9.8039215686274499"/>
    <n v="3578.4313725490201"/>
    <n v="12882.352941176499"/>
  </r>
  <r>
    <x v="0"/>
    <x v="0"/>
    <x v="0"/>
    <x v="0"/>
    <x v="1"/>
    <s v="DK2_MedSmall"/>
    <x v="4"/>
    <s v="GNR_BO_STRW_E-102"/>
    <x v="0"/>
    <x v="13"/>
    <n v="9.8039215686274499"/>
    <n v="3578.4313725490201"/>
    <n v="12882.352941176499"/>
  </r>
  <r>
    <x v="0"/>
    <x v="0"/>
    <x v="0"/>
    <x v="0"/>
    <x v="1"/>
    <s v="DK2_MedSmall"/>
    <x v="4"/>
    <s v="GNR_BO_STRW_E-102"/>
    <x v="0"/>
    <x v="14"/>
    <n v="9.8039215686274499"/>
    <n v="3578.4313725490201"/>
    <n v="12882.352941176499"/>
  </r>
  <r>
    <x v="0"/>
    <x v="0"/>
    <x v="0"/>
    <x v="0"/>
    <x v="1"/>
    <s v="DK2_MedSmall"/>
    <x v="4"/>
    <s v="GNR_BO_STRW_E-102"/>
    <x v="0"/>
    <x v="15"/>
    <n v="9.8039215686274499"/>
    <n v="3578.4313725490201"/>
    <n v="12882.352941176499"/>
  </r>
  <r>
    <x v="0"/>
    <x v="0"/>
    <x v="0"/>
    <x v="0"/>
    <x v="1"/>
    <s v="DK2_MedSmall"/>
    <x v="4"/>
    <s v="GNR_BO_STRW_E-102"/>
    <x v="0"/>
    <x v="16"/>
    <n v="9.8039215686274499"/>
    <n v="3578.4313725490201"/>
    <n v="12882.352941176499"/>
  </r>
  <r>
    <x v="0"/>
    <x v="0"/>
    <x v="0"/>
    <x v="0"/>
    <x v="1"/>
    <s v="DK2_MedSmall"/>
    <x v="4"/>
    <s v="GNR_BO_STRW_E-102"/>
    <x v="0"/>
    <x v="17"/>
    <n v="9.8039215686274499"/>
    <n v="3578.4313725490201"/>
    <n v="12882.352941176499"/>
  </r>
  <r>
    <x v="0"/>
    <x v="0"/>
    <x v="0"/>
    <x v="0"/>
    <x v="1"/>
    <s v="DK2_MedSmall"/>
    <x v="4"/>
    <s v="GNR_BO_STRW_E-102"/>
    <x v="0"/>
    <x v="19"/>
    <n v="9.8039215686274499"/>
    <n v="3578.4313725490201"/>
    <n v="12882.352941176499"/>
  </r>
  <r>
    <x v="0"/>
    <x v="0"/>
    <x v="0"/>
    <x v="0"/>
    <x v="1"/>
    <s v="DK2_MedSmall"/>
    <x v="4"/>
    <s v="GNR_BO_STRW_E-102"/>
    <x v="0"/>
    <x v="20"/>
    <n v="9.8039215686274499"/>
    <n v="3578.4313725490201"/>
    <n v="12882.352941176499"/>
  </r>
  <r>
    <x v="0"/>
    <x v="0"/>
    <x v="0"/>
    <x v="0"/>
    <x v="1"/>
    <s v="DK2_MedSmall"/>
    <x v="4"/>
    <s v="GNR_BO_STRW_E-102"/>
    <x v="0"/>
    <x v="21"/>
    <n v="9.8039215686274499"/>
    <n v="3578.4313725490201"/>
    <n v="12882.352941176499"/>
  </r>
  <r>
    <x v="0"/>
    <x v="0"/>
    <x v="0"/>
    <x v="0"/>
    <x v="1"/>
    <s v="DK2_MedSmall"/>
    <x v="4"/>
    <s v="GNR_BO_STRW_E-102"/>
    <x v="0"/>
    <x v="22"/>
    <n v="9.8039215686274499"/>
    <n v="3578.4313725490201"/>
    <n v="12882.352941176499"/>
  </r>
  <r>
    <x v="0"/>
    <x v="0"/>
    <x v="0"/>
    <x v="0"/>
    <x v="1"/>
    <s v="DK2_MedSmall"/>
    <x v="4"/>
    <s v="GNR_BO_STRW_E-102"/>
    <x v="0"/>
    <x v="23"/>
    <n v="9.8039215686274499"/>
    <n v="3578.4313725490201"/>
    <n v="12882.352941176499"/>
  </r>
  <r>
    <x v="0"/>
    <x v="0"/>
    <x v="0"/>
    <x v="0"/>
    <x v="1"/>
    <s v="DK2_MedSmall"/>
    <x v="1"/>
    <s v="GNR_EH_HEAT"/>
    <x v="0"/>
    <x v="0"/>
    <n v="2"/>
    <n v="730"/>
    <n v="2628"/>
  </r>
  <r>
    <x v="0"/>
    <x v="0"/>
    <x v="0"/>
    <x v="0"/>
    <x v="1"/>
    <s v="DK2_MedSmall"/>
    <x v="1"/>
    <s v="GNR_EH_HEAT"/>
    <x v="0"/>
    <x v="1"/>
    <n v="2"/>
    <n v="730"/>
    <n v="2628"/>
  </r>
  <r>
    <x v="0"/>
    <x v="0"/>
    <x v="0"/>
    <x v="0"/>
    <x v="1"/>
    <s v="DK2_MedSmall"/>
    <x v="1"/>
    <s v="GNR_EH_HEAT"/>
    <x v="0"/>
    <x v="2"/>
    <n v="2"/>
    <n v="730"/>
    <n v="2628"/>
  </r>
  <r>
    <x v="0"/>
    <x v="0"/>
    <x v="0"/>
    <x v="0"/>
    <x v="1"/>
    <s v="DK2_MedSmall"/>
    <x v="1"/>
    <s v="GNR_EH_HEAT"/>
    <x v="0"/>
    <x v="3"/>
    <n v="2"/>
    <n v="730"/>
    <n v="2628"/>
  </r>
  <r>
    <x v="0"/>
    <x v="0"/>
    <x v="0"/>
    <x v="0"/>
    <x v="1"/>
    <s v="DK2_MedSmall"/>
    <x v="1"/>
    <s v="GNR_EH_HEAT"/>
    <x v="0"/>
    <x v="18"/>
    <n v="2"/>
    <n v="730"/>
    <n v="2628"/>
  </r>
  <r>
    <x v="0"/>
    <x v="0"/>
    <x v="0"/>
    <x v="0"/>
    <x v="1"/>
    <s v="DK2_MedSmall"/>
    <x v="1"/>
    <s v="GNR_EH_HEAT"/>
    <x v="0"/>
    <x v="4"/>
    <n v="2"/>
    <n v="730"/>
    <n v="2628"/>
  </r>
  <r>
    <x v="0"/>
    <x v="0"/>
    <x v="0"/>
    <x v="0"/>
    <x v="1"/>
    <s v="DK2_MedSmall"/>
    <x v="1"/>
    <s v="GNR_EH_HEAT"/>
    <x v="0"/>
    <x v="5"/>
    <n v="2"/>
    <n v="730"/>
    <n v="2628"/>
  </r>
  <r>
    <x v="0"/>
    <x v="0"/>
    <x v="0"/>
    <x v="0"/>
    <x v="1"/>
    <s v="DK2_MedSmall"/>
    <x v="1"/>
    <s v="GNR_EH_HEAT"/>
    <x v="0"/>
    <x v="6"/>
    <n v="2"/>
    <n v="730"/>
    <n v="2628"/>
  </r>
  <r>
    <x v="0"/>
    <x v="0"/>
    <x v="0"/>
    <x v="0"/>
    <x v="1"/>
    <s v="DK2_MedSmall"/>
    <x v="1"/>
    <s v="GNR_EH_HEAT"/>
    <x v="0"/>
    <x v="7"/>
    <n v="2"/>
    <n v="730"/>
    <n v="2628"/>
  </r>
  <r>
    <x v="0"/>
    <x v="0"/>
    <x v="0"/>
    <x v="0"/>
    <x v="1"/>
    <s v="DK2_MedSmall"/>
    <x v="1"/>
    <s v="GNR_EH_HEAT"/>
    <x v="0"/>
    <x v="8"/>
    <n v="2"/>
    <n v="730"/>
    <n v="2628"/>
  </r>
  <r>
    <x v="0"/>
    <x v="0"/>
    <x v="0"/>
    <x v="0"/>
    <x v="1"/>
    <s v="DK2_MedSmall"/>
    <x v="1"/>
    <s v="GNR_EH_HEAT"/>
    <x v="0"/>
    <x v="9"/>
    <n v="2"/>
    <n v="730"/>
    <n v="2628"/>
  </r>
  <r>
    <x v="0"/>
    <x v="0"/>
    <x v="0"/>
    <x v="0"/>
    <x v="1"/>
    <s v="DK2_MedSmall"/>
    <x v="1"/>
    <s v="GNR_EH_HEAT"/>
    <x v="0"/>
    <x v="10"/>
    <n v="2"/>
    <n v="730"/>
    <n v="2628"/>
  </r>
  <r>
    <x v="0"/>
    <x v="0"/>
    <x v="0"/>
    <x v="0"/>
    <x v="1"/>
    <s v="DK2_MedSmall"/>
    <x v="1"/>
    <s v="GNR_EH_HEAT"/>
    <x v="0"/>
    <x v="11"/>
    <n v="2"/>
    <n v="730"/>
    <n v="2628"/>
  </r>
  <r>
    <x v="0"/>
    <x v="0"/>
    <x v="0"/>
    <x v="0"/>
    <x v="1"/>
    <s v="DK2_MedSmall"/>
    <x v="1"/>
    <s v="GNR_EH_HEAT"/>
    <x v="0"/>
    <x v="12"/>
    <n v="2"/>
    <n v="730"/>
    <n v="2628"/>
  </r>
  <r>
    <x v="0"/>
    <x v="0"/>
    <x v="0"/>
    <x v="0"/>
    <x v="1"/>
    <s v="DK2_MedSmall"/>
    <x v="1"/>
    <s v="GNR_EH_HEAT"/>
    <x v="0"/>
    <x v="13"/>
    <n v="2"/>
    <n v="730"/>
    <n v="2628"/>
  </r>
  <r>
    <x v="0"/>
    <x v="0"/>
    <x v="0"/>
    <x v="0"/>
    <x v="1"/>
    <s v="DK2_MedSmall"/>
    <x v="1"/>
    <s v="GNR_EH_HEAT"/>
    <x v="0"/>
    <x v="14"/>
    <n v="2"/>
    <n v="730"/>
    <n v="2628"/>
  </r>
  <r>
    <x v="0"/>
    <x v="0"/>
    <x v="0"/>
    <x v="0"/>
    <x v="1"/>
    <s v="DK2_MedSmall"/>
    <x v="1"/>
    <s v="GNR_EH_HEAT"/>
    <x v="0"/>
    <x v="15"/>
    <n v="2"/>
    <n v="730"/>
    <n v="2628"/>
  </r>
  <r>
    <x v="0"/>
    <x v="0"/>
    <x v="0"/>
    <x v="0"/>
    <x v="1"/>
    <s v="DK2_MedSmall"/>
    <x v="1"/>
    <s v="GNR_EH_HEAT"/>
    <x v="0"/>
    <x v="16"/>
    <n v="2"/>
    <n v="730"/>
    <n v="2628"/>
  </r>
  <r>
    <x v="0"/>
    <x v="0"/>
    <x v="0"/>
    <x v="0"/>
    <x v="1"/>
    <s v="DK2_MedSmall"/>
    <x v="1"/>
    <s v="GNR_EH_HEAT"/>
    <x v="0"/>
    <x v="17"/>
    <n v="2"/>
    <n v="730"/>
    <n v="2628"/>
  </r>
  <r>
    <x v="0"/>
    <x v="0"/>
    <x v="0"/>
    <x v="0"/>
    <x v="1"/>
    <s v="DK2_MedSmall"/>
    <x v="1"/>
    <s v="GNR_EH_HEAT"/>
    <x v="0"/>
    <x v="19"/>
    <n v="2"/>
    <n v="730"/>
    <n v="2628"/>
  </r>
  <r>
    <x v="0"/>
    <x v="0"/>
    <x v="0"/>
    <x v="0"/>
    <x v="1"/>
    <s v="DK2_MedSmall"/>
    <x v="1"/>
    <s v="GNR_EH_HEAT"/>
    <x v="0"/>
    <x v="20"/>
    <n v="2"/>
    <n v="730"/>
    <n v="2628"/>
  </r>
  <r>
    <x v="0"/>
    <x v="0"/>
    <x v="0"/>
    <x v="0"/>
    <x v="1"/>
    <s v="DK2_MedSmall"/>
    <x v="1"/>
    <s v="GNR_EH_HEAT"/>
    <x v="0"/>
    <x v="21"/>
    <n v="2"/>
    <n v="730"/>
    <n v="2628"/>
  </r>
  <r>
    <x v="0"/>
    <x v="0"/>
    <x v="0"/>
    <x v="0"/>
    <x v="1"/>
    <s v="DK2_MedSmall"/>
    <x v="1"/>
    <s v="GNR_EH_HEAT"/>
    <x v="0"/>
    <x v="22"/>
    <n v="2"/>
    <n v="730"/>
    <n v="2628"/>
  </r>
  <r>
    <x v="0"/>
    <x v="0"/>
    <x v="0"/>
    <x v="0"/>
    <x v="1"/>
    <s v="DK2_MedSmall"/>
    <x v="1"/>
    <s v="GNR_EH_HEAT"/>
    <x v="0"/>
    <x v="23"/>
    <n v="2"/>
    <n v="730"/>
    <n v="2628"/>
  </r>
  <r>
    <x v="0"/>
    <x v="0"/>
    <x v="0"/>
    <x v="0"/>
    <x v="1"/>
    <s v="DK2_MedSmall"/>
    <x v="5"/>
    <s v="GNR_BO_WOODCHI_E-112"/>
    <x v="0"/>
    <x v="0"/>
    <n v="8.1160112868897691"/>
    <n v="2962.3441197147599"/>
    <n v="10664.4388309732"/>
  </r>
  <r>
    <x v="0"/>
    <x v="0"/>
    <x v="0"/>
    <x v="0"/>
    <x v="1"/>
    <s v="DK2_MedSmall"/>
    <x v="5"/>
    <s v="GNR_BO_WOODCHI_E-112"/>
    <x v="0"/>
    <x v="1"/>
    <n v="7.6546417685086299"/>
    <n v="2793.9442455056501"/>
    <n v="10058.1992838203"/>
  </r>
  <r>
    <x v="0"/>
    <x v="0"/>
    <x v="0"/>
    <x v="0"/>
    <x v="1"/>
    <s v="DK2_MedSmall"/>
    <x v="5"/>
    <s v="GNR_BO_WOODCHI_E-112"/>
    <x v="0"/>
    <x v="2"/>
    <n v="7.2352149336167004"/>
    <n v="2640.8534507700901"/>
    <n v="9507.0724227723404"/>
  </r>
  <r>
    <x v="0"/>
    <x v="0"/>
    <x v="0"/>
    <x v="0"/>
    <x v="1"/>
    <s v="DK2_MedSmall"/>
    <x v="5"/>
    <s v="GNR_BO_WOODCHI_E-112"/>
    <x v="0"/>
    <x v="3"/>
    <n v="7.8643551859545999"/>
    <n v="2870.4896428734301"/>
    <n v="10333.762714344301"/>
  </r>
  <r>
    <x v="0"/>
    <x v="0"/>
    <x v="0"/>
    <x v="0"/>
    <x v="1"/>
    <s v="DK2_MedSmall"/>
    <x v="5"/>
    <s v="GNR_BO_WOODCHI_E-112"/>
    <x v="0"/>
    <x v="18"/>
    <n v="8.3257247043357303"/>
    <n v="3038.8895170825399"/>
    <n v="10940.0022614972"/>
  </r>
  <r>
    <x v="0"/>
    <x v="0"/>
    <x v="0"/>
    <x v="0"/>
    <x v="1"/>
    <s v="DK2_MedSmall"/>
    <x v="5"/>
    <s v="GNR_BO_WOODCHI_E-112"/>
    <x v="0"/>
    <x v="4"/>
    <n v="12.5"/>
    <n v="4562.5"/>
    <n v="16425"/>
  </r>
  <r>
    <x v="0"/>
    <x v="0"/>
    <x v="0"/>
    <x v="0"/>
    <x v="1"/>
    <s v="DK2_MedSmall"/>
    <x v="5"/>
    <s v="GNR_BO_WOODCHI_E-112"/>
    <x v="0"/>
    <x v="5"/>
    <n v="12.5"/>
    <n v="4562.5"/>
    <n v="16425"/>
  </r>
  <r>
    <x v="0"/>
    <x v="0"/>
    <x v="0"/>
    <x v="0"/>
    <x v="1"/>
    <s v="DK2_MedSmall"/>
    <x v="5"/>
    <s v="GNR_BO_WOODCHI_E-112"/>
    <x v="0"/>
    <x v="6"/>
    <n v="12.5"/>
    <n v="4562.5"/>
    <n v="16425"/>
  </r>
  <r>
    <x v="0"/>
    <x v="0"/>
    <x v="0"/>
    <x v="0"/>
    <x v="1"/>
    <s v="DK2_MedSmall"/>
    <x v="5"/>
    <s v="GNR_BO_WOODCHI_E-112"/>
    <x v="0"/>
    <x v="7"/>
    <n v="12.5"/>
    <n v="4562.5"/>
    <n v="16425"/>
  </r>
  <r>
    <x v="0"/>
    <x v="0"/>
    <x v="0"/>
    <x v="0"/>
    <x v="1"/>
    <s v="DK2_MedSmall"/>
    <x v="5"/>
    <s v="GNR_BO_WOODCHI_E-112"/>
    <x v="0"/>
    <x v="8"/>
    <n v="12.5"/>
    <n v="4562.5"/>
    <n v="16425"/>
  </r>
  <r>
    <x v="0"/>
    <x v="0"/>
    <x v="0"/>
    <x v="0"/>
    <x v="1"/>
    <s v="DK2_MedSmall"/>
    <x v="5"/>
    <s v="GNR_BO_WOODCHI_E-112"/>
    <x v="0"/>
    <x v="9"/>
    <n v="12.5"/>
    <n v="4562.5"/>
    <n v="16425"/>
  </r>
  <r>
    <x v="0"/>
    <x v="0"/>
    <x v="0"/>
    <x v="0"/>
    <x v="1"/>
    <s v="DK2_MedSmall"/>
    <x v="5"/>
    <s v="GNR_BO_WOODCHI_E-112"/>
    <x v="0"/>
    <x v="10"/>
    <n v="12.5"/>
    <n v="4562.5"/>
    <n v="16425"/>
  </r>
  <r>
    <x v="0"/>
    <x v="0"/>
    <x v="0"/>
    <x v="0"/>
    <x v="1"/>
    <s v="DK2_MedSmall"/>
    <x v="5"/>
    <s v="GNR_BO_WOODCHI_E-112"/>
    <x v="0"/>
    <x v="11"/>
    <n v="12.5"/>
    <n v="4562.5"/>
    <n v="16425"/>
  </r>
  <r>
    <x v="0"/>
    <x v="0"/>
    <x v="0"/>
    <x v="0"/>
    <x v="1"/>
    <s v="DK2_MedSmall"/>
    <x v="5"/>
    <s v="GNR_BO_WOODCHI_E-112"/>
    <x v="0"/>
    <x v="12"/>
    <n v="12.5"/>
    <n v="4562.5"/>
    <n v="16425"/>
  </r>
  <r>
    <x v="0"/>
    <x v="0"/>
    <x v="0"/>
    <x v="0"/>
    <x v="1"/>
    <s v="DK2_MedSmall"/>
    <x v="5"/>
    <s v="GNR_BO_WOODCHI_E-112"/>
    <x v="0"/>
    <x v="13"/>
    <n v="12.5"/>
    <n v="4562.5"/>
    <n v="16425"/>
  </r>
  <r>
    <x v="0"/>
    <x v="0"/>
    <x v="0"/>
    <x v="0"/>
    <x v="1"/>
    <s v="DK2_MedSmall"/>
    <x v="5"/>
    <s v="GNR_BO_WOODCHI_E-112"/>
    <x v="0"/>
    <x v="14"/>
    <n v="12.5"/>
    <n v="4562.5"/>
    <n v="16425"/>
  </r>
  <r>
    <x v="0"/>
    <x v="0"/>
    <x v="0"/>
    <x v="0"/>
    <x v="1"/>
    <s v="DK2_MedSmall"/>
    <x v="5"/>
    <s v="GNR_BO_WOODCHI_E-112"/>
    <x v="0"/>
    <x v="15"/>
    <n v="12.5"/>
    <n v="4562.5"/>
    <n v="16425"/>
  </r>
  <r>
    <x v="0"/>
    <x v="0"/>
    <x v="0"/>
    <x v="0"/>
    <x v="1"/>
    <s v="DK2_MedSmall"/>
    <x v="5"/>
    <s v="GNR_BO_WOODCHI_E-112"/>
    <x v="0"/>
    <x v="16"/>
    <n v="12.5"/>
    <n v="4562.5"/>
    <n v="16425"/>
  </r>
  <r>
    <x v="0"/>
    <x v="0"/>
    <x v="0"/>
    <x v="0"/>
    <x v="1"/>
    <s v="DK2_MedSmall"/>
    <x v="5"/>
    <s v="GNR_BO_WOODCHI_E-112"/>
    <x v="0"/>
    <x v="17"/>
    <n v="12.5"/>
    <n v="4562.5"/>
    <n v="16425"/>
  </r>
  <r>
    <x v="0"/>
    <x v="0"/>
    <x v="0"/>
    <x v="0"/>
    <x v="1"/>
    <s v="DK2_MedSmall"/>
    <x v="5"/>
    <s v="GNR_BO_WOODCHI_E-112"/>
    <x v="0"/>
    <x v="19"/>
    <n v="12.5"/>
    <n v="4562.5"/>
    <n v="16425"/>
  </r>
  <r>
    <x v="0"/>
    <x v="0"/>
    <x v="0"/>
    <x v="0"/>
    <x v="1"/>
    <s v="DK2_MedSmall"/>
    <x v="5"/>
    <s v="GNR_BO_WOODCHI_E-112"/>
    <x v="0"/>
    <x v="20"/>
    <n v="12.5"/>
    <n v="4562.5"/>
    <n v="16425"/>
  </r>
  <r>
    <x v="0"/>
    <x v="0"/>
    <x v="0"/>
    <x v="0"/>
    <x v="1"/>
    <s v="DK2_MedSmall"/>
    <x v="5"/>
    <s v="GNR_BO_WOODCHI_E-112"/>
    <x v="0"/>
    <x v="21"/>
    <n v="12.5"/>
    <n v="4562.5"/>
    <n v="16425"/>
  </r>
  <r>
    <x v="0"/>
    <x v="0"/>
    <x v="0"/>
    <x v="0"/>
    <x v="1"/>
    <s v="DK2_MedSmall"/>
    <x v="5"/>
    <s v="GNR_BO_WOODCHI_E-112"/>
    <x v="0"/>
    <x v="22"/>
    <n v="12.5"/>
    <n v="4562.5"/>
    <n v="16425"/>
  </r>
  <r>
    <x v="0"/>
    <x v="0"/>
    <x v="0"/>
    <x v="0"/>
    <x v="1"/>
    <s v="DK2_MedSmall"/>
    <x v="5"/>
    <s v="GNR_BO_WOODCHI_E-112"/>
    <x v="0"/>
    <x v="23"/>
    <n v="12.5"/>
    <n v="4562.5"/>
    <n v="16425"/>
  </r>
  <r>
    <x v="0"/>
    <x v="0"/>
    <x v="0"/>
    <x v="0"/>
    <x v="1"/>
    <s v="DK2_MedSmall"/>
    <x v="5"/>
    <s v="GNR_BO_WOODCHI_E-118"/>
    <x v="0"/>
    <x v="0"/>
    <n v="8.9830508474576298"/>
    <n v="3278.81355932203"/>
    <n v="11803.728813559301"/>
  </r>
  <r>
    <x v="0"/>
    <x v="0"/>
    <x v="0"/>
    <x v="0"/>
    <x v="1"/>
    <s v="DK2_MedSmall"/>
    <x v="5"/>
    <s v="GNR_BO_WOODCHI_E-118"/>
    <x v="0"/>
    <x v="1"/>
    <n v="8.9830508474576298"/>
    <n v="3278.81355932203"/>
    <n v="11803.728813559301"/>
  </r>
  <r>
    <x v="0"/>
    <x v="0"/>
    <x v="0"/>
    <x v="0"/>
    <x v="1"/>
    <s v="DK2_MedSmall"/>
    <x v="5"/>
    <s v="GNR_BO_WOODCHI_E-118"/>
    <x v="0"/>
    <x v="2"/>
    <n v="8.9830508474576298"/>
    <n v="3278.81355932203"/>
    <n v="11803.728813559301"/>
  </r>
  <r>
    <x v="0"/>
    <x v="0"/>
    <x v="0"/>
    <x v="0"/>
    <x v="1"/>
    <s v="DK2_MedSmall"/>
    <x v="5"/>
    <s v="GNR_BO_WOODCHI_E-118"/>
    <x v="0"/>
    <x v="3"/>
    <n v="8.9830508474576298"/>
    <n v="3278.81355932203"/>
    <n v="11803.728813559301"/>
  </r>
  <r>
    <x v="0"/>
    <x v="0"/>
    <x v="0"/>
    <x v="0"/>
    <x v="1"/>
    <s v="DK2_MedSmall"/>
    <x v="5"/>
    <s v="GNR_BO_WOODCHI_E-118"/>
    <x v="0"/>
    <x v="18"/>
    <n v="8.9830508474576298"/>
    <n v="3278.81355932203"/>
    <n v="11803.728813559301"/>
  </r>
  <r>
    <x v="0"/>
    <x v="0"/>
    <x v="0"/>
    <x v="0"/>
    <x v="1"/>
    <s v="DK2_MedSmall"/>
    <x v="5"/>
    <s v="GNR_BO_WOODCHI_E-118"/>
    <x v="0"/>
    <x v="4"/>
    <n v="8.9830508474576298"/>
    <n v="3278.81355932203"/>
    <n v="11803.728813559301"/>
  </r>
  <r>
    <x v="0"/>
    <x v="0"/>
    <x v="0"/>
    <x v="0"/>
    <x v="1"/>
    <s v="DK2_MedSmall"/>
    <x v="5"/>
    <s v="GNR_BO_WOODCHI_E-118"/>
    <x v="0"/>
    <x v="5"/>
    <n v="8.9830508474576298"/>
    <n v="3278.81355932203"/>
    <n v="11803.728813559301"/>
  </r>
  <r>
    <x v="0"/>
    <x v="0"/>
    <x v="0"/>
    <x v="0"/>
    <x v="1"/>
    <s v="DK2_MedSmall"/>
    <x v="5"/>
    <s v="GNR_BO_WOODCHI_E-118"/>
    <x v="0"/>
    <x v="6"/>
    <n v="8.9830508474576298"/>
    <n v="3278.81355932203"/>
    <n v="11803.728813559301"/>
  </r>
  <r>
    <x v="0"/>
    <x v="0"/>
    <x v="0"/>
    <x v="0"/>
    <x v="1"/>
    <s v="DK2_MedSmall"/>
    <x v="5"/>
    <s v="GNR_BO_WOODCHI_E-118"/>
    <x v="0"/>
    <x v="7"/>
    <n v="8.9830508474576298"/>
    <n v="3278.81355932203"/>
    <n v="11803.728813559301"/>
  </r>
  <r>
    <x v="0"/>
    <x v="0"/>
    <x v="0"/>
    <x v="0"/>
    <x v="1"/>
    <s v="DK2_MedSmall"/>
    <x v="5"/>
    <s v="GNR_BO_WOODCHI_E-118"/>
    <x v="0"/>
    <x v="8"/>
    <n v="8.9830508474576298"/>
    <n v="3278.81355932203"/>
    <n v="11803.728813559301"/>
  </r>
  <r>
    <x v="0"/>
    <x v="0"/>
    <x v="0"/>
    <x v="0"/>
    <x v="1"/>
    <s v="DK2_MedSmall"/>
    <x v="5"/>
    <s v="GNR_BO_WOODCHI_E-118"/>
    <x v="0"/>
    <x v="9"/>
    <n v="8.9830508474576298"/>
    <n v="3278.81355932203"/>
    <n v="11803.728813559301"/>
  </r>
  <r>
    <x v="0"/>
    <x v="0"/>
    <x v="0"/>
    <x v="0"/>
    <x v="1"/>
    <s v="DK2_MedSmall"/>
    <x v="5"/>
    <s v="GNR_BO_WOODCHI_E-118"/>
    <x v="0"/>
    <x v="10"/>
    <n v="8.9830508474576298"/>
    <n v="3278.81355932203"/>
    <n v="11803.728813559301"/>
  </r>
  <r>
    <x v="0"/>
    <x v="0"/>
    <x v="0"/>
    <x v="0"/>
    <x v="1"/>
    <s v="DK2_MedSmall"/>
    <x v="5"/>
    <s v="GNR_BO_WOODCHI_E-118"/>
    <x v="0"/>
    <x v="11"/>
    <n v="8.9830508474576298"/>
    <n v="3278.81355932203"/>
    <n v="11803.728813559301"/>
  </r>
  <r>
    <x v="0"/>
    <x v="0"/>
    <x v="0"/>
    <x v="0"/>
    <x v="1"/>
    <s v="DK2_MedSmall"/>
    <x v="5"/>
    <s v="GNR_BO_WOODCHI_E-118"/>
    <x v="0"/>
    <x v="12"/>
    <n v="8.9830508474576298"/>
    <n v="3278.81355932203"/>
    <n v="11803.728813559301"/>
  </r>
  <r>
    <x v="0"/>
    <x v="0"/>
    <x v="0"/>
    <x v="0"/>
    <x v="1"/>
    <s v="DK2_MedSmall"/>
    <x v="5"/>
    <s v="GNR_BO_WOODCHI_E-118"/>
    <x v="0"/>
    <x v="13"/>
    <n v="8.9830508474576298"/>
    <n v="3278.81355932203"/>
    <n v="11803.728813559301"/>
  </r>
  <r>
    <x v="0"/>
    <x v="0"/>
    <x v="0"/>
    <x v="0"/>
    <x v="1"/>
    <s v="DK2_MedSmall"/>
    <x v="5"/>
    <s v="GNR_BO_WOODCHI_E-118"/>
    <x v="0"/>
    <x v="14"/>
    <n v="8.9830508474576298"/>
    <n v="3278.81355932203"/>
    <n v="11803.728813559301"/>
  </r>
  <r>
    <x v="0"/>
    <x v="0"/>
    <x v="0"/>
    <x v="0"/>
    <x v="1"/>
    <s v="DK2_MedSmall"/>
    <x v="5"/>
    <s v="GNR_BO_WOODCHI_E-118"/>
    <x v="0"/>
    <x v="15"/>
    <n v="8.9830508474576298"/>
    <n v="3278.81355932203"/>
    <n v="11803.728813559301"/>
  </r>
  <r>
    <x v="0"/>
    <x v="0"/>
    <x v="0"/>
    <x v="0"/>
    <x v="1"/>
    <s v="DK2_MedSmall"/>
    <x v="5"/>
    <s v="GNR_BO_WOODCHI_E-118"/>
    <x v="0"/>
    <x v="16"/>
    <n v="8.9830508474576298"/>
    <n v="3278.81355932203"/>
    <n v="11803.728813559301"/>
  </r>
  <r>
    <x v="0"/>
    <x v="0"/>
    <x v="0"/>
    <x v="0"/>
    <x v="1"/>
    <s v="DK2_MedSmall"/>
    <x v="5"/>
    <s v="GNR_BO_WOODCHI_E-118"/>
    <x v="0"/>
    <x v="17"/>
    <n v="8.9830508474576298"/>
    <n v="3278.81355932203"/>
    <n v="11803.728813559301"/>
  </r>
  <r>
    <x v="0"/>
    <x v="0"/>
    <x v="0"/>
    <x v="0"/>
    <x v="1"/>
    <s v="DK2_MedSmall"/>
    <x v="5"/>
    <s v="GNR_BO_WOODCHI_E-118"/>
    <x v="0"/>
    <x v="19"/>
    <n v="8.9830508474576298"/>
    <n v="3278.81355932203"/>
    <n v="11803.728813559301"/>
  </r>
  <r>
    <x v="0"/>
    <x v="0"/>
    <x v="0"/>
    <x v="0"/>
    <x v="1"/>
    <s v="DK2_MedSmall"/>
    <x v="5"/>
    <s v="GNR_BO_WOODCHI_E-118"/>
    <x v="0"/>
    <x v="20"/>
    <n v="8.9830508474576298"/>
    <n v="3278.81355932203"/>
    <n v="11803.728813559301"/>
  </r>
  <r>
    <x v="0"/>
    <x v="0"/>
    <x v="0"/>
    <x v="0"/>
    <x v="1"/>
    <s v="DK2_MedSmall"/>
    <x v="5"/>
    <s v="GNR_BO_WOODCHI_E-118"/>
    <x v="0"/>
    <x v="21"/>
    <n v="8.9830508474576298"/>
    <n v="3278.81355932203"/>
    <n v="11803.728813559301"/>
  </r>
  <r>
    <x v="0"/>
    <x v="0"/>
    <x v="0"/>
    <x v="0"/>
    <x v="1"/>
    <s v="DK2_MedSmall"/>
    <x v="5"/>
    <s v="GNR_BO_WOODCHI_E-118"/>
    <x v="0"/>
    <x v="22"/>
    <n v="8.9830508474576298"/>
    <n v="3278.81355932203"/>
    <n v="11803.728813559301"/>
  </r>
  <r>
    <x v="0"/>
    <x v="0"/>
    <x v="0"/>
    <x v="0"/>
    <x v="1"/>
    <s v="DK2_MedSmall"/>
    <x v="5"/>
    <s v="GNR_BO_WOODCHI_E-118"/>
    <x v="0"/>
    <x v="23"/>
    <n v="8.9830508474576298"/>
    <n v="3278.81355932203"/>
    <n v="11803.728813559301"/>
  </r>
  <r>
    <x v="0"/>
    <x v="0"/>
    <x v="0"/>
    <x v="0"/>
    <x v="1"/>
    <s v="DK2_Medium"/>
    <x v="0"/>
    <s v="GNR_ST_COAL_BP_E-38"/>
    <x v="0"/>
    <x v="0"/>
    <n v="335.59465172764999"/>
    <n v="122492.047880592"/>
    <n v="440971.37237013201"/>
  </r>
  <r>
    <x v="0"/>
    <x v="0"/>
    <x v="0"/>
    <x v="0"/>
    <x v="1"/>
    <s v="DK2_Medium"/>
    <x v="0"/>
    <s v="GNR_ST_COAL_BP_E-38"/>
    <x v="0"/>
    <x v="1"/>
    <n v="326.984122552315"/>
    <n v="119349.204731595"/>
    <n v="429657.13703374198"/>
  </r>
  <r>
    <x v="0"/>
    <x v="0"/>
    <x v="0"/>
    <x v="0"/>
    <x v="1"/>
    <s v="DK2_Medium"/>
    <x v="0"/>
    <s v="GNR_ST_COAL_BP_E-38"/>
    <x v="0"/>
    <x v="2"/>
    <n v="325.83605199560299"/>
    <n v="118930.158978395"/>
    <n v="428148.57232222299"/>
  </r>
  <r>
    <x v="0"/>
    <x v="0"/>
    <x v="0"/>
    <x v="0"/>
    <x v="1"/>
    <s v="DK2_Medium"/>
    <x v="0"/>
    <s v="GNR_ST_COAL_BP_E-38"/>
    <x v="0"/>
    <x v="3"/>
    <n v="322.39184032546899"/>
    <n v="117673.02171879599"/>
    <n v="423622.878187667"/>
  </r>
  <r>
    <x v="0"/>
    <x v="0"/>
    <x v="0"/>
    <x v="0"/>
    <x v="1"/>
    <s v="DK2_Medium"/>
    <x v="0"/>
    <s v="GNR_ST_COAL_BP_E-38"/>
    <x v="0"/>
    <x v="18"/>
    <n v="329.513772056395"/>
    <n v="120272.526800584"/>
    <n v="432981.096482102"/>
  </r>
  <r>
    <x v="0"/>
    <x v="0"/>
    <x v="0"/>
    <x v="0"/>
    <x v="1"/>
    <s v="DK2_Medium"/>
    <x v="0"/>
    <s v="GNR_ST_COAL_BP_E-38"/>
    <x v="0"/>
    <x v="4"/>
    <n v="373.68421052631601"/>
    <n v="136394.73684210499"/>
    <n v="491021.05263157899"/>
  </r>
  <r>
    <x v="0"/>
    <x v="0"/>
    <x v="0"/>
    <x v="0"/>
    <x v="1"/>
    <s v="DK2_Medium"/>
    <x v="0"/>
    <s v="GNR_ST_COAL_BP_E-38"/>
    <x v="0"/>
    <x v="5"/>
    <n v="373.68421052631601"/>
    <n v="136394.73684210499"/>
    <n v="491021.05263157899"/>
  </r>
  <r>
    <x v="0"/>
    <x v="0"/>
    <x v="0"/>
    <x v="0"/>
    <x v="1"/>
    <s v="DK2_Medium"/>
    <x v="0"/>
    <s v="GNR_ST_COAL_BP_E-38"/>
    <x v="0"/>
    <x v="6"/>
    <n v="373.68421052631601"/>
    <n v="136394.73684210499"/>
    <n v="491021.05263157899"/>
  </r>
  <r>
    <x v="0"/>
    <x v="0"/>
    <x v="0"/>
    <x v="0"/>
    <x v="1"/>
    <s v="DK2_Medium"/>
    <x v="0"/>
    <s v="GNR_ST_COAL_BP_E-38"/>
    <x v="0"/>
    <x v="7"/>
    <n v="373.68421052631601"/>
    <n v="136394.73684210499"/>
    <n v="491021.05263157899"/>
  </r>
  <r>
    <x v="0"/>
    <x v="0"/>
    <x v="0"/>
    <x v="0"/>
    <x v="1"/>
    <s v="DK2_Medium"/>
    <x v="0"/>
    <s v="GNR_ST_COAL_BP_E-38"/>
    <x v="0"/>
    <x v="8"/>
    <n v="373.68421052631601"/>
    <n v="136394.73684210499"/>
    <n v="491021.05263157899"/>
  </r>
  <r>
    <x v="0"/>
    <x v="0"/>
    <x v="0"/>
    <x v="0"/>
    <x v="1"/>
    <s v="DK2_Medium"/>
    <x v="0"/>
    <s v="GNR_ST_COAL_BP_E-38"/>
    <x v="0"/>
    <x v="9"/>
    <n v="373.68421052631601"/>
    <n v="136394.73684210499"/>
    <n v="491021.05263157899"/>
  </r>
  <r>
    <x v="0"/>
    <x v="0"/>
    <x v="0"/>
    <x v="0"/>
    <x v="1"/>
    <s v="DK2_Medium"/>
    <x v="0"/>
    <s v="GNR_ST_COAL_BP_E-38"/>
    <x v="0"/>
    <x v="10"/>
    <n v="373.68421052631601"/>
    <n v="136394.73684210499"/>
    <n v="491021.05263157899"/>
  </r>
  <r>
    <x v="0"/>
    <x v="0"/>
    <x v="0"/>
    <x v="0"/>
    <x v="1"/>
    <s v="DK2_Medium"/>
    <x v="0"/>
    <s v="GNR_ST_COAL_BP_E-38"/>
    <x v="0"/>
    <x v="11"/>
    <n v="373.68421052631601"/>
    <n v="136394.73684210499"/>
    <n v="491021.05263157899"/>
  </r>
  <r>
    <x v="0"/>
    <x v="0"/>
    <x v="0"/>
    <x v="0"/>
    <x v="1"/>
    <s v="DK2_Medium"/>
    <x v="0"/>
    <s v="GNR_ST_COAL_BP_E-38"/>
    <x v="0"/>
    <x v="12"/>
    <n v="373.68421052631601"/>
    <n v="136394.73684210499"/>
    <n v="491021.05263157899"/>
  </r>
  <r>
    <x v="0"/>
    <x v="0"/>
    <x v="0"/>
    <x v="0"/>
    <x v="1"/>
    <s v="DK2_Medium"/>
    <x v="0"/>
    <s v="GNR_ST_COAL_BP_E-38"/>
    <x v="0"/>
    <x v="13"/>
    <n v="373.68421052631601"/>
    <n v="136394.73684210499"/>
    <n v="491021.05263157899"/>
  </r>
  <r>
    <x v="0"/>
    <x v="0"/>
    <x v="0"/>
    <x v="0"/>
    <x v="1"/>
    <s v="DK2_Medium"/>
    <x v="0"/>
    <s v="GNR_ST_COAL_BP_E-38"/>
    <x v="0"/>
    <x v="14"/>
    <n v="373.68421052631601"/>
    <n v="136394.73684210499"/>
    <n v="491021.05263157899"/>
  </r>
  <r>
    <x v="0"/>
    <x v="0"/>
    <x v="0"/>
    <x v="0"/>
    <x v="1"/>
    <s v="DK2_Medium"/>
    <x v="0"/>
    <s v="GNR_ST_COAL_BP_E-38"/>
    <x v="0"/>
    <x v="15"/>
    <n v="373.68421052631601"/>
    <n v="136394.73684210499"/>
    <n v="491021.05263157899"/>
  </r>
  <r>
    <x v="0"/>
    <x v="0"/>
    <x v="0"/>
    <x v="0"/>
    <x v="1"/>
    <s v="DK2_Medium"/>
    <x v="0"/>
    <s v="GNR_ST_COAL_BP_E-38"/>
    <x v="0"/>
    <x v="16"/>
    <n v="373.68421052631601"/>
    <n v="136394.73684210499"/>
    <n v="491021.05263157899"/>
  </r>
  <r>
    <x v="0"/>
    <x v="0"/>
    <x v="0"/>
    <x v="0"/>
    <x v="1"/>
    <s v="DK2_Medium"/>
    <x v="0"/>
    <s v="GNR_ST_COAL_BP_E-38"/>
    <x v="0"/>
    <x v="17"/>
    <n v="373.68421052631601"/>
    <n v="136394.73684210499"/>
    <n v="491021.05263157899"/>
  </r>
  <r>
    <x v="0"/>
    <x v="0"/>
    <x v="0"/>
    <x v="0"/>
    <x v="1"/>
    <s v="DK2_Medium"/>
    <x v="0"/>
    <s v="GNR_ST_COAL_BP_E-38"/>
    <x v="0"/>
    <x v="19"/>
    <n v="373.68421052631601"/>
    <n v="136394.73684210499"/>
    <n v="491021.05263157899"/>
  </r>
  <r>
    <x v="0"/>
    <x v="0"/>
    <x v="0"/>
    <x v="0"/>
    <x v="1"/>
    <s v="DK2_Medium"/>
    <x v="0"/>
    <s v="GNR_ST_COAL_BP_E-38"/>
    <x v="0"/>
    <x v="20"/>
    <n v="373.68421052631601"/>
    <n v="136394.73684210499"/>
    <n v="491021.05263157899"/>
  </r>
  <r>
    <x v="0"/>
    <x v="0"/>
    <x v="0"/>
    <x v="0"/>
    <x v="1"/>
    <s v="DK2_Medium"/>
    <x v="0"/>
    <s v="GNR_ST_COAL_BP_E-38"/>
    <x v="0"/>
    <x v="21"/>
    <n v="373.68421052631601"/>
    <n v="136394.73684210499"/>
    <n v="491021.05263157899"/>
  </r>
  <r>
    <x v="0"/>
    <x v="0"/>
    <x v="0"/>
    <x v="0"/>
    <x v="1"/>
    <s v="DK2_Medium"/>
    <x v="0"/>
    <s v="GNR_ST_COAL_EXT_E-41"/>
    <x v="0"/>
    <x v="18"/>
    <n v="437.03662760644499"/>
    <n v="159518.36907635201"/>
    <n v="574266.12867486896"/>
  </r>
  <r>
    <x v="0"/>
    <x v="0"/>
    <x v="0"/>
    <x v="0"/>
    <x v="1"/>
    <s v="DK2_Medium"/>
    <x v="0"/>
    <s v="GNR_ST_COAL_EXT_E-41"/>
    <x v="0"/>
    <x v="4"/>
    <n v="1560.9756097561001"/>
    <n v="569756.09756097605"/>
    <n v="2051121.9512195101"/>
  </r>
  <r>
    <x v="0"/>
    <x v="0"/>
    <x v="0"/>
    <x v="0"/>
    <x v="1"/>
    <s v="DK2_Medium"/>
    <x v="0"/>
    <s v="GNR_ST_COAL_EXT_E-41"/>
    <x v="0"/>
    <x v="5"/>
    <n v="1560.9756097561001"/>
    <n v="569756.09756097605"/>
    <n v="2051121.9512195101"/>
  </r>
  <r>
    <x v="0"/>
    <x v="0"/>
    <x v="0"/>
    <x v="0"/>
    <x v="1"/>
    <s v="DK2_Medium"/>
    <x v="0"/>
    <s v="GNR_ST_COAL_EXT_E-41"/>
    <x v="0"/>
    <x v="6"/>
    <n v="1560.9756097561001"/>
    <n v="569756.09756097605"/>
    <n v="2051121.9512195101"/>
  </r>
  <r>
    <x v="0"/>
    <x v="0"/>
    <x v="0"/>
    <x v="0"/>
    <x v="1"/>
    <s v="DK2_Medium"/>
    <x v="0"/>
    <s v="GNR_ST_COAL_EXT_E-41"/>
    <x v="0"/>
    <x v="7"/>
    <n v="1560.9756097561001"/>
    <n v="569756.09756097605"/>
    <n v="2051121.9512195101"/>
  </r>
  <r>
    <x v="0"/>
    <x v="0"/>
    <x v="0"/>
    <x v="0"/>
    <x v="1"/>
    <s v="DK2_Medium"/>
    <x v="0"/>
    <s v="GNR_ST_COAL_EXT_E-41"/>
    <x v="0"/>
    <x v="8"/>
    <n v="1560.9756097561001"/>
    <n v="569756.09756097605"/>
    <n v="2051121.9512195101"/>
  </r>
  <r>
    <x v="0"/>
    <x v="0"/>
    <x v="0"/>
    <x v="0"/>
    <x v="1"/>
    <s v="DK2_Medium"/>
    <x v="0"/>
    <s v="GNR_ST_COAL_EXT_E-41"/>
    <x v="0"/>
    <x v="9"/>
    <n v="1560.9756097561001"/>
    <n v="569756.09756097605"/>
    <n v="2051121.9512195101"/>
  </r>
  <r>
    <x v="0"/>
    <x v="0"/>
    <x v="0"/>
    <x v="0"/>
    <x v="1"/>
    <s v="DK2_Medium"/>
    <x v="0"/>
    <s v="GNR_ST_COAL_EXT_E-41"/>
    <x v="0"/>
    <x v="10"/>
    <n v="1560.9756097561001"/>
    <n v="569756.09756097605"/>
    <n v="2051121.9512195101"/>
  </r>
  <r>
    <x v="0"/>
    <x v="0"/>
    <x v="0"/>
    <x v="0"/>
    <x v="1"/>
    <s v="DK2_Medium"/>
    <x v="0"/>
    <s v="GNR_ST_COAL_EXT_E-41"/>
    <x v="0"/>
    <x v="11"/>
    <n v="1560.9756097561001"/>
    <n v="569756.09756097605"/>
    <n v="2051121.9512195101"/>
  </r>
  <r>
    <x v="0"/>
    <x v="0"/>
    <x v="0"/>
    <x v="0"/>
    <x v="1"/>
    <s v="DK2_Medium"/>
    <x v="0"/>
    <s v="GNR_ST_COAL_EXT_E-41"/>
    <x v="0"/>
    <x v="12"/>
    <n v="1560.9756097561001"/>
    <n v="569756.09756097605"/>
    <n v="2051121.9512195101"/>
  </r>
  <r>
    <x v="0"/>
    <x v="0"/>
    <x v="0"/>
    <x v="0"/>
    <x v="1"/>
    <s v="DK2_Medium"/>
    <x v="0"/>
    <s v="GNR_ST_COAL_EXT_E-41"/>
    <x v="0"/>
    <x v="13"/>
    <n v="1560.9756097561001"/>
    <n v="569756.09756097605"/>
    <n v="2051121.9512195101"/>
  </r>
  <r>
    <x v="0"/>
    <x v="0"/>
    <x v="0"/>
    <x v="0"/>
    <x v="1"/>
    <s v="DK2_Medium"/>
    <x v="0"/>
    <s v="GNR_ST_COAL_EXT_E-41"/>
    <x v="0"/>
    <x v="14"/>
    <n v="1560.9756097561001"/>
    <n v="569756.09756097605"/>
    <n v="2051121.9512195101"/>
  </r>
  <r>
    <x v="0"/>
    <x v="0"/>
    <x v="0"/>
    <x v="0"/>
    <x v="1"/>
    <s v="DK2_Medium"/>
    <x v="0"/>
    <s v="GNR_ST_COAL_EXT_E-41"/>
    <x v="0"/>
    <x v="15"/>
    <n v="1560.9756097561001"/>
    <n v="569756.09756097605"/>
    <n v="2051121.9512195101"/>
  </r>
  <r>
    <x v="0"/>
    <x v="0"/>
    <x v="0"/>
    <x v="0"/>
    <x v="1"/>
    <s v="DK2_Medium"/>
    <x v="0"/>
    <s v="GNR_ST_COAL_EXT_E-41"/>
    <x v="0"/>
    <x v="16"/>
    <n v="1560.9756097561001"/>
    <n v="569756.09756097605"/>
    <n v="2051121.9512195101"/>
  </r>
  <r>
    <x v="0"/>
    <x v="0"/>
    <x v="0"/>
    <x v="0"/>
    <x v="1"/>
    <s v="DK2_Medium"/>
    <x v="0"/>
    <s v="GNR_ST_COAL_EXT_E-41"/>
    <x v="0"/>
    <x v="17"/>
    <n v="1560.9756097561001"/>
    <n v="569756.09756097605"/>
    <n v="2051121.9512195101"/>
  </r>
  <r>
    <x v="0"/>
    <x v="0"/>
    <x v="0"/>
    <x v="0"/>
    <x v="1"/>
    <s v="DK2_Medium"/>
    <x v="0"/>
    <s v="GNR_ST_COAL_EXT_E-41"/>
    <x v="0"/>
    <x v="19"/>
    <n v="1560.9756097561001"/>
    <n v="569756.09756097605"/>
    <n v="2051121.9512195101"/>
  </r>
  <r>
    <x v="0"/>
    <x v="0"/>
    <x v="0"/>
    <x v="0"/>
    <x v="1"/>
    <s v="DK2_Medium"/>
    <x v="0"/>
    <s v="GNR_ST_COAL_EXT_E-41"/>
    <x v="0"/>
    <x v="20"/>
    <n v="758.40806891749503"/>
    <n v="276818.94515488599"/>
    <n v="996548.20255758904"/>
  </r>
  <r>
    <x v="0"/>
    <x v="0"/>
    <x v="0"/>
    <x v="0"/>
    <x v="1"/>
    <s v="DK2_Medium"/>
    <x v="1"/>
    <s v="GNR_EH_HEAT"/>
    <x v="0"/>
    <x v="0"/>
    <n v="2"/>
    <n v="730"/>
    <n v="2628"/>
  </r>
  <r>
    <x v="0"/>
    <x v="0"/>
    <x v="0"/>
    <x v="0"/>
    <x v="1"/>
    <s v="DK2_Medium"/>
    <x v="1"/>
    <s v="GNR_EH_HEAT"/>
    <x v="0"/>
    <x v="1"/>
    <n v="2"/>
    <n v="730"/>
    <n v="2628"/>
  </r>
  <r>
    <x v="0"/>
    <x v="0"/>
    <x v="0"/>
    <x v="0"/>
    <x v="1"/>
    <s v="DK2_Medium"/>
    <x v="1"/>
    <s v="GNR_EH_HEAT"/>
    <x v="0"/>
    <x v="2"/>
    <n v="2"/>
    <n v="730"/>
    <n v="2628"/>
  </r>
  <r>
    <x v="0"/>
    <x v="0"/>
    <x v="0"/>
    <x v="0"/>
    <x v="1"/>
    <s v="DK2_Medium"/>
    <x v="1"/>
    <s v="GNR_EH_HEAT"/>
    <x v="0"/>
    <x v="3"/>
    <n v="2"/>
    <n v="730"/>
    <n v="2628"/>
  </r>
  <r>
    <x v="0"/>
    <x v="0"/>
    <x v="0"/>
    <x v="0"/>
    <x v="1"/>
    <s v="DK2_Medium"/>
    <x v="1"/>
    <s v="GNR_EH_HEAT"/>
    <x v="0"/>
    <x v="18"/>
    <n v="2"/>
    <n v="730"/>
    <n v="2628"/>
  </r>
  <r>
    <x v="0"/>
    <x v="0"/>
    <x v="0"/>
    <x v="0"/>
    <x v="1"/>
    <s v="DK2_Medium"/>
    <x v="1"/>
    <s v="GNR_EH_HEAT"/>
    <x v="0"/>
    <x v="4"/>
    <n v="2"/>
    <n v="730"/>
    <n v="2628"/>
  </r>
  <r>
    <x v="0"/>
    <x v="0"/>
    <x v="0"/>
    <x v="0"/>
    <x v="1"/>
    <s v="DK2_Medium"/>
    <x v="1"/>
    <s v="GNR_EH_HEAT"/>
    <x v="0"/>
    <x v="5"/>
    <n v="2"/>
    <n v="730"/>
    <n v="2628"/>
  </r>
  <r>
    <x v="0"/>
    <x v="0"/>
    <x v="0"/>
    <x v="0"/>
    <x v="1"/>
    <s v="DK2_Medium"/>
    <x v="1"/>
    <s v="GNR_EH_HEAT"/>
    <x v="0"/>
    <x v="6"/>
    <n v="2"/>
    <n v="730"/>
    <n v="2628"/>
  </r>
  <r>
    <x v="0"/>
    <x v="0"/>
    <x v="0"/>
    <x v="0"/>
    <x v="1"/>
    <s v="DK2_Medium"/>
    <x v="1"/>
    <s v="GNR_EH_HEAT"/>
    <x v="0"/>
    <x v="7"/>
    <n v="2"/>
    <n v="730"/>
    <n v="2628"/>
  </r>
  <r>
    <x v="0"/>
    <x v="0"/>
    <x v="0"/>
    <x v="0"/>
    <x v="1"/>
    <s v="DK2_Medium"/>
    <x v="1"/>
    <s v="GNR_EH_HEAT"/>
    <x v="0"/>
    <x v="8"/>
    <n v="2"/>
    <n v="730"/>
    <n v="2628"/>
  </r>
  <r>
    <x v="0"/>
    <x v="0"/>
    <x v="0"/>
    <x v="0"/>
    <x v="1"/>
    <s v="DK2_Medium"/>
    <x v="1"/>
    <s v="GNR_EH_HEAT"/>
    <x v="0"/>
    <x v="9"/>
    <n v="2"/>
    <n v="730"/>
    <n v="2628"/>
  </r>
  <r>
    <x v="0"/>
    <x v="0"/>
    <x v="0"/>
    <x v="0"/>
    <x v="1"/>
    <s v="DK2_Medium"/>
    <x v="1"/>
    <s v="GNR_EH_HEAT"/>
    <x v="0"/>
    <x v="10"/>
    <n v="2"/>
    <n v="730"/>
    <n v="2628"/>
  </r>
  <r>
    <x v="0"/>
    <x v="0"/>
    <x v="0"/>
    <x v="0"/>
    <x v="1"/>
    <s v="DK2_Medium"/>
    <x v="1"/>
    <s v="GNR_EH_HEAT"/>
    <x v="0"/>
    <x v="11"/>
    <n v="2"/>
    <n v="730"/>
    <n v="2628"/>
  </r>
  <r>
    <x v="0"/>
    <x v="0"/>
    <x v="0"/>
    <x v="0"/>
    <x v="1"/>
    <s v="DK2_Medium"/>
    <x v="1"/>
    <s v="GNR_EH_HEAT"/>
    <x v="0"/>
    <x v="12"/>
    <n v="2"/>
    <n v="730"/>
    <n v="2628"/>
  </r>
  <r>
    <x v="0"/>
    <x v="0"/>
    <x v="0"/>
    <x v="0"/>
    <x v="1"/>
    <s v="DK2_Medium"/>
    <x v="1"/>
    <s v="GNR_EH_HEAT"/>
    <x v="0"/>
    <x v="13"/>
    <n v="2"/>
    <n v="730"/>
    <n v="2628"/>
  </r>
  <r>
    <x v="0"/>
    <x v="0"/>
    <x v="0"/>
    <x v="0"/>
    <x v="1"/>
    <s v="DK2_Medium"/>
    <x v="1"/>
    <s v="GNR_EH_HEAT"/>
    <x v="0"/>
    <x v="14"/>
    <n v="2"/>
    <n v="730"/>
    <n v="2628"/>
  </r>
  <r>
    <x v="0"/>
    <x v="0"/>
    <x v="0"/>
    <x v="0"/>
    <x v="1"/>
    <s v="DK2_Medium"/>
    <x v="1"/>
    <s v="GNR_EH_HEAT"/>
    <x v="0"/>
    <x v="15"/>
    <n v="2"/>
    <n v="730"/>
    <n v="2628"/>
  </r>
  <r>
    <x v="0"/>
    <x v="0"/>
    <x v="0"/>
    <x v="0"/>
    <x v="1"/>
    <s v="DK2_Medium"/>
    <x v="1"/>
    <s v="GNR_EH_HEAT"/>
    <x v="0"/>
    <x v="16"/>
    <n v="2"/>
    <n v="730"/>
    <n v="2628"/>
  </r>
  <r>
    <x v="0"/>
    <x v="0"/>
    <x v="0"/>
    <x v="0"/>
    <x v="1"/>
    <s v="DK2_Medium"/>
    <x v="1"/>
    <s v="GNR_EH_HEAT"/>
    <x v="0"/>
    <x v="17"/>
    <n v="2"/>
    <n v="730"/>
    <n v="2628"/>
  </r>
  <r>
    <x v="0"/>
    <x v="0"/>
    <x v="0"/>
    <x v="0"/>
    <x v="1"/>
    <s v="DK2_Medium"/>
    <x v="1"/>
    <s v="GNR_EH_HEAT"/>
    <x v="0"/>
    <x v="19"/>
    <n v="2"/>
    <n v="730"/>
    <n v="2628"/>
  </r>
  <r>
    <x v="0"/>
    <x v="0"/>
    <x v="0"/>
    <x v="0"/>
    <x v="1"/>
    <s v="DK2_Medium"/>
    <x v="1"/>
    <s v="GNR_EH_HEAT"/>
    <x v="0"/>
    <x v="20"/>
    <n v="2"/>
    <n v="730"/>
    <n v="2628"/>
  </r>
  <r>
    <x v="0"/>
    <x v="0"/>
    <x v="0"/>
    <x v="0"/>
    <x v="1"/>
    <s v="DK2_Medium"/>
    <x v="1"/>
    <s v="GNR_EH_HEAT"/>
    <x v="0"/>
    <x v="21"/>
    <n v="2"/>
    <n v="730"/>
    <n v="2628"/>
  </r>
  <r>
    <x v="0"/>
    <x v="0"/>
    <x v="0"/>
    <x v="0"/>
    <x v="1"/>
    <s v="DK2_Medium"/>
    <x v="1"/>
    <s v="GNR_EH_HEAT"/>
    <x v="0"/>
    <x v="22"/>
    <n v="2"/>
    <n v="730"/>
    <n v="2628"/>
  </r>
  <r>
    <x v="0"/>
    <x v="0"/>
    <x v="0"/>
    <x v="0"/>
    <x v="1"/>
    <s v="DK2_Medium"/>
    <x v="1"/>
    <s v="GNR_EH_HEAT"/>
    <x v="0"/>
    <x v="23"/>
    <n v="2"/>
    <n v="730"/>
    <n v="2628"/>
  </r>
  <r>
    <x v="0"/>
    <x v="0"/>
    <x v="0"/>
    <x v="0"/>
    <x v="1"/>
    <s v="DK2_Medium"/>
    <x v="9"/>
    <s v="GNR_BO_WOODWST_E-82"/>
    <x v="0"/>
    <x v="0"/>
    <n v="0.85365853658536595"/>
    <n v="311.58536585365903"/>
    <n v="1121.7073170731701"/>
  </r>
  <r>
    <x v="0"/>
    <x v="0"/>
    <x v="0"/>
    <x v="0"/>
    <x v="1"/>
    <s v="DK2_Medium"/>
    <x v="9"/>
    <s v="GNR_BO_WOODWST_E-82"/>
    <x v="0"/>
    <x v="1"/>
    <n v="0.85365853658536595"/>
    <n v="311.58536585365903"/>
    <n v="1121.7073170731701"/>
  </r>
  <r>
    <x v="0"/>
    <x v="0"/>
    <x v="0"/>
    <x v="0"/>
    <x v="1"/>
    <s v="DK2_Medium"/>
    <x v="9"/>
    <s v="GNR_BO_WOODWST_E-82"/>
    <x v="0"/>
    <x v="2"/>
    <n v="0.85365853658536595"/>
    <n v="311.58536585365903"/>
    <n v="1121.7073170731701"/>
  </r>
  <r>
    <x v="0"/>
    <x v="0"/>
    <x v="0"/>
    <x v="0"/>
    <x v="1"/>
    <s v="DK2_Medium"/>
    <x v="9"/>
    <s v="GNR_BO_WOODWST_E-82"/>
    <x v="0"/>
    <x v="3"/>
    <n v="0.85365853658536595"/>
    <n v="311.58536585365903"/>
    <n v="1121.7073170731701"/>
  </r>
  <r>
    <x v="0"/>
    <x v="0"/>
    <x v="0"/>
    <x v="0"/>
    <x v="1"/>
    <s v="DK2_Medium"/>
    <x v="9"/>
    <s v="GNR_BO_WOODWST_E-82"/>
    <x v="0"/>
    <x v="4"/>
    <n v="0.85365853658536595"/>
    <n v="311.58536585365903"/>
    <n v="1121.7073170731701"/>
  </r>
  <r>
    <x v="0"/>
    <x v="0"/>
    <x v="0"/>
    <x v="0"/>
    <x v="1"/>
    <s v="DK2_Medium"/>
    <x v="9"/>
    <s v="GNR_BO_WOODWST_E-82"/>
    <x v="0"/>
    <x v="5"/>
    <n v="0.85365853658536595"/>
    <n v="311.58536585365903"/>
    <n v="1121.7073170731701"/>
  </r>
  <r>
    <x v="0"/>
    <x v="0"/>
    <x v="0"/>
    <x v="0"/>
    <x v="1"/>
    <s v="DK2_Medium"/>
    <x v="9"/>
    <s v="GNR_BO_WOODWST_E-82"/>
    <x v="0"/>
    <x v="6"/>
    <n v="0.85365853658536595"/>
    <n v="311.58536585365903"/>
    <n v="1121.7073170731701"/>
  </r>
  <r>
    <x v="0"/>
    <x v="0"/>
    <x v="0"/>
    <x v="0"/>
    <x v="1"/>
    <s v="DK2_Medium"/>
    <x v="9"/>
    <s v="GNR_BO_WOODWST_E-82"/>
    <x v="0"/>
    <x v="7"/>
    <n v="0.85365853658536595"/>
    <n v="311.58536585365903"/>
    <n v="1121.7073170731701"/>
  </r>
  <r>
    <x v="0"/>
    <x v="0"/>
    <x v="0"/>
    <x v="0"/>
    <x v="1"/>
    <s v="DK2_Medium"/>
    <x v="9"/>
    <s v="GNR_BO_WOODWST_E-82"/>
    <x v="0"/>
    <x v="8"/>
    <n v="0.85365853658536595"/>
    <n v="311.58536585365903"/>
    <n v="1121.7073170731701"/>
  </r>
  <r>
    <x v="0"/>
    <x v="0"/>
    <x v="0"/>
    <x v="0"/>
    <x v="1"/>
    <s v="DK2_Medium"/>
    <x v="9"/>
    <s v="GNR_BO_WOODWST_E-82"/>
    <x v="0"/>
    <x v="9"/>
    <n v="0.85365853658536595"/>
    <n v="311.58536585365903"/>
    <n v="1121.7073170731701"/>
  </r>
  <r>
    <x v="0"/>
    <x v="0"/>
    <x v="0"/>
    <x v="0"/>
    <x v="1"/>
    <s v="DK2_Medium"/>
    <x v="9"/>
    <s v="GNR_BO_WOODWST_E-82"/>
    <x v="0"/>
    <x v="10"/>
    <n v="0.85365853658536595"/>
    <n v="311.58536585365903"/>
    <n v="1121.7073170731701"/>
  </r>
  <r>
    <x v="0"/>
    <x v="0"/>
    <x v="0"/>
    <x v="0"/>
    <x v="1"/>
    <s v="DK2_Medium"/>
    <x v="9"/>
    <s v="GNR_BO_WOODWST_E-82"/>
    <x v="0"/>
    <x v="11"/>
    <n v="0.85365853658536595"/>
    <n v="311.58536585365903"/>
    <n v="1121.7073170731701"/>
  </r>
  <r>
    <x v="0"/>
    <x v="0"/>
    <x v="0"/>
    <x v="0"/>
    <x v="1"/>
    <s v="DK2_Medium"/>
    <x v="9"/>
    <s v="GNR_BO_WOODWST_E-82"/>
    <x v="0"/>
    <x v="12"/>
    <n v="0.85365853658536595"/>
    <n v="311.58536585365903"/>
    <n v="1121.7073170731701"/>
  </r>
  <r>
    <x v="0"/>
    <x v="0"/>
    <x v="0"/>
    <x v="0"/>
    <x v="1"/>
    <s v="DK2_Medium"/>
    <x v="9"/>
    <s v="GNR_BO_WOODWST_E-82"/>
    <x v="0"/>
    <x v="13"/>
    <n v="0.85365853658536595"/>
    <n v="311.58536585365903"/>
    <n v="1121.7073170731701"/>
  </r>
  <r>
    <x v="0"/>
    <x v="0"/>
    <x v="0"/>
    <x v="0"/>
    <x v="1"/>
    <s v="DK2_Medium"/>
    <x v="9"/>
    <s v="GNR_BO_WOODWST_E-82"/>
    <x v="0"/>
    <x v="14"/>
    <n v="0.85365853658536595"/>
    <n v="311.58536585365903"/>
    <n v="1121.7073170731701"/>
  </r>
  <r>
    <x v="0"/>
    <x v="0"/>
    <x v="0"/>
    <x v="0"/>
    <x v="1"/>
    <s v="DK2_Medium"/>
    <x v="9"/>
    <s v="GNR_BO_WOODWST_E-82"/>
    <x v="0"/>
    <x v="15"/>
    <n v="0.85365853658536595"/>
    <n v="311.58536585365903"/>
    <n v="1121.7073170731701"/>
  </r>
  <r>
    <x v="0"/>
    <x v="0"/>
    <x v="0"/>
    <x v="0"/>
    <x v="1"/>
    <s v="DK2_Medium"/>
    <x v="9"/>
    <s v="GNR_BO_WOODWST_E-82"/>
    <x v="0"/>
    <x v="16"/>
    <n v="0.85365853658536595"/>
    <n v="311.58536585365903"/>
    <n v="1121.7073170731701"/>
  </r>
  <r>
    <x v="0"/>
    <x v="0"/>
    <x v="0"/>
    <x v="0"/>
    <x v="1"/>
    <s v="DK2_Medium"/>
    <x v="9"/>
    <s v="GNR_BO_WOODWST_E-82"/>
    <x v="0"/>
    <x v="17"/>
    <n v="0.85365853658536595"/>
    <n v="311.58536585365903"/>
    <n v="1121.7073170731701"/>
  </r>
  <r>
    <x v="0"/>
    <x v="0"/>
    <x v="0"/>
    <x v="0"/>
    <x v="1"/>
    <s v="DK2_Medium"/>
    <x v="9"/>
    <s v="GNR_BO_WOODWST_E-82"/>
    <x v="0"/>
    <x v="19"/>
    <n v="0.85365853658536595"/>
    <n v="311.58536585365903"/>
    <n v="1121.7073170731701"/>
  </r>
  <r>
    <x v="0"/>
    <x v="0"/>
    <x v="0"/>
    <x v="0"/>
    <x v="1"/>
    <s v="DK2_Medium"/>
    <x v="9"/>
    <s v="GNR_BO_WOODWST_E-82"/>
    <x v="0"/>
    <x v="20"/>
    <n v="0.85365853658536595"/>
    <n v="311.58536585365903"/>
    <n v="1121.7073170731701"/>
  </r>
  <r>
    <x v="0"/>
    <x v="0"/>
    <x v="0"/>
    <x v="0"/>
    <x v="1"/>
    <s v="DK2_Medium"/>
    <x v="9"/>
    <s v="GNR_BO_WOODWST_E-82"/>
    <x v="0"/>
    <x v="21"/>
    <n v="0.85365853658536595"/>
    <n v="311.58536585365903"/>
    <n v="1121.7073170731701"/>
  </r>
  <r>
    <x v="0"/>
    <x v="0"/>
    <x v="0"/>
    <x v="0"/>
    <x v="1"/>
    <s v="DK2_Medium"/>
    <x v="9"/>
    <s v="GNR_BO_WOODWST_E-82"/>
    <x v="0"/>
    <x v="22"/>
    <n v="0.85365853658536595"/>
    <n v="311.58536585365903"/>
    <n v="1121.7073170731701"/>
  </r>
  <r>
    <x v="0"/>
    <x v="0"/>
    <x v="0"/>
    <x v="0"/>
    <x v="1"/>
    <s v="DK2_Medium"/>
    <x v="9"/>
    <s v="GNR_BO_WOODWST_E-82"/>
    <x v="0"/>
    <x v="23"/>
    <n v="0.85365853658536595"/>
    <n v="311.58536585365903"/>
    <n v="1121.7073170731701"/>
  </r>
  <r>
    <x v="0"/>
    <x v="0"/>
    <x v="0"/>
    <x v="0"/>
    <x v="1"/>
    <s v="DK2_NoDH"/>
    <x v="6"/>
    <s v="GNR_PV_SUN"/>
    <x v="0"/>
    <x v="7"/>
    <n v="5.89448093338929"/>
    <n v="2151.4855406870902"/>
    <n v="7745.3479464735301"/>
  </r>
  <r>
    <x v="0"/>
    <x v="0"/>
    <x v="0"/>
    <x v="0"/>
    <x v="1"/>
    <s v="DK2_NoDH"/>
    <x v="6"/>
    <s v="GNR_PV_SUN"/>
    <x v="0"/>
    <x v="8"/>
    <n v="44.374861590848603"/>
    <n v="16196.824480659699"/>
    <n v="58308.568130375097"/>
  </r>
  <r>
    <x v="0"/>
    <x v="0"/>
    <x v="0"/>
    <x v="0"/>
    <x v="1"/>
    <s v="DK2_NoDH"/>
    <x v="6"/>
    <s v="GNR_PV_SUN"/>
    <x v="0"/>
    <x v="9"/>
    <n v="102.50351202627201"/>
    <n v="37413.781889589402"/>
    <n v="134689.614802522"/>
  </r>
  <r>
    <x v="0"/>
    <x v="0"/>
    <x v="0"/>
    <x v="0"/>
    <x v="1"/>
    <s v="DK2_NoDH"/>
    <x v="6"/>
    <s v="GNR_PV_SUN"/>
    <x v="0"/>
    <x v="10"/>
    <n v="156.09794635908901"/>
    <n v="56975.750421067401"/>
    <n v="205112.70151584299"/>
  </r>
  <r>
    <x v="0"/>
    <x v="0"/>
    <x v="0"/>
    <x v="0"/>
    <x v="1"/>
    <s v="DK2_NoDH"/>
    <x v="6"/>
    <s v="GNR_PV_SUN"/>
    <x v="0"/>
    <x v="11"/>
    <n v="177.469218256044"/>
    <n v="64776.264663456001"/>
    <n v="233194.55278844101"/>
  </r>
  <r>
    <x v="0"/>
    <x v="0"/>
    <x v="0"/>
    <x v="0"/>
    <x v="1"/>
    <s v="DK2_NoDH"/>
    <x v="6"/>
    <s v="GNR_PV_SUN"/>
    <x v="0"/>
    <x v="12"/>
    <n v="154.314488025397"/>
    <n v="56324.788129269698"/>
    <n v="202769.23726537099"/>
  </r>
  <r>
    <x v="0"/>
    <x v="0"/>
    <x v="0"/>
    <x v="0"/>
    <x v="1"/>
    <s v="DK2_NoDH"/>
    <x v="6"/>
    <s v="GNR_PV_SUN"/>
    <x v="0"/>
    <x v="13"/>
    <n v="100.41777261907301"/>
    <n v="36652.487005961601"/>
    <n v="131948.953221462"/>
  </r>
  <r>
    <x v="0"/>
    <x v="0"/>
    <x v="0"/>
    <x v="0"/>
    <x v="1"/>
    <s v="DK2_NoDH"/>
    <x v="6"/>
    <s v="GNR_PV_SUN"/>
    <x v="0"/>
    <x v="14"/>
    <n v="50.843676563901496"/>
    <n v="18557.941945824001"/>
    <n v="66808.591004966496"/>
  </r>
  <r>
    <x v="0"/>
    <x v="0"/>
    <x v="0"/>
    <x v="0"/>
    <x v="1"/>
    <s v="DK2_NoDH"/>
    <x v="6"/>
    <s v="GNR_PV_SUN"/>
    <x v="0"/>
    <x v="15"/>
    <n v="6.61995550980643"/>
    <n v="2416.2837610793499"/>
    <n v="8698.6215398856493"/>
  </r>
  <r>
    <x v="0"/>
    <x v="0"/>
    <x v="0"/>
    <x v="0"/>
    <x v="1"/>
    <s v="DK2_NoDH"/>
    <x v="7"/>
    <s v="GNR_ROR_WTR"/>
    <x v="0"/>
    <x v="0"/>
    <n v="8.2531860285989002E-3"/>
    <n v="3.0124129004386"/>
    <n v="10.844686441579"/>
  </r>
  <r>
    <x v="0"/>
    <x v="0"/>
    <x v="0"/>
    <x v="0"/>
    <x v="1"/>
    <s v="DK2_NoDH"/>
    <x v="7"/>
    <s v="GNR_ROR_WTR"/>
    <x v="0"/>
    <x v="1"/>
    <n v="8.2531860285989002E-3"/>
    <n v="3.0124129004386"/>
    <n v="10.844686441579"/>
  </r>
  <r>
    <x v="0"/>
    <x v="0"/>
    <x v="0"/>
    <x v="0"/>
    <x v="1"/>
    <s v="DK2_NoDH"/>
    <x v="7"/>
    <s v="GNR_ROR_WTR"/>
    <x v="0"/>
    <x v="2"/>
    <n v="8.2531860285989002E-3"/>
    <n v="3.0124129004386"/>
    <n v="10.844686441579"/>
  </r>
  <r>
    <x v="0"/>
    <x v="0"/>
    <x v="0"/>
    <x v="0"/>
    <x v="1"/>
    <s v="DK2_NoDH"/>
    <x v="7"/>
    <s v="GNR_ROR_WTR"/>
    <x v="0"/>
    <x v="3"/>
    <n v="8.2531860285989002E-3"/>
    <n v="3.0124129004386"/>
    <n v="10.844686441579"/>
  </r>
  <r>
    <x v="0"/>
    <x v="0"/>
    <x v="0"/>
    <x v="0"/>
    <x v="1"/>
    <s v="DK2_NoDH"/>
    <x v="7"/>
    <s v="GNR_ROR_WTR"/>
    <x v="0"/>
    <x v="18"/>
    <n v="8.2531860285989002E-3"/>
    <n v="3.0124129004386"/>
    <n v="10.844686441579"/>
  </r>
  <r>
    <x v="0"/>
    <x v="0"/>
    <x v="0"/>
    <x v="0"/>
    <x v="1"/>
    <s v="DK2_NoDH"/>
    <x v="7"/>
    <s v="GNR_ROR_WTR"/>
    <x v="0"/>
    <x v="4"/>
    <n v="8.2531860285989002E-3"/>
    <n v="3.0124129004386"/>
    <n v="10.844686441579"/>
  </r>
  <r>
    <x v="0"/>
    <x v="0"/>
    <x v="0"/>
    <x v="0"/>
    <x v="1"/>
    <s v="DK2_NoDH"/>
    <x v="7"/>
    <s v="GNR_ROR_WTR"/>
    <x v="0"/>
    <x v="5"/>
    <n v="8.2531860285989002E-3"/>
    <n v="3.0124129004386"/>
    <n v="10.844686441579"/>
  </r>
  <r>
    <x v="0"/>
    <x v="0"/>
    <x v="0"/>
    <x v="0"/>
    <x v="1"/>
    <s v="DK2_NoDH"/>
    <x v="7"/>
    <s v="GNR_ROR_WTR"/>
    <x v="0"/>
    <x v="6"/>
    <n v="8.2531860285989002E-3"/>
    <n v="3.0124129004386"/>
    <n v="10.844686441579"/>
  </r>
  <r>
    <x v="0"/>
    <x v="0"/>
    <x v="0"/>
    <x v="0"/>
    <x v="1"/>
    <s v="DK2_NoDH"/>
    <x v="7"/>
    <s v="GNR_ROR_WTR"/>
    <x v="0"/>
    <x v="7"/>
    <n v="8.2531860285989002E-3"/>
    <n v="3.0124129004386"/>
    <n v="10.844686441579"/>
  </r>
  <r>
    <x v="0"/>
    <x v="0"/>
    <x v="0"/>
    <x v="0"/>
    <x v="1"/>
    <s v="DK2_NoDH"/>
    <x v="7"/>
    <s v="GNR_ROR_WTR"/>
    <x v="0"/>
    <x v="8"/>
    <n v="8.2531860285989002E-3"/>
    <n v="3.0124129004386"/>
    <n v="10.844686441579"/>
  </r>
  <r>
    <x v="0"/>
    <x v="0"/>
    <x v="0"/>
    <x v="0"/>
    <x v="1"/>
    <s v="DK2_NoDH"/>
    <x v="7"/>
    <s v="GNR_ROR_WTR"/>
    <x v="0"/>
    <x v="9"/>
    <n v="8.2531860285989002E-3"/>
    <n v="3.0124129004386"/>
    <n v="10.844686441579"/>
  </r>
  <r>
    <x v="0"/>
    <x v="0"/>
    <x v="0"/>
    <x v="0"/>
    <x v="1"/>
    <s v="DK2_NoDH"/>
    <x v="7"/>
    <s v="GNR_ROR_WTR"/>
    <x v="0"/>
    <x v="10"/>
    <n v="8.2531860285989002E-3"/>
    <n v="3.0124129004386"/>
    <n v="10.844686441579"/>
  </r>
  <r>
    <x v="0"/>
    <x v="0"/>
    <x v="0"/>
    <x v="0"/>
    <x v="1"/>
    <s v="DK2_NoDH"/>
    <x v="7"/>
    <s v="GNR_ROR_WTR"/>
    <x v="0"/>
    <x v="11"/>
    <n v="8.2531860285989002E-3"/>
    <n v="3.0124129004386"/>
    <n v="10.844686441579"/>
  </r>
  <r>
    <x v="0"/>
    <x v="0"/>
    <x v="0"/>
    <x v="0"/>
    <x v="1"/>
    <s v="DK2_NoDH"/>
    <x v="7"/>
    <s v="GNR_ROR_WTR"/>
    <x v="0"/>
    <x v="12"/>
    <n v="8.2531860285989002E-3"/>
    <n v="3.0124129004386"/>
    <n v="10.844686441579"/>
  </r>
  <r>
    <x v="0"/>
    <x v="0"/>
    <x v="0"/>
    <x v="0"/>
    <x v="1"/>
    <s v="DK2_NoDH"/>
    <x v="7"/>
    <s v="GNR_ROR_WTR"/>
    <x v="0"/>
    <x v="13"/>
    <n v="8.2531860285989002E-3"/>
    <n v="3.0124129004386"/>
    <n v="10.844686441579"/>
  </r>
  <r>
    <x v="0"/>
    <x v="0"/>
    <x v="0"/>
    <x v="0"/>
    <x v="1"/>
    <s v="DK2_NoDH"/>
    <x v="7"/>
    <s v="GNR_ROR_WTR"/>
    <x v="0"/>
    <x v="14"/>
    <n v="8.2531860285989002E-3"/>
    <n v="3.0124129004386"/>
    <n v="10.844686441579"/>
  </r>
  <r>
    <x v="0"/>
    <x v="0"/>
    <x v="0"/>
    <x v="0"/>
    <x v="1"/>
    <s v="DK2_NoDH"/>
    <x v="7"/>
    <s v="GNR_ROR_WTR"/>
    <x v="0"/>
    <x v="15"/>
    <n v="8.2531860285989002E-3"/>
    <n v="3.0124129004386"/>
    <n v="10.844686441579"/>
  </r>
  <r>
    <x v="0"/>
    <x v="0"/>
    <x v="0"/>
    <x v="0"/>
    <x v="1"/>
    <s v="DK2_NoDH"/>
    <x v="7"/>
    <s v="GNR_ROR_WTR"/>
    <x v="0"/>
    <x v="16"/>
    <n v="8.2531860285989002E-3"/>
    <n v="3.0124129004386"/>
    <n v="10.844686441579"/>
  </r>
  <r>
    <x v="0"/>
    <x v="0"/>
    <x v="0"/>
    <x v="0"/>
    <x v="1"/>
    <s v="DK2_NoDH"/>
    <x v="7"/>
    <s v="GNR_ROR_WTR"/>
    <x v="0"/>
    <x v="17"/>
    <n v="8.2531860285989002E-3"/>
    <n v="3.0124129004386"/>
    <n v="10.844686441579"/>
  </r>
  <r>
    <x v="0"/>
    <x v="0"/>
    <x v="0"/>
    <x v="0"/>
    <x v="1"/>
    <s v="DK2_NoDH"/>
    <x v="7"/>
    <s v="GNR_ROR_WTR"/>
    <x v="0"/>
    <x v="19"/>
    <n v="8.2531860285989002E-3"/>
    <n v="3.0124129004386"/>
    <n v="10.844686441579"/>
  </r>
  <r>
    <x v="0"/>
    <x v="0"/>
    <x v="0"/>
    <x v="0"/>
    <x v="1"/>
    <s v="DK2_NoDH"/>
    <x v="7"/>
    <s v="GNR_ROR_WTR"/>
    <x v="0"/>
    <x v="20"/>
    <n v="8.2531860285989002E-3"/>
    <n v="3.0124129004386"/>
    <n v="10.844686441579"/>
  </r>
  <r>
    <x v="0"/>
    <x v="0"/>
    <x v="0"/>
    <x v="0"/>
    <x v="1"/>
    <s v="DK2_NoDH"/>
    <x v="7"/>
    <s v="GNR_ROR_WTR"/>
    <x v="0"/>
    <x v="21"/>
    <n v="8.2531860285989002E-3"/>
    <n v="3.0124129004386"/>
    <n v="10.844686441579"/>
  </r>
  <r>
    <x v="0"/>
    <x v="0"/>
    <x v="0"/>
    <x v="0"/>
    <x v="1"/>
    <s v="DK2_NoDH"/>
    <x v="7"/>
    <s v="GNR_ROR_WTR"/>
    <x v="0"/>
    <x v="22"/>
    <n v="8.2531860285989002E-3"/>
    <n v="3.0124129004386"/>
    <n v="10.844686441579"/>
  </r>
  <r>
    <x v="0"/>
    <x v="0"/>
    <x v="0"/>
    <x v="0"/>
    <x v="1"/>
    <s v="DK2_NoDH"/>
    <x v="7"/>
    <s v="GNR_ROR_WTR"/>
    <x v="0"/>
    <x v="23"/>
    <n v="8.2531860285989002E-3"/>
    <n v="3.0124129004386"/>
    <n v="10.844686441579"/>
  </r>
  <r>
    <x v="0"/>
    <x v="0"/>
    <x v="0"/>
    <x v="0"/>
    <x v="1"/>
    <s v="DK2_NoDH"/>
    <x v="8"/>
    <s v="GNR_WT_WIND_ONS"/>
    <x v="0"/>
    <x v="0"/>
    <n v="56.727540341350497"/>
    <n v="20705.552224592899"/>
    <n v="74539.988008534594"/>
  </r>
  <r>
    <x v="0"/>
    <x v="0"/>
    <x v="0"/>
    <x v="0"/>
    <x v="1"/>
    <s v="DK2_NoDH"/>
    <x v="8"/>
    <s v="GNR_WT_WIND_ONS"/>
    <x v="0"/>
    <x v="1"/>
    <n v="68.073048409620696"/>
    <n v="24846.662669511501"/>
    <n v="89447.985610241507"/>
  </r>
  <r>
    <x v="0"/>
    <x v="0"/>
    <x v="0"/>
    <x v="0"/>
    <x v="1"/>
    <s v="DK2_NoDH"/>
    <x v="8"/>
    <s v="GNR_WT_WIND_ONS"/>
    <x v="0"/>
    <x v="2"/>
    <n v="66.452261542724898"/>
    <n v="24255.075463094599"/>
    <n v="87318.271667140594"/>
  </r>
  <r>
    <x v="0"/>
    <x v="0"/>
    <x v="0"/>
    <x v="0"/>
    <x v="1"/>
    <s v="DK2_NoDH"/>
    <x v="8"/>
    <s v="GNR_WT_WIND_ONS"/>
    <x v="0"/>
    <x v="3"/>
    <n v="62.400294375485601"/>
    <n v="22776.1074470522"/>
    <n v="81993.986809388094"/>
  </r>
  <r>
    <x v="0"/>
    <x v="0"/>
    <x v="0"/>
    <x v="0"/>
    <x v="1"/>
    <s v="DK2_NoDH"/>
    <x v="8"/>
    <s v="GNR_WT_WIND_ONS"/>
    <x v="0"/>
    <x v="18"/>
    <n v="46.192425706528297"/>
    <n v="16860.235382882802"/>
    <n v="60696.847378378203"/>
  </r>
  <r>
    <x v="0"/>
    <x v="0"/>
    <x v="0"/>
    <x v="0"/>
    <x v="1"/>
    <s v="DK2_NoDH"/>
    <x v="8"/>
    <s v="GNR_WT_WIND_ONS"/>
    <x v="0"/>
    <x v="4"/>
    <n v="26.7429833037795"/>
    <n v="9761.1889058795296"/>
    <n v="35140.280061166297"/>
  </r>
  <r>
    <x v="0"/>
    <x v="0"/>
    <x v="0"/>
    <x v="0"/>
    <x v="1"/>
    <s v="DK2_NoDH"/>
    <x v="8"/>
    <s v="GNR_WT_WIND_ONS"/>
    <x v="0"/>
    <x v="5"/>
    <n v="5.6727540341350497"/>
    <n v="2070.5552224592898"/>
    <n v="7453.9988008534601"/>
  </r>
  <r>
    <x v="0"/>
    <x v="0"/>
    <x v="0"/>
    <x v="0"/>
    <x v="1"/>
    <s v="DK2_NoDH"/>
    <x v="8"/>
    <s v="GNR_WT_WIND_ONS"/>
    <x v="0"/>
    <x v="6"/>
    <n v="4.0519671672393196"/>
    <n v="1478.96801604235"/>
    <n v="5324.2848577524701"/>
  </r>
  <r>
    <x v="0"/>
    <x v="0"/>
    <x v="0"/>
    <x v="0"/>
    <x v="1"/>
    <s v="DK2_NoDH"/>
    <x v="8"/>
    <s v="GNR_WT_WIND_ONS"/>
    <x v="0"/>
    <x v="7"/>
    <n v="5.6727540341350497"/>
    <n v="2070.5552224592898"/>
    <n v="7453.9988008534601"/>
  </r>
  <r>
    <x v="0"/>
    <x v="0"/>
    <x v="0"/>
    <x v="0"/>
    <x v="1"/>
    <s v="DK2_NoDH"/>
    <x v="8"/>
    <s v="GNR_WT_WIND_ONS"/>
    <x v="0"/>
    <x v="8"/>
    <n v="26.7429833037795"/>
    <n v="9761.1889058795296"/>
    <n v="35140.280061166297"/>
  </r>
  <r>
    <x v="0"/>
    <x v="0"/>
    <x v="0"/>
    <x v="0"/>
    <x v="1"/>
    <s v="DK2_NoDH"/>
    <x v="8"/>
    <s v="GNR_WT_WIND_ONS"/>
    <x v="0"/>
    <x v="9"/>
    <n v="62.400294375485601"/>
    <n v="22776.1074470522"/>
    <n v="81993.986809388094"/>
  </r>
  <r>
    <x v="0"/>
    <x v="0"/>
    <x v="0"/>
    <x v="0"/>
    <x v="1"/>
    <s v="DK2_NoDH"/>
    <x v="8"/>
    <s v="GNR_WT_WIND_ONS"/>
    <x v="0"/>
    <x v="10"/>
    <n v="96.436818580295906"/>
    <n v="35199.438781807999"/>
    <n v="126717.97961450899"/>
  </r>
  <r>
    <x v="0"/>
    <x v="0"/>
    <x v="0"/>
    <x v="0"/>
    <x v="1"/>
    <s v="DK2_NoDH"/>
    <x v="8"/>
    <s v="GNR_WT_WIND_ONS"/>
    <x v="0"/>
    <x v="11"/>
    <n v="111.834293815805"/>
    <n v="40819.517242768998"/>
    <n v="146950.26207396801"/>
  </r>
  <r>
    <x v="0"/>
    <x v="0"/>
    <x v="0"/>
    <x v="0"/>
    <x v="1"/>
    <s v="DK2_NoDH"/>
    <x v="8"/>
    <s v="GNR_WT_WIND_ONS"/>
    <x v="0"/>
    <x v="12"/>
    <n v="128.042162484763"/>
    <n v="46735.389306938399"/>
    <n v="168247.40150497801"/>
  </r>
  <r>
    <x v="0"/>
    <x v="0"/>
    <x v="0"/>
    <x v="0"/>
    <x v="1"/>
    <s v="DK2_NoDH"/>
    <x v="8"/>
    <s v="GNR_WT_WIND_ONS"/>
    <x v="0"/>
    <x v="13"/>
    <n v="128.042162484763"/>
    <n v="46735.389306938399"/>
    <n v="168247.40150497801"/>
  </r>
  <r>
    <x v="0"/>
    <x v="0"/>
    <x v="0"/>
    <x v="0"/>
    <x v="1"/>
    <s v="DK2_NoDH"/>
    <x v="8"/>
    <s v="GNR_WT_WIND_ONS"/>
    <x v="0"/>
    <x v="14"/>
    <n v="202.59835836196601"/>
    <n v="73948.4008021177"/>
    <n v="266214.24288762402"/>
  </r>
  <r>
    <x v="0"/>
    <x v="0"/>
    <x v="0"/>
    <x v="0"/>
    <x v="1"/>
    <s v="DK2_NoDH"/>
    <x v="8"/>
    <s v="GNR_WT_WIND_ONS"/>
    <x v="0"/>
    <x v="15"/>
    <n v="261.75707900366001"/>
    <n v="95541.333836335994"/>
    <n v="343948.80181080999"/>
  </r>
  <r>
    <x v="0"/>
    <x v="0"/>
    <x v="0"/>
    <x v="0"/>
    <x v="1"/>
    <s v="DK2_NoDH"/>
    <x v="8"/>
    <s v="GNR_WT_WIND_ONS"/>
    <x v="0"/>
    <x v="16"/>
    <n v="258.51550526986898"/>
    <n v="94358.159423502206"/>
    <n v="339689.37392460799"/>
  </r>
  <r>
    <x v="0"/>
    <x v="0"/>
    <x v="0"/>
    <x v="0"/>
    <x v="1"/>
    <s v="DK2_NoDH"/>
    <x v="8"/>
    <s v="GNR_WT_WIND_ONS"/>
    <x v="0"/>
    <x v="17"/>
    <n v="353.33153698326902"/>
    <n v="128966.01099889301"/>
    <n v="464277.63959601597"/>
  </r>
  <r>
    <x v="0"/>
    <x v="0"/>
    <x v="0"/>
    <x v="0"/>
    <x v="1"/>
    <s v="DK2_NoDH"/>
    <x v="8"/>
    <s v="GNR_WT_WIND_ONS"/>
    <x v="0"/>
    <x v="19"/>
    <n v="525.94533830766397"/>
    <n v="191970.04848229699"/>
    <n v="691092.17453627102"/>
  </r>
  <r>
    <x v="0"/>
    <x v="0"/>
    <x v="0"/>
    <x v="0"/>
    <x v="1"/>
    <s v="DK2_NoDH"/>
    <x v="8"/>
    <s v="GNR_WT_WIND_ONS"/>
    <x v="0"/>
    <x v="20"/>
    <n v="609.41586195279399"/>
    <n v="222436.78961276999"/>
    <n v="800772.44260597206"/>
  </r>
  <r>
    <x v="0"/>
    <x v="0"/>
    <x v="0"/>
    <x v="0"/>
    <x v="1"/>
    <s v="DK2_NoDH"/>
    <x v="8"/>
    <s v="GNR_WT_WIND_ONS"/>
    <x v="0"/>
    <x v="21"/>
    <n v="657.22907452621803"/>
    <n v="239888.61220207001"/>
    <n v="863599.00392745098"/>
  </r>
  <r>
    <x v="0"/>
    <x v="0"/>
    <x v="0"/>
    <x v="0"/>
    <x v="1"/>
    <s v="DK2_NoDH"/>
    <x v="8"/>
    <s v="GNR_WT_WIND_ONS"/>
    <x v="0"/>
    <x v="22"/>
    <n v="667.76418916104103"/>
    <n v="243733.92904377999"/>
    <n v="877442.14455760701"/>
  </r>
  <r>
    <x v="0"/>
    <x v="0"/>
    <x v="0"/>
    <x v="0"/>
    <x v="1"/>
    <s v="DK2_NoDH"/>
    <x v="8"/>
    <s v="GNR_WT_WIND_ONS"/>
    <x v="0"/>
    <x v="23"/>
    <n v="695.31756589826796"/>
    <n v="253790.911552868"/>
    <n v="913647.28159032401"/>
  </r>
  <r>
    <x v="0"/>
    <x v="0"/>
    <x v="0"/>
    <x v="0"/>
    <x v="1"/>
    <s v="DK2_Offshore"/>
    <x v="8"/>
    <s v="GNR_WT_WIND_OFF"/>
    <x v="0"/>
    <x v="0"/>
    <n v="59.000474158369002"/>
    <n v="21535.173067804699"/>
    <n v="77526.623044096894"/>
  </r>
  <r>
    <x v="0"/>
    <x v="0"/>
    <x v="0"/>
    <x v="0"/>
    <x v="1"/>
    <s v="DK2_Offshore"/>
    <x v="8"/>
    <s v="GNR_WT_WIND_OFF"/>
    <x v="0"/>
    <x v="1"/>
    <n v="70.800568990042805"/>
    <n v="25842.207681365599"/>
    <n v="93031.947652916293"/>
  </r>
  <r>
    <x v="0"/>
    <x v="0"/>
    <x v="0"/>
    <x v="0"/>
    <x v="1"/>
    <s v="DK2_Offshore"/>
    <x v="8"/>
    <s v="GNR_WT_WIND_OFF"/>
    <x v="0"/>
    <x v="2"/>
    <n v="69.114841156946596"/>
    <n v="25226.917022285499"/>
    <n v="90816.901280227801"/>
  </r>
  <r>
    <x v="0"/>
    <x v="0"/>
    <x v="0"/>
    <x v="0"/>
    <x v="1"/>
    <s v="DK2_Offshore"/>
    <x v="8"/>
    <s v="GNR_WT_WIND_OFF"/>
    <x v="0"/>
    <x v="3"/>
    <n v="64.900521574205897"/>
    <n v="23688.6903745852"/>
    <n v="85279.285348506601"/>
  </r>
  <r>
    <x v="0"/>
    <x v="0"/>
    <x v="0"/>
    <x v="0"/>
    <x v="1"/>
    <s v="DK2_Offshore"/>
    <x v="8"/>
    <s v="GNR_WT_WIND_OFF"/>
    <x v="0"/>
    <x v="18"/>
    <n v="48.043243243243403"/>
    <n v="17535.783783783801"/>
    <n v="63128.821621621799"/>
  </r>
  <r>
    <x v="0"/>
    <x v="0"/>
    <x v="0"/>
    <x v="0"/>
    <x v="1"/>
    <s v="DK2_Offshore"/>
    <x v="8"/>
    <s v="GNR_WT_WIND_OFF"/>
    <x v="0"/>
    <x v="4"/>
    <n v="27.814509246088299"/>
    <n v="10152.295874822201"/>
    <n v="36548.265149359999"/>
  </r>
  <r>
    <x v="0"/>
    <x v="0"/>
    <x v="0"/>
    <x v="0"/>
    <x v="1"/>
    <s v="DK2_Offshore"/>
    <x v="8"/>
    <s v="GNR_WT_WIND_OFF"/>
    <x v="0"/>
    <x v="5"/>
    <n v="5.9000474158368998"/>
    <n v="2153.5173067804699"/>
    <n v="7752.6623044096896"/>
  </r>
  <r>
    <x v="0"/>
    <x v="0"/>
    <x v="0"/>
    <x v="0"/>
    <x v="1"/>
    <s v="DK2_Offshore"/>
    <x v="8"/>
    <s v="GNR_WT_WIND_OFF"/>
    <x v="0"/>
    <x v="6"/>
    <n v="4.2143195827406403"/>
    <n v="1538.22664770034"/>
    <n v="5537.6159317212096"/>
  </r>
  <r>
    <x v="0"/>
    <x v="0"/>
    <x v="0"/>
    <x v="0"/>
    <x v="1"/>
    <s v="DK2_Offshore"/>
    <x v="8"/>
    <s v="GNR_WT_WIND_OFF"/>
    <x v="0"/>
    <x v="7"/>
    <n v="5.9000474158368998"/>
    <n v="2153.5173067804699"/>
    <n v="7752.6623044096896"/>
  </r>
  <r>
    <x v="0"/>
    <x v="0"/>
    <x v="0"/>
    <x v="0"/>
    <x v="1"/>
    <s v="DK2_Offshore"/>
    <x v="8"/>
    <s v="GNR_WT_WIND_OFF"/>
    <x v="0"/>
    <x v="8"/>
    <n v="27.814509246088299"/>
    <n v="10152.295874822201"/>
    <n v="36548.265149359999"/>
  </r>
  <r>
    <x v="0"/>
    <x v="0"/>
    <x v="0"/>
    <x v="0"/>
    <x v="1"/>
    <s v="DK2_Offshore"/>
    <x v="8"/>
    <s v="GNR_WT_WIND_OFF"/>
    <x v="0"/>
    <x v="9"/>
    <n v="64.900521574205897"/>
    <n v="23688.6903745852"/>
    <n v="85279.285348506601"/>
  </r>
  <r>
    <x v="0"/>
    <x v="0"/>
    <x v="0"/>
    <x v="0"/>
    <x v="1"/>
    <s v="DK2_Offshore"/>
    <x v="8"/>
    <s v="GNR_WT_WIND_OFF"/>
    <x v="0"/>
    <x v="10"/>
    <n v="100.30080606922699"/>
    <n v="36609.794215267997"/>
    <n v="131795.259174965"/>
  </r>
  <r>
    <x v="0"/>
    <x v="0"/>
    <x v="0"/>
    <x v="0"/>
    <x v="1"/>
    <s v="DK2_Offshore"/>
    <x v="8"/>
    <s v="GNR_WT_WIND_OFF"/>
    <x v="0"/>
    <x v="11"/>
    <n v="116.31522048364199"/>
    <n v="42455.055476529298"/>
    <n v="152838.199715505"/>
  </r>
  <r>
    <x v="0"/>
    <x v="0"/>
    <x v="0"/>
    <x v="0"/>
    <x v="1"/>
    <s v="DK2_Offshore"/>
    <x v="8"/>
    <s v="GNR_WT_WIND_OFF"/>
    <x v="0"/>
    <x v="12"/>
    <n v="133.17249881460401"/>
    <n v="48607.962067330598"/>
    <n v="174988.66344239001"/>
  </r>
  <r>
    <x v="0"/>
    <x v="0"/>
    <x v="0"/>
    <x v="0"/>
    <x v="1"/>
    <s v="DK2_Offshore"/>
    <x v="8"/>
    <s v="GNR_WT_WIND_OFF"/>
    <x v="0"/>
    <x v="13"/>
    <n v="133.17249881460401"/>
    <n v="48607.962067330598"/>
    <n v="174988.66344239001"/>
  </r>
  <r>
    <x v="0"/>
    <x v="0"/>
    <x v="0"/>
    <x v="0"/>
    <x v="1"/>
    <s v="DK2_Offshore"/>
    <x v="8"/>
    <s v="GNR_WT_WIND_OFF"/>
    <x v="0"/>
    <x v="14"/>
    <n v="210.71597913703201"/>
    <n v="76911.332385016794"/>
    <n v="276880.79658606002"/>
  </r>
  <r>
    <x v="0"/>
    <x v="0"/>
    <x v="0"/>
    <x v="0"/>
    <x v="1"/>
    <s v="DK2_Offshore"/>
    <x v="8"/>
    <s v="GNR_WT_WIND_OFF"/>
    <x v="0"/>
    <x v="15"/>
    <n v="272.24504504504603"/>
    <n v="99369.441441441697"/>
    <n v="357729.98918918998"/>
  </r>
  <r>
    <x v="0"/>
    <x v="0"/>
    <x v="0"/>
    <x v="0"/>
    <x v="1"/>
    <s v="DK2_Offshore"/>
    <x v="8"/>
    <s v="GNR_WT_WIND_OFF"/>
    <x v="0"/>
    <x v="16"/>
    <n v="268.87358937885301"/>
    <n v="98138.860123281396"/>
    <n v="353299.89644381299"/>
  </r>
  <r>
    <x v="0"/>
    <x v="0"/>
    <x v="0"/>
    <x v="0"/>
    <x v="1"/>
    <s v="DK2_Offshore"/>
    <x v="8"/>
    <s v="GNR_WT_WIND_OFF"/>
    <x v="0"/>
    <x v="17"/>
    <n v="367.48866761498402"/>
    <n v="134133.36367946901"/>
    <n v="482880.10924608901"/>
  </r>
  <r>
    <x v="0"/>
    <x v="0"/>
    <x v="0"/>
    <x v="0"/>
    <x v="1"/>
    <s v="DK2_Offshore"/>
    <x v="8"/>
    <s v="GNR_WT_WIND_OFF"/>
    <x v="0"/>
    <x v="19"/>
    <n v="547.01868183973602"/>
    <n v="199661.81887150399"/>
    <n v="718782.54793741298"/>
  </r>
  <r>
    <x v="0"/>
    <x v="0"/>
    <x v="0"/>
    <x v="0"/>
    <x v="1"/>
    <s v="DK2_Offshore"/>
    <x v="8"/>
    <s v="GNR_WT_WIND_OFF"/>
    <x v="0"/>
    <x v="20"/>
    <n v="633.83366524419296"/>
    <n v="231349.28781412999"/>
    <n v="832857.43613087002"/>
  </r>
  <r>
    <x v="0"/>
    <x v="0"/>
    <x v="0"/>
    <x v="0"/>
    <x v="1"/>
    <s v="DK2_Offshore"/>
    <x v="8"/>
    <s v="GNR_WT_WIND_OFF"/>
    <x v="0"/>
    <x v="21"/>
    <n v="683.56263632053299"/>
    <n v="249500.36225699401"/>
    <n v="898201.30412518"/>
  </r>
  <r>
    <x v="0"/>
    <x v="0"/>
    <x v="0"/>
    <x v="0"/>
    <x v="1"/>
    <s v="DK2_Offshore"/>
    <x v="8"/>
    <s v="GNR_WT_WIND_OFF"/>
    <x v="0"/>
    <x v="22"/>
    <n v="694.51986723565801"/>
    <n v="253499.75154101499"/>
    <n v="912599.10554765502"/>
  </r>
  <r>
    <x v="0"/>
    <x v="0"/>
    <x v="0"/>
    <x v="0"/>
    <x v="1"/>
    <s v="DK2_Offshore"/>
    <x v="8"/>
    <s v="GNR_WT_WIND_OFF"/>
    <x v="0"/>
    <x v="23"/>
    <n v="723.177240398295"/>
    <n v="263959.69274537801"/>
    <n v="950254.89388335904"/>
  </r>
  <r>
    <x v="0"/>
    <x v="0"/>
    <x v="0"/>
    <x v="0"/>
    <x v="1"/>
    <s v="DK2_Rural"/>
    <x v="0"/>
    <s v="GNR_ST_COAL_BP_E-35"/>
    <x v="0"/>
    <x v="0"/>
    <n v="105.71428571428601"/>
    <n v="38585.714285714297"/>
    <n v="138908.57142857101"/>
  </r>
  <r>
    <x v="0"/>
    <x v="0"/>
    <x v="0"/>
    <x v="0"/>
    <x v="1"/>
    <s v="DK2_Rural"/>
    <x v="0"/>
    <s v="GNR_ST_COAL_BP_E-35"/>
    <x v="0"/>
    <x v="1"/>
    <n v="105.71428571428601"/>
    <n v="38585.714285714297"/>
    <n v="138908.57142857101"/>
  </r>
  <r>
    <x v="0"/>
    <x v="0"/>
    <x v="0"/>
    <x v="0"/>
    <x v="1"/>
    <s v="DK2_Rural"/>
    <x v="0"/>
    <s v="GNR_ST_COAL_BP_E-35"/>
    <x v="0"/>
    <x v="2"/>
    <n v="105.71428571428601"/>
    <n v="38585.714285714297"/>
    <n v="138908.57142857101"/>
  </r>
  <r>
    <x v="0"/>
    <x v="0"/>
    <x v="0"/>
    <x v="0"/>
    <x v="1"/>
    <s v="DK2_Rural"/>
    <x v="0"/>
    <s v="GNR_ST_COAL_BP_E-35"/>
    <x v="0"/>
    <x v="3"/>
    <n v="105.71428571428601"/>
    <n v="38585.714285714297"/>
    <n v="138908.57142857101"/>
  </r>
  <r>
    <x v="0"/>
    <x v="0"/>
    <x v="0"/>
    <x v="0"/>
    <x v="1"/>
    <s v="DK2_Rural"/>
    <x v="0"/>
    <s v="GNR_ST_COAL_BP_E-35"/>
    <x v="0"/>
    <x v="18"/>
    <n v="105.71428571428601"/>
    <n v="38585.714285714297"/>
    <n v="138908.57142857101"/>
  </r>
  <r>
    <x v="0"/>
    <x v="0"/>
    <x v="0"/>
    <x v="0"/>
    <x v="1"/>
    <s v="DK2_Rural"/>
    <x v="0"/>
    <s v="GNR_ST_COAL_BP_E-35"/>
    <x v="0"/>
    <x v="4"/>
    <n v="105.71428571428601"/>
    <n v="38585.714285714297"/>
    <n v="138908.57142857101"/>
  </r>
  <r>
    <x v="0"/>
    <x v="0"/>
    <x v="0"/>
    <x v="0"/>
    <x v="1"/>
    <s v="DK2_Rural"/>
    <x v="0"/>
    <s v="GNR_ST_COAL_BP_E-35"/>
    <x v="0"/>
    <x v="5"/>
    <n v="105.71428571428601"/>
    <n v="38585.714285714297"/>
    <n v="138908.57142857101"/>
  </r>
  <r>
    <x v="0"/>
    <x v="0"/>
    <x v="0"/>
    <x v="0"/>
    <x v="1"/>
    <s v="DK2_Rural"/>
    <x v="0"/>
    <s v="GNR_ST_COAL_BP_E-35"/>
    <x v="0"/>
    <x v="6"/>
    <n v="105.71428571428601"/>
    <n v="38585.714285714297"/>
    <n v="138908.57142857101"/>
  </r>
  <r>
    <x v="0"/>
    <x v="0"/>
    <x v="0"/>
    <x v="0"/>
    <x v="1"/>
    <s v="DK2_Rural"/>
    <x v="0"/>
    <s v="GNR_ST_COAL_BP_E-35"/>
    <x v="0"/>
    <x v="7"/>
    <n v="105.71428571428601"/>
    <n v="38585.714285714297"/>
    <n v="138908.57142857101"/>
  </r>
  <r>
    <x v="0"/>
    <x v="0"/>
    <x v="0"/>
    <x v="0"/>
    <x v="1"/>
    <s v="DK2_Rural"/>
    <x v="0"/>
    <s v="GNR_ST_COAL_BP_E-35"/>
    <x v="0"/>
    <x v="8"/>
    <n v="105.71428571428601"/>
    <n v="38585.714285714297"/>
    <n v="138908.57142857101"/>
  </r>
  <r>
    <x v="0"/>
    <x v="0"/>
    <x v="0"/>
    <x v="0"/>
    <x v="1"/>
    <s v="DK2_Rural"/>
    <x v="0"/>
    <s v="GNR_ST_COAL_BP_E-35"/>
    <x v="0"/>
    <x v="9"/>
    <n v="105.71428571428601"/>
    <n v="38585.714285714297"/>
    <n v="138908.57142857101"/>
  </r>
  <r>
    <x v="0"/>
    <x v="0"/>
    <x v="0"/>
    <x v="0"/>
    <x v="1"/>
    <s v="DK2_Rural"/>
    <x v="0"/>
    <s v="GNR_ST_COAL_BP_E-35"/>
    <x v="0"/>
    <x v="10"/>
    <n v="105.71428571428601"/>
    <n v="38585.714285714297"/>
    <n v="138908.57142857101"/>
  </r>
  <r>
    <x v="0"/>
    <x v="0"/>
    <x v="0"/>
    <x v="0"/>
    <x v="1"/>
    <s v="DK2_Rural"/>
    <x v="0"/>
    <s v="GNR_ST_COAL_BP_E-35"/>
    <x v="0"/>
    <x v="11"/>
    <n v="105.71428571428601"/>
    <n v="38585.714285714297"/>
    <n v="138908.57142857101"/>
  </r>
  <r>
    <x v="0"/>
    <x v="0"/>
    <x v="0"/>
    <x v="0"/>
    <x v="1"/>
    <s v="DK2_Rural"/>
    <x v="0"/>
    <s v="GNR_ST_COAL_BP_E-35"/>
    <x v="0"/>
    <x v="12"/>
    <n v="105.71428571428601"/>
    <n v="38585.714285714297"/>
    <n v="138908.57142857101"/>
  </r>
  <r>
    <x v="0"/>
    <x v="0"/>
    <x v="0"/>
    <x v="0"/>
    <x v="1"/>
    <s v="DK2_Rural"/>
    <x v="0"/>
    <s v="GNR_ST_COAL_BP_E-35"/>
    <x v="0"/>
    <x v="13"/>
    <n v="105.71428571428601"/>
    <n v="38585.714285714297"/>
    <n v="138908.57142857101"/>
  </r>
  <r>
    <x v="0"/>
    <x v="0"/>
    <x v="0"/>
    <x v="0"/>
    <x v="1"/>
    <s v="DK2_Rural"/>
    <x v="0"/>
    <s v="GNR_ST_COAL_BP_E-35"/>
    <x v="0"/>
    <x v="14"/>
    <n v="105.71428571428601"/>
    <n v="38585.714285714297"/>
    <n v="138908.57142857101"/>
  </r>
  <r>
    <x v="0"/>
    <x v="0"/>
    <x v="0"/>
    <x v="0"/>
    <x v="1"/>
    <s v="DK2_Rural"/>
    <x v="0"/>
    <s v="GNR_ST_COAL_BP_E-35"/>
    <x v="0"/>
    <x v="15"/>
    <n v="105.71428571428601"/>
    <n v="38585.714285714297"/>
    <n v="138908.57142857101"/>
  </r>
  <r>
    <x v="0"/>
    <x v="0"/>
    <x v="0"/>
    <x v="0"/>
    <x v="1"/>
    <s v="DK2_Rural"/>
    <x v="0"/>
    <s v="GNR_ST_COAL_BP_E-35"/>
    <x v="0"/>
    <x v="16"/>
    <n v="105.71428571428601"/>
    <n v="38585.714285714297"/>
    <n v="138908.57142857101"/>
  </r>
  <r>
    <x v="0"/>
    <x v="0"/>
    <x v="0"/>
    <x v="0"/>
    <x v="1"/>
    <s v="DK2_Rural"/>
    <x v="0"/>
    <s v="GNR_ST_COAL_BP_E-35"/>
    <x v="0"/>
    <x v="17"/>
    <n v="105.71428571428601"/>
    <n v="38585.714285714297"/>
    <n v="138908.57142857101"/>
  </r>
  <r>
    <x v="0"/>
    <x v="0"/>
    <x v="0"/>
    <x v="0"/>
    <x v="1"/>
    <s v="DK2_Rural"/>
    <x v="0"/>
    <s v="GNR_ST_COAL_BP_E-35"/>
    <x v="0"/>
    <x v="19"/>
    <n v="105.71428571428601"/>
    <n v="38585.714285714297"/>
    <n v="138908.57142857101"/>
  </r>
  <r>
    <x v="0"/>
    <x v="0"/>
    <x v="0"/>
    <x v="0"/>
    <x v="1"/>
    <s v="DK2_Rural"/>
    <x v="0"/>
    <s v="GNR_ST_COAL_BP_E-35"/>
    <x v="0"/>
    <x v="20"/>
    <n v="105.71428571428601"/>
    <n v="38585.714285714297"/>
    <n v="138908.57142857101"/>
  </r>
  <r>
    <x v="0"/>
    <x v="0"/>
    <x v="0"/>
    <x v="0"/>
    <x v="1"/>
    <s v="DK2_Rural"/>
    <x v="0"/>
    <s v="GNR_ST_COAL_BP_E-35"/>
    <x v="0"/>
    <x v="21"/>
    <n v="105.71428571428601"/>
    <n v="38585.714285714297"/>
    <n v="138908.57142857101"/>
  </r>
  <r>
    <x v="0"/>
    <x v="0"/>
    <x v="0"/>
    <x v="0"/>
    <x v="1"/>
    <s v="DK2_Rural"/>
    <x v="0"/>
    <s v="GNR_ST_COAL_BP_E-35"/>
    <x v="0"/>
    <x v="22"/>
    <n v="105.71428571428601"/>
    <n v="38585.714285714297"/>
    <n v="138908.57142857101"/>
  </r>
  <r>
    <x v="0"/>
    <x v="0"/>
    <x v="0"/>
    <x v="0"/>
    <x v="1"/>
    <s v="DK2_Rural"/>
    <x v="0"/>
    <s v="GNR_ST_COAL_BP_E-35"/>
    <x v="0"/>
    <x v="23"/>
    <n v="105.71428571428601"/>
    <n v="38585.714285714297"/>
    <n v="138908.57142857101"/>
  </r>
  <r>
    <x v="0"/>
    <x v="0"/>
    <x v="0"/>
    <x v="0"/>
    <x v="1"/>
    <s v="DK2_Rural"/>
    <x v="2"/>
    <s v="GNR_BO_MSW_E-105"/>
    <x v="0"/>
    <x v="0"/>
    <n v="6.6666666666666696"/>
    <n v="2433.3333333333298"/>
    <n v="8760"/>
  </r>
  <r>
    <x v="0"/>
    <x v="0"/>
    <x v="0"/>
    <x v="0"/>
    <x v="1"/>
    <s v="DK2_Rural"/>
    <x v="2"/>
    <s v="GNR_BO_MSW_E-105"/>
    <x v="0"/>
    <x v="1"/>
    <n v="6.6666666666666696"/>
    <n v="2433.3333333333298"/>
    <n v="8760"/>
  </r>
  <r>
    <x v="0"/>
    <x v="0"/>
    <x v="0"/>
    <x v="0"/>
    <x v="1"/>
    <s v="DK2_Rural"/>
    <x v="2"/>
    <s v="GNR_BO_MSW_E-105"/>
    <x v="0"/>
    <x v="2"/>
    <n v="6.6666666666666696"/>
    <n v="2433.3333333333298"/>
    <n v="8760"/>
  </r>
  <r>
    <x v="0"/>
    <x v="0"/>
    <x v="0"/>
    <x v="0"/>
    <x v="1"/>
    <s v="DK2_Rural"/>
    <x v="2"/>
    <s v="GNR_BO_MSW_E-105"/>
    <x v="0"/>
    <x v="3"/>
    <n v="6.6666666666666696"/>
    <n v="2433.3333333333298"/>
    <n v="8760"/>
  </r>
  <r>
    <x v="0"/>
    <x v="0"/>
    <x v="0"/>
    <x v="0"/>
    <x v="1"/>
    <s v="DK2_Rural"/>
    <x v="2"/>
    <s v="GNR_BO_MSW_E-105"/>
    <x v="0"/>
    <x v="18"/>
    <n v="6.6666666666666696"/>
    <n v="2433.3333333333298"/>
    <n v="8760"/>
  </r>
  <r>
    <x v="0"/>
    <x v="0"/>
    <x v="0"/>
    <x v="0"/>
    <x v="1"/>
    <s v="DK2_Rural"/>
    <x v="2"/>
    <s v="GNR_BO_MSW_E-105"/>
    <x v="0"/>
    <x v="4"/>
    <n v="6.6666666666666696"/>
    <n v="2433.3333333333298"/>
    <n v="8760"/>
  </r>
  <r>
    <x v="0"/>
    <x v="0"/>
    <x v="0"/>
    <x v="0"/>
    <x v="1"/>
    <s v="DK2_Rural"/>
    <x v="2"/>
    <s v="GNR_BO_MSW_E-105"/>
    <x v="0"/>
    <x v="5"/>
    <n v="6.6666666666666696"/>
    <n v="2433.3333333333298"/>
    <n v="8760"/>
  </r>
  <r>
    <x v="0"/>
    <x v="0"/>
    <x v="0"/>
    <x v="0"/>
    <x v="1"/>
    <s v="DK2_Rural"/>
    <x v="2"/>
    <s v="GNR_BO_MSW_E-105"/>
    <x v="0"/>
    <x v="6"/>
    <n v="6.6666666666666696"/>
    <n v="2433.3333333333298"/>
    <n v="8760"/>
  </r>
  <r>
    <x v="0"/>
    <x v="0"/>
    <x v="0"/>
    <x v="0"/>
    <x v="1"/>
    <s v="DK2_Rural"/>
    <x v="2"/>
    <s v="GNR_BO_MSW_E-105"/>
    <x v="0"/>
    <x v="7"/>
    <n v="6.6666666666666696"/>
    <n v="2433.3333333333298"/>
    <n v="8760"/>
  </r>
  <r>
    <x v="0"/>
    <x v="0"/>
    <x v="0"/>
    <x v="0"/>
    <x v="1"/>
    <s v="DK2_Rural"/>
    <x v="2"/>
    <s v="GNR_BO_MSW_E-105"/>
    <x v="0"/>
    <x v="8"/>
    <n v="6.6666666666666696"/>
    <n v="2433.3333333333298"/>
    <n v="8760"/>
  </r>
  <r>
    <x v="0"/>
    <x v="0"/>
    <x v="0"/>
    <x v="0"/>
    <x v="1"/>
    <s v="DK2_Rural"/>
    <x v="2"/>
    <s v="GNR_BO_MSW_E-105"/>
    <x v="0"/>
    <x v="9"/>
    <n v="6.6666666666666696"/>
    <n v="2433.3333333333298"/>
    <n v="8760"/>
  </r>
  <r>
    <x v="0"/>
    <x v="0"/>
    <x v="0"/>
    <x v="0"/>
    <x v="1"/>
    <s v="DK2_Rural"/>
    <x v="2"/>
    <s v="GNR_BO_MSW_E-105"/>
    <x v="0"/>
    <x v="10"/>
    <n v="6.6666666666666696"/>
    <n v="2433.3333333333298"/>
    <n v="8760"/>
  </r>
  <r>
    <x v="0"/>
    <x v="0"/>
    <x v="0"/>
    <x v="0"/>
    <x v="1"/>
    <s v="DK2_Rural"/>
    <x v="2"/>
    <s v="GNR_BO_MSW_E-105"/>
    <x v="0"/>
    <x v="11"/>
    <n v="6.6666666666666696"/>
    <n v="2433.3333333333298"/>
    <n v="8760"/>
  </r>
  <r>
    <x v="0"/>
    <x v="0"/>
    <x v="0"/>
    <x v="0"/>
    <x v="1"/>
    <s v="DK2_Rural"/>
    <x v="2"/>
    <s v="GNR_BO_MSW_E-105"/>
    <x v="0"/>
    <x v="12"/>
    <n v="6.6666666666666696"/>
    <n v="2433.3333333333298"/>
    <n v="8760"/>
  </r>
  <r>
    <x v="0"/>
    <x v="0"/>
    <x v="0"/>
    <x v="0"/>
    <x v="1"/>
    <s v="DK2_Rural"/>
    <x v="2"/>
    <s v="GNR_BO_MSW_E-105"/>
    <x v="0"/>
    <x v="13"/>
    <n v="6.6666666666666696"/>
    <n v="2433.3333333333298"/>
    <n v="8760"/>
  </r>
  <r>
    <x v="0"/>
    <x v="0"/>
    <x v="0"/>
    <x v="0"/>
    <x v="1"/>
    <s v="DK2_Rural"/>
    <x v="2"/>
    <s v="GNR_BO_MSW_E-105"/>
    <x v="0"/>
    <x v="14"/>
    <n v="6.6666666666666696"/>
    <n v="2433.3333333333298"/>
    <n v="8760"/>
  </r>
  <r>
    <x v="0"/>
    <x v="0"/>
    <x v="0"/>
    <x v="0"/>
    <x v="1"/>
    <s v="DK2_Rural"/>
    <x v="2"/>
    <s v="GNR_BO_MSW_E-105"/>
    <x v="0"/>
    <x v="15"/>
    <n v="6.6666666666666696"/>
    <n v="2433.3333333333298"/>
    <n v="8760"/>
  </r>
  <r>
    <x v="0"/>
    <x v="0"/>
    <x v="0"/>
    <x v="0"/>
    <x v="1"/>
    <s v="DK2_Rural"/>
    <x v="2"/>
    <s v="GNR_BO_MSW_E-105"/>
    <x v="0"/>
    <x v="16"/>
    <n v="6.6666666666666696"/>
    <n v="2433.3333333333298"/>
    <n v="8760"/>
  </r>
  <r>
    <x v="0"/>
    <x v="0"/>
    <x v="0"/>
    <x v="0"/>
    <x v="1"/>
    <s v="DK2_Rural"/>
    <x v="2"/>
    <s v="GNR_BO_MSW_E-105"/>
    <x v="0"/>
    <x v="17"/>
    <n v="6.6666666666666696"/>
    <n v="2433.3333333333298"/>
    <n v="8760"/>
  </r>
  <r>
    <x v="0"/>
    <x v="0"/>
    <x v="0"/>
    <x v="0"/>
    <x v="1"/>
    <s v="DK2_Rural"/>
    <x v="2"/>
    <s v="GNR_BO_MSW_E-105"/>
    <x v="0"/>
    <x v="19"/>
    <n v="6.6666666666666696"/>
    <n v="2433.3333333333298"/>
    <n v="8760"/>
  </r>
  <r>
    <x v="0"/>
    <x v="0"/>
    <x v="0"/>
    <x v="0"/>
    <x v="1"/>
    <s v="DK2_Rural"/>
    <x v="2"/>
    <s v="GNR_BO_MSW_E-105"/>
    <x v="0"/>
    <x v="20"/>
    <n v="6.6666666666666696"/>
    <n v="2433.3333333333298"/>
    <n v="8760"/>
  </r>
  <r>
    <x v="0"/>
    <x v="0"/>
    <x v="0"/>
    <x v="0"/>
    <x v="1"/>
    <s v="DK2_Rural"/>
    <x v="2"/>
    <s v="GNR_BO_MSW_E-105"/>
    <x v="0"/>
    <x v="21"/>
    <n v="6.6666666666666696"/>
    <n v="2433.3333333333298"/>
    <n v="8760"/>
  </r>
  <r>
    <x v="0"/>
    <x v="0"/>
    <x v="0"/>
    <x v="0"/>
    <x v="1"/>
    <s v="DK2_Rural"/>
    <x v="2"/>
    <s v="GNR_BO_MSW_E-105"/>
    <x v="0"/>
    <x v="22"/>
    <n v="6.6666666666666696"/>
    <n v="2433.3333333333298"/>
    <n v="8760"/>
  </r>
  <r>
    <x v="0"/>
    <x v="0"/>
    <x v="0"/>
    <x v="0"/>
    <x v="1"/>
    <s v="DK2_Rural"/>
    <x v="2"/>
    <s v="GNR_BO_MSW_E-105"/>
    <x v="0"/>
    <x v="23"/>
    <n v="6.6666666666666696"/>
    <n v="2433.3333333333298"/>
    <n v="8760"/>
  </r>
  <r>
    <x v="0"/>
    <x v="0"/>
    <x v="0"/>
    <x v="0"/>
    <x v="1"/>
    <s v="DK2_Rural"/>
    <x v="4"/>
    <s v="GNR_BO_STRW_E-100"/>
    <x v="0"/>
    <x v="5"/>
    <n v="47.734452148779702"/>
    <n v="17423.075034304598"/>
    <n v="62723.070123496502"/>
  </r>
  <r>
    <x v="0"/>
    <x v="0"/>
    <x v="0"/>
    <x v="0"/>
    <x v="1"/>
    <s v="DK2_Rural"/>
    <x v="4"/>
    <s v="GNR_BO_STRW_E-100"/>
    <x v="0"/>
    <x v="6"/>
    <n v="83.601870508796694"/>
    <n v="30514.682735710801"/>
    <n v="109852.857848559"/>
  </r>
  <r>
    <x v="0"/>
    <x v="0"/>
    <x v="0"/>
    <x v="0"/>
    <x v="1"/>
    <s v="DK2_Rural"/>
    <x v="4"/>
    <s v="GNR_BO_STRW_E-100"/>
    <x v="0"/>
    <x v="7"/>
    <n v="88.961369803971706"/>
    <n v="32470.899978449699"/>
    <n v="116895.239922419"/>
  </r>
  <r>
    <x v="0"/>
    <x v="0"/>
    <x v="0"/>
    <x v="0"/>
    <x v="1"/>
    <s v="DK2_Rural"/>
    <x v="4"/>
    <s v="GNR_BO_STRW_E-100"/>
    <x v="0"/>
    <x v="8"/>
    <n v="88.274254509718503"/>
    <n v="32220.102896047199"/>
    <n v="115992.37042577"/>
  </r>
  <r>
    <x v="0"/>
    <x v="0"/>
    <x v="0"/>
    <x v="0"/>
    <x v="1"/>
    <s v="DK2_Rural"/>
    <x v="4"/>
    <s v="GNR_BO_STRW_E-100"/>
    <x v="0"/>
    <x v="9"/>
    <n v="89.511062039374295"/>
    <n v="32671.537644371601"/>
    <n v="117617.535519738"/>
  </r>
  <r>
    <x v="0"/>
    <x v="0"/>
    <x v="0"/>
    <x v="0"/>
    <x v="1"/>
    <s v="DK2_Rural"/>
    <x v="4"/>
    <s v="GNR_BO_STRW_E-100"/>
    <x v="0"/>
    <x v="10"/>
    <n v="88.274254509718503"/>
    <n v="32220.102896047199"/>
    <n v="115992.37042577"/>
  </r>
  <r>
    <x v="0"/>
    <x v="0"/>
    <x v="0"/>
    <x v="0"/>
    <x v="1"/>
    <s v="DK2_Rural"/>
    <x v="4"/>
    <s v="GNR_BO_STRW_E-100"/>
    <x v="0"/>
    <x v="11"/>
    <n v="80.578563214082706"/>
    <n v="29411.175573140201"/>
    <n v="105880.232063305"/>
  </r>
  <r>
    <x v="0"/>
    <x v="0"/>
    <x v="0"/>
    <x v="0"/>
    <x v="1"/>
    <s v="DK2_Rural"/>
    <x v="4"/>
    <s v="GNR_BO_STRW_E-100"/>
    <x v="0"/>
    <x v="12"/>
    <n v="75.219063918907693"/>
    <n v="27454.958330401299"/>
    <n v="98837.849989444701"/>
  </r>
  <r>
    <x v="0"/>
    <x v="0"/>
    <x v="0"/>
    <x v="0"/>
    <x v="1"/>
    <s v="DK2_Rural"/>
    <x v="4"/>
    <s v="GNR_BO_STRW_E-100"/>
    <x v="0"/>
    <x v="13"/>
    <n v="77.417832860517905"/>
    <n v="28257.508994088999"/>
    <n v="101727.03237872101"/>
  </r>
  <r>
    <x v="0"/>
    <x v="0"/>
    <x v="0"/>
    <x v="0"/>
    <x v="1"/>
    <s v="DK2_Rural"/>
    <x v="4"/>
    <s v="GNR_BO_STRW_E-100"/>
    <x v="0"/>
    <x v="14"/>
    <n v="79.479178743277501"/>
    <n v="29009.900241296298"/>
    <n v="104435.640868667"/>
  </r>
  <r>
    <x v="0"/>
    <x v="0"/>
    <x v="0"/>
    <x v="0"/>
    <x v="1"/>
    <s v="DK2_Rural"/>
    <x v="4"/>
    <s v="GNR_BO_STRW_E-100"/>
    <x v="0"/>
    <x v="15"/>
    <n v="80.715986272933307"/>
    <n v="29461.3349896207"/>
    <n v="106060.805962634"/>
  </r>
  <r>
    <x v="0"/>
    <x v="0"/>
    <x v="0"/>
    <x v="0"/>
    <x v="1"/>
    <s v="DK2_Rural"/>
    <x v="4"/>
    <s v="GNR_BO_STRW_E-100"/>
    <x v="0"/>
    <x v="16"/>
    <n v="84.426408861900597"/>
    <n v="30815.639234593698"/>
    <n v="110936.301244537"/>
  </r>
  <r>
    <x v="0"/>
    <x v="0"/>
    <x v="0"/>
    <x v="0"/>
    <x v="1"/>
    <s v="DK2_Rural"/>
    <x v="4"/>
    <s v="GNR_BO_STRW_E-100"/>
    <x v="0"/>
    <x v="17"/>
    <n v="83.876716626497995"/>
    <n v="30615.0015686718"/>
    <n v="110214.005647218"/>
  </r>
  <r>
    <x v="0"/>
    <x v="0"/>
    <x v="0"/>
    <x v="0"/>
    <x v="1"/>
    <s v="DK2_Rural"/>
    <x v="4"/>
    <s v="GNR_BO_STRW_E-100"/>
    <x v="0"/>
    <x v="19"/>
    <n v="78.242371213621794"/>
    <n v="28558.4654929719"/>
    <n v="102810.47577469901"/>
  </r>
  <r>
    <x v="0"/>
    <x v="0"/>
    <x v="0"/>
    <x v="0"/>
    <x v="1"/>
    <s v="DK2_Rural"/>
    <x v="4"/>
    <s v="GNR_BO_STRW_E-100"/>
    <x v="0"/>
    <x v="20"/>
    <n v="67.660795682122497"/>
    <n v="24696.190423974698"/>
    <n v="88906.2855263089"/>
  </r>
  <r>
    <x v="0"/>
    <x v="0"/>
    <x v="0"/>
    <x v="0"/>
    <x v="1"/>
    <s v="DK2_Rural"/>
    <x v="4"/>
    <s v="GNR_BO_STRW_E-100"/>
    <x v="0"/>
    <x v="21"/>
    <n v="16.814263907385701"/>
    <n v="6137.2063261957701"/>
    <n v="22093.9427743048"/>
  </r>
  <r>
    <x v="0"/>
    <x v="0"/>
    <x v="0"/>
    <x v="0"/>
    <x v="1"/>
    <s v="DK2_Rural"/>
    <x v="4"/>
    <s v="GNR_BO_STRW_E-100"/>
    <x v="0"/>
    <x v="22"/>
    <n v="24.966558346544598"/>
    <n v="9112.7937964887806"/>
    <n v="32806.057667359601"/>
  </r>
  <r>
    <x v="0"/>
    <x v="0"/>
    <x v="0"/>
    <x v="0"/>
    <x v="1"/>
    <s v="DK2_Rural"/>
    <x v="4"/>
    <s v="GNR_BO_STRW_E-100"/>
    <x v="0"/>
    <x v="23"/>
    <n v="16.583751756655602"/>
    <n v="6053.0693911792796"/>
    <n v="21791.0498082454"/>
  </r>
  <r>
    <x v="0"/>
    <x v="0"/>
    <x v="0"/>
    <x v="0"/>
    <x v="1"/>
    <s v="DK2_Rural"/>
    <x v="4"/>
    <s v="GNR_BO_STRW_E-102"/>
    <x v="0"/>
    <x v="0"/>
    <n v="32.354210135989803"/>
    <n v="11809.286699636301"/>
    <n v="42513.432118690602"/>
  </r>
  <r>
    <x v="0"/>
    <x v="0"/>
    <x v="0"/>
    <x v="0"/>
    <x v="1"/>
    <s v="DK2_Rural"/>
    <x v="4"/>
    <s v="GNR_BO_STRW_E-102"/>
    <x v="0"/>
    <x v="1"/>
    <n v="30.872196756228"/>
    <n v="11268.3518160232"/>
    <n v="40566.066537683597"/>
  </r>
  <r>
    <x v="0"/>
    <x v="0"/>
    <x v="0"/>
    <x v="0"/>
    <x v="1"/>
    <s v="DK2_Rural"/>
    <x v="4"/>
    <s v="GNR_BO_STRW_E-102"/>
    <x v="0"/>
    <x v="2"/>
    <n v="29.524911865535501"/>
    <n v="10776.592830920399"/>
    <n v="38795.734191313597"/>
  </r>
  <r>
    <x v="0"/>
    <x v="0"/>
    <x v="0"/>
    <x v="0"/>
    <x v="1"/>
    <s v="DK2_Rural"/>
    <x v="4"/>
    <s v="GNR_BO_STRW_E-102"/>
    <x v="0"/>
    <x v="3"/>
    <n v="31.545839201574299"/>
    <n v="11514.231308574599"/>
    <n v="41451.2327108686"/>
  </r>
  <r>
    <x v="0"/>
    <x v="0"/>
    <x v="0"/>
    <x v="0"/>
    <x v="1"/>
    <s v="DK2_Rural"/>
    <x v="4"/>
    <s v="GNR_BO_STRW_E-102"/>
    <x v="0"/>
    <x v="18"/>
    <n v="11.023644189546401"/>
    <n v="4023.6301291844302"/>
    <n v="14485.0684650639"/>
  </r>
  <r>
    <x v="0"/>
    <x v="0"/>
    <x v="0"/>
    <x v="0"/>
    <x v="1"/>
    <s v="DK2_Rural"/>
    <x v="4"/>
    <s v="GNR_BO_STRW_E-102"/>
    <x v="0"/>
    <x v="4"/>
    <n v="34.601129776665999"/>
    <n v="12629.412368483099"/>
    <n v="45465.884526539099"/>
  </r>
  <r>
    <x v="0"/>
    <x v="0"/>
    <x v="0"/>
    <x v="0"/>
    <x v="1"/>
    <s v="DK2_Rural"/>
    <x v="4"/>
    <s v="GNR_BO_STRW_E-102"/>
    <x v="0"/>
    <x v="5"/>
    <n v="46.813725490196099"/>
    <n v="17087.009803921599"/>
    <n v="61513.235294117701"/>
  </r>
  <r>
    <x v="0"/>
    <x v="0"/>
    <x v="0"/>
    <x v="0"/>
    <x v="1"/>
    <s v="DK2_Rural"/>
    <x v="4"/>
    <s v="GNR_BO_STRW_E-102"/>
    <x v="0"/>
    <x v="6"/>
    <n v="46.813725490196099"/>
    <n v="17087.009803921599"/>
    <n v="61513.235294117701"/>
  </r>
  <r>
    <x v="0"/>
    <x v="0"/>
    <x v="0"/>
    <x v="0"/>
    <x v="1"/>
    <s v="DK2_Rural"/>
    <x v="4"/>
    <s v="GNR_BO_STRW_E-102"/>
    <x v="0"/>
    <x v="7"/>
    <n v="46.813725490196099"/>
    <n v="17087.009803921599"/>
    <n v="61513.235294117701"/>
  </r>
  <r>
    <x v="0"/>
    <x v="0"/>
    <x v="0"/>
    <x v="0"/>
    <x v="1"/>
    <s v="DK2_Rural"/>
    <x v="4"/>
    <s v="GNR_BO_STRW_E-102"/>
    <x v="0"/>
    <x v="8"/>
    <n v="46.813725490196099"/>
    <n v="17087.009803921599"/>
    <n v="61513.235294117701"/>
  </r>
  <r>
    <x v="0"/>
    <x v="0"/>
    <x v="0"/>
    <x v="0"/>
    <x v="1"/>
    <s v="DK2_Rural"/>
    <x v="4"/>
    <s v="GNR_BO_STRW_E-102"/>
    <x v="0"/>
    <x v="9"/>
    <n v="46.813725490196099"/>
    <n v="17087.009803921599"/>
    <n v="61513.235294117701"/>
  </r>
  <r>
    <x v="0"/>
    <x v="0"/>
    <x v="0"/>
    <x v="0"/>
    <x v="1"/>
    <s v="DK2_Rural"/>
    <x v="4"/>
    <s v="GNR_BO_STRW_E-102"/>
    <x v="0"/>
    <x v="10"/>
    <n v="46.813725490196099"/>
    <n v="17087.009803921599"/>
    <n v="61513.235294117701"/>
  </r>
  <r>
    <x v="0"/>
    <x v="0"/>
    <x v="0"/>
    <x v="0"/>
    <x v="1"/>
    <s v="DK2_Rural"/>
    <x v="4"/>
    <s v="GNR_BO_STRW_E-102"/>
    <x v="0"/>
    <x v="11"/>
    <n v="46.813725490196099"/>
    <n v="17087.009803921599"/>
    <n v="61513.235294117701"/>
  </r>
  <r>
    <x v="0"/>
    <x v="0"/>
    <x v="0"/>
    <x v="0"/>
    <x v="1"/>
    <s v="DK2_Rural"/>
    <x v="4"/>
    <s v="GNR_BO_STRW_E-102"/>
    <x v="0"/>
    <x v="12"/>
    <n v="46.813725490196099"/>
    <n v="17087.009803921599"/>
    <n v="61513.235294117701"/>
  </r>
  <r>
    <x v="0"/>
    <x v="0"/>
    <x v="0"/>
    <x v="0"/>
    <x v="1"/>
    <s v="DK2_Rural"/>
    <x v="4"/>
    <s v="GNR_BO_STRW_E-102"/>
    <x v="0"/>
    <x v="13"/>
    <n v="46.813725490196099"/>
    <n v="17087.009803921599"/>
    <n v="61513.235294117701"/>
  </r>
  <r>
    <x v="0"/>
    <x v="0"/>
    <x v="0"/>
    <x v="0"/>
    <x v="1"/>
    <s v="DK2_Rural"/>
    <x v="4"/>
    <s v="GNR_BO_STRW_E-102"/>
    <x v="0"/>
    <x v="14"/>
    <n v="46.813725490196099"/>
    <n v="17087.009803921599"/>
    <n v="61513.235294117701"/>
  </r>
  <r>
    <x v="0"/>
    <x v="0"/>
    <x v="0"/>
    <x v="0"/>
    <x v="1"/>
    <s v="DK2_Rural"/>
    <x v="4"/>
    <s v="GNR_BO_STRW_E-102"/>
    <x v="0"/>
    <x v="15"/>
    <n v="46.813725490196099"/>
    <n v="17087.009803921599"/>
    <n v="61513.235294117701"/>
  </r>
  <r>
    <x v="0"/>
    <x v="0"/>
    <x v="0"/>
    <x v="0"/>
    <x v="1"/>
    <s v="DK2_Rural"/>
    <x v="4"/>
    <s v="GNR_BO_STRW_E-102"/>
    <x v="0"/>
    <x v="16"/>
    <n v="46.813725490196099"/>
    <n v="17087.009803921599"/>
    <n v="61513.235294117701"/>
  </r>
  <r>
    <x v="0"/>
    <x v="0"/>
    <x v="0"/>
    <x v="0"/>
    <x v="1"/>
    <s v="DK2_Rural"/>
    <x v="4"/>
    <s v="GNR_BO_STRW_E-102"/>
    <x v="0"/>
    <x v="17"/>
    <n v="46.813725490196099"/>
    <n v="17087.009803921599"/>
    <n v="61513.235294117701"/>
  </r>
  <r>
    <x v="0"/>
    <x v="0"/>
    <x v="0"/>
    <x v="0"/>
    <x v="1"/>
    <s v="DK2_Rural"/>
    <x v="4"/>
    <s v="GNR_BO_STRW_E-102"/>
    <x v="0"/>
    <x v="19"/>
    <n v="46.813725490196099"/>
    <n v="17087.009803921599"/>
    <n v="61513.235294117701"/>
  </r>
  <r>
    <x v="0"/>
    <x v="0"/>
    <x v="0"/>
    <x v="0"/>
    <x v="1"/>
    <s v="DK2_Rural"/>
    <x v="4"/>
    <s v="GNR_BO_STRW_E-102"/>
    <x v="0"/>
    <x v="20"/>
    <n v="46.813725490196099"/>
    <n v="17087.009803921599"/>
    <n v="61513.235294117701"/>
  </r>
  <r>
    <x v="0"/>
    <x v="0"/>
    <x v="0"/>
    <x v="0"/>
    <x v="1"/>
    <s v="DK2_Rural"/>
    <x v="4"/>
    <s v="GNR_BO_STRW_E-102"/>
    <x v="0"/>
    <x v="21"/>
    <n v="46.813725490196099"/>
    <n v="17087.009803921599"/>
    <n v="61513.235294117701"/>
  </r>
  <r>
    <x v="0"/>
    <x v="0"/>
    <x v="0"/>
    <x v="0"/>
    <x v="1"/>
    <s v="DK2_Rural"/>
    <x v="4"/>
    <s v="GNR_BO_STRW_E-102"/>
    <x v="0"/>
    <x v="22"/>
    <n v="46.813725490196099"/>
    <n v="17087.009803921599"/>
    <n v="61513.235294117701"/>
  </r>
  <r>
    <x v="0"/>
    <x v="0"/>
    <x v="0"/>
    <x v="0"/>
    <x v="1"/>
    <s v="DK2_Rural"/>
    <x v="4"/>
    <s v="GNR_BO_STRW_E-102"/>
    <x v="0"/>
    <x v="23"/>
    <n v="46.813725490196099"/>
    <n v="17087.009803921599"/>
    <n v="61513.235294117701"/>
  </r>
  <r>
    <x v="0"/>
    <x v="0"/>
    <x v="0"/>
    <x v="0"/>
    <x v="1"/>
    <s v="DK2_Rural"/>
    <x v="4"/>
    <s v="GNR_ST_STRW_BP_E-27"/>
    <x v="0"/>
    <x v="18"/>
    <n v="36.962962962962997"/>
    <n v="13491.4814814815"/>
    <n v="48569.333333333299"/>
  </r>
  <r>
    <x v="0"/>
    <x v="0"/>
    <x v="0"/>
    <x v="0"/>
    <x v="1"/>
    <s v="DK2_Rural"/>
    <x v="4"/>
    <s v="GNR_ST_STRW_BP_E-27"/>
    <x v="0"/>
    <x v="4"/>
    <n v="36.962962962962997"/>
    <n v="13491.4814814815"/>
    <n v="48569.333333333299"/>
  </r>
  <r>
    <x v="0"/>
    <x v="0"/>
    <x v="0"/>
    <x v="0"/>
    <x v="1"/>
    <s v="DK2_Rural"/>
    <x v="4"/>
    <s v="GNR_ST_STRW_BP_E-27"/>
    <x v="0"/>
    <x v="5"/>
    <n v="36.962962962962997"/>
    <n v="13491.4814814815"/>
    <n v="48569.333333333299"/>
  </r>
  <r>
    <x v="0"/>
    <x v="0"/>
    <x v="0"/>
    <x v="0"/>
    <x v="1"/>
    <s v="DK2_Rural"/>
    <x v="4"/>
    <s v="GNR_ST_STRW_BP_E-27"/>
    <x v="0"/>
    <x v="6"/>
    <n v="36.962962962962997"/>
    <n v="13491.4814814815"/>
    <n v="48569.333333333299"/>
  </r>
  <r>
    <x v="0"/>
    <x v="0"/>
    <x v="0"/>
    <x v="0"/>
    <x v="1"/>
    <s v="DK2_Rural"/>
    <x v="4"/>
    <s v="GNR_ST_STRW_BP_E-27"/>
    <x v="0"/>
    <x v="7"/>
    <n v="36.962962962962997"/>
    <n v="13491.4814814815"/>
    <n v="48569.333333333299"/>
  </r>
  <r>
    <x v="0"/>
    <x v="0"/>
    <x v="0"/>
    <x v="0"/>
    <x v="1"/>
    <s v="DK2_Rural"/>
    <x v="4"/>
    <s v="GNR_ST_STRW_BP_E-27"/>
    <x v="0"/>
    <x v="8"/>
    <n v="36.962962962962997"/>
    <n v="13491.4814814815"/>
    <n v="48569.333333333299"/>
  </r>
  <r>
    <x v="0"/>
    <x v="0"/>
    <x v="0"/>
    <x v="0"/>
    <x v="1"/>
    <s v="DK2_Rural"/>
    <x v="4"/>
    <s v="GNR_ST_STRW_BP_E-27"/>
    <x v="0"/>
    <x v="9"/>
    <n v="36.962962962962997"/>
    <n v="13491.4814814815"/>
    <n v="48569.333333333299"/>
  </r>
  <r>
    <x v="0"/>
    <x v="0"/>
    <x v="0"/>
    <x v="0"/>
    <x v="1"/>
    <s v="DK2_Rural"/>
    <x v="4"/>
    <s v="GNR_ST_STRW_BP_E-27"/>
    <x v="0"/>
    <x v="10"/>
    <n v="36.962962962962997"/>
    <n v="13491.4814814815"/>
    <n v="48569.333333333299"/>
  </r>
  <r>
    <x v="0"/>
    <x v="0"/>
    <x v="0"/>
    <x v="0"/>
    <x v="1"/>
    <s v="DK2_Rural"/>
    <x v="4"/>
    <s v="GNR_ST_STRW_BP_E-27"/>
    <x v="0"/>
    <x v="11"/>
    <n v="36.962962962962997"/>
    <n v="13491.4814814815"/>
    <n v="48569.333333333299"/>
  </r>
  <r>
    <x v="0"/>
    <x v="0"/>
    <x v="0"/>
    <x v="0"/>
    <x v="1"/>
    <s v="DK2_Rural"/>
    <x v="4"/>
    <s v="GNR_ST_STRW_BP_E-27"/>
    <x v="0"/>
    <x v="12"/>
    <n v="36.962962962962997"/>
    <n v="13491.4814814815"/>
    <n v="48569.333333333299"/>
  </r>
  <r>
    <x v="0"/>
    <x v="0"/>
    <x v="0"/>
    <x v="0"/>
    <x v="1"/>
    <s v="DK2_Rural"/>
    <x v="4"/>
    <s v="GNR_ST_STRW_BP_E-27"/>
    <x v="0"/>
    <x v="13"/>
    <n v="36.962962962962997"/>
    <n v="13491.4814814815"/>
    <n v="48569.333333333299"/>
  </r>
  <r>
    <x v="0"/>
    <x v="0"/>
    <x v="0"/>
    <x v="0"/>
    <x v="1"/>
    <s v="DK2_Rural"/>
    <x v="4"/>
    <s v="GNR_ST_STRW_BP_E-27"/>
    <x v="0"/>
    <x v="14"/>
    <n v="36.962962962962997"/>
    <n v="13491.4814814815"/>
    <n v="48569.333333333299"/>
  </r>
  <r>
    <x v="0"/>
    <x v="0"/>
    <x v="0"/>
    <x v="0"/>
    <x v="1"/>
    <s v="DK2_Rural"/>
    <x v="4"/>
    <s v="GNR_ST_STRW_BP_E-27"/>
    <x v="0"/>
    <x v="15"/>
    <n v="36.962962962962997"/>
    <n v="13491.4814814815"/>
    <n v="48569.333333333299"/>
  </r>
  <r>
    <x v="0"/>
    <x v="0"/>
    <x v="0"/>
    <x v="0"/>
    <x v="1"/>
    <s v="DK2_Rural"/>
    <x v="4"/>
    <s v="GNR_ST_STRW_BP_E-27"/>
    <x v="0"/>
    <x v="16"/>
    <n v="36.962962962962997"/>
    <n v="13491.4814814815"/>
    <n v="48569.333333333299"/>
  </r>
  <r>
    <x v="0"/>
    <x v="0"/>
    <x v="0"/>
    <x v="0"/>
    <x v="1"/>
    <s v="DK2_Rural"/>
    <x v="4"/>
    <s v="GNR_ST_STRW_BP_E-27"/>
    <x v="0"/>
    <x v="17"/>
    <n v="36.962962962962997"/>
    <n v="13491.4814814815"/>
    <n v="48569.333333333299"/>
  </r>
  <r>
    <x v="0"/>
    <x v="0"/>
    <x v="0"/>
    <x v="0"/>
    <x v="1"/>
    <s v="DK2_Rural"/>
    <x v="4"/>
    <s v="GNR_ST_STRW_BP_E-27"/>
    <x v="0"/>
    <x v="19"/>
    <n v="36.962962962962997"/>
    <n v="13491.4814814815"/>
    <n v="48569.333333333299"/>
  </r>
  <r>
    <x v="0"/>
    <x v="0"/>
    <x v="0"/>
    <x v="0"/>
    <x v="1"/>
    <s v="DK2_Rural"/>
    <x v="4"/>
    <s v="GNR_ST_STRW_BP_E-27"/>
    <x v="0"/>
    <x v="20"/>
    <n v="36.962962962962997"/>
    <n v="13491.4814814815"/>
    <n v="48569.333333333299"/>
  </r>
  <r>
    <x v="0"/>
    <x v="0"/>
    <x v="0"/>
    <x v="0"/>
    <x v="1"/>
    <s v="DK2_Rural"/>
    <x v="4"/>
    <s v="GNR_ST_STRW_BP_E-27"/>
    <x v="0"/>
    <x v="21"/>
    <n v="36.962962962962997"/>
    <n v="13491.4814814815"/>
    <n v="48569.333333333299"/>
  </r>
  <r>
    <x v="0"/>
    <x v="0"/>
    <x v="0"/>
    <x v="0"/>
    <x v="1"/>
    <s v="DK2_Rural"/>
    <x v="4"/>
    <s v="GNR_ST_STRW_BP_E-28"/>
    <x v="0"/>
    <x v="0"/>
    <n v="39.655172413793103"/>
    <n v="14474.1379310345"/>
    <n v="52106.896551724203"/>
  </r>
  <r>
    <x v="0"/>
    <x v="0"/>
    <x v="0"/>
    <x v="0"/>
    <x v="1"/>
    <s v="DK2_Rural"/>
    <x v="4"/>
    <s v="GNR_ST_STRW_BP_E-28"/>
    <x v="0"/>
    <x v="1"/>
    <n v="39.655172413793103"/>
    <n v="14474.1379310345"/>
    <n v="52106.896551724203"/>
  </r>
  <r>
    <x v="0"/>
    <x v="0"/>
    <x v="0"/>
    <x v="0"/>
    <x v="1"/>
    <s v="DK2_Rural"/>
    <x v="4"/>
    <s v="GNR_ST_STRW_BP_E-28"/>
    <x v="0"/>
    <x v="2"/>
    <n v="39.655172413793103"/>
    <n v="14474.1379310345"/>
    <n v="52106.896551724203"/>
  </r>
  <r>
    <x v="0"/>
    <x v="0"/>
    <x v="0"/>
    <x v="0"/>
    <x v="1"/>
    <s v="DK2_Rural"/>
    <x v="4"/>
    <s v="GNR_ST_STRW_BP_E-28"/>
    <x v="0"/>
    <x v="3"/>
    <n v="39.655172413793103"/>
    <n v="14474.1379310345"/>
    <n v="52106.896551724203"/>
  </r>
  <r>
    <x v="0"/>
    <x v="0"/>
    <x v="0"/>
    <x v="0"/>
    <x v="1"/>
    <s v="DK2_Rural"/>
    <x v="4"/>
    <s v="GNR_ST_STRW_BP_E-28"/>
    <x v="0"/>
    <x v="18"/>
    <n v="39.655172413793103"/>
    <n v="14474.1379310345"/>
    <n v="52106.896551724203"/>
  </r>
  <r>
    <x v="0"/>
    <x v="0"/>
    <x v="0"/>
    <x v="0"/>
    <x v="1"/>
    <s v="DK2_Rural"/>
    <x v="4"/>
    <s v="GNR_ST_STRW_BP_E-28"/>
    <x v="0"/>
    <x v="4"/>
    <n v="39.655172413793103"/>
    <n v="14474.1379310345"/>
    <n v="52106.896551724203"/>
  </r>
  <r>
    <x v="0"/>
    <x v="0"/>
    <x v="0"/>
    <x v="0"/>
    <x v="1"/>
    <s v="DK2_Rural"/>
    <x v="4"/>
    <s v="GNR_ST_STRW_BP_E-28"/>
    <x v="0"/>
    <x v="5"/>
    <n v="39.655172413793103"/>
    <n v="14474.1379310345"/>
    <n v="52106.896551724203"/>
  </r>
  <r>
    <x v="0"/>
    <x v="0"/>
    <x v="0"/>
    <x v="0"/>
    <x v="1"/>
    <s v="DK2_Rural"/>
    <x v="4"/>
    <s v="GNR_ST_STRW_BP_E-28"/>
    <x v="0"/>
    <x v="6"/>
    <n v="39.655172413793103"/>
    <n v="14474.1379310345"/>
    <n v="52106.896551724203"/>
  </r>
  <r>
    <x v="0"/>
    <x v="0"/>
    <x v="0"/>
    <x v="0"/>
    <x v="1"/>
    <s v="DK2_Rural"/>
    <x v="4"/>
    <s v="GNR_ST_STRW_BP_E-28"/>
    <x v="0"/>
    <x v="7"/>
    <n v="39.655172413793103"/>
    <n v="14474.1379310345"/>
    <n v="52106.896551724203"/>
  </r>
  <r>
    <x v="0"/>
    <x v="0"/>
    <x v="0"/>
    <x v="0"/>
    <x v="1"/>
    <s v="DK2_Rural"/>
    <x v="4"/>
    <s v="GNR_ST_STRW_BP_E-28"/>
    <x v="0"/>
    <x v="8"/>
    <n v="39.655172413793103"/>
    <n v="14474.1379310345"/>
    <n v="52106.896551724203"/>
  </r>
  <r>
    <x v="0"/>
    <x v="0"/>
    <x v="0"/>
    <x v="0"/>
    <x v="1"/>
    <s v="DK2_Rural"/>
    <x v="4"/>
    <s v="GNR_ST_STRW_BP_E-28"/>
    <x v="0"/>
    <x v="9"/>
    <n v="39.655172413793103"/>
    <n v="14474.1379310345"/>
    <n v="52106.896551724203"/>
  </r>
  <r>
    <x v="0"/>
    <x v="0"/>
    <x v="0"/>
    <x v="0"/>
    <x v="1"/>
    <s v="DK2_Rural"/>
    <x v="4"/>
    <s v="GNR_ST_STRW_BP_E-28"/>
    <x v="0"/>
    <x v="10"/>
    <n v="39.655172413793103"/>
    <n v="14474.1379310345"/>
    <n v="52106.896551724203"/>
  </r>
  <r>
    <x v="0"/>
    <x v="0"/>
    <x v="0"/>
    <x v="0"/>
    <x v="1"/>
    <s v="DK2_Rural"/>
    <x v="4"/>
    <s v="GNR_ST_STRW_BP_E-28"/>
    <x v="0"/>
    <x v="11"/>
    <n v="39.655172413793103"/>
    <n v="14474.1379310345"/>
    <n v="52106.896551724203"/>
  </r>
  <r>
    <x v="0"/>
    <x v="0"/>
    <x v="0"/>
    <x v="0"/>
    <x v="1"/>
    <s v="DK2_Rural"/>
    <x v="4"/>
    <s v="GNR_ST_STRW_BP_E-28"/>
    <x v="0"/>
    <x v="12"/>
    <n v="39.655172413793103"/>
    <n v="14474.1379310345"/>
    <n v="52106.896551724203"/>
  </r>
  <r>
    <x v="0"/>
    <x v="0"/>
    <x v="0"/>
    <x v="0"/>
    <x v="1"/>
    <s v="DK2_Rural"/>
    <x v="4"/>
    <s v="GNR_ST_STRW_BP_E-28"/>
    <x v="0"/>
    <x v="13"/>
    <n v="39.655172413793103"/>
    <n v="14474.1379310345"/>
    <n v="52106.896551724203"/>
  </r>
  <r>
    <x v="0"/>
    <x v="0"/>
    <x v="0"/>
    <x v="0"/>
    <x v="1"/>
    <s v="DK2_Rural"/>
    <x v="4"/>
    <s v="GNR_ST_STRW_BP_E-28"/>
    <x v="0"/>
    <x v="14"/>
    <n v="39.655172413793103"/>
    <n v="14474.1379310345"/>
    <n v="52106.896551724203"/>
  </r>
  <r>
    <x v="0"/>
    <x v="0"/>
    <x v="0"/>
    <x v="0"/>
    <x v="1"/>
    <s v="DK2_Rural"/>
    <x v="4"/>
    <s v="GNR_ST_STRW_BP_E-28"/>
    <x v="0"/>
    <x v="15"/>
    <n v="39.655172413793103"/>
    <n v="14474.1379310345"/>
    <n v="52106.896551724203"/>
  </r>
  <r>
    <x v="0"/>
    <x v="0"/>
    <x v="0"/>
    <x v="0"/>
    <x v="1"/>
    <s v="DK2_Rural"/>
    <x v="4"/>
    <s v="GNR_ST_STRW_BP_E-28"/>
    <x v="0"/>
    <x v="16"/>
    <n v="39.655172413793103"/>
    <n v="14474.1379310345"/>
    <n v="52106.896551724203"/>
  </r>
  <r>
    <x v="0"/>
    <x v="0"/>
    <x v="0"/>
    <x v="0"/>
    <x v="1"/>
    <s v="DK2_Rural"/>
    <x v="4"/>
    <s v="GNR_ST_STRW_BP_E-28"/>
    <x v="0"/>
    <x v="17"/>
    <n v="39.655172413793103"/>
    <n v="14474.1379310345"/>
    <n v="52106.896551724203"/>
  </r>
  <r>
    <x v="0"/>
    <x v="0"/>
    <x v="0"/>
    <x v="0"/>
    <x v="1"/>
    <s v="DK2_Rural"/>
    <x v="4"/>
    <s v="GNR_ST_STRW_BP_E-28"/>
    <x v="0"/>
    <x v="19"/>
    <n v="39.655172413793103"/>
    <n v="14474.1379310345"/>
    <n v="52106.896551724203"/>
  </r>
  <r>
    <x v="0"/>
    <x v="0"/>
    <x v="0"/>
    <x v="0"/>
    <x v="1"/>
    <s v="DK2_Rural"/>
    <x v="4"/>
    <s v="GNR_ST_STRW_BP_E-28"/>
    <x v="0"/>
    <x v="20"/>
    <n v="39.655172413793103"/>
    <n v="14474.1379310345"/>
    <n v="52106.896551724203"/>
  </r>
  <r>
    <x v="0"/>
    <x v="0"/>
    <x v="0"/>
    <x v="0"/>
    <x v="1"/>
    <s v="DK2_Rural"/>
    <x v="4"/>
    <s v="GNR_ST_STRW_BP_E-28"/>
    <x v="0"/>
    <x v="21"/>
    <n v="39.655172413793103"/>
    <n v="14474.1379310345"/>
    <n v="52106.896551724203"/>
  </r>
  <r>
    <x v="0"/>
    <x v="0"/>
    <x v="0"/>
    <x v="0"/>
    <x v="1"/>
    <s v="DK2_Rural"/>
    <x v="4"/>
    <s v="GNR_ST_STRW_BP_E-28"/>
    <x v="0"/>
    <x v="22"/>
    <n v="39.655172413793103"/>
    <n v="14474.1379310345"/>
    <n v="52106.896551724203"/>
  </r>
  <r>
    <x v="0"/>
    <x v="0"/>
    <x v="0"/>
    <x v="0"/>
    <x v="1"/>
    <s v="DK2_Rural"/>
    <x v="4"/>
    <s v="GNR_ST_STRW_BP_E-28"/>
    <x v="0"/>
    <x v="23"/>
    <n v="39.655172413793103"/>
    <n v="14474.1379310345"/>
    <n v="52106.896551724203"/>
  </r>
  <r>
    <x v="0"/>
    <x v="0"/>
    <x v="0"/>
    <x v="0"/>
    <x v="1"/>
    <s v="DK2_Rural"/>
    <x v="1"/>
    <s v="GNR_EH_HEAT"/>
    <x v="0"/>
    <x v="0"/>
    <n v="16.5"/>
    <n v="6022.5"/>
    <n v="21681"/>
  </r>
  <r>
    <x v="0"/>
    <x v="0"/>
    <x v="0"/>
    <x v="0"/>
    <x v="1"/>
    <s v="DK2_Rural"/>
    <x v="1"/>
    <s v="GNR_EH_HEAT"/>
    <x v="0"/>
    <x v="1"/>
    <n v="16.5"/>
    <n v="6022.5"/>
    <n v="21681"/>
  </r>
  <r>
    <x v="0"/>
    <x v="0"/>
    <x v="0"/>
    <x v="0"/>
    <x v="1"/>
    <s v="DK2_Rural"/>
    <x v="1"/>
    <s v="GNR_EH_HEAT"/>
    <x v="0"/>
    <x v="2"/>
    <n v="16.5"/>
    <n v="6022.5"/>
    <n v="21681"/>
  </r>
  <r>
    <x v="0"/>
    <x v="0"/>
    <x v="0"/>
    <x v="0"/>
    <x v="1"/>
    <s v="DK2_Rural"/>
    <x v="1"/>
    <s v="GNR_EH_HEAT"/>
    <x v="0"/>
    <x v="3"/>
    <n v="16.5"/>
    <n v="6022.5"/>
    <n v="21681"/>
  </r>
  <r>
    <x v="0"/>
    <x v="0"/>
    <x v="0"/>
    <x v="0"/>
    <x v="1"/>
    <s v="DK2_Rural"/>
    <x v="1"/>
    <s v="GNR_EH_HEAT"/>
    <x v="0"/>
    <x v="18"/>
    <n v="16.5"/>
    <n v="6022.5"/>
    <n v="21681"/>
  </r>
  <r>
    <x v="0"/>
    <x v="0"/>
    <x v="0"/>
    <x v="0"/>
    <x v="1"/>
    <s v="DK2_Rural"/>
    <x v="1"/>
    <s v="GNR_EH_HEAT"/>
    <x v="0"/>
    <x v="4"/>
    <n v="16.5"/>
    <n v="6022.5"/>
    <n v="21681"/>
  </r>
  <r>
    <x v="0"/>
    <x v="0"/>
    <x v="0"/>
    <x v="0"/>
    <x v="1"/>
    <s v="DK2_Rural"/>
    <x v="1"/>
    <s v="GNR_EH_HEAT"/>
    <x v="0"/>
    <x v="5"/>
    <n v="16.5"/>
    <n v="6022.5"/>
    <n v="21681"/>
  </r>
  <r>
    <x v="0"/>
    <x v="0"/>
    <x v="0"/>
    <x v="0"/>
    <x v="1"/>
    <s v="DK2_Rural"/>
    <x v="1"/>
    <s v="GNR_EH_HEAT"/>
    <x v="0"/>
    <x v="6"/>
    <n v="16.5"/>
    <n v="6022.5"/>
    <n v="21681"/>
  </r>
  <r>
    <x v="0"/>
    <x v="0"/>
    <x v="0"/>
    <x v="0"/>
    <x v="1"/>
    <s v="DK2_Rural"/>
    <x v="1"/>
    <s v="GNR_EH_HEAT"/>
    <x v="0"/>
    <x v="7"/>
    <n v="16.5"/>
    <n v="6022.5"/>
    <n v="21681"/>
  </r>
  <r>
    <x v="0"/>
    <x v="0"/>
    <x v="0"/>
    <x v="0"/>
    <x v="1"/>
    <s v="DK2_Rural"/>
    <x v="1"/>
    <s v="GNR_EH_HEAT"/>
    <x v="0"/>
    <x v="8"/>
    <n v="16.5"/>
    <n v="6022.5"/>
    <n v="21681"/>
  </r>
  <r>
    <x v="0"/>
    <x v="0"/>
    <x v="0"/>
    <x v="0"/>
    <x v="1"/>
    <s v="DK2_Rural"/>
    <x v="1"/>
    <s v="GNR_EH_HEAT"/>
    <x v="0"/>
    <x v="9"/>
    <n v="16.5"/>
    <n v="6022.5"/>
    <n v="21681"/>
  </r>
  <r>
    <x v="0"/>
    <x v="0"/>
    <x v="0"/>
    <x v="0"/>
    <x v="1"/>
    <s v="DK2_Rural"/>
    <x v="1"/>
    <s v="GNR_EH_HEAT"/>
    <x v="0"/>
    <x v="10"/>
    <n v="16.5"/>
    <n v="6022.5"/>
    <n v="21681"/>
  </r>
  <r>
    <x v="0"/>
    <x v="0"/>
    <x v="0"/>
    <x v="0"/>
    <x v="1"/>
    <s v="DK2_Rural"/>
    <x v="1"/>
    <s v="GNR_EH_HEAT"/>
    <x v="0"/>
    <x v="11"/>
    <n v="16.5"/>
    <n v="6022.5"/>
    <n v="21681"/>
  </r>
  <r>
    <x v="0"/>
    <x v="0"/>
    <x v="0"/>
    <x v="0"/>
    <x v="1"/>
    <s v="DK2_Rural"/>
    <x v="1"/>
    <s v="GNR_EH_HEAT"/>
    <x v="0"/>
    <x v="12"/>
    <n v="16.5"/>
    <n v="6022.5"/>
    <n v="21681"/>
  </r>
  <r>
    <x v="0"/>
    <x v="0"/>
    <x v="0"/>
    <x v="0"/>
    <x v="1"/>
    <s v="DK2_Rural"/>
    <x v="1"/>
    <s v="GNR_EH_HEAT"/>
    <x v="0"/>
    <x v="13"/>
    <n v="16.5"/>
    <n v="6022.5"/>
    <n v="21681"/>
  </r>
  <r>
    <x v="0"/>
    <x v="0"/>
    <x v="0"/>
    <x v="0"/>
    <x v="1"/>
    <s v="DK2_Rural"/>
    <x v="1"/>
    <s v="GNR_EH_HEAT"/>
    <x v="0"/>
    <x v="14"/>
    <n v="16.5"/>
    <n v="6022.5"/>
    <n v="21681"/>
  </r>
  <r>
    <x v="0"/>
    <x v="0"/>
    <x v="0"/>
    <x v="0"/>
    <x v="1"/>
    <s v="DK2_Rural"/>
    <x v="1"/>
    <s v="GNR_EH_HEAT"/>
    <x v="0"/>
    <x v="15"/>
    <n v="16.5"/>
    <n v="6022.5"/>
    <n v="21681"/>
  </r>
  <r>
    <x v="0"/>
    <x v="0"/>
    <x v="0"/>
    <x v="0"/>
    <x v="1"/>
    <s v="DK2_Rural"/>
    <x v="1"/>
    <s v="GNR_EH_HEAT"/>
    <x v="0"/>
    <x v="16"/>
    <n v="16.5"/>
    <n v="6022.5"/>
    <n v="21681"/>
  </r>
  <r>
    <x v="0"/>
    <x v="0"/>
    <x v="0"/>
    <x v="0"/>
    <x v="1"/>
    <s v="DK2_Rural"/>
    <x v="1"/>
    <s v="GNR_EH_HEAT"/>
    <x v="0"/>
    <x v="17"/>
    <n v="16.5"/>
    <n v="6022.5"/>
    <n v="21681"/>
  </r>
  <r>
    <x v="0"/>
    <x v="0"/>
    <x v="0"/>
    <x v="0"/>
    <x v="1"/>
    <s v="DK2_Rural"/>
    <x v="1"/>
    <s v="GNR_EH_HEAT"/>
    <x v="0"/>
    <x v="19"/>
    <n v="16.5"/>
    <n v="6022.5"/>
    <n v="21681"/>
  </r>
  <r>
    <x v="0"/>
    <x v="0"/>
    <x v="0"/>
    <x v="0"/>
    <x v="1"/>
    <s v="DK2_Rural"/>
    <x v="1"/>
    <s v="GNR_EH_HEAT"/>
    <x v="0"/>
    <x v="20"/>
    <n v="16.5"/>
    <n v="6022.5"/>
    <n v="21681"/>
  </r>
  <r>
    <x v="0"/>
    <x v="0"/>
    <x v="0"/>
    <x v="0"/>
    <x v="1"/>
    <s v="DK2_Rural"/>
    <x v="1"/>
    <s v="GNR_EH_HEAT"/>
    <x v="0"/>
    <x v="21"/>
    <n v="16.5"/>
    <n v="6022.5"/>
    <n v="21681"/>
  </r>
  <r>
    <x v="0"/>
    <x v="0"/>
    <x v="0"/>
    <x v="0"/>
    <x v="1"/>
    <s v="DK2_Rural"/>
    <x v="1"/>
    <s v="GNR_EH_HEAT"/>
    <x v="0"/>
    <x v="22"/>
    <n v="16.5"/>
    <n v="6022.5"/>
    <n v="21681"/>
  </r>
  <r>
    <x v="0"/>
    <x v="0"/>
    <x v="0"/>
    <x v="0"/>
    <x v="1"/>
    <s v="DK2_Rural"/>
    <x v="1"/>
    <s v="GNR_EH_HEAT"/>
    <x v="0"/>
    <x v="23"/>
    <n v="16.5"/>
    <n v="6022.5"/>
    <n v="21681"/>
  </r>
  <r>
    <x v="0"/>
    <x v="0"/>
    <x v="0"/>
    <x v="0"/>
    <x v="1"/>
    <s v="DK2_Rural"/>
    <x v="9"/>
    <s v="GNR_BO_WOODWST_E-100"/>
    <x v="0"/>
    <x v="0"/>
    <n v="6.3"/>
    <n v="2299.5"/>
    <n v="8278.2000000000007"/>
  </r>
  <r>
    <x v="0"/>
    <x v="0"/>
    <x v="0"/>
    <x v="0"/>
    <x v="1"/>
    <s v="DK2_Rural"/>
    <x v="9"/>
    <s v="GNR_BO_WOODWST_E-100"/>
    <x v="0"/>
    <x v="1"/>
    <n v="6.3"/>
    <n v="2299.5"/>
    <n v="8278.2000000000007"/>
  </r>
  <r>
    <x v="0"/>
    <x v="0"/>
    <x v="0"/>
    <x v="0"/>
    <x v="1"/>
    <s v="DK2_Rural"/>
    <x v="9"/>
    <s v="GNR_BO_WOODWST_E-100"/>
    <x v="0"/>
    <x v="2"/>
    <n v="6.3"/>
    <n v="2299.5"/>
    <n v="8278.2000000000007"/>
  </r>
  <r>
    <x v="0"/>
    <x v="0"/>
    <x v="0"/>
    <x v="0"/>
    <x v="1"/>
    <s v="DK2_Rural"/>
    <x v="9"/>
    <s v="GNR_BO_WOODWST_E-100"/>
    <x v="0"/>
    <x v="3"/>
    <n v="6.3"/>
    <n v="2299.5"/>
    <n v="8278.2000000000007"/>
  </r>
  <r>
    <x v="0"/>
    <x v="0"/>
    <x v="0"/>
    <x v="0"/>
    <x v="1"/>
    <s v="DK2_Rural"/>
    <x v="9"/>
    <s v="GNR_BO_WOODWST_E-100"/>
    <x v="0"/>
    <x v="18"/>
    <n v="6.3"/>
    <n v="2299.5"/>
    <n v="8278.2000000000007"/>
  </r>
  <r>
    <x v="0"/>
    <x v="0"/>
    <x v="0"/>
    <x v="0"/>
    <x v="1"/>
    <s v="DK2_Rural"/>
    <x v="9"/>
    <s v="GNR_BO_WOODWST_E-100"/>
    <x v="0"/>
    <x v="4"/>
    <n v="6.3"/>
    <n v="2299.5"/>
    <n v="8278.2000000000007"/>
  </r>
  <r>
    <x v="0"/>
    <x v="0"/>
    <x v="0"/>
    <x v="0"/>
    <x v="1"/>
    <s v="DK2_Rural"/>
    <x v="9"/>
    <s v="GNR_BO_WOODWST_E-100"/>
    <x v="0"/>
    <x v="5"/>
    <n v="6.3"/>
    <n v="2299.5"/>
    <n v="8278.2000000000007"/>
  </r>
  <r>
    <x v="0"/>
    <x v="0"/>
    <x v="0"/>
    <x v="0"/>
    <x v="1"/>
    <s v="DK2_Rural"/>
    <x v="9"/>
    <s v="GNR_BO_WOODWST_E-100"/>
    <x v="0"/>
    <x v="6"/>
    <n v="6.3"/>
    <n v="2299.5"/>
    <n v="8278.2000000000007"/>
  </r>
  <r>
    <x v="0"/>
    <x v="0"/>
    <x v="0"/>
    <x v="0"/>
    <x v="1"/>
    <s v="DK2_Rural"/>
    <x v="9"/>
    <s v="GNR_BO_WOODWST_E-100"/>
    <x v="0"/>
    <x v="7"/>
    <n v="6.3"/>
    <n v="2299.5"/>
    <n v="8278.2000000000007"/>
  </r>
  <r>
    <x v="0"/>
    <x v="0"/>
    <x v="0"/>
    <x v="0"/>
    <x v="1"/>
    <s v="DK2_Rural"/>
    <x v="9"/>
    <s v="GNR_BO_WOODWST_E-100"/>
    <x v="0"/>
    <x v="8"/>
    <n v="6.3"/>
    <n v="2299.5"/>
    <n v="8278.2000000000007"/>
  </r>
  <r>
    <x v="0"/>
    <x v="0"/>
    <x v="0"/>
    <x v="0"/>
    <x v="1"/>
    <s v="DK2_Rural"/>
    <x v="9"/>
    <s v="GNR_BO_WOODWST_E-100"/>
    <x v="0"/>
    <x v="9"/>
    <n v="6.3"/>
    <n v="2299.5"/>
    <n v="8278.2000000000007"/>
  </r>
  <r>
    <x v="0"/>
    <x v="0"/>
    <x v="0"/>
    <x v="0"/>
    <x v="1"/>
    <s v="DK2_Rural"/>
    <x v="9"/>
    <s v="GNR_BO_WOODWST_E-100"/>
    <x v="0"/>
    <x v="10"/>
    <n v="6.3"/>
    <n v="2299.5"/>
    <n v="8278.2000000000007"/>
  </r>
  <r>
    <x v="0"/>
    <x v="0"/>
    <x v="0"/>
    <x v="0"/>
    <x v="1"/>
    <s v="DK2_Rural"/>
    <x v="9"/>
    <s v="GNR_BO_WOODWST_E-100"/>
    <x v="0"/>
    <x v="11"/>
    <n v="6.3"/>
    <n v="2299.5"/>
    <n v="8278.2000000000007"/>
  </r>
  <r>
    <x v="0"/>
    <x v="0"/>
    <x v="0"/>
    <x v="0"/>
    <x v="1"/>
    <s v="DK2_Rural"/>
    <x v="9"/>
    <s v="GNR_BO_WOODWST_E-100"/>
    <x v="0"/>
    <x v="12"/>
    <n v="6.3"/>
    <n v="2299.5"/>
    <n v="8278.2000000000007"/>
  </r>
  <r>
    <x v="0"/>
    <x v="0"/>
    <x v="0"/>
    <x v="0"/>
    <x v="1"/>
    <s v="DK2_Rural"/>
    <x v="9"/>
    <s v="GNR_BO_WOODWST_E-100"/>
    <x v="0"/>
    <x v="13"/>
    <n v="6.3"/>
    <n v="2299.5"/>
    <n v="8278.2000000000007"/>
  </r>
  <r>
    <x v="0"/>
    <x v="0"/>
    <x v="0"/>
    <x v="0"/>
    <x v="1"/>
    <s v="DK2_Rural"/>
    <x v="9"/>
    <s v="GNR_BO_WOODWST_E-100"/>
    <x v="0"/>
    <x v="14"/>
    <n v="6.3"/>
    <n v="2299.5"/>
    <n v="8278.2000000000007"/>
  </r>
  <r>
    <x v="0"/>
    <x v="0"/>
    <x v="0"/>
    <x v="0"/>
    <x v="1"/>
    <s v="DK2_Rural"/>
    <x v="9"/>
    <s v="GNR_BO_WOODWST_E-100"/>
    <x v="0"/>
    <x v="15"/>
    <n v="6.3"/>
    <n v="2299.5"/>
    <n v="8278.2000000000007"/>
  </r>
  <r>
    <x v="0"/>
    <x v="0"/>
    <x v="0"/>
    <x v="0"/>
    <x v="1"/>
    <s v="DK2_Rural"/>
    <x v="9"/>
    <s v="GNR_BO_WOODWST_E-100"/>
    <x v="0"/>
    <x v="16"/>
    <n v="6.3"/>
    <n v="2299.5"/>
    <n v="8278.2000000000007"/>
  </r>
  <r>
    <x v="0"/>
    <x v="0"/>
    <x v="0"/>
    <x v="0"/>
    <x v="1"/>
    <s v="DK2_Rural"/>
    <x v="9"/>
    <s v="GNR_BO_WOODWST_E-100"/>
    <x v="0"/>
    <x v="17"/>
    <n v="6.3"/>
    <n v="2299.5"/>
    <n v="8278.2000000000007"/>
  </r>
  <r>
    <x v="0"/>
    <x v="0"/>
    <x v="0"/>
    <x v="0"/>
    <x v="1"/>
    <s v="DK2_Rural"/>
    <x v="9"/>
    <s v="GNR_BO_WOODWST_E-100"/>
    <x v="0"/>
    <x v="19"/>
    <n v="6.3"/>
    <n v="2299.5"/>
    <n v="8278.2000000000007"/>
  </r>
  <r>
    <x v="0"/>
    <x v="0"/>
    <x v="0"/>
    <x v="0"/>
    <x v="1"/>
    <s v="DK2_Rural"/>
    <x v="9"/>
    <s v="GNR_BO_WOODWST_E-100"/>
    <x v="0"/>
    <x v="20"/>
    <n v="6.3"/>
    <n v="2299.5"/>
    <n v="8278.2000000000007"/>
  </r>
  <r>
    <x v="0"/>
    <x v="0"/>
    <x v="0"/>
    <x v="0"/>
    <x v="1"/>
    <s v="DK2_Rural"/>
    <x v="9"/>
    <s v="GNR_BO_WOODWST_E-100"/>
    <x v="0"/>
    <x v="21"/>
    <n v="6.3"/>
    <n v="2299.5"/>
    <n v="8278.2000000000007"/>
  </r>
  <r>
    <x v="0"/>
    <x v="0"/>
    <x v="0"/>
    <x v="0"/>
    <x v="1"/>
    <s v="DK2_Rural"/>
    <x v="9"/>
    <s v="GNR_BO_WOODWST_E-100"/>
    <x v="0"/>
    <x v="22"/>
    <n v="6.3"/>
    <n v="2299.5"/>
    <n v="8278.2000000000007"/>
  </r>
  <r>
    <x v="0"/>
    <x v="0"/>
    <x v="0"/>
    <x v="0"/>
    <x v="1"/>
    <s v="DK2_Rural"/>
    <x v="9"/>
    <s v="GNR_BO_WOODWST_E-100"/>
    <x v="0"/>
    <x v="23"/>
    <n v="6.3"/>
    <n v="2299.5"/>
    <n v="8278.2000000000007"/>
  </r>
  <r>
    <x v="0"/>
    <x v="0"/>
    <x v="0"/>
    <x v="0"/>
    <x v="1"/>
    <s v="DK2_Small"/>
    <x v="2"/>
    <s v="GNR_BO_MSW_E-105"/>
    <x v="0"/>
    <x v="0"/>
    <n v="3.1428571428571401"/>
    <n v="1147.1428571428601"/>
    <n v="4129.7142857142899"/>
  </r>
  <r>
    <x v="0"/>
    <x v="0"/>
    <x v="0"/>
    <x v="0"/>
    <x v="1"/>
    <s v="DK2_Small"/>
    <x v="2"/>
    <s v="GNR_BO_MSW_E-105"/>
    <x v="0"/>
    <x v="1"/>
    <n v="3.1428571428571401"/>
    <n v="1147.1428571428601"/>
    <n v="4129.7142857142899"/>
  </r>
  <r>
    <x v="0"/>
    <x v="0"/>
    <x v="0"/>
    <x v="0"/>
    <x v="1"/>
    <s v="DK2_Small"/>
    <x v="2"/>
    <s v="GNR_BO_MSW_E-105"/>
    <x v="0"/>
    <x v="2"/>
    <n v="3.1428571428571401"/>
    <n v="1147.1428571428601"/>
    <n v="4129.7142857142899"/>
  </r>
  <r>
    <x v="0"/>
    <x v="0"/>
    <x v="0"/>
    <x v="0"/>
    <x v="1"/>
    <s v="DK2_Small"/>
    <x v="2"/>
    <s v="GNR_BO_MSW_E-105"/>
    <x v="0"/>
    <x v="3"/>
    <n v="3.1428571428571401"/>
    <n v="1147.1428571428601"/>
    <n v="4129.7142857142899"/>
  </r>
  <r>
    <x v="0"/>
    <x v="0"/>
    <x v="0"/>
    <x v="0"/>
    <x v="1"/>
    <s v="DK2_Small"/>
    <x v="2"/>
    <s v="GNR_BO_MSW_E-105"/>
    <x v="0"/>
    <x v="18"/>
    <n v="3.1428571428571401"/>
    <n v="1147.1428571428601"/>
    <n v="4129.7142857142899"/>
  </r>
  <r>
    <x v="0"/>
    <x v="0"/>
    <x v="0"/>
    <x v="0"/>
    <x v="1"/>
    <s v="DK2_Small"/>
    <x v="2"/>
    <s v="GNR_BO_MSW_E-105"/>
    <x v="0"/>
    <x v="4"/>
    <n v="3.1428571428571401"/>
    <n v="1147.1428571428601"/>
    <n v="4129.7142857142899"/>
  </r>
  <r>
    <x v="0"/>
    <x v="0"/>
    <x v="0"/>
    <x v="0"/>
    <x v="1"/>
    <s v="DK2_Small"/>
    <x v="2"/>
    <s v="GNR_BO_MSW_E-105"/>
    <x v="0"/>
    <x v="5"/>
    <n v="3.1428571428571401"/>
    <n v="1147.1428571428601"/>
    <n v="4129.7142857142899"/>
  </r>
  <r>
    <x v="0"/>
    <x v="0"/>
    <x v="0"/>
    <x v="0"/>
    <x v="1"/>
    <s v="DK2_Small"/>
    <x v="2"/>
    <s v="GNR_BO_MSW_E-105"/>
    <x v="0"/>
    <x v="6"/>
    <n v="3.1428571428571401"/>
    <n v="1147.1428571428601"/>
    <n v="4129.7142857142899"/>
  </r>
  <r>
    <x v="0"/>
    <x v="0"/>
    <x v="0"/>
    <x v="0"/>
    <x v="1"/>
    <s v="DK2_Small"/>
    <x v="2"/>
    <s v="GNR_BO_MSW_E-105"/>
    <x v="0"/>
    <x v="7"/>
    <n v="3.1428571428571401"/>
    <n v="1147.1428571428601"/>
    <n v="4129.7142857142899"/>
  </r>
  <r>
    <x v="0"/>
    <x v="0"/>
    <x v="0"/>
    <x v="0"/>
    <x v="1"/>
    <s v="DK2_Small"/>
    <x v="2"/>
    <s v="GNR_BO_MSW_E-105"/>
    <x v="0"/>
    <x v="8"/>
    <n v="3.1428571428571401"/>
    <n v="1147.1428571428601"/>
    <n v="4129.7142857142899"/>
  </r>
  <r>
    <x v="0"/>
    <x v="0"/>
    <x v="0"/>
    <x v="0"/>
    <x v="1"/>
    <s v="DK2_Small"/>
    <x v="2"/>
    <s v="GNR_BO_MSW_E-105"/>
    <x v="0"/>
    <x v="9"/>
    <n v="3.1428571428571401"/>
    <n v="1147.1428571428601"/>
    <n v="4129.7142857142899"/>
  </r>
  <r>
    <x v="0"/>
    <x v="0"/>
    <x v="0"/>
    <x v="0"/>
    <x v="1"/>
    <s v="DK2_Small"/>
    <x v="2"/>
    <s v="GNR_BO_MSW_E-105"/>
    <x v="0"/>
    <x v="10"/>
    <n v="3.1428571428571401"/>
    <n v="1147.1428571428601"/>
    <n v="4129.7142857142899"/>
  </r>
  <r>
    <x v="0"/>
    <x v="0"/>
    <x v="0"/>
    <x v="0"/>
    <x v="1"/>
    <s v="DK2_Small"/>
    <x v="2"/>
    <s v="GNR_BO_MSW_E-105"/>
    <x v="0"/>
    <x v="11"/>
    <n v="3.1428571428571401"/>
    <n v="1147.1428571428601"/>
    <n v="4129.7142857142899"/>
  </r>
  <r>
    <x v="0"/>
    <x v="0"/>
    <x v="0"/>
    <x v="0"/>
    <x v="1"/>
    <s v="DK2_Small"/>
    <x v="2"/>
    <s v="GNR_BO_MSW_E-105"/>
    <x v="0"/>
    <x v="12"/>
    <n v="3.1428571428571401"/>
    <n v="1147.1428571428601"/>
    <n v="4129.7142857142899"/>
  </r>
  <r>
    <x v="0"/>
    <x v="0"/>
    <x v="0"/>
    <x v="0"/>
    <x v="1"/>
    <s v="DK2_Small"/>
    <x v="2"/>
    <s v="GNR_BO_MSW_E-105"/>
    <x v="0"/>
    <x v="13"/>
    <n v="3.1428571428571401"/>
    <n v="1147.1428571428601"/>
    <n v="4129.7142857142899"/>
  </r>
  <r>
    <x v="0"/>
    <x v="0"/>
    <x v="0"/>
    <x v="0"/>
    <x v="1"/>
    <s v="DK2_Small"/>
    <x v="2"/>
    <s v="GNR_BO_MSW_E-105"/>
    <x v="0"/>
    <x v="14"/>
    <n v="3.1428571428571401"/>
    <n v="1147.1428571428601"/>
    <n v="4129.7142857142899"/>
  </r>
  <r>
    <x v="0"/>
    <x v="0"/>
    <x v="0"/>
    <x v="0"/>
    <x v="1"/>
    <s v="DK2_Small"/>
    <x v="2"/>
    <s v="GNR_BO_MSW_E-105"/>
    <x v="0"/>
    <x v="15"/>
    <n v="3.1428571428571401"/>
    <n v="1147.1428571428601"/>
    <n v="4129.7142857142899"/>
  </r>
  <r>
    <x v="0"/>
    <x v="0"/>
    <x v="0"/>
    <x v="0"/>
    <x v="1"/>
    <s v="DK2_Small"/>
    <x v="2"/>
    <s v="GNR_BO_MSW_E-105"/>
    <x v="0"/>
    <x v="16"/>
    <n v="3.1428571428571401"/>
    <n v="1147.1428571428601"/>
    <n v="4129.7142857142899"/>
  </r>
  <r>
    <x v="0"/>
    <x v="0"/>
    <x v="0"/>
    <x v="0"/>
    <x v="1"/>
    <s v="DK2_Small"/>
    <x v="2"/>
    <s v="GNR_BO_MSW_E-105"/>
    <x v="0"/>
    <x v="17"/>
    <n v="3.1428571428571401"/>
    <n v="1147.1428571428601"/>
    <n v="4129.7142857142899"/>
  </r>
  <r>
    <x v="0"/>
    <x v="0"/>
    <x v="0"/>
    <x v="0"/>
    <x v="1"/>
    <s v="DK2_Small"/>
    <x v="2"/>
    <s v="GNR_BO_MSW_E-105"/>
    <x v="0"/>
    <x v="19"/>
    <n v="3.1428571428571401"/>
    <n v="1147.1428571428601"/>
    <n v="4129.7142857142899"/>
  </r>
  <r>
    <x v="0"/>
    <x v="0"/>
    <x v="0"/>
    <x v="0"/>
    <x v="1"/>
    <s v="DK2_Small"/>
    <x v="2"/>
    <s v="GNR_BO_MSW_E-105"/>
    <x v="0"/>
    <x v="20"/>
    <n v="3.1428571428571401"/>
    <n v="1147.1428571428601"/>
    <n v="4129.7142857142899"/>
  </r>
  <r>
    <x v="0"/>
    <x v="0"/>
    <x v="0"/>
    <x v="0"/>
    <x v="1"/>
    <s v="DK2_Small"/>
    <x v="2"/>
    <s v="GNR_BO_MSW_E-105"/>
    <x v="0"/>
    <x v="21"/>
    <n v="3.1428571428571401"/>
    <n v="1147.1428571428601"/>
    <n v="4129.7142857142899"/>
  </r>
  <r>
    <x v="0"/>
    <x v="0"/>
    <x v="0"/>
    <x v="0"/>
    <x v="1"/>
    <s v="DK2_Small"/>
    <x v="2"/>
    <s v="GNR_BO_MSW_E-105"/>
    <x v="0"/>
    <x v="22"/>
    <n v="3.1428571428571401"/>
    <n v="1147.1428571428601"/>
    <n v="4129.7142857142899"/>
  </r>
  <r>
    <x v="0"/>
    <x v="0"/>
    <x v="0"/>
    <x v="0"/>
    <x v="1"/>
    <s v="DK2_Small"/>
    <x v="2"/>
    <s v="GNR_BO_MSW_E-105"/>
    <x v="0"/>
    <x v="23"/>
    <n v="3.1428571428571401"/>
    <n v="1147.1428571428601"/>
    <n v="4129.7142857142899"/>
  </r>
  <r>
    <x v="0"/>
    <x v="0"/>
    <x v="0"/>
    <x v="0"/>
    <x v="1"/>
    <s v="DK2_Small"/>
    <x v="3"/>
    <s v="GNR_BO_NGAS_E-101"/>
    <x v="0"/>
    <x v="6"/>
    <n v="0.61086946923393504"/>
    <n v="222.96735627038601"/>
    <n v="802.68248257338996"/>
  </r>
  <r>
    <x v="0"/>
    <x v="0"/>
    <x v="0"/>
    <x v="0"/>
    <x v="1"/>
    <s v="DK2_Small"/>
    <x v="3"/>
    <s v="GNR_BO_NGAS_E-101"/>
    <x v="0"/>
    <x v="7"/>
    <n v="6.7114615479320703"/>
    <n v="2449.6834649952102"/>
    <n v="8818.8604739827406"/>
  </r>
  <r>
    <x v="0"/>
    <x v="0"/>
    <x v="0"/>
    <x v="0"/>
    <x v="1"/>
    <s v="DK2_Small"/>
    <x v="3"/>
    <s v="GNR_BO_NGAS_E-101"/>
    <x v="0"/>
    <x v="8"/>
    <n v="6.6568248850910496"/>
    <n v="2429.7410830582298"/>
    <n v="8747.0678990096403"/>
  </r>
  <r>
    <x v="0"/>
    <x v="0"/>
    <x v="0"/>
    <x v="0"/>
    <x v="1"/>
    <s v="DK2_Small"/>
    <x v="3"/>
    <s v="GNR_BO_NGAS_E-101"/>
    <x v="0"/>
    <x v="9"/>
    <n v="6.75517087820488"/>
    <n v="2465.63737054478"/>
    <n v="8876.2945339612106"/>
  </r>
  <r>
    <x v="0"/>
    <x v="0"/>
    <x v="0"/>
    <x v="0"/>
    <x v="1"/>
    <s v="DK2_Small"/>
    <x v="3"/>
    <s v="GNR_BO_NGAS_E-101"/>
    <x v="0"/>
    <x v="10"/>
    <n v="6.6568248850910496"/>
    <n v="2429.7410830582298"/>
    <n v="8747.0678990096403"/>
  </r>
  <r>
    <x v="0"/>
    <x v="0"/>
    <x v="0"/>
    <x v="0"/>
    <x v="1"/>
    <s v="DK2_Small"/>
    <x v="3"/>
    <s v="GNR_BO_NGAS_E-101"/>
    <x v="0"/>
    <x v="11"/>
    <n v="6.0448942612716499"/>
    <n v="2206.3864053641501"/>
    <n v="7942.9910593109498"/>
  </r>
  <r>
    <x v="0"/>
    <x v="0"/>
    <x v="0"/>
    <x v="0"/>
    <x v="1"/>
    <s v="DK2_Small"/>
    <x v="3"/>
    <s v="GNR_BO_NGAS_E-101"/>
    <x v="0"/>
    <x v="12"/>
    <n v="5.6187282911117196"/>
    <n v="2050.8358262557799"/>
    <n v="7383.0089745207997"/>
  </r>
  <r>
    <x v="0"/>
    <x v="0"/>
    <x v="0"/>
    <x v="0"/>
    <x v="1"/>
    <s v="DK2_Small"/>
    <x v="3"/>
    <s v="GNR_BO_NGAS_E-101"/>
    <x v="0"/>
    <x v="13"/>
    <n v="5.7935656122029702"/>
    <n v="2114.6514484540799"/>
    <n v="7612.7452144347099"/>
  </r>
  <r>
    <x v="0"/>
    <x v="0"/>
    <x v="0"/>
    <x v="0"/>
    <x v="1"/>
    <s v="DK2_Small"/>
    <x v="3"/>
    <s v="GNR_BO_NGAS_E-101"/>
    <x v="0"/>
    <x v="14"/>
    <n v="5.9574756007260303"/>
    <n v="2174.4785942650001"/>
    <n v="7828.1229393539998"/>
  </r>
  <r>
    <x v="0"/>
    <x v="0"/>
    <x v="0"/>
    <x v="0"/>
    <x v="1"/>
    <s v="DK2_Small"/>
    <x v="3"/>
    <s v="GNR_BO_NGAS_E-101"/>
    <x v="0"/>
    <x v="15"/>
    <n v="6.0558215938398599"/>
    <n v="2210.3748817515502"/>
    <n v="7957.3495743055701"/>
  </r>
  <r>
    <x v="0"/>
    <x v="0"/>
    <x v="0"/>
    <x v="0"/>
    <x v="1"/>
    <s v="DK2_Small"/>
    <x v="3"/>
    <s v="GNR_BO_NGAS_E-101"/>
    <x v="0"/>
    <x v="16"/>
    <n v="6.3508595731813502"/>
    <n v="2318.0637442111902"/>
    <n v="8345.0294791602992"/>
  </r>
  <r>
    <x v="0"/>
    <x v="0"/>
    <x v="0"/>
    <x v="0"/>
    <x v="1"/>
    <s v="DK2_Small"/>
    <x v="3"/>
    <s v="GNR_BO_NGAS_E-101"/>
    <x v="0"/>
    <x v="17"/>
    <n v="6.3071502429085404"/>
    <n v="2302.10983866162"/>
    <n v="8287.59541918182"/>
  </r>
  <r>
    <x v="0"/>
    <x v="0"/>
    <x v="0"/>
    <x v="0"/>
    <x v="1"/>
    <s v="DK2_Small"/>
    <x v="3"/>
    <s v="GNR_BO_NGAS_E-101"/>
    <x v="0"/>
    <x v="19"/>
    <n v="5.8591296076121901"/>
    <n v="2138.5823067784499"/>
    <n v="7698.8963044024204"/>
  </r>
  <r>
    <x v="0"/>
    <x v="0"/>
    <x v="0"/>
    <x v="0"/>
    <x v="1"/>
    <s v="DK2_Small"/>
    <x v="3"/>
    <s v="GNR_BO_NGAS_E-101"/>
    <x v="0"/>
    <x v="20"/>
    <n v="5.01772499986052"/>
    <n v="1831.4696249490901"/>
    <n v="6593.2906498167204"/>
  </r>
  <r>
    <x v="0"/>
    <x v="0"/>
    <x v="0"/>
    <x v="0"/>
    <x v="1"/>
    <s v="DK2_Small"/>
    <x v="3"/>
    <s v="GNR_BO_NGAS_E-101"/>
    <x v="0"/>
    <x v="21"/>
    <n v="0.97461194962521003"/>
    <n v="355.73336161320202"/>
    <n v="1280.6401018075301"/>
  </r>
  <r>
    <x v="0"/>
    <x v="0"/>
    <x v="0"/>
    <x v="0"/>
    <x v="1"/>
    <s v="DK2_Small"/>
    <x v="3"/>
    <s v="GNR_BO_NGAS_E-104"/>
    <x v="0"/>
    <x v="0"/>
    <n v="2.6090489799044199"/>
    <n v="952.30287766511401"/>
    <n v="3428.2903595944099"/>
  </r>
  <r>
    <x v="0"/>
    <x v="0"/>
    <x v="0"/>
    <x v="0"/>
    <x v="1"/>
    <s v="DK2_Small"/>
    <x v="3"/>
    <s v="GNR_BO_NGAS_E-104"/>
    <x v="0"/>
    <x v="1"/>
    <n v="2.4923156483344799"/>
    <n v="909.69521164208402"/>
    <n v="3274.9027619115"/>
  </r>
  <r>
    <x v="0"/>
    <x v="0"/>
    <x v="0"/>
    <x v="0"/>
    <x v="1"/>
    <s v="DK2_Small"/>
    <x v="3"/>
    <s v="GNR_BO_NGAS_E-104"/>
    <x v="0"/>
    <x v="2"/>
    <n v="2.38619443781635"/>
    <n v="870.96096980296602"/>
    <n v="3135.45949129068"/>
  </r>
  <r>
    <x v="0"/>
    <x v="0"/>
    <x v="0"/>
    <x v="0"/>
    <x v="1"/>
    <s v="DK2_Small"/>
    <x v="3"/>
    <s v="GNR_BO_NGAS_E-104"/>
    <x v="0"/>
    <x v="3"/>
    <n v="2.54537625359354"/>
    <n v="929.06233256164296"/>
    <n v="3344.6243972219099"/>
  </r>
  <r>
    <x v="0"/>
    <x v="0"/>
    <x v="0"/>
    <x v="0"/>
    <x v="1"/>
    <s v="DK2_Small"/>
    <x v="3"/>
    <s v="GNR_BO_NGAS_E-104"/>
    <x v="0"/>
    <x v="18"/>
    <n v="2.6621095851634902"/>
    <n v="971.66999858467204"/>
    <n v="3498.0119949048199"/>
  </r>
  <r>
    <x v="0"/>
    <x v="0"/>
    <x v="0"/>
    <x v="0"/>
    <x v="1"/>
    <s v="DK2_Small"/>
    <x v="3"/>
    <s v="GNR_BO_NGAS_E-104"/>
    <x v="0"/>
    <x v="4"/>
    <n v="4.5192307692307701"/>
    <n v="1649.51923076923"/>
    <n v="5938.2692307692296"/>
  </r>
  <r>
    <x v="0"/>
    <x v="0"/>
    <x v="0"/>
    <x v="0"/>
    <x v="1"/>
    <s v="DK2_Small"/>
    <x v="3"/>
    <s v="GNR_BO_NGAS_E-104"/>
    <x v="0"/>
    <x v="5"/>
    <n v="4.5192307692307701"/>
    <n v="1649.51923076923"/>
    <n v="5938.2692307692296"/>
  </r>
  <r>
    <x v="0"/>
    <x v="0"/>
    <x v="0"/>
    <x v="0"/>
    <x v="1"/>
    <s v="DK2_Small"/>
    <x v="3"/>
    <s v="GNR_BO_NGAS_E-104"/>
    <x v="0"/>
    <x v="6"/>
    <n v="4.5192307692307701"/>
    <n v="1649.51923076923"/>
    <n v="5938.2692307692296"/>
  </r>
  <r>
    <x v="0"/>
    <x v="0"/>
    <x v="0"/>
    <x v="0"/>
    <x v="1"/>
    <s v="DK2_Small"/>
    <x v="3"/>
    <s v="GNR_BO_NGAS_E-104"/>
    <x v="0"/>
    <x v="7"/>
    <n v="4.5192307692307701"/>
    <n v="1649.51923076923"/>
    <n v="5938.2692307692296"/>
  </r>
  <r>
    <x v="0"/>
    <x v="0"/>
    <x v="0"/>
    <x v="0"/>
    <x v="1"/>
    <s v="DK2_Small"/>
    <x v="3"/>
    <s v="GNR_BO_NGAS_E-104"/>
    <x v="0"/>
    <x v="8"/>
    <n v="4.5192307692307701"/>
    <n v="1649.51923076923"/>
    <n v="5938.2692307692296"/>
  </r>
  <r>
    <x v="0"/>
    <x v="0"/>
    <x v="0"/>
    <x v="0"/>
    <x v="1"/>
    <s v="DK2_Small"/>
    <x v="3"/>
    <s v="GNR_BO_NGAS_E-104"/>
    <x v="0"/>
    <x v="9"/>
    <n v="4.5192307692307701"/>
    <n v="1649.51923076923"/>
    <n v="5938.2692307692296"/>
  </r>
  <r>
    <x v="0"/>
    <x v="0"/>
    <x v="0"/>
    <x v="0"/>
    <x v="1"/>
    <s v="DK2_Small"/>
    <x v="3"/>
    <s v="GNR_BO_NGAS_E-104"/>
    <x v="0"/>
    <x v="10"/>
    <n v="4.5192307692307701"/>
    <n v="1649.51923076923"/>
    <n v="5938.2692307692296"/>
  </r>
  <r>
    <x v="0"/>
    <x v="0"/>
    <x v="0"/>
    <x v="0"/>
    <x v="1"/>
    <s v="DK2_Small"/>
    <x v="3"/>
    <s v="GNR_BO_NGAS_E-104"/>
    <x v="0"/>
    <x v="11"/>
    <n v="4.5192307692307701"/>
    <n v="1649.51923076923"/>
    <n v="5938.2692307692296"/>
  </r>
  <r>
    <x v="0"/>
    <x v="0"/>
    <x v="0"/>
    <x v="0"/>
    <x v="1"/>
    <s v="DK2_Small"/>
    <x v="3"/>
    <s v="GNR_BO_NGAS_E-104"/>
    <x v="0"/>
    <x v="12"/>
    <n v="4.5192307692307701"/>
    <n v="1649.51923076923"/>
    <n v="5938.2692307692296"/>
  </r>
  <r>
    <x v="0"/>
    <x v="0"/>
    <x v="0"/>
    <x v="0"/>
    <x v="1"/>
    <s v="DK2_Small"/>
    <x v="3"/>
    <s v="GNR_BO_NGAS_E-104"/>
    <x v="0"/>
    <x v="13"/>
    <n v="4.5192307692307701"/>
    <n v="1649.51923076923"/>
    <n v="5938.2692307692296"/>
  </r>
  <r>
    <x v="0"/>
    <x v="0"/>
    <x v="0"/>
    <x v="0"/>
    <x v="1"/>
    <s v="DK2_Small"/>
    <x v="3"/>
    <s v="GNR_BO_NGAS_E-104"/>
    <x v="0"/>
    <x v="14"/>
    <n v="4.5192307692307701"/>
    <n v="1649.51923076923"/>
    <n v="5938.2692307692296"/>
  </r>
  <r>
    <x v="0"/>
    <x v="0"/>
    <x v="0"/>
    <x v="0"/>
    <x v="1"/>
    <s v="DK2_Small"/>
    <x v="3"/>
    <s v="GNR_BO_NGAS_E-104"/>
    <x v="0"/>
    <x v="15"/>
    <n v="4.5192307692307701"/>
    <n v="1649.51923076923"/>
    <n v="5938.2692307692296"/>
  </r>
  <r>
    <x v="0"/>
    <x v="0"/>
    <x v="0"/>
    <x v="0"/>
    <x v="1"/>
    <s v="DK2_Small"/>
    <x v="3"/>
    <s v="GNR_BO_NGAS_E-104"/>
    <x v="0"/>
    <x v="16"/>
    <n v="4.5192307692307701"/>
    <n v="1649.51923076923"/>
    <n v="5938.2692307692296"/>
  </r>
  <r>
    <x v="0"/>
    <x v="0"/>
    <x v="0"/>
    <x v="0"/>
    <x v="1"/>
    <s v="DK2_Small"/>
    <x v="3"/>
    <s v="GNR_BO_NGAS_E-104"/>
    <x v="0"/>
    <x v="17"/>
    <n v="4.5192307692307701"/>
    <n v="1649.51923076923"/>
    <n v="5938.2692307692296"/>
  </r>
  <r>
    <x v="0"/>
    <x v="0"/>
    <x v="0"/>
    <x v="0"/>
    <x v="1"/>
    <s v="DK2_Small"/>
    <x v="3"/>
    <s v="GNR_BO_NGAS_E-104"/>
    <x v="0"/>
    <x v="19"/>
    <n v="4.5192307692307701"/>
    <n v="1649.51923076923"/>
    <n v="5938.2692307692296"/>
  </r>
  <r>
    <x v="0"/>
    <x v="0"/>
    <x v="0"/>
    <x v="0"/>
    <x v="1"/>
    <s v="DK2_Small"/>
    <x v="3"/>
    <s v="GNR_BO_NGAS_E-104"/>
    <x v="0"/>
    <x v="20"/>
    <n v="4.5192307692307701"/>
    <n v="1649.51923076923"/>
    <n v="5938.2692307692296"/>
  </r>
  <r>
    <x v="0"/>
    <x v="0"/>
    <x v="0"/>
    <x v="0"/>
    <x v="1"/>
    <s v="DK2_Small"/>
    <x v="3"/>
    <s v="GNR_BO_NGAS_E-104"/>
    <x v="0"/>
    <x v="21"/>
    <n v="4.5192307692307701"/>
    <n v="1649.51923076923"/>
    <n v="5938.2692307692296"/>
  </r>
  <r>
    <x v="0"/>
    <x v="0"/>
    <x v="0"/>
    <x v="0"/>
    <x v="1"/>
    <s v="DK2_Small"/>
    <x v="3"/>
    <s v="GNR_BO_NGAS_E-104"/>
    <x v="0"/>
    <x v="22"/>
    <n v="4.5192307692307701"/>
    <n v="1649.51923076923"/>
    <n v="5938.2692307692296"/>
  </r>
  <r>
    <x v="0"/>
    <x v="0"/>
    <x v="0"/>
    <x v="0"/>
    <x v="1"/>
    <s v="DK2_Small"/>
    <x v="3"/>
    <s v="GNR_BO_NGAS_E-104"/>
    <x v="0"/>
    <x v="23"/>
    <n v="4.5192307692307701"/>
    <n v="1649.51923076923"/>
    <n v="5938.2692307692296"/>
  </r>
  <r>
    <x v="0"/>
    <x v="0"/>
    <x v="0"/>
    <x v="0"/>
    <x v="1"/>
    <s v="DK2_Small"/>
    <x v="4"/>
    <s v="GNR_BO_STRW_E-100"/>
    <x v="0"/>
    <x v="0"/>
    <n v="6.5"/>
    <n v="2372.5"/>
    <n v="8541"/>
  </r>
  <r>
    <x v="0"/>
    <x v="0"/>
    <x v="0"/>
    <x v="0"/>
    <x v="1"/>
    <s v="DK2_Small"/>
    <x v="4"/>
    <s v="GNR_BO_STRW_E-100"/>
    <x v="0"/>
    <x v="1"/>
    <n v="6.5"/>
    <n v="2372.5"/>
    <n v="8541"/>
  </r>
  <r>
    <x v="0"/>
    <x v="0"/>
    <x v="0"/>
    <x v="0"/>
    <x v="1"/>
    <s v="DK2_Small"/>
    <x v="4"/>
    <s v="GNR_BO_STRW_E-100"/>
    <x v="0"/>
    <x v="2"/>
    <n v="6.5"/>
    <n v="2372.5"/>
    <n v="8541"/>
  </r>
  <r>
    <x v="0"/>
    <x v="0"/>
    <x v="0"/>
    <x v="0"/>
    <x v="1"/>
    <s v="DK2_Small"/>
    <x v="4"/>
    <s v="GNR_BO_STRW_E-100"/>
    <x v="0"/>
    <x v="3"/>
    <n v="6.5"/>
    <n v="2372.5"/>
    <n v="8541"/>
  </r>
  <r>
    <x v="0"/>
    <x v="0"/>
    <x v="0"/>
    <x v="0"/>
    <x v="1"/>
    <s v="DK2_Small"/>
    <x v="4"/>
    <s v="GNR_BO_STRW_E-100"/>
    <x v="0"/>
    <x v="18"/>
    <n v="6.5"/>
    <n v="2372.5"/>
    <n v="8541"/>
  </r>
  <r>
    <x v="0"/>
    <x v="0"/>
    <x v="0"/>
    <x v="0"/>
    <x v="1"/>
    <s v="DK2_Small"/>
    <x v="4"/>
    <s v="GNR_BO_STRW_E-100"/>
    <x v="0"/>
    <x v="4"/>
    <n v="6.5"/>
    <n v="2372.5"/>
    <n v="8541"/>
  </r>
  <r>
    <x v="0"/>
    <x v="0"/>
    <x v="0"/>
    <x v="0"/>
    <x v="1"/>
    <s v="DK2_Small"/>
    <x v="4"/>
    <s v="GNR_BO_STRW_E-100"/>
    <x v="0"/>
    <x v="5"/>
    <n v="6.5"/>
    <n v="2372.5"/>
    <n v="8541"/>
  </r>
  <r>
    <x v="0"/>
    <x v="0"/>
    <x v="0"/>
    <x v="0"/>
    <x v="1"/>
    <s v="DK2_Small"/>
    <x v="4"/>
    <s v="GNR_BO_STRW_E-100"/>
    <x v="0"/>
    <x v="6"/>
    <n v="6.5"/>
    <n v="2372.5"/>
    <n v="8541"/>
  </r>
  <r>
    <x v="0"/>
    <x v="0"/>
    <x v="0"/>
    <x v="0"/>
    <x v="1"/>
    <s v="DK2_Small"/>
    <x v="4"/>
    <s v="GNR_BO_STRW_E-100"/>
    <x v="0"/>
    <x v="7"/>
    <n v="6.5"/>
    <n v="2372.5"/>
    <n v="8541"/>
  </r>
  <r>
    <x v="0"/>
    <x v="0"/>
    <x v="0"/>
    <x v="0"/>
    <x v="1"/>
    <s v="DK2_Small"/>
    <x v="4"/>
    <s v="GNR_BO_STRW_E-100"/>
    <x v="0"/>
    <x v="8"/>
    <n v="6.5"/>
    <n v="2372.5"/>
    <n v="8541"/>
  </r>
  <r>
    <x v="0"/>
    <x v="0"/>
    <x v="0"/>
    <x v="0"/>
    <x v="1"/>
    <s v="DK2_Small"/>
    <x v="4"/>
    <s v="GNR_BO_STRW_E-100"/>
    <x v="0"/>
    <x v="9"/>
    <n v="6.5"/>
    <n v="2372.5"/>
    <n v="8541"/>
  </r>
  <r>
    <x v="0"/>
    <x v="0"/>
    <x v="0"/>
    <x v="0"/>
    <x v="1"/>
    <s v="DK2_Small"/>
    <x v="4"/>
    <s v="GNR_BO_STRW_E-100"/>
    <x v="0"/>
    <x v="10"/>
    <n v="6.5"/>
    <n v="2372.5"/>
    <n v="8541"/>
  </r>
  <r>
    <x v="0"/>
    <x v="0"/>
    <x v="0"/>
    <x v="0"/>
    <x v="1"/>
    <s v="DK2_Small"/>
    <x v="4"/>
    <s v="GNR_BO_STRW_E-100"/>
    <x v="0"/>
    <x v="11"/>
    <n v="6.5"/>
    <n v="2372.5"/>
    <n v="8541"/>
  </r>
  <r>
    <x v="0"/>
    <x v="0"/>
    <x v="0"/>
    <x v="0"/>
    <x v="1"/>
    <s v="DK2_Small"/>
    <x v="4"/>
    <s v="GNR_BO_STRW_E-100"/>
    <x v="0"/>
    <x v="12"/>
    <n v="6.5"/>
    <n v="2372.5"/>
    <n v="8541"/>
  </r>
  <r>
    <x v="0"/>
    <x v="0"/>
    <x v="0"/>
    <x v="0"/>
    <x v="1"/>
    <s v="DK2_Small"/>
    <x v="4"/>
    <s v="GNR_BO_STRW_E-100"/>
    <x v="0"/>
    <x v="13"/>
    <n v="6.5"/>
    <n v="2372.5"/>
    <n v="8541"/>
  </r>
  <r>
    <x v="0"/>
    <x v="0"/>
    <x v="0"/>
    <x v="0"/>
    <x v="1"/>
    <s v="DK2_Small"/>
    <x v="4"/>
    <s v="GNR_BO_STRW_E-100"/>
    <x v="0"/>
    <x v="14"/>
    <n v="6.5"/>
    <n v="2372.5"/>
    <n v="8541"/>
  </r>
  <r>
    <x v="0"/>
    <x v="0"/>
    <x v="0"/>
    <x v="0"/>
    <x v="1"/>
    <s v="DK2_Small"/>
    <x v="4"/>
    <s v="GNR_BO_STRW_E-100"/>
    <x v="0"/>
    <x v="15"/>
    <n v="6.5"/>
    <n v="2372.5"/>
    <n v="8541"/>
  </r>
  <r>
    <x v="0"/>
    <x v="0"/>
    <x v="0"/>
    <x v="0"/>
    <x v="1"/>
    <s v="DK2_Small"/>
    <x v="4"/>
    <s v="GNR_BO_STRW_E-100"/>
    <x v="0"/>
    <x v="16"/>
    <n v="6.5"/>
    <n v="2372.5"/>
    <n v="8541"/>
  </r>
  <r>
    <x v="0"/>
    <x v="0"/>
    <x v="0"/>
    <x v="0"/>
    <x v="1"/>
    <s v="DK2_Small"/>
    <x v="4"/>
    <s v="GNR_BO_STRW_E-100"/>
    <x v="0"/>
    <x v="17"/>
    <n v="6.5"/>
    <n v="2372.5"/>
    <n v="8541"/>
  </r>
  <r>
    <x v="0"/>
    <x v="0"/>
    <x v="0"/>
    <x v="0"/>
    <x v="1"/>
    <s v="DK2_Small"/>
    <x v="4"/>
    <s v="GNR_BO_STRW_E-100"/>
    <x v="0"/>
    <x v="19"/>
    <n v="6.5"/>
    <n v="2372.5"/>
    <n v="8541"/>
  </r>
  <r>
    <x v="0"/>
    <x v="0"/>
    <x v="0"/>
    <x v="0"/>
    <x v="1"/>
    <s v="DK2_Small"/>
    <x v="4"/>
    <s v="GNR_BO_STRW_E-100"/>
    <x v="0"/>
    <x v="20"/>
    <n v="6.5"/>
    <n v="2372.5"/>
    <n v="8541"/>
  </r>
  <r>
    <x v="0"/>
    <x v="0"/>
    <x v="0"/>
    <x v="0"/>
    <x v="1"/>
    <s v="DK2_Small"/>
    <x v="4"/>
    <s v="GNR_BO_STRW_E-100"/>
    <x v="0"/>
    <x v="21"/>
    <n v="6.5"/>
    <n v="2372.5"/>
    <n v="8541"/>
  </r>
  <r>
    <x v="0"/>
    <x v="0"/>
    <x v="0"/>
    <x v="0"/>
    <x v="1"/>
    <s v="DK2_Small"/>
    <x v="4"/>
    <s v="GNR_BO_STRW_E-100"/>
    <x v="0"/>
    <x v="22"/>
    <n v="6.5"/>
    <n v="2372.5"/>
    <n v="8541"/>
  </r>
  <r>
    <x v="0"/>
    <x v="0"/>
    <x v="0"/>
    <x v="0"/>
    <x v="1"/>
    <s v="DK2_Small"/>
    <x v="4"/>
    <s v="GNR_BO_STRW_E-100"/>
    <x v="0"/>
    <x v="23"/>
    <n v="6.5"/>
    <n v="2372.5"/>
    <n v="8541"/>
  </r>
  <r>
    <x v="0"/>
    <x v="0"/>
    <x v="0"/>
    <x v="1"/>
    <x v="2"/>
    <s v="EE_Enefit"/>
    <x v="10"/>
    <s v="ENEFIT_ST_RETORT-GAS_CND"/>
    <x v="0"/>
    <x v="0"/>
    <n v="140"/>
    <n v="51100"/>
    <n v="183960"/>
  </r>
  <r>
    <x v="0"/>
    <x v="0"/>
    <x v="0"/>
    <x v="1"/>
    <x v="2"/>
    <s v="EE_Enefit"/>
    <x v="10"/>
    <s v="ENEFIT_ST_RETORT-GAS_CND"/>
    <x v="0"/>
    <x v="1"/>
    <n v="140"/>
    <n v="51100"/>
    <n v="183960"/>
  </r>
  <r>
    <x v="0"/>
    <x v="0"/>
    <x v="0"/>
    <x v="1"/>
    <x v="2"/>
    <s v="EE_Enefit"/>
    <x v="10"/>
    <s v="ENEFIT_ST_RETORT-GAS_CND"/>
    <x v="0"/>
    <x v="2"/>
    <n v="140"/>
    <n v="51100"/>
    <n v="183960"/>
  </r>
  <r>
    <x v="0"/>
    <x v="0"/>
    <x v="0"/>
    <x v="1"/>
    <x v="2"/>
    <s v="EE_Enefit"/>
    <x v="10"/>
    <s v="ENEFIT_ST_RETORT-GAS_CND"/>
    <x v="0"/>
    <x v="3"/>
    <n v="140"/>
    <n v="51100"/>
    <n v="183960"/>
  </r>
  <r>
    <x v="0"/>
    <x v="0"/>
    <x v="0"/>
    <x v="1"/>
    <x v="2"/>
    <s v="EE_Enefit"/>
    <x v="10"/>
    <s v="ENEFIT_ST_RETORT-GAS_CND"/>
    <x v="0"/>
    <x v="18"/>
    <n v="140"/>
    <n v="51100"/>
    <n v="183960"/>
  </r>
  <r>
    <x v="0"/>
    <x v="0"/>
    <x v="0"/>
    <x v="1"/>
    <x v="2"/>
    <s v="EE_Enefit"/>
    <x v="10"/>
    <s v="ENEFIT_ST_RETORT-GAS_CND"/>
    <x v="0"/>
    <x v="4"/>
    <n v="140"/>
    <n v="51100"/>
    <n v="183960"/>
  </r>
  <r>
    <x v="0"/>
    <x v="0"/>
    <x v="0"/>
    <x v="1"/>
    <x v="2"/>
    <s v="EE_Enefit"/>
    <x v="10"/>
    <s v="ENEFIT_ST_RETORT-GAS_CND"/>
    <x v="0"/>
    <x v="5"/>
    <n v="140"/>
    <n v="51100"/>
    <n v="183960"/>
  </r>
  <r>
    <x v="0"/>
    <x v="0"/>
    <x v="0"/>
    <x v="1"/>
    <x v="2"/>
    <s v="EE_Enefit"/>
    <x v="10"/>
    <s v="ENEFIT_ST_RETORT-GAS_CND"/>
    <x v="0"/>
    <x v="6"/>
    <n v="140"/>
    <n v="51100"/>
    <n v="183960"/>
  </r>
  <r>
    <x v="0"/>
    <x v="0"/>
    <x v="0"/>
    <x v="1"/>
    <x v="2"/>
    <s v="EE_Enefit"/>
    <x v="10"/>
    <s v="ENEFIT_ST_RETORT-GAS_CND"/>
    <x v="0"/>
    <x v="7"/>
    <n v="140"/>
    <n v="51100"/>
    <n v="183960"/>
  </r>
  <r>
    <x v="0"/>
    <x v="0"/>
    <x v="0"/>
    <x v="1"/>
    <x v="2"/>
    <s v="EE_Enefit"/>
    <x v="10"/>
    <s v="ENEFIT_ST_RETORT-GAS_CND"/>
    <x v="0"/>
    <x v="8"/>
    <n v="140"/>
    <n v="51100"/>
    <n v="183960"/>
  </r>
  <r>
    <x v="0"/>
    <x v="0"/>
    <x v="0"/>
    <x v="1"/>
    <x v="2"/>
    <s v="EE_Enefit"/>
    <x v="10"/>
    <s v="ENEFIT_ST_RETORT-GAS_CND"/>
    <x v="0"/>
    <x v="9"/>
    <n v="140"/>
    <n v="51100"/>
    <n v="183960"/>
  </r>
  <r>
    <x v="0"/>
    <x v="0"/>
    <x v="0"/>
    <x v="1"/>
    <x v="2"/>
    <s v="EE_Enefit"/>
    <x v="10"/>
    <s v="ENEFIT_ST_RETORT-GAS_CND"/>
    <x v="0"/>
    <x v="10"/>
    <n v="140"/>
    <n v="51100"/>
    <n v="183960"/>
  </r>
  <r>
    <x v="0"/>
    <x v="0"/>
    <x v="0"/>
    <x v="1"/>
    <x v="2"/>
    <s v="EE_Enefit"/>
    <x v="10"/>
    <s v="ENEFIT_ST_RETORT-GAS_CND"/>
    <x v="0"/>
    <x v="11"/>
    <n v="140"/>
    <n v="51100"/>
    <n v="183960"/>
  </r>
  <r>
    <x v="0"/>
    <x v="0"/>
    <x v="0"/>
    <x v="1"/>
    <x v="2"/>
    <s v="EE_Enefit"/>
    <x v="10"/>
    <s v="ENEFIT_ST_RETORT-GAS_CND"/>
    <x v="0"/>
    <x v="12"/>
    <n v="140"/>
    <n v="51100"/>
    <n v="183960"/>
  </r>
  <r>
    <x v="0"/>
    <x v="0"/>
    <x v="0"/>
    <x v="1"/>
    <x v="2"/>
    <s v="EE_Enefit"/>
    <x v="10"/>
    <s v="ENEFIT_ST_RETORT-GAS_CND"/>
    <x v="0"/>
    <x v="13"/>
    <n v="140"/>
    <n v="51100"/>
    <n v="183960"/>
  </r>
  <r>
    <x v="0"/>
    <x v="0"/>
    <x v="0"/>
    <x v="1"/>
    <x v="2"/>
    <s v="EE_Enefit"/>
    <x v="10"/>
    <s v="ENEFIT_ST_RETORT-GAS_CND"/>
    <x v="0"/>
    <x v="14"/>
    <n v="140"/>
    <n v="51100"/>
    <n v="183960"/>
  </r>
  <r>
    <x v="0"/>
    <x v="0"/>
    <x v="0"/>
    <x v="1"/>
    <x v="2"/>
    <s v="EE_Enefit"/>
    <x v="10"/>
    <s v="ENEFIT_ST_RETORT-GAS_CND"/>
    <x v="0"/>
    <x v="15"/>
    <n v="140"/>
    <n v="51100"/>
    <n v="183960"/>
  </r>
  <r>
    <x v="0"/>
    <x v="0"/>
    <x v="0"/>
    <x v="1"/>
    <x v="2"/>
    <s v="EE_Enefit"/>
    <x v="10"/>
    <s v="ENEFIT_ST_RETORT-GAS_CND"/>
    <x v="0"/>
    <x v="16"/>
    <n v="140"/>
    <n v="51100"/>
    <n v="183960"/>
  </r>
  <r>
    <x v="0"/>
    <x v="0"/>
    <x v="0"/>
    <x v="1"/>
    <x v="2"/>
    <s v="EE_Enefit"/>
    <x v="10"/>
    <s v="ENEFIT_ST_RETORT-GAS_CND"/>
    <x v="0"/>
    <x v="17"/>
    <n v="140"/>
    <n v="51100"/>
    <n v="183960"/>
  </r>
  <r>
    <x v="0"/>
    <x v="0"/>
    <x v="0"/>
    <x v="1"/>
    <x v="2"/>
    <s v="EE_Enefit"/>
    <x v="10"/>
    <s v="ENEFIT_ST_RETORT-GAS_CND"/>
    <x v="0"/>
    <x v="19"/>
    <n v="140"/>
    <n v="51100"/>
    <n v="183960"/>
  </r>
  <r>
    <x v="0"/>
    <x v="0"/>
    <x v="0"/>
    <x v="1"/>
    <x v="2"/>
    <s v="EE_Enefit"/>
    <x v="10"/>
    <s v="ENEFIT_ST_RETORT-GAS_CND"/>
    <x v="0"/>
    <x v="20"/>
    <n v="140"/>
    <n v="51100"/>
    <n v="183960"/>
  </r>
  <r>
    <x v="0"/>
    <x v="0"/>
    <x v="0"/>
    <x v="1"/>
    <x v="2"/>
    <s v="EE_Enefit"/>
    <x v="10"/>
    <s v="ENEFIT_ST_RETORT-GAS_CND"/>
    <x v="0"/>
    <x v="21"/>
    <n v="140"/>
    <n v="51100"/>
    <n v="183960"/>
  </r>
  <r>
    <x v="0"/>
    <x v="0"/>
    <x v="0"/>
    <x v="1"/>
    <x v="2"/>
    <s v="EE_Enefit"/>
    <x v="10"/>
    <s v="ENEFIT_ST_RETORT-GAS_CND"/>
    <x v="0"/>
    <x v="22"/>
    <n v="140"/>
    <n v="51100"/>
    <n v="183960"/>
  </r>
  <r>
    <x v="0"/>
    <x v="0"/>
    <x v="0"/>
    <x v="1"/>
    <x v="2"/>
    <s v="EE_Enefit"/>
    <x v="10"/>
    <s v="ENEFIT_ST_RETORT-GAS_CND"/>
    <x v="0"/>
    <x v="23"/>
    <n v="140"/>
    <n v="51100"/>
    <n v="183960"/>
  </r>
  <r>
    <x v="0"/>
    <x v="0"/>
    <x v="0"/>
    <x v="1"/>
    <x v="2"/>
    <s v="EE_Industry"/>
    <x v="10"/>
    <s v="GNR_ENG_RETORT-GAS_E-44"/>
    <x v="0"/>
    <x v="0"/>
    <n v="218.08999081726401"/>
    <n v="79602.846648301202"/>
    <n v="286570.24793388398"/>
  </r>
  <r>
    <x v="0"/>
    <x v="0"/>
    <x v="0"/>
    <x v="1"/>
    <x v="2"/>
    <s v="EE_Industry"/>
    <x v="10"/>
    <s v="GNR_ENG_RETORT-GAS_E-44"/>
    <x v="0"/>
    <x v="1"/>
    <n v="218.08999081726401"/>
    <n v="79602.846648301202"/>
    <n v="286570.24793388398"/>
  </r>
  <r>
    <x v="0"/>
    <x v="0"/>
    <x v="0"/>
    <x v="1"/>
    <x v="2"/>
    <s v="EE_Industry"/>
    <x v="10"/>
    <s v="GNR_ENG_RETORT-GAS_E-44"/>
    <x v="0"/>
    <x v="2"/>
    <n v="218.08999081726401"/>
    <n v="79602.846648301202"/>
    <n v="286570.24793388398"/>
  </r>
  <r>
    <x v="0"/>
    <x v="0"/>
    <x v="0"/>
    <x v="1"/>
    <x v="2"/>
    <s v="EE_Industry"/>
    <x v="10"/>
    <s v="GNR_ENG_RETORT-GAS_E-44"/>
    <x v="0"/>
    <x v="3"/>
    <n v="218.08999081726401"/>
    <n v="79602.846648301202"/>
    <n v="286570.24793388398"/>
  </r>
  <r>
    <x v="0"/>
    <x v="0"/>
    <x v="0"/>
    <x v="1"/>
    <x v="2"/>
    <s v="EE_Industry"/>
    <x v="10"/>
    <s v="GNR_ENG_RETORT-GAS_E-44"/>
    <x v="0"/>
    <x v="18"/>
    <n v="218.08999081726401"/>
    <n v="79602.846648301202"/>
    <n v="286570.24793388398"/>
  </r>
  <r>
    <x v="0"/>
    <x v="0"/>
    <x v="0"/>
    <x v="1"/>
    <x v="2"/>
    <s v="EE_Industry"/>
    <x v="10"/>
    <s v="GNR_ENG_RETORT-GAS_E-44"/>
    <x v="0"/>
    <x v="4"/>
    <n v="218.08999081726401"/>
    <n v="79602.846648301202"/>
    <n v="286570.24793388398"/>
  </r>
  <r>
    <x v="0"/>
    <x v="0"/>
    <x v="0"/>
    <x v="1"/>
    <x v="2"/>
    <s v="EE_Industry"/>
    <x v="10"/>
    <s v="GNR_ENG_RETORT-GAS_E-44"/>
    <x v="0"/>
    <x v="5"/>
    <n v="218.08999081726401"/>
    <n v="79602.846648301202"/>
    <n v="286570.24793388398"/>
  </r>
  <r>
    <x v="0"/>
    <x v="0"/>
    <x v="0"/>
    <x v="1"/>
    <x v="2"/>
    <s v="EE_Industry"/>
    <x v="10"/>
    <s v="GNR_ENG_RETORT-GAS_E-44"/>
    <x v="0"/>
    <x v="6"/>
    <n v="218.08999081726401"/>
    <n v="79602.846648301202"/>
    <n v="286570.24793388398"/>
  </r>
  <r>
    <x v="0"/>
    <x v="0"/>
    <x v="0"/>
    <x v="1"/>
    <x v="2"/>
    <s v="EE_Industry"/>
    <x v="10"/>
    <s v="GNR_ENG_RETORT-GAS_E-44"/>
    <x v="0"/>
    <x v="7"/>
    <n v="218.08999081726401"/>
    <n v="79602.846648301202"/>
    <n v="286570.24793388398"/>
  </r>
  <r>
    <x v="0"/>
    <x v="0"/>
    <x v="0"/>
    <x v="1"/>
    <x v="2"/>
    <s v="EE_Industry"/>
    <x v="10"/>
    <s v="GNR_ENG_RETORT-GAS_E-44"/>
    <x v="0"/>
    <x v="8"/>
    <n v="218.08999081726401"/>
    <n v="79602.846648301202"/>
    <n v="286570.24793388398"/>
  </r>
  <r>
    <x v="0"/>
    <x v="0"/>
    <x v="0"/>
    <x v="1"/>
    <x v="2"/>
    <s v="EE_Industry"/>
    <x v="10"/>
    <s v="GNR_ENG_RETORT-GAS_E-44"/>
    <x v="0"/>
    <x v="9"/>
    <n v="218.08999081726401"/>
    <n v="79602.846648301202"/>
    <n v="286570.24793388398"/>
  </r>
  <r>
    <x v="0"/>
    <x v="0"/>
    <x v="0"/>
    <x v="1"/>
    <x v="2"/>
    <s v="EE_Industry"/>
    <x v="10"/>
    <s v="GNR_ENG_RETORT-GAS_E-44"/>
    <x v="0"/>
    <x v="10"/>
    <n v="218.08999081726401"/>
    <n v="79602.846648301202"/>
    <n v="286570.24793388398"/>
  </r>
  <r>
    <x v="0"/>
    <x v="0"/>
    <x v="0"/>
    <x v="1"/>
    <x v="2"/>
    <s v="EE_Industry"/>
    <x v="10"/>
    <s v="GNR_ENG_RETORT-GAS_E-44"/>
    <x v="0"/>
    <x v="11"/>
    <n v="218.08999081726401"/>
    <n v="79602.846648301202"/>
    <n v="286570.24793388398"/>
  </r>
  <r>
    <x v="0"/>
    <x v="0"/>
    <x v="0"/>
    <x v="1"/>
    <x v="2"/>
    <s v="EE_Industry"/>
    <x v="10"/>
    <s v="GNR_ENG_RETORT-GAS_E-44"/>
    <x v="0"/>
    <x v="12"/>
    <n v="218.08999081726401"/>
    <n v="79602.846648301202"/>
    <n v="286570.24793388398"/>
  </r>
  <r>
    <x v="0"/>
    <x v="0"/>
    <x v="0"/>
    <x v="1"/>
    <x v="2"/>
    <s v="EE_Industry"/>
    <x v="10"/>
    <s v="GNR_ENG_RETORT-GAS_E-44"/>
    <x v="0"/>
    <x v="13"/>
    <n v="218.08999081726401"/>
    <n v="79602.846648301202"/>
    <n v="286570.24793388398"/>
  </r>
  <r>
    <x v="0"/>
    <x v="0"/>
    <x v="0"/>
    <x v="1"/>
    <x v="2"/>
    <s v="EE_Industry"/>
    <x v="10"/>
    <s v="GNR_ENG_RETORT-GAS_E-44"/>
    <x v="0"/>
    <x v="14"/>
    <n v="218.08999081726401"/>
    <n v="79602.846648301202"/>
    <n v="286570.24793388398"/>
  </r>
  <r>
    <x v="0"/>
    <x v="0"/>
    <x v="0"/>
    <x v="1"/>
    <x v="2"/>
    <s v="EE_Industry"/>
    <x v="10"/>
    <s v="GNR_ENG_RETORT-GAS_E-44"/>
    <x v="0"/>
    <x v="15"/>
    <n v="218.08999081726401"/>
    <n v="79602.846648301202"/>
    <n v="286570.24793388398"/>
  </r>
  <r>
    <x v="0"/>
    <x v="0"/>
    <x v="0"/>
    <x v="1"/>
    <x v="2"/>
    <s v="EE_Industry"/>
    <x v="10"/>
    <s v="GNR_ENG_RETORT-GAS_E-44"/>
    <x v="0"/>
    <x v="16"/>
    <n v="218.08999081726401"/>
    <n v="79602.846648301202"/>
    <n v="286570.24793388398"/>
  </r>
  <r>
    <x v="0"/>
    <x v="0"/>
    <x v="0"/>
    <x v="1"/>
    <x v="2"/>
    <s v="EE_Industry"/>
    <x v="10"/>
    <s v="GNR_ENG_RETORT-GAS_E-44"/>
    <x v="0"/>
    <x v="17"/>
    <n v="218.08999081726401"/>
    <n v="79602.846648301202"/>
    <n v="286570.24793388398"/>
  </r>
  <r>
    <x v="0"/>
    <x v="0"/>
    <x v="0"/>
    <x v="1"/>
    <x v="2"/>
    <s v="EE_Industry"/>
    <x v="10"/>
    <s v="GNR_ENG_RETORT-GAS_E-44"/>
    <x v="0"/>
    <x v="19"/>
    <n v="218.08999081726401"/>
    <n v="79602.846648301202"/>
    <n v="286570.24793388398"/>
  </r>
  <r>
    <x v="0"/>
    <x v="0"/>
    <x v="0"/>
    <x v="1"/>
    <x v="2"/>
    <s v="EE_Industry"/>
    <x v="10"/>
    <s v="GNR_ENG_RETORT-GAS_E-44"/>
    <x v="0"/>
    <x v="20"/>
    <n v="218.08999081726401"/>
    <n v="79602.846648301202"/>
    <n v="286570.24793388398"/>
  </r>
  <r>
    <x v="0"/>
    <x v="0"/>
    <x v="0"/>
    <x v="1"/>
    <x v="2"/>
    <s v="EE_Industry"/>
    <x v="10"/>
    <s v="GNR_ENG_RETORT-GAS_E-44"/>
    <x v="0"/>
    <x v="21"/>
    <n v="218.08999081726401"/>
    <n v="79602.846648301202"/>
    <n v="286570.24793388398"/>
  </r>
  <r>
    <x v="0"/>
    <x v="0"/>
    <x v="0"/>
    <x v="1"/>
    <x v="2"/>
    <s v="EE_Industry"/>
    <x v="10"/>
    <s v="GNR_ENG_RETORT-GAS_E-44"/>
    <x v="0"/>
    <x v="22"/>
    <n v="218.08999081726401"/>
    <n v="79602.846648301202"/>
    <n v="286570.24793388398"/>
  </r>
  <r>
    <x v="0"/>
    <x v="0"/>
    <x v="0"/>
    <x v="1"/>
    <x v="2"/>
    <s v="EE_Industry"/>
    <x v="10"/>
    <s v="GNR_ENG_RETORT-GAS_E-44"/>
    <x v="0"/>
    <x v="23"/>
    <n v="218.08999081726401"/>
    <n v="79602.846648301202"/>
    <n v="286570.24793388398"/>
  </r>
  <r>
    <x v="0"/>
    <x v="0"/>
    <x v="0"/>
    <x v="1"/>
    <x v="2"/>
    <s v="EE_Industry"/>
    <x v="9"/>
    <s v="GNR_ST_WOODWST_BP_E-53"/>
    <x v="0"/>
    <x v="0"/>
    <n v="55.6859147041339"/>
    <n v="20325.358867008901"/>
    <n v="73171.291921231896"/>
  </r>
  <r>
    <x v="0"/>
    <x v="0"/>
    <x v="0"/>
    <x v="1"/>
    <x v="2"/>
    <s v="EE_Industry"/>
    <x v="9"/>
    <s v="GNR_ST_WOODWST_BP_E-53"/>
    <x v="0"/>
    <x v="1"/>
    <n v="56.039476067334697"/>
    <n v="20454.408764577202"/>
    <n v="73635.871552477794"/>
  </r>
  <r>
    <x v="0"/>
    <x v="0"/>
    <x v="0"/>
    <x v="1"/>
    <x v="2"/>
    <s v="EE_Industry"/>
    <x v="9"/>
    <s v="GNR_ST_WOODWST_BP_E-53"/>
    <x v="0"/>
    <x v="2"/>
    <n v="56.149963993334801"/>
    <n v="20494.736857567201"/>
    <n v="73781.0526872419"/>
  </r>
  <r>
    <x v="0"/>
    <x v="0"/>
    <x v="0"/>
    <x v="1"/>
    <x v="2"/>
    <s v="EE_Industry"/>
    <x v="9"/>
    <s v="GNR_ST_WOODWST_BP_E-53"/>
    <x v="0"/>
    <x v="3"/>
    <n v="55.818500215334197"/>
    <n v="20373.752578596999"/>
    <n v="73345.509282949104"/>
  </r>
  <r>
    <x v="0"/>
    <x v="0"/>
    <x v="0"/>
    <x v="1"/>
    <x v="2"/>
    <s v="EE_Industry"/>
    <x v="9"/>
    <s v="GNR_ST_WOODWST_BP_E-53"/>
    <x v="0"/>
    <x v="18"/>
    <n v="55.089279903732198"/>
    <n v="20107.5871648623"/>
    <n v="72387.313793504203"/>
  </r>
  <r>
    <x v="0"/>
    <x v="0"/>
    <x v="0"/>
    <x v="1"/>
    <x v="2"/>
    <s v="EE_Industry"/>
    <x v="9"/>
    <s v="GNR_ST_WOODWST_BP_E-53"/>
    <x v="0"/>
    <x v="4"/>
    <n v="54.028595814129702"/>
    <n v="19720.4374721573"/>
    <n v="70993.574899766405"/>
  </r>
  <r>
    <x v="0"/>
    <x v="0"/>
    <x v="0"/>
    <x v="1"/>
    <x v="2"/>
    <s v="EE_Industry"/>
    <x v="9"/>
    <s v="GNR_ST_WOODWST_BP_E-53"/>
    <x v="0"/>
    <x v="5"/>
    <n v="52.680643116926703"/>
    <n v="19228.434737678301"/>
    <n v="69222.365055641698"/>
  </r>
  <r>
    <x v="0"/>
    <x v="0"/>
    <x v="0"/>
    <x v="1"/>
    <x v="2"/>
    <s v="EE_Industry"/>
    <x v="9"/>
    <s v="GNR_ST_WOODWST_BP_E-53"/>
    <x v="0"/>
    <x v="6"/>
    <n v="51.023324226922497"/>
    <n v="18623.5133428267"/>
    <n v="67044.648034176207"/>
  </r>
  <r>
    <x v="0"/>
    <x v="0"/>
    <x v="0"/>
    <x v="1"/>
    <x v="2"/>
    <s v="EE_Industry"/>
    <x v="9"/>
    <s v="GNR_ST_WOODWST_BP_E-53"/>
    <x v="0"/>
    <x v="7"/>
    <n v="49.586981188919303"/>
    <n v="18099.2481339556"/>
    <n v="65157.293282240003"/>
  </r>
  <r>
    <x v="0"/>
    <x v="0"/>
    <x v="0"/>
    <x v="1"/>
    <x v="2"/>
    <s v="EE_Industry"/>
    <x v="9"/>
    <s v="GNR_ST_WOODWST_BP_E-53"/>
    <x v="0"/>
    <x v="8"/>
    <n v="48.283223662116001"/>
    <n v="17623.376636672299"/>
    <n v="63444.155892020397"/>
  </r>
  <r>
    <x v="0"/>
    <x v="0"/>
    <x v="0"/>
    <x v="1"/>
    <x v="2"/>
    <s v="EE_Industry"/>
    <x v="9"/>
    <s v="GNR_ST_WOODWST_BP_E-53"/>
    <x v="0"/>
    <x v="9"/>
    <n v="47.1120516465134"/>
    <n v="17195.898850977399"/>
    <n v="61905.235863518603"/>
  </r>
  <r>
    <x v="0"/>
    <x v="0"/>
    <x v="0"/>
    <x v="1"/>
    <x v="2"/>
    <s v="EE_Industry"/>
    <x v="9"/>
    <s v="GNR_ST_WOODWST_BP_E-53"/>
    <x v="0"/>
    <x v="10"/>
    <n v="46.1397578977111"/>
    <n v="16841.0116326645"/>
    <n v="60627.641877592403"/>
  </r>
  <r>
    <x v="0"/>
    <x v="0"/>
    <x v="0"/>
    <x v="1"/>
    <x v="2"/>
    <s v="EE_Industry"/>
    <x v="9"/>
    <s v="GNR_ST_WOODWST_BP_E-53"/>
    <x v="0"/>
    <x v="11"/>
    <n v="45.300049660108897"/>
    <n v="16534.5181259397"/>
    <n v="59524.265253383099"/>
  </r>
  <r>
    <x v="0"/>
    <x v="0"/>
    <x v="0"/>
    <x v="1"/>
    <x v="2"/>
    <s v="EE_Industry"/>
    <x v="9"/>
    <s v="GNR_ST_WOODWST_BP_E-53"/>
    <x v="0"/>
    <x v="12"/>
    <n v="44.615024518907198"/>
    <n v="16284.483949401099"/>
    <n v="58624.142217844099"/>
  </r>
  <r>
    <x v="0"/>
    <x v="0"/>
    <x v="0"/>
    <x v="1"/>
    <x v="2"/>
    <s v="EE_Industry"/>
    <x v="9"/>
    <s v="GNR_ST_WOODWST_BP_E-53"/>
    <x v="0"/>
    <x v="13"/>
    <n v="44.1951704001062"/>
    <n v="16131.237196038801"/>
    <n v="58072.453905739603"/>
  </r>
  <r>
    <x v="0"/>
    <x v="0"/>
    <x v="0"/>
    <x v="1"/>
    <x v="2"/>
    <s v="EE_Industry"/>
    <x v="9"/>
    <s v="GNR_ST_WOODWST_BP_E-53"/>
    <x v="0"/>
    <x v="14"/>
    <n v="43.885804207305497"/>
    <n v="16018.3185356665"/>
    <n v="57665.946728399402"/>
  </r>
  <r>
    <x v="0"/>
    <x v="0"/>
    <x v="0"/>
    <x v="1"/>
    <x v="2"/>
    <s v="EE_Industry"/>
    <x v="9"/>
    <s v="GNR_ST_WOODWST_BP_E-53"/>
    <x v="0"/>
    <x v="15"/>
    <n v="43.620633184904797"/>
    <n v="15921.5311124903"/>
    <n v="57317.512004965"/>
  </r>
  <r>
    <x v="0"/>
    <x v="0"/>
    <x v="0"/>
    <x v="1"/>
    <x v="2"/>
    <s v="EE_Industry"/>
    <x v="9"/>
    <s v="GNR_ST_WOODWST_BP_E-53"/>
    <x v="0"/>
    <x v="16"/>
    <n v="43.377559747704296"/>
    <n v="15832.809307912101"/>
    <n v="56998.113508483402"/>
  </r>
  <r>
    <x v="0"/>
    <x v="0"/>
    <x v="0"/>
    <x v="1"/>
    <x v="2"/>
    <s v="EE_Industry"/>
    <x v="9"/>
    <s v="GNR_ST_WOODWST_BP_E-53"/>
    <x v="0"/>
    <x v="17"/>
    <n v="43.112388725303603"/>
    <n v="15736.021884735799"/>
    <n v="56649.678785049"/>
  </r>
  <r>
    <x v="0"/>
    <x v="0"/>
    <x v="0"/>
    <x v="1"/>
    <x v="2"/>
    <s v="EE_Industry"/>
    <x v="9"/>
    <s v="GNR_ST_WOODWST_BP_E-53"/>
    <x v="0"/>
    <x v="19"/>
    <n v="42.803022532502901"/>
    <n v="15623.1032243636"/>
    <n v="56243.171607708799"/>
  </r>
  <r>
    <x v="0"/>
    <x v="0"/>
    <x v="0"/>
    <x v="1"/>
    <x v="2"/>
    <s v="EE_Industry"/>
    <x v="9"/>
    <s v="GNR_ST_WOODWST_BP_E-53"/>
    <x v="0"/>
    <x v="20"/>
    <n v="42.5378515101022"/>
    <n v="15526.3158011873"/>
    <n v="55894.736884274302"/>
  </r>
  <r>
    <x v="0"/>
    <x v="0"/>
    <x v="0"/>
    <x v="1"/>
    <x v="2"/>
    <s v="EE_Industry"/>
    <x v="9"/>
    <s v="GNR_ST_WOODWST_BP_E-53"/>
    <x v="0"/>
    <x v="21"/>
    <n v="42.272680487701599"/>
    <n v="15429.5283780111"/>
    <n v="55546.302160839899"/>
  </r>
  <r>
    <x v="0"/>
    <x v="0"/>
    <x v="0"/>
    <x v="1"/>
    <x v="2"/>
    <s v="EE_Industry"/>
    <x v="9"/>
    <s v="GNR_ST_WOODWST_BP_E-53"/>
    <x v="0"/>
    <x v="22"/>
    <n v="42.073802220901101"/>
    <n v="15356.9378106289"/>
    <n v="55284.976118264101"/>
  </r>
  <r>
    <x v="0"/>
    <x v="0"/>
    <x v="0"/>
    <x v="1"/>
    <x v="2"/>
    <s v="EE_Industry"/>
    <x v="9"/>
    <s v="GNR_ST_WOODWST_BP_E-53"/>
    <x v="0"/>
    <x v="23"/>
    <n v="42.007509465300998"/>
    <n v="15332.740954834801"/>
    <n v="55197.867437405497"/>
  </r>
  <r>
    <x v="0"/>
    <x v="0"/>
    <x v="0"/>
    <x v="1"/>
    <x v="2"/>
    <s v="EE_Kohtla_Jarve"/>
    <x v="3"/>
    <s v="GNR_ENG_NGAS_EXT_E-44"/>
    <x v="0"/>
    <x v="0"/>
    <n v="36.3228242016121"/>
    <n v="13257.830833588399"/>
    <n v="47728.191000918298"/>
  </r>
  <r>
    <x v="0"/>
    <x v="0"/>
    <x v="0"/>
    <x v="1"/>
    <x v="2"/>
    <s v="EE_Kohtla_Jarve"/>
    <x v="3"/>
    <s v="GNR_ENG_NGAS_EXT_E-44"/>
    <x v="0"/>
    <x v="1"/>
    <n v="36.3228242016121"/>
    <n v="13257.830833588399"/>
    <n v="47728.191000918298"/>
  </r>
  <r>
    <x v="0"/>
    <x v="0"/>
    <x v="0"/>
    <x v="1"/>
    <x v="2"/>
    <s v="EE_Kohtla_Jarve"/>
    <x v="3"/>
    <s v="GNR_ENG_NGAS_EXT_E-44"/>
    <x v="0"/>
    <x v="2"/>
    <n v="13.6010097956077"/>
    <n v="4964.3685753968102"/>
    <n v="17871.726871428498"/>
  </r>
  <r>
    <x v="0"/>
    <x v="0"/>
    <x v="0"/>
    <x v="1"/>
    <x v="2"/>
    <s v="EE_Kohtla_Jarve"/>
    <x v="3"/>
    <s v="GNR_ENG_NGAS_EXT_E-44"/>
    <x v="0"/>
    <x v="3"/>
    <n v="36.3228242016121"/>
    <n v="13257.830833588399"/>
    <n v="47728.191000918298"/>
  </r>
  <r>
    <x v="0"/>
    <x v="0"/>
    <x v="0"/>
    <x v="1"/>
    <x v="2"/>
    <s v="EE_Kohtla_Jarve"/>
    <x v="3"/>
    <s v="GNR_ENG_NGAS_EXT_E-44"/>
    <x v="0"/>
    <x v="18"/>
    <n v="36.3228242016121"/>
    <n v="13257.830833588399"/>
    <n v="47728.191000918298"/>
  </r>
  <r>
    <x v="0"/>
    <x v="0"/>
    <x v="0"/>
    <x v="1"/>
    <x v="2"/>
    <s v="EE_Kohtla_Jarve"/>
    <x v="3"/>
    <s v="GNR_ENG_NGAS_EXT_E-44"/>
    <x v="0"/>
    <x v="4"/>
    <n v="36.3228242016121"/>
    <n v="13257.830833588399"/>
    <n v="47728.191000918298"/>
  </r>
  <r>
    <x v="0"/>
    <x v="0"/>
    <x v="0"/>
    <x v="1"/>
    <x v="2"/>
    <s v="EE_Kohtla_Jarve"/>
    <x v="3"/>
    <s v="GNR_ENG_NGAS_EXT_E-44"/>
    <x v="0"/>
    <x v="5"/>
    <n v="36.3228242016121"/>
    <n v="13257.830833588399"/>
    <n v="47728.191000918298"/>
  </r>
  <r>
    <x v="0"/>
    <x v="0"/>
    <x v="0"/>
    <x v="1"/>
    <x v="2"/>
    <s v="EE_Kohtla_Jarve"/>
    <x v="3"/>
    <s v="GNR_ENG_NGAS_EXT_E-44"/>
    <x v="0"/>
    <x v="6"/>
    <n v="36.3228242016121"/>
    <n v="13257.830833588399"/>
    <n v="47728.191000918298"/>
  </r>
  <r>
    <x v="0"/>
    <x v="0"/>
    <x v="0"/>
    <x v="1"/>
    <x v="2"/>
    <s v="EE_Kohtla_Jarve"/>
    <x v="3"/>
    <s v="GNR_ENG_NGAS_EXT_E-44"/>
    <x v="0"/>
    <x v="7"/>
    <n v="36.3228242016121"/>
    <n v="13257.830833588399"/>
    <n v="47728.191000918298"/>
  </r>
  <r>
    <x v="0"/>
    <x v="0"/>
    <x v="0"/>
    <x v="1"/>
    <x v="2"/>
    <s v="EE_Kohtla_Jarve"/>
    <x v="3"/>
    <s v="GNR_ENG_NGAS_EXT_E-44"/>
    <x v="0"/>
    <x v="8"/>
    <n v="36.3228242016121"/>
    <n v="13257.830833588399"/>
    <n v="47728.191000918298"/>
  </r>
  <r>
    <x v="0"/>
    <x v="0"/>
    <x v="0"/>
    <x v="1"/>
    <x v="2"/>
    <s v="EE_Kohtla_Jarve"/>
    <x v="3"/>
    <s v="GNR_ENG_NGAS_EXT_E-44"/>
    <x v="0"/>
    <x v="9"/>
    <n v="36.3228242016121"/>
    <n v="13257.830833588399"/>
    <n v="47728.191000918298"/>
  </r>
  <r>
    <x v="0"/>
    <x v="0"/>
    <x v="0"/>
    <x v="1"/>
    <x v="2"/>
    <s v="EE_Kohtla_Jarve"/>
    <x v="3"/>
    <s v="GNR_ENG_NGAS_EXT_E-44"/>
    <x v="0"/>
    <x v="10"/>
    <n v="36.3228242016121"/>
    <n v="13257.830833588399"/>
    <n v="47728.191000918298"/>
  </r>
  <r>
    <x v="0"/>
    <x v="0"/>
    <x v="0"/>
    <x v="1"/>
    <x v="2"/>
    <s v="EE_Kohtla_Jarve"/>
    <x v="3"/>
    <s v="GNR_ENG_NGAS_EXT_E-44"/>
    <x v="0"/>
    <x v="11"/>
    <n v="36.3228242016121"/>
    <n v="13257.830833588399"/>
    <n v="47728.191000918298"/>
  </r>
  <r>
    <x v="0"/>
    <x v="0"/>
    <x v="0"/>
    <x v="1"/>
    <x v="2"/>
    <s v="EE_Kohtla_Jarve"/>
    <x v="3"/>
    <s v="GNR_ENG_NGAS_EXT_E-44"/>
    <x v="0"/>
    <x v="12"/>
    <n v="36.3228242016121"/>
    <n v="13257.830833588399"/>
    <n v="47728.191000918298"/>
  </r>
  <r>
    <x v="0"/>
    <x v="0"/>
    <x v="0"/>
    <x v="1"/>
    <x v="2"/>
    <s v="EE_Kohtla_Jarve"/>
    <x v="3"/>
    <s v="GNR_ENG_NGAS_EXT_E-44"/>
    <x v="0"/>
    <x v="13"/>
    <n v="36.3228242016121"/>
    <n v="13257.830833588399"/>
    <n v="47728.191000918298"/>
  </r>
  <r>
    <x v="0"/>
    <x v="0"/>
    <x v="0"/>
    <x v="1"/>
    <x v="2"/>
    <s v="EE_Kohtla_Jarve"/>
    <x v="3"/>
    <s v="GNR_ENG_NGAS_EXT_E-44"/>
    <x v="0"/>
    <x v="14"/>
    <n v="36.3228242016121"/>
    <n v="13257.830833588399"/>
    <n v="47728.191000918298"/>
  </r>
  <r>
    <x v="0"/>
    <x v="0"/>
    <x v="0"/>
    <x v="1"/>
    <x v="2"/>
    <s v="EE_Kohtla_Jarve"/>
    <x v="3"/>
    <s v="GNR_ENG_NGAS_EXT_E-44"/>
    <x v="0"/>
    <x v="15"/>
    <n v="36.3228242016121"/>
    <n v="13257.830833588399"/>
    <n v="47728.191000918298"/>
  </r>
  <r>
    <x v="0"/>
    <x v="0"/>
    <x v="0"/>
    <x v="1"/>
    <x v="2"/>
    <s v="EE_Kohtla_Jarve"/>
    <x v="3"/>
    <s v="GNR_ENG_NGAS_EXT_E-44"/>
    <x v="0"/>
    <x v="16"/>
    <n v="36.3228242016121"/>
    <n v="13257.830833588399"/>
    <n v="47728.191000918298"/>
  </r>
  <r>
    <x v="0"/>
    <x v="0"/>
    <x v="0"/>
    <x v="1"/>
    <x v="2"/>
    <s v="EE_Kohtla_Jarve"/>
    <x v="3"/>
    <s v="GNR_ENG_NGAS_EXT_E-44"/>
    <x v="0"/>
    <x v="17"/>
    <n v="36.3228242016121"/>
    <n v="13257.830833588399"/>
    <n v="47728.191000918298"/>
  </r>
  <r>
    <x v="0"/>
    <x v="0"/>
    <x v="0"/>
    <x v="1"/>
    <x v="2"/>
    <s v="EE_Kohtla_Jarve"/>
    <x v="3"/>
    <s v="GNR_ENG_NGAS_EXT_E-44"/>
    <x v="0"/>
    <x v="19"/>
    <n v="36.3228242016121"/>
    <n v="13257.830833588399"/>
    <n v="47728.191000918298"/>
  </r>
  <r>
    <x v="0"/>
    <x v="0"/>
    <x v="0"/>
    <x v="1"/>
    <x v="2"/>
    <s v="EE_Kohtla_Jarve"/>
    <x v="3"/>
    <s v="GNR_ENG_NGAS_EXT_E-44"/>
    <x v="0"/>
    <x v="20"/>
    <n v="36.3228242016121"/>
    <n v="13257.830833588399"/>
    <n v="47728.191000918298"/>
  </r>
  <r>
    <x v="0"/>
    <x v="0"/>
    <x v="0"/>
    <x v="1"/>
    <x v="2"/>
    <s v="EE_Kohtla_Jarve"/>
    <x v="3"/>
    <s v="GNR_ENG_NGAS_EXT_E-44"/>
    <x v="0"/>
    <x v="21"/>
    <n v="36.3228242016121"/>
    <n v="13257.830833588399"/>
    <n v="47728.191000918298"/>
  </r>
  <r>
    <x v="0"/>
    <x v="0"/>
    <x v="0"/>
    <x v="1"/>
    <x v="2"/>
    <s v="EE_Kohtla_Jarve"/>
    <x v="3"/>
    <s v="GNR_ENG_NGAS_EXT_E-44"/>
    <x v="0"/>
    <x v="22"/>
    <n v="36.3228242016121"/>
    <n v="13257.830833588399"/>
    <n v="47728.191000918298"/>
  </r>
  <r>
    <x v="0"/>
    <x v="0"/>
    <x v="0"/>
    <x v="1"/>
    <x v="2"/>
    <s v="EE_Kohtla_Jarve"/>
    <x v="3"/>
    <s v="GNR_ENG_NGAS_EXT_E-44"/>
    <x v="0"/>
    <x v="23"/>
    <n v="36.3228242016121"/>
    <n v="13257.830833588399"/>
    <n v="47728.191000918298"/>
  </r>
  <r>
    <x v="0"/>
    <x v="0"/>
    <x v="0"/>
    <x v="1"/>
    <x v="2"/>
    <s v="EE_Kohtla_Jarve"/>
    <x v="11"/>
    <s v="GNR_BO_SHALE_HO_E-34"/>
    <x v="0"/>
    <x v="0"/>
    <n v="79.687362140649199"/>
    <n v="29085.887181336901"/>
    <n v="104709.193852813"/>
  </r>
  <r>
    <x v="0"/>
    <x v="0"/>
    <x v="0"/>
    <x v="1"/>
    <x v="2"/>
    <s v="EE_Kohtla_Jarve"/>
    <x v="11"/>
    <s v="GNR_BO_SHALE_HO_E-34"/>
    <x v="0"/>
    <x v="1"/>
    <n v="80.530253286726307"/>
    <n v="29393.542449655099"/>
    <n v="105816.752818758"/>
  </r>
  <r>
    <x v="0"/>
    <x v="0"/>
    <x v="0"/>
    <x v="1"/>
    <x v="2"/>
    <s v="EE_Kohtla_Jarve"/>
    <x v="11"/>
    <s v="GNR_BO_SHALE_HO_E-34"/>
    <x v="0"/>
    <x v="2"/>
    <n v="113.990444813664"/>
    <n v="41606.512356987303"/>
    <n v="149783.444485154"/>
  </r>
  <r>
    <x v="0"/>
    <x v="0"/>
    <x v="0"/>
    <x v="1"/>
    <x v="2"/>
    <s v="EE_Kohtla_Jarve"/>
    <x v="11"/>
    <s v="GNR_BO_SHALE_HO_E-34"/>
    <x v="0"/>
    <x v="3"/>
    <n v="80.003446320427997"/>
    <n v="29201.257906956202"/>
    <n v="105124.52846504201"/>
  </r>
  <r>
    <x v="0"/>
    <x v="0"/>
    <x v="0"/>
    <x v="1"/>
    <x v="2"/>
    <s v="EE_Kohtla_Jarve"/>
    <x v="11"/>
    <s v="GNR_BO_SHALE_HO_E-34"/>
    <x v="0"/>
    <x v="18"/>
    <n v="78.264983331643904"/>
    <n v="28566.718916049998"/>
    <n v="102840.18809778"/>
  </r>
  <r>
    <x v="0"/>
    <x v="0"/>
    <x v="0"/>
    <x v="1"/>
    <x v="2"/>
    <s v="EE_Kohtla_Jarve"/>
    <x v="11"/>
    <s v="GNR_BO_SHALE_HO_E-34"/>
    <x v="0"/>
    <x v="4"/>
    <n v="75.736309893412496"/>
    <n v="27643.753111095601"/>
    <n v="99517.5111999441"/>
  </r>
  <r>
    <x v="0"/>
    <x v="0"/>
    <x v="0"/>
    <x v="1"/>
    <x v="2"/>
    <s v="EE_Kohtla_Jarve"/>
    <x v="11"/>
    <s v="GNR_BO_SHALE_HO_E-34"/>
    <x v="0"/>
    <x v="5"/>
    <n v="72.522787398993501"/>
    <n v="26470.817400632601"/>
    <n v="95294.942642277398"/>
  </r>
  <r>
    <x v="0"/>
    <x v="0"/>
    <x v="0"/>
    <x v="1"/>
    <x v="2"/>
    <s v="EE_Kohtla_Jarve"/>
    <x v="11"/>
    <s v="GNR_BO_SHALE_HO_E-34"/>
    <x v="0"/>
    <x v="6"/>
    <n v="68.571735151756798"/>
    <n v="25028.683330391199"/>
    <n v="90103.259989408398"/>
  </r>
  <r>
    <x v="0"/>
    <x v="0"/>
    <x v="0"/>
    <x v="1"/>
    <x v="2"/>
    <s v="EE_Kohtla_Jarve"/>
    <x v="11"/>
    <s v="GNR_BO_SHALE_HO_E-34"/>
    <x v="0"/>
    <x v="7"/>
    <n v="65.147489870818404"/>
    <n v="23778.833802848701"/>
    <n v="85603.801690255495"/>
  </r>
  <r>
    <x v="0"/>
    <x v="0"/>
    <x v="0"/>
    <x v="1"/>
    <x v="2"/>
    <s v="EE_Kohtla_Jarve"/>
    <x v="11"/>
    <s v="GNR_BO_SHALE_HO_E-34"/>
    <x v="0"/>
    <x v="8"/>
    <n v="62.039328769658901"/>
    <n v="22644.355000925501"/>
    <n v="81519.678003331806"/>
  </r>
  <r>
    <x v="0"/>
    <x v="0"/>
    <x v="0"/>
    <x v="1"/>
    <x v="2"/>
    <s v="EE_Kohtla_Jarve"/>
    <x v="11"/>
    <s v="GNR_BO_SHALE_HO_E-34"/>
    <x v="0"/>
    <x v="9"/>
    <n v="59.247251848278403"/>
    <n v="21625.246924621599"/>
    <n v="77850.888928637796"/>
  </r>
  <r>
    <x v="0"/>
    <x v="0"/>
    <x v="0"/>
    <x v="1"/>
    <x v="2"/>
    <s v="EE_Kohtla_Jarve"/>
    <x v="11"/>
    <s v="GNR_BO_SHALE_HO_E-34"/>
    <x v="0"/>
    <x v="10"/>
    <n v="56.9293011965663"/>
    <n v="20779.194936746699"/>
    <n v="74805.101772288093"/>
  </r>
  <r>
    <x v="0"/>
    <x v="0"/>
    <x v="0"/>
    <x v="1"/>
    <x v="2"/>
    <s v="EE_Kohtla_Jarve"/>
    <x v="11"/>
    <s v="GNR_BO_SHALE_HO_E-34"/>
    <x v="0"/>
    <x v="11"/>
    <n v="54.927434724633102"/>
    <n v="20048.5136744911"/>
    <n v="72174.649228167793"/>
  </r>
  <r>
    <x v="0"/>
    <x v="0"/>
    <x v="0"/>
    <x v="1"/>
    <x v="2"/>
    <s v="EE_Kohtla_Jarve"/>
    <x v="11"/>
    <s v="GNR_BO_SHALE_HO_E-34"/>
    <x v="0"/>
    <x v="12"/>
    <n v="53.294333129108701"/>
    <n v="19452.4315921247"/>
    <n v="70028.753731648801"/>
  </r>
  <r>
    <x v="0"/>
    <x v="0"/>
    <x v="0"/>
    <x v="1"/>
    <x v="2"/>
    <s v="EE_Kohtla_Jarve"/>
    <x v="11"/>
    <s v="GNR_BO_SHALE_HO_E-34"/>
    <x v="0"/>
    <x v="13"/>
    <n v="52.293399893141903"/>
    <n v="19087.0909609968"/>
    <n v="68713.527459588498"/>
  </r>
  <r>
    <x v="0"/>
    <x v="0"/>
    <x v="0"/>
    <x v="1"/>
    <x v="2"/>
    <s v="EE_Kohtla_Jarve"/>
    <x v="11"/>
    <s v="GNR_BO_SHALE_HO_E-34"/>
    <x v="0"/>
    <x v="14"/>
    <n v="51.5558701403246"/>
    <n v="18817.8926012185"/>
    <n v="67744.413364386506"/>
  </r>
  <r>
    <x v="0"/>
    <x v="0"/>
    <x v="0"/>
    <x v="1"/>
    <x v="2"/>
    <s v="EE_Kohtla_Jarve"/>
    <x v="11"/>
    <s v="GNR_BO_SHALE_HO_E-34"/>
    <x v="0"/>
    <x v="15"/>
    <n v="50.9237017807665"/>
    <n v="18587.1511499798"/>
    <n v="66913.744139927207"/>
  </r>
  <r>
    <x v="0"/>
    <x v="0"/>
    <x v="0"/>
    <x v="1"/>
    <x v="2"/>
    <s v="EE_Kohtla_Jarve"/>
    <x v="11"/>
    <s v="GNR_BO_SHALE_HO_E-34"/>
    <x v="0"/>
    <x v="16"/>
    <n v="50.344214117838497"/>
    <n v="18375.638153011099"/>
    <n v="66152.297350839799"/>
  </r>
  <r>
    <x v="0"/>
    <x v="0"/>
    <x v="0"/>
    <x v="1"/>
    <x v="2"/>
    <s v="EE_Kohtla_Jarve"/>
    <x v="11"/>
    <s v="GNR_BO_SHALE_HO_E-34"/>
    <x v="0"/>
    <x v="17"/>
    <n v="49.712045758280702"/>
    <n v="18144.896701772501"/>
    <n v="65321.6281263809"/>
  </r>
  <r>
    <x v="0"/>
    <x v="0"/>
    <x v="0"/>
    <x v="1"/>
    <x v="2"/>
    <s v="EE_Kohtla_Jarve"/>
    <x v="11"/>
    <s v="GNR_BO_SHALE_HO_E-34"/>
    <x v="0"/>
    <x v="19"/>
    <n v="48.9745160054633"/>
    <n v="17875.698341994099"/>
    <n v="64352.514031178798"/>
  </r>
  <r>
    <x v="0"/>
    <x v="0"/>
    <x v="0"/>
    <x v="1"/>
    <x v="2"/>
    <s v="EE_Kohtla_Jarve"/>
    <x v="11"/>
    <s v="GNR_BO_SHALE_HO_E-34"/>
    <x v="0"/>
    <x v="20"/>
    <n v="48.342347645905299"/>
    <n v="17644.956890755398"/>
    <n v="63521.844806719499"/>
  </r>
  <r>
    <x v="0"/>
    <x v="0"/>
    <x v="0"/>
    <x v="1"/>
    <x v="2"/>
    <s v="EE_Kohtla_Jarve"/>
    <x v="11"/>
    <s v="GNR_BO_SHALE_HO_E-34"/>
    <x v="0"/>
    <x v="21"/>
    <n v="47.710179286347497"/>
    <n v="17414.2154395168"/>
    <n v="62691.175582260599"/>
  </r>
  <r>
    <x v="0"/>
    <x v="0"/>
    <x v="0"/>
    <x v="1"/>
    <x v="2"/>
    <s v="EE_Kohtla_Jarve"/>
    <x v="11"/>
    <s v="GNR_BO_SHALE_HO_E-34"/>
    <x v="0"/>
    <x v="22"/>
    <n v="47.2360530166792"/>
    <n v="17241.159351087899"/>
    <n v="62068.173663916503"/>
  </r>
  <r>
    <x v="0"/>
    <x v="0"/>
    <x v="0"/>
    <x v="1"/>
    <x v="2"/>
    <s v="EE_Kohtla_Jarve"/>
    <x v="11"/>
    <s v="GNR_BO_SHALE_HO_E-34"/>
    <x v="0"/>
    <x v="23"/>
    <n v="47.078010926789602"/>
    <n v="17183.473988278201"/>
    <n v="61860.506357801503"/>
  </r>
  <r>
    <x v="0"/>
    <x v="0"/>
    <x v="0"/>
    <x v="1"/>
    <x v="2"/>
    <s v="EE_Narva"/>
    <x v="11"/>
    <s v="AUVERE_ST_SHALE_CND"/>
    <x v="0"/>
    <x v="0"/>
    <n v="689.308176100629"/>
    <n v="251597.48427673001"/>
    <n v="905750.94339622604"/>
  </r>
  <r>
    <x v="0"/>
    <x v="0"/>
    <x v="0"/>
    <x v="1"/>
    <x v="2"/>
    <s v="EE_Narva"/>
    <x v="11"/>
    <s v="AUVERE_ST_SHALE_CND"/>
    <x v="0"/>
    <x v="1"/>
    <n v="689.308176100629"/>
    <n v="251597.48427673001"/>
    <n v="905750.94339622604"/>
  </r>
  <r>
    <x v="0"/>
    <x v="0"/>
    <x v="0"/>
    <x v="1"/>
    <x v="2"/>
    <s v="EE_Narva"/>
    <x v="11"/>
    <s v="AUVERE_ST_SHALE_CND"/>
    <x v="0"/>
    <x v="2"/>
    <n v="689.308176100629"/>
    <n v="251597.48427673001"/>
    <n v="905750.94339622604"/>
  </r>
  <r>
    <x v="0"/>
    <x v="0"/>
    <x v="0"/>
    <x v="1"/>
    <x v="2"/>
    <s v="EE_Narva"/>
    <x v="11"/>
    <s v="AUVERE_ST_SHALE_CND"/>
    <x v="0"/>
    <x v="3"/>
    <n v="689.308176100629"/>
    <n v="251597.48427673001"/>
    <n v="905750.94339622604"/>
  </r>
  <r>
    <x v="0"/>
    <x v="0"/>
    <x v="0"/>
    <x v="1"/>
    <x v="2"/>
    <s v="EE_Narva"/>
    <x v="11"/>
    <s v="AUVERE_ST_SHALE_CND"/>
    <x v="0"/>
    <x v="18"/>
    <n v="689.308176100629"/>
    <n v="251597.48427673001"/>
    <n v="905750.94339622604"/>
  </r>
  <r>
    <x v="0"/>
    <x v="0"/>
    <x v="0"/>
    <x v="1"/>
    <x v="2"/>
    <s v="EE_Narva"/>
    <x v="11"/>
    <s v="AUVERE_ST_SHALE_CND"/>
    <x v="0"/>
    <x v="4"/>
    <n v="689.308176100629"/>
    <n v="251597.48427673001"/>
    <n v="905750.94339622604"/>
  </r>
  <r>
    <x v="0"/>
    <x v="0"/>
    <x v="0"/>
    <x v="1"/>
    <x v="2"/>
    <s v="EE_Narva"/>
    <x v="11"/>
    <s v="AUVERE_ST_SHALE_CND"/>
    <x v="0"/>
    <x v="5"/>
    <n v="689.308176100629"/>
    <n v="251597.48427673001"/>
    <n v="905750.94339622604"/>
  </r>
  <r>
    <x v="0"/>
    <x v="0"/>
    <x v="0"/>
    <x v="1"/>
    <x v="2"/>
    <s v="EE_Narva"/>
    <x v="11"/>
    <s v="AUVERE_ST_SHALE_CND"/>
    <x v="0"/>
    <x v="6"/>
    <n v="689.308176100629"/>
    <n v="251597.48427673001"/>
    <n v="905750.94339622604"/>
  </r>
  <r>
    <x v="0"/>
    <x v="0"/>
    <x v="0"/>
    <x v="1"/>
    <x v="2"/>
    <s v="EE_Narva"/>
    <x v="11"/>
    <s v="AUVERE_ST_SHALE_CND"/>
    <x v="0"/>
    <x v="7"/>
    <n v="689.308176100629"/>
    <n v="251597.48427673001"/>
    <n v="905750.94339622604"/>
  </r>
  <r>
    <x v="0"/>
    <x v="0"/>
    <x v="0"/>
    <x v="1"/>
    <x v="2"/>
    <s v="EE_Narva"/>
    <x v="11"/>
    <s v="AUVERE_ST_SHALE_CND"/>
    <x v="0"/>
    <x v="8"/>
    <n v="689.308176100629"/>
    <n v="251597.48427673001"/>
    <n v="905750.94339622604"/>
  </r>
  <r>
    <x v="0"/>
    <x v="0"/>
    <x v="0"/>
    <x v="1"/>
    <x v="2"/>
    <s v="EE_Narva"/>
    <x v="11"/>
    <s v="AUVERE_ST_SHALE_CND"/>
    <x v="0"/>
    <x v="9"/>
    <n v="689.308176100629"/>
    <n v="251597.48427673001"/>
    <n v="905750.94339622604"/>
  </r>
  <r>
    <x v="0"/>
    <x v="0"/>
    <x v="0"/>
    <x v="1"/>
    <x v="2"/>
    <s v="EE_Narva"/>
    <x v="11"/>
    <s v="AUVERE_ST_SHALE_CND"/>
    <x v="0"/>
    <x v="10"/>
    <n v="689.308176100629"/>
    <n v="251597.48427673001"/>
    <n v="905750.94339622604"/>
  </r>
  <r>
    <x v="0"/>
    <x v="0"/>
    <x v="0"/>
    <x v="1"/>
    <x v="2"/>
    <s v="EE_Narva"/>
    <x v="11"/>
    <s v="AUVERE_ST_SHALE_CND"/>
    <x v="0"/>
    <x v="11"/>
    <n v="689.308176100629"/>
    <n v="251597.48427673001"/>
    <n v="905750.94339622604"/>
  </r>
  <r>
    <x v="0"/>
    <x v="0"/>
    <x v="0"/>
    <x v="1"/>
    <x v="2"/>
    <s v="EE_Narva"/>
    <x v="11"/>
    <s v="AUVERE_ST_SHALE_CND"/>
    <x v="0"/>
    <x v="12"/>
    <n v="689.308176100629"/>
    <n v="251597.48427673001"/>
    <n v="905750.94339622604"/>
  </r>
  <r>
    <x v="0"/>
    <x v="0"/>
    <x v="0"/>
    <x v="1"/>
    <x v="2"/>
    <s v="EE_Narva"/>
    <x v="11"/>
    <s v="AUVERE_ST_SHALE_CND"/>
    <x v="0"/>
    <x v="13"/>
    <n v="689.308176100629"/>
    <n v="251597.48427673001"/>
    <n v="905750.94339622604"/>
  </r>
  <r>
    <x v="0"/>
    <x v="0"/>
    <x v="0"/>
    <x v="1"/>
    <x v="2"/>
    <s v="EE_Narva"/>
    <x v="11"/>
    <s v="AUVERE_ST_SHALE_CND"/>
    <x v="0"/>
    <x v="14"/>
    <n v="689.308176100629"/>
    <n v="251597.48427673001"/>
    <n v="905750.94339622604"/>
  </r>
  <r>
    <x v="0"/>
    <x v="0"/>
    <x v="0"/>
    <x v="1"/>
    <x v="2"/>
    <s v="EE_Narva"/>
    <x v="11"/>
    <s v="AUVERE_ST_SHALE_CND"/>
    <x v="0"/>
    <x v="15"/>
    <n v="689.308176100629"/>
    <n v="251597.48427673001"/>
    <n v="905750.94339622604"/>
  </r>
  <r>
    <x v="0"/>
    <x v="0"/>
    <x v="0"/>
    <x v="1"/>
    <x v="2"/>
    <s v="EE_Narva"/>
    <x v="11"/>
    <s v="AUVERE_ST_SHALE_CND"/>
    <x v="0"/>
    <x v="16"/>
    <n v="689.308176100629"/>
    <n v="251597.48427673001"/>
    <n v="905750.94339622604"/>
  </r>
  <r>
    <x v="0"/>
    <x v="0"/>
    <x v="0"/>
    <x v="1"/>
    <x v="2"/>
    <s v="EE_Narva"/>
    <x v="11"/>
    <s v="AUVERE_ST_SHALE_CND"/>
    <x v="0"/>
    <x v="17"/>
    <n v="689.308176100629"/>
    <n v="251597.48427673001"/>
    <n v="905750.94339622604"/>
  </r>
  <r>
    <x v="0"/>
    <x v="0"/>
    <x v="0"/>
    <x v="1"/>
    <x v="2"/>
    <s v="EE_Narva"/>
    <x v="11"/>
    <s v="AUVERE_ST_SHALE_CND"/>
    <x v="0"/>
    <x v="19"/>
    <n v="689.308176100629"/>
    <n v="251597.48427673001"/>
    <n v="905750.94339622604"/>
  </r>
  <r>
    <x v="0"/>
    <x v="0"/>
    <x v="0"/>
    <x v="1"/>
    <x v="2"/>
    <s v="EE_Narva"/>
    <x v="11"/>
    <s v="AUVERE_ST_SHALE_CND"/>
    <x v="0"/>
    <x v="20"/>
    <n v="689.308176100629"/>
    <n v="251597.48427673001"/>
    <n v="905750.94339622604"/>
  </r>
  <r>
    <x v="0"/>
    <x v="0"/>
    <x v="0"/>
    <x v="1"/>
    <x v="2"/>
    <s v="EE_Narva"/>
    <x v="11"/>
    <s v="AUVERE_ST_SHALE_CND"/>
    <x v="0"/>
    <x v="21"/>
    <n v="689.308176100629"/>
    <n v="251597.48427673001"/>
    <n v="905750.94339622604"/>
  </r>
  <r>
    <x v="0"/>
    <x v="0"/>
    <x v="0"/>
    <x v="1"/>
    <x v="2"/>
    <s v="EE_Narva"/>
    <x v="11"/>
    <s v="AUVERE_ST_SHALE_CND"/>
    <x v="0"/>
    <x v="22"/>
    <n v="689.308176100629"/>
    <n v="251597.48427673001"/>
    <n v="905750.94339622604"/>
  </r>
  <r>
    <x v="0"/>
    <x v="0"/>
    <x v="0"/>
    <x v="1"/>
    <x v="2"/>
    <s v="EE_Narva"/>
    <x v="11"/>
    <s v="AUVERE_ST_SHALE_CND"/>
    <x v="0"/>
    <x v="23"/>
    <n v="689.308176100629"/>
    <n v="251597.48427673001"/>
    <n v="905750.94339622604"/>
  </r>
  <r>
    <x v="0"/>
    <x v="0"/>
    <x v="0"/>
    <x v="1"/>
    <x v="2"/>
    <s v="EE_Narva"/>
    <x v="11"/>
    <s v="NARVA-11_ST_SHALE_EXT"/>
    <x v="0"/>
    <x v="0"/>
    <n v="295.67775767815698"/>
    <n v="107922.381552527"/>
    <n v="388520.57358909899"/>
  </r>
  <r>
    <x v="0"/>
    <x v="0"/>
    <x v="0"/>
    <x v="1"/>
    <x v="2"/>
    <s v="EE_Narva"/>
    <x v="11"/>
    <s v="NARVA-11_ST_SHALE_EXT"/>
    <x v="0"/>
    <x v="1"/>
    <n v="215.52562391382401"/>
    <n v="78666.852728545695"/>
    <n v="283200.66982276499"/>
  </r>
  <r>
    <x v="0"/>
    <x v="0"/>
    <x v="0"/>
    <x v="1"/>
    <x v="2"/>
    <s v="EE_Narva"/>
    <x v="11"/>
    <s v="NARVA-11_ST_SHALE_EXT"/>
    <x v="0"/>
    <x v="2"/>
    <n v="125.40456840629101"/>
    <n v="45772.667468296102"/>
    <n v="164781.60288586601"/>
  </r>
  <r>
    <x v="0"/>
    <x v="0"/>
    <x v="0"/>
    <x v="1"/>
    <x v="2"/>
    <s v="EE_Narva"/>
    <x v="11"/>
    <s v="NARVA-11_ST_SHALE_EXT"/>
    <x v="0"/>
    <x v="3"/>
    <n v="203.05029554305099"/>
    <n v="74113.357873213798"/>
    <n v="266808.08834357001"/>
  </r>
  <r>
    <x v="0"/>
    <x v="0"/>
    <x v="0"/>
    <x v="1"/>
    <x v="2"/>
    <s v="EE_Narva"/>
    <x v="11"/>
    <s v="NARVA-11_ST_SHALE_EXT"/>
    <x v="0"/>
    <x v="18"/>
    <n v="207.421110240769"/>
    <n v="75708.705237880495"/>
    <n v="272551.33885637001"/>
  </r>
  <r>
    <x v="0"/>
    <x v="0"/>
    <x v="0"/>
    <x v="1"/>
    <x v="2"/>
    <s v="EE_Narva"/>
    <x v="11"/>
    <s v="NARVA-11_ST_SHALE_EXT"/>
    <x v="0"/>
    <x v="4"/>
    <n v="289.43765207524598"/>
    <n v="105644.743007465"/>
    <n v="380321.07482687401"/>
  </r>
  <r>
    <x v="0"/>
    <x v="0"/>
    <x v="0"/>
    <x v="1"/>
    <x v="2"/>
    <s v="EE_Narva"/>
    <x v="11"/>
    <s v="NARVA-11_ST_SHALE_EXT"/>
    <x v="0"/>
    <x v="5"/>
    <n v="581.81818181818198"/>
    <n v="212363.636363636"/>
    <n v="764509.09090909106"/>
  </r>
  <r>
    <x v="0"/>
    <x v="0"/>
    <x v="0"/>
    <x v="1"/>
    <x v="2"/>
    <s v="EE_Narva"/>
    <x v="11"/>
    <s v="NARVA-11_ST_SHALE_EXT"/>
    <x v="0"/>
    <x v="6"/>
    <n v="581.81818181818198"/>
    <n v="212363.636363636"/>
    <n v="764509.09090909106"/>
  </r>
  <r>
    <x v="0"/>
    <x v="0"/>
    <x v="0"/>
    <x v="1"/>
    <x v="2"/>
    <s v="EE_Narva"/>
    <x v="11"/>
    <s v="NARVA-11_ST_SHALE_EXT"/>
    <x v="0"/>
    <x v="7"/>
    <n v="581.81818181818198"/>
    <n v="212363.636363636"/>
    <n v="764509.09090909106"/>
  </r>
  <r>
    <x v="0"/>
    <x v="0"/>
    <x v="0"/>
    <x v="1"/>
    <x v="2"/>
    <s v="EE_Narva"/>
    <x v="11"/>
    <s v="NARVA-11_ST_SHALE_EXT"/>
    <x v="0"/>
    <x v="8"/>
    <n v="581.81818181818198"/>
    <n v="212363.636363636"/>
    <n v="764509.09090909106"/>
  </r>
  <r>
    <x v="0"/>
    <x v="0"/>
    <x v="0"/>
    <x v="1"/>
    <x v="2"/>
    <s v="EE_Narva"/>
    <x v="11"/>
    <s v="NARVA-11_ST_SHALE_EXT"/>
    <x v="0"/>
    <x v="9"/>
    <n v="581.81818181818198"/>
    <n v="212363.636363636"/>
    <n v="764509.09090909106"/>
  </r>
  <r>
    <x v="0"/>
    <x v="0"/>
    <x v="0"/>
    <x v="1"/>
    <x v="2"/>
    <s v="EE_Narva"/>
    <x v="11"/>
    <s v="NARVA-11_ST_SHALE_EXT"/>
    <x v="0"/>
    <x v="10"/>
    <n v="581.81818181818198"/>
    <n v="212363.636363636"/>
    <n v="764509.09090909106"/>
  </r>
  <r>
    <x v="0"/>
    <x v="0"/>
    <x v="0"/>
    <x v="1"/>
    <x v="2"/>
    <s v="EE_Narva"/>
    <x v="11"/>
    <s v="NARVA-11_ST_SHALE_EXT"/>
    <x v="0"/>
    <x v="11"/>
    <n v="581.81818181818198"/>
    <n v="212363.636363636"/>
    <n v="764509.09090909106"/>
  </r>
  <r>
    <x v="0"/>
    <x v="0"/>
    <x v="0"/>
    <x v="1"/>
    <x v="2"/>
    <s v="EE_Narva"/>
    <x v="11"/>
    <s v="NARVA-11_ST_SHALE_EXT"/>
    <x v="0"/>
    <x v="12"/>
    <n v="581.81818181818198"/>
    <n v="212363.636363636"/>
    <n v="764509.09090909106"/>
  </r>
  <r>
    <x v="0"/>
    <x v="0"/>
    <x v="0"/>
    <x v="1"/>
    <x v="2"/>
    <s v="EE_Narva"/>
    <x v="11"/>
    <s v="NARVA-11_ST_SHALE_EXT"/>
    <x v="0"/>
    <x v="13"/>
    <n v="581.81818181818198"/>
    <n v="212363.636363636"/>
    <n v="764509.09090909106"/>
  </r>
  <r>
    <x v="0"/>
    <x v="0"/>
    <x v="0"/>
    <x v="1"/>
    <x v="2"/>
    <s v="EE_Narva"/>
    <x v="11"/>
    <s v="NARVA-11_ST_SHALE_EXT"/>
    <x v="0"/>
    <x v="14"/>
    <n v="581.81818181818198"/>
    <n v="212363.636363636"/>
    <n v="764509.09090909106"/>
  </r>
  <r>
    <x v="0"/>
    <x v="0"/>
    <x v="0"/>
    <x v="1"/>
    <x v="2"/>
    <s v="EE_Narva"/>
    <x v="11"/>
    <s v="NARVA-11_ST_SHALE_EXT"/>
    <x v="0"/>
    <x v="15"/>
    <n v="581.81818181818198"/>
    <n v="212363.636363636"/>
    <n v="764509.09090909106"/>
  </r>
  <r>
    <x v="0"/>
    <x v="0"/>
    <x v="0"/>
    <x v="1"/>
    <x v="2"/>
    <s v="EE_Narva"/>
    <x v="11"/>
    <s v="NARVA-11_ST_SHALE_EXT"/>
    <x v="0"/>
    <x v="16"/>
    <n v="581.81818181818198"/>
    <n v="212363.636363636"/>
    <n v="764509.09090909106"/>
  </r>
  <r>
    <x v="0"/>
    <x v="0"/>
    <x v="0"/>
    <x v="1"/>
    <x v="2"/>
    <s v="EE_Narva"/>
    <x v="11"/>
    <s v="NARVA-11_ST_SHALE_EXT"/>
    <x v="0"/>
    <x v="17"/>
    <n v="581.81818181818198"/>
    <n v="212363.636363636"/>
    <n v="764509.09090909106"/>
  </r>
  <r>
    <x v="0"/>
    <x v="0"/>
    <x v="0"/>
    <x v="1"/>
    <x v="2"/>
    <s v="EE_Narva"/>
    <x v="11"/>
    <s v="NARVA-11_ST_SHALE_EXT"/>
    <x v="0"/>
    <x v="19"/>
    <n v="581.81818181818198"/>
    <n v="212363.636363636"/>
    <n v="764509.09090909106"/>
  </r>
  <r>
    <x v="0"/>
    <x v="0"/>
    <x v="0"/>
    <x v="1"/>
    <x v="2"/>
    <s v="EE_Narva"/>
    <x v="11"/>
    <s v="NARVA-11_ST_SHALE_EXT"/>
    <x v="0"/>
    <x v="20"/>
    <n v="246.17291989506199"/>
    <n v="89853.1157616977"/>
    <n v="323471.21674211201"/>
  </r>
  <r>
    <x v="0"/>
    <x v="0"/>
    <x v="0"/>
    <x v="1"/>
    <x v="2"/>
    <s v="EE_Narva"/>
    <x v="11"/>
    <s v="NARVA-11_ST_SHALE_EXT"/>
    <x v="0"/>
    <x v="21"/>
    <n v="171.18215845616601"/>
    <n v="62481.487836500499"/>
    <n v="224933.35621140199"/>
  </r>
  <r>
    <x v="0"/>
    <x v="0"/>
    <x v="0"/>
    <x v="1"/>
    <x v="2"/>
    <s v="EE_Narva"/>
    <x v="11"/>
    <s v="NARVA-11_ST_SHALE_EXT"/>
    <x v="0"/>
    <x v="22"/>
    <n v="158.41548090590601"/>
    <n v="57821.650530655599"/>
    <n v="208157.94191036001"/>
  </r>
  <r>
    <x v="0"/>
    <x v="0"/>
    <x v="0"/>
    <x v="1"/>
    <x v="2"/>
    <s v="EE_Narva"/>
    <x v="11"/>
    <s v="NARVA-11_ST_SHALE_EXT"/>
    <x v="0"/>
    <x v="23"/>
    <n v="72.1556672614484"/>
    <n v="26336.818550428699"/>
    <n v="94812.546781543206"/>
  </r>
  <r>
    <x v="0"/>
    <x v="0"/>
    <x v="0"/>
    <x v="1"/>
    <x v="2"/>
    <s v="EE_Narva"/>
    <x v="11"/>
    <s v="NARVA-4_ST_SHALE_CND"/>
    <x v="0"/>
    <x v="16"/>
    <n v="147.512938433767"/>
    <n v="53842.222528324797"/>
    <n v="193832.00110196901"/>
  </r>
  <r>
    <x v="0"/>
    <x v="0"/>
    <x v="0"/>
    <x v="1"/>
    <x v="2"/>
    <s v="EE_Narva"/>
    <x v="11"/>
    <s v="NARVA-6_ST_SHALE_CND"/>
    <x v="0"/>
    <x v="15"/>
    <n v="85.213244919087202"/>
    <n v="31102.834395466802"/>
    <n v="111970.203823681"/>
  </r>
  <r>
    <x v="0"/>
    <x v="0"/>
    <x v="0"/>
    <x v="1"/>
    <x v="2"/>
    <s v="EE_Narva"/>
    <x v="11"/>
    <s v="NARVA-8_ST_SHALE_CND"/>
    <x v="0"/>
    <x v="5"/>
    <n v="587.87878787878799"/>
    <n v="214575.75757575801"/>
    <n v="772472.72727272694"/>
  </r>
  <r>
    <x v="0"/>
    <x v="0"/>
    <x v="0"/>
    <x v="1"/>
    <x v="2"/>
    <s v="EE_Narva"/>
    <x v="11"/>
    <s v="NARVA-8_ST_SHALE_CND"/>
    <x v="0"/>
    <x v="6"/>
    <n v="587.87878787878799"/>
    <n v="214575.75757575801"/>
    <n v="772472.72727272694"/>
  </r>
  <r>
    <x v="0"/>
    <x v="0"/>
    <x v="0"/>
    <x v="1"/>
    <x v="2"/>
    <s v="EE_Narva"/>
    <x v="11"/>
    <s v="NARVA-8_ST_SHALE_CND"/>
    <x v="0"/>
    <x v="7"/>
    <n v="587.87878787878799"/>
    <n v="214575.75757575801"/>
    <n v="772472.72727272694"/>
  </r>
  <r>
    <x v="0"/>
    <x v="0"/>
    <x v="0"/>
    <x v="1"/>
    <x v="2"/>
    <s v="EE_Narva"/>
    <x v="11"/>
    <s v="NARVA-8_ST_SHALE_CND"/>
    <x v="0"/>
    <x v="8"/>
    <n v="587.87878787878799"/>
    <n v="214575.75757575801"/>
    <n v="772472.72727272694"/>
  </r>
  <r>
    <x v="0"/>
    <x v="0"/>
    <x v="0"/>
    <x v="1"/>
    <x v="2"/>
    <s v="EE_Narva"/>
    <x v="11"/>
    <s v="NARVA-8_ST_SHALE_CND"/>
    <x v="0"/>
    <x v="9"/>
    <n v="587.87878787878799"/>
    <n v="214575.75757575801"/>
    <n v="772472.72727272694"/>
  </r>
  <r>
    <x v="0"/>
    <x v="0"/>
    <x v="0"/>
    <x v="1"/>
    <x v="2"/>
    <s v="EE_Narva"/>
    <x v="11"/>
    <s v="NARVA-8_ST_SHALE_CND"/>
    <x v="0"/>
    <x v="10"/>
    <n v="587.87878787878799"/>
    <n v="214575.75757575801"/>
    <n v="772472.72727272694"/>
  </r>
  <r>
    <x v="0"/>
    <x v="0"/>
    <x v="0"/>
    <x v="1"/>
    <x v="2"/>
    <s v="EE_Narva"/>
    <x v="11"/>
    <s v="NARVA-8_ST_SHALE_CND"/>
    <x v="0"/>
    <x v="11"/>
    <n v="587.87878787878799"/>
    <n v="214575.75757575801"/>
    <n v="772472.72727272694"/>
  </r>
  <r>
    <x v="0"/>
    <x v="0"/>
    <x v="0"/>
    <x v="1"/>
    <x v="2"/>
    <s v="EE_Narva"/>
    <x v="11"/>
    <s v="NARVA-8_ST_SHALE_CND"/>
    <x v="0"/>
    <x v="12"/>
    <n v="587.87878787878799"/>
    <n v="214575.75757575801"/>
    <n v="772472.72727272694"/>
  </r>
  <r>
    <x v="0"/>
    <x v="0"/>
    <x v="0"/>
    <x v="1"/>
    <x v="2"/>
    <s v="EE_Narva"/>
    <x v="11"/>
    <s v="NARVA-8_ST_SHALE_CND"/>
    <x v="0"/>
    <x v="13"/>
    <n v="587.87878787878799"/>
    <n v="214575.75757575801"/>
    <n v="772472.72727272694"/>
  </r>
  <r>
    <x v="0"/>
    <x v="0"/>
    <x v="0"/>
    <x v="1"/>
    <x v="2"/>
    <s v="EE_Narva"/>
    <x v="11"/>
    <s v="NARVA-8_ST_SHALE_CND"/>
    <x v="0"/>
    <x v="14"/>
    <n v="587.87878787878799"/>
    <n v="214575.75757575801"/>
    <n v="772472.72727272694"/>
  </r>
  <r>
    <x v="0"/>
    <x v="0"/>
    <x v="0"/>
    <x v="1"/>
    <x v="2"/>
    <s v="EE_Narva"/>
    <x v="11"/>
    <s v="NARVA-8_ST_SHALE_CND"/>
    <x v="0"/>
    <x v="15"/>
    <n v="587.87878787878799"/>
    <n v="214575.75757575801"/>
    <n v="772472.72727272694"/>
  </r>
  <r>
    <x v="0"/>
    <x v="0"/>
    <x v="0"/>
    <x v="1"/>
    <x v="2"/>
    <s v="EE_Narva"/>
    <x v="11"/>
    <s v="NARVA-8_ST_SHALE_CND"/>
    <x v="0"/>
    <x v="16"/>
    <n v="587.87878787878799"/>
    <n v="214575.75757575801"/>
    <n v="772472.72727272694"/>
  </r>
  <r>
    <x v="0"/>
    <x v="0"/>
    <x v="0"/>
    <x v="1"/>
    <x v="2"/>
    <s v="EE_Narva"/>
    <x v="11"/>
    <s v="NARVA-8_ST_SHALE_CND"/>
    <x v="0"/>
    <x v="17"/>
    <n v="587.87878787878799"/>
    <n v="214575.75757575801"/>
    <n v="772472.72727272694"/>
  </r>
  <r>
    <x v="0"/>
    <x v="0"/>
    <x v="0"/>
    <x v="1"/>
    <x v="2"/>
    <s v="EE_Narva"/>
    <x v="11"/>
    <s v="NARVA-8_ST_SHALE_CND"/>
    <x v="0"/>
    <x v="19"/>
    <n v="587.87878787878799"/>
    <n v="214575.75757575801"/>
    <n v="772472.72727272694"/>
  </r>
  <r>
    <x v="0"/>
    <x v="0"/>
    <x v="0"/>
    <x v="1"/>
    <x v="2"/>
    <s v="EE_Narva"/>
    <x v="11"/>
    <s v="NARVA-8_ST_SHALE_CND"/>
    <x v="0"/>
    <x v="20"/>
    <n v="480.20876528771601"/>
    <n v="175276.19933001601"/>
    <n v="630994.317588059"/>
  </r>
  <r>
    <x v="0"/>
    <x v="0"/>
    <x v="0"/>
    <x v="1"/>
    <x v="2"/>
    <s v="EE_Narva"/>
    <x v="11"/>
    <s v="NARVA-8_ST_SHALE_CND"/>
    <x v="0"/>
    <x v="21"/>
    <n v="447.79864537772602"/>
    <n v="163446.50556287001"/>
    <n v="588407.42002633202"/>
  </r>
  <r>
    <x v="0"/>
    <x v="0"/>
    <x v="0"/>
    <x v="1"/>
    <x v="2"/>
    <s v="EE_Narva"/>
    <x v="11"/>
    <s v="NARVA-8_ST_SHALE_CND"/>
    <x v="0"/>
    <x v="22"/>
    <n v="103.098083614557"/>
    <n v="37630.800519313198"/>
    <n v="135470.88186952801"/>
  </r>
  <r>
    <x v="0"/>
    <x v="0"/>
    <x v="0"/>
    <x v="1"/>
    <x v="2"/>
    <s v="EE_Parnu"/>
    <x v="12"/>
    <s v="PARNU-1_ST_WOOD_BP"/>
    <x v="0"/>
    <x v="0"/>
    <n v="41.637869771614902"/>
    <n v="15197.8224666395"/>
    <n v="54712.160879902003"/>
  </r>
  <r>
    <x v="0"/>
    <x v="0"/>
    <x v="0"/>
    <x v="1"/>
    <x v="2"/>
    <s v="EE_Parnu"/>
    <x v="12"/>
    <s v="PARNU-1_ST_WOOD_BP"/>
    <x v="0"/>
    <x v="1"/>
    <n v="41.902237198736302"/>
    <n v="15294.316577538801"/>
    <n v="55059.539679139503"/>
  </r>
  <r>
    <x v="0"/>
    <x v="0"/>
    <x v="0"/>
    <x v="1"/>
    <x v="2"/>
    <s v="EE_Parnu"/>
    <x v="12"/>
    <s v="PARNU-1_ST_WOOD_BP"/>
    <x v="0"/>
    <x v="2"/>
    <n v="41.984852019711703"/>
    <n v="15324.4709871948"/>
    <n v="55168.095553901199"/>
  </r>
  <r>
    <x v="0"/>
    <x v="0"/>
    <x v="0"/>
    <x v="1"/>
    <x v="2"/>
    <s v="EE_Parnu"/>
    <x v="12"/>
    <s v="PARNU-1_ST_WOOD_BP"/>
    <x v="0"/>
    <x v="3"/>
    <n v="41.7370075567855"/>
    <n v="15234.0077582267"/>
    <n v="54842.427929616097"/>
  </r>
  <r>
    <x v="0"/>
    <x v="0"/>
    <x v="0"/>
    <x v="1"/>
    <x v="2"/>
    <s v="EE_Parnu"/>
    <x v="12"/>
    <s v="PARNU-1_ST_WOOD_BP"/>
    <x v="0"/>
    <x v="18"/>
    <n v="41.191749738347603"/>
    <n v="15034.988654496899"/>
    <n v="54125.959156188801"/>
  </r>
  <r>
    <x v="0"/>
    <x v="0"/>
    <x v="0"/>
    <x v="1"/>
    <x v="2"/>
    <s v="EE_Parnu"/>
    <x v="12"/>
    <s v="PARNU-1_ST_WOOD_BP"/>
    <x v="0"/>
    <x v="4"/>
    <n v="40.398647456983497"/>
    <n v="14745.506321798999"/>
    <n v="53083.822758476301"/>
  </r>
  <r>
    <x v="0"/>
    <x v="0"/>
    <x v="0"/>
    <x v="1"/>
    <x v="2"/>
    <s v="EE_Parnu"/>
    <x v="12"/>
    <s v="PARNU-1_ST_WOOD_BP"/>
    <x v="0"/>
    <x v="5"/>
    <n v="39.390746641083297"/>
    <n v="14377.6225239954"/>
    <n v="51759.4410863835"/>
  </r>
  <r>
    <x v="0"/>
    <x v="0"/>
    <x v="0"/>
    <x v="1"/>
    <x v="2"/>
    <s v="EE_Parnu"/>
    <x v="12"/>
    <s v="PARNU-1_ST_WOOD_BP"/>
    <x v="0"/>
    <x v="6"/>
    <n v="38.151524326451998"/>
    <n v="13925.306379154999"/>
    <n v="50131.1029649579"/>
  </r>
  <r>
    <x v="0"/>
    <x v="0"/>
    <x v="0"/>
    <x v="1"/>
    <x v="2"/>
    <s v="EE_Parnu"/>
    <x v="12"/>
    <s v="PARNU-1_ST_WOOD_BP"/>
    <x v="0"/>
    <x v="7"/>
    <n v="37.077531653771402"/>
    <n v="13533.299053626501"/>
    <n v="48719.876593055596"/>
  </r>
  <r>
    <x v="0"/>
    <x v="0"/>
    <x v="0"/>
    <x v="1"/>
    <x v="2"/>
    <s v="EE_Parnu"/>
    <x v="12"/>
    <s v="PARNU-1_ST_WOOD_BP"/>
    <x v="0"/>
    <x v="8"/>
    <n v="36.102676766261403"/>
    <n v="13177.477019685401"/>
    <n v="47438.917270867503"/>
  </r>
  <r>
    <x v="0"/>
    <x v="0"/>
    <x v="0"/>
    <x v="1"/>
    <x v="2"/>
    <s v="EE_Parnu"/>
    <x v="12"/>
    <s v="PARNU-1_ST_WOOD_BP"/>
    <x v="0"/>
    <x v="9"/>
    <n v="35.226959663921903"/>
    <n v="12857.840277331499"/>
    <n v="46288.2249983933"/>
  </r>
  <r>
    <x v="0"/>
    <x v="0"/>
    <x v="0"/>
    <x v="1"/>
    <x v="2"/>
    <s v="EE_Parnu"/>
    <x v="12"/>
    <s v="PARNU-1_ST_WOOD_BP"/>
    <x v="0"/>
    <x v="10"/>
    <n v="34.4999492393381"/>
    <n v="12592.4814723584"/>
    <n v="45332.933300490302"/>
  </r>
  <r>
    <x v="0"/>
    <x v="0"/>
    <x v="0"/>
    <x v="1"/>
    <x v="2"/>
    <s v="EE_Parnu"/>
    <x v="12"/>
    <s v="PARNU-1_ST_WOOD_BP"/>
    <x v="0"/>
    <x v="11"/>
    <n v="33.872076599924803"/>
    <n v="12363.3079589726"/>
    <n v="44507.908652301201"/>
  </r>
  <r>
    <x v="0"/>
    <x v="0"/>
    <x v="0"/>
    <x v="1"/>
    <x v="2"/>
    <s v="EE_Parnu"/>
    <x v="12"/>
    <s v="PARNU-1_ST_WOOD_BP"/>
    <x v="0"/>
    <x v="12"/>
    <n v="33.359864709877201"/>
    <n v="12176.3506191052"/>
    <n v="43834.862228778598"/>
  </r>
  <r>
    <x v="0"/>
    <x v="0"/>
    <x v="0"/>
    <x v="1"/>
    <x v="2"/>
    <s v="EE_Parnu"/>
    <x v="12"/>
    <s v="PARNU-1_ST_WOOD_BP"/>
    <x v="0"/>
    <x v="13"/>
    <n v="33.045928390170502"/>
    <n v="12061.763862412199"/>
    <n v="43422.349904684103"/>
  </r>
  <r>
    <x v="0"/>
    <x v="0"/>
    <x v="0"/>
    <x v="1"/>
    <x v="2"/>
    <s v="EE_Parnu"/>
    <x v="12"/>
    <s v="PARNU-1_ST_WOOD_BP"/>
    <x v="0"/>
    <x v="14"/>
    <n v="32.814606891439396"/>
    <n v="11977.331515375399"/>
    <n v="43118.393455351303"/>
  </r>
  <r>
    <x v="0"/>
    <x v="0"/>
    <x v="0"/>
    <x v="1"/>
    <x v="2"/>
    <s v="EE_Parnu"/>
    <x v="12"/>
    <s v="PARNU-1_ST_WOOD_BP"/>
    <x v="0"/>
    <x v="15"/>
    <n v="32.6163313210984"/>
    <n v="11904.9609322009"/>
    <n v="42857.859355923298"/>
  </r>
  <r>
    <x v="0"/>
    <x v="0"/>
    <x v="0"/>
    <x v="1"/>
    <x v="2"/>
    <s v="EE_Parnu"/>
    <x v="12"/>
    <s v="PARNU-1_ST_WOOD_BP"/>
    <x v="0"/>
    <x v="16"/>
    <n v="32.434578714952401"/>
    <n v="11838.6212309576"/>
    <n v="42619.036431447501"/>
  </r>
  <r>
    <x v="0"/>
    <x v="0"/>
    <x v="0"/>
    <x v="1"/>
    <x v="2"/>
    <s v="EE_Parnu"/>
    <x v="12"/>
    <s v="PARNU-1_ST_WOOD_BP"/>
    <x v="0"/>
    <x v="17"/>
    <n v="32.236303144611398"/>
    <n v="11766.250647783199"/>
    <n v="42358.502332019401"/>
  </r>
  <r>
    <x v="0"/>
    <x v="0"/>
    <x v="0"/>
    <x v="1"/>
    <x v="2"/>
    <s v="EE_Parnu"/>
    <x v="12"/>
    <s v="PARNU-1_ST_WOOD_BP"/>
    <x v="0"/>
    <x v="19"/>
    <n v="32.004981645880299"/>
    <n v="11681.818300746299"/>
    <n v="42054.545882686703"/>
  </r>
  <r>
    <x v="0"/>
    <x v="0"/>
    <x v="0"/>
    <x v="1"/>
    <x v="2"/>
    <s v="EE_Parnu"/>
    <x v="12"/>
    <s v="PARNU-1_ST_WOOD_BP"/>
    <x v="0"/>
    <x v="20"/>
    <n v="31.8067060755392"/>
    <n v="11609.4477175718"/>
    <n v="41794.011783258502"/>
  </r>
  <r>
    <x v="0"/>
    <x v="0"/>
    <x v="0"/>
    <x v="1"/>
    <x v="2"/>
    <s v="EE_Parnu"/>
    <x v="12"/>
    <s v="PARNU-1_ST_WOOD_BP"/>
    <x v="0"/>
    <x v="21"/>
    <n v="31.6084305051981"/>
    <n v="11537.077134397299"/>
    <n v="41533.477683830301"/>
  </r>
  <r>
    <x v="0"/>
    <x v="0"/>
    <x v="0"/>
    <x v="1"/>
    <x v="2"/>
    <s v="EE_Parnu"/>
    <x v="12"/>
    <s v="PARNU-1_ST_WOOD_BP"/>
    <x v="0"/>
    <x v="22"/>
    <n v="31.459723827442399"/>
    <n v="11482.7991970165"/>
    <n v="41338.0771092594"/>
  </r>
  <r>
    <x v="0"/>
    <x v="0"/>
    <x v="0"/>
    <x v="1"/>
    <x v="2"/>
    <s v="EE_Parnu"/>
    <x v="12"/>
    <s v="PARNU-1_ST_WOOD_BP"/>
    <x v="0"/>
    <x v="23"/>
    <n v="31.4101549348572"/>
    <n v="11464.7065512229"/>
    <n v="41272.943584402303"/>
  </r>
  <r>
    <x v="0"/>
    <x v="0"/>
    <x v="0"/>
    <x v="1"/>
    <x v="2"/>
    <s v="EE_Rural"/>
    <x v="7"/>
    <s v="GNR_ROR_WTR"/>
    <x v="0"/>
    <x v="0"/>
    <n v="3.4246575342465699"/>
    <n v="1250"/>
    <n v="4500"/>
  </r>
  <r>
    <x v="0"/>
    <x v="0"/>
    <x v="0"/>
    <x v="1"/>
    <x v="2"/>
    <s v="EE_Rural"/>
    <x v="7"/>
    <s v="GNR_ROR_WTR"/>
    <x v="0"/>
    <x v="1"/>
    <n v="3.4246575342465699"/>
    <n v="1250"/>
    <n v="4500"/>
  </r>
  <r>
    <x v="0"/>
    <x v="0"/>
    <x v="0"/>
    <x v="1"/>
    <x v="2"/>
    <s v="EE_Rural"/>
    <x v="7"/>
    <s v="GNR_ROR_WTR"/>
    <x v="0"/>
    <x v="2"/>
    <n v="3.4246575342465699"/>
    <n v="1250"/>
    <n v="4500"/>
  </r>
  <r>
    <x v="0"/>
    <x v="0"/>
    <x v="0"/>
    <x v="1"/>
    <x v="2"/>
    <s v="EE_Rural"/>
    <x v="7"/>
    <s v="GNR_ROR_WTR"/>
    <x v="0"/>
    <x v="3"/>
    <n v="3.4246575342465699"/>
    <n v="1250"/>
    <n v="4500"/>
  </r>
  <r>
    <x v="0"/>
    <x v="0"/>
    <x v="0"/>
    <x v="1"/>
    <x v="2"/>
    <s v="EE_Rural"/>
    <x v="7"/>
    <s v="GNR_ROR_WTR"/>
    <x v="0"/>
    <x v="18"/>
    <n v="3.4246575342465699"/>
    <n v="1250"/>
    <n v="4500"/>
  </r>
  <r>
    <x v="0"/>
    <x v="0"/>
    <x v="0"/>
    <x v="1"/>
    <x v="2"/>
    <s v="EE_Rural"/>
    <x v="7"/>
    <s v="GNR_ROR_WTR"/>
    <x v="0"/>
    <x v="4"/>
    <n v="3.4246575342465699"/>
    <n v="1250"/>
    <n v="4500"/>
  </r>
  <r>
    <x v="0"/>
    <x v="0"/>
    <x v="0"/>
    <x v="1"/>
    <x v="2"/>
    <s v="EE_Rural"/>
    <x v="7"/>
    <s v="GNR_ROR_WTR"/>
    <x v="0"/>
    <x v="5"/>
    <n v="3.4246575342465699"/>
    <n v="1250"/>
    <n v="4500"/>
  </r>
  <r>
    <x v="0"/>
    <x v="0"/>
    <x v="0"/>
    <x v="1"/>
    <x v="2"/>
    <s v="EE_Rural"/>
    <x v="7"/>
    <s v="GNR_ROR_WTR"/>
    <x v="0"/>
    <x v="6"/>
    <n v="3.4246575342465699"/>
    <n v="1250"/>
    <n v="4500"/>
  </r>
  <r>
    <x v="0"/>
    <x v="0"/>
    <x v="0"/>
    <x v="1"/>
    <x v="2"/>
    <s v="EE_Rural"/>
    <x v="7"/>
    <s v="GNR_ROR_WTR"/>
    <x v="0"/>
    <x v="7"/>
    <n v="3.4246575342465699"/>
    <n v="1250"/>
    <n v="4500"/>
  </r>
  <r>
    <x v="0"/>
    <x v="0"/>
    <x v="0"/>
    <x v="1"/>
    <x v="2"/>
    <s v="EE_Rural"/>
    <x v="7"/>
    <s v="GNR_ROR_WTR"/>
    <x v="0"/>
    <x v="8"/>
    <n v="3.4246575342465699"/>
    <n v="1250"/>
    <n v="4500"/>
  </r>
  <r>
    <x v="0"/>
    <x v="0"/>
    <x v="0"/>
    <x v="1"/>
    <x v="2"/>
    <s v="EE_Rural"/>
    <x v="7"/>
    <s v="GNR_ROR_WTR"/>
    <x v="0"/>
    <x v="9"/>
    <n v="3.4246575342465699"/>
    <n v="1250"/>
    <n v="4500"/>
  </r>
  <r>
    <x v="0"/>
    <x v="0"/>
    <x v="0"/>
    <x v="1"/>
    <x v="2"/>
    <s v="EE_Rural"/>
    <x v="7"/>
    <s v="GNR_ROR_WTR"/>
    <x v="0"/>
    <x v="10"/>
    <n v="3.4246575342465699"/>
    <n v="1250"/>
    <n v="4500"/>
  </r>
  <r>
    <x v="0"/>
    <x v="0"/>
    <x v="0"/>
    <x v="1"/>
    <x v="2"/>
    <s v="EE_Rural"/>
    <x v="7"/>
    <s v="GNR_ROR_WTR"/>
    <x v="0"/>
    <x v="11"/>
    <n v="3.4246575342465699"/>
    <n v="1250"/>
    <n v="4500"/>
  </r>
  <r>
    <x v="0"/>
    <x v="0"/>
    <x v="0"/>
    <x v="1"/>
    <x v="2"/>
    <s v="EE_Rural"/>
    <x v="7"/>
    <s v="GNR_ROR_WTR"/>
    <x v="0"/>
    <x v="12"/>
    <n v="3.4246575342465699"/>
    <n v="1250"/>
    <n v="4500"/>
  </r>
  <r>
    <x v="0"/>
    <x v="0"/>
    <x v="0"/>
    <x v="1"/>
    <x v="2"/>
    <s v="EE_Rural"/>
    <x v="7"/>
    <s v="GNR_ROR_WTR"/>
    <x v="0"/>
    <x v="13"/>
    <n v="3.4246575342465699"/>
    <n v="1250"/>
    <n v="4500"/>
  </r>
  <r>
    <x v="0"/>
    <x v="0"/>
    <x v="0"/>
    <x v="1"/>
    <x v="2"/>
    <s v="EE_Rural"/>
    <x v="7"/>
    <s v="GNR_ROR_WTR"/>
    <x v="0"/>
    <x v="14"/>
    <n v="3.4246575342465699"/>
    <n v="1250"/>
    <n v="4500"/>
  </r>
  <r>
    <x v="0"/>
    <x v="0"/>
    <x v="0"/>
    <x v="1"/>
    <x v="2"/>
    <s v="EE_Rural"/>
    <x v="7"/>
    <s v="GNR_ROR_WTR"/>
    <x v="0"/>
    <x v="15"/>
    <n v="3.4246575342465699"/>
    <n v="1250"/>
    <n v="4500"/>
  </r>
  <r>
    <x v="0"/>
    <x v="0"/>
    <x v="0"/>
    <x v="1"/>
    <x v="2"/>
    <s v="EE_Rural"/>
    <x v="7"/>
    <s v="GNR_ROR_WTR"/>
    <x v="0"/>
    <x v="16"/>
    <n v="3.4246575342465699"/>
    <n v="1250"/>
    <n v="4500"/>
  </r>
  <r>
    <x v="0"/>
    <x v="0"/>
    <x v="0"/>
    <x v="1"/>
    <x v="2"/>
    <s v="EE_Rural"/>
    <x v="7"/>
    <s v="GNR_ROR_WTR"/>
    <x v="0"/>
    <x v="17"/>
    <n v="3.4246575342465699"/>
    <n v="1250"/>
    <n v="4500"/>
  </r>
  <r>
    <x v="0"/>
    <x v="0"/>
    <x v="0"/>
    <x v="1"/>
    <x v="2"/>
    <s v="EE_Rural"/>
    <x v="7"/>
    <s v="GNR_ROR_WTR"/>
    <x v="0"/>
    <x v="19"/>
    <n v="3.4246575342465699"/>
    <n v="1250"/>
    <n v="4500"/>
  </r>
  <r>
    <x v="0"/>
    <x v="0"/>
    <x v="0"/>
    <x v="1"/>
    <x v="2"/>
    <s v="EE_Rural"/>
    <x v="7"/>
    <s v="GNR_ROR_WTR"/>
    <x v="0"/>
    <x v="20"/>
    <n v="3.4246575342465699"/>
    <n v="1250"/>
    <n v="4500"/>
  </r>
  <r>
    <x v="0"/>
    <x v="0"/>
    <x v="0"/>
    <x v="1"/>
    <x v="2"/>
    <s v="EE_Rural"/>
    <x v="7"/>
    <s v="GNR_ROR_WTR"/>
    <x v="0"/>
    <x v="21"/>
    <n v="3.4246575342465699"/>
    <n v="1250"/>
    <n v="4500"/>
  </r>
  <r>
    <x v="0"/>
    <x v="0"/>
    <x v="0"/>
    <x v="1"/>
    <x v="2"/>
    <s v="EE_Rural"/>
    <x v="7"/>
    <s v="GNR_ROR_WTR"/>
    <x v="0"/>
    <x v="22"/>
    <n v="3.4246575342465699"/>
    <n v="1250"/>
    <n v="4500"/>
  </r>
  <r>
    <x v="0"/>
    <x v="0"/>
    <x v="0"/>
    <x v="1"/>
    <x v="2"/>
    <s v="EE_Rural"/>
    <x v="7"/>
    <s v="GNR_ROR_WTR"/>
    <x v="0"/>
    <x v="23"/>
    <n v="3.4246575342465699"/>
    <n v="1250"/>
    <n v="4500"/>
  </r>
  <r>
    <x v="0"/>
    <x v="0"/>
    <x v="0"/>
    <x v="1"/>
    <x v="2"/>
    <s v="EE_Rural"/>
    <x v="8"/>
    <s v="GNR_WT_WIND_ONS"/>
    <x v="0"/>
    <x v="0"/>
    <n v="23.661485566316099"/>
    <n v="8636.4422317053904"/>
    <n v="31091.1920341394"/>
  </r>
  <r>
    <x v="0"/>
    <x v="0"/>
    <x v="0"/>
    <x v="1"/>
    <x v="2"/>
    <s v="EE_Rural"/>
    <x v="8"/>
    <s v="GNR_WT_WIND_ONS"/>
    <x v="0"/>
    <x v="1"/>
    <n v="28.393782679579399"/>
    <n v="10363.730678046501"/>
    <n v="37309.430440967299"/>
  </r>
  <r>
    <x v="0"/>
    <x v="0"/>
    <x v="0"/>
    <x v="1"/>
    <x v="2"/>
    <s v="EE_Rural"/>
    <x v="8"/>
    <s v="GNR_WT_WIND_ONS"/>
    <x v="0"/>
    <x v="2"/>
    <n v="27.717740234827499"/>
    <n v="10116.975185712001"/>
    <n v="36421.110668563299"/>
  </r>
  <r>
    <x v="0"/>
    <x v="0"/>
    <x v="0"/>
    <x v="1"/>
    <x v="2"/>
    <s v="EE_Rural"/>
    <x v="8"/>
    <s v="GNR_WT_WIND_ONS"/>
    <x v="0"/>
    <x v="3"/>
    <n v="26.027634122947699"/>
    <n v="9500.0864548759291"/>
    <n v="34200.311237553302"/>
  </r>
  <r>
    <x v="0"/>
    <x v="0"/>
    <x v="0"/>
    <x v="1"/>
    <x v="2"/>
    <s v="EE_Rural"/>
    <x v="8"/>
    <s v="GNR_WT_WIND_ONS"/>
    <x v="0"/>
    <x v="18"/>
    <n v="19.267209675428902"/>
    <n v="7032.5315315315302"/>
    <n v="25317.113513513501"/>
  </r>
  <r>
    <x v="0"/>
    <x v="0"/>
    <x v="0"/>
    <x v="1"/>
    <x v="2"/>
    <s v="EE_Rural"/>
    <x v="8"/>
    <s v="GNR_WT_WIND_ONS"/>
    <x v="0"/>
    <x v="4"/>
    <n v="11.154700338406199"/>
    <n v="4071.4656235182501"/>
    <n v="14657.2762446657"/>
  </r>
  <r>
    <x v="0"/>
    <x v="0"/>
    <x v="0"/>
    <x v="1"/>
    <x v="2"/>
    <s v="EE_Rural"/>
    <x v="8"/>
    <s v="GNR_WT_WIND_ONS"/>
    <x v="0"/>
    <x v="5"/>
    <n v="2.3661485566316101"/>
    <n v="863.64422317053902"/>
    <n v="3109.1192034139399"/>
  </r>
  <r>
    <x v="0"/>
    <x v="0"/>
    <x v="0"/>
    <x v="1"/>
    <x v="2"/>
    <s v="EE_Rural"/>
    <x v="8"/>
    <s v="GNR_WT_WIND_ONS"/>
    <x v="0"/>
    <x v="6"/>
    <n v="1.69010611187972"/>
    <n v="616.88873083609894"/>
    <n v="2220.7994310099598"/>
  </r>
  <r>
    <x v="0"/>
    <x v="0"/>
    <x v="0"/>
    <x v="1"/>
    <x v="2"/>
    <s v="EE_Rural"/>
    <x v="8"/>
    <s v="GNR_WT_WIND_ONS"/>
    <x v="0"/>
    <x v="7"/>
    <n v="2.3661485566316101"/>
    <n v="863.64422317053902"/>
    <n v="3109.1192034139399"/>
  </r>
  <r>
    <x v="0"/>
    <x v="0"/>
    <x v="0"/>
    <x v="1"/>
    <x v="2"/>
    <s v="EE_Rural"/>
    <x v="8"/>
    <s v="GNR_WT_WIND_ONS"/>
    <x v="0"/>
    <x v="8"/>
    <n v="11.154700338406199"/>
    <n v="4071.4656235182501"/>
    <n v="14657.2762446657"/>
  </r>
  <r>
    <x v="0"/>
    <x v="0"/>
    <x v="0"/>
    <x v="1"/>
    <x v="2"/>
    <s v="EE_Rural"/>
    <x v="8"/>
    <s v="GNR_WT_WIND_ONS"/>
    <x v="0"/>
    <x v="9"/>
    <n v="26.027634122947699"/>
    <n v="9500.0864548759291"/>
    <n v="34200.311237553302"/>
  </r>
  <r>
    <x v="0"/>
    <x v="0"/>
    <x v="0"/>
    <x v="1"/>
    <x v="2"/>
    <s v="EE_Rural"/>
    <x v="8"/>
    <s v="GNR_WT_WIND_ONS"/>
    <x v="0"/>
    <x v="10"/>
    <n v="40.224525462737397"/>
    <n v="14681.951793899199"/>
    <n v="52855.026458036999"/>
  </r>
  <r>
    <x v="0"/>
    <x v="0"/>
    <x v="0"/>
    <x v="1"/>
    <x v="2"/>
    <s v="EE_Rural"/>
    <x v="8"/>
    <s v="GNR_WT_WIND_ONS"/>
    <x v="0"/>
    <x v="11"/>
    <n v="46.646928687880397"/>
    <n v="17026.128971076301"/>
    <n v="61294.064295874799"/>
  </r>
  <r>
    <x v="0"/>
    <x v="0"/>
    <x v="0"/>
    <x v="1"/>
    <x v="2"/>
    <s v="EE_Rural"/>
    <x v="8"/>
    <s v="GNR_WT_WIND_ONS"/>
    <x v="0"/>
    <x v="12"/>
    <n v="53.407353135399298"/>
    <n v="19493.683894420701"/>
    <n v="70177.262019914706"/>
  </r>
  <r>
    <x v="0"/>
    <x v="0"/>
    <x v="0"/>
    <x v="1"/>
    <x v="2"/>
    <s v="EE_Rural"/>
    <x v="8"/>
    <s v="GNR_WT_WIND_ONS"/>
    <x v="0"/>
    <x v="13"/>
    <n v="53.407353135399298"/>
    <n v="19493.683894420701"/>
    <n v="70177.262019914706"/>
  </r>
  <r>
    <x v="0"/>
    <x v="0"/>
    <x v="0"/>
    <x v="1"/>
    <x v="2"/>
    <s v="EE_Rural"/>
    <x v="8"/>
    <s v="GNR_WT_WIND_ONS"/>
    <x v="0"/>
    <x v="14"/>
    <n v="84.505305593986193"/>
    <n v="30844.436541805"/>
    <n v="111039.971550498"/>
  </r>
  <r>
    <x v="0"/>
    <x v="0"/>
    <x v="0"/>
    <x v="1"/>
    <x v="2"/>
    <s v="EE_Rural"/>
    <x v="8"/>
    <s v="GNR_WT_WIND_ONS"/>
    <x v="0"/>
    <x v="15"/>
    <n v="109.18085482743"/>
    <n v="39851.012012011997"/>
    <n v="143463.64324324299"/>
  </r>
  <r>
    <x v="0"/>
    <x v="0"/>
    <x v="0"/>
    <x v="1"/>
    <x v="2"/>
    <s v="EE_Rural"/>
    <x v="8"/>
    <s v="GNR_WT_WIND_ONS"/>
    <x v="0"/>
    <x v="16"/>
    <n v="107.828769937926"/>
    <n v="39357.501027343103"/>
    <n v="141687.003698435"/>
  </r>
  <r>
    <x v="0"/>
    <x v="0"/>
    <x v="0"/>
    <x v="1"/>
    <x v="2"/>
    <s v="EE_Rural"/>
    <x v="8"/>
    <s v="GNR_WT_WIND_ONS"/>
    <x v="0"/>
    <x v="17"/>
    <n v="147.37725295591201"/>
    <n v="53792.697328907903"/>
    <n v="193653.71038406799"/>
  </r>
  <r>
    <x v="0"/>
    <x v="0"/>
    <x v="0"/>
    <x v="1"/>
    <x v="2"/>
    <s v="EE_Rural"/>
    <x v="8"/>
    <s v="GNR_WT_WIND_ONS"/>
    <x v="0"/>
    <x v="19"/>
    <n v="219.37577332198799"/>
    <n v="80072.157262525696"/>
    <n v="288259.76614509203"/>
  </r>
  <r>
    <x v="0"/>
    <x v="0"/>
    <x v="0"/>
    <x v="1"/>
    <x v="2"/>
    <s v="EE_Rural"/>
    <x v="8"/>
    <s v="GNR_WT_WIND_ONS"/>
    <x v="0"/>
    <x v="20"/>
    <n v="254.19195922671"/>
    <n v="92780.065117749298"/>
    <n v="334008.23442389799"/>
  </r>
  <r>
    <x v="0"/>
    <x v="0"/>
    <x v="0"/>
    <x v="1"/>
    <x v="2"/>
    <s v="EE_Rural"/>
    <x v="8"/>
    <s v="GNR_WT_WIND_ONS"/>
    <x v="0"/>
    <x v="21"/>
    <n v="274.13521134689103"/>
    <n v="100059.352141615"/>
    <n v="360213.66770981502"/>
  </r>
  <r>
    <x v="0"/>
    <x v="0"/>
    <x v="0"/>
    <x v="1"/>
    <x v="2"/>
    <s v="EE_Rural"/>
    <x v="8"/>
    <s v="GNR_WT_WIND_ONS"/>
    <x v="0"/>
    <x v="22"/>
    <n v="278.52948723777899"/>
    <n v="101663.26284178899"/>
    <n v="365987.74623044097"/>
  </r>
  <r>
    <x v="0"/>
    <x v="0"/>
    <x v="0"/>
    <x v="1"/>
    <x v="2"/>
    <s v="EE_Rural"/>
    <x v="8"/>
    <s v="GNR_WT_WIND_ONS"/>
    <x v="0"/>
    <x v="23"/>
    <n v="290.022208798561"/>
    <n v="105858.10621147499"/>
    <n v="381089.18236130901"/>
  </r>
  <r>
    <x v="0"/>
    <x v="0"/>
    <x v="0"/>
    <x v="1"/>
    <x v="2"/>
    <s v="EE_Rural"/>
    <x v="9"/>
    <s v="EBAVERE_ST_WOODWST_BP"/>
    <x v="0"/>
    <x v="0"/>
    <n v="39.473684210526301"/>
    <n v="14407.8947368421"/>
    <n v="51868.421052631602"/>
  </r>
  <r>
    <x v="0"/>
    <x v="0"/>
    <x v="0"/>
    <x v="1"/>
    <x v="2"/>
    <s v="EE_Rural"/>
    <x v="9"/>
    <s v="EBAVERE_ST_WOODWST_BP"/>
    <x v="0"/>
    <x v="1"/>
    <n v="39.473684210526301"/>
    <n v="14407.8947368421"/>
    <n v="51868.421052631602"/>
  </r>
  <r>
    <x v="0"/>
    <x v="0"/>
    <x v="0"/>
    <x v="1"/>
    <x v="2"/>
    <s v="EE_Rural"/>
    <x v="9"/>
    <s v="EBAVERE_ST_WOODWST_BP"/>
    <x v="0"/>
    <x v="2"/>
    <n v="39.473684210526301"/>
    <n v="14407.8947368421"/>
    <n v="51868.421052631602"/>
  </r>
  <r>
    <x v="0"/>
    <x v="0"/>
    <x v="0"/>
    <x v="1"/>
    <x v="2"/>
    <s v="EE_Rural"/>
    <x v="9"/>
    <s v="EBAVERE_ST_WOODWST_BP"/>
    <x v="0"/>
    <x v="3"/>
    <n v="39.473684210526301"/>
    <n v="14407.8947368421"/>
    <n v="51868.421052631602"/>
  </r>
  <r>
    <x v="0"/>
    <x v="0"/>
    <x v="0"/>
    <x v="1"/>
    <x v="2"/>
    <s v="EE_Rural"/>
    <x v="9"/>
    <s v="EBAVERE_ST_WOODWST_BP"/>
    <x v="0"/>
    <x v="18"/>
    <n v="39.473684210526301"/>
    <n v="14407.8947368421"/>
    <n v="51868.421052631602"/>
  </r>
  <r>
    <x v="0"/>
    <x v="0"/>
    <x v="0"/>
    <x v="1"/>
    <x v="2"/>
    <s v="EE_Rural"/>
    <x v="9"/>
    <s v="EBAVERE_ST_WOODWST_BP"/>
    <x v="0"/>
    <x v="4"/>
    <n v="39.473684210526301"/>
    <n v="14407.8947368421"/>
    <n v="51868.421052631602"/>
  </r>
  <r>
    <x v="0"/>
    <x v="0"/>
    <x v="0"/>
    <x v="1"/>
    <x v="2"/>
    <s v="EE_Rural"/>
    <x v="9"/>
    <s v="EBAVERE_ST_WOODWST_BP"/>
    <x v="0"/>
    <x v="5"/>
    <n v="39.473684210526301"/>
    <n v="14407.8947368421"/>
    <n v="51868.421052631602"/>
  </r>
  <r>
    <x v="0"/>
    <x v="0"/>
    <x v="0"/>
    <x v="1"/>
    <x v="2"/>
    <s v="EE_Rural"/>
    <x v="9"/>
    <s v="EBAVERE_ST_WOODWST_BP"/>
    <x v="0"/>
    <x v="6"/>
    <n v="39.473684210526301"/>
    <n v="14407.8947368421"/>
    <n v="51868.421052631602"/>
  </r>
  <r>
    <x v="0"/>
    <x v="0"/>
    <x v="0"/>
    <x v="1"/>
    <x v="2"/>
    <s v="EE_Rural"/>
    <x v="9"/>
    <s v="EBAVERE_ST_WOODWST_BP"/>
    <x v="0"/>
    <x v="7"/>
    <n v="39.473684210526301"/>
    <n v="14407.8947368421"/>
    <n v="51868.421052631602"/>
  </r>
  <r>
    <x v="0"/>
    <x v="0"/>
    <x v="0"/>
    <x v="1"/>
    <x v="2"/>
    <s v="EE_Rural"/>
    <x v="9"/>
    <s v="EBAVERE_ST_WOODWST_BP"/>
    <x v="0"/>
    <x v="8"/>
    <n v="39.473684210526301"/>
    <n v="14407.8947368421"/>
    <n v="51868.421052631602"/>
  </r>
  <r>
    <x v="0"/>
    <x v="0"/>
    <x v="0"/>
    <x v="1"/>
    <x v="2"/>
    <s v="EE_Rural"/>
    <x v="9"/>
    <s v="EBAVERE_ST_WOODWST_BP"/>
    <x v="0"/>
    <x v="9"/>
    <n v="39.473684210526301"/>
    <n v="14407.8947368421"/>
    <n v="51868.421052631602"/>
  </r>
  <r>
    <x v="0"/>
    <x v="0"/>
    <x v="0"/>
    <x v="1"/>
    <x v="2"/>
    <s v="EE_Rural"/>
    <x v="9"/>
    <s v="EBAVERE_ST_WOODWST_BP"/>
    <x v="0"/>
    <x v="10"/>
    <n v="39.473684210526301"/>
    <n v="14407.8947368421"/>
    <n v="51868.421052631602"/>
  </r>
  <r>
    <x v="0"/>
    <x v="0"/>
    <x v="0"/>
    <x v="1"/>
    <x v="2"/>
    <s v="EE_Rural"/>
    <x v="9"/>
    <s v="EBAVERE_ST_WOODWST_BP"/>
    <x v="0"/>
    <x v="11"/>
    <n v="39.473684210526301"/>
    <n v="14407.8947368421"/>
    <n v="51868.421052631602"/>
  </r>
  <r>
    <x v="0"/>
    <x v="0"/>
    <x v="0"/>
    <x v="1"/>
    <x v="2"/>
    <s v="EE_Rural"/>
    <x v="9"/>
    <s v="EBAVERE_ST_WOODWST_BP"/>
    <x v="0"/>
    <x v="12"/>
    <n v="39.473684210526301"/>
    <n v="14407.8947368421"/>
    <n v="51868.421052631602"/>
  </r>
  <r>
    <x v="0"/>
    <x v="0"/>
    <x v="0"/>
    <x v="1"/>
    <x v="2"/>
    <s v="EE_Rural"/>
    <x v="9"/>
    <s v="EBAVERE_ST_WOODWST_BP"/>
    <x v="0"/>
    <x v="13"/>
    <n v="39.473684210526301"/>
    <n v="14407.8947368421"/>
    <n v="51868.421052631602"/>
  </r>
  <r>
    <x v="0"/>
    <x v="0"/>
    <x v="0"/>
    <x v="1"/>
    <x v="2"/>
    <s v="EE_Rural"/>
    <x v="9"/>
    <s v="EBAVERE_ST_WOODWST_BP"/>
    <x v="0"/>
    <x v="14"/>
    <n v="39.473684210526301"/>
    <n v="14407.8947368421"/>
    <n v="51868.421052631602"/>
  </r>
  <r>
    <x v="0"/>
    <x v="0"/>
    <x v="0"/>
    <x v="1"/>
    <x v="2"/>
    <s v="EE_Rural"/>
    <x v="9"/>
    <s v="EBAVERE_ST_WOODWST_BP"/>
    <x v="0"/>
    <x v="15"/>
    <n v="39.473684210526301"/>
    <n v="14407.8947368421"/>
    <n v="51868.421052631602"/>
  </r>
  <r>
    <x v="0"/>
    <x v="0"/>
    <x v="0"/>
    <x v="1"/>
    <x v="2"/>
    <s v="EE_Rural"/>
    <x v="9"/>
    <s v="EBAVERE_ST_WOODWST_BP"/>
    <x v="0"/>
    <x v="16"/>
    <n v="39.473684210526301"/>
    <n v="14407.8947368421"/>
    <n v="51868.421052631602"/>
  </r>
  <r>
    <x v="0"/>
    <x v="0"/>
    <x v="0"/>
    <x v="1"/>
    <x v="2"/>
    <s v="EE_Rural"/>
    <x v="9"/>
    <s v="EBAVERE_ST_WOODWST_BP"/>
    <x v="0"/>
    <x v="17"/>
    <n v="39.473684210526301"/>
    <n v="14407.8947368421"/>
    <n v="51868.421052631602"/>
  </r>
  <r>
    <x v="0"/>
    <x v="0"/>
    <x v="0"/>
    <x v="1"/>
    <x v="2"/>
    <s v="EE_Rural"/>
    <x v="9"/>
    <s v="EBAVERE_ST_WOODWST_BP"/>
    <x v="0"/>
    <x v="19"/>
    <n v="39.473684210526301"/>
    <n v="14407.8947368421"/>
    <n v="51868.421052631602"/>
  </r>
  <r>
    <x v="0"/>
    <x v="0"/>
    <x v="0"/>
    <x v="1"/>
    <x v="2"/>
    <s v="EE_Rural"/>
    <x v="9"/>
    <s v="EBAVERE_ST_WOODWST_BP"/>
    <x v="0"/>
    <x v="20"/>
    <n v="39.473684210526301"/>
    <n v="14407.8947368421"/>
    <n v="51868.421052631602"/>
  </r>
  <r>
    <x v="0"/>
    <x v="0"/>
    <x v="0"/>
    <x v="1"/>
    <x v="2"/>
    <s v="EE_Rural"/>
    <x v="9"/>
    <s v="EBAVERE_ST_WOODWST_BP"/>
    <x v="0"/>
    <x v="21"/>
    <n v="39.473684210526301"/>
    <n v="14407.8947368421"/>
    <n v="51868.421052631602"/>
  </r>
  <r>
    <x v="0"/>
    <x v="0"/>
    <x v="0"/>
    <x v="1"/>
    <x v="2"/>
    <s v="EE_Rural"/>
    <x v="9"/>
    <s v="EBAVERE_ST_WOODWST_BP"/>
    <x v="0"/>
    <x v="22"/>
    <n v="39.473684210526301"/>
    <n v="14407.8947368421"/>
    <n v="51868.421052631602"/>
  </r>
  <r>
    <x v="0"/>
    <x v="0"/>
    <x v="0"/>
    <x v="1"/>
    <x v="2"/>
    <s v="EE_Rural"/>
    <x v="9"/>
    <s v="EBAVERE_ST_WOODWST_BP"/>
    <x v="0"/>
    <x v="23"/>
    <n v="39.473684210526301"/>
    <n v="14407.8947368421"/>
    <n v="51868.421052631602"/>
  </r>
  <r>
    <x v="0"/>
    <x v="0"/>
    <x v="0"/>
    <x v="1"/>
    <x v="2"/>
    <s v="EE_Tallinn"/>
    <x v="2"/>
    <s v="IRU_ST_MSW_BP"/>
    <x v="0"/>
    <x v="0"/>
    <n v="56.6666666666667"/>
    <n v="20683.333333333299"/>
    <n v="74460"/>
  </r>
  <r>
    <x v="0"/>
    <x v="0"/>
    <x v="0"/>
    <x v="1"/>
    <x v="2"/>
    <s v="EE_Tallinn"/>
    <x v="2"/>
    <s v="IRU_ST_MSW_BP"/>
    <x v="0"/>
    <x v="1"/>
    <n v="56.6666666666667"/>
    <n v="20683.333333333299"/>
    <n v="74460"/>
  </r>
  <r>
    <x v="0"/>
    <x v="0"/>
    <x v="0"/>
    <x v="1"/>
    <x v="2"/>
    <s v="EE_Tallinn"/>
    <x v="2"/>
    <s v="IRU_ST_MSW_BP"/>
    <x v="0"/>
    <x v="2"/>
    <n v="56.6666666666667"/>
    <n v="20683.333333333299"/>
    <n v="74460"/>
  </r>
  <r>
    <x v="0"/>
    <x v="0"/>
    <x v="0"/>
    <x v="1"/>
    <x v="2"/>
    <s v="EE_Tallinn"/>
    <x v="2"/>
    <s v="IRU_ST_MSW_BP"/>
    <x v="0"/>
    <x v="3"/>
    <n v="56.6666666666667"/>
    <n v="20683.333333333299"/>
    <n v="74460"/>
  </r>
  <r>
    <x v="0"/>
    <x v="0"/>
    <x v="0"/>
    <x v="1"/>
    <x v="2"/>
    <s v="EE_Tallinn"/>
    <x v="2"/>
    <s v="IRU_ST_MSW_BP"/>
    <x v="0"/>
    <x v="18"/>
    <n v="56.6666666666667"/>
    <n v="20683.333333333299"/>
    <n v="74460"/>
  </r>
  <r>
    <x v="0"/>
    <x v="0"/>
    <x v="0"/>
    <x v="1"/>
    <x v="2"/>
    <s v="EE_Tallinn"/>
    <x v="2"/>
    <s v="IRU_ST_MSW_BP"/>
    <x v="0"/>
    <x v="4"/>
    <n v="56.6666666666667"/>
    <n v="20683.333333333299"/>
    <n v="74460"/>
  </r>
  <r>
    <x v="0"/>
    <x v="0"/>
    <x v="0"/>
    <x v="1"/>
    <x v="2"/>
    <s v="EE_Tallinn"/>
    <x v="2"/>
    <s v="IRU_ST_MSW_BP"/>
    <x v="0"/>
    <x v="5"/>
    <n v="56.6666666666667"/>
    <n v="20683.333333333299"/>
    <n v="74460"/>
  </r>
  <r>
    <x v="0"/>
    <x v="0"/>
    <x v="0"/>
    <x v="1"/>
    <x v="2"/>
    <s v="EE_Tallinn"/>
    <x v="2"/>
    <s v="IRU_ST_MSW_BP"/>
    <x v="0"/>
    <x v="6"/>
    <n v="56.6666666666667"/>
    <n v="20683.333333333299"/>
    <n v="74460"/>
  </r>
  <r>
    <x v="0"/>
    <x v="0"/>
    <x v="0"/>
    <x v="1"/>
    <x v="2"/>
    <s v="EE_Tallinn"/>
    <x v="2"/>
    <s v="IRU_ST_MSW_BP"/>
    <x v="0"/>
    <x v="7"/>
    <n v="56.6666666666667"/>
    <n v="20683.333333333299"/>
    <n v="74460"/>
  </r>
  <r>
    <x v="0"/>
    <x v="0"/>
    <x v="0"/>
    <x v="1"/>
    <x v="2"/>
    <s v="EE_Tallinn"/>
    <x v="2"/>
    <s v="IRU_ST_MSW_BP"/>
    <x v="0"/>
    <x v="8"/>
    <n v="56.6666666666667"/>
    <n v="20683.333333333299"/>
    <n v="74460"/>
  </r>
  <r>
    <x v="0"/>
    <x v="0"/>
    <x v="0"/>
    <x v="1"/>
    <x v="2"/>
    <s v="EE_Tallinn"/>
    <x v="2"/>
    <s v="IRU_ST_MSW_BP"/>
    <x v="0"/>
    <x v="9"/>
    <n v="56.6666666666667"/>
    <n v="20683.333333333299"/>
    <n v="74460"/>
  </r>
  <r>
    <x v="0"/>
    <x v="0"/>
    <x v="0"/>
    <x v="1"/>
    <x v="2"/>
    <s v="EE_Tallinn"/>
    <x v="2"/>
    <s v="IRU_ST_MSW_BP"/>
    <x v="0"/>
    <x v="10"/>
    <n v="56.6666666666667"/>
    <n v="20683.333333333299"/>
    <n v="74460"/>
  </r>
  <r>
    <x v="0"/>
    <x v="0"/>
    <x v="0"/>
    <x v="1"/>
    <x v="2"/>
    <s v="EE_Tallinn"/>
    <x v="2"/>
    <s v="IRU_ST_MSW_BP"/>
    <x v="0"/>
    <x v="11"/>
    <n v="56.6666666666667"/>
    <n v="20683.333333333299"/>
    <n v="74460"/>
  </r>
  <r>
    <x v="0"/>
    <x v="0"/>
    <x v="0"/>
    <x v="1"/>
    <x v="2"/>
    <s v="EE_Tallinn"/>
    <x v="2"/>
    <s v="IRU_ST_MSW_BP"/>
    <x v="0"/>
    <x v="12"/>
    <n v="56.6666666666667"/>
    <n v="20683.333333333299"/>
    <n v="74460"/>
  </r>
  <r>
    <x v="0"/>
    <x v="0"/>
    <x v="0"/>
    <x v="1"/>
    <x v="2"/>
    <s v="EE_Tallinn"/>
    <x v="2"/>
    <s v="IRU_ST_MSW_BP"/>
    <x v="0"/>
    <x v="13"/>
    <n v="56.6666666666667"/>
    <n v="20683.333333333299"/>
    <n v="74460"/>
  </r>
  <r>
    <x v="0"/>
    <x v="0"/>
    <x v="0"/>
    <x v="1"/>
    <x v="2"/>
    <s v="EE_Tallinn"/>
    <x v="2"/>
    <s v="IRU_ST_MSW_BP"/>
    <x v="0"/>
    <x v="14"/>
    <n v="56.6666666666667"/>
    <n v="20683.333333333299"/>
    <n v="74460"/>
  </r>
  <r>
    <x v="0"/>
    <x v="0"/>
    <x v="0"/>
    <x v="1"/>
    <x v="2"/>
    <s v="EE_Tallinn"/>
    <x v="2"/>
    <s v="IRU_ST_MSW_BP"/>
    <x v="0"/>
    <x v="15"/>
    <n v="56.6666666666667"/>
    <n v="20683.333333333299"/>
    <n v="74460"/>
  </r>
  <r>
    <x v="0"/>
    <x v="0"/>
    <x v="0"/>
    <x v="1"/>
    <x v="2"/>
    <s v="EE_Tallinn"/>
    <x v="2"/>
    <s v="IRU_ST_MSW_BP"/>
    <x v="0"/>
    <x v="16"/>
    <n v="56.6666666666667"/>
    <n v="20683.333333333299"/>
    <n v="74460"/>
  </r>
  <r>
    <x v="0"/>
    <x v="0"/>
    <x v="0"/>
    <x v="1"/>
    <x v="2"/>
    <s v="EE_Tallinn"/>
    <x v="2"/>
    <s v="IRU_ST_MSW_BP"/>
    <x v="0"/>
    <x v="17"/>
    <n v="56.6666666666667"/>
    <n v="20683.333333333299"/>
    <n v="74460"/>
  </r>
  <r>
    <x v="0"/>
    <x v="0"/>
    <x v="0"/>
    <x v="1"/>
    <x v="2"/>
    <s v="EE_Tallinn"/>
    <x v="2"/>
    <s v="IRU_ST_MSW_BP"/>
    <x v="0"/>
    <x v="19"/>
    <n v="56.6666666666667"/>
    <n v="20683.333333333299"/>
    <n v="74460"/>
  </r>
  <r>
    <x v="0"/>
    <x v="0"/>
    <x v="0"/>
    <x v="1"/>
    <x v="2"/>
    <s v="EE_Tallinn"/>
    <x v="2"/>
    <s v="IRU_ST_MSW_BP"/>
    <x v="0"/>
    <x v="20"/>
    <n v="56.6666666666667"/>
    <n v="20683.333333333299"/>
    <n v="74460"/>
  </r>
  <r>
    <x v="0"/>
    <x v="0"/>
    <x v="0"/>
    <x v="1"/>
    <x v="2"/>
    <s v="EE_Tallinn"/>
    <x v="2"/>
    <s v="IRU_ST_MSW_BP"/>
    <x v="0"/>
    <x v="21"/>
    <n v="56.6666666666667"/>
    <n v="20683.333333333299"/>
    <n v="74460"/>
  </r>
  <r>
    <x v="0"/>
    <x v="0"/>
    <x v="0"/>
    <x v="1"/>
    <x v="2"/>
    <s v="EE_Tallinn"/>
    <x v="2"/>
    <s v="IRU_ST_MSW_BP"/>
    <x v="0"/>
    <x v="22"/>
    <n v="56.6666666666667"/>
    <n v="20683.333333333299"/>
    <n v="74460"/>
  </r>
  <r>
    <x v="0"/>
    <x v="0"/>
    <x v="0"/>
    <x v="1"/>
    <x v="2"/>
    <s v="EE_Tallinn"/>
    <x v="2"/>
    <s v="IRU_ST_MSW_BP"/>
    <x v="0"/>
    <x v="23"/>
    <n v="56.6666666666667"/>
    <n v="20683.333333333299"/>
    <n v="74460"/>
  </r>
  <r>
    <x v="0"/>
    <x v="0"/>
    <x v="0"/>
    <x v="1"/>
    <x v="2"/>
    <s v="EE_Tallinn"/>
    <x v="3"/>
    <s v="GNR_BO_NGAS_HO_E-85"/>
    <x v="0"/>
    <x v="0"/>
    <n v="122.44883131631499"/>
    <n v="44693.823430454999"/>
    <n v="160897.76434963799"/>
  </r>
  <r>
    <x v="0"/>
    <x v="0"/>
    <x v="0"/>
    <x v="1"/>
    <x v="2"/>
    <s v="EE_Tallinn"/>
    <x v="3"/>
    <s v="GNR_BO_NGAS_HO_E-85"/>
    <x v="0"/>
    <x v="1"/>
    <n v="124.463757472775"/>
    <n v="45429.271477562797"/>
    <n v="163545.37731922601"/>
  </r>
  <r>
    <x v="0"/>
    <x v="0"/>
    <x v="0"/>
    <x v="1"/>
    <x v="2"/>
    <s v="EE_Tallinn"/>
    <x v="3"/>
    <s v="GNR_BO_NGAS_HO_E-85"/>
    <x v="0"/>
    <x v="2"/>
    <n v="125.093421896669"/>
    <n v="45659.098992284002"/>
    <n v="164372.75637222201"/>
  </r>
  <r>
    <x v="0"/>
    <x v="0"/>
    <x v="0"/>
    <x v="1"/>
    <x v="2"/>
    <s v="EE_Tallinn"/>
    <x v="3"/>
    <s v="GNR_BO_NGAS_HO_E-85"/>
    <x v="0"/>
    <x v="3"/>
    <n v="123.204428624988"/>
    <n v="44969.616448120498"/>
    <n v="161890.61921323399"/>
  </r>
  <r>
    <x v="0"/>
    <x v="0"/>
    <x v="0"/>
    <x v="1"/>
    <x v="2"/>
    <s v="EE_Tallinn"/>
    <x v="3"/>
    <s v="GNR_BO_NGAS_HO_E-85"/>
    <x v="0"/>
    <x v="18"/>
    <n v="119.04864342728899"/>
    <n v="43452.754850960402"/>
    <n v="156429.917463458"/>
  </r>
  <r>
    <x v="0"/>
    <x v="0"/>
    <x v="0"/>
    <x v="1"/>
    <x v="2"/>
    <s v="EE_Tallinn"/>
    <x v="3"/>
    <s v="GNR_BO_NGAS_HO_E-85"/>
    <x v="0"/>
    <x v="4"/>
    <n v="113.003864957909"/>
    <n v="41246.410709636897"/>
    <n v="148487.078554693"/>
  </r>
  <r>
    <x v="0"/>
    <x v="0"/>
    <x v="0"/>
    <x v="1"/>
    <x v="2"/>
    <s v="EE_Tallinn"/>
    <x v="3"/>
    <s v="GNR_BO_NGAS_HO_E-85"/>
    <x v="0"/>
    <x v="5"/>
    <n v="105.321958986407"/>
    <n v="38442.515030038499"/>
    <n v="138393.05410813901"/>
  </r>
  <r>
    <x v="0"/>
    <x v="0"/>
    <x v="0"/>
    <x v="1"/>
    <x v="2"/>
    <s v="EE_Tallinn"/>
    <x v="3"/>
    <s v="GNR_BO_NGAS_HO_E-85"/>
    <x v="0"/>
    <x v="6"/>
    <n v="95.876992628001105"/>
    <n v="34995.102309220398"/>
    <n v="125982.368313193"/>
  </r>
  <r>
    <x v="0"/>
    <x v="0"/>
    <x v="0"/>
    <x v="1"/>
    <x v="2"/>
    <s v="EE_Tallinn"/>
    <x v="3"/>
    <s v="GNR_BO_NGAS_HO_E-85"/>
    <x v="0"/>
    <x v="7"/>
    <n v="87.691355117383296"/>
    <n v="32007.344617844901"/>
    <n v="115226.44062424199"/>
  </r>
  <r>
    <x v="0"/>
    <x v="0"/>
    <x v="0"/>
    <x v="1"/>
    <x v="2"/>
    <s v="EE_Tallinn"/>
    <x v="3"/>
    <s v="GNR_BO_NGAS_HO_E-85"/>
    <x v="0"/>
    <x v="8"/>
    <n v="80.261314915437396"/>
    <n v="29295.3799441347"/>
    <n v="105463.367798885"/>
  </r>
  <r>
    <x v="0"/>
    <x v="0"/>
    <x v="0"/>
    <x v="1"/>
    <x v="2"/>
    <s v="EE_Tallinn"/>
    <x v="3"/>
    <s v="GNR_BO_NGAS_HO_E-85"/>
    <x v="0"/>
    <x v="9"/>
    <n v="73.586872022164201"/>
    <n v="26859.2082880899"/>
    <n v="96693.149837123696"/>
  </r>
  <r>
    <x v="0"/>
    <x v="0"/>
    <x v="0"/>
    <x v="1"/>
    <x v="2"/>
    <s v="EE_Tallinn"/>
    <x v="3"/>
    <s v="GNR_BO_NGAS_HO_E-85"/>
    <x v="0"/>
    <x v="10"/>
    <n v="68.0458250918999"/>
    <n v="24836.726158543501"/>
    <n v="89412.214170756502"/>
  </r>
  <r>
    <x v="0"/>
    <x v="0"/>
    <x v="0"/>
    <x v="1"/>
    <x v="2"/>
    <s v="EE_Tallinn"/>
    <x v="3"/>
    <s v="GNR_BO_NGAS_HO_E-85"/>
    <x v="0"/>
    <x v="11"/>
    <n v="63.260375470308297"/>
    <n v="23090.037046662499"/>
    <n v="83124.133367985196"/>
  </r>
  <r>
    <x v="0"/>
    <x v="0"/>
    <x v="0"/>
    <x v="1"/>
    <x v="2"/>
    <s v="EE_Tallinn"/>
    <x v="3"/>
    <s v="GNR_BO_NGAS_HO_E-85"/>
    <x v="0"/>
    <x v="12"/>
    <n v="59.356456042166798"/>
    <n v="21665.106455390898"/>
    <n v="77994.383239407194"/>
  </r>
  <r>
    <x v="0"/>
    <x v="0"/>
    <x v="0"/>
    <x v="1"/>
    <x v="2"/>
    <s v="EE_Tallinn"/>
    <x v="3"/>
    <s v="GNR_BO_NGAS_HO_E-85"/>
    <x v="0"/>
    <x v="13"/>
    <n v="56.963731231371398"/>
    <n v="20791.761899450601"/>
    <n v="74850.342838022101"/>
  </r>
  <r>
    <x v="0"/>
    <x v="0"/>
    <x v="0"/>
    <x v="1"/>
    <x v="2"/>
    <s v="EE_Tallinn"/>
    <x v="3"/>
    <s v="GNR_BO_NGAS_HO_E-85"/>
    <x v="0"/>
    <x v="14"/>
    <n v="55.200670844468803"/>
    <n v="20148.244858231101"/>
    <n v="72533.681489631999"/>
  </r>
  <r>
    <x v="0"/>
    <x v="0"/>
    <x v="0"/>
    <x v="1"/>
    <x v="2"/>
    <s v="EE_Tallinn"/>
    <x v="3"/>
    <s v="GNR_BO_NGAS_HO_E-85"/>
    <x v="0"/>
    <x v="15"/>
    <n v="53.6894762271235"/>
    <n v="19596.658822900099"/>
    <n v="70547.971762440298"/>
  </r>
  <r>
    <x v="0"/>
    <x v="0"/>
    <x v="0"/>
    <x v="1"/>
    <x v="2"/>
    <s v="EE_Tallinn"/>
    <x v="3"/>
    <s v="GNR_BO_NGAS_HO_E-85"/>
    <x v="0"/>
    <x v="16"/>
    <n v="52.304214494558103"/>
    <n v="19091.038290513701"/>
    <n v="68727.737845849304"/>
  </r>
  <r>
    <x v="0"/>
    <x v="0"/>
    <x v="0"/>
    <x v="1"/>
    <x v="2"/>
    <s v="EE_Tallinn"/>
    <x v="3"/>
    <s v="GNR_BO_NGAS_HO_E-85"/>
    <x v="0"/>
    <x v="17"/>
    <n v="50.7930198772127"/>
    <n v="18539.452255182699"/>
    <n v="66742.028118657501"/>
  </r>
  <r>
    <x v="0"/>
    <x v="0"/>
    <x v="0"/>
    <x v="1"/>
    <x v="2"/>
    <s v="EE_Tallinn"/>
    <x v="3"/>
    <s v="GNR_BO_NGAS_HO_E-85"/>
    <x v="0"/>
    <x v="19"/>
    <n v="49.029959490310901"/>
    <n v="17895.935213963501"/>
    <n v="64425.3667702686"/>
  </r>
  <r>
    <x v="0"/>
    <x v="0"/>
    <x v="0"/>
    <x v="1"/>
    <x v="2"/>
    <s v="EE_Tallinn"/>
    <x v="3"/>
    <s v="GNR_BO_NGAS_HO_E-85"/>
    <x v="0"/>
    <x v="20"/>
    <n v="47.518764872965598"/>
    <n v="17344.349178632499"/>
    <n v="62439.657043076899"/>
  </r>
  <r>
    <x v="0"/>
    <x v="0"/>
    <x v="0"/>
    <x v="1"/>
    <x v="2"/>
    <s v="EE_Tallinn"/>
    <x v="3"/>
    <s v="GNR_BO_NGAS_HO_E-85"/>
    <x v="0"/>
    <x v="21"/>
    <n v="46.007570255621097"/>
    <n v="16792.763143301701"/>
    <n v="60453.9473158861"/>
  </r>
  <r>
    <x v="0"/>
    <x v="0"/>
    <x v="0"/>
    <x v="1"/>
    <x v="2"/>
    <s v="EE_Tallinn"/>
    <x v="3"/>
    <s v="GNR_BO_NGAS_HO_E-85"/>
    <x v="0"/>
    <x v="22"/>
    <n v="44.874174292612103"/>
    <n v="16379.0736168034"/>
    <n v="58964.665020492299"/>
  </r>
  <r>
    <x v="0"/>
    <x v="0"/>
    <x v="0"/>
    <x v="1"/>
    <x v="2"/>
    <s v="EE_Tallinn"/>
    <x v="3"/>
    <s v="GNR_BO_NGAS_HO_E-85"/>
    <x v="0"/>
    <x v="23"/>
    <n v="44.496375638275801"/>
    <n v="16241.1771079707"/>
    <n v="58468.237588694399"/>
  </r>
  <r>
    <x v="0"/>
    <x v="0"/>
    <x v="0"/>
    <x v="1"/>
    <x v="2"/>
    <s v="EE_Tallinn"/>
    <x v="3"/>
    <s v="GNR_ENG_NGAS_EXT_E-44"/>
    <x v="0"/>
    <x v="0"/>
    <n v="3.4052647689011302"/>
    <n v="1242.9216406489099"/>
    <n v="4474.5179063360902"/>
  </r>
  <r>
    <x v="0"/>
    <x v="0"/>
    <x v="0"/>
    <x v="1"/>
    <x v="2"/>
    <s v="EE_Tallinn"/>
    <x v="3"/>
    <s v="GNR_ENG_NGAS_EXT_E-44"/>
    <x v="0"/>
    <x v="1"/>
    <n v="3.4052647689011302"/>
    <n v="1242.9216406489099"/>
    <n v="4474.5179063360902"/>
  </r>
  <r>
    <x v="0"/>
    <x v="0"/>
    <x v="0"/>
    <x v="1"/>
    <x v="2"/>
    <s v="EE_Tallinn"/>
    <x v="3"/>
    <s v="GNR_ENG_NGAS_EXT_E-44"/>
    <x v="0"/>
    <x v="2"/>
    <n v="3.4052647689011302"/>
    <n v="1242.9216406489099"/>
    <n v="4474.5179063360902"/>
  </r>
  <r>
    <x v="0"/>
    <x v="0"/>
    <x v="0"/>
    <x v="1"/>
    <x v="2"/>
    <s v="EE_Tallinn"/>
    <x v="3"/>
    <s v="GNR_ENG_NGAS_EXT_E-44"/>
    <x v="0"/>
    <x v="3"/>
    <n v="3.4052647689011302"/>
    <n v="1242.9216406489099"/>
    <n v="4474.5179063360902"/>
  </r>
  <r>
    <x v="0"/>
    <x v="0"/>
    <x v="0"/>
    <x v="1"/>
    <x v="2"/>
    <s v="EE_Tallinn"/>
    <x v="3"/>
    <s v="GNR_ENG_NGAS_EXT_E-44"/>
    <x v="0"/>
    <x v="18"/>
    <n v="3.4052647689011302"/>
    <n v="1242.9216406489099"/>
    <n v="4474.5179063360902"/>
  </r>
  <r>
    <x v="0"/>
    <x v="0"/>
    <x v="0"/>
    <x v="1"/>
    <x v="2"/>
    <s v="EE_Tallinn"/>
    <x v="3"/>
    <s v="GNR_ENG_NGAS_EXT_E-44"/>
    <x v="0"/>
    <x v="4"/>
    <n v="3.4052647689011302"/>
    <n v="1242.9216406489099"/>
    <n v="4474.5179063360902"/>
  </r>
  <r>
    <x v="0"/>
    <x v="0"/>
    <x v="0"/>
    <x v="1"/>
    <x v="2"/>
    <s v="EE_Tallinn"/>
    <x v="3"/>
    <s v="GNR_ENG_NGAS_EXT_E-44"/>
    <x v="0"/>
    <x v="5"/>
    <n v="3.4052647689011302"/>
    <n v="1242.9216406489099"/>
    <n v="4474.5179063360902"/>
  </r>
  <r>
    <x v="0"/>
    <x v="0"/>
    <x v="0"/>
    <x v="1"/>
    <x v="2"/>
    <s v="EE_Tallinn"/>
    <x v="3"/>
    <s v="GNR_ENG_NGAS_EXT_E-44"/>
    <x v="0"/>
    <x v="6"/>
    <n v="3.4052647689011302"/>
    <n v="1242.9216406489099"/>
    <n v="4474.5179063360902"/>
  </r>
  <r>
    <x v="0"/>
    <x v="0"/>
    <x v="0"/>
    <x v="1"/>
    <x v="2"/>
    <s v="EE_Tallinn"/>
    <x v="3"/>
    <s v="GNR_ENG_NGAS_EXT_E-44"/>
    <x v="0"/>
    <x v="7"/>
    <n v="3.4052647689011302"/>
    <n v="1242.9216406489099"/>
    <n v="4474.5179063360902"/>
  </r>
  <r>
    <x v="0"/>
    <x v="0"/>
    <x v="0"/>
    <x v="1"/>
    <x v="2"/>
    <s v="EE_Tallinn"/>
    <x v="3"/>
    <s v="GNR_ENG_NGAS_EXT_E-44"/>
    <x v="0"/>
    <x v="8"/>
    <n v="3.4052647689011302"/>
    <n v="1242.9216406489099"/>
    <n v="4474.5179063360902"/>
  </r>
  <r>
    <x v="0"/>
    <x v="0"/>
    <x v="0"/>
    <x v="1"/>
    <x v="2"/>
    <s v="EE_Tallinn"/>
    <x v="3"/>
    <s v="GNR_ENG_NGAS_EXT_E-44"/>
    <x v="0"/>
    <x v="9"/>
    <n v="3.4052647689011302"/>
    <n v="1242.9216406489099"/>
    <n v="4474.5179063360902"/>
  </r>
  <r>
    <x v="0"/>
    <x v="0"/>
    <x v="0"/>
    <x v="1"/>
    <x v="2"/>
    <s v="EE_Tallinn"/>
    <x v="3"/>
    <s v="GNR_ENG_NGAS_EXT_E-44"/>
    <x v="0"/>
    <x v="10"/>
    <n v="3.4052647689011302"/>
    <n v="1242.9216406489099"/>
    <n v="4474.5179063360902"/>
  </r>
  <r>
    <x v="0"/>
    <x v="0"/>
    <x v="0"/>
    <x v="1"/>
    <x v="2"/>
    <s v="EE_Tallinn"/>
    <x v="3"/>
    <s v="GNR_ENG_NGAS_EXT_E-44"/>
    <x v="0"/>
    <x v="11"/>
    <n v="3.4052647689011302"/>
    <n v="1242.9216406489099"/>
    <n v="4474.5179063360902"/>
  </r>
  <r>
    <x v="0"/>
    <x v="0"/>
    <x v="0"/>
    <x v="1"/>
    <x v="2"/>
    <s v="EE_Tallinn"/>
    <x v="3"/>
    <s v="GNR_ENG_NGAS_EXT_E-44"/>
    <x v="0"/>
    <x v="12"/>
    <n v="3.4052647689011302"/>
    <n v="1242.9216406489099"/>
    <n v="4474.5179063360902"/>
  </r>
  <r>
    <x v="0"/>
    <x v="0"/>
    <x v="0"/>
    <x v="1"/>
    <x v="2"/>
    <s v="EE_Tallinn"/>
    <x v="3"/>
    <s v="GNR_ENG_NGAS_EXT_E-44"/>
    <x v="0"/>
    <x v="13"/>
    <n v="3.4052647689011302"/>
    <n v="1242.9216406489099"/>
    <n v="4474.5179063360902"/>
  </r>
  <r>
    <x v="0"/>
    <x v="0"/>
    <x v="0"/>
    <x v="1"/>
    <x v="2"/>
    <s v="EE_Tallinn"/>
    <x v="3"/>
    <s v="GNR_ENG_NGAS_EXT_E-44"/>
    <x v="0"/>
    <x v="14"/>
    <n v="3.4052647689011302"/>
    <n v="1242.9216406489099"/>
    <n v="4474.5179063360902"/>
  </r>
  <r>
    <x v="0"/>
    <x v="0"/>
    <x v="0"/>
    <x v="1"/>
    <x v="2"/>
    <s v="EE_Tallinn"/>
    <x v="3"/>
    <s v="GNR_ENG_NGAS_EXT_E-44"/>
    <x v="0"/>
    <x v="15"/>
    <n v="3.4052647689011302"/>
    <n v="1242.9216406489099"/>
    <n v="4474.5179063360902"/>
  </r>
  <r>
    <x v="0"/>
    <x v="0"/>
    <x v="0"/>
    <x v="1"/>
    <x v="2"/>
    <s v="EE_Tallinn"/>
    <x v="3"/>
    <s v="GNR_ENG_NGAS_EXT_E-44"/>
    <x v="0"/>
    <x v="16"/>
    <n v="3.4052647689011302"/>
    <n v="1242.9216406489099"/>
    <n v="4474.5179063360902"/>
  </r>
  <r>
    <x v="0"/>
    <x v="0"/>
    <x v="0"/>
    <x v="1"/>
    <x v="2"/>
    <s v="EE_Tallinn"/>
    <x v="3"/>
    <s v="GNR_ENG_NGAS_EXT_E-44"/>
    <x v="0"/>
    <x v="17"/>
    <n v="3.4052647689011302"/>
    <n v="1242.9216406489099"/>
    <n v="4474.5179063360902"/>
  </r>
  <r>
    <x v="0"/>
    <x v="0"/>
    <x v="0"/>
    <x v="1"/>
    <x v="2"/>
    <s v="EE_Tallinn"/>
    <x v="3"/>
    <s v="GNR_ENG_NGAS_EXT_E-44"/>
    <x v="0"/>
    <x v="19"/>
    <n v="3.4052647689011302"/>
    <n v="1242.9216406489099"/>
    <n v="4474.5179063360902"/>
  </r>
  <r>
    <x v="0"/>
    <x v="0"/>
    <x v="0"/>
    <x v="1"/>
    <x v="2"/>
    <s v="EE_Tallinn"/>
    <x v="3"/>
    <s v="GNR_ENG_NGAS_EXT_E-44"/>
    <x v="0"/>
    <x v="20"/>
    <n v="3.4052647689011302"/>
    <n v="1242.9216406489099"/>
    <n v="4474.5179063360902"/>
  </r>
  <r>
    <x v="0"/>
    <x v="0"/>
    <x v="0"/>
    <x v="1"/>
    <x v="2"/>
    <s v="EE_Tallinn"/>
    <x v="3"/>
    <s v="GNR_ENG_NGAS_EXT_E-44"/>
    <x v="0"/>
    <x v="21"/>
    <n v="3.4052647689011302"/>
    <n v="1242.9216406489099"/>
    <n v="4474.5179063360902"/>
  </r>
  <r>
    <x v="0"/>
    <x v="0"/>
    <x v="0"/>
    <x v="1"/>
    <x v="2"/>
    <s v="EE_Tallinn"/>
    <x v="3"/>
    <s v="GNR_ENG_NGAS_EXT_E-44"/>
    <x v="0"/>
    <x v="22"/>
    <n v="3.4052647689011302"/>
    <n v="1242.9216406489099"/>
    <n v="4474.5179063360902"/>
  </r>
  <r>
    <x v="0"/>
    <x v="0"/>
    <x v="0"/>
    <x v="1"/>
    <x v="2"/>
    <s v="EE_Tallinn"/>
    <x v="3"/>
    <s v="GNR_ENG_NGAS_EXT_E-44"/>
    <x v="0"/>
    <x v="23"/>
    <n v="3.4052647689011302"/>
    <n v="1242.9216406489099"/>
    <n v="4474.5179063360902"/>
  </r>
  <r>
    <x v="0"/>
    <x v="0"/>
    <x v="0"/>
    <x v="1"/>
    <x v="2"/>
    <s v="EE_Tallinn"/>
    <x v="12"/>
    <s v="MUSTAMAE_ST_WOOD_BP"/>
    <x v="0"/>
    <x v="0"/>
    <n v="46.739166304383701"/>
    <n v="17059.7957011"/>
    <n v="61415.264523960199"/>
  </r>
  <r>
    <x v="0"/>
    <x v="0"/>
    <x v="0"/>
    <x v="1"/>
    <x v="2"/>
    <s v="EE_Tallinn"/>
    <x v="12"/>
    <s v="MUSTAMAE_ST_WOOD_BP"/>
    <x v="0"/>
    <x v="1"/>
    <n v="46.739166304383701"/>
    <n v="17059.7957011"/>
    <n v="61415.264523960199"/>
  </r>
  <r>
    <x v="0"/>
    <x v="0"/>
    <x v="0"/>
    <x v="1"/>
    <x v="2"/>
    <s v="EE_Tallinn"/>
    <x v="12"/>
    <s v="MUSTAMAE_ST_WOOD_BP"/>
    <x v="0"/>
    <x v="2"/>
    <n v="46.739166304383701"/>
    <n v="17059.7957011"/>
    <n v="61415.264523960199"/>
  </r>
  <r>
    <x v="0"/>
    <x v="0"/>
    <x v="0"/>
    <x v="1"/>
    <x v="2"/>
    <s v="EE_Tallinn"/>
    <x v="12"/>
    <s v="MUSTAMAE_ST_WOOD_BP"/>
    <x v="0"/>
    <x v="3"/>
    <n v="46.739166304383701"/>
    <n v="17059.7957011"/>
    <n v="61415.264523960199"/>
  </r>
  <r>
    <x v="0"/>
    <x v="0"/>
    <x v="0"/>
    <x v="1"/>
    <x v="2"/>
    <s v="EE_Tallinn"/>
    <x v="12"/>
    <s v="MUSTAMAE_ST_WOOD_BP"/>
    <x v="0"/>
    <x v="18"/>
    <n v="46.739166304383701"/>
    <n v="17059.7957011"/>
    <n v="61415.264523960199"/>
  </r>
  <r>
    <x v="0"/>
    <x v="0"/>
    <x v="0"/>
    <x v="1"/>
    <x v="2"/>
    <s v="EE_Tallinn"/>
    <x v="12"/>
    <s v="MUSTAMAE_ST_WOOD_BP"/>
    <x v="0"/>
    <x v="4"/>
    <n v="46.739166304383701"/>
    <n v="17059.7957011"/>
    <n v="61415.264523960199"/>
  </r>
  <r>
    <x v="0"/>
    <x v="0"/>
    <x v="0"/>
    <x v="1"/>
    <x v="2"/>
    <s v="EE_Tallinn"/>
    <x v="12"/>
    <s v="MUSTAMAE_ST_WOOD_BP"/>
    <x v="0"/>
    <x v="5"/>
    <n v="46.739166304383701"/>
    <n v="17059.7957011"/>
    <n v="61415.264523960199"/>
  </r>
  <r>
    <x v="0"/>
    <x v="0"/>
    <x v="0"/>
    <x v="1"/>
    <x v="2"/>
    <s v="EE_Tallinn"/>
    <x v="12"/>
    <s v="MUSTAMAE_ST_WOOD_BP"/>
    <x v="0"/>
    <x v="6"/>
    <n v="46.739166304383701"/>
    <n v="17059.7957011"/>
    <n v="61415.264523960199"/>
  </r>
  <r>
    <x v="0"/>
    <x v="0"/>
    <x v="0"/>
    <x v="1"/>
    <x v="2"/>
    <s v="EE_Tallinn"/>
    <x v="12"/>
    <s v="MUSTAMAE_ST_WOOD_BP"/>
    <x v="0"/>
    <x v="7"/>
    <n v="46.739166304383701"/>
    <n v="17059.7957011"/>
    <n v="61415.264523960199"/>
  </r>
  <r>
    <x v="0"/>
    <x v="0"/>
    <x v="0"/>
    <x v="1"/>
    <x v="2"/>
    <s v="EE_Tallinn"/>
    <x v="12"/>
    <s v="MUSTAMAE_ST_WOOD_BP"/>
    <x v="0"/>
    <x v="8"/>
    <n v="46.739166304383701"/>
    <n v="17059.7957011"/>
    <n v="61415.264523960199"/>
  </r>
  <r>
    <x v="0"/>
    <x v="0"/>
    <x v="0"/>
    <x v="1"/>
    <x v="2"/>
    <s v="EE_Tallinn"/>
    <x v="12"/>
    <s v="MUSTAMAE_ST_WOOD_BP"/>
    <x v="0"/>
    <x v="9"/>
    <n v="46.739166304383701"/>
    <n v="17059.7957011"/>
    <n v="61415.264523960199"/>
  </r>
  <r>
    <x v="0"/>
    <x v="0"/>
    <x v="0"/>
    <x v="1"/>
    <x v="2"/>
    <s v="EE_Tallinn"/>
    <x v="12"/>
    <s v="MUSTAMAE_ST_WOOD_BP"/>
    <x v="0"/>
    <x v="10"/>
    <n v="46.739166304383701"/>
    <n v="17059.7957011"/>
    <n v="61415.264523960199"/>
  </r>
  <r>
    <x v="0"/>
    <x v="0"/>
    <x v="0"/>
    <x v="1"/>
    <x v="2"/>
    <s v="EE_Tallinn"/>
    <x v="12"/>
    <s v="MUSTAMAE_ST_WOOD_BP"/>
    <x v="0"/>
    <x v="11"/>
    <n v="46.739166304383701"/>
    <n v="17059.7957011"/>
    <n v="61415.264523960199"/>
  </r>
  <r>
    <x v="0"/>
    <x v="0"/>
    <x v="0"/>
    <x v="1"/>
    <x v="2"/>
    <s v="EE_Tallinn"/>
    <x v="12"/>
    <s v="MUSTAMAE_ST_WOOD_BP"/>
    <x v="0"/>
    <x v="12"/>
    <n v="46.739166304383701"/>
    <n v="17059.7957011"/>
    <n v="61415.264523960199"/>
  </r>
  <r>
    <x v="0"/>
    <x v="0"/>
    <x v="0"/>
    <x v="1"/>
    <x v="2"/>
    <s v="EE_Tallinn"/>
    <x v="12"/>
    <s v="MUSTAMAE_ST_WOOD_BP"/>
    <x v="0"/>
    <x v="13"/>
    <n v="46.739166304383701"/>
    <n v="17059.7957011"/>
    <n v="61415.264523960199"/>
  </r>
  <r>
    <x v="0"/>
    <x v="0"/>
    <x v="0"/>
    <x v="1"/>
    <x v="2"/>
    <s v="EE_Tallinn"/>
    <x v="12"/>
    <s v="MUSTAMAE_ST_WOOD_BP"/>
    <x v="0"/>
    <x v="14"/>
    <n v="46.739166304383701"/>
    <n v="17059.7957011"/>
    <n v="61415.264523960199"/>
  </r>
  <r>
    <x v="0"/>
    <x v="0"/>
    <x v="0"/>
    <x v="1"/>
    <x v="2"/>
    <s v="EE_Tallinn"/>
    <x v="12"/>
    <s v="MUSTAMAE_ST_WOOD_BP"/>
    <x v="0"/>
    <x v="15"/>
    <n v="46.739166304383701"/>
    <n v="17059.7957011"/>
    <n v="61415.264523960199"/>
  </r>
  <r>
    <x v="0"/>
    <x v="0"/>
    <x v="0"/>
    <x v="1"/>
    <x v="2"/>
    <s v="EE_Tallinn"/>
    <x v="12"/>
    <s v="MUSTAMAE_ST_WOOD_BP"/>
    <x v="0"/>
    <x v="16"/>
    <n v="46.739166304383701"/>
    <n v="17059.7957011"/>
    <n v="61415.264523960199"/>
  </r>
  <r>
    <x v="0"/>
    <x v="0"/>
    <x v="0"/>
    <x v="1"/>
    <x v="2"/>
    <s v="EE_Tallinn"/>
    <x v="12"/>
    <s v="MUSTAMAE_ST_WOOD_BP"/>
    <x v="0"/>
    <x v="17"/>
    <n v="46.739166304383701"/>
    <n v="17059.7957011"/>
    <n v="61415.264523960199"/>
  </r>
  <r>
    <x v="0"/>
    <x v="0"/>
    <x v="0"/>
    <x v="1"/>
    <x v="2"/>
    <s v="EE_Tallinn"/>
    <x v="12"/>
    <s v="MUSTAMAE_ST_WOOD_BP"/>
    <x v="0"/>
    <x v="19"/>
    <n v="46.739166304383701"/>
    <n v="17059.7957011"/>
    <n v="61415.264523960199"/>
  </r>
  <r>
    <x v="0"/>
    <x v="0"/>
    <x v="0"/>
    <x v="1"/>
    <x v="2"/>
    <s v="EE_Tallinn"/>
    <x v="12"/>
    <s v="MUSTAMAE_ST_WOOD_BP"/>
    <x v="0"/>
    <x v="20"/>
    <n v="46.739166304383701"/>
    <n v="17059.7957011"/>
    <n v="61415.264523960199"/>
  </r>
  <r>
    <x v="0"/>
    <x v="0"/>
    <x v="0"/>
    <x v="1"/>
    <x v="2"/>
    <s v="EE_Tallinn"/>
    <x v="12"/>
    <s v="MUSTAMAE_ST_WOOD_BP"/>
    <x v="0"/>
    <x v="21"/>
    <n v="46.739166304383701"/>
    <n v="17059.7957011"/>
    <n v="61415.264523960199"/>
  </r>
  <r>
    <x v="0"/>
    <x v="0"/>
    <x v="0"/>
    <x v="1"/>
    <x v="2"/>
    <s v="EE_Tallinn"/>
    <x v="12"/>
    <s v="MUSTAMAE_ST_WOOD_BP"/>
    <x v="0"/>
    <x v="22"/>
    <n v="46.739166304383701"/>
    <n v="17059.7957011"/>
    <n v="61415.264523960199"/>
  </r>
  <r>
    <x v="0"/>
    <x v="0"/>
    <x v="0"/>
    <x v="1"/>
    <x v="2"/>
    <s v="EE_Tallinn"/>
    <x v="12"/>
    <s v="MUSTAMAE_ST_WOOD_BP"/>
    <x v="0"/>
    <x v="23"/>
    <n v="46.739166304383701"/>
    <n v="17059.7957011"/>
    <n v="61415.264523960199"/>
  </r>
  <r>
    <x v="0"/>
    <x v="0"/>
    <x v="0"/>
    <x v="1"/>
    <x v="2"/>
    <s v="EE_Tallinn"/>
    <x v="12"/>
    <s v="VAO-1_ST_WOOD_BP"/>
    <x v="0"/>
    <x v="0"/>
    <n v="72.826094260870704"/>
    <n v="26581.524405217799"/>
    <n v="95693.487858784094"/>
  </r>
  <r>
    <x v="0"/>
    <x v="0"/>
    <x v="0"/>
    <x v="1"/>
    <x v="2"/>
    <s v="EE_Tallinn"/>
    <x v="12"/>
    <s v="VAO-1_ST_WOOD_BP"/>
    <x v="0"/>
    <x v="1"/>
    <n v="72.826094260870704"/>
    <n v="26581.524405217799"/>
    <n v="95693.487858784094"/>
  </r>
  <r>
    <x v="0"/>
    <x v="0"/>
    <x v="0"/>
    <x v="1"/>
    <x v="2"/>
    <s v="EE_Tallinn"/>
    <x v="12"/>
    <s v="VAO-1_ST_WOOD_BP"/>
    <x v="0"/>
    <x v="2"/>
    <n v="72.826094260870704"/>
    <n v="26581.524405217799"/>
    <n v="95693.487858784094"/>
  </r>
  <r>
    <x v="0"/>
    <x v="0"/>
    <x v="0"/>
    <x v="1"/>
    <x v="2"/>
    <s v="EE_Tallinn"/>
    <x v="12"/>
    <s v="VAO-1_ST_WOOD_BP"/>
    <x v="0"/>
    <x v="3"/>
    <n v="72.826094260870704"/>
    <n v="26581.524405217799"/>
    <n v="95693.487858784094"/>
  </r>
  <r>
    <x v="0"/>
    <x v="0"/>
    <x v="0"/>
    <x v="1"/>
    <x v="2"/>
    <s v="EE_Tallinn"/>
    <x v="12"/>
    <s v="VAO-1_ST_WOOD_BP"/>
    <x v="0"/>
    <x v="18"/>
    <n v="72.826094260870704"/>
    <n v="26581.524405217799"/>
    <n v="95693.487858784094"/>
  </r>
  <r>
    <x v="0"/>
    <x v="0"/>
    <x v="0"/>
    <x v="1"/>
    <x v="2"/>
    <s v="EE_Tallinn"/>
    <x v="12"/>
    <s v="VAO-1_ST_WOOD_BP"/>
    <x v="0"/>
    <x v="4"/>
    <n v="72.826094260870704"/>
    <n v="26581.524405217799"/>
    <n v="95693.487858784094"/>
  </r>
  <r>
    <x v="0"/>
    <x v="0"/>
    <x v="0"/>
    <x v="1"/>
    <x v="2"/>
    <s v="EE_Tallinn"/>
    <x v="12"/>
    <s v="VAO-1_ST_WOOD_BP"/>
    <x v="0"/>
    <x v="5"/>
    <n v="72.826094260870704"/>
    <n v="26581.524405217799"/>
    <n v="95693.487858784094"/>
  </r>
  <r>
    <x v="0"/>
    <x v="0"/>
    <x v="0"/>
    <x v="1"/>
    <x v="2"/>
    <s v="EE_Tallinn"/>
    <x v="12"/>
    <s v="VAO-1_ST_WOOD_BP"/>
    <x v="0"/>
    <x v="6"/>
    <n v="72.826094260870704"/>
    <n v="26581.524405217799"/>
    <n v="95693.487858784094"/>
  </r>
  <r>
    <x v="0"/>
    <x v="0"/>
    <x v="0"/>
    <x v="1"/>
    <x v="2"/>
    <s v="EE_Tallinn"/>
    <x v="12"/>
    <s v="VAO-1_ST_WOOD_BP"/>
    <x v="0"/>
    <x v="7"/>
    <n v="72.826094260870704"/>
    <n v="26581.524405217799"/>
    <n v="95693.487858784094"/>
  </r>
  <r>
    <x v="0"/>
    <x v="0"/>
    <x v="0"/>
    <x v="1"/>
    <x v="2"/>
    <s v="EE_Tallinn"/>
    <x v="12"/>
    <s v="VAO-1_ST_WOOD_BP"/>
    <x v="0"/>
    <x v="8"/>
    <n v="72.826094260870704"/>
    <n v="26581.524405217799"/>
    <n v="95693.487858784094"/>
  </r>
  <r>
    <x v="0"/>
    <x v="0"/>
    <x v="0"/>
    <x v="1"/>
    <x v="2"/>
    <s v="EE_Tallinn"/>
    <x v="12"/>
    <s v="VAO-1_ST_WOOD_BP"/>
    <x v="0"/>
    <x v="9"/>
    <n v="72.826094260870704"/>
    <n v="26581.524405217799"/>
    <n v="95693.487858784094"/>
  </r>
  <r>
    <x v="0"/>
    <x v="0"/>
    <x v="0"/>
    <x v="1"/>
    <x v="2"/>
    <s v="EE_Tallinn"/>
    <x v="12"/>
    <s v="VAO-1_ST_WOOD_BP"/>
    <x v="0"/>
    <x v="10"/>
    <n v="72.826094260870704"/>
    <n v="26581.524405217799"/>
    <n v="95693.487858784094"/>
  </r>
  <r>
    <x v="0"/>
    <x v="0"/>
    <x v="0"/>
    <x v="1"/>
    <x v="2"/>
    <s v="EE_Tallinn"/>
    <x v="12"/>
    <s v="VAO-1_ST_WOOD_BP"/>
    <x v="0"/>
    <x v="11"/>
    <n v="72.826094260870704"/>
    <n v="26581.524405217799"/>
    <n v="95693.487858784094"/>
  </r>
  <r>
    <x v="0"/>
    <x v="0"/>
    <x v="0"/>
    <x v="1"/>
    <x v="2"/>
    <s v="EE_Tallinn"/>
    <x v="12"/>
    <s v="VAO-1_ST_WOOD_BP"/>
    <x v="0"/>
    <x v="12"/>
    <n v="72.826094260870704"/>
    <n v="26581.524405217799"/>
    <n v="95693.487858784094"/>
  </r>
  <r>
    <x v="0"/>
    <x v="0"/>
    <x v="0"/>
    <x v="1"/>
    <x v="2"/>
    <s v="EE_Tallinn"/>
    <x v="12"/>
    <s v="VAO-1_ST_WOOD_BP"/>
    <x v="0"/>
    <x v="13"/>
    <n v="72.826094260870704"/>
    <n v="26581.524405217799"/>
    <n v="95693.487858784094"/>
  </r>
  <r>
    <x v="0"/>
    <x v="0"/>
    <x v="0"/>
    <x v="1"/>
    <x v="2"/>
    <s v="EE_Tallinn"/>
    <x v="12"/>
    <s v="VAO-1_ST_WOOD_BP"/>
    <x v="0"/>
    <x v="14"/>
    <n v="72.826094260870704"/>
    <n v="26581.524405217799"/>
    <n v="95693.487858784094"/>
  </r>
  <r>
    <x v="0"/>
    <x v="0"/>
    <x v="0"/>
    <x v="1"/>
    <x v="2"/>
    <s v="EE_Tallinn"/>
    <x v="12"/>
    <s v="VAO-1_ST_WOOD_BP"/>
    <x v="0"/>
    <x v="15"/>
    <n v="72.826094260870704"/>
    <n v="26581.524405217799"/>
    <n v="95693.487858784094"/>
  </r>
  <r>
    <x v="0"/>
    <x v="0"/>
    <x v="0"/>
    <x v="1"/>
    <x v="2"/>
    <s v="EE_Tallinn"/>
    <x v="12"/>
    <s v="VAO-1_ST_WOOD_BP"/>
    <x v="0"/>
    <x v="16"/>
    <n v="72.826094260870704"/>
    <n v="26581.524405217799"/>
    <n v="95693.487858784094"/>
  </r>
  <r>
    <x v="0"/>
    <x v="0"/>
    <x v="0"/>
    <x v="1"/>
    <x v="2"/>
    <s v="EE_Tallinn"/>
    <x v="12"/>
    <s v="VAO-1_ST_WOOD_BP"/>
    <x v="0"/>
    <x v="17"/>
    <n v="72.826094260870704"/>
    <n v="26581.524405217799"/>
    <n v="95693.487858784094"/>
  </r>
  <r>
    <x v="0"/>
    <x v="0"/>
    <x v="0"/>
    <x v="1"/>
    <x v="2"/>
    <s v="EE_Tallinn"/>
    <x v="12"/>
    <s v="VAO-1_ST_WOOD_BP"/>
    <x v="0"/>
    <x v="19"/>
    <n v="72.826094260870704"/>
    <n v="26581.524405217799"/>
    <n v="95693.487858784094"/>
  </r>
  <r>
    <x v="0"/>
    <x v="0"/>
    <x v="0"/>
    <x v="1"/>
    <x v="2"/>
    <s v="EE_Tallinn"/>
    <x v="12"/>
    <s v="VAO-1_ST_WOOD_BP"/>
    <x v="0"/>
    <x v="20"/>
    <n v="72.826094260870704"/>
    <n v="26581.524405217799"/>
    <n v="95693.487858784094"/>
  </r>
  <r>
    <x v="0"/>
    <x v="0"/>
    <x v="0"/>
    <x v="1"/>
    <x v="2"/>
    <s v="EE_Tallinn"/>
    <x v="12"/>
    <s v="VAO-1_ST_WOOD_BP"/>
    <x v="0"/>
    <x v="21"/>
    <n v="72.826094260870704"/>
    <n v="26581.524405217799"/>
    <n v="95693.487858784094"/>
  </r>
  <r>
    <x v="0"/>
    <x v="0"/>
    <x v="0"/>
    <x v="1"/>
    <x v="2"/>
    <s v="EE_Tallinn"/>
    <x v="12"/>
    <s v="VAO-1_ST_WOOD_BP"/>
    <x v="0"/>
    <x v="22"/>
    <n v="72.826094260870704"/>
    <n v="26581.524405217799"/>
    <n v="95693.487858784094"/>
  </r>
  <r>
    <x v="0"/>
    <x v="0"/>
    <x v="0"/>
    <x v="1"/>
    <x v="2"/>
    <s v="EE_Tallinn"/>
    <x v="12"/>
    <s v="VAO-1_ST_WOOD_BP"/>
    <x v="0"/>
    <x v="23"/>
    <n v="72.826094260870704"/>
    <n v="26581.524405217799"/>
    <n v="95693.487858784094"/>
  </r>
  <r>
    <x v="0"/>
    <x v="0"/>
    <x v="0"/>
    <x v="1"/>
    <x v="2"/>
    <s v="EE_Tallinn"/>
    <x v="12"/>
    <s v="VAO-2_ST_WOOD_BP"/>
    <x v="0"/>
    <x v="0"/>
    <n v="82.608724120096397"/>
    <n v="30152.184303835202"/>
    <n v="108547.863493807"/>
  </r>
  <r>
    <x v="0"/>
    <x v="0"/>
    <x v="0"/>
    <x v="1"/>
    <x v="2"/>
    <s v="EE_Tallinn"/>
    <x v="12"/>
    <s v="VAO-2_ST_WOOD_BP"/>
    <x v="0"/>
    <x v="1"/>
    <n v="82.608724120096397"/>
    <n v="30152.184303835202"/>
    <n v="108547.863493807"/>
  </r>
  <r>
    <x v="0"/>
    <x v="0"/>
    <x v="0"/>
    <x v="1"/>
    <x v="2"/>
    <s v="EE_Tallinn"/>
    <x v="12"/>
    <s v="VAO-2_ST_WOOD_BP"/>
    <x v="0"/>
    <x v="2"/>
    <n v="82.608724120096397"/>
    <n v="30152.184303835202"/>
    <n v="108547.863493807"/>
  </r>
  <r>
    <x v="0"/>
    <x v="0"/>
    <x v="0"/>
    <x v="1"/>
    <x v="2"/>
    <s v="EE_Tallinn"/>
    <x v="12"/>
    <s v="VAO-2_ST_WOOD_BP"/>
    <x v="0"/>
    <x v="3"/>
    <n v="82.608724120096397"/>
    <n v="30152.184303835202"/>
    <n v="108547.863493807"/>
  </r>
  <r>
    <x v="0"/>
    <x v="0"/>
    <x v="0"/>
    <x v="1"/>
    <x v="2"/>
    <s v="EE_Tallinn"/>
    <x v="12"/>
    <s v="VAO-2_ST_WOOD_BP"/>
    <x v="0"/>
    <x v="18"/>
    <n v="82.608724120096397"/>
    <n v="30152.184303835202"/>
    <n v="108547.863493807"/>
  </r>
  <r>
    <x v="0"/>
    <x v="0"/>
    <x v="0"/>
    <x v="1"/>
    <x v="2"/>
    <s v="EE_Tallinn"/>
    <x v="12"/>
    <s v="VAO-2_ST_WOOD_BP"/>
    <x v="0"/>
    <x v="4"/>
    <n v="82.608724120096397"/>
    <n v="30152.184303835202"/>
    <n v="108547.863493807"/>
  </r>
  <r>
    <x v="0"/>
    <x v="0"/>
    <x v="0"/>
    <x v="1"/>
    <x v="2"/>
    <s v="EE_Tallinn"/>
    <x v="12"/>
    <s v="VAO-2_ST_WOOD_BP"/>
    <x v="0"/>
    <x v="5"/>
    <n v="82.608724120096397"/>
    <n v="30152.184303835202"/>
    <n v="108547.863493807"/>
  </r>
  <r>
    <x v="0"/>
    <x v="0"/>
    <x v="0"/>
    <x v="1"/>
    <x v="2"/>
    <s v="EE_Tallinn"/>
    <x v="12"/>
    <s v="VAO-2_ST_WOOD_BP"/>
    <x v="0"/>
    <x v="6"/>
    <n v="82.608724120096397"/>
    <n v="30152.184303835202"/>
    <n v="108547.863493807"/>
  </r>
  <r>
    <x v="0"/>
    <x v="0"/>
    <x v="0"/>
    <x v="1"/>
    <x v="2"/>
    <s v="EE_Tallinn"/>
    <x v="12"/>
    <s v="VAO-2_ST_WOOD_BP"/>
    <x v="0"/>
    <x v="7"/>
    <n v="82.608724120096397"/>
    <n v="30152.184303835202"/>
    <n v="108547.863493807"/>
  </r>
  <r>
    <x v="0"/>
    <x v="0"/>
    <x v="0"/>
    <x v="1"/>
    <x v="2"/>
    <s v="EE_Tallinn"/>
    <x v="12"/>
    <s v="VAO-2_ST_WOOD_BP"/>
    <x v="0"/>
    <x v="8"/>
    <n v="82.608724120096397"/>
    <n v="30152.184303835202"/>
    <n v="108547.863493807"/>
  </r>
  <r>
    <x v="0"/>
    <x v="0"/>
    <x v="0"/>
    <x v="1"/>
    <x v="2"/>
    <s v="EE_Tallinn"/>
    <x v="12"/>
    <s v="VAO-2_ST_WOOD_BP"/>
    <x v="0"/>
    <x v="9"/>
    <n v="82.608724120096397"/>
    <n v="30152.184303835202"/>
    <n v="108547.863493807"/>
  </r>
  <r>
    <x v="0"/>
    <x v="0"/>
    <x v="0"/>
    <x v="1"/>
    <x v="2"/>
    <s v="EE_Tallinn"/>
    <x v="12"/>
    <s v="VAO-2_ST_WOOD_BP"/>
    <x v="0"/>
    <x v="10"/>
    <n v="82.608724120096397"/>
    <n v="30152.184303835202"/>
    <n v="108547.863493807"/>
  </r>
  <r>
    <x v="0"/>
    <x v="0"/>
    <x v="0"/>
    <x v="1"/>
    <x v="2"/>
    <s v="EE_Tallinn"/>
    <x v="12"/>
    <s v="VAO-2_ST_WOOD_BP"/>
    <x v="0"/>
    <x v="11"/>
    <n v="82.608724120096397"/>
    <n v="30152.184303835202"/>
    <n v="108547.863493807"/>
  </r>
  <r>
    <x v="0"/>
    <x v="0"/>
    <x v="0"/>
    <x v="1"/>
    <x v="2"/>
    <s v="EE_Tallinn"/>
    <x v="12"/>
    <s v="VAO-2_ST_WOOD_BP"/>
    <x v="0"/>
    <x v="12"/>
    <n v="82.608724120096397"/>
    <n v="30152.184303835202"/>
    <n v="108547.863493807"/>
  </r>
  <r>
    <x v="0"/>
    <x v="0"/>
    <x v="0"/>
    <x v="1"/>
    <x v="2"/>
    <s v="EE_Tallinn"/>
    <x v="12"/>
    <s v="VAO-2_ST_WOOD_BP"/>
    <x v="0"/>
    <x v="13"/>
    <n v="82.608724120096397"/>
    <n v="30152.184303835202"/>
    <n v="108547.863493807"/>
  </r>
  <r>
    <x v="0"/>
    <x v="0"/>
    <x v="0"/>
    <x v="1"/>
    <x v="2"/>
    <s v="EE_Tallinn"/>
    <x v="12"/>
    <s v="VAO-2_ST_WOOD_BP"/>
    <x v="0"/>
    <x v="14"/>
    <n v="82.608724120096397"/>
    <n v="30152.184303835202"/>
    <n v="108547.863493807"/>
  </r>
  <r>
    <x v="0"/>
    <x v="0"/>
    <x v="0"/>
    <x v="1"/>
    <x v="2"/>
    <s v="EE_Tallinn"/>
    <x v="12"/>
    <s v="VAO-2_ST_WOOD_BP"/>
    <x v="0"/>
    <x v="15"/>
    <n v="82.608724120096397"/>
    <n v="30152.184303835202"/>
    <n v="108547.863493807"/>
  </r>
  <r>
    <x v="0"/>
    <x v="0"/>
    <x v="0"/>
    <x v="1"/>
    <x v="2"/>
    <s v="EE_Tallinn"/>
    <x v="12"/>
    <s v="VAO-2_ST_WOOD_BP"/>
    <x v="0"/>
    <x v="16"/>
    <n v="82.608724120096397"/>
    <n v="30152.184303835202"/>
    <n v="108547.863493807"/>
  </r>
  <r>
    <x v="0"/>
    <x v="0"/>
    <x v="0"/>
    <x v="1"/>
    <x v="2"/>
    <s v="EE_Tallinn"/>
    <x v="12"/>
    <s v="VAO-2_ST_WOOD_BP"/>
    <x v="0"/>
    <x v="17"/>
    <n v="82.608724120096397"/>
    <n v="30152.184303835202"/>
    <n v="108547.863493807"/>
  </r>
  <r>
    <x v="0"/>
    <x v="0"/>
    <x v="0"/>
    <x v="1"/>
    <x v="2"/>
    <s v="EE_Tallinn"/>
    <x v="12"/>
    <s v="VAO-2_ST_WOOD_BP"/>
    <x v="0"/>
    <x v="19"/>
    <n v="82.608724120096397"/>
    <n v="30152.184303835202"/>
    <n v="108547.863493807"/>
  </r>
  <r>
    <x v="0"/>
    <x v="0"/>
    <x v="0"/>
    <x v="1"/>
    <x v="2"/>
    <s v="EE_Tallinn"/>
    <x v="12"/>
    <s v="VAO-2_ST_WOOD_BP"/>
    <x v="0"/>
    <x v="20"/>
    <n v="82.608724120096397"/>
    <n v="30152.184303835202"/>
    <n v="108547.863493807"/>
  </r>
  <r>
    <x v="0"/>
    <x v="0"/>
    <x v="0"/>
    <x v="1"/>
    <x v="2"/>
    <s v="EE_Tallinn"/>
    <x v="12"/>
    <s v="VAO-2_ST_WOOD_BP"/>
    <x v="0"/>
    <x v="21"/>
    <n v="82.608724120096397"/>
    <n v="30152.184303835202"/>
    <n v="108547.863493807"/>
  </r>
  <r>
    <x v="0"/>
    <x v="0"/>
    <x v="0"/>
    <x v="1"/>
    <x v="2"/>
    <s v="EE_Tallinn"/>
    <x v="12"/>
    <s v="VAO-2_ST_WOOD_BP"/>
    <x v="0"/>
    <x v="22"/>
    <n v="82.608724120096397"/>
    <n v="30152.184303835202"/>
    <n v="108547.863493807"/>
  </r>
  <r>
    <x v="0"/>
    <x v="0"/>
    <x v="0"/>
    <x v="1"/>
    <x v="2"/>
    <s v="EE_Tallinn"/>
    <x v="12"/>
    <s v="VAO-2_ST_WOOD_BP"/>
    <x v="0"/>
    <x v="23"/>
    <n v="82.608724120096397"/>
    <n v="30152.184303835202"/>
    <n v="108547.863493807"/>
  </r>
  <r>
    <x v="0"/>
    <x v="0"/>
    <x v="0"/>
    <x v="1"/>
    <x v="2"/>
    <s v="EE_Tartu"/>
    <x v="3"/>
    <s v="GNR_BO_NGAS_HO_E-85"/>
    <x v="0"/>
    <x v="0"/>
    <n v="24.559441288092501"/>
    <n v="8964.1960701537701"/>
    <n v="32271.105852553599"/>
  </r>
  <r>
    <x v="0"/>
    <x v="0"/>
    <x v="0"/>
    <x v="1"/>
    <x v="2"/>
    <s v="EE_Tartu"/>
    <x v="3"/>
    <s v="GNR_BO_NGAS_HO_E-85"/>
    <x v="0"/>
    <x v="1"/>
    <n v="25.073917926778002"/>
    <n v="9151.9800432739794"/>
    <n v="32947.128155786297"/>
  </r>
  <r>
    <x v="0"/>
    <x v="0"/>
    <x v="0"/>
    <x v="1"/>
    <x v="2"/>
    <s v="EE_Tartu"/>
    <x v="3"/>
    <s v="GNR_BO_NGAS_HO_E-85"/>
    <x v="0"/>
    <x v="2"/>
    <n v="25.234691876367101"/>
    <n v="9210.6625348739799"/>
    <n v="33158.385125546301"/>
  </r>
  <r>
    <x v="0"/>
    <x v="0"/>
    <x v="0"/>
    <x v="1"/>
    <x v="2"/>
    <s v="EE_Tartu"/>
    <x v="3"/>
    <s v="GNR_BO_NGAS_HO_E-85"/>
    <x v="0"/>
    <x v="3"/>
    <n v="24.752370027599198"/>
    <n v="9034.6150600737001"/>
    <n v="32524.614216265301"/>
  </r>
  <r>
    <x v="0"/>
    <x v="0"/>
    <x v="0"/>
    <x v="1"/>
    <x v="2"/>
    <s v="EE_Tartu"/>
    <x v="3"/>
    <s v="GNR_BO_NGAS_HO_E-85"/>
    <x v="0"/>
    <x v="18"/>
    <n v="23.691261960311301"/>
    <n v="8647.3106155136102"/>
    <n v="31130.318215849002"/>
  </r>
  <r>
    <x v="0"/>
    <x v="0"/>
    <x v="0"/>
    <x v="1"/>
    <x v="2"/>
    <s v="EE_Tartu"/>
    <x v="3"/>
    <s v="GNR_BO_NGAS_HO_E-85"/>
    <x v="0"/>
    <x v="4"/>
    <n v="22.1478320442551"/>
    <n v="8083.9586961531204"/>
    <n v="29102.2513061512"/>
  </r>
  <r>
    <x v="0"/>
    <x v="0"/>
    <x v="0"/>
    <x v="1"/>
    <x v="2"/>
    <s v="EE_Tartu"/>
    <x v="3"/>
    <s v="GNR_BO_NGAS_HO_E-85"/>
    <x v="0"/>
    <x v="5"/>
    <n v="20.1863898592674"/>
    <n v="7368.03229863259"/>
    <n v="26524.916275077299"/>
  </r>
  <r>
    <x v="0"/>
    <x v="0"/>
    <x v="0"/>
    <x v="1"/>
    <x v="2"/>
    <s v="EE_Tartu"/>
    <x v="3"/>
    <s v="GNR_BO_NGAS_HO_E-85"/>
    <x v="0"/>
    <x v="6"/>
    <n v="17.77478061543"/>
    <n v="6487.7949246319404"/>
    <n v="23356.061728674998"/>
  </r>
  <r>
    <x v="0"/>
    <x v="0"/>
    <x v="0"/>
    <x v="1"/>
    <x v="2"/>
    <s v="EE_Tartu"/>
    <x v="3"/>
    <s v="GNR_BO_NGAS_HO_E-85"/>
    <x v="0"/>
    <x v="7"/>
    <n v="15.684719270771"/>
    <n v="5724.92253383141"/>
    <n v="20609.7211217931"/>
  </r>
  <r>
    <x v="0"/>
    <x v="0"/>
    <x v="0"/>
    <x v="1"/>
    <x v="2"/>
    <s v="EE_Tartu"/>
    <x v="3"/>
    <s v="GNR_BO_NGAS_HO_E-85"/>
    <x v="0"/>
    <x v="8"/>
    <n v="13.7875866656189"/>
    <n v="5032.4691329508996"/>
    <n v="18116.8888786233"/>
  </r>
  <r>
    <x v="0"/>
    <x v="0"/>
    <x v="0"/>
    <x v="1"/>
    <x v="2"/>
    <s v="EE_Tartu"/>
    <x v="3"/>
    <s v="GNR_BO_NGAS_HO_E-85"/>
    <x v="0"/>
    <x v="9"/>
    <n v="12.083382799973901"/>
    <n v="4410.4347219904803"/>
    <n v="15877.564999165699"/>
  </r>
  <r>
    <x v="0"/>
    <x v="0"/>
    <x v="0"/>
    <x v="1"/>
    <x v="2"/>
    <s v="EE_Tartu"/>
    <x v="3"/>
    <s v="GNR_BO_NGAS_HO_E-85"/>
    <x v="0"/>
    <x v="10"/>
    <n v="10.6685720435893"/>
    <n v="3894.0287959100801"/>
    <n v="14018.503665276299"/>
  </r>
  <r>
    <x v="0"/>
    <x v="0"/>
    <x v="0"/>
    <x v="1"/>
    <x v="2"/>
    <s v="EE_Tartu"/>
    <x v="3"/>
    <s v="GNR_BO_NGAS_HO_E-85"/>
    <x v="0"/>
    <x v="11"/>
    <n v="9.4466900267116607"/>
    <n v="3448.0418597497601"/>
    <n v="12412.9506950991"/>
  </r>
  <r>
    <x v="0"/>
    <x v="0"/>
    <x v="0"/>
    <x v="1"/>
    <x v="2"/>
    <s v="EE_Tartu"/>
    <x v="3"/>
    <s v="GNR_BO_NGAS_HO_E-85"/>
    <x v="0"/>
    <x v="12"/>
    <n v="8.4498915392589495"/>
    <n v="3084.2104118295201"/>
    <n v="11103.157482586301"/>
  </r>
  <r>
    <x v="0"/>
    <x v="0"/>
    <x v="0"/>
    <x v="1"/>
    <x v="2"/>
    <s v="EE_Tartu"/>
    <x v="3"/>
    <s v="GNR_BO_NGAS_HO_E-85"/>
    <x v="0"/>
    <x v="13"/>
    <n v="7.8389505308201599"/>
    <n v="2861.2169437493599"/>
    <n v="10300.380997497699"/>
  </r>
  <r>
    <x v="0"/>
    <x v="0"/>
    <x v="0"/>
    <x v="1"/>
    <x v="2"/>
    <s v="EE_Tartu"/>
    <x v="3"/>
    <s v="GNR_BO_NGAS_HO_E-85"/>
    <x v="0"/>
    <x v="14"/>
    <n v="7.3887834719704699"/>
    <n v="2696.9059672692201"/>
    <n v="9708.8614821691899"/>
  </r>
  <r>
    <x v="0"/>
    <x v="0"/>
    <x v="0"/>
    <x v="1"/>
    <x v="2"/>
    <s v="EE_Tartu"/>
    <x v="3"/>
    <s v="GNR_BO_NGAS_HO_E-85"/>
    <x v="0"/>
    <x v="15"/>
    <n v="7.00292599295648"/>
    <n v="2556.06798742912"/>
    <n v="9201.8447547448195"/>
  </r>
  <r>
    <x v="0"/>
    <x v="0"/>
    <x v="0"/>
    <x v="1"/>
    <x v="2"/>
    <s v="EE_Tartu"/>
    <x v="3"/>
    <s v="GNR_BO_NGAS_HO_E-85"/>
    <x v="0"/>
    <x v="16"/>
    <n v="6.6492233038603796"/>
    <n v="2426.9665059090398"/>
    <n v="8737.0794212725395"/>
  </r>
  <r>
    <x v="0"/>
    <x v="0"/>
    <x v="0"/>
    <x v="1"/>
    <x v="2"/>
    <s v="EE_Tartu"/>
    <x v="3"/>
    <s v="GNR_BO_NGAS_HO_E-85"/>
    <x v="0"/>
    <x v="17"/>
    <n v="6.2633658248463897"/>
    <n v="2286.1285260689301"/>
    <n v="8230.0626938481491"/>
  </r>
  <r>
    <x v="0"/>
    <x v="0"/>
    <x v="0"/>
    <x v="1"/>
    <x v="2"/>
    <s v="EE_Tartu"/>
    <x v="3"/>
    <s v="GNR_BO_NGAS_HO_E-85"/>
    <x v="0"/>
    <x v="19"/>
    <n v="5.8131987659967699"/>
    <n v="2121.8175495888199"/>
    <n v="7638.5431785197597"/>
  </r>
  <r>
    <x v="0"/>
    <x v="0"/>
    <x v="0"/>
    <x v="1"/>
    <x v="2"/>
    <s v="EE_Tartu"/>
    <x v="3"/>
    <s v="GNR_BO_NGAS_HO_E-85"/>
    <x v="0"/>
    <x v="20"/>
    <n v="5.4273412869827897"/>
    <n v="1980.97956974872"/>
    <n v="7131.5264510953803"/>
  </r>
  <r>
    <x v="0"/>
    <x v="0"/>
    <x v="0"/>
    <x v="1"/>
    <x v="2"/>
    <s v="EE_Tartu"/>
    <x v="3"/>
    <s v="GNR_BO_NGAS_HO_E-85"/>
    <x v="0"/>
    <x v="21"/>
    <n v="5.04148380796879"/>
    <n v="1840.1415899086101"/>
    <n v="6624.5097236709898"/>
  </r>
  <r>
    <x v="0"/>
    <x v="0"/>
    <x v="0"/>
    <x v="1"/>
    <x v="2"/>
    <s v="EE_Tartu"/>
    <x v="3"/>
    <s v="GNR_BO_NGAS_HO_E-85"/>
    <x v="0"/>
    <x v="22"/>
    <n v="4.7520906987083"/>
    <n v="1734.5131050285299"/>
    <n v="6244.2471781027098"/>
  </r>
  <r>
    <x v="0"/>
    <x v="0"/>
    <x v="0"/>
    <x v="1"/>
    <x v="2"/>
    <s v="EE_Tartu"/>
    <x v="3"/>
    <s v="GNR_BO_NGAS_HO_E-85"/>
    <x v="0"/>
    <x v="23"/>
    <n v="4.6556263289548099"/>
    <n v="1699.3036100684999"/>
    <n v="6117.4929962466103"/>
  </r>
  <r>
    <x v="0"/>
    <x v="0"/>
    <x v="0"/>
    <x v="1"/>
    <x v="2"/>
    <s v="EE_Tartu"/>
    <x v="12"/>
    <s v="TARTU-1_ST_WOOD_BP"/>
    <x v="0"/>
    <x v="0"/>
    <n v="76.086994466430795"/>
    <n v="27771.752980247202"/>
    <n v="99978.310728890006"/>
  </r>
  <r>
    <x v="0"/>
    <x v="0"/>
    <x v="0"/>
    <x v="1"/>
    <x v="2"/>
    <s v="EE_Tartu"/>
    <x v="12"/>
    <s v="TARTU-1_ST_WOOD_BP"/>
    <x v="0"/>
    <x v="1"/>
    <n v="76.086994466430795"/>
    <n v="27771.752980247202"/>
    <n v="99978.310728890006"/>
  </r>
  <r>
    <x v="0"/>
    <x v="0"/>
    <x v="0"/>
    <x v="1"/>
    <x v="2"/>
    <s v="EE_Tartu"/>
    <x v="12"/>
    <s v="TARTU-1_ST_WOOD_BP"/>
    <x v="0"/>
    <x v="2"/>
    <n v="76.086994466430795"/>
    <n v="27771.752980247202"/>
    <n v="99978.310728890006"/>
  </r>
  <r>
    <x v="0"/>
    <x v="0"/>
    <x v="0"/>
    <x v="1"/>
    <x v="2"/>
    <s v="EE_Tartu"/>
    <x v="12"/>
    <s v="TARTU-1_ST_WOOD_BP"/>
    <x v="0"/>
    <x v="3"/>
    <n v="76.086994466430795"/>
    <n v="27771.752980247202"/>
    <n v="99978.310728890006"/>
  </r>
  <r>
    <x v="0"/>
    <x v="0"/>
    <x v="0"/>
    <x v="1"/>
    <x v="2"/>
    <s v="EE_Tartu"/>
    <x v="12"/>
    <s v="TARTU-1_ST_WOOD_BP"/>
    <x v="0"/>
    <x v="18"/>
    <n v="76.086994466430795"/>
    <n v="27771.752980247202"/>
    <n v="99978.310728890006"/>
  </r>
  <r>
    <x v="0"/>
    <x v="0"/>
    <x v="0"/>
    <x v="1"/>
    <x v="2"/>
    <s v="EE_Tartu"/>
    <x v="12"/>
    <s v="TARTU-1_ST_WOOD_BP"/>
    <x v="0"/>
    <x v="4"/>
    <n v="76.086994466430795"/>
    <n v="27771.752980247202"/>
    <n v="99978.310728890006"/>
  </r>
  <r>
    <x v="0"/>
    <x v="0"/>
    <x v="0"/>
    <x v="1"/>
    <x v="2"/>
    <s v="EE_Tartu"/>
    <x v="12"/>
    <s v="TARTU-1_ST_WOOD_BP"/>
    <x v="0"/>
    <x v="5"/>
    <n v="76.086994466430795"/>
    <n v="27771.752980247202"/>
    <n v="99978.310728890006"/>
  </r>
  <r>
    <x v="0"/>
    <x v="0"/>
    <x v="0"/>
    <x v="1"/>
    <x v="2"/>
    <s v="EE_Tartu"/>
    <x v="12"/>
    <s v="TARTU-1_ST_WOOD_BP"/>
    <x v="0"/>
    <x v="6"/>
    <n v="76.086994466430795"/>
    <n v="27771.752980247202"/>
    <n v="99978.310728890006"/>
  </r>
  <r>
    <x v="0"/>
    <x v="0"/>
    <x v="0"/>
    <x v="1"/>
    <x v="2"/>
    <s v="EE_Tartu"/>
    <x v="12"/>
    <s v="TARTU-1_ST_WOOD_BP"/>
    <x v="0"/>
    <x v="7"/>
    <n v="76.086994466430795"/>
    <n v="27771.752980247202"/>
    <n v="99978.310728890006"/>
  </r>
  <r>
    <x v="0"/>
    <x v="0"/>
    <x v="0"/>
    <x v="1"/>
    <x v="2"/>
    <s v="EE_Tartu"/>
    <x v="12"/>
    <s v="TARTU-1_ST_WOOD_BP"/>
    <x v="0"/>
    <x v="8"/>
    <n v="76.086994466430795"/>
    <n v="27771.752980247202"/>
    <n v="99978.310728890006"/>
  </r>
  <r>
    <x v="0"/>
    <x v="0"/>
    <x v="0"/>
    <x v="1"/>
    <x v="2"/>
    <s v="EE_Tartu"/>
    <x v="12"/>
    <s v="TARTU-1_ST_WOOD_BP"/>
    <x v="0"/>
    <x v="9"/>
    <n v="76.086994466430795"/>
    <n v="27771.752980247202"/>
    <n v="99978.310728890006"/>
  </r>
  <r>
    <x v="0"/>
    <x v="0"/>
    <x v="0"/>
    <x v="1"/>
    <x v="2"/>
    <s v="EE_Tartu"/>
    <x v="12"/>
    <s v="TARTU-1_ST_WOOD_BP"/>
    <x v="0"/>
    <x v="10"/>
    <n v="76.086994466430795"/>
    <n v="27771.752980247202"/>
    <n v="99978.310728890006"/>
  </r>
  <r>
    <x v="0"/>
    <x v="0"/>
    <x v="0"/>
    <x v="1"/>
    <x v="2"/>
    <s v="EE_Tartu"/>
    <x v="12"/>
    <s v="TARTU-1_ST_WOOD_BP"/>
    <x v="0"/>
    <x v="11"/>
    <n v="76.086994466430795"/>
    <n v="27771.752980247202"/>
    <n v="99978.310728890006"/>
  </r>
  <r>
    <x v="0"/>
    <x v="0"/>
    <x v="0"/>
    <x v="1"/>
    <x v="2"/>
    <s v="EE_Tartu"/>
    <x v="12"/>
    <s v="TARTU-1_ST_WOOD_BP"/>
    <x v="0"/>
    <x v="12"/>
    <n v="76.086994466430795"/>
    <n v="27771.752980247202"/>
    <n v="99978.310728890006"/>
  </r>
  <r>
    <x v="0"/>
    <x v="0"/>
    <x v="0"/>
    <x v="1"/>
    <x v="2"/>
    <s v="EE_Tartu"/>
    <x v="12"/>
    <s v="TARTU-1_ST_WOOD_BP"/>
    <x v="0"/>
    <x v="13"/>
    <n v="76.086994466430795"/>
    <n v="27771.752980247202"/>
    <n v="99978.310728890006"/>
  </r>
  <r>
    <x v="0"/>
    <x v="0"/>
    <x v="0"/>
    <x v="1"/>
    <x v="2"/>
    <s v="EE_Tartu"/>
    <x v="12"/>
    <s v="TARTU-1_ST_WOOD_BP"/>
    <x v="0"/>
    <x v="14"/>
    <n v="76.086994466430795"/>
    <n v="27771.752980247202"/>
    <n v="99978.310728890006"/>
  </r>
  <r>
    <x v="0"/>
    <x v="0"/>
    <x v="0"/>
    <x v="1"/>
    <x v="2"/>
    <s v="EE_Tartu"/>
    <x v="12"/>
    <s v="TARTU-1_ST_WOOD_BP"/>
    <x v="0"/>
    <x v="15"/>
    <n v="76.086994466430795"/>
    <n v="27771.752980247202"/>
    <n v="99978.310728890006"/>
  </r>
  <r>
    <x v="0"/>
    <x v="0"/>
    <x v="0"/>
    <x v="1"/>
    <x v="2"/>
    <s v="EE_Tartu"/>
    <x v="12"/>
    <s v="TARTU-1_ST_WOOD_BP"/>
    <x v="0"/>
    <x v="16"/>
    <n v="76.086994466430795"/>
    <n v="27771.752980247202"/>
    <n v="99978.310728890006"/>
  </r>
  <r>
    <x v="0"/>
    <x v="0"/>
    <x v="0"/>
    <x v="1"/>
    <x v="2"/>
    <s v="EE_Tartu"/>
    <x v="12"/>
    <s v="TARTU-1_ST_WOOD_BP"/>
    <x v="0"/>
    <x v="17"/>
    <n v="76.086994466430795"/>
    <n v="27771.752980247202"/>
    <n v="99978.310728890006"/>
  </r>
  <r>
    <x v="0"/>
    <x v="0"/>
    <x v="0"/>
    <x v="1"/>
    <x v="2"/>
    <s v="EE_Tartu"/>
    <x v="12"/>
    <s v="TARTU-1_ST_WOOD_BP"/>
    <x v="0"/>
    <x v="19"/>
    <n v="76.086994466430795"/>
    <n v="27771.752980247202"/>
    <n v="99978.310728890006"/>
  </r>
  <r>
    <x v="0"/>
    <x v="0"/>
    <x v="0"/>
    <x v="1"/>
    <x v="2"/>
    <s v="EE_Tartu"/>
    <x v="12"/>
    <s v="TARTU-1_ST_WOOD_BP"/>
    <x v="0"/>
    <x v="20"/>
    <n v="76.086994466430795"/>
    <n v="27771.752980247202"/>
    <n v="99978.310728890006"/>
  </r>
  <r>
    <x v="0"/>
    <x v="0"/>
    <x v="0"/>
    <x v="1"/>
    <x v="2"/>
    <s v="EE_Tartu"/>
    <x v="12"/>
    <s v="TARTU-1_ST_WOOD_BP"/>
    <x v="0"/>
    <x v="21"/>
    <n v="76.086994466430795"/>
    <n v="27771.752980247202"/>
    <n v="99978.310728890006"/>
  </r>
  <r>
    <x v="0"/>
    <x v="0"/>
    <x v="0"/>
    <x v="1"/>
    <x v="2"/>
    <s v="EE_Tartu"/>
    <x v="12"/>
    <s v="TARTU-1_ST_WOOD_BP"/>
    <x v="0"/>
    <x v="22"/>
    <n v="76.086994466430795"/>
    <n v="27771.752980247202"/>
    <n v="99978.310728890006"/>
  </r>
  <r>
    <x v="0"/>
    <x v="0"/>
    <x v="0"/>
    <x v="1"/>
    <x v="2"/>
    <s v="EE_Tartu"/>
    <x v="12"/>
    <s v="TARTU-1_ST_WOOD_BP"/>
    <x v="0"/>
    <x v="23"/>
    <n v="76.086994466430795"/>
    <n v="27771.752980247202"/>
    <n v="99978.310728890006"/>
  </r>
  <r>
    <x v="0"/>
    <x v="0"/>
    <x v="0"/>
    <x v="2"/>
    <x v="3"/>
    <s v="FIN_EL"/>
    <x v="0"/>
    <s v="GEXT_COAL_KYMIJARVI"/>
    <x v="0"/>
    <x v="0"/>
    <n v="352.446414922396"/>
    <n v="128642.941446675"/>
    <n v="463114.58920802898"/>
  </r>
  <r>
    <x v="0"/>
    <x v="0"/>
    <x v="0"/>
    <x v="2"/>
    <x v="3"/>
    <s v="FIN_EL"/>
    <x v="0"/>
    <s v="GEXT_COAL_KYMIJARVI"/>
    <x v="0"/>
    <x v="1"/>
    <n v="352.446414922396"/>
    <n v="128642.941446675"/>
    <n v="463114.58920802898"/>
  </r>
  <r>
    <x v="0"/>
    <x v="0"/>
    <x v="0"/>
    <x v="2"/>
    <x v="3"/>
    <s v="FIN_EL"/>
    <x v="0"/>
    <s v="GEXT_COAL_KYMIJARVI"/>
    <x v="0"/>
    <x v="2"/>
    <n v="352.446414922396"/>
    <n v="128642.941446675"/>
    <n v="463114.58920802898"/>
  </r>
  <r>
    <x v="0"/>
    <x v="0"/>
    <x v="0"/>
    <x v="2"/>
    <x v="3"/>
    <s v="FIN_EL"/>
    <x v="0"/>
    <s v="GEXT_COAL_KYMIJARVI"/>
    <x v="0"/>
    <x v="3"/>
    <n v="352.446414922396"/>
    <n v="128642.941446675"/>
    <n v="463114.58920802898"/>
  </r>
  <r>
    <x v="0"/>
    <x v="0"/>
    <x v="0"/>
    <x v="2"/>
    <x v="3"/>
    <s v="FIN_EL"/>
    <x v="0"/>
    <s v="GEXT_COAL_KYMIJARVI"/>
    <x v="0"/>
    <x v="18"/>
    <n v="352.446414922396"/>
    <n v="128642.941446675"/>
    <n v="463114.58920802898"/>
  </r>
  <r>
    <x v="0"/>
    <x v="0"/>
    <x v="0"/>
    <x v="2"/>
    <x v="3"/>
    <s v="FIN_EL"/>
    <x v="0"/>
    <s v="GEXT_COAL_KYMIJARVI"/>
    <x v="0"/>
    <x v="4"/>
    <n v="352.446414922396"/>
    <n v="128642.941446675"/>
    <n v="463114.58920802898"/>
  </r>
  <r>
    <x v="0"/>
    <x v="0"/>
    <x v="0"/>
    <x v="2"/>
    <x v="3"/>
    <s v="FIN_EL"/>
    <x v="0"/>
    <s v="GEXT_COAL_KYMIJARVI"/>
    <x v="0"/>
    <x v="5"/>
    <n v="352.446414922396"/>
    <n v="128642.941446675"/>
    <n v="463114.58920802898"/>
  </r>
  <r>
    <x v="0"/>
    <x v="0"/>
    <x v="0"/>
    <x v="2"/>
    <x v="3"/>
    <s v="FIN_EL"/>
    <x v="0"/>
    <s v="GEXT_COAL_KYMIJARVI"/>
    <x v="0"/>
    <x v="6"/>
    <n v="352.446414922396"/>
    <n v="128642.941446675"/>
    <n v="463114.58920802898"/>
  </r>
  <r>
    <x v="0"/>
    <x v="0"/>
    <x v="0"/>
    <x v="2"/>
    <x v="3"/>
    <s v="FIN_EL"/>
    <x v="0"/>
    <s v="GEXT_COAL_KYMIJARVI"/>
    <x v="0"/>
    <x v="7"/>
    <n v="352.446414922396"/>
    <n v="128642.941446675"/>
    <n v="463114.58920802898"/>
  </r>
  <r>
    <x v="0"/>
    <x v="0"/>
    <x v="0"/>
    <x v="2"/>
    <x v="3"/>
    <s v="FIN_EL"/>
    <x v="0"/>
    <s v="GEXT_COAL_KYMIJARVI"/>
    <x v="0"/>
    <x v="8"/>
    <n v="352.446414922396"/>
    <n v="128642.941446675"/>
    <n v="463114.58920802898"/>
  </r>
  <r>
    <x v="0"/>
    <x v="0"/>
    <x v="0"/>
    <x v="2"/>
    <x v="3"/>
    <s v="FIN_EL"/>
    <x v="0"/>
    <s v="GEXT_COAL_KYMIJARVI"/>
    <x v="0"/>
    <x v="9"/>
    <n v="352.446414922396"/>
    <n v="128642.941446675"/>
    <n v="463114.58920802898"/>
  </r>
  <r>
    <x v="0"/>
    <x v="0"/>
    <x v="0"/>
    <x v="2"/>
    <x v="3"/>
    <s v="FIN_EL"/>
    <x v="0"/>
    <s v="GEXT_COAL_KYMIJARVI"/>
    <x v="0"/>
    <x v="10"/>
    <n v="352.446414922396"/>
    <n v="128642.941446675"/>
    <n v="463114.58920802898"/>
  </r>
  <r>
    <x v="0"/>
    <x v="0"/>
    <x v="0"/>
    <x v="2"/>
    <x v="3"/>
    <s v="FIN_EL"/>
    <x v="0"/>
    <s v="GEXT_COAL_KYMIJARVI"/>
    <x v="0"/>
    <x v="11"/>
    <n v="352.446414922396"/>
    <n v="128642.941446675"/>
    <n v="463114.58920802898"/>
  </r>
  <r>
    <x v="0"/>
    <x v="0"/>
    <x v="0"/>
    <x v="2"/>
    <x v="3"/>
    <s v="FIN_EL"/>
    <x v="0"/>
    <s v="GEXT_COAL_KYMIJARVI"/>
    <x v="0"/>
    <x v="12"/>
    <n v="352.446414922396"/>
    <n v="128642.941446675"/>
    <n v="463114.58920802898"/>
  </r>
  <r>
    <x v="0"/>
    <x v="0"/>
    <x v="0"/>
    <x v="2"/>
    <x v="3"/>
    <s v="FIN_EL"/>
    <x v="0"/>
    <s v="GEXT_COAL_KYMIJARVI"/>
    <x v="0"/>
    <x v="13"/>
    <n v="352.446414922396"/>
    <n v="128642.941446675"/>
    <n v="463114.58920802898"/>
  </r>
  <r>
    <x v="0"/>
    <x v="0"/>
    <x v="0"/>
    <x v="2"/>
    <x v="3"/>
    <s v="FIN_EL"/>
    <x v="0"/>
    <s v="GEXT_COAL_KYMIJARVI"/>
    <x v="0"/>
    <x v="14"/>
    <n v="352.446414922396"/>
    <n v="128642.941446675"/>
    <n v="463114.58920802898"/>
  </r>
  <r>
    <x v="0"/>
    <x v="0"/>
    <x v="0"/>
    <x v="2"/>
    <x v="3"/>
    <s v="FIN_EL"/>
    <x v="0"/>
    <s v="GEXT_COAL_KYMIJARVI"/>
    <x v="0"/>
    <x v="15"/>
    <n v="352.446414922396"/>
    <n v="128642.941446675"/>
    <n v="463114.58920802898"/>
  </r>
  <r>
    <x v="0"/>
    <x v="0"/>
    <x v="0"/>
    <x v="2"/>
    <x v="3"/>
    <s v="FIN_EL"/>
    <x v="0"/>
    <s v="GEXT_COAL_KYMIJARVI"/>
    <x v="0"/>
    <x v="16"/>
    <n v="352.446414922396"/>
    <n v="128642.941446675"/>
    <n v="463114.58920802898"/>
  </r>
  <r>
    <x v="0"/>
    <x v="0"/>
    <x v="0"/>
    <x v="2"/>
    <x v="3"/>
    <s v="FIN_EL"/>
    <x v="0"/>
    <s v="GEXT_COAL_KYMIJARVI"/>
    <x v="0"/>
    <x v="17"/>
    <n v="352.446414922396"/>
    <n v="128642.941446675"/>
    <n v="463114.58920802898"/>
  </r>
  <r>
    <x v="0"/>
    <x v="0"/>
    <x v="0"/>
    <x v="2"/>
    <x v="3"/>
    <s v="FIN_EL"/>
    <x v="0"/>
    <s v="GEXT_COAL_KYMIJARVI"/>
    <x v="0"/>
    <x v="19"/>
    <n v="352.446414922396"/>
    <n v="128642.941446675"/>
    <n v="463114.58920802898"/>
  </r>
  <r>
    <x v="0"/>
    <x v="0"/>
    <x v="0"/>
    <x v="2"/>
    <x v="3"/>
    <s v="FIN_EL"/>
    <x v="0"/>
    <s v="GEXT_COAL_KYMIJARVI"/>
    <x v="0"/>
    <x v="20"/>
    <n v="352.446414922396"/>
    <n v="128642.941446675"/>
    <n v="463114.58920802898"/>
  </r>
  <r>
    <x v="0"/>
    <x v="0"/>
    <x v="0"/>
    <x v="2"/>
    <x v="3"/>
    <s v="FIN_EL"/>
    <x v="0"/>
    <s v="GEXT_COAL_KYMIJARVI"/>
    <x v="0"/>
    <x v="21"/>
    <n v="352.446414922396"/>
    <n v="128642.941446675"/>
    <n v="463114.58920802898"/>
  </r>
  <r>
    <x v="0"/>
    <x v="0"/>
    <x v="0"/>
    <x v="2"/>
    <x v="3"/>
    <s v="FIN_EL"/>
    <x v="0"/>
    <s v="GEXT_COAL_KYMIJARVI"/>
    <x v="0"/>
    <x v="22"/>
    <n v="352.446414922396"/>
    <n v="128642.941446675"/>
    <n v="463114.58920802898"/>
  </r>
  <r>
    <x v="0"/>
    <x v="0"/>
    <x v="0"/>
    <x v="2"/>
    <x v="3"/>
    <s v="FIN_EL"/>
    <x v="0"/>
    <s v="GEXT_COAL_KYMIJARVI"/>
    <x v="0"/>
    <x v="23"/>
    <n v="352.446414922396"/>
    <n v="128642.941446675"/>
    <n v="463114.58920802898"/>
  </r>
  <r>
    <x v="0"/>
    <x v="0"/>
    <x v="0"/>
    <x v="2"/>
    <x v="3"/>
    <s v="FIN_EL"/>
    <x v="13"/>
    <s v="GHOB_PEAT"/>
    <x v="0"/>
    <x v="0"/>
    <n v="22.6793980839482"/>
    <n v="8277.9803006410802"/>
    <n v="29800.729082307898"/>
  </r>
  <r>
    <x v="0"/>
    <x v="0"/>
    <x v="0"/>
    <x v="2"/>
    <x v="3"/>
    <s v="FIN_EL"/>
    <x v="13"/>
    <s v="GHOB_PEAT"/>
    <x v="0"/>
    <x v="1"/>
    <n v="22.6793980839482"/>
    <n v="8277.9803006410802"/>
    <n v="29800.729082307898"/>
  </r>
  <r>
    <x v="0"/>
    <x v="0"/>
    <x v="0"/>
    <x v="2"/>
    <x v="3"/>
    <s v="FIN_EL"/>
    <x v="13"/>
    <s v="GHOB_PEAT"/>
    <x v="0"/>
    <x v="2"/>
    <n v="22.6793980839482"/>
    <n v="8277.9803006410802"/>
    <n v="29800.729082307898"/>
  </r>
  <r>
    <x v="0"/>
    <x v="0"/>
    <x v="0"/>
    <x v="2"/>
    <x v="3"/>
    <s v="FIN_EL"/>
    <x v="13"/>
    <s v="GHOB_PEAT"/>
    <x v="0"/>
    <x v="3"/>
    <n v="22.6793980839482"/>
    <n v="8277.9803006410802"/>
    <n v="29800.729082307898"/>
  </r>
  <r>
    <x v="0"/>
    <x v="0"/>
    <x v="0"/>
    <x v="2"/>
    <x v="3"/>
    <s v="FIN_EL"/>
    <x v="13"/>
    <s v="GHOB_PEAT"/>
    <x v="0"/>
    <x v="18"/>
    <n v="22.6793980839482"/>
    <n v="8277.9803006410802"/>
    <n v="29800.729082307898"/>
  </r>
  <r>
    <x v="0"/>
    <x v="0"/>
    <x v="0"/>
    <x v="2"/>
    <x v="3"/>
    <s v="FIN_EL"/>
    <x v="13"/>
    <s v="GHOB_PEAT"/>
    <x v="0"/>
    <x v="4"/>
    <n v="22.6793980839482"/>
    <n v="8277.9803006410802"/>
    <n v="29800.729082307898"/>
  </r>
  <r>
    <x v="0"/>
    <x v="0"/>
    <x v="0"/>
    <x v="2"/>
    <x v="3"/>
    <s v="FIN_EL"/>
    <x v="13"/>
    <s v="GHOB_PEAT"/>
    <x v="0"/>
    <x v="5"/>
    <n v="22.6793980839482"/>
    <n v="8277.9803006410802"/>
    <n v="29800.729082307898"/>
  </r>
  <r>
    <x v="0"/>
    <x v="0"/>
    <x v="0"/>
    <x v="2"/>
    <x v="3"/>
    <s v="FIN_EL"/>
    <x v="13"/>
    <s v="GHOB_PEAT"/>
    <x v="0"/>
    <x v="6"/>
    <n v="22.6793980839482"/>
    <n v="8277.9803006410802"/>
    <n v="29800.729082307898"/>
  </r>
  <r>
    <x v="0"/>
    <x v="0"/>
    <x v="0"/>
    <x v="2"/>
    <x v="3"/>
    <s v="FIN_EL"/>
    <x v="13"/>
    <s v="GHOB_PEAT"/>
    <x v="0"/>
    <x v="7"/>
    <n v="22.6793980839482"/>
    <n v="8277.9803006410802"/>
    <n v="29800.729082307898"/>
  </r>
  <r>
    <x v="0"/>
    <x v="0"/>
    <x v="0"/>
    <x v="2"/>
    <x v="3"/>
    <s v="FIN_EL"/>
    <x v="13"/>
    <s v="GHOB_PEAT"/>
    <x v="0"/>
    <x v="8"/>
    <n v="22.6793980839482"/>
    <n v="8277.9803006410802"/>
    <n v="29800.729082307898"/>
  </r>
  <r>
    <x v="0"/>
    <x v="0"/>
    <x v="0"/>
    <x v="2"/>
    <x v="3"/>
    <s v="FIN_EL"/>
    <x v="13"/>
    <s v="GHOB_PEAT"/>
    <x v="0"/>
    <x v="9"/>
    <n v="22.6793980839482"/>
    <n v="8277.9803006410802"/>
    <n v="29800.729082307898"/>
  </r>
  <r>
    <x v="0"/>
    <x v="0"/>
    <x v="0"/>
    <x v="2"/>
    <x v="3"/>
    <s v="FIN_EL"/>
    <x v="13"/>
    <s v="GHOB_PEAT"/>
    <x v="0"/>
    <x v="10"/>
    <n v="22.6793980839482"/>
    <n v="8277.9803006410802"/>
    <n v="29800.729082307898"/>
  </r>
  <r>
    <x v="0"/>
    <x v="0"/>
    <x v="0"/>
    <x v="2"/>
    <x v="3"/>
    <s v="FIN_EL"/>
    <x v="13"/>
    <s v="GHOB_PEAT"/>
    <x v="0"/>
    <x v="11"/>
    <n v="22.6793980839482"/>
    <n v="8277.9803006410802"/>
    <n v="29800.729082307898"/>
  </r>
  <r>
    <x v="0"/>
    <x v="0"/>
    <x v="0"/>
    <x v="2"/>
    <x v="3"/>
    <s v="FIN_EL"/>
    <x v="13"/>
    <s v="GHOB_PEAT"/>
    <x v="0"/>
    <x v="12"/>
    <n v="22.6793980839482"/>
    <n v="8277.9803006410802"/>
    <n v="29800.729082307898"/>
  </r>
  <r>
    <x v="0"/>
    <x v="0"/>
    <x v="0"/>
    <x v="2"/>
    <x v="3"/>
    <s v="FIN_EL"/>
    <x v="13"/>
    <s v="GHOB_PEAT"/>
    <x v="0"/>
    <x v="13"/>
    <n v="22.6793980839482"/>
    <n v="8277.9803006410802"/>
    <n v="29800.729082307898"/>
  </r>
  <r>
    <x v="0"/>
    <x v="0"/>
    <x v="0"/>
    <x v="2"/>
    <x v="3"/>
    <s v="FIN_EL"/>
    <x v="13"/>
    <s v="GHOB_PEAT"/>
    <x v="0"/>
    <x v="14"/>
    <n v="22.6793980839482"/>
    <n v="8277.9803006410802"/>
    <n v="29800.729082307898"/>
  </r>
  <r>
    <x v="0"/>
    <x v="0"/>
    <x v="0"/>
    <x v="2"/>
    <x v="3"/>
    <s v="FIN_EL"/>
    <x v="13"/>
    <s v="GHOB_PEAT"/>
    <x v="0"/>
    <x v="15"/>
    <n v="22.6793980839482"/>
    <n v="8277.9803006410802"/>
    <n v="29800.729082307898"/>
  </r>
  <r>
    <x v="0"/>
    <x v="0"/>
    <x v="0"/>
    <x v="2"/>
    <x v="3"/>
    <s v="FIN_EL"/>
    <x v="13"/>
    <s v="GHOB_PEAT"/>
    <x v="0"/>
    <x v="16"/>
    <n v="22.6793980839482"/>
    <n v="8277.9803006410802"/>
    <n v="29800.729082307898"/>
  </r>
  <r>
    <x v="0"/>
    <x v="0"/>
    <x v="0"/>
    <x v="2"/>
    <x v="3"/>
    <s v="FIN_EL"/>
    <x v="13"/>
    <s v="GHOB_PEAT"/>
    <x v="0"/>
    <x v="17"/>
    <n v="22.6793980839482"/>
    <n v="8277.9803006410802"/>
    <n v="29800.729082307898"/>
  </r>
  <r>
    <x v="0"/>
    <x v="0"/>
    <x v="0"/>
    <x v="2"/>
    <x v="3"/>
    <s v="FIN_EL"/>
    <x v="13"/>
    <s v="GHOB_PEAT"/>
    <x v="0"/>
    <x v="19"/>
    <n v="22.6793980839482"/>
    <n v="8277.9803006410802"/>
    <n v="29800.729082307898"/>
  </r>
  <r>
    <x v="0"/>
    <x v="0"/>
    <x v="0"/>
    <x v="2"/>
    <x v="3"/>
    <s v="FIN_EL"/>
    <x v="13"/>
    <s v="GHOB_PEAT"/>
    <x v="0"/>
    <x v="20"/>
    <n v="22.6793980839482"/>
    <n v="8277.9803006410802"/>
    <n v="29800.729082307898"/>
  </r>
  <r>
    <x v="0"/>
    <x v="0"/>
    <x v="0"/>
    <x v="2"/>
    <x v="3"/>
    <s v="FIN_EL"/>
    <x v="13"/>
    <s v="GHOB_PEAT"/>
    <x v="0"/>
    <x v="21"/>
    <n v="22.6793980839482"/>
    <n v="8277.9803006410802"/>
    <n v="29800.729082307898"/>
  </r>
  <r>
    <x v="0"/>
    <x v="0"/>
    <x v="0"/>
    <x v="2"/>
    <x v="3"/>
    <s v="FIN_EL"/>
    <x v="13"/>
    <s v="GHOB_PEAT"/>
    <x v="0"/>
    <x v="22"/>
    <n v="22.6793980839482"/>
    <n v="8277.9803006410802"/>
    <n v="29800.729082307898"/>
  </r>
  <r>
    <x v="0"/>
    <x v="0"/>
    <x v="0"/>
    <x v="2"/>
    <x v="3"/>
    <s v="FIN_EL"/>
    <x v="13"/>
    <s v="GHOB_PEAT"/>
    <x v="0"/>
    <x v="23"/>
    <n v="22.6793980839482"/>
    <n v="8277.9803006410802"/>
    <n v="29800.729082307898"/>
  </r>
  <r>
    <x v="0"/>
    <x v="0"/>
    <x v="0"/>
    <x v="2"/>
    <x v="3"/>
    <s v="FIN_EL"/>
    <x v="5"/>
    <s v="GHOB_WOODCHIPS"/>
    <x v="0"/>
    <x v="5"/>
    <n v="33.3333333333333"/>
    <n v="12166.666666666701"/>
    <n v="43800"/>
  </r>
  <r>
    <x v="0"/>
    <x v="0"/>
    <x v="0"/>
    <x v="2"/>
    <x v="3"/>
    <s v="FIN_EL"/>
    <x v="5"/>
    <s v="GHOB_WOODCHIPS"/>
    <x v="0"/>
    <x v="7"/>
    <n v="5.10668256351134"/>
    <n v="1863.93913568164"/>
    <n v="6710.1808884538996"/>
  </r>
  <r>
    <x v="0"/>
    <x v="0"/>
    <x v="0"/>
    <x v="2"/>
    <x v="3"/>
    <s v="FIN_EL"/>
    <x v="5"/>
    <s v="GHOB_WOODCHIPS"/>
    <x v="0"/>
    <x v="8"/>
    <n v="33.3333333333333"/>
    <n v="12166.666666666701"/>
    <n v="43800"/>
  </r>
  <r>
    <x v="0"/>
    <x v="0"/>
    <x v="0"/>
    <x v="2"/>
    <x v="3"/>
    <s v="FIN_EL"/>
    <x v="5"/>
    <s v="GHOB_WOODCHIPS"/>
    <x v="0"/>
    <x v="9"/>
    <n v="33.3333333333333"/>
    <n v="12166.666666666701"/>
    <n v="43800"/>
  </r>
  <r>
    <x v="0"/>
    <x v="0"/>
    <x v="0"/>
    <x v="2"/>
    <x v="3"/>
    <s v="FIN_EL"/>
    <x v="5"/>
    <s v="GHOB_WOODCHIPS"/>
    <x v="0"/>
    <x v="10"/>
    <n v="33.3333333333333"/>
    <n v="12166.666666666701"/>
    <n v="43800"/>
  </r>
  <r>
    <x v="0"/>
    <x v="0"/>
    <x v="0"/>
    <x v="2"/>
    <x v="3"/>
    <s v="FIN_EL"/>
    <x v="5"/>
    <s v="GHOB_WOODCHIPS"/>
    <x v="0"/>
    <x v="11"/>
    <n v="33.3333333333333"/>
    <n v="12166.666666666701"/>
    <n v="43800"/>
  </r>
  <r>
    <x v="0"/>
    <x v="0"/>
    <x v="0"/>
    <x v="2"/>
    <x v="3"/>
    <s v="FIN_EL"/>
    <x v="5"/>
    <s v="GHOB_WOODCHIPS"/>
    <x v="0"/>
    <x v="12"/>
    <n v="33.3333333333333"/>
    <n v="12166.666666666701"/>
    <n v="43800"/>
  </r>
  <r>
    <x v="0"/>
    <x v="0"/>
    <x v="0"/>
    <x v="2"/>
    <x v="3"/>
    <s v="FIN_EL"/>
    <x v="5"/>
    <s v="GHOB_WOODCHIPS"/>
    <x v="0"/>
    <x v="13"/>
    <n v="33.3333333333333"/>
    <n v="12166.666666666701"/>
    <n v="43800"/>
  </r>
  <r>
    <x v="0"/>
    <x v="0"/>
    <x v="0"/>
    <x v="2"/>
    <x v="3"/>
    <s v="FIN_EL"/>
    <x v="5"/>
    <s v="GHOB_WOODCHIPS"/>
    <x v="0"/>
    <x v="14"/>
    <n v="33.3333333333333"/>
    <n v="12166.666666666701"/>
    <n v="43800"/>
  </r>
  <r>
    <x v="0"/>
    <x v="0"/>
    <x v="0"/>
    <x v="2"/>
    <x v="3"/>
    <s v="FIN_EL"/>
    <x v="5"/>
    <s v="GHOB_WOODCHIPS"/>
    <x v="0"/>
    <x v="15"/>
    <n v="33.3333333333333"/>
    <n v="12166.666666666701"/>
    <n v="43800"/>
  </r>
  <r>
    <x v="0"/>
    <x v="0"/>
    <x v="0"/>
    <x v="2"/>
    <x v="3"/>
    <s v="FIN_EL"/>
    <x v="5"/>
    <s v="GHOB_WOODCHIPS"/>
    <x v="0"/>
    <x v="16"/>
    <n v="33.3333333333333"/>
    <n v="12166.666666666701"/>
    <n v="43800"/>
  </r>
  <r>
    <x v="0"/>
    <x v="0"/>
    <x v="0"/>
    <x v="2"/>
    <x v="3"/>
    <s v="FIN_EL"/>
    <x v="5"/>
    <s v="GHOB_WOODCHIPS"/>
    <x v="0"/>
    <x v="17"/>
    <n v="33.3333333333333"/>
    <n v="12166.666666666701"/>
    <n v="43800"/>
  </r>
  <r>
    <x v="0"/>
    <x v="0"/>
    <x v="0"/>
    <x v="2"/>
    <x v="3"/>
    <s v="FIN_EL"/>
    <x v="5"/>
    <s v="GHOB_WOODCHIPS"/>
    <x v="0"/>
    <x v="19"/>
    <n v="33.3333333333333"/>
    <n v="12166.666666666701"/>
    <n v="43800"/>
  </r>
  <r>
    <x v="0"/>
    <x v="0"/>
    <x v="0"/>
    <x v="2"/>
    <x v="3"/>
    <s v="FIN_EL"/>
    <x v="5"/>
    <s v="GHOB_WOODCHIPS"/>
    <x v="0"/>
    <x v="20"/>
    <n v="27.854995648516201"/>
    <n v="10167.073411708399"/>
    <n v="36601.464282150198"/>
  </r>
  <r>
    <x v="0"/>
    <x v="0"/>
    <x v="0"/>
    <x v="2"/>
    <x v="3"/>
    <s v="FIN_EL"/>
    <x v="5"/>
    <s v="GHOB_WOODCHIPS"/>
    <x v="0"/>
    <x v="21"/>
    <n v="21.437456289491202"/>
    <n v="7824.6715456642696"/>
    <n v="28168.8175643914"/>
  </r>
  <r>
    <x v="0"/>
    <x v="0"/>
    <x v="0"/>
    <x v="2"/>
    <x v="3"/>
    <s v="FIN_EL"/>
    <x v="9"/>
    <s v="GBPR_WOODWASTE_FINEL"/>
    <x v="0"/>
    <x v="0"/>
    <n v="352.27272727272702"/>
    <n v="128579.545454545"/>
    <n v="462886.363636364"/>
  </r>
  <r>
    <x v="0"/>
    <x v="0"/>
    <x v="0"/>
    <x v="2"/>
    <x v="3"/>
    <s v="FIN_EL"/>
    <x v="9"/>
    <s v="GBPR_WOODWASTE_FINEL"/>
    <x v="0"/>
    <x v="1"/>
    <n v="352.27272727272702"/>
    <n v="128579.545454545"/>
    <n v="462886.363636364"/>
  </r>
  <r>
    <x v="0"/>
    <x v="0"/>
    <x v="0"/>
    <x v="2"/>
    <x v="3"/>
    <s v="FIN_EL"/>
    <x v="9"/>
    <s v="GBPR_WOODWASTE_FINEL"/>
    <x v="0"/>
    <x v="2"/>
    <n v="352.27272727272702"/>
    <n v="128579.545454545"/>
    <n v="462886.363636364"/>
  </r>
  <r>
    <x v="0"/>
    <x v="0"/>
    <x v="0"/>
    <x v="2"/>
    <x v="3"/>
    <s v="FIN_EL"/>
    <x v="9"/>
    <s v="GBPR_WOODWASTE_FINEL"/>
    <x v="0"/>
    <x v="3"/>
    <n v="352.27272727272702"/>
    <n v="128579.545454545"/>
    <n v="462886.363636364"/>
  </r>
  <r>
    <x v="0"/>
    <x v="0"/>
    <x v="0"/>
    <x v="2"/>
    <x v="3"/>
    <s v="FIN_EL"/>
    <x v="9"/>
    <s v="GBPR_WOODWASTE_FINEL"/>
    <x v="0"/>
    <x v="18"/>
    <n v="352.27272727272702"/>
    <n v="128579.545454545"/>
    <n v="462886.363636364"/>
  </r>
  <r>
    <x v="0"/>
    <x v="0"/>
    <x v="0"/>
    <x v="2"/>
    <x v="3"/>
    <s v="FIN_EL"/>
    <x v="9"/>
    <s v="GBPR_WOODWASTE_FINEL"/>
    <x v="0"/>
    <x v="4"/>
    <n v="352.27272727272702"/>
    <n v="128579.545454545"/>
    <n v="462886.363636364"/>
  </r>
  <r>
    <x v="0"/>
    <x v="0"/>
    <x v="0"/>
    <x v="2"/>
    <x v="3"/>
    <s v="FIN_EL"/>
    <x v="9"/>
    <s v="GBPR_WOODWASTE_FINEL"/>
    <x v="0"/>
    <x v="5"/>
    <n v="352.27272727272702"/>
    <n v="128579.545454545"/>
    <n v="462886.363636364"/>
  </r>
  <r>
    <x v="0"/>
    <x v="0"/>
    <x v="0"/>
    <x v="2"/>
    <x v="3"/>
    <s v="FIN_EL"/>
    <x v="9"/>
    <s v="GBPR_WOODWASTE_FINEL"/>
    <x v="0"/>
    <x v="6"/>
    <n v="352.27272727272702"/>
    <n v="128579.545454545"/>
    <n v="462886.363636364"/>
  </r>
  <r>
    <x v="0"/>
    <x v="0"/>
    <x v="0"/>
    <x v="2"/>
    <x v="3"/>
    <s v="FIN_EL"/>
    <x v="9"/>
    <s v="GBPR_WOODWASTE_FINEL"/>
    <x v="0"/>
    <x v="7"/>
    <n v="352.27272727272702"/>
    <n v="128579.545454545"/>
    <n v="462886.363636364"/>
  </r>
  <r>
    <x v="0"/>
    <x v="0"/>
    <x v="0"/>
    <x v="2"/>
    <x v="3"/>
    <s v="FIN_EL"/>
    <x v="9"/>
    <s v="GBPR_WOODWASTE_FINEL"/>
    <x v="0"/>
    <x v="8"/>
    <n v="352.27272727272702"/>
    <n v="128579.545454545"/>
    <n v="462886.363636364"/>
  </r>
  <r>
    <x v="0"/>
    <x v="0"/>
    <x v="0"/>
    <x v="2"/>
    <x v="3"/>
    <s v="FIN_EL"/>
    <x v="9"/>
    <s v="GBPR_WOODWASTE_FINEL"/>
    <x v="0"/>
    <x v="9"/>
    <n v="352.27272727272702"/>
    <n v="128579.545454545"/>
    <n v="462886.363636364"/>
  </r>
  <r>
    <x v="0"/>
    <x v="0"/>
    <x v="0"/>
    <x v="2"/>
    <x v="3"/>
    <s v="FIN_EL"/>
    <x v="9"/>
    <s v="GBPR_WOODWASTE_FINEL"/>
    <x v="0"/>
    <x v="10"/>
    <n v="352.27272727272702"/>
    <n v="128579.545454545"/>
    <n v="462886.363636364"/>
  </r>
  <r>
    <x v="0"/>
    <x v="0"/>
    <x v="0"/>
    <x v="2"/>
    <x v="3"/>
    <s v="FIN_EL"/>
    <x v="9"/>
    <s v="GBPR_WOODWASTE_FINEL"/>
    <x v="0"/>
    <x v="11"/>
    <n v="352.27272727272702"/>
    <n v="128579.545454545"/>
    <n v="462886.363636364"/>
  </r>
  <r>
    <x v="0"/>
    <x v="0"/>
    <x v="0"/>
    <x v="2"/>
    <x v="3"/>
    <s v="FIN_EL"/>
    <x v="9"/>
    <s v="GBPR_WOODWASTE_FINEL"/>
    <x v="0"/>
    <x v="12"/>
    <n v="352.27272727272702"/>
    <n v="128579.545454545"/>
    <n v="462886.363636364"/>
  </r>
  <r>
    <x v="0"/>
    <x v="0"/>
    <x v="0"/>
    <x v="2"/>
    <x v="3"/>
    <s v="FIN_EL"/>
    <x v="9"/>
    <s v="GBPR_WOODWASTE_FINEL"/>
    <x v="0"/>
    <x v="13"/>
    <n v="352.27272727272702"/>
    <n v="128579.545454545"/>
    <n v="462886.363636364"/>
  </r>
  <r>
    <x v="0"/>
    <x v="0"/>
    <x v="0"/>
    <x v="2"/>
    <x v="3"/>
    <s v="FIN_EL"/>
    <x v="9"/>
    <s v="GBPR_WOODWASTE_FINEL"/>
    <x v="0"/>
    <x v="14"/>
    <n v="352.27272727272702"/>
    <n v="128579.545454545"/>
    <n v="462886.363636364"/>
  </r>
  <r>
    <x v="0"/>
    <x v="0"/>
    <x v="0"/>
    <x v="2"/>
    <x v="3"/>
    <s v="FIN_EL"/>
    <x v="9"/>
    <s v="GBPR_WOODWASTE_FINEL"/>
    <x v="0"/>
    <x v="15"/>
    <n v="352.27272727272702"/>
    <n v="128579.545454545"/>
    <n v="462886.363636364"/>
  </r>
  <r>
    <x v="0"/>
    <x v="0"/>
    <x v="0"/>
    <x v="2"/>
    <x v="3"/>
    <s v="FIN_EL"/>
    <x v="9"/>
    <s v="GBPR_WOODWASTE_FINEL"/>
    <x v="0"/>
    <x v="16"/>
    <n v="352.27272727272702"/>
    <n v="128579.545454545"/>
    <n v="462886.363636364"/>
  </r>
  <r>
    <x v="0"/>
    <x v="0"/>
    <x v="0"/>
    <x v="2"/>
    <x v="3"/>
    <s v="FIN_EL"/>
    <x v="9"/>
    <s v="GBPR_WOODWASTE_FINEL"/>
    <x v="0"/>
    <x v="17"/>
    <n v="352.27272727272702"/>
    <n v="128579.545454545"/>
    <n v="462886.363636364"/>
  </r>
  <r>
    <x v="0"/>
    <x v="0"/>
    <x v="0"/>
    <x v="2"/>
    <x v="3"/>
    <s v="FIN_EL"/>
    <x v="9"/>
    <s v="GBPR_WOODWASTE_FINEL"/>
    <x v="0"/>
    <x v="19"/>
    <n v="352.27272727272702"/>
    <n v="128579.545454545"/>
    <n v="462886.363636364"/>
  </r>
  <r>
    <x v="0"/>
    <x v="0"/>
    <x v="0"/>
    <x v="2"/>
    <x v="3"/>
    <s v="FIN_EL"/>
    <x v="9"/>
    <s v="GBPR_WOODWASTE_FINEL"/>
    <x v="0"/>
    <x v="20"/>
    <n v="352.27272727272702"/>
    <n v="128579.545454545"/>
    <n v="462886.363636364"/>
  </r>
  <r>
    <x v="0"/>
    <x v="0"/>
    <x v="0"/>
    <x v="2"/>
    <x v="3"/>
    <s v="FIN_EL"/>
    <x v="9"/>
    <s v="GBPR_WOODWASTE_FINEL"/>
    <x v="0"/>
    <x v="21"/>
    <n v="352.27272727272702"/>
    <n v="128579.545454545"/>
    <n v="462886.363636364"/>
  </r>
  <r>
    <x v="0"/>
    <x v="0"/>
    <x v="0"/>
    <x v="2"/>
    <x v="3"/>
    <s v="FIN_EL"/>
    <x v="9"/>
    <s v="GBPR_WOODWASTE_FINEL"/>
    <x v="0"/>
    <x v="22"/>
    <n v="352.27272727272702"/>
    <n v="128579.545454545"/>
    <n v="462886.363636364"/>
  </r>
  <r>
    <x v="0"/>
    <x v="0"/>
    <x v="0"/>
    <x v="2"/>
    <x v="3"/>
    <s v="FIN_EL"/>
    <x v="9"/>
    <s v="GBPR_WOODWASTE_FINEL"/>
    <x v="0"/>
    <x v="23"/>
    <n v="352.27272727272702"/>
    <n v="128579.545454545"/>
    <n v="462886.363636364"/>
  </r>
  <r>
    <x v="0"/>
    <x v="0"/>
    <x v="0"/>
    <x v="2"/>
    <x v="3"/>
    <s v="FIN_ESPOO"/>
    <x v="0"/>
    <s v="GBPR_COAL_SUOMENOJA"/>
    <x v="0"/>
    <x v="0"/>
    <n v="248.31826025973899"/>
    <n v="90636.1649948048"/>
    <n v="326290.19398129702"/>
  </r>
  <r>
    <x v="0"/>
    <x v="0"/>
    <x v="0"/>
    <x v="2"/>
    <x v="3"/>
    <s v="FIN_ESPOO"/>
    <x v="0"/>
    <s v="GBPR_COAL_SUOMENOJA"/>
    <x v="0"/>
    <x v="1"/>
    <n v="248.31826025973899"/>
    <n v="90636.1649948048"/>
    <n v="326290.19398129702"/>
  </r>
  <r>
    <x v="0"/>
    <x v="0"/>
    <x v="0"/>
    <x v="2"/>
    <x v="3"/>
    <s v="FIN_ESPOO"/>
    <x v="0"/>
    <s v="GBPR_COAL_SUOMENOJA"/>
    <x v="0"/>
    <x v="2"/>
    <n v="248.31826025973899"/>
    <n v="90636.1649948048"/>
    <n v="326290.19398129702"/>
  </r>
  <r>
    <x v="0"/>
    <x v="0"/>
    <x v="0"/>
    <x v="2"/>
    <x v="3"/>
    <s v="FIN_ESPOO"/>
    <x v="0"/>
    <s v="GBPR_COAL_SUOMENOJA"/>
    <x v="0"/>
    <x v="3"/>
    <n v="248.31826025973899"/>
    <n v="90636.1649948048"/>
    <n v="326290.19398129702"/>
  </r>
  <r>
    <x v="0"/>
    <x v="0"/>
    <x v="0"/>
    <x v="2"/>
    <x v="3"/>
    <s v="FIN_ESPOO"/>
    <x v="0"/>
    <s v="GBPR_COAL_SUOMENOJA"/>
    <x v="0"/>
    <x v="18"/>
    <n v="248.31826025973899"/>
    <n v="90636.1649948048"/>
    <n v="326290.19398129702"/>
  </r>
  <r>
    <x v="0"/>
    <x v="0"/>
    <x v="0"/>
    <x v="2"/>
    <x v="3"/>
    <s v="FIN_ESPOO"/>
    <x v="0"/>
    <s v="GBPR_COAL_SUOMENOJA"/>
    <x v="0"/>
    <x v="4"/>
    <n v="248.31826025973899"/>
    <n v="90636.1649948048"/>
    <n v="326290.19398129702"/>
  </r>
  <r>
    <x v="0"/>
    <x v="0"/>
    <x v="0"/>
    <x v="2"/>
    <x v="3"/>
    <s v="FIN_ESPOO"/>
    <x v="0"/>
    <s v="GBPR_COAL_SUOMENOJA"/>
    <x v="0"/>
    <x v="5"/>
    <n v="248.31826025973899"/>
    <n v="90636.1649948048"/>
    <n v="326290.19398129702"/>
  </r>
  <r>
    <x v="0"/>
    <x v="0"/>
    <x v="0"/>
    <x v="2"/>
    <x v="3"/>
    <s v="FIN_ESPOO"/>
    <x v="0"/>
    <s v="GBPR_COAL_SUOMENOJA"/>
    <x v="0"/>
    <x v="6"/>
    <n v="248.31826025973899"/>
    <n v="90636.1649948048"/>
    <n v="326290.19398129702"/>
  </r>
  <r>
    <x v="0"/>
    <x v="0"/>
    <x v="0"/>
    <x v="2"/>
    <x v="3"/>
    <s v="FIN_ESPOO"/>
    <x v="0"/>
    <s v="GBPR_COAL_SUOMENOJA"/>
    <x v="0"/>
    <x v="7"/>
    <n v="248.31826025973899"/>
    <n v="90636.1649948048"/>
    <n v="326290.19398129702"/>
  </r>
  <r>
    <x v="0"/>
    <x v="0"/>
    <x v="0"/>
    <x v="2"/>
    <x v="3"/>
    <s v="FIN_ESPOO"/>
    <x v="0"/>
    <s v="GBPR_COAL_SUOMENOJA"/>
    <x v="0"/>
    <x v="8"/>
    <n v="248.31826025973899"/>
    <n v="90636.1649948048"/>
    <n v="326290.19398129702"/>
  </r>
  <r>
    <x v="0"/>
    <x v="0"/>
    <x v="0"/>
    <x v="2"/>
    <x v="3"/>
    <s v="FIN_ESPOO"/>
    <x v="0"/>
    <s v="GBPR_COAL_SUOMENOJA"/>
    <x v="0"/>
    <x v="9"/>
    <n v="248.31826025973899"/>
    <n v="90636.1649948048"/>
    <n v="326290.19398129702"/>
  </r>
  <r>
    <x v="0"/>
    <x v="0"/>
    <x v="0"/>
    <x v="2"/>
    <x v="3"/>
    <s v="FIN_ESPOO"/>
    <x v="0"/>
    <s v="GBPR_COAL_SUOMENOJA"/>
    <x v="0"/>
    <x v="10"/>
    <n v="248.31826025973899"/>
    <n v="90636.1649948048"/>
    <n v="326290.19398129702"/>
  </r>
  <r>
    <x v="0"/>
    <x v="0"/>
    <x v="0"/>
    <x v="2"/>
    <x v="3"/>
    <s v="FIN_ESPOO"/>
    <x v="0"/>
    <s v="GBPR_COAL_SUOMENOJA"/>
    <x v="0"/>
    <x v="11"/>
    <n v="248.31826025973899"/>
    <n v="90636.1649948048"/>
    <n v="326290.19398129702"/>
  </r>
  <r>
    <x v="0"/>
    <x v="0"/>
    <x v="0"/>
    <x v="2"/>
    <x v="3"/>
    <s v="FIN_ESPOO"/>
    <x v="0"/>
    <s v="GBPR_COAL_SUOMENOJA"/>
    <x v="0"/>
    <x v="12"/>
    <n v="248.31826025973899"/>
    <n v="90636.1649948048"/>
    <n v="326290.19398129702"/>
  </r>
  <r>
    <x v="0"/>
    <x v="0"/>
    <x v="0"/>
    <x v="2"/>
    <x v="3"/>
    <s v="FIN_ESPOO"/>
    <x v="0"/>
    <s v="GBPR_COAL_SUOMENOJA"/>
    <x v="0"/>
    <x v="13"/>
    <n v="248.31826025973899"/>
    <n v="90636.1649948048"/>
    <n v="326290.19398129702"/>
  </r>
  <r>
    <x v="0"/>
    <x v="0"/>
    <x v="0"/>
    <x v="2"/>
    <x v="3"/>
    <s v="FIN_ESPOO"/>
    <x v="0"/>
    <s v="GBPR_COAL_SUOMENOJA"/>
    <x v="0"/>
    <x v="14"/>
    <n v="248.31826025973899"/>
    <n v="90636.1649948048"/>
    <n v="326290.19398129702"/>
  </r>
  <r>
    <x v="0"/>
    <x v="0"/>
    <x v="0"/>
    <x v="2"/>
    <x v="3"/>
    <s v="FIN_ESPOO"/>
    <x v="0"/>
    <s v="GBPR_COAL_SUOMENOJA"/>
    <x v="0"/>
    <x v="15"/>
    <n v="248.31826025973899"/>
    <n v="90636.1649948048"/>
    <n v="326290.19398129702"/>
  </r>
  <r>
    <x v="0"/>
    <x v="0"/>
    <x v="0"/>
    <x v="2"/>
    <x v="3"/>
    <s v="FIN_ESPOO"/>
    <x v="0"/>
    <s v="GBPR_COAL_SUOMENOJA"/>
    <x v="0"/>
    <x v="16"/>
    <n v="248.31826025973899"/>
    <n v="90636.1649948048"/>
    <n v="326290.19398129702"/>
  </r>
  <r>
    <x v="0"/>
    <x v="0"/>
    <x v="0"/>
    <x v="2"/>
    <x v="3"/>
    <s v="FIN_ESPOO"/>
    <x v="0"/>
    <s v="GBPR_COAL_SUOMENOJA"/>
    <x v="0"/>
    <x v="17"/>
    <n v="248.31826025973899"/>
    <n v="90636.1649948048"/>
    <n v="326290.19398129702"/>
  </r>
  <r>
    <x v="0"/>
    <x v="0"/>
    <x v="0"/>
    <x v="2"/>
    <x v="3"/>
    <s v="FIN_ESPOO"/>
    <x v="0"/>
    <s v="GBPR_COAL_SUOMENOJA"/>
    <x v="0"/>
    <x v="19"/>
    <n v="248.31826025973899"/>
    <n v="90636.1649948048"/>
    <n v="326290.19398129702"/>
  </r>
  <r>
    <x v="0"/>
    <x v="0"/>
    <x v="0"/>
    <x v="2"/>
    <x v="3"/>
    <s v="FIN_ESPOO"/>
    <x v="0"/>
    <s v="GBPR_COAL_SUOMENOJA"/>
    <x v="0"/>
    <x v="20"/>
    <n v="248.31826025973899"/>
    <n v="90636.1649948048"/>
    <n v="326290.19398129702"/>
  </r>
  <r>
    <x v="0"/>
    <x v="0"/>
    <x v="0"/>
    <x v="2"/>
    <x v="3"/>
    <s v="FIN_ESPOO"/>
    <x v="0"/>
    <s v="GBPR_COAL_SUOMENOJA"/>
    <x v="0"/>
    <x v="21"/>
    <n v="248.31826025973899"/>
    <n v="90636.1649948048"/>
    <n v="326290.19398129702"/>
  </r>
  <r>
    <x v="0"/>
    <x v="0"/>
    <x v="0"/>
    <x v="2"/>
    <x v="3"/>
    <s v="FIN_ESPOO"/>
    <x v="0"/>
    <s v="GBPR_COAL_SUOMENOJA"/>
    <x v="0"/>
    <x v="22"/>
    <n v="248.31826025973899"/>
    <n v="90636.1649948048"/>
    <n v="326290.19398129702"/>
  </r>
  <r>
    <x v="0"/>
    <x v="0"/>
    <x v="0"/>
    <x v="2"/>
    <x v="3"/>
    <s v="FIN_ESPOO"/>
    <x v="0"/>
    <s v="GBPR_COAL_SUOMENOJA"/>
    <x v="0"/>
    <x v="23"/>
    <n v="248.31826025973899"/>
    <n v="90636.1649948048"/>
    <n v="326290.19398129702"/>
  </r>
  <r>
    <x v="0"/>
    <x v="0"/>
    <x v="0"/>
    <x v="2"/>
    <x v="3"/>
    <s v="FIN_ESPOO"/>
    <x v="3"/>
    <s v="GBPR_NATGAS_SUOMENOJA"/>
    <x v="0"/>
    <x v="6"/>
    <n v="60.364623901524503"/>
    <n v="22033.0877240564"/>
    <n v="79319.115806603106"/>
  </r>
  <r>
    <x v="0"/>
    <x v="0"/>
    <x v="0"/>
    <x v="2"/>
    <x v="3"/>
    <s v="FIN_ESPOO"/>
    <x v="3"/>
    <s v="GBPR_NATGAS_SUOMENOJA"/>
    <x v="0"/>
    <x v="7"/>
    <n v="56.303740443329701"/>
    <n v="20550.865261815299"/>
    <n v="73983.114942535205"/>
  </r>
  <r>
    <x v="0"/>
    <x v="0"/>
    <x v="0"/>
    <x v="2"/>
    <x v="3"/>
    <s v="FIN_ESPOO"/>
    <x v="3"/>
    <s v="GBPR_NATGAS_SUOMENOJA2"/>
    <x v="0"/>
    <x v="4"/>
    <n v="380.81158252508101"/>
    <n v="138996.22762165501"/>
    <n v="500386.419437957"/>
  </r>
  <r>
    <x v="0"/>
    <x v="0"/>
    <x v="0"/>
    <x v="2"/>
    <x v="3"/>
    <s v="FIN_ESPOO"/>
    <x v="3"/>
    <s v="GBPR_NATGAS_SUOMENOJA2"/>
    <x v="0"/>
    <x v="5"/>
    <n v="509.09090909090997"/>
    <n v="185818.181818182"/>
    <n v="668945.45454545598"/>
  </r>
  <r>
    <x v="0"/>
    <x v="0"/>
    <x v="0"/>
    <x v="2"/>
    <x v="3"/>
    <s v="FIN_ESPOO"/>
    <x v="3"/>
    <s v="GBPR_NATGAS_SUOMENOJA2"/>
    <x v="0"/>
    <x v="6"/>
    <n v="509.09090909090997"/>
    <n v="185818.181818182"/>
    <n v="668945.45454545598"/>
  </r>
  <r>
    <x v="0"/>
    <x v="0"/>
    <x v="0"/>
    <x v="2"/>
    <x v="3"/>
    <s v="FIN_ESPOO"/>
    <x v="3"/>
    <s v="GBPR_NATGAS_SUOMENOJA2"/>
    <x v="0"/>
    <x v="7"/>
    <n v="509.09090909090997"/>
    <n v="185818.181818182"/>
    <n v="668945.45454545598"/>
  </r>
  <r>
    <x v="0"/>
    <x v="0"/>
    <x v="0"/>
    <x v="2"/>
    <x v="3"/>
    <s v="FIN_ESPOO"/>
    <x v="3"/>
    <s v="GBPR_NATGAS_SUOMENOJA2"/>
    <x v="0"/>
    <x v="8"/>
    <n v="509.09090909090997"/>
    <n v="185818.181818182"/>
    <n v="668945.45454545598"/>
  </r>
  <r>
    <x v="0"/>
    <x v="0"/>
    <x v="0"/>
    <x v="2"/>
    <x v="3"/>
    <s v="FIN_ESPOO"/>
    <x v="3"/>
    <s v="GBPR_NATGAS_SUOMENOJA2"/>
    <x v="0"/>
    <x v="9"/>
    <n v="509.09090909090997"/>
    <n v="185818.181818182"/>
    <n v="668945.45454545598"/>
  </r>
  <r>
    <x v="0"/>
    <x v="0"/>
    <x v="0"/>
    <x v="2"/>
    <x v="3"/>
    <s v="FIN_ESPOO"/>
    <x v="3"/>
    <s v="GBPR_NATGAS_SUOMENOJA2"/>
    <x v="0"/>
    <x v="10"/>
    <n v="509.09090909090997"/>
    <n v="185818.181818182"/>
    <n v="668945.45454545598"/>
  </r>
  <r>
    <x v="0"/>
    <x v="0"/>
    <x v="0"/>
    <x v="2"/>
    <x v="3"/>
    <s v="FIN_ESPOO"/>
    <x v="3"/>
    <s v="GBPR_NATGAS_SUOMENOJA2"/>
    <x v="0"/>
    <x v="11"/>
    <n v="509.09090909090997"/>
    <n v="185818.181818182"/>
    <n v="668945.45454545598"/>
  </r>
  <r>
    <x v="0"/>
    <x v="0"/>
    <x v="0"/>
    <x v="2"/>
    <x v="3"/>
    <s v="FIN_ESPOO"/>
    <x v="3"/>
    <s v="GBPR_NATGAS_SUOMENOJA2"/>
    <x v="0"/>
    <x v="12"/>
    <n v="509.09090909090997"/>
    <n v="185818.181818182"/>
    <n v="668945.45454545598"/>
  </r>
  <r>
    <x v="0"/>
    <x v="0"/>
    <x v="0"/>
    <x v="2"/>
    <x v="3"/>
    <s v="FIN_ESPOO"/>
    <x v="3"/>
    <s v="GBPR_NATGAS_SUOMENOJA2"/>
    <x v="0"/>
    <x v="13"/>
    <n v="509.09090909090997"/>
    <n v="185818.181818182"/>
    <n v="668945.45454545598"/>
  </r>
  <r>
    <x v="0"/>
    <x v="0"/>
    <x v="0"/>
    <x v="2"/>
    <x v="3"/>
    <s v="FIN_ESPOO"/>
    <x v="3"/>
    <s v="GBPR_NATGAS_SUOMENOJA2"/>
    <x v="0"/>
    <x v="14"/>
    <n v="509.09090909090997"/>
    <n v="185818.181818182"/>
    <n v="668945.45454545598"/>
  </r>
  <r>
    <x v="0"/>
    <x v="0"/>
    <x v="0"/>
    <x v="2"/>
    <x v="3"/>
    <s v="FIN_ESPOO"/>
    <x v="3"/>
    <s v="GBPR_NATGAS_SUOMENOJA2"/>
    <x v="0"/>
    <x v="15"/>
    <n v="509.09090909090997"/>
    <n v="185818.181818182"/>
    <n v="668945.45454545598"/>
  </r>
  <r>
    <x v="0"/>
    <x v="0"/>
    <x v="0"/>
    <x v="2"/>
    <x v="3"/>
    <s v="FIN_ESPOO"/>
    <x v="3"/>
    <s v="GBPR_NATGAS_SUOMENOJA2"/>
    <x v="0"/>
    <x v="16"/>
    <n v="492.851494768284"/>
    <n v="179890.79559042299"/>
    <n v="647606.864125525"/>
  </r>
  <r>
    <x v="0"/>
    <x v="0"/>
    <x v="0"/>
    <x v="2"/>
    <x v="3"/>
    <s v="FIN_ESPOO"/>
    <x v="3"/>
    <s v="GBPR_NATGAS_SUOMENOJA2"/>
    <x v="0"/>
    <x v="17"/>
    <n v="483.852554290299"/>
    <n v="176606.18231595901"/>
    <n v="635782.25633745303"/>
  </r>
  <r>
    <x v="0"/>
    <x v="0"/>
    <x v="0"/>
    <x v="2"/>
    <x v="3"/>
    <s v="FIN_ESPOO"/>
    <x v="3"/>
    <s v="GBPR_NATGAS_SUOMENOJA2"/>
    <x v="0"/>
    <x v="19"/>
    <n v="471.37825679069402"/>
    <n v="172053.06372860301"/>
    <n v="619391.029422972"/>
  </r>
  <r>
    <x v="0"/>
    <x v="0"/>
    <x v="0"/>
    <x v="2"/>
    <x v="3"/>
    <s v="FIN_ESPOO"/>
    <x v="3"/>
    <s v="GBPR_NATGAS_SUOMENOJA2"/>
    <x v="0"/>
    <x v="20"/>
    <n v="408.192642416198"/>
    <n v="148990.31448191201"/>
    <n v="536365.13213488401"/>
  </r>
  <r>
    <x v="0"/>
    <x v="0"/>
    <x v="0"/>
    <x v="2"/>
    <x v="3"/>
    <s v="FIN_ESPOO"/>
    <x v="3"/>
    <s v="GBPR_NATGAS_SUOMENOJA2"/>
    <x v="0"/>
    <x v="21"/>
    <n v="387.14191175698801"/>
    <n v="141306.79779130101"/>
    <n v="508704.47204868298"/>
  </r>
  <r>
    <x v="0"/>
    <x v="0"/>
    <x v="0"/>
    <x v="2"/>
    <x v="3"/>
    <s v="FIN_ESPOO"/>
    <x v="3"/>
    <s v="GBPR_NATGAS_SUOMENOJA2"/>
    <x v="0"/>
    <x v="22"/>
    <n v="151.16499840473901"/>
    <n v="55175.2244177299"/>
    <n v="198630.80790382801"/>
  </r>
  <r>
    <x v="0"/>
    <x v="0"/>
    <x v="0"/>
    <x v="2"/>
    <x v="3"/>
    <s v="FIN_ESPOO"/>
    <x v="3"/>
    <s v="GHOB_NATGAS"/>
    <x v="0"/>
    <x v="0"/>
    <n v="158.165426434392"/>
    <n v="57730.380648553197"/>
    <n v="207829.37033479201"/>
  </r>
  <r>
    <x v="0"/>
    <x v="0"/>
    <x v="0"/>
    <x v="2"/>
    <x v="3"/>
    <s v="FIN_ESPOO"/>
    <x v="3"/>
    <s v="GHOB_NATGAS"/>
    <x v="0"/>
    <x v="1"/>
    <n v="153.584986721761"/>
    <n v="56058.520153442703"/>
    <n v="201810.67255239401"/>
  </r>
  <r>
    <x v="0"/>
    <x v="0"/>
    <x v="0"/>
    <x v="2"/>
    <x v="3"/>
    <s v="FIN_ESPOO"/>
    <x v="3"/>
    <s v="GHOB_NATGAS"/>
    <x v="0"/>
    <x v="2"/>
    <n v="153.934873399098"/>
    <n v="56186.228790670903"/>
    <n v="202270.423646415"/>
  </r>
  <r>
    <x v="0"/>
    <x v="0"/>
    <x v="0"/>
    <x v="2"/>
    <x v="3"/>
    <s v="FIN_ESPOO"/>
    <x v="3"/>
    <s v="GHOB_NATGAS"/>
    <x v="0"/>
    <x v="3"/>
    <n v="158.09862752362"/>
    <n v="57705.9990461212"/>
    <n v="207741.59656603599"/>
  </r>
  <r>
    <x v="0"/>
    <x v="0"/>
    <x v="0"/>
    <x v="2"/>
    <x v="3"/>
    <s v="FIN_ESPOO"/>
    <x v="3"/>
    <s v="GHOB_NATGAS"/>
    <x v="0"/>
    <x v="18"/>
    <n v="168.59975527062301"/>
    <n v="61538.910673777398"/>
    <n v="221540.078425599"/>
  </r>
  <r>
    <x v="0"/>
    <x v="0"/>
    <x v="0"/>
    <x v="2"/>
    <x v="3"/>
    <s v="FIN_ESPOO"/>
    <x v="3"/>
    <s v="GHOB_NATGAS"/>
    <x v="0"/>
    <x v="4"/>
    <n v="7.5123023574743604"/>
    <n v="2741.9903604781398"/>
    <n v="9871.1652977213107"/>
  </r>
  <r>
    <x v="0"/>
    <x v="0"/>
    <x v="0"/>
    <x v="2"/>
    <x v="3"/>
    <s v="FIN_ESPOO"/>
    <x v="3"/>
    <s v="GHOB_NATGAS"/>
    <x v="0"/>
    <x v="5"/>
    <n v="6.5016311166538099"/>
    <n v="2373.0953575786398"/>
    <n v="8543.1432872830992"/>
  </r>
  <r>
    <x v="0"/>
    <x v="0"/>
    <x v="0"/>
    <x v="2"/>
    <x v="3"/>
    <s v="FIN_ESPOO"/>
    <x v="3"/>
    <s v="GHOB_NATGAS"/>
    <x v="0"/>
    <x v="8"/>
    <n v="25.034079088521199"/>
    <n v="9137.4388673102294"/>
    <n v="32894.779922316797"/>
  </r>
  <r>
    <x v="0"/>
    <x v="0"/>
    <x v="0"/>
    <x v="2"/>
    <x v="3"/>
    <s v="FIN_ESPOO"/>
    <x v="3"/>
    <s v="GHOB_NATGAS"/>
    <x v="0"/>
    <x v="9"/>
    <n v="10.5006516805723"/>
    <n v="3832.7378634089"/>
    <n v="13797.856308271999"/>
  </r>
  <r>
    <x v="0"/>
    <x v="0"/>
    <x v="0"/>
    <x v="2"/>
    <x v="3"/>
    <s v="FIN_ESPOO"/>
    <x v="3"/>
    <s v="GHOB_NATGAS"/>
    <x v="0"/>
    <x v="22"/>
    <n v="101.38903360236399"/>
    <n v="37006.997264862999"/>
    <n v="133225.19015350699"/>
  </r>
  <r>
    <x v="0"/>
    <x v="0"/>
    <x v="0"/>
    <x v="2"/>
    <x v="3"/>
    <s v="FIN_ESPOO"/>
    <x v="3"/>
    <s v="GHOB_NATGAS"/>
    <x v="0"/>
    <x v="23"/>
    <n v="158.14151180502799"/>
    <n v="57721.651808835297"/>
    <n v="207797.94651180701"/>
  </r>
  <r>
    <x v="0"/>
    <x v="0"/>
    <x v="0"/>
    <x v="2"/>
    <x v="3"/>
    <s v="FIN_ESPOO"/>
    <x v="14"/>
    <s v="GHOB_NATGAS_EXETS"/>
    <x v="0"/>
    <x v="0"/>
    <n v="23.529411764705898"/>
    <n v="8588.2352941176505"/>
    <n v="30917.647058823499"/>
  </r>
  <r>
    <x v="0"/>
    <x v="0"/>
    <x v="0"/>
    <x v="2"/>
    <x v="3"/>
    <s v="FIN_ESPOO"/>
    <x v="14"/>
    <s v="GHOB_NATGAS_EXETS"/>
    <x v="0"/>
    <x v="1"/>
    <n v="23.529411764705898"/>
    <n v="8588.2352941176505"/>
    <n v="30917.647058823499"/>
  </r>
  <r>
    <x v="0"/>
    <x v="0"/>
    <x v="0"/>
    <x v="2"/>
    <x v="3"/>
    <s v="FIN_ESPOO"/>
    <x v="14"/>
    <s v="GHOB_NATGAS_EXETS"/>
    <x v="0"/>
    <x v="2"/>
    <n v="23.529411764705898"/>
    <n v="8588.2352941176505"/>
    <n v="30917.647058823499"/>
  </r>
  <r>
    <x v="0"/>
    <x v="0"/>
    <x v="0"/>
    <x v="2"/>
    <x v="3"/>
    <s v="FIN_ESPOO"/>
    <x v="14"/>
    <s v="GHOB_NATGAS_EXETS"/>
    <x v="0"/>
    <x v="3"/>
    <n v="23.529411764705898"/>
    <n v="8588.2352941176505"/>
    <n v="30917.647058823499"/>
  </r>
  <r>
    <x v="0"/>
    <x v="0"/>
    <x v="0"/>
    <x v="2"/>
    <x v="3"/>
    <s v="FIN_ESPOO"/>
    <x v="14"/>
    <s v="GHOB_NATGAS_EXETS"/>
    <x v="0"/>
    <x v="18"/>
    <n v="23.529411764705898"/>
    <n v="8588.2352941176505"/>
    <n v="30917.647058823499"/>
  </r>
  <r>
    <x v="0"/>
    <x v="0"/>
    <x v="0"/>
    <x v="2"/>
    <x v="3"/>
    <s v="FIN_ESPOO"/>
    <x v="14"/>
    <s v="GHOB_NATGAS_EXETS"/>
    <x v="0"/>
    <x v="4"/>
    <n v="23.529411764705898"/>
    <n v="8588.2352941176505"/>
    <n v="30917.647058823499"/>
  </r>
  <r>
    <x v="0"/>
    <x v="0"/>
    <x v="0"/>
    <x v="2"/>
    <x v="3"/>
    <s v="FIN_ESPOO"/>
    <x v="14"/>
    <s v="GHOB_NATGAS_EXETS"/>
    <x v="0"/>
    <x v="5"/>
    <n v="23.529411764705898"/>
    <n v="8588.2352941176505"/>
    <n v="30917.647058823499"/>
  </r>
  <r>
    <x v="0"/>
    <x v="0"/>
    <x v="0"/>
    <x v="2"/>
    <x v="3"/>
    <s v="FIN_ESPOO"/>
    <x v="14"/>
    <s v="GHOB_NATGAS_EXETS"/>
    <x v="0"/>
    <x v="6"/>
    <n v="23.529411764705898"/>
    <n v="8588.2352941176505"/>
    <n v="30917.647058823499"/>
  </r>
  <r>
    <x v="0"/>
    <x v="0"/>
    <x v="0"/>
    <x v="2"/>
    <x v="3"/>
    <s v="FIN_ESPOO"/>
    <x v="14"/>
    <s v="GHOB_NATGAS_EXETS"/>
    <x v="0"/>
    <x v="7"/>
    <n v="23.529411764705898"/>
    <n v="8588.2352941176505"/>
    <n v="30917.647058823499"/>
  </r>
  <r>
    <x v="0"/>
    <x v="0"/>
    <x v="0"/>
    <x v="2"/>
    <x v="3"/>
    <s v="FIN_ESPOO"/>
    <x v="14"/>
    <s v="GHOB_NATGAS_EXETS"/>
    <x v="0"/>
    <x v="8"/>
    <n v="23.529411764705898"/>
    <n v="8588.2352941176505"/>
    <n v="30917.647058823499"/>
  </r>
  <r>
    <x v="0"/>
    <x v="0"/>
    <x v="0"/>
    <x v="2"/>
    <x v="3"/>
    <s v="FIN_ESPOO"/>
    <x v="14"/>
    <s v="GHOB_NATGAS_EXETS"/>
    <x v="0"/>
    <x v="9"/>
    <n v="23.529411764705898"/>
    <n v="8588.2352941176505"/>
    <n v="30917.647058823499"/>
  </r>
  <r>
    <x v="0"/>
    <x v="0"/>
    <x v="0"/>
    <x v="2"/>
    <x v="3"/>
    <s v="FIN_ESPOO"/>
    <x v="14"/>
    <s v="GHOB_NATGAS_EXETS"/>
    <x v="0"/>
    <x v="10"/>
    <n v="21.4105897802133"/>
    <n v="7814.8652697778498"/>
    <n v="28133.514971200198"/>
  </r>
  <r>
    <x v="0"/>
    <x v="0"/>
    <x v="0"/>
    <x v="2"/>
    <x v="3"/>
    <s v="FIN_ESPOO"/>
    <x v="14"/>
    <s v="GHOB_NATGAS_EXETS"/>
    <x v="0"/>
    <x v="11"/>
    <n v="11.9079492390631"/>
    <n v="4346.4014722580396"/>
    <n v="15647.045300128901"/>
  </r>
  <r>
    <x v="0"/>
    <x v="0"/>
    <x v="0"/>
    <x v="2"/>
    <x v="3"/>
    <s v="FIN_ESPOO"/>
    <x v="14"/>
    <s v="GHOB_NATGAS_EXETS"/>
    <x v="0"/>
    <x v="12"/>
    <n v="8.5627592583249399"/>
    <n v="3125.4071292886001"/>
    <n v="11251.465665439"/>
  </r>
  <r>
    <x v="0"/>
    <x v="0"/>
    <x v="0"/>
    <x v="2"/>
    <x v="3"/>
    <s v="FIN_ESPOO"/>
    <x v="14"/>
    <s v="GHOB_NATGAS_EXETS"/>
    <x v="0"/>
    <x v="13"/>
    <n v="6.8359430409585196"/>
    <n v="2495.1192099498599"/>
    <n v="8982.4291558195"/>
  </r>
  <r>
    <x v="0"/>
    <x v="0"/>
    <x v="0"/>
    <x v="2"/>
    <x v="3"/>
    <s v="FIN_ESPOO"/>
    <x v="14"/>
    <s v="GHOB_NATGAS_EXETS"/>
    <x v="0"/>
    <x v="14"/>
    <n v="9.7805641961651908"/>
    <n v="3569.9059316002899"/>
    <n v="12851.661353761099"/>
  </r>
  <r>
    <x v="0"/>
    <x v="0"/>
    <x v="0"/>
    <x v="2"/>
    <x v="3"/>
    <s v="FIN_ESPOO"/>
    <x v="14"/>
    <s v="GHOB_NATGAS_EXETS"/>
    <x v="0"/>
    <x v="15"/>
    <n v="2.53373143775275"/>
    <n v="924.81197477975502"/>
    <n v="3329.3231092071201"/>
  </r>
  <r>
    <x v="0"/>
    <x v="0"/>
    <x v="0"/>
    <x v="2"/>
    <x v="3"/>
    <s v="FIN_ESPOO"/>
    <x v="14"/>
    <s v="GHOB_NATGAS_EXETS"/>
    <x v="0"/>
    <x v="20"/>
    <n v="23.529411764705898"/>
    <n v="8588.2352941176505"/>
    <n v="30917.647058823499"/>
  </r>
  <r>
    <x v="0"/>
    <x v="0"/>
    <x v="0"/>
    <x v="2"/>
    <x v="3"/>
    <s v="FIN_ESPOO"/>
    <x v="14"/>
    <s v="GHOB_NATGAS_EXETS"/>
    <x v="0"/>
    <x v="21"/>
    <n v="23.529411764705898"/>
    <n v="8588.2352941176505"/>
    <n v="30917.647058823499"/>
  </r>
  <r>
    <x v="0"/>
    <x v="0"/>
    <x v="0"/>
    <x v="2"/>
    <x v="3"/>
    <s v="FIN_ESPOO"/>
    <x v="14"/>
    <s v="GHOB_NATGAS_EXETS"/>
    <x v="0"/>
    <x v="22"/>
    <n v="23.529411764705898"/>
    <n v="8588.2352941176505"/>
    <n v="30917.647058823499"/>
  </r>
  <r>
    <x v="0"/>
    <x v="0"/>
    <x v="0"/>
    <x v="2"/>
    <x v="3"/>
    <s v="FIN_ESPOO"/>
    <x v="14"/>
    <s v="GHOB_NATGAS_EXETS"/>
    <x v="0"/>
    <x v="23"/>
    <n v="23.529411764705898"/>
    <n v="8588.2352941176505"/>
    <n v="30917.647058823499"/>
  </r>
  <r>
    <x v="0"/>
    <x v="0"/>
    <x v="0"/>
    <x v="2"/>
    <x v="3"/>
    <s v="FIN_GAS"/>
    <x v="3"/>
    <s v="GBPR_NATGAS_GASAREA"/>
    <x v="0"/>
    <x v="6"/>
    <n v="193.54631217838801"/>
    <n v="70644.403945111495"/>
    <n v="254319.85420240101"/>
  </r>
  <r>
    <x v="0"/>
    <x v="0"/>
    <x v="0"/>
    <x v="2"/>
    <x v="3"/>
    <s v="FIN_GAS"/>
    <x v="3"/>
    <s v="GBPR_NATGAS_GASAREA"/>
    <x v="0"/>
    <x v="7"/>
    <n v="193.54631217838801"/>
    <n v="70644.403945111495"/>
    <n v="254319.85420240101"/>
  </r>
  <r>
    <x v="0"/>
    <x v="0"/>
    <x v="0"/>
    <x v="2"/>
    <x v="3"/>
    <s v="FIN_GAS"/>
    <x v="3"/>
    <s v="GBPR_NATGAS_GASAREA"/>
    <x v="0"/>
    <x v="8"/>
    <n v="193.54631217838801"/>
    <n v="70644.403945111495"/>
    <n v="254319.85420240101"/>
  </r>
  <r>
    <x v="0"/>
    <x v="0"/>
    <x v="0"/>
    <x v="2"/>
    <x v="3"/>
    <s v="FIN_GAS"/>
    <x v="3"/>
    <s v="GBPR_NATGAS_GASAREA"/>
    <x v="0"/>
    <x v="17"/>
    <n v="117.449045106707"/>
    <n v="42868.901463948001"/>
    <n v="154328.04527021301"/>
  </r>
  <r>
    <x v="0"/>
    <x v="0"/>
    <x v="0"/>
    <x v="2"/>
    <x v="3"/>
    <s v="FIN_GAS"/>
    <x v="14"/>
    <s v="GHOB_NATGAS_EXETS"/>
    <x v="0"/>
    <x v="0"/>
    <n v="152.38659726170101"/>
    <n v="55621.108000521002"/>
    <n v="200235.988801876"/>
  </r>
  <r>
    <x v="0"/>
    <x v="0"/>
    <x v="0"/>
    <x v="2"/>
    <x v="3"/>
    <s v="FIN_GAS"/>
    <x v="14"/>
    <s v="GHOB_NATGAS_EXETS"/>
    <x v="0"/>
    <x v="1"/>
    <n v="150.722324138788"/>
    <n v="55013.648310657598"/>
    <n v="198049.13391836701"/>
  </r>
  <r>
    <x v="0"/>
    <x v="0"/>
    <x v="0"/>
    <x v="2"/>
    <x v="3"/>
    <s v="FIN_GAS"/>
    <x v="14"/>
    <s v="GHOB_NATGAS_EXETS"/>
    <x v="0"/>
    <x v="2"/>
    <n v="151.67113929839499"/>
    <n v="55359.965843914099"/>
    <n v="199295.87703809101"/>
  </r>
  <r>
    <x v="0"/>
    <x v="0"/>
    <x v="0"/>
    <x v="2"/>
    <x v="3"/>
    <s v="FIN_GAS"/>
    <x v="14"/>
    <s v="GHOB_NATGAS_EXETS"/>
    <x v="0"/>
    <x v="3"/>
    <n v="155.16829096920799"/>
    <n v="56636.426203761002"/>
    <n v="203891.13433353999"/>
  </r>
  <r>
    <x v="0"/>
    <x v="0"/>
    <x v="0"/>
    <x v="2"/>
    <x v="3"/>
    <s v="FIN_GAS"/>
    <x v="14"/>
    <s v="GHOB_NATGAS_EXETS"/>
    <x v="0"/>
    <x v="18"/>
    <n v="163.689259307388"/>
    <n v="59746.579647196697"/>
    <n v="215087.68672990799"/>
  </r>
  <r>
    <x v="0"/>
    <x v="0"/>
    <x v="0"/>
    <x v="2"/>
    <x v="3"/>
    <s v="FIN_GAS"/>
    <x v="14"/>
    <s v="GHOB_NATGAS_EXETS"/>
    <x v="0"/>
    <x v="4"/>
    <n v="179.43967190364501"/>
    <n v="65495.4802448306"/>
    <n v="235783.72888139001"/>
  </r>
  <r>
    <x v="0"/>
    <x v="0"/>
    <x v="0"/>
    <x v="2"/>
    <x v="3"/>
    <s v="FIN_GAS"/>
    <x v="14"/>
    <s v="GHOB_NATGAS_EXETS"/>
    <x v="0"/>
    <x v="5"/>
    <n v="211.20714695828099"/>
    <n v="77090.608639772501"/>
    <n v="277526.19110318099"/>
  </r>
  <r>
    <x v="0"/>
    <x v="0"/>
    <x v="0"/>
    <x v="2"/>
    <x v="3"/>
    <s v="FIN_GAS"/>
    <x v="14"/>
    <s v="GHOB_NATGAS_EXETS"/>
    <x v="0"/>
    <x v="6"/>
    <n v="99.173371261928395"/>
    <n v="36198.280510603901"/>
    <n v="130313.809838174"/>
  </r>
  <r>
    <x v="0"/>
    <x v="0"/>
    <x v="0"/>
    <x v="2"/>
    <x v="3"/>
    <s v="FIN_GAS"/>
    <x v="14"/>
    <s v="GHOB_NATGAS_EXETS"/>
    <x v="0"/>
    <x v="7"/>
    <n v="103.920788877409"/>
    <n v="37931.087940254198"/>
    <n v="136551.91658491499"/>
  </r>
  <r>
    <x v="0"/>
    <x v="0"/>
    <x v="0"/>
    <x v="2"/>
    <x v="3"/>
    <s v="FIN_GAS"/>
    <x v="14"/>
    <s v="GHOB_NATGAS_EXETS"/>
    <x v="0"/>
    <x v="8"/>
    <n v="105.14591230762601"/>
    <n v="38378.257992283397"/>
    <n v="138161.72877222"/>
  </r>
  <r>
    <x v="0"/>
    <x v="0"/>
    <x v="0"/>
    <x v="2"/>
    <x v="3"/>
    <s v="FIN_GAS"/>
    <x v="14"/>
    <s v="GHOB_NATGAS_EXETS"/>
    <x v="0"/>
    <x v="9"/>
    <n v="229.25037961467001"/>
    <n v="83676.388559354396"/>
    <n v="301234.99881367601"/>
  </r>
  <r>
    <x v="0"/>
    <x v="0"/>
    <x v="0"/>
    <x v="2"/>
    <x v="3"/>
    <s v="FIN_GAS"/>
    <x v="14"/>
    <s v="GHOB_NATGAS_EXETS"/>
    <x v="0"/>
    <x v="10"/>
    <n v="224.68525826960001"/>
    <n v="82010.119268403898"/>
    <n v="295236.42936625401"/>
  </r>
  <r>
    <x v="0"/>
    <x v="0"/>
    <x v="0"/>
    <x v="2"/>
    <x v="3"/>
    <s v="FIN_GAS"/>
    <x v="14"/>
    <s v="GHOB_NATGAS_EXETS"/>
    <x v="0"/>
    <x v="11"/>
    <n v="223.03939945580299"/>
    <n v="81409.380801368097"/>
    <n v="293073.77088492498"/>
  </r>
  <r>
    <x v="0"/>
    <x v="0"/>
    <x v="0"/>
    <x v="2"/>
    <x v="3"/>
    <s v="FIN_GAS"/>
    <x v="14"/>
    <s v="GHOB_NATGAS_EXETS"/>
    <x v="0"/>
    <x v="12"/>
    <n v="222.764661624398"/>
    <n v="81309.101492905305"/>
    <n v="292712.76537445898"/>
  </r>
  <r>
    <x v="0"/>
    <x v="0"/>
    <x v="0"/>
    <x v="2"/>
    <x v="3"/>
    <s v="FIN_GAS"/>
    <x v="14"/>
    <s v="GHOB_NATGAS_EXETS"/>
    <x v="0"/>
    <x v="13"/>
    <n v="223.93160825749399"/>
    <n v="81735.037013985202"/>
    <n v="294246.13325034699"/>
  </r>
  <r>
    <x v="0"/>
    <x v="0"/>
    <x v="0"/>
    <x v="2"/>
    <x v="3"/>
    <s v="FIN_GAS"/>
    <x v="14"/>
    <s v="GHOB_NATGAS_EXETS"/>
    <x v="0"/>
    <x v="14"/>
    <n v="230.56800094292899"/>
    <n v="84157.3203441691"/>
    <n v="302966.35323900898"/>
  </r>
  <r>
    <x v="0"/>
    <x v="0"/>
    <x v="0"/>
    <x v="2"/>
    <x v="3"/>
    <s v="FIN_GAS"/>
    <x v="14"/>
    <s v="GHOB_NATGAS_EXETS"/>
    <x v="0"/>
    <x v="15"/>
    <n v="225.29142913177901"/>
    <n v="82231.371633099203"/>
    <n v="296032.93787915702"/>
  </r>
  <r>
    <x v="0"/>
    <x v="0"/>
    <x v="0"/>
    <x v="2"/>
    <x v="3"/>
    <s v="FIN_GAS"/>
    <x v="14"/>
    <s v="GHOB_NATGAS_EXETS"/>
    <x v="0"/>
    <x v="16"/>
    <n v="220.44397682317"/>
    <n v="80462.051540457105"/>
    <n v="289663.38554564503"/>
  </r>
  <r>
    <x v="0"/>
    <x v="0"/>
    <x v="0"/>
    <x v="2"/>
    <x v="3"/>
    <s v="FIN_GAS"/>
    <x v="14"/>
    <s v="GHOB_NATGAS_EXETS"/>
    <x v="0"/>
    <x v="17"/>
    <n v="141.79902992779699"/>
    <n v="51756.645923646"/>
    <n v="186323.92532512601"/>
  </r>
  <r>
    <x v="0"/>
    <x v="0"/>
    <x v="0"/>
    <x v="2"/>
    <x v="3"/>
    <s v="FIN_GAS"/>
    <x v="14"/>
    <s v="GHOB_NATGAS_EXETS"/>
    <x v="0"/>
    <x v="19"/>
    <n v="217.787722252988"/>
    <n v="79492.518622340503"/>
    <n v="286173.06704042602"/>
  </r>
  <r>
    <x v="0"/>
    <x v="0"/>
    <x v="0"/>
    <x v="2"/>
    <x v="3"/>
    <s v="FIN_GAS"/>
    <x v="14"/>
    <s v="GHOB_NATGAS_EXETS"/>
    <x v="0"/>
    <x v="20"/>
    <n v="213.04789982960699"/>
    <n v="77762.483437806397"/>
    <n v="279944.94037610298"/>
  </r>
  <r>
    <x v="0"/>
    <x v="0"/>
    <x v="0"/>
    <x v="2"/>
    <x v="3"/>
    <s v="FIN_GAS"/>
    <x v="14"/>
    <s v="GHOB_NATGAS_EXETS"/>
    <x v="0"/>
    <x v="21"/>
    <n v="208.77861538767999"/>
    <n v="76204.1946165033"/>
    <n v="274335.10061941203"/>
  </r>
  <r>
    <x v="0"/>
    <x v="0"/>
    <x v="0"/>
    <x v="2"/>
    <x v="3"/>
    <s v="FIN_GAS"/>
    <x v="14"/>
    <s v="GHOB_NATGAS_EXETS"/>
    <x v="0"/>
    <x v="22"/>
    <n v="198.06112631009"/>
    <n v="72292.311103182699"/>
    <n v="260252.319971458"/>
  </r>
  <r>
    <x v="0"/>
    <x v="0"/>
    <x v="0"/>
    <x v="2"/>
    <x v="3"/>
    <s v="FIN_GAS"/>
    <x v="14"/>
    <s v="GHOB_NATGAS_EXETS"/>
    <x v="0"/>
    <x v="23"/>
    <n v="188.387874241129"/>
    <n v="68761.574098012206"/>
    <n v="247541.666752844"/>
  </r>
  <r>
    <x v="0"/>
    <x v="0"/>
    <x v="0"/>
    <x v="2"/>
    <x v="3"/>
    <s v="FIN_HELS"/>
    <x v="0"/>
    <s v="GBPR_COAL_MARTINLAAKSO"/>
    <x v="0"/>
    <x v="0"/>
    <n v="434.080625081449"/>
    <n v="158439.42815472899"/>
    <n v="570381.94135702401"/>
  </r>
  <r>
    <x v="0"/>
    <x v="0"/>
    <x v="0"/>
    <x v="2"/>
    <x v="3"/>
    <s v="FIN_HELS"/>
    <x v="0"/>
    <s v="GBPR_COAL_MARTINLAAKSO"/>
    <x v="0"/>
    <x v="1"/>
    <n v="434.080625081449"/>
    <n v="158439.42815472899"/>
    <n v="570381.94135702401"/>
  </r>
  <r>
    <x v="0"/>
    <x v="0"/>
    <x v="0"/>
    <x v="2"/>
    <x v="3"/>
    <s v="FIN_HELS"/>
    <x v="0"/>
    <s v="GBPR_COAL_MARTINLAAKSO"/>
    <x v="0"/>
    <x v="2"/>
    <n v="434.080625081449"/>
    <n v="158439.42815472899"/>
    <n v="570381.94135702401"/>
  </r>
  <r>
    <x v="0"/>
    <x v="0"/>
    <x v="0"/>
    <x v="2"/>
    <x v="3"/>
    <s v="FIN_HELS"/>
    <x v="0"/>
    <s v="GBPR_COAL_MARTINLAAKSO"/>
    <x v="0"/>
    <x v="3"/>
    <n v="434.080625081449"/>
    <n v="158439.42815472899"/>
    <n v="570381.94135702401"/>
  </r>
  <r>
    <x v="0"/>
    <x v="0"/>
    <x v="0"/>
    <x v="2"/>
    <x v="3"/>
    <s v="FIN_HELS"/>
    <x v="0"/>
    <s v="GBPR_COAL_MARTINLAAKSO"/>
    <x v="0"/>
    <x v="18"/>
    <n v="434.080625081449"/>
    <n v="158439.42815472899"/>
    <n v="570381.94135702401"/>
  </r>
  <r>
    <x v="0"/>
    <x v="0"/>
    <x v="0"/>
    <x v="2"/>
    <x v="3"/>
    <s v="FIN_HELS"/>
    <x v="0"/>
    <s v="GBPR_COAL_MARTINLAAKSO"/>
    <x v="0"/>
    <x v="4"/>
    <n v="434.080625081449"/>
    <n v="158439.42815472899"/>
    <n v="570381.94135702401"/>
  </r>
  <r>
    <x v="0"/>
    <x v="0"/>
    <x v="0"/>
    <x v="2"/>
    <x v="3"/>
    <s v="FIN_HELS"/>
    <x v="0"/>
    <s v="GBPR_COAL_MARTINLAAKSO"/>
    <x v="0"/>
    <x v="5"/>
    <n v="434.080625081449"/>
    <n v="158439.42815472899"/>
    <n v="570381.94135702401"/>
  </r>
  <r>
    <x v="0"/>
    <x v="0"/>
    <x v="0"/>
    <x v="2"/>
    <x v="3"/>
    <s v="FIN_HELS"/>
    <x v="0"/>
    <s v="GBPR_COAL_MARTINLAAKSO"/>
    <x v="0"/>
    <x v="6"/>
    <n v="434.080625081449"/>
    <n v="158439.42815472899"/>
    <n v="570381.94135702401"/>
  </r>
  <r>
    <x v="0"/>
    <x v="0"/>
    <x v="0"/>
    <x v="2"/>
    <x v="3"/>
    <s v="FIN_HELS"/>
    <x v="0"/>
    <s v="GBPR_COAL_MARTINLAAKSO"/>
    <x v="0"/>
    <x v="7"/>
    <n v="434.080625081449"/>
    <n v="158439.42815472899"/>
    <n v="570381.94135702401"/>
  </r>
  <r>
    <x v="0"/>
    <x v="0"/>
    <x v="0"/>
    <x v="2"/>
    <x v="3"/>
    <s v="FIN_HELS"/>
    <x v="0"/>
    <s v="GBPR_COAL_MARTINLAAKSO"/>
    <x v="0"/>
    <x v="8"/>
    <n v="434.080625081449"/>
    <n v="158439.42815472899"/>
    <n v="570381.94135702401"/>
  </r>
  <r>
    <x v="0"/>
    <x v="0"/>
    <x v="0"/>
    <x v="2"/>
    <x v="3"/>
    <s v="FIN_HELS"/>
    <x v="0"/>
    <s v="GBPR_COAL_MARTINLAAKSO"/>
    <x v="0"/>
    <x v="9"/>
    <n v="434.080625081449"/>
    <n v="158439.42815472899"/>
    <n v="570381.94135702401"/>
  </r>
  <r>
    <x v="0"/>
    <x v="0"/>
    <x v="0"/>
    <x v="2"/>
    <x v="3"/>
    <s v="FIN_HELS"/>
    <x v="0"/>
    <s v="GBPR_COAL_MARTINLAAKSO"/>
    <x v="0"/>
    <x v="10"/>
    <n v="434.080625081449"/>
    <n v="158439.42815472899"/>
    <n v="570381.94135702401"/>
  </r>
  <r>
    <x v="0"/>
    <x v="0"/>
    <x v="0"/>
    <x v="2"/>
    <x v="3"/>
    <s v="FIN_HELS"/>
    <x v="0"/>
    <s v="GBPR_COAL_MARTINLAAKSO"/>
    <x v="0"/>
    <x v="11"/>
    <n v="434.080625081449"/>
    <n v="158439.42815472899"/>
    <n v="570381.94135702401"/>
  </r>
  <r>
    <x v="0"/>
    <x v="0"/>
    <x v="0"/>
    <x v="2"/>
    <x v="3"/>
    <s v="FIN_HELS"/>
    <x v="0"/>
    <s v="GBPR_COAL_MARTINLAAKSO"/>
    <x v="0"/>
    <x v="12"/>
    <n v="434.080625081449"/>
    <n v="158439.42815472899"/>
    <n v="570381.94135702401"/>
  </r>
  <r>
    <x v="0"/>
    <x v="0"/>
    <x v="0"/>
    <x v="2"/>
    <x v="3"/>
    <s v="FIN_HELS"/>
    <x v="0"/>
    <s v="GBPR_COAL_MARTINLAAKSO"/>
    <x v="0"/>
    <x v="13"/>
    <n v="434.080625081449"/>
    <n v="158439.42815472899"/>
    <n v="570381.94135702401"/>
  </r>
  <r>
    <x v="0"/>
    <x v="0"/>
    <x v="0"/>
    <x v="2"/>
    <x v="3"/>
    <s v="FIN_HELS"/>
    <x v="0"/>
    <s v="GBPR_COAL_MARTINLAAKSO"/>
    <x v="0"/>
    <x v="14"/>
    <n v="434.080625081449"/>
    <n v="158439.42815472899"/>
    <n v="570381.94135702401"/>
  </r>
  <r>
    <x v="0"/>
    <x v="0"/>
    <x v="0"/>
    <x v="2"/>
    <x v="3"/>
    <s v="FIN_HELS"/>
    <x v="0"/>
    <s v="GBPR_COAL_MARTINLAAKSO"/>
    <x v="0"/>
    <x v="15"/>
    <n v="434.080625081449"/>
    <n v="158439.42815472899"/>
    <n v="570381.94135702401"/>
  </r>
  <r>
    <x v="0"/>
    <x v="0"/>
    <x v="0"/>
    <x v="2"/>
    <x v="3"/>
    <s v="FIN_HELS"/>
    <x v="0"/>
    <s v="GBPR_COAL_MARTINLAAKSO"/>
    <x v="0"/>
    <x v="16"/>
    <n v="434.080625081449"/>
    <n v="158439.42815472899"/>
    <n v="570381.94135702401"/>
  </r>
  <r>
    <x v="0"/>
    <x v="0"/>
    <x v="0"/>
    <x v="2"/>
    <x v="3"/>
    <s v="FIN_HELS"/>
    <x v="0"/>
    <s v="GBPR_COAL_MARTINLAAKSO"/>
    <x v="0"/>
    <x v="17"/>
    <n v="434.080625081449"/>
    <n v="158439.42815472899"/>
    <n v="570381.94135702401"/>
  </r>
  <r>
    <x v="0"/>
    <x v="0"/>
    <x v="0"/>
    <x v="2"/>
    <x v="3"/>
    <s v="FIN_HELS"/>
    <x v="0"/>
    <s v="GBPR_COAL_MARTINLAAKSO"/>
    <x v="0"/>
    <x v="19"/>
    <n v="434.080625081449"/>
    <n v="158439.42815472899"/>
    <n v="570381.94135702401"/>
  </r>
  <r>
    <x v="0"/>
    <x v="0"/>
    <x v="0"/>
    <x v="2"/>
    <x v="3"/>
    <s v="FIN_HELS"/>
    <x v="0"/>
    <s v="GBPR_COAL_MARTINLAAKSO"/>
    <x v="0"/>
    <x v="20"/>
    <n v="434.080625081449"/>
    <n v="158439.42815472899"/>
    <n v="570381.94135702401"/>
  </r>
  <r>
    <x v="0"/>
    <x v="0"/>
    <x v="0"/>
    <x v="2"/>
    <x v="3"/>
    <s v="FIN_HELS"/>
    <x v="0"/>
    <s v="GBPR_COAL_MARTINLAAKSO"/>
    <x v="0"/>
    <x v="21"/>
    <n v="434.080625081449"/>
    <n v="158439.42815472899"/>
    <n v="570381.94135702401"/>
  </r>
  <r>
    <x v="0"/>
    <x v="0"/>
    <x v="0"/>
    <x v="2"/>
    <x v="3"/>
    <s v="FIN_HELS"/>
    <x v="0"/>
    <s v="GBPR_COAL_MARTINLAAKSO"/>
    <x v="0"/>
    <x v="22"/>
    <n v="434.080625081449"/>
    <n v="158439.42815472899"/>
    <n v="570381.94135702401"/>
  </r>
  <r>
    <x v="0"/>
    <x v="0"/>
    <x v="0"/>
    <x v="2"/>
    <x v="3"/>
    <s v="FIN_HELS"/>
    <x v="0"/>
    <s v="GBPR_COAL_MARTINLAAKSO"/>
    <x v="0"/>
    <x v="23"/>
    <n v="434.080625081449"/>
    <n v="158439.42815472899"/>
    <n v="570381.94135702401"/>
  </r>
  <r>
    <x v="0"/>
    <x v="0"/>
    <x v="0"/>
    <x v="2"/>
    <x v="3"/>
    <s v="FIN_HELS"/>
    <x v="0"/>
    <s v="GBPR_COAL_SALMISAARI"/>
    <x v="0"/>
    <x v="0"/>
    <n v="369.71152646420302"/>
    <n v="134944.70715943401"/>
    <n v="485800.945773963"/>
  </r>
  <r>
    <x v="0"/>
    <x v="0"/>
    <x v="0"/>
    <x v="2"/>
    <x v="3"/>
    <s v="FIN_HELS"/>
    <x v="0"/>
    <s v="GBPR_COAL_SALMISAARI"/>
    <x v="0"/>
    <x v="1"/>
    <n v="369.71152646420302"/>
    <n v="134944.70715943401"/>
    <n v="485800.945773963"/>
  </r>
  <r>
    <x v="0"/>
    <x v="0"/>
    <x v="0"/>
    <x v="2"/>
    <x v="3"/>
    <s v="FIN_HELS"/>
    <x v="0"/>
    <s v="GBPR_COAL_SALMISAARI"/>
    <x v="0"/>
    <x v="2"/>
    <n v="369.71152646420302"/>
    <n v="134944.70715943401"/>
    <n v="485800.945773963"/>
  </r>
  <r>
    <x v="0"/>
    <x v="0"/>
    <x v="0"/>
    <x v="2"/>
    <x v="3"/>
    <s v="FIN_HELS"/>
    <x v="0"/>
    <s v="GBPR_COAL_SALMISAARI"/>
    <x v="0"/>
    <x v="3"/>
    <n v="369.71152646420302"/>
    <n v="134944.70715943401"/>
    <n v="485800.945773963"/>
  </r>
  <r>
    <x v="0"/>
    <x v="0"/>
    <x v="0"/>
    <x v="2"/>
    <x v="3"/>
    <s v="FIN_HELS"/>
    <x v="0"/>
    <s v="GBPR_COAL_SALMISAARI"/>
    <x v="0"/>
    <x v="18"/>
    <n v="369.71152646420302"/>
    <n v="134944.70715943401"/>
    <n v="485800.945773963"/>
  </r>
  <r>
    <x v="0"/>
    <x v="0"/>
    <x v="0"/>
    <x v="2"/>
    <x v="3"/>
    <s v="FIN_HELS"/>
    <x v="0"/>
    <s v="GBPR_COAL_SALMISAARI"/>
    <x v="0"/>
    <x v="4"/>
    <n v="369.71152646420302"/>
    <n v="134944.70715943401"/>
    <n v="485800.945773963"/>
  </r>
  <r>
    <x v="0"/>
    <x v="0"/>
    <x v="0"/>
    <x v="2"/>
    <x v="3"/>
    <s v="FIN_HELS"/>
    <x v="0"/>
    <s v="GBPR_COAL_SALMISAARI"/>
    <x v="0"/>
    <x v="5"/>
    <n v="369.71152646420302"/>
    <n v="134944.70715943401"/>
    <n v="485800.945773963"/>
  </r>
  <r>
    <x v="0"/>
    <x v="0"/>
    <x v="0"/>
    <x v="2"/>
    <x v="3"/>
    <s v="FIN_HELS"/>
    <x v="0"/>
    <s v="GBPR_COAL_SALMISAARI"/>
    <x v="0"/>
    <x v="6"/>
    <n v="369.71152646420302"/>
    <n v="134944.70715943401"/>
    <n v="485800.945773963"/>
  </r>
  <r>
    <x v="0"/>
    <x v="0"/>
    <x v="0"/>
    <x v="2"/>
    <x v="3"/>
    <s v="FIN_HELS"/>
    <x v="0"/>
    <s v="GBPR_COAL_SALMISAARI"/>
    <x v="0"/>
    <x v="7"/>
    <n v="369.71152646420302"/>
    <n v="134944.70715943401"/>
    <n v="485800.945773963"/>
  </r>
  <r>
    <x v="0"/>
    <x v="0"/>
    <x v="0"/>
    <x v="2"/>
    <x v="3"/>
    <s v="FIN_HELS"/>
    <x v="0"/>
    <s v="GBPR_COAL_SALMISAARI"/>
    <x v="0"/>
    <x v="8"/>
    <n v="369.71152646420302"/>
    <n v="134944.70715943401"/>
    <n v="485800.945773963"/>
  </r>
  <r>
    <x v="0"/>
    <x v="0"/>
    <x v="0"/>
    <x v="2"/>
    <x v="3"/>
    <s v="FIN_HELS"/>
    <x v="0"/>
    <s v="GBPR_COAL_SALMISAARI"/>
    <x v="0"/>
    <x v="9"/>
    <n v="369.71152646420302"/>
    <n v="134944.70715943401"/>
    <n v="485800.945773963"/>
  </r>
  <r>
    <x v="0"/>
    <x v="0"/>
    <x v="0"/>
    <x v="2"/>
    <x v="3"/>
    <s v="FIN_HELS"/>
    <x v="0"/>
    <s v="GBPR_COAL_SALMISAARI"/>
    <x v="0"/>
    <x v="10"/>
    <n v="369.71152646420302"/>
    <n v="134944.70715943401"/>
    <n v="485800.945773963"/>
  </r>
  <r>
    <x v="0"/>
    <x v="0"/>
    <x v="0"/>
    <x v="2"/>
    <x v="3"/>
    <s v="FIN_HELS"/>
    <x v="0"/>
    <s v="GBPR_COAL_SALMISAARI"/>
    <x v="0"/>
    <x v="11"/>
    <n v="369.71152646420302"/>
    <n v="134944.70715943401"/>
    <n v="485800.945773963"/>
  </r>
  <r>
    <x v="0"/>
    <x v="0"/>
    <x v="0"/>
    <x v="2"/>
    <x v="3"/>
    <s v="FIN_HELS"/>
    <x v="0"/>
    <s v="GBPR_COAL_SALMISAARI"/>
    <x v="0"/>
    <x v="12"/>
    <n v="369.71152646420302"/>
    <n v="134944.70715943401"/>
    <n v="485800.945773963"/>
  </r>
  <r>
    <x v="0"/>
    <x v="0"/>
    <x v="0"/>
    <x v="2"/>
    <x v="3"/>
    <s v="FIN_HELS"/>
    <x v="0"/>
    <s v="GBPR_COAL_SALMISAARI"/>
    <x v="0"/>
    <x v="13"/>
    <n v="369.71152646420302"/>
    <n v="134944.70715943401"/>
    <n v="485800.945773963"/>
  </r>
  <r>
    <x v="0"/>
    <x v="0"/>
    <x v="0"/>
    <x v="2"/>
    <x v="3"/>
    <s v="FIN_HELS"/>
    <x v="0"/>
    <s v="GBPR_COAL_SALMISAARI"/>
    <x v="0"/>
    <x v="14"/>
    <n v="369.71152646420302"/>
    <n v="134944.70715943401"/>
    <n v="485800.945773963"/>
  </r>
  <r>
    <x v="0"/>
    <x v="0"/>
    <x v="0"/>
    <x v="2"/>
    <x v="3"/>
    <s v="FIN_HELS"/>
    <x v="0"/>
    <s v="GBPR_COAL_SALMISAARI"/>
    <x v="0"/>
    <x v="15"/>
    <n v="369.71152646420302"/>
    <n v="134944.70715943401"/>
    <n v="485800.945773963"/>
  </r>
  <r>
    <x v="0"/>
    <x v="0"/>
    <x v="0"/>
    <x v="2"/>
    <x v="3"/>
    <s v="FIN_HELS"/>
    <x v="0"/>
    <s v="GBPR_COAL_SALMISAARI"/>
    <x v="0"/>
    <x v="16"/>
    <n v="369.71152646420302"/>
    <n v="134944.70715943401"/>
    <n v="485800.945773963"/>
  </r>
  <r>
    <x v="0"/>
    <x v="0"/>
    <x v="0"/>
    <x v="2"/>
    <x v="3"/>
    <s v="FIN_HELS"/>
    <x v="0"/>
    <s v="GBPR_COAL_SALMISAARI"/>
    <x v="0"/>
    <x v="17"/>
    <n v="369.71152646420302"/>
    <n v="134944.70715943401"/>
    <n v="485800.945773963"/>
  </r>
  <r>
    <x v="0"/>
    <x v="0"/>
    <x v="0"/>
    <x v="2"/>
    <x v="3"/>
    <s v="FIN_HELS"/>
    <x v="0"/>
    <s v="GBPR_COAL_SALMISAARI"/>
    <x v="0"/>
    <x v="19"/>
    <n v="369.71152646420302"/>
    <n v="134944.70715943401"/>
    <n v="485800.945773963"/>
  </r>
  <r>
    <x v="0"/>
    <x v="0"/>
    <x v="0"/>
    <x v="2"/>
    <x v="3"/>
    <s v="FIN_HELS"/>
    <x v="0"/>
    <s v="GBPR_COAL_SALMISAARI"/>
    <x v="0"/>
    <x v="20"/>
    <n v="369.71152646420302"/>
    <n v="134944.70715943401"/>
    <n v="485800.945773963"/>
  </r>
  <r>
    <x v="0"/>
    <x v="0"/>
    <x v="0"/>
    <x v="2"/>
    <x v="3"/>
    <s v="FIN_HELS"/>
    <x v="0"/>
    <s v="GBPR_COAL_SALMISAARI"/>
    <x v="0"/>
    <x v="21"/>
    <n v="369.71152646420302"/>
    <n v="134944.70715943401"/>
    <n v="485800.945773963"/>
  </r>
  <r>
    <x v="0"/>
    <x v="0"/>
    <x v="0"/>
    <x v="2"/>
    <x v="3"/>
    <s v="FIN_HELS"/>
    <x v="0"/>
    <s v="GBPR_COAL_SALMISAARI"/>
    <x v="0"/>
    <x v="22"/>
    <n v="369.71152646420302"/>
    <n v="134944.70715943401"/>
    <n v="485800.945773963"/>
  </r>
  <r>
    <x v="0"/>
    <x v="0"/>
    <x v="0"/>
    <x v="2"/>
    <x v="3"/>
    <s v="FIN_HELS"/>
    <x v="0"/>
    <s v="GBPR_COAL_SALMISAARI"/>
    <x v="0"/>
    <x v="23"/>
    <n v="369.71152646420302"/>
    <n v="134944.70715943401"/>
    <n v="485800.945773963"/>
  </r>
  <r>
    <x v="0"/>
    <x v="0"/>
    <x v="0"/>
    <x v="2"/>
    <x v="3"/>
    <s v="FIN_HELS"/>
    <x v="0"/>
    <s v="GHOB_COAL"/>
    <x v="0"/>
    <x v="0"/>
    <n v="267.19248482630297"/>
    <n v="97525.256961600695"/>
    <n v="351090.92506176198"/>
  </r>
  <r>
    <x v="0"/>
    <x v="0"/>
    <x v="0"/>
    <x v="2"/>
    <x v="3"/>
    <s v="FIN_HELS"/>
    <x v="0"/>
    <s v="GHOB_COAL"/>
    <x v="0"/>
    <x v="1"/>
    <n v="267.19248482630297"/>
    <n v="97525.256961600695"/>
    <n v="351090.92506176198"/>
  </r>
  <r>
    <x v="0"/>
    <x v="0"/>
    <x v="0"/>
    <x v="2"/>
    <x v="3"/>
    <s v="FIN_HELS"/>
    <x v="0"/>
    <s v="GHOB_COAL"/>
    <x v="0"/>
    <x v="2"/>
    <n v="267.19248482630297"/>
    <n v="97525.256961600695"/>
    <n v="351090.92506176198"/>
  </r>
  <r>
    <x v="0"/>
    <x v="0"/>
    <x v="0"/>
    <x v="2"/>
    <x v="3"/>
    <s v="FIN_HELS"/>
    <x v="0"/>
    <s v="GHOB_COAL"/>
    <x v="0"/>
    <x v="3"/>
    <n v="267.19248482630297"/>
    <n v="97525.256961600695"/>
    <n v="351090.92506176198"/>
  </r>
  <r>
    <x v="0"/>
    <x v="0"/>
    <x v="0"/>
    <x v="2"/>
    <x v="3"/>
    <s v="FIN_HELS"/>
    <x v="0"/>
    <s v="GHOB_COAL"/>
    <x v="0"/>
    <x v="18"/>
    <n v="267.19248482630297"/>
    <n v="97525.256961600695"/>
    <n v="351090.92506176198"/>
  </r>
  <r>
    <x v="0"/>
    <x v="0"/>
    <x v="0"/>
    <x v="2"/>
    <x v="3"/>
    <s v="FIN_HELS"/>
    <x v="0"/>
    <s v="GHOB_COAL"/>
    <x v="0"/>
    <x v="4"/>
    <n v="267.19248482630297"/>
    <n v="97525.256961600695"/>
    <n v="351090.92506176198"/>
  </r>
  <r>
    <x v="0"/>
    <x v="0"/>
    <x v="0"/>
    <x v="2"/>
    <x v="3"/>
    <s v="FIN_HELS"/>
    <x v="0"/>
    <s v="GHOB_COAL"/>
    <x v="0"/>
    <x v="5"/>
    <n v="267.19248482630297"/>
    <n v="97525.256961600695"/>
    <n v="351090.92506176198"/>
  </r>
  <r>
    <x v="0"/>
    <x v="0"/>
    <x v="0"/>
    <x v="2"/>
    <x v="3"/>
    <s v="FIN_HELS"/>
    <x v="0"/>
    <s v="GHOB_COAL"/>
    <x v="0"/>
    <x v="6"/>
    <n v="267.19248482630297"/>
    <n v="97525.256961600695"/>
    <n v="351090.92506176198"/>
  </r>
  <r>
    <x v="0"/>
    <x v="0"/>
    <x v="0"/>
    <x v="2"/>
    <x v="3"/>
    <s v="FIN_HELS"/>
    <x v="0"/>
    <s v="GHOB_COAL"/>
    <x v="0"/>
    <x v="7"/>
    <n v="267.19248482630297"/>
    <n v="97525.256961600695"/>
    <n v="351090.92506176198"/>
  </r>
  <r>
    <x v="0"/>
    <x v="0"/>
    <x v="0"/>
    <x v="2"/>
    <x v="3"/>
    <s v="FIN_HELS"/>
    <x v="0"/>
    <s v="GHOB_COAL"/>
    <x v="0"/>
    <x v="8"/>
    <n v="267.19248482630297"/>
    <n v="97525.256961600695"/>
    <n v="351090.92506176198"/>
  </r>
  <r>
    <x v="0"/>
    <x v="0"/>
    <x v="0"/>
    <x v="2"/>
    <x v="3"/>
    <s v="FIN_HELS"/>
    <x v="0"/>
    <s v="GHOB_COAL"/>
    <x v="0"/>
    <x v="9"/>
    <n v="267.19248482630297"/>
    <n v="97525.256961600695"/>
    <n v="351090.92506176198"/>
  </r>
  <r>
    <x v="0"/>
    <x v="0"/>
    <x v="0"/>
    <x v="2"/>
    <x v="3"/>
    <s v="FIN_HELS"/>
    <x v="0"/>
    <s v="GHOB_COAL"/>
    <x v="0"/>
    <x v="10"/>
    <n v="267.19248482630297"/>
    <n v="97525.256961600695"/>
    <n v="351090.92506176198"/>
  </r>
  <r>
    <x v="0"/>
    <x v="0"/>
    <x v="0"/>
    <x v="2"/>
    <x v="3"/>
    <s v="FIN_HELS"/>
    <x v="0"/>
    <s v="GHOB_COAL"/>
    <x v="0"/>
    <x v="11"/>
    <n v="267.19248482630297"/>
    <n v="97525.256961600695"/>
    <n v="351090.92506176198"/>
  </r>
  <r>
    <x v="0"/>
    <x v="0"/>
    <x v="0"/>
    <x v="2"/>
    <x v="3"/>
    <s v="FIN_HELS"/>
    <x v="0"/>
    <s v="GHOB_COAL"/>
    <x v="0"/>
    <x v="12"/>
    <n v="267.19248482630297"/>
    <n v="97525.256961600695"/>
    <n v="351090.92506176198"/>
  </r>
  <r>
    <x v="0"/>
    <x v="0"/>
    <x v="0"/>
    <x v="2"/>
    <x v="3"/>
    <s v="FIN_HELS"/>
    <x v="0"/>
    <s v="GHOB_COAL"/>
    <x v="0"/>
    <x v="13"/>
    <n v="267.19248482630297"/>
    <n v="97525.256961600695"/>
    <n v="351090.92506176198"/>
  </r>
  <r>
    <x v="0"/>
    <x v="0"/>
    <x v="0"/>
    <x v="2"/>
    <x v="3"/>
    <s v="FIN_HELS"/>
    <x v="0"/>
    <s v="GHOB_COAL"/>
    <x v="0"/>
    <x v="14"/>
    <n v="267.19248482630297"/>
    <n v="97525.256961600695"/>
    <n v="351090.92506176198"/>
  </r>
  <r>
    <x v="0"/>
    <x v="0"/>
    <x v="0"/>
    <x v="2"/>
    <x v="3"/>
    <s v="FIN_HELS"/>
    <x v="0"/>
    <s v="GHOB_COAL"/>
    <x v="0"/>
    <x v="15"/>
    <n v="267.19248482630297"/>
    <n v="97525.256961600695"/>
    <n v="351090.92506176198"/>
  </r>
  <r>
    <x v="0"/>
    <x v="0"/>
    <x v="0"/>
    <x v="2"/>
    <x v="3"/>
    <s v="FIN_HELS"/>
    <x v="0"/>
    <s v="GHOB_COAL"/>
    <x v="0"/>
    <x v="16"/>
    <n v="267.19248482630297"/>
    <n v="97525.256961600695"/>
    <n v="351090.92506176198"/>
  </r>
  <r>
    <x v="0"/>
    <x v="0"/>
    <x v="0"/>
    <x v="2"/>
    <x v="3"/>
    <s v="FIN_HELS"/>
    <x v="0"/>
    <s v="GHOB_COAL"/>
    <x v="0"/>
    <x v="17"/>
    <n v="267.19248482630297"/>
    <n v="97525.256961600695"/>
    <n v="351090.92506176198"/>
  </r>
  <r>
    <x v="0"/>
    <x v="0"/>
    <x v="0"/>
    <x v="2"/>
    <x v="3"/>
    <s v="FIN_HELS"/>
    <x v="0"/>
    <s v="GHOB_COAL"/>
    <x v="0"/>
    <x v="19"/>
    <n v="267.19248482630297"/>
    <n v="97525.256961600695"/>
    <n v="351090.92506176198"/>
  </r>
  <r>
    <x v="0"/>
    <x v="0"/>
    <x v="0"/>
    <x v="2"/>
    <x v="3"/>
    <s v="FIN_HELS"/>
    <x v="0"/>
    <s v="GHOB_COAL"/>
    <x v="0"/>
    <x v="20"/>
    <n v="267.19248482630297"/>
    <n v="97525.256961600695"/>
    <n v="351090.92506176198"/>
  </r>
  <r>
    <x v="0"/>
    <x v="0"/>
    <x v="0"/>
    <x v="2"/>
    <x v="3"/>
    <s v="FIN_HELS"/>
    <x v="0"/>
    <s v="GHOB_COAL"/>
    <x v="0"/>
    <x v="21"/>
    <n v="267.19248482630297"/>
    <n v="97525.256961600695"/>
    <n v="351090.92506176198"/>
  </r>
  <r>
    <x v="0"/>
    <x v="0"/>
    <x v="0"/>
    <x v="2"/>
    <x v="3"/>
    <s v="FIN_HELS"/>
    <x v="0"/>
    <s v="GHOB_COAL"/>
    <x v="0"/>
    <x v="22"/>
    <n v="267.19248482630297"/>
    <n v="97525.256961600695"/>
    <n v="351090.92506176198"/>
  </r>
  <r>
    <x v="0"/>
    <x v="0"/>
    <x v="0"/>
    <x v="2"/>
    <x v="3"/>
    <s v="FIN_HELS"/>
    <x v="0"/>
    <s v="GHOB_COAL"/>
    <x v="0"/>
    <x v="23"/>
    <n v="267.19248482630297"/>
    <n v="97525.256961600695"/>
    <n v="351090.92506176198"/>
  </r>
  <r>
    <x v="0"/>
    <x v="0"/>
    <x v="0"/>
    <x v="2"/>
    <x v="3"/>
    <s v="FIN_HELS"/>
    <x v="3"/>
    <s v="GBPR_NATGAS_MARTINLAAKSOGT"/>
    <x v="0"/>
    <x v="6"/>
    <n v="156.508637090024"/>
    <n v="57125.652537858601"/>
    <n v="205652.34913629101"/>
  </r>
  <r>
    <x v="0"/>
    <x v="0"/>
    <x v="0"/>
    <x v="2"/>
    <x v="3"/>
    <s v="FIN_HELS"/>
    <x v="3"/>
    <s v="GBPR_NATGAS_MARTINLAAKSOGT"/>
    <x v="0"/>
    <x v="7"/>
    <n v="156.508637090024"/>
    <n v="57125.652537858601"/>
    <n v="205652.34913629101"/>
  </r>
  <r>
    <x v="0"/>
    <x v="0"/>
    <x v="0"/>
    <x v="2"/>
    <x v="3"/>
    <s v="FIN_HELS"/>
    <x v="3"/>
    <s v="GBPR_NATGAS_MARTINLAAKSOGT"/>
    <x v="0"/>
    <x v="8"/>
    <n v="156.508637090024"/>
    <n v="57125.652537858601"/>
    <n v="205652.34913629101"/>
  </r>
  <r>
    <x v="0"/>
    <x v="0"/>
    <x v="0"/>
    <x v="2"/>
    <x v="3"/>
    <s v="FIN_HELS"/>
    <x v="3"/>
    <s v="GBPR_NATGAS_MARTINLAAKSOGT"/>
    <x v="0"/>
    <x v="9"/>
    <n v="156.508637090024"/>
    <n v="57125.652537858601"/>
    <n v="205652.34913629101"/>
  </r>
  <r>
    <x v="0"/>
    <x v="0"/>
    <x v="0"/>
    <x v="2"/>
    <x v="3"/>
    <s v="FIN_HELS"/>
    <x v="3"/>
    <s v="GBPR_NATGAS_VOUSAARI"/>
    <x v="0"/>
    <x v="4"/>
    <n v="189.37864350051501"/>
    <n v="69123.204877687895"/>
    <n v="248843.53755967601"/>
  </r>
  <r>
    <x v="0"/>
    <x v="0"/>
    <x v="0"/>
    <x v="2"/>
    <x v="3"/>
    <s v="FIN_HELS"/>
    <x v="3"/>
    <s v="GBPR_NATGAS_VOUSAARI"/>
    <x v="0"/>
    <x v="5"/>
    <n v="351.64835164835199"/>
    <n v="128351.64835164799"/>
    <n v="462065.93406593398"/>
  </r>
  <r>
    <x v="0"/>
    <x v="0"/>
    <x v="0"/>
    <x v="2"/>
    <x v="3"/>
    <s v="FIN_HELS"/>
    <x v="3"/>
    <s v="GBPR_NATGAS_VOUSAARI"/>
    <x v="0"/>
    <x v="6"/>
    <n v="351.64835164835199"/>
    <n v="128351.64835164799"/>
    <n v="462065.93406593398"/>
  </r>
  <r>
    <x v="0"/>
    <x v="0"/>
    <x v="0"/>
    <x v="2"/>
    <x v="3"/>
    <s v="FIN_HELS"/>
    <x v="3"/>
    <s v="GBPR_NATGAS_VOUSAARI"/>
    <x v="0"/>
    <x v="7"/>
    <n v="351.64835164835199"/>
    <n v="128351.64835164799"/>
    <n v="462065.93406593398"/>
  </r>
  <r>
    <x v="0"/>
    <x v="0"/>
    <x v="0"/>
    <x v="2"/>
    <x v="3"/>
    <s v="FIN_HELS"/>
    <x v="3"/>
    <s v="GBPR_NATGAS_VOUSAARI"/>
    <x v="0"/>
    <x v="8"/>
    <n v="351.64835164835199"/>
    <n v="128351.64835164799"/>
    <n v="462065.93406593398"/>
  </r>
  <r>
    <x v="0"/>
    <x v="0"/>
    <x v="0"/>
    <x v="2"/>
    <x v="3"/>
    <s v="FIN_HELS"/>
    <x v="3"/>
    <s v="GBPR_NATGAS_VOUSAARI"/>
    <x v="0"/>
    <x v="9"/>
    <n v="351.64835164835199"/>
    <n v="128351.64835164799"/>
    <n v="462065.93406593398"/>
  </r>
  <r>
    <x v="0"/>
    <x v="0"/>
    <x v="0"/>
    <x v="2"/>
    <x v="3"/>
    <s v="FIN_HELS"/>
    <x v="3"/>
    <s v="GBPR_NATGAS_VOUSAARI"/>
    <x v="0"/>
    <x v="10"/>
    <n v="351.64835164835199"/>
    <n v="128351.64835164799"/>
    <n v="462065.93406593398"/>
  </r>
  <r>
    <x v="0"/>
    <x v="0"/>
    <x v="0"/>
    <x v="2"/>
    <x v="3"/>
    <s v="FIN_HELS"/>
    <x v="3"/>
    <s v="GBPR_NATGAS_VOUSAARI"/>
    <x v="0"/>
    <x v="11"/>
    <n v="351.64835164835199"/>
    <n v="128351.64835164799"/>
    <n v="462065.93406593398"/>
  </r>
  <r>
    <x v="0"/>
    <x v="0"/>
    <x v="0"/>
    <x v="2"/>
    <x v="3"/>
    <s v="FIN_HELS"/>
    <x v="3"/>
    <s v="GBPR_NATGAS_VOUSAARI"/>
    <x v="0"/>
    <x v="12"/>
    <n v="351.64835164835199"/>
    <n v="128351.64835164799"/>
    <n v="462065.93406593398"/>
  </r>
  <r>
    <x v="0"/>
    <x v="0"/>
    <x v="0"/>
    <x v="2"/>
    <x v="3"/>
    <s v="FIN_HELS"/>
    <x v="3"/>
    <s v="GBPR_NATGAS_VOUSAARI"/>
    <x v="0"/>
    <x v="13"/>
    <n v="351.64835164835199"/>
    <n v="128351.64835164799"/>
    <n v="462065.93406593398"/>
  </r>
  <r>
    <x v="0"/>
    <x v="0"/>
    <x v="0"/>
    <x v="2"/>
    <x v="3"/>
    <s v="FIN_HELS"/>
    <x v="3"/>
    <s v="GBPR_NATGAS_VOUSAARI"/>
    <x v="0"/>
    <x v="14"/>
    <n v="351.64835164835199"/>
    <n v="128351.64835164799"/>
    <n v="462065.93406593398"/>
  </r>
  <r>
    <x v="0"/>
    <x v="0"/>
    <x v="0"/>
    <x v="2"/>
    <x v="3"/>
    <s v="FIN_HELS"/>
    <x v="3"/>
    <s v="GBPR_NATGAS_VOUSAARI"/>
    <x v="0"/>
    <x v="15"/>
    <n v="351.64835164835199"/>
    <n v="128351.64835164799"/>
    <n v="462065.93406593398"/>
  </r>
  <r>
    <x v="0"/>
    <x v="0"/>
    <x v="0"/>
    <x v="2"/>
    <x v="3"/>
    <s v="FIN_HELS"/>
    <x v="3"/>
    <s v="GBPR_NATGAS_VOUSAARI"/>
    <x v="0"/>
    <x v="16"/>
    <n v="349.20287911171602"/>
    <n v="127459.050875776"/>
    <n v="458852.58315279498"/>
  </r>
  <r>
    <x v="0"/>
    <x v="0"/>
    <x v="0"/>
    <x v="2"/>
    <x v="3"/>
    <s v="FIN_HELS"/>
    <x v="3"/>
    <s v="GBPR_NATGAS_VOUSAARI"/>
    <x v="0"/>
    <x v="17"/>
    <n v="315.75380113304499"/>
    <n v="115250.13741356099"/>
    <n v="414900.49468882103"/>
  </r>
  <r>
    <x v="0"/>
    <x v="0"/>
    <x v="0"/>
    <x v="2"/>
    <x v="3"/>
    <s v="FIN_HELS"/>
    <x v="3"/>
    <s v="GBPR_NATGAS_VOUSAARI"/>
    <x v="0"/>
    <x v="19"/>
    <n v="268.42417558663698"/>
    <n v="97974.8240891225"/>
    <n v="352709.36672084098"/>
  </r>
  <r>
    <x v="0"/>
    <x v="0"/>
    <x v="0"/>
    <x v="2"/>
    <x v="3"/>
    <s v="FIN_HELS"/>
    <x v="3"/>
    <s v="GBPR_NATGAS_VOUSAARI"/>
    <x v="0"/>
    <x v="20"/>
    <n v="211.73681118506701"/>
    <n v="77283.936082549306"/>
    <n v="278222.16989717801"/>
  </r>
  <r>
    <x v="0"/>
    <x v="0"/>
    <x v="0"/>
    <x v="2"/>
    <x v="3"/>
    <s v="FIN_HELS"/>
    <x v="3"/>
    <s v="GBPR_NATGAS_VOUSAARI"/>
    <x v="0"/>
    <x v="21"/>
    <n v="138.91868677838701"/>
    <n v="50705.320674111303"/>
    <n v="182539.15442680099"/>
  </r>
  <r>
    <x v="0"/>
    <x v="0"/>
    <x v="0"/>
    <x v="2"/>
    <x v="3"/>
    <s v="FIN_HELS"/>
    <x v="3"/>
    <s v="GBPR_NATGAS_VOUSAARI"/>
    <x v="0"/>
    <x v="22"/>
    <n v="27.8820769440932"/>
    <n v="10176.958084594"/>
    <n v="36637.049104538499"/>
  </r>
  <r>
    <x v="0"/>
    <x v="0"/>
    <x v="0"/>
    <x v="2"/>
    <x v="3"/>
    <s v="FIN_HELS"/>
    <x v="3"/>
    <s v="GEXT_NATGAS_VOUSAARI"/>
    <x v="0"/>
    <x v="0"/>
    <n v="814.44254492864297"/>
    <n v="297271.52889895497"/>
    <n v="1070177.50403624"/>
  </r>
  <r>
    <x v="0"/>
    <x v="0"/>
    <x v="0"/>
    <x v="2"/>
    <x v="3"/>
    <s v="FIN_HELS"/>
    <x v="3"/>
    <s v="GEXT_NATGAS_VOUSAARI"/>
    <x v="0"/>
    <x v="1"/>
    <n v="783.02206169708995"/>
    <n v="285803.05251943797"/>
    <n v="1028890.98906998"/>
  </r>
  <r>
    <x v="0"/>
    <x v="0"/>
    <x v="0"/>
    <x v="2"/>
    <x v="3"/>
    <s v="FIN_HELS"/>
    <x v="3"/>
    <s v="GEXT_NATGAS_VOUSAARI"/>
    <x v="0"/>
    <x v="2"/>
    <n v="786.88176760256397"/>
    <n v="287211.845174936"/>
    <n v="1033962.64262977"/>
  </r>
  <r>
    <x v="0"/>
    <x v="0"/>
    <x v="0"/>
    <x v="2"/>
    <x v="3"/>
    <s v="FIN_HELS"/>
    <x v="3"/>
    <s v="GEXT_NATGAS_VOUSAARI"/>
    <x v="0"/>
    <x v="3"/>
    <n v="820.13278771204898"/>
    <n v="299348.46751489799"/>
    <n v="1077654.48305363"/>
  </r>
  <r>
    <x v="0"/>
    <x v="0"/>
    <x v="0"/>
    <x v="2"/>
    <x v="3"/>
    <s v="FIN_HELS"/>
    <x v="3"/>
    <s v="GEXT_NATGAS_VOUSAARI"/>
    <x v="0"/>
    <x v="18"/>
    <n v="899.04618155804201"/>
    <n v="328151.85626868502"/>
    <n v="1181346.68256727"/>
  </r>
  <r>
    <x v="0"/>
    <x v="0"/>
    <x v="0"/>
    <x v="2"/>
    <x v="3"/>
    <s v="FIN_HELS"/>
    <x v="3"/>
    <s v="GEXT_NATGAS_VOUSAARI"/>
    <x v="0"/>
    <x v="4"/>
    <n v="903.84615384615404"/>
    <n v="329903.84615384601"/>
    <n v="1187653.84615385"/>
  </r>
  <r>
    <x v="0"/>
    <x v="0"/>
    <x v="0"/>
    <x v="2"/>
    <x v="3"/>
    <s v="FIN_HELS"/>
    <x v="3"/>
    <s v="GEXT_NATGAS_VOUSAARI"/>
    <x v="0"/>
    <x v="5"/>
    <n v="903.84615384615404"/>
    <n v="329903.84615384601"/>
    <n v="1187653.84615385"/>
  </r>
  <r>
    <x v="0"/>
    <x v="0"/>
    <x v="0"/>
    <x v="2"/>
    <x v="3"/>
    <s v="FIN_HELS"/>
    <x v="3"/>
    <s v="GEXT_NATGAS_VOUSAARI"/>
    <x v="0"/>
    <x v="6"/>
    <n v="903.84615384615404"/>
    <n v="329903.84615384601"/>
    <n v="1187653.84615385"/>
  </r>
  <r>
    <x v="0"/>
    <x v="0"/>
    <x v="0"/>
    <x v="2"/>
    <x v="3"/>
    <s v="FIN_HELS"/>
    <x v="3"/>
    <s v="GEXT_NATGAS_VOUSAARI"/>
    <x v="0"/>
    <x v="7"/>
    <n v="903.84615384615404"/>
    <n v="329903.84615384601"/>
    <n v="1187653.84615385"/>
  </r>
  <r>
    <x v="0"/>
    <x v="0"/>
    <x v="0"/>
    <x v="2"/>
    <x v="3"/>
    <s v="FIN_HELS"/>
    <x v="3"/>
    <s v="GEXT_NATGAS_VOUSAARI"/>
    <x v="0"/>
    <x v="8"/>
    <n v="903.84615384615404"/>
    <n v="329903.84615384601"/>
    <n v="1187653.84615385"/>
  </r>
  <r>
    <x v="0"/>
    <x v="0"/>
    <x v="0"/>
    <x v="2"/>
    <x v="3"/>
    <s v="FIN_HELS"/>
    <x v="3"/>
    <s v="GEXT_NATGAS_VOUSAARI"/>
    <x v="0"/>
    <x v="9"/>
    <n v="903.84615384615404"/>
    <n v="329903.84615384601"/>
    <n v="1187653.84615385"/>
  </r>
  <r>
    <x v="0"/>
    <x v="0"/>
    <x v="0"/>
    <x v="2"/>
    <x v="3"/>
    <s v="FIN_HELS"/>
    <x v="3"/>
    <s v="GEXT_NATGAS_VOUSAARI"/>
    <x v="0"/>
    <x v="10"/>
    <n v="903.84615384615404"/>
    <n v="329903.84615384601"/>
    <n v="1187653.84615385"/>
  </r>
  <r>
    <x v="0"/>
    <x v="0"/>
    <x v="0"/>
    <x v="2"/>
    <x v="3"/>
    <s v="FIN_HELS"/>
    <x v="3"/>
    <s v="GEXT_NATGAS_VOUSAARI"/>
    <x v="0"/>
    <x v="11"/>
    <n v="903.84615384615404"/>
    <n v="329903.84615384601"/>
    <n v="1187653.84615385"/>
  </r>
  <r>
    <x v="0"/>
    <x v="0"/>
    <x v="0"/>
    <x v="2"/>
    <x v="3"/>
    <s v="FIN_HELS"/>
    <x v="3"/>
    <s v="GEXT_NATGAS_VOUSAARI"/>
    <x v="0"/>
    <x v="12"/>
    <n v="903.84615384615404"/>
    <n v="329903.84615384601"/>
    <n v="1187653.84615385"/>
  </r>
  <r>
    <x v="0"/>
    <x v="0"/>
    <x v="0"/>
    <x v="2"/>
    <x v="3"/>
    <s v="FIN_HELS"/>
    <x v="3"/>
    <s v="GEXT_NATGAS_VOUSAARI"/>
    <x v="0"/>
    <x v="13"/>
    <n v="903.84615384615404"/>
    <n v="329903.84615384601"/>
    <n v="1187653.84615385"/>
  </r>
  <r>
    <x v="0"/>
    <x v="0"/>
    <x v="0"/>
    <x v="2"/>
    <x v="3"/>
    <s v="FIN_HELS"/>
    <x v="3"/>
    <s v="GEXT_NATGAS_VOUSAARI"/>
    <x v="0"/>
    <x v="14"/>
    <n v="903.84615384615404"/>
    <n v="329903.84615384601"/>
    <n v="1187653.84615385"/>
  </r>
  <r>
    <x v="0"/>
    <x v="0"/>
    <x v="0"/>
    <x v="2"/>
    <x v="3"/>
    <s v="FIN_HELS"/>
    <x v="3"/>
    <s v="GEXT_NATGAS_VOUSAARI"/>
    <x v="0"/>
    <x v="15"/>
    <n v="903.84615384615404"/>
    <n v="329903.84615384601"/>
    <n v="1187653.84615385"/>
  </r>
  <r>
    <x v="0"/>
    <x v="0"/>
    <x v="0"/>
    <x v="2"/>
    <x v="3"/>
    <s v="FIN_HELS"/>
    <x v="3"/>
    <s v="GEXT_NATGAS_VOUSAARI"/>
    <x v="0"/>
    <x v="16"/>
    <n v="903.84615384615404"/>
    <n v="329903.84615384601"/>
    <n v="1187653.84615385"/>
  </r>
  <r>
    <x v="0"/>
    <x v="0"/>
    <x v="0"/>
    <x v="2"/>
    <x v="3"/>
    <s v="FIN_HELS"/>
    <x v="3"/>
    <s v="GEXT_NATGAS_VOUSAARI"/>
    <x v="0"/>
    <x v="17"/>
    <n v="903.84615384615404"/>
    <n v="329903.84615384601"/>
    <n v="1187653.84615385"/>
  </r>
  <r>
    <x v="0"/>
    <x v="0"/>
    <x v="0"/>
    <x v="2"/>
    <x v="3"/>
    <s v="FIN_HELS"/>
    <x v="3"/>
    <s v="GEXT_NATGAS_VOUSAARI"/>
    <x v="0"/>
    <x v="19"/>
    <n v="903.84615384615404"/>
    <n v="329903.84615384601"/>
    <n v="1187653.84615385"/>
  </r>
  <r>
    <x v="0"/>
    <x v="0"/>
    <x v="0"/>
    <x v="2"/>
    <x v="3"/>
    <s v="FIN_HELS"/>
    <x v="3"/>
    <s v="GEXT_NATGAS_VOUSAARI"/>
    <x v="0"/>
    <x v="20"/>
    <n v="903.84615384615404"/>
    <n v="329903.84615384601"/>
    <n v="1187653.84615385"/>
  </r>
  <r>
    <x v="0"/>
    <x v="0"/>
    <x v="0"/>
    <x v="2"/>
    <x v="3"/>
    <s v="FIN_HELS"/>
    <x v="3"/>
    <s v="GEXT_NATGAS_VOUSAARI"/>
    <x v="0"/>
    <x v="21"/>
    <n v="903.84615384615404"/>
    <n v="329903.84615384601"/>
    <n v="1187653.84615385"/>
  </r>
  <r>
    <x v="0"/>
    <x v="0"/>
    <x v="0"/>
    <x v="2"/>
    <x v="3"/>
    <s v="FIN_HELS"/>
    <x v="3"/>
    <s v="GEXT_NATGAS_VOUSAARI"/>
    <x v="0"/>
    <x v="22"/>
    <n v="903.84615384615404"/>
    <n v="329903.84615384601"/>
    <n v="1187653.84615385"/>
  </r>
  <r>
    <x v="0"/>
    <x v="0"/>
    <x v="0"/>
    <x v="2"/>
    <x v="3"/>
    <s v="FIN_HELS"/>
    <x v="3"/>
    <s v="GEXT_NATGAS_VOUSAARI"/>
    <x v="0"/>
    <x v="23"/>
    <n v="804.22377136807404"/>
    <n v="293541.676549347"/>
    <n v="1056750.0355776499"/>
  </r>
  <r>
    <x v="0"/>
    <x v="0"/>
    <x v="0"/>
    <x v="2"/>
    <x v="3"/>
    <s v="FIN_HELS"/>
    <x v="3"/>
    <s v="GHOB_NATGAS"/>
    <x v="0"/>
    <x v="5"/>
    <n v="159.06565742904201"/>
    <n v="58058.964961600301"/>
    <n v="209012.273861761"/>
  </r>
  <r>
    <x v="0"/>
    <x v="0"/>
    <x v="0"/>
    <x v="2"/>
    <x v="3"/>
    <s v="FIN_HELS"/>
    <x v="3"/>
    <s v="GHOB_NATGAS"/>
    <x v="0"/>
    <x v="6"/>
    <n v="191.962489522965"/>
    <n v="70066.308675882101"/>
    <n v="252238.71123317501"/>
  </r>
  <r>
    <x v="0"/>
    <x v="0"/>
    <x v="0"/>
    <x v="2"/>
    <x v="3"/>
    <s v="FIN_HELS"/>
    <x v="3"/>
    <s v="GHOB_NATGAS"/>
    <x v="0"/>
    <x v="7"/>
    <n v="181.83190301015901"/>
    <n v="66368.644598708197"/>
    <n v="238927.12055534901"/>
  </r>
  <r>
    <x v="0"/>
    <x v="0"/>
    <x v="0"/>
    <x v="2"/>
    <x v="3"/>
    <s v="FIN_HELS"/>
    <x v="3"/>
    <s v="GHOB_NATGAS"/>
    <x v="0"/>
    <x v="8"/>
    <n v="143.86520175488599"/>
    <n v="52510.798640533598"/>
    <n v="189038.875105921"/>
  </r>
  <r>
    <x v="0"/>
    <x v="0"/>
    <x v="0"/>
    <x v="2"/>
    <x v="3"/>
    <s v="FIN_HELS"/>
    <x v="3"/>
    <s v="GHOB_NATGAS"/>
    <x v="0"/>
    <x v="9"/>
    <n v="87.246147969194894"/>
    <n v="31844.844008756099"/>
    <n v="114641.43843152199"/>
  </r>
  <r>
    <x v="0"/>
    <x v="0"/>
    <x v="0"/>
    <x v="2"/>
    <x v="3"/>
    <s v="FIN_HELS"/>
    <x v="3"/>
    <s v="GHOB_NATGAS"/>
    <x v="0"/>
    <x v="10"/>
    <n v="128.59692230824001"/>
    <n v="46937.876642507501"/>
    <n v="168976.35591302699"/>
  </r>
  <r>
    <x v="0"/>
    <x v="0"/>
    <x v="0"/>
    <x v="2"/>
    <x v="3"/>
    <s v="FIN_HELS"/>
    <x v="3"/>
    <s v="GHOB_NATGAS"/>
    <x v="0"/>
    <x v="11"/>
    <n v="91.184079289974306"/>
    <n v="33282.188940840599"/>
    <n v="119815.88018702601"/>
  </r>
  <r>
    <x v="0"/>
    <x v="0"/>
    <x v="0"/>
    <x v="2"/>
    <x v="3"/>
    <s v="FIN_HELS"/>
    <x v="3"/>
    <s v="GHOB_NATGAS"/>
    <x v="0"/>
    <x v="12"/>
    <n v="78.317893212483696"/>
    <n v="28586.031022556501"/>
    <n v="102909.711681204"/>
  </r>
  <r>
    <x v="0"/>
    <x v="0"/>
    <x v="0"/>
    <x v="2"/>
    <x v="3"/>
    <s v="FIN_HELS"/>
    <x v="3"/>
    <s v="GHOB_NATGAS"/>
    <x v="0"/>
    <x v="13"/>
    <n v="69.663438943669604"/>
    <n v="25427.155214439401"/>
    <n v="91537.758771981797"/>
  </r>
  <r>
    <x v="0"/>
    <x v="0"/>
    <x v="0"/>
    <x v="2"/>
    <x v="3"/>
    <s v="FIN_HELS"/>
    <x v="3"/>
    <s v="GHOB_NATGAS"/>
    <x v="0"/>
    <x v="14"/>
    <n v="81.447435799090002"/>
    <n v="29728.314066667899"/>
    <n v="107021.93064000399"/>
  </r>
  <r>
    <x v="0"/>
    <x v="0"/>
    <x v="0"/>
    <x v="2"/>
    <x v="3"/>
    <s v="FIN_HELS"/>
    <x v="3"/>
    <s v="GHOB_NATGAS"/>
    <x v="0"/>
    <x v="15"/>
    <n v="44.764661829514999"/>
    <n v="16339.101567772999"/>
    <n v="58820.765643982697"/>
  </r>
  <r>
    <x v="0"/>
    <x v="0"/>
    <x v="0"/>
    <x v="2"/>
    <x v="3"/>
    <s v="FIN_HP"/>
    <x v="0"/>
    <s v="GBPR_COAL_NAANTALI"/>
    <x v="0"/>
    <x v="0"/>
    <n v="612.97099460151901"/>
    <n v="223734.41302955401"/>
    <n v="805443.88690639602"/>
  </r>
  <r>
    <x v="0"/>
    <x v="0"/>
    <x v="0"/>
    <x v="2"/>
    <x v="3"/>
    <s v="FIN_HP"/>
    <x v="0"/>
    <s v="GBPR_COAL_NAANTALI"/>
    <x v="0"/>
    <x v="1"/>
    <n v="612.97099460151901"/>
    <n v="223734.41302955401"/>
    <n v="805443.88690639602"/>
  </r>
  <r>
    <x v="0"/>
    <x v="0"/>
    <x v="0"/>
    <x v="2"/>
    <x v="3"/>
    <s v="FIN_HP"/>
    <x v="0"/>
    <s v="GBPR_COAL_NAANTALI"/>
    <x v="0"/>
    <x v="2"/>
    <n v="612.97099460151901"/>
    <n v="223734.41302955401"/>
    <n v="805443.88690639602"/>
  </r>
  <r>
    <x v="0"/>
    <x v="0"/>
    <x v="0"/>
    <x v="2"/>
    <x v="3"/>
    <s v="FIN_HP"/>
    <x v="0"/>
    <s v="GBPR_COAL_NAANTALI"/>
    <x v="0"/>
    <x v="3"/>
    <n v="612.97099460151901"/>
    <n v="223734.41302955401"/>
    <n v="805443.88690639602"/>
  </r>
  <r>
    <x v="0"/>
    <x v="0"/>
    <x v="0"/>
    <x v="2"/>
    <x v="3"/>
    <s v="FIN_HP"/>
    <x v="0"/>
    <s v="GBPR_COAL_NAANTALI"/>
    <x v="0"/>
    <x v="18"/>
    <n v="612.97099460151901"/>
    <n v="223734.41302955401"/>
    <n v="805443.88690639602"/>
  </r>
  <r>
    <x v="0"/>
    <x v="0"/>
    <x v="0"/>
    <x v="2"/>
    <x v="3"/>
    <s v="FIN_HP"/>
    <x v="0"/>
    <s v="GBPR_COAL_NAANTALI"/>
    <x v="0"/>
    <x v="4"/>
    <n v="612.97099460151901"/>
    <n v="223734.41302955401"/>
    <n v="805443.88690639602"/>
  </r>
  <r>
    <x v="0"/>
    <x v="0"/>
    <x v="0"/>
    <x v="2"/>
    <x v="3"/>
    <s v="FIN_HP"/>
    <x v="0"/>
    <s v="GBPR_COAL_NAANTALI"/>
    <x v="0"/>
    <x v="5"/>
    <n v="612.97099460151901"/>
    <n v="223734.41302955401"/>
    <n v="805443.88690639602"/>
  </r>
  <r>
    <x v="0"/>
    <x v="0"/>
    <x v="0"/>
    <x v="2"/>
    <x v="3"/>
    <s v="FIN_HP"/>
    <x v="0"/>
    <s v="GBPR_COAL_NAANTALI"/>
    <x v="0"/>
    <x v="6"/>
    <n v="612.97099460151901"/>
    <n v="223734.41302955401"/>
    <n v="805443.88690639602"/>
  </r>
  <r>
    <x v="0"/>
    <x v="0"/>
    <x v="0"/>
    <x v="2"/>
    <x v="3"/>
    <s v="FIN_HP"/>
    <x v="0"/>
    <s v="GBPR_COAL_NAANTALI"/>
    <x v="0"/>
    <x v="7"/>
    <n v="612.97099460151901"/>
    <n v="223734.41302955401"/>
    <n v="805443.88690639602"/>
  </r>
  <r>
    <x v="0"/>
    <x v="0"/>
    <x v="0"/>
    <x v="2"/>
    <x v="3"/>
    <s v="FIN_HP"/>
    <x v="0"/>
    <s v="GBPR_COAL_NAANTALI"/>
    <x v="0"/>
    <x v="8"/>
    <n v="612.97099460151901"/>
    <n v="223734.41302955401"/>
    <n v="805443.88690639602"/>
  </r>
  <r>
    <x v="0"/>
    <x v="0"/>
    <x v="0"/>
    <x v="2"/>
    <x v="3"/>
    <s v="FIN_HP"/>
    <x v="0"/>
    <s v="GBPR_COAL_NAANTALI"/>
    <x v="0"/>
    <x v="9"/>
    <n v="612.97099460151901"/>
    <n v="223734.41302955401"/>
    <n v="805443.88690639602"/>
  </r>
  <r>
    <x v="0"/>
    <x v="0"/>
    <x v="0"/>
    <x v="2"/>
    <x v="3"/>
    <s v="FIN_HP"/>
    <x v="0"/>
    <s v="GBPR_COAL_NAANTALI"/>
    <x v="0"/>
    <x v="10"/>
    <n v="612.97099460151901"/>
    <n v="223734.41302955401"/>
    <n v="805443.88690639602"/>
  </r>
  <r>
    <x v="0"/>
    <x v="0"/>
    <x v="0"/>
    <x v="2"/>
    <x v="3"/>
    <s v="FIN_HP"/>
    <x v="0"/>
    <s v="GBPR_COAL_NAANTALI"/>
    <x v="0"/>
    <x v="11"/>
    <n v="612.97099460151901"/>
    <n v="223734.41302955401"/>
    <n v="805443.88690639602"/>
  </r>
  <r>
    <x v="0"/>
    <x v="0"/>
    <x v="0"/>
    <x v="2"/>
    <x v="3"/>
    <s v="FIN_HP"/>
    <x v="0"/>
    <s v="GBPR_COAL_NAANTALI"/>
    <x v="0"/>
    <x v="12"/>
    <n v="612.97099460151901"/>
    <n v="223734.41302955401"/>
    <n v="805443.88690639602"/>
  </r>
  <r>
    <x v="0"/>
    <x v="0"/>
    <x v="0"/>
    <x v="2"/>
    <x v="3"/>
    <s v="FIN_HP"/>
    <x v="0"/>
    <s v="GBPR_COAL_NAANTALI"/>
    <x v="0"/>
    <x v="13"/>
    <n v="612.97099460151901"/>
    <n v="223734.41302955401"/>
    <n v="805443.88690639602"/>
  </r>
  <r>
    <x v="0"/>
    <x v="0"/>
    <x v="0"/>
    <x v="2"/>
    <x v="3"/>
    <s v="FIN_HP"/>
    <x v="0"/>
    <s v="GBPR_COAL_NAANTALI"/>
    <x v="0"/>
    <x v="14"/>
    <n v="612.97099460151901"/>
    <n v="223734.41302955401"/>
    <n v="805443.88690639602"/>
  </r>
  <r>
    <x v="0"/>
    <x v="0"/>
    <x v="0"/>
    <x v="2"/>
    <x v="3"/>
    <s v="FIN_HP"/>
    <x v="0"/>
    <s v="GBPR_COAL_NAANTALI"/>
    <x v="0"/>
    <x v="15"/>
    <n v="612.97099460151901"/>
    <n v="223734.41302955401"/>
    <n v="805443.88690639602"/>
  </r>
  <r>
    <x v="0"/>
    <x v="0"/>
    <x v="0"/>
    <x v="2"/>
    <x v="3"/>
    <s v="FIN_HP"/>
    <x v="0"/>
    <s v="GBPR_COAL_NAANTALI"/>
    <x v="0"/>
    <x v="16"/>
    <n v="612.97099460151901"/>
    <n v="223734.41302955401"/>
    <n v="805443.88690639602"/>
  </r>
  <r>
    <x v="0"/>
    <x v="0"/>
    <x v="0"/>
    <x v="2"/>
    <x v="3"/>
    <s v="FIN_HP"/>
    <x v="0"/>
    <s v="GBPR_COAL_NAANTALI"/>
    <x v="0"/>
    <x v="17"/>
    <n v="612.97099460151901"/>
    <n v="223734.41302955401"/>
    <n v="805443.88690639602"/>
  </r>
  <r>
    <x v="0"/>
    <x v="0"/>
    <x v="0"/>
    <x v="2"/>
    <x v="3"/>
    <s v="FIN_HP"/>
    <x v="0"/>
    <s v="GBPR_COAL_NAANTALI"/>
    <x v="0"/>
    <x v="19"/>
    <n v="612.97099460151901"/>
    <n v="223734.41302955401"/>
    <n v="805443.88690639602"/>
  </r>
  <r>
    <x v="0"/>
    <x v="0"/>
    <x v="0"/>
    <x v="2"/>
    <x v="3"/>
    <s v="FIN_HP"/>
    <x v="0"/>
    <s v="GBPR_COAL_NAANTALI"/>
    <x v="0"/>
    <x v="20"/>
    <n v="612.97099460151901"/>
    <n v="223734.41302955401"/>
    <n v="805443.88690639602"/>
  </r>
  <r>
    <x v="0"/>
    <x v="0"/>
    <x v="0"/>
    <x v="2"/>
    <x v="3"/>
    <s v="FIN_HP"/>
    <x v="0"/>
    <s v="GBPR_COAL_NAANTALI"/>
    <x v="0"/>
    <x v="21"/>
    <n v="612.97099460151901"/>
    <n v="223734.41302955401"/>
    <n v="805443.88690639602"/>
  </r>
  <r>
    <x v="0"/>
    <x v="0"/>
    <x v="0"/>
    <x v="2"/>
    <x v="3"/>
    <s v="FIN_HP"/>
    <x v="0"/>
    <s v="GBPR_COAL_NAANTALI"/>
    <x v="0"/>
    <x v="22"/>
    <n v="612.97099460151901"/>
    <n v="223734.41302955401"/>
    <n v="805443.88690639602"/>
  </r>
  <r>
    <x v="0"/>
    <x v="0"/>
    <x v="0"/>
    <x v="2"/>
    <x v="3"/>
    <s v="FIN_HP"/>
    <x v="0"/>
    <s v="GBPR_COAL_NAANTALI"/>
    <x v="0"/>
    <x v="23"/>
    <n v="612.97099460151901"/>
    <n v="223734.41302955401"/>
    <n v="805443.88690639602"/>
  </r>
  <r>
    <x v="0"/>
    <x v="0"/>
    <x v="0"/>
    <x v="2"/>
    <x v="3"/>
    <s v="FIN_HP"/>
    <x v="13"/>
    <s v="GHOB_PEAT"/>
    <x v="0"/>
    <x v="0"/>
    <n v="5.8318452215866703"/>
    <n v="2128.6235058791299"/>
    <n v="7663.0446211648796"/>
  </r>
  <r>
    <x v="0"/>
    <x v="0"/>
    <x v="0"/>
    <x v="2"/>
    <x v="3"/>
    <s v="FIN_HP"/>
    <x v="13"/>
    <s v="GHOB_PEAT"/>
    <x v="0"/>
    <x v="1"/>
    <n v="5.8318452215866703"/>
    <n v="2128.6235058791299"/>
    <n v="7663.0446211648796"/>
  </r>
  <r>
    <x v="0"/>
    <x v="0"/>
    <x v="0"/>
    <x v="2"/>
    <x v="3"/>
    <s v="FIN_HP"/>
    <x v="13"/>
    <s v="GHOB_PEAT"/>
    <x v="0"/>
    <x v="2"/>
    <n v="5.8318452215866703"/>
    <n v="2128.6235058791299"/>
    <n v="7663.0446211648796"/>
  </r>
  <r>
    <x v="0"/>
    <x v="0"/>
    <x v="0"/>
    <x v="2"/>
    <x v="3"/>
    <s v="FIN_HP"/>
    <x v="13"/>
    <s v="GHOB_PEAT"/>
    <x v="0"/>
    <x v="3"/>
    <n v="5.8318452215866703"/>
    <n v="2128.6235058791299"/>
    <n v="7663.0446211648796"/>
  </r>
  <r>
    <x v="0"/>
    <x v="0"/>
    <x v="0"/>
    <x v="2"/>
    <x v="3"/>
    <s v="FIN_HP"/>
    <x v="13"/>
    <s v="GHOB_PEAT"/>
    <x v="0"/>
    <x v="18"/>
    <n v="5.8318452215866703"/>
    <n v="2128.6235058791299"/>
    <n v="7663.0446211648796"/>
  </r>
  <r>
    <x v="0"/>
    <x v="0"/>
    <x v="0"/>
    <x v="2"/>
    <x v="3"/>
    <s v="FIN_HP"/>
    <x v="13"/>
    <s v="GHOB_PEAT"/>
    <x v="0"/>
    <x v="4"/>
    <n v="5.8318452215866703"/>
    <n v="2128.6235058791299"/>
    <n v="7663.0446211648796"/>
  </r>
  <r>
    <x v="0"/>
    <x v="0"/>
    <x v="0"/>
    <x v="2"/>
    <x v="3"/>
    <s v="FIN_HP"/>
    <x v="13"/>
    <s v="GHOB_PEAT"/>
    <x v="0"/>
    <x v="5"/>
    <n v="5.8318452215866703"/>
    <n v="2128.6235058791299"/>
    <n v="7663.0446211648796"/>
  </r>
  <r>
    <x v="0"/>
    <x v="0"/>
    <x v="0"/>
    <x v="2"/>
    <x v="3"/>
    <s v="FIN_HP"/>
    <x v="13"/>
    <s v="GHOB_PEAT"/>
    <x v="0"/>
    <x v="6"/>
    <n v="5.8318452215866703"/>
    <n v="2128.6235058791299"/>
    <n v="7663.0446211648796"/>
  </r>
  <r>
    <x v="0"/>
    <x v="0"/>
    <x v="0"/>
    <x v="2"/>
    <x v="3"/>
    <s v="FIN_HP"/>
    <x v="13"/>
    <s v="GHOB_PEAT"/>
    <x v="0"/>
    <x v="7"/>
    <n v="5.8318452215866703"/>
    <n v="2128.6235058791299"/>
    <n v="7663.0446211648796"/>
  </r>
  <r>
    <x v="0"/>
    <x v="0"/>
    <x v="0"/>
    <x v="2"/>
    <x v="3"/>
    <s v="FIN_HP"/>
    <x v="13"/>
    <s v="GHOB_PEAT"/>
    <x v="0"/>
    <x v="8"/>
    <n v="5.8318452215866703"/>
    <n v="2128.6235058791299"/>
    <n v="7663.0446211648796"/>
  </r>
  <r>
    <x v="0"/>
    <x v="0"/>
    <x v="0"/>
    <x v="2"/>
    <x v="3"/>
    <s v="FIN_HP"/>
    <x v="13"/>
    <s v="GHOB_PEAT"/>
    <x v="0"/>
    <x v="9"/>
    <n v="5.8318452215866703"/>
    <n v="2128.6235058791299"/>
    <n v="7663.0446211648796"/>
  </r>
  <r>
    <x v="0"/>
    <x v="0"/>
    <x v="0"/>
    <x v="2"/>
    <x v="3"/>
    <s v="FIN_HP"/>
    <x v="13"/>
    <s v="GHOB_PEAT"/>
    <x v="0"/>
    <x v="10"/>
    <n v="5.8318452215866703"/>
    <n v="2128.6235058791299"/>
    <n v="7663.0446211648796"/>
  </r>
  <r>
    <x v="0"/>
    <x v="0"/>
    <x v="0"/>
    <x v="2"/>
    <x v="3"/>
    <s v="FIN_HP"/>
    <x v="13"/>
    <s v="GHOB_PEAT"/>
    <x v="0"/>
    <x v="11"/>
    <n v="5.8318452215866703"/>
    <n v="2128.6235058791299"/>
    <n v="7663.0446211648796"/>
  </r>
  <r>
    <x v="0"/>
    <x v="0"/>
    <x v="0"/>
    <x v="2"/>
    <x v="3"/>
    <s v="FIN_HP"/>
    <x v="13"/>
    <s v="GHOB_PEAT"/>
    <x v="0"/>
    <x v="12"/>
    <n v="5.8318452215866703"/>
    <n v="2128.6235058791299"/>
    <n v="7663.0446211648796"/>
  </r>
  <r>
    <x v="0"/>
    <x v="0"/>
    <x v="0"/>
    <x v="2"/>
    <x v="3"/>
    <s v="FIN_HP"/>
    <x v="13"/>
    <s v="GHOB_PEAT"/>
    <x v="0"/>
    <x v="13"/>
    <n v="5.8318452215866703"/>
    <n v="2128.6235058791299"/>
    <n v="7663.0446211648796"/>
  </r>
  <r>
    <x v="0"/>
    <x v="0"/>
    <x v="0"/>
    <x v="2"/>
    <x v="3"/>
    <s v="FIN_HP"/>
    <x v="13"/>
    <s v="GHOB_PEAT"/>
    <x v="0"/>
    <x v="14"/>
    <n v="5.8318452215866703"/>
    <n v="2128.6235058791299"/>
    <n v="7663.0446211648796"/>
  </r>
  <r>
    <x v="0"/>
    <x v="0"/>
    <x v="0"/>
    <x v="2"/>
    <x v="3"/>
    <s v="FIN_HP"/>
    <x v="13"/>
    <s v="GHOB_PEAT"/>
    <x v="0"/>
    <x v="15"/>
    <n v="5.8318452215866703"/>
    <n v="2128.6235058791299"/>
    <n v="7663.0446211648796"/>
  </r>
  <r>
    <x v="0"/>
    <x v="0"/>
    <x v="0"/>
    <x v="2"/>
    <x v="3"/>
    <s v="FIN_HP"/>
    <x v="13"/>
    <s v="GHOB_PEAT"/>
    <x v="0"/>
    <x v="16"/>
    <n v="5.8318452215866703"/>
    <n v="2128.6235058791299"/>
    <n v="7663.0446211648796"/>
  </r>
  <r>
    <x v="0"/>
    <x v="0"/>
    <x v="0"/>
    <x v="2"/>
    <x v="3"/>
    <s v="FIN_HP"/>
    <x v="13"/>
    <s v="GHOB_PEAT"/>
    <x v="0"/>
    <x v="17"/>
    <n v="5.8318452215866703"/>
    <n v="2128.6235058791299"/>
    <n v="7663.0446211648796"/>
  </r>
  <r>
    <x v="0"/>
    <x v="0"/>
    <x v="0"/>
    <x v="2"/>
    <x v="3"/>
    <s v="FIN_HP"/>
    <x v="13"/>
    <s v="GHOB_PEAT"/>
    <x v="0"/>
    <x v="19"/>
    <n v="5.8318452215866703"/>
    <n v="2128.6235058791299"/>
    <n v="7663.0446211648796"/>
  </r>
  <r>
    <x v="0"/>
    <x v="0"/>
    <x v="0"/>
    <x v="2"/>
    <x v="3"/>
    <s v="FIN_HP"/>
    <x v="13"/>
    <s v="GHOB_PEAT"/>
    <x v="0"/>
    <x v="20"/>
    <n v="5.8318452215866703"/>
    <n v="2128.6235058791299"/>
    <n v="7663.0446211648796"/>
  </r>
  <r>
    <x v="0"/>
    <x v="0"/>
    <x v="0"/>
    <x v="2"/>
    <x v="3"/>
    <s v="FIN_HP"/>
    <x v="13"/>
    <s v="GHOB_PEAT"/>
    <x v="0"/>
    <x v="21"/>
    <n v="5.8318452215866703"/>
    <n v="2128.6235058791299"/>
    <n v="7663.0446211648796"/>
  </r>
  <r>
    <x v="0"/>
    <x v="0"/>
    <x v="0"/>
    <x v="2"/>
    <x v="3"/>
    <s v="FIN_HP"/>
    <x v="13"/>
    <s v="GHOB_PEAT"/>
    <x v="0"/>
    <x v="22"/>
    <n v="5.8318452215866703"/>
    <n v="2128.6235058791299"/>
    <n v="7663.0446211648796"/>
  </r>
  <r>
    <x v="0"/>
    <x v="0"/>
    <x v="0"/>
    <x v="2"/>
    <x v="3"/>
    <s v="FIN_HP"/>
    <x v="13"/>
    <s v="GHOB_PEAT"/>
    <x v="0"/>
    <x v="23"/>
    <n v="5.8318452215866703"/>
    <n v="2128.6235058791299"/>
    <n v="7663.0446211648796"/>
  </r>
  <r>
    <x v="0"/>
    <x v="0"/>
    <x v="0"/>
    <x v="2"/>
    <x v="3"/>
    <s v="FIN_HP"/>
    <x v="1"/>
    <s v="GHOB_WASTEHEAT"/>
    <x v="0"/>
    <x v="0"/>
    <n v="5.2655677655677398"/>
    <n v="1921.93223443223"/>
    <n v="6918.95604395602"/>
  </r>
  <r>
    <x v="0"/>
    <x v="0"/>
    <x v="0"/>
    <x v="2"/>
    <x v="3"/>
    <s v="FIN_HP"/>
    <x v="1"/>
    <s v="GHOB_WASTEHEAT"/>
    <x v="0"/>
    <x v="1"/>
    <n v="5.2655677655677398"/>
    <n v="1921.93223443223"/>
    <n v="6918.95604395602"/>
  </r>
  <r>
    <x v="0"/>
    <x v="0"/>
    <x v="0"/>
    <x v="2"/>
    <x v="3"/>
    <s v="FIN_HP"/>
    <x v="1"/>
    <s v="GHOB_WASTEHEAT"/>
    <x v="0"/>
    <x v="2"/>
    <n v="5.2655677655677398"/>
    <n v="1921.93223443223"/>
    <n v="6918.95604395602"/>
  </r>
  <r>
    <x v="0"/>
    <x v="0"/>
    <x v="0"/>
    <x v="2"/>
    <x v="3"/>
    <s v="FIN_HP"/>
    <x v="1"/>
    <s v="GHOB_WASTEHEAT"/>
    <x v="0"/>
    <x v="3"/>
    <n v="5.2655677655677398"/>
    <n v="1921.93223443223"/>
    <n v="6918.95604395602"/>
  </r>
  <r>
    <x v="0"/>
    <x v="0"/>
    <x v="0"/>
    <x v="2"/>
    <x v="3"/>
    <s v="FIN_HP"/>
    <x v="1"/>
    <s v="GHOB_WASTEHEAT"/>
    <x v="0"/>
    <x v="18"/>
    <n v="5.2655677655677398"/>
    <n v="1921.93223443223"/>
    <n v="6918.95604395602"/>
  </r>
  <r>
    <x v="0"/>
    <x v="0"/>
    <x v="0"/>
    <x v="2"/>
    <x v="3"/>
    <s v="FIN_HP"/>
    <x v="1"/>
    <s v="GHOB_WASTEHEAT"/>
    <x v="0"/>
    <x v="4"/>
    <n v="5.2655677655677398"/>
    <n v="1921.93223443223"/>
    <n v="6918.95604395602"/>
  </r>
  <r>
    <x v="0"/>
    <x v="0"/>
    <x v="0"/>
    <x v="2"/>
    <x v="3"/>
    <s v="FIN_HP"/>
    <x v="1"/>
    <s v="GHOB_WASTEHEAT"/>
    <x v="0"/>
    <x v="5"/>
    <n v="5.2655677655677398"/>
    <n v="1921.93223443223"/>
    <n v="6918.95604395602"/>
  </r>
  <r>
    <x v="0"/>
    <x v="0"/>
    <x v="0"/>
    <x v="2"/>
    <x v="3"/>
    <s v="FIN_HP"/>
    <x v="1"/>
    <s v="GHOB_WASTEHEAT"/>
    <x v="0"/>
    <x v="6"/>
    <n v="5.2655677655677398"/>
    <n v="1921.93223443223"/>
    <n v="6918.95604395602"/>
  </r>
  <r>
    <x v="0"/>
    <x v="0"/>
    <x v="0"/>
    <x v="2"/>
    <x v="3"/>
    <s v="FIN_HP"/>
    <x v="1"/>
    <s v="GHOB_WASTEHEAT"/>
    <x v="0"/>
    <x v="7"/>
    <n v="5.2655677655677398"/>
    <n v="1921.93223443223"/>
    <n v="6918.95604395602"/>
  </r>
  <r>
    <x v="0"/>
    <x v="0"/>
    <x v="0"/>
    <x v="2"/>
    <x v="3"/>
    <s v="FIN_HP"/>
    <x v="1"/>
    <s v="GHOB_WASTEHEAT"/>
    <x v="0"/>
    <x v="8"/>
    <n v="5.2655677655677398"/>
    <n v="1921.93223443223"/>
    <n v="6918.95604395602"/>
  </r>
  <r>
    <x v="0"/>
    <x v="0"/>
    <x v="0"/>
    <x v="2"/>
    <x v="3"/>
    <s v="FIN_HP"/>
    <x v="1"/>
    <s v="GHOB_WASTEHEAT"/>
    <x v="0"/>
    <x v="9"/>
    <n v="5.2655677655677398"/>
    <n v="1921.93223443223"/>
    <n v="6918.95604395602"/>
  </r>
  <r>
    <x v="0"/>
    <x v="0"/>
    <x v="0"/>
    <x v="2"/>
    <x v="3"/>
    <s v="FIN_HP"/>
    <x v="1"/>
    <s v="GHOB_WASTEHEAT"/>
    <x v="0"/>
    <x v="10"/>
    <n v="5.2655677655677398"/>
    <n v="1921.93223443223"/>
    <n v="6918.95604395602"/>
  </r>
  <r>
    <x v="0"/>
    <x v="0"/>
    <x v="0"/>
    <x v="2"/>
    <x v="3"/>
    <s v="FIN_HP"/>
    <x v="1"/>
    <s v="GHOB_WASTEHEAT"/>
    <x v="0"/>
    <x v="11"/>
    <n v="5.2655677655677398"/>
    <n v="1921.93223443223"/>
    <n v="6918.95604395602"/>
  </r>
  <r>
    <x v="0"/>
    <x v="0"/>
    <x v="0"/>
    <x v="2"/>
    <x v="3"/>
    <s v="FIN_HP"/>
    <x v="1"/>
    <s v="GHOB_WASTEHEAT"/>
    <x v="0"/>
    <x v="12"/>
    <n v="5.2655677655677398"/>
    <n v="1921.93223443223"/>
    <n v="6918.95604395602"/>
  </r>
  <r>
    <x v="0"/>
    <x v="0"/>
    <x v="0"/>
    <x v="2"/>
    <x v="3"/>
    <s v="FIN_HP"/>
    <x v="1"/>
    <s v="GHOB_WASTEHEAT"/>
    <x v="0"/>
    <x v="13"/>
    <n v="5.2655677655677398"/>
    <n v="1921.93223443223"/>
    <n v="6918.95604395602"/>
  </r>
  <r>
    <x v="0"/>
    <x v="0"/>
    <x v="0"/>
    <x v="2"/>
    <x v="3"/>
    <s v="FIN_HP"/>
    <x v="1"/>
    <s v="GHOB_WASTEHEAT"/>
    <x v="0"/>
    <x v="14"/>
    <n v="5.2655677655677398"/>
    <n v="1921.93223443223"/>
    <n v="6918.95604395602"/>
  </r>
  <r>
    <x v="0"/>
    <x v="0"/>
    <x v="0"/>
    <x v="2"/>
    <x v="3"/>
    <s v="FIN_HP"/>
    <x v="1"/>
    <s v="GHOB_WASTEHEAT"/>
    <x v="0"/>
    <x v="15"/>
    <n v="5.2655677655677398"/>
    <n v="1921.93223443223"/>
    <n v="6918.95604395602"/>
  </r>
  <r>
    <x v="0"/>
    <x v="0"/>
    <x v="0"/>
    <x v="2"/>
    <x v="3"/>
    <s v="FIN_HP"/>
    <x v="1"/>
    <s v="GHOB_WASTEHEAT"/>
    <x v="0"/>
    <x v="16"/>
    <n v="5.2655677655677398"/>
    <n v="1921.93223443223"/>
    <n v="6918.95604395602"/>
  </r>
  <r>
    <x v="0"/>
    <x v="0"/>
    <x v="0"/>
    <x v="2"/>
    <x v="3"/>
    <s v="FIN_HP"/>
    <x v="1"/>
    <s v="GHOB_WASTEHEAT"/>
    <x v="0"/>
    <x v="17"/>
    <n v="5.2655677655677398"/>
    <n v="1921.93223443223"/>
    <n v="6918.95604395602"/>
  </r>
  <r>
    <x v="0"/>
    <x v="0"/>
    <x v="0"/>
    <x v="2"/>
    <x v="3"/>
    <s v="FIN_HP"/>
    <x v="1"/>
    <s v="GHOB_WASTEHEAT"/>
    <x v="0"/>
    <x v="19"/>
    <n v="5.2655677655677398"/>
    <n v="1921.93223443223"/>
    <n v="6918.95604395602"/>
  </r>
  <r>
    <x v="0"/>
    <x v="0"/>
    <x v="0"/>
    <x v="2"/>
    <x v="3"/>
    <s v="FIN_HP"/>
    <x v="1"/>
    <s v="GHOB_WASTEHEAT"/>
    <x v="0"/>
    <x v="20"/>
    <n v="5.2655677655677398"/>
    <n v="1921.93223443223"/>
    <n v="6918.95604395602"/>
  </r>
  <r>
    <x v="0"/>
    <x v="0"/>
    <x v="0"/>
    <x v="2"/>
    <x v="3"/>
    <s v="FIN_HP"/>
    <x v="1"/>
    <s v="GHOB_WASTEHEAT"/>
    <x v="0"/>
    <x v="21"/>
    <n v="5.2655677655677398"/>
    <n v="1921.93223443223"/>
    <n v="6918.95604395602"/>
  </r>
  <r>
    <x v="0"/>
    <x v="0"/>
    <x v="0"/>
    <x v="2"/>
    <x v="3"/>
    <s v="FIN_HP"/>
    <x v="1"/>
    <s v="GHOB_WASTEHEAT"/>
    <x v="0"/>
    <x v="22"/>
    <n v="5.2655677655677398"/>
    <n v="1921.93223443223"/>
    <n v="6918.95604395602"/>
  </r>
  <r>
    <x v="0"/>
    <x v="0"/>
    <x v="0"/>
    <x v="2"/>
    <x v="3"/>
    <s v="FIN_HP"/>
    <x v="1"/>
    <s v="GHOB_WASTEHEAT"/>
    <x v="0"/>
    <x v="23"/>
    <n v="5.2655677655677398"/>
    <n v="1921.93223443223"/>
    <n v="6918.95604395602"/>
  </r>
  <r>
    <x v="0"/>
    <x v="0"/>
    <x v="0"/>
    <x v="2"/>
    <x v="3"/>
    <s v="FIN_HP"/>
    <x v="5"/>
    <s v="GHOB_WOODCHIPS"/>
    <x v="0"/>
    <x v="4"/>
    <n v="9.5892564564428504"/>
    <n v="3500.0786066016399"/>
    <n v="12600.282983765899"/>
  </r>
  <r>
    <x v="0"/>
    <x v="0"/>
    <x v="0"/>
    <x v="2"/>
    <x v="3"/>
    <s v="FIN_HP"/>
    <x v="5"/>
    <s v="GHOB_WOODCHIPS"/>
    <x v="0"/>
    <x v="8"/>
    <n v="32.792420254143302"/>
    <n v="11969.2333927623"/>
    <n v="43089.2402139443"/>
  </r>
  <r>
    <x v="0"/>
    <x v="0"/>
    <x v="0"/>
    <x v="2"/>
    <x v="3"/>
    <s v="FIN_HP"/>
    <x v="5"/>
    <s v="GHOB_WOODCHIPS"/>
    <x v="0"/>
    <x v="9"/>
    <n v="79.618913966888201"/>
    <n v="29060.903597914199"/>
    <n v="104619.25295249101"/>
  </r>
  <r>
    <x v="0"/>
    <x v="0"/>
    <x v="0"/>
    <x v="2"/>
    <x v="3"/>
    <s v="FIN_HP"/>
    <x v="5"/>
    <s v="GHOB_WOODCHIPS"/>
    <x v="0"/>
    <x v="10"/>
    <n v="67.530204707816196"/>
    <n v="24648.524718352899"/>
    <n v="88734.688986070396"/>
  </r>
  <r>
    <x v="0"/>
    <x v="0"/>
    <x v="0"/>
    <x v="2"/>
    <x v="3"/>
    <s v="FIN_HP"/>
    <x v="5"/>
    <s v="GHOB_WOODCHIPS"/>
    <x v="0"/>
    <x v="11"/>
    <n v="60.390698069264303"/>
    <n v="22042.604795281499"/>
    <n v="79353.377263013303"/>
  </r>
  <r>
    <x v="0"/>
    <x v="0"/>
    <x v="0"/>
    <x v="2"/>
    <x v="3"/>
    <s v="FIN_HP"/>
    <x v="5"/>
    <s v="GHOB_WOODCHIPS"/>
    <x v="0"/>
    <x v="12"/>
    <n v="54.705320510013998"/>
    <n v="19967.4419861551"/>
    <n v="71882.791150158402"/>
  </r>
  <r>
    <x v="0"/>
    <x v="0"/>
    <x v="0"/>
    <x v="2"/>
    <x v="3"/>
    <s v="FIN_HP"/>
    <x v="5"/>
    <s v="GHOB_WOODCHIPS"/>
    <x v="0"/>
    <x v="13"/>
    <n v="49.673653783696501"/>
    <n v="18130.883631049201"/>
    <n v="65271.1810717771"/>
  </r>
  <r>
    <x v="0"/>
    <x v="0"/>
    <x v="0"/>
    <x v="2"/>
    <x v="3"/>
    <s v="FIN_HP"/>
    <x v="5"/>
    <s v="GHOB_WOODCHIPS"/>
    <x v="0"/>
    <x v="14"/>
    <n v="55.217864456158303"/>
    <n v="20154.520526497799"/>
    <n v="72556.273895392005"/>
  </r>
  <r>
    <x v="0"/>
    <x v="0"/>
    <x v="0"/>
    <x v="2"/>
    <x v="3"/>
    <s v="FIN_HP"/>
    <x v="5"/>
    <s v="GHOB_WOODCHIPS"/>
    <x v="0"/>
    <x v="15"/>
    <n v="29.929948972648301"/>
    <n v="10924.4313750166"/>
    <n v="39327.952950059902"/>
  </r>
  <r>
    <x v="0"/>
    <x v="0"/>
    <x v="0"/>
    <x v="2"/>
    <x v="3"/>
    <s v="FIN_HP"/>
    <x v="5"/>
    <s v="GHOB_WOODCHIPS"/>
    <x v="0"/>
    <x v="16"/>
    <n v="14.7971577340731"/>
    <n v="5400.9625729366899"/>
    <n v="19443.465262572099"/>
  </r>
  <r>
    <x v="0"/>
    <x v="0"/>
    <x v="0"/>
    <x v="2"/>
    <x v="3"/>
    <s v="FIN_HP"/>
    <x v="5"/>
    <s v="GHOB_WOODCHIPS"/>
    <x v="0"/>
    <x v="17"/>
    <n v="2.6569450301956801"/>
    <n v="969.78493602142305"/>
    <n v="3491.2257696771198"/>
  </r>
  <r>
    <x v="0"/>
    <x v="0"/>
    <x v="0"/>
    <x v="2"/>
    <x v="3"/>
    <s v="FIN_HP"/>
    <x v="9"/>
    <s v="GHOB_WOODWASTE"/>
    <x v="0"/>
    <x v="0"/>
    <n v="34.705882352941202"/>
    <n v="12667.647058823501"/>
    <n v="45603.529411764699"/>
  </r>
  <r>
    <x v="0"/>
    <x v="0"/>
    <x v="0"/>
    <x v="2"/>
    <x v="3"/>
    <s v="FIN_HP"/>
    <x v="9"/>
    <s v="GHOB_WOODWASTE"/>
    <x v="0"/>
    <x v="1"/>
    <n v="34.705882352941202"/>
    <n v="12667.647058823501"/>
    <n v="45603.529411764699"/>
  </r>
  <r>
    <x v="0"/>
    <x v="0"/>
    <x v="0"/>
    <x v="2"/>
    <x v="3"/>
    <s v="FIN_HP"/>
    <x v="9"/>
    <s v="GHOB_WOODWASTE"/>
    <x v="0"/>
    <x v="2"/>
    <n v="34.705882352941202"/>
    <n v="12667.647058823501"/>
    <n v="45603.529411764699"/>
  </r>
  <r>
    <x v="0"/>
    <x v="0"/>
    <x v="0"/>
    <x v="2"/>
    <x v="3"/>
    <s v="FIN_HP"/>
    <x v="9"/>
    <s v="GHOB_WOODWASTE"/>
    <x v="0"/>
    <x v="3"/>
    <n v="34.705882352941202"/>
    <n v="12667.647058823501"/>
    <n v="45603.529411764699"/>
  </r>
  <r>
    <x v="0"/>
    <x v="0"/>
    <x v="0"/>
    <x v="2"/>
    <x v="3"/>
    <s v="FIN_HP"/>
    <x v="9"/>
    <s v="GHOB_WOODWASTE"/>
    <x v="0"/>
    <x v="18"/>
    <n v="34.705882352941202"/>
    <n v="12667.647058823501"/>
    <n v="45603.529411764699"/>
  </r>
  <r>
    <x v="0"/>
    <x v="0"/>
    <x v="0"/>
    <x v="2"/>
    <x v="3"/>
    <s v="FIN_HP"/>
    <x v="9"/>
    <s v="GHOB_WOODWASTE"/>
    <x v="0"/>
    <x v="4"/>
    <n v="34.705882352941202"/>
    <n v="12667.647058823501"/>
    <n v="45603.529411764699"/>
  </r>
  <r>
    <x v="0"/>
    <x v="0"/>
    <x v="0"/>
    <x v="2"/>
    <x v="3"/>
    <s v="FIN_HP"/>
    <x v="9"/>
    <s v="GHOB_WOODWASTE"/>
    <x v="0"/>
    <x v="5"/>
    <n v="34.705882352941202"/>
    <n v="12667.647058823501"/>
    <n v="45603.529411764699"/>
  </r>
  <r>
    <x v="0"/>
    <x v="0"/>
    <x v="0"/>
    <x v="2"/>
    <x v="3"/>
    <s v="FIN_HP"/>
    <x v="9"/>
    <s v="GHOB_WOODWASTE"/>
    <x v="0"/>
    <x v="6"/>
    <n v="34.705882352941202"/>
    <n v="12667.647058823501"/>
    <n v="45603.529411764699"/>
  </r>
  <r>
    <x v="0"/>
    <x v="0"/>
    <x v="0"/>
    <x v="2"/>
    <x v="3"/>
    <s v="FIN_HP"/>
    <x v="9"/>
    <s v="GHOB_WOODWASTE"/>
    <x v="0"/>
    <x v="7"/>
    <n v="34.705882352941202"/>
    <n v="12667.647058823501"/>
    <n v="45603.529411764699"/>
  </r>
  <r>
    <x v="0"/>
    <x v="0"/>
    <x v="0"/>
    <x v="2"/>
    <x v="3"/>
    <s v="FIN_HP"/>
    <x v="9"/>
    <s v="GHOB_WOODWASTE"/>
    <x v="0"/>
    <x v="8"/>
    <n v="34.705882352941202"/>
    <n v="12667.647058823501"/>
    <n v="45603.529411764699"/>
  </r>
  <r>
    <x v="0"/>
    <x v="0"/>
    <x v="0"/>
    <x v="2"/>
    <x v="3"/>
    <s v="FIN_HP"/>
    <x v="9"/>
    <s v="GHOB_WOODWASTE"/>
    <x v="0"/>
    <x v="9"/>
    <n v="34.705882352941202"/>
    <n v="12667.647058823501"/>
    <n v="45603.529411764699"/>
  </r>
  <r>
    <x v="0"/>
    <x v="0"/>
    <x v="0"/>
    <x v="2"/>
    <x v="3"/>
    <s v="FIN_HP"/>
    <x v="9"/>
    <s v="GHOB_WOODWASTE"/>
    <x v="0"/>
    <x v="10"/>
    <n v="34.705882352941202"/>
    <n v="12667.647058823501"/>
    <n v="45603.529411764699"/>
  </r>
  <r>
    <x v="0"/>
    <x v="0"/>
    <x v="0"/>
    <x v="2"/>
    <x v="3"/>
    <s v="FIN_HP"/>
    <x v="9"/>
    <s v="GHOB_WOODWASTE"/>
    <x v="0"/>
    <x v="11"/>
    <n v="34.705882352941202"/>
    <n v="12667.647058823501"/>
    <n v="45603.529411764699"/>
  </r>
  <r>
    <x v="0"/>
    <x v="0"/>
    <x v="0"/>
    <x v="2"/>
    <x v="3"/>
    <s v="FIN_HP"/>
    <x v="9"/>
    <s v="GHOB_WOODWASTE"/>
    <x v="0"/>
    <x v="12"/>
    <n v="34.705882352941202"/>
    <n v="12667.647058823501"/>
    <n v="45603.529411764699"/>
  </r>
  <r>
    <x v="0"/>
    <x v="0"/>
    <x v="0"/>
    <x v="2"/>
    <x v="3"/>
    <s v="FIN_HP"/>
    <x v="9"/>
    <s v="GHOB_WOODWASTE"/>
    <x v="0"/>
    <x v="13"/>
    <n v="34.705882352941202"/>
    <n v="12667.647058823501"/>
    <n v="45603.529411764699"/>
  </r>
  <r>
    <x v="0"/>
    <x v="0"/>
    <x v="0"/>
    <x v="2"/>
    <x v="3"/>
    <s v="FIN_HP"/>
    <x v="9"/>
    <s v="GHOB_WOODWASTE"/>
    <x v="0"/>
    <x v="14"/>
    <n v="34.705882352941202"/>
    <n v="12667.647058823501"/>
    <n v="45603.529411764699"/>
  </r>
  <r>
    <x v="0"/>
    <x v="0"/>
    <x v="0"/>
    <x v="2"/>
    <x v="3"/>
    <s v="FIN_HP"/>
    <x v="9"/>
    <s v="GHOB_WOODWASTE"/>
    <x v="0"/>
    <x v="15"/>
    <n v="34.705882352941202"/>
    <n v="12667.647058823501"/>
    <n v="45603.529411764699"/>
  </r>
  <r>
    <x v="0"/>
    <x v="0"/>
    <x v="0"/>
    <x v="2"/>
    <x v="3"/>
    <s v="FIN_HP"/>
    <x v="9"/>
    <s v="GHOB_WOODWASTE"/>
    <x v="0"/>
    <x v="16"/>
    <n v="34.705882352941202"/>
    <n v="12667.647058823501"/>
    <n v="45603.529411764699"/>
  </r>
  <r>
    <x v="0"/>
    <x v="0"/>
    <x v="0"/>
    <x v="2"/>
    <x v="3"/>
    <s v="FIN_HP"/>
    <x v="9"/>
    <s v="GHOB_WOODWASTE"/>
    <x v="0"/>
    <x v="17"/>
    <n v="34.705882352941202"/>
    <n v="12667.647058823501"/>
    <n v="45603.529411764699"/>
  </r>
  <r>
    <x v="0"/>
    <x v="0"/>
    <x v="0"/>
    <x v="2"/>
    <x v="3"/>
    <s v="FIN_HP"/>
    <x v="9"/>
    <s v="GHOB_WOODWASTE"/>
    <x v="0"/>
    <x v="19"/>
    <n v="34.705882352941202"/>
    <n v="12667.647058823501"/>
    <n v="45603.529411764699"/>
  </r>
  <r>
    <x v="0"/>
    <x v="0"/>
    <x v="0"/>
    <x v="2"/>
    <x v="3"/>
    <s v="FIN_HP"/>
    <x v="9"/>
    <s v="GHOB_WOODWASTE"/>
    <x v="0"/>
    <x v="20"/>
    <n v="34.705882352941202"/>
    <n v="12667.647058823501"/>
    <n v="45603.529411764699"/>
  </r>
  <r>
    <x v="0"/>
    <x v="0"/>
    <x v="0"/>
    <x v="2"/>
    <x v="3"/>
    <s v="FIN_HP"/>
    <x v="9"/>
    <s v="GHOB_WOODWASTE"/>
    <x v="0"/>
    <x v="21"/>
    <n v="34.705882352941202"/>
    <n v="12667.647058823501"/>
    <n v="45603.529411764699"/>
  </r>
  <r>
    <x v="0"/>
    <x v="0"/>
    <x v="0"/>
    <x v="2"/>
    <x v="3"/>
    <s v="FIN_HP"/>
    <x v="9"/>
    <s v="GHOB_WOODWASTE"/>
    <x v="0"/>
    <x v="22"/>
    <n v="34.705882352941202"/>
    <n v="12667.647058823501"/>
    <n v="45603.529411764699"/>
  </r>
  <r>
    <x v="0"/>
    <x v="0"/>
    <x v="0"/>
    <x v="2"/>
    <x v="3"/>
    <s v="FIN_HP"/>
    <x v="9"/>
    <s v="GHOB_WOODWASTE"/>
    <x v="0"/>
    <x v="23"/>
    <n v="34.705882352941202"/>
    <n v="12667.647058823501"/>
    <n v="45603.529411764699"/>
  </r>
  <r>
    <x v="0"/>
    <x v="0"/>
    <x v="0"/>
    <x v="2"/>
    <x v="3"/>
    <s v="FIN_OTHER"/>
    <x v="0"/>
    <s v="GBPR_COAL"/>
    <x v="0"/>
    <x v="0"/>
    <n v="8.3745891837284603"/>
    <n v="3056.72505206089"/>
    <n v="11004.210187419199"/>
  </r>
  <r>
    <x v="0"/>
    <x v="0"/>
    <x v="0"/>
    <x v="2"/>
    <x v="3"/>
    <s v="FIN_OTHER"/>
    <x v="0"/>
    <s v="GBPR_COAL"/>
    <x v="0"/>
    <x v="1"/>
    <n v="8.3745891837284603"/>
    <n v="3056.72505206089"/>
    <n v="11004.210187419199"/>
  </r>
  <r>
    <x v="0"/>
    <x v="0"/>
    <x v="0"/>
    <x v="2"/>
    <x v="3"/>
    <s v="FIN_OTHER"/>
    <x v="0"/>
    <s v="GBPR_COAL"/>
    <x v="0"/>
    <x v="2"/>
    <n v="8.3745891837284603"/>
    <n v="3056.72505206089"/>
    <n v="11004.210187419199"/>
  </r>
  <r>
    <x v="0"/>
    <x v="0"/>
    <x v="0"/>
    <x v="2"/>
    <x v="3"/>
    <s v="FIN_OTHER"/>
    <x v="0"/>
    <s v="GBPR_COAL"/>
    <x v="0"/>
    <x v="3"/>
    <n v="8.3745891837284603"/>
    <n v="3056.72505206089"/>
    <n v="11004.210187419199"/>
  </r>
  <r>
    <x v="0"/>
    <x v="0"/>
    <x v="0"/>
    <x v="2"/>
    <x v="3"/>
    <s v="FIN_OTHER"/>
    <x v="0"/>
    <s v="GBPR_COAL"/>
    <x v="0"/>
    <x v="18"/>
    <n v="8.3745891837284603"/>
    <n v="3056.72505206089"/>
    <n v="11004.210187419199"/>
  </r>
  <r>
    <x v="0"/>
    <x v="0"/>
    <x v="0"/>
    <x v="2"/>
    <x v="3"/>
    <s v="FIN_OTHER"/>
    <x v="0"/>
    <s v="GBPR_COAL"/>
    <x v="0"/>
    <x v="4"/>
    <n v="8.3745891837284603"/>
    <n v="3056.72505206089"/>
    <n v="11004.210187419199"/>
  </r>
  <r>
    <x v="0"/>
    <x v="0"/>
    <x v="0"/>
    <x v="2"/>
    <x v="3"/>
    <s v="FIN_OTHER"/>
    <x v="0"/>
    <s v="GBPR_COAL"/>
    <x v="0"/>
    <x v="5"/>
    <n v="8.3745891837284603"/>
    <n v="3056.72505206089"/>
    <n v="11004.210187419199"/>
  </r>
  <r>
    <x v="0"/>
    <x v="0"/>
    <x v="0"/>
    <x v="2"/>
    <x v="3"/>
    <s v="FIN_OTHER"/>
    <x v="0"/>
    <s v="GBPR_COAL"/>
    <x v="0"/>
    <x v="6"/>
    <n v="8.3745891837284603"/>
    <n v="3056.72505206089"/>
    <n v="11004.210187419199"/>
  </r>
  <r>
    <x v="0"/>
    <x v="0"/>
    <x v="0"/>
    <x v="2"/>
    <x v="3"/>
    <s v="FIN_OTHER"/>
    <x v="0"/>
    <s v="GBPR_COAL"/>
    <x v="0"/>
    <x v="7"/>
    <n v="8.3745891837284603"/>
    <n v="3056.72505206089"/>
    <n v="11004.210187419199"/>
  </r>
  <r>
    <x v="0"/>
    <x v="0"/>
    <x v="0"/>
    <x v="2"/>
    <x v="3"/>
    <s v="FIN_OTHER"/>
    <x v="0"/>
    <s v="GBPR_COAL"/>
    <x v="0"/>
    <x v="8"/>
    <n v="8.3745891837284603"/>
    <n v="3056.72505206089"/>
    <n v="11004.210187419199"/>
  </r>
  <r>
    <x v="0"/>
    <x v="0"/>
    <x v="0"/>
    <x v="2"/>
    <x v="3"/>
    <s v="FIN_OTHER"/>
    <x v="0"/>
    <s v="GBPR_COAL"/>
    <x v="0"/>
    <x v="9"/>
    <n v="8.3745891837284603"/>
    <n v="3056.72505206089"/>
    <n v="11004.210187419199"/>
  </r>
  <r>
    <x v="0"/>
    <x v="0"/>
    <x v="0"/>
    <x v="2"/>
    <x v="3"/>
    <s v="FIN_OTHER"/>
    <x v="0"/>
    <s v="GBPR_COAL"/>
    <x v="0"/>
    <x v="10"/>
    <n v="8.3745891837284603"/>
    <n v="3056.72505206089"/>
    <n v="11004.210187419199"/>
  </r>
  <r>
    <x v="0"/>
    <x v="0"/>
    <x v="0"/>
    <x v="2"/>
    <x v="3"/>
    <s v="FIN_OTHER"/>
    <x v="0"/>
    <s v="GBPR_COAL"/>
    <x v="0"/>
    <x v="11"/>
    <n v="8.3745891837284603"/>
    <n v="3056.72505206089"/>
    <n v="11004.210187419199"/>
  </r>
  <r>
    <x v="0"/>
    <x v="0"/>
    <x v="0"/>
    <x v="2"/>
    <x v="3"/>
    <s v="FIN_OTHER"/>
    <x v="0"/>
    <s v="GBPR_COAL"/>
    <x v="0"/>
    <x v="12"/>
    <n v="8.3745891837284603"/>
    <n v="3056.72505206089"/>
    <n v="11004.210187419199"/>
  </r>
  <r>
    <x v="0"/>
    <x v="0"/>
    <x v="0"/>
    <x v="2"/>
    <x v="3"/>
    <s v="FIN_OTHER"/>
    <x v="0"/>
    <s v="GBPR_COAL"/>
    <x v="0"/>
    <x v="13"/>
    <n v="8.3745891837284603"/>
    <n v="3056.72505206089"/>
    <n v="11004.210187419199"/>
  </r>
  <r>
    <x v="0"/>
    <x v="0"/>
    <x v="0"/>
    <x v="2"/>
    <x v="3"/>
    <s v="FIN_OTHER"/>
    <x v="0"/>
    <s v="GBPR_COAL"/>
    <x v="0"/>
    <x v="14"/>
    <n v="8.3745891837284603"/>
    <n v="3056.72505206089"/>
    <n v="11004.210187419199"/>
  </r>
  <r>
    <x v="0"/>
    <x v="0"/>
    <x v="0"/>
    <x v="2"/>
    <x v="3"/>
    <s v="FIN_OTHER"/>
    <x v="0"/>
    <s v="GBPR_COAL"/>
    <x v="0"/>
    <x v="15"/>
    <n v="8.3745891837284603"/>
    <n v="3056.72505206089"/>
    <n v="11004.210187419199"/>
  </r>
  <r>
    <x v="0"/>
    <x v="0"/>
    <x v="0"/>
    <x v="2"/>
    <x v="3"/>
    <s v="FIN_OTHER"/>
    <x v="0"/>
    <s v="GBPR_COAL"/>
    <x v="0"/>
    <x v="16"/>
    <n v="8.3745891837284603"/>
    <n v="3056.72505206089"/>
    <n v="11004.210187419199"/>
  </r>
  <r>
    <x v="0"/>
    <x v="0"/>
    <x v="0"/>
    <x v="2"/>
    <x v="3"/>
    <s v="FIN_OTHER"/>
    <x v="0"/>
    <s v="GBPR_COAL"/>
    <x v="0"/>
    <x v="17"/>
    <n v="8.3745891837284603"/>
    <n v="3056.72505206089"/>
    <n v="11004.210187419199"/>
  </r>
  <r>
    <x v="0"/>
    <x v="0"/>
    <x v="0"/>
    <x v="2"/>
    <x v="3"/>
    <s v="FIN_OTHER"/>
    <x v="0"/>
    <s v="GBPR_COAL"/>
    <x v="0"/>
    <x v="19"/>
    <n v="8.3745891837284603"/>
    <n v="3056.72505206089"/>
    <n v="11004.210187419199"/>
  </r>
  <r>
    <x v="0"/>
    <x v="0"/>
    <x v="0"/>
    <x v="2"/>
    <x v="3"/>
    <s v="FIN_OTHER"/>
    <x v="0"/>
    <s v="GBPR_COAL"/>
    <x v="0"/>
    <x v="20"/>
    <n v="8.3745891837284603"/>
    <n v="3056.72505206089"/>
    <n v="11004.210187419199"/>
  </r>
  <r>
    <x v="0"/>
    <x v="0"/>
    <x v="0"/>
    <x v="2"/>
    <x v="3"/>
    <s v="FIN_OTHER"/>
    <x v="0"/>
    <s v="GBPR_COAL"/>
    <x v="0"/>
    <x v="21"/>
    <n v="8.3745891837284603"/>
    <n v="3056.72505206089"/>
    <n v="11004.210187419199"/>
  </r>
  <r>
    <x v="0"/>
    <x v="0"/>
    <x v="0"/>
    <x v="2"/>
    <x v="3"/>
    <s v="FIN_OTHER"/>
    <x v="0"/>
    <s v="GBPR_COAL"/>
    <x v="0"/>
    <x v="22"/>
    <n v="8.3745891837284603"/>
    <n v="3056.72505206089"/>
    <n v="11004.210187419199"/>
  </r>
  <r>
    <x v="0"/>
    <x v="0"/>
    <x v="0"/>
    <x v="2"/>
    <x v="3"/>
    <s v="FIN_OTHER"/>
    <x v="0"/>
    <s v="GBPR_COAL"/>
    <x v="0"/>
    <x v="23"/>
    <n v="8.3745891837284603"/>
    <n v="3056.72505206089"/>
    <n v="11004.210187419199"/>
  </r>
  <r>
    <x v="0"/>
    <x v="0"/>
    <x v="0"/>
    <x v="2"/>
    <x v="3"/>
    <s v="FIN_OTHER"/>
    <x v="13"/>
    <s v="GBPR_PEAT"/>
    <x v="0"/>
    <x v="0"/>
    <n v="937.60243749013296"/>
    <n v="342224.889683899"/>
    <n v="1232009.60286203"/>
  </r>
  <r>
    <x v="0"/>
    <x v="0"/>
    <x v="0"/>
    <x v="2"/>
    <x v="3"/>
    <s v="FIN_OTHER"/>
    <x v="13"/>
    <s v="GBPR_PEAT"/>
    <x v="0"/>
    <x v="1"/>
    <n v="937.60243749013296"/>
    <n v="342224.889683899"/>
    <n v="1232009.60286203"/>
  </r>
  <r>
    <x v="0"/>
    <x v="0"/>
    <x v="0"/>
    <x v="2"/>
    <x v="3"/>
    <s v="FIN_OTHER"/>
    <x v="13"/>
    <s v="GBPR_PEAT"/>
    <x v="0"/>
    <x v="2"/>
    <n v="937.60243749013296"/>
    <n v="342224.889683899"/>
    <n v="1232009.60286203"/>
  </r>
  <r>
    <x v="0"/>
    <x v="0"/>
    <x v="0"/>
    <x v="2"/>
    <x v="3"/>
    <s v="FIN_OTHER"/>
    <x v="13"/>
    <s v="GBPR_PEAT"/>
    <x v="0"/>
    <x v="3"/>
    <n v="937.60243749013296"/>
    <n v="342224.889683899"/>
    <n v="1232009.60286203"/>
  </r>
  <r>
    <x v="0"/>
    <x v="0"/>
    <x v="0"/>
    <x v="2"/>
    <x v="3"/>
    <s v="FIN_OTHER"/>
    <x v="13"/>
    <s v="GBPR_PEAT"/>
    <x v="0"/>
    <x v="18"/>
    <n v="937.60243749013296"/>
    <n v="342224.889683899"/>
    <n v="1232009.60286203"/>
  </r>
  <r>
    <x v="0"/>
    <x v="0"/>
    <x v="0"/>
    <x v="2"/>
    <x v="3"/>
    <s v="FIN_OTHER"/>
    <x v="13"/>
    <s v="GBPR_PEAT"/>
    <x v="0"/>
    <x v="4"/>
    <n v="937.60243749013296"/>
    <n v="342224.889683899"/>
    <n v="1232009.60286203"/>
  </r>
  <r>
    <x v="0"/>
    <x v="0"/>
    <x v="0"/>
    <x v="2"/>
    <x v="3"/>
    <s v="FIN_OTHER"/>
    <x v="13"/>
    <s v="GBPR_PEAT"/>
    <x v="0"/>
    <x v="5"/>
    <n v="937.60243749013296"/>
    <n v="342224.889683899"/>
    <n v="1232009.60286203"/>
  </r>
  <r>
    <x v="0"/>
    <x v="0"/>
    <x v="0"/>
    <x v="2"/>
    <x v="3"/>
    <s v="FIN_OTHER"/>
    <x v="13"/>
    <s v="GBPR_PEAT"/>
    <x v="0"/>
    <x v="6"/>
    <n v="937.60243749013296"/>
    <n v="342224.889683899"/>
    <n v="1232009.60286203"/>
  </r>
  <r>
    <x v="0"/>
    <x v="0"/>
    <x v="0"/>
    <x v="2"/>
    <x v="3"/>
    <s v="FIN_OTHER"/>
    <x v="13"/>
    <s v="GBPR_PEAT"/>
    <x v="0"/>
    <x v="7"/>
    <n v="937.60243749013296"/>
    <n v="342224.889683899"/>
    <n v="1232009.60286203"/>
  </r>
  <r>
    <x v="0"/>
    <x v="0"/>
    <x v="0"/>
    <x v="2"/>
    <x v="3"/>
    <s v="FIN_OTHER"/>
    <x v="13"/>
    <s v="GBPR_PEAT"/>
    <x v="0"/>
    <x v="8"/>
    <n v="937.60243749013296"/>
    <n v="342224.889683899"/>
    <n v="1232009.60286203"/>
  </r>
  <r>
    <x v="0"/>
    <x v="0"/>
    <x v="0"/>
    <x v="2"/>
    <x v="3"/>
    <s v="FIN_OTHER"/>
    <x v="13"/>
    <s v="GBPR_PEAT"/>
    <x v="0"/>
    <x v="9"/>
    <n v="937.60243749013296"/>
    <n v="342224.889683899"/>
    <n v="1232009.60286203"/>
  </r>
  <r>
    <x v="0"/>
    <x v="0"/>
    <x v="0"/>
    <x v="2"/>
    <x v="3"/>
    <s v="FIN_OTHER"/>
    <x v="13"/>
    <s v="GBPR_PEAT"/>
    <x v="0"/>
    <x v="10"/>
    <n v="937.60243749013296"/>
    <n v="342224.889683899"/>
    <n v="1232009.60286203"/>
  </r>
  <r>
    <x v="0"/>
    <x v="0"/>
    <x v="0"/>
    <x v="2"/>
    <x v="3"/>
    <s v="FIN_OTHER"/>
    <x v="13"/>
    <s v="GBPR_PEAT"/>
    <x v="0"/>
    <x v="11"/>
    <n v="937.60243749013296"/>
    <n v="342224.889683899"/>
    <n v="1232009.60286203"/>
  </r>
  <r>
    <x v="0"/>
    <x v="0"/>
    <x v="0"/>
    <x v="2"/>
    <x v="3"/>
    <s v="FIN_OTHER"/>
    <x v="13"/>
    <s v="GBPR_PEAT"/>
    <x v="0"/>
    <x v="12"/>
    <n v="937.60243749013296"/>
    <n v="342224.889683899"/>
    <n v="1232009.60286203"/>
  </r>
  <r>
    <x v="0"/>
    <x v="0"/>
    <x v="0"/>
    <x v="2"/>
    <x v="3"/>
    <s v="FIN_OTHER"/>
    <x v="13"/>
    <s v="GBPR_PEAT"/>
    <x v="0"/>
    <x v="13"/>
    <n v="937.60243749013296"/>
    <n v="342224.889683899"/>
    <n v="1232009.60286203"/>
  </r>
  <r>
    <x v="0"/>
    <x v="0"/>
    <x v="0"/>
    <x v="2"/>
    <x v="3"/>
    <s v="FIN_OTHER"/>
    <x v="13"/>
    <s v="GBPR_PEAT"/>
    <x v="0"/>
    <x v="14"/>
    <n v="937.60243749013296"/>
    <n v="342224.889683899"/>
    <n v="1232009.60286203"/>
  </r>
  <r>
    <x v="0"/>
    <x v="0"/>
    <x v="0"/>
    <x v="2"/>
    <x v="3"/>
    <s v="FIN_OTHER"/>
    <x v="13"/>
    <s v="GBPR_PEAT"/>
    <x v="0"/>
    <x v="15"/>
    <n v="937.60243749013296"/>
    <n v="342224.889683899"/>
    <n v="1232009.60286203"/>
  </r>
  <r>
    <x v="0"/>
    <x v="0"/>
    <x v="0"/>
    <x v="2"/>
    <x v="3"/>
    <s v="FIN_OTHER"/>
    <x v="13"/>
    <s v="GBPR_PEAT"/>
    <x v="0"/>
    <x v="16"/>
    <n v="937.60243749013296"/>
    <n v="342224.889683899"/>
    <n v="1232009.60286203"/>
  </r>
  <r>
    <x v="0"/>
    <x v="0"/>
    <x v="0"/>
    <x v="2"/>
    <x v="3"/>
    <s v="FIN_OTHER"/>
    <x v="13"/>
    <s v="GBPR_PEAT"/>
    <x v="0"/>
    <x v="17"/>
    <n v="937.60243749013296"/>
    <n v="342224.889683899"/>
    <n v="1232009.60286203"/>
  </r>
  <r>
    <x v="0"/>
    <x v="0"/>
    <x v="0"/>
    <x v="2"/>
    <x v="3"/>
    <s v="FIN_OTHER"/>
    <x v="13"/>
    <s v="GBPR_PEAT"/>
    <x v="0"/>
    <x v="19"/>
    <n v="937.60243749013296"/>
    <n v="342224.889683899"/>
    <n v="1232009.60286203"/>
  </r>
  <r>
    <x v="0"/>
    <x v="0"/>
    <x v="0"/>
    <x v="2"/>
    <x v="3"/>
    <s v="FIN_OTHER"/>
    <x v="13"/>
    <s v="GBPR_PEAT"/>
    <x v="0"/>
    <x v="20"/>
    <n v="937.60243749013296"/>
    <n v="342224.889683899"/>
    <n v="1232009.60286203"/>
  </r>
  <r>
    <x v="0"/>
    <x v="0"/>
    <x v="0"/>
    <x v="2"/>
    <x v="3"/>
    <s v="FIN_OTHER"/>
    <x v="13"/>
    <s v="GBPR_PEAT"/>
    <x v="0"/>
    <x v="21"/>
    <n v="937.60243749013296"/>
    <n v="342224.889683899"/>
    <n v="1232009.60286203"/>
  </r>
  <r>
    <x v="0"/>
    <x v="0"/>
    <x v="0"/>
    <x v="2"/>
    <x v="3"/>
    <s v="FIN_OTHER"/>
    <x v="13"/>
    <s v="GBPR_PEAT"/>
    <x v="0"/>
    <x v="22"/>
    <n v="937.60243749013296"/>
    <n v="342224.889683899"/>
    <n v="1232009.60286203"/>
  </r>
  <r>
    <x v="0"/>
    <x v="0"/>
    <x v="0"/>
    <x v="2"/>
    <x v="3"/>
    <s v="FIN_OTHER"/>
    <x v="13"/>
    <s v="GBPR_PEAT"/>
    <x v="0"/>
    <x v="23"/>
    <n v="937.60243749013296"/>
    <n v="342224.889683899"/>
    <n v="1232009.60286203"/>
  </r>
  <r>
    <x v="0"/>
    <x v="0"/>
    <x v="0"/>
    <x v="2"/>
    <x v="3"/>
    <s v="FIN_OTHER"/>
    <x v="13"/>
    <s v="GEXT_PEAT_KELJONLAHTI"/>
    <x v="0"/>
    <x v="0"/>
    <n v="289.22902968235098"/>
    <n v="105568.595834058"/>
    <n v="380046.94500260899"/>
  </r>
  <r>
    <x v="0"/>
    <x v="0"/>
    <x v="0"/>
    <x v="2"/>
    <x v="3"/>
    <s v="FIN_OTHER"/>
    <x v="13"/>
    <s v="GEXT_PEAT_KELJONLAHTI"/>
    <x v="0"/>
    <x v="1"/>
    <n v="289.22902968235098"/>
    <n v="105568.595834058"/>
    <n v="380046.94500260899"/>
  </r>
  <r>
    <x v="0"/>
    <x v="0"/>
    <x v="0"/>
    <x v="2"/>
    <x v="3"/>
    <s v="FIN_OTHER"/>
    <x v="13"/>
    <s v="GEXT_PEAT_KELJONLAHTI"/>
    <x v="0"/>
    <x v="2"/>
    <n v="289.22902968235098"/>
    <n v="105568.595834058"/>
    <n v="380046.94500260899"/>
  </r>
  <r>
    <x v="0"/>
    <x v="0"/>
    <x v="0"/>
    <x v="2"/>
    <x v="3"/>
    <s v="FIN_OTHER"/>
    <x v="13"/>
    <s v="GEXT_PEAT_KELJONLAHTI"/>
    <x v="0"/>
    <x v="3"/>
    <n v="289.22902968235098"/>
    <n v="105568.595834058"/>
    <n v="380046.94500260899"/>
  </r>
  <r>
    <x v="0"/>
    <x v="0"/>
    <x v="0"/>
    <x v="2"/>
    <x v="3"/>
    <s v="FIN_OTHER"/>
    <x v="13"/>
    <s v="GEXT_PEAT_KELJONLAHTI"/>
    <x v="0"/>
    <x v="18"/>
    <n v="289.22902968235098"/>
    <n v="105568.595834058"/>
    <n v="380046.94500260899"/>
  </r>
  <r>
    <x v="0"/>
    <x v="0"/>
    <x v="0"/>
    <x v="2"/>
    <x v="3"/>
    <s v="FIN_OTHER"/>
    <x v="13"/>
    <s v="GEXT_PEAT_KELJONLAHTI"/>
    <x v="0"/>
    <x v="4"/>
    <n v="289.22902968235098"/>
    <n v="105568.595834058"/>
    <n v="380046.94500260899"/>
  </r>
  <r>
    <x v="0"/>
    <x v="0"/>
    <x v="0"/>
    <x v="2"/>
    <x v="3"/>
    <s v="FIN_OTHER"/>
    <x v="13"/>
    <s v="GEXT_PEAT_KELJONLAHTI"/>
    <x v="0"/>
    <x v="5"/>
    <n v="289.22902968235098"/>
    <n v="105568.595834058"/>
    <n v="380046.94500260899"/>
  </r>
  <r>
    <x v="0"/>
    <x v="0"/>
    <x v="0"/>
    <x v="2"/>
    <x v="3"/>
    <s v="FIN_OTHER"/>
    <x v="13"/>
    <s v="GEXT_PEAT_KELJONLAHTI"/>
    <x v="0"/>
    <x v="6"/>
    <n v="289.22902968235098"/>
    <n v="105568.595834058"/>
    <n v="380046.94500260899"/>
  </r>
  <r>
    <x v="0"/>
    <x v="0"/>
    <x v="0"/>
    <x v="2"/>
    <x v="3"/>
    <s v="FIN_OTHER"/>
    <x v="13"/>
    <s v="GEXT_PEAT_KELJONLAHTI"/>
    <x v="0"/>
    <x v="7"/>
    <n v="289.22902968235098"/>
    <n v="105568.595834058"/>
    <n v="380046.94500260899"/>
  </r>
  <r>
    <x v="0"/>
    <x v="0"/>
    <x v="0"/>
    <x v="2"/>
    <x v="3"/>
    <s v="FIN_OTHER"/>
    <x v="13"/>
    <s v="GEXT_PEAT_KELJONLAHTI"/>
    <x v="0"/>
    <x v="8"/>
    <n v="289.22902968235098"/>
    <n v="105568.595834058"/>
    <n v="380046.94500260899"/>
  </r>
  <r>
    <x v="0"/>
    <x v="0"/>
    <x v="0"/>
    <x v="2"/>
    <x v="3"/>
    <s v="FIN_OTHER"/>
    <x v="13"/>
    <s v="GEXT_PEAT_KELJONLAHTI"/>
    <x v="0"/>
    <x v="9"/>
    <n v="289.22902968235098"/>
    <n v="105568.595834058"/>
    <n v="380046.94500260899"/>
  </r>
  <r>
    <x v="0"/>
    <x v="0"/>
    <x v="0"/>
    <x v="2"/>
    <x v="3"/>
    <s v="FIN_OTHER"/>
    <x v="13"/>
    <s v="GEXT_PEAT_KELJONLAHTI"/>
    <x v="0"/>
    <x v="10"/>
    <n v="289.22902968235098"/>
    <n v="105568.595834058"/>
    <n v="380046.94500260899"/>
  </r>
  <r>
    <x v="0"/>
    <x v="0"/>
    <x v="0"/>
    <x v="2"/>
    <x v="3"/>
    <s v="FIN_OTHER"/>
    <x v="13"/>
    <s v="GEXT_PEAT_KELJONLAHTI"/>
    <x v="0"/>
    <x v="11"/>
    <n v="289.22902968235098"/>
    <n v="105568.595834058"/>
    <n v="380046.94500260899"/>
  </r>
  <r>
    <x v="0"/>
    <x v="0"/>
    <x v="0"/>
    <x v="2"/>
    <x v="3"/>
    <s v="FIN_OTHER"/>
    <x v="13"/>
    <s v="GEXT_PEAT_KELJONLAHTI"/>
    <x v="0"/>
    <x v="12"/>
    <n v="289.22902968235098"/>
    <n v="105568.595834058"/>
    <n v="380046.94500260899"/>
  </r>
  <r>
    <x v="0"/>
    <x v="0"/>
    <x v="0"/>
    <x v="2"/>
    <x v="3"/>
    <s v="FIN_OTHER"/>
    <x v="13"/>
    <s v="GEXT_PEAT_KELJONLAHTI"/>
    <x v="0"/>
    <x v="13"/>
    <n v="289.22902968235098"/>
    <n v="105568.595834058"/>
    <n v="380046.94500260899"/>
  </r>
  <r>
    <x v="0"/>
    <x v="0"/>
    <x v="0"/>
    <x v="2"/>
    <x v="3"/>
    <s v="FIN_OTHER"/>
    <x v="13"/>
    <s v="GEXT_PEAT_KELJONLAHTI"/>
    <x v="0"/>
    <x v="14"/>
    <n v="289.22902968235098"/>
    <n v="105568.595834058"/>
    <n v="380046.94500260899"/>
  </r>
  <r>
    <x v="0"/>
    <x v="0"/>
    <x v="0"/>
    <x v="2"/>
    <x v="3"/>
    <s v="FIN_OTHER"/>
    <x v="13"/>
    <s v="GEXT_PEAT_KELJONLAHTI"/>
    <x v="0"/>
    <x v="15"/>
    <n v="289.22902968235098"/>
    <n v="105568.595834058"/>
    <n v="380046.94500260899"/>
  </r>
  <r>
    <x v="0"/>
    <x v="0"/>
    <x v="0"/>
    <x v="2"/>
    <x v="3"/>
    <s v="FIN_OTHER"/>
    <x v="13"/>
    <s v="GEXT_PEAT_KELJONLAHTI"/>
    <x v="0"/>
    <x v="16"/>
    <n v="289.22902968235098"/>
    <n v="105568.595834058"/>
    <n v="380046.94500260899"/>
  </r>
  <r>
    <x v="0"/>
    <x v="0"/>
    <x v="0"/>
    <x v="2"/>
    <x v="3"/>
    <s v="FIN_OTHER"/>
    <x v="13"/>
    <s v="GEXT_PEAT_KELJONLAHTI"/>
    <x v="0"/>
    <x v="17"/>
    <n v="289.22902968235098"/>
    <n v="105568.595834058"/>
    <n v="380046.94500260899"/>
  </r>
  <r>
    <x v="0"/>
    <x v="0"/>
    <x v="0"/>
    <x v="2"/>
    <x v="3"/>
    <s v="FIN_OTHER"/>
    <x v="13"/>
    <s v="GEXT_PEAT_KELJONLAHTI"/>
    <x v="0"/>
    <x v="19"/>
    <n v="289.22902968235098"/>
    <n v="105568.595834058"/>
    <n v="380046.94500260899"/>
  </r>
  <r>
    <x v="0"/>
    <x v="0"/>
    <x v="0"/>
    <x v="2"/>
    <x v="3"/>
    <s v="FIN_OTHER"/>
    <x v="13"/>
    <s v="GEXT_PEAT_KELJONLAHTI"/>
    <x v="0"/>
    <x v="20"/>
    <n v="289.22902968235098"/>
    <n v="105568.595834058"/>
    <n v="380046.94500260899"/>
  </r>
  <r>
    <x v="0"/>
    <x v="0"/>
    <x v="0"/>
    <x v="2"/>
    <x v="3"/>
    <s v="FIN_OTHER"/>
    <x v="13"/>
    <s v="GEXT_PEAT_KELJONLAHTI"/>
    <x v="0"/>
    <x v="21"/>
    <n v="289.22902968235098"/>
    <n v="105568.595834058"/>
    <n v="380046.94500260899"/>
  </r>
  <r>
    <x v="0"/>
    <x v="0"/>
    <x v="0"/>
    <x v="2"/>
    <x v="3"/>
    <s v="FIN_OTHER"/>
    <x v="13"/>
    <s v="GEXT_PEAT_KELJONLAHTI"/>
    <x v="0"/>
    <x v="22"/>
    <n v="289.22902968235098"/>
    <n v="105568.595834058"/>
    <n v="380046.94500260899"/>
  </r>
  <r>
    <x v="0"/>
    <x v="0"/>
    <x v="0"/>
    <x v="2"/>
    <x v="3"/>
    <s v="FIN_OTHER"/>
    <x v="13"/>
    <s v="GEXT_PEAT_KELJONLAHTI"/>
    <x v="0"/>
    <x v="23"/>
    <n v="289.22902968235098"/>
    <n v="105568.595834058"/>
    <n v="380046.94500260899"/>
  </r>
  <r>
    <x v="0"/>
    <x v="0"/>
    <x v="0"/>
    <x v="2"/>
    <x v="3"/>
    <s v="FIN_OTHER"/>
    <x v="13"/>
    <s v="GEXT_PEAT_SEVO"/>
    <x v="0"/>
    <x v="0"/>
    <n v="259.34558750114797"/>
    <n v="94661.139437919206"/>
    <n v="340780.10197650897"/>
  </r>
  <r>
    <x v="0"/>
    <x v="0"/>
    <x v="0"/>
    <x v="2"/>
    <x v="3"/>
    <s v="FIN_OTHER"/>
    <x v="13"/>
    <s v="GEXT_PEAT_SEVO"/>
    <x v="0"/>
    <x v="1"/>
    <n v="259.34558750114797"/>
    <n v="94661.139437919206"/>
    <n v="340780.10197650897"/>
  </r>
  <r>
    <x v="0"/>
    <x v="0"/>
    <x v="0"/>
    <x v="2"/>
    <x v="3"/>
    <s v="FIN_OTHER"/>
    <x v="13"/>
    <s v="GEXT_PEAT_SEVO"/>
    <x v="0"/>
    <x v="2"/>
    <n v="259.34558750114797"/>
    <n v="94661.139437919206"/>
    <n v="340780.10197650897"/>
  </r>
  <r>
    <x v="0"/>
    <x v="0"/>
    <x v="0"/>
    <x v="2"/>
    <x v="3"/>
    <s v="FIN_OTHER"/>
    <x v="13"/>
    <s v="GEXT_PEAT_SEVO"/>
    <x v="0"/>
    <x v="3"/>
    <n v="259.34558750114797"/>
    <n v="94661.139437919206"/>
    <n v="340780.10197650897"/>
  </r>
  <r>
    <x v="0"/>
    <x v="0"/>
    <x v="0"/>
    <x v="2"/>
    <x v="3"/>
    <s v="FIN_OTHER"/>
    <x v="13"/>
    <s v="GEXT_PEAT_SEVO"/>
    <x v="0"/>
    <x v="18"/>
    <n v="259.34558750114797"/>
    <n v="94661.139437919206"/>
    <n v="340780.10197650897"/>
  </r>
  <r>
    <x v="0"/>
    <x v="0"/>
    <x v="0"/>
    <x v="2"/>
    <x v="3"/>
    <s v="FIN_OTHER"/>
    <x v="13"/>
    <s v="GEXT_PEAT_SEVO"/>
    <x v="0"/>
    <x v="4"/>
    <n v="259.34558750114797"/>
    <n v="94661.139437919206"/>
    <n v="340780.10197650897"/>
  </r>
  <r>
    <x v="0"/>
    <x v="0"/>
    <x v="0"/>
    <x v="2"/>
    <x v="3"/>
    <s v="FIN_OTHER"/>
    <x v="13"/>
    <s v="GEXT_PEAT_SEVO"/>
    <x v="0"/>
    <x v="5"/>
    <n v="259.34558750114797"/>
    <n v="94661.139437919206"/>
    <n v="340780.10197650897"/>
  </r>
  <r>
    <x v="0"/>
    <x v="0"/>
    <x v="0"/>
    <x v="2"/>
    <x v="3"/>
    <s v="FIN_OTHER"/>
    <x v="13"/>
    <s v="GEXT_PEAT_SEVO"/>
    <x v="0"/>
    <x v="6"/>
    <n v="259.34558750114797"/>
    <n v="94661.139437919206"/>
    <n v="340780.10197650897"/>
  </r>
  <r>
    <x v="0"/>
    <x v="0"/>
    <x v="0"/>
    <x v="2"/>
    <x v="3"/>
    <s v="FIN_OTHER"/>
    <x v="13"/>
    <s v="GEXT_PEAT_SEVO"/>
    <x v="0"/>
    <x v="7"/>
    <n v="259.34558750114797"/>
    <n v="94661.139437919206"/>
    <n v="340780.10197650897"/>
  </r>
  <r>
    <x v="0"/>
    <x v="0"/>
    <x v="0"/>
    <x v="2"/>
    <x v="3"/>
    <s v="FIN_OTHER"/>
    <x v="13"/>
    <s v="GEXT_PEAT_SEVO"/>
    <x v="0"/>
    <x v="8"/>
    <n v="259.34558750114797"/>
    <n v="94661.139437919206"/>
    <n v="340780.10197650897"/>
  </r>
  <r>
    <x v="0"/>
    <x v="0"/>
    <x v="0"/>
    <x v="2"/>
    <x v="3"/>
    <s v="FIN_OTHER"/>
    <x v="13"/>
    <s v="GEXT_PEAT_SEVO"/>
    <x v="0"/>
    <x v="9"/>
    <n v="259.34558750114797"/>
    <n v="94661.139437919206"/>
    <n v="340780.10197650897"/>
  </r>
  <r>
    <x v="0"/>
    <x v="0"/>
    <x v="0"/>
    <x v="2"/>
    <x v="3"/>
    <s v="FIN_OTHER"/>
    <x v="13"/>
    <s v="GEXT_PEAT_SEVO"/>
    <x v="0"/>
    <x v="10"/>
    <n v="259.34558750114797"/>
    <n v="94661.139437919206"/>
    <n v="340780.10197650897"/>
  </r>
  <r>
    <x v="0"/>
    <x v="0"/>
    <x v="0"/>
    <x v="2"/>
    <x v="3"/>
    <s v="FIN_OTHER"/>
    <x v="13"/>
    <s v="GEXT_PEAT_SEVO"/>
    <x v="0"/>
    <x v="11"/>
    <n v="259.34558750114797"/>
    <n v="94661.139437919206"/>
    <n v="340780.10197650897"/>
  </r>
  <r>
    <x v="0"/>
    <x v="0"/>
    <x v="0"/>
    <x v="2"/>
    <x v="3"/>
    <s v="FIN_OTHER"/>
    <x v="13"/>
    <s v="GEXT_PEAT_SEVO"/>
    <x v="0"/>
    <x v="12"/>
    <n v="259.34558750114797"/>
    <n v="94661.139437919206"/>
    <n v="340780.10197650897"/>
  </r>
  <r>
    <x v="0"/>
    <x v="0"/>
    <x v="0"/>
    <x v="2"/>
    <x v="3"/>
    <s v="FIN_OTHER"/>
    <x v="13"/>
    <s v="GEXT_PEAT_SEVO"/>
    <x v="0"/>
    <x v="13"/>
    <n v="259.34558750114797"/>
    <n v="94661.139437919206"/>
    <n v="340780.10197650897"/>
  </r>
  <r>
    <x v="0"/>
    <x v="0"/>
    <x v="0"/>
    <x v="2"/>
    <x v="3"/>
    <s v="FIN_OTHER"/>
    <x v="13"/>
    <s v="GEXT_PEAT_SEVO"/>
    <x v="0"/>
    <x v="14"/>
    <n v="259.34558750114797"/>
    <n v="94661.139437919206"/>
    <n v="340780.10197650897"/>
  </r>
  <r>
    <x v="0"/>
    <x v="0"/>
    <x v="0"/>
    <x v="2"/>
    <x v="3"/>
    <s v="FIN_OTHER"/>
    <x v="13"/>
    <s v="GEXT_PEAT_SEVO"/>
    <x v="0"/>
    <x v="15"/>
    <n v="259.34558750114797"/>
    <n v="94661.139437919206"/>
    <n v="340780.10197650897"/>
  </r>
  <r>
    <x v="0"/>
    <x v="0"/>
    <x v="0"/>
    <x v="2"/>
    <x v="3"/>
    <s v="FIN_OTHER"/>
    <x v="13"/>
    <s v="GEXT_PEAT_SEVO"/>
    <x v="0"/>
    <x v="16"/>
    <n v="259.34558750114797"/>
    <n v="94661.139437919206"/>
    <n v="340780.10197650897"/>
  </r>
  <r>
    <x v="0"/>
    <x v="0"/>
    <x v="0"/>
    <x v="2"/>
    <x v="3"/>
    <s v="FIN_OTHER"/>
    <x v="13"/>
    <s v="GEXT_PEAT_SEVO"/>
    <x v="0"/>
    <x v="17"/>
    <n v="259.34558750114797"/>
    <n v="94661.139437919206"/>
    <n v="340780.10197650897"/>
  </r>
  <r>
    <x v="0"/>
    <x v="0"/>
    <x v="0"/>
    <x v="2"/>
    <x v="3"/>
    <s v="FIN_OTHER"/>
    <x v="13"/>
    <s v="GEXT_PEAT_SEVO"/>
    <x v="0"/>
    <x v="19"/>
    <n v="259.34558750114797"/>
    <n v="94661.139437919206"/>
    <n v="340780.10197650897"/>
  </r>
  <r>
    <x v="0"/>
    <x v="0"/>
    <x v="0"/>
    <x v="2"/>
    <x v="3"/>
    <s v="FIN_OTHER"/>
    <x v="13"/>
    <s v="GEXT_PEAT_SEVO"/>
    <x v="0"/>
    <x v="20"/>
    <n v="259.34558750114797"/>
    <n v="94661.139437919206"/>
    <n v="340780.10197650897"/>
  </r>
  <r>
    <x v="0"/>
    <x v="0"/>
    <x v="0"/>
    <x v="2"/>
    <x v="3"/>
    <s v="FIN_OTHER"/>
    <x v="13"/>
    <s v="GEXT_PEAT_SEVO"/>
    <x v="0"/>
    <x v="21"/>
    <n v="259.34558750114797"/>
    <n v="94661.139437919206"/>
    <n v="340780.10197650897"/>
  </r>
  <r>
    <x v="0"/>
    <x v="0"/>
    <x v="0"/>
    <x v="2"/>
    <x v="3"/>
    <s v="FIN_OTHER"/>
    <x v="13"/>
    <s v="GEXT_PEAT_SEVO"/>
    <x v="0"/>
    <x v="22"/>
    <n v="259.34558750114797"/>
    <n v="94661.139437919206"/>
    <n v="340780.10197650897"/>
  </r>
  <r>
    <x v="0"/>
    <x v="0"/>
    <x v="0"/>
    <x v="2"/>
    <x v="3"/>
    <s v="FIN_OTHER"/>
    <x v="13"/>
    <s v="GEXT_PEAT_SEVO"/>
    <x v="0"/>
    <x v="23"/>
    <n v="259.34558750114797"/>
    <n v="94661.139437919206"/>
    <n v="340780.10197650897"/>
  </r>
  <r>
    <x v="0"/>
    <x v="0"/>
    <x v="0"/>
    <x v="2"/>
    <x v="3"/>
    <s v="FIN_OTHER"/>
    <x v="13"/>
    <s v="GEXT_PEAT_TOPPILA"/>
    <x v="0"/>
    <x v="0"/>
    <n v="170.76252674972699"/>
    <n v="62328.322263650502"/>
    <n v="224381.96014914199"/>
  </r>
  <r>
    <x v="0"/>
    <x v="0"/>
    <x v="0"/>
    <x v="2"/>
    <x v="3"/>
    <s v="FIN_OTHER"/>
    <x v="13"/>
    <s v="GEXT_PEAT_TOPPILA"/>
    <x v="0"/>
    <x v="1"/>
    <n v="170.76252674972699"/>
    <n v="62328.322263650502"/>
    <n v="224381.96014914199"/>
  </r>
  <r>
    <x v="0"/>
    <x v="0"/>
    <x v="0"/>
    <x v="2"/>
    <x v="3"/>
    <s v="FIN_OTHER"/>
    <x v="13"/>
    <s v="GEXT_PEAT_TOPPILA"/>
    <x v="0"/>
    <x v="2"/>
    <n v="170.76252674972699"/>
    <n v="62328.322263650502"/>
    <n v="224381.96014914199"/>
  </r>
  <r>
    <x v="0"/>
    <x v="0"/>
    <x v="0"/>
    <x v="2"/>
    <x v="3"/>
    <s v="FIN_OTHER"/>
    <x v="13"/>
    <s v="GEXT_PEAT_TOPPILA"/>
    <x v="0"/>
    <x v="3"/>
    <n v="170.76252674972699"/>
    <n v="62328.322263650502"/>
    <n v="224381.96014914199"/>
  </r>
  <r>
    <x v="0"/>
    <x v="0"/>
    <x v="0"/>
    <x v="2"/>
    <x v="3"/>
    <s v="FIN_OTHER"/>
    <x v="13"/>
    <s v="GEXT_PEAT_TOPPILA"/>
    <x v="0"/>
    <x v="18"/>
    <n v="170.76252674972699"/>
    <n v="62328.322263650502"/>
    <n v="224381.96014914199"/>
  </r>
  <r>
    <x v="0"/>
    <x v="0"/>
    <x v="0"/>
    <x v="2"/>
    <x v="3"/>
    <s v="FIN_OTHER"/>
    <x v="13"/>
    <s v="GEXT_PEAT_TOPPILA"/>
    <x v="0"/>
    <x v="4"/>
    <n v="170.76252674972699"/>
    <n v="62328.322263650502"/>
    <n v="224381.96014914199"/>
  </r>
  <r>
    <x v="0"/>
    <x v="0"/>
    <x v="0"/>
    <x v="2"/>
    <x v="3"/>
    <s v="FIN_OTHER"/>
    <x v="13"/>
    <s v="GEXT_PEAT_TOPPILA"/>
    <x v="0"/>
    <x v="5"/>
    <n v="170.76252674972699"/>
    <n v="62328.322263650502"/>
    <n v="224381.96014914199"/>
  </r>
  <r>
    <x v="0"/>
    <x v="0"/>
    <x v="0"/>
    <x v="2"/>
    <x v="3"/>
    <s v="FIN_OTHER"/>
    <x v="13"/>
    <s v="GEXT_PEAT_TOPPILA"/>
    <x v="0"/>
    <x v="6"/>
    <n v="170.76252674972699"/>
    <n v="62328.322263650502"/>
    <n v="224381.96014914199"/>
  </r>
  <r>
    <x v="0"/>
    <x v="0"/>
    <x v="0"/>
    <x v="2"/>
    <x v="3"/>
    <s v="FIN_OTHER"/>
    <x v="13"/>
    <s v="GEXT_PEAT_TOPPILA"/>
    <x v="0"/>
    <x v="7"/>
    <n v="170.76252674972699"/>
    <n v="62328.322263650502"/>
    <n v="224381.96014914199"/>
  </r>
  <r>
    <x v="0"/>
    <x v="0"/>
    <x v="0"/>
    <x v="2"/>
    <x v="3"/>
    <s v="FIN_OTHER"/>
    <x v="13"/>
    <s v="GEXT_PEAT_TOPPILA"/>
    <x v="0"/>
    <x v="8"/>
    <n v="170.76252674972699"/>
    <n v="62328.322263650502"/>
    <n v="224381.96014914199"/>
  </r>
  <r>
    <x v="0"/>
    <x v="0"/>
    <x v="0"/>
    <x v="2"/>
    <x v="3"/>
    <s v="FIN_OTHER"/>
    <x v="13"/>
    <s v="GEXT_PEAT_TOPPILA"/>
    <x v="0"/>
    <x v="9"/>
    <n v="170.76252674972699"/>
    <n v="62328.322263650502"/>
    <n v="224381.96014914199"/>
  </r>
  <r>
    <x v="0"/>
    <x v="0"/>
    <x v="0"/>
    <x v="2"/>
    <x v="3"/>
    <s v="FIN_OTHER"/>
    <x v="13"/>
    <s v="GEXT_PEAT_TOPPILA"/>
    <x v="0"/>
    <x v="10"/>
    <n v="170.76252674972699"/>
    <n v="62328.322263650502"/>
    <n v="224381.96014914199"/>
  </r>
  <r>
    <x v="0"/>
    <x v="0"/>
    <x v="0"/>
    <x v="2"/>
    <x v="3"/>
    <s v="FIN_OTHER"/>
    <x v="13"/>
    <s v="GEXT_PEAT_TOPPILA"/>
    <x v="0"/>
    <x v="11"/>
    <n v="170.76252674972699"/>
    <n v="62328.322263650502"/>
    <n v="224381.96014914199"/>
  </r>
  <r>
    <x v="0"/>
    <x v="0"/>
    <x v="0"/>
    <x v="2"/>
    <x v="3"/>
    <s v="FIN_OTHER"/>
    <x v="13"/>
    <s v="GEXT_PEAT_TOPPILA"/>
    <x v="0"/>
    <x v="12"/>
    <n v="170.76252674972699"/>
    <n v="62328.322263650502"/>
    <n v="224381.96014914199"/>
  </r>
  <r>
    <x v="0"/>
    <x v="0"/>
    <x v="0"/>
    <x v="2"/>
    <x v="3"/>
    <s v="FIN_OTHER"/>
    <x v="13"/>
    <s v="GEXT_PEAT_TOPPILA"/>
    <x v="0"/>
    <x v="13"/>
    <n v="170.76252674972699"/>
    <n v="62328.322263650502"/>
    <n v="224381.96014914199"/>
  </r>
  <r>
    <x v="0"/>
    <x v="0"/>
    <x v="0"/>
    <x v="2"/>
    <x v="3"/>
    <s v="FIN_OTHER"/>
    <x v="13"/>
    <s v="GEXT_PEAT_TOPPILA"/>
    <x v="0"/>
    <x v="14"/>
    <n v="170.76252674972699"/>
    <n v="62328.322263650502"/>
    <n v="224381.96014914199"/>
  </r>
  <r>
    <x v="0"/>
    <x v="0"/>
    <x v="0"/>
    <x v="2"/>
    <x v="3"/>
    <s v="FIN_OTHER"/>
    <x v="13"/>
    <s v="GEXT_PEAT_TOPPILA"/>
    <x v="0"/>
    <x v="15"/>
    <n v="170.76252674972699"/>
    <n v="62328.322263650502"/>
    <n v="224381.96014914199"/>
  </r>
  <r>
    <x v="0"/>
    <x v="0"/>
    <x v="0"/>
    <x v="2"/>
    <x v="3"/>
    <s v="FIN_OTHER"/>
    <x v="13"/>
    <s v="GEXT_PEAT_TOPPILA"/>
    <x v="0"/>
    <x v="16"/>
    <n v="170.76252674972699"/>
    <n v="62328.322263650502"/>
    <n v="224381.96014914199"/>
  </r>
  <r>
    <x v="0"/>
    <x v="0"/>
    <x v="0"/>
    <x v="2"/>
    <x v="3"/>
    <s v="FIN_OTHER"/>
    <x v="13"/>
    <s v="GEXT_PEAT_TOPPILA"/>
    <x v="0"/>
    <x v="17"/>
    <n v="170.76252674972699"/>
    <n v="62328.322263650502"/>
    <n v="224381.96014914199"/>
  </r>
  <r>
    <x v="0"/>
    <x v="0"/>
    <x v="0"/>
    <x v="2"/>
    <x v="3"/>
    <s v="FIN_OTHER"/>
    <x v="13"/>
    <s v="GEXT_PEAT_TOPPILA"/>
    <x v="0"/>
    <x v="19"/>
    <n v="170.76252674972699"/>
    <n v="62328.322263650502"/>
    <n v="224381.96014914199"/>
  </r>
  <r>
    <x v="0"/>
    <x v="0"/>
    <x v="0"/>
    <x v="2"/>
    <x v="3"/>
    <s v="FIN_OTHER"/>
    <x v="13"/>
    <s v="GEXT_PEAT_TOPPILA"/>
    <x v="0"/>
    <x v="20"/>
    <n v="170.76252674972699"/>
    <n v="62328.322263650502"/>
    <n v="224381.96014914199"/>
  </r>
  <r>
    <x v="0"/>
    <x v="0"/>
    <x v="0"/>
    <x v="2"/>
    <x v="3"/>
    <s v="FIN_OTHER"/>
    <x v="13"/>
    <s v="GEXT_PEAT_TOPPILA"/>
    <x v="0"/>
    <x v="21"/>
    <n v="170.76252674972699"/>
    <n v="62328.322263650502"/>
    <n v="224381.96014914199"/>
  </r>
  <r>
    <x v="0"/>
    <x v="0"/>
    <x v="0"/>
    <x v="2"/>
    <x v="3"/>
    <s v="FIN_OTHER"/>
    <x v="13"/>
    <s v="GEXT_PEAT_TOPPILA"/>
    <x v="0"/>
    <x v="22"/>
    <n v="170.76252674972699"/>
    <n v="62328.322263650502"/>
    <n v="224381.96014914199"/>
  </r>
  <r>
    <x v="0"/>
    <x v="0"/>
    <x v="0"/>
    <x v="2"/>
    <x v="3"/>
    <s v="FIN_OTHER"/>
    <x v="13"/>
    <s v="GEXT_PEAT_TOPPILA"/>
    <x v="0"/>
    <x v="23"/>
    <n v="170.76252674972699"/>
    <n v="62328.322263650502"/>
    <n v="224381.96014914199"/>
  </r>
  <r>
    <x v="0"/>
    <x v="0"/>
    <x v="0"/>
    <x v="2"/>
    <x v="3"/>
    <s v="FIN_OTHER"/>
    <x v="13"/>
    <s v="GHOB_PEAT"/>
    <x v="0"/>
    <x v="0"/>
    <n v="519.68220752361196"/>
    <n v="189684.005746118"/>
    <n v="682862.42068602599"/>
  </r>
  <r>
    <x v="0"/>
    <x v="0"/>
    <x v="0"/>
    <x v="2"/>
    <x v="3"/>
    <s v="FIN_OTHER"/>
    <x v="13"/>
    <s v="GHOB_PEAT"/>
    <x v="0"/>
    <x v="1"/>
    <n v="519.68220752361196"/>
    <n v="189684.005746118"/>
    <n v="682862.42068602599"/>
  </r>
  <r>
    <x v="0"/>
    <x v="0"/>
    <x v="0"/>
    <x v="2"/>
    <x v="3"/>
    <s v="FIN_OTHER"/>
    <x v="13"/>
    <s v="GHOB_PEAT"/>
    <x v="0"/>
    <x v="2"/>
    <n v="519.68220752361196"/>
    <n v="189684.005746118"/>
    <n v="682862.42068602599"/>
  </r>
  <r>
    <x v="0"/>
    <x v="0"/>
    <x v="0"/>
    <x v="2"/>
    <x v="3"/>
    <s v="FIN_OTHER"/>
    <x v="13"/>
    <s v="GHOB_PEAT"/>
    <x v="0"/>
    <x v="3"/>
    <n v="519.68220752361196"/>
    <n v="189684.005746118"/>
    <n v="682862.42068602599"/>
  </r>
  <r>
    <x v="0"/>
    <x v="0"/>
    <x v="0"/>
    <x v="2"/>
    <x v="3"/>
    <s v="FIN_OTHER"/>
    <x v="13"/>
    <s v="GHOB_PEAT"/>
    <x v="0"/>
    <x v="18"/>
    <n v="519.68220752361196"/>
    <n v="189684.005746118"/>
    <n v="682862.42068602599"/>
  </r>
  <r>
    <x v="0"/>
    <x v="0"/>
    <x v="0"/>
    <x v="2"/>
    <x v="3"/>
    <s v="FIN_OTHER"/>
    <x v="13"/>
    <s v="GHOB_PEAT"/>
    <x v="0"/>
    <x v="4"/>
    <n v="519.68220752361196"/>
    <n v="189684.005746118"/>
    <n v="682862.42068602599"/>
  </r>
  <r>
    <x v="0"/>
    <x v="0"/>
    <x v="0"/>
    <x v="2"/>
    <x v="3"/>
    <s v="FIN_OTHER"/>
    <x v="13"/>
    <s v="GHOB_PEAT"/>
    <x v="0"/>
    <x v="5"/>
    <n v="519.68220752361196"/>
    <n v="189684.005746118"/>
    <n v="682862.42068602599"/>
  </r>
  <r>
    <x v="0"/>
    <x v="0"/>
    <x v="0"/>
    <x v="2"/>
    <x v="3"/>
    <s v="FIN_OTHER"/>
    <x v="13"/>
    <s v="GHOB_PEAT"/>
    <x v="0"/>
    <x v="6"/>
    <n v="519.68220752361196"/>
    <n v="189684.005746118"/>
    <n v="682862.42068602599"/>
  </r>
  <r>
    <x v="0"/>
    <x v="0"/>
    <x v="0"/>
    <x v="2"/>
    <x v="3"/>
    <s v="FIN_OTHER"/>
    <x v="13"/>
    <s v="GHOB_PEAT"/>
    <x v="0"/>
    <x v="7"/>
    <n v="519.68220752361196"/>
    <n v="189684.005746118"/>
    <n v="682862.42068602599"/>
  </r>
  <r>
    <x v="0"/>
    <x v="0"/>
    <x v="0"/>
    <x v="2"/>
    <x v="3"/>
    <s v="FIN_OTHER"/>
    <x v="13"/>
    <s v="GHOB_PEAT"/>
    <x v="0"/>
    <x v="8"/>
    <n v="519.68220752361196"/>
    <n v="189684.005746118"/>
    <n v="682862.42068602599"/>
  </r>
  <r>
    <x v="0"/>
    <x v="0"/>
    <x v="0"/>
    <x v="2"/>
    <x v="3"/>
    <s v="FIN_OTHER"/>
    <x v="13"/>
    <s v="GHOB_PEAT"/>
    <x v="0"/>
    <x v="9"/>
    <n v="519.68220752361196"/>
    <n v="189684.005746118"/>
    <n v="682862.42068602599"/>
  </r>
  <r>
    <x v="0"/>
    <x v="0"/>
    <x v="0"/>
    <x v="2"/>
    <x v="3"/>
    <s v="FIN_OTHER"/>
    <x v="13"/>
    <s v="GHOB_PEAT"/>
    <x v="0"/>
    <x v="10"/>
    <n v="519.68220752361196"/>
    <n v="189684.005746118"/>
    <n v="682862.42068602599"/>
  </r>
  <r>
    <x v="0"/>
    <x v="0"/>
    <x v="0"/>
    <x v="2"/>
    <x v="3"/>
    <s v="FIN_OTHER"/>
    <x v="13"/>
    <s v="GHOB_PEAT"/>
    <x v="0"/>
    <x v="11"/>
    <n v="519.68220752361196"/>
    <n v="189684.005746118"/>
    <n v="682862.42068602599"/>
  </r>
  <r>
    <x v="0"/>
    <x v="0"/>
    <x v="0"/>
    <x v="2"/>
    <x v="3"/>
    <s v="FIN_OTHER"/>
    <x v="13"/>
    <s v="GHOB_PEAT"/>
    <x v="0"/>
    <x v="12"/>
    <n v="519.68220752361196"/>
    <n v="189684.005746118"/>
    <n v="682862.42068602599"/>
  </r>
  <r>
    <x v="0"/>
    <x v="0"/>
    <x v="0"/>
    <x v="2"/>
    <x v="3"/>
    <s v="FIN_OTHER"/>
    <x v="13"/>
    <s v="GHOB_PEAT"/>
    <x v="0"/>
    <x v="13"/>
    <n v="519.68220752361196"/>
    <n v="189684.005746118"/>
    <n v="682862.42068602599"/>
  </r>
  <r>
    <x v="0"/>
    <x v="0"/>
    <x v="0"/>
    <x v="2"/>
    <x v="3"/>
    <s v="FIN_OTHER"/>
    <x v="13"/>
    <s v="GHOB_PEAT"/>
    <x v="0"/>
    <x v="14"/>
    <n v="519.68220752361196"/>
    <n v="189684.005746118"/>
    <n v="682862.42068602599"/>
  </r>
  <r>
    <x v="0"/>
    <x v="0"/>
    <x v="0"/>
    <x v="2"/>
    <x v="3"/>
    <s v="FIN_OTHER"/>
    <x v="13"/>
    <s v="GHOB_PEAT"/>
    <x v="0"/>
    <x v="15"/>
    <n v="519.68220752361196"/>
    <n v="189684.005746118"/>
    <n v="682862.42068602599"/>
  </r>
  <r>
    <x v="0"/>
    <x v="0"/>
    <x v="0"/>
    <x v="2"/>
    <x v="3"/>
    <s v="FIN_OTHER"/>
    <x v="13"/>
    <s v="GHOB_PEAT"/>
    <x v="0"/>
    <x v="16"/>
    <n v="519.68220752361196"/>
    <n v="189684.005746118"/>
    <n v="682862.42068602599"/>
  </r>
  <r>
    <x v="0"/>
    <x v="0"/>
    <x v="0"/>
    <x v="2"/>
    <x v="3"/>
    <s v="FIN_OTHER"/>
    <x v="13"/>
    <s v="GHOB_PEAT"/>
    <x v="0"/>
    <x v="17"/>
    <n v="519.68220752361196"/>
    <n v="189684.005746118"/>
    <n v="682862.42068602599"/>
  </r>
  <r>
    <x v="0"/>
    <x v="0"/>
    <x v="0"/>
    <x v="2"/>
    <x v="3"/>
    <s v="FIN_OTHER"/>
    <x v="13"/>
    <s v="GHOB_PEAT"/>
    <x v="0"/>
    <x v="19"/>
    <n v="519.68220752361196"/>
    <n v="189684.005746118"/>
    <n v="682862.42068602599"/>
  </r>
  <r>
    <x v="0"/>
    <x v="0"/>
    <x v="0"/>
    <x v="2"/>
    <x v="3"/>
    <s v="FIN_OTHER"/>
    <x v="13"/>
    <s v="GHOB_PEAT"/>
    <x v="0"/>
    <x v="20"/>
    <n v="519.68220752361196"/>
    <n v="189684.005746118"/>
    <n v="682862.42068602599"/>
  </r>
  <r>
    <x v="0"/>
    <x v="0"/>
    <x v="0"/>
    <x v="2"/>
    <x v="3"/>
    <s v="FIN_OTHER"/>
    <x v="13"/>
    <s v="GHOB_PEAT"/>
    <x v="0"/>
    <x v="21"/>
    <n v="519.68220752361196"/>
    <n v="189684.005746118"/>
    <n v="682862.42068602599"/>
  </r>
  <r>
    <x v="0"/>
    <x v="0"/>
    <x v="0"/>
    <x v="2"/>
    <x v="3"/>
    <s v="FIN_OTHER"/>
    <x v="13"/>
    <s v="GHOB_PEAT"/>
    <x v="0"/>
    <x v="22"/>
    <n v="519.68220752361196"/>
    <n v="189684.005746118"/>
    <n v="682862.42068602599"/>
  </r>
  <r>
    <x v="0"/>
    <x v="0"/>
    <x v="0"/>
    <x v="2"/>
    <x v="3"/>
    <s v="FIN_OTHER"/>
    <x v="13"/>
    <s v="GHOB_PEAT"/>
    <x v="0"/>
    <x v="23"/>
    <n v="519.68220752361196"/>
    <n v="189684.005746118"/>
    <n v="682862.42068602599"/>
  </r>
  <r>
    <x v="0"/>
    <x v="0"/>
    <x v="0"/>
    <x v="2"/>
    <x v="3"/>
    <s v="FIN_OTHER"/>
    <x v="1"/>
    <s v="GHOB_WASTEHEAT"/>
    <x v="0"/>
    <x v="0"/>
    <n v="214.86950549450501"/>
    <n v="78427.369505494207"/>
    <n v="282338.530219779"/>
  </r>
  <r>
    <x v="0"/>
    <x v="0"/>
    <x v="0"/>
    <x v="2"/>
    <x v="3"/>
    <s v="FIN_OTHER"/>
    <x v="1"/>
    <s v="GHOB_WASTEHEAT"/>
    <x v="0"/>
    <x v="1"/>
    <n v="214.86950549450501"/>
    <n v="78427.369505494207"/>
    <n v="282338.530219779"/>
  </r>
  <r>
    <x v="0"/>
    <x v="0"/>
    <x v="0"/>
    <x v="2"/>
    <x v="3"/>
    <s v="FIN_OTHER"/>
    <x v="1"/>
    <s v="GHOB_WASTEHEAT"/>
    <x v="0"/>
    <x v="2"/>
    <n v="214.86950549450501"/>
    <n v="78427.369505494207"/>
    <n v="282338.530219779"/>
  </r>
  <r>
    <x v="0"/>
    <x v="0"/>
    <x v="0"/>
    <x v="2"/>
    <x v="3"/>
    <s v="FIN_OTHER"/>
    <x v="1"/>
    <s v="GHOB_WASTEHEAT"/>
    <x v="0"/>
    <x v="3"/>
    <n v="214.86950549450501"/>
    <n v="78427.369505494207"/>
    <n v="282338.530219779"/>
  </r>
  <r>
    <x v="0"/>
    <x v="0"/>
    <x v="0"/>
    <x v="2"/>
    <x v="3"/>
    <s v="FIN_OTHER"/>
    <x v="1"/>
    <s v="GHOB_WASTEHEAT"/>
    <x v="0"/>
    <x v="18"/>
    <n v="214.86950549450501"/>
    <n v="78427.369505494207"/>
    <n v="282338.530219779"/>
  </r>
  <r>
    <x v="0"/>
    <x v="0"/>
    <x v="0"/>
    <x v="2"/>
    <x v="3"/>
    <s v="FIN_OTHER"/>
    <x v="1"/>
    <s v="GHOB_WASTEHEAT"/>
    <x v="0"/>
    <x v="4"/>
    <n v="214.86950549450501"/>
    <n v="78427.369505494207"/>
    <n v="282338.530219779"/>
  </r>
  <r>
    <x v="0"/>
    <x v="0"/>
    <x v="0"/>
    <x v="2"/>
    <x v="3"/>
    <s v="FIN_OTHER"/>
    <x v="1"/>
    <s v="GHOB_WASTEHEAT"/>
    <x v="0"/>
    <x v="5"/>
    <n v="214.86950549450501"/>
    <n v="78427.369505494207"/>
    <n v="282338.530219779"/>
  </r>
  <r>
    <x v="0"/>
    <x v="0"/>
    <x v="0"/>
    <x v="2"/>
    <x v="3"/>
    <s v="FIN_OTHER"/>
    <x v="1"/>
    <s v="GHOB_WASTEHEAT"/>
    <x v="0"/>
    <x v="6"/>
    <n v="214.86950549450501"/>
    <n v="78427.369505494207"/>
    <n v="282338.530219779"/>
  </r>
  <r>
    <x v="0"/>
    <x v="0"/>
    <x v="0"/>
    <x v="2"/>
    <x v="3"/>
    <s v="FIN_OTHER"/>
    <x v="1"/>
    <s v="GHOB_WASTEHEAT"/>
    <x v="0"/>
    <x v="7"/>
    <n v="214.86950549450501"/>
    <n v="78427.369505494207"/>
    <n v="282338.530219779"/>
  </r>
  <r>
    <x v="0"/>
    <x v="0"/>
    <x v="0"/>
    <x v="2"/>
    <x v="3"/>
    <s v="FIN_OTHER"/>
    <x v="1"/>
    <s v="GHOB_WASTEHEAT"/>
    <x v="0"/>
    <x v="8"/>
    <n v="214.86950549450501"/>
    <n v="78427.369505494207"/>
    <n v="282338.530219779"/>
  </r>
  <r>
    <x v="0"/>
    <x v="0"/>
    <x v="0"/>
    <x v="2"/>
    <x v="3"/>
    <s v="FIN_OTHER"/>
    <x v="1"/>
    <s v="GHOB_WASTEHEAT"/>
    <x v="0"/>
    <x v="9"/>
    <n v="214.86950549450501"/>
    <n v="78427.369505494207"/>
    <n v="282338.530219779"/>
  </r>
  <r>
    <x v="0"/>
    <x v="0"/>
    <x v="0"/>
    <x v="2"/>
    <x v="3"/>
    <s v="FIN_OTHER"/>
    <x v="1"/>
    <s v="GHOB_WASTEHEAT"/>
    <x v="0"/>
    <x v="10"/>
    <n v="214.86950549450501"/>
    <n v="78427.369505494207"/>
    <n v="282338.530219779"/>
  </r>
  <r>
    <x v="0"/>
    <x v="0"/>
    <x v="0"/>
    <x v="2"/>
    <x v="3"/>
    <s v="FIN_OTHER"/>
    <x v="1"/>
    <s v="GHOB_WASTEHEAT"/>
    <x v="0"/>
    <x v="11"/>
    <n v="214.86950549450501"/>
    <n v="78427.369505494207"/>
    <n v="282338.530219779"/>
  </r>
  <r>
    <x v="0"/>
    <x v="0"/>
    <x v="0"/>
    <x v="2"/>
    <x v="3"/>
    <s v="FIN_OTHER"/>
    <x v="1"/>
    <s v="GHOB_WASTEHEAT"/>
    <x v="0"/>
    <x v="12"/>
    <n v="214.86950549450501"/>
    <n v="78427.369505494207"/>
    <n v="282338.530219779"/>
  </r>
  <r>
    <x v="0"/>
    <x v="0"/>
    <x v="0"/>
    <x v="2"/>
    <x v="3"/>
    <s v="FIN_OTHER"/>
    <x v="1"/>
    <s v="GHOB_WASTEHEAT"/>
    <x v="0"/>
    <x v="13"/>
    <n v="214.86950549450501"/>
    <n v="78427.369505494207"/>
    <n v="282338.530219779"/>
  </r>
  <r>
    <x v="0"/>
    <x v="0"/>
    <x v="0"/>
    <x v="2"/>
    <x v="3"/>
    <s v="FIN_OTHER"/>
    <x v="1"/>
    <s v="GHOB_WASTEHEAT"/>
    <x v="0"/>
    <x v="14"/>
    <n v="214.86950549450501"/>
    <n v="78427.369505494207"/>
    <n v="282338.530219779"/>
  </r>
  <r>
    <x v="0"/>
    <x v="0"/>
    <x v="0"/>
    <x v="2"/>
    <x v="3"/>
    <s v="FIN_OTHER"/>
    <x v="1"/>
    <s v="GHOB_WASTEHEAT"/>
    <x v="0"/>
    <x v="15"/>
    <n v="214.86950549450501"/>
    <n v="78427.369505494207"/>
    <n v="282338.530219779"/>
  </r>
  <r>
    <x v="0"/>
    <x v="0"/>
    <x v="0"/>
    <x v="2"/>
    <x v="3"/>
    <s v="FIN_OTHER"/>
    <x v="1"/>
    <s v="GHOB_WASTEHEAT"/>
    <x v="0"/>
    <x v="16"/>
    <n v="214.86950549450501"/>
    <n v="78427.369505494207"/>
    <n v="282338.530219779"/>
  </r>
  <r>
    <x v="0"/>
    <x v="0"/>
    <x v="0"/>
    <x v="2"/>
    <x v="3"/>
    <s v="FIN_OTHER"/>
    <x v="1"/>
    <s v="GHOB_WASTEHEAT"/>
    <x v="0"/>
    <x v="17"/>
    <n v="214.86950549450501"/>
    <n v="78427.369505494207"/>
    <n v="282338.530219779"/>
  </r>
  <r>
    <x v="0"/>
    <x v="0"/>
    <x v="0"/>
    <x v="2"/>
    <x v="3"/>
    <s v="FIN_OTHER"/>
    <x v="1"/>
    <s v="GHOB_WASTEHEAT"/>
    <x v="0"/>
    <x v="19"/>
    <n v="214.86950549450501"/>
    <n v="78427.369505494207"/>
    <n v="282338.530219779"/>
  </r>
  <r>
    <x v="0"/>
    <x v="0"/>
    <x v="0"/>
    <x v="2"/>
    <x v="3"/>
    <s v="FIN_OTHER"/>
    <x v="1"/>
    <s v="GHOB_WASTEHEAT"/>
    <x v="0"/>
    <x v="20"/>
    <n v="214.86950549450501"/>
    <n v="78427.369505494207"/>
    <n v="282338.530219779"/>
  </r>
  <r>
    <x v="0"/>
    <x v="0"/>
    <x v="0"/>
    <x v="2"/>
    <x v="3"/>
    <s v="FIN_OTHER"/>
    <x v="1"/>
    <s v="GHOB_WASTEHEAT"/>
    <x v="0"/>
    <x v="21"/>
    <n v="214.86950549450501"/>
    <n v="78427.369505494207"/>
    <n v="282338.530219779"/>
  </r>
  <r>
    <x v="0"/>
    <x v="0"/>
    <x v="0"/>
    <x v="2"/>
    <x v="3"/>
    <s v="FIN_OTHER"/>
    <x v="1"/>
    <s v="GHOB_WASTEHEAT"/>
    <x v="0"/>
    <x v="22"/>
    <n v="214.86950549450501"/>
    <n v="78427.369505494207"/>
    <n v="282338.530219779"/>
  </r>
  <r>
    <x v="0"/>
    <x v="0"/>
    <x v="0"/>
    <x v="2"/>
    <x v="3"/>
    <s v="FIN_OTHER"/>
    <x v="1"/>
    <s v="GHOB_WASTEHEAT"/>
    <x v="0"/>
    <x v="23"/>
    <n v="214.86950549450501"/>
    <n v="78427.369505494207"/>
    <n v="282338.530219779"/>
  </r>
  <r>
    <x v="0"/>
    <x v="0"/>
    <x v="0"/>
    <x v="2"/>
    <x v="3"/>
    <s v="FIN_OTHER"/>
    <x v="5"/>
    <s v="GBPR_WOODCHIPS_FINOTHER"/>
    <x v="0"/>
    <x v="5"/>
    <n v="221.22274155597799"/>
    <n v="80746.300667931995"/>
    <n v="290686.68240455497"/>
  </r>
  <r>
    <x v="0"/>
    <x v="0"/>
    <x v="0"/>
    <x v="2"/>
    <x v="3"/>
    <s v="FIN_OTHER"/>
    <x v="5"/>
    <s v="GBPR_WOODCHIPS_FINOTHER"/>
    <x v="0"/>
    <x v="6"/>
    <n v="565.31235832188702"/>
    <n v="206339.01078748901"/>
    <n v="742820.43883495894"/>
  </r>
  <r>
    <x v="0"/>
    <x v="0"/>
    <x v="0"/>
    <x v="2"/>
    <x v="3"/>
    <s v="FIN_OTHER"/>
    <x v="5"/>
    <s v="GBPR_WOODCHIPS_FINOTHER"/>
    <x v="0"/>
    <x v="7"/>
    <n v="570.82540946003598"/>
    <n v="208351.274452913"/>
    <n v="750064.58803048695"/>
  </r>
  <r>
    <x v="0"/>
    <x v="0"/>
    <x v="0"/>
    <x v="2"/>
    <x v="3"/>
    <s v="FIN_OTHER"/>
    <x v="5"/>
    <s v="GBPR_WOODCHIPS_FINOTHER"/>
    <x v="0"/>
    <x v="8"/>
    <n v="480.495174269171"/>
    <n v="175380.73860824801"/>
    <n v="631370.65898969094"/>
  </r>
  <r>
    <x v="0"/>
    <x v="0"/>
    <x v="0"/>
    <x v="2"/>
    <x v="3"/>
    <s v="FIN_OTHER"/>
    <x v="5"/>
    <s v="GBPR_WOODCHIPS_FINOTHER"/>
    <x v="0"/>
    <x v="9"/>
    <n v="334.3598600528"/>
    <n v="122041.348919272"/>
    <n v="439348.85610937898"/>
  </r>
  <r>
    <x v="0"/>
    <x v="0"/>
    <x v="0"/>
    <x v="2"/>
    <x v="3"/>
    <s v="FIN_OTHER"/>
    <x v="5"/>
    <s v="GBPR_WOODCHIPS_FINOTHER"/>
    <x v="0"/>
    <x v="10"/>
    <n v="228.781683583274"/>
    <n v="83505.314507894902"/>
    <n v="300619.13222842198"/>
  </r>
  <r>
    <x v="0"/>
    <x v="0"/>
    <x v="0"/>
    <x v="2"/>
    <x v="3"/>
    <s v="FIN_OTHER"/>
    <x v="5"/>
    <s v="GBPR_WOODCHIPS_FINOTHER"/>
    <x v="0"/>
    <x v="11"/>
    <n v="128.787672477364"/>
    <n v="47007.500454237997"/>
    <n v="169227.00163525701"/>
  </r>
  <r>
    <x v="0"/>
    <x v="0"/>
    <x v="0"/>
    <x v="2"/>
    <x v="3"/>
    <s v="FIN_OTHER"/>
    <x v="5"/>
    <s v="GBPR_WOODCHIPS_FINOTHER"/>
    <x v="0"/>
    <x v="12"/>
    <n v="66.337482714997805"/>
    <n v="24213.181190974199"/>
    <n v="87167.4522875072"/>
  </r>
  <r>
    <x v="0"/>
    <x v="0"/>
    <x v="0"/>
    <x v="2"/>
    <x v="3"/>
    <s v="FIN_OTHER"/>
    <x v="5"/>
    <s v="GBPR_WOODCHIPS_FINOTHER"/>
    <x v="0"/>
    <x v="13"/>
    <n v="60.369829684304399"/>
    <n v="22034.987834771098"/>
    <n v="79325.956205175899"/>
  </r>
  <r>
    <x v="0"/>
    <x v="0"/>
    <x v="0"/>
    <x v="2"/>
    <x v="3"/>
    <s v="FIN_OTHER"/>
    <x v="5"/>
    <s v="GBPR_WOODCHIPS_FINOTHER"/>
    <x v="0"/>
    <x v="14"/>
    <n v="73.208193067066006"/>
    <n v="26720.9904694791"/>
    <n v="96195.5656901248"/>
  </r>
  <r>
    <x v="0"/>
    <x v="0"/>
    <x v="0"/>
    <x v="2"/>
    <x v="3"/>
    <s v="FIN_OTHER"/>
    <x v="5"/>
    <s v="GHOB_WOODCHIPS"/>
    <x v="0"/>
    <x v="0"/>
    <n v="17.428864896414701"/>
    <n v="6361.53568719135"/>
    <n v="22901.528473888899"/>
  </r>
  <r>
    <x v="0"/>
    <x v="0"/>
    <x v="0"/>
    <x v="2"/>
    <x v="3"/>
    <s v="FIN_OTHER"/>
    <x v="5"/>
    <s v="GHOB_WOODCHIPS"/>
    <x v="0"/>
    <x v="2"/>
    <n v="1.95474760845438"/>
    <n v="713.48287708584803"/>
    <n v="2568.53835750905"/>
  </r>
  <r>
    <x v="0"/>
    <x v="0"/>
    <x v="0"/>
    <x v="2"/>
    <x v="3"/>
    <s v="FIN_OTHER"/>
    <x v="5"/>
    <s v="GHOB_WOODCHIPS"/>
    <x v="0"/>
    <x v="3"/>
    <n v="46.661000584906901"/>
    <n v="17031.265213490999"/>
    <n v="61312.554768567701"/>
  </r>
  <r>
    <x v="0"/>
    <x v="0"/>
    <x v="0"/>
    <x v="2"/>
    <x v="3"/>
    <s v="FIN_OTHER"/>
    <x v="5"/>
    <s v="GHOB_WOODCHIPS"/>
    <x v="0"/>
    <x v="18"/>
    <n v="138.006812436323"/>
    <n v="50372.486539258003"/>
    <n v="181340.95154132901"/>
  </r>
  <r>
    <x v="0"/>
    <x v="0"/>
    <x v="0"/>
    <x v="2"/>
    <x v="3"/>
    <s v="FIN_OTHER"/>
    <x v="5"/>
    <s v="GHOB_WOODCHIPS"/>
    <x v="0"/>
    <x v="4"/>
    <n v="310.221100063275"/>
    <n v="113230.70152309501"/>
    <n v="407630.52548314299"/>
  </r>
  <r>
    <x v="0"/>
    <x v="0"/>
    <x v="0"/>
    <x v="2"/>
    <x v="3"/>
    <s v="FIN_OTHER"/>
    <x v="5"/>
    <s v="GHOB_WOODCHIPS"/>
    <x v="0"/>
    <x v="5"/>
    <n v="583.11111111111097"/>
    <n v="212835.555555556"/>
    <n v="766208"/>
  </r>
  <r>
    <x v="0"/>
    <x v="0"/>
    <x v="0"/>
    <x v="2"/>
    <x v="3"/>
    <s v="FIN_OTHER"/>
    <x v="5"/>
    <s v="GHOB_WOODCHIPS"/>
    <x v="0"/>
    <x v="6"/>
    <n v="583.11111111111097"/>
    <n v="212835.555555556"/>
    <n v="766208"/>
  </r>
  <r>
    <x v="0"/>
    <x v="0"/>
    <x v="0"/>
    <x v="2"/>
    <x v="3"/>
    <s v="FIN_OTHER"/>
    <x v="5"/>
    <s v="GHOB_WOODCHIPS"/>
    <x v="0"/>
    <x v="7"/>
    <n v="583.11111111111097"/>
    <n v="212835.555555556"/>
    <n v="766208"/>
  </r>
  <r>
    <x v="0"/>
    <x v="0"/>
    <x v="0"/>
    <x v="2"/>
    <x v="3"/>
    <s v="FIN_OTHER"/>
    <x v="5"/>
    <s v="GHOB_WOODCHIPS"/>
    <x v="0"/>
    <x v="8"/>
    <n v="583.11111111111097"/>
    <n v="212835.555555556"/>
    <n v="766208"/>
  </r>
  <r>
    <x v="0"/>
    <x v="0"/>
    <x v="0"/>
    <x v="2"/>
    <x v="3"/>
    <s v="FIN_OTHER"/>
    <x v="5"/>
    <s v="GHOB_WOODCHIPS"/>
    <x v="0"/>
    <x v="9"/>
    <n v="583.11111111111097"/>
    <n v="212835.555555556"/>
    <n v="766208"/>
  </r>
  <r>
    <x v="0"/>
    <x v="0"/>
    <x v="0"/>
    <x v="2"/>
    <x v="3"/>
    <s v="FIN_OTHER"/>
    <x v="5"/>
    <s v="GHOB_WOODCHIPS"/>
    <x v="0"/>
    <x v="10"/>
    <n v="583.11111111111097"/>
    <n v="212835.555555556"/>
    <n v="766208"/>
  </r>
  <r>
    <x v="0"/>
    <x v="0"/>
    <x v="0"/>
    <x v="2"/>
    <x v="3"/>
    <s v="FIN_OTHER"/>
    <x v="5"/>
    <s v="GHOB_WOODCHIPS"/>
    <x v="0"/>
    <x v="11"/>
    <n v="583.11111111111097"/>
    <n v="212835.555555556"/>
    <n v="766208"/>
  </r>
  <r>
    <x v="0"/>
    <x v="0"/>
    <x v="0"/>
    <x v="2"/>
    <x v="3"/>
    <s v="FIN_OTHER"/>
    <x v="5"/>
    <s v="GHOB_WOODCHIPS"/>
    <x v="0"/>
    <x v="12"/>
    <n v="583.11111111111097"/>
    <n v="212835.555555556"/>
    <n v="766208"/>
  </r>
  <r>
    <x v="0"/>
    <x v="0"/>
    <x v="0"/>
    <x v="2"/>
    <x v="3"/>
    <s v="FIN_OTHER"/>
    <x v="5"/>
    <s v="GHOB_WOODCHIPS"/>
    <x v="0"/>
    <x v="13"/>
    <n v="583.11111111111097"/>
    <n v="212835.555555556"/>
    <n v="766208"/>
  </r>
  <r>
    <x v="0"/>
    <x v="0"/>
    <x v="0"/>
    <x v="2"/>
    <x v="3"/>
    <s v="FIN_OTHER"/>
    <x v="5"/>
    <s v="GHOB_WOODCHIPS"/>
    <x v="0"/>
    <x v="14"/>
    <n v="583.11111111111097"/>
    <n v="212835.555555556"/>
    <n v="766208"/>
  </r>
  <r>
    <x v="0"/>
    <x v="0"/>
    <x v="0"/>
    <x v="2"/>
    <x v="3"/>
    <s v="FIN_OTHER"/>
    <x v="5"/>
    <s v="GHOB_WOODCHIPS"/>
    <x v="0"/>
    <x v="15"/>
    <n v="518.49051413345501"/>
    <n v="189249.03765871099"/>
    <n v="681296.53557136003"/>
  </r>
  <r>
    <x v="0"/>
    <x v="0"/>
    <x v="0"/>
    <x v="2"/>
    <x v="3"/>
    <s v="FIN_OTHER"/>
    <x v="5"/>
    <s v="GHOB_WOODCHIPS"/>
    <x v="0"/>
    <x v="16"/>
    <n v="408.12232391641902"/>
    <n v="148964.648229493"/>
    <n v="536272.73362617497"/>
  </r>
  <r>
    <x v="0"/>
    <x v="0"/>
    <x v="0"/>
    <x v="2"/>
    <x v="3"/>
    <s v="FIN_OTHER"/>
    <x v="5"/>
    <s v="GHOB_WOODCHIPS"/>
    <x v="0"/>
    <x v="17"/>
    <n v="368.614690114106"/>
    <n v="134544.36189164899"/>
    <n v="484359.70280993602"/>
  </r>
  <r>
    <x v="0"/>
    <x v="0"/>
    <x v="0"/>
    <x v="2"/>
    <x v="3"/>
    <s v="FIN_OTHER"/>
    <x v="5"/>
    <s v="GHOB_WOODCHIPS"/>
    <x v="0"/>
    <x v="19"/>
    <n v="316.46006999995001"/>
    <n v="115507.925549982"/>
    <n v="415828.53197993402"/>
  </r>
  <r>
    <x v="0"/>
    <x v="0"/>
    <x v="0"/>
    <x v="2"/>
    <x v="3"/>
    <s v="FIN_OTHER"/>
    <x v="5"/>
    <s v="GHOB_WOODCHIPS"/>
    <x v="0"/>
    <x v="20"/>
    <n v="260.65809630842"/>
    <n v="95140.205152573195"/>
    <n v="342504.73854926397"/>
  </r>
  <r>
    <x v="0"/>
    <x v="0"/>
    <x v="0"/>
    <x v="2"/>
    <x v="3"/>
    <s v="FIN_OTHER"/>
    <x v="5"/>
    <s v="GHOB_WOODCHIPS"/>
    <x v="0"/>
    <x v="21"/>
    <n v="188.33272061071"/>
    <n v="68741.443022909007"/>
    <n v="247469.19488247301"/>
  </r>
  <r>
    <x v="0"/>
    <x v="0"/>
    <x v="0"/>
    <x v="2"/>
    <x v="3"/>
    <s v="FIN_OTHER"/>
    <x v="5"/>
    <s v="GHOB_WOODCHIPS"/>
    <x v="0"/>
    <x v="22"/>
    <n v="86.385631521255604"/>
    <n v="31530.755505258301"/>
    <n v="113510.71981893"/>
  </r>
  <r>
    <x v="0"/>
    <x v="0"/>
    <x v="0"/>
    <x v="2"/>
    <x v="3"/>
    <s v="FIN_OTHER"/>
    <x v="9"/>
    <s v="GBPR_WOODWASTE_FINOTHER"/>
    <x v="0"/>
    <x v="0"/>
    <n v="430.725308641975"/>
    <n v="157214.73765432101"/>
    <n v="565973.05555555597"/>
  </r>
  <r>
    <x v="0"/>
    <x v="0"/>
    <x v="0"/>
    <x v="2"/>
    <x v="3"/>
    <s v="FIN_OTHER"/>
    <x v="9"/>
    <s v="GBPR_WOODWASTE_FINOTHER"/>
    <x v="0"/>
    <x v="1"/>
    <n v="430.725308641975"/>
    <n v="157214.73765432101"/>
    <n v="565973.05555555597"/>
  </r>
  <r>
    <x v="0"/>
    <x v="0"/>
    <x v="0"/>
    <x v="2"/>
    <x v="3"/>
    <s v="FIN_OTHER"/>
    <x v="9"/>
    <s v="GBPR_WOODWASTE_FINOTHER"/>
    <x v="0"/>
    <x v="2"/>
    <n v="430.725308641975"/>
    <n v="157214.73765432101"/>
    <n v="565973.05555555597"/>
  </r>
  <r>
    <x v="0"/>
    <x v="0"/>
    <x v="0"/>
    <x v="2"/>
    <x v="3"/>
    <s v="FIN_OTHER"/>
    <x v="9"/>
    <s v="GBPR_WOODWASTE_FINOTHER"/>
    <x v="0"/>
    <x v="3"/>
    <n v="430.725308641975"/>
    <n v="157214.73765432101"/>
    <n v="565973.05555555597"/>
  </r>
  <r>
    <x v="0"/>
    <x v="0"/>
    <x v="0"/>
    <x v="2"/>
    <x v="3"/>
    <s v="FIN_OTHER"/>
    <x v="9"/>
    <s v="GBPR_WOODWASTE_FINOTHER"/>
    <x v="0"/>
    <x v="18"/>
    <n v="430.725308641975"/>
    <n v="157214.73765432101"/>
    <n v="565973.05555555597"/>
  </r>
  <r>
    <x v="0"/>
    <x v="0"/>
    <x v="0"/>
    <x v="2"/>
    <x v="3"/>
    <s v="FIN_OTHER"/>
    <x v="9"/>
    <s v="GBPR_WOODWASTE_FINOTHER"/>
    <x v="0"/>
    <x v="4"/>
    <n v="430.725308641975"/>
    <n v="157214.73765432101"/>
    <n v="565973.05555555597"/>
  </r>
  <r>
    <x v="0"/>
    <x v="0"/>
    <x v="0"/>
    <x v="2"/>
    <x v="3"/>
    <s v="FIN_OTHER"/>
    <x v="9"/>
    <s v="GBPR_WOODWASTE_FINOTHER"/>
    <x v="0"/>
    <x v="5"/>
    <n v="430.725308641975"/>
    <n v="157214.73765432101"/>
    <n v="565973.05555555597"/>
  </r>
  <r>
    <x v="0"/>
    <x v="0"/>
    <x v="0"/>
    <x v="2"/>
    <x v="3"/>
    <s v="FIN_OTHER"/>
    <x v="9"/>
    <s v="GBPR_WOODWASTE_FINOTHER"/>
    <x v="0"/>
    <x v="6"/>
    <n v="430.725308641975"/>
    <n v="157214.73765432101"/>
    <n v="565973.05555555597"/>
  </r>
  <r>
    <x v="0"/>
    <x v="0"/>
    <x v="0"/>
    <x v="2"/>
    <x v="3"/>
    <s v="FIN_OTHER"/>
    <x v="9"/>
    <s v="GBPR_WOODWASTE_FINOTHER"/>
    <x v="0"/>
    <x v="7"/>
    <n v="430.725308641975"/>
    <n v="157214.73765432101"/>
    <n v="565973.05555555597"/>
  </r>
  <r>
    <x v="0"/>
    <x v="0"/>
    <x v="0"/>
    <x v="2"/>
    <x v="3"/>
    <s v="FIN_OTHER"/>
    <x v="9"/>
    <s v="GBPR_WOODWASTE_FINOTHER"/>
    <x v="0"/>
    <x v="8"/>
    <n v="430.725308641975"/>
    <n v="157214.73765432101"/>
    <n v="565973.05555555597"/>
  </r>
  <r>
    <x v="0"/>
    <x v="0"/>
    <x v="0"/>
    <x v="2"/>
    <x v="3"/>
    <s v="FIN_OTHER"/>
    <x v="9"/>
    <s v="GBPR_WOODWASTE_FINOTHER"/>
    <x v="0"/>
    <x v="9"/>
    <n v="430.725308641975"/>
    <n v="157214.73765432101"/>
    <n v="565973.05555555597"/>
  </r>
  <r>
    <x v="0"/>
    <x v="0"/>
    <x v="0"/>
    <x v="2"/>
    <x v="3"/>
    <s v="FIN_OTHER"/>
    <x v="9"/>
    <s v="GBPR_WOODWASTE_FINOTHER"/>
    <x v="0"/>
    <x v="10"/>
    <n v="430.725308641975"/>
    <n v="157214.73765432101"/>
    <n v="565973.05555555597"/>
  </r>
  <r>
    <x v="0"/>
    <x v="0"/>
    <x v="0"/>
    <x v="2"/>
    <x v="3"/>
    <s v="FIN_OTHER"/>
    <x v="9"/>
    <s v="GBPR_WOODWASTE_FINOTHER"/>
    <x v="0"/>
    <x v="11"/>
    <n v="430.725308641975"/>
    <n v="157214.73765432101"/>
    <n v="565973.05555555597"/>
  </r>
  <r>
    <x v="0"/>
    <x v="0"/>
    <x v="0"/>
    <x v="2"/>
    <x v="3"/>
    <s v="FIN_OTHER"/>
    <x v="9"/>
    <s v="GBPR_WOODWASTE_FINOTHER"/>
    <x v="0"/>
    <x v="12"/>
    <n v="430.725308641975"/>
    <n v="157214.73765432101"/>
    <n v="565973.05555555597"/>
  </r>
  <r>
    <x v="0"/>
    <x v="0"/>
    <x v="0"/>
    <x v="2"/>
    <x v="3"/>
    <s v="FIN_OTHER"/>
    <x v="9"/>
    <s v="GBPR_WOODWASTE_FINOTHER"/>
    <x v="0"/>
    <x v="13"/>
    <n v="430.725308641975"/>
    <n v="157214.73765432101"/>
    <n v="565973.05555555597"/>
  </r>
  <r>
    <x v="0"/>
    <x v="0"/>
    <x v="0"/>
    <x v="2"/>
    <x v="3"/>
    <s v="FIN_OTHER"/>
    <x v="9"/>
    <s v="GBPR_WOODWASTE_FINOTHER"/>
    <x v="0"/>
    <x v="14"/>
    <n v="430.725308641975"/>
    <n v="157214.73765432101"/>
    <n v="565973.05555555597"/>
  </r>
  <r>
    <x v="0"/>
    <x v="0"/>
    <x v="0"/>
    <x v="2"/>
    <x v="3"/>
    <s v="FIN_OTHER"/>
    <x v="9"/>
    <s v="GBPR_WOODWASTE_FINOTHER"/>
    <x v="0"/>
    <x v="15"/>
    <n v="430.725308641975"/>
    <n v="157214.73765432101"/>
    <n v="565973.05555555597"/>
  </r>
  <r>
    <x v="0"/>
    <x v="0"/>
    <x v="0"/>
    <x v="2"/>
    <x v="3"/>
    <s v="FIN_OTHER"/>
    <x v="9"/>
    <s v="GBPR_WOODWASTE_FINOTHER"/>
    <x v="0"/>
    <x v="16"/>
    <n v="430.725308641975"/>
    <n v="157214.73765432101"/>
    <n v="565973.05555555597"/>
  </r>
  <r>
    <x v="0"/>
    <x v="0"/>
    <x v="0"/>
    <x v="2"/>
    <x v="3"/>
    <s v="FIN_OTHER"/>
    <x v="9"/>
    <s v="GBPR_WOODWASTE_FINOTHER"/>
    <x v="0"/>
    <x v="17"/>
    <n v="430.725308641975"/>
    <n v="157214.73765432101"/>
    <n v="565973.05555555597"/>
  </r>
  <r>
    <x v="0"/>
    <x v="0"/>
    <x v="0"/>
    <x v="2"/>
    <x v="3"/>
    <s v="FIN_OTHER"/>
    <x v="9"/>
    <s v="GBPR_WOODWASTE_FINOTHER"/>
    <x v="0"/>
    <x v="19"/>
    <n v="430.725308641975"/>
    <n v="157214.73765432101"/>
    <n v="565973.05555555597"/>
  </r>
  <r>
    <x v="0"/>
    <x v="0"/>
    <x v="0"/>
    <x v="2"/>
    <x v="3"/>
    <s v="FIN_OTHER"/>
    <x v="9"/>
    <s v="GBPR_WOODWASTE_FINOTHER"/>
    <x v="0"/>
    <x v="20"/>
    <n v="430.725308641975"/>
    <n v="157214.73765432101"/>
    <n v="565973.05555555597"/>
  </r>
  <r>
    <x v="0"/>
    <x v="0"/>
    <x v="0"/>
    <x v="2"/>
    <x v="3"/>
    <s v="FIN_OTHER"/>
    <x v="9"/>
    <s v="GBPR_WOODWASTE_FINOTHER"/>
    <x v="0"/>
    <x v="21"/>
    <n v="430.725308641975"/>
    <n v="157214.73765432101"/>
    <n v="565973.05555555597"/>
  </r>
  <r>
    <x v="0"/>
    <x v="0"/>
    <x v="0"/>
    <x v="2"/>
    <x v="3"/>
    <s v="FIN_OTHER"/>
    <x v="9"/>
    <s v="GBPR_WOODWASTE_FINOTHER"/>
    <x v="0"/>
    <x v="22"/>
    <n v="430.725308641975"/>
    <n v="157214.73765432101"/>
    <n v="565973.05555555597"/>
  </r>
  <r>
    <x v="0"/>
    <x v="0"/>
    <x v="0"/>
    <x v="2"/>
    <x v="3"/>
    <s v="FIN_OTHER"/>
    <x v="9"/>
    <s v="GBPR_WOODWASTE_FINOTHER"/>
    <x v="0"/>
    <x v="23"/>
    <n v="430.725308641975"/>
    <n v="157214.73765432101"/>
    <n v="565973.05555555597"/>
  </r>
  <r>
    <x v="0"/>
    <x v="0"/>
    <x v="0"/>
    <x v="2"/>
    <x v="3"/>
    <s v="FIN_OTHER"/>
    <x v="9"/>
    <s v="GHOB_WOODWASTE"/>
    <x v="0"/>
    <x v="0"/>
    <n v="196.23529411764699"/>
    <n v="71625.882352941204"/>
    <n v="257853.17647058799"/>
  </r>
  <r>
    <x v="0"/>
    <x v="0"/>
    <x v="0"/>
    <x v="2"/>
    <x v="3"/>
    <s v="FIN_OTHER"/>
    <x v="9"/>
    <s v="GHOB_WOODWASTE"/>
    <x v="0"/>
    <x v="1"/>
    <n v="196.23529411764699"/>
    <n v="71625.882352941204"/>
    <n v="257853.17647058799"/>
  </r>
  <r>
    <x v="0"/>
    <x v="0"/>
    <x v="0"/>
    <x v="2"/>
    <x v="3"/>
    <s v="FIN_OTHER"/>
    <x v="9"/>
    <s v="GHOB_WOODWASTE"/>
    <x v="0"/>
    <x v="2"/>
    <n v="196.23529411764699"/>
    <n v="71625.882352941204"/>
    <n v="257853.17647058799"/>
  </r>
  <r>
    <x v="0"/>
    <x v="0"/>
    <x v="0"/>
    <x v="2"/>
    <x v="3"/>
    <s v="FIN_OTHER"/>
    <x v="9"/>
    <s v="GHOB_WOODWASTE"/>
    <x v="0"/>
    <x v="3"/>
    <n v="196.23529411764699"/>
    <n v="71625.882352941204"/>
    <n v="257853.17647058799"/>
  </r>
  <r>
    <x v="0"/>
    <x v="0"/>
    <x v="0"/>
    <x v="2"/>
    <x v="3"/>
    <s v="FIN_OTHER"/>
    <x v="9"/>
    <s v="GHOB_WOODWASTE"/>
    <x v="0"/>
    <x v="18"/>
    <n v="196.23529411764699"/>
    <n v="71625.882352941204"/>
    <n v="257853.17647058799"/>
  </r>
  <r>
    <x v="0"/>
    <x v="0"/>
    <x v="0"/>
    <x v="2"/>
    <x v="3"/>
    <s v="FIN_OTHER"/>
    <x v="9"/>
    <s v="GHOB_WOODWASTE"/>
    <x v="0"/>
    <x v="4"/>
    <n v="196.23529411764699"/>
    <n v="71625.882352941204"/>
    <n v="257853.17647058799"/>
  </r>
  <r>
    <x v="0"/>
    <x v="0"/>
    <x v="0"/>
    <x v="2"/>
    <x v="3"/>
    <s v="FIN_OTHER"/>
    <x v="9"/>
    <s v="GHOB_WOODWASTE"/>
    <x v="0"/>
    <x v="5"/>
    <n v="196.23529411764699"/>
    <n v="71625.882352941204"/>
    <n v="257853.17647058799"/>
  </r>
  <r>
    <x v="0"/>
    <x v="0"/>
    <x v="0"/>
    <x v="2"/>
    <x v="3"/>
    <s v="FIN_OTHER"/>
    <x v="9"/>
    <s v="GHOB_WOODWASTE"/>
    <x v="0"/>
    <x v="6"/>
    <n v="196.23529411764699"/>
    <n v="71625.882352941204"/>
    <n v="257853.17647058799"/>
  </r>
  <r>
    <x v="0"/>
    <x v="0"/>
    <x v="0"/>
    <x v="2"/>
    <x v="3"/>
    <s v="FIN_OTHER"/>
    <x v="9"/>
    <s v="GHOB_WOODWASTE"/>
    <x v="0"/>
    <x v="7"/>
    <n v="196.23529411764699"/>
    <n v="71625.882352941204"/>
    <n v="257853.17647058799"/>
  </r>
  <r>
    <x v="0"/>
    <x v="0"/>
    <x v="0"/>
    <x v="2"/>
    <x v="3"/>
    <s v="FIN_OTHER"/>
    <x v="9"/>
    <s v="GHOB_WOODWASTE"/>
    <x v="0"/>
    <x v="8"/>
    <n v="196.23529411764699"/>
    <n v="71625.882352941204"/>
    <n v="257853.17647058799"/>
  </r>
  <r>
    <x v="0"/>
    <x v="0"/>
    <x v="0"/>
    <x v="2"/>
    <x v="3"/>
    <s v="FIN_OTHER"/>
    <x v="9"/>
    <s v="GHOB_WOODWASTE"/>
    <x v="0"/>
    <x v="9"/>
    <n v="196.23529411764699"/>
    <n v="71625.882352941204"/>
    <n v="257853.17647058799"/>
  </r>
  <r>
    <x v="0"/>
    <x v="0"/>
    <x v="0"/>
    <x v="2"/>
    <x v="3"/>
    <s v="FIN_OTHER"/>
    <x v="9"/>
    <s v="GHOB_WOODWASTE"/>
    <x v="0"/>
    <x v="10"/>
    <n v="196.23529411764699"/>
    <n v="71625.882352941204"/>
    <n v="257853.17647058799"/>
  </r>
  <r>
    <x v="0"/>
    <x v="0"/>
    <x v="0"/>
    <x v="2"/>
    <x v="3"/>
    <s v="FIN_OTHER"/>
    <x v="9"/>
    <s v="GHOB_WOODWASTE"/>
    <x v="0"/>
    <x v="11"/>
    <n v="196.23529411764699"/>
    <n v="71625.882352941204"/>
    <n v="257853.17647058799"/>
  </r>
  <r>
    <x v="0"/>
    <x v="0"/>
    <x v="0"/>
    <x v="2"/>
    <x v="3"/>
    <s v="FIN_OTHER"/>
    <x v="9"/>
    <s v="GHOB_WOODWASTE"/>
    <x v="0"/>
    <x v="12"/>
    <n v="196.23529411764699"/>
    <n v="71625.882352941204"/>
    <n v="257853.17647058799"/>
  </r>
  <r>
    <x v="0"/>
    <x v="0"/>
    <x v="0"/>
    <x v="2"/>
    <x v="3"/>
    <s v="FIN_OTHER"/>
    <x v="9"/>
    <s v="GHOB_WOODWASTE"/>
    <x v="0"/>
    <x v="13"/>
    <n v="196.23529411764699"/>
    <n v="71625.882352941204"/>
    <n v="257853.17647058799"/>
  </r>
  <r>
    <x v="0"/>
    <x v="0"/>
    <x v="0"/>
    <x v="2"/>
    <x v="3"/>
    <s v="FIN_OTHER"/>
    <x v="9"/>
    <s v="GHOB_WOODWASTE"/>
    <x v="0"/>
    <x v="14"/>
    <n v="196.23529411764699"/>
    <n v="71625.882352941204"/>
    <n v="257853.17647058799"/>
  </r>
  <r>
    <x v="0"/>
    <x v="0"/>
    <x v="0"/>
    <x v="2"/>
    <x v="3"/>
    <s v="FIN_OTHER"/>
    <x v="9"/>
    <s v="GHOB_WOODWASTE"/>
    <x v="0"/>
    <x v="15"/>
    <n v="196.23529411764699"/>
    <n v="71625.882352941204"/>
    <n v="257853.17647058799"/>
  </r>
  <r>
    <x v="0"/>
    <x v="0"/>
    <x v="0"/>
    <x v="2"/>
    <x v="3"/>
    <s v="FIN_OTHER"/>
    <x v="9"/>
    <s v="GHOB_WOODWASTE"/>
    <x v="0"/>
    <x v="16"/>
    <n v="196.23529411764699"/>
    <n v="71625.882352941204"/>
    <n v="257853.17647058799"/>
  </r>
  <r>
    <x v="0"/>
    <x v="0"/>
    <x v="0"/>
    <x v="2"/>
    <x v="3"/>
    <s v="FIN_OTHER"/>
    <x v="9"/>
    <s v="GHOB_WOODWASTE"/>
    <x v="0"/>
    <x v="17"/>
    <n v="196.23529411764699"/>
    <n v="71625.882352941204"/>
    <n v="257853.17647058799"/>
  </r>
  <r>
    <x v="0"/>
    <x v="0"/>
    <x v="0"/>
    <x v="2"/>
    <x v="3"/>
    <s v="FIN_OTHER"/>
    <x v="9"/>
    <s v="GHOB_WOODWASTE"/>
    <x v="0"/>
    <x v="19"/>
    <n v="196.23529411764699"/>
    <n v="71625.882352941204"/>
    <n v="257853.17647058799"/>
  </r>
  <r>
    <x v="0"/>
    <x v="0"/>
    <x v="0"/>
    <x v="2"/>
    <x v="3"/>
    <s v="FIN_OTHER"/>
    <x v="9"/>
    <s v="GHOB_WOODWASTE"/>
    <x v="0"/>
    <x v="20"/>
    <n v="196.23529411764699"/>
    <n v="71625.882352941204"/>
    <n v="257853.17647058799"/>
  </r>
  <r>
    <x v="0"/>
    <x v="0"/>
    <x v="0"/>
    <x v="2"/>
    <x v="3"/>
    <s v="FIN_OTHER"/>
    <x v="9"/>
    <s v="GHOB_WOODWASTE"/>
    <x v="0"/>
    <x v="21"/>
    <n v="196.23529411764699"/>
    <n v="71625.882352941204"/>
    <n v="257853.17647058799"/>
  </r>
  <r>
    <x v="0"/>
    <x v="0"/>
    <x v="0"/>
    <x v="2"/>
    <x v="3"/>
    <s v="FIN_OTHER"/>
    <x v="9"/>
    <s v="GHOB_WOODWASTE"/>
    <x v="0"/>
    <x v="22"/>
    <n v="196.23529411764699"/>
    <n v="71625.882352941204"/>
    <n v="257853.17647058799"/>
  </r>
  <r>
    <x v="0"/>
    <x v="0"/>
    <x v="0"/>
    <x v="2"/>
    <x v="3"/>
    <s v="FIN_OTHER"/>
    <x v="9"/>
    <s v="GHOB_WOODWASTE"/>
    <x v="0"/>
    <x v="23"/>
    <n v="196.23529411764699"/>
    <n v="71625.882352941204"/>
    <n v="257853.17647058799"/>
  </r>
  <r>
    <x v="0"/>
    <x v="0"/>
    <x v="0"/>
    <x v="2"/>
    <x v="3"/>
    <s v="FIN_TAMP"/>
    <x v="3"/>
    <s v="GEXT_NATGAS_TAMPERE"/>
    <x v="0"/>
    <x v="0"/>
    <n v="439.03351802252803"/>
    <n v="160247.234078223"/>
    <n v="576890.04268160195"/>
  </r>
  <r>
    <x v="0"/>
    <x v="0"/>
    <x v="0"/>
    <x v="2"/>
    <x v="3"/>
    <s v="FIN_TAMP"/>
    <x v="3"/>
    <s v="GEXT_NATGAS_TAMPERE"/>
    <x v="0"/>
    <x v="1"/>
    <n v="399.059905296713"/>
    <n v="145656.8654333"/>
    <n v="524364.71555988095"/>
  </r>
  <r>
    <x v="0"/>
    <x v="0"/>
    <x v="0"/>
    <x v="2"/>
    <x v="3"/>
    <s v="FIN_TAMP"/>
    <x v="3"/>
    <s v="GEXT_NATGAS_TAMPERE"/>
    <x v="0"/>
    <x v="2"/>
    <n v="401.98963272243901"/>
    <n v="146726.21594369001"/>
    <n v="528214.37739728496"/>
  </r>
  <r>
    <x v="0"/>
    <x v="0"/>
    <x v="0"/>
    <x v="2"/>
    <x v="3"/>
    <s v="FIN_TAMP"/>
    <x v="3"/>
    <s v="GEXT_NATGAS_TAMPERE"/>
    <x v="0"/>
    <x v="3"/>
    <n v="448.59019931319898"/>
    <n v="163735.42274931801"/>
    <n v="589447.52189754299"/>
  </r>
  <r>
    <x v="0"/>
    <x v="0"/>
    <x v="0"/>
    <x v="2"/>
    <x v="3"/>
    <s v="FIN_TAMP"/>
    <x v="3"/>
    <s v="GEXT_NATGAS_TAMPERE"/>
    <x v="0"/>
    <x v="18"/>
    <n v="475.18696097010599"/>
    <n v="173443.240754089"/>
    <n v="624395.66671471903"/>
  </r>
  <r>
    <x v="0"/>
    <x v="0"/>
    <x v="0"/>
    <x v="2"/>
    <x v="3"/>
    <s v="FIN_TAMP"/>
    <x v="3"/>
    <s v="GEXT_NATGAS_TAMPERE"/>
    <x v="0"/>
    <x v="4"/>
    <n v="519.25350597890701"/>
    <n v="189527.52968230101"/>
    <n v="682299.10685628303"/>
  </r>
  <r>
    <x v="0"/>
    <x v="0"/>
    <x v="0"/>
    <x v="2"/>
    <x v="3"/>
    <s v="FIN_TAMP"/>
    <x v="3"/>
    <s v="GEXT_NATGAS_TAMPERE"/>
    <x v="0"/>
    <x v="5"/>
    <n v="612.07820233696896"/>
    <n v="223408.54385299399"/>
    <n v="804270.75787077798"/>
  </r>
  <r>
    <x v="0"/>
    <x v="0"/>
    <x v="0"/>
    <x v="2"/>
    <x v="3"/>
    <s v="FIN_TAMP"/>
    <x v="3"/>
    <s v="GEXT_NATGAS_TAMPERE"/>
    <x v="0"/>
    <x v="6"/>
    <n v="666.41276464749001"/>
    <n v="243240.65909633401"/>
    <n v="875666.37274680205"/>
  </r>
  <r>
    <x v="0"/>
    <x v="0"/>
    <x v="0"/>
    <x v="2"/>
    <x v="3"/>
    <s v="FIN_TAMP"/>
    <x v="3"/>
    <s v="GEXT_NATGAS_TAMPERE"/>
    <x v="0"/>
    <x v="7"/>
    <n v="677.22067969389298"/>
    <n v="247185.548088271"/>
    <n v="889867.97311777505"/>
  </r>
  <r>
    <x v="0"/>
    <x v="0"/>
    <x v="0"/>
    <x v="2"/>
    <x v="3"/>
    <s v="FIN_TAMP"/>
    <x v="3"/>
    <s v="GEXT_NATGAS_TAMPERE"/>
    <x v="0"/>
    <x v="8"/>
    <n v="681.15320241294603"/>
    <n v="248620.91888072499"/>
    <n v="895035.30797061103"/>
  </r>
  <r>
    <x v="0"/>
    <x v="0"/>
    <x v="0"/>
    <x v="2"/>
    <x v="3"/>
    <s v="FIN_TAMP"/>
    <x v="3"/>
    <s v="GEXT_NATGAS_TAMPERE"/>
    <x v="0"/>
    <x v="9"/>
    <n v="661.23495136926795"/>
    <n v="241350.757249783"/>
    <n v="868862.72609921801"/>
  </r>
  <r>
    <x v="0"/>
    <x v="0"/>
    <x v="0"/>
    <x v="2"/>
    <x v="3"/>
    <s v="FIN_TAMP"/>
    <x v="3"/>
    <s v="GEXT_NATGAS_TAMPERE"/>
    <x v="0"/>
    <x v="10"/>
    <n v="649.44609433361495"/>
    <n v="237047.824431769"/>
    <n v="853372.16795437003"/>
  </r>
  <r>
    <x v="0"/>
    <x v="0"/>
    <x v="0"/>
    <x v="2"/>
    <x v="3"/>
    <s v="FIN_TAMP"/>
    <x v="3"/>
    <s v="GEXT_NATGAS_TAMPERE"/>
    <x v="0"/>
    <x v="11"/>
    <n v="644.74271958613599"/>
    <n v="235331.09264893999"/>
    <n v="847191.93353618297"/>
  </r>
  <r>
    <x v="0"/>
    <x v="0"/>
    <x v="0"/>
    <x v="2"/>
    <x v="3"/>
    <s v="FIN_TAMP"/>
    <x v="3"/>
    <s v="GEXT_NATGAS_TAMPERE"/>
    <x v="0"/>
    <x v="12"/>
    <n v="643.601345089137"/>
    <n v="234914.49095753499"/>
    <n v="845692.167447126"/>
  </r>
  <r>
    <x v="0"/>
    <x v="0"/>
    <x v="0"/>
    <x v="2"/>
    <x v="3"/>
    <s v="FIN_TAMP"/>
    <x v="3"/>
    <s v="GEXT_NATGAS_TAMPERE"/>
    <x v="0"/>
    <x v="13"/>
    <n v="647.03823426052395"/>
    <n v="236168.955505091"/>
    <n v="850208.23981832899"/>
  </r>
  <r>
    <x v="0"/>
    <x v="0"/>
    <x v="0"/>
    <x v="2"/>
    <x v="3"/>
    <s v="FIN_TAMP"/>
    <x v="3"/>
    <s v="GEXT_NATGAS_TAMPERE"/>
    <x v="0"/>
    <x v="14"/>
    <n v="669.17608197913898"/>
    <n v="244249.26992238601"/>
    <n v="879297.37172058795"/>
  </r>
  <r>
    <x v="0"/>
    <x v="0"/>
    <x v="0"/>
    <x v="2"/>
    <x v="3"/>
    <s v="FIN_TAMP"/>
    <x v="3"/>
    <s v="GEXT_NATGAS_TAMPERE"/>
    <x v="0"/>
    <x v="15"/>
    <n v="646.57070241248005"/>
    <n v="235998.306380555"/>
    <n v="849593.90296999901"/>
  </r>
  <r>
    <x v="0"/>
    <x v="0"/>
    <x v="0"/>
    <x v="2"/>
    <x v="3"/>
    <s v="FIN_TAMP"/>
    <x v="3"/>
    <s v="GEXT_NATGAS_TAMPERE"/>
    <x v="0"/>
    <x v="16"/>
    <n v="631.30044421555294"/>
    <n v="230424.662138677"/>
    <n v="829528.783699236"/>
  </r>
  <r>
    <x v="0"/>
    <x v="0"/>
    <x v="0"/>
    <x v="2"/>
    <x v="3"/>
    <s v="FIN_TAMP"/>
    <x v="3"/>
    <s v="GEXT_NATGAS_TAMPERE"/>
    <x v="0"/>
    <x v="17"/>
    <n v="634.68716167191997"/>
    <n v="231660.81401025099"/>
    <n v="833978.93043690303"/>
  </r>
  <r>
    <x v="0"/>
    <x v="0"/>
    <x v="0"/>
    <x v="2"/>
    <x v="3"/>
    <s v="FIN_TAMP"/>
    <x v="3"/>
    <s v="GEXT_NATGAS_TAMPERE"/>
    <x v="0"/>
    <x v="19"/>
    <n v="624.59014113394505"/>
    <n v="227975.40151389001"/>
    <n v="820711.44545000303"/>
  </r>
  <r>
    <x v="0"/>
    <x v="0"/>
    <x v="0"/>
    <x v="2"/>
    <x v="3"/>
    <s v="FIN_TAMP"/>
    <x v="3"/>
    <s v="GEXT_NATGAS_TAMPERE"/>
    <x v="0"/>
    <x v="20"/>
    <n v="610.66865502578503"/>
    <n v="222894.05908441101"/>
    <n v="802418.61270388099"/>
  </r>
  <r>
    <x v="0"/>
    <x v="0"/>
    <x v="0"/>
    <x v="2"/>
    <x v="3"/>
    <s v="FIN_TAMP"/>
    <x v="3"/>
    <s v="GEXT_NATGAS_TAMPERE"/>
    <x v="0"/>
    <x v="21"/>
    <n v="601.04768221600602"/>
    <n v="219382.40400884199"/>
    <n v="789776.65443183202"/>
  </r>
  <r>
    <x v="0"/>
    <x v="0"/>
    <x v="0"/>
    <x v="2"/>
    <x v="3"/>
    <s v="FIN_TAMP"/>
    <x v="3"/>
    <s v="GEXT_NATGAS_TAMPERE"/>
    <x v="0"/>
    <x v="22"/>
    <n v="569.94887390915596"/>
    <n v="208031.338976842"/>
    <n v="748912.820316631"/>
  </r>
  <r>
    <x v="0"/>
    <x v="0"/>
    <x v="0"/>
    <x v="2"/>
    <x v="3"/>
    <s v="FIN_TAMP"/>
    <x v="3"/>
    <s v="GEXT_NATGAS_TAMPERE"/>
    <x v="0"/>
    <x v="23"/>
    <n v="540.85842359392996"/>
    <n v="197413.32461178501"/>
    <n v="710687.96860242402"/>
  </r>
  <r>
    <x v="0"/>
    <x v="0"/>
    <x v="0"/>
    <x v="2"/>
    <x v="3"/>
    <s v="FinA"/>
    <x v="0"/>
    <s v="GCND_COAL3"/>
    <x v="0"/>
    <x v="0"/>
    <n v="51.791366095634601"/>
    <n v="18903.848624906601"/>
    <n v="68053.855049663907"/>
  </r>
  <r>
    <x v="0"/>
    <x v="0"/>
    <x v="0"/>
    <x v="2"/>
    <x v="3"/>
    <s v="FinA"/>
    <x v="0"/>
    <s v="GCND_COAL3"/>
    <x v="0"/>
    <x v="3"/>
    <n v="194.21814246675001"/>
    <n v="70889.622000363903"/>
    <n v="255202.63920131"/>
  </r>
  <r>
    <x v="0"/>
    <x v="0"/>
    <x v="0"/>
    <x v="2"/>
    <x v="3"/>
    <s v="FinA"/>
    <x v="0"/>
    <s v="GCND_COAL3"/>
    <x v="0"/>
    <x v="18"/>
    <n v="1378.0487804878001"/>
    <n v="502987.80487804901"/>
    <n v="1810756.0975609799"/>
  </r>
  <r>
    <x v="0"/>
    <x v="0"/>
    <x v="0"/>
    <x v="2"/>
    <x v="3"/>
    <s v="FinA"/>
    <x v="0"/>
    <s v="GCND_COAL3"/>
    <x v="0"/>
    <x v="4"/>
    <n v="1378.0487804878001"/>
    <n v="502987.80487804901"/>
    <n v="1810756.0975609799"/>
  </r>
  <r>
    <x v="0"/>
    <x v="0"/>
    <x v="0"/>
    <x v="2"/>
    <x v="3"/>
    <s v="FinA"/>
    <x v="0"/>
    <s v="GCND_COAL3"/>
    <x v="0"/>
    <x v="5"/>
    <n v="1378.0487804878001"/>
    <n v="502987.80487804901"/>
    <n v="1810756.0975609799"/>
  </r>
  <r>
    <x v="0"/>
    <x v="0"/>
    <x v="0"/>
    <x v="2"/>
    <x v="3"/>
    <s v="FinA"/>
    <x v="0"/>
    <s v="GCND_COAL3"/>
    <x v="0"/>
    <x v="6"/>
    <n v="1378.0487804878001"/>
    <n v="502987.80487804901"/>
    <n v="1810756.0975609799"/>
  </r>
  <r>
    <x v="0"/>
    <x v="0"/>
    <x v="0"/>
    <x v="2"/>
    <x v="3"/>
    <s v="FinA"/>
    <x v="0"/>
    <s v="GCND_COAL3"/>
    <x v="0"/>
    <x v="7"/>
    <n v="1378.0487804878001"/>
    <n v="502987.80487804901"/>
    <n v="1810756.0975609799"/>
  </r>
  <r>
    <x v="0"/>
    <x v="0"/>
    <x v="0"/>
    <x v="2"/>
    <x v="3"/>
    <s v="FinA"/>
    <x v="0"/>
    <s v="GCND_COAL3"/>
    <x v="0"/>
    <x v="8"/>
    <n v="1378.0487804878001"/>
    <n v="502987.80487804901"/>
    <n v="1810756.0975609799"/>
  </r>
  <r>
    <x v="0"/>
    <x v="0"/>
    <x v="0"/>
    <x v="2"/>
    <x v="3"/>
    <s v="FinA"/>
    <x v="0"/>
    <s v="GCND_COAL3"/>
    <x v="0"/>
    <x v="9"/>
    <n v="1378.0487804878001"/>
    <n v="502987.80487804901"/>
    <n v="1810756.0975609799"/>
  </r>
  <r>
    <x v="0"/>
    <x v="0"/>
    <x v="0"/>
    <x v="2"/>
    <x v="3"/>
    <s v="FinA"/>
    <x v="0"/>
    <s v="GCND_COAL3"/>
    <x v="0"/>
    <x v="10"/>
    <n v="1378.0487804878001"/>
    <n v="502987.80487804901"/>
    <n v="1810756.0975609799"/>
  </r>
  <r>
    <x v="0"/>
    <x v="0"/>
    <x v="0"/>
    <x v="2"/>
    <x v="3"/>
    <s v="FinA"/>
    <x v="0"/>
    <s v="GCND_COAL3"/>
    <x v="0"/>
    <x v="11"/>
    <n v="1378.0487804878001"/>
    <n v="502987.80487804901"/>
    <n v="1810756.0975609799"/>
  </r>
  <r>
    <x v="0"/>
    <x v="0"/>
    <x v="0"/>
    <x v="2"/>
    <x v="3"/>
    <s v="FinA"/>
    <x v="0"/>
    <s v="GCND_COAL3"/>
    <x v="0"/>
    <x v="12"/>
    <n v="1378.0487804878001"/>
    <n v="502987.80487804901"/>
    <n v="1810756.0975609799"/>
  </r>
  <r>
    <x v="0"/>
    <x v="0"/>
    <x v="0"/>
    <x v="2"/>
    <x v="3"/>
    <s v="FinA"/>
    <x v="0"/>
    <s v="GCND_COAL3"/>
    <x v="0"/>
    <x v="13"/>
    <n v="1378.0487804878001"/>
    <n v="502987.80487804901"/>
    <n v="1810756.0975609799"/>
  </r>
  <r>
    <x v="0"/>
    <x v="0"/>
    <x v="0"/>
    <x v="2"/>
    <x v="3"/>
    <s v="FinA"/>
    <x v="0"/>
    <s v="GCND_COAL3"/>
    <x v="0"/>
    <x v="14"/>
    <n v="1378.0487804878001"/>
    <n v="502987.80487804901"/>
    <n v="1810756.0975609799"/>
  </r>
  <r>
    <x v="0"/>
    <x v="0"/>
    <x v="0"/>
    <x v="2"/>
    <x v="3"/>
    <s v="FinA"/>
    <x v="0"/>
    <s v="GCND_COAL3"/>
    <x v="0"/>
    <x v="15"/>
    <n v="1378.0487804878001"/>
    <n v="502987.80487804901"/>
    <n v="1810756.0975609799"/>
  </r>
  <r>
    <x v="0"/>
    <x v="0"/>
    <x v="0"/>
    <x v="2"/>
    <x v="3"/>
    <s v="FinA"/>
    <x v="0"/>
    <s v="GCND_COAL3"/>
    <x v="0"/>
    <x v="16"/>
    <n v="1378.0487804878001"/>
    <n v="502987.80487804901"/>
    <n v="1810756.0975609799"/>
  </r>
  <r>
    <x v="0"/>
    <x v="0"/>
    <x v="0"/>
    <x v="2"/>
    <x v="3"/>
    <s v="FinA"/>
    <x v="0"/>
    <s v="GCND_COAL3"/>
    <x v="0"/>
    <x v="17"/>
    <n v="1378.0487804878001"/>
    <n v="502987.80487804901"/>
    <n v="1810756.0975609799"/>
  </r>
  <r>
    <x v="0"/>
    <x v="0"/>
    <x v="0"/>
    <x v="2"/>
    <x v="3"/>
    <s v="FinA"/>
    <x v="0"/>
    <s v="GCND_COAL3"/>
    <x v="0"/>
    <x v="19"/>
    <n v="1378.0487804878001"/>
    <n v="502987.80487804901"/>
    <n v="1810756.0975609799"/>
  </r>
  <r>
    <x v="0"/>
    <x v="0"/>
    <x v="0"/>
    <x v="2"/>
    <x v="3"/>
    <s v="FinA"/>
    <x v="0"/>
    <s v="GCND_COAL3"/>
    <x v="0"/>
    <x v="20"/>
    <n v="1378.0487804878001"/>
    <n v="502987.80487804901"/>
    <n v="1810756.0975609799"/>
  </r>
  <r>
    <x v="0"/>
    <x v="0"/>
    <x v="0"/>
    <x v="2"/>
    <x v="3"/>
    <s v="FinA"/>
    <x v="0"/>
    <s v="GCND_COAL3"/>
    <x v="0"/>
    <x v="21"/>
    <n v="1378.0487804878001"/>
    <n v="502987.80487804901"/>
    <n v="1810756.0975609799"/>
  </r>
  <r>
    <x v="0"/>
    <x v="0"/>
    <x v="0"/>
    <x v="2"/>
    <x v="3"/>
    <s v="FinA"/>
    <x v="0"/>
    <s v="GCND_COAL3"/>
    <x v="0"/>
    <x v="22"/>
    <n v="1378.0487804878001"/>
    <n v="502987.80487804901"/>
    <n v="1810756.0975609799"/>
  </r>
  <r>
    <x v="0"/>
    <x v="0"/>
    <x v="0"/>
    <x v="2"/>
    <x v="3"/>
    <s v="FinA"/>
    <x v="0"/>
    <s v="GCND_COAL3"/>
    <x v="0"/>
    <x v="23"/>
    <n v="1378.0487804878001"/>
    <n v="502987.80487804901"/>
    <n v="1810756.0975609799"/>
  </r>
  <r>
    <x v="0"/>
    <x v="0"/>
    <x v="0"/>
    <x v="2"/>
    <x v="3"/>
    <s v="FinA"/>
    <x v="15"/>
    <s v="GCND_NUCLEAR"/>
    <x v="0"/>
    <x v="0"/>
    <n v="8284.8960000000006"/>
    <n v="3023987.04"/>
    <n v="10886353.344000001"/>
  </r>
  <r>
    <x v="0"/>
    <x v="0"/>
    <x v="0"/>
    <x v="2"/>
    <x v="3"/>
    <s v="FinA"/>
    <x v="15"/>
    <s v="GCND_NUCLEAR"/>
    <x v="0"/>
    <x v="1"/>
    <n v="8284.8960000000006"/>
    <n v="3023987.04"/>
    <n v="10886353.344000001"/>
  </r>
  <r>
    <x v="0"/>
    <x v="0"/>
    <x v="0"/>
    <x v="2"/>
    <x v="3"/>
    <s v="FinA"/>
    <x v="15"/>
    <s v="GCND_NUCLEAR"/>
    <x v="0"/>
    <x v="2"/>
    <n v="8284.8960000000006"/>
    <n v="3023987.04"/>
    <n v="10886353.344000001"/>
  </r>
  <r>
    <x v="0"/>
    <x v="0"/>
    <x v="0"/>
    <x v="2"/>
    <x v="3"/>
    <s v="FinA"/>
    <x v="15"/>
    <s v="GCND_NUCLEAR"/>
    <x v="0"/>
    <x v="3"/>
    <n v="8284.8960000000006"/>
    <n v="3023987.04"/>
    <n v="10886353.344000001"/>
  </r>
  <r>
    <x v="0"/>
    <x v="0"/>
    <x v="0"/>
    <x v="2"/>
    <x v="3"/>
    <s v="FinA"/>
    <x v="15"/>
    <s v="GCND_NUCLEAR"/>
    <x v="0"/>
    <x v="18"/>
    <n v="8284.8960000000006"/>
    <n v="3023987.04"/>
    <n v="10886353.344000001"/>
  </r>
  <r>
    <x v="0"/>
    <x v="0"/>
    <x v="0"/>
    <x v="2"/>
    <x v="3"/>
    <s v="FinA"/>
    <x v="15"/>
    <s v="GCND_NUCLEAR"/>
    <x v="0"/>
    <x v="4"/>
    <n v="8284.8960000000006"/>
    <n v="3023987.04"/>
    <n v="10886353.344000001"/>
  </r>
  <r>
    <x v="0"/>
    <x v="0"/>
    <x v="0"/>
    <x v="2"/>
    <x v="3"/>
    <s v="FinA"/>
    <x v="15"/>
    <s v="GCND_NUCLEAR"/>
    <x v="0"/>
    <x v="5"/>
    <n v="8284.8960000000006"/>
    <n v="3023987.04"/>
    <n v="10886353.344000001"/>
  </r>
  <r>
    <x v="0"/>
    <x v="0"/>
    <x v="0"/>
    <x v="2"/>
    <x v="3"/>
    <s v="FinA"/>
    <x v="15"/>
    <s v="GCND_NUCLEAR"/>
    <x v="0"/>
    <x v="6"/>
    <n v="8284.8960000000006"/>
    <n v="3023987.04"/>
    <n v="10886353.344000001"/>
  </r>
  <r>
    <x v="0"/>
    <x v="0"/>
    <x v="0"/>
    <x v="2"/>
    <x v="3"/>
    <s v="FinA"/>
    <x v="15"/>
    <s v="GCND_NUCLEAR"/>
    <x v="0"/>
    <x v="7"/>
    <n v="8284.8960000000006"/>
    <n v="3023987.04"/>
    <n v="10886353.344000001"/>
  </r>
  <r>
    <x v="0"/>
    <x v="0"/>
    <x v="0"/>
    <x v="2"/>
    <x v="3"/>
    <s v="FinA"/>
    <x v="15"/>
    <s v="GCND_NUCLEAR"/>
    <x v="0"/>
    <x v="8"/>
    <n v="8284.8960000000006"/>
    <n v="3023987.04"/>
    <n v="10886353.344000001"/>
  </r>
  <r>
    <x v="0"/>
    <x v="0"/>
    <x v="0"/>
    <x v="2"/>
    <x v="3"/>
    <s v="FinA"/>
    <x v="15"/>
    <s v="GCND_NUCLEAR"/>
    <x v="0"/>
    <x v="9"/>
    <n v="8284.8960000000006"/>
    <n v="3023987.04"/>
    <n v="10886353.344000001"/>
  </r>
  <r>
    <x v="0"/>
    <x v="0"/>
    <x v="0"/>
    <x v="2"/>
    <x v="3"/>
    <s v="FinA"/>
    <x v="15"/>
    <s v="GCND_NUCLEAR"/>
    <x v="0"/>
    <x v="10"/>
    <n v="8284.8960000000006"/>
    <n v="3023987.04"/>
    <n v="10886353.344000001"/>
  </r>
  <r>
    <x v="0"/>
    <x v="0"/>
    <x v="0"/>
    <x v="2"/>
    <x v="3"/>
    <s v="FinA"/>
    <x v="15"/>
    <s v="GCND_NUCLEAR"/>
    <x v="0"/>
    <x v="11"/>
    <n v="8284.8960000000006"/>
    <n v="3023987.04"/>
    <n v="10886353.344000001"/>
  </r>
  <r>
    <x v="0"/>
    <x v="0"/>
    <x v="0"/>
    <x v="2"/>
    <x v="3"/>
    <s v="FinA"/>
    <x v="15"/>
    <s v="GCND_NUCLEAR"/>
    <x v="0"/>
    <x v="12"/>
    <n v="8284.8960000000006"/>
    <n v="3023987.04"/>
    <n v="10886353.344000001"/>
  </r>
  <r>
    <x v="0"/>
    <x v="0"/>
    <x v="0"/>
    <x v="2"/>
    <x v="3"/>
    <s v="FinA"/>
    <x v="15"/>
    <s v="GCND_NUCLEAR"/>
    <x v="0"/>
    <x v="13"/>
    <n v="8284.8960000000006"/>
    <n v="3023987.04"/>
    <n v="10886353.344000001"/>
  </r>
  <r>
    <x v="0"/>
    <x v="0"/>
    <x v="0"/>
    <x v="2"/>
    <x v="3"/>
    <s v="FinA"/>
    <x v="15"/>
    <s v="GCND_NUCLEAR"/>
    <x v="0"/>
    <x v="14"/>
    <n v="8284.8960000000006"/>
    <n v="3023987.04"/>
    <n v="10886353.344000001"/>
  </r>
  <r>
    <x v="0"/>
    <x v="0"/>
    <x v="0"/>
    <x v="2"/>
    <x v="3"/>
    <s v="FinA"/>
    <x v="15"/>
    <s v="GCND_NUCLEAR"/>
    <x v="0"/>
    <x v="15"/>
    <n v="8284.8960000000006"/>
    <n v="3023987.04"/>
    <n v="10886353.344000001"/>
  </r>
  <r>
    <x v="0"/>
    <x v="0"/>
    <x v="0"/>
    <x v="2"/>
    <x v="3"/>
    <s v="FinA"/>
    <x v="15"/>
    <s v="GCND_NUCLEAR"/>
    <x v="0"/>
    <x v="16"/>
    <n v="8284.8960000000006"/>
    <n v="3023987.04"/>
    <n v="10886353.344000001"/>
  </r>
  <r>
    <x v="0"/>
    <x v="0"/>
    <x v="0"/>
    <x v="2"/>
    <x v="3"/>
    <s v="FinA"/>
    <x v="15"/>
    <s v="GCND_NUCLEAR"/>
    <x v="0"/>
    <x v="17"/>
    <n v="8284.8960000000006"/>
    <n v="3023987.04"/>
    <n v="10886353.344000001"/>
  </r>
  <r>
    <x v="0"/>
    <x v="0"/>
    <x v="0"/>
    <x v="2"/>
    <x v="3"/>
    <s v="FinA"/>
    <x v="15"/>
    <s v="GCND_NUCLEAR"/>
    <x v="0"/>
    <x v="19"/>
    <n v="8284.8960000000006"/>
    <n v="3023987.04"/>
    <n v="10886353.344000001"/>
  </r>
  <r>
    <x v="0"/>
    <x v="0"/>
    <x v="0"/>
    <x v="2"/>
    <x v="3"/>
    <s v="FinA"/>
    <x v="15"/>
    <s v="GCND_NUCLEAR"/>
    <x v="0"/>
    <x v="20"/>
    <n v="8284.8960000000006"/>
    <n v="3023987.04"/>
    <n v="10886353.344000001"/>
  </r>
  <r>
    <x v="0"/>
    <x v="0"/>
    <x v="0"/>
    <x v="2"/>
    <x v="3"/>
    <s v="FinA"/>
    <x v="15"/>
    <s v="GCND_NUCLEAR"/>
    <x v="0"/>
    <x v="21"/>
    <n v="8284.8960000000006"/>
    <n v="3023987.04"/>
    <n v="10886353.344000001"/>
  </r>
  <r>
    <x v="0"/>
    <x v="0"/>
    <x v="0"/>
    <x v="2"/>
    <x v="3"/>
    <s v="FinA"/>
    <x v="15"/>
    <s v="GCND_NUCLEAR"/>
    <x v="0"/>
    <x v="22"/>
    <n v="8284.8960000000006"/>
    <n v="3023987.04"/>
    <n v="10886353.344000001"/>
  </r>
  <r>
    <x v="0"/>
    <x v="0"/>
    <x v="0"/>
    <x v="2"/>
    <x v="3"/>
    <s v="FinA"/>
    <x v="15"/>
    <s v="GCND_NUCLEAR"/>
    <x v="0"/>
    <x v="23"/>
    <n v="8284.8960000000006"/>
    <n v="3023987.04"/>
    <n v="10886353.344000001"/>
  </r>
  <r>
    <x v="0"/>
    <x v="0"/>
    <x v="0"/>
    <x v="2"/>
    <x v="3"/>
    <s v="FinA"/>
    <x v="13"/>
    <s v="GBPR_PEAT_IND"/>
    <x v="0"/>
    <x v="0"/>
    <n v="1666.7247639796699"/>
    <n v="608354.53885257803"/>
    <n v="2190076.3398692799"/>
  </r>
  <r>
    <x v="0"/>
    <x v="0"/>
    <x v="0"/>
    <x v="2"/>
    <x v="3"/>
    <s v="FinA"/>
    <x v="13"/>
    <s v="GBPR_PEAT_IND"/>
    <x v="0"/>
    <x v="1"/>
    <n v="1666.7247639796699"/>
    <n v="608354.53885257803"/>
    <n v="2190076.3398692799"/>
  </r>
  <r>
    <x v="0"/>
    <x v="0"/>
    <x v="0"/>
    <x v="2"/>
    <x v="3"/>
    <s v="FinA"/>
    <x v="13"/>
    <s v="GBPR_PEAT_IND"/>
    <x v="0"/>
    <x v="2"/>
    <n v="1666.7247639796699"/>
    <n v="608354.53885257803"/>
    <n v="2190076.3398692799"/>
  </r>
  <r>
    <x v="0"/>
    <x v="0"/>
    <x v="0"/>
    <x v="2"/>
    <x v="3"/>
    <s v="FinA"/>
    <x v="13"/>
    <s v="GBPR_PEAT_IND"/>
    <x v="0"/>
    <x v="3"/>
    <n v="1666.7247639796699"/>
    <n v="608354.53885257803"/>
    <n v="2190076.3398692799"/>
  </r>
  <r>
    <x v="0"/>
    <x v="0"/>
    <x v="0"/>
    <x v="2"/>
    <x v="3"/>
    <s v="FinA"/>
    <x v="13"/>
    <s v="GBPR_PEAT_IND"/>
    <x v="0"/>
    <x v="18"/>
    <n v="1666.7247639796699"/>
    <n v="608354.53885257803"/>
    <n v="2190076.3398692799"/>
  </r>
  <r>
    <x v="0"/>
    <x v="0"/>
    <x v="0"/>
    <x v="2"/>
    <x v="3"/>
    <s v="FinA"/>
    <x v="13"/>
    <s v="GBPR_PEAT_IND"/>
    <x v="0"/>
    <x v="4"/>
    <n v="1666.7247639796699"/>
    <n v="608354.53885257803"/>
    <n v="2190076.3398692799"/>
  </r>
  <r>
    <x v="0"/>
    <x v="0"/>
    <x v="0"/>
    <x v="2"/>
    <x v="3"/>
    <s v="FinA"/>
    <x v="13"/>
    <s v="GBPR_PEAT_IND"/>
    <x v="0"/>
    <x v="5"/>
    <n v="1666.7247639796699"/>
    <n v="608354.53885257803"/>
    <n v="2190076.3398692799"/>
  </r>
  <r>
    <x v="0"/>
    <x v="0"/>
    <x v="0"/>
    <x v="2"/>
    <x v="3"/>
    <s v="FinA"/>
    <x v="13"/>
    <s v="GBPR_PEAT_IND"/>
    <x v="0"/>
    <x v="6"/>
    <n v="1666.7247639796699"/>
    <n v="608354.53885257803"/>
    <n v="2190076.3398692799"/>
  </r>
  <r>
    <x v="0"/>
    <x v="0"/>
    <x v="0"/>
    <x v="2"/>
    <x v="3"/>
    <s v="FinA"/>
    <x v="13"/>
    <s v="GBPR_PEAT_IND"/>
    <x v="0"/>
    <x v="7"/>
    <n v="1666.7247639796699"/>
    <n v="608354.53885257803"/>
    <n v="2190076.3398692799"/>
  </r>
  <r>
    <x v="0"/>
    <x v="0"/>
    <x v="0"/>
    <x v="2"/>
    <x v="3"/>
    <s v="FinA"/>
    <x v="13"/>
    <s v="GBPR_PEAT_IND"/>
    <x v="0"/>
    <x v="8"/>
    <n v="1666.7247639796699"/>
    <n v="608354.53885257803"/>
    <n v="2190076.3398692799"/>
  </r>
  <r>
    <x v="0"/>
    <x v="0"/>
    <x v="0"/>
    <x v="2"/>
    <x v="3"/>
    <s v="FinA"/>
    <x v="13"/>
    <s v="GBPR_PEAT_IND"/>
    <x v="0"/>
    <x v="9"/>
    <n v="1666.7247639796699"/>
    <n v="608354.53885257803"/>
    <n v="2190076.3398692799"/>
  </r>
  <r>
    <x v="0"/>
    <x v="0"/>
    <x v="0"/>
    <x v="2"/>
    <x v="3"/>
    <s v="FinA"/>
    <x v="13"/>
    <s v="GBPR_PEAT_IND"/>
    <x v="0"/>
    <x v="10"/>
    <n v="1666.7247639796699"/>
    <n v="608354.53885257803"/>
    <n v="2190076.3398692799"/>
  </r>
  <r>
    <x v="0"/>
    <x v="0"/>
    <x v="0"/>
    <x v="2"/>
    <x v="3"/>
    <s v="FinA"/>
    <x v="13"/>
    <s v="GBPR_PEAT_IND"/>
    <x v="0"/>
    <x v="11"/>
    <n v="1666.7247639796699"/>
    <n v="608354.53885257803"/>
    <n v="2190076.3398692799"/>
  </r>
  <r>
    <x v="0"/>
    <x v="0"/>
    <x v="0"/>
    <x v="2"/>
    <x v="3"/>
    <s v="FinA"/>
    <x v="13"/>
    <s v="GBPR_PEAT_IND"/>
    <x v="0"/>
    <x v="12"/>
    <n v="1666.7247639796699"/>
    <n v="608354.53885257803"/>
    <n v="2190076.3398692799"/>
  </r>
  <r>
    <x v="0"/>
    <x v="0"/>
    <x v="0"/>
    <x v="2"/>
    <x v="3"/>
    <s v="FinA"/>
    <x v="13"/>
    <s v="GBPR_PEAT_IND"/>
    <x v="0"/>
    <x v="13"/>
    <n v="1666.7247639796699"/>
    <n v="608354.53885257803"/>
    <n v="2190076.3398692799"/>
  </r>
  <r>
    <x v="0"/>
    <x v="0"/>
    <x v="0"/>
    <x v="2"/>
    <x v="3"/>
    <s v="FinA"/>
    <x v="13"/>
    <s v="GBPR_PEAT_IND"/>
    <x v="0"/>
    <x v="14"/>
    <n v="1666.7247639796699"/>
    <n v="608354.53885257803"/>
    <n v="2190076.3398692799"/>
  </r>
  <r>
    <x v="0"/>
    <x v="0"/>
    <x v="0"/>
    <x v="2"/>
    <x v="3"/>
    <s v="FinA"/>
    <x v="13"/>
    <s v="GBPR_PEAT_IND"/>
    <x v="0"/>
    <x v="15"/>
    <n v="1666.7247639796699"/>
    <n v="608354.53885257803"/>
    <n v="2190076.3398692799"/>
  </r>
  <r>
    <x v="0"/>
    <x v="0"/>
    <x v="0"/>
    <x v="2"/>
    <x v="3"/>
    <s v="FinA"/>
    <x v="13"/>
    <s v="GBPR_PEAT_IND"/>
    <x v="0"/>
    <x v="16"/>
    <n v="1666.7247639796699"/>
    <n v="608354.53885257803"/>
    <n v="2190076.3398692799"/>
  </r>
  <r>
    <x v="0"/>
    <x v="0"/>
    <x v="0"/>
    <x v="2"/>
    <x v="3"/>
    <s v="FinA"/>
    <x v="13"/>
    <s v="GBPR_PEAT_IND"/>
    <x v="0"/>
    <x v="17"/>
    <n v="1666.7247639796699"/>
    <n v="608354.53885257803"/>
    <n v="2190076.3398692799"/>
  </r>
  <r>
    <x v="0"/>
    <x v="0"/>
    <x v="0"/>
    <x v="2"/>
    <x v="3"/>
    <s v="FinA"/>
    <x v="13"/>
    <s v="GBPR_PEAT_IND"/>
    <x v="0"/>
    <x v="19"/>
    <n v="1666.7247639796699"/>
    <n v="608354.53885257803"/>
    <n v="2190076.3398692799"/>
  </r>
  <r>
    <x v="0"/>
    <x v="0"/>
    <x v="0"/>
    <x v="2"/>
    <x v="3"/>
    <s v="FinA"/>
    <x v="13"/>
    <s v="GBPR_PEAT_IND"/>
    <x v="0"/>
    <x v="20"/>
    <n v="1666.7247639796699"/>
    <n v="608354.53885257803"/>
    <n v="2190076.3398692799"/>
  </r>
  <r>
    <x v="0"/>
    <x v="0"/>
    <x v="0"/>
    <x v="2"/>
    <x v="3"/>
    <s v="FinA"/>
    <x v="13"/>
    <s v="GBPR_PEAT_IND"/>
    <x v="0"/>
    <x v="21"/>
    <n v="1666.7247639796699"/>
    <n v="608354.53885257803"/>
    <n v="2190076.3398692799"/>
  </r>
  <r>
    <x v="0"/>
    <x v="0"/>
    <x v="0"/>
    <x v="2"/>
    <x v="3"/>
    <s v="FinA"/>
    <x v="13"/>
    <s v="GBPR_PEAT_IND"/>
    <x v="0"/>
    <x v="22"/>
    <n v="1666.7247639796699"/>
    <n v="608354.53885257803"/>
    <n v="2190076.3398692799"/>
  </r>
  <r>
    <x v="0"/>
    <x v="0"/>
    <x v="0"/>
    <x v="2"/>
    <x v="3"/>
    <s v="FinA"/>
    <x v="13"/>
    <s v="GBPR_PEAT_IND"/>
    <x v="0"/>
    <x v="23"/>
    <n v="1666.7247639796699"/>
    <n v="608354.53885257803"/>
    <n v="2190076.3398692799"/>
  </r>
  <r>
    <x v="0"/>
    <x v="0"/>
    <x v="0"/>
    <x v="2"/>
    <x v="3"/>
    <s v="FinA"/>
    <x v="7"/>
    <s v="GNR_RES_WTR_NOPMP_MC-01"/>
    <x v="0"/>
    <x v="0"/>
    <n v="156.94999999999999"/>
    <n v="57286.75"/>
    <n v="206232.3"/>
  </r>
  <r>
    <x v="0"/>
    <x v="0"/>
    <x v="0"/>
    <x v="2"/>
    <x v="3"/>
    <s v="FinA"/>
    <x v="7"/>
    <s v="GNR_RES_WTR_NOPMP_MC-01"/>
    <x v="0"/>
    <x v="1"/>
    <n v="156.94999999999999"/>
    <n v="57286.75"/>
    <n v="206232.3"/>
  </r>
  <r>
    <x v="0"/>
    <x v="0"/>
    <x v="0"/>
    <x v="2"/>
    <x v="3"/>
    <s v="FinA"/>
    <x v="7"/>
    <s v="GNR_RES_WTR_NOPMP_MC-01"/>
    <x v="0"/>
    <x v="2"/>
    <n v="156.94999999999999"/>
    <n v="57286.75"/>
    <n v="206232.3"/>
  </r>
  <r>
    <x v="0"/>
    <x v="0"/>
    <x v="0"/>
    <x v="2"/>
    <x v="3"/>
    <s v="FinA"/>
    <x v="7"/>
    <s v="GNR_RES_WTR_NOPMP_MC-01"/>
    <x v="0"/>
    <x v="3"/>
    <n v="156.94999999999999"/>
    <n v="57286.75"/>
    <n v="206232.3"/>
  </r>
  <r>
    <x v="0"/>
    <x v="0"/>
    <x v="0"/>
    <x v="2"/>
    <x v="3"/>
    <s v="FinA"/>
    <x v="7"/>
    <s v="GNR_RES_WTR_NOPMP_MC-01"/>
    <x v="0"/>
    <x v="18"/>
    <n v="156.94999999999999"/>
    <n v="57286.75"/>
    <n v="206232.3"/>
  </r>
  <r>
    <x v="0"/>
    <x v="0"/>
    <x v="0"/>
    <x v="2"/>
    <x v="3"/>
    <s v="FinA"/>
    <x v="7"/>
    <s v="GNR_RES_WTR_NOPMP_MC-01"/>
    <x v="0"/>
    <x v="4"/>
    <n v="156.94999999999999"/>
    <n v="57286.75"/>
    <n v="206232.3"/>
  </r>
  <r>
    <x v="0"/>
    <x v="0"/>
    <x v="0"/>
    <x v="2"/>
    <x v="3"/>
    <s v="FinA"/>
    <x v="7"/>
    <s v="GNR_RES_WTR_NOPMP_MC-01"/>
    <x v="0"/>
    <x v="5"/>
    <n v="156.94999999999999"/>
    <n v="57286.75"/>
    <n v="206232.3"/>
  </r>
  <r>
    <x v="0"/>
    <x v="0"/>
    <x v="0"/>
    <x v="2"/>
    <x v="3"/>
    <s v="FinA"/>
    <x v="7"/>
    <s v="GNR_RES_WTR_NOPMP_MC-01"/>
    <x v="0"/>
    <x v="6"/>
    <n v="156.94999999999999"/>
    <n v="57286.75"/>
    <n v="206232.3"/>
  </r>
  <r>
    <x v="0"/>
    <x v="0"/>
    <x v="0"/>
    <x v="2"/>
    <x v="3"/>
    <s v="FinA"/>
    <x v="7"/>
    <s v="GNR_RES_WTR_NOPMP_MC-01"/>
    <x v="0"/>
    <x v="7"/>
    <n v="156.94999999999999"/>
    <n v="57286.75"/>
    <n v="206232.3"/>
  </r>
  <r>
    <x v="0"/>
    <x v="0"/>
    <x v="0"/>
    <x v="2"/>
    <x v="3"/>
    <s v="FinA"/>
    <x v="7"/>
    <s v="GNR_RES_WTR_NOPMP_MC-01"/>
    <x v="0"/>
    <x v="8"/>
    <n v="156.94999999999999"/>
    <n v="57286.75"/>
    <n v="206232.3"/>
  </r>
  <r>
    <x v="0"/>
    <x v="0"/>
    <x v="0"/>
    <x v="2"/>
    <x v="3"/>
    <s v="FinA"/>
    <x v="7"/>
    <s v="GNR_RES_WTR_NOPMP_MC-01"/>
    <x v="0"/>
    <x v="9"/>
    <n v="156.94999999999999"/>
    <n v="57286.75"/>
    <n v="206232.3"/>
  </r>
  <r>
    <x v="0"/>
    <x v="0"/>
    <x v="0"/>
    <x v="2"/>
    <x v="3"/>
    <s v="FinA"/>
    <x v="7"/>
    <s v="GNR_RES_WTR_NOPMP_MC-01"/>
    <x v="0"/>
    <x v="10"/>
    <n v="156.94999999999999"/>
    <n v="57286.75"/>
    <n v="206232.3"/>
  </r>
  <r>
    <x v="0"/>
    <x v="0"/>
    <x v="0"/>
    <x v="2"/>
    <x v="3"/>
    <s v="FinA"/>
    <x v="7"/>
    <s v="GNR_RES_WTR_NOPMP_MC-01"/>
    <x v="0"/>
    <x v="11"/>
    <n v="156.94999999999999"/>
    <n v="57286.75"/>
    <n v="206232.3"/>
  </r>
  <r>
    <x v="0"/>
    <x v="0"/>
    <x v="0"/>
    <x v="2"/>
    <x v="3"/>
    <s v="FinA"/>
    <x v="7"/>
    <s v="GNR_RES_WTR_NOPMP_MC-01"/>
    <x v="0"/>
    <x v="12"/>
    <n v="156.94999999999999"/>
    <n v="57286.75"/>
    <n v="206232.3"/>
  </r>
  <r>
    <x v="0"/>
    <x v="0"/>
    <x v="0"/>
    <x v="2"/>
    <x v="3"/>
    <s v="FinA"/>
    <x v="7"/>
    <s v="GNR_RES_WTR_NOPMP_MC-01"/>
    <x v="0"/>
    <x v="13"/>
    <n v="156.94999999999999"/>
    <n v="57286.75"/>
    <n v="206232.3"/>
  </r>
  <r>
    <x v="0"/>
    <x v="0"/>
    <x v="0"/>
    <x v="2"/>
    <x v="3"/>
    <s v="FinA"/>
    <x v="7"/>
    <s v="GNR_RES_WTR_NOPMP_MC-01"/>
    <x v="0"/>
    <x v="14"/>
    <n v="156.94999999999999"/>
    <n v="57286.75"/>
    <n v="206232.3"/>
  </r>
  <r>
    <x v="0"/>
    <x v="0"/>
    <x v="0"/>
    <x v="2"/>
    <x v="3"/>
    <s v="FinA"/>
    <x v="7"/>
    <s v="GNR_RES_WTR_NOPMP_MC-01"/>
    <x v="0"/>
    <x v="15"/>
    <n v="156.94999999999999"/>
    <n v="57286.75"/>
    <n v="206232.3"/>
  </r>
  <r>
    <x v="0"/>
    <x v="0"/>
    <x v="0"/>
    <x v="2"/>
    <x v="3"/>
    <s v="FinA"/>
    <x v="7"/>
    <s v="GNR_RES_WTR_NOPMP_MC-01"/>
    <x v="0"/>
    <x v="16"/>
    <n v="156.94999999999999"/>
    <n v="57286.75"/>
    <n v="206232.3"/>
  </r>
  <r>
    <x v="0"/>
    <x v="0"/>
    <x v="0"/>
    <x v="2"/>
    <x v="3"/>
    <s v="FinA"/>
    <x v="7"/>
    <s v="GNR_RES_WTR_NOPMP_MC-01"/>
    <x v="0"/>
    <x v="17"/>
    <n v="156.94999999999999"/>
    <n v="57286.75"/>
    <n v="206232.3"/>
  </r>
  <r>
    <x v="0"/>
    <x v="0"/>
    <x v="0"/>
    <x v="2"/>
    <x v="3"/>
    <s v="FinA"/>
    <x v="7"/>
    <s v="GNR_RES_WTR_NOPMP_MC-01"/>
    <x v="0"/>
    <x v="19"/>
    <n v="156.94999999999999"/>
    <n v="57286.75"/>
    <n v="206232.3"/>
  </r>
  <r>
    <x v="0"/>
    <x v="0"/>
    <x v="0"/>
    <x v="2"/>
    <x v="3"/>
    <s v="FinA"/>
    <x v="7"/>
    <s v="GNR_RES_WTR_NOPMP_MC-01"/>
    <x v="0"/>
    <x v="20"/>
    <n v="156.94999999999999"/>
    <n v="57286.75"/>
    <n v="206232.3"/>
  </r>
  <r>
    <x v="0"/>
    <x v="0"/>
    <x v="0"/>
    <x v="2"/>
    <x v="3"/>
    <s v="FinA"/>
    <x v="7"/>
    <s v="GNR_RES_WTR_NOPMP_MC-01"/>
    <x v="0"/>
    <x v="21"/>
    <n v="156.94999999999999"/>
    <n v="57286.75"/>
    <n v="206232.3"/>
  </r>
  <r>
    <x v="0"/>
    <x v="0"/>
    <x v="0"/>
    <x v="2"/>
    <x v="3"/>
    <s v="FinA"/>
    <x v="7"/>
    <s v="GNR_RES_WTR_NOPMP_MC-01"/>
    <x v="0"/>
    <x v="22"/>
    <n v="156.94999999999999"/>
    <n v="57286.75"/>
    <n v="206232.3"/>
  </r>
  <r>
    <x v="0"/>
    <x v="0"/>
    <x v="0"/>
    <x v="2"/>
    <x v="3"/>
    <s v="FinA"/>
    <x v="7"/>
    <s v="GNR_RES_WTR_NOPMP_MC-01"/>
    <x v="0"/>
    <x v="23"/>
    <n v="156.94999999999999"/>
    <n v="57286.75"/>
    <n v="206232.3"/>
  </r>
  <r>
    <x v="0"/>
    <x v="0"/>
    <x v="0"/>
    <x v="2"/>
    <x v="3"/>
    <s v="FinA"/>
    <x v="7"/>
    <s v="GNR_RES_WTR_NOPMP_MC-02"/>
    <x v="0"/>
    <x v="0"/>
    <n v="156.94999999999999"/>
    <n v="57286.75"/>
    <n v="206232.3"/>
  </r>
  <r>
    <x v="0"/>
    <x v="0"/>
    <x v="0"/>
    <x v="2"/>
    <x v="3"/>
    <s v="FinA"/>
    <x v="7"/>
    <s v="GNR_RES_WTR_NOPMP_MC-02"/>
    <x v="0"/>
    <x v="1"/>
    <n v="156.94999999999999"/>
    <n v="57286.75"/>
    <n v="206232.3"/>
  </r>
  <r>
    <x v="0"/>
    <x v="0"/>
    <x v="0"/>
    <x v="2"/>
    <x v="3"/>
    <s v="FinA"/>
    <x v="7"/>
    <s v="GNR_RES_WTR_NOPMP_MC-02"/>
    <x v="0"/>
    <x v="2"/>
    <n v="156.94999999999999"/>
    <n v="57286.75"/>
    <n v="206232.3"/>
  </r>
  <r>
    <x v="0"/>
    <x v="0"/>
    <x v="0"/>
    <x v="2"/>
    <x v="3"/>
    <s v="FinA"/>
    <x v="7"/>
    <s v="GNR_RES_WTR_NOPMP_MC-02"/>
    <x v="0"/>
    <x v="3"/>
    <n v="156.94999999999999"/>
    <n v="57286.75"/>
    <n v="206232.3"/>
  </r>
  <r>
    <x v="0"/>
    <x v="0"/>
    <x v="0"/>
    <x v="2"/>
    <x v="3"/>
    <s v="FinA"/>
    <x v="7"/>
    <s v="GNR_RES_WTR_NOPMP_MC-02"/>
    <x v="0"/>
    <x v="18"/>
    <n v="156.94999999999999"/>
    <n v="57286.75"/>
    <n v="206232.3"/>
  </r>
  <r>
    <x v="0"/>
    <x v="0"/>
    <x v="0"/>
    <x v="2"/>
    <x v="3"/>
    <s v="FinA"/>
    <x v="7"/>
    <s v="GNR_RES_WTR_NOPMP_MC-02"/>
    <x v="0"/>
    <x v="4"/>
    <n v="156.94999999999999"/>
    <n v="57286.75"/>
    <n v="206232.3"/>
  </r>
  <r>
    <x v="0"/>
    <x v="0"/>
    <x v="0"/>
    <x v="2"/>
    <x v="3"/>
    <s v="FinA"/>
    <x v="7"/>
    <s v="GNR_RES_WTR_NOPMP_MC-02"/>
    <x v="0"/>
    <x v="5"/>
    <n v="156.94999999999999"/>
    <n v="57286.75"/>
    <n v="206232.3"/>
  </r>
  <r>
    <x v="0"/>
    <x v="0"/>
    <x v="0"/>
    <x v="2"/>
    <x v="3"/>
    <s v="FinA"/>
    <x v="7"/>
    <s v="GNR_RES_WTR_NOPMP_MC-02"/>
    <x v="0"/>
    <x v="6"/>
    <n v="156.94999999999999"/>
    <n v="57286.75"/>
    <n v="206232.3"/>
  </r>
  <r>
    <x v="0"/>
    <x v="0"/>
    <x v="0"/>
    <x v="2"/>
    <x v="3"/>
    <s v="FinA"/>
    <x v="7"/>
    <s v="GNR_RES_WTR_NOPMP_MC-02"/>
    <x v="0"/>
    <x v="7"/>
    <n v="156.94999999999999"/>
    <n v="57286.75"/>
    <n v="206232.3"/>
  </r>
  <r>
    <x v="0"/>
    <x v="0"/>
    <x v="0"/>
    <x v="2"/>
    <x v="3"/>
    <s v="FinA"/>
    <x v="7"/>
    <s v="GNR_RES_WTR_NOPMP_MC-02"/>
    <x v="0"/>
    <x v="8"/>
    <n v="156.94999999999999"/>
    <n v="57286.75"/>
    <n v="206232.3"/>
  </r>
  <r>
    <x v="0"/>
    <x v="0"/>
    <x v="0"/>
    <x v="2"/>
    <x v="3"/>
    <s v="FinA"/>
    <x v="7"/>
    <s v="GNR_RES_WTR_NOPMP_MC-02"/>
    <x v="0"/>
    <x v="9"/>
    <n v="156.94999999999999"/>
    <n v="57286.75"/>
    <n v="206232.3"/>
  </r>
  <r>
    <x v="0"/>
    <x v="0"/>
    <x v="0"/>
    <x v="2"/>
    <x v="3"/>
    <s v="FinA"/>
    <x v="7"/>
    <s v="GNR_RES_WTR_NOPMP_MC-02"/>
    <x v="0"/>
    <x v="10"/>
    <n v="156.94999999999999"/>
    <n v="57286.75"/>
    <n v="206232.3"/>
  </r>
  <r>
    <x v="0"/>
    <x v="0"/>
    <x v="0"/>
    <x v="2"/>
    <x v="3"/>
    <s v="FinA"/>
    <x v="7"/>
    <s v="GNR_RES_WTR_NOPMP_MC-02"/>
    <x v="0"/>
    <x v="11"/>
    <n v="156.94999999999999"/>
    <n v="57286.75"/>
    <n v="206232.3"/>
  </r>
  <r>
    <x v="0"/>
    <x v="0"/>
    <x v="0"/>
    <x v="2"/>
    <x v="3"/>
    <s v="FinA"/>
    <x v="7"/>
    <s v="GNR_RES_WTR_NOPMP_MC-02"/>
    <x v="0"/>
    <x v="12"/>
    <n v="156.94999999999999"/>
    <n v="57286.75"/>
    <n v="206232.3"/>
  </r>
  <r>
    <x v="0"/>
    <x v="0"/>
    <x v="0"/>
    <x v="2"/>
    <x v="3"/>
    <s v="FinA"/>
    <x v="7"/>
    <s v="GNR_RES_WTR_NOPMP_MC-02"/>
    <x v="0"/>
    <x v="13"/>
    <n v="156.94999999999999"/>
    <n v="57286.75"/>
    <n v="206232.3"/>
  </r>
  <r>
    <x v="0"/>
    <x v="0"/>
    <x v="0"/>
    <x v="2"/>
    <x v="3"/>
    <s v="FinA"/>
    <x v="7"/>
    <s v="GNR_RES_WTR_NOPMP_MC-02"/>
    <x v="0"/>
    <x v="14"/>
    <n v="156.94999999999999"/>
    <n v="57286.75"/>
    <n v="206232.3"/>
  </r>
  <r>
    <x v="0"/>
    <x v="0"/>
    <x v="0"/>
    <x v="2"/>
    <x v="3"/>
    <s v="FinA"/>
    <x v="7"/>
    <s v="GNR_RES_WTR_NOPMP_MC-02"/>
    <x v="0"/>
    <x v="15"/>
    <n v="156.94999999999999"/>
    <n v="57286.75"/>
    <n v="206232.3"/>
  </r>
  <r>
    <x v="0"/>
    <x v="0"/>
    <x v="0"/>
    <x v="2"/>
    <x v="3"/>
    <s v="FinA"/>
    <x v="7"/>
    <s v="GNR_RES_WTR_NOPMP_MC-02"/>
    <x v="0"/>
    <x v="16"/>
    <n v="156.94999999999999"/>
    <n v="57286.75"/>
    <n v="206232.3"/>
  </r>
  <r>
    <x v="0"/>
    <x v="0"/>
    <x v="0"/>
    <x v="2"/>
    <x v="3"/>
    <s v="FinA"/>
    <x v="7"/>
    <s v="GNR_RES_WTR_NOPMP_MC-02"/>
    <x v="0"/>
    <x v="17"/>
    <n v="156.94999999999999"/>
    <n v="57286.75"/>
    <n v="206232.3"/>
  </r>
  <r>
    <x v="0"/>
    <x v="0"/>
    <x v="0"/>
    <x v="2"/>
    <x v="3"/>
    <s v="FinA"/>
    <x v="7"/>
    <s v="GNR_RES_WTR_NOPMP_MC-02"/>
    <x v="0"/>
    <x v="19"/>
    <n v="156.94999999999999"/>
    <n v="57286.75"/>
    <n v="206232.3"/>
  </r>
  <r>
    <x v="0"/>
    <x v="0"/>
    <x v="0"/>
    <x v="2"/>
    <x v="3"/>
    <s v="FinA"/>
    <x v="7"/>
    <s v="GNR_RES_WTR_NOPMP_MC-02"/>
    <x v="0"/>
    <x v="20"/>
    <n v="156.94999999999999"/>
    <n v="57286.75"/>
    <n v="206232.3"/>
  </r>
  <r>
    <x v="0"/>
    <x v="0"/>
    <x v="0"/>
    <x v="2"/>
    <x v="3"/>
    <s v="FinA"/>
    <x v="7"/>
    <s v="GNR_RES_WTR_NOPMP_MC-02"/>
    <x v="0"/>
    <x v="21"/>
    <n v="156.94999999999999"/>
    <n v="57286.75"/>
    <n v="206232.3"/>
  </r>
  <r>
    <x v="0"/>
    <x v="0"/>
    <x v="0"/>
    <x v="2"/>
    <x v="3"/>
    <s v="FinA"/>
    <x v="7"/>
    <s v="GNR_RES_WTR_NOPMP_MC-02"/>
    <x v="0"/>
    <x v="22"/>
    <n v="156.94999999999999"/>
    <n v="57286.75"/>
    <n v="206232.3"/>
  </r>
  <r>
    <x v="0"/>
    <x v="0"/>
    <x v="0"/>
    <x v="2"/>
    <x v="3"/>
    <s v="FinA"/>
    <x v="7"/>
    <s v="GNR_RES_WTR_NOPMP_MC-02"/>
    <x v="0"/>
    <x v="23"/>
    <n v="156.94999999999999"/>
    <n v="57286.75"/>
    <n v="206232.3"/>
  </r>
  <r>
    <x v="0"/>
    <x v="0"/>
    <x v="0"/>
    <x v="2"/>
    <x v="3"/>
    <s v="FinA"/>
    <x v="7"/>
    <s v="GNR_RES_WTR_NOPMP_MC-03"/>
    <x v="0"/>
    <x v="0"/>
    <n v="156.94999999999999"/>
    <n v="57286.75"/>
    <n v="206232.3"/>
  </r>
  <r>
    <x v="0"/>
    <x v="0"/>
    <x v="0"/>
    <x v="2"/>
    <x v="3"/>
    <s v="FinA"/>
    <x v="7"/>
    <s v="GNR_RES_WTR_NOPMP_MC-03"/>
    <x v="0"/>
    <x v="1"/>
    <n v="156.94999999999999"/>
    <n v="57286.75"/>
    <n v="206232.3"/>
  </r>
  <r>
    <x v="0"/>
    <x v="0"/>
    <x v="0"/>
    <x v="2"/>
    <x v="3"/>
    <s v="FinA"/>
    <x v="7"/>
    <s v="GNR_RES_WTR_NOPMP_MC-03"/>
    <x v="0"/>
    <x v="2"/>
    <n v="156.94999999999999"/>
    <n v="57286.75"/>
    <n v="206232.3"/>
  </r>
  <r>
    <x v="0"/>
    <x v="0"/>
    <x v="0"/>
    <x v="2"/>
    <x v="3"/>
    <s v="FinA"/>
    <x v="7"/>
    <s v="GNR_RES_WTR_NOPMP_MC-03"/>
    <x v="0"/>
    <x v="3"/>
    <n v="156.94999999999999"/>
    <n v="57286.75"/>
    <n v="206232.3"/>
  </r>
  <r>
    <x v="0"/>
    <x v="0"/>
    <x v="0"/>
    <x v="2"/>
    <x v="3"/>
    <s v="FinA"/>
    <x v="7"/>
    <s v="GNR_RES_WTR_NOPMP_MC-03"/>
    <x v="0"/>
    <x v="18"/>
    <n v="156.94999999999999"/>
    <n v="57286.75"/>
    <n v="206232.3"/>
  </r>
  <r>
    <x v="0"/>
    <x v="0"/>
    <x v="0"/>
    <x v="2"/>
    <x v="3"/>
    <s v="FinA"/>
    <x v="7"/>
    <s v="GNR_RES_WTR_NOPMP_MC-03"/>
    <x v="0"/>
    <x v="4"/>
    <n v="156.94999999999999"/>
    <n v="57286.75"/>
    <n v="206232.3"/>
  </r>
  <r>
    <x v="0"/>
    <x v="0"/>
    <x v="0"/>
    <x v="2"/>
    <x v="3"/>
    <s v="FinA"/>
    <x v="7"/>
    <s v="GNR_RES_WTR_NOPMP_MC-03"/>
    <x v="0"/>
    <x v="5"/>
    <n v="156.94999999999999"/>
    <n v="57286.75"/>
    <n v="206232.3"/>
  </r>
  <r>
    <x v="0"/>
    <x v="0"/>
    <x v="0"/>
    <x v="2"/>
    <x v="3"/>
    <s v="FinA"/>
    <x v="7"/>
    <s v="GNR_RES_WTR_NOPMP_MC-03"/>
    <x v="0"/>
    <x v="6"/>
    <n v="156.94999999999999"/>
    <n v="57286.75"/>
    <n v="206232.3"/>
  </r>
  <r>
    <x v="0"/>
    <x v="0"/>
    <x v="0"/>
    <x v="2"/>
    <x v="3"/>
    <s v="FinA"/>
    <x v="7"/>
    <s v="GNR_RES_WTR_NOPMP_MC-03"/>
    <x v="0"/>
    <x v="7"/>
    <n v="156.94999999999999"/>
    <n v="57286.75"/>
    <n v="206232.3"/>
  </r>
  <r>
    <x v="0"/>
    <x v="0"/>
    <x v="0"/>
    <x v="2"/>
    <x v="3"/>
    <s v="FinA"/>
    <x v="7"/>
    <s v="GNR_RES_WTR_NOPMP_MC-03"/>
    <x v="0"/>
    <x v="8"/>
    <n v="156.94999999999999"/>
    <n v="57286.75"/>
    <n v="206232.3"/>
  </r>
  <r>
    <x v="0"/>
    <x v="0"/>
    <x v="0"/>
    <x v="2"/>
    <x v="3"/>
    <s v="FinA"/>
    <x v="7"/>
    <s v="GNR_RES_WTR_NOPMP_MC-03"/>
    <x v="0"/>
    <x v="9"/>
    <n v="156.94999999999999"/>
    <n v="57286.75"/>
    <n v="206232.3"/>
  </r>
  <r>
    <x v="0"/>
    <x v="0"/>
    <x v="0"/>
    <x v="2"/>
    <x v="3"/>
    <s v="FinA"/>
    <x v="7"/>
    <s v="GNR_RES_WTR_NOPMP_MC-03"/>
    <x v="0"/>
    <x v="10"/>
    <n v="156.94999999999999"/>
    <n v="57286.75"/>
    <n v="206232.3"/>
  </r>
  <r>
    <x v="0"/>
    <x v="0"/>
    <x v="0"/>
    <x v="2"/>
    <x v="3"/>
    <s v="FinA"/>
    <x v="7"/>
    <s v="GNR_RES_WTR_NOPMP_MC-03"/>
    <x v="0"/>
    <x v="11"/>
    <n v="156.94999999999999"/>
    <n v="57286.75"/>
    <n v="206232.3"/>
  </r>
  <r>
    <x v="0"/>
    <x v="0"/>
    <x v="0"/>
    <x v="2"/>
    <x v="3"/>
    <s v="FinA"/>
    <x v="7"/>
    <s v="GNR_RES_WTR_NOPMP_MC-03"/>
    <x v="0"/>
    <x v="12"/>
    <n v="156.94999999999999"/>
    <n v="57286.75"/>
    <n v="206232.3"/>
  </r>
  <r>
    <x v="0"/>
    <x v="0"/>
    <x v="0"/>
    <x v="2"/>
    <x v="3"/>
    <s v="FinA"/>
    <x v="7"/>
    <s v="GNR_RES_WTR_NOPMP_MC-03"/>
    <x v="0"/>
    <x v="13"/>
    <n v="156.94999999999999"/>
    <n v="57286.75"/>
    <n v="206232.3"/>
  </r>
  <r>
    <x v="0"/>
    <x v="0"/>
    <x v="0"/>
    <x v="2"/>
    <x v="3"/>
    <s v="FinA"/>
    <x v="7"/>
    <s v="GNR_RES_WTR_NOPMP_MC-03"/>
    <x v="0"/>
    <x v="14"/>
    <n v="156.94999999999999"/>
    <n v="57286.75"/>
    <n v="206232.3"/>
  </r>
  <r>
    <x v="0"/>
    <x v="0"/>
    <x v="0"/>
    <x v="2"/>
    <x v="3"/>
    <s v="FinA"/>
    <x v="7"/>
    <s v="GNR_RES_WTR_NOPMP_MC-03"/>
    <x v="0"/>
    <x v="15"/>
    <n v="156.94999999999999"/>
    <n v="57286.75"/>
    <n v="206232.3"/>
  </r>
  <r>
    <x v="0"/>
    <x v="0"/>
    <x v="0"/>
    <x v="2"/>
    <x v="3"/>
    <s v="FinA"/>
    <x v="7"/>
    <s v="GNR_RES_WTR_NOPMP_MC-03"/>
    <x v="0"/>
    <x v="16"/>
    <n v="156.94999999999999"/>
    <n v="57286.75"/>
    <n v="206232.3"/>
  </r>
  <r>
    <x v="0"/>
    <x v="0"/>
    <x v="0"/>
    <x v="2"/>
    <x v="3"/>
    <s v="FinA"/>
    <x v="7"/>
    <s v="GNR_RES_WTR_NOPMP_MC-03"/>
    <x v="0"/>
    <x v="17"/>
    <n v="156.94999999999999"/>
    <n v="57286.75"/>
    <n v="206232.3"/>
  </r>
  <r>
    <x v="0"/>
    <x v="0"/>
    <x v="0"/>
    <x v="2"/>
    <x v="3"/>
    <s v="FinA"/>
    <x v="7"/>
    <s v="GNR_RES_WTR_NOPMP_MC-03"/>
    <x v="0"/>
    <x v="19"/>
    <n v="156.94999999999999"/>
    <n v="57286.75"/>
    <n v="206232.3"/>
  </r>
  <r>
    <x v="0"/>
    <x v="0"/>
    <x v="0"/>
    <x v="2"/>
    <x v="3"/>
    <s v="FinA"/>
    <x v="7"/>
    <s v="GNR_RES_WTR_NOPMP_MC-03"/>
    <x v="0"/>
    <x v="20"/>
    <n v="156.94999999999999"/>
    <n v="57286.75"/>
    <n v="206232.3"/>
  </r>
  <r>
    <x v="0"/>
    <x v="0"/>
    <x v="0"/>
    <x v="2"/>
    <x v="3"/>
    <s v="FinA"/>
    <x v="7"/>
    <s v="GNR_RES_WTR_NOPMP_MC-03"/>
    <x v="0"/>
    <x v="21"/>
    <n v="156.94999999999999"/>
    <n v="57286.75"/>
    <n v="206232.3"/>
  </r>
  <r>
    <x v="0"/>
    <x v="0"/>
    <x v="0"/>
    <x v="2"/>
    <x v="3"/>
    <s v="FinA"/>
    <x v="7"/>
    <s v="GNR_RES_WTR_NOPMP_MC-03"/>
    <x v="0"/>
    <x v="22"/>
    <n v="156.94999999999999"/>
    <n v="57286.75"/>
    <n v="206232.3"/>
  </r>
  <r>
    <x v="0"/>
    <x v="0"/>
    <x v="0"/>
    <x v="2"/>
    <x v="3"/>
    <s v="FinA"/>
    <x v="7"/>
    <s v="GNR_RES_WTR_NOPMP_MC-03"/>
    <x v="0"/>
    <x v="23"/>
    <n v="156.94999999999999"/>
    <n v="57286.75"/>
    <n v="206232.3"/>
  </r>
  <r>
    <x v="0"/>
    <x v="0"/>
    <x v="0"/>
    <x v="2"/>
    <x v="3"/>
    <s v="FinA"/>
    <x v="7"/>
    <s v="GNR_RES_WTR_NOPMP_MC-04"/>
    <x v="0"/>
    <x v="0"/>
    <n v="156.94999999999999"/>
    <n v="57286.75"/>
    <n v="206232.3"/>
  </r>
  <r>
    <x v="0"/>
    <x v="0"/>
    <x v="0"/>
    <x v="2"/>
    <x v="3"/>
    <s v="FinA"/>
    <x v="7"/>
    <s v="GNR_RES_WTR_NOPMP_MC-04"/>
    <x v="0"/>
    <x v="1"/>
    <n v="37.554924990187097"/>
    <n v="13707.5476214183"/>
    <n v="49347.171437105797"/>
  </r>
  <r>
    <x v="0"/>
    <x v="0"/>
    <x v="0"/>
    <x v="2"/>
    <x v="3"/>
    <s v="FinA"/>
    <x v="7"/>
    <s v="GNR_RES_WTR_NOPMP_MC-04"/>
    <x v="0"/>
    <x v="2"/>
    <n v="104.50754396727901"/>
    <n v="38145.253548057"/>
    <n v="137322.91277300499"/>
  </r>
  <r>
    <x v="0"/>
    <x v="0"/>
    <x v="0"/>
    <x v="2"/>
    <x v="3"/>
    <s v="FinA"/>
    <x v="7"/>
    <s v="GNR_RES_WTR_NOPMP_MC-04"/>
    <x v="0"/>
    <x v="3"/>
    <n v="156.94999999999999"/>
    <n v="57286.75"/>
    <n v="206232.3"/>
  </r>
  <r>
    <x v="0"/>
    <x v="0"/>
    <x v="0"/>
    <x v="2"/>
    <x v="3"/>
    <s v="FinA"/>
    <x v="7"/>
    <s v="GNR_RES_WTR_NOPMP_MC-04"/>
    <x v="0"/>
    <x v="18"/>
    <n v="156.94999999999999"/>
    <n v="57286.75"/>
    <n v="206232.3"/>
  </r>
  <r>
    <x v="0"/>
    <x v="0"/>
    <x v="0"/>
    <x v="2"/>
    <x v="3"/>
    <s v="FinA"/>
    <x v="7"/>
    <s v="GNR_RES_WTR_NOPMP_MC-04"/>
    <x v="0"/>
    <x v="4"/>
    <n v="156.94999999999999"/>
    <n v="57286.75"/>
    <n v="206232.3"/>
  </r>
  <r>
    <x v="0"/>
    <x v="0"/>
    <x v="0"/>
    <x v="2"/>
    <x v="3"/>
    <s v="FinA"/>
    <x v="7"/>
    <s v="GNR_RES_WTR_NOPMP_MC-04"/>
    <x v="0"/>
    <x v="5"/>
    <n v="156.94999999999999"/>
    <n v="57286.75"/>
    <n v="206232.3"/>
  </r>
  <r>
    <x v="0"/>
    <x v="0"/>
    <x v="0"/>
    <x v="2"/>
    <x v="3"/>
    <s v="FinA"/>
    <x v="7"/>
    <s v="GNR_RES_WTR_NOPMP_MC-04"/>
    <x v="0"/>
    <x v="6"/>
    <n v="156.94999999999999"/>
    <n v="57286.75"/>
    <n v="206232.3"/>
  </r>
  <r>
    <x v="0"/>
    <x v="0"/>
    <x v="0"/>
    <x v="2"/>
    <x v="3"/>
    <s v="FinA"/>
    <x v="7"/>
    <s v="GNR_RES_WTR_NOPMP_MC-04"/>
    <x v="0"/>
    <x v="7"/>
    <n v="156.94999999999999"/>
    <n v="57286.75"/>
    <n v="206232.3"/>
  </r>
  <r>
    <x v="0"/>
    <x v="0"/>
    <x v="0"/>
    <x v="2"/>
    <x v="3"/>
    <s v="FinA"/>
    <x v="7"/>
    <s v="GNR_RES_WTR_NOPMP_MC-04"/>
    <x v="0"/>
    <x v="8"/>
    <n v="156.94999999999999"/>
    <n v="57286.75"/>
    <n v="206232.3"/>
  </r>
  <r>
    <x v="0"/>
    <x v="0"/>
    <x v="0"/>
    <x v="2"/>
    <x v="3"/>
    <s v="FinA"/>
    <x v="7"/>
    <s v="GNR_RES_WTR_NOPMP_MC-04"/>
    <x v="0"/>
    <x v="9"/>
    <n v="156.94999999999999"/>
    <n v="57286.75"/>
    <n v="206232.3"/>
  </r>
  <r>
    <x v="0"/>
    <x v="0"/>
    <x v="0"/>
    <x v="2"/>
    <x v="3"/>
    <s v="FinA"/>
    <x v="7"/>
    <s v="GNR_RES_WTR_NOPMP_MC-04"/>
    <x v="0"/>
    <x v="10"/>
    <n v="156.94999999999999"/>
    <n v="57286.75"/>
    <n v="206232.3"/>
  </r>
  <r>
    <x v="0"/>
    <x v="0"/>
    <x v="0"/>
    <x v="2"/>
    <x v="3"/>
    <s v="FinA"/>
    <x v="7"/>
    <s v="GNR_RES_WTR_NOPMP_MC-04"/>
    <x v="0"/>
    <x v="11"/>
    <n v="156.94999999999999"/>
    <n v="57286.75"/>
    <n v="206232.3"/>
  </r>
  <r>
    <x v="0"/>
    <x v="0"/>
    <x v="0"/>
    <x v="2"/>
    <x v="3"/>
    <s v="FinA"/>
    <x v="7"/>
    <s v="GNR_RES_WTR_NOPMP_MC-04"/>
    <x v="0"/>
    <x v="12"/>
    <n v="156.94999999999999"/>
    <n v="57286.75"/>
    <n v="206232.3"/>
  </r>
  <r>
    <x v="0"/>
    <x v="0"/>
    <x v="0"/>
    <x v="2"/>
    <x v="3"/>
    <s v="FinA"/>
    <x v="7"/>
    <s v="GNR_RES_WTR_NOPMP_MC-04"/>
    <x v="0"/>
    <x v="13"/>
    <n v="156.94999999999999"/>
    <n v="57286.75"/>
    <n v="206232.3"/>
  </r>
  <r>
    <x v="0"/>
    <x v="0"/>
    <x v="0"/>
    <x v="2"/>
    <x v="3"/>
    <s v="FinA"/>
    <x v="7"/>
    <s v="GNR_RES_WTR_NOPMP_MC-04"/>
    <x v="0"/>
    <x v="14"/>
    <n v="156.94999999999999"/>
    <n v="57286.75"/>
    <n v="206232.3"/>
  </r>
  <r>
    <x v="0"/>
    <x v="0"/>
    <x v="0"/>
    <x v="2"/>
    <x v="3"/>
    <s v="FinA"/>
    <x v="7"/>
    <s v="GNR_RES_WTR_NOPMP_MC-04"/>
    <x v="0"/>
    <x v="15"/>
    <n v="156.94999999999999"/>
    <n v="57286.75"/>
    <n v="206232.3"/>
  </r>
  <r>
    <x v="0"/>
    <x v="0"/>
    <x v="0"/>
    <x v="2"/>
    <x v="3"/>
    <s v="FinA"/>
    <x v="7"/>
    <s v="GNR_RES_WTR_NOPMP_MC-04"/>
    <x v="0"/>
    <x v="16"/>
    <n v="156.94999999999999"/>
    <n v="57286.75"/>
    <n v="206232.3"/>
  </r>
  <r>
    <x v="0"/>
    <x v="0"/>
    <x v="0"/>
    <x v="2"/>
    <x v="3"/>
    <s v="FinA"/>
    <x v="7"/>
    <s v="GNR_RES_WTR_NOPMP_MC-04"/>
    <x v="0"/>
    <x v="17"/>
    <n v="156.94999999999999"/>
    <n v="57286.75"/>
    <n v="206232.3"/>
  </r>
  <r>
    <x v="0"/>
    <x v="0"/>
    <x v="0"/>
    <x v="2"/>
    <x v="3"/>
    <s v="FinA"/>
    <x v="7"/>
    <s v="GNR_RES_WTR_NOPMP_MC-04"/>
    <x v="0"/>
    <x v="19"/>
    <n v="156.94999999999999"/>
    <n v="57286.75"/>
    <n v="206232.3"/>
  </r>
  <r>
    <x v="0"/>
    <x v="0"/>
    <x v="0"/>
    <x v="2"/>
    <x v="3"/>
    <s v="FinA"/>
    <x v="7"/>
    <s v="GNR_RES_WTR_NOPMP_MC-04"/>
    <x v="0"/>
    <x v="20"/>
    <n v="156.94999999999999"/>
    <n v="57286.75"/>
    <n v="206232.3"/>
  </r>
  <r>
    <x v="0"/>
    <x v="0"/>
    <x v="0"/>
    <x v="2"/>
    <x v="3"/>
    <s v="FinA"/>
    <x v="7"/>
    <s v="GNR_RES_WTR_NOPMP_MC-04"/>
    <x v="0"/>
    <x v="21"/>
    <n v="156.94999999999999"/>
    <n v="57286.75"/>
    <n v="206232.3"/>
  </r>
  <r>
    <x v="0"/>
    <x v="0"/>
    <x v="0"/>
    <x v="2"/>
    <x v="3"/>
    <s v="FinA"/>
    <x v="7"/>
    <s v="GNR_RES_WTR_NOPMP_MC-04"/>
    <x v="0"/>
    <x v="22"/>
    <n v="156.94999999999999"/>
    <n v="57286.75"/>
    <n v="206232.3"/>
  </r>
  <r>
    <x v="0"/>
    <x v="0"/>
    <x v="0"/>
    <x v="2"/>
    <x v="3"/>
    <s v="FinA"/>
    <x v="7"/>
    <s v="GNR_RES_WTR_NOPMP_MC-04"/>
    <x v="0"/>
    <x v="23"/>
    <n v="156.94999999999999"/>
    <n v="57286.75"/>
    <n v="206232.3"/>
  </r>
  <r>
    <x v="0"/>
    <x v="0"/>
    <x v="0"/>
    <x v="2"/>
    <x v="3"/>
    <s v="FinA"/>
    <x v="7"/>
    <s v="GNR_RES_WTR_NOPMP_MC-05"/>
    <x v="0"/>
    <x v="18"/>
    <n v="156.94999999999999"/>
    <n v="57286.75"/>
    <n v="206232.3"/>
  </r>
  <r>
    <x v="0"/>
    <x v="0"/>
    <x v="0"/>
    <x v="2"/>
    <x v="3"/>
    <s v="FinA"/>
    <x v="7"/>
    <s v="GNR_RES_WTR_NOPMP_MC-05"/>
    <x v="0"/>
    <x v="4"/>
    <n v="156.94999999999999"/>
    <n v="57286.75"/>
    <n v="206232.3"/>
  </r>
  <r>
    <x v="0"/>
    <x v="0"/>
    <x v="0"/>
    <x v="2"/>
    <x v="3"/>
    <s v="FinA"/>
    <x v="7"/>
    <s v="GNR_RES_WTR_NOPMP_MC-05"/>
    <x v="0"/>
    <x v="5"/>
    <n v="156.94999999999999"/>
    <n v="57286.75"/>
    <n v="206232.3"/>
  </r>
  <r>
    <x v="0"/>
    <x v="0"/>
    <x v="0"/>
    <x v="2"/>
    <x v="3"/>
    <s v="FinA"/>
    <x v="7"/>
    <s v="GNR_RES_WTR_NOPMP_MC-05"/>
    <x v="0"/>
    <x v="6"/>
    <n v="156.94999999999999"/>
    <n v="57286.75"/>
    <n v="206232.3"/>
  </r>
  <r>
    <x v="0"/>
    <x v="0"/>
    <x v="0"/>
    <x v="2"/>
    <x v="3"/>
    <s v="FinA"/>
    <x v="7"/>
    <s v="GNR_RES_WTR_NOPMP_MC-05"/>
    <x v="0"/>
    <x v="7"/>
    <n v="156.94999999999999"/>
    <n v="57286.75"/>
    <n v="206232.3"/>
  </r>
  <r>
    <x v="0"/>
    <x v="0"/>
    <x v="0"/>
    <x v="2"/>
    <x v="3"/>
    <s v="FinA"/>
    <x v="7"/>
    <s v="GNR_RES_WTR_NOPMP_MC-05"/>
    <x v="0"/>
    <x v="8"/>
    <n v="156.94999999999999"/>
    <n v="57286.75"/>
    <n v="206232.3"/>
  </r>
  <r>
    <x v="0"/>
    <x v="0"/>
    <x v="0"/>
    <x v="2"/>
    <x v="3"/>
    <s v="FinA"/>
    <x v="7"/>
    <s v="GNR_RES_WTR_NOPMP_MC-05"/>
    <x v="0"/>
    <x v="9"/>
    <n v="156.94999999999999"/>
    <n v="57286.75"/>
    <n v="206232.3"/>
  </r>
  <r>
    <x v="0"/>
    <x v="0"/>
    <x v="0"/>
    <x v="2"/>
    <x v="3"/>
    <s v="FinA"/>
    <x v="7"/>
    <s v="GNR_RES_WTR_NOPMP_MC-05"/>
    <x v="0"/>
    <x v="10"/>
    <n v="156.94999999999999"/>
    <n v="57286.75"/>
    <n v="206232.3"/>
  </r>
  <r>
    <x v="0"/>
    <x v="0"/>
    <x v="0"/>
    <x v="2"/>
    <x v="3"/>
    <s v="FinA"/>
    <x v="7"/>
    <s v="GNR_RES_WTR_NOPMP_MC-05"/>
    <x v="0"/>
    <x v="11"/>
    <n v="156.94999999999999"/>
    <n v="57286.75"/>
    <n v="206232.3"/>
  </r>
  <r>
    <x v="0"/>
    <x v="0"/>
    <x v="0"/>
    <x v="2"/>
    <x v="3"/>
    <s v="FinA"/>
    <x v="7"/>
    <s v="GNR_RES_WTR_NOPMP_MC-05"/>
    <x v="0"/>
    <x v="12"/>
    <n v="156.94999999999999"/>
    <n v="57286.75"/>
    <n v="206232.3"/>
  </r>
  <r>
    <x v="0"/>
    <x v="0"/>
    <x v="0"/>
    <x v="2"/>
    <x v="3"/>
    <s v="FinA"/>
    <x v="7"/>
    <s v="GNR_RES_WTR_NOPMP_MC-05"/>
    <x v="0"/>
    <x v="13"/>
    <n v="156.94999999999999"/>
    <n v="57286.75"/>
    <n v="206232.3"/>
  </r>
  <r>
    <x v="0"/>
    <x v="0"/>
    <x v="0"/>
    <x v="2"/>
    <x v="3"/>
    <s v="FinA"/>
    <x v="7"/>
    <s v="GNR_RES_WTR_NOPMP_MC-05"/>
    <x v="0"/>
    <x v="14"/>
    <n v="156.94999999999999"/>
    <n v="57286.75"/>
    <n v="206232.3"/>
  </r>
  <r>
    <x v="0"/>
    <x v="0"/>
    <x v="0"/>
    <x v="2"/>
    <x v="3"/>
    <s v="FinA"/>
    <x v="7"/>
    <s v="GNR_RES_WTR_NOPMP_MC-05"/>
    <x v="0"/>
    <x v="15"/>
    <n v="156.94999999999999"/>
    <n v="57286.75"/>
    <n v="206232.3"/>
  </r>
  <r>
    <x v="0"/>
    <x v="0"/>
    <x v="0"/>
    <x v="2"/>
    <x v="3"/>
    <s v="FinA"/>
    <x v="7"/>
    <s v="GNR_RES_WTR_NOPMP_MC-05"/>
    <x v="0"/>
    <x v="16"/>
    <n v="156.94999999999999"/>
    <n v="57286.75"/>
    <n v="206232.3"/>
  </r>
  <r>
    <x v="0"/>
    <x v="0"/>
    <x v="0"/>
    <x v="2"/>
    <x v="3"/>
    <s v="FinA"/>
    <x v="7"/>
    <s v="GNR_RES_WTR_NOPMP_MC-05"/>
    <x v="0"/>
    <x v="17"/>
    <n v="156.94999999999999"/>
    <n v="57286.75"/>
    <n v="206232.3"/>
  </r>
  <r>
    <x v="0"/>
    <x v="0"/>
    <x v="0"/>
    <x v="2"/>
    <x v="3"/>
    <s v="FinA"/>
    <x v="7"/>
    <s v="GNR_RES_WTR_NOPMP_MC-05"/>
    <x v="0"/>
    <x v="19"/>
    <n v="156.94999999999999"/>
    <n v="57286.75"/>
    <n v="206232.3"/>
  </r>
  <r>
    <x v="0"/>
    <x v="0"/>
    <x v="0"/>
    <x v="2"/>
    <x v="3"/>
    <s v="FinA"/>
    <x v="7"/>
    <s v="GNR_RES_WTR_NOPMP_MC-05"/>
    <x v="0"/>
    <x v="20"/>
    <n v="156.94999999999999"/>
    <n v="57286.75"/>
    <n v="206232.3"/>
  </r>
  <r>
    <x v="0"/>
    <x v="0"/>
    <x v="0"/>
    <x v="2"/>
    <x v="3"/>
    <s v="FinA"/>
    <x v="7"/>
    <s v="GNR_RES_WTR_NOPMP_MC-05"/>
    <x v="0"/>
    <x v="21"/>
    <n v="156.94999999999999"/>
    <n v="57286.75"/>
    <n v="206232.3"/>
  </r>
  <r>
    <x v="0"/>
    <x v="0"/>
    <x v="0"/>
    <x v="2"/>
    <x v="3"/>
    <s v="FinA"/>
    <x v="7"/>
    <s v="GNR_RES_WTR_NOPMP_MC-05"/>
    <x v="0"/>
    <x v="22"/>
    <n v="156.94999999999999"/>
    <n v="57286.75"/>
    <n v="206232.3"/>
  </r>
  <r>
    <x v="0"/>
    <x v="0"/>
    <x v="0"/>
    <x v="2"/>
    <x v="3"/>
    <s v="FinA"/>
    <x v="7"/>
    <s v="GNR_RES_WTR_NOPMP_MC-05"/>
    <x v="0"/>
    <x v="23"/>
    <n v="44.150420685412001"/>
    <n v="16114.903550175401"/>
    <n v="58013.652780631302"/>
  </r>
  <r>
    <x v="0"/>
    <x v="0"/>
    <x v="0"/>
    <x v="2"/>
    <x v="3"/>
    <s v="FinA"/>
    <x v="7"/>
    <s v="GNR_RES_WTR_NOPMP_MC-06"/>
    <x v="0"/>
    <x v="4"/>
    <n v="156.94999999999999"/>
    <n v="57286.75"/>
    <n v="206232.3"/>
  </r>
  <r>
    <x v="0"/>
    <x v="0"/>
    <x v="0"/>
    <x v="2"/>
    <x v="3"/>
    <s v="FinA"/>
    <x v="7"/>
    <s v="GNR_RES_WTR_NOPMP_MC-06"/>
    <x v="0"/>
    <x v="5"/>
    <n v="156.94999999999999"/>
    <n v="57286.75"/>
    <n v="206232.3"/>
  </r>
  <r>
    <x v="0"/>
    <x v="0"/>
    <x v="0"/>
    <x v="2"/>
    <x v="3"/>
    <s v="FinA"/>
    <x v="7"/>
    <s v="GNR_RES_WTR_NOPMP_MC-06"/>
    <x v="0"/>
    <x v="6"/>
    <n v="156.94999999999999"/>
    <n v="57286.75"/>
    <n v="206232.3"/>
  </r>
  <r>
    <x v="0"/>
    <x v="0"/>
    <x v="0"/>
    <x v="2"/>
    <x v="3"/>
    <s v="FinA"/>
    <x v="7"/>
    <s v="GNR_RES_WTR_NOPMP_MC-06"/>
    <x v="0"/>
    <x v="7"/>
    <n v="156.94999999999999"/>
    <n v="57286.75"/>
    <n v="206232.3"/>
  </r>
  <r>
    <x v="0"/>
    <x v="0"/>
    <x v="0"/>
    <x v="2"/>
    <x v="3"/>
    <s v="FinA"/>
    <x v="7"/>
    <s v="GNR_RES_WTR_NOPMP_MC-06"/>
    <x v="0"/>
    <x v="8"/>
    <n v="156.94999999999999"/>
    <n v="57286.75"/>
    <n v="206232.3"/>
  </r>
  <r>
    <x v="0"/>
    <x v="0"/>
    <x v="0"/>
    <x v="2"/>
    <x v="3"/>
    <s v="FinA"/>
    <x v="7"/>
    <s v="GNR_RES_WTR_NOPMP_MC-06"/>
    <x v="0"/>
    <x v="9"/>
    <n v="156.94999999999999"/>
    <n v="57286.75"/>
    <n v="206232.3"/>
  </r>
  <r>
    <x v="0"/>
    <x v="0"/>
    <x v="0"/>
    <x v="2"/>
    <x v="3"/>
    <s v="FinA"/>
    <x v="7"/>
    <s v="GNR_RES_WTR_NOPMP_MC-06"/>
    <x v="0"/>
    <x v="10"/>
    <n v="156.94999999999999"/>
    <n v="57286.75"/>
    <n v="206232.3"/>
  </r>
  <r>
    <x v="0"/>
    <x v="0"/>
    <x v="0"/>
    <x v="2"/>
    <x v="3"/>
    <s v="FinA"/>
    <x v="7"/>
    <s v="GNR_RES_WTR_NOPMP_MC-06"/>
    <x v="0"/>
    <x v="11"/>
    <n v="156.94999999999999"/>
    <n v="57286.75"/>
    <n v="206232.3"/>
  </r>
  <r>
    <x v="0"/>
    <x v="0"/>
    <x v="0"/>
    <x v="2"/>
    <x v="3"/>
    <s v="FinA"/>
    <x v="7"/>
    <s v="GNR_RES_WTR_NOPMP_MC-06"/>
    <x v="0"/>
    <x v="12"/>
    <n v="156.94999999999999"/>
    <n v="57286.75"/>
    <n v="206232.3"/>
  </r>
  <r>
    <x v="0"/>
    <x v="0"/>
    <x v="0"/>
    <x v="2"/>
    <x v="3"/>
    <s v="FinA"/>
    <x v="7"/>
    <s v="GNR_RES_WTR_NOPMP_MC-06"/>
    <x v="0"/>
    <x v="13"/>
    <n v="156.94999999999999"/>
    <n v="57286.75"/>
    <n v="206232.3"/>
  </r>
  <r>
    <x v="0"/>
    <x v="0"/>
    <x v="0"/>
    <x v="2"/>
    <x v="3"/>
    <s v="FinA"/>
    <x v="7"/>
    <s v="GNR_RES_WTR_NOPMP_MC-06"/>
    <x v="0"/>
    <x v="14"/>
    <n v="156.94999999999999"/>
    <n v="57286.75"/>
    <n v="206232.3"/>
  </r>
  <r>
    <x v="0"/>
    <x v="0"/>
    <x v="0"/>
    <x v="2"/>
    <x v="3"/>
    <s v="FinA"/>
    <x v="7"/>
    <s v="GNR_RES_WTR_NOPMP_MC-06"/>
    <x v="0"/>
    <x v="15"/>
    <n v="156.94999999999999"/>
    <n v="57286.75"/>
    <n v="206232.3"/>
  </r>
  <r>
    <x v="0"/>
    <x v="0"/>
    <x v="0"/>
    <x v="2"/>
    <x v="3"/>
    <s v="FinA"/>
    <x v="7"/>
    <s v="GNR_RES_WTR_NOPMP_MC-06"/>
    <x v="0"/>
    <x v="16"/>
    <n v="156.94999999999999"/>
    <n v="57286.75"/>
    <n v="206232.3"/>
  </r>
  <r>
    <x v="0"/>
    <x v="0"/>
    <x v="0"/>
    <x v="2"/>
    <x v="3"/>
    <s v="FinA"/>
    <x v="7"/>
    <s v="GNR_RES_WTR_NOPMP_MC-06"/>
    <x v="0"/>
    <x v="17"/>
    <n v="156.94999999999999"/>
    <n v="57286.75"/>
    <n v="206232.3"/>
  </r>
  <r>
    <x v="0"/>
    <x v="0"/>
    <x v="0"/>
    <x v="2"/>
    <x v="3"/>
    <s v="FinA"/>
    <x v="7"/>
    <s v="GNR_RES_WTR_NOPMP_MC-06"/>
    <x v="0"/>
    <x v="19"/>
    <n v="156.94999999999999"/>
    <n v="57286.75"/>
    <n v="206232.3"/>
  </r>
  <r>
    <x v="0"/>
    <x v="0"/>
    <x v="0"/>
    <x v="2"/>
    <x v="3"/>
    <s v="FinA"/>
    <x v="7"/>
    <s v="GNR_RES_WTR_NOPMP_MC-06"/>
    <x v="0"/>
    <x v="20"/>
    <n v="156.94999999999999"/>
    <n v="57286.75"/>
    <n v="206232.3"/>
  </r>
  <r>
    <x v="0"/>
    <x v="0"/>
    <x v="0"/>
    <x v="2"/>
    <x v="3"/>
    <s v="FinA"/>
    <x v="7"/>
    <s v="GNR_RES_WTR_NOPMP_MC-06"/>
    <x v="0"/>
    <x v="21"/>
    <n v="156.94999999999999"/>
    <n v="57286.75"/>
    <n v="206232.3"/>
  </r>
  <r>
    <x v="0"/>
    <x v="0"/>
    <x v="0"/>
    <x v="2"/>
    <x v="3"/>
    <s v="FinA"/>
    <x v="7"/>
    <s v="GNR_RES_WTR_NOPMP_MC-06"/>
    <x v="0"/>
    <x v="22"/>
    <n v="156.94999999999999"/>
    <n v="57286.75"/>
    <n v="206232.3"/>
  </r>
  <r>
    <x v="0"/>
    <x v="0"/>
    <x v="0"/>
    <x v="2"/>
    <x v="3"/>
    <s v="FinA"/>
    <x v="7"/>
    <s v="GNR_RES_WTR_NOPMP_MC-07"/>
    <x v="0"/>
    <x v="5"/>
    <n v="156.94999999999999"/>
    <n v="57286.75"/>
    <n v="206232.3"/>
  </r>
  <r>
    <x v="0"/>
    <x v="0"/>
    <x v="0"/>
    <x v="2"/>
    <x v="3"/>
    <s v="FinA"/>
    <x v="7"/>
    <s v="GNR_RES_WTR_NOPMP_MC-07"/>
    <x v="0"/>
    <x v="6"/>
    <n v="156.94999999999999"/>
    <n v="57286.75"/>
    <n v="206232.3"/>
  </r>
  <r>
    <x v="0"/>
    <x v="0"/>
    <x v="0"/>
    <x v="2"/>
    <x v="3"/>
    <s v="FinA"/>
    <x v="7"/>
    <s v="GNR_RES_WTR_NOPMP_MC-07"/>
    <x v="0"/>
    <x v="7"/>
    <n v="156.94999999999999"/>
    <n v="57286.75"/>
    <n v="206232.3"/>
  </r>
  <r>
    <x v="0"/>
    <x v="0"/>
    <x v="0"/>
    <x v="2"/>
    <x v="3"/>
    <s v="FinA"/>
    <x v="7"/>
    <s v="GNR_RES_WTR_NOPMP_MC-07"/>
    <x v="0"/>
    <x v="8"/>
    <n v="156.94999999999999"/>
    <n v="57286.75"/>
    <n v="206232.3"/>
  </r>
  <r>
    <x v="0"/>
    <x v="0"/>
    <x v="0"/>
    <x v="2"/>
    <x v="3"/>
    <s v="FinA"/>
    <x v="7"/>
    <s v="GNR_RES_WTR_NOPMP_MC-07"/>
    <x v="0"/>
    <x v="9"/>
    <n v="156.94999999999999"/>
    <n v="57286.75"/>
    <n v="206232.3"/>
  </r>
  <r>
    <x v="0"/>
    <x v="0"/>
    <x v="0"/>
    <x v="2"/>
    <x v="3"/>
    <s v="FinA"/>
    <x v="7"/>
    <s v="GNR_RES_WTR_NOPMP_MC-07"/>
    <x v="0"/>
    <x v="10"/>
    <n v="156.94999999999999"/>
    <n v="57286.75"/>
    <n v="206232.3"/>
  </r>
  <r>
    <x v="0"/>
    <x v="0"/>
    <x v="0"/>
    <x v="2"/>
    <x v="3"/>
    <s v="FinA"/>
    <x v="7"/>
    <s v="GNR_RES_WTR_NOPMP_MC-07"/>
    <x v="0"/>
    <x v="11"/>
    <n v="156.94999999999999"/>
    <n v="57286.75"/>
    <n v="206232.3"/>
  </r>
  <r>
    <x v="0"/>
    <x v="0"/>
    <x v="0"/>
    <x v="2"/>
    <x v="3"/>
    <s v="FinA"/>
    <x v="7"/>
    <s v="GNR_RES_WTR_NOPMP_MC-07"/>
    <x v="0"/>
    <x v="12"/>
    <n v="156.94999999999999"/>
    <n v="57286.75"/>
    <n v="206232.3"/>
  </r>
  <r>
    <x v="0"/>
    <x v="0"/>
    <x v="0"/>
    <x v="2"/>
    <x v="3"/>
    <s v="FinA"/>
    <x v="7"/>
    <s v="GNR_RES_WTR_NOPMP_MC-07"/>
    <x v="0"/>
    <x v="13"/>
    <n v="156.94999999999999"/>
    <n v="57286.75"/>
    <n v="206232.3"/>
  </r>
  <r>
    <x v="0"/>
    <x v="0"/>
    <x v="0"/>
    <x v="2"/>
    <x v="3"/>
    <s v="FinA"/>
    <x v="7"/>
    <s v="GNR_RES_WTR_NOPMP_MC-07"/>
    <x v="0"/>
    <x v="14"/>
    <n v="156.94999999999999"/>
    <n v="57286.75"/>
    <n v="206232.3"/>
  </r>
  <r>
    <x v="0"/>
    <x v="0"/>
    <x v="0"/>
    <x v="2"/>
    <x v="3"/>
    <s v="FinA"/>
    <x v="7"/>
    <s v="GNR_RES_WTR_NOPMP_MC-07"/>
    <x v="0"/>
    <x v="15"/>
    <n v="156.94999999999999"/>
    <n v="57286.75"/>
    <n v="206232.3"/>
  </r>
  <r>
    <x v="0"/>
    <x v="0"/>
    <x v="0"/>
    <x v="2"/>
    <x v="3"/>
    <s v="FinA"/>
    <x v="7"/>
    <s v="GNR_RES_WTR_NOPMP_MC-07"/>
    <x v="0"/>
    <x v="16"/>
    <n v="156.94999999999999"/>
    <n v="57286.75"/>
    <n v="206232.3"/>
  </r>
  <r>
    <x v="0"/>
    <x v="0"/>
    <x v="0"/>
    <x v="2"/>
    <x v="3"/>
    <s v="FinA"/>
    <x v="7"/>
    <s v="GNR_RES_WTR_NOPMP_MC-07"/>
    <x v="0"/>
    <x v="17"/>
    <n v="156.94999999999999"/>
    <n v="57286.75"/>
    <n v="206232.3"/>
  </r>
  <r>
    <x v="0"/>
    <x v="0"/>
    <x v="0"/>
    <x v="2"/>
    <x v="3"/>
    <s v="FinA"/>
    <x v="7"/>
    <s v="GNR_RES_WTR_NOPMP_MC-07"/>
    <x v="0"/>
    <x v="19"/>
    <n v="156.94999999999999"/>
    <n v="57286.75"/>
    <n v="206232.3"/>
  </r>
  <r>
    <x v="0"/>
    <x v="0"/>
    <x v="0"/>
    <x v="2"/>
    <x v="3"/>
    <s v="FinA"/>
    <x v="7"/>
    <s v="GNR_RES_WTR_NOPMP_MC-07"/>
    <x v="0"/>
    <x v="20"/>
    <n v="5.3590165174214199"/>
    <n v="1956.04102885882"/>
    <n v="7041.7477038917496"/>
  </r>
  <r>
    <x v="0"/>
    <x v="0"/>
    <x v="0"/>
    <x v="2"/>
    <x v="3"/>
    <s v="FinA"/>
    <x v="7"/>
    <s v="GNR_RES_WTR_NOPMP_MC-07"/>
    <x v="0"/>
    <x v="21"/>
    <n v="156.94999999999999"/>
    <n v="57286.75"/>
    <n v="206232.3"/>
  </r>
  <r>
    <x v="0"/>
    <x v="0"/>
    <x v="0"/>
    <x v="2"/>
    <x v="3"/>
    <s v="FinA"/>
    <x v="7"/>
    <s v="GNR_RES_WTR_NOPMP_MC-08"/>
    <x v="0"/>
    <x v="6"/>
    <n v="156.94999999999999"/>
    <n v="57286.75"/>
    <n v="206232.3"/>
  </r>
  <r>
    <x v="0"/>
    <x v="0"/>
    <x v="0"/>
    <x v="2"/>
    <x v="3"/>
    <s v="FinA"/>
    <x v="7"/>
    <s v="GNR_RES_WTR_NOPMP_MC-08"/>
    <x v="0"/>
    <x v="7"/>
    <n v="156.94999999999999"/>
    <n v="57286.75"/>
    <n v="206232.3"/>
  </r>
  <r>
    <x v="0"/>
    <x v="0"/>
    <x v="0"/>
    <x v="2"/>
    <x v="3"/>
    <s v="FinA"/>
    <x v="7"/>
    <s v="GNR_RES_WTR_NOPMP_MC-08"/>
    <x v="0"/>
    <x v="8"/>
    <n v="156.94999999999999"/>
    <n v="57286.75"/>
    <n v="206232.3"/>
  </r>
  <r>
    <x v="0"/>
    <x v="0"/>
    <x v="0"/>
    <x v="2"/>
    <x v="3"/>
    <s v="FinA"/>
    <x v="7"/>
    <s v="GNR_RES_WTR_NOPMP_MC-08"/>
    <x v="0"/>
    <x v="9"/>
    <n v="156.94999999999999"/>
    <n v="57286.75"/>
    <n v="206232.3"/>
  </r>
  <r>
    <x v="0"/>
    <x v="0"/>
    <x v="0"/>
    <x v="2"/>
    <x v="3"/>
    <s v="FinA"/>
    <x v="7"/>
    <s v="GNR_RES_WTR_NOPMP_MC-08"/>
    <x v="0"/>
    <x v="10"/>
    <n v="156.94999999999999"/>
    <n v="57286.75"/>
    <n v="206232.3"/>
  </r>
  <r>
    <x v="0"/>
    <x v="0"/>
    <x v="0"/>
    <x v="2"/>
    <x v="3"/>
    <s v="FinA"/>
    <x v="7"/>
    <s v="GNR_RES_WTR_NOPMP_MC-08"/>
    <x v="0"/>
    <x v="14"/>
    <n v="72.174875139626195"/>
    <n v="26343.829425963599"/>
    <n v="94837.785933468898"/>
  </r>
  <r>
    <x v="0"/>
    <x v="0"/>
    <x v="0"/>
    <x v="2"/>
    <x v="3"/>
    <s v="FinA"/>
    <x v="7"/>
    <s v="GNR_RES_WTR_NOPMP_MC-08"/>
    <x v="0"/>
    <x v="15"/>
    <n v="142.25733470138701"/>
    <n v="51923.927166006397"/>
    <n v="186926.137797623"/>
  </r>
  <r>
    <x v="0"/>
    <x v="0"/>
    <x v="0"/>
    <x v="2"/>
    <x v="3"/>
    <s v="FinA"/>
    <x v="7"/>
    <s v="GNR_RES_WTR_NOPMP_MC-08"/>
    <x v="0"/>
    <x v="16"/>
    <n v="106.19779997809501"/>
    <n v="38762.196992004501"/>
    <n v="139543.90917121599"/>
  </r>
  <r>
    <x v="0"/>
    <x v="0"/>
    <x v="0"/>
    <x v="2"/>
    <x v="3"/>
    <s v="FinA"/>
    <x v="7"/>
    <s v="GNR_RES_WTR_NOPMP_MC-08"/>
    <x v="0"/>
    <x v="17"/>
    <n v="156.94999999999999"/>
    <n v="57286.75"/>
    <n v="206232.3"/>
  </r>
  <r>
    <x v="0"/>
    <x v="0"/>
    <x v="0"/>
    <x v="2"/>
    <x v="3"/>
    <s v="FinA"/>
    <x v="7"/>
    <s v="GNR_RES_WTR_NOPMP_MC-08"/>
    <x v="0"/>
    <x v="19"/>
    <n v="100.548084020597"/>
    <n v="36700.050667517899"/>
    <n v="132120.18240306401"/>
  </r>
  <r>
    <x v="0"/>
    <x v="0"/>
    <x v="0"/>
    <x v="2"/>
    <x v="3"/>
    <s v="FinA"/>
    <x v="7"/>
    <s v="GNR_RES_WTR_NOPMP_MC-09"/>
    <x v="0"/>
    <x v="6"/>
    <n v="156.94999999999999"/>
    <n v="57286.75"/>
    <n v="206232.3"/>
  </r>
  <r>
    <x v="0"/>
    <x v="0"/>
    <x v="0"/>
    <x v="2"/>
    <x v="3"/>
    <s v="FinA"/>
    <x v="7"/>
    <s v="GNR_RES_WTR_NOPMP_MC-09"/>
    <x v="0"/>
    <x v="7"/>
    <n v="156.94999999999999"/>
    <n v="57286.75"/>
    <n v="206232.3"/>
  </r>
  <r>
    <x v="0"/>
    <x v="0"/>
    <x v="0"/>
    <x v="2"/>
    <x v="3"/>
    <s v="FinA"/>
    <x v="7"/>
    <s v="GNR_RES_WTR_NOPMP_MC-09"/>
    <x v="0"/>
    <x v="8"/>
    <n v="156.94999999999999"/>
    <n v="57286.75"/>
    <n v="206232.3"/>
  </r>
  <r>
    <x v="0"/>
    <x v="0"/>
    <x v="0"/>
    <x v="2"/>
    <x v="3"/>
    <s v="FinA"/>
    <x v="7"/>
    <s v="GNR_ROR_WTR"/>
    <x v="0"/>
    <x v="0"/>
    <n v="920.44758476060997"/>
    <n v="335963.36843762302"/>
    <n v="1209468.12637544"/>
  </r>
  <r>
    <x v="0"/>
    <x v="0"/>
    <x v="0"/>
    <x v="2"/>
    <x v="3"/>
    <s v="FinA"/>
    <x v="7"/>
    <s v="GNR_ROR_WTR"/>
    <x v="0"/>
    <x v="1"/>
    <n v="920.44758476060997"/>
    <n v="335963.36843762302"/>
    <n v="1209468.12637544"/>
  </r>
  <r>
    <x v="0"/>
    <x v="0"/>
    <x v="0"/>
    <x v="2"/>
    <x v="3"/>
    <s v="FinA"/>
    <x v="7"/>
    <s v="GNR_ROR_WTR"/>
    <x v="0"/>
    <x v="2"/>
    <n v="920.44758476060997"/>
    <n v="335963.36843762302"/>
    <n v="1209468.12637544"/>
  </r>
  <r>
    <x v="0"/>
    <x v="0"/>
    <x v="0"/>
    <x v="2"/>
    <x v="3"/>
    <s v="FinA"/>
    <x v="7"/>
    <s v="GNR_ROR_WTR"/>
    <x v="0"/>
    <x v="3"/>
    <n v="920.44758476060997"/>
    <n v="335963.36843762302"/>
    <n v="1209468.12637544"/>
  </r>
  <r>
    <x v="0"/>
    <x v="0"/>
    <x v="0"/>
    <x v="2"/>
    <x v="3"/>
    <s v="FinA"/>
    <x v="7"/>
    <s v="GNR_ROR_WTR"/>
    <x v="0"/>
    <x v="18"/>
    <n v="920.44758476060997"/>
    <n v="335963.36843762302"/>
    <n v="1209468.12637544"/>
  </r>
  <r>
    <x v="0"/>
    <x v="0"/>
    <x v="0"/>
    <x v="2"/>
    <x v="3"/>
    <s v="FinA"/>
    <x v="7"/>
    <s v="GNR_ROR_WTR"/>
    <x v="0"/>
    <x v="4"/>
    <n v="920.44758476060997"/>
    <n v="335963.36843762302"/>
    <n v="1209468.12637544"/>
  </r>
  <r>
    <x v="0"/>
    <x v="0"/>
    <x v="0"/>
    <x v="2"/>
    <x v="3"/>
    <s v="FinA"/>
    <x v="7"/>
    <s v="GNR_ROR_WTR"/>
    <x v="0"/>
    <x v="5"/>
    <n v="920.44758476060997"/>
    <n v="335963.36843762302"/>
    <n v="1209468.12637544"/>
  </r>
  <r>
    <x v="0"/>
    <x v="0"/>
    <x v="0"/>
    <x v="2"/>
    <x v="3"/>
    <s v="FinA"/>
    <x v="7"/>
    <s v="GNR_ROR_WTR"/>
    <x v="0"/>
    <x v="6"/>
    <n v="920.44758476060997"/>
    <n v="335963.36843762302"/>
    <n v="1209468.12637544"/>
  </r>
  <r>
    <x v="0"/>
    <x v="0"/>
    <x v="0"/>
    <x v="2"/>
    <x v="3"/>
    <s v="FinA"/>
    <x v="7"/>
    <s v="GNR_ROR_WTR"/>
    <x v="0"/>
    <x v="7"/>
    <n v="920.44758476060997"/>
    <n v="335963.36843762302"/>
    <n v="1209468.12637544"/>
  </r>
  <r>
    <x v="0"/>
    <x v="0"/>
    <x v="0"/>
    <x v="2"/>
    <x v="3"/>
    <s v="FinA"/>
    <x v="7"/>
    <s v="GNR_ROR_WTR"/>
    <x v="0"/>
    <x v="8"/>
    <n v="920.44758476060997"/>
    <n v="335963.36843762302"/>
    <n v="1209468.12637544"/>
  </r>
  <r>
    <x v="0"/>
    <x v="0"/>
    <x v="0"/>
    <x v="2"/>
    <x v="3"/>
    <s v="FinA"/>
    <x v="7"/>
    <s v="GNR_ROR_WTR"/>
    <x v="0"/>
    <x v="9"/>
    <n v="920.44758476060997"/>
    <n v="335963.36843762302"/>
    <n v="1209468.12637544"/>
  </r>
  <r>
    <x v="0"/>
    <x v="0"/>
    <x v="0"/>
    <x v="2"/>
    <x v="3"/>
    <s v="FinA"/>
    <x v="7"/>
    <s v="GNR_ROR_WTR"/>
    <x v="0"/>
    <x v="10"/>
    <n v="920.44758476060997"/>
    <n v="335963.36843762302"/>
    <n v="1209468.12637544"/>
  </r>
  <r>
    <x v="0"/>
    <x v="0"/>
    <x v="0"/>
    <x v="2"/>
    <x v="3"/>
    <s v="FinA"/>
    <x v="7"/>
    <s v="GNR_ROR_WTR"/>
    <x v="0"/>
    <x v="11"/>
    <n v="920.44758476060997"/>
    <n v="335963.36843762302"/>
    <n v="1209468.12637544"/>
  </r>
  <r>
    <x v="0"/>
    <x v="0"/>
    <x v="0"/>
    <x v="2"/>
    <x v="3"/>
    <s v="FinA"/>
    <x v="7"/>
    <s v="GNR_ROR_WTR"/>
    <x v="0"/>
    <x v="12"/>
    <n v="920.44758476060997"/>
    <n v="335963.36843762302"/>
    <n v="1209468.12637544"/>
  </r>
  <r>
    <x v="0"/>
    <x v="0"/>
    <x v="0"/>
    <x v="2"/>
    <x v="3"/>
    <s v="FinA"/>
    <x v="7"/>
    <s v="GNR_ROR_WTR"/>
    <x v="0"/>
    <x v="13"/>
    <n v="920.44758476060997"/>
    <n v="335963.36843762302"/>
    <n v="1209468.12637544"/>
  </r>
  <r>
    <x v="0"/>
    <x v="0"/>
    <x v="0"/>
    <x v="2"/>
    <x v="3"/>
    <s v="FinA"/>
    <x v="7"/>
    <s v="GNR_ROR_WTR"/>
    <x v="0"/>
    <x v="14"/>
    <n v="920.44758476060997"/>
    <n v="335963.36843762302"/>
    <n v="1209468.12637544"/>
  </r>
  <r>
    <x v="0"/>
    <x v="0"/>
    <x v="0"/>
    <x v="2"/>
    <x v="3"/>
    <s v="FinA"/>
    <x v="7"/>
    <s v="GNR_ROR_WTR"/>
    <x v="0"/>
    <x v="15"/>
    <n v="920.44758476060997"/>
    <n v="335963.36843762302"/>
    <n v="1209468.12637544"/>
  </r>
  <r>
    <x v="0"/>
    <x v="0"/>
    <x v="0"/>
    <x v="2"/>
    <x v="3"/>
    <s v="FinA"/>
    <x v="7"/>
    <s v="GNR_ROR_WTR"/>
    <x v="0"/>
    <x v="16"/>
    <n v="920.44758476060997"/>
    <n v="335963.36843762302"/>
    <n v="1209468.12637544"/>
  </r>
  <r>
    <x v="0"/>
    <x v="0"/>
    <x v="0"/>
    <x v="2"/>
    <x v="3"/>
    <s v="FinA"/>
    <x v="7"/>
    <s v="GNR_ROR_WTR"/>
    <x v="0"/>
    <x v="17"/>
    <n v="920.44758476060997"/>
    <n v="335963.36843762302"/>
    <n v="1209468.12637544"/>
  </r>
  <r>
    <x v="0"/>
    <x v="0"/>
    <x v="0"/>
    <x v="2"/>
    <x v="3"/>
    <s v="FinA"/>
    <x v="7"/>
    <s v="GNR_ROR_WTR"/>
    <x v="0"/>
    <x v="19"/>
    <n v="920.44758476060997"/>
    <n v="335963.36843762302"/>
    <n v="1209468.12637544"/>
  </r>
  <r>
    <x v="0"/>
    <x v="0"/>
    <x v="0"/>
    <x v="2"/>
    <x v="3"/>
    <s v="FinA"/>
    <x v="7"/>
    <s v="GNR_ROR_WTR"/>
    <x v="0"/>
    <x v="20"/>
    <n v="920.44758476060997"/>
    <n v="335963.36843762302"/>
    <n v="1209468.12637544"/>
  </r>
  <r>
    <x v="0"/>
    <x v="0"/>
    <x v="0"/>
    <x v="2"/>
    <x v="3"/>
    <s v="FinA"/>
    <x v="7"/>
    <s v="GNR_ROR_WTR"/>
    <x v="0"/>
    <x v="21"/>
    <n v="920.44758476060997"/>
    <n v="335963.36843762302"/>
    <n v="1209468.12637544"/>
  </r>
  <r>
    <x v="0"/>
    <x v="0"/>
    <x v="0"/>
    <x v="2"/>
    <x v="3"/>
    <s v="FinA"/>
    <x v="7"/>
    <s v="GNR_ROR_WTR"/>
    <x v="0"/>
    <x v="22"/>
    <n v="920.44758476060997"/>
    <n v="335963.36843762302"/>
    <n v="1209468.12637544"/>
  </r>
  <r>
    <x v="0"/>
    <x v="0"/>
    <x v="0"/>
    <x v="2"/>
    <x v="3"/>
    <s v="FinA"/>
    <x v="7"/>
    <s v="GNR_ROR_WTR"/>
    <x v="0"/>
    <x v="23"/>
    <n v="920.44758476060997"/>
    <n v="335963.36843762302"/>
    <n v="1209468.12637544"/>
  </r>
  <r>
    <x v="0"/>
    <x v="0"/>
    <x v="0"/>
    <x v="2"/>
    <x v="3"/>
    <s v="FinA"/>
    <x v="8"/>
    <s v="GNR_WT_WIND_ONS"/>
    <x v="0"/>
    <x v="0"/>
    <n v="411.74149233805298"/>
    <n v="150285.644703389"/>
    <n v="541028.32093220204"/>
  </r>
  <r>
    <x v="0"/>
    <x v="0"/>
    <x v="0"/>
    <x v="2"/>
    <x v="3"/>
    <s v="FinA"/>
    <x v="8"/>
    <s v="GNR_WT_WIND_ONS"/>
    <x v="0"/>
    <x v="1"/>
    <n v="380.51871296754302"/>
    <n v="138889.33023315301"/>
    <n v="500001.58883935102"/>
  </r>
  <r>
    <x v="0"/>
    <x v="0"/>
    <x v="0"/>
    <x v="2"/>
    <x v="3"/>
    <s v="FinA"/>
    <x v="8"/>
    <s v="GNR_WT_WIND_ONS"/>
    <x v="0"/>
    <x v="2"/>
    <n v="389.78574794052503"/>
    <n v="142271.79799829199"/>
    <n v="512178.47279385"/>
  </r>
  <r>
    <x v="0"/>
    <x v="0"/>
    <x v="0"/>
    <x v="2"/>
    <x v="3"/>
    <s v="FinA"/>
    <x v="8"/>
    <s v="GNR_WT_WIND_ONS"/>
    <x v="0"/>
    <x v="3"/>
    <n v="289.82397289129898"/>
    <n v="105785.750105324"/>
    <n v="380828.70037916698"/>
  </r>
  <r>
    <x v="0"/>
    <x v="0"/>
    <x v="0"/>
    <x v="2"/>
    <x v="3"/>
    <s v="FinA"/>
    <x v="8"/>
    <s v="GNR_WT_WIND_ONS"/>
    <x v="0"/>
    <x v="18"/>
    <n v="286.89110907567402"/>
    <n v="104715.254812621"/>
    <n v="376974.91732543497"/>
  </r>
  <r>
    <x v="0"/>
    <x v="0"/>
    <x v="0"/>
    <x v="2"/>
    <x v="3"/>
    <s v="FinA"/>
    <x v="8"/>
    <s v="GNR_WT_WIND_ONS"/>
    <x v="0"/>
    <x v="4"/>
    <n v="334.46867764026098"/>
    <n v="122081.06733869499"/>
    <n v="439491.84241930197"/>
  </r>
  <r>
    <x v="0"/>
    <x v="0"/>
    <x v="0"/>
    <x v="2"/>
    <x v="3"/>
    <s v="FinA"/>
    <x v="8"/>
    <s v="GNR_WT_WIND_ONS"/>
    <x v="0"/>
    <x v="5"/>
    <n v="380.84458672483402"/>
    <n v="139008.27415456501"/>
    <n v="500429.78695643198"/>
  </r>
  <r>
    <x v="0"/>
    <x v="0"/>
    <x v="0"/>
    <x v="2"/>
    <x v="3"/>
    <s v="FinA"/>
    <x v="8"/>
    <s v="GNR_WT_WIND_ONS"/>
    <x v="0"/>
    <x v="6"/>
    <n v="371.74048863049802"/>
    <n v="135685.27835013199"/>
    <n v="488467.00206047401"/>
  </r>
  <r>
    <x v="0"/>
    <x v="0"/>
    <x v="0"/>
    <x v="2"/>
    <x v="3"/>
    <s v="FinA"/>
    <x v="8"/>
    <s v="GNR_WT_WIND_ONS"/>
    <x v="0"/>
    <x v="7"/>
    <n v="366.03769787789298"/>
    <n v="133603.75972543101"/>
    <n v="480973.53501155198"/>
  </r>
  <r>
    <x v="0"/>
    <x v="0"/>
    <x v="0"/>
    <x v="2"/>
    <x v="3"/>
    <s v="FinA"/>
    <x v="8"/>
    <s v="GNR_WT_WIND_ONS"/>
    <x v="0"/>
    <x v="8"/>
    <n v="345.263245850548"/>
    <n v="126021.08473545"/>
    <n v="453675.90504762001"/>
  </r>
  <r>
    <x v="0"/>
    <x v="0"/>
    <x v="0"/>
    <x v="2"/>
    <x v="3"/>
    <s v="FinA"/>
    <x v="8"/>
    <s v="GNR_WT_WIND_ONS"/>
    <x v="0"/>
    <x v="9"/>
    <n v="291.43297456792601"/>
    <n v="106373.03571729299"/>
    <n v="382942.92858225497"/>
  </r>
  <r>
    <x v="0"/>
    <x v="0"/>
    <x v="0"/>
    <x v="2"/>
    <x v="3"/>
    <s v="FinA"/>
    <x v="8"/>
    <s v="GNR_WT_WIND_ONS"/>
    <x v="0"/>
    <x v="10"/>
    <n v="377.97282423870098"/>
    <n v="137960.080847126"/>
    <n v="496656.29104965401"/>
  </r>
  <r>
    <x v="0"/>
    <x v="0"/>
    <x v="0"/>
    <x v="2"/>
    <x v="3"/>
    <s v="FinA"/>
    <x v="8"/>
    <s v="GNR_WT_WIND_ONS"/>
    <x v="0"/>
    <x v="11"/>
    <n v="353.02311469605598"/>
    <n v="128853.436864061"/>
    <n v="463872.37271061802"/>
  </r>
  <r>
    <x v="0"/>
    <x v="0"/>
    <x v="0"/>
    <x v="2"/>
    <x v="3"/>
    <s v="FinA"/>
    <x v="8"/>
    <s v="GNR_WT_WIND_ONS"/>
    <x v="0"/>
    <x v="12"/>
    <n v="344.08195348036497"/>
    <n v="125589.913020333"/>
    <n v="452123.6868732"/>
  </r>
  <r>
    <x v="0"/>
    <x v="0"/>
    <x v="0"/>
    <x v="2"/>
    <x v="3"/>
    <s v="FinA"/>
    <x v="8"/>
    <s v="GNR_WT_WIND_ONS"/>
    <x v="0"/>
    <x v="13"/>
    <n v="335.71107133993502"/>
    <n v="122534.54103907599"/>
    <n v="441124.34774067497"/>
  </r>
  <r>
    <x v="0"/>
    <x v="0"/>
    <x v="0"/>
    <x v="2"/>
    <x v="3"/>
    <s v="FinA"/>
    <x v="8"/>
    <s v="GNR_WT_WIND_ONS"/>
    <x v="0"/>
    <x v="14"/>
    <n v="351.49558145875102"/>
    <n v="128295.887232444"/>
    <n v="461865.19403679902"/>
  </r>
  <r>
    <x v="0"/>
    <x v="0"/>
    <x v="0"/>
    <x v="2"/>
    <x v="3"/>
    <s v="FinA"/>
    <x v="8"/>
    <s v="GNR_WT_WIND_ONS"/>
    <x v="0"/>
    <x v="15"/>
    <n v="393.73696724768701"/>
    <n v="143713.99304540601"/>
    <n v="517370.37496346101"/>
  </r>
  <r>
    <x v="0"/>
    <x v="0"/>
    <x v="0"/>
    <x v="2"/>
    <x v="3"/>
    <s v="FinA"/>
    <x v="8"/>
    <s v="GNR_WT_WIND_ONS"/>
    <x v="0"/>
    <x v="16"/>
    <n v="421.25293262900402"/>
    <n v="153757.320409587"/>
    <n v="553526.353474512"/>
  </r>
  <r>
    <x v="0"/>
    <x v="0"/>
    <x v="0"/>
    <x v="2"/>
    <x v="3"/>
    <s v="FinA"/>
    <x v="8"/>
    <s v="GNR_WT_WIND_ONS"/>
    <x v="0"/>
    <x v="17"/>
    <n v="373.06435076949498"/>
    <n v="136168.48803086599"/>
    <n v="490206.55691111699"/>
  </r>
  <r>
    <x v="0"/>
    <x v="0"/>
    <x v="0"/>
    <x v="2"/>
    <x v="3"/>
    <s v="FinA"/>
    <x v="8"/>
    <s v="GNR_WT_WIND_ONS"/>
    <x v="0"/>
    <x v="19"/>
    <n v="267.236848089018"/>
    <n v="97541.4495524917"/>
    <n v="351149.21838897001"/>
  </r>
  <r>
    <x v="0"/>
    <x v="0"/>
    <x v="0"/>
    <x v="2"/>
    <x v="3"/>
    <s v="FinA"/>
    <x v="8"/>
    <s v="GNR_WT_WIND_ONS"/>
    <x v="0"/>
    <x v="20"/>
    <n v="294.91575034898102"/>
    <n v="107644.24887737801"/>
    <n v="387519.295958562"/>
  </r>
  <r>
    <x v="0"/>
    <x v="0"/>
    <x v="0"/>
    <x v="2"/>
    <x v="3"/>
    <s v="FinA"/>
    <x v="8"/>
    <s v="GNR_WT_WIND_ONS"/>
    <x v="0"/>
    <x v="21"/>
    <n v="285.38394294819898"/>
    <n v="104165.139176093"/>
    <n v="374994.50103393401"/>
  </r>
  <r>
    <x v="0"/>
    <x v="0"/>
    <x v="0"/>
    <x v="2"/>
    <x v="3"/>
    <s v="FinA"/>
    <x v="8"/>
    <s v="GNR_WT_WIND_ONS"/>
    <x v="0"/>
    <x v="22"/>
    <n v="257.92907889637399"/>
    <n v="94144.1137971766"/>
    <n v="338918.80966983602"/>
  </r>
  <r>
    <x v="0"/>
    <x v="0"/>
    <x v="0"/>
    <x v="2"/>
    <x v="3"/>
    <s v="FinA"/>
    <x v="8"/>
    <s v="GNR_WT_WIND_ONS"/>
    <x v="0"/>
    <x v="23"/>
    <n v="227.093274612648"/>
    <n v="82889.045233616504"/>
    <n v="298400.56284101901"/>
  </r>
  <r>
    <x v="0"/>
    <x v="0"/>
    <x v="0"/>
    <x v="3"/>
    <x v="4"/>
    <s v="DE4-E_A"/>
    <x v="16"/>
    <s v="AGG-DE4-E_RES_WTR_PMP"/>
    <x v="0"/>
    <x v="1"/>
    <n v="1921.4049777610701"/>
    <n v="701312.816882791"/>
    <n v="2524726.1407780498"/>
  </r>
  <r>
    <x v="0"/>
    <x v="0"/>
    <x v="0"/>
    <x v="3"/>
    <x v="4"/>
    <s v="DE4-E_A"/>
    <x v="16"/>
    <s v="AGG-DE4-E_RES_WTR_PMP"/>
    <x v="0"/>
    <x v="6"/>
    <n v="337.43835616438298"/>
    <n v="123165"/>
    <n v="443394"/>
  </r>
  <r>
    <x v="0"/>
    <x v="0"/>
    <x v="0"/>
    <x v="3"/>
    <x v="4"/>
    <s v="DE4-E_A"/>
    <x v="16"/>
    <s v="AGG-DE4-E_RES_WTR_PMP"/>
    <x v="0"/>
    <x v="7"/>
    <n v="2415"/>
    <n v="881475"/>
    <n v="3173310"/>
  </r>
  <r>
    <x v="0"/>
    <x v="0"/>
    <x v="0"/>
    <x v="3"/>
    <x v="4"/>
    <s v="DE4-E_A"/>
    <x v="16"/>
    <s v="AGG-DE4-E_RES_WTR_PMP"/>
    <x v="0"/>
    <x v="15"/>
    <n v="2415"/>
    <n v="881475"/>
    <n v="3173310"/>
  </r>
  <r>
    <x v="0"/>
    <x v="0"/>
    <x v="0"/>
    <x v="3"/>
    <x v="4"/>
    <s v="DE4-E_A"/>
    <x v="16"/>
    <s v="AGG-DE4-E_RES_WTR_PMP"/>
    <x v="0"/>
    <x v="16"/>
    <n v="337.43835616438298"/>
    <n v="123165"/>
    <n v="443394"/>
  </r>
  <r>
    <x v="0"/>
    <x v="0"/>
    <x v="0"/>
    <x v="3"/>
    <x v="4"/>
    <s v="DE4-E_A"/>
    <x v="17"/>
    <s v="GNR_ST_LIGN_BP_E-28"/>
    <x v="0"/>
    <x v="6"/>
    <n v="453.57142857142901"/>
    <n v="165553.571428572"/>
    <n v="595992.85714285704"/>
  </r>
  <r>
    <x v="0"/>
    <x v="0"/>
    <x v="0"/>
    <x v="3"/>
    <x v="4"/>
    <s v="DE4-E_A"/>
    <x v="17"/>
    <s v="GNR_ST_LIGN_BP_E-28"/>
    <x v="0"/>
    <x v="7"/>
    <n v="453.57142857142901"/>
    <n v="165553.571428572"/>
    <n v="595992.85714285704"/>
  </r>
  <r>
    <x v="0"/>
    <x v="0"/>
    <x v="0"/>
    <x v="3"/>
    <x v="4"/>
    <s v="DE4-E_A"/>
    <x v="17"/>
    <s v="GNR_ST_LIGN_BP_E-28"/>
    <x v="0"/>
    <x v="8"/>
    <n v="453.57142857142901"/>
    <n v="165553.571428572"/>
    <n v="595992.85714285704"/>
  </r>
  <r>
    <x v="0"/>
    <x v="0"/>
    <x v="0"/>
    <x v="3"/>
    <x v="4"/>
    <s v="DE4-E_A"/>
    <x v="17"/>
    <s v="GNR_ST_LIGN_BP_E-39"/>
    <x v="0"/>
    <x v="0"/>
    <n v="23901.025641025601"/>
    <n v="8723874.3589743599"/>
    <n v="31405947.692307699"/>
  </r>
  <r>
    <x v="0"/>
    <x v="0"/>
    <x v="0"/>
    <x v="3"/>
    <x v="4"/>
    <s v="DE4-E_A"/>
    <x v="17"/>
    <s v="GNR_ST_LIGN_BP_E-39"/>
    <x v="0"/>
    <x v="1"/>
    <n v="13409.595151059801"/>
    <n v="4894502.2301368201"/>
    <n v="17620208.028492499"/>
  </r>
  <r>
    <x v="0"/>
    <x v="0"/>
    <x v="0"/>
    <x v="3"/>
    <x v="4"/>
    <s v="DE4-E_A"/>
    <x v="17"/>
    <s v="GNR_ST_LIGN_BP_E-39"/>
    <x v="0"/>
    <x v="2"/>
    <n v="21360.7693630621"/>
    <n v="7796680.8175176503"/>
    <n v="28068050.943063501"/>
  </r>
  <r>
    <x v="0"/>
    <x v="0"/>
    <x v="0"/>
    <x v="3"/>
    <x v="4"/>
    <s v="DE4-E_A"/>
    <x v="17"/>
    <s v="GNR_ST_LIGN_BP_E-39"/>
    <x v="0"/>
    <x v="3"/>
    <n v="23901.025641025601"/>
    <n v="8723874.3589743599"/>
    <n v="31405947.692307699"/>
  </r>
  <r>
    <x v="0"/>
    <x v="0"/>
    <x v="0"/>
    <x v="3"/>
    <x v="4"/>
    <s v="DE4-E_A"/>
    <x v="17"/>
    <s v="GNR_ST_LIGN_BP_E-39"/>
    <x v="0"/>
    <x v="18"/>
    <n v="23901.025641025601"/>
    <n v="8723874.3589743599"/>
    <n v="31405947.692307699"/>
  </r>
  <r>
    <x v="0"/>
    <x v="0"/>
    <x v="0"/>
    <x v="3"/>
    <x v="4"/>
    <s v="DE4-E_A"/>
    <x v="17"/>
    <s v="GNR_ST_LIGN_BP_E-39"/>
    <x v="0"/>
    <x v="4"/>
    <n v="23901.025641025601"/>
    <n v="8723874.3589743599"/>
    <n v="31405947.692307699"/>
  </r>
  <r>
    <x v="0"/>
    <x v="0"/>
    <x v="0"/>
    <x v="3"/>
    <x v="4"/>
    <s v="DE4-E_A"/>
    <x v="17"/>
    <s v="GNR_ST_LIGN_BP_E-39"/>
    <x v="0"/>
    <x v="5"/>
    <n v="23901.025641025601"/>
    <n v="8723874.3589743599"/>
    <n v="31405947.692307699"/>
  </r>
  <r>
    <x v="0"/>
    <x v="0"/>
    <x v="0"/>
    <x v="3"/>
    <x v="4"/>
    <s v="DE4-E_A"/>
    <x v="17"/>
    <s v="GNR_ST_LIGN_BP_E-39"/>
    <x v="0"/>
    <x v="6"/>
    <n v="23901.025641025601"/>
    <n v="8723874.3589743599"/>
    <n v="31405947.692307699"/>
  </r>
  <r>
    <x v="0"/>
    <x v="0"/>
    <x v="0"/>
    <x v="3"/>
    <x v="4"/>
    <s v="DE4-E_A"/>
    <x v="17"/>
    <s v="GNR_ST_LIGN_BP_E-39"/>
    <x v="0"/>
    <x v="7"/>
    <n v="23901.025641025601"/>
    <n v="8723874.3589743599"/>
    <n v="31405947.692307699"/>
  </r>
  <r>
    <x v="0"/>
    <x v="0"/>
    <x v="0"/>
    <x v="3"/>
    <x v="4"/>
    <s v="DE4-E_A"/>
    <x v="17"/>
    <s v="GNR_ST_LIGN_BP_E-39"/>
    <x v="0"/>
    <x v="8"/>
    <n v="23901.025641025601"/>
    <n v="8723874.3589743599"/>
    <n v="31405947.692307699"/>
  </r>
  <r>
    <x v="0"/>
    <x v="0"/>
    <x v="0"/>
    <x v="3"/>
    <x v="4"/>
    <s v="DE4-E_A"/>
    <x v="17"/>
    <s v="GNR_ST_LIGN_BP_E-39"/>
    <x v="0"/>
    <x v="9"/>
    <n v="23901.025641025601"/>
    <n v="8723874.3589743599"/>
    <n v="31405947.692307699"/>
  </r>
  <r>
    <x v="0"/>
    <x v="0"/>
    <x v="0"/>
    <x v="3"/>
    <x v="4"/>
    <s v="DE4-E_A"/>
    <x v="17"/>
    <s v="GNR_ST_LIGN_BP_E-39"/>
    <x v="0"/>
    <x v="10"/>
    <n v="23901.025641025601"/>
    <n v="8723874.3589743599"/>
    <n v="31405947.692307699"/>
  </r>
  <r>
    <x v="0"/>
    <x v="0"/>
    <x v="0"/>
    <x v="3"/>
    <x v="4"/>
    <s v="DE4-E_A"/>
    <x v="17"/>
    <s v="GNR_ST_LIGN_BP_E-39"/>
    <x v="0"/>
    <x v="11"/>
    <n v="23901.025641025601"/>
    <n v="8723874.3589743599"/>
    <n v="31405947.692307699"/>
  </r>
  <r>
    <x v="0"/>
    <x v="0"/>
    <x v="0"/>
    <x v="3"/>
    <x v="4"/>
    <s v="DE4-E_A"/>
    <x v="17"/>
    <s v="GNR_ST_LIGN_BP_E-39"/>
    <x v="0"/>
    <x v="12"/>
    <n v="23901.025641025601"/>
    <n v="8723874.3589743599"/>
    <n v="31405947.692307699"/>
  </r>
  <r>
    <x v="0"/>
    <x v="0"/>
    <x v="0"/>
    <x v="3"/>
    <x v="4"/>
    <s v="DE4-E_A"/>
    <x v="17"/>
    <s v="GNR_ST_LIGN_BP_E-39"/>
    <x v="0"/>
    <x v="13"/>
    <n v="23901.025641025601"/>
    <n v="8723874.3589743599"/>
    <n v="31405947.692307699"/>
  </r>
  <r>
    <x v="0"/>
    <x v="0"/>
    <x v="0"/>
    <x v="3"/>
    <x v="4"/>
    <s v="DE4-E_A"/>
    <x v="17"/>
    <s v="GNR_ST_LIGN_BP_E-39"/>
    <x v="0"/>
    <x v="14"/>
    <n v="23901.025641025601"/>
    <n v="8723874.3589743599"/>
    <n v="31405947.692307699"/>
  </r>
  <r>
    <x v="0"/>
    <x v="0"/>
    <x v="0"/>
    <x v="3"/>
    <x v="4"/>
    <s v="DE4-E_A"/>
    <x v="17"/>
    <s v="GNR_ST_LIGN_BP_E-39"/>
    <x v="0"/>
    <x v="15"/>
    <n v="23901.025641025601"/>
    <n v="8723874.3589743599"/>
    <n v="31405947.692307699"/>
  </r>
  <r>
    <x v="0"/>
    <x v="0"/>
    <x v="0"/>
    <x v="3"/>
    <x v="4"/>
    <s v="DE4-E_A"/>
    <x v="17"/>
    <s v="GNR_ST_LIGN_BP_E-39"/>
    <x v="0"/>
    <x v="16"/>
    <n v="23901.025641025601"/>
    <n v="8723874.3589743599"/>
    <n v="31405947.692307699"/>
  </r>
  <r>
    <x v="0"/>
    <x v="0"/>
    <x v="0"/>
    <x v="3"/>
    <x v="4"/>
    <s v="DE4-E_A"/>
    <x v="17"/>
    <s v="GNR_ST_LIGN_BP_E-39"/>
    <x v="0"/>
    <x v="17"/>
    <n v="23901.025641025601"/>
    <n v="8723874.3589743599"/>
    <n v="31405947.692307699"/>
  </r>
  <r>
    <x v="0"/>
    <x v="0"/>
    <x v="0"/>
    <x v="3"/>
    <x v="4"/>
    <s v="DE4-E_A"/>
    <x v="17"/>
    <s v="GNR_ST_LIGN_BP_E-39"/>
    <x v="0"/>
    <x v="19"/>
    <n v="23901.025641025601"/>
    <n v="8723874.3589743599"/>
    <n v="31405947.692307699"/>
  </r>
  <r>
    <x v="0"/>
    <x v="0"/>
    <x v="0"/>
    <x v="3"/>
    <x v="4"/>
    <s v="DE4-E_A"/>
    <x v="17"/>
    <s v="GNR_ST_LIGN_BP_E-39"/>
    <x v="0"/>
    <x v="20"/>
    <n v="23901.025641025601"/>
    <n v="8723874.3589743599"/>
    <n v="31405947.692307699"/>
  </r>
  <r>
    <x v="0"/>
    <x v="0"/>
    <x v="0"/>
    <x v="3"/>
    <x v="4"/>
    <s v="DE4-E_A"/>
    <x v="17"/>
    <s v="GNR_ST_LIGN_BP_E-39"/>
    <x v="0"/>
    <x v="21"/>
    <n v="20782.4552946855"/>
    <n v="7585596.1825602204"/>
    <n v="27308146.2572168"/>
  </r>
  <r>
    <x v="0"/>
    <x v="0"/>
    <x v="0"/>
    <x v="3"/>
    <x v="4"/>
    <s v="DE4-E_A"/>
    <x v="17"/>
    <s v="GNR_ST_LIGN_BP_E-39"/>
    <x v="0"/>
    <x v="22"/>
    <n v="8251.7826884081205"/>
    <n v="3011900.6812689598"/>
    <n v="10842842.4525683"/>
  </r>
  <r>
    <x v="0"/>
    <x v="0"/>
    <x v="0"/>
    <x v="3"/>
    <x v="4"/>
    <s v="DE4-E_A"/>
    <x v="17"/>
    <s v="GNR_ST_LIGN_BP_E-39"/>
    <x v="0"/>
    <x v="23"/>
    <n v="5702.9139673631698"/>
    <n v="2081563.5980875599"/>
    <n v="7493628.9531152099"/>
  </r>
  <r>
    <x v="0"/>
    <x v="0"/>
    <x v="0"/>
    <x v="3"/>
    <x v="4"/>
    <s v="DE4-E_A"/>
    <x v="17"/>
    <s v="GNR_ST_LIGN_CND_E-43"/>
    <x v="0"/>
    <x v="0"/>
    <n v="1488.37209302326"/>
    <n v="543255.81395348802"/>
    <n v="1955720.93023256"/>
  </r>
  <r>
    <x v="0"/>
    <x v="0"/>
    <x v="0"/>
    <x v="3"/>
    <x v="4"/>
    <s v="DE4-E_A"/>
    <x v="17"/>
    <s v="GNR_ST_LIGN_CND_E-43"/>
    <x v="0"/>
    <x v="1"/>
    <n v="1488.37209302326"/>
    <n v="543255.81395348802"/>
    <n v="1955720.93023256"/>
  </r>
  <r>
    <x v="0"/>
    <x v="0"/>
    <x v="0"/>
    <x v="3"/>
    <x v="4"/>
    <s v="DE4-E_A"/>
    <x v="17"/>
    <s v="GNR_ST_LIGN_CND_E-43"/>
    <x v="0"/>
    <x v="2"/>
    <n v="1488.37209302326"/>
    <n v="543255.81395348802"/>
    <n v="1955720.93023256"/>
  </r>
  <r>
    <x v="0"/>
    <x v="0"/>
    <x v="0"/>
    <x v="3"/>
    <x v="4"/>
    <s v="DE4-E_A"/>
    <x v="17"/>
    <s v="GNR_ST_LIGN_CND_E-43"/>
    <x v="0"/>
    <x v="3"/>
    <n v="1488.37209302326"/>
    <n v="543255.81395348802"/>
    <n v="1955720.93023256"/>
  </r>
  <r>
    <x v="0"/>
    <x v="0"/>
    <x v="0"/>
    <x v="3"/>
    <x v="4"/>
    <s v="DE4-E_A"/>
    <x v="17"/>
    <s v="GNR_ST_LIGN_CND_E-43"/>
    <x v="0"/>
    <x v="18"/>
    <n v="1488.37209302326"/>
    <n v="543255.81395348802"/>
    <n v="1955720.93023256"/>
  </r>
  <r>
    <x v="0"/>
    <x v="0"/>
    <x v="0"/>
    <x v="3"/>
    <x v="4"/>
    <s v="DE4-E_A"/>
    <x v="17"/>
    <s v="GNR_ST_LIGN_CND_E-43"/>
    <x v="0"/>
    <x v="4"/>
    <n v="1488.37209302326"/>
    <n v="543255.81395348802"/>
    <n v="1955720.93023256"/>
  </r>
  <r>
    <x v="0"/>
    <x v="0"/>
    <x v="0"/>
    <x v="3"/>
    <x v="4"/>
    <s v="DE4-E_A"/>
    <x v="17"/>
    <s v="GNR_ST_LIGN_CND_E-43"/>
    <x v="0"/>
    <x v="5"/>
    <n v="1488.37209302326"/>
    <n v="543255.81395348802"/>
    <n v="1955720.93023256"/>
  </r>
  <r>
    <x v="0"/>
    <x v="0"/>
    <x v="0"/>
    <x v="3"/>
    <x v="4"/>
    <s v="DE4-E_A"/>
    <x v="17"/>
    <s v="GNR_ST_LIGN_CND_E-43"/>
    <x v="0"/>
    <x v="6"/>
    <n v="1488.37209302326"/>
    <n v="543255.81395348802"/>
    <n v="1955720.93023256"/>
  </r>
  <r>
    <x v="0"/>
    <x v="0"/>
    <x v="0"/>
    <x v="3"/>
    <x v="4"/>
    <s v="DE4-E_A"/>
    <x v="17"/>
    <s v="GNR_ST_LIGN_CND_E-43"/>
    <x v="0"/>
    <x v="7"/>
    <n v="1488.37209302326"/>
    <n v="543255.81395348802"/>
    <n v="1955720.93023256"/>
  </r>
  <r>
    <x v="0"/>
    <x v="0"/>
    <x v="0"/>
    <x v="3"/>
    <x v="4"/>
    <s v="DE4-E_A"/>
    <x v="17"/>
    <s v="GNR_ST_LIGN_CND_E-43"/>
    <x v="0"/>
    <x v="8"/>
    <n v="1488.37209302326"/>
    <n v="543255.81395348802"/>
    <n v="1955720.93023256"/>
  </r>
  <r>
    <x v="0"/>
    <x v="0"/>
    <x v="0"/>
    <x v="3"/>
    <x v="4"/>
    <s v="DE4-E_A"/>
    <x v="17"/>
    <s v="GNR_ST_LIGN_CND_E-43"/>
    <x v="0"/>
    <x v="9"/>
    <n v="1488.37209302326"/>
    <n v="543255.81395348802"/>
    <n v="1955720.93023256"/>
  </r>
  <r>
    <x v="0"/>
    <x v="0"/>
    <x v="0"/>
    <x v="3"/>
    <x v="4"/>
    <s v="DE4-E_A"/>
    <x v="17"/>
    <s v="GNR_ST_LIGN_CND_E-43"/>
    <x v="0"/>
    <x v="10"/>
    <n v="1488.37209302326"/>
    <n v="543255.81395348802"/>
    <n v="1955720.93023256"/>
  </r>
  <r>
    <x v="0"/>
    <x v="0"/>
    <x v="0"/>
    <x v="3"/>
    <x v="4"/>
    <s v="DE4-E_A"/>
    <x v="17"/>
    <s v="GNR_ST_LIGN_CND_E-43"/>
    <x v="0"/>
    <x v="11"/>
    <n v="1488.37209302326"/>
    <n v="543255.81395348802"/>
    <n v="1955720.93023256"/>
  </r>
  <r>
    <x v="0"/>
    <x v="0"/>
    <x v="0"/>
    <x v="3"/>
    <x v="4"/>
    <s v="DE4-E_A"/>
    <x v="17"/>
    <s v="GNR_ST_LIGN_CND_E-43"/>
    <x v="0"/>
    <x v="12"/>
    <n v="1488.37209302326"/>
    <n v="543255.81395348802"/>
    <n v="1955720.93023256"/>
  </r>
  <r>
    <x v="0"/>
    <x v="0"/>
    <x v="0"/>
    <x v="3"/>
    <x v="4"/>
    <s v="DE4-E_A"/>
    <x v="17"/>
    <s v="GNR_ST_LIGN_CND_E-43"/>
    <x v="0"/>
    <x v="13"/>
    <n v="1488.37209302326"/>
    <n v="543255.81395348802"/>
    <n v="1955720.93023256"/>
  </r>
  <r>
    <x v="0"/>
    <x v="0"/>
    <x v="0"/>
    <x v="3"/>
    <x v="4"/>
    <s v="DE4-E_A"/>
    <x v="17"/>
    <s v="GNR_ST_LIGN_CND_E-43"/>
    <x v="0"/>
    <x v="14"/>
    <n v="1488.37209302326"/>
    <n v="543255.81395348802"/>
    <n v="1955720.93023256"/>
  </r>
  <r>
    <x v="0"/>
    <x v="0"/>
    <x v="0"/>
    <x v="3"/>
    <x v="4"/>
    <s v="DE4-E_A"/>
    <x v="17"/>
    <s v="GNR_ST_LIGN_CND_E-43"/>
    <x v="0"/>
    <x v="15"/>
    <n v="1488.37209302326"/>
    <n v="543255.81395348802"/>
    <n v="1955720.93023256"/>
  </r>
  <r>
    <x v="0"/>
    <x v="0"/>
    <x v="0"/>
    <x v="3"/>
    <x v="4"/>
    <s v="DE4-E_A"/>
    <x v="17"/>
    <s v="GNR_ST_LIGN_CND_E-43"/>
    <x v="0"/>
    <x v="16"/>
    <n v="1488.37209302326"/>
    <n v="543255.81395348802"/>
    <n v="1955720.93023256"/>
  </r>
  <r>
    <x v="0"/>
    <x v="0"/>
    <x v="0"/>
    <x v="3"/>
    <x v="4"/>
    <s v="DE4-E_A"/>
    <x v="17"/>
    <s v="GNR_ST_LIGN_CND_E-43"/>
    <x v="0"/>
    <x v="17"/>
    <n v="1488.37209302326"/>
    <n v="543255.81395348802"/>
    <n v="1955720.93023256"/>
  </r>
  <r>
    <x v="0"/>
    <x v="0"/>
    <x v="0"/>
    <x v="3"/>
    <x v="4"/>
    <s v="DE4-E_A"/>
    <x v="17"/>
    <s v="GNR_ST_LIGN_CND_E-43"/>
    <x v="0"/>
    <x v="19"/>
    <n v="1488.37209302326"/>
    <n v="543255.81395348802"/>
    <n v="1955720.93023256"/>
  </r>
  <r>
    <x v="0"/>
    <x v="0"/>
    <x v="0"/>
    <x v="3"/>
    <x v="4"/>
    <s v="DE4-E_A"/>
    <x v="17"/>
    <s v="GNR_ST_LIGN_CND_E-43"/>
    <x v="0"/>
    <x v="20"/>
    <n v="1488.37209302326"/>
    <n v="543255.81395348802"/>
    <n v="1955720.93023256"/>
  </r>
  <r>
    <x v="0"/>
    <x v="0"/>
    <x v="0"/>
    <x v="3"/>
    <x v="4"/>
    <s v="DE4-E_A"/>
    <x v="17"/>
    <s v="GNR_ST_LIGN_CND_E-43"/>
    <x v="0"/>
    <x v="21"/>
    <n v="1488.37209302326"/>
    <n v="543255.81395348802"/>
    <n v="1955720.93023256"/>
  </r>
  <r>
    <x v="0"/>
    <x v="0"/>
    <x v="0"/>
    <x v="3"/>
    <x v="4"/>
    <s v="DE4-E_A"/>
    <x v="17"/>
    <s v="GNR_ST_LIGN_CND_E-43"/>
    <x v="0"/>
    <x v="22"/>
    <n v="1488.37209302326"/>
    <n v="543255.81395348802"/>
    <n v="1955720.93023256"/>
  </r>
  <r>
    <x v="0"/>
    <x v="0"/>
    <x v="0"/>
    <x v="3"/>
    <x v="4"/>
    <s v="DE4-E_A"/>
    <x v="17"/>
    <s v="GNR_ST_LIGN_CND_E-43"/>
    <x v="0"/>
    <x v="23"/>
    <n v="1488.37209302326"/>
    <n v="543255.81395348802"/>
    <n v="1955720.93023256"/>
  </r>
  <r>
    <x v="0"/>
    <x v="0"/>
    <x v="0"/>
    <x v="3"/>
    <x v="4"/>
    <s v="DE4-E_A"/>
    <x v="2"/>
    <s v="GNR_ST_MSW_CND_E-33"/>
    <x v="0"/>
    <x v="0"/>
    <n v="197.272727272727"/>
    <n v="72004.545454545398"/>
    <n v="259216.363636364"/>
  </r>
  <r>
    <x v="0"/>
    <x v="0"/>
    <x v="0"/>
    <x v="3"/>
    <x v="4"/>
    <s v="DE4-E_A"/>
    <x v="2"/>
    <s v="GNR_ST_MSW_CND_E-33"/>
    <x v="0"/>
    <x v="1"/>
    <n v="197.272727272727"/>
    <n v="72004.545454545398"/>
    <n v="259216.363636364"/>
  </r>
  <r>
    <x v="0"/>
    <x v="0"/>
    <x v="0"/>
    <x v="3"/>
    <x v="4"/>
    <s v="DE4-E_A"/>
    <x v="2"/>
    <s v="GNR_ST_MSW_CND_E-33"/>
    <x v="0"/>
    <x v="2"/>
    <n v="197.272727272727"/>
    <n v="72004.545454545398"/>
    <n v="259216.363636364"/>
  </r>
  <r>
    <x v="0"/>
    <x v="0"/>
    <x v="0"/>
    <x v="3"/>
    <x v="4"/>
    <s v="DE4-E_A"/>
    <x v="2"/>
    <s v="GNR_ST_MSW_CND_E-33"/>
    <x v="0"/>
    <x v="3"/>
    <n v="197.272727272727"/>
    <n v="72004.545454545398"/>
    <n v="259216.363636364"/>
  </r>
  <r>
    <x v="0"/>
    <x v="0"/>
    <x v="0"/>
    <x v="3"/>
    <x v="4"/>
    <s v="DE4-E_A"/>
    <x v="2"/>
    <s v="GNR_ST_MSW_CND_E-33"/>
    <x v="0"/>
    <x v="18"/>
    <n v="197.272727272727"/>
    <n v="72004.545454545398"/>
    <n v="259216.363636364"/>
  </r>
  <r>
    <x v="0"/>
    <x v="0"/>
    <x v="0"/>
    <x v="3"/>
    <x v="4"/>
    <s v="DE4-E_A"/>
    <x v="2"/>
    <s v="GNR_ST_MSW_CND_E-33"/>
    <x v="0"/>
    <x v="4"/>
    <n v="197.272727272727"/>
    <n v="72004.545454545398"/>
    <n v="259216.363636364"/>
  </r>
  <r>
    <x v="0"/>
    <x v="0"/>
    <x v="0"/>
    <x v="3"/>
    <x v="4"/>
    <s v="DE4-E_A"/>
    <x v="2"/>
    <s v="GNR_ST_MSW_CND_E-33"/>
    <x v="0"/>
    <x v="5"/>
    <n v="197.272727272727"/>
    <n v="72004.545454545398"/>
    <n v="259216.363636364"/>
  </r>
  <r>
    <x v="0"/>
    <x v="0"/>
    <x v="0"/>
    <x v="3"/>
    <x v="4"/>
    <s v="DE4-E_A"/>
    <x v="2"/>
    <s v="GNR_ST_MSW_CND_E-33"/>
    <x v="0"/>
    <x v="6"/>
    <n v="197.272727272727"/>
    <n v="72004.545454545398"/>
    <n v="259216.363636364"/>
  </r>
  <r>
    <x v="0"/>
    <x v="0"/>
    <x v="0"/>
    <x v="3"/>
    <x v="4"/>
    <s v="DE4-E_A"/>
    <x v="2"/>
    <s v="GNR_ST_MSW_CND_E-33"/>
    <x v="0"/>
    <x v="7"/>
    <n v="197.272727272727"/>
    <n v="72004.545454545398"/>
    <n v="259216.363636364"/>
  </r>
  <r>
    <x v="0"/>
    <x v="0"/>
    <x v="0"/>
    <x v="3"/>
    <x v="4"/>
    <s v="DE4-E_A"/>
    <x v="2"/>
    <s v="GNR_ST_MSW_CND_E-33"/>
    <x v="0"/>
    <x v="8"/>
    <n v="197.272727272727"/>
    <n v="72004.545454545398"/>
    <n v="259216.363636364"/>
  </r>
  <r>
    <x v="0"/>
    <x v="0"/>
    <x v="0"/>
    <x v="3"/>
    <x v="4"/>
    <s v="DE4-E_A"/>
    <x v="2"/>
    <s v="GNR_ST_MSW_CND_E-33"/>
    <x v="0"/>
    <x v="9"/>
    <n v="197.272727272727"/>
    <n v="72004.545454545398"/>
    <n v="259216.363636364"/>
  </r>
  <r>
    <x v="0"/>
    <x v="0"/>
    <x v="0"/>
    <x v="3"/>
    <x v="4"/>
    <s v="DE4-E_A"/>
    <x v="2"/>
    <s v="GNR_ST_MSW_CND_E-33"/>
    <x v="0"/>
    <x v="10"/>
    <n v="197.272727272727"/>
    <n v="72004.545454545398"/>
    <n v="259216.363636364"/>
  </r>
  <r>
    <x v="0"/>
    <x v="0"/>
    <x v="0"/>
    <x v="3"/>
    <x v="4"/>
    <s v="DE4-E_A"/>
    <x v="2"/>
    <s v="GNR_ST_MSW_CND_E-33"/>
    <x v="0"/>
    <x v="11"/>
    <n v="197.272727272727"/>
    <n v="72004.545454545398"/>
    <n v="259216.363636364"/>
  </r>
  <r>
    <x v="0"/>
    <x v="0"/>
    <x v="0"/>
    <x v="3"/>
    <x v="4"/>
    <s v="DE4-E_A"/>
    <x v="2"/>
    <s v="GNR_ST_MSW_CND_E-33"/>
    <x v="0"/>
    <x v="12"/>
    <n v="197.272727272727"/>
    <n v="72004.545454545398"/>
    <n v="259216.363636364"/>
  </r>
  <r>
    <x v="0"/>
    <x v="0"/>
    <x v="0"/>
    <x v="3"/>
    <x v="4"/>
    <s v="DE4-E_A"/>
    <x v="2"/>
    <s v="GNR_ST_MSW_CND_E-33"/>
    <x v="0"/>
    <x v="13"/>
    <n v="197.272727272727"/>
    <n v="72004.545454545398"/>
    <n v="259216.363636364"/>
  </r>
  <r>
    <x v="0"/>
    <x v="0"/>
    <x v="0"/>
    <x v="3"/>
    <x v="4"/>
    <s v="DE4-E_A"/>
    <x v="2"/>
    <s v="GNR_ST_MSW_CND_E-33"/>
    <x v="0"/>
    <x v="14"/>
    <n v="197.272727272727"/>
    <n v="72004.545454545398"/>
    <n v="259216.363636364"/>
  </r>
  <r>
    <x v="0"/>
    <x v="0"/>
    <x v="0"/>
    <x v="3"/>
    <x v="4"/>
    <s v="DE4-E_A"/>
    <x v="2"/>
    <s v="GNR_ST_MSW_CND_E-33"/>
    <x v="0"/>
    <x v="15"/>
    <n v="197.272727272727"/>
    <n v="72004.545454545398"/>
    <n v="259216.363636364"/>
  </r>
  <r>
    <x v="0"/>
    <x v="0"/>
    <x v="0"/>
    <x v="3"/>
    <x v="4"/>
    <s v="DE4-E_A"/>
    <x v="2"/>
    <s v="GNR_ST_MSW_CND_E-33"/>
    <x v="0"/>
    <x v="16"/>
    <n v="197.272727272727"/>
    <n v="72004.545454545398"/>
    <n v="259216.363636364"/>
  </r>
  <r>
    <x v="0"/>
    <x v="0"/>
    <x v="0"/>
    <x v="3"/>
    <x v="4"/>
    <s v="DE4-E_A"/>
    <x v="2"/>
    <s v="GNR_ST_MSW_CND_E-33"/>
    <x v="0"/>
    <x v="17"/>
    <n v="197.272727272727"/>
    <n v="72004.545454545398"/>
    <n v="259216.363636364"/>
  </r>
  <r>
    <x v="0"/>
    <x v="0"/>
    <x v="0"/>
    <x v="3"/>
    <x v="4"/>
    <s v="DE4-E_A"/>
    <x v="2"/>
    <s v="GNR_ST_MSW_CND_E-33"/>
    <x v="0"/>
    <x v="19"/>
    <n v="197.272727272727"/>
    <n v="72004.545454545398"/>
    <n v="259216.363636364"/>
  </r>
  <r>
    <x v="0"/>
    <x v="0"/>
    <x v="0"/>
    <x v="3"/>
    <x v="4"/>
    <s v="DE4-E_A"/>
    <x v="2"/>
    <s v="GNR_ST_MSW_CND_E-33"/>
    <x v="0"/>
    <x v="20"/>
    <n v="197.272727272727"/>
    <n v="72004.545454545398"/>
    <n v="259216.363636364"/>
  </r>
  <r>
    <x v="0"/>
    <x v="0"/>
    <x v="0"/>
    <x v="3"/>
    <x v="4"/>
    <s v="DE4-E_A"/>
    <x v="2"/>
    <s v="GNR_ST_MSW_CND_E-33"/>
    <x v="0"/>
    <x v="21"/>
    <n v="197.272727272727"/>
    <n v="72004.545454545398"/>
    <n v="259216.363636364"/>
  </r>
  <r>
    <x v="0"/>
    <x v="0"/>
    <x v="0"/>
    <x v="3"/>
    <x v="4"/>
    <s v="DE4-E_A"/>
    <x v="2"/>
    <s v="GNR_ST_MSW_CND_E-33"/>
    <x v="0"/>
    <x v="22"/>
    <n v="197.272727272727"/>
    <n v="72004.545454545398"/>
    <n v="259216.363636364"/>
  </r>
  <r>
    <x v="0"/>
    <x v="0"/>
    <x v="0"/>
    <x v="3"/>
    <x v="4"/>
    <s v="DE4-E_A"/>
    <x v="2"/>
    <s v="GNR_ST_MSW_CND_E-33"/>
    <x v="0"/>
    <x v="23"/>
    <n v="197.272727272727"/>
    <n v="72004.545454545398"/>
    <n v="259216.363636364"/>
  </r>
  <r>
    <x v="0"/>
    <x v="0"/>
    <x v="0"/>
    <x v="3"/>
    <x v="4"/>
    <s v="DE4-E_A"/>
    <x v="6"/>
    <s v="GNR_PV_SUN"/>
    <x v="0"/>
    <x v="7"/>
    <n v="231.322785698838"/>
    <n v="84432.816780075897"/>
    <n v="303958.14040827297"/>
  </r>
  <r>
    <x v="0"/>
    <x v="0"/>
    <x v="0"/>
    <x v="3"/>
    <x v="4"/>
    <s v="DE4-E_A"/>
    <x v="6"/>
    <s v="GNR_PV_SUN"/>
    <x v="0"/>
    <x v="8"/>
    <n v="1741.44538156869"/>
    <n v="635627.56427257101"/>
    <n v="2288259.2313812599"/>
  </r>
  <r>
    <x v="0"/>
    <x v="0"/>
    <x v="0"/>
    <x v="3"/>
    <x v="4"/>
    <s v="DE4-E_A"/>
    <x v="6"/>
    <s v="GNR_PV_SUN"/>
    <x v="0"/>
    <x v="9"/>
    <n v="4022.6439297679999"/>
    <n v="1468265.0343653201"/>
    <n v="5285754.1237151502"/>
  </r>
  <r>
    <x v="0"/>
    <x v="0"/>
    <x v="0"/>
    <x v="3"/>
    <x v="4"/>
    <s v="DE4-E_A"/>
    <x v="6"/>
    <s v="GNR_PV_SUN"/>
    <x v="0"/>
    <x v="10"/>
    <n v="6125.9018735835898"/>
    <n v="2235954.18385801"/>
    <n v="8049435.06188884"/>
  </r>
  <r>
    <x v="0"/>
    <x v="0"/>
    <x v="0"/>
    <x v="3"/>
    <x v="4"/>
    <s v="DE4-E_A"/>
    <x v="6"/>
    <s v="GNR_PV_SUN"/>
    <x v="0"/>
    <x v="11"/>
    <n v="6964.5952555788699"/>
    <n v="2542077.2682862901"/>
    <n v="9151478.1658306308"/>
  </r>
  <r>
    <x v="0"/>
    <x v="0"/>
    <x v="0"/>
    <x v="3"/>
    <x v="4"/>
    <s v="DE4-E_A"/>
    <x v="6"/>
    <s v="GNR_PV_SUN"/>
    <x v="0"/>
    <x v="12"/>
    <n v="6055.9119025259897"/>
    <n v="2210407.8444219902"/>
    <n v="7957468.2399191502"/>
  </r>
  <r>
    <x v="0"/>
    <x v="0"/>
    <x v="0"/>
    <x v="3"/>
    <x v="4"/>
    <s v="DE4-E_A"/>
    <x v="6"/>
    <s v="GNR_PV_SUN"/>
    <x v="0"/>
    <x v="13"/>
    <n v="3940.7912517514901"/>
    <n v="1438388.80688929"/>
    <n v="5178199.7048014598"/>
  </r>
  <r>
    <x v="0"/>
    <x v="0"/>
    <x v="0"/>
    <x v="3"/>
    <x v="4"/>
    <s v="DE4-E_A"/>
    <x v="6"/>
    <s v="GNR_PV_SUN"/>
    <x v="0"/>
    <x v="14"/>
    <n v="1995.30731048947"/>
    <n v="728287.16832865495"/>
    <n v="2621833.8059831602"/>
  </r>
  <r>
    <x v="0"/>
    <x v="0"/>
    <x v="0"/>
    <x v="3"/>
    <x v="4"/>
    <s v="DE4-E_A"/>
    <x v="6"/>
    <s v="GNR_PV_SUN"/>
    <x v="0"/>
    <x v="15"/>
    <n v="259.79328240023398"/>
    <n v="94824.548076085295"/>
    <n v="341368.37307390699"/>
  </r>
  <r>
    <x v="0"/>
    <x v="0"/>
    <x v="0"/>
    <x v="3"/>
    <x v="4"/>
    <s v="DE4-E_A"/>
    <x v="1"/>
    <s v="GNR_GEO_HEAT_EO"/>
    <x v="0"/>
    <x v="0"/>
    <n v="0.22"/>
    <n v="80.3"/>
    <n v="289.08"/>
  </r>
  <r>
    <x v="0"/>
    <x v="0"/>
    <x v="0"/>
    <x v="3"/>
    <x v="4"/>
    <s v="DE4-E_A"/>
    <x v="1"/>
    <s v="GNR_GEO_HEAT_EO"/>
    <x v="0"/>
    <x v="1"/>
    <n v="0.22"/>
    <n v="80.3"/>
    <n v="289.08"/>
  </r>
  <r>
    <x v="0"/>
    <x v="0"/>
    <x v="0"/>
    <x v="3"/>
    <x v="4"/>
    <s v="DE4-E_A"/>
    <x v="1"/>
    <s v="GNR_GEO_HEAT_EO"/>
    <x v="0"/>
    <x v="2"/>
    <n v="0.22"/>
    <n v="80.3"/>
    <n v="289.08"/>
  </r>
  <r>
    <x v="0"/>
    <x v="0"/>
    <x v="0"/>
    <x v="3"/>
    <x v="4"/>
    <s v="DE4-E_A"/>
    <x v="1"/>
    <s v="GNR_GEO_HEAT_EO"/>
    <x v="0"/>
    <x v="3"/>
    <n v="0.22"/>
    <n v="80.3"/>
    <n v="289.08"/>
  </r>
  <r>
    <x v="0"/>
    <x v="0"/>
    <x v="0"/>
    <x v="3"/>
    <x v="4"/>
    <s v="DE4-E_A"/>
    <x v="1"/>
    <s v="GNR_GEO_HEAT_EO"/>
    <x v="0"/>
    <x v="18"/>
    <n v="0.22"/>
    <n v="80.3"/>
    <n v="289.08"/>
  </r>
  <r>
    <x v="0"/>
    <x v="0"/>
    <x v="0"/>
    <x v="3"/>
    <x v="4"/>
    <s v="DE4-E_A"/>
    <x v="1"/>
    <s v="GNR_GEO_HEAT_EO"/>
    <x v="0"/>
    <x v="4"/>
    <n v="0.22"/>
    <n v="80.3"/>
    <n v="289.08"/>
  </r>
  <r>
    <x v="0"/>
    <x v="0"/>
    <x v="0"/>
    <x v="3"/>
    <x v="4"/>
    <s v="DE4-E_A"/>
    <x v="1"/>
    <s v="GNR_GEO_HEAT_EO"/>
    <x v="0"/>
    <x v="5"/>
    <n v="0.22"/>
    <n v="80.3"/>
    <n v="289.08"/>
  </r>
  <r>
    <x v="0"/>
    <x v="0"/>
    <x v="0"/>
    <x v="3"/>
    <x v="4"/>
    <s v="DE4-E_A"/>
    <x v="1"/>
    <s v="GNR_GEO_HEAT_EO"/>
    <x v="0"/>
    <x v="6"/>
    <n v="0.22"/>
    <n v="80.3"/>
    <n v="289.08"/>
  </r>
  <r>
    <x v="0"/>
    <x v="0"/>
    <x v="0"/>
    <x v="3"/>
    <x v="4"/>
    <s v="DE4-E_A"/>
    <x v="1"/>
    <s v="GNR_GEO_HEAT_EO"/>
    <x v="0"/>
    <x v="7"/>
    <n v="0.22"/>
    <n v="80.3"/>
    <n v="289.08"/>
  </r>
  <r>
    <x v="0"/>
    <x v="0"/>
    <x v="0"/>
    <x v="3"/>
    <x v="4"/>
    <s v="DE4-E_A"/>
    <x v="1"/>
    <s v="GNR_GEO_HEAT_EO"/>
    <x v="0"/>
    <x v="8"/>
    <n v="0.22"/>
    <n v="80.3"/>
    <n v="289.08"/>
  </r>
  <r>
    <x v="0"/>
    <x v="0"/>
    <x v="0"/>
    <x v="3"/>
    <x v="4"/>
    <s v="DE4-E_A"/>
    <x v="1"/>
    <s v="GNR_GEO_HEAT_EO"/>
    <x v="0"/>
    <x v="9"/>
    <n v="0.22"/>
    <n v="80.3"/>
    <n v="289.08"/>
  </r>
  <r>
    <x v="0"/>
    <x v="0"/>
    <x v="0"/>
    <x v="3"/>
    <x v="4"/>
    <s v="DE4-E_A"/>
    <x v="1"/>
    <s v="GNR_GEO_HEAT_EO"/>
    <x v="0"/>
    <x v="10"/>
    <n v="0.22"/>
    <n v="80.3"/>
    <n v="289.08"/>
  </r>
  <r>
    <x v="0"/>
    <x v="0"/>
    <x v="0"/>
    <x v="3"/>
    <x v="4"/>
    <s v="DE4-E_A"/>
    <x v="1"/>
    <s v="GNR_GEO_HEAT_EO"/>
    <x v="0"/>
    <x v="11"/>
    <n v="0.22"/>
    <n v="80.3"/>
    <n v="289.08"/>
  </r>
  <r>
    <x v="0"/>
    <x v="0"/>
    <x v="0"/>
    <x v="3"/>
    <x v="4"/>
    <s v="DE4-E_A"/>
    <x v="1"/>
    <s v="GNR_GEO_HEAT_EO"/>
    <x v="0"/>
    <x v="12"/>
    <n v="0.22"/>
    <n v="80.3"/>
    <n v="289.08"/>
  </r>
  <r>
    <x v="0"/>
    <x v="0"/>
    <x v="0"/>
    <x v="3"/>
    <x v="4"/>
    <s v="DE4-E_A"/>
    <x v="1"/>
    <s v="GNR_GEO_HEAT_EO"/>
    <x v="0"/>
    <x v="13"/>
    <n v="0.22"/>
    <n v="80.3"/>
    <n v="289.08"/>
  </r>
  <r>
    <x v="0"/>
    <x v="0"/>
    <x v="0"/>
    <x v="3"/>
    <x v="4"/>
    <s v="DE4-E_A"/>
    <x v="1"/>
    <s v="GNR_GEO_HEAT_EO"/>
    <x v="0"/>
    <x v="14"/>
    <n v="0.22"/>
    <n v="80.3"/>
    <n v="289.08"/>
  </r>
  <r>
    <x v="0"/>
    <x v="0"/>
    <x v="0"/>
    <x v="3"/>
    <x v="4"/>
    <s v="DE4-E_A"/>
    <x v="1"/>
    <s v="GNR_GEO_HEAT_EO"/>
    <x v="0"/>
    <x v="15"/>
    <n v="0.22"/>
    <n v="80.3"/>
    <n v="289.08"/>
  </r>
  <r>
    <x v="0"/>
    <x v="0"/>
    <x v="0"/>
    <x v="3"/>
    <x v="4"/>
    <s v="DE4-E_A"/>
    <x v="1"/>
    <s v="GNR_GEO_HEAT_EO"/>
    <x v="0"/>
    <x v="16"/>
    <n v="0.22"/>
    <n v="80.3"/>
    <n v="289.08"/>
  </r>
  <r>
    <x v="0"/>
    <x v="0"/>
    <x v="0"/>
    <x v="3"/>
    <x v="4"/>
    <s v="DE4-E_A"/>
    <x v="1"/>
    <s v="GNR_GEO_HEAT_EO"/>
    <x v="0"/>
    <x v="17"/>
    <n v="0.22"/>
    <n v="80.3"/>
    <n v="289.08"/>
  </r>
  <r>
    <x v="0"/>
    <x v="0"/>
    <x v="0"/>
    <x v="3"/>
    <x v="4"/>
    <s v="DE4-E_A"/>
    <x v="1"/>
    <s v="GNR_GEO_HEAT_EO"/>
    <x v="0"/>
    <x v="19"/>
    <n v="0.22"/>
    <n v="80.3"/>
    <n v="289.08"/>
  </r>
  <r>
    <x v="0"/>
    <x v="0"/>
    <x v="0"/>
    <x v="3"/>
    <x v="4"/>
    <s v="DE4-E_A"/>
    <x v="1"/>
    <s v="GNR_GEO_HEAT_EO"/>
    <x v="0"/>
    <x v="20"/>
    <n v="0.22"/>
    <n v="80.3"/>
    <n v="289.08"/>
  </r>
  <r>
    <x v="0"/>
    <x v="0"/>
    <x v="0"/>
    <x v="3"/>
    <x v="4"/>
    <s v="DE4-E_A"/>
    <x v="1"/>
    <s v="GNR_GEO_HEAT_EO"/>
    <x v="0"/>
    <x v="21"/>
    <n v="0.22"/>
    <n v="80.3"/>
    <n v="289.08"/>
  </r>
  <r>
    <x v="0"/>
    <x v="0"/>
    <x v="0"/>
    <x v="3"/>
    <x v="4"/>
    <s v="DE4-E_A"/>
    <x v="1"/>
    <s v="GNR_GEO_HEAT_EO"/>
    <x v="0"/>
    <x v="22"/>
    <n v="0.22"/>
    <n v="80.3"/>
    <n v="289.08"/>
  </r>
  <r>
    <x v="0"/>
    <x v="0"/>
    <x v="0"/>
    <x v="3"/>
    <x v="4"/>
    <s v="DE4-E_A"/>
    <x v="1"/>
    <s v="GNR_GEO_HEAT_EO"/>
    <x v="0"/>
    <x v="23"/>
    <n v="0.22"/>
    <n v="80.3"/>
    <n v="289.08"/>
  </r>
  <r>
    <x v="0"/>
    <x v="0"/>
    <x v="0"/>
    <x v="3"/>
    <x v="4"/>
    <s v="DE4-E_A"/>
    <x v="7"/>
    <s v="GNR_ROR_WTR"/>
    <x v="0"/>
    <x v="0"/>
    <n v="302.85891450546501"/>
    <n v="110543.503794495"/>
    <n v="397956.613660181"/>
  </r>
  <r>
    <x v="0"/>
    <x v="0"/>
    <x v="0"/>
    <x v="3"/>
    <x v="4"/>
    <s v="DE4-E_A"/>
    <x v="7"/>
    <s v="GNR_ROR_WTR"/>
    <x v="0"/>
    <x v="1"/>
    <n v="302.85891450546501"/>
    <n v="110543.503794495"/>
    <n v="397956.613660181"/>
  </r>
  <r>
    <x v="0"/>
    <x v="0"/>
    <x v="0"/>
    <x v="3"/>
    <x v="4"/>
    <s v="DE4-E_A"/>
    <x v="7"/>
    <s v="GNR_ROR_WTR"/>
    <x v="0"/>
    <x v="2"/>
    <n v="302.85891450546501"/>
    <n v="110543.503794495"/>
    <n v="397956.613660181"/>
  </r>
  <r>
    <x v="0"/>
    <x v="0"/>
    <x v="0"/>
    <x v="3"/>
    <x v="4"/>
    <s v="DE4-E_A"/>
    <x v="7"/>
    <s v="GNR_ROR_WTR"/>
    <x v="0"/>
    <x v="3"/>
    <n v="302.85891450546501"/>
    <n v="110543.503794495"/>
    <n v="397956.613660181"/>
  </r>
  <r>
    <x v="0"/>
    <x v="0"/>
    <x v="0"/>
    <x v="3"/>
    <x v="4"/>
    <s v="DE4-E_A"/>
    <x v="7"/>
    <s v="GNR_ROR_WTR"/>
    <x v="0"/>
    <x v="18"/>
    <n v="302.85891450546501"/>
    <n v="110543.503794495"/>
    <n v="397956.613660181"/>
  </r>
  <r>
    <x v="0"/>
    <x v="0"/>
    <x v="0"/>
    <x v="3"/>
    <x v="4"/>
    <s v="DE4-E_A"/>
    <x v="7"/>
    <s v="GNR_ROR_WTR"/>
    <x v="0"/>
    <x v="4"/>
    <n v="302.85891450546501"/>
    <n v="110543.503794495"/>
    <n v="397956.613660181"/>
  </r>
  <r>
    <x v="0"/>
    <x v="0"/>
    <x v="0"/>
    <x v="3"/>
    <x v="4"/>
    <s v="DE4-E_A"/>
    <x v="7"/>
    <s v="GNR_ROR_WTR"/>
    <x v="0"/>
    <x v="5"/>
    <n v="302.85891450546501"/>
    <n v="110543.503794495"/>
    <n v="397956.613660181"/>
  </r>
  <r>
    <x v="0"/>
    <x v="0"/>
    <x v="0"/>
    <x v="3"/>
    <x v="4"/>
    <s v="DE4-E_A"/>
    <x v="7"/>
    <s v="GNR_ROR_WTR"/>
    <x v="0"/>
    <x v="6"/>
    <n v="302.85891450546501"/>
    <n v="110543.503794495"/>
    <n v="397956.613660181"/>
  </r>
  <r>
    <x v="0"/>
    <x v="0"/>
    <x v="0"/>
    <x v="3"/>
    <x v="4"/>
    <s v="DE4-E_A"/>
    <x v="7"/>
    <s v="GNR_ROR_WTR"/>
    <x v="0"/>
    <x v="7"/>
    <n v="302.85891450546501"/>
    <n v="110543.503794495"/>
    <n v="397956.613660181"/>
  </r>
  <r>
    <x v="0"/>
    <x v="0"/>
    <x v="0"/>
    <x v="3"/>
    <x v="4"/>
    <s v="DE4-E_A"/>
    <x v="7"/>
    <s v="GNR_ROR_WTR"/>
    <x v="0"/>
    <x v="8"/>
    <n v="302.85891450546501"/>
    <n v="110543.503794495"/>
    <n v="397956.613660181"/>
  </r>
  <r>
    <x v="0"/>
    <x v="0"/>
    <x v="0"/>
    <x v="3"/>
    <x v="4"/>
    <s v="DE4-E_A"/>
    <x v="7"/>
    <s v="GNR_ROR_WTR"/>
    <x v="0"/>
    <x v="9"/>
    <n v="302.85891450546501"/>
    <n v="110543.503794495"/>
    <n v="397956.613660181"/>
  </r>
  <r>
    <x v="0"/>
    <x v="0"/>
    <x v="0"/>
    <x v="3"/>
    <x v="4"/>
    <s v="DE4-E_A"/>
    <x v="7"/>
    <s v="GNR_ROR_WTR"/>
    <x v="0"/>
    <x v="10"/>
    <n v="302.85891450546501"/>
    <n v="110543.503794495"/>
    <n v="397956.613660181"/>
  </r>
  <r>
    <x v="0"/>
    <x v="0"/>
    <x v="0"/>
    <x v="3"/>
    <x v="4"/>
    <s v="DE4-E_A"/>
    <x v="7"/>
    <s v="GNR_ROR_WTR"/>
    <x v="0"/>
    <x v="11"/>
    <n v="302.85891450546501"/>
    <n v="110543.503794495"/>
    <n v="397956.613660181"/>
  </r>
  <r>
    <x v="0"/>
    <x v="0"/>
    <x v="0"/>
    <x v="3"/>
    <x v="4"/>
    <s v="DE4-E_A"/>
    <x v="7"/>
    <s v="GNR_ROR_WTR"/>
    <x v="0"/>
    <x v="12"/>
    <n v="302.85891450546501"/>
    <n v="110543.503794495"/>
    <n v="397956.613660181"/>
  </r>
  <r>
    <x v="0"/>
    <x v="0"/>
    <x v="0"/>
    <x v="3"/>
    <x v="4"/>
    <s v="DE4-E_A"/>
    <x v="7"/>
    <s v="GNR_ROR_WTR"/>
    <x v="0"/>
    <x v="13"/>
    <n v="302.85891450546501"/>
    <n v="110543.503794495"/>
    <n v="397956.613660181"/>
  </r>
  <r>
    <x v="0"/>
    <x v="0"/>
    <x v="0"/>
    <x v="3"/>
    <x v="4"/>
    <s v="DE4-E_A"/>
    <x v="7"/>
    <s v="GNR_ROR_WTR"/>
    <x v="0"/>
    <x v="14"/>
    <n v="302.85891450546501"/>
    <n v="110543.503794495"/>
    <n v="397956.613660181"/>
  </r>
  <r>
    <x v="0"/>
    <x v="0"/>
    <x v="0"/>
    <x v="3"/>
    <x v="4"/>
    <s v="DE4-E_A"/>
    <x v="7"/>
    <s v="GNR_ROR_WTR"/>
    <x v="0"/>
    <x v="15"/>
    <n v="302.85891450546501"/>
    <n v="110543.503794495"/>
    <n v="397956.613660181"/>
  </r>
  <r>
    <x v="0"/>
    <x v="0"/>
    <x v="0"/>
    <x v="3"/>
    <x v="4"/>
    <s v="DE4-E_A"/>
    <x v="7"/>
    <s v="GNR_ROR_WTR"/>
    <x v="0"/>
    <x v="16"/>
    <n v="302.85891450546501"/>
    <n v="110543.503794495"/>
    <n v="397956.613660181"/>
  </r>
  <r>
    <x v="0"/>
    <x v="0"/>
    <x v="0"/>
    <x v="3"/>
    <x v="4"/>
    <s v="DE4-E_A"/>
    <x v="7"/>
    <s v="GNR_ROR_WTR"/>
    <x v="0"/>
    <x v="17"/>
    <n v="302.85891450546501"/>
    <n v="110543.503794495"/>
    <n v="397956.613660181"/>
  </r>
  <r>
    <x v="0"/>
    <x v="0"/>
    <x v="0"/>
    <x v="3"/>
    <x v="4"/>
    <s v="DE4-E_A"/>
    <x v="7"/>
    <s v="GNR_ROR_WTR"/>
    <x v="0"/>
    <x v="19"/>
    <n v="302.85891450546501"/>
    <n v="110543.503794495"/>
    <n v="397956.613660181"/>
  </r>
  <r>
    <x v="0"/>
    <x v="0"/>
    <x v="0"/>
    <x v="3"/>
    <x v="4"/>
    <s v="DE4-E_A"/>
    <x v="7"/>
    <s v="GNR_ROR_WTR"/>
    <x v="0"/>
    <x v="20"/>
    <n v="302.85891450546501"/>
    <n v="110543.503794495"/>
    <n v="397956.613660181"/>
  </r>
  <r>
    <x v="0"/>
    <x v="0"/>
    <x v="0"/>
    <x v="3"/>
    <x v="4"/>
    <s v="DE4-E_A"/>
    <x v="7"/>
    <s v="GNR_ROR_WTR"/>
    <x v="0"/>
    <x v="21"/>
    <n v="302.85891450546501"/>
    <n v="110543.503794495"/>
    <n v="397956.613660181"/>
  </r>
  <r>
    <x v="0"/>
    <x v="0"/>
    <x v="0"/>
    <x v="3"/>
    <x v="4"/>
    <s v="DE4-E_A"/>
    <x v="7"/>
    <s v="GNR_ROR_WTR"/>
    <x v="0"/>
    <x v="22"/>
    <n v="302.85891450546501"/>
    <n v="110543.503794495"/>
    <n v="397956.613660181"/>
  </r>
  <r>
    <x v="0"/>
    <x v="0"/>
    <x v="0"/>
    <x v="3"/>
    <x v="4"/>
    <s v="DE4-E_A"/>
    <x v="7"/>
    <s v="GNR_ROR_WTR"/>
    <x v="0"/>
    <x v="23"/>
    <n v="302.85891450546501"/>
    <n v="110543.503794495"/>
    <n v="397956.613660181"/>
  </r>
  <r>
    <x v="0"/>
    <x v="0"/>
    <x v="0"/>
    <x v="3"/>
    <x v="4"/>
    <s v="DE4-E_A"/>
    <x v="8"/>
    <s v="GNR_WT_WIND_ONS"/>
    <x v="0"/>
    <x v="0"/>
    <n v="2948.4392652654901"/>
    <n v="1076180.3318219001"/>
    <n v="3874249.1945588598"/>
  </r>
  <r>
    <x v="0"/>
    <x v="0"/>
    <x v="0"/>
    <x v="3"/>
    <x v="4"/>
    <s v="DE4-E_A"/>
    <x v="8"/>
    <s v="GNR_WT_WIND_ONS"/>
    <x v="0"/>
    <x v="1"/>
    <n v="2852.88526764892"/>
    <n v="1041303.1226918499"/>
    <n v="3748691.2416906701"/>
  </r>
  <r>
    <x v="0"/>
    <x v="0"/>
    <x v="0"/>
    <x v="3"/>
    <x v="4"/>
    <s v="DE4-E_A"/>
    <x v="8"/>
    <s v="GNR_WT_WIND_ONS"/>
    <x v="0"/>
    <x v="2"/>
    <n v="2771.4583497621002"/>
    <n v="1011582.29766317"/>
    <n v="3641696.2715874002"/>
  </r>
  <r>
    <x v="0"/>
    <x v="0"/>
    <x v="0"/>
    <x v="3"/>
    <x v="4"/>
    <s v="DE4-E_A"/>
    <x v="8"/>
    <s v="GNR_WT_WIND_ONS"/>
    <x v="0"/>
    <x v="3"/>
    <n v="2631.7572279900201"/>
    <n v="960591.38821635698"/>
    <n v="3458128.9975788901"/>
  </r>
  <r>
    <x v="0"/>
    <x v="0"/>
    <x v="0"/>
    <x v="3"/>
    <x v="4"/>
    <s v="DE4-E_A"/>
    <x v="8"/>
    <s v="GNR_WT_WIND_ONS"/>
    <x v="0"/>
    <x v="18"/>
    <n v="2397.28694636413"/>
    <n v="875009.73542290705"/>
    <n v="3150035.0475224699"/>
  </r>
  <r>
    <x v="0"/>
    <x v="0"/>
    <x v="0"/>
    <x v="3"/>
    <x v="4"/>
    <s v="DE4-E_A"/>
    <x v="8"/>
    <s v="GNR_WT_WIND_ONS"/>
    <x v="0"/>
    <x v="4"/>
    <n v="2187.5390542653199"/>
    <n v="798451.75480684196"/>
    <n v="2874426.3173046298"/>
  </r>
  <r>
    <x v="0"/>
    <x v="0"/>
    <x v="0"/>
    <x v="3"/>
    <x v="4"/>
    <s v="DE4-E_A"/>
    <x v="8"/>
    <s v="GNR_WT_WIND_ONS"/>
    <x v="0"/>
    <x v="5"/>
    <n v="1803.1647599514099"/>
    <n v="658155.13738226495"/>
    <n v="2369358.4945761599"/>
  </r>
  <r>
    <x v="0"/>
    <x v="0"/>
    <x v="0"/>
    <x v="3"/>
    <x v="4"/>
    <s v="DE4-E_A"/>
    <x v="8"/>
    <s v="GNR_WT_WIND_ONS"/>
    <x v="0"/>
    <x v="6"/>
    <n v="1743.7132994220001"/>
    <n v="636455.35428903101"/>
    <n v="2291239.2754405099"/>
  </r>
  <r>
    <x v="0"/>
    <x v="0"/>
    <x v="0"/>
    <x v="3"/>
    <x v="4"/>
    <s v="DE4-E_A"/>
    <x v="8"/>
    <s v="GNR_WT_WIND_ONS"/>
    <x v="0"/>
    <x v="7"/>
    <n v="1874.5849963629801"/>
    <n v="684223.52367248805"/>
    <n v="2463204.6852209601"/>
  </r>
  <r>
    <x v="0"/>
    <x v="0"/>
    <x v="0"/>
    <x v="3"/>
    <x v="4"/>
    <s v="DE4-E_A"/>
    <x v="8"/>
    <s v="GNR_WT_WIND_ONS"/>
    <x v="0"/>
    <x v="8"/>
    <n v="2021.9382863220101"/>
    <n v="738007.47450753499"/>
    <n v="2656826.9082271298"/>
  </r>
  <r>
    <x v="0"/>
    <x v="0"/>
    <x v="0"/>
    <x v="3"/>
    <x v="4"/>
    <s v="DE4-E_A"/>
    <x v="8"/>
    <s v="GNR_WT_WIND_ONS"/>
    <x v="0"/>
    <x v="9"/>
    <n v="2332.9302498174402"/>
    <n v="851519.54118336597"/>
    <n v="3065470.34826012"/>
  </r>
  <r>
    <x v="0"/>
    <x v="0"/>
    <x v="0"/>
    <x v="3"/>
    <x v="4"/>
    <s v="DE4-E_A"/>
    <x v="8"/>
    <s v="GNR_WT_WIND_ONS"/>
    <x v="0"/>
    <x v="10"/>
    <n v="2569.9512541723202"/>
    <n v="938032.20777289604"/>
    <n v="3376915.9479824202"/>
  </r>
  <r>
    <x v="0"/>
    <x v="0"/>
    <x v="0"/>
    <x v="3"/>
    <x v="4"/>
    <s v="DE4-E_A"/>
    <x v="8"/>
    <s v="GNR_WT_WIND_ONS"/>
    <x v="0"/>
    <x v="11"/>
    <n v="3162.50376505951"/>
    <n v="1154313.87424672"/>
    <n v="4155529.94728819"/>
  </r>
  <r>
    <x v="0"/>
    <x v="0"/>
    <x v="0"/>
    <x v="3"/>
    <x v="4"/>
    <s v="DE4-E_A"/>
    <x v="8"/>
    <s v="GNR_WT_WIND_ONS"/>
    <x v="0"/>
    <x v="12"/>
    <n v="3695.60481541728"/>
    <n v="1348895.75762731"/>
    <n v="4856024.7274583103"/>
  </r>
  <r>
    <x v="0"/>
    <x v="0"/>
    <x v="0"/>
    <x v="3"/>
    <x v="4"/>
    <s v="DE4-E_A"/>
    <x v="8"/>
    <s v="GNR_WT_WIND_ONS"/>
    <x v="0"/>
    <x v="13"/>
    <n v="4303.0692437970001"/>
    <n v="1570620.2739859"/>
    <n v="5654232.9863492604"/>
  </r>
  <r>
    <x v="0"/>
    <x v="0"/>
    <x v="0"/>
    <x v="3"/>
    <x v="4"/>
    <s v="DE4-E_A"/>
    <x v="8"/>
    <s v="GNR_WT_WIND_ONS"/>
    <x v="0"/>
    <x v="14"/>
    <n v="4902.68529454907"/>
    <n v="1789480.1325104099"/>
    <n v="6442128.4770374699"/>
  </r>
  <r>
    <x v="0"/>
    <x v="0"/>
    <x v="0"/>
    <x v="3"/>
    <x v="4"/>
    <s v="DE4-E_A"/>
    <x v="8"/>
    <s v="GNR_WT_WIND_ONS"/>
    <x v="0"/>
    <x v="15"/>
    <n v="5703.2198125688501"/>
    <n v="2081675.23158763"/>
    <n v="7494030.8337154603"/>
  </r>
  <r>
    <x v="0"/>
    <x v="0"/>
    <x v="0"/>
    <x v="3"/>
    <x v="4"/>
    <s v="DE4-E_A"/>
    <x v="8"/>
    <s v="GNR_WT_WIND_ONS"/>
    <x v="0"/>
    <x v="16"/>
    <n v="6434.4923980246604"/>
    <n v="2348589.7252790001"/>
    <n v="8454923.0110043995"/>
  </r>
  <r>
    <x v="0"/>
    <x v="0"/>
    <x v="0"/>
    <x v="3"/>
    <x v="4"/>
    <s v="DE4-E_A"/>
    <x v="8"/>
    <s v="GNR_WT_WIND_ONS"/>
    <x v="0"/>
    <x v="17"/>
    <n v="7218.1529041450003"/>
    <n v="2634625.8100129198"/>
    <n v="9484652.91604653"/>
  </r>
  <r>
    <x v="0"/>
    <x v="0"/>
    <x v="0"/>
    <x v="3"/>
    <x v="4"/>
    <s v="DE4-E_A"/>
    <x v="8"/>
    <s v="GNR_WT_WIND_ONS"/>
    <x v="0"/>
    <x v="19"/>
    <n v="8005.7375990791597"/>
    <n v="2922094.2236638898"/>
    <n v="10519539.205189999"/>
  </r>
  <r>
    <x v="0"/>
    <x v="0"/>
    <x v="0"/>
    <x v="3"/>
    <x v="4"/>
    <s v="DE4-E_A"/>
    <x v="8"/>
    <s v="GNR_WT_WIND_ONS"/>
    <x v="0"/>
    <x v="20"/>
    <n v="8678.3435617683299"/>
    <n v="3167595.4000454401"/>
    <n v="11403343.440163599"/>
  </r>
  <r>
    <x v="0"/>
    <x v="0"/>
    <x v="0"/>
    <x v="3"/>
    <x v="4"/>
    <s v="DE4-E_A"/>
    <x v="8"/>
    <s v="GNR_WT_WIND_ONS"/>
    <x v="0"/>
    <x v="21"/>
    <n v="9418.2493626145497"/>
    <n v="3437661.01735431"/>
    <n v="12375579.6624755"/>
  </r>
  <r>
    <x v="0"/>
    <x v="0"/>
    <x v="0"/>
    <x v="3"/>
    <x v="4"/>
    <s v="DE4-E_A"/>
    <x v="8"/>
    <s v="GNR_WT_WIND_ONS"/>
    <x v="0"/>
    <x v="22"/>
    <n v="10352.0100908636"/>
    <n v="3778483.6831652098"/>
    <n v="13602541.2593948"/>
  </r>
  <r>
    <x v="0"/>
    <x v="0"/>
    <x v="0"/>
    <x v="3"/>
    <x v="4"/>
    <s v="DE4-E_A"/>
    <x v="8"/>
    <s v="GNR_WT_WIND_ONS"/>
    <x v="0"/>
    <x v="23"/>
    <n v="10961.0441947688"/>
    <n v="4000781.1310906298"/>
    <n v="14402812.071926299"/>
  </r>
  <r>
    <x v="0"/>
    <x v="0"/>
    <x v="0"/>
    <x v="3"/>
    <x v="4"/>
    <s v="DE4-E_Offshore_A"/>
    <x v="8"/>
    <s v="GNR_WT_WIND_OFF"/>
    <x v="0"/>
    <x v="0"/>
    <n v="107.223932542749"/>
    <n v="39136.735378103302"/>
    <n v="140892.24736117199"/>
  </r>
  <r>
    <x v="0"/>
    <x v="0"/>
    <x v="0"/>
    <x v="3"/>
    <x v="4"/>
    <s v="DE4-E_Offshore_A"/>
    <x v="8"/>
    <s v="GNR_WT_WIND_OFF"/>
    <x v="0"/>
    <x v="1"/>
    <n v="103.748983773978"/>
    <n v="37868.379077501901"/>
    <n v="136326.16467900699"/>
  </r>
  <r>
    <x v="0"/>
    <x v="0"/>
    <x v="0"/>
    <x v="3"/>
    <x v="4"/>
    <s v="DE4-E_Offshore_A"/>
    <x v="8"/>
    <s v="GNR_WT_WIND_OFF"/>
    <x v="0"/>
    <x v="2"/>
    <n v="100.787785131186"/>
    <n v="36787.541572882699"/>
    <n v="132435.14966237801"/>
  </r>
  <r>
    <x v="0"/>
    <x v="0"/>
    <x v="0"/>
    <x v="3"/>
    <x v="4"/>
    <s v="DE4-E_Offshore_A"/>
    <x v="8"/>
    <s v="GNR_WT_WIND_OFF"/>
    <x v="0"/>
    <x v="3"/>
    <n v="95.707367218732202"/>
    <n v="34933.189034837204"/>
    <n v="125759.48052541399"/>
  </r>
  <r>
    <x v="0"/>
    <x v="0"/>
    <x v="0"/>
    <x v="3"/>
    <x v="4"/>
    <s v="DE4-E_Offshore_A"/>
    <x v="8"/>
    <s v="GNR_WT_WIND_OFF"/>
    <x v="0"/>
    <x v="18"/>
    <n v="87.180542211173403"/>
    <n v="31820.897907078299"/>
    <n v="114555.232465482"/>
  </r>
  <r>
    <x v="0"/>
    <x v="0"/>
    <x v="0"/>
    <x v="3"/>
    <x v="4"/>
    <s v="DE4-E_Offshore_A"/>
    <x v="8"/>
    <s v="GNR_WT_WIND_OFF"/>
    <x v="0"/>
    <x v="4"/>
    <n v="79.552779924077001"/>
    <n v="29036.7646722881"/>
    <n v="104532.35282023701"/>
  </r>
  <r>
    <x v="0"/>
    <x v="0"/>
    <x v="0"/>
    <x v="3"/>
    <x v="4"/>
    <s v="DE4-E_Offshore_A"/>
    <x v="8"/>
    <s v="GNR_WT_WIND_OFF"/>
    <x v="0"/>
    <x v="5"/>
    <n v="65.574495246413804"/>
    <n v="23934.690764940999"/>
    <n v="86164.886753787796"/>
  </r>
  <r>
    <x v="0"/>
    <x v="0"/>
    <x v="0"/>
    <x v="3"/>
    <x v="4"/>
    <s v="DE4-E_Offshore_A"/>
    <x v="8"/>
    <s v="GNR_WT_WIND_OFF"/>
    <x v="0"/>
    <x v="6"/>
    <n v="63.4124634662546"/>
    <n v="23145.5491651829"/>
    <n v="83323.9769946585"/>
  </r>
  <r>
    <x v="0"/>
    <x v="0"/>
    <x v="0"/>
    <x v="3"/>
    <x v="4"/>
    <s v="DE4-E_Offshore_A"/>
    <x v="8"/>
    <s v="GNR_WT_WIND_OFF"/>
    <x v="0"/>
    <x v="7"/>
    <n v="68.171787549971398"/>
    <n v="24882.7024557396"/>
    <n v="89577.728840662501"/>
  </r>
  <r>
    <x v="0"/>
    <x v="0"/>
    <x v="0"/>
    <x v="3"/>
    <x v="4"/>
    <s v="DE4-E_Offshore_A"/>
    <x v="8"/>
    <s v="GNR_WT_WIND_OFF"/>
    <x v="0"/>
    <x v="8"/>
    <n v="73.530486780663196"/>
    <n v="26838.627674942101"/>
    <n v="96619.059629791402"/>
  </r>
  <r>
    <x v="0"/>
    <x v="0"/>
    <x v="0"/>
    <x v="3"/>
    <x v="4"/>
    <s v="DE4-E_Offshore_A"/>
    <x v="8"/>
    <s v="GNR_WT_WIND_OFF"/>
    <x v="0"/>
    <x v="9"/>
    <n v="84.840124970605004"/>
    <n v="30966.645614270801"/>
    <n v="111479.92421137499"/>
  </r>
  <r>
    <x v="0"/>
    <x v="0"/>
    <x v="0"/>
    <x v="3"/>
    <x v="4"/>
    <s v="DE4-E_Offshore_A"/>
    <x v="8"/>
    <s v="GNR_WT_WIND_OFF"/>
    <x v="0"/>
    <x v="10"/>
    <n v="93.459710417576503"/>
    <n v="34112.794302415401"/>
    <n v="122806.059488696"/>
  </r>
  <r>
    <x v="0"/>
    <x v="0"/>
    <x v="0"/>
    <x v="3"/>
    <x v="4"/>
    <s v="DE4-E_Offshore_A"/>
    <x v="8"/>
    <s v="GNR_WT_WIND_OFF"/>
    <x v="0"/>
    <x v="11"/>
    <n v="115.008674035005"/>
    <n v="41978.166022776903"/>
    <n v="151121.39768199701"/>
  </r>
  <r>
    <x v="0"/>
    <x v="0"/>
    <x v="0"/>
    <x v="3"/>
    <x v="4"/>
    <s v="DE4-E_Offshore_A"/>
    <x v="8"/>
    <s v="GNR_WT_WIND_OFF"/>
    <x v="0"/>
    <x v="12"/>
    <n v="134.39560587227501"/>
    <n v="49054.396143380298"/>
    <n v="176595.82611616899"/>
  </r>
  <r>
    <x v="0"/>
    <x v="0"/>
    <x v="0"/>
    <x v="3"/>
    <x v="4"/>
    <s v="DE4-E_Offshore_A"/>
    <x v="8"/>
    <s v="GNR_WT_WIND_OFF"/>
    <x v="0"/>
    <x v="13"/>
    <n v="156.48686128934699"/>
    <n v="57117.704370611798"/>
    <n v="205623.735734202"/>
  </r>
  <r>
    <x v="0"/>
    <x v="0"/>
    <x v="0"/>
    <x v="3"/>
    <x v="4"/>
    <s v="DE4-E_Offshore_A"/>
    <x v="8"/>
    <s v="GNR_WT_WIND_OFF"/>
    <x v="0"/>
    <x v="14"/>
    <n v="178.29269996976501"/>
    <n v="65076.835488964301"/>
    <n v="234276.607760271"/>
  </r>
  <r>
    <x v="0"/>
    <x v="0"/>
    <x v="0"/>
    <x v="3"/>
    <x v="4"/>
    <s v="DE4-E_Offshore_A"/>
    <x v="8"/>
    <s v="GNR_WT_WIND_OFF"/>
    <x v="0"/>
    <x v="15"/>
    <n v="207.40520710854301"/>
    <n v="75702.900594618201"/>
    <n v="272530.44214062602"/>
  </r>
  <r>
    <x v="0"/>
    <x v="0"/>
    <x v="0"/>
    <x v="3"/>
    <x v="4"/>
    <s v="DE4-E_Offshore_A"/>
    <x v="8"/>
    <s v="GNR_WT_WIND_OFF"/>
    <x v="0"/>
    <x v="16"/>
    <n v="233.99891154634301"/>
    <n v="85409.602714415305"/>
    <n v="307474.56977189501"/>
  </r>
  <r>
    <x v="0"/>
    <x v="0"/>
    <x v="0"/>
    <x v="3"/>
    <x v="4"/>
    <s v="DE4-E_Offshore_A"/>
    <x v="8"/>
    <s v="GNR_WT_WIND_OFF"/>
    <x v="0"/>
    <x v="17"/>
    <n v="262.49777270131398"/>
    <n v="95811.687035979397"/>
    <n v="344922.073329526"/>
  </r>
  <r>
    <x v="0"/>
    <x v="0"/>
    <x v="0"/>
    <x v="3"/>
    <x v="4"/>
    <s v="DE4-E_Offshore_A"/>
    <x v="8"/>
    <s v="GNR_WT_WIND_OFF"/>
    <x v="0"/>
    <x v="19"/>
    <n v="291.13934222461103"/>
    <n v="106265.859911983"/>
    <n v="382557.09568313899"/>
  </r>
  <r>
    <x v="0"/>
    <x v="0"/>
    <x v="0"/>
    <x v="3"/>
    <x v="4"/>
    <s v="DE4-E_Offshore_A"/>
    <x v="8"/>
    <s v="GNR_WT_WIND_OFF"/>
    <x v="0"/>
    <x v="20"/>
    <n v="315.59955655591801"/>
    <n v="115193.83814291"/>
    <n v="414697.81731447601"/>
  </r>
  <r>
    <x v="0"/>
    <x v="0"/>
    <x v="0"/>
    <x v="3"/>
    <x v="4"/>
    <s v="DE4-E_Offshore_A"/>
    <x v="8"/>
    <s v="GNR_WT_WIND_OFF"/>
    <x v="0"/>
    <x v="21"/>
    <n v="342.50721940403798"/>
    <n v="125015.13508247399"/>
    <n v="450054.48629690602"/>
  </r>
  <r>
    <x v="0"/>
    <x v="0"/>
    <x v="0"/>
    <x v="3"/>
    <x v="4"/>
    <s v="DE4-E_Offshore_A"/>
    <x v="8"/>
    <s v="GNR_WT_WIND_OFF"/>
    <x v="0"/>
    <x v="22"/>
    <n v="376.46467564752902"/>
    <n v="137409.60661134799"/>
    <n v="494674.583800853"/>
  </r>
  <r>
    <x v="0"/>
    <x v="0"/>
    <x v="0"/>
    <x v="3"/>
    <x v="4"/>
    <s v="DE4-E_Offshore_A"/>
    <x v="8"/>
    <s v="GNR_WT_WIND_OFF"/>
    <x v="0"/>
    <x v="23"/>
    <n v="398.61301441193302"/>
    <n v="145493.75026035501"/>
    <n v="523777.50093727902"/>
  </r>
  <r>
    <x v="0"/>
    <x v="0"/>
    <x v="0"/>
    <x v="3"/>
    <x v="5"/>
    <s v="DE4-N_A"/>
    <x v="0"/>
    <s v="GNR_ST_COAL_BP_E-40"/>
    <x v="0"/>
    <x v="0"/>
    <n v="2310"/>
    <n v="843150"/>
    <n v="3035340"/>
  </r>
  <r>
    <x v="0"/>
    <x v="0"/>
    <x v="0"/>
    <x v="3"/>
    <x v="5"/>
    <s v="DE4-N_A"/>
    <x v="0"/>
    <s v="GNR_ST_COAL_BP_E-40"/>
    <x v="0"/>
    <x v="1"/>
    <n v="2310"/>
    <n v="843150"/>
    <n v="3035340"/>
  </r>
  <r>
    <x v="0"/>
    <x v="0"/>
    <x v="0"/>
    <x v="3"/>
    <x v="5"/>
    <s v="DE4-N_A"/>
    <x v="0"/>
    <s v="GNR_ST_COAL_BP_E-40"/>
    <x v="0"/>
    <x v="2"/>
    <n v="2310"/>
    <n v="843150"/>
    <n v="3035340"/>
  </r>
  <r>
    <x v="0"/>
    <x v="0"/>
    <x v="0"/>
    <x v="3"/>
    <x v="5"/>
    <s v="DE4-N_A"/>
    <x v="0"/>
    <s v="GNR_ST_COAL_BP_E-40"/>
    <x v="0"/>
    <x v="3"/>
    <n v="2310"/>
    <n v="843150"/>
    <n v="3035340"/>
  </r>
  <r>
    <x v="0"/>
    <x v="0"/>
    <x v="0"/>
    <x v="3"/>
    <x v="5"/>
    <s v="DE4-N_A"/>
    <x v="0"/>
    <s v="GNR_ST_COAL_BP_E-40"/>
    <x v="0"/>
    <x v="18"/>
    <n v="2310"/>
    <n v="843150"/>
    <n v="3035340"/>
  </r>
  <r>
    <x v="0"/>
    <x v="0"/>
    <x v="0"/>
    <x v="3"/>
    <x v="5"/>
    <s v="DE4-N_A"/>
    <x v="0"/>
    <s v="GNR_ST_COAL_BP_E-40"/>
    <x v="0"/>
    <x v="4"/>
    <n v="2310"/>
    <n v="843150"/>
    <n v="3035340"/>
  </r>
  <r>
    <x v="0"/>
    <x v="0"/>
    <x v="0"/>
    <x v="3"/>
    <x v="5"/>
    <s v="DE4-N_A"/>
    <x v="0"/>
    <s v="GNR_ST_COAL_BP_E-40"/>
    <x v="0"/>
    <x v="5"/>
    <n v="2310"/>
    <n v="843150"/>
    <n v="3035340"/>
  </r>
  <r>
    <x v="0"/>
    <x v="0"/>
    <x v="0"/>
    <x v="3"/>
    <x v="5"/>
    <s v="DE4-N_A"/>
    <x v="0"/>
    <s v="GNR_ST_COAL_BP_E-40"/>
    <x v="0"/>
    <x v="6"/>
    <n v="2310"/>
    <n v="843150"/>
    <n v="3035340"/>
  </r>
  <r>
    <x v="0"/>
    <x v="0"/>
    <x v="0"/>
    <x v="3"/>
    <x v="5"/>
    <s v="DE4-N_A"/>
    <x v="0"/>
    <s v="GNR_ST_COAL_BP_E-40"/>
    <x v="0"/>
    <x v="7"/>
    <n v="2310"/>
    <n v="843150"/>
    <n v="3035340"/>
  </r>
  <r>
    <x v="0"/>
    <x v="0"/>
    <x v="0"/>
    <x v="3"/>
    <x v="5"/>
    <s v="DE4-N_A"/>
    <x v="0"/>
    <s v="GNR_ST_COAL_BP_E-40"/>
    <x v="0"/>
    <x v="8"/>
    <n v="2310"/>
    <n v="843150"/>
    <n v="3035340"/>
  </r>
  <r>
    <x v="0"/>
    <x v="0"/>
    <x v="0"/>
    <x v="3"/>
    <x v="5"/>
    <s v="DE4-N_A"/>
    <x v="0"/>
    <s v="GNR_ST_COAL_BP_E-40"/>
    <x v="0"/>
    <x v="9"/>
    <n v="2310"/>
    <n v="843150"/>
    <n v="3035340"/>
  </r>
  <r>
    <x v="0"/>
    <x v="0"/>
    <x v="0"/>
    <x v="3"/>
    <x v="5"/>
    <s v="DE4-N_A"/>
    <x v="0"/>
    <s v="GNR_ST_COAL_BP_E-40"/>
    <x v="0"/>
    <x v="10"/>
    <n v="2310"/>
    <n v="843150"/>
    <n v="3035340"/>
  </r>
  <r>
    <x v="0"/>
    <x v="0"/>
    <x v="0"/>
    <x v="3"/>
    <x v="5"/>
    <s v="DE4-N_A"/>
    <x v="0"/>
    <s v="GNR_ST_COAL_BP_E-40"/>
    <x v="0"/>
    <x v="11"/>
    <n v="2310"/>
    <n v="843150"/>
    <n v="3035340"/>
  </r>
  <r>
    <x v="0"/>
    <x v="0"/>
    <x v="0"/>
    <x v="3"/>
    <x v="5"/>
    <s v="DE4-N_A"/>
    <x v="0"/>
    <s v="GNR_ST_COAL_BP_E-40"/>
    <x v="0"/>
    <x v="12"/>
    <n v="2310"/>
    <n v="843150"/>
    <n v="3035340"/>
  </r>
  <r>
    <x v="0"/>
    <x v="0"/>
    <x v="0"/>
    <x v="3"/>
    <x v="5"/>
    <s v="DE4-N_A"/>
    <x v="0"/>
    <s v="GNR_ST_COAL_BP_E-40"/>
    <x v="0"/>
    <x v="13"/>
    <n v="2310"/>
    <n v="843150"/>
    <n v="3035340"/>
  </r>
  <r>
    <x v="0"/>
    <x v="0"/>
    <x v="0"/>
    <x v="3"/>
    <x v="5"/>
    <s v="DE4-N_A"/>
    <x v="0"/>
    <s v="GNR_ST_COAL_BP_E-40"/>
    <x v="0"/>
    <x v="14"/>
    <n v="2310"/>
    <n v="843150"/>
    <n v="3035340"/>
  </r>
  <r>
    <x v="0"/>
    <x v="0"/>
    <x v="0"/>
    <x v="3"/>
    <x v="5"/>
    <s v="DE4-N_A"/>
    <x v="0"/>
    <s v="GNR_ST_COAL_BP_E-40"/>
    <x v="0"/>
    <x v="15"/>
    <n v="2310"/>
    <n v="843150"/>
    <n v="3035340"/>
  </r>
  <r>
    <x v="0"/>
    <x v="0"/>
    <x v="0"/>
    <x v="3"/>
    <x v="5"/>
    <s v="DE4-N_A"/>
    <x v="0"/>
    <s v="GNR_ST_COAL_BP_E-40"/>
    <x v="0"/>
    <x v="16"/>
    <n v="2310"/>
    <n v="843150"/>
    <n v="3035340"/>
  </r>
  <r>
    <x v="0"/>
    <x v="0"/>
    <x v="0"/>
    <x v="3"/>
    <x v="5"/>
    <s v="DE4-N_A"/>
    <x v="0"/>
    <s v="GNR_ST_COAL_BP_E-40"/>
    <x v="0"/>
    <x v="17"/>
    <n v="2310"/>
    <n v="843150"/>
    <n v="3035340"/>
  </r>
  <r>
    <x v="0"/>
    <x v="0"/>
    <x v="0"/>
    <x v="3"/>
    <x v="5"/>
    <s v="DE4-N_A"/>
    <x v="0"/>
    <s v="GNR_ST_COAL_BP_E-40"/>
    <x v="0"/>
    <x v="19"/>
    <n v="2310"/>
    <n v="843150"/>
    <n v="3035340"/>
  </r>
  <r>
    <x v="0"/>
    <x v="0"/>
    <x v="0"/>
    <x v="3"/>
    <x v="5"/>
    <s v="DE4-N_A"/>
    <x v="0"/>
    <s v="GNR_ST_COAL_BP_E-40"/>
    <x v="0"/>
    <x v="20"/>
    <n v="2310"/>
    <n v="843150"/>
    <n v="3035340"/>
  </r>
  <r>
    <x v="0"/>
    <x v="0"/>
    <x v="0"/>
    <x v="3"/>
    <x v="5"/>
    <s v="DE4-N_A"/>
    <x v="0"/>
    <s v="GNR_ST_COAL_BP_E-40"/>
    <x v="0"/>
    <x v="21"/>
    <n v="2310"/>
    <n v="843150"/>
    <n v="3035340"/>
  </r>
  <r>
    <x v="0"/>
    <x v="0"/>
    <x v="0"/>
    <x v="3"/>
    <x v="5"/>
    <s v="DE4-N_A"/>
    <x v="0"/>
    <s v="GNR_ST_COAL_BP_E-40"/>
    <x v="0"/>
    <x v="22"/>
    <n v="2310"/>
    <n v="843150"/>
    <n v="3035340"/>
  </r>
  <r>
    <x v="0"/>
    <x v="0"/>
    <x v="0"/>
    <x v="3"/>
    <x v="5"/>
    <s v="DE4-N_A"/>
    <x v="0"/>
    <s v="GNR_ST_COAL_BP_E-40"/>
    <x v="0"/>
    <x v="23"/>
    <n v="2310"/>
    <n v="843150"/>
    <n v="3035340"/>
  </r>
  <r>
    <x v="0"/>
    <x v="0"/>
    <x v="0"/>
    <x v="3"/>
    <x v="5"/>
    <s v="DE4-N_A"/>
    <x v="0"/>
    <s v="GNR_ST_COAL_CND_E-46"/>
    <x v="0"/>
    <x v="0"/>
    <n v="3478.2608695652202"/>
    <n v="1269565.2173913"/>
    <n v="4570434.7826087"/>
  </r>
  <r>
    <x v="0"/>
    <x v="0"/>
    <x v="0"/>
    <x v="3"/>
    <x v="5"/>
    <s v="DE4-N_A"/>
    <x v="0"/>
    <s v="GNR_ST_COAL_CND_E-46"/>
    <x v="0"/>
    <x v="1"/>
    <n v="3478.2608695652202"/>
    <n v="1269565.2173913"/>
    <n v="4570434.7826087"/>
  </r>
  <r>
    <x v="0"/>
    <x v="0"/>
    <x v="0"/>
    <x v="3"/>
    <x v="5"/>
    <s v="DE4-N_A"/>
    <x v="0"/>
    <s v="GNR_ST_COAL_CND_E-46"/>
    <x v="0"/>
    <x v="2"/>
    <n v="3478.2608695652202"/>
    <n v="1269565.2173913"/>
    <n v="4570434.7826087"/>
  </r>
  <r>
    <x v="0"/>
    <x v="0"/>
    <x v="0"/>
    <x v="3"/>
    <x v="5"/>
    <s v="DE4-N_A"/>
    <x v="0"/>
    <s v="GNR_ST_COAL_CND_E-46"/>
    <x v="0"/>
    <x v="3"/>
    <n v="3478.2608695652202"/>
    <n v="1269565.2173913"/>
    <n v="4570434.7826087"/>
  </r>
  <r>
    <x v="0"/>
    <x v="0"/>
    <x v="0"/>
    <x v="3"/>
    <x v="5"/>
    <s v="DE4-N_A"/>
    <x v="0"/>
    <s v="GNR_ST_COAL_CND_E-46"/>
    <x v="0"/>
    <x v="18"/>
    <n v="3478.2608695652202"/>
    <n v="1269565.2173913"/>
    <n v="4570434.7826087"/>
  </r>
  <r>
    <x v="0"/>
    <x v="0"/>
    <x v="0"/>
    <x v="3"/>
    <x v="5"/>
    <s v="DE4-N_A"/>
    <x v="0"/>
    <s v="GNR_ST_COAL_CND_E-46"/>
    <x v="0"/>
    <x v="4"/>
    <n v="3478.2608695652202"/>
    <n v="1269565.2173913"/>
    <n v="4570434.7826087"/>
  </r>
  <r>
    <x v="0"/>
    <x v="0"/>
    <x v="0"/>
    <x v="3"/>
    <x v="5"/>
    <s v="DE4-N_A"/>
    <x v="0"/>
    <s v="GNR_ST_COAL_CND_E-46"/>
    <x v="0"/>
    <x v="5"/>
    <n v="3478.2608695652202"/>
    <n v="1269565.2173913"/>
    <n v="4570434.7826087"/>
  </r>
  <r>
    <x v="0"/>
    <x v="0"/>
    <x v="0"/>
    <x v="3"/>
    <x v="5"/>
    <s v="DE4-N_A"/>
    <x v="0"/>
    <s v="GNR_ST_COAL_CND_E-46"/>
    <x v="0"/>
    <x v="6"/>
    <n v="3478.2608695652202"/>
    <n v="1269565.2173913"/>
    <n v="4570434.7826087"/>
  </r>
  <r>
    <x v="0"/>
    <x v="0"/>
    <x v="0"/>
    <x v="3"/>
    <x v="5"/>
    <s v="DE4-N_A"/>
    <x v="0"/>
    <s v="GNR_ST_COAL_CND_E-46"/>
    <x v="0"/>
    <x v="7"/>
    <n v="3478.2608695652202"/>
    <n v="1269565.2173913"/>
    <n v="4570434.7826087"/>
  </r>
  <r>
    <x v="0"/>
    <x v="0"/>
    <x v="0"/>
    <x v="3"/>
    <x v="5"/>
    <s v="DE4-N_A"/>
    <x v="0"/>
    <s v="GNR_ST_COAL_CND_E-46"/>
    <x v="0"/>
    <x v="8"/>
    <n v="3478.2608695652202"/>
    <n v="1269565.2173913"/>
    <n v="4570434.7826087"/>
  </r>
  <r>
    <x v="0"/>
    <x v="0"/>
    <x v="0"/>
    <x v="3"/>
    <x v="5"/>
    <s v="DE4-N_A"/>
    <x v="0"/>
    <s v="GNR_ST_COAL_CND_E-46"/>
    <x v="0"/>
    <x v="9"/>
    <n v="3478.2608695652202"/>
    <n v="1269565.2173913"/>
    <n v="4570434.7826087"/>
  </r>
  <r>
    <x v="0"/>
    <x v="0"/>
    <x v="0"/>
    <x v="3"/>
    <x v="5"/>
    <s v="DE4-N_A"/>
    <x v="0"/>
    <s v="GNR_ST_COAL_CND_E-46"/>
    <x v="0"/>
    <x v="10"/>
    <n v="3478.2608695652202"/>
    <n v="1269565.2173913"/>
    <n v="4570434.7826087"/>
  </r>
  <r>
    <x v="0"/>
    <x v="0"/>
    <x v="0"/>
    <x v="3"/>
    <x v="5"/>
    <s v="DE4-N_A"/>
    <x v="0"/>
    <s v="GNR_ST_COAL_CND_E-46"/>
    <x v="0"/>
    <x v="11"/>
    <n v="3478.2608695652202"/>
    <n v="1269565.2173913"/>
    <n v="4570434.7826087"/>
  </r>
  <r>
    <x v="0"/>
    <x v="0"/>
    <x v="0"/>
    <x v="3"/>
    <x v="5"/>
    <s v="DE4-N_A"/>
    <x v="0"/>
    <s v="GNR_ST_COAL_CND_E-46"/>
    <x v="0"/>
    <x v="12"/>
    <n v="3478.2608695652202"/>
    <n v="1269565.2173913"/>
    <n v="4570434.7826087"/>
  </r>
  <r>
    <x v="0"/>
    <x v="0"/>
    <x v="0"/>
    <x v="3"/>
    <x v="5"/>
    <s v="DE4-N_A"/>
    <x v="0"/>
    <s v="GNR_ST_COAL_CND_E-46"/>
    <x v="0"/>
    <x v="13"/>
    <n v="3478.2608695652202"/>
    <n v="1269565.2173913"/>
    <n v="4570434.7826087"/>
  </r>
  <r>
    <x v="0"/>
    <x v="0"/>
    <x v="0"/>
    <x v="3"/>
    <x v="5"/>
    <s v="DE4-N_A"/>
    <x v="0"/>
    <s v="GNR_ST_COAL_CND_E-46"/>
    <x v="0"/>
    <x v="14"/>
    <n v="3478.2608695652202"/>
    <n v="1269565.2173913"/>
    <n v="4570434.7826087"/>
  </r>
  <r>
    <x v="0"/>
    <x v="0"/>
    <x v="0"/>
    <x v="3"/>
    <x v="5"/>
    <s v="DE4-N_A"/>
    <x v="0"/>
    <s v="GNR_ST_COAL_CND_E-46"/>
    <x v="0"/>
    <x v="15"/>
    <n v="3478.2608695652202"/>
    <n v="1269565.2173913"/>
    <n v="4570434.7826087"/>
  </r>
  <r>
    <x v="0"/>
    <x v="0"/>
    <x v="0"/>
    <x v="3"/>
    <x v="5"/>
    <s v="DE4-N_A"/>
    <x v="0"/>
    <s v="GNR_ST_COAL_CND_E-46"/>
    <x v="0"/>
    <x v="16"/>
    <n v="3478.2608695652202"/>
    <n v="1269565.2173913"/>
    <n v="4570434.7826087"/>
  </r>
  <r>
    <x v="0"/>
    <x v="0"/>
    <x v="0"/>
    <x v="3"/>
    <x v="5"/>
    <s v="DE4-N_A"/>
    <x v="0"/>
    <s v="GNR_ST_COAL_CND_E-46"/>
    <x v="0"/>
    <x v="17"/>
    <n v="3478.2608695652202"/>
    <n v="1269565.2173913"/>
    <n v="4570434.7826087"/>
  </r>
  <r>
    <x v="0"/>
    <x v="0"/>
    <x v="0"/>
    <x v="3"/>
    <x v="5"/>
    <s v="DE4-N_A"/>
    <x v="0"/>
    <s v="GNR_ST_COAL_CND_E-46"/>
    <x v="0"/>
    <x v="19"/>
    <n v="3478.2608695652202"/>
    <n v="1269565.2173913"/>
    <n v="4570434.7826087"/>
  </r>
  <r>
    <x v="0"/>
    <x v="0"/>
    <x v="0"/>
    <x v="3"/>
    <x v="5"/>
    <s v="DE4-N_A"/>
    <x v="0"/>
    <s v="GNR_ST_COAL_CND_E-46"/>
    <x v="0"/>
    <x v="20"/>
    <n v="3478.2608695652202"/>
    <n v="1269565.2173913"/>
    <n v="4570434.7826087"/>
  </r>
  <r>
    <x v="0"/>
    <x v="0"/>
    <x v="0"/>
    <x v="3"/>
    <x v="5"/>
    <s v="DE4-N_A"/>
    <x v="0"/>
    <s v="GNR_ST_COAL_CND_E-46"/>
    <x v="0"/>
    <x v="21"/>
    <n v="3478.2608695652202"/>
    <n v="1269565.2173913"/>
    <n v="4570434.7826087"/>
  </r>
  <r>
    <x v="0"/>
    <x v="0"/>
    <x v="0"/>
    <x v="3"/>
    <x v="5"/>
    <s v="DE4-N_A"/>
    <x v="0"/>
    <s v="GNR_ST_COAL_CND_E-46"/>
    <x v="0"/>
    <x v="22"/>
    <n v="3478.2608695652202"/>
    <n v="1269565.2173913"/>
    <n v="4570434.7826087"/>
  </r>
  <r>
    <x v="0"/>
    <x v="0"/>
    <x v="0"/>
    <x v="3"/>
    <x v="5"/>
    <s v="DE4-N_A"/>
    <x v="0"/>
    <s v="GNR_ST_COAL_CND_E-46"/>
    <x v="0"/>
    <x v="23"/>
    <n v="3478.2608695652202"/>
    <n v="1269565.2173913"/>
    <n v="4570434.7826087"/>
  </r>
  <r>
    <x v="0"/>
    <x v="0"/>
    <x v="0"/>
    <x v="3"/>
    <x v="5"/>
    <s v="DE4-N_A"/>
    <x v="16"/>
    <s v="AGG-DE4-N_RES_WTR_PMP"/>
    <x v="0"/>
    <x v="6"/>
    <n v="119.1"/>
    <n v="43471.5"/>
    <n v="156497.4"/>
  </r>
  <r>
    <x v="0"/>
    <x v="0"/>
    <x v="0"/>
    <x v="3"/>
    <x v="5"/>
    <s v="DE4-N_A"/>
    <x v="16"/>
    <s v="AGG-DE4-N_RES_WTR_PMP"/>
    <x v="0"/>
    <x v="7"/>
    <n v="16.641369863013701"/>
    <n v="6074.1"/>
    <n v="21866.76"/>
  </r>
  <r>
    <x v="0"/>
    <x v="0"/>
    <x v="0"/>
    <x v="3"/>
    <x v="5"/>
    <s v="DE4-N_A"/>
    <x v="16"/>
    <s v="AGG-DE4-N_RES_WTR_PMP"/>
    <x v="0"/>
    <x v="14"/>
    <n v="119.1"/>
    <n v="43471.5"/>
    <n v="156497.4"/>
  </r>
  <r>
    <x v="0"/>
    <x v="0"/>
    <x v="0"/>
    <x v="3"/>
    <x v="5"/>
    <s v="DE4-N_A"/>
    <x v="16"/>
    <s v="AGG-DE4-N_RES_WTR_PMP"/>
    <x v="0"/>
    <x v="15"/>
    <n v="16.641369863013701"/>
    <n v="6074.1"/>
    <n v="21866.76"/>
  </r>
  <r>
    <x v="0"/>
    <x v="0"/>
    <x v="0"/>
    <x v="3"/>
    <x v="5"/>
    <s v="DE4-N_A"/>
    <x v="16"/>
    <s v="AGG-DE4-N_RES_WTR_PMP"/>
    <x v="0"/>
    <x v="20"/>
    <n v="119.1"/>
    <n v="43471.5"/>
    <n v="156497.4"/>
  </r>
  <r>
    <x v="0"/>
    <x v="0"/>
    <x v="0"/>
    <x v="3"/>
    <x v="5"/>
    <s v="DE4-N_A"/>
    <x v="2"/>
    <s v="GNR_BO_MSW_E-80"/>
    <x v="0"/>
    <x v="0"/>
    <n v="0.38750000000000001"/>
    <n v="141.4375"/>
    <n v="509.17500000000001"/>
  </r>
  <r>
    <x v="0"/>
    <x v="0"/>
    <x v="0"/>
    <x v="3"/>
    <x v="5"/>
    <s v="DE4-N_A"/>
    <x v="2"/>
    <s v="GNR_BO_MSW_E-80"/>
    <x v="0"/>
    <x v="1"/>
    <n v="0.38750000000000001"/>
    <n v="141.4375"/>
    <n v="509.17500000000001"/>
  </r>
  <r>
    <x v="0"/>
    <x v="0"/>
    <x v="0"/>
    <x v="3"/>
    <x v="5"/>
    <s v="DE4-N_A"/>
    <x v="2"/>
    <s v="GNR_BO_MSW_E-80"/>
    <x v="0"/>
    <x v="2"/>
    <n v="0.38750000000000001"/>
    <n v="141.4375"/>
    <n v="509.17500000000001"/>
  </r>
  <r>
    <x v="0"/>
    <x v="0"/>
    <x v="0"/>
    <x v="3"/>
    <x v="5"/>
    <s v="DE4-N_A"/>
    <x v="2"/>
    <s v="GNR_BO_MSW_E-80"/>
    <x v="0"/>
    <x v="3"/>
    <n v="0.38750000000000001"/>
    <n v="141.4375"/>
    <n v="509.17500000000001"/>
  </r>
  <r>
    <x v="0"/>
    <x v="0"/>
    <x v="0"/>
    <x v="3"/>
    <x v="5"/>
    <s v="DE4-N_A"/>
    <x v="2"/>
    <s v="GNR_BO_MSW_E-80"/>
    <x v="0"/>
    <x v="18"/>
    <n v="0.38750000000000001"/>
    <n v="141.4375"/>
    <n v="509.17500000000001"/>
  </r>
  <r>
    <x v="0"/>
    <x v="0"/>
    <x v="0"/>
    <x v="3"/>
    <x v="5"/>
    <s v="DE4-N_A"/>
    <x v="2"/>
    <s v="GNR_BO_MSW_E-80"/>
    <x v="0"/>
    <x v="4"/>
    <n v="0.38750000000000001"/>
    <n v="141.4375"/>
    <n v="509.17500000000001"/>
  </r>
  <r>
    <x v="0"/>
    <x v="0"/>
    <x v="0"/>
    <x v="3"/>
    <x v="5"/>
    <s v="DE4-N_A"/>
    <x v="2"/>
    <s v="GNR_BO_MSW_E-80"/>
    <x v="0"/>
    <x v="5"/>
    <n v="0.38750000000000001"/>
    <n v="141.4375"/>
    <n v="509.17500000000001"/>
  </r>
  <r>
    <x v="0"/>
    <x v="0"/>
    <x v="0"/>
    <x v="3"/>
    <x v="5"/>
    <s v="DE4-N_A"/>
    <x v="2"/>
    <s v="GNR_BO_MSW_E-80"/>
    <x v="0"/>
    <x v="6"/>
    <n v="0.38750000000000001"/>
    <n v="141.4375"/>
    <n v="509.17500000000001"/>
  </r>
  <r>
    <x v="0"/>
    <x v="0"/>
    <x v="0"/>
    <x v="3"/>
    <x v="5"/>
    <s v="DE4-N_A"/>
    <x v="2"/>
    <s v="GNR_BO_MSW_E-80"/>
    <x v="0"/>
    <x v="7"/>
    <n v="0.38750000000000001"/>
    <n v="141.4375"/>
    <n v="509.17500000000001"/>
  </r>
  <r>
    <x v="0"/>
    <x v="0"/>
    <x v="0"/>
    <x v="3"/>
    <x v="5"/>
    <s v="DE4-N_A"/>
    <x v="2"/>
    <s v="GNR_BO_MSW_E-80"/>
    <x v="0"/>
    <x v="8"/>
    <n v="0.38750000000000001"/>
    <n v="141.4375"/>
    <n v="509.17500000000001"/>
  </r>
  <r>
    <x v="0"/>
    <x v="0"/>
    <x v="0"/>
    <x v="3"/>
    <x v="5"/>
    <s v="DE4-N_A"/>
    <x v="2"/>
    <s v="GNR_BO_MSW_E-80"/>
    <x v="0"/>
    <x v="9"/>
    <n v="0.38750000000000001"/>
    <n v="141.4375"/>
    <n v="509.17500000000001"/>
  </r>
  <r>
    <x v="0"/>
    <x v="0"/>
    <x v="0"/>
    <x v="3"/>
    <x v="5"/>
    <s v="DE4-N_A"/>
    <x v="2"/>
    <s v="GNR_BO_MSW_E-80"/>
    <x v="0"/>
    <x v="10"/>
    <n v="0.38750000000000001"/>
    <n v="141.4375"/>
    <n v="509.17500000000001"/>
  </r>
  <r>
    <x v="0"/>
    <x v="0"/>
    <x v="0"/>
    <x v="3"/>
    <x v="5"/>
    <s v="DE4-N_A"/>
    <x v="2"/>
    <s v="GNR_BO_MSW_E-80"/>
    <x v="0"/>
    <x v="11"/>
    <n v="0.38750000000000001"/>
    <n v="141.4375"/>
    <n v="509.17500000000001"/>
  </r>
  <r>
    <x v="0"/>
    <x v="0"/>
    <x v="0"/>
    <x v="3"/>
    <x v="5"/>
    <s v="DE4-N_A"/>
    <x v="2"/>
    <s v="GNR_BO_MSW_E-80"/>
    <x v="0"/>
    <x v="12"/>
    <n v="0.38750000000000001"/>
    <n v="141.4375"/>
    <n v="509.17500000000001"/>
  </r>
  <r>
    <x v="0"/>
    <x v="0"/>
    <x v="0"/>
    <x v="3"/>
    <x v="5"/>
    <s v="DE4-N_A"/>
    <x v="2"/>
    <s v="GNR_BO_MSW_E-80"/>
    <x v="0"/>
    <x v="13"/>
    <n v="0.38750000000000001"/>
    <n v="141.4375"/>
    <n v="509.17500000000001"/>
  </r>
  <r>
    <x v="0"/>
    <x v="0"/>
    <x v="0"/>
    <x v="3"/>
    <x v="5"/>
    <s v="DE4-N_A"/>
    <x v="2"/>
    <s v="GNR_BO_MSW_E-80"/>
    <x v="0"/>
    <x v="14"/>
    <n v="0.38750000000000001"/>
    <n v="141.4375"/>
    <n v="509.17500000000001"/>
  </r>
  <r>
    <x v="0"/>
    <x v="0"/>
    <x v="0"/>
    <x v="3"/>
    <x v="5"/>
    <s v="DE4-N_A"/>
    <x v="2"/>
    <s v="GNR_BO_MSW_E-80"/>
    <x v="0"/>
    <x v="15"/>
    <n v="0.38750000000000001"/>
    <n v="141.4375"/>
    <n v="509.17500000000001"/>
  </r>
  <r>
    <x v="0"/>
    <x v="0"/>
    <x v="0"/>
    <x v="3"/>
    <x v="5"/>
    <s v="DE4-N_A"/>
    <x v="2"/>
    <s v="GNR_BO_MSW_E-80"/>
    <x v="0"/>
    <x v="16"/>
    <n v="0.38750000000000001"/>
    <n v="141.4375"/>
    <n v="509.17500000000001"/>
  </r>
  <r>
    <x v="0"/>
    <x v="0"/>
    <x v="0"/>
    <x v="3"/>
    <x v="5"/>
    <s v="DE4-N_A"/>
    <x v="2"/>
    <s v="GNR_BO_MSW_E-80"/>
    <x v="0"/>
    <x v="17"/>
    <n v="0.38750000000000001"/>
    <n v="141.4375"/>
    <n v="509.17500000000001"/>
  </r>
  <r>
    <x v="0"/>
    <x v="0"/>
    <x v="0"/>
    <x v="3"/>
    <x v="5"/>
    <s v="DE4-N_A"/>
    <x v="2"/>
    <s v="GNR_BO_MSW_E-80"/>
    <x v="0"/>
    <x v="19"/>
    <n v="0.38750000000000001"/>
    <n v="141.4375"/>
    <n v="509.17500000000001"/>
  </r>
  <r>
    <x v="0"/>
    <x v="0"/>
    <x v="0"/>
    <x v="3"/>
    <x v="5"/>
    <s v="DE4-N_A"/>
    <x v="2"/>
    <s v="GNR_BO_MSW_E-80"/>
    <x v="0"/>
    <x v="20"/>
    <n v="0.38750000000000001"/>
    <n v="141.4375"/>
    <n v="509.17500000000001"/>
  </r>
  <r>
    <x v="0"/>
    <x v="0"/>
    <x v="0"/>
    <x v="3"/>
    <x v="5"/>
    <s v="DE4-N_A"/>
    <x v="2"/>
    <s v="GNR_BO_MSW_E-80"/>
    <x v="0"/>
    <x v="21"/>
    <n v="0.38750000000000001"/>
    <n v="141.4375"/>
    <n v="509.17500000000001"/>
  </r>
  <r>
    <x v="0"/>
    <x v="0"/>
    <x v="0"/>
    <x v="3"/>
    <x v="5"/>
    <s v="DE4-N_A"/>
    <x v="2"/>
    <s v="GNR_BO_MSW_E-80"/>
    <x v="0"/>
    <x v="22"/>
    <n v="0.38750000000000001"/>
    <n v="141.4375"/>
    <n v="509.17500000000001"/>
  </r>
  <r>
    <x v="0"/>
    <x v="0"/>
    <x v="0"/>
    <x v="3"/>
    <x v="5"/>
    <s v="DE4-N_A"/>
    <x v="2"/>
    <s v="GNR_BO_MSW_E-80"/>
    <x v="0"/>
    <x v="23"/>
    <n v="0.38750000000000001"/>
    <n v="141.4375"/>
    <n v="509.17500000000001"/>
  </r>
  <r>
    <x v="0"/>
    <x v="0"/>
    <x v="0"/>
    <x v="3"/>
    <x v="5"/>
    <s v="DE4-N_A"/>
    <x v="2"/>
    <s v="GNR_ST_MSW_BP_E-33"/>
    <x v="0"/>
    <x v="5"/>
    <n v="124.242424242425"/>
    <n v="45348.484848485001"/>
    <n v="163254.54545454599"/>
  </r>
  <r>
    <x v="0"/>
    <x v="0"/>
    <x v="0"/>
    <x v="3"/>
    <x v="5"/>
    <s v="DE4-N_A"/>
    <x v="2"/>
    <s v="GNR_ST_MSW_BP_E-33"/>
    <x v="0"/>
    <x v="6"/>
    <n v="124.242424242425"/>
    <n v="45348.484848485001"/>
    <n v="163254.54545454599"/>
  </r>
  <r>
    <x v="0"/>
    <x v="0"/>
    <x v="0"/>
    <x v="3"/>
    <x v="5"/>
    <s v="DE4-N_A"/>
    <x v="2"/>
    <s v="GNR_ST_MSW_BP_E-33"/>
    <x v="0"/>
    <x v="7"/>
    <n v="124.242424242425"/>
    <n v="45348.484848485001"/>
    <n v="163254.54545454599"/>
  </r>
  <r>
    <x v="0"/>
    <x v="0"/>
    <x v="0"/>
    <x v="3"/>
    <x v="5"/>
    <s v="DE4-N_A"/>
    <x v="2"/>
    <s v="GNR_ST_MSW_BP_E-33"/>
    <x v="0"/>
    <x v="8"/>
    <n v="124.242424242425"/>
    <n v="45348.484848485001"/>
    <n v="163254.54545454599"/>
  </r>
  <r>
    <x v="0"/>
    <x v="0"/>
    <x v="0"/>
    <x v="3"/>
    <x v="5"/>
    <s v="DE4-N_A"/>
    <x v="2"/>
    <s v="GNR_ST_MSW_BP_E-33"/>
    <x v="0"/>
    <x v="9"/>
    <n v="124.242424242425"/>
    <n v="45348.484848485001"/>
    <n v="163254.54545454599"/>
  </r>
  <r>
    <x v="0"/>
    <x v="0"/>
    <x v="0"/>
    <x v="3"/>
    <x v="5"/>
    <s v="DE4-N_A"/>
    <x v="2"/>
    <s v="GNR_ST_MSW_BP_E-33"/>
    <x v="0"/>
    <x v="10"/>
    <n v="124.242424242425"/>
    <n v="45348.484848485001"/>
    <n v="163254.54545454599"/>
  </r>
  <r>
    <x v="0"/>
    <x v="0"/>
    <x v="0"/>
    <x v="3"/>
    <x v="5"/>
    <s v="DE4-N_A"/>
    <x v="2"/>
    <s v="GNR_ST_MSW_BP_E-33"/>
    <x v="0"/>
    <x v="11"/>
    <n v="124.242424242425"/>
    <n v="45348.484848485001"/>
    <n v="163254.54545454599"/>
  </r>
  <r>
    <x v="0"/>
    <x v="0"/>
    <x v="0"/>
    <x v="3"/>
    <x v="5"/>
    <s v="DE4-N_A"/>
    <x v="2"/>
    <s v="GNR_ST_MSW_BP_E-33"/>
    <x v="0"/>
    <x v="12"/>
    <n v="124.242424242425"/>
    <n v="45348.484848485001"/>
    <n v="163254.54545454599"/>
  </r>
  <r>
    <x v="0"/>
    <x v="0"/>
    <x v="0"/>
    <x v="3"/>
    <x v="5"/>
    <s v="DE4-N_A"/>
    <x v="2"/>
    <s v="GNR_ST_MSW_BP_E-33"/>
    <x v="0"/>
    <x v="13"/>
    <n v="124.242424242425"/>
    <n v="45348.484848485001"/>
    <n v="163254.54545454599"/>
  </r>
  <r>
    <x v="0"/>
    <x v="0"/>
    <x v="0"/>
    <x v="3"/>
    <x v="5"/>
    <s v="DE4-N_A"/>
    <x v="2"/>
    <s v="GNR_ST_MSW_BP_E-33"/>
    <x v="0"/>
    <x v="14"/>
    <n v="124.242424242425"/>
    <n v="45348.484848485001"/>
    <n v="163254.54545454599"/>
  </r>
  <r>
    <x v="0"/>
    <x v="0"/>
    <x v="0"/>
    <x v="3"/>
    <x v="5"/>
    <s v="DE4-N_A"/>
    <x v="2"/>
    <s v="GNR_ST_MSW_BP_E-33"/>
    <x v="0"/>
    <x v="15"/>
    <n v="124.242424242425"/>
    <n v="45348.484848485001"/>
    <n v="163254.54545454599"/>
  </r>
  <r>
    <x v="0"/>
    <x v="0"/>
    <x v="0"/>
    <x v="3"/>
    <x v="5"/>
    <s v="DE4-N_A"/>
    <x v="2"/>
    <s v="GNR_ST_MSW_BP_E-33"/>
    <x v="0"/>
    <x v="16"/>
    <n v="124.242424242425"/>
    <n v="45348.484848485001"/>
    <n v="163254.54545454599"/>
  </r>
  <r>
    <x v="0"/>
    <x v="0"/>
    <x v="0"/>
    <x v="3"/>
    <x v="5"/>
    <s v="DE4-N_A"/>
    <x v="2"/>
    <s v="GNR_ST_MSW_BP_E-33"/>
    <x v="0"/>
    <x v="17"/>
    <n v="124.242424242425"/>
    <n v="45348.484848485001"/>
    <n v="163254.54545454599"/>
  </r>
  <r>
    <x v="0"/>
    <x v="0"/>
    <x v="0"/>
    <x v="3"/>
    <x v="5"/>
    <s v="DE4-N_A"/>
    <x v="2"/>
    <s v="GNR_ST_MSW_BP_E-33"/>
    <x v="0"/>
    <x v="19"/>
    <n v="124.242424242425"/>
    <n v="45348.484848485001"/>
    <n v="163254.54545454599"/>
  </r>
  <r>
    <x v="0"/>
    <x v="0"/>
    <x v="0"/>
    <x v="3"/>
    <x v="5"/>
    <s v="DE4-N_A"/>
    <x v="2"/>
    <s v="GNR_ST_MSW_BP_E-33"/>
    <x v="0"/>
    <x v="20"/>
    <n v="124.242424242425"/>
    <n v="45348.484848485001"/>
    <n v="163254.54545454599"/>
  </r>
  <r>
    <x v="0"/>
    <x v="0"/>
    <x v="0"/>
    <x v="3"/>
    <x v="5"/>
    <s v="DE4-N_A"/>
    <x v="2"/>
    <s v="GNR_ST_MSW_BP_E-33"/>
    <x v="0"/>
    <x v="21"/>
    <n v="59.130556473828001"/>
    <n v="21582.653112947199"/>
    <n v="77697.551206610005"/>
  </r>
  <r>
    <x v="0"/>
    <x v="0"/>
    <x v="0"/>
    <x v="3"/>
    <x v="5"/>
    <s v="DE4-N_A"/>
    <x v="3"/>
    <s v="GNR_CC_NGAS_BP_E-57"/>
    <x v="0"/>
    <x v="6"/>
    <n v="222.80701754386001"/>
    <n v="81324.561403508793"/>
    <n v="292768.42105263198"/>
  </r>
  <r>
    <x v="0"/>
    <x v="0"/>
    <x v="0"/>
    <x v="3"/>
    <x v="5"/>
    <s v="DE4-N_A"/>
    <x v="3"/>
    <s v="GNR_CC_NGAS_BP_E-57"/>
    <x v="0"/>
    <x v="7"/>
    <n v="222.80701754386001"/>
    <n v="81324.561403508793"/>
    <n v="292768.42105263198"/>
  </r>
  <r>
    <x v="0"/>
    <x v="0"/>
    <x v="0"/>
    <x v="3"/>
    <x v="5"/>
    <s v="DE4-N_A"/>
    <x v="3"/>
    <s v="GNR_CC_NGAS_BP_E-57"/>
    <x v="0"/>
    <x v="8"/>
    <n v="222.80701754386001"/>
    <n v="81324.561403508793"/>
    <n v="292768.42105263198"/>
  </r>
  <r>
    <x v="0"/>
    <x v="0"/>
    <x v="0"/>
    <x v="3"/>
    <x v="5"/>
    <s v="DE4-N_A"/>
    <x v="3"/>
    <s v="GNR_CC_NGAS_BP_E-57"/>
    <x v="0"/>
    <x v="9"/>
    <n v="222.80701754386001"/>
    <n v="81324.561403508793"/>
    <n v="292768.42105263198"/>
  </r>
  <r>
    <x v="0"/>
    <x v="0"/>
    <x v="0"/>
    <x v="3"/>
    <x v="5"/>
    <s v="DE4-N_A"/>
    <x v="3"/>
    <s v="GNR_CC_NGAS_BP_E-57"/>
    <x v="0"/>
    <x v="13"/>
    <n v="43.811948430450798"/>
    <n v="15991.361177114501"/>
    <n v="57568.900237612303"/>
  </r>
  <r>
    <x v="0"/>
    <x v="0"/>
    <x v="0"/>
    <x v="3"/>
    <x v="5"/>
    <s v="DE4-N_A"/>
    <x v="3"/>
    <s v="GNR_CC_NGAS_BP_E-57"/>
    <x v="0"/>
    <x v="14"/>
    <n v="222.80701754386001"/>
    <n v="81324.561403508793"/>
    <n v="292768.42105263198"/>
  </r>
  <r>
    <x v="0"/>
    <x v="0"/>
    <x v="0"/>
    <x v="3"/>
    <x v="5"/>
    <s v="DE4-N_A"/>
    <x v="3"/>
    <s v="GNR_CC_NGAS_BP_E-57"/>
    <x v="0"/>
    <x v="15"/>
    <n v="222.80701754386001"/>
    <n v="81324.561403508793"/>
    <n v="292768.42105263198"/>
  </r>
  <r>
    <x v="0"/>
    <x v="0"/>
    <x v="0"/>
    <x v="3"/>
    <x v="5"/>
    <s v="DE4-N_A"/>
    <x v="3"/>
    <s v="GNR_CC_NGAS_BP_E-57"/>
    <x v="0"/>
    <x v="16"/>
    <n v="222.80701754386001"/>
    <n v="81324.561403508793"/>
    <n v="292768.42105263198"/>
  </r>
  <r>
    <x v="0"/>
    <x v="0"/>
    <x v="0"/>
    <x v="3"/>
    <x v="5"/>
    <s v="DE4-N_A"/>
    <x v="3"/>
    <s v="GNR_CC_NGAS_BP_E-57"/>
    <x v="0"/>
    <x v="17"/>
    <n v="222.80701754386001"/>
    <n v="81324.561403508793"/>
    <n v="292768.42105263198"/>
  </r>
  <r>
    <x v="0"/>
    <x v="0"/>
    <x v="0"/>
    <x v="3"/>
    <x v="5"/>
    <s v="DE4-N_A"/>
    <x v="3"/>
    <s v="GNR_ST_NGAS_BP_E-39"/>
    <x v="0"/>
    <x v="5"/>
    <n v="243.307922319808"/>
    <n v="88807.391646730001"/>
    <n v="319706.60992822802"/>
  </r>
  <r>
    <x v="0"/>
    <x v="0"/>
    <x v="0"/>
    <x v="3"/>
    <x v="5"/>
    <s v="DE4-N_A"/>
    <x v="3"/>
    <s v="GNR_ST_NGAS_BP_E-39"/>
    <x v="0"/>
    <x v="6"/>
    <n v="329.48717948718001"/>
    <n v="120262.820512821"/>
    <n v="432946.15384615399"/>
  </r>
  <r>
    <x v="0"/>
    <x v="0"/>
    <x v="0"/>
    <x v="3"/>
    <x v="5"/>
    <s v="DE4-N_A"/>
    <x v="3"/>
    <s v="GNR_ST_NGAS_BP_E-39"/>
    <x v="0"/>
    <x v="7"/>
    <n v="329.48717948718001"/>
    <n v="120262.820512821"/>
    <n v="432946.15384615399"/>
  </r>
  <r>
    <x v="0"/>
    <x v="0"/>
    <x v="0"/>
    <x v="3"/>
    <x v="5"/>
    <s v="DE4-N_A"/>
    <x v="3"/>
    <s v="GNR_ST_NGAS_BP_E-39"/>
    <x v="0"/>
    <x v="8"/>
    <n v="329.48717948718001"/>
    <n v="120262.820512821"/>
    <n v="432946.15384615399"/>
  </r>
  <r>
    <x v="0"/>
    <x v="0"/>
    <x v="0"/>
    <x v="3"/>
    <x v="5"/>
    <s v="DE4-N_A"/>
    <x v="3"/>
    <s v="GNR_ST_NGAS_BP_E-39"/>
    <x v="0"/>
    <x v="9"/>
    <n v="329.48717948718001"/>
    <n v="120262.820512821"/>
    <n v="432946.15384615399"/>
  </r>
  <r>
    <x v="0"/>
    <x v="0"/>
    <x v="0"/>
    <x v="3"/>
    <x v="5"/>
    <s v="DE4-N_A"/>
    <x v="3"/>
    <s v="GNR_ST_NGAS_BP_E-39"/>
    <x v="0"/>
    <x v="10"/>
    <n v="329.48717948718001"/>
    <n v="120262.820512821"/>
    <n v="432946.15384615399"/>
  </r>
  <r>
    <x v="0"/>
    <x v="0"/>
    <x v="0"/>
    <x v="3"/>
    <x v="5"/>
    <s v="DE4-N_A"/>
    <x v="3"/>
    <s v="GNR_ST_NGAS_BP_E-39"/>
    <x v="0"/>
    <x v="11"/>
    <n v="329.48717948718001"/>
    <n v="120262.820512821"/>
    <n v="432946.15384615399"/>
  </r>
  <r>
    <x v="0"/>
    <x v="0"/>
    <x v="0"/>
    <x v="3"/>
    <x v="5"/>
    <s v="DE4-N_A"/>
    <x v="3"/>
    <s v="GNR_ST_NGAS_BP_E-39"/>
    <x v="0"/>
    <x v="12"/>
    <n v="329.48717948718001"/>
    <n v="120262.820512821"/>
    <n v="432946.15384615399"/>
  </r>
  <r>
    <x v="0"/>
    <x v="0"/>
    <x v="0"/>
    <x v="3"/>
    <x v="5"/>
    <s v="DE4-N_A"/>
    <x v="3"/>
    <s v="GNR_ST_NGAS_BP_E-39"/>
    <x v="0"/>
    <x v="13"/>
    <n v="329.48717948718001"/>
    <n v="120262.820512821"/>
    <n v="432946.15384615399"/>
  </r>
  <r>
    <x v="0"/>
    <x v="0"/>
    <x v="0"/>
    <x v="3"/>
    <x v="5"/>
    <s v="DE4-N_A"/>
    <x v="3"/>
    <s v="GNR_ST_NGAS_BP_E-39"/>
    <x v="0"/>
    <x v="14"/>
    <n v="329.48717948718001"/>
    <n v="120262.820512821"/>
    <n v="432946.15384615399"/>
  </r>
  <r>
    <x v="0"/>
    <x v="0"/>
    <x v="0"/>
    <x v="3"/>
    <x v="5"/>
    <s v="DE4-N_A"/>
    <x v="3"/>
    <s v="GNR_ST_NGAS_BP_E-39"/>
    <x v="0"/>
    <x v="15"/>
    <n v="329.48717948718001"/>
    <n v="120262.820512821"/>
    <n v="432946.15384615399"/>
  </r>
  <r>
    <x v="0"/>
    <x v="0"/>
    <x v="0"/>
    <x v="3"/>
    <x v="5"/>
    <s v="DE4-N_A"/>
    <x v="3"/>
    <s v="GNR_ST_NGAS_BP_E-39"/>
    <x v="0"/>
    <x v="16"/>
    <n v="329.48717948718001"/>
    <n v="120262.820512821"/>
    <n v="432946.15384615399"/>
  </r>
  <r>
    <x v="0"/>
    <x v="0"/>
    <x v="0"/>
    <x v="3"/>
    <x v="5"/>
    <s v="DE4-N_A"/>
    <x v="3"/>
    <s v="GNR_ST_NGAS_BP_E-39"/>
    <x v="0"/>
    <x v="17"/>
    <n v="329.48717948718001"/>
    <n v="120262.820512821"/>
    <n v="432946.15384615399"/>
  </r>
  <r>
    <x v="0"/>
    <x v="0"/>
    <x v="0"/>
    <x v="3"/>
    <x v="5"/>
    <s v="DE4-N_A"/>
    <x v="3"/>
    <s v="GNR_ST_NGAS_BP_E-39"/>
    <x v="0"/>
    <x v="19"/>
    <n v="329.48717948718001"/>
    <n v="120262.820512821"/>
    <n v="432946.15384615399"/>
  </r>
  <r>
    <x v="0"/>
    <x v="0"/>
    <x v="0"/>
    <x v="3"/>
    <x v="5"/>
    <s v="DE4-N_A"/>
    <x v="3"/>
    <s v="GNR_ST_NGAS_BP_E-39"/>
    <x v="0"/>
    <x v="20"/>
    <n v="329.48717948718001"/>
    <n v="120262.820512821"/>
    <n v="432946.15384615399"/>
  </r>
  <r>
    <x v="0"/>
    <x v="0"/>
    <x v="0"/>
    <x v="3"/>
    <x v="5"/>
    <s v="DE4-N_A"/>
    <x v="15"/>
    <s v="GNR_ST_NUCL_CND_E-33"/>
    <x v="0"/>
    <x v="0"/>
    <n v="4272.7272727272702"/>
    <n v="1559545.4545454499"/>
    <n v="5614363.6363636404"/>
  </r>
  <r>
    <x v="0"/>
    <x v="0"/>
    <x v="0"/>
    <x v="3"/>
    <x v="5"/>
    <s v="DE4-N_A"/>
    <x v="15"/>
    <s v="GNR_ST_NUCL_CND_E-33"/>
    <x v="0"/>
    <x v="1"/>
    <n v="4272.7272727272702"/>
    <n v="1559545.4545454499"/>
    <n v="5614363.6363636404"/>
  </r>
  <r>
    <x v="0"/>
    <x v="0"/>
    <x v="0"/>
    <x v="3"/>
    <x v="5"/>
    <s v="DE4-N_A"/>
    <x v="15"/>
    <s v="GNR_ST_NUCL_CND_E-33"/>
    <x v="0"/>
    <x v="2"/>
    <n v="4272.7272727272702"/>
    <n v="1559545.4545454499"/>
    <n v="5614363.6363636404"/>
  </r>
  <r>
    <x v="0"/>
    <x v="0"/>
    <x v="0"/>
    <x v="3"/>
    <x v="5"/>
    <s v="DE4-N_A"/>
    <x v="15"/>
    <s v="GNR_ST_NUCL_CND_E-33"/>
    <x v="0"/>
    <x v="3"/>
    <n v="4272.7272727272702"/>
    <n v="1559545.4545454499"/>
    <n v="5614363.6363636404"/>
  </r>
  <r>
    <x v="0"/>
    <x v="0"/>
    <x v="0"/>
    <x v="3"/>
    <x v="5"/>
    <s v="DE4-N_A"/>
    <x v="15"/>
    <s v="GNR_ST_NUCL_CND_E-33"/>
    <x v="0"/>
    <x v="18"/>
    <n v="4272.7272727272702"/>
    <n v="1559545.4545454499"/>
    <n v="5614363.6363636404"/>
  </r>
  <r>
    <x v="0"/>
    <x v="0"/>
    <x v="0"/>
    <x v="3"/>
    <x v="5"/>
    <s v="DE4-N_A"/>
    <x v="15"/>
    <s v="GNR_ST_NUCL_CND_E-33"/>
    <x v="0"/>
    <x v="4"/>
    <n v="4272.7272727272702"/>
    <n v="1559545.4545454499"/>
    <n v="5614363.6363636404"/>
  </r>
  <r>
    <x v="0"/>
    <x v="0"/>
    <x v="0"/>
    <x v="3"/>
    <x v="5"/>
    <s v="DE4-N_A"/>
    <x v="15"/>
    <s v="GNR_ST_NUCL_CND_E-33"/>
    <x v="0"/>
    <x v="5"/>
    <n v="4272.7272727272702"/>
    <n v="1559545.4545454499"/>
    <n v="5614363.6363636404"/>
  </r>
  <r>
    <x v="0"/>
    <x v="0"/>
    <x v="0"/>
    <x v="3"/>
    <x v="5"/>
    <s v="DE4-N_A"/>
    <x v="15"/>
    <s v="GNR_ST_NUCL_CND_E-33"/>
    <x v="0"/>
    <x v="6"/>
    <n v="4272.7272727272702"/>
    <n v="1559545.4545454499"/>
    <n v="5614363.6363636404"/>
  </r>
  <r>
    <x v="0"/>
    <x v="0"/>
    <x v="0"/>
    <x v="3"/>
    <x v="5"/>
    <s v="DE4-N_A"/>
    <x v="15"/>
    <s v="GNR_ST_NUCL_CND_E-33"/>
    <x v="0"/>
    <x v="7"/>
    <n v="4272.7272727272702"/>
    <n v="1559545.4545454499"/>
    <n v="5614363.6363636404"/>
  </r>
  <r>
    <x v="0"/>
    <x v="0"/>
    <x v="0"/>
    <x v="3"/>
    <x v="5"/>
    <s v="DE4-N_A"/>
    <x v="15"/>
    <s v="GNR_ST_NUCL_CND_E-33"/>
    <x v="0"/>
    <x v="8"/>
    <n v="4272.7272727272702"/>
    <n v="1559545.4545454499"/>
    <n v="5614363.6363636404"/>
  </r>
  <r>
    <x v="0"/>
    <x v="0"/>
    <x v="0"/>
    <x v="3"/>
    <x v="5"/>
    <s v="DE4-N_A"/>
    <x v="15"/>
    <s v="GNR_ST_NUCL_CND_E-33"/>
    <x v="0"/>
    <x v="9"/>
    <n v="4272.7272727272702"/>
    <n v="1559545.4545454499"/>
    <n v="5614363.6363636404"/>
  </r>
  <r>
    <x v="0"/>
    <x v="0"/>
    <x v="0"/>
    <x v="3"/>
    <x v="5"/>
    <s v="DE4-N_A"/>
    <x v="15"/>
    <s v="GNR_ST_NUCL_CND_E-33"/>
    <x v="0"/>
    <x v="10"/>
    <n v="4272.7272727272702"/>
    <n v="1559545.4545454499"/>
    <n v="5614363.6363636404"/>
  </r>
  <r>
    <x v="0"/>
    <x v="0"/>
    <x v="0"/>
    <x v="3"/>
    <x v="5"/>
    <s v="DE4-N_A"/>
    <x v="15"/>
    <s v="GNR_ST_NUCL_CND_E-33"/>
    <x v="0"/>
    <x v="11"/>
    <n v="4272.7272727272702"/>
    <n v="1559545.4545454499"/>
    <n v="5614363.6363636404"/>
  </r>
  <r>
    <x v="0"/>
    <x v="0"/>
    <x v="0"/>
    <x v="3"/>
    <x v="5"/>
    <s v="DE4-N_A"/>
    <x v="15"/>
    <s v="GNR_ST_NUCL_CND_E-33"/>
    <x v="0"/>
    <x v="12"/>
    <n v="4272.7272727272702"/>
    <n v="1559545.4545454499"/>
    <n v="5614363.6363636404"/>
  </r>
  <r>
    <x v="0"/>
    <x v="0"/>
    <x v="0"/>
    <x v="3"/>
    <x v="5"/>
    <s v="DE4-N_A"/>
    <x v="15"/>
    <s v="GNR_ST_NUCL_CND_E-33"/>
    <x v="0"/>
    <x v="13"/>
    <n v="4272.7272727272702"/>
    <n v="1559545.4545454499"/>
    <n v="5614363.6363636404"/>
  </r>
  <r>
    <x v="0"/>
    <x v="0"/>
    <x v="0"/>
    <x v="3"/>
    <x v="5"/>
    <s v="DE4-N_A"/>
    <x v="15"/>
    <s v="GNR_ST_NUCL_CND_E-33"/>
    <x v="0"/>
    <x v="14"/>
    <n v="4272.7272727272702"/>
    <n v="1559545.4545454499"/>
    <n v="5614363.6363636404"/>
  </r>
  <r>
    <x v="0"/>
    <x v="0"/>
    <x v="0"/>
    <x v="3"/>
    <x v="5"/>
    <s v="DE4-N_A"/>
    <x v="15"/>
    <s v="GNR_ST_NUCL_CND_E-33"/>
    <x v="0"/>
    <x v="15"/>
    <n v="4272.7272727272702"/>
    <n v="1559545.4545454499"/>
    <n v="5614363.6363636404"/>
  </r>
  <r>
    <x v="0"/>
    <x v="0"/>
    <x v="0"/>
    <x v="3"/>
    <x v="5"/>
    <s v="DE4-N_A"/>
    <x v="15"/>
    <s v="GNR_ST_NUCL_CND_E-33"/>
    <x v="0"/>
    <x v="16"/>
    <n v="4272.7272727272702"/>
    <n v="1559545.4545454499"/>
    <n v="5614363.6363636404"/>
  </r>
  <r>
    <x v="0"/>
    <x v="0"/>
    <x v="0"/>
    <x v="3"/>
    <x v="5"/>
    <s v="DE4-N_A"/>
    <x v="15"/>
    <s v="GNR_ST_NUCL_CND_E-33"/>
    <x v="0"/>
    <x v="17"/>
    <n v="4272.7272727272702"/>
    <n v="1559545.4545454499"/>
    <n v="5614363.6363636404"/>
  </r>
  <r>
    <x v="0"/>
    <x v="0"/>
    <x v="0"/>
    <x v="3"/>
    <x v="5"/>
    <s v="DE4-N_A"/>
    <x v="15"/>
    <s v="GNR_ST_NUCL_CND_E-33"/>
    <x v="0"/>
    <x v="19"/>
    <n v="4272.7272727272702"/>
    <n v="1559545.4545454499"/>
    <n v="5614363.6363636404"/>
  </r>
  <r>
    <x v="0"/>
    <x v="0"/>
    <x v="0"/>
    <x v="3"/>
    <x v="5"/>
    <s v="DE4-N_A"/>
    <x v="15"/>
    <s v="GNR_ST_NUCL_CND_E-33"/>
    <x v="0"/>
    <x v="20"/>
    <n v="4272.7272727272702"/>
    <n v="1559545.4545454499"/>
    <n v="5614363.6363636404"/>
  </r>
  <r>
    <x v="0"/>
    <x v="0"/>
    <x v="0"/>
    <x v="3"/>
    <x v="5"/>
    <s v="DE4-N_A"/>
    <x v="15"/>
    <s v="GNR_ST_NUCL_CND_E-33"/>
    <x v="0"/>
    <x v="21"/>
    <n v="4272.7272727272702"/>
    <n v="1559545.4545454499"/>
    <n v="5614363.6363636404"/>
  </r>
  <r>
    <x v="0"/>
    <x v="0"/>
    <x v="0"/>
    <x v="3"/>
    <x v="5"/>
    <s v="DE4-N_A"/>
    <x v="15"/>
    <s v="GNR_ST_NUCL_CND_E-33"/>
    <x v="0"/>
    <x v="22"/>
    <n v="4272.7272727272702"/>
    <n v="1559545.4545454499"/>
    <n v="5614363.6363636404"/>
  </r>
  <r>
    <x v="0"/>
    <x v="0"/>
    <x v="0"/>
    <x v="3"/>
    <x v="5"/>
    <s v="DE4-N_A"/>
    <x v="15"/>
    <s v="GNR_ST_NUCL_CND_E-33"/>
    <x v="0"/>
    <x v="23"/>
    <n v="4272.7272727272702"/>
    <n v="1559545.4545454499"/>
    <n v="5614363.6363636404"/>
  </r>
  <r>
    <x v="0"/>
    <x v="0"/>
    <x v="0"/>
    <x v="3"/>
    <x v="5"/>
    <s v="DE4-N_A"/>
    <x v="6"/>
    <s v="GNR_PV_SUN"/>
    <x v="0"/>
    <x v="7"/>
    <n v="33.982254946418202"/>
    <n v="12403.5230554426"/>
    <n v="44652.682999593497"/>
  </r>
  <r>
    <x v="0"/>
    <x v="0"/>
    <x v="0"/>
    <x v="3"/>
    <x v="5"/>
    <s v="DE4-N_A"/>
    <x v="6"/>
    <s v="GNR_PV_SUN"/>
    <x v="0"/>
    <x v="8"/>
    <n v="255.82538595560001"/>
    <n v="93376.265873793804"/>
    <n v="336154.55714565801"/>
  </r>
  <r>
    <x v="0"/>
    <x v="0"/>
    <x v="0"/>
    <x v="3"/>
    <x v="5"/>
    <s v="DE4-N_A"/>
    <x v="6"/>
    <s v="GNR_PV_SUN"/>
    <x v="0"/>
    <x v="9"/>
    <n v="590.942700119508"/>
    <n v="215694.08554361999"/>
    <n v="776498.707957034"/>
  </r>
  <r>
    <x v="0"/>
    <x v="0"/>
    <x v="0"/>
    <x v="3"/>
    <x v="5"/>
    <s v="DE4-N_A"/>
    <x v="6"/>
    <s v="GNR_PV_SUN"/>
    <x v="0"/>
    <x v="10"/>
    <n v="899.91981817078704"/>
    <n v="328470.73363233701"/>
    <n v="1182494.64107641"/>
  </r>
  <r>
    <x v="0"/>
    <x v="0"/>
    <x v="0"/>
    <x v="3"/>
    <x v="5"/>
    <s v="DE4-N_A"/>
    <x v="6"/>
    <s v="GNR_PV_SUN"/>
    <x v="0"/>
    <x v="11"/>
    <n v="1023.12727584831"/>
    <n v="373441.45568463497"/>
    <n v="1344389.2404646799"/>
  </r>
  <r>
    <x v="0"/>
    <x v="0"/>
    <x v="0"/>
    <x v="3"/>
    <x v="5"/>
    <s v="DE4-N_A"/>
    <x v="6"/>
    <s v="GNR_PV_SUN"/>
    <x v="0"/>
    <x v="12"/>
    <n v="889.63800769982004"/>
    <n v="324717.87281043403"/>
    <n v="1168984.3421175601"/>
  </r>
  <r>
    <x v="0"/>
    <x v="0"/>
    <x v="0"/>
    <x v="3"/>
    <x v="5"/>
    <s v="DE4-N_A"/>
    <x v="6"/>
    <s v="GNR_PV_SUN"/>
    <x v="0"/>
    <x v="13"/>
    <n v="578.91820990769895"/>
    <n v="211305.14661631"/>
    <n v="760698.52781871601"/>
  </r>
  <r>
    <x v="0"/>
    <x v="0"/>
    <x v="0"/>
    <x v="3"/>
    <x v="5"/>
    <s v="DE4-N_A"/>
    <x v="6"/>
    <s v="GNR_PV_SUN"/>
    <x v="0"/>
    <x v="14"/>
    <n v="293.118732409617"/>
    <n v="106988.33732951"/>
    <n v="385158.01438623702"/>
  </r>
  <r>
    <x v="0"/>
    <x v="0"/>
    <x v="0"/>
    <x v="3"/>
    <x v="5"/>
    <s v="DE4-N_A"/>
    <x v="6"/>
    <s v="GNR_PV_SUN"/>
    <x v="0"/>
    <x v="15"/>
    <n v="38.164686324438897"/>
    <n v="13930.110508420201"/>
    <n v="50148.397830312701"/>
  </r>
  <r>
    <x v="0"/>
    <x v="0"/>
    <x v="0"/>
    <x v="3"/>
    <x v="5"/>
    <s v="DE4-N_A"/>
    <x v="7"/>
    <s v="GNR_ROR_WTR"/>
    <x v="0"/>
    <x v="0"/>
    <n v="2.66860730593607"/>
    <n v="974.04166666666595"/>
    <n v="3506.55"/>
  </r>
  <r>
    <x v="0"/>
    <x v="0"/>
    <x v="0"/>
    <x v="3"/>
    <x v="5"/>
    <s v="DE4-N_A"/>
    <x v="7"/>
    <s v="GNR_ROR_WTR"/>
    <x v="0"/>
    <x v="1"/>
    <n v="2.66860730593607"/>
    <n v="974.04166666666595"/>
    <n v="3506.55"/>
  </r>
  <r>
    <x v="0"/>
    <x v="0"/>
    <x v="0"/>
    <x v="3"/>
    <x v="5"/>
    <s v="DE4-N_A"/>
    <x v="7"/>
    <s v="GNR_ROR_WTR"/>
    <x v="0"/>
    <x v="2"/>
    <n v="2.66860730593607"/>
    <n v="974.04166666666595"/>
    <n v="3506.55"/>
  </r>
  <r>
    <x v="0"/>
    <x v="0"/>
    <x v="0"/>
    <x v="3"/>
    <x v="5"/>
    <s v="DE4-N_A"/>
    <x v="7"/>
    <s v="GNR_ROR_WTR"/>
    <x v="0"/>
    <x v="3"/>
    <n v="2.66860730593607"/>
    <n v="974.04166666666595"/>
    <n v="3506.55"/>
  </r>
  <r>
    <x v="0"/>
    <x v="0"/>
    <x v="0"/>
    <x v="3"/>
    <x v="5"/>
    <s v="DE4-N_A"/>
    <x v="7"/>
    <s v="GNR_ROR_WTR"/>
    <x v="0"/>
    <x v="18"/>
    <n v="2.66860730593607"/>
    <n v="974.04166666666595"/>
    <n v="3506.55"/>
  </r>
  <r>
    <x v="0"/>
    <x v="0"/>
    <x v="0"/>
    <x v="3"/>
    <x v="5"/>
    <s v="DE4-N_A"/>
    <x v="7"/>
    <s v="GNR_ROR_WTR"/>
    <x v="0"/>
    <x v="4"/>
    <n v="2.66860730593607"/>
    <n v="974.04166666666595"/>
    <n v="3506.55"/>
  </r>
  <r>
    <x v="0"/>
    <x v="0"/>
    <x v="0"/>
    <x v="3"/>
    <x v="5"/>
    <s v="DE4-N_A"/>
    <x v="7"/>
    <s v="GNR_ROR_WTR"/>
    <x v="0"/>
    <x v="5"/>
    <n v="2.66860730593607"/>
    <n v="974.04166666666595"/>
    <n v="3506.55"/>
  </r>
  <r>
    <x v="0"/>
    <x v="0"/>
    <x v="0"/>
    <x v="3"/>
    <x v="5"/>
    <s v="DE4-N_A"/>
    <x v="7"/>
    <s v="GNR_ROR_WTR"/>
    <x v="0"/>
    <x v="6"/>
    <n v="2.66860730593607"/>
    <n v="974.04166666666595"/>
    <n v="3506.55"/>
  </r>
  <r>
    <x v="0"/>
    <x v="0"/>
    <x v="0"/>
    <x v="3"/>
    <x v="5"/>
    <s v="DE4-N_A"/>
    <x v="7"/>
    <s v="GNR_ROR_WTR"/>
    <x v="0"/>
    <x v="7"/>
    <n v="2.66860730593607"/>
    <n v="974.04166666666595"/>
    <n v="3506.55"/>
  </r>
  <r>
    <x v="0"/>
    <x v="0"/>
    <x v="0"/>
    <x v="3"/>
    <x v="5"/>
    <s v="DE4-N_A"/>
    <x v="7"/>
    <s v="GNR_ROR_WTR"/>
    <x v="0"/>
    <x v="8"/>
    <n v="2.66860730593607"/>
    <n v="974.04166666666595"/>
    <n v="3506.55"/>
  </r>
  <r>
    <x v="0"/>
    <x v="0"/>
    <x v="0"/>
    <x v="3"/>
    <x v="5"/>
    <s v="DE4-N_A"/>
    <x v="7"/>
    <s v="GNR_ROR_WTR"/>
    <x v="0"/>
    <x v="9"/>
    <n v="2.66860730593607"/>
    <n v="974.04166666666595"/>
    <n v="3506.55"/>
  </r>
  <r>
    <x v="0"/>
    <x v="0"/>
    <x v="0"/>
    <x v="3"/>
    <x v="5"/>
    <s v="DE4-N_A"/>
    <x v="7"/>
    <s v="GNR_ROR_WTR"/>
    <x v="0"/>
    <x v="10"/>
    <n v="2.66860730593607"/>
    <n v="974.04166666666595"/>
    <n v="3506.55"/>
  </r>
  <r>
    <x v="0"/>
    <x v="0"/>
    <x v="0"/>
    <x v="3"/>
    <x v="5"/>
    <s v="DE4-N_A"/>
    <x v="7"/>
    <s v="GNR_ROR_WTR"/>
    <x v="0"/>
    <x v="11"/>
    <n v="2.66860730593607"/>
    <n v="974.04166666666595"/>
    <n v="3506.55"/>
  </r>
  <r>
    <x v="0"/>
    <x v="0"/>
    <x v="0"/>
    <x v="3"/>
    <x v="5"/>
    <s v="DE4-N_A"/>
    <x v="7"/>
    <s v="GNR_ROR_WTR"/>
    <x v="0"/>
    <x v="12"/>
    <n v="2.66860730593607"/>
    <n v="974.04166666666595"/>
    <n v="3506.55"/>
  </r>
  <r>
    <x v="0"/>
    <x v="0"/>
    <x v="0"/>
    <x v="3"/>
    <x v="5"/>
    <s v="DE4-N_A"/>
    <x v="7"/>
    <s v="GNR_ROR_WTR"/>
    <x v="0"/>
    <x v="13"/>
    <n v="2.66860730593607"/>
    <n v="974.04166666666595"/>
    <n v="3506.55"/>
  </r>
  <r>
    <x v="0"/>
    <x v="0"/>
    <x v="0"/>
    <x v="3"/>
    <x v="5"/>
    <s v="DE4-N_A"/>
    <x v="7"/>
    <s v="GNR_ROR_WTR"/>
    <x v="0"/>
    <x v="14"/>
    <n v="2.66860730593607"/>
    <n v="974.04166666666595"/>
    <n v="3506.55"/>
  </r>
  <r>
    <x v="0"/>
    <x v="0"/>
    <x v="0"/>
    <x v="3"/>
    <x v="5"/>
    <s v="DE4-N_A"/>
    <x v="7"/>
    <s v="GNR_ROR_WTR"/>
    <x v="0"/>
    <x v="15"/>
    <n v="2.66860730593607"/>
    <n v="974.04166666666595"/>
    <n v="3506.55"/>
  </r>
  <r>
    <x v="0"/>
    <x v="0"/>
    <x v="0"/>
    <x v="3"/>
    <x v="5"/>
    <s v="DE4-N_A"/>
    <x v="7"/>
    <s v="GNR_ROR_WTR"/>
    <x v="0"/>
    <x v="16"/>
    <n v="2.66860730593607"/>
    <n v="974.04166666666595"/>
    <n v="3506.55"/>
  </r>
  <r>
    <x v="0"/>
    <x v="0"/>
    <x v="0"/>
    <x v="3"/>
    <x v="5"/>
    <s v="DE4-N_A"/>
    <x v="7"/>
    <s v="GNR_ROR_WTR"/>
    <x v="0"/>
    <x v="17"/>
    <n v="2.66860730593607"/>
    <n v="974.04166666666595"/>
    <n v="3506.55"/>
  </r>
  <r>
    <x v="0"/>
    <x v="0"/>
    <x v="0"/>
    <x v="3"/>
    <x v="5"/>
    <s v="DE4-N_A"/>
    <x v="7"/>
    <s v="GNR_ROR_WTR"/>
    <x v="0"/>
    <x v="19"/>
    <n v="2.66860730593607"/>
    <n v="974.04166666666595"/>
    <n v="3506.55"/>
  </r>
  <r>
    <x v="0"/>
    <x v="0"/>
    <x v="0"/>
    <x v="3"/>
    <x v="5"/>
    <s v="DE4-N_A"/>
    <x v="7"/>
    <s v="GNR_ROR_WTR"/>
    <x v="0"/>
    <x v="20"/>
    <n v="2.66860730593607"/>
    <n v="974.04166666666595"/>
    <n v="3506.55"/>
  </r>
  <r>
    <x v="0"/>
    <x v="0"/>
    <x v="0"/>
    <x v="3"/>
    <x v="5"/>
    <s v="DE4-N_A"/>
    <x v="7"/>
    <s v="GNR_ROR_WTR"/>
    <x v="0"/>
    <x v="21"/>
    <n v="2.66860730593607"/>
    <n v="974.04166666666595"/>
    <n v="3506.55"/>
  </r>
  <r>
    <x v="0"/>
    <x v="0"/>
    <x v="0"/>
    <x v="3"/>
    <x v="5"/>
    <s v="DE4-N_A"/>
    <x v="7"/>
    <s v="GNR_ROR_WTR"/>
    <x v="0"/>
    <x v="22"/>
    <n v="2.66860730593607"/>
    <n v="974.04166666666595"/>
    <n v="3506.55"/>
  </r>
  <r>
    <x v="0"/>
    <x v="0"/>
    <x v="0"/>
    <x v="3"/>
    <x v="5"/>
    <s v="DE4-N_A"/>
    <x v="7"/>
    <s v="GNR_ROR_WTR"/>
    <x v="0"/>
    <x v="23"/>
    <n v="2.66860730593607"/>
    <n v="974.04166666666595"/>
    <n v="3506.55"/>
  </r>
  <r>
    <x v="0"/>
    <x v="0"/>
    <x v="0"/>
    <x v="3"/>
    <x v="5"/>
    <s v="DE4-N_A"/>
    <x v="8"/>
    <s v="GNR_WT_WIND_ONS"/>
    <x v="0"/>
    <x v="0"/>
    <n v="1247.1653136443599"/>
    <n v="455215.339480191"/>
    <n v="1638775.22212869"/>
  </r>
  <r>
    <x v="0"/>
    <x v="0"/>
    <x v="0"/>
    <x v="3"/>
    <x v="5"/>
    <s v="DE4-N_A"/>
    <x v="8"/>
    <s v="GNR_WT_WIND_ONS"/>
    <x v="0"/>
    <x v="1"/>
    <n v="1206.74676651287"/>
    <n v="440462.56977719901"/>
    <n v="1585665.2511979199"/>
  </r>
  <r>
    <x v="0"/>
    <x v="0"/>
    <x v="0"/>
    <x v="3"/>
    <x v="5"/>
    <s v="DE4-N_A"/>
    <x v="8"/>
    <s v="GNR_WT_WIND_ONS"/>
    <x v="0"/>
    <x v="2"/>
    <n v="1172.30385673964"/>
    <n v="427890.90770996897"/>
    <n v="1540407.26775589"/>
  </r>
  <r>
    <x v="0"/>
    <x v="0"/>
    <x v="0"/>
    <x v="3"/>
    <x v="5"/>
    <s v="DE4-N_A"/>
    <x v="8"/>
    <s v="GNR_WT_WIND_ONS"/>
    <x v="0"/>
    <x v="3"/>
    <n v="1113.2114428636301"/>
    <n v="406322.17664522497"/>
    <n v="1462759.83592281"/>
  </r>
  <r>
    <x v="0"/>
    <x v="0"/>
    <x v="0"/>
    <x v="3"/>
    <x v="5"/>
    <s v="DE4-N_A"/>
    <x v="8"/>
    <s v="GNR_WT_WIND_ONS"/>
    <x v="0"/>
    <x v="18"/>
    <n v="1014.03246170937"/>
    <n v="370121.84852392197"/>
    <n v="1332438.6546861201"/>
  </r>
  <r>
    <x v="0"/>
    <x v="0"/>
    <x v="0"/>
    <x v="3"/>
    <x v="5"/>
    <s v="DE4-N_A"/>
    <x v="8"/>
    <s v="GNR_WT_WIND_ONS"/>
    <x v="0"/>
    <x v="4"/>
    <n v="925.31084593205298"/>
    <n v="337738.458765199"/>
    <n v="1215858.4515547201"/>
  </r>
  <r>
    <x v="0"/>
    <x v="0"/>
    <x v="0"/>
    <x v="3"/>
    <x v="5"/>
    <s v="DE4-N_A"/>
    <x v="8"/>
    <s v="GNR_WT_WIND_ONS"/>
    <x v="0"/>
    <x v="5"/>
    <n v="762.72371280972004"/>
    <n v="278394.15517554799"/>
    <n v="1002218.95863197"/>
  </r>
  <r>
    <x v="0"/>
    <x v="0"/>
    <x v="0"/>
    <x v="3"/>
    <x v="5"/>
    <s v="DE4-N_A"/>
    <x v="8"/>
    <s v="GNR_WT_WIND_ONS"/>
    <x v="0"/>
    <x v="6"/>
    <n v="737.57623892709205"/>
    <n v="269215.327208389"/>
    <n v="969175.17795019899"/>
  </r>
  <r>
    <x v="0"/>
    <x v="0"/>
    <x v="0"/>
    <x v="3"/>
    <x v="5"/>
    <s v="DE4-N_A"/>
    <x v="8"/>
    <s v="GNR_WT_WIND_ONS"/>
    <x v="0"/>
    <x v="7"/>
    <n v="792.93387945419602"/>
    <n v="289420.86600078101"/>
    <n v="1041915.11760281"/>
  </r>
  <r>
    <x v="0"/>
    <x v="0"/>
    <x v="0"/>
    <x v="3"/>
    <x v="5"/>
    <s v="DE4-N_A"/>
    <x v="8"/>
    <s v="GNR_WT_WIND_ONS"/>
    <x v="0"/>
    <x v="8"/>
    <n v="855.26309689925597"/>
    <n v="312171.03036822798"/>
    <n v="1123815.70932562"/>
  </r>
  <r>
    <x v="0"/>
    <x v="0"/>
    <x v="0"/>
    <x v="3"/>
    <x v="5"/>
    <s v="DE4-N_A"/>
    <x v="8"/>
    <s v="GNR_WT_WIND_ONS"/>
    <x v="0"/>
    <x v="9"/>
    <n v="986.81011374402203"/>
    <n v="360185.69151656801"/>
    <n v="1296668.4894596499"/>
  </r>
  <r>
    <x v="0"/>
    <x v="0"/>
    <x v="0"/>
    <x v="3"/>
    <x v="5"/>
    <s v="DE4-N_A"/>
    <x v="8"/>
    <s v="GNR_WT_WIND_ONS"/>
    <x v="0"/>
    <x v="10"/>
    <n v="1087.0680294213"/>
    <n v="396779.83073877299"/>
    <n v="1428407.39065958"/>
  </r>
  <r>
    <x v="0"/>
    <x v="0"/>
    <x v="0"/>
    <x v="3"/>
    <x v="5"/>
    <s v="DE4-N_A"/>
    <x v="8"/>
    <s v="GNR_WT_WIND_ONS"/>
    <x v="0"/>
    <x v="11"/>
    <n v="1337.7128186144801"/>
    <n v="488265.17879428499"/>
    <n v="1757754.6436594201"/>
  </r>
  <r>
    <x v="0"/>
    <x v="0"/>
    <x v="0"/>
    <x v="3"/>
    <x v="5"/>
    <s v="DE4-N_A"/>
    <x v="8"/>
    <s v="GNR_WT_WIND_ONS"/>
    <x v="0"/>
    <x v="12"/>
    <n v="1563.21013392503"/>
    <n v="570571.69888263801"/>
    <n v="2054058.1159775001"/>
  </r>
  <r>
    <x v="0"/>
    <x v="0"/>
    <x v="0"/>
    <x v="3"/>
    <x v="5"/>
    <s v="DE4-N_A"/>
    <x v="8"/>
    <s v="GNR_WT_WIND_ONS"/>
    <x v="0"/>
    <x v="13"/>
    <n v="1820.1625403297001"/>
    <n v="664359.32722034096"/>
    <n v="2391693.57799323"/>
  </r>
  <r>
    <x v="0"/>
    <x v="0"/>
    <x v="0"/>
    <x v="3"/>
    <x v="5"/>
    <s v="DE4-N_A"/>
    <x v="8"/>
    <s v="GNR_WT_WIND_ONS"/>
    <x v="0"/>
    <x v="14"/>
    <n v="2073.7951482020098"/>
    <n v="756935.22909373301"/>
    <n v="2724966.8247374399"/>
  </r>
  <r>
    <x v="0"/>
    <x v="0"/>
    <x v="0"/>
    <x v="3"/>
    <x v="5"/>
    <s v="DE4-N_A"/>
    <x v="8"/>
    <s v="GNR_WT_WIND_ONS"/>
    <x v="0"/>
    <x v="15"/>
    <n v="2412.4145985027299"/>
    <n v="880531.32845349796"/>
    <n v="3169912.7824325901"/>
  </r>
  <r>
    <x v="0"/>
    <x v="0"/>
    <x v="0"/>
    <x v="3"/>
    <x v="5"/>
    <s v="DE4-N_A"/>
    <x v="8"/>
    <s v="GNR_WT_WIND_ONS"/>
    <x v="0"/>
    <x v="16"/>
    <n v="2721.7368267553802"/>
    <n v="993433.94176571397"/>
    <n v="3576362.1903565698"/>
  </r>
  <r>
    <x v="0"/>
    <x v="0"/>
    <x v="0"/>
    <x v="3"/>
    <x v="5"/>
    <s v="DE4-N_A"/>
    <x v="8"/>
    <s v="GNR_WT_WIND_ONS"/>
    <x v="0"/>
    <x v="17"/>
    <n v="3053.2187102115299"/>
    <n v="1114424.82922721"/>
    <n v="4011929.3852179502"/>
  </r>
  <r>
    <x v="0"/>
    <x v="0"/>
    <x v="0"/>
    <x v="3"/>
    <x v="5"/>
    <s v="DE4-N_A"/>
    <x v="8"/>
    <s v="GNR_WT_WIND_ONS"/>
    <x v="0"/>
    <x v="19"/>
    <n v="3386.3604929338599"/>
    <n v="1236021.57992086"/>
    <n v="4449677.6877150899"/>
  </r>
  <r>
    <x v="0"/>
    <x v="0"/>
    <x v="0"/>
    <x v="3"/>
    <x v="5"/>
    <s v="DE4-N_A"/>
    <x v="8"/>
    <s v="GNR_WT_WIND_ONS"/>
    <x v="0"/>
    <x v="20"/>
    <n v="3670.8672271571199"/>
    <n v="1339866.5379123499"/>
    <n v="4823519.5364844501"/>
  </r>
  <r>
    <x v="0"/>
    <x v="0"/>
    <x v="0"/>
    <x v="3"/>
    <x v="5"/>
    <s v="DE4-N_A"/>
    <x v="8"/>
    <s v="GNR_WT_WIND_ONS"/>
    <x v="0"/>
    <x v="21"/>
    <n v="3983.84123379536"/>
    <n v="1454102.0503353099"/>
    <n v="5234767.3812071001"/>
  </r>
  <r>
    <x v="0"/>
    <x v="0"/>
    <x v="0"/>
    <x v="3"/>
    <x v="5"/>
    <s v="DE4-N_A"/>
    <x v="8"/>
    <s v="GNR_WT_WIND_ONS"/>
    <x v="0"/>
    <x v="22"/>
    <n v="4378.8142641828899"/>
    <n v="1598267.2064267599"/>
    <n v="5753761.9431363204"/>
  </r>
  <r>
    <x v="0"/>
    <x v="0"/>
    <x v="0"/>
    <x v="3"/>
    <x v="5"/>
    <s v="DE4-N_A"/>
    <x v="8"/>
    <s v="GNR_WT_WIND_ONS"/>
    <x v="0"/>
    <x v="23"/>
    <n v="4636.4306302940304"/>
    <n v="1692297.18005732"/>
    <n v="6092269.8482063599"/>
  </r>
  <r>
    <x v="0"/>
    <x v="0"/>
    <x v="0"/>
    <x v="3"/>
    <x v="5"/>
    <s v="DE4-N_Offshore_A"/>
    <x v="8"/>
    <s v="GNR_WT_WIND_OFF"/>
    <x v="0"/>
    <x v="0"/>
    <n v="293.30560164840898"/>
    <n v="107056.544601669"/>
    <n v="385403.56056601001"/>
  </r>
  <r>
    <x v="0"/>
    <x v="0"/>
    <x v="0"/>
    <x v="3"/>
    <x v="5"/>
    <s v="DE4-N_Offshore_A"/>
    <x v="8"/>
    <s v="GNR_WT_WIND_OFF"/>
    <x v="0"/>
    <x v="1"/>
    <n v="283.800056429618"/>
    <n v="103587.02059681099"/>
    <n v="372913.27414851799"/>
  </r>
  <r>
    <x v="0"/>
    <x v="0"/>
    <x v="0"/>
    <x v="3"/>
    <x v="5"/>
    <s v="DE4-N_Offshore_A"/>
    <x v="8"/>
    <s v="GNR_WT_WIND_OFF"/>
    <x v="0"/>
    <x v="2"/>
    <n v="275.69984849163399"/>
    <n v="100630.444699446"/>
    <n v="362269.60091800703"/>
  </r>
  <r>
    <x v="0"/>
    <x v="0"/>
    <x v="0"/>
    <x v="3"/>
    <x v="5"/>
    <s v="DE4-N_Offshore_A"/>
    <x v="8"/>
    <s v="GNR_WT_WIND_OFF"/>
    <x v="0"/>
    <x v="3"/>
    <n v="261.80262427032102"/>
    <n v="95557.9578586672"/>
    <n v="344008.64829120197"/>
  </r>
  <r>
    <x v="0"/>
    <x v="0"/>
    <x v="0"/>
    <x v="3"/>
    <x v="5"/>
    <s v="DE4-N_Offshore_A"/>
    <x v="8"/>
    <s v="GNR_WT_WIND_OFF"/>
    <x v="0"/>
    <x v="18"/>
    <n v="238.477929123595"/>
    <n v="87044.444130112301"/>
    <n v="313359.99886840401"/>
  </r>
  <r>
    <x v="0"/>
    <x v="0"/>
    <x v="0"/>
    <x v="3"/>
    <x v="5"/>
    <s v="DE4-N_Offshore_A"/>
    <x v="8"/>
    <s v="GNR_WT_WIND_OFF"/>
    <x v="0"/>
    <x v="4"/>
    <n v="217.61257421828199"/>
    <n v="79428.589589672803"/>
    <n v="285942.92252282199"/>
  </r>
  <r>
    <x v="0"/>
    <x v="0"/>
    <x v="0"/>
    <x v="3"/>
    <x v="5"/>
    <s v="DE4-N_Offshore_A"/>
    <x v="8"/>
    <s v="GNR_WT_WIND_OFF"/>
    <x v="0"/>
    <x v="5"/>
    <n v="179.375689036327"/>
    <n v="65472.126498259298"/>
    <n v="235699.655393733"/>
  </r>
  <r>
    <x v="0"/>
    <x v="0"/>
    <x v="0"/>
    <x v="3"/>
    <x v="5"/>
    <s v="DE4-N_Offshore_A"/>
    <x v="8"/>
    <s v="GNR_WT_WIND_OFF"/>
    <x v="0"/>
    <x v="6"/>
    <n v="173.461561312931"/>
    <n v="63313.469879219803"/>
    <n v="227928.49156519101"/>
  </r>
  <r>
    <x v="0"/>
    <x v="0"/>
    <x v="0"/>
    <x v="3"/>
    <x v="5"/>
    <s v="DE4-N_Offshore_A"/>
    <x v="8"/>
    <s v="GNR_WT_WIND_OFF"/>
    <x v="0"/>
    <x v="7"/>
    <n v="186.48044973373999"/>
    <n v="68065.364152814902"/>
    <n v="245035.31095013401"/>
  </r>
  <r>
    <x v="0"/>
    <x v="0"/>
    <x v="0"/>
    <x v="3"/>
    <x v="5"/>
    <s v="DE4-N_Offshore_A"/>
    <x v="8"/>
    <s v="GNR_WT_WIND_OFF"/>
    <x v="0"/>
    <x v="8"/>
    <n v="201.138898315489"/>
    <n v="73415.697885153597"/>
    <n v="264296.51238655299"/>
  </r>
  <r>
    <x v="0"/>
    <x v="0"/>
    <x v="0"/>
    <x v="3"/>
    <x v="5"/>
    <s v="DE4-N_Offshore_A"/>
    <x v="8"/>
    <s v="GNR_WT_WIND_OFF"/>
    <x v="0"/>
    <x v="9"/>
    <n v="232.07583706658599"/>
    <n v="84707.680529303907"/>
    <n v="304947.64990549401"/>
  </r>
  <r>
    <x v="0"/>
    <x v="0"/>
    <x v="0"/>
    <x v="3"/>
    <x v="5"/>
    <s v="DE4-N_Offshore_A"/>
    <x v="8"/>
    <s v="GNR_WT_WIND_OFF"/>
    <x v="0"/>
    <x v="10"/>
    <n v="255.654273666791"/>
    <n v="93313.809888378702"/>
    <n v="335929.71559816302"/>
  </r>
  <r>
    <x v="0"/>
    <x v="0"/>
    <x v="0"/>
    <x v="3"/>
    <x v="5"/>
    <s v="DE4-N_Offshore_A"/>
    <x v="8"/>
    <s v="GNR_WT_WIND_OFF"/>
    <x v="0"/>
    <x v="11"/>
    <n v="314.60036516730298"/>
    <n v="114829.133286066"/>
    <n v="413384.87982983602"/>
  </r>
  <r>
    <x v="0"/>
    <x v="0"/>
    <x v="0"/>
    <x v="3"/>
    <x v="5"/>
    <s v="DE4-N_Offshore_A"/>
    <x v="8"/>
    <s v="GNR_WT_WIND_OFF"/>
    <x v="0"/>
    <x v="12"/>
    <n v="367.63232894442001"/>
    <n v="134185.800064713"/>
    <n v="483068.88023296703"/>
  </r>
  <r>
    <x v="0"/>
    <x v="0"/>
    <x v="0"/>
    <x v="3"/>
    <x v="5"/>
    <s v="DE4-N_Offshore_A"/>
    <x v="8"/>
    <s v="GNR_WT_WIND_OFF"/>
    <x v="0"/>
    <x v="13"/>
    <n v="428.06183201911699"/>
    <n v="156242.56868697799"/>
    <n v="562473.24727311998"/>
  </r>
  <r>
    <x v="0"/>
    <x v="0"/>
    <x v="0"/>
    <x v="3"/>
    <x v="5"/>
    <s v="DE4-N_Offshore_A"/>
    <x v="8"/>
    <s v="GNR_WT_WIND_OFF"/>
    <x v="0"/>
    <x v="14"/>
    <n v="487.71059216003198"/>
    <n v="178014.36613841201"/>
    <n v="640851.71809828305"/>
  </r>
  <r>
    <x v="0"/>
    <x v="0"/>
    <x v="0"/>
    <x v="3"/>
    <x v="5"/>
    <s v="DE4-N_Offshore_A"/>
    <x v="8"/>
    <s v="GNR_WT_WIND_OFF"/>
    <x v="0"/>
    <x v="15"/>
    <n v="567.34637140575796"/>
    <n v="207081.42556310099"/>
    <n v="745493.13202716503"/>
  </r>
  <r>
    <x v="0"/>
    <x v="0"/>
    <x v="0"/>
    <x v="3"/>
    <x v="5"/>
    <s v="DE4-N_Offshore_A"/>
    <x v="8"/>
    <s v="GNR_WT_WIND_OFF"/>
    <x v="0"/>
    <x v="16"/>
    <n v="640.09209426085999"/>
    <n v="233633.614405214"/>
    <n v="841081.01185877004"/>
  </r>
  <r>
    <x v="0"/>
    <x v="0"/>
    <x v="0"/>
    <x v="3"/>
    <x v="5"/>
    <s v="DE4-N_Offshore_A"/>
    <x v="8"/>
    <s v="GNR_WT_WIND_OFF"/>
    <x v="0"/>
    <x v="17"/>
    <n v="718.04927619895398"/>
    <n v="262087.98581261799"/>
    <n v="943516.74892542604"/>
  </r>
  <r>
    <x v="0"/>
    <x v="0"/>
    <x v="0"/>
    <x v="3"/>
    <x v="5"/>
    <s v="DE4-N_Offshore_A"/>
    <x v="8"/>
    <s v="GNR_WT_WIND_OFF"/>
    <x v="0"/>
    <x v="19"/>
    <n v="796.39682960393998"/>
    <n v="290684.84280543798"/>
    <n v="1046465.43409958"/>
  </r>
  <r>
    <x v="0"/>
    <x v="0"/>
    <x v="0"/>
    <x v="3"/>
    <x v="5"/>
    <s v="DE4-N_Offshore_A"/>
    <x v="8"/>
    <s v="GNR_WT_WIND_OFF"/>
    <x v="0"/>
    <x v="20"/>
    <n v="863.30649902902496"/>
    <n v="315106.87214559398"/>
    <n v="1134384.7397241399"/>
  </r>
  <r>
    <x v="0"/>
    <x v="0"/>
    <x v="0"/>
    <x v="3"/>
    <x v="5"/>
    <s v="DE4-N_Offshore_A"/>
    <x v="8"/>
    <s v="GNR_WT_WIND_OFF"/>
    <x v="0"/>
    <x v="21"/>
    <n v="936.91103911128698"/>
    <n v="341972.52927562001"/>
    <n v="1231101.10539223"/>
  </r>
  <r>
    <x v="0"/>
    <x v="0"/>
    <x v="0"/>
    <x v="3"/>
    <x v="5"/>
    <s v="DE4-N_Offshore_A"/>
    <x v="8"/>
    <s v="GNR_WT_WIND_OFF"/>
    <x v="0"/>
    <x v="22"/>
    <n v="1029.7999296579501"/>
    <n v="375876.97432515299"/>
    <n v="1353157.1075705499"/>
  </r>
  <r>
    <x v="0"/>
    <x v="0"/>
    <x v="0"/>
    <x v="3"/>
    <x v="5"/>
    <s v="DE4-N_Offshore_A"/>
    <x v="8"/>
    <s v="GNR_WT_WIND_OFF"/>
    <x v="0"/>
    <x v="23"/>
    <n v="1090.38558131941"/>
    <n v="397990.737181584"/>
    <n v="1432766.6538537"/>
  </r>
  <r>
    <x v="0"/>
    <x v="0"/>
    <x v="0"/>
    <x v="3"/>
    <x v="6"/>
    <s v="DE4-S_A"/>
    <x v="0"/>
    <s v="GNR_ST_COAL_BP_E-43"/>
    <x v="0"/>
    <x v="4"/>
    <n v="5774.5967640195404"/>
    <n v="2107727.8188671302"/>
    <n v="7587820.1479216795"/>
  </r>
  <r>
    <x v="0"/>
    <x v="0"/>
    <x v="0"/>
    <x v="3"/>
    <x v="6"/>
    <s v="DE4-S_A"/>
    <x v="0"/>
    <s v="GNR_ST_COAL_BP_E-43"/>
    <x v="0"/>
    <x v="5"/>
    <n v="13927.3531681283"/>
    <n v="5083483.9063668298"/>
    <n v="18300542.0629206"/>
  </r>
  <r>
    <x v="0"/>
    <x v="0"/>
    <x v="0"/>
    <x v="3"/>
    <x v="6"/>
    <s v="DE4-S_A"/>
    <x v="0"/>
    <s v="GNR_ST_COAL_BP_E-43"/>
    <x v="0"/>
    <x v="6"/>
    <n v="17636.744186046599"/>
    <n v="6437411.6279069996"/>
    <n v="23174681.860465199"/>
  </r>
  <r>
    <x v="0"/>
    <x v="0"/>
    <x v="0"/>
    <x v="3"/>
    <x v="6"/>
    <s v="DE4-S_A"/>
    <x v="0"/>
    <s v="GNR_ST_COAL_BP_E-43"/>
    <x v="0"/>
    <x v="7"/>
    <n v="17636.744186046599"/>
    <n v="6437411.6279069996"/>
    <n v="23174681.860465199"/>
  </r>
  <r>
    <x v="0"/>
    <x v="0"/>
    <x v="0"/>
    <x v="3"/>
    <x v="6"/>
    <s v="DE4-S_A"/>
    <x v="0"/>
    <s v="GNR_ST_COAL_BP_E-43"/>
    <x v="0"/>
    <x v="8"/>
    <n v="17636.744186046599"/>
    <n v="6437411.6279069996"/>
    <n v="23174681.860465199"/>
  </r>
  <r>
    <x v="0"/>
    <x v="0"/>
    <x v="0"/>
    <x v="3"/>
    <x v="6"/>
    <s v="DE4-S_A"/>
    <x v="0"/>
    <s v="GNR_ST_COAL_BP_E-43"/>
    <x v="0"/>
    <x v="9"/>
    <n v="13868.803465928801"/>
    <n v="5062113.2650640002"/>
    <n v="18223607.754230399"/>
  </r>
  <r>
    <x v="0"/>
    <x v="0"/>
    <x v="0"/>
    <x v="3"/>
    <x v="6"/>
    <s v="DE4-S_A"/>
    <x v="0"/>
    <s v="GNR_ST_COAL_BP_E-43"/>
    <x v="0"/>
    <x v="13"/>
    <n v="5677.4187280108799"/>
    <n v="2072257.8357239701"/>
    <n v="7460128.2086062897"/>
  </r>
  <r>
    <x v="0"/>
    <x v="0"/>
    <x v="0"/>
    <x v="3"/>
    <x v="6"/>
    <s v="DE4-S_A"/>
    <x v="0"/>
    <s v="GNR_ST_COAL_BP_E-43"/>
    <x v="0"/>
    <x v="14"/>
    <n v="9033.0226208658896"/>
    <n v="3297053.2566160499"/>
    <n v="11869391.723817799"/>
  </r>
  <r>
    <x v="0"/>
    <x v="0"/>
    <x v="0"/>
    <x v="3"/>
    <x v="6"/>
    <s v="DE4-S_A"/>
    <x v="0"/>
    <s v="GNR_ST_COAL_BP_E-43"/>
    <x v="0"/>
    <x v="15"/>
    <n v="17636.744186046599"/>
    <n v="6437411.6279069996"/>
    <n v="23174681.860465199"/>
  </r>
  <r>
    <x v="0"/>
    <x v="0"/>
    <x v="0"/>
    <x v="3"/>
    <x v="6"/>
    <s v="DE4-S_A"/>
    <x v="0"/>
    <s v="GNR_ST_COAL_BP_E-43"/>
    <x v="0"/>
    <x v="16"/>
    <n v="14464.3791293833"/>
    <n v="5279498.3822249202"/>
    <n v="19006194.1760097"/>
  </r>
  <r>
    <x v="0"/>
    <x v="0"/>
    <x v="0"/>
    <x v="3"/>
    <x v="6"/>
    <s v="DE4-S_A"/>
    <x v="0"/>
    <s v="GNR_ST_COAL_BP_E-43"/>
    <x v="0"/>
    <x v="17"/>
    <n v="16265.018922351501"/>
    <n v="5936731.9066583104"/>
    <n v="21372234.8639699"/>
  </r>
  <r>
    <x v="0"/>
    <x v="0"/>
    <x v="0"/>
    <x v="3"/>
    <x v="6"/>
    <s v="DE4-S_A"/>
    <x v="0"/>
    <s v="GNR_ST_COAL_BP_E-43"/>
    <x v="0"/>
    <x v="19"/>
    <n v="7929.9558689107998"/>
    <n v="2894433.8921524398"/>
    <n v="10419962.0117488"/>
  </r>
  <r>
    <x v="0"/>
    <x v="0"/>
    <x v="0"/>
    <x v="3"/>
    <x v="6"/>
    <s v="DE4-S_A"/>
    <x v="0"/>
    <s v="GNR_ST_COAL_BP_E-43"/>
    <x v="0"/>
    <x v="20"/>
    <n v="7678.4973066734901"/>
    <n v="2802651.5169358202"/>
    <n v="10089545.460968999"/>
  </r>
  <r>
    <x v="0"/>
    <x v="0"/>
    <x v="0"/>
    <x v="3"/>
    <x v="6"/>
    <s v="DE4-S_A"/>
    <x v="0"/>
    <s v="GNR_ST_COAL_BP_E-43"/>
    <x v="0"/>
    <x v="21"/>
    <n v="2107.7059308519401"/>
    <n v="769312.66476095899"/>
    <n v="2769525.5931394501"/>
  </r>
  <r>
    <x v="0"/>
    <x v="0"/>
    <x v="0"/>
    <x v="3"/>
    <x v="6"/>
    <s v="DE4-S_A"/>
    <x v="0"/>
    <s v="GNR_ST_COAL_CND_E-38"/>
    <x v="0"/>
    <x v="4"/>
    <n v="1910.5263157894699"/>
    <n v="697342.10526315798"/>
    <n v="2510431.5789473699"/>
  </r>
  <r>
    <x v="0"/>
    <x v="0"/>
    <x v="0"/>
    <x v="3"/>
    <x v="6"/>
    <s v="DE4-S_A"/>
    <x v="0"/>
    <s v="GNR_ST_COAL_CND_E-38"/>
    <x v="0"/>
    <x v="5"/>
    <n v="1910.5263157894699"/>
    <n v="697342.10526315798"/>
    <n v="2510431.5789473699"/>
  </r>
  <r>
    <x v="0"/>
    <x v="0"/>
    <x v="0"/>
    <x v="3"/>
    <x v="6"/>
    <s v="DE4-S_A"/>
    <x v="0"/>
    <s v="GNR_ST_COAL_CND_E-38"/>
    <x v="0"/>
    <x v="6"/>
    <n v="1910.5263157894699"/>
    <n v="697342.10526315798"/>
    <n v="2510431.5789473699"/>
  </r>
  <r>
    <x v="0"/>
    <x v="0"/>
    <x v="0"/>
    <x v="3"/>
    <x v="6"/>
    <s v="DE4-S_A"/>
    <x v="0"/>
    <s v="GNR_ST_COAL_CND_E-38"/>
    <x v="0"/>
    <x v="7"/>
    <n v="1910.5263157894699"/>
    <n v="697342.10526315798"/>
    <n v="2510431.5789473699"/>
  </r>
  <r>
    <x v="0"/>
    <x v="0"/>
    <x v="0"/>
    <x v="3"/>
    <x v="6"/>
    <s v="DE4-S_A"/>
    <x v="0"/>
    <s v="GNR_ST_COAL_CND_E-38"/>
    <x v="0"/>
    <x v="8"/>
    <n v="1910.5263157894699"/>
    <n v="697342.10526315798"/>
    <n v="2510431.5789473699"/>
  </r>
  <r>
    <x v="0"/>
    <x v="0"/>
    <x v="0"/>
    <x v="3"/>
    <x v="6"/>
    <s v="DE4-S_A"/>
    <x v="0"/>
    <s v="GNR_ST_COAL_CND_E-38"/>
    <x v="0"/>
    <x v="9"/>
    <n v="1910.5263157894699"/>
    <n v="697342.10526315798"/>
    <n v="2510431.5789473699"/>
  </r>
  <r>
    <x v="0"/>
    <x v="0"/>
    <x v="0"/>
    <x v="3"/>
    <x v="6"/>
    <s v="DE4-S_A"/>
    <x v="0"/>
    <s v="GNR_ST_COAL_CND_E-38"/>
    <x v="0"/>
    <x v="10"/>
    <n v="1910.5263157894699"/>
    <n v="697342.10526315798"/>
    <n v="2510431.5789473699"/>
  </r>
  <r>
    <x v="0"/>
    <x v="0"/>
    <x v="0"/>
    <x v="3"/>
    <x v="6"/>
    <s v="DE4-S_A"/>
    <x v="0"/>
    <s v="GNR_ST_COAL_CND_E-38"/>
    <x v="0"/>
    <x v="11"/>
    <n v="1910.5263157894699"/>
    <n v="697342.10526315798"/>
    <n v="2510431.5789473699"/>
  </r>
  <r>
    <x v="0"/>
    <x v="0"/>
    <x v="0"/>
    <x v="3"/>
    <x v="6"/>
    <s v="DE4-S_A"/>
    <x v="0"/>
    <s v="GNR_ST_COAL_CND_E-38"/>
    <x v="0"/>
    <x v="12"/>
    <n v="1910.5263157894699"/>
    <n v="697342.10526315798"/>
    <n v="2510431.5789473699"/>
  </r>
  <r>
    <x v="0"/>
    <x v="0"/>
    <x v="0"/>
    <x v="3"/>
    <x v="6"/>
    <s v="DE4-S_A"/>
    <x v="0"/>
    <s v="GNR_ST_COAL_CND_E-38"/>
    <x v="0"/>
    <x v="13"/>
    <n v="1910.5263157894699"/>
    <n v="697342.10526315798"/>
    <n v="2510431.5789473699"/>
  </r>
  <r>
    <x v="0"/>
    <x v="0"/>
    <x v="0"/>
    <x v="3"/>
    <x v="6"/>
    <s v="DE4-S_A"/>
    <x v="0"/>
    <s v="GNR_ST_COAL_CND_E-38"/>
    <x v="0"/>
    <x v="14"/>
    <n v="1910.5263157894699"/>
    <n v="697342.10526315798"/>
    <n v="2510431.5789473699"/>
  </r>
  <r>
    <x v="0"/>
    <x v="0"/>
    <x v="0"/>
    <x v="3"/>
    <x v="6"/>
    <s v="DE4-S_A"/>
    <x v="0"/>
    <s v="GNR_ST_COAL_CND_E-38"/>
    <x v="0"/>
    <x v="15"/>
    <n v="1910.5263157894699"/>
    <n v="697342.10526315798"/>
    <n v="2510431.5789473699"/>
  </r>
  <r>
    <x v="0"/>
    <x v="0"/>
    <x v="0"/>
    <x v="3"/>
    <x v="6"/>
    <s v="DE4-S_A"/>
    <x v="0"/>
    <s v="GNR_ST_COAL_CND_E-38"/>
    <x v="0"/>
    <x v="16"/>
    <n v="1910.5263157894699"/>
    <n v="697342.10526315798"/>
    <n v="2510431.5789473699"/>
  </r>
  <r>
    <x v="0"/>
    <x v="0"/>
    <x v="0"/>
    <x v="3"/>
    <x v="6"/>
    <s v="DE4-S_A"/>
    <x v="0"/>
    <s v="GNR_ST_COAL_CND_E-38"/>
    <x v="0"/>
    <x v="17"/>
    <n v="1910.5263157894699"/>
    <n v="697342.10526315798"/>
    <n v="2510431.5789473699"/>
  </r>
  <r>
    <x v="0"/>
    <x v="0"/>
    <x v="0"/>
    <x v="3"/>
    <x v="6"/>
    <s v="DE4-S_A"/>
    <x v="0"/>
    <s v="GNR_ST_COAL_CND_E-38"/>
    <x v="0"/>
    <x v="19"/>
    <n v="1910.5263157894699"/>
    <n v="697342.10526315798"/>
    <n v="2510431.5789473699"/>
  </r>
  <r>
    <x v="0"/>
    <x v="0"/>
    <x v="0"/>
    <x v="3"/>
    <x v="6"/>
    <s v="DE4-S_A"/>
    <x v="0"/>
    <s v="GNR_ST_COAL_CND_E-38"/>
    <x v="0"/>
    <x v="20"/>
    <n v="1910.5263157894699"/>
    <n v="697342.10526315798"/>
    <n v="2510431.5789473699"/>
  </r>
  <r>
    <x v="0"/>
    <x v="0"/>
    <x v="0"/>
    <x v="3"/>
    <x v="6"/>
    <s v="DE4-S_A"/>
    <x v="0"/>
    <s v="GNR_ST_COAL_CND_E-44"/>
    <x v="0"/>
    <x v="0"/>
    <n v="1197.72727272727"/>
    <n v="437170.454545455"/>
    <n v="1573813.63636364"/>
  </r>
  <r>
    <x v="0"/>
    <x v="0"/>
    <x v="0"/>
    <x v="3"/>
    <x v="6"/>
    <s v="DE4-S_A"/>
    <x v="0"/>
    <s v="GNR_ST_COAL_CND_E-44"/>
    <x v="0"/>
    <x v="1"/>
    <n v="1197.72727272727"/>
    <n v="437170.454545455"/>
    <n v="1573813.63636364"/>
  </r>
  <r>
    <x v="0"/>
    <x v="0"/>
    <x v="0"/>
    <x v="3"/>
    <x v="6"/>
    <s v="DE4-S_A"/>
    <x v="0"/>
    <s v="GNR_ST_COAL_CND_E-44"/>
    <x v="0"/>
    <x v="2"/>
    <n v="1197.72727272727"/>
    <n v="437170.454545455"/>
    <n v="1573813.63636364"/>
  </r>
  <r>
    <x v="0"/>
    <x v="0"/>
    <x v="0"/>
    <x v="3"/>
    <x v="6"/>
    <s v="DE4-S_A"/>
    <x v="0"/>
    <s v="GNR_ST_COAL_CND_E-44"/>
    <x v="0"/>
    <x v="3"/>
    <n v="1197.72727272727"/>
    <n v="437170.454545455"/>
    <n v="1573813.63636364"/>
  </r>
  <r>
    <x v="0"/>
    <x v="0"/>
    <x v="0"/>
    <x v="3"/>
    <x v="6"/>
    <s v="DE4-S_A"/>
    <x v="0"/>
    <s v="GNR_ST_COAL_CND_E-44"/>
    <x v="0"/>
    <x v="18"/>
    <n v="1197.72727272727"/>
    <n v="437170.454545455"/>
    <n v="1573813.63636364"/>
  </r>
  <r>
    <x v="0"/>
    <x v="0"/>
    <x v="0"/>
    <x v="3"/>
    <x v="6"/>
    <s v="DE4-S_A"/>
    <x v="0"/>
    <s v="GNR_ST_COAL_CND_E-44"/>
    <x v="0"/>
    <x v="4"/>
    <n v="1197.72727272727"/>
    <n v="437170.454545455"/>
    <n v="1573813.63636364"/>
  </r>
  <r>
    <x v="0"/>
    <x v="0"/>
    <x v="0"/>
    <x v="3"/>
    <x v="6"/>
    <s v="DE4-S_A"/>
    <x v="0"/>
    <s v="GNR_ST_COAL_CND_E-44"/>
    <x v="0"/>
    <x v="5"/>
    <n v="1197.72727272727"/>
    <n v="437170.454545455"/>
    <n v="1573813.63636364"/>
  </r>
  <r>
    <x v="0"/>
    <x v="0"/>
    <x v="0"/>
    <x v="3"/>
    <x v="6"/>
    <s v="DE4-S_A"/>
    <x v="0"/>
    <s v="GNR_ST_COAL_CND_E-44"/>
    <x v="0"/>
    <x v="6"/>
    <n v="1197.72727272727"/>
    <n v="437170.454545455"/>
    <n v="1573813.63636364"/>
  </r>
  <r>
    <x v="0"/>
    <x v="0"/>
    <x v="0"/>
    <x v="3"/>
    <x v="6"/>
    <s v="DE4-S_A"/>
    <x v="0"/>
    <s v="GNR_ST_COAL_CND_E-44"/>
    <x v="0"/>
    <x v="7"/>
    <n v="1197.72727272727"/>
    <n v="437170.454545455"/>
    <n v="1573813.63636364"/>
  </r>
  <r>
    <x v="0"/>
    <x v="0"/>
    <x v="0"/>
    <x v="3"/>
    <x v="6"/>
    <s v="DE4-S_A"/>
    <x v="0"/>
    <s v="GNR_ST_COAL_CND_E-44"/>
    <x v="0"/>
    <x v="8"/>
    <n v="1197.72727272727"/>
    <n v="437170.454545455"/>
    <n v="1573813.63636364"/>
  </r>
  <r>
    <x v="0"/>
    <x v="0"/>
    <x v="0"/>
    <x v="3"/>
    <x v="6"/>
    <s v="DE4-S_A"/>
    <x v="0"/>
    <s v="GNR_ST_COAL_CND_E-44"/>
    <x v="0"/>
    <x v="9"/>
    <n v="1197.72727272727"/>
    <n v="437170.454545455"/>
    <n v="1573813.63636364"/>
  </r>
  <r>
    <x v="0"/>
    <x v="0"/>
    <x v="0"/>
    <x v="3"/>
    <x v="6"/>
    <s v="DE4-S_A"/>
    <x v="0"/>
    <s v="GNR_ST_COAL_CND_E-44"/>
    <x v="0"/>
    <x v="10"/>
    <n v="1197.72727272727"/>
    <n v="437170.454545455"/>
    <n v="1573813.63636364"/>
  </r>
  <r>
    <x v="0"/>
    <x v="0"/>
    <x v="0"/>
    <x v="3"/>
    <x v="6"/>
    <s v="DE4-S_A"/>
    <x v="0"/>
    <s v="GNR_ST_COAL_CND_E-44"/>
    <x v="0"/>
    <x v="11"/>
    <n v="1197.72727272727"/>
    <n v="437170.454545455"/>
    <n v="1573813.63636364"/>
  </r>
  <r>
    <x v="0"/>
    <x v="0"/>
    <x v="0"/>
    <x v="3"/>
    <x v="6"/>
    <s v="DE4-S_A"/>
    <x v="0"/>
    <s v="GNR_ST_COAL_CND_E-44"/>
    <x v="0"/>
    <x v="12"/>
    <n v="1197.72727272727"/>
    <n v="437170.454545455"/>
    <n v="1573813.63636364"/>
  </r>
  <r>
    <x v="0"/>
    <x v="0"/>
    <x v="0"/>
    <x v="3"/>
    <x v="6"/>
    <s v="DE4-S_A"/>
    <x v="0"/>
    <s v="GNR_ST_COAL_CND_E-44"/>
    <x v="0"/>
    <x v="13"/>
    <n v="1197.72727272727"/>
    <n v="437170.454545455"/>
    <n v="1573813.63636364"/>
  </r>
  <r>
    <x v="0"/>
    <x v="0"/>
    <x v="0"/>
    <x v="3"/>
    <x v="6"/>
    <s v="DE4-S_A"/>
    <x v="0"/>
    <s v="GNR_ST_COAL_CND_E-44"/>
    <x v="0"/>
    <x v="14"/>
    <n v="1197.72727272727"/>
    <n v="437170.454545455"/>
    <n v="1573813.63636364"/>
  </r>
  <r>
    <x v="0"/>
    <x v="0"/>
    <x v="0"/>
    <x v="3"/>
    <x v="6"/>
    <s v="DE4-S_A"/>
    <x v="0"/>
    <s v="GNR_ST_COAL_CND_E-44"/>
    <x v="0"/>
    <x v="15"/>
    <n v="1197.72727272727"/>
    <n v="437170.454545455"/>
    <n v="1573813.63636364"/>
  </r>
  <r>
    <x v="0"/>
    <x v="0"/>
    <x v="0"/>
    <x v="3"/>
    <x v="6"/>
    <s v="DE4-S_A"/>
    <x v="0"/>
    <s v="GNR_ST_COAL_CND_E-44"/>
    <x v="0"/>
    <x v="16"/>
    <n v="1197.72727272727"/>
    <n v="437170.454545455"/>
    <n v="1573813.63636364"/>
  </r>
  <r>
    <x v="0"/>
    <x v="0"/>
    <x v="0"/>
    <x v="3"/>
    <x v="6"/>
    <s v="DE4-S_A"/>
    <x v="0"/>
    <s v="GNR_ST_COAL_CND_E-44"/>
    <x v="0"/>
    <x v="17"/>
    <n v="1197.72727272727"/>
    <n v="437170.454545455"/>
    <n v="1573813.63636364"/>
  </r>
  <r>
    <x v="0"/>
    <x v="0"/>
    <x v="0"/>
    <x v="3"/>
    <x v="6"/>
    <s v="DE4-S_A"/>
    <x v="0"/>
    <s v="GNR_ST_COAL_CND_E-44"/>
    <x v="0"/>
    <x v="19"/>
    <n v="1197.72727272727"/>
    <n v="437170.454545455"/>
    <n v="1573813.63636364"/>
  </r>
  <r>
    <x v="0"/>
    <x v="0"/>
    <x v="0"/>
    <x v="3"/>
    <x v="6"/>
    <s v="DE4-S_A"/>
    <x v="0"/>
    <s v="GNR_ST_COAL_CND_E-44"/>
    <x v="0"/>
    <x v="20"/>
    <n v="1197.72727272727"/>
    <n v="437170.454545455"/>
    <n v="1573813.63636364"/>
  </r>
  <r>
    <x v="0"/>
    <x v="0"/>
    <x v="0"/>
    <x v="3"/>
    <x v="6"/>
    <s v="DE4-S_A"/>
    <x v="0"/>
    <s v="GNR_ST_COAL_CND_E-44"/>
    <x v="0"/>
    <x v="21"/>
    <n v="1197.72727272727"/>
    <n v="437170.454545455"/>
    <n v="1573813.63636364"/>
  </r>
  <r>
    <x v="0"/>
    <x v="0"/>
    <x v="0"/>
    <x v="3"/>
    <x v="6"/>
    <s v="DE4-S_A"/>
    <x v="0"/>
    <s v="GNR_ST_COAL_CND_E-44"/>
    <x v="0"/>
    <x v="22"/>
    <n v="1197.72727272727"/>
    <n v="437170.454545455"/>
    <n v="1573813.63636364"/>
  </r>
  <r>
    <x v="0"/>
    <x v="0"/>
    <x v="0"/>
    <x v="3"/>
    <x v="6"/>
    <s v="DE4-S_A"/>
    <x v="0"/>
    <s v="GNR_ST_COAL_CND_E-44"/>
    <x v="0"/>
    <x v="23"/>
    <n v="1197.72727272727"/>
    <n v="437170.454545455"/>
    <n v="1573813.63636364"/>
  </r>
  <r>
    <x v="0"/>
    <x v="0"/>
    <x v="0"/>
    <x v="3"/>
    <x v="6"/>
    <s v="DE4-S_A"/>
    <x v="16"/>
    <s v="AGG-DE4-S_RES_WTR_PMP"/>
    <x v="0"/>
    <x v="0"/>
    <n v="317.252478081253"/>
    <n v="115797.154499657"/>
    <n v="416869.756198766"/>
  </r>
  <r>
    <x v="0"/>
    <x v="0"/>
    <x v="0"/>
    <x v="3"/>
    <x v="6"/>
    <s v="DE4-S_A"/>
    <x v="16"/>
    <s v="AGG-DE4-S_RES_WTR_PMP"/>
    <x v="0"/>
    <x v="1"/>
    <n v="374.594684148108"/>
    <n v="136727.059714059"/>
    <n v="492217.41497061402"/>
  </r>
  <r>
    <x v="0"/>
    <x v="0"/>
    <x v="0"/>
    <x v="3"/>
    <x v="6"/>
    <s v="DE4-S_A"/>
    <x v="16"/>
    <s v="AGG-DE4-S_RES_WTR_PMP"/>
    <x v="0"/>
    <x v="6"/>
    <n v="302.22739726027402"/>
    <n v="110313"/>
    <n v="397126.799999999"/>
  </r>
  <r>
    <x v="0"/>
    <x v="0"/>
    <x v="0"/>
    <x v="3"/>
    <x v="6"/>
    <s v="DE4-S_A"/>
    <x v="16"/>
    <s v="AGG-DE4-S_RES_WTR_PMP"/>
    <x v="0"/>
    <x v="7"/>
    <n v="2163"/>
    <n v="789495"/>
    <n v="2842182"/>
  </r>
  <r>
    <x v="0"/>
    <x v="0"/>
    <x v="0"/>
    <x v="3"/>
    <x v="6"/>
    <s v="DE4-S_A"/>
    <x v="16"/>
    <s v="AGG-DE4-S_RES_WTR_PMP"/>
    <x v="0"/>
    <x v="14"/>
    <n v="1083.2738312532499"/>
    <n v="395394.94840743701"/>
    <n v="1423421.8142667699"/>
  </r>
  <r>
    <x v="0"/>
    <x v="0"/>
    <x v="0"/>
    <x v="3"/>
    <x v="6"/>
    <s v="DE4-S_A"/>
    <x v="16"/>
    <s v="AGG-DE4-S_RES_WTR_PMP"/>
    <x v="0"/>
    <x v="16"/>
    <n v="2163"/>
    <n v="789495"/>
    <n v="2842182"/>
  </r>
  <r>
    <x v="0"/>
    <x v="0"/>
    <x v="0"/>
    <x v="3"/>
    <x v="6"/>
    <s v="DE4-S_A"/>
    <x v="2"/>
    <s v="GNR_ST_MSW_CND_E-33"/>
    <x v="0"/>
    <x v="0"/>
    <n v="121.212121212121"/>
    <n v="44242.424242424197"/>
    <n v="159272.727272727"/>
  </r>
  <r>
    <x v="0"/>
    <x v="0"/>
    <x v="0"/>
    <x v="3"/>
    <x v="6"/>
    <s v="DE4-S_A"/>
    <x v="2"/>
    <s v="GNR_ST_MSW_CND_E-33"/>
    <x v="0"/>
    <x v="1"/>
    <n v="121.212121212121"/>
    <n v="44242.424242424197"/>
    <n v="159272.727272727"/>
  </r>
  <r>
    <x v="0"/>
    <x v="0"/>
    <x v="0"/>
    <x v="3"/>
    <x v="6"/>
    <s v="DE4-S_A"/>
    <x v="2"/>
    <s v="GNR_ST_MSW_CND_E-33"/>
    <x v="0"/>
    <x v="2"/>
    <n v="121.212121212121"/>
    <n v="44242.424242424197"/>
    <n v="159272.727272727"/>
  </r>
  <r>
    <x v="0"/>
    <x v="0"/>
    <x v="0"/>
    <x v="3"/>
    <x v="6"/>
    <s v="DE4-S_A"/>
    <x v="2"/>
    <s v="GNR_ST_MSW_CND_E-33"/>
    <x v="0"/>
    <x v="3"/>
    <n v="121.212121212121"/>
    <n v="44242.424242424197"/>
    <n v="159272.727272727"/>
  </r>
  <r>
    <x v="0"/>
    <x v="0"/>
    <x v="0"/>
    <x v="3"/>
    <x v="6"/>
    <s v="DE4-S_A"/>
    <x v="2"/>
    <s v="GNR_ST_MSW_CND_E-33"/>
    <x v="0"/>
    <x v="18"/>
    <n v="121.212121212121"/>
    <n v="44242.424242424197"/>
    <n v="159272.727272727"/>
  </r>
  <r>
    <x v="0"/>
    <x v="0"/>
    <x v="0"/>
    <x v="3"/>
    <x v="6"/>
    <s v="DE4-S_A"/>
    <x v="2"/>
    <s v="GNR_ST_MSW_CND_E-33"/>
    <x v="0"/>
    <x v="4"/>
    <n v="121.212121212121"/>
    <n v="44242.424242424197"/>
    <n v="159272.727272727"/>
  </r>
  <r>
    <x v="0"/>
    <x v="0"/>
    <x v="0"/>
    <x v="3"/>
    <x v="6"/>
    <s v="DE4-S_A"/>
    <x v="2"/>
    <s v="GNR_ST_MSW_CND_E-33"/>
    <x v="0"/>
    <x v="5"/>
    <n v="121.212121212121"/>
    <n v="44242.424242424197"/>
    <n v="159272.727272727"/>
  </r>
  <r>
    <x v="0"/>
    <x v="0"/>
    <x v="0"/>
    <x v="3"/>
    <x v="6"/>
    <s v="DE4-S_A"/>
    <x v="2"/>
    <s v="GNR_ST_MSW_CND_E-33"/>
    <x v="0"/>
    <x v="6"/>
    <n v="121.212121212121"/>
    <n v="44242.424242424197"/>
    <n v="159272.727272727"/>
  </r>
  <r>
    <x v="0"/>
    <x v="0"/>
    <x v="0"/>
    <x v="3"/>
    <x v="6"/>
    <s v="DE4-S_A"/>
    <x v="2"/>
    <s v="GNR_ST_MSW_CND_E-33"/>
    <x v="0"/>
    <x v="7"/>
    <n v="121.212121212121"/>
    <n v="44242.424242424197"/>
    <n v="159272.727272727"/>
  </r>
  <r>
    <x v="0"/>
    <x v="0"/>
    <x v="0"/>
    <x v="3"/>
    <x v="6"/>
    <s v="DE4-S_A"/>
    <x v="2"/>
    <s v="GNR_ST_MSW_CND_E-33"/>
    <x v="0"/>
    <x v="8"/>
    <n v="121.212121212121"/>
    <n v="44242.424242424197"/>
    <n v="159272.727272727"/>
  </r>
  <r>
    <x v="0"/>
    <x v="0"/>
    <x v="0"/>
    <x v="3"/>
    <x v="6"/>
    <s v="DE4-S_A"/>
    <x v="2"/>
    <s v="GNR_ST_MSW_CND_E-33"/>
    <x v="0"/>
    <x v="9"/>
    <n v="121.212121212121"/>
    <n v="44242.424242424197"/>
    <n v="159272.727272727"/>
  </r>
  <r>
    <x v="0"/>
    <x v="0"/>
    <x v="0"/>
    <x v="3"/>
    <x v="6"/>
    <s v="DE4-S_A"/>
    <x v="2"/>
    <s v="GNR_ST_MSW_CND_E-33"/>
    <x v="0"/>
    <x v="10"/>
    <n v="121.212121212121"/>
    <n v="44242.424242424197"/>
    <n v="159272.727272727"/>
  </r>
  <r>
    <x v="0"/>
    <x v="0"/>
    <x v="0"/>
    <x v="3"/>
    <x v="6"/>
    <s v="DE4-S_A"/>
    <x v="2"/>
    <s v="GNR_ST_MSW_CND_E-33"/>
    <x v="0"/>
    <x v="11"/>
    <n v="121.212121212121"/>
    <n v="44242.424242424197"/>
    <n v="159272.727272727"/>
  </r>
  <r>
    <x v="0"/>
    <x v="0"/>
    <x v="0"/>
    <x v="3"/>
    <x v="6"/>
    <s v="DE4-S_A"/>
    <x v="2"/>
    <s v="GNR_ST_MSW_CND_E-33"/>
    <x v="0"/>
    <x v="12"/>
    <n v="121.212121212121"/>
    <n v="44242.424242424197"/>
    <n v="159272.727272727"/>
  </r>
  <r>
    <x v="0"/>
    <x v="0"/>
    <x v="0"/>
    <x v="3"/>
    <x v="6"/>
    <s v="DE4-S_A"/>
    <x v="2"/>
    <s v="GNR_ST_MSW_CND_E-33"/>
    <x v="0"/>
    <x v="13"/>
    <n v="121.212121212121"/>
    <n v="44242.424242424197"/>
    <n v="159272.727272727"/>
  </r>
  <r>
    <x v="0"/>
    <x v="0"/>
    <x v="0"/>
    <x v="3"/>
    <x v="6"/>
    <s v="DE4-S_A"/>
    <x v="2"/>
    <s v="GNR_ST_MSW_CND_E-33"/>
    <x v="0"/>
    <x v="14"/>
    <n v="121.212121212121"/>
    <n v="44242.424242424197"/>
    <n v="159272.727272727"/>
  </r>
  <r>
    <x v="0"/>
    <x v="0"/>
    <x v="0"/>
    <x v="3"/>
    <x v="6"/>
    <s v="DE4-S_A"/>
    <x v="2"/>
    <s v="GNR_ST_MSW_CND_E-33"/>
    <x v="0"/>
    <x v="15"/>
    <n v="121.212121212121"/>
    <n v="44242.424242424197"/>
    <n v="159272.727272727"/>
  </r>
  <r>
    <x v="0"/>
    <x v="0"/>
    <x v="0"/>
    <x v="3"/>
    <x v="6"/>
    <s v="DE4-S_A"/>
    <x v="2"/>
    <s v="GNR_ST_MSW_CND_E-33"/>
    <x v="0"/>
    <x v="16"/>
    <n v="121.212121212121"/>
    <n v="44242.424242424197"/>
    <n v="159272.727272727"/>
  </r>
  <r>
    <x v="0"/>
    <x v="0"/>
    <x v="0"/>
    <x v="3"/>
    <x v="6"/>
    <s v="DE4-S_A"/>
    <x v="2"/>
    <s v="GNR_ST_MSW_CND_E-33"/>
    <x v="0"/>
    <x v="17"/>
    <n v="121.212121212121"/>
    <n v="44242.424242424197"/>
    <n v="159272.727272727"/>
  </r>
  <r>
    <x v="0"/>
    <x v="0"/>
    <x v="0"/>
    <x v="3"/>
    <x v="6"/>
    <s v="DE4-S_A"/>
    <x v="2"/>
    <s v="GNR_ST_MSW_CND_E-33"/>
    <x v="0"/>
    <x v="19"/>
    <n v="121.212121212121"/>
    <n v="44242.424242424197"/>
    <n v="159272.727272727"/>
  </r>
  <r>
    <x v="0"/>
    <x v="0"/>
    <x v="0"/>
    <x v="3"/>
    <x v="6"/>
    <s v="DE4-S_A"/>
    <x v="2"/>
    <s v="GNR_ST_MSW_CND_E-33"/>
    <x v="0"/>
    <x v="20"/>
    <n v="121.212121212121"/>
    <n v="44242.424242424197"/>
    <n v="159272.727272727"/>
  </r>
  <r>
    <x v="0"/>
    <x v="0"/>
    <x v="0"/>
    <x v="3"/>
    <x v="6"/>
    <s v="DE4-S_A"/>
    <x v="2"/>
    <s v="GNR_ST_MSW_CND_E-33"/>
    <x v="0"/>
    <x v="21"/>
    <n v="121.212121212121"/>
    <n v="44242.424242424197"/>
    <n v="159272.727272727"/>
  </r>
  <r>
    <x v="0"/>
    <x v="0"/>
    <x v="0"/>
    <x v="3"/>
    <x v="6"/>
    <s v="DE4-S_A"/>
    <x v="2"/>
    <s v="GNR_ST_MSW_CND_E-33"/>
    <x v="0"/>
    <x v="22"/>
    <n v="121.212121212121"/>
    <n v="44242.424242424197"/>
    <n v="159272.727272727"/>
  </r>
  <r>
    <x v="0"/>
    <x v="0"/>
    <x v="0"/>
    <x v="3"/>
    <x v="6"/>
    <s v="DE4-S_A"/>
    <x v="2"/>
    <s v="GNR_ST_MSW_CND_E-33"/>
    <x v="0"/>
    <x v="23"/>
    <n v="121.212121212121"/>
    <n v="44242.424242424197"/>
    <n v="159272.727272727"/>
  </r>
  <r>
    <x v="0"/>
    <x v="0"/>
    <x v="0"/>
    <x v="3"/>
    <x v="6"/>
    <s v="DE4-S_A"/>
    <x v="15"/>
    <s v="GNR_ST_NUCL_CND_E-33"/>
    <x v="0"/>
    <x v="0"/>
    <n v="20284.848484848499"/>
    <n v="7403969.6969697"/>
    <n v="26654290.909090899"/>
  </r>
  <r>
    <x v="0"/>
    <x v="0"/>
    <x v="0"/>
    <x v="3"/>
    <x v="6"/>
    <s v="DE4-S_A"/>
    <x v="15"/>
    <s v="GNR_ST_NUCL_CND_E-33"/>
    <x v="0"/>
    <x v="1"/>
    <n v="20284.848484848499"/>
    <n v="7403969.6969697"/>
    <n v="26654290.909090899"/>
  </r>
  <r>
    <x v="0"/>
    <x v="0"/>
    <x v="0"/>
    <x v="3"/>
    <x v="6"/>
    <s v="DE4-S_A"/>
    <x v="15"/>
    <s v="GNR_ST_NUCL_CND_E-33"/>
    <x v="0"/>
    <x v="2"/>
    <n v="20284.848484848499"/>
    <n v="7403969.6969697"/>
    <n v="26654290.909090899"/>
  </r>
  <r>
    <x v="0"/>
    <x v="0"/>
    <x v="0"/>
    <x v="3"/>
    <x v="6"/>
    <s v="DE4-S_A"/>
    <x v="15"/>
    <s v="GNR_ST_NUCL_CND_E-33"/>
    <x v="0"/>
    <x v="3"/>
    <n v="20284.848484848499"/>
    <n v="7403969.6969697"/>
    <n v="26654290.909090899"/>
  </r>
  <r>
    <x v="0"/>
    <x v="0"/>
    <x v="0"/>
    <x v="3"/>
    <x v="6"/>
    <s v="DE4-S_A"/>
    <x v="15"/>
    <s v="GNR_ST_NUCL_CND_E-33"/>
    <x v="0"/>
    <x v="18"/>
    <n v="20284.848484848499"/>
    <n v="7403969.6969697"/>
    <n v="26654290.909090899"/>
  </r>
  <r>
    <x v="0"/>
    <x v="0"/>
    <x v="0"/>
    <x v="3"/>
    <x v="6"/>
    <s v="DE4-S_A"/>
    <x v="15"/>
    <s v="GNR_ST_NUCL_CND_E-33"/>
    <x v="0"/>
    <x v="4"/>
    <n v="20284.848484848499"/>
    <n v="7403969.6969697"/>
    <n v="26654290.909090899"/>
  </r>
  <r>
    <x v="0"/>
    <x v="0"/>
    <x v="0"/>
    <x v="3"/>
    <x v="6"/>
    <s v="DE4-S_A"/>
    <x v="15"/>
    <s v="GNR_ST_NUCL_CND_E-33"/>
    <x v="0"/>
    <x v="5"/>
    <n v="20284.848484848499"/>
    <n v="7403969.6969697"/>
    <n v="26654290.909090899"/>
  </r>
  <r>
    <x v="0"/>
    <x v="0"/>
    <x v="0"/>
    <x v="3"/>
    <x v="6"/>
    <s v="DE4-S_A"/>
    <x v="15"/>
    <s v="GNR_ST_NUCL_CND_E-33"/>
    <x v="0"/>
    <x v="6"/>
    <n v="20284.848484848499"/>
    <n v="7403969.6969697"/>
    <n v="26654290.909090899"/>
  </r>
  <r>
    <x v="0"/>
    <x v="0"/>
    <x v="0"/>
    <x v="3"/>
    <x v="6"/>
    <s v="DE4-S_A"/>
    <x v="15"/>
    <s v="GNR_ST_NUCL_CND_E-33"/>
    <x v="0"/>
    <x v="7"/>
    <n v="20284.848484848499"/>
    <n v="7403969.6969697"/>
    <n v="26654290.909090899"/>
  </r>
  <r>
    <x v="0"/>
    <x v="0"/>
    <x v="0"/>
    <x v="3"/>
    <x v="6"/>
    <s v="DE4-S_A"/>
    <x v="15"/>
    <s v="GNR_ST_NUCL_CND_E-33"/>
    <x v="0"/>
    <x v="8"/>
    <n v="20284.848484848499"/>
    <n v="7403969.6969697"/>
    <n v="26654290.909090899"/>
  </r>
  <r>
    <x v="0"/>
    <x v="0"/>
    <x v="0"/>
    <x v="3"/>
    <x v="6"/>
    <s v="DE4-S_A"/>
    <x v="15"/>
    <s v="GNR_ST_NUCL_CND_E-33"/>
    <x v="0"/>
    <x v="9"/>
    <n v="20284.848484848499"/>
    <n v="7403969.6969697"/>
    <n v="26654290.909090899"/>
  </r>
  <r>
    <x v="0"/>
    <x v="0"/>
    <x v="0"/>
    <x v="3"/>
    <x v="6"/>
    <s v="DE4-S_A"/>
    <x v="15"/>
    <s v="GNR_ST_NUCL_CND_E-33"/>
    <x v="0"/>
    <x v="10"/>
    <n v="20284.848484848499"/>
    <n v="7403969.6969697"/>
    <n v="26654290.909090899"/>
  </r>
  <r>
    <x v="0"/>
    <x v="0"/>
    <x v="0"/>
    <x v="3"/>
    <x v="6"/>
    <s v="DE4-S_A"/>
    <x v="15"/>
    <s v="GNR_ST_NUCL_CND_E-33"/>
    <x v="0"/>
    <x v="11"/>
    <n v="20284.848484848499"/>
    <n v="7403969.6969697"/>
    <n v="26654290.909090899"/>
  </r>
  <r>
    <x v="0"/>
    <x v="0"/>
    <x v="0"/>
    <x v="3"/>
    <x v="6"/>
    <s v="DE4-S_A"/>
    <x v="15"/>
    <s v="GNR_ST_NUCL_CND_E-33"/>
    <x v="0"/>
    <x v="12"/>
    <n v="20284.848484848499"/>
    <n v="7403969.6969697"/>
    <n v="26654290.909090899"/>
  </r>
  <r>
    <x v="0"/>
    <x v="0"/>
    <x v="0"/>
    <x v="3"/>
    <x v="6"/>
    <s v="DE4-S_A"/>
    <x v="15"/>
    <s v="GNR_ST_NUCL_CND_E-33"/>
    <x v="0"/>
    <x v="13"/>
    <n v="20284.848484848499"/>
    <n v="7403969.6969697"/>
    <n v="26654290.909090899"/>
  </r>
  <r>
    <x v="0"/>
    <x v="0"/>
    <x v="0"/>
    <x v="3"/>
    <x v="6"/>
    <s v="DE4-S_A"/>
    <x v="15"/>
    <s v="GNR_ST_NUCL_CND_E-33"/>
    <x v="0"/>
    <x v="14"/>
    <n v="20284.848484848499"/>
    <n v="7403969.6969697"/>
    <n v="26654290.909090899"/>
  </r>
  <r>
    <x v="0"/>
    <x v="0"/>
    <x v="0"/>
    <x v="3"/>
    <x v="6"/>
    <s v="DE4-S_A"/>
    <x v="15"/>
    <s v="GNR_ST_NUCL_CND_E-33"/>
    <x v="0"/>
    <x v="15"/>
    <n v="20284.848484848499"/>
    <n v="7403969.6969697"/>
    <n v="26654290.909090899"/>
  </r>
  <r>
    <x v="0"/>
    <x v="0"/>
    <x v="0"/>
    <x v="3"/>
    <x v="6"/>
    <s v="DE4-S_A"/>
    <x v="15"/>
    <s v="GNR_ST_NUCL_CND_E-33"/>
    <x v="0"/>
    <x v="16"/>
    <n v="20284.848484848499"/>
    <n v="7403969.6969697"/>
    <n v="26654290.909090899"/>
  </r>
  <r>
    <x v="0"/>
    <x v="0"/>
    <x v="0"/>
    <x v="3"/>
    <x v="6"/>
    <s v="DE4-S_A"/>
    <x v="15"/>
    <s v="GNR_ST_NUCL_CND_E-33"/>
    <x v="0"/>
    <x v="17"/>
    <n v="20284.848484848499"/>
    <n v="7403969.6969697"/>
    <n v="26654290.909090899"/>
  </r>
  <r>
    <x v="0"/>
    <x v="0"/>
    <x v="0"/>
    <x v="3"/>
    <x v="6"/>
    <s v="DE4-S_A"/>
    <x v="15"/>
    <s v="GNR_ST_NUCL_CND_E-33"/>
    <x v="0"/>
    <x v="19"/>
    <n v="20284.848484848499"/>
    <n v="7403969.6969697"/>
    <n v="26654290.909090899"/>
  </r>
  <r>
    <x v="0"/>
    <x v="0"/>
    <x v="0"/>
    <x v="3"/>
    <x v="6"/>
    <s v="DE4-S_A"/>
    <x v="15"/>
    <s v="GNR_ST_NUCL_CND_E-33"/>
    <x v="0"/>
    <x v="20"/>
    <n v="20284.848484848499"/>
    <n v="7403969.6969697"/>
    <n v="26654290.909090899"/>
  </r>
  <r>
    <x v="0"/>
    <x v="0"/>
    <x v="0"/>
    <x v="3"/>
    <x v="6"/>
    <s v="DE4-S_A"/>
    <x v="15"/>
    <s v="GNR_ST_NUCL_CND_E-33"/>
    <x v="0"/>
    <x v="21"/>
    <n v="20284.848484848499"/>
    <n v="7403969.6969697"/>
    <n v="26654290.909090899"/>
  </r>
  <r>
    <x v="0"/>
    <x v="0"/>
    <x v="0"/>
    <x v="3"/>
    <x v="6"/>
    <s v="DE4-S_A"/>
    <x v="15"/>
    <s v="GNR_ST_NUCL_CND_E-33"/>
    <x v="0"/>
    <x v="22"/>
    <n v="20284.848484848499"/>
    <n v="7403969.6969697"/>
    <n v="26654290.909090899"/>
  </r>
  <r>
    <x v="0"/>
    <x v="0"/>
    <x v="0"/>
    <x v="3"/>
    <x v="6"/>
    <s v="DE4-S_A"/>
    <x v="15"/>
    <s v="GNR_ST_NUCL_CND_E-33"/>
    <x v="0"/>
    <x v="23"/>
    <n v="20284.848484848499"/>
    <n v="7403969.6969697"/>
    <n v="26654290.909090899"/>
  </r>
  <r>
    <x v="0"/>
    <x v="0"/>
    <x v="0"/>
    <x v="3"/>
    <x v="6"/>
    <s v="DE4-S_A"/>
    <x v="6"/>
    <s v="GNR_PV_SUN"/>
    <x v="0"/>
    <x v="7"/>
    <n v="439.20802308583097"/>
    <n v="160310.928426328"/>
    <n v="577119.34233478201"/>
  </r>
  <r>
    <x v="0"/>
    <x v="0"/>
    <x v="0"/>
    <x v="3"/>
    <x v="6"/>
    <s v="DE4-S_A"/>
    <x v="6"/>
    <s v="GNR_PV_SUN"/>
    <x v="0"/>
    <x v="8"/>
    <n v="3306.4480917435899"/>
    <n v="1206853.5534864101"/>
    <n v="4344672.7925510705"/>
  </r>
  <r>
    <x v="0"/>
    <x v="0"/>
    <x v="0"/>
    <x v="3"/>
    <x v="6"/>
    <s v="DE4-S_A"/>
    <x v="6"/>
    <s v="GNR_PV_SUN"/>
    <x v="0"/>
    <x v="9"/>
    <n v="7637.7149040207796"/>
    <n v="2787765.9399675801"/>
    <n v="10035957.383883299"/>
  </r>
  <r>
    <x v="0"/>
    <x v="0"/>
    <x v="0"/>
    <x v="3"/>
    <x v="6"/>
    <s v="DE4-S_A"/>
    <x v="6"/>
    <s v="GNR_PV_SUN"/>
    <x v="0"/>
    <x v="10"/>
    <n v="11631.1293908473"/>
    <n v="4245362.2276592804"/>
    <n v="15283304.0195734"/>
  </r>
  <r>
    <x v="0"/>
    <x v="0"/>
    <x v="0"/>
    <x v="3"/>
    <x v="6"/>
    <s v="DE4-S_A"/>
    <x v="6"/>
    <s v="GNR_PV_SUN"/>
    <x v="0"/>
    <x v="11"/>
    <n v="13223.540018137999"/>
    <n v="4826592.1066203704"/>
    <n v="17375731.5838333"/>
  </r>
  <r>
    <x v="0"/>
    <x v="0"/>
    <x v="0"/>
    <x v="3"/>
    <x v="6"/>
    <s v="DE4-S_A"/>
    <x v="6"/>
    <s v="GNR_PV_SUN"/>
    <x v="0"/>
    <x v="12"/>
    <n v="11498.240809503401"/>
    <n v="4196857.89546875"/>
    <n v="15108688.423687501"/>
  </r>
  <r>
    <x v="0"/>
    <x v="0"/>
    <x v="0"/>
    <x v="3"/>
    <x v="6"/>
    <s v="DE4-S_A"/>
    <x v="6"/>
    <s v="GNR_PV_SUN"/>
    <x v="0"/>
    <x v="13"/>
    <n v="7482.3028343134902"/>
    <n v="2731040.5345244198"/>
    <n v="9831745.9242879208"/>
  </r>
  <r>
    <x v="0"/>
    <x v="0"/>
    <x v="0"/>
    <x v="3"/>
    <x v="6"/>
    <s v="DE4-S_A"/>
    <x v="6"/>
    <s v="GNR_PV_SUN"/>
    <x v="0"/>
    <x v="14"/>
    <n v="3788.45074271983"/>
    <n v="1382784.5210927399"/>
    <n v="4978024.2759338599"/>
  </r>
  <r>
    <x v="0"/>
    <x v="0"/>
    <x v="0"/>
    <x v="3"/>
    <x v="6"/>
    <s v="DE4-S_A"/>
    <x v="6"/>
    <s v="GNR_PV_SUN"/>
    <x v="0"/>
    <x v="15"/>
    <n v="493.264395157933"/>
    <n v="180041.504232646"/>
    <n v="648149.41523752396"/>
  </r>
  <r>
    <x v="0"/>
    <x v="0"/>
    <x v="0"/>
    <x v="3"/>
    <x v="6"/>
    <s v="DE4-S_A"/>
    <x v="1"/>
    <s v="GNR_GEO_HEAT_EO"/>
    <x v="0"/>
    <x v="0"/>
    <n v="44.76"/>
    <n v="16337.4"/>
    <n v="58814.64"/>
  </r>
  <r>
    <x v="0"/>
    <x v="0"/>
    <x v="0"/>
    <x v="3"/>
    <x v="6"/>
    <s v="DE4-S_A"/>
    <x v="1"/>
    <s v="GNR_GEO_HEAT_EO"/>
    <x v="0"/>
    <x v="1"/>
    <n v="44.76"/>
    <n v="16337.4"/>
    <n v="58814.64"/>
  </r>
  <r>
    <x v="0"/>
    <x v="0"/>
    <x v="0"/>
    <x v="3"/>
    <x v="6"/>
    <s v="DE4-S_A"/>
    <x v="1"/>
    <s v="GNR_GEO_HEAT_EO"/>
    <x v="0"/>
    <x v="2"/>
    <n v="44.76"/>
    <n v="16337.4"/>
    <n v="58814.64"/>
  </r>
  <r>
    <x v="0"/>
    <x v="0"/>
    <x v="0"/>
    <x v="3"/>
    <x v="6"/>
    <s v="DE4-S_A"/>
    <x v="1"/>
    <s v="GNR_GEO_HEAT_EO"/>
    <x v="0"/>
    <x v="3"/>
    <n v="44.76"/>
    <n v="16337.4"/>
    <n v="58814.64"/>
  </r>
  <r>
    <x v="0"/>
    <x v="0"/>
    <x v="0"/>
    <x v="3"/>
    <x v="6"/>
    <s v="DE4-S_A"/>
    <x v="1"/>
    <s v="GNR_GEO_HEAT_EO"/>
    <x v="0"/>
    <x v="18"/>
    <n v="44.76"/>
    <n v="16337.4"/>
    <n v="58814.64"/>
  </r>
  <r>
    <x v="0"/>
    <x v="0"/>
    <x v="0"/>
    <x v="3"/>
    <x v="6"/>
    <s v="DE4-S_A"/>
    <x v="1"/>
    <s v="GNR_GEO_HEAT_EO"/>
    <x v="0"/>
    <x v="4"/>
    <n v="44.76"/>
    <n v="16337.4"/>
    <n v="58814.64"/>
  </r>
  <r>
    <x v="0"/>
    <x v="0"/>
    <x v="0"/>
    <x v="3"/>
    <x v="6"/>
    <s v="DE4-S_A"/>
    <x v="1"/>
    <s v="GNR_GEO_HEAT_EO"/>
    <x v="0"/>
    <x v="5"/>
    <n v="44.76"/>
    <n v="16337.4"/>
    <n v="58814.64"/>
  </r>
  <r>
    <x v="0"/>
    <x v="0"/>
    <x v="0"/>
    <x v="3"/>
    <x v="6"/>
    <s v="DE4-S_A"/>
    <x v="1"/>
    <s v="GNR_GEO_HEAT_EO"/>
    <x v="0"/>
    <x v="6"/>
    <n v="44.76"/>
    <n v="16337.4"/>
    <n v="58814.64"/>
  </r>
  <r>
    <x v="0"/>
    <x v="0"/>
    <x v="0"/>
    <x v="3"/>
    <x v="6"/>
    <s v="DE4-S_A"/>
    <x v="1"/>
    <s v="GNR_GEO_HEAT_EO"/>
    <x v="0"/>
    <x v="7"/>
    <n v="44.76"/>
    <n v="16337.4"/>
    <n v="58814.64"/>
  </r>
  <r>
    <x v="0"/>
    <x v="0"/>
    <x v="0"/>
    <x v="3"/>
    <x v="6"/>
    <s v="DE4-S_A"/>
    <x v="1"/>
    <s v="GNR_GEO_HEAT_EO"/>
    <x v="0"/>
    <x v="8"/>
    <n v="44.76"/>
    <n v="16337.4"/>
    <n v="58814.64"/>
  </r>
  <r>
    <x v="0"/>
    <x v="0"/>
    <x v="0"/>
    <x v="3"/>
    <x v="6"/>
    <s v="DE4-S_A"/>
    <x v="1"/>
    <s v="GNR_GEO_HEAT_EO"/>
    <x v="0"/>
    <x v="9"/>
    <n v="44.76"/>
    <n v="16337.4"/>
    <n v="58814.64"/>
  </r>
  <r>
    <x v="0"/>
    <x v="0"/>
    <x v="0"/>
    <x v="3"/>
    <x v="6"/>
    <s v="DE4-S_A"/>
    <x v="1"/>
    <s v="GNR_GEO_HEAT_EO"/>
    <x v="0"/>
    <x v="10"/>
    <n v="44.76"/>
    <n v="16337.4"/>
    <n v="58814.64"/>
  </r>
  <r>
    <x v="0"/>
    <x v="0"/>
    <x v="0"/>
    <x v="3"/>
    <x v="6"/>
    <s v="DE4-S_A"/>
    <x v="1"/>
    <s v="GNR_GEO_HEAT_EO"/>
    <x v="0"/>
    <x v="11"/>
    <n v="44.76"/>
    <n v="16337.4"/>
    <n v="58814.64"/>
  </r>
  <r>
    <x v="0"/>
    <x v="0"/>
    <x v="0"/>
    <x v="3"/>
    <x v="6"/>
    <s v="DE4-S_A"/>
    <x v="1"/>
    <s v="GNR_GEO_HEAT_EO"/>
    <x v="0"/>
    <x v="12"/>
    <n v="44.76"/>
    <n v="16337.4"/>
    <n v="58814.64"/>
  </r>
  <r>
    <x v="0"/>
    <x v="0"/>
    <x v="0"/>
    <x v="3"/>
    <x v="6"/>
    <s v="DE4-S_A"/>
    <x v="1"/>
    <s v="GNR_GEO_HEAT_EO"/>
    <x v="0"/>
    <x v="13"/>
    <n v="44.76"/>
    <n v="16337.4"/>
    <n v="58814.64"/>
  </r>
  <r>
    <x v="0"/>
    <x v="0"/>
    <x v="0"/>
    <x v="3"/>
    <x v="6"/>
    <s v="DE4-S_A"/>
    <x v="1"/>
    <s v="GNR_GEO_HEAT_EO"/>
    <x v="0"/>
    <x v="14"/>
    <n v="44.76"/>
    <n v="16337.4"/>
    <n v="58814.64"/>
  </r>
  <r>
    <x v="0"/>
    <x v="0"/>
    <x v="0"/>
    <x v="3"/>
    <x v="6"/>
    <s v="DE4-S_A"/>
    <x v="1"/>
    <s v="GNR_GEO_HEAT_EO"/>
    <x v="0"/>
    <x v="15"/>
    <n v="44.76"/>
    <n v="16337.4"/>
    <n v="58814.64"/>
  </r>
  <r>
    <x v="0"/>
    <x v="0"/>
    <x v="0"/>
    <x v="3"/>
    <x v="6"/>
    <s v="DE4-S_A"/>
    <x v="1"/>
    <s v="GNR_GEO_HEAT_EO"/>
    <x v="0"/>
    <x v="16"/>
    <n v="44.76"/>
    <n v="16337.4"/>
    <n v="58814.64"/>
  </r>
  <r>
    <x v="0"/>
    <x v="0"/>
    <x v="0"/>
    <x v="3"/>
    <x v="6"/>
    <s v="DE4-S_A"/>
    <x v="1"/>
    <s v="GNR_GEO_HEAT_EO"/>
    <x v="0"/>
    <x v="17"/>
    <n v="44.76"/>
    <n v="16337.4"/>
    <n v="58814.64"/>
  </r>
  <r>
    <x v="0"/>
    <x v="0"/>
    <x v="0"/>
    <x v="3"/>
    <x v="6"/>
    <s v="DE4-S_A"/>
    <x v="1"/>
    <s v="GNR_GEO_HEAT_EO"/>
    <x v="0"/>
    <x v="19"/>
    <n v="44.76"/>
    <n v="16337.4"/>
    <n v="58814.64"/>
  </r>
  <r>
    <x v="0"/>
    <x v="0"/>
    <x v="0"/>
    <x v="3"/>
    <x v="6"/>
    <s v="DE4-S_A"/>
    <x v="1"/>
    <s v="GNR_GEO_HEAT_EO"/>
    <x v="0"/>
    <x v="20"/>
    <n v="44.76"/>
    <n v="16337.4"/>
    <n v="58814.64"/>
  </r>
  <r>
    <x v="0"/>
    <x v="0"/>
    <x v="0"/>
    <x v="3"/>
    <x v="6"/>
    <s v="DE4-S_A"/>
    <x v="1"/>
    <s v="GNR_GEO_HEAT_EO"/>
    <x v="0"/>
    <x v="21"/>
    <n v="44.76"/>
    <n v="16337.4"/>
    <n v="58814.64"/>
  </r>
  <r>
    <x v="0"/>
    <x v="0"/>
    <x v="0"/>
    <x v="3"/>
    <x v="6"/>
    <s v="DE4-S_A"/>
    <x v="1"/>
    <s v="GNR_GEO_HEAT_EO"/>
    <x v="0"/>
    <x v="22"/>
    <n v="44.76"/>
    <n v="16337.4"/>
    <n v="58814.64"/>
  </r>
  <r>
    <x v="0"/>
    <x v="0"/>
    <x v="0"/>
    <x v="3"/>
    <x v="6"/>
    <s v="DE4-S_A"/>
    <x v="1"/>
    <s v="GNR_GEO_HEAT_EO"/>
    <x v="0"/>
    <x v="23"/>
    <n v="44.76"/>
    <n v="16337.4"/>
    <n v="58814.64"/>
  </r>
  <r>
    <x v="0"/>
    <x v="0"/>
    <x v="0"/>
    <x v="3"/>
    <x v="6"/>
    <s v="DE4-S_A"/>
    <x v="7"/>
    <s v="GNR_RES_WTR_NOPMP"/>
    <x v="0"/>
    <x v="5"/>
    <n v="124"/>
    <n v="45260"/>
    <n v="162936"/>
  </r>
  <r>
    <x v="0"/>
    <x v="0"/>
    <x v="0"/>
    <x v="3"/>
    <x v="6"/>
    <s v="DE4-S_A"/>
    <x v="7"/>
    <s v="GNR_RES_WTR_NOPMP"/>
    <x v="0"/>
    <x v="6"/>
    <n v="124"/>
    <n v="45260"/>
    <n v="162936"/>
  </r>
  <r>
    <x v="0"/>
    <x v="0"/>
    <x v="0"/>
    <x v="3"/>
    <x v="6"/>
    <s v="DE4-S_A"/>
    <x v="7"/>
    <s v="GNR_RES_WTR_NOPMP"/>
    <x v="0"/>
    <x v="7"/>
    <n v="124"/>
    <n v="45260"/>
    <n v="162936"/>
  </r>
  <r>
    <x v="0"/>
    <x v="0"/>
    <x v="0"/>
    <x v="3"/>
    <x v="6"/>
    <s v="DE4-S_A"/>
    <x v="7"/>
    <s v="GNR_RES_WTR_NOPMP"/>
    <x v="0"/>
    <x v="8"/>
    <n v="124"/>
    <n v="45260"/>
    <n v="162936"/>
  </r>
  <r>
    <x v="0"/>
    <x v="0"/>
    <x v="0"/>
    <x v="3"/>
    <x v="6"/>
    <s v="DE4-S_A"/>
    <x v="7"/>
    <s v="GNR_RES_WTR_NOPMP"/>
    <x v="0"/>
    <x v="9"/>
    <n v="124"/>
    <n v="45260"/>
    <n v="162936"/>
  </r>
  <r>
    <x v="0"/>
    <x v="0"/>
    <x v="0"/>
    <x v="3"/>
    <x v="6"/>
    <s v="DE4-S_A"/>
    <x v="7"/>
    <s v="GNR_RES_WTR_NOPMP"/>
    <x v="0"/>
    <x v="10"/>
    <n v="124"/>
    <n v="45260"/>
    <n v="162936"/>
  </r>
  <r>
    <x v="0"/>
    <x v="0"/>
    <x v="0"/>
    <x v="3"/>
    <x v="6"/>
    <s v="DE4-S_A"/>
    <x v="7"/>
    <s v="GNR_RES_WTR_NOPMP"/>
    <x v="0"/>
    <x v="11"/>
    <n v="25.432108074022501"/>
    <n v="9282.7194470182294"/>
    <n v="33417.790009265598"/>
  </r>
  <r>
    <x v="0"/>
    <x v="0"/>
    <x v="0"/>
    <x v="3"/>
    <x v="6"/>
    <s v="DE4-S_A"/>
    <x v="7"/>
    <s v="GNR_RES_WTR_NOPMP"/>
    <x v="0"/>
    <x v="13"/>
    <n v="124"/>
    <n v="45260"/>
    <n v="162936"/>
  </r>
  <r>
    <x v="0"/>
    <x v="0"/>
    <x v="0"/>
    <x v="3"/>
    <x v="6"/>
    <s v="DE4-S_A"/>
    <x v="7"/>
    <s v="GNR_RES_WTR_NOPMP"/>
    <x v="0"/>
    <x v="14"/>
    <n v="124"/>
    <n v="45260"/>
    <n v="162936"/>
  </r>
  <r>
    <x v="0"/>
    <x v="0"/>
    <x v="0"/>
    <x v="3"/>
    <x v="6"/>
    <s v="DE4-S_A"/>
    <x v="7"/>
    <s v="GNR_RES_WTR_NOPMP"/>
    <x v="0"/>
    <x v="15"/>
    <n v="124"/>
    <n v="45260"/>
    <n v="162936"/>
  </r>
  <r>
    <x v="0"/>
    <x v="0"/>
    <x v="0"/>
    <x v="3"/>
    <x v="6"/>
    <s v="DE4-S_A"/>
    <x v="7"/>
    <s v="GNR_RES_WTR_NOPMP"/>
    <x v="0"/>
    <x v="16"/>
    <n v="124"/>
    <n v="45260"/>
    <n v="162936"/>
  </r>
  <r>
    <x v="0"/>
    <x v="0"/>
    <x v="0"/>
    <x v="3"/>
    <x v="6"/>
    <s v="DE4-S_A"/>
    <x v="7"/>
    <s v="GNR_RES_WTR_NOPMP"/>
    <x v="0"/>
    <x v="17"/>
    <n v="124"/>
    <n v="45260"/>
    <n v="162936"/>
  </r>
  <r>
    <x v="0"/>
    <x v="0"/>
    <x v="0"/>
    <x v="3"/>
    <x v="6"/>
    <s v="DE4-S_A"/>
    <x v="7"/>
    <s v="GNR_RES_WTR_NOPMP"/>
    <x v="0"/>
    <x v="19"/>
    <n v="124"/>
    <n v="45260"/>
    <n v="162936"/>
  </r>
  <r>
    <x v="0"/>
    <x v="0"/>
    <x v="0"/>
    <x v="3"/>
    <x v="6"/>
    <s v="DE4-S_A"/>
    <x v="7"/>
    <s v="GNR_RES_WTR_NOPMP"/>
    <x v="0"/>
    <x v="20"/>
    <n v="124"/>
    <n v="45260"/>
    <n v="162936"/>
  </r>
  <r>
    <x v="0"/>
    <x v="0"/>
    <x v="0"/>
    <x v="3"/>
    <x v="6"/>
    <s v="DE4-S_A"/>
    <x v="7"/>
    <s v="GNR_ROR_WTR"/>
    <x v="0"/>
    <x v="0"/>
    <n v="4361.5442694063904"/>
    <n v="1591963.6583333299"/>
    <n v="5731069.1699999999"/>
  </r>
  <r>
    <x v="0"/>
    <x v="0"/>
    <x v="0"/>
    <x v="3"/>
    <x v="6"/>
    <s v="DE4-S_A"/>
    <x v="7"/>
    <s v="GNR_ROR_WTR"/>
    <x v="0"/>
    <x v="1"/>
    <n v="4361.5442694063904"/>
    <n v="1591963.6583333299"/>
    <n v="5731069.1699999999"/>
  </r>
  <r>
    <x v="0"/>
    <x v="0"/>
    <x v="0"/>
    <x v="3"/>
    <x v="6"/>
    <s v="DE4-S_A"/>
    <x v="7"/>
    <s v="GNR_ROR_WTR"/>
    <x v="0"/>
    <x v="2"/>
    <n v="4361.5442694063904"/>
    <n v="1591963.6583333299"/>
    <n v="5731069.1699999999"/>
  </r>
  <r>
    <x v="0"/>
    <x v="0"/>
    <x v="0"/>
    <x v="3"/>
    <x v="6"/>
    <s v="DE4-S_A"/>
    <x v="7"/>
    <s v="GNR_ROR_WTR"/>
    <x v="0"/>
    <x v="3"/>
    <n v="4361.5442694063904"/>
    <n v="1591963.6583333299"/>
    <n v="5731069.1699999999"/>
  </r>
  <r>
    <x v="0"/>
    <x v="0"/>
    <x v="0"/>
    <x v="3"/>
    <x v="6"/>
    <s v="DE4-S_A"/>
    <x v="7"/>
    <s v="GNR_ROR_WTR"/>
    <x v="0"/>
    <x v="18"/>
    <n v="4361.5442694063904"/>
    <n v="1591963.6583333299"/>
    <n v="5731069.1699999999"/>
  </r>
  <r>
    <x v="0"/>
    <x v="0"/>
    <x v="0"/>
    <x v="3"/>
    <x v="6"/>
    <s v="DE4-S_A"/>
    <x v="7"/>
    <s v="GNR_ROR_WTR"/>
    <x v="0"/>
    <x v="4"/>
    <n v="4361.5442694063904"/>
    <n v="1591963.6583333299"/>
    <n v="5731069.1699999999"/>
  </r>
  <r>
    <x v="0"/>
    <x v="0"/>
    <x v="0"/>
    <x v="3"/>
    <x v="6"/>
    <s v="DE4-S_A"/>
    <x v="7"/>
    <s v="GNR_ROR_WTR"/>
    <x v="0"/>
    <x v="5"/>
    <n v="4361.5442694063904"/>
    <n v="1591963.6583333299"/>
    <n v="5731069.1699999999"/>
  </r>
  <r>
    <x v="0"/>
    <x v="0"/>
    <x v="0"/>
    <x v="3"/>
    <x v="6"/>
    <s v="DE4-S_A"/>
    <x v="7"/>
    <s v="GNR_ROR_WTR"/>
    <x v="0"/>
    <x v="6"/>
    <n v="4361.5442694063904"/>
    <n v="1591963.6583333299"/>
    <n v="5731069.1699999999"/>
  </r>
  <r>
    <x v="0"/>
    <x v="0"/>
    <x v="0"/>
    <x v="3"/>
    <x v="6"/>
    <s v="DE4-S_A"/>
    <x v="7"/>
    <s v="GNR_ROR_WTR"/>
    <x v="0"/>
    <x v="7"/>
    <n v="4361.5442694063904"/>
    <n v="1591963.6583333299"/>
    <n v="5731069.1699999999"/>
  </r>
  <r>
    <x v="0"/>
    <x v="0"/>
    <x v="0"/>
    <x v="3"/>
    <x v="6"/>
    <s v="DE4-S_A"/>
    <x v="7"/>
    <s v="GNR_ROR_WTR"/>
    <x v="0"/>
    <x v="8"/>
    <n v="4361.5442694063904"/>
    <n v="1591963.6583333299"/>
    <n v="5731069.1699999999"/>
  </r>
  <r>
    <x v="0"/>
    <x v="0"/>
    <x v="0"/>
    <x v="3"/>
    <x v="6"/>
    <s v="DE4-S_A"/>
    <x v="7"/>
    <s v="GNR_ROR_WTR"/>
    <x v="0"/>
    <x v="9"/>
    <n v="4361.5442694063904"/>
    <n v="1591963.6583333299"/>
    <n v="5731069.1699999999"/>
  </r>
  <r>
    <x v="0"/>
    <x v="0"/>
    <x v="0"/>
    <x v="3"/>
    <x v="6"/>
    <s v="DE4-S_A"/>
    <x v="7"/>
    <s v="GNR_ROR_WTR"/>
    <x v="0"/>
    <x v="10"/>
    <n v="4361.5442694063904"/>
    <n v="1591963.6583333299"/>
    <n v="5731069.1699999999"/>
  </r>
  <r>
    <x v="0"/>
    <x v="0"/>
    <x v="0"/>
    <x v="3"/>
    <x v="6"/>
    <s v="DE4-S_A"/>
    <x v="7"/>
    <s v="GNR_ROR_WTR"/>
    <x v="0"/>
    <x v="11"/>
    <n v="4361.5442694063904"/>
    <n v="1591963.6583333299"/>
    <n v="5731069.1699999999"/>
  </r>
  <r>
    <x v="0"/>
    <x v="0"/>
    <x v="0"/>
    <x v="3"/>
    <x v="6"/>
    <s v="DE4-S_A"/>
    <x v="7"/>
    <s v="GNR_ROR_WTR"/>
    <x v="0"/>
    <x v="12"/>
    <n v="4361.5442694063904"/>
    <n v="1591963.6583333299"/>
    <n v="5731069.1699999999"/>
  </r>
  <r>
    <x v="0"/>
    <x v="0"/>
    <x v="0"/>
    <x v="3"/>
    <x v="6"/>
    <s v="DE4-S_A"/>
    <x v="7"/>
    <s v="GNR_ROR_WTR"/>
    <x v="0"/>
    <x v="13"/>
    <n v="4361.5442694063904"/>
    <n v="1591963.6583333299"/>
    <n v="5731069.1699999999"/>
  </r>
  <r>
    <x v="0"/>
    <x v="0"/>
    <x v="0"/>
    <x v="3"/>
    <x v="6"/>
    <s v="DE4-S_A"/>
    <x v="7"/>
    <s v="GNR_ROR_WTR"/>
    <x v="0"/>
    <x v="14"/>
    <n v="4361.5442694063904"/>
    <n v="1591963.6583333299"/>
    <n v="5731069.1699999999"/>
  </r>
  <r>
    <x v="0"/>
    <x v="0"/>
    <x v="0"/>
    <x v="3"/>
    <x v="6"/>
    <s v="DE4-S_A"/>
    <x v="7"/>
    <s v="GNR_ROR_WTR"/>
    <x v="0"/>
    <x v="15"/>
    <n v="4361.5442694063904"/>
    <n v="1591963.6583333299"/>
    <n v="5731069.1699999999"/>
  </r>
  <r>
    <x v="0"/>
    <x v="0"/>
    <x v="0"/>
    <x v="3"/>
    <x v="6"/>
    <s v="DE4-S_A"/>
    <x v="7"/>
    <s v="GNR_ROR_WTR"/>
    <x v="0"/>
    <x v="16"/>
    <n v="4361.5442694063904"/>
    <n v="1591963.6583333299"/>
    <n v="5731069.1699999999"/>
  </r>
  <r>
    <x v="0"/>
    <x v="0"/>
    <x v="0"/>
    <x v="3"/>
    <x v="6"/>
    <s v="DE4-S_A"/>
    <x v="7"/>
    <s v="GNR_ROR_WTR"/>
    <x v="0"/>
    <x v="17"/>
    <n v="4361.5442694063904"/>
    <n v="1591963.6583333299"/>
    <n v="5731069.1699999999"/>
  </r>
  <r>
    <x v="0"/>
    <x v="0"/>
    <x v="0"/>
    <x v="3"/>
    <x v="6"/>
    <s v="DE4-S_A"/>
    <x v="7"/>
    <s v="GNR_ROR_WTR"/>
    <x v="0"/>
    <x v="19"/>
    <n v="4361.5442694063904"/>
    <n v="1591963.6583333299"/>
    <n v="5731069.1699999999"/>
  </r>
  <r>
    <x v="0"/>
    <x v="0"/>
    <x v="0"/>
    <x v="3"/>
    <x v="6"/>
    <s v="DE4-S_A"/>
    <x v="7"/>
    <s v="GNR_ROR_WTR"/>
    <x v="0"/>
    <x v="20"/>
    <n v="4361.5442694063904"/>
    <n v="1591963.6583333299"/>
    <n v="5731069.1699999999"/>
  </r>
  <r>
    <x v="0"/>
    <x v="0"/>
    <x v="0"/>
    <x v="3"/>
    <x v="6"/>
    <s v="DE4-S_A"/>
    <x v="7"/>
    <s v="GNR_ROR_WTR"/>
    <x v="0"/>
    <x v="21"/>
    <n v="4361.5442694063904"/>
    <n v="1591963.6583333299"/>
    <n v="5731069.1699999999"/>
  </r>
  <r>
    <x v="0"/>
    <x v="0"/>
    <x v="0"/>
    <x v="3"/>
    <x v="6"/>
    <s v="DE4-S_A"/>
    <x v="7"/>
    <s v="GNR_ROR_WTR"/>
    <x v="0"/>
    <x v="22"/>
    <n v="4361.5442694063904"/>
    <n v="1591963.6583333299"/>
    <n v="5731069.1699999999"/>
  </r>
  <r>
    <x v="0"/>
    <x v="0"/>
    <x v="0"/>
    <x v="3"/>
    <x v="6"/>
    <s v="DE4-S_A"/>
    <x v="7"/>
    <s v="GNR_ROR_WTR"/>
    <x v="0"/>
    <x v="23"/>
    <n v="4361.5442694063904"/>
    <n v="1591963.6583333299"/>
    <n v="5731069.1699999999"/>
  </r>
  <r>
    <x v="0"/>
    <x v="0"/>
    <x v="0"/>
    <x v="3"/>
    <x v="6"/>
    <s v="DE4-S_A"/>
    <x v="8"/>
    <s v="GNR_WT_WIND_ONS"/>
    <x v="0"/>
    <x v="0"/>
    <n v="1017.02860886909"/>
    <n v="371215.44223721803"/>
    <n v="1336375.5920539801"/>
  </r>
  <r>
    <x v="0"/>
    <x v="0"/>
    <x v="0"/>
    <x v="3"/>
    <x v="6"/>
    <s v="DE4-S_A"/>
    <x v="8"/>
    <s v="GNR_WT_WIND_ONS"/>
    <x v="0"/>
    <x v="1"/>
    <n v="984.06840839532595"/>
    <n v="359184.96906429401"/>
    <n v="1293065.88863146"/>
  </r>
  <r>
    <x v="0"/>
    <x v="0"/>
    <x v="0"/>
    <x v="3"/>
    <x v="6"/>
    <s v="DE4-S_A"/>
    <x v="8"/>
    <s v="GNR_WT_WIND_ONS"/>
    <x v="0"/>
    <x v="2"/>
    <n v="955.98117390536299"/>
    <n v="348933.12847545801"/>
    <n v="1256159.2625116501"/>
  </r>
  <r>
    <x v="0"/>
    <x v="0"/>
    <x v="0"/>
    <x v="3"/>
    <x v="6"/>
    <s v="DE4-S_A"/>
    <x v="8"/>
    <s v="GNR_WT_WIND_ONS"/>
    <x v="0"/>
    <x v="3"/>
    <n v="907.79295473222203"/>
    <n v="331344.42847726098"/>
    <n v="1192839.94251814"/>
  </r>
  <r>
    <x v="0"/>
    <x v="0"/>
    <x v="0"/>
    <x v="3"/>
    <x v="6"/>
    <s v="DE4-S_A"/>
    <x v="8"/>
    <s v="GNR_WT_WIND_ONS"/>
    <x v="0"/>
    <x v="18"/>
    <n v="826.91525541775104"/>
    <n v="301824.068227479"/>
    <n v="1086566.64561892"/>
  </r>
  <r>
    <x v="0"/>
    <x v="0"/>
    <x v="0"/>
    <x v="3"/>
    <x v="6"/>
    <s v="DE4-S_A"/>
    <x v="8"/>
    <s v="GNR_WT_WIND_ONS"/>
    <x v="0"/>
    <x v="4"/>
    <n v="754.56524657493105"/>
    <n v="275416.31499985"/>
    <n v="991498.73399945896"/>
  </r>
  <r>
    <x v="0"/>
    <x v="0"/>
    <x v="0"/>
    <x v="3"/>
    <x v="6"/>
    <s v="DE4-S_A"/>
    <x v="8"/>
    <s v="GNR_WT_WIND_ONS"/>
    <x v="0"/>
    <x v="5"/>
    <n v="621.97996376568403"/>
    <n v="227022.68677447501"/>
    <n v="817281.67238810903"/>
  </r>
  <r>
    <x v="0"/>
    <x v="0"/>
    <x v="0"/>
    <x v="3"/>
    <x v="6"/>
    <s v="DE4-S_A"/>
    <x v="8"/>
    <s v="GNR_WT_WIND_ONS"/>
    <x v="0"/>
    <x v="6"/>
    <n v="601.47289858385602"/>
    <n v="219537.60798310701"/>
    <n v="790335.38873918704"/>
  </r>
  <r>
    <x v="0"/>
    <x v="0"/>
    <x v="0"/>
    <x v="3"/>
    <x v="6"/>
    <s v="DE4-S_A"/>
    <x v="8"/>
    <s v="GNR_WT_WIND_ONS"/>
    <x v="0"/>
    <x v="7"/>
    <n v="646.615514017122"/>
    <n v="236014.662616249"/>
    <n v="849652.78541849798"/>
  </r>
  <r>
    <x v="0"/>
    <x v="0"/>
    <x v="0"/>
    <x v="3"/>
    <x v="6"/>
    <s v="DE4-S_A"/>
    <x v="8"/>
    <s v="GNR_WT_WIND_ONS"/>
    <x v="0"/>
    <x v="8"/>
    <n v="697.44325643148795"/>
    <n v="254566.788597493"/>
    <n v="916440.43895097601"/>
  </r>
  <r>
    <x v="0"/>
    <x v="0"/>
    <x v="0"/>
    <x v="3"/>
    <x v="6"/>
    <s v="DE4-S_A"/>
    <x v="8"/>
    <s v="GNR_WT_WIND_ONS"/>
    <x v="0"/>
    <x v="9"/>
    <n v="804.71618815821398"/>
    <n v="293721.408677748"/>
    <n v="1057397.0712398901"/>
  </r>
  <r>
    <x v="0"/>
    <x v="0"/>
    <x v="0"/>
    <x v="3"/>
    <x v="6"/>
    <s v="DE4-S_A"/>
    <x v="8"/>
    <s v="GNR_WT_WIND_ONS"/>
    <x v="0"/>
    <x v="10"/>
    <n v="886.47372855309402"/>
    <n v="323562.910921879"/>
    <n v="1164826.4793187701"/>
  </r>
  <r>
    <x v="0"/>
    <x v="0"/>
    <x v="0"/>
    <x v="3"/>
    <x v="6"/>
    <s v="DE4-S_A"/>
    <x v="8"/>
    <s v="GNR_WT_WIND_ONS"/>
    <x v="0"/>
    <x v="11"/>
    <n v="1090.8675795402901"/>
    <n v="398166.66653220699"/>
    <n v="1433399.99951595"/>
  </r>
  <r>
    <x v="0"/>
    <x v="0"/>
    <x v="0"/>
    <x v="3"/>
    <x v="6"/>
    <s v="DE4-S_A"/>
    <x v="8"/>
    <s v="GNR_WT_WIND_ONS"/>
    <x v="0"/>
    <x v="12"/>
    <n v="1274.7543653456701"/>
    <n v="465285.34335116798"/>
    <n v="1675027.2360642001"/>
  </r>
  <r>
    <x v="0"/>
    <x v="0"/>
    <x v="0"/>
    <x v="3"/>
    <x v="6"/>
    <s v="DE4-S_A"/>
    <x v="8"/>
    <s v="GNR_WT_WIND_ONS"/>
    <x v="0"/>
    <x v="13"/>
    <n v="1484.2919026490999"/>
    <n v="541766.54446692101"/>
    <n v="1950359.5600809201"/>
  </r>
  <r>
    <x v="0"/>
    <x v="0"/>
    <x v="0"/>
    <x v="3"/>
    <x v="6"/>
    <s v="DE4-S_A"/>
    <x v="8"/>
    <s v="GNR_WT_WIND_ONS"/>
    <x v="0"/>
    <x v="14"/>
    <n v="1691.1222366282"/>
    <n v="617259.61636929295"/>
    <n v="2222134.6189294499"/>
  </r>
  <r>
    <x v="0"/>
    <x v="0"/>
    <x v="0"/>
    <x v="3"/>
    <x v="6"/>
    <s v="DE4-S_A"/>
    <x v="8"/>
    <s v="GNR_WT_WIND_ONS"/>
    <x v="0"/>
    <x v="15"/>
    <n v="1967.2569757102401"/>
    <n v="718048.79613423895"/>
    <n v="2584975.66608326"/>
  </r>
  <r>
    <x v="0"/>
    <x v="0"/>
    <x v="0"/>
    <x v="3"/>
    <x v="6"/>
    <s v="DE4-S_A"/>
    <x v="8"/>
    <s v="GNR_WT_WIND_ONS"/>
    <x v="0"/>
    <x v="16"/>
    <n v="2219.5006454550398"/>
    <n v="810117.73559109098"/>
    <n v="2916423.84812793"/>
  </r>
  <r>
    <x v="0"/>
    <x v="0"/>
    <x v="0"/>
    <x v="3"/>
    <x v="6"/>
    <s v="DE4-S_A"/>
    <x v="8"/>
    <s v="GNR_WT_WIND_ONS"/>
    <x v="0"/>
    <x v="17"/>
    <n v="2489.8148973897701"/>
    <n v="908782.43754726602"/>
    <n v="3271616.77517016"/>
  </r>
  <r>
    <x v="0"/>
    <x v="0"/>
    <x v="0"/>
    <x v="3"/>
    <x v="6"/>
    <s v="DE4-S_A"/>
    <x v="8"/>
    <s v="GNR_WT_WIND_ONS"/>
    <x v="0"/>
    <x v="19"/>
    <n v="2761.48275098666"/>
    <n v="1007941.20411013"/>
    <n v="3628588.3347964799"/>
  </r>
  <r>
    <x v="0"/>
    <x v="0"/>
    <x v="0"/>
    <x v="3"/>
    <x v="6"/>
    <s v="DE4-S_A"/>
    <x v="8"/>
    <s v="GNR_WT_WIND_ONS"/>
    <x v="0"/>
    <x v="20"/>
    <n v="2993.49007588207"/>
    <n v="1092623.87769696"/>
    <n v="3933445.9597090399"/>
  </r>
  <r>
    <x v="0"/>
    <x v="0"/>
    <x v="0"/>
    <x v="3"/>
    <x v="6"/>
    <s v="DE4-S_A"/>
    <x v="8"/>
    <s v="GNR_WT_WIND_ONS"/>
    <x v="0"/>
    <x v="21"/>
    <n v="3248.7116692836398"/>
    <n v="1185779.7592885301"/>
    <n v="4268807.1334386999"/>
  </r>
  <r>
    <x v="0"/>
    <x v="0"/>
    <x v="0"/>
    <x v="3"/>
    <x v="6"/>
    <s v="DE4-S_A"/>
    <x v="8"/>
    <s v="GNR_WT_WIND_ONS"/>
    <x v="0"/>
    <x v="22"/>
    <n v="3570.8011847962498"/>
    <n v="1303342.43245063"/>
    <n v="4692032.7568222703"/>
  </r>
  <r>
    <x v="0"/>
    <x v="0"/>
    <x v="0"/>
    <x v="3"/>
    <x v="6"/>
    <s v="DE4-S_A"/>
    <x v="8"/>
    <s v="GNR_WT_WIND_ONS"/>
    <x v="0"/>
    <x v="23"/>
    <n v="3780.8801627645498"/>
    <n v="1380021.25940906"/>
    <n v="4968076.53387261"/>
  </r>
  <r>
    <x v="0"/>
    <x v="0"/>
    <x v="0"/>
    <x v="3"/>
    <x v="7"/>
    <s v="DE4-W_A"/>
    <x v="0"/>
    <s v="GNR_ST_COAL_BP_E-41"/>
    <x v="0"/>
    <x v="6"/>
    <n v="16666.809862559701"/>
    <n v="6083385.5998342996"/>
    <n v="21900188.159403499"/>
  </r>
  <r>
    <x v="0"/>
    <x v="0"/>
    <x v="0"/>
    <x v="3"/>
    <x v="7"/>
    <s v="DE4-W_A"/>
    <x v="0"/>
    <s v="GNR_ST_COAL_BP_E-41"/>
    <x v="0"/>
    <x v="7"/>
    <n v="9981.8197859026695"/>
    <n v="3643364.2218544702"/>
    <n v="13116111.1986761"/>
  </r>
  <r>
    <x v="0"/>
    <x v="0"/>
    <x v="0"/>
    <x v="3"/>
    <x v="7"/>
    <s v="DE4-W_A"/>
    <x v="0"/>
    <s v="GNR_ST_COAL_BP_E-41"/>
    <x v="0"/>
    <x v="8"/>
    <n v="8153.1919031503303"/>
    <n v="2975915.0446498701"/>
    <n v="10713294.1607395"/>
  </r>
  <r>
    <x v="0"/>
    <x v="0"/>
    <x v="0"/>
    <x v="3"/>
    <x v="7"/>
    <s v="DE4-W_A"/>
    <x v="0"/>
    <s v="GNR_ST_COAL_CND_E-37"/>
    <x v="0"/>
    <x v="5"/>
    <n v="19205.4054054054"/>
    <n v="7009972.9729729705"/>
    <n v="25235902.702702701"/>
  </r>
  <r>
    <x v="0"/>
    <x v="0"/>
    <x v="0"/>
    <x v="3"/>
    <x v="7"/>
    <s v="DE4-W_A"/>
    <x v="0"/>
    <s v="GNR_ST_COAL_CND_E-37"/>
    <x v="0"/>
    <x v="6"/>
    <n v="19205.4054054054"/>
    <n v="7009972.9729729705"/>
    <n v="25235902.702702701"/>
  </r>
  <r>
    <x v="0"/>
    <x v="0"/>
    <x v="0"/>
    <x v="3"/>
    <x v="7"/>
    <s v="DE4-W_A"/>
    <x v="0"/>
    <s v="GNR_ST_COAL_CND_E-37"/>
    <x v="0"/>
    <x v="7"/>
    <n v="19205.4054054054"/>
    <n v="7009972.9729729705"/>
    <n v="25235902.702702701"/>
  </r>
  <r>
    <x v="0"/>
    <x v="0"/>
    <x v="0"/>
    <x v="3"/>
    <x v="7"/>
    <s v="DE4-W_A"/>
    <x v="0"/>
    <s v="GNR_ST_COAL_CND_E-37"/>
    <x v="0"/>
    <x v="8"/>
    <n v="19205.4054054054"/>
    <n v="7009972.9729729705"/>
    <n v="25235902.702702701"/>
  </r>
  <r>
    <x v="0"/>
    <x v="0"/>
    <x v="0"/>
    <x v="3"/>
    <x v="7"/>
    <s v="DE4-W_A"/>
    <x v="0"/>
    <s v="GNR_ST_COAL_CND_E-37"/>
    <x v="0"/>
    <x v="9"/>
    <n v="19205.4054054054"/>
    <n v="7009972.9729729705"/>
    <n v="25235902.702702701"/>
  </r>
  <r>
    <x v="0"/>
    <x v="0"/>
    <x v="0"/>
    <x v="3"/>
    <x v="7"/>
    <s v="DE4-W_A"/>
    <x v="0"/>
    <s v="GNR_ST_COAL_CND_E-37"/>
    <x v="0"/>
    <x v="10"/>
    <n v="14637.9711846764"/>
    <n v="5342859.4824068705"/>
    <n v="19234294.1366647"/>
  </r>
  <r>
    <x v="0"/>
    <x v="0"/>
    <x v="0"/>
    <x v="3"/>
    <x v="7"/>
    <s v="DE4-W_A"/>
    <x v="0"/>
    <s v="GNR_ST_COAL_CND_E-37"/>
    <x v="0"/>
    <x v="11"/>
    <n v="13503.986718777"/>
    <n v="4928955.1523536099"/>
    <n v="17744238.548473001"/>
  </r>
  <r>
    <x v="0"/>
    <x v="0"/>
    <x v="0"/>
    <x v="3"/>
    <x v="7"/>
    <s v="DE4-W_A"/>
    <x v="0"/>
    <s v="GNR_ST_COAL_CND_E-37"/>
    <x v="0"/>
    <x v="12"/>
    <n v="9114.3236335192105"/>
    <n v="3326728.12623451"/>
    <n v="11976221.254444201"/>
  </r>
  <r>
    <x v="0"/>
    <x v="0"/>
    <x v="0"/>
    <x v="3"/>
    <x v="7"/>
    <s v="DE4-W_A"/>
    <x v="0"/>
    <s v="GNR_ST_COAL_CND_E-37"/>
    <x v="0"/>
    <x v="13"/>
    <n v="12882.742115307199"/>
    <n v="4702200.8720871396"/>
    <n v="16927923.139513701"/>
  </r>
  <r>
    <x v="0"/>
    <x v="0"/>
    <x v="0"/>
    <x v="3"/>
    <x v="7"/>
    <s v="DE4-W_A"/>
    <x v="0"/>
    <s v="GNR_ST_COAL_CND_E-37"/>
    <x v="0"/>
    <x v="14"/>
    <n v="19205.4054054054"/>
    <n v="7009972.9729729705"/>
    <n v="25235902.702702701"/>
  </r>
  <r>
    <x v="0"/>
    <x v="0"/>
    <x v="0"/>
    <x v="3"/>
    <x v="7"/>
    <s v="DE4-W_A"/>
    <x v="0"/>
    <s v="GNR_ST_COAL_CND_E-37"/>
    <x v="0"/>
    <x v="15"/>
    <n v="19205.4054054054"/>
    <n v="7009972.9729729705"/>
    <n v="25235902.702702701"/>
  </r>
  <r>
    <x v="0"/>
    <x v="0"/>
    <x v="0"/>
    <x v="3"/>
    <x v="7"/>
    <s v="DE4-W_A"/>
    <x v="0"/>
    <s v="GNR_ST_COAL_CND_E-37"/>
    <x v="0"/>
    <x v="16"/>
    <n v="19205.4054054054"/>
    <n v="7009972.9729729705"/>
    <n v="25235902.702702701"/>
  </r>
  <r>
    <x v="0"/>
    <x v="0"/>
    <x v="0"/>
    <x v="3"/>
    <x v="7"/>
    <s v="DE4-W_A"/>
    <x v="0"/>
    <s v="GNR_ST_COAL_CND_E-37"/>
    <x v="0"/>
    <x v="17"/>
    <n v="19205.4054054054"/>
    <n v="7009972.9729729705"/>
    <n v="25235902.702702701"/>
  </r>
  <r>
    <x v="0"/>
    <x v="0"/>
    <x v="0"/>
    <x v="3"/>
    <x v="7"/>
    <s v="DE4-W_A"/>
    <x v="0"/>
    <s v="GNR_ST_COAL_CND_E-37"/>
    <x v="0"/>
    <x v="19"/>
    <n v="17874.733998328"/>
    <n v="6524277.9093897101"/>
    <n v="23487400.473802999"/>
  </r>
  <r>
    <x v="0"/>
    <x v="0"/>
    <x v="0"/>
    <x v="3"/>
    <x v="7"/>
    <s v="DE4-W_A"/>
    <x v="0"/>
    <s v="GNR_ST_COAL_CND_E-37"/>
    <x v="0"/>
    <x v="20"/>
    <n v="886.91260860878401"/>
    <n v="323723.10214220599"/>
    <n v="1165403.1677119399"/>
  </r>
  <r>
    <x v="0"/>
    <x v="0"/>
    <x v="0"/>
    <x v="3"/>
    <x v="7"/>
    <s v="DE4-W_A"/>
    <x v="0"/>
    <s v="GNR_ST_COAL_CND_E-45"/>
    <x v="0"/>
    <x v="0"/>
    <n v="7664.4444444444398"/>
    <n v="2797522.2222222202"/>
    <n v="10071080"/>
  </r>
  <r>
    <x v="0"/>
    <x v="0"/>
    <x v="0"/>
    <x v="3"/>
    <x v="7"/>
    <s v="DE4-W_A"/>
    <x v="0"/>
    <s v="GNR_ST_COAL_CND_E-45"/>
    <x v="0"/>
    <x v="1"/>
    <n v="7664.4444444444398"/>
    <n v="2797522.2222222202"/>
    <n v="10071080"/>
  </r>
  <r>
    <x v="0"/>
    <x v="0"/>
    <x v="0"/>
    <x v="3"/>
    <x v="7"/>
    <s v="DE4-W_A"/>
    <x v="0"/>
    <s v="GNR_ST_COAL_CND_E-45"/>
    <x v="0"/>
    <x v="2"/>
    <n v="7664.4444444444398"/>
    <n v="2797522.2222222202"/>
    <n v="10071080"/>
  </r>
  <r>
    <x v="0"/>
    <x v="0"/>
    <x v="0"/>
    <x v="3"/>
    <x v="7"/>
    <s v="DE4-W_A"/>
    <x v="0"/>
    <s v="GNR_ST_COAL_CND_E-45"/>
    <x v="0"/>
    <x v="3"/>
    <n v="7664.4444444444398"/>
    <n v="2797522.2222222202"/>
    <n v="10071080"/>
  </r>
  <r>
    <x v="0"/>
    <x v="0"/>
    <x v="0"/>
    <x v="3"/>
    <x v="7"/>
    <s v="DE4-W_A"/>
    <x v="0"/>
    <s v="GNR_ST_COAL_CND_E-45"/>
    <x v="0"/>
    <x v="18"/>
    <n v="7664.4444444444398"/>
    <n v="2797522.2222222202"/>
    <n v="10071080"/>
  </r>
  <r>
    <x v="0"/>
    <x v="0"/>
    <x v="0"/>
    <x v="3"/>
    <x v="7"/>
    <s v="DE4-W_A"/>
    <x v="0"/>
    <s v="GNR_ST_COAL_CND_E-45"/>
    <x v="0"/>
    <x v="4"/>
    <n v="7664.4444444444398"/>
    <n v="2797522.2222222202"/>
    <n v="10071080"/>
  </r>
  <r>
    <x v="0"/>
    <x v="0"/>
    <x v="0"/>
    <x v="3"/>
    <x v="7"/>
    <s v="DE4-W_A"/>
    <x v="0"/>
    <s v="GNR_ST_COAL_CND_E-45"/>
    <x v="0"/>
    <x v="5"/>
    <n v="7664.4444444444398"/>
    <n v="2797522.2222222202"/>
    <n v="10071080"/>
  </r>
  <r>
    <x v="0"/>
    <x v="0"/>
    <x v="0"/>
    <x v="3"/>
    <x v="7"/>
    <s v="DE4-W_A"/>
    <x v="0"/>
    <s v="GNR_ST_COAL_CND_E-45"/>
    <x v="0"/>
    <x v="6"/>
    <n v="7664.4444444444398"/>
    <n v="2797522.2222222202"/>
    <n v="10071080"/>
  </r>
  <r>
    <x v="0"/>
    <x v="0"/>
    <x v="0"/>
    <x v="3"/>
    <x v="7"/>
    <s v="DE4-W_A"/>
    <x v="0"/>
    <s v="GNR_ST_COAL_CND_E-45"/>
    <x v="0"/>
    <x v="7"/>
    <n v="7664.4444444444398"/>
    <n v="2797522.2222222202"/>
    <n v="10071080"/>
  </r>
  <r>
    <x v="0"/>
    <x v="0"/>
    <x v="0"/>
    <x v="3"/>
    <x v="7"/>
    <s v="DE4-W_A"/>
    <x v="0"/>
    <s v="GNR_ST_COAL_CND_E-45"/>
    <x v="0"/>
    <x v="8"/>
    <n v="7664.4444444444398"/>
    <n v="2797522.2222222202"/>
    <n v="10071080"/>
  </r>
  <r>
    <x v="0"/>
    <x v="0"/>
    <x v="0"/>
    <x v="3"/>
    <x v="7"/>
    <s v="DE4-W_A"/>
    <x v="0"/>
    <s v="GNR_ST_COAL_CND_E-45"/>
    <x v="0"/>
    <x v="9"/>
    <n v="7664.4444444444398"/>
    <n v="2797522.2222222202"/>
    <n v="10071080"/>
  </r>
  <r>
    <x v="0"/>
    <x v="0"/>
    <x v="0"/>
    <x v="3"/>
    <x v="7"/>
    <s v="DE4-W_A"/>
    <x v="0"/>
    <s v="GNR_ST_COAL_CND_E-45"/>
    <x v="0"/>
    <x v="10"/>
    <n v="7664.4444444444398"/>
    <n v="2797522.2222222202"/>
    <n v="10071080"/>
  </r>
  <r>
    <x v="0"/>
    <x v="0"/>
    <x v="0"/>
    <x v="3"/>
    <x v="7"/>
    <s v="DE4-W_A"/>
    <x v="0"/>
    <s v="GNR_ST_COAL_CND_E-45"/>
    <x v="0"/>
    <x v="11"/>
    <n v="7664.4444444444398"/>
    <n v="2797522.2222222202"/>
    <n v="10071080"/>
  </r>
  <r>
    <x v="0"/>
    <x v="0"/>
    <x v="0"/>
    <x v="3"/>
    <x v="7"/>
    <s v="DE4-W_A"/>
    <x v="0"/>
    <s v="GNR_ST_COAL_CND_E-45"/>
    <x v="0"/>
    <x v="12"/>
    <n v="7664.4444444444398"/>
    <n v="2797522.2222222202"/>
    <n v="10071080"/>
  </r>
  <r>
    <x v="0"/>
    <x v="0"/>
    <x v="0"/>
    <x v="3"/>
    <x v="7"/>
    <s v="DE4-W_A"/>
    <x v="0"/>
    <s v="GNR_ST_COAL_CND_E-45"/>
    <x v="0"/>
    <x v="13"/>
    <n v="7664.4444444444398"/>
    <n v="2797522.2222222202"/>
    <n v="10071080"/>
  </r>
  <r>
    <x v="0"/>
    <x v="0"/>
    <x v="0"/>
    <x v="3"/>
    <x v="7"/>
    <s v="DE4-W_A"/>
    <x v="0"/>
    <s v="GNR_ST_COAL_CND_E-45"/>
    <x v="0"/>
    <x v="14"/>
    <n v="7664.4444444444398"/>
    <n v="2797522.2222222202"/>
    <n v="10071080"/>
  </r>
  <r>
    <x v="0"/>
    <x v="0"/>
    <x v="0"/>
    <x v="3"/>
    <x v="7"/>
    <s v="DE4-W_A"/>
    <x v="0"/>
    <s v="GNR_ST_COAL_CND_E-45"/>
    <x v="0"/>
    <x v="15"/>
    <n v="7664.4444444444398"/>
    <n v="2797522.2222222202"/>
    <n v="10071080"/>
  </r>
  <r>
    <x v="0"/>
    <x v="0"/>
    <x v="0"/>
    <x v="3"/>
    <x v="7"/>
    <s v="DE4-W_A"/>
    <x v="0"/>
    <s v="GNR_ST_COAL_CND_E-45"/>
    <x v="0"/>
    <x v="16"/>
    <n v="7664.4444444444398"/>
    <n v="2797522.2222222202"/>
    <n v="10071080"/>
  </r>
  <r>
    <x v="0"/>
    <x v="0"/>
    <x v="0"/>
    <x v="3"/>
    <x v="7"/>
    <s v="DE4-W_A"/>
    <x v="0"/>
    <s v="GNR_ST_COAL_CND_E-45"/>
    <x v="0"/>
    <x v="17"/>
    <n v="7664.4444444444398"/>
    <n v="2797522.2222222202"/>
    <n v="10071080"/>
  </r>
  <r>
    <x v="0"/>
    <x v="0"/>
    <x v="0"/>
    <x v="3"/>
    <x v="7"/>
    <s v="DE4-W_A"/>
    <x v="0"/>
    <s v="GNR_ST_COAL_CND_E-45"/>
    <x v="0"/>
    <x v="19"/>
    <n v="7664.4444444444398"/>
    <n v="2797522.2222222202"/>
    <n v="10071080"/>
  </r>
  <r>
    <x v="0"/>
    <x v="0"/>
    <x v="0"/>
    <x v="3"/>
    <x v="7"/>
    <s v="DE4-W_A"/>
    <x v="0"/>
    <s v="GNR_ST_COAL_CND_E-45"/>
    <x v="0"/>
    <x v="20"/>
    <n v="7664.4444444444398"/>
    <n v="2797522.2222222202"/>
    <n v="10071080"/>
  </r>
  <r>
    <x v="0"/>
    <x v="0"/>
    <x v="0"/>
    <x v="3"/>
    <x v="7"/>
    <s v="DE4-W_A"/>
    <x v="0"/>
    <s v="GNR_ST_COAL_CND_E-45"/>
    <x v="0"/>
    <x v="21"/>
    <n v="7664.4444444444398"/>
    <n v="2797522.2222222202"/>
    <n v="10071080"/>
  </r>
  <r>
    <x v="0"/>
    <x v="0"/>
    <x v="0"/>
    <x v="3"/>
    <x v="7"/>
    <s v="DE4-W_A"/>
    <x v="0"/>
    <s v="GNR_ST_COAL_CND_E-45"/>
    <x v="0"/>
    <x v="22"/>
    <n v="7664.4444444444398"/>
    <n v="2797522.2222222202"/>
    <n v="10071080"/>
  </r>
  <r>
    <x v="0"/>
    <x v="0"/>
    <x v="0"/>
    <x v="3"/>
    <x v="7"/>
    <s v="DE4-W_A"/>
    <x v="0"/>
    <s v="GNR_ST_COAL_CND_E-45"/>
    <x v="0"/>
    <x v="23"/>
    <n v="7664.4444444444398"/>
    <n v="2797522.2222222202"/>
    <n v="10071080"/>
  </r>
  <r>
    <x v="0"/>
    <x v="0"/>
    <x v="0"/>
    <x v="3"/>
    <x v="7"/>
    <s v="DE4-W_A"/>
    <x v="16"/>
    <s v="AGG-DE4-W_RES_WTR_PMP"/>
    <x v="0"/>
    <x v="6"/>
    <n v="160.12602739726"/>
    <n v="58445.999999999898"/>
    <n v="210405.6"/>
  </r>
  <r>
    <x v="0"/>
    <x v="0"/>
    <x v="0"/>
    <x v="3"/>
    <x v="7"/>
    <s v="DE4-W_A"/>
    <x v="16"/>
    <s v="AGG-DE4-W_RES_WTR_PMP"/>
    <x v="0"/>
    <x v="7"/>
    <n v="1146"/>
    <n v="418290"/>
    <n v="1505844"/>
  </r>
  <r>
    <x v="0"/>
    <x v="0"/>
    <x v="0"/>
    <x v="3"/>
    <x v="7"/>
    <s v="DE4-W_A"/>
    <x v="16"/>
    <s v="AGG-DE4-W_RES_WTR_PMP"/>
    <x v="0"/>
    <x v="15"/>
    <n v="160.12602739726"/>
    <n v="58445.999999999898"/>
    <n v="210405.6"/>
  </r>
  <r>
    <x v="0"/>
    <x v="0"/>
    <x v="0"/>
    <x v="3"/>
    <x v="7"/>
    <s v="DE4-W_A"/>
    <x v="16"/>
    <s v="AGG-DE4-W_RES_WTR_PMP"/>
    <x v="0"/>
    <x v="16"/>
    <n v="1146"/>
    <n v="418290"/>
    <n v="1505844"/>
  </r>
  <r>
    <x v="0"/>
    <x v="0"/>
    <x v="0"/>
    <x v="3"/>
    <x v="7"/>
    <s v="DE4-W_A"/>
    <x v="17"/>
    <s v="GNR_ST_LIGN_BP_E-33"/>
    <x v="0"/>
    <x v="4"/>
    <n v="2383.3333333333298"/>
    <n v="869916.66666666698"/>
    <n v="3131700"/>
  </r>
  <r>
    <x v="0"/>
    <x v="0"/>
    <x v="0"/>
    <x v="3"/>
    <x v="7"/>
    <s v="DE4-W_A"/>
    <x v="17"/>
    <s v="GNR_ST_LIGN_BP_E-33"/>
    <x v="0"/>
    <x v="5"/>
    <n v="2383.3333333333298"/>
    <n v="869916.66666666698"/>
    <n v="3131700"/>
  </r>
  <r>
    <x v="0"/>
    <x v="0"/>
    <x v="0"/>
    <x v="3"/>
    <x v="7"/>
    <s v="DE4-W_A"/>
    <x v="17"/>
    <s v="GNR_ST_LIGN_BP_E-33"/>
    <x v="0"/>
    <x v="6"/>
    <n v="2383.3333333333298"/>
    <n v="869916.66666666698"/>
    <n v="3131700"/>
  </r>
  <r>
    <x v="0"/>
    <x v="0"/>
    <x v="0"/>
    <x v="3"/>
    <x v="7"/>
    <s v="DE4-W_A"/>
    <x v="17"/>
    <s v="GNR_ST_LIGN_BP_E-33"/>
    <x v="0"/>
    <x v="7"/>
    <n v="2383.3333333333298"/>
    <n v="869916.66666666698"/>
    <n v="3131700"/>
  </r>
  <r>
    <x v="0"/>
    <x v="0"/>
    <x v="0"/>
    <x v="3"/>
    <x v="7"/>
    <s v="DE4-W_A"/>
    <x v="17"/>
    <s v="GNR_ST_LIGN_BP_E-33"/>
    <x v="0"/>
    <x v="8"/>
    <n v="2383.3333333333298"/>
    <n v="869916.66666666698"/>
    <n v="3131700"/>
  </r>
  <r>
    <x v="0"/>
    <x v="0"/>
    <x v="0"/>
    <x v="3"/>
    <x v="7"/>
    <s v="DE4-W_A"/>
    <x v="17"/>
    <s v="GNR_ST_LIGN_BP_E-33"/>
    <x v="0"/>
    <x v="9"/>
    <n v="2383.3333333333298"/>
    <n v="869916.66666666698"/>
    <n v="3131700"/>
  </r>
  <r>
    <x v="0"/>
    <x v="0"/>
    <x v="0"/>
    <x v="3"/>
    <x v="7"/>
    <s v="DE4-W_A"/>
    <x v="17"/>
    <s v="GNR_ST_LIGN_BP_E-33"/>
    <x v="0"/>
    <x v="10"/>
    <n v="2383.3333333333298"/>
    <n v="869916.66666666698"/>
    <n v="3131700"/>
  </r>
  <r>
    <x v="0"/>
    <x v="0"/>
    <x v="0"/>
    <x v="3"/>
    <x v="7"/>
    <s v="DE4-W_A"/>
    <x v="17"/>
    <s v="GNR_ST_LIGN_BP_E-33"/>
    <x v="0"/>
    <x v="11"/>
    <n v="2383.3333333333298"/>
    <n v="869916.66666666698"/>
    <n v="3131700"/>
  </r>
  <r>
    <x v="0"/>
    <x v="0"/>
    <x v="0"/>
    <x v="3"/>
    <x v="7"/>
    <s v="DE4-W_A"/>
    <x v="17"/>
    <s v="GNR_ST_LIGN_BP_E-33"/>
    <x v="0"/>
    <x v="12"/>
    <n v="2383.3333333333298"/>
    <n v="869916.66666666698"/>
    <n v="3131700"/>
  </r>
  <r>
    <x v="0"/>
    <x v="0"/>
    <x v="0"/>
    <x v="3"/>
    <x v="7"/>
    <s v="DE4-W_A"/>
    <x v="17"/>
    <s v="GNR_ST_LIGN_BP_E-33"/>
    <x v="0"/>
    <x v="13"/>
    <n v="2383.3333333333298"/>
    <n v="869916.66666666698"/>
    <n v="3131700"/>
  </r>
  <r>
    <x v="0"/>
    <x v="0"/>
    <x v="0"/>
    <x v="3"/>
    <x v="7"/>
    <s v="DE4-W_A"/>
    <x v="17"/>
    <s v="GNR_ST_LIGN_BP_E-33"/>
    <x v="0"/>
    <x v="14"/>
    <n v="2383.3333333333298"/>
    <n v="869916.66666666698"/>
    <n v="3131700"/>
  </r>
  <r>
    <x v="0"/>
    <x v="0"/>
    <x v="0"/>
    <x v="3"/>
    <x v="7"/>
    <s v="DE4-W_A"/>
    <x v="17"/>
    <s v="GNR_ST_LIGN_BP_E-33"/>
    <x v="0"/>
    <x v="15"/>
    <n v="2383.3333333333298"/>
    <n v="869916.66666666698"/>
    <n v="3131700"/>
  </r>
  <r>
    <x v="0"/>
    <x v="0"/>
    <x v="0"/>
    <x v="3"/>
    <x v="7"/>
    <s v="DE4-W_A"/>
    <x v="17"/>
    <s v="GNR_ST_LIGN_BP_E-33"/>
    <x v="0"/>
    <x v="16"/>
    <n v="2383.3333333333298"/>
    <n v="869916.66666666698"/>
    <n v="3131700"/>
  </r>
  <r>
    <x v="0"/>
    <x v="0"/>
    <x v="0"/>
    <x v="3"/>
    <x v="7"/>
    <s v="DE4-W_A"/>
    <x v="17"/>
    <s v="GNR_ST_LIGN_BP_E-33"/>
    <x v="0"/>
    <x v="17"/>
    <n v="2383.3333333333298"/>
    <n v="869916.66666666698"/>
    <n v="3131700"/>
  </r>
  <r>
    <x v="0"/>
    <x v="0"/>
    <x v="0"/>
    <x v="3"/>
    <x v="7"/>
    <s v="DE4-W_A"/>
    <x v="17"/>
    <s v="GNR_ST_LIGN_BP_E-33"/>
    <x v="0"/>
    <x v="19"/>
    <n v="2383.3333333333298"/>
    <n v="869916.66666666698"/>
    <n v="3131700"/>
  </r>
  <r>
    <x v="0"/>
    <x v="0"/>
    <x v="0"/>
    <x v="3"/>
    <x v="7"/>
    <s v="DE4-W_A"/>
    <x v="17"/>
    <s v="GNR_ST_LIGN_BP_E-33"/>
    <x v="0"/>
    <x v="20"/>
    <n v="2383.3333333333298"/>
    <n v="869916.66666666698"/>
    <n v="3131700"/>
  </r>
  <r>
    <x v="0"/>
    <x v="0"/>
    <x v="0"/>
    <x v="3"/>
    <x v="7"/>
    <s v="DE4-W_A"/>
    <x v="17"/>
    <s v="GNR_ST_LIGN_BP_E-37"/>
    <x v="0"/>
    <x v="0"/>
    <n v="8882.9729729729806"/>
    <n v="3242285.1351351398"/>
    <n v="11672226.4864865"/>
  </r>
  <r>
    <x v="0"/>
    <x v="0"/>
    <x v="0"/>
    <x v="3"/>
    <x v="7"/>
    <s v="DE4-W_A"/>
    <x v="17"/>
    <s v="GNR_ST_LIGN_BP_E-37"/>
    <x v="0"/>
    <x v="1"/>
    <n v="8882.9729729729806"/>
    <n v="3242285.1351351398"/>
    <n v="11672226.4864865"/>
  </r>
  <r>
    <x v="0"/>
    <x v="0"/>
    <x v="0"/>
    <x v="3"/>
    <x v="7"/>
    <s v="DE4-W_A"/>
    <x v="17"/>
    <s v="GNR_ST_LIGN_BP_E-37"/>
    <x v="0"/>
    <x v="2"/>
    <n v="8882.9729729729806"/>
    <n v="3242285.1351351398"/>
    <n v="11672226.4864865"/>
  </r>
  <r>
    <x v="0"/>
    <x v="0"/>
    <x v="0"/>
    <x v="3"/>
    <x v="7"/>
    <s v="DE4-W_A"/>
    <x v="17"/>
    <s v="GNR_ST_LIGN_BP_E-37"/>
    <x v="0"/>
    <x v="3"/>
    <n v="8882.9729729729806"/>
    <n v="3242285.1351351398"/>
    <n v="11672226.4864865"/>
  </r>
  <r>
    <x v="0"/>
    <x v="0"/>
    <x v="0"/>
    <x v="3"/>
    <x v="7"/>
    <s v="DE4-W_A"/>
    <x v="17"/>
    <s v="GNR_ST_LIGN_BP_E-37"/>
    <x v="0"/>
    <x v="18"/>
    <n v="8882.9729729729806"/>
    <n v="3242285.1351351398"/>
    <n v="11672226.4864865"/>
  </r>
  <r>
    <x v="0"/>
    <x v="0"/>
    <x v="0"/>
    <x v="3"/>
    <x v="7"/>
    <s v="DE4-W_A"/>
    <x v="17"/>
    <s v="GNR_ST_LIGN_BP_E-37"/>
    <x v="0"/>
    <x v="4"/>
    <n v="8882.9729729729806"/>
    <n v="3242285.1351351398"/>
    <n v="11672226.4864865"/>
  </r>
  <r>
    <x v="0"/>
    <x v="0"/>
    <x v="0"/>
    <x v="3"/>
    <x v="7"/>
    <s v="DE4-W_A"/>
    <x v="17"/>
    <s v="GNR_ST_LIGN_BP_E-37"/>
    <x v="0"/>
    <x v="5"/>
    <n v="8882.9729729729806"/>
    <n v="3242285.1351351398"/>
    <n v="11672226.4864865"/>
  </r>
  <r>
    <x v="0"/>
    <x v="0"/>
    <x v="0"/>
    <x v="3"/>
    <x v="7"/>
    <s v="DE4-W_A"/>
    <x v="17"/>
    <s v="GNR_ST_LIGN_BP_E-37"/>
    <x v="0"/>
    <x v="6"/>
    <n v="8882.9729729729806"/>
    <n v="3242285.1351351398"/>
    <n v="11672226.4864865"/>
  </r>
  <r>
    <x v="0"/>
    <x v="0"/>
    <x v="0"/>
    <x v="3"/>
    <x v="7"/>
    <s v="DE4-W_A"/>
    <x v="17"/>
    <s v="GNR_ST_LIGN_BP_E-37"/>
    <x v="0"/>
    <x v="7"/>
    <n v="8882.9729729729806"/>
    <n v="3242285.1351351398"/>
    <n v="11672226.4864865"/>
  </r>
  <r>
    <x v="0"/>
    <x v="0"/>
    <x v="0"/>
    <x v="3"/>
    <x v="7"/>
    <s v="DE4-W_A"/>
    <x v="17"/>
    <s v="GNR_ST_LIGN_BP_E-37"/>
    <x v="0"/>
    <x v="8"/>
    <n v="8882.9729729729806"/>
    <n v="3242285.1351351398"/>
    <n v="11672226.4864865"/>
  </r>
  <r>
    <x v="0"/>
    <x v="0"/>
    <x v="0"/>
    <x v="3"/>
    <x v="7"/>
    <s v="DE4-W_A"/>
    <x v="17"/>
    <s v="GNR_ST_LIGN_BP_E-37"/>
    <x v="0"/>
    <x v="9"/>
    <n v="8882.9729729729806"/>
    <n v="3242285.1351351398"/>
    <n v="11672226.4864865"/>
  </r>
  <r>
    <x v="0"/>
    <x v="0"/>
    <x v="0"/>
    <x v="3"/>
    <x v="7"/>
    <s v="DE4-W_A"/>
    <x v="17"/>
    <s v="GNR_ST_LIGN_BP_E-37"/>
    <x v="0"/>
    <x v="10"/>
    <n v="8882.9729729729806"/>
    <n v="3242285.1351351398"/>
    <n v="11672226.4864865"/>
  </r>
  <r>
    <x v="0"/>
    <x v="0"/>
    <x v="0"/>
    <x v="3"/>
    <x v="7"/>
    <s v="DE4-W_A"/>
    <x v="17"/>
    <s v="GNR_ST_LIGN_BP_E-37"/>
    <x v="0"/>
    <x v="11"/>
    <n v="8882.9729729729806"/>
    <n v="3242285.1351351398"/>
    <n v="11672226.4864865"/>
  </r>
  <r>
    <x v="0"/>
    <x v="0"/>
    <x v="0"/>
    <x v="3"/>
    <x v="7"/>
    <s v="DE4-W_A"/>
    <x v="17"/>
    <s v="GNR_ST_LIGN_BP_E-37"/>
    <x v="0"/>
    <x v="12"/>
    <n v="8882.9729729729806"/>
    <n v="3242285.1351351398"/>
    <n v="11672226.4864865"/>
  </r>
  <r>
    <x v="0"/>
    <x v="0"/>
    <x v="0"/>
    <x v="3"/>
    <x v="7"/>
    <s v="DE4-W_A"/>
    <x v="17"/>
    <s v="GNR_ST_LIGN_BP_E-37"/>
    <x v="0"/>
    <x v="13"/>
    <n v="8882.9729729729806"/>
    <n v="3242285.1351351398"/>
    <n v="11672226.4864865"/>
  </r>
  <r>
    <x v="0"/>
    <x v="0"/>
    <x v="0"/>
    <x v="3"/>
    <x v="7"/>
    <s v="DE4-W_A"/>
    <x v="17"/>
    <s v="GNR_ST_LIGN_BP_E-37"/>
    <x v="0"/>
    <x v="14"/>
    <n v="8882.9729729729806"/>
    <n v="3242285.1351351398"/>
    <n v="11672226.4864865"/>
  </r>
  <r>
    <x v="0"/>
    <x v="0"/>
    <x v="0"/>
    <x v="3"/>
    <x v="7"/>
    <s v="DE4-W_A"/>
    <x v="17"/>
    <s v="GNR_ST_LIGN_BP_E-37"/>
    <x v="0"/>
    <x v="15"/>
    <n v="8882.9729729729806"/>
    <n v="3242285.1351351398"/>
    <n v="11672226.4864865"/>
  </r>
  <r>
    <x v="0"/>
    <x v="0"/>
    <x v="0"/>
    <x v="3"/>
    <x v="7"/>
    <s v="DE4-W_A"/>
    <x v="17"/>
    <s v="GNR_ST_LIGN_BP_E-37"/>
    <x v="0"/>
    <x v="16"/>
    <n v="8882.9729729729806"/>
    <n v="3242285.1351351398"/>
    <n v="11672226.4864865"/>
  </r>
  <r>
    <x v="0"/>
    <x v="0"/>
    <x v="0"/>
    <x v="3"/>
    <x v="7"/>
    <s v="DE4-W_A"/>
    <x v="17"/>
    <s v="GNR_ST_LIGN_BP_E-37"/>
    <x v="0"/>
    <x v="17"/>
    <n v="8882.9729729729806"/>
    <n v="3242285.1351351398"/>
    <n v="11672226.4864865"/>
  </r>
  <r>
    <x v="0"/>
    <x v="0"/>
    <x v="0"/>
    <x v="3"/>
    <x v="7"/>
    <s v="DE4-W_A"/>
    <x v="17"/>
    <s v="GNR_ST_LIGN_BP_E-37"/>
    <x v="0"/>
    <x v="19"/>
    <n v="8882.9729729729806"/>
    <n v="3242285.1351351398"/>
    <n v="11672226.4864865"/>
  </r>
  <r>
    <x v="0"/>
    <x v="0"/>
    <x v="0"/>
    <x v="3"/>
    <x v="7"/>
    <s v="DE4-W_A"/>
    <x v="17"/>
    <s v="GNR_ST_LIGN_BP_E-37"/>
    <x v="0"/>
    <x v="20"/>
    <n v="8882.9729729729806"/>
    <n v="3242285.1351351398"/>
    <n v="11672226.4864865"/>
  </r>
  <r>
    <x v="0"/>
    <x v="0"/>
    <x v="0"/>
    <x v="3"/>
    <x v="7"/>
    <s v="DE4-W_A"/>
    <x v="17"/>
    <s v="GNR_ST_LIGN_BP_E-37"/>
    <x v="0"/>
    <x v="21"/>
    <n v="8882.9729729729806"/>
    <n v="3242285.1351351398"/>
    <n v="11672226.4864865"/>
  </r>
  <r>
    <x v="0"/>
    <x v="0"/>
    <x v="0"/>
    <x v="3"/>
    <x v="7"/>
    <s v="DE4-W_A"/>
    <x v="17"/>
    <s v="GNR_ST_LIGN_BP_E-37"/>
    <x v="0"/>
    <x v="22"/>
    <n v="8882.9729729729806"/>
    <n v="3242285.1351351398"/>
    <n v="11672226.4864865"/>
  </r>
  <r>
    <x v="0"/>
    <x v="0"/>
    <x v="0"/>
    <x v="3"/>
    <x v="7"/>
    <s v="DE4-W_A"/>
    <x v="17"/>
    <s v="GNR_ST_LIGN_BP_E-37"/>
    <x v="0"/>
    <x v="23"/>
    <n v="3990.0213145777302"/>
    <n v="1456357.7798208699"/>
    <n v="5242888.0073551303"/>
  </r>
  <r>
    <x v="0"/>
    <x v="0"/>
    <x v="0"/>
    <x v="3"/>
    <x v="7"/>
    <s v="DE4-W_A"/>
    <x v="17"/>
    <s v="GNR_ST_LIGN_CND_E-32"/>
    <x v="0"/>
    <x v="0"/>
    <n v="14184.375"/>
    <n v="5177296.875"/>
    <n v="18638268.75"/>
  </r>
  <r>
    <x v="0"/>
    <x v="0"/>
    <x v="0"/>
    <x v="3"/>
    <x v="7"/>
    <s v="DE4-W_A"/>
    <x v="17"/>
    <s v="GNR_ST_LIGN_CND_E-32"/>
    <x v="0"/>
    <x v="1"/>
    <n v="14184.375"/>
    <n v="5177296.875"/>
    <n v="18638268.75"/>
  </r>
  <r>
    <x v="0"/>
    <x v="0"/>
    <x v="0"/>
    <x v="3"/>
    <x v="7"/>
    <s v="DE4-W_A"/>
    <x v="17"/>
    <s v="GNR_ST_LIGN_CND_E-32"/>
    <x v="0"/>
    <x v="2"/>
    <n v="14184.375"/>
    <n v="5177296.875"/>
    <n v="18638268.75"/>
  </r>
  <r>
    <x v="0"/>
    <x v="0"/>
    <x v="0"/>
    <x v="3"/>
    <x v="7"/>
    <s v="DE4-W_A"/>
    <x v="17"/>
    <s v="GNR_ST_LIGN_CND_E-32"/>
    <x v="0"/>
    <x v="3"/>
    <n v="14184.375"/>
    <n v="5177296.875"/>
    <n v="18638268.75"/>
  </r>
  <r>
    <x v="0"/>
    <x v="0"/>
    <x v="0"/>
    <x v="3"/>
    <x v="7"/>
    <s v="DE4-W_A"/>
    <x v="17"/>
    <s v="GNR_ST_LIGN_CND_E-32"/>
    <x v="0"/>
    <x v="18"/>
    <n v="14184.375"/>
    <n v="5177296.875"/>
    <n v="18638268.75"/>
  </r>
  <r>
    <x v="0"/>
    <x v="0"/>
    <x v="0"/>
    <x v="3"/>
    <x v="7"/>
    <s v="DE4-W_A"/>
    <x v="17"/>
    <s v="GNR_ST_LIGN_CND_E-32"/>
    <x v="0"/>
    <x v="4"/>
    <n v="14184.375"/>
    <n v="5177296.875"/>
    <n v="18638268.75"/>
  </r>
  <r>
    <x v="0"/>
    <x v="0"/>
    <x v="0"/>
    <x v="3"/>
    <x v="7"/>
    <s v="DE4-W_A"/>
    <x v="17"/>
    <s v="GNR_ST_LIGN_CND_E-32"/>
    <x v="0"/>
    <x v="5"/>
    <n v="14184.375"/>
    <n v="5177296.875"/>
    <n v="18638268.75"/>
  </r>
  <r>
    <x v="0"/>
    <x v="0"/>
    <x v="0"/>
    <x v="3"/>
    <x v="7"/>
    <s v="DE4-W_A"/>
    <x v="17"/>
    <s v="GNR_ST_LIGN_CND_E-32"/>
    <x v="0"/>
    <x v="6"/>
    <n v="14184.375"/>
    <n v="5177296.875"/>
    <n v="18638268.75"/>
  </r>
  <r>
    <x v="0"/>
    <x v="0"/>
    <x v="0"/>
    <x v="3"/>
    <x v="7"/>
    <s v="DE4-W_A"/>
    <x v="17"/>
    <s v="GNR_ST_LIGN_CND_E-32"/>
    <x v="0"/>
    <x v="7"/>
    <n v="14184.375"/>
    <n v="5177296.875"/>
    <n v="18638268.75"/>
  </r>
  <r>
    <x v="0"/>
    <x v="0"/>
    <x v="0"/>
    <x v="3"/>
    <x v="7"/>
    <s v="DE4-W_A"/>
    <x v="17"/>
    <s v="GNR_ST_LIGN_CND_E-32"/>
    <x v="0"/>
    <x v="8"/>
    <n v="14184.375"/>
    <n v="5177296.875"/>
    <n v="18638268.75"/>
  </r>
  <r>
    <x v="0"/>
    <x v="0"/>
    <x v="0"/>
    <x v="3"/>
    <x v="7"/>
    <s v="DE4-W_A"/>
    <x v="17"/>
    <s v="GNR_ST_LIGN_CND_E-32"/>
    <x v="0"/>
    <x v="9"/>
    <n v="14184.375"/>
    <n v="5177296.875"/>
    <n v="18638268.75"/>
  </r>
  <r>
    <x v="0"/>
    <x v="0"/>
    <x v="0"/>
    <x v="3"/>
    <x v="7"/>
    <s v="DE4-W_A"/>
    <x v="17"/>
    <s v="GNR_ST_LIGN_CND_E-32"/>
    <x v="0"/>
    <x v="10"/>
    <n v="14184.375"/>
    <n v="5177296.875"/>
    <n v="18638268.75"/>
  </r>
  <r>
    <x v="0"/>
    <x v="0"/>
    <x v="0"/>
    <x v="3"/>
    <x v="7"/>
    <s v="DE4-W_A"/>
    <x v="17"/>
    <s v="GNR_ST_LIGN_CND_E-32"/>
    <x v="0"/>
    <x v="11"/>
    <n v="14184.375"/>
    <n v="5177296.875"/>
    <n v="18638268.75"/>
  </r>
  <r>
    <x v="0"/>
    <x v="0"/>
    <x v="0"/>
    <x v="3"/>
    <x v="7"/>
    <s v="DE4-W_A"/>
    <x v="17"/>
    <s v="GNR_ST_LIGN_CND_E-32"/>
    <x v="0"/>
    <x v="12"/>
    <n v="14184.375"/>
    <n v="5177296.875"/>
    <n v="18638268.75"/>
  </r>
  <r>
    <x v="0"/>
    <x v="0"/>
    <x v="0"/>
    <x v="3"/>
    <x v="7"/>
    <s v="DE4-W_A"/>
    <x v="17"/>
    <s v="GNR_ST_LIGN_CND_E-32"/>
    <x v="0"/>
    <x v="13"/>
    <n v="14184.375"/>
    <n v="5177296.875"/>
    <n v="18638268.75"/>
  </r>
  <r>
    <x v="0"/>
    <x v="0"/>
    <x v="0"/>
    <x v="3"/>
    <x v="7"/>
    <s v="DE4-W_A"/>
    <x v="17"/>
    <s v="GNR_ST_LIGN_CND_E-32"/>
    <x v="0"/>
    <x v="14"/>
    <n v="14184.375"/>
    <n v="5177296.875"/>
    <n v="18638268.75"/>
  </r>
  <r>
    <x v="0"/>
    <x v="0"/>
    <x v="0"/>
    <x v="3"/>
    <x v="7"/>
    <s v="DE4-W_A"/>
    <x v="17"/>
    <s v="GNR_ST_LIGN_CND_E-32"/>
    <x v="0"/>
    <x v="15"/>
    <n v="14184.375"/>
    <n v="5177296.875"/>
    <n v="18638268.75"/>
  </r>
  <r>
    <x v="0"/>
    <x v="0"/>
    <x v="0"/>
    <x v="3"/>
    <x v="7"/>
    <s v="DE4-W_A"/>
    <x v="17"/>
    <s v="GNR_ST_LIGN_CND_E-32"/>
    <x v="0"/>
    <x v="16"/>
    <n v="14184.375"/>
    <n v="5177296.875"/>
    <n v="18638268.75"/>
  </r>
  <r>
    <x v="0"/>
    <x v="0"/>
    <x v="0"/>
    <x v="3"/>
    <x v="7"/>
    <s v="DE4-W_A"/>
    <x v="17"/>
    <s v="GNR_ST_LIGN_CND_E-32"/>
    <x v="0"/>
    <x v="17"/>
    <n v="14184.375"/>
    <n v="5177296.875"/>
    <n v="18638268.75"/>
  </r>
  <r>
    <x v="0"/>
    <x v="0"/>
    <x v="0"/>
    <x v="3"/>
    <x v="7"/>
    <s v="DE4-W_A"/>
    <x v="17"/>
    <s v="GNR_ST_LIGN_CND_E-32"/>
    <x v="0"/>
    <x v="19"/>
    <n v="14184.375"/>
    <n v="5177296.875"/>
    <n v="18638268.75"/>
  </r>
  <r>
    <x v="0"/>
    <x v="0"/>
    <x v="0"/>
    <x v="3"/>
    <x v="7"/>
    <s v="DE4-W_A"/>
    <x v="17"/>
    <s v="GNR_ST_LIGN_CND_E-32"/>
    <x v="0"/>
    <x v="20"/>
    <n v="14184.375"/>
    <n v="5177296.875"/>
    <n v="18638268.75"/>
  </r>
  <r>
    <x v="0"/>
    <x v="0"/>
    <x v="0"/>
    <x v="3"/>
    <x v="7"/>
    <s v="DE4-W_A"/>
    <x v="17"/>
    <s v="GNR_ST_LIGN_CND_E-32"/>
    <x v="0"/>
    <x v="21"/>
    <n v="14184.375"/>
    <n v="5177296.875"/>
    <n v="18638268.75"/>
  </r>
  <r>
    <x v="0"/>
    <x v="0"/>
    <x v="0"/>
    <x v="3"/>
    <x v="7"/>
    <s v="DE4-W_A"/>
    <x v="17"/>
    <s v="GNR_ST_LIGN_CND_E-32"/>
    <x v="0"/>
    <x v="22"/>
    <n v="14184.375"/>
    <n v="5177296.875"/>
    <n v="18638268.75"/>
  </r>
  <r>
    <x v="0"/>
    <x v="0"/>
    <x v="0"/>
    <x v="3"/>
    <x v="7"/>
    <s v="DE4-W_A"/>
    <x v="17"/>
    <s v="GNR_ST_LIGN_CND_E-32"/>
    <x v="0"/>
    <x v="23"/>
    <n v="14184.375"/>
    <n v="5177296.875"/>
    <n v="18638268.75"/>
  </r>
  <r>
    <x v="0"/>
    <x v="0"/>
    <x v="0"/>
    <x v="3"/>
    <x v="7"/>
    <s v="DE4-W_A"/>
    <x v="17"/>
    <s v="GNR_ST_LIGN_CND_E-41"/>
    <x v="0"/>
    <x v="0"/>
    <n v="9829.2682926829293"/>
    <n v="3587682.9268292701"/>
    <n v="12915658.5365854"/>
  </r>
  <r>
    <x v="0"/>
    <x v="0"/>
    <x v="0"/>
    <x v="3"/>
    <x v="7"/>
    <s v="DE4-W_A"/>
    <x v="17"/>
    <s v="GNR_ST_LIGN_CND_E-41"/>
    <x v="0"/>
    <x v="1"/>
    <n v="9829.2682926829293"/>
    <n v="3587682.9268292701"/>
    <n v="12915658.5365854"/>
  </r>
  <r>
    <x v="0"/>
    <x v="0"/>
    <x v="0"/>
    <x v="3"/>
    <x v="7"/>
    <s v="DE4-W_A"/>
    <x v="17"/>
    <s v="GNR_ST_LIGN_CND_E-41"/>
    <x v="0"/>
    <x v="2"/>
    <n v="9829.2682926829293"/>
    <n v="3587682.9268292701"/>
    <n v="12915658.5365854"/>
  </r>
  <r>
    <x v="0"/>
    <x v="0"/>
    <x v="0"/>
    <x v="3"/>
    <x v="7"/>
    <s v="DE4-W_A"/>
    <x v="17"/>
    <s v="GNR_ST_LIGN_CND_E-41"/>
    <x v="0"/>
    <x v="3"/>
    <n v="9829.2682926829293"/>
    <n v="3587682.9268292701"/>
    <n v="12915658.5365854"/>
  </r>
  <r>
    <x v="0"/>
    <x v="0"/>
    <x v="0"/>
    <x v="3"/>
    <x v="7"/>
    <s v="DE4-W_A"/>
    <x v="17"/>
    <s v="GNR_ST_LIGN_CND_E-41"/>
    <x v="0"/>
    <x v="18"/>
    <n v="9829.2682926829293"/>
    <n v="3587682.9268292701"/>
    <n v="12915658.5365854"/>
  </r>
  <r>
    <x v="0"/>
    <x v="0"/>
    <x v="0"/>
    <x v="3"/>
    <x v="7"/>
    <s v="DE4-W_A"/>
    <x v="17"/>
    <s v="GNR_ST_LIGN_CND_E-41"/>
    <x v="0"/>
    <x v="4"/>
    <n v="9829.2682926829293"/>
    <n v="3587682.9268292701"/>
    <n v="12915658.5365854"/>
  </r>
  <r>
    <x v="0"/>
    <x v="0"/>
    <x v="0"/>
    <x v="3"/>
    <x v="7"/>
    <s v="DE4-W_A"/>
    <x v="17"/>
    <s v="GNR_ST_LIGN_CND_E-41"/>
    <x v="0"/>
    <x v="5"/>
    <n v="9829.2682926829293"/>
    <n v="3587682.9268292701"/>
    <n v="12915658.5365854"/>
  </r>
  <r>
    <x v="0"/>
    <x v="0"/>
    <x v="0"/>
    <x v="3"/>
    <x v="7"/>
    <s v="DE4-W_A"/>
    <x v="17"/>
    <s v="GNR_ST_LIGN_CND_E-41"/>
    <x v="0"/>
    <x v="6"/>
    <n v="9829.2682926829293"/>
    <n v="3587682.9268292701"/>
    <n v="12915658.5365854"/>
  </r>
  <r>
    <x v="0"/>
    <x v="0"/>
    <x v="0"/>
    <x v="3"/>
    <x v="7"/>
    <s v="DE4-W_A"/>
    <x v="17"/>
    <s v="GNR_ST_LIGN_CND_E-41"/>
    <x v="0"/>
    <x v="7"/>
    <n v="9829.2682926829293"/>
    <n v="3587682.9268292701"/>
    <n v="12915658.5365854"/>
  </r>
  <r>
    <x v="0"/>
    <x v="0"/>
    <x v="0"/>
    <x v="3"/>
    <x v="7"/>
    <s v="DE4-W_A"/>
    <x v="17"/>
    <s v="GNR_ST_LIGN_CND_E-41"/>
    <x v="0"/>
    <x v="8"/>
    <n v="9829.2682926829293"/>
    <n v="3587682.9268292701"/>
    <n v="12915658.5365854"/>
  </r>
  <r>
    <x v="0"/>
    <x v="0"/>
    <x v="0"/>
    <x v="3"/>
    <x v="7"/>
    <s v="DE4-W_A"/>
    <x v="17"/>
    <s v="GNR_ST_LIGN_CND_E-41"/>
    <x v="0"/>
    <x v="9"/>
    <n v="9829.2682926829293"/>
    <n v="3587682.9268292701"/>
    <n v="12915658.5365854"/>
  </r>
  <r>
    <x v="0"/>
    <x v="0"/>
    <x v="0"/>
    <x v="3"/>
    <x v="7"/>
    <s v="DE4-W_A"/>
    <x v="17"/>
    <s v="GNR_ST_LIGN_CND_E-41"/>
    <x v="0"/>
    <x v="10"/>
    <n v="9829.2682926829293"/>
    <n v="3587682.9268292701"/>
    <n v="12915658.5365854"/>
  </r>
  <r>
    <x v="0"/>
    <x v="0"/>
    <x v="0"/>
    <x v="3"/>
    <x v="7"/>
    <s v="DE4-W_A"/>
    <x v="17"/>
    <s v="GNR_ST_LIGN_CND_E-41"/>
    <x v="0"/>
    <x v="11"/>
    <n v="9829.2682926829293"/>
    <n v="3587682.9268292701"/>
    <n v="12915658.5365854"/>
  </r>
  <r>
    <x v="0"/>
    <x v="0"/>
    <x v="0"/>
    <x v="3"/>
    <x v="7"/>
    <s v="DE4-W_A"/>
    <x v="17"/>
    <s v="GNR_ST_LIGN_CND_E-41"/>
    <x v="0"/>
    <x v="12"/>
    <n v="9829.2682926829293"/>
    <n v="3587682.9268292701"/>
    <n v="12915658.5365854"/>
  </r>
  <r>
    <x v="0"/>
    <x v="0"/>
    <x v="0"/>
    <x v="3"/>
    <x v="7"/>
    <s v="DE4-W_A"/>
    <x v="17"/>
    <s v="GNR_ST_LIGN_CND_E-41"/>
    <x v="0"/>
    <x v="13"/>
    <n v="9829.2682926829293"/>
    <n v="3587682.9268292701"/>
    <n v="12915658.5365854"/>
  </r>
  <r>
    <x v="0"/>
    <x v="0"/>
    <x v="0"/>
    <x v="3"/>
    <x v="7"/>
    <s v="DE4-W_A"/>
    <x v="17"/>
    <s v="GNR_ST_LIGN_CND_E-41"/>
    <x v="0"/>
    <x v="14"/>
    <n v="9829.2682926829293"/>
    <n v="3587682.9268292701"/>
    <n v="12915658.5365854"/>
  </r>
  <r>
    <x v="0"/>
    <x v="0"/>
    <x v="0"/>
    <x v="3"/>
    <x v="7"/>
    <s v="DE4-W_A"/>
    <x v="17"/>
    <s v="GNR_ST_LIGN_CND_E-41"/>
    <x v="0"/>
    <x v="15"/>
    <n v="9829.2682926829293"/>
    <n v="3587682.9268292701"/>
    <n v="12915658.5365854"/>
  </r>
  <r>
    <x v="0"/>
    <x v="0"/>
    <x v="0"/>
    <x v="3"/>
    <x v="7"/>
    <s v="DE4-W_A"/>
    <x v="17"/>
    <s v="GNR_ST_LIGN_CND_E-41"/>
    <x v="0"/>
    <x v="16"/>
    <n v="9829.2682926829293"/>
    <n v="3587682.9268292701"/>
    <n v="12915658.5365854"/>
  </r>
  <r>
    <x v="0"/>
    <x v="0"/>
    <x v="0"/>
    <x v="3"/>
    <x v="7"/>
    <s v="DE4-W_A"/>
    <x v="17"/>
    <s v="GNR_ST_LIGN_CND_E-41"/>
    <x v="0"/>
    <x v="17"/>
    <n v="9829.2682926829293"/>
    <n v="3587682.9268292701"/>
    <n v="12915658.5365854"/>
  </r>
  <r>
    <x v="0"/>
    <x v="0"/>
    <x v="0"/>
    <x v="3"/>
    <x v="7"/>
    <s v="DE4-W_A"/>
    <x v="17"/>
    <s v="GNR_ST_LIGN_CND_E-41"/>
    <x v="0"/>
    <x v="19"/>
    <n v="9829.2682926829293"/>
    <n v="3587682.9268292701"/>
    <n v="12915658.5365854"/>
  </r>
  <r>
    <x v="0"/>
    <x v="0"/>
    <x v="0"/>
    <x v="3"/>
    <x v="7"/>
    <s v="DE4-W_A"/>
    <x v="17"/>
    <s v="GNR_ST_LIGN_CND_E-41"/>
    <x v="0"/>
    <x v="20"/>
    <n v="9829.2682926829293"/>
    <n v="3587682.9268292701"/>
    <n v="12915658.5365854"/>
  </r>
  <r>
    <x v="0"/>
    <x v="0"/>
    <x v="0"/>
    <x v="3"/>
    <x v="7"/>
    <s v="DE4-W_A"/>
    <x v="17"/>
    <s v="GNR_ST_LIGN_CND_E-41"/>
    <x v="0"/>
    <x v="21"/>
    <n v="9829.2682926829293"/>
    <n v="3587682.9268292701"/>
    <n v="12915658.5365854"/>
  </r>
  <r>
    <x v="0"/>
    <x v="0"/>
    <x v="0"/>
    <x v="3"/>
    <x v="7"/>
    <s v="DE4-W_A"/>
    <x v="17"/>
    <s v="GNR_ST_LIGN_CND_E-41"/>
    <x v="0"/>
    <x v="22"/>
    <n v="9829.2682926829293"/>
    <n v="3587682.9268292701"/>
    <n v="12915658.5365854"/>
  </r>
  <r>
    <x v="0"/>
    <x v="0"/>
    <x v="0"/>
    <x v="3"/>
    <x v="7"/>
    <s v="DE4-W_A"/>
    <x v="17"/>
    <s v="GNR_ST_LIGN_CND_E-41"/>
    <x v="0"/>
    <x v="23"/>
    <n v="9829.2682926829293"/>
    <n v="3587682.9268292701"/>
    <n v="12915658.5365854"/>
  </r>
  <r>
    <x v="0"/>
    <x v="0"/>
    <x v="0"/>
    <x v="3"/>
    <x v="7"/>
    <s v="DE4-W_A"/>
    <x v="2"/>
    <s v="GNR_ST_MSW_CND_E-33"/>
    <x v="0"/>
    <x v="0"/>
    <n v="523.63636363636397"/>
    <n v="191127.272727273"/>
    <n v="688058.181818182"/>
  </r>
  <r>
    <x v="0"/>
    <x v="0"/>
    <x v="0"/>
    <x v="3"/>
    <x v="7"/>
    <s v="DE4-W_A"/>
    <x v="2"/>
    <s v="GNR_ST_MSW_CND_E-33"/>
    <x v="0"/>
    <x v="1"/>
    <n v="523.63636363636397"/>
    <n v="191127.272727273"/>
    <n v="688058.181818182"/>
  </r>
  <r>
    <x v="0"/>
    <x v="0"/>
    <x v="0"/>
    <x v="3"/>
    <x v="7"/>
    <s v="DE4-W_A"/>
    <x v="2"/>
    <s v="GNR_ST_MSW_CND_E-33"/>
    <x v="0"/>
    <x v="2"/>
    <n v="523.63636363636397"/>
    <n v="191127.272727273"/>
    <n v="688058.181818182"/>
  </r>
  <r>
    <x v="0"/>
    <x v="0"/>
    <x v="0"/>
    <x v="3"/>
    <x v="7"/>
    <s v="DE4-W_A"/>
    <x v="2"/>
    <s v="GNR_ST_MSW_CND_E-33"/>
    <x v="0"/>
    <x v="3"/>
    <n v="523.63636363636397"/>
    <n v="191127.272727273"/>
    <n v="688058.181818182"/>
  </r>
  <r>
    <x v="0"/>
    <x v="0"/>
    <x v="0"/>
    <x v="3"/>
    <x v="7"/>
    <s v="DE4-W_A"/>
    <x v="2"/>
    <s v="GNR_ST_MSW_CND_E-33"/>
    <x v="0"/>
    <x v="18"/>
    <n v="523.63636363636397"/>
    <n v="191127.272727273"/>
    <n v="688058.181818182"/>
  </r>
  <r>
    <x v="0"/>
    <x v="0"/>
    <x v="0"/>
    <x v="3"/>
    <x v="7"/>
    <s v="DE4-W_A"/>
    <x v="2"/>
    <s v="GNR_ST_MSW_CND_E-33"/>
    <x v="0"/>
    <x v="4"/>
    <n v="523.63636363636397"/>
    <n v="191127.272727273"/>
    <n v="688058.181818182"/>
  </r>
  <r>
    <x v="0"/>
    <x v="0"/>
    <x v="0"/>
    <x v="3"/>
    <x v="7"/>
    <s v="DE4-W_A"/>
    <x v="2"/>
    <s v="GNR_ST_MSW_CND_E-33"/>
    <x v="0"/>
    <x v="5"/>
    <n v="523.63636363636397"/>
    <n v="191127.272727273"/>
    <n v="688058.181818182"/>
  </r>
  <r>
    <x v="0"/>
    <x v="0"/>
    <x v="0"/>
    <x v="3"/>
    <x v="7"/>
    <s v="DE4-W_A"/>
    <x v="2"/>
    <s v="GNR_ST_MSW_CND_E-33"/>
    <x v="0"/>
    <x v="6"/>
    <n v="523.63636363636397"/>
    <n v="191127.272727273"/>
    <n v="688058.181818182"/>
  </r>
  <r>
    <x v="0"/>
    <x v="0"/>
    <x v="0"/>
    <x v="3"/>
    <x v="7"/>
    <s v="DE4-W_A"/>
    <x v="2"/>
    <s v="GNR_ST_MSW_CND_E-33"/>
    <x v="0"/>
    <x v="7"/>
    <n v="523.63636363636397"/>
    <n v="191127.272727273"/>
    <n v="688058.181818182"/>
  </r>
  <r>
    <x v="0"/>
    <x v="0"/>
    <x v="0"/>
    <x v="3"/>
    <x v="7"/>
    <s v="DE4-W_A"/>
    <x v="2"/>
    <s v="GNR_ST_MSW_CND_E-33"/>
    <x v="0"/>
    <x v="8"/>
    <n v="523.63636363636397"/>
    <n v="191127.272727273"/>
    <n v="688058.181818182"/>
  </r>
  <r>
    <x v="0"/>
    <x v="0"/>
    <x v="0"/>
    <x v="3"/>
    <x v="7"/>
    <s v="DE4-W_A"/>
    <x v="2"/>
    <s v="GNR_ST_MSW_CND_E-33"/>
    <x v="0"/>
    <x v="9"/>
    <n v="523.63636363636397"/>
    <n v="191127.272727273"/>
    <n v="688058.181818182"/>
  </r>
  <r>
    <x v="0"/>
    <x v="0"/>
    <x v="0"/>
    <x v="3"/>
    <x v="7"/>
    <s v="DE4-W_A"/>
    <x v="2"/>
    <s v="GNR_ST_MSW_CND_E-33"/>
    <x v="0"/>
    <x v="10"/>
    <n v="523.63636363636397"/>
    <n v="191127.272727273"/>
    <n v="688058.181818182"/>
  </r>
  <r>
    <x v="0"/>
    <x v="0"/>
    <x v="0"/>
    <x v="3"/>
    <x v="7"/>
    <s v="DE4-W_A"/>
    <x v="2"/>
    <s v="GNR_ST_MSW_CND_E-33"/>
    <x v="0"/>
    <x v="11"/>
    <n v="523.63636363636397"/>
    <n v="191127.272727273"/>
    <n v="688058.181818182"/>
  </r>
  <r>
    <x v="0"/>
    <x v="0"/>
    <x v="0"/>
    <x v="3"/>
    <x v="7"/>
    <s v="DE4-W_A"/>
    <x v="2"/>
    <s v="GNR_ST_MSW_CND_E-33"/>
    <x v="0"/>
    <x v="12"/>
    <n v="523.63636363636397"/>
    <n v="191127.272727273"/>
    <n v="688058.181818182"/>
  </r>
  <r>
    <x v="0"/>
    <x v="0"/>
    <x v="0"/>
    <x v="3"/>
    <x v="7"/>
    <s v="DE4-W_A"/>
    <x v="2"/>
    <s v="GNR_ST_MSW_CND_E-33"/>
    <x v="0"/>
    <x v="13"/>
    <n v="523.63636363636397"/>
    <n v="191127.272727273"/>
    <n v="688058.181818182"/>
  </r>
  <r>
    <x v="0"/>
    <x v="0"/>
    <x v="0"/>
    <x v="3"/>
    <x v="7"/>
    <s v="DE4-W_A"/>
    <x v="2"/>
    <s v="GNR_ST_MSW_CND_E-33"/>
    <x v="0"/>
    <x v="14"/>
    <n v="523.63636363636397"/>
    <n v="191127.272727273"/>
    <n v="688058.181818182"/>
  </r>
  <r>
    <x v="0"/>
    <x v="0"/>
    <x v="0"/>
    <x v="3"/>
    <x v="7"/>
    <s v="DE4-W_A"/>
    <x v="2"/>
    <s v="GNR_ST_MSW_CND_E-33"/>
    <x v="0"/>
    <x v="15"/>
    <n v="523.63636363636397"/>
    <n v="191127.272727273"/>
    <n v="688058.181818182"/>
  </r>
  <r>
    <x v="0"/>
    <x v="0"/>
    <x v="0"/>
    <x v="3"/>
    <x v="7"/>
    <s v="DE4-W_A"/>
    <x v="2"/>
    <s v="GNR_ST_MSW_CND_E-33"/>
    <x v="0"/>
    <x v="16"/>
    <n v="523.63636363636397"/>
    <n v="191127.272727273"/>
    <n v="688058.181818182"/>
  </r>
  <r>
    <x v="0"/>
    <x v="0"/>
    <x v="0"/>
    <x v="3"/>
    <x v="7"/>
    <s v="DE4-W_A"/>
    <x v="2"/>
    <s v="GNR_ST_MSW_CND_E-33"/>
    <x v="0"/>
    <x v="17"/>
    <n v="523.63636363636397"/>
    <n v="191127.272727273"/>
    <n v="688058.181818182"/>
  </r>
  <r>
    <x v="0"/>
    <x v="0"/>
    <x v="0"/>
    <x v="3"/>
    <x v="7"/>
    <s v="DE4-W_A"/>
    <x v="2"/>
    <s v="GNR_ST_MSW_CND_E-33"/>
    <x v="0"/>
    <x v="19"/>
    <n v="523.63636363636397"/>
    <n v="191127.272727273"/>
    <n v="688058.181818182"/>
  </r>
  <r>
    <x v="0"/>
    <x v="0"/>
    <x v="0"/>
    <x v="3"/>
    <x v="7"/>
    <s v="DE4-W_A"/>
    <x v="2"/>
    <s v="GNR_ST_MSW_CND_E-33"/>
    <x v="0"/>
    <x v="20"/>
    <n v="523.63636363636397"/>
    <n v="191127.272727273"/>
    <n v="688058.181818182"/>
  </r>
  <r>
    <x v="0"/>
    <x v="0"/>
    <x v="0"/>
    <x v="3"/>
    <x v="7"/>
    <s v="DE4-W_A"/>
    <x v="2"/>
    <s v="GNR_ST_MSW_CND_E-33"/>
    <x v="0"/>
    <x v="21"/>
    <n v="523.63636363636397"/>
    <n v="191127.272727273"/>
    <n v="688058.181818182"/>
  </r>
  <r>
    <x v="0"/>
    <x v="0"/>
    <x v="0"/>
    <x v="3"/>
    <x v="7"/>
    <s v="DE4-W_A"/>
    <x v="2"/>
    <s v="GNR_ST_MSW_CND_E-33"/>
    <x v="0"/>
    <x v="22"/>
    <n v="523.63636363636397"/>
    <n v="191127.272727273"/>
    <n v="688058.181818182"/>
  </r>
  <r>
    <x v="0"/>
    <x v="0"/>
    <x v="0"/>
    <x v="3"/>
    <x v="7"/>
    <s v="DE4-W_A"/>
    <x v="2"/>
    <s v="GNR_ST_MSW_CND_E-33"/>
    <x v="0"/>
    <x v="23"/>
    <n v="523.63636363636397"/>
    <n v="191127.272727273"/>
    <n v="688058.181818182"/>
  </r>
  <r>
    <x v="0"/>
    <x v="0"/>
    <x v="0"/>
    <x v="3"/>
    <x v="7"/>
    <s v="DE4-W_A"/>
    <x v="15"/>
    <s v="GNR_ST_NUCL_CND_E-33"/>
    <x v="0"/>
    <x v="0"/>
    <n v="8169.69696969697"/>
    <n v="2981939.3939393898"/>
    <n v="10734981.8181818"/>
  </r>
  <r>
    <x v="0"/>
    <x v="0"/>
    <x v="0"/>
    <x v="3"/>
    <x v="7"/>
    <s v="DE4-W_A"/>
    <x v="15"/>
    <s v="GNR_ST_NUCL_CND_E-33"/>
    <x v="0"/>
    <x v="1"/>
    <n v="8169.69696969697"/>
    <n v="2981939.3939393898"/>
    <n v="10734981.8181818"/>
  </r>
  <r>
    <x v="0"/>
    <x v="0"/>
    <x v="0"/>
    <x v="3"/>
    <x v="7"/>
    <s v="DE4-W_A"/>
    <x v="15"/>
    <s v="GNR_ST_NUCL_CND_E-33"/>
    <x v="0"/>
    <x v="2"/>
    <n v="8169.69696969697"/>
    <n v="2981939.3939393898"/>
    <n v="10734981.8181818"/>
  </r>
  <r>
    <x v="0"/>
    <x v="0"/>
    <x v="0"/>
    <x v="3"/>
    <x v="7"/>
    <s v="DE4-W_A"/>
    <x v="15"/>
    <s v="GNR_ST_NUCL_CND_E-33"/>
    <x v="0"/>
    <x v="3"/>
    <n v="8169.69696969697"/>
    <n v="2981939.3939393898"/>
    <n v="10734981.8181818"/>
  </r>
  <r>
    <x v="0"/>
    <x v="0"/>
    <x v="0"/>
    <x v="3"/>
    <x v="7"/>
    <s v="DE4-W_A"/>
    <x v="15"/>
    <s v="GNR_ST_NUCL_CND_E-33"/>
    <x v="0"/>
    <x v="18"/>
    <n v="8169.69696969697"/>
    <n v="2981939.3939393898"/>
    <n v="10734981.8181818"/>
  </r>
  <r>
    <x v="0"/>
    <x v="0"/>
    <x v="0"/>
    <x v="3"/>
    <x v="7"/>
    <s v="DE4-W_A"/>
    <x v="15"/>
    <s v="GNR_ST_NUCL_CND_E-33"/>
    <x v="0"/>
    <x v="4"/>
    <n v="8169.69696969697"/>
    <n v="2981939.3939393898"/>
    <n v="10734981.8181818"/>
  </r>
  <r>
    <x v="0"/>
    <x v="0"/>
    <x v="0"/>
    <x v="3"/>
    <x v="7"/>
    <s v="DE4-W_A"/>
    <x v="15"/>
    <s v="GNR_ST_NUCL_CND_E-33"/>
    <x v="0"/>
    <x v="5"/>
    <n v="8169.69696969697"/>
    <n v="2981939.3939393898"/>
    <n v="10734981.8181818"/>
  </r>
  <r>
    <x v="0"/>
    <x v="0"/>
    <x v="0"/>
    <x v="3"/>
    <x v="7"/>
    <s v="DE4-W_A"/>
    <x v="15"/>
    <s v="GNR_ST_NUCL_CND_E-33"/>
    <x v="0"/>
    <x v="6"/>
    <n v="8169.69696969697"/>
    <n v="2981939.3939393898"/>
    <n v="10734981.8181818"/>
  </r>
  <r>
    <x v="0"/>
    <x v="0"/>
    <x v="0"/>
    <x v="3"/>
    <x v="7"/>
    <s v="DE4-W_A"/>
    <x v="15"/>
    <s v="GNR_ST_NUCL_CND_E-33"/>
    <x v="0"/>
    <x v="7"/>
    <n v="8169.69696969697"/>
    <n v="2981939.3939393898"/>
    <n v="10734981.8181818"/>
  </r>
  <r>
    <x v="0"/>
    <x v="0"/>
    <x v="0"/>
    <x v="3"/>
    <x v="7"/>
    <s v="DE4-W_A"/>
    <x v="15"/>
    <s v="GNR_ST_NUCL_CND_E-33"/>
    <x v="0"/>
    <x v="8"/>
    <n v="8169.69696969697"/>
    <n v="2981939.3939393898"/>
    <n v="10734981.8181818"/>
  </r>
  <r>
    <x v="0"/>
    <x v="0"/>
    <x v="0"/>
    <x v="3"/>
    <x v="7"/>
    <s v="DE4-W_A"/>
    <x v="15"/>
    <s v="GNR_ST_NUCL_CND_E-33"/>
    <x v="0"/>
    <x v="9"/>
    <n v="8169.69696969697"/>
    <n v="2981939.3939393898"/>
    <n v="10734981.8181818"/>
  </r>
  <r>
    <x v="0"/>
    <x v="0"/>
    <x v="0"/>
    <x v="3"/>
    <x v="7"/>
    <s v="DE4-W_A"/>
    <x v="15"/>
    <s v="GNR_ST_NUCL_CND_E-33"/>
    <x v="0"/>
    <x v="10"/>
    <n v="8169.69696969697"/>
    <n v="2981939.3939393898"/>
    <n v="10734981.8181818"/>
  </r>
  <r>
    <x v="0"/>
    <x v="0"/>
    <x v="0"/>
    <x v="3"/>
    <x v="7"/>
    <s v="DE4-W_A"/>
    <x v="15"/>
    <s v="GNR_ST_NUCL_CND_E-33"/>
    <x v="0"/>
    <x v="11"/>
    <n v="8169.69696969697"/>
    <n v="2981939.3939393898"/>
    <n v="10734981.8181818"/>
  </r>
  <r>
    <x v="0"/>
    <x v="0"/>
    <x v="0"/>
    <x v="3"/>
    <x v="7"/>
    <s v="DE4-W_A"/>
    <x v="15"/>
    <s v="GNR_ST_NUCL_CND_E-33"/>
    <x v="0"/>
    <x v="12"/>
    <n v="8169.69696969697"/>
    <n v="2981939.3939393898"/>
    <n v="10734981.8181818"/>
  </r>
  <r>
    <x v="0"/>
    <x v="0"/>
    <x v="0"/>
    <x v="3"/>
    <x v="7"/>
    <s v="DE4-W_A"/>
    <x v="15"/>
    <s v="GNR_ST_NUCL_CND_E-33"/>
    <x v="0"/>
    <x v="13"/>
    <n v="8169.69696969697"/>
    <n v="2981939.3939393898"/>
    <n v="10734981.8181818"/>
  </r>
  <r>
    <x v="0"/>
    <x v="0"/>
    <x v="0"/>
    <x v="3"/>
    <x v="7"/>
    <s v="DE4-W_A"/>
    <x v="15"/>
    <s v="GNR_ST_NUCL_CND_E-33"/>
    <x v="0"/>
    <x v="14"/>
    <n v="8169.69696969697"/>
    <n v="2981939.3939393898"/>
    <n v="10734981.8181818"/>
  </r>
  <r>
    <x v="0"/>
    <x v="0"/>
    <x v="0"/>
    <x v="3"/>
    <x v="7"/>
    <s v="DE4-W_A"/>
    <x v="15"/>
    <s v="GNR_ST_NUCL_CND_E-33"/>
    <x v="0"/>
    <x v="15"/>
    <n v="8169.69696969697"/>
    <n v="2981939.3939393898"/>
    <n v="10734981.8181818"/>
  </r>
  <r>
    <x v="0"/>
    <x v="0"/>
    <x v="0"/>
    <x v="3"/>
    <x v="7"/>
    <s v="DE4-W_A"/>
    <x v="15"/>
    <s v="GNR_ST_NUCL_CND_E-33"/>
    <x v="0"/>
    <x v="16"/>
    <n v="8169.69696969697"/>
    <n v="2981939.3939393898"/>
    <n v="10734981.8181818"/>
  </r>
  <r>
    <x v="0"/>
    <x v="0"/>
    <x v="0"/>
    <x v="3"/>
    <x v="7"/>
    <s v="DE4-W_A"/>
    <x v="15"/>
    <s v="GNR_ST_NUCL_CND_E-33"/>
    <x v="0"/>
    <x v="17"/>
    <n v="8169.69696969697"/>
    <n v="2981939.3939393898"/>
    <n v="10734981.8181818"/>
  </r>
  <r>
    <x v="0"/>
    <x v="0"/>
    <x v="0"/>
    <x v="3"/>
    <x v="7"/>
    <s v="DE4-W_A"/>
    <x v="15"/>
    <s v="GNR_ST_NUCL_CND_E-33"/>
    <x v="0"/>
    <x v="19"/>
    <n v="8169.69696969697"/>
    <n v="2981939.3939393898"/>
    <n v="10734981.8181818"/>
  </r>
  <r>
    <x v="0"/>
    <x v="0"/>
    <x v="0"/>
    <x v="3"/>
    <x v="7"/>
    <s v="DE4-W_A"/>
    <x v="15"/>
    <s v="GNR_ST_NUCL_CND_E-33"/>
    <x v="0"/>
    <x v="20"/>
    <n v="8169.69696969697"/>
    <n v="2981939.3939393898"/>
    <n v="10734981.8181818"/>
  </r>
  <r>
    <x v="0"/>
    <x v="0"/>
    <x v="0"/>
    <x v="3"/>
    <x v="7"/>
    <s v="DE4-W_A"/>
    <x v="15"/>
    <s v="GNR_ST_NUCL_CND_E-33"/>
    <x v="0"/>
    <x v="21"/>
    <n v="8169.69696969697"/>
    <n v="2981939.3939393898"/>
    <n v="10734981.8181818"/>
  </r>
  <r>
    <x v="0"/>
    <x v="0"/>
    <x v="0"/>
    <x v="3"/>
    <x v="7"/>
    <s v="DE4-W_A"/>
    <x v="15"/>
    <s v="GNR_ST_NUCL_CND_E-33"/>
    <x v="0"/>
    <x v="22"/>
    <n v="8169.69696969697"/>
    <n v="2981939.3939393898"/>
    <n v="10734981.8181818"/>
  </r>
  <r>
    <x v="0"/>
    <x v="0"/>
    <x v="0"/>
    <x v="3"/>
    <x v="7"/>
    <s v="DE4-W_A"/>
    <x v="15"/>
    <s v="GNR_ST_NUCL_CND_E-33"/>
    <x v="0"/>
    <x v="23"/>
    <n v="8169.69696969697"/>
    <n v="2981939.3939393898"/>
    <n v="10734981.8181818"/>
  </r>
  <r>
    <x v="0"/>
    <x v="0"/>
    <x v="0"/>
    <x v="3"/>
    <x v="7"/>
    <s v="DE4-W_A"/>
    <x v="6"/>
    <s v="GNR_PV_SUN"/>
    <x v="0"/>
    <x v="7"/>
    <n v="214.82182741120599"/>
    <n v="78409.967005090104"/>
    <n v="282275.88121832401"/>
  </r>
  <r>
    <x v="0"/>
    <x v="0"/>
    <x v="0"/>
    <x v="3"/>
    <x v="7"/>
    <s v="DE4-W_A"/>
    <x v="6"/>
    <s v="GNR_PV_SUN"/>
    <x v="0"/>
    <x v="8"/>
    <n v="1617.2227827674401"/>
    <n v="590286.31571011397"/>
    <n v="2125030.7365564099"/>
  </r>
  <r>
    <x v="0"/>
    <x v="0"/>
    <x v="0"/>
    <x v="3"/>
    <x v="7"/>
    <s v="DE4-W_A"/>
    <x v="6"/>
    <s v="GNR_PV_SUN"/>
    <x v="0"/>
    <x v="9"/>
    <n v="3735.6964961610201"/>
    <n v="1363529.2210987699"/>
    <n v="4908705.1959555801"/>
  </r>
  <r>
    <x v="0"/>
    <x v="0"/>
    <x v="0"/>
    <x v="3"/>
    <x v="7"/>
    <s v="DE4-W_A"/>
    <x v="6"/>
    <s v="GNR_PV_SUN"/>
    <x v="0"/>
    <x v="10"/>
    <n v="5688.9226500075201"/>
    <n v="2076456.76725274"/>
    <n v="7475244.36210988"/>
  </r>
  <r>
    <x v="0"/>
    <x v="0"/>
    <x v="0"/>
    <x v="3"/>
    <x v="7"/>
    <s v="DE4-W_A"/>
    <x v="6"/>
    <s v="GNR_PV_SUN"/>
    <x v="0"/>
    <x v="11"/>
    <n v="6467.78948067276"/>
    <n v="2360743.1604455598"/>
    <n v="8498675.3776040096"/>
  </r>
  <r>
    <x v="0"/>
    <x v="0"/>
    <x v="0"/>
    <x v="3"/>
    <x v="7"/>
    <s v="DE4-W_A"/>
    <x v="6"/>
    <s v="GNR_PV_SUN"/>
    <x v="0"/>
    <x v="12"/>
    <n v="5623.92527658567"/>
    <n v="2052732.7259537701"/>
    <n v="7389837.8134335699"/>
  </r>
  <r>
    <x v="0"/>
    <x v="0"/>
    <x v="0"/>
    <x v="3"/>
    <x v="7"/>
    <s v="DE4-W_A"/>
    <x v="6"/>
    <s v="GNR_PV_SUN"/>
    <x v="0"/>
    <x v="13"/>
    <n v="3659.68261876936"/>
    <n v="1335784.15585082"/>
    <n v="4808822.9610629398"/>
  </r>
  <r>
    <x v="0"/>
    <x v="0"/>
    <x v="0"/>
    <x v="3"/>
    <x v="7"/>
    <s v="DE4-W_A"/>
    <x v="6"/>
    <s v="GNR_PV_SUN"/>
    <x v="0"/>
    <x v="14"/>
    <n v="1852.9759677212701"/>
    <n v="676336.22821826395"/>
    <n v="2434810.4215857498"/>
  </r>
  <r>
    <x v="0"/>
    <x v="0"/>
    <x v="0"/>
    <x v="3"/>
    <x v="7"/>
    <s v="DE4-W_A"/>
    <x v="6"/>
    <s v="GNR_PV_SUN"/>
    <x v="0"/>
    <x v="15"/>
    <n v="241.261436938739"/>
    <n v="88060.424482639603"/>
    <n v="317017.52813750302"/>
  </r>
  <r>
    <x v="0"/>
    <x v="0"/>
    <x v="0"/>
    <x v="3"/>
    <x v="7"/>
    <s v="DE4-W_A"/>
    <x v="7"/>
    <s v="GNR_ROR_WTR"/>
    <x v="0"/>
    <x v="0"/>
    <n v="198.90753424657501"/>
    <n v="72601.25"/>
    <n v="261364.5"/>
  </r>
  <r>
    <x v="0"/>
    <x v="0"/>
    <x v="0"/>
    <x v="3"/>
    <x v="7"/>
    <s v="DE4-W_A"/>
    <x v="7"/>
    <s v="GNR_ROR_WTR"/>
    <x v="0"/>
    <x v="1"/>
    <n v="198.90753424657501"/>
    <n v="72601.25"/>
    <n v="261364.5"/>
  </r>
  <r>
    <x v="0"/>
    <x v="0"/>
    <x v="0"/>
    <x v="3"/>
    <x v="7"/>
    <s v="DE4-W_A"/>
    <x v="7"/>
    <s v="GNR_ROR_WTR"/>
    <x v="0"/>
    <x v="2"/>
    <n v="198.90753424657501"/>
    <n v="72601.25"/>
    <n v="261364.5"/>
  </r>
  <r>
    <x v="0"/>
    <x v="0"/>
    <x v="0"/>
    <x v="3"/>
    <x v="7"/>
    <s v="DE4-W_A"/>
    <x v="7"/>
    <s v="GNR_ROR_WTR"/>
    <x v="0"/>
    <x v="3"/>
    <n v="198.90753424657501"/>
    <n v="72601.25"/>
    <n v="261364.5"/>
  </r>
  <r>
    <x v="0"/>
    <x v="0"/>
    <x v="0"/>
    <x v="3"/>
    <x v="7"/>
    <s v="DE4-W_A"/>
    <x v="7"/>
    <s v="GNR_ROR_WTR"/>
    <x v="0"/>
    <x v="18"/>
    <n v="198.90753424657501"/>
    <n v="72601.25"/>
    <n v="261364.5"/>
  </r>
  <r>
    <x v="0"/>
    <x v="0"/>
    <x v="0"/>
    <x v="3"/>
    <x v="7"/>
    <s v="DE4-W_A"/>
    <x v="7"/>
    <s v="GNR_ROR_WTR"/>
    <x v="0"/>
    <x v="4"/>
    <n v="198.90753424657501"/>
    <n v="72601.25"/>
    <n v="261364.5"/>
  </r>
  <r>
    <x v="0"/>
    <x v="0"/>
    <x v="0"/>
    <x v="3"/>
    <x v="7"/>
    <s v="DE4-W_A"/>
    <x v="7"/>
    <s v="GNR_ROR_WTR"/>
    <x v="0"/>
    <x v="5"/>
    <n v="198.90753424657501"/>
    <n v="72601.25"/>
    <n v="261364.5"/>
  </r>
  <r>
    <x v="0"/>
    <x v="0"/>
    <x v="0"/>
    <x v="3"/>
    <x v="7"/>
    <s v="DE4-W_A"/>
    <x v="7"/>
    <s v="GNR_ROR_WTR"/>
    <x v="0"/>
    <x v="6"/>
    <n v="198.90753424657501"/>
    <n v="72601.25"/>
    <n v="261364.5"/>
  </r>
  <r>
    <x v="0"/>
    <x v="0"/>
    <x v="0"/>
    <x v="3"/>
    <x v="7"/>
    <s v="DE4-W_A"/>
    <x v="7"/>
    <s v="GNR_ROR_WTR"/>
    <x v="0"/>
    <x v="7"/>
    <n v="198.90753424657501"/>
    <n v="72601.25"/>
    <n v="261364.5"/>
  </r>
  <r>
    <x v="0"/>
    <x v="0"/>
    <x v="0"/>
    <x v="3"/>
    <x v="7"/>
    <s v="DE4-W_A"/>
    <x v="7"/>
    <s v="GNR_ROR_WTR"/>
    <x v="0"/>
    <x v="8"/>
    <n v="198.90753424657501"/>
    <n v="72601.25"/>
    <n v="261364.5"/>
  </r>
  <r>
    <x v="0"/>
    <x v="0"/>
    <x v="0"/>
    <x v="3"/>
    <x v="7"/>
    <s v="DE4-W_A"/>
    <x v="7"/>
    <s v="GNR_ROR_WTR"/>
    <x v="0"/>
    <x v="9"/>
    <n v="198.90753424657501"/>
    <n v="72601.25"/>
    <n v="261364.5"/>
  </r>
  <r>
    <x v="0"/>
    <x v="0"/>
    <x v="0"/>
    <x v="3"/>
    <x v="7"/>
    <s v="DE4-W_A"/>
    <x v="7"/>
    <s v="GNR_ROR_WTR"/>
    <x v="0"/>
    <x v="10"/>
    <n v="198.90753424657501"/>
    <n v="72601.25"/>
    <n v="261364.5"/>
  </r>
  <r>
    <x v="0"/>
    <x v="0"/>
    <x v="0"/>
    <x v="3"/>
    <x v="7"/>
    <s v="DE4-W_A"/>
    <x v="7"/>
    <s v="GNR_ROR_WTR"/>
    <x v="0"/>
    <x v="11"/>
    <n v="198.90753424657501"/>
    <n v="72601.25"/>
    <n v="261364.5"/>
  </r>
  <r>
    <x v="0"/>
    <x v="0"/>
    <x v="0"/>
    <x v="3"/>
    <x v="7"/>
    <s v="DE4-W_A"/>
    <x v="7"/>
    <s v="GNR_ROR_WTR"/>
    <x v="0"/>
    <x v="12"/>
    <n v="198.90753424657501"/>
    <n v="72601.25"/>
    <n v="261364.5"/>
  </r>
  <r>
    <x v="0"/>
    <x v="0"/>
    <x v="0"/>
    <x v="3"/>
    <x v="7"/>
    <s v="DE4-W_A"/>
    <x v="7"/>
    <s v="GNR_ROR_WTR"/>
    <x v="0"/>
    <x v="13"/>
    <n v="198.90753424657501"/>
    <n v="72601.25"/>
    <n v="261364.5"/>
  </r>
  <r>
    <x v="0"/>
    <x v="0"/>
    <x v="0"/>
    <x v="3"/>
    <x v="7"/>
    <s v="DE4-W_A"/>
    <x v="7"/>
    <s v="GNR_ROR_WTR"/>
    <x v="0"/>
    <x v="14"/>
    <n v="198.90753424657501"/>
    <n v="72601.25"/>
    <n v="261364.5"/>
  </r>
  <r>
    <x v="0"/>
    <x v="0"/>
    <x v="0"/>
    <x v="3"/>
    <x v="7"/>
    <s v="DE4-W_A"/>
    <x v="7"/>
    <s v="GNR_ROR_WTR"/>
    <x v="0"/>
    <x v="15"/>
    <n v="198.90753424657501"/>
    <n v="72601.25"/>
    <n v="261364.5"/>
  </r>
  <r>
    <x v="0"/>
    <x v="0"/>
    <x v="0"/>
    <x v="3"/>
    <x v="7"/>
    <s v="DE4-W_A"/>
    <x v="7"/>
    <s v="GNR_ROR_WTR"/>
    <x v="0"/>
    <x v="16"/>
    <n v="198.90753424657501"/>
    <n v="72601.25"/>
    <n v="261364.5"/>
  </r>
  <r>
    <x v="0"/>
    <x v="0"/>
    <x v="0"/>
    <x v="3"/>
    <x v="7"/>
    <s v="DE4-W_A"/>
    <x v="7"/>
    <s v="GNR_ROR_WTR"/>
    <x v="0"/>
    <x v="17"/>
    <n v="198.90753424657501"/>
    <n v="72601.25"/>
    <n v="261364.5"/>
  </r>
  <r>
    <x v="0"/>
    <x v="0"/>
    <x v="0"/>
    <x v="3"/>
    <x v="7"/>
    <s v="DE4-W_A"/>
    <x v="7"/>
    <s v="GNR_ROR_WTR"/>
    <x v="0"/>
    <x v="19"/>
    <n v="198.90753424657501"/>
    <n v="72601.25"/>
    <n v="261364.5"/>
  </r>
  <r>
    <x v="0"/>
    <x v="0"/>
    <x v="0"/>
    <x v="3"/>
    <x v="7"/>
    <s v="DE4-W_A"/>
    <x v="7"/>
    <s v="GNR_ROR_WTR"/>
    <x v="0"/>
    <x v="20"/>
    <n v="198.90753424657501"/>
    <n v="72601.25"/>
    <n v="261364.5"/>
  </r>
  <r>
    <x v="0"/>
    <x v="0"/>
    <x v="0"/>
    <x v="3"/>
    <x v="7"/>
    <s v="DE4-W_A"/>
    <x v="7"/>
    <s v="GNR_ROR_WTR"/>
    <x v="0"/>
    <x v="21"/>
    <n v="198.90753424657501"/>
    <n v="72601.25"/>
    <n v="261364.5"/>
  </r>
  <r>
    <x v="0"/>
    <x v="0"/>
    <x v="0"/>
    <x v="3"/>
    <x v="7"/>
    <s v="DE4-W_A"/>
    <x v="7"/>
    <s v="GNR_ROR_WTR"/>
    <x v="0"/>
    <x v="22"/>
    <n v="198.90753424657501"/>
    <n v="72601.25"/>
    <n v="261364.5"/>
  </r>
  <r>
    <x v="0"/>
    <x v="0"/>
    <x v="0"/>
    <x v="3"/>
    <x v="7"/>
    <s v="DE4-W_A"/>
    <x v="7"/>
    <s v="GNR_ROR_WTR"/>
    <x v="0"/>
    <x v="23"/>
    <n v="198.90753424657501"/>
    <n v="72601.25"/>
    <n v="261364.5"/>
  </r>
  <r>
    <x v="0"/>
    <x v="0"/>
    <x v="0"/>
    <x v="3"/>
    <x v="7"/>
    <s v="DE4-W_A"/>
    <x v="8"/>
    <s v="GNR_WT_WIND_ONS"/>
    <x v="0"/>
    <x v="0"/>
    <n v="2767.70001359974"/>
    <n v="1010210.5049639"/>
    <n v="3636757.8178700502"/>
  </r>
  <r>
    <x v="0"/>
    <x v="0"/>
    <x v="0"/>
    <x v="3"/>
    <x v="7"/>
    <s v="DE4-W_A"/>
    <x v="8"/>
    <s v="GNR_WT_WIND_ONS"/>
    <x v="0"/>
    <x v="1"/>
    <n v="2678.0034735968702"/>
    <n v="977471.26786285802"/>
    <n v="3518896.5643062899"/>
  </r>
  <r>
    <x v="0"/>
    <x v="0"/>
    <x v="0"/>
    <x v="3"/>
    <x v="7"/>
    <s v="DE4-W_A"/>
    <x v="8"/>
    <s v="GNR_WT_WIND_ONS"/>
    <x v="0"/>
    <x v="2"/>
    <n v="2601.5680236971002"/>
    <n v="949572.32864943997"/>
    <n v="3418460.3831379898"/>
  </r>
  <r>
    <x v="0"/>
    <x v="0"/>
    <x v="0"/>
    <x v="3"/>
    <x v="7"/>
    <s v="DE4-W_A"/>
    <x v="8"/>
    <s v="GNR_WT_WIND_ONS"/>
    <x v="0"/>
    <x v="3"/>
    <n v="2470.4305771220702"/>
    <n v="901707.16064955399"/>
    <n v="3246145.7783383899"/>
  </r>
  <r>
    <x v="0"/>
    <x v="0"/>
    <x v="0"/>
    <x v="3"/>
    <x v="7"/>
    <s v="DE4-W_A"/>
    <x v="8"/>
    <s v="GNR_WT_WIND_ONS"/>
    <x v="0"/>
    <x v="18"/>
    <n v="2250.3333177721202"/>
    <n v="821371.66098682198"/>
    <n v="2956937.97955256"/>
  </r>
  <r>
    <x v="0"/>
    <x v="0"/>
    <x v="0"/>
    <x v="3"/>
    <x v="7"/>
    <s v="DE4-W_A"/>
    <x v="8"/>
    <s v="GNR_WT_WIND_ONS"/>
    <x v="0"/>
    <x v="4"/>
    <n v="2053.4429661025802"/>
    <n v="749506.68262744194"/>
    <n v="2698224.05745879"/>
  </r>
  <r>
    <x v="0"/>
    <x v="0"/>
    <x v="0"/>
    <x v="3"/>
    <x v="7"/>
    <s v="DE4-W_A"/>
    <x v="8"/>
    <s v="GNR_WT_WIND_ONS"/>
    <x v="0"/>
    <x v="5"/>
    <n v="1692.63080621425"/>
    <n v="617810.24426820199"/>
    <n v="2224116.8793655299"/>
  </r>
  <r>
    <x v="0"/>
    <x v="0"/>
    <x v="0"/>
    <x v="3"/>
    <x v="7"/>
    <s v="DE4-W_A"/>
    <x v="8"/>
    <s v="GNR_WT_WIND_ONS"/>
    <x v="0"/>
    <x v="6"/>
    <n v="1636.82371869707"/>
    <n v="597440.65732442995"/>
    <n v="2150786.3663679501"/>
  </r>
  <r>
    <x v="0"/>
    <x v="0"/>
    <x v="0"/>
    <x v="3"/>
    <x v="7"/>
    <s v="DE4-W_A"/>
    <x v="8"/>
    <s v="GNR_WT_WIND_ONS"/>
    <x v="0"/>
    <x v="7"/>
    <n v="1759.6729839576701"/>
    <n v="642280.63914454903"/>
    <n v="2312210.3009203798"/>
  </r>
  <r>
    <x v="0"/>
    <x v="0"/>
    <x v="0"/>
    <x v="3"/>
    <x v="7"/>
    <s v="DE4-W_A"/>
    <x v="8"/>
    <s v="GNR_WT_WIND_ONS"/>
    <x v="0"/>
    <x v="8"/>
    <n v="1897.9935210052099"/>
    <n v="692767.63516690198"/>
    <n v="2493963.4866008498"/>
  </r>
  <r>
    <x v="0"/>
    <x v="0"/>
    <x v="0"/>
    <x v="3"/>
    <x v="7"/>
    <s v="DE4-W_A"/>
    <x v="8"/>
    <s v="GNR_WT_WIND_ONS"/>
    <x v="0"/>
    <x v="9"/>
    <n v="2189.92168508025"/>
    <n v="799321.41505428997"/>
    <n v="2877557.0941954399"/>
  </r>
  <r>
    <x v="0"/>
    <x v="0"/>
    <x v="0"/>
    <x v="3"/>
    <x v="7"/>
    <s v="DE4-W_A"/>
    <x v="8"/>
    <s v="GNR_WT_WIND_ONS"/>
    <x v="0"/>
    <x v="10"/>
    <n v="2412.4133079210301"/>
    <n v="880530.85739117698"/>
    <n v="3169911.0866082399"/>
  </r>
  <r>
    <x v="0"/>
    <x v="0"/>
    <x v="0"/>
    <x v="3"/>
    <x v="7"/>
    <s v="DE4-W_A"/>
    <x v="8"/>
    <s v="GNR_WT_WIND_ONS"/>
    <x v="0"/>
    <x v="11"/>
    <n v="2968.6423650229999"/>
    <n v="1083554.4632333899"/>
    <n v="3900796.0676402198"/>
  </r>
  <r>
    <x v="0"/>
    <x v="0"/>
    <x v="0"/>
    <x v="3"/>
    <x v="7"/>
    <s v="DE4-W_A"/>
    <x v="8"/>
    <s v="GNR_WT_WIND_ONS"/>
    <x v="0"/>
    <x v="12"/>
    <n v="3469.06433460778"/>
    <n v="1266208.48213184"/>
    <n v="4558350.5356746204"/>
  </r>
  <r>
    <x v="0"/>
    <x v="0"/>
    <x v="0"/>
    <x v="3"/>
    <x v="7"/>
    <s v="DE4-W_A"/>
    <x v="8"/>
    <s v="GNR_WT_WIND_ONS"/>
    <x v="0"/>
    <x v="13"/>
    <n v="4039.2912090407799"/>
    <n v="1474341.29129989"/>
    <n v="5307628.6486795899"/>
  </r>
  <r>
    <x v="0"/>
    <x v="0"/>
    <x v="0"/>
    <x v="3"/>
    <x v="7"/>
    <s v="DE4-W_A"/>
    <x v="8"/>
    <s v="GNR_WT_WIND_ONS"/>
    <x v="0"/>
    <x v="14"/>
    <n v="4602.1508111942903"/>
    <n v="1679785.04608592"/>
    <n v="6047226.1659092996"/>
  </r>
  <r>
    <x v="0"/>
    <x v="0"/>
    <x v="0"/>
    <x v="3"/>
    <x v="7"/>
    <s v="DE4-W_A"/>
    <x v="8"/>
    <s v="GNR_WT_WIND_ONS"/>
    <x v="0"/>
    <x v="15"/>
    <n v="5353.6125837029003"/>
    <n v="1954068.59305156"/>
    <n v="7034646.93498562"/>
  </r>
  <r>
    <x v="0"/>
    <x v="0"/>
    <x v="0"/>
    <x v="3"/>
    <x v="7"/>
    <s v="DE4-W_A"/>
    <x v="8"/>
    <s v="GNR_WT_WIND_ONS"/>
    <x v="0"/>
    <x v="16"/>
    <n v="6040.0581783449597"/>
    <n v="2204621.2350959098"/>
    <n v="7936636.4463452799"/>
  </r>
  <r>
    <x v="0"/>
    <x v="0"/>
    <x v="0"/>
    <x v="3"/>
    <x v="7"/>
    <s v="DE4-W_A"/>
    <x v="8"/>
    <s v="GNR_WT_WIND_ONS"/>
    <x v="0"/>
    <x v="17"/>
    <n v="6775.6803154526597"/>
    <n v="2473123.3151402199"/>
    <n v="8903243.9345047995"/>
  </r>
  <r>
    <x v="0"/>
    <x v="0"/>
    <x v="0"/>
    <x v="3"/>
    <x v="7"/>
    <s v="DE4-W_A"/>
    <x v="8"/>
    <s v="GNR_WT_WIND_ONS"/>
    <x v="0"/>
    <x v="19"/>
    <n v="7514.9860887000996"/>
    <n v="2742969.9223755398"/>
    <n v="9874691.7205519397"/>
  </r>
  <r>
    <x v="0"/>
    <x v="0"/>
    <x v="0"/>
    <x v="3"/>
    <x v="7"/>
    <s v="DE4-W_A"/>
    <x v="8"/>
    <s v="GNR_WT_WIND_ONS"/>
    <x v="0"/>
    <x v="20"/>
    <n v="8146.3613230529299"/>
    <n v="2973421.8829143201"/>
    <n v="10704318.778491501"/>
  </r>
  <r>
    <x v="0"/>
    <x v="0"/>
    <x v="0"/>
    <x v="3"/>
    <x v="7"/>
    <s v="DE4-W_A"/>
    <x v="8"/>
    <s v="GNR_WT_WIND_ONS"/>
    <x v="0"/>
    <x v="21"/>
    <n v="8840.9109172024291"/>
    <n v="3226932.4847788899"/>
    <n v="11616956.945204001"/>
  </r>
  <r>
    <x v="0"/>
    <x v="0"/>
    <x v="0"/>
    <x v="3"/>
    <x v="7"/>
    <s v="DE4-W_A"/>
    <x v="8"/>
    <s v="GNR_WT_WIND_ONS"/>
    <x v="0"/>
    <x v="22"/>
    <n v="9717.4321366554905"/>
    <n v="3546862.7298792601"/>
    <n v="12768705.827565299"/>
  </r>
  <r>
    <x v="0"/>
    <x v="0"/>
    <x v="0"/>
    <x v="3"/>
    <x v="7"/>
    <s v="DE4-W_A"/>
    <x v="8"/>
    <s v="GNR_WT_WIND_ONS"/>
    <x v="0"/>
    <x v="23"/>
    <n v="10289.1324655444"/>
    <n v="3755533.3499237099"/>
    <n v="13519920.059725299"/>
  </r>
  <r>
    <x v="0"/>
    <x v="0"/>
    <x v="0"/>
    <x v="3"/>
    <x v="7"/>
    <s v="DE4-W_Offshore_A"/>
    <x v="8"/>
    <s v="GNR_WT_WIND_OFF"/>
    <x v="0"/>
    <x v="0"/>
    <n v="36.174357536637203"/>
    <n v="13203.6405008726"/>
    <n v="47533.105803141203"/>
  </r>
  <r>
    <x v="0"/>
    <x v="0"/>
    <x v="0"/>
    <x v="3"/>
    <x v="7"/>
    <s v="DE4-W_Offshore_A"/>
    <x v="8"/>
    <s v="GNR_WT_WIND_OFF"/>
    <x v="0"/>
    <x v="1"/>
    <n v="35.002006959652903"/>
    <n v="12775.7325402733"/>
    <n v="45992.637144983899"/>
  </r>
  <r>
    <x v="0"/>
    <x v="0"/>
    <x v="0"/>
    <x v="3"/>
    <x v="7"/>
    <s v="DE4-W_Offshore_A"/>
    <x v="8"/>
    <s v="GNR_WT_WIND_OFF"/>
    <x v="0"/>
    <x v="2"/>
    <n v="34.002981313968199"/>
    <n v="12411.088179598401"/>
    <n v="44679.917446554202"/>
  </r>
  <r>
    <x v="0"/>
    <x v="0"/>
    <x v="0"/>
    <x v="3"/>
    <x v="7"/>
    <s v="DE4-W_Offshore_A"/>
    <x v="8"/>
    <s v="GNR_WT_WIND_OFF"/>
    <x v="0"/>
    <x v="3"/>
    <n v="32.288990326672902"/>
    <n v="11785.481469235599"/>
    <n v="42427.733289248303"/>
  </r>
  <r>
    <x v="0"/>
    <x v="0"/>
    <x v="0"/>
    <x v="3"/>
    <x v="7"/>
    <s v="DE4-W_Offshore_A"/>
    <x v="8"/>
    <s v="GNR_WT_WIND_OFF"/>
    <x v="0"/>
    <x v="18"/>
    <n v="29.412277925243401"/>
    <n v="10735.481442713801"/>
    <n v="38647.733193769898"/>
  </r>
  <r>
    <x v="0"/>
    <x v="0"/>
    <x v="0"/>
    <x v="3"/>
    <x v="7"/>
    <s v="DE4-W_Offshore_A"/>
    <x v="8"/>
    <s v="GNR_WT_WIND_OFF"/>
    <x v="0"/>
    <x v="4"/>
    <n v="26.838884153588101"/>
    <n v="9796.1927160596406"/>
    <n v="35266.293777814702"/>
  </r>
  <r>
    <x v="0"/>
    <x v="0"/>
    <x v="0"/>
    <x v="3"/>
    <x v="7"/>
    <s v="DE4-W_Offshore_A"/>
    <x v="8"/>
    <s v="GNR_WT_WIND_OFF"/>
    <x v="0"/>
    <x v="5"/>
    <n v="22.123001647813599"/>
    <n v="8074.8956014519799"/>
    <n v="29069.624165227098"/>
  </r>
  <r>
    <x v="0"/>
    <x v="0"/>
    <x v="0"/>
    <x v="3"/>
    <x v="7"/>
    <s v="DE4-W_Offshore_A"/>
    <x v="8"/>
    <s v="GNR_WT_WIND_OFF"/>
    <x v="0"/>
    <x v="6"/>
    <n v="21.393592561928202"/>
    <n v="7808.6612851037798"/>
    <n v="28111.1806263736"/>
  </r>
  <r>
    <x v="0"/>
    <x v="0"/>
    <x v="0"/>
    <x v="3"/>
    <x v="7"/>
    <s v="DE4-W_Offshore_A"/>
    <x v="8"/>
    <s v="GNR_WT_WIND_OFF"/>
    <x v="0"/>
    <x v="7"/>
    <n v="22.999255467161198"/>
    <n v="8394.7282455138393"/>
    <n v="30221.021683849802"/>
  </r>
  <r>
    <x v="0"/>
    <x v="0"/>
    <x v="0"/>
    <x v="3"/>
    <x v="7"/>
    <s v="DE4-W_Offshore_A"/>
    <x v="8"/>
    <s v="GNR_WT_WIND_OFF"/>
    <x v="0"/>
    <x v="8"/>
    <n v="24.807130792243701"/>
    <n v="9054.6027391689495"/>
    <n v="32596.5698610082"/>
  </r>
  <r>
    <x v="0"/>
    <x v="0"/>
    <x v="0"/>
    <x v="3"/>
    <x v="7"/>
    <s v="DE4-W_Offshore_A"/>
    <x v="8"/>
    <s v="GNR_WT_WIND_OFF"/>
    <x v="0"/>
    <x v="9"/>
    <n v="28.6226865715456"/>
    <n v="10447.280598614099"/>
    <n v="37610.2101550109"/>
  </r>
  <r>
    <x v="0"/>
    <x v="0"/>
    <x v="0"/>
    <x v="3"/>
    <x v="7"/>
    <s v="DE4-W_Offshore_A"/>
    <x v="8"/>
    <s v="GNR_WT_WIND_OFF"/>
    <x v="0"/>
    <x v="10"/>
    <n v="31.5306937522375"/>
    <n v="11508.7032195667"/>
    <n v="41431.331590440102"/>
  </r>
  <r>
    <x v="0"/>
    <x v="0"/>
    <x v="0"/>
    <x v="3"/>
    <x v="7"/>
    <s v="DE4-W_Offshore_A"/>
    <x v="8"/>
    <s v="GNR_WT_WIND_OFF"/>
    <x v="0"/>
    <x v="11"/>
    <n v="38.800711703967401"/>
    <n v="14162.2597719481"/>
    <n v="50984.135179013101"/>
  </r>
  <r>
    <x v="0"/>
    <x v="0"/>
    <x v="0"/>
    <x v="3"/>
    <x v="7"/>
    <s v="DE4-W_Offshore_A"/>
    <x v="8"/>
    <s v="GNR_WT_WIND_OFF"/>
    <x v="0"/>
    <x v="12"/>
    <n v="45.3413205698117"/>
    <n v="16549.582007981298"/>
    <n v="59578.495228732601"/>
  </r>
  <r>
    <x v="0"/>
    <x v="0"/>
    <x v="0"/>
    <x v="3"/>
    <x v="7"/>
    <s v="DE4-W_Offshore_A"/>
    <x v="8"/>
    <s v="GNR_WT_WIND_OFF"/>
    <x v="0"/>
    <x v="13"/>
    <n v="52.794292615691099"/>
    <n v="19269.9168047272"/>
    <n v="69371.700497018101"/>
  </r>
  <r>
    <x v="0"/>
    <x v="0"/>
    <x v="0"/>
    <x v="3"/>
    <x v="7"/>
    <s v="DE4-W_Offshore_A"/>
    <x v="8"/>
    <s v="GNR_WT_WIND_OFF"/>
    <x v="0"/>
    <x v="14"/>
    <n v="60.150973033070699"/>
    <n v="21955.1051570708"/>
    <n v="79038.378565454899"/>
  </r>
  <r>
    <x v="0"/>
    <x v="0"/>
    <x v="0"/>
    <x v="3"/>
    <x v="7"/>
    <s v="DE4-W_Offshore_A"/>
    <x v="8"/>
    <s v="GNR_WT_WIND_OFF"/>
    <x v="0"/>
    <x v="15"/>
    <n v="69.972719140043395"/>
    <n v="25540.042486115799"/>
    <n v="91944.152950017102"/>
  </r>
  <r>
    <x v="0"/>
    <x v="0"/>
    <x v="0"/>
    <x v="3"/>
    <x v="7"/>
    <s v="DE4-W_Offshore_A"/>
    <x v="8"/>
    <s v="GNR_WT_WIND_OFF"/>
    <x v="0"/>
    <x v="16"/>
    <n v="78.944691625505996"/>
    <n v="28814.8124433097"/>
    <n v="103733.324795915"/>
  </r>
  <r>
    <x v="0"/>
    <x v="0"/>
    <x v="0"/>
    <x v="3"/>
    <x v="7"/>
    <s v="DE4-W_Offshore_A"/>
    <x v="8"/>
    <s v="GNR_WT_WIND_OFF"/>
    <x v="0"/>
    <x v="17"/>
    <n v="88.559410731204395"/>
    <n v="32324.184916889601"/>
    <n v="116367.065700803"/>
  </r>
  <r>
    <x v="0"/>
    <x v="0"/>
    <x v="0"/>
    <x v="3"/>
    <x v="7"/>
    <s v="DE4-W_Offshore_A"/>
    <x v="8"/>
    <s v="GNR_WT_WIND_OFF"/>
    <x v="0"/>
    <x v="19"/>
    <n v="98.2222756511526"/>
    <n v="35851.130612670699"/>
    <n v="129064.070205614"/>
  </r>
  <r>
    <x v="0"/>
    <x v="0"/>
    <x v="0"/>
    <x v="3"/>
    <x v="7"/>
    <s v="DE4-W_Offshore_A"/>
    <x v="8"/>
    <s v="GNR_WT_WIND_OFF"/>
    <x v="0"/>
    <x v="20"/>
    <n v="106.47446821358"/>
    <n v="38863.180897956598"/>
    <n v="139907.451232644"/>
  </r>
  <r>
    <x v="0"/>
    <x v="0"/>
    <x v="0"/>
    <x v="3"/>
    <x v="7"/>
    <s v="DE4-W_Offshore_A"/>
    <x v="8"/>
    <s v="GNR_WT_WIND_OFF"/>
    <x v="0"/>
    <x v="21"/>
    <n v="115.552361490392"/>
    <n v="42176.611943993099"/>
    <n v="151835.802998375"/>
  </r>
  <r>
    <x v="0"/>
    <x v="0"/>
    <x v="0"/>
    <x v="3"/>
    <x v="7"/>
    <s v="DE4-W_Offshore_A"/>
    <x v="8"/>
    <s v="GNR_WT_WIND_OFF"/>
    <x v="0"/>
    <x v="22"/>
    <n v="127.008657991148"/>
    <n v="46358.160166768903"/>
    <n v="166889.37660036801"/>
  </r>
  <r>
    <x v="0"/>
    <x v="0"/>
    <x v="0"/>
    <x v="3"/>
    <x v="7"/>
    <s v="DE4-W_Offshore_A"/>
    <x v="8"/>
    <s v="GNR_WT_WIND_OFF"/>
    <x v="0"/>
    <x v="23"/>
    <n v="134.480888362727"/>
    <n v="49085.5242523954"/>
    <n v="176707.887308623"/>
  </r>
  <r>
    <x v="0"/>
    <x v="0"/>
    <x v="0"/>
    <x v="4"/>
    <x v="8"/>
    <s v="LV_RigaR"/>
    <x v="3"/>
    <s v="RIGA-TEC2_CC_NGAS_EXT"/>
    <x v="0"/>
    <x v="6"/>
    <n v="147.96945360057899"/>
    <n v="54008.850564211403"/>
    <n v="194431.862031161"/>
  </r>
  <r>
    <x v="0"/>
    <x v="0"/>
    <x v="0"/>
    <x v="4"/>
    <x v="8"/>
    <s v="LV_RigaR"/>
    <x v="3"/>
    <s v="RIGA-TEC2_CC_NGAS_EXT"/>
    <x v="0"/>
    <x v="7"/>
    <n v="691.328187043306"/>
    <n v="252334.78827080701"/>
    <n v="908405.237774904"/>
  </r>
  <r>
    <x v="0"/>
    <x v="0"/>
    <x v="0"/>
    <x v="4"/>
    <x v="8"/>
    <s v="LV_RigaR"/>
    <x v="3"/>
    <s v="RIGA-TEC2_CC_NGAS_EXT"/>
    <x v="0"/>
    <x v="8"/>
    <n v="753.10882948862195"/>
    <n v="274884.72276334697"/>
    <n v="989585.00194804894"/>
  </r>
  <r>
    <x v="0"/>
    <x v="0"/>
    <x v="0"/>
    <x v="4"/>
    <x v="8"/>
    <s v="LV_RigaR"/>
    <x v="3"/>
    <s v="RIGA-TEC2_CC_NGAS_EXT"/>
    <x v="0"/>
    <x v="9"/>
    <n v="772.83105748473599"/>
    <n v="282083.33598192898"/>
    <n v="1015500.00953494"/>
  </r>
  <r>
    <x v="0"/>
    <x v="0"/>
    <x v="0"/>
    <x v="4"/>
    <x v="8"/>
    <s v="LV_RigaR"/>
    <x v="3"/>
    <s v="RIGA-TEC2_CC_NGAS_EXT"/>
    <x v="0"/>
    <x v="10"/>
    <n v="732.02609620848705"/>
    <n v="267189.525116098"/>
    <n v="961882.290417952"/>
  </r>
  <r>
    <x v="0"/>
    <x v="0"/>
    <x v="0"/>
    <x v="4"/>
    <x v="8"/>
    <s v="LV_RigaR"/>
    <x v="3"/>
    <s v="RIGA-TEC2_CC_NGAS_EXT"/>
    <x v="0"/>
    <x v="11"/>
    <n v="723.60370810753898"/>
    <n v="264115.35345925199"/>
    <n v="950815.27245330706"/>
  </r>
  <r>
    <x v="0"/>
    <x v="0"/>
    <x v="0"/>
    <x v="4"/>
    <x v="8"/>
    <s v="LV_RigaR"/>
    <x v="3"/>
    <s v="RIGA-TEC2_CC_NGAS_EXT"/>
    <x v="0"/>
    <x v="12"/>
    <n v="708.32807312484499"/>
    <n v="258539.74669056799"/>
    <n v="930743.08808604605"/>
  </r>
  <r>
    <x v="0"/>
    <x v="0"/>
    <x v="0"/>
    <x v="4"/>
    <x v="8"/>
    <s v="LV_RigaR"/>
    <x v="3"/>
    <s v="RIGA-TEC2_CC_NGAS_EXT"/>
    <x v="0"/>
    <x v="13"/>
    <n v="718.21944897238802"/>
    <n v="262150.09887492203"/>
    <n v="943740.35594971804"/>
  </r>
  <r>
    <x v="0"/>
    <x v="0"/>
    <x v="0"/>
    <x v="4"/>
    <x v="8"/>
    <s v="LV_RigaR"/>
    <x v="3"/>
    <s v="RIGA-TEC2_CC_NGAS_EXT"/>
    <x v="0"/>
    <x v="14"/>
    <n v="725.518652583895"/>
    <n v="264814.30819312198"/>
    <n v="953331.50949523796"/>
  </r>
  <r>
    <x v="0"/>
    <x v="0"/>
    <x v="0"/>
    <x v="4"/>
    <x v="8"/>
    <s v="LV_RigaR"/>
    <x v="3"/>
    <s v="RIGA-TEC2_CC_NGAS_EXT"/>
    <x v="0"/>
    <x v="15"/>
    <n v="780.69606662773106"/>
    <n v="284954.064319122"/>
    <n v="1025834.63154884"/>
  </r>
  <r>
    <x v="0"/>
    <x v="0"/>
    <x v="0"/>
    <x v="4"/>
    <x v="8"/>
    <s v="LV_RigaR"/>
    <x v="3"/>
    <s v="RIGA-TEC2_CC_NGAS_EXT"/>
    <x v="0"/>
    <x v="16"/>
    <n v="785.189007669322"/>
    <n v="286593.98779930302"/>
    <n v="1031738.35607749"/>
  </r>
  <r>
    <x v="0"/>
    <x v="0"/>
    <x v="0"/>
    <x v="4"/>
    <x v="8"/>
    <s v="LV_RigaR"/>
    <x v="3"/>
    <s v="RIGA-TEC2_CC_NGAS_EXT"/>
    <x v="0"/>
    <x v="17"/>
    <n v="720.88549355705902"/>
    <n v="263123.20514832699"/>
    <n v="947243.53853397595"/>
  </r>
  <r>
    <x v="0"/>
    <x v="0"/>
    <x v="0"/>
    <x v="4"/>
    <x v="8"/>
    <s v="LV_RigaR"/>
    <x v="3"/>
    <s v="RIGA-TEC2_CC_NGAS_EXT"/>
    <x v="0"/>
    <x v="19"/>
    <n v="415.51728326755898"/>
    <n v="151663.808392659"/>
    <n v="545989.71021357295"/>
  </r>
  <r>
    <x v="0"/>
    <x v="0"/>
    <x v="0"/>
    <x v="4"/>
    <x v="8"/>
    <s v="LV_RigaR"/>
    <x v="3"/>
    <s v="RIGA-TEC2_CC_NGAS_EXT"/>
    <x v="0"/>
    <x v="20"/>
    <n v="201.05356431021499"/>
    <n v="73384.550973228499"/>
    <n v="264184.38350362203"/>
  </r>
  <r>
    <x v="0"/>
    <x v="0"/>
    <x v="0"/>
    <x v="4"/>
    <x v="8"/>
    <s v="LV_RigaR"/>
    <x v="7"/>
    <s v="GNR_RES_WTR_NOPMP"/>
    <x v="0"/>
    <x v="13"/>
    <n v="1.1013698630137001"/>
    <n v="402"/>
    <n v="1447.2"/>
  </r>
  <r>
    <x v="0"/>
    <x v="0"/>
    <x v="0"/>
    <x v="4"/>
    <x v="8"/>
    <s v="LV_Rural"/>
    <x v="8"/>
    <s v="GNR_WT_WIND_ONS"/>
    <x v="0"/>
    <x v="0"/>
    <n v="3.5228018212877599"/>
    <n v="1285.8226647700301"/>
    <n v="4628.96159317212"/>
  </r>
  <r>
    <x v="0"/>
    <x v="0"/>
    <x v="0"/>
    <x v="4"/>
    <x v="8"/>
    <s v="LV_Rural"/>
    <x v="8"/>
    <s v="GNR_WT_WIND_ONS"/>
    <x v="0"/>
    <x v="1"/>
    <n v="4.2273621855453101"/>
    <n v="1542.98719772404"/>
    <n v="5554.7539118065397"/>
  </r>
  <r>
    <x v="0"/>
    <x v="0"/>
    <x v="0"/>
    <x v="4"/>
    <x v="8"/>
    <s v="LV_Rural"/>
    <x v="8"/>
    <s v="GNR_WT_WIND_ONS"/>
    <x v="0"/>
    <x v="2"/>
    <n v="4.1267107049370901"/>
    <n v="1506.24940730204"/>
    <n v="5422.49786628734"/>
  </r>
  <r>
    <x v="0"/>
    <x v="0"/>
    <x v="0"/>
    <x v="4"/>
    <x v="8"/>
    <s v="LV_Rural"/>
    <x v="8"/>
    <s v="GNR_WT_WIND_ONS"/>
    <x v="0"/>
    <x v="3"/>
    <n v="3.8750820034165399"/>
    <n v="1414.4049312470399"/>
    <n v="5091.8577524893299"/>
  </r>
  <r>
    <x v="0"/>
    <x v="0"/>
    <x v="0"/>
    <x v="4"/>
    <x v="8"/>
    <s v="LV_Rural"/>
    <x v="8"/>
    <s v="GNR_WT_WIND_ONS"/>
    <x v="0"/>
    <x v="18"/>
    <n v="2.8685671973343201"/>
    <n v="1047.02702702703"/>
    <n v="3769.2972972972998"/>
  </r>
  <r>
    <x v="0"/>
    <x v="0"/>
    <x v="0"/>
    <x v="4"/>
    <x v="8"/>
    <s v="LV_Rural"/>
    <x v="8"/>
    <s v="GNR_WT_WIND_ONS"/>
    <x v="0"/>
    <x v="4"/>
    <n v="1.66074943003566"/>
    <n v="606.17354196301596"/>
    <n v="2182.2247510668599"/>
  </r>
  <r>
    <x v="0"/>
    <x v="0"/>
    <x v="0"/>
    <x v="4"/>
    <x v="8"/>
    <s v="LV_Rural"/>
    <x v="8"/>
    <s v="GNR_WT_WIND_ONS"/>
    <x v="0"/>
    <x v="5"/>
    <n v="0.35228018212877599"/>
    <n v="128.582266477003"/>
    <n v="462.89615931721198"/>
  </r>
  <r>
    <x v="0"/>
    <x v="0"/>
    <x v="0"/>
    <x v="4"/>
    <x v="8"/>
    <s v="LV_Rural"/>
    <x v="8"/>
    <s v="GNR_WT_WIND_ONS"/>
    <x v="0"/>
    <x v="6"/>
    <n v="0.251628701520554"/>
    <n v="91.844476055002403"/>
    <n v="330.640113798009"/>
  </r>
  <r>
    <x v="0"/>
    <x v="0"/>
    <x v="0"/>
    <x v="4"/>
    <x v="8"/>
    <s v="LV_Rural"/>
    <x v="8"/>
    <s v="GNR_WT_WIND_ONS"/>
    <x v="0"/>
    <x v="7"/>
    <n v="0.35228018212877599"/>
    <n v="128.582266477003"/>
    <n v="462.89615931721198"/>
  </r>
  <r>
    <x v="0"/>
    <x v="0"/>
    <x v="0"/>
    <x v="4"/>
    <x v="8"/>
    <s v="LV_Rural"/>
    <x v="8"/>
    <s v="GNR_WT_WIND_ONS"/>
    <x v="0"/>
    <x v="8"/>
    <n v="1.66074943003566"/>
    <n v="606.17354196301596"/>
    <n v="2182.2247510668599"/>
  </r>
  <r>
    <x v="0"/>
    <x v="0"/>
    <x v="0"/>
    <x v="4"/>
    <x v="8"/>
    <s v="LV_Rural"/>
    <x v="8"/>
    <s v="GNR_WT_WIND_ONS"/>
    <x v="0"/>
    <x v="9"/>
    <n v="3.8750820034165399"/>
    <n v="1414.4049312470399"/>
    <n v="5091.8577524893299"/>
  </r>
  <r>
    <x v="0"/>
    <x v="0"/>
    <x v="0"/>
    <x v="4"/>
    <x v="8"/>
    <s v="LV_Rural"/>
    <x v="8"/>
    <s v="GNR_WT_WIND_ONS"/>
    <x v="0"/>
    <x v="10"/>
    <n v="5.9887630961892002"/>
    <n v="2185.8985301090602"/>
    <n v="7869.2347083925997"/>
  </r>
  <r>
    <x v="0"/>
    <x v="0"/>
    <x v="0"/>
    <x v="4"/>
    <x v="8"/>
    <s v="LV_Rural"/>
    <x v="8"/>
    <s v="GNR_WT_WIND_ONS"/>
    <x v="0"/>
    <x v="11"/>
    <n v="6.9449521619672998"/>
    <n v="2534.90753911807"/>
    <n v="9125.6671408250295"/>
  </r>
  <r>
    <x v="0"/>
    <x v="0"/>
    <x v="0"/>
    <x v="4"/>
    <x v="8"/>
    <s v="LV_Rural"/>
    <x v="8"/>
    <s v="GNR_WT_WIND_ONS"/>
    <x v="0"/>
    <x v="12"/>
    <n v="7.9514669680495196"/>
    <n v="2902.2854433380699"/>
    <n v="10448.227596017099"/>
  </r>
  <r>
    <x v="0"/>
    <x v="0"/>
    <x v="0"/>
    <x v="4"/>
    <x v="8"/>
    <s v="LV_Rural"/>
    <x v="8"/>
    <s v="GNR_WT_WIND_ONS"/>
    <x v="0"/>
    <x v="13"/>
    <n v="7.9514669680495196"/>
    <n v="2902.2854433380699"/>
    <n v="10448.227596017099"/>
  </r>
  <r>
    <x v="0"/>
    <x v="0"/>
    <x v="0"/>
    <x v="4"/>
    <x v="8"/>
    <s v="LV_Rural"/>
    <x v="8"/>
    <s v="GNR_WT_WIND_ONS"/>
    <x v="0"/>
    <x v="14"/>
    <n v="12.581435076027701"/>
    <n v="4592.2238027501198"/>
    <n v="16532.005689900401"/>
  </r>
  <r>
    <x v="0"/>
    <x v="0"/>
    <x v="0"/>
    <x v="4"/>
    <x v="8"/>
    <s v="LV_Rural"/>
    <x v="8"/>
    <s v="GNR_WT_WIND_ONS"/>
    <x v="0"/>
    <x v="15"/>
    <n v="16.255214118227801"/>
    <n v="5933.15315315315"/>
    <n v="21359.351351351299"/>
  </r>
  <r>
    <x v="0"/>
    <x v="0"/>
    <x v="0"/>
    <x v="4"/>
    <x v="8"/>
    <s v="LV_Rural"/>
    <x v="8"/>
    <s v="GNR_WT_WIND_ONS"/>
    <x v="0"/>
    <x v="16"/>
    <n v="16.053911157011399"/>
    <n v="5859.6775723091496"/>
    <n v="21094.8392603129"/>
  </r>
  <r>
    <x v="0"/>
    <x v="0"/>
    <x v="0"/>
    <x v="4"/>
    <x v="8"/>
    <s v="LV_Rural"/>
    <x v="8"/>
    <s v="GNR_WT_WIND_ONS"/>
    <x v="0"/>
    <x v="17"/>
    <n v="21.942022772592299"/>
    <n v="8008.83831199621"/>
    <n v="28831.8179231863"/>
  </r>
  <r>
    <x v="0"/>
    <x v="0"/>
    <x v="0"/>
    <x v="4"/>
    <x v="8"/>
    <s v="LV_Rural"/>
    <x v="8"/>
    <s v="GNR_WT_WIND_ONS"/>
    <x v="0"/>
    <x v="19"/>
    <n v="32.661405457367998"/>
    <n v="11921.4129919393"/>
    <n v="42917.086770981499"/>
  </r>
  <r>
    <x v="0"/>
    <x v="0"/>
    <x v="0"/>
    <x v="4"/>
    <x v="8"/>
    <s v="LV_Rural"/>
    <x v="8"/>
    <s v="GNR_WT_WIND_ONS"/>
    <x v="0"/>
    <x v="20"/>
    <n v="37.844956708691399"/>
    <n v="13813.4091986724"/>
    <n v="49728.273115220501"/>
  </r>
  <r>
    <x v="0"/>
    <x v="0"/>
    <x v="0"/>
    <x v="4"/>
    <x v="8"/>
    <s v="LV_Rural"/>
    <x v="8"/>
    <s v="GNR_WT_WIND_ONS"/>
    <x v="0"/>
    <x v="21"/>
    <n v="40.814175386633899"/>
    <n v="14897.1740161214"/>
    <n v="53629.826458037001"/>
  </r>
  <r>
    <x v="0"/>
    <x v="0"/>
    <x v="0"/>
    <x v="4"/>
    <x v="8"/>
    <s v="LV_Rural"/>
    <x v="8"/>
    <s v="GNR_WT_WIND_ONS"/>
    <x v="0"/>
    <x v="22"/>
    <n v="41.468410010587398"/>
    <n v="15135.9696538644"/>
    <n v="54489.490753911799"/>
  </r>
  <r>
    <x v="0"/>
    <x v="0"/>
    <x v="0"/>
    <x v="4"/>
    <x v="8"/>
    <s v="LV_Rural"/>
    <x v="8"/>
    <s v="GNR_WT_WIND_ONS"/>
    <x v="0"/>
    <x v="23"/>
    <n v="43.179485180927102"/>
    <n v="15760.512091038399"/>
    <n v="56737.843527738303"/>
  </r>
  <r>
    <x v="0"/>
    <x v="0"/>
    <x v="0"/>
    <x v="5"/>
    <x v="9"/>
    <s v="LT_KauU"/>
    <x v="2"/>
    <s v="KAUNAS_ST_MSW_BP"/>
    <x v="0"/>
    <x v="0"/>
    <n v="92.0923189864086"/>
    <n v="33613.696430039199"/>
    <n v="121009.307148141"/>
  </r>
  <r>
    <x v="0"/>
    <x v="0"/>
    <x v="0"/>
    <x v="5"/>
    <x v="9"/>
    <s v="LT_KauU"/>
    <x v="2"/>
    <s v="KAUNAS_ST_MSW_BP"/>
    <x v="0"/>
    <x v="1"/>
    <n v="92.0923189864086"/>
    <n v="33613.696430039199"/>
    <n v="121009.307148141"/>
  </r>
  <r>
    <x v="0"/>
    <x v="0"/>
    <x v="0"/>
    <x v="5"/>
    <x v="9"/>
    <s v="LT_KauU"/>
    <x v="2"/>
    <s v="KAUNAS_ST_MSW_BP"/>
    <x v="0"/>
    <x v="2"/>
    <n v="92.0923189864086"/>
    <n v="33613.696430039199"/>
    <n v="121009.307148141"/>
  </r>
  <r>
    <x v="0"/>
    <x v="0"/>
    <x v="0"/>
    <x v="5"/>
    <x v="9"/>
    <s v="LT_KauU"/>
    <x v="2"/>
    <s v="KAUNAS_ST_MSW_BP"/>
    <x v="0"/>
    <x v="3"/>
    <n v="92.0923189864086"/>
    <n v="33613.696430039199"/>
    <n v="121009.307148141"/>
  </r>
  <r>
    <x v="0"/>
    <x v="0"/>
    <x v="0"/>
    <x v="5"/>
    <x v="9"/>
    <s v="LT_KauU"/>
    <x v="2"/>
    <s v="KAUNAS_ST_MSW_BP"/>
    <x v="0"/>
    <x v="18"/>
    <n v="92.0923189864086"/>
    <n v="33613.696430039199"/>
    <n v="121009.307148141"/>
  </r>
  <r>
    <x v="0"/>
    <x v="0"/>
    <x v="0"/>
    <x v="5"/>
    <x v="9"/>
    <s v="LT_KauU"/>
    <x v="2"/>
    <s v="KAUNAS_ST_MSW_BP"/>
    <x v="0"/>
    <x v="4"/>
    <n v="92.0923189864086"/>
    <n v="33613.696430039199"/>
    <n v="121009.307148141"/>
  </r>
  <r>
    <x v="0"/>
    <x v="0"/>
    <x v="0"/>
    <x v="5"/>
    <x v="9"/>
    <s v="LT_KauU"/>
    <x v="2"/>
    <s v="KAUNAS_ST_MSW_BP"/>
    <x v="0"/>
    <x v="5"/>
    <n v="92.0923189864086"/>
    <n v="33613.696430039199"/>
    <n v="121009.307148141"/>
  </r>
  <r>
    <x v="0"/>
    <x v="0"/>
    <x v="0"/>
    <x v="5"/>
    <x v="9"/>
    <s v="LT_KauU"/>
    <x v="2"/>
    <s v="KAUNAS_ST_MSW_BP"/>
    <x v="0"/>
    <x v="6"/>
    <n v="92.0923189864086"/>
    <n v="33613.696430039199"/>
    <n v="121009.307148141"/>
  </r>
  <r>
    <x v="0"/>
    <x v="0"/>
    <x v="0"/>
    <x v="5"/>
    <x v="9"/>
    <s v="LT_KauU"/>
    <x v="2"/>
    <s v="KAUNAS_ST_MSW_BP"/>
    <x v="0"/>
    <x v="7"/>
    <n v="92.0923189864086"/>
    <n v="33613.696430039199"/>
    <n v="121009.307148141"/>
  </r>
  <r>
    <x v="0"/>
    <x v="0"/>
    <x v="0"/>
    <x v="5"/>
    <x v="9"/>
    <s v="LT_KauU"/>
    <x v="2"/>
    <s v="KAUNAS_ST_MSW_BP"/>
    <x v="0"/>
    <x v="8"/>
    <n v="92.0923189864086"/>
    <n v="33613.696430039199"/>
    <n v="121009.307148141"/>
  </r>
  <r>
    <x v="0"/>
    <x v="0"/>
    <x v="0"/>
    <x v="5"/>
    <x v="9"/>
    <s v="LT_KauU"/>
    <x v="2"/>
    <s v="KAUNAS_ST_MSW_BP"/>
    <x v="0"/>
    <x v="9"/>
    <n v="92.0923189864086"/>
    <n v="33613.696430039199"/>
    <n v="121009.307148141"/>
  </r>
  <r>
    <x v="0"/>
    <x v="0"/>
    <x v="0"/>
    <x v="5"/>
    <x v="9"/>
    <s v="LT_KauU"/>
    <x v="2"/>
    <s v="KAUNAS_ST_MSW_BP"/>
    <x v="0"/>
    <x v="10"/>
    <n v="92.0923189864086"/>
    <n v="33613.696430039199"/>
    <n v="121009.307148141"/>
  </r>
  <r>
    <x v="0"/>
    <x v="0"/>
    <x v="0"/>
    <x v="5"/>
    <x v="9"/>
    <s v="LT_KauU"/>
    <x v="2"/>
    <s v="KAUNAS_ST_MSW_BP"/>
    <x v="0"/>
    <x v="11"/>
    <n v="92.0923189864086"/>
    <n v="33613.696430039199"/>
    <n v="121009.307148141"/>
  </r>
  <r>
    <x v="0"/>
    <x v="0"/>
    <x v="0"/>
    <x v="5"/>
    <x v="9"/>
    <s v="LT_KauU"/>
    <x v="2"/>
    <s v="KAUNAS_ST_MSW_BP"/>
    <x v="0"/>
    <x v="12"/>
    <n v="92.0923189864086"/>
    <n v="33613.696430039199"/>
    <n v="121009.307148141"/>
  </r>
  <r>
    <x v="0"/>
    <x v="0"/>
    <x v="0"/>
    <x v="5"/>
    <x v="9"/>
    <s v="LT_KauU"/>
    <x v="2"/>
    <s v="KAUNAS_ST_MSW_BP"/>
    <x v="0"/>
    <x v="13"/>
    <n v="92.0923189864086"/>
    <n v="33613.696430039199"/>
    <n v="121009.307148141"/>
  </r>
  <r>
    <x v="0"/>
    <x v="0"/>
    <x v="0"/>
    <x v="5"/>
    <x v="9"/>
    <s v="LT_KauU"/>
    <x v="2"/>
    <s v="KAUNAS_ST_MSW_BP"/>
    <x v="0"/>
    <x v="14"/>
    <n v="92.0923189864086"/>
    <n v="33613.696430039199"/>
    <n v="121009.307148141"/>
  </r>
  <r>
    <x v="0"/>
    <x v="0"/>
    <x v="0"/>
    <x v="5"/>
    <x v="9"/>
    <s v="LT_KauU"/>
    <x v="2"/>
    <s v="KAUNAS_ST_MSW_BP"/>
    <x v="0"/>
    <x v="15"/>
    <n v="92.0923189864086"/>
    <n v="33613.696430039199"/>
    <n v="121009.307148141"/>
  </r>
  <r>
    <x v="0"/>
    <x v="0"/>
    <x v="0"/>
    <x v="5"/>
    <x v="9"/>
    <s v="LT_KauU"/>
    <x v="2"/>
    <s v="KAUNAS_ST_MSW_BP"/>
    <x v="0"/>
    <x v="16"/>
    <n v="92.0923189864086"/>
    <n v="33613.696430039199"/>
    <n v="121009.307148141"/>
  </r>
  <r>
    <x v="0"/>
    <x v="0"/>
    <x v="0"/>
    <x v="5"/>
    <x v="9"/>
    <s v="LT_KauU"/>
    <x v="2"/>
    <s v="KAUNAS_ST_MSW_BP"/>
    <x v="0"/>
    <x v="17"/>
    <n v="92.0923189864086"/>
    <n v="33613.696430039199"/>
    <n v="121009.307148141"/>
  </r>
  <r>
    <x v="0"/>
    <x v="0"/>
    <x v="0"/>
    <x v="5"/>
    <x v="9"/>
    <s v="LT_KauU"/>
    <x v="2"/>
    <s v="KAUNAS_ST_MSW_BP"/>
    <x v="0"/>
    <x v="19"/>
    <n v="92.0923189864086"/>
    <n v="33613.696430039199"/>
    <n v="121009.307148141"/>
  </r>
  <r>
    <x v="0"/>
    <x v="0"/>
    <x v="0"/>
    <x v="5"/>
    <x v="9"/>
    <s v="LT_KauU"/>
    <x v="2"/>
    <s v="KAUNAS_ST_MSW_BP"/>
    <x v="0"/>
    <x v="20"/>
    <n v="92.0923189864086"/>
    <n v="33613.696430039199"/>
    <n v="121009.307148141"/>
  </r>
  <r>
    <x v="0"/>
    <x v="0"/>
    <x v="0"/>
    <x v="5"/>
    <x v="9"/>
    <s v="LT_KauU"/>
    <x v="2"/>
    <s v="KAUNAS_ST_MSW_BP"/>
    <x v="0"/>
    <x v="21"/>
    <n v="92.0923189864086"/>
    <n v="33613.696430039199"/>
    <n v="121009.307148141"/>
  </r>
  <r>
    <x v="0"/>
    <x v="0"/>
    <x v="0"/>
    <x v="5"/>
    <x v="9"/>
    <s v="LT_KauU"/>
    <x v="2"/>
    <s v="KAUNAS_ST_MSW_BP"/>
    <x v="0"/>
    <x v="22"/>
    <n v="92.0923189864086"/>
    <n v="33613.696430039199"/>
    <n v="121009.307148141"/>
  </r>
  <r>
    <x v="0"/>
    <x v="0"/>
    <x v="0"/>
    <x v="5"/>
    <x v="9"/>
    <s v="LT_KauU"/>
    <x v="2"/>
    <s v="KAUNAS_ST_MSW_BP"/>
    <x v="0"/>
    <x v="23"/>
    <n v="92.0923189864086"/>
    <n v="33613.696430039199"/>
    <n v="121009.307148141"/>
  </r>
  <r>
    <x v="0"/>
    <x v="0"/>
    <x v="0"/>
    <x v="5"/>
    <x v="9"/>
    <s v="LT_KauU"/>
    <x v="7"/>
    <s v="GNR_ROR_WTR"/>
    <x v="0"/>
    <x v="0"/>
    <n v="70.027397260273901"/>
    <n v="25560"/>
    <n v="92016"/>
  </r>
  <r>
    <x v="0"/>
    <x v="0"/>
    <x v="0"/>
    <x v="5"/>
    <x v="9"/>
    <s v="LT_KauU"/>
    <x v="7"/>
    <s v="GNR_ROR_WTR"/>
    <x v="0"/>
    <x v="1"/>
    <n v="70.027397260273901"/>
    <n v="25560"/>
    <n v="92016"/>
  </r>
  <r>
    <x v="0"/>
    <x v="0"/>
    <x v="0"/>
    <x v="5"/>
    <x v="9"/>
    <s v="LT_KauU"/>
    <x v="7"/>
    <s v="GNR_ROR_WTR"/>
    <x v="0"/>
    <x v="2"/>
    <n v="70.027397260273901"/>
    <n v="25560"/>
    <n v="92016"/>
  </r>
  <r>
    <x v="0"/>
    <x v="0"/>
    <x v="0"/>
    <x v="5"/>
    <x v="9"/>
    <s v="LT_KauU"/>
    <x v="7"/>
    <s v="GNR_ROR_WTR"/>
    <x v="0"/>
    <x v="3"/>
    <n v="70.027397260273901"/>
    <n v="25560"/>
    <n v="92016"/>
  </r>
  <r>
    <x v="0"/>
    <x v="0"/>
    <x v="0"/>
    <x v="5"/>
    <x v="9"/>
    <s v="LT_KauU"/>
    <x v="7"/>
    <s v="GNR_ROR_WTR"/>
    <x v="0"/>
    <x v="18"/>
    <n v="70.027397260273901"/>
    <n v="25560"/>
    <n v="92016"/>
  </r>
  <r>
    <x v="0"/>
    <x v="0"/>
    <x v="0"/>
    <x v="5"/>
    <x v="9"/>
    <s v="LT_KauU"/>
    <x v="7"/>
    <s v="GNR_ROR_WTR"/>
    <x v="0"/>
    <x v="4"/>
    <n v="70.027397260273901"/>
    <n v="25560"/>
    <n v="92016"/>
  </r>
  <r>
    <x v="0"/>
    <x v="0"/>
    <x v="0"/>
    <x v="5"/>
    <x v="9"/>
    <s v="LT_KauU"/>
    <x v="7"/>
    <s v="GNR_ROR_WTR"/>
    <x v="0"/>
    <x v="5"/>
    <n v="70.027397260273901"/>
    <n v="25560"/>
    <n v="92016"/>
  </r>
  <r>
    <x v="0"/>
    <x v="0"/>
    <x v="0"/>
    <x v="5"/>
    <x v="9"/>
    <s v="LT_KauU"/>
    <x v="7"/>
    <s v="GNR_ROR_WTR"/>
    <x v="0"/>
    <x v="6"/>
    <n v="70.027397260273901"/>
    <n v="25560"/>
    <n v="92016"/>
  </r>
  <r>
    <x v="0"/>
    <x v="0"/>
    <x v="0"/>
    <x v="5"/>
    <x v="9"/>
    <s v="LT_KauU"/>
    <x v="7"/>
    <s v="GNR_ROR_WTR"/>
    <x v="0"/>
    <x v="7"/>
    <n v="70.027397260273901"/>
    <n v="25560"/>
    <n v="92016"/>
  </r>
  <r>
    <x v="0"/>
    <x v="0"/>
    <x v="0"/>
    <x v="5"/>
    <x v="9"/>
    <s v="LT_KauU"/>
    <x v="7"/>
    <s v="GNR_ROR_WTR"/>
    <x v="0"/>
    <x v="8"/>
    <n v="70.027397260273901"/>
    <n v="25560"/>
    <n v="92016"/>
  </r>
  <r>
    <x v="0"/>
    <x v="0"/>
    <x v="0"/>
    <x v="5"/>
    <x v="9"/>
    <s v="LT_KauU"/>
    <x v="7"/>
    <s v="GNR_ROR_WTR"/>
    <x v="0"/>
    <x v="9"/>
    <n v="70.027397260273901"/>
    <n v="25560"/>
    <n v="92016"/>
  </r>
  <r>
    <x v="0"/>
    <x v="0"/>
    <x v="0"/>
    <x v="5"/>
    <x v="9"/>
    <s v="LT_KauU"/>
    <x v="7"/>
    <s v="GNR_ROR_WTR"/>
    <x v="0"/>
    <x v="10"/>
    <n v="70.027397260273901"/>
    <n v="25560"/>
    <n v="92016"/>
  </r>
  <r>
    <x v="0"/>
    <x v="0"/>
    <x v="0"/>
    <x v="5"/>
    <x v="9"/>
    <s v="LT_KauU"/>
    <x v="7"/>
    <s v="GNR_ROR_WTR"/>
    <x v="0"/>
    <x v="11"/>
    <n v="70.027397260273901"/>
    <n v="25560"/>
    <n v="92016"/>
  </r>
  <r>
    <x v="0"/>
    <x v="0"/>
    <x v="0"/>
    <x v="5"/>
    <x v="9"/>
    <s v="LT_KauU"/>
    <x v="7"/>
    <s v="GNR_ROR_WTR"/>
    <x v="0"/>
    <x v="12"/>
    <n v="70.027397260273901"/>
    <n v="25560"/>
    <n v="92016"/>
  </r>
  <r>
    <x v="0"/>
    <x v="0"/>
    <x v="0"/>
    <x v="5"/>
    <x v="9"/>
    <s v="LT_KauU"/>
    <x v="7"/>
    <s v="GNR_ROR_WTR"/>
    <x v="0"/>
    <x v="13"/>
    <n v="70.027397260273901"/>
    <n v="25560"/>
    <n v="92016"/>
  </r>
  <r>
    <x v="0"/>
    <x v="0"/>
    <x v="0"/>
    <x v="5"/>
    <x v="9"/>
    <s v="LT_KauU"/>
    <x v="7"/>
    <s v="GNR_ROR_WTR"/>
    <x v="0"/>
    <x v="14"/>
    <n v="70.027397260273901"/>
    <n v="25560"/>
    <n v="92016"/>
  </r>
  <r>
    <x v="0"/>
    <x v="0"/>
    <x v="0"/>
    <x v="5"/>
    <x v="9"/>
    <s v="LT_KauU"/>
    <x v="7"/>
    <s v="GNR_ROR_WTR"/>
    <x v="0"/>
    <x v="15"/>
    <n v="70.027397260273901"/>
    <n v="25560"/>
    <n v="92016"/>
  </r>
  <r>
    <x v="0"/>
    <x v="0"/>
    <x v="0"/>
    <x v="5"/>
    <x v="9"/>
    <s v="LT_KauU"/>
    <x v="7"/>
    <s v="GNR_ROR_WTR"/>
    <x v="0"/>
    <x v="16"/>
    <n v="70.027397260273901"/>
    <n v="25560"/>
    <n v="92016"/>
  </r>
  <r>
    <x v="0"/>
    <x v="0"/>
    <x v="0"/>
    <x v="5"/>
    <x v="9"/>
    <s v="LT_KauU"/>
    <x v="7"/>
    <s v="GNR_ROR_WTR"/>
    <x v="0"/>
    <x v="17"/>
    <n v="70.027397260273901"/>
    <n v="25560"/>
    <n v="92016"/>
  </r>
  <r>
    <x v="0"/>
    <x v="0"/>
    <x v="0"/>
    <x v="5"/>
    <x v="9"/>
    <s v="LT_KauU"/>
    <x v="7"/>
    <s v="GNR_ROR_WTR"/>
    <x v="0"/>
    <x v="19"/>
    <n v="70.027397260273901"/>
    <n v="25560"/>
    <n v="92016"/>
  </r>
  <r>
    <x v="0"/>
    <x v="0"/>
    <x v="0"/>
    <x v="5"/>
    <x v="9"/>
    <s v="LT_KauU"/>
    <x v="7"/>
    <s v="GNR_ROR_WTR"/>
    <x v="0"/>
    <x v="20"/>
    <n v="70.027397260273901"/>
    <n v="25560"/>
    <n v="92016"/>
  </r>
  <r>
    <x v="0"/>
    <x v="0"/>
    <x v="0"/>
    <x v="5"/>
    <x v="9"/>
    <s v="LT_KauU"/>
    <x v="7"/>
    <s v="GNR_ROR_WTR"/>
    <x v="0"/>
    <x v="21"/>
    <n v="70.027397260273901"/>
    <n v="25560"/>
    <n v="92016"/>
  </r>
  <r>
    <x v="0"/>
    <x v="0"/>
    <x v="0"/>
    <x v="5"/>
    <x v="9"/>
    <s v="LT_KauU"/>
    <x v="7"/>
    <s v="GNR_ROR_WTR"/>
    <x v="0"/>
    <x v="22"/>
    <n v="70.027397260273901"/>
    <n v="25560"/>
    <n v="92016"/>
  </r>
  <r>
    <x v="0"/>
    <x v="0"/>
    <x v="0"/>
    <x v="5"/>
    <x v="9"/>
    <s v="LT_KauU"/>
    <x v="7"/>
    <s v="GNR_ROR_WTR"/>
    <x v="0"/>
    <x v="23"/>
    <n v="70.027397260273901"/>
    <n v="25560"/>
    <n v="92016"/>
  </r>
  <r>
    <x v="0"/>
    <x v="0"/>
    <x v="0"/>
    <x v="5"/>
    <x v="9"/>
    <s v="LT_KlaU"/>
    <x v="6"/>
    <s v="GNR_PV_SUN"/>
    <x v="0"/>
    <x v="7"/>
    <n v="1.7762462043374301"/>
    <n v="648.32986458316304"/>
    <n v="2333.98751249939"/>
  </r>
  <r>
    <x v="0"/>
    <x v="0"/>
    <x v="0"/>
    <x v="5"/>
    <x v="9"/>
    <s v="LT_KlaU"/>
    <x v="6"/>
    <s v="GNR_PV_SUN"/>
    <x v="0"/>
    <x v="8"/>
    <n v="13.371945784448"/>
    <n v="4880.7602113234998"/>
    <n v="17570.736760764601"/>
  </r>
  <r>
    <x v="0"/>
    <x v="0"/>
    <x v="0"/>
    <x v="5"/>
    <x v="9"/>
    <s v="LT_KlaU"/>
    <x v="6"/>
    <s v="GNR_PV_SUN"/>
    <x v="0"/>
    <x v="9"/>
    <n v="30.888466045683298"/>
    <n v="11274.2901066744"/>
    <n v="40587.444384027804"/>
  </r>
  <r>
    <x v="0"/>
    <x v="0"/>
    <x v="0"/>
    <x v="5"/>
    <x v="9"/>
    <s v="LT_KlaU"/>
    <x v="6"/>
    <s v="GNR_PV_SUN"/>
    <x v="0"/>
    <x v="10"/>
    <n v="47.038643072812803"/>
    <n v="17169.104721576699"/>
    <n v="61808.776997676097"/>
  </r>
  <r>
    <x v="0"/>
    <x v="0"/>
    <x v="0"/>
    <x v="5"/>
    <x v="9"/>
    <s v="LT_KlaU"/>
    <x v="6"/>
    <s v="GNR_PV_SUN"/>
    <x v="0"/>
    <x v="11"/>
    <n v="53.478674182897798"/>
    <n v="19519.716076757701"/>
    <n v="70270.977876327699"/>
  </r>
  <r>
    <x v="0"/>
    <x v="0"/>
    <x v="0"/>
    <x v="5"/>
    <x v="9"/>
    <s v="LT_KlaU"/>
    <x v="6"/>
    <s v="GNR_PV_SUN"/>
    <x v="0"/>
    <x v="12"/>
    <n v="46.501214734064597"/>
    <n v="16972.9433779336"/>
    <n v="61102.596160560897"/>
  </r>
  <r>
    <x v="0"/>
    <x v="0"/>
    <x v="0"/>
    <x v="5"/>
    <x v="9"/>
    <s v="LT_KlaU"/>
    <x v="6"/>
    <s v="GNR_PV_SUN"/>
    <x v="0"/>
    <x v="13"/>
    <n v="30.2599481579946"/>
    <n v="11044.881077668"/>
    <n v="39761.571879604897"/>
  </r>
  <r>
    <x v="0"/>
    <x v="0"/>
    <x v="0"/>
    <x v="5"/>
    <x v="9"/>
    <s v="LT_KlaU"/>
    <x v="6"/>
    <s v="GNR_PV_SUN"/>
    <x v="0"/>
    <x v="14"/>
    <n v="15.3212621317721"/>
    <n v="5592.2606780968199"/>
    <n v="20132.1384411486"/>
  </r>
  <r>
    <x v="0"/>
    <x v="0"/>
    <x v="0"/>
    <x v="5"/>
    <x v="9"/>
    <s v="LT_KlaU"/>
    <x v="6"/>
    <s v="GNR_PV_SUN"/>
    <x v="0"/>
    <x v="15"/>
    <n v="1.9948611217943499"/>
    <n v="728.12430945493702"/>
    <n v="2621.2475140377701"/>
  </r>
  <r>
    <x v="0"/>
    <x v="0"/>
    <x v="0"/>
    <x v="5"/>
    <x v="9"/>
    <s v="LT_Other_DH"/>
    <x v="18"/>
    <s v="LIFOSA_ST_HEAT_BP"/>
    <x v="0"/>
    <x v="0"/>
    <n v="85.294117647058798"/>
    <n v="31132.352941176501"/>
    <n v="112076.470588235"/>
  </r>
  <r>
    <x v="0"/>
    <x v="0"/>
    <x v="0"/>
    <x v="5"/>
    <x v="9"/>
    <s v="LT_Other_DH"/>
    <x v="18"/>
    <s v="LIFOSA_ST_HEAT_BP"/>
    <x v="0"/>
    <x v="1"/>
    <n v="85.294117647058798"/>
    <n v="31132.352941176501"/>
    <n v="112076.470588235"/>
  </r>
  <r>
    <x v="0"/>
    <x v="0"/>
    <x v="0"/>
    <x v="5"/>
    <x v="9"/>
    <s v="LT_Other_DH"/>
    <x v="18"/>
    <s v="LIFOSA_ST_HEAT_BP"/>
    <x v="0"/>
    <x v="2"/>
    <n v="85.294117647058798"/>
    <n v="31132.352941176501"/>
    <n v="112076.470588235"/>
  </r>
  <r>
    <x v="0"/>
    <x v="0"/>
    <x v="0"/>
    <x v="5"/>
    <x v="9"/>
    <s v="LT_Other_DH"/>
    <x v="18"/>
    <s v="LIFOSA_ST_HEAT_BP"/>
    <x v="0"/>
    <x v="3"/>
    <n v="85.294117647058798"/>
    <n v="31132.352941176501"/>
    <n v="112076.470588235"/>
  </r>
  <r>
    <x v="0"/>
    <x v="0"/>
    <x v="0"/>
    <x v="5"/>
    <x v="9"/>
    <s v="LT_Other_DH"/>
    <x v="18"/>
    <s v="LIFOSA_ST_HEAT_BP"/>
    <x v="0"/>
    <x v="18"/>
    <n v="85.294117647058798"/>
    <n v="31132.352941176501"/>
    <n v="112076.470588235"/>
  </r>
  <r>
    <x v="0"/>
    <x v="0"/>
    <x v="0"/>
    <x v="5"/>
    <x v="9"/>
    <s v="LT_Other_DH"/>
    <x v="18"/>
    <s v="LIFOSA_ST_HEAT_BP"/>
    <x v="0"/>
    <x v="4"/>
    <n v="85.294117647058798"/>
    <n v="31132.352941176501"/>
    <n v="112076.470588235"/>
  </r>
  <r>
    <x v="0"/>
    <x v="0"/>
    <x v="0"/>
    <x v="5"/>
    <x v="9"/>
    <s v="LT_Other_DH"/>
    <x v="18"/>
    <s v="LIFOSA_ST_HEAT_BP"/>
    <x v="0"/>
    <x v="5"/>
    <n v="85.294117647058798"/>
    <n v="31132.352941176501"/>
    <n v="112076.470588235"/>
  </r>
  <r>
    <x v="0"/>
    <x v="0"/>
    <x v="0"/>
    <x v="5"/>
    <x v="9"/>
    <s v="LT_Other_DH"/>
    <x v="18"/>
    <s v="LIFOSA_ST_HEAT_BP"/>
    <x v="0"/>
    <x v="6"/>
    <n v="85.294117647058798"/>
    <n v="31132.352941176501"/>
    <n v="112076.470588235"/>
  </r>
  <r>
    <x v="0"/>
    <x v="0"/>
    <x v="0"/>
    <x v="5"/>
    <x v="9"/>
    <s v="LT_Other_DH"/>
    <x v="18"/>
    <s v="LIFOSA_ST_HEAT_BP"/>
    <x v="0"/>
    <x v="7"/>
    <n v="85.294117647058798"/>
    <n v="31132.352941176501"/>
    <n v="112076.470588235"/>
  </r>
  <r>
    <x v="0"/>
    <x v="0"/>
    <x v="0"/>
    <x v="5"/>
    <x v="9"/>
    <s v="LT_Other_DH"/>
    <x v="18"/>
    <s v="LIFOSA_ST_HEAT_BP"/>
    <x v="0"/>
    <x v="8"/>
    <n v="85.294117647058798"/>
    <n v="31132.352941176501"/>
    <n v="112076.470588235"/>
  </r>
  <r>
    <x v="0"/>
    <x v="0"/>
    <x v="0"/>
    <x v="5"/>
    <x v="9"/>
    <s v="LT_Other_DH"/>
    <x v="18"/>
    <s v="LIFOSA_ST_HEAT_BP"/>
    <x v="0"/>
    <x v="9"/>
    <n v="85.294117647058798"/>
    <n v="31132.352941176501"/>
    <n v="112076.470588235"/>
  </r>
  <r>
    <x v="0"/>
    <x v="0"/>
    <x v="0"/>
    <x v="5"/>
    <x v="9"/>
    <s v="LT_Other_DH"/>
    <x v="18"/>
    <s v="LIFOSA_ST_HEAT_BP"/>
    <x v="0"/>
    <x v="10"/>
    <n v="85.294117647058798"/>
    <n v="31132.352941176501"/>
    <n v="112076.470588235"/>
  </r>
  <r>
    <x v="0"/>
    <x v="0"/>
    <x v="0"/>
    <x v="5"/>
    <x v="9"/>
    <s v="LT_Other_DH"/>
    <x v="18"/>
    <s v="LIFOSA_ST_HEAT_BP"/>
    <x v="0"/>
    <x v="11"/>
    <n v="85.294117647058798"/>
    <n v="31132.352941176501"/>
    <n v="112076.470588235"/>
  </r>
  <r>
    <x v="0"/>
    <x v="0"/>
    <x v="0"/>
    <x v="5"/>
    <x v="9"/>
    <s v="LT_Other_DH"/>
    <x v="18"/>
    <s v="LIFOSA_ST_HEAT_BP"/>
    <x v="0"/>
    <x v="12"/>
    <n v="85.294117647058798"/>
    <n v="31132.352941176501"/>
    <n v="112076.470588235"/>
  </r>
  <r>
    <x v="0"/>
    <x v="0"/>
    <x v="0"/>
    <x v="5"/>
    <x v="9"/>
    <s v="LT_Other_DH"/>
    <x v="18"/>
    <s v="LIFOSA_ST_HEAT_BP"/>
    <x v="0"/>
    <x v="13"/>
    <n v="85.294117647058798"/>
    <n v="31132.352941176501"/>
    <n v="112076.470588235"/>
  </r>
  <r>
    <x v="0"/>
    <x v="0"/>
    <x v="0"/>
    <x v="5"/>
    <x v="9"/>
    <s v="LT_Other_DH"/>
    <x v="18"/>
    <s v="LIFOSA_ST_HEAT_BP"/>
    <x v="0"/>
    <x v="14"/>
    <n v="85.294117647058798"/>
    <n v="31132.352941176501"/>
    <n v="112076.470588235"/>
  </r>
  <r>
    <x v="0"/>
    <x v="0"/>
    <x v="0"/>
    <x v="5"/>
    <x v="9"/>
    <s v="LT_Other_DH"/>
    <x v="18"/>
    <s v="LIFOSA_ST_HEAT_BP"/>
    <x v="0"/>
    <x v="15"/>
    <n v="85.294117647058798"/>
    <n v="31132.352941176501"/>
    <n v="112076.470588235"/>
  </r>
  <r>
    <x v="0"/>
    <x v="0"/>
    <x v="0"/>
    <x v="5"/>
    <x v="9"/>
    <s v="LT_Other_DH"/>
    <x v="18"/>
    <s v="LIFOSA_ST_HEAT_BP"/>
    <x v="0"/>
    <x v="16"/>
    <n v="85.294117647058798"/>
    <n v="31132.352941176501"/>
    <n v="112076.470588235"/>
  </r>
  <r>
    <x v="0"/>
    <x v="0"/>
    <x v="0"/>
    <x v="5"/>
    <x v="9"/>
    <s v="LT_Other_DH"/>
    <x v="18"/>
    <s v="LIFOSA_ST_HEAT_BP"/>
    <x v="0"/>
    <x v="17"/>
    <n v="85.294117647058798"/>
    <n v="31132.352941176501"/>
    <n v="112076.470588235"/>
  </r>
  <r>
    <x v="0"/>
    <x v="0"/>
    <x v="0"/>
    <x v="5"/>
    <x v="9"/>
    <s v="LT_Other_DH"/>
    <x v="18"/>
    <s v="LIFOSA_ST_HEAT_BP"/>
    <x v="0"/>
    <x v="19"/>
    <n v="85.294117647058798"/>
    <n v="31132.352941176501"/>
    <n v="112076.470588235"/>
  </r>
  <r>
    <x v="0"/>
    <x v="0"/>
    <x v="0"/>
    <x v="5"/>
    <x v="9"/>
    <s v="LT_Other_DH"/>
    <x v="18"/>
    <s v="LIFOSA_ST_HEAT_BP"/>
    <x v="0"/>
    <x v="20"/>
    <n v="85.294117647058798"/>
    <n v="31132.352941176501"/>
    <n v="112076.470588235"/>
  </r>
  <r>
    <x v="0"/>
    <x v="0"/>
    <x v="0"/>
    <x v="5"/>
    <x v="9"/>
    <s v="LT_Other_DH"/>
    <x v="18"/>
    <s v="LIFOSA_ST_HEAT_BP"/>
    <x v="0"/>
    <x v="21"/>
    <n v="85.294117647058798"/>
    <n v="31132.352941176501"/>
    <n v="112076.470588235"/>
  </r>
  <r>
    <x v="0"/>
    <x v="0"/>
    <x v="0"/>
    <x v="5"/>
    <x v="9"/>
    <s v="LT_Other_DH"/>
    <x v="18"/>
    <s v="LIFOSA_ST_HEAT_BP"/>
    <x v="0"/>
    <x v="22"/>
    <n v="85.294117647058798"/>
    <n v="31132.352941176501"/>
    <n v="112076.470588235"/>
  </r>
  <r>
    <x v="0"/>
    <x v="0"/>
    <x v="0"/>
    <x v="5"/>
    <x v="9"/>
    <s v="LT_Other_DH"/>
    <x v="18"/>
    <s v="LIFOSA_ST_HEAT_BP"/>
    <x v="0"/>
    <x v="23"/>
    <n v="85.294117647058798"/>
    <n v="31132.352941176501"/>
    <n v="112076.470588235"/>
  </r>
  <r>
    <x v="0"/>
    <x v="0"/>
    <x v="0"/>
    <x v="5"/>
    <x v="9"/>
    <s v="LT_Other_DH"/>
    <x v="9"/>
    <s v="EBAVERE_ST_WOODWST_BP"/>
    <x v="0"/>
    <x v="0"/>
    <n v="41.052631578947398"/>
    <n v="14984.210526315799"/>
    <n v="53943.157894736803"/>
  </r>
  <r>
    <x v="0"/>
    <x v="0"/>
    <x v="0"/>
    <x v="5"/>
    <x v="9"/>
    <s v="LT_Other_DH"/>
    <x v="9"/>
    <s v="EBAVERE_ST_WOODWST_BP"/>
    <x v="0"/>
    <x v="1"/>
    <n v="41.052631578947398"/>
    <n v="14984.210526315799"/>
    <n v="53943.157894736803"/>
  </r>
  <r>
    <x v="0"/>
    <x v="0"/>
    <x v="0"/>
    <x v="5"/>
    <x v="9"/>
    <s v="LT_Other_DH"/>
    <x v="9"/>
    <s v="EBAVERE_ST_WOODWST_BP"/>
    <x v="0"/>
    <x v="2"/>
    <n v="41.052631578947398"/>
    <n v="14984.210526315799"/>
    <n v="53943.157894736803"/>
  </r>
  <r>
    <x v="0"/>
    <x v="0"/>
    <x v="0"/>
    <x v="5"/>
    <x v="9"/>
    <s v="LT_Other_DH"/>
    <x v="9"/>
    <s v="EBAVERE_ST_WOODWST_BP"/>
    <x v="0"/>
    <x v="3"/>
    <n v="41.052631578947398"/>
    <n v="14984.210526315799"/>
    <n v="53943.157894736803"/>
  </r>
  <r>
    <x v="0"/>
    <x v="0"/>
    <x v="0"/>
    <x v="5"/>
    <x v="9"/>
    <s v="LT_Other_DH"/>
    <x v="9"/>
    <s v="EBAVERE_ST_WOODWST_BP"/>
    <x v="0"/>
    <x v="18"/>
    <n v="41.052631578947398"/>
    <n v="14984.210526315799"/>
    <n v="53943.157894736803"/>
  </r>
  <r>
    <x v="0"/>
    <x v="0"/>
    <x v="0"/>
    <x v="5"/>
    <x v="9"/>
    <s v="LT_Other_DH"/>
    <x v="9"/>
    <s v="EBAVERE_ST_WOODWST_BP"/>
    <x v="0"/>
    <x v="4"/>
    <n v="41.052631578947398"/>
    <n v="14984.210526315799"/>
    <n v="53943.157894736803"/>
  </r>
  <r>
    <x v="0"/>
    <x v="0"/>
    <x v="0"/>
    <x v="5"/>
    <x v="9"/>
    <s v="LT_Other_DH"/>
    <x v="9"/>
    <s v="EBAVERE_ST_WOODWST_BP"/>
    <x v="0"/>
    <x v="5"/>
    <n v="41.052631578947398"/>
    <n v="14984.210526315799"/>
    <n v="53943.157894736803"/>
  </r>
  <r>
    <x v="0"/>
    <x v="0"/>
    <x v="0"/>
    <x v="5"/>
    <x v="9"/>
    <s v="LT_Other_DH"/>
    <x v="9"/>
    <s v="EBAVERE_ST_WOODWST_BP"/>
    <x v="0"/>
    <x v="6"/>
    <n v="41.052631578947398"/>
    <n v="14984.210526315799"/>
    <n v="53943.157894736803"/>
  </r>
  <r>
    <x v="0"/>
    <x v="0"/>
    <x v="0"/>
    <x v="5"/>
    <x v="9"/>
    <s v="LT_Other_DH"/>
    <x v="9"/>
    <s v="EBAVERE_ST_WOODWST_BP"/>
    <x v="0"/>
    <x v="7"/>
    <n v="41.052631578947398"/>
    <n v="14984.210526315799"/>
    <n v="53943.157894736803"/>
  </r>
  <r>
    <x v="0"/>
    <x v="0"/>
    <x v="0"/>
    <x v="5"/>
    <x v="9"/>
    <s v="LT_Other_DH"/>
    <x v="9"/>
    <s v="EBAVERE_ST_WOODWST_BP"/>
    <x v="0"/>
    <x v="8"/>
    <n v="41.052631578947398"/>
    <n v="14984.210526315799"/>
    <n v="53943.157894736803"/>
  </r>
  <r>
    <x v="0"/>
    <x v="0"/>
    <x v="0"/>
    <x v="5"/>
    <x v="9"/>
    <s v="LT_Other_DH"/>
    <x v="9"/>
    <s v="EBAVERE_ST_WOODWST_BP"/>
    <x v="0"/>
    <x v="9"/>
    <n v="41.052631578947398"/>
    <n v="14984.210526315799"/>
    <n v="53943.157894736803"/>
  </r>
  <r>
    <x v="0"/>
    <x v="0"/>
    <x v="0"/>
    <x v="5"/>
    <x v="9"/>
    <s v="LT_Other_DH"/>
    <x v="9"/>
    <s v="EBAVERE_ST_WOODWST_BP"/>
    <x v="0"/>
    <x v="10"/>
    <n v="41.052631578947398"/>
    <n v="14984.210526315799"/>
    <n v="53943.157894736803"/>
  </r>
  <r>
    <x v="0"/>
    <x v="0"/>
    <x v="0"/>
    <x v="5"/>
    <x v="9"/>
    <s v="LT_Other_DH"/>
    <x v="9"/>
    <s v="EBAVERE_ST_WOODWST_BP"/>
    <x v="0"/>
    <x v="11"/>
    <n v="41.052631578947398"/>
    <n v="14984.210526315799"/>
    <n v="53943.157894736803"/>
  </r>
  <r>
    <x v="0"/>
    <x v="0"/>
    <x v="0"/>
    <x v="5"/>
    <x v="9"/>
    <s v="LT_Other_DH"/>
    <x v="9"/>
    <s v="EBAVERE_ST_WOODWST_BP"/>
    <x v="0"/>
    <x v="12"/>
    <n v="41.052631578947398"/>
    <n v="14984.210526315799"/>
    <n v="53943.157894736803"/>
  </r>
  <r>
    <x v="0"/>
    <x v="0"/>
    <x v="0"/>
    <x v="5"/>
    <x v="9"/>
    <s v="LT_Other_DH"/>
    <x v="9"/>
    <s v="EBAVERE_ST_WOODWST_BP"/>
    <x v="0"/>
    <x v="13"/>
    <n v="41.052631578947398"/>
    <n v="14984.210526315799"/>
    <n v="53943.157894736803"/>
  </r>
  <r>
    <x v="0"/>
    <x v="0"/>
    <x v="0"/>
    <x v="5"/>
    <x v="9"/>
    <s v="LT_Other_DH"/>
    <x v="9"/>
    <s v="EBAVERE_ST_WOODWST_BP"/>
    <x v="0"/>
    <x v="14"/>
    <n v="41.052631578947398"/>
    <n v="14984.210526315799"/>
    <n v="53943.157894736803"/>
  </r>
  <r>
    <x v="0"/>
    <x v="0"/>
    <x v="0"/>
    <x v="5"/>
    <x v="9"/>
    <s v="LT_Other_DH"/>
    <x v="9"/>
    <s v="EBAVERE_ST_WOODWST_BP"/>
    <x v="0"/>
    <x v="15"/>
    <n v="41.052631578947398"/>
    <n v="14984.210526315799"/>
    <n v="53943.157894736803"/>
  </r>
  <r>
    <x v="0"/>
    <x v="0"/>
    <x v="0"/>
    <x v="5"/>
    <x v="9"/>
    <s v="LT_Other_DH"/>
    <x v="9"/>
    <s v="EBAVERE_ST_WOODWST_BP"/>
    <x v="0"/>
    <x v="16"/>
    <n v="41.052631578947398"/>
    <n v="14984.210526315799"/>
    <n v="53943.157894736803"/>
  </r>
  <r>
    <x v="0"/>
    <x v="0"/>
    <x v="0"/>
    <x v="5"/>
    <x v="9"/>
    <s v="LT_Other_DH"/>
    <x v="9"/>
    <s v="EBAVERE_ST_WOODWST_BP"/>
    <x v="0"/>
    <x v="17"/>
    <n v="41.052631578947398"/>
    <n v="14984.210526315799"/>
    <n v="53943.157894736803"/>
  </r>
  <r>
    <x v="0"/>
    <x v="0"/>
    <x v="0"/>
    <x v="5"/>
    <x v="9"/>
    <s v="LT_Other_DH"/>
    <x v="9"/>
    <s v="EBAVERE_ST_WOODWST_BP"/>
    <x v="0"/>
    <x v="19"/>
    <n v="41.052631578947398"/>
    <n v="14984.210526315799"/>
    <n v="53943.157894736803"/>
  </r>
  <r>
    <x v="0"/>
    <x v="0"/>
    <x v="0"/>
    <x v="5"/>
    <x v="9"/>
    <s v="LT_Other_DH"/>
    <x v="9"/>
    <s v="EBAVERE_ST_WOODWST_BP"/>
    <x v="0"/>
    <x v="20"/>
    <n v="41.052631578947398"/>
    <n v="14984.210526315799"/>
    <n v="53943.157894736803"/>
  </r>
  <r>
    <x v="0"/>
    <x v="0"/>
    <x v="0"/>
    <x v="5"/>
    <x v="9"/>
    <s v="LT_Other_DH"/>
    <x v="9"/>
    <s v="EBAVERE_ST_WOODWST_BP"/>
    <x v="0"/>
    <x v="21"/>
    <n v="41.052631578947398"/>
    <n v="14984.210526315799"/>
    <n v="53943.157894736803"/>
  </r>
  <r>
    <x v="0"/>
    <x v="0"/>
    <x v="0"/>
    <x v="5"/>
    <x v="9"/>
    <s v="LT_Other_DH"/>
    <x v="9"/>
    <s v="EBAVERE_ST_WOODWST_BP"/>
    <x v="0"/>
    <x v="22"/>
    <n v="41.052631578947398"/>
    <n v="14984.210526315799"/>
    <n v="53943.157894736803"/>
  </r>
  <r>
    <x v="0"/>
    <x v="0"/>
    <x v="0"/>
    <x v="5"/>
    <x v="9"/>
    <s v="LT_Other_DH"/>
    <x v="9"/>
    <s v="EBAVERE_ST_WOODWST_BP"/>
    <x v="0"/>
    <x v="23"/>
    <n v="41.052631578947398"/>
    <n v="14984.210526315799"/>
    <n v="53943.157894736803"/>
  </r>
  <r>
    <x v="0"/>
    <x v="0"/>
    <x v="0"/>
    <x v="5"/>
    <x v="9"/>
    <s v="LT_Rural"/>
    <x v="8"/>
    <s v="GNR_WT_WIND_ONS"/>
    <x v="0"/>
    <x v="0"/>
    <n v="29.885102117257802"/>
    <n v="10908.062272799099"/>
    <n v="39269.024182076799"/>
  </r>
  <r>
    <x v="0"/>
    <x v="0"/>
    <x v="0"/>
    <x v="5"/>
    <x v="9"/>
    <s v="LT_Rural"/>
    <x v="8"/>
    <s v="GNR_WT_WIND_ONS"/>
    <x v="0"/>
    <x v="1"/>
    <n v="35.8621225407094"/>
    <n v="13089.674727358901"/>
    <n v="47122.829018492201"/>
  </r>
  <r>
    <x v="0"/>
    <x v="0"/>
    <x v="0"/>
    <x v="5"/>
    <x v="9"/>
    <s v="LT_Rural"/>
    <x v="8"/>
    <s v="GNR_WT_WIND_ONS"/>
    <x v="0"/>
    <x v="2"/>
    <n v="35.008262480216302"/>
    <n v="12778.015805278999"/>
    <n v="46000.856899004299"/>
  </r>
  <r>
    <x v="0"/>
    <x v="0"/>
    <x v="0"/>
    <x v="5"/>
    <x v="9"/>
    <s v="LT_Rural"/>
    <x v="8"/>
    <s v="GNR_WT_WIND_ONS"/>
    <x v="0"/>
    <x v="3"/>
    <n v="32.873612328983597"/>
    <n v="11998.868500078999"/>
    <n v="43195.926600284503"/>
  </r>
  <r>
    <x v="0"/>
    <x v="0"/>
    <x v="0"/>
    <x v="5"/>
    <x v="9"/>
    <s v="LT_Rural"/>
    <x v="8"/>
    <s v="GNR_WT_WIND_ONS"/>
    <x v="0"/>
    <x v="18"/>
    <n v="24.335011724052801"/>
    <n v="8882.2792792792807"/>
    <n v="31976.205405405399"/>
  </r>
  <r>
    <x v="0"/>
    <x v="0"/>
    <x v="0"/>
    <x v="5"/>
    <x v="9"/>
    <s v="LT_Rural"/>
    <x v="8"/>
    <s v="GNR_WT_WIND_ONS"/>
    <x v="0"/>
    <x v="4"/>
    <n v="14.0886909981358"/>
    <n v="5142.3722143195801"/>
    <n v="18512.539971550501"/>
  </r>
  <r>
    <x v="0"/>
    <x v="0"/>
    <x v="0"/>
    <x v="5"/>
    <x v="9"/>
    <s v="LT_Rural"/>
    <x v="8"/>
    <s v="GNR_WT_WIND_ONS"/>
    <x v="0"/>
    <x v="5"/>
    <n v="2.98851021172579"/>
    <n v="1090.80622727991"/>
    <n v="3926.9024182076801"/>
  </r>
  <r>
    <x v="0"/>
    <x v="0"/>
    <x v="0"/>
    <x v="5"/>
    <x v="9"/>
    <s v="LT_Rural"/>
    <x v="8"/>
    <s v="GNR_WT_WIND_ONS"/>
    <x v="0"/>
    <x v="6"/>
    <n v="2.1346501512326999"/>
    <n v="779.14730519993702"/>
    <n v="2804.9302987197698"/>
  </r>
  <r>
    <x v="0"/>
    <x v="0"/>
    <x v="0"/>
    <x v="5"/>
    <x v="9"/>
    <s v="LT_Rural"/>
    <x v="8"/>
    <s v="GNR_WT_WIND_ONS"/>
    <x v="0"/>
    <x v="7"/>
    <n v="2.98851021172579"/>
    <n v="1090.80622727991"/>
    <n v="3926.9024182076801"/>
  </r>
  <r>
    <x v="0"/>
    <x v="0"/>
    <x v="0"/>
    <x v="5"/>
    <x v="9"/>
    <s v="LT_Rural"/>
    <x v="8"/>
    <s v="GNR_WT_WIND_ONS"/>
    <x v="0"/>
    <x v="8"/>
    <n v="14.0886909981358"/>
    <n v="5142.3722143195801"/>
    <n v="18512.539971550501"/>
  </r>
  <r>
    <x v="0"/>
    <x v="0"/>
    <x v="0"/>
    <x v="5"/>
    <x v="9"/>
    <s v="LT_Rural"/>
    <x v="8"/>
    <s v="GNR_WT_WIND_ONS"/>
    <x v="0"/>
    <x v="9"/>
    <n v="32.873612328983597"/>
    <n v="11998.868500078999"/>
    <n v="43195.926600284503"/>
  </r>
  <r>
    <x v="0"/>
    <x v="0"/>
    <x v="0"/>
    <x v="5"/>
    <x v="9"/>
    <s v="LT_Rural"/>
    <x v="8"/>
    <s v="GNR_WT_WIND_ONS"/>
    <x v="0"/>
    <x v="10"/>
    <n v="50.804673599338301"/>
    <n v="18543.7058637585"/>
    <n v="66757.341109530593"/>
  </r>
  <r>
    <x v="0"/>
    <x v="0"/>
    <x v="0"/>
    <x v="5"/>
    <x v="9"/>
    <s v="LT_Rural"/>
    <x v="8"/>
    <s v="GNR_WT_WIND_ONS"/>
    <x v="0"/>
    <x v="11"/>
    <n v="58.916344174022598"/>
    <n v="21504.465623518299"/>
    <n v="77416.076244665703"/>
  </r>
  <r>
    <x v="0"/>
    <x v="0"/>
    <x v="0"/>
    <x v="5"/>
    <x v="9"/>
    <s v="LT_Rural"/>
    <x v="8"/>
    <s v="GNR_WT_WIND_ONS"/>
    <x v="0"/>
    <x v="12"/>
    <n v="67.454944778953404"/>
    <n v="24621.054844318001"/>
    <n v="88635.797439544796"/>
  </r>
  <r>
    <x v="0"/>
    <x v="0"/>
    <x v="0"/>
    <x v="5"/>
    <x v="9"/>
    <s v="LT_Rural"/>
    <x v="8"/>
    <s v="GNR_WT_WIND_ONS"/>
    <x v="0"/>
    <x v="13"/>
    <n v="67.454944778953404"/>
    <n v="24621.054844318001"/>
    <n v="88635.797439544796"/>
  </r>
  <r>
    <x v="0"/>
    <x v="0"/>
    <x v="0"/>
    <x v="5"/>
    <x v="9"/>
    <s v="LT_Rural"/>
    <x v="8"/>
    <s v="GNR_WT_WIND_ONS"/>
    <x v="0"/>
    <x v="14"/>
    <n v="106.732507561635"/>
    <n v="38957.365259996797"/>
    <n v="140246.51493598899"/>
  </r>
  <r>
    <x v="0"/>
    <x v="0"/>
    <x v="0"/>
    <x v="5"/>
    <x v="9"/>
    <s v="LT_Rural"/>
    <x v="8"/>
    <s v="GNR_WT_WIND_ONS"/>
    <x v="0"/>
    <x v="15"/>
    <n v="137.89839976963299"/>
    <n v="50332.915915915903"/>
    <n v="181198.497297297"/>
  </r>
  <r>
    <x v="0"/>
    <x v="0"/>
    <x v="0"/>
    <x v="5"/>
    <x v="9"/>
    <s v="LT_Rural"/>
    <x v="8"/>
    <s v="GNR_WT_WIND_ONS"/>
    <x v="0"/>
    <x v="16"/>
    <n v="136.19067964864601"/>
    <n v="49709.598071756001"/>
    <n v="178954.553058322"/>
  </r>
  <r>
    <x v="0"/>
    <x v="0"/>
    <x v="0"/>
    <x v="5"/>
    <x v="9"/>
    <s v="LT_Rural"/>
    <x v="8"/>
    <s v="GNR_WT_WIND_ONS"/>
    <x v="0"/>
    <x v="17"/>
    <n v="186.14149318749199"/>
    <n v="67941.645013434507"/>
    <n v="244589.92204836401"/>
  </r>
  <r>
    <x v="0"/>
    <x v="0"/>
    <x v="0"/>
    <x v="5"/>
    <x v="9"/>
    <s v="LT_Rural"/>
    <x v="8"/>
    <s v="GNR_WT_WIND_ONS"/>
    <x v="0"/>
    <x v="19"/>
    <n v="277.07758963000498"/>
    <n v="101133.32021495199"/>
    <n v="364079.95277382602"/>
  </r>
  <r>
    <x v="0"/>
    <x v="0"/>
    <x v="0"/>
    <x v="5"/>
    <x v="9"/>
    <s v="LT_Rural"/>
    <x v="8"/>
    <s v="GNR_WT_WIND_ONS"/>
    <x v="0"/>
    <x v="20"/>
    <n v="321.051382745399"/>
    <n v="117183.75470207"/>
    <n v="421861.51692745398"/>
  </r>
  <r>
    <x v="0"/>
    <x v="0"/>
    <x v="0"/>
    <x v="5"/>
    <x v="9"/>
    <s v="LT_Rural"/>
    <x v="8"/>
    <s v="GNR_WT_WIND_ONS"/>
    <x v="0"/>
    <x v="21"/>
    <n v="346.24025452994499"/>
    <n v="126377.69290343"/>
    <n v="454959.694452347"/>
  </r>
  <r>
    <x v="0"/>
    <x v="0"/>
    <x v="0"/>
    <x v="5"/>
    <x v="9"/>
    <s v="LT_Rural"/>
    <x v="8"/>
    <s v="GNR_WT_WIND_ONS"/>
    <x v="0"/>
    <x v="22"/>
    <n v="351.79034492314997"/>
    <n v="128403.47589695"/>
    <n v="462252.51322901802"/>
  </r>
  <r>
    <x v="0"/>
    <x v="0"/>
    <x v="0"/>
    <x v="5"/>
    <x v="9"/>
    <s v="LT_Rural"/>
    <x v="8"/>
    <s v="GNR_WT_WIND_ONS"/>
    <x v="0"/>
    <x v="23"/>
    <n v="366.30596595153202"/>
    <n v="133701.67757230901"/>
    <n v="481326.03926031297"/>
  </r>
  <r>
    <x v="0"/>
    <x v="0"/>
    <x v="0"/>
    <x v="5"/>
    <x v="9"/>
    <s v="LT_VilU"/>
    <x v="2"/>
    <s v="VILNIUS_ST_MSW_BP"/>
    <x v="0"/>
    <x v="0"/>
    <n v="315.839556518508"/>
    <n v="115281.438129255"/>
    <n v="415013.17726531997"/>
  </r>
  <r>
    <x v="0"/>
    <x v="0"/>
    <x v="0"/>
    <x v="5"/>
    <x v="9"/>
    <s v="LT_VilU"/>
    <x v="2"/>
    <s v="VILNIUS_ST_MSW_BP"/>
    <x v="0"/>
    <x v="1"/>
    <n v="315.839556518508"/>
    <n v="115281.438129255"/>
    <n v="415013.17726531997"/>
  </r>
  <r>
    <x v="0"/>
    <x v="0"/>
    <x v="0"/>
    <x v="5"/>
    <x v="9"/>
    <s v="LT_VilU"/>
    <x v="2"/>
    <s v="VILNIUS_ST_MSW_BP"/>
    <x v="0"/>
    <x v="2"/>
    <n v="315.839556518508"/>
    <n v="115281.438129255"/>
    <n v="415013.17726531997"/>
  </r>
  <r>
    <x v="0"/>
    <x v="0"/>
    <x v="0"/>
    <x v="5"/>
    <x v="9"/>
    <s v="LT_VilU"/>
    <x v="2"/>
    <s v="VILNIUS_ST_MSW_BP"/>
    <x v="0"/>
    <x v="3"/>
    <n v="315.839556518508"/>
    <n v="115281.438129255"/>
    <n v="415013.17726531997"/>
  </r>
  <r>
    <x v="0"/>
    <x v="0"/>
    <x v="0"/>
    <x v="5"/>
    <x v="9"/>
    <s v="LT_VilU"/>
    <x v="2"/>
    <s v="VILNIUS_ST_MSW_BP"/>
    <x v="0"/>
    <x v="18"/>
    <n v="315.839556518508"/>
    <n v="115281.438129255"/>
    <n v="415013.17726531997"/>
  </r>
  <r>
    <x v="0"/>
    <x v="0"/>
    <x v="0"/>
    <x v="5"/>
    <x v="9"/>
    <s v="LT_VilU"/>
    <x v="2"/>
    <s v="VILNIUS_ST_MSW_BP"/>
    <x v="0"/>
    <x v="4"/>
    <n v="315.839556518508"/>
    <n v="115281.438129255"/>
    <n v="415013.17726531997"/>
  </r>
  <r>
    <x v="0"/>
    <x v="0"/>
    <x v="0"/>
    <x v="5"/>
    <x v="9"/>
    <s v="LT_VilU"/>
    <x v="2"/>
    <s v="VILNIUS_ST_MSW_BP"/>
    <x v="0"/>
    <x v="5"/>
    <n v="315.839556518508"/>
    <n v="115281.438129255"/>
    <n v="415013.17726531997"/>
  </r>
  <r>
    <x v="0"/>
    <x v="0"/>
    <x v="0"/>
    <x v="5"/>
    <x v="9"/>
    <s v="LT_VilU"/>
    <x v="2"/>
    <s v="VILNIUS_ST_MSW_BP"/>
    <x v="0"/>
    <x v="6"/>
    <n v="315.839556518508"/>
    <n v="115281.438129255"/>
    <n v="415013.17726531997"/>
  </r>
  <r>
    <x v="0"/>
    <x v="0"/>
    <x v="0"/>
    <x v="5"/>
    <x v="9"/>
    <s v="LT_VilU"/>
    <x v="2"/>
    <s v="VILNIUS_ST_MSW_BP"/>
    <x v="0"/>
    <x v="7"/>
    <n v="315.839556518508"/>
    <n v="115281.438129255"/>
    <n v="415013.17726531997"/>
  </r>
  <r>
    <x v="0"/>
    <x v="0"/>
    <x v="0"/>
    <x v="5"/>
    <x v="9"/>
    <s v="LT_VilU"/>
    <x v="2"/>
    <s v="VILNIUS_ST_MSW_BP"/>
    <x v="0"/>
    <x v="8"/>
    <n v="315.839556518508"/>
    <n v="115281.438129255"/>
    <n v="415013.17726531997"/>
  </r>
  <r>
    <x v="0"/>
    <x v="0"/>
    <x v="0"/>
    <x v="5"/>
    <x v="9"/>
    <s v="LT_VilU"/>
    <x v="2"/>
    <s v="VILNIUS_ST_MSW_BP"/>
    <x v="0"/>
    <x v="9"/>
    <n v="315.839556518508"/>
    <n v="115281.438129255"/>
    <n v="415013.17726531997"/>
  </r>
  <r>
    <x v="0"/>
    <x v="0"/>
    <x v="0"/>
    <x v="5"/>
    <x v="9"/>
    <s v="LT_VilU"/>
    <x v="2"/>
    <s v="VILNIUS_ST_MSW_BP"/>
    <x v="0"/>
    <x v="10"/>
    <n v="315.839556518508"/>
    <n v="115281.438129255"/>
    <n v="415013.17726531997"/>
  </r>
  <r>
    <x v="0"/>
    <x v="0"/>
    <x v="0"/>
    <x v="5"/>
    <x v="9"/>
    <s v="LT_VilU"/>
    <x v="2"/>
    <s v="VILNIUS_ST_MSW_BP"/>
    <x v="0"/>
    <x v="11"/>
    <n v="315.839556518508"/>
    <n v="115281.438129255"/>
    <n v="415013.17726531997"/>
  </r>
  <r>
    <x v="0"/>
    <x v="0"/>
    <x v="0"/>
    <x v="5"/>
    <x v="9"/>
    <s v="LT_VilU"/>
    <x v="2"/>
    <s v="VILNIUS_ST_MSW_BP"/>
    <x v="0"/>
    <x v="12"/>
    <n v="315.839556518508"/>
    <n v="115281.438129255"/>
    <n v="415013.17726531997"/>
  </r>
  <r>
    <x v="0"/>
    <x v="0"/>
    <x v="0"/>
    <x v="5"/>
    <x v="9"/>
    <s v="LT_VilU"/>
    <x v="2"/>
    <s v="VILNIUS_ST_MSW_BP"/>
    <x v="0"/>
    <x v="13"/>
    <n v="315.839556518508"/>
    <n v="115281.438129255"/>
    <n v="415013.17726531997"/>
  </r>
  <r>
    <x v="0"/>
    <x v="0"/>
    <x v="0"/>
    <x v="5"/>
    <x v="9"/>
    <s v="LT_VilU"/>
    <x v="2"/>
    <s v="VILNIUS_ST_MSW_BP"/>
    <x v="0"/>
    <x v="14"/>
    <n v="315.839556518508"/>
    <n v="115281.438129255"/>
    <n v="415013.17726531997"/>
  </r>
  <r>
    <x v="0"/>
    <x v="0"/>
    <x v="0"/>
    <x v="5"/>
    <x v="9"/>
    <s v="LT_VilU"/>
    <x v="2"/>
    <s v="VILNIUS_ST_MSW_BP"/>
    <x v="0"/>
    <x v="15"/>
    <n v="315.839556518508"/>
    <n v="115281.438129255"/>
    <n v="415013.17726531997"/>
  </r>
  <r>
    <x v="0"/>
    <x v="0"/>
    <x v="0"/>
    <x v="5"/>
    <x v="9"/>
    <s v="LT_VilU"/>
    <x v="2"/>
    <s v="VILNIUS_ST_MSW_BP"/>
    <x v="0"/>
    <x v="16"/>
    <n v="315.839556518508"/>
    <n v="115281.438129255"/>
    <n v="415013.17726531997"/>
  </r>
  <r>
    <x v="0"/>
    <x v="0"/>
    <x v="0"/>
    <x v="5"/>
    <x v="9"/>
    <s v="LT_VilU"/>
    <x v="2"/>
    <s v="VILNIUS_ST_MSW_BP"/>
    <x v="0"/>
    <x v="17"/>
    <n v="315.839556518508"/>
    <n v="115281.438129255"/>
    <n v="415013.17726531997"/>
  </r>
  <r>
    <x v="0"/>
    <x v="0"/>
    <x v="0"/>
    <x v="5"/>
    <x v="9"/>
    <s v="LT_VilU"/>
    <x v="2"/>
    <s v="VILNIUS_ST_MSW_BP"/>
    <x v="0"/>
    <x v="19"/>
    <n v="315.839556518508"/>
    <n v="115281.438129255"/>
    <n v="415013.17726531997"/>
  </r>
  <r>
    <x v="0"/>
    <x v="0"/>
    <x v="0"/>
    <x v="5"/>
    <x v="9"/>
    <s v="LT_VilU"/>
    <x v="2"/>
    <s v="VILNIUS_ST_MSW_BP"/>
    <x v="0"/>
    <x v="20"/>
    <n v="315.839556518508"/>
    <n v="115281.438129255"/>
    <n v="415013.17726531997"/>
  </r>
  <r>
    <x v="0"/>
    <x v="0"/>
    <x v="0"/>
    <x v="5"/>
    <x v="9"/>
    <s v="LT_VilU"/>
    <x v="2"/>
    <s v="VILNIUS_ST_MSW_BP"/>
    <x v="0"/>
    <x v="21"/>
    <n v="315.839556518508"/>
    <n v="115281.438129255"/>
    <n v="415013.17726531997"/>
  </r>
  <r>
    <x v="0"/>
    <x v="0"/>
    <x v="0"/>
    <x v="5"/>
    <x v="9"/>
    <s v="LT_VilU"/>
    <x v="2"/>
    <s v="VILNIUS_ST_MSW_BP"/>
    <x v="0"/>
    <x v="22"/>
    <n v="315.839556518508"/>
    <n v="115281.438129255"/>
    <n v="415013.17726531997"/>
  </r>
  <r>
    <x v="0"/>
    <x v="0"/>
    <x v="0"/>
    <x v="5"/>
    <x v="9"/>
    <s v="LT_VilU"/>
    <x v="2"/>
    <s v="VILNIUS_ST_MSW_BP"/>
    <x v="0"/>
    <x v="23"/>
    <n v="315.839556518508"/>
    <n v="115281.438129255"/>
    <n v="415013.17726531997"/>
  </r>
  <r>
    <x v="0"/>
    <x v="0"/>
    <x v="0"/>
    <x v="5"/>
    <x v="9"/>
    <s v="LT_VilU"/>
    <x v="3"/>
    <s v="GNR_CC_NGAS_CND_E-58"/>
    <x v="0"/>
    <x v="7"/>
    <n v="21.007869243873301"/>
    <n v="7667.87227401377"/>
    <n v="27604.340186449601"/>
  </r>
  <r>
    <x v="0"/>
    <x v="0"/>
    <x v="0"/>
    <x v="5"/>
    <x v="9"/>
    <s v="LT_VilU"/>
    <x v="3"/>
    <s v="GNR_CC_NGAS_CND_E-58"/>
    <x v="0"/>
    <x v="8"/>
    <n v="2.6170512538322601"/>
    <n v="955.22370764877405"/>
    <n v="3438.80534753559"/>
  </r>
  <r>
    <x v="0"/>
    <x v="0"/>
    <x v="0"/>
    <x v="5"/>
    <x v="9"/>
    <s v="LT_VilU"/>
    <x v="3"/>
    <s v="GNR_CC_NGAS_CND_E-58"/>
    <x v="0"/>
    <x v="9"/>
    <n v="121.48381477348499"/>
    <n v="44341.592392321902"/>
    <n v="159629.73261235899"/>
  </r>
  <r>
    <x v="0"/>
    <x v="0"/>
    <x v="0"/>
    <x v="5"/>
    <x v="9"/>
    <s v="LT_VilU"/>
    <x v="3"/>
    <s v="GNR_CC_NGAS_CND_E-58"/>
    <x v="0"/>
    <x v="10"/>
    <n v="64.157069486379299"/>
    <n v="23417.330362528399"/>
    <n v="84302.389305102304"/>
  </r>
  <r>
    <x v="0"/>
    <x v="0"/>
    <x v="0"/>
    <x v="5"/>
    <x v="9"/>
    <s v="LT_VilU"/>
    <x v="3"/>
    <s v="GNR_CC_NGAS_CND_E-58"/>
    <x v="0"/>
    <x v="11"/>
    <n v="39.067928650570401"/>
    <n v="14259.7939574582"/>
    <n v="51335.258246849597"/>
  </r>
  <r>
    <x v="0"/>
    <x v="0"/>
    <x v="0"/>
    <x v="5"/>
    <x v="9"/>
    <s v="LT_VilU"/>
    <x v="3"/>
    <s v="GNR_CC_NGAS_CND_E-58"/>
    <x v="0"/>
    <x v="13"/>
    <n v="54.340416932004104"/>
    <n v="19834.252180181498"/>
    <n v="71403.307848653407"/>
  </r>
  <r>
    <x v="0"/>
    <x v="0"/>
    <x v="0"/>
    <x v="5"/>
    <x v="9"/>
    <s v="LT_VilU"/>
    <x v="3"/>
    <s v="GNR_CC_NGAS_CND_E-58"/>
    <x v="0"/>
    <x v="14"/>
    <n v="10.9428259192072"/>
    <n v="3994.1314605106199"/>
    <n v="14378.873257838201"/>
  </r>
  <r>
    <x v="0"/>
    <x v="0"/>
    <x v="0"/>
    <x v="5"/>
    <x v="9"/>
    <s v="LT_VilU"/>
    <x v="3"/>
    <s v="GNR_CC_NGAS_CND_E-58"/>
    <x v="0"/>
    <x v="16"/>
    <n v="39.627227971604803"/>
    <n v="14463.9382096357"/>
    <n v="52070.1775546887"/>
  </r>
  <r>
    <x v="0"/>
    <x v="0"/>
    <x v="0"/>
    <x v="5"/>
    <x v="9"/>
    <s v="LT_VilU"/>
    <x v="7"/>
    <s v="GNR_ES_WTR_PMP"/>
    <x v="0"/>
    <x v="8"/>
    <n v="128.219178082192"/>
    <n v="46800"/>
    <n v="168480"/>
  </r>
  <r>
    <x v="0"/>
    <x v="0"/>
    <x v="0"/>
    <x v="6"/>
    <x v="10"/>
    <s v="NL_A"/>
    <x v="0"/>
    <s v="GNR_ST_COAL_CND_E-40"/>
    <x v="0"/>
    <x v="0"/>
    <n v="11592.7033339482"/>
    <n v="4231336.7168910904"/>
    <n v="15232812.1808079"/>
  </r>
  <r>
    <x v="0"/>
    <x v="0"/>
    <x v="0"/>
    <x v="6"/>
    <x v="10"/>
    <s v="NL_A"/>
    <x v="0"/>
    <s v="GNR_ST_COAL_CND_E-40"/>
    <x v="0"/>
    <x v="1"/>
    <n v="10052.308664035199"/>
    <n v="3669092.6623728499"/>
    <n v="13208733.584542301"/>
  </r>
  <r>
    <x v="0"/>
    <x v="0"/>
    <x v="0"/>
    <x v="6"/>
    <x v="10"/>
    <s v="NL_A"/>
    <x v="0"/>
    <s v="GNR_ST_COAL_CND_E-40"/>
    <x v="0"/>
    <x v="2"/>
    <n v="9604.8658880290495"/>
    <n v="3505776.0491305999"/>
    <n v="12620793.7768702"/>
  </r>
  <r>
    <x v="0"/>
    <x v="0"/>
    <x v="0"/>
    <x v="6"/>
    <x v="10"/>
    <s v="NL_A"/>
    <x v="0"/>
    <s v="GNR_ST_COAL_CND_E-40"/>
    <x v="0"/>
    <x v="3"/>
    <n v="9378.5326120846603"/>
    <n v="3423164.4034108999"/>
    <n v="12323391.852279199"/>
  </r>
  <r>
    <x v="0"/>
    <x v="0"/>
    <x v="0"/>
    <x v="6"/>
    <x v="10"/>
    <s v="NL_A"/>
    <x v="0"/>
    <s v="GNR_ST_COAL_CND_E-40"/>
    <x v="0"/>
    <x v="18"/>
    <n v="12187.5"/>
    <n v="4448437.5"/>
    <n v="16014375"/>
  </r>
  <r>
    <x v="0"/>
    <x v="0"/>
    <x v="0"/>
    <x v="6"/>
    <x v="10"/>
    <s v="NL_A"/>
    <x v="0"/>
    <s v="GNR_ST_COAL_CND_E-40"/>
    <x v="0"/>
    <x v="4"/>
    <n v="12187.5"/>
    <n v="4448437.5"/>
    <n v="16014375"/>
  </r>
  <r>
    <x v="0"/>
    <x v="0"/>
    <x v="0"/>
    <x v="6"/>
    <x v="10"/>
    <s v="NL_A"/>
    <x v="0"/>
    <s v="GNR_ST_COAL_CND_E-40"/>
    <x v="0"/>
    <x v="5"/>
    <n v="12187.5"/>
    <n v="4448437.5"/>
    <n v="16014375"/>
  </r>
  <r>
    <x v="0"/>
    <x v="0"/>
    <x v="0"/>
    <x v="6"/>
    <x v="10"/>
    <s v="NL_A"/>
    <x v="0"/>
    <s v="GNR_ST_COAL_CND_E-40"/>
    <x v="0"/>
    <x v="6"/>
    <n v="12187.5"/>
    <n v="4448437.5"/>
    <n v="16014375"/>
  </r>
  <r>
    <x v="0"/>
    <x v="0"/>
    <x v="0"/>
    <x v="6"/>
    <x v="10"/>
    <s v="NL_A"/>
    <x v="0"/>
    <s v="GNR_ST_COAL_CND_E-40"/>
    <x v="0"/>
    <x v="7"/>
    <n v="12187.5"/>
    <n v="4448437.5"/>
    <n v="16014375"/>
  </r>
  <r>
    <x v="0"/>
    <x v="0"/>
    <x v="0"/>
    <x v="6"/>
    <x v="10"/>
    <s v="NL_A"/>
    <x v="0"/>
    <s v="GNR_ST_COAL_CND_E-40"/>
    <x v="0"/>
    <x v="8"/>
    <n v="12187.5"/>
    <n v="4448437.5"/>
    <n v="16014375"/>
  </r>
  <r>
    <x v="0"/>
    <x v="0"/>
    <x v="0"/>
    <x v="6"/>
    <x v="10"/>
    <s v="NL_A"/>
    <x v="0"/>
    <s v="GNR_ST_COAL_CND_E-40"/>
    <x v="0"/>
    <x v="9"/>
    <n v="12187.5"/>
    <n v="4448437.5"/>
    <n v="16014375"/>
  </r>
  <r>
    <x v="0"/>
    <x v="0"/>
    <x v="0"/>
    <x v="6"/>
    <x v="10"/>
    <s v="NL_A"/>
    <x v="0"/>
    <s v="GNR_ST_COAL_CND_E-40"/>
    <x v="0"/>
    <x v="10"/>
    <n v="12187.5"/>
    <n v="4448437.5"/>
    <n v="16014375"/>
  </r>
  <r>
    <x v="0"/>
    <x v="0"/>
    <x v="0"/>
    <x v="6"/>
    <x v="10"/>
    <s v="NL_A"/>
    <x v="0"/>
    <s v="GNR_ST_COAL_CND_E-40"/>
    <x v="0"/>
    <x v="11"/>
    <n v="12187.5"/>
    <n v="4448437.5"/>
    <n v="16014375"/>
  </r>
  <r>
    <x v="0"/>
    <x v="0"/>
    <x v="0"/>
    <x v="6"/>
    <x v="10"/>
    <s v="NL_A"/>
    <x v="0"/>
    <s v="GNR_ST_COAL_CND_E-40"/>
    <x v="0"/>
    <x v="12"/>
    <n v="12187.5"/>
    <n v="4448437.5"/>
    <n v="16014375"/>
  </r>
  <r>
    <x v="0"/>
    <x v="0"/>
    <x v="0"/>
    <x v="6"/>
    <x v="10"/>
    <s v="NL_A"/>
    <x v="0"/>
    <s v="GNR_ST_COAL_CND_E-40"/>
    <x v="0"/>
    <x v="13"/>
    <n v="12187.5"/>
    <n v="4448437.5"/>
    <n v="16014375"/>
  </r>
  <r>
    <x v="0"/>
    <x v="0"/>
    <x v="0"/>
    <x v="6"/>
    <x v="10"/>
    <s v="NL_A"/>
    <x v="0"/>
    <s v="GNR_ST_COAL_CND_E-40"/>
    <x v="0"/>
    <x v="14"/>
    <n v="12187.5"/>
    <n v="4448437.5"/>
    <n v="16014375"/>
  </r>
  <r>
    <x v="0"/>
    <x v="0"/>
    <x v="0"/>
    <x v="6"/>
    <x v="10"/>
    <s v="NL_A"/>
    <x v="0"/>
    <s v="GNR_ST_COAL_CND_E-40"/>
    <x v="0"/>
    <x v="15"/>
    <n v="12187.5"/>
    <n v="4448437.5"/>
    <n v="16014375"/>
  </r>
  <r>
    <x v="0"/>
    <x v="0"/>
    <x v="0"/>
    <x v="6"/>
    <x v="10"/>
    <s v="NL_A"/>
    <x v="0"/>
    <s v="GNR_ST_COAL_CND_E-40"/>
    <x v="0"/>
    <x v="16"/>
    <n v="12187.5"/>
    <n v="4448437.5"/>
    <n v="16014375"/>
  </r>
  <r>
    <x v="0"/>
    <x v="0"/>
    <x v="0"/>
    <x v="6"/>
    <x v="10"/>
    <s v="NL_A"/>
    <x v="0"/>
    <s v="GNR_ST_COAL_CND_E-40"/>
    <x v="0"/>
    <x v="17"/>
    <n v="12187.5"/>
    <n v="4448437.5"/>
    <n v="16014375"/>
  </r>
  <r>
    <x v="0"/>
    <x v="0"/>
    <x v="0"/>
    <x v="6"/>
    <x v="10"/>
    <s v="NL_A"/>
    <x v="0"/>
    <s v="GNR_ST_COAL_CND_E-40"/>
    <x v="0"/>
    <x v="19"/>
    <n v="12187.5"/>
    <n v="4448437.5"/>
    <n v="16014375"/>
  </r>
  <r>
    <x v="0"/>
    <x v="0"/>
    <x v="0"/>
    <x v="6"/>
    <x v="10"/>
    <s v="NL_A"/>
    <x v="0"/>
    <s v="GNR_ST_COAL_CND_E-40"/>
    <x v="0"/>
    <x v="20"/>
    <n v="12187.5"/>
    <n v="4448437.5"/>
    <n v="16014375"/>
  </r>
  <r>
    <x v="0"/>
    <x v="0"/>
    <x v="0"/>
    <x v="6"/>
    <x v="10"/>
    <s v="NL_A"/>
    <x v="0"/>
    <s v="GNR_ST_COAL_CND_E-40"/>
    <x v="0"/>
    <x v="21"/>
    <n v="12187.5"/>
    <n v="4448437.5"/>
    <n v="16014375"/>
  </r>
  <r>
    <x v="0"/>
    <x v="0"/>
    <x v="0"/>
    <x v="6"/>
    <x v="10"/>
    <s v="NL_A"/>
    <x v="0"/>
    <s v="GNR_ST_COAL_CND_E-40"/>
    <x v="0"/>
    <x v="22"/>
    <n v="12187.5"/>
    <n v="4448437.5"/>
    <n v="16014375"/>
  </r>
  <r>
    <x v="0"/>
    <x v="0"/>
    <x v="0"/>
    <x v="6"/>
    <x v="10"/>
    <s v="NL_A"/>
    <x v="0"/>
    <s v="GNR_ST_COAL_CND_E-40"/>
    <x v="0"/>
    <x v="23"/>
    <n v="12187.5"/>
    <n v="4448437.5"/>
    <n v="16014375"/>
  </r>
  <r>
    <x v="0"/>
    <x v="0"/>
    <x v="0"/>
    <x v="6"/>
    <x v="10"/>
    <s v="NL_A"/>
    <x v="2"/>
    <s v="GNR_ST_MSW_CND_E-40"/>
    <x v="0"/>
    <x v="0"/>
    <n v="1710"/>
    <n v="624150"/>
    <n v="2246940"/>
  </r>
  <r>
    <x v="0"/>
    <x v="0"/>
    <x v="0"/>
    <x v="6"/>
    <x v="10"/>
    <s v="NL_A"/>
    <x v="2"/>
    <s v="GNR_ST_MSW_CND_E-40"/>
    <x v="0"/>
    <x v="1"/>
    <n v="1710"/>
    <n v="624150"/>
    <n v="2246940"/>
  </r>
  <r>
    <x v="0"/>
    <x v="0"/>
    <x v="0"/>
    <x v="6"/>
    <x v="10"/>
    <s v="NL_A"/>
    <x v="2"/>
    <s v="GNR_ST_MSW_CND_E-40"/>
    <x v="0"/>
    <x v="2"/>
    <n v="1710"/>
    <n v="624150"/>
    <n v="2246940"/>
  </r>
  <r>
    <x v="0"/>
    <x v="0"/>
    <x v="0"/>
    <x v="6"/>
    <x v="10"/>
    <s v="NL_A"/>
    <x v="2"/>
    <s v="GNR_ST_MSW_CND_E-40"/>
    <x v="0"/>
    <x v="3"/>
    <n v="1710"/>
    <n v="624150"/>
    <n v="2246940"/>
  </r>
  <r>
    <x v="0"/>
    <x v="0"/>
    <x v="0"/>
    <x v="6"/>
    <x v="10"/>
    <s v="NL_A"/>
    <x v="2"/>
    <s v="GNR_ST_MSW_CND_E-40"/>
    <x v="0"/>
    <x v="18"/>
    <n v="1710"/>
    <n v="624150"/>
    <n v="2246940"/>
  </r>
  <r>
    <x v="0"/>
    <x v="0"/>
    <x v="0"/>
    <x v="6"/>
    <x v="10"/>
    <s v="NL_A"/>
    <x v="2"/>
    <s v="GNR_ST_MSW_CND_E-40"/>
    <x v="0"/>
    <x v="4"/>
    <n v="1710"/>
    <n v="624150"/>
    <n v="2246940"/>
  </r>
  <r>
    <x v="0"/>
    <x v="0"/>
    <x v="0"/>
    <x v="6"/>
    <x v="10"/>
    <s v="NL_A"/>
    <x v="2"/>
    <s v="GNR_ST_MSW_CND_E-40"/>
    <x v="0"/>
    <x v="5"/>
    <n v="1710"/>
    <n v="624150"/>
    <n v="2246940"/>
  </r>
  <r>
    <x v="0"/>
    <x v="0"/>
    <x v="0"/>
    <x v="6"/>
    <x v="10"/>
    <s v="NL_A"/>
    <x v="2"/>
    <s v="GNR_ST_MSW_CND_E-40"/>
    <x v="0"/>
    <x v="6"/>
    <n v="1710"/>
    <n v="624150"/>
    <n v="2246940"/>
  </r>
  <r>
    <x v="0"/>
    <x v="0"/>
    <x v="0"/>
    <x v="6"/>
    <x v="10"/>
    <s v="NL_A"/>
    <x v="2"/>
    <s v="GNR_ST_MSW_CND_E-40"/>
    <x v="0"/>
    <x v="7"/>
    <n v="1710"/>
    <n v="624150"/>
    <n v="2246940"/>
  </r>
  <r>
    <x v="0"/>
    <x v="0"/>
    <x v="0"/>
    <x v="6"/>
    <x v="10"/>
    <s v="NL_A"/>
    <x v="2"/>
    <s v="GNR_ST_MSW_CND_E-40"/>
    <x v="0"/>
    <x v="8"/>
    <n v="1710"/>
    <n v="624150"/>
    <n v="2246940"/>
  </r>
  <r>
    <x v="0"/>
    <x v="0"/>
    <x v="0"/>
    <x v="6"/>
    <x v="10"/>
    <s v="NL_A"/>
    <x v="2"/>
    <s v="GNR_ST_MSW_CND_E-40"/>
    <x v="0"/>
    <x v="9"/>
    <n v="1710"/>
    <n v="624150"/>
    <n v="2246940"/>
  </r>
  <r>
    <x v="0"/>
    <x v="0"/>
    <x v="0"/>
    <x v="6"/>
    <x v="10"/>
    <s v="NL_A"/>
    <x v="2"/>
    <s v="GNR_ST_MSW_CND_E-40"/>
    <x v="0"/>
    <x v="10"/>
    <n v="1710"/>
    <n v="624150"/>
    <n v="2246940"/>
  </r>
  <r>
    <x v="0"/>
    <x v="0"/>
    <x v="0"/>
    <x v="6"/>
    <x v="10"/>
    <s v="NL_A"/>
    <x v="2"/>
    <s v="GNR_ST_MSW_CND_E-40"/>
    <x v="0"/>
    <x v="11"/>
    <n v="1710"/>
    <n v="624150"/>
    <n v="2246940"/>
  </r>
  <r>
    <x v="0"/>
    <x v="0"/>
    <x v="0"/>
    <x v="6"/>
    <x v="10"/>
    <s v="NL_A"/>
    <x v="2"/>
    <s v="GNR_ST_MSW_CND_E-40"/>
    <x v="0"/>
    <x v="12"/>
    <n v="1710"/>
    <n v="624150"/>
    <n v="2246940"/>
  </r>
  <r>
    <x v="0"/>
    <x v="0"/>
    <x v="0"/>
    <x v="6"/>
    <x v="10"/>
    <s v="NL_A"/>
    <x v="2"/>
    <s v="GNR_ST_MSW_CND_E-40"/>
    <x v="0"/>
    <x v="13"/>
    <n v="1710"/>
    <n v="624150"/>
    <n v="2246940"/>
  </r>
  <r>
    <x v="0"/>
    <x v="0"/>
    <x v="0"/>
    <x v="6"/>
    <x v="10"/>
    <s v="NL_A"/>
    <x v="2"/>
    <s v="GNR_ST_MSW_CND_E-40"/>
    <x v="0"/>
    <x v="14"/>
    <n v="1710"/>
    <n v="624150"/>
    <n v="2246940"/>
  </r>
  <r>
    <x v="0"/>
    <x v="0"/>
    <x v="0"/>
    <x v="6"/>
    <x v="10"/>
    <s v="NL_A"/>
    <x v="2"/>
    <s v="GNR_ST_MSW_CND_E-40"/>
    <x v="0"/>
    <x v="15"/>
    <n v="1710"/>
    <n v="624150"/>
    <n v="2246940"/>
  </r>
  <r>
    <x v="0"/>
    <x v="0"/>
    <x v="0"/>
    <x v="6"/>
    <x v="10"/>
    <s v="NL_A"/>
    <x v="2"/>
    <s v="GNR_ST_MSW_CND_E-40"/>
    <x v="0"/>
    <x v="16"/>
    <n v="1710"/>
    <n v="624150"/>
    <n v="2246940"/>
  </r>
  <r>
    <x v="0"/>
    <x v="0"/>
    <x v="0"/>
    <x v="6"/>
    <x v="10"/>
    <s v="NL_A"/>
    <x v="2"/>
    <s v="GNR_ST_MSW_CND_E-40"/>
    <x v="0"/>
    <x v="17"/>
    <n v="1710"/>
    <n v="624150"/>
    <n v="2246940"/>
  </r>
  <r>
    <x v="0"/>
    <x v="0"/>
    <x v="0"/>
    <x v="6"/>
    <x v="10"/>
    <s v="NL_A"/>
    <x v="2"/>
    <s v="GNR_ST_MSW_CND_E-40"/>
    <x v="0"/>
    <x v="19"/>
    <n v="1710"/>
    <n v="624150"/>
    <n v="2246940"/>
  </r>
  <r>
    <x v="0"/>
    <x v="0"/>
    <x v="0"/>
    <x v="6"/>
    <x v="10"/>
    <s v="NL_A"/>
    <x v="2"/>
    <s v="GNR_ST_MSW_CND_E-40"/>
    <x v="0"/>
    <x v="20"/>
    <n v="1710"/>
    <n v="624150"/>
    <n v="2246940"/>
  </r>
  <r>
    <x v="0"/>
    <x v="0"/>
    <x v="0"/>
    <x v="6"/>
    <x v="10"/>
    <s v="NL_A"/>
    <x v="2"/>
    <s v="GNR_ST_MSW_CND_E-40"/>
    <x v="0"/>
    <x v="21"/>
    <n v="1710"/>
    <n v="624150"/>
    <n v="2246940"/>
  </r>
  <r>
    <x v="0"/>
    <x v="0"/>
    <x v="0"/>
    <x v="6"/>
    <x v="10"/>
    <s v="NL_A"/>
    <x v="2"/>
    <s v="GNR_ST_MSW_CND_E-40"/>
    <x v="0"/>
    <x v="22"/>
    <n v="1710"/>
    <n v="624150"/>
    <n v="2246940"/>
  </r>
  <r>
    <x v="0"/>
    <x v="0"/>
    <x v="0"/>
    <x v="6"/>
    <x v="10"/>
    <s v="NL_A"/>
    <x v="2"/>
    <s v="GNR_ST_MSW_CND_E-40"/>
    <x v="0"/>
    <x v="23"/>
    <n v="1710"/>
    <n v="624150"/>
    <n v="2246940"/>
  </r>
  <r>
    <x v="0"/>
    <x v="0"/>
    <x v="0"/>
    <x v="6"/>
    <x v="10"/>
    <s v="NL_A"/>
    <x v="3"/>
    <s v="GNR_CC_NGAS_CND_E-38"/>
    <x v="0"/>
    <x v="16"/>
    <n v="1839.7873977685099"/>
    <n v="671522.40018550504"/>
    <n v="2417480.6406678199"/>
  </r>
  <r>
    <x v="0"/>
    <x v="0"/>
    <x v="0"/>
    <x v="6"/>
    <x v="10"/>
    <s v="NL_A"/>
    <x v="15"/>
    <s v="GNR_ST_NUCL_CND_E-33"/>
    <x v="0"/>
    <x v="0"/>
    <n v="1560.6060606060601"/>
    <n v="569621.21212121204"/>
    <n v="2050636.36363636"/>
  </r>
  <r>
    <x v="0"/>
    <x v="0"/>
    <x v="0"/>
    <x v="6"/>
    <x v="10"/>
    <s v="NL_A"/>
    <x v="15"/>
    <s v="GNR_ST_NUCL_CND_E-33"/>
    <x v="0"/>
    <x v="1"/>
    <n v="1560.6060606060601"/>
    <n v="569621.21212121204"/>
    <n v="2050636.36363636"/>
  </r>
  <r>
    <x v="0"/>
    <x v="0"/>
    <x v="0"/>
    <x v="6"/>
    <x v="10"/>
    <s v="NL_A"/>
    <x v="15"/>
    <s v="GNR_ST_NUCL_CND_E-33"/>
    <x v="0"/>
    <x v="2"/>
    <n v="1560.6060606060601"/>
    <n v="569621.21212121204"/>
    <n v="2050636.36363636"/>
  </r>
  <r>
    <x v="0"/>
    <x v="0"/>
    <x v="0"/>
    <x v="6"/>
    <x v="10"/>
    <s v="NL_A"/>
    <x v="15"/>
    <s v="GNR_ST_NUCL_CND_E-33"/>
    <x v="0"/>
    <x v="3"/>
    <n v="1560.6060606060601"/>
    <n v="569621.21212121204"/>
    <n v="2050636.36363636"/>
  </r>
  <r>
    <x v="0"/>
    <x v="0"/>
    <x v="0"/>
    <x v="6"/>
    <x v="10"/>
    <s v="NL_A"/>
    <x v="15"/>
    <s v="GNR_ST_NUCL_CND_E-33"/>
    <x v="0"/>
    <x v="18"/>
    <n v="1560.6060606060601"/>
    <n v="569621.21212121204"/>
    <n v="2050636.36363636"/>
  </r>
  <r>
    <x v="0"/>
    <x v="0"/>
    <x v="0"/>
    <x v="6"/>
    <x v="10"/>
    <s v="NL_A"/>
    <x v="15"/>
    <s v="GNR_ST_NUCL_CND_E-33"/>
    <x v="0"/>
    <x v="4"/>
    <n v="1560.6060606060601"/>
    <n v="569621.21212121204"/>
    <n v="2050636.36363636"/>
  </r>
  <r>
    <x v="0"/>
    <x v="0"/>
    <x v="0"/>
    <x v="6"/>
    <x v="10"/>
    <s v="NL_A"/>
    <x v="15"/>
    <s v="GNR_ST_NUCL_CND_E-33"/>
    <x v="0"/>
    <x v="5"/>
    <n v="1560.6060606060601"/>
    <n v="569621.21212121204"/>
    <n v="2050636.36363636"/>
  </r>
  <r>
    <x v="0"/>
    <x v="0"/>
    <x v="0"/>
    <x v="6"/>
    <x v="10"/>
    <s v="NL_A"/>
    <x v="15"/>
    <s v="GNR_ST_NUCL_CND_E-33"/>
    <x v="0"/>
    <x v="6"/>
    <n v="1560.6060606060601"/>
    <n v="569621.21212121204"/>
    <n v="2050636.36363636"/>
  </r>
  <r>
    <x v="0"/>
    <x v="0"/>
    <x v="0"/>
    <x v="6"/>
    <x v="10"/>
    <s v="NL_A"/>
    <x v="15"/>
    <s v="GNR_ST_NUCL_CND_E-33"/>
    <x v="0"/>
    <x v="7"/>
    <n v="1560.6060606060601"/>
    <n v="569621.21212121204"/>
    <n v="2050636.36363636"/>
  </r>
  <r>
    <x v="0"/>
    <x v="0"/>
    <x v="0"/>
    <x v="6"/>
    <x v="10"/>
    <s v="NL_A"/>
    <x v="15"/>
    <s v="GNR_ST_NUCL_CND_E-33"/>
    <x v="0"/>
    <x v="8"/>
    <n v="1560.6060606060601"/>
    <n v="569621.21212121204"/>
    <n v="2050636.36363636"/>
  </r>
  <r>
    <x v="0"/>
    <x v="0"/>
    <x v="0"/>
    <x v="6"/>
    <x v="10"/>
    <s v="NL_A"/>
    <x v="15"/>
    <s v="GNR_ST_NUCL_CND_E-33"/>
    <x v="0"/>
    <x v="9"/>
    <n v="1560.6060606060601"/>
    <n v="569621.21212121204"/>
    <n v="2050636.36363636"/>
  </r>
  <r>
    <x v="0"/>
    <x v="0"/>
    <x v="0"/>
    <x v="6"/>
    <x v="10"/>
    <s v="NL_A"/>
    <x v="15"/>
    <s v="GNR_ST_NUCL_CND_E-33"/>
    <x v="0"/>
    <x v="10"/>
    <n v="1560.6060606060601"/>
    <n v="569621.21212121204"/>
    <n v="2050636.36363636"/>
  </r>
  <r>
    <x v="0"/>
    <x v="0"/>
    <x v="0"/>
    <x v="6"/>
    <x v="10"/>
    <s v="NL_A"/>
    <x v="15"/>
    <s v="GNR_ST_NUCL_CND_E-33"/>
    <x v="0"/>
    <x v="11"/>
    <n v="1560.6060606060601"/>
    <n v="569621.21212121204"/>
    <n v="2050636.36363636"/>
  </r>
  <r>
    <x v="0"/>
    <x v="0"/>
    <x v="0"/>
    <x v="6"/>
    <x v="10"/>
    <s v="NL_A"/>
    <x v="15"/>
    <s v="GNR_ST_NUCL_CND_E-33"/>
    <x v="0"/>
    <x v="12"/>
    <n v="1560.6060606060601"/>
    <n v="569621.21212121204"/>
    <n v="2050636.36363636"/>
  </r>
  <r>
    <x v="0"/>
    <x v="0"/>
    <x v="0"/>
    <x v="6"/>
    <x v="10"/>
    <s v="NL_A"/>
    <x v="15"/>
    <s v="GNR_ST_NUCL_CND_E-33"/>
    <x v="0"/>
    <x v="13"/>
    <n v="1560.6060606060601"/>
    <n v="569621.21212121204"/>
    <n v="2050636.36363636"/>
  </r>
  <r>
    <x v="0"/>
    <x v="0"/>
    <x v="0"/>
    <x v="6"/>
    <x v="10"/>
    <s v="NL_A"/>
    <x v="15"/>
    <s v="GNR_ST_NUCL_CND_E-33"/>
    <x v="0"/>
    <x v="14"/>
    <n v="1560.6060606060601"/>
    <n v="569621.21212121204"/>
    <n v="2050636.36363636"/>
  </r>
  <r>
    <x v="0"/>
    <x v="0"/>
    <x v="0"/>
    <x v="6"/>
    <x v="10"/>
    <s v="NL_A"/>
    <x v="15"/>
    <s v="GNR_ST_NUCL_CND_E-33"/>
    <x v="0"/>
    <x v="15"/>
    <n v="1560.6060606060601"/>
    <n v="569621.21212121204"/>
    <n v="2050636.36363636"/>
  </r>
  <r>
    <x v="0"/>
    <x v="0"/>
    <x v="0"/>
    <x v="6"/>
    <x v="10"/>
    <s v="NL_A"/>
    <x v="15"/>
    <s v="GNR_ST_NUCL_CND_E-33"/>
    <x v="0"/>
    <x v="16"/>
    <n v="1560.6060606060601"/>
    <n v="569621.21212121204"/>
    <n v="2050636.36363636"/>
  </r>
  <r>
    <x v="0"/>
    <x v="0"/>
    <x v="0"/>
    <x v="6"/>
    <x v="10"/>
    <s v="NL_A"/>
    <x v="15"/>
    <s v="GNR_ST_NUCL_CND_E-33"/>
    <x v="0"/>
    <x v="17"/>
    <n v="1560.6060606060601"/>
    <n v="569621.21212121204"/>
    <n v="2050636.36363636"/>
  </r>
  <r>
    <x v="0"/>
    <x v="0"/>
    <x v="0"/>
    <x v="6"/>
    <x v="10"/>
    <s v="NL_A"/>
    <x v="15"/>
    <s v="GNR_ST_NUCL_CND_E-33"/>
    <x v="0"/>
    <x v="19"/>
    <n v="1560.6060606060601"/>
    <n v="569621.21212121204"/>
    <n v="2050636.36363636"/>
  </r>
  <r>
    <x v="0"/>
    <x v="0"/>
    <x v="0"/>
    <x v="6"/>
    <x v="10"/>
    <s v="NL_A"/>
    <x v="15"/>
    <s v="GNR_ST_NUCL_CND_E-33"/>
    <x v="0"/>
    <x v="20"/>
    <n v="1560.6060606060601"/>
    <n v="569621.21212121204"/>
    <n v="2050636.36363636"/>
  </r>
  <r>
    <x v="0"/>
    <x v="0"/>
    <x v="0"/>
    <x v="6"/>
    <x v="10"/>
    <s v="NL_A"/>
    <x v="15"/>
    <s v="GNR_ST_NUCL_CND_E-33"/>
    <x v="0"/>
    <x v="21"/>
    <n v="1560.6060606060601"/>
    <n v="569621.21212121204"/>
    <n v="2050636.36363636"/>
  </r>
  <r>
    <x v="0"/>
    <x v="0"/>
    <x v="0"/>
    <x v="6"/>
    <x v="10"/>
    <s v="NL_A"/>
    <x v="15"/>
    <s v="GNR_ST_NUCL_CND_E-33"/>
    <x v="0"/>
    <x v="22"/>
    <n v="1560.6060606060601"/>
    <n v="569621.21212121204"/>
    <n v="2050636.36363636"/>
  </r>
  <r>
    <x v="0"/>
    <x v="0"/>
    <x v="0"/>
    <x v="6"/>
    <x v="10"/>
    <s v="NL_A"/>
    <x v="15"/>
    <s v="GNR_ST_NUCL_CND_E-33"/>
    <x v="0"/>
    <x v="23"/>
    <n v="1560.6060606060601"/>
    <n v="569621.21212121204"/>
    <n v="2050636.36363636"/>
  </r>
  <r>
    <x v="0"/>
    <x v="0"/>
    <x v="0"/>
    <x v="6"/>
    <x v="10"/>
    <s v="NL_A"/>
    <x v="6"/>
    <s v="GNR_PV_SUN"/>
    <x v="0"/>
    <x v="7"/>
    <n v="16.883927773781998"/>
    <n v="6162.6336374304401"/>
    <n v="22185.481094749601"/>
  </r>
  <r>
    <x v="0"/>
    <x v="0"/>
    <x v="0"/>
    <x v="6"/>
    <x v="10"/>
    <s v="NL_A"/>
    <x v="6"/>
    <s v="GNR_PV_SUN"/>
    <x v="0"/>
    <x v="8"/>
    <n v="127.105671650831"/>
    <n v="46393.5701525533"/>
    <n v="167016.852549192"/>
  </r>
  <r>
    <x v="0"/>
    <x v="0"/>
    <x v="0"/>
    <x v="6"/>
    <x v="10"/>
    <s v="NL_A"/>
    <x v="6"/>
    <s v="GNR_PV_SUN"/>
    <x v="0"/>
    <x v="9"/>
    <n v="293.60717477382002"/>
    <n v="107166.618792444"/>
    <n v="385799.82765279902"/>
  </r>
  <r>
    <x v="0"/>
    <x v="0"/>
    <x v="0"/>
    <x v="6"/>
    <x v="10"/>
    <s v="NL_A"/>
    <x v="6"/>
    <s v="GNR_PV_SUN"/>
    <x v="0"/>
    <x v="10"/>
    <n v="447.12104114774598"/>
    <n v="163199.180018927"/>
    <n v="587517.04806813796"/>
  </r>
  <r>
    <x v="0"/>
    <x v="0"/>
    <x v="0"/>
    <x v="6"/>
    <x v="10"/>
    <s v="NL_A"/>
    <x v="6"/>
    <s v="GNR_PV_SUN"/>
    <x v="0"/>
    <x v="11"/>
    <n v="508.33610235832998"/>
    <n v="185542.67736079"/>
    <n v="667953.63849884504"/>
  </r>
  <r>
    <x v="0"/>
    <x v="0"/>
    <x v="0"/>
    <x v="6"/>
    <x v="10"/>
    <s v="NL_A"/>
    <x v="6"/>
    <s v="GNR_PV_SUN"/>
    <x v="0"/>
    <x v="12"/>
    <n v="442.01257069311401"/>
    <n v="161334.58830298699"/>
    <n v="580804.51789075194"/>
  </r>
  <r>
    <x v="0"/>
    <x v="0"/>
    <x v="0"/>
    <x v="6"/>
    <x v="10"/>
    <s v="NL_A"/>
    <x v="6"/>
    <s v="GNR_PV_SUN"/>
    <x v="0"/>
    <x v="13"/>
    <n v="287.63286186925097"/>
    <n v="104985.994582277"/>
    <n v="377949.58049619599"/>
  </r>
  <r>
    <x v="0"/>
    <x v="0"/>
    <x v="0"/>
    <x v="6"/>
    <x v="10"/>
    <s v="NL_A"/>
    <x v="6"/>
    <s v="GNR_PV_SUN"/>
    <x v="0"/>
    <x v="14"/>
    <n v="145.634700079494"/>
    <n v="53156.665529015401"/>
    <n v="191363.99590445499"/>
  </r>
  <r>
    <x v="0"/>
    <x v="0"/>
    <x v="0"/>
    <x v="6"/>
    <x v="10"/>
    <s v="NL_A"/>
    <x v="6"/>
    <s v="GNR_PV_SUN"/>
    <x v="0"/>
    <x v="15"/>
    <n v="18.9619496536321"/>
    <n v="6921.1116235757299"/>
    <n v="24916.0018448726"/>
  </r>
  <r>
    <x v="0"/>
    <x v="0"/>
    <x v="0"/>
    <x v="6"/>
    <x v="10"/>
    <s v="NL_A"/>
    <x v="7"/>
    <s v="GNR_ROR_WTR"/>
    <x v="0"/>
    <x v="0"/>
    <n v="18.219178082191799"/>
    <n v="6650"/>
    <n v="23940"/>
  </r>
  <r>
    <x v="0"/>
    <x v="0"/>
    <x v="0"/>
    <x v="6"/>
    <x v="10"/>
    <s v="NL_A"/>
    <x v="7"/>
    <s v="GNR_ROR_WTR"/>
    <x v="0"/>
    <x v="1"/>
    <n v="18.219178082191799"/>
    <n v="6650"/>
    <n v="23940"/>
  </r>
  <r>
    <x v="0"/>
    <x v="0"/>
    <x v="0"/>
    <x v="6"/>
    <x v="10"/>
    <s v="NL_A"/>
    <x v="7"/>
    <s v="GNR_ROR_WTR"/>
    <x v="0"/>
    <x v="2"/>
    <n v="18.219178082191799"/>
    <n v="6650"/>
    <n v="23940"/>
  </r>
  <r>
    <x v="0"/>
    <x v="0"/>
    <x v="0"/>
    <x v="6"/>
    <x v="10"/>
    <s v="NL_A"/>
    <x v="7"/>
    <s v="GNR_ROR_WTR"/>
    <x v="0"/>
    <x v="3"/>
    <n v="18.219178082191799"/>
    <n v="6650"/>
    <n v="23940"/>
  </r>
  <r>
    <x v="0"/>
    <x v="0"/>
    <x v="0"/>
    <x v="6"/>
    <x v="10"/>
    <s v="NL_A"/>
    <x v="7"/>
    <s v="GNR_ROR_WTR"/>
    <x v="0"/>
    <x v="18"/>
    <n v="18.219178082191799"/>
    <n v="6650"/>
    <n v="23940"/>
  </r>
  <r>
    <x v="0"/>
    <x v="0"/>
    <x v="0"/>
    <x v="6"/>
    <x v="10"/>
    <s v="NL_A"/>
    <x v="7"/>
    <s v="GNR_ROR_WTR"/>
    <x v="0"/>
    <x v="4"/>
    <n v="18.219178082191799"/>
    <n v="6650"/>
    <n v="23940"/>
  </r>
  <r>
    <x v="0"/>
    <x v="0"/>
    <x v="0"/>
    <x v="6"/>
    <x v="10"/>
    <s v="NL_A"/>
    <x v="7"/>
    <s v="GNR_ROR_WTR"/>
    <x v="0"/>
    <x v="5"/>
    <n v="18.219178082191799"/>
    <n v="6650"/>
    <n v="23940"/>
  </r>
  <r>
    <x v="0"/>
    <x v="0"/>
    <x v="0"/>
    <x v="6"/>
    <x v="10"/>
    <s v="NL_A"/>
    <x v="7"/>
    <s v="GNR_ROR_WTR"/>
    <x v="0"/>
    <x v="6"/>
    <n v="18.219178082191799"/>
    <n v="6650"/>
    <n v="23940"/>
  </r>
  <r>
    <x v="0"/>
    <x v="0"/>
    <x v="0"/>
    <x v="6"/>
    <x v="10"/>
    <s v="NL_A"/>
    <x v="7"/>
    <s v="GNR_ROR_WTR"/>
    <x v="0"/>
    <x v="7"/>
    <n v="18.219178082191799"/>
    <n v="6650"/>
    <n v="23940"/>
  </r>
  <r>
    <x v="0"/>
    <x v="0"/>
    <x v="0"/>
    <x v="6"/>
    <x v="10"/>
    <s v="NL_A"/>
    <x v="7"/>
    <s v="GNR_ROR_WTR"/>
    <x v="0"/>
    <x v="8"/>
    <n v="18.219178082191799"/>
    <n v="6650"/>
    <n v="23940"/>
  </r>
  <r>
    <x v="0"/>
    <x v="0"/>
    <x v="0"/>
    <x v="6"/>
    <x v="10"/>
    <s v="NL_A"/>
    <x v="7"/>
    <s v="GNR_ROR_WTR"/>
    <x v="0"/>
    <x v="9"/>
    <n v="18.219178082191799"/>
    <n v="6650"/>
    <n v="23940"/>
  </r>
  <r>
    <x v="0"/>
    <x v="0"/>
    <x v="0"/>
    <x v="6"/>
    <x v="10"/>
    <s v="NL_A"/>
    <x v="7"/>
    <s v="GNR_ROR_WTR"/>
    <x v="0"/>
    <x v="10"/>
    <n v="18.219178082191799"/>
    <n v="6650"/>
    <n v="23940"/>
  </r>
  <r>
    <x v="0"/>
    <x v="0"/>
    <x v="0"/>
    <x v="6"/>
    <x v="10"/>
    <s v="NL_A"/>
    <x v="7"/>
    <s v="GNR_ROR_WTR"/>
    <x v="0"/>
    <x v="11"/>
    <n v="18.219178082191799"/>
    <n v="6650"/>
    <n v="23940"/>
  </r>
  <r>
    <x v="0"/>
    <x v="0"/>
    <x v="0"/>
    <x v="6"/>
    <x v="10"/>
    <s v="NL_A"/>
    <x v="7"/>
    <s v="GNR_ROR_WTR"/>
    <x v="0"/>
    <x v="12"/>
    <n v="18.219178082191799"/>
    <n v="6650"/>
    <n v="23940"/>
  </r>
  <r>
    <x v="0"/>
    <x v="0"/>
    <x v="0"/>
    <x v="6"/>
    <x v="10"/>
    <s v="NL_A"/>
    <x v="7"/>
    <s v="GNR_ROR_WTR"/>
    <x v="0"/>
    <x v="13"/>
    <n v="18.219178082191799"/>
    <n v="6650"/>
    <n v="23940"/>
  </r>
  <r>
    <x v="0"/>
    <x v="0"/>
    <x v="0"/>
    <x v="6"/>
    <x v="10"/>
    <s v="NL_A"/>
    <x v="7"/>
    <s v="GNR_ROR_WTR"/>
    <x v="0"/>
    <x v="14"/>
    <n v="18.219178082191799"/>
    <n v="6650"/>
    <n v="23940"/>
  </r>
  <r>
    <x v="0"/>
    <x v="0"/>
    <x v="0"/>
    <x v="6"/>
    <x v="10"/>
    <s v="NL_A"/>
    <x v="7"/>
    <s v="GNR_ROR_WTR"/>
    <x v="0"/>
    <x v="15"/>
    <n v="18.219178082191799"/>
    <n v="6650"/>
    <n v="23940"/>
  </r>
  <r>
    <x v="0"/>
    <x v="0"/>
    <x v="0"/>
    <x v="6"/>
    <x v="10"/>
    <s v="NL_A"/>
    <x v="7"/>
    <s v="GNR_ROR_WTR"/>
    <x v="0"/>
    <x v="16"/>
    <n v="18.219178082191799"/>
    <n v="6650"/>
    <n v="23940"/>
  </r>
  <r>
    <x v="0"/>
    <x v="0"/>
    <x v="0"/>
    <x v="6"/>
    <x v="10"/>
    <s v="NL_A"/>
    <x v="7"/>
    <s v="GNR_ROR_WTR"/>
    <x v="0"/>
    <x v="17"/>
    <n v="18.219178082191799"/>
    <n v="6650"/>
    <n v="23940"/>
  </r>
  <r>
    <x v="0"/>
    <x v="0"/>
    <x v="0"/>
    <x v="6"/>
    <x v="10"/>
    <s v="NL_A"/>
    <x v="7"/>
    <s v="GNR_ROR_WTR"/>
    <x v="0"/>
    <x v="19"/>
    <n v="18.219178082191799"/>
    <n v="6650"/>
    <n v="23940"/>
  </r>
  <r>
    <x v="0"/>
    <x v="0"/>
    <x v="0"/>
    <x v="6"/>
    <x v="10"/>
    <s v="NL_A"/>
    <x v="7"/>
    <s v="GNR_ROR_WTR"/>
    <x v="0"/>
    <x v="20"/>
    <n v="18.219178082191799"/>
    <n v="6650"/>
    <n v="23940"/>
  </r>
  <r>
    <x v="0"/>
    <x v="0"/>
    <x v="0"/>
    <x v="6"/>
    <x v="10"/>
    <s v="NL_A"/>
    <x v="7"/>
    <s v="GNR_ROR_WTR"/>
    <x v="0"/>
    <x v="21"/>
    <n v="18.219178082191799"/>
    <n v="6650"/>
    <n v="23940"/>
  </r>
  <r>
    <x v="0"/>
    <x v="0"/>
    <x v="0"/>
    <x v="6"/>
    <x v="10"/>
    <s v="NL_A"/>
    <x v="7"/>
    <s v="GNR_ROR_WTR"/>
    <x v="0"/>
    <x v="22"/>
    <n v="18.219178082191799"/>
    <n v="6650"/>
    <n v="23940"/>
  </r>
  <r>
    <x v="0"/>
    <x v="0"/>
    <x v="0"/>
    <x v="6"/>
    <x v="10"/>
    <s v="NL_A"/>
    <x v="7"/>
    <s v="GNR_ROR_WTR"/>
    <x v="0"/>
    <x v="23"/>
    <n v="18.219178082191799"/>
    <n v="6650"/>
    <n v="23940"/>
  </r>
  <r>
    <x v="0"/>
    <x v="0"/>
    <x v="0"/>
    <x v="6"/>
    <x v="10"/>
    <s v="NL_A"/>
    <x v="8"/>
    <s v="GNR_WT_WIND_OFF"/>
    <x v="0"/>
    <x v="0"/>
    <n v="55.210607732886402"/>
    <n v="20151.871822503501"/>
    <n v="72546.738561012695"/>
  </r>
  <r>
    <x v="0"/>
    <x v="0"/>
    <x v="0"/>
    <x v="6"/>
    <x v="10"/>
    <s v="NL_A"/>
    <x v="8"/>
    <s v="GNR_WT_WIND_OFF"/>
    <x v="0"/>
    <x v="1"/>
    <n v="65.846739402838594"/>
    <n v="24034.059882036101"/>
    <n v="86522.615575329895"/>
  </r>
  <r>
    <x v="0"/>
    <x v="0"/>
    <x v="0"/>
    <x v="6"/>
    <x v="10"/>
    <s v="NL_A"/>
    <x v="8"/>
    <s v="GNR_WT_WIND_OFF"/>
    <x v="0"/>
    <x v="2"/>
    <n v="62.482647804815798"/>
    <n v="22806.166448757798"/>
    <n v="82102.1992155279"/>
  </r>
  <r>
    <x v="0"/>
    <x v="0"/>
    <x v="0"/>
    <x v="6"/>
    <x v="10"/>
    <s v="NL_A"/>
    <x v="8"/>
    <s v="GNR_WT_WIND_OFF"/>
    <x v="0"/>
    <x v="3"/>
    <n v="65.283828522886694"/>
    <n v="23828.597410853701"/>
    <n v="85782.950679073198"/>
  </r>
  <r>
    <x v="0"/>
    <x v="0"/>
    <x v="0"/>
    <x v="6"/>
    <x v="10"/>
    <s v="NL_A"/>
    <x v="8"/>
    <s v="GNR_WT_WIND_OFF"/>
    <x v="0"/>
    <x v="18"/>
    <n v="66.024935285789894"/>
    <n v="24099.101379313299"/>
    <n v="86756.764965527997"/>
  </r>
  <r>
    <x v="0"/>
    <x v="0"/>
    <x v="0"/>
    <x v="6"/>
    <x v="10"/>
    <s v="NL_A"/>
    <x v="8"/>
    <s v="GNR_WT_WIND_OFF"/>
    <x v="0"/>
    <x v="4"/>
    <n v="72.629332161629904"/>
    <n v="26509.706238994899"/>
    <n v="95434.942460381702"/>
  </r>
  <r>
    <x v="0"/>
    <x v="0"/>
    <x v="0"/>
    <x v="6"/>
    <x v="10"/>
    <s v="NL_A"/>
    <x v="8"/>
    <s v="GNR_WT_WIND_OFF"/>
    <x v="0"/>
    <x v="5"/>
    <n v="73.046463281610897"/>
    <n v="26661.959097788"/>
    <n v="95983.052752036703"/>
  </r>
  <r>
    <x v="0"/>
    <x v="0"/>
    <x v="0"/>
    <x v="6"/>
    <x v="10"/>
    <s v="NL_A"/>
    <x v="8"/>
    <s v="GNR_WT_WIND_OFF"/>
    <x v="0"/>
    <x v="6"/>
    <n v="69.881411624717998"/>
    <n v="25506.715243022099"/>
    <n v="91824.174874879405"/>
  </r>
  <r>
    <x v="0"/>
    <x v="0"/>
    <x v="0"/>
    <x v="6"/>
    <x v="10"/>
    <s v="NL_A"/>
    <x v="8"/>
    <s v="GNR_WT_WIND_OFF"/>
    <x v="0"/>
    <x v="7"/>
    <n v="67.221960515529702"/>
    <n v="24536.015588168299"/>
    <n v="88329.656117406004"/>
  </r>
  <r>
    <x v="0"/>
    <x v="0"/>
    <x v="0"/>
    <x v="6"/>
    <x v="10"/>
    <s v="NL_A"/>
    <x v="8"/>
    <s v="GNR_WT_WIND_OFF"/>
    <x v="0"/>
    <x v="8"/>
    <n v="69.778271541859795"/>
    <n v="25469.069112778801"/>
    <n v="91688.648806003694"/>
  </r>
  <r>
    <x v="0"/>
    <x v="0"/>
    <x v="0"/>
    <x v="6"/>
    <x v="10"/>
    <s v="NL_A"/>
    <x v="8"/>
    <s v="GNR_WT_WIND_OFF"/>
    <x v="0"/>
    <x v="9"/>
    <n v="77.2823203335453"/>
    <n v="28208.046921744"/>
    <n v="101548.968918278"/>
  </r>
  <r>
    <x v="0"/>
    <x v="0"/>
    <x v="0"/>
    <x v="6"/>
    <x v="10"/>
    <s v="NL_A"/>
    <x v="8"/>
    <s v="GNR_WT_WIND_OFF"/>
    <x v="0"/>
    <x v="10"/>
    <n v="83.1641453175679"/>
    <n v="30354.913040912299"/>
    <n v="109277.686947284"/>
  </r>
  <r>
    <x v="0"/>
    <x v="0"/>
    <x v="0"/>
    <x v="6"/>
    <x v="10"/>
    <s v="NL_A"/>
    <x v="8"/>
    <s v="GNR_WT_WIND_OFF"/>
    <x v="0"/>
    <x v="11"/>
    <n v="96.015989647794797"/>
    <n v="35045.836221445097"/>
    <n v="126165.010397202"/>
  </r>
  <r>
    <x v="0"/>
    <x v="0"/>
    <x v="0"/>
    <x v="6"/>
    <x v="10"/>
    <s v="NL_A"/>
    <x v="8"/>
    <s v="GNR_WT_WIND_OFF"/>
    <x v="0"/>
    <x v="12"/>
    <n v="107.03100511983401"/>
    <n v="39066.316868739297"/>
    <n v="140638.74072746199"/>
  </r>
  <r>
    <x v="0"/>
    <x v="0"/>
    <x v="0"/>
    <x v="6"/>
    <x v="10"/>
    <s v="NL_A"/>
    <x v="8"/>
    <s v="GNR_WT_WIND_OFF"/>
    <x v="0"/>
    <x v="13"/>
    <n v="125.81943584469499"/>
    <n v="45924.094083313801"/>
    <n v="165326.73869992999"/>
  </r>
  <r>
    <x v="0"/>
    <x v="0"/>
    <x v="0"/>
    <x v="6"/>
    <x v="10"/>
    <s v="NL_A"/>
    <x v="8"/>
    <s v="GNR_WT_WIND_OFF"/>
    <x v="0"/>
    <x v="14"/>
    <n v="124.939008092262"/>
    <n v="45602.737953675503"/>
    <n v="164169.856633232"/>
  </r>
  <r>
    <x v="0"/>
    <x v="0"/>
    <x v="0"/>
    <x v="6"/>
    <x v="10"/>
    <s v="NL_A"/>
    <x v="8"/>
    <s v="GNR_WT_WIND_OFF"/>
    <x v="0"/>
    <x v="15"/>
    <n v="114.15703361553901"/>
    <n v="41667.317269671701"/>
    <n v="150002.34217081801"/>
  </r>
  <r>
    <x v="0"/>
    <x v="0"/>
    <x v="0"/>
    <x v="6"/>
    <x v="10"/>
    <s v="NL_A"/>
    <x v="8"/>
    <s v="GNR_WT_WIND_OFF"/>
    <x v="0"/>
    <x v="16"/>
    <n v="104.019552043614"/>
    <n v="37967.136495919302"/>
    <n v="136681.69138530901"/>
  </r>
  <r>
    <x v="0"/>
    <x v="0"/>
    <x v="0"/>
    <x v="6"/>
    <x v="10"/>
    <s v="NL_A"/>
    <x v="8"/>
    <s v="GNR_WT_WIND_OFF"/>
    <x v="0"/>
    <x v="17"/>
    <n v="101.145821755729"/>
    <n v="36918.224940841101"/>
    <n v="132905.60978702799"/>
  </r>
  <r>
    <x v="0"/>
    <x v="0"/>
    <x v="0"/>
    <x v="6"/>
    <x v="10"/>
    <s v="NL_A"/>
    <x v="8"/>
    <s v="GNR_WT_WIND_OFF"/>
    <x v="0"/>
    <x v="19"/>
    <n v="91.281462727270196"/>
    <n v="33317.733895453603"/>
    <n v="119943.842023633"/>
  </r>
  <r>
    <x v="0"/>
    <x v="0"/>
    <x v="0"/>
    <x v="6"/>
    <x v="10"/>
    <s v="NL_A"/>
    <x v="8"/>
    <s v="GNR_WT_WIND_OFF"/>
    <x v="0"/>
    <x v="20"/>
    <n v="68.345742304648397"/>
    <n v="24946.1959411967"/>
    <n v="89806.305388307999"/>
  </r>
  <r>
    <x v="0"/>
    <x v="0"/>
    <x v="0"/>
    <x v="6"/>
    <x v="10"/>
    <s v="NL_A"/>
    <x v="8"/>
    <s v="GNR_WT_WIND_OFF"/>
    <x v="0"/>
    <x v="21"/>
    <n v="67.417655454694994"/>
    <n v="24607.444240963701"/>
    <n v="88586.799267469207"/>
  </r>
  <r>
    <x v="0"/>
    <x v="0"/>
    <x v="0"/>
    <x v="6"/>
    <x v="10"/>
    <s v="NL_A"/>
    <x v="8"/>
    <s v="GNR_WT_WIND_OFF"/>
    <x v="0"/>
    <x v="22"/>
    <n v="55.770778636800898"/>
    <n v="20356.334202432299"/>
    <n v="73282.803128756394"/>
  </r>
  <r>
    <x v="0"/>
    <x v="0"/>
    <x v="0"/>
    <x v="6"/>
    <x v="10"/>
    <s v="NL_A"/>
    <x v="8"/>
    <s v="GNR_WT_WIND_OFF"/>
    <x v="0"/>
    <x v="23"/>
    <n v="51.601111505412099"/>
    <n v="18834.405699475399"/>
    <n v="67803.860518111498"/>
  </r>
  <r>
    <x v="0"/>
    <x v="0"/>
    <x v="0"/>
    <x v="6"/>
    <x v="10"/>
    <s v="NL_A"/>
    <x v="8"/>
    <s v="GNR_WT_WIND_ONS"/>
    <x v="0"/>
    <x v="0"/>
    <n v="551.21197841821004"/>
    <n v="201192.37212264701"/>
    <n v="724292.53964152804"/>
  </r>
  <r>
    <x v="0"/>
    <x v="0"/>
    <x v="0"/>
    <x v="6"/>
    <x v="10"/>
    <s v="NL_A"/>
    <x v="8"/>
    <s v="GNR_WT_WIND_ONS"/>
    <x v="0"/>
    <x v="1"/>
    <n v="657.40105007044497"/>
    <n v="239951.383275712"/>
    <n v="863824.97979256499"/>
  </r>
  <r>
    <x v="0"/>
    <x v="0"/>
    <x v="0"/>
    <x v="6"/>
    <x v="10"/>
    <s v="NL_A"/>
    <x v="8"/>
    <s v="GNR_WT_WIND_ONS"/>
    <x v="0"/>
    <x v="2"/>
    <n v="623.81461330637899"/>
    <n v="227692.33385682901"/>
    <n v="819692.40188458306"/>
  </r>
  <r>
    <x v="0"/>
    <x v="0"/>
    <x v="0"/>
    <x v="6"/>
    <x v="10"/>
    <s v="NL_A"/>
    <x v="8"/>
    <s v="GNR_WT_WIND_ONS"/>
    <x v="0"/>
    <x v="3"/>
    <n v="651.78105723659405"/>
    <n v="237900.08589135701"/>
    <n v="856440.30920888402"/>
  </r>
  <r>
    <x v="0"/>
    <x v="0"/>
    <x v="0"/>
    <x v="6"/>
    <x v="10"/>
    <s v="NL_A"/>
    <x v="8"/>
    <s v="GNR_WT_WIND_ONS"/>
    <x v="0"/>
    <x v="18"/>
    <n v="659.18012313667202"/>
    <n v="240600.74494488499"/>
    <n v="866162.68180158699"/>
  </r>
  <r>
    <x v="0"/>
    <x v="0"/>
    <x v="0"/>
    <x v="6"/>
    <x v="10"/>
    <s v="NL_A"/>
    <x v="8"/>
    <s v="GNR_WT_WIND_ONS"/>
    <x v="0"/>
    <x v="4"/>
    <n v="725.11713809951095"/>
    <n v="264667.75540632202"/>
    <n v="952803.919462758"/>
  </r>
  <r>
    <x v="0"/>
    <x v="0"/>
    <x v="0"/>
    <x v="6"/>
    <x v="10"/>
    <s v="NL_A"/>
    <x v="8"/>
    <s v="GNR_WT_WIND_ONS"/>
    <x v="0"/>
    <x v="5"/>
    <n v="729.28169413948297"/>
    <n v="266187.81836091098"/>
    <n v="958276.14609928103"/>
  </r>
  <r>
    <x v="0"/>
    <x v="0"/>
    <x v="0"/>
    <x v="6"/>
    <x v="10"/>
    <s v="NL_A"/>
    <x v="8"/>
    <s v="GNR_WT_WIND_ONS"/>
    <x v="0"/>
    <x v="6"/>
    <n v="697.68243346783197"/>
    <n v="254654.08821575899"/>
    <n v="916754.71757673204"/>
  </r>
  <r>
    <x v="0"/>
    <x v="0"/>
    <x v="0"/>
    <x v="6"/>
    <x v="10"/>
    <s v="NL_A"/>
    <x v="8"/>
    <s v="GNR_WT_WIND_ONS"/>
    <x v="0"/>
    <x v="7"/>
    <n v="671.13099041010605"/>
    <n v="244962.81149968901"/>
    <n v="881866.12139887898"/>
  </r>
  <r>
    <x v="0"/>
    <x v="0"/>
    <x v="0"/>
    <x v="6"/>
    <x v="10"/>
    <s v="NL_A"/>
    <x v="8"/>
    <s v="GNR_WT_WIND_ONS"/>
    <x v="0"/>
    <x v="8"/>
    <n v="696.65270292399202"/>
    <n v="254278.236567257"/>
    <n v="915401.65164212603"/>
  </r>
  <r>
    <x v="0"/>
    <x v="0"/>
    <x v="0"/>
    <x v="6"/>
    <x v="10"/>
    <s v="NL_A"/>
    <x v="8"/>
    <s v="GNR_WT_WIND_ONS"/>
    <x v="0"/>
    <x v="9"/>
    <n v="771.57166778349199"/>
    <n v="281623.65874097502"/>
    <n v="1013845.1714675101"/>
  </r>
  <r>
    <x v="0"/>
    <x v="0"/>
    <x v="0"/>
    <x v="6"/>
    <x v="10"/>
    <s v="NL_A"/>
    <x v="8"/>
    <s v="GNR_WT_WIND_ONS"/>
    <x v="0"/>
    <x v="10"/>
    <n v="830.29466539725695"/>
    <n v="303057.55286999902"/>
    <n v="1091007.1903319999"/>
  </r>
  <r>
    <x v="0"/>
    <x v="0"/>
    <x v="0"/>
    <x v="6"/>
    <x v="10"/>
    <s v="NL_A"/>
    <x v="8"/>
    <s v="GNR_WT_WIND_ONS"/>
    <x v="0"/>
    <x v="11"/>
    <n v="958.60498166583704"/>
    <n v="349890.81830803101"/>
    <n v="1259606.9459089099"/>
  </r>
  <r>
    <x v="0"/>
    <x v="0"/>
    <x v="0"/>
    <x v="6"/>
    <x v="10"/>
    <s v="NL_A"/>
    <x v="8"/>
    <s v="GNR_WT_WIND_ONS"/>
    <x v="0"/>
    <x v="12"/>
    <n v="1068.5767555688701"/>
    <n v="390030.51578263601"/>
    <n v="1404109.85681749"/>
  </r>
  <r>
    <x v="0"/>
    <x v="0"/>
    <x v="0"/>
    <x v="6"/>
    <x v="10"/>
    <s v="NL_A"/>
    <x v="8"/>
    <s v="GNR_WT_WIND_ONS"/>
    <x v="0"/>
    <x v="13"/>
    <n v="1256.1567967328699"/>
    <n v="458497.23080749699"/>
    <n v="1650590.0309069899"/>
  </r>
  <r>
    <x v="0"/>
    <x v="0"/>
    <x v="0"/>
    <x v="6"/>
    <x v="10"/>
    <s v="NL_A"/>
    <x v="8"/>
    <s v="GNR_WT_WIND_ONS"/>
    <x v="0"/>
    <x v="14"/>
    <n v="1247.3667771478399"/>
    <n v="455288.87365896202"/>
    <n v="1639039.94517226"/>
  </r>
  <r>
    <x v="0"/>
    <x v="0"/>
    <x v="0"/>
    <x v="6"/>
    <x v="10"/>
    <s v="NL_A"/>
    <x v="8"/>
    <s v="GNR_WT_WIND_ONS"/>
    <x v="0"/>
    <x v="15"/>
    <n v="1139.72163925473"/>
    <n v="415998.39832797699"/>
    <n v="1497594.2339807199"/>
  </r>
  <r>
    <x v="0"/>
    <x v="0"/>
    <x v="0"/>
    <x v="6"/>
    <x v="10"/>
    <s v="NL_A"/>
    <x v="8"/>
    <s v="GNR_WT_WIND_ONS"/>
    <x v="0"/>
    <x v="16"/>
    <n v="1038.5109932775399"/>
    <n v="379056.51254630298"/>
    <n v="1364603.44516669"/>
  </r>
  <r>
    <x v="0"/>
    <x v="0"/>
    <x v="0"/>
    <x v="6"/>
    <x v="10"/>
    <s v="NL_A"/>
    <x v="8"/>
    <s v="GNR_WT_WIND_ONS"/>
    <x v="0"/>
    <x v="17"/>
    <n v="1009.820228541"/>
    <n v="368584.38341746602"/>
    <n v="1326903.7803028801"/>
  </r>
  <r>
    <x v="0"/>
    <x v="0"/>
    <x v="0"/>
    <x v="6"/>
    <x v="10"/>
    <s v="NL_A"/>
    <x v="8"/>
    <s v="GNR_WT_WIND_ONS"/>
    <x v="0"/>
    <x v="19"/>
    <n v="911.33638496132903"/>
    <n v="332637.780510885"/>
    <n v="1197496.0098391899"/>
  </r>
  <r>
    <x v="0"/>
    <x v="0"/>
    <x v="0"/>
    <x v="6"/>
    <x v="10"/>
    <s v="NL_A"/>
    <x v="8"/>
    <s v="GNR_WT_WIND_ONS"/>
    <x v="0"/>
    <x v="20"/>
    <n v="682.35060940592302"/>
    <n v="249057.97243316201"/>
    <n v="896608.70075938199"/>
  </r>
  <r>
    <x v="0"/>
    <x v="0"/>
    <x v="0"/>
    <x v="6"/>
    <x v="10"/>
    <s v="NL_A"/>
    <x v="8"/>
    <s v="GNR_WT_WIND_ONS"/>
    <x v="0"/>
    <x v="21"/>
    <n v="673.08477065294699"/>
    <n v="245675.94128832599"/>
    <n v="884433.38863797195"/>
  </r>
  <r>
    <x v="0"/>
    <x v="0"/>
    <x v="0"/>
    <x v="6"/>
    <x v="10"/>
    <s v="NL_A"/>
    <x v="8"/>
    <s v="GNR_WT_WIND_ONS"/>
    <x v="0"/>
    <x v="22"/>
    <n v="556.80461586376896"/>
    <n v="203233.68479027599"/>
    <n v="731641.26524499303"/>
  </r>
  <r>
    <x v="0"/>
    <x v="0"/>
    <x v="0"/>
    <x v="6"/>
    <x v="10"/>
    <s v="NL_A"/>
    <x v="8"/>
    <s v="GNR_WT_WIND_ONS"/>
    <x v="0"/>
    <x v="23"/>
    <n v="515.17546952366899"/>
    <n v="188039.04637613901"/>
    <n v="676940.56695410097"/>
  </r>
  <r>
    <x v="0"/>
    <x v="0"/>
    <x v="0"/>
    <x v="6"/>
    <x v="10"/>
    <s v="NL_A"/>
    <x v="12"/>
    <s v="GNR_ST_WOOD_CND_E-50"/>
    <x v="0"/>
    <x v="6"/>
    <n v="465.15644427620498"/>
    <n v="169782.102160815"/>
    <n v="611215.56777893298"/>
  </r>
  <r>
    <x v="0"/>
    <x v="0"/>
    <x v="0"/>
    <x v="6"/>
    <x v="10"/>
    <s v="NL_A"/>
    <x v="12"/>
    <s v="GNR_ST_WOOD_CND_E-50"/>
    <x v="0"/>
    <x v="7"/>
    <n v="800"/>
    <n v="292000"/>
    <n v="1051200"/>
  </r>
  <r>
    <x v="0"/>
    <x v="0"/>
    <x v="0"/>
    <x v="6"/>
    <x v="10"/>
    <s v="NL_A"/>
    <x v="12"/>
    <s v="GNR_ST_WOOD_CND_E-50"/>
    <x v="0"/>
    <x v="8"/>
    <n v="800"/>
    <n v="292000"/>
    <n v="1051200"/>
  </r>
  <r>
    <x v="0"/>
    <x v="0"/>
    <x v="0"/>
    <x v="6"/>
    <x v="10"/>
    <s v="NL_A"/>
    <x v="12"/>
    <s v="GNR_ST_WOOD_CND_E-50"/>
    <x v="0"/>
    <x v="9"/>
    <n v="800"/>
    <n v="292000"/>
    <n v="1051200"/>
  </r>
  <r>
    <x v="0"/>
    <x v="0"/>
    <x v="0"/>
    <x v="6"/>
    <x v="10"/>
    <s v="NL_A"/>
    <x v="12"/>
    <s v="GNR_ST_WOOD_CND_E-50"/>
    <x v="0"/>
    <x v="10"/>
    <n v="800"/>
    <n v="292000"/>
    <n v="1051200"/>
  </r>
  <r>
    <x v="0"/>
    <x v="0"/>
    <x v="0"/>
    <x v="6"/>
    <x v="10"/>
    <s v="NL_A"/>
    <x v="12"/>
    <s v="GNR_ST_WOOD_CND_E-50"/>
    <x v="0"/>
    <x v="11"/>
    <n v="800"/>
    <n v="292000"/>
    <n v="1051200"/>
  </r>
  <r>
    <x v="0"/>
    <x v="0"/>
    <x v="0"/>
    <x v="6"/>
    <x v="10"/>
    <s v="NL_A"/>
    <x v="12"/>
    <s v="GNR_ST_WOOD_CND_E-50"/>
    <x v="0"/>
    <x v="12"/>
    <n v="800"/>
    <n v="292000"/>
    <n v="1051200"/>
  </r>
  <r>
    <x v="0"/>
    <x v="0"/>
    <x v="0"/>
    <x v="6"/>
    <x v="10"/>
    <s v="NL_A"/>
    <x v="12"/>
    <s v="GNR_ST_WOOD_CND_E-50"/>
    <x v="0"/>
    <x v="13"/>
    <n v="800"/>
    <n v="292000"/>
    <n v="1051200"/>
  </r>
  <r>
    <x v="0"/>
    <x v="0"/>
    <x v="0"/>
    <x v="6"/>
    <x v="10"/>
    <s v="NL_A"/>
    <x v="12"/>
    <s v="GNR_ST_WOOD_CND_E-50"/>
    <x v="0"/>
    <x v="14"/>
    <n v="800"/>
    <n v="292000"/>
    <n v="1051200"/>
  </r>
  <r>
    <x v="0"/>
    <x v="0"/>
    <x v="0"/>
    <x v="6"/>
    <x v="10"/>
    <s v="NL_A"/>
    <x v="12"/>
    <s v="GNR_ST_WOOD_CND_E-50"/>
    <x v="0"/>
    <x v="15"/>
    <n v="800"/>
    <n v="292000"/>
    <n v="1051200"/>
  </r>
  <r>
    <x v="0"/>
    <x v="0"/>
    <x v="0"/>
    <x v="6"/>
    <x v="10"/>
    <s v="NL_A"/>
    <x v="12"/>
    <s v="GNR_ST_WOOD_CND_E-50"/>
    <x v="0"/>
    <x v="16"/>
    <n v="800"/>
    <n v="292000"/>
    <n v="1051200"/>
  </r>
  <r>
    <x v="0"/>
    <x v="0"/>
    <x v="0"/>
    <x v="6"/>
    <x v="10"/>
    <s v="NL_A"/>
    <x v="12"/>
    <s v="GNR_ST_WOOD_CND_E-50"/>
    <x v="0"/>
    <x v="17"/>
    <n v="800"/>
    <n v="292000"/>
    <n v="1051200"/>
  </r>
  <r>
    <x v="0"/>
    <x v="0"/>
    <x v="0"/>
    <x v="6"/>
    <x v="10"/>
    <s v="NL_A"/>
    <x v="12"/>
    <s v="GNR_ST_WOOD_CND_E-50"/>
    <x v="0"/>
    <x v="19"/>
    <n v="800"/>
    <n v="292000"/>
    <n v="1051200"/>
  </r>
  <r>
    <x v="0"/>
    <x v="0"/>
    <x v="0"/>
    <x v="6"/>
    <x v="10"/>
    <s v="NL_A"/>
    <x v="12"/>
    <s v="GNR_ST_WOOD_CND_E-50"/>
    <x v="0"/>
    <x v="20"/>
    <n v="800"/>
    <n v="292000"/>
    <n v="1051200"/>
  </r>
  <r>
    <x v="0"/>
    <x v="0"/>
    <x v="0"/>
    <x v="6"/>
    <x v="10"/>
    <s v="NL_A"/>
    <x v="12"/>
    <s v="GNR_ST_WOOD_CND_E-50"/>
    <x v="0"/>
    <x v="21"/>
    <n v="800"/>
    <n v="292000"/>
    <n v="1051200"/>
  </r>
  <r>
    <x v="0"/>
    <x v="0"/>
    <x v="0"/>
    <x v="7"/>
    <x v="11"/>
    <s v="NO1_A1"/>
    <x v="19"/>
    <s v="GHOB_LNG"/>
    <x v="0"/>
    <x v="0"/>
    <n v="27.0588235294118"/>
    <n v="9876.4705882352901"/>
    <n v="35555.294117647099"/>
  </r>
  <r>
    <x v="0"/>
    <x v="0"/>
    <x v="0"/>
    <x v="7"/>
    <x v="11"/>
    <s v="NO1_A1"/>
    <x v="19"/>
    <s v="GHOB_LNG"/>
    <x v="0"/>
    <x v="1"/>
    <n v="27.0588235294118"/>
    <n v="9876.4705882352901"/>
    <n v="35555.294117647099"/>
  </r>
  <r>
    <x v="0"/>
    <x v="0"/>
    <x v="0"/>
    <x v="7"/>
    <x v="11"/>
    <s v="NO1_A1"/>
    <x v="19"/>
    <s v="GHOB_LNG"/>
    <x v="0"/>
    <x v="2"/>
    <n v="27.0588235294118"/>
    <n v="9876.4705882352901"/>
    <n v="35555.294117647099"/>
  </r>
  <r>
    <x v="0"/>
    <x v="0"/>
    <x v="0"/>
    <x v="7"/>
    <x v="11"/>
    <s v="NO1_A1"/>
    <x v="19"/>
    <s v="GHOB_LNG"/>
    <x v="0"/>
    <x v="3"/>
    <n v="27.0588235294118"/>
    <n v="9876.4705882352901"/>
    <n v="35555.294117647099"/>
  </r>
  <r>
    <x v="0"/>
    <x v="0"/>
    <x v="0"/>
    <x v="7"/>
    <x v="11"/>
    <s v="NO1_A1"/>
    <x v="19"/>
    <s v="GHOB_LNG"/>
    <x v="0"/>
    <x v="18"/>
    <n v="27.0588235294118"/>
    <n v="9876.4705882352901"/>
    <n v="35555.294117647099"/>
  </r>
  <r>
    <x v="0"/>
    <x v="0"/>
    <x v="0"/>
    <x v="7"/>
    <x v="11"/>
    <s v="NO1_A1"/>
    <x v="19"/>
    <s v="GHOB_LNG"/>
    <x v="0"/>
    <x v="4"/>
    <n v="27.0588235294118"/>
    <n v="9876.4705882352901"/>
    <n v="35555.294117647099"/>
  </r>
  <r>
    <x v="0"/>
    <x v="0"/>
    <x v="0"/>
    <x v="7"/>
    <x v="11"/>
    <s v="NO1_A1"/>
    <x v="19"/>
    <s v="GHOB_LNG"/>
    <x v="0"/>
    <x v="5"/>
    <n v="27.0588235294118"/>
    <n v="9876.4705882352901"/>
    <n v="35555.294117647099"/>
  </r>
  <r>
    <x v="0"/>
    <x v="0"/>
    <x v="0"/>
    <x v="7"/>
    <x v="11"/>
    <s v="NO1_A1"/>
    <x v="19"/>
    <s v="GHOB_LNG"/>
    <x v="0"/>
    <x v="6"/>
    <n v="27.0588235294118"/>
    <n v="9876.4705882352901"/>
    <n v="35555.294117647099"/>
  </r>
  <r>
    <x v="0"/>
    <x v="0"/>
    <x v="0"/>
    <x v="7"/>
    <x v="11"/>
    <s v="NO1_A1"/>
    <x v="19"/>
    <s v="GHOB_LNG"/>
    <x v="0"/>
    <x v="7"/>
    <n v="27.0588235294118"/>
    <n v="9876.4705882352901"/>
    <n v="35555.294117647099"/>
  </r>
  <r>
    <x v="0"/>
    <x v="0"/>
    <x v="0"/>
    <x v="7"/>
    <x v="11"/>
    <s v="NO1_A1"/>
    <x v="19"/>
    <s v="GHOB_LNG"/>
    <x v="0"/>
    <x v="8"/>
    <n v="27.0588235294118"/>
    <n v="9876.4705882352901"/>
    <n v="35555.294117647099"/>
  </r>
  <r>
    <x v="0"/>
    <x v="0"/>
    <x v="0"/>
    <x v="7"/>
    <x v="11"/>
    <s v="NO1_A1"/>
    <x v="19"/>
    <s v="GHOB_LNG"/>
    <x v="0"/>
    <x v="9"/>
    <n v="27.0588235294118"/>
    <n v="9876.4705882352901"/>
    <n v="35555.294117647099"/>
  </r>
  <r>
    <x v="0"/>
    <x v="0"/>
    <x v="0"/>
    <x v="7"/>
    <x v="11"/>
    <s v="NO1_A1"/>
    <x v="19"/>
    <s v="GHOB_LNG"/>
    <x v="0"/>
    <x v="10"/>
    <n v="27.0588235294118"/>
    <n v="9876.4705882352901"/>
    <n v="35555.294117647099"/>
  </r>
  <r>
    <x v="0"/>
    <x v="0"/>
    <x v="0"/>
    <x v="7"/>
    <x v="11"/>
    <s v="NO1_A1"/>
    <x v="19"/>
    <s v="GHOB_LNG"/>
    <x v="0"/>
    <x v="11"/>
    <n v="27.0588235294118"/>
    <n v="9876.4705882352901"/>
    <n v="35555.294117647099"/>
  </r>
  <r>
    <x v="0"/>
    <x v="0"/>
    <x v="0"/>
    <x v="7"/>
    <x v="11"/>
    <s v="NO1_A1"/>
    <x v="19"/>
    <s v="GHOB_LNG"/>
    <x v="0"/>
    <x v="12"/>
    <n v="27.0588235294118"/>
    <n v="9876.4705882352901"/>
    <n v="35555.294117647099"/>
  </r>
  <r>
    <x v="0"/>
    <x v="0"/>
    <x v="0"/>
    <x v="7"/>
    <x v="11"/>
    <s v="NO1_A1"/>
    <x v="19"/>
    <s v="GHOB_LNG"/>
    <x v="0"/>
    <x v="13"/>
    <n v="27.0588235294118"/>
    <n v="9876.4705882352901"/>
    <n v="35555.294117647099"/>
  </r>
  <r>
    <x v="0"/>
    <x v="0"/>
    <x v="0"/>
    <x v="7"/>
    <x v="11"/>
    <s v="NO1_A1"/>
    <x v="19"/>
    <s v="GHOB_LNG"/>
    <x v="0"/>
    <x v="14"/>
    <n v="27.0588235294118"/>
    <n v="9876.4705882352901"/>
    <n v="35555.294117647099"/>
  </r>
  <r>
    <x v="0"/>
    <x v="0"/>
    <x v="0"/>
    <x v="7"/>
    <x v="11"/>
    <s v="NO1_A1"/>
    <x v="19"/>
    <s v="GHOB_LNG"/>
    <x v="0"/>
    <x v="15"/>
    <n v="27.0588235294118"/>
    <n v="9876.4705882352901"/>
    <n v="35555.294117647099"/>
  </r>
  <r>
    <x v="0"/>
    <x v="0"/>
    <x v="0"/>
    <x v="7"/>
    <x v="11"/>
    <s v="NO1_A1"/>
    <x v="19"/>
    <s v="GHOB_LNG"/>
    <x v="0"/>
    <x v="16"/>
    <n v="27.0588235294118"/>
    <n v="9876.4705882352901"/>
    <n v="35555.294117647099"/>
  </r>
  <r>
    <x v="0"/>
    <x v="0"/>
    <x v="0"/>
    <x v="7"/>
    <x v="11"/>
    <s v="NO1_A1"/>
    <x v="19"/>
    <s v="GHOB_LNG"/>
    <x v="0"/>
    <x v="17"/>
    <n v="27.0588235294118"/>
    <n v="9876.4705882352901"/>
    <n v="35555.294117647099"/>
  </r>
  <r>
    <x v="0"/>
    <x v="0"/>
    <x v="0"/>
    <x v="7"/>
    <x v="11"/>
    <s v="NO1_A1"/>
    <x v="19"/>
    <s v="GHOB_LNG"/>
    <x v="0"/>
    <x v="19"/>
    <n v="27.0588235294118"/>
    <n v="9876.4705882352901"/>
    <n v="35555.294117647099"/>
  </r>
  <r>
    <x v="0"/>
    <x v="0"/>
    <x v="0"/>
    <x v="7"/>
    <x v="11"/>
    <s v="NO1_A1"/>
    <x v="19"/>
    <s v="GHOB_LNG"/>
    <x v="0"/>
    <x v="20"/>
    <n v="27.0588235294118"/>
    <n v="9876.4705882352901"/>
    <n v="35555.294117647099"/>
  </r>
  <r>
    <x v="0"/>
    <x v="0"/>
    <x v="0"/>
    <x v="7"/>
    <x v="11"/>
    <s v="NO1_A1"/>
    <x v="19"/>
    <s v="GHOB_LNG"/>
    <x v="0"/>
    <x v="21"/>
    <n v="27.0588235294118"/>
    <n v="9876.4705882352901"/>
    <n v="35555.294117647099"/>
  </r>
  <r>
    <x v="0"/>
    <x v="0"/>
    <x v="0"/>
    <x v="7"/>
    <x v="11"/>
    <s v="NO1_A1"/>
    <x v="19"/>
    <s v="GHOB_LNG"/>
    <x v="0"/>
    <x v="22"/>
    <n v="27.0588235294118"/>
    <n v="9876.4705882352901"/>
    <n v="35555.294117647099"/>
  </r>
  <r>
    <x v="0"/>
    <x v="0"/>
    <x v="0"/>
    <x v="7"/>
    <x v="11"/>
    <s v="NO1_A1"/>
    <x v="19"/>
    <s v="GHOB_LNG"/>
    <x v="0"/>
    <x v="23"/>
    <n v="27.0588235294118"/>
    <n v="9876.4705882352901"/>
    <n v="35555.294117647099"/>
  </r>
  <r>
    <x v="0"/>
    <x v="0"/>
    <x v="0"/>
    <x v="7"/>
    <x v="11"/>
    <s v="NO1_A1"/>
    <x v="19"/>
    <s v="GHOB_LPG"/>
    <x v="0"/>
    <x v="0"/>
    <n v="48.941176470588204"/>
    <n v="17863.529411764699"/>
    <n v="64308.705882352901"/>
  </r>
  <r>
    <x v="0"/>
    <x v="0"/>
    <x v="0"/>
    <x v="7"/>
    <x v="11"/>
    <s v="NO1_A1"/>
    <x v="19"/>
    <s v="GHOB_LPG"/>
    <x v="0"/>
    <x v="1"/>
    <n v="48.941176470588204"/>
    <n v="17863.529411764699"/>
    <n v="64308.705882352901"/>
  </r>
  <r>
    <x v="0"/>
    <x v="0"/>
    <x v="0"/>
    <x v="7"/>
    <x v="11"/>
    <s v="NO1_A1"/>
    <x v="19"/>
    <s v="GHOB_LPG"/>
    <x v="0"/>
    <x v="2"/>
    <n v="48.941176470588204"/>
    <n v="17863.529411764699"/>
    <n v="64308.705882352901"/>
  </r>
  <r>
    <x v="0"/>
    <x v="0"/>
    <x v="0"/>
    <x v="7"/>
    <x v="11"/>
    <s v="NO1_A1"/>
    <x v="19"/>
    <s v="GHOB_LPG"/>
    <x v="0"/>
    <x v="3"/>
    <n v="48.941176470588204"/>
    <n v="17863.529411764699"/>
    <n v="64308.705882352901"/>
  </r>
  <r>
    <x v="0"/>
    <x v="0"/>
    <x v="0"/>
    <x v="7"/>
    <x v="11"/>
    <s v="NO1_A1"/>
    <x v="19"/>
    <s v="GHOB_LPG"/>
    <x v="0"/>
    <x v="18"/>
    <n v="48.941176470588204"/>
    <n v="17863.529411764699"/>
    <n v="64308.705882352901"/>
  </r>
  <r>
    <x v="0"/>
    <x v="0"/>
    <x v="0"/>
    <x v="7"/>
    <x v="11"/>
    <s v="NO1_A1"/>
    <x v="19"/>
    <s v="GHOB_LPG"/>
    <x v="0"/>
    <x v="4"/>
    <n v="48.941176470588204"/>
    <n v="17863.529411764699"/>
    <n v="64308.705882352901"/>
  </r>
  <r>
    <x v="0"/>
    <x v="0"/>
    <x v="0"/>
    <x v="7"/>
    <x v="11"/>
    <s v="NO1_A1"/>
    <x v="19"/>
    <s v="GHOB_LPG"/>
    <x v="0"/>
    <x v="5"/>
    <n v="48.941176470588204"/>
    <n v="17863.529411764699"/>
    <n v="64308.705882352901"/>
  </r>
  <r>
    <x v="0"/>
    <x v="0"/>
    <x v="0"/>
    <x v="7"/>
    <x v="11"/>
    <s v="NO1_A1"/>
    <x v="19"/>
    <s v="GHOB_LPG"/>
    <x v="0"/>
    <x v="6"/>
    <n v="48.941176470588204"/>
    <n v="17863.529411764699"/>
    <n v="64308.705882352901"/>
  </r>
  <r>
    <x v="0"/>
    <x v="0"/>
    <x v="0"/>
    <x v="7"/>
    <x v="11"/>
    <s v="NO1_A1"/>
    <x v="19"/>
    <s v="GHOB_LPG"/>
    <x v="0"/>
    <x v="7"/>
    <n v="48.941176470588204"/>
    <n v="17863.529411764699"/>
    <n v="64308.705882352901"/>
  </r>
  <r>
    <x v="0"/>
    <x v="0"/>
    <x v="0"/>
    <x v="7"/>
    <x v="11"/>
    <s v="NO1_A1"/>
    <x v="19"/>
    <s v="GHOB_LPG"/>
    <x v="0"/>
    <x v="8"/>
    <n v="48.941176470588204"/>
    <n v="17863.529411764699"/>
    <n v="64308.705882352901"/>
  </r>
  <r>
    <x v="0"/>
    <x v="0"/>
    <x v="0"/>
    <x v="7"/>
    <x v="11"/>
    <s v="NO1_A1"/>
    <x v="19"/>
    <s v="GHOB_LPG"/>
    <x v="0"/>
    <x v="9"/>
    <n v="48.941176470588204"/>
    <n v="17863.529411764699"/>
    <n v="64308.705882352901"/>
  </r>
  <r>
    <x v="0"/>
    <x v="0"/>
    <x v="0"/>
    <x v="7"/>
    <x v="11"/>
    <s v="NO1_A1"/>
    <x v="19"/>
    <s v="GHOB_LPG"/>
    <x v="0"/>
    <x v="10"/>
    <n v="48.941176470588204"/>
    <n v="17863.529411764699"/>
    <n v="64308.705882352901"/>
  </r>
  <r>
    <x v="0"/>
    <x v="0"/>
    <x v="0"/>
    <x v="7"/>
    <x v="11"/>
    <s v="NO1_A1"/>
    <x v="19"/>
    <s v="GHOB_LPG"/>
    <x v="0"/>
    <x v="11"/>
    <n v="48.941176470588204"/>
    <n v="17863.529411764699"/>
    <n v="64308.705882352901"/>
  </r>
  <r>
    <x v="0"/>
    <x v="0"/>
    <x v="0"/>
    <x v="7"/>
    <x v="11"/>
    <s v="NO1_A1"/>
    <x v="19"/>
    <s v="GHOB_LPG"/>
    <x v="0"/>
    <x v="12"/>
    <n v="48.941176470588204"/>
    <n v="17863.529411764699"/>
    <n v="64308.705882352901"/>
  </r>
  <r>
    <x v="0"/>
    <x v="0"/>
    <x v="0"/>
    <x v="7"/>
    <x v="11"/>
    <s v="NO1_A1"/>
    <x v="19"/>
    <s v="GHOB_LPG"/>
    <x v="0"/>
    <x v="13"/>
    <n v="48.941176470588204"/>
    <n v="17863.529411764699"/>
    <n v="64308.705882352901"/>
  </r>
  <r>
    <x v="0"/>
    <x v="0"/>
    <x v="0"/>
    <x v="7"/>
    <x v="11"/>
    <s v="NO1_A1"/>
    <x v="19"/>
    <s v="GHOB_LPG"/>
    <x v="0"/>
    <x v="14"/>
    <n v="48.941176470588204"/>
    <n v="17863.529411764699"/>
    <n v="64308.705882352901"/>
  </r>
  <r>
    <x v="0"/>
    <x v="0"/>
    <x v="0"/>
    <x v="7"/>
    <x v="11"/>
    <s v="NO1_A1"/>
    <x v="19"/>
    <s v="GHOB_LPG"/>
    <x v="0"/>
    <x v="15"/>
    <n v="48.941176470588204"/>
    <n v="17863.529411764699"/>
    <n v="64308.705882352901"/>
  </r>
  <r>
    <x v="0"/>
    <x v="0"/>
    <x v="0"/>
    <x v="7"/>
    <x v="11"/>
    <s v="NO1_A1"/>
    <x v="19"/>
    <s v="GHOB_LPG"/>
    <x v="0"/>
    <x v="16"/>
    <n v="48.941176470588204"/>
    <n v="17863.529411764699"/>
    <n v="64308.705882352901"/>
  </r>
  <r>
    <x v="0"/>
    <x v="0"/>
    <x v="0"/>
    <x v="7"/>
    <x v="11"/>
    <s v="NO1_A1"/>
    <x v="19"/>
    <s v="GHOB_LPG"/>
    <x v="0"/>
    <x v="17"/>
    <n v="48.941176470588204"/>
    <n v="17863.529411764699"/>
    <n v="64308.705882352901"/>
  </r>
  <r>
    <x v="0"/>
    <x v="0"/>
    <x v="0"/>
    <x v="7"/>
    <x v="11"/>
    <s v="NO1_A1"/>
    <x v="19"/>
    <s v="GHOB_LPG"/>
    <x v="0"/>
    <x v="19"/>
    <n v="48.941176470588204"/>
    <n v="17863.529411764699"/>
    <n v="64308.705882352901"/>
  </r>
  <r>
    <x v="0"/>
    <x v="0"/>
    <x v="0"/>
    <x v="7"/>
    <x v="11"/>
    <s v="NO1_A1"/>
    <x v="19"/>
    <s v="GHOB_LPG"/>
    <x v="0"/>
    <x v="20"/>
    <n v="48.941176470588204"/>
    <n v="17863.529411764699"/>
    <n v="64308.705882352901"/>
  </r>
  <r>
    <x v="0"/>
    <x v="0"/>
    <x v="0"/>
    <x v="7"/>
    <x v="11"/>
    <s v="NO1_A1"/>
    <x v="19"/>
    <s v="GHOB_LPG"/>
    <x v="0"/>
    <x v="21"/>
    <n v="48.941176470588204"/>
    <n v="17863.529411764699"/>
    <n v="64308.705882352901"/>
  </r>
  <r>
    <x v="0"/>
    <x v="0"/>
    <x v="0"/>
    <x v="7"/>
    <x v="11"/>
    <s v="NO1_A1"/>
    <x v="19"/>
    <s v="GHOB_LPG"/>
    <x v="0"/>
    <x v="22"/>
    <n v="48.941176470588204"/>
    <n v="17863.529411764699"/>
    <n v="64308.705882352901"/>
  </r>
  <r>
    <x v="0"/>
    <x v="0"/>
    <x v="0"/>
    <x v="7"/>
    <x v="11"/>
    <s v="NO1_A1"/>
    <x v="19"/>
    <s v="GHOB_LPG"/>
    <x v="0"/>
    <x v="23"/>
    <n v="48.941176470588204"/>
    <n v="17863.529411764699"/>
    <n v="64308.705882352901"/>
  </r>
  <r>
    <x v="0"/>
    <x v="0"/>
    <x v="0"/>
    <x v="7"/>
    <x v="11"/>
    <s v="NO1_A1"/>
    <x v="2"/>
    <s v="GBPR_MUNIWASTE"/>
    <x v="0"/>
    <x v="0"/>
    <n v="38.501792114695299"/>
    <n v="14053.154121863799"/>
    <n v="50591.354838709703"/>
  </r>
  <r>
    <x v="0"/>
    <x v="0"/>
    <x v="0"/>
    <x v="7"/>
    <x v="11"/>
    <s v="NO1_A1"/>
    <x v="2"/>
    <s v="GBPR_MUNIWASTE"/>
    <x v="0"/>
    <x v="1"/>
    <n v="38.501792114695299"/>
    <n v="14053.154121863799"/>
    <n v="50591.354838709703"/>
  </r>
  <r>
    <x v="0"/>
    <x v="0"/>
    <x v="0"/>
    <x v="7"/>
    <x v="11"/>
    <s v="NO1_A1"/>
    <x v="2"/>
    <s v="GBPR_MUNIWASTE"/>
    <x v="0"/>
    <x v="2"/>
    <n v="38.501792114695299"/>
    <n v="14053.154121863799"/>
    <n v="50591.354838709703"/>
  </r>
  <r>
    <x v="0"/>
    <x v="0"/>
    <x v="0"/>
    <x v="7"/>
    <x v="11"/>
    <s v="NO1_A1"/>
    <x v="2"/>
    <s v="GBPR_MUNIWASTE"/>
    <x v="0"/>
    <x v="3"/>
    <n v="38.501792114695299"/>
    <n v="14053.154121863799"/>
    <n v="50591.354838709703"/>
  </r>
  <r>
    <x v="0"/>
    <x v="0"/>
    <x v="0"/>
    <x v="7"/>
    <x v="11"/>
    <s v="NO1_A1"/>
    <x v="2"/>
    <s v="GBPR_MUNIWASTE"/>
    <x v="0"/>
    <x v="18"/>
    <n v="38.501792114695299"/>
    <n v="14053.154121863799"/>
    <n v="50591.354838709703"/>
  </r>
  <r>
    <x v="0"/>
    <x v="0"/>
    <x v="0"/>
    <x v="7"/>
    <x v="11"/>
    <s v="NO1_A1"/>
    <x v="2"/>
    <s v="GBPR_MUNIWASTE"/>
    <x v="0"/>
    <x v="4"/>
    <n v="38.501792114695299"/>
    <n v="14053.154121863799"/>
    <n v="50591.354838709703"/>
  </r>
  <r>
    <x v="0"/>
    <x v="0"/>
    <x v="0"/>
    <x v="7"/>
    <x v="11"/>
    <s v="NO1_A1"/>
    <x v="2"/>
    <s v="GBPR_MUNIWASTE"/>
    <x v="0"/>
    <x v="5"/>
    <n v="38.501792114695299"/>
    <n v="14053.154121863799"/>
    <n v="50591.354838709703"/>
  </r>
  <r>
    <x v="0"/>
    <x v="0"/>
    <x v="0"/>
    <x v="7"/>
    <x v="11"/>
    <s v="NO1_A1"/>
    <x v="2"/>
    <s v="GBPR_MUNIWASTE"/>
    <x v="0"/>
    <x v="6"/>
    <n v="38.501792114695299"/>
    <n v="14053.154121863799"/>
    <n v="50591.354838709703"/>
  </r>
  <r>
    <x v="0"/>
    <x v="0"/>
    <x v="0"/>
    <x v="7"/>
    <x v="11"/>
    <s v="NO1_A1"/>
    <x v="2"/>
    <s v="GBPR_MUNIWASTE"/>
    <x v="0"/>
    <x v="7"/>
    <n v="38.501792114695299"/>
    <n v="14053.154121863799"/>
    <n v="50591.354838709703"/>
  </r>
  <r>
    <x v="0"/>
    <x v="0"/>
    <x v="0"/>
    <x v="7"/>
    <x v="11"/>
    <s v="NO1_A1"/>
    <x v="2"/>
    <s v="GBPR_MUNIWASTE"/>
    <x v="0"/>
    <x v="8"/>
    <n v="38.501792114695299"/>
    <n v="14053.154121863799"/>
    <n v="50591.354838709703"/>
  </r>
  <r>
    <x v="0"/>
    <x v="0"/>
    <x v="0"/>
    <x v="7"/>
    <x v="11"/>
    <s v="NO1_A1"/>
    <x v="2"/>
    <s v="GBPR_MUNIWASTE"/>
    <x v="0"/>
    <x v="9"/>
    <n v="38.501792114695299"/>
    <n v="14053.154121863799"/>
    <n v="50591.354838709703"/>
  </r>
  <r>
    <x v="0"/>
    <x v="0"/>
    <x v="0"/>
    <x v="7"/>
    <x v="11"/>
    <s v="NO1_A1"/>
    <x v="2"/>
    <s v="GBPR_MUNIWASTE"/>
    <x v="0"/>
    <x v="10"/>
    <n v="38.501792114695299"/>
    <n v="14053.154121863799"/>
    <n v="50591.354838709703"/>
  </r>
  <r>
    <x v="0"/>
    <x v="0"/>
    <x v="0"/>
    <x v="7"/>
    <x v="11"/>
    <s v="NO1_A1"/>
    <x v="2"/>
    <s v="GBPR_MUNIWASTE"/>
    <x v="0"/>
    <x v="11"/>
    <n v="38.501792114695299"/>
    <n v="14053.154121863799"/>
    <n v="50591.354838709703"/>
  </r>
  <r>
    <x v="0"/>
    <x v="0"/>
    <x v="0"/>
    <x v="7"/>
    <x v="11"/>
    <s v="NO1_A1"/>
    <x v="2"/>
    <s v="GBPR_MUNIWASTE"/>
    <x v="0"/>
    <x v="12"/>
    <n v="38.501792114695299"/>
    <n v="14053.154121863799"/>
    <n v="50591.354838709703"/>
  </r>
  <r>
    <x v="0"/>
    <x v="0"/>
    <x v="0"/>
    <x v="7"/>
    <x v="11"/>
    <s v="NO1_A1"/>
    <x v="2"/>
    <s v="GBPR_MUNIWASTE"/>
    <x v="0"/>
    <x v="13"/>
    <n v="38.501792114695299"/>
    <n v="14053.154121863799"/>
    <n v="50591.354838709703"/>
  </r>
  <r>
    <x v="0"/>
    <x v="0"/>
    <x v="0"/>
    <x v="7"/>
    <x v="11"/>
    <s v="NO1_A1"/>
    <x v="2"/>
    <s v="GBPR_MUNIWASTE"/>
    <x v="0"/>
    <x v="14"/>
    <n v="38.501792114695299"/>
    <n v="14053.154121863799"/>
    <n v="50591.354838709703"/>
  </r>
  <r>
    <x v="0"/>
    <x v="0"/>
    <x v="0"/>
    <x v="7"/>
    <x v="11"/>
    <s v="NO1_A1"/>
    <x v="2"/>
    <s v="GBPR_MUNIWASTE"/>
    <x v="0"/>
    <x v="15"/>
    <n v="38.501792114695299"/>
    <n v="14053.154121863799"/>
    <n v="50591.354838709703"/>
  </r>
  <r>
    <x v="0"/>
    <x v="0"/>
    <x v="0"/>
    <x v="7"/>
    <x v="11"/>
    <s v="NO1_A1"/>
    <x v="2"/>
    <s v="GBPR_MUNIWASTE"/>
    <x v="0"/>
    <x v="16"/>
    <n v="38.501792114695299"/>
    <n v="14053.154121863799"/>
    <n v="50591.354838709703"/>
  </r>
  <r>
    <x v="0"/>
    <x v="0"/>
    <x v="0"/>
    <x v="7"/>
    <x v="11"/>
    <s v="NO1_A1"/>
    <x v="2"/>
    <s v="GBPR_MUNIWASTE"/>
    <x v="0"/>
    <x v="17"/>
    <n v="38.501792114695299"/>
    <n v="14053.154121863799"/>
    <n v="50591.354838709703"/>
  </r>
  <r>
    <x v="0"/>
    <x v="0"/>
    <x v="0"/>
    <x v="7"/>
    <x v="11"/>
    <s v="NO1_A1"/>
    <x v="2"/>
    <s v="GBPR_MUNIWASTE"/>
    <x v="0"/>
    <x v="19"/>
    <n v="38.501792114695299"/>
    <n v="14053.154121863799"/>
    <n v="50591.354838709703"/>
  </r>
  <r>
    <x v="0"/>
    <x v="0"/>
    <x v="0"/>
    <x v="7"/>
    <x v="11"/>
    <s v="NO1_A1"/>
    <x v="2"/>
    <s v="GBPR_MUNIWASTE"/>
    <x v="0"/>
    <x v="20"/>
    <n v="38.501792114695299"/>
    <n v="14053.154121863799"/>
    <n v="50591.354838709703"/>
  </r>
  <r>
    <x v="0"/>
    <x v="0"/>
    <x v="0"/>
    <x v="7"/>
    <x v="11"/>
    <s v="NO1_A1"/>
    <x v="2"/>
    <s v="GBPR_MUNIWASTE"/>
    <x v="0"/>
    <x v="21"/>
    <n v="38.501792114695299"/>
    <n v="14053.154121863799"/>
    <n v="50591.354838709703"/>
  </r>
  <r>
    <x v="0"/>
    <x v="0"/>
    <x v="0"/>
    <x v="7"/>
    <x v="11"/>
    <s v="NO1_A1"/>
    <x v="2"/>
    <s v="GBPR_MUNIWASTE"/>
    <x v="0"/>
    <x v="22"/>
    <n v="38.501792114695299"/>
    <n v="14053.154121863799"/>
    <n v="50591.354838709703"/>
  </r>
  <r>
    <x v="0"/>
    <x v="0"/>
    <x v="0"/>
    <x v="7"/>
    <x v="11"/>
    <s v="NO1_A1"/>
    <x v="2"/>
    <s v="GBPR_MUNIWASTE"/>
    <x v="0"/>
    <x v="23"/>
    <n v="38.501792114695299"/>
    <n v="14053.154121863799"/>
    <n v="50591.354838709703"/>
  </r>
  <r>
    <x v="0"/>
    <x v="0"/>
    <x v="0"/>
    <x v="7"/>
    <x v="11"/>
    <s v="NO1_A1"/>
    <x v="2"/>
    <s v="GHOB_MUNIWASTE"/>
    <x v="0"/>
    <x v="0"/>
    <n v="8.7576470588235296"/>
    <n v="3196.54117647059"/>
    <n v="11507.5482352941"/>
  </r>
  <r>
    <x v="0"/>
    <x v="0"/>
    <x v="0"/>
    <x v="7"/>
    <x v="11"/>
    <s v="NO1_A1"/>
    <x v="2"/>
    <s v="GHOB_MUNIWASTE"/>
    <x v="0"/>
    <x v="1"/>
    <n v="8.7576470588235296"/>
    <n v="3196.54117647059"/>
    <n v="11507.5482352941"/>
  </r>
  <r>
    <x v="0"/>
    <x v="0"/>
    <x v="0"/>
    <x v="7"/>
    <x v="11"/>
    <s v="NO1_A1"/>
    <x v="2"/>
    <s v="GHOB_MUNIWASTE"/>
    <x v="0"/>
    <x v="2"/>
    <n v="8.7576470588235296"/>
    <n v="3196.54117647059"/>
    <n v="11507.5482352941"/>
  </r>
  <r>
    <x v="0"/>
    <x v="0"/>
    <x v="0"/>
    <x v="7"/>
    <x v="11"/>
    <s v="NO1_A1"/>
    <x v="2"/>
    <s v="GHOB_MUNIWASTE"/>
    <x v="0"/>
    <x v="3"/>
    <n v="8.7576470588235296"/>
    <n v="3196.54117647059"/>
    <n v="11507.5482352941"/>
  </r>
  <r>
    <x v="0"/>
    <x v="0"/>
    <x v="0"/>
    <x v="7"/>
    <x v="11"/>
    <s v="NO1_A1"/>
    <x v="2"/>
    <s v="GHOB_MUNIWASTE"/>
    <x v="0"/>
    <x v="18"/>
    <n v="8.7576470588235296"/>
    <n v="3196.54117647059"/>
    <n v="11507.5482352941"/>
  </r>
  <r>
    <x v="0"/>
    <x v="0"/>
    <x v="0"/>
    <x v="7"/>
    <x v="11"/>
    <s v="NO1_A1"/>
    <x v="2"/>
    <s v="GHOB_MUNIWASTE"/>
    <x v="0"/>
    <x v="4"/>
    <n v="8.7576470588235296"/>
    <n v="3196.54117647059"/>
    <n v="11507.5482352941"/>
  </r>
  <r>
    <x v="0"/>
    <x v="0"/>
    <x v="0"/>
    <x v="7"/>
    <x v="11"/>
    <s v="NO1_A1"/>
    <x v="2"/>
    <s v="GHOB_MUNIWASTE"/>
    <x v="0"/>
    <x v="5"/>
    <n v="8.7576470588235296"/>
    <n v="3196.54117647059"/>
    <n v="11507.5482352941"/>
  </r>
  <r>
    <x v="0"/>
    <x v="0"/>
    <x v="0"/>
    <x v="7"/>
    <x v="11"/>
    <s v="NO1_A1"/>
    <x v="2"/>
    <s v="GHOB_MUNIWASTE"/>
    <x v="0"/>
    <x v="6"/>
    <n v="8.7576470588235296"/>
    <n v="3196.54117647059"/>
    <n v="11507.5482352941"/>
  </r>
  <r>
    <x v="0"/>
    <x v="0"/>
    <x v="0"/>
    <x v="7"/>
    <x v="11"/>
    <s v="NO1_A1"/>
    <x v="2"/>
    <s v="GHOB_MUNIWASTE"/>
    <x v="0"/>
    <x v="7"/>
    <n v="8.7576470588235296"/>
    <n v="3196.54117647059"/>
    <n v="11507.5482352941"/>
  </r>
  <r>
    <x v="0"/>
    <x v="0"/>
    <x v="0"/>
    <x v="7"/>
    <x v="11"/>
    <s v="NO1_A1"/>
    <x v="2"/>
    <s v="GHOB_MUNIWASTE"/>
    <x v="0"/>
    <x v="8"/>
    <n v="8.7576470588235296"/>
    <n v="3196.54117647059"/>
    <n v="11507.5482352941"/>
  </r>
  <r>
    <x v="0"/>
    <x v="0"/>
    <x v="0"/>
    <x v="7"/>
    <x v="11"/>
    <s v="NO1_A1"/>
    <x v="2"/>
    <s v="GHOB_MUNIWASTE"/>
    <x v="0"/>
    <x v="9"/>
    <n v="8.7576470588235296"/>
    <n v="3196.54117647059"/>
    <n v="11507.5482352941"/>
  </r>
  <r>
    <x v="0"/>
    <x v="0"/>
    <x v="0"/>
    <x v="7"/>
    <x v="11"/>
    <s v="NO1_A1"/>
    <x v="2"/>
    <s v="GHOB_MUNIWASTE"/>
    <x v="0"/>
    <x v="10"/>
    <n v="8.7576470588235296"/>
    <n v="3196.54117647059"/>
    <n v="11507.5482352941"/>
  </r>
  <r>
    <x v="0"/>
    <x v="0"/>
    <x v="0"/>
    <x v="7"/>
    <x v="11"/>
    <s v="NO1_A1"/>
    <x v="2"/>
    <s v="GHOB_MUNIWASTE"/>
    <x v="0"/>
    <x v="11"/>
    <n v="8.7576470588235296"/>
    <n v="3196.54117647059"/>
    <n v="11507.5482352941"/>
  </r>
  <r>
    <x v="0"/>
    <x v="0"/>
    <x v="0"/>
    <x v="7"/>
    <x v="11"/>
    <s v="NO1_A1"/>
    <x v="2"/>
    <s v="GHOB_MUNIWASTE"/>
    <x v="0"/>
    <x v="12"/>
    <n v="8.7576470588235296"/>
    <n v="3196.54117647059"/>
    <n v="11507.5482352941"/>
  </r>
  <r>
    <x v="0"/>
    <x v="0"/>
    <x v="0"/>
    <x v="7"/>
    <x v="11"/>
    <s v="NO1_A1"/>
    <x v="2"/>
    <s v="GHOB_MUNIWASTE"/>
    <x v="0"/>
    <x v="13"/>
    <n v="8.7576470588235296"/>
    <n v="3196.54117647059"/>
    <n v="11507.5482352941"/>
  </r>
  <r>
    <x v="0"/>
    <x v="0"/>
    <x v="0"/>
    <x v="7"/>
    <x v="11"/>
    <s v="NO1_A1"/>
    <x v="2"/>
    <s v="GHOB_MUNIWASTE"/>
    <x v="0"/>
    <x v="14"/>
    <n v="8.7576470588235296"/>
    <n v="3196.54117647059"/>
    <n v="11507.5482352941"/>
  </r>
  <r>
    <x v="0"/>
    <x v="0"/>
    <x v="0"/>
    <x v="7"/>
    <x v="11"/>
    <s v="NO1_A1"/>
    <x v="2"/>
    <s v="GHOB_MUNIWASTE"/>
    <x v="0"/>
    <x v="15"/>
    <n v="8.7576470588235296"/>
    <n v="3196.54117647059"/>
    <n v="11507.5482352941"/>
  </r>
  <r>
    <x v="0"/>
    <x v="0"/>
    <x v="0"/>
    <x v="7"/>
    <x v="11"/>
    <s v="NO1_A1"/>
    <x v="2"/>
    <s v="GHOB_MUNIWASTE"/>
    <x v="0"/>
    <x v="16"/>
    <n v="8.7576470588235296"/>
    <n v="3196.54117647059"/>
    <n v="11507.5482352941"/>
  </r>
  <r>
    <x v="0"/>
    <x v="0"/>
    <x v="0"/>
    <x v="7"/>
    <x v="11"/>
    <s v="NO1_A1"/>
    <x v="2"/>
    <s v="GHOB_MUNIWASTE"/>
    <x v="0"/>
    <x v="17"/>
    <n v="8.7576470588235296"/>
    <n v="3196.54117647059"/>
    <n v="11507.5482352941"/>
  </r>
  <r>
    <x v="0"/>
    <x v="0"/>
    <x v="0"/>
    <x v="7"/>
    <x v="11"/>
    <s v="NO1_A1"/>
    <x v="2"/>
    <s v="GHOB_MUNIWASTE"/>
    <x v="0"/>
    <x v="19"/>
    <n v="8.7576470588235296"/>
    <n v="3196.54117647059"/>
    <n v="11507.5482352941"/>
  </r>
  <r>
    <x v="0"/>
    <x v="0"/>
    <x v="0"/>
    <x v="7"/>
    <x v="11"/>
    <s v="NO1_A1"/>
    <x v="2"/>
    <s v="GHOB_MUNIWASTE"/>
    <x v="0"/>
    <x v="20"/>
    <n v="8.7576470588235296"/>
    <n v="3196.54117647059"/>
    <n v="11507.5482352941"/>
  </r>
  <r>
    <x v="0"/>
    <x v="0"/>
    <x v="0"/>
    <x v="7"/>
    <x v="11"/>
    <s v="NO1_A1"/>
    <x v="2"/>
    <s v="GHOB_MUNIWASTE"/>
    <x v="0"/>
    <x v="21"/>
    <n v="8.7576470588235296"/>
    <n v="3196.54117647059"/>
    <n v="11507.5482352941"/>
  </r>
  <r>
    <x v="0"/>
    <x v="0"/>
    <x v="0"/>
    <x v="7"/>
    <x v="11"/>
    <s v="NO1_A1"/>
    <x v="2"/>
    <s v="GHOB_MUNIWASTE"/>
    <x v="0"/>
    <x v="22"/>
    <n v="8.7576470588235296"/>
    <n v="3196.54117647059"/>
    <n v="11507.5482352941"/>
  </r>
  <r>
    <x v="0"/>
    <x v="0"/>
    <x v="0"/>
    <x v="7"/>
    <x v="11"/>
    <s v="NO1_A1"/>
    <x v="2"/>
    <s v="GHOB_MUNIWASTE"/>
    <x v="0"/>
    <x v="23"/>
    <n v="8.7576470588235296"/>
    <n v="3196.54117647059"/>
    <n v="11507.5482352941"/>
  </r>
  <r>
    <x v="0"/>
    <x v="0"/>
    <x v="0"/>
    <x v="7"/>
    <x v="11"/>
    <s v="NO1_A1"/>
    <x v="1"/>
    <s v="GHOB_WASTEHEAT"/>
    <x v="0"/>
    <x v="0"/>
    <n v="2.9650869963369799"/>
    <n v="1082.2567536629999"/>
    <n v="3896.1243131868"/>
  </r>
  <r>
    <x v="0"/>
    <x v="0"/>
    <x v="0"/>
    <x v="7"/>
    <x v="11"/>
    <s v="NO1_A1"/>
    <x v="1"/>
    <s v="GHOB_WASTEHEAT"/>
    <x v="0"/>
    <x v="1"/>
    <n v="2.9650869963369799"/>
    <n v="1082.2567536629999"/>
    <n v="3896.1243131868"/>
  </r>
  <r>
    <x v="0"/>
    <x v="0"/>
    <x v="0"/>
    <x v="7"/>
    <x v="11"/>
    <s v="NO1_A1"/>
    <x v="1"/>
    <s v="GHOB_WASTEHEAT"/>
    <x v="0"/>
    <x v="2"/>
    <n v="2.9650869963369799"/>
    <n v="1082.2567536629999"/>
    <n v="3896.1243131868"/>
  </r>
  <r>
    <x v="0"/>
    <x v="0"/>
    <x v="0"/>
    <x v="7"/>
    <x v="11"/>
    <s v="NO1_A1"/>
    <x v="1"/>
    <s v="GHOB_WASTEHEAT"/>
    <x v="0"/>
    <x v="3"/>
    <n v="2.9650869963369799"/>
    <n v="1082.2567536629999"/>
    <n v="3896.1243131868"/>
  </r>
  <r>
    <x v="0"/>
    <x v="0"/>
    <x v="0"/>
    <x v="7"/>
    <x v="11"/>
    <s v="NO1_A1"/>
    <x v="1"/>
    <s v="GHOB_WASTEHEAT"/>
    <x v="0"/>
    <x v="18"/>
    <n v="2.9650869963369799"/>
    <n v="1082.2567536629999"/>
    <n v="3896.1243131868"/>
  </r>
  <r>
    <x v="0"/>
    <x v="0"/>
    <x v="0"/>
    <x v="7"/>
    <x v="11"/>
    <s v="NO1_A1"/>
    <x v="1"/>
    <s v="GHOB_WASTEHEAT"/>
    <x v="0"/>
    <x v="4"/>
    <n v="2.9650869963369799"/>
    <n v="1082.2567536629999"/>
    <n v="3896.1243131868"/>
  </r>
  <r>
    <x v="0"/>
    <x v="0"/>
    <x v="0"/>
    <x v="7"/>
    <x v="11"/>
    <s v="NO1_A1"/>
    <x v="1"/>
    <s v="GHOB_WASTEHEAT"/>
    <x v="0"/>
    <x v="5"/>
    <n v="2.9650869963369799"/>
    <n v="1082.2567536629999"/>
    <n v="3896.1243131868"/>
  </r>
  <r>
    <x v="0"/>
    <x v="0"/>
    <x v="0"/>
    <x v="7"/>
    <x v="11"/>
    <s v="NO1_A1"/>
    <x v="1"/>
    <s v="GHOB_WASTEHEAT"/>
    <x v="0"/>
    <x v="6"/>
    <n v="2.9650869963369799"/>
    <n v="1082.2567536629999"/>
    <n v="3896.1243131868"/>
  </r>
  <r>
    <x v="0"/>
    <x v="0"/>
    <x v="0"/>
    <x v="7"/>
    <x v="11"/>
    <s v="NO1_A1"/>
    <x v="1"/>
    <s v="GHOB_WASTEHEAT"/>
    <x v="0"/>
    <x v="7"/>
    <n v="2.9650869963369799"/>
    <n v="1082.2567536629999"/>
    <n v="3896.1243131868"/>
  </r>
  <r>
    <x v="0"/>
    <x v="0"/>
    <x v="0"/>
    <x v="7"/>
    <x v="11"/>
    <s v="NO1_A1"/>
    <x v="1"/>
    <s v="GHOB_WASTEHEAT"/>
    <x v="0"/>
    <x v="8"/>
    <n v="2.9650869963369799"/>
    <n v="1082.2567536629999"/>
    <n v="3896.1243131868"/>
  </r>
  <r>
    <x v="0"/>
    <x v="0"/>
    <x v="0"/>
    <x v="7"/>
    <x v="11"/>
    <s v="NO1_A1"/>
    <x v="1"/>
    <s v="GHOB_WASTEHEAT"/>
    <x v="0"/>
    <x v="9"/>
    <n v="2.9650869963369799"/>
    <n v="1082.2567536629999"/>
    <n v="3896.1243131868"/>
  </r>
  <r>
    <x v="0"/>
    <x v="0"/>
    <x v="0"/>
    <x v="7"/>
    <x v="11"/>
    <s v="NO1_A1"/>
    <x v="1"/>
    <s v="GHOB_WASTEHEAT"/>
    <x v="0"/>
    <x v="10"/>
    <n v="2.9650869963369799"/>
    <n v="1082.2567536629999"/>
    <n v="3896.1243131868"/>
  </r>
  <r>
    <x v="0"/>
    <x v="0"/>
    <x v="0"/>
    <x v="7"/>
    <x v="11"/>
    <s v="NO1_A1"/>
    <x v="1"/>
    <s v="GHOB_WASTEHEAT"/>
    <x v="0"/>
    <x v="11"/>
    <n v="2.9650869963369799"/>
    <n v="1082.2567536629999"/>
    <n v="3896.1243131868"/>
  </r>
  <r>
    <x v="0"/>
    <x v="0"/>
    <x v="0"/>
    <x v="7"/>
    <x v="11"/>
    <s v="NO1_A1"/>
    <x v="1"/>
    <s v="GHOB_WASTEHEAT"/>
    <x v="0"/>
    <x v="12"/>
    <n v="2.9650869963369799"/>
    <n v="1082.2567536629999"/>
    <n v="3896.1243131868"/>
  </r>
  <r>
    <x v="0"/>
    <x v="0"/>
    <x v="0"/>
    <x v="7"/>
    <x v="11"/>
    <s v="NO1_A1"/>
    <x v="1"/>
    <s v="GHOB_WASTEHEAT"/>
    <x v="0"/>
    <x v="13"/>
    <n v="2.9650869963369799"/>
    <n v="1082.2567536629999"/>
    <n v="3896.1243131868"/>
  </r>
  <r>
    <x v="0"/>
    <x v="0"/>
    <x v="0"/>
    <x v="7"/>
    <x v="11"/>
    <s v="NO1_A1"/>
    <x v="1"/>
    <s v="GHOB_WASTEHEAT"/>
    <x v="0"/>
    <x v="14"/>
    <n v="2.9650869963369799"/>
    <n v="1082.2567536629999"/>
    <n v="3896.1243131868"/>
  </r>
  <r>
    <x v="0"/>
    <x v="0"/>
    <x v="0"/>
    <x v="7"/>
    <x v="11"/>
    <s v="NO1_A1"/>
    <x v="1"/>
    <s v="GHOB_WASTEHEAT"/>
    <x v="0"/>
    <x v="15"/>
    <n v="2.9650869963369799"/>
    <n v="1082.2567536629999"/>
    <n v="3896.1243131868"/>
  </r>
  <r>
    <x v="0"/>
    <x v="0"/>
    <x v="0"/>
    <x v="7"/>
    <x v="11"/>
    <s v="NO1_A1"/>
    <x v="1"/>
    <s v="GHOB_WASTEHEAT"/>
    <x v="0"/>
    <x v="16"/>
    <n v="2.9650869963369799"/>
    <n v="1082.2567536629999"/>
    <n v="3896.1243131868"/>
  </r>
  <r>
    <x v="0"/>
    <x v="0"/>
    <x v="0"/>
    <x v="7"/>
    <x v="11"/>
    <s v="NO1_A1"/>
    <x v="1"/>
    <s v="GHOB_WASTEHEAT"/>
    <x v="0"/>
    <x v="17"/>
    <n v="2.9650869963369799"/>
    <n v="1082.2567536629999"/>
    <n v="3896.1243131868"/>
  </r>
  <r>
    <x v="0"/>
    <x v="0"/>
    <x v="0"/>
    <x v="7"/>
    <x v="11"/>
    <s v="NO1_A1"/>
    <x v="1"/>
    <s v="GHOB_WASTEHEAT"/>
    <x v="0"/>
    <x v="19"/>
    <n v="2.9650869963369799"/>
    <n v="1082.2567536629999"/>
    <n v="3896.1243131868"/>
  </r>
  <r>
    <x v="0"/>
    <x v="0"/>
    <x v="0"/>
    <x v="7"/>
    <x v="11"/>
    <s v="NO1_A1"/>
    <x v="1"/>
    <s v="GHOB_WASTEHEAT"/>
    <x v="0"/>
    <x v="20"/>
    <n v="2.9650869963369799"/>
    <n v="1082.2567536629999"/>
    <n v="3896.1243131868"/>
  </r>
  <r>
    <x v="0"/>
    <x v="0"/>
    <x v="0"/>
    <x v="7"/>
    <x v="11"/>
    <s v="NO1_A1"/>
    <x v="1"/>
    <s v="GHOB_WASTEHEAT"/>
    <x v="0"/>
    <x v="21"/>
    <n v="2.9650869963369799"/>
    <n v="1082.2567536629999"/>
    <n v="3896.1243131868"/>
  </r>
  <r>
    <x v="0"/>
    <x v="0"/>
    <x v="0"/>
    <x v="7"/>
    <x v="11"/>
    <s v="NO1_A1"/>
    <x v="1"/>
    <s v="GHOB_WASTEHEAT"/>
    <x v="0"/>
    <x v="22"/>
    <n v="2.9650869963369799"/>
    <n v="1082.2567536629999"/>
    <n v="3896.1243131868"/>
  </r>
  <r>
    <x v="0"/>
    <x v="0"/>
    <x v="0"/>
    <x v="7"/>
    <x v="11"/>
    <s v="NO1_A1"/>
    <x v="1"/>
    <s v="GHOB_WASTEHEAT"/>
    <x v="0"/>
    <x v="23"/>
    <n v="2.9650869963369799"/>
    <n v="1082.2567536629999"/>
    <n v="3896.1243131868"/>
  </r>
  <r>
    <x v="0"/>
    <x v="0"/>
    <x v="0"/>
    <x v="7"/>
    <x v="11"/>
    <s v="NO1_A1"/>
    <x v="7"/>
    <s v="GNR_RES_WTR_NOPMP_MC-01"/>
    <x v="0"/>
    <x v="0"/>
    <n v="160"/>
    <n v="58400"/>
    <n v="210240"/>
  </r>
  <r>
    <x v="0"/>
    <x v="0"/>
    <x v="0"/>
    <x v="7"/>
    <x v="11"/>
    <s v="NO1_A1"/>
    <x v="7"/>
    <s v="GNR_RES_WTR_NOPMP_MC-01"/>
    <x v="0"/>
    <x v="1"/>
    <n v="160"/>
    <n v="58400"/>
    <n v="210240"/>
  </r>
  <r>
    <x v="0"/>
    <x v="0"/>
    <x v="0"/>
    <x v="7"/>
    <x v="11"/>
    <s v="NO1_A1"/>
    <x v="7"/>
    <s v="GNR_RES_WTR_NOPMP_MC-01"/>
    <x v="0"/>
    <x v="2"/>
    <n v="160"/>
    <n v="58400"/>
    <n v="210240"/>
  </r>
  <r>
    <x v="0"/>
    <x v="0"/>
    <x v="0"/>
    <x v="7"/>
    <x v="11"/>
    <s v="NO1_A1"/>
    <x v="7"/>
    <s v="GNR_RES_WTR_NOPMP_MC-01"/>
    <x v="0"/>
    <x v="3"/>
    <n v="160"/>
    <n v="58400"/>
    <n v="210240"/>
  </r>
  <r>
    <x v="0"/>
    <x v="0"/>
    <x v="0"/>
    <x v="7"/>
    <x v="11"/>
    <s v="NO1_A1"/>
    <x v="7"/>
    <s v="GNR_RES_WTR_NOPMP_MC-01"/>
    <x v="0"/>
    <x v="18"/>
    <n v="160"/>
    <n v="58400"/>
    <n v="210240"/>
  </r>
  <r>
    <x v="0"/>
    <x v="0"/>
    <x v="0"/>
    <x v="7"/>
    <x v="11"/>
    <s v="NO1_A1"/>
    <x v="7"/>
    <s v="GNR_RES_WTR_NOPMP_MC-01"/>
    <x v="0"/>
    <x v="4"/>
    <n v="160"/>
    <n v="58400"/>
    <n v="210240"/>
  </r>
  <r>
    <x v="0"/>
    <x v="0"/>
    <x v="0"/>
    <x v="7"/>
    <x v="11"/>
    <s v="NO1_A1"/>
    <x v="7"/>
    <s v="GNR_RES_WTR_NOPMP_MC-01"/>
    <x v="0"/>
    <x v="5"/>
    <n v="160"/>
    <n v="58400"/>
    <n v="210240"/>
  </r>
  <r>
    <x v="0"/>
    <x v="0"/>
    <x v="0"/>
    <x v="7"/>
    <x v="11"/>
    <s v="NO1_A1"/>
    <x v="7"/>
    <s v="GNR_RES_WTR_NOPMP_MC-01"/>
    <x v="0"/>
    <x v="6"/>
    <n v="160"/>
    <n v="58400"/>
    <n v="210240"/>
  </r>
  <r>
    <x v="0"/>
    <x v="0"/>
    <x v="0"/>
    <x v="7"/>
    <x v="11"/>
    <s v="NO1_A1"/>
    <x v="7"/>
    <s v="GNR_RES_WTR_NOPMP_MC-01"/>
    <x v="0"/>
    <x v="7"/>
    <n v="160"/>
    <n v="58400"/>
    <n v="210240"/>
  </r>
  <r>
    <x v="0"/>
    <x v="0"/>
    <x v="0"/>
    <x v="7"/>
    <x v="11"/>
    <s v="NO1_A1"/>
    <x v="7"/>
    <s v="GNR_RES_WTR_NOPMP_MC-01"/>
    <x v="0"/>
    <x v="8"/>
    <n v="160"/>
    <n v="58400"/>
    <n v="210240"/>
  </r>
  <r>
    <x v="0"/>
    <x v="0"/>
    <x v="0"/>
    <x v="7"/>
    <x v="11"/>
    <s v="NO1_A1"/>
    <x v="7"/>
    <s v="GNR_RES_WTR_NOPMP_MC-01"/>
    <x v="0"/>
    <x v="9"/>
    <n v="160"/>
    <n v="58400"/>
    <n v="210240"/>
  </r>
  <r>
    <x v="0"/>
    <x v="0"/>
    <x v="0"/>
    <x v="7"/>
    <x v="11"/>
    <s v="NO1_A1"/>
    <x v="7"/>
    <s v="GNR_RES_WTR_NOPMP_MC-01"/>
    <x v="0"/>
    <x v="10"/>
    <n v="160"/>
    <n v="58400"/>
    <n v="210240"/>
  </r>
  <r>
    <x v="0"/>
    <x v="0"/>
    <x v="0"/>
    <x v="7"/>
    <x v="11"/>
    <s v="NO1_A1"/>
    <x v="7"/>
    <s v="GNR_RES_WTR_NOPMP_MC-01"/>
    <x v="0"/>
    <x v="11"/>
    <n v="160"/>
    <n v="58400"/>
    <n v="210240"/>
  </r>
  <r>
    <x v="0"/>
    <x v="0"/>
    <x v="0"/>
    <x v="7"/>
    <x v="11"/>
    <s v="NO1_A1"/>
    <x v="7"/>
    <s v="GNR_RES_WTR_NOPMP_MC-01"/>
    <x v="0"/>
    <x v="12"/>
    <n v="160"/>
    <n v="58400"/>
    <n v="210240"/>
  </r>
  <r>
    <x v="0"/>
    <x v="0"/>
    <x v="0"/>
    <x v="7"/>
    <x v="11"/>
    <s v="NO1_A1"/>
    <x v="7"/>
    <s v="GNR_RES_WTR_NOPMP_MC-01"/>
    <x v="0"/>
    <x v="13"/>
    <n v="160"/>
    <n v="58400"/>
    <n v="210240"/>
  </r>
  <r>
    <x v="0"/>
    <x v="0"/>
    <x v="0"/>
    <x v="7"/>
    <x v="11"/>
    <s v="NO1_A1"/>
    <x v="7"/>
    <s v="GNR_RES_WTR_NOPMP_MC-01"/>
    <x v="0"/>
    <x v="14"/>
    <n v="160"/>
    <n v="58400"/>
    <n v="210240"/>
  </r>
  <r>
    <x v="0"/>
    <x v="0"/>
    <x v="0"/>
    <x v="7"/>
    <x v="11"/>
    <s v="NO1_A1"/>
    <x v="7"/>
    <s v="GNR_RES_WTR_NOPMP_MC-01"/>
    <x v="0"/>
    <x v="15"/>
    <n v="160"/>
    <n v="58400"/>
    <n v="210240"/>
  </r>
  <r>
    <x v="0"/>
    <x v="0"/>
    <x v="0"/>
    <x v="7"/>
    <x v="11"/>
    <s v="NO1_A1"/>
    <x v="7"/>
    <s v="GNR_RES_WTR_NOPMP_MC-01"/>
    <x v="0"/>
    <x v="16"/>
    <n v="160"/>
    <n v="58400"/>
    <n v="210240"/>
  </r>
  <r>
    <x v="0"/>
    <x v="0"/>
    <x v="0"/>
    <x v="7"/>
    <x v="11"/>
    <s v="NO1_A1"/>
    <x v="7"/>
    <s v="GNR_RES_WTR_NOPMP_MC-01"/>
    <x v="0"/>
    <x v="17"/>
    <n v="160"/>
    <n v="58400"/>
    <n v="210240"/>
  </r>
  <r>
    <x v="0"/>
    <x v="0"/>
    <x v="0"/>
    <x v="7"/>
    <x v="11"/>
    <s v="NO1_A1"/>
    <x v="7"/>
    <s v="GNR_RES_WTR_NOPMP_MC-01"/>
    <x v="0"/>
    <x v="19"/>
    <n v="160"/>
    <n v="58400"/>
    <n v="210240"/>
  </r>
  <r>
    <x v="0"/>
    <x v="0"/>
    <x v="0"/>
    <x v="7"/>
    <x v="11"/>
    <s v="NO1_A1"/>
    <x v="7"/>
    <s v="GNR_RES_WTR_NOPMP_MC-01"/>
    <x v="0"/>
    <x v="20"/>
    <n v="160"/>
    <n v="58400"/>
    <n v="210240"/>
  </r>
  <r>
    <x v="0"/>
    <x v="0"/>
    <x v="0"/>
    <x v="7"/>
    <x v="11"/>
    <s v="NO1_A1"/>
    <x v="7"/>
    <s v="GNR_RES_WTR_NOPMP_MC-01"/>
    <x v="0"/>
    <x v="21"/>
    <n v="160"/>
    <n v="58400"/>
    <n v="210240"/>
  </r>
  <r>
    <x v="0"/>
    <x v="0"/>
    <x v="0"/>
    <x v="7"/>
    <x v="11"/>
    <s v="NO1_A1"/>
    <x v="7"/>
    <s v="GNR_RES_WTR_NOPMP_MC-01"/>
    <x v="0"/>
    <x v="22"/>
    <n v="160"/>
    <n v="58400"/>
    <n v="210240"/>
  </r>
  <r>
    <x v="0"/>
    <x v="0"/>
    <x v="0"/>
    <x v="7"/>
    <x v="11"/>
    <s v="NO1_A1"/>
    <x v="7"/>
    <s v="GNR_RES_WTR_NOPMP_MC-01"/>
    <x v="0"/>
    <x v="23"/>
    <n v="160"/>
    <n v="58400"/>
    <n v="210240"/>
  </r>
  <r>
    <x v="0"/>
    <x v="0"/>
    <x v="0"/>
    <x v="7"/>
    <x v="11"/>
    <s v="NO1_A1"/>
    <x v="7"/>
    <s v="GNR_RES_WTR_NOPMP_MC-02"/>
    <x v="0"/>
    <x v="0"/>
    <n v="160"/>
    <n v="58400"/>
    <n v="210240"/>
  </r>
  <r>
    <x v="0"/>
    <x v="0"/>
    <x v="0"/>
    <x v="7"/>
    <x v="11"/>
    <s v="NO1_A1"/>
    <x v="7"/>
    <s v="GNR_RES_WTR_NOPMP_MC-02"/>
    <x v="0"/>
    <x v="1"/>
    <n v="160"/>
    <n v="58400"/>
    <n v="210240"/>
  </r>
  <r>
    <x v="0"/>
    <x v="0"/>
    <x v="0"/>
    <x v="7"/>
    <x v="11"/>
    <s v="NO1_A1"/>
    <x v="7"/>
    <s v="GNR_RES_WTR_NOPMP_MC-02"/>
    <x v="0"/>
    <x v="2"/>
    <n v="160"/>
    <n v="58400"/>
    <n v="210240"/>
  </r>
  <r>
    <x v="0"/>
    <x v="0"/>
    <x v="0"/>
    <x v="7"/>
    <x v="11"/>
    <s v="NO1_A1"/>
    <x v="7"/>
    <s v="GNR_RES_WTR_NOPMP_MC-02"/>
    <x v="0"/>
    <x v="3"/>
    <n v="160"/>
    <n v="58400"/>
    <n v="210240"/>
  </r>
  <r>
    <x v="0"/>
    <x v="0"/>
    <x v="0"/>
    <x v="7"/>
    <x v="11"/>
    <s v="NO1_A1"/>
    <x v="7"/>
    <s v="GNR_RES_WTR_NOPMP_MC-02"/>
    <x v="0"/>
    <x v="18"/>
    <n v="160"/>
    <n v="58400"/>
    <n v="210240"/>
  </r>
  <r>
    <x v="0"/>
    <x v="0"/>
    <x v="0"/>
    <x v="7"/>
    <x v="11"/>
    <s v="NO1_A1"/>
    <x v="7"/>
    <s v="GNR_RES_WTR_NOPMP_MC-02"/>
    <x v="0"/>
    <x v="4"/>
    <n v="160"/>
    <n v="58400"/>
    <n v="210240"/>
  </r>
  <r>
    <x v="0"/>
    <x v="0"/>
    <x v="0"/>
    <x v="7"/>
    <x v="11"/>
    <s v="NO1_A1"/>
    <x v="7"/>
    <s v="GNR_RES_WTR_NOPMP_MC-02"/>
    <x v="0"/>
    <x v="5"/>
    <n v="160"/>
    <n v="58400"/>
    <n v="210240"/>
  </r>
  <r>
    <x v="0"/>
    <x v="0"/>
    <x v="0"/>
    <x v="7"/>
    <x v="11"/>
    <s v="NO1_A1"/>
    <x v="7"/>
    <s v="GNR_RES_WTR_NOPMP_MC-02"/>
    <x v="0"/>
    <x v="6"/>
    <n v="160"/>
    <n v="58400"/>
    <n v="210240"/>
  </r>
  <r>
    <x v="0"/>
    <x v="0"/>
    <x v="0"/>
    <x v="7"/>
    <x v="11"/>
    <s v="NO1_A1"/>
    <x v="7"/>
    <s v="GNR_RES_WTR_NOPMP_MC-02"/>
    <x v="0"/>
    <x v="7"/>
    <n v="160"/>
    <n v="58400"/>
    <n v="210240"/>
  </r>
  <r>
    <x v="0"/>
    <x v="0"/>
    <x v="0"/>
    <x v="7"/>
    <x v="11"/>
    <s v="NO1_A1"/>
    <x v="7"/>
    <s v="GNR_RES_WTR_NOPMP_MC-02"/>
    <x v="0"/>
    <x v="8"/>
    <n v="160"/>
    <n v="58400"/>
    <n v="210240"/>
  </r>
  <r>
    <x v="0"/>
    <x v="0"/>
    <x v="0"/>
    <x v="7"/>
    <x v="11"/>
    <s v="NO1_A1"/>
    <x v="7"/>
    <s v="GNR_RES_WTR_NOPMP_MC-02"/>
    <x v="0"/>
    <x v="9"/>
    <n v="160"/>
    <n v="58400"/>
    <n v="210240"/>
  </r>
  <r>
    <x v="0"/>
    <x v="0"/>
    <x v="0"/>
    <x v="7"/>
    <x v="11"/>
    <s v="NO1_A1"/>
    <x v="7"/>
    <s v="GNR_RES_WTR_NOPMP_MC-02"/>
    <x v="0"/>
    <x v="10"/>
    <n v="160"/>
    <n v="58400"/>
    <n v="210240"/>
  </r>
  <r>
    <x v="0"/>
    <x v="0"/>
    <x v="0"/>
    <x v="7"/>
    <x v="11"/>
    <s v="NO1_A1"/>
    <x v="7"/>
    <s v="GNR_RES_WTR_NOPMP_MC-02"/>
    <x v="0"/>
    <x v="11"/>
    <n v="160"/>
    <n v="58400"/>
    <n v="210240"/>
  </r>
  <r>
    <x v="0"/>
    <x v="0"/>
    <x v="0"/>
    <x v="7"/>
    <x v="11"/>
    <s v="NO1_A1"/>
    <x v="7"/>
    <s v="GNR_RES_WTR_NOPMP_MC-02"/>
    <x v="0"/>
    <x v="12"/>
    <n v="160"/>
    <n v="58400"/>
    <n v="210240"/>
  </r>
  <r>
    <x v="0"/>
    <x v="0"/>
    <x v="0"/>
    <x v="7"/>
    <x v="11"/>
    <s v="NO1_A1"/>
    <x v="7"/>
    <s v="GNR_RES_WTR_NOPMP_MC-02"/>
    <x v="0"/>
    <x v="13"/>
    <n v="160"/>
    <n v="58400"/>
    <n v="210240"/>
  </r>
  <r>
    <x v="0"/>
    <x v="0"/>
    <x v="0"/>
    <x v="7"/>
    <x v="11"/>
    <s v="NO1_A1"/>
    <x v="7"/>
    <s v="GNR_RES_WTR_NOPMP_MC-02"/>
    <x v="0"/>
    <x v="14"/>
    <n v="160"/>
    <n v="58400"/>
    <n v="210240"/>
  </r>
  <r>
    <x v="0"/>
    <x v="0"/>
    <x v="0"/>
    <x v="7"/>
    <x v="11"/>
    <s v="NO1_A1"/>
    <x v="7"/>
    <s v="GNR_RES_WTR_NOPMP_MC-02"/>
    <x v="0"/>
    <x v="15"/>
    <n v="160"/>
    <n v="58400"/>
    <n v="210240"/>
  </r>
  <r>
    <x v="0"/>
    <x v="0"/>
    <x v="0"/>
    <x v="7"/>
    <x v="11"/>
    <s v="NO1_A1"/>
    <x v="7"/>
    <s v="GNR_RES_WTR_NOPMP_MC-02"/>
    <x v="0"/>
    <x v="16"/>
    <n v="160"/>
    <n v="58400"/>
    <n v="210240"/>
  </r>
  <r>
    <x v="0"/>
    <x v="0"/>
    <x v="0"/>
    <x v="7"/>
    <x v="11"/>
    <s v="NO1_A1"/>
    <x v="7"/>
    <s v="GNR_RES_WTR_NOPMP_MC-02"/>
    <x v="0"/>
    <x v="17"/>
    <n v="160"/>
    <n v="58400"/>
    <n v="210240"/>
  </r>
  <r>
    <x v="0"/>
    <x v="0"/>
    <x v="0"/>
    <x v="7"/>
    <x v="11"/>
    <s v="NO1_A1"/>
    <x v="7"/>
    <s v="GNR_RES_WTR_NOPMP_MC-02"/>
    <x v="0"/>
    <x v="19"/>
    <n v="160"/>
    <n v="58400"/>
    <n v="210240"/>
  </r>
  <r>
    <x v="0"/>
    <x v="0"/>
    <x v="0"/>
    <x v="7"/>
    <x v="11"/>
    <s v="NO1_A1"/>
    <x v="7"/>
    <s v="GNR_RES_WTR_NOPMP_MC-02"/>
    <x v="0"/>
    <x v="20"/>
    <n v="160"/>
    <n v="58400"/>
    <n v="210240"/>
  </r>
  <r>
    <x v="0"/>
    <x v="0"/>
    <x v="0"/>
    <x v="7"/>
    <x v="11"/>
    <s v="NO1_A1"/>
    <x v="7"/>
    <s v="GNR_RES_WTR_NOPMP_MC-02"/>
    <x v="0"/>
    <x v="21"/>
    <n v="160"/>
    <n v="58400"/>
    <n v="210240"/>
  </r>
  <r>
    <x v="0"/>
    <x v="0"/>
    <x v="0"/>
    <x v="7"/>
    <x v="11"/>
    <s v="NO1_A1"/>
    <x v="7"/>
    <s v="GNR_RES_WTR_NOPMP_MC-02"/>
    <x v="0"/>
    <x v="22"/>
    <n v="160"/>
    <n v="58400"/>
    <n v="210240"/>
  </r>
  <r>
    <x v="0"/>
    <x v="0"/>
    <x v="0"/>
    <x v="7"/>
    <x v="11"/>
    <s v="NO1_A1"/>
    <x v="7"/>
    <s v="GNR_RES_WTR_NOPMP_MC-02"/>
    <x v="0"/>
    <x v="23"/>
    <n v="160"/>
    <n v="58400"/>
    <n v="210240"/>
  </r>
  <r>
    <x v="0"/>
    <x v="0"/>
    <x v="0"/>
    <x v="7"/>
    <x v="11"/>
    <s v="NO1_A1"/>
    <x v="7"/>
    <s v="GNR_RES_WTR_NOPMP_MC-03"/>
    <x v="0"/>
    <x v="4"/>
    <n v="160"/>
    <n v="58400"/>
    <n v="210240"/>
  </r>
  <r>
    <x v="0"/>
    <x v="0"/>
    <x v="0"/>
    <x v="7"/>
    <x v="11"/>
    <s v="NO1_A1"/>
    <x v="7"/>
    <s v="GNR_RES_WTR_NOPMP_MC-03"/>
    <x v="0"/>
    <x v="5"/>
    <n v="160"/>
    <n v="58400"/>
    <n v="210240"/>
  </r>
  <r>
    <x v="0"/>
    <x v="0"/>
    <x v="0"/>
    <x v="7"/>
    <x v="11"/>
    <s v="NO1_A1"/>
    <x v="7"/>
    <s v="GNR_RES_WTR_NOPMP_MC-03"/>
    <x v="0"/>
    <x v="6"/>
    <n v="160"/>
    <n v="58400"/>
    <n v="210240"/>
  </r>
  <r>
    <x v="0"/>
    <x v="0"/>
    <x v="0"/>
    <x v="7"/>
    <x v="11"/>
    <s v="NO1_A1"/>
    <x v="7"/>
    <s v="GNR_RES_WTR_NOPMP_MC-03"/>
    <x v="0"/>
    <x v="7"/>
    <n v="160"/>
    <n v="58400"/>
    <n v="210240"/>
  </r>
  <r>
    <x v="0"/>
    <x v="0"/>
    <x v="0"/>
    <x v="7"/>
    <x v="11"/>
    <s v="NO1_A1"/>
    <x v="7"/>
    <s v="GNR_RES_WTR_NOPMP_MC-03"/>
    <x v="0"/>
    <x v="8"/>
    <n v="160"/>
    <n v="58400"/>
    <n v="210240"/>
  </r>
  <r>
    <x v="0"/>
    <x v="0"/>
    <x v="0"/>
    <x v="7"/>
    <x v="11"/>
    <s v="NO1_A1"/>
    <x v="7"/>
    <s v="GNR_RES_WTR_NOPMP_MC-03"/>
    <x v="0"/>
    <x v="9"/>
    <n v="160"/>
    <n v="58400"/>
    <n v="210240"/>
  </r>
  <r>
    <x v="0"/>
    <x v="0"/>
    <x v="0"/>
    <x v="7"/>
    <x v="11"/>
    <s v="NO1_A1"/>
    <x v="7"/>
    <s v="GNR_RES_WTR_NOPMP_MC-03"/>
    <x v="0"/>
    <x v="10"/>
    <n v="160"/>
    <n v="58400"/>
    <n v="210240"/>
  </r>
  <r>
    <x v="0"/>
    <x v="0"/>
    <x v="0"/>
    <x v="7"/>
    <x v="11"/>
    <s v="NO1_A1"/>
    <x v="7"/>
    <s v="GNR_RES_WTR_NOPMP_MC-03"/>
    <x v="0"/>
    <x v="11"/>
    <n v="160"/>
    <n v="58400"/>
    <n v="210240"/>
  </r>
  <r>
    <x v="0"/>
    <x v="0"/>
    <x v="0"/>
    <x v="7"/>
    <x v="11"/>
    <s v="NO1_A1"/>
    <x v="7"/>
    <s v="GNR_RES_WTR_NOPMP_MC-03"/>
    <x v="0"/>
    <x v="12"/>
    <n v="160"/>
    <n v="58400"/>
    <n v="210240"/>
  </r>
  <r>
    <x v="0"/>
    <x v="0"/>
    <x v="0"/>
    <x v="7"/>
    <x v="11"/>
    <s v="NO1_A1"/>
    <x v="7"/>
    <s v="GNR_RES_WTR_NOPMP_MC-03"/>
    <x v="0"/>
    <x v="13"/>
    <n v="160"/>
    <n v="58400"/>
    <n v="210240"/>
  </r>
  <r>
    <x v="0"/>
    <x v="0"/>
    <x v="0"/>
    <x v="7"/>
    <x v="11"/>
    <s v="NO1_A1"/>
    <x v="7"/>
    <s v="GNR_RES_WTR_NOPMP_MC-03"/>
    <x v="0"/>
    <x v="14"/>
    <n v="160"/>
    <n v="58400"/>
    <n v="210240"/>
  </r>
  <r>
    <x v="0"/>
    <x v="0"/>
    <x v="0"/>
    <x v="7"/>
    <x v="11"/>
    <s v="NO1_A1"/>
    <x v="7"/>
    <s v="GNR_RES_WTR_NOPMP_MC-03"/>
    <x v="0"/>
    <x v="15"/>
    <n v="160"/>
    <n v="58400"/>
    <n v="210240"/>
  </r>
  <r>
    <x v="0"/>
    <x v="0"/>
    <x v="0"/>
    <x v="7"/>
    <x v="11"/>
    <s v="NO1_A1"/>
    <x v="7"/>
    <s v="GNR_RES_WTR_NOPMP_MC-03"/>
    <x v="0"/>
    <x v="16"/>
    <n v="160"/>
    <n v="58400"/>
    <n v="210240"/>
  </r>
  <r>
    <x v="0"/>
    <x v="0"/>
    <x v="0"/>
    <x v="7"/>
    <x v="11"/>
    <s v="NO1_A1"/>
    <x v="7"/>
    <s v="GNR_RES_WTR_NOPMP_MC-03"/>
    <x v="0"/>
    <x v="17"/>
    <n v="160"/>
    <n v="58400"/>
    <n v="210240"/>
  </r>
  <r>
    <x v="0"/>
    <x v="0"/>
    <x v="0"/>
    <x v="7"/>
    <x v="11"/>
    <s v="NO1_A1"/>
    <x v="7"/>
    <s v="GNR_RES_WTR_NOPMP_MC-03"/>
    <x v="0"/>
    <x v="19"/>
    <n v="160"/>
    <n v="58400"/>
    <n v="210240"/>
  </r>
  <r>
    <x v="0"/>
    <x v="0"/>
    <x v="0"/>
    <x v="7"/>
    <x v="11"/>
    <s v="NO1_A1"/>
    <x v="7"/>
    <s v="GNR_RES_WTR_NOPMP_MC-03"/>
    <x v="0"/>
    <x v="20"/>
    <n v="160"/>
    <n v="58400"/>
    <n v="210240"/>
  </r>
  <r>
    <x v="0"/>
    <x v="0"/>
    <x v="0"/>
    <x v="7"/>
    <x v="11"/>
    <s v="NO1_A1"/>
    <x v="7"/>
    <s v="GNR_RES_WTR_NOPMP_MC-03"/>
    <x v="0"/>
    <x v="21"/>
    <n v="160"/>
    <n v="58400"/>
    <n v="210240"/>
  </r>
  <r>
    <x v="0"/>
    <x v="0"/>
    <x v="0"/>
    <x v="7"/>
    <x v="11"/>
    <s v="NO1_A1"/>
    <x v="7"/>
    <s v="GNR_RES_WTR_NOPMP_MC-04"/>
    <x v="0"/>
    <x v="5"/>
    <n v="160"/>
    <n v="58400"/>
    <n v="210240"/>
  </r>
  <r>
    <x v="0"/>
    <x v="0"/>
    <x v="0"/>
    <x v="7"/>
    <x v="11"/>
    <s v="NO1_A1"/>
    <x v="7"/>
    <s v="GNR_RES_WTR_NOPMP_MC-04"/>
    <x v="0"/>
    <x v="6"/>
    <n v="160"/>
    <n v="58400"/>
    <n v="210240"/>
  </r>
  <r>
    <x v="0"/>
    <x v="0"/>
    <x v="0"/>
    <x v="7"/>
    <x v="11"/>
    <s v="NO1_A1"/>
    <x v="7"/>
    <s v="GNR_RES_WTR_NOPMP_MC-04"/>
    <x v="0"/>
    <x v="7"/>
    <n v="160"/>
    <n v="58400"/>
    <n v="210240"/>
  </r>
  <r>
    <x v="0"/>
    <x v="0"/>
    <x v="0"/>
    <x v="7"/>
    <x v="11"/>
    <s v="NO1_A1"/>
    <x v="7"/>
    <s v="GNR_RES_WTR_NOPMP_MC-04"/>
    <x v="0"/>
    <x v="8"/>
    <n v="160"/>
    <n v="58400"/>
    <n v="210240"/>
  </r>
  <r>
    <x v="0"/>
    <x v="0"/>
    <x v="0"/>
    <x v="7"/>
    <x v="11"/>
    <s v="NO1_A1"/>
    <x v="7"/>
    <s v="GNR_RES_WTR_NOPMP_MC-04"/>
    <x v="0"/>
    <x v="9"/>
    <n v="160"/>
    <n v="58400"/>
    <n v="210240"/>
  </r>
  <r>
    <x v="0"/>
    <x v="0"/>
    <x v="0"/>
    <x v="7"/>
    <x v="11"/>
    <s v="NO1_A1"/>
    <x v="7"/>
    <s v="GNR_RES_WTR_NOPMP_MC-04"/>
    <x v="0"/>
    <x v="10"/>
    <n v="160"/>
    <n v="58400"/>
    <n v="210240"/>
  </r>
  <r>
    <x v="0"/>
    <x v="0"/>
    <x v="0"/>
    <x v="7"/>
    <x v="11"/>
    <s v="NO1_A1"/>
    <x v="7"/>
    <s v="GNR_RES_WTR_NOPMP_MC-04"/>
    <x v="0"/>
    <x v="11"/>
    <n v="160"/>
    <n v="58400"/>
    <n v="210240"/>
  </r>
  <r>
    <x v="0"/>
    <x v="0"/>
    <x v="0"/>
    <x v="7"/>
    <x v="11"/>
    <s v="NO1_A1"/>
    <x v="7"/>
    <s v="GNR_RES_WTR_NOPMP_MC-04"/>
    <x v="0"/>
    <x v="12"/>
    <n v="160"/>
    <n v="58400"/>
    <n v="210240"/>
  </r>
  <r>
    <x v="0"/>
    <x v="0"/>
    <x v="0"/>
    <x v="7"/>
    <x v="11"/>
    <s v="NO1_A1"/>
    <x v="7"/>
    <s v="GNR_RES_WTR_NOPMP_MC-04"/>
    <x v="0"/>
    <x v="13"/>
    <n v="160"/>
    <n v="58400"/>
    <n v="210240"/>
  </r>
  <r>
    <x v="0"/>
    <x v="0"/>
    <x v="0"/>
    <x v="7"/>
    <x v="11"/>
    <s v="NO1_A1"/>
    <x v="7"/>
    <s v="GNR_RES_WTR_NOPMP_MC-04"/>
    <x v="0"/>
    <x v="14"/>
    <n v="160"/>
    <n v="58400"/>
    <n v="210240"/>
  </r>
  <r>
    <x v="0"/>
    <x v="0"/>
    <x v="0"/>
    <x v="7"/>
    <x v="11"/>
    <s v="NO1_A1"/>
    <x v="7"/>
    <s v="GNR_RES_WTR_NOPMP_MC-04"/>
    <x v="0"/>
    <x v="15"/>
    <n v="160"/>
    <n v="58400"/>
    <n v="210240"/>
  </r>
  <r>
    <x v="0"/>
    <x v="0"/>
    <x v="0"/>
    <x v="7"/>
    <x v="11"/>
    <s v="NO1_A1"/>
    <x v="7"/>
    <s v="GNR_RES_WTR_NOPMP_MC-04"/>
    <x v="0"/>
    <x v="16"/>
    <n v="160"/>
    <n v="58400"/>
    <n v="210240"/>
  </r>
  <r>
    <x v="0"/>
    <x v="0"/>
    <x v="0"/>
    <x v="7"/>
    <x v="11"/>
    <s v="NO1_A1"/>
    <x v="7"/>
    <s v="GNR_RES_WTR_NOPMP_MC-04"/>
    <x v="0"/>
    <x v="17"/>
    <n v="160"/>
    <n v="58400"/>
    <n v="210240"/>
  </r>
  <r>
    <x v="0"/>
    <x v="0"/>
    <x v="0"/>
    <x v="7"/>
    <x v="11"/>
    <s v="NO1_A1"/>
    <x v="7"/>
    <s v="GNR_RES_WTR_NOPMP_MC-05"/>
    <x v="0"/>
    <x v="6"/>
    <n v="160"/>
    <n v="58400"/>
    <n v="210240"/>
  </r>
  <r>
    <x v="0"/>
    <x v="0"/>
    <x v="0"/>
    <x v="7"/>
    <x v="11"/>
    <s v="NO1_A1"/>
    <x v="7"/>
    <s v="GNR_RES_WTR_NOPMP_MC-05"/>
    <x v="0"/>
    <x v="7"/>
    <n v="160"/>
    <n v="58400"/>
    <n v="210240"/>
  </r>
  <r>
    <x v="0"/>
    <x v="0"/>
    <x v="0"/>
    <x v="7"/>
    <x v="11"/>
    <s v="NO1_A1"/>
    <x v="7"/>
    <s v="GNR_RES_WTR_NOPMP_MC-05"/>
    <x v="0"/>
    <x v="8"/>
    <n v="160"/>
    <n v="58400"/>
    <n v="210240"/>
  </r>
  <r>
    <x v="0"/>
    <x v="0"/>
    <x v="0"/>
    <x v="7"/>
    <x v="11"/>
    <s v="NO1_A1"/>
    <x v="7"/>
    <s v="GNR_RES_WTR_NOPMP_MC-06"/>
    <x v="0"/>
    <x v="7"/>
    <n v="160"/>
    <n v="58400"/>
    <n v="210240"/>
  </r>
  <r>
    <x v="0"/>
    <x v="0"/>
    <x v="0"/>
    <x v="7"/>
    <x v="11"/>
    <s v="NO1_A1"/>
    <x v="7"/>
    <s v="GNR_RES_WTR_NOPMP_MC-06"/>
    <x v="0"/>
    <x v="8"/>
    <n v="108.651056388207"/>
    <n v="39657.635581695497"/>
    <n v="142767.48809410399"/>
  </r>
  <r>
    <x v="0"/>
    <x v="0"/>
    <x v="0"/>
    <x v="7"/>
    <x v="11"/>
    <s v="NO1_A1"/>
    <x v="7"/>
    <s v="GNR_ROR_WTR"/>
    <x v="0"/>
    <x v="0"/>
    <n v="938.44564324685803"/>
    <n v="342532.65978510299"/>
    <n v="1233117.57522637"/>
  </r>
  <r>
    <x v="0"/>
    <x v="0"/>
    <x v="0"/>
    <x v="7"/>
    <x v="11"/>
    <s v="NO1_A1"/>
    <x v="7"/>
    <s v="GNR_ROR_WTR"/>
    <x v="0"/>
    <x v="1"/>
    <n v="938.44564324685803"/>
    <n v="342532.65978510299"/>
    <n v="1233117.57522637"/>
  </r>
  <r>
    <x v="0"/>
    <x v="0"/>
    <x v="0"/>
    <x v="7"/>
    <x v="11"/>
    <s v="NO1_A1"/>
    <x v="7"/>
    <s v="GNR_ROR_WTR"/>
    <x v="0"/>
    <x v="2"/>
    <n v="938.44564324685803"/>
    <n v="342532.65978510299"/>
    <n v="1233117.57522637"/>
  </r>
  <r>
    <x v="0"/>
    <x v="0"/>
    <x v="0"/>
    <x v="7"/>
    <x v="11"/>
    <s v="NO1_A1"/>
    <x v="7"/>
    <s v="GNR_ROR_WTR"/>
    <x v="0"/>
    <x v="3"/>
    <n v="938.44564324685803"/>
    <n v="342532.65978510299"/>
    <n v="1233117.57522637"/>
  </r>
  <r>
    <x v="0"/>
    <x v="0"/>
    <x v="0"/>
    <x v="7"/>
    <x v="11"/>
    <s v="NO1_A1"/>
    <x v="7"/>
    <s v="GNR_ROR_WTR"/>
    <x v="0"/>
    <x v="18"/>
    <n v="938.44564324685803"/>
    <n v="342532.65978510299"/>
    <n v="1233117.57522637"/>
  </r>
  <r>
    <x v="0"/>
    <x v="0"/>
    <x v="0"/>
    <x v="7"/>
    <x v="11"/>
    <s v="NO1_A1"/>
    <x v="7"/>
    <s v="GNR_ROR_WTR"/>
    <x v="0"/>
    <x v="4"/>
    <n v="938.44564324685803"/>
    <n v="342532.65978510299"/>
    <n v="1233117.57522637"/>
  </r>
  <r>
    <x v="0"/>
    <x v="0"/>
    <x v="0"/>
    <x v="7"/>
    <x v="11"/>
    <s v="NO1_A1"/>
    <x v="7"/>
    <s v="GNR_ROR_WTR"/>
    <x v="0"/>
    <x v="5"/>
    <n v="938.44564324685803"/>
    <n v="342532.65978510299"/>
    <n v="1233117.57522637"/>
  </r>
  <r>
    <x v="0"/>
    <x v="0"/>
    <x v="0"/>
    <x v="7"/>
    <x v="11"/>
    <s v="NO1_A1"/>
    <x v="7"/>
    <s v="GNR_ROR_WTR"/>
    <x v="0"/>
    <x v="6"/>
    <n v="938.44564324685803"/>
    <n v="342532.65978510299"/>
    <n v="1233117.57522637"/>
  </r>
  <r>
    <x v="0"/>
    <x v="0"/>
    <x v="0"/>
    <x v="7"/>
    <x v="11"/>
    <s v="NO1_A1"/>
    <x v="7"/>
    <s v="GNR_ROR_WTR"/>
    <x v="0"/>
    <x v="7"/>
    <n v="938.44564324685803"/>
    <n v="342532.65978510299"/>
    <n v="1233117.57522637"/>
  </r>
  <r>
    <x v="0"/>
    <x v="0"/>
    <x v="0"/>
    <x v="7"/>
    <x v="11"/>
    <s v="NO1_A1"/>
    <x v="7"/>
    <s v="GNR_ROR_WTR"/>
    <x v="0"/>
    <x v="8"/>
    <n v="938.44564324685803"/>
    <n v="342532.65978510299"/>
    <n v="1233117.57522637"/>
  </r>
  <r>
    <x v="0"/>
    <x v="0"/>
    <x v="0"/>
    <x v="7"/>
    <x v="11"/>
    <s v="NO1_A1"/>
    <x v="7"/>
    <s v="GNR_ROR_WTR"/>
    <x v="0"/>
    <x v="9"/>
    <n v="938.44564324685803"/>
    <n v="342532.65978510299"/>
    <n v="1233117.57522637"/>
  </r>
  <r>
    <x v="0"/>
    <x v="0"/>
    <x v="0"/>
    <x v="7"/>
    <x v="11"/>
    <s v="NO1_A1"/>
    <x v="7"/>
    <s v="GNR_ROR_WTR"/>
    <x v="0"/>
    <x v="10"/>
    <n v="938.44564324685803"/>
    <n v="342532.65978510299"/>
    <n v="1233117.57522637"/>
  </r>
  <r>
    <x v="0"/>
    <x v="0"/>
    <x v="0"/>
    <x v="7"/>
    <x v="11"/>
    <s v="NO1_A1"/>
    <x v="7"/>
    <s v="GNR_ROR_WTR"/>
    <x v="0"/>
    <x v="11"/>
    <n v="938.44564324685803"/>
    <n v="342532.65978510299"/>
    <n v="1233117.57522637"/>
  </r>
  <r>
    <x v="0"/>
    <x v="0"/>
    <x v="0"/>
    <x v="7"/>
    <x v="11"/>
    <s v="NO1_A1"/>
    <x v="7"/>
    <s v="GNR_ROR_WTR"/>
    <x v="0"/>
    <x v="12"/>
    <n v="938.44564324685803"/>
    <n v="342532.65978510299"/>
    <n v="1233117.57522637"/>
  </r>
  <r>
    <x v="0"/>
    <x v="0"/>
    <x v="0"/>
    <x v="7"/>
    <x v="11"/>
    <s v="NO1_A1"/>
    <x v="7"/>
    <s v="GNR_ROR_WTR"/>
    <x v="0"/>
    <x v="13"/>
    <n v="938.44564324685803"/>
    <n v="342532.65978510299"/>
    <n v="1233117.57522637"/>
  </r>
  <r>
    <x v="0"/>
    <x v="0"/>
    <x v="0"/>
    <x v="7"/>
    <x v="11"/>
    <s v="NO1_A1"/>
    <x v="7"/>
    <s v="GNR_ROR_WTR"/>
    <x v="0"/>
    <x v="14"/>
    <n v="938.44564324685803"/>
    <n v="342532.65978510299"/>
    <n v="1233117.57522637"/>
  </r>
  <r>
    <x v="0"/>
    <x v="0"/>
    <x v="0"/>
    <x v="7"/>
    <x v="11"/>
    <s v="NO1_A1"/>
    <x v="7"/>
    <s v="GNR_ROR_WTR"/>
    <x v="0"/>
    <x v="15"/>
    <n v="938.44564324685803"/>
    <n v="342532.65978510299"/>
    <n v="1233117.57522637"/>
  </r>
  <r>
    <x v="0"/>
    <x v="0"/>
    <x v="0"/>
    <x v="7"/>
    <x v="11"/>
    <s v="NO1_A1"/>
    <x v="7"/>
    <s v="GNR_ROR_WTR"/>
    <x v="0"/>
    <x v="16"/>
    <n v="938.44564324685803"/>
    <n v="342532.65978510299"/>
    <n v="1233117.57522637"/>
  </r>
  <r>
    <x v="0"/>
    <x v="0"/>
    <x v="0"/>
    <x v="7"/>
    <x v="11"/>
    <s v="NO1_A1"/>
    <x v="7"/>
    <s v="GNR_ROR_WTR"/>
    <x v="0"/>
    <x v="17"/>
    <n v="938.44564324685803"/>
    <n v="342532.65978510299"/>
    <n v="1233117.57522637"/>
  </r>
  <r>
    <x v="0"/>
    <x v="0"/>
    <x v="0"/>
    <x v="7"/>
    <x v="11"/>
    <s v="NO1_A1"/>
    <x v="7"/>
    <s v="GNR_ROR_WTR"/>
    <x v="0"/>
    <x v="19"/>
    <n v="938.44564324685803"/>
    <n v="342532.65978510299"/>
    <n v="1233117.57522637"/>
  </r>
  <r>
    <x v="0"/>
    <x v="0"/>
    <x v="0"/>
    <x v="7"/>
    <x v="11"/>
    <s v="NO1_A1"/>
    <x v="7"/>
    <s v="GNR_ROR_WTR"/>
    <x v="0"/>
    <x v="20"/>
    <n v="938.44564324685803"/>
    <n v="342532.65978510299"/>
    <n v="1233117.57522637"/>
  </r>
  <r>
    <x v="0"/>
    <x v="0"/>
    <x v="0"/>
    <x v="7"/>
    <x v="11"/>
    <s v="NO1_A1"/>
    <x v="7"/>
    <s v="GNR_ROR_WTR"/>
    <x v="0"/>
    <x v="21"/>
    <n v="938.44564324685803"/>
    <n v="342532.65978510299"/>
    <n v="1233117.57522637"/>
  </r>
  <r>
    <x v="0"/>
    <x v="0"/>
    <x v="0"/>
    <x v="7"/>
    <x v="11"/>
    <s v="NO1_A1"/>
    <x v="7"/>
    <s v="GNR_ROR_WTR"/>
    <x v="0"/>
    <x v="22"/>
    <n v="938.44564324685803"/>
    <n v="342532.65978510299"/>
    <n v="1233117.57522637"/>
  </r>
  <r>
    <x v="0"/>
    <x v="0"/>
    <x v="0"/>
    <x v="7"/>
    <x v="11"/>
    <s v="NO1_A1"/>
    <x v="7"/>
    <s v="GNR_ROR_WTR"/>
    <x v="0"/>
    <x v="23"/>
    <n v="938.44564324685803"/>
    <n v="342532.65978510299"/>
    <n v="1233117.57522637"/>
  </r>
  <r>
    <x v="0"/>
    <x v="0"/>
    <x v="0"/>
    <x v="7"/>
    <x v="11"/>
    <s v="NO1_A1"/>
    <x v="9"/>
    <s v="GHOB_WOODWASTE"/>
    <x v="0"/>
    <x v="0"/>
    <n v="62.352941176470601"/>
    <n v="22758.823529411799"/>
    <n v="81931.764705882393"/>
  </r>
  <r>
    <x v="0"/>
    <x v="0"/>
    <x v="0"/>
    <x v="7"/>
    <x v="11"/>
    <s v="NO1_A1"/>
    <x v="9"/>
    <s v="GHOB_WOODWASTE"/>
    <x v="0"/>
    <x v="1"/>
    <n v="62.352941176470601"/>
    <n v="22758.823529411799"/>
    <n v="81931.764705882393"/>
  </r>
  <r>
    <x v="0"/>
    <x v="0"/>
    <x v="0"/>
    <x v="7"/>
    <x v="11"/>
    <s v="NO1_A1"/>
    <x v="9"/>
    <s v="GHOB_WOODWASTE"/>
    <x v="0"/>
    <x v="2"/>
    <n v="62.352941176470601"/>
    <n v="22758.823529411799"/>
    <n v="81931.764705882393"/>
  </r>
  <r>
    <x v="0"/>
    <x v="0"/>
    <x v="0"/>
    <x v="7"/>
    <x v="11"/>
    <s v="NO1_A1"/>
    <x v="9"/>
    <s v="GHOB_WOODWASTE"/>
    <x v="0"/>
    <x v="3"/>
    <n v="62.352941176470601"/>
    <n v="22758.823529411799"/>
    <n v="81931.764705882393"/>
  </r>
  <r>
    <x v="0"/>
    <x v="0"/>
    <x v="0"/>
    <x v="7"/>
    <x v="11"/>
    <s v="NO1_A1"/>
    <x v="9"/>
    <s v="GHOB_WOODWASTE"/>
    <x v="0"/>
    <x v="18"/>
    <n v="62.352941176470601"/>
    <n v="22758.823529411799"/>
    <n v="81931.764705882393"/>
  </r>
  <r>
    <x v="0"/>
    <x v="0"/>
    <x v="0"/>
    <x v="7"/>
    <x v="11"/>
    <s v="NO1_A1"/>
    <x v="9"/>
    <s v="GHOB_WOODWASTE"/>
    <x v="0"/>
    <x v="4"/>
    <n v="62.352941176470601"/>
    <n v="22758.823529411799"/>
    <n v="81931.764705882393"/>
  </r>
  <r>
    <x v="0"/>
    <x v="0"/>
    <x v="0"/>
    <x v="7"/>
    <x v="11"/>
    <s v="NO1_A1"/>
    <x v="9"/>
    <s v="GHOB_WOODWASTE"/>
    <x v="0"/>
    <x v="5"/>
    <n v="62.352941176470601"/>
    <n v="22758.823529411799"/>
    <n v="81931.764705882393"/>
  </r>
  <r>
    <x v="0"/>
    <x v="0"/>
    <x v="0"/>
    <x v="7"/>
    <x v="11"/>
    <s v="NO1_A1"/>
    <x v="9"/>
    <s v="GHOB_WOODWASTE"/>
    <x v="0"/>
    <x v="6"/>
    <n v="62.352941176470601"/>
    <n v="22758.823529411799"/>
    <n v="81931.764705882393"/>
  </r>
  <r>
    <x v="0"/>
    <x v="0"/>
    <x v="0"/>
    <x v="7"/>
    <x v="11"/>
    <s v="NO1_A1"/>
    <x v="9"/>
    <s v="GHOB_WOODWASTE"/>
    <x v="0"/>
    <x v="7"/>
    <n v="62.352941176470601"/>
    <n v="22758.823529411799"/>
    <n v="81931.764705882393"/>
  </r>
  <r>
    <x v="0"/>
    <x v="0"/>
    <x v="0"/>
    <x v="7"/>
    <x v="11"/>
    <s v="NO1_A1"/>
    <x v="9"/>
    <s v="GHOB_WOODWASTE"/>
    <x v="0"/>
    <x v="8"/>
    <n v="62.352941176470601"/>
    <n v="22758.823529411799"/>
    <n v="81931.764705882393"/>
  </r>
  <r>
    <x v="0"/>
    <x v="0"/>
    <x v="0"/>
    <x v="7"/>
    <x v="11"/>
    <s v="NO1_A1"/>
    <x v="9"/>
    <s v="GHOB_WOODWASTE"/>
    <x v="0"/>
    <x v="9"/>
    <n v="62.352941176470601"/>
    <n v="22758.823529411799"/>
    <n v="81931.764705882393"/>
  </r>
  <r>
    <x v="0"/>
    <x v="0"/>
    <x v="0"/>
    <x v="7"/>
    <x v="11"/>
    <s v="NO1_A1"/>
    <x v="9"/>
    <s v="GHOB_WOODWASTE"/>
    <x v="0"/>
    <x v="10"/>
    <n v="62.352941176470601"/>
    <n v="22758.823529411799"/>
    <n v="81931.764705882393"/>
  </r>
  <r>
    <x v="0"/>
    <x v="0"/>
    <x v="0"/>
    <x v="7"/>
    <x v="11"/>
    <s v="NO1_A1"/>
    <x v="9"/>
    <s v="GHOB_WOODWASTE"/>
    <x v="0"/>
    <x v="11"/>
    <n v="62.352941176470601"/>
    <n v="22758.823529411799"/>
    <n v="81931.764705882393"/>
  </r>
  <r>
    <x v="0"/>
    <x v="0"/>
    <x v="0"/>
    <x v="7"/>
    <x v="11"/>
    <s v="NO1_A1"/>
    <x v="9"/>
    <s v="GHOB_WOODWASTE"/>
    <x v="0"/>
    <x v="12"/>
    <n v="62.352941176470601"/>
    <n v="22758.823529411799"/>
    <n v="81931.764705882393"/>
  </r>
  <r>
    <x v="0"/>
    <x v="0"/>
    <x v="0"/>
    <x v="7"/>
    <x v="11"/>
    <s v="NO1_A1"/>
    <x v="9"/>
    <s v="GHOB_WOODWASTE"/>
    <x v="0"/>
    <x v="13"/>
    <n v="62.352941176470601"/>
    <n v="22758.823529411799"/>
    <n v="81931.764705882393"/>
  </r>
  <r>
    <x v="0"/>
    <x v="0"/>
    <x v="0"/>
    <x v="7"/>
    <x v="11"/>
    <s v="NO1_A1"/>
    <x v="9"/>
    <s v="GHOB_WOODWASTE"/>
    <x v="0"/>
    <x v="14"/>
    <n v="57.1147818820412"/>
    <n v="20846.895386945002"/>
    <n v="75048.823393002196"/>
  </r>
  <r>
    <x v="0"/>
    <x v="0"/>
    <x v="0"/>
    <x v="7"/>
    <x v="11"/>
    <s v="NO1_A1"/>
    <x v="9"/>
    <s v="GHOB_WOODWASTE"/>
    <x v="0"/>
    <x v="15"/>
    <n v="49.108287049401703"/>
    <n v="17924.5247730316"/>
    <n v="64528.289182913803"/>
  </r>
  <r>
    <x v="0"/>
    <x v="0"/>
    <x v="0"/>
    <x v="7"/>
    <x v="11"/>
    <s v="NO1_A1"/>
    <x v="9"/>
    <s v="GHOB_WOODWASTE"/>
    <x v="0"/>
    <x v="16"/>
    <n v="43.1349573562104"/>
    <n v="15744.2594350168"/>
    <n v="56679.333966060498"/>
  </r>
  <r>
    <x v="0"/>
    <x v="0"/>
    <x v="0"/>
    <x v="7"/>
    <x v="11"/>
    <s v="NO1_A1"/>
    <x v="9"/>
    <s v="GHOB_WOODWASTE"/>
    <x v="0"/>
    <x v="17"/>
    <n v="39.008089915462598"/>
    <n v="14237.9528191439"/>
    <n v="51256.630148917902"/>
  </r>
  <r>
    <x v="0"/>
    <x v="0"/>
    <x v="0"/>
    <x v="7"/>
    <x v="11"/>
    <s v="NO1_A1"/>
    <x v="9"/>
    <s v="GHOB_WOODWASTE"/>
    <x v="0"/>
    <x v="19"/>
    <n v="34.357385077208598"/>
    <n v="12540.4455531811"/>
    <n v="45145.603991452102"/>
  </r>
  <r>
    <x v="0"/>
    <x v="0"/>
    <x v="0"/>
    <x v="7"/>
    <x v="11"/>
    <s v="NO1_A1"/>
    <x v="9"/>
    <s v="GHOB_WOODWASTE"/>
    <x v="0"/>
    <x v="20"/>
    <n v="62.352941176470601"/>
    <n v="22758.823529411799"/>
    <n v="81931.764705882393"/>
  </r>
  <r>
    <x v="0"/>
    <x v="0"/>
    <x v="0"/>
    <x v="7"/>
    <x v="11"/>
    <s v="NO1_A1"/>
    <x v="9"/>
    <s v="GHOB_WOODWASTE"/>
    <x v="0"/>
    <x v="21"/>
    <n v="55.905165360223698"/>
    <n v="20405.3853564817"/>
    <n v="73459.387283333999"/>
  </r>
  <r>
    <x v="0"/>
    <x v="0"/>
    <x v="0"/>
    <x v="7"/>
    <x v="11"/>
    <s v="NO1_A1"/>
    <x v="9"/>
    <s v="GHOB_WOODWASTE"/>
    <x v="0"/>
    <x v="22"/>
    <n v="17.289021927922398"/>
    <n v="6310.4930036916903"/>
    <n v="22717.7748132901"/>
  </r>
  <r>
    <x v="0"/>
    <x v="0"/>
    <x v="0"/>
    <x v="7"/>
    <x v="11"/>
    <s v="NO1_A1"/>
    <x v="9"/>
    <s v="GHOB_WOODWASTE"/>
    <x v="0"/>
    <x v="23"/>
    <n v="62.352941176470601"/>
    <n v="22758.823529411799"/>
    <n v="81931.764705882393"/>
  </r>
  <r>
    <x v="0"/>
    <x v="0"/>
    <x v="0"/>
    <x v="7"/>
    <x v="11"/>
    <s v="NO1_A2"/>
    <x v="19"/>
    <s v="GHOB_LPG"/>
    <x v="0"/>
    <x v="0"/>
    <n v="117.64705882352899"/>
    <n v="42941.176470588201"/>
    <n v="154588.235294118"/>
  </r>
  <r>
    <x v="0"/>
    <x v="0"/>
    <x v="0"/>
    <x v="7"/>
    <x v="11"/>
    <s v="NO1_A2"/>
    <x v="19"/>
    <s v="GHOB_LPG"/>
    <x v="0"/>
    <x v="1"/>
    <n v="117.64705882352899"/>
    <n v="42941.176470588201"/>
    <n v="154588.235294118"/>
  </r>
  <r>
    <x v="0"/>
    <x v="0"/>
    <x v="0"/>
    <x v="7"/>
    <x v="11"/>
    <s v="NO1_A2"/>
    <x v="19"/>
    <s v="GHOB_LPG"/>
    <x v="0"/>
    <x v="2"/>
    <n v="117.64705882352899"/>
    <n v="42941.176470588201"/>
    <n v="154588.235294118"/>
  </r>
  <r>
    <x v="0"/>
    <x v="0"/>
    <x v="0"/>
    <x v="7"/>
    <x v="11"/>
    <s v="NO1_A2"/>
    <x v="19"/>
    <s v="GHOB_LPG"/>
    <x v="0"/>
    <x v="3"/>
    <n v="117.64705882352899"/>
    <n v="42941.176470588201"/>
    <n v="154588.235294118"/>
  </r>
  <r>
    <x v="0"/>
    <x v="0"/>
    <x v="0"/>
    <x v="7"/>
    <x v="11"/>
    <s v="NO1_A2"/>
    <x v="19"/>
    <s v="GHOB_LPG"/>
    <x v="0"/>
    <x v="18"/>
    <n v="117.64705882352899"/>
    <n v="42941.176470588201"/>
    <n v="154588.235294118"/>
  </r>
  <r>
    <x v="0"/>
    <x v="0"/>
    <x v="0"/>
    <x v="7"/>
    <x v="11"/>
    <s v="NO1_A2"/>
    <x v="19"/>
    <s v="GHOB_LPG"/>
    <x v="0"/>
    <x v="4"/>
    <n v="117.64705882352899"/>
    <n v="42941.176470588201"/>
    <n v="154588.235294118"/>
  </r>
  <r>
    <x v="0"/>
    <x v="0"/>
    <x v="0"/>
    <x v="7"/>
    <x v="11"/>
    <s v="NO1_A2"/>
    <x v="19"/>
    <s v="GHOB_LPG"/>
    <x v="0"/>
    <x v="5"/>
    <n v="117.64705882352899"/>
    <n v="42941.176470588201"/>
    <n v="154588.235294118"/>
  </r>
  <r>
    <x v="0"/>
    <x v="0"/>
    <x v="0"/>
    <x v="7"/>
    <x v="11"/>
    <s v="NO1_A2"/>
    <x v="19"/>
    <s v="GHOB_LPG"/>
    <x v="0"/>
    <x v="6"/>
    <n v="117.64705882352899"/>
    <n v="42941.176470588201"/>
    <n v="154588.235294118"/>
  </r>
  <r>
    <x v="0"/>
    <x v="0"/>
    <x v="0"/>
    <x v="7"/>
    <x v="11"/>
    <s v="NO1_A2"/>
    <x v="19"/>
    <s v="GHOB_LPG"/>
    <x v="0"/>
    <x v="7"/>
    <n v="117.64705882352899"/>
    <n v="42941.176470588201"/>
    <n v="154588.235294118"/>
  </r>
  <r>
    <x v="0"/>
    <x v="0"/>
    <x v="0"/>
    <x v="7"/>
    <x v="11"/>
    <s v="NO1_A2"/>
    <x v="19"/>
    <s v="GHOB_LPG"/>
    <x v="0"/>
    <x v="8"/>
    <n v="117.64705882352899"/>
    <n v="42941.176470588201"/>
    <n v="154588.235294118"/>
  </r>
  <r>
    <x v="0"/>
    <x v="0"/>
    <x v="0"/>
    <x v="7"/>
    <x v="11"/>
    <s v="NO1_A2"/>
    <x v="19"/>
    <s v="GHOB_LPG"/>
    <x v="0"/>
    <x v="9"/>
    <n v="117.64705882352899"/>
    <n v="42941.176470588201"/>
    <n v="154588.235294118"/>
  </r>
  <r>
    <x v="0"/>
    <x v="0"/>
    <x v="0"/>
    <x v="7"/>
    <x v="11"/>
    <s v="NO1_A2"/>
    <x v="19"/>
    <s v="GHOB_LPG"/>
    <x v="0"/>
    <x v="10"/>
    <n v="117.64705882352899"/>
    <n v="42941.176470588201"/>
    <n v="154588.235294118"/>
  </r>
  <r>
    <x v="0"/>
    <x v="0"/>
    <x v="0"/>
    <x v="7"/>
    <x v="11"/>
    <s v="NO1_A2"/>
    <x v="19"/>
    <s v="GHOB_LPG"/>
    <x v="0"/>
    <x v="11"/>
    <n v="117.64705882352899"/>
    <n v="42941.176470588201"/>
    <n v="154588.235294118"/>
  </r>
  <r>
    <x v="0"/>
    <x v="0"/>
    <x v="0"/>
    <x v="7"/>
    <x v="11"/>
    <s v="NO1_A2"/>
    <x v="19"/>
    <s v="GHOB_LPG"/>
    <x v="0"/>
    <x v="12"/>
    <n v="117.64705882352899"/>
    <n v="42941.176470588201"/>
    <n v="154588.235294118"/>
  </r>
  <r>
    <x v="0"/>
    <x v="0"/>
    <x v="0"/>
    <x v="7"/>
    <x v="11"/>
    <s v="NO1_A2"/>
    <x v="19"/>
    <s v="GHOB_LPG"/>
    <x v="0"/>
    <x v="13"/>
    <n v="117.64705882352899"/>
    <n v="42941.176470588201"/>
    <n v="154588.235294118"/>
  </r>
  <r>
    <x v="0"/>
    <x v="0"/>
    <x v="0"/>
    <x v="7"/>
    <x v="11"/>
    <s v="NO1_A2"/>
    <x v="19"/>
    <s v="GHOB_LPG"/>
    <x v="0"/>
    <x v="14"/>
    <n v="117.64705882352899"/>
    <n v="42941.176470588201"/>
    <n v="154588.235294118"/>
  </r>
  <r>
    <x v="0"/>
    <x v="0"/>
    <x v="0"/>
    <x v="7"/>
    <x v="11"/>
    <s v="NO1_A2"/>
    <x v="19"/>
    <s v="GHOB_LPG"/>
    <x v="0"/>
    <x v="15"/>
    <n v="117.64705882352899"/>
    <n v="42941.176470588201"/>
    <n v="154588.235294118"/>
  </r>
  <r>
    <x v="0"/>
    <x v="0"/>
    <x v="0"/>
    <x v="7"/>
    <x v="11"/>
    <s v="NO1_A2"/>
    <x v="19"/>
    <s v="GHOB_LPG"/>
    <x v="0"/>
    <x v="16"/>
    <n v="117.64705882352899"/>
    <n v="42941.176470588201"/>
    <n v="154588.235294118"/>
  </r>
  <r>
    <x v="0"/>
    <x v="0"/>
    <x v="0"/>
    <x v="7"/>
    <x v="11"/>
    <s v="NO1_A2"/>
    <x v="19"/>
    <s v="GHOB_LPG"/>
    <x v="0"/>
    <x v="17"/>
    <n v="117.64705882352899"/>
    <n v="42941.176470588201"/>
    <n v="154588.235294118"/>
  </r>
  <r>
    <x v="0"/>
    <x v="0"/>
    <x v="0"/>
    <x v="7"/>
    <x v="11"/>
    <s v="NO1_A2"/>
    <x v="19"/>
    <s v="GHOB_LPG"/>
    <x v="0"/>
    <x v="19"/>
    <n v="117.64705882352899"/>
    <n v="42941.176470588201"/>
    <n v="154588.235294118"/>
  </r>
  <r>
    <x v="0"/>
    <x v="0"/>
    <x v="0"/>
    <x v="7"/>
    <x v="11"/>
    <s v="NO1_A2"/>
    <x v="19"/>
    <s v="GHOB_LPG"/>
    <x v="0"/>
    <x v="20"/>
    <n v="117.64705882352899"/>
    <n v="42941.176470588201"/>
    <n v="154588.235294118"/>
  </r>
  <r>
    <x v="0"/>
    <x v="0"/>
    <x v="0"/>
    <x v="7"/>
    <x v="11"/>
    <s v="NO1_A2"/>
    <x v="19"/>
    <s v="GHOB_LPG"/>
    <x v="0"/>
    <x v="21"/>
    <n v="117.64705882352899"/>
    <n v="42941.176470588201"/>
    <n v="154588.235294118"/>
  </r>
  <r>
    <x v="0"/>
    <x v="0"/>
    <x v="0"/>
    <x v="7"/>
    <x v="11"/>
    <s v="NO1_A2"/>
    <x v="19"/>
    <s v="GHOB_LPG"/>
    <x v="0"/>
    <x v="22"/>
    <n v="117.64705882352899"/>
    <n v="42941.176470588201"/>
    <n v="154588.235294118"/>
  </r>
  <r>
    <x v="0"/>
    <x v="0"/>
    <x v="0"/>
    <x v="7"/>
    <x v="11"/>
    <s v="NO1_A2"/>
    <x v="19"/>
    <s v="GHOB_LPG"/>
    <x v="0"/>
    <x v="23"/>
    <n v="117.64705882352899"/>
    <n v="42941.176470588201"/>
    <n v="154588.235294118"/>
  </r>
  <r>
    <x v="0"/>
    <x v="0"/>
    <x v="0"/>
    <x v="7"/>
    <x v="11"/>
    <s v="NO1_A2"/>
    <x v="2"/>
    <s v="GBPR_MUNIWASTE"/>
    <x v="0"/>
    <x v="0"/>
    <n v="52.086977299879898"/>
    <n v="19011.7467144562"/>
    <n v="68442.288172042201"/>
  </r>
  <r>
    <x v="0"/>
    <x v="0"/>
    <x v="0"/>
    <x v="7"/>
    <x v="11"/>
    <s v="NO1_A2"/>
    <x v="2"/>
    <s v="GBPR_MUNIWASTE"/>
    <x v="0"/>
    <x v="1"/>
    <n v="52.086977299879898"/>
    <n v="19011.7467144562"/>
    <n v="68442.288172042201"/>
  </r>
  <r>
    <x v="0"/>
    <x v="0"/>
    <x v="0"/>
    <x v="7"/>
    <x v="11"/>
    <s v="NO1_A2"/>
    <x v="2"/>
    <s v="GBPR_MUNIWASTE"/>
    <x v="0"/>
    <x v="2"/>
    <n v="52.086977299879898"/>
    <n v="19011.7467144562"/>
    <n v="68442.288172042201"/>
  </r>
  <r>
    <x v="0"/>
    <x v="0"/>
    <x v="0"/>
    <x v="7"/>
    <x v="11"/>
    <s v="NO1_A2"/>
    <x v="2"/>
    <s v="GBPR_MUNIWASTE"/>
    <x v="0"/>
    <x v="3"/>
    <n v="52.086977299879898"/>
    <n v="19011.7467144562"/>
    <n v="68442.288172042201"/>
  </r>
  <r>
    <x v="0"/>
    <x v="0"/>
    <x v="0"/>
    <x v="7"/>
    <x v="11"/>
    <s v="NO1_A2"/>
    <x v="2"/>
    <s v="GBPR_MUNIWASTE"/>
    <x v="0"/>
    <x v="18"/>
    <n v="52.086977299879898"/>
    <n v="19011.7467144562"/>
    <n v="68442.288172042201"/>
  </r>
  <r>
    <x v="0"/>
    <x v="0"/>
    <x v="0"/>
    <x v="7"/>
    <x v="11"/>
    <s v="NO1_A2"/>
    <x v="2"/>
    <s v="GBPR_MUNIWASTE"/>
    <x v="0"/>
    <x v="4"/>
    <n v="52.086977299879898"/>
    <n v="19011.7467144562"/>
    <n v="68442.288172042201"/>
  </r>
  <r>
    <x v="0"/>
    <x v="0"/>
    <x v="0"/>
    <x v="7"/>
    <x v="11"/>
    <s v="NO1_A2"/>
    <x v="2"/>
    <s v="GBPR_MUNIWASTE"/>
    <x v="0"/>
    <x v="5"/>
    <n v="52.086977299879898"/>
    <n v="19011.7467144562"/>
    <n v="68442.288172042201"/>
  </r>
  <r>
    <x v="0"/>
    <x v="0"/>
    <x v="0"/>
    <x v="7"/>
    <x v="11"/>
    <s v="NO1_A2"/>
    <x v="2"/>
    <s v="GBPR_MUNIWASTE"/>
    <x v="0"/>
    <x v="6"/>
    <n v="52.086977299879898"/>
    <n v="19011.7467144562"/>
    <n v="68442.288172042201"/>
  </r>
  <r>
    <x v="0"/>
    <x v="0"/>
    <x v="0"/>
    <x v="7"/>
    <x v="11"/>
    <s v="NO1_A2"/>
    <x v="2"/>
    <s v="GBPR_MUNIWASTE"/>
    <x v="0"/>
    <x v="7"/>
    <n v="52.086977299879898"/>
    <n v="19011.7467144562"/>
    <n v="68442.288172042201"/>
  </r>
  <r>
    <x v="0"/>
    <x v="0"/>
    <x v="0"/>
    <x v="7"/>
    <x v="11"/>
    <s v="NO1_A2"/>
    <x v="2"/>
    <s v="GBPR_MUNIWASTE"/>
    <x v="0"/>
    <x v="8"/>
    <n v="52.086977299879898"/>
    <n v="19011.7467144562"/>
    <n v="68442.288172042201"/>
  </r>
  <r>
    <x v="0"/>
    <x v="0"/>
    <x v="0"/>
    <x v="7"/>
    <x v="11"/>
    <s v="NO1_A2"/>
    <x v="2"/>
    <s v="GBPR_MUNIWASTE"/>
    <x v="0"/>
    <x v="9"/>
    <n v="52.086977299879898"/>
    <n v="19011.7467144562"/>
    <n v="68442.288172042201"/>
  </r>
  <r>
    <x v="0"/>
    <x v="0"/>
    <x v="0"/>
    <x v="7"/>
    <x v="11"/>
    <s v="NO1_A2"/>
    <x v="2"/>
    <s v="GBPR_MUNIWASTE"/>
    <x v="0"/>
    <x v="10"/>
    <n v="52.086977299879898"/>
    <n v="19011.7467144562"/>
    <n v="68442.288172042201"/>
  </r>
  <r>
    <x v="0"/>
    <x v="0"/>
    <x v="0"/>
    <x v="7"/>
    <x v="11"/>
    <s v="NO1_A2"/>
    <x v="2"/>
    <s v="GBPR_MUNIWASTE"/>
    <x v="0"/>
    <x v="11"/>
    <n v="52.086977299879898"/>
    <n v="19011.7467144562"/>
    <n v="68442.288172042201"/>
  </r>
  <r>
    <x v="0"/>
    <x v="0"/>
    <x v="0"/>
    <x v="7"/>
    <x v="11"/>
    <s v="NO1_A2"/>
    <x v="2"/>
    <s v="GBPR_MUNIWASTE"/>
    <x v="0"/>
    <x v="12"/>
    <n v="52.086977299879898"/>
    <n v="19011.7467144562"/>
    <n v="68442.288172042201"/>
  </r>
  <r>
    <x v="0"/>
    <x v="0"/>
    <x v="0"/>
    <x v="7"/>
    <x v="11"/>
    <s v="NO1_A2"/>
    <x v="2"/>
    <s v="GBPR_MUNIWASTE"/>
    <x v="0"/>
    <x v="13"/>
    <n v="52.086977299879898"/>
    <n v="19011.7467144562"/>
    <n v="68442.288172042201"/>
  </r>
  <r>
    <x v="0"/>
    <x v="0"/>
    <x v="0"/>
    <x v="7"/>
    <x v="11"/>
    <s v="NO1_A2"/>
    <x v="2"/>
    <s v="GBPR_MUNIWASTE"/>
    <x v="0"/>
    <x v="14"/>
    <n v="52.086977299879898"/>
    <n v="19011.7467144562"/>
    <n v="68442.288172042201"/>
  </r>
  <r>
    <x v="0"/>
    <x v="0"/>
    <x v="0"/>
    <x v="7"/>
    <x v="11"/>
    <s v="NO1_A2"/>
    <x v="2"/>
    <s v="GBPR_MUNIWASTE"/>
    <x v="0"/>
    <x v="15"/>
    <n v="52.086977299879898"/>
    <n v="19011.7467144562"/>
    <n v="68442.288172042201"/>
  </r>
  <r>
    <x v="0"/>
    <x v="0"/>
    <x v="0"/>
    <x v="7"/>
    <x v="11"/>
    <s v="NO1_A2"/>
    <x v="2"/>
    <s v="GBPR_MUNIWASTE"/>
    <x v="0"/>
    <x v="16"/>
    <n v="52.086977299879898"/>
    <n v="19011.7467144562"/>
    <n v="68442.288172042201"/>
  </r>
  <r>
    <x v="0"/>
    <x v="0"/>
    <x v="0"/>
    <x v="7"/>
    <x v="11"/>
    <s v="NO1_A2"/>
    <x v="2"/>
    <s v="GBPR_MUNIWASTE"/>
    <x v="0"/>
    <x v="17"/>
    <n v="52.086977299879898"/>
    <n v="19011.7467144562"/>
    <n v="68442.288172042201"/>
  </r>
  <r>
    <x v="0"/>
    <x v="0"/>
    <x v="0"/>
    <x v="7"/>
    <x v="11"/>
    <s v="NO1_A2"/>
    <x v="2"/>
    <s v="GBPR_MUNIWASTE"/>
    <x v="0"/>
    <x v="19"/>
    <n v="52.086977299879898"/>
    <n v="19011.7467144562"/>
    <n v="68442.288172042201"/>
  </r>
  <r>
    <x v="0"/>
    <x v="0"/>
    <x v="0"/>
    <x v="7"/>
    <x v="11"/>
    <s v="NO1_A2"/>
    <x v="2"/>
    <s v="GBPR_MUNIWASTE"/>
    <x v="0"/>
    <x v="20"/>
    <n v="52.086977299879898"/>
    <n v="19011.7467144562"/>
    <n v="68442.288172042201"/>
  </r>
  <r>
    <x v="0"/>
    <x v="0"/>
    <x v="0"/>
    <x v="7"/>
    <x v="11"/>
    <s v="NO1_A2"/>
    <x v="2"/>
    <s v="GBPR_MUNIWASTE"/>
    <x v="0"/>
    <x v="21"/>
    <n v="52.086977299879898"/>
    <n v="19011.7467144562"/>
    <n v="68442.288172042201"/>
  </r>
  <r>
    <x v="0"/>
    <x v="0"/>
    <x v="0"/>
    <x v="7"/>
    <x v="11"/>
    <s v="NO1_A2"/>
    <x v="2"/>
    <s v="GBPR_MUNIWASTE"/>
    <x v="0"/>
    <x v="22"/>
    <n v="52.086977299879898"/>
    <n v="19011.7467144562"/>
    <n v="68442.288172042201"/>
  </r>
  <r>
    <x v="0"/>
    <x v="0"/>
    <x v="0"/>
    <x v="7"/>
    <x v="11"/>
    <s v="NO1_A2"/>
    <x v="2"/>
    <s v="GBPR_MUNIWASTE"/>
    <x v="0"/>
    <x v="23"/>
    <n v="52.086977299879898"/>
    <n v="19011.7467144562"/>
    <n v="68442.288172042201"/>
  </r>
  <r>
    <x v="0"/>
    <x v="0"/>
    <x v="0"/>
    <x v="7"/>
    <x v="11"/>
    <s v="NO1_A2"/>
    <x v="2"/>
    <s v="GHOB_MUNIWASTE"/>
    <x v="0"/>
    <x v="0"/>
    <n v="37.647058823529399"/>
    <n v="13741.1764705882"/>
    <n v="49468.235294117701"/>
  </r>
  <r>
    <x v="0"/>
    <x v="0"/>
    <x v="0"/>
    <x v="7"/>
    <x v="11"/>
    <s v="NO1_A2"/>
    <x v="2"/>
    <s v="GHOB_MUNIWASTE"/>
    <x v="0"/>
    <x v="1"/>
    <n v="37.647058823529399"/>
    <n v="13741.1764705882"/>
    <n v="49468.235294117701"/>
  </r>
  <r>
    <x v="0"/>
    <x v="0"/>
    <x v="0"/>
    <x v="7"/>
    <x v="11"/>
    <s v="NO1_A2"/>
    <x v="2"/>
    <s v="GHOB_MUNIWASTE"/>
    <x v="0"/>
    <x v="2"/>
    <n v="37.647058823529399"/>
    <n v="13741.1764705882"/>
    <n v="49468.235294117701"/>
  </r>
  <r>
    <x v="0"/>
    <x v="0"/>
    <x v="0"/>
    <x v="7"/>
    <x v="11"/>
    <s v="NO1_A2"/>
    <x v="2"/>
    <s v="GHOB_MUNIWASTE"/>
    <x v="0"/>
    <x v="3"/>
    <n v="37.647058823529399"/>
    <n v="13741.1764705882"/>
    <n v="49468.235294117701"/>
  </r>
  <r>
    <x v="0"/>
    <x v="0"/>
    <x v="0"/>
    <x v="7"/>
    <x v="11"/>
    <s v="NO1_A2"/>
    <x v="2"/>
    <s v="GHOB_MUNIWASTE"/>
    <x v="0"/>
    <x v="18"/>
    <n v="37.647058823529399"/>
    <n v="13741.1764705882"/>
    <n v="49468.235294117701"/>
  </r>
  <r>
    <x v="0"/>
    <x v="0"/>
    <x v="0"/>
    <x v="7"/>
    <x v="11"/>
    <s v="NO1_A2"/>
    <x v="2"/>
    <s v="GHOB_MUNIWASTE"/>
    <x v="0"/>
    <x v="4"/>
    <n v="37.647058823529399"/>
    <n v="13741.1764705882"/>
    <n v="49468.235294117701"/>
  </r>
  <r>
    <x v="0"/>
    <x v="0"/>
    <x v="0"/>
    <x v="7"/>
    <x v="11"/>
    <s v="NO1_A2"/>
    <x v="2"/>
    <s v="GHOB_MUNIWASTE"/>
    <x v="0"/>
    <x v="5"/>
    <n v="37.647058823529399"/>
    <n v="13741.1764705882"/>
    <n v="49468.235294117701"/>
  </r>
  <r>
    <x v="0"/>
    <x v="0"/>
    <x v="0"/>
    <x v="7"/>
    <x v="11"/>
    <s v="NO1_A2"/>
    <x v="2"/>
    <s v="GHOB_MUNIWASTE"/>
    <x v="0"/>
    <x v="6"/>
    <n v="37.647058823529399"/>
    <n v="13741.1764705882"/>
    <n v="49468.235294117701"/>
  </r>
  <r>
    <x v="0"/>
    <x v="0"/>
    <x v="0"/>
    <x v="7"/>
    <x v="11"/>
    <s v="NO1_A2"/>
    <x v="2"/>
    <s v="GHOB_MUNIWASTE"/>
    <x v="0"/>
    <x v="7"/>
    <n v="37.647058823529399"/>
    <n v="13741.1764705882"/>
    <n v="49468.235294117701"/>
  </r>
  <r>
    <x v="0"/>
    <x v="0"/>
    <x v="0"/>
    <x v="7"/>
    <x v="11"/>
    <s v="NO1_A2"/>
    <x v="2"/>
    <s v="GHOB_MUNIWASTE"/>
    <x v="0"/>
    <x v="8"/>
    <n v="37.647058823529399"/>
    <n v="13741.1764705882"/>
    <n v="49468.235294117701"/>
  </r>
  <r>
    <x v="0"/>
    <x v="0"/>
    <x v="0"/>
    <x v="7"/>
    <x v="11"/>
    <s v="NO1_A2"/>
    <x v="2"/>
    <s v="GHOB_MUNIWASTE"/>
    <x v="0"/>
    <x v="9"/>
    <n v="37.647058823529399"/>
    <n v="13741.1764705882"/>
    <n v="49468.235294117701"/>
  </r>
  <r>
    <x v="0"/>
    <x v="0"/>
    <x v="0"/>
    <x v="7"/>
    <x v="11"/>
    <s v="NO1_A2"/>
    <x v="2"/>
    <s v="GHOB_MUNIWASTE"/>
    <x v="0"/>
    <x v="10"/>
    <n v="37.647058823529399"/>
    <n v="13741.1764705882"/>
    <n v="49468.235294117701"/>
  </r>
  <r>
    <x v="0"/>
    <x v="0"/>
    <x v="0"/>
    <x v="7"/>
    <x v="11"/>
    <s v="NO1_A2"/>
    <x v="2"/>
    <s v="GHOB_MUNIWASTE"/>
    <x v="0"/>
    <x v="11"/>
    <n v="37.647058823529399"/>
    <n v="13741.1764705882"/>
    <n v="49468.235294117701"/>
  </r>
  <r>
    <x v="0"/>
    <x v="0"/>
    <x v="0"/>
    <x v="7"/>
    <x v="11"/>
    <s v="NO1_A2"/>
    <x v="2"/>
    <s v="GHOB_MUNIWASTE"/>
    <x v="0"/>
    <x v="12"/>
    <n v="37.647058823529399"/>
    <n v="13741.1764705882"/>
    <n v="49468.235294117701"/>
  </r>
  <r>
    <x v="0"/>
    <x v="0"/>
    <x v="0"/>
    <x v="7"/>
    <x v="11"/>
    <s v="NO1_A2"/>
    <x v="2"/>
    <s v="GHOB_MUNIWASTE"/>
    <x v="0"/>
    <x v="13"/>
    <n v="37.647058823529399"/>
    <n v="13741.1764705882"/>
    <n v="49468.235294117701"/>
  </r>
  <r>
    <x v="0"/>
    <x v="0"/>
    <x v="0"/>
    <x v="7"/>
    <x v="11"/>
    <s v="NO1_A2"/>
    <x v="2"/>
    <s v="GHOB_MUNIWASTE"/>
    <x v="0"/>
    <x v="14"/>
    <n v="37.647058823529399"/>
    <n v="13741.1764705882"/>
    <n v="49468.235294117701"/>
  </r>
  <r>
    <x v="0"/>
    <x v="0"/>
    <x v="0"/>
    <x v="7"/>
    <x v="11"/>
    <s v="NO1_A2"/>
    <x v="2"/>
    <s v="GHOB_MUNIWASTE"/>
    <x v="0"/>
    <x v="15"/>
    <n v="37.647058823529399"/>
    <n v="13741.1764705882"/>
    <n v="49468.235294117701"/>
  </r>
  <r>
    <x v="0"/>
    <x v="0"/>
    <x v="0"/>
    <x v="7"/>
    <x v="11"/>
    <s v="NO1_A2"/>
    <x v="2"/>
    <s v="GHOB_MUNIWASTE"/>
    <x v="0"/>
    <x v="16"/>
    <n v="37.647058823529399"/>
    <n v="13741.1764705882"/>
    <n v="49468.235294117701"/>
  </r>
  <r>
    <x v="0"/>
    <x v="0"/>
    <x v="0"/>
    <x v="7"/>
    <x v="11"/>
    <s v="NO1_A2"/>
    <x v="2"/>
    <s v="GHOB_MUNIWASTE"/>
    <x v="0"/>
    <x v="17"/>
    <n v="37.647058823529399"/>
    <n v="13741.1764705882"/>
    <n v="49468.235294117701"/>
  </r>
  <r>
    <x v="0"/>
    <x v="0"/>
    <x v="0"/>
    <x v="7"/>
    <x v="11"/>
    <s v="NO1_A2"/>
    <x v="2"/>
    <s v="GHOB_MUNIWASTE"/>
    <x v="0"/>
    <x v="19"/>
    <n v="37.647058823529399"/>
    <n v="13741.1764705882"/>
    <n v="49468.235294117701"/>
  </r>
  <r>
    <x v="0"/>
    <x v="0"/>
    <x v="0"/>
    <x v="7"/>
    <x v="11"/>
    <s v="NO1_A2"/>
    <x v="2"/>
    <s v="GHOB_MUNIWASTE"/>
    <x v="0"/>
    <x v="20"/>
    <n v="37.647058823529399"/>
    <n v="13741.1764705882"/>
    <n v="49468.235294117701"/>
  </r>
  <r>
    <x v="0"/>
    <x v="0"/>
    <x v="0"/>
    <x v="7"/>
    <x v="11"/>
    <s v="NO1_A2"/>
    <x v="2"/>
    <s v="GHOB_MUNIWASTE"/>
    <x v="0"/>
    <x v="21"/>
    <n v="37.647058823529399"/>
    <n v="13741.1764705882"/>
    <n v="49468.235294117701"/>
  </r>
  <r>
    <x v="0"/>
    <x v="0"/>
    <x v="0"/>
    <x v="7"/>
    <x v="11"/>
    <s v="NO1_A2"/>
    <x v="2"/>
    <s v="GHOB_MUNIWASTE"/>
    <x v="0"/>
    <x v="22"/>
    <n v="37.647058823529399"/>
    <n v="13741.1764705882"/>
    <n v="49468.235294117701"/>
  </r>
  <r>
    <x v="0"/>
    <x v="0"/>
    <x v="0"/>
    <x v="7"/>
    <x v="11"/>
    <s v="NO1_A2"/>
    <x v="2"/>
    <s v="GHOB_MUNIWASTE"/>
    <x v="0"/>
    <x v="23"/>
    <n v="37.647058823529399"/>
    <n v="13741.1764705882"/>
    <n v="49468.235294117701"/>
  </r>
  <r>
    <x v="0"/>
    <x v="0"/>
    <x v="0"/>
    <x v="7"/>
    <x v="11"/>
    <s v="NO1_A2"/>
    <x v="9"/>
    <s v="GHOB_WOODWASTE"/>
    <x v="0"/>
    <x v="0"/>
    <n v="18.823529411764699"/>
    <n v="6870.5882352941198"/>
    <n v="24734.1176470588"/>
  </r>
  <r>
    <x v="0"/>
    <x v="0"/>
    <x v="0"/>
    <x v="7"/>
    <x v="11"/>
    <s v="NO1_A2"/>
    <x v="9"/>
    <s v="GHOB_WOODWASTE"/>
    <x v="0"/>
    <x v="1"/>
    <n v="18.823529411764699"/>
    <n v="6870.5882352941198"/>
    <n v="24734.1176470588"/>
  </r>
  <r>
    <x v="0"/>
    <x v="0"/>
    <x v="0"/>
    <x v="7"/>
    <x v="11"/>
    <s v="NO1_A2"/>
    <x v="9"/>
    <s v="GHOB_WOODWASTE"/>
    <x v="0"/>
    <x v="2"/>
    <n v="18.823529411764699"/>
    <n v="6870.5882352941198"/>
    <n v="24734.1176470588"/>
  </r>
  <r>
    <x v="0"/>
    <x v="0"/>
    <x v="0"/>
    <x v="7"/>
    <x v="11"/>
    <s v="NO1_A2"/>
    <x v="9"/>
    <s v="GHOB_WOODWASTE"/>
    <x v="0"/>
    <x v="3"/>
    <n v="18.823529411764699"/>
    <n v="6870.5882352941198"/>
    <n v="24734.1176470588"/>
  </r>
  <r>
    <x v="0"/>
    <x v="0"/>
    <x v="0"/>
    <x v="7"/>
    <x v="11"/>
    <s v="NO1_A2"/>
    <x v="9"/>
    <s v="GHOB_WOODWASTE"/>
    <x v="0"/>
    <x v="18"/>
    <n v="18.823529411764699"/>
    <n v="6870.5882352941198"/>
    <n v="24734.1176470588"/>
  </r>
  <r>
    <x v="0"/>
    <x v="0"/>
    <x v="0"/>
    <x v="7"/>
    <x v="11"/>
    <s v="NO1_A2"/>
    <x v="9"/>
    <s v="GHOB_WOODWASTE"/>
    <x v="0"/>
    <x v="4"/>
    <n v="18.823529411764699"/>
    <n v="6870.5882352941198"/>
    <n v="24734.1176470588"/>
  </r>
  <r>
    <x v="0"/>
    <x v="0"/>
    <x v="0"/>
    <x v="7"/>
    <x v="11"/>
    <s v="NO1_A2"/>
    <x v="9"/>
    <s v="GHOB_WOODWASTE"/>
    <x v="0"/>
    <x v="5"/>
    <n v="18.823529411764699"/>
    <n v="6870.5882352941198"/>
    <n v="24734.1176470588"/>
  </r>
  <r>
    <x v="0"/>
    <x v="0"/>
    <x v="0"/>
    <x v="7"/>
    <x v="11"/>
    <s v="NO1_A2"/>
    <x v="9"/>
    <s v="GHOB_WOODWASTE"/>
    <x v="0"/>
    <x v="6"/>
    <n v="18.823529411764699"/>
    <n v="6870.5882352941198"/>
    <n v="24734.1176470588"/>
  </r>
  <r>
    <x v="0"/>
    <x v="0"/>
    <x v="0"/>
    <x v="7"/>
    <x v="11"/>
    <s v="NO1_A2"/>
    <x v="9"/>
    <s v="GHOB_WOODWASTE"/>
    <x v="0"/>
    <x v="7"/>
    <n v="18.823529411764699"/>
    <n v="6870.5882352941198"/>
    <n v="24734.1176470588"/>
  </r>
  <r>
    <x v="0"/>
    <x v="0"/>
    <x v="0"/>
    <x v="7"/>
    <x v="11"/>
    <s v="NO1_A2"/>
    <x v="9"/>
    <s v="GHOB_WOODWASTE"/>
    <x v="0"/>
    <x v="8"/>
    <n v="18.823529411764699"/>
    <n v="6870.5882352941198"/>
    <n v="24734.1176470588"/>
  </r>
  <r>
    <x v="0"/>
    <x v="0"/>
    <x v="0"/>
    <x v="7"/>
    <x v="11"/>
    <s v="NO1_A2"/>
    <x v="9"/>
    <s v="GHOB_WOODWASTE"/>
    <x v="0"/>
    <x v="9"/>
    <n v="18.823529411764699"/>
    <n v="6870.5882352941198"/>
    <n v="24734.1176470588"/>
  </r>
  <r>
    <x v="0"/>
    <x v="0"/>
    <x v="0"/>
    <x v="7"/>
    <x v="11"/>
    <s v="NO1_A2"/>
    <x v="9"/>
    <s v="GHOB_WOODWASTE"/>
    <x v="0"/>
    <x v="10"/>
    <n v="18.823529411764699"/>
    <n v="6870.5882352941198"/>
    <n v="24734.1176470588"/>
  </r>
  <r>
    <x v="0"/>
    <x v="0"/>
    <x v="0"/>
    <x v="7"/>
    <x v="11"/>
    <s v="NO1_A2"/>
    <x v="9"/>
    <s v="GHOB_WOODWASTE"/>
    <x v="0"/>
    <x v="11"/>
    <n v="18.823529411764699"/>
    <n v="6870.5882352941198"/>
    <n v="24734.1176470588"/>
  </r>
  <r>
    <x v="0"/>
    <x v="0"/>
    <x v="0"/>
    <x v="7"/>
    <x v="11"/>
    <s v="NO1_A2"/>
    <x v="9"/>
    <s v="GHOB_WOODWASTE"/>
    <x v="0"/>
    <x v="12"/>
    <n v="18.823529411764699"/>
    <n v="6870.5882352941198"/>
    <n v="24734.1176470588"/>
  </r>
  <r>
    <x v="0"/>
    <x v="0"/>
    <x v="0"/>
    <x v="7"/>
    <x v="11"/>
    <s v="NO1_A2"/>
    <x v="9"/>
    <s v="GHOB_WOODWASTE"/>
    <x v="0"/>
    <x v="13"/>
    <n v="18.823529411764699"/>
    <n v="6870.5882352941198"/>
    <n v="24734.1176470588"/>
  </r>
  <r>
    <x v="0"/>
    <x v="0"/>
    <x v="0"/>
    <x v="7"/>
    <x v="11"/>
    <s v="NO1_A2"/>
    <x v="9"/>
    <s v="GHOB_WOODWASTE"/>
    <x v="0"/>
    <x v="14"/>
    <n v="18.823529411764699"/>
    <n v="6870.5882352941198"/>
    <n v="24734.1176470588"/>
  </r>
  <r>
    <x v="0"/>
    <x v="0"/>
    <x v="0"/>
    <x v="7"/>
    <x v="11"/>
    <s v="NO1_A2"/>
    <x v="9"/>
    <s v="GHOB_WOODWASTE"/>
    <x v="0"/>
    <x v="15"/>
    <n v="18.823529411764699"/>
    <n v="6870.5882352941198"/>
    <n v="24734.1176470588"/>
  </r>
  <r>
    <x v="0"/>
    <x v="0"/>
    <x v="0"/>
    <x v="7"/>
    <x v="11"/>
    <s v="NO1_A2"/>
    <x v="9"/>
    <s v="GHOB_WOODWASTE"/>
    <x v="0"/>
    <x v="16"/>
    <n v="18.823529411764699"/>
    <n v="6870.5882352941198"/>
    <n v="24734.1176470588"/>
  </r>
  <r>
    <x v="0"/>
    <x v="0"/>
    <x v="0"/>
    <x v="7"/>
    <x v="11"/>
    <s v="NO1_A2"/>
    <x v="9"/>
    <s v="GHOB_WOODWASTE"/>
    <x v="0"/>
    <x v="17"/>
    <n v="18.823529411764699"/>
    <n v="6870.5882352941198"/>
    <n v="24734.1176470588"/>
  </r>
  <r>
    <x v="0"/>
    <x v="0"/>
    <x v="0"/>
    <x v="7"/>
    <x v="11"/>
    <s v="NO1_A2"/>
    <x v="9"/>
    <s v="GHOB_WOODWASTE"/>
    <x v="0"/>
    <x v="19"/>
    <n v="18.823529411764699"/>
    <n v="6870.5882352941198"/>
    <n v="24734.1176470588"/>
  </r>
  <r>
    <x v="0"/>
    <x v="0"/>
    <x v="0"/>
    <x v="7"/>
    <x v="11"/>
    <s v="NO1_A2"/>
    <x v="9"/>
    <s v="GHOB_WOODWASTE"/>
    <x v="0"/>
    <x v="20"/>
    <n v="18.823529411764699"/>
    <n v="6870.5882352941198"/>
    <n v="24734.1176470588"/>
  </r>
  <r>
    <x v="0"/>
    <x v="0"/>
    <x v="0"/>
    <x v="7"/>
    <x v="11"/>
    <s v="NO1_A2"/>
    <x v="9"/>
    <s v="GHOB_WOODWASTE"/>
    <x v="0"/>
    <x v="21"/>
    <n v="18.823529411764699"/>
    <n v="6870.5882352941198"/>
    <n v="24734.1176470588"/>
  </r>
  <r>
    <x v="0"/>
    <x v="0"/>
    <x v="0"/>
    <x v="7"/>
    <x v="11"/>
    <s v="NO1_A2"/>
    <x v="9"/>
    <s v="GHOB_WOODWASTE"/>
    <x v="0"/>
    <x v="22"/>
    <n v="18.823529411764699"/>
    <n v="6870.5882352941198"/>
    <n v="24734.1176470588"/>
  </r>
  <r>
    <x v="0"/>
    <x v="0"/>
    <x v="0"/>
    <x v="7"/>
    <x v="11"/>
    <s v="NO1_A2"/>
    <x v="9"/>
    <s v="GHOB_WOODWASTE"/>
    <x v="0"/>
    <x v="23"/>
    <n v="18.823529411764699"/>
    <n v="6870.5882352941198"/>
    <n v="24734.1176470588"/>
  </r>
  <r>
    <x v="0"/>
    <x v="0"/>
    <x v="0"/>
    <x v="7"/>
    <x v="12"/>
    <s v="NO2_A1"/>
    <x v="19"/>
    <s v="GHOB_LNG"/>
    <x v="0"/>
    <x v="6"/>
    <n v="2.0128633427824298"/>
    <n v="734.69512011558902"/>
    <n v="2644.9024324161201"/>
  </r>
  <r>
    <x v="0"/>
    <x v="0"/>
    <x v="0"/>
    <x v="7"/>
    <x v="12"/>
    <s v="NO2_A1"/>
    <x v="19"/>
    <s v="GHOB_LNG"/>
    <x v="0"/>
    <x v="7"/>
    <n v="3.1754228518985901"/>
    <n v="1159.0293409429801"/>
    <n v="4172.5056273947403"/>
  </r>
  <r>
    <x v="0"/>
    <x v="0"/>
    <x v="0"/>
    <x v="7"/>
    <x v="12"/>
    <s v="NO2_A1"/>
    <x v="19"/>
    <s v="GHOB_LNG"/>
    <x v="0"/>
    <x v="8"/>
    <n v="1.5672731760784999"/>
    <n v="572.05470926865303"/>
    <n v="2059.3969533671502"/>
  </r>
  <r>
    <x v="0"/>
    <x v="0"/>
    <x v="0"/>
    <x v="7"/>
    <x v="12"/>
    <s v="NO2_A1"/>
    <x v="19"/>
    <s v="GHOB_LPG"/>
    <x v="0"/>
    <x v="4"/>
    <n v="3.1662113679099302"/>
    <n v="1155.6671492871201"/>
    <n v="4160.4017374336499"/>
  </r>
  <r>
    <x v="0"/>
    <x v="0"/>
    <x v="0"/>
    <x v="7"/>
    <x v="12"/>
    <s v="NO2_A1"/>
    <x v="19"/>
    <s v="GHOB_LPG"/>
    <x v="0"/>
    <x v="5"/>
    <n v="11.196461355844299"/>
    <n v="4086.7083948831601"/>
    <n v="14712.150221579401"/>
  </r>
  <r>
    <x v="0"/>
    <x v="0"/>
    <x v="0"/>
    <x v="7"/>
    <x v="12"/>
    <s v="NO2_A1"/>
    <x v="19"/>
    <s v="GHOB_LPG"/>
    <x v="0"/>
    <x v="6"/>
    <n v="16.470588235294102"/>
    <n v="6011.7647058823504"/>
    <n v="21642.352941176501"/>
  </r>
  <r>
    <x v="0"/>
    <x v="0"/>
    <x v="0"/>
    <x v="7"/>
    <x v="12"/>
    <s v="NO2_A1"/>
    <x v="19"/>
    <s v="GHOB_LPG"/>
    <x v="0"/>
    <x v="7"/>
    <n v="16.470588235294102"/>
    <n v="6011.7647058823504"/>
    <n v="21642.352941176501"/>
  </r>
  <r>
    <x v="0"/>
    <x v="0"/>
    <x v="0"/>
    <x v="7"/>
    <x v="12"/>
    <s v="NO2_A1"/>
    <x v="19"/>
    <s v="GHOB_LPG"/>
    <x v="0"/>
    <x v="8"/>
    <n v="16.470588235294102"/>
    <n v="6011.7647058823504"/>
    <n v="21642.352941176501"/>
  </r>
  <r>
    <x v="0"/>
    <x v="0"/>
    <x v="0"/>
    <x v="7"/>
    <x v="12"/>
    <s v="NO2_A1"/>
    <x v="19"/>
    <s v="GHOB_LPG"/>
    <x v="0"/>
    <x v="9"/>
    <n v="15.822776445183401"/>
    <n v="5775.31340249195"/>
    <n v="20791.128248970999"/>
  </r>
  <r>
    <x v="0"/>
    <x v="0"/>
    <x v="0"/>
    <x v="7"/>
    <x v="12"/>
    <s v="NO2_A1"/>
    <x v="19"/>
    <s v="GHOB_LPG"/>
    <x v="0"/>
    <x v="10"/>
    <n v="13.8558045781541"/>
    <n v="5057.36867102625"/>
    <n v="18206.527215694499"/>
  </r>
  <r>
    <x v="0"/>
    <x v="0"/>
    <x v="0"/>
    <x v="7"/>
    <x v="12"/>
    <s v="NO2_A1"/>
    <x v="19"/>
    <s v="GHOB_LPG"/>
    <x v="0"/>
    <x v="11"/>
    <n v="12.1916083872883"/>
    <n v="4449.9370613602196"/>
    <n v="16019.7734208968"/>
  </r>
  <r>
    <x v="0"/>
    <x v="0"/>
    <x v="0"/>
    <x v="7"/>
    <x v="12"/>
    <s v="NO2_A1"/>
    <x v="19"/>
    <s v="GHOB_LPG"/>
    <x v="0"/>
    <x v="12"/>
    <n v="11.383821704772799"/>
    <n v="4155.0949222420604"/>
    <n v="14958.341720071399"/>
  </r>
  <r>
    <x v="0"/>
    <x v="0"/>
    <x v="0"/>
    <x v="7"/>
    <x v="12"/>
    <s v="NO2_A1"/>
    <x v="19"/>
    <s v="GHOB_LPG"/>
    <x v="0"/>
    <x v="13"/>
    <n v="9.7672419834437392"/>
    <n v="3565.0433239569702"/>
    <n v="12834.1559662451"/>
  </r>
  <r>
    <x v="0"/>
    <x v="0"/>
    <x v="0"/>
    <x v="7"/>
    <x v="12"/>
    <s v="NO2_A1"/>
    <x v="19"/>
    <s v="GHOB_LPG"/>
    <x v="0"/>
    <x v="14"/>
    <n v="6.8048915863539596"/>
    <n v="2483.7854290191999"/>
    <n v="8941.6275444691"/>
  </r>
  <r>
    <x v="0"/>
    <x v="0"/>
    <x v="0"/>
    <x v="7"/>
    <x v="12"/>
    <s v="NO2_A1"/>
    <x v="19"/>
    <s v="GHOB_LPG"/>
    <x v="0"/>
    <x v="16"/>
    <n v="0.66654661452891895"/>
    <n v="243.289514303055"/>
    <n v="875.84225149099996"/>
  </r>
  <r>
    <x v="0"/>
    <x v="0"/>
    <x v="0"/>
    <x v="7"/>
    <x v="12"/>
    <s v="NO2_A1"/>
    <x v="2"/>
    <s v="GBPR_MUNIWASTE"/>
    <x v="0"/>
    <x v="0"/>
    <n v="50.709677419354797"/>
    <n v="18509.032258064501"/>
    <n v="66632.516129032301"/>
  </r>
  <r>
    <x v="0"/>
    <x v="0"/>
    <x v="0"/>
    <x v="7"/>
    <x v="12"/>
    <s v="NO2_A1"/>
    <x v="2"/>
    <s v="GBPR_MUNIWASTE"/>
    <x v="0"/>
    <x v="1"/>
    <n v="50.709677419354797"/>
    <n v="18509.032258064501"/>
    <n v="66632.516129032301"/>
  </r>
  <r>
    <x v="0"/>
    <x v="0"/>
    <x v="0"/>
    <x v="7"/>
    <x v="12"/>
    <s v="NO2_A1"/>
    <x v="2"/>
    <s v="GBPR_MUNIWASTE"/>
    <x v="0"/>
    <x v="2"/>
    <n v="50.709677419354797"/>
    <n v="18509.032258064501"/>
    <n v="66632.516129032301"/>
  </r>
  <r>
    <x v="0"/>
    <x v="0"/>
    <x v="0"/>
    <x v="7"/>
    <x v="12"/>
    <s v="NO2_A1"/>
    <x v="2"/>
    <s v="GBPR_MUNIWASTE"/>
    <x v="0"/>
    <x v="3"/>
    <n v="50.709677419354797"/>
    <n v="18509.032258064501"/>
    <n v="66632.516129032301"/>
  </r>
  <r>
    <x v="0"/>
    <x v="0"/>
    <x v="0"/>
    <x v="7"/>
    <x v="12"/>
    <s v="NO2_A1"/>
    <x v="2"/>
    <s v="GBPR_MUNIWASTE"/>
    <x v="0"/>
    <x v="18"/>
    <n v="50.709677419354797"/>
    <n v="18509.032258064501"/>
    <n v="66632.516129032301"/>
  </r>
  <r>
    <x v="0"/>
    <x v="0"/>
    <x v="0"/>
    <x v="7"/>
    <x v="12"/>
    <s v="NO2_A1"/>
    <x v="2"/>
    <s v="GBPR_MUNIWASTE"/>
    <x v="0"/>
    <x v="4"/>
    <n v="50.709677419354797"/>
    <n v="18509.032258064501"/>
    <n v="66632.516129032301"/>
  </r>
  <r>
    <x v="0"/>
    <x v="0"/>
    <x v="0"/>
    <x v="7"/>
    <x v="12"/>
    <s v="NO2_A1"/>
    <x v="2"/>
    <s v="GBPR_MUNIWASTE"/>
    <x v="0"/>
    <x v="5"/>
    <n v="50.709677419354797"/>
    <n v="18509.032258064501"/>
    <n v="66632.516129032301"/>
  </r>
  <r>
    <x v="0"/>
    <x v="0"/>
    <x v="0"/>
    <x v="7"/>
    <x v="12"/>
    <s v="NO2_A1"/>
    <x v="2"/>
    <s v="GBPR_MUNIWASTE"/>
    <x v="0"/>
    <x v="6"/>
    <n v="50.709677419354797"/>
    <n v="18509.032258064501"/>
    <n v="66632.516129032301"/>
  </r>
  <r>
    <x v="0"/>
    <x v="0"/>
    <x v="0"/>
    <x v="7"/>
    <x v="12"/>
    <s v="NO2_A1"/>
    <x v="2"/>
    <s v="GBPR_MUNIWASTE"/>
    <x v="0"/>
    <x v="7"/>
    <n v="50.709677419354797"/>
    <n v="18509.032258064501"/>
    <n v="66632.516129032301"/>
  </r>
  <r>
    <x v="0"/>
    <x v="0"/>
    <x v="0"/>
    <x v="7"/>
    <x v="12"/>
    <s v="NO2_A1"/>
    <x v="2"/>
    <s v="GBPR_MUNIWASTE"/>
    <x v="0"/>
    <x v="8"/>
    <n v="50.709677419354797"/>
    <n v="18509.032258064501"/>
    <n v="66632.516129032301"/>
  </r>
  <r>
    <x v="0"/>
    <x v="0"/>
    <x v="0"/>
    <x v="7"/>
    <x v="12"/>
    <s v="NO2_A1"/>
    <x v="2"/>
    <s v="GBPR_MUNIWASTE"/>
    <x v="0"/>
    <x v="9"/>
    <n v="50.709677419354797"/>
    <n v="18509.032258064501"/>
    <n v="66632.516129032301"/>
  </r>
  <r>
    <x v="0"/>
    <x v="0"/>
    <x v="0"/>
    <x v="7"/>
    <x v="12"/>
    <s v="NO2_A1"/>
    <x v="2"/>
    <s v="GBPR_MUNIWASTE"/>
    <x v="0"/>
    <x v="10"/>
    <n v="50.709677419354797"/>
    <n v="18509.032258064501"/>
    <n v="66632.516129032301"/>
  </r>
  <r>
    <x v="0"/>
    <x v="0"/>
    <x v="0"/>
    <x v="7"/>
    <x v="12"/>
    <s v="NO2_A1"/>
    <x v="2"/>
    <s v="GBPR_MUNIWASTE"/>
    <x v="0"/>
    <x v="11"/>
    <n v="50.709677419354797"/>
    <n v="18509.032258064501"/>
    <n v="66632.516129032301"/>
  </r>
  <r>
    <x v="0"/>
    <x v="0"/>
    <x v="0"/>
    <x v="7"/>
    <x v="12"/>
    <s v="NO2_A1"/>
    <x v="2"/>
    <s v="GBPR_MUNIWASTE"/>
    <x v="0"/>
    <x v="12"/>
    <n v="50.709677419354797"/>
    <n v="18509.032258064501"/>
    <n v="66632.516129032301"/>
  </r>
  <r>
    <x v="0"/>
    <x v="0"/>
    <x v="0"/>
    <x v="7"/>
    <x v="12"/>
    <s v="NO2_A1"/>
    <x v="2"/>
    <s v="GBPR_MUNIWASTE"/>
    <x v="0"/>
    <x v="13"/>
    <n v="50.709677419354797"/>
    <n v="18509.032258064501"/>
    <n v="66632.516129032301"/>
  </r>
  <r>
    <x v="0"/>
    <x v="0"/>
    <x v="0"/>
    <x v="7"/>
    <x v="12"/>
    <s v="NO2_A1"/>
    <x v="2"/>
    <s v="GBPR_MUNIWASTE"/>
    <x v="0"/>
    <x v="14"/>
    <n v="50.709677419354797"/>
    <n v="18509.032258064501"/>
    <n v="66632.516129032301"/>
  </r>
  <r>
    <x v="0"/>
    <x v="0"/>
    <x v="0"/>
    <x v="7"/>
    <x v="12"/>
    <s v="NO2_A1"/>
    <x v="2"/>
    <s v="GBPR_MUNIWASTE"/>
    <x v="0"/>
    <x v="15"/>
    <n v="50.709677419354797"/>
    <n v="18509.032258064501"/>
    <n v="66632.516129032301"/>
  </r>
  <r>
    <x v="0"/>
    <x v="0"/>
    <x v="0"/>
    <x v="7"/>
    <x v="12"/>
    <s v="NO2_A1"/>
    <x v="2"/>
    <s v="GBPR_MUNIWASTE"/>
    <x v="0"/>
    <x v="16"/>
    <n v="50.709677419354797"/>
    <n v="18509.032258064501"/>
    <n v="66632.516129032301"/>
  </r>
  <r>
    <x v="0"/>
    <x v="0"/>
    <x v="0"/>
    <x v="7"/>
    <x v="12"/>
    <s v="NO2_A1"/>
    <x v="2"/>
    <s v="GBPR_MUNIWASTE"/>
    <x v="0"/>
    <x v="17"/>
    <n v="50.709677419354797"/>
    <n v="18509.032258064501"/>
    <n v="66632.516129032301"/>
  </r>
  <r>
    <x v="0"/>
    <x v="0"/>
    <x v="0"/>
    <x v="7"/>
    <x v="12"/>
    <s v="NO2_A1"/>
    <x v="2"/>
    <s v="GBPR_MUNIWASTE"/>
    <x v="0"/>
    <x v="19"/>
    <n v="50.709677419354797"/>
    <n v="18509.032258064501"/>
    <n v="66632.516129032301"/>
  </r>
  <r>
    <x v="0"/>
    <x v="0"/>
    <x v="0"/>
    <x v="7"/>
    <x v="12"/>
    <s v="NO2_A1"/>
    <x v="2"/>
    <s v="GBPR_MUNIWASTE"/>
    <x v="0"/>
    <x v="20"/>
    <n v="50.709677419354797"/>
    <n v="18509.032258064501"/>
    <n v="66632.516129032301"/>
  </r>
  <r>
    <x v="0"/>
    <x v="0"/>
    <x v="0"/>
    <x v="7"/>
    <x v="12"/>
    <s v="NO2_A1"/>
    <x v="2"/>
    <s v="GBPR_MUNIWASTE"/>
    <x v="0"/>
    <x v="21"/>
    <n v="50.709677419354797"/>
    <n v="18509.032258064501"/>
    <n v="66632.516129032301"/>
  </r>
  <r>
    <x v="0"/>
    <x v="0"/>
    <x v="0"/>
    <x v="7"/>
    <x v="12"/>
    <s v="NO2_A1"/>
    <x v="2"/>
    <s v="GBPR_MUNIWASTE"/>
    <x v="0"/>
    <x v="22"/>
    <n v="50.709677419354797"/>
    <n v="18509.032258064501"/>
    <n v="66632.516129032301"/>
  </r>
  <r>
    <x v="0"/>
    <x v="0"/>
    <x v="0"/>
    <x v="7"/>
    <x v="12"/>
    <s v="NO2_A1"/>
    <x v="2"/>
    <s v="GBPR_MUNIWASTE"/>
    <x v="0"/>
    <x v="23"/>
    <n v="50.709677419354797"/>
    <n v="18509.032258064501"/>
    <n v="66632.516129032301"/>
  </r>
  <r>
    <x v="0"/>
    <x v="0"/>
    <x v="0"/>
    <x v="7"/>
    <x v="12"/>
    <s v="NO2_A1"/>
    <x v="1"/>
    <s v="GHOB_WASTEHEAT"/>
    <x v="0"/>
    <x v="0"/>
    <n v="2.1038652032386098"/>
    <n v="767.91079918209095"/>
    <n v="2764.4788770555301"/>
  </r>
  <r>
    <x v="0"/>
    <x v="0"/>
    <x v="0"/>
    <x v="7"/>
    <x v="12"/>
    <s v="NO2_A1"/>
    <x v="1"/>
    <s v="GHOB_WASTEHEAT"/>
    <x v="0"/>
    <x v="1"/>
    <n v="1.9994299829472599"/>
    <n v="729.791943775748"/>
    <n v="2627.2509975926901"/>
  </r>
  <r>
    <x v="0"/>
    <x v="0"/>
    <x v="0"/>
    <x v="7"/>
    <x v="12"/>
    <s v="NO2_A1"/>
    <x v="1"/>
    <s v="GHOB_WASTEHEAT"/>
    <x v="0"/>
    <x v="2"/>
    <n v="2.3278840909490399"/>
    <n v="849.67769319640001"/>
    <n v="3058.8396955070398"/>
  </r>
  <r>
    <x v="0"/>
    <x v="0"/>
    <x v="0"/>
    <x v="7"/>
    <x v="12"/>
    <s v="NO2_A1"/>
    <x v="1"/>
    <s v="GHOB_WASTEHEAT"/>
    <x v="0"/>
    <x v="3"/>
    <n v="3.2303621339266502"/>
    <n v="1179.08217888323"/>
    <n v="4244.6958439796099"/>
  </r>
  <r>
    <x v="0"/>
    <x v="0"/>
    <x v="0"/>
    <x v="7"/>
    <x v="12"/>
    <s v="NO2_A1"/>
    <x v="1"/>
    <s v="GHOB_WASTEHEAT"/>
    <x v="0"/>
    <x v="18"/>
    <n v="5.31347482832411"/>
    <n v="1939.4183123383"/>
    <n v="6981.9059244178798"/>
  </r>
  <r>
    <x v="0"/>
    <x v="0"/>
    <x v="0"/>
    <x v="7"/>
    <x v="12"/>
    <s v="NO2_A1"/>
    <x v="1"/>
    <s v="GHOB_WASTEHEAT"/>
    <x v="0"/>
    <x v="4"/>
    <n v="5.8693910256409998"/>
    <n v="2142.32772435897"/>
    <n v="7712.3798076922803"/>
  </r>
  <r>
    <x v="0"/>
    <x v="0"/>
    <x v="0"/>
    <x v="7"/>
    <x v="12"/>
    <s v="NO2_A1"/>
    <x v="1"/>
    <s v="GHOB_WASTEHEAT"/>
    <x v="0"/>
    <x v="5"/>
    <n v="5.8693910256409998"/>
    <n v="2142.32772435897"/>
    <n v="7712.3798076922803"/>
  </r>
  <r>
    <x v="0"/>
    <x v="0"/>
    <x v="0"/>
    <x v="7"/>
    <x v="12"/>
    <s v="NO2_A1"/>
    <x v="1"/>
    <s v="GHOB_WASTEHEAT"/>
    <x v="0"/>
    <x v="6"/>
    <n v="5.8693910256409998"/>
    <n v="2142.32772435897"/>
    <n v="7712.3798076922803"/>
  </r>
  <r>
    <x v="0"/>
    <x v="0"/>
    <x v="0"/>
    <x v="7"/>
    <x v="12"/>
    <s v="NO2_A1"/>
    <x v="1"/>
    <s v="GHOB_WASTEHEAT"/>
    <x v="0"/>
    <x v="7"/>
    <n v="5.8693910256409998"/>
    <n v="2142.32772435897"/>
    <n v="7712.3798076922803"/>
  </r>
  <r>
    <x v="0"/>
    <x v="0"/>
    <x v="0"/>
    <x v="7"/>
    <x v="12"/>
    <s v="NO2_A1"/>
    <x v="1"/>
    <s v="GHOB_WASTEHEAT"/>
    <x v="0"/>
    <x v="8"/>
    <n v="5.8693910256409998"/>
    <n v="2142.32772435897"/>
    <n v="7712.3798076922803"/>
  </r>
  <r>
    <x v="0"/>
    <x v="0"/>
    <x v="0"/>
    <x v="7"/>
    <x v="12"/>
    <s v="NO2_A1"/>
    <x v="1"/>
    <s v="GHOB_WASTEHEAT"/>
    <x v="0"/>
    <x v="9"/>
    <n v="5.8693910256409998"/>
    <n v="2142.32772435897"/>
    <n v="7712.3798076922803"/>
  </r>
  <r>
    <x v="0"/>
    <x v="0"/>
    <x v="0"/>
    <x v="7"/>
    <x v="12"/>
    <s v="NO2_A1"/>
    <x v="1"/>
    <s v="GHOB_WASTEHEAT"/>
    <x v="0"/>
    <x v="10"/>
    <n v="5.8693910256409998"/>
    <n v="2142.32772435897"/>
    <n v="7712.3798076922803"/>
  </r>
  <r>
    <x v="0"/>
    <x v="0"/>
    <x v="0"/>
    <x v="7"/>
    <x v="12"/>
    <s v="NO2_A1"/>
    <x v="1"/>
    <s v="GHOB_WASTEHEAT"/>
    <x v="0"/>
    <x v="11"/>
    <n v="5.8693910256409998"/>
    <n v="2142.32772435897"/>
    <n v="7712.3798076922803"/>
  </r>
  <r>
    <x v="0"/>
    <x v="0"/>
    <x v="0"/>
    <x v="7"/>
    <x v="12"/>
    <s v="NO2_A1"/>
    <x v="1"/>
    <s v="GHOB_WASTEHEAT"/>
    <x v="0"/>
    <x v="12"/>
    <n v="5.8693910256409998"/>
    <n v="2142.32772435897"/>
    <n v="7712.3798076922803"/>
  </r>
  <r>
    <x v="0"/>
    <x v="0"/>
    <x v="0"/>
    <x v="7"/>
    <x v="12"/>
    <s v="NO2_A1"/>
    <x v="1"/>
    <s v="GHOB_WASTEHEAT"/>
    <x v="0"/>
    <x v="13"/>
    <n v="5.8693910256409998"/>
    <n v="2142.32772435897"/>
    <n v="7712.3798076922803"/>
  </r>
  <r>
    <x v="0"/>
    <x v="0"/>
    <x v="0"/>
    <x v="7"/>
    <x v="12"/>
    <s v="NO2_A1"/>
    <x v="1"/>
    <s v="GHOB_WASTEHEAT"/>
    <x v="0"/>
    <x v="14"/>
    <n v="5.8693910256409998"/>
    <n v="2142.32772435897"/>
    <n v="7712.3798076922803"/>
  </r>
  <r>
    <x v="0"/>
    <x v="0"/>
    <x v="0"/>
    <x v="7"/>
    <x v="12"/>
    <s v="NO2_A1"/>
    <x v="1"/>
    <s v="GHOB_WASTEHEAT"/>
    <x v="0"/>
    <x v="15"/>
    <n v="5.8693910256409998"/>
    <n v="2142.32772435897"/>
    <n v="7712.3798076922803"/>
  </r>
  <r>
    <x v="0"/>
    <x v="0"/>
    <x v="0"/>
    <x v="7"/>
    <x v="12"/>
    <s v="NO2_A1"/>
    <x v="1"/>
    <s v="GHOB_WASTEHEAT"/>
    <x v="0"/>
    <x v="16"/>
    <n v="5.8693910256409998"/>
    <n v="2142.32772435897"/>
    <n v="7712.3798076922803"/>
  </r>
  <r>
    <x v="0"/>
    <x v="0"/>
    <x v="0"/>
    <x v="7"/>
    <x v="12"/>
    <s v="NO2_A1"/>
    <x v="1"/>
    <s v="GHOB_WASTEHEAT"/>
    <x v="0"/>
    <x v="17"/>
    <n v="5.3334396681759202"/>
    <n v="1946.7054788842099"/>
    <n v="7008.1397239831604"/>
  </r>
  <r>
    <x v="0"/>
    <x v="0"/>
    <x v="0"/>
    <x v="7"/>
    <x v="12"/>
    <s v="NO2_A1"/>
    <x v="1"/>
    <s v="GHOB_WASTEHEAT"/>
    <x v="0"/>
    <x v="19"/>
    <n v="3.9801805055357802"/>
    <n v="1452.7658845205599"/>
    <n v="5229.9571842740097"/>
  </r>
  <r>
    <x v="0"/>
    <x v="0"/>
    <x v="0"/>
    <x v="7"/>
    <x v="12"/>
    <s v="NO2_A1"/>
    <x v="1"/>
    <s v="GHOB_WASTEHEAT"/>
    <x v="0"/>
    <x v="20"/>
    <n v="2.5887560158767"/>
    <n v="944.89594579499703"/>
    <n v="3401.6254048619899"/>
  </r>
  <r>
    <x v="0"/>
    <x v="0"/>
    <x v="0"/>
    <x v="7"/>
    <x v="12"/>
    <s v="NO2_A1"/>
    <x v="1"/>
    <s v="GHOB_WASTEHEAT"/>
    <x v="0"/>
    <x v="21"/>
    <n v="0.184639769344912"/>
    <n v="67.393515810892893"/>
    <n v="242.61665691921399"/>
  </r>
  <r>
    <x v="0"/>
    <x v="0"/>
    <x v="0"/>
    <x v="7"/>
    <x v="12"/>
    <s v="NO2_A1"/>
    <x v="7"/>
    <s v="GNR_RES_WTR_NOPMP_MC-01"/>
    <x v="0"/>
    <x v="0"/>
    <n v="367.19205575436598"/>
    <n v="134025.100350344"/>
    <n v="482490.36126123701"/>
  </r>
  <r>
    <x v="0"/>
    <x v="0"/>
    <x v="0"/>
    <x v="7"/>
    <x v="12"/>
    <s v="NO2_A1"/>
    <x v="7"/>
    <s v="GNR_RES_WTR_NOPMP_MC-01"/>
    <x v="0"/>
    <x v="1"/>
    <n v="367.19205575436598"/>
    <n v="134025.100350344"/>
    <n v="482490.36126123701"/>
  </r>
  <r>
    <x v="0"/>
    <x v="0"/>
    <x v="0"/>
    <x v="7"/>
    <x v="12"/>
    <s v="NO2_A1"/>
    <x v="7"/>
    <s v="GNR_RES_WTR_NOPMP_MC-01"/>
    <x v="0"/>
    <x v="2"/>
    <n v="367.19205575436598"/>
    <n v="134025.100350344"/>
    <n v="482490.36126123701"/>
  </r>
  <r>
    <x v="0"/>
    <x v="0"/>
    <x v="0"/>
    <x v="7"/>
    <x v="12"/>
    <s v="NO2_A1"/>
    <x v="7"/>
    <s v="GNR_RES_WTR_NOPMP_MC-01"/>
    <x v="0"/>
    <x v="3"/>
    <n v="367.19205575436598"/>
    <n v="134025.100350344"/>
    <n v="482490.36126123701"/>
  </r>
  <r>
    <x v="0"/>
    <x v="0"/>
    <x v="0"/>
    <x v="7"/>
    <x v="12"/>
    <s v="NO2_A1"/>
    <x v="7"/>
    <s v="GNR_RES_WTR_NOPMP_MC-01"/>
    <x v="0"/>
    <x v="18"/>
    <n v="367.19205575436598"/>
    <n v="134025.100350344"/>
    <n v="482490.36126123701"/>
  </r>
  <r>
    <x v="0"/>
    <x v="0"/>
    <x v="0"/>
    <x v="7"/>
    <x v="12"/>
    <s v="NO2_A1"/>
    <x v="7"/>
    <s v="GNR_RES_WTR_NOPMP_MC-01"/>
    <x v="0"/>
    <x v="4"/>
    <n v="367.19205575436598"/>
    <n v="134025.100350344"/>
    <n v="482490.36126123701"/>
  </r>
  <r>
    <x v="0"/>
    <x v="0"/>
    <x v="0"/>
    <x v="7"/>
    <x v="12"/>
    <s v="NO2_A1"/>
    <x v="7"/>
    <s v="GNR_RES_WTR_NOPMP_MC-01"/>
    <x v="0"/>
    <x v="5"/>
    <n v="367.19205575436598"/>
    <n v="134025.100350344"/>
    <n v="482490.36126123701"/>
  </r>
  <r>
    <x v="0"/>
    <x v="0"/>
    <x v="0"/>
    <x v="7"/>
    <x v="12"/>
    <s v="NO2_A1"/>
    <x v="7"/>
    <s v="GNR_RES_WTR_NOPMP_MC-01"/>
    <x v="0"/>
    <x v="6"/>
    <n v="367.19205575436598"/>
    <n v="134025.100350344"/>
    <n v="482490.36126123701"/>
  </r>
  <r>
    <x v="0"/>
    <x v="0"/>
    <x v="0"/>
    <x v="7"/>
    <x v="12"/>
    <s v="NO2_A1"/>
    <x v="7"/>
    <s v="GNR_RES_WTR_NOPMP_MC-01"/>
    <x v="0"/>
    <x v="7"/>
    <n v="367.19205575436598"/>
    <n v="134025.100350344"/>
    <n v="482490.36126123701"/>
  </r>
  <r>
    <x v="0"/>
    <x v="0"/>
    <x v="0"/>
    <x v="7"/>
    <x v="12"/>
    <s v="NO2_A1"/>
    <x v="7"/>
    <s v="GNR_RES_WTR_NOPMP_MC-01"/>
    <x v="0"/>
    <x v="8"/>
    <n v="367.19205575436598"/>
    <n v="134025.100350344"/>
    <n v="482490.36126123701"/>
  </r>
  <r>
    <x v="0"/>
    <x v="0"/>
    <x v="0"/>
    <x v="7"/>
    <x v="12"/>
    <s v="NO2_A1"/>
    <x v="7"/>
    <s v="GNR_RES_WTR_NOPMP_MC-01"/>
    <x v="0"/>
    <x v="9"/>
    <n v="367.19205575436598"/>
    <n v="134025.100350344"/>
    <n v="482490.36126123701"/>
  </r>
  <r>
    <x v="0"/>
    <x v="0"/>
    <x v="0"/>
    <x v="7"/>
    <x v="12"/>
    <s v="NO2_A1"/>
    <x v="7"/>
    <s v="GNR_RES_WTR_NOPMP_MC-01"/>
    <x v="0"/>
    <x v="10"/>
    <n v="367.19205575436598"/>
    <n v="134025.100350344"/>
    <n v="482490.36126123701"/>
  </r>
  <r>
    <x v="0"/>
    <x v="0"/>
    <x v="0"/>
    <x v="7"/>
    <x v="12"/>
    <s v="NO2_A1"/>
    <x v="7"/>
    <s v="GNR_RES_WTR_NOPMP_MC-01"/>
    <x v="0"/>
    <x v="11"/>
    <n v="367.19205575436598"/>
    <n v="134025.100350344"/>
    <n v="482490.36126123701"/>
  </r>
  <r>
    <x v="0"/>
    <x v="0"/>
    <x v="0"/>
    <x v="7"/>
    <x v="12"/>
    <s v="NO2_A1"/>
    <x v="7"/>
    <s v="GNR_RES_WTR_NOPMP_MC-01"/>
    <x v="0"/>
    <x v="12"/>
    <n v="367.19205575436598"/>
    <n v="134025.100350344"/>
    <n v="482490.36126123701"/>
  </r>
  <r>
    <x v="0"/>
    <x v="0"/>
    <x v="0"/>
    <x v="7"/>
    <x v="12"/>
    <s v="NO2_A1"/>
    <x v="7"/>
    <s v="GNR_RES_WTR_NOPMP_MC-01"/>
    <x v="0"/>
    <x v="13"/>
    <n v="367.19205575436598"/>
    <n v="134025.100350344"/>
    <n v="482490.36126123701"/>
  </r>
  <r>
    <x v="0"/>
    <x v="0"/>
    <x v="0"/>
    <x v="7"/>
    <x v="12"/>
    <s v="NO2_A1"/>
    <x v="7"/>
    <s v="GNR_RES_WTR_NOPMP_MC-01"/>
    <x v="0"/>
    <x v="14"/>
    <n v="367.19205575436598"/>
    <n v="134025.100350344"/>
    <n v="482490.36126123701"/>
  </r>
  <r>
    <x v="0"/>
    <x v="0"/>
    <x v="0"/>
    <x v="7"/>
    <x v="12"/>
    <s v="NO2_A1"/>
    <x v="7"/>
    <s v="GNR_RES_WTR_NOPMP_MC-01"/>
    <x v="0"/>
    <x v="15"/>
    <n v="367.19205575436598"/>
    <n v="134025.100350344"/>
    <n v="482490.36126123701"/>
  </r>
  <r>
    <x v="0"/>
    <x v="0"/>
    <x v="0"/>
    <x v="7"/>
    <x v="12"/>
    <s v="NO2_A1"/>
    <x v="7"/>
    <s v="GNR_RES_WTR_NOPMP_MC-01"/>
    <x v="0"/>
    <x v="16"/>
    <n v="367.19205575436598"/>
    <n v="134025.100350344"/>
    <n v="482490.36126123701"/>
  </r>
  <r>
    <x v="0"/>
    <x v="0"/>
    <x v="0"/>
    <x v="7"/>
    <x v="12"/>
    <s v="NO2_A1"/>
    <x v="7"/>
    <s v="GNR_RES_WTR_NOPMP_MC-01"/>
    <x v="0"/>
    <x v="17"/>
    <n v="367.19205575436598"/>
    <n v="134025.100350344"/>
    <n v="482490.36126123701"/>
  </r>
  <r>
    <x v="0"/>
    <x v="0"/>
    <x v="0"/>
    <x v="7"/>
    <x v="12"/>
    <s v="NO2_A1"/>
    <x v="7"/>
    <s v="GNR_RES_WTR_NOPMP_MC-01"/>
    <x v="0"/>
    <x v="19"/>
    <n v="367.19205575436598"/>
    <n v="134025.100350344"/>
    <n v="482490.36126123701"/>
  </r>
  <r>
    <x v="0"/>
    <x v="0"/>
    <x v="0"/>
    <x v="7"/>
    <x v="12"/>
    <s v="NO2_A1"/>
    <x v="7"/>
    <s v="GNR_RES_WTR_NOPMP_MC-01"/>
    <x v="0"/>
    <x v="20"/>
    <n v="367.19205575436598"/>
    <n v="134025.100350344"/>
    <n v="482490.36126123701"/>
  </r>
  <r>
    <x v="0"/>
    <x v="0"/>
    <x v="0"/>
    <x v="7"/>
    <x v="12"/>
    <s v="NO2_A1"/>
    <x v="7"/>
    <s v="GNR_RES_WTR_NOPMP_MC-01"/>
    <x v="0"/>
    <x v="21"/>
    <n v="367.19205575436598"/>
    <n v="134025.100350344"/>
    <n v="482490.36126123701"/>
  </r>
  <r>
    <x v="0"/>
    <x v="0"/>
    <x v="0"/>
    <x v="7"/>
    <x v="12"/>
    <s v="NO2_A1"/>
    <x v="7"/>
    <s v="GNR_RES_WTR_NOPMP_MC-01"/>
    <x v="0"/>
    <x v="22"/>
    <n v="367.19205575436598"/>
    <n v="134025.100350344"/>
    <n v="482490.36126123701"/>
  </r>
  <r>
    <x v="0"/>
    <x v="0"/>
    <x v="0"/>
    <x v="7"/>
    <x v="12"/>
    <s v="NO2_A1"/>
    <x v="7"/>
    <s v="GNR_RES_WTR_NOPMP_MC-01"/>
    <x v="0"/>
    <x v="23"/>
    <n v="367.19205575436598"/>
    <n v="134025.100350344"/>
    <n v="482490.36126123701"/>
  </r>
  <r>
    <x v="0"/>
    <x v="0"/>
    <x v="0"/>
    <x v="7"/>
    <x v="12"/>
    <s v="NO2_A1"/>
    <x v="7"/>
    <s v="GNR_RES_WTR_NOPMP_MC-02"/>
    <x v="0"/>
    <x v="0"/>
    <n v="887.19205575436604"/>
    <n v="323825.10035034397"/>
    <n v="1165770.36126124"/>
  </r>
  <r>
    <x v="0"/>
    <x v="0"/>
    <x v="0"/>
    <x v="7"/>
    <x v="12"/>
    <s v="NO2_A1"/>
    <x v="7"/>
    <s v="GNR_RES_WTR_NOPMP_MC-02"/>
    <x v="0"/>
    <x v="1"/>
    <n v="887.19205575436604"/>
    <n v="323825.10035034397"/>
    <n v="1165770.36126124"/>
  </r>
  <r>
    <x v="0"/>
    <x v="0"/>
    <x v="0"/>
    <x v="7"/>
    <x v="12"/>
    <s v="NO2_A1"/>
    <x v="7"/>
    <s v="GNR_RES_WTR_NOPMP_MC-02"/>
    <x v="0"/>
    <x v="2"/>
    <n v="887.19205575436604"/>
    <n v="323825.10035034397"/>
    <n v="1165770.36126124"/>
  </r>
  <r>
    <x v="0"/>
    <x v="0"/>
    <x v="0"/>
    <x v="7"/>
    <x v="12"/>
    <s v="NO2_A1"/>
    <x v="7"/>
    <s v="GNR_RES_WTR_NOPMP_MC-02"/>
    <x v="0"/>
    <x v="3"/>
    <n v="887.19205575436604"/>
    <n v="323825.10035034397"/>
    <n v="1165770.36126124"/>
  </r>
  <r>
    <x v="0"/>
    <x v="0"/>
    <x v="0"/>
    <x v="7"/>
    <x v="12"/>
    <s v="NO2_A1"/>
    <x v="7"/>
    <s v="GNR_RES_WTR_NOPMP_MC-02"/>
    <x v="0"/>
    <x v="18"/>
    <n v="887.19205575436604"/>
    <n v="323825.10035034397"/>
    <n v="1165770.36126124"/>
  </r>
  <r>
    <x v="0"/>
    <x v="0"/>
    <x v="0"/>
    <x v="7"/>
    <x v="12"/>
    <s v="NO2_A1"/>
    <x v="7"/>
    <s v="GNR_RES_WTR_NOPMP_MC-02"/>
    <x v="0"/>
    <x v="4"/>
    <n v="887.19205575436604"/>
    <n v="323825.10035034397"/>
    <n v="1165770.36126124"/>
  </r>
  <r>
    <x v="0"/>
    <x v="0"/>
    <x v="0"/>
    <x v="7"/>
    <x v="12"/>
    <s v="NO2_A1"/>
    <x v="7"/>
    <s v="GNR_RES_WTR_NOPMP_MC-02"/>
    <x v="0"/>
    <x v="5"/>
    <n v="887.19205575436604"/>
    <n v="323825.10035034397"/>
    <n v="1165770.36126124"/>
  </r>
  <r>
    <x v="0"/>
    <x v="0"/>
    <x v="0"/>
    <x v="7"/>
    <x v="12"/>
    <s v="NO2_A1"/>
    <x v="7"/>
    <s v="GNR_RES_WTR_NOPMP_MC-02"/>
    <x v="0"/>
    <x v="6"/>
    <n v="887.19205575436604"/>
    <n v="323825.10035034397"/>
    <n v="1165770.36126124"/>
  </r>
  <r>
    <x v="0"/>
    <x v="0"/>
    <x v="0"/>
    <x v="7"/>
    <x v="12"/>
    <s v="NO2_A1"/>
    <x v="7"/>
    <s v="GNR_RES_WTR_NOPMP_MC-02"/>
    <x v="0"/>
    <x v="7"/>
    <n v="887.19205575436604"/>
    <n v="323825.10035034397"/>
    <n v="1165770.36126124"/>
  </r>
  <r>
    <x v="0"/>
    <x v="0"/>
    <x v="0"/>
    <x v="7"/>
    <x v="12"/>
    <s v="NO2_A1"/>
    <x v="7"/>
    <s v="GNR_RES_WTR_NOPMP_MC-02"/>
    <x v="0"/>
    <x v="8"/>
    <n v="887.19205575436604"/>
    <n v="323825.10035034397"/>
    <n v="1165770.36126124"/>
  </r>
  <r>
    <x v="0"/>
    <x v="0"/>
    <x v="0"/>
    <x v="7"/>
    <x v="12"/>
    <s v="NO2_A1"/>
    <x v="7"/>
    <s v="GNR_RES_WTR_NOPMP_MC-02"/>
    <x v="0"/>
    <x v="9"/>
    <n v="887.19205575436604"/>
    <n v="323825.10035034397"/>
    <n v="1165770.36126124"/>
  </r>
  <r>
    <x v="0"/>
    <x v="0"/>
    <x v="0"/>
    <x v="7"/>
    <x v="12"/>
    <s v="NO2_A1"/>
    <x v="7"/>
    <s v="GNR_RES_WTR_NOPMP_MC-02"/>
    <x v="0"/>
    <x v="10"/>
    <n v="887.19205575436604"/>
    <n v="323825.10035034397"/>
    <n v="1165770.36126124"/>
  </r>
  <r>
    <x v="0"/>
    <x v="0"/>
    <x v="0"/>
    <x v="7"/>
    <x v="12"/>
    <s v="NO2_A1"/>
    <x v="7"/>
    <s v="GNR_RES_WTR_NOPMP_MC-02"/>
    <x v="0"/>
    <x v="11"/>
    <n v="887.19205575436604"/>
    <n v="323825.10035034397"/>
    <n v="1165770.36126124"/>
  </r>
  <r>
    <x v="0"/>
    <x v="0"/>
    <x v="0"/>
    <x v="7"/>
    <x v="12"/>
    <s v="NO2_A1"/>
    <x v="7"/>
    <s v="GNR_RES_WTR_NOPMP_MC-02"/>
    <x v="0"/>
    <x v="12"/>
    <n v="887.19205575436604"/>
    <n v="323825.10035034397"/>
    <n v="1165770.36126124"/>
  </r>
  <r>
    <x v="0"/>
    <x v="0"/>
    <x v="0"/>
    <x v="7"/>
    <x v="12"/>
    <s v="NO2_A1"/>
    <x v="7"/>
    <s v="GNR_RES_WTR_NOPMP_MC-02"/>
    <x v="0"/>
    <x v="13"/>
    <n v="887.19205575436604"/>
    <n v="323825.10035034397"/>
    <n v="1165770.36126124"/>
  </r>
  <r>
    <x v="0"/>
    <x v="0"/>
    <x v="0"/>
    <x v="7"/>
    <x v="12"/>
    <s v="NO2_A1"/>
    <x v="7"/>
    <s v="GNR_RES_WTR_NOPMP_MC-02"/>
    <x v="0"/>
    <x v="14"/>
    <n v="887.19205575436604"/>
    <n v="323825.10035034397"/>
    <n v="1165770.36126124"/>
  </r>
  <r>
    <x v="0"/>
    <x v="0"/>
    <x v="0"/>
    <x v="7"/>
    <x v="12"/>
    <s v="NO2_A1"/>
    <x v="7"/>
    <s v="GNR_RES_WTR_NOPMP_MC-02"/>
    <x v="0"/>
    <x v="15"/>
    <n v="887.19205575436604"/>
    <n v="323825.10035034397"/>
    <n v="1165770.36126124"/>
  </r>
  <r>
    <x v="0"/>
    <x v="0"/>
    <x v="0"/>
    <x v="7"/>
    <x v="12"/>
    <s v="NO2_A1"/>
    <x v="7"/>
    <s v="GNR_RES_WTR_NOPMP_MC-02"/>
    <x v="0"/>
    <x v="16"/>
    <n v="887.19205575436604"/>
    <n v="323825.10035034397"/>
    <n v="1165770.36126124"/>
  </r>
  <r>
    <x v="0"/>
    <x v="0"/>
    <x v="0"/>
    <x v="7"/>
    <x v="12"/>
    <s v="NO2_A1"/>
    <x v="7"/>
    <s v="GNR_RES_WTR_NOPMP_MC-02"/>
    <x v="0"/>
    <x v="17"/>
    <n v="887.19205575436604"/>
    <n v="323825.10035034397"/>
    <n v="1165770.36126124"/>
  </r>
  <r>
    <x v="0"/>
    <x v="0"/>
    <x v="0"/>
    <x v="7"/>
    <x v="12"/>
    <s v="NO2_A1"/>
    <x v="7"/>
    <s v="GNR_RES_WTR_NOPMP_MC-02"/>
    <x v="0"/>
    <x v="19"/>
    <n v="887.19205575436604"/>
    <n v="323825.10035034397"/>
    <n v="1165770.36126124"/>
  </r>
  <r>
    <x v="0"/>
    <x v="0"/>
    <x v="0"/>
    <x v="7"/>
    <x v="12"/>
    <s v="NO2_A1"/>
    <x v="7"/>
    <s v="GNR_RES_WTR_NOPMP_MC-02"/>
    <x v="0"/>
    <x v="20"/>
    <n v="887.19205575436604"/>
    <n v="323825.10035034397"/>
    <n v="1165770.36126124"/>
  </r>
  <r>
    <x v="0"/>
    <x v="0"/>
    <x v="0"/>
    <x v="7"/>
    <x v="12"/>
    <s v="NO2_A1"/>
    <x v="7"/>
    <s v="GNR_RES_WTR_NOPMP_MC-02"/>
    <x v="0"/>
    <x v="21"/>
    <n v="887.19205575436604"/>
    <n v="323825.10035034397"/>
    <n v="1165770.36126124"/>
  </r>
  <r>
    <x v="0"/>
    <x v="0"/>
    <x v="0"/>
    <x v="7"/>
    <x v="12"/>
    <s v="NO2_A1"/>
    <x v="7"/>
    <s v="GNR_RES_WTR_NOPMP_MC-02"/>
    <x v="0"/>
    <x v="22"/>
    <n v="887.19205575436604"/>
    <n v="323825.10035034397"/>
    <n v="1165770.36126124"/>
  </r>
  <r>
    <x v="0"/>
    <x v="0"/>
    <x v="0"/>
    <x v="7"/>
    <x v="12"/>
    <s v="NO2_A1"/>
    <x v="7"/>
    <s v="GNR_RES_WTR_NOPMP_MC-02"/>
    <x v="0"/>
    <x v="23"/>
    <n v="887.19205575436604"/>
    <n v="323825.10035034397"/>
    <n v="1165770.36126124"/>
  </r>
  <r>
    <x v="0"/>
    <x v="0"/>
    <x v="0"/>
    <x v="7"/>
    <x v="12"/>
    <s v="NO2_A1"/>
    <x v="7"/>
    <s v="GNR_RES_WTR_NOPMP_MC-03"/>
    <x v="0"/>
    <x v="0"/>
    <n v="887.19205575436604"/>
    <n v="323825.10035034397"/>
    <n v="1165770.36126124"/>
  </r>
  <r>
    <x v="0"/>
    <x v="0"/>
    <x v="0"/>
    <x v="7"/>
    <x v="12"/>
    <s v="NO2_A1"/>
    <x v="7"/>
    <s v="GNR_RES_WTR_NOPMP_MC-03"/>
    <x v="0"/>
    <x v="1"/>
    <n v="887.19205575436604"/>
    <n v="323825.10035034397"/>
    <n v="1165770.36126124"/>
  </r>
  <r>
    <x v="0"/>
    <x v="0"/>
    <x v="0"/>
    <x v="7"/>
    <x v="12"/>
    <s v="NO2_A1"/>
    <x v="7"/>
    <s v="GNR_RES_WTR_NOPMP_MC-03"/>
    <x v="0"/>
    <x v="2"/>
    <n v="887.19205575436604"/>
    <n v="323825.10035034397"/>
    <n v="1165770.36126124"/>
  </r>
  <r>
    <x v="0"/>
    <x v="0"/>
    <x v="0"/>
    <x v="7"/>
    <x v="12"/>
    <s v="NO2_A1"/>
    <x v="7"/>
    <s v="GNR_RES_WTR_NOPMP_MC-03"/>
    <x v="0"/>
    <x v="3"/>
    <n v="887.19205575436604"/>
    <n v="323825.10035034397"/>
    <n v="1165770.36126124"/>
  </r>
  <r>
    <x v="0"/>
    <x v="0"/>
    <x v="0"/>
    <x v="7"/>
    <x v="12"/>
    <s v="NO2_A1"/>
    <x v="7"/>
    <s v="GNR_RES_WTR_NOPMP_MC-03"/>
    <x v="0"/>
    <x v="18"/>
    <n v="887.19205575436604"/>
    <n v="323825.10035034397"/>
    <n v="1165770.36126124"/>
  </r>
  <r>
    <x v="0"/>
    <x v="0"/>
    <x v="0"/>
    <x v="7"/>
    <x v="12"/>
    <s v="NO2_A1"/>
    <x v="7"/>
    <s v="GNR_RES_WTR_NOPMP_MC-03"/>
    <x v="0"/>
    <x v="4"/>
    <n v="887.19205575436604"/>
    <n v="323825.10035034397"/>
    <n v="1165770.36126124"/>
  </r>
  <r>
    <x v="0"/>
    <x v="0"/>
    <x v="0"/>
    <x v="7"/>
    <x v="12"/>
    <s v="NO2_A1"/>
    <x v="7"/>
    <s v="GNR_RES_WTR_NOPMP_MC-03"/>
    <x v="0"/>
    <x v="5"/>
    <n v="887.19205575436604"/>
    <n v="323825.10035034397"/>
    <n v="1165770.36126124"/>
  </r>
  <r>
    <x v="0"/>
    <x v="0"/>
    <x v="0"/>
    <x v="7"/>
    <x v="12"/>
    <s v="NO2_A1"/>
    <x v="7"/>
    <s v="GNR_RES_WTR_NOPMP_MC-03"/>
    <x v="0"/>
    <x v="6"/>
    <n v="887.19205575436604"/>
    <n v="323825.10035034397"/>
    <n v="1165770.36126124"/>
  </r>
  <r>
    <x v="0"/>
    <x v="0"/>
    <x v="0"/>
    <x v="7"/>
    <x v="12"/>
    <s v="NO2_A1"/>
    <x v="7"/>
    <s v="GNR_RES_WTR_NOPMP_MC-03"/>
    <x v="0"/>
    <x v="7"/>
    <n v="887.19205575436604"/>
    <n v="323825.10035034397"/>
    <n v="1165770.36126124"/>
  </r>
  <r>
    <x v="0"/>
    <x v="0"/>
    <x v="0"/>
    <x v="7"/>
    <x v="12"/>
    <s v="NO2_A1"/>
    <x v="7"/>
    <s v="GNR_RES_WTR_NOPMP_MC-03"/>
    <x v="0"/>
    <x v="8"/>
    <n v="887.19205575436604"/>
    <n v="323825.10035034397"/>
    <n v="1165770.36126124"/>
  </r>
  <r>
    <x v="0"/>
    <x v="0"/>
    <x v="0"/>
    <x v="7"/>
    <x v="12"/>
    <s v="NO2_A1"/>
    <x v="7"/>
    <s v="GNR_RES_WTR_NOPMP_MC-03"/>
    <x v="0"/>
    <x v="9"/>
    <n v="887.19205575436604"/>
    <n v="323825.10035034397"/>
    <n v="1165770.36126124"/>
  </r>
  <r>
    <x v="0"/>
    <x v="0"/>
    <x v="0"/>
    <x v="7"/>
    <x v="12"/>
    <s v="NO2_A1"/>
    <x v="7"/>
    <s v="GNR_RES_WTR_NOPMP_MC-03"/>
    <x v="0"/>
    <x v="10"/>
    <n v="887.19205575436604"/>
    <n v="323825.10035034397"/>
    <n v="1165770.36126124"/>
  </r>
  <r>
    <x v="0"/>
    <x v="0"/>
    <x v="0"/>
    <x v="7"/>
    <x v="12"/>
    <s v="NO2_A1"/>
    <x v="7"/>
    <s v="GNR_RES_WTR_NOPMP_MC-03"/>
    <x v="0"/>
    <x v="11"/>
    <n v="887.19205575436604"/>
    <n v="323825.10035034397"/>
    <n v="1165770.36126124"/>
  </r>
  <r>
    <x v="0"/>
    <x v="0"/>
    <x v="0"/>
    <x v="7"/>
    <x v="12"/>
    <s v="NO2_A1"/>
    <x v="7"/>
    <s v="GNR_RES_WTR_NOPMP_MC-03"/>
    <x v="0"/>
    <x v="12"/>
    <n v="887.19205575436604"/>
    <n v="323825.10035034397"/>
    <n v="1165770.36126124"/>
  </r>
  <r>
    <x v="0"/>
    <x v="0"/>
    <x v="0"/>
    <x v="7"/>
    <x v="12"/>
    <s v="NO2_A1"/>
    <x v="7"/>
    <s v="GNR_RES_WTR_NOPMP_MC-03"/>
    <x v="0"/>
    <x v="13"/>
    <n v="887.19205575436604"/>
    <n v="323825.10035034397"/>
    <n v="1165770.36126124"/>
  </r>
  <r>
    <x v="0"/>
    <x v="0"/>
    <x v="0"/>
    <x v="7"/>
    <x v="12"/>
    <s v="NO2_A1"/>
    <x v="7"/>
    <s v="GNR_RES_WTR_NOPMP_MC-03"/>
    <x v="0"/>
    <x v="14"/>
    <n v="887.19205575436604"/>
    <n v="323825.10035034397"/>
    <n v="1165770.36126124"/>
  </r>
  <r>
    <x v="0"/>
    <x v="0"/>
    <x v="0"/>
    <x v="7"/>
    <x v="12"/>
    <s v="NO2_A1"/>
    <x v="7"/>
    <s v="GNR_RES_WTR_NOPMP_MC-03"/>
    <x v="0"/>
    <x v="15"/>
    <n v="887.19205575436604"/>
    <n v="323825.10035034397"/>
    <n v="1165770.36126124"/>
  </r>
  <r>
    <x v="0"/>
    <x v="0"/>
    <x v="0"/>
    <x v="7"/>
    <x v="12"/>
    <s v="NO2_A1"/>
    <x v="7"/>
    <s v="GNR_RES_WTR_NOPMP_MC-03"/>
    <x v="0"/>
    <x v="16"/>
    <n v="887.19205575436604"/>
    <n v="323825.10035034397"/>
    <n v="1165770.36126124"/>
  </r>
  <r>
    <x v="0"/>
    <x v="0"/>
    <x v="0"/>
    <x v="7"/>
    <x v="12"/>
    <s v="NO2_A1"/>
    <x v="7"/>
    <s v="GNR_RES_WTR_NOPMP_MC-03"/>
    <x v="0"/>
    <x v="17"/>
    <n v="887.19205575436604"/>
    <n v="323825.10035034397"/>
    <n v="1165770.36126124"/>
  </r>
  <r>
    <x v="0"/>
    <x v="0"/>
    <x v="0"/>
    <x v="7"/>
    <x v="12"/>
    <s v="NO2_A1"/>
    <x v="7"/>
    <s v="GNR_RES_WTR_NOPMP_MC-03"/>
    <x v="0"/>
    <x v="19"/>
    <n v="887.19205575436604"/>
    <n v="323825.10035034397"/>
    <n v="1165770.36126124"/>
  </r>
  <r>
    <x v="0"/>
    <x v="0"/>
    <x v="0"/>
    <x v="7"/>
    <x v="12"/>
    <s v="NO2_A1"/>
    <x v="7"/>
    <s v="GNR_RES_WTR_NOPMP_MC-03"/>
    <x v="0"/>
    <x v="20"/>
    <n v="887.19205575436604"/>
    <n v="323825.10035034397"/>
    <n v="1165770.36126124"/>
  </r>
  <r>
    <x v="0"/>
    <x v="0"/>
    <x v="0"/>
    <x v="7"/>
    <x v="12"/>
    <s v="NO2_A1"/>
    <x v="7"/>
    <s v="GNR_RES_WTR_NOPMP_MC-03"/>
    <x v="0"/>
    <x v="21"/>
    <n v="887.19205575436604"/>
    <n v="323825.10035034397"/>
    <n v="1165770.36126124"/>
  </r>
  <r>
    <x v="0"/>
    <x v="0"/>
    <x v="0"/>
    <x v="7"/>
    <x v="12"/>
    <s v="NO2_A1"/>
    <x v="7"/>
    <s v="GNR_RES_WTR_NOPMP_MC-03"/>
    <x v="0"/>
    <x v="22"/>
    <n v="887.19205575436604"/>
    <n v="323825.10035034397"/>
    <n v="1165770.36126124"/>
  </r>
  <r>
    <x v="0"/>
    <x v="0"/>
    <x v="0"/>
    <x v="7"/>
    <x v="12"/>
    <s v="NO2_A1"/>
    <x v="7"/>
    <s v="GNR_RES_WTR_NOPMP_MC-03"/>
    <x v="0"/>
    <x v="23"/>
    <n v="887.19205575436604"/>
    <n v="323825.10035034397"/>
    <n v="1165770.36126124"/>
  </r>
  <r>
    <x v="0"/>
    <x v="0"/>
    <x v="0"/>
    <x v="7"/>
    <x v="12"/>
    <s v="NO2_A1"/>
    <x v="7"/>
    <s v="GNR_RES_WTR_NOPMP_MC-04"/>
    <x v="0"/>
    <x v="0"/>
    <n v="652.21233719519603"/>
    <n v="238057.503076247"/>
    <n v="857007.011074487"/>
  </r>
  <r>
    <x v="0"/>
    <x v="0"/>
    <x v="0"/>
    <x v="7"/>
    <x v="12"/>
    <s v="NO2_A1"/>
    <x v="7"/>
    <s v="GNR_RES_WTR_NOPMP_MC-04"/>
    <x v="0"/>
    <x v="1"/>
    <n v="389.00509913476702"/>
    <n v="141986.86118419"/>
    <n v="511152.70026308403"/>
  </r>
  <r>
    <x v="0"/>
    <x v="0"/>
    <x v="0"/>
    <x v="7"/>
    <x v="12"/>
    <s v="NO2_A1"/>
    <x v="7"/>
    <s v="GNR_RES_WTR_NOPMP_MC-04"/>
    <x v="0"/>
    <x v="2"/>
    <n v="307.72232271409399"/>
    <n v="112318.647790644"/>
    <n v="404347.13204632001"/>
  </r>
  <r>
    <x v="0"/>
    <x v="0"/>
    <x v="0"/>
    <x v="7"/>
    <x v="12"/>
    <s v="NO2_A1"/>
    <x v="7"/>
    <s v="GNR_RES_WTR_NOPMP_MC-04"/>
    <x v="0"/>
    <x v="3"/>
    <n v="401.64396250284199"/>
    <n v="146600.04631353699"/>
    <n v="527760.16672873497"/>
  </r>
  <r>
    <x v="0"/>
    <x v="0"/>
    <x v="0"/>
    <x v="7"/>
    <x v="12"/>
    <s v="NO2_A1"/>
    <x v="7"/>
    <s v="GNR_RES_WTR_NOPMP_MC-04"/>
    <x v="0"/>
    <x v="18"/>
    <n v="684.48916360493399"/>
    <n v="249838.54471580099"/>
    <n v="899418.76097688405"/>
  </r>
  <r>
    <x v="0"/>
    <x v="0"/>
    <x v="0"/>
    <x v="7"/>
    <x v="12"/>
    <s v="NO2_A1"/>
    <x v="7"/>
    <s v="GNR_RES_WTR_NOPMP_MC-04"/>
    <x v="0"/>
    <x v="4"/>
    <n v="887.19205575436604"/>
    <n v="323825.10035034397"/>
    <n v="1165770.36126124"/>
  </r>
  <r>
    <x v="0"/>
    <x v="0"/>
    <x v="0"/>
    <x v="7"/>
    <x v="12"/>
    <s v="NO2_A1"/>
    <x v="7"/>
    <s v="GNR_RES_WTR_NOPMP_MC-04"/>
    <x v="0"/>
    <x v="5"/>
    <n v="887.19205575436604"/>
    <n v="323825.10035034397"/>
    <n v="1165770.36126124"/>
  </r>
  <r>
    <x v="0"/>
    <x v="0"/>
    <x v="0"/>
    <x v="7"/>
    <x v="12"/>
    <s v="NO2_A1"/>
    <x v="7"/>
    <s v="GNR_RES_WTR_NOPMP_MC-04"/>
    <x v="0"/>
    <x v="6"/>
    <n v="887.19205575436604"/>
    <n v="323825.10035034397"/>
    <n v="1165770.36126124"/>
  </r>
  <r>
    <x v="0"/>
    <x v="0"/>
    <x v="0"/>
    <x v="7"/>
    <x v="12"/>
    <s v="NO2_A1"/>
    <x v="7"/>
    <s v="GNR_RES_WTR_NOPMP_MC-04"/>
    <x v="0"/>
    <x v="7"/>
    <n v="887.19205575436604"/>
    <n v="323825.10035034397"/>
    <n v="1165770.36126124"/>
  </r>
  <r>
    <x v="0"/>
    <x v="0"/>
    <x v="0"/>
    <x v="7"/>
    <x v="12"/>
    <s v="NO2_A1"/>
    <x v="7"/>
    <s v="GNR_RES_WTR_NOPMP_MC-04"/>
    <x v="0"/>
    <x v="8"/>
    <n v="887.19205575436604"/>
    <n v="323825.10035034397"/>
    <n v="1165770.36126124"/>
  </r>
  <r>
    <x v="0"/>
    <x v="0"/>
    <x v="0"/>
    <x v="7"/>
    <x v="12"/>
    <s v="NO2_A1"/>
    <x v="7"/>
    <s v="GNR_RES_WTR_NOPMP_MC-04"/>
    <x v="0"/>
    <x v="9"/>
    <n v="887.19205575436604"/>
    <n v="323825.10035034397"/>
    <n v="1165770.36126124"/>
  </r>
  <r>
    <x v="0"/>
    <x v="0"/>
    <x v="0"/>
    <x v="7"/>
    <x v="12"/>
    <s v="NO2_A1"/>
    <x v="7"/>
    <s v="GNR_RES_WTR_NOPMP_MC-04"/>
    <x v="0"/>
    <x v="10"/>
    <n v="887.19205575436604"/>
    <n v="323825.10035034397"/>
    <n v="1165770.36126124"/>
  </r>
  <r>
    <x v="0"/>
    <x v="0"/>
    <x v="0"/>
    <x v="7"/>
    <x v="12"/>
    <s v="NO2_A1"/>
    <x v="7"/>
    <s v="GNR_RES_WTR_NOPMP_MC-04"/>
    <x v="0"/>
    <x v="11"/>
    <n v="887.19205575436604"/>
    <n v="323825.10035034397"/>
    <n v="1165770.36126124"/>
  </r>
  <r>
    <x v="0"/>
    <x v="0"/>
    <x v="0"/>
    <x v="7"/>
    <x v="12"/>
    <s v="NO2_A1"/>
    <x v="7"/>
    <s v="GNR_RES_WTR_NOPMP_MC-04"/>
    <x v="0"/>
    <x v="12"/>
    <n v="887.19205575436604"/>
    <n v="323825.10035034397"/>
    <n v="1165770.36126124"/>
  </r>
  <r>
    <x v="0"/>
    <x v="0"/>
    <x v="0"/>
    <x v="7"/>
    <x v="12"/>
    <s v="NO2_A1"/>
    <x v="7"/>
    <s v="GNR_RES_WTR_NOPMP_MC-04"/>
    <x v="0"/>
    <x v="13"/>
    <n v="887.19205575436604"/>
    <n v="323825.10035034397"/>
    <n v="1165770.36126124"/>
  </r>
  <r>
    <x v="0"/>
    <x v="0"/>
    <x v="0"/>
    <x v="7"/>
    <x v="12"/>
    <s v="NO2_A1"/>
    <x v="7"/>
    <s v="GNR_RES_WTR_NOPMP_MC-04"/>
    <x v="0"/>
    <x v="14"/>
    <n v="887.19205575436604"/>
    <n v="323825.10035034397"/>
    <n v="1165770.36126124"/>
  </r>
  <r>
    <x v="0"/>
    <x v="0"/>
    <x v="0"/>
    <x v="7"/>
    <x v="12"/>
    <s v="NO2_A1"/>
    <x v="7"/>
    <s v="GNR_RES_WTR_NOPMP_MC-04"/>
    <x v="0"/>
    <x v="15"/>
    <n v="887.19205575436604"/>
    <n v="323825.10035034397"/>
    <n v="1165770.36126124"/>
  </r>
  <r>
    <x v="0"/>
    <x v="0"/>
    <x v="0"/>
    <x v="7"/>
    <x v="12"/>
    <s v="NO2_A1"/>
    <x v="7"/>
    <s v="GNR_RES_WTR_NOPMP_MC-04"/>
    <x v="0"/>
    <x v="16"/>
    <n v="887.19205575436604"/>
    <n v="323825.10035034397"/>
    <n v="1165770.36126124"/>
  </r>
  <r>
    <x v="0"/>
    <x v="0"/>
    <x v="0"/>
    <x v="7"/>
    <x v="12"/>
    <s v="NO2_A1"/>
    <x v="7"/>
    <s v="GNR_RES_WTR_NOPMP_MC-04"/>
    <x v="0"/>
    <x v="17"/>
    <n v="887.19205575436604"/>
    <n v="323825.10035034397"/>
    <n v="1165770.36126124"/>
  </r>
  <r>
    <x v="0"/>
    <x v="0"/>
    <x v="0"/>
    <x v="7"/>
    <x v="12"/>
    <s v="NO2_A1"/>
    <x v="7"/>
    <s v="GNR_RES_WTR_NOPMP_MC-04"/>
    <x v="0"/>
    <x v="19"/>
    <n v="887.19205575436604"/>
    <n v="323825.10035034397"/>
    <n v="1165770.36126124"/>
  </r>
  <r>
    <x v="0"/>
    <x v="0"/>
    <x v="0"/>
    <x v="7"/>
    <x v="12"/>
    <s v="NO2_A1"/>
    <x v="7"/>
    <s v="GNR_RES_WTR_NOPMP_MC-04"/>
    <x v="0"/>
    <x v="20"/>
    <n v="887.19205575436604"/>
    <n v="323825.10035034397"/>
    <n v="1165770.36126124"/>
  </r>
  <r>
    <x v="0"/>
    <x v="0"/>
    <x v="0"/>
    <x v="7"/>
    <x v="12"/>
    <s v="NO2_A1"/>
    <x v="7"/>
    <s v="GNR_RES_WTR_NOPMP_MC-04"/>
    <x v="0"/>
    <x v="21"/>
    <n v="887.19205575436604"/>
    <n v="323825.10035034397"/>
    <n v="1165770.36126124"/>
  </r>
  <r>
    <x v="0"/>
    <x v="0"/>
    <x v="0"/>
    <x v="7"/>
    <x v="12"/>
    <s v="NO2_A1"/>
    <x v="7"/>
    <s v="GNR_RES_WTR_NOPMP_MC-04"/>
    <x v="0"/>
    <x v="22"/>
    <n v="627.38841658422598"/>
    <n v="228996.77205324301"/>
    <n v="824388.37939167302"/>
  </r>
  <r>
    <x v="0"/>
    <x v="0"/>
    <x v="0"/>
    <x v="7"/>
    <x v="12"/>
    <s v="NO2_A1"/>
    <x v="7"/>
    <s v="GNR_RES_WTR_NOPMP_MC-05"/>
    <x v="0"/>
    <x v="5"/>
    <n v="887.19205575436604"/>
    <n v="323825.10035034397"/>
    <n v="1165770.36126124"/>
  </r>
  <r>
    <x v="0"/>
    <x v="0"/>
    <x v="0"/>
    <x v="7"/>
    <x v="12"/>
    <s v="NO2_A1"/>
    <x v="7"/>
    <s v="GNR_RES_WTR_NOPMP_MC-05"/>
    <x v="0"/>
    <x v="6"/>
    <n v="887.19205575436604"/>
    <n v="323825.10035034397"/>
    <n v="1165770.36126124"/>
  </r>
  <r>
    <x v="0"/>
    <x v="0"/>
    <x v="0"/>
    <x v="7"/>
    <x v="12"/>
    <s v="NO2_A1"/>
    <x v="7"/>
    <s v="GNR_RES_WTR_NOPMP_MC-05"/>
    <x v="0"/>
    <x v="7"/>
    <n v="887.19205575436604"/>
    <n v="323825.10035034397"/>
    <n v="1165770.36126124"/>
  </r>
  <r>
    <x v="0"/>
    <x v="0"/>
    <x v="0"/>
    <x v="7"/>
    <x v="12"/>
    <s v="NO2_A1"/>
    <x v="7"/>
    <s v="GNR_RES_WTR_NOPMP_MC-05"/>
    <x v="0"/>
    <x v="8"/>
    <n v="887.19205575436604"/>
    <n v="323825.10035034397"/>
    <n v="1165770.36126124"/>
  </r>
  <r>
    <x v="0"/>
    <x v="0"/>
    <x v="0"/>
    <x v="7"/>
    <x v="12"/>
    <s v="NO2_A1"/>
    <x v="7"/>
    <s v="GNR_RES_WTR_NOPMP_MC-05"/>
    <x v="0"/>
    <x v="9"/>
    <n v="887.19205575436604"/>
    <n v="323825.10035034397"/>
    <n v="1165770.36126124"/>
  </r>
  <r>
    <x v="0"/>
    <x v="0"/>
    <x v="0"/>
    <x v="7"/>
    <x v="12"/>
    <s v="NO2_A1"/>
    <x v="7"/>
    <s v="GNR_RES_WTR_NOPMP_MC-05"/>
    <x v="0"/>
    <x v="10"/>
    <n v="887.19205575436604"/>
    <n v="323825.10035034397"/>
    <n v="1165770.36126124"/>
  </r>
  <r>
    <x v="0"/>
    <x v="0"/>
    <x v="0"/>
    <x v="7"/>
    <x v="12"/>
    <s v="NO2_A1"/>
    <x v="7"/>
    <s v="GNR_RES_WTR_NOPMP_MC-05"/>
    <x v="0"/>
    <x v="11"/>
    <n v="887.19205575436604"/>
    <n v="323825.10035034397"/>
    <n v="1165770.36126124"/>
  </r>
  <r>
    <x v="0"/>
    <x v="0"/>
    <x v="0"/>
    <x v="7"/>
    <x v="12"/>
    <s v="NO2_A1"/>
    <x v="7"/>
    <s v="GNR_RES_WTR_NOPMP_MC-05"/>
    <x v="0"/>
    <x v="12"/>
    <n v="887.19205575436604"/>
    <n v="323825.10035034397"/>
    <n v="1165770.36126124"/>
  </r>
  <r>
    <x v="0"/>
    <x v="0"/>
    <x v="0"/>
    <x v="7"/>
    <x v="12"/>
    <s v="NO2_A1"/>
    <x v="7"/>
    <s v="GNR_RES_WTR_NOPMP_MC-05"/>
    <x v="0"/>
    <x v="13"/>
    <n v="887.19205575436604"/>
    <n v="323825.10035034397"/>
    <n v="1165770.36126124"/>
  </r>
  <r>
    <x v="0"/>
    <x v="0"/>
    <x v="0"/>
    <x v="7"/>
    <x v="12"/>
    <s v="NO2_A1"/>
    <x v="7"/>
    <s v="GNR_RES_WTR_NOPMP_MC-05"/>
    <x v="0"/>
    <x v="14"/>
    <n v="887.19205575436604"/>
    <n v="323825.10035034397"/>
    <n v="1165770.36126124"/>
  </r>
  <r>
    <x v="0"/>
    <x v="0"/>
    <x v="0"/>
    <x v="7"/>
    <x v="12"/>
    <s v="NO2_A1"/>
    <x v="7"/>
    <s v="GNR_RES_WTR_NOPMP_MC-05"/>
    <x v="0"/>
    <x v="15"/>
    <n v="887.19205575436604"/>
    <n v="323825.10035034397"/>
    <n v="1165770.36126124"/>
  </r>
  <r>
    <x v="0"/>
    <x v="0"/>
    <x v="0"/>
    <x v="7"/>
    <x v="12"/>
    <s v="NO2_A1"/>
    <x v="7"/>
    <s v="GNR_RES_WTR_NOPMP_MC-05"/>
    <x v="0"/>
    <x v="16"/>
    <n v="887.19205575436604"/>
    <n v="323825.10035034397"/>
    <n v="1165770.36126124"/>
  </r>
  <r>
    <x v="0"/>
    <x v="0"/>
    <x v="0"/>
    <x v="7"/>
    <x v="12"/>
    <s v="NO2_A1"/>
    <x v="7"/>
    <s v="GNR_RES_WTR_NOPMP_MC-05"/>
    <x v="0"/>
    <x v="17"/>
    <n v="887.19205575436604"/>
    <n v="323825.10035034397"/>
    <n v="1165770.36126124"/>
  </r>
  <r>
    <x v="0"/>
    <x v="0"/>
    <x v="0"/>
    <x v="7"/>
    <x v="12"/>
    <s v="NO2_A1"/>
    <x v="7"/>
    <s v="GNR_RES_WTR_NOPMP_MC-05"/>
    <x v="0"/>
    <x v="19"/>
    <n v="887.19205575436604"/>
    <n v="323825.10035034397"/>
    <n v="1165770.36126124"/>
  </r>
  <r>
    <x v="0"/>
    <x v="0"/>
    <x v="0"/>
    <x v="7"/>
    <x v="12"/>
    <s v="NO2_A1"/>
    <x v="7"/>
    <s v="GNR_RES_WTR_NOPMP_MC-05"/>
    <x v="0"/>
    <x v="20"/>
    <n v="650.44982253851003"/>
    <n v="237414.185226556"/>
    <n v="854691.06681560201"/>
  </r>
  <r>
    <x v="0"/>
    <x v="0"/>
    <x v="0"/>
    <x v="7"/>
    <x v="12"/>
    <s v="NO2_A1"/>
    <x v="7"/>
    <s v="GNR_RES_WTR_NOPMP_MC-05"/>
    <x v="0"/>
    <x v="21"/>
    <n v="401.22162508174898"/>
    <n v="146445.89315483801"/>
    <n v="527205.21535741806"/>
  </r>
  <r>
    <x v="0"/>
    <x v="0"/>
    <x v="0"/>
    <x v="7"/>
    <x v="12"/>
    <s v="NO2_A1"/>
    <x v="7"/>
    <s v="GNR_RES_WTR_NOPMP_MC-06"/>
    <x v="0"/>
    <x v="6"/>
    <n v="887.19205575436604"/>
    <n v="323825.10035034397"/>
    <n v="1165770.36126124"/>
  </r>
  <r>
    <x v="0"/>
    <x v="0"/>
    <x v="0"/>
    <x v="7"/>
    <x v="12"/>
    <s v="NO2_A1"/>
    <x v="7"/>
    <s v="GNR_RES_WTR_NOPMP_MC-06"/>
    <x v="0"/>
    <x v="7"/>
    <n v="887.19205575436604"/>
    <n v="323825.10035034397"/>
    <n v="1165770.36126124"/>
  </r>
  <r>
    <x v="0"/>
    <x v="0"/>
    <x v="0"/>
    <x v="7"/>
    <x v="12"/>
    <s v="NO2_A1"/>
    <x v="7"/>
    <s v="GNR_RES_WTR_NOPMP_MC-06"/>
    <x v="0"/>
    <x v="8"/>
    <n v="887.19205575436604"/>
    <n v="323825.10035034397"/>
    <n v="1165770.36126124"/>
  </r>
  <r>
    <x v="0"/>
    <x v="0"/>
    <x v="0"/>
    <x v="7"/>
    <x v="12"/>
    <s v="NO2_A1"/>
    <x v="7"/>
    <s v="GNR_RES_WTR_NOPMP_MC-06"/>
    <x v="0"/>
    <x v="9"/>
    <n v="557.30951680889598"/>
    <n v="203417.97363524701"/>
    <n v="732304.70508688898"/>
  </r>
  <r>
    <x v="0"/>
    <x v="0"/>
    <x v="0"/>
    <x v="7"/>
    <x v="12"/>
    <s v="NO2_A1"/>
    <x v="7"/>
    <s v="GNR_RES_WTR_NOPMP_MC-06"/>
    <x v="0"/>
    <x v="10"/>
    <n v="519.54719477296305"/>
    <n v="189634.72609213201"/>
    <n v="682685.01393167395"/>
  </r>
  <r>
    <x v="0"/>
    <x v="0"/>
    <x v="0"/>
    <x v="7"/>
    <x v="12"/>
    <s v="NO2_A1"/>
    <x v="7"/>
    <s v="GNR_RES_WTR_NOPMP_MC-06"/>
    <x v="0"/>
    <x v="11"/>
    <n v="654.31459902782206"/>
    <n v="238824.82864515501"/>
    <n v="859769.38312255801"/>
  </r>
  <r>
    <x v="0"/>
    <x v="0"/>
    <x v="0"/>
    <x v="7"/>
    <x v="12"/>
    <s v="NO2_A1"/>
    <x v="7"/>
    <s v="GNR_RES_WTR_NOPMP_MC-06"/>
    <x v="0"/>
    <x v="12"/>
    <n v="200.75490389209301"/>
    <n v="73275.539920613897"/>
    <n v="263791.94371421001"/>
  </r>
  <r>
    <x v="0"/>
    <x v="0"/>
    <x v="0"/>
    <x v="7"/>
    <x v="12"/>
    <s v="NO2_A1"/>
    <x v="7"/>
    <s v="GNR_RES_WTR_NOPMP_MC-06"/>
    <x v="0"/>
    <x v="13"/>
    <n v="116.58965897909501"/>
    <n v="42555.225527369803"/>
    <n v="153198.81189853101"/>
  </r>
  <r>
    <x v="0"/>
    <x v="0"/>
    <x v="0"/>
    <x v="7"/>
    <x v="12"/>
    <s v="NO2_A1"/>
    <x v="7"/>
    <s v="GNR_RES_WTR_NOPMP_MC-06"/>
    <x v="0"/>
    <x v="14"/>
    <n v="394.73344359288001"/>
    <n v="144077.70691140101"/>
    <n v="518679.74488104403"/>
  </r>
  <r>
    <x v="0"/>
    <x v="0"/>
    <x v="0"/>
    <x v="7"/>
    <x v="12"/>
    <s v="NO2_A1"/>
    <x v="7"/>
    <s v="GNR_RES_WTR_NOPMP_MC-06"/>
    <x v="0"/>
    <x v="15"/>
    <n v="271.492434133595"/>
    <n v="99094.738458762193"/>
    <n v="356741.05845154403"/>
  </r>
  <r>
    <x v="0"/>
    <x v="0"/>
    <x v="0"/>
    <x v="7"/>
    <x v="12"/>
    <s v="NO2_A1"/>
    <x v="7"/>
    <s v="GNR_RES_WTR_NOPMP_MC-06"/>
    <x v="0"/>
    <x v="16"/>
    <n v="14.319781372464099"/>
    <n v="5226.7202009494104"/>
    <n v="18816.192723417898"/>
  </r>
  <r>
    <x v="0"/>
    <x v="0"/>
    <x v="0"/>
    <x v="7"/>
    <x v="12"/>
    <s v="NO2_A1"/>
    <x v="7"/>
    <s v="GNR_RES_WTR_NOPMP_MC-07"/>
    <x v="0"/>
    <x v="6"/>
    <n v="495.32878888549402"/>
    <n v="180795.00794320501"/>
    <n v="650862.02859553904"/>
  </r>
  <r>
    <x v="0"/>
    <x v="0"/>
    <x v="0"/>
    <x v="7"/>
    <x v="12"/>
    <s v="NO2_A1"/>
    <x v="7"/>
    <s v="GNR_RES_WTR_NOPMP_MC-07"/>
    <x v="0"/>
    <x v="7"/>
    <n v="786.02455718332499"/>
    <n v="286898.963371914"/>
    <n v="1032836.26813889"/>
  </r>
  <r>
    <x v="0"/>
    <x v="0"/>
    <x v="0"/>
    <x v="7"/>
    <x v="12"/>
    <s v="NO2_A1"/>
    <x v="7"/>
    <s v="GNR_RES_WTR_NOPMP_MC-07"/>
    <x v="0"/>
    <x v="8"/>
    <n v="524.10598372263496"/>
    <n v="191298.68405876201"/>
    <n v="688675.26261154201"/>
  </r>
  <r>
    <x v="0"/>
    <x v="0"/>
    <x v="0"/>
    <x v="7"/>
    <x v="12"/>
    <s v="NO2_A1"/>
    <x v="7"/>
    <s v="GNR_RES_WTR_PMP_MC-01"/>
    <x v="0"/>
    <x v="0"/>
    <n v="520"/>
    <n v="189800"/>
    <n v="683280"/>
  </r>
  <r>
    <x v="0"/>
    <x v="0"/>
    <x v="0"/>
    <x v="7"/>
    <x v="12"/>
    <s v="NO2_A1"/>
    <x v="7"/>
    <s v="GNR_RES_WTR_PMP_MC-01"/>
    <x v="0"/>
    <x v="1"/>
    <n v="520"/>
    <n v="189800"/>
    <n v="683280"/>
  </r>
  <r>
    <x v="0"/>
    <x v="0"/>
    <x v="0"/>
    <x v="7"/>
    <x v="12"/>
    <s v="NO2_A1"/>
    <x v="7"/>
    <s v="GNR_RES_WTR_PMP_MC-01"/>
    <x v="0"/>
    <x v="2"/>
    <n v="520"/>
    <n v="189800"/>
    <n v="683280"/>
  </r>
  <r>
    <x v="0"/>
    <x v="0"/>
    <x v="0"/>
    <x v="7"/>
    <x v="12"/>
    <s v="NO2_A1"/>
    <x v="7"/>
    <s v="GNR_RES_WTR_PMP_MC-01"/>
    <x v="0"/>
    <x v="3"/>
    <n v="520"/>
    <n v="189800"/>
    <n v="683280"/>
  </r>
  <r>
    <x v="0"/>
    <x v="0"/>
    <x v="0"/>
    <x v="7"/>
    <x v="12"/>
    <s v="NO2_A1"/>
    <x v="7"/>
    <s v="GNR_RES_WTR_PMP_MC-01"/>
    <x v="0"/>
    <x v="18"/>
    <n v="520"/>
    <n v="189800"/>
    <n v="683280"/>
  </r>
  <r>
    <x v="0"/>
    <x v="0"/>
    <x v="0"/>
    <x v="7"/>
    <x v="12"/>
    <s v="NO2_A1"/>
    <x v="7"/>
    <s v="GNR_RES_WTR_PMP_MC-01"/>
    <x v="0"/>
    <x v="4"/>
    <n v="520"/>
    <n v="189800"/>
    <n v="683280"/>
  </r>
  <r>
    <x v="0"/>
    <x v="0"/>
    <x v="0"/>
    <x v="7"/>
    <x v="12"/>
    <s v="NO2_A1"/>
    <x v="7"/>
    <s v="GNR_RES_WTR_PMP_MC-01"/>
    <x v="0"/>
    <x v="5"/>
    <n v="520"/>
    <n v="189800"/>
    <n v="683280"/>
  </r>
  <r>
    <x v="0"/>
    <x v="0"/>
    <x v="0"/>
    <x v="7"/>
    <x v="12"/>
    <s v="NO2_A1"/>
    <x v="7"/>
    <s v="GNR_RES_WTR_PMP_MC-01"/>
    <x v="0"/>
    <x v="6"/>
    <n v="520"/>
    <n v="189800"/>
    <n v="683280"/>
  </r>
  <r>
    <x v="0"/>
    <x v="0"/>
    <x v="0"/>
    <x v="7"/>
    <x v="12"/>
    <s v="NO2_A1"/>
    <x v="7"/>
    <s v="GNR_RES_WTR_PMP_MC-01"/>
    <x v="0"/>
    <x v="7"/>
    <n v="520"/>
    <n v="189800"/>
    <n v="683280"/>
  </r>
  <r>
    <x v="0"/>
    <x v="0"/>
    <x v="0"/>
    <x v="7"/>
    <x v="12"/>
    <s v="NO2_A1"/>
    <x v="7"/>
    <s v="GNR_RES_WTR_PMP_MC-01"/>
    <x v="0"/>
    <x v="8"/>
    <n v="520"/>
    <n v="189800"/>
    <n v="683280"/>
  </r>
  <r>
    <x v="0"/>
    <x v="0"/>
    <x v="0"/>
    <x v="7"/>
    <x v="12"/>
    <s v="NO2_A1"/>
    <x v="7"/>
    <s v="GNR_RES_WTR_PMP_MC-01"/>
    <x v="0"/>
    <x v="9"/>
    <n v="520"/>
    <n v="189800"/>
    <n v="683280"/>
  </r>
  <r>
    <x v="0"/>
    <x v="0"/>
    <x v="0"/>
    <x v="7"/>
    <x v="12"/>
    <s v="NO2_A1"/>
    <x v="7"/>
    <s v="GNR_RES_WTR_PMP_MC-01"/>
    <x v="0"/>
    <x v="10"/>
    <n v="520"/>
    <n v="189800"/>
    <n v="683280"/>
  </r>
  <r>
    <x v="0"/>
    <x v="0"/>
    <x v="0"/>
    <x v="7"/>
    <x v="12"/>
    <s v="NO2_A1"/>
    <x v="7"/>
    <s v="GNR_RES_WTR_PMP_MC-01"/>
    <x v="0"/>
    <x v="11"/>
    <n v="520"/>
    <n v="189800"/>
    <n v="683280"/>
  </r>
  <r>
    <x v="0"/>
    <x v="0"/>
    <x v="0"/>
    <x v="7"/>
    <x v="12"/>
    <s v="NO2_A1"/>
    <x v="7"/>
    <s v="GNR_RES_WTR_PMP_MC-01"/>
    <x v="0"/>
    <x v="12"/>
    <n v="520"/>
    <n v="189800"/>
    <n v="683280"/>
  </r>
  <r>
    <x v="0"/>
    <x v="0"/>
    <x v="0"/>
    <x v="7"/>
    <x v="12"/>
    <s v="NO2_A1"/>
    <x v="7"/>
    <s v="GNR_RES_WTR_PMP_MC-01"/>
    <x v="0"/>
    <x v="13"/>
    <n v="520"/>
    <n v="189800"/>
    <n v="683280"/>
  </r>
  <r>
    <x v="0"/>
    <x v="0"/>
    <x v="0"/>
    <x v="7"/>
    <x v="12"/>
    <s v="NO2_A1"/>
    <x v="7"/>
    <s v="GNR_RES_WTR_PMP_MC-01"/>
    <x v="0"/>
    <x v="14"/>
    <n v="520"/>
    <n v="189800"/>
    <n v="683280"/>
  </r>
  <r>
    <x v="0"/>
    <x v="0"/>
    <x v="0"/>
    <x v="7"/>
    <x v="12"/>
    <s v="NO2_A1"/>
    <x v="7"/>
    <s v="GNR_RES_WTR_PMP_MC-01"/>
    <x v="0"/>
    <x v="15"/>
    <n v="520"/>
    <n v="189800"/>
    <n v="683280"/>
  </r>
  <r>
    <x v="0"/>
    <x v="0"/>
    <x v="0"/>
    <x v="7"/>
    <x v="12"/>
    <s v="NO2_A1"/>
    <x v="7"/>
    <s v="GNR_RES_WTR_PMP_MC-01"/>
    <x v="0"/>
    <x v="16"/>
    <n v="520"/>
    <n v="189800"/>
    <n v="683280"/>
  </r>
  <r>
    <x v="0"/>
    <x v="0"/>
    <x v="0"/>
    <x v="7"/>
    <x v="12"/>
    <s v="NO2_A1"/>
    <x v="7"/>
    <s v="GNR_RES_WTR_PMP_MC-01"/>
    <x v="0"/>
    <x v="17"/>
    <n v="520"/>
    <n v="189800"/>
    <n v="683280"/>
  </r>
  <r>
    <x v="0"/>
    <x v="0"/>
    <x v="0"/>
    <x v="7"/>
    <x v="12"/>
    <s v="NO2_A1"/>
    <x v="7"/>
    <s v="GNR_RES_WTR_PMP_MC-01"/>
    <x v="0"/>
    <x v="19"/>
    <n v="520"/>
    <n v="189800"/>
    <n v="683280"/>
  </r>
  <r>
    <x v="0"/>
    <x v="0"/>
    <x v="0"/>
    <x v="7"/>
    <x v="12"/>
    <s v="NO2_A1"/>
    <x v="7"/>
    <s v="GNR_RES_WTR_PMP_MC-01"/>
    <x v="0"/>
    <x v="20"/>
    <n v="520"/>
    <n v="189800"/>
    <n v="683280"/>
  </r>
  <r>
    <x v="0"/>
    <x v="0"/>
    <x v="0"/>
    <x v="7"/>
    <x v="12"/>
    <s v="NO2_A1"/>
    <x v="7"/>
    <s v="GNR_RES_WTR_PMP_MC-01"/>
    <x v="0"/>
    <x v="21"/>
    <n v="520"/>
    <n v="189800"/>
    <n v="683280"/>
  </r>
  <r>
    <x v="0"/>
    <x v="0"/>
    <x v="0"/>
    <x v="7"/>
    <x v="12"/>
    <s v="NO2_A1"/>
    <x v="7"/>
    <s v="GNR_RES_WTR_PMP_MC-01"/>
    <x v="0"/>
    <x v="22"/>
    <n v="520"/>
    <n v="189800"/>
    <n v="683280"/>
  </r>
  <r>
    <x v="0"/>
    <x v="0"/>
    <x v="0"/>
    <x v="7"/>
    <x v="12"/>
    <s v="NO2_A1"/>
    <x v="7"/>
    <s v="GNR_RES_WTR_PMP_MC-01"/>
    <x v="0"/>
    <x v="23"/>
    <n v="520"/>
    <n v="189800"/>
    <n v="683280"/>
  </r>
  <r>
    <x v="0"/>
    <x v="0"/>
    <x v="0"/>
    <x v="7"/>
    <x v="12"/>
    <s v="NO2_A1"/>
    <x v="7"/>
    <s v="GNR_ROR_WTR"/>
    <x v="0"/>
    <x v="0"/>
    <n v="1058.7105432231699"/>
    <n v="386429.34827645897"/>
    <n v="1391145.65379525"/>
  </r>
  <r>
    <x v="0"/>
    <x v="0"/>
    <x v="0"/>
    <x v="7"/>
    <x v="12"/>
    <s v="NO2_A1"/>
    <x v="7"/>
    <s v="GNR_ROR_WTR"/>
    <x v="0"/>
    <x v="1"/>
    <n v="1058.7105432231699"/>
    <n v="386429.34827645897"/>
    <n v="1391145.65379525"/>
  </r>
  <r>
    <x v="0"/>
    <x v="0"/>
    <x v="0"/>
    <x v="7"/>
    <x v="12"/>
    <s v="NO2_A1"/>
    <x v="7"/>
    <s v="GNR_ROR_WTR"/>
    <x v="0"/>
    <x v="2"/>
    <n v="1058.7105432231699"/>
    <n v="386429.34827645897"/>
    <n v="1391145.65379525"/>
  </r>
  <r>
    <x v="0"/>
    <x v="0"/>
    <x v="0"/>
    <x v="7"/>
    <x v="12"/>
    <s v="NO2_A1"/>
    <x v="7"/>
    <s v="GNR_ROR_WTR"/>
    <x v="0"/>
    <x v="3"/>
    <n v="1058.7105432231699"/>
    <n v="386429.34827645897"/>
    <n v="1391145.65379525"/>
  </r>
  <r>
    <x v="0"/>
    <x v="0"/>
    <x v="0"/>
    <x v="7"/>
    <x v="12"/>
    <s v="NO2_A1"/>
    <x v="7"/>
    <s v="GNR_ROR_WTR"/>
    <x v="0"/>
    <x v="18"/>
    <n v="1058.7105432231699"/>
    <n v="386429.34827645897"/>
    <n v="1391145.65379525"/>
  </r>
  <r>
    <x v="0"/>
    <x v="0"/>
    <x v="0"/>
    <x v="7"/>
    <x v="12"/>
    <s v="NO2_A1"/>
    <x v="7"/>
    <s v="GNR_ROR_WTR"/>
    <x v="0"/>
    <x v="4"/>
    <n v="1058.7105432231699"/>
    <n v="386429.34827645897"/>
    <n v="1391145.65379525"/>
  </r>
  <r>
    <x v="0"/>
    <x v="0"/>
    <x v="0"/>
    <x v="7"/>
    <x v="12"/>
    <s v="NO2_A1"/>
    <x v="7"/>
    <s v="GNR_ROR_WTR"/>
    <x v="0"/>
    <x v="5"/>
    <n v="1058.7105432231699"/>
    <n v="386429.34827645897"/>
    <n v="1391145.65379525"/>
  </r>
  <r>
    <x v="0"/>
    <x v="0"/>
    <x v="0"/>
    <x v="7"/>
    <x v="12"/>
    <s v="NO2_A1"/>
    <x v="7"/>
    <s v="GNR_ROR_WTR"/>
    <x v="0"/>
    <x v="6"/>
    <n v="1058.7105432231699"/>
    <n v="386429.34827645897"/>
    <n v="1391145.65379525"/>
  </r>
  <r>
    <x v="0"/>
    <x v="0"/>
    <x v="0"/>
    <x v="7"/>
    <x v="12"/>
    <s v="NO2_A1"/>
    <x v="7"/>
    <s v="GNR_ROR_WTR"/>
    <x v="0"/>
    <x v="7"/>
    <n v="1058.7105432231699"/>
    <n v="386429.34827645897"/>
    <n v="1391145.65379525"/>
  </r>
  <r>
    <x v="0"/>
    <x v="0"/>
    <x v="0"/>
    <x v="7"/>
    <x v="12"/>
    <s v="NO2_A1"/>
    <x v="7"/>
    <s v="GNR_ROR_WTR"/>
    <x v="0"/>
    <x v="8"/>
    <n v="1058.7105432231699"/>
    <n v="386429.34827645897"/>
    <n v="1391145.65379525"/>
  </r>
  <r>
    <x v="0"/>
    <x v="0"/>
    <x v="0"/>
    <x v="7"/>
    <x v="12"/>
    <s v="NO2_A1"/>
    <x v="7"/>
    <s v="GNR_ROR_WTR"/>
    <x v="0"/>
    <x v="9"/>
    <n v="1058.7105432231699"/>
    <n v="386429.34827645897"/>
    <n v="1391145.65379525"/>
  </r>
  <r>
    <x v="0"/>
    <x v="0"/>
    <x v="0"/>
    <x v="7"/>
    <x v="12"/>
    <s v="NO2_A1"/>
    <x v="7"/>
    <s v="GNR_ROR_WTR"/>
    <x v="0"/>
    <x v="10"/>
    <n v="1058.7105432231699"/>
    <n v="386429.34827645897"/>
    <n v="1391145.65379525"/>
  </r>
  <r>
    <x v="0"/>
    <x v="0"/>
    <x v="0"/>
    <x v="7"/>
    <x v="12"/>
    <s v="NO2_A1"/>
    <x v="7"/>
    <s v="GNR_ROR_WTR"/>
    <x v="0"/>
    <x v="11"/>
    <n v="1058.7105432231699"/>
    <n v="386429.34827645897"/>
    <n v="1391145.65379525"/>
  </r>
  <r>
    <x v="0"/>
    <x v="0"/>
    <x v="0"/>
    <x v="7"/>
    <x v="12"/>
    <s v="NO2_A1"/>
    <x v="7"/>
    <s v="GNR_ROR_WTR"/>
    <x v="0"/>
    <x v="12"/>
    <n v="1058.7105432231699"/>
    <n v="386429.34827645897"/>
    <n v="1391145.65379525"/>
  </r>
  <r>
    <x v="0"/>
    <x v="0"/>
    <x v="0"/>
    <x v="7"/>
    <x v="12"/>
    <s v="NO2_A1"/>
    <x v="7"/>
    <s v="GNR_ROR_WTR"/>
    <x v="0"/>
    <x v="13"/>
    <n v="1058.7105432231699"/>
    <n v="386429.34827645897"/>
    <n v="1391145.65379525"/>
  </r>
  <r>
    <x v="0"/>
    <x v="0"/>
    <x v="0"/>
    <x v="7"/>
    <x v="12"/>
    <s v="NO2_A1"/>
    <x v="7"/>
    <s v="GNR_ROR_WTR"/>
    <x v="0"/>
    <x v="14"/>
    <n v="1058.7105432231699"/>
    <n v="386429.34827645897"/>
    <n v="1391145.65379525"/>
  </r>
  <r>
    <x v="0"/>
    <x v="0"/>
    <x v="0"/>
    <x v="7"/>
    <x v="12"/>
    <s v="NO2_A1"/>
    <x v="7"/>
    <s v="GNR_ROR_WTR"/>
    <x v="0"/>
    <x v="15"/>
    <n v="1058.7105432231699"/>
    <n v="386429.34827645897"/>
    <n v="1391145.65379525"/>
  </r>
  <r>
    <x v="0"/>
    <x v="0"/>
    <x v="0"/>
    <x v="7"/>
    <x v="12"/>
    <s v="NO2_A1"/>
    <x v="7"/>
    <s v="GNR_ROR_WTR"/>
    <x v="0"/>
    <x v="16"/>
    <n v="1058.7105432231699"/>
    <n v="386429.34827645897"/>
    <n v="1391145.65379525"/>
  </r>
  <r>
    <x v="0"/>
    <x v="0"/>
    <x v="0"/>
    <x v="7"/>
    <x v="12"/>
    <s v="NO2_A1"/>
    <x v="7"/>
    <s v="GNR_ROR_WTR"/>
    <x v="0"/>
    <x v="17"/>
    <n v="1058.7105432231699"/>
    <n v="386429.34827645897"/>
    <n v="1391145.65379525"/>
  </r>
  <r>
    <x v="0"/>
    <x v="0"/>
    <x v="0"/>
    <x v="7"/>
    <x v="12"/>
    <s v="NO2_A1"/>
    <x v="7"/>
    <s v="GNR_ROR_WTR"/>
    <x v="0"/>
    <x v="19"/>
    <n v="1058.7105432231699"/>
    <n v="386429.34827645897"/>
    <n v="1391145.65379525"/>
  </r>
  <r>
    <x v="0"/>
    <x v="0"/>
    <x v="0"/>
    <x v="7"/>
    <x v="12"/>
    <s v="NO2_A1"/>
    <x v="7"/>
    <s v="GNR_ROR_WTR"/>
    <x v="0"/>
    <x v="20"/>
    <n v="1058.7105432231699"/>
    <n v="386429.34827645897"/>
    <n v="1391145.65379525"/>
  </r>
  <r>
    <x v="0"/>
    <x v="0"/>
    <x v="0"/>
    <x v="7"/>
    <x v="12"/>
    <s v="NO2_A1"/>
    <x v="7"/>
    <s v="GNR_ROR_WTR"/>
    <x v="0"/>
    <x v="21"/>
    <n v="1058.7105432231699"/>
    <n v="386429.34827645897"/>
    <n v="1391145.65379525"/>
  </r>
  <r>
    <x v="0"/>
    <x v="0"/>
    <x v="0"/>
    <x v="7"/>
    <x v="12"/>
    <s v="NO2_A1"/>
    <x v="7"/>
    <s v="GNR_ROR_WTR"/>
    <x v="0"/>
    <x v="22"/>
    <n v="1058.7105432231699"/>
    <n v="386429.34827645897"/>
    <n v="1391145.65379525"/>
  </r>
  <r>
    <x v="0"/>
    <x v="0"/>
    <x v="0"/>
    <x v="7"/>
    <x v="12"/>
    <s v="NO2_A1"/>
    <x v="7"/>
    <s v="GNR_ROR_WTR"/>
    <x v="0"/>
    <x v="23"/>
    <n v="1058.7105432231699"/>
    <n v="386429.34827645897"/>
    <n v="1391145.65379525"/>
  </r>
  <r>
    <x v="0"/>
    <x v="0"/>
    <x v="0"/>
    <x v="7"/>
    <x v="12"/>
    <s v="NO2_A1"/>
    <x v="8"/>
    <s v="GNR_WT_WIND_ONS"/>
    <x v="0"/>
    <x v="0"/>
    <n v="188.37834895824599"/>
    <n v="68758.097369759693"/>
    <n v="247529.150531135"/>
  </r>
  <r>
    <x v="0"/>
    <x v="0"/>
    <x v="0"/>
    <x v="7"/>
    <x v="12"/>
    <s v="NO2_A1"/>
    <x v="8"/>
    <s v="GNR_WT_WIND_ONS"/>
    <x v="0"/>
    <x v="1"/>
    <n v="189.76088581393799"/>
    <n v="69262.723322087404"/>
    <n v="249345.803959515"/>
  </r>
  <r>
    <x v="0"/>
    <x v="0"/>
    <x v="0"/>
    <x v="7"/>
    <x v="12"/>
    <s v="NO2_A1"/>
    <x v="8"/>
    <s v="GNR_WT_WIND_ONS"/>
    <x v="0"/>
    <x v="2"/>
    <n v="191.45827827411401"/>
    <n v="69882.2715700517"/>
    <n v="251576.17765218599"/>
  </r>
  <r>
    <x v="0"/>
    <x v="0"/>
    <x v="0"/>
    <x v="7"/>
    <x v="12"/>
    <s v="NO2_A1"/>
    <x v="8"/>
    <s v="GNR_WT_WIND_ONS"/>
    <x v="0"/>
    <x v="3"/>
    <n v="193.48464992334701"/>
    <n v="70621.897222021493"/>
    <n v="254238.82999927699"/>
  </r>
  <r>
    <x v="0"/>
    <x v="0"/>
    <x v="0"/>
    <x v="7"/>
    <x v="12"/>
    <s v="NO2_A1"/>
    <x v="8"/>
    <s v="GNR_WT_WIND_ONS"/>
    <x v="0"/>
    <x v="18"/>
    <n v="193.619557168331"/>
    <n v="70671.138366440704"/>
    <n v="254416.09811918699"/>
  </r>
  <r>
    <x v="0"/>
    <x v="0"/>
    <x v="0"/>
    <x v="7"/>
    <x v="12"/>
    <s v="NO2_A1"/>
    <x v="8"/>
    <s v="GNR_WT_WIND_ONS"/>
    <x v="0"/>
    <x v="4"/>
    <n v="194.834771994775"/>
    <n v="71114.691778092805"/>
    <n v="256012.89040113401"/>
  </r>
  <r>
    <x v="0"/>
    <x v="0"/>
    <x v="0"/>
    <x v="7"/>
    <x v="12"/>
    <s v="NO2_A1"/>
    <x v="8"/>
    <s v="GNR_WT_WIND_ONS"/>
    <x v="0"/>
    <x v="5"/>
    <n v="194.81754585228001"/>
    <n v="71108.404236082293"/>
    <n v="255990.255249896"/>
  </r>
  <r>
    <x v="0"/>
    <x v="0"/>
    <x v="0"/>
    <x v="7"/>
    <x v="12"/>
    <s v="NO2_A1"/>
    <x v="8"/>
    <s v="GNR_WT_WIND_ONS"/>
    <x v="0"/>
    <x v="6"/>
    <n v="194.86947124954901"/>
    <n v="71127.357006085396"/>
    <n v="256058.485221907"/>
  </r>
  <r>
    <x v="0"/>
    <x v="0"/>
    <x v="0"/>
    <x v="7"/>
    <x v="12"/>
    <s v="NO2_A1"/>
    <x v="8"/>
    <s v="GNR_WT_WIND_ONS"/>
    <x v="0"/>
    <x v="7"/>
    <n v="194.18508710445599"/>
    <n v="70877.556793126394"/>
    <n v="255159.20445525501"/>
  </r>
  <r>
    <x v="0"/>
    <x v="0"/>
    <x v="0"/>
    <x v="7"/>
    <x v="12"/>
    <s v="NO2_A1"/>
    <x v="8"/>
    <s v="GNR_WT_WIND_ONS"/>
    <x v="0"/>
    <x v="8"/>
    <n v="191.78633132647701"/>
    <n v="70002.010934164093"/>
    <n v="252007.23936299101"/>
  </r>
  <r>
    <x v="0"/>
    <x v="0"/>
    <x v="0"/>
    <x v="7"/>
    <x v="12"/>
    <s v="NO2_A1"/>
    <x v="8"/>
    <s v="GNR_WT_WIND_ONS"/>
    <x v="0"/>
    <x v="9"/>
    <n v="152.153268546509"/>
    <n v="55535.943019475897"/>
    <n v="199929.394870113"/>
  </r>
  <r>
    <x v="0"/>
    <x v="0"/>
    <x v="0"/>
    <x v="7"/>
    <x v="12"/>
    <s v="NO2_A1"/>
    <x v="8"/>
    <s v="GNR_WT_WIND_ONS"/>
    <x v="0"/>
    <x v="10"/>
    <n v="49.927880951551899"/>
    <n v="18223.676547316401"/>
    <n v="65605.235570339195"/>
  </r>
  <r>
    <x v="0"/>
    <x v="0"/>
    <x v="0"/>
    <x v="7"/>
    <x v="12"/>
    <s v="NO2_A1"/>
    <x v="8"/>
    <s v="GNR_WT_WIND_ONS"/>
    <x v="0"/>
    <x v="11"/>
    <n v="62.913133317425697"/>
    <n v="22963.2936608604"/>
    <n v="82667.857179097293"/>
  </r>
  <r>
    <x v="0"/>
    <x v="0"/>
    <x v="0"/>
    <x v="7"/>
    <x v="12"/>
    <s v="NO2_A1"/>
    <x v="8"/>
    <s v="GNR_WT_WIND_ONS"/>
    <x v="0"/>
    <x v="12"/>
    <n v="181.02116537385601"/>
    <n v="66072.7253614574"/>
    <n v="237861.81130124701"/>
  </r>
  <r>
    <x v="0"/>
    <x v="0"/>
    <x v="0"/>
    <x v="7"/>
    <x v="12"/>
    <s v="NO2_A1"/>
    <x v="8"/>
    <s v="GNR_WT_WIND_ONS"/>
    <x v="0"/>
    <x v="13"/>
    <n v="186.21294875574401"/>
    <n v="67967.726295846602"/>
    <n v="244683.814665048"/>
  </r>
  <r>
    <x v="0"/>
    <x v="0"/>
    <x v="0"/>
    <x v="7"/>
    <x v="12"/>
    <s v="NO2_A1"/>
    <x v="8"/>
    <s v="GNR_WT_WIND_ONS"/>
    <x v="0"/>
    <x v="14"/>
    <n v="196.419330134489"/>
    <n v="71693.055499088601"/>
    <n v="258094.999796719"/>
  </r>
  <r>
    <x v="0"/>
    <x v="0"/>
    <x v="0"/>
    <x v="7"/>
    <x v="12"/>
    <s v="NO2_A1"/>
    <x v="8"/>
    <s v="GNR_WT_WIND_ONS"/>
    <x v="0"/>
    <x v="15"/>
    <n v="185.04079928553699"/>
    <n v="67539.891739220795"/>
    <n v="243143.61026119499"/>
  </r>
  <r>
    <x v="0"/>
    <x v="0"/>
    <x v="0"/>
    <x v="7"/>
    <x v="12"/>
    <s v="NO2_A1"/>
    <x v="8"/>
    <s v="GNR_WT_WIND_ONS"/>
    <x v="0"/>
    <x v="16"/>
    <n v="193.644902442503"/>
    <n v="70680.3893915136"/>
    <n v="254449.40180944899"/>
  </r>
  <r>
    <x v="0"/>
    <x v="0"/>
    <x v="0"/>
    <x v="7"/>
    <x v="12"/>
    <s v="NO2_A1"/>
    <x v="8"/>
    <s v="GNR_WT_WIND_ONS"/>
    <x v="0"/>
    <x v="17"/>
    <n v="164.094319387334"/>
    <n v="59894.426576377002"/>
    <n v="215619.935674957"/>
  </r>
  <r>
    <x v="0"/>
    <x v="0"/>
    <x v="0"/>
    <x v="7"/>
    <x v="12"/>
    <s v="NO2_A1"/>
    <x v="8"/>
    <s v="GNR_WT_WIND_ONS"/>
    <x v="0"/>
    <x v="19"/>
    <n v="148.80232076297099"/>
    <n v="54312.847078484403"/>
    <n v="195526.24948254399"/>
  </r>
  <r>
    <x v="0"/>
    <x v="0"/>
    <x v="0"/>
    <x v="7"/>
    <x v="12"/>
    <s v="NO2_A1"/>
    <x v="8"/>
    <s v="GNR_WT_WIND_ONS"/>
    <x v="0"/>
    <x v="20"/>
    <n v="189.031939058288"/>
    <n v="68996.657756275104"/>
    <n v="248387.96792259"/>
  </r>
  <r>
    <x v="0"/>
    <x v="0"/>
    <x v="0"/>
    <x v="7"/>
    <x v="12"/>
    <s v="NO2_A1"/>
    <x v="8"/>
    <s v="GNR_WT_WIND_ONS"/>
    <x v="0"/>
    <x v="21"/>
    <n v="160.58964834832699"/>
    <n v="58615.221647139399"/>
    <n v="211014.79792970201"/>
  </r>
  <r>
    <x v="0"/>
    <x v="0"/>
    <x v="0"/>
    <x v="7"/>
    <x v="12"/>
    <s v="NO2_A1"/>
    <x v="8"/>
    <s v="GNR_WT_WIND_ONS"/>
    <x v="0"/>
    <x v="22"/>
    <n v="182.55481686666499"/>
    <n v="66632.508156332595"/>
    <n v="239877.02936279701"/>
  </r>
  <r>
    <x v="0"/>
    <x v="0"/>
    <x v="0"/>
    <x v="7"/>
    <x v="12"/>
    <s v="NO2_A1"/>
    <x v="8"/>
    <s v="GNR_WT_WIND_ONS"/>
    <x v="0"/>
    <x v="23"/>
    <n v="130.39229773342299"/>
    <n v="47593.1886726995"/>
    <n v="171335.47922171801"/>
  </r>
  <r>
    <x v="0"/>
    <x v="0"/>
    <x v="0"/>
    <x v="7"/>
    <x v="13"/>
    <s v="NO3_A1"/>
    <x v="19"/>
    <s v="GHOB_LNG"/>
    <x v="0"/>
    <x v="4"/>
    <n v="9.6938642895997909"/>
    <n v="3538.2604657039201"/>
    <n v="12737.7376765341"/>
  </r>
  <r>
    <x v="0"/>
    <x v="0"/>
    <x v="0"/>
    <x v="7"/>
    <x v="13"/>
    <s v="NO3_A1"/>
    <x v="19"/>
    <s v="GHOB_LNG"/>
    <x v="0"/>
    <x v="6"/>
    <n v="3.6529778932191301"/>
    <n v="1333.33693102498"/>
    <n v="4800.0129516899397"/>
  </r>
  <r>
    <x v="0"/>
    <x v="0"/>
    <x v="0"/>
    <x v="7"/>
    <x v="13"/>
    <s v="NO3_A1"/>
    <x v="19"/>
    <s v="GHOB_LNG"/>
    <x v="0"/>
    <x v="7"/>
    <n v="3.8718063407846199"/>
    <n v="1413.2093143863899"/>
    <n v="5087.5535317909998"/>
  </r>
  <r>
    <x v="0"/>
    <x v="0"/>
    <x v="0"/>
    <x v="7"/>
    <x v="13"/>
    <s v="NO3_A1"/>
    <x v="19"/>
    <s v="GHOB_LNG"/>
    <x v="0"/>
    <x v="8"/>
    <n v="2.3416444488380801"/>
    <n v="854.70022382589696"/>
    <n v="3076.9208057732299"/>
  </r>
  <r>
    <x v="0"/>
    <x v="0"/>
    <x v="0"/>
    <x v="7"/>
    <x v="13"/>
    <s v="NO3_A1"/>
    <x v="19"/>
    <s v="GHOB_LNG"/>
    <x v="0"/>
    <x v="9"/>
    <n v="0.27735247626205101"/>
    <n v="101.23365383564899"/>
    <n v="364.441153808335"/>
  </r>
  <r>
    <x v="0"/>
    <x v="0"/>
    <x v="0"/>
    <x v="7"/>
    <x v="13"/>
    <s v="NO3_A1"/>
    <x v="19"/>
    <s v="GHOB_LNG"/>
    <x v="0"/>
    <x v="19"/>
    <n v="2.3521252798015402"/>
    <n v="858.52572712756"/>
    <n v="3090.6926176592201"/>
  </r>
  <r>
    <x v="0"/>
    <x v="0"/>
    <x v="0"/>
    <x v="7"/>
    <x v="13"/>
    <s v="NO3_A1"/>
    <x v="19"/>
    <s v="GHOB_LPG"/>
    <x v="0"/>
    <x v="0"/>
    <n v="5.7727951620523301"/>
    <n v="2107.0702341491001"/>
    <n v="7585.4528429367601"/>
  </r>
  <r>
    <x v="0"/>
    <x v="0"/>
    <x v="0"/>
    <x v="7"/>
    <x v="13"/>
    <s v="NO3_A1"/>
    <x v="19"/>
    <s v="GHOB_LPG"/>
    <x v="0"/>
    <x v="1"/>
    <n v="5.6664726019245002"/>
    <n v="2068.26249970244"/>
    <n v="7445.7449989287898"/>
  </r>
  <r>
    <x v="0"/>
    <x v="0"/>
    <x v="0"/>
    <x v="7"/>
    <x v="13"/>
    <s v="NO3_A1"/>
    <x v="19"/>
    <s v="GHOB_LPG"/>
    <x v="0"/>
    <x v="2"/>
    <n v="5.8211826972502099"/>
    <n v="2124.7316844963302"/>
    <n v="7649.0340641867797"/>
  </r>
  <r>
    <x v="0"/>
    <x v="0"/>
    <x v="0"/>
    <x v="7"/>
    <x v="13"/>
    <s v="NO3_A1"/>
    <x v="19"/>
    <s v="GHOB_LPG"/>
    <x v="0"/>
    <x v="3"/>
    <n v="6.3031091261940997"/>
    <n v="2300.63483106085"/>
    <n v="8282.2853918190394"/>
  </r>
  <r>
    <x v="0"/>
    <x v="0"/>
    <x v="0"/>
    <x v="7"/>
    <x v="13"/>
    <s v="NO3_A1"/>
    <x v="19"/>
    <s v="GHOB_LPG"/>
    <x v="0"/>
    <x v="18"/>
    <n v="7.4043308141182296"/>
    <n v="2702.5807471531498"/>
    <n v="9729.2906897513494"/>
  </r>
  <r>
    <x v="0"/>
    <x v="0"/>
    <x v="0"/>
    <x v="7"/>
    <x v="13"/>
    <s v="NO3_A1"/>
    <x v="19"/>
    <s v="GHOB_LPG"/>
    <x v="0"/>
    <x v="5"/>
    <n v="15.294789207170799"/>
    <n v="5582.5980606173498"/>
    <n v="20097.3530182225"/>
  </r>
  <r>
    <x v="0"/>
    <x v="0"/>
    <x v="0"/>
    <x v="7"/>
    <x v="13"/>
    <s v="NO3_A1"/>
    <x v="19"/>
    <s v="GHOB_LPG"/>
    <x v="0"/>
    <x v="6"/>
    <n v="16.235294117647101"/>
    <n v="5925.8823529411802"/>
    <n v="21333.176470588201"/>
  </r>
  <r>
    <x v="0"/>
    <x v="0"/>
    <x v="0"/>
    <x v="7"/>
    <x v="13"/>
    <s v="NO3_A1"/>
    <x v="19"/>
    <s v="GHOB_LPG"/>
    <x v="0"/>
    <x v="7"/>
    <n v="16.235294117647101"/>
    <n v="5925.8823529411802"/>
    <n v="21333.176470588201"/>
  </r>
  <r>
    <x v="0"/>
    <x v="0"/>
    <x v="0"/>
    <x v="7"/>
    <x v="13"/>
    <s v="NO3_A1"/>
    <x v="19"/>
    <s v="GHOB_LPG"/>
    <x v="0"/>
    <x v="8"/>
    <n v="16.235294117647101"/>
    <n v="5925.8823529411802"/>
    <n v="21333.176470588201"/>
  </r>
  <r>
    <x v="0"/>
    <x v="0"/>
    <x v="0"/>
    <x v="7"/>
    <x v="13"/>
    <s v="NO3_A1"/>
    <x v="19"/>
    <s v="GHOB_LPG"/>
    <x v="0"/>
    <x v="9"/>
    <n v="16.235294117647101"/>
    <n v="5925.8823529411802"/>
    <n v="21333.176470588201"/>
  </r>
  <r>
    <x v="0"/>
    <x v="0"/>
    <x v="0"/>
    <x v="7"/>
    <x v="13"/>
    <s v="NO3_A1"/>
    <x v="19"/>
    <s v="GHOB_LPG"/>
    <x v="0"/>
    <x v="10"/>
    <n v="13.992973749971799"/>
    <n v="5107.4354187397203"/>
    <n v="18386.767507462999"/>
  </r>
  <r>
    <x v="0"/>
    <x v="0"/>
    <x v="0"/>
    <x v="7"/>
    <x v="13"/>
    <s v="NO3_A1"/>
    <x v="19"/>
    <s v="GHOB_LPG"/>
    <x v="0"/>
    <x v="11"/>
    <n v="12.3363861899048"/>
    <n v="4502.7809593152597"/>
    <n v="16210.0114535349"/>
  </r>
  <r>
    <x v="0"/>
    <x v="0"/>
    <x v="0"/>
    <x v="7"/>
    <x v="13"/>
    <s v="NO3_A1"/>
    <x v="19"/>
    <s v="GHOB_LPG"/>
    <x v="0"/>
    <x v="12"/>
    <n v="11.536652467947899"/>
    <n v="4210.8781508009897"/>
    <n v="15159.161342883601"/>
  </r>
  <r>
    <x v="0"/>
    <x v="0"/>
    <x v="0"/>
    <x v="7"/>
    <x v="13"/>
    <s v="NO3_A1"/>
    <x v="19"/>
    <s v="GHOB_LPG"/>
    <x v="0"/>
    <x v="13"/>
    <n v="10.4954643570294"/>
    <n v="3830.8444903157401"/>
    <n v="13791.040165136599"/>
  </r>
  <r>
    <x v="0"/>
    <x v="0"/>
    <x v="0"/>
    <x v="7"/>
    <x v="13"/>
    <s v="NO3_A1"/>
    <x v="19"/>
    <s v="GHOB_LPG"/>
    <x v="0"/>
    <x v="14"/>
    <n v="8.28602632756715"/>
    <n v="3024.39960956201"/>
    <n v="10887.8385944232"/>
  </r>
  <r>
    <x v="0"/>
    <x v="0"/>
    <x v="0"/>
    <x v="7"/>
    <x v="13"/>
    <s v="NO3_A1"/>
    <x v="19"/>
    <s v="GHOB_LPG"/>
    <x v="0"/>
    <x v="15"/>
    <n v="5.59422902348199"/>
    <n v="2041.8935935709301"/>
    <n v="7350.8169368553399"/>
  </r>
  <r>
    <x v="0"/>
    <x v="0"/>
    <x v="0"/>
    <x v="7"/>
    <x v="13"/>
    <s v="NO3_A1"/>
    <x v="19"/>
    <s v="GHOB_LPG"/>
    <x v="0"/>
    <x v="16"/>
    <n v="3.7621298765392401"/>
    <n v="1373.17740493682"/>
    <n v="4943.43865777256"/>
  </r>
  <r>
    <x v="0"/>
    <x v="0"/>
    <x v="0"/>
    <x v="7"/>
    <x v="13"/>
    <s v="NO3_A1"/>
    <x v="19"/>
    <s v="GHOB_LPG"/>
    <x v="0"/>
    <x v="17"/>
    <n v="2.85300311225435"/>
    <n v="1041.3461359728401"/>
    <n v="3748.8460895022099"/>
  </r>
  <r>
    <x v="0"/>
    <x v="0"/>
    <x v="0"/>
    <x v="7"/>
    <x v="13"/>
    <s v="NO3_A1"/>
    <x v="19"/>
    <s v="GHOB_LPG"/>
    <x v="0"/>
    <x v="20"/>
    <n v="1.3385238236305299"/>
    <n v="488.56119562514402"/>
    <n v="1758.8203042505199"/>
  </r>
  <r>
    <x v="0"/>
    <x v="0"/>
    <x v="0"/>
    <x v="7"/>
    <x v="13"/>
    <s v="NO3_A1"/>
    <x v="2"/>
    <s v="GBPR_MUNIWASTE"/>
    <x v="0"/>
    <x v="0"/>
    <n v="20.143010752688198"/>
    <n v="7352.1989247311803"/>
    <n v="26467.916129032299"/>
  </r>
  <r>
    <x v="0"/>
    <x v="0"/>
    <x v="0"/>
    <x v="7"/>
    <x v="13"/>
    <s v="NO3_A1"/>
    <x v="2"/>
    <s v="GBPR_MUNIWASTE"/>
    <x v="0"/>
    <x v="1"/>
    <n v="20.143010752688198"/>
    <n v="7352.1989247311803"/>
    <n v="26467.916129032299"/>
  </r>
  <r>
    <x v="0"/>
    <x v="0"/>
    <x v="0"/>
    <x v="7"/>
    <x v="13"/>
    <s v="NO3_A1"/>
    <x v="2"/>
    <s v="GBPR_MUNIWASTE"/>
    <x v="0"/>
    <x v="2"/>
    <n v="20.143010752688198"/>
    <n v="7352.1989247311803"/>
    <n v="26467.916129032299"/>
  </r>
  <r>
    <x v="0"/>
    <x v="0"/>
    <x v="0"/>
    <x v="7"/>
    <x v="13"/>
    <s v="NO3_A1"/>
    <x v="2"/>
    <s v="GBPR_MUNIWASTE"/>
    <x v="0"/>
    <x v="3"/>
    <n v="20.143010752688198"/>
    <n v="7352.1989247311803"/>
    <n v="26467.916129032299"/>
  </r>
  <r>
    <x v="0"/>
    <x v="0"/>
    <x v="0"/>
    <x v="7"/>
    <x v="13"/>
    <s v="NO3_A1"/>
    <x v="2"/>
    <s v="GBPR_MUNIWASTE"/>
    <x v="0"/>
    <x v="18"/>
    <n v="20.143010752688198"/>
    <n v="7352.1989247311803"/>
    <n v="26467.916129032299"/>
  </r>
  <r>
    <x v="0"/>
    <x v="0"/>
    <x v="0"/>
    <x v="7"/>
    <x v="13"/>
    <s v="NO3_A1"/>
    <x v="2"/>
    <s v="GBPR_MUNIWASTE"/>
    <x v="0"/>
    <x v="4"/>
    <n v="20.143010752688198"/>
    <n v="7352.1989247311803"/>
    <n v="26467.916129032299"/>
  </r>
  <r>
    <x v="0"/>
    <x v="0"/>
    <x v="0"/>
    <x v="7"/>
    <x v="13"/>
    <s v="NO3_A1"/>
    <x v="2"/>
    <s v="GBPR_MUNIWASTE"/>
    <x v="0"/>
    <x v="5"/>
    <n v="20.143010752688198"/>
    <n v="7352.1989247311803"/>
    <n v="26467.916129032299"/>
  </r>
  <r>
    <x v="0"/>
    <x v="0"/>
    <x v="0"/>
    <x v="7"/>
    <x v="13"/>
    <s v="NO3_A1"/>
    <x v="2"/>
    <s v="GBPR_MUNIWASTE"/>
    <x v="0"/>
    <x v="6"/>
    <n v="20.143010752688198"/>
    <n v="7352.1989247311803"/>
    <n v="26467.916129032299"/>
  </r>
  <r>
    <x v="0"/>
    <x v="0"/>
    <x v="0"/>
    <x v="7"/>
    <x v="13"/>
    <s v="NO3_A1"/>
    <x v="2"/>
    <s v="GBPR_MUNIWASTE"/>
    <x v="0"/>
    <x v="7"/>
    <n v="20.143010752688198"/>
    <n v="7352.1989247311803"/>
    <n v="26467.916129032299"/>
  </r>
  <r>
    <x v="0"/>
    <x v="0"/>
    <x v="0"/>
    <x v="7"/>
    <x v="13"/>
    <s v="NO3_A1"/>
    <x v="2"/>
    <s v="GBPR_MUNIWASTE"/>
    <x v="0"/>
    <x v="8"/>
    <n v="20.143010752688198"/>
    <n v="7352.1989247311803"/>
    <n v="26467.916129032299"/>
  </r>
  <r>
    <x v="0"/>
    <x v="0"/>
    <x v="0"/>
    <x v="7"/>
    <x v="13"/>
    <s v="NO3_A1"/>
    <x v="2"/>
    <s v="GBPR_MUNIWASTE"/>
    <x v="0"/>
    <x v="9"/>
    <n v="20.143010752688198"/>
    <n v="7352.1989247311803"/>
    <n v="26467.916129032299"/>
  </r>
  <r>
    <x v="0"/>
    <x v="0"/>
    <x v="0"/>
    <x v="7"/>
    <x v="13"/>
    <s v="NO3_A1"/>
    <x v="2"/>
    <s v="GBPR_MUNIWASTE"/>
    <x v="0"/>
    <x v="10"/>
    <n v="20.143010752688198"/>
    <n v="7352.1989247311803"/>
    <n v="26467.916129032299"/>
  </r>
  <r>
    <x v="0"/>
    <x v="0"/>
    <x v="0"/>
    <x v="7"/>
    <x v="13"/>
    <s v="NO3_A1"/>
    <x v="2"/>
    <s v="GBPR_MUNIWASTE"/>
    <x v="0"/>
    <x v="11"/>
    <n v="20.143010752688198"/>
    <n v="7352.1989247311803"/>
    <n v="26467.916129032299"/>
  </r>
  <r>
    <x v="0"/>
    <x v="0"/>
    <x v="0"/>
    <x v="7"/>
    <x v="13"/>
    <s v="NO3_A1"/>
    <x v="2"/>
    <s v="GBPR_MUNIWASTE"/>
    <x v="0"/>
    <x v="12"/>
    <n v="20.143010752688198"/>
    <n v="7352.1989247311803"/>
    <n v="26467.916129032299"/>
  </r>
  <r>
    <x v="0"/>
    <x v="0"/>
    <x v="0"/>
    <x v="7"/>
    <x v="13"/>
    <s v="NO3_A1"/>
    <x v="2"/>
    <s v="GBPR_MUNIWASTE"/>
    <x v="0"/>
    <x v="13"/>
    <n v="20.143010752688198"/>
    <n v="7352.1989247311803"/>
    <n v="26467.916129032299"/>
  </r>
  <r>
    <x v="0"/>
    <x v="0"/>
    <x v="0"/>
    <x v="7"/>
    <x v="13"/>
    <s v="NO3_A1"/>
    <x v="2"/>
    <s v="GBPR_MUNIWASTE"/>
    <x v="0"/>
    <x v="14"/>
    <n v="20.143010752688198"/>
    <n v="7352.1989247311803"/>
    <n v="26467.916129032299"/>
  </r>
  <r>
    <x v="0"/>
    <x v="0"/>
    <x v="0"/>
    <x v="7"/>
    <x v="13"/>
    <s v="NO3_A1"/>
    <x v="2"/>
    <s v="GBPR_MUNIWASTE"/>
    <x v="0"/>
    <x v="15"/>
    <n v="20.143010752688198"/>
    <n v="7352.1989247311803"/>
    <n v="26467.916129032299"/>
  </r>
  <r>
    <x v="0"/>
    <x v="0"/>
    <x v="0"/>
    <x v="7"/>
    <x v="13"/>
    <s v="NO3_A1"/>
    <x v="2"/>
    <s v="GBPR_MUNIWASTE"/>
    <x v="0"/>
    <x v="16"/>
    <n v="20.143010752688198"/>
    <n v="7352.1989247311803"/>
    <n v="26467.916129032299"/>
  </r>
  <r>
    <x v="0"/>
    <x v="0"/>
    <x v="0"/>
    <x v="7"/>
    <x v="13"/>
    <s v="NO3_A1"/>
    <x v="2"/>
    <s v="GBPR_MUNIWASTE"/>
    <x v="0"/>
    <x v="17"/>
    <n v="20.143010752688198"/>
    <n v="7352.1989247311803"/>
    <n v="26467.916129032299"/>
  </r>
  <r>
    <x v="0"/>
    <x v="0"/>
    <x v="0"/>
    <x v="7"/>
    <x v="13"/>
    <s v="NO3_A1"/>
    <x v="2"/>
    <s v="GBPR_MUNIWASTE"/>
    <x v="0"/>
    <x v="19"/>
    <n v="20.143010752688198"/>
    <n v="7352.1989247311803"/>
    <n v="26467.916129032299"/>
  </r>
  <r>
    <x v="0"/>
    <x v="0"/>
    <x v="0"/>
    <x v="7"/>
    <x v="13"/>
    <s v="NO3_A1"/>
    <x v="2"/>
    <s v="GBPR_MUNIWASTE"/>
    <x v="0"/>
    <x v="20"/>
    <n v="20.143010752688198"/>
    <n v="7352.1989247311803"/>
    <n v="26467.916129032299"/>
  </r>
  <r>
    <x v="0"/>
    <x v="0"/>
    <x v="0"/>
    <x v="7"/>
    <x v="13"/>
    <s v="NO3_A1"/>
    <x v="2"/>
    <s v="GBPR_MUNIWASTE"/>
    <x v="0"/>
    <x v="21"/>
    <n v="20.143010752688198"/>
    <n v="7352.1989247311803"/>
    <n v="26467.916129032299"/>
  </r>
  <r>
    <x v="0"/>
    <x v="0"/>
    <x v="0"/>
    <x v="7"/>
    <x v="13"/>
    <s v="NO3_A1"/>
    <x v="2"/>
    <s v="GBPR_MUNIWASTE"/>
    <x v="0"/>
    <x v="22"/>
    <n v="20.143010752688198"/>
    <n v="7352.1989247311803"/>
    <n v="26467.916129032299"/>
  </r>
  <r>
    <x v="0"/>
    <x v="0"/>
    <x v="0"/>
    <x v="7"/>
    <x v="13"/>
    <s v="NO3_A1"/>
    <x v="2"/>
    <s v="GBPR_MUNIWASTE"/>
    <x v="0"/>
    <x v="23"/>
    <n v="20.143010752688198"/>
    <n v="7352.1989247311803"/>
    <n v="26467.916129032299"/>
  </r>
  <r>
    <x v="0"/>
    <x v="0"/>
    <x v="0"/>
    <x v="7"/>
    <x v="13"/>
    <s v="NO3_A1"/>
    <x v="1"/>
    <s v="GHOB_WASTEHEAT"/>
    <x v="0"/>
    <x v="0"/>
    <n v="4.3039148351648198"/>
    <n v="1570.92891483516"/>
    <n v="5655.3440934065702"/>
  </r>
  <r>
    <x v="0"/>
    <x v="0"/>
    <x v="0"/>
    <x v="7"/>
    <x v="13"/>
    <s v="NO3_A1"/>
    <x v="1"/>
    <s v="GHOB_WASTEHEAT"/>
    <x v="0"/>
    <x v="1"/>
    <n v="4.3039148351648198"/>
    <n v="1570.92891483516"/>
    <n v="5655.3440934065702"/>
  </r>
  <r>
    <x v="0"/>
    <x v="0"/>
    <x v="0"/>
    <x v="7"/>
    <x v="13"/>
    <s v="NO3_A1"/>
    <x v="1"/>
    <s v="GHOB_WASTEHEAT"/>
    <x v="0"/>
    <x v="2"/>
    <n v="4.3039148351648198"/>
    <n v="1570.92891483516"/>
    <n v="5655.3440934065702"/>
  </r>
  <r>
    <x v="0"/>
    <x v="0"/>
    <x v="0"/>
    <x v="7"/>
    <x v="13"/>
    <s v="NO3_A1"/>
    <x v="1"/>
    <s v="GHOB_WASTEHEAT"/>
    <x v="0"/>
    <x v="3"/>
    <n v="4.3039148351648198"/>
    <n v="1570.92891483516"/>
    <n v="5655.3440934065702"/>
  </r>
  <r>
    <x v="0"/>
    <x v="0"/>
    <x v="0"/>
    <x v="7"/>
    <x v="13"/>
    <s v="NO3_A1"/>
    <x v="1"/>
    <s v="GHOB_WASTEHEAT"/>
    <x v="0"/>
    <x v="18"/>
    <n v="4.3039148351648198"/>
    <n v="1570.92891483516"/>
    <n v="5655.3440934065702"/>
  </r>
  <r>
    <x v="0"/>
    <x v="0"/>
    <x v="0"/>
    <x v="7"/>
    <x v="13"/>
    <s v="NO3_A1"/>
    <x v="1"/>
    <s v="GHOB_WASTEHEAT"/>
    <x v="0"/>
    <x v="4"/>
    <n v="4.3039148351648198"/>
    <n v="1570.92891483516"/>
    <n v="5655.3440934065702"/>
  </r>
  <r>
    <x v="0"/>
    <x v="0"/>
    <x v="0"/>
    <x v="7"/>
    <x v="13"/>
    <s v="NO3_A1"/>
    <x v="1"/>
    <s v="GHOB_WASTEHEAT"/>
    <x v="0"/>
    <x v="5"/>
    <n v="4.3039148351648198"/>
    <n v="1570.92891483516"/>
    <n v="5655.3440934065702"/>
  </r>
  <r>
    <x v="0"/>
    <x v="0"/>
    <x v="0"/>
    <x v="7"/>
    <x v="13"/>
    <s v="NO3_A1"/>
    <x v="1"/>
    <s v="GHOB_WASTEHEAT"/>
    <x v="0"/>
    <x v="6"/>
    <n v="4.3039148351648198"/>
    <n v="1570.92891483516"/>
    <n v="5655.3440934065702"/>
  </r>
  <r>
    <x v="0"/>
    <x v="0"/>
    <x v="0"/>
    <x v="7"/>
    <x v="13"/>
    <s v="NO3_A1"/>
    <x v="1"/>
    <s v="GHOB_WASTEHEAT"/>
    <x v="0"/>
    <x v="7"/>
    <n v="4.3039148351648198"/>
    <n v="1570.92891483516"/>
    <n v="5655.3440934065702"/>
  </r>
  <r>
    <x v="0"/>
    <x v="0"/>
    <x v="0"/>
    <x v="7"/>
    <x v="13"/>
    <s v="NO3_A1"/>
    <x v="1"/>
    <s v="GHOB_WASTEHEAT"/>
    <x v="0"/>
    <x v="8"/>
    <n v="4.3039148351648198"/>
    <n v="1570.92891483516"/>
    <n v="5655.3440934065702"/>
  </r>
  <r>
    <x v="0"/>
    <x v="0"/>
    <x v="0"/>
    <x v="7"/>
    <x v="13"/>
    <s v="NO3_A1"/>
    <x v="1"/>
    <s v="GHOB_WASTEHEAT"/>
    <x v="0"/>
    <x v="9"/>
    <n v="4.3039148351648198"/>
    <n v="1570.92891483516"/>
    <n v="5655.3440934065702"/>
  </r>
  <r>
    <x v="0"/>
    <x v="0"/>
    <x v="0"/>
    <x v="7"/>
    <x v="13"/>
    <s v="NO3_A1"/>
    <x v="1"/>
    <s v="GHOB_WASTEHEAT"/>
    <x v="0"/>
    <x v="10"/>
    <n v="4.3039148351648198"/>
    <n v="1570.92891483516"/>
    <n v="5655.3440934065702"/>
  </r>
  <r>
    <x v="0"/>
    <x v="0"/>
    <x v="0"/>
    <x v="7"/>
    <x v="13"/>
    <s v="NO3_A1"/>
    <x v="1"/>
    <s v="GHOB_WASTEHEAT"/>
    <x v="0"/>
    <x v="11"/>
    <n v="4.3039148351648198"/>
    <n v="1570.92891483516"/>
    <n v="5655.3440934065702"/>
  </r>
  <r>
    <x v="0"/>
    <x v="0"/>
    <x v="0"/>
    <x v="7"/>
    <x v="13"/>
    <s v="NO3_A1"/>
    <x v="1"/>
    <s v="GHOB_WASTEHEAT"/>
    <x v="0"/>
    <x v="12"/>
    <n v="4.3039148351648198"/>
    <n v="1570.92891483516"/>
    <n v="5655.3440934065702"/>
  </r>
  <r>
    <x v="0"/>
    <x v="0"/>
    <x v="0"/>
    <x v="7"/>
    <x v="13"/>
    <s v="NO3_A1"/>
    <x v="1"/>
    <s v="GHOB_WASTEHEAT"/>
    <x v="0"/>
    <x v="13"/>
    <n v="4.3039148351648198"/>
    <n v="1570.92891483516"/>
    <n v="5655.3440934065702"/>
  </r>
  <r>
    <x v="0"/>
    <x v="0"/>
    <x v="0"/>
    <x v="7"/>
    <x v="13"/>
    <s v="NO3_A1"/>
    <x v="1"/>
    <s v="GHOB_WASTEHEAT"/>
    <x v="0"/>
    <x v="14"/>
    <n v="4.3039148351648198"/>
    <n v="1570.92891483516"/>
    <n v="5655.3440934065702"/>
  </r>
  <r>
    <x v="0"/>
    <x v="0"/>
    <x v="0"/>
    <x v="7"/>
    <x v="13"/>
    <s v="NO3_A1"/>
    <x v="1"/>
    <s v="GHOB_WASTEHEAT"/>
    <x v="0"/>
    <x v="15"/>
    <n v="4.3039148351648198"/>
    <n v="1570.92891483516"/>
    <n v="5655.3440934065702"/>
  </r>
  <r>
    <x v="0"/>
    <x v="0"/>
    <x v="0"/>
    <x v="7"/>
    <x v="13"/>
    <s v="NO3_A1"/>
    <x v="1"/>
    <s v="GHOB_WASTEHEAT"/>
    <x v="0"/>
    <x v="16"/>
    <n v="4.3039148351648198"/>
    <n v="1570.92891483516"/>
    <n v="5655.3440934065702"/>
  </r>
  <r>
    <x v="0"/>
    <x v="0"/>
    <x v="0"/>
    <x v="7"/>
    <x v="13"/>
    <s v="NO3_A1"/>
    <x v="1"/>
    <s v="GHOB_WASTEHEAT"/>
    <x v="0"/>
    <x v="17"/>
    <n v="4.3039148351648198"/>
    <n v="1570.92891483516"/>
    <n v="5655.3440934065702"/>
  </r>
  <r>
    <x v="0"/>
    <x v="0"/>
    <x v="0"/>
    <x v="7"/>
    <x v="13"/>
    <s v="NO3_A1"/>
    <x v="1"/>
    <s v="GHOB_WASTEHEAT"/>
    <x v="0"/>
    <x v="19"/>
    <n v="4.3039148351648198"/>
    <n v="1570.92891483516"/>
    <n v="5655.3440934065702"/>
  </r>
  <r>
    <x v="0"/>
    <x v="0"/>
    <x v="0"/>
    <x v="7"/>
    <x v="13"/>
    <s v="NO3_A1"/>
    <x v="1"/>
    <s v="GHOB_WASTEHEAT"/>
    <x v="0"/>
    <x v="20"/>
    <n v="4.3039148351648198"/>
    <n v="1570.92891483516"/>
    <n v="5655.3440934065702"/>
  </r>
  <r>
    <x v="0"/>
    <x v="0"/>
    <x v="0"/>
    <x v="7"/>
    <x v="13"/>
    <s v="NO3_A1"/>
    <x v="1"/>
    <s v="GHOB_WASTEHEAT"/>
    <x v="0"/>
    <x v="21"/>
    <n v="4.2445122331950502"/>
    <n v="1549.24696511619"/>
    <n v="5577.2890744182996"/>
  </r>
  <r>
    <x v="0"/>
    <x v="0"/>
    <x v="0"/>
    <x v="7"/>
    <x v="13"/>
    <s v="NO3_A1"/>
    <x v="1"/>
    <s v="GHOB_WASTEHEAT"/>
    <x v="0"/>
    <x v="22"/>
    <n v="3.2794515382312999"/>
    <n v="1196.9998114544201"/>
    <n v="4309.1993212359203"/>
  </r>
  <r>
    <x v="0"/>
    <x v="0"/>
    <x v="0"/>
    <x v="7"/>
    <x v="13"/>
    <s v="NO3_A1"/>
    <x v="1"/>
    <s v="GHOB_WASTEHEAT"/>
    <x v="0"/>
    <x v="23"/>
    <n v="2.6812523440079699"/>
    <n v="978.65710556290901"/>
    <n v="3523.1655800264698"/>
  </r>
  <r>
    <x v="0"/>
    <x v="0"/>
    <x v="0"/>
    <x v="7"/>
    <x v="13"/>
    <s v="NO3_A1"/>
    <x v="7"/>
    <s v="GNR_RES_WTR_NOPMP_MC-01"/>
    <x v="0"/>
    <x v="0"/>
    <n v="221.84651366034899"/>
    <n v="80973.977486027405"/>
    <n v="291506.31894969899"/>
  </r>
  <r>
    <x v="0"/>
    <x v="0"/>
    <x v="0"/>
    <x v="7"/>
    <x v="13"/>
    <s v="NO3_A1"/>
    <x v="7"/>
    <s v="GNR_RES_WTR_NOPMP_MC-01"/>
    <x v="0"/>
    <x v="1"/>
    <n v="221.84651366034899"/>
    <n v="80973.977486027405"/>
    <n v="291506.31894969899"/>
  </r>
  <r>
    <x v="0"/>
    <x v="0"/>
    <x v="0"/>
    <x v="7"/>
    <x v="13"/>
    <s v="NO3_A1"/>
    <x v="7"/>
    <s v="GNR_RES_WTR_NOPMP_MC-01"/>
    <x v="0"/>
    <x v="2"/>
    <n v="221.84651366034899"/>
    <n v="80973.977486027405"/>
    <n v="291506.31894969899"/>
  </r>
  <r>
    <x v="0"/>
    <x v="0"/>
    <x v="0"/>
    <x v="7"/>
    <x v="13"/>
    <s v="NO3_A1"/>
    <x v="7"/>
    <s v="GNR_RES_WTR_NOPMP_MC-01"/>
    <x v="0"/>
    <x v="3"/>
    <n v="221.84651366034899"/>
    <n v="80973.977486027405"/>
    <n v="291506.31894969899"/>
  </r>
  <r>
    <x v="0"/>
    <x v="0"/>
    <x v="0"/>
    <x v="7"/>
    <x v="13"/>
    <s v="NO3_A1"/>
    <x v="7"/>
    <s v="GNR_RES_WTR_NOPMP_MC-01"/>
    <x v="0"/>
    <x v="18"/>
    <n v="221.84651366034899"/>
    <n v="80973.977486027405"/>
    <n v="291506.31894969899"/>
  </r>
  <r>
    <x v="0"/>
    <x v="0"/>
    <x v="0"/>
    <x v="7"/>
    <x v="13"/>
    <s v="NO3_A1"/>
    <x v="7"/>
    <s v="GNR_RES_WTR_NOPMP_MC-01"/>
    <x v="0"/>
    <x v="4"/>
    <n v="221.84651366034899"/>
    <n v="80973.977486027405"/>
    <n v="291506.31894969899"/>
  </r>
  <r>
    <x v="0"/>
    <x v="0"/>
    <x v="0"/>
    <x v="7"/>
    <x v="13"/>
    <s v="NO3_A1"/>
    <x v="7"/>
    <s v="GNR_RES_WTR_NOPMP_MC-01"/>
    <x v="0"/>
    <x v="5"/>
    <n v="221.84651366034899"/>
    <n v="80973.977486027405"/>
    <n v="291506.31894969899"/>
  </r>
  <r>
    <x v="0"/>
    <x v="0"/>
    <x v="0"/>
    <x v="7"/>
    <x v="13"/>
    <s v="NO3_A1"/>
    <x v="7"/>
    <s v="GNR_RES_WTR_NOPMP_MC-01"/>
    <x v="0"/>
    <x v="6"/>
    <n v="221.84651366034899"/>
    <n v="80973.977486027405"/>
    <n v="291506.31894969899"/>
  </r>
  <r>
    <x v="0"/>
    <x v="0"/>
    <x v="0"/>
    <x v="7"/>
    <x v="13"/>
    <s v="NO3_A1"/>
    <x v="7"/>
    <s v="GNR_RES_WTR_NOPMP_MC-01"/>
    <x v="0"/>
    <x v="7"/>
    <n v="221.84651366034899"/>
    <n v="80973.977486027405"/>
    <n v="291506.31894969899"/>
  </r>
  <r>
    <x v="0"/>
    <x v="0"/>
    <x v="0"/>
    <x v="7"/>
    <x v="13"/>
    <s v="NO3_A1"/>
    <x v="7"/>
    <s v="GNR_RES_WTR_NOPMP_MC-01"/>
    <x v="0"/>
    <x v="8"/>
    <n v="221.84651366034899"/>
    <n v="80973.977486027405"/>
    <n v="291506.31894969899"/>
  </r>
  <r>
    <x v="0"/>
    <x v="0"/>
    <x v="0"/>
    <x v="7"/>
    <x v="13"/>
    <s v="NO3_A1"/>
    <x v="7"/>
    <s v="GNR_RES_WTR_NOPMP_MC-01"/>
    <x v="0"/>
    <x v="9"/>
    <n v="221.84651366034899"/>
    <n v="80973.977486027405"/>
    <n v="291506.31894969899"/>
  </r>
  <r>
    <x v="0"/>
    <x v="0"/>
    <x v="0"/>
    <x v="7"/>
    <x v="13"/>
    <s v="NO3_A1"/>
    <x v="7"/>
    <s v="GNR_RES_WTR_NOPMP_MC-01"/>
    <x v="0"/>
    <x v="10"/>
    <n v="221.84651366034899"/>
    <n v="80973.977486027405"/>
    <n v="291506.31894969899"/>
  </r>
  <r>
    <x v="0"/>
    <x v="0"/>
    <x v="0"/>
    <x v="7"/>
    <x v="13"/>
    <s v="NO3_A1"/>
    <x v="7"/>
    <s v="GNR_RES_WTR_NOPMP_MC-01"/>
    <x v="0"/>
    <x v="11"/>
    <n v="221.84651366034899"/>
    <n v="80973.977486027405"/>
    <n v="291506.31894969899"/>
  </r>
  <r>
    <x v="0"/>
    <x v="0"/>
    <x v="0"/>
    <x v="7"/>
    <x v="13"/>
    <s v="NO3_A1"/>
    <x v="7"/>
    <s v="GNR_RES_WTR_NOPMP_MC-01"/>
    <x v="0"/>
    <x v="12"/>
    <n v="221.84651366034899"/>
    <n v="80973.977486027405"/>
    <n v="291506.31894969899"/>
  </r>
  <r>
    <x v="0"/>
    <x v="0"/>
    <x v="0"/>
    <x v="7"/>
    <x v="13"/>
    <s v="NO3_A1"/>
    <x v="7"/>
    <s v="GNR_RES_WTR_NOPMP_MC-01"/>
    <x v="0"/>
    <x v="13"/>
    <n v="221.84651366034899"/>
    <n v="80973.977486027405"/>
    <n v="291506.31894969899"/>
  </r>
  <r>
    <x v="0"/>
    <x v="0"/>
    <x v="0"/>
    <x v="7"/>
    <x v="13"/>
    <s v="NO3_A1"/>
    <x v="7"/>
    <s v="GNR_RES_WTR_NOPMP_MC-01"/>
    <x v="0"/>
    <x v="14"/>
    <n v="221.84651366034899"/>
    <n v="80973.977486027405"/>
    <n v="291506.31894969899"/>
  </r>
  <r>
    <x v="0"/>
    <x v="0"/>
    <x v="0"/>
    <x v="7"/>
    <x v="13"/>
    <s v="NO3_A1"/>
    <x v="7"/>
    <s v="GNR_RES_WTR_NOPMP_MC-01"/>
    <x v="0"/>
    <x v="15"/>
    <n v="221.84651366034899"/>
    <n v="80973.977486027405"/>
    <n v="291506.31894969899"/>
  </r>
  <r>
    <x v="0"/>
    <x v="0"/>
    <x v="0"/>
    <x v="7"/>
    <x v="13"/>
    <s v="NO3_A1"/>
    <x v="7"/>
    <s v="GNR_RES_WTR_NOPMP_MC-01"/>
    <x v="0"/>
    <x v="16"/>
    <n v="221.84651366034899"/>
    <n v="80973.977486027405"/>
    <n v="291506.31894969899"/>
  </r>
  <r>
    <x v="0"/>
    <x v="0"/>
    <x v="0"/>
    <x v="7"/>
    <x v="13"/>
    <s v="NO3_A1"/>
    <x v="7"/>
    <s v="GNR_RES_WTR_NOPMP_MC-01"/>
    <x v="0"/>
    <x v="17"/>
    <n v="221.84651366034899"/>
    <n v="80973.977486027405"/>
    <n v="291506.31894969899"/>
  </r>
  <r>
    <x v="0"/>
    <x v="0"/>
    <x v="0"/>
    <x v="7"/>
    <x v="13"/>
    <s v="NO3_A1"/>
    <x v="7"/>
    <s v="GNR_RES_WTR_NOPMP_MC-01"/>
    <x v="0"/>
    <x v="19"/>
    <n v="221.84651366034899"/>
    <n v="80973.977486027405"/>
    <n v="291506.31894969899"/>
  </r>
  <r>
    <x v="0"/>
    <x v="0"/>
    <x v="0"/>
    <x v="7"/>
    <x v="13"/>
    <s v="NO3_A1"/>
    <x v="7"/>
    <s v="GNR_RES_WTR_NOPMP_MC-01"/>
    <x v="0"/>
    <x v="20"/>
    <n v="221.84651366034899"/>
    <n v="80973.977486027405"/>
    <n v="291506.31894969899"/>
  </r>
  <r>
    <x v="0"/>
    <x v="0"/>
    <x v="0"/>
    <x v="7"/>
    <x v="13"/>
    <s v="NO3_A1"/>
    <x v="7"/>
    <s v="GNR_RES_WTR_NOPMP_MC-01"/>
    <x v="0"/>
    <x v="21"/>
    <n v="221.84651366034899"/>
    <n v="80973.977486027405"/>
    <n v="291506.31894969899"/>
  </r>
  <r>
    <x v="0"/>
    <x v="0"/>
    <x v="0"/>
    <x v="7"/>
    <x v="13"/>
    <s v="NO3_A1"/>
    <x v="7"/>
    <s v="GNR_RES_WTR_NOPMP_MC-01"/>
    <x v="0"/>
    <x v="22"/>
    <n v="221.84651366034899"/>
    <n v="80973.977486027405"/>
    <n v="291506.31894969899"/>
  </r>
  <r>
    <x v="0"/>
    <x v="0"/>
    <x v="0"/>
    <x v="7"/>
    <x v="13"/>
    <s v="NO3_A1"/>
    <x v="7"/>
    <s v="GNR_RES_WTR_NOPMP_MC-01"/>
    <x v="0"/>
    <x v="23"/>
    <n v="221.84651366034899"/>
    <n v="80973.977486027405"/>
    <n v="291506.31894969899"/>
  </r>
  <r>
    <x v="0"/>
    <x v="0"/>
    <x v="0"/>
    <x v="7"/>
    <x v="13"/>
    <s v="NO3_A1"/>
    <x v="7"/>
    <s v="GNR_RES_WTR_NOPMP_MC-02"/>
    <x v="0"/>
    <x v="0"/>
    <n v="282.146513660349"/>
    <n v="102983.477486027"/>
    <n v="370740.51894969901"/>
  </r>
  <r>
    <x v="0"/>
    <x v="0"/>
    <x v="0"/>
    <x v="7"/>
    <x v="13"/>
    <s v="NO3_A1"/>
    <x v="7"/>
    <s v="GNR_RES_WTR_NOPMP_MC-02"/>
    <x v="0"/>
    <x v="1"/>
    <n v="282.146513660349"/>
    <n v="102983.477486027"/>
    <n v="370740.51894969901"/>
  </r>
  <r>
    <x v="0"/>
    <x v="0"/>
    <x v="0"/>
    <x v="7"/>
    <x v="13"/>
    <s v="NO3_A1"/>
    <x v="7"/>
    <s v="GNR_RES_WTR_NOPMP_MC-02"/>
    <x v="0"/>
    <x v="2"/>
    <n v="282.146513660349"/>
    <n v="102983.477486027"/>
    <n v="370740.51894969901"/>
  </r>
  <r>
    <x v="0"/>
    <x v="0"/>
    <x v="0"/>
    <x v="7"/>
    <x v="13"/>
    <s v="NO3_A1"/>
    <x v="7"/>
    <s v="GNR_RES_WTR_NOPMP_MC-02"/>
    <x v="0"/>
    <x v="3"/>
    <n v="282.146513660349"/>
    <n v="102983.477486027"/>
    <n v="370740.51894969901"/>
  </r>
  <r>
    <x v="0"/>
    <x v="0"/>
    <x v="0"/>
    <x v="7"/>
    <x v="13"/>
    <s v="NO3_A1"/>
    <x v="7"/>
    <s v="GNR_RES_WTR_NOPMP_MC-02"/>
    <x v="0"/>
    <x v="18"/>
    <n v="282.146513660349"/>
    <n v="102983.477486027"/>
    <n v="370740.51894969901"/>
  </r>
  <r>
    <x v="0"/>
    <x v="0"/>
    <x v="0"/>
    <x v="7"/>
    <x v="13"/>
    <s v="NO3_A1"/>
    <x v="7"/>
    <s v="GNR_RES_WTR_NOPMP_MC-02"/>
    <x v="0"/>
    <x v="4"/>
    <n v="282.146513660349"/>
    <n v="102983.477486027"/>
    <n v="370740.51894969901"/>
  </r>
  <r>
    <x v="0"/>
    <x v="0"/>
    <x v="0"/>
    <x v="7"/>
    <x v="13"/>
    <s v="NO3_A1"/>
    <x v="7"/>
    <s v="GNR_RES_WTR_NOPMP_MC-02"/>
    <x v="0"/>
    <x v="5"/>
    <n v="282.146513660349"/>
    <n v="102983.477486027"/>
    <n v="370740.51894969901"/>
  </r>
  <r>
    <x v="0"/>
    <x v="0"/>
    <x v="0"/>
    <x v="7"/>
    <x v="13"/>
    <s v="NO3_A1"/>
    <x v="7"/>
    <s v="GNR_RES_WTR_NOPMP_MC-02"/>
    <x v="0"/>
    <x v="6"/>
    <n v="282.146513660349"/>
    <n v="102983.477486027"/>
    <n v="370740.51894969901"/>
  </r>
  <r>
    <x v="0"/>
    <x v="0"/>
    <x v="0"/>
    <x v="7"/>
    <x v="13"/>
    <s v="NO3_A1"/>
    <x v="7"/>
    <s v="GNR_RES_WTR_NOPMP_MC-02"/>
    <x v="0"/>
    <x v="7"/>
    <n v="282.146513660349"/>
    <n v="102983.477486027"/>
    <n v="370740.51894969901"/>
  </r>
  <r>
    <x v="0"/>
    <x v="0"/>
    <x v="0"/>
    <x v="7"/>
    <x v="13"/>
    <s v="NO3_A1"/>
    <x v="7"/>
    <s v="GNR_RES_WTR_NOPMP_MC-02"/>
    <x v="0"/>
    <x v="8"/>
    <n v="282.146513660349"/>
    <n v="102983.477486027"/>
    <n v="370740.51894969901"/>
  </r>
  <r>
    <x v="0"/>
    <x v="0"/>
    <x v="0"/>
    <x v="7"/>
    <x v="13"/>
    <s v="NO3_A1"/>
    <x v="7"/>
    <s v="GNR_RES_WTR_NOPMP_MC-02"/>
    <x v="0"/>
    <x v="9"/>
    <n v="282.146513660349"/>
    <n v="102983.477486027"/>
    <n v="370740.51894969901"/>
  </r>
  <r>
    <x v="0"/>
    <x v="0"/>
    <x v="0"/>
    <x v="7"/>
    <x v="13"/>
    <s v="NO3_A1"/>
    <x v="7"/>
    <s v="GNR_RES_WTR_NOPMP_MC-02"/>
    <x v="0"/>
    <x v="10"/>
    <n v="282.146513660349"/>
    <n v="102983.477486027"/>
    <n v="370740.51894969901"/>
  </r>
  <r>
    <x v="0"/>
    <x v="0"/>
    <x v="0"/>
    <x v="7"/>
    <x v="13"/>
    <s v="NO3_A1"/>
    <x v="7"/>
    <s v="GNR_RES_WTR_NOPMP_MC-02"/>
    <x v="0"/>
    <x v="11"/>
    <n v="282.146513660349"/>
    <n v="102983.477486027"/>
    <n v="370740.51894969901"/>
  </r>
  <r>
    <x v="0"/>
    <x v="0"/>
    <x v="0"/>
    <x v="7"/>
    <x v="13"/>
    <s v="NO3_A1"/>
    <x v="7"/>
    <s v="GNR_RES_WTR_NOPMP_MC-02"/>
    <x v="0"/>
    <x v="12"/>
    <n v="282.146513660349"/>
    <n v="102983.477486027"/>
    <n v="370740.51894969901"/>
  </r>
  <r>
    <x v="0"/>
    <x v="0"/>
    <x v="0"/>
    <x v="7"/>
    <x v="13"/>
    <s v="NO3_A1"/>
    <x v="7"/>
    <s v="GNR_RES_WTR_NOPMP_MC-02"/>
    <x v="0"/>
    <x v="13"/>
    <n v="282.146513660349"/>
    <n v="102983.477486027"/>
    <n v="370740.51894969901"/>
  </r>
  <r>
    <x v="0"/>
    <x v="0"/>
    <x v="0"/>
    <x v="7"/>
    <x v="13"/>
    <s v="NO3_A1"/>
    <x v="7"/>
    <s v="GNR_RES_WTR_NOPMP_MC-02"/>
    <x v="0"/>
    <x v="14"/>
    <n v="282.146513660349"/>
    <n v="102983.477486027"/>
    <n v="370740.51894969901"/>
  </r>
  <r>
    <x v="0"/>
    <x v="0"/>
    <x v="0"/>
    <x v="7"/>
    <x v="13"/>
    <s v="NO3_A1"/>
    <x v="7"/>
    <s v="GNR_RES_WTR_NOPMP_MC-02"/>
    <x v="0"/>
    <x v="15"/>
    <n v="282.146513660349"/>
    <n v="102983.477486027"/>
    <n v="370740.51894969901"/>
  </r>
  <r>
    <x v="0"/>
    <x v="0"/>
    <x v="0"/>
    <x v="7"/>
    <x v="13"/>
    <s v="NO3_A1"/>
    <x v="7"/>
    <s v="GNR_RES_WTR_NOPMP_MC-02"/>
    <x v="0"/>
    <x v="16"/>
    <n v="282.146513660349"/>
    <n v="102983.477486027"/>
    <n v="370740.51894969901"/>
  </r>
  <r>
    <x v="0"/>
    <x v="0"/>
    <x v="0"/>
    <x v="7"/>
    <x v="13"/>
    <s v="NO3_A1"/>
    <x v="7"/>
    <s v="GNR_RES_WTR_NOPMP_MC-02"/>
    <x v="0"/>
    <x v="17"/>
    <n v="282.146513660349"/>
    <n v="102983.477486027"/>
    <n v="370740.51894969901"/>
  </r>
  <r>
    <x v="0"/>
    <x v="0"/>
    <x v="0"/>
    <x v="7"/>
    <x v="13"/>
    <s v="NO3_A1"/>
    <x v="7"/>
    <s v="GNR_RES_WTR_NOPMP_MC-02"/>
    <x v="0"/>
    <x v="19"/>
    <n v="282.146513660349"/>
    <n v="102983.477486027"/>
    <n v="370740.51894969901"/>
  </r>
  <r>
    <x v="0"/>
    <x v="0"/>
    <x v="0"/>
    <x v="7"/>
    <x v="13"/>
    <s v="NO3_A1"/>
    <x v="7"/>
    <s v="GNR_RES_WTR_NOPMP_MC-02"/>
    <x v="0"/>
    <x v="20"/>
    <n v="282.146513660349"/>
    <n v="102983.477486027"/>
    <n v="370740.51894969901"/>
  </r>
  <r>
    <x v="0"/>
    <x v="0"/>
    <x v="0"/>
    <x v="7"/>
    <x v="13"/>
    <s v="NO3_A1"/>
    <x v="7"/>
    <s v="GNR_RES_WTR_NOPMP_MC-02"/>
    <x v="0"/>
    <x v="21"/>
    <n v="282.146513660349"/>
    <n v="102983.477486027"/>
    <n v="370740.51894969901"/>
  </r>
  <r>
    <x v="0"/>
    <x v="0"/>
    <x v="0"/>
    <x v="7"/>
    <x v="13"/>
    <s v="NO3_A1"/>
    <x v="7"/>
    <s v="GNR_RES_WTR_NOPMP_MC-02"/>
    <x v="0"/>
    <x v="22"/>
    <n v="282.146513660349"/>
    <n v="102983.477486027"/>
    <n v="370740.51894969901"/>
  </r>
  <r>
    <x v="0"/>
    <x v="0"/>
    <x v="0"/>
    <x v="7"/>
    <x v="13"/>
    <s v="NO3_A1"/>
    <x v="7"/>
    <s v="GNR_RES_WTR_NOPMP_MC-02"/>
    <x v="0"/>
    <x v="23"/>
    <n v="282.146513660349"/>
    <n v="102983.477486027"/>
    <n v="370740.51894969901"/>
  </r>
  <r>
    <x v="0"/>
    <x v="0"/>
    <x v="0"/>
    <x v="7"/>
    <x v="13"/>
    <s v="NO3_A1"/>
    <x v="7"/>
    <s v="GNR_RES_WTR_NOPMP_MC-03"/>
    <x v="0"/>
    <x v="0"/>
    <n v="282.146513660349"/>
    <n v="102983.477486027"/>
    <n v="370740.51894969901"/>
  </r>
  <r>
    <x v="0"/>
    <x v="0"/>
    <x v="0"/>
    <x v="7"/>
    <x v="13"/>
    <s v="NO3_A1"/>
    <x v="7"/>
    <s v="GNR_RES_WTR_NOPMP_MC-03"/>
    <x v="0"/>
    <x v="1"/>
    <n v="282.146513660349"/>
    <n v="102983.477486027"/>
    <n v="370740.51894969901"/>
  </r>
  <r>
    <x v="0"/>
    <x v="0"/>
    <x v="0"/>
    <x v="7"/>
    <x v="13"/>
    <s v="NO3_A1"/>
    <x v="7"/>
    <s v="GNR_RES_WTR_NOPMP_MC-03"/>
    <x v="0"/>
    <x v="2"/>
    <n v="282.146513660349"/>
    <n v="102983.477486027"/>
    <n v="370740.51894969901"/>
  </r>
  <r>
    <x v="0"/>
    <x v="0"/>
    <x v="0"/>
    <x v="7"/>
    <x v="13"/>
    <s v="NO3_A1"/>
    <x v="7"/>
    <s v="GNR_RES_WTR_NOPMP_MC-03"/>
    <x v="0"/>
    <x v="3"/>
    <n v="282.146513660349"/>
    <n v="102983.477486027"/>
    <n v="370740.51894969901"/>
  </r>
  <r>
    <x v="0"/>
    <x v="0"/>
    <x v="0"/>
    <x v="7"/>
    <x v="13"/>
    <s v="NO3_A1"/>
    <x v="7"/>
    <s v="GNR_RES_WTR_NOPMP_MC-03"/>
    <x v="0"/>
    <x v="18"/>
    <n v="282.146513660349"/>
    <n v="102983.477486027"/>
    <n v="370740.51894969901"/>
  </r>
  <r>
    <x v="0"/>
    <x v="0"/>
    <x v="0"/>
    <x v="7"/>
    <x v="13"/>
    <s v="NO3_A1"/>
    <x v="7"/>
    <s v="GNR_RES_WTR_NOPMP_MC-03"/>
    <x v="0"/>
    <x v="4"/>
    <n v="282.146513660349"/>
    <n v="102983.477486027"/>
    <n v="370740.51894969901"/>
  </r>
  <r>
    <x v="0"/>
    <x v="0"/>
    <x v="0"/>
    <x v="7"/>
    <x v="13"/>
    <s v="NO3_A1"/>
    <x v="7"/>
    <s v="GNR_RES_WTR_NOPMP_MC-03"/>
    <x v="0"/>
    <x v="5"/>
    <n v="282.146513660349"/>
    <n v="102983.477486027"/>
    <n v="370740.51894969901"/>
  </r>
  <r>
    <x v="0"/>
    <x v="0"/>
    <x v="0"/>
    <x v="7"/>
    <x v="13"/>
    <s v="NO3_A1"/>
    <x v="7"/>
    <s v="GNR_RES_WTR_NOPMP_MC-03"/>
    <x v="0"/>
    <x v="6"/>
    <n v="282.146513660349"/>
    <n v="102983.477486027"/>
    <n v="370740.51894969901"/>
  </r>
  <r>
    <x v="0"/>
    <x v="0"/>
    <x v="0"/>
    <x v="7"/>
    <x v="13"/>
    <s v="NO3_A1"/>
    <x v="7"/>
    <s v="GNR_RES_WTR_NOPMP_MC-03"/>
    <x v="0"/>
    <x v="7"/>
    <n v="282.146513660349"/>
    <n v="102983.477486027"/>
    <n v="370740.51894969901"/>
  </r>
  <r>
    <x v="0"/>
    <x v="0"/>
    <x v="0"/>
    <x v="7"/>
    <x v="13"/>
    <s v="NO3_A1"/>
    <x v="7"/>
    <s v="GNR_RES_WTR_NOPMP_MC-03"/>
    <x v="0"/>
    <x v="8"/>
    <n v="282.146513660349"/>
    <n v="102983.477486027"/>
    <n v="370740.51894969901"/>
  </r>
  <r>
    <x v="0"/>
    <x v="0"/>
    <x v="0"/>
    <x v="7"/>
    <x v="13"/>
    <s v="NO3_A1"/>
    <x v="7"/>
    <s v="GNR_RES_WTR_NOPMP_MC-03"/>
    <x v="0"/>
    <x v="9"/>
    <n v="282.146513660349"/>
    <n v="102983.477486027"/>
    <n v="370740.51894969901"/>
  </r>
  <r>
    <x v="0"/>
    <x v="0"/>
    <x v="0"/>
    <x v="7"/>
    <x v="13"/>
    <s v="NO3_A1"/>
    <x v="7"/>
    <s v="GNR_RES_WTR_NOPMP_MC-03"/>
    <x v="0"/>
    <x v="10"/>
    <n v="282.146513660349"/>
    <n v="102983.477486027"/>
    <n v="370740.51894969901"/>
  </r>
  <r>
    <x v="0"/>
    <x v="0"/>
    <x v="0"/>
    <x v="7"/>
    <x v="13"/>
    <s v="NO3_A1"/>
    <x v="7"/>
    <s v="GNR_RES_WTR_NOPMP_MC-03"/>
    <x v="0"/>
    <x v="11"/>
    <n v="282.146513660349"/>
    <n v="102983.477486027"/>
    <n v="370740.51894969901"/>
  </r>
  <r>
    <x v="0"/>
    <x v="0"/>
    <x v="0"/>
    <x v="7"/>
    <x v="13"/>
    <s v="NO3_A1"/>
    <x v="7"/>
    <s v="GNR_RES_WTR_NOPMP_MC-03"/>
    <x v="0"/>
    <x v="12"/>
    <n v="282.146513660349"/>
    <n v="102983.477486027"/>
    <n v="370740.51894969901"/>
  </r>
  <r>
    <x v="0"/>
    <x v="0"/>
    <x v="0"/>
    <x v="7"/>
    <x v="13"/>
    <s v="NO3_A1"/>
    <x v="7"/>
    <s v="GNR_RES_WTR_NOPMP_MC-03"/>
    <x v="0"/>
    <x v="13"/>
    <n v="282.146513660349"/>
    <n v="102983.477486027"/>
    <n v="370740.51894969901"/>
  </r>
  <r>
    <x v="0"/>
    <x v="0"/>
    <x v="0"/>
    <x v="7"/>
    <x v="13"/>
    <s v="NO3_A1"/>
    <x v="7"/>
    <s v="GNR_RES_WTR_NOPMP_MC-03"/>
    <x v="0"/>
    <x v="14"/>
    <n v="282.146513660349"/>
    <n v="102983.477486027"/>
    <n v="370740.51894969901"/>
  </r>
  <r>
    <x v="0"/>
    <x v="0"/>
    <x v="0"/>
    <x v="7"/>
    <x v="13"/>
    <s v="NO3_A1"/>
    <x v="7"/>
    <s v="GNR_RES_WTR_NOPMP_MC-03"/>
    <x v="0"/>
    <x v="15"/>
    <n v="282.146513660349"/>
    <n v="102983.477486027"/>
    <n v="370740.51894969901"/>
  </r>
  <r>
    <x v="0"/>
    <x v="0"/>
    <x v="0"/>
    <x v="7"/>
    <x v="13"/>
    <s v="NO3_A1"/>
    <x v="7"/>
    <s v="GNR_RES_WTR_NOPMP_MC-03"/>
    <x v="0"/>
    <x v="16"/>
    <n v="282.146513660349"/>
    <n v="102983.477486027"/>
    <n v="370740.51894969901"/>
  </r>
  <r>
    <x v="0"/>
    <x v="0"/>
    <x v="0"/>
    <x v="7"/>
    <x v="13"/>
    <s v="NO3_A1"/>
    <x v="7"/>
    <s v="GNR_RES_WTR_NOPMP_MC-03"/>
    <x v="0"/>
    <x v="17"/>
    <n v="282.146513660349"/>
    <n v="102983.477486027"/>
    <n v="370740.51894969901"/>
  </r>
  <r>
    <x v="0"/>
    <x v="0"/>
    <x v="0"/>
    <x v="7"/>
    <x v="13"/>
    <s v="NO3_A1"/>
    <x v="7"/>
    <s v="GNR_RES_WTR_NOPMP_MC-03"/>
    <x v="0"/>
    <x v="19"/>
    <n v="282.146513660349"/>
    <n v="102983.477486027"/>
    <n v="370740.51894969901"/>
  </r>
  <r>
    <x v="0"/>
    <x v="0"/>
    <x v="0"/>
    <x v="7"/>
    <x v="13"/>
    <s v="NO3_A1"/>
    <x v="7"/>
    <s v="GNR_RES_WTR_NOPMP_MC-03"/>
    <x v="0"/>
    <x v="20"/>
    <n v="282.146513660349"/>
    <n v="102983.477486027"/>
    <n v="370740.51894969901"/>
  </r>
  <r>
    <x v="0"/>
    <x v="0"/>
    <x v="0"/>
    <x v="7"/>
    <x v="13"/>
    <s v="NO3_A1"/>
    <x v="7"/>
    <s v="GNR_RES_WTR_NOPMP_MC-03"/>
    <x v="0"/>
    <x v="21"/>
    <n v="282.146513660349"/>
    <n v="102983.477486027"/>
    <n v="370740.51894969901"/>
  </r>
  <r>
    <x v="0"/>
    <x v="0"/>
    <x v="0"/>
    <x v="7"/>
    <x v="13"/>
    <s v="NO3_A1"/>
    <x v="7"/>
    <s v="GNR_RES_WTR_NOPMP_MC-03"/>
    <x v="0"/>
    <x v="22"/>
    <n v="282.146513660349"/>
    <n v="102983.477486027"/>
    <n v="370740.51894969901"/>
  </r>
  <r>
    <x v="0"/>
    <x v="0"/>
    <x v="0"/>
    <x v="7"/>
    <x v="13"/>
    <s v="NO3_A1"/>
    <x v="7"/>
    <s v="GNR_RES_WTR_NOPMP_MC-03"/>
    <x v="0"/>
    <x v="23"/>
    <n v="282.146513660349"/>
    <n v="102983.477486027"/>
    <n v="370740.51894969901"/>
  </r>
  <r>
    <x v="0"/>
    <x v="0"/>
    <x v="0"/>
    <x v="7"/>
    <x v="13"/>
    <s v="NO3_A1"/>
    <x v="7"/>
    <s v="GNR_RES_WTR_NOPMP_MC-04"/>
    <x v="0"/>
    <x v="0"/>
    <n v="282.146513660349"/>
    <n v="102983.477486027"/>
    <n v="370740.51894969901"/>
  </r>
  <r>
    <x v="0"/>
    <x v="0"/>
    <x v="0"/>
    <x v="7"/>
    <x v="13"/>
    <s v="NO3_A1"/>
    <x v="7"/>
    <s v="GNR_RES_WTR_NOPMP_MC-04"/>
    <x v="0"/>
    <x v="1"/>
    <n v="282.146513660349"/>
    <n v="102983.477486027"/>
    <n v="370740.51894969901"/>
  </r>
  <r>
    <x v="0"/>
    <x v="0"/>
    <x v="0"/>
    <x v="7"/>
    <x v="13"/>
    <s v="NO3_A1"/>
    <x v="7"/>
    <s v="GNR_RES_WTR_NOPMP_MC-04"/>
    <x v="0"/>
    <x v="2"/>
    <n v="282.146513660349"/>
    <n v="102983.477486027"/>
    <n v="370740.51894969901"/>
  </r>
  <r>
    <x v="0"/>
    <x v="0"/>
    <x v="0"/>
    <x v="7"/>
    <x v="13"/>
    <s v="NO3_A1"/>
    <x v="7"/>
    <s v="GNR_RES_WTR_NOPMP_MC-04"/>
    <x v="0"/>
    <x v="3"/>
    <n v="282.146513660349"/>
    <n v="102983.477486027"/>
    <n v="370740.51894969901"/>
  </r>
  <r>
    <x v="0"/>
    <x v="0"/>
    <x v="0"/>
    <x v="7"/>
    <x v="13"/>
    <s v="NO3_A1"/>
    <x v="7"/>
    <s v="GNR_RES_WTR_NOPMP_MC-04"/>
    <x v="0"/>
    <x v="18"/>
    <n v="282.146513660349"/>
    <n v="102983.477486027"/>
    <n v="370740.51894969901"/>
  </r>
  <r>
    <x v="0"/>
    <x v="0"/>
    <x v="0"/>
    <x v="7"/>
    <x v="13"/>
    <s v="NO3_A1"/>
    <x v="7"/>
    <s v="GNR_RES_WTR_NOPMP_MC-04"/>
    <x v="0"/>
    <x v="4"/>
    <n v="282.146513660349"/>
    <n v="102983.477486027"/>
    <n v="370740.51894969901"/>
  </r>
  <r>
    <x v="0"/>
    <x v="0"/>
    <x v="0"/>
    <x v="7"/>
    <x v="13"/>
    <s v="NO3_A1"/>
    <x v="7"/>
    <s v="GNR_RES_WTR_NOPMP_MC-04"/>
    <x v="0"/>
    <x v="5"/>
    <n v="282.146513660349"/>
    <n v="102983.477486027"/>
    <n v="370740.51894969901"/>
  </r>
  <r>
    <x v="0"/>
    <x v="0"/>
    <x v="0"/>
    <x v="7"/>
    <x v="13"/>
    <s v="NO3_A1"/>
    <x v="7"/>
    <s v="GNR_RES_WTR_NOPMP_MC-04"/>
    <x v="0"/>
    <x v="6"/>
    <n v="282.146513660349"/>
    <n v="102983.477486027"/>
    <n v="370740.51894969901"/>
  </r>
  <r>
    <x v="0"/>
    <x v="0"/>
    <x v="0"/>
    <x v="7"/>
    <x v="13"/>
    <s v="NO3_A1"/>
    <x v="7"/>
    <s v="GNR_RES_WTR_NOPMP_MC-04"/>
    <x v="0"/>
    <x v="7"/>
    <n v="282.146513660349"/>
    <n v="102983.477486027"/>
    <n v="370740.51894969901"/>
  </r>
  <r>
    <x v="0"/>
    <x v="0"/>
    <x v="0"/>
    <x v="7"/>
    <x v="13"/>
    <s v="NO3_A1"/>
    <x v="7"/>
    <s v="GNR_RES_WTR_NOPMP_MC-04"/>
    <x v="0"/>
    <x v="8"/>
    <n v="282.146513660349"/>
    <n v="102983.477486027"/>
    <n v="370740.51894969901"/>
  </r>
  <r>
    <x v="0"/>
    <x v="0"/>
    <x v="0"/>
    <x v="7"/>
    <x v="13"/>
    <s v="NO3_A1"/>
    <x v="7"/>
    <s v="GNR_RES_WTR_NOPMP_MC-04"/>
    <x v="0"/>
    <x v="9"/>
    <n v="282.146513660349"/>
    <n v="102983.477486027"/>
    <n v="370740.51894969901"/>
  </r>
  <r>
    <x v="0"/>
    <x v="0"/>
    <x v="0"/>
    <x v="7"/>
    <x v="13"/>
    <s v="NO3_A1"/>
    <x v="7"/>
    <s v="GNR_RES_WTR_NOPMP_MC-04"/>
    <x v="0"/>
    <x v="10"/>
    <n v="282.146513660349"/>
    <n v="102983.477486027"/>
    <n v="370740.51894969901"/>
  </r>
  <r>
    <x v="0"/>
    <x v="0"/>
    <x v="0"/>
    <x v="7"/>
    <x v="13"/>
    <s v="NO3_A1"/>
    <x v="7"/>
    <s v="GNR_RES_WTR_NOPMP_MC-04"/>
    <x v="0"/>
    <x v="11"/>
    <n v="282.146513660349"/>
    <n v="102983.477486027"/>
    <n v="370740.51894969901"/>
  </r>
  <r>
    <x v="0"/>
    <x v="0"/>
    <x v="0"/>
    <x v="7"/>
    <x v="13"/>
    <s v="NO3_A1"/>
    <x v="7"/>
    <s v="GNR_RES_WTR_NOPMP_MC-04"/>
    <x v="0"/>
    <x v="12"/>
    <n v="282.146513660349"/>
    <n v="102983.477486027"/>
    <n v="370740.51894969901"/>
  </r>
  <r>
    <x v="0"/>
    <x v="0"/>
    <x v="0"/>
    <x v="7"/>
    <x v="13"/>
    <s v="NO3_A1"/>
    <x v="7"/>
    <s v="GNR_RES_WTR_NOPMP_MC-04"/>
    <x v="0"/>
    <x v="13"/>
    <n v="282.146513660349"/>
    <n v="102983.477486027"/>
    <n v="370740.51894969901"/>
  </r>
  <r>
    <x v="0"/>
    <x v="0"/>
    <x v="0"/>
    <x v="7"/>
    <x v="13"/>
    <s v="NO3_A1"/>
    <x v="7"/>
    <s v="GNR_RES_WTR_NOPMP_MC-04"/>
    <x v="0"/>
    <x v="14"/>
    <n v="282.146513660349"/>
    <n v="102983.477486027"/>
    <n v="370740.51894969901"/>
  </r>
  <r>
    <x v="0"/>
    <x v="0"/>
    <x v="0"/>
    <x v="7"/>
    <x v="13"/>
    <s v="NO3_A1"/>
    <x v="7"/>
    <s v="GNR_RES_WTR_NOPMP_MC-04"/>
    <x v="0"/>
    <x v="15"/>
    <n v="282.146513660349"/>
    <n v="102983.477486027"/>
    <n v="370740.51894969901"/>
  </r>
  <r>
    <x v="0"/>
    <x v="0"/>
    <x v="0"/>
    <x v="7"/>
    <x v="13"/>
    <s v="NO3_A1"/>
    <x v="7"/>
    <s v="GNR_RES_WTR_NOPMP_MC-04"/>
    <x v="0"/>
    <x v="16"/>
    <n v="282.146513660349"/>
    <n v="102983.477486027"/>
    <n v="370740.51894969901"/>
  </r>
  <r>
    <x v="0"/>
    <x v="0"/>
    <x v="0"/>
    <x v="7"/>
    <x v="13"/>
    <s v="NO3_A1"/>
    <x v="7"/>
    <s v="GNR_RES_WTR_NOPMP_MC-04"/>
    <x v="0"/>
    <x v="17"/>
    <n v="282.146513660349"/>
    <n v="102983.477486027"/>
    <n v="370740.51894969901"/>
  </r>
  <r>
    <x v="0"/>
    <x v="0"/>
    <x v="0"/>
    <x v="7"/>
    <x v="13"/>
    <s v="NO3_A1"/>
    <x v="7"/>
    <s v="GNR_RES_WTR_NOPMP_MC-04"/>
    <x v="0"/>
    <x v="19"/>
    <n v="282.146513660349"/>
    <n v="102983.477486027"/>
    <n v="370740.51894969901"/>
  </r>
  <r>
    <x v="0"/>
    <x v="0"/>
    <x v="0"/>
    <x v="7"/>
    <x v="13"/>
    <s v="NO3_A1"/>
    <x v="7"/>
    <s v="GNR_RES_WTR_NOPMP_MC-04"/>
    <x v="0"/>
    <x v="20"/>
    <n v="282.146513660349"/>
    <n v="102983.477486027"/>
    <n v="370740.51894969901"/>
  </r>
  <r>
    <x v="0"/>
    <x v="0"/>
    <x v="0"/>
    <x v="7"/>
    <x v="13"/>
    <s v="NO3_A1"/>
    <x v="7"/>
    <s v="GNR_RES_WTR_NOPMP_MC-04"/>
    <x v="0"/>
    <x v="21"/>
    <n v="282.146513660349"/>
    <n v="102983.477486027"/>
    <n v="370740.51894969901"/>
  </r>
  <r>
    <x v="0"/>
    <x v="0"/>
    <x v="0"/>
    <x v="7"/>
    <x v="13"/>
    <s v="NO3_A1"/>
    <x v="7"/>
    <s v="GNR_RES_WTR_NOPMP_MC-04"/>
    <x v="0"/>
    <x v="22"/>
    <n v="282.146513660349"/>
    <n v="102983.477486027"/>
    <n v="370740.51894969901"/>
  </r>
  <r>
    <x v="0"/>
    <x v="0"/>
    <x v="0"/>
    <x v="7"/>
    <x v="13"/>
    <s v="NO3_A1"/>
    <x v="7"/>
    <s v="GNR_RES_WTR_NOPMP_MC-05"/>
    <x v="0"/>
    <x v="5"/>
    <n v="282.146513660349"/>
    <n v="102983.477486027"/>
    <n v="370740.51894969901"/>
  </r>
  <r>
    <x v="0"/>
    <x v="0"/>
    <x v="0"/>
    <x v="7"/>
    <x v="13"/>
    <s v="NO3_A1"/>
    <x v="7"/>
    <s v="GNR_RES_WTR_NOPMP_MC-05"/>
    <x v="0"/>
    <x v="6"/>
    <n v="282.146513660349"/>
    <n v="102983.477486027"/>
    <n v="370740.51894969901"/>
  </r>
  <r>
    <x v="0"/>
    <x v="0"/>
    <x v="0"/>
    <x v="7"/>
    <x v="13"/>
    <s v="NO3_A1"/>
    <x v="7"/>
    <s v="GNR_RES_WTR_NOPMP_MC-05"/>
    <x v="0"/>
    <x v="7"/>
    <n v="282.146513660349"/>
    <n v="102983.477486027"/>
    <n v="370740.51894969901"/>
  </r>
  <r>
    <x v="0"/>
    <x v="0"/>
    <x v="0"/>
    <x v="7"/>
    <x v="13"/>
    <s v="NO3_A1"/>
    <x v="7"/>
    <s v="GNR_RES_WTR_NOPMP_MC-05"/>
    <x v="0"/>
    <x v="8"/>
    <n v="282.146513660349"/>
    <n v="102983.477486027"/>
    <n v="370740.51894969901"/>
  </r>
  <r>
    <x v="0"/>
    <x v="0"/>
    <x v="0"/>
    <x v="7"/>
    <x v="13"/>
    <s v="NO3_A1"/>
    <x v="7"/>
    <s v="GNR_RES_WTR_NOPMP_MC-05"/>
    <x v="0"/>
    <x v="9"/>
    <n v="282.146513660349"/>
    <n v="102983.477486027"/>
    <n v="370740.51894969901"/>
  </r>
  <r>
    <x v="0"/>
    <x v="0"/>
    <x v="0"/>
    <x v="7"/>
    <x v="13"/>
    <s v="NO3_A1"/>
    <x v="7"/>
    <s v="GNR_RES_WTR_NOPMP_MC-05"/>
    <x v="0"/>
    <x v="10"/>
    <n v="282.146513660349"/>
    <n v="102983.477486027"/>
    <n v="370740.51894969901"/>
  </r>
  <r>
    <x v="0"/>
    <x v="0"/>
    <x v="0"/>
    <x v="7"/>
    <x v="13"/>
    <s v="NO3_A1"/>
    <x v="7"/>
    <s v="GNR_RES_WTR_NOPMP_MC-05"/>
    <x v="0"/>
    <x v="11"/>
    <n v="282.146513660349"/>
    <n v="102983.477486027"/>
    <n v="370740.51894969901"/>
  </r>
  <r>
    <x v="0"/>
    <x v="0"/>
    <x v="0"/>
    <x v="7"/>
    <x v="13"/>
    <s v="NO3_A1"/>
    <x v="7"/>
    <s v="GNR_RES_WTR_NOPMP_MC-05"/>
    <x v="0"/>
    <x v="12"/>
    <n v="282.146513660349"/>
    <n v="102983.477486027"/>
    <n v="370740.51894969901"/>
  </r>
  <r>
    <x v="0"/>
    <x v="0"/>
    <x v="0"/>
    <x v="7"/>
    <x v="13"/>
    <s v="NO3_A1"/>
    <x v="7"/>
    <s v="GNR_RES_WTR_NOPMP_MC-05"/>
    <x v="0"/>
    <x v="13"/>
    <n v="282.146513660349"/>
    <n v="102983.477486027"/>
    <n v="370740.51894969901"/>
  </r>
  <r>
    <x v="0"/>
    <x v="0"/>
    <x v="0"/>
    <x v="7"/>
    <x v="13"/>
    <s v="NO3_A1"/>
    <x v="7"/>
    <s v="GNR_RES_WTR_NOPMP_MC-05"/>
    <x v="0"/>
    <x v="14"/>
    <n v="282.146513660349"/>
    <n v="102983.477486027"/>
    <n v="370740.51894969901"/>
  </r>
  <r>
    <x v="0"/>
    <x v="0"/>
    <x v="0"/>
    <x v="7"/>
    <x v="13"/>
    <s v="NO3_A1"/>
    <x v="7"/>
    <s v="GNR_RES_WTR_NOPMP_MC-05"/>
    <x v="0"/>
    <x v="15"/>
    <n v="282.146513660349"/>
    <n v="102983.477486027"/>
    <n v="370740.51894969901"/>
  </r>
  <r>
    <x v="0"/>
    <x v="0"/>
    <x v="0"/>
    <x v="7"/>
    <x v="13"/>
    <s v="NO3_A1"/>
    <x v="7"/>
    <s v="GNR_RES_WTR_NOPMP_MC-05"/>
    <x v="0"/>
    <x v="16"/>
    <n v="282.146513660349"/>
    <n v="102983.477486027"/>
    <n v="370740.51894969901"/>
  </r>
  <r>
    <x v="0"/>
    <x v="0"/>
    <x v="0"/>
    <x v="7"/>
    <x v="13"/>
    <s v="NO3_A1"/>
    <x v="7"/>
    <s v="GNR_RES_WTR_NOPMP_MC-05"/>
    <x v="0"/>
    <x v="17"/>
    <n v="282.146513660349"/>
    <n v="102983.477486027"/>
    <n v="370740.51894969901"/>
  </r>
  <r>
    <x v="0"/>
    <x v="0"/>
    <x v="0"/>
    <x v="7"/>
    <x v="13"/>
    <s v="NO3_A1"/>
    <x v="7"/>
    <s v="GNR_RES_WTR_NOPMP_MC-05"/>
    <x v="0"/>
    <x v="19"/>
    <n v="282.146513660349"/>
    <n v="102983.477486027"/>
    <n v="370740.51894969901"/>
  </r>
  <r>
    <x v="0"/>
    <x v="0"/>
    <x v="0"/>
    <x v="7"/>
    <x v="13"/>
    <s v="NO3_A1"/>
    <x v="7"/>
    <s v="GNR_RES_WTR_NOPMP_MC-05"/>
    <x v="0"/>
    <x v="20"/>
    <n v="282.146513660349"/>
    <n v="102983.477486027"/>
    <n v="370740.51894969901"/>
  </r>
  <r>
    <x v="0"/>
    <x v="0"/>
    <x v="0"/>
    <x v="7"/>
    <x v="13"/>
    <s v="NO3_A1"/>
    <x v="7"/>
    <s v="GNR_RES_WTR_NOPMP_MC-05"/>
    <x v="0"/>
    <x v="21"/>
    <n v="282.146513660349"/>
    <n v="102983.477486027"/>
    <n v="370740.51894969901"/>
  </r>
  <r>
    <x v="0"/>
    <x v="0"/>
    <x v="0"/>
    <x v="7"/>
    <x v="13"/>
    <s v="NO3_A1"/>
    <x v="7"/>
    <s v="GNR_RES_WTR_NOPMP_MC-06"/>
    <x v="0"/>
    <x v="6"/>
    <n v="282.146513660349"/>
    <n v="102983.477486027"/>
    <n v="370740.51894969901"/>
  </r>
  <r>
    <x v="0"/>
    <x v="0"/>
    <x v="0"/>
    <x v="7"/>
    <x v="13"/>
    <s v="NO3_A1"/>
    <x v="7"/>
    <s v="GNR_RES_WTR_NOPMP_MC-06"/>
    <x v="0"/>
    <x v="7"/>
    <n v="282.146513660349"/>
    <n v="102983.477486027"/>
    <n v="370740.51894969901"/>
  </r>
  <r>
    <x v="0"/>
    <x v="0"/>
    <x v="0"/>
    <x v="7"/>
    <x v="13"/>
    <s v="NO3_A1"/>
    <x v="7"/>
    <s v="GNR_RES_WTR_NOPMP_MC-06"/>
    <x v="0"/>
    <x v="8"/>
    <n v="282.146513660349"/>
    <n v="102983.477486027"/>
    <n v="370740.51894969901"/>
  </r>
  <r>
    <x v="0"/>
    <x v="0"/>
    <x v="0"/>
    <x v="7"/>
    <x v="13"/>
    <s v="NO3_A1"/>
    <x v="7"/>
    <s v="GNR_RES_WTR_NOPMP_MC-06"/>
    <x v="0"/>
    <x v="9"/>
    <n v="282.146513660349"/>
    <n v="102983.477486027"/>
    <n v="370740.51894969901"/>
  </r>
  <r>
    <x v="0"/>
    <x v="0"/>
    <x v="0"/>
    <x v="7"/>
    <x v="13"/>
    <s v="NO3_A1"/>
    <x v="7"/>
    <s v="GNR_RES_WTR_NOPMP_MC-06"/>
    <x v="0"/>
    <x v="10"/>
    <n v="282.146513660349"/>
    <n v="102983.477486027"/>
    <n v="370740.51894969901"/>
  </r>
  <r>
    <x v="0"/>
    <x v="0"/>
    <x v="0"/>
    <x v="7"/>
    <x v="13"/>
    <s v="NO3_A1"/>
    <x v="7"/>
    <s v="GNR_RES_WTR_NOPMP_MC-06"/>
    <x v="0"/>
    <x v="12"/>
    <n v="282.146513660349"/>
    <n v="102983.477486027"/>
    <n v="370740.51894969901"/>
  </r>
  <r>
    <x v="0"/>
    <x v="0"/>
    <x v="0"/>
    <x v="7"/>
    <x v="13"/>
    <s v="NO3_A1"/>
    <x v="7"/>
    <s v="GNR_RES_WTR_NOPMP_MC-06"/>
    <x v="0"/>
    <x v="13"/>
    <n v="282.146513660349"/>
    <n v="102983.477486027"/>
    <n v="370740.51894969901"/>
  </r>
  <r>
    <x v="0"/>
    <x v="0"/>
    <x v="0"/>
    <x v="7"/>
    <x v="13"/>
    <s v="NO3_A1"/>
    <x v="7"/>
    <s v="GNR_RES_WTR_NOPMP_MC-06"/>
    <x v="0"/>
    <x v="14"/>
    <n v="48.916455128279203"/>
    <n v="17854.506121821902"/>
    <n v="64276.222038558801"/>
  </r>
  <r>
    <x v="0"/>
    <x v="0"/>
    <x v="0"/>
    <x v="7"/>
    <x v="13"/>
    <s v="NO3_A1"/>
    <x v="7"/>
    <s v="GNR_RES_WTR_NOPMP_MC-06"/>
    <x v="0"/>
    <x v="15"/>
    <n v="282.146513660349"/>
    <n v="102983.477486027"/>
    <n v="370740.51894969901"/>
  </r>
  <r>
    <x v="0"/>
    <x v="0"/>
    <x v="0"/>
    <x v="7"/>
    <x v="13"/>
    <s v="NO3_A1"/>
    <x v="7"/>
    <s v="GNR_RES_WTR_NOPMP_MC-06"/>
    <x v="0"/>
    <x v="16"/>
    <n v="282.146513660349"/>
    <n v="102983.477486027"/>
    <n v="370740.51894969901"/>
  </r>
  <r>
    <x v="0"/>
    <x v="0"/>
    <x v="0"/>
    <x v="7"/>
    <x v="13"/>
    <s v="NO3_A1"/>
    <x v="7"/>
    <s v="GNR_RES_WTR_NOPMP_MC-07"/>
    <x v="0"/>
    <x v="6"/>
    <n v="64.161167465926496"/>
    <n v="23418.826125063199"/>
    <n v="84307.774050227395"/>
  </r>
  <r>
    <x v="0"/>
    <x v="0"/>
    <x v="0"/>
    <x v="7"/>
    <x v="13"/>
    <s v="NO3_A1"/>
    <x v="7"/>
    <s v="GNR_RES_WTR_NOPMP_MC-07"/>
    <x v="0"/>
    <x v="7"/>
    <n v="282.146513660349"/>
    <n v="102983.477486027"/>
    <n v="370740.51894969901"/>
  </r>
  <r>
    <x v="0"/>
    <x v="0"/>
    <x v="0"/>
    <x v="7"/>
    <x v="13"/>
    <s v="NO3_A1"/>
    <x v="7"/>
    <s v="GNR_RES_WTR_NOPMP_MC-07"/>
    <x v="0"/>
    <x v="8"/>
    <n v="79.287099823364898"/>
    <n v="28939.791435528201"/>
    <n v="104183.249167901"/>
  </r>
  <r>
    <x v="0"/>
    <x v="0"/>
    <x v="0"/>
    <x v="7"/>
    <x v="13"/>
    <s v="NO3_A1"/>
    <x v="7"/>
    <s v="GNR_RES_WTR_PMP_MC-01"/>
    <x v="0"/>
    <x v="0"/>
    <n v="60.3"/>
    <n v="22009.5"/>
    <n v="79234.2"/>
  </r>
  <r>
    <x v="0"/>
    <x v="0"/>
    <x v="0"/>
    <x v="7"/>
    <x v="13"/>
    <s v="NO3_A1"/>
    <x v="7"/>
    <s v="GNR_RES_WTR_PMP_MC-01"/>
    <x v="0"/>
    <x v="1"/>
    <n v="60.3"/>
    <n v="22009.5"/>
    <n v="79234.2"/>
  </r>
  <r>
    <x v="0"/>
    <x v="0"/>
    <x v="0"/>
    <x v="7"/>
    <x v="13"/>
    <s v="NO3_A1"/>
    <x v="7"/>
    <s v="GNR_RES_WTR_PMP_MC-01"/>
    <x v="0"/>
    <x v="2"/>
    <n v="60.3"/>
    <n v="22009.5"/>
    <n v="79234.2"/>
  </r>
  <r>
    <x v="0"/>
    <x v="0"/>
    <x v="0"/>
    <x v="7"/>
    <x v="13"/>
    <s v="NO3_A1"/>
    <x v="7"/>
    <s v="GNR_RES_WTR_PMP_MC-01"/>
    <x v="0"/>
    <x v="3"/>
    <n v="60.3"/>
    <n v="22009.5"/>
    <n v="79234.2"/>
  </r>
  <r>
    <x v="0"/>
    <x v="0"/>
    <x v="0"/>
    <x v="7"/>
    <x v="13"/>
    <s v="NO3_A1"/>
    <x v="7"/>
    <s v="GNR_RES_WTR_PMP_MC-01"/>
    <x v="0"/>
    <x v="18"/>
    <n v="60.3"/>
    <n v="22009.5"/>
    <n v="79234.2"/>
  </r>
  <r>
    <x v="0"/>
    <x v="0"/>
    <x v="0"/>
    <x v="7"/>
    <x v="13"/>
    <s v="NO3_A1"/>
    <x v="7"/>
    <s v="GNR_RES_WTR_PMP_MC-01"/>
    <x v="0"/>
    <x v="4"/>
    <n v="60.3"/>
    <n v="22009.5"/>
    <n v="79234.2"/>
  </r>
  <r>
    <x v="0"/>
    <x v="0"/>
    <x v="0"/>
    <x v="7"/>
    <x v="13"/>
    <s v="NO3_A1"/>
    <x v="7"/>
    <s v="GNR_RES_WTR_PMP_MC-01"/>
    <x v="0"/>
    <x v="5"/>
    <n v="60.3"/>
    <n v="22009.5"/>
    <n v="79234.2"/>
  </r>
  <r>
    <x v="0"/>
    <x v="0"/>
    <x v="0"/>
    <x v="7"/>
    <x v="13"/>
    <s v="NO3_A1"/>
    <x v="7"/>
    <s v="GNR_RES_WTR_PMP_MC-01"/>
    <x v="0"/>
    <x v="6"/>
    <n v="60.3"/>
    <n v="22009.5"/>
    <n v="79234.2"/>
  </r>
  <r>
    <x v="0"/>
    <x v="0"/>
    <x v="0"/>
    <x v="7"/>
    <x v="13"/>
    <s v="NO3_A1"/>
    <x v="7"/>
    <s v="GNR_RES_WTR_PMP_MC-01"/>
    <x v="0"/>
    <x v="7"/>
    <n v="60.3"/>
    <n v="22009.5"/>
    <n v="79234.2"/>
  </r>
  <r>
    <x v="0"/>
    <x v="0"/>
    <x v="0"/>
    <x v="7"/>
    <x v="13"/>
    <s v="NO3_A1"/>
    <x v="7"/>
    <s v="GNR_RES_WTR_PMP_MC-01"/>
    <x v="0"/>
    <x v="8"/>
    <n v="60.3"/>
    <n v="22009.5"/>
    <n v="79234.2"/>
  </r>
  <r>
    <x v="0"/>
    <x v="0"/>
    <x v="0"/>
    <x v="7"/>
    <x v="13"/>
    <s v="NO3_A1"/>
    <x v="7"/>
    <s v="GNR_RES_WTR_PMP_MC-01"/>
    <x v="0"/>
    <x v="9"/>
    <n v="60.3"/>
    <n v="22009.5"/>
    <n v="79234.2"/>
  </r>
  <r>
    <x v="0"/>
    <x v="0"/>
    <x v="0"/>
    <x v="7"/>
    <x v="13"/>
    <s v="NO3_A1"/>
    <x v="7"/>
    <s v="GNR_RES_WTR_PMP_MC-01"/>
    <x v="0"/>
    <x v="10"/>
    <n v="60.3"/>
    <n v="22009.5"/>
    <n v="79234.2"/>
  </r>
  <r>
    <x v="0"/>
    <x v="0"/>
    <x v="0"/>
    <x v="7"/>
    <x v="13"/>
    <s v="NO3_A1"/>
    <x v="7"/>
    <s v="GNR_RES_WTR_PMP_MC-01"/>
    <x v="0"/>
    <x v="11"/>
    <n v="60.3"/>
    <n v="22009.5"/>
    <n v="79234.2"/>
  </r>
  <r>
    <x v="0"/>
    <x v="0"/>
    <x v="0"/>
    <x v="7"/>
    <x v="13"/>
    <s v="NO3_A1"/>
    <x v="7"/>
    <s v="GNR_RES_WTR_PMP_MC-01"/>
    <x v="0"/>
    <x v="12"/>
    <n v="60.3"/>
    <n v="22009.5"/>
    <n v="79234.2"/>
  </r>
  <r>
    <x v="0"/>
    <x v="0"/>
    <x v="0"/>
    <x v="7"/>
    <x v="13"/>
    <s v="NO3_A1"/>
    <x v="7"/>
    <s v="GNR_RES_WTR_PMP_MC-01"/>
    <x v="0"/>
    <x v="13"/>
    <n v="60.3"/>
    <n v="22009.5"/>
    <n v="79234.2"/>
  </r>
  <r>
    <x v="0"/>
    <x v="0"/>
    <x v="0"/>
    <x v="7"/>
    <x v="13"/>
    <s v="NO3_A1"/>
    <x v="7"/>
    <s v="GNR_RES_WTR_PMP_MC-01"/>
    <x v="0"/>
    <x v="14"/>
    <n v="60.3"/>
    <n v="22009.5"/>
    <n v="79234.2"/>
  </r>
  <r>
    <x v="0"/>
    <x v="0"/>
    <x v="0"/>
    <x v="7"/>
    <x v="13"/>
    <s v="NO3_A1"/>
    <x v="7"/>
    <s v="GNR_RES_WTR_PMP_MC-01"/>
    <x v="0"/>
    <x v="15"/>
    <n v="60.3"/>
    <n v="22009.5"/>
    <n v="79234.2"/>
  </r>
  <r>
    <x v="0"/>
    <x v="0"/>
    <x v="0"/>
    <x v="7"/>
    <x v="13"/>
    <s v="NO3_A1"/>
    <x v="7"/>
    <s v="GNR_RES_WTR_PMP_MC-01"/>
    <x v="0"/>
    <x v="16"/>
    <n v="60.3"/>
    <n v="22009.5"/>
    <n v="79234.2"/>
  </r>
  <r>
    <x v="0"/>
    <x v="0"/>
    <x v="0"/>
    <x v="7"/>
    <x v="13"/>
    <s v="NO3_A1"/>
    <x v="7"/>
    <s v="GNR_RES_WTR_PMP_MC-01"/>
    <x v="0"/>
    <x v="17"/>
    <n v="60.3"/>
    <n v="22009.5"/>
    <n v="79234.2"/>
  </r>
  <r>
    <x v="0"/>
    <x v="0"/>
    <x v="0"/>
    <x v="7"/>
    <x v="13"/>
    <s v="NO3_A1"/>
    <x v="7"/>
    <s v="GNR_RES_WTR_PMP_MC-01"/>
    <x v="0"/>
    <x v="19"/>
    <n v="60.3"/>
    <n v="22009.5"/>
    <n v="79234.2"/>
  </r>
  <r>
    <x v="0"/>
    <x v="0"/>
    <x v="0"/>
    <x v="7"/>
    <x v="13"/>
    <s v="NO3_A1"/>
    <x v="7"/>
    <s v="GNR_RES_WTR_PMP_MC-01"/>
    <x v="0"/>
    <x v="20"/>
    <n v="60.3"/>
    <n v="22009.5"/>
    <n v="79234.2"/>
  </r>
  <r>
    <x v="0"/>
    <x v="0"/>
    <x v="0"/>
    <x v="7"/>
    <x v="13"/>
    <s v="NO3_A1"/>
    <x v="7"/>
    <s v="GNR_RES_WTR_PMP_MC-01"/>
    <x v="0"/>
    <x v="21"/>
    <n v="60.3"/>
    <n v="22009.5"/>
    <n v="79234.2"/>
  </r>
  <r>
    <x v="0"/>
    <x v="0"/>
    <x v="0"/>
    <x v="7"/>
    <x v="13"/>
    <s v="NO3_A1"/>
    <x v="7"/>
    <s v="GNR_RES_WTR_PMP_MC-01"/>
    <x v="0"/>
    <x v="22"/>
    <n v="60.3"/>
    <n v="22009.5"/>
    <n v="79234.2"/>
  </r>
  <r>
    <x v="0"/>
    <x v="0"/>
    <x v="0"/>
    <x v="7"/>
    <x v="13"/>
    <s v="NO3_A1"/>
    <x v="7"/>
    <s v="GNR_RES_WTR_PMP_MC-01"/>
    <x v="0"/>
    <x v="23"/>
    <n v="60.3"/>
    <n v="22009.5"/>
    <n v="79234.2"/>
  </r>
  <r>
    <x v="0"/>
    <x v="0"/>
    <x v="0"/>
    <x v="7"/>
    <x v="13"/>
    <s v="NO3_A1"/>
    <x v="7"/>
    <s v="GNR_ROR_WTR"/>
    <x v="0"/>
    <x v="0"/>
    <n v="688.97059999822602"/>
    <n v="251474.268999352"/>
    <n v="905307.36839766905"/>
  </r>
  <r>
    <x v="0"/>
    <x v="0"/>
    <x v="0"/>
    <x v="7"/>
    <x v="13"/>
    <s v="NO3_A1"/>
    <x v="7"/>
    <s v="GNR_ROR_WTR"/>
    <x v="0"/>
    <x v="1"/>
    <n v="688.97059999822602"/>
    <n v="251474.268999352"/>
    <n v="905307.36839766905"/>
  </r>
  <r>
    <x v="0"/>
    <x v="0"/>
    <x v="0"/>
    <x v="7"/>
    <x v="13"/>
    <s v="NO3_A1"/>
    <x v="7"/>
    <s v="GNR_ROR_WTR"/>
    <x v="0"/>
    <x v="2"/>
    <n v="688.97059999822602"/>
    <n v="251474.268999352"/>
    <n v="905307.36839766905"/>
  </r>
  <r>
    <x v="0"/>
    <x v="0"/>
    <x v="0"/>
    <x v="7"/>
    <x v="13"/>
    <s v="NO3_A1"/>
    <x v="7"/>
    <s v="GNR_ROR_WTR"/>
    <x v="0"/>
    <x v="3"/>
    <n v="688.97059999822602"/>
    <n v="251474.268999352"/>
    <n v="905307.36839766905"/>
  </r>
  <r>
    <x v="0"/>
    <x v="0"/>
    <x v="0"/>
    <x v="7"/>
    <x v="13"/>
    <s v="NO3_A1"/>
    <x v="7"/>
    <s v="GNR_ROR_WTR"/>
    <x v="0"/>
    <x v="18"/>
    <n v="688.97059999822602"/>
    <n v="251474.268999352"/>
    <n v="905307.36839766905"/>
  </r>
  <r>
    <x v="0"/>
    <x v="0"/>
    <x v="0"/>
    <x v="7"/>
    <x v="13"/>
    <s v="NO3_A1"/>
    <x v="7"/>
    <s v="GNR_ROR_WTR"/>
    <x v="0"/>
    <x v="4"/>
    <n v="688.97059999822602"/>
    <n v="251474.268999352"/>
    <n v="905307.36839766905"/>
  </r>
  <r>
    <x v="0"/>
    <x v="0"/>
    <x v="0"/>
    <x v="7"/>
    <x v="13"/>
    <s v="NO3_A1"/>
    <x v="7"/>
    <s v="GNR_ROR_WTR"/>
    <x v="0"/>
    <x v="5"/>
    <n v="688.97059999822602"/>
    <n v="251474.268999352"/>
    <n v="905307.36839766905"/>
  </r>
  <r>
    <x v="0"/>
    <x v="0"/>
    <x v="0"/>
    <x v="7"/>
    <x v="13"/>
    <s v="NO3_A1"/>
    <x v="7"/>
    <s v="GNR_ROR_WTR"/>
    <x v="0"/>
    <x v="6"/>
    <n v="688.97059999822602"/>
    <n v="251474.268999352"/>
    <n v="905307.36839766905"/>
  </r>
  <r>
    <x v="0"/>
    <x v="0"/>
    <x v="0"/>
    <x v="7"/>
    <x v="13"/>
    <s v="NO3_A1"/>
    <x v="7"/>
    <s v="GNR_ROR_WTR"/>
    <x v="0"/>
    <x v="7"/>
    <n v="688.97059999822602"/>
    <n v="251474.268999352"/>
    <n v="905307.36839766905"/>
  </r>
  <r>
    <x v="0"/>
    <x v="0"/>
    <x v="0"/>
    <x v="7"/>
    <x v="13"/>
    <s v="NO3_A1"/>
    <x v="7"/>
    <s v="GNR_ROR_WTR"/>
    <x v="0"/>
    <x v="8"/>
    <n v="688.97059999822602"/>
    <n v="251474.268999352"/>
    <n v="905307.36839766905"/>
  </r>
  <r>
    <x v="0"/>
    <x v="0"/>
    <x v="0"/>
    <x v="7"/>
    <x v="13"/>
    <s v="NO3_A1"/>
    <x v="7"/>
    <s v="GNR_ROR_WTR"/>
    <x v="0"/>
    <x v="9"/>
    <n v="688.97059999822602"/>
    <n v="251474.268999352"/>
    <n v="905307.36839766905"/>
  </r>
  <r>
    <x v="0"/>
    <x v="0"/>
    <x v="0"/>
    <x v="7"/>
    <x v="13"/>
    <s v="NO3_A1"/>
    <x v="7"/>
    <s v="GNR_ROR_WTR"/>
    <x v="0"/>
    <x v="10"/>
    <n v="688.97059999822602"/>
    <n v="251474.268999352"/>
    <n v="905307.36839766905"/>
  </r>
  <r>
    <x v="0"/>
    <x v="0"/>
    <x v="0"/>
    <x v="7"/>
    <x v="13"/>
    <s v="NO3_A1"/>
    <x v="7"/>
    <s v="GNR_ROR_WTR"/>
    <x v="0"/>
    <x v="11"/>
    <n v="688.97059999822602"/>
    <n v="251474.268999352"/>
    <n v="905307.36839766905"/>
  </r>
  <r>
    <x v="0"/>
    <x v="0"/>
    <x v="0"/>
    <x v="7"/>
    <x v="13"/>
    <s v="NO3_A1"/>
    <x v="7"/>
    <s v="GNR_ROR_WTR"/>
    <x v="0"/>
    <x v="12"/>
    <n v="688.97059999822602"/>
    <n v="251474.268999352"/>
    <n v="905307.36839766905"/>
  </r>
  <r>
    <x v="0"/>
    <x v="0"/>
    <x v="0"/>
    <x v="7"/>
    <x v="13"/>
    <s v="NO3_A1"/>
    <x v="7"/>
    <s v="GNR_ROR_WTR"/>
    <x v="0"/>
    <x v="13"/>
    <n v="688.97059999822602"/>
    <n v="251474.268999352"/>
    <n v="905307.36839766905"/>
  </r>
  <r>
    <x v="0"/>
    <x v="0"/>
    <x v="0"/>
    <x v="7"/>
    <x v="13"/>
    <s v="NO3_A1"/>
    <x v="7"/>
    <s v="GNR_ROR_WTR"/>
    <x v="0"/>
    <x v="14"/>
    <n v="688.97059999822602"/>
    <n v="251474.268999352"/>
    <n v="905307.36839766905"/>
  </r>
  <r>
    <x v="0"/>
    <x v="0"/>
    <x v="0"/>
    <x v="7"/>
    <x v="13"/>
    <s v="NO3_A1"/>
    <x v="7"/>
    <s v="GNR_ROR_WTR"/>
    <x v="0"/>
    <x v="15"/>
    <n v="688.97059999822602"/>
    <n v="251474.268999352"/>
    <n v="905307.36839766905"/>
  </r>
  <r>
    <x v="0"/>
    <x v="0"/>
    <x v="0"/>
    <x v="7"/>
    <x v="13"/>
    <s v="NO3_A1"/>
    <x v="7"/>
    <s v="GNR_ROR_WTR"/>
    <x v="0"/>
    <x v="16"/>
    <n v="688.97059999822602"/>
    <n v="251474.268999352"/>
    <n v="905307.36839766905"/>
  </r>
  <r>
    <x v="0"/>
    <x v="0"/>
    <x v="0"/>
    <x v="7"/>
    <x v="13"/>
    <s v="NO3_A1"/>
    <x v="7"/>
    <s v="GNR_ROR_WTR"/>
    <x v="0"/>
    <x v="17"/>
    <n v="688.97059999822602"/>
    <n v="251474.268999352"/>
    <n v="905307.36839766905"/>
  </r>
  <r>
    <x v="0"/>
    <x v="0"/>
    <x v="0"/>
    <x v="7"/>
    <x v="13"/>
    <s v="NO3_A1"/>
    <x v="7"/>
    <s v="GNR_ROR_WTR"/>
    <x v="0"/>
    <x v="19"/>
    <n v="688.97059999822602"/>
    <n v="251474.268999352"/>
    <n v="905307.36839766905"/>
  </r>
  <r>
    <x v="0"/>
    <x v="0"/>
    <x v="0"/>
    <x v="7"/>
    <x v="13"/>
    <s v="NO3_A1"/>
    <x v="7"/>
    <s v="GNR_ROR_WTR"/>
    <x v="0"/>
    <x v="20"/>
    <n v="688.97059999822602"/>
    <n v="251474.268999352"/>
    <n v="905307.36839766905"/>
  </r>
  <r>
    <x v="0"/>
    <x v="0"/>
    <x v="0"/>
    <x v="7"/>
    <x v="13"/>
    <s v="NO3_A1"/>
    <x v="7"/>
    <s v="GNR_ROR_WTR"/>
    <x v="0"/>
    <x v="21"/>
    <n v="688.97059999822602"/>
    <n v="251474.268999352"/>
    <n v="905307.36839766905"/>
  </r>
  <r>
    <x v="0"/>
    <x v="0"/>
    <x v="0"/>
    <x v="7"/>
    <x v="13"/>
    <s v="NO3_A1"/>
    <x v="7"/>
    <s v="GNR_ROR_WTR"/>
    <x v="0"/>
    <x v="22"/>
    <n v="688.97059999822602"/>
    <n v="251474.268999352"/>
    <n v="905307.36839766905"/>
  </r>
  <r>
    <x v="0"/>
    <x v="0"/>
    <x v="0"/>
    <x v="7"/>
    <x v="13"/>
    <s v="NO3_A1"/>
    <x v="7"/>
    <s v="GNR_ROR_WTR"/>
    <x v="0"/>
    <x v="23"/>
    <n v="688.97059999822602"/>
    <n v="251474.268999352"/>
    <n v="905307.36839766905"/>
  </r>
  <r>
    <x v="0"/>
    <x v="0"/>
    <x v="0"/>
    <x v="7"/>
    <x v="13"/>
    <s v="NO3_A1"/>
    <x v="8"/>
    <s v="GNR_WT_WIND_ONS"/>
    <x v="0"/>
    <x v="0"/>
    <n v="42.407408621679998"/>
    <n v="15478.7041469132"/>
    <n v="55723.334928887503"/>
  </r>
  <r>
    <x v="0"/>
    <x v="0"/>
    <x v="0"/>
    <x v="7"/>
    <x v="13"/>
    <s v="NO3_A1"/>
    <x v="8"/>
    <s v="GNR_WT_WIND_ONS"/>
    <x v="0"/>
    <x v="1"/>
    <n v="55.434883861048"/>
    <n v="20233.732609282499"/>
    <n v="72841.437393417"/>
  </r>
  <r>
    <x v="0"/>
    <x v="0"/>
    <x v="0"/>
    <x v="7"/>
    <x v="13"/>
    <s v="NO3_A1"/>
    <x v="8"/>
    <s v="GNR_WT_WIND_ONS"/>
    <x v="0"/>
    <x v="2"/>
    <n v="59.087856686394701"/>
    <n v="21567.067690534099"/>
    <n v="77641.443685922597"/>
  </r>
  <r>
    <x v="0"/>
    <x v="0"/>
    <x v="0"/>
    <x v="7"/>
    <x v="13"/>
    <s v="NO3_A1"/>
    <x v="8"/>
    <s v="GNR_WT_WIND_ONS"/>
    <x v="0"/>
    <x v="3"/>
    <n v="67.831811775635103"/>
    <n v="24758.6112981068"/>
    <n v="89131.000673184593"/>
  </r>
  <r>
    <x v="0"/>
    <x v="0"/>
    <x v="0"/>
    <x v="7"/>
    <x v="13"/>
    <s v="NO3_A1"/>
    <x v="8"/>
    <s v="GNR_WT_WIND_ONS"/>
    <x v="0"/>
    <x v="18"/>
    <n v="77.100974162646196"/>
    <n v="28141.8555693659"/>
    <n v="101310.680049717"/>
  </r>
  <r>
    <x v="0"/>
    <x v="0"/>
    <x v="0"/>
    <x v="7"/>
    <x v="13"/>
    <s v="NO3_A1"/>
    <x v="8"/>
    <s v="GNR_WT_WIND_ONS"/>
    <x v="0"/>
    <x v="4"/>
    <n v="79.251338408944804"/>
    <n v="28926.7385192648"/>
    <n v="104136.258669353"/>
  </r>
  <r>
    <x v="0"/>
    <x v="0"/>
    <x v="0"/>
    <x v="7"/>
    <x v="13"/>
    <s v="NO3_A1"/>
    <x v="8"/>
    <s v="GNR_WT_WIND_ONS"/>
    <x v="0"/>
    <x v="5"/>
    <n v="55.665187939682802"/>
    <n v="20317.7935979842"/>
    <n v="73144.056952743194"/>
  </r>
  <r>
    <x v="0"/>
    <x v="0"/>
    <x v="0"/>
    <x v="7"/>
    <x v="13"/>
    <s v="NO3_A1"/>
    <x v="8"/>
    <s v="GNR_WT_WIND_ONS"/>
    <x v="0"/>
    <x v="6"/>
    <n v="63.054053915683099"/>
    <n v="23014.7296792243"/>
    <n v="82853.026845207598"/>
  </r>
  <r>
    <x v="0"/>
    <x v="0"/>
    <x v="0"/>
    <x v="7"/>
    <x v="13"/>
    <s v="NO3_A1"/>
    <x v="8"/>
    <s v="GNR_WT_WIND_ONS"/>
    <x v="0"/>
    <x v="7"/>
    <n v="93.745431277653196"/>
    <n v="34217.082416343401"/>
    <n v="123181.496698836"/>
  </r>
  <r>
    <x v="0"/>
    <x v="0"/>
    <x v="0"/>
    <x v="7"/>
    <x v="13"/>
    <s v="NO3_A1"/>
    <x v="8"/>
    <s v="GNR_WT_WIND_ONS"/>
    <x v="0"/>
    <x v="8"/>
    <n v="96.890038724002693"/>
    <n v="35364.864134260999"/>
    <n v="127313.510883339"/>
  </r>
  <r>
    <x v="0"/>
    <x v="0"/>
    <x v="0"/>
    <x v="7"/>
    <x v="13"/>
    <s v="NO3_A1"/>
    <x v="8"/>
    <s v="GNR_WT_WIND_ONS"/>
    <x v="0"/>
    <x v="9"/>
    <n v="100.156923114872"/>
    <n v="36557.276936928298"/>
    <n v="131606.19697294201"/>
  </r>
  <r>
    <x v="0"/>
    <x v="0"/>
    <x v="0"/>
    <x v="7"/>
    <x v="13"/>
    <s v="NO3_A1"/>
    <x v="8"/>
    <s v="GNR_WT_WIND_ONS"/>
    <x v="0"/>
    <x v="10"/>
    <n v="108.674170506199"/>
    <n v="39666.072234762498"/>
    <n v="142797.860045145"/>
  </r>
  <r>
    <x v="0"/>
    <x v="0"/>
    <x v="0"/>
    <x v="7"/>
    <x v="13"/>
    <s v="NO3_A1"/>
    <x v="8"/>
    <s v="GNR_WT_WIND_ONS"/>
    <x v="0"/>
    <x v="11"/>
    <n v="108.618718386853"/>
    <n v="39645.832211201203"/>
    <n v="142724.99596032401"/>
  </r>
  <r>
    <x v="0"/>
    <x v="0"/>
    <x v="0"/>
    <x v="7"/>
    <x v="13"/>
    <s v="NO3_A1"/>
    <x v="8"/>
    <s v="GNR_WT_WIND_ONS"/>
    <x v="0"/>
    <x v="12"/>
    <n v="161.41765874800399"/>
    <n v="58917.445443021599"/>
    <n v="212102.803594878"/>
  </r>
  <r>
    <x v="0"/>
    <x v="0"/>
    <x v="0"/>
    <x v="7"/>
    <x v="13"/>
    <s v="NO3_A1"/>
    <x v="8"/>
    <s v="GNR_WT_WIND_ONS"/>
    <x v="0"/>
    <x v="13"/>
    <n v="181.42893892418499"/>
    <n v="66221.562707327597"/>
    <n v="238397.625746379"/>
  </r>
  <r>
    <x v="0"/>
    <x v="0"/>
    <x v="0"/>
    <x v="7"/>
    <x v="13"/>
    <s v="NO3_A1"/>
    <x v="8"/>
    <s v="GNR_WT_WIND_ONS"/>
    <x v="0"/>
    <x v="14"/>
    <n v="174.38951901305001"/>
    <n v="63652.174439763403"/>
    <n v="229147.82798314799"/>
  </r>
  <r>
    <x v="0"/>
    <x v="0"/>
    <x v="0"/>
    <x v="7"/>
    <x v="13"/>
    <s v="NO3_A1"/>
    <x v="8"/>
    <s v="GNR_WT_WIND_ONS"/>
    <x v="0"/>
    <x v="15"/>
    <n v="162.25391905003599"/>
    <n v="59222.680453263201"/>
    <n v="213201.64963174699"/>
  </r>
  <r>
    <x v="0"/>
    <x v="0"/>
    <x v="0"/>
    <x v="7"/>
    <x v="13"/>
    <s v="NO3_A1"/>
    <x v="8"/>
    <s v="GNR_WT_WIND_ONS"/>
    <x v="0"/>
    <x v="16"/>
    <n v="174.71358684414801"/>
    <n v="63770.459198113902"/>
    <n v="229573.65311320999"/>
  </r>
  <r>
    <x v="0"/>
    <x v="0"/>
    <x v="0"/>
    <x v="7"/>
    <x v="13"/>
    <s v="NO3_A1"/>
    <x v="8"/>
    <s v="GNR_WT_WIND_ONS"/>
    <x v="0"/>
    <x v="17"/>
    <n v="168.76562098251901"/>
    <n v="61599.451658619597"/>
    <n v="221758.02597103"/>
  </r>
  <r>
    <x v="0"/>
    <x v="0"/>
    <x v="0"/>
    <x v="7"/>
    <x v="13"/>
    <s v="NO3_A1"/>
    <x v="8"/>
    <s v="GNR_WT_WIND_ONS"/>
    <x v="0"/>
    <x v="19"/>
    <n v="147.54588902778599"/>
    <n v="53854.249495142001"/>
    <n v="193875.298182511"/>
  </r>
  <r>
    <x v="0"/>
    <x v="0"/>
    <x v="0"/>
    <x v="7"/>
    <x v="13"/>
    <s v="NO3_A1"/>
    <x v="8"/>
    <s v="GNR_WT_WIND_ONS"/>
    <x v="0"/>
    <x v="20"/>
    <n v="161.69797287553499"/>
    <n v="59019.7600995705"/>
    <n v="212471.13635845401"/>
  </r>
  <r>
    <x v="0"/>
    <x v="0"/>
    <x v="0"/>
    <x v="7"/>
    <x v="13"/>
    <s v="NO3_A1"/>
    <x v="8"/>
    <s v="GNR_WT_WIND_ONS"/>
    <x v="0"/>
    <x v="21"/>
    <n v="138.93570573012499"/>
    <n v="50711.532591495699"/>
    <n v="182561.51732938399"/>
  </r>
  <r>
    <x v="0"/>
    <x v="0"/>
    <x v="0"/>
    <x v="7"/>
    <x v="13"/>
    <s v="NO3_A1"/>
    <x v="8"/>
    <s v="GNR_WT_WIND_ONS"/>
    <x v="0"/>
    <x v="22"/>
    <n v="140.497849474194"/>
    <n v="51281.715058080801"/>
    <n v="184614.174209091"/>
  </r>
  <r>
    <x v="0"/>
    <x v="0"/>
    <x v="0"/>
    <x v="7"/>
    <x v="13"/>
    <s v="NO3_A1"/>
    <x v="8"/>
    <s v="GNR_WT_WIND_ONS"/>
    <x v="0"/>
    <x v="23"/>
    <n v="127.754815921725"/>
    <n v="46630.507811429699"/>
    <n v="167869.828121147"/>
  </r>
  <r>
    <x v="0"/>
    <x v="0"/>
    <x v="0"/>
    <x v="7"/>
    <x v="13"/>
    <s v="NO3_A2"/>
    <x v="19"/>
    <s v="GHOB_LNG"/>
    <x v="0"/>
    <x v="4"/>
    <n v="4.9622697399556799"/>
    <n v="1811.2284550838201"/>
    <n v="6520.4224383017699"/>
  </r>
  <r>
    <x v="0"/>
    <x v="0"/>
    <x v="0"/>
    <x v="7"/>
    <x v="13"/>
    <s v="NO3_A2"/>
    <x v="19"/>
    <s v="GHOB_LNG"/>
    <x v="0"/>
    <x v="5"/>
    <n v="16.916096266719801"/>
    <n v="6174.3751373527102"/>
    <n v="22227.750494469801"/>
  </r>
  <r>
    <x v="0"/>
    <x v="0"/>
    <x v="0"/>
    <x v="7"/>
    <x v="13"/>
    <s v="NO3_A2"/>
    <x v="19"/>
    <s v="GHOB_LNG"/>
    <x v="0"/>
    <x v="6"/>
    <n v="28.020384507799299"/>
    <n v="10227.4403453467"/>
    <n v="36818.785243248298"/>
  </r>
  <r>
    <x v="0"/>
    <x v="0"/>
    <x v="0"/>
    <x v="7"/>
    <x v="13"/>
    <s v="NO3_A2"/>
    <x v="19"/>
    <s v="GHOB_LNG"/>
    <x v="0"/>
    <x v="7"/>
    <n v="29.944552100856999"/>
    <n v="10929.7615168128"/>
    <n v="39347.141460526"/>
  </r>
  <r>
    <x v="0"/>
    <x v="0"/>
    <x v="0"/>
    <x v="7"/>
    <x v="13"/>
    <s v="NO3_A2"/>
    <x v="19"/>
    <s v="GHOB_LNG"/>
    <x v="0"/>
    <x v="8"/>
    <n v="26.314881492223101"/>
    <n v="9604.9317446614205"/>
    <n v="34577.754280781097"/>
  </r>
  <r>
    <x v="0"/>
    <x v="0"/>
    <x v="0"/>
    <x v="7"/>
    <x v="13"/>
    <s v="NO3_A2"/>
    <x v="19"/>
    <s v="GHOB_LNG"/>
    <x v="0"/>
    <x v="9"/>
    <n v="20.713033026747802"/>
    <n v="7560.2570547629502"/>
    <n v="27216.925397146599"/>
  </r>
  <r>
    <x v="0"/>
    <x v="0"/>
    <x v="0"/>
    <x v="7"/>
    <x v="13"/>
    <s v="NO3_A2"/>
    <x v="19"/>
    <s v="GHOB_LNG"/>
    <x v="0"/>
    <x v="10"/>
    <n v="15.7121071670819"/>
    <n v="5734.9191159849097"/>
    <n v="20645.708817545699"/>
  </r>
  <r>
    <x v="0"/>
    <x v="0"/>
    <x v="0"/>
    <x v="7"/>
    <x v="13"/>
    <s v="NO3_A2"/>
    <x v="19"/>
    <s v="GHOB_LNG"/>
    <x v="0"/>
    <x v="11"/>
    <n v="13.8533648577321"/>
    <n v="5056.4781730722198"/>
    <n v="18203.321423059999"/>
  </r>
  <r>
    <x v="0"/>
    <x v="0"/>
    <x v="0"/>
    <x v="7"/>
    <x v="13"/>
    <s v="NO3_A2"/>
    <x v="19"/>
    <s v="GHOB_LNG"/>
    <x v="0"/>
    <x v="12"/>
    <n v="12.430734054565701"/>
    <n v="4537.2179299165"/>
    <n v="16333.9845476994"/>
  </r>
  <r>
    <x v="0"/>
    <x v="0"/>
    <x v="0"/>
    <x v="7"/>
    <x v="13"/>
    <s v="NO3_A2"/>
    <x v="19"/>
    <s v="GHOB_LNG"/>
    <x v="0"/>
    <x v="13"/>
    <n v="9.97839840536008"/>
    <n v="3642.1154179564301"/>
    <n v="13111.6155046432"/>
  </r>
  <r>
    <x v="0"/>
    <x v="0"/>
    <x v="0"/>
    <x v="7"/>
    <x v="13"/>
    <s v="NO3_A2"/>
    <x v="19"/>
    <s v="GHOB_LNG"/>
    <x v="0"/>
    <x v="14"/>
    <n v="6.5511956443637596"/>
    <n v="2391.1864101927699"/>
    <n v="8608.2710766939799"/>
  </r>
  <r>
    <x v="0"/>
    <x v="0"/>
    <x v="0"/>
    <x v="7"/>
    <x v="13"/>
    <s v="NO3_A2"/>
    <x v="2"/>
    <s v="GHOB_MUNIWASTE"/>
    <x v="0"/>
    <x v="0"/>
    <n v="77.454974215122405"/>
    <n v="28271.065588519701"/>
    <n v="101775.836118671"/>
  </r>
  <r>
    <x v="0"/>
    <x v="0"/>
    <x v="0"/>
    <x v="7"/>
    <x v="13"/>
    <s v="NO3_A2"/>
    <x v="2"/>
    <s v="GHOB_MUNIWASTE"/>
    <x v="0"/>
    <x v="1"/>
    <n v="77.358607803686496"/>
    <n v="28235.8918483456"/>
    <n v="101649.210654044"/>
  </r>
  <r>
    <x v="0"/>
    <x v="0"/>
    <x v="0"/>
    <x v="7"/>
    <x v="13"/>
    <s v="NO3_A2"/>
    <x v="2"/>
    <s v="GHOB_MUNIWASTE"/>
    <x v="0"/>
    <x v="2"/>
    <n v="78.043645749616402"/>
    <n v="28485.930698609998"/>
    <n v="102549.350514996"/>
  </r>
  <r>
    <x v="0"/>
    <x v="0"/>
    <x v="0"/>
    <x v="7"/>
    <x v="13"/>
    <s v="NO3_A2"/>
    <x v="2"/>
    <s v="GHOB_MUNIWASTE"/>
    <x v="0"/>
    <x v="3"/>
    <n v="78.017746195306501"/>
    <n v="28476.477361286899"/>
    <n v="102515.318500633"/>
  </r>
  <r>
    <x v="0"/>
    <x v="0"/>
    <x v="0"/>
    <x v="7"/>
    <x v="13"/>
    <s v="NO3_A2"/>
    <x v="2"/>
    <s v="GHOB_MUNIWASTE"/>
    <x v="0"/>
    <x v="18"/>
    <n v="81.725519979202303"/>
    <n v="29829.814792408801"/>
    <n v="107387.333252672"/>
  </r>
  <r>
    <x v="0"/>
    <x v="0"/>
    <x v="0"/>
    <x v="7"/>
    <x v="13"/>
    <s v="NO3_A2"/>
    <x v="2"/>
    <s v="GHOB_MUNIWASTE"/>
    <x v="0"/>
    <x v="4"/>
    <n v="82.352941176470594"/>
    <n v="30058.823529411799"/>
    <n v="108211.764705882"/>
  </r>
  <r>
    <x v="0"/>
    <x v="0"/>
    <x v="0"/>
    <x v="7"/>
    <x v="13"/>
    <s v="NO3_A2"/>
    <x v="2"/>
    <s v="GHOB_MUNIWASTE"/>
    <x v="0"/>
    <x v="5"/>
    <n v="82.352941176470594"/>
    <n v="30058.823529411799"/>
    <n v="108211.764705882"/>
  </r>
  <r>
    <x v="0"/>
    <x v="0"/>
    <x v="0"/>
    <x v="7"/>
    <x v="13"/>
    <s v="NO3_A2"/>
    <x v="2"/>
    <s v="GHOB_MUNIWASTE"/>
    <x v="0"/>
    <x v="6"/>
    <n v="82.352941176470594"/>
    <n v="30058.823529411799"/>
    <n v="108211.764705882"/>
  </r>
  <r>
    <x v="0"/>
    <x v="0"/>
    <x v="0"/>
    <x v="7"/>
    <x v="13"/>
    <s v="NO3_A2"/>
    <x v="2"/>
    <s v="GHOB_MUNIWASTE"/>
    <x v="0"/>
    <x v="7"/>
    <n v="82.352941176470594"/>
    <n v="30058.823529411799"/>
    <n v="108211.764705882"/>
  </r>
  <r>
    <x v="0"/>
    <x v="0"/>
    <x v="0"/>
    <x v="7"/>
    <x v="13"/>
    <s v="NO3_A2"/>
    <x v="2"/>
    <s v="GHOB_MUNIWASTE"/>
    <x v="0"/>
    <x v="8"/>
    <n v="82.352941176470594"/>
    <n v="30058.823529411799"/>
    <n v="108211.764705882"/>
  </r>
  <r>
    <x v="0"/>
    <x v="0"/>
    <x v="0"/>
    <x v="7"/>
    <x v="13"/>
    <s v="NO3_A2"/>
    <x v="2"/>
    <s v="GHOB_MUNIWASTE"/>
    <x v="0"/>
    <x v="9"/>
    <n v="82.352941176470594"/>
    <n v="30058.823529411799"/>
    <n v="108211.764705882"/>
  </r>
  <r>
    <x v="0"/>
    <x v="0"/>
    <x v="0"/>
    <x v="7"/>
    <x v="13"/>
    <s v="NO3_A2"/>
    <x v="2"/>
    <s v="GHOB_MUNIWASTE"/>
    <x v="0"/>
    <x v="10"/>
    <n v="82.352941176470594"/>
    <n v="30058.823529411799"/>
    <n v="108211.764705882"/>
  </r>
  <r>
    <x v="0"/>
    <x v="0"/>
    <x v="0"/>
    <x v="7"/>
    <x v="13"/>
    <s v="NO3_A2"/>
    <x v="2"/>
    <s v="GHOB_MUNIWASTE"/>
    <x v="0"/>
    <x v="11"/>
    <n v="82.352941176470594"/>
    <n v="30058.823529411799"/>
    <n v="108211.764705882"/>
  </r>
  <r>
    <x v="0"/>
    <x v="0"/>
    <x v="0"/>
    <x v="7"/>
    <x v="13"/>
    <s v="NO3_A2"/>
    <x v="2"/>
    <s v="GHOB_MUNIWASTE"/>
    <x v="0"/>
    <x v="12"/>
    <n v="82.352941176470594"/>
    <n v="30058.823529411799"/>
    <n v="108211.764705882"/>
  </r>
  <r>
    <x v="0"/>
    <x v="0"/>
    <x v="0"/>
    <x v="7"/>
    <x v="13"/>
    <s v="NO3_A2"/>
    <x v="2"/>
    <s v="GHOB_MUNIWASTE"/>
    <x v="0"/>
    <x v="13"/>
    <n v="82.352941176470594"/>
    <n v="30058.823529411799"/>
    <n v="108211.764705882"/>
  </r>
  <r>
    <x v="0"/>
    <x v="0"/>
    <x v="0"/>
    <x v="7"/>
    <x v="13"/>
    <s v="NO3_A2"/>
    <x v="2"/>
    <s v="GHOB_MUNIWASTE"/>
    <x v="0"/>
    <x v="14"/>
    <n v="82.352941176470594"/>
    <n v="30058.823529411799"/>
    <n v="108211.764705882"/>
  </r>
  <r>
    <x v="0"/>
    <x v="0"/>
    <x v="0"/>
    <x v="7"/>
    <x v="13"/>
    <s v="NO3_A2"/>
    <x v="2"/>
    <s v="GHOB_MUNIWASTE"/>
    <x v="0"/>
    <x v="15"/>
    <n v="81.323140191193602"/>
    <n v="29682.9461697857"/>
    <n v="106858.60621122801"/>
  </r>
  <r>
    <x v="0"/>
    <x v="0"/>
    <x v="0"/>
    <x v="7"/>
    <x v="13"/>
    <s v="NO3_A2"/>
    <x v="2"/>
    <s v="GHOB_MUNIWASTE"/>
    <x v="0"/>
    <x v="16"/>
    <n v="75.049295403221905"/>
    <n v="27392.992822175998"/>
    <n v="98614.7741598336"/>
  </r>
  <r>
    <x v="0"/>
    <x v="0"/>
    <x v="0"/>
    <x v="7"/>
    <x v="13"/>
    <s v="NO3_A2"/>
    <x v="2"/>
    <s v="GHOB_MUNIWASTE"/>
    <x v="0"/>
    <x v="17"/>
    <n v="69.452365432943694"/>
    <n v="25350.1133830244"/>
    <n v="91260.408178887999"/>
  </r>
  <r>
    <x v="0"/>
    <x v="0"/>
    <x v="0"/>
    <x v="7"/>
    <x v="13"/>
    <s v="NO3_A2"/>
    <x v="2"/>
    <s v="GHOB_MUNIWASTE"/>
    <x v="0"/>
    <x v="19"/>
    <n v="66.142125220361194"/>
    <n v="24141.875705431801"/>
    <n v="86910.752539554596"/>
  </r>
  <r>
    <x v="0"/>
    <x v="0"/>
    <x v="0"/>
    <x v="7"/>
    <x v="13"/>
    <s v="NO3_A2"/>
    <x v="2"/>
    <s v="GHOB_MUNIWASTE"/>
    <x v="0"/>
    <x v="20"/>
    <n v="62.280915371161797"/>
    <n v="22732.534110474098"/>
    <n v="81837.122797706601"/>
  </r>
  <r>
    <x v="0"/>
    <x v="0"/>
    <x v="0"/>
    <x v="7"/>
    <x v="13"/>
    <s v="NO3_A2"/>
    <x v="2"/>
    <s v="GHOB_MUNIWASTE"/>
    <x v="0"/>
    <x v="21"/>
    <n v="58.489412481672403"/>
    <n v="21348.635555810401"/>
    <n v="76855.088000917502"/>
  </r>
  <r>
    <x v="0"/>
    <x v="0"/>
    <x v="0"/>
    <x v="7"/>
    <x v="13"/>
    <s v="NO3_A2"/>
    <x v="2"/>
    <s v="GHOB_MUNIWASTE"/>
    <x v="0"/>
    <x v="22"/>
    <n v="55.5290073194165"/>
    <n v="20268.087671587"/>
    <n v="72965.115617713294"/>
  </r>
  <r>
    <x v="0"/>
    <x v="0"/>
    <x v="0"/>
    <x v="7"/>
    <x v="13"/>
    <s v="NO3_A2"/>
    <x v="2"/>
    <s v="GHOB_MUNIWASTE"/>
    <x v="0"/>
    <x v="23"/>
    <n v="53.449361942584602"/>
    <n v="19509.017109043401"/>
    <n v="70232.461592556196"/>
  </r>
  <r>
    <x v="0"/>
    <x v="0"/>
    <x v="0"/>
    <x v="7"/>
    <x v="14"/>
    <s v="NO4_A1"/>
    <x v="19"/>
    <s v="GHOB_LNG"/>
    <x v="0"/>
    <x v="5"/>
    <n v="1.94164618306583"/>
    <n v="708.70085681902697"/>
    <n v="2551.3230845485"/>
  </r>
  <r>
    <x v="0"/>
    <x v="0"/>
    <x v="0"/>
    <x v="7"/>
    <x v="14"/>
    <s v="NO4_A1"/>
    <x v="19"/>
    <s v="GHOB_LNG"/>
    <x v="0"/>
    <x v="6"/>
    <n v="7.2255581597430201"/>
    <n v="2637.3287283062"/>
    <n v="9494.3834219023302"/>
  </r>
  <r>
    <x v="0"/>
    <x v="0"/>
    <x v="0"/>
    <x v="7"/>
    <x v="14"/>
    <s v="NO4_A1"/>
    <x v="19"/>
    <s v="GHOB_LNG"/>
    <x v="0"/>
    <x v="7"/>
    <n v="9.5578854616793105"/>
    <n v="3488.62819351295"/>
    <n v="12559.0614966466"/>
  </r>
  <r>
    <x v="0"/>
    <x v="0"/>
    <x v="0"/>
    <x v="7"/>
    <x v="14"/>
    <s v="NO4_A1"/>
    <x v="19"/>
    <s v="GHOB_LNG"/>
    <x v="0"/>
    <x v="8"/>
    <n v="9.6708257699522804"/>
    <n v="3529.8514060325801"/>
    <n v="12707.465061717299"/>
  </r>
  <r>
    <x v="0"/>
    <x v="0"/>
    <x v="0"/>
    <x v="7"/>
    <x v="14"/>
    <s v="NO4_A1"/>
    <x v="19"/>
    <s v="GHOB_LNG"/>
    <x v="0"/>
    <x v="9"/>
    <n v="8.8707088431706005"/>
    <n v="3237.8087277572699"/>
    <n v="11656.111419926199"/>
  </r>
  <r>
    <x v="0"/>
    <x v="0"/>
    <x v="0"/>
    <x v="7"/>
    <x v="14"/>
    <s v="NO4_A1"/>
    <x v="19"/>
    <s v="GHOB_LNG"/>
    <x v="0"/>
    <x v="10"/>
    <n v="7.2039324536624196"/>
    <n v="2629.4353455867799"/>
    <n v="9465.9672441124294"/>
  </r>
  <r>
    <x v="0"/>
    <x v="0"/>
    <x v="0"/>
    <x v="7"/>
    <x v="14"/>
    <s v="NO4_A1"/>
    <x v="19"/>
    <s v="GHOB_LNG"/>
    <x v="0"/>
    <x v="11"/>
    <n v="8.2676193688981208"/>
    <n v="3017.6810696478101"/>
    <n v="10863.6518507321"/>
  </r>
  <r>
    <x v="0"/>
    <x v="0"/>
    <x v="0"/>
    <x v="7"/>
    <x v="14"/>
    <s v="NO4_A1"/>
    <x v="19"/>
    <s v="GHOB_LNG"/>
    <x v="0"/>
    <x v="12"/>
    <n v="5.08454451376483"/>
    <n v="1855.85874752416"/>
    <n v="6681.0914910869897"/>
  </r>
  <r>
    <x v="0"/>
    <x v="0"/>
    <x v="0"/>
    <x v="7"/>
    <x v="14"/>
    <s v="NO4_A1"/>
    <x v="19"/>
    <s v="GHOB_LNG"/>
    <x v="0"/>
    <x v="13"/>
    <n v="4.2881109632490304"/>
    <n v="1565.1605015859"/>
    <n v="5634.5778057092302"/>
  </r>
  <r>
    <x v="0"/>
    <x v="0"/>
    <x v="0"/>
    <x v="7"/>
    <x v="14"/>
    <s v="NO4_A1"/>
    <x v="19"/>
    <s v="GHOB_LNG"/>
    <x v="0"/>
    <x v="14"/>
    <n v="5.2291673997096204"/>
    <n v="1908.64610089401"/>
    <n v="6871.1259632184401"/>
  </r>
  <r>
    <x v="0"/>
    <x v="0"/>
    <x v="0"/>
    <x v="7"/>
    <x v="14"/>
    <s v="NO4_A1"/>
    <x v="19"/>
    <s v="GHOB_LPG"/>
    <x v="0"/>
    <x v="5"/>
    <n v="2.52941176470588"/>
    <n v="923.23529411764696"/>
    <n v="3323.6470588235302"/>
  </r>
  <r>
    <x v="0"/>
    <x v="0"/>
    <x v="0"/>
    <x v="7"/>
    <x v="14"/>
    <s v="NO4_A1"/>
    <x v="19"/>
    <s v="GHOB_LPG"/>
    <x v="0"/>
    <x v="6"/>
    <n v="2.52941176470588"/>
    <n v="923.23529411764696"/>
    <n v="3323.6470588235302"/>
  </r>
  <r>
    <x v="0"/>
    <x v="0"/>
    <x v="0"/>
    <x v="7"/>
    <x v="14"/>
    <s v="NO4_A1"/>
    <x v="19"/>
    <s v="GHOB_LPG"/>
    <x v="0"/>
    <x v="7"/>
    <n v="2.52941176470588"/>
    <n v="923.23529411764696"/>
    <n v="3323.6470588235302"/>
  </r>
  <r>
    <x v="0"/>
    <x v="0"/>
    <x v="0"/>
    <x v="7"/>
    <x v="14"/>
    <s v="NO4_A1"/>
    <x v="19"/>
    <s v="GHOB_LPG"/>
    <x v="0"/>
    <x v="8"/>
    <n v="2.52941176470588"/>
    <n v="923.23529411764696"/>
    <n v="3323.6470588235302"/>
  </r>
  <r>
    <x v="0"/>
    <x v="0"/>
    <x v="0"/>
    <x v="7"/>
    <x v="14"/>
    <s v="NO4_A1"/>
    <x v="19"/>
    <s v="GHOB_LPG"/>
    <x v="0"/>
    <x v="9"/>
    <n v="2.52941176470588"/>
    <n v="923.23529411764696"/>
    <n v="3323.6470588235302"/>
  </r>
  <r>
    <x v="0"/>
    <x v="0"/>
    <x v="0"/>
    <x v="7"/>
    <x v="14"/>
    <s v="NO4_A1"/>
    <x v="19"/>
    <s v="GHOB_LPG"/>
    <x v="0"/>
    <x v="10"/>
    <n v="2.52941176470588"/>
    <n v="923.23529411764696"/>
    <n v="3323.6470588235302"/>
  </r>
  <r>
    <x v="0"/>
    <x v="0"/>
    <x v="0"/>
    <x v="7"/>
    <x v="14"/>
    <s v="NO4_A1"/>
    <x v="19"/>
    <s v="GHOB_LPG"/>
    <x v="0"/>
    <x v="12"/>
    <n v="2.52941176470588"/>
    <n v="923.23529411764696"/>
    <n v="3323.6470588235302"/>
  </r>
  <r>
    <x v="0"/>
    <x v="0"/>
    <x v="0"/>
    <x v="7"/>
    <x v="14"/>
    <s v="NO4_A1"/>
    <x v="19"/>
    <s v="GHOB_LPG"/>
    <x v="0"/>
    <x v="13"/>
    <n v="2.52941176470588"/>
    <n v="923.23529411764696"/>
    <n v="3323.6470588235302"/>
  </r>
  <r>
    <x v="0"/>
    <x v="0"/>
    <x v="0"/>
    <x v="7"/>
    <x v="14"/>
    <s v="NO4_A1"/>
    <x v="19"/>
    <s v="GHOB_LPG"/>
    <x v="0"/>
    <x v="15"/>
    <n v="2.3604857768553398"/>
    <n v="861.57730855219802"/>
    <n v="3101.67831078791"/>
  </r>
  <r>
    <x v="0"/>
    <x v="0"/>
    <x v="0"/>
    <x v="7"/>
    <x v="14"/>
    <s v="NO4_A1"/>
    <x v="19"/>
    <s v="GHOB_LPG"/>
    <x v="0"/>
    <x v="16"/>
    <n v="0.387215132861846"/>
    <n v="141.333523494574"/>
    <n v="508.80068458046497"/>
  </r>
  <r>
    <x v="0"/>
    <x v="0"/>
    <x v="0"/>
    <x v="7"/>
    <x v="14"/>
    <s v="NO4_A1"/>
    <x v="2"/>
    <s v="GBPR_MUNIWASTE"/>
    <x v="0"/>
    <x v="0"/>
    <n v="0.78092903225806498"/>
    <n v="285.03909677419398"/>
    <n v="1026.1407483871001"/>
  </r>
  <r>
    <x v="0"/>
    <x v="0"/>
    <x v="0"/>
    <x v="7"/>
    <x v="14"/>
    <s v="NO4_A1"/>
    <x v="2"/>
    <s v="GBPR_MUNIWASTE"/>
    <x v="0"/>
    <x v="1"/>
    <n v="0.78092903225806498"/>
    <n v="285.03909677419398"/>
    <n v="1026.1407483871001"/>
  </r>
  <r>
    <x v="0"/>
    <x v="0"/>
    <x v="0"/>
    <x v="7"/>
    <x v="14"/>
    <s v="NO4_A1"/>
    <x v="2"/>
    <s v="GBPR_MUNIWASTE"/>
    <x v="0"/>
    <x v="2"/>
    <n v="0.78092903225806498"/>
    <n v="285.03909677419398"/>
    <n v="1026.1407483871001"/>
  </r>
  <r>
    <x v="0"/>
    <x v="0"/>
    <x v="0"/>
    <x v="7"/>
    <x v="14"/>
    <s v="NO4_A1"/>
    <x v="2"/>
    <s v="GBPR_MUNIWASTE"/>
    <x v="0"/>
    <x v="3"/>
    <n v="0.78092903225806498"/>
    <n v="285.03909677419398"/>
    <n v="1026.1407483871001"/>
  </r>
  <r>
    <x v="0"/>
    <x v="0"/>
    <x v="0"/>
    <x v="7"/>
    <x v="14"/>
    <s v="NO4_A1"/>
    <x v="2"/>
    <s v="GBPR_MUNIWASTE"/>
    <x v="0"/>
    <x v="18"/>
    <n v="0.78092903225806498"/>
    <n v="285.03909677419398"/>
    <n v="1026.1407483871001"/>
  </r>
  <r>
    <x v="0"/>
    <x v="0"/>
    <x v="0"/>
    <x v="7"/>
    <x v="14"/>
    <s v="NO4_A1"/>
    <x v="2"/>
    <s v="GBPR_MUNIWASTE"/>
    <x v="0"/>
    <x v="4"/>
    <n v="0.78092903225806498"/>
    <n v="285.03909677419398"/>
    <n v="1026.1407483871001"/>
  </r>
  <r>
    <x v="0"/>
    <x v="0"/>
    <x v="0"/>
    <x v="7"/>
    <x v="14"/>
    <s v="NO4_A1"/>
    <x v="2"/>
    <s v="GBPR_MUNIWASTE"/>
    <x v="0"/>
    <x v="5"/>
    <n v="0.78092903225806498"/>
    <n v="285.03909677419398"/>
    <n v="1026.1407483871001"/>
  </r>
  <r>
    <x v="0"/>
    <x v="0"/>
    <x v="0"/>
    <x v="7"/>
    <x v="14"/>
    <s v="NO4_A1"/>
    <x v="2"/>
    <s v="GBPR_MUNIWASTE"/>
    <x v="0"/>
    <x v="6"/>
    <n v="0.78092903225806498"/>
    <n v="285.03909677419398"/>
    <n v="1026.1407483871001"/>
  </r>
  <r>
    <x v="0"/>
    <x v="0"/>
    <x v="0"/>
    <x v="7"/>
    <x v="14"/>
    <s v="NO4_A1"/>
    <x v="2"/>
    <s v="GBPR_MUNIWASTE"/>
    <x v="0"/>
    <x v="7"/>
    <n v="0.78092903225806498"/>
    <n v="285.03909677419398"/>
    <n v="1026.1407483871001"/>
  </r>
  <r>
    <x v="0"/>
    <x v="0"/>
    <x v="0"/>
    <x v="7"/>
    <x v="14"/>
    <s v="NO4_A1"/>
    <x v="2"/>
    <s v="GBPR_MUNIWASTE"/>
    <x v="0"/>
    <x v="8"/>
    <n v="0.78092903225806498"/>
    <n v="285.03909677419398"/>
    <n v="1026.1407483871001"/>
  </r>
  <r>
    <x v="0"/>
    <x v="0"/>
    <x v="0"/>
    <x v="7"/>
    <x v="14"/>
    <s v="NO4_A1"/>
    <x v="2"/>
    <s v="GBPR_MUNIWASTE"/>
    <x v="0"/>
    <x v="9"/>
    <n v="0.78092903225806498"/>
    <n v="285.03909677419398"/>
    <n v="1026.1407483871001"/>
  </r>
  <r>
    <x v="0"/>
    <x v="0"/>
    <x v="0"/>
    <x v="7"/>
    <x v="14"/>
    <s v="NO4_A1"/>
    <x v="2"/>
    <s v="GBPR_MUNIWASTE"/>
    <x v="0"/>
    <x v="10"/>
    <n v="0.78092903225806498"/>
    <n v="285.03909677419398"/>
    <n v="1026.1407483871001"/>
  </r>
  <r>
    <x v="0"/>
    <x v="0"/>
    <x v="0"/>
    <x v="7"/>
    <x v="14"/>
    <s v="NO4_A1"/>
    <x v="2"/>
    <s v="GBPR_MUNIWASTE"/>
    <x v="0"/>
    <x v="11"/>
    <n v="0.78092903225806498"/>
    <n v="285.03909677419398"/>
    <n v="1026.1407483871001"/>
  </r>
  <r>
    <x v="0"/>
    <x v="0"/>
    <x v="0"/>
    <x v="7"/>
    <x v="14"/>
    <s v="NO4_A1"/>
    <x v="2"/>
    <s v="GBPR_MUNIWASTE"/>
    <x v="0"/>
    <x v="12"/>
    <n v="0.78092903225806498"/>
    <n v="285.03909677419398"/>
    <n v="1026.1407483871001"/>
  </r>
  <r>
    <x v="0"/>
    <x v="0"/>
    <x v="0"/>
    <x v="7"/>
    <x v="14"/>
    <s v="NO4_A1"/>
    <x v="2"/>
    <s v="GBPR_MUNIWASTE"/>
    <x v="0"/>
    <x v="13"/>
    <n v="0.78092903225806498"/>
    <n v="285.03909677419398"/>
    <n v="1026.1407483871001"/>
  </r>
  <r>
    <x v="0"/>
    <x v="0"/>
    <x v="0"/>
    <x v="7"/>
    <x v="14"/>
    <s v="NO4_A1"/>
    <x v="2"/>
    <s v="GBPR_MUNIWASTE"/>
    <x v="0"/>
    <x v="14"/>
    <n v="0.78092903225806498"/>
    <n v="285.03909677419398"/>
    <n v="1026.1407483871001"/>
  </r>
  <r>
    <x v="0"/>
    <x v="0"/>
    <x v="0"/>
    <x v="7"/>
    <x v="14"/>
    <s v="NO4_A1"/>
    <x v="2"/>
    <s v="GBPR_MUNIWASTE"/>
    <x v="0"/>
    <x v="15"/>
    <n v="0.78092903225806498"/>
    <n v="285.03909677419398"/>
    <n v="1026.1407483871001"/>
  </r>
  <r>
    <x v="0"/>
    <x v="0"/>
    <x v="0"/>
    <x v="7"/>
    <x v="14"/>
    <s v="NO4_A1"/>
    <x v="2"/>
    <s v="GBPR_MUNIWASTE"/>
    <x v="0"/>
    <x v="16"/>
    <n v="0.78092903225806498"/>
    <n v="285.03909677419398"/>
    <n v="1026.1407483871001"/>
  </r>
  <r>
    <x v="0"/>
    <x v="0"/>
    <x v="0"/>
    <x v="7"/>
    <x v="14"/>
    <s v="NO4_A1"/>
    <x v="2"/>
    <s v="GBPR_MUNIWASTE"/>
    <x v="0"/>
    <x v="17"/>
    <n v="0.78092903225806498"/>
    <n v="285.03909677419398"/>
    <n v="1026.1407483871001"/>
  </r>
  <r>
    <x v="0"/>
    <x v="0"/>
    <x v="0"/>
    <x v="7"/>
    <x v="14"/>
    <s v="NO4_A1"/>
    <x v="2"/>
    <s v="GBPR_MUNIWASTE"/>
    <x v="0"/>
    <x v="19"/>
    <n v="0.78092903225806498"/>
    <n v="285.03909677419398"/>
    <n v="1026.1407483871001"/>
  </r>
  <r>
    <x v="0"/>
    <x v="0"/>
    <x v="0"/>
    <x v="7"/>
    <x v="14"/>
    <s v="NO4_A1"/>
    <x v="2"/>
    <s v="GBPR_MUNIWASTE"/>
    <x v="0"/>
    <x v="20"/>
    <n v="0.78092903225806498"/>
    <n v="285.03909677419398"/>
    <n v="1026.1407483871001"/>
  </r>
  <r>
    <x v="0"/>
    <x v="0"/>
    <x v="0"/>
    <x v="7"/>
    <x v="14"/>
    <s v="NO4_A1"/>
    <x v="2"/>
    <s v="GBPR_MUNIWASTE"/>
    <x v="0"/>
    <x v="21"/>
    <n v="0.78092903225806498"/>
    <n v="285.03909677419398"/>
    <n v="1026.1407483871001"/>
  </r>
  <r>
    <x v="0"/>
    <x v="0"/>
    <x v="0"/>
    <x v="7"/>
    <x v="14"/>
    <s v="NO4_A1"/>
    <x v="2"/>
    <s v="GBPR_MUNIWASTE"/>
    <x v="0"/>
    <x v="22"/>
    <n v="0.78092903225806498"/>
    <n v="285.03909677419398"/>
    <n v="1026.1407483871001"/>
  </r>
  <r>
    <x v="0"/>
    <x v="0"/>
    <x v="0"/>
    <x v="7"/>
    <x v="14"/>
    <s v="NO4_A1"/>
    <x v="2"/>
    <s v="GBPR_MUNIWASTE"/>
    <x v="0"/>
    <x v="23"/>
    <n v="0.78092903225806498"/>
    <n v="285.03909677419398"/>
    <n v="1026.1407483871001"/>
  </r>
  <r>
    <x v="0"/>
    <x v="0"/>
    <x v="0"/>
    <x v="7"/>
    <x v="14"/>
    <s v="NO4_A1"/>
    <x v="2"/>
    <s v="GHOB_MUNIWASTE"/>
    <x v="0"/>
    <x v="0"/>
    <n v="14.142970755574"/>
    <n v="5162.1843257845003"/>
    <n v="18583.863572824201"/>
  </r>
  <r>
    <x v="0"/>
    <x v="0"/>
    <x v="0"/>
    <x v="7"/>
    <x v="14"/>
    <s v="NO4_A1"/>
    <x v="2"/>
    <s v="GHOB_MUNIWASTE"/>
    <x v="0"/>
    <x v="1"/>
    <n v="13.892639283621"/>
    <n v="5070.8133385216497"/>
    <n v="18254.928018678002"/>
  </r>
  <r>
    <x v="0"/>
    <x v="0"/>
    <x v="0"/>
    <x v="7"/>
    <x v="14"/>
    <s v="NO4_A1"/>
    <x v="2"/>
    <s v="GHOB_MUNIWASTE"/>
    <x v="0"/>
    <x v="2"/>
    <n v="14.1990254009035"/>
    <n v="5182.6442713297702"/>
    <n v="18657.519376787201"/>
  </r>
  <r>
    <x v="0"/>
    <x v="0"/>
    <x v="0"/>
    <x v="7"/>
    <x v="14"/>
    <s v="NO4_A1"/>
    <x v="2"/>
    <s v="GHOB_MUNIWASTE"/>
    <x v="0"/>
    <x v="3"/>
    <n v="14.454125136059"/>
    <n v="5275.7556746615501"/>
    <n v="18992.720428781598"/>
  </r>
  <r>
    <x v="0"/>
    <x v="0"/>
    <x v="0"/>
    <x v="7"/>
    <x v="14"/>
    <s v="NO4_A1"/>
    <x v="2"/>
    <s v="GHOB_MUNIWASTE"/>
    <x v="0"/>
    <x v="18"/>
    <n v="15.6411996433844"/>
    <n v="5709.0378698353197"/>
    <n v="20552.536331407198"/>
  </r>
  <r>
    <x v="0"/>
    <x v="0"/>
    <x v="0"/>
    <x v="7"/>
    <x v="14"/>
    <s v="NO4_A1"/>
    <x v="2"/>
    <s v="GHOB_MUNIWASTE"/>
    <x v="0"/>
    <x v="4"/>
    <n v="18.203805603093102"/>
    <n v="6644.3890451289899"/>
    <n v="23919.800562464399"/>
  </r>
  <r>
    <x v="0"/>
    <x v="0"/>
    <x v="0"/>
    <x v="7"/>
    <x v="14"/>
    <s v="NO4_A1"/>
    <x v="2"/>
    <s v="GHOB_MUNIWASTE"/>
    <x v="0"/>
    <x v="5"/>
    <n v="18.823529411764699"/>
    <n v="6870.5882352941198"/>
    <n v="24734.1176470588"/>
  </r>
  <r>
    <x v="0"/>
    <x v="0"/>
    <x v="0"/>
    <x v="7"/>
    <x v="14"/>
    <s v="NO4_A1"/>
    <x v="2"/>
    <s v="GHOB_MUNIWASTE"/>
    <x v="0"/>
    <x v="6"/>
    <n v="18.823529411764699"/>
    <n v="6870.5882352941198"/>
    <n v="24734.1176470588"/>
  </r>
  <r>
    <x v="0"/>
    <x v="0"/>
    <x v="0"/>
    <x v="7"/>
    <x v="14"/>
    <s v="NO4_A1"/>
    <x v="2"/>
    <s v="GHOB_MUNIWASTE"/>
    <x v="0"/>
    <x v="7"/>
    <n v="18.823529411764699"/>
    <n v="6870.5882352941198"/>
    <n v="24734.1176470588"/>
  </r>
  <r>
    <x v="0"/>
    <x v="0"/>
    <x v="0"/>
    <x v="7"/>
    <x v="14"/>
    <s v="NO4_A1"/>
    <x v="2"/>
    <s v="GHOB_MUNIWASTE"/>
    <x v="0"/>
    <x v="8"/>
    <n v="18.823529411764699"/>
    <n v="6870.5882352941198"/>
    <n v="24734.1176470588"/>
  </r>
  <r>
    <x v="0"/>
    <x v="0"/>
    <x v="0"/>
    <x v="7"/>
    <x v="14"/>
    <s v="NO4_A1"/>
    <x v="2"/>
    <s v="GHOB_MUNIWASTE"/>
    <x v="0"/>
    <x v="9"/>
    <n v="18.823529411764699"/>
    <n v="6870.5882352941198"/>
    <n v="24734.1176470588"/>
  </r>
  <r>
    <x v="0"/>
    <x v="0"/>
    <x v="0"/>
    <x v="7"/>
    <x v="14"/>
    <s v="NO4_A1"/>
    <x v="2"/>
    <s v="GHOB_MUNIWASTE"/>
    <x v="0"/>
    <x v="10"/>
    <n v="18.823529411764699"/>
    <n v="6870.5882352941198"/>
    <n v="24734.1176470588"/>
  </r>
  <r>
    <x v="0"/>
    <x v="0"/>
    <x v="0"/>
    <x v="7"/>
    <x v="14"/>
    <s v="NO4_A1"/>
    <x v="2"/>
    <s v="GHOB_MUNIWASTE"/>
    <x v="0"/>
    <x v="11"/>
    <n v="18.823529411764699"/>
    <n v="6870.5882352941198"/>
    <n v="24734.1176470588"/>
  </r>
  <r>
    <x v="0"/>
    <x v="0"/>
    <x v="0"/>
    <x v="7"/>
    <x v="14"/>
    <s v="NO4_A1"/>
    <x v="2"/>
    <s v="GHOB_MUNIWASTE"/>
    <x v="0"/>
    <x v="12"/>
    <n v="18.823529411764699"/>
    <n v="6870.5882352941198"/>
    <n v="24734.1176470588"/>
  </r>
  <r>
    <x v="0"/>
    <x v="0"/>
    <x v="0"/>
    <x v="7"/>
    <x v="14"/>
    <s v="NO4_A1"/>
    <x v="2"/>
    <s v="GHOB_MUNIWASTE"/>
    <x v="0"/>
    <x v="13"/>
    <n v="18.823529411764699"/>
    <n v="6870.5882352941198"/>
    <n v="24734.1176470588"/>
  </r>
  <r>
    <x v="0"/>
    <x v="0"/>
    <x v="0"/>
    <x v="7"/>
    <x v="14"/>
    <s v="NO4_A1"/>
    <x v="2"/>
    <s v="GHOB_MUNIWASTE"/>
    <x v="0"/>
    <x v="14"/>
    <n v="18.823529411764699"/>
    <n v="6870.5882352941198"/>
    <n v="24734.1176470588"/>
  </r>
  <r>
    <x v="0"/>
    <x v="0"/>
    <x v="0"/>
    <x v="7"/>
    <x v="14"/>
    <s v="NO4_A1"/>
    <x v="2"/>
    <s v="GHOB_MUNIWASTE"/>
    <x v="0"/>
    <x v="15"/>
    <n v="18.823529411764699"/>
    <n v="6870.5882352941198"/>
    <n v="24734.1176470588"/>
  </r>
  <r>
    <x v="0"/>
    <x v="0"/>
    <x v="0"/>
    <x v="7"/>
    <x v="14"/>
    <s v="NO4_A1"/>
    <x v="2"/>
    <s v="GHOB_MUNIWASTE"/>
    <x v="0"/>
    <x v="16"/>
    <n v="18.823529411764699"/>
    <n v="6870.5882352941198"/>
    <n v="24734.1176470588"/>
  </r>
  <r>
    <x v="0"/>
    <x v="0"/>
    <x v="0"/>
    <x v="7"/>
    <x v="14"/>
    <s v="NO4_A1"/>
    <x v="2"/>
    <s v="GHOB_MUNIWASTE"/>
    <x v="0"/>
    <x v="17"/>
    <n v="17.9333438683202"/>
    <n v="6545.6705119368899"/>
    <n v="23564.413842972801"/>
  </r>
  <r>
    <x v="0"/>
    <x v="0"/>
    <x v="0"/>
    <x v="7"/>
    <x v="14"/>
    <s v="NO4_A1"/>
    <x v="2"/>
    <s v="GHOB_MUNIWASTE"/>
    <x v="0"/>
    <x v="19"/>
    <n v="16.639694034267301"/>
    <n v="6073.48832250757"/>
    <n v="21864.557961027302"/>
  </r>
  <r>
    <x v="0"/>
    <x v="0"/>
    <x v="0"/>
    <x v="7"/>
    <x v="14"/>
    <s v="NO4_A1"/>
    <x v="2"/>
    <s v="GHOB_MUNIWASTE"/>
    <x v="0"/>
    <x v="20"/>
    <n v="15.2967077852517"/>
    <n v="5583.2983416168599"/>
    <n v="20099.874029820701"/>
  </r>
  <r>
    <x v="0"/>
    <x v="0"/>
    <x v="0"/>
    <x v="7"/>
    <x v="14"/>
    <s v="NO4_A1"/>
    <x v="2"/>
    <s v="GHOB_MUNIWASTE"/>
    <x v="0"/>
    <x v="21"/>
    <n v="13.8344293313328"/>
    <n v="5049.5667059364896"/>
    <n v="18178.440141371299"/>
  </r>
  <r>
    <x v="0"/>
    <x v="0"/>
    <x v="0"/>
    <x v="7"/>
    <x v="14"/>
    <s v="NO4_A1"/>
    <x v="2"/>
    <s v="GHOB_MUNIWASTE"/>
    <x v="0"/>
    <x v="22"/>
    <n v="12.2457879462536"/>
    <n v="4469.7126003825697"/>
    <n v="16090.965361377201"/>
  </r>
  <r>
    <x v="0"/>
    <x v="0"/>
    <x v="0"/>
    <x v="7"/>
    <x v="14"/>
    <s v="NO4_A1"/>
    <x v="2"/>
    <s v="GHOB_MUNIWASTE"/>
    <x v="0"/>
    <x v="23"/>
    <n v="11.3739644814346"/>
    <n v="4151.4970357236298"/>
    <n v="14945.389328605101"/>
  </r>
  <r>
    <x v="0"/>
    <x v="0"/>
    <x v="0"/>
    <x v="7"/>
    <x v="14"/>
    <s v="NO4_A1"/>
    <x v="1"/>
    <s v="GHOB_WASTEHEAT"/>
    <x v="0"/>
    <x v="0"/>
    <n v="10.0441849816849"/>
    <n v="3666.1275183150001"/>
    <n v="13198.059065934"/>
  </r>
  <r>
    <x v="0"/>
    <x v="0"/>
    <x v="0"/>
    <x v="7"/>
    <x v="14"/>
    <s v="NO4_A1"/>
    <x v="1"/>
    <s v="GHOB_WASTEHEAT"/>
    <x v="0"/>
    <x v="1"/>
    <n v="10.0441849816849"/>
    <n v="3666.1275183150001"/>
    <n v="13198.059065934"/>
  </r>
  <r>
    <x v="0"/>
    <x v="0"/>
    <x v="0"/>
    <x v="7"/>
    <x v="14"/>
    <s v="NO4_A1"/>
    <x v="1"/>
    <s v="GHOB_WASTEHEAT"/>
    <x v="0"/>
    <x v="2"/>
    <n v="10.0441849816849"/>
    <n v="3666.1275183150001"/>
    <n v="13198.059065934"/>
  </r>
  <r>
    <x v="0"/>
    <x v="0"/>
    <x v="0"/>
    <x v="7"/>
    <x v="14"/>
    <s v="NO4_A1"/>
    <x v="1"/>
    <s v="GHOB_WASTEHEAT"/>
    <x v="0"/>
    <x v="3"/>
    <n v="10.0441849816849"/>
    <n v="3666.1275183150001"/>
    <n v="13198.059065934"/>
  </r>
  <r>
    <x v="0"/>
    <x v="0"/>
    <x v="0"/>
    <x v="7"/>
    <x v="14"/>
    <s v="NO4_A1"/>
    <x v="1"/>
    <s v="GHOB_WASTEHEAT"/>
    <x v="0"/>
    <x v="18"/>
    <n v="10.0441849816849"/>
    <n v="3666.1275183150001"/>
    <n v="13198.059065934"/>
  </r>
  <r>
    <x v="0"/>
    <x v="0"/>
    <x v="0"/>
    <x v="7"/>
    <x v="14"/>
    <s v="NO4_A1"/>
    <x v="1"/>
    <s v="GHOB_WASTEHEAT"/>
    <x v="0"/>
    <x v="4"/>
    <n v="10.0441849816849"/>
    <n v="3666.1275183150001"/>
    <n v="13198.059065934"/>
  </r>
  <r>
    <x v="0"/>
    <x v="0"/>
    <x v="0"/>
    <x v="7"/>
    <x v="14"/>
    <s v="NO4_A1"/>
    <x v="1"/>
    <s v="GHOB_WASTEHEAT"/>
    <x v="0"/>
    <x v="5"/>
    <n v="10.0441849816849"/>
    <n v="3666.1275183150001"/>
    <n v="13198.059065934"/>
  </r>
  <r>
    <x v="0"/>
    <x v="0"/>
    <x v="0"/>
    <x v="7"/>
    <x v="14"/>
    <s v="NO4_A1"/>
    <x v="1"/>
    <s v="GHOB_WASTEHEAT"/>
    <x v="0"/>
    <x v="6"/>
    <n v="10.0441849816849"/>
    <n v="3666.1275183150001"/>
    <n v="13198.059065934"/>
  </r>
  <r>
    <x v="0"/>
    <x v="0"/>
    <x v="0"/>
    <x v="7"/>
    <x v="14"/>
    <s v="NO4_A1"/>
    <x v="1"/>
    <s v="GHOB_WASTEHEAT"/>
    <x v="0"/>
    <x v="7"/>
    <n v="10.0441849816849"/>
    <n v="3666.1275183150001"/>
    <n v="13198.059065934"/>
  </r>
  <r>
    <x v="0"/>
    <x v="0"/>
    <x v="0"/>
    <x v="7"/>
    <x v="14"/>
    <s v="NO4_A1"/>
    <x v="1"/>
    <s v="GHOB_WASTEHEAT"/>
    <x v="0"/>
    <x v="8"/>
    <n v="10.0441849816849"/>
    <n v="3666.1275183150001"/>
    <n v="13198.059065934"/>
  </r>
  <r>
    <x v="0"/>
    <x v="0"/>
    <x v="0"/>
    <x v="7"/>
    <x v="14"/>
    <s v="NO4_A1"/>
    <x v="1"/>
    <s v="GHOB_WASTEHEAT"/>
    <x v="0"/>
    <x v="9"/>
    <n v="10.0441849816849"/>
    <n v="3666.1275183150001"/>
    <n v="13198.059065934"/>
  </r>
  <r>
    <x v="0"/>
    <x v="0"/>
    <x v="0"/>
    <x v="7"/>
    <x v="14"/>
    <s v="NO4_A1"/>
    <x v="1"/>
    <s v="GHOB_WASTEHEAT"/>
    <x v="0"/>
    <x v="10"/>
    <n v="10.0441849816849"/>
    <n v="3666.1275183150001"/>
    <n v="13198.059065934"/>
  </r>
  <r>
    <x v="0"/>
    <x v="0"/>
    <x v="0"/>
    <x v="7"/>
    <x v="14"/>
    <s v="NO4_A1"/>
    <x v="1"/>
    <s v="GHOB_WASTEHEAT"/>
    <x v="0"/>
    <x v="11"/>
    <n v="10.0441849816849"/>
    <n v="3666.1275183150001"/>
    <n v="13198.059065934"/>
  </r>
  <r>
    <x v="0"/>
    <x v="0"/>
    <x v="0"/>
    <x v="7"/>
    <x v="14"/>
    <s v="NO4_A1"/>
    <x v="1"/>
    <s v="GHOB_WASTEHEAT"/>
    <x v="0"/>
    <x v="12"/>
    <n v="10.0441849816849"/>
    <n v="3666.1275183150001"/>
    <n v="13198.059065934"/>
  </r>
  <r>
    <x v="0"/>
    <x v="0"/>
    <x v="0"/>
    <x v="7"/>
    <x v="14"/>
    <s v="NO4_A1"/>
    <x v="1"/>
    <s v="GHOB_WASTEHEAT"/>
    <x v="0"/>
    <x v="13"/>
    <n v="10.0441849816849"/>
    <n v="3666.1275183150001"/>
    <n v="13198.059065934"/>
  </r>
  <r>
    <x v="0"/>
    <x v="0"/>
    <x v="0"/>
    <x v="7"/>
    <x v="14"/>
    <s v="NO4_A1"/>
    <x v="1"/>
    <s v="GHOB_WASTEHEAT"/>
    <x v="0"/>
    <x v="14"/>
    <n v="10.0441849816849"/>
    <n v="3666.1275183150001"/>
    <n v="13198.059065934"/>
  </r>
  <r>
    <x v="0"/>
    <x v="0"/>
    <x v="0"/>
    <x v="7"/>
    <x v="14"/>
    <s v="NO4_A1"/>
    <x v="1"/>
    <s v="GHOB_WASTEHEAT"/>
    <x v="0"/>
    <x v="15"/>
    <n v="10.0441849816849"/>
    <n v="3666.1275183150001"/>
    <n v="13198.059065934"/>
  </r>
  <r>
    <x v="0"/>
    <x v="0"/>
    <x v="0"/>
    <x v="7"/>
    <x v="14"/>
    <s v="NO4_A1"/>
    <x v="1"/>
    <s v="GHOB_WASTEHEAT"/>
    <x v="0"/>
    <x v="16"/>
    <n v="10.0441849816849"/>
    <n v="3666.1275183150001"/>
    <n v="13198.059065934"/>
  </r>
  <r>
    <x v="0"/>
    <x v="0"/>
    <x v="0"/>
    <x v="7"/>
    <x v="14"/>
    <s v="NO4_A1"/>
    <x v="1"/>
    <s v="GHOB_WASTEHEAT"/>
    <x v="0"/>
    <x v="17"/>
    <n v="10.0441849816849"/>
    <n v="3666.1275183150001"/>
    <n v="13198.059065934"/>
  </r>
  <r>
    <x v="0"/>
    <x v="0"/>
    <x v="0"/>
    <x v="7"/>
    <x v="14"/>
    <s v="NO4_A1"/>
    <x v="1"/>
    <s v="GHOB_WASTEHEAT"/>
    <x v="0"/>
    <x v="19"/>
    <n v="10.0441849816849"/>
    <n v="3666.1275183150001"/>
    <n v="13198.059065934"/>
  </r>
  <r>
    <x v="0"/>
    <x v="0"/>
    <x v="0"/>
    <x v="7"/>
    <x v="14"/>
    <s v="NO4_A1"/>
    <x v="1"/>
    <s v="GHOB_WASTEHEAT"/>
    <x v="0"/>
    <x v="20"/>
    <n v="10.0441849816849"/>
    <n v="3666.1275183150001"/>
    <n v="13198.059065934"/>
  </r>
  <r>
    <x v="0"/>
    <x v="0"/>
    <x v="0"/>
    <x v="7"/>
    <x v="14"/>
    <s v="NO4_A1"/>
    <x v="1"/>
    <s v="GHOB_WASTEHEAT"/>
    <x v="0"/>
    <x v="21"/>
    <n v="10.0441849816849"/>
    <n v="3666.1275183150001"/>
    <n v="13198.059065934"/>
  </r>
  <r>
    <x v="0"/>
    <x v="0"/>
    <x v="0"/>
    <x v="7"/>
    <x v="14"/>
    <s v="NO4_A1"/>
    <x v="1"/>
    <s v="GHOB_WASTEHEAT"/>
    <x v="0"/>
    <x v="22"/>
    <n v="10.0441849816849"/>
    <n v="3666.1275183150001"/>
    <n v="13198.059065934"/>
  </r>
  <r>
    <x v="0"/>
    <x v="0"/>
    <x v="0"/>
    <x v="7"/>
    <x v="14"/>
    <s v="NO4_A1"/>
    <x v="1"/>
    <s v="GHOB_WASTEHEAT"/>
    <x v="0"/>
    <x v="23"/>
    <n v="10.0441849816849"/>
    <n v="3666.1275183150001"/>
    <n v="13198.059065934"/>
  </r>
  <r>
    <x v="0"/>
    <x v="0"/>
    <x v="0"/>
    <x v="7"/>
    <x v="14"/>
    <s v="NO4_A1"/>
    <x v="7"/>
    <s v="GNR_RES_WTR_NOPMP_MC-01"/>
    <x v="0"/>
    <x v="0"/>
    <n v="419.56363678000798"/>
    <n v="153140.72742470301"/>
    <n v="551306.61872893095"/>
  </r>
  <r>
    <x v="0"/>
    <x v="0"/>
    <x v="0"/>
    <x v="7"/>
    <x v="14"/>
    <s v="NO4_A1"/>
    <x v="7"/>
    <s v="GNR_RES_WTR_NOPMP_MC-01"/>
    <x v="0"/>
    <x v="1"/>
    <n v="419.56363678000798"/>
    <n v="153140.72742470301"/>
    <n v="551306.61872893095"/>
  </r>
  <r>
    <x v="0"/>
    <x v="0"/>
    <x v="0"/>
    <x v="7"/>
    <x v="14"/>
    <s v="NO4_A1"/>
    <x v="7"/>
    <s v="GNR_RES_WTR_NOPMP_MC-01"/>
    <x v="0"/>
    <x v="2"/>
    <n v="419.56363678000798"/>
    <n v="153140.72742470301"/>
    <n v="551306.61872893095"/>
  </r>
  <r>
    <x v="0"/>
    <x v="0"/>
    <x v="0"/>
    <x v="7"/>
    <x v="14"/>
    <s v="NO4_A1"/>
    <x v="7"/>
    <s v="GNR_RES_WTR_NOPMP_MC-01"/>
    <x v="0"/>
    <x v="3"/>
    <n v="419.56363678000798"/>
    <n v="153140.72742470301"/>
    <n v="551306.61872893095"/>
  </r>
  <r>
    <x v="0"/>
    <x v="0"/>
    <x v="0"/>
    <x v="7"/>
    <x v="14"/>
    <s v="NO4_A1"/>
    <x v="7"/>
    <s v="GNR_RES_WTR_NOPMP_MC-01"/>
    <x v="0"/>
    <x v="18"/>
    <n v="419.56363678000798"/>
    <n v="153140.72742470301"/>
    <n v="551306.61872893095"/>
  </r>
  <r>
    <x v="0"/>
    <x v="0"/>
    <x v="0"/>
    <x v="7"/>
    <x v="14"/>
    <s v="NO4_A1"/>
    <x v="7"/>
    <s v="GNR_RES_WTR_NOPMP_MC-01"/>
    <x v="0"/>
    <x v="4"/>
    <n v="419.56363678000798"/>
    <n v="153140.72742470301"/>
    <n v="551306.61872893095"/>
  </r>
  <r>
    <x v="0"/>
    <x v="0"/>
    <x v="0"/>
    <x v="7"/>
    <x v="14"/>
    <s v="NO4_A1"/>
    <x v="7"/>
    <s v="GNR_RES_WTR_NOPMP_MC-01"/>
    <x v="0"/>
    <x v="5"/>
    <n v="419.56363678000798"/>
    <n v="153140.72742470301"/>
    <n v="551306.61872893095"/>
  </r>
  <r>
    <x v="0"/>
    <x v="0"/>
    <x v="0"/>
    <x v="7"/>
    <x v="14"/>
    <s v="NO4_A1"/>
    <x v="7"/>
    <s v="GNR_RES_WTR_NOPMP_MC-01"/>
    <x v="0"/>
    <x v="6"/>
    <n v="419.56363678000798"/>
    <n v="153140.72742470301"/>
    <n v="551306.61872893095"/>
  </r>
  <r>
    <x v="0"/>
    <x v="0"/>
    <x v="0"/>
    <x v="7"/>
    <x v="14"/>
    <s v="NO4_A1"/>
    <x v="7"/>
    <s v="GNR_RES_WTR_NOPMP_MC-01"/>
    <x v="0"/>
    <x v="7"/>
    <n v="419.56363678000798"/>
    <n v="153140.72742470301"/>
    <n v="551306.61872893095"/>
  </r>
  <r>
    <x v="0"/>
    <x v="0"/>
    <x v="0"/>
    <x v="7"/>
    <x v="14"/>
    <s v="NO4_A1"/>
    <x v="7"/>
    <s v="GNR_RES_WTR_NOPMP_MC-01"/>
    <x v="0"/>
    <x v="8"/>
    <n v="419.56363678000798"/>
    <n v="153140.72742470301"/>
    <n v="551306.61872893095"/>
  </r>
  <r>
    <x v="0"/>
    <x v="0"/>
    <x v="0"/>
    <x v="7"/>
    <x v="14"/>
    <s v="NO4_A1"/>
    <x v="7"/>
    <s v="GNR_RES_WTR_NOPMP_MC-01"/>
    <x v="0"/>
    <x v="9"/>
    <n v="419.56363678000798"/>
    <n v="153140.72742470301"/>
    <n v="551306.61872893095"/>
  </r>
  <r>
    <x v="0"/>
    <x v="0"/>
    <x v="0"/>
    <x v="7"/>
    <x v="14"/>
    <s v="NO4_A1"/>
    <x v="7"/>
    <s v="GNR_RES_WTR_NOPMP_MC-01"/>
    <x v="0"/>
    <x v="10"/>
    <n v="419.56363678000798"/>
    <n v="153140.72742470301"/>
    <n v="551306.61872893095"/>
  </r>
  <r>
    <x v="0"/>
    <x v="0"/>
    <x v="0"/>
    <x v="7"/>
    <x v="14"/>
    <s v="NO4_A1"/>
    <x v="7"/>
    <s v="GNR_RES_WTR_NOPMP_MC-01"/>
    <x v="0"/>
    <x v="11"/>
    <n v="419.56363678000798"/>
    <n v="153140.72742470301"/>
    <n v="551306.61872893095"/>
  </r>
  <r>
    <x v="0"/>
    <x v="0"/>
    <x v="0"/>
    <x v="7"/>
    <x v="14"/>
    <s v="NO4_A1"/>
    <x v="7"/>
    <s v="GNR_RES_WTR_NOPMP_MC-01"/>
    <x v="0"/>
    <x v="12"/>
    <n v="419.56363678000798"/>
    <n v="153140.72742470301"/>
    <n v="551306.61872893095"/>
  </r>
  <r>
    <x v="0"/>
    <x v="0"/>
    <x v="0"/>
    <x v="7"/>
    <x v="14"/>
    <s v="NO4_A1"/>
    <x v="7"/>
    <s v="GNR_RES_WTR_NOPMP_MC-01"/>
    <x v="0"/>
    <x v="13"/>
    <n v="419.56363678000798"/>
    <n v="153140.72742470301"/>
    <n v="551306.61872893095"/>
  </r>
  <r>
    <x v="0"/>
    <x v="0"/>
    <x v="0"/>
    <x v="7"/>
    <x v="14"/>
    <s v="NO4_A1"/>
    <x v="7"/>
    <s v="GNR_RES_WTR_NOPMP_MC-01"/>
    <x v="0"/>
    <x v="14"/>
    <n v="419.56363678000798"/>
    <n v="153140.72742470301"/>
    <n v="551306.61872893095"/>
  </r>
  <r>
    <x v="0"/>
    <x v="0"/>
    <x v="0"/>
    <x v="7"/>
    <x v="14"/>
    <s v="NO4_A1"/>
    <x v="7"/>
    <s v="GNR_RES_WTR_NOPMP_MC-01"/>
    <x v="0"/>
    <x v="15"/>
    <n v="419.56363678000798"/>
    <n v="153140.72742470301"/>
    <n v="551306.61872893095"/>
  </r>
  <r>
    <x v="0"/>
    <x v="0"/>
    <x v="0"/>
    <x v="7"/>
    <x v="14"/>
    <s v="NO4_A1"/>
    <x v="7"/>
    <s v="GNR_RES_WTR_NOPMP_MC-01"/>
    <x v="0"/>
    <x v="16"/>
    <n v="419.56363678000798"/>
    <n v="153140.72742470301"/>
    <n v="551306.61872893095"/>
  </r>
  <r>
    <x v="0"/>
    <x v="0"/>
    <x v="0"/>
    <x v="7"/>
    <x v="14"/>
    <s v="NO4_A1"/>
    <x v="7"/>
    <s v="GNR_RES_WTR_NOPMP_MC-01"/>
    <x v="0"/>
    <x v="17"/>
    <n v="419.56363678000798"/>
    <n v="153140.72742470301"/>
    <n v="551306.61872893095"/>
  </r>
  <r>
    <x v="0"/>
    <x v="0"/>
    <x v="0"/>
    <x v="7"/>
    <x v="14"/>
    <s v="NO4_A1"/>
    <x v="7"/>
    <s v="GNR_RES_WTR_NOPMP_MC-01"/>
    <x v="0"/>
    <x v="19"/>
    <n v="419.56363678000798"/>
    <n v="153140.72742470301"/>
    <n v="551306.61872893095"/>
  </r>
  <r>
    <x v="0"/>
    <x v="0"/>
    <x v="0"/>
    <x v="7"/>
    <x v="14"/>
    <s v="NO4_A1"/>
    <x v="7"/>
    <s v="GNR_RES_WTR_NOPMP_MC-01"/>
    <x v="0"/>
    <x v="20"/>
    <n v="419.56363678000798"/>
    <n v="153140.72742470301"/>
    <n v="551306.61872893095"/>
  </r>
  <r>
    <x v="0"/>
    <x v="0"/>
    <x v="0"/>
    <x v="7"/>
    <x v="14"/>
    <s v="NO4_A1"/>
    <x v="7"/>
    <s v="GNR_RES_WTR_NOPMP_MC-01"/>
    <x v="0"/>
    <x v="21"/>
    <n v="419.56363678000798"/>
    <n v="153140.72742470301"/>
    <n v="551306.61872893095"/>
  </r>
  <r>
    <x v="0"/>
    <x v="0"/>
    <x v="0"/>
    <x v="7"/>
    <x v="14"/>
    <s v="NO4_A1"/>
    <x v="7"/>
    <s v="GNR_RES_WTR_NOPMP_MC-01"/>
    <x v="0"/>
    <x v="22"/>
    <n v="419.56363678000798"/>
    <n v="153140.72742470301"/>
    <n v="551306.61872893095"/>
  </r>
  <r>
    <x v="0"/>
    <x v="0"/>
    <x v="0"/>
    <x v="7"/>
    <x v="14"/>
    <s v="NO4_A1"/>
    <x v="7"/>
    <s v="GNR_RES_WTR_NOPMP_MC-01"/>
    <x v="0"/>
    <x v="23"/>
    <n v="419.56363678000798"/>
    <n v="153140.72742470301"/>
    <n v="551306.61872893095"/>
  </r>
  <r>
    <x v="0"/>
    <x v="0"/>
    <x v="0"/>
    <x v="7"/>
    <x v="14"/>
    <s v="NO4_A1"/>
    <x v="7"/>
    <s v="GNR_RES_WTR_NOPMP_MC-02"/>
    <x v="0"/>
    <x v="0"/>
    <n v="419.56363678000798"/>
    <n v="153140.72742470301"/>
    <n v="551306.61872893095"/>
  </r>
  <r>
    <x v="0"/>
    <x v="0"/>
    <x v="0"/>
    <x v="7"/>
    <x v="14"/>
    <s v="NO4_A1"/>
    <x v="7"/>
    <s v="GNR_RES_WTR_NOPMP_MC-02"/>
    <x v="0"/>
    <x v="1"/>
    <n v="419.56363678000798"/>
    <n v="153140.72742470301"/>
    <n v="551306.61872893095"/>
  </r>
  <r>
    <x v="0"/>
    <x v="0"/>
    <x v="0"/>
    <x v="7"/>
    <x v="14"/>
    <s v="NO4_A1"/>
    <x v="7"/>
    <s v="GNR_RES_WTR_NOPMP_MC-02"/>
    <x v="0"/>
    <x v="2"/>
    <n v="419.56363678000798"/>
    <n v="153140.72742470301"/>
    <n v="551306.61872893095"/>
  </r>
  <r>
    <x v="0"/>
    <x v="0"/>
    <x v="0"/>
    <x v="7"/>
    <x v="14"/>
    <s v="NO4_A1"/>
    <x v="7"/>
    <s v="GNR_RES_WTR_NOPMP_MC-02"/>
    <x v="0"/>
    <x v="3"/>
    <n v="419.56363678000798"/>
    <n v="153140.72742470301"/>
    <n v="551306.61872893095"/>
  </r>
  <r>
    <x v="0"/>
    <x v="0"/>
    <x v="0"/>
    <x v="7"/>
    <x v="14"/>
    <s v="NO4_A1"/>
    <x v="7"/>
    <s v="GNR_RES_WTR_NOPMP_MC-02"/>
    <x v="0"/>
    <x v="18"/>
    <n v="419.56363678000798"/>
    <n v="153140.72742470301"/>
    <n v="551306.61872893095"/>
  </r>
  <r>
    <x v="0"/>
    <x v="0"/>
    <x v="0"/>
    <x v="7"/>
    <x v="14"/>
    <s v="NO4_A1"/>
    <x v="7"/>
    <s v="GNR_RES_WTR_NOPMP_MC-02"/>
    <x v="0"/>
    <x v="4"/>
    <n v="419.56363678000798"/>
    <n v="153140.72742470301"/>
    <n v="551306.61872893095"/>
  </r>
  <r>
    <x v="0"/>
    <x v="0"/>
    <x v="0"/>
    <x v="7"/>
    <x v="14"/>
    <s v="NO4_A1"/>
    <x v="7"/>
    <s v="GNR_RES_WTR_NOPMP_MC-02"/>
    <x v="0"/>
    <x v="5"/>
    <n v="419.56363678000798"/>
    <n v="153140.72742470301"/>
    <n v="551306.61872893095"/>
  </r>
  <r>
    <x v="0"/>
    <x v="0"/>
    <x v="0"/>
    <x v="7"/>
    <x v="14"/>
    <s v="NO4_A1"/>
    <x v="7"/>
    <s v="GNR_RES_WTR_NOPMP_MC-02"/>
    <x v="0"/>
    <x v="6"/>
    <n v="419.56363678000798"/>
    <n v="153140.72742470301"/>
    <n v="551306.61872893095"/>
  </r>
  <r>
    <x v="0"/>
    <x v="0"/>
    <x v="0"/>
    <x v="7"/>
    <x v="14"/>
    <s v="NO4_A1"/>
    <x v="7"/>
    <s v="GNR_RES_WTR_NOPMP_MC-02"/>
    <x v="0"/>
    <x v="7"/>
    <n v="419.56363678000798"/>
    <n v="153140.72742470301"/>
    <n v="551306.61872893095"/>
  </r>
  <r>
    <x v="0"/>
    <x v="0"/>
    <x v="0"/>
    <x v="7"/>
    <x v="14"/>
    <s v="NO4_A1"/>
    <x v="7"/>
    <s v="GNR_RES_WTR_NOPMP_MC-02"/>
    <x v="0"/>
    <x v="8"/>
    <n v="419.56363678000798"/>
    <n v="153140.72742470301"/>
    <n v="551306.61872893095"/>
  </r>
  <r>
    <x v="0"/>
    <x v="0"/>
    <x v="0"/>
    <x v="7"/>
    <x v="14"/>
    <s v="NO4_A1"/>
    <x v="7"/>
    <s v="GNR_RES_WTR_NOPMP_MC-02"/>
    <x v="0"/>
    <x v="9"/>
    <n v="419.56363678000798"/>
    <n v="153140.72742470301"/>
    <n v="551306.61872893095"/>
  </r>
  <r>
    <x v="0"/>
    <x v="0"/>
    <x v="0"/>
    <x v="7"/>
    <x v="14"/>
    <s v="NO4_A1"/>
    <x v="7"/>
    <s v="GNR_RES_WTR_NOPMP_MC-02"/>
    <x v="0"/>
    <x v="10"/>
    <n v="419.56363678000798"/>
    <n v="153140.72742470301"/>
    <n v="551306.61872893095"/>
  </r>
  <r>
    <x v="0"/>
    <x v="0"/>
    <x v="0"/>
    <x v="7"/>
    <x v="14"/>
    <s v="NO4_A1"/>
    <x v="7"/>
    <s v="GNR_RES_WTR_NOPMP_MC-02"/>
    <x v="0"/>
    <x v="11"/>
    <n v="419.56363678000798"/>
    <n v="153140.72742470301"/>
    <n v="551306.61872893095"/>
  </r>
  <r>
    <x v="0"/>
    <x v="0"/>
    <x v="0"/>
    <x v="7"/>
    <x v="14"/>
    <s v="NO4_A1"/>
    <x v="7"/>
    <s v="GNR_RES_WTR_NOPMP_MC-02"/>
    <x v="0"/>
    <x v="12"/>
    <n v="419.56363678000798"/>
    <n v="153140.72742470301"/>
    <n v="551306.61872893095"/>
  </r>
  <r>
    <x v="0"/>
    <x v="0"/>
    <x v="0"/>
    <x v="7"/>
    <x v="14"/>
    <s v="NO4_A1"/>
    <x v="7"/>
    <s v="GNR_RES_WTR_NOPMP_MC-02"/>
    <x v="0"/>
    <x v="13"/>
    <n v="419.56363678000798"/>
    <n v="153140.72742470301"/>
    <n v="551306.61872893095"/>
  </r>
  <r>
    <x v="0"/>
    <x v="0"/>
    <x v="0"/>
    <x v="7"/>
    <x v="14"/>
    <s v="NO4_A1"/>
    <x v="7"/>
    <s v="GNR_RES_WTR_NOPMP_MC-02"/>
    <x v="0"/>
    <x v="14"/>
    <n v="419.56363678000798"/>
    <n v="153140.72742470301"/>
    <n v="551306.61872893095"/>
  </r>
  <r>
    <x v="0"/>
    <x v="0"/>
    <x v="0"/>
    <x v="7"/>
    <x v="14"/>
    <s v="NO4_A1"/>
    <x v="7"/>
    <s v="GNR_RES_WTR_NOPMP_MC-02"/>
    <x v="0"/>
    <x v="15"/>
    <n v="419.56363678000798"/>
    <n v="153140.72742470301"/>
    <n v="551306.61872893095"/>
  </r>
  <r>
    <x v="0"/>
    <x v="0"/>
    <x v="0"/>
    <x v="7"/>
    <x v="14"/>
    <s v="NO4_A1"/>
    <x v="7"/>
    <s v="GNR_RES_WTR_NOPMP_MC-02"/>
    <x v="0"/>
    <x v="16"/>
    <n v="419.56363678000798"/>
    <n v="153140.72742470301"/>
    <n v="551306.61872893095"/>
  </r>
  <r>
    <x v="0"/>
    <x v="0"/>
    <x v="0"/>
    <x v="7"/>
    <x v="14"/>
    <s v="NO4_A1"/>
    <x v="7"/>
    <s v="GNR_RES_WTR_NOPMP_MC-02"/>
    <x v="0"/>
    <x v="17"/>
    <n v="419.56363678000798"/>
    <n v="153140.72742470301"/>
    <n v="551306.61872893095"/>
  </r>
  <r>
    <x v="0"/>
    <x v="0"/>
    <x v="0"/>
    <x v="7"/>
    <x v="14"/>
    <s v="NO4_A1"/>
    <x v="7"/>
    <s v="GNR_RES_WTR_NOPMP_MC-02"/>
    <x v="0"/>
    <x v="19"/>
    <n v="419.56363678000798"/>
    <n v="153140.72742470301"/>
    <n v="551306.61872893095"/>
  </r>
  <r>
    <x v="0"/>
    <x v="0"/>
    <x v="0"/>
    <x v="7"/>
    <x v="14"/>
    <s v="NO4_A1"/>
    <x v="7"/>
    <s v="GNR_RES_WTR_NOPMP_MC-02"/>
    <x v="0"/>
    <x v="20"/>
    <n v="419.56363678000798"/>
    <n v="153140.72742470301"/>
    <n v="551306.61872893095"/>
  </r>
  <r>
    <x v="0"/>
    <x v="0"/>
    <x v="0"/>
    <x v="7"/>
    <x v="14"/>
    <s v="NO4_A1"/>
    <x v="7"/>
    <s v="GNR_RES_WTR_NOPMP_MC-02"/>
    <x v="0"/>
    <x v="21"/>
    <n v="419.56363678000798"/>
    <n v="153140.72742470301"/>
    <n v="551306.61872893095"/>
  </r>
  <r>
    <x v="0"/>
    <x v="0"/>
    <x v="0"/>
    <x v="7"/>
    <x v="14"/>
    <s v="NO4_A1"/>
    <x v="7"/>
    <s v="GNR_RES_WTR_NOPMP_MC-02"/>
    <x v="0"/>
    <x v="22"/>
    <n v="419.56363678000798"/>
    <n v="153140.72742470301"/>
    <n v="551306.61872893095"/>
  </r>
  <r>
    <x v="0"/>
    <x v="0"/>
    <x v="0"/>
    <x v="7"/>
    <x v="14"/>
    <s v="NO4_A1"/>
    <x v="7"/>
    <s v="GNR_RES_WTR_NOPMP_MC-02"/>
    <x v="0"/>
    <x v="23"/>
    <n v="419.56363678000798"/>
    <n v="153140.72742470301"/>
    <n v="551306.61872893095"/>
  </r>
  <r>
    <x v="0"/>
    <x v="0"/>
    <x v="0"/>
    <x v="7"/>
    <x v="14"/>
    <s v="NO4_A1"/>
    <x v="7"/>
    <s v="GNR_RES_WTR_NOPMP_MC-03"/>
    <x v="0"/>
    <x v="0"/>
    <n v="419.56363678000798"/>
    <n v="153140.72742470301"/>
    <n v="551306.61872893095"/>
  </r>
  <r>
    <x v="0"/>
    <x v="0"/>
    <x v="0"/>
    <x v="7"/>
    <x v="14"/>
    <s v="NO4_A1"/>
    <x v="7"/>
    <s v="GNR_RES_WTR_NOPMP_MC-03"/>
    <x v="0"/>
    <x v="1"/>
    <n v="419.56363678000798"/>
    <n v="153140.72742470301"/>
    <n v="551306.61872893095"/>
  </r>
  <r>
    <x v="0"/>
    <x v="0"/>
    <x v="0"/>
    <x v="7"/>
    <x v="14"/>
    <s v="NO4_A1"/>
    <x v="7"/>
    <s v="GNR_RES_WTR_NOPMP_MC-03"/>
    <x v="0"/>
    <x v="2"/>
    <n v="419.56363678000798"/>
    <n v="153140.72742470301"/>
    <n v="551306.61872893095"/>
  </r>
  <r>
    <x v="0"/>
    <x v="0"/>
    <x v="0"/>
    <x v="7"/>
    <x v="14"/>
    <s v="NO4_A1"/>
    <x v="7"/>
    <s v="GNR_RES_WTR_NOPMP_MC-03"/>
    <x v="0"/>
    <x v="3"/>
    <n v="419.56363678000798"/>
    <n v="153140.72742470301"/>
    <n v="551306.61872893095"/>
  </r>
  <r>
    <x v="0"/>
    <x v="0"/>
    <x v="0"/>
    <x v="7"/>
    <x v="14"/>
    <s v="NO4_A1"/>
    <x v="7"/>
    <s v="GNR_RES_WTR_NOPMP_MC-03"/>
    <x v="0"/>
    <x v="18"/>
    <n v="419.56363678000798"/>
    <n v="153140.72742470301"/>
    <n v="551306.61872893095"/>
  </r>
  <r>
    <x v="0"/>
    <x v="0"/>
    <x v="0"/>
    <x v="7"/>
    <x v="14"/>
    <s v="NO4_A1"/>
    <x v="7"/>
    <s v="GNR_RES_WTR_NOPMP_MC-03"/>
    <x v="0"/>
    <x v="4"/>
    <n v="419.56363678000798"/>
    <n v="153140.72742470301"/>
    <n v="551306.61872893095"/>
  </r>
  <r>
    <x v="0"/>
    <x v="0"/>
    <x v="0"/>
    <x v="7"/>
    <x v="14"/>
    <s v="NO4_A1"/>
    <x v="7"/>
    <s v="GNR_RES_WTR_NOPMP_MC-03"/>
    <x v="0"/>
    <x v="5"/>
    <n v="419.56363678000798"/>
    <n v="153140.72742470301"/>
    <n v="551306.61872893095"/>
  </r>
  <r>
    <x v="0"/>
    <x v="0"/>
    <x v="0"/>
    <x v="7"/>
    <x v="14"/>
    <s v="NO4_A1"/>
    <x v="7"/>
    <s v="GNR_RES_WTR_NOPMP_MC-03"/>
    <x v="0"/>
    <x v="6"/>
    <n v="419.56363678000798"/>
    <n v="153140.72742470301"/>
    <n v="551306.61872893095"/>
  </r>
  <r>
    <x v="0"/>
    <x v="0"/>
    <x v="0"/>
    <x v="7"/>
    <x v="14"/>
    <s v="NO4_A1"/>
    <x v="7"/>
    <s v="GNR_RES_WTR_NOPMP_MC-03"/>
    <x v="0"/>
    <x v="7"/>
    <n v="419.56363678000798"/>
    <n v="153140.72742470301"/>
    <n v="551306.61872893095"/>
  </r>
  <r>
    <x v="0"/>
    <x v="0"/>
    <x v="0"/>
    <x v="7"/>
    <x v="14"/>
    <s v="NO4_A1"/>
    <x v="7"/>
    <s v="GNR_RES_WTR_NOPMP_MC-03"/>
    <x v="0"/>
    <x v="8"/>
    <n v="419.56363678000798"/>
    <n v="153140.72742470301"/>
    <n v="551306.61872893095"/>
  </r>
  <r>
    <x v="0"/>
    <x v="0"/>
    <x v="0"/>
    <x v="7"/>
    <x v="14"/>
    <s v="NO4_A1"/>
    <x v="7"/>
    <s v="GNR_RES_WTR_NOPMP_MC-03"/>
    <x v="0"/>
    <x v="9"/>
    <n v="419.56363678000798"/>
    <n v="153140.72742470301"/>
    <n v="551306.61872893095"/>
  </r>
  <r>
    <x v="0"/>
    <x v="0"/>
    <x v="0"/>
    <x v="7"/>
    <x v="14"/>
    <s v="NO4_A1"/>
    <x v="7"/>
    <s v="GNR_RES_WTR_NOPMP_MC-03"/>
    <x v="0"/>
    <x v="10"/>
    <n v="419.56363678000798"/>
    <n v="153140.72742470301"/>
    <n v="551306.61872893095"/>
  </r>
  <r>
    <x v="0"/>
    <x v="0"/>
    <x v="0"/>
    <x v="7"/>
    <x v="14"/>
    <s v="NO4_A1"/>
    <x v="7"/>
    <s v="GNR_RES_WTR_NOPMP_MC-03"/>
    <x v="0"/>
    <x v="11"/>
    <n v="419.56363678000798"/>
    <n v="153140.72742470301"/>
    <n v="551306.61872893095"/>
  </r>
  <r>
    <x v="0"/>
    <x v="0"/>
    <x v="0"/>
    <x v="7"/>
    <x v="14"/>
    <s v="NO4_A1"/>
    <x v="7"/>
    <s v="GNR_RES_WTR_NOPMP_MC-03"/>
    <x v="0"/>
    <x v="12"/>
    <n v="419.56363678000798"/>
    <n v="153140.72742470301"/>
    <n v="551306.61872893095"/>
  </r>
  <r>
    <x v="0"/>
    <x v="0"/>
    <x v="0"/>
    <x v="7"/>
    <x v="14"/>
    <s v="NO4_A1"/>
    <x v="7"/>
    <s v="GNR_RES_WTR_NOPMP_MC-03"/>
    <x v="0"/>
    <x v="13"/>
    <n v="419.56363678000798"/>
    <n v="153140.72742470301"/>
    <n v="551306.61872893095"/>
  </r>
  <r>
    <x v="0"/>
    <x v="0"/>
    <x v="0"/>
    <x v="7"/>
    <x v="14"/>
    <s v="NO4_A1"/>
    <x v="7"/>
    <s v="GNR_RES_WTR_NOPMP_MC-03"/>
    <x v="0"/>
    <x v="14"/>
    <n v="419.56363678000798"/>
    <n v="153140.72742470301"/>
    <n v="551306.61872893095"/>
  </r>
  <r>
    <x v="0"/>
    <x v="0"/>
    <x v="0"/>
    <x v="7"/>
    <x v="14"/>
    <s v="NO4_A1"/>
    <x v="7"/>
    <s v="GNR_RES_WTR_NOPMP_MC-03"/>
    <x v="0"/>
    <x v="15"/>
    <n v="419.56363678000798"/>
    <n v="153140.72742470301"/>
    <n v="551306.61872893095"/>
  </r>
  <r>
    <x v="0"/>
    <x v="0"/>
    <x v="0"/>
    <x v="7"/>
    <x v="14"/>
    <s v="NO4_A1"/>
    <x v="7"/>
    <s v="GNR_RES_WTR_NOPMP_MC-03"/>
    <x v="0"/>
    <x v="16"/>
    <n v="419.56363678000798"/>
    <n v="153140.72742470301"/>
    <n v="551306.61872893095"/>
  </r>
  <r>
    <x v="0"/>
    <x v="0"/>
    <x v="0"/>
    <x v="7"/>
    <x v="14"/>
    <s v="NO4_A1"/>
    <x v="7"/>
    <s v="GNR_RES_WTR_NOPMP_MC-03"/>
    <x v="0"/>
    <x v="17"/>
    <n v="419.56363678000798"/>
    <n v="153140.72742470301"/>
    <n v="551306.61872893095"/>
  </r>
  <r>
    <x v="0"/>
    <x v="0"/>
    <x v="0"/>
    <x v="7"/>
    <x v="14"/>
    <s v="NO4_A1"/>
    <x v="7"/>
    <s v="GNR_RES_WTR_NOPMP_MC-03"/>
    <x v="0"/>
    <x v="19"/>
    <n v="419.56363678000798"/>
    <n v="153140.72742470301"/>
    <n v="551306.61872893095"/>
  </r>
  <r>
    <x v="0"/>
    <x v="0"/>
    <x v="0"/>
    <x v="7"/>
    <x v="14"/>
    <s v="NO4_A1"/>
    <x v="7"/>
    <s v="GNR_RES_WTR_NOPMP_MC-03"/>
    <x v="0"/>
    <x v="20"/>
    <n v="419.56363678000798"/>
    <n v="153140.72742470301"/>
    <n v="551306.61872893095"/>
  </r>
  <r>
    <x v="0"/>
    <x v="0"/>
    <x v="0"/>
    <x v="7"/>
    <x v="14"/>
    <s v="NO4_A1"/>
    <x v="7"/>
    <s v="GNR_RES_WTR_NOPMP_MC-03"/>
    <x v="0"/>
    <x v="21"/>
    <n v="419.56363678000798"/>
    <n v="153140.72742470301"/>
    <n v="551306.61872893095"/>
  </r>
  <r>
    <x v="0"/>
    <x v="0"/>
    <x v="0"/>
    <x v="7"/>
    <x v="14"/>
    <s v="NO4_A1"/>
    <x v="7"/>
    <s v="GNR_RES_WTR_NOPMP_MC-03"/>
    <x v="0"/>
    <x v="22"/>
    <n v="419.56363678000798"/>
    <n v="153140.72742470301"/>
    <n v="551306.61872893095"/>
  </r>
  <r>
    <x v="0"/>
    <x v="0"/>
    <x v="0"/>
    <x v="7"/>
    <x v="14"/>
    <s v="NO4_A1"/>
    <x v="7"/>
    <s v="GNR_RES_WTR_NOPMP_MC-03"/>
    <x v="0"/>
    <x v="23"/>
    <n v="419.56363678000798"/>
    <n v="153140.72742470301"/>
    <n v="551306.61872893095"/>
  </r>
  <r>
    <x v="0"/>
    <x v="0"/>
    <x v="0"/>
    <x v="7"/>
    <x v="14"/>
    <s v="NO4_A1"/>
    <x v="7"/>
    <s v="GNR_RES_WTR_NOPMP_MC-04"/>
    <x v="0"/>
    <x v="0"/>
    <n v="419.56363678000798"/>
    <n v="153140.72742470301"/>
    <n v="551306.61872893095"/>
  </r>
  <r>
    <x v="0"/>
    <x v="0"/>
    <x v="0"/>
    <x v="7"/>
    <x v="14"/>
    <s v="NO4_A1"/>
    <x v="7"/>
    <s v="GNR_RES_WTR_NOPMP_MC-04"/>
    <x v="0"/>
    <x v="1"/>
    <n v="419.56363678000798"/>
    <n v="153140.72742470301"/>
    <n v="551306.61872893095"/>
  </r>
  <r>
    <x v="0"/>
    <x v="0"/>
    <x v="0"/>
    <x v="7"/>
    <x v="14"/>
    <s v="NO4_A1"/>
    <x v="7"/>
    <s v="GNR_RES_WTR_NOPMP_MC-04"/>
    <x v="0"/>
    <x v="2"/>
    <n v="419.56363678000798"/>
    <n v="153140.72742470301"/>
    <n v="551306.61872893095"/>
  </r>
  <r>
    <x v="0"/>
    <x v="0"/>
    <x v="0"/>
    <x v="7"/>
    <x v="14"/>
    <s v="NO4_A1"/>
    <x v="7"/>
    <s v="GNR_RES_WTR_NOPMP_MC-04"/>
    <x v="0"/>
    <x v="3"/>
    <n v="419.56363678000798"/>
    <n v="153140.72742470301"/>
    <n v="551306.61872893095"/>
  </r>
  <r>
    <x v="0"/>
    <x v="0"/>
    <x v="0"/>
    <x v="7"/>
    <x v="14"/>
    <s v="NO4_A1"/>
    <x v="7"/>
    <s v="GNR_RES_WTR_NOPMP_MC-04"/>
    <x v="0"/>
    <x v="18"/>
    <n v="419.56363678000798"/>
    <n v="153140.72742470301"/>
    <n v="551306.61872893095"/>
  </r>
  <r>
    <x v="0"/>
    <x v="0"/>
    <x v="0"/>
    <x v="7"/>
    <x v="14"/>
    <s v="NO4_A1"/>
    <x v="7"/>
    <s v="GNR_RES_WTR_NOPMP_MC-04"/>
    <x v="0"/>
    <x v="4"/>
    <n v="419.56363678000798"/>
    <n v="153140.72742470301"/>
    <n v="551306.61872893095"/>
  </r>
  <r>
    <x v="0"/>
    <x v="0"/>
    <x v="0"/>
    <x v="7"/>
    <x v="14"/>
    <s v="NO4_A1"/>
    <x v="7"/>
    <s v="GNR_RES_WTR_NOPMP_MC-04"/>
    <x v="0"/>
    <x v="5"/>
    <n v="419.56363678000798"/>
    <n v="153140.72742470301"/>
    <n v="551306.61872893095"/>
  </r>
  <r>
    <x v="0"/>
    <x v="0"/>
    <x v="0"/>
    <x v="7"/>
    <x v="14"/>
    <s v="NO4_A1"/>
    <x v="7"/>
    <s v="GNR_RES_WTR_NOPMP_MC-04"/>
    <x v="0"/>
    <x v="6"/>
    <n v="419.56363678000798"/>
    <n v="153140.72742470301"/>
    <n v="551306.61872893095"/>
  </r>
  <r>
    <x v="0"/>
    <x v="0"/>
    <x v="0"/>
    <x v="7"/>
    <x v="14"/>
    <s v="NO4_A1"/>
    <x v="7"/>
    <s v="GNR_RES_WTR_NOPMP_MC-04"/>
    <x v="0"/>
    <x v="7"/>
    <n v="419.56363678000798"/>
    <n v="153140.72742470301"/>
    <n v="551306.61872893095"/>
  </r>
  <r>
    <x v="0"/>
    <x v="0"/>
    <x v="0"/>
    <x v="7"/>
    <x v="14"/>
    <s v="NO4_A1"/>
    <x v="7"/>
    <s v="GNR_RES_WTR_NOPMP_MC-04"/>
    <x v="0"/>
    <x v="8"/>
    <n v="419.56363678000798"/>
    <n v="153140.72742470301"/>
    <n v="551306.61872893095"/>
  </r>
  <r>
    <x v="0"/>
    <x v="0"/>
    <x v="0"/>
    <x v="7"/>
    <x v="14"/>
    <s v="NO4_A1"/>
    <x v="7"/>
    <s v="GNR_RES_WTR_NOPMP_MC-04"/>
    <x v="0"/>
    <x v="9"/>
    <n v="419.56363678000798"/>
    <n v="153140.72742470301"/>
    <n v="551306.61872893095"/>
  </r>
  <r>
    <x v="0"/>
    <x v="0"/>
    <x v="0"/>
    <x v="7"/>
    <x v="14"/>
    <s v="NO4_A1"/>
    <x v="7"/>
    <s v="GNR_RES_WTR_NOPMP_MC-04"/>
    <x v="0"/>
    <x v="10"/>
    <n v="419.56363678000798"/>
    <n v="153140.72742470301"/>
    <n v="551306.61872893095"/>
  </r>
  <r>
    <x v="0"/>
    <x v="0"/>
    <x v="0"/>
    <x v="7"/>
    <x v="14"/>
    <s v="NO4_A1"/>
    <x v="7"/>
    <s v="GNR_RES_WTR_NOPMP_MC-04"/>
    <x v="0"/>
    <x v="11"/>
    <n v="419.56363678000798"/>
    <n v="153140.72742470301"/>
    <n v="551306.61872893095"/>
  </r>
  <r>
    <x v="0"/>
    <x v="0"/>
    <x v="0"/>
    <x v="7"/>
    <x v="14"/>
    <s v="NO4_A1"/>
    <x v="7"/>
    <s v="GNR_RES_WTR_NOPMP_MC-04"/>
    <x v="0"/>
    <x v="12"/>
    <n v="419.56363678000798"/>
    <n v="153140.72742470301"/>
    <n v="551306.61872893095"/>
  </r>
  <r>
    <x v="0"/>
    <x v="0"/>
    <x v="0"/>
    <x v="7"/>
    <x v="14"/>
    <s v="NO4_A1"/>
    <x v="7"/>
    <s v="GNR_RES_WTR_NOPMP_MC-04"/>
    <x v="0"/>
    <x v="13"/>
    <n v="419.56363678000798"/>
    <n v="153140.72742470301"/>
    <n v="551306.61872893095"/>
  </r>
  <r>
    <x v="0"/>
    <x v="0"/>
    <x v="0"/>
    <x v="7"/>
    <x v="14"/>
    <s v="NO4_A1"/>
    <x v="7"/>
    <s v="GNR_RES_WTR_NOPMP_MC-04"/>
    <x v="0"/>
    <x v="14"/>
    <n v="419.56363678000798"/>
    <n v="153140.72742470301"/>
    <n v="551306.61872893095"/>
  </r>
  <r>
    <x v="0"/>
    <x v="0"/>
    <x v="0"/>
    <x v="7"/>
    <x v="14"/>
    <s v="NO4_A1"/>
    <x v="7"/>
    <s v="GNR_RES_WTR_NOPMP_MC-04"/>
    <x v="0"/>
    <x v="15"/>
    <n v="419.56363678000798"/>
    <n v="153140.72742470301"/>
    <n v="551306.61872893095"/>
  </r>
  <r>
    <x v="0"/>
    <x v="0"/>
    <x v="0"/>
    <x v="7"/>
    <x v="14"/>
    <s v="NO4_A1"/>
    <x v="7"/>
    <s v="GNR_RES_WTR_NOPMP_MC-04"/>
    <x v="0"/>
    <x v="16"/>
    <n v="419.56363678000798"/>
    <n v="153140.72742470301"/>
    <n v="551306.61872893095"/>
  </r>
  <r>
    <x v="0"/>
    <x v="0"/>
    <x v="0"/>
    <x v="7"/>
    <x v="14"/>
    <s v="NO4_A1"/>
    <x v="7"/>
    <s v="GNR_RES_WTR_NOPMP_MC-04"/>
    <x v="0"/>
    <x v="17"/>
    <n v="419.56363678000798"/>
    <n v="153140.72742470301"/>
    <n v="551306.61872893095"/>
  </r>
  <r>
    <x v="0"/>
    <x v="0"/>
    <x v="0"/>
    <x v="7"/>
    <x v="14"/>
    <s v="NO4_A1"/>
    <x v="7"/>
    <s v="GNR_RES_WTR_NOPMP_MC-04"/>
    <x v="0"/>
    <x v="19"/>
    <n v="419.56363678000798"/>
    <n v="153140.72742470301"/>
    <n v="551306.61872893095"/>
  </r>
  <r>
    <x v="0"/>
    <x v="0"/>
    <x v="0"/>
    <x v="7"/>
    <x v="14"/>
    <s v="NO4_A1"/>
    <x v="7"/>
    <s v="GNR_RES_WTR_NOPMP_MC-04"/>
    <x v="0"/>
    <x v="20"/>
    <n v="419.56363678000798"/>
    <n v="153140.72742470301"/>
    <n v="551306.61872893095"/>
  </r>
  <r>
    <x v="0"/>
    <x v="0"/>
    <x v="0"/>
    <x v="7"/>
    <x v="14"/>
    <s v="NO4_A1"/>
    <x v="7"/>
    <s v="GNR_RES_WTR_NOPMP_MC-04"/>
    <x v="0"/>
    <x v="21"/>
    <n v="419.56363678000798"/>
    <n v="153140.72742470301"/>
    <n v="551306.61872893095"/>
  </r>
  <r>
    <x v="0"/>
    <x v="0"/>
    <x v="0"/>
    <x v="7"/>
    <x v="14"/>
    <s v="NO4_A1"/>
    <x v="7"/>
    <s v="GNR_RES_WTR_NOPMP_MC-04"/>
    <x v="0"/>
    <x v="22"/>
    <n v="419.56363678000798"/>
    <n v="153140.72742470301"/>
    <n v="551306.61872893095"/>
  </r>
  <r>
    <x v="0"/>
    <x v="0"/>
    <x v="0"/>
    <x v="7"/>
    <x v="14"/>
    <s v="NO4_A1"/>
    <x v="7"/>
    <s v="GNR_RES_WTR_NOPMP_MC-04"/>
    <x v="0"/>
    <x v="23"/>
    <n v="419.56363678000798"/>
    <n v="153140.72742470301"/>
    <n v="551306.61872893095"/>
  </r>
  <r>
    <x v="0"/>
    <x v="0"/>
    <x v="0"/>
    <x v="7"/>
    <x v="14"/>
    <s v="NO4_A1"/>
    <x v="7"/>
    <s v="GNR_RES_WTR_NOPMP_MC-05"/>
    <x v="0"/>
    <x v="0"/>
    <n v="419.56363678000798"/>
    <n v="153140.72742470301"/>
    <n v="551306.61872893095"/>
  </r>
  <r>
    <x v="0"/>
    <x v="0"/>
    <x v="0"/>
    <x v="7"/>
    <x v="14"/>
    <s v="NO4_A1"/>
    <x v="7"/>
    <s v="GNR_RES_WTR_NOPMP_MC-05"/>
    <x v="0"/>
    <x v="1"/>
    <n v="419.56363678000798"/>
    <n v="153140.72742470301"/>
    <n v="551306.61872893095"/>
  </r>
  <r>
    <x v="0"/>
    <x v="0"/>
    <x v="0"/>
    <x v="7"/>
    <x v="14"/>
    <s v="NO4_A1"/>
    <x v="7"/>
    <s v="GNR_RES_WTR_NOPMP_MC-05"/>
    <x v="0"/>
    <x v="2"/>
    <n v="419.56363678000798"/>
    <n v="153140.72742470301"/>
    <n v="551306.61872893095"/>
  </r>
  <r>
    <x v="0"/>
    <x v="0"/>
    <x v="0"/>
    <x v="7"/>
    <x v="14"/>
    <s v="NO4_A1"/>
    <x v="7"/>
    <s v="GNR_RES_WTR_NOPMP_MC-05"/>
    <x v="0"/>
    <x v="3"/>
    <n v="419.56363678000798"/>
    <n v="153140.72742470301"/>
    <n v="551306.61872893095"/>
  </r>
  <r>
    <x v="0"/>
    <x v="0"/>
    <x v="0"/>
    <x v="7"/>
    <x v="14"/>
    <s v="NO4_A1"/>
    <x v="7"/>
    <s v="GNR_RES_WTR_NOPMP_MC-05"/>
    <x v="0"/>
    <x v="18"/>
    <n v="419.56363678000798"/>
    <n v="153140.72742470301"/>
    <n v="551306.61872893095"/>
  </r>
  <r>
    <x v="0"/>
    <x v="0"/>
    <x v="0"/>
    <x v="7"/>
    <x v="14"/>
    <s v="NO4_A1"/>
    <x v="7"/>
    <s v="GNR_RES_WTR_NOPMP_MC-05"/>
    <x v="0"/>
    <x v="4"/>
    <n v="419.56363678000798"/>
    <n v="153140.72742470301"/>
    <n v="551306.61872893095"/>
  </r>
  <r>
    <x v="0"/>
    <x v="0"/>
    <x v="0"/>
    <x v="7"/>
    <x v="14"/>
    <s v="NO4_A1"/>
    <x v="7"/>
    <s v="GNR_RES_WTR_NOPMP_MC-05"/>
    <x v="0"/>
    <x v="5"/>
    <n v="419.56363678000798"/>
    <n v="153140.72742470301"/>
    <n v="551306.61872893095"/>
  </r>
  <r>
    <x v="0"/>
    <x v="0"/>
    <x v="0"/>
    <x v="7"/>
    <x v="14"/>
    <s v="NO4_A1"/>
    <x v="7"/>
    <s v="GNR_RES_WTR_NOPMP_MC-05"/>
    <x v="0"/>
    <x v="6"/>
    <n v="419.56363678000798"/>
    <n v="153140.72742470301"/>
    <n v="551306.61872893095"/>
  </r>
  <r>
    <x v="0"/>
    <x v="0"/>
    <x v="0"/>
    <x v="7"/>
    <x v="14"/>
    <s v="NO4_A1"/>
    <x v="7"/>
    <s v="GNR_RES_WTR_NOPMP_MC-05"/>
    <x v="0"/>
    <x v="7"/>
    <n v="419.56363678000798"/>
    <n v="153140.72742470301"/>
    <n v="551306.61872893095"/>
  </r>
  <r>
    <x v="0"/>
    <x v="0"/>
    <x v="0"/>
    <x v="7"/>
    <x v="14"/>
    <s v="NO4_A1"/>
    <x v="7"/>
    <s v="GNR_RES_WTR_NOPMP_MC-05"/>
    <x v="0"/>
    <x v="8"/>
    <n v="419.56363678000798"/>
    <n v="153140.72742470301"/>
    <n v="551306.61872893095"/>
  </r>
  <r>
    <x v="0"/>
    <x v="0"/>
    <x v="0"/>
    <x v="7"/>
    <x v="14"/>
    <s v="NO4_A1"/>
    <x v="7"/>
    <s v="GNR_RES_WTR_NOPMP_MC-05"/>
    <x v="0"/>
    <x v="9"/>
    <n v="419.56363678000798"/>
    <n v="153140.72742470301"/>
    <n v="551306.61872893095"/>
  </r>
  <r>
    <x v="0"/>
    <x v="0"/>
    <x v="0"/>
    <x v="7"/>
    <x v="14"/>
    <s v="NO4_A1"/>
    <x v="7"/>
    <s v="GNR_RES_WTR_NOPMP_MC-05"/>
    <x v="0"/>
    <x v="10"/>
    <n v="419.56363678000798"/>
    <n v="153140.72742470301"/>
    <n v="551306.61872893095"/>
  </r>
  <r>
    <x v="0"/>
    <x v="0"/>
    <x v="0"/>
    <x v="7"/>
    <x v="14"/>
    <s v="NO4_A1"/>
    <x v="7"/>
    <s v="GNR_RES_WTR_NOPMP_MC-05"/>
    <x v="0"/>
    <x v="11"/>
    <n v="419.56363678000798"/>
    <n v="153140.72742470301"/>
    <n v="551306.61872893095"/>
  </r>
  <r>
    <x v="0"/>
    <x v="0"/>
    <x v="0"/>
    <x v="7"/>
    <x v="14"/>
    <s v="NO4_A1"/>
    <x v="7"/>
    <s v="GNR_RES_WTR_NOPMP_MC-05"/>
    <x v="0"/>
    <x v="12"/>
    <n v="419.56363678000798"/>
    <n v="153140.72742470301"/>
    <n v="551306.61872893095"/>
  </r>
  <r>
    <x v="0"/>
    <x v="0"/>
    <x v="0"/>
    <x v="7"/>
    <x v="14"/>
    <s v="NO4_A1"/>
    <x v="7"/>
    <s v="GNR_RES_WTR_NOPMP_MC-05"/>
    <x v="0"/>
    <x v="13"/>
    <n v="419.56363678000798"/>
    <n v="153140.72742470301"/>
    <n v="551306.61872893095"/>
  </r>
  <r>
    <x v="0"/>
    <x v="0"/>
    <x v="0"/>
    <x v="7"/>
    <x v="14"/>
    <s v="NO4_A1"/>
    <x v="7"/>
    <s v="GNR_RES_WTR_NOPMP_MC-05"/>
    <x v="0"/>
    <x v="14"/>
    <n v="419.56363678000798"/>
    <n v="153140.72742470301"/>
    <n v="551306.61872893095"/>
  </r>
  <r>
    <x v="0"/>
    <x v="0"/>
    <x v="0"/>
    <x v="7"/>
    <x v="14"/>
    <s v="NO4_A1"/>
    <x v="7"/>
    <s v="GNR_RES_WTR_NOPMP_MC-05"/>
    <x v="0"/>
    <x v="15"/>
    <n v="419.56363678000798"/>
    <n v="153140.72742470301"/>
    <n v="551306.61872893095"/>
  </r>
  <r>
    <x v="0"/>
    <x v="0"/>
    <x v="0"/>
    <x v="7"/>
    <x v="14"/>
    <s v="NO4_A1"/>
    <x v="7"/>
    <s v="GNR_RES_WTR_NOPMP_MC-05"/>
    <x v="0"/>
    <x v="16"/>
    <n v="419.56363678000798"/>
    <n v="153140.72742470301"/>
    <n v="551306.61872893095"/>
  </r>
  <r>
    <x v="0"/>
    <x v="0"/>
    <x v="0"/>
    <x v="7"/>
    <x v="14"/>
    <s v="NO4_A1"/>
    <x v="7"/>
    <s v="GNR_RES_WTR_NOPMP_MC-05"/>
    <x v="0"/>
    <x v="17"/>
    <n v="419.56363678000798"/>
    <n v="153140.72742470301"/>
    <n v="551306.61872893095"/>
  </r>
  <r>
    <x v="0"/>
    <x v="0"/>
    <x v="0"/>
    <x v="7"/>
    <x v="14"/>
    <s v="NO4_A1"/>
    <x v="7"/>
    <s v="GNR_RES_WTR_NOPMP_MC-05"/>
    <x v="0"/>
    <x v="19"/>
    <n v="419.56363678000798"/>
    <n v="153140.72742470301"/>
    <n v="551306.61872893095"/>
  </r>
  <r>
    <x v="0"/>
    <x v="0"/>
    <x v="0"/>
    <x v="7"/>
    <x v="14"/>
    <s v="NO4_A1"/>
    <x v="7"/>
    <s v="GNR_RES_WTR_NOPMP_MC-05"/>
    <x v="0"/>
    <x v="20"/>
    <n v="419.56363678000798"/>
    <n v="153140.72742470301"/>
    <n v="551306.61872893095"/>
  </r>
  <r>
    <x v="0"/>
    <x v="0"/>
    <x v="0"/>
    <x v="7"/>
    <x v="14"/>
    <s v="NO4_A1"/>
    <x v="7"/>
    <s v="GNR_RES_WTR_NOPMP_MC-05"/>
    <x v="0"/>
    <x v="21"/>
    <n v="419.56363678000798"/>
    <n v="153140.72742470301"/>
    <n v="551306.61872893095"/>
  </r>
  <r>
    <x v="0"/>
    <x v="0"/>
    <x v="0"/>
    <x v="7"/>
    <x v="14"/>
    <s v="NO4_A1"/>
    <x v="7"/>
    <s v="GNR_RES_WTR_NOPMP_MC-05"/>
    <x v="0"/>
    <x v="22"/>
    <n v="419.56363678000798"/>
    <n v="153140.72742470301"/>
    <n v="551306.61872893095"/>
  </r>
  <r>
    <x v="0"/>
    <x v="0"/>
    <x v="0"/>
    <x v="7"/>
    <x v="14"/>
    <s v="NO4_A1"/>
    <x v="7"/>
    <s v="GNR_RES_WTR_NOPMP_MC-06"/>
    <x v="0"/>
    <x v="5"/>
    <n v="419.56363678000798"/>
    <n v="153140.72742470301"/>
    <n v="551306.61872893095"/>
  </r>
  <r>
    <x v="0"/>
    <x v="0"/>
    <x v="0"/>
    <x v="7"/>
    <x v="14"/>
    <s v="NO4_A1"/>
    <x v="7"/>
    <s v="GNR_RES_WTR_NOPMP_MC-06"/>
    <x v="0"/>
    <x v="6"/>
    <n v="419.56363678000798"/>
    <n v="153140.72742470301"/>
    <n v="551306.61872893095"/>
  </r>
  <r>
    <x v="0"/>
    <x v="0"/>
    <x v="0"/>
    <x v="7"/>
    <x v="14"/>
    <s v="NO4_A1"/>
    <x v="7"/>
    <s v="GNR_RES_WTR_NOPMP_MC-06"/>
    <x v="0"/>
    <x v="7"/>
    <n v="419.56363678000798"/>
    <n v="153140.72742470301"/>
    <n v="551306.61872893095"/>
  </r>
  <r>
    <x v="0"/>
    <x v="0"/>
    <x v="0"/>
    <x v="7"/>
    <x v="14"/>
    <s v="NO4_A1"/>
    <x v="7"/>
    <s v="GNR_RES_WTR_NOPMP_MC-06"/>
    <x v="0"/>
    <x v="8"/>
    <n v="419.56363678000798"/>
    <n v="153140.72742470301"/>
    <n v="551306.61872893095"/>
  </r>
  <r>
    <x v="0"/>
    <x v="0"/>
    <x v="0"/>
    <x v="7"/>
    <x v="14"/>
    <s v="NO4_A1"/>
    <x v="7"/>
    <s v="GNR_RES_WTR_NOPMP_MC-06"/>
    <x v="0"/>
    <x v="9"/>
    <n v="419.56363678000798"/>
    <n v="153140.72742470301"/>
    <n v="551306.61872893095"/>
  </r>
  <r>
    <x v="0"/>
    <x v="0"/>
    <x v="0"/>
    <x v="7"/>
    <x v="14"/>
    <s v="NO4_A1"/>
    <x v="7"/>
    <s v="GNR_RES_WTR_NOPMP_MC-06"/>
    <x v="0"/>
    <x v="10"/>
    <n v="419.56363678000798"/>
    <n v="153140.72742470301"/>
    <n v="551306.61872893095"/>
  </r>
  <r>
    <x v="0"/>
    <x v="0"/>
    <x v="0"/>
    <x v="7"/>
    <x v="14"/>
    <s v="NO4_A1"/>
    <x v="7"/>
    <s v="GNR_RES_WTR_NOPMP_MC-06"/>
    <x v="0"/>
    <x v="11"/>
    <n v="419.56363678000798"/>
    <n v="153140.72742470301"/>
    <n v="551306.61872893095"/>
  </r>
  <r>
    <x v="0"/>
    <x v="0"/>
    <x v="0"/>
    <x v="7"/>
    <x v="14"/>
    <s v="NO4_A1"/>
    <x v="7"/>
    <s v="GNR_RES_WTR_NOPMP_MC-06"/>
    <x v="0"/>
    <x v="12"/>
    <n v="419.56363678000798"/>
    <n v="153140.72742470301"/>
    <n v="551306.61872893095"/>
  </r>
  <r>
    <x v="0"/>
    <x v="0"/>
    <x v="0"/>
    <x v="7"/>
    <x v="14"/>
    <s v="NO4_A1"/>
    <x v="7"/>
    <s v="GNR_RES_WTR_NOPMP_MC-06"/>
    <x v="0"/>
    <x v="13"/>
    <n v="419.56363678000798"/>
    <n v="153140.72742470301"/>
    <n v="551306.61872893095"/>
  </r>
  <r>
    <x v="0"/>
    <x v="0"/>
    <x v="0"/>
    <x v="7"/>
    <x v="14"/>
    <s v="NO4_A1"/>
    <x v="7"/>
    <s v="GNR_RES_WTR_NOPMP_MC-06"/>
    <x v="0"/>
    <x v="14"/>
    <n v="419.56363678000798"/>
    <n v="153140.72742470301"/>
    <n v="551306.61872893095"/>
  </r>
  <r>
    <x v="0"/>
    <x v="0"/>
    <x v="0"/>
    <x v="7"/>
    <x v="14"/>
    <s v="NO4_A1"/>
    <x v="7"/>
    <s v="GNR_RES_WTR_NOPMP_MC-06"/>
    <x v="0"/>
    <x v="15"/>
    <n v="419.56363678000798"/>
    <n v="153140.72742470301"/>
    <n v="551306.61872893095"/>
  </r>
  <r>
    <x v="0"/>
    <x v="0"/>
    <x v="0"/>
    <x v="7"/>
    <x v="14"/>
    <s v="NO4_A1"/>
    <x v="7"/>
    <s v="GNR_RES_WTR_NOPMP_MC-06"/>
    <x v="0"/>
    <x v="16"/>
    <n v="419.56363678000798"/>
    <n v="153140.72742470301"/>
    <n v="551306.61872893095"/>
  </r>
  <r>
    <x v="0"/>
    <x v="0"/>
    <x v="0"/>
    <x v="7"/>
    <x v="14"/>
    <s v="NO4_A1"/>
    <x v="7"/>
    <s v="GNR_RES_WTR_NOPMP_MC-06"/>
    <x v="0"/>
    <x v="17"/>
    <n v="419.56363678000798"/>
    <n v="153140.72742470301"/>
    <n v="551306.61872893095"/>
  </r>
  <r>
    <x v="0"/>
    <x v="0"/>
    <x v="0"/>
    <x v="7"/>
    <x v="14"/>
    <s v="NO4_A1"/>
    <x v="7"/>
    <s v="GNR_RES_WTR_NOPMP_MC-06"/>
    <x v="0"/>
    <x v="19"/>
    <n v="382.33762678097798"/>
    <n v="139553.23377505699"/>
    <n v="502391.64159020502"/>
  </r>
  <r>
    <x v="0"/>
    <x v="0"/>
    <x v="0"/>
    <x v="7"/>
    <x v="14"/>
    <s v="NO4_A1"/>
    <x v="7"/>
    <s v="GNR_RES_WTR_NOPMP_MC-06"/>
    <x v="0"/>
    <x v="20"/>
    <n v="419.56363678000798"/>
    <n v="153140.72742470301"/>
    <n v="551306.61872893095"/>
  </r>
  <r>
    <x v="0"/>
    <x v="0"/>
    <x v="0"/>
    <x v="7"/>
    <x v="14"/>
    <s v="NO4_A1"/>
    <x v="7"/>
    <s v="GNR_RES_WTR_NOPMP_MC-06"/>
    <x v="0"/>
    <x v="21"/>
    <n v="349.07514365179298"/>
    <n v="127412.42743290401"/>
    <n v="458684.73875845497"/>
  </r>
  <r>
    <x v="0"/>
    <x v="0"/>
    <x v="0"/>
    <x v="7"/>
    <x v="14"/>
    <s v="NO4_A1"/>
    <x v="7"/>
    <s v="GNR_RES_WTR_NOPMP_MC-07"/>
    <x v="0"/>
    <x v="6"/>
    <n v="357.87549335501501"/>
    <n v="130624.555074581"/>
    <n v="470248.39826848998"/>
  </r>
  <r>
    <x v="0"/>
    <x v="0"/>
    <x v="0"/>
    <x v="7"/>
    <x v="14"/>
    <s v="NO4_A1"/>
    <x v="7"/>
    <s v="GNR_RES_WTR_NOPMP_MC-07"/>
    <x v="0"/>
    <x v="7"/>
    <n v="419.56363678000798"/>
    <n v="153140.72742470301"/>
    <n v="551306.61872893095"/>
  </r>
  <r>
    <x v="0"/>
    <x v="0"/>
    <x v="0"/>
    <x v="7"/>
    <x v="14"/>
    <s v="NO4_A1"/>
    <x v="7"/>
    <s v="GNR_RES_WTR_NOPMP_MC-07"/>
    <x v="0"/>
    <x v="8"/>
    <n v="419.56363678000798"/>
    <n v="153140.72742470301"/>
    <n v="551306.61872893095"/>
  </r>
  <r>
    <x v="0"/>
    <x v="0"/>
    <x v="0"/>
    <x v="7"/>
    <x v="14"/>
    <s v="NO4_A1"/>
    <x v="7"/>
    <s v="GNR_ROR_WTR"/>
    <x v="0"/>
    <x v="0"/>
    <n v="366.70762376241902"/>
    <n v="133848.28267328301"/>
    <n v="481853.81762381899"/>
  </r>
  <r>
    <x v="0"/>
    <x v="0"/>
    <x v="0"/>
    <x v="7"/>
    <x v="14"/>
    <s v="NO4_A1"/>
    <x v="7"/>
    <s v="GNR_ROR_WTR"/>
    <x v="0"/>
    <x v="1"/>
    <n v="366.70762376241902"/>
    <n v="133848.28267328301"/>
    <n v="481853.81762381899"/>
  </r>
  <r>
    <x v="0"/>
    <x v="0"/>
    <x v="0"/>
    <x v="7"/>
    <x v="14"/>
    <s v="NO4_A1"/>
    <x v="7"/>
    <s v="GNR_ROR_WTR"/>
    <x v="0"/>
    <x v="2"/>
    <n v="366.70762376241902"/>
    <n v="133848.28267328301"/>
    <n v="481853.81762381899"/>
  </r>
  <r>
    <x v="0"/>
    <x v="0"/>
    <x v="0"/>
    <x v="7"/>
    <x v="14"/>
    <s v="NO4_A1"/>
    <x v="7"/>
    <s v="GNR_ROR_WTR"/>
    <x v="0"/>
    <x v="3"/>
    <n v="366.70762376241902"/>
    <n v="133848.28267328301"/>
    <n v="481853.81762381899"/>
  </r>
  <r>
    <x v="0"/>
    <x v="0"/>
    <x v="0"/>
    <x v="7"/>
    <x v="14"/>
    <s v="NO4_A1"/>
    <x v="7"/>
    <s v="GNR_ROR_WTR"/>
    <x v="0"/>
    <x v="18"/>
    <n v="366.70762376241902"/>
    <n v="133848.28267328301"/>
    <n v="481853.81762381899"/>
  </r>
  <r>
    <x v="0"/>
    <x v="0"/>
    <x v="0"/>
    <x v="7"/>
    <x v="14"/>
    <s v="NO4_A1"/>
    <x v="7"/>
    <s v="GNR_ROR_WTR"/>
    <x v="0"/>
    <x v="4"/>
    <n v="366.70762376241902"/>
    <n v="133848.28267328301"/>
    <n v="481853.81762381899"/>
  </r>
  <r>
    <x v="0"/>
    <x v="0"/>
    <x v="0"/>
    <x v="7"/>
    <x v="14"/>
    <s v="NO4_A1"/>
    <x v="7"/>
    <s v="GNR_ROR_WTR"/>
    <x v="0"/>
    <x v="5"/>
    <n v="366.70762376241902"/>
    <n v="133848.28267328301"/>
    <n v="481853.81762381899"/>
  </r>
  <r>
    <x v="0"/>
    <x v="0"/>
    <x v="0"/>
    <x v="7"/>
    <x v="14"/>
    <s v="NO4_A1"/>
    <x v="7"/>
    <s v="GNR_ROR_WTR"/>
    <x v="0"/>
    <x v="6"/>
    <n v="366.70762376241902"/>
    <n v="133848.28267328301"/>
    <n v="481853.81762381899"/>
  </r>
  <r>
    <x v="0"/>
    <x v="0"/>
    <x v="0"/>
    <x v="7"/>
    <x v="14"/>
    <s v="NO4_A1"/>
    <x v="7"/>
    <s v="GNR_ROR_WTR"/>
    <x v="0"/>
    <x v="7"/>
    <n v="366.70762376241902"/>
    <n v="133848.28267328301"/>
    <n v="481853.81762381899"/>
  </r>
  <r>
    <x v="0"/>
    <x v="0"/>
    <x v="0"/>
    <x v="7"/>
    <x v="14"/>
    <s v="NO4_A1"/>
    <x v="7"/>
    <s v="GNR_ROR_WTR"/>
    <x v="0"/>
    <x v="8"/>
    <n v="366.70762376241902"/>
    <n v="133848.28267328301"/>
    <n v="481853.81762381899"/>
  </r>
  <r>
    <x v="0"/>
    <x v="0"/>
    <x v="0"/>
    <x v="7"/>
    <x v="14"/>
    <s v="NO4_A1"/>
    <x v="7"/>
    <s v="GNR_ROR_WTR"/>
    <x v="0"/>
    <x v="9"/>
    <n v="366.70762376241902"/>
    <n v="133848.28267328301"/>
    <n v="481853.81762381899"/>
  </r>
  <r>
    <x v="0"/>
    <x v="0"/>
    <x v="0"/>
    <x v="7"/>
    <x v="14"/>
    <s v="NO4_A1"/>
    <x v="7"/>
    <s v="GNR_ROR_WTR"/>
    <x v="0"/>
    <x v="10"/>
    <n v="366.70762376241902"/>
    <n v="133848.28267328301"/>
    <n v="481853.81762381899"/>
  </r>
  <r>
    <x v="0"/>
    <x v="0"/>
    <x v="0"/>
    <x v="7"/>
    <x v="14"/>
    <s v="NO4_A1"/>
    <x v="7"/>
    <s v="GNR_ROR_WTR"/>
    <x v="0"/>
    <x v="11"/>
    <n v="366.70762376241902"/>
    <n v="133848.28267328301"/>
    <n v="481853.81762381899"/>
  </r>
  <r>
    <x v="0"/>
    <x v="0"/>
    <x v="0"/>
    <x v="7"/>
    <x v="14"/>
    <s v="NO4_A1"/>
    <x v="7"/>
    <s v="GNR_ROR_WTR"/>
    <x v="0"/>
    <x v="12"/>
    <n v="366.70762376241902"/>
    <n v="133848.28267328301"/>
    <n v="481853.81762381899"/>
  </r>
  <r>
    <x v="0"/>
    <x v="0"/>
    <x v="0"/>
    <x v="7"/>
    <x v="14"/>
    <s v="NO4_A1"/>
    <x v="7"/>
    <s v="GNR_ROR_WTR"/>
    <x v="0"/>
    <x v="13"/>
    <n v="366.70762376241902"/>
    <n v="133848.28267328301"/>
    <n v="481853.81762381899"/>
  </r>
  <r>
    <x v="0"/>
    <x v="0"/>
    <x v="0"/>
    <x v="7"/>
    <x v="14"/>
    <s v="NO4_A1"/>
    <x v="7"/>
    <s v="GNR_ROR_WTR"/>
    <x v="0"/>
    <x v="14"/>
    <n v="366.70762376241902"/>
    <n v="133848.28267328301"/>
    <n v="481853.81762381899"/>
  </r>
  <r>
    <x v="0"/>
    <x v="0"/>
    <x v="0"/>
    <x v="7"/>
    <x v="14"/>
    <s v="NO4_A1"/>
    <x v="7"/>
    <s v="GNR_ROR_WTR"/>
    <x v="0"/>
    <x v="15"/>
    <n v="366.70762376241902"/>
    <n v="133848.28267328301"/>
    <n v="481853.81762381899"/>
  </r>
  <r>
    <x v="0"/>
    <x v="0"/>
    <x v="0"/>
    <x v="7"/>
    <x v="14"/>
    <s v="NO4_A1"/>
    <x v="7"/>
    <s v="GNR_ROR_WTR"/>
    <x v="0"/>
    <x v="16"/>
    <n v="366.70762376241902"/>
    <n v="133848.28267328301"/>
    <n v="481853.81762381899"/>
  </r>
  <r>
    <x v="0"/>
    <x v="0"/>
    <x v="0"/>
    <x v="7"/>
    <x v="14"/>
    <s v="NO4_A1"/>
    <x v="7"/>
    <s v="GNR_ROR_WTR"/>
    <x v="0"/>
    <x v="17"/>
    <n v="366.70762376241902"/>
    <n v="133848.28267328301"/>
    <n v="481853.81762381899"/>
  </r>
  <r>
    <x v="0"/>
    <x v="0"/>
    <x v="0"/>
    <x v="7"/>
    <x v="14"/>
    <s v="NO4_A1"/>
    <x v="7"/>
    <s v="GNR_ROR_WTR"/>
    <x v="0"/>
    <x v="19"/>
    <n v="366.70762376241902"/>
    <n v="133848.28267328301"/>
    <n v="481853.81762381899"/>
  </r>
  <r>
    <x v="0"/>
    <x v="0"/>
    <x v="0"/>
    <x v="7"/>
    <x v="14"/>
    <s v="NO4_A1"/>
    <x v="7"/>
    <s v="GNR_ROR_WTR"/>
    <x v="0"/>
    <x v="20"/>
    <n v="366.70762376241902"/>
    <n v="133848.28267328301"/>
    <n v="481853.81762381899"/>
  </r>
  <r>
    <x v="0"/>
    <x v="0"/>
    <x v="0"/>
    <x v="7"/>
    <x v="14"/>
    <s v="NO4_A1"/>
    <x v="7"/>
    <s v="GNR_ROR_WTR"/>
    <x v="0"/>
    <x v="21"/>
    <n v="366.70762376241902"/>
    <n v="133848.28267328301"/>
    <n v="481853.81762381899"/>
  </r>
  <r>
    <x v="0"/>
    <x v="0"/>
    <x v="0"/>
    <x v="7"/>
    <x v="14"/>
    <s v="NO4_A1"/>
    <x v="7"/>
    <s v="GNR_ROR_WTR"/>
    <x v="0"/>
    <x v="22"/>
    <n v="366.70762376241902"/>
    <n v="133848.28267328301"/>
    <n v="481853.81762381899"/>
  </r>
  <r>
    <x v="0"/>
    <x v="0"/>
    <x v="0"/>
    <x v="7"/>
    <x v="14"/>
    <s v="NO4_A1"/>
    <x v="7"/>
    <s v="GNR_ROR_WTR"/>
    <x v="0"/>
    <x v="23"/>
    <n v="366.70762376241902"/>
    <n v="133848.28267328301"/>
    <n v="481853.81762381899"/>
  </r>
  <r>
    <x v="0"/>
    <x v="0"/>
    <x v="0"/>
    <x v="7"/>
    <x v="14"/>
    <s v="NO4_A1"/>
    <x v="8"/>
    <s v="GNR_WT_WIND_ONS"/>
    <x v="0"/>
    <x v="0"/>
    <n v="24.637221848266801"/>
    <n v="8992.5859746173701"/>
    <n v="32373.3095086225"/>
  </r>
  <r>
    <x v="0"/>
    <x v="0"/>
    <x v="0"/>
    <x v="7"/>
    <x v="14"/>
    <s v="NO4_A1"/>
    <x v="8"/>
    <s v="GNR_WT_WIND_ONS"/>
    <x v="0"/>
    <x v="1"/>
    <n v="44.268222672135103"/>
    <n v="16157.901275329299"/>
    <n v="58168.4445911855"/>
  </r>
  <r>
    <x v="0"/>
    <x v="0"/>
    <x v="0"/>
    <x v="7"/>
    <x v="14"/>
    <s v="NO4_A1"/>
    <x v="8"/>
    <s v="GNR_WT_WIND_ONS"/>
    <x v="0"/>
    <x v="2"/>
    <n v="47.737199532540401"/>
    <n v="17424.077829377198"/>
    <n v="62726.680185758101"/>
  </r>
  <r>
    <x v="0"/>
    <x v="0"/>
    <x v="0"/>
    <x v="7"/>
    <x v="14"/>
    <s v="NO4_A1"/>
    <x v="8"/>
    <s v="GNR_WT_WIND_ONS"/>
    <x v="0"/>
    <x v="3"/>
    <n v="56.439331088370103"/>
    <n v="20600.355847255101"/>
    <n v="74161.281050118399"/>
  </r>
  <r>
    <x v="0"/>
    <x v="0"/>
    <x v="0"/>
    <x v="7"/>
    <x v="14"/>
    <s v="NO4_A1"/>
    <x v="8"/>
    <s v="GNR_WT_WIND_ONS"/>
    <x v="0"/>
    <x v="18"/>
    <n v="54.715549196856799"/>
    <n v="19971.175456852699"/>
    <n v="71896.231644669897"/>
  </r>
  <r>
    <x v="0"/>
    <x v="0"/>
    <x v="0"/>
    <x v="7"/>
    <x v="14"/>
    <s v="NO4_A1"/>
    <x v="8"/>
    <s v="GNR_WT_WIND_ONS"/>
    <x v="0"/>
    <x v="4"/>
    <n v="70.370703727425095"/>
    <n v="25685.306860510202"/>
    <n v="92467.104697836505"/>
  </r>
  <r>
    <x v="0"/>
    <x v="0"/>
    <x v="0"/>
    <x v="7"/>
    <x v="14"/>
    <s v="NO4_A1"/>
    <x v="8"/>
    <s v="GNR_WT_WIND_ONS"/>
    <x v="0"/>
    <x v="5"/>
    <n v="84.703263416542299"/>
    <n v="30916.691147037898"/>
    <n v="111300.088129337"/>
  </r>
  <r>
    <x v="0"/>
    <x v="0"/>
    <x v="0"/>
    <x v="7"/>
    <x v="14"/>
    <s v="NO4_A1"/>
    <x v="8"/>
    <s v="GNR_WT_WIND_ONS"/>
    <x v="0"/>
    <x v="6"/>
    <n v="107.62409051559899"/>
    <n v="39282.793038193697"/>
    <n v="141418.05493749701"/>
  </r>
  <r>
    <x v="0"/>
    <x v="0"/>
    <x v="0"/>
    <x v="7"/>
    <x v="14"/>
    <s v="NO4_A1"/>
    <x v="8"/>
    <s v="GNR_WT_WIND_ONS"/>
    <x v="0"/>
    <x v="7"/>
    <n v="102.941038439049"/>
    <n v="37573.479030252798"/>
    <n v="135264.52450890999"/>
  </r>
  <r>
    <x v="0"/>
    <x v="0"/>
    <x v="0"/>
    <x v="7"/>
    <x v="14"/>
    <s v="NO4_A1"/>
    <x v="8"/>
    <s v="GNR_WT_WIND_ONS"/>
    <x v="0"/>
    <x v="8"/>
    <n v="106.985259911851"/>
    <n v="39049.619867825597"/>
    <n v="140578.631524172"/>
  </r>
  <r>
    <x v="0"/>
    <x v="0"/>
    <x v="0"/>
    <x v="7"/>
    <x v="14"/>
    <s v="NO4_A1"/>
    <x v="8"/>
    <s v="GNR_WT_WIND_ONS"/>
    <x v="0"/>
    <x v="9"/>
    <n v="108.40611305461999"/>
    <n v="39568.231264936199"/>
    <n v="142445.63255377"/>
  </r>
  <r>
    <x v="0"/>
    <x v="0"/>
    <x v="0"/>
    <x v="7"/>
    <x v="14"/>
    <s v="NO4_A1"/>
    <x v="8"/>
    <s v="GNR_WT_WIND_ONS"/>
    <x v="0"/>
    <x v="10"/>
    <n v="99.411533765130798"/>
    <n v="36285.209824272803"/>
    <n v="130626.75536738199"/>
  </r>
  <r>
    <x v="0"/>
    <x v="0"/>
    <x v="0"/>
    <x v="7"/>
    <x v="14"/>
    <s v="NO4_A1"/>
    <x v="8"/>
    <s v="GNR_WT_WIND_ONS"/>
    <x v="0"/>
    <x v="11"/>
    <n v="98.957270901337296"/>
    <n v="36119.403878988101"/>
    <n v="130029.853964357"/>
  </r>
  <r>
    <x v="0"/>
    <x v="0"/>
    <x v="0"/>
    <x v="7"/>
    <x v="14"/>
    <s v="NO4_A1"/>
    <x v="8"/>
    <s v="GNR_WT_WIND_ONS"/>
    <x v="0"/>
    <x v="12"/>
    <n v="107.449364159128"/>
    <n v="39219.017918081801"/>
    <n v="141188.46450509501"/>
  </r>
  <r>
    <x v="0"/>
    <x v="0"/>
    <x v="0"/>
    <x v="7"/>
    <x v="14"/>
    <s v="NO4_A1"/>
    <x v="8"/>
    <s v="GNR_WT_WIND_ONS"/>
    <x v="0"/>
    <x v="13"/>
    <n v="123.028530844287"/>
    <n v="44905.413758164701"/>
    <n v="161659.489529393"/>
  </r>
  <r>
    <x v="0"/>
    <x v="0"/>
    <x v="0"/>
    <x v="7"/>
    <x v="14"/>
    <s v="NO4_A1"/>
    <x v="8"/>
    <s v="GNR_WT_WIND_ONS"/>
    <x v="0"/>
    <x v="14"/>
    <n v="126.733067109209"/>
    <n v="46257.5694948612"/>
    <n v="166527.25018150001"/>
  </r>
  <r>
    <x v="0"/>
    <x v="0"/>
    <x v="0"/>
    <x v="7"/>
    <x v="14"/>
    <s v="NO4_A1"/>
    <x v="8"/>
    <s v="GNR_WT_WIND_ONS"/>
    <x v="0"/>
    <x v="15"/>
    <n v="124.907200791783"/>
    <n v="45591.128289000902"/>
    <n v="164128.06184040301"/>
  </r>
  <r>
    <x v="0"/>
    <x v="0"/>
    <x v="0"/>
    <x v="7"/>
    <x v="14"/>
    <s v="NO4_A1"/>
    <x v="8"/>
    <s v="GNR_WT_WIND_ONS"/>
    <x v="0"/>
    <x v="16"/>
    <n v="110.23236042917"/>
    <n v="40234.811556646899"/>
    <n v="144845.32160392901"/>
  </r>
  <r>
    <x v="0"/>
    <x v="0"/>
    <x v="0"/>
    <x v="7"/>
    <x v="14"/>
    <s v="NO4_A1"/>
    <x v="8"/>
    <s v="GNR_WT_WIND_ONS"/>
    <x v="0"/>
    <x v="17"/>
    <n v="123.69390324323901"/>
    <n v="45148.274683782103"/>
    <n v="162533.78886161599"/>
  </r>
  <r>
    <x v="0"/>
    <x v="0"/>
    <x v="0"/>
    <x v="7"/>
    <x v="14"/>
    <s v="NO4_A1"/>
    <x v="8"/>
    <s v="GNR_WT_WIND_ONS"/>
    <x v="0"/>
    <x v="19"/>
    <n v="114.526154876649"/>
    <n v="41802.046529976797"/>
    <n v="150487.367507916"/>
  </r>
  <r>
    <x v="0"/>
    <x v="0"/>
    <x v="0"/>
    <x v="7"/>
    <x v="14"/>
    <s v="NO4_A1"/>
    <x v="8"/>
    <s v="GNR_WT_WIND_ONS"/>
    <x v="0"/>
    <x v="20"/>
    <n v="92.225904578588299"/>
    <n v="33662.455171184702"/>
    <n v="121184.838616265"/>
  </r>
  <r>
    <x v="0"/>
    <x v="0"/>
    <x v="0"/>
    <x v="7"/>
    <x v="14"/>
    <s v="NO4_A1"/>
    <x v="8"/>
    <s v="GNR_WT_WIND_ONS"/>
    <x v="0"/>
    <x v="21"/>
    <n v="71.814103398100301"/>
    <n v="26212.147740306598"/>
    <n v="94363.731865103706"/>
  </r>
  <r>
    <x v="0"/>
    <x v="0"/>
    <x v="0"/>
    <x v="7"/>
    <x v="14"/>
    <s v="NO4_A1"/>
    <x v="8"/>
    <s v="GNR_WT_WIND_ONS"/>
    <x v="0"/>
    <x v="22"/>
    <n v="130.615041846358"/>
    <n v="47674.490273920797"/>
    <n v="171628.16498611501"/>
  </r>
  <r>
    <x v="0"/>
    <x v="0"/>
    <x v="0"/>
    <x v="7"/>
    <x v="14"/>
    <s v="NO4_A1"/>
    <x v="8"/>
    <s v="GNR_WT_WIND_ONS"/>
    <x v="0"/>
    <x v="23"/>
    <n v="113.977570653765"/>
    <n v="41601.8132886241"/>
    <n v="149766.52783904699"/>
  </r>
  <r>
    <x v="0"/>
    <x v="0"/>
    <x v="0"/>
    <x v="7"/>
    <x v="15"/>
    <s v="NO5_A1"/>
    <x v="19"/>
    <s v="GHOB_LPG"/>
    <x v="0"/>
    <x v="0"/>
    <n v="3.7268359691811499"/>
    <n v="1360.29512875112"/>
    <n v="4897.0624635040303"/>
  </r>
  <r>
    <x v="0"/>
    <x v="0"/>
    <x v="0"/>
    <x v="7"/>
    <x v="15"/>
    <s v="NO5_A1"/>
    <x v="19"/>
    <s v="GHOB_LPG"/>
    <x v="0"/>
    <x v="1"/>
    <n v="3.6293945732761301"/>
    <n v="1324.7290192457899"/>
    <n v="4769.02446928483"/>
  </r>
  <r>
    <x v="0"/>
    <x v="0"/>
    <x v="0"/>
    <x v="7"/>
    <x v="15"/>
    <s v="NO5_A1"/>
    <x v="19"/>
    <s v="GHOB_LPG"/>
    <x v="0"/>
    <x v="2"/>
    <n v="3.8847300128211999"/>
    <n v="1417.9264546797399"/>
    <n v="5104.5352368470503"/>
  </r>
  <r>
    <x v="0"/>
    <x v="0"/>
    <x v="0"/>
    <x v="7"/>
    <x v="15"/>
    <s v="NO5_A1"/>
    <x v="19"/>
    <s v="GHOB_LPG"/>
    <x v="0"/>
    <x v="3"/>
    <n v="4.3356966713654899"/>
    <n v="1582.5292850484"/>
    <n v="5697.1054261742502"/>
  </r>
  <r>
    <x v="0"/>
    <x v="0"/>
    <x v="0"/>
    <x v="7"/>
    <x v="15"/>
    <s v="NO5_A1"/>
    <x v="19"/>
    <s v="GHOB_LPG"/>
    <x v="0"/>
    <x v="18"/>
    <n v="6.4845418520877596"/>
    <n v="2366.8577760120302"/>
    <n v="8520.6879936433197"/>
  </r>
  <r>
    <x v="0"/>
    <x v="0"/>
    <x v="0"/>
    <x v="7"/>
    <x v="15"/>
    <s v="NO5_A1"/>
    <x v="19"/>
    <s v="GHOB_LPG"/>
    <x v="0"/>
    <x v="4"/>
    <n v="10.871505087394601"/>
    <n v="3968.0993568990398"/>
    <n v="14285.1576848366"/>
  </r>
  <r>
    <x v="0"/>
    <x v="0"/>
    <x v="0"/>
    <x v="7"/>
    <x v="15"/>
    <s v="NO5_A1"/>
    <x v="19"/>
    <s v="GHOB_LPG"/>
    <x v="0"/>
    <x v="5"/>
    <n v="16.685290636325298"/>
    <n v="6090.1310822587502"/>
    <n v="21924.471896131501"/>
  </r>
  <r>
    <x v="0"/>
    <x v="0"/>
    <x v="0"/>
    <x v="7"/>
    <x v="15"/>
    <s v="NO5_A1"/>
    <x v="19"/>
    <s v="GHOB_LPG"/>
    <x v="0"/>
    <x v="6"/>
    <n v="22.298043762989099"/>
    <n v="8138.7859734910098"/>
    <n v="29299.629504567602"/>
  </r>
  <r>
    <x v="0"/>
    <x v="0"/>
    <x v="0"/>
    <x v="7"/>
    <x v="15"/>
    <s v="NO5_A1"/>
    <x v="19"/>
    <s v="GHOB_LPG"/>
    <x v="0"/>
    <x v="7"/>
    <n v="22.545506601672901"/>
    <n v="8229.1099096106009"/>
    <n v="29624.795674598201"/>
  </r>
  <r>
    <x v="0"/>
    <x v="0"/>
    <x v="0"/>
    <x v="7"/>
    <x v="15"/>
    <s v="NO5_A1"/>
    <x v="19"/>
    <s v="GHOB_LPG"/>
    <x v="0"/>
    <x v="8"/>
    <n v="21.0122444076598"/>
    <n v="7669.4692087958201"/>
    <n v="27610.089151665001"/>
  </r>
  <r>
    <x v="0"/>
    <x v="0"/>
    <x v="0"/>
    <x v="7"/>
    <x v="15"/>
    <s v="NO5_A1"/>
    <x v="19"/>
    <s v="GHOB_LPG"/>
    <x v="0"/>
    <x v="9"/>
    <n v="19.248943760390201"/>
    <n v="7025.8644725424101"/>
    <n v="25293.112101152699"/>
  </r>
  <r>
    <x v="0"/>
    <x v="0"/>
    <x v="0"/>
    <x v="7"/>
    <x v="15"/>
    <s v="NO5_A1"/>
    <x v="19"/>
    <s v="GHOB_LPG"/>
    <x v="0"/>
    <x v="10"/>
    <n v="17.079278168682801"/>
    <n v="6233.9365315692403"/>
    <n v="22442.1715136493"/>
  </r>
  <r>
    <x v="0"/>
    <x v="0"/>
    <x v="0"/>
    <x v="7"/>
    <x v="15"/>
    <s v="NO5_A1"/>
    <x v="19"/>
    <s v="GHOB_LPG"/>
    <x v="0"/>
    <x v="11"/>
    <n v="15.230670338007601"/>
    <n v="5559.19467337278"/>
    <n v="20013.100824141999"/>
  </r>
  <r>
    <x v="0"/>
    <x v="0"/>
    <x v="0"/>
    <x v="7"/>
    <x v="15"/>
    <s v="NO5_A1"/>
    <x v="19"/>
    <s v="GHOB_LPG"/>
    <x v="0"/>
    <x v="12"/>
    <n v="13.5095481301114"/>
    <n v="4930.9850674906702"/>
    <n v="17751.5462429664"/>
  </r>
  <r>
    <x v="0"/>
    <x v="0"/>
    <x v="0"/>
    <x v="7"/>
    <x v="15"/>
    <s v="NO5_A1"/>
    <x v="19"/>
    <s v="GHOB_LPG"/>
    <x v="0"/>
    <x v="13"/>
    <n v="12.2828338790587"/>
    <n v="4483.2343658564296"/>
    <n v="16139.6437170832"/>
  </r>
  <r>
    <x v="0"/>
    <x v="0"/>
    <x v="0"/>
    <x v="7"/>
    <x v="15"/>
    <s v="NO5_A1"/>
    <x v="19"/>
    <s v="GHOB_LPG"/>
    <x v="0"/>
    <x v="14"/>
    <n v="9.6817103802696494"/>
    <n v="3533.8242887984202"/>
    <n v="12721.7674396743"/>
  </r>
  <r>
    <x v="0"/>
    <x v="0"/>
    <x v="0"/>
    <x v="7"/>
    <x v="15"/>
    <s v="NO5_A1"/>
    <x v="19"/>
    <s v="GHOB_LPG"/>
    <x v="0"/>
    <x v="15"/>
    <n v="7.9795993182990497"/>
    <n v="2912.5537511791499"/>
    <n v="10485.193504245"/>
  </r>
  <r>
    <x v="0"/>
    <x v="0"/>
    <x v="0"/>
    <x v="7"/>
    <x v="15"/>
    <s v="NO5_A1"/>
    <x v="19"/>
    <s v="GHOB_LPG"/>
    <x v="0"/>
    <x v="16"/>
    <n v="6.4364576123297299"/>
    <n v="2349.30702850035"/>
    <n v="8457.5053026012702"/>
  </r>
  <r>
    <x v="0"/>
    <x v="0"/>
    <x v="0"/>
    <x v="7"/>
    <x v="15"/>
    <s v="NO5_A1"/>
    <x v="19"/>
    <s v="GHOB_LPG"/>
    <x v="0"/>
    <x v="17"/>
    <n v="5.3435454983714203"/>
    <n v="1950.39410690557"/>
    <n v="7021.4187848600504"/>
  </r>
  <r>
    <x v="0"/>
    <x v="0"/>
    <x v="0"/>
    <x v="7"/>
    <x v="15"/>
    <s v="NO5_A1"/>
    <x v="19"/>
    <s v="GHOB_LPG"/>
    <x v="0"/>
    <x v="19"/>
    <n v="5.1941172186638997"/>
    <n v="1895.8527848123199"/>
    <n v="6825.0700253243604"/>
  </r>
  <r>
    <x v="0"/>
    <x v="0"/>
    <x v="0"/>
    <x v="7"/>
    <x v="15"/>
    <s v="NO5_A1"/>
    <x v="19"/>
    <s v="GHOB_LPG"/>
    <x v="0"/>
    <x v="20"/>
    <n v="4.5865202695451499"/>
    <n v="1674.07989838398"/>
    <n v="6026.6876341823199"/>
  </r>
  <r>
    <x v="0"/>
    <x v="0"/>
    <x v="0"/>
    <x v="7"/>
    <x v="15"/>
    <s v="NO5_A1"/>
    <x v="19"/>
    <s v="GHOB_LPG"/>
    <x v="0"/>
    <x v="21"/>
    <n v="2.81303622594179"/>
    <n v="1026.7582224687501"/>
    <n v="3696.32960088751"/>
  </r>
  <r>
    <x v="0"/>
    <x v="0"/>
    <x v="0"/>
    <x v="7"/>
    <x v="15"/>
    <s v="NO5_A1"/>
    <x v="19"/>
    <s v="GHOB_LPG"/>
    <x v="0"/>
    <x v="22"/>
    <n v="1.6498758922372601"/>
    <n v="602.20470066660096"/>
    <n v="2167.9369223997601"/>
  </r>
  <r>
    <x v="0"/>
    <x v="0"/>
    <x v="0"/>
    <x v="7"/>
    <x v="15"/>
    <s v="NO5_A1"/>
    <x v="19"/>
    <s v="GHOB_LPG"/>
    <x v="0"/>
    <x v="23"/>
    <n v="1.1322457589993999"/>
    <n v="413.26970203478101"/>
    <n v="1487.7709273252101"/>
  </r>
  <r>
    <x v="0"/>
    <x v="0"/>
    <x v="0"/>
    <x v="7"/>
    <x v="15"/>
    <s v="NO5_A1"/>
    <x v="2"/>
    <s v="GBPR_MUNIWASTE"/>
    <x v="0"/>
    <x v="0"/>
    <n v="37.562724014336901"/>
    <n v="13710.394265233001"/>
    <n v="49357.419354838697"/>
  </r>
  <r>
    <x v="0"/>
    <x v="0"/>
    <x v="0"/>
    <x v="7"/>
    <x v="15"/>
    <s v="NO5_A1"/>
    <x v="2"/>
    <s v="GBPR_MUNIWASTE"/>
    <x v="0"/>
    <x v="1"/>
    <n v="37.562724014336901"/>
    <n v="13710.394265233001"/>
    <n v="49357.419354838697"/>
  </r>
  <r>
    <x v="0"/>
    <x v="0"/>
    <x v="0"/>
    <x v="7"/>
    <x v="15"/>
    <s v="NO5_A1"/>
    <x v="2"/>
    <s v="GBPR_MUNIWASTE"/>
    <x v="0"/>
    <x v="2"/>
    <n v="37.562724014336901"/>
    <n v="13710.394265233001"/>
    <n v="49357.419354838697"/>
  </r>
  <r>
    <x v="0"/>
    <x v="0"/>
    <x v="0"/>
    <x v="7"/>
    <x v="15"/>
    <s v="NO5_A1"/>
    <x v="2"/>
    <s v="GBPR_MUNIWASTE"/>
    <x v="0"/>
    <x v="3"/>
    <n v="37.562724014336901"/>
    <n v="13710.394265233001"/>
    <n v="49357.419354838697"/>
  </r>
  <r>
    <x v="0"/>
    <x v="0"/>
    <x v="0"/>
    <x v="7"/>
    <x v="15"/>
    <s v="NO5_A1"/>
    <x v="2"/>
    <s v="GBPR_MUNIWASTE"/>
    <x v="0"/>
    <x v="18"/>
    <n v="37.562724014336901"/>
    <n v="13710.394265233001"/>
    <n v="49357.419354838697"/>
  </r>
  <r>
    <x v="0"/>
    <x v="0"/>
    <x v="0"/>
    <x v="7"/>
    <x v="15"/>
    <s v="NO5_A1"/>
    <x v="2"/>
    <s v="GBPR_MUNIWASTE"/>
    <x v="0"/>
    <x v="4"/>
    <n v="37.562724014336901"/>
    <n v="13710.394265233001"/>
    <n v="49357.419354838697"/>
  </r>
  <r>
    <x v="0"/>
    <x v="0"/>
    <x v="0"/>
    <x v="7"/>
    <x v="15"/>
    <s v="NO5_A1"/>
    <x v="2"/>
    <s v="GBPR_MUNIWASTE"/>
    <x v="0"/>
    <x v="5"/>
    <n v="37.562724014336901"/>
    <n v="13710.394265233001"/>
    <n v="49357.419354838697"/>
  </r>
  <r>
    <x v="0"/>
    <x v="0"/>
    <x v="0"/>
    <x v="7"/>
    <x v="15"/>
    <s v="NO5_A1"/>
    <x v="2"/>
    <s v="GBPR_MUNIWASTE"/>
    <x v="0"/>
    <x v="6"/>
    <n v="37.562724014336901"/>
    <n v="13710.394265233001"/>
    <n v="49357.419354838697"/>
  </r>
  <r>
    <x v="0"/>
    <x v="0"/>
    <x v="0"/>
    <x v="7"/>
    <x v="15"/>
    <s v="NO5_A1"/>
    <x v="2"/>
    <s v="GBPR_MUNIWASTE"/>
    <x v="0"/>
    <x v="7"/>
    <n v="37.562724014336901"/>
    <n v="13710.394265233001"/>
    <n v="49357.419354838697"/>
  </r>
  <r>
    <x v="0"/>
    <x v="0"/>
    <x v="0"/>
    <x v="7"/>
    <x v="15"/>
    <s v="NO5_A1"/>
    <x v="2"/>
    <s v="GBPR_MUNIWASTE"/>
    <x v="0"/>
    <x v="8"/>
    <n v="37.562724014336901"/>
    <n v="13710.394265233001"/>
    <n v="49357.419354838697"/>
  </r>
  <r>
    <x v="0"/>
    <x v="0"/>
    <x v="0"/>
    <x v="7"/>
    <x v="15"/>
    <s v="NO5_A1"/>
    <x v="2"/>
    <s v="GBPR_MUNIWASTE"/>
    <x v="0"/>
    <x v="9"/>
    <n v="37.562724014336901"/>
    <n v="13710.394265233001"/>
    <n v="49357.419354838697"/>
  </r>
  <r>
    <x v="0"/>
    <x v="0"/>
    <x v="0"/>
    <x v="7"/>
    <x v="15"/>
    <s v="NO5_A1"/>
    <x v="2"/>
    <s v="GBPR_MUNIWASTE"/>
    <x v="0"/>
    <x v="10"/>
    <n v="37.562724014336901"/>
    <n v="13710.394265233001"/>
    <n v="49357.419354838697"/>
  </r>
  <r>
    <x v="0"/>
    <x v="0"/>
    <x v="0"/>
    <x v="7"/>
    <x v="15"/>
    <s v="NO5_A1"/>
    <x v="2"/>
    <s v="GBPR_MUNIWASTE"/>
    <x v="0"/>
    <x v="11"/>
    <n v="37.562724014336901"/>
    <n v="13710.394265233001"/>
    <n v="49357.419354838697"/>
  </r>
  <r>
    <x v="0"/>
    <x v="0"/>
    <x v="0"/>
    <x v="7"/>
    <x v="15"/>
    <s v="NO5_A1"/>
    <x v="2"/>
    <s v="GBPR_MUNIWASTE"/>
    <x v="0"/>
    <x v="12"/>
    <n v="37.562724014336901"/>
    <n v="13710.394265233001"/>
    <n v="49357.419354838697"/>
  </r>
  <r>
    <x v="0"/>
    <x v="0"/>
    <x v="0"/>
    <x v="7"/>
    <x v="15"/>
    <s v="NO5_A1"/>
    <x v="2"/>
    <s v="GBPR_MUNIWASTE"/>
    <x v="0"/>
    <x v="13"/>
    <n v="37.562724014336901"/>
    <n v="13710.394265233001"/>
    <n v="49357.419354838697"/>
  </r>
  <r>
    <x v="0"/>
    <x v="0"/>
    <x v="0"/>
    <x v="7"/>
    <x v="15"/>
    <s v="NO5_A1"/>
    <x v="2"/>
    <s v="GBPR_MUNIWASTE"/>
    <x v="0"/>
    <x v="14"/>
    <n v="37.562724014336901"/>
    <n v="13710.394265233001"/>
    <n v="49357.419354838697"/>
  </r>
  <r>
    <x v="0"/>
    <x v="0"/>
    <x v="0"/>
    <x v="7"/>
    <x v="15"/>
    <s v="NO5_A1"/>
    <x v="2"/>
    <s v="GBPR_MUNIWASTE"/>
    <x v="0"/>
    <x v="15"/>
    <n v="37.562724014336901"/>
    <n v="13710.394265233001"/>
    <n v="49357.419354838697"/>
  </r>
  <r>
    <x v="0"/>
    <x v="0"/>
    <x v="0"/>
    <x v="7"/>
    <x v="15"/>
    <s v="NO5_A1"/>
    <x v="2"/>
    <s v="GBPR_MUNIWASTE"/>
    <x v="0"/>
    <x v="16"/>
    <n v="37.562724014336901"/>
    <n v="13710.394265233001"/>
    <n v="49357.419354838697"/>
  </r>
  <r>
    <x v="0"/>
    <x v="0"/>
    <x v="0"/>
    <x v="7"/>
    <x v="15"/>
    <s v="NO5_A1"/>
    <x v="2"/>
    <s v="GBPR_MUNIWASTE"/>
    <x v="0"/>
    <x v="17"/>
    <n v="37.562724014336901"/>
    <n v="13710.394265233001"/>
    <n v="49357.419354838697"/>
  </r>
  <r>
    <x v="0"/>
    <x v="0"/>
    <x v="0"/>
    <x v="7"/>
    <x v="15"/>
    <s v="NO5_A1"/>
    <x v="2"/>
    <s v="GBPR_MUNIWASTE"/>
    <x v="0"/>
    <x v="19"/>
    <n v="37.562724014336901"/>
    <n v="13710.394265233001"/>
    <n v="49357.419354838697"/>
  </r>
  <r>
    <x v="0"/>
    <x v="0"/>
    <x v="0"/>
    <x v="7"/>
    <x v="15"/>
    <s v="NO5_A1"/>
    <x v="2"/>
    <s v="GBPR_MUNIWASTE"/>
    <x v="0"/>
    <x v="20"/>
    <n v="37.562724014336901"/>
    <n v="13710.394265233001"/>
    <n v="49357.419354838697"/>
  </r>
  <r>
    <x v="0"/>
    <x v="0"/>
    <x v="0"/>
    <x v="7"/>
    <x v="15"/>
    <s v="NO5_A1"/>
    <x v="2"/>
    <s v="GBPR_MUNIWASTE"/>
    <x v="0"/>
    <x v="21"/>
    <n v="37.562724014336901"/>
    <n v="13710.394265233001"/>
    <n v="49357.419354838697"/>
  </r>
  <r>
    <x v="0"/>
    <x v="0"/>
    <x v="0"/>
    <x v="7"/>
    <x v="15"/>
    <s v="NO5_A1"/>
    <x v="2"/>
    <s v="GBPR_MUNIWASTE"/>
    <x v="0"/>
    <x v="22"/>
    <n v="37.562724014336901"/>
    <n v="13710.394265233001"/>
    <n v="49357.419354838697"/>
  </r>
  <r>
    <x v="0"/>
    <x v="0"/>
    <x v="0"/>
    <x v="7"/>
    <x v="15"/>
    <s v="NO5_A1"/>
    <x v="2"/>
    <s v="GBPR_MUNIWASTE"/>
    <x v="0"/>
    <x v="23"/>
    <n v="37.562724014336901"/>
    <n v="13710.394265233001"/>
    <n v="49357.419354838697"/>
  </r>
  <r>
    <x v="0"/>
    <x v="0"/>
    <x v="0"/>
    <x v="7"/>
    <x v="15"/>
    <s v="NO5_A1"/>
    <x v="7"/>
    <s v="GNR_RES_WTR_NOPMP_MC-01"/>
    <x v="0"/>
    <x v="0"/>
    <n v="154.193241885916"/>
    <n v="56280.5332883593"/>
    <n v="202609.91983809401"/>
  </r>
  <r>
    <x v="0"/>
    <x v="0"/>
    <x v="0"/>
    <x v="7"/>
    <x v="15"/>
    <s v="NO5_A1"/>
    <x v="7"/>
    <s v="GNR_RES_WTR_NOPMP_MC-01"/>
    <x v="0"/>
    <x v="1"/>
    <n v="154.193241885916"/>
    <n v="56280.5332883593"/>
    <n v="202609.91983809401"/>
  </r>
  <r>
    <x v="0"/>
    <x v="0"/>
    <x v="0"/>
    <x v="7"/>
    <x v="15"/>
    <s v="NO5_A1"/>
    <x v="7"/>
    <s v="GNR_RES_WTR_NOPMP_MC-01"/>
    <x v="0"/>
    <x v="2"/>
    <n v="154.193241885916"/>
    <n v="56280.5332883593"/>
    <n v="202609.91983809401"/>
  </r>
  <r>
    <x v="0"/>
    <x v="0"/>
    <x v="0"/>
    <x v="7"/>
    <x v="15"/>
    <s v="NO5_A1"/>
    <x v="7"/>
    <s v="GNR_RES_WTR_NOPMP_MC-01"/>
    <x v="0"/>
    <x v="3"/>
    <n v="154.193241885916"/>
    <n v="56280.5332883593"/>
    <n v="202609.91983809401"/>
  </r>
  <r>
    <x v="0"/>
    <x v="0"/>
    <x v="0"/>
    <x v="7"/>
    <x v="15"/>
    <s v="NO5_A1"/>
    <x v="7"/>
    <s v="GNR_RES_WTR_NOPMP_MC-01"/>
    <x v="0"/>
    <x v="18"/>
    <n v="154.193241885916"/>
    <n v="56280.5332883593"/>
    <n v="202609.91983809401"/>
  </r>
  <r>
    <x v="0"/>
    <x v="0"/>
    <x v="0"/>
    <x v="7"/>
    <x v="15"/>
    <s v="NO5_A1"/>
    <x v="7"/>
    <s v="GNR_RES_WTR_NOPMP_MC-01"/>
    <x v="0"/>
    <x v="4"/>
    <n v="154.193241885916"/>
    <n v="56280.5332883593"/>
    <n v="202609.91983809401"/>
  </r>
  <r>
    <x v="0"/>
    <x v="0"/>
    <x v="0"/>
    <x v="7"/>
    <x v="15"/>
    <s v="NO5_A1"/>
    <x v="7"/>
    <s v="GNR_RES_WTR_NOPMP_MC-01"/>
    <x v="0"/>
    <x v="5"/>
    <n v="154.193241885916"/>
    <n v="56280.5332883593"/>
    <n v="202609.91983809401"/>
  </r>
  <r>
    <x v="0"/>
    <x v="0"/>
    <x v="0"/>
    <x v="7"/>
    <x v="15"/>
    <s v="NO5_A1"/>
    <x v="7"/>
    <s v="GNR_RES_WTR_NOPMP_MC-01"/>
    <x v="0"/>
    <x v="6"/>
    <n v="154.193241885916"/>
    <n v="56280.5332883593"/>
    <n v="202609.91983809401"/>
  </r>
  <r>
    <x v="0"/>
    <x v="0"/>
    <x v="0"/>
    <x v="7"/>
    <x v="15"/>
    <s v="NO5_A1"/>
    <x v="7"/>
    <s v="GNR_RES_WTR_NOPMP_MC-01"/>
    <x v="0"/>
    <x v="7"/>
    <n v="154.193241885916"/>
    <n v="56280.5332883593"/>
    <n v="202609.91983809401"/>
  </r>
  <r>
    <x v="0"/>
    <x v="0"/>
    <x v="0"/>
    <x v="7"/>
    <x v="15"/>
    <s v="NO5_A1"/>
    <x v="7"/>
    <s v="GNR_RES_WTR_NOPMP_MC-01"/>
    <x v="0"/>
    <x v="8"/>
    <n v="154.193241885916"/>
    <n v="56280.5332883593"/>
    <n v="202609.91983809401"/>
  </r>
  <r>
    <x v="0"/>
    <x v="0"/>
    <x v="0"/>
    <x v="7"/>
    <x v="15"/>
    <s v="NO5_A1"/>
    <x v="7"/>
    <s v="GNR_RES_WTR_NOPMP_MC-01"/>
    <x v="0"/>
    <x v="9"/>
    <n v="154.193241885916"/>
    <n v="56280.5332883593"/>
    <n v="202609.91983809401"/>
  </r>
  <r>
    <x v="0"/>
    <x v="0"/>
    <x v="0"/>
    <x v="7"/>
    <x v="15"/>
    <s v="NO5_A1"/>
    <x v="7"/>
    <s v="GNR_RES_WTR_NOPMP_MC-01"/>
    <x v="0"/>
    <x v="10"/>
    <n v="154.193241885916"/>
    <n v="56280.5332883593"/>
    <n v="202609.91983809401"/>
  </r>
  <r>
    <x v="0"/>
    <x v="0"/>
    <x v="0"/>
    <x v="7"/>
    <x v="15"/>
    <s v="NO5_A1"/>
    <x v="7"/>
    <s v="GNR_RES_WTR_NOPMP_MC-01"/>
    <x v="0"/>
    <x v="11"/>
    <n v="154.193241885916"/>
    <n v="56280.5332883593"/>
    <n v="202609.91983809401"/>
  </r>
  <r>
    <x v="0"/>
    <x v="0"/>
    <x v="0"/>
    <x v="7"/>
    <x v="15"/>
    <s v="NO5_A1"/>
    <x v="7"/>
    <s v="GNR_RES_WTR_NOPMP_MC-01"/>
    <x v="0"/>
    <x v="12"/>
    <n v="154.193241885916"/>
    <n v="56280.5332883593"/>
    <n v="202609.91983809401"/>
  </r>
  <r>
    <x v="0"/>
    <x v="0"/>
    <x v="0"/>
    <x v="7"/>
    <x v="15"/>
    <s v="NO5_A1"/>
    <x v="7"/>
    <s v="GNR_RES_WTR_NOPMP_MC-01"/>
    <x v="0"/>
    <x v="13"/>
    <n v="154.193241885916"/>
    <n v="56280.5332883593"/>
    <n v="202609.91983809401"/>
  </r>
  <r>
    <x v="0"/>
    <x v="0"/>
    <x v="0"/>
    <x v="7"/>
    <x v="15"/>
    <s v="NO5_A1"/>
    <x v="7"/>
    <s v="GNR_RES_WTR_NOPMP_MC-01"/>
    <x v="0"/>
    <x v="14"/>
    <n v="154.193241885916"/>
    <n v="56280.5332883593"/>
    <n v="202609.91983809401"/>
  </r>
  <r>
    <x v="0"/>
    <x v="0"/>
    <x v="0"/>
    <x v="7"/>
    <x v="15"/>
    <s v="NO5_A1"/>
    <x v="7"/>
    <s v="GNR_RES_WTR_NOPMP_MC-01"/>
    <x v="0"/>
    <x v="15"/>
    <n v="154.193241885916"/>
    <n v="56280.5332883593"/>
    <n v="202609.91983809401"/>
  </r>
  <r>
    <x v="0"/>
    <x v="0"/>
    <x v="0"/>
    <x v="7"/>
    <x v="15"/>
    <s v="NO5_A1"/>
    <x v="7"/>
    <s v="GNR_RES_WTR_NOPMP_MC-01"/>
    <x v="0"/>
    <x v="16"/>
    <n v="154.193241885916"/>
    <n v="56280.5332883593"/>
    <n v="202609.91983809401"/>
  </r>
  <r>
    <x v="0"/>
    <x v="0"/>
    <x v="0"/>
    <x v="7"/>
    <x v="15"/>
    <s v="NO5_A1"/>
    <x v="7"/>
    <s v="GNR_RES_WTR_NOPMP_MC-01"/>
    <x v="0"/>
    <x v="17"/>
    <n v="154.193241885916"/>
    <n v="56280.5332883593"/>
    <n v="202609.91983809401"/>
  </r>
  <r>
    <x v="0"/>
    <x v="0"/>
    <x v="0"/>
    <x v="7"/>
    <x v="15"/>
    <s v="NO5_A1"/>
    <x v="7"/>
    <s v="GNR_RES_WTR_NOPMP_MC-01"/>
    <x v="0"/>
    <x v="19"/>
    <n v="154.193241885916"/>
    <n v="56280.5332883593"/>
    <n v="202609.91983809401"/>
  </r>
  <r>
    <x v="0"/>
    <x v="0"/>
    <x v="0"/>
    <x v="7"/>
    <x v="15"/>
    <s v="NO5_A1"/>
    <x v="7"/>
    <s v="GNR_RES_WTR_NOPMP_MC-01"/>
    <x v="0"/>
    <x v="20"/>
    <n v="154.193241885916"/>
    <n v="56280.5332883593"/>
    <n v="202609.91983809401"/>
  </r>
  <r>
    <x v="0"/>
    <x v="0"/>
    <x v="0"/>
    <x v="7"/>
    <x v="15"/>
    <s v="NO5_A1"/>
    <x v="7"/>
    <s v="GNR_RES_WTR_NOPMP_MC-01"/>
    <x v="0"/>
    <x v="21"/>
    <n v="154.193241885916"/>
    <n v="56280.5332883593"/>
    <n v="202609.91983809401"/>
  </r>
  <r>
    <x v="0"/>
    <x v="0"/>
    <x v="0"/>
    <x v="7"/>
    <x v="15"/>
    <s v="NO5_A1"/>
    <x v="7"/>
    <s v="GNR_RES_WTR_NOPMP_MC-01"/>
    <x v="0"/>
    <x v="22"/>
    <n v="154.193241885916"/>
    <n v="56280.5332883593"/>
    <n v="202609.91983809401"/>
  </r>
  <r>
    <x v="0"/>
    <x v="0"/>
    <x v="0"/>
    <x v="7"/>
    <x v="15"/>
    <s v="NO5_A1"/>
    <x v="7"/>
    <s v="GNR_RES_WTR_NOPMP_MC-01"/>
    <x v="0"/>
    <x v="23"/>
    <n v="154.193241885916"/>
    <n v="56280.5332883593"/>
    <n v="202609.91983809401"/>
  </r>
  <r>
    <x v="0"/>
    <x v="0"/>
    <x v="0"/>
    <x v="7"/>
    <x v="15"/>
    <s v="NO5_A1"/>
    <x v="7"/>
    <s v="GNR_RES_WTR_NOPMP_MC-02"/>
    <x v="0"/>
    <x v="0"/>
    <n v="598.193241885916"/>
    <n v="218340.533288359"/>
    <n v="786025.91983809404"/>
  </r>
  <r>
    <x v="0"/>
    <x v="0"/>
    <x v="0"/>
    <x v="7"/>
    <x v="15"/>
    <s v="NO5_A1"/>
    <x v="7"/>
    <s v="GNR_RES_WTR_NOPMP_MC-02"/>
    <x v="0"/>
    <x v="1"/>
    <n v="598.193241885916"/>
    <n v="218340.533288359"/>
    <n v="786025.91983809404"/>
  </r>
  <r>
    <x v="0"/>
    <x v="0"/>
    <x v="0"/>
    <x v="7"/>
    <x v="15"/>
    <s v="NO5_A1"/>
    <x v="7"/>
    <s v="GNR_RES_WTR_NOPMP_MC-02"/>
    <x v="0"/>
    <x v="2"/>
    <n v="598.193241885916"/>
    <n v="218340.533288359"/>
    <n v="786025.91983809404"/>
  </r>
  <r>
    <x v="0"/>
    <x v="0"/>
    <x v="0"/>
    <x v="7"/>
    <x v="15"/>
    <s v="NO5_A1"/>
    <x v="7"/>
    <s v="GNR_RES_WTR_NOPMP_MC-02"/>
    <x v="0"/>
    <x v="3"/>
    <n v="598.193241885916"/>
    <n v="218340.533288359"/>
    <n v="786025.91983809404"/>
  </r>
  <r>
    <x v="0"/>
    <x v="0"/>
    <x v="0"/>
    <x v="7"/>
    <x v="15"/>
    <s v="NO5_A1"/>
    <x v="7"/>
    <s v="GNR_RES_WTR_NOPMP_MC-02"/>
    <x v="0"/>
    <x v="18"/>
    <n v="598.193241885916"/>
    <n v="218340.533288359"/>
    <n v="786025.91983809404"/>
  </r>
  <r>
    <x v="0"/>
    <x v="0"/>
    <x v="0"/>
    <x v="7"/>
    <x v="15"/>
    <s v="NO5_A1"/>
    <x v="7"/>
    <s v="GNR_RES_WTR_NOPMP_MC-02"/>
    <x v="0"/>
    <x v="4"/>
    <n v="598.193241885916"/>
    <n v="218340.533288359"/>
    <n v="786025.91983809404"/>
  </r>
  <r>
    <x v="0"/>
    <x v="0"/>
    <x v="0"/>
    <x v="7"/>
    <x v="15"/>
    <s v="NO5_A1"/>
    <x v="7"/>
    <s v="GNR_RES_WTR_NOPMP_MC-02"/>
    <x v="0"/>
    <x v="5"/>
    <n v="598.193241885916"/>
    <n v="218340.533288359"/>
    <n v="786025.91983809404"/>
  </r>
  <r>
    <x v="0"/>
    <x v="0"/>
    <x v="0"/>
    <x v="7"/>
    <x v="15"/>
    <s v="NO5_A1"/>
    <x v="7"/>
    <s v="GNR_RES_WTR_NOPMP_MC-02"/>
    <x v="0"/>
    <x v="6"/>
    <n v="598.193241885916"/>
    <n v="218340.533288359"/>
    <n v="786025.91983809404"/>
  </r>
  <r>
    <x v="0"/>
    <x v="0"/>
    <x v="0"/>
    <x v="7"/>
    <x v="15"/>
    <s v="NO5_A1"/>
    <x v="7"/>
    <s v="GNR_RES_WTR_NOPMP_MC-02"/>
    <x v="0"/>
    <x v="7"/>
    <n v="598.193241885916"/>
    <n v="218340.533288359"/>
    <n v="786025.91983809404"/>
  </r>
  <r>
    <x v="0"/>
    <x v="0"/>
    <x v="0"/>
    <x v="7"/>
    <x v="15"/>
    <s v="NO5_A1"/>
    <x v="7"/>
    <s v="GNR_RES_WTR_NOPMP_MC-02"/>
    <x v="0"/>
    <x v="8"/>
    <n v="598.193241885916"/>
    <n v="218340.533288359"/>
    <n v="786025.91983809404"/>
  </r>
  <r>
    <x v="0"/>
    <x v="0"/>
    <x v="0"/>
    <x v="7"/>
    <x v="15"/>
    <s v="NO5_A1"/>
    <x v="7"/>
    <s v="GNR_RES_WTR_NOPMP_MC-02"/>
    <x v="0"/>
    <x v="9"/>
    <n v="598.193241885916"/>
    <n v="218340.533288359"/>
    <n v="786025.91983809404"/>
  </r>
  <r>
    <x v="0"/>
    <x v="0"/>
    <x v="0"/>
    <x v="7"/>
    <x v="15"/>
    <s v="NO5_A1"/>
    <x v="7"/>
    <s v="GNR_RES_WTR_NOPMP_MC-02"/>
    <x v="0"/>
    <x v="10"/>
    <n v="598.193241885916"/>
    <n v="218340.533288359"/>
    <n v="786025.91983809404"/>
  </r>
  <r>
    <x v="0"/>
    <x v="0"/>
    <x v="0"/>
    <x v="7"/>
    <x v="15"/>
    <s v="NO5_A1"/>
    <x v="7"/>
    <s v="GNR_RES_WTR_NOPMP_MC-02"/>
    <x v="0"/>
    <x v="11"/>
    <n v="598.193241885916"/>
    <n v="218340.533288359"/>
    <n v="786025.91983809404"/>
  </r>
  <r>
    <x v="0"/>
    <x v="0"/>
    <x v="0"/>
    <x v="7"/>
    <x v="15"/>
    <s v="NO5_A1"/>
    <x v="7"/>
    <s v="GNR_RES_WTR_NOPMP_MC-02"/>
    <x v="0"/>
    <x v="12"/>
    <n v="598.193241885916"/>
    <n v="218340.533288359"/>
    <n v="786025.91983809404"/>
  </r>
  <r>
    <x v="0"/>
    <x v="0"/>
    <x v="0"/>
    <x v="7"/>
    <x v="15"/>
    <s v="NO5_A1"/>
    <x v="7"/>
    <s v="GNR_RES_WTR_NOPMP_MC-02"/>
    <x v="0"/>
    <x v="13"/>
    <n v="598.193241885916"/>
    <n v="218340.533288359"/>
    <n v="786025.91983809404"/>
  </r>
  <r>
    <x v="0"/>
    <x v="0"/>
    <x v="0"/>
    <x v="7"/>
    <x v="15"/>
    <s v="NO5_A1"/>
    <x v="7"/>
    <s v="GNR_RES_WTR_NOPMP_MC-02"/>
    <x v="0"/>
    <x v="14"/>
    <n v="598.193241885916"/>
    <n v="218340.533288359"/>
    <n v="786025.91983809404"/>
  </r>
  <r>
    <x v="0"/>
    <x v="0"/>
    <x v="0"/>
    <x v="7"/>
    <x v="15"/>
    <s v="NO5_A1"/>
    <x v="7"/>
    <s v="GNR_RES_WTR_NOPMP_MC-02"/>
    <x v="0"/>
    <x v="15"/>
    <n v="598.193241885916"/>
    <n v="218340.533288359"/>
    <n v="786025.91983809404"/>
  </r>
  <r>
    <x v="0"/>
    <x v="0"/>
    <x v="0"/>
    <x v="7"/>
    <x v="15"/>
    <s v="NO5_A1"/>
    <x v="7"/>
    <s v="GNR_RES_WTR_NOPMP_MC-02"/>
    <x v="0"/>
    <x v="16"/>
    <n v="598.193241885916"/>
    <n v="218340.533288359"/>
    <n v="786025.91983809404"/>
  </r>
  <r>
    <x v="0"/>
    <x v="0"/>
    <x v="0"/>
    <x v="7"/>
    <x v="15"/>
    <s v="NO5_A1"/>
    <x v="7"/>
    <s v="GNR_RES_WTR_NOPMP_MC-02"/>
    <x v="0"/>
    <x v="17"/>
    <n v="598.193241885916"/>
    <n v="218340.533288359"/>
    <n v="786025.91983809404"/>
  </r>
  <r>
    <x v="0"/>
    <x v="0"/>
    <x v="0"/>
    <x v="7"/>
    <x v="15"/>
    <s v="NO5_A1"/>
    <x v="7"/>
    <s v="GNR_RES_WTR_NOPMP_MC-02"/>
    <x v="0"/>
    <x v="19"/>
    <n v="598.193241885916"/>
    <n v="218340.533288359"/>
    <n v="786025.91983809404"/>
  </r>
  <r>
    <x v="0"/>
    <x v="0"/>
    <x v="0"/>
    <x v="7"/>
    <x v="15"/>
    <s v="NO5_A1"/>
    <x v="7"/>
    <s v="GNR_RES_WTR_NOPMP_MC-02"/>
    <x v="0"/>
    <x v="20"/>
    <n v="598.193241885916"/>
    <n v="218340.533288359"/>
    <n v="786025.91983809404"/>
  </r>
  <r>
    <x v="0"/>
    <x v="0"/>
    <x v="0"/>
    <x v="7"/>
    <x v="15"/>
    <s v="NO5_A1"/>
    <x v="7"/>
    <s v="GNR_RES_WTR_NOPMP_MC-02"/>
    <x v="0"/>
    <x v="21"/>
    <n v="598.193241885916"/>
    <n v="218340.533288359"/>
    <n v="786025.91983809404"/>
  </r>
  <r>
    <x v="0"/>
    <x v="0"/>
    <x v="0"/>
    <x v="7"/>
    <x v="15"/>
    <s v="NO5_A1"/>
    <x v="7"/>
    <s v="GNR_RES_WTR_NOPMP_MC-02"/>
    <x v="0"/>
    <x v="22"/>
    <n v="598.193241885916"/>
    <n v="218340.533288359"/>
    <n v="786025.91983809404"/>
  </r>
  <r>
    <x v="0"/>
    <x v="0"/>
    <x v="0"/>
    <x v="7"/>
    <x v="15"/>
    <s v="NO5_A1"/>
    <x v="7"/>
    <s v="GNR_RES_WTR_NOPMP_MC-02"/>
    <x v="0"/>
    <x v="23"/>
    <n v="598.193241885916"/>
    <n v="218340.533288359"/>
    <n v="786025.91983809404"/>
  </r>
  <r>
    <x v="0"/>
    <x v="0"/>
    <x v="0"/>
    <x v="7"/>
    <x v="15"/>
    <s v="NO5_A1"/>
    <x v="7"/>
    <s v="GNR_RES_WTR_NOPMP_MC-03"/>
    <x v="0"/>
    <x v="0"/>
    <n v="598.193241885916"/>
    <n v="218340.533288359"/>
    <n v="786025.91983809404"/>
  </r>
  <r>
    <x v="0"/>
    <x v="0"/>
    <x v="0"/>
    <x v="7"/>
    <x v="15"/>
    <s v="NO5_A1"/>
    <x v="7"/>
    <s v="GNR_RES_WTR_NOPMP_MC-03"/>
    <x v="0"/>
    <x v="1"/>
    <n v="598.193241885916"/>
    <n v="218340.533288359"/>
    <n v="786025.91983809404"/>
  </r>
  <r>
    <x v="0"/>
    <x v="0"/>
    <x v="0"/>
    <x v="7"/>
    <x v="15"/>
    <s v="NO5_A1"/>
    <x v="7"/>
    <s v="GNR_RES_WTR_NOPMP_MC-03"/>
    <x v="0"/>
    <x v="2"/>
    <n v="598.193241885916"/>
    <n v="218340.533288359"/>
    <n v="786025.91983809404"/>
  </r>
  <r>
    <x v="0"/>
    <x v="0"/>
    <x v="0"/>
    <x v="7"/>
    <x v="15"/>
    <s v="NO5_A1"/>
    <x v="7"/>
    <s v="GNR_RES_WTR_NOPMP_MC-03"/>
    <x v="0"/>
    <x v="3"/>
    <n v="598.193241885916"/>
    <n v="218340.533288359"/>
    <n v="786025.91983809404"/>
  </r>
  <r>
    <x v="0"/>
    <x v="0"/>
    <x v="0"/>
    <x v="7"/>
    <x v="15"/>
    <s v="NO5_A1"/>
    <x v="7"/>
    <s v="GNR_RES_WTR_NOPMP_MC-03"/>
    <x v="0"/>
    <x v="18"/>
    <n v="598.193241885916"/>
    <n v="218340.533288359"/>
    <n v="786025.91983809404"/>
  </r>
  <r>
    <x v="0"/>
    <x v="0"/>
    <x v="0"/>
    <x v="7"/>
    <x v="15"/>
    <s v="NO5_A1"/>
    <x v="7"/>
    <s v="GNR_RES_WTR_NOPMP_MC-03"/>
    <x v="0"/>
    <x v="4"/>
    <n v="598.193241885916"/>
    <n v="218340.533288359"/>
    <n v="786025.91983809404"/>
  </r>
  <r>
    <x v="0"/>
    <x v="0"/>
    <x v="0"/>
    <x v="7"/>
    <x v="15"/>
    <s v="NO5_A1"/>
    <x v="7"/>
    <s v="GNR_RES_WTR_NOPMP_MC-03"/>
    <x v="0"/>
    <x v="5"/>
    <n v="598.193241885916"/>
    <n v="218340.533288359"/>
    <n v="786025.91983809404"/>
  </r>
  <r>
    <x v="0"/>
    <x v="0"/>
    <x v="0"/>
    <x v="7"/>
    <x v="15"/>
    <s v="NO5_A1"/>
    <x v="7"/>
    <s v="GNR_RES_WTR_NOPMP_MC-03"/>
    <x v="0"/>
    <x v="6"/>
    <n v="598.193241885916"/>
    <n v="218340.533288359"/>
    <n v="786025.91983809404"/>
  </r>
  <r>
    <x v="0"/>
    <x v="0"/>
    <x v="0"/>
    <x v="7"/>
    <x v="15"/>
    <s v="NO5_A1"/>
    <x v="7"/>
    <s v="GNR_RES_WTR_NOPMP_MC-03"/>
    <x v="0"/>
    <x v="7"/>
    <n v="598.193241885916"/>
    <n v="218340.533288359"/>
    <n v="786025.91983809404"/>
  </r>
  <r>
    <x v="0"/>
    <x v="0"/>
    <x v="0"/>
    <x v="7"/>
    <x v="15"/>
    <s v="NO5_A1"/>
    <x v="7"/>
    <s v="GNR_RES_WTR_NOPMP_MC-03"/>
    <x v="0"/>
    <x v="8"/>
    <n v="598.193241885916"/>
    <n v="218340.533288359"/>
    <n v="786025.91983809404"/>
  </r>
  <r>
    <x v="0"/>
    <x v="0"/>
    <x v="0"/>
    <x v="7"/>
    <x v="15"/>
    <s v="NO5_A1"/>
    <x v="7"/>
    <s v="GNR_RES_WTR_NOPMP_MC-03"/>
    <x v="0"/>
    <x v="9"/>
    <n v="598.193241885916"/>
    <n v="218340.533288359"/>
    <n v="786025.91983809404"/>
  </r>
  <r>
    <x v="0"/>
    <x v="0"/>
    <x v="0"/>
    <x v="7"/>
    <x v="15"/>
    <s v="NO5_A1"/>
    <x v="7"/>
    <s v="GNR_RES_WTR_NOPMP_MC-03"/>
    <x v="0"/>
    <x v="10"/>
    <n v="598.193241885916"/>
    <n v="218340.533288359"/>
    <n v="786025.91983809404"/>
  </r>
  <r>
    <x v="0"/>
    <x v="0"/>
    <x v="0"/>
    <x v="7"/>
    <x v="15"/>
    <s v="NO5_A1"/>
    <x v="7"/>
    <s v="GNR_RES_WTR_NOPMP_MC-03"/>
    <x v="0"/>
    <x v="11"/>
    <n v="598.193241885916"/>
    <n v="218340.533288359"/>
    <n v="786025.91983809404"/>
  </r>
  <r>
    <x v="0"/>
    <x v="0"/>
    <x v="0"/>
    <x v="7"/>
    <x v="15"/>
    <s v="NO5_A1"/>
    <x v="7"/>
    <s v="GNR_RES_WTR_NOPMP_MC-03"/>
    <x v="0"/>
    <x v="12"/>
    <n v="598.193241885916"/>
    <n v="218340.533288359"/>
    <n v="786025.91983809404"/>
  </r>
  <r>
    <x v="0"/>
    <x v="0"/>
    <x v="0"/>
    <x v="7"/>
    <x v="15"/>
    <s v="NO5_A1"/>
    <x v="7"/>
    <s v="GNR_RES_WTR_NOPMP_MC-03"/>
    <x v="0"/>
    <x v="13"/>
    <n v="598.193241885916"/>
    <n v="218340.533288359"/>
    <n v="786025.91983809404"/>
  </r>
  <r>
    <x v="0"/>
    <x v="0"/>
    <x v="0"/>
    <x v="7"/>
    <x v="15"/>
    <s v="NO5_A1"/>
    <x v="7"/>
    <s v="GNR_RES_WTR_NOPMP_MC-03"/>
    <x v="0"/>
    <x v="14"/>
    <n v="598.193241885916"/>
    <n v="218340.533288359"/>
    <n v="786025.91983809404"/>
  </r>
  <r>
    <x v="0"/>
    <x v="0"/>
    <x v="0"/>
    <x v="7"/>
    <x v="15"/>
    <s v="NO5_A1"/>
    <x v="7"/>
    <s v="GNR_RES_WTR_NOPMP_MC-03"/>
    <x v="0"/>
    <x v="15"/>
    <n v="598.193241885916"/>
    <n v="218340.533288359"/>
    <n v="786025.91983809404"/>
  </r>
  <r>
    <x v="0"/>
    <x v="0"/>
    <x v="0"/>
    <x v="7"/>
    <x v="15"/>
    <s v="NO5_A1"/>
    <x v="7"/>
    <s v="GNR_RES_WTR_NOPMP_MC-03"/>
    <x v="0"/>
    <x v="16"/>
    <n v="598.193241885916"/>
    <n v="218340.533288359"/>
    <n v="786025.91983809404"/>
  </r>
  <r>
    <x v="0"/>
    <x v="0"/>
    <x v="0"/>
    <x v="7"/>
    <x v="15"/>
    <s v="NO5_A1"/>
    <x v="7"/>
    <s v="GNR_RES_WTR_NOPMP_MC-03"/>
    <x v="0"/>
    <x v="17"/>
    <n v="598.193241885916"/>
    <n v="218340.533288359"/>
    <n v="786025.91983809404"/>
  </r>
  <r>
    <x v="0"/>
    <x v="0"/>
    <x v="0"/>
    <x v="7"/>
    <x v="15"/>
    <s v="NO5_A1"/>
    <x v="7"/>
    <s v="GNR_RES_WTR_NOPMP_MC-03"/>
    <x v="0"/>
    <x v="19"/>
    <n v="598.193241885916"/>
    <n v="218340.533288359"/>
    <n v="786025.91983809404"/>
  </r>
  <r>
    <x v="0"/>
    <x v="0"/>
    <x v="0"/>
    <x v="7"/>
    <x v="15"/>
    <s v="NO5_A1"/>
    <x v="7"/>
    <s v="GNR_RES_WTR_NOPMP_MC-03"/>
    <x v="0"/>
    <x v="20"/>
    <n v="598.193241885916"/>
    <n v="218340.533288359"/>
    <n v="786025.91983809404"/>
  </r>
  <r>
    <x v="0"/>
    <x v="0"/>
    <x v="0"/>
    <x v="7"/>
    <x v="15"/>
    <s v="NO5_A1"/>
    <x v="7"/>
    <s v="GNR_RES_WTR_NOPMP_MC-03"/>
    <x v="0"/>
    <x v="21"/>
    <n v="598.193241885916"/>
    <n v="218340.533288359"/>
    <n v="786025.91983809404"/>
  </r>
  <r>
    <x v="0"/>
    <x v="0"/>
    <x v="0"/>
    <x v="7"/>
    <x v="15"/>
    <s v="NO5_A1"/>
    <x v="7"/>
    <s v="GNR_RES_WTR_NOPMP_MC-03"/>
    <x v="0"/>
    <x v="22"/>
    <n v="598.193241885916"/>
    <n v="218340.533288359"/>
    <n v="786025.91983809404"/>
  </r>
  <r>
    <x v="0"/>
    <x v="0"/>
    <x v="0"/>
    <x v="7"/>
    <x v="15"/>
    <s v="NO5_A1"/>
    <x v="7"/>
    <s v="GNR_RES_WTR_NOPMP_MC-03"/>
    <x v="0"/>
    <x v="23"/>
    <n v="598.193241885916"/>
    <n v="218340.533288359"/>
    <n v="786025.91983809404"/>
  </r>
  <r>
    <x v="0"/>
    <x v="0"/>
    <x v="0"/>
    <x v="7"/>
    <x v="15"/>
    <s v="NO5_A1"/>
    <x v="7"/>
    <s v="GNR_RES_WTR_NOPMP_MC-04"/>
    <x v="0"/>
    <x v="0"/>
    <n v="598.193241885916"/>
    <n v="218340.533288359"/>
    <n v="786025.91983809404"/>
  </r>
  <r>
    <x v="0"/>
    <x v="0"/>
    <x v="0"/>
    <x v="7"/>
    <x v="15"/>
    <s v="NO5_A1"/>
    <x v="7"/>
    <s v="GNR_RES_WTR_NOPMP_MC-04"/>
    <x v="0"/>
    <x v="1"/>
    <n v="598.193241885916"/>
    <n v="218340.533288359"/>
    <n v="786025.91983809404"/>
  </r>
  <r>
    <x v="0"/>
    <x v="0"/>
    <x v="0"/>
    <x v="7"/>
    <x v="15"/>
    <s v="NO5_A1"/>
    <x v="7"/>
    <s v="GNR_RES_WTR_NOPMP_MC-04"/>
    <x v="0"/>
    <x v="2"/>
    <n v="598.193241885916"/>
    <n v="218340.533288359"/>
    <n v="786025.91983809404"/>
  </r>
  <r>
    <x v="0"/>
    <x v="0"/>
    <x v="0"/>
    <x v="7"/>
    <x v="15"/>
    <s v="NO5_A1"/>
    <x v="7"/>
    <s v="GNR_RES_WTR_NOPMP_MC-04"/>
    <x v="0"/>
    <x v="3"/>
    <n v="598.193241885916"/>
    <n v="218340.533288359"/>
    <n v="786025.91983809404"/>
  </r>
  <r>
    <x v="0"/>
    <x v="0"/>
    <x v="0"/>
    <x v="7"/>
    <x v="15"/>
    <s v="NO5_A1"/>
    <x v="7"/>
    <s v="GNR_RES_WTR_NOPMP_MC-04"/>
    <x v="0"/>
    <x v="18"/>
    <n v="598.193241885916"/>
    <n v="218340.533288359"/>
    <n v="786025.91983809404"/>
  </r>
  <r>
    <x v="0"/>
    <x v="0"/>
    <x v="0"/>
    <x v="7"/>
    <x v="15"/>
    <s v="NO5_A1"/>
    <x v="7"/>
    <s v="GNR_RES_WTR_NOPMP_MC-04"/>
    <x v="0"/>
    <x v="4"/>
    <n v="598.193241885916"/>
    <n v="218340.533288359"/>
    <n v="786025.91983809404"/>
  </r>
  <r>
    <x v="0"/>
    <x v="0"/>
    <x v="0"/>
    <x v="7"/>
    <x v="15"/>
    <s v="NO5_A1"/>
    <x v="7"/>
    <s v="GNR_RES_WTR_NOPMP_MC-04"/>
    <x v="0"/>
    <x v="5"/>
    <n v="598.193241885916"/>
    <n v="218340.533288359"/>
    <n v="786025.91983809404"/>
  </r>
  <r>
    <x v="0"/>
    <x v="0"/>
    <x v="0"/>
    <x v="7"/>
    <x v="15"/>
    <s v="NO5_A1"/>
    <x v="7"/>
    <s v="GNR_RES_WTR_NOPMP_MC-04"/>
    <x v="0"/>
    <x v="6"/>
    <n v="598.193241885916"/>
    <n v="218340.533288359"/>
    <n v="786025.91983809404"/>
  </r>
  <r>
    <x v="0"/>
    <x v="0"/>
    <x v="0"/>
    <x v="7"/>
    <x v="15"/>
    <s v="NO5_A1"/>
    <x v="7"/>
    <s v="GNR_RES_WTR_NOPMP_MC-04"/>
    <x v="0"/>
    <x v="7"/>
    <n v="598.193241885916"/>
    <n v="218340.533288359"/>
    <n v="786025.91983809404"/>
  </r>
  <r>
    <x v="0"/>
    <x v="0"/>
    <x v="0"/>
    <x v="7"/>
    <x v="15"/>
    <s v="NO5_A1"/>
    <x v="7"/>
    <s v="GNR_RES_WTR_NOPMP_MC-04"/>
    <x v="0"/>
    <x v="8"/>
    <n v="598.193241885916"/>
    <n v="218340.533288359"/>
    <n v="786025.91983809404"/>
  </r>
  <r>
    <x v="0"/>
    <x v="0"/>
    <x v="0"/>
    <x v="7"/>
    <x v="15"/>
    <s v="NO5_A1"/>
    <x v="7"/>
    <s v="GNR_RES_WTR_NOPMP_MC-04"/>
    <x v="0"/>
    <x v="9"/>
    <n v="598.193241885916"/>
    <n v="218340.533288359"/>
    <n v="786025.91983809404"/>
  </r>
  <r>
    <x v="0"/>
    <x v="0"/>
    <x v="0"/>
    <x v="7"/>
    <x v="15"/>
    <s v="NO5_A1"/>
    <x v="7"/>
    <s v="GNR_RES_WTR_NOPMP_MC-04"/>
    <x v="0"/>
    <x v="10"/>
    <n v="598.193241885916"/>
    <n v="218340.533288359"/>
    <n v="786025.91983809404"/>
  </r>
  <r>
    <x v="0"/>
    <x v="0"/>
    <x v="0"/>
    <x v="7"/>
    <x v="15"/>
    <s v="NO5_A1"/>
    <x v="7"/>
    <s v="GNR_RES_WTR_NOPMP_MC-04"/>
    <x v="0"/>
    <x v="11"/>
    <n v="598.193241885916"/>
    <n v="218340.533288359"/>
    <n v="786025.91983809404"/>
  </r>
  <r>
    <x v="0"/>
    <x v="0"/>
    <x v="0"/>
    <x v="7"/>
    <x v="15"/>
    <s v="NO5_A1"/>
    <x v="7"/>
    <s v="GNR_RES_WTR_NOPMP_MC-04"/>
    <x v="0"/>
    <x v="12"/>
    <n v="598.193241885916"/>
    <n v="218340.533288359"/>
    <n v="786025.91983809404"/>
  </r>
  <r>
    <x v="0"/>
    <x v="0"/>
    <x v="0"/>
    <x v="7"/>
    <x v="15"/>
    <s v="NO5_A1"/>
    <x v="7"/>
    <s v="GNR_RES_WTR_NOPMP_MC-04"/>
    <x v="0"/>
    <x v="13"/>
    <n v="598.193241885916"/>
    <n v="218340.533288359"/>
    <n v="786025.91983809404"/>
  </r>
  <r>
    <x v="0"/>
    <x v="0"/>
    <x v="0"/>
    <x v="7"/>
    <x v="15"/>
    <s v="NO5_A1"/>
    <x v="7"/>
    <s v="GNR_RES_WTR_NOPMP_MC-04"/>
    <x v="0"/>
    <x v="14"/>
    <n v="598.193241885916"/>
    <n v="218340.533288359"/>
    <n v="786025.91983809404"/>
  </r>
  <r>
    <x v="0"/>
    <x v="0"/>
    <x v="0"/>
    <x v="7"/>
    <x v="15"/>
    <s v="NO5_A1"/>
    <x v="7"/>
    <s v="GNR_RES_WTR_NOPMP_MC-04"/>
    <x v="0"/>
    <x v="15"/>
    <n v="598.193241885916"/>
    <n v="218340.533288359"/>
    <n v="786025.91983809404"/>
  </r>
  <r>
    <x v="0"/>
    <x v="0"/>
    <x v="0"/>
    <x v="7"/>
    <x v="15"/>
    <s v="NO5_A1"/>
    <x v="7"/>
    <s v="GNR_RES_WTR_NOPMP_MC-04"/>
    <x v="0"/>
    <x v="16"/>
    <n v="598.193241885916"/>
    <n v="218340.533288359"/>
    <n v="786025.91983809404"/>
  </r>
  <r>
    <x v="0"/>
    <x v="0"/>
    <x v="0"/>
    <x v="7"/>
    <x v="15"/>
    <s v="NO5_A1"/>
    <x v="7"/>
    <s v="GNR_RES_WTR_NOPMP_MC-04"/>
    <x v="0"/>
    <x v="17"/>
    <n v="598.193241885916"/>
    <n v="218340.533288359"/>
    <n v="786025.91983809404"/>
  </r>
  <r>
    <x v="0"/>
    <x v="0"/>
    <x v="0"/>
    <x v="7"/>
    <x v="15"/>
    <s v="NO5_A1"/>
    <x v="7"/>
    <s v="GNR_RES_WTR_NOPMP_MC-04"/>
    <x v="0"/>
    <x v="19"/>
    <n v="598.193241885916"/>
    <n v="218340.533288359"/>
    <n v="786025.91983809404"/>
  </r>
  <r>
    <x v="0"/>
    <x v="0"/>
    <x v="0"/>
    <x v="7"/>
    <x v="15"/>
    <s v="NO5_A1"/>
    <x v="7"/>
    <s v="GNR_RES_WTR_NOPMP_MC-04"/>
    <x v="0"/>
    <x v="20"/>
    <n v="598.193241885916"/>
    <n v="218340.533288359"/>
    <n v="786025.91983809404"/>
  </r>
  <r>
    <x v="0"/>
    <x v="0"/>
    <x v="0"/>
    <x v="7"/>
    <x v="15"/>
    <s v="NO5_A1"/>
    <x v="7"/>
    <s v="GNR_RES_WTR_NOPMP_MC-04"/>
    <x v="0"/>
    <x v="21"/>
    <n v="598.193241885916"/>
    <n v="218340.533288359"/>
    <n v="786025.91983809404"/>
  </r>
  <r>
    <x v="0"/>
    <x v="0"/>
    <x v="0"/>
    <x v="7"/>
    <x v="15"/>
    <s v="NO5_A1"/>
    <x v="7"/>
    <s v="GNR_RES_WTR_NOPMP_MC-04"/>
    <x v="0"/>
    <x v="22"/>
    <n v="598.193241885916"/>
    <n v="218340.533288359"/>
    <n v="786025.91983809404"/>
  </r>
  <r>
    <x v="0"/>
    <x v="0"/>
    <x v="0"/>
    <x v="7"/>
    <x v="15"/>
    <s v="NO5_A1"/>
    <x v="7"/>
    <s v="GNR_RES_WTR_NOPMP_MC-04"/>
    <x v="0"/>
    <x v="23"/>
    <n v="598.193241885916"/>
    <n v="218340.533288359"/>
    <n v="786025.91983809404"/>
  </r>
  <r>
    <x v="0"/>
    <x v="0"/>
    <x v="0"/>
    <x v="7"/>
    <x v="15"/>
    <s v="NO5_A1"/>
    <x v="7"/>
    <s v="GNR_RES_WTR_NOPMP_MC-05"/>
    <x v="0"/>
    <x v="0"/>
    <n v="317.036705651104"/>
    <n v="115718.397562653"/>
    <n v="416586.23122555"/>
  </r>
  <r>
    <x v="0"/>
    <x v="0"/>
    <x v="0"/>
    <x v="7"/>
    <x v="15"/>
    <s v="NO5_A1"/>
    <x v="7"/>
    <s v="GNR_RES_WTR_NOPMP_MC-05"/>
    <x v="0"/>
    <x v="1"/>
    <n v="274.29378355475302"/>
    <n v="100117.23099748501"/>
    <n v="360422.03159094602"/>
  </r>
  <r>
    <x v="0"/>
    <x v="0"/>
    <x v="0"/>
    <x v="7"/>
    <x v="15"/>
    <s v="NO5_A1"/>
    <x v="7"/>
    <s v="GNR_RES_WTR_NOPMP_MC-05"/>
    <x v="0"/>
    <x v="2"/>
    <n v="258.21711652673798"/>
    <n v="94249.247532259207"/>
    <n v="339297.29111613298"/>
  </r>
  <r>
    <x v="0"/>
    <x v="0"/>
    <x v="0"/>
    <x v="7"/>
    <x v="15"/>
    <s v="NO5_A1"/>
    <x v="7"/>
    <s v="GNR_RES_WTR_NOPMP_MC-05"/>
    <x v="0"/>
    <x v="3"/>
    <n v="272.42827262900499"/>
    <n v="99436.319509586901"/>
    <n v="357970.75023451302"/>
  </r>
  <r>
    <x v="0"/>
    <x v="0"/>
    <x v="0"/>
    <x v="7"/>
    <x v="15"/>
    <s v="NO5_A1"/>
    <x v="7"/>
    <s v="GNR_RES_WTR_NOPMP_MC-05"/>
    <x v="0"/>
    <x v="18"/>
    <n v="302.669204429334"/>
    <n v="110474.259616707"/>
    <n v="397707.33462014497"/>
  </r>
  <r>
    <x v="0"/>
    <x v="0"/>
    <x v="0"/>
    <x v="7"/>
    <x v="15"/>
    <s v="NO5_A1"/>
    <x v="7"/>
    <s v="GNR_RES_WTR_NOPMP_MC-05"/>
    <x v="0"/>
    <x v="4"/>
    <n v="364.813342506303"/>
    <n v="133156.87001480101"/>
    <n v="479364.73205328197"/>
  </r>
  <r>
    <x v="0"/>
    <x v="0"/>
    <x v="0"/>
    <x v="7"/>
    <x v="15"/>
    <s v="NO5_A1"/>
    <x v="7"/>
    <s v="GNR_RES_WTR_NOPMP_MC-05"/>
    <x v="0"/>
    <x v="5"/>
    <n v="475.88260353387199"/>
    <n v="173697.150289863"/>
    <n v="625309.74104350701"/>
  </r>
  <r>
    <x v="0"/>
    <x v="0"/>
    <x v="0"/>
    <x v="7"/>
    <x v="15"/>
    <s v="NO5_A1"/>
    <x v="7"/>
    <s v="GNR_RES_WTR_NOPMP_MC-05"/>
    <x v="0"/>
    <x v="6"/>
    <n v="598.193241885916"/>
    <n v="218340.533288359"/>
    <n v="786025.91983809404"/>
  </r>
  <r>
    <x v="0"/>
    <x v="0"/>
    <x v="0"/>
    <x v="7"/>
    <x v="15"/>
    <s v="NO5_A1"/>
    <x v="7"/>
    <s v="GNR_RES_WTR_NOPMP_MC-05"/>
    <x v="0"/>
    <x v="7"/>
    <n v="598.193241885916"/>
    <n v="218340.533288359"/>
    <n v="786025.91983809404"/>
  </r>
  <r>
    <x v="0"/>
    <x v="0"/>
    <x v="0"/>
    <x v="7"/>
    <x v="15"/>
    <s v="NO5_A1"/>
    <x v="7"/>
    <s v="GNR_RES_WTR_NOPMP_MC-05"/>
    <x v="0"/>
    <x v="8"/>
    <n v="598.193241885916"/>
    <n v="218340.533288359"/>
    <n v="786025.91983809404"/>
  </r>
  <r>
    <x v="0"/>
    <x v="0"/>
    <x v="0"/>
    <x v="7"/>
    <x v="15"/>
    <s v="NO5_A1"/>
    <x v="7"/>
    <s v="GNR_RES_WTR_NOPMP_MC-05"/>
    <x v="0"/>
    <x v="9"/>
    <n v="598.193241885916"/>
    <n v="218340.533288359"/>
    <n v="786025.91983809404"/>
  </r>
  <r>
    <x v="0"/>
    <x v="0"/>
    <x v="0"/>
    <x v="7"/>
    <x v="15"/>
    <s v="NO5_A1"/>
    <x v="7"/>
    <s v="GNR_RES_WTR_NOPMP_MC-05"/>
    <x v="0"/>
    <x v="10"/>
    <n v="598.193241885916"/>
    <n v="218340.533288359"/>
    <n v="786025.91983809404"/>
  </r>
  <r>
    <x v="0"/>
    <x v="0"/>
    <x v="0"/>
    <x v="7"/>
    <x v="15"/>
    <s v="NO5_A1"/>
    <x v="7"/>
    <s v="GNR_RES_WTR_NOPMP_MC-05"/>
    <x v="0"/>
    <x v="11"/>
    <n v="598.193241885916"/>
    <n v="218340.533288359"/>
    <n v="786025.91983809404"/>
  </r>
  <r>
    <x v="0"/>
    <x v="0"/>
    <x v="0"/>
    <x v="7"/>
    <x v="15"/>
    <s v="NO5_A1"/>
    <x v="7"/>
    <s v="GNR_RES_WTR_NOPMP_MC-05"/>
    <x v="0"/>
    <x v="12"/>
    <n v="598.193241885916"/>
    <n v="218340.533288359"/>
    <n v="786025.91983809404"/>
  </r>
  <r>
    <x v="0"/>
    <x v="0"/>
    <x v="0"/>
    <x v="7"/>
    <x v="15"/>
    <s v="NO5_A1"/>
    <x v="7"/>
    <s v="GNR_RES_WTR_NOPMP_MC-05"/>
    <x v="0"/>
    <x v="13"/>
    <n v="598.193241885916"/>
    <n v="218340.533288359"/>
    <n v="786025.91983809404"/>
  </r>
  <r>
    <x v="0"/>
    <x v="0"/>
    <x v="0"/>
    <x v="7"/>
    <x v="15"/>
    <s v="NO5_A1"/>
    <x v="7"/>
    <s v="GNR_RES_WTR_NOPMP_MC-05"/>
    <x v="0"/>
    <x v="14"/>
    <n v="598.193241885916"/>
    <n v="218340.533288359"/>
    <n v="786025.91983809404"/>
  </r>
  <r>
    <x v="0"/>
    <x v="0"/>
    <x v="0"/>
    <x v="7"/>
    <x v="15"/>
    <s v="NO5_A1"/>
    <x v="7"/>
    <s v="GNR_RES_WTR_NOPMP_MC-05"/>
    <x v="0"/>
    <x v="15"/>
    <n v="598.193241885916"/>
    <n v="218340.533288359"/>
    <n v="786025.91983809404"/>
  </r>
  <r>
    <x v="0"/>
    <x v="0"/>
    <x v="0"/>
    <x v="7"/>
    <x v="15"/>
    <s v="NO5_A1"/>
    <x v="7"/>
    <s v="GNR_RES_WTR_NOPMP_MC-05"/>
    <x v="0"/>
    <x v="16"/>
    <n v="585.74295431398605"/>
    <n v="213796.17832460499"/>
    <n v="769666.24196857796"/>
  </r>
  <r>
    <x v="0"/>
    <x v="0"/>
    <x v="0"/>
    <x v="7"/>
    <x v="15"/>
    <s v="NO5_A1"/>
    <x v="7"/>
    <s v="GNR_RES_WTR_NOPMP_MC-05"/>
    <x v="0"/>
    <x v="17"/>
    <n v="567.87894891996496"/>
    <n v="207275.81635578701"/>
    <n v="746192.93888083403"/>
  </r>
  <r>
    <x v="0"/>
    <x v="0"/>
    <x v="0"/>
    <x v="7"/>
    <x v="15"/>
    <s v="NO5_A1"/>
    <x v="7"/>
    <s v="GNR_RES_WTR_NOPMP_MC-05"/>
    <x v="0"/>
    <x v="19"/>
    <n v="560.46801213251604"/>
    <n v="204570.82442836801"/>
    <n v="736454.96794212598"/>
  </r>
  <r>
    <x v="0"/>
    <x v="0"/>
    <x v="0"/>
    <x v="7"/>
    <x v="15"/>
    <s v="NO5_A1"/>
    <x v="7"/>
    <s v="GNR_RES_WTR_NOPMP_MC-05"/>
    <x v="0"/>
    <x v="20"/>
    <n v="537.852709113125"/>
    <n v="196316.238826291"/>
    <n v="706738.45977464598"/>
  </r>
  <r>
    <x v="0"/>
    <x v="0"/>
    <x v="0"/>
    <x v="7"/>
    <x v="15"/>
    <s v="NO5_A1"/>
    <x v="7"/>
    <s v="GNR_RES_WTR_NOPMP_MC-05"/>
    <x v="0"/>
    <x v="21"/>
    <n v="478.618337977637"/>
    <n v="174695.693361838"/>
    <n v="628904.49610261503"/>
  </r>
  <r>
    <x v="0"/>
    <x v="0"/>
    <x v="0"/>
    <x v="7"/>
    <x v="15"/>
    <s v="NO5_A1"/>
    <x v="7"/>
    <s v="GNR_RES_WTR_NOPMP_MC-05"/>
    <x v="0"/>
    <x v="22"/>
    <n v="435.882716869224"/>
    <n v="159097.19165726699"/>
    <n v="572749.88996615994"/>
  </r>
  <r>
    <x v="0"/>
    <x v="0"/>
    <x v="0"/>
    <x v="7"/>
    <x v="15"/>
    <s v="NO5_A1"/>
    <x v="7"/>
    <s v="GNR_RES_WTR_NOPMP_MC-05"/>
    <x v="0"/>
    <x v="23"/>
    <n v="362.43926690953498"/>
    <n v="132290.33242198001"/>
    <n v="476245.19671912899"/>
  </r>
  <r>
    <x v="0"/>
    <x v="0"/>
    <x v="0"/>
    <x v="7"/>
    <x v="15"/>
    <s v="NO5_A1"/>
    <x v="7"/>
    <s v="GNR_RES_WTR_NOPMP_MC-06"/>
    <x v="0"/>
    <x v="6"/>
    <n v="33.753702910762001"/>
    <n v="12320.101562428101"/>
    <n v="44352.3656247412"/>
  </r>
  <r>
    <x v="0"/>
    <x v="0"/>
    <x v="0"/>
    <x v="7"/>
    <x v="15"/>
    <s v="NO5_A1"/>
    <x v="7"/>
    <s v="GNR_RES_WTR_NOPMP_MC-06"/>
    <x v="0"/>
    <x v="7"/>
    <n v="98.463697489903495"/>
    <n v="35939.249583814802"/>
    <n v="129381.29850173301"/>
  </r>
  <r>
    <x v="0"/>
    <x v="0"/>
    <x v="0"/>
    <x v="7"/>
    <x v="15"/>
    <s v="NO5_A1"/>
    <x v="7"/>
    <s v="GNR_RES_WTR_NOPMP_MC-06"/>
    <x v="0"/>
    <x v="8"/>
    <n v="76.317368799525298"/>
    <n v="27855.839611826701"/>
    <n v="100281.02260257601"/>
  </r>
  <r>
    <x v="0"/>
    <x v="0"/>
    <x v="0"/>
    <x v="7"/>
    <x v="15"/>
    <s v="NO5_A1"/>
    <x v="7"/>
    <s v="GNR_RES_WTR_NOPMP_MC-06"/>
    <x v="0"/>
    <x v="9"/>
    <n v="56.805690905076901"/>
    <n v="20734.077180353099"/>
    <n v="74642.677849271"/>
  </r>
  <r>
    <x v="0"/>
    <x v="0"/>
    <x v="0"/>
    <x v="7"/>
    <x v="15"/>
    <s v="NO5_A1"/>
    <x v="7"/>
    <s v="GNR_RES_WTR_NOPMP_MC-06"/>
    <x v="0"/>
    <x v="10"/>
    <n v="45.211437191041497"/>
    <n v="16502.174574730099"/>
    <n v="59407.8284690285"/>
  </r>
  <r>
    <x v="0"/>
    <x v="0"/>
    <x v="0"/>
    <x v="7"/>
    <x v="15"/>
    <s v="NO5_A1"/>
    <x v="7"/>
    <s v="GNR_RES_WTR_NOPMP_MC-06"/>
    <x v="0"/>
    <x v="11"/>
    <n v="19.6676106981899"/>
    <n v="7178.6779048393"/>
    <n v="25843.2404574215"/>
  </r>
  <r>
    <x v="0"/>
    <x v="0"/>
    <x v="0"/>
    <x v="7"/>
    <x v="15"/>
    <s v="NO5_A1"/>
    <x v="7"/>
    <s v="GNR_RES_WTR_NOPMP_MC-06"/>
    <x v="0"/>
    <x v="12"/>
    <n v="20.0188221254352"/>
    <n v="7306.8700757838296"/>
    <n v="26304.732272821799"/>
  </r>
  <r>
    <x v="0"/>
    <x v="0"/>
    <x v="0"/>
    <x v="7"/>
    <x v="15"/>
    <s v="NO5_A1"/>
    <x v="7"/>
    <s v="GNR_RES_WTR_NOPMP_MC-06"/>
    <x v="0"/>
    <x v="13"/>
    <n v="12.834032875527001"/>
    <n v="4684.4219995673602"/>
    <n v="16863.919198442502"/>
  </r>
  <r>
    <x v="0"/>
    <x v="0"/>
    <x v="0"/>
    <x v="7"/>
    <x v="15"/>
    <s v="NO5_A1"/>
    <x v="7"/>
    <s v="GNR_RES_WTR_NOPMP_MC-06"/>
    <x v="0"/>
    <x v="14"/>
    <n v="6.6184735134233099"/>
    <n v="2415.74283239951"/>
    <n v="8696.6741966382306"/>
  </r>
  <r>
    <x v="0"/>
    <x v="0"/>
    <x v="0"/>
    <x v="7"/>
    <x v="15"/>
    <s v="NO5_A1"/>
    <x v="7"/>
    <s v="GNR_RES_WTR_NOPMP_MC-06"/>
    <x v="0"/>
    <x v="15"/>
    <n v="23.279800494161801"/>
    <n v="8497.1271803690706"/>
    <n v="30589.6578493286"/>
  </r>
  <r>
    <x v="0"/>
    <x v="0"/>
    <x v="0"/>
    <x v="7"/>
    <x v="15"/>
    <s v="NO5_A1"/>
    <x v="7"/>
    <s v="GNR_RES_WTR_PMP_MC-01"/>
    <x v="0"/>
    <x v="0"/>
    <n v="444"/>
    <n v="162060"/>
    <n v="583416"/>
  </r>
  <r>
    <x v="0"/>
    <x v="0"/>
    <x v="0"/>
    <x v="7"/>
    <x v="15"/>
    <s v="NO5_A1"/>
    <x v="7"/>
    <s v="GNR_RES_WTR_PMP_MC-01"/>
    <x v="0"/>
    <x v="1"/>
    <n v="444"/>
    <n v="162060"/>
    <n v="583416"/>
  </r>
  <r>
    <x v="0"/>
    <x v="0"/>
    <x v="0"/>
    <x v="7"/>
    <x v="15"/>
    <s v="NO5_A1"/>
    <x v="7"/>
    <s v="GNR_RES_WTR_PMP_MC-01"/>
    <x v="0"/>
    <x v="2"/>
    <n v="444"/>
    <n v="162060"/>
    <n v="583416"/>
  </r>
  <r>
    <x v="0"/>
    <x v="0"/>
    <x v="0"/>
    <x v="7"/>
    <x v="15"/>
    <s v="NO5_A1"/>
    <x v="7"/>
    <s v="GNR_RES_WTR_PMP_MC-01"/>
    <x v="0"/>
    <x v="3"/>
    <n v="444"/>
    <n v="162060"/>
    <n v="583416"/>
  </r>
  <r>
    <x v="0"/>
    <x v="0"/>
    <x v="0"/>
    <x v="7"/>
    <x v="15"/>
    <s v="NO5_A1"/>
    <x v="7"/>
    <s v="GNR_RES_WTR_PMP_MC-01"/>
    <x v="0"/>
    <x v="18"/>
    <n v="444"/>
    <n v="162060"/>
    <n v="583416"/>
  </r>
  <r>
    <x v="0"/>
    <x v="0"/>
    <x v="0"/>
    <x v="7"/>
    <x v="15"/>
    <s v="NO5_A1"/>
    <x v="7"/>
    <s v="GNR_RES_WTR_PMP_MC-01"/>
    <x v="0"/>
    <x v="4"/>
    <n v="444"/>
    <n v="162060"/>
    <n v="583416"/>
  </r>
  <r>
    <x v="0"/>
    <x v="0"/>
    <x v="0"/>
    <x v="7"/>
    <x v="15"/>
    <s v="NO5_A1"/>
    <x v="7"/>
    <s v="GNR_RES_WTR_PMP_MC-01"/>
    <x v="0"/>
    <x v="5"/>
    <n v="444"/>
    <n v="162060"/>
    <n v="583416"/>
  </r>
  <r>
    <x v="0"/>
    <x v="0"/>
    <x v="0"/>
    <x v="7"/>
    <x v="15"/>
    <s v="NO5_A1"/>
    <x v="7"/>
    <s v="GNR_RES_WTR_PMP_MC-01"/>
    <x v="0"/>
    <x v="6"/>
    <n v="444"/>
    <n v="162060"/>
    <n v="583416"/>
  </r>
  <r>
    <x v="0"/>
    <x v="0"/>
    <x v="0"/>
    <x v="7"/>
    <x v="15"/>
    <s v="NO5_A1"/>
    <x v="7"/>
    <s v="GNR_RES_WTR_PMP_MC-01"/>
    <x v="0"/>
    <x v="7"/>
    <n v="444"/>
    <n v="162060"/>
    <n v="583416"/>
  </r>
  <r>
    <x v="0"/>
    <x v="0"/>
    <x v="0"/>
    <x v="7"/>
    <x v="15"/>
    <s v="NO5_A1"/>
    <x v="7"/>
    <s v="GNR_RES_WTR_PMP_MC-01"/>
    <x v="0"/>
    <x v="8"/>
    <n v="444"/>
    <n v="162060"/>
    <n v="583416"/>
  </r>
  <r>
    <x v="0"/>
    <x v="0"/>
    <x v="0"/>
    <x v="7"/>
    <x v="15"/>
    <s v="NO5_A1"/>
    <x v="7"/>
    <s v="GNR_RES_WTR_PMP_MC-01"/>
    <x v="0"/>
    <x v="9"/>
    <n v="444"/>
    <n v="162060"/>
    <n v="583416"/>
  </r>
  <r>
    <x v="0"/>
    <x v="0"/>
    <x v="0"/>
    <x v="7"/>
    <x v="15"/>
    <s v="NO5_A1"/>
    <x v="7"/>
    <s v="GNR_RES_WTR_PMP_MC-01"/>
    <x v="0"/>
    <x v="10"/>
    <n v="444"/>
    <n v="162060"/>
    <n v="583416"/>
  </r>
  <r>
    <x v="0"/>
    <x v="0"/>
    <x v="0"/>
    <x v="7"/>
    <x v="15"/>
    <s v="NO5_A1"/>
    <x v="7"/>
    <s v="GNR_RES_WTR_PMP_MC-01"/>
    <x v="0"/>
    <x v="11"/>
    <n v="444"/>
    <n v="162060"/>
    <n v="583416"/>
  </r>
  <r>
    <x v="0"/>
    <x v="0"/>
    <x v="0"/>
    <x v="7"/>
    <x v="15"/>
    <s v="NO5_A1"/>
    <x v="7"/>
    <s v="GNR_RES_WTR_PMP_MC-01"/>
    <x v="0"/>
    <x v="12"/>
    <n v="444"/>
    <n v="162060"/>
    <n v="583416"/>
  </r>
  <r>
    <x v="0"/>
    <x v="0"/>
    <x v="0"/>
    <x v="7"/>
    <x v="15"/>
    <s v="NO5_A1"/>
    <x v="7"/>
    <s v="GNR_RES_WTR_PMP_MC-01"/>
    <x v="0"/>
    <x v="13"/>
    <n v="444"/>
    <n v="162060"/>
    <n v="583416"/>
  </r>
  <r>
    <x v="0"/>
    <x v="0"/>
    <x v="0"/>
    <x v="7"/>
    <x v="15"/>
    <s v="NO5_A1"/>
    <x v="7"/>
    <s v="GNR_RES_WTR_PMP_MC-01"/>
    <x v="0"/>
    <x v="14"/>
    <n v="444"/>
    <n v="162060"/>
    <n v="583416"/>
  </r>
  <r>
    <x v="0"/>
    <x v="0"/>
    <x v="0"/>
    <x v="7"/>
    <x v="15"/>
    <s v="NO5_A1"/>
    <x v="7"/>
    <s v="GNR_RES_WTR_PMP_MC-01"/>
    <x v="0"/>
    <x v="15"/>
    <n v="444"/>
    <n v="162060"/>
    <n v="583416"/>
  </r>
  <r>
    <x v="0"/>
    <x v="0"/>
    <x v="0"/>
    <x v="7"/>
    <x v="15"/>
    <s v="NO5_A1"/>
    <x v="7"/>
    <s v="GNR_RES_WTR_PMP_MC-01"/>
    <x v="0"/>
    <x v="16"/>
    <n v="444"/>
    <n v="162060"/>
    <n v="583416"/>
  </r>
  <r>
    <x v="0"/>
    <x v="0"/>
    <x v="0"/>
    <x v="7"/>
    <x v="15"/>
    <s v="NO5_A1"/>
    <x v="7"/>
    <s v="GNR_RES_WTR_PMP_MC-01"/>
    <x v="0"/>
    <x v="17"/>
    <n v="444"/>
    <n v="162060"/>
    <n v="583416"/>
  </r>
  <r>
    <x v="0"/>
    <x v="0"/>
    <x v="0"/>
    <x v="7"/>
    <x v="15"/>
    <s v="NO5_A1"/>
    <x v="7"/>
    <s v="GNR_RES_WTR_PMP_MC-01"/>
    <x v="0"/>
    <x v="19"/>
    <n v="444"/>
    <n v="162060"/>
    <n v="583416"/>
  </r>
  <r>
    <x v="0"/>
    <x v="0"/>
    <x v="0"/>
    <x v="7"/>
    <x v="15"/>
    <s v="NO5_A1"/>
    <x v="7"/>
    <s v="GNR_RES_WTR_PMP_MC-01"/>
    <x v="0"/>
    <x v="20"/>
    <n v="444"/>
    <n v="162060"/>
    <n v="583416"/>
  </r>
  <r>
    <x v="0"/>
    <x v="0"/>
    <x v="0"/>
    <x v="7"/>
    <x v="15"/>
    <s v="NO5_A1"/>
    <x v="7"/>
    <s v="GNR_RES_WTR_PMP_MC-01"/>
    <x v="0"/>
    <x v="21"/>
    <n v="444"/>
    <n v="162060"/>
    <n v="583416"/>
  </r>
  <r>
    <x v="0"/>
    <x v="0"/>
    <x v="0"/>
    <x v="7"/>
    <x v="15"/>
    <s v="NO5_A1"/>
    <x v="7"/>
    <s v="GNR_RES_WTR_PMP_MC-01"/>
    <x v="0"/>
    <x v="22"/>
    <n v="444"/>
    <n v="162060"/>
    <n v="583416"/>
  </r>
  <r>
    <x v="0"/>
    <x v="0"/>
    <x v="0"/>
    <x v="7"/>
    <x v="15"/>
    <s v="NO5_A1"/>
    <x v="7"/>
    <s v="GNR_RES_WTR_PMP_MC-01"/>
    <x v="0"/>
    <x v="23"/>
    <n v="444"/>
    <n v="162060"/>
    <n v="583416"/>
  </r>
  <r>
    <x v="0"/>
    <x v="0"/>
    <x v="0"/>
    <x v="7"/>
    <x v="15"/>
    <s v="NO5_A1"/>
    <x v="7"/>
    <s v="GNR_ROR_WTR"/>
    <x v="0"/>
    <x v="0"/>
    <n v="1077.1597801871801"/>
    <n v="393163.31976832001"/>
    <n v="1415387.9511659499"/>
  </r>
  <r>
    <x v="0"/>
    <x v="0"/>
    <x v="0"/>
    <x v="7"/>
    <x v="15"/>
    <s v="NO5_A1"/>
    <x v="7"/>
    <s v="GNR_ROR_WTR"/>
    <x v="0"/>
    <x v="1"/>
    <n v="1077.1597801871801"/>
    <n v="393163.31976832001"/>
    <n v="1415387.9511659499"/>
  </r>
  <r>
    <x v="0"/>
    <x v="0"/>
    <x v="0"/>
    <x v="7"/>
    <x v="15"/>
    <s v="NO5_A1"/>
    <x v="7"/>
    <s v="GNR_ROR_WTR"/>
    <x v="0"/>
    <x v="2"/>
    <n v="1077.1597801871801"/>
    <n v="393163.31976832001"/>
    <n v="1415387.9511659499"/>
  </r>
  <r>
    <x v="0"/>
    <x v="0"/>
    <x v="0"/>
    <x v="7"/>
    <x v="15"/>
    <s v="NO5_A1"/>
    <x v="7"/>
    <s v="GNR_ROR_WTR"/>
    <x v="0"/>
    <x v="3"/>
    <n v="1077.1597801871801"/>
    <n v="393163.31976832001"/>
    <n v="1415387.9511659499"/>
  </r>
  <r>
    <x v="0"/>
    <x v="0"/>
    <x v="0"/>
    <x v="7"/>
    <x v="15"/>
    <s v="NO5_A1"/>
    <x v="7"/>
    <s v="GNR_ROR_WTR"/>
    <x v="0"/>
    <x v="18"/>
    <n v="1077.1597801871801"/>
    <n v="393163.31976832001"/>
    <n v="1415387.9511659499"/>
  </r>
  <r>
    <x v="0"/>
    <x v="0"/>
    <x v="0"/>
    <x v="7"/>
    <x v="15"/>
    <s v="NO5_A1"/>
    <x v="7"/>
    <s v="GNR_ROR_WTR"/>
    <x v="0"/>
    <x v="4"/>
    <n v="1077.1597801871801"/>
    <n v="393163.31976832001"/>
    <n v="1415387.9511659499"/>
  </r>
  <r>
    <x v="0"/>
    <x v="0"/>
    <x v="0"/>
    <x v="7"/>
    <x v="15"/>
    <s v="NO5_A1"/>
    <x v="7"/>
    <s v="GNR_ROR_WTR"/>
    <x v="0"/>
    <x v="5"/>
    <n v="1077.1597801871801"/>
    <n v="393163.31976832001"/>
    <n v="1415387.9511659499"/>
  </r>
  <r>
    <x v="0"/>
    <x v="0"/>
    <x v="0"/>
    <x v="7"/>
    <x v="15"/>
    <s v="NO5_A1"/>
    <x v="7"/>
    <s v="GNR_ROR_WTR"/>
    <x v="0"/>
    <x v="6"/>
    <n v="1077.1597801871801"/>
    <n v="393163.31976832001"/>
    <n v="1415387.9511659499"/>
  </r>
  <r>
    <x v="0"/>
    <x v="0"/>
    <x v="0"/>
    <x v="7"/>
    <x v="15"/>
    <s v="NO5_A1"/>
    <x v="7"/>
    <s v="GNR_ROR_WTR"/>
    <x v="0"/>
    <x v="7"/>
    <n v="1077.1597801871801"/>
    <n v="393163.31976832001"/>
    <n v="1415387.9511659499"/>
  </r>
  <r>
    <x v="0"/>
    <x v="0"/>
    <x v="0"/>
    <x v="7"/>
    <x v="15"/>
    <s v="NO5_A1"/>
    <x v="7"/>
    <s v="GNR_ROR_WTR"/>
    <x v="0"/>
    <x v="8"/>
    <n v="1077.1597801871801"/>
    <n v="393163.31976832001"/>
    <n v="1415387.9511659499"/>
  </r>
  <r>
    <x v="0"/>
    <x v="0"/>
    <x v="0"/>
    <x v="7"/>
    <x v="15"/>
    <s v="NO5_A1"/>
    <x v="7"/>
    <s v="GNR_ROR_WTR"/>
    <x v="0"/>
    <x v="9"/>
    <n v="1077.1597801871801"/>
    <n v="393163.31976832001"/>
    <n v="1415387.9511659499"/>
  </r>
  <r>
    <x v="0"/>
    <x v="0"/>
    <x v="0"/>
    <x v="7"/>
    <x v="15"/>
    <s v="NO5_A1"/>
    <x v="7"/>
    <s v="GNR_ROR_WTR"/>
    <x v="0"/>
    <x v="10"/>
    <n v="1077.1597801871801"/>
    <n v="393163.31976832001"/>
    <n v="1415387.9511659499"/>
  </r>
  <r>
    <x v="0"/>
    <x v="0"/>
    <x v="0"/>
    <x v="7"/>
    <x v="15"/>
    <s v="NO5_A1"/>
    <x v="7"/>
    <s v="GNR_ROR_WTR"/>
    <x v="0"/>
    <x v="11"/>
    <n v="1077.1597801871801"/>
    <n v="393163.31976832001"/>
    <n v="1415387.9511659499"/>
  </r>
  <r>
    <x v="0"/>
    <x v="0"/>
    <x v="0"/>
    <x v="7"/>
    <x v="15"/>
    <s v="NO5_A1"/>
    <x v="7"/>
    <s v="GNR_ROR_WTR"/>
    <x v="0"/>
    <x v="12"/>
    <n v="1077.1597801871801"/>
    <n v="393163.31976832001"/>
    <n v="1415387.9511659499"/>
  </r>
  <r>
    <x v="0"/>
    <x v="0"/>
    <x v="0"/>
    <x v="7"/>
    <x v="15"/>
    <s v="NO5_A1"/>
    <x v="7"/>
    <s v="GNR_ROR_WTR"/>
    <x v="0"/>
    <x v="13"/>
    <n v="1077.1597801871801"/>
    <n v="393163.31976832001"/>
    <n v="1415387.9511659499"/>
  </r>
  <r>
    <x v="0"/>
    <x v="0"/>
    <x v="0"/>
    <x v="7"/>
    <x v="15"/>
    <s v="NO5_A1"/>
    <x v="7"/>
    <s v="GNR_ROR_WTR"/>
    <x v="0"/>
    <x v="14"/>
    <n v="1077.1597801871801"/>
    <n v="393163.31976832001"/>
    <n v="1415387.9511659499"/>
  </r>
  <r>
    <x v="0"/>
    <x v="0"/>
    <x v="0"/>
    <x v="7"/>
    <x v="15"/>
    <s v="NO5_A1"/>
    <x v="7"/>
    <s v="GNR_ROR_WTR"/>
    <x v="0"/>
    <x v="15"/>
    <n v="1077.1597801871801"/>
    <n v="393163.31976832001"/>
    <n v="1415387.9511659499"/>
  </r>
  <r>
    <x v="0"/>
    <x v="0"/>
    <x v="0"/>
    <x v="7"/>
    <x v="15"/>
    <s v="NO5_A1"/>
    <x v="7"/>
    <s v="GNR_ROR_WTR"/>
    <x v="0"/>
    <x v="16"/>
    <n v="1077.1597801871801"/>
    <n v="393163.31976832001"/>
    <n v="1415387.9511659499"/>
  </r>
  <r>
    <x v="0"/>
    <x v="0"/>
    <x v="0"/>
    <x v="7"/>
    <x v="15"/>
    <s v="NO5_A1"/>
    <x v="7"/>
    <s v="GNR_ROR_WTR"/>
    <x v="0"/>
    <x v="17"/>
    <n v="1077.1597801871801"/>
    <n v="393163.31976832001"/>
    <n v="1415387.9511659499"/>
  </r>
  <r>
    <x v="0"/>
    <x v="0"/>
    <x v="0"/>
    <x v="7"/>
    <x v="15"/>
    <s v="NO5_A1"/>
    <x v="7"/>
    <s v="GNR_ROR_WTR"/>
    <x v="0"/>
    <x v="19"/>
    <n v="1077.1597801871801"/>
    <n v="393163.31976832001"/>
    <n v="1415387.9511659499"/>
  </r>
  <r>
    <x v="0"/>
    <x v="0"/>
    <x v="0"/>
    <x v="7"/>
    <x v="15"/>
    <s v="NO5_A1"/>
    <x v="7"/>
    <s v="GNR_ROR_WTR"/>
    <x v="0"/>
    <x v="20"/>
    <n v="1077.1597801871801"/>
    <n v="393163.31976832001"/>
    <n v="1415387.9511659499"/>
  </r>
  <r>
    <x v="0"/>
    <x v="0"/>
    <x v="0"/>
    <x v="7"/>
    <x v="15"/>
    <s v="NO5_A1"/>
    <x v="7"/>
    <s v="GNR_ROR_WTR"/>
    <x v="0"/>
    <x v="21"/>
    <n v="1077.1597801871801"/>
    <n v="393163.31976832001"/>
    <n v="1415387.9511659499"/>
  </r>
  <r>
    <x v="0"/>
    <x v="0"/>
    <x v="0"/>
    <x v="7"/>
    <x v="15"/>
    <s v="NO5_A1"/>
    <x v="7"/>
    <s v="GNR_ROR_WTR"/>
    <x v="0"/>
    <x v="22"/>
    <n v="1077.1597801871801"/>
    <n v="393163.31976832001"/>
    <n v="1415387.9511659499"/>
  </r>
  <r>
    <x v="0"/>
    <x v="0"/>
    <x v="0"/>
    <x v="7"/>
    <x v="15"/>
    <s v="NO5_A1"/>
    <x v="7"/>
    <s v="GNR_ROR_WTR"/>
    <x v="0"/>
    <x v="23"/>
    <n v="1077.1597801871801"/>
    <n v="393163.31976832001"/>
    <n v="1415387.9511659499"/>
  </r>
  <r>
    <x v="0"/>
    <x v="0"/>
    <x v="0"/>
    <x v="8"/>
    <x v="16"/>
    <s v="PL_A"/>
    <x v="0"/>
    <s v="BIAL-4_ST_COAL_CND"/>
    <x v="0"/>
    <x v="0"/>
    <n v="48.837209302325597"/>
    <n v="17825.5813953488"/>
    <n v="64172.093023255802"/>
  </r>
  <r>
    <x v="0"/>
    <x v="0"/>
    <x v="0"/>
    <x v="8"/>
    <x v="16"/>
    <s v="PL_A"/>
    <x v="0"/>
    <s v="BIAL-4_ST_COAL_CND"/>
    <x v="0"/>
    <x v="1"/>
    <n v="48.837209302325597"/>
    <n v="17825.5813953488"/>
    <n v="64172.093023255802"/>
  </r>
  <r>
    <x v="0"/>
    <x v="0"/>
    <x v="0"/>
    <x v="8"/>
    <x v="16"/>
    <s v="PL_A"/>
    <x v="0"/>
    <s v="BIAL-4_ST_COAL_CND"/>
    <x v="0"/>
    <x v="2"/>
    <n v="48.837209302325597"/>
    <n v="17825.5813953488"/>
    <n v="64172.093023255802"/>
  </r>
  <r>
    <x v="0"/>
    <x v="0"/>
    <x v="0"/>
    <x v="8"/>
    <x v="16"/>
    <s v="PL_A"/>
    <x v="0"/>
    <s v="BIAL-4_ST_COAL_CND"/>
    <x v="0"/>
    <x v="3"/>
    <n v="48.837209302325597"/>
    <n v="17825.5813953488"/>
    <n v="64172.093023255802"/>
  </r>
  <r>
    <x v="0"/>
    <x v="0"/>
    <x v="0"/>
    <x v="8"/>
    <x v="16"/>
    <s v="PL_A"/>
    <x v="0"/>
    <s v="BIAL-4_ST_COAL_CND"/>
    <x v="0"/>
    <x v="18"/>
    <n v="48.837209302325597"/>
    <n v="17825.5813953488"/>
    <n v="64172.093023255802"/>
  </r>
  <r>
    <x v="0"/>
    <x v="0"/>
    <x v="0"/>
    <x v="8"/>
    <x v="16"/>
    <s v="PL_A"/>
    <x v="0"/>
    <s v="BIAL-4_ST_COAL_CND"/>
    <x v="0"/>
    <x v="4"/>
    <n v="48.837209302325597"/>
    <n v="17825.5813953488"/>
    <n v="64172.093023255802"/>
  </r>
  <r>
    <x v="0"/>
    <x v="0"/>
    <x v="0"/>
    <x v="8"/>
    <x v="16"/>
    <s v="PL_A"/>
    <x v="0"/>
    <s v="BIAL-4_ST_COAL_CND"/>
    <x v="0"/>
    <x v="5"/>
    <n v="48.837209302325597"/>
    <n v="17825.5813953488"/>
    <n v="64172.093023255802"/>
  </r>
  <r>
    <x v="0"/>
    <x v="0"/>
    <x v="0"/>
    <x v="8"/>
    <x v="16"/>
    <s v="PL_A"/>
    <x v="0"/>
    <s v="BIAL-4_ST_COAL_CND"/>
    <x v="0"/>
    <x v="6"/>
    <n v="48.837209302325597"/>
    <n v="17825.5813953488"/>
    <n v="64172.093023255802"/>
  </r>
  <r>
    <x v="0"/>
    <x v="0"/>
    <x v="0"/>
    <x v="8"/>
    <x v="16"/>
    <s v="PL_A"/>
    <x v="0"/>
    <s v="BIAL-4_ST_COAL_CND"/>
    <x v="0"/>
    <x v="7"/>
    <n v="48.837209302325597"/>
    <n v="17825.5813953488"/>
    <n v="64172.093023255802"/>
  </r>
  <r>
    <x v="0"/>
    <x v="0"/>
    <x v="0"/>
    <x v="8"/>
    <x v="16"/>
    <s v="PL_A"/>
    <x v="0"/>
    <s v="BIAL-4_ST_COAL_CND"/>
    <x v="0"/>
    <x v="8"/>
    <n v="48.837209302325597"/>
    <n v="17825.5813953488"/>
    <n v="64172.093023255802"/>
  </r>
  <r>
    <x v="0"/>
    <x v="0"/>
    <x v="0"/>
    <x v="8"/>
    <x v="16"/>
    <s v="PL_A"/>
    <x v="0"/>
    <s v="BIAL-4_ST_COAL_CND"/>
    <x v="0"/>
    <x v="9"/>
    <n v="48.837209302325597"/>
    <n v="17825.5813953488"/>
    <n v="64172.093023255802"/>
  </r>
  <r>
    <x v="0"/>
    <x v="0"/>
    <x v="0"/>
    <x v="8"/>
    <x v="16"/>
    <s v="PL_A"/>
    <x v="0"/>
    <s v="BIAL-4_ST_COAL_CND"/>
    <x v="0"/>
    <x v="10"/>
    <n v="48.837209302325597"/>
    <n v="17825.5813953488"/>
    <n v="64172.093023255802"/>
  </r>
  <r>
    <x v="0"/>
    <x v="0"/>
    <x v="0"/>
    <x v="8"/>
    <x v="16"/>
    <s v="PL_A"/>
    <x v="0"/>
    <s v="BIAL-4_ST_COAL_CND"/>
    <x v="0"/>
    <x v="11"/>
    <n v="48.837209302325597"/>
    <n v="17825.5813953488"/>
    <n v="64172.093023255802"/>
  </r>
  <r>
    <x v="0"/>
    <x v="0"/>
    <x v="0"/>
    <x v="8"/>
    <x v="16"/>
    <s v="PL_A"/>
    <x v="0"/>
    <s v="BIAL-4_ST_COAL_CND"/>
    <x v="0"/>
    <x v="12"/>
    <n v="48.837209302325597"/>
    <n v="17825.5813953488"/>
    <n v="64172.093023255802"/>
  </r>
  <r>
    <x v="0"/>
    <x v="0"/>
    <x v="0"/>
    <x v="8"/>
    <x v="16"/>
    <s v="PL_A"/>
    <x v="0"/>
    <s v="BIAL-4_ST_COAL_CND"/>
    <x v="0"/>
    <x v="13"/>
    <n v="48.837209302325597"/>
    <n v="17825.5813953488"/>
    <n v="64172.093023255802"/>
  </r>
  <r>
    <x v="0"/>
    <x v="0"/>
    <x v="0"/>
    <x v="8"/>
    <x v="16"/>
    <s v="PL_A"/>
    <x v="0"/>
    <s v="BIAL-4_ST_COAL_CND"/>
    <x v="0"/>
    <x v="14"/>
    <n v="48.837209302325597"/>
    <n v="17825.5813953488"/>
    <n v="64172.093023255802"/>
  </r>
  <r>
    <x v="0"/>
    <x v="0"/>
    <x v="0"/>
    <x v="8"/>
    <x v="16"/>
    <s v="PL_A"/>
    <x v="0"/>
    <s v="BIAL-4_ST_COAL_CND"/>
    <x v="0"/>
    <x v="15"/>
    <n v="48.837209302325597"/>
    <n v="17825.5813953488"/>
    <n v="64172.093023255802"/>
  </r>
  <r>
    <x v="0"/>
    <x v="0"/>
    <x v="0"/>
    <x v="8"/>
    <x v="16"/>
    <s v="PL_A"/>
    <x v="0"/>
    <s v="BIAL-4_ST_COAL_CND"/>
    <x v="0"/>
    <x v="16"/>
    <n v="48.837209302325597"/>
    <n v="17825.5813953488"/>
    <n v="64172.093023255802"/>
  </r>
  <r>
    <x v="0"/>
    <x v="0"/>
    <x v="0"/>
    <x v="8"/>
    <x v="16"/>
    <s v="PL_A"/>
    <x v="0"/>
    <s v="BIAL-4_ST_COAL_CND"/>
    <x v="0"/>
    <x v="17"/>
    <n v="48.837209302325597"/>
    <n v="17825.5813953488"/>
    <n v="64172.093023255802"/>
  </r>
  <r>
    <x v="0"/>
    <x v="0"/>
    <x v="0"/>
    <x v="8"/>
    <x v="16"/>
    <s v="PL_A"/>
    <x v="0"/>
    <s v="BIAL-4_ST_COAL_CND"/>
    <x v="0"/>
    <x v="19"/>
    <n v="48.837209302325597"/>
    <n v="17825.5813953488"/>
    <n v="64172.093023255802"/>
  </r>
  <r>
    <x v="0"/>
    <x v="0"/>
    <x v="0"/>
    <x v="8"/>
    <x v="16"/>
    <s v="PL_A"/>
    <x v="0"/>
    <s v="BIAL-4_ST_COAL_CND"/>
    <x v="0"/>
    <x v="20"/>
    <n v="48.837209302325597"/>
    <n v="17825.5813953488"/>
    <n v="64172.093023255802"/>
  </r>
  <r>
    <x v="0"/>
    <x v="0"/>
    <x v="0"/>
    <x v="8"/>
    <x v="16"/>
    <s v="PL_A"/>
    <x v="0"/>
    <s v="BIAL-4_ST_COAL_CND"/>
    <x v="0"/>
    <x v="21"/>
    <n v="48.837209302325597"/>
    <n v="17825.5813953488"/>
    <n v="64172.093023255802"/>
  </r>
  <r>
    <x v="0"/>
    <x v="0"/>
    <x v="0"/>
    <x v="8"/>
    <x v="16"/>
    <s v="PL_A"/>
    <x v="0"/>
    <s v="BIAL-4_ST_COAL_CND"/>
    <x v="0"/>
    <x v="22"/>
    <n v="48.837209302325597"/>
    <n v="17825.5813953488"/>
    <n v="64172.093023255802"/>
  </r>
  <r>
    <x v="0"/>
    <x v="0"/>
    <x v="0"/>
    <x v="8"/>
    <x v="16"/>
    <s v="PL_A"/>
    <x v="0"/>
    <s v="BIAL-4_ST_COAL_CND"/>
    <x v="0"/>
    <x v="23"/>
    <n v="48.837209302325597"/>
    <n v="17825.5813953488"/>
    <n v="64172.093023255802"/>
  </r>
  <r>
    <x v="0"/>
    <x v="0"/>
    <x v="0"/>
    <x v="8"/>
    <x v="16"/>
    <s v="PL_A"/>
    <x v="0"/>
    <s v="BIEL-4_ST_COAL_BP"/>
    <x v="0"/>
    <x v="1"/>
    <n v="171.42857142857099"/>
    <n v="62571.428571428602"/>
    <n v="225257.14285714299"/>
  </r>
  <r>
    <x v="0"/>
    <x v="0"/>
    <x v="0"/>
    <x v="8"/>
    <x v="16"/>
    <s v="PL_A"/>
    <x v="0"/>
    <s v="BIEL-4_ST_COAL_BP"/>
    <x v="0"/>
    <x v="2"/>
    <n v="171.42857142857099"/>
    <n v="62571.428571428602"/>
    <n v="225257.14285714299"/>
  </r>
  <r>
    <x v="0"/>
    <x v="0"/>
    <x v="0"/>
    <x v="8"/>
    <x v="16"/>
    <s v="PL_A"/>
    <x v="0"/>
    <s v="BIEL-4_ST_COAL_BP"/>
    <x v="0"/>
    <x v="3"/>
    <n v="171.42857142857099"/>
    <n v="62571.428571428602"/>
    <n v="225257.14285714299"/>
  </r>
  <r>
    <x v="0"/>
    <x v="0"/>
    <x v="0"/>
    <x v="8"/>
    <x v="16"/>
    <s v="PL_A"/>
    <x v="0"/>
    <s v="BIEL-4_ST_COAL_BP"/>
    <x v="0"/>
    <x v="18"/>
    <n v="171.42857142857099"/>
    <n v="62571.428571428602"/>
    <n v="225257.14285714299"/>
  </r>
  <r>
    <x v="0"/>
    <x v="0"/>
    <x v="0"/>
    <x v="8"/>
    <x v="16"/>
    <s v="PL_A"/>
    <x v="0"/>
    <s v="BIEL-4_ST_COAL_BP"/>
    <x v="0"/>
    <x v="4"/>
    <n v="171.42857142857099"/>
    <n v="62571.428571428602"/>
    <n v="225257.14285714299"/>
  </r>
  <r>
    <x v="0"/>
    <x v="0"/>
    <x v="0"/>
    <x v="8"/>
    <x v="16"/>
    <s v="PL_A"/>
    <x v="0"/>
    <s v="BIEL-4_ST_COAL_BP"/>
    <x v="0"/>
    <x v="5"/>
    <n v="171.42857142857099"/>
    <n v="62571.428571428602"/>
    <n v="225257.14285714299"/>
  </r>
  <r>
    <x v="0"/>
    <x v="0"/>
    <x v="0"/>
    <x v="8"/>
    <x v="16"/>
    <s v="PL_A"/>
    <x v="0"/>
    <s v="BIEL-4_ST_COAL_BP"/>
    <x v="0"/>
    <x v="6"/>
    <n v="171.42857142857099"/>
    <n v="62571.428571428602"/>
    <n v="225257.14285714299"/>
  </r>
  <r>
    <x v="0"/>
    <x v="0"/>
    <x v="0"/>
    <x v="8"/>
    <x v="16"/>
    <s v="PL_A"/>
    <x v="0"/>
    <s v="BIEL-4_ST_COAL_BP"/>
    <x v="0"/>
    <x v="8"/>
    <n v="171.42857142857099"/>
    <n v="62571.428571428602"/>
    <n v="225257.14285714299"/>
  </r>
  <r>
    <x v="0"/>
    <x v="0"/>
    <x v="0"/>
    <x v="8"/>
    <x v="16"/>
    <s v="PL_A"/>
    <x v="0"/>
    <s v="BIEL-4_ST_COAL_BP"/>
    <x v="0"/>
    <x v="9"/>
    <n v="171.42857142857099"/>
    <n v="62571.428571428602"/>
    <n v="225257.14285714299"/>
  </r>
  <r>
    <x v="0"/>
    <x v="0"/>
    <x v="0"/>
    <x v="8"/>
    <x v="16"/>
    <s v="PL_A"/>
    <x v="0"/>
    <s v="BIEL-4_ST_COAL_BP"/>
    <x v="0"/>
    <x v="10"/>
    <n v="132.794632653169"/>
    <n v="48470.040918406703"/>
    <n v="174492.147306264"/>
  </r>
  <r>
    <x v="0"/>
    <x v="0"/>
    <x v="0"/>
    <x v="8"/>
    <x v="16"/>
    <s v="PL_A"/>
    <x v="0"/>
    <s v="CHOR2-1_ST_COAL_BP"/>
    <x v="0"/>
    <x v="0"/>
    <n v="800"/>
    <n v="292000"/>
    <n v="1051200"/>
  </r>
  <r>
    <x v="0"/>
    <x v="0"/>
    <x v="0"/>
    <x v="8"/>
    <x v="16"/>
    <s v="PL_A"/>
    <x v="0"/>
    <s v="CHOR2-1_ST_COAL_BP"/>
    <x v="0"/>
    <x v="1"/>
    <n v="800"/>
    <n v="292000"/>
    <n v="1051200"/>
  </r>
  <r>
    <x v="0"/>
    <x v="0"/>
    <x v="0"/>
    <x v="8"/>
    <x v="16"/>
    <s v="PL_A"/>
    <x v="0"/>
    <s v="CHOR2-1_ST_COAL_BP"/>
    <x v="0"/>
    <x v="2"/>
    <n v="800"/>
    <n v="292000"/>
    <n v="1051200"/>
  </r>
  <r>
    <x v="0"/>
    <x v="0"/>
    <x v="0"/>
    <x v="8"/>
    <x v="16"/>
    <s v="PL_A"/>
    <x v="0"/>
    <s v="CHOR2-1_ST_COAL_BP"/>
    <x v="0"/>
    <x v="3"/>
    <n v="800"/>
    <n v="292000"/>
    <n v="1051200"/>
  </r>
  <r>
    <x v="0"/>
    <x v="0"/>
    <x v="0"/>
    <x v="8"/>
    <x v="16"/>
    <s v="PL_A"/>
    <x v="0"/>
    <s v="CHOR2-1_ST_COAL_BP"/>
    <x v="0"/>
    <x v="18"/>
    <n v="800"/>
    <n v="292000"/>
    <n v="1051200"/>
  </r>
  <r>
    <x v="0"/>
    <x v="0"/>
    <x v="0"/>
    <x v="8"/>
    <x v="16"/>
    <s v="PL_A"/>
    <x v="0"/>
    <s v="CHOR2-1_ST_COAL_BP"/>
    <x v="0"/>
    <x v="4"/>
    <n v="800"/>
    <n v="292000"/>
    <n v="1051200"/>
  </r>
  <r>
    <x v="0"/>
    <x v="0"/>
    <x v="0"/>
    <x v="8"/>
    <x v="16"/>
    <s v="PL_A"/>
    <x v="0"/>
    <s v="CHOR2-1_ST_COAL_BP"/>
    <x v="0"/>
    <x v="5"/>
    <n v="800"/>
    <n v="292000"/>
    <n v="1051200"/>
  </r>
  <r>
    <x v="0"/>
    <x v="0"/>
    <x v="0"/>
    <x v="8"/>
    <x v="16"/>
    <s v="PL_A"/>
    <x v="0"/>
    <s v="CHOR2-1_ST_COAL_BP"/>
    <x v="0"/>
    <x v="6"/>
    <n v="800"/>
    <n v="292000"/>
    <n v="1051200"/>
  </r>
  <r>
    <x v="0"/>
    <x v="0"/>
    <x v="0"/>
    <x v="8"/>
    <x v="16"/>
    <s v="PL_A"/>
    <x v="0"/>
    <s v="CHOR2-1_ST_COAL_BP"/>
    <x v="0"/>
    <x v="7"/>
    <n v="800"/>
    <n v="292000"/>
    <n v="1051200"/>
  </r>
  <r>
    <x v="0"/>
    <x v="0"/>
    <x v="0"/>
    <x v="8"/>
    <x v="16"/>
    <s v="PL_A"/>
    <x v="0"/>
    <s v="CHOR2-1_ST_COAL_BP"/>
    <x v="0"/>
    <x v="8"/>
    <n v="800"/>
    <n v="292000"/>
    <n v="1051200"/>
  </r>
  <r>
    <x v="0"/>
    <x v="0"/>
    <x v="0"/>
    <x v="8"/>
    <x v="16"/>
    <s v="PL_A"/>
    <x v="0"/>
    <s v="CHOR2-1_ST_COAL_BP"/>
    <x v="0"/>
    <x v="9"/>
    <n v="800"/>
    <n v="292000"/>
    <n v="1051200"/>
  </r>
  <r>
    <x v="0"/>
    <x v="0"/>
    <x v="0"/>
    <x v="8"/>
    <x v="16"/>
    <s v="PL_A"/>
    <x v="0"/>
    <s v="CHOR2-1_ST_COAL_BP"/>
    <x v="0"/>
    <x v="10"/>
    <n v="800"/>
    <n v="292000"/>
    <n v="1051200"/>
  </r>
  <r>
    <x v="0"/>
    <x v="0"/>
    <x v="0"/>
    <x v="8"/>
    <x v="16"/>
    <s v="PL_A"/>
    <x v="0"/>
    <s v="CHOR2-1_ST_COAL_BP"/>
    <x v="0"/>
    <x v="11"/>
    <n v="800"/>
    <n v="292000"/>
    <n v="1051200"/>
  </r>
  <r>
    <x v="0"/>
    <x v="0"/>
    <x v="0"/>
    <x v="8"/>
    <x v="16"/>
    <s v="PL_A"/>
    <x v="0"/>
    <s v="CHOR2-1_ST_COAL_BP"/>
    <x v="0"/>
    <x v="12"/>
    <n v="800"/>
    <n v="292000"/>
    <n v="1051200"/>
  </r>
  <r>
    <x v="0"/>
    <x v="0"/>
    <x v="0"/>
    <x v="8"/>
    <x v="16"/>
    <s v="PL_A"/>
    <x v="0"/>
    <s v="CHOR2-1_ST_COAL_BP"/>
    <x v="0"/>
    <x v="13"/>
    <n v="800"/>
    <n v="292000"/>
    <n v="1051200"/>
  </r>
  <r>
    <x v="0"/>
    <x v="0"/>
    <x v="0"/>
    <x v="8"/>
    <x v="16"/>
    <s v="PL_A"/>
    <x v="0"/>
    <s v="CHOR2-1_ST_COAL_BP"/>
    <x v="0"/>
    <x v="14"/>
    <n v="800"/>
    <n v="292000"/>
    <n v="1051200"/>
  </r>
  <r>
    <x v="0"/>
    <x v="0"/>
    <x v="0"/>
    <x v="8"/>
    <x v="16"/>
    <s v="PL_A"/>
    <x v="0"/>
    <s v="CHOR2-1_ST_COAL_BP"/>
    <x v="0"/>
    <x v="15"/>
    <n v="800"/>
    <n v="292000"/>
    <n v="1051200"/>
  </r>
  <r>
    <x v="0"/>
    <x v="0"/>
    <x v="0"/>
    <x v="8"/>
    <x v="16"/>
    <s v="PL_A"/>
    <x v="0"/>
    <s v="CHOR2-1_ST_COAL_BP"/>
    <x v="0"/>
    <x v="16"/>
    <n v="800"/>
    <n v="292000"/>
    <n v="1051200"/>
  </r>
  <r>
    <x v="0"/>
    <x v="0"/>
    <x v="0"/>
    <x v="8"/>
    <x v="16"/>
    <s v="PL_A"/>
    <x v="0"/>
    <s v="CHOR2-1_ST_COAL_BP"/>
    <x v="0"/>
    <x v="17"/>
    <n v="800"/>
    <n v="292000"/>
    <n v="1051200"/>
  </r>
  <r>
    <x v="0"/>
    <x v="0"/>
    <x v="0"/>
    <x v="8"/>
    <x v="16"/>
    <s v="PL_A"/>
    <x v="0"/>
    <s v="CHOR2-1_ST_COAL_BP"/>
    <x v="0"/>
    <x v="19"/>
    <n v="800"/>
    <n v="292000"/>
    <n v="1051200"/>
  </r>
  <r>
    <x v="0"/>
    <x v="0"/>
    <x v="0"/>
    <x v="8"/>
    <x v="16"/>
    <s v="PL_A"/>
    <x v="0"/>
    <s v="CHOR2-1_ST_COAL_BP"/>
    <x v="0"/>
    <x v="20"/>
    <n v="800"/>
    <n v="292000"/>
    <n v="1051200"/>
  </r>
  <r>
    <x v="0"/>
    <x v="0"/>
    <x v="0"/>
    <x v="8"/>
    <x v="16"/>
    <s v="PL_A"/>
    <x v="0"/>
    <s v="CHOR2-1_ST_COAL_BP"/>
    <x v="0"/>
    <x v="21"/>
    <n v="800"/>
    <n v="292000"/>
    <n v="1051200"/>
  </r>
  <r>
    <x v="0"/>
    <x v="0"/>
    <x v="0"/>
    <x v="8"/>
    <x v="16"/>
    <s v="PL_A"/>
    <x v="0"/>
    <s v="CHOR2-1_ST_COAL_BP"/>
    <x v="0"/>
    <x v="22"/>
    <n v="800"/>
    <n v="292000"/>
    <n v="1051200"/>
  </r>
  <r>
    <x v="0"/>
    <x v="0"/>
    <x v="0"/>
    <x v="8"/>
    <x v="16"/>
    <s v="PL_A"/>
    <x v="0"/>
    <s v="CHOR2-1_ST_COAL_BP"/>
    <x v="0"/>
    <x v="23"/>
    <n v="800"/>
    <n v="292000"/>
    <n v="1051200"/>
  </r>
  <r>
    <x v="0"/>
    <x v="0"/>
    <x v="0"/>
    <x v="8"/>
    <x v="16"/>
    <s v="PL_A"/>
    <x v="0"/>
    <s v="DOLN-1_ST_COAL_EXT"/>
    <x v="0"/>
    <x v="0"/>
    <n v="528.36052836052795"/>
    <n v="192851.59285159301"/>
    <n v="694265.73426573398"/>
  </r>
  <r>
    <x v="0"/>
    <x v="0"/>
    <x v="0"/>
    <x v="8"/>
    <x v="16"/>
    <s v="PL_A"/>
    <x v="0"/>
    <s v="DOLN-1_ST_COAL_EXT"/>
    <x v="0"/>
    <x v="1"/>
    <n v="396.52186758895101"/>
    <n v="144730.481669967"/>
    <n v="521029.734011881"/>
  </r>
  <r>
    <x v="0"/>
    <x v="0"/>
    <x v="0"/>
    <x v="8"/>
    <x v="16"/>
    <s v="PL_A"/>
    <x v="0"/>
    <s v="DOLN-1_ST_COAL_EXT"/>
    <x v="0"/>
    <x v="2"/>
    <n v="73.292168264875798"/>
    <n v="26751.641416679598"/>
    <n v="96305.909100046701"/>
  </r>
  <r>
    <x v="0"/>
    <x v="0"/>
    <x v="0"/>
    <x v="8"/>
    <x v="16"/>
    <s v="PL_A"/>
    <x v="0"/>
    <s v="DOLN-1_ST_COAL_EXT"/>
    <x v="0"/>
    <x v="3"/>
    <n v="528.36052836052795"/>
    <n v="192851.59285159301"/>
    <n v="694265.73426573398"/>
  </r>
  <r>
    <x v="0"/>
    <x v="0"/>
    <x v="0"/>
    <x v="8"/>
    <x v="16"/>
    <s v="PL_A"/>
    <x v="0"/>
    <s v="DOLN-1_ST_COAL_EXT"/>
    <x v="0"/>
    <x v="18"/>
    <n v="528.36052836052795"/>
    <n v="192851.59285159301"/>
    <n v="694265.73426573398"/>
  </r>
  <r>
    <x v="0"/>
    <x v="0"/>
    <x v="0"/>
    <x v="8"/>
    <x v="16"/>
    <s v="PL_A"/>
    <x v="0"/>
    <s v="DOLN-1_ST_COAL_EXT"/>
    <x v="0"/>
    <x v="4"/>
    <n v="528.36052836052795"/>
    <n v="192851.59285159301"/>
    <n v="694265.73426573398"/>
  </r>
  <r>
    <x v="0"/>
    <x v="0"/>
    <x v="0"/>
    <x v="8"/>
    <x v="16"/>
    <s v="PL_A"/>
    <x v="0"/>
    <s v="DOLN-1_ST_COAL_EXT"/>
    <x v="0"/>
    <x v="5"/>
    <n v="528.36052836052795"/>
    <n v="192851.59285159301"/>
    <n v="694265.73426573398"/>
  </r>
  <r>
    <x v="0"/>
    <x v="0"/>
    <x v="0"/>
    <x v="8"/>
    <x v="16"/>
    <s v="PL_A"/>
    <x v="0"/>
    <s v="DOLN-1_ST_COAL_EXT"/>
    <x v="0"/>
    <x v="6"/>
    <n v="528.36052836052795"/>
    <n v="192851.59285159301"/>
    <n v="694265.73426573398"/>
  </r>
  <r>
    <x v="0"/>
    <x v="0"/>
    <x v="0"/>
    <x v="8"/>
    <x v="16"/>
    <s v="PL_A"/>
    <x v="0"/>
    <s v="DOLN-1_ST_COAL_EXT"/>
    <x v="0"/>
    <x v="7"/>
    <n v="528.36052836052795"/>
    <n v="192851.59285159301"/>
    <n v="694265.73426573398"/>
  </r>
  <r>
    <x v="0"/>
    <x v="0"/>
    <x v="0"/>
    <x v="8"/>
    <x v="16"/>
    <s v="PL_A"/>
    <x v="0"/>
    <s v="DOLN-1_ST_COAL_EXT"/>
    <x v="0"/>
    <x v="8"/>
    <n v="528.36052836052795"/>
    <n v="192851.59285159301"/>
    <n v="694265.73426573398"/>
  </r>
  <r>
    <x v="0"/>
    <x v="0"/>
    <x v="0"/>
    <x v="8"/>
    <x v="16"/>
    <s v="PL_A"/>
    <x v="0"/>
    <s v="DOLN-1_ST_COAL_EXT"/>
    <x v="0"/>
    <x v="9"/>
    <n v="528.36052836052795"/>
    <n v="192851.59285159301"/>
    <n v="694265.73426573398"/>
  </r>
  <r>
    <x v="0"/>
    <x v="0"/>
    <x v="0"/>
    <x v="8"/>
    <x v="16"/>
    <s v="PL_A"/>
    <x v="0"/>
    <s v="DOLN-1_ST_COAL_EXT"/>
    <x v="0"/>
    <x v="10"/>
    <n v="528.36052836052795"/>
    <n v="192851.59285159301"/>
    <n v="694265.73426573398"/>
  </r>
  <r>
    <x v="0"/>
    <x v="0"/>
    <x v="0"/>
    <x v="8"/>
    <x v="16"/>
    <s v="PL_A"/>
    <x v="0"/>
    <s v="DOLN-1_ST_COAL_EXT"/>
    <x v="0"/>
    <x v="11"/>
    <n v="528.36052836052795"/>
    <n v="192851.59285159301"/>
    <n v="694265.73426573398"/>
  </r>
  <r>
    <x v="0"/>
    <x v="0"/>
    <x v="0"/>
    <x v="8"/>
    <x v="16"/>
    <s v="PL_A"/>
    <x v="0"/>
    <s v="DOLN-1_ST_COAL_EXT"/>
    <x v="0"/>
    <x v="12"/>
    <n v="528.36052836052795"/>
    <n v="192851.59285159301"/>
    <n v="694265.73426573398"/>
  </r>
  <r>
    <x v="0"/>
    <x v="0"/>
    <x v="0"/>
    <x v="8"/>
    <x v="16"/>
    <s v="PL_A"/>
    <x v="0"/>
    <s v="DOLN-1_ST_COAL_EXT"/>
    <x v="0"/>
    <x v="13"/>
    <n v="528.36052836052795"/>
    <n v="192851.59285159301"/>
    <n v="694265.73426573398"/>
  </r>
  <r>
    <x v="0"/>
    <x v="0"/>
    <x v="0"/>
    <x v="8"/>
    <x v="16"/>
    <s v="PL_A"/>
    <x v="0"/>
    <s v="DOLN-1_ST_COAL_EXT"/>
    <x v="0"/>
    <x v="14"/>
    <n v="528.36052836052795"/>
    <n v="192851.59285159301"/>
    <n v="694265.73426573398"/>
  </r>
  <r>
    <x v="0"/>
    <x v="0"/>
    <x v="0"/>
    <x v="8"/>
    <x v="16"/>
    <s v="PL_A"/>
    <x v="0"/>
    <s v="DOLN-1_ST_COAL_EXT"/>
    <x v="0"/>
    <x v="15"/>
    <n v="528.36052836052795"/>
    <n v="192851.59285159301"/>
    <n v="694265.73426573398"/>
  </r>
  <r>
    <x v="0"/>
    <x v="0"/>
    <x v="0"/>
    <x v="8"/>
    <x v="16"/>
    <s v="PL_A"/>
    <x v="0"/>
    <s v="DOLN-1_ST_COAL_EXT"/>
    <x v="0"/>
    <x v="16"/>
    <n v="528.36052836052795"/>
    <n v="192851.59285159301"/>
    <n v="694265.73426573398"/>
  </r>
  <r>
    <x v="0"/>
    <x v="0"/>
    <x v="0"/>
    <x v="8"/>
    <x v="16"/>
    <s v="PL_A"/>
    <x v="0"/>
    <s v="DOLN-1_ST_COAL_EXT"/>
    <x v="0"/>
    <x v="17"/>
    <n v="528.36052836052795"/>
    <n v="192851.59285159301"/>
    <n v="694265.73426573398"/>
  </r>
  <r>
    <x v="0"/>
    <x v="0"/>
    <x v="0"/>
    <x v="8"/>
    <x v="16"/>
    <s v="PL_A"/>
    <x v="0"/>
    <s v="DOLN-1_ST_COAL_EXT"/>
    <x v="0"/>
    <x v="19"/>
    <n v="528.36052836052795"/>
    <n v="192851.59285159301"/>
    <n v="694265.73426573398"/>
  </r>
  <r>
    <x v="0"/>
    <x v="0"/>
    <x v="0"/>
    <x v="8"/>
    <x v="16"/>
    <s v="PL_A"/>
    <x v="0"/>
    <s v="DOLN-1_ST_COAL_EXT"/>
    <x v="0"/>
    <x v="20"/>
    <n v="528.36052836052795"/>
    <n v="192851.59285159301"/>
    <n v="694265.73426573398"/>
  </r>
  <r>
    <x v="0"/>
    <x v="0"/>
    <x v="0"/>
    <x v="8"/>
    <x v="16"/>
    <s v="PL_A"/>
    <x v="0"/>
    <s v="DOLN-1_ST_COAL_EXT"/>
    <x v="0"/>
    <x v="21"/>
    <n v="528.36052836052795"/>
    <n v="192851.59285159301"/>
    <n v="694265.73426573398"/>
  </r>
  <r>
    <x v="0"/>
    <x v="0"/>
    <x v="0"/>
    <x v="8"/>
    <x v="16"/>
    <s v="PL_A"/>
    <x v="0"/>
    <s v="DOLN-1_ST_COAL_EXT"/>
    <x v="0"/>
    <x v="22"/>
    <n v="528.36052836052795"/>
    <n v="192851.59285159301"/>
    <n v="694265.73426573398"/>
  </r>
  <r>
    <x v="0"/>
    <x v="0"/>
    <x v="0"/>
    <x v="8"/>
    <x v="16"/>
    <s v="PL_A"/>
    <x v="0"/>
    <s v="DOLN-1_ST_COAL_EXT"/>
    <x v="0"/>
    <x v="23"/>
    <n v="528.36052836052795"/>
    <n v="192851.59285159301"/>
    <n v="694265.73426573398"/>
  </r>
  <r>
    <x v="0"/>
    <x v="0"/>
    <x v="0"/>
    <x v="8"/>
    <x v="16"/>
    <s v="PL_A"/>
    <x v="0"/>
    <s v="GDAN2-1_ST_COAL_BP"/>
    <x v="0"/>
    <x v="0"/>
    <n v="765.582486126758"/>
    <n v="279437.60743626702"/>
    <n v="1005975.3867705601"/>
  </r>
  <r>
    <x v="0"/>
    <x v="0"/>
    <x v="0"/>
    <x v="8"/>
    <x v="16"/>
    <s v="PL_A"/>
    <x v="0"/>
    <s v="GDAN2-1_ST_COAL_BP"/>
    <x v="0"/>
    <x v="1"/>
    <n v="702.77328534843798"/>
    <n v="256512.24915218001"/>
    <n v="923444.09694784798"/>
  </r>
  <r>
    <x v="0"/>
    <x v="0"/>
    <x v="0"/>
    <x v="8"/>
    <x v="16"/>
    <s v="PL_A"/>
    <x v="0"/>
    <s v="GDAN2-1_ST_COAL_BP"/>
    <x v="0"/>
    <x v="2"/>
    <n v="791.40581504146598"/>
    <n v="288863.12249013502"/>
    <n v="1039907.24096449"/>
  </r>
  <r>
    <x v="0"/>
    <x v="0"/>
    <x v="0"/>
    <x v="8"/>
    <x v="16"/>
    <s v="PL_A"/>
    <x v="0"/>
    <s v="GDAN2-1_ST_COAL_BP"/>
    <x v="0"/>
    <x v="3"/>
    <n v="625.29927518376905"/>
    <n v="228234.23544207599"/>
    <n v="821643.247591472"/>
  </r>
  <r>
    <x v="0"/>
    <x v="0"/>
    <x v="0"/>
    <x v="8"/>
    <x v="16"/>
    <s v="PL_A"/>
    <x v="0"/>
    <s v="GDAN2-1_ST_COAL_BP"/>
    <x v="0"/>
    <x v="4"/>
    <n v="1814.5150101162301"/>
    <n v="662297.97869242495"/>
    <n v="2384272.7232927298"/>
  </r>
  <r>
    <x v="0"/>
    <x v="0"/>
    <x v="0"/>
    <x v="8"/>
    <x v="16"/>
    <s v="PL_A"/>
    <x v="0"/>
    <s v="GDAN2-1_ST_COAL_BP"/>
    <x v="0"/>
    <x v="5"/>
    <n v="1497.8705118462599"/>
    <n v="546722.736823885"/>
    <n v="1968201.8525659801"/>
  </r>
  <r>
    <x v="0"/>
    <x v="0"/>
    <x v="0"/>
    <x v="8"/>
    <x v="16"/>
    <s v="PL_A"/>
    <x v="0"/>
    <s v="GDAN2-1_ST_COAL_BP"/>
    <x v="0"/>
    <x v="6"/>
    <n v="1108.5535057765701"/>
    <n v="404622.02960844798"/>
    <n v="1456639.3065904099"/>
  </r>
  <r>
    <x v="0"/>
    <x v="0"/>
    <x v="0"/>
    <x v="8"/>
    <x v="16"/>
    <s v="PL_A"/>
    <x v="0"/>
    <s v="GDAN2-1_ST_COAL_BP"/>
    <x v="0"/>
    <x v="7"/>
    <n v="942.57400527809898"/>
    <n v="344039.51192650601"/>
    <n v="1238542.24293542"/>
  </r>
  <r>
    <x v="0"/>
    <x v="0"/>
    <x v="0"/>
    <x v="8"/>
    <x v="16"/>
    <s v="PL_A"/>
    <x v="0"/>
    <s v="GDAN2-1_ST_COAL_BP"/>
    <x v="0"/>
    <x v="8"/>
    <n v="464.882722408039"/>
    <n v="169682.19367893401"/>
    <n v="610855.89724416297"/>
  </r>
  <r>
    <x v="0"/>
    <x v="0"/>
    <x v="0"/>
    <x v="8"/>
    <x v="16"/>
    <s v="PL_A"/>
    <x v="0"/>
    <s v="GDAN2-1_ST_COAL_BP"/>
    <x v="0"/>
    <x v="9"/>
    <n v="189.76537145213101"/>
    <n v="69264.360580027802"/>
    <n v="249351.69808810001"/>
  </r>
  <r>
    <x v="0"/>
    <x v="0"/>
    <x v="0"/>
    <x v="8"/>
    <x v="16"/>
    <s v="PL_A"/>
    <x v="0"/>
    <s v="JAWO2-1_ST_COAL_BP"/>
    <x v="0"/>
    <x v="0"/>
    <n v="7236.6666666666697"/>
    <n v="2641383.3333333302"/>
    <n v="9508980"/>
  </r>
  <r>
    <x v="0"/>
    <x v="0"/>
    <x v="0"/>
    <x v="8"/>
    <x v="16"/>
    <s v="PL_A"/>
    <x v="0"/>
    <s v="JAWO2-1_ST_COAL_BP"/>
    <x v="0"/>
    <x v="1"/>
    <n v="7236.6666666666697"/>
    <n v="2641383.3333333302"/>
    <n v="9508980"/>
  </r>
  <r>
    <x v="0"/>
    <x v="0"/>
    <x v="0"/>
    <x v="8"/>
    <x v="16"/>
    <s v="PL_A"/>
    <x v="0"/>
    <s v="JAWO2-1_ST_COAL_BP"/>
    <x v="0"/>
    <x v="2"/>
    <n v="7236.6666666666697"/>
    <n v="2641383.3333333302"/>
    <n v="9508980"/>
  </r>
  <r>
    <x v="0"/>
    <x v="0"/>
    <x v="0"/>
    <x v="8"/>
    <x v="16"/>
    <s v="PL_A"/>
    <x v="0"/>
    <s v="JAWO2-1_ST_COAL_BP"/>
    <x v="0"/>
    <x v="3"/>
    <n v="7236.6666666666697"/>
    <n v="2641383.3333333302"/>
    <n v="9508980"/>
  </r>
  <r>
    <x v="0"/>
    <x v="0"/>
    <x v="0"/>
    <x v="8"/>
    <x v="16"/>
    <s v="PL_A"/>
    <x v="0"/>
    <s v="JAWO2-1_ST_COAL_BP"/>
    <x v="0"/>
    <x v="18"/>
    <n v="7236.6666666666697"/>
    <n v="2641383.3333333302"/>
    <n v="9508980"/>
  </r>
  <r>
    <x v="0"/>
    <x v="0"/>
    <x v="0"/>
    <x v="8"/>
    <x v="16"/>
    <s v="PL_A"/>
    <x v="0"/>
    <s v="JAWO2-1_ST_COAL_BP"/>
    <x v="0"/>
    <x v="4"/>
    <n v="7236.6666666666697"/>
    <n v="2641383.3333333302"/>
    <n v="9508980"/>
  </r>
  <r>
    <x v="0"/>
    <x v="0"/>
    <x v="0"/>
    <x v="8"/>
    <x v="16"/>
    <s v="PL_A"/>
    <x v="0"/>
    <s v="JAWO2-1_ST_COAL_BP"/>
    <x v="0"/>
    <x v="5"/>
    <n v="7236.6666666666697"/>
    <n v="2641383.3333333302"/>
    <n v="9508980"/>
  </r>
  <r>
    <x v="0"/>
    <x v="0"/>
    <x v="0"/>
    <x v="8"/>
    <x v="16"/>
    <s v="PL_A"/>
    <x v="0"/>
    <s v="JAWO2-1_ST_COAL_BP"/>
    <x v="0"/>
    <x v="6"/>
    <n v="7236.6666666666697"/>
    <n v="2641383.3333333302"/>
    <n v="9508980"/>
  </r>
  <r>
    <x v="0"/>
    <x v="0"/>
    <x v="0"/>
    <x v="8"/>
    <x v="16"/>
    <s v="PL_A"/>
    <x v="0"/>
    <s v="JAWO2-1_ST_COAL_BP"/>
    <x v="0"/>
    <x v="7"/>
    <n v="7236.6666666666697"/>
    <n v="2641383.3333333302"/>
    <n v="9508980"/>
  </r>
  <r>
    <x v="0"/>
    <x v="0"/>
    <x v="0"/>
    <x v="8"/>
    <x v="16"/>
    <s v="PL_A"/>
    <x v="0"/>
    <s v="JAWO2-1_ST_COAL_BP"/>
    <x v="0"/>
    <x v="8"/>
    <n v="7236.6666666666697"/>
    <n v="2641383.3333333302"/>
    <n v="9508980"/>
  </r>
  <r>
    <x v="0"/>
    <x v="0"/>
    <x v="0"/>
    <x v="8"/>
    <x v="16"/>
    <s v="PL_A"/>
    <x v="0"/>
    <s v="JAWO2-1_ST_COAL_BP"/>
    <x v="0"/>
    <x v="9"/>
    <n v="7236.6666666666697"/>
    <n v="2641383.3333333302"/>
    <n v="9508980"/>
  </r>
  <r>
    <x v="0"/>
    <x v="0"/>
    <x v="0"/>
    <x v="8"/>
    <x v="16"/>
    <s v="PL_A"/>
    <x v="0"/>
    <s v="JAWO2-1_ST_COAL_BP"/>
    <x v="0"/>
    <x v="10"/>
    <n v="7236.6666666666697"/>
    <n v="2641383.3333333302"/>
    <n v="9508980"/>
  </r>
  <r>
    <x v="0"/>
    <x v="0"/>
    <x v="0"/>
    <x v="8"/>
    <x v="16"/>
    <s v="PL_A"/>
    <x v="0"/>
    <s v="JAWO2-1_ST_COAL_BP"/>
    <x v="0"/>
    <x v="11"/>
    <n v="7236.6666666666697"/>
    <n v="2641383.3333333302"/>
    <n v="9508980"/>
  </r>
  <r>
    <x v="0"/>
    <x v="0"/>
    <x v="0"/>
    <x v="8"/>
    <x v="16"/>
    <s v="PL_A"/>
    <x v="0"/>
    <s v="JAWO2-1_ST_COAL_BP"/>
    <x v="0"/>
    <x v="12"/>
    <n v="7236.6666666666697"/>
    <n v="2641383.3333333302"/>
    <n v="9508980"/>
  </r>
  <r>
    <x v="0"/>
    <x v="0"/>
    <x v="0"/>
    <x v="8"/>
    <x v="16"/>
    <s v="PL_A"/>
    <x v="0"/>
    <s v="JAWO2-1_ST_COAL_BP"/>
    <x v="0"/>
    <x v="13"/>
    <n v="6900.6625311684102"/>
    <n v="2518741.8238764699"/>
    <n v="9067470.5659552794"/>
  </r>
  <r>
    <x v="0"/>
    <x v="0"/>
    <x v="0"/>
    <x v="8"/>
    <x v="16"/>
    <s v="PL_A"/>
    <x v="0"/>
    <s v="JAWO2-1_ST_COAL_BP"/>
    <x v="0"/>
    <x v="14"/>
    <n v="7236.6666666666697"/>
    <n v="2641383.3333333302"/>
    <n v="9508980"/>
  </r>
  <r>
    <x v="0"/>
    <x v="0"/>
    <x v="0"/>
    <x v="8"/>
    <x v="16"/>
    <s v="PL_A"/>
    <x v="0"/>
    <s v="JAWO2-1_ST_COAL_BP"/>
    <x v="0"/>
    <x v="15"/>
    <n v="6760.70066429493"/>
    <n v="2467655.7424676502"/>
    <n v="8883560.6728835404"/>
  </r>
  <r>
    <x v="0"/>
    <x v="0"/>
    <x v="0"/>
    <x v="8"/>
    <x v="16"/>
    <s v="PL_A"/>
    <x v="0"/>
    <s v="JAWO2-1_ST_COAL_BP"/>
    <x v="0"/>
    <x v="16"/>
    <n v="7236.6666666666697"/>
    <n v="2641383.3333333302"/>
    <n v="9508980"/>
  </r>
  <r>
    <x v="0"/>
    <x v="0"/>
    <x v="0"/>
    <x v="8"/>
    <x v="16"/>
    <s v="PL_A"/>
    <x v="0"/>
    <s v="JAWO2-1_ST_COAL_BP"/>
    <x v="0"/>
    <x v="17"/>
    <n v="7236.6666666666697"/>
    <n v="2641383.3333333302"/>
    <n v="9508980"/>
  </r>
  <r>
    <x v="0"/>
    <x v="0"/>
    <x v="0"/>
    <x v="8"/>
    <x v="16"/>
    <s v="PL_A"/>
    <x v="0"/>
    <s v="JAWO2-1_ST_COAL_BP"/>
    <x v="0"/>
    <x v="19"/>
    <n v="7221.5241614365996"/>
    <n v="2635856.31892436"/>
    <n v="9489082.7481277008"/>
  </r>
  <r>
    <x v="0"/>
    <x v="0"/>
    <x v="0"/>
    <x v="8"/>
    <x v="16"/>
    <s v="PL_A"/>
    <x v="0"/>
    <s v="JAWO2-1_ST_COAL_BP"/>
    <x v="0"/>
    <x v="20"/>
    <n v="7156.9263767257598"/>
    <n v="2612278.1275049001"/>
    <n v="9404201.25901765"/>
  </r>
  <r>
    <x v="0"/>
    <x v="0"/>
    <x v="0"/>
    <x v="8"/>
    <x v="16"/>
    <s v="PL_A"/>
    <x v="0"/>
    <s v="JAWO2-1_ST_COAL_BP"/>
    <x v="0"/>
    <x v="21"/>
    <n v="7092.3285920149601"/>
    <n v="2588699.9360854598"/>
    <n v="9319319.7699076496"/>
  </r>
  <r>
    <x v="0"/>
    <x v="0"/>
    <x v="0"/>
    <x v="8"/>
    <x v="16"/>
    <s v="PL_A"/>
    <x v="0"/>
    <s v="JAWO2-1_ST_COAL_BP"/>
    <x v="0"/>
    <x v="22"/>
    <n v="6503.8802534818296"/>
    <n v="2373916.29252087"/>
    <n v="8546098.6530751195"/>
  </r>
  <r>
    <x v="0"/>
    <x v="0"/>
    <x v="0"/>
    <x v="8"/>
    <x v="16"/>
    <s v="PL_A"/>
    <x v="0"/>
    <s v="JAWO2-1_ST_COAL_BP"/>
    <x v="0"/>
    <x v="23"/>
    <n v="6401.3571809304904"/>
    <n v="2336495.3710396299"/>
    <n v="8411383.3357426692"/>
  </r>
  <r>
    <x v="0"/>
    <x v="0"/>
    <x v="0"/>
    <x v="8"/>
    <x v="16"/>
    <s v="PL_A"/>
    <x v="0"/>
    <s v="KARO-2_ST_COAL_BP"/>
    <x v="0"/>
    <x v="0"/>
    <n v="660"/>
    <n v="240900"/>
    <n v="867240"/>
  </r>
  <r>
    <x v="0"/>
    <x v="0"/>
    <x v="0"/>
    <x v="8"/>
    <x v="16"/>
    <s v="PL_A"/>
    <x v="0"/>
    <s v="KARO-2_ST_COAL_BP"/>
    <x v="0"/>
    <x v="1"/>
    <n v="660"/>
    <n v="240900"/>
    <n v="867240"/>
  </r>
  <r>
    <x v="0"/>
    <x v="0"/>
    <x v="0"/>
    <x v="8"/>
    <x v="16"/>
    <s v="PL_A"/>
    <x v="0"/>
    <s v="KARO-2_ST_COAL_BP"/>
    <x v="0"/>
    <x v="2"/>
    <n v="660"/>
    <n v="240900"/>
    <n v="867240"/>
  </r>
  <r>
    <x v="0"/>
    <x v="0"/>
    <x v="0"/>
    <x v="8"/>
    <x v="16"/>
    <s v="PL_A"/>
    <x v="0"/>
    <s v="KARO-2_ST_COAL_BP"/>
    <x v="0"/>
    <x v="3"/>
    <n v="660"/>
    <n v="240900"/>
    <n v="867240"/>
  </r>
  <r>
    <x v="0"/>
    <x v="0"/>
    <x v="0"/>
    <x v="8"/>
    <x v="16"/>
    <s v="PL_A"/>
    <x v="0"/>
    <s v="KARO-2_ST_COAL_BP"/>
    <x v="0"/>
    <x v="18"/>
    <n v="660"/>
    <n v="240900"/>
    <n v="867240"/>
  </r>
  <r>
    <x v="0"/>
    <x v="0"/>
    <x v="0"/>
    <x v="8"/>
    <x v="16"/>
    <s v="PL_A"/>
    <x v="0"/>
    <s v="KARO-2_ST_COAL_BP"/>
    <x v="0"/>
    <x v="4"/>
    <n v="660"/>
    <n v="240900"/>
    <n v="867240"/>
  </r>
  <r>
    <x v="0"/>
    <x v="0"/>
    <x v="0"/>
    <x v="8"/>
    <x v="16"/>
    <s v="PL_A"/>
    <x v="0"/>
    <s v="KARO-2_ST_COAL_BP"/>
    <x v="0"/>
    <x v="5"/>
    <n v="660"/>
    <n v="240900"/>
    <n v="867240"/>
  </r>
  <r>
    <x v="0"/>
    <x v="0"/>
    <x v="0"/>
    <x v="8"/>
    <x v="16"/>
    <s v="PL_A"/>
    <x v="0"/>
    <s v="KARO-2_ST_COAL_BP"/>
    <x v="0"/>
    <x v="6"/>
    <n v="660"/>
    <n v="240900"/>
    <n v="867240"/>
  </r>
  <r>
    <x v="0"/>
    <x v="0"/>
    <x v="0"/>
    <x v="8"/>
    <x v="16"/>
    <s v="PL_A"/>
    <x v="0"/>
    <s v="KARO-2_ST_COAL_BP"/>
    <x v="0"/>
    <x v="7"/>
    <n v="660"/>
    <n v="240900"/>
    <n v="867240"/>
  </r>
  <r>
    <x v="0"/>
    <x v="0"/>
    <x v="0"/>
    <x v="8"/>
    <x v="16"/>
    <s v="PL_A"/>
    <x v="0"/>
    <s v="KARO-2_ST_COAL_BP"/>
    <x v="0"/>
    <x v="8"/>
    <n v="660"/>
    <n v="240900"/>
    <n v="867240"/>
  </r>
  <r>
    <x v="0"/>
    <x v="0"/>
    <x v="0"/>
    <x v="8"/>
    <x v="16"/>
    <s v="PL_A"/>
    <x v="0"/>
    <s v="KARO-2_ST_COAL_BP"/>
    <x v="0"/>
    <x v="9"/>
    <n v="660"/>
    <n v="240900"/>
    <n v="867240"/>
  </r>
  <r>
    <x v="0"/>
    <x v="0"/>
    <x v="0"/>
    <x v="8"/>
    <x v="16"/>
    <s v="PL_A"/>
    <x v="0"/>
    <s v="KARO-2_ST_COAL_BP"/>
    <x v="0"/>
    <x v="10"/>
    <n v="660"/>
    <n v="240900"/>
    <n v="867240"/>
  </r>
  <r>
    <x v="0"/>
    <x v="0"/>
    <x v="0"/>
    <x v="8"/>
    <x v="16"/>
    <s v="PL_A"/>
    <x v="0"/>
    <s v="KARO-2_ST_COAL_BP"/>
    <x v="0"/>
    <x v="11"/>
    <n v="593.15330079681905"/>
    <n v="216500.95479083899"/>
    <n v="779403.43724701996"/>
  </r>
  <r>
    <x v="0"/>
    <x v="0"/>
    <x v="0"/>
    <x v="8"/>
    <x v="16"/>
    <s v="PL_A"/>
    <x v="0"/>
    <s v="KARO-2_ST_COAL_BP"/>
    <x v="0"/>
    <x v="12"/>
    <n v="426.27569029384301"/>
    <n v="155590.626957253"/>
    <n v="560126.25704610895"/>
  </r>
  <r>
    <x v="0"/>
    <x v="0"/>
    <x v="0"/>
    <x v="8"/>
    <x v="16"/>
    <s v="PL_A"/>
    <x v="0"/>
    <s v="KARO-2_ST_COAL_BP"/>
    <x v="0"/>
    <x v="13"/>
    <n v="660"/>
    <n v="240900"/>
    <n v="867240"/>
  </r>
  <r>
    <x v="0"/>
    <x v="0"/>
    <x v="0"/>
    <x v="8"/>
    <x v="16"/>
    <s v="PL_A"/>
    <x v="0"/>
    <s v="KARO-2_ST_COAL_BP"/>
    <x v="0"/>
    <x v="14"/>
    <n v="248.63178233910401"/>
    <n v="90750.600553772805"/>
    <n v="326702.16199358198"/>
  </r>
  <r>
    <x v="0"/>
    <x v="0"/>
    <x v="0"/>
    <x v="8"/>
    <x v="16"/>
    <s v="PL_A"/>
    <x v="0"/>
    <s v="KARO-2_ST_COAL_BP"/>
    <x v="0"/>
    <x v="15"/>
    <n v="660"/>
    <n v="240900"/>
    <n v="867240"/>
  </r>
  <r>
    <x v="0"/>
    <x v="0"/>
    <x v="0"/>
    <x v="8"/>
    <x v="16"/>
    <s v="PL_A"/>
    <x v="0"/>
    <s v="KARO-2_ST_COAL_BP"/>
    <x v="0"/>
    <x v="16"/>
    <n v="124.81936164337399"/>
    <n v="45559.066999831601"/>
    <n v="164012.64119939401"/>
  </r>
  <r>
    <x v="0"/>
    <x v="0"/>
    <x v="0"/>
    <x v="8"/>
    <x v="16"/>
    <s v="PL_A"/>
    <x v="0"/>
    <s v="KARO-2_ST_COAL_BP"/>
    <x v="0"/>
    <x v="17"/>
    <n v="60.2215769325352"/>
    <n v="21980.875580375301"/>
    <n v="79131.152089351206"/>
  </r>
  <r>
    <x v="0"/>
    <x v="0"/>
    <x v="0"/>
    <x v="8"/>
    <x v="16"/>
    <s v="PL_A"/>
    <x v="0"/>
    <s v="KARO-2_ST_COAL_BP"/>
    <x v="0"/>
    <x v="22"/>
    <n v="660"/>
    <n v="240900"/>
    <n v="867240"/>
  </r>
  <r>
    <x v="0"/>
    <x v="0"/>
    <x v="0"/>
    <x v="8"/>
    <x v="16"/>
    <s v="PL_A"/>
    <x v="0"/>
    <s v="KATO_ST_COAL_BP"/>
    <x v="0"/>
    <x v="0"/>
    <n v="332.43243243243199"/>
    <n v="121337.837837838"/>
    <n v="436816.21621621598"/>
  </r>
  <r>
    <x v="0"/>
    <x v="0"/>
    <x v="0"/>
    <x v="8"/>
    <x v="16"/>
    <s v="PL_A"/>
    <x v="0"/>
    <s v="KATO_ST_COAL_BP"/>
    <x v="0"/>
    <x v="1"/>
    <n v="332.43243243243199"/>
    <n v="121337.837837838"/>
    <n v="436816.21621621598"/>
  </r>
  <r>
    <x v="0"/>
    <x v="0"/>
    <x v="0"/>
    <x v="8"/>
    <x v="16"/>
    <s v="PL_A"/>
    <x v="0"/>
    <s v="KATO_ST_COAL_BP"/>
    <x v="0"/>
    <x v="2"/>
    <n v="332.43243243243199"/>
    <n v="121337.837837838"/>
    <n v="436816.21621621598"/>
  </r>
  <r>
    <x v="0"/>
    <x v="0"/>
    <x v="0"/>
    <x v="8"/>
    <x v="16"/>
    <s v="PL_A"/>
    <x v="0"/>
    <s v="KATO_ST_COAL_BP"/>
    <x v="0"/>
    <x v="3"/>
    <n v="332.43243243243199"/>
    <n v="121337.837837838"/>
    <n v="436816.21621621598"/>
  </r>
  <r>
    <x v="0"/>
    <x v="0"/>
    <x v="0"/>
    <x v="8"/>
    <x v="16"/>
    <s v="PL_A"/>
    <x v="0"/>
    <s v="KATO_ST_COAL_BP"/>
    <x v="0"/>
    <x v="18"/>
    <n v="332.43243243243199"/>
    <n v="121337.837837838"/>
    <n v="436816.21621621598"/>
  </r>
  <r>
    <x v="0"/>
    <x v="0"/>
    <x v="0"/>
    <x v="8"/>
    <x v="16"/>
    <s v="PL_A"/>
    <x v="0"/>
    <s v="KATO_ST_COAL_BP"/>
    <x v="0"/>
    <x v="4"/>
    <n v="332.43243243243199"/>
    <n v="121337.837837838"/>
    <n v="436816.21621621598"/>
  </r>
  <r>
    <x v="0"/>
    <x v="0"/>
    <x v="0"/>
    <x v="8"/>
    <x v="16"/>
    <s v="PL_A"/>
    <x v="0"/>
    <s v="KATO_ST_COAL_BP"/>
    <x v="0"/>
    <x v="5"/>
    <n v="332.43243243243199"/>
    <n v="121337.837837838"/>
    <n v="436816.21621621598"/>
  </r>
  <r>
    <x v="0"/>
    <x v="0"/>
    <x v="0"/>
    <x v="8"/>
    <x v="16"/>
    <s v="PL_A"/>
    <x v="0"/>
    <s v="KATO_ST_COAL_BP"/>
    <x v="0"/>
    <x v="6"/>
    <n v="332.43243243243199"/>
    <n v="121337.837837838"/>
    <n v="436816.21621621598"/>
  </r>
  <r>
    <x v="0"/>
    <x v="0"/>
    <x v="0"/>
    <x v="8"/>
    <x v="16"/>
    <s v="PL_A"/>
    <x v="0"/>
    <s v="KATO_ST_COAL_BP"/>
    <x v="0"/>
    <x v="7"/>
    <n v="332.43243243243199"/>
    <n v="121337.837837838"/>
    <n v="436816.21621621598"/>
  </r>
  <r>
    <x v="0"/>
    <x v="0"/>
    <x v="0"/>
    <x v="8"/>
    <x v="16"/>
    <s v="PL_A"/>
    <x v="0"/>
    <s v="KATO_ST_COAL_BP"/>
    <x v="0"/>
    <x v="8"/>
    <n v="332.43243243243199"/>
    <n v="121337.837837838"/>
    <n v="436816.21621621598"/>
  </r>
  <r>
    <x v="0"/>
    <x v="0"/>
    <x v="0"/>
    <x v="8"/>
    <x v="16"/>
    <s v="PL_A"/>
    <x v="0"/>
    <s v="KATO_ST_COAL_BP"/>
    <x v="0"/>
    <x v="9"/>
    <n v="332.43243243243199"/>
    <n v="121337.837837838"/>
    <n v="436816.21621621598"/>
  </r>
  <r>
    <x v="0"/>
    <x v="0"/>
    <x v="0"/>
    <x v="8"/>
    <x v="16"/>
    <s v="PL_A"/>
    <x v="0"/>
    <s v="KATO_ST_COAL_BP"/>
    <x v="0"/>
    <x v="10"/>
    <n v="332.43243243243199"/>
    <n v="121337.837837838"/>
    <n v="436816.21621621598"/>
  </r>
  <r>
    <x v="0"/>
    <x v="0"/>
    <x v="0"/>
    <x v="8"/>
    <x v="16"/>
    <s v="PL_A"/>
    <x v="0"/>
    <s v="KATO_ST_COAL_BP"/>
    <x v="0"/>
    <x v="11"/>
    <n v="332.43243243243199"/>
    <n v="121337.837837838"/>
    <n v="436816.21621621598"/>
  </r>
  <r>
    <x v="0"/>
    <x v="0"/>
    <x v="0"/>
    <x v="8"/>
    <x v="16"/>
    <s v="PL_A"/>
    <x v="0"/>
    <s v="KATO_ST_COAL_BP"/>
    <x v="0"/>
    <x v="12"/>
    <n v="332.43243243243199"/>
    <n v="121337.837837838"/>
    <n v="436816.21621621598"/>
  </r>
  <r>
    <x v="0"/>
    <x v="0"/>
    <x v="0"/>
    <x v="8"/>
    <x v="16"/>
    <s v="PL_A"/>
    <x v="0"/>
    <s v="KATO_ST_COAL_BP"/>
    <x v="0"/>
    <x v="13"/>
    <n v="332.43243243243199"/>
    <n v="121337.837837838"/>
    <n v="436816.21621621598"/>
  </r>
  <r>
    <x v="0"/>
    <x v="0"/>
    <x v="0"/>
    <x v="8"/>
    <x v="16"/>
    <s v="PL_A"/>
    <x v="0"/>
    <s v="KATO_ST_COAL_BP"/>
    <x v="0"/>
    <x v="14"/>
    <n v="332.43243243243199"/>
    <n v="121337.837837838"/>
    <n v="436816.21621621598"/>
  </r>
  <r>
    <x v="0"/>
    <x v="0"/>
    <x v="0"/>
    <x v="8"/>
    <x v="16"/>
    <s v="PL_A"/>
    <x v="0"/>
    <s v="KATO_ST_COAL_BP"/>
    <x v="0"/>
    <x v="15"/>
    <n v="332.43243243243199"/>
    <n v="121337.837837838"/>
    <n v="436816.21621621598"/>
  </r>
  <r>
    <x v="0"/>
    <x v="0"/>
    <x v="0"/>
    <x v="8"/>
    <x v="16"/>
    <s v="PL_A"/>
    <x v="0"/>
    <s v="KATO_ST_COAL_BP"/>
    <x v="0"/>
    <x v="16"/>
    <n v="332.43243243243199"/>
    <n v="121337.837837838"/>
    <n v="436816.21621621598"/>
  </r>
  <r>
    <x v="0"/>
    <x v="0"/>
    <x v="0"/>
    <x v="8"/>
    <x v="16"/>
    <s v="PL_A"/>
    <x v="0"/>
    <s v="KATO_ST_COAL_BP"/>
    <x v="0"/>
    <x v="17"/>
    <n v="332.43243243243199"/>
    <n v="121337.837837838"/>
    <n v="436816.21621621598"/>
  </r>
  <r>
    <x v="0"/>
    <x v="0"/>
    <x v="0"/>
    <x v="8"/>
    <x v="16"/>
    <s v="PL_A"/>
    <x v="0"/>
    <s v="KATO_ST_COAL_BP"/>
    <x v="0"/>
    <x v="19"/>
    <n v="332.43243243243199"/>
    <n v="121337.837837838"/>
    <n v="436816.21621621598"/>
  </r>
  <r>
    <x v="0"/>
    <x v="0"/>
    <x v="0"/>
    <x v="8"/>
    <x v="16"/>
    <s v="PL_A"/>
    <x v="0"/>
    <s v="KATO_ST_COAL_BP"/>
    <x v="0"/>
    <x v="20"/>
    <n v="332.43243243243199"/>
    <n v="121337.837837838"/>
    <n v="436816.21621621598"/>
  </r>
  <r>
    <x v="0"/>
    <x v="0"/>
    <x v="0"/>
    <x v="8"/>
    <x v="16"/>
    <s v="PL_A"/>
    <x v="0"/>
    <s v="KATO_ST_COAL_BP"/>
    <x v="0"/>
    <x v="21"/>
    <n v="332.43243243243199"/>
    <n v="121337.837837838"/>
    <n v="436816.21621621598"/>
  </r>
  <r>
    <x v="0"/>
    <x v="0"/>
    <x v="0"/>
    <x v="8"/>
    <x v="16"/>
    <s v="PL_A"/>
    <x v="0"/>
    <s v="KATO_ST_COAL_BP"/>
    <x v="0"/>
    <x v="22"/>
    <n v="332.43243243243199"/>
    <n v="121337.837837838"/>
    <n v="436816.21621621598"/>
  </r>
  <r>
    <x v="0"/>
    <x v="0"/>
    <x v="0"/>
    <x v="8"/>
    <x v="16"/>
    <s v="PL_A"/>
    <x v="0"/>
    <s v="KATO_ST_COAL_BP"/>
    <x v="0"/>
    <x v="23"/>
    <n v="332.43243243243199"/>
    <n v="121337.837837838"/>
    <n v="436816.21621621598"/>
  </r>
  <r>
    <x v="0"/>
    <x v="0"/>
    <x v="0"/>
    <x v="8"/>
    <x v="16"/>
    <s v="PL_A"/>
    <x v="0"/>
    <s v="KOZI-1_ST_COAL_EXT"/>
    <x v="0"/>
    <x v="0"/>
    <n v="512.82051282051304"/>
    <n v="187179.48717948701"/>
    <n v="673846.15384615399"/>
  </r>
  <r>
    <x v="0"/>
    <x v="0"/>
    <x v="0"/>
    <x v="8"/>
    <x v="16"/>
    <s v="PL_A"/>
    <x v="0"/>
    <s v="KOZI-1_ST_COAL_EXT"/>
    <x v="0"/>
    <x v="1"/>
    <n v="512.82051282051304"/>
    <n v="187179.48717948701"/>
    <n v="673846.15384615399"/>
  </r>
  <r>
    <x v="0"/>
    <x v="0"/>
    <x v="0"/>
    <x v="8"/>
    <x v="16"/>
    <s v="PL_A"/>
    <x v="0"/>
    <s v="KOZI-1_ST_COAL_EXT"/>
    <x v="0"/>
    <x v="2"/>
    <n v="512.82051282051304"/>
    <n v="187179.48717948701"/>
    <n v="673846.15384615399"/>
  </r>
  <r>
    <x v="0"/>
    <x v="0"/>
    <x v="0"/>
    <x v="8"/>
    <x v="16"/>
    <s v="PL_A"/>
    <x v="0"/>
    <s v="KOZI-1_ST_COAL_EXT"/>
    <x v="0"/>
    <x v="3"/>
    <n v="512.82051282051304"/>
    <n v="187179.48717948701"/>
    <n v="673846.15384615399"/>
  </r>
  <r>
    <x v="0"/>
    <x v="0"/>
    <x v="0"/>
    <x v="8"/>
    <x v="16"/>
    <s v="PL_A"/>
    <x v="0"/>
    <s v="KOZI-1_ST_COAL_EXT"/>
    <x v="0"/>
    <x v="18"/>
    <n v="512.82051282051304"/>
    <n v="187179.48717948701"/>
    <n v="673846.15384615399"/>
  </r>
  <r>
    <x v="0"/>
    <x v="0"/>
    <x v="0"/>
    <x v="8"/>
    <x v="16"/>
    <s v="PL_A"/>
    <x v="0"/>
    <s v="KOZI-1_ST_COAL_EXT"/>
    <x v="0"/>
    <x v="4"/>
    <n v="512.82051282051304"/>
    <n v="187179.48717948701"/>
    <n v="673846.15384615399"/>
  </r>
  <r>
    <x v="0"/>
    <x v="0"/>
    <x v="0"/>
    <x v="8"/>
    <x v="16"/>
    <s v="PL_A"/>
    <x v="0"/>
    <s v="KOZI-1_ST_COAL_EXT"/>
    <x v="0"/>
    <x v="5"/>
    <n v="512.82051282051304"/>
    <n v="187179.48717948701"/>
    <n v="673846.15384615399"/>
  </r>
  <r>
    <x v="0"/>
    <x v="0"/>
    <x v="0"/>
    <x v="8"/>
    <x v="16"/>
    <s v="PL_A"/>
    <x v="0"/>
    <s v="KOZI-1_ST_COAL_EXT"/>
    <x v="0"/>
    <x v="6"/>
    <n v="512.82051282051304"/>
    <n v="187179.48717948701"/>
    <n v="673846.15384615399"/>
  </r>
  <r>
    <x v="0"/>
    <x v="0"/>
    <x v="0"/>
    <x v="8"/>
    <x v="16"/>
    <s v="PL_A"/>
    <x v="0"/>
    <s v="KOZI-1_ST_COAL_EXT"/>
    <x v="0"/>
    <x v="7"/>
    <n v="512.82051282051304"/>
    <n v="187179.48717948701"/>
    <n v="673846.15384615399"/>
  </r>
  <r>
    <x v="0"/>
    <x v="0"/>
    <x v="0"/>
    <x v="8"/>
    <x v="16"/>
    <s v="PL_A"/>
    <x v="0"/>
    <s v="KOZI-1_ST_COAL_EXT"/>
    <x v="0"/>
    <x v="8"/>
    <n v="512.82051282051304"/>
    <n v="187179.48717948701"/>
    <n v="673846.15384615399"/>
  </r>
  <r>
    <x v="0"/>
    <x v="0"/>
    <x v="0"/>
    <x v="8"/>
    <x v="16"/>
    <s v="PL_A"/>
    <x v="0"/>
    <s v="KOZI-1_ST_COAL_EXT"/>
    <x v="0"/>
    <x v="9"/>
    <n v="512.82051282051304"/>
    <n v="187179.48717948701"/>
    <n v="673846.15384615399"/>
  </r>
  <r>
    <x v="0"/>
    <x v="0"/>
    <x v="0"/>
    <x v="8"/>
    <x v="16"/>
    <s v="PL_A"/>
    <x v="0"/>
    <s v="KOZI-1_ST_COAL_EXT"/>
    <x v="0"/>
    <x v="10"/>
    <n v="512.82051282051304"/>
    <n v="187179.48717948701"/>
    <n v="673846.15384615399"/>
  </r>
  <r>
    <x v="0"/>
    <x v="0"/>
    <x v="0"/>
    <x v="8"/>
    <x v="16"/>
    <s v="PL_A"/>
    <x v="0"/>
    <s v="KOZI-1_ST_COAL_EXT"/>
    <x v="0"/>
    <x v="11"/>
    <n v="512.82051282051304"/>
    <n v="187179.48717948701"/>
    <n v="673846.15384615399"/>
  </r>
  <r>
    <x v="0"/>
    <x v="0"/>
    <x v="0"/>
    <x v="8"/>
    <x v="16"/>
    <s v="PL_A"/>
    <x v="0"/>
    <s v="KOZI-1_ST_COAL_EXT"/>
    <x v="0"/>
    <x v="12"/>
    <n v="512.82051282051304"/>
    <n v="187179.48717948701"/>
    <n v="673846.15384615399"/>
  </r>
  <r>
    <x v="0"/>
    <x v="0"/>
    <x v="0"/>
    <x v="8"/>
    <x v="16"/>
    <s v="PL_A"/>
    <x v="0"/>
    <s v="KOZI-1_ST_COAL_EXT"/>
    <x v="0"/>
    <x v="13"/>
    <n v="512.82051282051304"/>
    <n v="187179.48717948701"/>
    <n v="673846.15384615399"/>
  </r>
  <r>
    <x v="0"/>
    <x v="0"/>
    <x v="0"/>
    <x v="8"/>
    <x v="16"/>
    <s v="PL_A"/>
    <x v="0"/>
    <s v="KOZI-1_ST_COAL_EXT"/>
    <x v="0"/>
    <x v="14"/>
    <n v="512.82051282051304"/>
    <n v="187179.48717948701"/>
    <n v="673846.15384615399"/>
  </r>
  <r>
    <x v="0"/>
    <x v="0"/>
    <x v="0"/>
    <x v="8"/>
    <x v="16"/>
    <s v="PL_A"/>
    <x v="0"/>
    <s v="KOZI-1_ST_COAL_EXT"/>
    <x v="0"/>
    <x v="15"/>
    <n v="512.82051282051304"/>
    <n v="187179.48717948701"/>
    <n v="673846.15384615399"/>
  </r>
  <r>
    <x v="0"/>
    <x v="0"/>
    <x v="0"/>
    <x v="8"/>
    <x v="16"/>
    <s v="PL_A"/>
    <x v="0"/>
    <s v="KOZI-1_ST_COAL_EXT"/>
    <x v="0"/>
    <x v="16"/>
    <n v="512.82051282051304"/>
    <n v="187179.48717948701"/>
    <n v="673846.15384615399"/>
  </r>
  <r>
    <x v="0"/>
    <x v="0"/>
    <x v="0"/>
    <x v="8"/>
    <x v="16"/>
    <s v="PL_A"/>
    <x v="0"/>
    <s v="KOZI-1_ST_COAL_EXT"/>
    <x v="0"/>
    <x v="17"/>
    <n v="512.82051282051304"/>
    <n v="187179.48717948701"/>
    <n v="673846.15384615399"/>
  </r>
  <r>
    <x v="0"/>
    <x v="0"/>
    <x v="0"/>
    <x v="8"/>
    <x v="16"/>
    <s v="PL_A"/>
    <x v="0"/>
    <s v="KOZI-1_ST_COAL_EXT"/>
    <x v="0"/>
    <x v="19"/>
    <n v="512.82051282051304"/>
    <n v="187179.48717948701"/>
    <n v="673846.15384615399"/>
  </r>
  <r>
    <x v="0"/>
    <x v="0"/>
    <x v="0"/>
    <x v="8"/>
    <x v="16"/>
    <s v="PL_A"/>
    <x v="0"/>
    <s v="KOZI-1_ST_COAL_EXT"/>
    <x v="0"/>
    <x v="20"/>
    <n v="512.82051282051304"/>
    <n v="187179.48717948701"/>
    <n v="673846.15384615399"/>
  </r>
  <r>
    <x v="0"/>
    <x v="0"/>
    <x v="0"/>
    <x v="8"/>
    <x v="16"/>
    <s v="PL_A"/>
    <x v="0"/>
    <s v="KOZI-1_ST_COAL_EXT"/>
    <x v="0"/>
    <x v="21"/>
    <n v="512.82051282051304"/>
    <n v="187179.48717948701"/>
    <n v="673846.15384615399"/>
  </r>
  <r>
    <x v="0"/>
    <x v="0"/>
    <x v="0"/>
    <x v="8"/>
    <x v="16"/>
    <s v="PL_A"/>
    <x v="0"/>
    <s v="KOZI-1_ST_COAL_EXT"/>
    <x v="0"/>
    <x v="22"/>
    <n v="512.82051282051304"/>
    <n v="187179.48717948701"/>
    <n v="673846.15384615399"/>
  </r>
  <r>
    <x v="0"/>
    <x v="0"/>
    <x v="0"/>
    <x v="8"/>
    <x v="16"/>
    <s v="PL_A"/>
    <x v="0"/>
    <s v="KOZI-1_ST_COAL_EXT"/>
    <x v="0"/>
    <x v="23"/>
    <n v="512.82051282051304"/>
    <n v="187179.48717948701"/>
    <n v="673846.15384615399"/>
  </r>
  <r>
    <x v="0"/>
    <x v="0"/>
    <x v="0"/>
    <x v="8"/>
    <x v="16"/>
    <s v="PL_A"/>
    <x v="0"/>
    <s v="KRLEG-1_ST_COAL_BP"/>
    <x v="0"/>
    <x v="0"/>
    <n v="632.35294117647004"/>
    <n v="230808.82352941201"/>
    <n v="830911.76470588194"/>
  </r>
  <r>
    <x v="0"/>
    <x v="0"/>
    <x v="0"/>
    <x v="8"/>
    <x v="16"/>
    <s v="PL_A"/>
    <x v="0"/>
    <s v="KRLEG-1_ST_COAL_BP"/>
    <x v="0"/>
    <x v="1"/>
    <n v="632.35294117647004"/>
    <n v="230808.82352941201"/>
    <n v="830911.76470588194"/>
  </r>
  <r>
    <x v="0"/>
    <x v="0"/>
    <x v="0"/>
    <x v="8"/>
    <x v="16"/>
    <s v="PL_A"/>
    <x v="0"/>
    <s v="KRLEG-1_ST_COAL_BP"/>
    <x v="0"/>
    <x v="2"/>
    <n v="632.35294117647004"/>
    <n v="230808.82352941201"/>
    <n v="830911.76470588194"/>
  </r>
  <r>
    <x v="0"/>
    <x v="0"/>
    <x v="0"/>
    <x v="8"/>
    <x v="16"/>
    <s v="PL_A"/>
    <x v="0"/>
    <s v="KRLEG-1_ST_COAL_BP"/>
    <x v="0"/>
    <x v="3"/>
    <n v="632.35294117647004"/>
    <n v="230808.82352941201"/>
    <n v="830911.76470588194"/>
  </r>
  <r>
    <x v="0"/>
    <x v="0"/>
    <x v="0"/>
    <x v="8"/>
    <x v="16"/>
    <s v="PL_A"/>
    <x v="0"/>
    <s v="KRLEG-1_ST_COAL_BP"/>
    <x v="0"/>
    <x v="18"/>
    <n v="632.35294117647004"/>
    <n v="230808.82352941201"/>
    <n v="830911.76470588194"/>
  </r>
  <r>
    <x v="0"/>
    <x v="0"/>
    <x v="0"/>
    <x v="8"/>
    <x v="16"/>
    <s v="PL_A"/>
    <x v="0"/>
    <s v="KRLEG-1_ST_COAL_BP"/>
    <x v="0"/>
    <x v="4"/>
    <n v="632.35294117647004"/>
    <n v="230808.82352941201"/>
    <n v="830911.76470588194"/>
  </r>
  <r>
    <x v="0"/>
    <x v="0"/>
    <x v="0"/>
    <x v="8"/>
    <x v="16"/>
    <s v="PL_A"/>
    <x v="0"/>
    <s v="KRLEG-1_ST_COAL_BP"/>
    <x v="0"/>
    <x v="5"/>
    <n v="632.35294117647004"/>
    <n v="230808.82352941201"/>
    <n v="830911.76470588194"/>
  </r>
  <r>
    <x v="0"/>
    <x v="0"/>
    <x v="0"/>
    <x v="8"/>
    <x v="16"/>
    <s v="PL_A"/>
    <x v="0"/>
    <s v="KRLEG-1_ST_COAL_BP"/>
    <x v="0"/>
    <x v="6"/>
    <n v="632.35294117647004"/>
    <n v="230808.82352941201"/>
    <n v="830911.76470588194"/>
  </r>
  <r>
    <x v="0"/>
    <x v="0"/>
    <x v="0"/>
    <x v="8"/>
    <x v="16"/>
    <s v="PL_A"/>
    <x v="0"/>
    <s v="KRLEG-1_ST_COAL_BP"/>
    <x v="0"/>
    <x v="7"/>
    <n v="632.35294117647004"/>
    <n v="230808.82352941201"/>
    <n v="830911.76470588194"/>
  </r>
  <r>
    <x v="0"/>
    <x v="0"/>
    <x v="0"/>
    <x v="8"/>
    <x v="16"/>
    <s v="PL_A"/>
    <x v="0"/>
    <s v="KRLEG-1_ST_COAL_BP"/>
    <x v="0"/>
    <x v="8"/>
    <n v="632.35294117647004"/>
    <n v="230808.82352941201"/>
    <n v="830911.76470588194"/>
  </r>
  <r>
    <x v="0"/>
    <x v="0"/>
    <x v="0"/>
    <x v="8"/>
    <x v="16"/>
    <s v="PL_A"/>
    <x v="0"/>
    <s v="KRLEG-1_ST_COAL_BP"/>
    <x v="0"/>
    <x v="9"/>
    <n v="632.35294117647004"/>
    <n v="230808.82352941201"/>
    <n v="830911.76470588194"/>
  </r>
  <r>
    <x v="0"/>
    <x v="0"/>
    <x v="0"/>
    <x v="8"/>
    <x v="16"/>
    <s v="PL_A"/>
    <x v="0"/>
    <s v="KRLEG-1_ST_COAL_BP"/>
    <x v="0"/>
    <x v="10"/>
    <n v="632.35294117647004"/>
    <n v="230808.82352941201"/>
    <n v="830911.76470588194"/>
  </r>
  <r>
    <x v="0"/>
    <x v="0"/>
    <x v="0"/>
    <x v="8"/>
    <x v="16"/>
    <s v="PL_A"/>
    <x v="0"/>
    <s v="KRLEG-1_ST_COAL_BP"/>
    <x v="0"/>
    <x v="11"/>
    <n v="632.35294117647004"/>
    <n v="230808.82352941201"/>
    <n v="830911.76470588194"/>
  </r>
  <r>
    <x v="0"/>
    <x v="0"/>
    <x v="0"/>
    <x v="8"/>
    <x v="16"/>
    <s v="PL_A"/>
    <x v="0"/>
    <s v="KRLEG-1_ST_COAL_BP"/>
    <x v="0"/>
    <x v="12"/>
    <n v="632.35294117647004"/>
    <n v="230808.82352941201"/>
    <n v="830911.76470588194"/>
  </r>
  <r>
    <x v="0"/>
    <x v="0"/>
    <x v="0"/>
    <x v="8"/>
    <x v="16"/>
    <s v="PL_A"/>
    <x v="0"/>
    <s v="KRLEG-1_ST_COAL_BP"/>
    <x v="0"/>
    <x v="13"/>
    <n v="632.35294117647004"/>
    <n v="230808.82352941201"/>
    <n v="830911.76470588194"/>
  </r>
  <r>
    <x v="0"/>
    <x v="0"/>
    <x v="0"/>
    <x v="8"/>
    <x v="16"/>
    <s v="PL_A"/>
    <x v="0"/>
    <s v="KRLEG-1_ST_COAL_BP"/>
    <x v="0"/>
    <x v="14"/>
    <n v="632.35294117647004"/>
    <n v="230808.82352941201"/>
    <n v="830911.76470588194"/>
  </r>
  <r>
    <x v="0"/>
    <x v="0"/>
    <x v="0"/>
    <x v="8"/>
    <x v="16"/>
    <s v="PL_A"/>
    <x v="0"/>
    <s v="KRLEG-1_ST_COAL_BP"/>
    <x v="0"/>
    <x v="15"/>
    <n v="632.35294117647004"/>
    <n v="230808.82352941201"/>
    <n v="830911.76470588194"/>
  </r>
  <r>
    <x v="0"/>
    <x v="0"/>
    <x v="0"/>
    <x v="8"/>
    <x v="16"/>
    <s v="PL_A"/>
    <x v="0"/>
    <s v="KRLEG-1_ST_COAL_BP"/>
    <x v="0"/>
    <x v="16"/>
    <n v="632.35294117647004"/>
    <n v="230808.82352941201"/>
    <n v="830911.76470588194"/>
  </r>
  <r>
    <x v="0"/>
    <x v="0"/>
    <x v="0"/>
    <x v="8"/>
    <x v="16"/>
    <s v="PL_A"/>
    <x v="0"/>
    <s v="KRLEG-1_ST_COAL_BP"/>
    <x v="0"/>
    <x v="17"/>
    <n v="632.35294117647004"/>
    <n v="230808.82352941201"/>
    <n v="830911.76470588194"/>
  </r>
  <r>
    <x v="0"/>
    <x v="0"/>
    <x v="0"/>
    <x v="8"/>
    <x v="16"/>
    <s v="PL_A"/>
    <x v="0"/>
    <s v="KRLEG-1_ST_COAL_BP"/>
    <x v="0"/>
    <x v="19"/>
    <n v="632.35294117647004"/>
    <n v="230808.82352941201"/>
    <n v="830911.76470588194"/>
  </r>
  <r>
    <x v="0"/>
    <x v="0"/>
    <x v="0"/>
    <x v="8"/>
    <x v="16"/>
    <s v="PL_A"/>
    <x v="0"/>
    <s v="KRLEG-1_ST_COAL_BP"/>
    <x v="0"/>
    <x v="20"/>
    <n v="632.35294117647004"/>
    <n v="230808.82352941201"/>
    <n v="830911.76470588194"/>
  </r>
  <r>
    <x v="0"/>
    <x v="0"/>
    <x v="0"/>
    <x v="8"/>
    <x v="16"/>
    <s v="PL_A"/>
    <x v="0"/>
    <s v="KRLEG-1_ST_COAL_BP"/>
    <x v="0"/>
    <x v="21"/>
    <n v="632.35294117647004"/>
    <n v="230808.82352941201"/>
    <n v="830911.76470588194"/>
  </r>
  <r>
    <x v="0"/>
    <x v="0"/>
    <x v="0"/>
    <x v="8"/>
    <x v="16"/>
    <s v="PL_A"/>
    <x v="0"/>
    <s v="KRLEG-1_ST_COAL_BP"/>
    <x v="0"/>
    <x v="22"/>
    <n v="632.35294117647004"/>
    <n v="230808.82352941201"/>
    <n v="830911.76470588194"/>
  </r>
  <r>
    <x v="0"/>
    <x v="0"/>
    <x v="0"/>
    <x v="8"/>
    <x v="16"/>
    <s v="PL_A"/>
    <x v="0"/>
    <s v="KRLEG-1_ST_COAL_BP"/>
    <x v="0"/>
    <x v="23"/>
    <n v="632.35294117647004"/>
    <n v="230808.82352941201"/>
    <n v="830911.76470588194"/>
  </r>
  <r>
    <x v="0"/>
    <x v="0"/>
    <x v="0"/>
    <x v="8"/>
    <x v="16"/>
    <s v="PL_A"/>
    <x v="0"/>
    <s v="LAZI-1_ST_COAL_EXT"/>
    <x v="0"/>
    <x v="0"/>
    <n v="287.5"/>
    <n v="104937.5"/>
    <n v="377775"/>
  </r>
  <r>
    <x v="0"/>
    <x v="0"/>
    <x v="0"/>
    <x v="8"/>
    <x v="16"/>
    <s v="PL_A"/>
    <x v="0"/>
    <s v="LAZI-1_ST_COAL_EXT"/>
    <x v="0"/>
    <x v="1"/>
    <n v="287.5"/>
    <n v="104937.5"/>
    <n v="377775"/>
  </r>
  <r>
    <x v="0"/>
    <x v="0"/>
    <x v="0"/>
    <x v="8"/>
    <x v="16"/>
    <s v="PL_A"/>
    <x v="0"/>
    <s v="LAZI-1_ST_COAL_EXT"/>
    <x v="0"/>
    <x v="2"/>
    <n v="287.5"/>
    <n v="104937.5"/>
    <n v="377775"/>
  </r>
  <r>
    <x v="0"/>
    <x v="0"/>
    <x v="0"/>
    <x v="8"/>
    <x v="16"/>
    <s v="PL_A"/>
    <x v="0"/>
    <s v="LAZI-1_ST_COAL_EXT"/>
    <x v="0"/>
    <x v="3"/>
    <n v="287.5"/>
    <n v="104937.5"/>
    <n v="377775"/>
  </r>
  <r>
    <x v="0"/>
    <x v="0"/>
    <x v="0"/>
    <x v="8"/>
    <x v="16"/>
    <s v="PL_A"/>
    <x v="0"/>
    <s v="LAZI-1_ST_COAL_EXT"/>
    <x v="0"/>
    <x v="18"/>
    <n v="287.5"/>
    <n v="104937.5"/>
    <n v="377775"/>
  </r>
  <r>
    <x v="0"/>
    <x v="0"/>
    <x v="0"/>
    <x v="8"/>
    <x v="16"/>
    <s v="PL_A"/>
    <x v="0"/>
    <s v="LAZI-1_ST_COAL_EXT"/>
    <x v="0"/>
    <x v="4"/>
    <n v="287.5"/>
    <n v="104937.5"/>
    <n v="377775"/>
  </r>
  <r>
    <x v="0"/>
    <x v="0"/>
    <x v="0"/>
    <x v="8"/>
    <x v="16"/>
    <s v="PL_A"/>
    <x v="0"/>
    <s v="LAZI-1_ST_COAL_EXT"/>
    <x v="0"/>
    <x v="5"/>
    <n v="287.5"/>
    <n v="104937.5"/>
    <n v="377775"/>
  </r>
  <r>
    <x v="0"/>
    <x v="0"/>
    <x v="0"/>
    <x v="8"/>
    <x v="16"/>
    <s v="PL_A"/>
    <x v="0"/>
    <s v="LAZI-1_ST_COAL_EXT"/>
    <x v="0"/>
    <x v="6"/>
    <n v="287.5"/>
    <n v="104937.5"/>
    <n v="377775"/>
  </r>
  <r>
    <x v="0"/>
    <x v="0"/>
    <x v="0"/>
    <x v="8"/>
    <x v="16"/>
    <s v="PL_A"/>
    <x v="0"/>
    <s v="LAZI-1_ST_COAL_EXT"/>
    <x v="0"/>
    <x v="7"/>
    <n v="287.5"/>
    <n v="104937.5"/>
    <n v="377775"/>
  </r>
  <r>
    <x v="0"/>
    <x v="0"/>
    <x v="0"/>
    <x v="8"/>
    <x v="16"/>
    <s v="PL_A"/>
    <x v="0"/>
    <s v="LAZI-1_ST_COAL_EXT"/>
    <x v="0"/>
    <x v="8"/>
    <n v="287.5"/>
    <n v="104937.5"/>
    <n v="377775"/>
  </r>
  <r>
    <x v="0"/>
    <x v="0"/>
    <x v="0"/>
    <x v="8"/>
    <x v="16"/>
    <s v="PL_A"/>
    <x v="0"/>
    <s v="LAZI-1_ST_COAL_EXT"/>
    <x v="0"/>
    <x v="9"/>
    <n v="287.5"/>
    <n v="104937.5"/>
    <n v="377775"/>
  </r>
  <r>
    <x v="0"/>
    <x v="0"/>
    <x v="0"/>
    <x v="8"/>
    <x v="16"/>
    <s v="PL_A"/>
    <x v="0"/>
    <s v="LAZI-1_ST_COAL_EXT"/>
    <x v="0"/>
    <x v="10"/>
    <n v="287.5"/>
    <n v="104937.5"/>
    <n v="377775"/>
  </r>
  <r>
    <x v="0"/>
    <x v="0"/>
    <x v="0"/>
    <x v="8"/>
    <x v="16"/>
    <s v="PL_A"/>
    <x v="0"/>
    <s v="LAZI-1_ST_COAL_EXT"/>
    <x v="0"/>
    <x v="11"/>
    <n v="287.5"/>
    <n v="104937.5"/>
    <n v="377775"/>
  </r>
  <r>
    <x v="0"/>
    <x v="0"/>
    <x v="0"/>
    <x v="8"/>
    <x v="16"/>
    <s v="PL_A"/>
    <x v="0"/>
    <s v="LAZI-1_ST_COAL_EXT"/>
    <x v="0"/>
    <x v="12"/>
    <n v="287.5"/>
    <n v="104937.5"/>
    <n v="377775"/>
  </r>
  <r>
    <x v="0"/>
    <x v="0"/>
    <x v="0"/>
    <x v="8"/>
    <x v="16"/>
    <s v="PL_A"/>
    <x v="0"/>
    <s v="LAZI-1_ST_COAL_EXT"/>
    <x v="0"/>
    <x v="13"/>
    <n v="287.5"/>
    <n v="104937.5"/>
    <n v="377775"/>
  </r>
  <r>
    <x v="0"/>
    <x v="0"/>
    <x v="0"/>
    <x v="8"/>
    <x v="16"/>
    <s v="PL_A"/>
    <x v="0"/>
    <s v="LAZI-1_ST_COAL_EXT"/>
    <x v="0"/>
    <x v="14"/>
    <n v="287.5"/>
    <n v="104937.5"/>
    <n v="377775"/>
  </r>
  <r>
    <x v="0"/>
    <x v="0"/>
    <x v="0"/>
    <x v="8"/>
    <x v="16"/>
    <s v="PL_A"/>
    <x v="0"/>
    <s v="LAZI-1_ST_COAL_EXT"/>
    <x v="0"/>
    <x v="15"/>
    <n v="287.5"/>
    <n v="104937.5"/>
    <n v="377775"/>
  </r>
  <r>
    <x v="0"/>
    <x v="0"/>
    <x v="0"/>
    <x v="8"/>
    <x v="16"/>
    <s v="PL_A"/>
    <x v="0"/>
    <s v="LAZI-1_ST_COAL_EXT"/>
    <x v="0"/>
    <x v="16"/>
    <n v="287.5"/>
    <n v="104937.5"/>
    <n v="377775"/>
  </r>
  <r>
    <x v="0"/>
    <x v="0"/>
    <x v="0"/>
    <x v="8"/>
    <x v="16"/>
    <s v="PL_A"/>
    <x v="0"/>
    <s v="LAZI-1_ST_COAL_EXT"/>
    <x v="0"/>
    <x v="17"/>
    <n v="287.5"/>
    <n v="104937.5"/>
    <n v="377775"/>
  </r>
  <r>
    <x v="0"/>
    <x v="0"/>
    <x v="0"/>
    <x v="8"/>
    <x v="16"/>
    <s v="PL_A"/>
    <x v="0"/>
    <s v="LAZI-1_ST_COAL_EXT"/>
    <x v="0"/>
    <x v="19"/>
    <n v="287.5"/>
    <n v="104937.5"/>
    <n v="377775"/>
  </r>
  <r>
    <x v="0"/>
    <x v="0"/>
    <x v="0"/>
    <x v="8"/>
    <x v="16"/>
    <s v="PL_A"/>
    <x v="0"/>
    <s v="LAZI-1_ST_COAL_EXT"/>
    <x v="0"/>
    <x v="20"/>
    <n v="287.5"/>
    <n v="104937.5"/>
    <n v="377775"/>
  </r>
  <r>
    <x v="0"/>
    <x v="0"/>
    <x v="0"/>
    <x v="8"/>
    <x v="16"/>
    <s v="PL_A"/>
    <x v="0"/>
    <s v="LAZI-1_ST_COAL_EXT"/>
    <x v="0"/>
    <x v="21"/>
    <n v="287.5"/>
    <n v="104937.5"/>
    <n v="377775"/>
  </r>
  <r>
    <x v="0"/>
    <x v="0"/>
    <x v="0"/>
    <x v="8"/>
    <x v="16"/>
    <s v="PL_A"/>
    <x v="0"/>
    <s v="LAZI-1_ST_COAL_EXT"/>
    <x v="0"/>
    <x v="22"/>
    <n v="287.5"/>
    <n v="104937.5"/>
    <n v="377775"/>
  </r>
  <r>
    <x v="0"/>
    <x v="0"/>
    <x v="0"/>
    <x v="8"/>
    <x v="16"/>
    <s v="PL_A"/>
    <x v="0"/>
    <s v="LAZI-1_ST_COAL_EXT"/>
    <x v="0"/>
    <x v="23"/>
    <n v="287.5"/>
    <n v="104937.5"/>
    <n v="377775"/>
  </r>
  <r>
    <x v="0"/>
    <x v="0"/>
    <x v="0"/>
    <x v="8"/>
    <x v="16"/>
    <s v="PL_A"/>
    <x v="0"/>
    <s v="SIEK-1_ST_COAL_BP"/>
    <x v="0"/>
    <x v="18"/>
    <n v="453.99979251309497"/>
    <n v="165709.92426728"/>
    <n v="596555.72736220702"/>
  </r>
  <r>
    <x v="0"/>
    <x v="0"/>
    <x v="0"/>
    <x v="8"/>
    <x v="16"/>
    <s v="PL_A"/>
    <x v="0"/>
    <s v="SIER-1_ST_COAL_BP"/>
    <x v="0"/>
    <x v="0"/>
    <n v="1246"/>
    <n v="454790"/>
    <n v="1637244"/>
  </r>
  <r>
    <x v="0"/>
    <x v="0"/>
    <x v="0"/>
    <x v="8"/>
    <x v="16"/>
    <s v="PL_A"/>
    <x v="0"/>
    <s v="SIER-1_ST_COAL_BP"/>
    <x v="0"/>
    <x v="1"/>
    <n v="1246"/>
    <n v="454790"/>
    <n v="1637244"/>
  </r>
  <r>
    <x v="0"/>
    <x v="0"/>
    <x v="0"/>
    <x v="8"/>
    <x v="16"/>
    <s v="PL_A"/>
    <x v="0"/>
    <s v="SIER-1_ST_COAL_BP"/>
    <x v="0"/>
    <x v="2"/>
    <n v="1246"/>
    <n v="454790"/>
    <n v="1637244"/>
  </r>
  <r>
    <x v="0"/>
    <x v="0"/>
    <x v="0"/>
    <x v="8"/>
    <x v="16"/>
    <s v="PL_A"/>
    <x v="0"/>
    <s v="SIER-1_ST_COAL_BP"/>
    <x v="0"/>
    <x v="3"/>
    <n v="1246"/>
    <n v="454790"/>
    <n v="1637244"/>
  </r>
  <r>
    <x v="0"/>
    <x v="0"/>
    <x v="0"/>
    <x v="8"/>
    <x v="16"/>
    <s v="PL_A"/>
    <x v="0"/>
    <s v="SIER-1_ST_COAL_BP"/>
    <x v="0"/>
    <x v="18"/>
    <n v="1246"/>
    <n v="454790"/>
    <n v="1637244"/>
  </r>
  <r>
    <x v="0"/>
    <x v="0"/>
    <x v="0"/>
    <x v="8"/>
    <x v="16"/>
    <s v="PL_A"/>
    <x v="0"/>
    <s v="SIER-1_ST_COAL_BP"/>
    <x v="0"/>
    <x v="4"/>
    <n v="1246"/>
    <n v="454790"/>
    <n v="1637244"/>
  </r>
  <r>
    <x v="0"/>
    <x v="0"/>
    <x v="0"/>
    <x v="8"/>
    <x v="16"/>
    <s v="PL_A"/>
    <x v="0"/>
    <s v="SIER-1_ST_COAL_BP"/>
    <x v="0"/>
    <x v="5"/>
    <n v="1246"/>
    <n v="454790"/>
    <n v="1637244"/>
  </r>
  <r>
    <x v="0"/>
    <x v="0"/>
    <x v="0"/>
    <x v="8"/>
    <x v="16"/>
    <s v="PL_A"/>
    <x v="0"/>
    <s v="SIER-1_ST_COAL_BP"/>
    <x v="0"/>
    <x v="6"/>
    <n v="1246"/>
    <n v="454790"/>
    <n v="1637244"/>
  </r>
  <r>
    <x v="0"/>
    <x v="0"/>
    <x v="0"/>
    <x v="8"/>
    <x v="16"/>
    <s v="PL_A"/>
    <x v="0"/>
    <s v="SIER-1_ST_COAL_BP"/>
    <x v="0"/>
    <x v="7"/>
    <n v="1246"/>
    <n v="454790"/>
    <n v="1637244"/>
  </r>
  <r>
    <x v="0"/>
    <x v="0"/>
    <x v="0"/>
    <x v="8"/>
    <x v="16"/>
    <s v="PL_A"/>
    <x v="0"/>
    <s v="SIER-1_ST_COAL_BP"/>
    <x v="0"/>
    <x v="8"/>
    <n v="1246"/>
    <n v="454790"/>
    <n v="1637244"/>
  </r>
  <r>
    <x v="0"/>
    <x v="0"/>
    <x v="0"/>
    <x v="8"/>
    <x v="16"/>
    <s v="PL_A"/>
    <x v="0"/>
    <s v="SIER-1_ST_COAL_BP"/>
    <x v="0"/>
    <x v="9"/>
    <n v="1246"/>
    <n v="454790"/>
    <n v="1637244"/>
  </r>
  <r>
    <x v="0"/>
    <x v="0"/>
    <x v="0"/>
    <x v="8"/>
    <x v="16"/>
    <s v="PL_A"/>
    <x v="0"/>
    <s v="SIER-1_ST_COAL_BP"/>
    <x v="0"/>
    <x v="10"/>
    <n v="1246"/>
    <n v="454790"/>
    <n v="1637244"/>
  </r>
  <r>
    <x v="0"/>
    <x v="0"/>
    <x v="0"/>
    <x v="8"/>
    <x v="16"/>
    <s v="PL_A"/>
    <x v="0"/>
    <s v="SIER-1_ST_COAL_BP"/>
    <x v="0"/>
    <x v="11"/>
    <n v="1246"/>
    <n v="454790"/>
    <n v="1637244"/>
  </r>
  <r>
    <x v="0"/>
    <x v="0"/>
    <x v="0"/>
    <x v="8"/>
    <x v="16"/>
    <s v="PL_A"/>
    <x v="0"/>
    <s v="SIER-1_ST_COAL_BP"/>
    <x v="0"/>
    <x v="12"/>
    <n v="1246"/>
    <n v="454790"/>
    <n v="1637244"/>
  </r>
  <r>
    <x v="0"/>
    <x v="0"/>
    <x v="0"/>
    <x v="8"/>
    <x v="16"/>
    <s v="PL_A"/>
    <x v="0"/>
    <s v="SIER-1_ST_COAL_BP"/>
    <x v="0"/>
    <x v="13"/>
    <n v="1246"/>
    <n v="454790"/>
    <n v="1637244"/>
  </r>
  <r>
    <x v="0"/>
    <x v="0"/>
    <x v="0"/>
    <x v="8"/>
    <x v="16"/>
    <s v="PL_A"/>
    <x v="0"/>
    <s v="SIER-1_ST_COAL_BP"/>
    <x v="0"/>
    <x v="14"/>
    <n v="1246"/>
    <n v="454790"/>
    <n v="1637244"/>
  </r>
  <r>
    <x v="0"/>
    <x v="0"/>
    <x v="0"/>
    <x v="8"/>
    <x v="16"/>
    <s v="PL_A"/>
    <x v="0"/>
    <s v="SIER-1_ST_COAL_BP"/>
    <x v="0"/>
    <x v="15"/>
    <n v="1246"/>
    <n v="454790"/>
    <n v="1637244"/>
  </r>
  <r>
    <x v="0"/>
    <x v="0"/>
    <x v="0"/>
    <x v="8"/>
    <x v="16"/>
    <s v="PL_A"/>
    <x v="0"/>
    <s v="SIER-1_ST_COAL_BP"/>
    <x v="0"/>
    <x v="16"/>
    <n v="1246"/>
    <n v="454790"/>
    <n v="1637244"/>
  </r>
  <r>
    <x v="0"/>
    <x v="0"/>
    <x v="0"/>
    <x v="8"/>
    <x v="16"/>
    <s v="PL_A"/>
    <x v="0"/>
    <s v="SIER-1_ST_COAL_BP"/>
    <x v="0"/>
    <x v="17"/>
    <n v="1246"/>
    <n v="454790"/>
    <n v="1637244"/>
  </r>
  <r>
    <x v="0"/>
    <x v="0"/>
    <x v="0"/>
    <x v="8"/>
    <x v="16"/>
    <s v="PL_A"/>
    <x v="0"/>
    <s v="SIER-1_ST_COAL_BP"/>
    <x v="0"/>
    <x v="19"/>
    <n v="1246"/>
    <n v="454790"/>
    <n v="1637244"/>
  </r>
  <r>
    <x v="0"/>
    <x v="0"/>
    <x v="0"/>
    <x v="8"/>
    <x v="16"/>
    <s v="PL_A"/>
    <x v="0"/>
    <s v="SIER-1_ST_COAL_BP"/>
    <x v="0"/>
    <x v="20"/>
    <n v="1246"/>
    <n v="454790"/>
    <n v="1637244"/>
  </r>
  <r>
    <x v="0"/>
    <x v="0"/>
    <x v="0"/>
    <x v="8"/>
    <x v="16"/>
    <s v="PL_A"/>
    <x v="0"/>
    <s v="SIER-1_ST_COAL_BP"/>
    <x v="0"/>
    <x v="21"/>
    <n v="1246"/>
    <n v="454790"/>
    <n v="1637244"/>
  </r>
  <r>
    <x v="0"/>
    <x v="0"/>
    <x v="0"/>
    <x v="8"/>
    <x v="16"/>
    <s v="PL_A"/>
    <x v="0"/>
    <s v="SIER-1_ST_COAL_BP"/>
    <x v="0"/>
    <x v="22"/>
    <n v="1246"/>
    <n v="454790"/>
    <n v="1637244"/>
  </r>
  <r>
    <x v="0"/>
    <x v="0"/>
    <x v="0"/>
    <x v="8"/>
    <x v="16"/>
    <s v="PL_A"/>
    <x v="0"/>
    <s v="SIER-1_ST_COAL_BP"/>
    <x v="0"/>
    <x v="23"/>
    <n v="1246"/>
    <n v="454790"/>
    <n v="1637244"/>
  </r>
  <r>
    <x v="0"/>
    <x v="0"/>
    <x v="0"/>
    <x v="8"/>
    <x v="16"/>
    <s v="PL_A"/>
    <x v="0"/>
    <s v="TYCH_ST_COAL_BP"/>
    <x v="0"/>
    <x v="0"/>
    <n v="120"/>
    <n v="43800"/>
    <n v="157680"/>
  </r>
  <r>
    <x v="0"/>
    <x v="0"/>
    <x v="0"/>
    <x v="8"/>
    <x v="16"/>
    <s v="PL_A"/>
    <x v="0"/>
    <s v="TYCH_ST_COAL_BP"/>
    <x v="0"/>
    <x v="1"/>
    <n v="120"/>
    <n v="43800"/>
    <n v="157680"/>
  </r>
  <r>
    <x v="0"/>
    <x v="0"/>
    <x v="0"/>
    <x v="8"/>
    <x v="16"/>
    <s v="PL_A"/>
    <x v="0"/>
    <s v="TYCH_ST_COAL_BP"/>
    <x v="0"/>
    <x v="2"/>
    <n v="120"/>
    <n v="43800"/>
    <n v="157680"/>
  </r>
  <r>
    <x v="0"/>
    <x v="0"/>
    <x v="0"/>
    <x v="8"/>
    <x v="16"/>
    <s v="PL_A"/>
    <x v="0"/>
    <s v="TYCH_ST_COAL_BP"/>
    <x v="0"/>
    <x v="3"/>
    <n v="120"/>
    <n v="43800"/>
    <n v="157680"/>
  </r>
  <r>
    <x v="0"/>
    <x v="0"/>
    <x v="0"/>
    <x v="8"/>
    <x v="16"/>
    <s v="PL_A"/>
    <x v="0"/>
    <s v="TYCH_ST_COAL_BP"/>
    <x v="0"/>
    <x v="18"/>
    <n v="120"/>
    <n v="43800"/>
    <n v="157680"/>
  </r>
  <r>
    <x v="0"/>
    <x v="0"/>
    <x v="0"/>
    <x v="8"/>
    <x v="16"/>
    <s v="PL_A"/>
    <x v="0"/>
    <s v="TYCH_ST_COAL_BP"/>
    <x v="0"/>
    <x v="4"/>
    <n v="120"/>
    <n v="43800"/>
    <n v="157680"/>
  </r>
  <r>
    <x v="0"/>
    <x v="0"/>
    <x v="0"/>
    <x v="8"/>
    <x v="16"/>
    <s v="PL_A"/>
    <x v="0"/>
    <s v="TYCH_ST_COAL_BP"/>
    <x v="0"/>
    <x v="5"/>
    <n v="120"/>
    <n v="43800"/>
    <n v="157680"/>
  </r>
  <r>
    <x v="0"/>
    <x v="0"/>
    <x v="0"/>
    <x v="8"/>
    <x v="16"/>
    <s v="PL_A"/>
    <x v="0"/>
    <s v="TYCH_ST_COAL_BP"/>
    <x v="0"/>
    <x v="6"/>
    <n v="120"/>
    <n v="43800"/>
    <n v="157680"/>
  </r>
  <r>
    <x v="0"/>
    <x v="0"/>
    <x v="0"/>
    <x v="8"/>
    <x v="16"/>
    <s v="PL_A"/>
    <x v="0"/>
    <s v="TYCH_ST_COAL_BP"/>
    <x v="0"/>
    <x v="7"/>
    <n v="120"/>
    <n v="43800"/>
    <n v="157680"/>
  </r>
  <r>
    <x v="0"/>
    <x v="0"/>
    <x v="0"/>
    <x v="8"/>
    <x v="16"/>
    <s v="PL_A"/>
    <x v="0"/>
    <s v="TYCH_ST_COAL_BP"/>
    <x v="0"/>
    <x v="8"/>
    <n v="120"/>
    <n v="43800"/>
    <n v="157680"/>
  </r>
  <r>
    <x v="0"/>
    <x v="0"/>
    <x v="0"/>
    <x v="8"/>
    <x v="16"/>
    <s v="PL_A"/>
    <x v="0"/>
    <s v="TYCH_ST_COAL_BP"/>
    <x v="0"/>
    <x v="9"/>
    <n v="120"/>
    <n v="43800"/>
    <n v="157680"/>
  </r>
  <r>
    <x v="0"/>
    <x v="0"/>
    <x v="0"/>
    <x v="8"/>
    <x v="16"/>
    <s v="PL_A"/>
    <x v="0"/>
    <s v="TYCH_ST_COAL_BP"/>
    <x v="0"/>
    <x v="10"/>
    <n v="120"/>
    <n v="43800"/>
    <n v="157680"/>
  </r>
  <r>
    <x v="0"/>
    <x v="0"/>
    <x v="0"/>
    <x v="8"/>
    <x v="16"/>
    <s v="PL_A"/>
    <x v="0"/>
    <s v="TYCH_ST_COAL_BP"/>
    <x v="0"/>
    <x v="11"/>
    <n v="120"/>
    <n v="43800"/>
    <n v="157680"/>
  </r>
  <r>
    <x v="0"/>
    <x v="0"/>
    <x v="0"/>
    <x v="8"/>
    <x v="16"/>
    <s v="PL_A"/>
    <x v="0"/>
    <s v="TYCH_ST_COAL_BP"/>
    <x v="0"/>
    <x v="12"/>
    <n v="120"/>
    <n v="43800"/>
    <n v="157680"/>
  </r>
  <r>
    <x v="0"/>
    <x v="0"/>
    <x v="0"/>
    <x v="8"/>
    <x v="16"/>
    <s v="PL_A"/>
    <x v="0"/>
    <s v="TYCH_ST_COAL_BP"/>
    <x v="0"/>
    <x v="13"/>
    <n v="120"/>
    <n v="43800"/>
    <n v="157680"/>
  </r>
  <r>
    <x v="0"/>
    <x v="0"/>
    <x v="0"/>
    <x v="8"/>
    <x v="16"/>
    <s v="PL_A"/>
    <x v="0"/>
    <s v="TYCH_ST_COAL_BP"/>
    <x v="0"/>
    <x v="14"/>
    <n v="120"/>
    <n v="43800"/>
    <n v="157680"/>
  </r>
  <r>
    <x v="0"/>
    <x v="0"/>
    <x v="0"/>
    <x v="8"/>
    <x v="16"/>
    <s v="PL_A"/>
    <x v="0"/>
    <s v="TYCH_ST_COAL_BP"/>
    <x v="0"/>
    <x v="15"/>
    <n v="120"/>
    <n v="43800"/>
    <n v="157680"/>
  </r>
  <r>
    <x v="0"/>
    <x v="0"/>
    <x v="0"/>
    <x v="8"/>
    <x v="16"/>
    <s v="PL_A"/>
    <x v="0"/>
    <s v="TYCH_ST_COAL_BP"/>
    <x v="0"/>
    <x v="16"/>
    <n v="120"/>
    <n v="43800"/>
    <n v="157680"/>
  </r>
  <r>
    <x v="0"/>
    <x v="0"/>
    <x v="0"/>
    <x v="8"/>
    <x v="16"/>
    <s v="PL_A"/>
    <x v="0"/>
    <s v="TYCH_ST_COAL_BP"/>
    <x v="0"/>
    <x v="17"/>
    <n v="120"/>
    <n v="43800"/>
    <n v="157680"/>
  </r>
  <r>
    <x v="0"/>
    <x v="0"/>
    <x v="0"/>
    <x v="8"/>
    <x v="16"/>
    <s v="PL_A"/>
    <x v="0"/>
    <s v="TYCH_ST_COAL_BP"/>
    <x v="0"/>
    <x v="19"/>
    <n v="120"/>
    <n v="43800"/>
    <n v="157680"/>
  </r>
  <r>
    <x v="0"/>
    <x v="0"/>
    <x v="0"/>
    <x v="8"/>
    <x v="16"/>
    <s v="PL_A"/>
    <x v="0"/>
    <s v="TYCH_ST_COAL_BP"/>
    <x v="0"/>
    <x v="20"/>
    <n v="120"/>
    <n v="43800"/>
    <n v="157680"/>
  </r>
  <r>
    <x v="0"/>
    <x v="0"/>
    <x v="0"/>
    <x v="8"/>
    <x v="16"/>
    <s v="PL_A"/>
    <x v="0"/>
    <s v="TYCH_ST_COAL_BP"/>
    <x v="0"/>
    <x v="21"/>
    <n v="120"/>
    <n v="43800"/>
    <n v="157680"/>
  </r>
  <r>
    <x v="0"/>
    <x v="0"/>
    <x v="0"/>
    <x v="8"/>
    <x v="16"/>
    <s v="PL_A"/>
    <x v="0"/>
    <s v="TYCH_ST_COAL_BP"/>
    <x v="0"/>
    <x v="23"/>
    <n v="120"/>
    <n v="43800"/>
    <n v="157680"/>
  </r>
  <r>
    <x v="0"/>
    <x v="0"/>
    <x v="0"/>
    <x v="8"/>
    <x v="16"/>
    <s v="PL_A"/>
    <x v="0"/>
    <s v="ZIEL-2_ST_COAL_BP"/>
    <x v="0"/>
    <x v="0"/>
    <n v="22"/>
    <n v="8030"/>
    <n v="28908"/>
  </r>
  <r>
    <x v="0"/>
    <x v="0"/>
    <x v="0"/>
    <x v="8"/>
    <x v="16"/>
    <s v="PL_A"/>
    <x v="0"/>
    <s v="ZIEL-2_ST_COAL_BP"/>
    <x v="0"/>
    <x v="1"/>
    <n v="22"/>
    <n v="8030"/>
    <n v="28908"/>
  </r>
  <r>
    <x v="0"/>
    <x v="0"/>
    <x v="0"/>
    <x v="8"/>
    <x v="16"/>
    <s v="PL_A"/>
    <x v="0"/>
    <s v="ZIEL-2_ST_COAL_BP"/>
    <x v="0"/>
    <x v="2"/>
    <n v="22"/>
    <n v="8030"/>
    <n v="28908"/>
  </r>
  <r>
    <x v="0"/>
    <x v="0"/>
    <x v="0"/>
    <x v="8"/>
    <x v="16"/>
    <s v="PL_A"/>
    <x v="0"/>
    <s v="ZIEL-2_ST_COAL_BP"/>
    <x v="0"/>
    <x v="3"/>
    <n v="22"/>
    <n v="8030"/>
    <n v="28908"/>
  </r>
  <r>
    <x v="0"/>
    <x v="0"/>
    <x v="0"/>
    <x v="8"/>
    <x v="16"/>
    <s v="PL_A"/>
    <x v="0"/>
    <s v="ZIEL-2_ST_COAL_BP"/>
    <x v="0"/>
    <x v="18"/>
    <n v="22"/>
    <n v="8030"/>
    <n v="28908"/>
  </r>
  <r>
    <x v="0"/>
    <x v="0"/>
    <x v="0"/>
    <x v="8"/>
    <x v="16"/>
    <s v="PL_A"/>
    <x v="0"/>
    <s v="ZIEL-2_ST_COAL_BP"/>
    <x v="0"/>
    <x v="4"/>
    <n v="22"/>
    <n v="8030"/>
    <n v="28908"/>
  </r>
  <r>
    <x v="0"/>
    <x v="0"/>
    <x v="0"/>
    <x v="8"/>
    <x v="16"/>
    <s v="PL_A"/>
    <x v="0"/>
    <s v="ZIEL-2_ST_COAL_BP"/>
    <x v="0"/>
    <x v="5"/>
    <n v="22"/>
    <n v="8030"/>
    <n v="28908"/>
  </r>
  <r>
    <x v="0"/>
    <x v="0"/>
    <x v="0"/>
    <x v="8"/>
    <x v="16"/>
    <s v="PL_A"/>
    <x v="0"/>
    <s v="ZIEL-2_ST_COAL_BP"/>
    <x v="0"/>
    <x v="6"/>
    <n v="22"/>
    <n v="8030"/>
    <n v="28908"/>
  </r>
  <r>
    <x v="0"/>
    <x v="0"/>
    <x v="0"/>
    <x v="8"/>
    <x v="16"/>
    <s v="PL_A"/>
    <x v="0"/>
    <s v="ZIEL-2_ST_COAL_BP"/>
    <x v="0"/>
    <x v="7"/>
    <n v="22"/>
    <n v="8030"/>
    <n v="28908"/>
  </r>
  <r>
    <x v="0"/>
    <x v="0"/>
    <x v="0"/>
    <x v="8"/>
    <x v="16"/>
    <s v="PL_A"/>
    <x v="0"/>
    <s v="ZIEL-2_ST_COAL_BP"/>
    <x v="0"/>
    <x v="8"/>
    <n v="22"/>
    <n v="8030"/>
    <n v="28908"/>
  </r>
  <r>
    <x v="0"/>
    <x v="0"/>
    <x v="0"/>
    <x v="8"/>
    <x v="16"/>
    <s v="PL_A"/>
    <x v="0"/>
    <s v="ZIEL-2_ST_COAL_BP"/>
    <x v="0"/>
    <x v="9"/>
    <n v="22"/>
    <n v="8030"/>
    <n v="28908"/>
  </r>
  <r>
    <x v="0"/>
    <x v="0"/>
    <x v="0"/>
    <x v="8"/>
    <x v="16"/>
    <s v="PL_A"/>
    <x v="0"/>
    <s v="ZIEL-2_ST_COAL_BP"/>
    <x v="0"/>
    <x v="10"/>
    <n v="22"/>
    <n v="8030"/>
    <n v="28908"/>
  </r>
  <r>
    <x v="0"/>
    <x v="0"/>
    <x v="0"/>
    <x v="8"/>
    <x v="16"/>
    <s v="PL_A"/>
    <x v="0"/>
    <s v="ZIEL-2_ST_COAL_BP"/>
    <x v="0"/>
    <x v="11"/>
    <n v="22"/>
    <n v="8030"/>
    <n v="28908"/>
  </r>
  <r>
    <x v="0"/>
    <x v="0"/>
    <x v="0"/>
    <x v="8"/>
    <x v="16"/>
    <s v="PL_A"/>
    <x v="0"/>
    <s v="ZIEL-2_ST_COAL_BP"/>
    <x v="0"/>
    <x v="12"/>
    <n v="22"/>
    <n v="8030"/>
    <n v="28908"/>
  </r>
  <r>
    <x v="0"/>
    <x v="0"/>
    <x v="0"/>
    <x v="8"/>
    <x v="16"/>
    <s v="PL_A"/>
    <x v="0"/>
    <s v="ZIEL-2_ST_COAL_BP"/>
    <x v="0"/>
    <x v="13"/>
    <n v="22"/>
    <n v="8030"/>
    <n v="28908"/>
  </r>
  <r>
    <x v="0"/>
    <x v="0"/>
    <x v="0"/>
    <x v="8"/>
    <x v="16"/>
    <s v="PL_A"/>
    <x v="0"/>
    <s v="ZIEL-2_ST_COAL_BP"/>
    <x v="0"/>
    <x v="14"/>
    <n v="22"/>
    <n v="8030"/>
    <n v="28908"/>
  </r>
  <r>
    <x v="0"/>
    <x v="0"/>
    <x v="0"/>
    <x v="8"/>
    <x v="16"/>
    <s v="PL_A"/>
    <x v="0"/>
    <s v="ZIEL-2_ST_COAL_BP"/>
    <x v="0"/>
    <x v="15"/>
    <n v="22"/>
    <n v="8030"/>
    <n v="28908"/>
  </r>
  <r>
    <x v="0"/>
    <x v="0"/>
    <x v="0"/>
    <x v="8"/>
    <x v="16"/>
    <s v="PL_A"/>
    <x v="0"/>
    <s v="ZIEL-2_ST_COAL_BP"/>
    <x v="0"/>
    <x v="16"/>
    <n v="22"/>
    <n v="8030"/>
    <n v="28908"/>
  </r>
  <r>
    <x v="0"/>
    <x v="0"/>
    <x v="0"/>
    <x v="8"/>
    <x v="16"/>
    <s v="PL_A"/>
    <x v="0"/>
    <s v="ZIEL-2_ST_COAL_BP"/>
    <x v="0"/>
    <x v="17"/>
    <n v="22"/>
    <n v="8030"/>
    <n v="28908"/>
  </r>
  <r>
    <x v="0"/>
    <x v="0"/>
    <x v="0"/>
    <x v="8"/>
    <x v="16"/>
    <s v="PL_A"/>
    <x v="0"/>
    <s v="ZIEL-2_ST_COAL_BP"/>
    <x v="0"/>
    <x v="19"/>
    <n v="22"/>
    <n v="8030"/>
    <n v="28908"/>
  </r>
  <r>
    <x v="0"/>
    <x v="0"/>
    <x v="0"/>
    <x v="8"/>
    <x v="16"/>
    <s v="PL_A"/>
    <x v="0"/>
    <s v="ZIEL-2_ST_COAL_BP"/>
    <x v="0"/>
    <x v="20"/>
    <n v="22"/>
    <n v="8030"/>
    <n v="28908"/>
  </r>
  <r>
    <x v="0"/>
    <x v="0"/>
    <x v="0"/>
    <x v="8"/>
    <x v="16"/>
    <s v="PL_A"/>
    <x v="0"/>
    <s v="ZIEL-2_ST_COAL_BP"/>
    <x v="0"/>
    <x v="21"/>
    <n v="22"/>
    <n v="8030"/>
    <n v="28908"/>
  </r>
  <r>
    <x v="0"/>
    <x v="0"/>
    <x v="0"/>
    <x v="8"/>
    <x v="16"/>
    <s v="PL_A"/>
    <x v="0"/>
    <s v="ZIEL-2_ST_COAL_BP"/>
    <x v="0"/>
    <x v="22"/>
    <n v="22"/>
    <n v="8030"/>
    <n v="28908"/>
  </r>
  <r>
    <x v="0"/>
    <x v="0"/>
    <x v="0"/>
    <x v="8"/>
    <x v="16"/>
    <s v="PL_A"/>
    <x v="0"/>
    <s v="ZIEL-2_ST_COAL_BP"/>
    <x v="0"/>
    <x v="23"/>
    <n v="22"/>
    <n v="8030"/>
    <n v="28908"/>
  </r>
  <r>
    <x v="0"/>
    <x v="0"/>
    <x v="0"/>
    <x v="8"/>
    <x v="16"/>
    <s v="PL_A"/>
    <x v="0"/>
    <s v="ZIEL-4_ST_COAL_BP"/>
    <x v="0"/>
    <x v="0"/>
    <n v="120"/>
    <n v="43800"/>
    <n v="157680"/>
  </r>
  <r>
    <x v="0"/>
    <x v="0"/>
    <x v="0"/>
    <x v="8"/>
    <x v="16"/>
    <s v="PL_A"/>
    <x v="0"/>
    <s v="ZIEL-4_ST_COAL_BP"/>
    <x v="0"/>
    <x v="1"/>
    <n v="120"/>
    <n v="43800"/>
    <n v="157680"/>
  </r>
  <r>
    <x v="0"/>
    <x v="0"/>
    <x v="0"/>
    <x v="8"/>
    <x v="16"/>
    <s v="PL_A"/>
    <x v="0"/>
    <s v="ZIEL-4_ST_COAL_BP"/>
    <x v="0"/>
    <x v="2"/>
    <n v="120"/>
    <n v="43800"/>
    <n v="157680"/>
  </r>
  <r>
    <x v="0"/>
    <x v="0"/>
    <x v="0"/>
    <x v="8"/>
    <x v="16"/>
    <s v="PL_A"/>
    <x v="0"/>
    <s v="ZIEL-4_ST_COAL_BP"/>
    <x v="0"/>
    <x v="3"/>
    <n v="120"/>
    <n v="43800"/>
    <n v="157680"/>
  </r>
  <r>
    <x v="0"/>
    <x v="0"/>
    <x v="0"/>
    <x v="8"/>
    <x v="16"/>
    <s v="PL_A"/>
    <x v="0"/>
    <s v="ZIEL-4_ST_COAL_BP"/>
    <x v="0"/>
    <x v="18"/>
    <n v="120"/>
    <n v="43800"/>
    <n v="157680"/>
  </r>
  <r>
    <x v="0"/>
    <x v="0"/>
    <x v="0"/>
    <x v="8"/>
    <x v="16"/>
    <s v="PL_A"/>
    <x v="0"/>
    <s v="ZIEL-4_ST_COAL_BP"/>
    <x v="0"/>
    <x v="4"/>
    <n v="120"/>
    <n v="43800"/>
    <n v="157680"/>
  </r>
  <r>
    <x v="0"/>
    <x v="0"/>
    <x v="0"/>
    <x v="8"/>
    <x v="16"/>
    <s v="PL_A"/>
    <x v="0"/>
    <s v="ZIEL-4_ST_COAL_BP"/>
    <x v="0"/>
    <x v="5"/>
    <n v="120"/>
    <n v="43800"/>
    <n v="157680"/>
  </r>
  <r>
    <x v="0"/>
    <x v="0"/>
    <x v="0"/>
    <x v="8"/>
    <x v="16"/>
    <s v="PL_A"/>
    <x v="0"/>
    <s v="ZIEL-4_ST_COAL_BP"/>
    <x v="0"/>
    <x v="6"/>
    <n v="120"/>
    <n v="43800"/>
    <n v="157680"/>
  </r>
  <r>
    <x v="0"/>
    <x v="0"/>
    <x v="0"/>
    <x v="8"/>
    <x v="16"/>
    <s v="PL_A"/>
    <x v="0"/>
    <s v="ZIEL-4_ST_COAL_BP"/>
    <x v="0"/>
    <x v="7"/>
    <n v="120"/>
    <n v="43800"/>
    <n v="157680"/>
  </r>
  <r>
    <x v="0"/>
    <x v="0"/>
    <x v="0"/>
    <x v="8"/>
    <x v="16"/>
    <s v="PL_A"/>
    <x v="0"/>
    <s v="ZIEL-4_ST_COAL_BP"/>
    <x v="0"/>
    <x v="8"/>
    <n v="120"/>
    <n v="43800"/>
    <n v="157680"/>
  </r>
  <r>
    <x v="0"/>
    <x v="0"/>
    <x v="0"/>
    <x v="8"/>
    <x v="16"/>
    <s v="PL_A"/>
    <x v="0"/>
    <s v="ZIEL-4_ST_COAL_BP"/>
    <x v="0"/>
    <x v="9"/>
    <n v="120"/>
    <n v="43800"/>
    <n v="157680"/>
  </r>
  <r>
    <x v="0"/>
    <x v="0"/>
    <x v="0"/>
    <x v="8"/>
    <x v="16"/>
    <s v="PL_A"/>
    <x v="0"/>
    <s v="ZIEL-4_ST_COAL_BP"/>
    <x v="0"/>
    <x v="10"/>
    <n v="120"/>
    <n v="43800"/>
    <n v="157680"/>
  </r>
  <r>
    <x v="0"/>
    <x v="0"/>
    <x v="0"/>
    <x v="8"/>
    <x v="16"/>
    <s v="PL_A"/>
    <x v="0"/>
    <s v="ZIEL-4_ST_COAL_BP"/>
    <x v="0"/>
    <x v="11"/>
    <n v="120"/>
    <n v="43800"/>
    <n v="157680"/>
  </r>
  <r>
    <x v="0"/>
    <x v="0"/>
    <x v="0"/>
    <x v="8"/>
    <x v="16"/>
    <s v="PL_A"/>
    <x v="0"/>
    <s v="ZIEL-4_ST_COAL_BP"/>
    <x v="0"/>
    <x v="12"/>
    <n v="120"/>
    <n v="43800"/>
    <n v="157680"/>
  </r>
  <r>
    <x v="0"/>
    <x v="0"/>
    <x v="0"/>
    <x v="8"/>
    <x v="16"/>
    <s v="PL_A"/>
    <x v="0"/>
    <s v="ZIEL-4_ST_COAL_BP"/>
    <x v="0"/>
    <x v="13"/>
    <n v="120"/>
    <n v="43800"/>
    <n v="157680"/>
  </r>
  <r>
    <x v="0"/>
    <x v="0"/>
    <x v="0"/>
    <x v="8"/>
    <x v="16"/>
    <s v="PL_A"/>
    <x v="0"/>
    <s v="ZIEL-4_ST_COAL_BP"/>
    <x v="0"/>
    <x v="14"/>
    <n v="120"/>
    <n v="43800"/>
    <n v="157680"/>
  </r>
  <r>
    <x v="0"/>
    <x v="0"/>
    <x v="0"/>
    <x v="8"/>
    <x v="16"/>
    <s v="PL_A"/>
    <x v="0"/>
    <s v="ZIEL-4_ST_COAL_BP"/>
    <x v="0"/>
    <x v="15"/>
    <n v="120"/>
    <n v="43800"/>
    <n v="157680"/>
  </r>
  <r>
    <x v="0"/>
    <x v="0"/>
    <x v="0"/>
    <x v="8"/>
    <x v="16"/>
    <s v="PL_A"/>
    <x v="0"/>
    <s v="ZIEL-4_ST_COAL_BP"/>
    <x v="0"/>
    <x v="16"/>
    <n v="120"/>
    <n v="43800"/>
    <n v="157680"/>
  </r>
  <r>
    <x v="0"/>
    <x v="0"/>
    <x v="0"/>
    <x v="8"/>
    <x v="16"/>
    <s v="PL_A"/>
    <x v="0"/>
    <s v="ZIEL-4_ST_COAL_BP"/>
    <x v="0"/>
    <x v="17"/>
    <n v="120"/>
    <n v="43800"/>
    <n v="157680"/>
  </r>
  <r>
    <x v="0"/>
    <x v="0"/>
    <x v="0"/>
    <x v="8"/>
    <x v="16"/>
    <s v="PL_A"/>
    <x v="0"/>
    <s v="ZIEL-4_ST_COAL_BP"/>
    <x v="0"/>
    <x v="19"/>
    <n v="120"/>
    <n v="43800"/>
    <n v="157680"/>
  </r>
  <r>
    <x v="0"/>
    <x v="0"/>
    <x v="0"/>
    <x v="8"/>
    <x v="16"/>
    <s v="PL_A"/>
    <x v="0"/>
    <s v="ZIEL-4_ST_COAL_BP"/>
    <x v="0"/>
    <x v="20"/>
    <n v="120"/>
    <n v="43800"/>
    <n v="157680"/>
  </r>
  <r>
    <x v="0"/>
    <x v="0"/>
    <x v="0"/>
    <x v="8"/>
    <x v="16"/>
    <s v="PL_A"/>
    <x v="0"/>
    <s v="ZIEL-4_ST_COAL_BP"/>
    <x v="0"/>
    <x v="21"/>
    <n v="120"/>
    <n v="43800"/>
    <n v="157680"/>
  </r>
  <r>
    <x v="0"/>
    <x v="0"/>
    <x v="0"/>
    <x v="8"/>
    <x v="16"/>
    <s v="PL_A"/>
    <x v="0"/>
    <s v="ZIEL-4_ST_COAL_BP"/>
    <x v="0"/>
    <x v="22"/>
    <n v="120"/>
    <n v="43800"/>
    <n v="157680"/>
  </r>
  <r>
    <x v="0"/>
    <x v="0"/>
    <x v="0"/>
    <x v="8"/>
    <x v="16"/>
    <s v="PL_A"/>
    <x v="0"/>
    <s v="ZIEL-4_ST_COAL_BP"/>
    <x v="0"/>
    <x v="23"/>
    <n v="120"/>
    <n v="43800"/>
    <n v="157680"/>
  </r>
  <r>
    <x v="0"/>
    <x v="0"/>
    <x v="0"/>
    <x v="8"/>
    <x v="16"/>
    <s v="PL_A"/>
    <x v="17"/>
    <s v="ADAM-1_ST_LIGNITE_EXT"/>
    <x v="0"/>
    <x v="0"/>
    <n v="302.777777777778"/>
    <n v="110513.88888888901"/>
    <n v="397850"/>
  </r>
  <r>
    <x v="0"/>
    <x v="0"/>
    <x v="0"/>
    <x v="8"/>
    <x v="16"/>
    <s v="PL_A"/>
    <x v="17"/>
    <s v="ADAM-1_ST_LIGNITE_EXT"/>
    <x v="0"/>
    <x v="1"/>
    <n v="302.777777777778"/>
    <n v="110513.88888888901"/>
    <n v="397850"/>
  </r>
  <r>
    <x v="0"/>
    <x v="0"/>
    <x v="0"/>
    <x v="8"/>
    <x v="16"/>
    <s v="PL_A"/>
    <x v="17"/>
    <s v="ADAM-1_ST_LIGNITE_EXT"/>
    <x v="0"/>
    <x v="2"/>
    <n v="302.777777777778"/>
    <n v="110513.88888888901"/>
    <n v="397850"/>
  </r>
  <r>
    <x v="0"/>
    <x v="0"/>
    <x v="0"/>
    <x v="8"/>
    <x v="16"/>
    <s v="PL_A"/>
    <x v="17"/>
    <s v="ADAM-1_ST_LIGNITE_EXT"/>
    <x v="0"/>
    <x v="3"/>
    <n v="302.777777777778"/>
    <n v="110513.88888888901"/>
    <n v="397850"/>
  </r>
  <r>
    <x v="0"/>
    <x v="0"/>
    <x v="0"/>
    <x v="8"/>
    <x v="16"/>
    <s v="PL_A"/>
    <x v="17"/>
    <s v="ADAM-1_ST_LIGNITE_EXT"/>
    <x v="0"/>
    <x v="18"/>
    <n v="302.777777777778"/>
    <n v="110513.88888888901"/>
    <n v="397850"/>
  </r>
  <r>
    <x v="0"/>
    <x v="0"/>
    <x v="0"/>
    <x v="8"/>
    <x v="16"/>
    <s v="PL_A"/>
    <x v="17"/>
    <s v="ADAM-1_ST_LIGNITE_EXT"/>
    <x v="0"/>
    <x v="4"/>
    <n v="302.777777777778"/>
    <n v="110513.88888888901"/>
    <n v="397850"/>
  </r>
  <r>
    <x v="0"/>
    <x v="0"/>
    <x v="0"/>
    <x v="8"/>
    <x v="16"/>
    <s v="PL_A"/>
    <x v="17"/>
    <s v="ADAM-1_ST_LIGNITE_EXT"/>
    <x v="0"/>
    <x v="5"/>
    <n v="302.777777777778"/>
    <n v="110513.88888888901"/>
    <n v="397850"/>
  </r>
  <r>
    <x v="0"/>
    <x v="0"/>
    <x v="0"/>
    <x v="8"/>
    <x v="16"/>
    <s v="PL_A"/>
    <x v="17"/>
    <s v="ADAM-1_ST_LIGNITE_EXT"/>
    <x v="0"/>
    <x v="6"/>
    <n v="302.777777777778"/>
    <n v="110513.88888888901"/>
    <n v="397850"/>
  </r>
  <r>
    <x v="0"/>
    <x v="0"/>
    <x v="0"/>
    <x v="8"/>
    <x v="16"/>
    <s v="PL_A"/>
    <x v="17"/>
    <s v="ADAM-1_ST_LIGNITE_EXT"/>
    <x v="0"/>
    <x v="7"/>
    <n v="302.777777777778"/>
    <n v="110513.88888888901"/>
    <n v="397850"/>
  </r>
  <r>
    <x v="0"/>
    <x v="0"/>
    <x v="0"/>
    <x v="8"/>
    <x v="16"/>
    <s v="PL_A"/>
    <x v="17"/>
    <s v="ADAM-1_ST_LIGNITE_EXT"/>
    <x v="0"/>
    <x v="8"/>
    <n v="302.777777777778"/>
    <n v="110513.88888888901"/>
    <n v="397850"/>
  </r>
  <r>
    <x v="0"/>
    <x v="0"/>
    <x v="0"/>
    <x v="8"/>
    <x v="16"/>
    <s v="PL_A"/>
    <x v="17"/>
    <s v="ADAM-1_ST_LIGNITE_EXT"/>
    <x v="0"/>
    <x v="9"/>
    <n v="302.777777777778"/>
    <n v="110513.88888888901"/>
    <n v="397850"/>
  </r>
  <r>
    <x v="0"/>
    <x v="0"/>
    <x v="0"/>
    <x v="8"/>
    <x v="16"/>
    <s v="PL_A"/>
    <x v="17"/>
    <s v="ADAM-1_ST_LIGNITE_EXT"/>
    <x v="0"/>
    <x v="10"/>
    <n v="302.777777777778"/>
    <n v="110513.88888888901"/>
    <n v="397850"/>
  </r>
  <r>
    <x v="0"/>
    <x v="0"/>
    <x v="0"/>
    <x v="8"/>
    <x v="16"/>
    <s v="PL_A"/>
    <x v="17"/>
    <s v="ADAM-1_ST_LIGNITE_EXT"/>
    <x v="0"/>
    <x v="11"/>
    <n v="302.777777777778"/>
    <n v="110513.88888888901"/>
    <n v="397850"/>
  </r>
  <r>
    <x v="0"/>
    <x v="0"/>
    <x v="0"/>
    <x v="8"/>
    <x v="16"/>
    <s v="PL_A"/>
    <x v="17"/>
    <s v="ADAM-1_ST_LIGNITE_EXT"/>
    <x v="0"/>
    <x v="12"/>
    <n v="302.777777777778"/>
    <n v="110513.88888888901"/>
    <n v="397850"/>
  </r>
  <r>
    <x v="0"/>
    <x v="0"/>
    <x v="0"/>
    <x v="8"/>
    <x v="16"/>
    <s v="PL_A"/>
    <x v="17"/>
    <s v="ADAM-1_ST_LIGNITE_EXT"/>
    <x v="0"/>
    <x v="13"/>
    <n v="302.777777777778"/>
    <n v="110513.88888888901"/>
    <n v="397850"/>
  </r>
  <r>
    <x v="0"/>
    <x v="0"/>
    <x v="0"/>
    <x v="8"/>
    <x v="16"/>
    <s v="PL_A"/>
    <x v="17"/>
    <s v="ADAM-1_ST_LIGNITE_EXT"/>
    <x v="0"/>
    <x v="14"/>
    <n v="302.777777777778"/>
    <n v="110513.88888888901"/>
    <n v="397850"/>
  </r>
  <r>
    <x v="0"/>
    <x v="0"/>
    <x v="0"/>
    <x v="8"/>
    <x v="16"/>
    <s v="PL_A"/>
    <x v="17"/>
    <s v="ADAM-1_ST_LIGNITE_EXT"/>
    <x v="0"/>
    <x v="15"/>
    <n v="302.777777777778"/>
    <n v="110513.88888888901"/>
    <n v="397850"/>
  </r>
  <r>
    <x v="0"/>
    <x v="0"/>
    <x v="0"/>
    <x v="8"/>
    <x v="16"/>
    <s v="PL_A"/>
    <x v="17"/>
    <s v="ADAM-1_ST_LIGNITE_EXT"/>
    <x v="0"/>
    <x v="16"/>
    <n v="302.777777777778"/>
    <n v="110513.88888888901"/>
    <n v="397850"/>
  </r>
  <r>
    <x v="0"/>
    <x v="0"/>
    <x v="0"/>
    <x v="8"/>
    <x v="16"/>
    <s v="PL_A"/>
    <x v="17"/>
    <s v="ADAM-1_ST_LIGNITE_EXT"/>
    <x v="0"/>
    <x v="17"/>
    <n v="302.777777777778"/>
    <n v="110513.88888888901"/>
    <n v="397850"/>
  </r>
  <r>
    <x v="0"/>
    <x v="0"/>
    <x v="0"/>
    <x v="8"/>
    <x v="16"/>
    <s v="PL_A"/>
    <x v="17"/>
    <s v="ADAM-1_ST_LIGNITE_EXT"/>
    <x v="0"/>
    <x v="19"/>
    <n v="302.777777777778"/>
    <n v="110513.88888888901"/>
    <n v="397850"/>
  </r>
  <r>
    <x v="0"/>
    <x v="0"/>
    <x v="0"/>
    <x v="8"/>
    <x v="16"/>
    <s v="PL_A"/>
    <x v="17"/>
    <s v="ADAM-1_ST_LIGNITE_EXT"/>
    <x v="0"/>
    <x v="20"/>
    <n v="302.777777777778"/>
    <n v="110513.88888888901"/>
    <n v="397850"/>
  </r>
  <r>
    <x v="0"/>
    <x v="0"/>
    <x v="0"/>
    <x v="8"/>
    <x v="16"/>
    <s v="PL_A"/>
    <x v="17"/>
    <s v="ADAM-1_ST_LIGNITE_EXT"/>
    <x v="0"/>
    <x v="21"/>
    <n v="302.777777777778"/>
    <n v="110513.88888888901"/>
    <n v="397850"/>
  </r>
  <r>
    <x v="0"/>
    <x v="0"/>
    <x v="0"/>
    <x v="8"/>
    <x v="16"/>
    <s v="PL_A"/>
    <x v="17"/>
    <s v="ADAM-1_ST_LIGNITE_EXT"/>
    <x v="0"/>
    <x v="22"/>
    <n v="302.777777777778"/>
    <n v="110513.88888888901"/>
    <n v="397850"/>
  </r>
  <r>
    <x v="0"/>
    <x v="0"/>
    <x v="0"/>
    <x v="8"/>
    <x v="16"/>
    <s v="PL_A"/>
    <x v="17"/>
    <s v="ADAM-1_ST_LIGNITE_EXT"/>
    <x v="0"/>
    <x v="23"/>
    <n v="302.777777777778"/>
    <n v="110513.88888888901"/>
    <n v="397850"/>
  </r>
  <r>
    <x v="0"/>
    <x v="0"/>
    <x v="0"/>
    <x v="8"/>
    <x v="16"/>
    <s v="PL_A"/>
    <x v="17"/>
    <s v="BELC-1_ST_LIGNITE_EXT"/>
    <x v="0"/>
    <x v="0"/>
    <n v="876.92307692307702"/>
    <n v="320076.92307692301"/>
    <n v="1152276.92307692"/>
  </r>
  <r>
    <x v="0"/>
    <x v="0"/>
    <x v="0"/>
    <x v="8"/>
    <x v="16"/>
    <s v="PL_A"/>
    <x v="17"/>
    <s v="BELC-1_ST_LIGNITE_EXT"/>
    <x v="0"/>
    <x v="1"/>
    <n v="876.92307692307702"/>
    <n v="320076.92307692301"/>
    <n v="1152276.92307692"/>
  </r>
  <r>
    <x v="0"/>
    <x v="0"/>
    <x v="0"/>
    <x v="8"/>
    <x v="16"/>
    <s v="PL_A"/>
    <x v="17"/>
    <s v="BELC-1_ST_LIGNITE_EXT"/>
    <x v="0"/>
    <x v="2"/>
    <n v="876.92307692307702"/>
    <n v="320076.92307692301"/>
    <n v="1152276.92307692"/>
  </r>
  <r>
    <x v="0"/>
    <x v="0"/>
    <x v="0"/>
    <x v="8"/>
    <x v="16"/>
    <s v="PL_A"/>
    <x v="17"/>
    <s v="BELC-1_ST_LIGNITE_EXT"/>
    <x v="0"/>
    <x v="3"/>
    <n v="876.92307692307702"/>
    <n v="320076.92307692301"/>
    <n v="1152276.92307692"/>
  </r>
  <r>
    <x v="0"/>
    <x v="0"/>
    <x v="0"/>
    <x v="8"/>
    <x v="16"/>
    <s v="PL_A"/>
    <x v="17"/>
    <s v="BELC-1_ST_LIGNITE_EXT"/>
    <x v="0"/>
    <x v="18"/>
    <n v="876.92307692307702"/>
    <n v="320076.92307692301"/>
    <n v="1152276.92307692"/>
  </r>
  <r>
    <x v="0"/>
    <x v="0"/>
    <x v="0"/>
    <x v="8"/>
    <x v="16"/>
    <s v="PL_A"/>
    <x v="17"/>
    <s v="BELC-1_ST_LIGNITE_EXT"/>
    <x v="0"/>
    <x v="4"/>
    <n v="876.92307692307702"/>
    <n v="320076.92307692301"/>
    <n v="1152276.92307692"/>
  </r>
  <r>
    <x v="0"/>
    <x v="0"/>
    <x v="0"/>
    <x v="8"/>
    <x v="16"/>
    <s v="PL_A"/>
    <x v="17"/>
    <s v="BELC-1_ST_LIGNITE_EXT"/>
    <x v="0"/>
    <x v="5"/>
    <n v="876.92307692307702"/>
    <n v="320076.92307692301"/>
    <n v="1152276.92307692"/>
  </r>
  <r>
    <x v="0"/>
    <x v="0"/>
    <x v="0"/>
    <x v="8"/>
    <x v="16"/>
    <s v="PL_A"/>
    <x v="17"/>
    <s v="BELC-1_ST_LIGNITE_EXT"/>
    <x v="0"/>
    <x v="6"/>
    <n v="876.92307692307702"/>
    <n v="320076.92307692301"/>
    <n v="1152276.92307692"/>
  </r>
  <r>
    <x v="0"/>
    <x v="0"/>
    <x v="0"/>
    <x v="8"/>
    <x v="16"/>
    <s v="PL_A"/>
    <x v="17"/>
    <s v="BELC-1_ST_LIGNITE_EXT"/>
    <x v="0"/>
    <x v="7"/>
    <n v="876.92307692307702"/>
    <n v="320076.92307692301"/>
    <n v="1152276.92307692"/>
  </r>
  <r>
    <x v="0"/>
    <x v="0"/>
    <x v="0"/>
    <x v="8"/>
    <x v="16"/>
    <s v="PL_A"/>
    <x v="17"/>
    <s v="BELC-1_ST_LIGNITE_EXT"/>
    <x v="0"/>
    <x v="8"/>
    <n v="876.92307692307702"/>
    <n v="320076.92307692301"/>
    <n v="1152276.92307692"/>
  </r>
  <r>
    <x v="0"/>
    <x v="0"/>
    <x v="0"/>
    <x v="8"/>
    <x v="16"/>
    <s v="PL_A"/>
    <x v="17"/>
    <s v="BELC-1_ST_LIGNITE_EXT"/>
    <x v="0"/>
    <x v="9"/>
    <n v="876.92307692307702"/>
    <n v="320076.92307692301"/>
    <n v="1152276.92307692"/>
  </r>
  <r>
    <x v="0"/>
    <x v="0"/>
    <x v="0"/>
    <x v="8"/>
    <x v="16"/>
    <s v="PL_A"/>
    <x v="17"/>
    <s v="BELC-1_ST_LIGNITE_EXT"/>
    <x v="0"/>
    <x v="10"/>
    <n v="876.92307692307702"/>
    <n v="320076.92307692301"/>
    <n v="1152276.92307692"/>
  </r>
  <r>
    <x v="0"/>
    <x v="0"/>
    <x v="0"/>
    <x v="8"/>
    <x v="16"/>
    <s v="PL_A"/>
    <x v="17"/>
    <s v="BELC-1_ST_LIGNITE_EXT"/>
    <x v="0"/>
    <x v="11"/>
    <n v="876.92307692307702"/>
    <n v="320076.92307692301"/>
    <n v="1152276.92307692"/>
  </r>
  <r>
    <x v="0"/>
    <x v="0"/>
    <x v="0"/>
    <x v="8"/>
    <x v="16"/>
    <s v="PL_A"/>
    <x v="17"/>
    <s v="BELC-1_ST_LIGNITE_EXT"/>
    <x v="0"/>
    <x v="12"/>
    <n v="876.92307692307702"/>
    <n v="320076.92307692301"/>
    <n v="1152276.92307692"/>
  </r>
  <r>
    <x v="0"/>
    <x v="0"/>
    <x v="0"/>
    <x v="8"/>
    <x v="16"/>
    <s v="PL_A"/>
    <x v="17"/>
    <s v="BELC-1_ST_LIGNITE_EXT"/>
    <x v="0"/>
    <x v="13"/>
    <n v="876.92307692307702"/>
    <n v="320076.92307692301"/>
    <n v="1152276.92307692"/>
  </r>
  <r>
    <x v="0"/>
    <x v="0"/>
    <x v="0"/>
    <x v="8"/>
    <x v="16"/>
    <s v="PL_A"/>
    <x v="17"/>
    <s v="BELC-1_ST_LIGNITE_EXT"/>
    <x v="0"/>
    <x v="14"/>
    <n v="876.92307692307702"/>
    <n v="320076.92307692301"/>
    <n v="1152276.92307692"/>
  </r>
  <r>
    <x v="0"/>
    <x v="0"/>
    <x v="0"/>
    <x v="8"/>
    <x v="16"/>
    <s v="PL_A"/>
    <x v="17"/>
    <s v="BELC-1_ST_LIGNITE_EXT"/>
    <x v="0"/>
    <x v="15"/>
    <n v="876.92307692307702"/>
    <n v="320076.92307692301"/>
    <n v="1152276.92307692"/>
  </r>
  <r>
    <x v="0"/>
    <x v="0"/>
    <x v="0"/>
    <x v="8"/>
    <x v="16"/>
    <s v="PL_A"/>
    <x v="17"/>
    <s v="BELC-1_ST_LIGNITE_EXT"/>
    <x v="0"/>
    <x v="16"/>
    <n v="876.92307692307702"/>
    <n v="320076.92307692301"/>
    <n v="1152276.92307692"/>
  </r>
  <r>
    <x v="0"/>
    <x v="0"/>
    <x v="0"/>
    <x v="8"/>
    <x v="16"/>
    <s v="PL_A"/>
    <x v="17"/>
    <s v="BELC-1_ST_LIGNITE_EXT"/>
    <x v="0"/>
    <x v="17"/>
    <n v="876.92307692307702"/>
    <n v="320076.92307692301"/>
    <n v="1152276.92307692"/>
  </r>
  <r>
    <x v="0"/>
    <x v="0"/>
    <x v="0"/>
    <x v="8"/>
    <x v="16"/>
    <s v="PL_A"/>
    <x v="17"/>
    <s v="BELC-1_ST_LIGNITE_EXT"/>
    <x v="0"/>
    <x v="19"/>
    <n v="876.92307692307702"/>
    <n v="320076.92307692301"/>
    <n v="1152276.92307692"/>
  </r>
  <r>
    <x v="0"/>
    <x v="0"/>
    <x v="0"/>
    <x v="8"/>
    <x v="16"/>
    <s v="PL_A"/>
    <x v="17"/>
    <s v="BELC-1_ST_LIGNITE_EXT"/>
    <x v="0"/>
    <x v="20"/>
    <n v="876.92307692307702"/>
    <n v="320076.92307692301"/>
    <n v="1152276.92307692"/>
  </r>
  <r>
    <x v="0"/>
    <x v="0"/>
    <x v="0"/>
    <x v="8"/>
    <x v="16"/>
    <s v="PL_A"/>
    <x v="17"/>
    <s v="BELC-1_ST_LIGNITE_EXT"/>
    <x v="0"/>
    <x v="21"/>
    <n v="876.92307692307702"/>
    <n v="320076.92307692301"/>
    <n v="1152276.92307692"/>
  </r>
  <r>
    <x v="0"/>
    <x v="0"/>
    <x v="0"/>
    <x v="8"/>
    <x v="16"/>
    <s v="PL_A"/>
    <x v="17"/>
    <s v="BELC-1_ST_LIGNITE_EXT"/>
    <x v="0"/>
    <x v="22"/>
    <n v="876.92307692307702"/>
    <n v="320076.92307692301"/>
    <n v="1152276.92307692"/>
  </r>
  <r>
    <x v="0"/>
    <x v="0"/>
    <x v="0"/>
    <x v="8"/>
    <x v="16"/>
    <s v="PL_A"/>
    <x v="17"/>
    <s v="BELC-1_ST_LIGNITE_EXT"/>
    <x v="0"/>
    <x v="23"/>
    <n v="876.92307692307702"/>
    <n v="320076.92307692301"/>
    <n v="1152276.92307692"/>
  </r>
  <r>
    <x v="0"/>
    <x v="0"/>
    <x v="0"/>
    <x v="8"/>
    <x v="16"/>
    <s v="PL_A"/>
    <x v="2"/>
    <s v="GNR_ST_MSW_BP_E-15"/>
    <x v="0"/>
    <x v="0"/>
    <n v="226.666666666667"/>
    <n v="82733.333333333299"/>
    <n v="297840"/>
  </r>
  <r>
    <x v="0"/>
    <x v="0"/>
    <x v="0"/>
    <x v="8"/>
    <x v="16"/>
    <s v="PL_A"/>
    <x v="2"/>
    <s v="GNR_ST_MSW_BP_E-15"/>
    <x v="0"/>
    <x v="1"/>
    <n v="226.666666666667"/>
    <n v="82733.333333333299"/>
    <n v="297840"/>
  </r>
  <r>
    <x v="0"/>
    <x v="0"/>
    <x v="0"/>
    <x v="8"/>
    <x v="16"/>
    <s v="PL_A"/>
    <x v="2"/>
    <s v="GNR_ST_MSW_BP_E-15"/>
    <x v="0"/>
    <x v="2"/>
    <n v="226.666666666667"/>
    <n v="82733.333333333299"/>
    <n v="297840"/>
  </r>
  <r>
    <x v="0"/>
    <x v="0"/>
    <x v="0"/>
    <x v="8"/>
    <x v="16"/>
    <s v="PL_A"/>
    <x v="2"/>
    <s v="GNR_ST_MSW_BP_E-15"/>
    <x v="0"/>
    <x v="3"/>
    <n v="226.666666666667"/>
    <n v="82733.333333333299"/>
    <n v="297840"/>
  </r>
  <r>
    <x v="0"/>
    <x v="0"/>
    <x v="0"/>
    <x v="8"/>
    <x v="16"/>
    <s v="PL_A"/>
    <x v="2"/>
    <s v="GNR_ST_MSW_BP_E-15"/>
    <x v="0"/>
    <x v="18"/>
    <n v="226.666666666667"/>
    <n v="82733.333333333299"/>
    <n v="297840"/>
  </r>
  <r>
    <x v="0"/>
    <x v="0"/>
    <x v="0"/>
    <x v="8"/>
    <x v="16"/>
    <s v="PL_A"/>
    <x v="2"/>
    <s v="GNR_ST_MSW_BP_E-15"/>
    <x v="0"/>
    <x v="4"/>
    <n v="226.666666666667"/>
    <n v="82733.333333333299"/>
    <n v="297840"/>
  </r>
  <r>
    <x v="0"/>
    <x v="0"/>
    <x v="0"/>
    <x v="8"/>
    <x v="16"/>
    <s v="PL_A"/>
    <x v="2"/>
    <s v="GNR_ST_MSW_BP_E-15"/>
    <x v="0"/>
    <x v="5"/>
    <n v="226.666666666667"/>
    <n v="82733.333333333299"/>
    <n v="297840"/>
  </r>
  <r>
    <x v="0"/>
    <x v="0"/>
    <x v="0"/>
    <x v="8"/>
    <x v="16"/>
    <s v="PL_A"/>
    <x v="2"/>
    <s v="GNR_ST_MSW_BP_E-15"/>
    <x v="0"/>
    <x v="6"/>
    <n v="226.666666666667"/>
    <n v="82733.333333333299"/>
    <n v="297840"/>
  </r>
  <r>
    <x v="0"/>
    <x v="0"/>
    <x v="0"/>
    <x v="8"/>
    <x v="16"/>
    <s v="PL_A"/>
    <x v="2"/>
    <s v="GNR_ST_MSW_BP_E-15"/>
    <x v="0"/>
    <x v="7"/>
    <n v="226.666666666667"/>
    <n v="82733.333333333299"/>
    <n v="297840"/>
  </r>
  <r>
    <x v="0"/>
    <x v="0"/>
    <x v="0"/>
    <x v="8"/>
    <x v="16"/>
    <s v="PL_A"/>
    <x v="2"/>
    <s v="GNR_ST_MSW_BP_E-15"/>
    <x v="0"/>
    <x v="8"/>
    <n v="226.666666666667"/>
    <n v="82733.333333333299"/>
    <n v="297840"/>
  </r>
  <r>
    <x v="0"/>
    <x v="0"/>
    <x v="0"/>
    <x v="8"/>
    <x v="16"/>
    <s v="PL_A"/>
    <x v="2"/>
    <s v="GNR_ST_MSW_BP_E-15"/>
    <x v="0"/>
    <x v="9"/>
    <n v="226.666666666667"/>
    <n v="82733.333333333299"/>
    <n v="297840"/>
  </r>
  <r>
    <x v="0"/>
    <x v="0"/>
    <x v="0"/>
    <x v="8"/>
    <x v="16"/>
    <s v="PL_A"/>
    <x v="2"/>
    <s v="GNR_ST_MSW_BP_E-15"/>
    <x v="0"/>
    <x v="10"/>
    <n v="226.666666666667"/>
    <n v="82733.333333333299"/>
    <n v="297840"/>
  </r>
  <r>
    <x v="0"/>
    <x v="0"/>
    <x v="0"/>
    <x v="8"/>
    <x v="16"/>
    <s v="PL_A"/>
    <x v="2"/>
    <s v="GNR_ST_MSW_BP_E-15"/>
    <x v="0"/>
    <x v="11"/>
    <n v="226.666666666667"/>
    <n v="82733.333333333299"/>
    <n v="297840"/>
  </r>
  <r>
    <x v="0"/>
    <x v="0"/>
    <x v="0"/>
    <x v="8"/>
    <x v="16"/>
    <s v="PL_A"/>
    <x v="2"/>
    <s v="GNR_ST_MSW_BP_E-15"/>
    <x v="0"/>
    <x v="12"/>
    <n v="226.666666666667"/>
    <n v="82733.333333333299"/>
    <n v="297840"/>
  </r>
  <r>
    <x v="0"/>
    <x v="0"/>
    <x v="0"/>
    <x v="8"/>
    <x v="16"/>
    <s v="PL_A"/>
    <x v="2"/>
    <s v="GNR_ST_MSW_BP_E-15"/>
    <x v="0"/>
    <x v="13"/>
    <n v="226.666666666667"/>
    <n v="82733.333333333299"/>
    <n v="297840"/>
  </r>
  <r>
    <x v="0"/>
    <x v="0"/>
    <x v="0"/>
    <x v="8"/>
    <x v="16"/>
    <s v="PL_A"/>
    <x v="2"/>
    <s v="GNR_ST_MSW_BP_E-15"/>
    <x v="0"/>
    <x v="14"/>
    <n v="226.666666666667"/>
    <n v="82733.333333333299"/>
    <n v="297840"/>
  </r>
  <r>
    <x v="0"/>
    <x v="0"/>
    <x v="0"/>
    <x v="8"/>
    <x v="16"/>
    <s v="PL_A"/>
    <x v="2"/>
    <s v="GNR_ST_MSW_BP_E-15"/>
    <x v="0"/>
    <x v="15"/>
    <n v="226.666666666667"/>
    <n v="82733.333333333299"/>
    <n v="297840"/>
  </r>
  <r>
    <x v="0"/>
    <x v="0"/>
    <x v="0"/>
    <x v="8"/>
    <x v="16"/>
    <s v="PL_A"/>
    <x v="2"/>
    <s v="GNR_ST_MSW_BP_E-15"/>
    <x v="0"/>
    <x v="16"/>
    <n v="226.666666666667"/>
    <n v="82733.333333333299"/>
    <n v="297840"/>
  </r>
  <r>
    <x v="0"/>
    <x v="0"/>
    <x v="0"/>
    <x v="8"/>
    <x v="16"/>
    <s v="PL_A"/>
    <x v="2"/>
    <s v="GNR_ST_MSW_BP_E-15"/>
    <x v="0"/>
    <x v="17"/>
    <n v="226.666666666667"/>
    <n v="82733.333333333299"/>
    <n v="297840"/>
  </r>
  <r>
    <x v="0"/>
    <x v="0"/>
    <x v="0"/>
    <x v="8"/>
    <x v="16"/>
    <s v="PL_A"/>
    <x v="2"/>
    <s v="GNR_ST_MSW_BP_E-15"/>
    <x v="0"/>
    <x v="19"/>
    <n v="226.666666666667"/>
    <n v="82733.333333333299"/>
    <n v="297840"/>
  </r>
  <r>
    <x v="0"/>
    <x v="0"/>
    <x v="0"/>
    <x v="8"/>
    <x v="16"/>
    <s v="PL_A"/>
    <x v="2"/>
    <s v="GNR_ST_MSW_BP_E-15"/>
    <x v="0"/>
    <x v="20"/>
    <n v="226.666666666667"/>
    <n v="82733.333333333299"/>
    <n v="297840"/>
  </r>
  <r>
    <x v="0"/>
    <x v="0"/>
    <x v="0"/>
    <x v="8"/>
    <x v="16"/>
    <s v="PL_A"/>
    <x v="2"/>
    <s v="GNR_ST_MSW_BP_E-15"/>
    <x v="0"/>
    <x v="21"/>
    <n v="226.666666666667"/>
    <n v="82733.333333333299"/>
    <n v="297840"/>
  </r>
  <r>
    <x v="0"/>
    <x v="0"/>
    <x v="0"/>
    <x v="8"/>
    <x v="16"/>
    <s v="PL_A"/>
    <x v="2"/>
    <s v="GNR_ST_MSW_BP_E-15"/>
    <x v="0"/>
    <x v="22"/>
    <n v="226.666666666667"/>
    <n v="82733.333333333299"/>
    <n v="297840"/>
  </r>
  <r>
    <x v="0"/>
    <x v="0"/>
    <x v="0"/>
    <x v="8"/>
    <x v="16"/>
    <s v="PL_A"/>
    <x v="2"/>
    <s v="GNR_ST_MSW_BP_E-15"/>
    <x v="0"/>
    <x v="23"/>
    <n v="226.666666666667"/>
    <n v="82733.333333333299"/>
    <n v="297840"/>
  </r>
  <r>
    <x v="0"/>
    <x v="0"/>
    <x v="0"/>
    <x v="8"/>
    <x v="16"/>
    <s v="PL_A"/>
    <x v="6"/>
    <s v="GNR_PV_SUN"/>
    <x v="0"/>
    <x v="7"/>
    <n v="2.2203077554217899E-2"/>
    <n v="8.1041233072895391"/>
    <n v="29.174843906242302"/>
  </r>
  <r>
    <x v="0"/>
    <x v="0"/>
    <x v="0"/>
    <x v="8"/>
    <x v="16"/>
    <s v="PL_A"/>
    <x v="6"/>
    <s v="GNR_PV_SUN"/>
    <x v="0"/>
    <x v="8"/>
    <n v="0.16714932230559901"/>
    <n v="61.009502641543797"/>
    <n v="219.63420950955799"/>
  </r>
  <r>
    <x v="0"/>
    <x v="0"/>
    <x v="0"/>
    <x v="8"/>
    <x v="16"/>
    <s v="PL_A"/>
    <x v="6"/>
    <s v="GNR_PV_SUN"/>
    <x v="0"/>
    <x v="9"/>
    <n v="0.38610582557104101"/>
    <n v="140.92862633343"/>
    <n v="507.34305480034698"/>
  </r>
  <r>
    <x v="0"/>
    <x v="0"/>
    <x v="0"/>
    <x v="8"/>
    <x v="16"/>
    <s v="PL_A"/>
    <x v="6"/>
    <s v="GNR_PV_SUN"/>
    <x v="0"/>
    <x v="10"/>
    <n v="0.58798303841015997"/>
    <n v="214.61380901970901"/>
    <n v="772.60971247095097"/>
  </r>
  <r>
    <x v="0"/>
    <x v="0"/>
    <x v="0"/>
    <x v="8"/>
    <x v="16"/>
    <s v="PL_A"/>
    <x v="6"/>
    <s v="GNR_PV_SUN"/>
    <x v="0"/>
    <x v="11"/>
    <n v="0.66848342728622201"/>
    <n v="243.99645095947099"/>
    <n v="878.38722345409599"/>
  </r>
  <r>
    <x v="0"/>
    <x v="0"/>
    <x v="0"/>
    <x v="8"/>
    <x v="16"/>
    <s v="PL_A"/>
    <x v="6"/>
    <s v="GNR_PV_SUN"/>
    <x v="0"/>
    <x v="12"/>
    <n v="0.58126518417580697"/>
    <n v="212.16179222417"/>
    <n v="763.78245200701099"/>
  </r>
  <r>
    <x v="0"/>
    <x v="0"/>
    <x v="0"/>
    <x v="8"/>
    <x v="16"/>
    <s v="PL_A"/>
    <x v="6"/>
    <s v="GNR_PV_SUN"/>
    <x v="0"/>
    <x v="13"/>
    <n v="0.37824935197493298"/>
    <n v="138.06101347085001"/>
    <n v="497.01964849506197"/>
  </r>
  <r>
    <x v="0"/>
    <x v="0"/>
    <x v="0"/>
    <x v="8"/>
    <x v="16"/>
    <s v="PL_A"/>
    <x v="6"/>
    <s v="GNR_PV_SUN"/>
    <x v="0"/>
    <x v="14"/>
    <n v="0.191515776647151"/>
    <n v="69.903258476210297"/>
    <n v="251.65173051435701"/>
  </r>
  <r>
    <x v="0"/>
    <x v="0"/>
    <x v="0"/>
    <x v="8"/>
    <x v="16"/>
    <s v="PL_A"/>
    <x v="6"/>
    <s v="GNR_PV_SUN"/>
    <x v="0"/>
    <x v="15"/>
    <n v="2.4935764022429301E-2"/>
    <n v="9.1015538681867092"/>
    <n v="32.765593925472203"/>
  </r>
  <r>
    <x v="0"/>
    <x v="0"/>
    <x v="0"/>
    <x v="8"/>
    <x v="16"/>
    <s v="PL_A"/>
    <x v="8"/>
    <s v="GNR_WT_WIND_ONS"/>
    <x v="0"/>
    <x v="0"/>
    <n v="209.95498743155599"/>
    <n v="76633.570412517802"/>
    <n v="275880.853485064"/>
  </r>
  <r>
    <x v="0"/>
    <x v="0"/>
    <x v="0"/>
    <x v="8"/>
    <x v="16"/>
    <s v="PL_A"/>
    <x v="8"/>
    <s v="GNR_WT_WIND_ONS"/>
    <x v="0"/>
    <x v="1"/>
    <n v="251.94598491786701"/>
    <n v="91960.284495021304"/>
    <n v="331057.02418207697"/>
  </r>
  <r>
    <x v="0"/>
    <x v="0"/>
    <x v="0"/>
    <x v="8"/>
    <x v="16"/>
    <s v="PL_A"/>
    <x v="8"/>
    <s v="GNR_WT_WIND_ONS"/>
    <x v="0"/>
    <x v="2"/>
    <n v="245.947270991251"/>
    <n v="89770.753911806503"/>
    <n v="323174.71408250398"/>
  </r>
  <r>
    <x v="0"/>
    <x v="0"/>
    <x v="0"/>
    <x v="8"/>
    <x v="16"/>
    <s v="PL_A"/>
    <x v="8"/>
    <s v="GNR_WT_WIND_ONS"/>
    <x v="0"/>
    <x v="3"/>
    <n v="230.95048617471099"/>
    <n v="84296.927453769604"/>
    <n v="303468.93883356999"/>
  </r>
  <r>
    <x v="0"/>
    <x v="0"/>
    <x v="0"/>
    <x v="8"/>
    <x v="16"/>
    <s v="PL_A"/>
    <x v="8"/>
    <s v="GNR_WT_WIND_ONS"/>
    <x v="0"/>
    <x v="18"/>
    <n v="170.96334690855201"/>
    <n v="62401.621621621598"/>
    <n v="224645.83783783799"/>
  </r>
  <r>
    <x v="0"/>
    <x v="0"/>
    <x v="0"/>
    <x v="8"/>
    <x v="16"/>
    <s v="PL_A"/>
    <x v="8"/>
    <s v="GNR_WT_WIND_ONS"/>
    <x v="0"/>
    <x v="4"/>
    <n v="98.978779789161905"/>
    <n v="36127.2546230441"/>
    <n v="130058.11664295899"/>
  </r>
  <r>
    <x v="0"/>
    <x v="0"/>
    <x v="0"/>
    <x v="8"/>
    <x v="16"/>
    <s v="PL_A"/>
    <x v="8"/>
    <s v="GNR_WT_WIND_ONS"/>
    <x v="0"/>
    <x v="5"/>
    <n v="20.995498743155601"/>
    <n v="7663.3570412517802"/>
    <n v="27588.0853485064"/>
  </r>
  <r>
    <x v="0"/>
    <x v="0"/>
    <x v="0"/>
    <x v="8"/>
    <x v="16"/>
    <s v="PL_A"/>
    <x v="8"/>
    <s v="GNR_WT_WIND_ONS"/>
    <x v="0"/>
    <x v="6"/>
    <n v="14.9967848165397"/>
    <n v="5473.8264580369796"/>
    <n v="19705.7752489331"/>
  </r>
  <r>
    <x v="0"/>
    <x v="0"/>
    <x v="0"/>
    <x v="8"/>
    <x v="16"/>
    <s v="PL_A"/>
    <x v="8"/>
    <s v="GNR_WT_WIND_ONS"/>
    <x v="0"/>
    <x v="7"/>
    <n v="20.995498743155601"/>
    <n v="7663.3570412517802"/>
    <n v="27588.0853485064"/>
  </r>
  <r>
    <x v="0"/>
    <x v="0"/>
    <x v="0"/>
    <x v="8"/>
    <x v="16"/>
    <s v="PL_A"/>
    <x v="8"/>
    <s v="GNR_WT_WIND_ONS"/>
    <x v="0"/>
    <x v="8"/>
    <n v="98.978779789161905"/>
    <n v="36127.2546230441"/>
    <n v="130058.11664295899"/>
  </r>
  <r>
    <x v="0"/>
    <x v="0"/>
    <x v="0"/>
    <x v="8"/>
    <x v="16"/>
    <s v="PL_A"/>
    <x v="8"/>
    <s v="GNR_WT_WIND_ONS"/>
    <x v="0"/>
    <x v="9"/>
    <n v="230.95048617471099"/>
    <n v="84296.927453769604"/>
    <n v="303468.93883356999"/>
  </r>
  <r>
    <x v="0"/>
    <x v="0"/>
    <x v="0"/>
    <x v="8"/>
    <x v="16"/>
    <s v="PL_A"/>
    <x v="8"/>
    <s v="GNR_WT_WIND_ONS"/>
    <x v="0"/>
    <x v="10"/>
    <n v="356.92347863364398"/>
    <n v="130277.06970127999"/>
    <n v="468997.45092460897"/>
  </r>
  <r>
    <x v="0"/>
    <x v="0"/>
    <x v="0"/>
    <x v="8"/>
    <x v="16"/>
    <s v="PL_A"/>
    <x v="8"/>
    <s v="GNR_WT_WIND_ONS"/>
    <x v="0"/>
    <x v="11"/>
    <n v="413.91126093649501"/>
    <n v="151077.61024182101"/>
    <n v="543879.39687055501"/>
  </r>
  <r>
    <x v="0"/>
    <x v="0"/>
    <x v="0"/>
    <x v="8"/>
    <x v="16"/>
    <s v="PL_A"/>
    <x v="8"/>
    <s v="GNR_WT_WIND_ONS"/>
    <x v="0"/>
    <x v="12"/>
    <n v="473.89840020265399"/>
    <n v="172972.91607396901"/>
    <n v="622702.49786628701"/>
  </r>
  <r>
    <x v="0"/>
    <x v="0"/>
    <x v="0"/>
    <x v="8"/>
    <x v="16"/>
    <s v="PL_A"/>
    <x v="8"/>
    <s v="GNR_WT_WIND_ONS"/>
    <x v="0"/>
    <x v="13"/>
    <n v="473.89840020265399"/>
    <n v="172972.91607396901"/>
    <n v="622702.49786628701"/>
  </r>
  <r>
    <x v="0"/>
    <x v="0"/>
    <x v="0"/>
    <x v="8"/>
    <x v="16"/>
    <s v="PL_A"/>
    <x v="8"/>
    <s v="GNR_WT_WIND_ONS"/>
    <x v="0"/>
    <x v="14"/>
    <n v="749.839240826984"/>
    <n v="273691.32290184899"/>
    <n v="985288.76244665706"/>
  </r>
  <r>
    <x v="0"/>
    <x v="0"/>
    <x v="0"/>
    <x v="8"/>
    <x v="16"/>
    <s v="PL_A"/>
    <x v="8"/>
    <s v="GNR_WT_WIND_ONS"/>
    <x v="0"/>
    <x v="15"/>
    <n v="968.79229914846303"/>
    <n v="353609.189189189"/>
    <n v="1272993.08108108"/>
  </r>
  <r>
    <x v="0"/>
    <x v="0"/>
    <x v="0"/>
    <x v="8"/>
    <x v="16"/>
    <s v="PL_A"/>
    <x v="8"/>
    <s v="GNR_WT_WIND_ONS"/>
    <x v="0"/>
    <x v="16"/>
    <n v="956.79487129523204"/>
    <n v="349230.12802275998"/>
    <n v="1257228.4608819301"/>
  </r>
  <r>
    <x v="0"/>
    <x v="0"/>
    <x v="0"/>
    <x v="8"/>
    <x v="16"/>
    <s v="PL_A"/>
    <x v="8"/>
    <s v="GNR_WT_WIND_ONS"/>
    <x v="0"/>
    <x v="17"/>
    <n v="1307.7196360022599"/>
    <n v="477317.66714082501"/>
    <n v="1718343.60170697"/>
  </r>
  <r>
    <x v="0"/>
    <x v="0"/>
    <x v="0"/>
    <x v="8"/>
    <x v="16"/>
    <s v="PL_A"/>
    <x v="8"/>
    <s v="GNR_WT_WIND_ONS"/>
    <x v="0"/>
    <x v="19"/>
    <n v="1946.5826691868499"/>
    <n v="710502.674253201"/>
    <n v="2557809.6273115198"/>
  </r>
  <r>
    <x v="0"/>
    <x v="0"/>
    <x v="0"/>
    <x v="8"/>
    <x v="16"/>
    <s v="PL_A"/>
    <x v="8"/>
    <s v="GNR_WT_WIND_ONS"/>
    <x v="0"/>
    <x v="20"/>
    <n v="2255.5164364075699"/>
    <n v="823263.49928876304"/>
    <n v="2963748.5974395499"/>
  </r>
  <r>
    <x v="0"/>
    <x v="0"/>
    <x v="0"/>
    <x v="8"/>
    <x v="16"/>
    <s v="PL_A"/>
    <x v="8"/>
    <s v="GNR_WT_WIND_ONS"/>
    <x v="0"/>
    <x v="21"/>
    <n v="2432.4784972427401"/>
    <n v="887854.65149359906"/>
    <n v="3196276.7453769599"/>
  </r>
  <r>
    <x v="0"/>
    <x v="0"/>
    <x v="0"/>
    <x v="8"/>
    <x v="16"/>
    <s v="PL_A"/>
    <x v="8"/>
    <s v="GNR_WT_WIND_ONS"/>
    <x v="0"/>
    <x v="22"/>
    <n v="2471.4701377657402"/>
    <n v="902086.60028449504"/>
    <n v="3247511.7610241799"/>
  </r>
  <r>
    <x v="0"/>
    <x v="0"/>
    <x v="0"/>
    <x v="8"/>
    <x v="16"/>
    <s v="PL_A"/>
    <x v="8"/>
    <s v="GNR_WT_WIND_ONS"/>
    <x v="0"/>
    <x v="23"/>
    <n v="2573.4482745182099"/>
    <n v="939308.62019914598"/>
    <n v="3381511.0327169299"/>
  </r>
  <r>
    <x v="0"/>
    <x v="0"/>
    <x v="0"/>
    <x v="8"/>
    <x v="16"/>
    <s v="PL_Rural"/>
    <x v="0"/>
    <s v="DOLN-2_ST_COAL_CND"/>
    <x v="0"/>
    <x v="4"/>
    <n v="96.551702042426399"/>
    <n v="35241.3712454856"/>
    <n v="126868.936483748"/>
  </r>
  <r>
    <x v="0"/>
    <x v="0"/>
    <x v="0"/>
    <x v="8"/>
    <x v="16"/>
    <s v="PL_Rural"/>
    <x v="0"/>
    <s v="DOLN-2_ST_COAL_CND"/>
    <x v="0"/>
    <x v="5"/>
    <n v="4071.4285714285702"/>
    <n v="1486071.42857143"/>
    <n v="5349857.1428571399"/>
  </r>
  <r>
    <x v="0"/>
    <x v="0"/>
    <x v="0"/>
    <x v="8"/>
    <x v="16"/>
    <s v="PL_Rural"/>
    <x v="0"/>
    <s v="DOLN-2_ST_COAL_CND"/>
    <x v="0"/>
    <x v="6"/>
    <n v="4071.4285714285702"/>
    <n v="1486071.42857143"/>
    <n v="5349857.1428571399"/>
  </r>
  <r>
    <x v="0"/>
    <x v="0"/>
    <x v="0"/>
    <x v="8"/>
    <x v="16"/>
    <s v="PL_Rural"/>
    <x v="0"/>
    <s v="DOLN-2_ST_COAL_CND"/>
    <x v="0"/>
    <x v="7"/>
    <n v="4071.4285714285702"/>
    <n v="1486071.42857143"/>
    <n v="5349857.1428571399"/>
  </r>
  <r>
    <x v="0"/>
    <x v="0"/>
    <x v="0"/>
    <x v="8"/>
    <x v="16"/>
    <s v="PL_Rural"/>
    <x v="0"/>
    <s v="DOLN-2_ST_COAL_CND"/>
    <x v="0"/>
    <x v="8"/>
    <n v="4071.4285714285702"/>
    <n v="1486071.42857143"/>
    <n v="5349857.1428571399"/>
  </r>
  <r>
    <x v="0"/>
    <x v="0"/>
    <x v="0"/>
    <x v="8"/>
    <x v="16"/>
    <s v="PL_Rural"/>
    <x v="0"/>
    <s v="DOLN-2_ST_COAL_CND"/>
    <x v="0"/>
    <x v="9"/>
    <n v="4071.4285714285702"/>
    <n v="1486071.42857143"/>
    <n v="5349857.1428571399"/>
  </r>
  <r>
    <x v="0"/>
    <x v="0"/>
    <x v="0"/>
    <x v="8"/>
    <x v="16"/>
    <s v="PL_Rural"/>
    <x v="0"/>
    <s v="DOLN-2_ST_COAL_CND"/>
    <x v="0"/>
    <x v="10"/>
    <n v="4071.4285714285702"/>
    <n v="1486071.42857143"/>
    <n v="5349857.1428571399"/>
  </r>
  <r>
    <x v="0"/>
    <x v="0"/>
    <x v="0"/>
    <x v="8"/>
    <x v="16"/>
    <s v="PL_Rural"/>
    <x v="0"/>
    <s v="DOLN-2_ST_COAL_CND"/>
    <x v="0"/>
    <x v="11"/>
    <n v="4071.4285714285702"/>
    <n v="1486071.42857143"/>
    <n v="5349857.1428571399"/>
  </r>
  <r>
    <x v="0"/>
    <x v="0"/>
    <x v="0"/>
    <x v="8"/>
    <x v="16"/>
    <s v="PL_Rural"/>
    <x v="0"/>
    <s v="DOLN-2_ST_COAL_CND"/>
    <x v="0"/>
    <x v="12"/>
    <n v="3773.83792447421"/>
    <n v="1377450.8424330901"/>
    <n v="4958823.0327591198"/>
  </r>
  <r>
    <x v="0"/>
    <x v="0"/>
    <x v="0"/>
    <x v="8"/>
    <x v="16"/>
    <s v="PL_Rural"/>
    <x v="0"/>
    <s v="DOLN-2_ST_COAL_CND"/>
    <x v="0"/>
    <x v="14"/>
    <n v="1750.32044492707"/>
    <n v="638866.96239838202"/>
    <n v="2299921.0646341802"/>
  </r>
  <r>
    <x v="0"/>
    <x v="0"/>
    <x v="0"/>
    <x v="8"/>
    <x v="16"/>
    <s v="PL_Rural"/>
    <x v="0"/>
    <s v="DOLN-2_ST_COAL_CND"/>
    <x v="0"/>
    <x v="15"/>
    <n v="4071.4285714285702"/>
    <n v="1486071.42857143"/>
    <n v="5349857.1428571399"/>
  </r>
  <r>
    <x v="0"/>
    <x v="0"/>
    <x v="0"/>
    <x v="8"/>
    <x v="16"/>
    <s v="PL_Rural"/>
    <x v="0"/>
    <s v="DOLN-2_ST_COAL_CND"/>
    <x v="0"/>
    <x v="16"/>
    <n v="4071.4285714285702"/>
    <n v="1486071.42857143"/>
    <n v="5349857.1428571399"/>
  </r>
  <r>
    <x v="0"/>
    <x v="0"/>
    <x v="0"/>
    <x v="8"/>
    <x v="16"/>
    <s v="PL_Rural"/>
    <x v="0"/>
    <s v="DOLN-2_ST_COAL_CND"/>
    <x v="0"/>
    <x v="17"/>
    <n v="3453.0530223350002"/>
    <n v="1260364.35315228"/>
    <n v="4537311.6713482002"/>
  </r>
  <r>
    <x v="0"/>
    <x v="0"/>
    <x v="0"/>
    <x v="8"/>
    <x v="16"/>
    <s v="PL_Rural"/>
    <x v="0"/>
    <s v="DOLN-2_ST_COAL_CND"/>
    <x v="0"/>
    <x v="19"/>
    <n v="4071.4285714285702"/>
    <n v="1486071.42857143"/>
    <n v="5349857.1428571399"/>
  </r>
  <r>
    <x v="0"/>
    <x v="0"/>
    <x v="0"/>
    <x v="8"/>
    <x v="16"/>
    <s v="PL_Rural"/>
    <x v="0"/>
    <s v="DOLN-2_ST_COAL_CND"/>
    <x v="0"/>
    <x v="21"/>
    <n v="4037.0466928671699"/>
    <n v="1473522.0428965201"/>
    <n v="5304679.3544274699"/>
  </r>
  <r>
    <x v="0"/>
    <x v="0"/>
    <x v="0"/>
    <x v="8"/>
    <x v="16"/>
    <s v="PL_Rural"/>
    <x v="0"/>
    <s v="KOZI-2_ST_COAL_CND"/>
    <x v="0"/>
    <x v="6"/>
    <n v="7071.4285714285697"/>
    <n v="2581071.42857143"/>
    <n v="9291857.1428571399"/>
  </r>
  <r>
    <x v="0"/>
    <x v="0"/>
    <x v="0"/>
    <x v="8"/>
    <x v="16"/>
    <s v="PL_Rural"/>
    <x v="0"/>
    <s v="KOZI-2_ST_COAL_CND"/>
    <x v="0"/>
    <x v="7"/>
    <n v="6005.9215168167302"/>
    <n v="2192161.3536381102"/>
    <n v="7891780.8730971804"/>
  </r>
  <r>
    <x v="0"/>
    <x v="0"/>
    <x v="0"/>
    <x v="8"/>
    <x v="16"/>
    <s v="PL_Rural"/>
    <x v="0"/>
    <s v="KOZI-2_ST_COAL_CND"/>
    <x v="0"/>
    <x v="8"/>
    <n v="6119.69520850135"/>
    <n v="2233688.75110299"/>
    <n v="8041279.5039707804"/>
  </r>
  <r>
    <x v="0"/>
    <x v="0"/>
    <x v="0"/>
    <x v="8"/>
    <x v="16"/>
    <s v="PL_Rural"/>
    <x v="0"/>
    <s v="KOZI-2_ST_COAL_CND"/>
    <x v="0"/>
    <x v="9"/>
    <n v="7071.4285714285697"/>
    <n v="2581071.42857143"/>
    <n v="9291857.1428571399"/>
  </r>
  <r>
    <x v="0"/>
    <x v="0"/>
    <x v="0"/>
    <x v="8"/>
    <x v="16"/>
    <s v="PL_Rural"/>
    <x v="0"/>
    <s v="KOZI-2_ST_COAL_CND"/>
    <x v="0"/>
    <x v="10"/>
    <n v="7071.4285714285697"/>
    <n v="2581071.42857143"/>
    <n v="9291857.1428571399"/>
  </r>
  <r>
    <x v="0"/>
    <x v="0"/>
    <x v="0"/>
    <x v="8"/>
    <x v="16"/>
    <s v="PL_Rural"/>
    <x v="0"/>
    <s v="KOZI-2_ST_COAL_CND"/>
    <x v="0"/>
    <x v="11"/>
    <n v="7071.4285714285697"/>
    <n v="2581071.42857143"/>
    <n v="9291857.1428571399"/>
  </r>
  <r>
    <x v="0"/>
    <x v="0"/>
    <x v="0"/>
    <x v="8"/>
    <x v="16"/>
    <s v="PL_Rural"/>
    <x v="0"/>
    <s v="KOZI-2_ST_COAL_CND"/>
    <x v="0"/>
    <x v="13"/>
    <n v="7071.4285714285697"/>
    <n v="2581071.42857143"/>
    <n v="9291857.1428571399"/>
  </r>
  <r>
    <x v="0"/>
    <x v="0"/>
    <x v="0"/>
    <x v="8"/>
    <x v="16"/>
    <s v="PL_Rural"/>
    <x v="0"/>
    <s v="KOZI-2_ST_COAL_CND"/>
    <x v="0"/>
    <x v="14"/>
    <n v="7071.4285714285697"/>
    <n v="2581071.42857143"/>
    <n v="9291857.1428571399"/>
  </r>
  <r>
    <x v="0"/>
    <x v="0"/>
    <x v="0"/>
    <x v="8"/>
    <x v="16"/>
    <s v="PL_Rural"/>
    <x v="0"/>
    <s v="KOZI-2_ST_COAL_CND"/>
    <x v="0"/>
    <x v="15"/>
    <n v="6340.1359230381804"/>
    <n v="2314149.6119089401"/>
    <n v="8330938.6028721696"/>
  </r>
  <r>
    <x v="0"/>
    <x v="0"/>
    <x v="0"/>
    <x v="8"/>
    <x v="16"/>
    <s v="PL_Rural"/>
    <x v="0"/>
    <s v="KOZI-2_ST_COAL_CND"/>
    <x v="0"/>
    <x v="16"/>
    <n v="7071.4285714285697"/>
    <n v="2581071.42857143"/>
    <n v="9291857.1428571399"/>
  </r>
  <r>
    <x v="0"/>
    <x v="0"/>
    <x v="0"/>
    <x v="8"/>
    <x v="16"/>
    <s v="PL_Rural"/>
    <x v="0"/>
    <s v="KOZI-2_ST_COAL_CND"/>
    <x v="0"/>
    <x v="17"/>
    <n v="7071.4285714285697"/>
    <n v="2581071.42857143"/>
    <n v="9291857.1428571399"/>
  </r>
  <r>
    <x v="0"/>
    <x v="0"/>
    <x v="0"/>
    <x v="8"/>
    <x v="16"/>
    <s v="PL_Rural"/>
    <x v="0"/>
    <s v="KOZI-2_ST_COAL_CND"/>
    <x v="0"/>
    <x v="19"/>
    <n v="7071.4285714285697"/>
    <n v="2581071.42857143"/>
    <n v="9291857.1428571399"/>
  </r>
  <r>
    <x v="0"/>
    <x v="0"/>
    <x v="0"/>
    <x v="8"/>
    <x v="16"/>
    <s v="PL_Rural"/>
    <x v="0"/>
    <s v="KOZI-2_ST_COAL_CND"/>
    <x v="0"/>
    <x v="20"/>
    <n v="7071.4285714285697"/>
    <n v="2581071.42857143"/>
    <n v="9291857.1428571399"/>
  </r>
  <r>
    <x v="0"/>
    <x v="0"/>
    <x v="0"/>
    <x v="8"/>
    <x v="16"/>
    <s v="PL_Rural"/>
    <x v="0"/>
    <s v="LAGI-6_ST_COAL_CND"/>
    <x v="0"/>
    <x v="0"/>
    <n v="948.88888888888903"/>
    <n v="346344.44444444397"/>
    <n v="1246840"/>
  </r>
  <r>
    <x v="0"/>
    <x v="0"/>
    <x v="0"/>
    <x v="8"/>
    <x v="16"/>
    <s v="PL_Rural"/>
    <x v="0"/>
    <s v="LAGI-6_ST_COAL_CND"/>
    <x v="0"/>
    <x v="1"/>
    <n v="948.88888888888903"/>
    <n v="346344.44444444397"/>
    <n v="1246840"/>
  </r>
  <r>
    <x v="0"/>
    <x v="0"/>
    <x v="0"/>
    <x v="8"/>
    <x v="16"/>
    <s v="PL_Rural"/>
    <x v="0"/>
    <s v="LAGI-6_ST_COAL_CND"/>
    <x v="0"/>
    <x v="2"/>
    <n v="948.88888888888903"/>
    <n v="346344.44444444397"/>
    <n v="1246840"/>
  </r>
  <r>
    <x v="0"/>
    <x v="0"/>
    <x v="0"/>
    <x v="8"/>
    <x v="16"/>
    <s v="PL_Rural"/>
    <x v="0"/>
    <s v="LAGI-6_ST_COAL_CND"/>
    <x v="0"/>
    <x v="3"/>
    <n v="948.88888888888903"/>
    <n v="346344.44444444397"/>
    <n v="1246840"/>
  </r>
  <r>
    <x v="0"/>
    <x v="0"/>
    <x v="0"/>
    <x v="8"/>
    <x v="16"/>
    <s v="PL_Rural"/>
    <x v="0"/>
    <s v="LAGI-6_ST_COAL_CND"/>
    <x v="0"/>
    <x v="18"/>
    <n v="948.88888888888903"/>
    <n v="346344.44444444397"/>
    <n v="1246840"/>
  </r>
  <r>
    <x v="0"/>
    <x v="0"/>
    <x v="0"/>
    <x v="8"/>
    <x v="16"/>
    <s v="PL_Rural"/>
    <x v="0"/>
    <s v="LAGI-6_ST_COAL_CND"/>
    <x v="0"/>
    <x v="4"/>
    <n v="948.88888888888903"/>
    <n v="346344.44444444397"/>
    <n v="1246840"/>
  </r>
  <r>
    <x v="0"/>
    <x v="0"/>
    <x v="0"/>
    <x v="8"/>
    <x v="16"/>
    <s v="PL_Rural"/>
    <x v="0"/>
    <s v="LAGI-6_ST_COAL_CND"/>
    <x v="0"/>
    <x v="5"/>
    <n v="948.88888888888903"/>
    <n v="346344.44444444397"/>
    <n v="1246840"/>
  </r>
  <r>
    <x v="0"/>
    <x v="0"/>
    <x v="0"/>
    <x v="8"/>
    <x v="16"/>
    <s v="PL_Rural"/>
    <x v="0"/>
    <s v="LAGI-6_ST_COAL_CND"/>
    <x v="0"/>
    <x v="6"/>
    <n v="948.88888888888903"/>
    <n v="346344.44444444397"/>
    <n v="1246840"/>
  </r>
  <r>
    <x v="0"/>
    <x v="0"/>
    <x v="0"/>
    <x v="8"/>
    <x v="16"/>
    <s v="PL_Rural"/>
    <x v="0"/>
    <s v="LAGI-6_ST_COAL_CND"/>
    <x v="0"/>
    <x v="7"/>
    <n v="948.88888888888903"/>
    <n v="346344.44444444397"/>
    <n v="1246840"/>
  </r>
  <r>
    <x v="0"/>
    <x v="0"/>
    <x v="0"/>
    <x v="8"/>
    <x v="16"/>
    <s v="PL_Rural"/>
    <x v="0"/>
    <s v="LAGI-6_ST_COAL_CND"/>
    <x v="0"/>
    <x v="8"/>
    <n v="948.88888888888903"/>
    <n v="346344.44444444397"/>
    <n v="1246840"/>
  </r>
  <r>
    <x v="0"/>
    <x v="0"/>
    <x v="0"/>
    <x v="8"/>
    <x v="16"/>
    <s v="PL_Rural"/>
    <x v="0"/>
    <s v="LAGI-6_ST_COAL_CND"/>
    <x v="0"/>
    <x v="9"/>
    <n v="948.88888888888903"/>
    <n v="346344.44444444397"/>
    <n v="1246840"/>
  </r>
  <r>
    <x v="0"/>
    <x v="0"/>
    <x v="0"/>
    <x v="8"/>
    <x v="16"/>
    <s v="PL_Rural"/>
    <x v="0"/>
    <s v="LAGI-6_ST_COAL_CND"/>
    <x v="0"/>
    <x v="10"/>
    <n v="948.88888888888903"/>
    <n v="346344.44444444397"/>
    <n v="1246840"/>
  </r>
  <r>
    <x v="0"/>
    <x v="0"/>
    <x v="0"/>
    <x v="8"/>
    <x v="16"/>
    <s v="PL_Rural"/>
    <x v="0"/>
    <s v="LAGI-6_ST_COAL_CND"/>
    <x v="0"/>
    <x v="11"/>
    <n v="948.88888888888903"/>
    <n v="346344.44444444397"/>
    <n v="1246840"/>
  </r>
  <r>
    <x v="0"/>
    <x v="0"/>
    <x v="0"/>
    <x v="8"/>
    <x v="16"/>
    <s v="PL_Rural"/>
    <x v="0"/>
    <s v="LAGI-6_ST_COAL_CND"/>
    <x v="0"/>
    <x v="12"/>
    <n v="948.88888888888903"/>
    <n v="346344.44444444397"/>
    <n v="1246840"/>
  </r>
  <r>
    <x v="0"/>
    <x v="0"/>
    <x v="0"/>
    <x v="8"/>
    <x v="16"/>
    <s v="PL_Rural"/>
    <x v="0"/>
    <s v="LAGI-6_ST_COAL_CND"/>
    <x v="0"/>
    <x v="13"/>
    <n v="948.88888888888903"/>
    <n v="346344.44444444397"/>
    <n v="1246840"/>
  </r>
  <r>
    <x v="0"/>
    <x v="0"/>
    <x v="0"/>
    <x v="8"/>
    <x v="16"/>
    <s v="PL_Rural"/>
    <x v="0"/>
    <s v="LAGI-6_ST_COAL_CND"/>
    <x v="0"/>
    <x v="14"/>
    <n v="948.88888888888903"/>
    <n v="346344.44444444397"/>
    <n v="1246840"/>
  </r>
  <r>
    <x v="0"/>
    <x v="0"/>
    <x v="0"/>
    <x v="8"/>
    <x v="16"/>
    <s v="PL_Rural"/>
    <x v="0"/>
    <s v="LAGI-6_ST_COAL_CND"/>
    <x v="0"/>
    <x v="15"/>
    <n v="948.88888888888903"/>
    <n v="346344.44444444397"/>
    <n v="1246840"/>
  </r>
  <r>
    <x v="0"/>
    <x v="0"/>
    <x v="0"/>
    <x v="8"/>
    <x v="16"/>
    <s v="PL_Rural"/>
    <x v="0"/>
    <s v="LAGI-6_ST_COAL_CND"/>
    <x v="0"/>
    <x v="16"/>
    <n v="948.88888888888903"/>
    <n v="346344.44444444397"/>
    <n v="1246840"/>
  </r>
  <r>
    <x v="0"/>
    <x v="0"/>
    <x v="0"/>
    <x v="8"/>
    <x v="16"/>
    <s v="PL_Rural"/>
    <x v="0"/>
    <s v="LAGI-6_ST_COAL_CND"/>
    <x v="0"/>
    <x v="17"/>
    <n v="948.88888888888903"/>
    <n v="346344.44444444397"/>
    <n v="1246840"/>
  </r>
  <r>
    <x v="0"/>
    <x v="0"/>
    <x v="0"/>
    <x v="8"/>
    <x v="16"/>
    <s v="PL_Rural"/>
    <x v="0"/>
    <s v="LAGI-6_ST_COAL_CND"/>
    <x v="0"/>
    <x v="19"/>
    <n v="948.88888888888903"/>
    <n v="346344.44444444397"/>
    <n v="1246840"/>
  </r>
  <r>
    <x v="0"/>
    <x v="0"/>
    <x v="0"/>
    <x v="8"/>
    <x v="16"/>
    <s v="PL_Rural"/>
    <x v="0"/>
    <s v="LAGI-6_ST_COAL_CND"/>
    <x v="0"/>
    <x v="20"/>
    <n v="948.88888888888903"/>
    <n v="346344.44444444397"/>
    <n v="1246840"/>
  </r>
  <r>
    <x v="0"/>
    <x v="0"/>
    <x v="0"/>
    <x v="8"/>
    <x v="16"/>
    <s v="PL_Rural"/>
    <x v="0"/>
    <s v="LAGI-6_ST_COAL_CND"/>
    <x v="0"/>
    <x v="21"/>
    <n v="948.88888888888903"/>
    <n v="346344.44444444397"/>
    <n v="1246840"/>
  </r>
  <r>
    <x v="0"/>
    <x v="0"/>
    <x v="0"/>
    <x v="8"/>
    <x v="16"/>
    <s v="PL_Rural"/>
    <x v="0"/>
    <s v="LAGI-6_ST_COAL_CND"/>
    <x v="0"/>
    <x v="22"/>
    <n v="948.88888888888903"/>
    <n v="346344.44444444397"/>
    <n v="1246840"/>
  </r>
  <r>
    <x v="0"/>
    <x v="0"/>
    <x v="0"/>
    <x v="8"/>
    <x v="16"/>
    <s v="PL_Rural"/>
    <x v="0"/>
    <s v="LAGI-6_ST_COAL_CND"/>
    <x v="0"/>
    <x v="23"/>
    <n v="948.88888888888903"/>
    <n v="346344.44444444397"/>
    <n v="1246840"/>
  </r>
  <r>
    <x v="0"/>
    <x v="0"/>
    <x v="0"/>
    <x v="8"/>
    <x v="16"/>
    <s v="PL_Rural"/>
    <x v="0"/>
    <s v="OPOL-1_ST_COAL_CND"/>
    <x v="0"/>
    <x v="0"/>
    <n v="3550"/>
    <n v="1295750"/>
    <n v="4664700"/>
  </r>
  <r>
    <x v="0"/>
    <x v="0"/>
    <x v="0"/>
    <x v="8"/>
    <x v="16"/>
    <s v="PL_Rural"/>
    <x v="0"/>
    <s v="OPOL-1_ST_COAL_CND"/>
    <x v="0"/>
    <x v="1"/>
    <n v="3550"/>
    <n v="1295750"/>
    <n v="4664700"/>
  </r>
  <r>
    <x v="0"/>
    <x v="0"/>
    <x v="0"/>
    <x v="8"/>
    <x v="16"/>
    <s v="PL_Rural"/>
    <x v="0"/>
    <s v="OPOL-1_ST_COAL_CND"/>
    <x v="0"/>
    <x v="2"/>
    <n v="3550"/>
    <n v="1295750"/>
    <n v="4664700"/>
  </r>
  <r>
    <x v="0"/>
    <x v="0"/>
    <x v="0"/>
    <x v="8"/>
    <x v="16"/>
    <s v="PL_Rural"/>
    <x v="0"/>
    <s v="OPOL-1_ST_COAL_CND"/>
    <x v="0"/>
    <x v="3"/>
    <n v="3550"/>
    <n v="1295750"/>
    <n v="4664700"/>
  </r>
  <r>
    <x v="0"/>
    <x v="0"/>
    <x v="0"/>
    <x v="8"/>
    <x v="16"/>
    <s v="PL_Rural"/>
    <x v="0"/>
    <s v="OPOL-1_ST_COAL_CND"/>
    <x v="0"/>
    <x v="18"/>
    <n v="3550"/>
    <n v="1295750"/>
    <n v="4664700"/>
  </r>
  <r>
    <x v="0"/>
    <x v="0"/>
    <x v="0"/>
    <x v="8"/>
    <x v="16"/>
    <s v="PL_Rural"/>
    <x v="0"/>
    <s v="OPOL-1_ST_COAL_CND"/>
    <x v="0"/>
    <x v="4"/>
    <n v="3550"/>
    <n v="1295750"/>
    <n v="4664700"/>
  </r>
  <r>
    <x v="0"/>
    <x v="0"/>
    <x v="0"/>
    <x v="8"/>
    <x v="16"/>
    <s v="PL_Rural"/>
    <x v="0"/>
    <s v="OPOL-1_ST_COAL_CND"/>
    <x v="0"/>
    <x v="5"/>
    <n v="3550"/>
    <n v="1295750"/>
    <n v="4664700"/>
  </r>
  <r>
    <x v="0"/>
    <x v="0"/>
    <x v="0"/>
    <x v="8"/>
    <x v="16"/>
    <s v="PL_Rural"/>
    <x v="0"/>
    <s v="OPOL-1_ST_COAL_CND"/>
    <x v="0"/>
    <x v="6"/>
    <n v="3550"/>
    <n v="1295750"/>
    <n v="4664700"/>
  </r>
  <r>
    <x v="0"/>
    <x v="0"/>
    <x v="0"/>
    <x v="8"/>
    <x v="16"/>
    <s v="PL_Rural"/>
    <x v="0"/>
    <s v="OPOL-1_ST_COAL_CND"/>
    <x v="0"/>
    <x v="7"/>
    <n v="3550"/>
    <n v="1295750"/>
    <n v="4664700"/>
  </r>
  <r>
    <x v="0"/>
    <x v="0"/>
    <x v="0"/>
    <x v="8"/>
    <x v="16"/>
    <s v="PL_Rural"/>
    <x v="0"/>
    <s v="OPOL-1_ST_COAL_CND"/>
    <x v="0"/>
    <x v="8"/>
    <n v="3550"/>
    <n v="1295750"/>
    <n v="4664700"/>
  </r>
  <r>
    <x v="0"/>
    <x v="0"/>
    <x v="0"/>
    <x v="8"/>
    <x v="16"/>
    <s v="PL_Rural"/>
    <x v="0"/>
    <s v="OPOL-1_ST_COAL_CND"/>
    <x v="0"/>
    <x v="9"/>
    <n v="3550"/>
    <n v="1295750"/>
    <n v="4664700"/>
  </r>
  <r>
    <x v="0"/>
    <x v="0"/>
    <x v="0"/>
    <x v="8"/>
    <x v="16"/>
    <s v="PL_Rural"/>
    <x v="0"/>
    <s v="OPOL-1_ST_COAL_CND"/>
    <x v="0"/>
    <x v="10"/>
    <n v="3550"/>
    <n v="1295750"/>
    <n v="4664700"/>
  </r>
  <r>
    <x v="0"/>
    <x v="0"/>
    <x v="0"/>
    <x v="8"/>
    <x v="16"/>
    <s v="PL_Rural"/>
    <x v="0"/>
    <s v="OPOL-1_ST_COAL_CND"/>
    <x v="0"/>
    <x v="11"/>
    <n v="3550"/>
    <n v="1295750"/>
    <n v="4664700"/>
  </r>
  <r>
    <x v="0"/>
    <x v="0"/>
    <x v="0"/>
    <x v="8"/>
    <x v="16"/>
    <s v="PL_Rural"/>
    <x v="0"/>
    <s v="OPOL-1_ST_COAL_CND"/>
    <x v="0"/>
    <x v="12"/>
    <n v="3550"/>
    <n v="1295750"/>
    <n v="4664700"/>
  </r>
  <r>
    <x v="0"/>
    <x v="0"/>
    <x v="0"/>
    <x v="8"/>
    <x v="16"/>
    <s v="PL_Rural"/>
    <x v="0"/>
    <s v="OPOL-1_ST_COAL_CND"/>
    <x v="0"/>
    <x v="13"/>
    <n v="3550"/>
    <n v="1295750"/>
    <n v="4664700"/>
  </r>
  <r>
    <x v="0"/>
    <x v="0"/>
    <x v="0"/>
    <x v="8"/>
    <x v="16"/>
    <s v="PL_Rural"/>
    <x v="0"/>
    <s v="OPOL-1_ST_COAL_CND"/>
    <x v="0"/>
    <x v="14"/>
    <n v="3550"/>
    <n v="1295750"/>
    <n v="4664700"/>
  </r>
  <r>
    <x v="0"/>
    <x v="0"/>
    <x v="0"/>
    <x v="8"/>
    <x v="16"/>
    <s v="PL_Rural"/>
    <x v="0"/>
    <s v="OPOL-1_ST_COAL_CND"/>
    <x v="0"/>
    <x v="15"/>
    <n v="3550"/>
    <n v="1295750"/>
    <n v="4664700"/>
  </r>
  <r>
    <x v="0"/>
    <x v="0"/>
    <x v="0"/>
    <x v="8"/>
    <x v="16"/>
    <s v="PL_Rural"/>
    <x v="0"/>
    <s v="OPOL-1_ST_COAL_CND"/>
    <x v="0"/>
    <x v="16"/>
    <n v="3550"/>
    <n v="1295750"/>
    <n v="4664700"/>
  </r>
  <r>
    <x v="0"/>
    <x v="0"/>
    <x v="0"/>
    <x v="8"/>
    <x v="16"/>
    <s v="PL_Rural"/>
    <x v="0"/>
    <s v="OPOL-1_ST_COAL_CND"/>
    <x v="0"/>
    <x v="17"/>
    <n v="3550"/>
    <n v="1295750"/>
    <n v="4664700"/>
  </r>
  <r>
    <x v="0"/>
    <x v="0"/>
    <x v="0"/>
    <x v="8"/>
    <x v="16"/>
    <s v="PL_Rural"/>
    <x v="0"/>
    <s v="OPOL-1_ST_COAL_CND"/>
    <x v="0"/>
    <x v="19"/>
    <n v="3550"/>
    <n v="1295750"/>
    <n v="4664700"/>
  </r>
  <r>
    <x v="0"/>
    <x v="0"/>
    <x v="0"/>
    <x v="8"/>
    <x v="16"/>
    <s v="PL_Rural"/>
    <x v="0"/>
    <s v="OPOL-1_ST_COAL_CND"/>
    <x v="0"/>
    <x v="20"/>
    <n v="3550"/>
    <n v="1295750"/>
    <n v="4664700"/>
  </r>
  <r>
    <x v="0"/>
    <x v="0"/>
    <x v="0"/>
    <x v="8"/>
    <x v="16"/>
    <s v="PL_Rural"/>
    <x v="0"/>
    <s v="OPOL-1_ST_COAL_CND"/>
    <x v="0"/>
    <x v="21"/>
    <n v="3550"/>
    <n v="1295750"/>
    <n v="4664700"/>
  </r>
  <r>
    <x v="0"/>
    <x v="0"/>
    <x v="0"/>
    <x v="8"/>
    <x v="16"/>
    <s v="PL_Rural"/>
    <x v="0"/>
    <s v="OPOL-1_ST_COAL_CND"/>
    <x v="0"/>
    <x v="22"/>
    <n v="3550"/>
    <n v="1295750"/>
    <n v="4664700"/>
  </r>
  <r>
    <x v="0"/>
    <x v="0"/>
    <x v="0"/>
    <x v="8"/>
    <x v="16"/>
    <s v="PL_Rural"/>
    <x v="0"/>
    <s v="OPOL-1_ST_COAL_CND"/>
    <x v="0"/>
    <x v="23"/>
    <n v="3550"/>
    <n v="1295750"/>
    <n v="4664700"/>
  </r>
  <r>
    <x v="0"/>
    <x v="0"/>
    <x v="0"/>
    <x v="8"/>
    <x v="16"/>
    <s v="PL_Rural"/>
    <x v="0"/>
    <s v="OSTRB-1_ST_COAL_CND"/>
    <x v="0"/>
    <x v="5"/>
    <n v="1965.7142857142901"/>
    <n v="717485.71428571397"/>
    <n v="2582948.57142857"/>
  </r>
  <r>
    <x v="0"/>
    <x v="0"/>
    <x v="0"/>
    <x v="8"/>
    <x v="16"/>
    <s v="PL_Rural"/>
    <x v="0"/>
    <s v="OSTRB-1_ST_COAL_CND"/>
    <x v="0"/>
    <x v="6"/>
    <n v="1965.7142857142901"/>
    <n v="717485.71428571397"/>
    <n v="2582948.57142857"/>
  </r>
  <r>
    <x v="0"/>
    <x v="0"/>
    <x v="0"/>
    <x v="8"/>
    <x v="16"/>
    <s v="PL_Rural"/>
    <x v="0"/>
    <s v="OSTRB-1_ST_COAL_CND"/>
    <x v="0"/>
    <x v="7"/>
    <n v="1965.7142857142901"/>
    <n v="717485.71428571397"/>
    <n v="2582948.57142857"/>
  </r>
  <r>
    <x v="0"/>
    <x v="0"/>
    <x v="0"/>
    <x v="8"/>
    <x v="16"/>
    <s v="PL_Rural"/>
    <x v="0"/>
    <s v="OSTRB-1_ST_COAL_CND"/>
    <x v="0"/>
    <x v="8"/>
    <n v="1965.7142857142901"/>
    <n v="717485.71428571397"/>
    <n v="2582948.57142857"/>
  </r>
  <r>
    <x v="0"/>
    <x v="0"/>
    <x v="0"/>
    <x v="8"/>
    <x v="16"/>
    <s v="PL_Rural"/>
    <x v="0"/>
    <s v="OSTRB-1_ST_COAL_CND"/>
    <x v="0"/>
    <x v="9"/>
    <n v="1965.7142857142901"/>
    <n v="717485.71428571397"/>
    <n v="2582948.57142857"/>
  </r>
  <r>
    <x v="0"/>
    <x v="0"/>
    <x v="0"/>
    <x v="8"/>
    <x v="16"/>
    <s v="PL_Rural"/>
    <x v="0"/>
    <s v="OSTRB-1_ST_COAL_CND"/>
    <x v="0"/>
    <x v="10"/>
    <n v="1965.7142857142901"/>
    <n v="717485.71428571397"/>
    <n v="2582948.57142857"/>
  </r>
  <r>
    <x v="0"/>
    <x v="0"/>
    <x v="0"/>
    <x v="8"/>
    <x v="16"/>
    <s v="PL_Rural"/>
    <x v="0"/>
    <s v="OSTRB-1_ST_COAL_CND"/>
    <x v="0"/>
    <x v="11"/>
    <n v="1965.7142857142901"/>
    <n v="717485.71428571397"/>
    <n v="2582948.57142857"/>
  </r>
  <r>
    <x v="0"/>
    <x v="0"/>
    <x v="0"/>
    <x v="8"/>
    <x v="16"/>
    <s v="PL_Rural"/>
    <x v="0"/>
    <s v="OSTRB-1_ST_COAL_CND"/>
    <x v="0"/>
    <x v="12"/>
    <n v="1965.7142857142901"/>
    <n v="717485.71428571397"/>
    <n v="2582948.57142857"/>
  </r>
  <r>
    <x v="0"/>
    <x v="0"/>
    <x v="0"/>
    <x v="8"/>
    <x v="16"/>
    <s v="PL_Rural"/>
    <x v="0"/>
    <s v="OSTRB-1_ST_COAL_CND"/>
    <x v="0"/>
    <x v="13"/>
    <n v="1965.7142857142901"/>
    <n v="717485.71428571397"/>
    <n v="2582948.57142857"/>
  </r>
  <r>
    <x v="0"/>
    <x v="0"/>
    <x v="0"/>
    <x v="8"/>
    <x v="16"/>
    <s v="PL_Rural"/>
    <x v="0"/>
    <s v="OSTRB-1_ST_COAL_CND"/>
    <x v="0"/>
    <x v="15"/>
    <n v="1965.7142857142901"/>
    <n v="717485.71428571397"/>
    <n v="2582948.57142857"/>
  </r>
  <r>
    <x v="0"/>
    <x v="0"/>
    <x v="0"/>
    <x v="8"/>
    <x v="16"/>
    <s v="PL_Rural"/>
    <x v="0"/>
    <s v="OSTRB-1_ST_COAL_CND"/>
    <x v="0"/>
    <x v="16"/>
    <n v="1965.7142857142901"/>
    <n v="717485.71428571397"/>
    <n v="2582948.57142857"/>
  </r>
  <r>
    <x v="0"/>
    <x v="0"/>
    <x v="0"/>
    <x v="8"/>
    <x v="16"/>
    <s v="PL_Rural"/>
    <x v="0"/>
    <s v="OSTRB-1_ST_COAL_CND"/>
    <x v="0"/>
    <x v="19"/>
    <n v="1965.7142857142901"/>
    <n v="717485.71428571397"/>
    <n v="2582948.57142857"/>
  </r>
  <r>
    <x v="0"/>
    <x v="0"/>
    <x v="0"/>
    <x v="8"/>
    <x v="16"/>
    <s v="PL_Rural"/>
    <x v="0"/>
    <s v="OSTRB-1_ST_COAL_CND"/>
    <x v="0"/>
    <x v="20"/>
    <n v="1965.7142857142901"/>
    <n v="717485.71428571397"/>
    <n v="2582948.57142857"/>
  </r>
  <r>
    <x v="0"/>
    <x v="0"/>
    <x v="0"/>
    <x v="8"/>
    <x v="16"/>
    <s v="PL_Rural"/>
    <x v="0"/>
    <s v="OSTRB-1_ST_COAL_CND"/>
    <x v="0"/>
    <x v="21"/>
    <n v="1965.7142857142901"/>
    <n v="717485.71428571397"/>
    <n v="2582948.57142857"/>
  </r>
  <r>
    <x v="0"/>
    <x v="0"/>
    <x v="0"/>
    <x v="8"/>
    <x v="16"/>
    <s v="PL_Rural"/>
    <x v="0"/>
    <s v="POLA-2_ST_COAL_CND"/>
    <x v="0"/>
    <x v="0"/>
    <n v="1329.01317145537"/>
    <n v="485089.807581209"/>
    <n v="1746323.3072923501"/>
  </r>
  <r>
    <x v="0"/>
    <x v="0"/>
    <x v="0"/>
    <x v="8"/>
    <x v="16"/>
    <s v="PL_Rural"/>
    <x v="0"/>
    <s v="POLA-2_ST_COAL_CND"/>
    <x v="0"/>
    <x v="3"/>
    <n v="215.00948781496601"/>
    <n v="78478.463052462394"/>
    <n v="282522.466988865"/>
  </r>
  <r>
    <x v="0"/>
    <x v="0"/>
    <x v="0"/>
    <x v="8"/>
    <x v="16"/>
    <s v="PL_Rural"/>
    <x v="0"/>
    <s v="POLA-2_ST_COAL_CND"/>
    <x v="0"/>
    <x v="18"/>
    <n v="1826.4477435599999"/>
    <n v="666653.42639940197"/>
    <n v="2399952.3350378498"/>
  </r>
  <r>
    <x v="0"/>
    <x v="0"/>
    <x v="0"/>
    <x v="8"/>
    <x v="16"/>
    <s v="PL_Rural"/>
    <x v="0"/>
    <s v="POLA-2_ST_COAL_CND"/>
    <x v="0"/>
    <x v="4"/>
    <n v="4357.8947368421104"/>
    <n v="1590631.5789473699"/>
    <n v="5726273.6842105296"/>
  </r>
  <r>
    <x v="0"/>
    <x v="0"/>
    <x v="0"/>
    <x v="8"/>
    <x v="16"/>
    <s v="PL_Rural"/>
    <x v="0"/>
    <s v="POLA-2_ST_COAL_CND"/>
    <x v="0"/>
    <x v="5"/>
    <n v="4357.8947368421104"/>
    <n v="1590631.5789473699"/>
    <n v="5726273.6842105296"/>
  </r>
  <r>
    <x v="0"/>
    <x v="0"/>
    <x v="0"/>
    <x v="8"/>
    <x v="16"/>
    <s v="PL_Rural"/>
    <x v="0"/>
    <s v="POLA-2_ST_COAL_CND"/>
    <x v="0"/>
    <x v="6"/>
    <n v="4357.8947368421104"/>
    <n v="1590631.5789473699"/>
    <n v="5726273.6842105296"/>
  </r>
  <r>
    <x v="0"/>
    <x v="0"/>
    <x v="0"/>
    <x v="8"/>
    <x v="16"/>
    <s v="PL_Rural"/>
    <x v="0"/>
    <s v="POLA-2_ST_COAL_CND"/>
    <x v="0"/>
    <x v="7"/>
    <n v="4357.8947368421104"/>
    <n v="1590631.5789473699"/>
    <n v="5726273.6842105296"/>
  </r>
  <r>
    <x v="0"/>
    <x v="0"/>
    <x v="0"/>
    <x v="8"/>
    <x v="16"/>
    <s v="PL_Rural"/>
    <x v="0"/>
    <s v="POLA-2_ST_COAL_CND"/>
    <x v="0"/>
    <x v="8"/>
    <n v="4357.8947368421104"/>
    <n v="1590631.5789473699"/>
    <n v="5726273.6842105296"/>
  </r>
  <r>
    <x v="0"/>
    <x v="0"/>
    <x v="0"/>
    <x v="8"/>
    <x v="16"/>
    <s v="PL_Rural"/>
    <x v="0"/>
    <s v="POLA-2_ST_COAL_CND"/>
    <x v="0"/>
    <x v="9"/>
    <n v="4357.8947368421104"/>
    <n v="1590631.5789473699"/>
    <n v="5726273.6842105296"/>
  </r>
  <r>
    <x v="0"/>
    <x v="0"/>
    <x v="0"/>
    <x v="8"/>
    <x v="16"/>
    <s v="PL_Rural"/>
    <x v="0"/>
    <s v="POLA-2_ST_COAL_CND"/>
    <x v="0"/>
    <x v="10"/>
    <n v="4357.8947368421104"/>
    <n v="1590631.5789473699"/>
    <n v="5726273.6842105296"/>
  </r>
  <r>
    <x v="0"/>
    <x v="0"/>
    <x v="0"/>
    <x v="8"/>
    <x v="16"/>
    <s v="PL_Rural"/>
    <x v="0"/>
    <s v="POLA-2_ST_COAL_CND"/>
    <x v="0"/>
    <x v="11"/>
    <n v="4357.8947368421104"/>
    <n v="1590631.5789473699"/>
    <n v="5726273.6842105296"/>
  </r>
  <r>
    <x v="0"/>
    <x v="0"/>
    <x v="0"/>
    <x v="8"/>
    <x v="16"/>
    <s v="PL_Rural"/>
    <x v="0"/>
    <s v="POLA-2_ST_COAL_CND"/>
    <x v="0"/>
    <x v="12"/>
    <n v="4357.8947368421104"/>
    <n v="1590631.5789473699"/>
    <n v="5726273.6842105296"/>
  </r>
  <r>
    <x v="0"/>
    <x v="0"/>
    <x v="0"/>
    <x v="8"/>
    <x v="16"/>
    <s v="PL_Rural"/>
    <x v="0"/>
    <s v="POLA-2_ST_COAL_CND"/>
    <x v="0"/>
    <x v="13"/>
    <n v="4357.8947368421104"/>
    <n v="1590631.5789473699"/>
    <n v="5726273.6842105296"/>
  </r>
  <r>
    <x v="0"/>
    <x v="0"/>
    <x v="0"/>
    <x v="8"/>
    <x v="16"/>
    <s v="PL_Rural"/>
    <x v="0"/>
    <s v="POLA-2_ST_COAL_CND"/>
    <x v="0"/>
    <x v="14"/>
    <n v="4357.8947368421104"/>
    <n v="1590631.5789473699"/>
    <n v="5726273.6842105296"/>
  </r>
  <r>
    <x v="0"/>
    <x v="0"/>
    <x v="0"/>
    <x v="8"/>
    <x v="16"/>
    <s v="PL_Rural"/>
    <x v="0"/>
    <s v="POLA-2_ST_COAL_CND"/>
    <x v="0"/>
    <x v="15"/>
    <n v="4357.8947368421104"/>
    <n v="1590631.5789473699"/>
    <n v="5726273.6842105296"/>
  </r>
  <r>
    <x v="0"/>
    <x v="0"/>
    <x v="0"/>
    <x v="8"/>
    <x v="16"/>
    <s v="PL_Rural"/>
    <x v="0"/>
    <s v="POLA-2_ST_COAL_CND"/>
    <x v="0"/>
    <x v="16"/>
    <n v="4357.8947368421104"/>
    <n v="1590631.5789473699"/>
    <n v="5726273.6842105296"/>
  </r>
  <r>
    <x v="0"/>
    <x v="0"/>
    <x v="0"/>
    <x v="8"/>
    <x v="16"/>
    <s v="PL_Rural"/>
    <x v="0"/>
    <s v="POLA-2_ST_COAL_CND"/>
    <x v="0"/>
    <x v="17"/>
    <n v="4357.8947368421104"/>
    <n v="1590631.5789473699"/>
    <n v="5726273.6842105296"/>
  </r>
  <r>
    <x v="0"/>
    <x v="0"/>
    <x v="0"/>
    <x v="8"/>
    <x v="16"/>
    <s v="PL_Rural"/>
    <x v="0"/>
    <s v="POLA-2_ST_COAL_CND"/>
    <x v="0"/>
    <x v="19"/>
    <n v="4357.8947368421104"/>
    <n v="1590631.5789473699"/>
    <n v="5726273.6842105296"/>
  </r>
  <r>
    <x v="0"/>
    <x v="0"/>
    <x v="0"/>
    <x v="8"/>
    <x v="16"/>
    <s v="PL_Rural"/>
    <x v="0"/>
    <s v="POLA-2_ST_COAL_CND"/>
    <x v="0"/>
    <x v="20"/>
    <n v="4357.8947368421104"/>
    <n v="1590631.5789473699"/>
    <n v="5726273.6842105296"/>
  </r>
  <r>
    <x v="0"/>
    <x v="0"/>
    <x v="0"/>
    <x v="8"/>
    <x v="16"/>
    <s v="PL_Rural"/>
    <x v="0"/>
    <s v="POLA-2_ST_COAL_CND"/>
    <x v="0"/>
    <x v="21"/>
    <n v="4357.8947368421104"/>
    <n v="1590631.5789473699"/>
    <n v="5726273.6842105296"/>
  </r>
  <r>
    <x v="0"/>
    <x v="0"/>
    <x v="0"/>
    <x v="8"/>
    <x v="16"/>
    <s v="PL_Rural"/>
    <x v="0"/>
    <s v="POLA-2_ST_COAL_CND"/>
    <x v="0"/>
    <x v="22"/>
    <n v="4357.8947368421104"/>
    <n v="1590631.5789473699"/>
    <n v="5726273.6842105296"/>
  </r>
  <r>
    <x v="0"/>
    <x v="0"/>
    <x v="0"/>
    <x v="8"/>
    <x v="16"/>
    <s v="PL_Rural"/>
    <x v="0"/>
    <s v="POLA-2_ST_COAL_CND"/>
    <x v="0"/>
    <x v="23"/>
    <n v="2625.2109850421102"/>
    <n v="958202.00954036997"/>
    <n v="3449527.2343453299"/>
  </r>
  <r>
    <x v="0"/>
    <x v="0"/>
    <x v="0"/>
    <x v="8"/>
    <x v="16"/>
    <s v="PL_Rural"/>
    <x v="0"/>
    <s v="RYBN-2_ST_COAL_CND"/>
    <x v="0"/>
    <x v="5"/>
    <n v="5587.0765696428998"/>
    <n v="2039282.94791966"/>
    <n v="7341418.6125107696"/>
  </r>
  <r>
    <x v="0"/>
    <x v="0"/>
    <x v="0"/>
    <x v="8"/>
    <x v="16"/>
    <s v="PL_Rural"/>
    <x v="0"/>
    <s v="RYBN-2_ST_COAL_CND"/>
    <x v="0"/>
    <x v="6"/>
    <n v="5046.0715935232502"/>
    <n v="1841816.13163599"/>
    <n v="6630538.0738895498"/>
  </r>
  <r>
    <x v="0"/>
    <x v="0"/>
    <x v="0"/>
    <x v="8"/>
    <x v="16"/>
    <s v="PL_Rural"/>
    <x v="0"/>
    <s v="RYBN-2_ST_COAL_CND"/>
    <x v="0"/>
    <x v="7"/>
    <n v="7574.2857142857101"/>
    <n v="2764614.2857142901"/>
    <n v="9952611.4285714291"/>
  </r>
  <r>
    <x v="0"/>
    <x v="0"/>
    <x v="0"/>
    <x v="8"/>
    <x v="16"/>
    <s v="PL_Rural"/>
    <x v="0"/>
    <s v="RYBN-2_ST_COAL_CND"/>
    <x v="0"/>
    <x v="8"/>
    <n v="7574.2857142857101"/>
    <n v="2764614.2857142901"/>
    <n v="9952611.4285714291"/>
  </r>
  <r>
    <x v="0"/>
    <x v="0"/>
    <x v="0"/>
    <x v="8"/>
    <x v="16"/>
    <s v="PL_Rural"/>
    <x v="0"/>
    <s v="RYBN-2_ST_COAL_CND"/>
    <x v="0"/>
    <x v="9"/>
    <n v="2207.9557440305198"/>
    <n v="805903.84657113894"/>
    <n v="2901253.8476561001"/>
  </r>
  <r>
    <x v="0"/>
    <x v="0"/>
    <x v="0"/>
    <x v="8"/>
    <x v="16"/>
    <s v="PL_Rural"/>
    <x v="0"/>
    <s v="RYBN-2_ST_COAL_CND"/>
    <x v="0"/>
    <x v="10"/>
    <n v="1768.36632797673"/>
    <n v="645453.70971150498"/>
    <n v="2323633.3549614199"/>
  </r>
  <r>
    <x v="0"/>
    <x v="0"/>
    <x v="0"/>
    <x v="8"/>
    <x v="16"/>
    <s v="PL_Rural"/>
    <x v="0"/>
    <s v="RYBN-2_ST_COAL_CND"/>
    <x v="0"/>
    <x v="11"/>
    <n v="1936.31053433732"/>
    <n v="706753.34503312095"/>
    <n v="2544312.0421192399"/>
  </r>
  <r>
    <x v="0"/>
    <x v="0"/>
    <x v="0"/>
    <x v="8"/>
    <x v="16"/>
    <s v="PL_Rural"/>
    <x v="0"/>
    <s v="RYBN-2_ST_COAL_CND"/>
    <x v="0"/>
    <x v="12"/>
    <n v="7574.2857142857101"/>
    <n v="2764614.2857142901"/>
    <n v="9952611.4285714291"/>
  </r>
  <r>
    <x v="0"/>
    <x v="0"/>
    <x v="0"/>
    <x v="8"/>
    <x v="16"/>
    <s v="PL_Rural"/>
    <x v="0"/>
    <s v="RYBN-2_ST_COAL_CND"/>
    <x v="0"/>
    <x v="13"/>
    <n v="5164.52309510743"/>
    <n v="1885050.9297142101"/>
    <n v="6786183.3469711598"/>
  </r>
  <r>
    <x v="0"/>
    <x v="0"/>
    <x v="0"/>
    <x v="8"/>
    <x v="16"/>
    <s v="PL_Rural"/>
    <x v="0"/>
    <s v="RYBN-2_ST_COAL_CND"/>
    <x v="0"/>
    <x v="14"/>
    <n v="7574.2857142857101"/>
    <n v="2764614.2857142901"/>
    <n v="9952611.4285714291"/>
  </r>
  <r>
    <x v="0"/>
    <x v="0"/>
    <x v="0"/>
    <x v="8"/>
    <x v="16"/>
    <s v="PL_Rural"/>
    <x v="0"/>
    <s v="RYBN-2_ST_COAL_CND"/>
    <x v="0"/>
    <x v="15"/>
    <n v="7574.2857142857101"/>
    <n v="2764614.2857142901"/>
    <n v="9952611.4285714291"/>
  </r>
  <r>
    <x v="0"/>
    <x v="0"/>
    <x v="0"/>
    <x v="8"/>
    <x v="16"/>
    <s v="PL_Rural"/>
    <x v="0"/>
    <s v="RYBN-2_ST_COAL_CND"/>
    <x v="0"/>
    <x v="16"/>
    <n v="5543.5753588140697"/>
    <n v="2023405.00596713"/>
    <n v="7284258.0214816798"/>
  </r>
  <r>
    <x v="0"/>
    <x v="0"/>
    <x v="0"/>
    <x v="8"/>
    <x v="16"/>
    <s v="PL_Rural"/>
    <x v="0"/>
    <s v="RYBN-2_ST_COAL_CND"/>
    <x v="0"/>
    <x v="17"/>
    <n v="7574.2857142857101"/>
    <n v="2764614.2857142901"/>
    <n v="9952611.4285714291"/>
  </r>
  <r>
    <x v="0"/>
    <x v="0"/>
    <x v="0"/>
    <x v="8"/>
    <x v="16"/>
    <s v="PL_Rural"/>
    <x v="0"/>
    <s v="RYBN-2_ST_COAL_CND"/>
    <x v="0"/>
    <x v="19"/>
    <n v="2189.3096911375101"/>
    <n v="799098.03726519295"/>
    <n v="2876752.9341546898"/>
  </r>
  <r>
    <x v="0"/>
    <x v="0"/>
    <x v="0"/>
    <x v="8"/>
    <x v="16"/>
    <s v="PL_Rural"/>
    <x v="0"/>
    <s v="RYBN-2_ST_COAL_CND"/>
    <x v="0"/>
    <x v="20"/>
    <n v="3407.3666045203699"/>
    <n v="1243688.81064994"/>
    <n v="4477279.7183397701"/>
  </r>
  <r>
    <x v="0"/>
    <x v="0"/>
    <x v="0"/>
    <x v="8"/>
    <x v="16"/>
    <s v="PL_Rural"/>
    <x v="0"/>
    <s v="RYBN-2_ST_COAL_CND"/>
    <x v="0"/>
    <x v="22"/>
    <n v="2194.3318374645601"/>
    <n v="800931.12067456497"/>
    <n v="2883352.0344284298"/>
  </r>
  <r>
    <x v="0"/>
    <x v="0"/>
    <x v="0"/>
    <x v="8"/>
    <x v="16"/>
    <s v="PL_Rural"/>
    <x v="17"/>
    <s v="ADAM-2_ST_LIGNITE_CON"/>
    <x v="0"/>
    <x v="0"/>
    <n v="2033.3333333333301"/>
    <n v="742166.66666666698"/>
    <n v="2671800"/>
  </r>
  <r>
    <x v="0"/>
    <x v="0"/>
    <x v="0"/>
    <x v="8"/>
    <x v="16"/>
    <s v="PL_Rural"/>
    <x v="17"/>
    <s v="ADAM-2_ST_LIGNITE_CON"/>
    <x v="0"/>
    <x v="1"/>
    <n v="2033.3333333333301"/>
    <n v="742166.66666666698"/>
    <n v="2671800"/>
  </r>
  <r>
    <x v="0"/>
    <x v="0"/>
    <x v="0"/>
    <x v="8"/>
    <x v="16"/>
    <s v="PL_Rural"/>
    <x v="17"/>
    <s v="ADAM-2_ST_LIGNITE_CON"/>
    <x v="0"/>
    <x v="2"/>
    <n v="2033.3333333333301"/>
    <n v="742166.66666666698"/>
    <n v="2671800"/>
  </r>
  <r>
    <x v="0"/>
    <x v="0"/>
    <x v="0"/>
    <x v="8"/>
    <x v="16"/>
    <s v="PL_Rural"/>
    <x v="17"/>
    <s v="ADAM-2_ST_LIGNITE_CON"/>
    <x v="0"/>
    <x v="3"/>
    <n v="2033.3333333333301"/>
    <n v="742166.66666666698"/>
    <n v="2671800"/>
  </r>
  <r>
    <x v="0"/>
    <x v="0"/>
    <x v="0"/>
    <x v="8"/>
    <x v="16"/>
    <s v="PL_Rural"/>
    <x v="17"/>
    <s v="ADAM-2_ST_LIGNITE_CON"/>
    <x v="0"/>
    <x v="18"/>
    <n v="2033.3333333333301"/>
    <n v="742166.66666666698"/>
    <n v="2671800"/>
  </r>
  <r>
    <x v="0"/>
    <x v="0"/>
    <x v="0"/>
    <x v="8"/>
    <x v="16"/>
    <s v="PL_Rural"/>
    <x v="17"/>
    <s v="ADAM-2_ST_LIGNITE_CON"/>
    <x v="0"/>
    <x v="4"/>
    <n v="2033.3333333333301"/>
    <n v="742166.66666666698"/>
    <n v="2671800"/>
  </r>
  <r>
    <x v="0"/>
    <x v="0"/>
    <x v="0"/>
    <x v="8"/>
    <x v="16"/>
    <s v="PL_Rural"/>
    <x v="17"/>
    <s v="ADAM-2_ST_LIGNITE_CON"/>
    <x v="0"/>
    <x v="5"/>
    <n v="2033.3333333333301"/>
    <n v="742166.66666666698"/>
    <n v="2671800"/>
  </r>
  <r>
    <x v="0"/>
    <x v="0"/>
    <x v="0"/>
    <x v="8"/>
    <x v="16"/>
    <s v="PL_Rural"/>
    <x v="17"/>
    <s v="ADAM-2_ST_LIGNITE_CON"/>
    <x v="0"/>
    <x v="6"/>
    <n v="2033.3333333333301"/>
    <n v="742166.66666666698"/>
    <n v="2671800"/>
  </r>
  <r>
    <x v="0"/>
    <x v="0"/>
    <x v="0"/>
    <x v="8"/>
    <x v="16"/>
    <s v="PL_Rural"/>
    <x v="17"/>
    <s v="ADAM-2_ST_LIGNITE_CON"/>
    <x v="0"/>
    <x v="7"/>
    <n v="2033.3333333333301"/>
    <n v="742166.66666666698"/>
    <n v="2671800"/>
  </r>
  <r>
    <x v="0"/>
    <x v="0"/>
    <x v="0"/>
    <x v="8"/>
    <x v="16"/>
    <s v="PL_Rural"/>
    <x v="17"/>
    <s v="ADAM-2_ST_LIGNITE_CON"/>
    <x v="0"/>
    <x v="8"/>
    <n v="2033.3333333333301"/>
    <n v="742166.66666666698"/>
    <n v="2671800"/>
  </r>
  <r>
    <x v="0"/>
    <x v="0"/>
    <x v="0"/>
    <x v="8"/>
    <x v="16"/>
    <s v="PL_Rural"/>
    <x v="17"/>
    <s v="ADAM-2_ST_LIGNITE_CON"/>
    <x v="0"/>
    <x v="9"/>
    <n v="2033.3333333333301"/>
    <n v="742166.66666666698"/>
    <n v="2671800"/>
  </r>
  <r>
    <x v="0"/>
    <x v="0"/>
    <x v="0"/>
    <x v="8"/>
    <x v="16"/>
    <s v="PL_Rural"/>
    <x v="17"/>
    <s v="ADAM-2_ST_LIGNITE_CON"/>
    <x v="0"/>
    <x v="10"/>
    <n v="2033.3333333333301"/>
    <n v="742166.66666666698"/>
    <n v="2671800"/>
  </r>
  <r>
    <x v="0"/>
    <x v="0"/>
    <x v="0"/>
    <x v="8"/>
    <x v="16"/>
    <s v="PL_Rural"/>
    <x v="17"/>
    <s v="ADAM-2_ST_LIGNITE_CON"/>
    <x v="0"/>
    <x v="11"/>
    <n v="2033.3333333333301"/>
    <n v="742166.66666666698"/>
    <n v="2671800"/>
  </r>
  <r>
    <x v="0"/>
    <x v="0"/>
    <x v="0"/>
    <x v="8"/>
    <x v="16"/>
    <s v="PL_Rural"/>
    <x v="17"/>
    <s v="ADAM-2_ST_LIGNITE_CON"/>
    <x v="0"/>
    <x v="12"/>
    <n v="2033.3333333333301"/>
    <n v="742166.66666666698"/>
    <n v="2671800"/>
  </r>
  <r>
    <x v="0"/>
    <x v="0"/>
    <x v="0"/>
    <x v="8"/>
    <x v="16"/>
    <s v="PL_Rural"/>
    <x v="17"/>
    <s v="ADAM-2_ST_LIGNITE_CON"/>
    <x v="0"/>
    <x v="13"/>
    <n v="2033.3333333333301"/>
    <n v="742166.66666666698"/>
    <n v="2671800"/>
  </r>
  <r>
    <x v="0"/>
    <x v="0"/>
    <x v="0"/>
    <x v="8"/>
    <x v="16"/>
    <s v="PL_Rural"/>
    <x v="17"/>
    <s v="ADAM-2_ST_LIGNITE_CON"/>
    <x v="0"/>
    <x v="14"/>
    <n v="2033.3333333333301"/>
    <n v="742166.66666666698"/>
    <n v="2671800"/>
  </r>
  <r>
    <x v="0"/>
    <x v="0"/>
    <x v="0"/>
    <x v="8"/>
    <x v="16"/>
    <s v="PL_Rural"/>
    <x v="17"/>
    <s v="ADAM-2_ST_LIGNITE_CON"/>
    <x v="0"/>
    <x v="15"/>
    <n v="2033.3333333333301"/>
    <n v="742166.66666666698"/>
    <n v="2671800"/>
  </r>
  <r>
    <x v="0"/>
    <x v="0"/>
    <x v="0"/>
    <x v="8"/>
    <x v="16"/>
    <s v="PL_Rural"/>
    <x v="17"/>
    <s v="ADAM-2_ST_LIGNITE_CON"/>
    <x v="0"/>
    <x v="16"/>
    <n v="2033.3333333333301"/>
    <n v="742166.66666666698"/>
    <n v="2671800"/>
  </r>
  <r>
    <x v="0"/>
    <x v="0"/>
    <x v="0"/>
    <x v="8"/>
    <x v="16"/>
    <s v="PL_Rural"/>
    <x v="17"/>
    <s v="ADAM-2_ST_LIGNITE_CON"/>
    <x v="0"/>
    <x v="17"/>
    <n v="2033.3333333333301"/>
    <n v="742166.66666666698"/>
    <n v="2671800"/>
  </r>
  <r>
    <x v="0"/>
    <x v="0"/>
    <x v="0"/>
    <x v="8"/>
    <x v="16"/>
    <s v="PL_Rural"/>
    <x v="17"/>
    <s v="ADAM-2_ST_LIGNITE_CON"/>
    <x v="0"/>
    <x v="19"/>
    <n v="2033.3333333333301"/>
    <n v="742166.66666666698"/>
    <n v="2671800"/>
  </r>
  <r>
    <x v="0"/>
    <x v="0"/>
    <x v="0"/>
    <x v="8"/>
    <x v="16"/>
    <s v="PL_Rural"/>
    <x v="17"/>
    <s v="ADAM-2_ST_LIGNITE_CON"/>
    <x v="0"/>
    <x v="20"/>
    <n v="2033.3333333333301"/>
    <n v="742166.66666666698"/>
    <n v="2671800"/>
  </r>
  <r>
    <x v="0"/>
    <x v="0"/>
    <x v="0"/>
    <x v="8"/>
    <x v="16"/>
    <s v="PL_Rural"/>
    <x v="17"/>
    <s v="ADAM-2_ST_LIGNITE_CON"/>
    <x v="0"/>
    <x v="21"/>
    <n v="2033.3333333333301"/>
    <n v="742166.66666666698"/>
    <n v="2671800"/>
  </r>
  <r>
    <x v="0"/>
    <x v="0"/>
    <x v="0"/>
    <x v="8"/>
    <x v="16"/>
    <s v="PL_Rural"/>
    <x v="17"/>
    <s v="ADAM-2_ST_LIGNITE_CON"/>
    <x v="0"/>
    <x v="22"/>
    <n v="2033.3333333333301"/>
    <n v="742166.66666666698"/>
    <n v="2671800"/>
  </r>
  <r>
    <x v="0"/>
    <x v="0"/>
    <x v="0"/>
    <x v="8"/>
    <x v="16"/>
    <s v="PL_Rural"/>
    <x v="17"/>
    <s v="ADAM-2_ST_LIGNITE_CON"/>
    <x v="0"/>
    <x v="23"/>
    <n v="2033.3333333333301"/>
    <n v="742166.66666666698"/>
    <n v="2671800"/>
  </r>
  <r>
    <x v="0"/>
    <x v="0"/>
    <x v="0"/>
    <x v="8"/>
    <x v="16"/>
    <s v="PL_Rural"/>
    <x v="17"/>
    <s v="BELC-2_ST_LIGNITE_CON"/>
    <x v="0"/>
    <x v="0"/>
    <n v="11005.714285714301"/>
    <n v="4017085.7142857099"/>
    <n v="14461508.571428601"/>
  </r>
  <r>
    <x v="0"/>
    <x v="0"/>
    <x v="0"/>
    <x v="8"/>
    <x v="16"/>
    <s v="PL_Rural"/>
    <x v="17"/>
    <s v="BELC-2_ST_LIGNITE_CON"/>
    <x v="0"/>
    <x v="1"/>
    <n v="11005.714285714301"/>
    <n v="4017085.7142857099"/>
    <n v="14461508.571428601"/>
  </r>
  <r>
    <x v="0"/>
    <x v="0"/>
    <x v="0"/>
    <x v="8"/>
    <x v="16"/>
    <s v="PL_Rural"/>
    <x v="17"/>
    <s v="BELC-2_ST_LIGNITE_CON"/>
    <x v="0"/>
    <x v="2"/>
    <n v="11005.714285714301"/>
    <n v="4017085.7142857099"/>
    <n v="14461508.571428601"/>
  </r>
  <r>
    <x v="0"/>
    <x v="0"/>
    <x v="0"/>
    <x v="8"/>
    <x v="16"/>
    <s v="PL_Rural"/>
    <x v="17"/>
    <s v="BELC-2_ST_LIGNITE_CON"/>
    <x v="0"/>
    <x v="3"/>
    <n v="11005.714285714301"/>
    <n v="4017085.7142857099"/>
    <n v="14461508.571428601"/>
  </r>
  <r>
    <x v="0"/>
    <x v="0"/>
    <x v="0"/>
    <x v="8"/>
    <x v="16"/>
    <s v="PL_Rural"/>
    <x v="17"/>
    <s v="BELC-2_ST_LIGNITE_CON"/>
    <x v="0"/>
    <x v="18"/>
    <n v="11005.714285714301"/>
    <n v="4017085.7142857099"/>
    <n v="14461508.571428601"/>
  </r>
  <r>
    <x v="0"/>
    <x v="0"/>
    <x v="0"/>
    <x v="8"/>
    <x v="16"/>
    <s v="PL_Rural"/>
    <x v="17"/>
    <s v="BELC-2_ST_LIGNITE_CON"/>
    <x v="0"/>
    <x v="4"/>
    <n v="11005.714285714301"/>
    <n v="4017085.7142857099"/>
    <n v="14461508.571428601"/>
  </r>
  <r>
    <x v="0"/>
    <x v="0"/>
    <x v="0"/>
    <x v="8"/>
    <x v="16"/>
    <s v="PL_Rural"/>
    <x v="17"/>
    <s v="BELC-2_ST_LIGNITE_CON"/>
    <x v="0"/>
    <x v="5"/>
    <n v="11005.714285714301"/>
    <n v="4017085.7142857099"/>
    <n v="14461508.571428601"/>
  </r>
  <r>
    <x v="0"/>
    <x v="0"/>
    <x v="0"/>
    <x v="8"/>
    <x v="16"/>
    <s v="PL_Rural"/>
    <x v="17"/>
    <s v="BELC-2_ST_LIGNITE_CON"/>
    <x v="0"/>
    <x v="6"/>
    <n v="11005.714285714301"/>
    <n v="4017085.7142857099"/>
    <n v="14461508.571428601"/>
  </r>
  <r>
    <x v="0"/>
    <x v="0"/>
    <x v="0"/>
    <x v="8"/>
    <x v="16"/>
    <s v="PL_Rural"/>
    <x v="17"/>
    <s v="BELC-2_ST_LIGNITE_CON"/>
    <x v="0"/>
    <x v="7"/>
    <n v="11005.714285714301"/>
    <n v="4017085.7142857099"/>
    <n v="14461508.571428601"/>
  </r>
  <r>
    <x v="0"/>
    <x v="0"/>
    <x v="0"/>
    <x v="8"/>
    <x v="16"/>
    <s v="PL_Rural"/>
    <x v="17"/>
    <s v="BELC-2_ST_LIGNITE_CON"/>
    <x v="0"/>
    <x v="8"/>
    <n v="11005.714285714301"/>
    <n v="4017085.7142857099"/>
    <n v="14461508.571428601"/>
  </r>
  <r>
    <x v="0"/>
    <x v="0"/>
    <x v="0"/>
    <x v="8"/>
    <x v="16"/>
    <s v="PL_Rural"/>
    <x v="17"/>
    <s v="BELC-2_ST_LIGNITE_CON"/>
    <x v="0"/>
    <x v="9"/>
    <n v="11005.714285714301"/>
    <n v="4017085.7142857099"/>
    <n v="14461508.571428601"/>
  </r>
  <r>
    <x v="0"/>
    <x v="0"/>
    <x v="0"/>
    <x v="8"/>
    <x v="16"/>
    <s v="PL_Rural"/>
    <x v="17"/>
    <s v="BELC-2_ST_LIGNITE_CON"/>
    <x v="0"/>
    <x v="10"/>
    <n v="11005.714285714301"/>
    <n v="4017085.7142857099"/>
    <n v="14461508.571428601"/>
  </r>
  <r>
    <x v="0"/>
    <x v="0"/>
    <x v="0"/>
    <x v="8"/>
    <x v="16"/>
    <s v="PL_Rural"/>
    <x v="17"/>
    <s v="BELC-2_ST_LIGNITE_CON"/>
    <x v="0"/>
    <x v="11"/>
    <n v="11005.714285714301"/>
    <n v="4017085.7142857099"/>
    <n v="14461508.571428601"/>
  </r>
  <r>
    <x v="0"/>
    <x v="0"/>
    <x v="0"/>
    <x v="8"/>
    <x v="16"/>
    <s v="PL_Rural"/>
    <x v="17"/>
    <s v="BELC-2_ST_LIGNITE_CON"/>
    <x v="0"/>
    <x v="12"/>
    <n v="11005.714285714301"/>
    <n v="4017085.7142857099"/>
    <n v="14461508.571428601"/>
  </r>
  <r>
    <x v="0"/>
    <x v="0"/>
    <x v="0"/>
    <x v="8"/>
    <x v="16"/>
    <s v="PL_Rural"/>
    <x v="17"/>
    <s v="BELC-2_ST_LIGNITE_CON"/>
    <x v="0"/>
    <x v="13"/>
    <n v="11005.714285714301"/>
    <n v="4017085.7142857099"/>
    <n v="14461508.571428601"/>
  </r>
  <r>
    <x v="0"/>
    <x v="0"/>
    <x v="0"/>
    <x v="8"/>
    <x v="16"/>
    <s v="PL_Rural"/>
    <x v="17"/>
    <s v="BELC-2_ST_LIGNITE_CON"/>
    <x v="0"/>
    <x v="14"/>
    <n v="11005.714285714301"/>
    <n v="4017085.7142857099"/>
    <n v="14461508.571428601"/>
  </r>
  <r>
    <x v="0"/>
    <x v="0"/>
    <x v="0"/>
    <x v="8"/>
    <x v="16"/>
    <s v="PL_Rural"/>
    <x v="17"/>
    <s v="BELC-2_ST_LIGNITE_CON"/>
    <x v="0"/>
    <x v="15"/>
    <n v="11005.714285714301"/>
    <n v="4017085.7142857099"/>
    <n v="14461508.571428601"/>
  </r>
  <r>
    <x v="0"/>
    <x v="0"/>
    <x v="0"/>
    <x v="8"/>
    <x v="16"/>
    <s v="PL_Rural"/>
    <x v="17"/>
    <s v="BELC-2_ST_LIGNITE_CON"/>
    <x v="0"/>
    <x v="16"/>
    <n v="11005.714285714301"/>
    <n v="4017085.7142857099"/>
    <n v="14461508.571428601"/>
  </r>
  <r>
    <x v="0"/>
    <x v="0"/>
    <x v="0"/>
    <x v="8"/>
    <x v="16"/>
    <s v="PL_Rural"/>
    <x v="17"/>
    <s v="BELC-2_ST_LIGNITE_CON"/>
    <x v="0"/>
    <x v="17"/>
    <n v="11005.714285714301"/>
    <n v="4017085.7142857099"/>
    <n v="14461508.571428601"/>
  </r>
  <r>
    <x v="0"/>
    <x v="0"/>
    <x v="0"/>
    <x v="8"/>
    <x v="16"/>
    <s v="PL_Rural"/>
    <x v="17"/>
    <s v="BELC-2_ST_LIGNITE_CON"/>
    <x v="0"/>
    <x v="19"/>
    <n v="11005.714285714301"/>
    <n v="4017085.7142857099"/>
    <n v="14461508.571428601"/>
  </r>
  <r>
    <x v="0"/>
    <x v="0"/>
    <x v="0"/>
    <x v="8"/>
    <x v="16"/>
    <s v="PL_Rural"/>
    <x v="17"/>
    <s v="BELC-2_ST_LIGNITE_CON"/>
    <x v="0"/>
    <x v="20"/>
    <n v="11005.714285714301"/>
    <n v="4017085.7142857099"/>
    <n v="14461508.571428601"/>
  </r>
  <r>
    <x v="0"/>
    <x v="0"/>
    <x v="0"/>
    <x v="8"/>
    <x v="16"/>
    <s v="PL_Rural"/>
    <x v="17"/>
    <s v="BELC-2_ST_LIGNITE_CON"/>
    <x v="0"/>
    <x v="21"/>
    <n v="11005.714285714301"/>
    <n v="4017085.7142857099"/>
    <n v="14461508.571428601"/>
  </r>
  <r>
    <x v="0"/>
    <x v="0"/>
    <x v="0"/>
    <x v="8"/>
    <x v="16"/>
    <s v="PL_Rural"/>
    <x v="17"/>
    <s v="BELC-2_ST_LIGNITE_CON"/>
    <x v="0"/>
    <x v="22"/>
    <n v="11005.714285714301"/>
    <n v="4017085.7142857099"/>
    <n v="14461508.571428601"/>
  </r>
  <r>
    <x v="0"/>
    <x v="0"/>
    <x v="0"/>
    <x v="8"/>
    <x v="16"/>
    <s v="PL_Rural"/>
    <x v="17"/>
    <s v="BELC-2_ST_LIGNITE_CON"/>
    <x v="0"/>
    <x v="23"/>
    <n v="11005.714285714301"/>
    <n v="4017085.7142857099"/>
    <n v="14461508.571428601"/>
  </r>
  <r>
    <x v="0"/>
    <x v="0"/>
    <x v="0"/>
    <x v="8"/>
    <x v="16"/>
    <s v="PL_Rural"/>
    <x v="17"/>
    <s v="PATN2-1_ST_LIGNITE_CON"/>
    <x v="0"/>
    <x v="0"/>
    <n v="1075.60975609756"/>
    <n v="392597.56097560999"/>
    <n v="1413351.21951219"/>
  </r>
  <r>
    <x v="0"/>
    <x v="0"/>
    <x v="0"/>
    <x v="8"/>
    <x v="16"/>
    <s v="PL_Rural"/>
    <x v="17"/>
    <s v="PATN2-1_ST_LIGNITE_CON"/>
    <x v="0"/>
    <x v="1"/>
    <n v="1075.60975609756"/>
    <n v="392597.56097560999"/>
    <n v="1413351.21951219"/>
  </r>
  <r>
    <x v="0"/>
    <x v="0"/>
    <x v="0"/>
    <x v="8"/>
    <x v="16"/>
    <s v="PL_Rural"/>
    <x v="17"/>
    <s v="PATN2-1_ST_LIGNITE_CON"/>
    <x v="0"/>
    <x v="2"/>
    <n v="1075.60975609756"/>
    <n v="392597.56097560999"/>
    <n v="1413351.21951219"/>
  </r>
  <r>
    <x v="0"/>
    <x v="0"/>
    <x v="0"/>
    <x v="8"/>
    <x v="16"/>
    <s v="PL_Rural"/>
    <x v="17"/>
    <s v="PATN2-1_ST_LIGNITE_CON"/>
    <x v="0"/>
    <x v="3"/>
    <n v="1075.60975609756"/>
    <n v="392597.56097560999"/>
    <n v="1413351.21951219"/>
  </r>
  <r>
    <x v="0"/>
    <x v="0"/>
    <x v="0"/>
    <x v="8"/>
    <x v="16"/>
    <s v="PL_Rural"/>
    <x v="17"/>
    <s v="PATN2-1_ST_LIGNITE_CON"/>
    <x v="0"/>
    <x v="18"/>
    <n v="1075.60975609756"/>
    <n v="392597.56097560999"/>
    <n v="1413351.21951219"/>
  </r>
  <r>
    <x v="0"/>
    <x v="0"/>
    <x v="0"/>
    <x v="8"/>
    <x v="16"/>
    <s v="PL_Rural"/>
    <x v="17"/>
    <s v="PATN2-1_ST_LIGNITE_CON"/>
    <x v="0"/>
    <x v="4"/>
    <n v="1075.60975609756"/>
    <n v="392597.56097560999"/>
    <n v="1413351.21951219"/>
  </r>
  <r>
    <x v="0"/>
    <x v="0"/>
    <x v="0"/>
    <x v="8"/>
    <x v="16"/>
    <s v="PL_Rural"/>
    <x v="17"/>
    <s v="PATN2-1_ST_LIGNITE_CON"/>
    <x v="0"/>
    <x v="5"/>
    <n v="1075.60975609756"/>
    <n v="392597.56097560999"/>
    <n v="1413351.21951219"/>
  </r>
  <r>
    <x v="0"/>
    <x v="0"/>
    <x v="0"/>
    <x v="8"/>
    <x v="16"/>
    <s v="PL_Rural"/>
    <x v="17"/>
    <s v="PATN2-1_ST_LIGNITE_CON"/>
    <x v="0"/>
    <x v="6"/>
    <n v="1075.60975609756"/>
    <n v="392597.56097560999"/>
    <n v="1413351.21951219"/>
  </r>
  <r>
    <x v="0"/>
    <x v="0"/>
    <x v="0"/>
    <x v="8"/>
    <x v="16"/>
    <s v="PL_Rural"/>
    <x v="17"/>
    <s v="PATN2-1_ST_LIGNITE_CON"/>
    <x v="0"/>
    <x v="7"/>
    <n v="1075.60975609756"/>
    <n v="392597.56097560999"/>
    <n v="1413351.21951219"/>
  </r>
  <r>
    <x v="0"/>
    <x v="0"/>
    <x v="0"/>
    <x v="8"/>
    <x v="16"/>
    <s v="PL_Rural"/>
    <x v="17"/>
    <s v="PATN2-1_ST_LIGNITE_CON"/>
    <x v="0"/>
    <x v="8"/>
    <n v="1075.60975609756"/>
    <n v="392597.56097560999"/>
    <n v="1413351.21951219"/>
  </r>
  <r>
    <x v="0"/>
    <x v="0"/>
    <x v="0"/>
    <x v="8"/>
    <x v="16"/>
    <s v="PL_Rural"/>
    <x v="17"/>
    <s v="PATN2-1_ST_LIGNITE_CON"/>
    <x v="0"/>
    <x v="9"/>
    <n v="1075.60975609756"/>
    <n v="392597.56097560999"/>
    <n v="1413351.21951219"/>
  </r>
  <r>
    <x v="0"/>
    <x v="0"/>
    <x v="0"/>
    <x v="8"/>
    <x v="16"/>
    <s v="PL_Rural"/>
    <x v="17"/>
    <s v="PATN2-1_ST_LIGNITE_CON"/>
    <x v="0"/>
    <x v="10"/>
    <n v="1075.60975609756"/>
    <n v="392597.56097560999"/>
    <n v="1413351.21951219"/>
  </r>
  <r>
    <x v="0"/>
    <x v="0"/>
    <x v="0"/>
    <x v="8"/>
    <x v="16"/>
    <s v="PL_Rural"/>
    <x v="17"/>
    <s v="PATN2-1_ST_LIGNITE_CON"/>
    <x v="0"/>
    <x v="11"/>
    <n v="1075.60975609756"/>
    <n v="392597.56097560999"/>
    <n v="1413351.21951219"/>
  </r>
  <r>
    <x v="0"/>
    <x v="0"/>
    <x v="0"/>
    <x v="8"/>
    <x v="16"/>
    <s v="PL_Rural"/>
    <x v="17"/>
    <s v="PATN2-1_ST_LIGNITE_CON"/>
    <x v="0"/>
    <x v="12"/>
    <n v="1075.60975609756"/>
    <n v="392597.56097560999"/>
    <n v="1413351.21951219"/>
  </r>
  <r>
    <x v="0"/>
    <x v="0"/>
    <x v="0"/>
    <x v="8"/>
    <x v="16"/>
    <s v="PL_Rural"/>
    <x v="17"/>
    <s v="PATN2-1_ST_LIGNITE_CON"/>
    <x v="0"/>
    <x v="13"/>
    <n v="1075.60975609756"/>
    <n v="392597.56097560999"/>
    <n v="1413351.21951219"/>
  </r>
  <r>
    <x v="0"/>
    <x v="0"/>
    <x v="0"/>
    <x v="8"/>
    <x v="16"/>
    <s v="PL_Rural"/>
    <x v="17"/>
    <s v="PATN2-1_ST_LIGNITE_CON"/>
    <x v="0"/>
    <x v="14"/>
    <n v="1075.60975609756"/>
    <n v="392597.56097560999"/>
    <n v="1413351.21951219"/>
  </r>
  <r>
    <x v="0"/>
    <x v="0"/>
    <x v="0"/>
    <x v="8"/>
    <x v="16"/>
    <s v="PL_Rural"/>
    <x v="17"/>
    <s v="PATN2-1_ST_LIGNITE_CON"/>
    <x v="0"/>
    <x v="15"/>
    <n v="1075.60975609756"/>
    <n v="392597.56097560999"/>
    <n v="1413351.21951219"/>
  </r>
  <r>
    <x v="0"/>
    <x v="0"/>
    <x v="0"/>
    <x v="8"/>
    <x v="16"/>
    <s v="PL_Rural"/>
    <x v="17"/>
    <s v="PATN2-1_ST_LIGNITE_CON"/>
    <x v="0"/>
    <x v="16"/>
    <n v="1075.60975609756"/>
    <n v="392597.56097560999"/>
    <n v="1413351.21951219"/>
  </r>
  <r>
    <x v="0"/>
    <x v="0"/>
    <x v="0"/>
    <x v="8"/>
    <x v="16"/>
    <s v="PL_Rural"/>
    <x v="17"/>
    <s v="PATN2-1_ST_LIGNITE_CON"/>
    <x v="0"/>
    <x v="17"/>
    <n v="1075.60975609756"/>
    <n v="392597.56097560999"/>
    <n v="1413351.21951219"/>
  </r>
  <r>
    <x v="0"/>
    <x v="0"/>
    <x v="0"/>
    <x v="8"/>
    <x v="16"/>
    <s v="PL_Rural"/>
    <x v="17"/>
    <s v="PATN2-1_ST_LIGNITE_CON"/>
    <x v="0"/>
    <x v="19"/>
    <n v="1075.60975609756"/>
    <n v="392597.56097560999"/>
    <n v="1413351.21951219"/>
  </r>
  <r>
    <x v="0"/>
    <x v="0"/>
    <x v="0"/>
    <x v="8"/>
    <x v="16"/>
    <s v="PL_Rural"/>
    <x v="17"/>
    <s v="PATN2-1_ST_LIGNITE_CON"/>
    <x v="0"/>
    <x v="20"/>
    <n v="1075.60975609756"/>
    <n v="392597.56097560999"/>
    <n v="1413351.21951219"/>
  </r>
  <r>
    <x v="0"/>
    <x v="0"/>
    <x v="0"/>
    <x v="8"/>
    <x v="16"/>
    <s v="PL_Rural"/>
    <x v="17"/>
    <s v="PATN2-1_ST_LIGNITE_CON"/>
    <x v="0"/>
    <x v="21"/>
    <n v="1075.60975609756"/>
    <n v="392597.56097560999"/>
    <n v="1413351.21951219"/>
  </r>
  <r>
    <x v="0"/>
    <x v="0"/>
    <x v="0"/>
    <x v="8"/>
    <x v="16"/>
    <s v="PL_Rural"/>
    <x v="17"/>
    <s v="PATN2-1_ST_LIGNITE_CON"/>
    <x v="0"/>
    <x v="22"/>
    <n v="1075.60975609756"/>
    <n v="392597.56097560999"/>
    <n v="1413351.21951219"/>
  </r>
  <r>
    <x v="0"/>
    <x v="0"/>
    <x v="0"/>
    <x v="8"/>
    <x v="16"/>
    <s v="PL_Rural"/>
    <x v="17"/>
    <s v="PATN2-1_ST_LIGNITE_CON"/>
    <x v="0"/>
    <x v="23"/>
    <n v="1075.60975609756"/>
    <n v="392597.56097560999"/>
    <n v="1413351.21951219"/>
  </r>
  <r>
    <x v="0"/>
    <x v="0"/>
    <x v="0"/>
    <x v="8"/>
    <x v="16"/>
    <s v="PL_Rural"/>
    <x v="7"/>
    <s v="GNR_ROR_WTR"/>
    <x v="0"/>
    <x v="0"/>
    <n v="263.81563926940601"/>
    <n v="96292.708333333299"/>
    <n v="346653.75"/>
  </r>
  <r>
    <x v="0"/>
    <x v="0"/>
    <x v="0"/>
    <x v="8"/>
    <x v="16"/>
    <s v="PL_Rural"/>
    <x v="7"/>
    <s v="GNR_ROR_WTR"/>
    <x v="0"/>
    <x v="1"/>
    <n v="263.81563926940601"/>
    <n v="96292.708333333299"/>
    <n v="346653.75"/>
  </r>
  <r>
    <x v="0"/>
    <x v="0"/>
    <x v="0"/>
    <x v="8"/>
    <x v="16"/>
    <s v="PL_Rural"/>
    <x v="7"/>
    <s v="GNR_ROR_WTR"/>
    <x v="0"/>
    <x v="2"/>
    <n v="263.81563926940601"/>
    <n v="96292.708333333299"/>
    <n v="346653.75"/>
  </r>
  <r>
    <x v="0"/>
    <x v="0"/>
    <x v="0"/>
    <x v="8"/>
    <x v="16"/>
    <s v="PL_Rural"/>
    <x v="7"/>
    <s v="GNR_ROR_WTR"/>
    <x v="0"/>
    <x v="3"/>
    <n v="263.81563926940601"/>
    <n v="96292.708333333299"/>
    <n v="346653.75"/>
  </r>
  <r>
    <x v="0"/>
    <x v="0"/>
    <x v="0"/>
    <x v="8"/>
    <x v="16"/>
    <s v="PL_Rural"/>
    <x v="7"/>
    <s v="GNR_ROR_WTR"/>
    <x v="0"/>
    <x v="18"/>
    <n v="263.81563926940601"/>
    <n v="96292.708333333299"/>
    <n v="346653.75"/>
  </r>
  <r>
    <x v="0"/>
    <x v="0"/>
    <x v="0"/>
    <x v="8"/>
    <x v="16"/>
    <s v="PL_Rural"/>
    <x v="7"/>
    <s v="GNR_ROR_WTR"/>
    <x v="0"/>
    <x v="4"/>
    <n v="263.81563926940601"/>
    <n v="96292.708333333299"/>
    <n v="346653.75"/>
  </r>
  <r>
    <x v="0"/>
    <x v="0"/>
    <x v="0"/>
    <x v="8"/>
    <x v="16"/>
    <s v="PL_Rural"/>
    <x v="7"/>
    <s v="GNR_ROR_WTR"/>
    <x v="0"/>
    <x v="5"/>
    <n v="263.81563926940601"/>
    <n v="96292.708333333299"/>
    <n v="346653.75"/>
  </r>
  <r>
    <x v="0"/>
    <x v="0"/>
    <x v="0"/>
    <x v="8"/>
    <x v="16"/>
    <s v="PL_Rural"/>
    <x v="7"/>
    <s v="GNR_ROR_WTR"/>
    <x v="0"/>
    <x v="6"/>
    <n v="263.81563926940601"/>
    <n v="96292.708333333299"/>
    <n v="346653.75"/>
  </r>
  <r>
    <x v="0"/>
    <x v="0"/>
    <x v="0"/>
    <x v="8"/>
    <x v="16"/>
    <s v="PL_Rural"/>
    <x v="7"/>
    <s v="GNR_ROR_WTR"/>
    <x v="0"/>
    <x v="7"/>
    <n v="263.81563926940601"/>
    <n v="96292.708333333299"/>
    <n v="346653.75"/>
  </r>
  <r>
    <x v="0"/>
    <x v="0"/>
    <x v="0"/>
    <x v="8"/>
    <x v="16"/>
    <s v="PL_Rural"/>
    <x v="7"/>
    <s v="GNR_ROR_WTR"/>
    <x v="0"/>
    <x v="8"/>
    <n v="263.81563926940601"/>
    <n v="96292.708333333299"/>
    <n v="346653.75"/>
  </r>
  <r>
    <x v="0"/>
    <x v="0"/>
    <x v="0"/>
    <x v="8"/>
    <x v="16"/>
    <s v="PL_Rural"/>
    <x v="7"/>
    <s v="GNR_ROR_WTR"/>
    <x v="0"/>
    <x v="9"/>
    <n v="263.81563926940601"/>
    <n v="96292.708333333299"/>
    <n v="346653.75"/>
  </r>
  <r>
    <x v="0"/>
    <x v="0"/>
    <x v="0"/>
    <x v="8"/>
    <x v="16"/>
    <s v="PL_Rural"/>
    <x v="7"/>
    <s v="GNR_ROR_WTR"/>
    <x v="0"/>
    <x v="10"/>
    <n v="263.81563926940601"/>
    <n v="96292.708333333299"/>
    <n v="346653.75"/>
  </r>
  <r>
    <x v="0"/>
    <x v="0"/>
    <x v="0"/>
    <x v="8"/>
    <x v="16"/>
    <s v="PL_Rural"/>
    <x v="7"/>
    <s v="GNR_ROR_WTR"/>
    <x v="0"/>
    <x v="11"/>
    <n v="263.81563926940601"/>
    <n v="96292.708333333299"/>
    <n v="346653.75"/>
  </r>
  <r>
    <x v="0"/>
    <x v="0"/>
    <x v="0"/>
    <x v="8"/>
    <x v="16"/>
    <s v="PL_Rural"/>
    <x v="7"/>
    <s v="GNR_ROR_WTR"/>
    <x v="0"/>
    <x v="12"/>
    <n v="263.81563926940601"/>
    <n v="96292.708333333299"/>
    <n v="346653.75"/>
  </r>
  <r>
    <x v="0"/>
    <x v="0"/>
    <x v="0"/>
    <x v="8"/>
    <x v="16"/>
    <s v="PL_Rural"/>
    <x v="7"/>
    <s v="GNR_ROR_WTR"/>
    <x v="0"/>
    <x v="13"/>
    <n v="263.81563926940601"/>
    <n v="96292.708333333299"/>
    <n v="346653.75"/>
  </r>
  <r>
    <x v="0"/>
    <x v="0"/>
    <x v="0"/>
    <x v="8"/>
    <x v="16"/>
    <s v="PL_Rural"/>
    <x v="7"/>
    <s v="GNR_ROR_WTR"/>
    <x v="0"/>
    <x v="14"/>
    <n v="263.81563926940601"/>
    <n v="96292.708333333299"/>
    <n v="346653.75"/>
  </r>
  <r>
    <x v="0"/>
    <x v="0"/>
    <x v="0"/>
    <x v="8"/>
    <x v="16"/>
    <s v="PL_Rural"/>
    <x v="7"/>
    <s v="GNR_ROR_WTR"/>
    <x v="0"/>
    <x v="15"/>
    <n v="263.81563926940601"/>
    <n v="96292.708333333299"/>
    <n v="346653.75"/>
  </r>
  <r>
    <x v="0"/>
    <x v="0"/>
    <x v="0"/>
    <x v="8"/>
    <x v="16"/>
    <s v="PL_Rural"/>
    <x v="7"/>
    <s v="GNR_ROR_WTR"/>
    <x v="0"/>
    <x v="16"/>
    <n v="263.81563926940601"/>
    <n v="96292.708333333299"/>
    <n v="346653.75"/>
  </r>
  <r>
    <x v="0"/>
    <x v="0"/>
    <x v="0"/>
    <x v="8"/>
    <x v="16"/>
    <s v="PL_Rural"/>
    <x v="7"/>
    <s v="GNR_ROR_WTR"/>
    <x v="0"/>
    <x v="17"/>
    <n v="263.81563926940601"/>
    <n v="96292.708333333299"/>
    <n v="346653.75"/>
  </r>
  <r>
    <x v="0"/>
    <x v="0"/>
    <x v="0"/>
    <x v="8"/>
    <x v="16"/>
    <s v="PL_Rural"/>
    <x v="7"/>
    <s v="GNR_ROR_WTR"/>
    <x v="0"/>
    <x v="19"/>
    <n v="263.81563926940601"/>
    <n v="96292.708333333299"/>
    <n v="346653.75"/>
  </r>
  <r>
    <x v="0"/>
    <x v="0"/>
    <x v="0"/>
    <x v="8"/>
    <x v="16"/>
    <s v="PL_Rural"/>
    <x v="7"/>
    <s v="GNR_ROR_WTR"/>
    <x v="0"/>
    <x v="20"/>
    <n v="263.81563926940601"/>
    <n v="96292.708333333299"/>
    <n v="346653.75"/>
  </r>
  <r>
    <x v="0"/>
    <x v="0"/>
    <x v="0"/>
    <x v="8"/>
    <x v="16"/>
    <s v="PL_Rural"/>
    <x v="7"/>
    <s v="GNR_ROR_WTR"/>
    <x v="0"/>
    <x v="21"/>
    <n v="263.81563926940601"/>
    <n v="96292.708333333299"/>
    <n v="346653.75"/>
  </r>
  <r>
    <x v="0"/>
    <x v="0"/>
    <x v="0"/>
    <x v="8"/>
    <x v="16"/>
    <s v="PL_Rural"/>
    <x v="7"/>
    <s v="GNR_ROR_WTR"/>
    <x v="0"/>
    <x v="22"/>
    <n v="263.81563926940601"/>
    <n v="96292.708333333299"/>
    <n v="346653.75"/>
  </r>
  <r>
    <x v="0"/>
    <x v="0"/>
    <x v="0"/>
    <x v="8"/>
    <x v="16"/>
    <s v="PL_Rural"/>
    <x v="7"/>
    <s v="GNR_ROR_WTR"/>
    <x v="0"/>
    <x v="23"/>
    <n v="263.81563926940601"/>
    <n v="96292.708333333299"/>
    <n v="346653.75"/>
  </r>
  <r>
    <x v="0"/>
    <x v="0"/>
    <x v="0"/>
    <x v="9"/>
    <x v="17"/>
    <s v="SE1A"/>
    <x v="7"/>
    <s v="GNR_RES_WTR_NOPMP_MC-01"/>
    <x v="0"/>
    <x v="0"/>
    <n v="405.5"/>
    <n v="148007.5"/>
    <n v="532827"/>
  </r>
  <r>
    <x v="0"/>
    <x v="0"/>
    <x v="0"/>
    <x v="9"/>
    <x v="17"/>
    <s v="SE1A"/>
    <x v="7"/>
    <s v="GNR_RES_WTR_NOPMP_MC-01"/>
    <x v="0"/>
    <x v="1"/>
    <n v="405.5"/>
    <n v="148007.5"/>
    <n v="532827"/>
  </r>
  <r>
    <x v="0"/>
    <x v="0"/>
    <x v="0"/>
    <x v="9"/>
    <x v="17"/>
    <s v="SE1A"/>
    <x v="7"/>
    <s v="GNR_RES_WTR_NOPMP_MC-01"/>
    <x v="0"/>
    <x v="2"/>
    <n v="405.5"/>
    <n v="148007.5"/>
    <n v="532827"/>
  </r>
  <r>
    <x v="0"/>
    <x v="0"/>
    <x v="0"/>
    <x v="9"/>
    <x v="17"/>
    <s v="SE1A"/>
    <x v="7"/>
    <s v="GNR_RES_WTR_NOPMP_MC-01"/>
    <x v="0"/>
    <x v="3"/>
    <n v="405.5"/>
    <n v="148007.5"/>
    <n v="532827"/>
  </r>
  <r>
    <x v="0"/>
    <x v="0"/>
    <x v="0"/>
    <x v="9"/>
    <x v="17"/>
    <s v="SE1A"/>
    <x v="7"/>
    <s v="GNR_RES_WTR_NOPMP_MC-01"/>
    <x v="0"/>
    <x v="18"/>
    <n v="405.5"/>
    <n v="148007.5"/>
    <n v="532827"/>
  </r>
  <r>
    <x v="0"/>
    <x v="0"/>
    <x v="0"/>
    <x v="9"/>
    <x v="17"/>
    <s v="SE1A"/>
    <x v="7"/>
    <s v="GNR_RES_WTR_NOPMP_MC-01"/>
    <x v="0"/>
    <x v="4"/>
    <n v="405.5"/>
    <n v="148007.5"/>
    <n v="532827"/>
  </r>
  <r>
    <x v="0"/>
    <x v="0"/>
    <x v="0"/>
    <x v="9"/>
    <x v="17"/>
    <s v="SE1A"/>
    <x v="7"/>
    <s v="GNR_RES_WTR_NOPMP_MC-01"/>
    <x v="0"/>
    <x v="5"/>
    <n v="405.5"/>
    <n v="148007.5"/>
    <n v="532827"/>
  </r>
  <r>
    <x v="0"/>
    <x v="0"/>
    <x v="0"/>
    <x v="9"/>
    <x v="17"/>
    <s v="SE1A"/>
    <x v="7"/>
    <s v="GNR_RES_WTR_NOPMP_MC-01"/>
    <x v="0"/>
    <x v="6"/>
    <n v="405.5"/>
    <n v="148007.5"/>
    <n v="532827"/>
  </r>
  <r>
    <x v="0"/>
    <x v="0"/>
    <x v="0"/>
    <x v="9"/>
    <x v="17"/>
    <s v="SE1A"/>
    <x v="7"/>
    <s v="GNR_RES_WTR_NOPMP_MC-01"/>
    <x v="0"/>
    <x v="7"/>
    <n v="405.5"/>
    <n v="148007.5"/>
    <n v="532827"/>
  </r>
  <r>
    <x v="0"/>
    <x v="0"/>
    <x v="0"/>
    <x v="9"/>
    <x v="17"/>
    <s v="SE1A"/>
    <x v="7"/>
    <s v="GNR_RES_WTR_NOPMP_MC-01"/>
    <x v="0"/>
    <x v="8"/>
    <n v="405.5"/>
    <n v="148007.5"/>
    <n v="532827"/>
  </r>
  <r>
    <x v="0"/>
    <x v="0"/>
    <x v="0"/>
    <x v="9"/>
    <x v="17"/>
    <s v="SE1A"/>
    <x v="7"/>
    <s v="GNR_RES_WTR_NOPMP_MC-01"/>
    <x v="0"/>
    <x v="9"/>
    <n v="405.5"/>
    <n v="148007.5"/>
    <n v="532827"/>
  </r>
  <r>
    <x v="0"/>
    <x v="0"/>
    <x v="0"/>
    <x v="9"/>
    <x v="17"/>
    <s v="SE1A"/>
    <x v="7"/>
    <s v="GNR_RES_WTR_NOPMP_MC-01"/>
    <x v="0"/>
    <x v="10"/>
    <n v="405.5"/>
    <n v="148007.5"/>
    <n v="532827"/>
  </r>
  <r>
    <x v="0"/>
    <x v="0"/>
    <x v="0"/>
    <x v="9"/>
    <x v="17"/>
    <s v="SE1A"/>
    <x v="7"/>
    <s v="GNR_RES_WTR_NOPMP_MC-01"/>
    <x v="0"/>
    <x v="11"/>
    <n v="405.5"/>
    <n v="148007.5"/>
    <n v="532827"/>
  </r>
  <r>
    <x v="0"/>
    <x v="0"/>
    <x v="0"/>
    <x v="9"/>
    <x v="17"/>
    <s v="SE1A"/>
    <x v="7"/>
    <s v="GNR_RES_WTR_NOPMP_MC-01"/>
    <x v="0"/>
    <x v="12"/>
    <n v="405.5"/>
    <n v="148007.5"/>
    <n v="532827"/>
  </r>
  <r>
    <x v="0"/>
    <x v="0"/>
    <x v="0"/>
    <x v="9"/>
    <x v="17"/>
    <s v="SE1A"/>
    <x v="7"/>
    <s v="GNR_RES_WTR_NOPMP_MC-01"/>
    <x v="0"/>
    <x v="13"/>
    <n v="405.5"/>
    <n v="148007.5"/>
    <n v="532827"/>
  </r>
  <r>
    <x v="0"/>
    <x v="0"/>
    <x v="0"/>
    <x v="9"/>
    <x v="17"/>
    <s v="SE1A"/>
    <x v="7"/>
    <s v="GNR_RES_WTR_NOPMP_MC-01"/>
    <x v="0"/>
    <x v="14"/>
    <n v="405.5"/>
    <n v="148007.5"/>
    <n v="532827"/>
  </r>
  <r>
    <x v="0"/>
    <x v="0"/>
    <x v="0"/>
    <x v="9"/>
    <x v="17"/>
    <s v="SE1A"/>
    <x v="7"/>
    <s v="GNR_RES_WTR_NOPMP_MC-01"/>
    <x v="0"/>
    <x v="15"/>
    <n v="405.5"/>
    <n v="148007.5"/>
    <n v="532827"/>
  </r>
  <r>
    <x v="0"/>
    <x v="0"/>
    <x v="0"/>
    <x v="9"/>
    <x v="17"/>
    <s v="SE1A"/>
    <x v="7"/>
    <s v="GNR_RES_WTR_NOPMP_MC-01"/>
    <x v="0"/>
    <x v="16"/>
    <n v="405.5"/>
    <n v="148007.5"/>
    <n v="532827"/>
  </r>
  <r>
    <x v="0"/>
    <x v="0"/>
    <x v="0"/>
    <x v="9"/>
    <x v="17"/>
    <s v="SE1A"/>
    <x v="7"/>
    <s v="GNR_RES_WTR_NOPMP_MC-01"/>
    <x v="0"/>
    <x v="17"/>
    <n v="405.5"/>
    <n v="148007.5"/>
    <n v="532827"/>
  </r>
  <r>
    <x v="0"/>
    <x v="0"/>
    <x v="0"/>
    <x v="9"/>
    <x v="17"/>
    <s v="SE1A"/>
    <x v="7"/>
    <s v="GNR_RES_WTR_NOPMP_MC-01"/>
    <x v="0"/>
    <x v="19"/>
    <n v="405.5"/>
    <n v="148007.5"/>
    <n v="532827"/>
  </r>
  <r>
    <x v="0"/>
    <x v="0"/>
    <x v="0"/>
    <x v="9"/>
    <x v="17"/>
    <s v="SE1A"/>
    <x v="7"/>
    <s v="GNR_RES_WTR_NOPMP_MC-01"/>
    <x v="0"/>
    <x v="20"/>
    <n v="405.5"/>
    <n v="148007.5"/>
    <n v="532827"/>
  </r>
  <r>
    <x v="0"/>
    <x v="0"/>
    <x v="0"/>
    <x v="9"/>
    <x v="17"/>
    <s v="SE1A"/>
    <x v="7"/>
    <s v="GNR_RES_WTR_NOPMP_MC-01"/>
    <x v="0"/>
    <x v="21"/>
    <n v="405.5"/>
    <n v="148007.5"/>
    <n v="532827"/>
  </r>
  <r>
    <x v="0"/>
    <x v="0"/>
    <x v="0"/>
    <x v="9"/>
    <x v="17"/>
    <s v="SE1A"/>
    <x v="7"/>
    <s v="GNR_RES_WTR_NOPMP_MC-01"/>
    <x v="0"/>
    <x v="22"/>
    <n v="405.5"/>
    <n v="148007.5"/>
    <n v="532827"/>
  </r>
  <r>
    <x v="0"/>
    <x v="0"/>
    <x v="0"/>
    <x v="9"/>
    <x v="17"/>
    <s v="SE1A"/>
    <x v="7"/>
    <s v="GNR_RES_WTR_NOPMP_MC-01"/>
    <x v="0"/>
    <x v="23"/>
    <n v="405.5"/>
    <n v="148007.5"/>
    <n v="532827"/>
  </r>
  <r>
    <x v="0"/>
    <x v="0"/>
    <x v="0"/>
    <x v="9"/>
    <x v="17"/>
    <s v="SE1A"/>
    <x v="7"/>
    <s v="GNR_RES_WTR_NOPMP_MC-02"/>
    <x v="0"/>
    <x v="0"/>
    <n v="405.5"/>
    <n v="148007.5"/>
    <n v="532827"/>
  </r>
  <r>
    <x v="0"/>
    <x v="0"/>
    <x v="0"/>
    <x v="9"/>
    <x v="17"/>
    <s v="SE1A"/>
    <x v="7"/>
    <s v="GNR_RES_WTR_NOPMP_MC-02"/>
    <x v="0"/>
    <x v="1"/>
    <n v="405.5"/>
    <n v="148007.5"/>
    <n v="532827"/>
  </r>
  <r>
    <x v="0"/>
    <x v="0"/>
    <x v="0"/>
    <x v="9"/>
    <x v="17"/>
    <s v="SE1A"/>
    <x v="7"/>
    <s v="GNR_RES_WTR_NOPMP_MC-02"/>
    <x v="0"/>
    <x v="2"/>
    <n v="405.5"/>
    <n v="148007.5"/>
    <n v="532827"/>
  </r>
  <r>
    <x v="0"/>
    <x v="0"/>
    <x v="0"/>
    <x v="9"/>
    <x v="17"/>
    <s v="SE1A"/>
    <x v="7"/>
    <s v="GNR_RES_WTR_NOPMP_MC-02"/>
    <x v="0"/>
    <x v="3"/>
    <n v="405.5"/>
    <n v="148007.5"/>
    <n v="532827"/>
  </r>
  <r>
    <x v="0"/>
    <x v="0"/>
    <x v="0"/>
    <x v="9"/>
    <x v="17"/>
    <s v="SE1A"/>
    <x v="7"/>
    <s v="GNR_RES_WTR_NOPMP_MC-02"/>
    <x v="0"/>
    <x v="18"/>
    <n v="405.5"/>
    <n v="148007.5"/>
    <n v="532827"/>
  </r>
  <r>
    <x v="0"/>
    <x v="0"/>
    <x v="0"/>
    <x v="9"/>
    <x v="17"/>
    <s v="SE1A"/>
    <x v="7"/>
    <s v="GNR_RES_WTR_NOPMP_MC-02"/>
    <x v="0"/>
    <x v="4"/>
    <n v="405.5"/>
    <n v="148007.5"/>
    <n v="532827"/>
  </r>
  <r>
    <x v="0"/>
    <x v="0"/>
    <x v="0"/>
    <x v="9"/>
    <x v="17"/>
    <s v="SE1A"/>
    <x v="7"/>
    <s v="GNR_RES_WTR_NOPMP_MC-02"/>
    <x v="0"/>
    <x v="5"/>
    <n v="405.5"/>
    <n v="148007.5"/>
    <n v="532827"/>
  </r>
  <r>
    <x v="0"/>
    <x v="0"/>
    <x v="0"/>
    <x v="9"/>
    <x v="17"/>
    <s v="SE1A"/>
    <x v="7"/>
    <s v="GNR_RES_WTR_NOPMP_MC-02"/>
    <x v="0"/>
    <x v="6"/>
    <n v="405.5"/>
    <n v="148007.5"/>
    <n v="532827"/>
  </r>
  <r>
    <x v="0"/>
    <x v="0"/>
    <x v="0"/>
    <x v="9"/>
    <x v="17"/>
    <s v="SE1A"/>
    <x v="7"/>
    <s v="GNR_RES_WTR_NOPMP_MC-02"/>
    <x v="0"/>
    <x v="7"/>
    <n v="405.5"/>
    <n v="148007.5"/>
    <n v="532827"/>
  </r>
  <r>
    <x v="0"/>
    <x v="0"/>
    <x v="0"/>
    <x v="9"/>
    <x v="17"/>
    <s v="SE1A"/>
    <x v="7"/>
    <s v="GNR_RES_WTR_NOPMP_MC-02"/>
    <x v="0"/>
    <x v="8"/>
    <n v="405.5"/>
    <n v="148007.5"/>
    <n v="532827"/>
  </r>
  <r>
    <x v="0"/>
    <x v="0"/>
    <x v="0"/>
    <x v="9"/>
    <x v="17"/>
    <s v="SE1A"/>
    <x v="7"/>
    <s v="GNR_RES_WTR_NOPMP_MC-02"/>
    <x v="0"/>
    <x v="9"/>
    <n v="405.5"/>
    <n v="148007.5"/>
    <n v="532827"/>
  </r>
  <r>
    <x v="0"/>
    <x v="0"/>
    <x v="0"/>
    <x v="9"/>
    <x v="17"/>
    <s v="SE1A"/>
    <x v="7"/>
    <s v="GNR_RES_WTR_NOPMP_MC-02"/>
    <x v="0"/>
    <x v="10"/>
    <n v="405.5"/>
    <n v="148007.5"/>
    <n v="532827"/>
  </r>
  <r>
    <x v="0"/>
    <x v="0"/>
    <x v="0"/>
    <x v="9"/>
    <x v="17"/>
    <s v="SE1A"/>
    <x v="7"/>
    <s v="GNR_RES_WTR_NOPMP_MC-02"/>
    <x v="0"/>
    <x v="11"/>
    <n v="405.5"/>
    <n v="148007.5"/>
    <n v="532827"/>
  </r>
  <r>
    <x v="0"/>
    <x v="0"/>
    <x v="0"/>
    <x v="9"/>
    <x v="17"/>
    <s v="SE1A"/>
    <x v="7"/>
    <s v="GNR_RES_WTR_NOPMP_MC-02"/>
    <x v="0"/>
    <x v="12"/>
    <n v="405.5"/>
    <n v="148007.5"/>
    <n v="532827"/>
  </r>
  <r>
    <x v="0"/>
    <x v="0"/>
    <x v="0"/>
    <x v="9"/>
    <x v="17"/>
    <s v="SE1A"/>
    <x v="7"/>
    <s v="GNR_RES_WTR_NOPMP_MC-02"/>
    <x v="0"/>
    <x v="13"/>
    <n v="405.5"/>
    <n v="148007.5"/>
    <n v="532827"/>
  </r>
  <r>
    <x v="0"/>
    <x v="0"/>
    <x v="0"/>
    <x v="9"/>
    <x v="17"/>
    <s v="SE1A"/>
    <x v="7"/>
    <s v="GNR_RES_WTR_NOPMP_MC-02"/>
    <x v="0"/>
    <x v="14"/>
    <n v="405.5"/>
    <n v="148007.5"/>
    <n v="532827"/>
  </r>
  <r>
    <x v="0"/>
    <x v="0"/>
    <x v="0"/>
    <x v="9"/>
    <x v="17"/>
    <s v="SE1A"/>
    <x v="7"/>
    <s v="GNR_RES_WTR_NOPMP_MC-02"/>
    <x v="0"/>
    <x v="15"/>
    <n v="405.5"/>
    <n v="148007.5"/>
    <n v="532827"/>
  </r>
  <r>
    <x v="0"/>
    <x v="0"/>
    <x v="0"/>
    <x v="9"/>
    <x v="17"/>
    <s v="SE1A"/>
    <x v="7"/>
    <s v="GNR_RES_WTR_NOPMP_MC-02"/>
    <x v="0"/>
    <x v="16"/>
    <n v="405.5"/>
    <n v="148007.5"/>
    <n v="532827"/>
  </r>
  <r>
    <x v="0"/>
    <x v="0"/>
    <x v="0"/>
    <x v="9"/>
    <x v="17"/>
    <s v="SE1A"/>
    <x v="7"/>
    <s v="GNR_RES_WTR_NOPMP_MC-02"/>
    <x v="0"/>
    <x v="17"/>
    <n v="405.5"/>
    <n v="148007.5"/>
    <n v="532827"/>
  </r>
  <r>
    <x v="0"/>
    <x v="0"/>
    <x v="0"/>
    <x v="9"/>
    <x v="17"/>
    <s v="SE1A"/>
    <x v="7"/>
    <s v="GNR_RES_WTR_NOPMP_MC-02"/>
    <x v="0"/>
    <x v="19"/>
    <n v="405.5"/>
    <n v="148007.5"/>
    <n v="532827"/>
  </r>
  <r>
    <x v="0"/>
    <x v="0"/>
    <x v="0"/>
    <x v="9"/>
    <x v="17"/>
    <s v="SE1A"/>
    <x v="7"/>
    <s v="GNR_RES_WTR_NOPMP_MC-02"/>
    <x v="0"/>
    <x v="20"/>
    <n v="405.5"/>
    <n v="148007.5"/>
    <n v="532827"/>
  </r>
  <r>
    <x v="0"/>
    <x v="0"/>
    <x v="0"/>
    <x v="9"/>
    <x v="17"/>
    <s v="SE1A"/>
    <x v="7"/>
    <s v="GNR_RES_WTR_NOPMP_MC-02"/>
    <x v="0"/>
    <x v="21"/>
    <n v="405.5"/>
    <n v="148007.5"/>
    <n v="532827"/>
  </r>
  <r>
    <x v="0"/>
    <x v="0"/>
    <x v="0"/>
    <x v="9"/>
    <x v="17"/>
    <s v="SE1A"/>
    <x v="7"/>
    <s v="GNR_RES_WTR_NOPMP_MC-02"/>
    <x v="0"/>
    <x v="22"/>
    <n v="405.5"/>
    <n v="148007.5"/>
    <n v="532827"/>
  </r>
  <r>
    <x v="0"/>
    <x v="0"/>
    <x v="0"/>
    <x v="9"/>
    <x v="17"/>
    <s v="SE1A"/>
    <x v="7"/>
    <s v="GNR_RES_WTR_NOPMP_MC-02"/>
    <x v="0"/>
    <x v="23"/>
    <n v="405.5"/>
    <n v="148007.5"/>
    <n v="532827"/>
  </r>
  <r>
    <x v="0"/>
    <x v="0"/>
    <x v="0"/>
    <x v="9"/>
    <x v="17"/>
    <s v="SE1A"/>
    <x v="7"/>
    <s v="GNR_RES_WTR_NOPMP_MC-03"/>
    <x v="0"/>
    <x v="0"/>
    <n v="405.5"/>
    <n v="148007.5"/>
    <n v="532827"/>
  </r>
  <r>
    <x v="0"/>
    <x v="0"/>
    <x v="0"/>
    <x v="9"/>
    <x v="17"/>
    <s v="SE1A"/>
    <x v="7"/>
    <s v="GNR_RES_WTR_NOPMP_MC-03"/>
    <x v="0"/>
    <x v="1"/>
    <n v="405.5"/>
    <n v="148007.5"/>
    <n v="532827"/>
  </r>
  <r>
    <x v="0"/>
    <x v="0"/>
    <x v="0"/>
    <x v="9"/>
    <x v="17"/>
    <s v="SE1A"/>
    <x v="7"/>
    <s v="GNR_RES_WTR_NOPMP_MC-03"/>
    <x v="0"/>
    <x v="2"/>
    <n v="405.5"/>
    <n v="148007.5"/>
    <n v="532827"/>
  </r>
  <r>
    <x v="0"/>
    <x v="0"/>
    <x v="0"/>
    <x v="9"/>
    <x v="17"/>
    <s v="SE1A"/>
    <x v="7"/>
    <s v="GNR_RES_WTR_NOPMP_MC-03"/>
    <x v="0"/>
    <x v="3"/>
    <n v="405.5"/>
    <n v="148007.5"/>
    <n v="532827"/>
  </r>
  <r>
    <x v="0"/>
    <x v="0"/>
    <x v="0"/>
    <x v="9"/>
    <x v="17"/>
    <s v="SE1A"/>
    <x v="7"/>
    <s v="GNR_RES_WTR_NOPMP_MC-03"/>
    <x v="0"/>
    <x v="18"/>
    <n v="405.5"/>
    <n v="148007.5"/>
    <n v="532827"/>
  </r>
  <r>
    <x v="0"/>
    <x v="0"/>
    <x v="0"/>
    <x v="9"/>
    <x v="17"/>
    <s v="SE1A"/>
    <x v="7"/>
    <s v="GNR_RES_WTR_NOPMP_MC-03"/>
    <x v="0"/>
    <x v="4"/>
    <n v="405.5"/>
    <n v="148007.5"/>
    <n v="532827"/>
  </r>
  <r>
    <x v="0"/>
    <x v="0"/>
    <x v="0"/>
    <x v="9"/>
    <x v="17"/>
    <s v="SE1A"/>
    <x v="7"/>
    <s v="GNR_RES_WTR_NOPMP_MC-03"/>
    <x v="0"/>
    <x v="5"/>
    <n v="405.5"/>
    <n v="148007.5"/>
    <n v="532827"/>
  </r>
  <r>
    <x v="0"/>
    <x v="0"/>
    <x v="0"/>
    <x v="9"/>
    <x v="17"/>
    <s v="SE1A"/>
    <x v="7"/>
    <s v="GNR_RES_WTR_NOPMP_MC-03"/>
    <x v="0"/>
    <x v="6"/>
    <n v="405.5"/>
    <n v="148007.5"/>
    <n v="532827"/>
  </r>
  <r>
    <x v="0"/>
    <x v="0"/>
    <x v="0"/>
    <x v="9"/>
    <x v="17"/>
    <s v="SE1A"/>
    <x v="7"/>
    <s v="GNR_RES_WTR_NOPMP_MC-03"/>
    <x v="0"/>
    <x v="7"/>
    <n v="405.5"/>
    <n v="148007.5"/>
    <n v="532827"/>
  </r>
  <r>
    <x v="0"/>
    <x v="0"/>
    <x v="0"/>
    <x v="9"/>
    <x v="17"/>
    <s v="SE1A"/>
    <x v="7"/>
    <s v="GNR_RES_WTR_NOPMP_MC-03"/>
    <x v="0"/>
    <x v="8"/>
    <n v="405.5"/>
    <n v="148007.5"/>
    <n v="532827"/>
  </r>
  <r>
    <x v="0"/>
    <x v="0"/>
    <x v="0"/>
    <x v="9"/>
    <x v="17"/>
    <s v="SE1A"/>
    <x v="7"/>
    <s v="GNR_RES_WTR_NOPMP_MC-03"/>
    <x v="0"/>
    <x v="9"/>
    <n v="405.5"/>
    <n v="148007.5"/>
    <n v="532827"/>
  </r>
  <r>
    <x v="0"/>
    <x v="0"/>
    <x v="0"/>
    <x v="9"/>
    <x v="17"/>
    <s v="SE1A"/>
    <x v="7"/>
    <s v="GNR_RES_WTR_NOPMP_MC-03"/>
    <x v="0"/>
    <x v="10"/>
    <n v="405.5"/>
    <n v="148007.5"/>
    <n v="532827"/>
  </r>
  <r>
    <x v="0"/>
    <x v="0"/>
    <x v="0"/>
    <x v="9"/>
    <x v="17"/>
    <s v="SE1A"/>
    <x v="7"/>
    <s v="GNR_RES_WTR_NOPMP_MC-03"/>
    <x v="0"/>
    <x v="11"/>
    <n v="405.5"/>
    <n v="148007.5"/>
    <n v="532827"/>
  </r>
  <r>
    <x v="0"/>
    <x v="0"/>
    <x v="0"/>
    <x v="9"/>
    <x v="17"/>
    <s v="SE1A"/>
    <x v="7"/>
    <s v="GNR_RES_WTR_NOPMP_MC-03"/>
    <x v="0"/>
    <x v="12"/>
    <n v="405.5"/>
    <n v="148007.5"/>
    <n v="532827"/>
  </r>
  <r>
    <x v="0"/>
    <x v="0"/>
    <x v="0"/>
    <x v="9"/>
    <x v="17"/>
    <s v="SE1A"/>
    <x v="7"/>
    <s v="GNR_RES_WTR_NOPMP_MC-03"/>
    <x v="0"/>
    <x v="13"/>
    <n v="405.5"/>
    <n v="148007.5"/>
    <n v="532827"/>
  </r>
  <r>
    <x v="0"/>
    <x v="0"/>
    <x v="0"/>
    <x v="9"/>
    <x v="17"/>
    <s v="SE1A"/>
    <x v="7"/>
    <s v="GNR_RES_WTR_NOPMP_MC-03"/>
    <x v="0"/>
    <x v="14"/>
    <n v="405.5"/>
    <n v="148007.5"/>
    <n v="532827"/>
  </r>
  <r>
    <x v="0"/>
    <x v="0"/>
    <x v="0"/>
    <x v="9"/>
    <x v="17"/>
    <s v="SE1A"/>
    <x v="7"/>
    <s v="GNR_RES_WTR_NOPMP_MC-03"/>
    <x v="0"/>
    <x v="15"/>
    <n v="405.5"/>
    <n v="148007.5"/>
    <n v="532827"/>
  </r>
  <r>
    <x v="0"/>
    <x v="0"/>
    <x v="0"/>
    <x v="9"/>
    <x v="17"/>
    <s v="SE1A"/>
    <x v="7"/>
    <s v="GNR_RES_WTR_NOPMP_MC-03"/>
    <x v="0"/>
    <x v="16"/>
    <n v="405.5"/>
    <n v="148007.5"/>
    <n v="532827"/>
  </r>
  <r>
    <x v="0"/>
    <x v="0"/>
    <x v="0"/>
    <x v="9"/>
    <x v="17"/>
    <s v="SE1A"/>
    <x v="7"/>
    <s v="GNR_RES_WTR_NOPMP_MC-03"/>
    <x v="0"/>
    <x v="17"/>
    <n v="405.5"/>
    <n v="148007.5"/>
    <n v="532827"/>
  </r>
  <r>
    <x v="0"/>
    <x v="0"/>
    <x v="0"/>
    <x v="9"/>
    <x v="17"/>
    <s v="SE1A"/>
    <x v="7"/>
    <s v="GNR_RES_WTR_NOPMP_MC-03"/>
    <x v="0"/>
    <x v="19"/>
    <n v="405.5"/>
    <n v="148007.5"/>
    <n v="532827"/>
  </r>
  <r>
    <x v="0"/>
    <x v="0"/>
    <x v="0"/>
    <x v="9"/>
    <x v="17"/>
    <s v="SE1A"/>
    <x v="7"/>
    <s v="GNR_RES_WTR_NOPMP_MC-03"/>
    <x v="0"/>
    <x v="20"/>
    <n v="405.5"/>
    <n v="148007.5"/>
    <n v="532827"/>
  </r>
  <r>
    <x v="0"/>
    <x v="0"/>
    <x v="0"/>
    <x v="9"/>
    <x v="17"/>
    <s v="SE1A"/>
    <x v="7"/>
    <s v="GNR_RES_WTR_NOPMP_MC-03"/>
    <x v="0"/>
    <x v="21"/>
    <n v="405.5"/>
    <n v="148007.5"/>
    <n v="532827"/>
  </r>
  <r>
    <x v="0"/>
    <x v="0"/>
    <x v="0"/>
    <x v="9"/>
    <x v="17"/>
    <s v="SE1A"/>
    <x v="7"/>
    <s v="GNR_RES_WTR_NOPMP_MC-03"/>
    <x v="0"/>
    <x v="22"/>
    <n v="334.96544645982101"/>
    <n v="122262.387957835"/>
    <n v="440144.59664820402"/>
  </r>
  <r>
    <x v="0"/>
    <x v="0"/>
    <x v="0"/>
    <x v="9"/>
    <x v="17"/>
    <s v="SE1A"/>
    <x v="7"/>
    <s v="GNR_RES_WTR_NOPMP_MC-04"/>
    <x v="0"/>
    <x v="18"/>
    <n v="13.1115720491084"/>
    <n v="4785.7237979245701"/>
    <n v="17228.605672528502"/>
  </r>
  <r>
    <x v="0"/>
    <x v="0"/>
    <x v="0"/>
    <x v="9"/>
    <x v="17"/>
    <s v="SE1A"/>
    <x v="7"/>
    <s v="GNR_RES_WTR_NOPMP_MC-04"/>
    <x v="0"/>
    <x v="4"/>
    <n v="223.47549679007301"/>
    <n v="81568.556328376493"/>
    <n v="293646.80278215499"/>
  </r>
  <r>
    <x v="0"/>
    <x v="0"/>
    <x v="0"/>
    <x v="9"/>
    <x v="17"/>
    <s v="SE1A"/>
    <x v="7"/>
    <s v="GNR_RES_WTR_NOPMP_MC-04"/>
    <x v="0"/>
    <x v="5"/>
    <n v="405.5"/>
    <n v="148007.5"/>
    <n v="532827"/>
  </r>
  <r>
    <x v="0"/>
    <x v="0"/>
    <x v="0"/>
    <x v="9"/>
    <x v="17"/>
    <s v="SE1A"/>
    <x v="7"/>
    <s v="GNR_RES_WTR_NOPMP_MC-04"/>
    <x v="0"/>
    <x v="6"/>
    <n v="405.5"/>
    <n v="148007.5"/>
    <n v="532827"/>
  </r>
  <r>
    <x v="0"/>
    <x v="0"/>
    <x v="0"/>
    <x v="9"/>
    <x v="17"/>
    <s v="SE1A"/>
    <x v="7"/>
    <s v="GNR_RES_WTR_NOPMP_MC-04"/>
    <x v="0"/>
    <x v="7"/>
    <n v="405.5"/>
    <n v="148007.5"/>
    <n v="532827"/>
  </r>
  <r>
    <x v="0"/>
    <x v="0"/>
    <x v="0"/>
    <x v="9"/>
    <x v="17"/>
    <s v="SE1A"/>
    <x v="7"/>
    <s v="GNR_RES_WTR_NOPMP_MC-04"/>
    <x v="0"/>
    <x v="8"/>
    <n v="405.5"/>
    <n v="148007.5"/>
    <n v="532827"/>
  </r>
  <r>
    <x v="0"/>
    <x v="0"/>
    <x v="0"/>
    <x v="9"/>
    <x v="17"/>
    <s v="SE1A"/>
    <x v="7"/>
    <s v="GNR_RES_WTR_NOPMP_MC-04"/>
    <x v="0"/>
    <x v="9"/>
    <n v="405.5"/>
    <n v="148007.5"/>
    <n v="532827"/>
  </r>
  <r>
    <x v="0"/>
    <x v="0"/>
    <x v="0"/>
    <x v="9"/>
    <x v="17"/>
    <s v="SE1A"/>
    <x v="7"/>
    <s v="GNR_RES_WTR_NOPMP_MC-04"/>
    <x v="0"/>
    <x v="10"/>
    <n v="405.5"/>
    <n v="148007.5"/>
    <n v="532827"/>
  </r>
  <r>
    <x v="0"/>
    <x v="0"/>
    <x v="0"/>
    <x v="9"/>
    <x v="17"/>
    <s v="SE1A"/>
    <x v="7"/>
    <s v="GNR_RES_WTR_NOPMP_MC-04"/>
    <x v="0"/>
    <x v="11"/>
    <n v="405.5"/>
    <n v="148007.5"/>
    <n v="532827"/>
  </r>
  <r>
    <x v="0"/>
    <x v="0"/>
    <x v="0"/>
    <x v="9"/>
    <x v="17"/>
    <s v="SE1A"/>
    <x v="7"/>
    <s v="GNR_RES_WTR_NOPMP_MC-04"/>
    <x v="0"/>
    <x v="12"/>
    <n v="405.5"/>
    <n v="148007.5"/>
    <n v="532827"/>
  </r>
  <r>
    <x v="0"/>
    <x v="0"/>
    <x v="0"/>
    <x v="9"/>
    <x v="17"/>
    <s v="SE1A"/>
    <x v="7"/>
    <s v="GNR_RES_WTR_NOPMP_MC-04"/>
    <x v="0"/>
    <x v="13"/>
    <n v="405.5"/>
    <n v="148007.5"/>
    <n v="532827"/>
  </r>
  <r>
    <x v="0"/>
    <x v="0"/>
    <x v="0"/>
    <x v="9"/>
    <x v="17"/>
    <s v="SE1A"/>
    <x v="7"/>
    <s v="GNR_RES_WTR_NOPMP_MC-04"/>
    <x v="0"/>
    <x v="14"/>
    <n v="405.5"/>
    <n v="148007.5"/>
    <n v="532827"/>
  </r>
  <r>
    <x v="0"/>
    <x v="0"/>
    <x v="0"/>
    <x v="9"/>
    <x v="17"/>
    <s v="SE1A"/>
    <x v="7"/>
    <s v="GNR_RES_WTR_NOPMP_MC-04"/>
    <x v="0"/>
    <x v="15"/>
    <n v="405.5"/>
    <n v="148007.5"/>
    <n v="532827"/>
  </r>
  <r>
    <x v="0"/>
    <x v="0"/>
    <x v="0"/>
    <x v="9"/>
    <x v="17"/>
    <s v="SE1A"/>
    <x v="7"/>
    <s v="GNR_RES_WTR_NOPMP_MC-04"/>
    <x v="0"/>
    <x v="16"/>
    <n v="405.5"/>
    <n v="148007.5"/>
    <n v="532827"/>
  </r>
  <r>
    <x v="0"/>
    <x v="0"/>
    <x v="0"/>
    <x v="9"/>
    <x v="17"/>
    <s v="SE1A"/>
    <x v="7"/>
    <s v="GNR_RES_WTR_NOPMP_MC-04"/>
    <x v="0"/>
    <x v="17"/>
    <n v="31.782769177515299"/>
    <n v="11600.710749793099"/>
    <n v="41762.558699255103"/>
  </r>
  <r>
    <x v="0"/>
    <x v="0"/>
    <x v="0"/>
    <x v="9"/>
    <x v="17"/>
    <s v="SE1A"/>
    <x v="7"/>
    <s v="GNR_RES_WTR_NOPMP_MC-04"/>
    <x v="0"/>
    <x v="19"/>
    <n v="198.53699655544801"/>
    <n v="72466.0037427387"/>
    <n v="260877.613473859"/>
  </r>
  <r>
    <x v="0"/>
    <x v="0"/>
    <x v="0"/>
    <x v="9"/>
    <x v="17"/>
    <s v="SE1A"/>
    <x v="7"/>
    <s v="GNR_RES_WTR_NOPMP_MC-04"/>
    <x v="0"/>
    <x v="20"/>
    <n v="186.816406900213"/>
    <n v="68187.988518577695"/>
    <n v="245476.75866687999"/>
  </r>
  <r>
    <x v="0"/>
    <x v="0"/>
    <x v="0"/>
    <x v="9"/>
    <x v="17"/>
    <s v="SE1A"/>
    <x v="7"/>
    <s v="GNR_RES_WTR_NOPMP_MC-04"/>
    <x v="0"/>
    <x v="21"/>
    <n v="94.183983434451605"/>
    <n v="34377.153953574903"/>
    <n v="123757.754232869"/>
  </r>
  <r>
    <x v="0"/>
    <x v="0"/>
    <x v="0"/>
    <x v="9"/>
    <x v="17"/>
    <s v="SE1A"/>
    <x v="7"/>
    <s v="GNR_RES_WTR_NOPMP_MC-05"/>
    <x v="0"/>
    <x v="5"/>
    <n v="28.728521285499699"/>
    <n v="10485.910269207399"/>
    <n v="37749.276969146602"/>
  </r>
  <r>
    <x v="0"/>
    <x v="0"/>
    <x v="0"/>
    <x v="9"/>
    <x v="17"/>
    <s v="SE1A"/>
    <x v="7"/>
    <s v="GNR_RES_WTR_NOPMP_MC-05"/>
    <x v="0"/>
    <x v="6"/>
    <n v="405.5"/>
    <n v="148007.5"/>
    <n v="532827"/>
  </r>
  <r>
    <x v="0"/>
    <x v="0"/>
    <x v="0"/>
    <x v="9"/>
    <x v="17"/>
    <s v="SE1A"/>
    <x v="7"/>
    <s v="GNR_RES_WTR_NOPMP_MC-05"/>
    <x v="0"/>
    <x v="7"/>
    <n v="405.5"/>
    <n v="148007.5"/>
    <n v="532827"/>
  </r>
  <r>
    <x v="0"/>
    <x v="0"/>
    <x v="0"/>
    <x v="9"/>
    <x v="17"/>
    <s v="SE1A"/>
    <x v="7"/>
    <s v="GNR_RES_WTR_NOPMP_MC-05"/>
    <x v="0"/>
    <x v="8"/>
    <n v="405.5"/>
    <n v="148007.5"/>
    <n v="532827"/>
  </r>
  <r>
    <x v="0"/>
    <x v="0"/>
    <x v="0"/>
    <x v="9"/>
    <x v="17"/>
    <s v="SE1A"/>
    <x v="7"/>
    <s v="GNR_RES_WTR_NOPMP_MC-05"/>
    <x v="0"/>
    <x v="9"/>
    <n v="405.5"/>
    <n v="148007.5"/>
    <n v="532827"/>
  </r>
  <r>
    <x v="0"/>
    <x v="0"/>
    <x v="0"/>
    <x v="9"/>
    <x v="17"/>
    <s v="SE1A"/>
    <x v="7"/>
    <s v="GNR_RES_WTR_NOPMP_MC-05"/>
    <x v="0"/>
    <x v="10"/>
    <n v="58.923275131581001"/>
    <n v="21506.9954230271"/>
    <n v="77425.183522897496"/>
  </r>
  <r>
    <x v="0"/>
    <x v="0"/>
    <x v="0"/>
    <x v="9"/>
    <x v="17"/>
    <s v="SE1A"/>
    <x v="7"/>
    <s v="GNR_RES_WTR_NOPMP_MC-05"/>
    <x v="0"/>
    <x v="11"/>
    <n v="132.29790599883401"/>
    <n v="48288.735689574401"/>
    <n v="173839.448482468"/>
  </r>
  <r>
    <x v="0"/>
    <x v="0"/>
    <x v="0"/>
    <x v="9"/>
    <x v="17"/>
    <s v="SE1A"/>
    <x v="7"/>
    <s v="GNR_RES_WTR_NOPMP_MC-05"/>
    <x v="0"/>
    <x v="12"/>
    <n v="78.274619345968404"/>
    <n v="28570.236061278501"/>
    <n v="102852.849820602"/>
  </r>
  <r>
    <x v="0"/>
    <x v="0"/>
    <x v="0"/>
    <x v="9"/>
    <x v="17"/>
    <s v="SE1A"/>
    <x v="7"/>
    <s v="GNR_RES_WTR_NOPMP_MC-05"/>
    <x v="0"/>
    <x v="13"/>
    <n v="143.56395504067899"/>
    <n v="52400.843589847696"/>
    <n v="188643.03692345199"/>
  </r>
  <r>
    <x v="0"/>
    <x v="0"/>
    <x v="0"/>
    <x v="9"/>
    <x v="17"/>
    <s v="SE1A"/>
    <x v="7"/>
    <s v="GNR_RES_WTR_NOPMP_MC-05"/>
    <x v="0"/>
    <x v="14"/>
    <n v="47.197171238068897"/>
    <n v="17226.967501895098"/>
    <n v="62017.083006822497"/>
  </r>
  <r>
    <x v="0"/>
    <x v="0"/>
    <x v="0"/>
    <x v="9"/>
    <x v="17"/>
    <s v="SE1A"/>
    <x v="7"/>
    <s v="GNR_ROR_WTR"/>
    <x v="0"/>
    <x v="0"/>
    <n v="564.07145309684904"/>
    <n v="205886.08038035"/>
    <n v="741189.88936926005"/>
  </r>
  <r>
    <x v="0"/>
    <x v="0"/>
    <x v="0"/>
    <x v="9"/>
    <x v="17"/>
    <s v="SE1A"/>
    <x v="7"/>
    <s v="GNR_ROR_WTR"/>
    <x v="0"/>
    <x v="1"/>
    <n v="564.07145309684904"/>
    <n v="205886.08038035"/>
    <n v="741189.88936926005"/>
  </r>
  <r>
    <x v="0"/>
    <x v="0"/>
    <x v="0"/>
    <x v="9"/>
    <x v="17"/>
    <s v="SE1A"/>
    <x v="7"/>
    <s v="GNR_ROR_WTR"/>
    <x v="0"/>
    <x v="2"/>
    <n v="564.07145309684904"/>
    <n v="205886.08038035"/>
    <n v="741189.88936926005"/>
  </r>
  <r>
    <x v="0"/>
    <x v="0"/>
    <x v="0"/>
    <x v="9"/>
    <x v="17"/>
    <s v="SE1A"/>
    <x v="7"/>
    <s v="GNR_ROR_WTR"/>
    <x v="0"/>
    <x v="3"/>
    <n v="564.07145309684904"/>
    <n v="205886.08038035"/>
    <n v="741189.88936926005"/>
  </r>
  <r>
    <x v="0"/>
    <x v="0"/>
    <x v="0"/>
    <x v="9"/>
    <x v="17"/>
    <s v="SE1A"/>
    <x v="7"/>
    <s v="GNR_ROR_WTR"/>
    <x v="0"/>
    <x v="18"/>
    <n v="564.07145309684904"/>
    <n v="205886.08038035"/>
    <n v="741189.88936926005"/>
  </r>
  <r>
    <x v="0"/>
    <x v="0"/>
    <x v="0"/>
    <x v="9"/>
    <x v="17"/>
    <s v="SE1A"/>
    <x v="7"/>
    <s v="GNR_ROR_WTR"/>
    <x v="0"/>
    <x v="4"/>
    <n v="564.07145309684904"/>
    <n v="205886.08038035"/>
    <n v="741189.88936926005"/>
  </r>
  <r>
    <x v="0"/>
    <x v="0"/>
    <x v="0"/>
    <x v="9"/>
    <x v="17"/>
    <s v="SE1A"/>
    <x v="7"/>
    <s v="GNR_ROR_WTR"/>
    <x v="0"/>
    <x v="5"/>
    <n v="564.07145309684904"/>
    <n v="205886.08038035"/>
    <n v="741189.88936926005"/>
  </r>
  <r>
    <x v="0"/>
    <x v="0"/>
    <x v="0"/>
    <x v="9"/>
    <x v="17"/>
    <s v="SE1A"/>
    <x v="7"/>
    <s v="GNR_ROR_WTR"/>
    <x v="0"/>
    <x v="6"/>
    <n v="564.07145309684904"/>
    <n v="205886.08038035"/>
    <n v="741189.88936926005"/>
  </r>
  <r>
    <x v="0"/>
    <x v="0"/>
    <x v="0"/>
    <x v="9"/>
    <x v="17"/>
    <s v="SE1A"/>
    <x v="7"/>
    <s v="GNR_ROR_WTR"/>
    <x v="0"/>
    <x v="7"/>
    <n v="564.07145309684904"/>
    <n v="205886.08038035"/>
    <n v="741189.88936926005"/>
  </r>
  <r>
    <x v="0"/>
    <x v="0"/>
    <x v="0"/>
    <x v="9"/>
    <x v="17"/>
    <s v="SE1A"/>
    <x v="7"/>
    <s v="GNR_ROR_WTR"/>
    <x v="0"/>
    <x v="8"/>
    <n v="564.07145309684904"/>
    <n v="205886.08038035"/>
    <n v="741189.88936926005"/>
  </r>
  <r>
    <x v="0"/>
    <x v="0"/>
    <x v="0"/>
    <x v="9"/>
    <x v="17"/>
    <s v="SE1A"/>
    <x v="7"/>
    <s v="GNR_ROR_WTR"/>
    <x v="0"/>
    <x v="9"/>
    <n v="564.07145309684904"/>
    <n v="205886.08038035"/>
    <n v="741189.88936926005"/>
  </r>
  <r>
    <x v="0"/>
    <x v="0"/>
    <x v="0"/>
    <x v="9"/>
    <x v="17"/>
    <s v="SE1A"/>
    <x v="7"/>
    <s v="GNR_ROR_WTR"/>
    <x v="0"/>
    <x v="10"/>
    <n v="564.07145309684904"/>
    <n v="205886.08038035"/>
    <n v="741189.88936926005"/>
  </r>
  <r>
    <x v="0"/>
    <x v="0"/>
    <x v="0"/>
    <x v="9"/>
    <x v="17"/>
    <s v="SE1A"/>
    <x v="7"/>
    <s v="GNR_ROR_WTR"/>
    <x v="0"/>
    <x v="11"/>
    <n v="564.07145309684904"/>
    <n v="205886.08038035"/>
    <n v="741189.88936926005"/>
  </r>
  <r>
    <x v="0"/>
    <x v="0"/>
    <x v="0"/>
    <x v="9"/>
    <x v="17"/>
    <s v="SE1A"/>
    <x v="7"/>
    <s v="GNR_ROR_WTR"/>
    <x v="0"/>
    <x v="12"/>
    <n v="564.07145309684904"/>
    <n v="205886.08038035"/>
    <n v="741189.88936926005"/>
  </r>
  <r>
    <x v="0"/>
    <x v="0"/>
    <x v="0"/>
    <x v="9"/>
    <x v="17"/>
    <s v="SE1A"/>
    <x v="7"/>
    <s v="GNR_ROR_WTR"/>
    <x v="0"/>
    <x v="13"/>
    <n v="564.07145309684904"/>
    <n v="205886.08038035"/>
    <n v="741189.88936926005"/>
  </r>
  <r>
    <x v="0"/>
    <x v="0"/>
    <x v="0"/>
    <x v="9"/>
    <x v="17"/>
    <s v="SE1A"/>
    <x v="7"/>
    <s v="GNR_ROR_WTR"/>
    <x v="0"/>
    <x v="14"/>
    <n v="564.07145309684904"/>
    <n v="205886.08038035"/>
    <n v="741189.88936926005"/>
  </r>
  <r>
    <x v="0"/>
    <x v="0"/>
    <x v="0"/>
    <x v="9"/>
    <x v="17"/>
    <s v="SE1A"/>
    <x v="7"/>
    <s v="GNR_ROR_WTR"/>
    <x v="0"/>
    <x v="15"/>
    <n v="564.07145309684904"/>
    <n v="205886.08038035"/>
    <n v="741189.88936926005"/>
  </r>
  <r>
    <x v="0"/>
    <x v="0"/>
    <x v="0"/>
    <x v="9"/>
    <x v="17"/>
    <s v="SE1A"/>
    <x v="7"/>
    <s v="GNR_ROR_WTR"/>
    <x v="0"/>
    <x v="16"/>
    <n v="564.07145309684904"/>
    <n v="205886.08038035"/>
    <n v="741189.88936926005"/>
  </r>
  <r>
    <x v="0"/>
    <x v="0"/>
    <x v="0"/>
    <x v="9"/>
    <x v="17"/>
    <s v="SE1A"/>
    <x v="7"/>
    <s v="GNR_ROR_WTR"/>
    <x v="0"/>
    <x v="17"/>
    <n v="564.07145309684904"/>
    <n v="205886.08038035"/>
    <n v="741189.88936926005"/>
  </r>
  <r>
    <x v="0"/>
    <x v="0"/>
    <x v="0"/>
    <x v="9"/>
    <x v="17"/>
    <s v="SE1A"/>
    <x v="7"/>
    <s v="GNR_ROR_WTR"/>
    <x v="0"/>
    <x v="19"/>
    <n v="564.07145309684904"/>
    <n v="205886.08038035"/>
    <n v="741189.88936926005"/>
  </r>
  <r>
    <x v="0"/>
    <x v="0"/>
    <x v="0"/>
    <x v="9"/>
    <x v="17"/>
    <s v="SE1A"/>
    <x v="7"/>
    <s v="GNR_ROR_WTR"/>
    <x v="0"/>
    <x v="20"/>
    <n v="564.07145309684904"/>
    <n v="205886.08038035"/>
    <n v="741189.88936926005"/>
  </r>
  <r>
    <x v="0"/>
    <x v="0"/>
    <x v="0"/>
    <x v="9"/>
    <x v="17"/>
    <s v="SE1A"/>
    <x v="7"/>
    <s v="GNR_ROR_WTR"/>
    <x v="0"/>
    <x v="21"/>
    <n v="564.07145309684904"/>
    <n v="205886.08038035"/>
    <n v="741189.88936926005"/>
  </r>
  <r>
    <x v="0"/>
    <x v="0"/>
    <x v="0"/>
    <x v="9"/>
    <x v="17"/>
    <s v="SE1A"/>
    <x v="7"/>
    <s v="GNR_ROR_WTR"/>
    <x v="0"/>
    <x v="22"/>
    <n v="564.07145309684904"/>
    <n v="205886.08038035"/>
    <n v="741189.88936926005"/>
  </r>
  <r>
    <x v="0"/>
    <x v="0"/>
    <x v="0"/>
    <x v="9"/>
    <x v="17"/>
    <s v="SE1A"/>
    <x v="7"/>
    <s v="GNR_ROR_WTR"/>
    <x v="0"/>
    <x v="23"/>
    <n v="564.07145309684904"/>
    <n v="205886.08038035"/>
    <n v="741189.88936926005"/>
  </r>
  <r>
    <x v="0"/>
    <x v="0"/>
    <x v="0"/>
    <x v="9"/>
    <x v="17"/>
    <s v="SE1A"/>
    <x v="8"/>
    <s v="GNR_WT_WIND_ONS"/>
    <x v="0"/>
    <x v="0"/>
    <n v="12.6986819604206"/>
    <n v="4635.0189155535099"/>
    <n v="16686.068095992599"/>
  </r>
  <r>
    <x v="0"/>
    <x v="0"/>
    <x v="0"/>
    <x v="9"/>
    <x v="17"/>
    <s v="SE1A"/>
    <x v="8"/>
    <s v="GNR_WT_WIND_ONS"/>
    <x v="0"/>
    <x v="1"/>
    <n v="13.0260041018901"/>
    <n v="4754.4914971898697"/>
    <n v="17116.1693898835"/>
  </r>
  <r>
    <x v="0"/>
    <x v="0"/>
    <x v="0"/>
    <x v="9"/>
    <x v="17"/>
    <s v="SE1A"/>
    <x v="8"/>
    <s v="GNR_WT_WIND_ONS"/>
    <x v="0"/>
    <x v="2"/>
    <n v="17.789426711495501"/>
    <n v="6493.14074969585"/>
    <n v="23375.3066989051"/>
  </r>
  <r>
    <x v="0"/>
    <x v="0"/>
    <x v="0"/>
    <x v="9"/>
    <x v="17"/>
    <s v="SE1A"/>
    <x v="8"/>
    <s v="GNR_WT_WIND_ONS"/>
    <x v="0"/>
    <x v="3"/>
    <n v="29.958494981496301"/>
    <n v="10934.850668246099"/>
    <n v="39365.462405686099"/>
  </r>
  <r>
    <x v="0"/>
    <x v="0"/>
    <x v="0"/>
    <x v="9"/>
    <x v="17"/>
    <s v="SE1A"/>
    <x v="8"/>
    <s v="GNR_WT_WIND_ONS"/>
    <x v="0"/>
    <x v="18"/>
    <n v="14.519702371670601"/>
    <n v="5299.6913656597799"/>
    <n v="19078.888916375199"/>
  </r>
  <r>
    <x v="0"/>
    <x v="0"/>
    <x v="0"/>
    <x v="9"/>
    <x v="17"/>
    <s v="SE1A"/>
    <x v="8"/>
    <s v="GNR_WT_WIND_ONS"/>
    <x v="0"/>
    <x v="4"/>
    <n v="37.7820817525226"/>
    <n v="13790.459839670701"/>
    <n v="49645.655422814598"/>
  </r>
  <r>
    <x v="0"/>
    <x v="0"/>
    <x v="0"/>
    <x v="9"/>
    <x v="17"/>
    <s v="SE1A"/>
    <x v="8"/>
    <s v="GNR_WT_WIND_ONS"/>
    <x v="0"/>
    <x v="5"/>
    <n v="44.3437226253156"/>
    <n v="16185.4587582402"/>
    <n v="58267.651529664603"/>
  </r>
  <r>
    <x v="0"/>
    <x v="0"/>
    <x v="0"/>
    <x v="9"/>
    <x v="17"/>
    <s v="SE1A"/>
    <x v="8"/>
    <s v="GNR_WT_WIND_ONS"/>
    <x v="0"/>
    <x v="6"/>
    <n v="25.170287870340999"/>
    <n v="9187.1550726744608"/>
    <n v="33073.7582616281"/>
  </r>
  <r>
    <x v="0"/>
    <x v="0"/>
    <x v="0"/>
    <x v="9"/>
    <x v="17"/>
    <s v="SE1A"/>
    <x v="8"/>
    <s v="GNR_WT_WIND_ONS"/>
    <x v="0"/>
    <x v="7"/>
    <n v="19.993122673131801"/>
    <n v="7297.4897756930995"/>
    <n v="26270.963192495201"/>
  </r>
  <r>
    <x v="0"/>
    <x v="0"/>
    <x v="0"/>
    <x v="9"/>
    <x v="17"/>
    <s v="SE1A"/>
    <x v="8"/>
    <s v="GNR_WT_WIND_ONS"/>
    <x v="0"/>
    <x v="8"/>
    <n v="15.610637242392899"/>
    <n v="5697.8825934734105"/>
    <n v="20512.377336504302"/>
  </r>
  <r>
    <x v="0"/>
    <x v="0"/>
    <x v="0"/>
    <x v="9"/>
    <x v="17"/>
    <s v="SE1A"/>
    <x v="8"/>
    <s v="GNR_WT_WIND_ONS"/>
    <x v="0"/>
    <x v="9"/>
    <n v="11.7664268619263"/>
    <n v="4294.7458046031097"/>
    <n v="15461.084896571199"/>
  </r>
  <r>
    <x v="0"/>
    <x v="0"/>
    <x v="0"/>
    <x v="9"/>
    <x v="17"/>
    <s v="SE1A"/>
    <x v="8"/>
    <s v="GNR_WT_WIND_ONS"/>
    <x v="0"/>
    <x v="10"/>
    <n v="9.3043743283505993"/>
    <n v="3396.0966298479698"/>
    <n v="12225.9478674527"/>
  </r>
  <r>
    <x v="0"/>
    <x v="0"/>
    <x v="0"/>
    <x v="9"/>
    <x v="17"/>
    <s v="SE1A"/>
    <x v="8"/>
    <s v="GNR_WT_WIND_ONS"/>
    <x v="0"/>
    <x v="11"/>
    <n v="17.041611814649801"/>
    <n v="6220.1883123471798"/>
    <n v="22392.677924449799"/>
  </r>
  <r>
    <x v="0"/>
    <x v="0"/>
    <x v="0"/>
    <x v="9"/>
    <x v="17"/>
    <s v="SE1A"/>
    <x v="8"/>
    <s v="GNR_WT_WIND_ONS"/>
    <x v="0"/>
    <x v="12"/>
    <n v="62.621946877221497"/>
    <n v="22857.0106101858"/>
    <n v="82285.238196669001"/>
  </r>
  <r>
    <x v="0"/>
    <x v="0"/>
    <x v="0"/>
    <x v="9"/>
    <x v="17"/>
    <s v="SE1A"/>
    <x v="8"/>
    <s v="GNR_WT_WIND_ONS"/>
    <x v="0"/>
    <x v="13"/>
    <n v="134.95257670098101"/>
    <n v="49257.690495857903"/>
    <n v="177327.68578508799"/>
  </r>
  <r>
    <x v="0"/>
    <x v="0"/>
    <x v="0"/>
    <x v="9"/>
    <x v="17"/>
    <s v="SE1A"/>
    <x v="8"/>
    <s v="GNR_WT_WIND_ONS"/>
    <x v="0"/>
    <x v="14"/>
    <n v="194.051708610573"/>
    <n v="70828.873642859297"/>
    <n v="254983.94511429299"/>
  </r>
  <r>
    <x v="0"/>
    <x v="0"/>
    <x v="0"/>
    <x v="9"/>
    <x v="17"/>
    <s v="SE1A"/>
    <x v="8"/>
    <s v="GNR_WT_WIND_ONS"/>
    <x v="0"/>
    <x v="15"/>
    <n v="209.42188129198999"/>
    <n v="76438.986671576306"/>
    <n v="275180.352017675"/>
  </r>
  <r>
    <x v="0"/>
    <x v="0"/>
    <x v="0"/>
    <x v="9"/>
    <x v="17"/>
    <s v="SE1A"/>
    <x v="8"/>
    <s v="GNR_WT_WIND_ONS"/>
    <x v="0"/>
    <x v="16"/>
    <n v="392.28236069535097"/>
    <n v="143183.06165380299"/>
    <n v="515459.02195369097"/>
  </r>
  <r>
    <x v="0"/>
    <x v="0"/>
    <x v="0"/>
    <x v="9"/>
    <x v="17"/>
    <s v="SE1A"/>
    <x v="8"/>
    <s v="GNR_WT_WIND_ONS"/>
    <x v="0"/>
    <x v="17"/>
    <n v="557.52306218207502"/>
    <n v="203495.91769645701"/>
    <n v="732585.30370724702"/>
  </r>
  <r>
    <x v="0"/>
    <x v="0"/>
    <x v="0"/>
    <x v="9"/>
    <x v="17"/>
    <s v="SE1A"/>
    <x v="8"/>
    <s v="GNR_WT_WIND_ONS"/>
    <x v="0"/>
    <x v="19"/>
    <n v="417.068061823226"/>
    <n v="152229.84256547701"/>
    <n v="548027.43323571899"/>
  </r>
  <r>
    <x v="0"/>
    <x v="0"/>
    <x v="0"/>
    <x v="9"/>
    <x v="17"/>
    <s v="SE1A"/>
    <x v="8"/>
    <s v="GNR_WT_WIND_ONS"/>
    <x v="0"/>
    <x v="20"/>
    <n v="364.42475377386103"/>
    <n v="133015.03512745901"/>
    <n v="478854.12645885401"/>
  </r>
  <r>
    <x v="0"/>
    <x v="0"/>
    <x v="0"/>
    <x v="9"/>
    <x v="17"/>
    <s v="SE1A"/>
    <x v="8"/>
    <s v="GNR_WT_WIND_ONS"/>
    <x v="0"/>
    <x v="21"/>
    <n v="363.62571282971902"/>
    <n v="132723.38518284701"/>
    <n v="477804.18665824999"/>
  </r>
  <r>
    <x v="0"/>
    <x v="0"/>
    <x v="0"/>
    <x v="9"/>
    <x v="17"/>
    <s v="SE1A"/>
    <x v="8"/>
    <s v="GNR_WT_WIND_ONS"/>
    <x v="0"/>
    <x v="22"/>
    <n v="334.80177466158199"/>
    <n v="122202.647751478"/>
    <n v="439929.53190531902"/>
  </r>
  <r>
    <x v="0"/>
    <x v="0"/>
    <x v="0"/>
    <x v="9"/>
    <x v="17"/>
    <s v="SE1A"/>
    <x v="8"/>
    <s v="GNR_WT_WIND_ONS"/>
    <x v="0"/>
    <x v="23"/>
    <n v="336.63802361398098"/>
    <n v="122872.87861910299"/>
    <n v="442342.363028772"/>
  </r>
  <r>
    <x v="0"/>
    <x v="0"/>
    <x v="0"/>
    <x v="9"/>
    <x v="17"/>
    <s v="SE1_EL"/>
    <x v="2"/>
    <s v="GBPR_MUNIWASTE"/>
    <x v="0"/>
    <x v="0"/>
    <n v="18.474998401355499"/>
    <n v="6743.3744164947502"/>
    <n v="24276.1478993811"/>
  </r>
  <r>
    <x v="0"/>
    <x v="0"/>
    <x v="0"/>
    <x v="9"/>
    <x v="17"/>
    <s v="SE1_EL"/>
    <x v="2"/>
    <s v="GBPR_MUNIWASTE"/>
    <x v="0"/>
    <x v="1"/>
    <n v="18.474998401355499"/>
    <n v="6743.3744164947502"/>
    <n v="24276.1478993811"/>
  </r>
  <r>
    <x v="0"/>
    <x v="0"/>
    <x v="0"/>
    <x v="9"/>
    <x v="17"/>
    <s v="SE1_EL"/>
    <x v="2"/>
    <s v="GBPR_MUNIWASTE"/>
    <x v="0"/>
    <x v="2"/>
    <n v="18.474998401355499"/>
    <n v="6743.3744164947502"/>
    <n v="24276.1478993811"/>
  </r>
  <r>
    <x v="0"/>
    <x v="0"/>
    <x v="0"/>
    <x v="9"/>
    <x v="17"/>
    <s v="SE1_EL"/>
    <x v="2"/>
    <s v="GBPR_MUNIWASTE"/>
    <x v="0"/>
    <x v="3"/>
    <n v="18.474998401355499"/>
    <n v="6743.3744164947502"/>
    <n v="24276.1478993811"/>
  </r>
  <r>
    <x v="0"/>
    <x v="0"/>
    <x v="0"/>
    <x v="9"/>
    <x v="17"/>
    <s v="SE1_EL"/>
    <x v="2"/>
    <s v="GBPR_MUNIWASTE"/>
    <x v="0"/>
    <x v="18"/>
    <n v="18.474998401355499"/>
    <n v="6743.3744164947502"/>
    <n v="24276.1478993811"/>
  </r>
  <r>
    <x v="0"/>
    <x v="0"/>
    <x v="0"/>
    <x v="9"/>
    <x v="17"/>
    <s v="SE1_EL"/>
    <x v="2"/>
    <s v="GBPR_MUNIWASTE"/>
    <x v="0"/>
    <x v="4"/>
    <n v="18.474998401355499"/>
    <n v="6743.3744164947502"/>
    <n v="24276.1478993811"/>
  </r>
  <r>
    <x v="0"/>
    <x v="0"/>
    <x v="0"/>
    <x v="9"/>
    <x v="17"/>
    <s v="SE1_EL"/>
    <x v="2"/>
    <s v="GBPR_MUNIWASTE"/>
    <x v="0"/>
    <x v="5"/>
    <n v="18.474998401355499"/>
    <n v="6743.3744164947502"/>
    <n v="24276.1478993811"/>
  </r>
  <r>
    <x v="0"/>
    <x v="0"/>
    <x v="0"/>
    <x v="9"/>
    <x v="17"/>
    <s v="SE1_EL"/>
    <x v="2"/>
    <s v="GBPR_MUNIWASTE"/>
    <x v="0"/>
    <x v="6"/>
    <n v="18.474998401355499"/>
    <n v="6743.3744164947502"/>
    <n v="24276.1478993811"/>
  </r>
  <r>
    <x v="0"/>
    <x v="0"/>
    <x v="0"/>
    <x v="9"/>
    <x v="17"/>
    <s v="SE1_EL"/>
    <x v="2"/>
    <s v="GBPR_MUNIWASTE"/>
    <x v="0"/>
    <x v="7"/>
    <n v="18.474998401355499"/>
    <n v="6743.3744164947502"/>
    <n v="24276.1478993811"/>
  </r>
  <r>
    <x v="0"/>
    <x v="0"/>
    <x v="0"/>
    <x v="9"/>
    <x v="17"/>
    <s v="SE1_EL"/>
    <x v="2"/>
    <s v="GBPR_MUNIWASTE"/>
    <x v="0"/>
    <x v="8"/>
    <n v="18.474998401355499"/>
    <n v="6743.3744164947502"/>
    <n v="24276.1478993811"/>
  </r>
  <r>
    <x v="0"/>
    <x v="0"/>
    <x v="0"/>
    <x v="9"/>
    <x v="17"/>
    <s v="SE1_EL"/>
    <x v="2"/>
    <s v="GBPR_MUNIWASTE"/>
    <x v="0"/>
    <x v="9"/>
    <n v="18.474998401355499"/>
    <n v="6743.3744164947502"/>
    <n v="24276.1478993811"/>
  </r>
  <r>
    <x v="0"/>
    <x v="0"/>
    <x v="0"/>
    <x v="9"/>
    <x v="17"/>
    <s v="SE1_EL"/>
    <x v="2"/>
    <s v="GBPR_MUNIWASTE"/>
    <x v="0"/>
    <x v="10"/>
    <n v="18.474998401355499"/>
    <n v="6743.3744164947502"/>
    <n v="24276.1478993811"/>
  </r>
  <r>
    <x v="0"/>
    <x v="0"/>
    <x v="0"/>
    <x v="9"/>
    <x v="17"/>
    <s v="SE1_EL"/>
    <x v="2"/>
    <s v="GBPR_MUNIWASTE"/>
    <x v="0"/>
    <x v="11"/>
    <n v="18.474998401355499"/>
    <n v="6743.3744164947502"/>
    <n v="24276.1478993811"/>
  </r>
  <r>
    <x v="0"/>
    <x v="0"/>
    <x v="0"/>
    <x v="9"/>
    <x v="17"/>
    <s v="SE1_EL"/>
    <x v="2"/>
    <s v="GBPR_MUNIWASTE"/>
    <x v="0"/>
    <x v="12"/>
    <n v="18.474998401355499"/>
    <n v="6743.3744164947502"/>
    <n v="24276.1478993811"/>
  </r>
  <r>
    <x v="0"/>
    <x v="0"/>
    <x v="0"/>
    <x v="9"/>
    <x v="17"/>
    <s v="SE1_EL"/>
    <x v="2"/>
    <s v="GBPR_MUNIWASTE"/>
    <x v="0"/>
    <x v="13"/>
    <n v="18.474998401355499"/>
    <n v="6743.3744164947502"/>
    <n v="24276.1478993811"/>
  </r>
  <r>
    <x v="0"/>
    <x v="0"/>
    <x v="0"/>
    <x v="9"/>
    <x v="17"/>
    <s v="SE1_EL"/>
    <x v="2"/>
    <s v="GBPR_MUNIWASTE"/>
    <x v="0"/>
    <x v="14"/>
    <n v="18.474998401355499"/>
    <n v="6743.3744164947502"/>
    <n v="24276.1478993811"/>
  </r>
  <r>
    <x v="0"/>
    <x v="0"/>
    <x v="0"/>
    <x v="9"/>
    <x v="17"/>
    <s v="SE1_EL"/>
    <x v="2"/>
    <s v="GBPR_MUNIWASTE"/>
    <x v="0"/>
    <x v="15"/>
    <n v="18.474998401355499"/>
    <n v="6743.3744164947502"/>
    <n v="24276.1478993811"/>
  </r>
  <r>
    <x v="0"/>
    <x v="0"/>
    <x v="0"/>
    <x v="9"/>
    <x v="17"/>
    <s v="SE1_EL"/>
    <x v="2"/>
    <s v="GBPR_MUNIWASTE"/>
    <x v="0"/>
    <x v="16"/>
    <n v="18.474998401355499"/>
    <n v="6743.3744164947502"/>
    <n v="24276.1478993811"/>
  </r>
  <r>
    <x v="0"/>
    <x v="0"/>
    <x v="0"/>
    <x v="9"/>
    <x v="17"/>
    <s v="SE1_EL"/>
    <x v="2"/>
    <s v="GBPR_MUNIWASTE"/>
    <x v="0"/>
    <x v="17"/>
    <n v="18.474998401355499"/>
    <n v="6743.3744164947502"/>
    <n v="24276.1478993811"/>
  </r>
  <r>
    <x v="0"/>
    <x v="0"/>
    <x v="0"/>
    <x v="9"/>
    <x v="17"/>
    <s v="SE1_EL"/>
    <x v="2"/>
    <s v="GBPR_MUNIWASTE"/>
    <x v="0"/>
    <x v="19"/>
    <n v="18.474998401355499"/>
    <n v="6743.3744164947502"/>
    <n v="24276.1478993811"/>
  </r>
  <r>
    <x v="0"/>
    <x v="0"/>
    <x v="0"/>
    <x v="9"/>
    <x v="17"/>
    <s v="SE1_EL"/>
    <x v="2"/>
    <s v="GBPR_MUNIWASTE"/>
    <x v="0"/>
    <x v="20"/>
    <n v="18.474998401355499"/>
    <n v="6743.3744164947502"/>
    <n v="24276.1478993811"/>
  </r>
  <r>
    <x v="0"/>
    <x v="0"/>
    <x v="0"/>
    <x v="9"/>
    <x v="17"/>
    <s v="SE1_EL"/>
    <x v="2"/>
    <s v="GBPR_MUNIWASTE"/>
    <x v="0"/>
    <x v="21"/>
    <n v="18.474998401355499"/>
    <n v="6743.3744164947502"/>
    <n v="24276.1478993811"/>
  </r>
  <r>
    <x v="0"/>
    <x v="0"/>
    <x v="0"/>
    <x v="9"/>
    <x v="17"/>
    <s v="SE1_EL"/>
    <x v="2"/>
    <s v="GBPR_MUNIWASTE"/>
    <x v="0"/>
    <x v="22"/>
    <n v="18.474998401355499"/>
    <n v="6743.3744164947502"/>
    <n v="24276.1478993811"/>
  </r>
  <r>
    <x v="0"/>
    <x v="0"/>
    <x v="0"/>
    <x v="9"/>
    <x v="17"/>
    <s v="SE1_EL"/>
    <x v="2"/>
    <s v="GBPR_MUNIWASTE"/>
    <x v="0"/>
    <x v="23"/>
    <n v="18.474998401355499"/>
    <n v="6743.3744164947502"/>
    <n v="24276.1478993811"/>
  </r>
  <r>
    <x v="0"/>
    <x v="0"/>
    <x v="0"/>
    <x v="9"/>
    <x v="17"/>
    <s v="SE1_EL"/>
    <x v="1"/>
    <s v="GHOB_WASTEHEAT"/>
    <x v="0"/>
    <x v="0"/>
    <n v="86.4075151554988"/>
    <n v="31538.743031757102"/>
    <n v="113539.47491432499"/>
  </r>
  <r>
    <x v="0"/>
    <x v="0"/>
    <x v="0"/>
    <x v="9"/>
    <x v="17"/>
    <s v="SE1_EL"/>
    <x v="1"/>
    <s v="GHOB_WASTEHEAT"/>
    <x v="0"/>
    <x v="1"/>
    <n v="86.2692018731004"/>
    <n v="31488.258683681601"/>
    <n v="113357.731261254"/>
  </r>
  <r>
    <x v="0"/>
    <x v="0"/>
    <x v="0"/>
    <x v="9"/>
    <x v="17"/>
    <s v="SE1_EL"/>
    <x v="1"/>
    <s v="GHOB_WASTEHEAT"/>
    <x v="0"/>
    <x v="2"/>
    <n v="88.044983082888393"/>
    <n v="32136.418825254299"/>
    <n v="115691.107770915"/>
  </r>
  <r>
    <x v="0"/>
    <x v="0"/>
    <x v="0"/>
    <x v="9"/>
    <x v="17"/>
    <s v="SE1_EL"/>
    <x v="1"/>
    <s v="GHOB_WASTEHEAT"/>
    <x v="0"/>
    <x v="3"/>
    <n v="92.206067494247804"/>
    <n v="33655.2146354004"/>
    <n v="121158.772687442"/>
  </r>
  <r>
    <x v="0"/>
    <x v="0"/>
    <x v="0"/>
    <x v="9"/>
    <x v="17"/>
    <s v="SE1_EL"/>
    <x v="1"/>
    <s v="GHOB_WASTEHEAT"/>
    <x v="0"/>
    <x v="18"/>
    <n v="99.801766951326499"/>
    <n v="36427.644937234203"/>
    <n v="131139.52177404301"/>
  </r>
  <r>
    <x v="0"/>
    <x v="0"/>
    <x v="0"/>
    <x v="9"/>
    <x v="17"/>
    <s v="SE1_EL"/>
    <x v="1"/>
    <s v="GHOB_WASTEHEAT"/>
    <x v="0"/>
    <x v="4"/>
    <n v="108.815030552325"/>
    <n v="39717.486151598503"/>
    <n v="142982.95014575499"/>
  </r>
  <r>
    <x v="0"/>
    <x v="0"/>
    <x v="0"/>
    <x v="9"/>
    <x v="17"/>
    <s v="SE1_EL"/>
    <x v="1"/>
    <s v="GHOB_WASTEHEAT"/>
    <x v="0"/>
    <x v="5"/>
    <n v="129.99993878837299"/>
    <n v="47449.977657756201"/>
    <n v="170819.91956792201"/>
  </r>
  <r>
    <x v="0"/>
    <x v="0"/>
    <x v="0"/>
    <x v="9"/>
    <x v="17"/>
    <s v="SE1_EL"/>
    <x v="1"/>
    <s v="GHOB_WASTEHEAT"/>
    <x v="0"/>
    <x v="6"/>
    <n v="143.727344179537"/>
    <n v="52460.480625530799"/>
    <n v="188857.73025191101"/>
  </r>
  <r>
    <x v="0"/>
    <x v="0"/>
    <x v="0"/>
    <x v="9"/>
    <x v="17"/>
    <s v="SE1_EL"/>
    <x v="1"/>
    <s v="GHOB_WASTEHEAT"/>
    <x v="0"/>
    <x v="7"/>
    <n v="146.13659391925199"/>
    <n v="53339.856780527101"/>
    <n v="192023.484409898"/>
  </r>
  <r>
    <x v="0"/>
    <x v="0"/>
    <x v="0"/>
    <x v="9"/>
    <x v="17"/>
    <s v="SE1_EL"/>
    <x v="1"/>
    <s v="GHOB_WASTEHEAT"/>
    <x v="0"/>
    <x v="8"/>
    <n v="149.91692999355899"/>
    <n v="54719.679447649003"/>
    <n v="196990.84601153701"/>
  </r>
  <r>
    <x v="0"/>
    <x v="0"/>
    <x v="0"/>
    <x v="9"/>
    <x v="17"/>
    <s v="SE1_EL"/>
    <x v="1"/>
    <s v="GHOB_WASTEHEAT"/>
    <x v="0"/>
    <x v="9"/>
    <n v="144.64272916574399"/>
    <n v="52794.596145496696"/>
    <n v="190060.54612378799"/>
  </r>
  <r>
    <x v="0"/>
    <x v="0"/>
    <x v="0"/>
    <x v="9"/>
    <x v="17"/>
    <s v="SE1_EL"/>
    <x v="1"/>
    <s v="GHOB_WASTEHEAT"/>
    <x v="0"/>
    <x v="10"/>
    <n v="142.525771884281"/>
    <n v="52021.906737762598"/>
    <n v="187278.86425594499"/>
  </r>
  <r>
    <x v="0"/>
    <x v="0"/>
    <x v="0"/>
    <x v="9"/>
    <x v="17"/>
    <s v="SE1_EL"/>
    <x v="1"/>
    <s v="GHOB_WASTEHEAT"/>
    <x v="0"/>
    <x v="11"/>
    <n v="142.73972753285599"/>
    <n v="52100.000549492499"/>
    <n v="187560.00197817301"/>
  </r>
  <r>
    <x v="0"/>
    <x v="0"/>
    <x v="0"/>
    <x v="9"/>
    <x v="17"/>
    <s v="SE1_EL"/>
    <x v="1"/>
    <s v="GHOB_WASTEHEAT"/>
    <x v="0"/>
    <x v="12"/>
    <n v="141.689798007478"/>
    <n v="51716.776272729403"/>
    <n v="186180.394581826"/>
  </r>
  <r>
    <x v="0"/>
    <x v="0"/>
    <x v="0"/>
    <x v="9"/>
    <x v="17"/>
    <s v="SE1_EL"/>
    <x v="1"/>
    <s v="GHOB_WASTEHEAT"/>
    <x v="0"/>
    <x v="13"/>
    <n v="141.047301157607"/>
    <n v="51482.2649225266"/>
    <n v="185336.15372109599"/>
  </r>
  <r>
    <x v="0"/>
    <x v="0"/>
    <x v="0"/>
    <x v="9"/>
    <x v="17"/>
    <s v="SE1_EL"/>
    <x v="1"/>
    <s v="GHOB_WASTEHEAT"/>
    <x v="0"/>
    <x v="14"/>
    <n v="147.35395228495801"/>
    <n v="53784.192584009703"/>
    <n v="193623.09330243501"/>
  </r>
  <r>
    <x v="0"/>
    <x v="0"/>
    <x v="0"/>
    <x v="9"/>
    <x v="17"/>
    <s v="SE1_EL"/>
    <x v="1"/>
    <s v="GHOB_WASTEHEAT"/>
    <x v="0"/>
    <x v="15"/>
    <n v="136.69163030930699"/>
    <n v="49892.445062897197"/>
    <n v="179612.80222643001"/>
  </r>
  <r>
    <x v="0"/>
    <x v="0"/>
    <x v="0"/>
    <x v="9"/>
    <x v="17"/>
    <s v="SE1_EL"/>
    <x v="1"/>
    <s v="GHOB_WASTEHEAT"/>
    <x v="0"/>
    <x v="16"/>
    <n v="131.51189766029501"/>
    <n v="48001.842646007601"/>
    <n v="172806.63352562801"/>
  </r>
  <r>
    <x v="0"/>
    <x v="0"/>
    <x v="0"/>
    <x v="9"/>
    <x v="17"/>
    <s v="SE1_EL"/>
    <x v="1"/>
    <s v="GHOB_WASTEHEAT"/>
    <x v="0"/>
    <x v="17"/>
    <n v="128.95394776114"/>
    <n v="47068.190932816098"/>
    <n v="169445.48735813799"/>
  </r>
  <r>
    <x v="0"/>
    <x v="0"/>
    <x v="0"/>
    <x v="9"/>
    <x v="17"/>
    <s v="SE1_EL"/>
    <x v="1"/>
    <s v="GHOB_WASTEHEAT"/>
    <x v="0"/>
    <x v="19"/>
    <n v="124.344568719368"/>
    <n v="45385.767582569097"/>
    <n v="163388.76329724901"/>
  </r>
  <r>
    <x v="0"/>
    <x v="0"/>
    <x v="0"/>
    <x v="9"/>
    <x v="17"/>
    <s v="SE1_EL"/>
    <x v="1"/>
    <s v="GHOB_WASTEHEAT"/>
    <x v="0"/>
    <x v="20"/>
    <n v="119.602172464666"/>
    <n v="43654.792949603099"/>
    <n v="157157.25461857099"/>
  </r>
  <r>
    <x v="0"/>
    <x v="0"/>
    <x v="0"/>
    <x v="9"/>
    <x v="17"/>
    <s v="SE1_EL"/>
    <x v="1"/>
    <s v="GHOB_WASTEHEAT"/>
    <x v="0"/>
    <x v="21"/>
    <n v="117.517544471508"/>
    <n v="42893.903732100203"/>
    <n v="154418.05343556101"/>
  </r>
  <r>
    <x v="0"/>
    <x v="0"/>
    <x v="0"/>
    <x v="9"/>
    <x v="17"/>
    <s v="SE1_EL"/>
    <x v="1"/>
    <s v="GHOB_WASTEHEAT"/>
    <x v="0"/>
    <x v="22"/>
    <n v="109.885148353725"/>
    <n v="40108.079149109501"/>
    <n v="144389.08493679401"/>
  </r>
  <r>
    <x v="0"/>
    <x v="0"/>
    <x v="0"/>
    <x v="9"/>
    <x v="17"/>
    <s v="SE1_EL"/>
    <x v="1"/>
    <s v="GHOB_WASTEHEAT"/>
    <x v="0"/>
    <x v="23"/>
    <n v="101.660318616993"/>
    <n v="37106.0162952026"/>
    <n v="133581.65866272899"/>
  </r>
  <r>
    <x v="0"/>
    <x v="0"/>
    <x v="0"/>
    <x v="9"/>
    <x v="17"/>
    <s v="SE1_OTHER"/>
    <x v="13"/>
    <s v="GBPR_PEAT_38"/>
    <x v="0"/>
    <x v="6"/>
    <n v="33.820799834166898"/>
    <n v="12344.5919394709"/>
    <n v="44440.530982095297"/>
  </r>
  <r>
    <x v="0"/>
    <x v="0"/>
    <x v="0"/>
    <x v="9"/>
    <x v="17"/>
    <s v="SE1_OTHER"/>
    <x v="13"/>
    <s v="GBPR_PEAT_38"/>
    <x v="0"/>
    <x v="7"/>
    <n v="33.820799834166898"/>
    <n v="12344.5919394709"/>
    <n v="44440.530982095297"/>
  </r>
  <r>
    <x v="0"/>
    <x v="0"/>
    <x v="0"/>
    <x v="9"/>
    <x v="17"/>
    <s v="SE1_OTHER"/>
    <x v="13"/>
    <s v="GBPR_PEAT_38"/>
    <x v="0"/>
    <x v="8"/>
    <n v="33.820799834166898"/>
    <n v="12344.5919394709"/>
    <n v="44440.530982095297"/>
  </r>
  <r>
    <x v="0"/>
    <x v="0"/>
    <x v="0"/>
    <x v="9"/>
    <x v="17"/>
    <s v="SE1_OTHER"/>
    <x v="13"/>
    <s v="GBPR_PEAT_38"/>
    <x v="0"/>
    <x v="9"/>
    <n v="33.051583436889402"/>
    <n v="12063.827954464599"/>
    <n v="43429.780636072697"/>
  </r>
  <r>
    <x v="0"/>
    <x v="0"/>
    <x v="0"/>
    <x v="9"/>
    <x v="17"/>
    <s v="SE1_OTHER"/>
    <x v="13"/>
    <s v="GBPR_PEAT_38"/>
    <x v="0"/>
    <x v="11"/>
    <n v="27.9917016261961"/>
    <n v="10216.9710935616"/>
    <n v="36781.095936821701"/>
  </r>
  <r>
    <x v="0"/>
    <x v="0"/>
    <x v="0"/>
    <x v="9"/>
    <x v="17"/>
    <s v="SE1_OTHER"/>
    <x v="13"/>
    <s v="GBPR_PEAT_38"/>
    <x v="0"/>
    <x v="13"/>
    <n v="23.281777140756201"/>
    <n v="8497.8486563760307"/>
    <n v="30592.255162953701"/>
  </r>
  <r>
    <x v="0"/>
    <x v="0"/>
    <x v="0"/>
    <x v="9"/>
    <x v="17"/>
    <s v="SE1_OTHER"/>
    <x v="1"/>
    <s v="GHOB_WASTEHEAT"/>
    <x v="0"/>
    <x v="0"/>
    <n v="35.828754578754399"/>
    <n v="13077.495421245399"/>
    <n v="47078.983516483298"/>
  </r>
  <r>
    <x v="0"/>
    <x v="0"/>
    <x v="0"/>
    <x v="9"/>
    <x v="17"/>
    <s v="SE1_OTHER"/>
    <x v="1"/>
    <s v="GHOB_WASTEHEAT"/>
    <x v="0"/>
    <x v="1"/>
    <n v="35.828754578754399"/>
    <n v="13077.495421245399"/>
    <n v="47078.983516483298"/>
  </r>
  <r>
    <x v="0"/>
    <x v="0"/>
    <x v="0"/>
    <x v="9"/>
    <x v="17"/>
    <s v="SE1_OTHER"/>
    <x v="1"/>
    <s v="GHOB_WASTEHEAT"/>
    <x v="0"/>
    <x v="2"/>
    <n v="35.828754578754399"/>
    <n v="13077.495421245399"/>
    <n v="47078.983516483298"/>
  </r>
  <r>
    <x v="0"/>
    <x v="0"/>
    <x v="0"/>
    <x v="9"/>
    <x v="17"/>
    <s v="SE1_OTHER"/>
    <x v="1"/>
    <s v="GHOB_WASTEHEAT"/>
    <x v="0"/>
    <x v="3"/>
    <n v="35.828754578754399"/>
    <n v="13077.495421245399"/>
    <n v="47078.983516483298"/>
  </r>
  <r>
    <x v="0"/>
    <x v="0"/>
    <x v="0"/>
    <x v="9"/>
    <x v="17"/>
    <s v="SE1_OTHER"/>
    <x v="1"/>
    <s v="GHOB_WASTEHEAT"/>
    <x v="0"/>
    <x v="18"/>
    <n v="35.828754578754399"/>
    <n v="13077.495421245399"/>
    <n v="47078.983516483298"/>
  </r>
  <r>
    <x v="0"/>
    <x v="0"/>
    <x v="0"/>
    <x v="9"/>
    <x v="17"/>
    <s v="SE1_OTHER"/>
    <x v="1"/>
    <s v="GHOB_WASTEHEAT"/>
    <x v="0"/>
    <x v="4"/>
    <n v="35.828754578754399"/>
    <n v="13077.495421245399"/>
    <n v="47078.983516483298"/>
  </r>
  <r>
    <x v="0"/>
    <x v="0"/>
    <x v="0"/>
    <x v="9"/>
    <x v="17"/>
    <s v="SE1_OTHER"/>
    <x v="1"/>
    <s v="GHOB_WASTEHEAT"/>
    <x v="0"/>
    <x v="5"/>
    <n v="35.828754578754399"/>
    <n v="13077.495421245399"/>
    <n v="47078.983516483298"/>
  </r>
  <r>
    <x v="0"/>
    <x v="0"/>
    <x v="0"/>
    <x v="9"/>
    <x v="17"/>
    <s v="SE1_OTHER"/>
    <x v="1"/>
    <s v="GHOB_WASTEHEAT"/>
    <x v="0"/>
    <x v="6"/>
    <n v="35.828754578754399"/>
    <n v="13077.495421245399"/>
    <n v="47078.983516483298"/>
  </r>
  <r>
    <x v="0"/>
    <x v="0"/>
    <x v="0"/>
    <x v="9"/>
    <x v="17"/>
    <s v="SE1_OTHER"/>
    <x v="1"/>
    <s v="GHOB_WASTEHEAT"/>
    <x v="0"/>
    <x v="7"/>
    <n v="35.828754578754399"/>
    <n v="13077.495421245399"/>
    <n v="47078.983516483298"/>
  </r>
  <r>
    <x v="0"/>
    <x v="0"/>
    <x v="0"/>
    <x v="9"/>
    <x v="17"/>
    <s v="SE1_OTHER"/>
    <x v="1"/>
    <s v="GHOB_WASTEHEAT"/>
    <x v="0"/>
    <x v="8"/>
    <n v="35.828754578754399"/>
    <n v="13077.495421245399"/>
    <n v="47078.983516483298"/>
  </r>
  <r>
    <x v="0"/>
    <x v="0"/>
    <x v="0"/>
    <x v="9"/>
    <x v="17"/>
    <s v="SE1_OTHER"/>
    <x v="1"/>
    <s v="GHOB_WASTEHEAT"/>
    <x v="0"/>
    <x v="9"/>
    <n v="35.828754578754399"/>
    <n v="13077.495421245399"/>
    <n v="47078.983516483298"/>
  </r>
  <r>
    <x v="0"/>
    <x v="0"/>
    <x v="0"/>
    <x v="9"/>
    <x v="17"/>
    <s v="SE1_OTHER"/>
    <x v="1"/>
    <s v="GHOB_WASTEHEAT"/>
    <x v="0"/>
    <x v="10"/>
    <n v="35.828754578754399"/>
    <n v="13077.495421245399"/>
    <n v="47078.983516483298"/>
  </r>
  <r>
    <x v="0"/>
    <x v="0"/>
    <x v="0"/>
    <x v="9"/>
    <x v="17"/>
    <s v="SE1_OTHER"/>
    <x v="1"/>
    <s v="GHOB_WASTEHEAT"/>
    <x v="0"/>
    <x v="11"/>
    <n v="35.828754578754399"/>
    <n v="13077.495421245399"/>
    <n v="47078.983516483298"/>
  </r>
  <r>
    <x v="0"/>
    <x v="0"/>
    <x v="0"/>
    <x v="9"/>
    <x v="17"/>
    <s v="SE1_OTHER"/>
    <x v="1"/>
    <s v="GHOB_WASTEHEAT"/>
    <x v="0"/>
    <x v="12"/>
    <n v="35.828754578754399"/>
    <n v="13077.495421245399"/>
    <n v="47078.983516483298"/>
  </r>
  <r>
    <x v="0"/>
    <x v="0"/>
    <x v="0"/>
    <x v="9"/>
    <x v="17"/>
    <s v="SE1_OTHER"/>
    <x v="1"/>
    <s v="GHOB_WASTEHEAT"/>
    <x v="0"/>
    <x v="13"/>
    <n v="35.828754578754399"/>
    <n v="13077.495421245399"/>
    <n v="47078.983516483298"/>
  </r>
  <r>
    <x v="0"/>
    <x v="0"/>
    <x v="0"/>
    <x v="9"/>
    <x v="17"/>
    <s v="SE1_OTHER"/>
    <x v="1"/>
    <s v="GHOB_WASTEHEAT"/>
    <x v="0"/>
    <x v="14"/>
    <n v="35.828754578754399"/>
    <n v="13077.495421245399"/>
    <n v="47078.983516483298"/>
  </r>
  <r>
    <x v="0"/>
    <x v="0"/>
    <x v="0"/>
    <x v="9"/>
    <x v="17"/>
    <s v="SE1_OTHER"/>
    <x v="1"/>
    <s v="GHOB_WASTEHEAT"/>
    <x v="0"/>
    <x v="15"/>
    <n v="35.828754578754399"/>
    <n v="13077.495421245399"/>
    <n v="47078.983516483298"/>
  </r>
  <r>
    <x v="0"/>
    <x v="0"/>
    <x v="0"/>
    <x v="9"/>
    <x v="17"/>
    <s v="SE1_OTHER"/>
    <x v="1"/>
    <s v="GHOB_WASTEHEAT"/>
    <x v="0"/>
    <x v="16"/>
    <n v="35.828754578754399"/>
    <n v="13077.495421245399"/>
    <n v="47078.983516483298"/>
  </r>
  <r>
    <x v="0"/>
    <x v="0"/>
    <x v="0"/>
    <x v="9"/>
    <x v="17"/>
    <s v="SE1_OTHER"/>
    <x v="1"/>
    <s v="GHOB_WASTEHEAT"/>
    <x v="0"/>
    <x v="17"/>
    <n v="35.828754578754399"/>
    <n v="13077.495421245399"/>
    <n v="47078.983516483298"/>
  </r>
  <r>
    <x v="0"/>
    <x v="0"/>
    <x v="0"/>
    <x v="9"/>
    <x v="17"/>
    <s v="SE1_OTHER"/>
    <x v="1"/>
    <s v="GHOB_WASTEHEAT"/>
    <x v="0"/>
    <x v="19"/>
    <n v="35.828754578754399"/>
    <n v="13077.495421245399"/>
    <n v="47078.983516483298"/>
  </r>
  <r>
    <x v="0"/>
    <x v="0"/>
    <x v="0"/>
    <x v="9"/>
    <x v="17"/>
    <s v="SE1_OTHER"/>
    <x v="1"/>
    <s v="GHOB_WASTEHEAT"/>
    <x v="0"/>
    <x v="20"/>
    <n v="35.828754578754399"/>
    <n v="13077.495421245399"/>
    <n v="47078.983516483298"/>
  </r>
  <r>
    <x v="0"/>
    <x v="0"/>
    <x v="0"/>
    <x v="9"/>
    <x v="17"/>
    <s v="SE1_OTHER"/>
    <x v="1"/>
    <s v="GHOB_WASTEHEAT"/>
    <x v="0"/>
    <x v="21"/>
    <n v="35.828754578754399"/>
    <n v="13077.495421245399"/>
    <n v="47078.983516483298"/>
  </r>
  <r>
    <x v="0"/>
    <x v="0"/>
    <x v="0"/>
    <x v="9"/>
    <x v="17"/>
    <s v="SE1_OTHER"/>
    <x v="1"/>
    <s v="GHOB_WASTEHEAT"/>
    <x v="0"/>
    <x v="22"/>
    <n v="35.828754578754399"/>
    <n v="13077.495421245399"/>
    <n v="47078.983516483298"/>
  </r>
  <r>
    <x v="0"/>
    <x v="0"/>
    <x v="0"/>
    <x v="9"/>
    <x v="17"/>
    <s v="SE1_OTHER"/>
    <x v="1"/>
    <s v="GHOB_WASTEHEAT"/>
    <x v="0"/>
    <x v="23"/>
    <n v="35.828754578754399"/>
    <n v="13077.495421245399"/>
    <n v="47078.983516483298"/>
  </r>
  <r>
    <x v="0"/>
    <x v="0"/>
    <x v="0"/>
    <x v="9"/>
    <x v="17"/>
    <s v="SE1_OTHER"/>
    <x v="9"/>
    <s v="GBPR_WOODWASTE"/>
    <x v="0"/>
    <x v="0"/>
    <n v="97.4736031601836"/>
    <n v="35577.865153466999"/>
    <n v="128080.314552481"/>
  </r>
  <r>
    <x v="0"/>
    <x v="0"/>
    <x v="0"/>
    <x v="9"/>
    <x v="17"/>
    <s v="SE1_OTHER"/>
    <x v="9"/>
    <s v="GBPR_WOODWASTE"/>
    <x v="0"/>
    <x v="1"/>
    <n v="97.4736031601836"/>
    <n v="35577.865153466999"/>
    <n v="128080.314552481"/>
  </r>
  <r>
    <x v="0"/>
    <x v="0"/>
    <x v="0"/>
    <x v="9"/>
    <x v="17"/>
    <s v="SE1_OTHER"/>
    <x v="9"/>
    <s v="GBPR_WOODWASTE"/>
    <x v="0"/>
    <x v="2"/>
    <n v="97.4736031601836"/>
    <n v="35577.865153466999"/>
    <n v="128080.314552481"/>
  </r>
  <r>
    <x v="0"/>
    <x v="0"/>
    <x v="0"/>
    <x v="9"/>
    <x v="17"/>
    <s v="SE1_OTHER"/>
    <x v="9"/>
    <s v="GBPR_WOODWASTE"/>
    <x v="0"/>
    <x v="3"/>
    <n v="97.4736031601836"/>
    <n v="35577.865153466999"/>
    <n v="128080.314552481"/>
  </r>
  <r>
    <x v="0"/>
    <x v="0"/>
    <x v="0"/>
    <x v="9"/>
    <x v="17"/>
    <s v="SE1_OTHER"/>
    <x v="9"/>
    <s v="GBPR_WOODWASTE"/>
    <x v="0"/>
    <x v="18"/>
    <n v="97.4736031601836"/>
    <n v="35577.865153466999"/>
    <n v="128080.314552481"/>
  </r>
  <r>
    <x v="0"/>
    <x v="0"/>
    <x v="0"/>
    <x v="9"/>
    <x v="17"/>
    <s v="SE1_OTHER"/>
    <x v="9"/>
    <s v="GBPR_WOODWASTE"/>
    <x v="0"/>
    <x v="4"/>
    <n v="97.4736031601836"/>
    <n v="35577.865153466999"/>
    <n v="128080.314552481"/>
  </r>
  <r>
    <x v="0"/>
    <x v="0"/>
    <x v="0"/>
    <x v="9"/>
    <x v="17"/>
    <s v="SE1_OTHER"/>
    <x v="9"/>
    <s v="GBPR_WOODWASTE"/>
    <x v="0"/>
    <x v="5"/>
    <n v="97.4736031601836"/>
    <n v="35577.865153466999"/>
    <n v="128080.314552481"/>
  </r>
  <r>
    <x v="0"/>
    <x v="0"/>
    <x v="0"/>
    <x v="9"/>
    <x v="17"/>
    <s v="SE1_OTHER"/>
    <x v="9"/>
    <s v="GBPR_WOODWASTE"/>
    <x v="0"/>
    <x v="6"/>
    <n v="97.4736031601836"/>
    <n v="35577.865153466999"/>
    <n v="128080.314552481"/>
  </r>
  <r>
    <x v="0"/>
    <x v="0"/>
    <x v="0"/>
    <x v="9"/>
    <x v="17"/>
    <s v="SE1_OTHER"/>
    <x v="9"/>
    <s v="GBPR_WOODWASTE"/>
    <x v="0"/>
    <x v="7"/>
    <n v="97.4736031601836"/>
    <n v="35577.865153466999"/>
    <n v="128080.314552481"/>
  </r>
  <r>
    <x v="0"/>
    <x v="0"/>
    <x v="0"/>
    <x v="9"/>
    <x v="17"/>
    <s v="SE1_OTHER"/>
    <x v="9"/>
    <s v="GBPR_WOODWASTE"/>
    <x v="0"/>
    <x v="8"/>
    <n v="97.4736031601836"/>
    <n v="35577.865153466999"/>
    <n v="128080.314552481"/>
  </r>
  <r>
    <x v="0"/>
    <x v="0"/>
    <x v="0"/>
    <x v="9"/>
    <x v="17"/>
    <s v="SE1_OTHER"/>
    <x v="9"/>
    <s v="GBPR_WOODWASTE"/>
    <x v="0"/>
    <x v="9"/>
    <n v="97.4736031601836"/>
    <n v="35577.865153466999"/>
    <n v="128080.314552481"/>
  </r>
  <r>
    <x v="0"/>
    <x v="0"/>
    <x v="0"/>
    <x v="9"/>
    <x v="17"/>
    <s v="SE1_OTHER"/>
    <x v="9"/>
    <s v="GBPR_WOODWASTE"/>
    <x v="0"/>
    <x v="10"/>
    <n v="97.4736031601836"/>
    <n v="35577.865153466999"/>
    <n v="128080.314552481"/>
  </r>
  <r>
    <x v="0"/>
    <x v="0"/>
    <x v="0"/>
    <x v="9"/>
    <x v="17"/>
    <s v="SE1_OTHER"/>
    <x v="9"/>
    <s v="GBPR_WOODWASTE"/>
    <x v="0"/>
    <x v="11"/>
    <n v="97.4736031601836"/>
    <n v="35577.865153466999"/>
    <n v="128080.314552481"/>
  </r>
  <r>
    <x v="0"/>
    <x v="0"/>
    <x v="0"/>
    <x v="9"/>
    <x v="17"/>
    <s v="SE1_OTHER"/>
    <x v="9"/>
    <s v="GBPR_WOODWASTE"/>
    <x v="0"/>
    <x v="12"/>
    <n v="97.4736031601836"/>
    <n v="35577.865153466999"/>
    <n v="128080.314552481"/>
  </r>
  <r>
    <x v="0"/>
    <x v="0"/>
    <x v="0"/>
    <x v="9"/>
    <x v="17"/>
    <s v="SE1_OTHER"/>
    <x v="9"/>
    <s v="GBPR_WOODWASTE"/>
    <x v="0"/>
    <x v="13"/>
    <n v="97.4736031601836"/>
    <n v="35577.865153466999"/>
    <n v="128080.314552481"/>
  </r>
  <r>
    <x v="0"/>
    <x v="0"/>
    <x v="0"/>
    <x v="9"/>
    <x v="17"/>
    <s v="SE1_OTHER"/>
    <x v="9"/>
    <s v="GBPR_WOODWASTE"/>
    <x v="0"/>
    <x v="14"/>
    <n v="97.4736031601836"/>
    <n v="35577.865153466999"/>
    <n v="128080.314552481"/>
  </r>
  <r>
    <x v="0"/>
    <x v="0"/>
    <x v="0"/>
    <x v="9"/>
    <x v="17"/>
    <s v="SE1_OTHER"/>
    <x v="9"/>
    <s v="GBPR_WOODWASTE"/>
    <x v="0"/>
    <x v="15"/>
    <n v="97.4736031601836"/>
    <n v="35577.865153466999"/>
    <n v="128080.314552481"/>
  </r>
  <r>
    <x v="0"/>
    <x v="0"/>
    <x v="0"/>
    <x v="9"/>
    <x v="17"/>
    <s v="SE1_OTHER"/>
    <x v="9"/>
    <s v="GBPR_WOODWASTE"/>
    <x v="0"/>
    <x v="16"/>
    <n v="97.4736031601836"/>
    <n v="35577.865153466999"/>
    <n v="128080.314552481"/>
  </r>
  <r>
    <x v="0"/>
    <x v="0"/>
    <x v="0"/>
    <x v="9"/>
    <x v="17"/>
    <s v="SE1_OTHER"/>
    <x v="9"/>
    <s v="GBPR_WOODWASTE"/>
    <x v="0"/>
    <x v="17"/>
    <n v="97.4736031601836"/>
    <n v="35577.865153466999"/>
    <n v="128080.314552481"/>
  </r>
  <r>
    <x v="0"/>
    <x v="0"/>
    <x v="0"/>
    <x v="9"/>
    <x v="17"/>
    <s v="SE1_OTHER"/>
    <x v="9"/>
    <s v="GBPR_WOODWASTE"/>
    <x v="0"/>
    <x v="19"/>
    <n v="97.4736031601836"/>
    <n v="35577.865153466999"/>
    <n v="128080.314552481"/>
  </r>
  <r>
    <x v="0"/>
    <x v="0"/>
    <x v="0"/>
    <x v="9"/>
    <x v="17"/>
    <s v="SE1_OTHER"/>
    <x v="9"/>
    <s v="GBPR_WOODWASTE"/>
    <x v="0"/>
    <x v="20"/>
    <n v="97.4736031601836"/>
    <n v="35577.865153466999"/>
    <n v="128080.314552481"/>
  </r>
  <r>
    <x v="0"/>
    <x v="0"/>
    <x v="0"/>
    <x v="9"/>
    <x v="17"/>
    <s v="SE1_OTHER"/>
    <x v="9"/>
    <s v="GBPR_WOODWASTE"/>
    <x v="0"/>
    <x v="21"/>
    <n v="97.4736031601836"/>
    <n v="35577.865153466999"/>
    <n v="128080.314552481"/>
  </r>
  <r>
    <x v="0"/>
    <x v="0"/>
    <x v="0"/>
    <x v="9"/>
    <x v="17"/>
    <s v="SE1_OTHER"/>
    <x v="9"/>
    <s v="GBPR_WOODWASTE"/>
    <x v="0"/>
    <x v="22"/>
    <n v="97.4736031601836"/>
    <n v="35577.865153466999"/>
    <n v="128080.314552481"/>
  </r>
  <r>
    <x v="0"/>
    <x v="0"/>
    <x v="0"/>
    <x v="9"/>
    <x v="17"/>
    <s v="SE1_OTHER"/>
    <x v="9"/>
    <s v="GBPR_WOODWASTE"/>
    <x v="0"/>
    <x v="23"/>
    <n v="97.4736031601836"/>
    <n v="35577.865153466999"/>
    <n v="128080.314552481"/>
  </r>
  <r>
    <x v="0"/>
    <x v="0"/>
    <x v="0"/>
    <x v="9"/>
    <x v="17"/>
    <s v="SE1_OTHER"/>
    <x v="9"/>
    <s v="GHOB_WOODWASTE"/>
    <x v="0"/>
    <x v="0"/>
    <n v="31.406671474193899"/>
    <n v="11463.4350880808"/>
    <n v="41268.366317090702"/>
  </r>
  <r>
    <x v="0"/>
    <x v="0"/>
    <x v="0"/>
    <x v="9"/>
    <x v="17"/>
    <s v="SE1_OTHER"/>
    <x v="9"/>
    <s v="GHOB_WOODWASTE"/>
    <x v="0"/>
    <x v="1"/>
    <n v="31.406671474193899"/>
    <n v="11463.4350880808"/>
    <n v="41268.366317090702"/>
  </r>
  <r>
    <x v="0"/>
    <x v="0"/>
    <x v="0"/>
    <x v="9"/>
    <x v="17"/>
    <s v="SE1_OTHER"/>
    <x v="9"/>
    <s v="GHOB_WOODWASTE"/>
    <x v="0"/>
    <x v="2"/>
    <n v="31.406671474193899"/>
    <n v="11463.4350880808"/>
    <n v="41268.366317090702"/>
  </r>
  <r>
    <x v="0"/>
    <x v="0"/>
    <x v="0"/>
    <x v="9"/>
    <x v="17"/>
    <s v="SE1_OTHER"/>
    <x v="9"/>
    <s v="GHOB_WOODWASTE"/>
    <x v="0"/>
    <x v="3"/>
    <n v="31.406671474193899"/>
    <n v="11463.4350880808"/>
    <n v="41268.366317090702"/>
  </r>
  <r>
    <x v="0"/>
    <x v="0"/>
    <x v="0"/>
    <x v="9"/>
    <x v="17"/>
    <s v="SE1_OTHER"/>
    <x v="9"/>
    <s v="GHOB_WOODWASTE"/>
    <x v="0"/>
    <x v="18"/>
    <n v="31.406671474193899"/>
    <n v="11463.4350880808"/>
    <n v="41268.366317090702"/>
  </r>
  <r>
    <x v="0"/>
    <x v="0"/>
    <x v="0"/>
    <x v="9"/>
    <x v="17"/>
    <s v="SE1_OTHER"/>
    <x v="9"/>
    <s v="GHOB_WOODWASTE"/>
    <x v="0"/>
    <x v="4"/>
    <n v="31.406671474193899"/>
    <n v="11463.4350880808"/>
    <n v="41268.366317090702"/>
  </r>
  <r>
    <x v="0"/>
    <x v="0"/>
    <x v="0"/>
    <x v="9"/>
    <x v="17"/>
    <s v="SE1_OTHER"/>
    <x v="9"/>
    <s v="GHOB_WOODWASTE"/>
    <x v="0"/>
    <x v="5"/>
    <n v="31.406671474193899"/>
    <n v="11463.4350880808"/>
    <n v="41268.366317090702"/>
  </r>
  <r>
    <x v="0"/>
    <x v="0"/>
    <x v="0"/>
    <x v="9"/>
    <x v="17"/>
    <s v="SE1_OTHER"/>
    <x v="9"/>
    <s v="GHOB_WOODWASTE"/>
    <x v="0"/>
    <x v="6"/>
    <n v="31.406671474193899"/>
    <n v="11463.4350880808"/>
    <n v="41268.366317090702"/>
  </r>
  <r>
    <x v="0"/>
    <x v="0"/>
    <x v="0"/>
    <x v="9"/>
    <x v="17"/>
    <s v="SE1_OTHER"/>
    <x v="9"/>
    <s v="GHOB_WOODWASTE"/>
    <x v="0"/>
    <x v="7"/>
    <n v="31.406671474193899"/>
    <n v="11463.4350880808"/>
    <n v="41268.366317090702"/>
  </r>
  <r>
    <x v="0"/>
    <x v="0"/>
    <x v="0"/>
    <x v="9"/>
    <x v="17"/>
    <s v="SE1_OTHER"/>
    <x v="9"/>
    <s v="GHOB_WOODWASTE"/>
    <x v="0"/>
    <x v="8"/>
    <n v="31.406671474193899"/>
    <n v="11463.4350880808"/>
    <n v="41268.366317090702"/>
  </r>
  <r>
    <x v="0"/>
    <x v="0"/>
    <x v="0"/>
    <x v="9"/>
    <x v="17"/>
    <s v="SE1_OTHER"/>
    <x v="9"/>
    <s v="GHOB_WOODWASTE"/>
    <x v="0"/>
    <x v="9"/>
    <n v="31.406671474193899"/>
    <n v="11463.4350880808"/>
    <n v="41268.366317090702"/>
  </r>
  <r>
    <x v="0"/>
    <x v="0"/>
    <x v="0"/>
    <x v="9"/>
    <x v="17"/>
    <s v="SE1_OTHER"/>
    <x v="9"/>
    <s v="GHOB_WOODWASTE"/>
    <x v="0"/>
    <x v="10"/>
    <n v="31.406671474193899"/>
    <n v="11463.4350880808"/>
    <n v="41268.366317090702"/>
  </r>
  <r>
    <x v="0"/>
    <x v="0"/>
    <x v="0"/>
    <x v="9"/>
    <x v="17"/>
    <s v="SE1_OTHER"/>
    <x v="9"/>
    <s v="GHOB_WOODWASTE"/>
    <x v="0"/>
    <x v="11"/>
    <n v="31.406671474193899"/>
    <n v="11463.4350880808"/>
    <n v="41268.366317090702"/>
  </r>
  <r>
    <x v="0"/>
    <x v="0"/>
    <x v="0"/>
    <x v="9"/>
    <x v="17"/>
    <s v="SE1_OTHER"/>
    <x v="9"/>
    <s v="GHOB_WOODWASTE"/>
    <x v="0"/>
    <x v="12"/>
    <n v="31.406671474193899"/>
    <n v="11463.4350880808"/>
    <n v="41268.366317090702"/>
  </r>
  <r>
    <x v="0"/>
    <x v="0"/>
    <x v="0"/>
    <x v="9"/>
    <x v="17"/>
    <s v="SE1_OTHER"/>
    <x v="9"/>
    <s v="GHOB_WOODWASTE"/>
    <x v="0"/>
    <x v="13"/>
    <n v="31.406671474193899"/>
    <n v="11463.4350880808"/>
    <n v="41268.366317090702"/>
  </r>
  <r>
    <x v="0"/>
    <x v="0"/>
    <x v="0"/>
    <x v="9"/>
    <x v="17"/>
    <s v="SE1_OTHER"/>
    <x v="9"/>
    <s v="GHOB_WOODWASTE"/>
    <x v="0"/>
    <x v="14"/>
    <n v="31.406671474193899"/>
    <n v="11463.4350880808"/>
    <n v="41268.366317090702"/>
  </r>
  <r>
    <x v="0"/>
    <x v="0"/>
    <x v="0"/>
    <x v="9"/>
    <x v="17"/>
    <s v="SE1_OTHER"/>
    <x v="9"/>
    <s v="GHOB_WOODWASTE"/>
    <x v="0"/>
    <x v="15"/>
    <n v="31.406671474193899"/>
    <n v="11463.4350880808"/>
    <n v="41268.366317090702"/>
  </r>
  <r>
    <x v="0"/>
    <x v="0"/>
    <x v="0"/>
    <x v="9"/>
    <x v="17"/>
    <s v="SE1_OTHER"/>
    <x v="9"/>
    <s v="GHOB_WOODWASTE"/>
    <x v="0"/>
    <x v="16"/>
    <n v="31.406671474193899"/>
    <n v="11463.4350880808"/>
    <n v="41268.366317090702"/>
  </r>
  <r>
    <x v="0"/>
    <x v="0"/>
    <x v="0"/>
    <x v="9"/>
    <x v="17"/>
    <s v="SE1_OTHER"/>
    <x v="9"/>
    <s v="GHOB_WOODWASTE"/>
    <x v="0"/>
    <x v="17"/>
    <n v="31.406671474193899"/>
    <n v="11463.4350880808"/>
    <n v="41268.366317090702"/>
  </r>
  <r>
    <x v="0"/>
    <x v="0"/>
    <x v="0"/>
    <x v="9"/>
    <x v="17"/>
    <s v="SE1_OTHER"/>
    <x v="9"/>
    <s v="GHOB_WOODWASTE"/>
    <x v="0"/>
    <x v="19"/>
    <n v="31.406671474193899"/>
    <n v="11463.4350880808"/>
    <n v="41268.366317090702"/>
  </r>
  <r>
    <x v="0"/>
    <x v="0"/>
    <x v="0"/>
    <x v="9"/>
    <x v="17"/>
    <s v="SE1_OTHER"/>
    <x v="9"/>
    <s v="GHOB_WOODWASTE"/>
    <x v="0"/>
    <x v="20"/>
    <n v="31.406671474193899"/>
    <n v="11463.4350880808"/>
    <n v="41268.366317090702"/>
  </r>
  <r>
    <x v="0"/>
    <x v="0"/>
    <x v="0"/>
    <x v="9"/>
    <x v="17"/>
    <s v="SE1_OTHER"/>
    <x v="9"/>
    <s v="GHOB_WOODWASTE"/>
    <x v="0"/>
    <x v="21"/>
    <n v="31.406671474193899"/>
    <n v="11463.4350880808"/>
    <n v="41268.366317090702"/>
  </r>
  <r>
    <x v="0"/>
    <x v="0"/>
    <x v="0"/>
    <x v="9"/>
    <x v="17"/>
    <s v="SE1_OTHER"/>
    <x v="9"/>
    <s v="GHOB_WOODWASTE"/>
    <x v="0"/>
    <x v="22"/>
    <n v="31.406671474193899"/>
    <n v="11463.4350880808"/>
    <n v="41268.366317090702"/>
  </r>
  <r>
    <x v="0"/>
    <x v="0"/>
    <x v="0"/>
    <x v="9"/>
    <x v="17"/>
    <s v="SE1_OTHER"/>
    <x v="9"/>
    <s v="GHOB_WOODWASTE"/>
    <x v="0"/>
    <x v="23"/>
    <n v="31.406671474193899"/>
    <n v="11463.4350880808"/>
    <n v="41268.366317090702"/>
  </r>
  <r>
    <x v="0"/>
    <x v="0"/>
    <x v="0"/>
    <x v="9"/>
    <x v="18"/>
    <s v="SE2A"/>
    <x v="7"/>
    <s v="GNR_RES_WTR_NOPMP_MC-01"/>
    <x v="0"/>
    <x v="0"/>
    <n v="407.485221835787"/>
    <n v="148732.105970062"/>
    <n v="535435.58149222401"/>
  </r>
  <r>
    <x v="0"/>
    <x v="0"/>
    <x v="0"/>
    <x v="9"/>
    <x v="18"/>
    <s v="SE2A"/>
    <x v="7"/>
    <s v="GNR_RES_WTR_NOPMP_MC-01"/>
    <x v="0"/>
    <x v="1"/>
    <n v="407.485221835787"/>
    <n v="148732.105970062"/>
    <n v="535435.58149222401"/>
  </r>
  <r>
    <x v="0"/>
    <x v="0"/>
    <x v="0"/>
    <x v="9"/>
    <x v="18"/>
    <s v="SE2A"/>
    <x v="7"/>
    <s v="GNR_RES_WTR_NOPMP_MC-01"/>
    <x v="0"/>
    <x v="2"/>
    <n v="407.485221835787"/>
    <n v="148732.105970062"/>
    <n v="535435.58149222401"/>
  </r>
  <r>
    <x v="0"/>
    <x v="0"/>
    <x v="0"/>
    <x v="9"/>
    <x v="18"/>
    <s v="SE2A"/>
    <x v="7"/>
    <s v="GNR_RES_WTR_NOPMP_MC-01"/>
    <x v="0"/>
    <x v="3"/>
    <n v="407.485221835787"/>
    <n v="148732.105970062"/>
    <n v="535435.58149222401"/>
  </r>
  <r>
    <x v="0"/>
    <x v="0"/>
    <x v="0"/>
    <x v="9"/>
    <x v="18"/>
    <s v="SE2A"/>
    <x v="7"/>
    <s v="GNR_RES_WTR_NOPMP_MC-01"/>
    <x v="0"/>
    <x v="18"/>
    <n v="407.485221835787"/>
    <n v="148732.105970062"/>
    <n v="535435.58149222401"/>
  </r>
  <r>
    <x v="0"/>
    <x v="0"/>
    <x v="0"/>
    <x v="9"/>
    <x v="18"/>
    <s v="SE2A"/>
    <x v="7"/>
    <s v="GNR_RES_WTR_NOPMP_MC-01"/>
    <x v="0"/>
    <x v="4"/>
    <n v="407.485221835787"/>
    <n v="148732.105970062"/>
    <n v="535435.58149222401"/>
  </r>
  <r>
    <x v="0"/>
    <x v="0"/>
    <x v="0"/>
    <x v="9"/>
    <x v="18"/>
    <s v="SE2A"/>
    <x v="7"/>
    <s v="GNR_RES_WTR_NOPMP_MC-01"/>
    <x v="0"/>
    <x v="5"/>
    <n v="407.485221835787"/>
    <n v="148732.105970062"/>
    <n v="535435.58149222401"/>
  </r>
  <r>
    <x v="0"/>
    <x v="0"/>
    <x v="0"/>
    <x v="9"/>
    <x v="18"/>
    <s v="SE2A"/>
    <x v="7"/>
    <s v="GNR_RES_WTR_NOPMP_MC-01"/>
    <x v="0"/>
    <x v="6"/>
    <n v="407.485221835787"/>
    <n v="148732.105970062"/>
    <n v="535435.58149222401"/>
  </r>
  <r>
    <x v="0"/>
    <x v="0"/>
    <x v="0"/>
    <x v="9"/>
    <x v="18"/>
    <s v="SE2A"/>
    <x v="7"/>
    <s v="GNR_RES_WTR_NOPMP_MC-01"/>
    <x v="0"/>
    <x v="7"/>
    <n v="407.485221835787"/>
    <n v="148732.105970062"/>
    <n v="535435.58149222401"/>
  </r>
  <r>
    <x v="0"/>
    <x v="0"/>
    <x v="0"/>
    <x v="9"/>
    <x v="18"/>
    <s v="SE2A"/>
    <x v="7"/>
    <s v="GNR_RES_WTR_NOPMP_MC-01"/>
    <x v="0"/>
    <x v="8"/>
    <n v="407.485221835787"/>
    <n v="148732.105970062"/>
    <n v="535435.58149222401"/>
  </r>
  <r>
    <x v="0"/>
    <x v="0"/>
    <x v="0"/>
    <x v="9"/>
    <x v="18"/>
    <s v="SE2A"/>
    <x v="7"/>
    <s v="GNR_RES_WTR_NOPMP_MC-01"/>
    <x v="0"/>
    <x v="9"/>
    <n v="407.485221835787"/>
    <n v="148732.105970062"/>
    <n v="535435.58149222401"/>
  </r>
  <r>
    <x v="0"/>
    <x v="0"/>
    <x v="0"/>
    <x v="9"/>
    <x v="18"/>
    <s v="SE2A"/>
    <x v="7"/>
    <s v="GNR_RES_WTR_NOPMP_MC-01"/>
    <x v="0"/>
    <x v="10"/>
    <n v="407.485221835787"/>
    <n v="148732.105970062"/>
    <n v="535435.58149222401"/>
  </r>
  <r>
    <x v="0"/>
    <x v="0"/>
    <x v="0"/>
    <x v="9"/>
    <x v="18"/>
    <s v="SE2A"/>
    <x v="7"/>
    <s v="GNR_RES_WTR_NOPMP_MC-01"/>
    <x v="0"/>
    <x v="11"/>
    <n v="407.485221835787"/>
    <n v="148732.105970062"/>
    <n v="535435.58149222401"/>
  </r>
  <r>
    <x v="0"/>
    <x v="0"/>
    <x v="0"/>
    <x v="9"/>
    <x v="18"/>
    <s v="SE2A"/>
    <x v="7"/>
    <s v="GNR_RES_WTR_NOPMP_MC-01"/>
    <x v="0"/>
    <x v="12"/>
    <n v="407.485221835787"/>
    <n v="148732.105970062"/>
    <n v="535435.58149222401"/>
  </r>
  <r>
    <x v="0"/>
    <x v="0"/>
    <x v="0"/>
    <x v="9"/>
    <x v="18"/>
    <s v="SE2A"/>
    <x v="7"/>
    <s v="GNR_RES_WTR_NOPMP_MC-01"/>
    <x v="0"/>
    <x v="13"/>
    <n v="407.485221835787"/>
    <n v="148732.105970062"/>
    <n v="535435.58149222401"/>
  </r>
  <r>
    <x v="0"/>
    <x v="0"/>
    <x v="0"/>
    <x v="9"/>
    <x v="18"/>
    <s v="SE2A"/>
    <x v="7"/>
    <s v="GNR_RES_WTR_NOPMP_MC-01"/>
    <x v="0"/>
    <x v="14"/>
    <n v="407.485221835787"/>
    <n v="148732.105970062"/>
    <n v="535435.58149222401"/>
  </r>
  <r>
    <x v="0"/>
    <x v="0"/>
    <x v="0"/>
    <x v="9"/>
    <x v="18"/>
    <s v="SE2A"/>
    <x v="7"/>
    <s v="GNR_RES_WTR_NOPMP_MC-01"/>
    <x v="0"/>
    <x v="15"/>
    <n v="407.485221835787"/>
    <n v="148732.105970062"/>
    <n v="535435.58149222401"/>
  </r>
  <r>
    <x v="0"/>
    <x v="0"/>
    <x v="0"/>
    <x v="9"/>
    <x v="18"/>
    <s v="SE2A"/>
    <x v="7"/>
    <s v="GNR_RES_WTR_NOPMP_MC-01"/>
    <x v="0"/>
    <x v="16"/>
    <n v="407.485221835787"/>
    <n v="148732.105970062"/>
    <n v="535435.58149222401"/>
  </r>
  <r>
    <x v="0"/>
    <x v="0"/>
    <x v="0"/>
    <x v="9"/>
    <x v="18"/>
    <s v="SE2A"/>
    <x v="7"/>
    <s v="GNR_RES_WTR_NOPMP_MC-01"/>
    <x v="0"/>
    <x v="17"/>
    <n v="407.485221835787"/>
    <n v="148732.105970062"/>
    <n v="535435.58149222401"/>
  </r>
  <r>
    <x v="0"/>
    <x v="0"/>
    <x v="0"/>
    <x v="9"/>
    <x v="18"/>
    <s v="SE2A"/>
    <x v="7"/>
    <s v="GNR_RES_WTR_NOPMP_MC-01"/>
    <x v="0"/>
    <x v="19"/>
    <n v="407.485221835787"/>
    <n v="148732.105970062"/>
    <n v="535435.58149222401"/>
  </r>
  <r>
    <x v="0"/>
    <x v="0"/>
    <x v="0"/>
    <x v="9"/>
    <x v="18"/>
    <s v="SE2A"/>
    <x v="7"/>
    <s v="GNR_RES_WTR_NOPMP_MC-01"/>
    <x v="0"/>
    <x v="20"/>
    <n v="407.485221835787"/>
    <n v="148732.105970062"/>
    <n v="535435.58149222401"/>
  </r>
  <r>
    <x v="0"/>
    <x v="0"/>
    <x v="0"/>
    <x v="9"/>
    <x v="18"/>
    <s v="SE2A"/>
    <x v="7"/>
    <s v="GNR_RES_WTR_NOPMP_MC-01"/>
    <x v="0"/>
    <x v="21"/>
    <n v="407.485221835787"/>
    <n v="148732.105970062"/>
    <n v="535435.58149222401"/>
  </r>
  <r>
    <x v="0"/>
    <x v="0"/>
    <x v="0"/>
    <x v="9"/>
    <x v="18"/>
    <s v="SE2A"/>
    <x v="7"/>
    <s v="GNR_RES_WTR_NOPMP_MC-01"/>
    <x v="0"/>
    <x v="22"/>
    <n v="407.485221835787"/>
    <n v="148732.105970062"/>
    <n v="535435.58149222401"/>
  </r>
  <r>
    <x v="0"/>
    <x v="0"/>
    <x v="0"/>
    <x v="9"/>
    <x v="18"/>
    <s v="SE2A"/>
    <x v="7"/>
    <s v="GNR_RES_WTR_NOPMP_MC-01"/>
    <x v="0"/>
    <x v="23"/>
    <n v="407.485221835787"/>
    <n v="148732.105970062"/>
    <n v="535435.58149222401"/>
  </r>
  <r>
    <x v="0"/>
    <x v="0"/>
    <x v="0"/>
    <x v="9"/>
    <x v="18"/>
    <s v="SE2A"/>
    <x v="7"/>
    <s v="GNR_RES_WTR_NOPMP_MC-02"/>
    <x v="0"/>
    <x v="0"/>
    <n v="515.485221835787"/>
    <n v="188152.105970062"/>
    <n v="677347.58149222401"/>
  </r>
  <r>
    <x v="0"/>
    <x v="0"/>
    <x v="0"/>
    <x v="9"/>
    <x v="18"/>
    <s v="SE2A"/>
    <x v="7"/>
    <s v="GNR_RES_WTR_NOPMP_MC-02"/>
    <x v="0"/>
    <x v="1"/>
    <n v="515.485221835787"/>
    <n v="188152.105970062"/>
    <n v="677347.58149222401"/>
  </r>
  <r>
    <x v="0"/>
    <x v="0"/>
    <x v="0"/>
    <x v="9"/>
    <x v="18"/>
    <s v="SE2A"/>
    <x v="7"/>
    <s v="GNR_RES_WTR_NOPMP_MC-02"/>
    <x v="0"/>
    <x v="2"/>
    <n v="515.485221835787"/>
    <n v="188152.105970062"/>
    <n v="677347.58149222401"/>
  </r>
  <r>
    <x v="0"/>
    <x v="0"/>
    <x v="0"/>
    <x v="9"/>
    <x v="18"/>
    <s v="SE2A"/>
    <x v="7"/>
    <s v="GNR_RES_WTR_NOPMP_MC-02"/>
    <x v="0"/>
    <x v="3"/>
    <n v="515.485221835787"/>
    <n v="188152.105970062"/>
    <n v="677347.58149222401"/>
  </r>
  <r>
    <x v="0"/>
    <x v="0"/>
    <x v="0"/>
    <x v="9"/>
    <x v="18"/>
    <s v="SE2A"/>
    <x v="7"/>
    <s v="GNR_RES_WTR_NOPMP_MC-02"/>
    <x v="0"/>
    <x v="18"/>
    <n v="515.485221835787"/>
    <n v="188152.105970062"/>
    <n v="677347.58149222401"/>
  </r>
  <r>
    <x v="0"/>
    <x v="0"/>
    <x v="0"/>
    <x v="9"/>
    <x v="18"/>
    <s v="SE2A"/>
    <x v="7"/>
    <s v="GNR_RES_WTR_NOPMP_MC-02"/>
    <x v="0"/>
    <x v="4"/>
    <n v="515.485221835787"/>
    <n v="188152.105970062"/>
    <n v="677347.58149222401"/>
  </r>
  <r>
    <x v="0"/>
    <x v="0"/>
    <x v="0"/>
    <x v="9"/>
    <x v="18"/>
    <s v="SE2A"/>
    <x v="7"/>
    <s v="GNR_RES_WTR_NOPMP_MC-02"/>
    <x v="0"/>
    <x v="5"/>
    <n v="515.485221835787"/>
    <n v="188152.105970062"/>
    <n v="677347.58149222401"/>
  </r>
  <r>
    <x v="0"/>
    <x v="0"/>
    <x v="0"/>
    <x v="9"/>
    <x v="18"/>
    <s v="SE2A"/>
    <x v="7"/>
    <s v="GNR_RES_WTR_NOPMP_MC-02"/>
    <x v="0"/>
    <x v="6"/>
    <n v="515.485221835787"/>
    <n v="188152.105970062"/>
    <n v="677347.58149222401"/>
  </r>
  <r>
    <x v="0"/>
    <x v="0"/>
    <x v="0"/>
    <x v="9"/>
    <x v="18"/>
    <s v="SE2A"/>
    <x v="7"/>
    <s v="GNR_RES_WTR_NOPMP_MC-02"/>
    <x v="0"/>
    <x v="7"/>
    <n v="515.485221835787"/>
    <n v="188152.105970062"/>
    <n v="677347.58149222401"/>
  </r>
  <r>
    <x v="0"/>
    <x v="0"/>
    <x v="0"/>
    <x v="9"/>
    <x v="18"/>
    <s v="SE2A"/>
    <x v="7"/>
    <s v="GNR_RES_WTR_NOPMP_MC-02"/>
    <x v="0"/>
    <x v="8"/>
    <n v="515.485221835787"/>
    <n v="188152.105970062"/>
    <n v="677347.58149222401"/>
  </r>
  <r>
    <x v="0"/>
    <x v="0"/>
    <x v="0"/>
    <x v="9"/>
    <x v="18"/>
    <s v="SE2A"/>
    <x v="7"/>
    <s v="GNR_RES_WTR_NOPMP_MC-02"/>
    <x v="0"/>
    <x v="9"/>
    <n v="515.485221835787"/>
    <n v="188152.105970062"/>
    <n v="677347.58149222401"/>
  </r>
  <r>
    <x v="0"/>
    <x v="0"/>
    <x v="0"/>
    <x v="9"/>
    <x v="18"/>
    <s v="SE2A"/>
    <x v="7"/>
    <s v="GNR_RES_WTR_NOPMP_MC-02"/>
    <x v="0"/>
    <x v="10"/>
    <n v="515.485221835787"/>
    <n v="188152.105970062"/>
    <n v="677347.58149222401"/>
  </r>
  <r>
    <x v="0"/>
    <x v="0"/>
    <x v="0"/>
    <x v="9"/>
    <x v="18"/>
    <s v="SE2A"/>
    <x v="7"/>
    <s v="GNR_RES_WTR_NOPMP_MC-02"/>
    <x v="0"/>
    <x v="11"/>
    <n v="515.485221835787"/>
    <n v="188152.105970062"/>
    <n v="677347.58149222401"/>
  </r>
  <r>
    <x v="0"/>
    <x v="0"/>
    <x v="0"/>
    <x v="9"/>
    <x v="18"/>
    <s v="SE2A"/>
    <x v="7"/>
    <s v="GNR_RES_WTR_NOPMP_MC-02"/>
    <x v="0"/>
    <x v="12"/>
    <n v="515.485221835787"/>
    <n v="188152.105970062"/>
    <n v="677347.58149222401"/>
  </r>
  <r>
    <x v="0"/>
    <x v="0"/>
    <x v="0"/>
    <x v="9"/>
    <x v="18"/>
    <s v="SE2A"/>
    <x v="7"/>
    <s v="GNR_RES_WTR_NOPMP_MC-02"/>
    <x v="0"/>
    <x v="13"/>
    <n v="515.485221835787"/>
    <n v="188152.105970062"/>
    <n v="677347.58149222401"/>
  </r>
  <r>
    <x v="0"/>
    <x v="0"/>
    <x v="0"/>
    <x v="9"/>
    <x v="18"/>
    <s v="SE2A"/>
    <x v="7"/>
    <s v="GNR_RES_WTR_NOPMP_MC-02"/>
    <x v="0"/>
    <x v="14"/>
    <n v="515.485221835787"/>
    <n v="188152.105970062"/>
    <n v="677347.58149222401"/>
  </r>
  <r>
    <x v="0"/>
    <x v="0"/>
    <x v="0"/>
    <x v="9"/>
    <x v="18"/>
    <s v="SE2A"/>
    <x v="7"/>
    <s v="GNR_RES_WTR_NOPMP_MC-02"/>
    <x v="0"/>
    <x v="15"/>
    <n v="515.485221835787"/>
    <n v="188152.105970062"/>
    <n v="677347.58149222401"/>
  </r>
  <r>
    <x v="0"/>
    <x v="0"/>
    <x v="0"/>
    <x v="9"/>
    <x v="18"/>
    <s v="SE2A"/>
    <x v="7"/>
    <s v="GNR_RES_WTR_NOPMP_MC-02"/>
    <x v="0"/>
    <x v="16"/>
    <n v="515.485221835787"/>
    <n v="188152.105970062"/>
    <n v="677347.58149222401"/>
  </r>
  <r>
    <x v="0"/>
    <x v="0"/>
    <x v="0"/>
    <x v="9"/>
    <x v="18"/>
    <s v="SE2A"/>
    <x v="7"/>
    <s v="GNR_RES_WTR_NOPMP_MC-02"/>
    <x v="0"/>
    <x v="17"/>
    <n v="515.485221835787"/>
    <n v="188152.105970062"/>
    <n v="677347.58149222401"/>
  </r>
  <r>
    <x v="0"/>
    <x v="0"/>
    <x v="0"/>
    <x v="9"/>
    <x v="18"/>
    <s v="SE2A"/>
    <x v="7"/>
    <s v="GNR_RES_WTR_NOPMP_MC-02"/>
    <x v="0"/>
    <x v="19"/>
    <n v="515.485221835787"/>
    <n v="188152.105970062"/>
    <n v="677347.58149222401"/>
  </r>
  <r>
    <x v="0"/>
    <x v="0"/>
    <x v="0"/>
    <x v="9"/>
    <x v="18"/>
    <s v="SE2A"/>
    <x v="7"/>
    <s v="GNR_RES_WTR_NOPMP_MC-02"/>
    <x v="0"/>
    <x v="20"/>
    <n v="515.485221835787"/>
    <n v="188152.105970062"/>
    <n v="677347.58149222401"/>
  </r>
  <r>
    <x v="0"/>
    <x v="0"/>
    <x v="0"/>
    <x v="9"/>
    <x v="18"/>
    <s v="SE2A"/>
    <x v="7"/>
    <s v="GNR_RES_WTR_NOPMP_MC-02"/>
    <x v="0"/>
    <x v="21"/>
    <n v="515.485221835787"/>
    <n v="188152.105970062"/>
    <n v="677347.58149222401"/>
  </r>
  <r>
    <x v="0"/>
    <x v="0"/>
    <x v="0"/>
    <x v="9"/>
    <x v="18"/>
    <s v="SE2A"/>
    <x v="7"/>
    <s v="GNR_RES_WTR_NOPMP_MC-02"/>
    <x v="0"/>
    <x v="22"/>
    <n v="515.485221835787"/>
    <n v="188152.105970062"/>
    <n v="677347.58149222401"/>
  </r>
  <r>
    <x v="0"/>
    <x v="0"/>
    <x v="0"/>
    <x v="9"/>
    <x v="18"/>
    <s v="SE2A"/>
    <x v="7"/>
    <s v="GNR_RES_WTR_NOPMP_MC-02"/>
    <x v="0"/>
    <x v="23"/>
    <n v="515.485221835787"/>
    <n v="188152.105970062"/>
    <n v="677347.58149222401"/>
  </r>
  <r>
    <x v="0"/>
    <x v="0"/>
    <x v="0"/>
    <x v="9"/>
    <x v="18"/>
    <s v="SE2A"/>
    <x v="7"/>
    <s v="GNR_RES_WTR_NOPMP_MC-03"/>
    <x v="0"/>
    <x v="0"/>
    <n v="515.485221835787"/>
    <n v="188152.105970062"/>
    <n v="677347.58149222401"/>
  </r>
  <r>
    <x v="0"/>
    <x v="0"/>
    <x v="0"/>
    <x v="9"/>
    <x v="18"/>
    <s v="SE2A"/>
    <x v="7"/>
    <s v="GNR_RES_WTR_NOPMP_MC-03"/>
    <x v="0"/>
    <x v="1"/>
    <n v="515.485221835787"/>
    <n v="188152.105970062"/>
    <n v="677347.58149222401"/>
  </r>
  <r>
    <x v="0"/>
    <x v="0"/>
    <x v="0"/>
    <x v="9"/>
    <x v="18"/>
    <s v="SE2A"/>
    <x v="7"/>
    <s v="GNR_RES_WTR_NOPMP_MC-03"/>
    <x v="0"/>
    <x v="2"/>
    <n v="515.485221835787"/>
    <n v="188152.105970062"/>
    <n v="677347.58149222401"/>
  </r>
  <r>
    <x v="0"/>
    <x v="0"/>
    <x v="0"/>
    <x v="9"/>
    <x v="18"/>
    <s v="SE2A"/>
    <x v="7"/>
    <s v="GNR_RES_WTR_NOPMP_MC-03"/>
    <x v="0"/>
    <x v="3"/>
    <n v="515.485221835787"/>
    <n v="188152.105970062"/>
    <n v="677347.58149222401"/>
  </r>
  <r>
    <x v="0"/>
    <x v="0"/>
    <x v="0"/>
    <x v="9"/>
    <x v="18"/>
    <s v="SE2A"/>
    <x v="7"/>
    <s v="GNR_RES_WTR_NOPMP_MC-03"/>
    <x v="0"/>
    <x v="18"/>
    <n v="515.485221835787"/>
    <n v="188152.105970062"/>
    <n v="677347.58149222401"/>
  </r>
  <r>
    <x v="0"/>
    <x v="0"/>
    <x v="0"/>
    <x v="9"/>
    <x v="18"/>
    <s v="SE2A"/>
    <x v="7"/>
    <s v="GNR_RES_WTR_NOPMP_MC-03"/>
    <x v="0"/>
    <x v="4"/>
    <n v="515.485221835787"/>
    <n v="188152.105970062"/>
    <n v="677347.58149222401"/>
  </r>
  <r>
    <x v="0"/>
    <x v="0"/>
    <x v="0"/>
    <x v="9"/>
    <x v="18"/>
    <s v="SE2A"/>
    <x v="7"/>
    <s v="GNR_RES_WTR_NOPMP_MC-03"/>
    <x v="0"/>
    <x v="5"/>
    <n v="515.485221835787"/>
    <n v="188152.105970062"/>
    <n v="677347.58149222401"/>
  </r>
  <r>
    <x v="0"/>
    <x v="0"/>
    <x v="0"/>
    <x v="9"/>
    <x v="18"/>
    <s v="SE2A"/>
    <x v="7"/>
    <s v="GNR_RES_WTR_NOPMP_MC-03"/>
    <x v="0"/>
    <x v="6"/>
    <n v="515.485221835787"/>
    <n v="188152.105970062"/>
    <n v="677347.58149222401"/>
  </r>
  <r>
    <x v="0"/>
    <x v="0"/>
    <x v="0"/>
    <x v="9"/>
    <x v="18"/>
    <s v="SE2A"/>
    <x v="7"/>
    <s v="GNR_RES_WTR_NOPMP_MC-03"/>
    <x v="0"/>
    <x v="7"/>
    <n v="515.485221835787"/>
    <n v="188152.105970062"/>
    <n v="677347.58149222401"/>
  </r>
  <r>
    <x v="0"/>
    <x v="0"/>
    <x v="0"/>
    <x v="9"/>
    <x v="18"/>
    <s v="SE2A"/>
    <x v="7"/>
    <s v="GNR_RES_WTR_NOPMP_MC-03"/>
    <x v="0"/>
    <x v="8"/>
    <n v="515.485221835787"/>
    <n v="188152.105970062"/>
    <n v="677347.58149222401"/>
  </r>
  <r>
    <x v="0"/>
    <x v="0"/>
    <x v="0"/>
    <x v="9"/>
    <x v="18"/>
    <s v="SE2A"/>
    <x v="7"/>
    <s v="GNR_RES_WTR_NOPMP_MC-03"/>
    <x v="0"/>
    <x v="9"/>
    <n v="515.485221835787"/>
    <n v="188152.105970062"/>
    <n v="677347.58149222401"/>
  </r>
  <r>
    <x v="0"/>
    <x v="0"/>
    <x v="0"/>
    <x v="9"/>
    <x v="18"/>
    <s v="SE2A"/>
    <x v="7"/>
    <s v="GNR_RES_WTR_NOPMP_MC-03"/>
    <x v="0"/>
    <x v="10"/>
    <n v="515.485221835787"/>
    <n v="188152.105970062"/>
    <n v="677347.58149222401"/>
  </r>
  <r>
    <x v="0"/>
    <x v="0"/>
    <x v="0"/>
    <x v="9"/>
    <x v="18"/>
    <s v="SE2A"/>
    <x v="7"/>
    <s v="GNR_RES_WTR_NOPMP_MC-03"/>
    <x v="0"/>
    <x v="11"/>
    <n v="515.485221835787"/>
    <n v="188152.105970062"/>
    <n v="677347.58149222401"/>
  </r>
  <r>
    <x v="0"/>
    <x v="0"/>
    <x v="0"/>
    <x v="9"/>
    <x v="18"/>
    <s v="SE2A"/>
    <x v="7"/>
    <s v="GNR_RES_WTR_NOPMP_MC-03"/>
    <x v="0"/>
    <x v="12"/>
    <n v="515.485221835787"/>
    <n v="188152.105970062"/>
    <n v="677347.58149222401"/>
  </r>
  <r>
    <x v="0"/>
    <x v="0"/>
    <x v="0"/>
    <x v="9"/>
    <x v="18"/>
    <s v="SE2A"/>
    <x v="7"/>
    <s v="GNR_RES_WTR_NOPMP_MC-03"/>
    <x v="0"/>
    <x v="13"/>
    <n v="515.485221835787"/>
    <n v="188152.105970062"/>
    <n v="677347.58149222401"/>
  </r>
  <r>
    <x v="0"/>
    <x v="0"/>
    <x v="0"/>
    <x v="9"/>
    <x v="18"/>
    <s v="SE2A"/>
    <x v="7"/>
    <s v="GNR_RES_WTR_NOPMP_MC-03"/>
    <x v="0"/>
    <x v="14"/>
    <n v="515.485221835787"/>
    <n v="188152.105970062"/>
    <n v="677347.58149222401"/>
  </r>
  <r>
    <x v="0"/>
    <x v="0"/>
    <x v="0"/>
    <x v="9"/>
    <x v="18"/>
    <s v="SE2A"/>
    <x v="7"/>
    <s v="GNR_RES_WTR_NOPMP_MC-03"/>
    <x v="0"/>
    <x v="15"/>
    <n v="515.485221835787"/>
    <n v="188152.105970062"/>
    <n v="677347.58149222401"/>
  </r>
  <r>
    <x v="0"/>
    <x v="0"/>
    <x v="0"/>
    <x v="9"/>
    <x v="18"/>
    <s v="SE2A"/>
    <x v="7"/>
    <s v="GNR_RES_WTR_NOPMP_MC-03"/>
    <x v="0"/>
    <x v="16"/>
    <n v="515.485221835787"/>
    <n v="188152.105970062"/>
    <n v="677347.58149222401"/>
  </r>
  <r>
    <x v="0"/>
    <x v="0"/>
    <x v="0"/>
    <x v="9"/>
    <x v="18"/>
    <s v="SE2A"/>
    <x v="7"/>
    <s v="GNR_RES_WTR_NOPMP_MC-03"/>
    <x v="0"/>
    <x v="17"/>
    <n v="515.485221835787"/>
    <n v="188152.105970062"/>
    <n v="677347.58149222401"/>
  </r>
  <r>
    <x v="0"/>
    <x v="0"/>
    <x v="0"/>
    <x v="9"/>
    <x v="18"/>
    <s v="SE2A"/>
    <x v="7"/>
    <s v="GNR_RES_WTR_NOPMP_MC-03"/>
    <x v="0"/>
    <x v="19"/>
    <n v="515.485221835787"/>
    <n v="188152.105970062"/>
    <n v="677347.58149222401"/>
  </r>
  <r>
    <x v="0"/>
    <x v="0"/>
    <x v="0"/>
    <x v="9"/>
    <x v="18"/>
    <s v="SE2A"/>
    <x v="7"/>
    <s v="GNR_RES_WTR_NOPMP_MC-03"/>
    <x v="0"/>
    <x v="20"/>
    <n v="515.485221835787"/>
    <n v="188152.105970062"/>
    <n v="677347.58149222401"/>
  </r>
  <r>
    <x v="0"/>
    <x v="0"/>
    <x v="0"/>
    <x v="9"/>
    <x v="18"/>
    <s v="SE2A"/>
    <x v="7"/>
    <s v="GNR_RES_WTR_NOPMP_MC-03"/>
    <x v="0"/>
    <x v="21"/>
    <n v="515.485221835787"/>
    <n v="188152.105970062"/>
    <n v="677347.58149222401"/>
  </r>
  <r>
    <x v="0"/>
    <x v="0"/>
    <x v="0"/>
    <x v="9"/>
    <x v="18"/>
    <s v="SE2A"/>
    <x v="7"/>
    <s v="GNR_RES_WTR_NOPMP_MC-03"/>
    <x v="0"/>
    <x v="22"/>
    <n v="515.485221835787"/>
    <n v="188152.105970062"/>
    <n v="677347.58149222401"/>
  </r>
  <r>
    <x v="0"/>
    <x v="0"/>
    <x v="0"/>
    <x v="9"/>
    <x v="18"/>
    <s v="SE2A"/>
    <x v="7"/>
    <s v="GNR_RES_WTR_NOPMP_MC-04"/>
    <x v="0"/>
    <x v="4"/>
    <n v="515.485221835787"/>
    <n v="188152.105970062"/>
    <n v="677347.58149222401"/>
  </r>
  <r>
    <x v="0"/>
    <x v="0"/>
    <x v="0"/>
    <x v="9"/>
    <x v="18"/>
    <s v="SE2A"/>
    <x v="7"/>
    <s v="GNR_RES_WTR_NOPMP_MC-04"/>
    <x v="0"/>
    <x v="5"/>
    <n v="515.485221835787"/>
    <n v="188152.105970062"/>
    <n v="677347.58149222401"/>
  </r>
  <r>
    <x v="0"/>
    <x v="0"/>
    <x v="0"/>
    <x v="9"/>
    <x v="18"/>
    <s v="SE2A"/>
    <x v="7"/>
    <s v="GNR_RES_WTR_NOPMP_MC-04"/>
    <x v="0"/>
    <x v="6"/>
    <n v="515.485221835787"/>
    <n v="188152.105970062"/>
    <n v="677347.58149222401"/>
  </r>
  <r>
    <x v="0"/>
    <x v="0"/>
    <x v="0"/>
    <x v="9"/>
    <x v="18"/>
    <s v="SE2A"/>
    <x v="7"/>
    <s v="GNR_RES_WTR_NOPMP_MC-04"/>
    <x v="0"/>
    <x v="7"/>
    <n v="515.485221835787"/>
    <n v="188152.105970062"/>
    <n v="677347.58149222401"/>
  </r>
  <r>
    <x v="0"/>
    <x v="0"/>
    <x v="0"/>
    <x v="9"/>
    <x v="18"/>
    <s v="SE2A"/>
    <x v="7"/>
    <s v="GNR_RES_WTR_NOPMP_MC-04"/>
    <x v="0"/>
    <x v="8"/>
    <n v="515.485221835787"/>
    <n v="188152.105970062"/>
    <n v="677347.58149222401"/>
  </r>
  <r>
    <x v="0"/>
    <x v="0"/>
    <x v="0"/>
    <x v="9"/>
    <x v="18"/>
    <s v="SE2A"/>
    <x v="7"/>
    <s v="GNR_RES_WTR_NOPMP_MC-04"/>
    <x v="0"/>
    <x v="9"/>
    <n v="515.485221835787"/>
    <n v="188152.105970062"/>
    <n v="677347.58149222401"/>
  </r>
  <r>
    <x v="0"/>
    <x v="0"/>
    <x v="0"/>
    <x v="9"/>
    <x v="18"/>
    <s v="SE2A"/>
    <x v="7"/>
    <s v="GNR_RES_WTR_NOPMP_MC-04"/>
    <x v="0"/>
    <x v="10"/>
    <n v="515.485221835787"/>
    <n v="188152.105970062"/>
    <n v="677347.58149222401"/>
  </r>
  <r>
    <x v="0"/>
    <x v="0"/>
    <x v="0"/>
    <x v="9"/>
    <x v="18"/>
    <s v="SE2A"/>
    <x v="7"/>
    <s v="GNR_RES_WTR_NOPMP_MC-04"/>
    <x v="0"/>
    <x v="11"/>
    <n v="515.485221835787"/>
    <n v="188152.105970062"/>
    <n v="677347.58149222401"/>
  </r>
  <r>
    <x v="0"/>
    <x v="0"/>
    <x v="0"/>
    <x v="9"/>
    <x v="18"/>
    <s v="SE2A"/>
    <x v="7"/>
    <s v="GNR_RES_WTR_NOPMP_MC-04"/>
    <x v="0"/>
    <x v="12"/>
    <n v="515.485221835787"/>
    <n v="188152.105970062"/>
    <n v="677347.58149222401"/>
  </r>
  <r>
    <x v="0"/>
    <x v="0"/>
    <x v="0"/>
    <x v="9"/>
    <x v="18"/>
    <s v="SE2A"/>
    <x v="7"/>
    <s v="GNR_RES_WTR_NOPMP_MC-04"/>
    <x v="0"/>
    <x v="13"/>
    <n v="515.485221835787"/>
    <n v="188152.105970062"/>
    <n v="677347.58149222401"/>
  </r>
  <r>
    <x v="0"/>
    <x v="0"/>
    <x v="0"/>
    <x v="9"/>
    <x v="18"/>
    <s v="SE2A"/>
    <x v="7"/>
    <s v="GNR_RES_WTR_NOPMP_MC-04"/>
    <x v="0"/>
    <x v="14"/>
    <n v="515.485221835787"/>
    <n v="188152.105970062"/>
    <n v="677347.58149222401"/>
  </r>
  <r>
    <x v="0"/>
    <x v="0"/>
    <x v="0"/>
    <x v="9"/>
    <x v="18"/>
    <s v="SE2A"/>
    <x v="7"/>
    <s v="GNR_RES_WTR_NOPMP_MC-04"/>
    <x v="0"/>
    <x v="15"/>
    <n v="515.485221835787"/>
    <n v="188152.105970062"/>
    <n v="677347.58149222401"/>
  </r>
  <r>
    <x v="0"/>
    <x v="0"/>
    <x v="0"/>
    <x v="9"/>
    <x v="18"/>
    <s v="SE2A"/>
    <x v="7"/>
    <s v="GNR_RES_WTR_NOPMP_MC-04"/>
    <x v="0"/>
    <x v="16"/>
    <n v="515.485221835787"/>
    <n v="188152.105970062"/>
    <n v="677347.58149222401"/>
  </r>
  <r>
    <x v="0"/>
    <x v="0"/>
    <x v="0"/>
    <x v="9"/>
    <x v="18"/>
    <s v="SE2A"/>
    <x v="7"/>
    <s v="GNR_RES_WTR_NOPMP_MC-04"/>
    <x v="0"/>
    <x v="17"/>
    <n v="515.485221835787"/>
    <n v="188152.105970062"/>
    <n v="677347.58149222401"/>
  </r>
  <r>
    <x v="0"/>
    <x v="0"/>
    <x v="0"/>
    <x v="9"/>
    <x v="18"/>
    <s v="SE2A"/>
    <x v="7"/>
    <s v="GNR_RES_WTR_NOPMP_MC-04"/>
    <x v="0"/>
    <x v="19"/>
    <n v="515.485221835787"/>
    <n v="188152.105970062"/>
    <n v="677347.58149222401"/>
  </r>
  <r>
    <x v="0"/>
    <x v="0"/>
    <x v="0"/>
    <x v="9"/>
    <x v="18"/>
    <s v="SE2A"/>
    <x v="7"/>
    <s v="GNR_RES_WTR_NOPMP_MC-04"/>
    <x v="0"/>
    <x v="20"/>
    <n v="515.485221835787"/>
    <n v="188152.105970062"/>
    <n v="677347.58149222401"/>
  </r>
  <r>
    <x v="0"/>
    <x v="0"/>
    <x v="0"/>
    <x v="9"/>
    <x v="18"/>
    <s v="SE2A"/>
    <x v="7"/>
    <s v="GNR_RES_WTR_NOPMP_MC-04"/>
    <x v="0"/>
    <x v="21"/>
    <n v="219.65336360155499"/>
    <n v="80173.477714567794"/>
    <n v="288624.51977244398"/>
  </r>
  <r>
    <x v="0"/>
    <x v="0"/>
    <x v="0"/>
    <x v="9"/>
    <x v="18"/>
    <s v="SE2A"/>
    <x v="7"/>
    <s v="GNR_RES_WTR_NOPMP_MC-05"/>
    <x v="0"/>
    <x v="4"/>
    <n v="515.485221835787"/>
    <n v="188152.105970062"/>
    <n v="677347.58149222401"/>
  </r>
  <r>
    <x v="0"/>
    <x v="0"/>
    <x v="0"/>
    <x v="9"/>
    <x v="18"/>
    <s v="SE2A"/>
    <x v="7"/>
    <s v="GNR_RES_WTR_NOPMP_MC-05"/>
    <x v="0"/>
    <x v="5"/>
    <n v="515.485221835787"/>
    <n v="188152.105970062"/>
    <n v="677347.58149222401"/>
  </r>
  <r>
    <x v="0"/>
    <x v="0"/>
    <x v="0"/>
    <x v="9"/>
    <x v="18"/>
    <s v="SE2A"/>
    <x v="7"/>
    <s v="GNR_RES_WTR_NOPMP_MC-05"/>
    <x v="0"/>
    <x v="6"/>
    <n v="515.485221835787"/>
    <n v="188152.105970062"/>
    <n v="677347.58149222401"/>
  </r>
  <r>
    <x v="0"/>
    <x v="0"/>
    <x v="0"/>
    <x v="9"/>
    <x v="18"/>
    <s v="SE2A"/>
    <x v="7"/>
    <s v="GNR_RES_WTR_NOPMP_MC-05"/>
    <x v="0"/>
    <x v="7"/>
    <n v="515.485221835787"/>
    <n v="188152.105970062"/>
    <n v="677347.58149222401"/>
  </r>
  <r>
    <x v="0"/>
    <x v="0"/>
    <x v="0"/>
    <x v="9"/>
    <x v="18"/>
    <s v="SE2A"/>
    <x v="7"/>
    <s v="GNR_RES_WTR_NOPMP_MC-05"/>
    <x v="0"/>
    <x v="8"/>
    <n v="515.485221835787"/>
    <n v="188152.105970062"/>
    <n v="677347.58149222401"/>
  </r>
  <r>
    <x v="0"/>
    <x v="0"/>
    <x v="0"/>
    <x v="9"/>
    <x v="18"/>
    <s v="SE2A"/>
    <x v="7"/>
    <s v="GNR_RES_WTR_NOPMP_MC-05"/>
    <x v="0"/>
    <x v="9"/>
    <n v="515.485221835787"/>
    <n v="188152.105970062"/>
    <n v="677347.58149222401"/>
  </r>
  <r>
    <x v="0"/>
    <x v="0"/>
    <x v="0"/>
    <x v="9"/>
    <x v="18"/>
    <s v="SE2A"/>
    <x v="7"/>
    <s v="GNR_RES_WTR_NOPMP_MC-05"/>
    <x v="0"/>
    <x v="10"/>
    <n v="515.485221835787"/>
    <n v="188152.105970062"/>
    <n v="677347.58149222401"/>
  </r>
  <r>
    <x v="0"/>
    <x v="0"/>
    <x v="0"/>
    <x v="9"/>
    <x v="18"/>
    <s v="SE2A"/>
    <x v="7"/>
    <s v="GNR_RES_WTR_NOPMP_MC-05"/>
    <x v="0"/>
    <x v="11"/>
    <n v="515.485221835787"/>
    <n v="188152.105970062"/>
    <n v="677347.58149222401"/>
  </r>
  <r>
    <x v="0"/>
    <x v="0"/>
    <x v="0"/>
    <x v="9"/>
    <x v="18"/>
    <s v="SE2A"/>
    <x v="7"/>
    <s v="GNR_RES_WTR_NOPMP_MC-05"/>
    <x v="0"/>
    <x v="12"/>
    <n v="515.485221835787"/>
    <n v="188152.105970062"/>
    <n v="677347.58149222401"/>
  </r>
  <r>
    <x v="0"/>
    <x v="0"/>
    <x v="0"/>
    <x v="9"/>
    <x v="18"/>
    <s v="SE2A"/>
    <x v="7"/>
    <s v="GNR_RES_WTR_NOPMP_MC-05"/>
    <x v="0"/>
    <x v="13"/>
    <n v="515.485221835787"/>
    <n v="188152.105970062"/>
    <n v="677347.58149222401"/>
  </r>
  <r>
    <x v="0"/>
    <x v="0"/>
    <x v="0"/>
    <x v="9"/>
    <x v="18"/>
    <s v="SE2A"/>
    <x v="7"/>
    <s v="GNR_RES_WTR_NOPMP_MC-05"/>
    <x v="0"/>
    <x v="14"/>
    <n v="515.485221835787"/>
    <n v="188152.105970062"/>
    <n v="677347.58149222401"/>
  </r>
  <r>
    <x v="0"/>
    <x v="0"/>
    <x v="0"/>
    <x v="9"/>
    <x v="18"/>
    <s v="SE2A"/>
    <x v="7"/>
    <s v="GNR_RES_WTR_NOPMP_MC-05"/>
    <x v="0"/>
    <x v="15"/>
    <n v="515.485221835787"/>
    <n v="188152.105970062"/>
    <n v="677347.58149222401"/>
  </r>
  <r>
    <x v="0"/>
    <x v="0"/>
    <x v="0"/>
    <x v="9"/>
    <x v="18"/>
    <s v="SE2A"/>
    <x v="7"/>
    <s v="GNR_RES_WTR_NOPMP_MC-05"/>
    <x v="0"/>
    <x v="16"/>
    <n v="515.485221835787"/>
    <n v="188152.105970062"/>
    <n v="677347.58149222401"/>
  </r>
  <r>
    <x v="0"/>
    <x v="0"/>
    <x v="0"/>
    <x v="9"/>
    <x v="18"/>
    <s v="SE2A"/>
    <x v="7"/>
    <s v="GNR_RES_WTR_NOPMP_MC-05"/>
    <x v="0"/>
    <x v="17"/>
    <n v="515.485221835787"/>
    <n v="188152.105970062"/>
    <n v="677347.58149222401"/>
  </r>
  <r>
    <x v="0"/>
    <x v="0"/>
    <x v="0"/>
    <x v="9"/>
    <x v="18"/>
    <s v="SE2A"/>
    <x v="7"/>
    <s v="GNR_RES_WTR_NOPMP_MC-05"/>
    <x v="0"/>
    <x v="19"/>
    <n v="515.485221835787"/>
    <n v="188152.105970062"/>
    <n v="677347.58149222401"/>
  </r>
  <r>
    <x v="0"/>
    <x v="0"/>
    <x v="0"/>
    <x v="9"/>
    <x v="18"/>
    <s v="SE2A"/>
    <x v="7"/>
    <s v="GNR_RES_WTR_NOPMP_MC-06"/>
    <x v="0"/>
    <x v="5"/>
    <n v="515.485221835787"/>
    <n v="188152.105970062"/>
    <n v="677347.58149222401"/>
  </r>
  <r>
    <x v="0"/>
    <x v="0"/>
    <x v="0"/>
    <x v="9"/>
    <x v="18"/>
    <s v="SE2A"/>
    <x v="7"/>
    <s v="GNR_RES_WTR_NOPMP_MC-06"/>
    <x v="0"/>
    <x v="6"/>
    <n v="515.485221835787"/>
    <n v="188152.105970062"/>
    <n v="677347.58149222401"/>
  </r>
  <r>
    <x v="0"/>
    <x v="0"/>
    <x v="0"/>
    <x v="9"/>
    <x v="18"/>
    <s v="SE2A"/>
    <x v="7"/>
    <s v="GNR_RES_WTR_NOPMP_MC-06"/>
    <x v="0"/>
    <x v="7"/>
    <n v="515.485221835787"/>
    <n v="188152.105970062"/>
    <n v="677347.58149222401"/>
  </r>
  <r>
    <x v="0"/>
    <x v="0"/>
    <x v="0"/>
    <x v="9"/>
    <x v="18"/>
    <s v="SE2A"/>
    <x v="7"/>
    <s v="GNR_RES_WTR_NOPMP_MC-06"/>
    <x v="0"/>
    <x v="8"/>
    <n v="515.485221835787"/>
    <n v="188152.105970062"/>
    <n v="677347.58149222401"/>
  </r>
  <r>
    <x v="0"/>
    <x v="0"/>
    <x v="0"/>
    <x v="9"/>
    <x v="18"/>
    <s v="SE2A"/>
    <x v="7"/>
    <s v="GNR_RES_WTR_NOPMP_MC-06"/>
    <x v="0"/>
    <x v="9"/>
    <n v="515.485221835787"/>
    <n v="188152.105970062"/>
    <n v="677347.58149222401"/>
  </r>
  <r>
    <x v="0"/>
    <x v="0"/>
    <x v="0"/>
    <x v="9"/>
    <x v="18"/>
    <s v="SE2A"/>
    <x v="7"/>
    <s v="GNR_RES_WTR_NOPMP_MC-06"/>
    <x v="0"/>
    <x v="10"/>
    <n v="515.485221835787"/>
    <n v="188152.105970062"/>
    <n v="677347.58149222401"/>
  </r>
  <r>
    <x v="0"/>
    <x v="0"/>
    <x v="0"/>
    <x v="9"/>
    <x v="18"/>
    <s v="SE2A"/>
    <x v="7"/>
    <s v="GNR_RES_WTR_NOPMP_MC-06"/>
    <x v="0"/>
    <x v="11"/>
    <n v="515.485221835787"/>
    <n v="188152.105970062"/>
    <n v="677347.58149222401"/>
  </r>
  <r>
    <x v="0"/>
    <x v="0"/>
    <x v="0"/>
    <x v="9"/>
    <x v="18"/>
    <s v="SE2A"/>
    <x v="7"/>
    <s v="GNR_RES_WTR_NOPMP_MC-06"/>
    <x v="0"/>
    <x v="12"/>
    <n v="515.485221835787"/>
    <n v="188152.105970062"/>
    <n v="677347.58149222401"/>
  </r>
  <r>
    <x v="0"/>
    <x v="0"/>
    <x v="0"/>
    <x v="9"/>
    <x v="18"/>
    <s v="SE2A"/>
    <x v="7"/>
    <s v="GNR_RES_WTR_NOPMP_MC-06"/>
    <x v="0"/>
    <x v="13"/>
    <n v="515.485221835787"/>
    <n v="188152.105970062"/>
    <n v="677347.58149222401"/>
  </r>
  <r>
    <x v="0"/>
    <x v="0"/>
    <x v="0"/>
    <x v="9"/>
    <x v="18"/>
    <s v="SE2A"/>
    <x v="7"/>
    <s v="GNR_RES_WTR_NOPMP_MC-06"/>
    <x v="0"/>
    <x v="14"/>
    <n v="515.485221835787"/>
    <n v="188152.105970062"/>
    <n v="677347.58149222401"/>
  </r>
  <r>
    <x v="0"/>
    <x v="0"/>
    <x v="0"/>
    <x v="9"/>
    <x v="18"/>
    <s v="SE2A"/>
    <x v="7"/>
    <s v="GNR_RES_WTR_NOPMP_MC-06"/>
    <x v="0"/>
    <x v="15"/>
    <n v="515.485221835787"/>
    <n v="188152.105970062"/>
    <n v="677347.58149222401"/>
  </r>
  <r>
    <x v="0"/>
    <x v="0"/>
    <x v="0"/>
    <x v="9"/>
    <x v="18"/>
    <s v="SE2A"/>
    <x v="7"/>
    <s v="GNR_RES_WTR_NOPMP_MC-06"/>
    <x v="0"/>
    <x v="16"/>
    <n v="515.485221835787"/>
    <n v="188152.105970062"/>
    <n v="677347.58149222401"/>
  </r>
  <r>
    <x v="0"/>
    <x v="0"/>
    <x v="0"/>
    <x v="9"/>
    <x v="18"/>
    <s v="SE2A"/>
    <x v="7"/>
    <s v="GNR_RES_WTR_NOPMP_MC-07"/>
    <x v="0"/>
    <x v="6"/>
    <n v="515.485221835787"/>
    <n v="188152.105970062"/>
    <n v="677347.58149222401"/>
  </r>
  <r>
    <x v="0"/>
    <x v="0"/>
    <x v="0"/>
    <x v="9"/>
    <x v="18"/>
    <s v="SE2A"/>
    <x v="7"/>
    <s v="GNR_RES_WTR_NOPMP_MC-07"/>
    <x v="0"/>
    <x v="7"/>
    <n v="515.485221835787"/>
    <n v="188152.105970062"/>
    <n v="677347.58149222401"/>
  </r>
  <r>
    <x v="0"/>
    <x v="0"/>
    <x v="0"/>
    <x v="9"/>
    <x v="18"/>
    <s v="SE2A"/>
    <x v="7"/>
    <s v="GNR_RES_WTR_NOPMP_MC-07"/>
    <x v="0"/>
    <x v="8"/>
    <n v="515.485221835787"/>
    <n v="188152.105970062"/>
    <n v="677347.58149222401"/>
  </r>
  <r>
    <x v="0"/>
    <x v="0"/>
    <x v="0"/>
    <x v="9"/>
    <x v="18"/>
    <s v="SE2A"/>
    <x v="7"/>
    <s v="GNR_RES_WTR_NOPMP_MC-07"/>
    <x v="0"/>
    <x v="9"/>
    <n v="515.485221835787"/>
    <n v="188152.105970062"/>
    <n v="677347.58149222401"/>
  </r>
  <r>
    <x v="0"/>
    <x v="0"/>
    <x v="0"/>
    <x v="9"/>
    <x v="18"/>
    <s v="SE2A"/>
    <x v="7"/>
    <s v="GNR_RES_WTR_NOPMP_MC-07"/>
    <x v="0"/>
    <x v="10"/>
    <n v="131.79939873229901"/>
    <n v="48106.780537289298"/>
    <n v="173184.409934241"/>
  </r>
  <r>
    <x v="0"/>
    <x v="0"/>
    <x v="0"/>
    <x v="9"/>
    <x v="18"/>
    <s v="SE2A"/>
    <x v="7"/>
    <s v="GNR_RES_WTR_NOPMP_MC-08"/>
    <x v="0"/>
    <x v="6"/>
    <n v="515.485221835787"/>
    <n v="188152.105970062"/>
    <n v="677347.58149222401"/>
  </r>
  <r>
    <x v="0"/>
    <x v="0"/>
    <x v="0"/>
    <x v="9"/>
    <x v="18"/>
    <s v="SE2A"/>
    <x v="7"/>
    <s v="GNR_RES_WTR_NOPMP_MC-08"/>
    <x v="0"/>
    <x v="7"/>
    <n v="515.485221835787"/>
    <n v="188152.105970062"/>
    <n v="677347.58149222401"/>
  </r>
  <r>
    <x v="0"/>
    <x v="0"/>
    <x v="0"/>
    <x v="9"/>
    <x v="18"/>
    <s v="SE2A"/>
    <x v="7"/>
    <s v="GNR_RES_WTR_NOPMP_MC-08"/>
    <x v="0"/>
    <x v="8"/>
    <n v="515.485221835787"/>
    <n v="188152.105970062"/>
    <n v="677347.58149222401"/>
  </r>
  <r>
    <x v="0"/>
    <x v="0"/>
    <x v="0"/>
    <x v="9"/>
    <x v="18"/>
    <s v="SE2A"/>
    <x v="7"/>
    <s v="GNR_RES_WTR_PMP_MC-01"/>
    <x v="0"/>
    <x v="0"/>
    <n v="108"/>
    <n v="39420"/>
    <n v="141912"/>
  </r>
  <r>
    <x v="0"/>
    <x v="0"/>
    <x v="0"/>
    <x v="9"/>
    <x v="18"/>
    <s v="SE2A"/>
    <x v="7"/>
    <s v="GNR_RES_WTR_PMP_MC-01"/>
    <x v="0"/>
    <x v="1"/>
    <n v="108"/>
    <n v="39420"/>
    <n v="141912"/>
  </r>
  <r>
    <x v="0"/>
    <x v="0"/>
    <x v="0"/>
    <x v="9"/>
    <x v="18"/>
    <s v="SE2A"/>
    <x v="7"/>
    <s v="GNR_RES_WTR_PMP_MC-01"/>
    <x v="0"/>
    <x v="2"/>
    <n v="108"/>
    <n v="39420"/>
    <n v="141912"/>
  </r>
  <r>
    <x v="0"/>
    <x v="0"/>
    <x v="0"/>
    <x v="9"/>
    <x v="18"/>
    <s v="SE2A"/>
    <x v="7"/>
    <s v="GNR_RES_WTR_PMP_MC-01"/>
    <x v="0"/>
    <x v="3"/>
    <n v="108"/>
    <n v="39420"/>
    <n v="141912"/>
  </r>
  <r>
    <x v="0"/>
    <x v="0"/>
    <x v="0"/>
    <x v="9"/>
    <x v="18"/>
    <s v="SE2A"/>
    <x v="7"/>
    <s v="GNR_RES_WTR_PMP_MC-01"/>
    <x v="0"/>
    <x v="18"/>
    <n v="108"/>
    <n v="39420"/>
    <n v="141912"/>
  </r>
  <r>
    <x v="0"/>
    <x v="0"/>
    <x v="0"/>
    <x v="9"/>
    <x v="18"/>
    <s v="SE2A"/>
    <x v="7"/>
    <s v="GNR_RES_WTR_PMP_MC-01"/>
    <x v="0"/>
    <x v="4"/>
    <n v="108"/>
    <n v="39420"/>
    <n v="141912"/>
  </r>
  <r>
    <x v="0"/>
    <x v="0"/>
    <x v="0"/>
    <x v="9"/>
    <x v="18"/>
    <s v="SE2A"/>
    <x v="7"/>
    <s v="GNR_RES_WTR_PMP_MC-01"/>
    <x v="0"/>
    <x v="5"/>
    <n v="108"/>
    <n v="39420"/>
    <n v="141912"/>
  </r>
  <r>
    <x v="0"/>
    <x v="0"/>
    <x v="0"/>
    <x v="9"/>
    <x v="18"/>
    <s v="SE2A"/>
    <x v="7"/>
    <s v="GNR_RES_WTR_PMP_MC-01"/>
    <x v="0"/>
    <x v="6"/>
    <n v="108"/>
    <n v="39420"/>
    <n v="141912"/>
  </r>
  <r>
    <x v="0"/>
    <x v="0"/>
    <x v="0"/>
    <x v="9"/>
    <x v="18"/>
    <s v="SE2A"/>
    <x v="7"/>
    <s v="GNR_RES_WTR_PMP_MC-01"/>
    <x v="0"/>
    <x v="7"/>
    <n v="108"/>
    <n v="39420"/>
    <n v="141912"/>
  </r>
  <r>
    <x v="0"/>
    <x v="0"/>
    <x v="0"/>
    <x v="9"/>
    <x v="18"/>
    <s v="SE2A"/>
    <x v="7"/>
    <s v="GNR_RES_WTR_PMP_MC-01"/>
    <x v="0"/>
    <x v="8"/>
    <n v="108"/>
    <n v="39420"/>
    <n v="141912"/>
  </r>
  <r>
    <x v="0"/>
    <x v="0"/>
    <x v="0"/>
    <x v="9"/>
    <x v="18"/>
    <s v="SE2A"/>
    <x v="7"/>
    <s v="GNR_RES_WTR_PMP_MC-01"/>
    <x v="0"/>
    <x v="9"/>
    <n v="108"/>
    <n v="39420"/>
    <n v="141912"/>
  </r>
  <r>
    <x v="0"/>
    <x v="0"/>
    <x v="0"/>
    <x v="9"/>
    <x v="18"/>
    <s v="SE2A"/>
    <x v="7"/>
    <s v="GNR_RES_WTR_PMP_MC-01"/>
    <x v="0"/>
    <x v="10"/>
    <n v="108"/>
    <n v="39420"/>
    <n v="141912"/>
  </r>
  <r>
    <x v="0"/>
    <x v="0"/>
    <x v="0"/>
    <x v="9"/>
    <x v="18"/>
    <s v="SE2A"/>
    <x v="7"/>
    <s v="GNR_RES_WTR_PMP_MC-01"/>
    <x v="0"/>
    <x v="11"/>
    <n v="108"/>
    <n v="39420"/>
    <n v="141912"/>
  </r>
  <r>
    <x v="0"/>
    <x v="0"/>
    <x v="0"/>
    <x v="9"/>
    <x v="18"/>
    <s v="SE2A"/>
    <x v="7"/>
    <s v="GNR_RES_WTR_PMP_MC-01"/>
    <x v="0"/>
    <x v="12"/>
    <n v="108"/>
    <n v="39420"/>
    <n v="141912"/>
  </r>
  <r>
    <x v="0"/>
    <x v="0"/>
    <x v="0"/>
    <x v="9"/>
    <x v="18"/>
    <s v="SE2A"/>
    <x v="7"/>
    <s v="GNR_RES_WTR_PMP_MC-01"/>
    <x v="0"/>
    <x v="13"/>
    <n v="108"/>
    <n v="39420"/>
    <n v="141912"/>
  </r>
  <r>
    <x v="0"/>
    <x v="0"/>
    <x v="0"/>
    <x v="9"/>
    <x v="18"/>
    <s v="SE2A"/>
    <x v="7"/>
    <s v="GNR_RES_WTR_PMP_MC-01"/>
    <x v="0"/>
    <x v="14"/>
    <n v="108"/>
    <n v="39420"/>
    <n v="141912"/>
  </r>
  <r>
    <x v="0"/>
    <x v="0"/>
    <x v="0"/>
    <x v="9"/>
    <x v="18"/>
    <s v="SE2A"/>
    <x v="7"/>
    <s v="GNR_RES_WTR_PMP_MC-01"/>
    <x v="0"/>
    <x v="15"/>
    <n v="108"/>
    <n v="39420"/>
    <n v="141912"/>
  </r>
  <r>
    <x v="0"/>
    <x v="0"/>
    <x v="0"/>
    <x v="9"/>
    <x v="18"/>
    <s v="SE2A"/>
    <x v="7"/>
    <s v="GNR_RES_WTR_PMP_MC-01"/>
    <x v="0"/>
    <x v="16"/>
    <n v="108"/>
    <n v="39420"/>
    <n v="141912"/>
  </r>
  <r>
    <x v="0"/>
    <x v="0"/>
    <x v="0"/>
    <x v="9"/>
    <x v="18"/>
    <s v="SE2A"/>
    <x v="7"/>
    <s v="GNR_RES_WTR_PMP_MC-01"/>
    <x v="0"/>
    <x v="17"/>
    <n v="108"/>
    <n v="39420"/>
    <n v="141912"/>
  </r>
  <r>
    <x v="0"/>
    <x v="0"/>
    <x v="0"/>
    <x v="9"/>
    <x v="18"/>
    <s v="SE2A"/>
    <x v="7"/>
    <s v="GNR_RES_WTR_PMP_MC-01"/>
    <x v="0"/>
    <x v="19"/>
    <n v="108"/>
    <n v="39420"/>
    <n v="141912"/>
  </r>
  <r>
    <x v="0"/>
    <x v="0"/>
    <x v="0"/>
    <x v="9"/>
    <x v="18"/>
    <s v="SE2A"/>
    <x v="7"/>
    <s v="GNR_RES_WTR_PMP_MC-01"/>
    <x v="0"/>
    <x v="20"/>
    <n v="108"/>
    <n v="39420"/>
    <n v="141912"/>
  </r>
  <r>
    <x v="0"/>
    <x v="0"/>
    <x v="0"/>
    <x v="9"/>
    <x v="18"/>
    <s v="SE2A"/>
    <x v="7"/>
    <s v="GNR_RES_WTR_PMP_MC-01"/>
    <x v="0"/>
    <x v="21"/>
    <n v="108"/>
    <n v="39420"/>
    <n v="141912"/>
  </r>
  <r>
    <x v="0"/>
    <x v="0"/>
    <x v="0"/>
    <x v="9"/>
    <x v="18"/>
    <s v="SE2A"/>
    <x v="7"/>
    <s v="GNR_RES_WTR_PMP_MC-01"/>
    <x v="0"/>
    <x v="22"/>
    <n v="108"/>
    <n v="39420"/>
    <n v="141912"/>
  </r>
  <r>
    <x v="0"/>
    <x v="0"/>
    <x v="0"/>
    <x v="9"/>
    <x v="18"/>
    <s v="SE2A"/>
    <x v="7"/>
    <s v="GNR_RES_WTR_PMP_MC-01"/>
    <x v="0"/>
    <x v="23"/>
    <n v="108"/>
    <n v="39420"/>
    <n v="141912"/>
  </r>
  <r>
    <x v="0"/>
    <x v="0"/>
    <x v="0"/>
    <x v="9"/>
    <x v="18"/>
    <s v="SE2A"/>
    <x v="7"/>
    <s v="GNR_ROR_WTR"/>
    <x v="0"/>
    <x v="0"/>
    <n v="1671.24697052902"/>
    <n v="610005.14424309297"/>
    <n v="2196018.5192751298"/>
  </r>
  <r>
    <x v="0"/>
    <x v="0"/>
    <x v="0"/>
    <x v="9"/>
    <x v="18"/>
    <s v="SE2A"/>
    <x v="7"/>
    <s v="GNR_ROR_WTR"/>
    <x v="0"/>
    <x v="1"/>
    <n v="1671.24697052902"/>
    <n v="610005.14424309297"/>
    <n v="2196018.5192751298"/>
  </r>
  <r>
    <x v="0"/>
    <x v="0"/>
    <x v="0"/>
    <x v="9"/>
    <x v="18"/>
    <s v="SE2A"/>
    <x v="7"/>
    <s v="GNR_ROR_WTR"/>
    <x v="0"/>
    <x v="2"/>
    <n v="1671.24697052902"/>
    <n v="610005.14424309297"/>
    <n v="2196018.5192751298"/>
  </r>
  <r>
    <x v="0"/>
    <x v="0"/>
    <x v="0"/>
    <x v="9"/>
    <x v="18"/>
    <s v="SE2A"/>
    <x v="7"/>
    <s v="GNR_ROR_WTR"/>
    <x v="0"/>
    <x v="3"/>
    <n v="1671.24697052902"/>
    <n v="610005.14424309297"/>
    <n v="2196018.5192751298"/>
  </r>
  <r>
    <x v="0"/>
    <x v="0"/>
    <x v="0"/>
    <x v="9"/>
    <x v="18"/>
    <s v="SE2A"/>
    <x v="7"/>
    <s v="GNR_ROR_WTR"/>
    <x v="0"/>
    <x v="18"/>
    <n v="1671.24697052902"/>
    <n v="610005.14424309297"/>
    <n v="2196018.5192751298"/>
  </r>
  <r>
    <x v="0"/>
    <x v="0"/>
    <x v="0"/>
    <x v="9"/>
    <x v="18"/>
    <s v="SE2A"/>
    <x v="7"/>
    <s v="GNR_ROR_WTR"/>
    <x v="0"/>
    <x v="4"/>
    <n v="1671.24697052902"/>
    <n v="610005.14424309297"/>
    <n v="2196018.5192751298"/>
  </r>
  <r>
    <x v="0"/>
    <x v="0"/>
    <x v="0"/>
    <x v="9"/>
    <x v="18"/>
    <s v="SE2A"/>
    <x v="7"/>
    <s v="GNR_ROR_WTR"/>
    <x v="0"/>
    <x v="5"/>
    <n v="1671.24697052902"/>
    <n v="610005.14424309297"/>
    <n v="2196018.5192751298"/>
  </r>
  <r>
    <x v="0"/>
    <x v="0"/>
    <x v="0"/>
    <x v="9"/>
    <x v="18"/>
    <s v="SE2A"/>
    <x v="7"/>
    <s v="GNR_ROR_WTR"/>
    <x v="0"/>
    <x v="6"/>
    <n v="1671.24697052902"/>
    <n v="610005.14424309297"/>
    <n v="2196018.5192751298"/>
  </r>
  <r>
    <x v="0"/>
    <x v="0"/>
    <x v="0"/>
    <x v="9"/>
    <x v="18"/>
    <s v="SE2A"/>
    <x v="7"/>
    <s v="GNR_ROR_WTR"/>
    <x v="0"/>
    <x v="7"/>
    <n v="1671.24697052902"/>
    <n v="610005.14424309297"/>
    <n v="2196018.5192751298"/>
  </r>
  <r>
    <x v="0"/>
    <x v="0"/>
    <x v="0"/>
    <x v="9"/>
    <x v="18"/>
    <s v="SE2A"/>
    <x v="7"/>
    <s v="GNR_ROR_WTR"/>
    <x v="0"/>
    <x v="8"/>
    <n v="1671.24697052902"/>
    <n v="610005.14424309297"/>
    <n v="2196018.5192751298"/>
  </r>
  <r>
    <x v="0"/>
    <x v="0"/>
    <x v="0"/>
    <x v="9"/>
    <x v="18"/>
    <s v="SE2A"/>
    <x v="7"/>
    <s v="GNR_ROR_WTR"/>
    <x v="0"/>
    <x v="9"/>
    <n v="1671.24697052902"/>
    <n v="610005.14424309297"/>
    <n v="2196018.5192751298"/>
  </r>
  <r>
    <x v="0"/>
    <x v="0"/>
    <x v="0"/>
    <x v="9"/>
    <x v="18"/>
    <s v="SE2A"/>
    <x v="7"/>
    <s v="GNR_ROR_WTR"/>
    <x v="0"/>
    <x v="10"/>
    <n v="1671.24697052902"/>
    <n v="610005.14424309297"/>
    <n v="2196018.5192751298"/>
  </r>
  <r>
    <x v="0"/>
    <x v="0"/>
    <x v="0"/>
    <x v="9"/>
    <x v="18"/>
    <s v="SE2A"/>
    <x v="7"/>
    <s v="GNR_ROR_WTR"/>
    <x v="0"/>
    <x v="11"/>
    <n v="1671.24697052902"/>
    <n v="610005.14424309297"/>
    <n v="2196018.5192751298"/>
  </r>
  <r>
    <x v="0"/>
    <x v="0"/>
    <x v="0"/>
    <x v="9"/>
    <x v="18"/>
    <s v="SE2A"/>
    <x v="7"/>
    <s v="GNR_ROR_WTR"/>
    <x v="0"/>
    <x v="12"/>
    <n v="1671.24697052902"/>
    <n v="610005.14424309297"/>
    <n v="2196018.5192751298"/>
  </r>
  <r>
    <x v="0"/>
    <x v="0"/>
    <x v="0"/>
    <x v="9"/>
    <x v="18"/>
    <s v="SE2A"/>
    <x v="7"/>
    <s v="GNR_ROR_WTR"/>
    <x v="0"/>
    <x v="13"/>
    <n v="1671.24697052902"/>
    <n v="610005.14424309297"/>
    <n v="2196018.5192751298"/>
  </r>
  <r>
    <x v="0"/>
    <x v="0"/>
    <x v="0"/>
    <x v="9"/>
    <x v="18"/>
    <s v="SE2A"/>
    <x v="7"/>
    <s v="GNR_ROR_WTR"/>
    <x v="0"/>
    <x v="14"/>
    <n v="1671.24697052902"/>
    <n v="610005.14424309297"/>
    <n v="2196018.5192751298"/>
  </r>
  <r>
    <x v="0"/>
    <x v="0"/>
    <x v="0"/>
    <x v="9"/>
    <x v="18"/>
    <s v="SE2A"/>
    <x v="7"/>
    <s v="GNR_ROR_WTR"/>
    <x v="0"/>
    <x v="15"/>
    <n v="1671.24697052902"/>
    <n v="610005.14424309297"/>
    <n v="2196018.5192751298"/>
  </r>
  <r>
    <x v="0"/>
    <x v="0"/>
    <x v="0"/>
    <x v="9"/>
    <x v="18"/>
    <s v="SE2A"/>
    <x v="7"/>
    <s v="GNR_ROR_WTR"/>
    <x v="0"/>
    <x v="16"/>
    <n v="1671.24697052902"/>
    <n v="610005.14424309297"/>
    <n v="2196018.5192751298"/>
  </r>
  <r>
    <x v="0"/>
    <x v="0"/>
    <x v="0"/>
    <x v="9"/>
    <x v="18"/>
    <s v="SE2A"/>
    <x v="7"/>
    <s v="GNR_ROR_WTR"/>
    <x v="0"/>
    <x v="17"/>
    <n v="1671.24697052902"/>
    <n v="610005.14424309297"/>
    <n v="2196018.5192751298"/>
  </r>
  <r>
    <x v="0"/>
    <x v="0"/>
    <x v="0"/>
    <x v="9"/>
    <x v="18"/>
    <s v="SE2A"/>
    <x v="7"/>
    <s v="GNR_ROR_WTR"/>
    <x v="0"/>
    <x v="19"/>
    <n v="1671.24697052902"/>
    <n v="610005.14424309297"/>
    <n v="2196018.5192751298"/>
  </r>
  <r>
    <x v="0"/>
    <x v="0"/>
    <x v="0"/>
    <x v="9"/>
    <x v="18"/>
    <s v="SE2A"/>
    <x v="7"/>
    <s v="GNR_ROR_WTR"/>
    <x v="0"/>
    <x v="20"/>
    <n v="1671.24697052902"/>
    <n v="610005.14424309297"/>
    <n v="2196018.5192751298"/>
  </r>
  <r>
    <x v="0"/>
    <x v="0"/>
    <x v="0"/>
    <x v="9"/>
    <x v="18"/>
    <s v="SE2A"/>
    <x v="7"/>
    <s v="GNR_ROR_WTR"/>
    <x v="0"/>
    <x v="21"/>
    <n v="1671.24697052902"/>
    <n v="610005.14424309297"/>
    <n v="2196018.5192751298"/>
  </r>
  <r>
    <x v="0"/>
    <x v="0"/>
    <x v="0"/>
    <x v="9"/>
    <x v="18"/>
    <s v="SE2A"/>
    <x v="7"/>
    <s v="GNR_ROR_WTR"/>
    <x v="0"/>
    <x v="22"/>
    <n v="1671.24697052902"/>
    <n v="610005.14424309297"/>
    <n v="2196018.5192751298"/>
  </r>
  <r>
    <x v="0"/>
    <x v="0"/>
    <x v="0"/>
    <x v="9"/>
    <x v="18"/>
    <s v="SE2A"/>
    <x v="7"/>
    <s v="GNR_ROR_WTR"/>
    <x v="0"/>
    <x v="23"/>
    <n v="1671.24697052902"/>
    <n v="610005.14424309297"/>
    <n v="2196018.5192751298"/>
  </r>
  <r>
    <x v="0"/>
    <x v="0"/>
    <x v="0"/>
    <x v="9"/>
    <x v="18"/>
    <s v="SE2A"/>
    <x v="8"/>
    <s v="GNR_WT_WIND_ONS"/>
    <x v="0"/>
    <x v="0"/>
    <n v="323.22607996570002"/>
    <n v="117977.519187481"/>
    <n v="424719.06907492998"/>
  </r>
  <r>
    <x v="0"/>
    <x v="0"/>
    <x v="0"/>
    <x v="9"/>
    <x v="18"/>
    <s v="SE2A"/>
    <x v="8"/>
    <s v="GNR_WT_WIND_ONS"/>
    <x v="0"/>
    <x v="1"/>
    <n v="212.283689093021"/>
    <n v="77483.546518952702"/>
    <n v="278940.76746822998"/>
  </r>
  <r>
    <x v="0"/>
    <x v="0"/>
    <x v="0"/>
    <x v="9"/>
    <x v="18"/>
    <s v="SE2A"/>
    <x v="8"/>
    <s v="GNR_WT_WIND_ONS"/>
    <x v="0"/>
    <x v="2"/>
    <n v="208.699441105483"/>
    <n v="76175.296003501193"/>
    <n v="274231.06561260403"/>
  </r>
  <r>
    <x v="0"/>
    <x v="0"/>
    <x v="0"/>
    <x v="9"/>
    <x v="18"/>
    <s v="SE2A"/>
    <x v="8"/>
    <s v="GNR_WT_WIND_ONS"/>
    <x v="0"/>
    <x v="3"/>
    <n v="157.28210947579001"/>
    <n v="57407.969958663198"/>
    <n v="206668.69185118799"/>
  </r>
  <r>
    <x v="0"/>
    <x v="0"/>
    <x v="0"/>
    <x v="9"/>
    <x v="18"/>
    <s v="SE2A"/>
    <x v="8"/>
    <s v="GNR_WT_WIND_ONS"/>
    <x v="0"/>
    <x v="18"/>
    <n v="148.10720142365801"/>
    <n v="54059.128519635102"/>
    <n v="194612.86267068601"/>
  </r>
  <r>
    <x v="0"/>
    <x v="0"/>
    <x v="0"/>
    <x v="9"/>
    <x v="18"/>
    <s v="SE2A"/>
    <x v="8"/>
    <s v="GNR_WT_WIND_ONS"/>
    <x v="0"/>
    <x v="4"/>
    <n v="127.512722785104"/>
    <n v="46542.143816563097"/>
    <n v="167551.717739627"/>
  </r>
  <r>
    <x v="0"/>
    <x v="0"/>
    <x v="0"/>
    <x v="9"/>
    <x v="18"/>
    <s v="SE2A"/>
    <x v="8"/>
    <s v="GNR_WT_WIND_ONS"/>
    <x v="0"/>
    <x v="5"/>
    <n v="128.02462075021299"/>
    <n v="46728.986573827598"/>
    <n v="168224.35166577899"/>
  </r>
  <r>
    <x v="0"/>
    <x v="0"/>
    <x v="0"/>
    <x v="9"/>
    <x v="18"/>
    <s v="SE2A"/>
    <x v="8"/>
    <s v="GNR_WT_WIND_ONS"/>
    <x v="0"/>
    <x v="6"/>
    <n v="200.083841953269"/>
    <n v="73030.602312943302"/>
    <n v="262910.16832659597"/>
  </r>
  <r>
    <x v="0"/>
    <x v="0"/>
    <x v="0"/>
    <x v="9"/>
    <x v="18"/>
    <s v="SE2A"/>
    <x v="8"/>
    <s v="GNR_WT_WIND_ONS"/>
    <x v="0"/>
    <x v="7"/>
    <n v="309.96910443949503"/>
    <n v="113138.72312041601"/>
    <n v="407299.40323349601"/>
  </r>
  <r>
    <x v="0"/>
    <x v="0"/>
    <x v="0"/>
    <x v="9"/>
    <x v="18"/>
    <s v="SE2A"/>
    <x v="8"/>
    <s v="GNR_WT_WIND_ONS"/>
    <x v="0"/>
    <x v="8"/>
    <n v="416.58278821446999"/>
    <n v="152052.71769828201"/>
    <n v="547389.78371381399"/>
  </r>
  <r>
    <x v="0"/>
    <x v="0"/>
    <x v="0"/>
    <x v="9"/>
    <x v="18"/>
    <s v="SE2A"/>
    <x v="8"/>
    <s v="GNR_WT_WIND_ONS"/>
    <x v="0"/>
    <x v="9"/>
    <n v="596.65293781612502"/>
    <n v="217778.32230288599"/>
    <n v="784001.96029038797"/>
  </r>
  <r>
    <x v="0"/>
    <x v="0"/>
    <x v="0"/>
    <x v="9"/>
    <x v="18"/>
    <s v="SE2A"/>
    <x v="8"/>
    <s v="GNR_WT_WIND_ONS"/>
    <x v="0"/>
    <x v="10"/>
    <n v="865.62731566730895"/>
    <n v="315953.97021856799"/>
    <n v="1137434.2927868399"/>
  </r>
  <r>
    <x v="0"/>
    <x v="0"/>
    <x v="0"/>
    <x v="9"/>
    <x v="18"/>
    <s v="SE2A"/>
    <x v="8"/>
    <s v="GNR_WT_WIND_ONS"/>
    <x v="0"/>
    <x v="11"/>
    <n v="1025.00206439814"/>
    <n v="374125.75350532198"/>
    <n v="1346852.7126191601"/>
  </r>
  <r>
    <x v="0"/>
    <x v="0"/>
    <x v="0"/>
    <x v="9"/>
    <x v="18"/>
    <s v="SE2A"/>
    <x v="8"/>
    <s v="GNR_WT_WIND_ONS"/>
    <x v="0"/>
    <x v="12"/>
    <n v="1075.28886710645"/>
    <n v="392480.43649385299"/>
    <n v="1412929.5713778699"/>
  </r>
  <r>
    <x v="0"/>
    <x v="0"/>
    <x v="0"/>
    <x v="9"/>
    <x v="18"/>
    <s v="SE2A"/>
    <x v="8"/>
    <s v="GNR_WT_WIND_ONS"/>
    <x v="0"/>
    <x v="13"/>
    <n v="1142.3571975898799"/>
    <n v="416960.377120308"/>
    <n v="1501057.3576331099"/>
  </r>
  <r>
    <x v="0"/>
    <x v="0"/>
    <x v="0"/>
    <x v="9"/>
    <x v="18"/>
    <s v="SE2A"/>
    <x v="8"/>
    <s v="GNR_WT_WIND_ONS"/>
    <x v="0"/>
    <x v="14"/>
    <n v="1252.24679479015"/>
    <n v="457070.08009840501"/>
    <n v="1645452.2883542599"/>
  </r>
  <r>
    <x v="0"/>
    <x v="0"/>
    <x v="0"/>
    <x v="9"/>
    <x v="18"/>
    <s v="SE2A"/>
    <x v="8"/>
    <s v="GNR_WT_WIND_ONS"/>
    <x v="0"/>
    <x v="15"/>
    <n v="1284.8997659173001"/>
    <n v="468988.41455981397"/>
    <n v="1688358.29241533"/>
  </r>
  <r>
    <x v="0"/>
    <x v="0"/>
    <x v="0"/>
    <x v="9"/>
    <x v="18"/>
    <s v="SE2A"/>
    <x v="8"/>
    <s v="GNR_WT_WIND_ONS"/>
    <x v="0"/>
    <x v="16"/>
    <n v="1073.6338564703501"/>
    <n v="391876.35761167901"/>
    <n v="1410754.88740204"/>
  </r>
  <r>
    <x v="0"/>
    <x v="0"/>
    <x v="0"/>
    <x v="9"/>
    <x v="18"/>
    <s v="SE2A"/>
    <x v="8"/>
    <s v="GNR_WT_WIND_ONS"/>
    <x v="0"/>
    <x v="17"/>
    <n v="1043.26696121227"/>
    <n v="380792.44084247999"/>
    <n v="1370852.7870329299"/>
  </r>
  <r>
    <x v="0"/>
    <x v="0"/>
    <x v="0"/>
    <x v="9"/>
    <x v="18"/>
    <s v="SE2A"/>
    <x v="8"/>
    <s v="GNR_WT_WIND_ONS"/>
    <x v="0"/>
    <x v="19"/>
    <n v="989.72014525819804"/>
    <n v="361247.853019242"/>
    <n v="1300492.27086927"/>
  </r>
  <r>
    <x v="0"/>
    <x v="0"/>
    <x v="0"/>
    <x v="9"/>
    <x v="18"/>
    <s v="SE2A"/>
    <x v="8"/>
    <s v="GNR_WT_WIND_ONS"/>
    <x v="0"/>
    <x v="20"/>
    <n v="966.27444306558095"/>
    <n v="352690.171718937"/>
    <n v="1269684.61818817"/>
  </r>
  <r>
    <x v="0"/>
    <x v="0"/>
    <x v="0"/>
    <x v="9"/>
    <x v="18"/>
    <s v="SE2A"/>
    <x v="8"/>
    <s v="GNR_WT_WIND_ONS"/>
    <x v="0"/>
    <x v="21"/>
    <n v="871.23493156376003"/>
    <n v="318000.75002077298"/>
    <n v="1144802.70007478"/>
  </r>
  <r>
    <x v="0"/>
    <x v="0"/>
    <x v="0"/>
    <x v="9"/>
    <x v="18"/>
    <s v="SE2A"/>
    <x v="8"/>
    <s v="GNR_WT_WIND_ONS"/>
    <x v="0"/>
    <x v="22"/>
    <n v="808.84275792924996"/>
    <n v="295227.606644176"/>
    <n v="1062819.38391903"/>
  </r>
  <r>
    <x v="0"/>
    <x v="0"/>
    <x v="0"/>
    <x v="9"/>
    <x v="18"/>
    <s v="SE2A"/>
    <x v="8"/>
    <s v="GNR_WT_WIND_ONS"/>
    <x v="0"/>
    <x v="23"/>
    <n v="658.21323872135304"/>
    <n v="240247.832133294"/>
    <n v="864892.19567985798"/>
  </r>
  <r>
    <x v="0"/>
    <x v="0"/>
    <x v="0"/>
    <x v="9"/>
    <x v="18"/>
    <s v="SE2_EL"/>
    <x v="2"/>
    <s v="GBPR_MUNIWASTE_24"/>
    <x v="0"/>
    <x v="0"/>
    <n v="239.53745646244201"/>
    <n v="87431.171608791396"/>
    <n v="314752.21779164899"/>
  </r>
  <r>
    <x v="0"/>
    <x v="0"/>
    <x v="0"/>
    <x v="9"/>
    <x v="18"/>
    <s v="SE2_EL"/>
    <x v="2"/>
    <s v="GBPR_MUNIWASTE_24"/>
    <x v="0"/>
    <x v="1"/>
    <n v="239.53745646244201"/>
    <n v="87431.171608791396"/>
    <n v="314752.21779164899"/>
  </r>
  <r>
    <x v="0"/>
    <x v="0"/>
    <x v="0"/>
    <x v="9"/>
    <x v="18"/>
    <s v="SE2_EL"/>
    <x v="2"/>
    <s v="GBPR_MUNIWASTE_24"/>
    <x v="0"/>
    <x v="2"/>
    <n v="239.53745646244201"/>
    <n v="87431.171608791396"/>
    <n v="314752.21779164899"/>
  </r>
  <r>
    <x v="0"/>
    <x v="0"/>
    <x v="0"/>
    <x v="9"/>
    <x v="18"/>
    <s v="SE2_EL"/>
    <x v="2"/>
    <s v="GBPR_MUNIWASTE_24"/>
    <x v="0"/>
    <x v="3"/>
    <n v="239.53745646244201"/>
    <n v="87431.171608791396"/>
    <n v="314752.21779164899"/>
  </r>
  <r>
    <x v="0"/>
    <x v="0"/>
    <x v="0"/>
    <x v="9"/>
    <x v="18"/>
    <s v="SE2_EL"/>
    <x v="2"/>
    <s v="GBPR_MUNIWASTE_24"/>
    <x v="0"/>
    <x v="18"/>
    <n v="239.53745646244201"/>
    <n v="87431.171608791396"/>
    <n v="314752.21779164899"/>
  </r>
  <r>
    <x v="0"/>
    <x v="0"/>
    <x v="0"/>
    <x v="9"/>
    <x v="18"/>
    <s v="SE2_EL"/>
    <x v="2"/>
    <s v="GBPR_MUNIWASTE_24"/>
    <x v="0"/>
    <x v="4"/>
    <n v="239.53745646244201"/>
    <n v="87431.171608791396"/>
    <n v="314752.21779164899"/>
  </r>
  <r>
    <x v="0"/>
    <x v="0"/>
    <x v="0"/>
    <x v="9"/>
    <x v="18"/>
    <s v="SE2_EL"/>
    <x v="2"/>
    <s v="GBPR_MUNIWASTE_24"/>
    <x v="0"/>
    <x v="5"/>
    <n v="239.53745646244201"/>
    <n v="87431.171608791396"/>
    <n v="314752.21779164899"/>
  </r>
  <r>
    <x v="0"/>
    <x v="0"/>
    <x v="0"/>
    <x v="9"/>
    <x v="18"/>
    <s v="SE2_EL"/>
    <x v="2"/>
    <s v="GBPR_MUNIWASTE_24"/>
    <x v="0"/>
    <x v="6"/>
    <n v="239.53745646244201"/>
    <n v="87431.171608791396"/>
    <n v="314752.21779164899"/>
  </r>
  <r>
    <x v="0"/>
    <x v="0"/>
    <x v="0"/>
    <x v="9"/>
    <x v="18"/>
    <s v="SE2_EL"/>
    <x v="2"/>
    <s v="GBPR_MUNIWASTE_24"/>
    <x v="0"/>
    <x v="7"/>
    <n v="239.53745646244201"/>
    <n v="87431.171608791396"/>
    <n v="314752.21779164899"/>
  </r>
  <r>
    <x v="0"/>
    <x v="0"/>
    <x v="0"/>
    <x v="9"/>
    <x v="18"/>
    <s v="SE2_EL"/>
    <x v="2"/>
    <s v="GBPR_MUNIWASTE_24"/>
    <x v="0"/>
    <x v="8"/>
    <n v="239.53745646244201"/>
    <n v="87431.171608791396"/>
    <n v="314752.21779164899"/>
  </r>
  <r>
    <x v="0"/>
    <x v="0"/>
    <x v="0"/>
    <x v="9"/>
    <x v="18"/>
    <s v="SE2_EL"/>
    <x v="2"/>
    <s v="GBPR_MUNIWASTE_24"/>
    <x v="0"/>
    <x v="9"/>
    <n v="239.53745646244201"/>
    <n v="87431.171608791396"/>
    <n v="314752.21779164899"/>
  </r>
  <r>
    <x v="0"/>
    <x v="0"/>
    <x v="0"/>
    <x v="9"/>
    <x v="18"/>
    <s v="SE2_EL"/>
    <x v="2"/>
    <s v="GBPR_MUNIWASTE_24"/>
    <x v="0"/>
    <x v="10"/>
    <n v="239.53745646244201"/>
    <n v="87431.171608791396"/>
    <n v="314752.21779164899"/>
  </r>
  <r>
    <x v="0"/>
    <x v="0"/>
    <x v="0"/>
    <x v="9"/>
    <x v="18"/>
    <s v="SE2_EL"/>
    <x v="2"/>
    <s v="GBPR_MUNIWASTE_24"/>
    <x v="0"/>
    <x v="11"/>
    <n v="239.53745646244201"/>
    <n v="87431.171608791396"/>
    <n v="314752.21779164899"/>
  </r>
  <r>
    <x v="0"/>
    <x v="0"/>
    <x v="0"/>
    <x v="9"/>
    <x v="18"/>
    <s v="SE2_EL"/>
    <x v="2"/>
    <s v="GBPR_MUNIWASTE_24"/>
    <x v="0"/>
    <x v="12"/>
    <n v="239.53745646244201"/>
    <n v="87431.171608791396"/>
    <n v="314752.21779164899"/>
  </r>
  <r>
    <x v="0"/>
    <x v="0"/>
    <x v="0"/>
    <x v="9"/>
    <x v="18"/>
    <s v="SE2_EL"/>
    <x v="2"/>
    <s v="GBPR_MUNIWASTE_24"/>
    <x v="0"/>
    <x v="13"/>
    <n v="239.53745646244201"/>
    <n v="87431.171608791396"/>
    <n v="314752.21779164899"/>
  </r>
  <r>
    <x v="0"/>
    <x v="0"/>
    <x v="0"/>
    <x v="9"/>
    <x v="18"/>
    <s v="SE2_EL"/>
    <x v="2"/>
    <s v="GBPR_MUNIWASTE_24"/>
    <x v="0"/>
    <x v="14"/>
    <n v="239.53745646244201"/>
    <n v="87431.171608791396"/>
    <n v="314752.21779164899"/>
  </r>
  <r>
    <x v="0"/>
    <x v="0"/>
    <x v="0"/>
    <x v="9"/>
    <x v="18"/>
    <s v="SE2_EL"/>
    <x v="2"/>
    <s v="GBPR_MUNIWASTE_24"/>
    <x v="0"/>
    <x v="15"/>
    <n v="239.53745646244201"/>
    <n v="87431.171608791396"/>
    <n v="314752.21779164899"/>
  </r>
  <r>
    <x v="0"/>
    <x v="0"/>
    <x v="0"/>
    <x v="9"/>
    <x v="18"/>
    <s v="SE2_EL"/>
    <x v="2"/>
    <s v="GBPR_MUNIWASTE_24"/>
    <x v="0"/>
    <x v="16"/>
    <n v="239.53745646244201"/>
    <n v="87431.171608791396"/>
    <n v="314752.21779164899"/>
  </r>
  <r>
    <x v="0"/>
    <x v="0"/>
    <x v="0"/>
    <x v="9"/>
    <x v="18"/>
    <s v="SE2_EL"/>
    <x v="2"/>
    <s v="GBPR_MUNIWASTE_24"/>
    <x v="0"/>
    <x v="17"/>
    <n v="239.53745646244201"/>
    <n v="87431.171608791396"/>
    <n v="314752.21779164899"/>
  </r>
  <r>
    <x v="0"/>
    <x v="0"/>
    <x v="0"/>
    <x v="9"/>
    <x v="18"/>
    <s v="SE2_EL"/>
    <x v="2"/>
    <s v="GBPR_MUNIWASTE_24"/>
    <x v="0"/>
    <x v="19"/>
    <n v="239.53745646244201"/>
    <n v="87431.171608791396"/>
    <n v="314752.21779164899"/>
  </r>
  <r>
    <x v="0"/>
    <x v="0"/>
    <x v="0"/>
    <x v="9"/>
    <x v="18"/>
    <s v="SE2_EL"/>
    <x v="2"/>
    <s v="GBPR_MUNIWASTE_24"/>
    <x v="0"/>
    <x v="20"/>
    <n v="239.53745646244201"/>
    <n v="87431.171608791396"/>
    <n v="314752.21779164899"/>
  </r>
  <r>
    <x v="0"/>
    <x v="0"/>
    <x v="0"/>
    <x v="9"/>
    <x v="18"/>
    <s v="SE2_EL"/>
    <x v="2"/>
    <s v="GBPR_MUNIWASTE_24"/>
    <x v="0"/>
    <x v="21"/>
    <n v="239.53745646244201"/>
    <n v="87431.171608791396"/>
    <n v="314752.21779164899"/>
  </r>
  <r>
    <x v="0"/>
    <x v="0"/>
    <x v="0"/>
    <x v="9"/>
    <x v="18"/>
    <s v="SE2_EL"/>
    <x v="2"/>
    <s v="GBPR_MUNIWASTE_24"/>
    <x v="0"/>
    <x v="22"/>
    <n v="239.53745646244201"/>
    <n v="87431.171608791396"/>
    <n v="314752.21779164899"/>
  </r>
  <r>
    <x v="0"/>
    <x v="0"/>
    <x v="0"/>
    <x v="9"/>
    <x v="18"/>
    <s v="SE2_EL"/>
    <x v="2"/>
    <s v="GBPR_MUNIWASTE_24"/>
    <x v="0"/>
    <x v="23"/>
    <n v="239.53745646244201"/>
    <n v="87431.171608791396"/>
    <n v="314752.21779164899"/>
  </r>
  <r>
    <x v="0"/>
    <x v="0"/>
    <x v="0"/>
    <x v="9"/>
    <x v="18"/>
    <s v="SE2_EL"/>
    <x v="1"/>
    <s v="GHOB_WASTEHEAT"/>
    <x v="0"/>
    <x v="0"/>
    <n v="17.284798534798501"/>
    <n v="6308.9514652014404"/>
    <n v="22712.225274725199"/>
  </r>
  <r>
    <x v="0"/>
    <x v="0"/>
    <x v="0"/>
    <x v="9"/>
    <x v="18"/>
    <s v="SE2_EL"/>
    <x v="1"/>
    <s v="GHOB_WASTEHEAT"/>
    <x v="0"/>
    <x v="1"/>
    <n v="17.284798534798501"/>
    <n v="6308.9514652014404"/>
    <n v="22712.225274725199"/>
  </r>
  <r>
    <x v="0"/>
    <x v="0"/>
    <x v="0"/>
    <x v="9"/>
    <x v="18"/>
    <s v="SE2_EL"/>
    <x v="1"/>
    <s v="GHOB_WASTEHEAT"/>
    <x v="0"/>
    <x v="2"/>
    <n v="17.284798534798501"/>
    <n v="6308.9514652014404"/>
    <n v="22712.225274725199"/>
  </r>
  <r>
    <x v="0"/>
    <x v="0"/>
    <x v="0"/>
    <x v="9"/>
    <x v="18"/>
    <s v="SE2_EL"/>
    <x v="1"/>
    <s v="GHOB_WASTEHEAT"/>
    <x v="0"/>
    <x v="3"/>
    <n v="17.284798534798501"/>
    <n v="6308.9514652014404"/>
    <n v="22712.225274725199"/>
  </r>
  <r>
    <x v="0"/>
    <x v="0"/>
    <x v="0"/>
    <x v="9"/>
    <x v="18"/>
    <s v="SE2_EL"/>
    <x v="1"/>
    <s v="GHOB_WASTEHEAT"/>
    <x v="0"/>
    <x v="18"/>
    <n v="17.284798534798501"/>
    <n v="6308.9514652014404"/>
    <n v="22712.225274725199"/>
  </r>
  <r>
    <x v="0"/>
    <x v="0"/>
    <x v="0"/>
    <x v="9"/>
    <x v="18"/>
    <s v="SE2_EL"/>
    <x v="1"/>
    <s v="GHOB_WASTEHEAT"/>
    <x v="0"/>
    <x v="4"/>
    <n v="17.284798534798501"/>
    <n v="6308.9514652014404"/>
    <n v="22712.225274725199"/>
  </r>
  <r>
    <x v="0"/>
    <x v="0"/>
    <x v="0"/>
    <x v="9"/>
    <x v="18"/>
    <s v="SE2_EL"/>
    <x v="1"/>
    <s v="GHOB_WASTEHEAT"/>
    <x v="0"/>
    <x v="5"/>
    <n v="17.284798534798501"/>
    <n v="6308.9514652014404"/>
    <n v="22712.225274725199"/>
  </r>
  <r>
    <x v="0"/>
    <x v="0"/>
    <x v="0"/>
    <x v="9"/>
    <x v="18"/>
    <s v="SE2_EL"/>
    <x v="1"/>
    <s v="GHOB_WASTEHEAT"/>
    <x v="0"/>
    <x v="6"/>
    <n v="17.284798534798501"/>
    <n v="6308.9514652014404"/>
    <n v="22712.225274725199"/>
  </r>
  <r>
    <x v="0"/>
    <x v="0"/>
    <x v="0"/>
    <x v="9"/>
    <x v="18"/>
    <s v="SE2_EL"/>
    <x v="1"/>
    <s v="GHOB_WASTEHEAT"/>
    <x v="0"/>
    <x v="7"/>
    <n v="17.284798534798501"/>
    <n v="6308.9514652014404"/>
    <n v="22712.225274725199"/>
  </r>
  <r>
    <x v="0"/>
    <x v="0"/>
    <x v="0"/>
    <x v="9"/>
    <x v="18"/>
    <s v="SE2_EL"/>
    <x v="1"/>
    <s v="GHOB_WASTEHEAT"/>
    <x v="0"/>
    <x v="8"/>
    <n v="17.284798534798501"/>
    <n v="6308.9514652014404"/>
    <n v="22712.225274725199"/>
  </r>
  <r>
    <x v="0"/>
    <x v="0"/>
    <x v="0"/>
    <x v="9"/>
    <x v="18"/>
    <s v="SE2_EL"/>
    <x v="1"/>
    <s v="GHOB_WASTEHEAT"/>
    <x v="0"/>
    <x v="9"/>
    <n v="17.284798534798501"/>
    <n v="6308.9514652014404"/>
    <n v="22712.225274725199"/>
  </r>
  <r>
    <x v="0"/>
    <x v="0"/>
    <x v="0"/>
    <x v="9"/>
    <x v="18"/>
    <s v="SE2_EL"/>
    <x v="1"/>
    <s v="GHOB_WASTEHEAT"/>
    <x v="0"/>
    <x v="10"/>
    <n v="17.284798534798501"/>
    <n v="6308.9514652014404"/>
    <n v="22712.225274725199"/>
  </r>
  <r>
    <x v="0"/>
    <x v="0"/>
    <x v="0"/>
    <x v="9"/>
    <x v="18"/>
    <s v="SE2_EL"/>
    <x v="1"/>
    <s v="GHOB_WASTEHEAT"/>
    <x v="0"/>
    <x v="11"/>
    <n v="17.284798534798501"/>
    <n v="6308.9514652014404"/>
    <n v="22712.225274725199"/>
  </r>
  <r>
    <x v="0"/>
    <x v="0"/>
    <x v="0"/>
    <x v="9"/>
    <x v="18"/>
    <s v="SE2_EL"/>
    <x v="1"/>
    <s v="GHOB_WASTEHEAT"/>
    <x v="0"/>
    <x v="12"/>
    <n v="17.284798534798501"/>
    <n v="6308.9514652014404"/>
    <n v="22712.225274725199"/>
  </r>
  <r>
    <x v="0"/>
    <x v="0"/>
    <x v="0"/>
    <x v="9"/>
    <x v="18"/>
    <s v="SE2_EL"/>
    <x v="1"/>
    <s v="GHOB_WASTEHEAT"/>
    <x v="0"/>
    <x v="13"/>
    <n v="17.284798534798501"/>
    <n v="6308.9514652014404"/>
    <n v="22712.225274725199"/>
  </r>
  <r>
    <x v="0"/>
    <x v="0"/>
    <x v="0"/>
    <x v="9"/>
    <x v="18"/>
    <s v="SE2_EL"/>
    <x v="1"/>
    <s v="GHOB_WASTEHEAT"/>
    <x v="0"/>
    <x v="14"/>
    <n v="17.284798534798501"/>
    <n v="6308.9514652014404"/>
    <n v="22712.225274725199"/>
  </r>
  <r>
    <x v="0"/>
    <x v="0"/>
    <x v="0"/>
    <x v="9"/>
    <x v="18"/>
    <s v="SE2_EL"/>
    <x v="1"/>
    <s v="GHOB_WASTEHEAT"/>
    <x v="0"/>
    <x v="15"/>
    <n v="17.284798534798501"/>
    <n v="6308.9514652014404"/>
    <n v="22712.225274725199"/>
  </r>
  <r>
    <x v="0"/>
    <x v="0"/>
    <x v="0"/>
    <x v="9"/>
    <x v="18"/>
    <s v="SE2_EL"/>
    <x v="1"/>
    <s v="GHOB_WASTEHEAT"/>
    <x v="0"/>
    <x v="16"/>
    <n v="17.284798534798501"/>
    <n v="6308.9514652014404"/>
    <n v="22712.225274725199"/>
  </r>
  <r>
    <x v="0"/>
    <x v="0"/>
    <x v="0"/>
    <x v="9"/>
    <x v="18"/>
    <s v="SE2_EL"/>
    <x v="1"/>
    <s v="GHOB_WASTEHEAT"/>
    <x v="0"/>
    <x v="17"/>
    <n v="17.284798534798501"/>
    <n v="6308.9514652014404"/>
    <n v="22712.225274725199"/>
  </r>
  <r>
    <x v="0"/>
    <x v="0"/>
    <x v="0"/>
    <x v="9"/>
    <x v="18"/>
    <s v="SE2_EL"/>
    <x v="1"/>
    <s v="GHOB_WASTEHEAT"/>
    <x v="0"/>
    <x v="19"/>
    <n v="17.284798534798501"/>
    <n v="6308.9514652014404"/>
    <n v="22712.225274725199"/>
  </r>
  <r>
    <x v="0"/>
    <x v="0"/>
    <x v="0"/>
    <x v="9"/>
    <x v="18"/>
    <s v="SE2_EL"/>
    <x v="1"/>
    <s v="GHOB_WASTEHEAT"/>
    <x v="0"/>
    <x v="20"/>
    <n v="17.284798534798501"/>
    <n v="6308.9514652014404"/>
    <n v="22712.225274725199"/>
  </r>
  <r>
    <x v="0"/>
    <x v="0"/>
    <x v="0"/>
    <x v="9"/>
    <x v="18"/>
    <s v="SE2_EL"/>
    <x v="1"/>
    <s v="GHOB_WASTEHEAT"/>
    <x v="0"/>
    <x v="21"/>
    <n v="17.284798534798501"/>
    <n v="6308.9514652014404"/>
    <n v="22712.225274725199"/>
  </r>
  <r>
    <x v="0"/>
    <x v="0"/>
    <x v="0"/>
    <x v="9"/>
    <x v="18"/>
    <s v="SE2_EL"/>
    <x v="1"/>
    <s v="GHOB_WASTEHEAT"/>
    <x v="0"/>
    <x v="22"/>
    <n v="17.284798534798501"/>
    <n v="6308.9514652014404"/>
    <n v="22712.225274725199"/>
  </r>
  <r>
    <x v="0"/>
    <x v="0"/>
    <x v="0"/>
    <x v="9"/>
    <x v="18"/>
    <s v="SE2_EL"/>
    <x v="1"/>
    <s v="GHOB_WASTEHEAT"/>
    <x v="0"/>
    <x v="23"/>
    <n v="17.284798534798501"/>
    <n v="6308.9514652014404"/>
    <n v="22712.225274725199"/>
  </r>
  <r>
    <x v="0"/>
    <x v="0"/>
    <x v="0"/>
    <x v="9"/>
    <x v="18"/>
    <s v="SE2_EL"/>
    <x v="9"/>
    <s v="GBPR_WOODWASTE_25"/>
    <x v="0"/>
    <x v="0"/>
    <n v="63.476867237661999"/>
    <n v="23169.056541746599"/>
    <n v="83408.603550287793"/>
  </r>
  <r>
    <x v="0"/>
    <x v="0"/>
    <x v="0"/>
    <x v="9"/>
    <x v="18"/>
    <s v="SE2_EL"/>
    <x v="9"/>
    <s v="GBPR_WOODWASTE_25"/>
    <x v="0"/>
    <x v="1"/>
    <n v="62.4714901364257"/>
    <n v="22802.0938997954"/>
    <n v="82087.538039263396"/>
  </r>
  <r>
    <x v="0"/>
    <x v="0"/>
    <x v="0"/>
    <x v="9"/>
    <x v="18"/>
    <s v="SE2_EL"/>
    <x v="9"/>
    <s v="GBPR_WOODWASTE_25"/>
    <x v="0"/>
    <x v="2"/>
    <n v="67.389399111243307"/>
    <n v="24597.130675603799"/>
    <n v="88549.670432173705"/>
  </r>
  <r>
    <x v="0"/>
    <x v="0"/>
    <x v="0"/>
    <x v="9"/>
    <x v="18"/>
    <s v="SE2_EL"/>
    <x v="9"/>
    <s v="GBPR_WOODWASTE_25"/>
    <x v="0"/>
    <x v="3"/>
    <n v="86.178481214312896"/>
    <n v="31455.145643224201"/>
    <n v="113238.52431560701"/>
  </r>
  <r>
    <x v="0"/>
    <x v="0"/>
    <x v="0"/>
    <x v="9"/>
    <x v="18"/>
    <s v="SE2_EL"/>
    <x v="9"/>
    <s v="GBPR_WOODWASTE_25"/>
    <x v="0"/>
    <x v="18"/>
    <n v="112.34053101041999"/>
    <n v="41004.2938188033"/>
    <n v="147615.45774769201"/>
  </r>
  <r>
    <x v="0"/>
    <x v="0"/>
    <x v="0"/>
    <x v="9"/>
    <x v="18"/>
    <s v="SE2_EL"/>
    <x v="9"/>
    <s v="GBPR_WOODWASTE_25"/>
    <x v="0"/>
    <x v="4"/>
    <n v="132.84958400007801"/>
    <n v="48490.098160028501"/>
    <n v="174564.35337610301"/>
  </r>
  <r>
    <x v="0"/>
    <x v="0"/>
    <x v="0"/>
    <x v="9"/>
    <x v="18"/>
    <s v="SE2_EL"/>
    <x v="9"/>
    <s v="GBPR_WOODWASTE_25"/>
    <x v="0"/>
    <x v="5"/>
    <n v="199.88317687990801"/>
    <n v="72957.359561166406"/>
    <n v="262646.49442019901"/>
  </r>
  <r>
    <x v="0"/>
    <x v="0"/>
    <x v="0"/>
    <x v="9"/>
    <x v="18"/>
    <s v="SE2_EL"/>
    <x v="9"/>
    <s v="GBPR_WOODWASTE_25"/>
    <x v="0"/>
    <x v="6"/>
    <n v="236.92912205634801"/>
    <n v="86479.129550566897"/>
    <n v="311324.86638204101"/>
  </r>
  <r>
    <x v="0"/>
    <x v="0"/>
    <x v="0"/>
    <x v="9"/>
    <x v="18"/>
    <s v="SE2_EL"/>
    <x v="9"/>
    <s v="GBPR_WOODWASTE_25"/>
    <x v="0"/>
    <x v="7"/>
    <n v="230.71347952696701"/>
    <n v="84210.420027343003"/>
    <n v="303157.51209843502"/>
  </r>
  <r>
    <x v="0"/>
    <x v="0"/>
    <x v="0"/>
    <x v="9"/>
    <x v="18"/>
    <s v="SE2_EL"/>
    <x v="9"/>
    <s v="GBPR_WOODWASTE_25"/>
    <x v="0"/>
    <x v="8"/>
    <n v="232.04556216832501"/>
    <n v="84696.630191438497"/>
    <n v="304907.86868917802"/>
  </r>
  <r>
    <x v="0"/>
    <x v="0"/>
    <x v="0"/>
    <x v="9"/>
    <x v="18"/>
    <s v="SE2_EL"/>
    <x v="9"/>
    <s v="GBPR_WOODWASTE_25"/>
    <x v="0"/>
    <x v="9"/>
    <n v="210.05775817355001"/>
    <n v="76671.081733345694"/>
    <n v="276015.894240044"/>
  </r>
  <r>
    <x v="0"/>
    <x v="0"/>
    <x v="0"/>
    <x v="9"/>
    <x v="18"/>
    <s v="SE2_EL"/>
    <x v="9"/>
    <s v="GBPR_WOODWASTE_25"/>
    <x v="0"/>
    <x v="10"/>
    <n v="201.38191697304799"/>
    <n v="73504.399695162603"/>
    <n v="264615.83890258602"/>
  </r>
  <r>
    <x v="0"/>
    <x v="0"/>
    <x v="0"/>
    <x v="9"/>
    <x v="18"/>
    <s v="SE2_EL"/>
    <x v="9"/>
    <s v="GBPR_WOODWASTE_25"/>
    <x v="0"/>
    <x v="11"/>
    <n v="199.28508627354501"/>
    <n v="72739.056489843802"/>
    <n v="261860.60336343799"/>
  </r>
  <r>
    <x v="0"/>
    <x v="0"/>
    <x v="0"/>
    <x v="9"/>
    <x v="18"/>
    <s v="SE2_EL"/>
    <x v="9"/>
    <s v="GBPR_WOODWASTE_25"/>
    <x v="0"/>
    <x v="12"/>
    <n v="198.00249921316001"/>
    <n v="72270.912212803494"/>
    <n v="260175.283966093"/>
  </r>
  <r>
    <x v="0"/>
    <x v="0"/>
    <x v="0"/>
    <x v="9"/>
    <x v="18"/>
    <s v="SE2_EL"/>
    <x v="9"/>
    <s v="GBPR_WOODWASTE_25"/>
    <x v="0"/>
    <x v="13"/>
    <n v="193.538280681939"/>
    <n v="70641.472448907705"/>
    <n v="254309.30081606799"/>
  </r>
  <r>
    <x v="0"/>
    <x v="0"/>
    <x v="0"/>
    <x v="9"/>
    <x v="18"/>
    <s v="SE2_EL"/>
    <x v="9"/>
    <s v="GBPR_WOODWASTE_25"/>
    <x v="0"/>
    <x v="14"/>
    <n v="201.30195608729201"/>
    <n v="73475.213971861696"/>
    <n v="264510.770298702"/>
  </r>
  <r>
    <x v="0"/>
    <x v="0"/>
    <x v="0"/>
    <x v="9"/>
    <x v="18"/>
    <s v="SE2_EL"/>
    <x v="9"/>
    <s v="GBPR_WOODWASTE_25"/>
    <x v="0"/>
    <x v="15"/>
    <n v="160.001000631095"/>
    <n v="58400.365230349802"/>
    <n v="210241.314829259"/>
  </r>
  <r>
    <x v="0"/>
    <x v="0"/>
    <x v="0"/>
    <x v="9"/>
    <x v="18"/>
    <s v="SE2_EL"/>
    <x v="9"/>
    <s v="GBPR_WOODWASTE_25"/>
    <x v="0"/>
    <x v="16"/>
    <n v="137.00216333378199"/>
    <n v="50005.7896168304"/>
    <n v="180020.84262058901"/>
  </r>
  <r>
    <x v="0"/>
    <x v="0"/>
    <x v="0"/>
    <x v="9"/>
    <x v="18"/>
    <s v="SE2_EL"/>
    <x v="9"/>
    <s v="GBPR_WOODWASTE_25"/>
    <x v="0"/>
    <x v="17"/>
    <n v="121.06583894990899"/>
    <n v="44189.031216716699"/>
    <n v="159080.51238018001"/>
  </r>
  <r>
    <x v="0"/>
    <x v="0"/>
    <x v="0"/>
    <x v="9"/>
    <x v="18"/>
    <s v="SE2_EL"/>
    <x v="9"/>
    <s v="GBPR_WOODWASTE_25"/>
    <x v="0"/>
    <x v="19"/>
    <n v="103.09280171348"/>
    <n v="37628.872625420103"/>
    <n v="135463.94145151199"/>
  </r>
  <r>
    <x v="0"/>
    <x v="0"/>
    <x v="0"/>
    <x v="9"/>
    <x v="18"/>
    <s v="SE2_EL"/>
    <x v="9"/>
    <s v="GBPR_WOODWASTE_25"/>
    <x v="0"/>
    <x v="20"/>
    <n v="87.403181196634193"/>
    <n v="31902.161136771501"/>
    <n v="114847.780092377"/>
  </r>
  <r>
    <x v="0"/>
    <x v="0"/>
    <x v="0"/>
    <x v="9"/>
    <x v="18"/>
    <s v="SE2_EL"/>
    <x v="9"/>
    <s v="GBPR_WOODWASTE_25"/>
    <x v="0"/>
    <x v="21"/>
    <n v="77.056797884269201"/>
    <n v="28125.731227758301"/>
    <n v="101252.63241993"/>
  </r>
  <r>
    <x v="0"/>
    <x v="0"/>
    <x v="0"/>
    <x v="9"/>
    <x v="18"/>
    <s v="SE2_EL"/>
    <x v="9"/>
    <s v="GBPR_WOODWASTE_25"/>
    <x v="0"/>
    <x v="22"/>
    <n v="56.238311507944601"/>
    <n v="20526.9837003998"/>
    <n v="73897.141321439194"/>
  </r>
  <r>
    <x v="0"/>
    <x v="0"/>
    <x v="0"/>
    <x v="9"/>
    <x v="18"/>
    <s v="SE2_EL"/>
    <x v="9"/>
    <s v="GBPR_WOODWASTE_25"/>
    <x v="0"/>
    <x v="23"/>
    <n v="29.7170467655788"/>
    <n v="10846.7220694363"/>
    <n v="39048.199449970503"/>
  </r>
  <r>
    <x v="0"/>
    <x v="0"/>
    <x v="0"/>
    <x v="9"/>
    <x v="18"/>
    <s v="SE2_EL"/>
    <x v="9"/>
    <s v="GEXT_WOODWASTE_HORNEBORG"/>
    <x v="0"/>
    <x v="0"/>
    <n v="102.679509632224"/>
    <n v="37478.021015761798"/>
    <n v="134920.87565674301"/>
  </r>
  <r>
    <x v="0"/>
    <x v="0"/>
    <x v="0"/>
    <x v="9"/>
    <x v="18"/>
    <s v="SE2_EL"/>
    <x v="9"/>
    <s v="GEXT_WOODWASTE_HORNEBORG"/>
    <x v="0"/>
    <x v="1"/>
    <n v="102.679509632224"/>
    <n v="37478.021015761798"/>
    <n v="134920.87565674301"/>
  </r>
  <r>
    <x v="0"/>
    <x v="0"/>
    <x v="0"/>
    <x v="9"/>
    <x v="18"/>
    <s v="SE2_EL"/>
    <x v="9"/>
    <s v="GEXT_WOODWASTE_HORNEBORG"/>
    <x v="0"/>
    <x v="2"/>
    <n v="102.679509632224"/>
    <n v="37478.021015761798"/>
    <n v="134920.87565674301"/>
  </r>
  <r>
    <x v="0"/>
    <x v="0"/>
    <x v="0"/>
    <x v="9"/>
    <x v="18"/>
    <s v="SE2_EL"/>
    <x v="9"/>
    <s v="GEXT_WOODWASTE_HORNEBORG"/>
    <x v="0"/>
    <x v="3"/>
    <n v="102.679509632224"/>
    <n v="37478.021015761798"/>
    <n v="134920.87565674301"/>
  </r>
  <r>
    <x v="0"/>
    <x v="0"/>
    <x v="0"/>
    <x v="9"/>
    <x v="18"/>
    <s v="SE2_EL"/>
    <x v="9"/>
    <s v="GEXT_WOODWASTE_HORNEBORG"/>
    <x v="0"/>
    <x v="18"/>
    <n v="102.679509632224"/>
    <n v="37478.021015761798"/>
    <n v="134920.87565674301"/>
  </r>
  <r>
    <x v="0"/>
    <x v="0"/>
    <x v="0"/>
    <x v="9"/>
    <x v="18"/>
    <s v="SE2_EL"/>
    <x v="9"/>
    <s v="GEXT_WOODWASTE_HORNEBORG"/>
    <x v="0"/>
    <x v="4"/>
    <n v="102.679509632224"/>
    <n v="37478.021015761798"/>
    <n v="134920.87565674301"/>
  </r>
  <r>
    <x v="0"/>
    <x v="0"/>
    <x v="0"/>
    <x v="9"/>
    <x v="18"/>
    <s v="SE2_EL"/>
    <x v="9"/>
    <s v="GEXT_WOODWASTE_HORNEBORG"/>
    <x v="0"/>
    <x v="5"/>
    <n v="102.679509632224"/>
    <n v="37478.021015761798"/>
    <n v="134920.87565674301"/>
  </r>
  <r>
    <x v="0"/>
    <x v="0"/>
    <x v="0"/>
    <x v="9"/>
    <x v="18"/>
    <s v="SE2_EL"/>
    <x v="9"/>
    <s v="GEXT_WOODWASTE_HORNEBORG"/>
    <x v="0"/>
    <x v="6"/>
    <n v="102.679509632224"/>
    <n v="37478.021015761798"/>
    <n v="134920.87565674301"/>
  </r>
  <r>
    <x v="0"/>
    <x v="0"/>
    <x v="0"/>
    <x v="9"/>
    <x v="18"/>
    <s v="SE2_EL"/>
    <x v="9"/>
    <s v="GEXT_WOODWASTE_HORNEBORG"/>
    <x v="0"/>
    <x v="7"/>
    <n v="102.679509632224"/>
    <n v="37478.021015761798"/>
    <n v="134920.87565674301"/>
  </r>
  <r>
    <x v="0"/>
    <x v="0"/>
    <x v="0"/>
    <x v="9"/>
    <x v="18"/>
    <s v="SE2_EL"/>
    <x v="9"/>
    <s v="GEXT_WOODWASTE_HORNEBORG"/>
    <x v="0"/>
    <x v="8"/>
    <n v="102.679509632224"/>
    <n v="37478.021015761798"/>
    <n v="134920.87565674301"/>
  </r>
  <r>
    <x v="0"/>
    <x v="0"/>
    <x v="0"/>
    <x v="9"/>
    <x v="18"/>
    <s v="SE2_EL"/>
    <x v="9"/>
    <s v="GEXT_WOODWASTE_HORNEBORG"/>
    <x v="0"/>
    <x v="9"/>
    <n v="102.679509632224"/>
    <n v="37478.021015761798"/>
    <n v="134920.87565674301"/>
  </r>
  <r>
    <x v="0"/>
    <x v="0"/>
    <x v="0"/>
    <x v="9"/>
    <x v="18"/>
    <s v="SE2_EL"/>
    <x v="9"/>
    <s v="GEXT_WOODWASTE_HORNEBORG"/>
    <x v="0"/>
    <x v="10"/>
    <n v="102.679509632224"/>
    <n v="37478.021015761798"/>
    <n v="134920.87565674301"/>
  </r>
  <r>
    <x v="0"/>
    <x v="0"/>
    <x v="0"/>
    <x v="9"/>
    <x v="18"/>
    <s v="SE2_EL"/>
    <x v="9"/>
    <s v="GEXT_WOODWASTE_HORNEBORG"/>
    <x v="0"/>
    <x v="11"/>
    <n v="102.679509632224"/>
    <n v="37478.021015761798"/>
    <n v="134920.87565674301"/>
  </r>
  <r>
    <x v="0"/>
    <x v="0"/>
    <x v="0"/>
    <x v="9"/>
    <x v="18"/>
    <s v="SE2_EL"/>
    <x v="9"/>
    <s v="GEXT_WOODWASTE_HORNEBORG"/>
    <x v="0"/>
    <x v="12"/>
    <n v="102.679509632224"/>
    <n v="37478.021015761798"/>
    <n v="134920.87565674301"/>
  </r>
  <r>
    <x v="0"/>
    <x v="0"/>
    <x v="0"/>
    <x v="9"/>
    <x v="18"/>
    <s v="SE2_EL"/>
    <x v="9"/>
    <s v="GEXT_WOODWASTE_HORNEBORG"/>
    <x v="0"/>
    <x v="13"/>
    <n v="102.679509632224"/>
    <n v="37478.021015761798"/>
    <n v="134920.87565674301"/>
  </r>
  <r>
    <x v="0"/>
    <x v="0"/>
    <x v="0"/>
    <x v="9"/>
    <x v="18"/>
    <s v="SE2_EL"/>
    <x v="9"/>
    <s v="GEXT_WOODWASTE_HORNEBORG"/>
    <x v="0"/>
    <x v="14"/>
    <n v="102.679509632224"/>
    <n v="37478.021015761798"/>
    <n v="134920.87565674301"/>
  </r>
  <r>
    <x v="0"/>
    <x v="0"/>
    <x v="0"/>
    <x v="9"/>
    <x v="18"/>
    <s v="SE2_EL"/>
    <x v="9"/>
    <s v="GEXT_WOODWASTE_HORNEBORG"/>
    <x v="0"/>
    <x v="15"/>
    <n v="102.679509632224"/>
    <n v="37478.021015761798"/>
    <n v="134920.87565674301"/>
  </r>
  <r>
    <x v="0"/>
    <x v="0"/>
    <x v="0"/>
    <x v="9"/>
    <x v="18"/>
    <s v="SE2_EL"/>
    <x v="9"/>
    <s v="GEXT_WOODWASTE_HORNEBORG"/>
    <x v="0"/>
    <x v="16"/>
    <n v="102.679509632224"/>
    <n v="37478.021015761798"/>
    <n v="134920.87565674301"/>
  </r>
  <r>
    <x v="0"/>
    <x v="0"/>
    <x v="0"/>
    <x v="9"/>
    <x v="18"/>
    <s v="SE2_EL"/>
    <x v="9"/>
    <s v="GEXT_WOODWASTE_HORNEBORG"/>
    <x v="0"/>
    <x v="17"/>
    <n v="102.679509632224"/>
    <n v="37478.021015761798"/>
    <n v="134920.87565674301"/>
  </r>
  <r>
    <x v="0"/>
    <x v="0"/>
    <x v="0"/>
    <x v="9"/>
    <x v="18"/>
    <s v="SE2_EL"/>
    <x v="9"/>
    <s v="GEXT_WOODWASTE_HORNEBORG"/>
    <x v="0"/>
    <x v="19"/>
    <n v="102.679509632224"/>
    <n v="37478.021015761798"/>
    <n v="134920.87565674301"/>
  </r>
  <r>
    <x v="0"/>
    <x v="0"/>
    <x v="0"/>
    <x v="9"/>
    <x v="18"/>
    <s v="SE2_EL"/>
    <x v="9"/>
    <s v="GEXT_WOODWASTE_HORNEBORG"/>
    <x v="0"/>
    <x v="20"/>
    <n v="102.679509632224"/>
    <n v="37478.021015761798"/>
    <n v="134920.87565674301"/>
  </r>
  <r>
    <x v="0"/>
    <x v="0"/>
    <x v="0"/>
    <x v="9"/>
    <x v="18"/>
    <s v="SE2_EL"/>
    <x v="9"/>
    <s v="GEXT_WOODWASTE_HORNEBORG"/>
    <x v="0"/>
    <x v="21"/>
    <n v="102.679509632224"/>
    <n v="37478.021015761798"/>
    <n v="134920.87565674301"/>
  </r>
  <r>
    <x v="0"/>
    <x v="0"/>
    <x v="0"/>
    <x v="9"/>
    <x v="18"/>
    <s v="SE2_EL"/>
    <x v="9"/>
    <s v="GEXT_WOODWASTE_HORNEBORG"/>
    <x v="0"/>
    <x v="22"/>
    <n v="102.679509632224"/>
    <n v="37478.021015761798"/>
    <n v="134920.87565674301"/>
  </r>
  <r>
    <x v="0"/>
    <x v="0"/>
    <x v="0"/>
    <x v="9"/>
    <x v="18"/>
    <s v="SE2_EL"/>
    <x v="9"/>
    <s v="GEXT_WOODWASTE_HORNEBORG"/>
    <x v="0"/>
    <x v="23"/>
    <n v="102.679509632224"/>
    <n v="37478.021015761798"/>
    <n v="134920.87565674301"/>
  </r>
  <r>
    <x v="0"/>
    <x v="0"/>
    <x v="0"/>
    <x v="9"/>
    <x v="18"/>
    <s v="SE2_OTHER"/>
    <x v="2"/>
    <s v="GBPR_MUNIWASTE_24"/>
    <x v="0"/>
    <x v="0"/>
    <n v="18.156787526881601"/>
    <n v="6627.2274473117704"/>
    <n v="23858.018810322399"/>
  </r>
  <r>
    <x v="0"/>
    <x v="0"/>
    <x v="0"/>
    <x v="9"/>
    <x v="18"/>
    <s v="SE2_OTHER"/>
    <x v="2"/>
    <s v="GBPR_MUNIWASTE_24"/>
    <x v="0"/>
    <x v="1"/>
    <n v="18.156787526881601"/>
    <n v="6627.2274473117704"/>
    <n v="23858.018810322399"/>
  </r>
  <r>
    <x v="0"/>
    <x v="0"/>
    <x v="0"/>
    <x v="9"/>
    <x v="18"/>
    <s v="SE2_OTHER"/>
    <x v="2"/>
    <s v="GBPR_MUNIWASTE_24"/>
    <x v="0"/>
    <x v="2"/>
    <n v="18.156787526881601"/>
    <n v="6627.2274473117704"/>
    <n v="23858.018810322399"/>
  </r>
  <r>
    <x v="0"/>
    <x v="0"/>
    <x v="0"/>
    <x v="9"/>
    <x v="18"/>
    <s v="SE2_OTHER"/>
    <x v="2"/>
    <s v="GBPR_MUNIWASTE_24"/>
    <x v="0"/>
    <x v="3"/>
    <n v="18.156787526881601"/>
    <n v="6627.2274473117704"/>
    <n v="23858.018810322399"/>
  </r>
  <r>
    <x v="0"/>
    <x v="0"/>
    <x v="0"/>
    <x v="9"/>
    <x v="18"/>
    <s v="SE2_OTHER"/>
    <x v="2"/>
    <s v="GBPR_MUNIWASTE_24"/>
    <x v="0"/>
    <x v="18"/>
    <n v="18.156787526881601"/>
    <n v="6627.2274473117704"/>
    <n v="23858.018810322399"/>
  </r>
  <r>
    <x v="0"/>
    <x v="0"/>
    <x v="0"/>
    <x v="9"/>
    <x v="18"/>
    <s v="SE2_OTHER"/>
    <x v="2"/>
    <s v="GBPR_MUNIWASTE_24"/>
    <x v="0"/>
    <x v="4"/>
    <n v="18.156787526881601"/>
    <n v="6627.2274473117704"/>
    <n v="23858.018810322399"/>
  </r>
  <r>
    <x v="0"/>
    <x v="0"/>
    <x v="0"/>
    <x v="9"/>
    <x v="18"/>
    <s v="SE2_OTHER"/>
    <x v="2"/>
    <s v="GBPR_MUNIWASTE_24"/>
    <x v="0"/>
    <x v="5"/>
    <n v="18.156787526881601"/>
    <n v="6627.2274473117704"/>
    <n v="23858.018810322399"/>
  </r>
  <r>
    <x v="0"/>
    <x v="0"/>
    <x v="0"/>
    <x v="9"/>
    <x v="18"/>
    <s v="SE2_OTHER"/>
    <x v="2"/>
    <s v="GBPR_MUNIWASTE_24"/>
    <x v="0"/>
    <x v="6"/>
    <n v="18.156787526881601"/>
    <n v="6627.2274473117704"/>
    <n v="23858.018810322399"/>
  </r>
  <r>
    <x v="0"/>
    <x v="0"/>
    <x v="0"/>
    <x v="9"/>
    <x v="18"/>
    <s v="SE2_OTHER"/>
    <x v="2"/>
    <s v="GBPR_MUNIWASTE_24"/>
    <x v="0"/>
    <x v="7"/>
    <n v="18.156787526881601"/>
    <n v="6627.2274473117704"/>
    <n v="23858.018810322399"/>
  </r>
  <r>
    <x v="0"/>
    <x v="0"/>
    <x v="0"/>
    <x v="9"/>
    <x v="18"/>
    <s v="SE2_OTHER"/>
    <x v="2"/>
    <s v="GBPR_MUNIWASTE_24"/>
    <x v="0"/>
    <x v="8"/>
    <n v="18.156787526881601"/>
    <n v="6627.2274473117704"/>
    <n v="23858.018810322399"/>
  </r>
  <r>
    <x v="0"/>
    <x v="0"/>
    <x v="0"/>
    <x v="9"/>
    <x v="18"/>
    <s v="SE2_OTHER"/>
    <x v="2"/>
    <s v="GBPR_MUNIWASTE_24"/>
    <x v="0"/>
    <x v="9"/>
    <n v="18.156787526881601"/>
    <n v="6627.2274473117704"/>
    <n v="23858.018810322399"/>
  </r>
  <r>
    <x v="0"/>
    <x v="0"/>
    <x v="0"/>
    <x v="9"/>
    <x v="18"/>
    <s v="SE2_OTHER"/>
    <x v="2"/>
    <s v="GBPR_MUNIWASTE_24"/>
    <x v="0"/>
    <x v="10"/>
    <n v="18.156787526881601"/>
    <n v="6627.2274473117704"/>
    <n v="23858.018810322399"/>
  </r>
  <r>
    <x v="0"/>
    <x v="0"/>
    <x v="0"/>
    <x v="9"/>
    <x v="18"/>
    <s v="SE2_OTHER"/>
    <x v="2"/>
    <s v="GBPR_MUNIWASTE_24"/>
    <x v="0"/>
    <x v="11"/>
    <n v="18.156787526881601"/>
    <n v="6627.2274473117704"/>
    <n v="23858.018810322399"/>
  </r>
  <r>
    <x v="0"/>
    <x v="0"/>
    <x v="0"/>
    <x v="9"/>
    <x v="18"/>
    <s v="SE2_OTHER"/>
    <x v="2"/>
    <s v="GBPR_MUNIWASTE_24"/>
    <x v="0"/>
    <x v="12"/>
    <n v="18.156787526881601"/>
    <n v="6627.2274473117704"/>
    <n v="23858.018810322399"/>
  </r>
  <r>
    <x v="0"/>
    <x v="0"/>
    <x v="0"/>
    <x v="9"/>
    <x v="18"/>
    <s v="SE2_OTHER"/>
    <x v="2"/>
    <s v="GBPR_MUNIWASTE_24"/>
    <x v="0"/>
    <x v="13"/>
    <n v="18.156787526881601"/>
    <n v="6627.2274473117704"/>
    <n v="23858.018810322399"/>
  </r>
  <r>
    <x v="0"/>
    <x v="0"/>
    <x v="0"/>
    <x v="9"/>
    <x v="18"/>
    <s v="SE2_OTHER"/>
    <x v="2"/>
    <s v="GBPR_MUNIWASTE_24"/>
    <x v="0"/>
    <x v="14"/>
    <n v="18.156787526881601"/>
    <n v="6627.2274473117704"/>
    <n v="23858.018810322399"/>
  </r>
  <r>
    <x v="0"/>
    <x v="0"/>
    <x v="0"/>
    <x v="9"/>
    <x v="18"/>
    <s v="SE2_OTHER"/>
    <x v="2"/>
    <s v="GBPR_MUNIWASTE_24"/>
    <x v="0"/>
    <x v="15"/>
    <n v="18.156787526881601"/>
    <n v="6627.2274473117704"/>
    <n v="23858.018810322399"/>
  </r>
  <r>
    <x v="0"/>
    <x v="0"/>
    <x v="0"/>
    <x v="9"/>
    <x v="18"/>
    <s v="SE2_OTHER"/>
    <x v="2"/>
    <s v="GBPR_MUNIWASTE_24"/>
    <x v="0"/>
    <x v="16"/>
    <n v="18.156787526881601"/>
    <n v="6627.2274473117704"/>
    <n v="23858.018810322399"/>
  </r>
  <r>
    <x v="0"/>
    <x v="0"/>
    <x v="0"/>
    <x v="9"/>
    <x v="18"/>
    <s v="SE2_OTHER"/>
    <x v="2"/>
    <s v="GBPR_MUNIWASTE_24"/>
    <x v="0"/>
    <x v="17"/>
    <n v="18.156787526881601"/>
    <n v="6627.2274473117704"/>
    <n v="23858.018810322399"/>
  </r>
  <r>
    <x v="0"/>
    <x v="0"/>
    <x v="0"/>
    <x v="9"/>
    <x v="18"/>
    <s v="SE2_OTHER"/>
    <x v="2"/>
    <s v="GBPR_MUNIWASTE_24"/>
    <x v="0"/>
    <x v="19"/>
    <n v="18.156787526881601"/>
    <n v="6627.2274473117704"/>
    <n v="23858.018810322399"/>
  </r>
  <r>
    <x v="0"/>
    <x v="0"/>
    <x v="0"/>
    <x v="9"/>
    <x v="18"/>
    <s v="SE2_OTHER"/>
    <x v="2"/>
    <s v="GBPR_MUNIWASTE_24"/>
    <x v="0"/>
    <x v="20"/>
    <n v="18.156787526881601"/>
    <n v="6627.2274473117704"/>
    <n v="23858.018810322399"/>
  </r>
  <r>
    <x v="0"/>
    <x v="0"/>
    <x v="0"/>
    <x v="9"/>
    <x v="18"/>
    <s v="SE2_OTHER"/>
    <x v="2"/>
    <s v="GBPR_MUNIWASTE_24"/>
    <x v="0"/>
    <x v="21"/>
    <n v="18.156787526881601"/>
    <n v="6627.2274473117704"/>
    <n v="23858.018810322399"/>
  </r>
  <r>
    <x v="0"/>
    <x v="0"/>
    <x v="0"/>
    <x v="9"/>
    <x v="18"/>
    <s v="SE2_OTHER"/>
    <x v="2"/>
    <s v="GBPR_MUNIWASTE_24"/>
    <x v="0"/>
    <x v="22"/>
    <n v="18.156787526881601"/>
    <n v="6627.2274473117704"/>
    <n v="23858.018810322399"/>
  </r>
  <r>
    <x v="0"/>
    <x v="0"/>
    <x v="0"/>
    <x v="9"/>
    <x v="18"/>
    <s v="SE2_OTHER"/>
    <x v="2"/>
    <s v="GBPR_MUNIWASTE_24"/>
    <x v="0"/>
    <x v="23"/>
    <n v="18.156787526881601"/>
    <n v="6627.2274473117704"/>
    <n v="23858.018810322399"/>
  </r>
  <r>
    <x v="0"/>
    <x v="0"/>
    <x v="0"/>
    <x v="9"/>
    <x v="18"/>
    <s v="SE2_OTHER"/>
    <x v="1"/>
    <s v="GHOB_WASTEHEAT"/>
    <x v="0"/>
    <x v="0"/>
    <n v="16.031295787545702"/>
    <n v="5851.4229624541904"/>
    <n v="21065.1226648351"/>
  </r>
  <r>
    <x v="0"/>
    <x v="0"/>
    <x v="0"/>
    <x v="9"/>
    <x v="18"/>
    <s v="SE2_OTHER"/>
    <x v="1"/>
    <s v="GHOB_WASTEHEAT"/>
    <x v="0"/>
    <x v="1"/>
    <n v="16.031295787545702"/>
    <n v="5851.4229624541904"/>
    <n v="21065.1226648351"/>
  </r>
  <r>
    <x v="0"/>
    <x v="0"/>
    <x v="0"/>
    <x v="9"/>
    <x v="18"/>
    <s v="SE2_OTHER"/>
    <x v="1"/>
    <s v="GHOB_WASTEHEAT"/>
    <x v="0"/>
    <x v="2"/>
    <n v="16.031295787545702"/>
    <n v="5851.4229624541904"/>
    <n v="21065.1226648351"/>
  </r>
  <r>
    <x v="0"/>
    <x v="0"/>
    <x v="0"/>
    <x v="9"/>
    <x v="18"/>
    <s v="SE2_OTHER"/>
    <x v="1"/>
    <s v="GHOB_WASTEHEAT"/>
    <x v="0"/>
    <x v="3"/>
    <n v="16.031295787545702"/>
    <n v="5851.4229624541904"/>
    <n v="21065.1226648351"/>
  </r>
  <r>
    <x v="0"/>
    <x v="0"/>
    <x v="0"/>
    <x v="9"/>
    <x v="18"/>
    <s v="SE2_OTHER"/>
    <x v="1"/>
    <s v="GHOB_WASTEHEAT"/>
    <x v="0"/>
    <x v="18"/>
    <n v="16.031295787545702"/>
    <n v="5851.4229624541904"/>
    <n v="21065.1226648351"/>
  </r>
  <r>
    <x v="0"/>
    <x v="0"/>
    <x v="0"/>
    <x v="9"/>
    <x v="18"/>
    <s v="SE2_OTHER"/>
    <x v="1"/>
    <s v="GHOB_WASTEHEAT"/>
    <x v="0"/>
    <x v="4"/>
    <n v="16.031295787545702"/>
    <n v="5851.4229624541904"/>
    <n v="21065.1226648351"/>
  </r>
  <r>
    <x v="0"/>
    <x v="0"/>
    <x v="0"/>
    <x v="9"/>
    <x v="18"/>
    <s v="SE2_OTHER"/>
    <x v="1"/>
    <s v="GHOB_WASTEHEAT"/>
    <x v="0"/>
    <x v="5"/>
    <n v="16.031295787545702"/>
    <n v="5851.4229624541904"/>
    <n v="21065.1226648351"/>
  </r>
  <r>
    <x v="0"/>
    <x v="0"/>
    <x v="0"/>
    <x v="9"/>
    <x v="18"/>
    <s v="SE2_OTHER"/>
    <x v="1"/>
    <s v="GHOB_WASTEHEAT"/>
    <x v="0"/>
    <x v="6"/>
    <n v="16.031295787545702"/>
    <n v="5851.4229624541904"/>
    <n v="21065.1226648351"/>
  </r>
  <r>
    <x v="0"/>
    <x v="0"/>
    <x v="0"/>
    <x v="9"/>
    <x v="18"/>
    <s v="SE2_OTHER"/>
    <x v="1"/>
    <s v="GHOB_WASTEHEAT"/>
    <x v="0"/>
    <x v="7"/>
    <n v="16.031295787545702"/>
    <n v="5851.4229624541904"/>
    <n v="21065.1226648351"/>
  </r>
  <r>
    <x v="0"/>
    <x v="0"/>
    <x v="0"/>
    <x v="9"/>
    <x v="18"/>
    <s v="SE2_OTHER"/>
    <x v="1"/>
    <s v="GHOB_WASTEHEAT"/>
    <x v="0"/>
    <x v="8"/>
    <n v="16.031295787545702"/>
    <n v="5851.4229624541904"/>
    <n v="21065.1226648351"/>
  </r>
  <r>
    <x v="0"/>
    <x v="0"/>
    <x v="0"/>
    <x v="9"/>
    <x v="18"/>
    <s v="SE2_OTHER"/>
    <x v="1"/>
    <s v="GHOB_WASTEHEAT"/>
    <x v="0"/>
    <x v="9"/>
    <n v="16.031295787545702"/>
    <n v="5851.4229624541904"/>
    <n v="21065.1226648351"/>
  </r>
  <r>
    <x v="0"/>
    <x v="0"/>
    <x v="0"/>
    <x v="9"/>
    <x v="18"/>
    <s v="SE2_OTHER"/>
    <x v="1"/>
    <s v="GHOB_WASTEHEAT"/>
    <x v="0"/>
    <x v="10"/>
    <n v="16.031295787545702"/>
    <n v="5851.4229624541904"/>
    <n v="21065.1226648351"/>
  </r>
  <r>
    <x v="0"/>
    <x v="0"/>
    <x v="0"/>
    <x v="9"/>
    <x v="18"/>
    <s v="SE2_OTHER"/>
    <x v="1"/>
    <s v="GHOB_WASTEHEAT"/>
    <x v="0"/>
    <x v="11"/>
    <n v="16.031295787545702"/>
    <n v="5851.4229624541904"/>
    <n v="21065.1226648351"/>
  </r>
  <r>
    <x v="0"/>
    <x v="0"/>
    <x v="0"/>
    <x v="9"/>
    <x v="18"/>
    <s v="SE2_OTHER"/>
    <x v="1"/>
    <s v="GHOB_WASTEHEAT"/>
    <x v="0"/>
    <x v="12"/>
    <n v="16.031295787545702"/>
    <n v="5851.4229624541904"/>
    <n v="21065.1226648351"/>
  </r>
  <r>
    <x v="0"/>
    <x v="0"/>
    <x v="0"/>
    <x v="9"/>
    <x v="18"/>
    <s v="SE2_OTHER"/>
    <x v="1"/>
    <s v="GHOB_WASTEHEAT"/>
    <x v="0"/>
    <x v="13"/>
    <n v="16.031295787545702"/>
    <n v="5851.4229624541904"/>
    <n v="21065.1226648351"/>
  </r>
  <r>
    <x v="0"/>
    <x v="0"/>
    <x v="0"/>
    <x v="9"/>
    <x v="18"/>
    <s v="SE2_OTHER"/>
    <x v="1"/>
    <s v="GHOB_WASTEHEAT"/>
    <x v="0"/>
    <x v="14"/>
    <n v="16.031295787545702"/>
    <n v="5851.4229624541904"/>
    <n v="21065.1226648351"/>
  </r>
  <r>
    <x v="0"/>
    <x v="0"/>
    <x v="0"/>
    <x v="9"/>
    <x v="18"/>
    <s v="SE2_OTHER"/>
    <x v="1"/>
    <s v="GHOB_WASTEHEAT"/>
    <x v="0"/>
    <x v="15"/>
    <n v="16.031295787545702"/>
    <n v="5851.4229624541904"/>
    <n v="21065.1226648351"/>
  </r>
  <r>
    <x v="0"/>
    <x v="0"/>
    <x v="0"/>
    <x v="9"/>
    <x v="18"/>
    <s v="SE2_OTHER"/>
    <x v="1"/>
    <s v="GHOB_WASTEHEAT"/>
    <x v="0"/>
    <x v="16"/>
    <n v="16.031295787545702"/>
    <n v="5851.4229624541904"/>
    <n v="21065.1226648351"/>
  </r>
  <r>
    <x v="0"/>
    <x v="0"/>
    <x v="0"/>
    <x v="9"/>
    <x v="18"/>
    <s v="SE2_OTHER"/>
    <x v="1"/>
    <s v="GHOB_WASTEHEAT"/>
    <x v="0"/>
    <x v="17"/>
    <n v="16.031295787545702"/>
    <n v="5851.4229624541904"/>
    <n v="21065.1226648351"/>
  </r>
  <r>
    <x v="0"/>
    <x v="0"/>
    <x v="0"/>
    <x v="9"/>
    <x v="18"/>
    <s v="SE2_OTHER"/>
    <x v="1"/>
    <s v="GHOB_WASTEHEAT"/>
    <x v="0"/>
    <x v="19"/>
    <n v="16.031295787545702"/>
    <n v="5851.4229624541904"/>
    <n v="21065.1226648351"/>
  </r>
  <r>
    <x v="0"/>
    <x v="0"/>
    <x v="0"/>
    <x v="9"/>
    <x v="18"/>
    <s v="SE2_OTHER"/>
    <x v="1"/>
    <s v="GHOB_WASTEHEAT"/>
    <x v="0"/>
    <x v="20"/>
    <n v="16.031295787545702"/>
    <n v="5851.4229624541904"/>
    <n v="21065.1226648351"/>
  </r>
  <r>
    <x v="0"/>
    <x v="0"/>
    <x v="0"/>
    <x v="9"/>
    <x v="18"/>
    <s v="SE2_OTHER"/>
    <x v="1"/>
    <s v="GHOB_WASTEHEAT"/>
    <x v="0"/>
    <x v="21"/>
    <n v="16.031295787545702"/>
    <n v="5851.4229624541904"/>
    <n v="21065.1226648351"/>
  </r>
  <r>
    <x v="0"/>
    <x v="0"/>
    <x v="0"/>
    <x v="9"/>
    <x v="18"/>
    <s v="SE2_OTHER"/>
    <x v="1"/>
    <s v="GHOB_WASTEHEAT"/>
    <x v="0"/>
    <x v="22"/>
    <n v="16.031295787545702"/>
    <n v="5851.4229624541904"/>
    <n v="21065.1226648351"/>
  </r>
  <r>
    <x v="0"/>
    <x v="0"/>
    <x v="0"/>
    <x v="9"/>
    <x v="18"/>
    <s v="SE2_OTHER"/>
    <x v="1"/>
    <s v="GHOB_WASTEHEAT"/>
    <x v="0"/>
    <x v="23"/>
    <n v="16.031295787545702"/>
    <n v="5851.4229624541904"/>
    <n v="21065.1226648351"/>
  </r>
  <r>
    <x v="0"/>
    <x v="0"/>
    <x v="0"/>
    <x v="9"/>
    <x v="18"/>
    <s v="SE2_OTHER"/>
    <x v="9"/>
    <s v="GBPR_WOODWASTE_36"/>
    <x v="0"/>
    <x v="0"/>
    <n v="187.07263396517001"/>
    <n v="68281.511397287002"/>
    <n v="245813.44103023299"/>
  </r>
  <r>
    <x v="0"/>
    <x v="0"/>
    <x v="0"/>
    <x v="9"/>
    <x v="18"/>
    <s v="SE2_OTHER"/>
    <x v="9"/>
    <s v="GBPR_WOODWASTE_36"/>
    <x v="0"/>
    <x v="1"/>
    <n v="187.07263396517001"/>
    <n v="68281.511397287002"/>
    <n v="245813.44103023299"/>
  </r>
  <r>
    <x v="0"/>
    <x v="0"/>
    <x v="0"/>
    <x v="9"/>
    <x v="18"/>
    <s v="SE2_OTHER"/>
    <x v="9"/>
    <s v="GBPR_WOODWASTE_36"/>
    <x v="0"/>
    <x v="2"/>
    <n v="187.07263396517001"/>
    <n v="68281.511397287002"/>
    <n v="245813.44103023299"/>
  </r>
  <r>
    <x v="0"/>
    <x v="0"/>
    <x v="0"/>
    <x v="9"/>
    <x v="18"/>
    <s v="SE2_OTHER"/>
    <x v="9"/>
    <s v="GBPR_WOODWASTE_36"/>
    <x v="0"/>
    <x v="3"/>
    <n v="187.07263396517001"/>
    <n v="68281.511397287002"/>
    <n v="245813.44103023299"/>
  </r>
  <r>
    <x v="0"/>
    <x v="0"/>
    <x v="0"/>
    <x v="9"/>
    <x v="18"/>
    <s v="SE2_OTHER"/>
    <x v="9"/>
    <s v="GBPR_WOODWASTE_36"/>
    <x v="0"/>
    <x v="18"/>
    <n v="187.07263396517001"/>
    <n v="68281.511397287002"/>
    <n v="245813.44103023299"/>
  </r>
  <r>
    <x v="0"/>
    <x v="0"/>
    <x v="0"/>
    <x v="9"/>
    <x v="18"/>
    <s v="SE2_OTHER"/>
    <x v="9"/>
    <s v="GBPR_WOODWASTE_36"/>
    <x v="0"/>
    <x v="4"/>
    <n v="187.07263396517001"/>
    <n v="68281.511397287002"/>
    <n v="245813.44103023299"/>
  </r>
  <r>
    <x v="0"/>
    <x v="0"/>
    <x v="0"/>
    <x v="9"/>
    <x v="18"/>
    <s v="SE2_OTHER"/>
    <x v="9"/>
    <s v="GBPR_WOODWASTE_36"/>
    <x v="0"/>
    <x v="5"/>
    <n v="187.07263396517001"/>
    <n v="68281.511397287002"/>
    <n v="245813.44103023299"/>
  </r>
  <r>
    <x v="0"/>
    <x v="0"/>
    <x v="0"/>
    <x v="9"/>
    <x v="18"/>
    <s v="SE2_OTHER"/>
    <x v="9"/>
    <s v="GBPR_WOODWASTE_36"/>
    <x v="0"/>
    <x v="6"/>
    <n v="187.07263396517001"/>
    <n v="68281.511397287002"/>
    <n v="245813.44103023299"/>
  </r>
  <r>
    <x v="0"/>
    <x v="0"/>
    <x v="0"/>
    <x v="9"/>
    <x v="18"/>
    <s v="SE2_OTHER"/>
    <x v="9"/>
    <s v="GBPR_WOODWASTE_36"/>
    <x v="0"/>
    <x v="7"/>
    <n v="187.07263396517001"/>
    <n v="68281.511397287002"/>
    <n v="245813.44103023299"/>
  </r>
  <r>
    <x v="0"/>
    <x v="0"/>
    <x v="0"/>
    <x v="9"/>
    <x v="18"/>
    <s v="SE2_OTHER"/>
    <x v="9"/>
    <s v="GBPR_WOODWASTE_36"/>
    <x v="0"/>
    <x v="8"/>
    <n v="187.07263396517001"/>
    <n v="68281.511397287002"/>
    <n v="245813.44103023299"/>
  </r>
  <r>
    <x v="0"/>
    <x v="0"/>
    <x v="0"/>
    <x v="9"/>
    <x v="18"/>
    <s v="SE2_OTHER"/>
    <x v="9"/>
    <s v="GBPR_WOODWASTE_36"/>
    <x v="0"/>
    <x v="9"/>
    <n v="187.07263396517001"/>
    <n v="68281.511397287002"/>
    <n v="245813.44103023299"/>
  </r>
  <r>
    <x v="0"/>
    <x v="0"/>
    <x v="0"/>
    <x v="9"/>
    <x v="18"/>
    <s v="SE2_OTHER"/>
    <x v="9"/>
    <s v="GBPR_WOODWASTE_36"/>
    <x v="0"/>
    <x v="10"/>
    <n v="187.07263396517001"/>
    <n v="68281.511397287002"/>
    <n v="245813.44103023299"/>
  </r>
  <r>
    <x v="0"/>
    <x v="0"/>
    <x v="0"/>
    <x v="9"/>
    <x v="18"/>
    <s v="SE2_OTHER"/>
    <x v="9"/>
    <s v="GBPR_WOODWASTE_36"/>
    <x v="0"/>
    <x v="11"/>
    <n v="187.07263396517001"/>
    <n v="68281.511397287002"/>
    <n v="245813.44103023299"/>
  </r>
  <r>
    <x v="0"/>
    <x v="0"/>
    <x v="0"/>
    <x v="9"/>
    <x v="18"/>
    <s v="SE2_OTHER"/>
    <x v="9"/>
    <s v="GBPR_WOODWASTE_36"/>
    <x v="0"/>
    <x v="12"/>
    <n v="187.07263396517001"/>
    <n v="68281.511397287002"/>
    <n v="245813.44103023299"/>
  </r>
  <r>
    <x v="0"/>
    <x v="0"/>
    <x v="0"/>
    <x v="9"/>
    <x v="18"/>
    <s v="SE2_OTHER"/>
    <x v="9"/>
    <s v="GBPR_WOODWASTE_36"/>
    <x v="0"/>
    <x v="13"/>
    <n v="187.07263396517001"/>
    <n v="68281.511397287002"/>
    <n v="245813.44103023299"/>
  </r>
  <r>
    <x v="0"/>
    <x v="0"/>
    <x v="0"/>
    <x v="9"/>
    <x v="18"/>
    <s v="SE2_OTHER"/>
    <x v="9"/>
    <s v="GBPR_WOODWASTE_36"/>
    <x v="0"/>
    <x v="14"/>
    <n v="187.07263396517001"/>
    <n v="68281.511397287002"/>
    <n v="245813.44103023299"/>
  </r>
  <r>
    <x v="0"/>
    <x v="0"/>
    <x v="0"/>
    <x v="9"/>
    <x v="18"/>
    <s v="SE2_OTHER"/>
    <x v="9"/>
    <s v="GBPR_WOODWASTE_36"/>
    <x v="0"/>
    <x v="15"/>
    <n v="187.07263396517001"/>
    <n v="68281.511397287002"/>
    <n v="245813.44103023299"/>
  </r>
  <r>
    <x v="0"/>
    <x v="0"/>
    <x v="0"/>
    <x v="9"/>
    <x v="18"/>
    <s v="SE2_OTHER"/>
    <x v="9"/>
    <s v="GBPR_WOODWASTE_36"/>
    <x v="0"/>
    <x v="16"/>
    <n v="187.07263396517001"/>
    <n v="68281.511397287002"/>
    <n v="245813.44103023299"/>
  </r>
  <r>
    <x v="0"/>
    <x v="0"/>
    <x v="0"/>
    <x v="9"/>
    <x v="18"/>
    <s v="SE2_OTHER"/>
    <x v="9"/>
    <s v="GBPR_WOODWASTE_36"/>
    <x v="0"/>
    <x v="17"/>
    <n v="187.07263396517001"/>
    <n v="68281.511397287002"/>
    <n v="245813.44103023299"/>
  </r>
  <r>
    <x v="0"/>
    <x v="0"/>
    <x v="0"/>
    <x v="9"/>
    <x v="18"/>
    <s v="SE2_OTHER"/>
    <x v="9"/>
    <s v="GBPR_WOODWASTE_36"/>
    <x v="0"/>
    <x v="19"/>
    <n v="187.07263396517001"/>
    <n v="68281.511397287002"/>
    <n v="245813.44103023299"/>
  </r>
  <r>
    <x v="0"/>
    <x v="0"/>
    <x v="0"/>
    <x v="9"/>
    <x v="18"/>
    <s v="SE2_OTHER"/>
    <x v="9"/>
    <s v="GBPR_WOODWASTE_36"/>
    <x v="0"/>
    <x v="20"/>
    <n v="187.07263396517001"/>
    <n v="68281.511397287002"/>
    <n v="245813.44103023299"/>
  </r>
  <r>
    <x v="0"/>
    <x v="0"/>
    <x v="0"/>
    <x v="9"/>
    <x v="18"/>
    <s v="SE2_OTHER"/>
    <x v="9"/>
    <s v="GBPR_WOODWASTE_36"/>
    <x v="0"/>
    <x v="21"/>
    <n v="187.07263396517001"/>
    <n v="68281.511397287002"/>
    <n v="245813.44103023299"/>
  </r>
  <r>
    <x v="0"/>
    <x v="0"/>
    <x v="0"/>
    <x v="9"/>
    <x v="18"/>
    <s v="SE2_OTHER"/>
    <x v="9"/>
    <s v="GBPR_WOODWASTE_36"/>
    <x v="0"/>
    <x v="22"/>
    <n v="187.07263396517001"/>
    <n v="68281.511397287002"/>
    <n v="245813.44103023299"/>
  </r>
  <r>
    <x v="0"/>
    <x v="0"/>
    <x v="0"/>
    <x v="9"/>
    <x v="18"/>
    <s v="SE2_OTHER"/>
    <x v="9"/>
    <s v="GBPR_WOODWASTE_36"/>
    <x v="0"/>
    <x v="23"/>
    <n v="187.07263396517001"/>
    <n v="68281.511397287002"/>
    <n v="245813.44103023299"/>
  </r>
  <r>
    <x v="0"/>
    <x v="0"/>
    <x v="0"/>
    <x v="9"/>
    <x v="18"/>
    <s v="SE2_OTHER"/>
    <x v="9"/>
    <s v="GHOB_WOODWASTE"/>
    <x v="0"/>
    <x v="0"/>
    <n v="15.693015512132501"/>
    <n v="5727.9506619283502"/>
    <n v="20620.6223829421"/>
  </r>
  <r>
    <x v="0"/>
    <x v="0"/>
    <x v="0"/>
    <x v="9"/>
    <x v="18"/>
    <s v="SE2_OTHER"/>
    <x v="9"/>
    <s v="GHOB_WOODWASTE"/>
    <x v="0"/>
    <x v="1"/>
    <n v="13.9567785806058"/>
    <n v="5094.2241819211204"/>
    <n v="18339.207054916002"/>
  </r>
  <r>
    <x v="0"/>
    <x v="0"/>
    <x v="0"/>
    <x v="9"/>
    <x v="18"/>
    <s v="SE2_OTHER"/>
    <x v="9"/>
    <s v="GHOB_WOODWASTE"/>
    <x v="0"/>
    <x v="2"/>
    <n v="16.475640730271799"/>
    <n v="6013.6088665492098"/>
    <n v="21648.991919577202"/>
  </r>
  <r>
    <x v="0"/>
    <x v="0"/>
    <x v="0"/>
    <x v="9"/>
    <x v="18"/>
    <s v="SE2_OTHER"/>
    <x v="9"/>
    <s v="GHOB_WOODWASTE"/>
    <x v="0"/>
    <x v="3"/>
    <n v="22.244811082014401"/>
    <n v="8119.3560449352599"/>
    <n v="29229.6817617669"/>
  </r>
  <r>
    <x v="0"/>
    <x v="0"/>
    <x v="0"/>
    <x v="9"/>
    <x v="18"/>
    <s v="SE2_OTHER"/>
    <x v="9"/>
    <s v="GHOB_WOODWASTE"/>
    <x v="0"/>
    <x v="18"/>
    <n v="29.539374151641201"/>
    <n v="10781.871565349"/>
    <n v="38814.737635256497"/>
  </r>
  <r>
    <x v="0"/>
    <x v="0"/>
    <x v="0"/>
    <x v="9"/>
    <x v="18"/>
    <s v="SE2_OTHER"/>
    <x v="9"/>
    <s v="GHOB_WOODWASTE"/>
    <x v="0"/>
    <x v="4"/>
    <n v="43.166133757590501"/>
    <n v="15755.638821520501"/>
    <n v="56720.299757473898"/>
  </r>
  <r>
    <x v="0"/>
    <x v="0"/>
    <x v="0"/>
    <x v="9"/>
    <x v="18"/>
    <s v="SE2_OTHER"/>
    <x v="9"/>
    <s v="GHOB_WOODWASTE"/>
    <x v="0"/>
    <x v="5"/>
    <n v="79.0417999362042"/>
    <n v="28850.2569767145"/>
    <n v="103860.925116172"/>
  </r>
  <r>
    <x v="0"/>
    <x v="0"/>
    <x v="0"/>
    <x v="9"/>
    <x v="18"/>
    <s v="SE2_OTHER"/>
    <x v="9"/>
    <s v="GHOB_WOODWASTE"/>
    <x v="0"/>
    <x v="6"/>
    <n v="97.632663725589097"/>
    <n v="35635.922259840001"/>
    <n v="128289.320135424"/>
  </r>
  <r>
    <x v="0"/>
    <x v="0"/>
    <x v="0"/>
    <x v="9"/>
    <x v="18"/>
    <s v="SE2_OTHER"/>
    <x v="9"/>
    <s v="GHOB_WOODWASTE"/>
    <x v="0"/>
    <x v="7"/>
    <n v="98.832716049353195"/>
    <n v="36073.941358013901"/>
    <n v="129866.18888885"/>
  </r>
  <r>
    <x v="0"/>
    <x v="0"/>
    <x v="0"/>
    <x v="9"/>
    <x v="18"/>
    <s v="SE2_OTHER"/>
    <x v="9"/>
    <s v="GHOB_WOODWASTE"/>
    <x v="0"/>
    <x v="8"/>
    <n v="102.500542380846"/>
    <n v="37412.697969008899"/>
    <n v="134685.71268843199"/>
  </r>
  <r>
    <x v="0"/>
    <x v="0"/>
    <x v="0"/>
    <x v="9"/>
    <x v="18"/>
    <s v="SE2_OTHER"/>
    <x v="9"/>
    <s v="GHOB_WOODWASTE"/>
    <x v="0"/>
    <x v="9"/>
    <n v="98.526324252044304"/>
    <n v="35962.108351996198"/>
    <n v="129463.590067186"/>
  </r>
  <r>
    <x v="0"/>
    <x v="0"/>
    <x v="0"/>
    <x v="9"/>
    <x v="18"/>
    <s v="SE2_OTHER"/>
    <x v="9"/>
    <s v="GHOB_WOODWASTE"/>
    <x v="0"/>
    <x v="10"/>
    <n v="97.956920517612204"/>
    <n v="35754.275988928501"/>
    <n v="128715.39356014199"/>
  </r>
  <r>
    <x v="0"/>
    <x v="0"/>
    <x v="0"/>
    <x v="9"/>
    <x v="18"/>
    <s v="SE2_OTHER"/>
    <x v="9"/>
    <s v="GHOB_WOODWASTE"/>
    <x v="0"/>
    <x v="11"/>
    <n v="96.9964206522382"/>
    <n v="35403.693538066902"/>
    <n v="127453.296737041"/>
  </r>
  <r>
    <x v="0"/>
    <x v="0"/>
    <x v="0"/>
    <x v="9"/>
    <x v="18"/>
    <s v="SE2_OTHER"/>
    <x v="9"/>
    <s v="GHOB_WOODWASTE"/>
    <x v="0"/>
    <x v="12"/>
    <n v="96.068179478902493"/>
    <n v="35064.885509799402"/>
    <n v="126233.587835278"/>
  </r>
  <r>
    <x v="0"/>
    <x v="0"/>
    <x v="0"/>
    <x v="9"/>
    <x v="18"/>
    <s v="SE2_OTHER"/>
    <x v="9"/>
    <s v="GHOB_WOODWASTE"/>
    <x v="0"/>
    <x v="13"/>
    <n v="93.306042247126399"/>
    <n v="34056.705420201099"/>
    <n v="122604.139512724"/>
  </r>
  <r>
    <x v="0"/>
    <x v="0"/>
    <x v="0"/>
    <x v="9"/>
    <x v="18"/>
    <s v="SE2_OTHER"/>
    <x v="9"/>
    <s v="GHOB_WOODWASTE"/>
    <x v="0"/>
    <x v="14"/>
    <n v="92.8425874132583"/>
    <n v="33887.544405839297"/>
    <n v="121995.15986102101"/>
  </r>
  <r>
    <x v="0"/>
    <x v="0"/>
    <x v="0"/>
    <x v="9"/>
    <x v="18"/>
    <s v="SE2_OTHER"/>
    <x v="9"/>
    <s v="GHOB_WOODWASTE"/>
    <x v="0"/>
    <x v="15"/>
    <n v="80.525014114171697"/>
    <n v="29391.6301516727"/>
    <n v="105809.868546022"/>
  </r>
  <r>
    <x v="0"/>
    <x v="0"/>
    <x v="0"/>
    <x v="9"/>
    <x v="18"/>
    <s v="SE2_OTHER"/>
    <x v="9"/>
    <s v="GHOB_WOODWASTE"/>
    <x v="0"/>
    <x v="16"/>
    <n v="71.087534748665703"/>
    <n v="25946.950183263001"/>
    <n v="93409.020659746704"/>
  </r>
  <r>
    <x v="0"/>
    <x v="0"/>
    <x v="0"/>
    <x v="9"/>
    <x v="18"/>
    <s v="SE2_OTHER"/>
    <x v="9"/>
    <s v="GHOB_WOODWASTE"/>
    <x v="0"/>
    <x v="17"/>
    <n v="62.888463786920603"/>
    <n v="22954.289282226"/>
    <n v="82635.441416013695"/>
  </r>
  <r>
    <x v="0"/>
    <x v="0"/>
    <x v="0"/>
    <x v="9"/>
    <x v="18"/>
    <s v="SE2_OTHER"/>
    <x v="9"/>
    <s v="GHOB_WOODWASTE"/>
    <x v="0"/>
    <x v="19"/>
    <n v="55.288830945643603"/>
    <n v="20180.423295159901"/>
    <n v="72649.523862575705"/>
  </r>
  <r>
    <x v="0"/>
    <x v="0"/>
    <x v="0"/>
    <x v="9"/>
    <x v="18"/>
    <s v="SE2_OTHER"/>
    <x v="9"/>
    <s v="GHOB_WOODWASTE"/>
    <x v="0"/>
    <x v="20"/>
    <n v="47.129224159250903"/>
    <n v="17202.1668181266"/>
    <n v="61927.800545255697"/>
  </r>
  <r>
    <x v="0"/>
    <x v="0"/>
    <x v="0"/>
    <x v="9"/>
    <x v="18"/>
    <s v="SE2_OTHER"/>
    <x v="9"/>
    <s v="GHOB_WOODWASTE"/>
    <x v="0"/>
    <x v="21"/>
    <n v="41.328287282606603"/>
    <n v="15084.8248581514"/>
    <n v="54305.369489345001"/>
  </r>
  <r>
    <x v="0"/>
    <x v="0"/>
    <x v="0"/>
    <x v="9"/>
    <x v="18"/>
    <s v="SE2_OTHER"/>
    <x v="9"/>
    <s v="GHOB_WOODWASTE"/>
    <x v="0"/>
    <x v="22"/>
    <n v="31.936897678267499"/>
    <n v="11656.9676525676"/>
    <n v="41965.0835492435"/>
  </r>
  <r>
    <x v="0"/>
    <x v="0"/>
    <x v="0"/>
    <x v="9"/>
    <x v="18"/>
    <s v="SE2_OTHER"/>
    <x v="9"/>
    <s v="GHOB_WOODWASTE"/>
    <x v="0"/>
    <x v="23"/>
    <n v="24.5800868883153"/>
    <n v="8971.7317142350894"/>
    <n v="32298.234171246299"/>
  </r>
  <r>
    <x v="0"/>
    <x v="0"/>
    <x v="0"/>
    <x v="9"/>
    <x v="19"/>
    <s v="SE3A"/>
    <x v="15"/>
    <s v="GCND_NUCLEAR"/>
    <x v="0"/>
    <x v="0"/>
    <n v="20784.242750329999"/>
    <n v="7586248.6038704496"/>
    <n v="27310494.9739336"/>
  </r>
  <r>
    <x v="0"/>
    <x v="0"/>
    <x v="0"/>
    <x v="9"/>
    <x v="19"/>
    <s v="SE3A"/>
    <x v="15"/>
    <s v="GCND_NUCLEAR"/>
    <x v="0"/>
    <x v="1"/>
    <n v="20784.242750329999"/>
    <n v="7586248.6038704496"/>
    <n v="27310494.9739336"/>
  </r>
  <r>
    <x v="0"/>
    <x v="0"/>
    <x v="0"/>
    <x v="9"/>
    <x v="19"/>
    <s v="SE3A"/>
    <x v="15"/>
    <s v="GCND_NUCLEAR"/>
    <x v="0"/>
    <x v="2"/>
    <n v="20784.242750329999"/>
    <n v="7586248.6038704496"/>
    <n v="27310494.9739336"/>
  </r>
  <r>
    <x v="0"/>
    <x v="0"/>
    <x v="0"/>
    <x v="9"/>
    <x v="19"/>
    <s v="SE3A"/>
    <x v="15"/>
    <s v="GCND_NUCLEAR"/>
    <x v="0"/>
    <x v="3"/>
    <n v="20784.242750329999"/>
    <n v="7586248.6038704496"/>
    <n v="27310494.9739336"/>
  </r>
  <r>
    <x v="0"/>
    <x v="0"/>
    <x v="0"/>
    <x v="9"/>
    <x v="19"/>
    <s v="SE3A"/>
    <x v="15"/>
    <s v="GCND_NUCLEAR"/>
    <x v="0"/>
    <x v="18"/>
    <n v="20784.242750329999"/>
    <n v="7586248.6038704496"/>
    <n v="27310494.9739336"/>
  </r>
  <r>
    <x v="0"/>
    <x v="0"/>
    <x v="0"/>
    <x v="9"/>
    <x v="19"/>
    <s v="SE3A"/>
    <x v="15"/>
    <s v="GCND_NUCLEAR"/>
    <x v="0"/>
    <x v="4"/>
    <n v="20784.242750329999"/>
    <n v="7586248.6038704496"/>
    <n v="27310494.9739336"/>
  </r>
  <r>
    <x v="0"/>
    <x v="0"/>
    <x v="0"/>
    <x v="9"/>
    <x v="19"/>
    <s v="SE3A"/>
    <x v="15"/>
    <s v="GCND_NUCLEAR"/>
    <x v="0"/>
    <x v="5"/>
    <n v="20784.242750329999"/>
    <n v="7586248.6038704496"/>
    <n v="27310494.9739336"/>
  </r>
  <r>
    <x v="0"/>
    <x v="0"/>
    <x v="0"/>
    <x v="9"/>
    <x v="19"/>
    <s v="SE3A"/>
    <x v="15"/>
    <s v="GCND_NUCLEAR"/>
    <x v="0"/>
    <x v="6"/>
    <n v="20784.242750329999"/>
    <n v="7586248.6038704496"/>
    <n v="27310494.9739336"/>
  </r>
  <r>
    <x v="0"/>
    <x v="0"/>
    <x v="0"/>
    <x v="9"/>
    <x v="19"/>
    <s v="SE3A"/>
    <x v="15"/>
    <s v="GCND_NUCLEAR"/>
    <x v="0"/>
    <x v="7"/>
    <n v="20784.242750329999"/>
    <n v="7586248.6038704496"/>
    <n v="27310494.9739336"/>
  </r>
  <r>
    <x v="0"/>
    <x v="0"/>
    <x v="0"/>
    <x v="9"/>
    <x v="19"/>
    <s v="SE3A"/>
    <x v="15"/>
    <s v="GCND_NUCLEAR"/>
    <x v="0"/>
    <x v="8"/>
    <n v="20784.242750329999"/>
    <n v="7586248.6038704496"/>
    <n v="27310494.9739336"/>
  </r>
  <r>
    <x v="0"/>
    <x v="0"/>
    <x v="0"/>
    <x v="9"/>
    <x v="19"/>
    <s v="SE3A"/>
    <x v="15"/>
    <s v="GCND_NUCLEAR"/>
    <x v="0"/>
    <x v="9"/>
    <n v="20784.242750329999"/>
    <n v="7586248.6038704496"/>
    <n v="27310494.9739336"/>
  </r>
  <r>
    <x v="0"/>
    <x v="0"/>
    <x v="0"/>
    <x v="9"/>
    <x v="19"/>
    <s v="SE3A"/>
    <x v="15"/>
    <s v="GCND_NUCLEAR"/>
    <x v="0"/>
    <x v="10"/>
    <n v="20784.242750329999"/>
    <n v="7586248.6038704496"/>
    <n v="27310494.9739336"/>
  </r>
  <r>
    <x v="0"/>
    <x v="0"/>
    <x v="0"/>
    <x v="9"/>
    <x v="19"/>
    <s v="SE3A"/>
    <x v="15"/>
    <s v="GCND_NUCLEAR"/>
    <x v="0"/>
    <x v="11"/>
    <n v="20784.242750329999"/>
    <n v="7586248.6038704496"/>
    <n v="27310494.9739336"/>
  </r>
  <r>
    <x v="0"/>
    <x v="0"/>
    <x v="0"/>
    <x v="9"/>
    <x v="19"/>
    <s v="SE3A"/>
    <x v="15"/>
    <s v="GCND_NUCLEAR"/>
    <x v="0"/>
    <x v="12"/>
    <n v="20784.242750329999"/>
    <n v="7586248.6038704496"/>
    <n v="27310494.9739336"/>
  </r>
  <r>
    <x v="0"/>
    <x v="0"/>
    <x v="0"/>
    <x v="9"/>
    <x v="19"/>
    <s v="SE3A"/>
    <x v="15"/>
    <s v="GCND_NUCLEAR"/>
    <x v="0"/>
    <x v="13"/>
    <n v="20784.242750329999"/>
    <n v="7586248.6038704496"/>
    <n v="27310494.9739336"/>
  </r>
  <r>
    <x v="0"/>
    <x v="0"/>
    <x v="0"/>
    <x v="9"/>
    <x v="19"/>
    <s v="SE3A"/>
    <x v="15"/>
    <s v="GCND_NUCLEAR"/>
    <x v="0"/>
    <x v="14"/>
    <n v="20784.242750329999"/>
    <n v="7586248.6038704496"/>
    <n v="27310494.9739336"/>
  </r>
  <r>
    <x v="0"/>
    <x v="0"/>
    <x v="0"/>
    <x v="9"/>
    <x v="19"/>
    <s v="SE3A"/>
    <x v="15"/>
    <s v="GCND_NUCLEAR"/>
    <x v="0"/>
    <x v="15"/>
    <n v="20784.242750329999"/>
    <n v="7586248.6038704496"/>
    <n v="27310494.9739336"/>
  </r>
  <r>
    <x v="0"/>
    <x v="0"/>
    <x v="0"/>
    <x v="9"/>
    <x v="19"/>
    <s v="SE3A"/>
    <x v="15"/>
    <s v="GCND_NUCLEAR"/>
    <x v="0"/>
    <x v="16"/>
    <n v="20784.242750329999"/>
    <n v="7586248.6038704496"/>
    <n v="27310494.9739336"/>
  </r>
  <r>
    <x v="0"/>
    <x v="0"/>
    <x v="0"/>
    <x v="9"/>
    <x v="19"/>
    <s v="SE3A"/>
    <x v="15"/>
    <s v="GCND_NUCLEAR"/>
    <x v="0"/>
    <x v="17"/>
    <n v="20784.242750329999"/>
    <n v="7586248.6038704496"/>
    <n v="27310494.9739336"/>
  </r>
  <r>
    <x v="0"/>
    <x v="0"/>
    <x v="0"/>
    <x v="9"/>
    <x v="19"/>
    <s v="SE3A"/>
    <x v="15"/>
    <s v="GCND_NUCLEAR"/>
    <x v="0"/>
    <x v="19"/>
    <n v="20784.242750329999"/>
    <n v="7586248.6038704496"/>
    <n v="27310494.9739336"/>
  </r>
  <r>
    <x v="0"/>
    <x v="0"/>
    <x v="0"/>
    <x v="9"/>
    <x v="19"/>
    <s v="SE3A"/>
    <x v="15"/>
    <s v="GCND_NUCLEAR"/>
    <x v="0"/>
    <x v="20"/>
    <n v="20784.242750329999"/>
    <n v="7586248.6038704496"/>
    <n v="27310494.9739336"/>
  </r>
  <r>
    <x v="0"/>
    <x v="0"/>
    <x v="0"/>
    <x v="9"/>
    <x v="19"/>
    <s v="SE3A"/>
    <x v="15"/>
    <s v="GCND_NUCLEAR"/>
    <x v="0"/>
    <x v="21"/>
    <n v="20784.242750329999"/>
    <n v="7586248.6038704496"/>
    <n v="27310494.9739336"/>
  </r>
  <r>
    <x v="0"/>
    <x v="0"/>
    <x v="0"/>
    <x v="9"/>
    <x v="19"/>
    <s v="SE3A"/>
    <x v="15"/>
    <s v="GCND_NUCLEAR"/>
    <x v="0"/>
    <x v="22"/>
    <n v="20784.242750329999"/>
    <n v="7586248.6038704496"/>
    <n v="27310494.9739336"/>
  </r>
  <r>
    <x v="0"/>
    <x v="0"/>
    <x v="0"/>
    <x v="9"/>
    <x v="19"/>
    <s v="SE3A"/>
    <x v="15"/>
    <s v="GCND_NUCLEAR"/>
    <x v="0"/>
    <x v="23"/>
    <n v="20784.242750329999"/>
    <n v="7586248.6038704496"/>
    <n v="27310494.9739336"/>
  </r>
  <r>
    <x v="0"/>
    <x v="0"/>
    <x v="0"/>
    <x v="9"/>
    <x v="19"/>
    <s v="SE3A"/>
    <x v="7"/>
    <s v="GNR_RES_WTR_NOPMP_MC-01"/>
    <x v="0"/>
    <x v="0"/>
    <n v="131.6"/>
    <n v="48034"/>
    <n v="172922.4"/>
  </r>
  <r>
    <x v="0"/>
    <x v="0"/>
    <x v="0"/>
    <x v="9"/>
    <x v="19"/>
    <s v="SE3A"/>
    <x v="7"/>
    <s v="GNR_RES_WTR_NOPMP_MC-01"/>
    <x v="0"/>
    <x v="1"/>
    <n v="131.6"/>
    <n v="48034"/>
    <n v="172922.4"/>
  </r>
  <r>
    <x v="0"/>
    <x v="0"/>
    <x v="0"/>
    <x v="9"/>
    <x v="19"/>
    <s v="SE3A"/>
    <x v="7"/>
    <s v="GNR_RES_WTR_NOPMP_MC-01"/>
    <x v="0"/>
    <x v="2"/>
    <n v="131.6"/>
    <n v="48034"/>
    <n v="172922.4"/>
  </r>
  <r>
    <x v="0"/>
    <x v="0"/>
    <x v="0"/>
    <x v="9"/>
    <x v="19"/>
    <s v="SE3A"/>
    <x v="7"/>
    <s v="GNR_RES_WTR_NOPMP_MC-01"/>
    <x v="0"/>
    <x v="3"/>
    <n v="131.6"/>
    <n v="48034"/>
    <n v="172922.4"/>
  </r>
  <r>
    <x v="0"/>
    <x v="0"/>
    <x v="0"/>
    <x v="9"/>
    <x v="19"/>
    <s v="SE3A"/>
    <x v="7"/>
    <s v="GNR_RES_WTR_NOPMP_MC-01"/>
    <x v="0"/>
    <x v="18"/>
    <n v="131.6"/>
    <n v="48034"/>
    <n v="172922.4"/>
  </r>
  <r>
    <x v="0"/>
    <x v="0"/>
    <x v="0"/>
    <x v="9"/>
    <x v="19"/>
    <s v="SE3A"/>
    <x v="7"/>
    <s v="GNR_RES_WTR_NOPMP_MC-01"/>
    <x v="0"/>
    <x v="4"/>
    <n v="131.6"/>
    <n v="48034"/>
    <n v="172922.4"/>
  </r>
  <r>
    <x v="0"/>
    <x v="0"/>
    <x v="0"/>
    <x v="9"/>
    <x v="19"/>
    <s v="SE3A"/>
    <x v="7"/>
    <s v="GNR_RES_WTR_NOPMP_MC-01"/>
    <x v="0"/>
    <x v="5"/>
    <n v="131.6"/>
    <n v="48034"/>
    <n v="172922.4"/>
  </r>
  <r>
    <x v="0"/>
    <x v="0"/>
    <x v="0"/>
    <x v="9"/>
    <x v="19"/>
    <s v="SE3A"/>
    <x v="7"/>
    <s v="GNR_RES_WTR_NOPMP_MC-01"/>
    <x v="0"/>
    <x v="6"/>
    <n v="131.6"/>
    <n v="48034"/>
    <n v="172922.4"/>
  </r>
  <r>
    <x v="0"/>
    <x v="0"/>
    <x v="0"/>
    <x v="9"/>
    <x v="19"/>
    <s v="SE3A"/>
    <x v="7"/>
    <s v="GNR_RES_WTR_NOPMP_MC-01"/>
    <x v="0"/>
    <x v="7"/>
    <n v="131.6"/>
    <n v="48034"/>
    <n v="172922.4"/>
  </r>
  <r>
    <x v="0"/>
    <x v="0"/>
    <x v="0"/>
    <x v="9"/>
    <x v="19"/>
    <s v="SE3A"/>
    <x v="7"/>
    <s v="GNR_RES_WTR_NOPMP_MC-01"/>
    <x v="0"/>
    <x v="8"/>
    <n v="131.6"/>
    <n v="48034"/>
    <n v="172922.4"/>
  </r>
  <r>
    <x v="0"/>
    <x v="0"/>
    <x v="0"/>
    <x v="9"/>
    <x v="19"/>
    <s v="SE3A"/>
    <x v="7"/>
    <s v="GNR_RES_WTR_NOPMP_MC-01"/>
    <x v="0"/>
    <x v="9"/>
    <n v="131.6"/>
    <n v="48034"/>
    <n v="172922.4"/>
  </r>
  <r>
    <x v="0"/>
    <x v="0"/>
    <x v="0"/>
    <x v="9"/>
    <x v="19"/>
    <s v="SE3A"/>
    <x v="7"/>
    <s v="GNR_RES_WTR_NOPMP_MC-01"/>
    <x v="0"/>
    <x v="10"/>
    <n v="131.6"/>
    <n v="48034"/>
    <n v="172922.4"/>
  </r>
  <r>
    <x v="0"/>
    <x v="0"/>
    <x v="0"/>
    <x v="9"/>
    <x v="19"/>
    <s v="SE3A"/>
    <x v="7"/>
    <s v="GNR_RES_WTR_NOPMP_MC-01"/>
    <x v="0"/>
    <x v="11"/>
    <n v="131.6"/>
    <n v="48034"/>
    <n v="172922.4"/>
  </r>
  <r>
    <x v="0"/>
    <x v="0"/>
    <x v="0"/>
    <x v="9"/>
    <x v="19"/>
    <s v="SE3A"/>
    <x v="7"/>
    <s v="GNR_RES_WTR_NOPMP_MC-01"/>
    <x v="0"/>
    <x v="12"/>
    <n v="131.6"/>
    <n v="48034"/>
    <n v="172922.4"/>
  </r>
  <r>
    <x v="0"/>
    <x v="0"/>
    <x v="0"/>
    <x v="9"/>
    <x v="19"/>
    <s v="SE3A"/>
    <x v="7"/>
    <s v="GNR_RES_WTR_NOPMP_MC-01"/>
    <x v="0"/>
    <x v="13"/>
    <n v="131.6"/>
    <n v="48034"/>
    <n v="172922.4"/>
  </r>
  <r>
    <x v="0"/>
    <x v="0"/>
    <x v="0"/>
    <x v="9"/>
    <x v="19"/>
    <s v="SE3A"/>
    <x v="7"/>
    <s v="GNR_RES_WTR_NOPMP_MC-01"/>
    <x v="0"/>
    <x v="14"/>
    <n v="131.6"/>
    <n v="48034"/>
    <n v="172922.4"/>
  </r>
  <r>
    <x v="0"/>
    <x v="0"/>
    <x v="0"/>
    <x v="9"/>
    <x v="19"/>
    <s v="SE3A"/>
    <x v="7"/>
    <s v="GNR_RES_WTR_NOPMP_MC-01"/>
    <x v="0"/>
    <x v="15"/>
    <n v="131.6"/>
    <n v="48034"/>
    <n v="172922.4"/>
  </r>
  <r>
    <x v="0"/>
    <x v="0"/>
    <x v="0"/>
    <x v="9"/>
    <x v="19"/>
    <s v="SE3A"/>
    <x v="7"/>
    <s v="GNR_RES_WTR_NOPMP_MC-01"/>
    <x v="0"/>
    <x v="16"/>
    <n v="131.6"/>
    <n v="48034"/>
    <n v="172922.4"/>
  </r>
  <r>
    <x v="0"/>
    <x v="0"/>
    <x v="0"/>
    <x v="9"/>
    <x v="19"/>
    <s v="SE3A"/>
    <x v="7"/>
    <s v="GNR_RES_WTR_NOPMP_MC-01"/>
    <x v="0"/>
    <x v="17"/>
    <n v="131.6"/>
    <n v="48034"/>
    <n v="172922.4"/>
  </r>
  <r>
    <x v="0"/>
    <x v="0"/>
    <x v="0"/>
    <x v="9"/>
    <x v="19"/>
    <s v="SE3A"/>
    <x v="7"/>
    <s v="GNR_RES_WTR_NOPMP_MC-01"/>
    <x v="0"/>
    <x v="19"/>
    <n v="131.6"/>
    <n v="48034"/>
    <n v="172922.4"/>
  </r>
  <r>
    <x v="0"/>
    <x v="0"/>
    <x v="0"/>
    <x v="9"/>
    <x v="19"/>
    <s v="SE3A"/>
    <x v="7"/>
    <s v="GNR_RES_WTR_NOPMP_MC-01"/>
    <x v="0"/>
    <x v="20"/>
    <n v="131.6"/>
    <n v="48034"/>
    <n v="172922.4"/>
  </r>
  <r>
    <x v="0"/>
    <x v="0"/>
    <x v="0"/>
    <x v="9"/>
    <x v="19"/>
    <s v="SE3A"/>
    <x v="7"/>
    <s v="GNR_RES_WTR_NOPMP_MC-01"/>
    <x v="0"/>
    <x v="21"/>
    <n v="131.6"/>
    <n v="48034"/>
    <n v="172922.4"/>
  </r>
  <r>
    <x v="0"/>
    <x v="0"/>
    <x v="0"/>
    <x v="9"/>
    <x v="19"/>
    <s v="SE3A"/>
    <x v="7"/>
    <s v="GNR_RES_WTR_NOPMP_MC-01"/>
    <x v="0"/>
    <x v="22"/>
    <n v="131.6"/>
    <n v="48034"/>
    <n v="172922.4"/>
  </r>
  <r>
    <x v="0"/>
    <x v="0"/>
    <x v="0"/>
    <x v="9"/>
    <x v="19"/>
    <s v="SE3A"/>
    <x v="7"/>
    <s v="GNR_RES_WTR_NOPMP_MC-01"/>
    <x v="0"/>
    <x v="23"/>
    <n v="131.6"/>
    <n v="48034"/>
    <n v="172922.4"/>
  </r>
  <r>
    <x v="0"/>
    <x v="0"/>
    <x v="0"/>
    <x v="9"/>
    <x v="19"/>
    <s v="SE3A"/>
    <x v="7"/>
    <s v="GNR_RES_WTR_NOPMP_MC-02"/>
    <x v="0"/>
    <x v="0"/>
    <n v="131.6"/>
    <n v="48034"/>
    <n v="172922.4"/>
  </r>
  <r>
    <x v="0"/>
    <x v="0"/>
    <x v="0"/>
    <x v="9"/>
    <x v="19"/>
    <s v="SE3A"/>
    <x v="7"/>
    <s v="GNR_RES_WTR_NOPMP_MC-02"/>
    <x v="0"/>
    <x v="1"/>
    <n v="131.6"/>
    <n v="48034"/>
    <n v="172922.4"/>
  </r>
  <r>
    <x v="0"/>
    <x v="0"/>
    <x v="0"/>
    <x v="9"/>
    <x v="19"/>
    <s v="SE3A"/>
    <x v="7"/>
    <s v="GNR_RES_WTR_NOPMP_MC-02"/>
    <x v="0"/>
    <x v="2"/>
    <n v="131.6"/>
    <n v="48034"/>
    <n v="172922.4"/>
  </r>
  <r>
    <x v="0"/>
    <x v="0"/>
    <x v="0"/>
    <x v="9"/>
    <x v="19"/>
    <s v="SE3A"/>
    <x v="7"/>
    <s v="GNR_RES_WTR_NOPMP_MC-02"/>
    <x v="0"/>
    <x v="3"/>
    <n v="131.6"/>
    <n v="48034"/>
    <n v="172922.4"/>
  </r>
  <r>
    <x v="0"/>
    <x v="0"/>
    <x v="0"/>
    <x v="9"/>
    <x v="19"/>
    <s v="SE3A"/>
    <x v="7"/>
    <s v="GNR_RES_WTR_NOPMP_MC-02"/>
    <x v="0"/>
    <x v="18"/>
    <n v="131.6"/>
    <n v="48034"/>
    <n v="172922.4"/>
  </r>
  <r>
    <x v="0"/>
    <x v="0"/>
    <x v="0"/>
    <x v="9"/>
    <x v="19"/>
    <s v="SE3A"/>
    <x v="7"/>
    <s v="GNR_RES_WTR_NOPMP_MC-02"/>
    <x v="0"/>
    <x v="4"/>
    <n v="131.6"/>
    <n v="48034"/>
    <n v="172922.4"/>
  </r>
  <r>
    <x v="0"/>
    <x v="0"/>
    <x v="0"/>
    <x v="9"/>
    <x v="19"/>
    <s v="SE3A"/>
    <x v="7"/>
    <s v="GNR_RES_WTR_NOPMP_MC-02"/>
    <x v="0"/>
    <x v="5"/>
    <n v="131.6"/>
    <n v="48034"/>
    <n v="172922.4"/>
  </r>
  <r>
    <x v="0"/>
    <x v="0"/>
    <x v="0"/>
    <x v="9"/>
    <x v="19"/>
    <s v="SE3A"/>
    <x v="7"/>
    <s v="GNR_RES_WTR_NOPMP_MC-02"/>
    <x v="0"/>
    <x v="6"/>
    <n v="131.6"/>
    <n v="48034"/>
    <n v="172922.4"/>
  </r>
  <r>
    <x v="0"/>
    <x v="0"/>
    <x v="0"/>
    <x v="9"/>
    <x v="19"/>
    <s v="SE3A"/>
    <x v="7"/>
    <s v="GNR_RES_WTR_NOPMP_MC-02"/>
    <x v="0"/>
    <x v="7"/>
    <n v="131.6"/>
    <n v="48034"/>
    <n v="172922.4"/>
  </r>
  <r>
    <x v="0"/>
    <x v="0"/>
    <x v="0"/>
    <x v="9"/>
    <x v="19"/>
    <s v="SE3A"/>
    <x v="7"/>
    <s v="GNR_RES_WTR_NOPMP_MC-02"/>
    <x v="0"/>
    <x v="8"/>
    <n v="131.6"/>
    <n v="48034"/>
    <n v="172922.4"/>
  </r>
  <r>
    <x v="0"/>
    <x v="0"/>
    <x v="0"/>
    <x v="9"/>
    <x v="19"/>
    <s v="SE3A"/>
    <x v="7"/>
    <s v="GNR_RES_WTR_NOPMP_MC-02"/>
    <x v="0"/>
    <x v="9"/>
    <n v="131.6"/>
    <n v="48034"/>
    <n v="172922.4"/>
  </r>
  <r>
    <x v="0"/>
    <x v="0"/>
    <x v="0"/>
    <x v="9"/>
    <x v="19"/>
    <s v="SE3A"/>
    <x v="7"/>
    <s v="GNR_RES_WTR_NOPMP_MC-02"/>
    <x v="0"/>
    <x v="10"/>
    <n v="131.6"/>
    <n v="48034"/>
    <n v="172922.4"/>
  </r>
  <r>
    <x v="0"/>
    <x v="0"/>
    <x v="0"/>
    <x v="9"/>
    <x v="19"/>
    <s v="SE3A"/>
    <x v="7"/>
    <s v="GNR_RES_WTR_NOPMP_MC-02"/>
    <x v="0"/>
    <x v="11"/>
    <n v="131.6"/>
    <n v="48034"/>
    <n v="172922.4"/>
  </r>
  <r>
    <x v="0"/>
    <x v="0"/>
    <x v="0"/>
    <x v="9"/>
    <x v="19"/>
    <s v="SE3A"/>
    <x v="7"/>
    <s v="GNR_RES_WTR_NOPMP_MC-02"/>
    <x v="0"/>
    <x v="12"/>
    <n v="131.6"/>
    <n v="48034"/>
    <n v="172922.4"/>
  </r>
  <r>
    <x v="0"/>
    <x v="0"/>
    <x v="0"/>
    <x v="9"/>
    <x v="19"/>
    <s v="SE3A"/>
    <x v="7"/>
    <s v="GNR_RES_WTR_NOPMP_MC-02"/>
    <x v="0"/>
    <x v="13"/>
    <n v="131.6"/>
    <n v="48034"/>
    <n v="172922.4"/>
  </r>
  <r>
    <x v="0"/>
    <x v="0"/>
    <x v="0"/>
    <x v="9"/>
    <x v="19"/>
    <s v="SE3A"/>
    <x v="7"/>
    <s v="GNR_RES_WTR_NOPMP_MC-02"/>
    <x v="0"/>
    <x v="14"/>
    <n v="131.6"/>
    <n v="48034"/>
    <n v="172922.4"/>
  </r>
  <r>
    <x v="0"/>
    <x v="0"/>
    <x v="0"/>
    <x v="9"/>
    <x v="19"/>
    <s v="SE3A"/>
    <x v="7"/>
    <s v="GNR_RES_WTR_NOPMP_MC-02"/>
    <x v="0"/>
    <x v="15"/>
    <n v="131.6"/>
    <n v="48034"/>
    <n v="172922.4"/>
  </r>
  <r>
    <x v="0"/>
    <x v="0"/>
    <x v="0"/>
    <x v="9"/>
    <x v="19"/>
    <s v="SE3A"/>
    <x v="7"/>
    <s v="GNR_RES_WTR_NOPMP_MC-02"/>
    <x v="0"/>
    <x v="16"/>
    <n v="131.6"/>
    <n v="48034"/>
    <n v="172922.4"/>
  </r>
  <r>
    <x v="0"/>
    <x v="0"/>
    <x v="0"/>
    <x v="9"/>
    <x v="19"/>
    <s v="SE3A"/>
    <x v="7"/>
    <s v="GNR_RES_WTR_NOPMP_MC-02"/>
    <x v="0"/>
    <x v="17"/>
    <n v="131.6"/>
    <n v="48034"/>
    <n v="172922.4"/>
  </r>
  <r>
    <x v="0"/>
    <x v="0"/>
    <x v="0"/>
    <x v="9"/>
    <x v="19"/>
    <s v="SE3A"/>
    <x v="7"/>
    <s v="GNR_RES_WTR_NOPMP_MC-02"/>
    <x v="0"/>
    <x v="19"/>
    <n v="131.6"/>
    <n v="48034"/>
    <n v="172922.4"/>
  </r>
  <r>
    <x v="0"/>
    <x v="0"/>
    <x v="0"/>
    <x v="9"/>
    <x v="19"/>
    <s v="SE3A"/>
    <x v="7"/>
    <s v="GNR_RES_WTR_NOPMP_MC-02"/>
    <x v="0"/>
    <x v="20"/>
    <n v="131.6"/>
    <n v="48034"/>
    <n v="172922.4"/>
  </r>
  <r>
    <x v="0"/>
    <x v="0"/>
    <x v="0"/>
    <x v="9"/>
    <x v="19"/>
    <s v="SE3A"/>
    <x v="7"/>
    <s v="GNR_RES_WTR_NOPMP_MC-02"/>
    <x v="0"/>
    <x v="21"/>
    <n v="131.6"/>
    <n v="48034"/>
    <n v="172922.4"/>
  </r>
  <r>
    <x v="0"/>
    <x v="0"/>
    <x v="0"/>
    <x v="9"/>
    <x v="19"/>
    <s v="SE3A"/>
    <x v="7"/>
    <s v="GNR_RES_WTR_NOPMP_MC-02"/>
    <x v="0"/>
    <x v="22"/>
    <n v="131.6"/>
    <n v="48034"/>
    <n v="172922.4"/>
  </r>
  <r>
    <x v="0"/>
    <x v="0"/>
    <x v="0"/>
    <x v="9"/>
    <x v="19"/>
    <s v="SE3A"/>
    <x v="7"/>
    <s v="GNR_RES_WTR_NOPMP_MC-02"/>
    <x v="0"/>
    <x v="23"/>
    <n v="131.6"/>
    <n v="48034"/>
    <n v="172922.4"/>
  </r>
  <r>
    <x v="0"/>
    <x v="0"/>
    <x v="0"/>
    <x v="9"/>
    <x v="19"/>
    <s v="SE3A"/>
    <x v="7"/>
    <s v="GNR_RES_WTR_NOPMP_MC-03"/>
    <x v="0"/>
    <x v="3"/>
    <n v="131.6"/>
    <n v="48034"/>
    <n v="172922.4"/>
  </r>
  <r>
    <x v="0"/>
    <x v="0"/>
    <x v="0"/>
    <x v="9"/>
    <x v="19"/>
    <s v="SE3A"/>
    <x v="7"/>
    <s v="GNR_RES_WTR_NOPMP_MC-03"/>
    <x v="0"/>
    <x v="18"/>
    <n v="131.6"/>
    <n v="48034"/>
    <n v="172922.4"/>
  </r>
  <r>
    <x v="0"/>
    <x v="0"/>
    <x v="0"/>
    <x v="9"/>
    <x v="19"/>
    <s v="SE3A"/>
    <x v="7"/>
    <s v="GNR_RES_WTR_NOPMP_MC-03"/>
    <x v="0"/>
    <x v="4"/>
    <n v="131.6"/>
    <n v="48034"/>
    <n v="172922.4"/>
  </r>
  <r>
    <x v="0"/>
    <x v="0"/>
    <x v="0"/>
    <x v="9"/>
    <x v="19"/>
    <s v="SE3A"/>
    <x v="7"/>
    <s v="GNR_RES_WTR_NOPMP_MC-03"/>
    <x v="0"/>
    <x v="5"/>
    <n v="131.6"/>
    <n v="48034"/>
    <n v="172922.4"/>
  </r>
  <r>
    <x v="0"/>
    <x v="0"/>
    <x v="0"/>
    <x v="9"/>
    <x v="19"/>
    <s v="SE3A"/>
    <x v="7"/>
    <s v="GNR_RES_WTR_NOPMP_MC-03"/>
    <x v="0"/>
    <x v="6"/>
    <n v="131.6"/>
    <n v="48034"/>
    <n v="172922.4"/>
  </r>
  <r>
    <x v="0"/>
    <x v="0"/>
    <x v="0"/>
    <x v="9"/>
    <x v="19"/>
    <s v="SE3A"/>
    <x v="7"/>
    <s v="GNR_RES_WTR_NOPMP_MC-03"/>
    <x v="0"/>
    <x v="7"/>
    <n v="131.6"/>
    <n v="48034"/>
    <n v="172922.4"/>
  </r>
  <r>
    <x v="0"/>
    <x v="0"/>
    <x v="0"/>
    <x v="9"/>
    <x v="19"/>
    <s v="SE3A"/>
    <x v="7"/>
    <s v="GNR_RES_WTR_NOPMP_MC-03"/>
    <x v="0"/>
    <x v="8"/>
    <n v="131.6"/>
    <n v="48034"/>
    <n v="172922.4"/>
  </r>
  <r>
    <x v="0"/>
    <x v="0"/>
    <x v="0"/>
    <x v="9"/>
    <x v="19"/>
    <s v="SE3A"/>
    <x v="7"/>
    <s v="GNR_RES_WTR_NOPMP_MC-03"/>
    <x v="0"/>
    <x v="9"/>
    <n v="131.6"/>
    <n v="48034"/>
    <n v="172922.4"/>
  </r>
  <r>
    <x v="0"/>
    <x v="0"/>
    <x v="0"/>
    <x v="9"/>
    <x v="19"/>
    <s v="SE3A"/>
    <x v="7"/>
    <s v="GNR_RES_WTR_NOPMP_MC-03"/>
    <x v="0"/>
    <x v="10"/>
    <n v="131.6"/>
    <n v="48034"/>
    <n v="172922.4"/>
  </r>
  <r>
    <x v="0"/>
    <x v="0"/>
    <x v="0"/>
    <x v="9"/>
    <x v="19"/>
    <s v="SE3A"/>
    <x v="7"/>
    <s v="GNR_RES_WTR_NOPMP_MC-03"/>
    <x v="0"/>
    <x v="11"/>
    <n v="131.6"/>
    <n v="48034"/>
    <n v="172922.4"/>
  </r>
  <r>
    <x v="0"/>
    <x v="0"/>
    <x v="0"/>
    <x v="9"/>
    <x v="19"/>
    <s v="SE3A"/>
    <x v="7"/>
    <s v="GNR_RES_WTR_NOPMP_MC-03"/>
    <x v="0"/>
    <x v="12"/>
    <n v="131.6"/>
    <n v="48034"/>
    <n v="172922.4"/>
  </r>
  <r>
    <x v="0"/>
    <x v="0"/>
    <x v="0"/>
    <x v="9"/>
    <x v="19"/>
    <s v="SE3A"/>
    <x v="7"/>
    <s v="GNR_RES_WTR_NOPMP_MC-03"/>
    <x v="0"/>
    <x v="13"/>
    <n v="131.6"/>
    <n v="48034"/>
    <n v="172922.4"/>
  </r>
  <r>
    <x v="0"/>
    <x v="0"/>
    <x v="0"/>
    <x v="9"/>
    <x v="19"/>
    <s v="SE3A"/>
    <x v="7"/>
    <s v="GNR_RES_WTR_NOPMP_MC-03"/>
    <x v="0"/>
    <x v="14"/>
    <n v="131.6"/>
    <n v="48034"/>
    <n v="172922.4"/>
  </r>
  <r>
    <x v="0"/>
    <x v="0"/>
    <x v="0"/>
    <x v="9"/>
    <x v="19"/>
    <s v="SE3A"/>
    <x v="7"/>
    <s v="GNR_RES_WTR_NOPMP_MC-03"/>
    <x v="0"/>
    <x v="15"/>
    <n v="131.6"/>
    <n v="48034"/>
    <n v="172922.4"/>
  </r>
  <r>
    <x v="0"/>
    <x v="0"/>
    <x v="0"/>
    <x v="9"/>
    <x v="19"/>
    <s v="SE3A"/>
    <x v="7"/>
    <s v="GNR_RES_WTR_NOPMP_MC-03"/>
    <x v="0"/>
    <x v="16"/>
    <n v="131.6"/>
    <n v="48034"/>
    <n v="172922.4"/>
  </r>
  <r>
    <x v="0"/>
    <x v="0"/>
    <x v="0"/>
    <x v="9"/>
    <x v="19"/>
    <s v="SE3A"/>
    <x v="7"/>
    <s v="GNR_RES_WTR_NOPMP_MC-03"/>
    <x v="0"/>
    <x v="17"/>
    <n v="131.6"/>
    <n v="48034"/>
    <n v="172922.4"/>
  </r>
  <r>
    <x v="0"/>
    <x v="0"/>
    <x v="0"/>
    <x v="9"/>
    <x v="19"/>
    <s v="SE3A"/>
    <x v="7"/>
    <s v="GNR_RES_WTR_NOPMP_MC-03"/>
    <x v="0"/>
    <x v="19"/>
    <n v="131.6"/>
    <n v="48034"/>
    <n v="172922.4"/>
  </r>
  <r>
    <x v="0"/>
    <x v="0"/>
    <x v="0"/>
    <x v="9"/>
    <x v="19"/>
    <s v="SE3A"/>
    <x v="7"/>
    <s v="GNR_RES_WTR_NOPMP_MC-03"/>
    <x v="0"/>
    <x v="20"/>
    <n v="131.6"/>
    <n v="48034"/>
    <n v="172922.4"/>
  </r>
  <r>
    <x v="0"/>
    <x v="0"/>
    <x v="0"/>
    <x v="9"/>
    <x v="19"/>
    <s v="SE3A"/>
    <x v="7"/>
    <s v="GNR_RES_WTR_NOPMP_MC-03"/>
    <x v="0"/>
    <x v="21"/>
    <n v="131.6"/>
    <n v="48034"/>
    <n v="172922.4"/>
  </r>
  <r>
    <x v="0"/>
    <x v="0"/>
    <x v="0"/>
    <x v="9"/>
    <x v="19"/>
    <s v="SE3A"/>
    <x v="7"/>
    <s v="GNR_RES_WTR_NOPMP_MC-04"/>
    <x v="0"/>
    <x v="4"/>
    <n v="131.6"/>
    <n v="48034"/>
    <n v="172922.4"/>
  </r>
  <r>
    <x v="0"/>
    <x v="0"/>
    <x v="0"/>
    <x v="9"/>
    <x v="19"/>
    <s v="SE3A"/>
    <x v="7"/>
    <s v="GNR_RES_WTR_NOPMP_MC-04"/>
    <x v="0"/>
    <x v="5"/>
    <n v="131.6"/>
    <n v="48034"/>
    <n v="172922.4"/>
  </r>
  <r>
    <x v="0"/>
    <x v="0"/>
    <x v="0"/>
    <x v="9"/>
    <x v="19"/>
    <s v="SE3A"/>
    <x v="7"/>
    <s v="GNR_RES_WTR_NOPMP_MC-04"/>
    <x v="0"/>
    <x v="6"/>
    <n v="131.6"/>
    <n v="48034"/>
    <n v="172922.4"/>
  </r>
  <r>
    <x v="0"/>
    <x v="0"/>
    <x v="0"/>
    <x v="9"/>
    <x v="19"/>
    <s v="SE3A"/>
    <x v="7"/>
    <s v="GNR_RES_WTR_NOPMP_MC-04"/>
    <x v="0"/>
    <x v="7"/>
    <n v="131.6"/>
    <n v="48034"/>
    <n v="172922.4"/>
  </r>
  <r>
    <x v="0"/>
    <x v="0"/>
    <x v="0"/>
    <x v="9"/>
    <x v="19"/>
    <s v="SE3A"/>
    <x v="7"/>
    <s v="GNR_RES_WTR_NOPMP_MC-04"/>
    <x v="0"/>
    <x v="8"/>
    <n v="131.6"/>
    <n v="48034"/>
    <n v="172922.4"/>
  </r>
  <r>
    <x v="0"/>
    <x v="0"/>
    <x v="0"/>
    <x v="9"/>
    <x v="19"/>
    <s v="SE3A"/>
    <x v="7"/>
    <s v="GNR_RES_WTR_NOPMP_MC-04"/>
    <x v="0"/>
    <x v="9"/>
    <n v="131.6"/>
    <n v="48034"/>
    <n v="172922.4"/>
  </r>
  <r>
    <x v="0"/>
    <x v="0"/>
    <x v="0"/>
    <x v="9"/>
    <x v="19"/>
    <s v="SE3A"/>
    <x v="7"/>
    <s v="GNR_RES_WTR_NOPMP_MC-04"/>
    <x v="0"/>
    <x v="10"/>
    <n v="131.6"/>
    <n v="48034"/>
    <n v="172922.4"/>
  </r>
  <r>
    <x v="0"/>
    <x v="0"/>
    <x v="0"/>
    <x v="9"/>
    <x v="19"/>
    <s v="SE3A"/>
    <x v="7"/>
    <s v="GNR_RES_WTR_NOPMP_MC-04"/>
    <x v="0"/>
    <x v="11"/>
    <n v="131.6"/>
    <n v="48034"/>
    <n v="172922.4"/>
  </r>
  <r>
    <x v="0"/>
    <x v="0"/>
    <x v="0"/>
    <x v="9"/>
    <x v="19"/>
    <s v="SE3A"/>
    <x v="7"/>
    <s v="GNR_RES_WTR_NOPMP_MC-04"/>
    <x v="0"/>
    <x v="12"/>
    <n v="131.6"/>
    <n v="48034"/>
    <n v="172922.4"/>
  </r>
  <r>
    <x v="0"/>
    <x v="0"/>
    <x v="0"/>
    <x v="9"/>
    <x v="19"/>
    <s v="SE3A"/>
    <x v="7"/>
    <s v="GNR_RES_WTR_NOPMP_MC-04"/>
    <x v="0"/>
    <x v="13"/>
    <n v="131.6"/>
    <n v="48034"/>
    <n v="172922.4"/>
  </r>
  <r>
    <x v="0"/>
    <x v="0"/>
    <x v="0"/>
    <x v="9"/>
    <x v="19"/>
    <s v="SE3A"/>
    <x v="7"/>
    <s v="GNR_RES_WTR_NOPMP_MC-04"/>
    <x v="0"/>
    <x v="14"/>
    <n v="131.6"/>
    <n v="48034"/>
    <n v="172922.4"/>
  </r>
  <r>
    <x v="0"/>
    <x v="0"/>
    <x v="0"/>
    <x v="9"/>
    <x v="19"/>
    <s v="SE3A"/>
    <x v="7"/>
    <s v="GNR_RES_WTR_NOPMP_MC-04"/>
    <x v="0"/>
    <x v="15"/>
    <n v="131.6"/>
    <n v="48034"/>
    <n v="172922.4"/>
  </r>
  <r>
    <x v="0"/>
    <x v="0"/>
    <x v="0"/>
    <x v="9"/>
    <x v="19"/>
    <s v="SE3A"/>
    <x v="7"/>
    <s v="GNR_RES_WTR_NOPMP_MC-04"/>
    <x v="0"/>
    <x v="16"/>
    <n v="131.6"/>
    <n v="48034"/>
    <n v="172922.4"/>
  </r>
  <r>
    <x v="0"/>
    <x v="0"/>
    <x v="0"/>
    <x v="9"/>
    <x v="19"/>
    <s v="SE3A"/>
    <x v="7"/>
    <s v="GNR_RES_WTR_NOPMP_MC-04"/>
    <x v="0"/>
    <x v="17"/>
    <n v="131.6"/>
    <n v="48034"/>
    <n v="172922.4"/>
  </r>
  <r>
    <x v="0"/>
    <x v="0"/>
    <x v="0"/>
    <x v="9"/>
    <x v="19"/>
    <s v="SE3A"/>
    <x v="7"/>
    <s v="GNR_RES_WTR_NOPMP_MC-04"/>
    <x v="0"/>
    <x v="19"/>
    <n v="131.6"/>
    <n v="48034"/>
    <n v="172922.4"/>
  </r>
  <r>
    <x v="0"/>
    <x v="0"/>
    <x v="0"/>
    <x v="9"/>
    <x v="19"/>
    <s v="SE3A"/>
    <x v="7"/>
    <s v="GNR_RES_WTR_NOPMP_MC-04"/>
    <x v="0"/>
    <x v="20"/>
    <n v="131.6"/>
    <n v="48034"/>
    <n v="172922.4"/>
  </r>
  <r>
    <x v="0"/>
    <x v="0"/>
    <x v="0"/>
    <x v="9"/>
    <x v="19"/>
    <s v="SE3A"/>
    <x v="7"/>
    <s v="GNR_RES_WTR_NOPMP_MC-05"/>
    <x v="0"/>
    <x v="5"/>
    <n v="131.6"/>
    <n v="48034"/>
    <n v="172922.4"/>
  </r>
  <r>
    <x v="0"/>
    <x v="0"/>
    <x v="0"/>
    <x v="9"/>
    <x v="19"/>
    <s v="SE3A"/>
    <x v="7"/>
    <s v="GNR_RES_WTR_NOPMP_MC-05"/>
    <x v="0"/>
    <x v="6"/>
    <n v="131.6"/>
    <n v="48034"/>
    <n v="172922.4"/>
  </r>
  <r>
    <x v="0"/>
    <x v="0"/>
    <x v="0"/>
    <x v="9"/>
    <x v="19"/>
    <s v="SE3A"/>
    <x v="7"/>
    <s v="GNR_RES_WTR_NOPMP_MC-05"/>
    <x v="0"/>
    <x v="7"/>
    <n v="131.6"/>
    <n v="48034"/>
    <n v="172922.4"/>
  </r>
  <r>
    <x v="0"/>
    <x v="0"/>
    <x v="0"/>
    <x v="9"/>
    <x v="19"/>
    <s v="SE3A"/>
    <x v="7"/>
    <s v="GNR_RES_WTR_NOPMP_MC-05"/>
    <x v="0"/>
    <x v="8"/>
    <n v="131.6"/>
    <n v="48034"/>
    <n v="172922.4"/>
  </r>
  <r>
    <x v="0"/>
    <x v="0"/>
    <x v="0"/>
    <x v="9"/>
    <x v="19"/>
    <s v="SE3A"/>
    <x v="7"/>
    <s v="GNR_RES_WTR_NOPMP_MC-05"/>
    <x v="0"/>
    <x v="9"/>
    <n v="131.6"/>
    <n v="48034"/>
    <n v="172922.4"/>
  </r>
  <r>
    <x v="0"/>
    <x v="0"/>
    <x v="0"/>
    <x v="9"/>
    <x v="19"/>
    <s v="SE3A"/>
    <x v="7"/>
    <s v="GNR_RES_WTR_NOPMP_MC-05"/>
    <x v="0"/>
    <x v="10"/>
    <n v="131.6"/>
    <n v="48034"/>
    <n v="172922.4"/>
  </r>
  <r>
    <x v="0"/>
    <x v="0"/>
    <x v="0"/>
    <x v="9"/>
    <x v="19"/>
    <s v="SE3A"/>
    <x v="7"/>
    <s v="GNR_RES_WTR_NOPMP_MC-05"/>
    <x v="0"/>
    <x v="11"/>
    <n v="131.6"/>
    <n v="48034"/>
    <n v="172922.4"/>
  </r>
  <r>
    <x v="0"/>
    <x v="0"/>
    <x v="0"/>
    <x v="9"/>
    <x v="19"/>
    <s v="SE3A"/>
    <x v="7"/>
    <s v="GNR_RES_WTR_NOPMP_MC-05"/>
    <x v="0"/>
    <x v="12"/>
    <n v="131.6"/>
    <n v="48034"/>
    <n v="172922.4"/>
  </r>
  <r>
    <x v="0"/>
    <x v="0"/>
    <x v="0"/>
    <x v="9"/>
    <x v="19"/>
    <s v="SE3A"/>
    <x v="7"/>
    <s v="GNR_RES_WTR_NOPMP_MC-05"/>
    <x v="0"/>
    <x v="13"/>
    <n v="131.6"/>
    <n v="48034"/>
    <n v="172922.4"/>
  </r>
  <r>
    <x v="0"/>
    <x v="0"/>
    <x v="0"/>
    <x v="9"/>
    <x v="19"/>
    <s v="SE3A"/>
    <x v="7"/>
    <s v="GNR_RES_WTR_NOPMP_MC-05"/>
    <x v="0"/>
    <x v="14"/>
    <n v="131.6"/>
    <n v="48034"/>
    <n v="172922.4"/>
  </r>
  <r>
    <x v="0"/>
    <x v="0"/>
    <x v="0"/>
    <x v="9"/>
    <x v="19"/>
    <s v="SE3A"/>
    <x v="7"/>
    <s v="GNR_RES_WTR_NOPMP_MC-05"/>
    <x v="0"/>
    <x v="15"/>
    <n v="131.6"/>
    <n v="48034"/>
    <n v="172922.4"/>
  </r>
  <r>
    <x v="0"/>
    <x v="0"/>
    <x v="0"/>
    <x v="9"/>
    <x v="19"/>
    <s v="SE3A"/>
    <x v="7"/>
    <s v="GNR_RES_WTR_NOPMP_MC-05"/>
    <x v="0"/>
    <x v="16"/>
    <n v="131.6"/>
    <n v="48034"/>
    <n v="172922.4"/>
  </r>
  <r>
    <x v="0"/>
    <x v="0"/>
    <x v="0"/>
    <x v="9"/>
    <x v="19"/>
    <s v="SE3A"/>
    <x v="7"/>
    <s v="GNR_RES_WTR_NOPMP_MC-05"/>
    <x v="0"/>
    <x v="17"/>
    <n v="131.6"/>
    <n v="48034"/>
    <n v="172922.4"/>
  </r>
  <r>
    <x v="0"/>
    <x v="0"/>
    <x v="0"/>
    <x v="9"/>
    <x v="19"/>
    <s v="SE3A"/>
    <x v="7"/>
    <s v="GNR_RES_WTR_NOPMP_MC-06"/>
    <x v="0"/>
    <x v="5"/>
    <n v="131.6"/>
    <n v="48034"/>
    <n v="172922.4"/>
  </r>
  <r>
    <x v="0"/>
    <x v="0"/>
    <x v="0"/>
    <x v="9"/>
    <x v="19"/>
    <s v="SE3A"/>
    <x v="7"/>
    <s v="GNR_RES_WTR_NOPMP_MC-06"/>
    <x v="0"/>
    <x v="6"/>
    <n v="131.6"/>
    <n v="48034"/>
    <n v="172922.4"/>
  </r>
  <r>
    <x v="0"/>
    <x v="0"/>
    <x v="0"/>
    <x v="9"/>
    <x v="19"/>
    <s v="SE3A"/>
    <x v="7"/>
    <s v="GNR_RES_WTR_NOPMP_MC-06"/>
    <x v="0"/>
    <x v="7"/>
    <n v="131.6"/>
    <n v="48034"/>
    <n v="172922.4"/>
  </r>
  <r>
    <x v="0"/>
    <x v="0"/>
    <x v="0"/>
    <x v="9"/>
    <x v="19"/>
    <s v="SE3A"/>
    <x v="7"/>
    <s v="GNR_RES_WTR_NOPMP_MC-06"/>
    <x v="0"/>
    <x v="8"/>
    <n v="131.6"/>
    <n v="48034"/>
    <n v="172922.4"/>
  </r>
  <r>
    <x v="0"/>
    <x v="0"/>
    <x v="0"/>
    <x v="9"/>
    <x v="19"/>
    <s v="SE3A"/>
    <x v="7"/>
    <s v="GNR_RES_WTR_NOPMP_MC-06"/>
    <x v="0"/>
    <x v="9"/>
    <n v="131.6"/>
    <n v="48034"/>
    <n v="172922.4"/>
  </r>
  <r>
    <x v="0"/>
    <x v="0"/>
    <x v="0"/>
    <x v="9"/>
    <x v="19"/>
    <s v="SE3A"/>
    <x v="7"/>
    <s v="GNR_RES_WTR_NOPMP_MC-06"/>
    <x v="0"/>
    <x v="10"/>
    <n v="131.6"/>
    <n v="48034"/>
    <n v="172922.4"/>
  </r>
  <r>
    <x v="0"/>
    <x v="0"/>
    <x v="0"/>
    <x v="9"/>
    <x v="19"/>
    <s v="SE3A"/>
    <x v="7"/>
    <s v="GNR_RES_WTR_NOPMP_MC-06"/>
    <x v="0"/>
    <x v="11"/>
    <n v="4.87517093676664"/>
    <n v="1779.4373919198199"/>
    <n v="6405.9746109113603"/>
  </r>
  <r>
    <x v="0"/>
    <x v="0"/>
    <x v="0"/>
    <x v="9"/>
    <x v="19"/>
    <s v="SE3A"/>
    <x v="7"/>
    <s v="GNR_RES_WTR_NOPMP_MC-06"/>
    <x v="0"/>
    <x v="14"/>
    <n v="131.6"/>
    <n v="48034"/>
    <n v="172922.4"/>
  </r>
  <r>
    <x v="0"/>
    <x v="0"/>
    <x v="0"/>
    <x v="9"/>
    <x v="19"/>
    <s v="SE3A"/>
    <x v="7"/>
    <s v="GNR_RES_WTR_NOPMP_MC-06"/>
    <x v="0"/>
    <x v="15"/>
    <n v="131.6"/>
    <n v="48034"/>
    <n v="172922.4"/>
  </r>
  <r>
    <x v="0"/>
    <x v="0"/>
    <x v="0"/>
    <x v="9"/>
    <x v="19"/>
    <s v="SE3A"/>
    <x v="7"/>
    <s v="GNR_RES_WTR_NOPMP_MC-06"/>
    <x v="0"/>
    <x v="16"/>
    <n v="131.6"/>
    <n v="48034"/>
    <n v="172922.4"/>
  </r>
  <r>
    <x v="0"/>
    <x v="0"/>
    <x v="0"/>
    <x v="9"/>
    <x v="19"/>
    <s v="SE3A"/>
    <x v="7"/>
    <s v="GNR_RES_WTR_NOPMP_MC-07"/>
    <x v="0"/>
    <x v="6"/>
    <n v="131.6"/>
    <n v="48034"/>
    <n v="172922.4"/>
  </r>
  <r>
    <x v="0"/>
    <x v="0"/>
    <x v="0"/>
    <x v="9"/>
    <x v="19"/>
    <s v="SE3A"/>
    <x v="7"/>
    <s v="GNR_RES_WTR_NOPMP_MC-07"/>
    <x v="0"/>
    <x v="7"/>
    <n v="131.6"/>
    <n v="48034"/>
    <n v="172922.4"/>
  </r>
  <r>
    <x v="0"/>
    <x v="0"/>
    <x v="0"/>
    <x v="9"/>
    <x v="19"/>
    <s v="SE3A"/>
    <x v="7"/>
    <s v="GNR_RES_WTR_NOPMP_MC-07"/>
    <x v="0"/>
    <x v="8"/>
    <n v="131.6"/>
    <n v="48034"/>
    <n v="172922.4"/>
  </r>
  <r>
    <x v="0"/>
    <x v="0"/>
    <x v="0"/>
    <x v="9"/>
    <x v="19"/>
    <s v="SE3A"/>
    <x v="7"/>
    <s v="GNR_RES_WTR_NOPMP_MC-07"/>
    <x v="0"/>
    <x v="9"/>
    <n v="131.6"/>
    <n v="48034"/>
    <n v="172922.4"/>
  </r>
  <r>
    <x v="0"/>
    <x v="0"/>
    <x v="0"/>
    <x v="9"/>
    <x v="19"/>
    <s v="SE3A"/>
    <x v="7"/>
    <s v="GNR_RES_WTR_NOPMP_MC-08"/>
    <x v="0"/>
    <x v="6"/>
    <n v="131.6"/>
    <n v="48034"/>
    <n v="172922.4"/>
  </r>
  <r>
    <x v="0"/>
    <x v="0"/>
    <x v="0"/>
    <x v="9"/>
    <x v="19"/>
    <s v="SE3A"/>
    <x v="7"/>
    <s v="GNR_RES_WTR_NOPMP_MC-08"/>
    <x v="0"/>
    <x v="7"/>
    <n v="131.6"/>
    <n v="48034"/>
    <n v="172922.4"/>
  </r>
  <r>
    <x v="0"/>
    <x v="0"/>
    <x v="0"/>
    <x v="9"/>
    <x v="19"/>
    <s v="SE3A"/>
    <x v="7"/>
    <s v="GNR_RES_WTR_NOPMP_MC-08"/>
    <x v="0"/>
    <x v="8"/>
    <n v="90.696540695281399"/>
    <n v="33104.237353777702"/>
    <n v="119175.2544736"/>
  </r>
  <r>
    <x v="0"/>
    <x v="0"/>
    <x v="0"/>
    <x v="9"/>
    <x v="19"/>
    <s v="SE3A"/>
    <x v="7"/>
    <s v="GNR_ROR_WTR"/>
    <x v="0"/>
    <x v="0"/>
    <n v="612.63215465133601"/>
    <n v="223610.73644773799"/>
    <n v="804998.651211855"/>
  </r>
  <r>
    <x v="0"/>
    <x v="0"/>
    <x v="0"/>
    <x v="9"/>
    <x v="19"/>
    <s v="SE3A"/>
    <x v="7"/>
    <s v="GNR_ROR_WTR"/>
    <x v="0"/>
    <x v="1"/>
    <n v="612.63215465133601"/>
    <n v="223610.73644773799"/>
    <n v="804998.651211855"/>
  </r>
  <r>
    <x v="0"/>
    <x v="0"/>
    <x v="0"/>
    <x v="9"/>
    <x v="19"/>
    <s v="SE3A"/>
    <x v="7"/>
    <s v="GNR_ROR_WTR"/>
    <x v="0"/>
    <x v="2"/>
    <n v="612.63215465133601"/>
    <n v="223610.73644773799"/>
    <n v="804998.651211855"/>
  </r>
  <r>
    <x v="0"/>
    <x v="0"/>
    <x v="0"/>
    <x v="9"/>
    <x v="19"/>
    <s v="SE3A"/>
    <x v="7"/>
    <s v="GNR_ROR_WTR"/>
    <x v="0"/>
    <x v="3"/>
    <n v="612.63215465133601"/>
    <n v="223610.73644773799"/>
    <n v="804998.651211855"/>
  </r>
  <r>
    <x v="0"/>
    <x v="0"/>
    <x v="0"/>
    <x v="9"/>
    <x v="19"/>
    <s v="SE3A"/>
    <x v="7"/>
    <s v="GNR_ROR_WTR"/>
    <x v="0"/>
    <x v="18"/>
    <n v="612.63215465133601"/>
    <n v="223610.73644773799"/>
    <n v="804998.651211855"/>
  </r>
  <r>
    <x v="0"/>
    <x v="0"/>
    <x v="0"/>
    <x v="9"/>
    <x v="19"/>
    <s v="SE3A"/>
    <x v="7"/>
    <s v="GNR_ROR_WTR"/>
    <x v="0"/>
    <x v="4"/>
    <n v="612.63215465133601"/>
    <n v="223610.73644773799"/>
    <n v="804998.651211855"/>
  </r>
  <r>
    <x v="0"/>
    <x v="0"/>
    <x v="0"/>
    <x v="9"/>
    <x v="19"/>
    <s v="SE3A"/>
    <x v="7"/>
    <s v="GNR_ROR_WTR"/>
    <x v="0"/>
    <x v="5"/>
    <n v="612.63215465133601"/>
    <n v="223610.73644773799"/>
    <n v="804998.651211855"/>
  </r>
  <r>
    <x v="0"/>
    <x v="0"/>
    <x v="0"/>
    <x v="9"/>
    <x v="19"/>
    <s v="SE3A"/>
    <x v="7"/>
    <s v="GNR_ROR_WTR"/>
    <x v="0"/>
    <x v="6"/>
    <n v="612.63215465133601"/>
    <n v="223610.73644773799"/>
    <n v="804998.651211855"/>
  </r>
  <r>
    <x v="0"/>
    <x v="0"/>
    <x v="0"/>
    <x v="9"/>
    <x v="19"/>
    <s v="SE3A"/>
    <x v="7"/>
    <s v="GNR_ROR_WTR"/>
    <x v="0"/>
    <x v="7"/>
    <n v="612.63215465133601"/>
    <n v="223610.73644773799"/>
    <n v="804998.651211855"/>
  </r>
  <r>
    <x v="0"/>
    <x v="0"/>
    <x v="0"/>
    <x v="9"/>
    <x v="19"/>
    <s v="SE3A"/>
    <x v="7"/>
    <s v="GNR_ROR_WTR"/>
    <x v="0"/>
    <x v="8"/>
    <n v="612.63215465133601"/>
    <n v="223610.73644773799"/>
    <n v="804998.651211855"/>
  </r>
  <r>
    <x v="0"/>
    <x v="0"/>
    <x v="0"/>
    <x v="9"/>
    <x v="19"/>
    <s v="SE3A"/>
    <x v="7"/>
    <s v="GNR_ROR_WTR"/>
    <x v="0"/>
    <x v="9"/>
    <n v="612.63215465133601"/>
    <n v="223610.73644773799"/>
    <n v="804998.651211855"/>
  </r>
  <r>
    <x v="0"/>
    <x v="0"/>
    <x v="0"/>
    <x v="9"/>
    <x v="19"/>
    <s v="SE3A"/>
    <x v="7"/>
    <s v="GNR_ROR_WTR"/>
    <x v="0"/>
    <x v="10"/>
    <n v="612.63215465133601"/>
    <n v="223610.73644773799"/>
    <n v="804998.651211855"/>
  </r>
  <r>
    <x v="0"/>
    <x v="0"/>
    <x v="0"/>
    <x v="9"/>
    <x v="19"/>
    <s v="SE3A"/>
    <x v="7"/>
    <s v="GNR_ROR_WTR"/>
    <x v="0"/>
    <x v="11"/>
    <n v="612.63215465133601"/>
    <n v="223610.73644773799"/>
    <n v="804998.651211855"/>
  </r>
  <r>
    <x v="0"/>
    <x v="0"/>
    <x v="0"/>
    <x v="9"/>
    <x v="19"/>
    <s v="SE3A"/>
    <x v="7"/>
    <s v="GNR_ROR_WTR"/>
    <x v="0"/>
    <x v="12"/>
    <n v="612.63215465133601"/>
    <n v="223610.73644773799"/>
    <n v="804998.651211855"/>
  </r>
  <r>
    <x v="0"/>
    <x v="0"/>
    <x v="0"/>
    <x v="9"/>
    <x v="19"/>
    <s v="SE3A"/>
    <x v="7"/>
    <s v="GNR_ROR_WTR"/>
    <x v="0"/>
    <x v="13"/>
    <n v="612.63215465133601"/>
    <n v="223610.73644773799"/>
    <n v="804998.651211855"/>
  </r>
  <r>
    <x v="0"/>
    <x v="0"/>
    <x v="0"/>
    <x v="9"/>
    <x v="19"/>
    <s v="SE3A"/>
    <x v="7"/>
    <s v="GNR_ROR_WTR"/>
    <x v="0"/>
    <x v="14"/>
    <n v="612.63215465133601"/>
    <n v="223610.73644773799"/>
    <n v="804998.651211855"/>
  </r>
  <r>
    <x v="0"/>
    <x v="0"/>
    <x v="0"/>
    <x v="9"/>
    <x v="19"/>
    <s v="SE3A"/>
    <x v="7"/>
    <s v="GNR_ROR_WTR"/>
    <x v="0"/>
    <x v="15"/>
    <n v="612.63215465133601"/>
    <n v="223610.73644773799"/>
    <n v="804998.651211855"/>
  </r>
  <r>
    <x v="0"/>
    <x v="0"/>
    <x v="0"/>
    <x v="9"/>
    <x v="19"/>
    <s v="SE3A"/>
    <x v="7"/>
    <s v="GNR_ROR_WTR"/>
    <x v="0"/>
    <x v="16"/>
    <n v="612.63215465133601"/>
    <n v="223610.73644773799"/>
    <n v="804998.651211855"/>
  </r>
  <r>
    <x v="0"/>
    <x v="0"/>
    <x v="0"/>
    <x v="9"/>
    <x v="19"/>
    <s v="SE3A"/>
    <x v="7"/>
    <s v="GNR_ROR_WTR"/>
    <x v="0"/>
    <x v="17"/>
    <n v="612.63215465133601"/>
    <n v="223610.73644773799"/>
    <n v="804998.651211855"/>
  </r>
  <r>
    <x v="0"/>
    <x v="0"/>
    <x v="0"/>
    <x v="9"/>
    <x v="19"/>
    <s v="SE3A"/>
    <x v="7"/>
    <s v="GNR_ROR_WTR"/>
    <x v="0"/>
    <x v="19"/>
    <n v="612.63215465133601"/>
    <n v="223610.73644773799"/>
    <n v="804998.651211855"/>
  </r>
  <r>
    <x v="0"/>
    <x v="0"/>
    <x v="0"/>
    <x v="9"/>
    <x v="19"/>
    <s v="SE3A"/>
    <x v="7"/>
    <s v="GNR_ROR_WTR"/>
    <x v="0"/>
    <x v="20"/>
    <n v="612.63215465133601"/>
    <n v="223610.73644773799"/>
    <n v="804998.651211855"/>
  </r>
  <r>
    <x v="0"/>
    <x v="0"/>
    <x v="0"/>
    <x v="9"/>
    <x v="19"/>
    <s v="SE3A"/>
    <x v="7"/>
    <s v="GNR_ROR_WTR"/>
    <x v="0"/>
    <x v="21"/>
    <n v="612.63215465133601"/>
    <n v="223610.73644773799"/>
    <n v="804998.651211855"/>
  </r>
  <r>
    <x v="0"/>
    <x v="0"/>
    <x v="0"/>
    <x v="9"/>
    <x v="19"/>
    <s v="SE3A"/>
    <x v="7"/>
    <s v="GNR_ROR_WTR"/>
    <x v="0"/>
    <x v="22"/>
    <n v="612.63215465133601"/>
    <n v="223610.73644773799"/>
    <n v="804998.651211855"/>
  </r>
  <r>
    <x v="0"/>
    <x v="0"/>
    <x v="0"/>
    <x v="9"/>
    <x v="19"/>
    <s v="SE3A"/>
    <x v="7"/>
    <s v="GNR_ROR_WTR"/>
    <x v="0"/>
    <x v="23"/>
    <n v="612.63215465133601"/>
    <n v="223610.73644773799"/>
    <n v="804998.651211855"/>
  </r>
  <r>
    <x v="0"/>
    <x v="0"/>
    <x v="0"/>
    <x v="9"/>
    <x v="19"/>
    <s v="SE3A"/>
    <x v="8"/>
    <s v="GNR_WT_WIND_ONS"/>
    <x v="0"/>
    <x v="0"/>
    <n v="630.20853809515404"/>
    <n v="230026.116404731"/>
    <n v="828094.019057033"/>
  </r>
  <r>
    <x v="0"/>
    <x v="0"/>
    <x v="0"/>
    <x v="9"/>
    <x v="19"/>
    <s v="SE3A"/>
    <x v="8"/>
    <s v="GNR_WT_WIND_ONS"/>
    <x v="0"/>
    <x v="1"/>
    <n v="579.90689185148904"/>
    <n v="211666.01552579299"/>
    <n v="761997.65589285595"/>
  </r>
  <r>
    <x v="0"/>
    <x v="0"/>
    <x v="0"/>
    <x v="9"/>
    <x v="19"/>
    <s v="SE3A"/>
    <x v="8"/>
    <s v="GNR_WT_WIND_ONS"/>
    <x v="0"/>
    <x v="2"/>
    <n v="484.39772577407001"/>
    <n v="176805.16990753499"/>
    <n v="636498.611667127"/>
  </r>
  <r>
    <x v="0"/>
    <x v="0"/>
    <x v="0"/>
    <x v="9"/>
    <x v="19"/>
    <s v="SE3A"/>
    <x v="8"/>
    <s v="GNR_WT_WIND_ONS"/>
    <x v="0"/>
    <x v="3"/>
    <n v="326.61875594709801"/>
    <n v="119215.845920691"/>
    <n v="429177.04531448701"/>
  </r>
  <r>
    <x v="0"/>
    <x v="0"/>
    <x v="0"/>
    <x v="9"/>
    <x v="19"/>
    <s v="SE3A"/>
    <x v="8"/>
    <s v="GNR_WT_WIND_ONS"/>
    <x v="0"/>
    <x v="18"/>
    <n v="314.45614213319999"/>
    <n v="114776.49187861801"/>
    <n v="413195.37076302402"/>
  </r>
  <r>
    <x v="0"/>
    <x v="0"/>
    <x v="0"/>
    <x v="9"/>
    <x v="19"/>
    <s v="SE3A"/>
    <x v="8"/>
    <s v="GNR_WT_WIND_ONS"/>
    <x v="0"/>
    <x v="4"/>
    <n v="253.32181962193101"/>
    <n v="92462.464162004995"/>
    <n v="332864.87098321802"/>
  </r>
  <r>
    <x v="0"/>
    <x v="0"/>
    <x v="0"/>
    <x v="9"/>
    <x v="19"/>
    <s v="SE3A"/>
    <x v="8"/>
    <s v="GNR_WT_WIND_ONS"/>
    <x v="0"/>
    <x v="5"/>
    <n v="229.02111023963499"/>
    <n v="83592.705237466696"/>
    <n v="300933.73885487998"/>
  </r>
  <r>
    <x v="0"/>
    <x v="0"/>
    <x v="0"/>
    <x v="9"/>
    <x v="19"/>
    <s v="SE3A"/>
    <x v="8"/>
    <s v="GNR_WT_WIND_ONS"/>
    <x v="0"/>
    <x v="6"/>
    <n v="290.23404835149501"/>
    <n v="105935.427648296"/>
    <n v="381367.539533865"/>
  </r>
  <r>
    <x v="0"/>
    <x v="0"/>
    <x v="0"/>
    <x v="9"/>
    <x v="19"/>
    <s v="SE3A"/>
    <x v="8"/>
    <s v="GNR_WT_WIND_ONS"/>
    <x v="0"/>
    <x v="7"/>
    <n v="341.828714981524"/>
    <n v="124767.480968256"/>
    <n v="449162.93148572301"/>
  </r>
  <r>
    <x v="0"/>
    <x v="0"/>
    <x v="0"/>
    <x v="9"/>
    <x v="19"/>
    <s v="SE3A"/>
    <x v="8"/>
    <s v="GNR_WT_WIND_ONS"/>
    <x v="0"/>
    <x v="8"/>
    <n v="366.085104322625"/>
    <n v="133621.06307775801"/>
    <n v="481035.82707992999"/>
  </r>
  <r>
    <x v="0"/>
    <x v="0"/>
    <x v="0"/>
    <x v="9"/>
    <x v="19"/>
    <s v="SE3A"/>
    <x v="8"/>
    <s v="GNR_WT_WIND_ONS"/>
    <x v="0"/>
    <x v="9"/>
    <n v="466.50690668697302"/>
    <n v="170275.02094074499"/>
    <n v="612990.07538668194"/>
  </r>
  <r>
    <x v="0"/>
    <x v="0"/>
    <x v="0"/>
    <x v="9"/>
    <x v="19"/>
    <s v="SE3A"/>
    <x v="8"/>
    <s v="GNR_WT_WIND_ONS"/>
    <x v="0"/>
    <x v="10"/>
    <n v="484.76302372561099"/>
    <n v="176938.50365984801"/>
    <n v="636978.61317545304"/>
  </r>
  <r>
    <x v="0"/>
    <x v="0"/>
    <x v="0"/>
    <x v="9"/>
    <x v="19"/>
    <s v="SE3A"/>
    <x v="8"/>
    <s v="GNR_WT_WIND_ONS"/>
    <x v="0"/>
    <x v="11"/>
    <n v="538.46831379855098"/>
    <n v="196540.934536471"/>
    <n v="707547.36433129502"/>
  </r>
  <r>
    <x v="0"/>
    <x v="0"/>
    <x v="0"/>
    <x v="9"/>
    <x v="19"/>
    <s v="SE3A"/>
    <x v="8"/>
    <s v="GNR_WT_WIND_ONS"/>
    <x v="0"/>
    <x v="12"/>
    <n v="656.69087293918301"/>
    <n v="239692.16862280201"/>
    <n v="862891.80704208696"/>
  </r>
  <r>
    <x v="0"/>
    <x v="0"/>
    <x v="0"/>
    <x v="9"/>
    <x v="19"/>
    <s v="SE3A"/>
    <x v="8"/>
    <s v="GNR_WT_WIND_ONS"/>
    <x v="0"/>
    <x v="13"/>
    <n v="735.71913857775405"/>
    <n v="268537.48558088002"/>
    <n v="966734.94809116796"/>
  </r>
  <r>
    <x v="0"/>
    <x v="0"/>
    <x v="0"/>
    <x v="9"/>
    <x v="19"/>
    <s v="SE3A"/>
    <x v="8"/>
    <s v="GNR_WT_WIND_ONS"/>
    <x v="0"/>
    <x v="14"/>
    <n v="790.35722815734005"/>
    <n v="288480.38827742898"/>
    <n v="1038529.39779875"/>
  </r>
  <r>
    <x v="0"/>
    <x v="0"/>
    <x v="0"/>
    <x v="9"/>
    <x v="19"/>
    <s v="SE3A"/>
    <x v="8"/>
    <s v="GNR_WT_WIND_ONS"/>
    <x v="0"/>
    <x v="15"/>
    <n v="802.40127836496401"/>
    <n v="292876.466603212"/>
    <n v="1054355.2797715601"/>
  </r>
  <r>
    <x v="0"/>
    <x v="0"/>
    <x v="0"/>
    <x v="9"/>
    <x v="19"/>
    <s v="SE3A"/>
    <x v="8"/>
    <s v="GNR_WT_WIND_ONS"/>
    <x v="0"/>
    <x v="16"/>
    <n v="849.83711408234603"/>
    <n v="310190.54664005601"/>
    <n v="1116685.9679042001"/>
  </r>
  <r>
    <x v="0"/>
    <x v="0"/>
    <x v="0"/>
    <x v="9"/>
    <x v="19"/>
    <s v="SE3A"/>
    <x v="8"/>
    <s v="GNR_WT_WIND_ONS"/>
    <x v="0"/>
    <x v="17"/>
    <n v="808.02531654920199"/>
    <n v="294929.240540459"/>
    <n v="1061745.2659456499"/>
  </r>
  <r>
    <x v="0"/>
    <x v="0"/>
    <x v="0"/>
    <x v="9"/>
    <x v="19"/>
    <s v="SE3A"/>
    <x v="8"/>
    <s v="GNR_WT_WIND_ONS"/>
    <x v="0"/>
    <x v="19"/>
    <n v="720.59362992718195"/>
    <n v="263016.674923421"/>
    <n v="946860.02972431702"/>
  </r>
  <r>
    <x v="0"/>
    <x v="0"/>
    <x v="0"/>
    <x v="9"/>
    <x v="19"/>
    <s v="SE3A"/>
    <x v="8"/>
    <s v="GNR_WT_WIND_ONS"/>
    <x v="0"/>
    <x v="20"/>
    <n v="606.34139768049897"/>
    <n v="221314.610153382"/>
    <n v="796732.59655217605"/>
  </r>
  <r>
    <x v="0"/>
    <x v="0"/>
    <x v="0"/>
    <x v="9"/>
    <x v="19"/>
    <s v="SE3A"/>
    <x v="8"/>
    <s v="GNR_WT_WIND_ONS"/>
    <x v="0"/>
    <x v="21"/>
    <n v="491.218348343532"/>
    <n v="179294.69714538899"/>
    <n v="645460.90972340095"/>
  </r>
  <r>
    <x v="0"/>
    <x v="0"/>
    <x v="0"/>
    <x v="9"/>
    <x v="19"/>
    <s v="SE3A"/>
    <x v="8"/>
    <s v="GNR_WT_WIND_ONS"/>
    <x v="0"/>
    <x v="22"/>
    <n v="460.57818341426201"/>
    <n v="168111.036946206"/>
    <n v="605199.73300634103"/>
  </r>
  <r>
    <x v="0"/>
    <x v="0"/>
    <x v="0"/>
    <x v="9"/>
    <x v="19"/>
    <s v="SE3A"/>
    <x v="8"/>
    <s v="GNR_WT_WIND_ONS"/>
    <x v="0"/>
    <x v="23"/>
    <n v="486.87519095492598"/>
    <n v="177709.444698548"/>
    <n v="639754.00091477297"/>
  </r>
  <r>
    <x v="0"/>
    <x v="0"/>
    <x v="0"/>
    <x v="9"/>
    <x v="19"/>
    <s v="SE3_EL"/>
    <x v="0"/>
    <s v="GEXT_COAL_LINK"/>
    <x v="0"/>
    <x v="3"/>
    <n v="16.8980867250208"/>
    <n v="6167.8016546325798"/>
    <n v="22204.0859566773"/>
  </r>
  <r>
    <x v="0"/>
    <x v="0"/>
    <x v="0"/>
    <x v="9"/>
    <x v="19"/>
    <s v="SE3_EL"/>
    <x v="0"/>
    <s v="GEXT_COAL_LINK"/>
    <x v="0"/>
    <x v="18"/>
    <n v="44.756262817724199"/>
    <n v="16336.0359284693"/>
    <n v="58809.729342489598"/>
  </r>
  <r>
    <x v="0"/>
    <x v="0"/>
    <x v="0"/>
    <x v="9"/>
    <x v="19"/>
    <s v="SE3_EL"/>
    <x v="0"/>
    <s v="GEXT_COAL_LINK"/>
    <x v="0"/>
    <x v="4"/>
    <n v="44.756262817724199"/>
    <n v="16336.0359284693"/>
    <n v="58809.729342489598"/>
  </r>
  <r>
    <x v="0"/>
    <x v="0"/>
    <x v="0"/>
    <x v="9"/>
    <x v="19"/>
    <s v="SE3_EL"/>
    <x v="0"/>
    <s v="GEXT_COAL_LINK"/>
    <x v="0"/>
    <x v="5"/>
    <n v="44.756262817724199"/>
    <n v="16336.0359284693"/>
    <n v="58809.729342489598"/>
  </r>
  <r>
    <x v="0"/>
    <x v="0"/>
    <x v="0"/>
    <x v="9"/>
    <x v="19"/>
    <s v="SE3_EL"/>
    <x v="0"/>
    <s v="GEXT_COAL_LINK"/>
    <x v="0"/>
    <x v="6"/>
    <n v="44.756262817724199"/>
    <n v="16336.0359284693"/>
    <n v="58809.729342489598"/>
  </r>
  <r>
    <x v="0"/>
    <x v="0"/>
    <x v="0"/>
    <x v="9"/>
    <x v="19"/>
    <s v="SE3_EL"/>
    <x v="0"/>
    <s v="GEXT_COAL_LINK"/>
    <x v="0"/>
    <x v="7"/>
    <n v="44.756262817724199"/>
    <n v="16336.0359284693"/>
    <n v="58809.729342489598"/>
  </r>
  <r>
    <x v="0"/>
    <x v="0"/>
    <x v="0"/>
    <x v="9"/>
    <x v="19"/>
    <s v="SE3_EL"/>
    <x v="0"/>
    <s v="GEXT_COAL_LINK"/>
    <x v="0"/>
    <x v="8"/>
    <n v="44.756262817724199"/>
    <n v="16336.0359284693"/>
    <n v="58809.729342489598"/>
  </r>
  <r>
    <x v="0"/>
    <x v="0"/>
    <x v="0"/>
    <x v="9"/>
    <x v="19"/>
    <s v="SE3_EL"/>
    <x v="0"/>
    <s v="GEXT_COAL_LINK"/>
    <x v="0"/>
    <x v="9"/>
    <n v="44.756262817724199"/>
    <n v="16336.0359284693"/>
    <n v="58809.729342489598"/>
  </r>
  <r>
    <x v="0"/>
    <x v="0"/>
    <x v="0"/>
    <x v="9"/>
    <x v="19"/>
    <s v="SE3_EL"/>
    <x v="0"/>
    <s v="GEXT_COAL_LINK"/>
    <x v="0"/>
    <x v="10"/>
    <n v="44.756262817724199"/>
    <n v="16336.0359284693"/>
    <n v="58809.729342489598"/>
  </r>
  <r>
    <x v="0"/>
    <x v="0"/>
    <x v="0"/>
    <x v="9"/>
    <x v="19"/>
    <s v="SE3_EL"/>
    <x v="0"/>
    <s v="GEXT_COAL_LINK"/>
    <x v="0"/>
    <x v="11"/>
    <n v="44.756262817724199"/>
    <n v="16336.0359284693"/>
    <n v="58809.729342489598"/>
  </r>
  <r>
    <x v="0"/>
    <x v="0"/>
    <x v="0"/>
    <x v="9"/>
    <x v="19"/>
    <s v="SE3_EL"/>
    <x v="0"/>
    <s v="GEXT_COAL_LINK"/>
    <x v="0"/>
    <x v="12"/>
    <n v="44.756262817724199"/>
    <n v="16336.0359284693"/>
    <n v="58809.729342489598"/>
  </r>
  <r>
    <x v="0"/>
    <x v="0"/>
    <x v="0"/>
    <x v="9"/>
    <x v="19"/>
    <s v="SE3_EL"/>
    <x v="0"/>
    <s v="GEXT_COAL_LINK"/>
    <x v="0"/>
    <x v="13"/>
    <n v="44.756262817724199"/>
    <n v="16336.0359284693"/>
    <n v="58809.729342489598"/>
  </r>
  <r>
    <x v="0"/>
    <x v="0"/>
    <x v="0"/>
    <x v="9"/>
    <x v="19"/>
    <s v="SE3_EL"/>
    <x v="0"/>
    <s v="GEXT_COAL_LINK"/>
    <x v="0"/>
    <x v="14"/>
    <n v="44.756262817724199"/>
    <n v="16336.0359284693"/>
    <n v="58809.729342489598"/>
  </r>
  <r>
    <x v="0"/>
    <x v="0"/>
    <x v="0"/>
    <x v="9"/>
    <x v="19"/>
    <s v="SE3_EL"/>
    <x v="0"/>
    <s v="GEXT_COAL_LINK"/>
    <x v="0"/>
    <x v="15"/>
    <n v="44.756262817724199"/>
    <n v="16336.0359284693"/>
    <n v="58809.729342489598"/>
  </r>
  <r>
    <x v="0"/>
    <x v="0"/>
    <x v="0"/>
    <x v="9"/>
    <x v="19"/>
    <s v="SE3_EL"/>
    <x v="0"/>
    <s v="GEXT_COAL_LINK"/>
    <x v="0"/>
    <x v="16"/>
    <n v="44.756262817724199"/>
    <n v="16336.0359284693"/>
    <n v="58809.729342489598"/>
  </r>
  <r>
    <x v="0"/>
    <x v="0"/>
    <x v="0"/>
    <x v="9"/>
    <x v="19"/>
    <s v="SE3_EL"/>
    <x v="0"/>
    <s v="GEXT_COAL_LINK"/>
    <x v="0"/>
    <x v="17"/>
    <n v="44.756262817724199"/>
    <n v="16336.0359284693"/>
    <n v="58809.729342489598"/>
  </r>
  <r>
    <x v="0"/>
    <x v="0"/>
    <x v="0"/>
    <x v="9"/>
    <x v="19"/>
    <s v="SE3_EL"/>
    <x v="0"/>
    <s v="GEXT_COAL_LINK"/>
    <x v="0"/>
    <x v="19"/>
    <n v="44.756262817724199"/>
    <n v="16336.0359284693"/>
    <n v="58809.729342489598"/>
  </r>
  <r>
    <x v="0"/>
    <x v="0"/>
    <x v="0"/>
    <x v="9"/>
    <x v="19"/>
    <s v="SE3_EL"/>
    <x v="0"/>
    <s v="GEXT_COAL_LINK"/>
    <x v="0"/>
    <x v="20"/>
    <n v="44.756262817724199"/>
    <n v="16336.0359284693"/>
    <n v="58809.729342489598"/>
  </r>
  <r>
    <x v="0"/>
    <x v="0"/>
    <x v="0"/>
    <x v="9"/>
    <x v="19"/>
    <s v="SE3_EL"/>
    <x v="0"/>
    <s v="GEXT_COAL_LINK"/>
    <x v="0"/>
    <x v="21"/>
    <n v="42.102359381119598"/>
    <n v="15367.361174108601"/>
    <n v="55322.500226791097"/>
  </r>
  <r>
    <x v="0"/>
    <x v="0"/>
    <x v="0"/>
    <x v="9"/>
    <x v="19"/>
    <s v="SE3_EL"/>
    <x v="2"/>
    <s v="GBPR_MUNIWASTE_24"/>
    <x v="0"/>
    <x v="0"/>
    <n v="265.34879853165199"/>
    <n v="96852.311464052895"/>
    <n v="348668.321270591"/>
  </r>
  <r>
    <x v="0"/>
    <x v="0"/>
    <x v="0"/>
    <x v="9"/>
    <x v="19"/>
    <s v="SE3_EL"/>
    <x v="2"/>
    <s v="GBPR_MUNIWASTE_24"/>
    <x v="0"/>
    <x v="1"/>
    <n v="265.34879853165199"/>
    <n v="96852.311464052895"/>
    <n v="348668.321270591"/>
  </r>
  <r>
    <x v="0"/>
    <x v="0"/>
    <x v="0"/>
    <x v="9"/>
    <x v="19"/>
    <s v="SE3_EL"/>
    <x v="2"/>
    <s v="GBPR_MUNIWASTE_24"/>
    <x v="0"/>
    <x v="2"/>
    <n v="265.34879853165199"/>
    <n v="96852.311464052895"/>
    <n v="348668.321270591"/>
  </r>
  <r>
    <x v="0"/>
    <x v="0"/>
    <x v="0"/>
    <x v="9"/>
    <x v="19"/>
    <s v="SE3_EL"/>
    <x v="2"/>
    <s v="GBPR_MUNIWASTE_24"/>
    <x v="0"/>
    <x v="3"/>
    <n v="265.34879853165199"/>
    <n v="96852.311464052895"/>
    <n v="348668.321270591"/>
  </r>
  <r>
    <x v="0"/>
    <x v="0"/>
    <x v="0"/>
    <x v="9"/>
    <x v="19"/>
    <s v="SE3_EL"/>
    <x v="2"/>
    <s v="GBPR_MUNIWASTE_24"/>
    <x v="0"/>
    <x v="18"/>
    <n v="265.34879853165199"/>
    <n v="96852.311464052895"/>
    <n v="348668.321270591"/>
  </r>
  <r>
    <x v="0"/>
    <x v="0"/>
    <x v="0"/>
    <x v="9"/>
    <x v="19"/>
    <s v="SE3_EL"/>
    <x v="2"/>
    <s v="GBPR_MUNIWASTE_24"/>
    <x v="0"/>
    <x v="4"/>
    <n v="265.34879853165199"/>
    <n v="96852.311464052895"/>
    <n v="348668.321270591"/>
  </r>
  <r>
    <x v="0"/>
    <x v="0"/>
    <x v="0"/>
    <x v="9"/>
    <x v="19"/>
    <s v="SE3_EL"/>
    <x v="2"/>
    <s v="GBPR_MUNIWASTE_24"/>
    <x v="0"/>
    <x v="5"/>
    <n v="265.34879853165199"/>
    <n v="96852.311464052895"/>
    <n v="348668.321270591"/>
  </r>
  <r>
    <x v="0"/>
    <x v="0"/>
    <x v="0"/>
    <x v="9"/>
    <x v="19"/>
    <s v="SE3_EL"/>
    <x v="2"/>
    <s v="GBPR_MUNIWASTE_24"/>
    <x v="0"/>
    <x v="6"/>
    <n v="265.34879853165199"/>
    <n v="96852.311464052895"/>
    <n v="348668.321270591"/>
  </r>
  <r>
    <x v="0"/>
    <x v="0"/>
    <x v="0"/>
    <x v="9"/>
    <x v="19"/>
    <s v="SE3_EL"/>
    <x v="2"/>
    <s v="GBPR_MUNIWASTE_24"/>
    <x v="0"/>
    <x v="7"/>
    <n v="265.34879853165199"/>
    <n v="96852.311464052895"/>
    <n v="348668.321270591"/>
  </r>
  <r>
    <x v="0"/>
    <x v="0"/>
    <x v="0"/>
    <x v="9"/>
    <x v="19"/>
    <s v="SE3_EL"/>
    <x v="2"/>
    <s v="GBPR_MUNIWASTE_24"/>
    <x v="0"/>
    <x v="8"/>
    <n v="265.34879853165199"/>
    <n v="96852.311464052895"/>
    <n v="348668.321270591"/>
  </r>
  <r>
    <x v="0"/>
    <x v="0"/>
    <x v="0"/>
    <x v="9"/>
    <x v="19"/>
    <s v="SE3_EL"/>
    <x v="2"/>
    <s v="GBPR_MUNIWASTE_24"/>
    <x v="0"/>
    <x v="9"/>
    <n v="265.34879853165199"/>
    <n v="96852.311464052895"/>
    <n v="348668.321270591"/>
  </r>
  <r>
    <x v="0"/>
    <x v="0"/>
    <x v="0"/>
    <x v="9"/>
    <x v="19"/>
    <s v="SE3_EL"/>
    <x v="2"/>
    <s v="GBPR_MUNIWASTE_24"/>
    <x v="0"/>
    <x v="10"/>
    <n v="265.34879853165199"/>
    <n v="96852.311464052895"/>
    <n v="348668.321270591"/>
  </r>
  <r>
    <x v="0"/>
    <x v="0"/>
    <x v="0"/>
    <x v="9"/>
    <x v="19"/>
    <s v="SE3_EL"/>
    <x v="2"/>
    <s v="GBPR_MUNIWASTE_24"/>
    <x v="0"/>
    <x v="11"/>
    <n v="265.34879853165199"/>
    <n v="96852.311464052895"/>
    <n v="348668.321270591"/>
  </r>
  <r>
    <x v="0"/>
    <x v="0"/>
    <x v="0"/>
    <x v="9"/>
    <x v="19"/>
    <s v="SE3_EL"/>
    <x v="2"/>
    <s v="GBPR_MUNIWASTE_24"/>
    <x v="0"/>
    <x v="12"/>
    <n v="265.34879853165199"/>
    <n v="96852.311464052895"/>
    <n v="348668.321270591"/>
  </r>
  <r>
    <x v="0"/>
    <x v="0"/>
    <x v="0"/>
    <x v="9"/>
    <x v="19"/>
    <s v="SE3_EL"/>
    <x v="2"/>
    <s v="GBPR_MUNIWASTE_24"/>
    <x v="0"/>
    <x v="13"/>
    <n v="265.34879853165199"/>
    <n v="96852.311464052895"/>
    <n v="348668.321270591"/>
  </r>
  <r>
    <x v="0"/>
    <x v="0"/>
    <x v="0"/>
    <x v="9"/>
    <x v="19"/>
    <s v="SE3_EL"/>
    <x v="2"/>
    <s v="GBPR_MUNIWASTE_24"/>
    <x v="0"/>
    <x v="14"/>
    <n v="265.34879853165199"/>
    <n v="96852.311464052895"/>
    <n v="348668.321270591"/>
  </r>
  <r>
    <x v="0"/>
    <x v="0"/>
    <x v="0"/>
    <x v="9"/>
    <x v="19"/>
    <s v="SE3_EL"/>
    <x v="2"/>
    <s v="GBPR_MUNIWASTE_24"/>
    <x v="0"/>
    <x v="15"/>
    <n v="265.34879853165199"/>
    <n v="96852.311464052895"/>
    <n v="348668.321270591"/>
  </r>
  <r>
    <x v="0"/>
    <x v="0"/>
    <x v="0"/>
    <x v="9"/>
    <x v="19"/>
    <s v="SE3_EL"/>
    <x v="2"/>
    <s v="GBPR_MUNIWASTE_24"/>
    <x v="0"/>
    <x v="16"/>
    <n v="265.34879853165199"/>
    <n v="96852.311464052895"/>
    <n v="348668.321270591"/>
  </r>
  <r>
    <x v="0"/>
    <x v="0"/>
    <x v="0"/>
    <x v="9"/>
    <x v="19"/>
    <s v="SE3_EL"/>
    <x v="2"/>
    <s v="GBPR_MUNIWASTE_24"/>
    <x v="0"/>
    <x v="17"/>
    <n v="265.34879853165199"/>
    <n v="96852.311464052895"/>
    <n v="348668.321270591"/>
  </r>
  <r>
    <x v="0"/>
    <x v="0"/>
    <x v="0"/>
    <x v="9"/>
    <x v="19"/>
    <s v="SE3_EL"/>
    <x v="2"/>
    <s v="GBPR_MUNIWASTE_24"/>
    <x v="0"/>
    <x v="19"/>
    <n v="265.34879853165199"/>
    <n v="96852.311464052895"/>
    <n v="348668.321270591"/>
  </r>
  <r>
    <x v="0"/>
    <x v="0"/>
    <x v="0"/>
    <x v="9"/>
    <x v="19"/>
    <s v="SE3_EL"/>
    <x v="2"/>
    <s v="GBPR_MUNIWASTE_24"/>
    <x v="0"/>
    <x v="20"/>
    <n v="265.34879853165199"/>
    <n v="96852.311464052895"/>
    <n v="348668.321270591"/>
  </r>
  <r>
    <x v="0"/>
    <x v="0"/>
    <x v="0"/>
    <x v="9"/>
    <x v="19"/>
    <s v="SE3_EL"/>
    <x v="2"/>
    <s v="GBPR_MUNIWASTE_24"/>
    <x v="0"/>
    <x v="21"/>
    <n v="265.34879853165199"/>
    <n v="96852.311464052895"/>
    <n v="348668.321270591"/>
  </r>
  <r>
    <x v="0"/>
    <x v="0"/>
    <x v="0"/>
    <x v="9"/>
    <x v="19"/>
    <s v="SE3_EL"/>
    <x v="2"/>
    <s v="GBPR_MUNIWASTE_24"/>
    <x v="0"/>
    <x v="22"/>
    <n v="265.34879853165199"/>
    <n v="96852.311464052895"/>
    <n v="348668.321270591"/>
  </r>
  <r>
    <x v="0"/>
    <x v="0"/>
    <x v="0"/>
    <x v="9"/>
    <x v="19"/>
    <s v="SE3_EL"/>
    <x v="2"/>
    <s v="GBPR_MUNIWASTE_24"/>
    <x v="0"/>
    <x v="23"/>
    <n v="265.34879853165199"/>
    <n v="96852.311464052895"/>
    <n v="348668.321270591"/>
  </r>
  <r>
    <x v="0"/>
    <x v="0"/>
    <x v="0"/>
    <x v="9"/>
    <x v="19"/>
    <s v="SE3_EL"/>
    <x v="2"/>
    <s v="GBPR_MUNIWASTE_LINK"/>
    <x v="0"/>
    <x v="0"/>
    <n v="240.586579408186"/>
    <n v="87814.101483987906"/>
    <n v="316130.765342356"/>
  </r>
  <r>
    <x v="0"/>
    <x v="0"/>
    <x v="0"/>
    <x v="9"/>
    <x v="19"/>
    <s v="SE3_EL"/>
    <x v="2"/>
    <s v="GBPR_MUNIWASTE_LINK"/>
    <x v="0"/>
    <x v="1"/>
    <n v="240.586579408186"/>
    <n v="87814.101483987906"/>
    <n v="316130.765342356"/>
  </r>
  <r>
    <x v="0"/>
    <x v="0"/>
    <x v="0"/>
    <x v="9"/>
    <x v="19"/>
    <s v="SE3_EL"/>
    <x v="2"/>
    <s v="GBPR_MUNIWASTE_LINK"/>
    <x v="0"/>
    <x v="2"/>
    <n v="240.586579408186"/>
    <n v="87814.101483987906"/>
    <n v="316130.765342356"/>
  </r>
  <r>
    <x v="0"/>
    <x v="0"/>
    <x v="0"/>
    <x v="9"/>
    <x v="19"/>
    <s v="SE3_EL"/>
    <x v="2"/>
    <s v="GBPR_MUNIWASTE_LINK"/>
    <x v="0"/>
    <x v="3"/>
    <n v="240.586579408186"/>
    <n v="87814.101483987906"/>
    <n v="316130.765342356"/>
  </r>
  <r>
    <x v="0"/>
    <x v="0"/>
    <x v="0"/>
    <x v="9"/>
    <x v="19"/>
    <s v="SE3_EL"/>
    <x v="2"/>
    <s v="GBPR_MUNIWASTE_LINK"/>
    <x v="0"/>
    <x v="18"/>
    <n v="240.586579408186"/>
    <n v="87814.101483987906"/>
    <n v="316130.765342356"/>
  </r>
  <r>
    <x v="0"/>
    <x v="0"/>
    <x v="0"/>
    <x v="9"/>
    <x v="19"/>
    <s v="SE3_EL"/>
    <x v="2"/>
    <s v="GBPR_MUNIWASTE_LINK"/>
    <x v="0"/>
    <x v="4"/>
    <n v="240.586579408186"/>
    <n v="87814.101483987906"/>
    <n v="316130.765342356"/>
  </r>
  <r>
    <x v="0"/>
    <x v="0"/>
    <x v="0"/>
    <x v="9"/>
    <x v="19"/>
    <s v="SE3_EL"/>
    <x v="2"/>
    <s v="GBPR_MUNIWASTE_LINK"/>
    <x v="0"/>
    <x v="5"/>
    <n v="240.586579408186"/>
    <n v="87814.101483987906"/>
    <n v="316130.765342356"/>
  </r>
  <r>
    <x v="0"/>
    <x v="0"/>
    <x v="0"/>
    <x v="9"/>
    <x v="19"/>
    <s v="SE3_EL"/>
    <x v="2"/>
    <s v="GBPR_MUNIWASTE_LINK"/>
    <x v="0"/>
    <x v="6"/>
    <n v="240.586579408186"/>
    <n v="87814.101483987906"/>
    <n v="316130.765342356"/>
  </r>
  <r>
    <x v="0"/>
    <x v="0"/>
    <x v="0"/>
    <x v="9"/>
    <x v="19"/>
    <s v="SE3_EL"/>
    <x v="2"/>
    <s v="GBPR_MUNIWASTE_LINK"/>
    <x v="0"/>
    <x v="7"/>
    <n v="240.586579408186"/>
    <n v="87814.101483987906"/>
    <n v="316130.765342356"/>
  </r>
  <r>
    <x v="0"/>
    <x v="0"/>
    <x v="0"/>
    <x v="9"/>
    <x v="19"/>
    <s v="SE3_EL"/>
    <x v="2"/>
    <s v="GBPR_MUNIWASTE_LINK"/>
    <x v="0"/>
    <x v="8"/>
    <n v="240.586579408186"/>
    <n v="87814.101483987906"/>
    <n v="316130.765342356"/>
  </r>
  <r>
    <x v="0"/>
    <x v="0"/>
    <x v="0"/>
    <x v="9"/>
    <x v="19"/>
    <s v="SE3_EL"/>
    <x v="2"/>
    <s v="GBPR_MUNIWASTE_LINK"/>
    <x v="0"/>
    <x v="9"/>
    <n v="240.586579408186"/>
    <n v="87814.101483987906"/>
    <n v="316130.765342356"/>
  </r>
  <r>
    <x v="0"/>
    <x v="0"/>
    <x v="0"/>
    <x v="9"/>
    <x v="19"/>
    <s v="SE3_EL"/>
    <x v="2"/>
    <s v="GBPR_MUNIWASTE_LINK"/>
    <x v="0"/>
    <x v="10"/>
    <n v="240.586579408186"/>
    <n v="87814.101483987906"/>
    <n v="316130.765342356"/>
  </r>
  <r>
    <x v="0"/>
    <x v="0"/>
    <x v="0"/>
    <x v="9"/>
    <x v="19"/>
    <s v="SE3_EL"/>
    <x v="2"/>
    <s v="GBPR_MUNIWASTE_LINK"/>
    <x v="0"/>
    <x v="11"/>
    <n v="240.586579408186"/>
    <n v="87814.101483987906"/>
    <n v="316130.765342356"/>
  </r>
  <r>
    <x v="0"/>
    <x v="0"/>
    <x v="0"/>
    <x v="9"/>
    <x v="19"/>
    <s v="SE3_EL"/>
    <x v="2"/>
    <s v="GBPR_MUNIWASTE_LINK"/>
    <x v="0"/>
    <x v="12"/>
    <n v="240.586579408186"/>
    <n v="87814.101483987906"/>
    <n v="316130.765342356"/>
  </r>
  <r>
    <x v="0"/>
    <x v="0"/>
    <x v="0"/>
    <x v="9"/>
    <x v="19"/>
    <s v="SE3_EL"/>
    <x v="2"/>
    <s v="GBPR_MUNIWASTE_LINK"/>
    <x v="0"/>
    <x v="13"/>
    <n v="240.586579408186"/>
    <n v="87814.101483987906"/>
    <n v="316130.765342356"/>
  </r>
  <r>
    <x v="0"/>
    <x v="0"/>
    <x v="0"/>
    <x v="9"/>
    <x v="19"/>
    <s v="SE3_EL"/>
    <x v="2"/>
    <s v="GBPR_MUNIWASTE_LINK"/>
    <x v="0"/>
    <x v="14"/>
    <n v="240.586579408186"/>
    <n v="87814.101483987906"/>
    <n v="316130.765342356"/>
  </r>
  <r>
    <x v="0"/>
    <x v="0"/>
    <x v="0"/>
    <x v="9"/>
    <x v="19"/>
    <s v="SE3_EL"/>
    <x v="2"/>
    <s v="GBPR_MUNIWASTE_LINK"/>
    <x v="0"/>
    <x v="15"/>
    <n v="240.586579408186"/>
    <n v="87814.101483987906"/>
    <n v="316130.765342356"/>
  </r>
  <r>
    <x v="0"/>
    <x v="0"/>
    <x v="0"/>
    <x v="9"/>
    <x v="19"/>
    <s v="SE3_EL"/>
    <x v="2"/>
    <s v="GBPR_MUNIWASTE_LINK"/>
    <x v="0"/>
    <x v="16"/>
    <n v="240.586579408186"/>
    <n v="87814.101483987906"/>
    <n v="316130.765342356"/>
  </r>
  <r>
    <x v="0"/>
    <x v="0"/>
    <x v="0"/>
    <x v="9"/>
    <x v="19"/>
    <s v="SE3_EL"/>
    <x v="2"/>
    <s v="GBPR_MUNIWASTE_LINK"/>
    <x v="0"/>
    <x v="17"/>
    <n v="240.586579408186"/>
    <n v="87814.101483987906"/>
    <n v="316130.765342356"/>
  </r>
  <r>
    <x v="0"/>
    <x v="0"/>
    <x v="0"/>
    <x v="9"/>
    <x v="19"/>
    <s v="SE3_EL"/>
    <x v="2"/>
    <s v="GBPR_MUNIWASTE_LINK"/>
    <x v="0"/>
    <x v="19"/>
    <n v="240.586579408186"/>
    <n v="87814.101483987906"/>
    <n v="316130.765342356"/>
  </r>
  <r>
    <x v="0"/>
    <x v="0"/>
    <x v="0"/>
    <x v="9"/>
    <x v="19"/>
    <s v="SE3_EL"/>
    <x v="2"/>
    <s v="GBPR_MUNIWASTE_LINK"/>
    <x v="0"/>
    <x v="20"/>
    <n v="240.586579408186"/>
    <n v="87814.101483987906"/>
    <n v="316130.765342356"/>
  </r>
  <r>
    <x v="0"/>
    <x v="0"/>
    <x v="0"/>
    <x v="9"/>
    <x v="19"/>
    <s v="SE3_EL"/>
    <x v="2"/>
    <s v="GBPR_MUNIWASTE_LINK"/>
    <x v="0"/>
    <x v="21"/>
    <n v="240.586579408186"/>
    <n v="87814.101483987906"/>
    <n v="316130.765342356"/>
  </r>
  <r>
    <x v="0"/>
    <x v="0"/>
    <x v="0"/>
    <x v="9"/>
    <x v="19"/>
    <s v="SE3_EL"/>
    <x v="2"/>
    <s v="GBPR_MUNIWASTE_LINK"/>
    <x v="0"/>
    <x v="22"/>
    <n v="240.586579408186"/>
    <n v="87814.101483987906"/>
    <n v="316130.765342356"/>
  </r>
  <r>
    <x v="0"/>
    <x v="0"/>
    <x v="0"/>
    <x v="9"/>
    <x v="19"/>
    <s v="SE3_EL"/>
    <x v="2"/>
    <s v="GBPR_MUNIWASTE_LINK"/>
    <x v="0"/>
    <x v="23"/>
    <n v="240.586579408186"/>
    <n v="87814.101483987906"/>
    <n v="316130.765342356"/>
  </r>
  <r>
    <x v="0"/>
    <x v="0"/>
    <x v="0"/>
    <x v="9"/>
    <x v="19"/>
    <s v="SE3_EL"/>
    <x v="2"/>
    <s v="GHOB_MUNIWASTE"/>
    <x v="0"/>
    <x v="0"/>
    <n v="209.18256201999799"/>
    <n v="76351.635137299294"/>
    <n v="274865.88649427699"/>
  </r>
  <r>
    <x v="0"/>
    <x v="0"/>
    <x v="0"/>
    <x v="9"/>
    <x v="19"/>
    <s v="SE3_EL"/>
    <x v="2"/>
    <s v="GHOB_MUNIWASTE"/>
    <x v="0"/>
    <x v="1"/>
    <n v="209.18256201999799"/>
    <n v="76351.635137299294"/>
    <n v="274865.88649427699"/>
  </r>
  <r>
    <x v="0"/>
    <x v="0"/>
    <x v="0"/>
    <x v="9"/>
    <x v="19"/>
    <s v="SE3_EL"/>
    <x v="2"/>
    <s v="GHOB_MUNIWASTE"/>
    <x v="0"/>
    <x v="2"/>
    <n v="209.18256201999799"/>
    <n v="76351.635137299294"/>
    <n v="274865.88649427699"/>
  </r>
  <r>
    <x v="0"/>
    <x v="0"/>
    <x v="0"/>
    <x v="9"/>
    <x v="19"/>
    <s v="SE3_EL"/>
    <x v="2"/>
    <s v="GHOB_MUNIWASTE"/>
    <x v="0"/>
    <x v="3"/>
    <n v="209.18256201999799"/>
    <n v="76351.635137299294"/>
    <n v="274865.88649427699"/>
  </r>
  <r>
    <x v="0"/>
    <x v="0"/>
    <x v="0"/>
    <x v="9"/>
    <x v="19"/>
    <s v="SE3_EL"/>
    <x v="2"/>
    <s v="GHOB_MUNIWASTE"/>
    <x v="0"/>
    <x v="18"/>
    <n v="209.18256201999799"/>
    <n v="76351.635137299294"/>
    <n v="274865.88649427699"/>
  </r>
  <r>
    <x v="0"/>
    <x v="0"/>
    <x v="0"/>
    <x v="9"/>
    <x v="19"/>
    <s v="SE3_EL"/>
    <x v="2"/>
    <s v="GHOB_MUNIWASTE"/>
    <x v="0"/>
    <x v="4"/>
    <n v="209.18256201999799"/>
    <n v="76351.635137299294"/>
    <n v="274865.88649427699"/>
  </r>
  <r>
    <x v="0"/>
    <x v="0"/>
    <x v="0"/>
    <x v="9"/>
    <x v="19"/>
    <s v="SE3_EL"/>
    <x v="2"/>
    <s v="GHOB_MUNIWASTE"/>
    <x v="0"/>
    <x v="5"/>
    <n v="209.18256201999799"/>
    <n v="76351.635137299294"/>
    <n v="274865.88649427699"/>
  </r>
  <r>
    <x v="0"/>
    <x v="0"/>
    <x v="0"/>
    <x v="9"/>
    <x v="19"/>
    <s v="SE3_EL"/>
    <x v="2"/>
    <s v="GHOB_MUNIWASTE"/>
    <x v="0"/>
    <x v="6"/>
    <n v="209.18256201999799"/>
    <n v="76351.635137299294"/>
    <n v="274865.88649427699"/>
  </r>
  <r>
    <x v="0"/>
    <x v="0"/>
    <x v="0"/>
    <x v="9"/>
    <x v="19"/>
    <s v="SE3_EL"/>
    <x v="2"/>
    <s v="GHOB_MUNIWASTE"/>
    <x v="0"/>
    <x v="7"/>
    <n v="209.18256201999799"/>
    <n v="76351.635137299294"/>
    <n v="274865.88649427699"/>
  </r>
  <r>
    <x v="0"/>
    <x v="0"/>
    <x v="0"/>
    <x v="9"/>
    <x v="19"/>
    <s v="SE3_EL"/>
    <x v="2"/>
    <s v="GHOB_MUNIWASTE"/>
    <x v="0"/>
    <x v="8"/>
    <n v="209.18256201999799"/>
    <n v="76351.635137299294"/>
    <n v="274865.88649427699"/>
  </r>
  <r>
    <x v="0"/>
    <x v="0"/>
    <x v="0"/>
    <x v="9"/>
    <x v="19"/>
    <s v="SE3_EL"/>
    <x v="2"/>
    <s v="GHOB_MUNIWASTE"/>
    <x v="0"/>
    <x v="9"/>
    <n v="209.18256201999799"/>
    <n v="76351.635137299294"/>
    <n v="274865.88649427699"/>
  </r>
  <r>
    <x v="0"/>
    <x v="0"/>
    <x v="0"/>
    <x v="9"/>
    <x v="19"/>
    <s v="SE3_EL"/>
    <x v="2"/>
    <s v="GHOB_MUNIWASTE"/>
    <x v="0"/>
    <x v="10"/>
    <n v="209.18256201999799"/>
    <n v="76351.635137299294"/>
    <n v="274865.88649427699"/>
  </r>
  <r>
    <x v="0"/>
    <x v="0"/>
    <x v="0"/>
    <x v="9"/>
    <x v="19"/>
    <s v="SE3_EL"/>
    <x v="2"/>
    <s v="GHOB_MUNIWASTE"/>
    <x v="0"/>
    <x v="11"/>
    <n v="209.18256201999799"/>
    <n v="76351.635137299294"/>
    <n v="274865.88649427699"/>
  </r>
  <r>
    <x v="0"/>
    <x v="0"/>
    <x v="0"/>
    <x v="9"/>
    <x v="19"/>
    <s v="SE3_EL"/>
    <x v="2"/>
    <s v="GHOB_MUNIWASTE"/>
    <x v="0"/>
    <x v="12"/>
    <n v="209.18256201999799"/>
    <n v="76351.635137299294"/>
    <n v="274865.88649427699"/>
  </r>
  <r>
    <x v="0"/>
    <x v="0"/>
    <x v="0"/>
    <x v="9"/>
    <x v="19"/>
    <s v="SE3_EL"/>
    <x v="2"/>
    <s v="GHOB_MUNIWASTE"/>
    <x v="0"/>
    <x v="13"/>
    <n v="209.18256201999799"/>
    <n v="76351.635137299294"/>
    <n v="274865.88649427699"/>
  </r>
  <r>
    <x v="0"/>
    <x v="0"/>
    <x v="0"/>
    <x v="9"/>
    <x v="19"/>
    <s v="SE3_EL"/>
    <x v="2"/>
    <s v="GHOB_MUNIWASTE"/>
    <x v="0"/>
    <x v="14"/>
    <n v="209.18256201999799"/>
    <n v="76351.635137299294"/>
    <n v="274865.88649427699"/>
  </r>
  <r>
    <x v="0"/>
    <x v="0"/>
    <x v="0"/>
    <x v="9"/>
    <x v="19"/>
    <s v="SE3_EL"/>
    <x v="2"/>
    <s v="GHOB_MUNIWASTE"/>
    <x v="0"/>
    <x v="15"/>
    <n v="209.18256201999799"/>
    <n v="76351.635137299294"/>
    <n v="274865.88649427699"/>
  </r>
  <r>
    <x v="0"/>
    <x v="0"/>
    <x v="0"/>
    <x v="9"/>
    <x v="19"/>
    <s v="SE3_EL"/>
    <x v="2"/>
    <s v="GHOB_MUNIWASTE"/>
    <x v="0"/>
    <x v="16"/>
    <n v="209.18256201999799"/>
    <n v="76351.635137299294"/>
    <n v="274865.88649427699"/>
  </r>
  <r>
    <x v="0"/>
    <x v="0"/>
    <x v="0"/>
    <x v="9"/>
    <x v="19"/>
    <s v="SE3_EL"/>
    <x v="2"/>
    <s v="GHOB_MUNIWASTE"/>
    <x v="0"/>
    <x v="17"/>
    <n v="209.18256201999799"/>
    <n v="76351.635137299294"/>
    <n v="274865.88649427699"/>
  </r>
  <r>
    <x v="0"/>
    <x v="0"/>
    <x v="0"/>
    <x v="9"/>
    <x v="19"/>
    <s v="SE3_EL"/>
    <x v="2"/>
    <s v="GHOB_MUNIWASTE"/>
    <x v="0"/>
    <x v="19"/>
    <n v="209.18256201999799"/>
    <n v="76351.635137299294"/>
    <n v="274865.88649427699"/>
  </r>
  <r>
    <x v="0"/>
    <x v="0"/>
    <x v="0"/>
    <x v="9"/>
    <x v="19"/>
    <s v="SE3_EL"/>
    <x v="2"/>
    <s v="GHOB_MUNIWASTE"/>
    <x v="0"/>
    <x v="20"/>
    <n v="209.18256201999799"/>
    <n v="76351.635137299294"/>
    <n v="274865.88649427699"/>
  </r>
  <r>
    <x v="0"/>
    <x v="0"/>
    <x v="0"/>
    <x v="9"/>
    <x v="19"/>
    <s v="SE3_EL"/>
    <x v="2"/>
    <s v="GHOB_MUNIWASTE"/>
    <x v="0"/>
    <x v="21"/>
    <n v="209.18256201999799"/>
    <n v="76351.635137299294"/>
    <n v="274865.88649427699"/>
  </r>
  <r>
    <x v="0"/>
    <x v="0"/>
    <x v="0"/>
    <x v="9"/>
    <x v="19"/>
    <s v="SE3_EL"/>
    <x v="2"/>
    <s v="GHOB_MUNIWASTE"/>
    <x v="0"/>
    <x v="22"/>
    <n v="209.18256201999799"/>
    <n v="76351.635137299294"/>
    <n v="274865.88649427699"/>
  </r>
  <r>
    <x v="0"/>
    <x v="0"/>
    <x v="0"/>
    <x v="9"/>
    <x v="19"/>
    <s v="SE3_EL"/>
    <x v="2"/>
    <s v="GHOB_MUNIWASTE"/>
    <x v="0"/>
    <x v="23"/>
    <n v="209.18256201999799"/>
    <n v="76351.635137299294"/>
    <n v="274865.88649427699"/>
  </r>
  <r>
    <x v="0"/>
    <x v="0"/>
    <x v="0"/>
    <x v="9"/>
    <x v="19"/>
    <s v="SE3_EL"/>
    <x v="13"/>
    <s v="GBPR_PEAT_38"/>
    <x v="0"/>
    <x v="5"/>
    <n v="80.875825690398997"/>
    <n v="29519.676376995601"/>
    <n v="106270.83495718399"/>
  </r>
  <r>
    <x v="0"/>
    <x v="0"/>
    <x v="0"/>
    <x v="9"/>
    <x v="19"/>
    <s v="SE3_EL"/>
    <x v="13"/>
    <s v="GBPR_PEAT_38"/>
    <x v="0"/>
    <x v="6"/>
    <n v="80.875825690398997"/>
    <n v="29519.676376995601"/>
    <n v="106270.83495718399"/>
  </r>
  <r>
    <x v="0"/>
    <x v="0"/>
    <x v="0"/>
    <x v="9"/>
    <x v="19"/>
    <s v="SE3_EL"/>
    <x v="13"/>
    <s v="GBPR_PEAT_38"/>
    <x v="0"/>
    <x v="7"/>
    <n v="80.875825690398997"/>
    <n v="29519.676376995601"/>
    <n v="106270.83495718399"/>
  </r>
  <r>
    <x v="0"/>
    <x v="0"/>
    <x v="0"/>
    <x v="9"/>
    <x v="19"/>
    <s v="SE3_EL"/>
    <x v="13"/>
    <s v="GBPR_PEAT_38"/>
    <x v="0"/>
    <x v="8"/>
    <n v="80.875825690398997"/>
    <n v="29519.676376995601"/>
    <n v="106270.83495718399"/>
  </r>
  <r>
    <x v="0"/>
    <x v="0"/>
    <x v="0"/>
    <x v="9"/>
    <x v="19"/>
    <s v="SE3_EL"/>
    <x v="13"/>
    <s v="GBPR_PEAT_38"/>
    <x v="0"/>
    <x v="9"/>
    <n v="80.875825690398997"/>
    <n v="29519.676376995601"/>
    <n v="106270.83495718399"/>
  </r>
  <r>
    <x v="0"/>
    <x v="0"/>
    <x v="0"/>
    <x v="9"/>
    <x v="19"/>
    <s v="SE3_EL"/>
    <x v="13"/>
    <s v="GBPR_PEAT_38"/>
    <x v="0"/>
    <x v="10"/>
    <n v="30.3903704139728"/>
    <n v="11092.4852011001"/>
    <n v="39932.946723960296"/>
  </r>
  <r>
    <x v="0"/>
    <x v="0"/>
    <x v="0"/>
    <x v="9"/>
    <x v="19"/>
    <s v="SE3_EL"/>
    <x v="13"/>
    <s v="GEXT_PEAT"/>
    <x v="0"/>
    <x v="18"/>
    <n v="24.7507664017872"/>
    <n v="9034.0297366523191"/>
    <n v="32522.507051948302"/>
  </r>
  <r>
    <x v="0"/>
    <x v="0"/>
    <x v="0"/>
    <x v="9"/>
    <x v="19"/>
    <s v="SE3_EL"/>
    <x v="13"/>
    <s v="GEXT_PEAT"/>
    <x v="0"/>
    <x v="4"/>
    <n v="228.357582400193"/>
    <n v="83350.517576070299"/>
    <n v="300061.86327385303"/>
  </r>
  <r>
    <x v="0"/>
    <x v="0"/>
    <x v="0"/>
    <x v="9"/>
    <x v="19"/>
    <s v="SE3_EL"/>
    <x v="13"/>
    <s v="GEXT_PEAT"/>
    <x v="0"/>
    <x v="5"/>
    <n v="288.96502744260403"/>
    <n v="105472.235016551"/>
    <n v="379700.04605958197"/>
  </r>
  <r>
    <x v="0"/>
    <x v="0"/>
    <x v="0"/>
    <x v="9"/>
    <x v="19"/>
    <s v="SE3_EL"/>
    <x v="13"/>
    <s v="GEXT_PEAT"/>
    <x v="0"/>
    <x v="6"/>
    <n v="288.96502744260403"/>
    <n v="105472.235016551"/>
    <n v="379700.04605958197"/>
  </r>
  <r>
    <x v="0"/>
    <x v="0"/>
    <x v="0"/>
    <x v="9"/>
    <x v="19"/>
    <s v="SE3_EL"/>
    <x v="13"/>
    <s v="GEXT_PEAT"/>
    <x v="0"/>
    <x v="7"/>
    <n v="288.96502744260403"/>
    <n v="105472.235016551"/>
    <n v="379700.04605958197"/>
  </r>
  <r>
    <x v="0"/>
    <x v="0"/>
    <x v="0"/>
    <x v="9"/>
    <x v="19"/>
    <s v="SE3_EL"/>
    <x v="13"/>
    <s v="GEXT_PEAT"/>
    <x v="0"/>
    <x v="8"/>
    <n v="288.96502744260403"/>
    <n v="105472.235016551"/>
    <n v="379700.04605958197"/>
  </r>
  <r>
    <x v="0"/>
    <x v="0"/>
    <x v="0"/>
    <x v="9"/>
    <x v="19"/>
    <s v="SE3_EL"/>
    <x v="13"/>
    <s v="GEXT_PEAT"/>
    <x v="0"/>
    <x v="9"/>
    <n v="288.96502744260403"/>
    <n v="105472.235016551"/>
    <n v="379700.04605958197"/>
  </r>
  <r>
    <x v="0"/>
    <x v="0"/>
    <x v="0"/>
    <x v="9"/>
    <x v="19"/>
    <s v="SE3_EL"/>
    <x v="13"/>
    <s v="GEXT_PEAT"/>
    <x v="0"/>
    <x v="10"/>
    <n v="288.96502744260403"/>
    <n v="105472.235016551"/>
    <n v="379700.04605958197"/>
  </r>
  <r>
    <x v="0"/>
    <x v="0"/>
    <x v="0"/>
    <x v="9"/>
    <x v="19"/>
    <s v="SE3_EL"/>
    <x v="13"/>
    <s v="GEXT_PEAT"/>
    <x v="0"/>
    <x v="11"/>
    <n v="260.74761512382798"/>
    <n v="95172.879520197399"/>
    <n v="342622.36627271102"/>
  </r>
  <r>
    <x v="0"/>
    <x v="0"/>
    <x v="0"/>
    <x v="9"/>
    <x v="19"/>
    <s v="SE3_EL"/>
    <x v="13"/>
    <s v="GEXT_PEAT"/>
    <x v="0"/>
    <x v="12"/>
    <n v="213.48695897881001"/>
    <n v="77922.740027265594"/>
    <n v="280521.86409815599"/>
  </r>
  <r>
    <x v="0"/>
    <x v="0"/>
    <x v="0"/>
    <x v="9"/>
    <x v="19"/>
    <s v="SE3_EL"/>
    <x v="13"/>
    <s v="GEXT_PEAT"/>
    <x v="0"/>
    <x v="13"/>
    <n v="173.69496705500899"/>
    <n v="63398.662975078398"/>
    <n v="228235.186710282"/>
  </r>
  <r>
    <x v="0"/>
    <x v="0"/>
    <x v="0"/>
    <x v="9"/>
    <x v="19"/>
    <s v="SE3_EL"/>
    <x v="13"/>
    <s v="GEXT_PEAT"/>
    <x v="0"/>
    <x v="14"/>
    <n v="155.41044496806501"/>
    <n v="56724.812413343701"/>
    <n v="204209.32468803701"/>
  </r>
  <r>
    <x v="0"/>
    <x v="0"/>
    <x v="0"/>
    <x v="9"/>
    <x v="19"/>
    <s v="SE3_EL"/>
    <x v="13"/>
    <s v="GEXT_PEAT"/>
    <x v="0"/>
    <x v="15"/>
    <n v="76.702651319396296"/>
    <n v="27996.4677315796"/>
    <n v="100787.283833687"/>
  </r>
  <r>
    <x v="0"/>
    <x v="0"/>
    <x v="0"/>
    <x v="9"/>
    <x v="19"/>
    <s v="SE3_EL"/>
    <x v="13"/>
    <s v="GEXT_PEAT"/>
    <x v="0"/>
    <x v="16"/>
    <n v="138.58063768764799"/>
    <n v="50581.932755991598"/>
    <n v="182094.95792156999"/>
  </r>
  <r>
    <x v="0"/>
    <x v="0"/>
    <x v="0"/>
    <x v="9"/>
    <x v="19"/>
    <s v="SE3_EL"/>
    <x v="20"/>
    <s v="GBPR_RECYCLEDWOOD_SE3EL"/>
    <x v="0"/>
    <x v="5"/>
    <n v="227.92132826563599"/>
    <n v="83191.284816957006"/>
    <n v="299488.62534104497"/>
  </r>
  <r>
    <x v="0"/>
    <x v="0"/>
    <x v="0"/>
    <x v="9"/>
    <x v="19"/>
    <s v="SE3_EL"/>
    <x v="20"/>
    <s v="GBPR_RECYCLEDWOOD_SE3EL"/>
    <x v="0"/>
    <x v="6"/>
    <n v="227.92132826563599"/>
    <n v="83191.284816957006"/>
    <n v="299488.62534104497"/>
  </r>
  <r>
    <x v="0"/>
    <x v="0"/>
    <x v="0"/>
    <x v="9"/>
    <x v="19"/>
    <s v="SE3_EL"/>
    <x v="20"/>
    <s v="GBPR_RECYCLEDWOOD_SE3EL"/>
    <x v="0"/>
    <x v="7"/>
    <n v="227.92132826563599"/>
    <n v="83191.284816957006"/>
    <n v="299488.62534104497"/>
  </r>
  <r>
    <x v="0"/>
    <x v="0"/>
    <x v="0"/>
    <x v="9"/>
    <x v="19"/>
    <s v="SE3_EL"/>
    <x v="20"/>
    <s v="GBPR_RECYCLEDWOOD_SE3EL"/>
    <x v="0"/>
    <x v="8"/>
    <n v="227.92132826563599"/>
    <n v="83191.284816957006"/>
    <n v="299488.62534104497"/>
  </r>
  <r>
    <x v="0"/>
    <x v="0"/>
    <x v="0"/>
    <x v="9"/>
    <x v="19"/>
    <s v="SE3_EL"/>
    <x v="20"/>
    <s v="GBPR_RECYCLEDWOOD_SE3EL"/>
    <x v="0"/>
    <x v="9"/>
    <n v="227.92132826563599"/>
    <n v="83191.284816957006"/>
    <n v="299488.62534104497"/>
  </r>
  <r>
    <x v="0"/>
    <x v="0"/>
    <x v="0"/>
    <x v="9"/>
    <x v="19"/>
    <s v="SE3_EL"/>
    <x v="20"/>
    <s v="GBPR_RECYCLEDWOOD_SE3EL"/>
    <x v="0"/>
    <x v="10"/>
    <n v="227.92132826563599"/>
    <n v="83191.284816957006"/>
    <n v="299488.62534104497"/>
  </r>
  <r>
    <x v="0"/>
    <x v="0"/>
    <x v="0"/>
    <x v="9"/>
    <x v="19"/>
    <s v="SE3_EL"/>
    <x v="20"/>
    <s v="GBPR_RECYCLEDWOOD_SE3EL"/>
    <x v="0"/>
    <x v="11"/>
    <n v="227.92132826563599"/>
    <n v="83191.284816957006"/>
    <n v="299488.62534104497"/>
  </r>
  <r>
    <x v="0"/>
    <x v="0"/>
    <x v="0"/>
    <x v="9"/>
    <x v="19"/>
    <s v="SE3_EL"/>
    <x v="20"/>
    <s v="GBPR_RECYCLEDWOOD_SE3EL"/>
    <x v="0"/>
    <x v="12"/>
    <n v="227.92132826563599"/>
    <n v="83191.284816957006"/>
    <n v="299488.62534104497"/>
  </r>
  <r>
    <x v="0"/>
    <x v="0"/>
    <x v="0"/>
    <x v="9"/>
    <x v="19"/>
    <s v="SE3_EL"/>
    <x v="20"/>
    <s v="GBPR_RECYCLEDWOOD_SE3EL"/>
    <x v="0"/>
    <x v="13"/>
    <n v="227.92132826563599"/>
    <n v="83191.284816957006"/>
    <n v="299488.62534104497"/>
  </r>
  <r>
    <x v="0"/>
    <x v="0"/>
    <x v="0"/>
    <x v="9"/>
    <x v="19"/>
    <s v="SE3_EL"/>
    <x v="20"/>
    <s v="GBPR_RECYCLEDWOOD_SE3EL"/>
    <x v="0"/>
    <x v="14"/>
    <n v="227.92132826563599"/>
    <n v="83191.284816957006"/>
    <n v="299488.62534104497"/>
  </r>
  <r>
    <x v="0"/>
    <x v="0"/>
    <x v="0"/>
    <x v="9"/>
    <x v="19"/>
    <s v="SE3_EL"/>
    <x v="20"/>
    <s v="GBPR_RECYCLEDWOOD_SE3EL"/>
    <x v="0"/>
    <x v="15"/>
    <n v="227.92132826563599"/>
    <n v="83191.284816957006"/>
    <n v="299488.62534104497"/>
  </r>
  <r>
    <x v="0"/>
    <x v="0"/>
    <x v="0"/>
    <x v="9"/>
    <x v="19"/>
    <s v="SE3_EL"/>
    <x v="20"/>
    <s v="GBPR_RECYCLEDWOOD_SE3EL"/>
    <x v="0"/>
    <x v="16"/>
    <n v="227.92132826563599"/>
    <n v="83191.284816957006"/>
    <n v="299488.62534104497"/>
  </r>
  <r>
    <x v="0"/>
    <x v="0"/>
    <x v="0"/>
    <x v="9"/>
    <x v="19"/>
    <s v="SE3_EL"/>
    <x v="20"/>
    <s v="GBPR_RECYCLEDWOOD_SE3EL"/>
    <x v="0"/>
    <x v="17"/>
    <n v="158.92891686738699"/>
    <n v="58009.054656596301"/>
    <n v="208832.59676374699"/>
  </r>
  <r>
    <x v="0"/>
    <x v="0"/>
    <x v="0"/>
    <x v="9"/>
    <x v="19"/>
    <s v="SE3_EL"/>
    <x v="1"/>
    <s v="GHOB_WASTEHEAT"/>
    <x v="0"/>
    <x v="0"/>
    <n v="27.2206959706959"/>
    <n v="9935.5540293039903"/>
    <n v="35767.994505494396"/>
  </r>
  <r>
    <x v="0"/>
    <x v="0"/>
    <x v="0"/>
    <x v="9"/>
    <x v="19"/>
    <s v="SE3_EL"/>
    <x v="1"/>
    <s v="GHOB_WASTEHEAT"/>
    <x v="0"/>
    <x v="1"/>
    <n v="27.2206959706959"/>
    <n v="9935.5540293039903"/>
    <n v="35767.994505494396"/>
  </r>
  <r>
    <x v="0"/>
    <x v="0"/>
    <x v="0"/>
    <x v="9"/>
    <x v="19"/>
    <s v="SE3_EL"/>
    <x v="1"/>
    <s v="GHOB_WASTEHEAT"/>
    <x v="0"/>
    <x v="2"/>
    <n v="27.2206959706959"/>
    <n v="9935.5540293039903"/>
    <n v="35767.994505494396"/>
  </r>
  <r>
    <x v="0"/>
    <x v="0"/>
    <x v="0"/>
    <x v="9"/>
    <x v="19"/>
    <s v="SE3_EL"/>
    <x v="1"/>
    <s v="GHOB_WASTEHEAT"/>
    <x v="0"/>
    <x v="3"/>
    <n v="27.2206959706959"/>
    <n v="9935.5540293039903"/>
    <n v="35767.994505494396"/>
  </r>
  <r>
    <x v="0"/>
    <x v="0"/>
    <x v="0"/>
    <x v="9"/>
    <x v="19"/>
    <s v="SE3_EL"/>
    <x v="1"/>
    <s v="GHOB_WASTEHEAT"/>
    <x v="0"/>
    <x v="18"/>
    <n v="27.2206959706959"/>
    <n v="9935.5540293039903"/>
    <n v="35767.994505494396"/>
  </r>
  <r>
    <x v="0"/>
    <x v="0"/>
    <x v="0"/>
    <x v="9"/>
    <x v="19"/>
    <s v="SE3_EL"/>
    <x v="1"/>
    <s v="GHOB_WASTEHEAT"/>
    <x v="0"/>
    <x v="4"/>
    <n v="27.2206959706959"/>
    <n v="9935.5540293039903"/>
    <n v="35767.994505494396"/>
  </r>
  <r>
    <x v="0"/>
    <x v="0"/>
    <x v="0"/>
    <x v="9"/>
    <x v="19"/>
    <s v="SE3_EL"/>
    <x v="1"/>
    <s v="GHOB_WASTEHEAT"/>
    <x v="0"/>
    <x v="5"/>
    <n v="27.2206959706959"/>
    <n v="9935.5540293039903"/>
    <n v="35767.994505494396"/>
  </r>
  <r>
    <x v="0"/>
    <x v="0"/>
    <x v="0"/>
    <x v="9"/>
    <x v="19"/>
    <s v="SE3_EL"/>
    <x v="1"/>
    <s v="GHOB_WASTEHEAT"/>
    <x v="0"/>
    <x v="6"/>
    <n v="27.2206959706959"/>
    <n v="9935.5540293039903"/>
    <n v="35767.994505494396"/>
  </r>
  <r>
    <x v="0"/>
    <x v="0"/>
    <x v="0"/>
    <x v="9"/>
    <x v="19"/>
    <s v="SE3_EL"/>
    <x v="1"/>
    <s v="GHOB_WASTEHEAT"/>
    <x v="0"/>
    <x v="7"/>
    <n v="27.2206959706959"/>
    <n v="9935.5540293039903"/>
    <n v="35767.994505494396"/>
  </r>
  <r>
    <x v="0"/>
    <x v="0"/>
    <x v="0"/>
    <x v="9"/>
    <x v="19"/>
    <s v="SE3_EL"/>
    <x v="1"/>
    <s v="GHOB_WASTEHEAT"/>
    <x v="0"/>
    <x v="8"/>
    <n v="27.2206959706959"/>
    <n v="9935.5540293039903"/>
    <n v="35767.994505494396"/>
  </r>
  <r>
    <x v="0"/>
    <x v="0"/>
    <x v="0"/>
    <x v="9"/>
    <x v="19"/>
    <s v="SE3_EL"/>
    <x v="1"/>
    <s v="GHOB_WASTEHEAT"/>
    <x v="0"/>
    <x v="9"/>
    <n v="27.2206959706959"/>
    <n v="9935.5540293039903"/>
    <n v="35767.994505494396"/>
  </r>
  <r>
    <x v="0"/>
    <x v="0"/>
    <x v="0"/>
    <x v="9"/>
    <x v="19"/>
    <s v="SE3_EL"/>
    <x v="1"/>
    <s v="GHOB_WASTEHEAT"/>
    <x v="0"/>
    <x v="10"/>
    <n v="27.2206959706959"/>
    <n v="9935.5540293039903"/>
    <n v="35767.994505494396"/>
  </r>
  <r>
    <x v="0"/>
    <x v="0"/>
    <x v="0"/>
    <x v="9"/>
    <x v="19"/>
    <s v="SE3_EL"/>
    <x v="1"/>
    <s v="GHOB_WASTEHEAT"/>
    <x v="0"/>
    <x v="11"/>
    <n v="27.2206959706959"/>
    <n v="9935.5540293039903"/>
    <n v="35767.994505494396"/>
  </r>
  <r>
    <x v="0"/>
    <x v="0"/>
    <x v="0"/>
    <x v="9"/>
    <x v="19"/>
    <s v="SE3_EL"/>
    <x v="1"/>
    <s v="GHOB_WASTEHEAT"/>
    <x v="0"/>
    <x v="12"/>
    <n v="27.2206959706959"/>
    <n v="9935.5540293039903"/>
    <n v="35767.994505494396"/>
  </r>
  <r>
    <x v="0"/>
    <x v="0"/>
    <x v="0"/>
    <x v="9"/>
    <x v="19"/>
    <s v="SE3_EL"/>
    <x v="1"/>
    <s v="GHOB_WASTEHEAT"/>
    <x v="0"/>
    <x v="13"/>
    <n v="27.2206959706959"/>
    <n v="9935.5540293039903"/>
    <n v="35767.994505494396"/>
  </r>
  <r>
    <x v="0"/>
    <x v="0"/>
    <x v="0"/>
    <x v="9"/>
    <x v="19"/>
    <s v="SE3_EL"/>
    <x v="1"/>
    <s v="GHOB_WASTEHEAT"/>
    <x v="0"/>
    <x v="14"/>
    <n v="27.2206959706959"/>
    <n v="9935.5540293039903"/>
    <n v="35767.994505494396"/>
  </r>
  <r>
    <x v="0"/>
    <x v="0"/>
    <x v="0"/>
    <x v="9"/>
    <x v="19"/>
    <s v="SE3_EL"/>
    <x v="1"/>
    <s v="GHOB_WASTEHEAT"/>
    <x v="0"/>
    <x v="15"/>
    <n v="27.2206959706959"/>
    <n v="9935.5540293039903"/>
    <n v="35767.994505494396"/>
  </r>
  <r>
    <x v="0"/>
    <x v="0"/>
    <x v="0"/>
    <x v="9"/>
    <x v="19"/>
    <s v="SE3_EL"/>
    <x v="1"/>
    <s v="GHOB_WASTEHEAT"/>
    <x v="0"/>
    <x v="16"/>
    <n v="27.2206959706959"/>
    <n v="9935.5540293039903"/>
    <n v="35767.994505494396"/>
  </r>
  <r>
    <x v="0"/>
    <x v="0"/>
    <x v="0"/>
    <x v="9"/>
    <x v="19"/>
    <s v="SE3_EL"/>
    <x v="1"/>
    <s v="GHOB_WASTEHEAT"/>
    <x v="0"/>
    <x v="17"/>
    <n v="27.2206959706959"/>
    <n v="9935.5540293039903"/>
    <n v="35767.994505494396"/>
  </r>
  <r>
    <x v="0"/>
    <x v="0"/>
    <x v="0"/>
    <x v="9"/>
    <x v="19"/>
    <s v="SE3_EL"/>
    <x v="1"/>
    <s v="GHOB_WASTEHEAT"/>
    <x v="0"/>
    <x v="19"/>
    <n v="27.2206959706959"/>
    <n v="9935.5540293039903"/>
    <n v="35767.994505494396"/>
  </r>
  <r>
    <x v="0"/>
    <x v="0"/>
    <x v="0"/>
    <x v="9"/>
    <x v="19"/>
    <s v="SE3_EL"/>
    <x v="1"/>
    <s v="GHOB_WASTEHEAT"/>
    <x v="0"/>
    <x v="20"/>
    <n v="27.2206959706959"/>
    <n v="9935.5540293039903"/>
    <n v="35767.994505494396"/>
  </r>
  <r>
    <x v="0"/>
    <x v="0"/>
    <x v="0"/>
    <x v="9"/>
    <x v="19"/>
    <s v="SE3_EL"/>
    <x v="1"/>
    <s v="GHOB_WASTEHEAT"/>
    <x v="0"/>
    <x v="21"/>
    <n v="27.2206959706959"/>
    <n v="9935.5540293039903"/>
    <n v="35767.994505494396"/>
  </r>
  <r>
    <x v="0"/>
    <x v="0"/>
    <x v="0"/>
    <x v="9"/>
    <x v="19"/>
    <s v="SE3_EL"/>
    <x v="1"/>
    <s v="GHOB_WASTEHEAT"/>
    <x v="0"/>
    <x v="22"/>
    <n v="27.2206959706959"/>
    <n v="9935.5540293039903"/>
    <n v="35767.994505494396"/>
  </r>
  <r>
    <x v="0"/>
    <x v="0"/>
    <x v="0"/>
    <x v="9"/>
    <x v="19"/>
    <s v="SE3_EL"/>
    <x v="1"/>
    <s v="GHOB_WASTEHEAT"/>
    <x v="0"/>
    <x v="23"/>
    <n v="27.2206959706959"/>
    <n v="9935.5540293039903"/>
    <n v="35767.994505494396"/>
  </r>
  <r>
    <x v="0"/>
    <x v="0"/>
    <x v="0"/>
    <x v="9"/>
    <x v="19"/>
    <s v="SE3_EL"/>
    <x v="9"/>
    <s v="GBPR_WOODWASTE_25"/>
    <x v="0"/>
    <x v="0"/>
    <n v="307.28721541155898"/>
    <n v="112159.83362521901"/>
    <n v="403775.401050788"/>
  </r>
  <r>
    <x v="0"/>
    <x v="0"/>
    <x v="0"/>
    <x v="9"/>
    <x v="19"/>
    <s v="SE3_EL"/>
    <x v="9"/>
    <s v="GBPR_WOODWASTE_25"/>
    <x v="0"/>
    <x v="1"/>
    <n v="307.28721541155898"/>
    <n v="112159.83362521901"/>
    <n v="403775.401050788"/>
  </r>
  <r>
    <x v="0"/>
    <x v="0"/>
    <x v="0"/>
    <x v="9"/>
    <x v="19"/>
    <s v="SE3_EL"/>
    <x v="9"/>
    <s v="GBPR_WOODWASTE_25"/>
    <x v="0"/>
    <x v="2"/>
    <n v="307.28721541155898"/>
    <n v="112159.83362521901"/>
    <n v="403775.401050788"/>
  </r>
  <r>
    <x v="0"/>
    <x v="0"/>
    <x v="0"/>
    <x v="9"/>
    <x v="19"/>
    <s v="SE3_EL"/>
    <x v="9"/>
    <s v="GBPR_WOODWASTE_25"/>
    <x v="0"/>
    <x v="3"/>
    <n v="307.28721541155898"/>
    <n v="112159.83362521901"/>
    <n v="403775.401050788"/>
  </r>
  <r>
    <x v="0"/>
    <x v="0"/>
    <x v="0"/>
    <x v="9"/>
    <x v="19"/>
    <s v="SE3_EL"/>
    <x v="9"/>
    <s v="GBPR_WOODWASTE_25"/>
    <x v="0"/>
    <x v="18"/>
    <n v="307.28721541155898"/>
    <n v="112159.83362521901"/>
    <n v="403775.401050788"/>
  </r>
  <r>
    <x v="0"/>
    <x v="0"/>
    <x v="0"/>
    <x v="9"/>
    <x v="19"/>
    <s v="SE3_EL"/>
    <x v="9"/>
    <s v="GBPR_WOODWASTE_25"/>
    <x v="0"/>
    <x v="4"/>
    <n v="307.28721541155898"/>
    <n v="112159.83362521901"/>
    <n v="403775.401050788"/>
  </r>
  <r>
    <x v="0"/>
    <x v="0"/>
    <x v="0"/>
    <x v="9"/>
    <x v="19"/>
    <s v="SE3_EL"/>
    <x v="9"/>
    <s v="GBPR_WOODWASTE_25"/>
    <x v="0"/>
    <x v="5"/>
    <n v="307.28721541155898"/>
    <n v="112159.83362521901"/>
    <n v="403775.401050788"/>
  </r>
  <r>
    <x v="0"/>
    <x v="0"/>
    <x v="0"/>
    <x v="9"/>
    <x v="19"/>
    <s v="SE3_EL"/>
    <x v="9"/>
    <s v="GBPR_WOODWASTE_25"/>
    <x v="0"/>
    <x v="6"/>
    <n v="307.28721541155898"/>
    <n v="112159.83362521901"/>
    <n v="403775.401050788"/>
  </r>
  <r>
    <x v="0"/>
    <x v="0"/>
    <x v="0"/>
    <x v="9"/>
    <x v="19"/>
    <s v="SE3_EL"/>
    <x v="9"/>
    <s v="GBPR_WOODWASTE_25"/>
    <x v="0"/>
    <x v="7"/>
    <n v="307.28721541155898"/>
    <n v="112159.83362521901"/>
    <n v="403775.401050788"/>
  </r>
  <r>
    <x v="0"/>
    <x v="0"/>
    <x v="0"/>
    <x v="9"/>
    <x v="19"/>
    <s v="SE3_EL"/>
    <x v="9"/>
    <s v="GBPR_WOODWASTE_25"/>
    <x v="0"/>
    <x v="8"/>
    <n v="307.28721541155898"/>
    <n v="112159.83362521901"/>
    <n v="403775.401050788"/>
  </r>
  <r>
    <x v="0"/>
    <x v="0"/>
    <x v="0"/>
    <x v="9"/>
    <x v="19"/>
    <s v="SE3_EL"/>
    <x v="9"/>
    <s v="GBPR_WOODWASTE_25"/>
    <x v="0"/>
    <x v="9"/>
    <n v="307.28721541155898"/>
    <n v="112159.83362521901"/>
    <n v="403775.401050788"/>
  </r>
  <r>
    <x v="0"/>
    <x v="0"/>
    <x v="0"/>
    <x v="9"/>
    <x v="19"/>
    <s v="SE3_EL"/>
    <x v="9"/>
    <s v="GBPR_WOODWASTE_25"/>
    <x v="0"/>
    <x v="10"/>
    <n v="307.28721541155898"/>
    <n v="112159.83362521901"/>
    <n v="403775.401050788"/>
  </r>
  <r>
    <x v="0"/>
    <x v="0"/>
    <x v="0"/>
    <x v="9"/>
    <x v="19"/>
    <s v="SE3_EL"/>
    <x v="9"/>
    <s v="GBPR_WOODWASTE_25"/>
    <x v="0"/>
    <x v="11"/>
    <n v="307.28721541155898"/>
    <n v="112159.83362521901"/>
    <n v="403775.401050788"/>
  </r>
  <r>
    <x v="0"/>
    <x v="0"/>
    <x v="0"/>
    <x v="9"/>
    <x v="19"/>
    <s v="SE3_EL"/>
    <x v="9"/>
    <s v="GBPR_WOODWASTE_25"/>
    <x v="0"/>
    <x v="12"/>
    <n v="307.28721541155898"/>
    <n v="112159.83362521901"/>
    <n v="403775.401050788"/>
  </r>
  <r>
    <x v="0"/>
    <x v="0"/>
    <x v="0"/>
    <x v="9"/>
    <x v="19"/>
    <s v="SE3_EL"/>
    <x v="9"/>
    <s v="GBPR_WOODWASTE_25"/>
    <x v="0"/>
    <x v="13"/>
    <n v="307.28721541155898"/>
    <n v="112159.83362521901"/>
    <n v="403775.401050788"/>
  </r>
  <r>
    <x v="0"/>
    <x v="0"/>
    <x v="0"/>
    <x v="9"/>
    <x v="19"/>
    <s v="SE3_EL"/>
    <x v="9"/>
    <s v="GBPR_WOODWASTE_25"/>
    <x v="0"/>
    <x v="14"/>
    <n v="307.28721541155898"/>
    <n v="112159.83362521901"/>
    <n v="403775.401050788"/>
  </r>
  <r>
    <x v="0"/>
    <x v="0"/>
    <x v="0"/>
    <x v="9"/>
    <x v="19"/>
    <s v="SE3_EL"/>
    <x v="9"/>
    <s v="GBPR_WOODWASTE_25"/>
    <x v="0"/>
    <x v="15"/>
    <n v="307.28721541155898"/>
    <n v="112159.83362521901"/>
    <n v="403775.401050788"/>
  </r>
  <r>
    <x v="0"/>
    <x v="0"/>
    <x v="0"/>
    <x v="9"/>
    <x v="19"/>
    <s v="SE3_EL"/>
    <x v="9"/>
    <s v="GBPR_WOODWASTE_25"/>
    <x v="0"/>
    <x v="16"/>
    <n v="307.28721541155898"/>
    <n v="112159.83362521901"/>
    <n v="403775.401050788"/>
  </r>
  <r>
    <x v="0"/>
    <x v="0"/>
    <x v="0"/>
    <x v="9"/>
    <x v="19"/>
    <s v="SE3_EL"/>
    <x v="9"/>
    <s v="GBPR_WOODWASTE_25"/>
    <x v="0"/>
    <x v="17"/>
    <n v="307.28721541155898"/>
    <n v="112159.83362521901"/>
    <n v="403775.401050788"/>
  </r>
  <r>
    <x v="0"/>
    <x v="0"/>
    <x v="0"/>
    <x v="9"/>
    <x v="19"/>
    <s v="SE3_EL"/>
    <x v="9"/>
    <s v="GBPR_WOODWASTE_25"/>
    <x v="0"/>
    <x v="19"/>
    <n v="307.28721541155898"/>
    <n v="112159.83362521901"/>
    <n v="403775.401050788"/>
  </r>
  <r>
    <x v="0"/>
    <x v="0"/>
    <x v="0"/>
    <x v="9"/>
    <x v="19"/>
    <s v="SE3_EL"/>
    <x v="9"/>
    <s v="GBPR_WOODWASTE_25"/>
    <x v="0"/>
    <x v="20"/>
    <n v="307.28721541155898"/>
    <n v="112159.83362521901"/>
    <n v="403775.401050788"/>
  </r>
  <r>
    <x v="0"/>
    <x v="0"/>
    <x v="0"/>
    <x v="9"/>
    <x v="19"/>
    <s v="SE3_EL"/>
    <x v="9"/>
    <s v="GBPR_WOODWASTE_25"/>
    <x v="0"/>
    <x v="21"/>
    <n v="307.28721541155898"/>
    <n v="112159.83362521901"/>
    <n v="403775.401050788"/>
  </r>
  <r>
    <x v="0"/>
    <x v="0"/>
    <x v="0"/>
    <x v="9"/>
    <x v="19"/>
    <s v="SE3_EL"/>
    <x v="9"/>
    <s v="GBPR_WOODWASTE_25"/>
    <x v="0"/>
    <x v="22"/>
    <n v="307.28721541155898"/>
    <n v="112159.83362521901"/>
    <n v="403775.401050788"/>
  </r>
  <r>
    <x v="0"/>
    <x v="0"/>
    <x v="0"/>
    <x v="9"/>
    <x v="19"/>
    <s v="SE3_EL"/>
    <x v="9"/>
    <s v="GBPR_WOODWASTE_25"/>
    <x v="0"/>
    <x v="23"/>
    <n v="307.28721541155898"/>
    <n v="112159.83362521901"/>
    <n v="403775.401050788"/>
  </r>
  <r>
    <x v="0"/>
    <x v="0"/>
    <x v="0"/>
    <x v="9"/>
    <x v="19"/>
    <s v="SE3_EL"/>
    <x v="9"/>
    <s v="GBPR_WOODWASTE_ABY"/>
    <x v="0"/>
    <x v="0"/>
    <n v="211.35851888916599"/>
    <n v="77145.859394545696"/>
    <n v="277725.09382036497"/>
  </r>
  <r>
    <x v="0"/>
    <x v="0"/>
    <x v="0"/>
    <x v="9"/>
    <x v="19"/>
    <s v="SE3_EL"/>
    <x v="9"/>
    <s v="GBPR_WOODWASTE_ABY"/>
    <x v="0"/>
    <x v="1"/>
    <n v="211.35851888916599"/>
    <n v="77145.859394545696"/>
    <n v="277725.09382036497"/>
  </r>
  <r>
    <x v="0"/>
    <x v="0"/>
    <x v="0"/>
    <x v="9"/>
    <x v="19"/>
    <s v="SE3_EL"/>
    <x v="9"/>
    <s v="GBPR_WOODWASTE_ABY"/>
    <x v="0"/>
    <x v="2"/>
    <n v="211.35851888916599"/>
    <n v="77145.859394545696"/>
    <n v="277725.09382036497"/>
  </r>
  <r>
    <x v="0"/>
    <x v="0"/>
    <x v="0"/>
    <x v="9"/>
    <x v="19"/>
    <s v="SE3_EL"/>
    <x v="9"/>
    <s v="GBPR_WOODWASTE_ABY"/>
    <x v="0"/>
    <x v="3"/>
    <n v="211.35851888916599"/>
    <n v="77145.859394545696"/>
    <n v="277725.09382036497"/>
  </r>
  <r>
    <x v="0"/>
    <x v="0"/>
    <x v="0"/>
    <x v="9"/>
    <x v="19"/>
    <s v="SE3_EL"/>
    <x v="9"/>
    <s v="GBPR_WOODWASTE_ABY"/>
    <x v="0"/>
    <x v="18"/>
    <n v="211.35851888916599"/>
    <n v="77145.859394545696"/>
    <n v="277725.09382036497"/>
  </r>
  <r>
    <x v="0"/>
    <x v="0"/>
    <x v="0"/>
    <x v="9"/>
    <x v="19"/>
    <s v="SE3_EL"/>
    <x v="9"/>
    <s v="GBPR_WOODWASTE_ABY"/>
    <x v="0"/>
    <x v="4"/>
    <n v="211.35851888916599"/>
    <n v="77145.859394545696"/>
    <n v="277725.09382036497"/>
  </r>
  <r>
    <x v="0"/>
    <x v="0"/>
    <x v="0"/>
    <x v="9"/>
    <x v="19"/>
    <s v="SE3_EL"/>
    <x v="9"/>
    <s v="GBPR_WOODWASTE_ABY"/>
    <x v="0"/>
    <x v="5"/>
    <n v="211.35851888916599"/>
    <n v="77145.859394545696"/>
    <n v="277725.09382036497"/>
  </r>
  <r>
    <x v="0"/>
    <x v="0"/>
    <x v="0"/>
    <x v="9"/>
    <x v="19"/>
    <s v="SE3_EL"/>
    <x v="9"/>
    <s v="GBPR_WOODWASTE_ABY"/>
    <x v="0"/>
    <x v="6"/>
    <n v="211.35851888916599"/>
    <n v="77145.859394545696"/>
    <n v="277725.09382036497"/>
  </r>
  <r>
    <x v="0"/>
    <x v="0"/>
    <x v="0"/>
    <x v="9"/>
    <x v="19"/>
    <s v="SE3_EL"/>
    <x v="9"/>
    <s v="GBPR_WOODWASTE_ABY"/>
    <x v="0"/>
    <x v="7"/>
    <n v="211.35851888916599"/>
    <n v="77145.859394545696"/>
    <n v="277725.09382036497"/>
  </r>
  <r>
    <x v="0"/>
    <x v="0"/>
    <x v="0"/>
    <x v="9"/>
    <x v="19"/>
    <s v="SE3_EL"/>
    <x v="9"/>
    <s v="GBPR_WOODWASTE_ABY"/>
    <x v="0"/>
    <x v="8"/>
    <n v="211.35851888916599"/>
    <n v="77145.859394545696"/>
    <n v="277725.09382036497"/>
  </r>
  <r>
    <x v="0"/>
    <x v="0"/>
    <x v="0"/>
    <x v="9"/>
    <x v="19"/>
    <s v="SE3_EL"/>
    <x v="9"/>
    <s v="GBPR_WOODWASTE_ABY"/>
    <x v="0"/>
    <x v="9"/>
    <n v="211.35851888916599"/>
    <n v="77145.859394545696"/>
    <n v="277725.09382036497"/>
  </r>
  <r>
    <x v="0"/>
    <x v="0"/>
    <x v="0"/>
    <x v="9"/>
    <x v="19"/>
    <s v="SE3_EL"/>
    <x v="9"/>
    <s v="GBPR_WOODWASTE_ABY"/>
    <x v="0"/>
    <x v="10"/>
    <n v="211.35851888916599"/>
    <n v="77145.859394545696"/>
    <n v="277725.09382036497"/>
  </r>
  <r>
    <x v="0"/>
    <x v="0"/>
    <x v="0"/>
    <x v="9"/>
    <x v="19"/>
    <s v="SE3_EL"/>
    <x v="9"/>
    <s v="GBPR_WOODWASTE_ABY"/>
    <x v="0"/>
    <x v="11"/>
    <n v="211.35851888916599"/>
    <n v="77145.859394545696"/>
    <n v="277725.09382036497"/>
  </r>
  <r>
    <x v="0"/>
    <x v="0"/>
    <x v="0"/>
    <x v="9"/>
    <x v="19"/>
    <s v="SE3_EL"/>
    <x v="9"/>
    <s v="GBPR_WOODWASTE_ABY"/>
    <x v="0"/>
    <x v="12"/>
    <n v="211.35851888916599"/>
    <n v="77145.859394545696"/>
    <n v="277725.09382036497"/>
  </r>
  <r>
    <x v="0"/>
    <x v="0"/>
    <x v="0"/>
    <x v="9"/>
    <x v="19"/>
    <s v="SE3_EL"/>
    <x v="9"/>
    <s v="GBPR_WOODWASTE_ABY"/>
    <x v="0"/>
    <x v="13"/>
    <n v="211.35851888916599"/>
    <n v="77145.859394545696"/>
    <n v="277725.09382036497"/>
  </r>
  <r>
    <x v="0"/>
    <x v="0"/>
    <x v="0"/>
    <x v="9"/>
    <x v="19"/>
    <s v="SE3_EL"/>
    <x v="9"/>
    <s v="GBPR_WOODWASTE_ABY"/>
    <x v="0"/>
    <x v="14"/>
    <n v="211.35851888916599"/>
    <n v="77145.859394545696"/>
    <n v="277725.09382036497"/>
  </r>
  <r>
    <x v="0"/>
    <x v="0"/>
    <x v="0"/>
    <x v="9"/>
    <x v="19"/>
    <s v="SE3_EL"/>
    <x v="9"/>
    <s v="GBPR_WOODWASTE_ABY"/>
    <x v="0"/>
    <x v="15"/>
    <n v="211.35851888916599"/>
    <n v="77145.859394545696"/>
    <n v="277725.09382036497"/>
  </r>
  <r>
    <x v="0"/>
    <x v="0"/>
    <x v="0"/>
    <x v="9"/>
    <x v="19"/>
    <s v="SE3_EL"/>
    <x v="9"/>
    <s v="GBPR_WOODWASTE_ABY"/>
    <x v="0"/>
    <x v="16"/>
    <n v="211.35851888916599"/>
    <n v="77145.859394545696"/>
    <n v="277725.09382036497"/>
  </r>
  <r>
    <x v="0"/>
    <x v="0"/>
    <x v="0"/>
    <x v="9"/>
    <x v="19"/>
    <s v="SE3_EL"/>
    <x v="9"/>
    <s v="GBPR_WOODWASTE_ABY"/>
    <x v="0"/>
    <x v="17"/>
    <n v="211.35851888916599"/>
    <n v="77145.859394545696"/>
    <n v="277725.09382036497"/>
  </r>
  <r>
    <x v="0"/>
    <x v="0"/>
    <x v="0"/>
    <x v="9"/>
    <x v="19"/>
    <s v="SE3_EL"/>
    <x v="9"/>
    <s v="GBPR_WOODWASTE_ABY"/>
    <x v="0"/>
    <x v="19"/>
    <n v="211.35851888916599"/>
    <n v="77145.859394545696"/>
    <n v="277725.09382036497"/>
  </r>
  <r>
    <x v="0"/>
    <x v="0"/>
    <x v="0"/>
    <x v="9"/>
    <x v="19"/>
    <s v="SE3_EL"/>
    <x v="9"/>
    <s v="GBPR_WOODWASTE_ABY"/>
    <x v="0"/>
    <x v="20"/>
    <n v="211.35851888916599"/>
    <n v="77145.859394545696"/>
    <n v="277725.09382036497"/>
  </r>
  <r>
    <x v="0"/>
    <x v="0"/>
    <x v="0"/>
    <x v="9"/>
    <x v="19"/>
    <s v="SE3_EL"/>
    <x v="9"/>
    <s v="GBPR_WOODWASTE_ABY"/>
    <x v="0"/>
    <x v="21"/>
    <n v="211.35851888916599"/>
    <n v="77145.859394545696"/>
    <n v="277725.09382036497"/>
  </r>
  <r>
    <x v="0"/>
    <x v="0"/>
    <x v="0"/>
    <x v="9"/>
    <x v="19"/>
    <s v="SE3_EL"/>
    <x v="9"/>
    <s v="GBPR_WOODWASTE_ABY"/>
    <x v="0"/>
    <x v="22"/>
    <n v="211.35851888916599"/>
    <n v="77145.859394545696"/>
    <n v="277725.09382036497"/>
  </r>
  <r>
    <x v="0"/>
    <x v="0"/>
    <x v="0"/>
    <x v="9"/>
    <x v="19"/>
    <s v="SE3_EL"/>
    <x v="9"/>
    <s v="GBPR_WOODWASTE_ABY"/>
    <x v="0"/>
    <x v="23"/>
    <n v="211.35851888916599"/>
    <n v="77145.859394545696"/>
    <n v="277725.09382036497"/>
  </r>
  <r>
    <x v="0"/>
    <x v="0"/>
    <x v="0"/>
    <x v="9"/>
    <x v="19"/>
    <s v="SE3_EL"/>
    <x v="9"/>
    <s v="GHOB_WOODWASTE"/>
    <x v="0"/>
    <x v="0"/>
    <n v="67.175380653136898"/>
    <n v="24519.013938395001"/>
    <n v="88268.450178221901"/>
  </r>
  <r>
    <x v="0"/>
    <x v="0"/>
    <x v="0"/>
    <x v="9"/>
    <x v="19"/>
    <s v="SE3_EL"/>
    <x v="9"/>
    <s v="GHOB_WOODWASTE"/>
    <x v="0"/>
    <x v="1"/>
    <n v="67.175380653136898"/>
    <n v="24519.013938395001"/>
    <n v="88268.450178221901"/>
  </r>
  <r>
    <x v="0"/>
    <x v="0"/>
    <x v="0"/>
    <x v="9"/>
    <x v="19"/>
    <s v="SE3_EL"/>
    <x v="9"/>
    <s v="GHOB_WOODWASTE"/>
    <x v="0"/>
    <x v="2"/>
    <n v="67.175380653136898"/>
    <n v="24519.013938395001"/>
    <n v="88268.450178221901"/>
  </r>
  <r>
    <x v="0"/>
    <x v="0"/>
    <x v="0"/>
    <x v="9"/>
    <x v="19"/>
    <s v="SE3_EL"/>
    <x v="9"/>
    <s v="GHOB_WOODWASTE"/>
    <x v="0"/>
    <x v="3"/>
    <n v="67.175380653136898"/>
    <n v="24519.013938395001"/>
    <n v="88268.450178221901"/>
  </r>
  <r>
    <x v="0"/>
    <x v="0"/>
    <x v="0"/>
    <x v="9"/>
    <x v="19"/>
    <s v="SE3_EL"/>
    <x v="9"/>
    <s v="GHOB_WOODWASTE"/>
    <x v="0"/>
    <x v="18"/>
    <n v="67.175380653136898"/>
    <n v="24519.013938395001"/>
    <n v="88268.450178221901"/>
  </r>
  <r>
    <x v="0"/>
    <x v="0"/>
    <x v="0"/>
    <x v="9"/>
    <x v="19"/>
    <s v="SE3_EL"/>
    <x v="9"/>
    <s v="GHOB_WOODWASTE"/>
    <x v="0"/>
    <x v="4"/>
    <n v="67.175380653136898"/>
    <n v="24519.013938395001"/>
    <n v="88268.450178221901"/>
  </r>
  <r>
    <x v="0"/>
    <x v="0"/>
    <x v="0"/>
    <x v="9"/>
    <x v="19"/>
    <s v="SE3_EL"/>
    <x v="9"/>
    <s v="GHOB_WOODWASTE"/>
    <x v="0"/>
    <x v="5"/>
    <n v="67.175380653136898"/>
    <n v="24519.013938395001"/>
    <n v="88268.450178221901"/>
  </r>
  <r>
    <x v="0"/>
    <x v="0"/>
    <x v="0"/>
    <x v="9"/>
    <x v="19"/>
    <s v="SE3_EL"/>
    <x v="9"/>
    <s v="GHOB_WOODWASTE"/>
    <x v="0"/>
    <x v="6"/>
    <n v="67.175380653136898"/>
    <n v="24519.013938395001"/>
    <n v="88268.450178221901"/>
  </r>
  <r>
    <x v="0"/>
    <x v="0"/>
    <x v="0"/>
    <x v="9"/>
    <x v="19"/>
    <s v="SE3_EL"/>
    <x v="9"/>
    <s v="GHOB_WOODWASTE"/>
    <x v="0"/>
    <x v="7"/>
    <n v="67.175380653136898"/>
    <n v="24519.013938395001"/>
    <n v="88268.450178221901"/>
  </r>
  <r>
    <x v="0"/>
    <x v="0"/>
    <x v="0"/>
    <x v="9"/>
    <x v="19"/>
    <s v="SE3_EL"/>
    <x v="9"/>
    <s v="GHOB_WOODWASTE"/>
    <x v="0"/>
    <x v="8"/>
    <n v="67.175380653136898"/>
    <n v="24519.013938395001"/>
    <n v="88268.450178221901"/>
  </r>
  <r>
    <x v="0"/>
    <x v="0"/>
    <x v="0"/>
    <x v="9"/>
    <x v="19"/>
    <s v="SE3_EL"/>
    <x v="9"/>
    <s v="GHOB_WOODWASTE"/>
    <x v="0"/>
    <x v="9"/>
    <n v="67.175380653136898"/>
    <n v="24519.013938395001"/>
    <n v="88268.450178221901"/>
  </r>
  <r>
    <x v="0"/>
    <x v="0"/>
    <x v="0"/>
    <x v="9"/>
    <x v="19"/>
    <s v="SE3_EL"/>
    <x v="9"/>
    <s v="GHOB_WOODWASTE"/>
    <x v="0"/>
    <x v="10"/>
    <n v="67.175380653136898"/>
    <n v="24519.013938395001"/>
    <n v="88268.450178221901"/>
  </r>
  <r>
    <x v="0"/>
    <x v="0"/>
    <x v="0"/>
    <x v="9"/>
    <x v="19"/>
    <s v="SE3_EL"/>
    <x v="9"/>
    <s v="GHOB_WOODWASTE"/>
    <x v="0"/>
    <x v="11"/>
    <n v="67.175380653136898"/>
    <n v="24519.013938395001"/>
    <n v="88268.450178221901"/>
  </r>
  <r>
    <x v="0"/>
    <x v="0"/>
    <x v="0"/>
    <x v="9"/>
    <x v="19"/>
    <s v="SE3_EL"/>
    <x v="9"/>
    <s v="GHOB_WOODWASTE"/>
    <x v="0"/>
    <x v="12"/>
    <n v="67.175380653136898"/>
    <n v="24519.013938395001"/>
    <n v="88268.450178221901"/>
  </r>
  <r>
    <x v="0"/>
    <x v="0"/>
    <x v="0"/>
    <x v="9"/>
    <x v="19"/>
    <s v="SE3_EL"/>
    <x v="9"/>
    <s v="GHOB_WOODWASTE"/>
    <x v="0"/>
    <x v="13"/>
    <n v="67.175380653136898"/>
    <n v="24519.013938395001"/>
    <n v="88268.450178221901"/>
  </r>
  <r>
    <x v="0"/>
    <x v="0"/>
    <x v="0"/>
    <x v="9"/>
    <x v="19"/>
    <s v="SE3_EL"/>
    <x v="9"/>
    <s v="GHOB_WOODWASTE"/>
    <x v="0"/>
    <x v="14"/>
    <n v="67.175380653136898"/>
    <n v="24519.013938395001"/>
    <n v="88268.450178221901"/>
  </r>
  <r>
    <x v="0"/>
    <x v="0"/>
    <x v="0"/>
    <x v="9"/>
    <x v="19"/>
    <s v="SE3_EL"/>
    <x v="9"/>
    <s v="GHOB_WOODWASTE"/>
    <x v="0"/>
    <x v="15"/>
    <n v="67.175380653136898"/>
    <n v="24519.013938395001"/>
    <n v="88268.450178221901"/>
  </r>
  <r>
    <x v="0"/>
    <x v="0"/>
    <x v="0"/>
    <x v="9"/>
    <x v="19"/>
    <s v="SE3_EL"/>
    <x v="9"/>
    <s v="GHOB_WOODWASTE"/>
    <x v="0"/>
    <x v="16"/>
    <n v="67.175380653136898"/>
    <n v="24519.013938395001"/>
    <n v="88268.450178221901"/>
  </r>
  <r>
    <x v="0"/>
    <x v="0"/>
    <x v="0"/>
    <x v="9"/>
    <x v="19"/>
    <s v="SE3_EL"/>
    <x v="9"/>
    <s v="GHOB_WOODWASTE"/>
    <x v="0"/>
    <x v="17"/>
    <n v="67.175380653136898"/>
    <n v="24519.013938395001"/>
    <n v="88268.450178221901"/>
  </r>
  <r>
    <x v="0"/>
    <x v="0"/>
    <x v="0"/>
    <x v="9"/>
    <x v="19"/>
    <s v="SE3_EL"/>
    <x v="9"/>
    <s v="GHOB_WOODWASTE"/>
    <x v="0"/>
    <x v="19"/>
    <n v="67.175380653136898"/>
    <n v="24519.013938395001"/>
    <n v="88268.450178221901"/>
  </r>
  <r>
    <x v="0"/>
    <x v="0"/>
    <x v="0"/>
    <x v="9"/>
    <x v="19"/>
    <s v="SE3_EL"/>
    <x v="9"/>
    <s v="GHOB_WOODWASTE"/>
    <x v="0"/>
    <x v="20"/>
    <n v="67.175380653136898"/>
    <n v="24519.013938395001"/>
    <n v="88268.450178221901"/>
  </r>
  <r>
    <x v="0"/>
    <x v="0"/>
    <x v="0"/>
    <x v="9"/>
    <x v="19"/>
    <s v="SE3_EL"/>
    <x v="9"/>
    <s v="GHOB_WOODWASTE"/>
    <x v="0"/>
    <x v="21"/>
    <n v="67.175380653136898"/>
    <n v="24519.013938395001"/>
    <n v="88268.450178221901"/>
  </r>
  <r>
    <x v="0"/>
    <x v="0"/>
    <x v="0"/>
    <x v="9"/>
    <x v="19"/>
    <s v="SE3_EL"/>
    <x v="9"/>
    <s v="GHOB_WOODWASTE"/>
    <x v="0"/>
    <x v="22"/>
    <n v="67.175380653136898"/>
    <n v="24519.013938395001"/>
    <n v="88268.450178221901"/>
  </r>
  <r>
    <x v="0"/>
    <x v="0"/>
    <x v="0"/>
    <x v="9"/>
    <x v="19"/>
    <s v="SE3_EL"/>
    <x v="9"/>
    <s v="GHOB_WOODWASTE"/>
    <x v="0"/>
    <x v="23"/>
    <n v="67.175380653136898"/>
    <n v="24519.013938395001"/>
    <n v="88268.450178221901"/>
  </r>
  <r>
    <x v="0"/>
    <x v="0"/>
    <x v="0"/>
    <x v="9"/>
    <x v="19"/>
    <s v="SE3_GOT"/>
    <x v="2"/>
    <s v="GBPR_MUNIWASTE_24"/>
    <x v="0"/>
    <x v="0"/>
    <n v="233.07407407407399"/>
    <n v="85072.037037037095"/>
    <n v="306259.33333333302"/>
  </r>
  <r>
    <x v="0"/>
    <x v="0"/>
    <x v="0"/>
    <x v="9"/>
    <x v="19"/>
    <s v="SE3_GOT"/>
    <x v="2"/>
    <s v="GBPR_MUNIWASTE_24"/>
    <x v="0"/>
    <x v="1"/>
    <n v="233.07407407407399"/>
    <n v="85072.037037037095"/>
    <n v="306259.33333333302"/>
  </r>
  <r>
    <x v="0"/>
    <x v="0"/>
    <x v="0"/>
    <x v="9"/>
    <x v="19"/>
    <s v="SE3_GOT"/>
    <x v="2"/>
    <s v="GBPR_MUNIWASTE_24"/>
    <x v="0"/>
    <x v="2"/>
    <n v="233.07407407407399"/>
    <n v="85072.037037037095"/>
    <n v="306259.33333333302"/>
  </r>
  <r>
    <x v="0"/>
    <x v="0"/>
    <x v="0"/>
    <x v="9"/>
    <x v="19"/>
    <s v="SE3_GOT"/>
    <x v="2"/>
    <s v="GBPR_MUNIWASTE_24"/>
    <x v="0"/>
    <x v="3"/>
    <n v="233.07407407407399"/>
    <n v="85072.037037037095"/>
    <n v="306259.33333333302"/>
  </r>
  <r>
    <x v="0"/>
    <x v="0"/>
    <x v="0"/>
    <x v="9"/>
    <x v="19"/>
    <s v="SE3_GOT"/>
    <x v="2"/>
    <s v="GBPR_MUNIWASTE_24"/>
    <x v="0"/>
    <x v="18"/>
    <n v="233.07407407407399"/>
    <n v="85072.037037037095"/>
    <n v="306259.33333333302"/>
  </r>
  <r>
    <x v="0"/>
    <x v="0"/>
    <x v="0"/>
    <x v="9"/>
    <x v="19"/>
    <s v="SE3_GOT"/>
    <x v="2"/>
    <s v="GBPR_MUNIWASTE_24"/>
    <x v="0"/>
    <x v="4"/>
    <n v="233.07407407407399"/>
    <n v="85072.037037037095"/>
    <n v="306259.33333333302"/>
  </r>
  <r>
    <x v="0"/>
    <x v="0"/>
    <x v="0"/>
    <x v="9"/>
    <x v="19"/>
    <s v="SE3_GOT"/>
    <x v="2"/>
    <s v="GBPR_MUNIWASTE_24"/>
    <x v="0"/>
    <x v="5"/>
    <n v="233.07407407407399"/>
    <n v="85072.037037037095"/>
    <n v="306259.33333333302"/>
  </r>
  <r>
    <x v="0"/>
    <x v="0"/>
    <x v="0"/>
    <x v="9"/>
    <x v="19"/>
    <s v="SE3_GOT"/>
    <x v="2"/>
    <s v="GBPR_MUNIWASTE_24"/>
    <x v="0"/>
    <x v="6"/>
    <n v="233.07407407407399"/>
    <n v="85072.037037037095"/>
    <n v="306259.33333333302"/>
  </r>
  <r>
    <x v="0"/>
    <x v="0"/>
    <x v="0"/>
    <x v="9"/>
    <x v="19"/>
    <s v="SE3_GOT"/>
    <x v="2"/>
    <s v="GBPR_MUNIWASTE_24"/>
    <x v="0"/>
    <x v="7"/>
    <n v="233.07407407407399"/>
    <n v="85072.037037037095"/>
    <n v="306259.33333333302"/>
  </r>
  <r>
    <x v="0"/>
    <x v="0"/>
    <x v="0"/>
    <x v="9"/>
    <x v="19"/>
    <s v="SE3_GOT"/>
    <x v="2"/>
    <s v="GBPR_MUNIWASTE_24"/>
    <x v="0"/>
    <x v="8"/>
    <n v="233.07407407407399"/>
    <n v="85072.037037037095"/>
    <n v="306259.33333333302"/>
  </r>
  <r>
    <x v="0"/>
    <x v="0"/>
    <x v="0"/>
    <x v="9"/>
    <x v="19"/>
    <s v="SE3_GOT"/>
    <x v="2"/>
    <s v="GBPR_MUNIWASTE_24"/>
    <x v="0"/>
    <x v="9"/>
    <n v="233.07407407407399"/>
    <n v="85072.037037037095"/>
    <n v="306259.33333333302"/>
  </r>
  <r>
    <x v="0"/>
    <x v="0"/>
    <x v="0"/>
    <x v="9"/>
    <x v="19"/>
    <s v="SE3_GOT"/>
    <x v="2"/>
    <s v="GBPR_MUNIWASTE_24"/>
    <x v="0"/>
    <x v="10"/>
    <n v="233.07407407407399"/>
    <n v="85072.037037037095"/>
    <n v="306259.33333333302"/>
  </r>
  <r>
    <x v="0"/>
    <x v="0"/>
    <x v="0"/>
    <x v="9"/>
    <x v="19"/>
    <s v="SE3_GOT"/>
    <x v="2"/>
    <s v="GBPR_MUNIWASTE_24"/>
    <x v="0"/>
    <x v="11"/>
    <n v="233.07407407407399"/>
    <n v="85072.037037037095"/>
    <n v="306259.33333333302"/>
  </r>
  <r>
    <x v="0"/>
    <x v="0"/>
    <x v="0"/>
    <x v="9"/>
    <x v="19"/>
    <s v="SE3_GOT"/>
    <x v="2"/>
    <s v="GBPR_MUNIWASTE_24"/>
    <x v="0"/>
    <x v="12"/>
    <n v="233.07407407407399"/>
    <n v="85072.037037037095"/>
    <n v="306259.33333333302"/>
  </r>
  <r>
    <x v="0"/>
    <x v="0"/>
    <x v="0"/>
    <x v="9"/>
    <x v="19"/>
    <s v="SE3_GOT"/>
    <x v="2"/>
    <s v="GBPR_MUNIWASTE_24"/>
    <x v="0"/>
    <x v="13"/>
    <n v="233.07407407407399"/>
    <n v="85072.037037037095"/>
    <n v="306259.33333333302"/>
  </r>
  <r>
    <x v="0"/>
    <x v="0"/>
    <x v="0"/>
    <x v="9"/>
    <x v="19"/>
    <s v="SE3_GOT"/>
    <x v="2"/>
    <s v="GBPR_MUNIWASTE_24"/>
    <x v="0"/>
    <x v="14"/>
    <n v="233.07407407407399"/>
    <n v="85072.037037037095"/>
    <n v="306259.33333333302"/>
  </r>
  <r>
    <x v="0"/>
    <x v="0"/>
    <x v="0"/>
    <x v="9"/>
    <x v="19"/>
    <s v="SE3_GOT"/>
    <x v="2"/>
    <s v="GBPR_MUNIWASTE_24"/>
    <x v="0"/>
    <x v="15"/>
    <n v="233.07407407407399"/>
    <n v="85072.037037037095"/>
    <n v="306259.33333333302"/>
  </r>
  <r>
    <x v="0"/>
    <x v="0"/>
    <x v="0"/>
    <x v="9"/>
    <x v="19"/>
    <s v="SE3_GOT"/>
    <x v="2"/>
    <s v="GBPR_MUNIWASTE_24"/>
    <x v="0"/>
    <x v="16"/>
    <n v="233.07407407407399"/>
    <n v="85072.037037037095"/>
    <n v="306259.33333333302"/>
  </r>
  <r>
    <x v="0"/>
    <x v="0"/>
    <x v="0"/>
    <x v="9"/>
    <x v="19"/>
    <s v="SE3_GOT"/>
    <x v="2"/>
    <s v="GBPR_MUNIWASTE_24"/>
    <x v="0"/>
    <x v="17"/>
    <n v="233.07407407407399"/>
    <n v="85072.037037037095"/>
    <n v="306259.33333333302"/>
  </r>
  <r>
    <x v="0"/>
    <x v="0"/>
    <x v="0"/>
    <x v="9"/>
    <x v="19"/>
    <s v="SE3_GOT"/>
    <x v="2"/>
    <s v="GBPR_MUNIWASTE_24"/>
    <x v="0"/>
    <x v="19"/>
    <n v="233.07407407407399"/>
    <n v="85072.037037037095"/>
    <n v="306259.33333333302"/>
  </r>
  <r>
    <x v="0"/>
    <x v="0"/>
    <x v="0"/>
    <x v="9"/>
    <x v="19"/>
    <s v="SE3_GOT"/>
    <x v="2"/>
    <s v="GBPR_MUNIWASTE_24"/>
    <x v="0"/>
    <x v="20"/>
    <n v="233.07407407407399"/>
    <n v="85072.037037037095"/>
    <n v="306259.33333333302"/>
  </r>
  <r>
    <x v="0"/>
    <x v="0"/>
    <x v="0"/>
    <x v="9"/>
    <x v="19"/>
    <s v="SE3_GOT"/>
    <x v="2"/>
    <s v="GBPR_MUNIWASTE_24"/>
    <x v="0"/>
    <x v="21"/>
    <n v="233.07407407407399"/>
    <n v="85072.037037037095"/>
    <n v="306259.33333333302"/>
  </r>
  <r>
    <x v="0"/>
    <x v="0"/>
    <x v="0"/>
    <x v="9"/>
    <x v="19"/>
    <s v="SE3_GOT"/>
    <x v="2"/>
    <s v="GBPR_MUNIWASTE_24"/>
    <x v="0"/>
    <x v="22"/>
    <n v="233.07407407407399"/>
    <n v="85072.037037037095"/>
    <n v="306259.33333333302"/>
  </r>
  <r>
    <x v="0"/>
    <x v="0"/>
    <x v="0"/>
    <x v="9"/>
    <x v="19"/>
    <s v="SE3_GOT"/>
    <x v="2"/>
    <s v="GBPR_MUNIWASTE_24"/>
    <x v="0"/>
    <x v="23"/>
    <n v="233.07407407407399"/>
    <n v="85072.037037037095"/>
    <n v="306259.33333333302"/>
  </r>
  <r>
    <x v="0"/>
    <x v="0"/>
    <x v="0"/>
    <x v="9"/>
    <x v="19"/>
    <s v="SE3_GOT"/>
    <x v="1"/>
    <s v="GHOB_WASTEHEAT"/>
    <x v="0"/>
    <x v="0"/>
    <n v="118.24633699633701"/>
    <n v="43159.913003662798"/>
    <n v="155375.68681318601"/>
  </r>
  <r>
    <x v="0"/>
    <x v="0"/>
    <x v="0"/>
    <x v="9"/>
    <x v="19"/>
    <s v="SE3_GOT"/>
    <x v="1"/>
    <s v="GHOB_WASTEHEAT"/>
    <x v="0"/>
    <x v="1"/>
    <n v="118.24633699633701"/>
    <n v="43159.913003662798"/>
    <n v="155375.68681318601"/>
  </r>
  <r>
    <x v="0"/>
    <x v="0"/>
    <x v="0"/>
    <x v="9"/>
    <x v="19"/>
    <s v="SE3_GOT"/>
    <x v="1"/>
    <s v="GHOB_WASTEHEAT"/>
    <x v="0"/>
    <x v="2"/>
    <n v="118.24633699633701"/>
    <n v="43159.913003662798"/>
    <n v="155375.68681318601"/>
  </r>
  <r>
    <x v="0"/>
    <x v="0"/>
    <x v="0"/>
    <x v="9"/>
    <x v="19"/>
    <s v="SE3_GOT"/>
    <x v="1"/>
    <s v="GHOB_WASTEHEAT"/>
    <x v="0"/>
    <x v="3"/>
    <n v="118.24633699633701"/>
    <n v="43159.913003662798"/>
    <n v="155375.68681318601"/>
  </r>
  <r>
    <x v="0"/>
    <x v="0"/>
    <x v="0"/>
    <x v="9"/>
    <x v="19"/>
    <s v="SE3_GOT"/>
    <x v="1"/>
    <s v="GHOB_WASTEHEAT"/>
    <x v="0"/>
    <x v="18"/>
    <n v="118.24633699633701"/>
    <n v="43159.913003662798"/>
    <n v="155375.68681318601"/>
  </r>
  <r>
    <x v="0"/>
    <x v="0"/>
    <x v="0"/>
    <x v="9"/>
    <x v="19"/>
    <s v="SE3_GOT"/>
    <x v="1"/>
    <s v="GHOB_WASTEHEAT"/>
    <x v="0"/>
    <x v="4"/>
    <n v="118.24633699633701"/>
    <n v="43159.913003662798"/>
    <n v="155375.68681318601"/>
  </r>
  <r>
    <x v="0"/>
    <x v="0"/>
    <x v="0"/>
    <x v="9"/>
    <x v="19"/>
    <s v="SE3_GOT"/>
    <x v="1"/>
    <s v="GHOB_WASTEHEAT"/>
    <x v="0"/>
    <x v="5"/>
    <n v="118.24633699633701"/>
    <n v="43159.913003662798"/>
    <n v="155375.68681318601"/>
  </r>
  <r>
    <x v="0"/>
    <x v="0"/>
    <x v="0"/>
    <x v="9"/>
    <x v="19"/>
    <s v="SE3_GOT"/>
    <x v="1"/>
    <s v="GHOB_WASTEHEAT"/>
    <x v="0"/>
    <x v="6"/>
    <n v="118.24633699633701"/>
    <n v="43159.913003662798"/>
    <n v="155375.68681318601"/>
  </r>
  <r>
    <x v="0"/>
    <x v="0"/>
    <x v="0"/>
    <x v="9"/>
    <x v="19"/>
    <s v="SE3_GOT"/>
    <x v="1"/>
    <s v="GHOB_WASTEHEAT"/>
    <x v="0"/>
    <x v="7"/>
    <n v="118.24633699633701"/>
    <n v="43159.913003662798"/>
    <n v="155375.68681318601"/>
  </r>
  <r>
    <x v="0"/>
    <x v="0"/>
    <x v="0"/>
    <x v="9"/>
    <x v="19"/>
    <s v="SE3_GOT"/>
    <x v="1"/>
    <s v="GHOB_WASTEHEAT"/>
    <x v="0"/>
    <x v="8"/>
    <n v="118.24633699633701"/>
    <n v="43159.913003662798"/>
    <n v="155375.68681318601"/>
  </r>
  <r>
    <x v="0"/>
    <x v="0"/>
    <x v="0"/>
    <x v="9"/>
    <x v="19"/>
    <s v="SE3_GOT"/>
    <x v="1"/>
    <s v="GHOB_WASTEHEAT"/>
    <x v="0"/>
    <x v="9"/>
    <n v="118.24633699633701"/>
    <n v="43159.913003662798"/>
    <n v="155375.68681318601"/>
  </r>
  <r>
    <x v="0"/>
    <x v="0"/>
    <x v="0"/>
    <x v="9"/>
    <x v="19"/>
    <s v="SE3_GOT"/>
    <x v="1"/>
    <s v="GHOB_WASTEHEAT"/>
    <x v="0"/>
    <x v="10"/>
    <n v="118.24633699633701"/>
    <n v="43159.913003662798"/>
    <n v="155375.68681318601"/>
  </r>
  <r>
    <x v="0"/>
    <x v="0"/>
    <x v="0"/>
    <x v="9"/>
    <x v="19"/>
    <s v="SE3_GOT"/>
    <x v="1"/>
    <s v="GHOB_WASTEHEAT"/>
    <x v="0"/>
    <x v="11"/>
    <n v="118.24633699633701"/>
    <n v="43159.913003662798"/>
    <n v="155375.68681318601"/>
  </r>
  <r>
    <x v="0"/>
    <x v="0"/>
    <x v="0"/>
    <x v="9"/>
    <x v="19"/>
    <s v="SE3_GOT"/>
    <x v="1"/>
    <s v="GHOB_WASTEHEAT"/>
    <x v="0"/>
    <x v="12"/>
    <n v="118.24633699633701"/>
    <n v="43159.913003662798"/>
    <n v="155375.68681318601"/>
  </r>
  <r>
    <x v="0"/>
    <x v="0"/>
    <x v="0"/>
    <x v="9"/>
    <x v="19"/>
    <s v="SE3_GOT"/>
    <x v="1"/>
    <s v="GHOB_WASTEHEAT"/>
    <x v="0"/>
    <x v="13"/>
    <n v="118.24633699633701"/>
    <n v="43159.913003662798"/>
    <n v="155375.68681318601"/>
  </r>
  <r>
    <x v="0"/>
    <x v="0"/>
    <x v="0"/>
    <x v="9"/>
    <x v="19"/>
    <s v="SE3_GOT"/>
    <x v="1"/>
    <s v="GHOB_WASTEHEAT"/>
    <x v="0"/>
    <x v="14"/>
    <n v="118.24633699633701"/>
    <n v="43159.913003662798"/>
    <n v="155375.68681318601"/>
  </r>
  <r>
    <x v="0"/>
    <x v="0"/>
    <x v="0"/>
    <x v="9"/>
    <x v="19"/>
    <s v="SE3_GOT"/>
    <x v="1"/>
    <s v="GHOB_WASTEHEAT"/>
    <x v="0"/>
    <x v="15"/>
    <n v="118.24633699633701"/>
    <n v="43159.913003662798"/>
    <n v="155375.68681318601"/>
  </r>
  <r>
    <x v="0"/>
    <x v="0"/>
    <x v="0"/>
    <x v="9"/>
    <x v="19"/>
    <s v="SE3_GOT"/>
    <x v="1"/>
    <s v="GHOB_WASTEHEAT"/>
    <x v="0"/>
    <x v="16"/>
    <n v="118.24633699633701"/>
    <n v="43159.913003662798"/>
    <n v="155375.68681318601"/>
  </r>
  <r>
    <x v="0"/>
    <x v="0"/>
    <x v="0"/>
    <x v="9"/>
    <x v="19"/>
    <s v="SE3_GOT"/>
    <x v="1"/>
    <s v="GHOB_WASTEHEAT"/>
    <x v="0"/>
    <x v="17"/>
    <n v="118.24633699633701"/>
    <n v="43159.913003662798"/>
    <n v="155375.68681318601"/>
  </r>
  <r>
    <x v="0"/>
    <x v="0"/>
    <x v="0"/>
    <x v="9"/>
    <x v="19"/>
    <s v="SE3_GOT"/>
    <x v="1"/>
    <s v="GHOB_WASTEHEAT"/>
    <x v="0"/>
    <x v="19"/>
    <n v="118.24633699633701"/>
    <n v="43159.913003662798"/>
    <n v="155375.68681318601"/>
  </r>
  <r>
    <x v="0"/>
    <x v="0"/>
    <x v="0"/>
    <x v="9"/>
    <x v="19"/>
    <s v="SE3_GOT"/>
    <x v="1"/>
    <s v="GHOB_WASTEHEAT"/>
    <x v="0"/>
    <x v="20"/>
    <n v="118.24633699633701"/>
    <n v="43159.913003662798"/>
    <n v="155375.68681318601"/>
  </r>
  <r>
    <x v="0"/>
    <x v="0"/>
    <x v="0"/>
    <x v="9"/>
    <x v="19"/>
    <s v="SE3_GOT"/>
    <x v="1"/>
    <s v="GHOB_WASTEHEAT"/>
    <x v="0"/>
    <x v="21"/>
    <n v="118.24633699633701"/>
    <n v="43159.913003662798"/>
    <n v="155375.68681318601"/>
  </r>
  <r>
    <x v="0"/>
    <x v="0"/>
    <x v="0"/>
    <x v="9"/>
    <x v="19"/>
    <s v="SE3_GOT"/>
    <x v="1"/>
    <s v="GHOB_WASTEHEAT"/>
    <x v="0"/>
    <x v="22"/>
    <n v="118.24633699633701"/>
    <n v="43159.913003662798"/>
    <n v="155375.68681318601"/>
  </r>
  <r>
    <x v="0"/>
    <x v="0"/>
    <x v="0"/>
    <x v="9"/>
    <x v="19"/>
    <s v="SE3_GOT"/>
    <x v="1"/>
    <s v="GHOB_WASTEHEAT"/>
    <x v="0"/>
    <x v="23"/>
    <n v="118.24633699633701"/>
    <n v="43159.913003662798"/>
    <n v="155375.68681318601"/>
  </r>
  <r>
    <x v="0"/>
    <x v="0"/>
    <x v="0"/>
    <x v="9"/>
    <x v="19"/>
    <s v="SE3_GOT"/>
    <x v="9"/>
    <s v="GBPR_WOODWASTE_GOT"/>
    <x v="0"/>
    <x v="0"/>
    <n v="101.42738912001801"/>
    <n v="37020.997028806501"/>
    <n v="133275.58930370299"/>
  </r>
  <r>
    <x v="0"/>
    <x v="0"/>
    <x v="0"/>
    <x v="9"/>
    <x v="19"/>
    <s v="SE3_GOT"/>
    <x v="9"/>
    <s v="GBPR_WOODWASTE_GOT"/>
    <x v="0"/>
    <x v="1"/>
    <n v="101.42738912001801"/>
    <n v="37020.997028806501"/>
    <n v="133275.58930370299"/>
  </r>
  <r>
    <x v="0"/>
    <x v="0"/>
    <x v="0"/>
    <x v="9"/>
    <x v="19"/>
    <s v="SE3_GOT"/>
    <x v="9"/>
    <s v="GBPR_WOODWASTE_GOT"/>
    <x v="0"/>
    <x v="2"/>
    <n v="101.42738912001801"/>
    <n v="37020.997028806501"/>
    <n v="133275.58930370299"/>
  </r>
  <r>
    <x v="0"/>
    <x v="0"/>
    <x v="0"/>
    <x v="9"/>
    <x v="19"/>
    <s v="SE3_GOT"/>
    <x v="9"/>
    <s v="GBPR_WOODWASTE_GOT"/>
    <x v="0"/>
    <x v="3"/>
    <n v="101.42738912001801"/>
    <n v="37020.997028806501"/>
    <n v="133275.58930370299"/>
  </r>
  <r>
    <x v="0"/>
    <x v="0"/>
    <x v="0"/>
    <x v="9"/>
    <x v="19"/>
    <s v="SE3_GOT"/>
    <x v="9"/>
    <s v="GBPR_WOODWASTE_GOT"/>
    <x v="0"/>
    <x v="18"/>
    <n v="101.42738912001801"/>
    <n v="37020.997028806501"/>
    <n v="133275.58930370299"/>
  </r>
  <r>
    <x v="0"/>
    <x v="0"/>
    <x v="0"/>
    <x v="9"/>
    <x v="19"/>
    <s v="SE3_GOT"/>
    <x v="9"/>
    <s v="GBPR_WOODWASTE_GOT"/>
    <x v="0"/>
    <x v="4"/>
    <n v="101.42738912001801"/>
    <n v="37020.997028806501"/>
    <n v="133275.58930370299"/>
  </r>
  <r>
    <x v="0"/>
    <x v="0"/>
    <x v="0"/>
    <x v="9"/>
    <x v="19"/>
    <s v="SE3_GOT"/>
    <x v="9"/>
    <s v="GBPR_WOODWASTE_GOT"/>
    <x v="0"/>
    <x v="5"/>
    <n v="101.42738912001801"/>
    <n v="37020.997028806501"/>
    <n v="133275.58930370299"/>
  </r>
  <r>
    <x v="0"/>
    <x v="0"/>
    <x v="0"/>
    <x v="9"/>
    <x v="19"/>
    <s v="SE3_GOT"/>
    <x v="9"/>
    <s v="GBPR_WOODWASTE_GOT"/>
    <x v="0"/>
    <x v="6"/>
    <n v="101.42738912001801"/>
    <n v="37020.997028806501"/>
    <n v="133275.58930370299"/>
  </r>
  <r>
    <x v="0"/>
    <x v="0"/>
    <x v="0"/>
    <x v="9"/>
    <x v="19"/>
    <s v="SE3_GOT"/>
    <x v="9"/>
    <s v="GBPR_WOODWASTE_GOT"/>
    <x v="0"/>
    <x v="7"/>
    <n v="101.42738912001801"/>
    <n v="37020.997028806501"/>
    <n v="133275.58930370299"/>
  </r>
  <r>
    <x v="0"/>
    <x v="0"/>
    <x v="0"/>
    <x v="9"/>
    <x v="19"/>
    <s v="SE3_GOT"/>
    <x v="9"/>
    <s v="GBPR_WOODWASTE_GOT"/>
    <x v="0"/>
    <x v="8"/>
    <n v="101.42738912001801"/>
    <n v="37020.997028806501"/>
    <n v="133275.58930370299"/>
  </r>
  <r>
    <x v="0"/>
    <x v="0"/>
    <x v="0"/>
    <x v="9"/>
    <x v="19"/>
    <s v="SE3_GOT"/>
    <x v="9"/>
    <s v="GBPR_WOODWASTE_GOT"/>
    <x v="0"/>
    <x v="9"/>
    <n v="101.42738912001801"/>
    <n v="37020.997028806501"/>
    <n v="133275.58930370299"/>
  </r>
  <r>
    <x v="0"/>
    <x v="0"/>
    <x v="0"/>
    <x v="9"/>
    <x v="19"/>
    <s v="SE3_GOT"/>
    <x v="9"/>
    <s v="GBPR_WOODWASTE_GOT"/>
    <x v="0"/>
    <x v="10"/>
    <n v="101.42738912001801"/>
    <n v="37020.997028806501"/>
    <n v="133275.58930370299"/>
  </r>
  <r>
    <x v="0"/>
    <x v="0"/>
    <x v="0"/>
    <x v="9"/>
    <x v="19"/>
    <s v="SE3_GOT"/>
    <x v="9"/>
    <s v="GBPR_WOODWASTE_GOT"/>
    <x v="0"/>
    <x v="11"/>
    <n v="101.42738912001801"/>
    <n v="37020.997028806501"/>
    <n v="133275.58930370299"/>
  </r>
  <r>
    <x v="0"/>
    <x v="0"/>
    <x v="0"/>
    <x v="9"/>
    <x v="19"/>
    <s v="SE3_GOT"/>
    <x v="9"/>
    <s v="GBPR_WOODWASTE_GOT"/>
    <x v="0"/>
    <x v="12"/>
    <n v="101.42738912001801"/>
    <n v="37020.997028806501"/>
    <n v="133275.58930370299"/>
  </r>
  <r>
    <x v="0"/>
    <x v="0"/>
    <x v="0"/>
    <x v="9"/>
    <x v="19"/>
    <s v="SE3_GOT"/>
    <x v="9"/>
    <s v="GBPR_WOODWASTE_GOT"/>
    <x v="0"/>
    <x v="13"/>
    <n v="101.42738912001801"/>
    <n v="37020.997028806501"/>
    <n v="133275.58930370299"/>
  </r>
  <r>
    <x v="0"/>
    <x v="0"/>
    <x v="0"/>
    <x v="9"/>
    <x v="19"/>
    <s v="SE3_GOT"/>
    <x v="9"/>
    <s v="GBPR_WOODWASTE_GOT"/>
    <x v="0"/>
    <x v="14"/>
    <n v="101.42738912001801"/>
    <n v="37020.997028806501"/>
    <n v="133275.58930370299"/>
  </r>
  <r>
    <x v="0"/>
    <x v="0"/>
    <x v="0"/>
    <x v="9"/>
    <x v="19"/>
    <s v="SE3_GOT"/>
    <x v="9"/>
    <s v="GBPR_WOODWASTE_GOT"/>
    <x v="0"/>
    <x v="15"/>
    <n v="101.42738912001801"/>
    <n v="37020.997028806501"/>
    <n v="133275.58930370299"/>
  </r>
  <r>
    <x v="0"/>
    <x v="0"/>
    <x v="0"/>
    <x v="9"/>
    <x v="19"/>
    <s v="SE3_GOT"/>
    <x v="9"/>
    <s v="GBPR_WOODWASTE_GOT"/>
    <x v="0"/>
    <x v="16"/>
    <n v="101.42738912001801"/>
    <n v="37020.997028806501"/>
    <n v="133275.58930370299"/>
  </r>
  <r>
    <x v="0"/>
    <x v="0"/>
    <x v="0"/>
    <x v="9"/>
    <x v="19"/>
    <s v="SE3_GOT"/>
    <x v="9"/>
    <s v="GBPR_WOODWASTE_GOT"/>
    <x v="0"/>
    <x v="17"/>
    <n v="101.42738912001801"/>
    <n v="37020.997028806501"/>
    <n v="133275.58930370299"/>
  </r>
  <r>
    <x v="0"/>
    <x v="0"/>
    <x v="0"/>
    <x v="9"/>
    <x v="19"/>
    <s v="SE3_GOT"/>
    <x v="9"/>
    <s v="GBPR_WOODWASTE_GOT"/>
    <x v="0"/>
    <x v="19"/>
    <n v="101.42738912001801"/>
    <n v="37020.997028806501"/>
    <n v="133275.58930370299"/>
  </r>
  <r>
    <x v="0"/>
    <x v="0"/>
    <x v="0"/>
    <x v="9"/>
    <x v="19"/>
    <s v="SE3_GOT"/>
    <x v="9"/>
    <s v="GBPR_WOODWASTE_GOT"/>
    <x v="0"/>
    <x v="20"/>
    <n v="101.42738912001801"/>
    <n v="37020.997028806501"/>
    <n v="133275.58930370299"/>
  </r>
  <r>
    <x v="0"/>
    <x v="0"/>
    <x v="0"/>
    <x v="9"/>
    <x v="19"/>
    <s v="SE3_GOT"/>
    <x v="9"/>
    <s v="GBPR_WOODWASTE_GOT"/>
    <x v="0"/>
    <x v="21"/>
    <n v="101.42738912001801"/>
    <n v="37020.997028806501"/>
    <n v="133275.58930370299"/>
  </r>
  <r>
    <x v="0"/>
    <x v="0"/>
    <x v="0"/>
    <x v="9"/>
    <x v="19"/>
    <s v="SE3_GOT"/>
    <x v="9"/>
    <s v="GBPR_WOODWASTE_GOT"/>
    <x v="0"/>
    <x v="22"/>
    <n v="101.42738912001801"/>
    <n v="37020.997028806501"/>
    <n v="133275.58930370299"/>
  </r>
  <r>
    <x v="0"/>
    <x v="0"/>
    <x v="0"/>
    <x v="9"/>
    <x v="19"/>
    <s v="SE3_GOT"/>
    <x v="9"/>
    <s v="GBPR_WOODWASTE_GOT"/>
    <x v="0"/>
    <x v="23"/>
    <n v="101.42738912001801"/>
    <n v="37020.997028806501"/>
    <n v="133275.58930370299"/>
  </r>
  <r>
    <x v="0"/>
    <x v="0"/>
    <x v="0"/>
    <x v="9"/>
    <x v="19"/>
    <s v="SE3_HP"/>
    <x v="2"/>
    <s v="GBPR_MUNIWASTE_24"/>
    <x v="0"/>
    <x v="0"/>
    <n v="190.414515729572"/>
    <n v="69501.298241293698"/>
    <n v="250204.67366865699"/>
  </r>
  <r>
    <x v="0"/>
    <x v="0"/>
    <x v="0"/>
    <x v="9"/>
    <x v="19"/>
    <s v="SE3_HP"/>
    <x v="2"/>
    <s v="GBPR_MUNIWASTE_24"/>
    <x v="0"/>
    <x v="1"/>
    <n v="190.414515729572"/>
    <n v="69501.298241293698"/>
    <n v="250204.67366865699"/>
  </r>
  <r>
    <x v="0"/>
    <x v="0"/>
    <x v="0"/>
    <x v="9"/>
    <x v="19"/>
    <s v="SE3_HP"/>
    <x v="2"/>
    <s v="GBPR_MUNIWASTE_24"/>
    <x v="0"/>
    <x v="2"/>
    <n v="190.414515729572"/>
    <n v="69501.298241293698"/>
    <n v="250204.67366865699"/>
  </r>
  <r>
    <x v="0"/>
    <x v="0"/>
    <x v="0"/>
    <x v="9"/>
    <x v="19"/>
    <s v="SE3_HP"/>
    <x v="2"/>
    <s v="GBPR_MUNIWASTE_24"/>
    <x v="0"/>
    <x v="3"/>
    <n v="190.414515729572"/>
    <n v="69501.298241293698"/>
    <n v="250204.67366865699"/>
  </r>
  <r>
    <x v="0"/>
    <x v="0"/>
    <x v="0"/>
    <x v="9"/>
    <x v="19"/>
    <s v="SE3_HP"/>
    <x v="2"/>
    <s v="GBPR_MUNIWASTE_24"/>
    <x v="0"/>
    <x v="18"/>
    <n v="190.414515729572"/>
    <n v="69501.298241293698"/>
    <n v="250204.67366865699"/>
  </r>
  <r>
    <x v="0"/>
    <x v="0"/>
    <x v="0"/>
    <x v="9"/>
    <x v="19"/>
    <s v="SE3_HP"/>
    <x v="2"/>
    <s v="GBPR_MUNIWASTE_24"/>
    <x v="0"/>
    <x v="4"/>
    <n v="190.414515729572"/>
    <n v="69501.298241293698"/>
    <n v="250204.67366865699"/>
  </r>
  <r>
    <x v="0"/>
    <x v="0"/>
    <x v="0"/>
    <x v="9"/>
    <x v="19"/>
    <s v="SE3_HP"/>
    <x v="2"/>
    <s v="GBPR_MUNIWASTE_24"/>
    <x v="0"/>
    <x v="5"/>
    <n v="190.414515729572"/>
    <n v="69501.298241293698"/>
    <n v="250204.67366865699"/>
  </r>
  <r>
    <x v="0"/>
    <x v="0"/>
    <x v="0"/>
    <x v="9"/>
    <x v="19"/>
    <s v="SE3_HP"/>
    <x v="2"/>
    <s v="GBPR_MUNIWASTE_24"/>
    <x v="0"/>
    <x v="6"/>
    <n v="190.414515729572"/>
    <n v="69501.298241293698"/>
    <n v="250204.67366865699"/>
  </r>
  <r>
    <x v="0"/>
    <x v="0"/>
    <x v="0"/>
    <x v="9"/>
    <x v="19"/>
    <s v="SE3_HP"/>
    <x v="2"/>
    <s v="GBPR_MUNIWASTE_24"/>
    <x v="0"/>
    <x v="7"/>
    <n v="190.414515729572"/>
    <n v="69501.298241293698"/>
    <n v="250204.67366865699"/>
  </r>
  <r>
    <x v="0"/>
    <x v="0"/>
    <x v="0"/>
    <x v="9"/>
    <x v="19"/>
    <s v="SE3_HP"/>
    <x v="2"/>
    <s v="GBPR_MUNIWASTE_24"/>
    <x v="0"/>
    <x v="8"/>
    <n v="190.414515729572"/>
    <n v="69501.298241293698"/>
    <n v="250204.67366865699"/>
  </r>
  <r>
    <x v="0"/>
    <x v="0"/>
    <x v="0"/>
    <x v="9"/>
    <x v="19"/>
    <s v="SE3_HP"/>
    <x v="2"/>
    <s v="GBPR_MUNIWASTE_24"/>
    <x v="0"/>
    <x v="9"/>
    <n v="190.414515729572"/>
    <n v="69501.298241293698"/>
    <n v="250204.67366865699"/>
  </r>
  <r>
    <x v="0"/>
    <x v="0"/>
    <x v="0"/>
    <x v="9"/>
    <x v="19"/>
    <s v="SE3_HP"/>
    <x v="2"/>
    <s v="GBPR_MUNIWASTE_24"/>
    <x v="0"/>
    <x v="10"/>
    <n v="190.414515729572"/>
    <n v="69501.298241293698"/>
    <n v="250204.67366865699"/>
  </r>
  <r>
    <x v="0"/>
    <x v="0"/>
    <x v="0"/>
    <x v="9"/>
    <x v="19"/>
    <s v="SE3_HP"/>
    <x v="2"/>
    <s v="GBPR_MUNIWASTE_24"/>
    <x v="0"/>
    <x v="11"/>
    <n v="190.414515729572"/>
    <n v="69501.298241293698"/>
    <n v="250204.67366865699"/>
  </r>
  <r>
    <x v="0"/>
    <x v="0"/>
    <x v="0"/>
    <x v="9"/>
    <x v="19"/>
    <s v="SE3_HP"/>
    <x v="2"/>
    <s v="GBPR_MUNIWASTE_24"/>
    <x v="0"/>
    <x v="12"/>
    <n v="190.414515729572"/>
    <n v="69501.298241293698"/>
    <n v="250204.67366865699"/>
  </r>
  <r>
    <x v="0"/>
    <x v="0"/>
    <x v="0"/>
    <x v="9"/>
    <x v="19"/>
    <s v="SE3_HP"/>
    <x v="2"/>
    <s v="GBPR_MUNIWASTE_24"/>
    <x v="0"/>
    <x v="13"/>
    <n v="190.414515729572"/>
    <n v="69501.298241293698"/>
    <n v="250204.67366865699"/>
  </r>
  <r>
    <x v="0"/>
    <x v="0"/>
    <x v="0"/>
    <x v="9"/>
    <x v="19"/>
    <s v="SE3_HP"/>
    <x v="2"/>
    <s v="GBPR_MUNIWASTE_24"/>
    <x v="0"/>
    <x v="14"/>
    <n v="190.414515729572"/>
    <n v="69501.298241293698"/>
    <n v="250204.67366865699"/>
  </r>
  <r>
    <x v="0"/>
    <x v="0"/>
    <x v="0"/>
    <x v="9"/>
    <x v="19"/>
    <s v="SE3_HP"/>
    <x v="2"/>
    <s v="GBPR_MUNIWASTE_24"/>
    <x v="0"/>
    <x v="15"/>
    <n v="190.414515729572"/>
    <n v="69501.298241293698"/>
    <n v="250204.67366865699"/>
  </r>
  <r>
    <x v="0"/>
    <x v="0"/>
    <x v="0"/>
    <x v="9"/>
    <x v="19"/>
    <s v="SE3_HP"/>
    <x v="2"/>
    <s v="GBPR_MUNIWASTE_24"/>
    <x v="0"/>
    <x v="16"/>
    <n v="190.414515729572"/>
    <n v="69501.298241293698"/>
    <n v="250204.67366865699"/>
  </r>
  <r>
    <x v="0"/>
    <x v="0"/>
    <x v="0"/>
    <x v="9"/>
    <x v="19"/>
    <s v="SE3_HP"/>
    <x v="2"/>
    <s v="GBPR_MUNIWASTE_24"/>
    <x v="0"/>
    <x v="17"/>
    <n v="190.414515729572"/>
    <n v="69501.298241293698"/>
    <n v="250204.67366865699"/>
  </r>
  <r>
    <x v="0"/>
    <x v="0"/>
    <x v="0"/>
    <x v="9"/>
    <x v="19"/>
    <s v="SE3_HP"/>
    <x v="2"/>
    <s v="GBPR_MUNIWASTE_24"/>
    <x v="0"/>
    <x v="19"/>
    <n v="190.414515729572"/>
    <n v="69501.298241293698"/>
    <n v="250204.67366865699"/>
  </r>
  <r>
    <x v="0"/>
    <x v="0"/>
    <x v="0"/>
    <x v="9"/>
    <x v="19"/>
    <s v="SE3_HP"/>
    <x v="2"/>
    <s v="GBPR_MUNIWASTE_24"/>
    <x v="0"/>
    <x v="20"/>
    <n v="190.414515729572"/>
    <n v="69501.298241293698"/>
    <n v="250204.67366865699"/>
  </r>
  <r>
    <x v="0"/>
    <x v="0"/>
    <x v="0"/>
    <x v="9"/>
    <x v="19"/>
    <s v="SE3_HP"/>
    <x v="2"/>
    <s v="GBPR_MUNIWASTE_24"/>
    <x v="0"/>
    <x v="21"/>
    <n v="190.414515729572"/>
    <n v="69501.298241293698"/>
    <n v="250204.67366865699"/>
  </r>
  <r>
    <x v="0"/>
    <x v="0"/>
    <x v="0"/>
    <x v="9"/>
    <x v="19"/>
    <s v="SE3_HP"/>
    <x v="2"/>
    <s v="GBPR_MUNIWASTE_24"/>
    <x v="0"/>
    <x v="22"/>
    <n v="190.414515729572"/>
    <n v="69501.298241293698"/>
    <n v="250204.67366865699"/>
  </r>
  <r>
    <x v="0"/>
    <x v="0"/>
    <x v="0"/>
    <x v="9"/>
    <x v="19"/>
    <s v="SE3_HP"/>
    <x v="2"/>
    <s v="GBPR_MUNIWASTE_24"/>
    <x v="0"/>
    <x v="23"/>
    <n v="190.414515729572"/>
    <n v="69501.298241293698"/>
    <n v="250204.67366865699"/>
  </r>
  <r>
    <x v="0"/>
    <x v="0"/>
    <x v="0"/>
    <x v="9"/>
    <x v="19"/>
    <s v="SE3_HP"/>
    <x v="1"/>
    <s v="GHOB_WASTEHEAT"/>
    <x v="0"/>
    <x v="0"/>
    <n v="3.4340659340659201E-3"/>
    <n v="1.2534340659340599"/>
    <n v="4.51236263736262"/>
  </r>
  <r>
    <x v="0"/>
    <x v="0"/>
    <x v="0"/>
    <x v="9"/>
    <x v="19"/>
    <s v="SE3_HP"/>
    <x v="1"/>
    <s v="GHOB_WASTEHEAT"/>
    <x v="0"/>
    <x v="1"/>
    <n v="3.4340659340659201E-3"/>
    <n v="1.2534340659340599"/>
    <n v="4.51236263736262"/>
  </r>
  <r>
    <x v="0"/>
    <x v="0"/>
    <x v="0"/>
    <x v="9"/>
    <x v="19"/>
    <s v="SE3_HP"/>
    <x v="1"/>
    <s v="GHOB_WASTEHEAT"/>
    <x v="0"/>
    <x v="2"/>
    <n v="3.4340659340659201E-3"/>
    <n v="1.2534340659340599"/>
    <n v="4.51236263736262"/>
  </r>
  <r>
    <x v="0"/>
    <x v="0"/>
    <x v="0"/>
    <x v="9"/>
    <x v="19"/>
    <s v="SE3_HP"/>
    <x v="1"/>
    <s v="GHOB_WASTEHEAT"/>
    <x v="0"/>
    <x v="3"/>
    <n v="3.4340659340659201E-3"/>
    <n v="1.2534340659340599"/>
    <n v="4.51236263736262"/>
  </r>
  <r>
    <x v="0"/>
    <x v="0"/>
    <x v="0"/>
    <x v="9"/>
    <x v="19"/>
    <s v="SE3_HP"/>
    <x v="1"/>
    <s v="GHOB_WASTEHEAT"/>
    <x v="0"/>
    <x v="18"/>
    <n v="3.4340659340659201E-3"/>
    <n v="1.2534340659340599"/>
    <n v="4.51236263736262"/>
  </r>
  <r>
    <x v="0"/>
    <x v="0"/>
    <x v="0"/>
    <x v="9"/>
    <x v="19"/>
    <s v="SE3_HP"/>
    <x v="1"/>
    <s v="GHOB_WASTEHEAT"/>
    <x v="0"/>
    <x v="4"/>
    <n v="3.4340659340659201E-3"/>
    <n v="1.2534340659340599"/>
    <n v="4.51236263736262"/>
  </r>
  <r>
    <x v="0"/>
    <x v="0"/>
    <x v="0"/>
    <x v="9"/>
    <x v="19"/>
    <s v="SE3_HP"/>
    <x v="1"/>
    <s v="GHOB_WASTEHEAT"/>
    <x v="0"/>
    <x v="5"/>
    <n v="3.4340659340659201E-3"/>
    <n v="1.2534340659340599"/>
    <n v="4.51236263736262"/>
  </r>
  <r>
    <x v="0"/>
    <x v="0"/>
    <x v="0"/>
    <x v="9"/>
    <x v="19"/>
    <s v="SE3_HP"/>
    <x v="1"/>
    <s v="GHOB_WASTEHEAT"/>
    <x v="0"/>
    <x v="6"/>
    <n v="3.4340659340659201E-3"/>
    <n v="1.2534340659340599"/>
    <n v="4.51236263736262"/>
  </r>
  <r>
    <x v="0"/>
    <x v="0"/>
    <x v="0"/>
    <x v="9"/>
    <x v="19"/>
    <s v="SE3_HP"/>
    <x v="1"/>
    <s v="GHOB_WASTEHEAT"/>
    <x v="0"/>
    <x v="7"/>
    <n v="3.4340659340659201E-3"/>
    <n v="1.2534340659340599"/>
    <n v="4.51236263736262"/>
  </r>
  <r>
    <x v="0"/>
    <x v="0"/>
    <x v="0"/>
    <x v="9"/>
    <x v="19"/>
    <s v="SE3_HP"/>
    <x v="1"/>
    <s v="GHOB_WASTEHEAT"/>
    <x v="0"/>
    <x v="8"/>
    <n v="3.4340659340659201E-3"/>
    <n v="1.2534340659340599"/>
    <n v="4.51236263736262"/>
  </r>
  <r>
    <x v="0"/>
    <x v="0"/>
    <x v="0"/>
    <x v="9"/>
    <x v="19"/>
    <s v="SE3_HP"/>
    <x v="1"/>
    <s v="GHOB_WASTEHEAT"/>
    <x v="0"/>
    <x v="9"/>
    <n v="3.4340659340659201E-3"/>
    <n v="1.2534340659340599"/>
    <n v="4.51236263736262"/>
  </r>
  <r>
    <x v="0"/>
    <x v="0"/>
    <x v="0"/>
    <x v="9"/>
    <x v="19"/>
    <s v="SE3_HP"/>
    <x v="1"/>
    <s v="GHOB_WASTEHEAT"/>
    <x v="0"/>
    <x v="10"/>
    <n v="3.4340659340659201E-3"/>
    <n v="1.2534340659340599"/>
    <n v="4.51236263736262"/>
  </r>
  <r>
    <x v="0"/>
    <x v="0"/>
    <x v="0"/>
    <x v="9"/>
    <x v="19"/>
    <s v="SE3_HP"/>
    <x v="1"/>
    <s v="GHOB_WASTEHEAT"/>
    <x v="0"/>
    <x v="11"/>
    <n v="3.4340659340659201E-3"/>
    <n v="1.2534340659340599"/>
    <n v="4.51236263736262"/>
  </r>
  <r>
    <x v="0"/>
    <x v="0"/>
    <x v="0"/>
    <x v="9"/>
    <x v="19"/>
    <s v="SE3_HP"/>
    <x v="1"/>
    <s v="GHOB_WASTEHEAT"/>
    <x v="0"/>
    <x v="12"/>
    <n v="3.4340659340659201E-3"/>
    <n v="1.2534340659340599"/>
    <n v="4.51236263736262"/>
  </r>
  <r>
    <x v="0"/>
    <x v="0"/>
    <x v="0"/>
    <x v="9"/>
    <x v="19"/>
    <s v="SE3_HP"/>
    <x v="1"/>
    <s v="GHOB_WASTEHEAT"/>
    <x v="0"/>
    <x v="13"/>
    <n v="3.4340659340659201E-3"/>
    <n v="1.2534340659340599"/>
    <n v="4.51236263736262"/>
  </r>
  <r>
    <x v="0"/>
    <x v="0"/>
    <x v="0"/>
    <x v="9"/>
    <x v="19"/>
    <s v="SE3_HP"/>
    <x v="1"/>
    <s v="GHOB_WASTEHEAT"/>
    <x v="0"/>
    <x v="14"/>
    <n v="3.4340659340659201E-3"/>
    <n v="1.2534340659340599"/>
    <n v="4.51236263736262"/>
  </r>
  <r>
    <x v="0"/>
    <x v="0"/>
    <x v="0"/>
    <x v="9"/>
    <x v="19"/>
    <s v="SE3_HP"/>
    <x v="1"/>
    <s v="GHOB_WASTEHEAT"/>
    <x v="0"/>
    <x v="15"/>
    <n v="3.4340659340659201E-3"/>
    <n v="1.2534340659340599"/>
    <n v="4.51236263736262"/>
  </r>
  <r>
    <x v="0"/>
    <x v="0"/>
    <x v="0"/>
    <x v="9"/>
    <x v="19"/>
    <s v="SE3_HP"/>
    <x v="1"/>
    <s v="GHOB_WASTEHEAT"/>
    <x v="0"/>
    <x v="16"/>
    <n v="3.4340659340659201E-3"/>
    <n v="1.2534340659340599"/>
    <n v="4.51236263736262"/>
  </r>
  <r>
    <x v="0"/>
    <x v="0"/>
    <x v="0"/>
    <x v="9"/>
    <x v="19"/>
    <s v="SE3_HP"/>
    <x v="1"/>
    <s v="GHOB_WASTEHEAT"/>
    <x v="0"/>
    <x v="17"/>
    <n v="3.4340659340659201E-3"/>
    <n v="1.2534340659340599"/>
    <n v="4.51236263736262"/>
  </r>
  <r>
    <x v="0"/>
    <x v="0"/>
    <x v="0"/>
    <x v="9"/>
    <x v="19"/>
    <s v="SE3_HP"/>
    <x v="1"/>
    <s v="GHOB_WASTEHEAT"/>
    <x v="0"/>
    <x v="19"/>
    <n v="3.4340659340659201E-3"/>
    <n v="1.2534340659340599"/>
    <n v="4.51236263736262"/>
  </r>
  <r>
    <x v="0"/>
    <x v="0"/>
    <x v="0"/>
    <x v="9"/>
    <x v="19"/>
    <s v="SE3_HP"/>
    <x v="1"/>
    <s v="GHOB_WASTEHEAT"/>
    <x v="0"/>
    <x v="20"/>
    <n v="3.4340659340659201E-3"/>
    <n v="1.2534340659340599"/>
    <n v="4.51236263736262"/>
  </r>
  <r>
    <x v="0"/>
    <x v="0"/>
    <x v="0"/>
    <x v="9"/>
    <x v="19"/>
    <s v="SE3_HP"/>
    <x v="1"/>
    <s v="GHOB_WASTEHEAT"/>
    <x v="0"/>
    <x v="21"/>
    <n v="3.4340659340659201E-3"/>
    <n v="1.2534340659340599"/>
    <n v="4.51236263736262"/>
  </r>
  <r>
    <x v="0"/>
    <x v="0"/>
    <x v="0"/>
    <x v="9"/>
    <x v="19"/>
    <s v="SE3_HP"/>
    <x v="1"/>
    <s v="GHOB_WASTEHEAT"/>
    <x v="0"/>
    <x v="22"/>
    <n v="3.4340659340659201E-3"/>
    <n v="1.2534340659340599"/>
    <n v="4.51236263736262"/>
  </r>
  <r>
    <x v="0"/>
    <x v="0"/>
    <x v="0"/>
    <x v="9"/>
    <x v="19"/>
    <s v="SE3_HP"/>
    <x v="1"/>
    <s v="GHOB_WASTEHEAT"/>
    <x v="0"/>
    <x v="23"/>
    <n v="3.4340659340659201E-3"/>
    <n v="1.2534340659340599"/>
    <n v="4.51236263736262"/>
  </r>
  <r>
    <x v="0"/>
    <x v="0"/>
    <x v="0"/>
    <x v="9"/>
    <x v="19"/>
    <s v="SE3_HP"/>
    <x v="9"/>
    <s v="GBPR_WOODWASTE_36"/>
    <x v="0"/>
    <x v="0"/>
    <n v="106.436077057793"/>
    <n v="38849.168126094599"/>
    <n v="139857.00525394001"/>
  </r>
  <r>
    <x v="0"/>
    <x v="0"/>
    <x v="0"/>
    <x v="9"/>
    <x v="19"/>
    <s v="SE3_HP"/>
    <x v="9"/>
    <s v="GBPR_WOODWASTE_36"/>
    <x v="0"/>
    <x v="1"/>
    <n v="106.436077057793"/>
    <n v="38849.168126094599"/>
    <n v="139857.00525394001"/>
  </r>
  <r>
    <x v="0"/>
    <x v="0"/>
    <x v="0"/>
    <x v="9"/>
    <x v="19"/>
    <s v="SE3_HP"/>
    <x v="9"/>
    <s v="GBPR_WOODWASTE_36"/>
    <x v="0"/>
    <x v="2"/>
    <n v="106.436077057793"/>
    <n v="38849.168126094599"/>
    <n v="139857.00525394001"/>
  </r>
  <r>
    <x v="0"/>
    <x v="0"/>
    <x v="0"/>
    <x v="9"/>
    <x v="19"/>
    <s v="SE3_HP"/>
    <x v="9"/>
    <s v="GBPR_WOODWASTE_36"/>
    <x v="0"/>
    <x v="3"/>
    <n v="106.436077057793"/>
    <n v="38849.168126094599"/>
    <n v="139857.00525394001"/>
  </r>
  <r>
    <x v="0"/>
    <x v="0"/>
    <x v="0"/>
    <x v="9"/>
    <x v="19"/>
    <s v="SE3_HP"/>
    <x v="9"/>
    <s v="GBPR_WOODWASTE_36"/>
    <x v="0"/>
    <x v="18"/>
    <n v="106.436077057793"/>
    <n v="38849.168126094599"/>
    <n v="139857.00525394001"/>
  </r>
  <r>
    <x v="0"/>
    <x v="0"/>
    <x v="0"/>
    <x v="9"/>
    <x v="19"/>
    <s v="SE3_HP"/>
    <x v="9"/>
    <s v="GBPR_WOODWASTE_36"/>
    <x v="0"/>
    <x v="4"/>
    <n v="106.436077057793"/>
    <n v="38849.168126094599"/>
    <n v="139857.00525394001"/>
  </r>
  <r>
    <x v="0"/>
    <x v="0"/>
    <x v="0"/>
    <x v="9"/>
    <x v="19"/>
    <s v="SE3_HP"/>
    <x v="9"/>
    <s v="GBPR_WOODWASTE_36"/>
    <x v="0"/>
    <x v="5"/>
    <n v="106.436077057793"/>
    <n v="38849.168126094599"/>
    <n v="139857.00525394001"/>
  </r>
  <r>
    <x v="0"/>
    <x v="0"/>
    <x v="0"/>
    <x v="9"/>
    <x v="19"/>
    <s v="SE3_HP"/>
    <x v="9"/>
    <s v="GBPR_WOODWASTE_36"/>
    <x v="0"/>
    <x v="6"/>
    <n v="106.436077057793"/>
    <n v="38849.168126094599"/>
    <n v="139857.00525394001"/>
  </r>
  <r>
    <x v="0"/>
    <x v="0"/>
    <x v="0"/>
    <x v="9"/>
    <x v="19"/>
    <s v="SE3_HP"/>
    <x v="9"/>
    <s v="GBPR_WOODWASTE_36"/>
    <x v="0"/>
    <x v="7"/>
    <n v="106.436077057793"/>
    <n v="38849.168126094599"/>
    <n v="139857.00525394001"/>
  </r>
  <r>
    <x v="0"/>
    <x v="0"/>
    <x v="0"/>
    <x v="9"/>
    <x v="19"/>
    <s v="SE3_HP"/>
    <x v="9"/>
    <s v="GBPR_WOODWASTE_36"/>
    <x v="0"/>
    <x v="8"/>
    <n v="106.436077057793"/>
    <n v="38849.168126094599"/>
    <n v="139857.00525394001"/>
  </r>
  <r>
    <x v="0"/>
    <x v="0"/>
    <x v="0"/>
    <x v="9"/>
    <x v="19"/>
    <s v="SE3_HP"/>
    <x v="9"/>
    <s v="GBPR_WOODWASTE_36"/>
    <x v="0"/>
    <x v="9"/>
    <n v="106.436077057793"/>
    <n v="38849.168126094599"/>
    <n v="139857.00525394001"/>
  </r>
  <r>
    <x v="0"/>
    <x v="0"/>
    <x v="0"/>
    <x v="9"/>
    <x v="19"/>
    <s v="SE3_HP"/>
    <x v="9"/>
    <s v="GBPR_WOODWASTE_36"/>
    <x v="0"/>
    <x v="10"/>
    <n v="106.436077057793"/>
    <n v="38849.168126094599"/>
    <n v="139857.00525394001"/>
  </r>
  <r>
    <x v="0"/>
    <x v="0"/>
    <x v="0"/>
    <x v="9"/>
    <x v="19"/>
    <s v="SE3_HP"/>
    <x v="9"/>
    <s v="GBPR_WOODWASTE_36"/>
    <x v="0"/>
    <x v="11"/>
    <n v="106.436077057793"/>
    <n v="38849.168126094599"/>
    <n v="139857.00525394001"/>
  </r>
  <r>
    <x v="0"/>
    <x v="0"/>
    <x v="0"/>
    <x v="9"/>
    <x v="19"/>
    <s v="SE3_HP"/>
    <x v="9"/>
    <s v="GBPR_WOODWASTE_36"/>
    <x v="0"/>
    <x v="12"/>
    <n v="106.436077057793"/>
    <n v="38849.168126094599"/>
    <n v="139857.00525394001"/>
  </r>
  <r>
    <x v="0"/>
    <x v="0"/>
    <x v="0"/>
    <x v="9"/>
    <x v="19"/>
    <s v="SE3_HP"/>
    <x v="9"/>
    <s v="GBPR_WOODWASTE_36"/>
    <x v="0"/>
    <x v="13"/>
    <n v="106.436077057793"/>
    <n v="38849.168126094599"/>
    <n v="139857.00525394001"/>
  </r>
  <r>
    <x v="0"/>
    <x v="0"/>
    <x v="0"/>
    <x v="9"/>
    <x v="19"/>
    <s v="SE3_HP"/>
    <x v="9"/>
    <s v="GBPR_WOODWASTE_36"/>
    <x v="0"/>
    <x v="14"/>
    <n v="106.436077057793"/>
    <n v="38849.168126094599"/>
    <n v="139857.00525394001"/>
  </r>
  <r>
    <x v="0"/>
    <x v="0"/>
    <x v="0"/>
    <x v="9"/>
    <x v="19"/>
    <s v="SE3_HP"/>
    <x v="9"/>
    <s v="GBPR_WOODWASTE_36"/>
    <x v="0"/>
    <x v="15"/>
    <n v="106.436077057793"/>
    <n v="38849.168126094599"/>
    <n v="139857.00525394001"/>
  </r>
  <r>
    <x v="0"/>
    <x v="0"/>
    <x v="0"/>
    <x v="9"/>
    <x v="19"/>
    <s v="SE3_HP"/>
    <x v="9"/>
    <s v="GBPR_WOODWASTE_36"/>
    <x v="0"/>
    <x v="16"/>
    <n v="106.436077057793"/>
    <n v="38849.168126094599"/>
    <n v="139857.00525394001"/>
  </r>
  <r>
    <x v="0"/>
    <x v="0"/>
    <x v="0"/>
    <x v="9"/>
    <x v="19"/>
    <s v="SE3_HP"/>
    <x v="9"/>
    <s v="GBPR_WOODWASTE_36"/>
    <x v="0"/>
    <x v="17"/>
    <n v="106.436077057793"/>
    <n v="38849.168126094599"/>
    <n v="139857.00525394001"/>
  </r>
  <r>
    <x v="0"/>
    <x v="0"/>
    <x v="0"/>
    <x v="9"/>
    <x v="19"/>
    <s v="SE3_HP"/>
    <x v="9"/>
    <s v="GBPR_WOODWASTE_36"/>
    <x v="0"/>
    <x v="19"/>
    <n v="106.436077057793"/>
    <n v="38849.168126094599"/>
    <n v="139857.00525394001"/>
  </r>
  <r>
    <x v="0"/>
    <x v="0"/>
    <x v="0"/>
    <x v="9"/>
    <x v="19"/>
    <s v="SE3_HP"/>
    <x v="9"/>
    <s v="GBPR_WOODWASTE_36"/>
    <x v="0"/>
    <x v="20"/>
    <n v="106.436077057793"/>
    <n v="38849.168126094599"/>
    <n v="139857.00525394001"/>
  </r>
  <r>
    <x v="0"/>
    <x v="0"/>
    <x v="0"/>
    <x v="9"/>
    <x v="19"/>
    <s v="SE3_HP"/>
    <x v="9"/>
    <s v="GBPR_WOODWASTE_36"/>
    <x v="0"/>
    <x v="21"/>
    <n v="106.436077057793"/>
    <n v="38849.168126094599"/>
    <n v="139857.00525394001"/>
  </r>
  <r>
    <x v="0"/>
    <x v="0"/>
    <x v="0"/>
    <x v="9"/>
    <x v="19"/>
    <s v="SE3_HP"/>
    <x v="9"/>
    <s v="GBPR_WOODWASTE_36"/>
    <x v="0"/>
    <x v="22"/>
    <n v="106.436077057793"/>
    <n v="38849.168126094599"/>
    <n v="139857.00525394001"/>
  </r>
  <r>
    <x v="0"/>
    <x v="0"/>
    <x v="0"/>
    <x v="9"/>
    <x v="19"/>
    <s v="SE3_HP"/>
    <x v="9"/>
    <s v="GBPR_WOODWASTE_36"/>
    <x v="0"/>
    <x v="23"/>
    <n v="106.436077057793"/>
    <n v="38849.168126094599"/>
    <n v="139857.00525394001"/>
  </r>
  <r>
    <x v="0"/>
    <x v="0"/>
    <x v="0"/>
    <x v="9"/>
    <x v="19"/>
    <s v="SE3_HP"/>
    <x v="9"/>
    <s v="GEXT_WOODWASTE"/>
    <x v="0"/>
    <x v="0"/>
    <n v="491.99822391726002"/>
    <n v="179579.35172979999"/>
    <n v="646485.666227279"/>
  </r>
  <r>
    <x v="0"/>
    <x v="0"/>
    <x v="0"/>
    <x v="9"/>
    <x v="19"/>
    <s v="SE3_HP"/>
    <x v="9"/>
    <s v="GEXT_WOODWASTE"/>
    <x v="0"/>
    <x v="1"/>
    <n v="491.99822391726002"/>
    <n v="179579.35172979999"/>
    <n v="646485.666227279"/>
  </r>
  <r>
    <x v="0"/>
    <x v="0"/>
    <x v="0"/>
    <x v="9"/>
    <x v="19"/>
    <s v="SE3_HP"/>
    <x v="9"/>
    <s v="GEXT_WOODWASTE"/>
    <x v="0"/>
    <x v="2"/>
    <n v="491.99822391726002"/>
    <n v="179579.35172979999"/>
    <n v="646485.666227279"/>
  </r>
  <r>
    <x v="0"/>
    <x v="0"/>
    <x v="0"/>
    <x v="9"/>
    <x v="19"/>
    <s v="SE3_HP"/>
    <x v="9"/>
    <s v="GEXT_WOODWASTE"/>
    <x v="0"/>
    <x v="3"/>
    <n v="491.99822391726002"/>
    <n v="179579.35172979999"/>
    <n v="646485.666227279"/>
  </r>
  <r>
    <x v="0"/>
    <x v="0"/>
    <x v="0"/>
    <x v="9"/>
    <x v="19"/>
    <s v="SE3_HP"/>
    <x v="9"/>
    <s v="GEXT_WOODWASTE"/>
    <x v="0"/>
    <x v="18"/>
    <n v="491.99822391726002"/>
    <n v="179579.35172979999"/>
    <n v="646485.666227279"/>
  </r>
  <r>
    <x v="0"/>
    <x v="0"/>
    <x v="0"/>
    <x v="9"/>
    <x v="19"/>
    <s v="SE3_HP"/>
    <x v="9"/>
    <s v="GEXT_WOODWASTE"/>
    <x v="0"/>
    <x v="4"/>
    <n v="491.99822391726002"/>
    <n v="179579.35172979999"/>
    <n v="646485.666227279"/>
  </r>
  <r>
    <x v="0"/>
    <x v="0"/>
    <x v="0"/>
    <x v="9"/>
    <x v="19"/>
    <s v="SE3_HP"/>
    <x v="9"/>
    <s v="GEXT_WOODWASTE"/>
    <x v="0"/>
    <x v="5"/>
    <n v="491.99822391726002"/>
    <n v="179579.35172979999"/>
    <n v="646485.666227279"/>
  </r>
  <r>
    <x v="0"/>
    <x v="0"/>
    <x v="0"/>
    <x v="9"/>
    <x v="19"/>
    <s v="SE3_HP"/>
    <x v="9"/>
    <s v="GEXT_WOODWASTE"/>
    <x v="0"/>
    <x v="6"/>
    <n v="491.99822391726002"/>
    <n v="179579.35172979999"/>
    <n v="646485.666227279"/>
  </r>
  <r>
    <x v="0"/>
    <x v="0"/>
    <x v="0"/>
    <x v="9"/>
    <x v="19"/>
    <s v="SE3_HP"/>
    <x v="9"/>
    <s v="GEXT_WOODWASTE"/>
    <x v="0"/>
    <x v="7"/>
    <n v="491.99822391726002"/>
    <n v="179579.35172979999"/>
    <n v="646485.666227279"/>
  </r>
  <r>
    <x v="0"/>
    <x v="0"/>
    <x v="0"/>
    <x v="9"/>
    <x v="19"/>
    <s v="SE3_HP"/>
    <x v="9"/>
    <s v="GEXT_WOODWASTE"/>
    <x v="0"/>
    <x v="8"/>
    <n v="491.99822391726002"/>
    <n v="179579.35172979999"/>
    <n v="646485.666227279"/>
  </r>
  <r>
    <x v="0"/>
    <x v="0"/>
    <x v="0"/>
    <x v="9"/>
    <x v="19"/>
    <s v="SE3_HP"/>
    <x v="9"/>
    <s v="GEXT_WOODWASTE"/>
    <x v="0"/>
    <x v="9"/>
    <n v="491.99822391726002"/>
    <n v="179579.35172979999"/>
    <n v="646485.666227279"/>
  </r>
  <r>
    <x v="0"/>
    <x v="0"/>
    <x v="0"/>
    <x v="9"/>
    <x v="19"/>
    <s v="SE3_HP"/>
    <x v="9"/>
    <s v="GEXT_WOODWASTE"/>
    <x v="0"/>
    <x v="10"/>
    <n v="491.99822391726002"/>
    <n v="179579.35172979999"/>
    <n v="646485.666227279"/>
  </r>
  <r>
    <x v="0"/>
    <x v="0"/>
    <x v="0"/>
    <x v="9"/>
    <x v="19"/>
    <s v="SE3_HP"/>
    <x v="9"/>
    <s v="GEXT_WOODWASTE"/>
    <x v="0"/>
    <x v="11"/>
    <n v="491.99822391726002"/>
    <n v="179579.35172979999"/>
    <n v="646485.666227279"/>
  </r>
  <r>
    <x v="0"/>
    <x v="0"/>
    <x v="0"/>
    <x v="9"/>
    <x v="19"/>
    <s v="SE3_HP"/>
    <x v="9"/>
    <s v="GEXT_WOODWASTE"/>
    <x v="0"/>
    <x v="12"/>
    <n v="491.99822391726002"/>
    <n v="179579.35172979999"/>
    <n v="646485.666227279"/>
  </r>
  <r>
    <x v="0"/>
    <x v="0"/>
    <x v="0"/>
    <x v="9"/>
    <x v="19"/>
    <s v="SE3_HP"/>
    <x v="9"/>
    <s v="GEXT_WOODWASTE"/>
    <x v="0"/>
    <x v="13"/>
    <n v="491.99822391726002"/>
    <n v="179579.35172979999"/>
    <n v="646485.666227279"/>
  </r>
  <r>
    <x v="0"/>
    <x v="0"/>
    <x v="0"/>
    <x v="9"/>
    <x v="19"/>
    <s v="SE3_HP"/>
    <x v="9"/>
    <s v="GEXT_WOODWASTE"/>
    <x v="0"/>
    <x v="14"/>
    <n v="491.99822391726002"/>
    <n v="179579.35172979999"/>
    <n v="646485.666227279"/>
  </r>
  <r>
    <x v="0"/>
    <x v="0"/>
    <x v="0"/>
    <x v="9"/>
    <x v="19"/>
    <s v="SE3_HP"/>
    <x v="9"/>
    <s v="GEXT_WOODWASTE"/>
    <x v="0"/>
    <x v="15"/>
    <n v="491.99822391726002"/>
    <n v="179579.35172979999"/>
    <n v="646485.666227279"/>
  </r>
  <r>
    <x v="0"/>
    <x v="0"/>
    <x v="0"/>
    <x v="9"/>
    <x v="19"/>
    <s v="SE3_HP"/>
    <x v="9"/>
    <s v="GEXT_WOODWASTE"/>
    <x v="0"/>
    <x v="16"/>
    <n v="491.99822391726002"/>
    <n v="179579.35172979999"/>
    <n v="646485.666227279"/>
  </r>
  <r>
    <x v="0"/>
    <x v="0"/>
    <x v="0"/>
    <x v="9"/>
    <x v="19"/>
    <s v="SE3_HP"/>
    <x v="9"/>
    <s v="GEXT_WOODWASTE"/>
    <x v="0"/>
    <x v="17"/>
    <n v="491.99822391726002"/>
    <n v="179579.35172979999"/>
    <n v="646485.666227279"/>
  </r>
  <r>
    <x v="0"/>
    <x v="0"/>
    <x v="0"/>
    <x v="9"/>
    <x v="19"/>
    <s v="SE3_HP"/>
    <x v="9"/>
    <s v="GEXT_WOODWASTE"/>
    <x v="0"/>
    <x v="19"/>
    <n v="491.99822391726002"/>
    <n v="179579.35172979999"/>
    <n v="646485.666227279"/>
  </r>
  <r>
    <x v="0"/>
    <x v="0"/>
    <x v="0"/>
    <x v="9"/>
    <x v="19"/>
    <s v="SE3_HP"/>
    <x v="9"/>
    <s v="GEXT_WOODWASTE"/>
    <x v="0"/>
    <x v="20"/>
    <n v="491.99822391726002"/>
    <n v="179579.35172979999"/>
    <n v="646485.666227279"/>
  </r>
  <r>
    <x v="0"/>
    <x v="0"/>
    <x v="0"/>
    <x v="9"/>
    <x v="19"/>
    <s v="SE3_HP"/>
    <x v="9"/>
    <s v="GEXT_WOODWASTE"/>
    <x v="0"/>
    <x v="21"/>
    <n v="491.99822391726002"/>
    <n v="179579.35172979999"/>
    <n v="646485.666227279"/>
  </r>
  <r>
    <x v="0"/>
    <x v="0"/>
    <x v="0"/>
    <x v="9"/>
    <x v="19"/>
    <s v="SE3_HP"/>
    <x v="9"/>
    <s v="GEXT_WOODWASTE"/>
    <x v="0"/>
    <x v="22"/>
    <n v="491.99822391726002"/>
    <n v="179579.35172979999"/>
    <n v="646485.666227279"/>
  </r>
  <r>
    <x v="0"/>
    <x v="0"/>
    <x v="0"/>
    <x v="9"/>
    <x v="19"/>
    <s v="SE3_HP"/>
    <x v="9"/>
    <s v="GEXT_WOODWASTE"/>
    <x v="0"/>
    <x v="23"/>
    <n v="491.99822391726002"/>
    <n v="179579.35172979999"/>
    <n v="646485.666227279"/>
  </r>
  <r>
    <x v="0"/>
    <x v="0"/>
    <x v="0"/>
    <x v="9"/>
    <x v="19"/>
    <s v="SE3_HP"/>
    <x v="9"/>
    <s v="GHOB_WOODWASTE"/>
    <x v="0"/>
    <x v="0"/>
    <n v="20.472496960956001"/>
    <n v="7472.4613907489402"/>
    <n v="26900.861006696199"/>
  </r>
  <r>
    <x v="0"/>
    <x v="0"/>
    <x v="0"/>
    <x v="9"/>
    <x v="19"/>
    <s v="SE3_HP"/>
    <x v="9"/>
    <s v="GHOB_WOODWASTE"/>
    <x v="0"/>
    <x v="1"/>
    <n v="20.472496960956001"/>
    <n v="7472.4613907489402"/>
    <n v="26900.861006696199"/>
  </r>
  <r>
    <x v="0"/>
    <x v="0"/>
    <x v="0"/>
    <x v="9"/>
    <x v="19"/>
    <s v="SE3_HP"/>
    <x v="9"/>
    <s v="GHOB_WOODWASTE"/>
    <x v="0"/>
    <x v="2"/>
    <n v="20.472496960956001"/>
    <n v="7472.4613907489402"/>
    <n v="26900.861006696199"/>
  </r>
  <r>
    <x v="0"/>
    <x v="0"/>
    <x v="0"/>
    <x v="9"/>
    <x v="19"/>
    <s v="SE3_HP"/>
    <x v="9"/>
    <s v="GHOB_WOODWASTE"/>
    <x v="0"/>
    <x v="3"/>
    <n v="20.472496960956001"/>
    <n v="7472.4613907489402"/>
    <n v="26900.861006696199"/>
  </r>
  <r>
    <x v="0"/>
    <x v="0"/>
    <x v="0"/>
    <x v="9"/>
    <x v="19"/>
    <s v="SE3_HP"/>
    <x v="9"/>
    <s v="GHOB_WOODWASTE"/>
    <x v="0"/>
    <x v="18"/>
    <n v="20.472496960956001"/>
    <n v="7472.4613907489402"/>
    <n v="26900.861006696199"/>
  </r>
  <r>
    <x v="0"/>
    <x v="0"/>
    <x v="0"/>
    <x v="9"/>
    <x v="19"/>
    <s v="SE3_HP"/>
    <x v="9"/>
    <s v="GHOB_WOODWASTE"/>
    <x v="0"/>
    <x v="4"/>
    <n v="20.472496960956001"/>
    <n v="7472.4613907489402"/>
    <n v="26900.861006696199"/>
  </r>
  <r>
    <x v="0"/>
    <x v="0"/>
    <x v="0"/>
    <x v="9"/>
    <x v="19"/>
    <s v="SE3_HP"/>
    <x v="9"/>
    <s v="GHOB_WOODWASTE"/>
    <x v="0"/>
    <x v="5"/>
    <n v="20.472496960956001"/>
    <n v="7472.4613907489402"/>
    <n v="26900.861006696199"/>
  </r>
  <r>
    <x v="0"/>
    <x v="0"/>
    <x v="0"/>
    <x v="9"/>
    <x v="19"/>
    <s v="SE3_HP"/>
    <x v="9"/>
    <s v="GHOB_WOODWASTE"/>
    <x v="0"/>
    <x v="6"/>
    <n v="20.472496960956001"/>
    <n v="7472.4613907489402"/>
    <n v="26900.861006696199"/>
  </r>
  <r>
    <x v="0"/>
    <x v="0"/>
    <x v="0"/>
    <x v="9"/>
    <x v="19"/>
    <s v="SE3_HP"/>
    <x v="9"/>
    <s v="GHOB_WOODWASTE"/>
    <x v="0"/>
    <x v="7"/>
    <n v="20.472496960956001"/>
    <n v="7472.4613907489402"/>
    <n v="26900.861006696199"/>
  </r>
  <r>
    <x v="0"/>
    <x v="0"/>
    <x v="0"/>
    <x v="9"/>
    <x v="19"/>
    <s v="SE3_HP"/>
    <x v="9"/>
    <s v="GHOB_WOODWASTE"/>
    <x v="0"/>
    <x v="8"/>
    <n v="20.472496960956001"/>
    <n v="7472.4613907489402"/>
    <n v="26900.861006696199"/>
  </r>
  <r>
    <x v="0"/>
    <x v="0"/>
    <x v="0"/>
    <x v="9"/>
    <x v="19"/>
    <s v="SE3_HP"/>
    <x v="9"/>
    <s v="GHOB_WOODWASTE"/>
    <x v="0"/>
    <x v="9"/>
    <n v="20.472496960956001"/>
    <n v="7472.4613907489402"/>
    <n v="26900.861006696199"/>
  </r>
  <r>
    <x v="0"/>
    <x v="0"/>
    <x v="0"/>
    <x v="9"/>
    <x v="19"/>
    <s v="SE3_HP"/>
    <x v="9"/>
    <s v="GHOB_WOODWASTE"/>
    <x v="0"/>
    <x v="10"/>
    <n v="20.472496960956001"/>
    <n v="7472.4613907489402"/>
    <n v="26900.861006696199"/>
  </r>
  <r>
    <x v="0"/>
    <x v="0"/>
    <x v="0"/>
    <x v="9"/>
    <x v="19"/>
    <s v="SE3_HP"/>
    <x v="9"/>
    <s v="GHOB_WOODWASTE"/>
    <x v="0"/>
    <x v="11"/>
    <n v="20.472496960956001"/>
    <n v="7472.4613907489402"/>
    <n v="26900.861006696199"/>
  </r>
  <r>
    <x v="0"/>
    <x v="0"/>
    <x v="0"/>
    <x v="9"/>
    <x v="19"/>
    <s v="SE3_HP"/>
    <x v="9"/>
    <s v="GHOB_WOODWASTE"/>
    <x v="0"/>
    <x v="12"/>
    <n v="20.472496960956001"/>
    <n v="7472.4613907489402"/>
    <n v="26900.861006696199"/>
  </r>
  <r>
    <x v="0"/>
    <x v="0"/>
    <x v="0"/>
    <x v="9"/>
    <x v="19"/>
    <s v="SE3_HP"/>
    <x v="9"/>
    <s v="GHOB_WOODWASTE"/>
    <x v="0"/>
    <x v="13"/>
    <n v="20.472496960956001"/>
    <n v="7472.4613907489402"/>
    <n v="26900.861006696199"/>
  </r>
  <r>
    <x v="0"/>
    <x v="0"/>
    <x v="0"/>
    <x v="9"/>
    <x v="19"/>
    <s v="SE3_HP"/>
    <x v="9"/>
    <s v="GHOB_WOODWASTE"/>
    <x v="0"/>
    <x v="14"/>
    <n v="20.472496960956001"/>
    <n v="7472.4613907489402"/>
    <n v="26900.861006696199"/>
  </r>
  <r>
    <x v="0"/>
    <x v="0"/>
    <x v="0"/>
    <x v="9"/>
    <x v="19"/>
    <s v="SE3_HP"/>
    <x v="9"/>
    <s v="GHOB_WOODWASTE"/>
    <x v="0"/>
    <x v="15"/>
    <n v="20.472496960956001"/>
    <n v="7472.4613907489402"/>
    <n v="26900.861006696199"/>
  </r>
  <r>
    <x v="0"/>
    <x v="0"/>
    <x v="0"/>
    <x v="9"/>
    <x v="19"/>
    <s v="SE3_HP"/>
    <x v="9"/>
    <s v="GHOB_WOODWASTE"/>
    <x v="0"/>
    <x v="16"/>
    <n v="20.472496960956001"/>
    <n v="7472.4613907489402"/>
    <n v="26900.861006696199"/>
  </r>
  <r>
    <x v="0"/>
    <x v="0"/>
    <x v="0"/>
    <x v="9"/>
    <x v="19"/>
    <s v="SE3_HP"/>
    <x v="9"/>
    <s v="GHOB_WOODWASTE"/>
    <x v="0"/>
    <x v="17"/>
    <n v="20.472496960956001"/>
    <n v="7472.4613907489402"/>
    <n v="26900.861006696199"/>
  </r>
  <r>
    <x v="0"/>
    <x v="0"/>
    <x v="0"/>
    <x v="9"/>
    <x v="19"/>
    <s v="SE3_HP"/>
    <x v="9"/>
    <s v="GHOB_WOODWASTE"/>
    <x v="0"/>
    <x v="19"/>
    <n v="20.472496960956001"/>
    <n v="7472.4613907489402"/>
    <n v="26900.861006696199"/>
  </r>
  <r>
    <x v="0"/>
    <x v="0"/>
    <x v="0"/>
    <x v="9"/>
    <x v="19"/>
    <s v="SE3_HP"/>
    <x v="9"/>
    <s v="GHOB_WOODWASTE"/>
    <x v="0"/>
    <x v="20"/>
    <n v="20.472496960956001"/>
    <n v="7472.4613907489402"/>
    <n v="26900.861006696199"/>
  </r>
  <r>
    <x v="0"/>
    <x v="0"/>
    <x v="0"/>
    <x v="9"/>
    <x v="19"/>
    <s v="SE3_HP"/>
    <x v="9"/>
    <s v="GHOB_WOODWASTE"/>
    <x v="0"/>
    <x v="21"/>
    <n v="20.472496960956001"/>
    <n v="7472.4613907489402"/>
    <n v="26900.861006696199"/>
  </r>
  <r>
    <x v="0"/>
    <x v="0"/>
    <x v="0"/>
    <x v="9"/>
    <x v="19"/>
    <s v="SE3_HP"/>
    <x v="9"/>
    <s v="GHOB_WOODWASTE"/>
    <x v="0"/>
    <x v="22"/>
    <n v="20.472496960956001"/>
    <n v="7472.4613907489402"/>
    <n v="26900.861006696199"/>
  </r>
  <r>
    <x v="0"/>
    <x v="0"/>
    <x v="0"/>
    <x v="9"/>
    <x v="19"/>
    <s v="SE3_HP"/>
    <x v="9"/>
    <s v="GHOB_WOODWASTE"/>
    <x v="0"/>
    <x v="23"/>
    <n v="20.472496960956001"/>
    <n v="7472.4613907489402"/>
    <n v="26900.861006696199"/>
  </r>
  <r>
    <x v="0"/>
    <x v="0"/>
    <x v="0"/>
    <x v="9"/>
    <x v="19"/>
    <s v="SE3_OTHER"/>
    <x v="2"/>
    <s v="GBPR_MUNIWASTE_24"/>
    <x v="0"/>
    <x v="0"/>
    <n v="166.00790611149199"/>
    <n v="60592.885730694703"/>
    <n v="218134.38863050099"/>
  </r>
  <r>
    <x v="0"/>
    <x v="0"/>
    <x v="0"/>
    <x v="9"/>
    <x v="19"/>
    <s v="SE3_OTHER"/>
    <x v="2"/>
    <s v="GBPR_MUNIWASTE_24"/>
    <x v="0"/>
    <x v="1"/>
    <n v="166.00790611149199"/>
    <n v="60592.885730694703"/>
    <n v="218134.38863050099"/>
  </r>
  <r>
    <x v="0"/>
    <x v="0"/>
    <x v="0"/>
    <x v="9"/>
    <x v="19"/>
    <s v="SE3_OTHER"/>
    <x v="2"/>
    <s v="GBPR_MUNIWASTE_24"/>
    <x v="0"/>
    <x v="2"/>
    <n v="166.00790611149199"/>
    <n v="60592.885730694703"/>
    <n v="218134.38863050099"/>
  </r>
  <r>
    <x v="0"/>
    <x v="0"/>
    <x v="0"/>
    <x v="9"/>
    <x v="19"/>
    <s v="SE3_OTHER"/>
    <x v="2"/>
    <s v="GBPR_MUNIWASTE_24"/>
    <x v="0"/>
    <x v="3"/>
    <n v="166.00790611149199"/>
    <n v="60592.885730694703"/>
    <n v="218134.38863050099"/>
  </r>
  <r>
    <x v="0"/>
    <x v="0"/>
    <x v="0"/>
    <x v="9"/>
    <x v="19"/>
    <s v="SE3_OTHER"/>
    <x v="2"/>
    <s v="GBPR_MUNIWASTE_24"/>
    <x v="0"/>
    <x v="18"/>
    <n v="166.00790611149199"/>
    <n v="60592.885730694703"/>
    <n v="218134.38863050099"/>
  </r>
  <r>
    <x v="0"/>
    <x v="0"/>
    <x v="0"/>
    <x v="9"/>
    <x v="19"/>
    <s v="SE3_OTHER"/>
    <x v="2"/>
    <s v="GBPR_MUNIWASTE_24"/>
    <x v="0"/>
    <x v="4"/>
    <n v="166.00790611149199"/>
    <n v="60592.885730694703"/>
    <n v="218134.38863050099"/>
  </r>
  <r>
    <x v="0"/>
    <x v="0"/>
    <x v="0"/>
    <x v="9"/>
    <x v="19"/>
    <s v="SE3_OTHER"/>
    <x v="2"/>
    <s v="GBPR_MUNIWASTE_24"/>
    <x v="0"/>
    <x v="5"/>
    <n v="166.00790611149199"/>
    <n v="60592.885730694703"/>
    <n v="218134.38863050099"/>
  </r>
  <r>
    <x v="0"/>
    <x v="0"/>
    <x v="0"/>
    <x v="9"/>
    <x v="19"/>
    <s v="SE3_OTHER"/>
    <x v="2"/>
    <s v="GBPR_MUNIWASTE_24"/>
    <x v="0"/>
    <x v="6"/>
    <n v="166.00790611149199"/>
    <n v="60592.885730694703"/>
    <n v="218134.38863050099"/>
  </r>
  <r>
    <x v="0"/>
    <x v="0"/>
    <x v="0"/>
    <x v="9"/>
    <x v="19"/>
    <s v="SE3_OTHER"/>
    <x v="2"/>
    <s v="GBPR_MUNIWASTE_24"/>
    <x v="0"/>
    <x v="7"/>
    <n v="166.00790611149199"/>
    <n v="60592.885730694703"/>
    <n v="218134.38863050099"/>
  </r>
  <r>
    <x v="0"/>
    <x v="0"/>
    <x v="0"/>
    <x v="9"/>
    <x v="19"/>
    <s v="SE3_OTHER"/>
    <x v="2"/>
    <s v="GBPR_MUNIWASTE_24"/>
    <x v="0"/>
    <x v="8"/>
    <n v="166.00790611149199"/>
    <n v="60592.885730694703"/>
    <n v="218134.38863050099"/>
  </r>
  <r>
    <x v="0"/>
    <x v="0"/>
    <x v="0"/>
    <x v="9"/>
    <x v="19"/>
    <s v="SE3_OTHER"/>
    <x v="2"/>
    <s v="GBPR_MUNIWASTE_24"/>
    <x v="0"/>
    <x v="9"/>
    <n v="166.00790611149199"/>
    <n v="60592.885730694703"/>
    <n v="218134.38863050099"/>
  </r>
  <r>
    <x v="0"/>
    <x v="0"/>
    <x v="0"/>
    <x v="9"/>
    <x v="19"/>
    <s v="SE3_OTHER"/>
    <x v="2"/>
    <s v="GBPR_MUNIWASTE_24"/>
    <x v="0"/>
    <x v="10"/>
    <n v="166.00790611149199"/>
    <n v="60592.885730694703"/>
    <n v="218134.38863050099"/>
  </r>
  <r>
    <x v="0"/>
    <x v="0"/>
    <x v="0"/>
    <x v="9"/>
    <x v="19"/>
    <s v="SE3_OTHER"/>
    <x v="2"/>
    <s v="GBPR_MUNIWASTE_24"/>
    <x v="0"/>
    <x v="11"/>
    <n v="166.00790611149199"/>
    <n v="60592.885730694703"/>
    <n v="218134.38863050099"/>
  </r>
  <r>
    <x v="0"/>
    <x v="0"/>
    <x v="0"/>
    <x v="9"/>
    <x v="19"/>
    <s v="SE3_OTHER"/>
    <x v="2"/>
    <s v="GBPR_MUNIWASTE_24"/>
    <x v="0"/>
    <x v="12"/>
    <n v="166.00790611149199"/>
    <n v="60592.885730694703"/>
    <n v="218134.38863050099"/>
  </r>
  <r>
    <x v="0"/>
    <x v="0"/>
    <x v="0"/>
    <x v="9"/>
    <x v="19"/>
    <s v="SE3_OTHER"/>
    <x v="2"/>
    <s v="GBPR_MUNIWASTE_24"/>
    <x v="0"/>
    <x v="13"/>
    <n v="166.00790611149199"/>
    <n v="60592.885730694703"/>
    <n v="218134.38863050099"/>
  </r>
  <r>
    <x v="0"/>
    <x v="0"/>
    <x v="0"/>
    <x v="9"/>
    <x v="19"/>
    <s v="SE3_OTHER"/>
    <x v="2"/>
    <s v="GBPR_MUNIWASTE_24"/>
    <x v="0"/>
    <x v="14"/>
    <n v="166.00790611149199"/>
    <n v="60592.885730694703"/>
    <n v="218134.38863050099"/>
  </r>
  <r>
    <x v="0"/>
    <x v="0"/>
    <x v="0"/>
    <x v="9"/>
    <x v="19"/>
    <s v="SE3_OTHER"/>
    <x v="2"/>
    <s v="GBPR_MUNIWASTE_24"/>
    <x v="0"/>
    <x v="15"/>
    <n v="166.00790611149199"/>
    <n v="60592.885730694703"/>
    <n v="218134.38863050099"/>
  </r>
  <r>
    <x v="0"/>
    <x v="0"/>
    <x v="0"/>
    <x v="9"/>
    <x v="19"/>
    <s v="SE3_OTHER"/>
    <x v="2"/>
    <s v="GBPR_MUNIWASTE_24"/>
    <x v="0"/>
    <x v="16"/>
    <n v="166.00790611149199"/>
    <n v="60592.885730694703"/>
    <n v="218134.38863050099"/>
  </r>
  <r>
    <x v="0"/>
    <x v="0"/>
    <x v="0"/>
    <x v="9"/>
    <x v="19"/>
    <s v="SE3_OTHER"/>
    <x v="2"/>
    <s v="GBPR_MUNIWASTE_24"/>
    <x v="0"/>
    <x v="17"/>
    <n v="166.00790611149199"/>
    <n v="60592.885730694703"/>
    <n v="218134.38863050099"/>
  </r>
  <r>
    <x v="0"/>
    <x v="0"/>
    <x v="0"/>
    <x v="9"/>
    <x v="19"/>
    <s v="SE3_OTHER"/>
    <x v="2"/>
    <s v="GBPR_MUNIWASTE_24"/>
    <x v="0"/>
    <x v="19"/>
    <n v="166.00790611149199"/>
    <n v="60592.885730694703"/>
    <n v="218134.38863050099"/>
  </r>
  <r>
    <x v="0"/>
    <x v="0"/>
    <x v="0"/>
    <x v="9"/>
    <x v="19"/>
    <s v="SE3_OTHER"/>
    <x v="2"/>
    <s v="GBPR_MUNIWASTE_24"/>
    <x v="0"/>
    <x v="20"/>
    <n v="166.00790611149199"/>
    <n v="60592.885730694703"/>
    <n v="218134.38863050099"/>
  </r>
  <r>
    <x v="0"/>
    <x v="0"/>
    <x v="0"/>
    <x v="9"/>
    <x v="19"/>
    <s v="SE3_OTHER"/>
    <x v="2"/>
    <s v="GBPR_MUNIWASTE_24"/>
    <x v="0"/>
    <x v="21"/>
    <n v="166.00790611149199"/>
    <n v="60592.885730694703"/>
    <n v="218134.38863050099"/>
  </r>
  <r>
    <x v="0"/>
    <x v="0"/>
    <x v="0"/>
    <x v="9"/>
    <x v="19"/>
    <s v="SE3_OTHER"/>
    <x v="2"/>
    <s v="GBPR_MUNIWASTE_24"/>
    <x v="0"/>
    <x v="22"/>
    <n v="166.00790611149199"/>
    <n v="60592.885730694703"/>
    <n v="218134.38863050099"/>
  </r>
  <r>
    <x v="0"/>
    <x v="0"/>
    <x v="0"/>
    <x v="9"/>
    <x v="19"/>
    <s v="SE3_OTHER"/>
    <x v="2"/>
    <s v="GBPR_MUNIWASTE_24"/>
    <x v="0"/>
    <x v="23"/>
    <n v="166.00790611149199"/>
    <n v="60592.885730694703"/>
    <n v="218134.38863050099"/>
  </r>
  <r>
    <x v="0"/>
    <x v="0"/>
    <x v="0"/>
    <x v="9"/>
    <x v="19"/>
    <s v="SE3_OTHER"/>
    <x v="2"/>
    <s v="GHOB_MUNIWASTE"/>
    <x v="0"/>
    <x v="0"/>
    <n v="139.88294494934999"/>
    <n v="51057.274906512903"/>
    <n v="183806.18966344601"/>
  </r>
  <r>
    <x v="0"/>
    <x v="0"/>
    <x v="0"/>
    <x v="9"/>
    <x v="19"/>
    <s v="SE3_OTHER"/>
    <x v="2"/>
    <s v="GHOB_MUNIWASTE"/>
    <x v="0"/>
    <x v="1"/>
    <n v="139.88294494934999"/>
    <n v="51057.274906512903"/>
    <n v="183806.18966344601"/>
  </r>
  <r>
    <x v="0"/>
    <x v="0"/>
    <x v="0"/>
    <x v="9"/>
    <x v="19"/>
    <s v="SE3_OTHER"/>
    <x v="2"/>
    <s v="GHOB_MUNIWASTE"/>
    <x v="0"/>
    <x v="2"/>
    <n v="139.88294494934999"/>
    <n v="51057.274906512903"/>
    <n v="183806.18966344601"/>
  </r>
  <r>
    <x v="0"/>
    <x v="0"/>
    <x v="0"/>
    <x v="9"/>
    <x v="19"/>
    <s v="SE3_OTHER"/>
    <x v="2"/>
    <s v="GHOB_MUNIWASTE"/>
    <x v="0"/>
    <x v="3"/>
    <n v="139.88294494934999"/>
    <n v="51057.274906512903"/>
    <n v="183806.18966344601"/>
  </r>
  <r>
    <x v="0"/>
    <x v="0"/>
    <x v="0"/>
    <x v="9"/>
    <x v="19"/>
    <s v="SE3_OTHER"/>
    <x v="2"/>
    <s v="GHOB_MUNIWASTE"/>
    <x v="0"/>
    <x v="18"/>
    <n v="139.88294494934999"/>
    <n v="51057.274906512903"/>
    <n v="183806.18966344601"/>
  </r>
  <r>
    <x v="0"/>
    <x v="0"/>
    <x v="0"/>
    <x v="9"/>
    <x v="19"/>
    <s v="SE3_OTHER"/>
    <x v="2"/>
    <s v="GHOB_MUNIWASTE"/>
    <x v="0"/>
    <x v="4"/>
    <n v="139.88294494934999"/>
    <n v="51057.274906512903"/>
    <n v="183806.18966344601"/>
  </r>
  <r>
    <x v="0"/>
    <x v="0"/>
    <x v="0"/>
    <x v="9"/>
    <x v="19"/>
    <s v="SE3_OTHER"/>
    <x v="2"/>
    <s v="GHOB_MUNIWASTE"/>
    <x v="0"/>
    <x v="5"/>
    <n v="139.88294494934999"/>
    <n v="51057.274906512903"/>
    <n v="183806.18966344601"/>
  </r>
  <r>
    <x v="0"/>
    <x v="0"/>
    <x v="0"/>
    <x v="9"/>
    <x v="19"/>
    <s v="SE3_OTHER"/>
    <x v="2"/>
    <s v="GHOB_MUNIWASTE"/>
    <x v="0"/>
    <x v="6"/>
    <n v="139.88294494934999"/>
    <n v="51057.274906512903"/>
    <n v="183806.18966344601"/>
  </r>
  <r>
    <x v="0"/>
    <x v="0"/>
    <x v="0"/>
    <x v="9"/>
    <x v="19"/>
    <s v="SE3_OTHER"/>
    <x v="2"/>
    <s v="GHOB_MUNIWASTE"/>
    <x v="0"/>
    <x v="7"/>
    <n v="139.88294494934999"/>
    <n v="51057.274906512903"/>
    <n v="183806.18966344601"/>
  </r>
  <r>
    <x v="0"/>
    <x v="0"/>
    <x v="0"/>
    <x v="9"/>
    <x v="19"/>
    <s v="SE3_OTHER"/>
    <x v="2"/>
    <s v="GHOB_MUNIWASTE"/>
    <x v="0"/>
    <x v="8"/>
    <n v="139.88294494934999"/>
    <n v="51057.274906512903"/>
    <n v="183806.18966344601"/>
  </r>
  <r>
    <x v="0"/>
    <x v="0"/>
    <x v="0"/>
    <x v="9"/>
    <x v="19"/>
    <s v="SE3_OTHER"/>
    <x v="2"/>
    <s v="GHOB_MUNIWASTE"/>
    <x v="0"/>
    <x v="9"/>
    <n v="139.88294494934999"/>
    <n v="51057.274906512903"/>
    <n v="183806.18966344601"/>
  </r>
  <r>
    <x v="0"/>
    <x v="0"/>
    <x v="0"/>
    <x v="9"/>
    <x v="19"/>
    <s v="SE3_OTHER"/>
    <x v="2"/>
    <s v="GHOB_MUNIWASTE"/>
    <x v="0"/>
    <x v="10"/>
    <n v="139.88294494934999"/>
    <n v="51057.274906512903"/>
    <n v="183806.18966344601"/>
  </r>
  <r>
    <x v="0"/>
    <x v="0"/>
    <x v="0"/>
    <x v="9"/>
    <x v="19"/>
    <s v="SE3_OTHER"/>
    <x v="2"/>
    <s v="GHOB_MUNIWASTE"/>
    <x v="0"/>
    <x v="11"/>
    <n v="139.88294494934999"/>
    <n v="51057.274906512903"/>
    <n v="183806.18966344601"/>
  </r>
  <r>
    <x v="0"/>
    <x v="0"/>
    <x v="0"/>
    <x v="9"/>
    <x v="19"/>
    <s v="SE3_OTHER"/>
    <x v="2"/>
    <s v="GHOB_MUNIWASTE"/>
    <x v="0"/>
    <x v="12"/>
    <n v="139.88294494934999"/>
    <n v="51057.274906512903"/>
    <n v="183806.18966344601"/>
  </r>
  <r>
    <x v="0"/>
    <x v="0"/>
    <x v="0"/>
    <x v="9"/>
    <x v="19"/>
    <s v="SE3_OTHER"/>
    <x v="2"/>
    <s v="GHOB_MUNIWASTE"/>
    <x v="0"/>
    <x v="13"/>
    <n v="139.88294494934999"/>
    <n v="51057.274906512903"/>
    <n v="183806.18966344601"/>
  </r>
  <r>
    <x v="0"/>
    <x v="0"/>
    <x v="0"/>
    <x v="9"/>
    <x v="19"/>
    <s v="SE3_OTHER"/>
    <x v="2"/>
    <s v="GHOB_MUNIWASTE"/>
    <x v="0"/>
    <x v="14"/>
    <n v="139.88294494934999"/>
    <n v="51057.274906512903"/>
    <n v="183806.18966344601"/>
  </r>
  <r>
    <x v="0"/>
    <x v="0"/>
    <x v="0"/>
    <x v="9"/>
    <x v="19"/>
    <s v="SE3_OTHER"/>
    <x v="2"/>
    <s v="GHOB_MUNIWASTE"/>
    <x v="0"/>
    <x v="15"/>
    <n v="139.88294494934999"/>
    <n v="51057.274906512903"/>
    <n v="183806.18966344601"/>
  </r>
  <r>
    <x v="0"/>
    <x v="0"/>
    <x v="0"/>
    <x v="9"/>
    <x v="19"/>
    <s v="SE3_OTHER"/>
    <x v="2"/>
    <s v="GHOB_MUNIWASTE"/>
    <x v="0"/>
    <x v="16"/>
    <n v="139.88294494934999"/>
    <n v="51057.274906512903"/>
    <n v="183806.18966344601"/>
  </r>
  <r>
    <x v="0"/>
    <x v="0"/>
    <x v="0"/>
    <x v="9"/>
    <x v="19"/>
    <s v="SE3_OTHER"/>
    <x v="2"/>
    <s v="GHOB_MUNIWASTE"/>
    <x v="0"/>
    <x v="17"/>
    <n v="139.88294494934999"/>
    <n v="51057.274906512903"/>
    <n v="183806.18966344601"/>
  </r>
  <r>
    <x v="0"/>
    <x v="0"/>
    <x v="0"/>
    <x v="9"/>
    <x v="19"/>
    <s v="SE3_OTHER"/>
    <x v="2"/>
    <s v="GHOB_MUNIWASTE"/>
    <x v="0"/>
    <x v="19"/>
    <n v="139.88294494934999"/>
    <n v="51057.274906512903"/>
    <n v="183806.18966344601"/>
  </r>
  <r>
    <x v="0"/>
    <x v="0"/>
    <x v="0"/>
    <x v="9"/>
    <x v="19"/>
    <s v="SE3_OTHER"/>
    <x v="2"/>
    <s v="GHOB_MUNIWASTE"/>
    <x v="0"/>
    <x v="20"/>
    <n v="139.88294494934999"/>
    <n v="51057.274906512903"/>
    <n v="183806.18966344601"/>
  </r>
  <r>
    <x v="0"/>
    <x v="0"/>
    <x v="0"/>
    <x v="9"/>
    <x v="19"/>
    <s v="SE3_OTHER"/>
    <x v="2"/>
    <s v="GHOB_MUNIWASTE"/>
    <x v="0"/>
    <x v="21"/>
    <n v="139.88294494934999"/>
    <n v="51057.274906512903"/>
    <n v="183806.18966344601"/>
  </r>
  <r>
    <x v="0"/>
    <x v="0"/>
    <x v="0"/>
    <x v="9"/>
    <x v="19"/>
    <s v="SE3_OTHER"/>
    <x v="2"/>
    <s v="GHOB_MUNIWASTE"/>
    <x v="0"/>
    <x v="22"/>
    <n v="139.88294494934999"/>
    <n v="51057.274906512903"/>
    <n v="183806.18966344601"/>
  </r>
  <r>
    <x v="0"/>
    <x v="0"/>
    <x v="0"/>
    <x v="9"/>
    <x v="19"/>
    <s v="SE3_OTHER"/>
    <x v="2"/>
    <s v="GHOB_MUNIWASTE"/>
    <x v="0"/>
    <x v="23"/>
    <n v="139.88294494934999"/>
    <n v="51057.274906512903"/>
    <n v="183806.18966344601"/>
  </r>
  <r>
    <x v="0"/>
    <x v="0"/>
    <x v="0"/>
    <x v="9"/>
    <x v="19"/>
    <s v="SE3_OTHER"/>
    <x v="21"/>
    <s v="GHOB_OTHERGAS"/>
    <x v="0"/>
    <x v="0"/>
    <n v="23.529411764705898"/>
    <n v="8588.2352941176505"/>
    <n v="30917.647058823499"/>
  </r>
  <r>
    <x v="0"/>
    <x v="0"/>
    <x v="0"/>
    <x v="9"/>
    <x v="19"/>
    <s v="SE3_OTHER"/>
    <x v="21"/>
    <s v="GHOB_OTHERGAS"/>
    <x v="0"/>
    <x v="1"/>
    <n v="23.529411764705898"/>
    <n v="8588.2352941176505"/>
    <n v="30917.647058823499"/>
  </r>
  <r>
    <x v="0"/>
    <x v="0"/>
    <x v="0"/>
    <x v="9"/>
    <x v="19"/>
    <s v="SE3_OTHER"/>
    <x v="21"/>
    <s v="GHOB_OTHERGAS"/>
    <x v="0"/>
    <x v="2"/>
    <n v="23.529411764705898"/>
    <n v="8588.2352941176505"/>
    <n v="30917.647058823499"/>
  </r>
  <r>
    <x v="0"/>
    <x v="0"/>
    <x v="0"/>
    <x v="9"/>
    <x v="19"/>
    <s v="SE3_OTHER"/>
    <x v="21"/>
    <s v="GHOB_OTHERGAS"/>
    <x v="0"/>
    <x v="3"/>
    <n v="23.529411764705898"/>
    <n v="8588.2352941176505"/>
    <n v="30917.647058823499"/>
  </r>
  <r>
    <x v="0"/>
    <x v="0"/>
    <x v="0"/>
    <x v="9"/>
    <x v="19"/>
    <s v="SE3_OTHER"/>
    <x v="21"/>
    <s v="GHOB_OTHERGAS"/>
    <x v="0"/>
    <x v="18"/>
    <n v="23.529411764705898"/>
    <n v="8588.2352941176505"/>
    <n v="30917.647058823499"/>
  </r>
  <r>
    <x v="0"/>
    <x v="0"/>
    <x v="0"/>
    <x v="9"/>
    <x v="19"/>
    <s v="SE3_OTHER"/>
    <x v="21"/>
    <s v="GHOB_OTHERGAS"/>
    <x v="0"/>
    <x v="4"/>
    <n v="23.529411764705898"/>
    <n v="8588.2352941176505"/>
    <n v="30917.647058823499"/>
  </r>
  <r>
    <x v="0"/>
    <x v="0"/>
    <x v="0"/>
    <x v="9"/>
    <x v="19"/>
    <s v="SE3_OTHER"/>
    <x v="21"/>
    <s v="GHOB_OTHERGAS"/>
    <x v="0"/>
    <x v="5"/>
    <n v="23.529411764705898"/>
    <n v="8588.2352941176505"/>
    <n v="30917.647058823499"/>
  </r>
  <r>
    <x v="0"/>
    <x v="0"/>
    <x v="0"/>
    <x v="9"/>
    <x v="19"/>
    <s v="SE3_OTHER"/>
    <x v="21"/>
    <s v="GHOB_OTHERGAS"/>
    <x v="0"/>
    <x v="6"/>
    <n v="23.529411764705898"/>
    <n v="8588.2352941176505"/>
    <n v="30917.647058823499"/>
  </r>
  <r>
    <x v="0"/>
    <x v="0"/>
    <x v="0"/>
    <x v="9"/>
    <x v="19"/>
    <s v="SE3_OTHER"/>
    <x v="21"/>
    <s v="GHOB_OTHERGAS"/>
    <x v="0"/>
    <x v="7"/>
    <n v="23.529411764705898"/>
    <n v="8588.2352941176505"/>
    <n v="30917.647058823499"/>
  </r>
  <r>
    <x v="0"/>
    <x v="0"/>
    <x v="0"/>
    <x v="9"/>
    <x v="19"/>
    <s v="SE3_OTHER"/>
    <x v="21"/>
    <s v="GHOB_OTHERGAS"/>
    <x v="0"/>
    <x v="8"/>
    <n v="23.529411764705898"/>
    <n v="8588.2352941176505"/>
    <n v="30917.647058823499"/>
  </r>
  <r>
    <x v="0"/>
    <x v="0"/>
    <x v="0"/>
    <x v="9"/>
    <x v="19"/>
    <s v="SE3_OTHER"/>
    <x v="21"/>
    <s v="GHOB_OTHERGAS"/>
    <x v="0"/>
    <x v="9"/>
    <n v="23.529411764705898"/>
    <n v="8588.2352941176505"/>
    <n v="30917.647058823499"/>
  </r>
  <r>
    <x v="0"/>
    <x v="0"/>
    <x v="0"/>
    <x v="9"/>
    <x v="19"/>
    <s v="SE3_OTHER"/>
    <x v="21"/>
    <s v="GHOB_OTHERGAS"/>
    <x v="0"/>
    <x v="10"/>
    <n v="23.529411764705898"/>
    <n v="8588.2352941176505"/>
    <n v="30917.647058823499"/>
  </r>
  <r>
    <x v="0"/>
    <x v="0"/>
    <x v="0"/>
    <x v="9"/>
    <x v="19"/>
    <s v="SE3_OTHER"/>
    <x v="21"/>
    <s v="GHOB_OTHERGAS"/>
    <x v="0"/>
    <x v="11"/>
    <n v="23.529411764705898"/>
    <n v="8588.2352941176505"/>
    <n v="30917.647058823499"/>
  </r>
  <r>
    <x v="0"/>
    <x v="0"/>
    <x v="0"/>
    <x v="9"/>
    <x v="19"/>
    <s v="SE3_OTHER"/>
    <x v="21"/>
    <s v="GHOB_OTHERGAS"/>
    <x v="0"/>
    <x v="12"/>
    <n v="23.529411764705898"/>
    <n v="8588.2352941176505"/>
    <n v="30917.647058823499"/>
  </r>
  <r>
    <x v="0"/>
    <x v="0"/>
    <x v="0"/>
    <x v="9"/>
    <x v="19"/>
    <s v="SE3_OTHER"/>
    <x v="21"/>
    <s v="GHOB_OTHERGAS"/>
    <x v="0"/>
    <x v="13"/>
    <n v="23.529411764705898"/>
    <n v="8588.2352941176505"/>
    <n v="30917.647058823499"/>
  </r>
  <r>
    <x v="0"/>
    <x v="0"/>
    <x v="0"/>
    <x v="9"/>
    <x v="19"/>
    <s v="SE3_OTHER"/>
    <x v="21"/>
    <s v="GHOB_OTHERGAS"/>
    <x v="0"/>
    <x v="14"/>
    <n v="23.529411764705898"/>
    <n v="8588.2352941176505"/>
    <n v="30917.647058823499"/>
  </r>
  <r>
    <x v="0"/>
    <x v="0"/>
    <x v="0"/>
    <x v="9"/>
    <x v="19"/>
    <s v="SE3_OTHER"/>
    <x v="21"/>
    <s v="GHOB_OTHERGAS"/>
    <x v="0"/>
    <x v="15"/>
    <n v="23.529411764705898"/>
    <n v="8588.2352941176505"/>
    <n v="30917.647058823499"/>
  </r>
  <r>
    <x v="0"/>
    <x v="0"/>
    <x v="0"/>
    <x v="9"/>
    <x v="19"/>
    <s v="SE3_OTHER"/>
    <x v="21"/>
    <s v="GHOB_OTHERGAS"/>
    <x v="0"/>
    <x v="16"/>
    <n v="23.529411764705898"/>
    <n v="8588.2352941176505"/>
    <n v="30917.647058823499"/>
  </r>
  <r>
    <x v="0"/>
    <x v="0"/>
    <x v="0"/>
    <x v="9"/>
    <x v="19"/>
    <s v="SE3_OTHER"/>
    <x v="21"/>
    <s v="GHOB_OTHERGAS"/>
    <x v="0"/>
    <x v="17"/>
    <n v="23.529411764705898"/>
    <n v="8588.2352941176505"/>
    <n v="30917.647058823499"/>
  </r>
  <r>
    <x v="0"/>
    <x v="0"/>
    <x v="0"/>
    <x v="9"/>
    <x v="19"/>
    <s v="SE3_OTHER"/>
    <x v="21"/>
    <s v="GHOB_OTHERGAS"/>
    <x v="0"/>
    <x v="19"/>
    <n v="23.529411764705898"/>
    <n v="8588.2352941176505"/>
    <n v="30917.647058823499"/>
  </r>
  <r>
    <x v="0"/>
    <x v="0"/>
    <x v="0"/>
    <x v="9"/>
    <x v="19"/>
    <s v="SE3_OTHER"/>
    <x v="21"/>
    <s v="GHOB_OTHERGAS"/>
    <x v="0"/>
    <x v="20"/>
    <n v="23.529411764705898"/>
    <n v="8588.2352941176505"/>
    <n v="30917.647058823499"/>
  </r>
  <r>
    <x v="0"/>
    <x v="0"/>
    <x v="0"/>
    <x v="9"/>
    <x v="19"/>
    <s v="SE3_OTHER"/>
    <x v="21"/>
    <s v="GHOB_OTHERGAS"/>
    <x v="0"/>
    <x v="21"/>
    <n v="23.529411764705898"/>
    <n v="8588.2352941176505"/>
    <n v="30917.647058823499"/>
  </r>
  <r>
    <x v="0"/>
    <x v="0"/>
    <x v="0"/>
    <x v="9"/>
    <x v="19"/>
    <s v="SE3_OTHER"/>
    <x v="21"/>
    <s v="GHOB_OTHERGAS"/>
    <x v="0"/>
    <x v="22"/>
    <n v="23.529411764705898"/>
    <n v="8588.2352941176505"/>
    <n v="30917.647058823499"/>
  </r>
  <r>
    <x v="0"/>
    <x v="0"/>
    <x v="0"/>
    <x v="9"/>
    <x v="19"/>
    <s v="SE3_OTHER"/>
    <x v="21"/>
    <s v="GHOB_OTHERGAS"/>
    <x v="0"/>
    <x v="23"/>
    <n v="23.529411764705898"/>
    <n v="8588.2352941176505"/>
    <n v="30917.647058823499"/>
  </r>
  <r>
    <x v="0"/>
    <x v="0"/>
    <x v="0"/>
    <x v="9"/>
    <x v="19"/>
    <s v="SE3_OTHER"/>
    <x v="1"/>
    <s v="GHOB_WASTEHEAT"/>
    <x v="0"/>
    <x v="0"/>
    <n v="135.051739926739"/>
    <n v="49293.885073259902"/>
    <n v="177457.98626373601"/>
  </r>
  <r>
    <x v="0"/>
    <x v="0"/>
    <x v="0"/>
    <x v="9"/>
    <x v="19"/>
    <s v="SE3_OTHER"/>
    <x v="1"/>
    <s v="GHOB_WASTEHEAT"/>
    <x v="0"/>
    <x v="1"/>
    <n v="135.051739926739"/>
    <n v="49293.885073259902"/>
    <n v="177457.98626373601"/>
  </r>
  <r>
    <x v="0"/>
    <x v="0"/>
    <x v="0"/>
    <x v="9"/>
    <x v="19"/>
    <s v="SE3_OTHER"/>
    <x v="1"/>
    <s v="GHOB_WASTEHEAT"/>
    <x v="0"/>
    <x v="2"/>
    <n v="135.051739926739"/>
    <n v="49293.885073259902"/>
    <n v="177457.98626373601"/>
  </r>
  <r>
    <x v="0"/>
    <x v="0"/>
    <x v="0"/>
    <x v="9"/>
    <x v="19"/>
    <s v="SE3_OTHER"/>
    <x v="1"/>
    <s v="GHOB_WASTEHEAT"/>
    <x v="0"/>
    <x v="3"/>
    <n v="135.051739926739"/>
    <n v="49293.885073259902"/>
    <n v="177457.98626373601"/>
  </r>
  <r>
    <x v="0"/>
    <x v="0"/>
    <x v="0"/>
    <x v="9"/>
    <x v="19"/>
    <s v="SE3_OTHER"/>
    <x v="1"/>
    <s v="GHOB_WASTEHEAT"/>
    <x v="0"/>
    <x v="18"/>
    <n v="135.051739926739"/>
    <n v="49293.885073259902"/>
    <n v="177457.98626373601"/>
  </r>
  <r>
    <x v="0"/>
    <x v="0"/>
    <x v="0"/>
    <x v="9"/>
    <x v="19"/>
    <s v="SE3_OTHER"/>
    <x v="1"/>
    <s v="GHOB_WASTEHEAT"/>
    <x v="0"/>
    <x v="4"/>
    <n v="135.051739926739"/>
    <n v="49293.885073259902"/>
    <n v="177457.98626373601"/>
  </r>
  <r>
    <x v="0"/>
    <x v="0"/>
    <x v="0"/>
    <x v="9"/>
    <x v="19"/>
    <s v="SE3_OTHER"/>
    <x v="1"/>
    <s v="GHOB_WASTEHEAT"/>
    <x v="0"/>
    <x v="5"/>
    <n v="135.051739926739"/>
    <n v="49293.885073259902"/>
    <n v="177457.98626373601"/>
  </r>
  <r>
    <x v="0"/>
    <x v="0"/>
    <x v="0"/>
    <x v="9"/>
    <x v="19"/>
    <s v="SE3_OTHER"/>
    <x v="1"/>
    <s v="GHOB_WASTEHEAT"/>
    <x v="0"/>
    <x v="6"/>
    <n v="135.051739926739"/>
    <n v="49293.885073259902"/>
    <n v="177457.98626373601"/>
  </r>
  <r>
    <x v="0"/>
    <x v="0"/>
    <x v="0"/>
    <x v="9"/>
    <x v="19"/>
    <s v="SE3_OTHER"/>
    <x v="1"/>
    <s v="GHOB_WASTEHEAT"/>
    <x v="0"/>
    <x v="7"/>
    <n v="135.051739926739"/>
    <n v="49293.885073259902"/>
    <n v="177457.98626373601"/>
  </r>
  <r>
    <x v="0"/>
    <x v="0"/>
    <x v="0"/>
    <x v="9"/>
    <x v="19"/>
    <s v="SE3_OTHER"/>
    <x v="1"/>
    <s v="GHOB_WASTEHEAT"/>
    <x v="0"/>
    <x v="8"/>
    <n v="135.051739926739"/>
    <n v="49293.885073259902"/>
    <n v="177457.98626373601"/>
  </r>
  <r>
    <x v="0"/>
    <x v="0"/>
    <x v="0"/>
    <x v="9"/>
    <x v="19"/>
    <s v="SE3_OTHER"/>
    <x v="1"/>
    <s v="GHOB_WASTEHEAT"/>
    <x v="0"/>
    <x v="9"/>
    <n v="135.051739926739"/>
    <n v="49293.885073259902"/>
    <n v="177457.98626373601"/>
  </r>
  <r>
    <x v="0"/>
    <x v="0"/>
    <x v="0"/>
    <x v="9"/>
    <x v="19"/>
    <s v="SE3_OTHER"/>
    <x v="1"/>
    <s v="GHOB_WASTEHEAT"/>
    <x v="0"/>
    <x v="10"/>
    <n v="135.051739926739"/>
    <n v="49293.885073259902"/>
    <n v="177457.98626373601"/>
  </r>
  <r>
    <x v="0"/>
    <x v="0"/>
    <x v="0"/>
    <x v="9"/>
    <x v="19"/>
    <s v="SE3_OTHER"/>
    <x v="1"/>
    <s v="GHOB_WASTEHEAT"/>
    <x v="0"/>
    <x v="11"/>
    <n v="135.051739926739"/>
    <n v="49293.885073259902"/>
    <n v="177457.98626373601"/>
  </r>
  <r>
    <x v="0"/>
    <x v="0"/>
    <x v="0"/>
    <x v="9"/>
    <x v="19"/>
    <s v="SE3_OTHER"/>
    <x v="1"/>
    <s v="GHOB_WASTEHEAT"/>
    <x v="0"/>
    <x v="12"/>
    <n v="135.051739926739"/>
    <n v="49293.885073259902"/>
    <n v="177457.98626373601"/>
  </r>
  <r>
    <x v="0"/>
    <x v="0"/>
    <x v="0"/>
    <x v="9"/>
    <x v="19"/>
    <s v="SE3_OTHER"/>
    <x v="1"/>
    <s v="GHOB_WASTEHEAT"/>
    <x v="0"/>
    <x v="13"/>
    <n v="135.051739926739"/>
    <n v="49293.885073259902"/>
    <n v="177457.98626373601"/>
  </r>
  <r>
    <x v="0"/>
    <x v="0"/>
    <x v="0"/>
    <x v="9"/>
    <x v="19"/>
    <s v="SE3_OTHER"/>
    <x v="1"/>
    <s v="GHOB_WASTEHEAT"/>
    <x v="0"/>
    <x v="14"/>
    <n v="135.051739926739"/>
    <n v="49293.885073259902"/>
    <n v="177457.98626373601"/>
  </r>
  <r>
    <x v="0"/>
    <x v="0"/>
    <x v="0"/>
    <x v="9"/>
    <x v="19"/>
    <s v="SE3_OTHER"/>
    <x v="1"/>
    <s v="GHOB_WASTEHEAT"/>
    <x v="0"/>
    <x v="15"/>
    <n v="135.051739926739"/>
    <n v="49293.885073259902"/>
    <n v="177457.98626373601"/>
  </r>
  <r>
    <x v="0"/>
    <x v="0"/>
    <x v="0"/>
    <x v="9"/>
    <x v="19"/>
    <s v="SE3_OTHER"/>
    <x v="1"/>
    <s v="GHOB_WASTEHEAT"/>
    <x v="0"/>
    <x v="16"/>
    <n v="135.051739926739"/>
    <n v="49293.885073259902"/>
    <n v="177457.98626373601"/>
  </r>
  <r>
    <x v="0"/>
    <x v="0"/>
    <x v="0"/>
    <x v="9"/>
    <x v="19"/>
    <s v="SE3_OTHER"/>
    <x v="1"/>
    <s v="GHOB_WASTEHEAT"/>
    <x v="0"/>
    <x v="17"/>
    <n v="135.051739926739"/>
    <n v="49293.885073259902"/>
    <n v="177457.98626373601"/>
  </r>
  <r>
    <x v="0"/>
    <x v="0"/>
    <x v="0"/>
    <x v="9"/>
    <x v="19"/>
    <s v="SE3_OTHER"/>
    <x v="1"/>
    <s v="GHOB_WASTEHEAT"/>
    <x v="0"/>
    <x v="19"/>
    <n v="135.051739926739"/>
    <n v="49293.885073259902"/>
    <n v="177457.98626373601"/>
  </r>
  <r>
    <x v="0"/>
    <x v="0"/>
    <x v="0"/>
    <x v="9"/>
    <x v="19"/>
    <s v="SE3_OTHER"/>
    <x v="1"/>
    <s v="GHOB_WASTEHEAT"/>
    <x v="0"/>
    <x v="20"/>
    <n v="135.051739926739"/>
    <n v="49293.885073259902"/>
    <n v="177457.98626373601"/>
  </r>
  <r>
    <x v="0"/>
    <x v="0"/>
    <x v="0"/>
    <x v="9"/>
    <x v="19"/>
    <s v="SE3_OTHER"/>
    <x v="1"/>
    <s v="GHOB_WASTEHEAT"/>
    <x v="0"/>
    <x v="21"/>
    <n v="135.051739926739"/>
    <n v="49293.885073259902"/>
    <n v="177457.98626373601"/>
  </r>
  <r>
    <x v="0"/>
    <x v="0"/>
    <x v="0"/>
    <x v="9"/>
    <x v="19"/>
    <s v="SE3_OTHER"/>
    <x v="1"/>
    <s v="GHOB_WASTEHEAT"/>
    <x v="0"/>
    <x v="22"/>
    <n v="135.051739926739"/>
    <n v="49293.885073259902"/>
    <n v="177457.98626373601"/>
  </r>
  <r>
    <x v="0"/>
    <x v="0"/>
    <x v="0"/>
    <x v="9"/>
    <x v="19"/>
    <s v="SE3_OTHER"/>
    <x v="1"/>
    <s v="GHOB_WASTEHEAT"/>
    <x v="0"/>
    <x v="23"/>
    <n v="135.051739926739"/>
    <n v="49293.885073259902"/>
    <n v="177457.98626373601"/>
  </r>
  <r>
    <x v="0"/>
    <x v="0"/>
    <x v="0"/>
    <x v="9"/>
    <x v="19"/>
    <s v="SE3_OTHER"/>
    <x v="9"/>
    <s v="GBPR_WOODWASTE_25"/>
    <x v="0"/>
    <x v="0"/>
    <n v="848.640981830123"/>
    <n v="309753.95836799499"/>
    <n v="1115114.25012478"/>
  </r>
  <r>
    <x v="0"/>
    <x v="0"/>
    <x v="0"/>
    <x v="9"/>
    <x v="19"/>
    <s v="SE3_OTHER"/>
    <x v="9"/>
    <s v="GBPR_WOODWASTE_25"/>
    <x v="0"/>
    <x v="1"/>
    <n v="848.640981830123"/>
    <n v="309753.95836799499"/>
    <n v="1115114.25012478"/>
  </r>
  <r>
    <x v="0"/>
    <x v="0"/>
    <x v="0"/>
    <x v="9"/>
    <x v="19"/>
    <s v="SE3_OTHER"/>
    <x v="9"/>
    <s v="GBPR_WOODWASTE_25"/>
    <x v="0"/>
    <x v="2"/>
    <n v="848.640981830123"/>
    <n v="309753.95836799499"/>
    <n v="1115114.25012478"/>
  </r>
  <r>
    <x v="0"/>
    <x v="0"/>
    <x v="0"/>
    <x v="9"/>
    <x v="19"/>
    <s v="SE3_OTHER"/>
    <x v="9"/>
    <s v="GBPR_WOODWASTE_25"/>
    <x v="0"/>
    <x v="3"/>
    <n v="848.640981830123"/>
    <n v="309753.95836799499"/>
    <n v="1115114.25012478"/>
  </r>
  <r>
    <x v="0"/>
    <x v="0"/>
    <x v="0"/>
    <x v="9"/>
    <x v="19"/>
    <s v="SE3_OTHER"/>
    <x v="9"/>
    <s v="GBPR_WOODWASTE_25"/>
    <x v="0"/>
    <x v="18"/>
    <n v="848.640981830123"/>
    <n v="309753.95836799499"/>
    <n v="1115114.25012478"/>
  </r>
  <r>
    <x v="0"/>
    <x v="0"/>
    <x v="0"/>
    <x v="9"/>
    <x v="19"/>
    <s v="SE3_OTHER"/>
    <x v="9"/>
    <s v="GBPR_WOODWASTE_25"/>
    <x v="0"/>
    <x v="4"/>
    <n v="848.640981830123"/>
    <n v="309753.95836799499"/>
    <n v="1115114.25012478"/>
  </r>
  <r>
    <x v="0"/>
    <x v="0"/>
    <x v="0"/>
    <x v="9"/>
    <x v="19"/>
    <s v="SE3_OTHER"/>
    <x v="9"/>
    <s v="GBPR_WOODWASTE_25"/>
    <x v="0"/>
    <x v="5"/>
    <n v="848.640981830123"/>
    <n v="309753.95836799499"/>
    <n v="1115114.25012478"/>
  </r>
  <r>
    <x v="0"/>
    <x v="0"/>
    <x v="0"/>
    <x v="9"/>
    <x v="19"/>
    <s v="SE3_OTHER"/>
    <x v="9"/>
    <s v="GBPR_WOODWASTE_25"/>
    <x v="0"/>
    <x v="6"/>
    <n v="848.640981830123"/>
    <n v="309753.95836799499"/>
    <n v="1115114.25012478"/>
  </r>
  <r>
    <x v="0"/>
    <x v="0"/>
    <x v="0"/>
    <x v="9"/>
    <x v="19"/>
    <s v="SE3_OTHER"/>
    <x v="9"/>
    <s v="GBPR_WOODWASTE_25"/>
    <x v="0"/>
    <x v="7"/>
    <n v="848.640981830123"/>
    <n v="309753.95836799499"/>
    <n v="1115114.25012478"/>
  </r>
  <r>
    <x v="0"/>
    <x v="0"/>
    <x v="0"/>
    <x v="9"/>
    <x v="19"/>
    <s v="SE3_OTHER"/>
    <x v="9"/>
    <s v="GBPR_WOODWASTE_25"/>
    <x v="0"/>
    <x v="8"/>
    <n v="848.640981830123"/>
    <n v="309753.95836799499"/>
    <n v="1115114.25012478"/>
  </r>
  <r>
    <x v="0"/>
    <x v="0"/>
    <x v="0"/>
    <x v="9"/>
    <x v="19"/>
    <s v="SE3_OTHER"/>
    <x v="9"/>
    <s v="GBPR_WOODWASTE_25"/>
    <x v="0"/>
    <x v="9"/>
    <n v="848.640981830123"/>
    <n v="309753.95836799499"/>
    <n v="1115114.25012478"/>
  </r>
  <r>
    <x v="0"/>
    <x v="0"/>
    <x v="0"/>
    <x v="9"/>
    <x v="19"/>
    <s v="SE3_OTHER"/>
    <x v="9"/>
    <s v="GBPR_WOODWASTE_25"/>
    <x v="0"/>
    <x v="10"/>
    <n v="848.640981830123"/>
    <n v="309753.95836799499"/>
    <n v="1115114.25012478"/>
  </r>
  <r>
    <x v="0"/>
    <x v="0"/>
    <x v="0"/>
    <x v="9"/>
    <x v="19"/>
    <s v="SE3_OTHER"/>
    <x v="9"/>
    <s v="GBPR_WOODWASTE_25"/>
    <x v="0"/>
    <x v="11"/>
    <n v="848.640981830123"/>
    <n v="309753.95836799499"/>
    <n v="1115114.25012478"/>
  </r>
  <r>
    <x v="0"/>
    <x v="0"/>
    <x v="0"/>
    <x v="9"/>
    <x v="19"/>
    <s v="SE3_OTHER"/>
    <x v="9"/>
    <s v="GBPR_WOODWASTE_25"/>
    <x v="0"/>
    <x v="12"/>
    <n v="848.640981830123"/>
    <n v="309753.95836799499"/>
    <n v="1115114.25012478"/>
  </r>
  <r>
    <x v="0"/>
    <x v="0"/>
    <x v="0"/>
    <x v="9"/>
    <x v="19"/>
    <s v="SE3_OTHER"/>
    <x v="9"/>
    <s v="GBPR_WOODWASTE_25"/>
    <x v="0"/>
    <x v="13"/>
    <n v="848.640981830123"/>
    <n v="309753.95836799499"/>
    <n v="1115114.25012478"/>
  </r>
  <r>
    <x v="0"/>
    <x v="0"/>
    <x v="0"/>
    <x v="9"/>
    <x v="19"/>
    <s v="SE3_OTHER"/>
    <x v="9"/>
    <s v="GBPR_WOODWASTE_25"/>
    <x v="0"/>
    <x v="14"/>
    <n v="848.640981830123"/>
    <n v="309753.95836799499"/>
    <n v="1115114.25012478"/>
  </r>
  <r>
    <x v="0"/>
    <x v="0"/>
    <x v="0"/>
    <x v="9"/>
    <x v="19"/>
    <s v="SE3_OTHER"/>
    <x v="9"/>
    <s v="GBPR_WOODWASTE_25"/>
    <x v="0"/>
    <x v="15"/>
    <n v="848.640981830123"/>
    <n v="309753.95836799499"/>
    <n v="1115114.25012478"/>
  </r>
  <r>
    <x v="0"/>
    <x v="0"/>
    <x v="0"/>
    <x v="9"/>
    <x v="19"/>
    <s v="SE3_OTHER"/>
    <x v="9"/>
    <s v="GBPR_WOODWASTE_25"/>
    <x v="0"/>
    <x v="16"/>
    <n v="848.640981830123"/>
    <n v="309753.95836799499"/>
    <n v="1115114.25012478"/>
  </r>
  <r>
    <x v="0"/>
    <x v="0"/>
    <x v="0"/>
    <x v="9"/>
    <x v="19"/>
    <s v="SE3_OTHER"/>
    <x v="9"/>
    <s v="GBPR_WOODWASTE_25"/>
    <x v="0"/>
    <x v="17"/>
    <n v="848.640981830123"/>
    <n v="309753.95836799499"/>
    <n v="1115114.25012478"/>
  </r>
  <r>
    <x v="0"/>
    <x v="0"/>
    <x v="0"/>
    <x v="9"/>
    <x v="19"/>
    <s v="SE3_OTHER"/>
    <x v="9"/>
    <s v="GBPR_WOODWASTE_25"/>
    <x v="0"/>
    <x v="19"/>
    <n v="848.640981830123"/>
    <n v="309753.95836799499"/>
    <n v="1115114.25012478"/>
  </r>
  <r>
    <x v="0"/>
    <x v="0"/>
    <x v="0"/>
    <x v="9"/>
    <x v="19"/>
    <s v="SE3_OTHER"/>
    <x v="9"/>
    <s v="GBPR_WOODWASTE_25"/>
    <x v="0"/>
    <x v="20"/>
    <n v="848.640981830123"/>
    <n v="309753.95836799499"/>
    <n v="1115114.25012478"/>
  </r>
  <r>
    <x v="0"/>
    <x v="0"/>
    <x v="0"/>
    <x v="9"/>
    <x v="19"/>
    <s v="SE3_OTHER"/>
    <x v="9"/>
    <s v="GBPR_WOODWASTE_25"/>
    <x v="0"/>
    <x v="21"/>
    <n v="848.640981830123"/>
    <n v="309753.95836799499"/>
    <n v="1115114.25012478"/>
  </r>
  <r>
    <x v="0"/>
    <x v="0"/>
    <x v="0"/>
    <x v="9"/>
    <x v="19"/>
    <s v="SE3_OTHER"/>
    <x v="9"/>
    <s v="GBPR_WOODWASTE_25"/>
    <x v="0"/>
    <x v="22"/>
    <n v="848.640981830123"/>
    <n v="309753.95836799499"/>
    <n v="1115114.25012478"/>
  </r>
  <r>
    <x v="0"/>
    <x v="0"/>
    <x v="0"/>
    <x v="9"/>
    <x v="19"/>
    <s v="SE3_OTHER"/>
    <x v="9"/>
    <s v="GBPR_WOODWASTE_25"/>
    <x v="0"/>
    <x v="23"/>
    <n v="848.640981830123"/>
    <n v="309753.95836799499"/>
    <n v="1115114.25012478"/>
  </r>
  <r>
    <x v="0"/>
    <x v="0"/>
    <x v="0"/>
    <x v="9"/>
    <x v="19"/>
    <s v="SE3_OTHER"/>
    <x v="9"/>
    <s v="GHOB_WOODWASTE"/>
    <x v="0"/>
    <x v="0"/>
    <n v="468.75038780261701"/>
    <n v="171093.89154795499"/>
    <n v="615938.00957263797"/>
  </r>
  <r>
    <x v="0"/>
    <x v="0"/>
    <x v="0"/>
    <x v="9"/>
    <x v="19"/>
    <s v="SE3_OTHER"/>
    <x v="9"/>
    <s v="GHOB_WOODWASTE"/>
    <x v="0"/>
    <x v="1"/>
    <n v="468.75038780261701"/>
    <n v="171093.89154795499"/>
    <n v="615938.00957263797"/>
  </r>
  <r>
    <x v="0"/>
    <x v="0"/>
    <x v="0"/>
    <x v="9"/>
    <x v="19"/>
    <s v="SE3_OTHER"/>
    <x v="9"/>
    <s v="GHOB_WOODWASTE"/>
    <x v="0"/>
    <x v="2"/>
    <n v="468.75038780261701"/>
    <n v="171093.89154795499"/>
    <n v="615938.00957263797"/>
  </r>
  <r>
    <x v="0"/>
    <x v="0"/>
    <x v="0"/>
    <x v="9"/>
    <x v="19"/>
    <s v="SE3_OTHER"/>
    <x v="9"/>
    <s v="GHOB_WOODWASTE"/>
    <x v="0"/>
    <x v="3"/>
    <n v="468.75038780261701"/>
    <n v="171093.89154795499"/>
    <n v="615938.00957263797"/>
  </r>
  <r>
    <x v="0"/>
    <x v="0"/>
    <x v="0"/>
    <x v="9"/>
    <x v="19"/>
    <s v="SE3_OTHER"/>
    <x v="9"/>
    <s v="GHOB_WOODWASTE"/>
    <x v="0"/>
    <x v="18"/>
    <n v="468.75038780261701"/>
    <n v="171093.89154795499"/>
    <n v="615938.00957263797"/>
  </r>
  <r>
    <x v="0"/>
    <x v="0"/>
    <x v="0"/>
    <x v="9"/>
    <x v="19"/>
    <s v="SE3_OTHER"/>
    <x v="9"/>
    <s v="GHOB_WOODWASTE"/>
    <x v="0"/>
    <x v="4"/>
    <n v="468.75038780261701"/>
    <n v="171093.89154795499"/>
    <n v="615938.00957263797"/>
  </r>
  <r>
    <x v="0"/>
    <x v="0"/>
    <x v="0"/>
    <x v="9"/>
    <x v="19"/>
    <s v="SE3_OTHER"/>
    <x v="9"/>
    <s v="GHOB_WOODWASTE"/>
    <x v="0"/>
    <x v="5"/>
    <n v="468.75038780261701"/>
    <n v="171093.89154795499"/>
    <n v="615938.00957263797"/>
  </r>
  <r>
    <x v="0"/>
    <x v="0"/>
    <x v="0"/>
    <x v="9"/>
    <x v="19"/>
    <s v="SE3_OTHER"/>
    <x v="9"/>
    <s v="GHOB_WOODWASTE"/>
    <x v="0"/>
    <x v="6"/>
    <n v="468.75038780261701"/>
    <n v="171093.89154795499"/>
    <n v="615938.00957263797"/>
  </r>
  <r>
    <x v="0"/>
    <x v="0"/>
    <x v="0"/>
    <x v="9"/>
    <x v="19"/>
    <s v="SE3_OTHER"/>
    <x v="9"/>
    <s v="GHOB_WOODWASTE"/>
    <x v="0"/>
    <x v="7"/>
    <n v="468.75038780261701"/>
    <n v="171093.89154795499"/>
    <n v="615938.00957263797"/>
  </r>
  <r>
    <x v="0"/>
    <x v="0"/>
    <x v="0"/>
    <x v="9"/>
    <x v="19"/>
    <s v="SE3_OTHER"/>
    <x v="9"/>
    <s v="GHOB_WOODWASTE"/>
    <x v="0"/>
    <x v="8"/>
    <n v="468.75038780261701"/>
    <n v="171093.89154795499"/>
    <n v="615938.00957263797"/>
  </r>
  <r>
    <x v="0"/>
    <x v="0"/>
    <x v="0"/>
    <x v="9"/>
    <x v="19"/>
    <s v="SE3_OTHER"/>
    <x v="9"/>
    <s v="GHOB_WOODWASTE"/>
    <x v="0"/>
    <x v="9"/>
    <n v="468.75038780261701"/>
    <n v="171093.89154795499"/>
    <n v="615938.00957263797"/>
  </r>
  <r>
    <x v="0"/>
    <x v="0"/>
    <x v="0"/>
    <x v="9"/>
    <x v="19"/>
    <s v="SE3_OTHER"/>
    <x v="9"/>
    <s v="GHOB_WOODWASTE"/>
    <x v="0"/>
    <x v="10"/>
    <n v="468.75038780261701"/>
    <n v="171093.89154795499"/>
    <n v="615938.00957263797"/>
  </r>
  <r>
    <x v="0"/>
    <x v="0"/>
    <x v="0"/>
    <x v="9"/>
    <x v="19"/>
    <s v="SE3_OTHER"/>
    <x v="9"/>
    <s v="GHOB_WOODWASTE"/>
    <x v="0"/>
    <x v="11"/>
    <n v="468.75038780261701"/>
    <n v="171093.89154795499"/>
    <n v="615938.00957263797"/>
  </r>
  <r>
    <x v="0"/>
    <x v="0"/>
    <x v="0"/>
    <x v="9"/>
    <x v="19"/>
    <s v="SE3_OTHER"/>
    <x v="9"/>
    <s v="GHOB_WOODWASTE"/>
    <x v="0"/>
    <x v="12"/>
    <n v="468.75038780261701"/>
    <n v="171093.89154795499"/>
    <n v="615938.00957263797"/>
  </r>
  <r>
    <x v="0"/>
    <x v="0"/>
    <x v="0"/>
    <x v="9"/>
    <x v="19"/>
    <s v="SE3_OTHER"/>
    <x v="9"/>
    <s v="GHOB_WOODWASTE"/>
    <x v="0"/>
    <x v="13"/>
    <n v="468.75038780261701"/>
    <n v="171093.89154795499"/>
    <n v="615938.00957263797"/>
  </r>
  <r>
    <x v="0"/>
    <x v="0"/>
    <x v="0"/>
    <x v="9"/>
    <x v="19"/>
    <s v="SE3_OTHER"/>
    <x v="9"/>
    <s v="GHOB_WOODWASTE"/>
    <x v="0"/>
    <x v="14"/>
    <n v="468.75038780261701"/>
    <n v="171093.89154795499"/>
    <n v="615938.00957263797"/>
  </r>
  <r>
    <x v="0"/>
    <x v="0"/>
    <x v="0"/>
    <x v="9"/>
    <x v="19"/>
    <s v="SE3_OTHER"/>
    <x v="9"/>
    <s v="GHOB_WOODWASTE"/>
    <x v="0"/>
    <x v="15"/>
    <n v="450.40398259670002"/>
    <n v="164397.45364779601"/>
    <n v="591830.83313206397"/>
  </r>
  <r>
    <x v="0"/>
    <x v="0"/>
    <x v="0"/>
    <x v="9"/>
    <x v="19"/>
    <s v="SE3_OTHER"/>
    <x v="9"/>
    <s v="GHOB_WOODWASTE"/>
    <x v="0"/>
    <x v="16"/>
    <n v="370.39720102050597"/>
    <n v="135194.978372485"/>
    <n v="486701.92214094498"/>
  </r>
  <r>
    <x v="0"/>
    <x v="0"/>
    <x v="0"/>
    <x v="9"/>
    <x v="19"/>
    <s v="SE3_OTHER"/>
    <x v="9"/>
    <s v="GHOB_WOODWASTE"/>
    <x v="0"/>
    <x v="17"/>
    <n v="468.75038780261701"/>
    <n v="171093.89154795499"/>
    <n v="615938.00957263797"/>
  </r>
  <r>
    <x v="0"/>
    <x v="0"/>
    <x v="0"/>
    <x v="9"/>
    <x v="19"/>
    <s v="SE3_OTHER"/>
    <x v="9"/>
    <s v="GHOB_WOODWASTE"/>
    <x v="0"/>
    <x v="19"/>
    <n v="468.75038780261701"/>
    <n v="171093.89154795499"/>
    <n v="615938.00957263797"/>
  </r>
  <r>
    <x v="0"/>
    <x v="0"/>
    <x v="0"/>
    <x v="9"/>
    <x v="19"/>
    <s v="SE3_OTHER"/>
    <x v="9"/>
    <s v="GHOB_WOODWASTE"/>
    <x v="0"/>
    <x v="20"/>
    <n v="281.31782472094801"/>
    <n v="102681.00602314599"/>
    <n v="369651.62168332498"/>
  </r>
  <r>
    <x v="0"/>
    <x v="0"/>
    <x v="0"/>
    <x v="9"/>
    <x v="19"/>
    <s v="SE3_OTHER"/>
    <x v="9"/>
    <s v="GHOB_WOODWASTE"/>
    <x v="0"/>
    <x v="21"/>
    <n v="175.68549727016"/>
    <n v="64125.206503608402"/>
    <n v="230850.74341299001"/>
  </r>
  <r>
    <x v="0"/>
    <x v="0"/>
    <x v="0"/>
    <x v="9"/>
    <x v="19"/>
    <s v="SE3_OTHER"/>
    <x v="9"/>
    <s v="GHOB_WOODWASTE"/>
    <x v="0"/>
    <x v="22"/>
    <n v="468.75038780261701"/>
    <n v="171093.89154795499"/>
    <n v="615938.00957263797"/>
  </r>
  <r>
    <x v="0"/>
    <x v="0"/>
    <x v="0"/>
    <x v="9"/>
    <x v="19"/>
    <s v="SE3_OTHER"/>
    <x v="9"/>
    <s v="GHOB_WOODWASTE"/>
    <x v="0"/>
    <x v="23"/>
    <n v="24.762059054461901"/>
    <n v="9038.1515548785992"/>
    <n v="32537.345597562999"/>
  </r>
  <r>
    <x v="0"/>
    <x v="0"/>
    <x v="0"/>
    <x v="9"/>
    <x v="19"/>
    <s v="SE3_STO"/>
    <x v="0"/>
    <s v="GBPR_COAL_VARTAN"/>
    <x v="0"/>
    <x v="0"/>
    <n v="242.719440079972"/>
    <n v="88592.595629189906"/>
    <n v="318933.34426508402"/>
  </r>
  <r>
    <x v="0"/>
    <x v="0"/>
    <x v="0"/>
    <x v="9"/>
    <x v="19"/>
    <s v="SE3_STO"/>
    <x v="0"/>
    <s v="GBPR_COAL_VARTAN"/>
    <x v="0"/>
    <x v="1"/>
    <n v="232.042754561386"/>
    <n v="84695.605414905804"/>
    <n v="304904.17949366098"/>
  </r>
  <r>
    <x v="0"/>
    <x v="0"/>
    <x v="0"/>
    <x v="9"/>
    <x v="19"/>
    <s v="SE3_STO"/>
    <x v="0"/>
    <s v="GBPR_COAL_VARTAN"/>
    <x v="0"/>
    <x v="2"/>
    <n v="229.21292245013399"/>
    <n v="83662.716694299001"/>
    <n v="301185.78009947698"/>
  </r>
  <r>
    <x v="0"/>
    <x v="0"/>
    <x v="0"/>
    <x v="9"/>
    <x v="19"/>
    <s v="SE3_STO"/>
    <x v="0"/>
    <s v="GBPR_COAL_VARTAN"/>
    <x v="0"/>
    <x v="3"/>
    <n v="238.17467472466001"/>
    <n v="86933.756274500905"/>
    <n v="312961.52258820302"/>
  </r>
  <r>
    <x v="0"/>
    <x v="0"/>
    <x v="0"/>
    <x v="9"/>
    <x v="19"/>
    <s v="SE3_STO"/>
    <x v="0"/>
    <s v="GBPR_COAL_VARTAN"/>
    <x v="0"/>
    <x v="18"/>
    <n v="281.20921410460397"/>
    <n v="102641.363148181"/>
    <n v="369508.90733344998"/>
  </r>
  <r>
    <x v="0"/>
    <x v="0"/>
    <x v="0"/>
    <x v="9"/>
    <x v="19"/>
    <s v="SE3_STO"/>
    <x v="0"/>
    <s v="GBPR_COAL_VARTAN"/>
    <x v="0"/>
    <x v="4"/>
    <n v="318.85127221904099"/>
    <n v="116380.71435995"/>
    <n v="418970.57169582002"/>
  </r>
  <r>
    <x v="0"/>
    <x v="0"/>
    <x v="0"/>
    <x v="9"/>
    <x v="19"/>
    <s v="SE3_STO"/>
    <x v="0"/>
    <s v="GBPR_COAL_VARTAN"/>
    <x v="0"/>
    <x v="5"/>
    <n v="318.85127221904099"/>
    <n v="116380.71435995"/>
    <n v="418970.57169582002"/>
  </r>
  <r>
    <x v="0"/>
    <x v="0"/>
    <x v="0"/>
    <x v="9"/>
    <x v="19"/>
    <s v="SE3_STO"/>
    <x v="0"/>
    <s v="GBPR_COAL_VARTAN"/>
    <x v="0"/>
    <x v="6"/>
    <n v="318.85127221904099"/>
    <n v="116380.71435995"/>
    <n v="418970.57169582002"/>
  </r>
  <r>
    <x v="0"/>
    <x v="0"/>
    <x v="0"/>
    <x v="9"/>
    <x v="19"/>
    <s v="SE3_STO"/>
    <x v="0"/>
    <s v="GBPR_COAL_VARTAN"/>
    <x v="0"/>
    <x v="7"/>
    <n v="318.85127221904099"/>
    <n v="116380.71435995"/>
    <n v="418970.57169582002"/>
  </r>
  <r>
    <x v="0"/>
    <x v="0"/>
    <x v="0"/>
    <x v="9"/>
    <x v="19"/>
    <s v="SE3_STO"/>
    <x v="0"/>
    <s v="GBPR_COAL_VARTAN"/>
    <x v="0"/>
    <x v="8"/>
    <n v="318.85127221904099"/>
    <n v="116380.71435995"/>
    <n v="418970.57169582002"/>
  </r>
  <r>
    <x v="0"/>
    <x v="0"/>
    <x v="0"/>
    <x v="9"/>
    <x v="19"/>
    <s v="SE3_STO"/>
    <x v="0"/>
    <s v="GBPR_COAL_VARTAN"/>
    <x v="0"/>
    <x v="9"/>
    <n v="318.85127221904099"/>
    <n v="116380.71435995"/>
    <n v="418970.57169582002"/>
  </r>
  <r>
    <x v="0"/>
    <x v="0"/>
    <x v="0"/>
    <x v="9"/>
    <x v="19"/>
    <s v="SE3_STO"/>
    <x v="0"/>
    <s v="GBPR_COAL_VARTAN"/>
    <x v="0"/>
    <x v="10"/>
    <n v="318.85127221904099"/>
    <n v="116380.71435995"/>
    <n v="418970.57169582002"/>
  </r>
  <r>
    <x v="0"/>
    <x v="0"/>
    <x v="0"/>
    <x v="9"/>
    <x v="19"/>
    <s v="SE3_STO"/>
    <x v="0"/>
    <s v="GBPR_COAL_VARTAN"/>
    <x v="0"/>
    <x v="11"/>
    <n v="318.85127221904099"/>
    <n v="116380.71435995"/>
    <n v="418970.57169582002"/>
  </r>
  <r>
    <x v="0"/>
    <x v="0"/>
    <x v="0"/>
    <x v="9"/>
    <x v="19"/>
    <s v="SE3_STO"/>
    <x v="0"/>
    <s v="GBPR_COAL_VARTAN"/>
    <x v="0"/>
    <x v="12"/>
    <n v="318.85127221904099"/>
    <n v="116380.71435995"/>
    <n v="418970.57169582002"/>
  </r>
  <r>
    <x v="0"/>
    <x v="0"/>
    <x v="0"/>
    <x v="9"/>
    <x v="19"/>
    <s v="SE3_STO"/>
    <x v="0"/>
    <s v="GBPR_COAL_VARTAN"/>
    <x v="0"/>
    <x v="13"/>
    <n v="318.85127221904099"/>
    <n v="116380.71435995"/>
    <n v="418970.57169582002"/>
  </r>
  <r>
    <x v="0"/>
    <x v="0"/>
    <x v="0"/>
    <x v="9"/>
    <x v="19"/>
    <s v="SE3_STO"/>
    <x v="0"/>
    <s v="GBPR_COAL_VARTAN"/>
    <x v="0"/>
    <x v="14"/>
    <n v="318.85127221904099"/>
    <n v="116380.71435995"/>
    <n v="418970.57169582002"/>
  </r>
  <r>
    <x v="0"/>
    <x v="0"/>
    <x v="0"/>
    <x v="9"/>
    <x v="19"/>
    <s v="SE3_STO"/>
    <x v="0"/>
    <s v="GBPR_COAL_VARTAN"/>
    <x v="0"/>
    <x v="15"/>
    <n v="318.85127221904099"/>
    <n v="116380.71435995"/>
    <n v="418970.57169582002"/>
  </r>
  <r>
    <x v="0"/>
    <x v="0"/>
    <x v="0"/>
    <x v="9"/>
    <x v="19"/>
    <s v="SE3_STO"/>
    <x v="0"/>
    <s v="GBPR_COAL_VARTAN"/>
    <x v="0"/>
    <x v="16"/>
    <n v="318.85127221904099"/>
    <n v="116380.71435995"/>
    <n v="418970.57169582002"/>
  </r>
  <r>
    <x v="0"/>
    <x v="0"/>
    <x v="0"/>
    <x v="9"/>
    <x v="19"/>
    <s v="SE3_STO"/>
    <x v="0"/>
    <s v="GBPR_COAL_VARTAN"/>
    <x v="0"/>
    <x v="17"/>
    <n v="318.85127221904099"/>
    <n v="116380.71435995"/>
    <n v="418970.57169582002"/>
  </r>
  <r>
    <x v="0"/>
    <x v="0"/>
    <x v="0"/>
    <x v="9"/>
    <x v="19"/>
    <s v="SE3_STO"/>
    <x v="0"/>
    <s v="GBPR_COAL_VARTAN"/>
    <x v="0"/>
    <x v="19"/>
    <n v="318.85127221904099"/>
    <n v="116380.71435995"/>
    <n v="418970.57169582002"/>
  </r>
  <r>
    <x v="0"/>
    <x v="0"/>
    <x v="0"/>
    <x v="9"/>
    <x v="19"/>
    <s v="SE3_STO"/>
    <x v="0"/>
    <s v="GBPR_COAL_VARTAN"/>
    <x v="0"/>
    <x v="20"/>
    <n v="318.85127221904099"/>
    <n v="116380.71435995"/>
    <n v="418970.57169582002"/>
  </r>
  <r>
    <x v="0"/>
    <x v="0"/>
    <x v="0"/>
    <x v="9"/>
    <x v="19"/>
    <s v="SE3_STO"/>
    <x v="0"/>
    <s v="GBPR_COAL_VARTAN"/>
    <x v="0"/>
    <x v="21"/>
    <n v="318.85127221904099"/>
    <n v="116380.71435995"/>
    <n v="418970.57169582002"/>
  </r>
  <r>
    <x v="0"/>
    <x v="0"/>
    <x v="0"/>
    <x v="9"/>
    <x v="19"/>
    <s v="SE3_STO"/>
    <x v="0"/>
    <s v="GBPR_COAL_VARTAN"/>
    <x v="0"/>
    <x v="22"/>
    <n v="318.85127221904099"/>
    <n v="116380.71435995"/>
    <n v="418970.57169582002"/>
  </r>
  <r>
    <x v="0"/>
    <x v="0"/>
    <x v="0"/>
    <x v="9"/>
    <x v="19"/>
    <s v="SE3_STO"/>
    <x v="2"/>
    <s v="GBPR_MUNIWASTE_HOGDALEN"/>
    <x v="0"/>
    <x v="0"/>
    <n v="188.54422739459699"/>
    <n v="68818.642999027696"/>
    <n v="247747.11479650001"/>
  </r>
  <r>
    <x v="0"/>
    <x v="0"/>
    <x v="0"/>
    <x v="9"/>
    <x v="19"/>
    <s v="SE3_STO"/>
    <x v="2"/>
    <s v="GBPR_MUNIWASTE_HOGDALEN"/>
    <x v="0"/>
    <x v="1"/>
    <n v="188.54422739459699"/>
    <n v="68818.642999027696"/>
    <n v="247747.11479650001"/>
  </r>
  <r>
    <x v="0"/>
    <x v="0"/>
    <x v="0"/>
    <x v="9"/>
    <x v="19"/>
    <s v="SE3_STO"/>
    <x v="2"/>
    <s v="GBPR_MUNIWASTE_HOGDALEN"/>
    <x v="0"/>
    <x v="2"/>
    <n v="188.54422739459699"/>
    <n v="68818.642999027696"/>
    <n v="247747.11479650001"/>
  </r>
  <r>
    <x v="0"/>
    <x v="0"/>
    <x v="0"/>
    <x v="9"/>
    <x v="19"/>
    <s v="SE3_STO"/>
    <x v="2"/>
    <s v="GBPR_MUNIWASTE_HOGDALEN"/>
    <x v="0"/>
    <x v="3"/>
    <n v="188.54422739459699"/>
    <n v="68818.642999027696"/>
    <n v="247747.11479650001"/>
  </r>
  <r>
    <x v="0"/>
    <x v="0"/>
    <x v="0"/>
    <x v="9"/>
    <x v="19"/>
    <s v="SE3_STO"/>
    <x v="2"/>
    <s v="GBPR_MUNIWASTE_HOGDALEN"/>
    <x v="0"/>
    <x v="18"/>
    <n v="188.54422739459699"/>
    <n v="68818.642999027696"/>
    <n v="247747.11479650001"/>
  </r>
  <r>
    <x v="0"/>
    <x v="0"/>
    <x v="0"/>
    <x v="9"/>
    <x v="19"/>
    <s v="SE3_STO"/>
    <x v="2"/>
    <s v="GBPR_MUNIWASTE_HOGDALEN"/>
    <x v="0"/>
    <x v="4"/>
    <n v="188.54422739459699"/>
    <n v="68818.642999027696"/>
    <n v="247747.11479650001"/>
  </r>
  <r>
    <x v="0"/>
    <x v="0"/>
    <x v="0"/>
    <x v="9"/>
    <x v="19"/>
    <s v="SE3_STO"/>
    <x v="2"/>
    <s v="GBPR_MUNIWASTE_HOGDALEN"/>
    <x v="0"/>
    <x v="5"/>
    <n v="188.54422739459699"/>
    <n v="68818.642999027696"/>
    <n v="247747.11479650001"/>
  </r>
  <r>
    <x v="0"/>
    <x v="0"/>
    <x v="0"/>
    <x v="9"/>
    <x v="19"/>
    <s v="SE3_STO"/>
    <x v="2"/>
    <s v="GBPR_MUNIWASTE_HOGDALEN"/>
    <x v="0"/>
    <x v="6"/>
    <n v="188.54422739459699"/>
    <n v="68818.642999027696"/>
    <n v="247747.11479650001"/>
  </r>
  <r>
    <x v="0"/>
    <x v="0"/>
    <x v="0"/>
    <x v="9"/>
    <x v="19"/>
    <s v="SE3_STO"/>
    <x v="2"/>
    <s v="GBPR_MUNIWASTE_HOGDALEN"/>
    <x v="0"/>
    <x v="7"/>
    <n v="188.54422739459699"/>
    <n v="68818.642999027696"/>
    <n v="247747.11479650001"/>
  </r>
  <r>
    <x v="0"/>
    <x v="0"/>
    <x v="0"/>
    <x v="9"/>
    <x v="19"/>
    <s v="SE3_STO"/>
    <x v="2"/>
    <s v="GBPR_MUNIWASTE_HOGDALEN"/>
    <x v="0"/>
    <x v="8"/>
    <n v="188.54422739459699"/>
    <n v="68818.642999027696"/>
    <n v="247747.11479650001"/>
  </r>
  <r>
    <x v="0"/>
    <x v="0"/>
    <x v="0"/>
    <x v="9"/>
    <x v="19"/>
    <s v="SE3_STO"/>
    <x v="2"/>
    <s v="GBPR_MUNIWASTE_HOGDALEN"/>
    <x v="0"/>
    <x v="9"/>
    <n v="188.54422739459699"/>
    <n v="68818.642999027696"/>
    <n v="247747.11479650001"/>
  </r>
  <r>
    <x v="0"/>
    <x v="0"/>
    <x v="0"/>
    <x v="9"/>
    <x v="19"/>
    <s v="SE3_STO"/>
    <x v="2"/>
    <s v="GBPR_MUNIWASTE_HOGDALEN"/>
    <x v="0"/>
    <x v="10"/>
    <n v="188.54422739459699"/>
    <n v="68818.642999027696"/>
    <n v="247747.11479650001"/>
  </r>
  <r>
    <x v="0"/>
    <x v="0"/>
    <x v="0"/>
    <x v="9"/>
    <x v="19"/>
    <s v="SE3_STO"/>
    <x v="2"/>
    <s v="GBPR_MUNIWASTE_HOGDALEN"/>
    <x v="0"/>
    <x v="11"/>
    <n v="188.54422739459699"/>
    <n v="68818.642999027696"/>
    <n v="247747.11479650001"/>
  </r>
  <r>
    <x v="0"/>
    <x v="0"/>
    <x v="0"/>
    <x v="9"/>
    <x v="19"/>
    <s v="SE3_STO"/>
    <x v="2"/>
    <s v="GBPR_MUNIWASTE_HOGDALEN"/>
    <x v="0"/>
    <x v="12"/>
    <n v="188.54422739459699"/>
    <n v="68818.642999027696"/>
    <n v="247747.11479650001"/>
  </r>
  <r>
    <x v="0"/>
    <x v="0"/>
    <x v="0"/>
    <x v="9"/>
    <x v="19"/>
    <s v="SE3_STO"/>
    <x v="2"/>
    <s v="GBPR_MUNIWASTE_HOGDALEN"/>
    <x v="0"/>
    <x v="13"/>
    <n v="188.54422739459699"/>
    <n v="68818.642999027696"/>
    <n v="247747.11479650001"/>
  </r>
  <r>
    <x v="0"/>
    <x v="0"/>
    <x v="0"/>
    <x v="9"/>
    <x v="19"/>
    <s v="SE3_STO"/>
    <x v="2"/>
    <s v="GBPR_MUNIWASTE_HOGDALEN"/>
    <x v="0"/>
    <x v="14"/>
    <n v="188.54422739459699"/>
    <n v="68818.642999027696"/>
    <n v="247747.11479650001"/>
  </r>
  <r>
    <x v="0"/>
    <x v="0"/>
    <x v="0"/>
    <x v="9"/>
    <x v="19"/>
    <s v="SE3_STO"/>
    <x v="2"/>
    <s v="GBPR_MUNIWASTE_HOGDALEN"/>
    <x v="0"/>
    <x v="15"/>
    <n v="188.54422739459699"/>
    <n v="68818.642999027696"/>
    <n v="247747.11479650001"/>
  </r>
  <r>
    <x v="0"/>
    <x v="0"/>
    <x v="0"/>
    <x v="9"/>
    <x v="19"/>
    <s v="SE3_STO"/>
    <x v="2"/>
    <s v="GBPR_MUNIWASTE_HOGDALEN"/>
    <x v="0"/>
    <x v="16"/>
    <n v="188.54422739459699"/>
    <n v="68818.642999027696"/>
    <n v="247747.11479650001"/>
  </r>
  <r>
    <x v="0"/>
    <x v="0"/>
    <x v="0"/>
    <x v="9"/>
    <x v="19"/>
    <s v="SE3_STO"/>
    <x v="2"/>
    <s v="GBPR_MUNIWASTE_HOGDALEN"/>
    <x v="0"/>
    <x v="17"/>
    <n v="188.54422739459699"/>
    <n v="68818.642999027696"/>
    <n v="247747.11479650001"/>
  </r>
  <r>
    <x v="0"/>
    <x v="0"/>
    <x v="0"/>
    <x v="9"/>
    <x v="19"/>
    <s v="SE3_STO"/>
    <x v="2"/>
    <s v="GBPR_MUNIWASTE_HOGDALEN"/>
    <x v="0"/>
    <x v="19"/>
    <n v="188.54422739459699"/>
    <n v="68818.642999027696"/>
    <n v="247747.11479650001"/>
  </r>
  <r>
    <x v="0"/>
    <x v="0"/>
    <x v="0"/>
    <x v="9"/>
    <x v="19"/>
    <s v="SE3_STO"/>
    <x v="2"/>
    <s v="GBPR_MUNIWASTE_HOGDALEN"/>
    <x v="0"/>
    <x v="20"/>
    <n v="188.54422739459699"/>
    <n v="68818.642999027696"/>
    <n v="247747.11479650001"/>
  </r>
  <r>
    <x v="0"/>
    <x v="0"/>
    <x v="0"/>
    <x v="9"/>
    <x v="19"/>
    <s v="SE3_STO"/>
    <x v="2"/>
    <s v="GBPR_MUNIWASTE_HOGDALEN"/>
    <x v="0"/>
    <x v="21"/>
    <n v="188.54422739459699"/>
    <n v="68818.642999027696"/>
    <n v="247747.11479650001"/>
  </r>
  <r>
    <x v="0"/>
    <x v="0"/>
    <x v="0"/>
    <x v="9"/>
    <x v="19"/>
    <s v="SE3_STO"/>
    <x v="2"/>
    <s v="GBPR_MUNIWASTE_HOGDALEN"/>
    <x v="0"/>
    <x v="22"/>
    <n v="188.54422739459699"/>
    <n v="68818.642999027696"/>
    <n v="247747.11479650001"/>
  </r>
  <r>
    <x v="0"/>
    <x v="0"/>
    <x v="0"/>
    <x v="9"/>
    <x v="19"/>
    <s v="SE3_STO"/>
    <x v="2"/>
    <s v="GBPR_MUNIWASTE_HOGDALEN"/>
    <x v="0"/>
    <x v="23"/>
    <n v="188.54422739459699"/>
    <n v="68818.642999027696"/>
    <n v="247747.11479650001"/>
  </r>
  <r>
    <x v="0"/>
    <x v="0"/>
    <x v="0"/>
    <x v="9"/>
    <x v="19"/>
    <s v="SE3_STO"/>
    <x v="2"/>
    <s v="GHOB_MUNIWASTE"/>
    <x v="0"/>
    <x v="0"/>
    <n v="133.73011864833899"/>
    <n v="48811.493306643599"/>
    <n v="175721.37590391701"/>
  </r>
  <r>
    <x v="0"/>
    <x v="0"/>
    <x v="0"/>
    <x v="9"/>
    <x v="19"/>
    <s v="SE3_STO"/>
    <x v="2"/>
    <s v="GHOB_MUNIWASTE"/>
    <x v="0"/>
    <x v="1"/>
    <n v="133.73011864833899"/>
    <n v="48811.493306643599"/>
    <n v="175721.37590391701"/>
  </r>
  <r>
    <x v="0"/>
    <x v="0"/>
    <x v="0"/>
    <x v="9"/>
    <x v="19"/>
    <s v="SE3_STO"/>
    <x v="2"/>
    <s v="GHOB_MUNIWASTE"/>
    <x v="0"/>
    <x v="2"/>
    <n v="133.73011864833899"/>
    <n v="48811.493306643599"/>
    <n v="175721.37590391701"/>
  </r>
  <r>
    <x v="0"/>
    <x v="0"/>
    <x v="0"/>
    <x v="9"/>
    <x v="19"/>
    <s v="SE3_STO"/>
    <x v="2"/>
    <s v="GHOB_MUNIWASTE"/>
    <x v="0"/>
    <x v="3"/>
    <n v="133.73011864833899"/>
    <n v="48811.493306643599"/>
    <n v="175721.37590391701"/>
  </r>
  <r>
    <x v="0"/>
    <x v="0"/>
    <x v="0"/>
    <x v="9"/>
    <x v="19"/>
    <s v="SE3_STO"/>
    <x v="2"/>
    <s v="GHOB_MUNIWASTE"/>
    <x v="0"/>
    <x v="18"/>
    <n v="133.73011864833899"/>
    <n v="48811.493306643599"/>
    <n v="175721.37590391701"/>
  </r>
  <r>
    <x v="0"/>
    <x v="0"/>
    <x v="0"/>
    <x v="9"/>
    <x v="19"/>
    <s v="SE3_STO"/>
    <x v="2"/>
    <s v="GHOB_MUNIWASTE"/>
    <x v="0"/>
    <x v="4"/>
    <n v="133.73011864833899"/>
    <n v="48811.493306643599"/>
    <n v="175721.37590391701"/>
  </r>
  <r>
    <x v="0"/>
    <x v="0"/>
    <x v="0"/>
    <x v="9"/>
    <x v="19"/>
    <s v="SE3_STO"/>
    <x v="2"/>
    <s v="GHOB_MUNIWASTE"/>
    <x v="0"/>
    <x v="5"/>
    <n v="133.73011864833899"/>
    <n v="48811.493306643599"/>
    <n v="175721.37590391701"/>
  </r>
  <r>
    <x v="0"/>
    <x v="0"/>
    <x v="0"/>
    <x v="9"/>
    <x v="19"/>
    <s v="SE3_STO"/>
    <x v="2"/>
    <s v="GHOB_MUNIWASTE"/>
    <x v="0"/>
    <x v="6"/>
    <n v="133.73011864833899"/>
    <n v="48811.493306643599"/>
    <n v="175721.37590391701"/>
  </r>
  <r>
    <x v="0"/>
    <x v="0"/>
    <x v="0"/>
    <x v="9"/>
    <x v="19"/>
    <s v="SE3_STO"/>
    <x v="2"/>
    <s v="GHOB_MUNIWASTE"/>
    <x v="0"/>
    <x v="7"/>
    <n v="133.73011864833899"/>
    <n v="48811.493306643599"/>
    <n v="175721.37590391701"/>
  </r>
  <r>
    <x v="0"/>
    <x v="0"/>
    <x v="0"/>
    <x v="9"/>
    <x v="19"/>
    <s v="SE3_STO"/>
    <x v="2"/>
    <s v="GHOB_MUNIWASTE"/>
    <x v="0"/>
    <x v="8"/>
    <n v="133.73011864833899"/>
    <n v="48811.493306643599"/>
    <n v="175721.37590391701"/>
  </r>
  <r>
    <x v="0"/>
    <x v="0"/>
    <x v="0"/>
    <x v="9"/>
    <x v="19"/>
    <s v="SE3_STO"/>
    <x v="2"/>
    <s v="GHOB_MUNIWASTE"/>
    <x v="0"/>
    <x v="9"/>
    <n v="133.73011864833899"/>
    <n v="48811.493306643599"/>
    <n v="175721.37590391701"/>
  </r>
  <r>
    <x v="0"/>
    <x v="0"/>
    <x v="0"/>
    <x v="9"/>
    <x v="19"/>
    <s v="SE3_STO"/>
    <x v="2"/>
    <s v="GHOB_MUNIWASTE"/>
    <x v="0"/>
    <x v="10"/>
    <n v="133.73011864833899"/>
    <n v="48811.493306643599"/>
    <n v="175721.37590391701"/>
  </r>
  <r>
    <x v="0"/>
    <x v="0"/>
    <x v="0"/>
    <x v="9"/>
    <x v="19"/>
    <s v="SE3_STO"/>
    <x v="2"/>
    <s v="GHOB_MUNIWASTE"/>
    <x v="0"/>
    <x v="11"/>
    <n v="133.73011864833899"/>
    <n v="48811.493306643599"/>
    <n v="175721.37590391701"/>
  </r>
  <r>
    <x v="0"/>
    <x v="0"/>
    <x v="0"/>
    <x v="9"/>
    <x v="19"/>
    <s v="SE3_STO"/>
    <x v="2"/>
    <s v="GHOB_MUNIWASTE"/>
    <x v="0"/>
    <x v="12"/>
    <n v="133.73011864833899"/>
    <n v="48811.493306643599"/>
    <n v="175721.37590391701"/>
  </r>
  <r>
    <x v="0"/>
    <x v="0"/>
    <x v="0"/>
    <x v="9"/>
    <x v="19"/>
    <s v="SE3_STO"/>
    <x v="2"/>
    <s v="GHOB_MUNIWASTE"/>
    <x v="0"/>
    <x v="13"/>
    <n v="133.73011864833899"/>
    <n v="48811.493306643599"/>
    <n v="175721.37590391701"/>
  </r>
  <r>
    <x v="0"/>
    <x v="0"/>
    <x v="0"/>
    <x v="9"/>
    <x v="19"/>
    <s v="SE3_STO"/>
    <x v="2"/>
    <s v="GHOB_MUNIWASTE"/>
    <x v="0"/>
    <x v="14"/>
    <n v="133.73011864833899"/>
    <n v="48811.493306643599"/>
    <n v="175721.37590391701"/>
  </r>
  <r>
    <x v="0"/>
    <x v="0"/>
    <x v="0"/>
    <x v="9"/>
    <x v="19"/>
    <s v="SE3_STO"/>
    <x v="2"/>
    <s v="GHOB_MUNIWASTE"/>
    <x v="0"/>
    <x v="15"/>
    <n v="133.73011864833899"/>
    <n v="48811.493306643599"/>
    <n v="175721.37590391701"/>
  </r>
  <r>
    <x v="0"/>
    <x v="0"/>
    <x v="0"/>
    <x v="9"/>
    <x v="19"/>
    <s v="SE3_STO"/>
    <x v="2"/>
    <s v="GHOB_MUNIWASTE"/>
    <x v="0"/>
    <x v="16"/>
    <n v="133.73011864833899"/>
    <n v="48811.493306643599"/>
    <n v="175721.37590391701"/>
  </r>
  <r>
    <x v="0"/>
    <x v="0"/>
    <x v="0"/>
    <x v="9"/>
    <x v="19"/>
    <s v="SE3_STO"/>
    <x v="2"/>
    <s v="GHOB_MUNIWASTE"/>
    <x v="0"/>
    <x v="17"/>
    <n v="133.73011864833899"/>
    <n v="48811.493306643599"/>
    <n v="175721.37590391701"/>
  </r>
  <r>
    <x v="0"/>
    <x v="0"/>
    <x v="0"/>
    <x v="9"/>
    <x v="19"/>
    <s v="SE3_STO"/>
    <x v="2"/>
    <s v="GHOB_MUNIWASTE"/>
    <x v="0"/>
    <x v="19"/>
    <n v="133.73011864833899"/>
    <n v="48811.493306643599"/>
    <n v="175721.37590391701"/>
  </r>
  <r>
    <x v="0"/>
    <x v="0"/>
    <x v="0"/>
    <x v="9"/>
    <x v="19"/>
    <s v="SE3_STO"/>
    <x v="2"/>
    <s v="GHOB_MUNIWASTE"/>
    <x v="0"/>
    <x v="20"/>
    <n v="133.73011864833899"/>
    <n v="48811.493306643599"/>
    <n v="175721.37590391701"/>
  </r>
  <r>
    <x v="0"/>
    <x v="0"/>
    <x v="0"/>
    <x v="9"/>
    <x v="19"/>
    <s v="SE3_STO"/>
    <x v="2"/>
    <s v="GHOB_MUNIWASTE"/>
    <x v="0"/>
    <x v="21"/>
    <n v="133.73011864833899"/>
    <n v="48811.493306643599"/>
    <n v="175721.37590391701"/>
  </r>
  <r>
    <x v="0"/>
    <x v="0"/>
    <x v="0"/>
    <x v="9"/>
    <x v="19"/>
    <s v="SE3_STO"/>
    <x v="2"/>
    <s v="GHOB_MUNIWASTE"/>
    <x v="0"/>
    <x v="22"/>
    <n v="133.73011864833899"/>
    <n v="48811.493306643599"/>
    <n v="175721.37590391701"/>
  </r>
  <r>
    <x v="0"/>
    <x v="0"/>
    <x v="0"/>
    <x v="9"/>
    <x v="19"/>
    <s v="SE3_STO"/>
    <x v="2"/>
    <s v="GHOB_MUNIWASTE"/>
    <x v="0"/>
    <x v="23"/>
    <n v="133.73011864833899"/>
    <n v="48811.493306643599"/>
    <n v="175721.37590391701"/>
  </r>
  <r>
    <x v="0"/>
    <x v="0"/>
    <x v="0"/>
    <x v="9"/>
    <x v="19"/>
    <s v="SE3_STO"/>
    <x v="9"/>
    <s v="GBPR_WOODWASTE"/>
    <x v="0"/>
    <x v="0"/>
    <n v="335.42386969827902"/>
    <n v="122429.712439872"/>
    <n v="440746.96478353802"/>
  </r>
  <r>
    <x v="0"/>
    <x v="0"/>
    <x v="0"/>
    <x v="9"/>
    <x v="19"/>
    <s v="SE3_STO"/>
    <x v="9"/>
    <s v="GBPR_WOODWASTE"/>
    <x v="0"/>
    <x v="1"/>
    <n v="335.42386969827902"/>
    <n v="122429.712439872"/>
    <n v="440746.96478353802"/>
  </r>
  <r>
    <x v="0"/>
    <x v="0"/>
    <x v="0"/>
    <x v="9"/>
    <x v="19"/>
    <s v="SE3_STO"/>
    <x v="9"/>
    <s v="GBPR_WOODWASTE"/>
    <x v="0"/>
    <x v="2"/>
    <n v="335.42386969827902"/>
    <n v="122429.712439872"/>
    <n v="440746.96478353802"/>
  </r>
  <r>
    <x v="0"/>
    <x v="0"/>
    <x v="0"/>
    <x v="9"/>
    <x v="19"/>
    <s v="SE3_STO"/>
    <x v="9"/>
    <s v="GBPR_WOODWASTE"/>
    <x v="0"/>
    <x v="3"/>
    <n v="335.42386969827902"/>
    <n v="122429.712439872"/>
    <n v="440746.96478353802"/>
  </r>
  <r>
    <x v="0"/>
    <x v="0"/>
    <x v="0"/>
    <x v="9"/>
    <x v="19"/>
    <s v="SE3_STO"/>
    <x v="9"/>
    <s v="GBPR_WOODWASTE"/>
    <x v="0"/>
    <x v="18"/>
    <n v="335.42386969827902"/>
    <n v="122429.712439872"/>
    <n v="440746.96478353802"/>
  </r>
  <r>
    <x v="0"/>
    <x v="0"/>
    <x v="0"/>
    <x v="9"/>
    <x v="19"/>
    <s v="SE3_STO"/>
    <x v="9"/>
    <s v="GBPR_WOODWASTE"/>
    <x v="0"/>
    <x v="4"/>
    <n v="335.42386969827902"/>
    <n v="122429.712439872"/>
    <n v="440746.96478353802"/>
  </r>
  <r>
    <x v="0"/>
    <x v="0"/>
    <x v="0"/>
    <x v="9"/>
    <x v="19"/>
    <s v="SE3_STO"/>
    <x v="9"/>
    <s v="GBPR_WOODWASTE"/>
    <x v="0"/>
    <x v="5"/>
    <n v="335.42386969827902"/>
    <n v="122429.712439872"/>
    <n v="440746.96478353802"/>
  </r>
  <r>
    <x v="0"/>
    <x v="0"/>
    <x v="0"/>
    <x v="9"/>
    <x v="19"/>
    <s v="SE3_STO"/>
    <x v="9"/>
    <s v="GBPR_WOODWASTE"/>
    <x v="0"/>
    <x v="6"/>
    <n v="335.42386969827902"/>
    <n v="122429.712439872"/>
    <n v="440746.96478353802"/>
  </r>
  <r>
    <x v="0"/>
    <x v="0"/>
    <x v="0"/>
    <x v="9"/>
    <x v="19"/>
    <s v="SE3_STO"/>
    <x v="9"/>
    <s v="GBPR_WOODWASTE"/>
    <x v="0"/>
    <x v="7"/>
    <n v="335.42386969827902"/>
    <n v="122429.712439872"/>
    <n v="440746.96478353802"/>
  </r>
  <r>
    <x v="0"/>
    <x v="0"/>
    <x v="0"/>
    <x v="9"/>
    <x v="19"/>
    <s v="SE3_STO"/>
    <x v="9"/>
    <s v="GBPR_WOODWASTE"/>
    <x v="0"/>
    <x v="8"/>
    <n v="335.42386969827902"/>
    <n v="122429.712439872"/>
    <n v="440746.96478353802"/>
  </r>
  <r>
    <x v="0"/>
    <x v="0"/>
    <x v="0"/>
    <x v="9"/>
    <x v="19"/>
    <s v="SE3_STO"/>
    <x v="9"/>
    <s v="GBPR_WOODWASTE"/>
    <x v="0"/>
    <x v="9"/>
    <n v="335.42386969827902"/>
    <n v="122429.712439872"/>
    <n v="440746.96478353802"/>
  </r>
  <r>
    <x v="0"/>
    <x v="0"/>
    <x v="0"/>
    <x v="9"/>
    <x v="19"/>
    <s v="SE3_STO"/>
    <x v="9"/>
    <s v="GBPR_WOODWASTE"/>
    <x v="0"/>
    <x v="10"/>
    <n v="335.42386969827902"/>
    <n v="122429.712439872"/>
    <n v="440746.96478353802"/>
  </r>
  <r>
    <x v="0"/>
    <x v="0"/>
    <x v="0"/>
    <x v="9"/>
    <x v="19"/>
    <s v="SE3_STO"/>
    <x v="9"/>
    <s v="GBPR_WOODWASTE"/>
    <x v="0"/>
    <x v="11"/>
    <n v="335.42386969827902"/>
    <n v="122429.712439872"/>
    <n v="440746.96478353802"/>
  </r>
  <r>
    <x v="0"/>
    <x v="0"/>
    <x v="0"/>
    <x v="9"/>
    <x v="19"/>
    <s v="SE3_STO"/>
    <x v="9"/>
    <s v="GBPR_WOODWASTE"/>
    <x v="0"/>
    <x v="12"/>
    <n v="335.42386969827902"/>
    <n v="122429.712439872"/>
    <n v="440746.96478353802"/>
  </r>
  <r>
    <x v="0"/>
    <x v="0"/>
    <x v="0"/>
    <x v="9"/>
    <x v="19"/>
    <s v="SE3_STO"/>
    <x v="9"/>
    <s v="GBPR_WOODWASTE"/>
    <x v="0"/>
    <x v="13"/>
    <n v="335.42386969827902"/>
    <n v="122429.712439872"/>
    <n v="440746.96478353802"/>
  </r>
  <r>
    <x v="0"/>
    <x v="0"/>
    <x v="0"/>
    <x v="9"/>
    <x v="19"/>
    <s v="SE3_STO"/>
    <x v="9"/>
    <s v="GBPR_WOODWASTE"/>
    <x v="0"/>
    <x v="14"/>
    <n v="335.42386969827902"/>
    <n v="122429.712439872"/>
    <n v="440746.96478353802"/>
  </r>
  <r>
    <x v="0"/>
    <x v="0"/>
    <x v="0"/>
    <x v="9"/>
    <x v="19"/>
    <s v="SE3_STO"/>
    <x v="9"/>
    <s v="GBPR_WOODWASTE"/>
    <x v="0"/>
    <x v="15"/>
    <n v="335.42386969827902"/>
    <n v="122429.712439872"/>
    <n v="440746.96478353802"/>
  </r>
  <r>
    <x v="0"/>
    <x v="0"/>
    <x v="0"/>
    <x v="9"/>
    <x v="19"/>
    <s v="SE3_STO"/>
    <x v="9"/>
    <s v="GBPR_WOODWASTE"/>
    <x v="0"/>
    <x v="16"/>
    <n v="335.42386969827902"/>
    <n v="122429.712439872"/>
    <n v="440746.96478353802"/>
  </r>
  <r>
    <x v="0"/>
    <x v="0"/>
    <x v="0"/>
    <x v="9"/>
    <x v="19"/>
    <s v="SE3_STO"/>
    <x v="9"/>
    <s v="GBPR_WOODWASTE"/>
    <x v="0"/>
    <x v="17"/>
    <n v="335.42386969827902"/>
    <n v="122429.712439872"/>
    <n v="440746.96478353802"/>
  </r>
  <r>
    <x v="0"/>
    <x v="0"/>
    <x v="0"/>
    <x v="9"/>
    <x v="19"/>
    <s v="SE3_STO"/>
    <x v="9"/>
    <s v="GBPR_WOODWASTE"/>
    <x v="0"/>
    <x v="19"/>
    <n v="335.42386969827902"/>
    <n v="122429.712439872"/>
    <n v="440746.96478353802"/>
  </r>
  <r>
    <x v="0"/>
    <x v="0"/>
    <x v="0"/>
    <x v="9"/>
    <x v="19"/>
    <s v="SE3_STO"/>
    <x v="9"/>
    <s v="GBPR_WOODWASTE"/>
    <x v="0"/>
    <x v="20"/>
    <n v="335.42386969827902"/>
    <n v="122429.712439872"/>
    <n v="440746.96478353802"/>
  </r>
  <r>
    <x v="0"/>
    <x v="0"/>
    <x v="0"/>
    <x v="9"/>
    <x v="19"/>
    <s v="SE3_STO"/>
    <x v="9"/>
    <s v="GBPR_WOODWASTE"/>
    <x v="0"/>
    <x v="21"/>
    <n v="335.42386969827902"/>
    <n v="122429.712439872"/>
    <n v="440746.96478353802"/>
  </r>
  <r>
    <x v="0"/>
    <x v="0"/>
    <x v="0"/>
    <x v="9"/>
    <x v="19"/>
    <s v="SE3_STO"/>
    <x v="9"/>
    <s v="GBPR_WOODWASTE"/>
    <x v="0"/>
    <x v="22"/>
    <n v="335.42386969827902"/>
    <n v="122429.712439872"/>
    <n v="440746.96478353802"/>
  </r>
  <r>
    <x v="0"/>
    <x v="0"/>
    <x v="0"/>
    <x v="9"/>
    <x v="19"/>
    <s v="SE3_STO"/>
    <x v="9"/>
    <s v="GBPR_WOODWASTE"/>
    <x v="0"/>
    <x v="23"/>
    <n v="335.42386969827902"/>
    <n v="122429.712439872"/>
    <n v="440746.96478353802"/>
  </r>
  <r>
    <x v="0"/>
    <x v="0"/>
    <x v="0"/>
    <x v="9"/>
    <x v="19"/>
    <s v="SE3_STO"/>
    <x v="9"/>
    <s v="GBPR_WOODWASTE_BRISTA"/>
    <x v="0"/>
    <x v="0"/>
    <n v="184.97261787542399"/>
    <n v="67515.005524529697"/>
    <n v="243054.019888307"/>
  </r>
  <r>
    <x v="0"/>
    <x v="0"/>
    <x v="0"/>
    <x v="9"/>
    <x v="19"/>
    <s v="SE3_STO"/>
    <x v="9"/>
    <s v="GBPR_WOODWASTE_BRISTA"/>
    <x v="0"/>
    <x v="1"/>
    <n v="184.97261787542399"/>
    <n v="67515.005524529697"/>
    <n v="243054.019888307"/>
  </r>
  <r>
    <x v="0"/>
    <x v="0"/>
    <x v="0"/>
    <x v="9"/>
    <x v="19"/>
    <s v="SE3_STO"/>
    <x v="9"/>
    <s v="GBPR_WOODWASTE_BRISTA"/>
    <x v="0"/>
    <x v="2"/>
    <n v="184.97261787542399"/>
    <n v="67515.005524529697"/>
    <n v="243054.019888307"/>
  </r>
  <r>
    <x v="0"/>
    <x v="0"/>
    <x v="0"/>
    <x v="9"/>
    <x v="19"/>
    <s v="SE3_STO"/>
    <x v="9"/>
    <s v="GBPR_WOODWASTE_BRISTA"/>
    <x v="0"/>
    <x v="3"/>
    <n v="184.97261787542399"/>
    <n v="67515.005524529697"/>
    <n v="243054.019888307"/>
  </r>
  <r>
    <x v="0"/>
    <x v="0"/>
    <x v="0"/>
    <x v="9"/>
    <x v="19"/>
    <s v="SE3_STO"/>
    <x v="9"/>
    <s v="GBPR_WOODWASTE_BRISTA"/>
    <x v="0"/>
    <x v="18"/>
    <n v="184.97261787542399"/>
    <n v="67515.005524529697"/>
    <n v="243054.019888307"/>
  </r>
  <r>
    <x v="0"/>
    <x v="0"/>
    <x v="0"/>
    <x v="9"/>
    <x v="19"/>
    <s v="SE3_STO"/>
    <x v="9"/>
    <s v="GBPR_WOODWASTE_BRISTA"/>
    <x v="0"/>
    <x v="4"/>
    <n v="184.97261787542399"/>
    <n v="67515.005524529697"/>
    <n v="243054.019888307"/>
  </r>
  <r>
    <x v="0"/>
    <x v="0"/>
    <x v="0"/>
    <x v="9"/>
    <x v="19"/>
    <s v="SE3_STO"/>
    <x v="9"/>
    <s v="GBPR_WOODWASTE_BRISTA"/>
    <x v="0"/>
    <x v="5"/>
    <n v="184.97261787542399"/>
    <n v="67515.005524529697"/>
    <n v="243054.019888307"/>
  </r>
  <r>
    <x v="0"/>
    <x v="0"/>
    <x v="0"/>
    <x v="9"/>
    <x v="19"/>
    <s v="SE3_STO"/>
    <x v="9"/>
    <s v="GBPR_WOODWASTE_BRISTA"/>
    <x v="0"/>
    <x v="6"/>
    <n v="184.97261787542399"/>
    <n v="67515.005524529697"/>
    <n v="243054.019888307"/>
  </r>
  <r>
    <x v="0"/>
    <x v="0"/>
    <x v="0"/>
    <x v="9"/>
    <x v="19"/>
    <s v="SE3_STO"/>
    <x v="9"/>
    <s v="GBPR_WOODWASTE_BRISTA"/>
    <x v="0"/>
    <x v="7"/>
    <n v="184.97261787542399"/>
    <n v="67515.005524529697"/>
    <n v="243054.019888307"/>
  </r>
  <r>
    <x v="0"/>
    <x v="0"/>
    <x v="0"/>
    <x v="9"/>
    <x v="19"/>
    <s v="SE3_STO"/>
    <x v="9"/>
    <s v="GBPR_WOODWASTE_BRISTA"/>
    <x v="0"/>
    <x v="8"/>
    <n v="184.97261787542399"/>
    <n v="67515.005524529697"/>
    <n v="243054.019888307"/>
  </r>
  <r>
    <x v="0"/>
    <x v="0"/>
    <x v="0"/>
    <x v="9"/>
    <x v="19"/>
    <s v="SE3_STO"/>
    <x v="9"/>
    <s v="GBPR_WOODWASTE_BRISTA"/>
    <x v="0"/>
    <x v="9"/>
    <n v="184.97261787542399"/>
    <n v="67515.005524529697"/>
    <n v="243054.019888307"/>
  </r>
  <r>
    <x v="0"/>
    <x v="0"/>
    <x v="0"/>
    <x v="9"/>
    <x v="19"/>
    <s v="SE3_STO"/>
    <x v="9"/>
    <s v="GBPR_WOODWASTE_BRISTA"/>
    <x v="0"/>
    <x v="10"/>
    <n v="184.97261787542399"/>
    <n v="67515.005524529697"/>
    <n v="243054.019888307"/>
  </r>
  <r>
    <x v="0"/>
    <x v="0"/>
    <x v="0"/>
    <x v="9"/>
    <x v="19"/>
    <s v="SE3_STO"/>
    <x v="9"/>
    <s v="GBPR_WOODWASTE_BRISTA"/>
    <x v="0"/>
    <x v="11"/>
    <n v="184.97261787542399"/>
    <n v="67515.005524529697"/>
    <n v="243054.019888307"/>
  </r>
  <r>
    <x v="0"/>
    <x v="0"/>
    <x v="0"/>
    <x v="9"/>
    <x v="19"/>
    <s v="SE3_STO"/>
    <x v="9"/>
    <s v="GBPR_WOODWASTE_BRISTA"/>
    <x v="0"/>
    <x v="12"/>
    <n v="184.97261787542399"/>
    <n v="67515.005524529697"/>
    <n v="243054.019888307"/>
  </r>
  <r>
    <x v="0"/>
    <x v="0"/>
    <x v="0"/>
    <x v="9"/>
    <x v="19"/>
    <s v="SE3_STO"/>
    <x v="9"/>
    <s v="GBPR_WOODWASTE_BRISTA"/>
    <x v="0"/>
    <x v="13"/>
    <n v="184.97261787542399"/>
    <n v="67515.005524529697"/>
    <n v="243054.019888307"/>
  </r>
  <r>
    <x v="0"/>
    <x v="0"/>
    <x v="0"/>
    <x v="9"/>
    <x v="19"/>
    <s v="SE3_STO"/>
    <x v="9"/>
    <s v="GBPR_WOODWASTE_BRISTA"/>
    <x v="0"/>
    <x v="14"/>
    <n v="184.97261787542399"/>
    <n v="67515.005524529697"/>
    <n v="243054.019888307"/>
  </r>
  <r>
    <x v="0"/>
    <x v="0"/>
    <x v="0"/>
    <x v="9"/>
    <x v="19"/>
    <s v="SE3_STO"/>
    <x v="9"/>
    <s v="GBPR_WOODWASTE_BRISTA"/>
    <x v="0"/>
    <x v="15"/>
    <n v="184.97261787542399"/>
    <n v="67515.005524529697"/>
    <n v="243054.019888307"/>
  </r>
  <r>
    <x v="0"/>
    <x v="0"/>
    <x v="0"/>
    <x v="9"/>
    <x v="19"/>
    <s v="SE3_STO"/>
    <x v="9"/>
    <s v="GBPR_WOODWASTE_BRISTA"/>
    <x v="0"/>
    <x v="16"/>
    <n v="184.97261787542399"/>
    <n v="67515.005524529697"/>
    <n v="243054.019888307"/>
  </r>
  <r>
    <x v="0"/>
    <x v="0"/>
    <x v="0"/>
    <x v="9"/>
    <x v="19"/>
    <s v="SE3_STO"/>
    <x v="9"/>
    <s v="GBPR_WOODWASTE_BRISTA"/>
    <x v="0"/>
    <x v="17"/>
    <n v="184.97261787542399"/>
    <n v="67515.005524529697"/>
    <n v="243054.019888307"/>
  </r>
  <r>
    <x v="0"/>
    <x v="0"/>
    <x v="0"/>
    <x v="9"/>
    <x v="19"/>
    <s v="SE3_STO"/>
    <x v="9"/>
    <s v="GBPR_WOODWASTE_BRISTA"/>
    <x v="0"/>
    <x v="19"/>
    <n v="184.97261787542399"/>
    <n v="67515.005524529697"/>
    <n v="243054.019888307"/>
  </r>
  <r>
    <x v="0"/>
    <x v="0"/>
    <x v="0"/>
    <x v="9"/>
    <x v="19"/>
    <s v="SE3_STO"/>
    <x v="9"/>
    <s v="GBPR_WOODWASTE_BRISTA"/>
    <x v="0"/>
    <x v="20"/>
    <n v="184.97261787542399"/>
    <n v="67515.005524529697"/>
    <n v="243054.019888307"/>
  </r>
  <r>
    <x v="0"/>
    <x v="0"/>
    <x v="0"/>
    <x v="9"/>
    <x v="19"/>
    <s v="SE3_STO"/>
    <x v="9"/>
    <s v="GBPR_WOODWASTE_BRISTA"/>
    <x v="0"/>
    <x v="21"/>
    <n v="184.97261787542399"/>
    <n v="67515.005524529697"/>
    <n v="243054.019888307"/>
  </r>
  <r>
    <x v="0"/>
    <x v="0"/>
    <x v="0"/>
    <x v="9"/>
    <x v="19"/>
    <s v="SE3_STO"/>
    <x v="9"/>
    <s v="GBPR_WOODWASTE_BRISTA"/>
    <x v="0"/>
    <x v="22"/>
    <n v="184.97261787542399"/>
    <n v="67515.005524529697"/>
    <n v="243054.019888307"/>
  </r>
  <r>
    <x v="0"/>
    <x v="0"/>
    <x v="0"/>
    <x v="9"/>
    <x v="19"/>
    <s v="SE3_STO"/>
    <x v="9"/>
    <s v="GBPR_WOODWASTE_BRISTA"/>
    <x v="0"/>
    <x v="23"/>
    <n v="184.97261787542399"/>
    <n v="67515.005524529697"/>
    <n v="243054.019888307"/>
  </r>
  <r>
    <x v="0"/>
    <x v="0"/>
    <x v="0"/>
    <x v="9"/>
    <x v="20"/>
    <s v="SE4A"/>
    <x v="7"/>
    <s v="GNR_RES_WTR_NOPMP_MC-01"/>
    <x v="0"/>
    <x v="0"/>
    <n v="15.287300663378099"/>
    <n v="5579.8647421330097"/>
    <n v="20087.513071678801"/>
  </r>
  <r>
    <x v="0"/>
    <x v="0"/>
    <x v="0"/>
    <x v="9"/>
    <x v="20"/>
    <s v="SE4A"/>
    <x v="7"/>
    <s v="GNR_RES_WTR_NOPMP_MC-01"/>
    <x v="0"/>
    <x v="1"/>
    <n v="15.287300663378099"/>
    <n v="5579.8647421330097"/>
    <n v="20087.513071678801"/>
  </r>
  <r>
    <x v="0"/>
    <x v="0"/>
    <x v="0"/>
    <x v="9"/>
    <x v="20"/>
    <s v="SE4A"/>
    <x v="7"/>
    <s v="GNR_RES_WTR_NOPMP_MC-01"/>
    <x v="0"/>
    <x v="2"/>
    <n v="15.287300663378099"/>
    <n v="5579.8647421330097"/>
    <n v="20087.513071678801"/>
  </r>
  <r>
    <x v="0"/>
    <x v="0"/>
    <x v="0"/>
    <x v="9"/>
    <x v="20"/>
    <s v="SE4A"/>
    <x v="7"/>
    <s v="GNR_RES_WTR_NOPMP_MC-01"/>
    <x v="0"/>
    <x v="3"/>
    <n v="15.287300663378099"/>
    <n v="5579.8647421330097"/>
    <n v="20087.513071678801"/>
  </r>
  <r>
    <x v="0"/>
    <x v="0"/>
    <x v="0"/>
    <x v="9"/>
    <x v="20"/>
    <s v="SE4A"/>
    <x v="7"/>
    <s v="GNR_RES_WTR_NOPMP_MC-01"/>
    <x v="0"/>
    <x v="18"/>
    <n v="15.287300663378099"/>
    <n v="5579.8647421330097"/>
    <n v="20087.513071678801"/>
  </r>
  <r>
    <x v="0"/>
    <x v="0"/>
    <x v="0"/>
    <x v="9"/>
    <x v="20"/>
    <s v="SE4A"/>
    <x v="7"/>
    <s v="GNR_RES_WTR_NOPMP_MC-01"/>
    <x v="0"/>
    <x v="4"/>
    <n v="15.287300663378099"/>
    <n v="5579.8647421330097"/>
    <n v="20087.513071678801"/>
  </r>
  <r>
    <x v="0"/>
    <x v="0"/>
    <x v="0"/>
    <x v="9"/>
    <x v="20"/>
    <s v="SE4A"/>
    <x v="7"/>
    <s v="GNR_RES_WTR_NOPMP_MC-01"/>
    <x v="0"/>
    <x v="5"/>
    <n v="15.287300663378099"/>
    <n v="5579.8647421330097"/>
    <n v="20087.513071678801"/>
  </r>
  <r>
    <x v="0"/>
    <x v="0"/>
    <x v="0"/>
    <x v="9"/>
    <x v="20"/>
    <s v="SE4A"/>
    <x v="7"/>
    <s v="GNR_RES_WTR_NOPMP_MC-01"/>
    <x v="0"/>
    <x v="6"/>
    <n v="15.287300663378099"/>
    <n v="5579.8647421330097"/>
    <n v="20087.513071678801"/>
  </r>
  <r>
    <x v="0"/>
    <x v="0"/>
    <x v="0"/>
    <x v="9"/>
    <x v="20"/>
    <s v="SE4A"/>
    <x v="7"/>
    <s v="GNR_RES_WTR_NOPMP_MC-01"/>
    <x v="0"/>
    <x v="7"/>
    <n v="15.287300663378099"/>
    <n v="5579.8647421330097"/>
    <n v="20087.513071678801"/>
  </r>
  <r>
    <x v="0"/>
    <x v="0"/>
    <x v="0"/>
    <x v="9"/>
    <x v="20"/>
    <s v="SE4A"/>
    <x v="7"/>
    <s v="GNR_RES_WTR_NOPMP_MC-01"/>
    <x v="0"/>
    <x v="8"/>
    <n v="15.287300663378099"/>
    <n v="5579.8647421330097"/>
    <n v="20087.513071678801"/>
  </r>
  <r>
    <x v="0"/>
    <x v="0"/>
    <x v="0"/>
    <x v="9"/>
    <x v="20"/>
    <s v="SE4A"/>
    <x v="7"/>
    <s v="GNR_RES_WTR_NOPMP_MC-01"/>
    <x v="0"/>
    <x v="9"/>
    <n v="15.287300663378099"/>
    <n v="5579.8647421330097"/>
    <n v="20087.513071678801"/>
  </r>
  <r>
    <x v="0"/>
    <x v="0"/>
    <x v="0"/>
    <x v="9"/>
    <x v="20"/>
    <s v="SE4A"/>
    <x v="7"/>
    <s v="GNR_RES_WTR_NOPMP_MC-01"/>
    <x v="0"/>
    <x v="10"/>
    <n v="15.287300663378099"/>
    <n v="5579.8647421330097"/>
    <n v="20087.513071678801"/>
  </r>
  <r>
    <x v="0"/>
    <x v="0"/>
    <x v="0"/>
    <x v="9"/>
    <x v="20"/>
    <s v="SE4A"/>
    <x v="7"/>
    <s v="GNR_RES_WTR_NOPMP_MC-01"/>
    <x v="0"/>
    <x v="11"/>
    <n v="15.287300663378099"/>
    <n v="5579.8647421330097"/>
    <n v="20087.513071678801"/>
  </r>
  <r>
    <x v="0"/>
    <x v="0"/>
    <x v="0"/>
    <x v="9"/>
    <x v="20"/>
    <s v="SE4A"/>
    <x v="7"/>
    <s v="GNR_RES_WTR_NOPMP_MC-01"/>
    <x v="0"/>
    <x v="12"/>
    <n v="15.287300663378099"/>
    <n v="5579.8647421330097"/>
    <n v="20087.513071678801"/>
  </r>
  <r>
    <x v="0"/>
    <x v="0"/>
    <x v="0"/>
    <x v="9"/>
    <x v="20"/>
    <s v="SE4A"/>
    <x v="7"/>
    <s v="GNR_RES_WTR_NOPMP_MC-01"/>
    <x v="0"/>
    <x v="13"/>
    <n v="15.287300663378099"/>
    <n v="5579.8647421330097"/>
    <n v="20087.513071678801"/>
  </r>
  <r>
    <x v="0"/>
    <x v="0"/>
    <x v="0"/>
    <x v="9"/>
    <x v="20"/>
    <s v="SE4A"/>
    <x v="7"/>
    <s v="GNR_RES_WTR_NOPMP_MC-01"/>
    <x v="0"/>
    <x v="14"/>
    <n v="15.287300663378099"/>
    <n v="5579.8647421330097"/>
    <n v="20087.513071678801"/>
  </r>
  <r>
    <x v="0"/>
    <x v="0"/>
    <x v="0"/>
    <x v="9"/>
    <x v="20"/>
    <s v="SE4A"/>
    <x v="7"/>
    <s v="GNR_RES_WTR_NOPMP_MC-01"/>
    <x v="0"/>
    <x v="15"/>
    <n v="15.287300663378099"/>
    <n v="5579.8647421330097"/>
    <n v="20087.513071678801"/>
  </r>
  <r>
    <x v="0"/>
    <x v="0"/>
    <x v="0"/>
    <x v="9"/>
    <x v="20"/>
    <s v="SE4A"/>
    <x v="7"/>
    <s v="GNR_RES_WTR_NOPMP_MC-01"/>
    <x v="0"/>
    <x v="16"/>
    <n v="15.287300663378099"/>
    <n v="5579.8647421330097"/>
    <n v="20087.513071678801"/>
  </r>
  <r>
    <x v="0"/>
    <x v="0"/>
    <x v="0"/>
    <x v="9"/>
    <x v="20"/>
    <s v="SE4A"/>
    <x v="7"/>
    <s v="GNR_RES_WTR_NOPMP_MC-01"/>
    <x v="0"/>
    <x v="17"/>
    <n v="15.287300663378099"/>
    <n v="5579.8647421330097"/>
    <n v="20087.513071678801"/>
  </r>
  <r>
    <x v="0"/>
    <x v="0"/>
    <x v="0"/>
    <x v="9"/>
    <x v="20"/>
    <s v="SE4A"/>
    <x v="7"/>
    <s v="GNR_RES_WTR_NOPMP_MC-01"/>
    <x v="0"/>
    <x v="19"/>
    <n v="15.287300663378099"/>
    <n v="5579.8647421330097"/>
    <n v="20087.513071678801"/>
  </r>
  <r>
    <x v="0"/>
    <x v="0"/>
    <x v="0"/>
    <x v="9"/>
    <x v="20"/>
    <s v="SE4A"/>
    <x v="7"/>
    <s v="GNR_RES_WTR_NOPMP_MC-01"/>
    <x v="0"/>
    <x v="20"/>
    <n v="15.287300663378099"/>
    <n v="5579.8647421330097"/>
    <n v="20087.513071678801"/>
  </r>
  <r>
    <x v="0"/>
    <x v="0"/>
    <x v="0"/>
    <x v="9"/>
    <x v="20"/>
    <s v="SE4A"/>
    <x v="7"/>
    <s v="GNR_RES_WTR_NOPMP_MC-01"/>
    <x v="0"/>
    <x v="21"/>
    <n v="15.287300663378099"/>
    <n v="5579.8647421330097"/>
    <n v="20087.513071678801"/>
  </r>
  <r>
    <x v="0"/>
    <x v="0"/>
    <x v="0"/>
    <x v="9"/>
    <x v="20"/>
    <s v="SE4A"/>
    <x v="7"/>
    <s v="GNR_RES_WTR_NOPMP_MC-01"/>
    <x v="0"/>
    <x v="22"/>
    <n v="15.287300663378099"/>
    <n v="5579.8647421330097"/>
    <n v="20087.513071678801"/>
  </r>
  <r>
    <x v="0"/>
    <x v="0"/>
    <x v="0"/>
    <x v="9"/>
    <x v="20"/>
    <s v="SE4A"/>
    <x v="7"/>
    <s v="GNR_RES_WTR_NOPMP_MC-01"/>
    <x v="0"/>
    <x v="23"/>
    <n v="15.287300663378099"/>
    <n v="5579.8647421330097"/>
    <n v="20087.513071678801"/>
  </r>
  <r>
    <x v="0"/>
    <x v="0"/>
    <x v="0"/>
    <x v="9"/>
    <x v="20"/>
    <s v="SE4A"/>
    <x v="7"/>
    <s v="GNR_RES_WTR_NOPMP_MC-02"/>
    <x v="0"/>
    <x v="0"/>
    <n v="15.287300663378099"/>
    <n v="5579.8647421330097"/>
    <n v="20087.513071678801"/>
  </r>
  <r>
    <x v="0"/>
    <x v="0"/>
    <x v="0"/>
    <x v="9"/>
    <x v="20"/>
    <s v="SE4A"/>
    <x v="7"/>
    <s v="GNR_RES_WTR_NOPMP_MC-02"/>
    <x v="0"/>
    <x v="1"/>
    <n v="15.287300663378099"/>
    <n v="5579.8647421330097"/>
    <n v="20087.513071678801"/>
  </r>
  <r>
    <x v="0"/>
    <x v="0"/>
    <x v="0"/>
    <x v="9"/>
    <x v="20"/>
    <s v="SE4A"/>
    <x v="7"/>
    <s v="GNR_RES_WTR_NOPMP_MC-02"/>
    <x v="0"/>
    <x v="2"/>
    <n v="15.287300663378099"/>
    <n v="5579.8647421330097"/>
    <n v="20087.513071678801"/>
  </r>
  <r>
    <x v="0"/>
    <x v="0"/>
    <x v="0"/>
    <x v="9"/>
    <x v="20"/>
    <s v="SE4A"/>
    <x v="7"/>
    <s v="GNR_RES_WTR_NOPMP_MC-02"/>
    <x v="0"/>
    <x v="3"/>
    <n v="15.287300663378099"/>
    <n v="5579.8647421330097"/>
    <n v="20087.513071678801"/>
  </r>
  <r>
    <x v="0"/>
    <x v="0"/>
    <x v="0"/>
    <x v="9"/>
    <x v="20"/>
    <s v="SE4A"/>
    <x v="7"/>
    <s v="GNR_RES_WTR_NOPMP_MC-02"/>
    <x v="0"/>
    <x v="18"/>
    <n v="15.287300663378099"/>
    <n v="5579.8647421330097"/>
    <n v="20087.513071678801"/>
  </r>
  <r>
    <x v="0"/>
    <x v="0"/>
    <x v="0"/>
    <x v="9"/>
    <x v="20"/>
    <s v="SE4A"/>
    <x v="7"/>
    <s v="GNR_RES_WTR_NOPMP_MC-02"/>
    <x v="0"/>
    <x v="4"/>
    <n v="15.287300663378099"/>
    <n v="5579.8647421330097"/>
    <n v="20087.513071678801"/>
  </r>
  <r>
    <x v="0"/>
    <x v="0"/>
    <x v="0"/>
    <x v="9"/>
    <x v="20"/>
    <s v="SE4A"/>
    <x v="7"/>
    <s v="GNR_RES_WTR_NOPMP_MC-02"/>
    <x v="0"/>
    <x v="5"/>
    <n v="15.287300663378099"/>
    <n v="5579.8647421330097"/>
    <n v="20087.513071678801"/>
  </r>
  <r>
    <x v="0"/>
    <x v="0"/>
    <x v="0"/>
    <x v="9"/>
    <x v="20"/>
    <s v="SE4A"/>
    <x v="7"/>
    <s v="GNR_RES_WTR_NOPMP_MC-02"/>
    <x v="0"/>
    <x v="6"/>
    <n v="15.287300663378099"/>
    <n v="5579.8647421330097"/>
    <n v="20087.513071678801"/>
  </r>
  <r>
    <x v="0"/>
    <x v="0"/>
    <x v="0"/>
    <x v="9"/>
    <x v="20"/>
    <s v="SE4A"/>
    <x v="7"/>
    <s v="GNR_RES_WTR_NOPMP_MC-02"/>
    <x v="0"/>
    <x v="7"/>
    <n v="15.287300663378099"/>
    <n v="5579.8647421330097"/>
    <n v="20087.513071678801"/>
  </r>
  <r>
    <x v="0"/>
    <x v="0"/>
    <x v="0"/>
    <x v="9"/>
    <x v="20"/>
    <s v="SE4A"/>
    <x v="7"/>
    <s v="GNR_RES_WTR_NOPMP_MC-02"/>
    <x v="0"/>
    <x v="8"/>
    <n v="15.287300663378099"/>
    <n v="5579.8647421330097"/>
    <n v="20087.513071678801"/>
  </r>
  <r>
    <x v="0"/>
    <x v="0"/>
    <x v="0"/>
    <x v="9"/>
    <x v="20"/>
    <s v="SE4A"/>
    <x v="7"/>
    <s v="GNR_RES_WTR_NOPMP_MC-02"/>
    <x v="0"/>
    <x v="9"/>
    <n v="15.287300663378099"/>
    <n v="5579.8647421330097"/>
    <n v="20087.513071678801"/>
  </r>
  <r>
    <x v="0"/>
    <x v="0"/>
    <x v="0"/>
    <x v="9"/>
    <x v="20"/>
    <s v="SE4A"/>
    <x v="7"/>
    <s v="GNR_RES_WTR_NOPMP_MC-02"/>
    <x v="0"/>
    <x v="10"/>
    <n v="15.287300663378099"/>
    <n v="5579.8647421330097"/>
    <n v="20087.513071678801"/>
  </r>
  <r>
    <x v="0"/>
    <x v="0"/>
    <x v="0"/>
    <x v="9"/>
    <x v="20"/>
    <s v="SE4A"/>
    <x v="7"/>
    <s v="GNR_RES_WTR_NOPMP_MC-02"/>
    <x v="0"/>
    <x v="11"/>
    <n v="15.287300663378099"/>
    <n v="5579.8647421330097"/>
    <n v="20087.513071678801"/>
  </r>
  <r>
    <x v="0"/>
    <x v="0"/>
    <x v="0"/>
    <x v="9"/>
    <x v="20"/>
    <s v="SE4A"/>
    <x v="7"/>
    <s v="GNR_RES_WTR_NOPMP_MC-02"/>
    <x v="0"/>
    <x v="12"/>
    <n v="15.287300663378099"/>
    <n v="5579.8647421330097"/>
    <n v="20087.513071678801"/>
  </r>
  <r>
    <x v="0"/>
    <x v="0"/>
    <x v="0"/>
    <x v="9"/>
    <x v="20"/>
    <s v="SE4A"/>
    <x v="7"/>
    <s v="GNR_RES_WTR_NOPMP_MC-02"/>
    <x v="0"/>
    <x v="13"/>
    <n v="15.287300663378099"/>
    <n v="5579.8647421330097"/>
    <n v="20087.513071678801"/>
  </r>
  <r>
    <x v="0"/>
    <x v="0"/>
    <x v="0"/>
    <x v="9"/>
    <x v="20"/>
    <s v="SE4A"/>
    <x v="7"/>
    <s v="GNR_RES_WTR_NOPMP_MC-02"/>
    <x v="0"/>
    <x v="14"/>
    <n v="15.287300663378099"/>
    <n v="5579.8647421330097"/>
    <n v="20087.513071678801"/>
  </r>
  <r>
    <x v="0"/>
    <x v="0"/>
    <x v="0"/>
    <x v="9"/>
    <x v="20"/>
    <s v="SE4A"/>
    <x v="7"/>
    <s v="GNR_RES_WTR_NOPMP_MC-02"/>
    <x v="0"/>
    <x v="15"/>
    <n v="15.287300663378099"/>
    <n v="5579.8647421330097"/>
    <n v="20087.513071678801"/>
  </r>
  <r>
    <x v="0"/>
    <x v="0"/>
    <x v="0"/>
    <x v="9"/>
    <x v="20"/>
    <s v="SE4A"/>
    <x v="7"/>
    <s v="GNR_RES_WTR_NOPMP_MC-02"/>
    <x v="0"/>
    <x v="16"/>
    <n v="15.287300663378099"/>
    <n v="5579.8647421330097"/>
    <n v="20087.513071678801"/>
  </r>
  <r>
    <x v="0"/>
    <x v="0"/>
    <x v="0"/>
    <x v="9"/>
    <x v="20"/>
    <s v="SE4A"/>
    <x v="7"/>
    <s v="GNR_RES_WTR_NOPMP_MC-02"/>
    <x v="0"/>
    <x v="17"/>
    <n v="15.287300663378099"/>
    <n v="5579.8647421330097"/>
    <n v="20087.513071678801"/>
  </r>
  <r>
    <x v="0"/>
    <x v="0"/>
    <x v="0"/>
    <x v="9"/>
    <x v="20"/>
    <s v="SE4A"/>
    <x v="7"/>
    <s v="GNR_RES_WTR_NOPMP_MC-02"/>
    <x v="0"/>
    <x v="19"/>
    <n v="15.287300663378099"/>
    <n v="5579.8647421330097"/>
    <n v="20087.513071678801"/>
  </r>
  <r>
    <x v="0"/>
    <x v="0"/>
    <x v="0"/>
    <x v="9"/>
    <x v="20"/>
    <s v="SE4A"/>
    <x v="7"/>
    <s v="GNR_RES_WTR_NOPMP_MC-02"/>
    <x v="0"/>
    <x v="20"/>
    <n v="15.287300663378099"/>
    <n v="5579.8647421330097"/>
    <n v="20087.513071678801"/>
  </r>
  <r>
    <x v="0"/>
    <x v="0"/>
    <x v="0"/>
    <x v="9"/>
    <x v="20"/>
    <s v="SE4A"/>
    <x v="7"/>
    <s v="GNR_RES_WTR_NOPMP_MC-02"/>
    <x v="0"/>
    <x v="21"/>
    <n v="15.287300663378099"/>
    <n v="5579.8647421330097"/>
    <n v="20087.513071678801"/>
  </r>
  <r>
    <x v="0"/>
    <x v="0"/>
    <x v="0"/>
    <x v="9"/>
    <x v="20"/>
    <s v="SE4A"/>
    <x v="7"/>
    <s v="GNR_RES_WTR_NOPMP_MC-02"/>
    <x v="0"/>
    <x v="22"/>
    <n v="15.287300663378099"/>
    <n v="5579.8647421330097"/>
    <n v="20087.513071678801"/>
  </r>
  <r>
    <x v="0"/>
    <x v="0"/>
    <x v="0"/>
    <x v="9"/>
    <x v="20"/>
    <s v="SE4A"/>
    <x v="7"/>
    <s v="GNR_RES_WTR_NOPMP_MC-02"/>
    <x v="0"/>
    <x v="23"/>
    <n v="15.287300663378099"/>
    <n v="5579.8647421330097"/>
    <n v="20087.513071678801"/>
  </r>
  <r>
    <x v="0"/>
    <x v="0"/>
    <x v="0"/>
    <x v="9"/>
    <x v="20"/>
    <s v="SE4A"/>
    <x v="7"/>
    <s v="GNR_RES_WTR_NOPMP_MC-03"/>
    <x v="0"/>
    <x v="0"/>
    <n v="15.287300663378099"/>
    <n v="5579.8647421330097"/>
    <n v="20087.513071678801"/>
  </r>
  <r>
    <x v="0"/>
    <x v="0"/>
    <x v="0"/>
    <x v="9"/>
    <x v="20"/>
    <s v="SE4A"/>
    <x v="7"/>
    <s v="GNR_RES_WTR_NOPMP_MC-03"/>
    <x v="0"/>
    <x v="1"/>
    <n v="15.287300663378099"/>
    <n v="5579.8647421330097"/>
    <n v="20087.513071678801"/>
  </r>
  <r>
    <x v="0"/>
    <x v="0"/>
    <x v="0"/>
    <x v="9"/>
    <x v="20"/>
    <s v="SE4A"/>
    <x v="7"/>
    <s v="GNR_RES_WTR_NOPMP_MC-03"/>
    <x v="0"/>
    <x v="2"/>
    <n v="15.287300663378099"/>
    <n v="5579.8647421330097"/>
    <n v="20087.513071678801"/>
  </r>
  <r>
    <x v="0"/>
    <x v="0"/>
    <x v="0"/>
    <x v="9"/>
    <x v="20"/>
    <s v="SE4A"/>
    <x v="7"/>
    <s v="GNR_RES_WTR_NOPMP_MC-03"/>
    <x v="0"/>
    <x v="3"/>
    <n v="15.287300663378099"/>
    <n v="5579.8647421330097"/>
    <n v="20087.513071678801"/>
  </r>
  <r>
    <x v="0"/>
    <x v="0"/>
    <x v="0"/>
    <x v="9"/>
    <x v="20"/>
    <s v="SE4A"/>
    <x v="7"/>
    <s v="GNR_RES_WTR_NOPMP_MC-03"/>
    <x v="0"/>
    <x v="18"/>
    <n v="15.287300663378099"/>
    <n v="5579.8647421330097"/>
    <n v="20087.513071678801"/>
  </r>
  <r>
    <x v="0"/>
    <x v="0"/>
    <x v="0"/>
    <x v="9"/>
    <x v="20"/>
    <s v="SE4A"/>
    <x v="7"/>
    <s v="GNR_RES_WTR_NOPMP_MC-03"/>
    <x v="0"/>
    <x v="4"/>
    <n v="15.287300663378099"/>
    <n v="5579.8647421330097"/>
    <n v="20087.513071678801"/>
  </r>
  <r>
    <x v="0"/>
    <x v="0"/>
    <x v="0"/>
    <x v="9"/>
    <x v="20"/>
    <s v="SE4A"/>
    <x v="7"/>
    <s v="GNR_RES_WTR_NOPMP_MC-03"/>
    <x v="0"/>
    <x v="5"/>
    <n v="15.287300663378099"/>
    <n v="5579.8647421330097"/>
    <n v="20087.513071678801"/>
  </r>
  <r>
    <x v="0"/>
    <x v="0"/>
    <x v="0"/>
    <x v="9"/>
    <x v="20"/>
    <s v="SE4A"/>
    <x v="7"/>
    <s v="GNR_RES_WTR_NOPMP_MC-03"/>
    <x v="0"/>
    <x v="6"/>
    <n v="15.287300663378099"/>
    <n v="5579.8647421330097"/>
    <n v="20087.513071678801"/>
  </r>
  <r>
    <x v="0"/>
    <x v="0"/>
    <x v="0"/>
    <x v="9"/>
    <x v="20"/>
    <s v="SE4A"/>
    <x v="7"/>
    <s v="GNR_RES_WTR_NOPMP_MC-03"/>
    <x v="0"/>
    <x v="7"/>
    <n v="15.287300663378099"/>
    <n v="5579.8647421330097"/>
    <n v="20087.513071678801"/>
  </r>
  <r>
    <x v="0"/>
    <x v="0"/>
    <x v="0"/>
    <x v="9"/>
    <x v="20"/>
    <s v="SE4A"/>
    <x v="7"/>
    <s v="GNR_RES_WTR_NOPMP_MC-03"/>
    <x v="0"/>
    <x v="8"/>
    <n v="15.287300663378099"/>
    <n v="5579.8647421330097"/>
    <n v="20087.513071678801"/>
  </r>
  <r>
    <x v="0"/>
    <x v="0"/>
    <x v="0"/>
    <x v="9"/>
    <x v="20"/>
    <s v="SE4A"/>
    <x v="7"/>
    <s v="GNR_RES_WTR_NOPMP_MC-03"/>
    <x v="0"/>
    <x v="9"/>
    <n v="15.287300663378099"/>
    <n v="5579.8647421330097"/>
    <n v="20087.513071678801"/>
  </r>
  <r>
    <x v="0"/>
    <x v="0"/>
    <x v="0"/>
    <x v="9"/>
    <x v="20"/>
    <s v="SE4A"/>
    <x v="7"/>
    <s v="GNR_RES_WTR_NOPMP_MC-03"/>
    <x v="0"/>
    <x v="10"/>
    <n v="15.287300663378099"/>
    <n v="5579.8647421330097"/>
    <n v="20087.513071678801"/>
  </r>
  <r>
    <x v="0"/>
    <x v="0"/>
    <x v="0"/>
    <x v="9"/>
    <x v="20"/>
    <s v="SE4A"/>
    <x v="7"/>
    <s v="GNR_RES_WTR_NOPMP_MC-03"/>
    <x v="0"/>
    <x v="11"/>
    <n v="15.287300663378099"/>
    <n v="5579.8647421330097"/>
    <n v="20087.513071678801"/>
  </r>
  <r>
    <x v="0"/>
    <x v="0"/>
    <x v="0"/>
    <x v="9"/>
    <x v="20"/>
    <s v="SE4A"/>
    <x v="7"/>
    <s v="GNR_RES_WTR_NOPMP_MC-03"/>
    <x v="0"/>
    <x v="12"/>
    <n v="15.287300663378099"/>
    <n v="5579.8647421330097"/>
    <n v="20087.513071678801"/>
  </r>
  <r>
    <x v="0"/>
    <x v="0"/>
    <x v="0"/>
    <x v="9"/>
    <x v="20"/>
    <s v="SE4A"/>
    <x v="7"/>
    <s v="GNR_RES_WTR_NOPMP_MC-03"/>
    <x v="0"/>
    <x v="13"/>
    <n v="15.287300663378099"/>
    <n v="5579.8647421330097"/>
    <n v="20087.513071678801"/>
  </r>
  <r>
    <x v="0"/>
    <x v="0"/>
    <x v="0"/>
    <x v="9"/>
    <x v="20"/>
    <s v="SE4A"/>
    <x v="7"/>
    <s v="GNR_RES_WTR_NOPMP_MC-03"/>
    <x v="0"/>
    <x v="14"/>
    <n v="15.287300663378099"/>
    <n v="5579.8647421330097"/>
    <n v="20087.513071678801"/>
  </r>
  <r>
    <x v="0"/>
    <x v="0"/>
    <x v="0"/>
    <x v="9"/>
    <x v="20"/>
    <s v="SE4A"/>
    <x v="7"/>
    <s v="GNR_RES_WTR_NOPMP_MC-03"/>
    <x v="0"/>
    <x v="15"/>
    <n v="15.287300663378099"/>
    <n v="5579.8647421330097"/>
    <n v="20087.513071678801"/>
  </r>
  <r>
    <x v="0"/>
    <x v="0"/>
    <x v="0"/>
    <x v="9"/>
    <x v="20"/>
    <s v="SE4A"/>
    <x v="7"/>
    <s v="GNR_RES_WTR_NOPMP_MC-03"/>
    <x v="0"/>
    <x v="16"/>
    <n v="15.287300663378099"/>
    <n v="5579.8647421330097"/>
    <n v="20087.513071678801"/>
  </r>
  <r>
    <x v="0"/>
    <x v="0"/>
    <x v="0"/>
    <x v="9"/>
    <x v="20"/>
    <s v="SE4A"/>
    <x v="7"/>
    <s v="GNR_RES_WTR_NOPMP_MC-03"/>
    <x v="0"/>
    <x v="17"/>
    <n v="15.287300663378099"/>
    <n v="5579.8647421330097"/>
    <n v="20087.513071678801"/>
  </r>
  <r>
    <x v="0"/>
    <x v="0"/>
    <x v="0"/>
    <x v="9"/>
    <x v="20"/>
    <s v="SE4A"/>
    <x v="7"/>
    <s v="GNR_RES_WTR_NOPMP_MC-03"/>
    <x v="0"/>
    <x v="19"/>
    <n v="15.287300663378099"/>
    <n v="5579.8647421330097"/>
    <n v="20087.513071678801"/>
  </r>
  <r>
    <x v="0"/>
    <x v="0"/>
    <x v="0"/>
    <x v="9"/>
    <x v="20"/>
    <s v="SE4A"/>
    <x v="7"/>
    <s v="GNR_RES_WTR_NOPMP_MC-03"/>
    <x v="0"/>
    <x v="20"/>
    <n v="15.287300663378099"/>
    <n v="5579.8647421330097"/>
    <n v="20087.513071678801"/>
  </r>
  <r>
    <x v="0"/>
    <x v="0"/>
    <x v="0"/>
    <x v="9"/>
    <x v="20"/>
    <s v="SE4A"/>
    <x v="7"/>
    <s v="GNR_RES_WTR_NOPMP_MC-03"/>
    <x v="0"/>
    <x v="21"/>
    <n v="15.287300663378099"/>
    <n v="5579.8647421330097"/>
    <n v="20087.513071678801"/>
  </r>
  <r>
    <x v="0"/>
    <x v="0"/>
    <x v="0"/>
    <x v="9"/>
    <x v="20"/>
    <s v="SE4A"/>
    <x v="7"/>
    <s v="GNR_RES_WTR_NOPMP_MC-03"/>
    <x v="0"/>
    <x v="22"/>
    <n v="4.3977166291945604"/>
    <n v="1605.1665696560201"/>
    <n v="5778.5996507616601"/>
  </r>
  <r>
    <x v="0"/>
    <x v="0"/>
    <x v="0"/>
    <x v="9"/>
    <x v="20"/>
    <s v="SE4A"/>
    <x v="7"/>
    <s v="GNR_RES_WTR_NOPMP_MC-04"/>
    <x v="0"/>
    <x v="18"/>
    <n v="15.287300663378099"/>
    <n v="5579.8647421330097"/>
    <n v="20087.513071678801"/>
  </r>
  <r>
    <x v="0"/>
    <x v="0"/>
    <x v="0"/>
    <x v="9"/>
    <x v="20"/>
    <s v="SE4A"/>
    <x v="7"/>
    <s v="GNR_RES_WTR_NOPMP_MC-04"/>
    <x v="0"/>
    <x v="4"/>
    <n v="15.287300663378099"/>
    <n v="5579.8647421330097"/>
    <n v="20087.513071678801"/>
  </r>
  <r>
    <x v="0"/>
    <x v="0"/>
    <x v="0"/>
    <x v="9"/>
    <x v="20"/>
    <s v="SE4A"/>
    <x v="7"/>
    <s v="GNR_RES_WTR_NOPMP_MC-04"/>
    <x v="0"/>
    <x v="5"/>
    <n v="15.287300663378099"/>
    <n v="5579.8647421330097"/>
    <n v="20087.513071678801"/>
  </r>
  <r>
    <x v="0"/>
    <x v="0"/>
    <x v="0"/>
    <x v="9"/>
    <x v="20"/>
    <s v="SE4A"/>
    <x v="7"/>
    <s v="GNR_RES_WTR_NOPMP_MC-04"/>
    <x v="0"/>
    <x v="6"/>
    <n v="15.287300663378099"/>
    <n v="5579.8647421330097"/>
    <n v="20087.513071678801"/>
  </r>
  <r>
    <x v="0"/>
    <x v="0"/>
    <x v="0"/>
    <x v="9"/>
    <x v="20"/>
    <s v="SE4A"/>
    <x v="7"/>
    <s v="GNR_RES_WTR_NOPMP_MC-04"/>
    <x v="0"/>
    <x v="7"/>
    <n v="15.287300663378099"/>
    <n v="5579.8647421330097"/>
    <n v="20087.513071678801"/>
  </r>
  <r>
    <x v="0"/>
    <x v="0"/>
    <x v="0"/>
    <x v="9"/>
    <x v="20"/>
    <s v="SE4A"/>
    <x v="7"/>
    <s v="GNR_RES_WTR_NOPMP_MC-04"/>
    <x v="0"/>
    <x v="8"/>
    <n v="15.287300663378099"/>
    <n v="5579.8647421330097"/>
    <n v="20087.513071678801"/>
  </r>
  <r>
    <x v="0"/>
    <x v="0"/>
    <x v="0"/>
    <x v="9"/>
    <x v="20"/>
    <s v="SE4A"/>
    <x v="7"/>
    <s v="GNR_RES_WTR_NOPMP_MC-04"/>
    <x v="0"/>
    <x v="9"/>
    <n v="15.287300663378099"/>
    <n v="5579.8647421330097"/>
    <n v="20087.513071678801"/>
  </r>
  <r>
    <x v="0"/>
    <x v="0"/>
    <x v="0"/>
    <x v="9"/>
    <x v="20"/>
    <s v="SE4A"/>
    <x v="7"/>
    <s v="GNR_RES_WTR_NOPMP_MC-04"/>
    <x v="0"/>
    <x v="10"/>
    <n v="15.287300663378099"/>
    <n v="5579.8647421330097"/>
    <n v="20087.513071678801"/>
  </r>
  <r>
    <x v="0"/>
    <x v="0"/>
    <x v="0"/>
    <x v="9"/>
    <x v="20"/>
    <s v="SE4A"/>
    <x v="7"/>
    <s v="GNR_RES_WTR_NOPMP_MC-04"/>
    <x v="0"/>
    <x v="11"/>
    <n v="15.287300663378099"/>
    <n v="5579.8647421330097"/>
    <n v="20087.513071678801"/>
  </r>
  <r>
    <x v="0"/>
    <x v="0"/>
    <x v="0"/>
    <x v="9"/>
    <x v="20"/>
    <s v="SE4A"/>
    <x v="7"/>
    <s v="GNR_RES_WTR_NOPMP_MC-04"/>
    <x v="0"/>
    <x v="12"/>
    <n v="15.287300663378099"/>
    <n v="5579.8647421330097"/>
    <n v="20087.513071678801"/>
  </r>
  <r>
    <x v="0"/>
    <x v="0"/>
    <x v="0"/>
    <x v="9"/>
    <x v="20"/>
    <s v="SE4A"/>
    <x v="7"/>
    <s v="GNR_RES_WTR_NOPMP_MC-04"/>
    <x v="0"/>
    <x v="13"/>
    <n v="15.287300663378099"/>
    <n v="5579.8647421330097"/>
    <n v="20087.513071678801"/>
  </r>
  <r>
    <x v="0"/>
    <x v="0"/>
    <x v="0"/>
    <x v="9"/>
    <x v="20"/>
    <s v="SE4A"/>
    <x v="7"/>
    <s v="GNR_RES_WTR_NOPMP_MC-04"/>
    <x v="0"/>
    <x v="14"/>
    <n v="15.287300663378099"/>
    <n v="5579.8647421330097"/>
    <n v="20087.513071678801"/>
  </r>
  <r>
    <x v="0"/>
    <x v="0"/>
    <x v="0"/>
    <x v="9"/>
    <x v="20"/>
    <s v="SE4A"/>
    <x v="7"/>
    <s v="GNR_RES_WTR_NOPMP_MC-04"/>
    <x v="0"/>
    <x v="15"/>
    <n v="15.287300663378099"/>
    <n v="5579.8647421330097"/>
    <n v="20087.513071678801"/>
  </r>
  <r>
    <x v="0"/>
    <x v="0"/>
    <x v="0"/>
    <x v="9"/>
    <x v="20"/>
    <s v="SE4A"/>
    <x v="7"/>
    <s v="GNR_RES_WTR_NOPMP_MC-04"/>
    <x v="0"/>
    <x v="16"/>
    <n v="15.287300663378099"/>
    <n v="5579.8647421330097"/>
    <n v="20087.513071678801"/>
  </r>
  <r>
    <x v="0"/>
    <x v="0"/>
    <x v="0"/>
    <x v="9"/>
    <x v="20"/>
    <s v="SE4A"/>
    <x v="7"/>
    <s v="GNR_RES_WTR_NOPMP_MC-04"/>
    <x v="0"/>
    <x v="17"/>
    <n v="15.287300663378099"/>
    <n v="5579.8647421330097"/>
    <n v="20087.513071678801"/>
  </r>
  <r>
    <x v="0"/>
    <x v="0"/>
    <x v="0"/>
    <x v="9"/>
    <x v="20"/>
    <s v="SE4A"/>
    <x v="7"/>
    <s v="GNR_RES_WTR_NOPMP_MC-04"/>
    <x v="0"/>
    <x v="19"/>
    <n v="15.287300663378099"/>
    <n v="5579.8647421330097"/>
    <n v="20087.513071678801"/>
  </r>
  <r>
    <x v="0"/>
    <x v="0"/>
    <x v="0"/>
    <x v="9"/>
    <x v="20"/>
    <s v="SE4A"/>
    <x v="7"/>
    <s v="GNR_RES_WTR_NOPMP_MC-04"/>
    <x v="0"/>
    <x v="20"/>
    <n v="15.287300663378099"/>
    <n v="5579.8647421330097"/>
    <n v="20087.513071678801"/>
  </r>
  <r>
    <x v="0"/>
    <x v="0"/>
    <x v="0"/>
    <x v="9"/>
    <x v="20"/>
    <s v="SE4A"/>
    <x v="7"/>
    <s v="GNR_RES_WTR_NOPMP_MC-04"/>
    <x v="0"/>
    <x v="21"/>
    <n v="15.287300663378099"/>
    <n v="5579.8647421330097"/>
    <n v="20087.513071678801"/>
  </r>
  <r>
    <x v="0"/>
    <x v="0"/>
    <x v="0"/>
    <x v="9"/>
    <x v="20"/>
    <s v="SE4A"/>
    <x v="7"/>
    <s v="GNR_RES_WTR_NOPMP_MC-05"/>
    <x v="0"/>
    <x v="4"/>
    <n v="15.287300663378099"/>
    <n v="5579.8647421330097"/>
    <n v="20087.513071678801"/>
  </r>
  <r>
    <x v="0"/>
    <x v="0"/>
    <x v="0"/>
    <x v="9"/>
    <x v="20"/>
    <s v="SE4A"/>
    <x v="7"/>
    <s v="GNR_RES_WTR_NOPMP_MC-05"/>
    <x v="0"/>
    <x v="5"/>
    <n v="15.287300663378099"/>
    <n v="5579.8647421330097"/>
    <n v="20087.513071678801"/>
  </r>
  <r>
    <x v="0"/>
    <x v="0"/>
    <x v="0"/>
    <x v="9"/>
    <x v="20"/>
    <s v="SE4A"/>
    <x v="7"/>
    <s v="GNR_RES_WTR_NOPMP_MC-05"/>
    <x v="0"/>
    <x v="6"/>
    <n v="15.287300663378099"/>
    <n v="5579.8647421330097"/>
    <n v="20087.513071678801"/>
  </r>
  <r>
    <x v="0"/>
    <x v="0"/>
    <x v="0"/>
    <x v="9"/>
    <x v="20"/>
    <s v="SE4A"/>
    <x v="7"/>
    <s v="GNR_RES_WTR_NOPMP_MC-05"/>
    <x v="0"/>
    <x v="7"/>
    <n v="15.287300663378099"/>
    <n v="5579.8647421330097"/>
    <n v="20087.513071678801"/>
  </r>
  <r>
    <x v="0"/>
    <x v="0"/>
    <x v="0"/>
    <x v="9"/>
    <x v="20"/>
    <s v="SE4A"/>
    <x v="7"/>
    <s v="GNR_RES_WTR_NOPMP_MC-05"/>
    <x v="0"/>
    <x v="8"/>
    <n v="15.287300663378099"/>
    <n v="5579.8647421330097"/>
    <n v="20087.513071678801"/>
  </r>
  <r>
    <x v="0"/>
    <x v="0"/>
    <x v="0"/>
    <x v="9"/>
    <x v="20"/>
    <s v="SE4A"/>
    <x v="7"/>
    <s v="GNR_RES_WTR_NOPMP_MC-05"/>
    <x v="0"/>
    <x v="9"/>
    <n v="15.287300663378099"/>
    <n v="5579.8647421330097"/>
    <n v="20087.513071678801"/>
  </r>
  <r>
    <x v="0"/>
    <x v="0"/>
    <x v="0"/>
    <x v="9"/>
    <x v="20"/>
    <s v="SE4A"/>
    <x v="7"/>
    <s v="GNR_RES_WTR_NOPMP_MC-05"/>
    <x v="0"/>
    <x v="10"/>
    <n v="15.287300663378099"/>
    <n v="5579.8647421330097"/>
    <n v="20087.513071678801"/>
  </r>
  <r>
    <x v="0"/>
    <x v="0"/>
    <x v="0"/>
    <x v="9"/>
    <x v="20"/>
    <s v="SE4A"/>
    <x v="7"/>
    <s v="GNR_RES_WTR_NOPMP_MC-05"/>
    <x v="0"/>
    <x v="11"/>
    <n v="15.287300663378099"/>
    <n v="5579.8647421330097"/>
    <n v="20087.513071678801"/>
  </r>
  <r>
    <x v="0"/>
    <x v="0"/>
    <x v="0"/>
    <x v="9"/>
    <x v="20"/>
    <s v="SE4A"/>
    <x v="7"/>
    <s v="GNR_RES_WTR_NOPMP_MC-05"/>
    <x v="0"/>
    <x v="12"/>
    <n v="15.287300663378099"/>
    <n v="5579.8647421330097"/>
    <n v="20087.513071678801"/>
  </r>
  <r>
    <x v="0"/>
    <x v="0"/>
    <x v="0"/>
    <x v="9"/>
    <x v="20"/>
    <s v="SE4A"/>
    <x v="7"/>
    <s v="GNR_RES_WTR_NOPMP_MC-05"/>
    <x v="0"/>
    <x v="13"/>
    <n v="15.287300663378099"/>
    <n v="5579.8647421330097"/>
    <n v="20087.513071678801"/>
  </r>
  <r>
    <x v="0"/>
    <x v="0"/>
    <x v="0"/>
    <x v="9"/>
    <x v="20"/>
    <s v="SE4A"/>
    <x v="7"/>
    <s v="GNR_RES_WTR_NOPMP_MC-05"/>
    <x v="0"/>
    <x v="14"/>
    <n v="15.287300663378099"/>
    <n v="5579.8647421330097"/>
    <n v="20087.513071678801"/>
  </r>
  <r>
    <x v="0"/>
    <x v="0"/>
    <x v="0"/>
    <x v="9"/>
    <x v="20"/>
    <s v="SE4A"/>
    <x v="7"/>
    <s v="GNR_RES_WTR_NOPMP_MC-05"/>
    <x v="0"/>
    <x v="15"/>
    <n v="15.287300663378099"/>
    <n v="5579.8647421330097"/>
    <n v="20087.513071678801"/>
  </r>
  <r>
    <x v="0"/>
    <x v="0"/>
    <x v="0"/>
    <x v="9"/>
    <x v="20"/>
    <s v="SE4A"/>
    <x v="7"/>
    <s v="GNR_RES_WTR_NOPMP_MC-05"/>
    <x v="0"/>
    <x v="16"/>
    <n v="15.287300663378099"/>
    <n v="5579.8647421330097"/>
    <n v="20087.513071678801"/>
  </r>
  <r>
    <x v="0"/>
    <x v="0"/>
    <x v="0"/>
    <x v="9"/>
    <x v="20"/>
    <s v="SE4A"/>
    <x v="7"/>
    <s v="GNR_RES_WTR_NOPMP_MC-05"/>
    <x v="0"/>
    <x v="17"/>
    <n v="15.287300663378099"/>
    <n v="5579.8647421330097"/>
    <n v="20087.513071678801"/>
  </r>
  <r>
    <x v="0"/>
    <x v="0"/>
    <x v="0"/>
    <x v="9"/>
    <x v="20"/>
    <s v="SE4A"/>
    <x v="7"/>
    <s v="GNR_RES_WTR_NOPMP_MC-05"/>
    <x v="0"/>
    <x v="19"/>
    <n v="15.287300663378099"/>
    <n v="5579.8647421330097"/>
    <n v="20087.513071678801"/>
  </r>
  <r>
    <x v="0"/>
    <x v="0"/>
    <x v="0"/>
    <x v="9"/>
    <x v="20"/>
    <s v="SE4A"/>
    <x v="7"/>
    <s v="GNR_RES_WTR_NOPMP_MC-06"/>
    <x v="0"/>
    <x v="5"/>
    <n v="15.287300663378099"/>
    <n v="5579.8647421330097"/>
    <n v="20087.513071678801"/>
  </r>
  <r>
    <x v="0"/>
    <x v="0"/>
    <x v="0"/>
    <x v="9"/>
    <x v="20"/>
    <s v="SE4A"/>
    <x v="7"/>
    <s v="GNR_RES_WTR_NOPMP_MC-06"/>
    <x v="0"/>
    <x v="6"/>
    <n v="15.287300663378099"/>
    <n v="5579.8647421330097"/>
    <n v="20087.513071678801"/>
  </r>
  <r>
    <x v="0"/>
    <x v="0"/>
    <x v="0"/>
    <x v="9"/>
    <x v="20"/>
    <s v="SE4A"/>
    <x v="7"/>
    <s v="GNR_RES_WTR_NOPMP_MC-06"/>
    <x v="0"/>
    <x v="7"/>
    <n v="15.287300663378099"/>
    <n v="5579.8647421330097"/>
    <n v="20087.513071678801"/>
  </r>
  <r>
    <x v="0"/>
    <x v="0"/>
    <x v="0"/>
    <x v="9"/>
    <x v="20"/>
    <s v="SE4A"/>
    <x v="7"/>
    <s v="GNR_RES_WTR_NOPMP_MC-06"/>
    <x v="0"/>
    <x v="8"/>
    <n v="15.287300663378099"/>
    <n v="5579.8647421330097"/>
    <n v="20087.513071678801"/>
  </r>
  <r>
    <x v="0"/>
    <x v="0"/>
    <x v="0"/>
    <x v="9"/>
    <x v="20"/>
    <s v="SE4A"/>
    <x v="7"/>
    <s v="GNR_RES_WTR_NOPMP_MC-06"/>
    <x v="0"/>
    <x v="9"/>
    <n v="15.287300663378099"/>
    <n v="5579.8647421330097"/>
    <n v="20087.513071678801"/>
  </r>
  <r>
    <x v="0"/>
    <x v="0"/>
    <x v="0"/>
    <x v="9"/>
    <x v="20"/>
    <s v="SE4A"/>
    <x v="7"/>
    <s v="GNR_RES_WTR_NOPMP_MC-06"/>
    <x v="0"/>
    <x v="10"/>
    <n v="15.287300663378099"/>
    <n v="5579.8647421330097"/>
    <n v="20087.513071678801"/>
  </r>
  <r>
    <x v="0"/>
    <x v="0"/>
    <x v="0"/>
    <x v="9"/>
    <x v="20"/>
    <s v="SE4A"/>
    <x v="7"/>
    <s v="GNR_RES_WTR_NOPMP_MC-06"/>
    <x v="0"/>
    <x v="11"/>
    <n v="15.287300663378099"/>
    <n v="5579.8647421330097"/>
    <n v="20087.513071678801"/>
  </r>
  <r>
    <x v="0"/>
    <x v="0"/>
    <x v="0"/>
    <x v="9"/>
    <x v="20"/>
    <s v="SE4A"/>
    <x v="7"/>
    <s v="GNR_RES_WTR_NOPMP_MC-06"/>
    <x v="0"/>
    <x v="12"/>
    <n v="15.287300663378099"/>
    <n v="5579.8647421330097"/>
    <n v="20087.513071678801"/>
  </r>
  <r>
    <x v="0"/>
    <x v="0"/>
    <x v="0"/>
    <x v="9"/>
    <x v="20"/>
    <s v="SE4A"/>
    <x v="7"/>
    <s v="GNR_RES_WTR_NOPMP_MC-06"/>
    <x v="0"/>
    <x v="13"/>
    <n v="15.287300663378099"/>
    <n v="5579.8647421330097"/>
    <n v="20087.513071678801"/>
  </r>
  <r>
    <x v="0"/>
    <x v="0"/>
    <x v="0"/>
    <x v="9"/>
    <x v="20"/>
    <s v="SE4A"/>
    <x v="7"/>
    <s v="GNR_RES_WTR_NOPMP_MC-06"/>
    <x v="0"/>
    <x v="14"/>
    <n v="15.287300663378099"/>
    <n v="5579.8647421330097"/>
    <n v="20087.513071678801"/>
  </r>
  <r>
    <x v="0"/>
    <x v="0"/>
    <x v="0"/>
    <x v="9"/>
    <x v="20"/>
    <s v="SE4A"/>
    <x v="7"/>
    <s v="GNR_RES_WTR_NOPMP_MC-06"/>
    <x v="0"/>
    <x v="15"/>
    <n v="15.287300663378099"/>
    <n v="5579.8647421330097"/>
    <n v="20087.513071678801"/>
  </r>
  <r>
    <x v="0"/>
    <x v="0"/>
    <x v="0"/>
    <x v="9"/>
    <x v="20"/>
    <s v="SE4A"/>
    <x v="7"/>
    <s v="GNR_RES_WTR_NOPMP_MC-06"/>
    <x v="0"/>
    <x v="16"/>
    <n v="15.287300663378099"/>
    <n v="5579.8647421330097"/>
    <n v="20087.513071678801"/>
  </r>
  <r>
    <x v="0"/>
    <x v="0"/>
    <x v="0"/>
    <x v="9"/>
    <x v="20"/>
    <s v="SE4A"/>
    <x v="7"/>
    <s v="GNR_RES_WTR_NOPMP_MC-07"/>
    <x v="0"/>
    <x v="6"/>
    <n v="15.287300663378099"/>
    <n v="5579.8647421330097"/>
    <n v="20087.513071678801"/>
  </r>
  <r>
    <x v="0"/>
    <x v="0"/>
    <x v="0"/>
    <x v="9"/>
    <x v="20"/>
    <s v="SE4A"/>
    <x v="7"/>
    <s v="GNR_RES_WTR_NOPMP_MC-07"/>
    <x v="0"/>
    <x v="7"/>
    <n v="15.287300663378099"/>
    <n v="5579.8647421330097"/>
    <n v="20087.513071678801"/>
  </r>
  <r>
    <x v="0"/>
    <x v="0"/>
    <x v="0"/>
    <x v="9"/>
    <x v="20"/>
    <s v="SE4A"/>
    <x v="7"/>
    <s v="GNR_RES_WTR_NOPMP_MC-07"/>
    <x v="0"/>
    <x v="8"/>
    <n v="15.287300663378099"/>
    <n v="5579.8647421330097"/>
    <n v="20087.513071678801"/>
  </r>
  <r>
    <x v="0"/>
    <x v="0"/>
    <x v="0"/>
    <x v="9"/>
    <x v="20"/>
    <s v="SE4A"/>
    <x v="7"/>
    <s v="GNR_RES_WTR_NOPMP_MC-07"/>
    <x v="0"/>
    <x v="9"/>
    <n v="15.287300663378099"/>
    <n v="5579.8647421330097"/>
    <n v="20087.513071678801"/>
  </r>
  <r>
    <x v="0"/>
    <x v="0"/>
    <x v="0"/>
    <x v="9"/>
    <x v="20"/>
    <s v="SE4A"/>
    <x v="7"/>
    <s v="GNR_RES_WTR_NOPMP_MC-07"/>
    <x v="0"/>
    <x v="10"/>
    <n v="15.287300663378099"/>
    <n v="5579.8647421330097"/>
    <n v="20087.513071678801"/>
  </r>
  <r>
    <x v="0"/>
    <x v="0"/>
    <x v="0"/>
    <x v="9"/>
    <x v="20"/>
    <s v="SE4A"/>
    <x v="7"/>
    <s v="GNR_RES_WTR_NOPMP_MC-08"/>
    <x v="0"/>
    <x v="6"/>
    <n v="15.287300663378099"/>
    <n v="5579.8647421330097"/>
    <n v="20087.513071678801"/>
  </r>
  <r>
    <x v="0"/>
    <x v="0"/>
    <x v="0"/>
    <x v="9"/>
    <x v="20"/>
    <s v="SE4A"/>
    <x v="7"/>
    <s v="GNR_RES_WTR_NOPMP_MC-08"/>
    <x v="0"/>
    <x v="7"/>
    <n v="15.287300663378099"/>
    <n v="5579.8647421330097"/>
    <n v="20087.513071678801"/>
  </r>
  <r>
    <x v="0"/>
    <x v="0"/>
    <x v="0"/>
    <x v="9"/>
    <x v="20"/>
    <s v="SE4A"/>
    <x v="7"/>
    <s v="GNR_RES_WTR_NOPMP_MC-08"/>
    <x v="0"/>
    <x v="8"/>
    <n v="15.287300663378099"/>
    <n v="5579.8647421330097"/>
    <n v="20087.513071678801"/>
  </r>
  <r>
    <x v="0"/>
    <x v="0"/>
    <x v="0"/>
    <x v="9"/>
    <x v="20"/>
    <s v="SE4A"/>
    <x v="7"/>
    <s v="GNR_ROR_WTR"/>
    <x v="0"/>
    <x v="0"/>
    <n v="102.50081849851099"/>
    <n v="37412.798751956601"/>
    <n v="134686.07550704401"/>
  </r>
  <r>
    <x v="0"/>
    <x v="0"/>
    <x v="0"/>
    <x v="9"/>
    <x v="20"/>
    <s v="SE4A"/>
    <x v="7"/>
    <s v="GNR_ROR_WTR"/>
    <x v="0"/>
    <x v="1"/>
    <n v="102.50081849851099"/>
    <n v="37412.798751956601"/>
    <n v="134686.07550704401"/>
  </r>
  <r>
    <x v="0"/>
    <x v="0"/>
    <x v="0"/>
    <x v="9"/>
    <x v="20"/>
    <s v="SE4A"/>
    <x v="7"/>
    <s v="GNR_ROR_WTR"/>
    <x v="0"/>
    <x v="2"/>
    <n v="102.50081849851099"/>
    <n v="37412.798751956601"/>
    <n v="134686.07550704401"/>
  </r>
  <r>
    <x v="0"/>
    <x v="0"/>
    <x v="0"/>
    <x v="9"/>
    <x v="20"/>
    <s v="SE4A"/>
    <x v="7"/>
    <s v="GNR_ROR_WTR"/>
    <x v="0"/>
    <x v="3"/>
    <n v="102.50081849851099"/>
    <n v="37412.798751956601"/>
    <n v="134686.07550704401"/>
  </r>
  <r>
    <x v="0"/>
    <x v="0"/>
    <x v="0"/>
    <x v="9"/>
    <x v="20"/>
    <s v="SE4A"/>
    <x v="7"/>
    <s v="GNR_ROR_WTR"/>
    <x v="0"/>
    <x v="18"/>
    <n v="102.50081849851099"/>
    <n v="37412.798751956601"/>
    <n v="134686.07550704401"/>
  </r>
  <r>
    <x v="0"/>
    <x v="0"/>
    <x v="0"/>
    <x v="9"/>
    <x v="20"/>
    <s v="SE4A"/>
    <x v="7"/>
    <s v="GNR_ROR_WTR"/>
    <x v="0"/>
    <x v="4"/>
    <n v="102.50081849851099"/>
    <n v="37412.798751956601"/>
    <n v="134686.07550704401"/>
  </r>
  <r>
    <x v="0"/>
    <x v="0"/>
    <x v="0"/>
    <x v="9"/>
    <x v="20"/>
    <s v="SE4A"/>
    <x v="7"/>
    <s v="GNR_ROR_WTR"/>
    <x v="0"/>
    <x v="5"/>
    <n v="102.50081849851099"/>
    <n v="37412.798751956601"/>
    <n v="134686.07550704401"/>
  </r>
  <r>
    <x v="0"/>
    <x v="0"/>
    <x v="0"/>
    <x v="9"/>
    <x v="20"/>
    <s v="SE4A"/>
    <x v="7"/>
    <s v="GNR_ROR_WTR"/>
    <x v="0"/>
    <x v="6"/>
    <n v="102.50081849851099"/>
    <n v="37412.798751956601"/>
    <n v="134686.07550704401"/>
  </r>
  <r>
    <x v="0"/>
    <x v="0"/>
    <x v="0"/>
    <x v="9"/>
    <x v="20"/>
    <s v="SE4A"/>
    <x v="7"/>
    <s v="GNR_ROR_WTR"/>
    <x v="0"/>
    <x v="7"/>
    <n v="102.50081849851099"/>
    <n v="37412.798751956601"/>
    <n v="134686.07550704401"/>
  </r>
  <r>
    <x v="0"/>
    <x v="0"/>
    <x v="0"/>
    <x v="9"/>
    <x v="20"/>
    <s v="SE4A"/>
    <x v="7"/>
    <s v="GNR_ROR_WTR"/>
    <x v="0"/>
    <x v="8"/>
    <n v="102.50081849851099"/>
    <n v="37412.798751956601"/>
    <n v="134686.07550704401"/>
  </r>
  <r>
    <x v="0"/>
    <x v="0"/>
    <x v="0"/>
    <x v="9"/>
    <x v="20"/>
    <s v="SE4A"/>
    <x v="7"/>
    <s v="GNR_ROR_WTR"/>
    <x v="0"/>
    <x v="9"/>
    <n v="102.50081849851099"/>
    <n v="37412.798751956601"/>
    <n v="134686.07550704401"/>
  </r>
  <r>
    <x v="0"/>
    <x v="0"/>
    <x v="0"/>
    <x v="9"/>
    <x v="20"/>
    <s v="SE4A"/>
    <x v="7"/>
    <s v="GNR_ROR_WTR"/>
    <x v="0"/>
    <x v="10"/>
    <n v="102.50081849851099"/>
    <n v="37412.798751956601"/>
    <n v="134686.07550704401"/>
  </r>
  <r>
    <x v="0"/>
    <x v="0"/>
    <x v="0"/>
    <x v="9"/>
    <x v="20"/>
    <s v="SE4A"/>
    <x v="7"/>
    <s v="GNR_ROR_WTR"/>
    <x v="0"/>
    <x v="11"/>
    <n v="102.50081849851099"/>
    <n v="37412.798751956601"/>
    <n v="134686.07550704401"/>
  </r>
  <r>
    <x v="0"/>
    <x v="0"/>
    <x v="0"/>
    <x v="9"/>
    <x v="20"/>
    <s v="SE4A"/>
    <x v="7"/>
    <s v="GNR_ROR_WTR"/>
    <x v="0"/>
    <x v="12"/>
    <n v="102.50081849851099"/>
    <n v="37412.798751956601"/>
    <n v="134686.07550704401"/>
  </r>
  <r>
    <x v="0"/>
    <x v="0"/>
    <x v="0"/>
    <x v="9"/>
    <x v="20"/>
    <s v="SE4A"/>
    <x v="7"/>
    <s v="GNR_ROR_WTR"/>
    <x v="0"/>
    <x v="13"/>
    <n v="102.50081849851099"/>
    <n v="37412.798751956601"/>
    <n v="134686.07550704401"/>
  </r>
  <r>
    <x v="0"/>
    <x v="0"/>
    <x v="0"/>
    <x v="9"/>
    <x v="20"/>
    <s v="SE4A"/>
    <x v="7"/>
    <s v="GNR_ROR_WTR"/>
    <x v="0"/>
    <x v="14"/>
    <n v="102.50081849851099"/>
    <n v="37412.798751956601"/>
    <n v="134686.07550704401"/>
  </r>
  <r>
    <x v="0"/>
    <x v="0"/>
    <x v="0"/>
    <x v="9"/>
    <x v="20"/>
    <s v="SE4A"/>
    <x v="7"/>
    <s v="GNR_ROR_WTR"/>
    <x v="0"/>
    <x v="15"/>
    <n v="102.50081849851099"/>
    <n v="37412.798751956601"/>
    <n v="134686.07550704401"/>
  </r>
  <r>
    <x v="0"/>
    <x v="0"/>
    <x v="0"/>
    <x v="9"/>
    <x v="20"/>
    <s v="SE4A"/>
    <x v="7"/>
    <s v="GNR_ROR_WTR"/>
    <x v="0"/>
    <x v="16"/>
    <n v="102.50081849851099"/>
    <n v="37412.798751956601"/>
    <n v="134686.07550704401"/>
  </r>
  <r>
    <x v="0"/>
    <x v="0"/>
    <x v="0"/>
    <x v="9"/>
    <x v="20"/>
    <s v="SE4A"/>
    <x v="7"/>
    <s v="GNR_ROR_WTR"/>
    <x v="0"/>
    <x v="17"/>
    <n v="102.50081849851099"/>
    <n v="37412.798751956601"/>
    <n v="134686.07550704401"/>
  </r>
  <r>
    <x v="0"/>
    <x v="0"/>
    <x v="0"/>
    <x v="9"/>
    <x v="20"/>
    <s v="SE4A"/>
    <x v="7"/>
    <s v="GNR_ROR_WTR"/>
    <x v="0"/>
    <x v="19"/>
    <n v="102.50081849851099"/>
    <n v="37412.798751956601"/>
    <n v="134686.07550704401"/>
  </r>
  <r>
    <x v="0"/>
    <x v="0"/>
    <x v="0"/>
    <x v="9"/>
    <x v="20"/>
    <s v="SE4A"/>
    <x v="7"/>
    <s v="GNR_ROR_WTR"/>
    <x v="0"/>
    <x v="20"/>
    <n v="102.50081849851099"/>
    <n v="37412.798751956601"/>
    <n v="134686.07550704401"/>
  </r>
  <r>
    <x v="0"/>
    <x v="0"/>
    <x v="0"/>
    <x v="9"/>
    <x v="20"/>
    <s v="SE4A"/>
    <x v="7"/>
    <s v="GNR_ROR_WTR"/>
    <x v="0"/>
    <x v="21"/>
    <n v="102.50081849851099"/>
    <n v="37412.798751956601"/>
    <n v="134686.07550704401"/>
  </r>
  <r>
    <x v="0"/>
    <x v="0"/>
    <x v="0"/>
    <x v="9"/>
    <x v="20"/>
    <s v="SE4A"/>
    <x v="7"/>
    <s v="GNR_ROR_WTR"/>
    <x v="0"/>
    <x v="22"/>
    <n v="102.50081849851099"/>
    <n v="37412.798751956601"/>
    <n v="134686.07550704401"/>
  </r>
  <r>
    <x v="0"/>
    <x v="0"/>
    <x v="0"/>
    <x v="9"/>
    <x v="20"/>
    <s v="SE4A"/>
    <x v="7"/>
    <s v="GNR_ROR_WTR"/>
    <x v="0"/>
    <x v="23"/>
    <n v="102.50081849851099"/>
    <n v="37412.798751956601"/>
    <n v="134686.07550704401"/>
  </r>
  <r>
    <x v="0"/>
    <x v="0"/>
    <x v="0"/>
    <x v="9"/>
    <x v="20"/>
    <s v="SE4A"/>
    <x v="8"/>
    <s v="GNR_WT_WIND_ONS"/>
    <x v="0"/>
    <x v="0"/>
    <n v="210.00501244287699"/>
    <n v="76651.829541650193"/>
    <n v="275946.58634994098"/>
  </r>
  <r>
    <x v="0"/>
    <x v="0"/>
    <x v="0"/>
    <x v="9"/>
    <x v="20"/>
    <s v="SE4A"/>
    <x v="8"/>
    <s v="GNR_WT_WIND_ONS"/>
    <x v="0"/>
    <x v="1"/>
    <n v="199.311168280972"/>
    <n v="72748.576422554805"/>
    <n v="261894.87512119699"/>
  </r>
  <r>
    <x v="0"/>
    <x v="0"/>
    <x v="0"/>
    <x v="9"/>
    <x v="20"/>
    <s v="SE4A"/>
    <x v="8"/>
    <s v="GNR_WT_WIND_ONS"/>
    <x v="0"/>
    <x v="2"/>
    <n v="189.13801045626099"/>
    <n v="69035.373816535197"/>
    <n v="248527.34573952699"/>
  </r>
  <r>
    <x v="0"/>
    <x v="0"/>
    <x v="0"/>
    <x v="9"/>
    <x v="20"/>
    <s v="SE4A"/>
    <x v="8"/>
    <s v="GNR_WT_WIND_ONS"/>
    <x v="0"/>
    <x v="3"/>
    <n v="179.12441692860301"/>
    <n v="65380.412178940198"/>
    <n v="235369.48384418499"/>
  </r>
  <r>
    <x v="0"/>
    <x v="0"/>
    <x v="0"/>
    <x v="9"/>
    <x v="20"/>
    <s v="SE4A"/>
    <x v="8"/>
    <s v="GNR_WT_WIND_ONS"/>
    <x v="0"/>
    <x v="18"/>
    <n v="147.713738355864"/>
    <n v="53915.514499890203"/>
    <n v="194095.852199605"/>
  </r>
  <r>
    <x v="0"/>
    <x v="0"/>
    <x v="0"/>
    <x v="9"/>
    <x v="20"/>
    <s v="SE4A"/>
    <x v="8"/>
    <s v="GNR_WT_WIND_ONS"/>
    <x v="0"/>
    <x v="4"/>
    <n v="136.203412954111"/>
    <n v="49714.245728250498"/>
    <n v="178971.28462170201"/>
  </r>
  <r>
    <x v="0"/>
    <x v="0"/>
    <x v="0"/>
    <x v="9"/>
    <x v="20"/>
    <s v="SE4A"/>
    <x v="8"/>
    <s v="GNR_WT_WIND_ONS"/>
    <x v="0"/>
    <x v="5"/>
    <n v="112.8691610396"/>
    <n v="41197.2437794539"/>
    <n v="148310.077606034"/>
  </r>
  <r>
    <x v="0"/>
    <x v="0"/>
    <x v="0"/>
    <x v="9"/>
    <x v="20"/>
    <s v="SE4A"/>
    <x v="8"/>
    <s v="GNR_WT_WIND_ONS"/>
    <x v="0"/>
    <x v="6"/>
    <n v="80.358898968112399"/>
    <n v="29330.998123361001"/>
    <n v="105591.5932441"/>
  </r>
  <r>
    <x v="0"/>
    <x v="0"/>
    <x v="0"/>
    <x v="9"/>
    <x v="20"/>
    <s v="SE4A"/>
    <x v="8"/>
    <s v="GNR_WT_WIND_ONS"/>
    <x v="0"/>
    <x v="7"/>
    <n v="64.708133936406199"/>
    <n v="23618.468886788301"/>
    <n v="85026.487992437804"/>
  </r>
  <r>
    <x v="0"/>
    <x v="0"/>
    <x v="0"/>
    <x v="9"/>
    <x v="20"/>
    <s v="SE4A"/>
    <x v="8"/>
    <s v="GNR_WT_WIND_ONS"/>
    <x v="0"/>
    <x v="8"/>
    <n v="68.032344276904695"/>
    <n v="24831.805661070201"/>
    <n v="89394.500379852805"/>
  </r>
  <r>
    <x v="0"/>
    <x v="0"/>
    <x v="0"/>
    <x v="9"/>
    <x v="20"/>
    <s v="SE4A"/>
    <x v="8"/>
    <s v="GNR_WT_WIND_ONS"/>
    <x v="0"/>
    <x v="9"/>
    <n v="63.623292106542898"/>
    <n v="23222.501618888102"/>
    <n v="83601.005827997302"/>
  </r>
  <r>
    <x v="0"/>
    <x v="0"/>
    <x v="0"/>
    <x v="9"/>
    <x v="20"/>
    <s v="SE4A"/>
    <x v="8"/>
    <s v="GNR_WT_WIND_ONS"/>
    <x v="0"/>
    <x v="10"/>
    <n v="66.379611404164706"/>
    <n v="24228.558162520101"/>
    <n v="87222.809385072396"/>
  </r>
  <r>
    <x v="0"/>
    <x v="0"/>
    <x v="0"/>
    <x v="9"/>
    <x v="20"/>
    <s v="SE4A"/>
    <x v="8"/>
    <s v="GNR_WT_WIND_ONS"/>
    <x v="0"/>
    <x v="11"/>
    <n v="74.687189692910806"/>
    <n v="27260.824237912399"/>
    <n v="98138.967256484801"/>
  </r>
  <r>
    <x v="0"/>
    <x v="0"/>
    <x v="0"/>
    <x v="9"/>
    <x v="20"/>
    <s v="SE4A"/>
    <x v="8"/>
    <s v="GNR_WT_WIND_ONS"/>
    <x v="0"/>
    <x v="12"/>
    <n v="87.505343305589193"/>
    <n v="31939.450306539999"/>
    <n v="114982.021103544"/>
  </r>
  <r>
    <x v="0"/>
    <x v="0"/>
    <x v="0"/>
    <x v="9"/>
    <x v="20"/>
    <s v="SE4A"/>
    <x v="8"/>
    <s v="GNR_WT_WIND_ONS"/>
    <x v="0"/>
    <x v="13"/>
    <n v="135.468231992451"/>
    <n v="49445.904677244704"/>
    <n v="178005.256838081"/>
  </r>
  <r>
    <x v="0"/>
    <x v="0"/>
    <x v="0"/>
    <x v="9"/>
    <x v="20"/>
    <s v="SE4A"/>
    <x v="8"/>
    <s v="GNR_WT_WIND_ONS"/>
    <x v="0"/>
    <x v="14"/>
    <n v="209.91291686164701"/>
    <n v="76618.214654501193"/>
    <n v="275825.572756204"/>
  </r>
  <r>
    <x v="0"/>
    <x v="0"/>
    <x v="0"/>
    <x v="9"/>
    <x v="20"/>
    <s v="SE4A"/>
    <x v="8"/>
    <s v="GNR_WT_WIND_ONS"/>
    <x v="0"/>
    <x v="15"/>
    <n v="322.23606026591602"/>
    <n v="117616.161997059"/>
    <n v="423418.18318941299"/>
  </r>
  <r>
    <x v="0"/>
    <x v="0"/>
    <x v="0"/>
    <x v="9"/>
    <x v="20"/>
    <s v="SE4A"/>
    <x v="8"/>
    <s v="GNR_WT_WIND_ONS"/>
    <x v="0"/>
    <x v="16"/>
    <n v="519.72459112731201"/>
    <n v="189699.47576146899"/>
    <n v="682918.11274128803"/>
  </r>
  <r>
    <x v="0"/>
    <x v="0"/>
    <x v="0"/>
    <x v="9"/>
    <x v="20"/>
    <s v="SE4A"/>
    <x v="8"/>
    <s v="GNR_WT_WIND_ONS"/>
    <x v="0"/>
    <x v="17"/>
    <n v="759.10603981563395"/>
    <n v="277073.704532706"/>
    <n v="997465.33631774294"/>
  </r>
  <r>
    <x v="0"/>
    <x v="0"/>
    <x v="0"/>
    <x v="9"/>
    <x v="20"/>
    <s v="SE4A"/>
    <x v="8"/>
    <s v="GNR_WT_WIND_ONS"/>
    <x v="0"/>
    <x v="19"/>
    <n v="845.481321337748"/>
    <n v="308600.68228827801"/>
    <n v="1110962.4562378"/>
  </r>
  <r>
    <x v="0"/>
    <x v="0"/>
    <x v="0"/>
    <x v="9"/>
    <x v="20"/>
    <s v="SE4A"/>
    <x v="8"/>
    <s v="GNR_WT_WIND_ONS"/>
    <x v="0"/>
    <x v="20"/>
    <n v="785.97916637598598"/>
    <n v="286882.39572723501"/>
    <n v="1032776.6246180499"/>
  </r>
  <r>
    <x v="0"/>
    <x v="0"/>
    <x v="0"/>
    <x v="9"/>
    <x v="20"/>
    <s v="SE4A"/>
    <x v="8"/>
    <s v="GNR_WT_WIND_ONS"/>
    <x v="0"/>
    <x v="21"/>
    <n v="745.56027660768302"/>
    <n v="272129.50096180401"/>
    <n v="979666.203462495"/>
  </r>
  <r>
    <x v="0"/>
    <x v="0"/>
    <x v="0"/>
    <x v="9"/>
    <x v="20"/>
    <s v="SE4A"/>
    <x v="8"/>
    <s v="GNR_WT_WIND_ONS"/>
    <x v="0"/>
    <x v="22"/>
    <n v="866.13156628821105"/>
    <n v="316138.02169519698"/>
    <n v="1138096.87810271"/>
  </r>
  <r>
    <x v="0"/>
    <x v="0"/>
    <x v="0"/>
    <x v="9"/>
    <x v="20"/>
    <s v="SE4A"/>
    <x v="8"/>
    <s v="GNR_WT_WIND_ONS"/>
    <x v="0"/>
    <x v="23"/>
    <n v="1053.33461572644"/>
    <n v="384467.13474015001"/>
    <n v="1384081.68506454"/>
  </r>
  <r>
    <x v="0"/>
    <x v="0"/>
    <x v="0"/>
    <x v="9"/>
    <x v="20"/>
    <s v="SE4_EL"/>
    <x v="20"/>
    <s v="GBPR_RECYCLEDWOOD"/>
    <x v="0"/>
    <x v="0"/>
    <n v="70.855542810555704"/>
    <n v="25862.2731258528"/>
    <n v="93104.183253070296"/>
  </r>
  <r>
    <x v="0"/>
    <x v="0"/>
    <x v="0"/>
    <x v="9"/>
    <x v="20"/>
    <s v="SE4_EL"/>
    <x v="20"/>
    <s v="GBPR_RECYCLEDWOOD"/>
    <x v="0"/>
    <x v="1"/>
    <n v="70.673633509031305"/>
    <n v="25795.876230796399"/>
    <n v="92865.154430867202"/>
  </r>
  <r>
    <x v="0"/>
    <x v="0"/>
    <x v="0"/>
    <x v="9"/>
    <x v="20"/>
    <s v="SE4_EL"/>
    <x v="20"/>
    <s v="GBPR_RECYCLEDWOOD"/>
    <x v="0"/>
    <x v="2"/>
    <n v="72.281344744135694"/>
    <n v="26382.6908316095"/>
    <n v="94977.686993794399"/>
  </r>
  <r>
    <x v="0"/>
    <x v="0"/>
    <x v="0"/>
    <x v="9"/>
    <x v="20"/>
    <s v="SE4_EL"/>
    <x v="20"/>
    <s v="GBPR_RECYCLEDWOOD"/>
    <x v="0"/>
    <x v="3"/>
    <n v="77.246643900949095"/>
    <n v="28195.0250238464"/>
    <n v="101502.090085847"/>
  </r>
  <r>
    <x v="0"/>
    <x v="0"/>
    <x v="0"/>
    <x v="9"/>
    <x v="20"/>
    <s v="SE4_EL"/>
    <x v="20"/>
    <s v="GBPR_RECYCLEDWOOD"/>
    <x v="0"/>
    <x v="18"/>
    <n v="83.4126139777253"/>
    <n v="30445.6041018697"/>
    <n v="109604.174766731"/>
  </r>
  <r>
    <x v="0"/>
    <x v="0"/>
    <x v="0"/>
    <x v="9"/>
    <x v="20"/>
    <s v="SE4_EL"/>
    <x v="20"/>
    <s v="GBPR_RECYCLEDWOOD"/>
    <x v="0"/>
    <x v="4"/>
    <n v="83.4126139777253"/>
    <n v="30445.6041018697"/>
    <n v="109604.174766731"/>
  </r>
  <r>
    <x v="0"/>
    <x v="0"/>
    <x v="0"/>
    <x v="9"/>
    <x v="20"/>
    <s v="SE4_EL"/>
    <x v="20"/>
    <s v="GBPR_RECYCLEDWOOD"/>
    <x v="0"/>
    <x v="5"/>
    <n v="83.4126139777253"/>
    <n v="30445.6041018697"/>
    <n v="109604.174766731"/>
  </r>
  <r>
    <x v="0"/>
    <x v="0"/>
    <x v="0"/>
    <x v="9"/>
    <x v="20"/>
    <s v="SE4_EL"/>
    <x v="20"/>
    <s v="GBPR_RECYCLEDWOOD"/>
    <x v="0"/>
    <x v="6"/>
    <n v="83.4126139777253"/>
    <n v="30445.6041018697"/>
    <n v="109604.174766731"/>
  </r>
  <r>
    <x v="0"/>
    <x v="0"/>
    <x v="0"/>
    <x v="9"/>
    <x v="20"/>
    <s v="SE4_EL"/>
    <x v="20"/>
    <s v="GBPR_RECYCLEDWOOD"/>
    <x v="0"/>
    <x v="7"/>
    <n v="83.4126139777253"/>
    <n v="30445.6041018697"/>
    <n v="109604.174766731"/>
  </r>
  <r>
    <x v="0"/>
    <x v="0"/>
    <x v="0"/>
    <x v="9"/>
    <x v="20"/>
    <s v="SE4_EL"/>
    <x v="20"/>
    <s v="GBPR_RECYCLEDWOOD"/>
    <x v="0"/>
    <x v="8"/>
    <n v="83.4126139777253"/>
    <n v="30445.6041018697"/>
    <n v="109604.174766731"/>
  </r>
  <r>
    <x v="0"/>
    <x v="0"/>
    <x v="0"/>
    <x v="9"/>
    <x v="20"/>
    <s v="SE4_EL"/>
    <x v="20"/>
    <s v="GBPR_RECYCLEDWOOD"/>
    <x v="0"/>
    <x v="9"/>
    <n v="83.4126139777253"/>
    <n v="30445.6041018697"/>
    <n v="109604.174766731"/>
  </r>
  <r>
    <x v="0"/>
    <x v="0"/>
    <x v="0"/>
    <x v="9"/>
    <x v="20"/>
    <s v="SE4_EL"/>
    <x v="20"/>
    <s v="GBPR_RECYCLEDWOOD"/>
    <x v="0"/>
    <x v="10"/>
    <n v="83.4126139777253"/>
    <n v="30445.6041018697"/>
    <n v="109604.174766731"/>
  </r>
  <r>
    <x v="0"/>
    <x v="0"/>
    <x v="0"/>
    <x v="9"/>
    <x v="20"/>
    <s v="SE4_EL"/>
    <x v="20"/>
    <s v="GBPR_RECYCLEDWOOD"/>
    <x v="0"/>
    <x v="11"/>
    <n v="83.4126139777253"/>
    <n v="30445.6041018697"/>
    <n v="109604.174766731"/>
  </r>
  <r>
    <x v="0"/>
    <x v="0"/>
    <x v="0"/>
    <x v="9"/>
    <x v="20"/>
    <s v="SE4_EL"/>
    <x v="20"/>
    <s v="GBPR_RECYCLEDWOOD"/>
    <x v="0"/>
    <x v="12"/>
    <n v="83.4126139777253"/>
    <n v="30445.6041018697"/>
    <n v="109604.174766731"/>
  </r>
  <r>
    <x v="0"/>
    <x v="0"/>
    <x v="0"/>
    <x v="9"/>
    <x v="20"/>
    <s v="SE4_EL"/>
    <x v="20"/>
    <s v="GBPR_RECYCLEDWOOD"/>
    <x v="0"/>
    <x v="13"/>
    <n v="83.4126139777253"/>
    <n v="30445.6041018697"/>
    <n v="109604.174766731"/>
  </r>
  <r>
    <x v="0"/>
    <x v="0"/>
    <x v="0"/>
    <x v="9"/>
    <x v="20"/>
    <s v="SE4_EL"/>
    <x v="20"/>
    <s v="GBPR_RECYCLEDWOOD"/>
    <x v="0"/>
    <x v="14"/>
    <n v="83.4126139777253"/>
    <n v="30445.6041018697"/>
    <n v="109604.174766731"/>
  </r>
  <r>
    <x v="0"/>
    <x v="0"/>
    <x v="0"/>
    <x v="9"/>
    <x v="20"/>
    <s v="SE4_EL"/>
    <x v="20"/>
    <s v="GBPR_RECYCLEDWOOD"/>
    <x v="0"/>
    <x v="15"/>
    <n v="83.4126139777253"/>
    <n v="30445.6041018697"/>
    <n v="109604.174766731"/>
  </r>
  <r>
    <x v="0"/>
    <x v="0"/>
    <x v="0"/>
    <x v="9"/>
    <x v="20"/>
    <s v="SE4_EL"/>
    <x v="20"/>
    <s v="GBPR_RECYCLEDWOOD"/>
    <x v="0"/>
    <x v="16"/>
    <n v="83.4126139777253"/>
    <n v="30445.6041018697"/>
    <n v="109604.174766731"/>
  </r>
  <r>
    <x v="0"/>
    <x v="0"/>
    <x v="0"/>
    <x v="9"/>
    <x v="20"/>
    <s v="SE4_EL"/>
    <x v="20"/>
    <s v="GBPR_RECYCLEDWOOD"/>
    <x v="0"/>
    <x v="17"/>
    <n v="83.4126139777253"/>
    <n v="30445.6041018697"/>
    <n v="109604.174766731"/>
  </r>
  <r>
    <x v="0"/>
    <x v="0"/>
    <x v="0"/>
    <x v="9"/>
    <x v="20"/>
    <s v="SE4_EL"/>
    <x v="20"/>
    <s v="GBPR_RECYCLEDWOOD"/>
    <x v="0"/>
    <x v="19"/>
    <n v="83.4126139777253"/>
    <n v="30445.6041018697"/>
    <n v="109604.174766731"/>
  </r>
  <r>
    <x v="0"/>
    <x v="0"/>
    <x v="0"/>
    <x v="9"/>
    <x v="20"/>
    <s v="SE4_EL"/>
    <x v="20"/>
    <s v="GBPR_RECYCLEDWOOD"/>
    <x v="0"/>
    <x v="20"/>
    <n v="83.4126139777253"/>
    <n v="30445.6041018697"/>
    <n v="109604.174766731"/>
  </r>
  <r>
    <x v="0"/>
    <x v="0"/>
    <x v="0"/>
    <x v="9"/>
    <x v="20"/>
    <s v="SE4_EL"/>
    <x v="20"/>
    <s v="GBPR_RECYCLEDWOOD"/>
    <x v="0"/>
    <x v="21"/>
    <n v="76.219383902814002"/>
    <n v="27820.075124527099"/>
    <n v="100152.270448298"/>
  </r>
  <r>
    <x v="0"/>
    <x v="0"/>
    <x v="0"/>
    <x v="9"/>
    <x v="20"/>
    <s v="SE4_EL"/>
    <x v="20"/>
    <s v="GBPR_RECYCLEDWOOD"/>
    <x v="0"/>
    <x v="22"/>
    <n v="67.366786537807698"/>
    <n v="24588.877086299799"/>
    <n v="88519.957510679305"/>
  </r>
  <r>
    <x v="0"/>
    <x v="0"/>
    <x v="0"/>
    <x v="9"/>
    <x v="20"/>
    <s v="SE4_EL"/>
    <x v="20"/>
    <s v="GBPR_RECYCLEDWOOD"/>
    <x v="0"/>
    <x v="23"/>
    <n v="50.953405913983303"/>
    <n v="18597.993158603898"/>
    <n v="66952.775370974094"/>
  </r>
  <r>
    <x v="0"/>
    <x v="0"/>
    <x v="0"/>
    <x v="9"/>
    <x v="20"/>
    <s v="SE4_EL"/>
    <x v="20"/>
    <s v="GBPR_RECYCLEDWOOD_SE4EL"/>
    <x v="0"/>
    <x v="4"/>
    <n v="11.356556143732901"/>
    <n v="4145.1429924625199"/>
    <n v="14922.514772865101"/>
  </r>
  <r>
    <x v="0"/>
    <x v="0"/>
    <x v="0"/>
    <x v="9"/>
    <x v="20"/>
    <s v="SE4_EL"/>
    <x v="20"/>
    <s v="GBPR_RECYCLEDWOOD_SE4EL"/>
    <x v="0"/>
    <x v="5"/>
    <n v="11.356556143732901"/>
    <n v="4145.1429924625199"/>
    <n v="14922.514772865101"/>
  </r>
  <r>
    <x v="0"/>
    <x v="0"/>
    <x v="0"/>
    <x v="9"/>
    <x v="20"/>
    <s v="SE4_EL"/>
    <x v="20"/>
    <s v="GBPR_RECYCLEDWOOD_SE4EL"/>
    <x v="0"/>
    <x v="6"/>
    <n v="11.356556143732901"/>
    <n v="4145.1429924625199"/>
    <n v="14922.514772865101"/>
  </r>
  <r>
    <x v="0"/>
    <x v="0"/>
    <x v="0"/>
    <x v="9"/>
    <x v="20"/>
    <s v="SE4_EL"/>
    <x v="20"/>
    <s v="GBPR_RECYCLEDWOOD_SE4EL"/>
    <x v="0"/>
    <x v="7"/>
    <n v="11.356556143732901"/>
    <n v="4145.1429924625199"/>
    <n v="14922.514772865101"/>
  </r>
  <r>
    <x v="0"/>
    <x v="0"/>
    <x v="0"/>
    <x v="9"/>
    <x v="20"/>
    <s v="SE4_EL"/>
    <x v="20"/>
    <s v="GBPR_RECYCLEDWOOD_SE4EL"/>
    <x v="0"/>
    <x v="8"/>
    <n v="11.356556143732901"/>
    <n v="4145.1429924625199"/>
    <n v="14922.514772865101"/>
  </r>
  <r>
    <x v="0"/>
    <x v="0"/>
    <x v="0"/>
    <x v="9"/>
    <x v="20"/>
    <s v="SE4_EL"/>
    <x v="20"/>
    <s v="GBPR_RECYCLEDWOOD_SE4EL"/>
    <x v="0"/>
    <x v="9"/>
    <n v="11.356556143732901"/>
    <n v="4145.1429924625199"/>
    <n v="14922.514772865101"/>
  </r>
  <r>
    <x v="0"/>
    <x v="0"/>
    <x v="0"/>
    <x v="9"/>
    <x v="20"/>
    <s v="SE4_EL"/>
    <x v="20"/>
    <s v="GBPR_RECYCLEDWOOD_SE4EL"/>
    <x v="0"/>
    <x v="10"/>
    <n v="11.356556143732901"/>
    <n v="4145.1429924625199"/>
    <n v="14922.514772865101"/>
  </r>
  <r>
    <x v="0"/>
    <x v="0"/>
    <x v="0"/>
    <x v="9"/>
    <x v="20"/>
    <s v="SE4_EL"/>
    <x v="20"/>
    <s v="GBPR_RECYCLEDWOOD_SE4EL"/>
    <x v="0"/>
    <x v="11"/>
    <n v="11.356556143732901"/>
    <n v="4145.1429924625199"/>
    <n v="14922.514772865101"/>
  </r>
  <r>
    <x v="0"/>
    <x v="0"/>
    <x v="0"/>
    <x v="9"/>
    <x v="20"/>
    <s v="SE4_EL"/>
    <x v="20"/>
    <s v="GBPR_RECYCLEDWOOD_SE4EL"/>
    <x v="0"/>
    <x v="12"/>
    <n v="11.356556143732901"/>
    <n v="4145.1429924625199"/>
    <n v="14922.514772865101"/>
  </r>
  <r>
    <x v="0"/>
    <x v="0"/>
    <x v="0"/>
    <x v="9"/>
    <x v="20"/>
    <s v="SE4_EL"/>
    <x v="20"/>
    <s v="GBPR_RECYCLEDWOOD_SE4EL"/>
    <x v="0"/>
    <x v="13"/>
    <n v="11.356556143732901"/>
    <n v="4145.1429924625199"/>
    <n v="14922.514772865101"/>
  </r>
  <r>
    <x v="0"/>
    <x v="0"/>
    <x v="0"/>
    <x v="9"/>
    <x v="20"/>
    <s v="SE4_EL"/>
    <x v="20"/>
    <s v="GBPR_RECYCLEDWOOD_SE4EL"/>
    <x v="0"/>
    <x v="14"/>
    <n v="11.356556143732901"/>
    <n v="4145.1429924625199"/>
    <n v="14922.514772865101"/>
  </r>
  <r>
    <x v="0"/>
    <x v="0"/>
    <x v="0"/>
    <x v="9"/>
    <x v="20"/>
    <s v="SE4_EL"/>
    <x v="20"/>
    <s v="GBPR_RECYCLEDWOOD_SE4EL"/>
    <x v="0"/>
    <x v="15"/>
    <n v="11.356556143732901"/>
    <n v="4145.1429924625199"/>
    <n v="14922.514772865101"/>
  </r>
  <r>
    <x v="0"/>
    <x v="0"/>
    <x v="0"/>
    <x v="9"/>
    <x v="20"/>
    <s v="SE4_EL"/>
    <x v="20"/>
    <s v="GBPR_RECYCLEDWOOD_SE4EL"/>
    <x v="0"/>
    <x v="16"/>
    <n v="11.356556143732901"/>
    <n v="4145.1429924625199"/>
    <n v="14922.514772865101"/>
  </r>
  <r>
    <x v="0"/>
    <x v="0"/>
    <x v="0"/>
    <x v="9"/>
    <x v="20"/>
    <s v="SE4_EL"/>
    <x v="20"/>
    <s v="GBPR_RECYCLEDWOOD_SE4EL"/>
    <x v="0"/>
    <x v="17"/>
    <n v="11.356556143732901"/>
    <n v="4145.1429924625199"/>
    <n v="14922.514772865101"/>
  </r>
  <r>
    <x v="0"/>
    <x v="0"/>
    <x v="0"/>
    <x v="9"/>
    <x v="20"/>
    <s v="SE4_EL"/>
    <x v="20"/>
    <s v="GBPR_RECYCLEDWOOD_SE4EL"/>
    <x v="0"/>
    <x v="19"/>
    <n v="9.1637948305574994"/>
    <n v="3344.7851131534899"/>
    <n v="12041.2264073526"/>
  </r>
  <r>
    <x v="0"/>
    <x v="0"/>
    <x v="0"/>
    <x v="9"/>
    <x v="20"/>
    <s v="SE4_EL"/>
    <x v="20"/>
    <s v="GBPR_RECYCLEDWOOD_SE4EL"/>
    <x v="0"/>
    <x v="20"/>
    <n v="1.2268942514457"/>
    <n v="447.81640177768003"/>
    <n v="1612.1390463996499"/>
  </r>
  <r>
    <x v="0"/>
    <x v="0"/>
    <x v="0"/>
    <x v="9"/>
    <x v="20"/>
    <s v="SE4_EL"/>
    <x v="20"/>
    <s v="GHOB_RECYCLEDWOOD"/>
    <x v="0"/>
    <x v="6"/>
    <n v="4.6528402183990902"/>
    <n v="1698.2866797156701"/>
    <n v="6113.8320469764103"/>
  </r>
  <r>
    <x v="0"/>
    <x v="0"/>
    <x v="0"/>
    <x v="9"/>
    <x v="20"/>
    <s v="SE4_EL"/>
    <x v="20"/>
    <s v="GHOB_RECYCLEDWOOD"/>
    <x v="0"/>
    <x v="7"/>
    <n v="4.6528402183990902"/>
    <n v="1698.2866797156701"/>
    <n v="6113.8320469764103"/>
  </r>
  <r>
    <x v="0"/>
    <x v="0"/>
    <x v="0"/>
    <x v="9"/>
    <x v="20"/>
    <s v="SE4_EL"/>
    <x v="20"/>
    <s v="GHOB_RECYCLEDWOOD"/>
    <x v="0"/>
    <x v="8"/>
    <n v="4.6528402183990902"/>
    <n v="1698.2866797156701"/>
    <n v="6113.8320469764103"/>
  </r>
  <r>
    <x v="0"/>
    <x v="0"/>
    <x v="0"/>
    <x v="9"/>
    <x v="20"/>
    <s v="SE4_EL"/>
    <x v="1"/>
    <s v="GHOB_WASTEHEAT"/>
    <x v="0"/>
    <x v="0"/>
    <n v="10.4166666666666"/>
    <n v="3802.0833333333198"/>
    <n v="13687.4999999999"/>
  </r>
  <r>
    <x v="0"/>
    <x v="0"/>
    <x v="0"/>
    <x v="9"/>
    <x v="20"/>
    <s v="SE4_EL"/>
    <x v="1"/>
    <s v="GHOB_WASTEHEAT"/>
    <x v="0"/>
    <x v="1"/>
    <n v="10.4166666666666"/>
    <n v="3802.0833333333198"/>
    <n v="13687.4999999999"/>
  </r>
  <r>
    <x v="0"/>
    <x v="0"/>
    <x v="0"/>
    <x v="9"/>
    <x v="20"/>
    <s v="SE4_EL"/>
    <x v="1"/>
    <s v="GHOB_WASTEHEAT"/>
    <x v="0"/>
    <x v="2"/>
    <n v="10.4166666666666"/>
    <n v="3802.0833333333198"/>
    <n v="13687.4999999999"/>
  </r>
  <r>
    <x v="0"/>
    <x v="0"/>
    <x v="0"/>
    <x v="9"/>
    <x v="20"/>
    <s v="SE4_EL"/>
    <x v="1"/>
    <s v="GHOB_WASTEHEAT"/>
    <x v="0"/>
    <x v="3"/>
    <n v="10.4166666666666"/>
    <n v="3802.0833333333198"/>
    <n v="13687.4999999999"/>
  </r>
  <r>
    <x v="0"/>
    <x v="0"/>
    <x v="0"/>
    <x v="9"/>
    <x v="20"/>
    <s v="SE4_EL"/>
    <x v="1"/>
    <s v="GHOB_WASTEHEAT"/>
    <x v="0"/>
    <x v="18"/>
    <n v="10.4166666666666"/>
    <n v="3802.0833333333198"/>
    <n v="13687.4999999999"/>
  </r>
  <r>
    <x v="0"/>
    <x v="0"/>
    <x v="0"/>
    <x v="9"/>
    <x v="20"/>
    <s v="SE4_EL"/>
    <x v="1"/>
    <s v="GHOB_WASTEHEAT"/>
    <x v="0"/>
    <x v="4"/>
    <n v="10.4166666666666"/>
    <n v="3802.0833333333198"/>
    <n v="13687.4999999999"/>
  </r>
  <r>
    <x v="0"/>
    <x v="0"/>
    <x v="0"/>
    <x v="9"/>
    <x v="20"/>
    <s v="SE4_EL"/>
    <x v="1"/>
    <s v="GHOB_WASTEHEAT"/>
    <x v="0"/>
    <x v="5"/>
    <n v="10.4166666666666"/>
    <n v="3802.0833333333198"/>
    <n v="13687.4999999999"/>
  </r>
  <r>
    <x v="0"/>
    <x v="0"/>
    <x v="0"/>
    <x v="9"/>
    <x v="20"/>
    <s v="SE4_EL"/>
    <x v="1"/>
    <s v="GHOB_WASTEHEAT"/>
    <x v="0"/>
    <x v="6"/>
    <n v="10.4166666666666"/>
    <n v="3802.0833333333198"/>
    <n v="13687.4999999999"/>
  </r>
  <r>
    <x v="0"/>
    <x v="0"/>
    <x v="0"/>
    <x v="9"/>
    <x v="20"/>
    <s v="SE4_EL"/>
    <x v="1"/>
    <s v="GHOB_WASTEHEAT"/>
    <x v="0"/>
    <x v="7"/>
    <n v="10.4166666666666"/>
    <n v="3802.0833333333198"/>
    <n v="13687.4999999999"/>
  </r>
  <r>
    <x v="0"/>
    <x v="0"/>
    <x v="0"/>
    <x v="9"/>
    <x v="20"/>
    <s v="SE4_EL"/>
    <x v="1"/>
    <s v="GHOB_WASTEHEAT"/>
    <x v="0"/>
    <x v="8"/>
    <n v="10.4166666666666"/>
    <n v="3802.0833333333198"/>
    <n v="13687.4999999999"/>
  </r>
  <r>
    <x v="0"/>
    <x v="0"/>
    <x v="0"/>
    <x v="9"/>
    <x v="20"/>
    <s v="SE4_EL"/>
    <x v="1"/>
    <s v="GHOB_WASTEHEAT"/>
    <x v="0"/>
    <x v="9"/>
    <n v="10.4166666666666"/>
    <n v="3802.0833333333198"/>
    <n v="13687.4999999999"/>
  </r>
  <r>
    <x v="0"/>
    <x v="0"/>
    <x v="0"/>
    <x v="9"/>
    <x v="20"/>
    <s v="SE4_EL"/>
    <x v="1"/>
    <s v="GHOB_WASTEHEAT"/>
    <x v="0"/>
    <x v="10"/>
    <n v="10.4166666666666"/>
    <n v="3802.0833333333198"/>
    <n v="13687.4999999999"/>
  </r>
  <r>
    <x v="0"/>
    <x v="0"/>
    <x v="0"/>
    <x v="9"/>
    <x v="20"/>
    <s v="SE4_EL"/>
    <x v="1"/>
    <s v="GHOB_WASTEHEAT"/>
    <x v="0"/>
    <x v="11"/>
    <n v="10.4166666666666"/>
    <n v="3802.0833333333198"/>
    <n v="13687.4999999999"/>
  </r>
  <r>
    <x v="0"/>
    <x v="0"/>
    <x v="0"/>
    <x v="9"/>
    <x v="20"/>
    <s v="SE4_EL"/>
    <x v="1"/>
    <s v="GHOB_WASTEHEAT"/>
    <x v="0"/>
    <x v="12"/>
    <n v="10.4166666666666"/>
    <n v="3802.0833333333198"/>
    <n v="13687.4999999999"/>
  </r>
  <r>
    <x v="0"/>
    <x v="0"/>
    <x v="0"/>
    <x v="9"/>
    <x v="20"/>
    <s v="SE4_EL"/>
    <x v="1"/>
    <s v="GHOB_WASTEHEAT"/>
    <x v="0"/>
    <x v="13"/>
    <n v="10.4166666666666"/>
    <n v="3802.0833333333198"/>
    <n v="13687.4999999999"/>
  </r>
  <r>
    <x v="0"/>
    <x v="0"/>
    <x v="0"/>
    <x v="9"/>
    <x v="20"/>
    <s v="SE4_EL"/>
    <x v="1"/>
    <s v="GHOB_WASTEHEAT"/>
    <x v="0"/>
    <x v="14"/>
    <n v="10.4166666666666"/>
    <n v="3802.0833333333198"/>
    <n v="13687.4999999999"/>
  </r>
  <r>
    <x v="0"/>
    <x v="0"/>
    <x v="0"/>
    <x v="9"/>
    <x v="20"/>
    <s v="SE4_EL"/>
    <x v="1"/>
    <s v="GHOB_WASTEHEAT"/>
    <x v="0"/>
    <x v="15"/>
    <n v="10.4166666666666"/>
    <n v="3802.0833333333198"/>
    <n v="13687.4999999999"/>
  </r>
  <r>
    <x v="0"/>
    <x v="0"/>
    <x v="0"/>
    <x v="9"/>
    <x v="20"/>
    <s v="SE4_EL"/>
    <x v="1"/>
    <s v="GHOB_WASTEHEAT"/>
    <x v="0"/>
    <x v="16"/>
    <n v="10.4166666666666"/>
    <n v="3802.0833333333198"/>
    <n v="13687.4999999999"/>
  </r>
  <r>
    <x v="0"/>
    <x v="0"/>
    <x v="0"/>
    <x v="9"/>
    <x v="20"/>
    <s v="SE4_EL"/>
    <x v="1"/>
    <s v="GHOB_WASTEHEAT"/>
    <x v="0"/>
    <x v="17"/>
    <n v="10.4166666666666"/>
    <n v="3802.0833333333198"/>
    <n v="13687.4999999999"/>
  </r>
  <r>
    <x v="0"/>
    <x v="0"/>
    <x v="0"/>
    <x v="9"/>
    <x v="20"/>
    <s v="SE4_EL"/>
    <x v="1"/>
    <s v="GHOB_WASTEHEAT"/>
    <x v="0"/>
    <x v="19"/>
    <n v="10.4166666666666"/>
    <n v="3802.0833333333198"/>
    <n v="13687.4999999999"/>
  </r>
  <r>
    <x v="0"/>
    <x v="0"/>
    <x v="0"/>
    <x v="9"/>
    <x v="20"/>
    <s v="SE4_EL"/>
    <x v="1"/>
    <s v="GHOB_WASTEHEAT"/>
    <x v="0"/>
    <x v="20"/>
    <n v="10.4166666666666"/>
    <n v="3802.0833333333198"/>
    <n v="13687.4999999999"/>
  </r>
  <r>
    <x v="0"/>
    <x v="0"/>
    <x v="0"/>
    <x v="9"/>
    <x v="20"/>
    <s v="SE4_EL"/>
    <x v="1"/>
    <s v="GHOB_WASTEHEAT"/>
    <x v="0"/>
    <x v="21"/>
    <n v="10.4166666666666"/>
    <n v="3802.0833333333198"/>
    <n v="13687.4999999999"/>
  </r>
  <r>
    <x v="0"/>
    <x v="0"/>
    <x v="0"/>
    <x v="9"/>
    <x v="20"/>
    <s v="SE4_EL"/>
    <x v="1"/>
    <s v="GHOB_WASTEHEAT"/>
    <x v="0"/>
    <x v="22"/>
    <n v="10.4166666666666"/>
    <n v="3802.0833333333198"/>
    <n v="13687.4999999999"/>
  </r>
  <r>
    <x v="0"/>
    <x v="0"/>
    <x v="0"/>
    <x v="9"/>
    <x v="20"/>
    <s v="SE4_EL"/>
    <x v="1"/>
    <s v="GHOB_WASTEHEAT"/>
    <x v="0"/>
    <x v="23"/>
    <n v="10.4166666666666"/>
    <n v="3802.0833333333198"/>
    <n v="13687.4999999999"/>
  </r>
  <r>
    <x v="0"/>
    <x v="0"/>
    <x v="0"/>
    <x v="9"/>
    <x v="20"/>
    <s v="SE4_EL"/>
    <x v="9"/>
    <s v="GHOB_WOODWASTE"/>
    <x v="0"/>
    <x v="0"/>
    <n v="64.848960543937395"/>
    <n v="23669.870598537102"/>
    <n v="85211.534154733701"/>
  </r>
  <r>
    <x v="0"/>
    <x v="0"/>
    <x v="0"/>
    <x v="9"/>
    <x v="20"/>
    <s v="SE4_EL"/>
    <x v="9"/>
    <s v="GHOB_WOODWASTE"/>
    <x v="0"/>
    <x v="1"/>
    <n v="64.848960543937395"/>
    <n v="23669.870598537102"/>
    <n v="85211.534154733701"/>
  </r>
  <r>
    <x v="0"/>
    <x v="0"/>
    <x v="0"/>
    <x v="9"/>
    <x v="20"/>
    <s v="SE4_EL"/>
    <x v="9"/>
    <s v="GHOB_WOODWASTE"/>
    <x v="0"/>
    <x v="2"/>
    <n v="64.848960543937395"/>
    <n v="23669.870598537102"/>
    <n v="85211.534154733701"/>
  </r>
  <r>
    <x v="0"/>
    <x v="0"/>
    <x v="0"/>
    <x v="9"/>
    <x v="20"/>
    <s v="SE4_EL"/>
    <x v="9"/>
    <s v="GHOB_WOODWASTE"/>
    <x v="0"/>
    <x v="3"/>
    <n v="64.848960543937395"/>
    <n v="23669.870598537102"/>
    <n v="85211.534154733701"/>
  </r>
  <r>
    <x v="0"/>
    <x v="0"/>
    <x v="0"/>
    <x v="9"/>
    <x v="20"/>
    <s v="SE4_EL"/>
    <x v="9"/>
    <s v="GHOB_WOODWASTE"/>
    <x v="0"/>
    <x v="18"/>
    <n v="64.848960543937395"/>
    <n v="23669.870598537102"/>
    <n v="85211.534154733701"/>
  </r>
  <r>
    <x v="0"/>
    <x v="0"/>
    <x v="0"/>
    <x v="9"/>
    <x v="20"/>
    <s v="SE4_EL"/>
    <x v="9"/>
    <s v="GHOB_WOODWASTE"/>
    <x v="0"/>
    <x v="4"/>
    <n v="64.848960543937395"/>
    <n v="23669.870598537102"/>
    <n v="85211.534154733701"/>
  </r>
  <r>
    <x v="0"/>
    <x v="0"/>
    <x v="0"/>
    <x v="9"/>
    <x v="20"/>
    <s v="SE4_EL"/>
    <x v="9"/>
    <s v="GHOB_WOODWASTE"/>
    <x v="0"/>
    <x v="5"/>
    <n v="64.848960543937395"/>
    <n v="23669.870598537102"/>
    <n v="85211.534154733701"/>
  </r>
  <r>
    <x v="0"/>
    <x v="0"/>
    <x v="0"/>
    <x v="9"/>
    <x v="20"/>
    <s v="SE4_EL"/>
    <x v="9"/>
    <s v="GHOB_WOODWASTE"/>
    <x v="0"/>
    <x v="6"/>
    <n v="64.848960543937395"/>
    <n v="23669.870598537102"/>
    <n v="85211.534154733701"/>
  </r>
  <r>
    <x v="0"/>
    <x v="0"/>
    <x v="0"/>
    <x v="9"/>
    <x v="20"/>
    <s v="SE4_EL"/>
    <x v="9"/>
    <s v="GHOB_WOODWASTE"/>
    <x v="0"/>
    <x v="7"/>
    <n v="64.848960543937395"/>
    <n v="23669.870598537102"/>
    <n v="85211.534154733701"/>
  </r>
  <r>
    <x v="0"/>
    <x v="0"/>
    <x v="0"/>
    <x v="9"/>
    <x v="20"/>
    <s v="SE4_EL"/>
    <x v="9"/>
    <s v="GHOB_WOODWASTE"/>
    <x v="0"/>
    <x v="8"/>
    <n v="64.848960543937395"/>
    <n v="23669.870598537102"/>
    <n v="85211.534154733701"/>
  </r>
  <r>
    <x v="0"/>
    <x v="0"/>
    <x v="0"/>
    <x v="9"/>
    <x v="20"/>
    <s v="SE4_EL"/>
    <x v="9"/>
    <s v="GHOB_WOODWASTE"/>
    <x v="0"/>
    <x v="9"/>
    <n v="64.848960543937395"/>
    <n v="23669.870598537102"/>
    <n v="85211.534154733701"/>
  </r>
  <r>
    <x v="0"/>
    <x v="0"/>
    <x v="0"/>
    <x v="9"/>
    <x v="20"/>
    <s v="SE4_EL"/>
    <x v="9"/>
    <s v="GHOB_WOODWASTE"/>
    <x v="0"/>
    <x v="10"/>
    <n v="64.848960543937395"/>
    <n v="23669.870598537102"/>
    <n v="85211.534154733701"/>
  </r>
  <r>
    <x v="0"/>
    <x v="0"/>
    <x v="0"/>
    <x v="9"/>
    <x v="20"/>
    <s v="SE4_EL"/>
    <x v="9"/>
    <s v="GHOB_WOODWASTE"/>
    <x v="0"/>
    <x v="11"/>
    <n v="64.848960543937395"/>
    <n v="23669.870598537102"/>
    <n v="85211.534154733701"/>
  </r>
  <r>
    <x v="0"/>
    <x v="0"/>
    <x v="0"/>
    <x v="9"/>
    <x v="20"/>
    <s v="SE4_EL"/>
    <x v="9"/>
    <s v="GHOB_WOODWASTE"/>
    <x v="0"/>
    <x v="12"/>
    <n v="64.848960543937395"/>
    <n v="23669.870598537102"/>
    <n v="85211.534154733701"/>
  </r>
  <r>
    <x v="0"/>
    <x v="0"/>
    <x v="0"/>
    <x v="9"/>
    <x v="20"/>
    <s v="SE4_EL"/>
    <x v="9"/>
    <s v="GHOB_WOODWASTE"/>
    <x v="0"/>
    <x v="13"/>
    <n v="64.848960543937395"/>
    <n v="23669.870598537102"/>
    <n v="85211.534154733701"/>
  </r>
  <r>
    <x v="0"/>
    <x v="0"/>
    <x v="0"/>
    <x v="9"/>
    <x v="20"/>
    <s v="SE4_EL"/>
    <x v="9"/>
    <s v="GHOB_WOODWASTE"/>
    <x v="0"/>
    <x v="14"/>
    <n v="64.848960543937395"/>
    <n v="23669.870598537102"/>
    <n v="85211.534154733701"/>
  </r>
  <r>
    <x v="0"/>
    <x v="0"/>
    <x v="0"/>
    <x v="9"/>
    <x v="20"/>
    <s v="SE4_EL"/>
    <x v="9"/>
    <s v="GHOB_WOODWASTE"/>
    <x v="0"/>
    <x v="15"/>
    <n v="64.848960543937395"/>
    <n v="23669.870598537102"/>
    <n v="85211.534154733701"/>
  </r>
  <r>
    <x v="0"/>
    <x v="0"/>
    <x v="0"/>
    <x v="9"/>
    <x v="20"/>
    <s v="SE4_EL"/>
    <x v="9"/>
    <s v="GHOB_WOODWASTE"/>
    <x v="0"/>
    <x v="16"/>
    <n v="64.848960543937395"/>
    <n v="23669.870598537102"/>
    <n v="85211.534154733701"/>
  </r>
  <r>
    <x v="0"/>
    <x v="0"/>
    <x v="0"/>
    <x v="9"/>
    <x v="20"/>
    <s v="SE4_EL"/>
    <x v="9"/>
    <s v="GHOB_WOODWASTE"/>
    <x v="0"/>
    <x v="17"/>
    <n v="64.848960543937395"/>
    <n v="23669.870598537102"/>
    <n v="85211.534154733701"/>
  </r>
  <r>
    <x v="0"/>
    <x v="0"/>
    <x v="0"/>
    <x v="9"/>
    <x v="20"/>
    <s v="SE4_EL"/>
    <x v="9"/>
    <s v="GHOB_WOODWASTE"/>
    <x v="0"/>
    <x v="19"/>
    <n v="64.848960543937395"/>
    <n v="23669.870598537102"/>
    <n v="85211.534154733701"/>
  </r>
  <r>
    <x v="0"/>
    <x v="0"/>
    <x v="0"/>
    <x v="9"/>
    <x v="20"/>
    <s v="SE4_EL"/>
    <x v="9"/>
    <s v="GHOB_WOODWASTE"/>
    <x v="0"/>
    <x v="20"/>
    <n v="64.848960543937395"/>
    <n v="23669.870598537102"/>
    <n v="85211.534154733701"/>
  </r>
  <r>
    <x v="0"/>
    <x v="0"/>
    <x v="0"/>
    <x v="9"/>
    <x v="20"/>
    <s v="SE4_EL"/>
    <x v="9"/>
    <s v="GHOB_WOODWASTE"/>
    <x v="0"/>
    <x v="21"/>
    <n v="64.848960543937395"/>
    <n v="23669.870598537102"/>
    <n v="85211.534154733701"/>
  </r>
  <r>
    <x v="0"/>
    <x v="0"/>
    <x v="0"/>
    <x v="9"/>
    <x v="20"/>
    <s v="SE4_EL"/>
    <x v="9"/>
    <s v="GHOB_WOODWASTE"/>
    <x v="0"/>
    <x v="22"/>
    <n v="64.848960543937395"/>
    <n v="23669.870598537102"/>
    <n v="85211.534154733701"/>
  </r>
  <r>
    <x v="0"/>
    <x v="0"/>
    <x v="0"/>
    <x v="9"/>
    <x v="20"/>
    <s v="SE4_EL"/>
    <x v="9"/>
    <s v="GHOB_WOODWASTE"/>
    <x v="0"/>
    <x v="23"/>
    <n v="64.848960543937395"/>
    <n v="23669.870598537102"/>
    <n v="85211.534154733701"/>
  </r>
  <r>
    <x v="0"/>
    <x v="0"/>
    <x v="0"/>
    <x v="9"/>
    <x v="20"/>
    <s v="SE4_HP"/>
    <x v="2"/>
    <s v="GBPR_MUNIWASTE_65"/>
    <x v="0"/>
    <x v="0"/>
    <n v="51.746031746031697"/>
    <n v="18887.301587301601"/>
    <n v="67994.285714285696"/>
  </r>
  <r>
    <x v="0"/>
    <x v="0"/>
    <x v="0"/>
    <x v="9"/>
    <x v="20"/>
    <s v="SE4_HP"/>
    <x v="2"/>
    <s v="GBPR_MUNIWASTE_65"/>
    <x v="0"/>
    <x v="1"/>
    <n v="51.746031746031697"/>
    <n v="18887.301587301601"/>
    <n v="67994.285714285696"/>
  </r>
  <r>
    <x v="0"/>
    <x v="0"/>
    <x v="0"/>
    <x v="9"/>
    <x v="20"/>
    <s v="SE4_HP"/>
    <x v="2"/>
    <s v="GBPR_MUNIWASTE_65"/>
    <x v="0"/>
    <x v="2"/>
    <n v="51.746031746031697"/>
    <n v="18887.301587301601"/>
    <n v="67994.285714285696"/>
  </r>
  <r>
    <x v="0"/>
    <x v="0"/>
    <x v="0"/>
    <x v="9"/>
    <x v="20"/>
    <s v="SE4_HP"/>
    <x v="2"/>
    <s v="GBPR_MUNIWASTE_65"/>
    <x v="0"/>
    <x v="3"/>
    <n v="51.746031746031697"/>
    <n v="18887.301587301601"/>
    <n v="67994.285714285696"/>
  </r>
  <r>
    <x v="0"/>
    <x v="0"/>
    <x v="0"/>
    <x v="9"/>
    <x v="20"/>
    <s v="SE4_HP"/>
    <x v="2"/>
    <s v="GBPR_MUNIWASTE_65"/>
    <x v="0"/>
    <x v="18"/>
    <n v="51.746031746031697"/>
    <n v="18887.301587301601"/>
    <n v="67994.285714285696"/>
  </r>
  <r>
    <x v="0"/>
    <x v="0"/>
    <x v="0"/>
    <x v="9"/>
    <x v="20"/>
    <s v="SE4_HP"/>
    <x v="2"/>
    <s v="GBPR_MUNIWASTE_65"/>
    <x v="0"/>
    <x v="4"/>
    <n v="51.746031746031697"/>
    <n v="18887.301587301601"/>
    <n v="67994.285714285696"/>
  </r>
  <r>
    <x v="0"/>
    <x v="0"/>
    <x v="0"/>
    <x v="9"/>
    <x v="20"/>
    <s v="SE4_HP"/>
    <x v="2"/>
    <s v="GBPR_MUNIWASTE_65"/>
    <x v="0"/>
    <x v="5"/>
    <n v="51.746031746031697"/>
    <n v="18887.301587301601"/>
    <n v="67994.285714285696"/>
  </r>
  <r>
    <x v="0"/>
    <x v="0"/>
    <x v="0"/>
    <x v="9"/>
    <x v="20"/>
    <s v="SE4_HP"/>
    <x v="2"/>
    <s v="GBPR_MUNIWASTE_65"/>
    <x v="0"/>
    <x v="6"/>
    <n v="51.746031746031697"/>
    <n v="18887.301587301601"/>
    <n v="67994.285714285696"/>
  </r>
  <r>
    <x v="0"/>
    <x v="0"/>
    <x v="0"/>
    <x v="9"/>
    <x v="20"/>
    <s v="SE4_HP"/>
    <x v="2"/>
    <s v="GBPR_MUNIWASTE_65"/>
    <x v="0"/>
    <x v="7"/>
    <n v="51.746031746031697"/>
    <n v="18887.301587301601"/>
    <n v="67994.285714285696"/>
  </r>
  <r>
    <x v="0"/>
    <x v="0"/>
    <x v="0"/>
    <x v="9"/>
    <x v="20"/>
    <s v="SE4_HP"/>
    <x v="2"/>
    <s v="GBPR_MUNIWASTE_65"/>
    <x v="0"/>
    <x v="8"/>
    <n v="51.746031746031697"/>
    <n v="18887.301587301601"/>
    <n v="67994.285714285696"/>
  </r>
  <r>
    <x v="0"/>
    <x v="0"/>
    <x v="0"/>
    <x v="9"/>
    <x v="20"/>
    <s v="SE4_HP"/>
    <x v="2"/>
    <s v="GBPR_MUNIWASTE_65"/>
    <x v="0"/>
    <x v="9"/>
    <n v="51.746031746031697"/>
    <n v="18887.301587301601"/>
    <n v="67994.285714285696"/>
  </r>
  <r>
    <x v="0"/>
    <x v="0"/>
    <x v="0"/>
    <x v="9"/>
    <x v="20"/>
    <s v="SE4_HP"/>
    <x v="2"/>
    <s v="GBPR_MUNIWASTE_65"/>
    <x v="0"/>
    <x v="10"/>
    <n v="51.746031746031697"/>
    <n v="18887.301587301601"/>
    <n v="67994.285714285696"/>
  </r>
  <r>
    <x v="0"/>
    <x v="0"/>
    <x v="0"/>
    <x v="9"/>
    <x v="20"/>
    <s v="SE4_HP"/>
    <x v="2"/>
    <s v="GBPR_MUNIWASTE_65"/>
    <x v="0"/>
    <x v="11"/>
    <n v="51.746031746031697"/>
    <n v="18887.301587301601"/>
    <n v="67994.285714285696"/>
  </r>
  <r>
    <x v="0"/>
    <x v="0"/>
    <x v="0"/>
    <x v="9"/>
    <x v="20"/>
    <s v="SE4_HP"/>
    <x v="2"/>
    <s v="GBPR_MUNIWASTE_65"/>
    <x v="0"/>
    <x v="12"/>
    <n v="51.746031746031697"/>
    <n v="18887.301587301601"/>
    <n v="67994.285714285696"/>
  </r>
  <r>
    <x v="0"/>
    <x v="0"/>
    <x v="0"/>
    <x v="9"/>
    <x v="20"/>
    <s v="SE4_HP"/>
    <x v="2"/>
    <s v="GBPR_MUNIWASTE_65"/>
    <x v="0"/>
    <x v="13"/>
    <n v="51.746031746031697"/>
    <n v="18887.301587301601"/>
    <n v="67994.285714285696"/>
  </r>
  <r>
    <x v="0"/>
    <x v="0"/>
    <x v="0"/>
    <x v="9"/>
    <x v="20"/>
    <s v="SE4_HP"/>
    <x v="2"/>
    <s v="GBPR_MUNIWASTE_65"/>
    <x v="0"/>
    <x v="14"/>
    <n v="51.746031746031697"/>
    <n v="18887.301587301601"/>
    <n v="67994.285714285696"/>
  </r>
  <r>
    <x v="0"/>
    <x v="0"/>
    <x v="0"/>
    <x v="9"/>
    <x v="20"/>
    <s v="SE4_HP"/>
    <x v="2"/>
    <s v="GBPR_MUNIWASTE_65"/>
    <x v="0"/>
    <x v="15"/>
    <n v="51.746031746031697"/>
    <n v="18887.301587301601"/>
    <n v="67994.285714285696"/>
  </r>
  <r>
    <x v="0"/>
    <x v="0"/>
    <x v="0"/>
    <x v="9"/>
    <x v="20"/>
    <s v="SE4_HP"/>
    <x v="2"/>
    <s v="GBPR_MUNIWASTE_65"/>
    <x v="0"/>
    <x v="16"/>
    <n v="51.746031746031697"/>
    <n v="18887.301587301601"/>
    <n v="67994.285714285696"/>
  </r>
  <r>
    <x v="0"/>
    <x v="0"/>
    <x v="0"/>
    <x v="9"/>
    <x v="20"/>
    <s v="SE4_HP"/>
    <x v="2"/>
    <s v="GBPR_MUNIWASTE_65"/>
    <x v="0"/>
    <x v="17"/>
    <n v="51.746031746031697"/>
    <n v="18887.301587301601"/>
    <n v="67994.285714285696"/>
  </r>
  <r>
    <x v="0"/>
    <x v="0"/>
    <x v="0"/>
    <x v="9"/>
    <x v="20"/>
    <s v="SE4_HP"/>
    <x v="2"/>
    <s v="GBPR_MUNIWASTE_65"/>
    <x v="0"/>
    <x v="19"/>
    <n v="51.746031746031697"/>
    <n v="18887.301587301601"/>
    <n v="67994.285714285696"/>
  </r>
  <r>
    <x v="0"/>
    <x v="0"/>
    <x v="0"/>
    <x v="9"/>
    <x v="20"/>
    <s v="SE4_HP"/>
    <x v="2"/>
    <s v="GBPR_MUNIWASTE_65"/>
    <x v="0"/>
    <x v="20"/>
    <n v="51.746031746031697"/>
    <n v="18887.301587301601"/>
    <n v="67994.285714285696"/>
  </r>
  <r>
    <x v="0"/>
    <x v="0"/>
    <x v="0"/>
    <x v="9"/>
    <x v="20"/>
    <s v="SE4_HP"/>
    <x v="2"/>
    <s v="GBPR_MUNIWASTE_65"/>
    <x v="0"/>
    <x v="21"/>
    <n v="51.746031746031697"/>
    <n v="18887.301587301601"/>
    <n v="67994.285714285696"/>
  </r>
  <r>
    <x v="0"/>
    <x v="0"/>
    <x v="0"/>
    <x v="9"/>
    <x v="20"/>
    <s v="SE4_HP"/>
    <x v="2"/>
    <s v="GBPR_MUNIWASTE_65"/>
    <x v="0"/>
    <x v="22"/>
    <n v="51.746031746031697"/>
    <n v="18887.301587301601"/>
    <n v="67994.285714285696"/>
  </r>
  <r>
    <x v="0"/>
    <x v="0"/>
    <x v="0"/>
    <x v="9"/>
    <x v="20"/>
    <s v="SE4_HP"/>
    <x v="2"/>
    <s v="GBPR_MUNIWASTE_65"/>
    <x v="0"/>
    <x v="23"/>
    <n v="51.746031746031697"/>
    <n v="18887.301587301601"/>
    <n v="67994.285714285696"/>
  </r>
  <r>
    <x v="0"/>
    <x v="0"/>
    <x v="0"/>
    <x v="9"/>
    <x v="20"/>
    <s v="SE4_HP"/>
    <x v="3"/>
    <s v="GBPR_NATGAS_100"/>
    <x v="0"/>
    <x v="4"/>
    <n v="21.131746687016701"/>
    <n v="7713.0875407610902"/>
    <n v="27767.1151467399"/>
  </r>
  <r>
    <x v="0"/>
    <x v="0"/>
    <x v="0"/>
    <x v="9"/>
    <x v="20"/>
    <s v="SE4_HP"/>
    <x v="3"/>
    <s v="GBPR_NATGAS_100"/>
    <x v="0"/>
    <x v="5"/>
    <n v="90.242999489857695"/>
    <n v="32938.694813798102"/>
    <n v="118579.30132967301"/>
  </r>
  <r>
    <x v="0"/>
    <x v="0"/>
    <x v="0"/>
    <x v="9"/>
    <x v="20"/>
    <s v="SE4_HP"/>
    <x v="3"/>
    <s v="GBPR_NATGAS_100"/>
    <x v="0"/>
    <x v="6"/>
    <n v="122.727272727273"/>
    <n v="44795.454545454602"/>
    <n v="161263.636363636"/>
  </r>
  <r>
    <x v="0"/>
    <x v="0"/>
    <x v="0"/>
    <x v="9"/>
    <x v="20"/>
    <s v="SE4_HP"/>
    <x v="3"/>
    <s v="GBPR_NATGAS_100"/>
    <x v="0"/>
    <x v="7"/>
    <n v="122.727272727273"/>
    <n v="44795.454545454602"/>
    <n v="161263.636363636"/>
  </r>
  <r>
    <x v="0"/>
    <x v="0"/>
    <x v="0"/>
    <x v="9"/>
    <x v="20"/>
    <s v="SE4_HP"/>
    <x v="3"/>
    <s v="GBPR_NATGAS_100"/>
    <x v="0"/>
    <x v="8"/>
    <n v="111.631008209756"/>
    <n v="40745.317996561003"/>
    <n v="146683.14478762"/>
  </r>
  <r>
    <x v="0"/>
    <x v="0"/>
    <x v="0"/>
    <x v="9"/>
    <x v="20"/>
    <s v="SE4_HP"/>
    <x v="3"/>
    <s v="GBPR_NATGAS_100"/>
    <x v="0"/>
    <x v="9"/>
    <n v="90.547479965912302"/>
    <n v="33049.830187558"/>
    <n v="118979.388675209"/>
  </r>
  <r>
    <x v="0"/>
    <x v="0"/>
    <x v="0"/>
    <x v="9"/>
    <x v="20"/>
    <s v="SE4_HP"/>
    <x v="3"/>
    <s v="GBPR_NATGAS_100"/>
    <x v="0"/>
    <x v="10"/>
    <n v="79.288549065322798"/>
    <n v="28940.320408842799"/>
    <n v="104185.153471834"/>
  </r>
  <r>
    <x v="0"/>
    <x v="0"/>
    <x v="0"/>
    <x v="9"/>
    <x v="20"/>
    <s v="SE4_HP"/>
    <x v="3"/>
    <s v="GBPR_NATGAS_100"/>
    <x v="0"/>
    <x v="11"/>
    <n v="67.700174361689207"/>
    <n v="24710.563642016601"/>
    <n v="88958.029111259602"/>
  </r>
  <r>
    <x v="0"/>
    <x v="0"/>
    <x v="0"/>
    <x v="9"/>
    <x v="20"/>
    <s v="SE4_HP"/>
    <x v="3"/>
    <s v="GBPR_NATGAS_100"/>
    <x v="0"/>
    <x v="12"/>
    <n v="66.482874485502094"/>
    <n v="24266.249187208301"/>
    <n v="87358.497073949693"/>
  </r>
  <r>
    <x v="0"/>
    <x v="0"/>
    <x v="0"/>
    <x v="9"/>
    <x v="20"/>
    <s v="SE4_HP"/>
    <x v="3"/>
    <s v="GBPR_NATGAS_100"/>
    <x v="0"/>
    <x v="13"/>
    <n v="63.3008274868995"/>
    <n v="23104.8020327183"/>
    <n v="83177.2873177859"/>
  </r>
  <r>
    <x v="0"/>
    <x v="0"/>
    <x v="0"/>
    <x v="9"/>
    <x v="20"/>
    <s v="SE4_HP"/>
    <x v="3"/>
    <s v="GBPR_NATGAS_100"/>
    <x v="0"/>
    <x v="14"/>
    <n v="63.292712327486299"/>
    <n v="23101.839999532502"/>
    <n v="83166.623998316994"/>
  </r>
  <r>
    <x v="0"/>
    <x v="0"/>
    <x v="0"/>
    <x v="9"/>
    <x v="20"/>
    <s v="SE4_HP"/>
    <x v="3"/>
    <s v="GBPR_NATGAS_100"/>
    <x v="0"/>
    <x v="15"/>
    <n v="61.789642543451002"/>
    <n v="22553.219528359601"/>
    <n v="81191.590302094599"/>
  </r>
  <r>
    <x v="0"/>
    <x v="0"/>
    <x v="0"/>
    <x v="9"/>
    <x v="20"/>
    <s v="SE4_HP"/>
    <x v="3"/>
    <s v="GBPR_NATGAS_100"/>
    <x v="0"/>
    <x v="16"/>
    <n v="50.048688651636503"/>
    <n v="18267.771357847301"/>
    <n v="65763.976888250298"/>
  </r>
  <r>
    <x v="0"/>
    <x v="0"/>
    <x v="0"/>
    <x v="9"/>
    <x v="20"/>
    <s v="SE4_HP"/>
    <x v="3"/>
    <s v="GBPR_NATGAS_100"/>
    <x v="0"/>
    <x v="17"/>
    <n v="41.592359451700403"/>
    <n v="15181.211199870701"/>
    <n v="54652.360319534397"/>
  </r>
  <r>
    <x v="0"/>
    <x v="0"/>
    <x v="0"/>
    <x v="9"/>
    <x v="20"/>
    <s v="SE4_HP"/>
    <x v="3"/>
    <s v="GHOB_NATGAS"/>
    <x v="0"/>
    <x v="19"/>
    <n v="12.590416749152901"/>
    <n v="4595.5021134407898"/>
    <n v="16543.8076083868"/>
  </r>
  <r>
    <x v="0"/>
    <x v="0"/>
    <x v="0"/>
    <x v="9"/>
    <x v="20"/>
    <s v="SE4_HP"/>
    <x v="1"/>
    <s v="GHOB_WASTEHEAT"/>
    <x v="0"/>
    <x v="0"/>
    <n v="34.569597069596902"/>
    <n v="12617.902930402901"/>
    <n v="45424.450549450397"/>
  </r>
  <r>
    <x v="0"/>
    <x v="0"/>
    <x v="0"/>
    <x v="9"/>
    <x v="20"/>
    <s v="SE4_HP"/>
    <x v="1"/>
    <s v="GHOB_WASTEHEAT"/>
    <x v="0"/>
    <x v="1"/>
    <n v="34.569597069596902"/>
    <n v="12617.902930402901"/>
    <n v="45424.450549450397"/>
  </r>
  <r>
    <x v="0"/>
    <x v="0"/>
    <x v="0"/>
    <x v="9"/>
    <x v="20"/>
    <s v="SE4_HP"/>
    <x v="1"/>
    <s v="GHOB_WASTEHEAT"/>
    <x v="0"/>
    <x v="2"/>
    <n v="34.569597069596902"/>
    <n v="12617.902930402901"/>
    <n v="45424.450549450397"/>
  </r>
  <r>
    <x v="0"/>
    <x v="0"/>
    <x v="0"/>
    <x v="9"/>
    <x v="20"/>
    <s v="SE4_HP"/>
    <x v="1"/>
    <s v="GHOB_WASTEHEAT"/>
    <x v="0"/>
    <x v="3"/>
    <n v="34.569597069596902"/>
    <n v="12617.902930402901"/>
    <n v="45424.450549450397"/>
  </r>
  <r>
    <x v="0"/>
    <x v="0"/>
    <x v="0"/>
    <x v="9"/>
    <x v="20"/>
    <s v="SE4_HP"/>
    <x v="1"/>
    <s v="GHOB_WASTEHEAT"/>
    <x v="0"/>
    <x v="18"/>
    <n v="34.569597069596902"/>
    <n v="12617.902930402901"/>
    <n v="45424.450549450397"/>
  </r>
  <r>
    <x v="0"/>
    <x v="0"/>
    <x v="0"/>
    <x v="9"/>
    <x v="20"/>
    <s v="SE4_HP"/>
    <x v="1"/>
    <s v="GHOB_WASTEHEAT"/>
    <x v="0"/>
    <x v="4"/>
    <n v="34.569597069596902"/>
    <n v="12617.902930402901"/>
    <n v="45424.450549450397"/>
  </r>
  <r>
    <x v="0"/>
    <x v="0"/>
    <x v="0"/>
    <x v="9"/>
    <x v="20"/>
    <s v="SE4_HP"/>
    <x v="1"/>
    <s v="GHOB_WASTEHEAT"/>
    <x v="0"/>
    <x v="5"/>
    <n v="34.569597069596902"/>
    <n v="12617.902930402901"/>
    <n v="45424.450549450397"/>
  </r>
  <r>
    <x v="0"/>
    <x v="0"/>
    <x v="0"/>
    <x v="9"/>
    <x v="20"/>
    <s v="SE4_HP"/>
    <x v="1"/>
    <s v="GHOB_WASTEHEAT"/>
    <x v="0"/>
    <x v="6"/>
    <n v="34.569597069596902"/>
    <n v="12617.902930402901"/>
    <n v="45424.450549450397"/>
  </r>
  <r>
    <x v="0"/>
    <x v="0"/>
    <x v="0"/>
    <x v="9"/>
    <x v="20"/>
    <s v="SE4_HP"/>
    <x v="1"/>
    <s v="GHOB_WASTEHEAT"/>
    <x v="0"/>
    <x v="7"/>
    <n v="34.569597069596902"/>
    <n v="12617.902930402901"/>
    <n v="45424.450549450397"/>
  </r>
  <r>
    <x v="0"/>
    <x v="0"/>
    <x v="0"/>
    <x v="9"/>
    <x v="20"/>
    <s v="SE4_HP"/>
    <x v="1"/>
    <s v="GHOB_WASTEHEAT"/>
    <x v="0"/>
    <x v="8"/>
    <n v="34.569597069596902"/>
    <n v="12617.902930402901"/>
    <n v="45424.450549450397"/>
  </r>
  <r>
    <x v="0"/>
    <x v="0"/>
    <x v="0"/>
    <x v="9"/>
    <x v="20"/>
    <s v="SE4_HP"/>
    <x v="1"/>
    <s v="GHOB_WASTEHEAT"/>
    <x v="0"/>
    <x v="9"/>
    <n v="34.569597069596902"/>
    <n v="12617.902930402901"/>
    <n v="45424.450549450397"/>
  </r>
  <r>
    <x v="0"/>
    <x v="0"/>
    <x v="0"/>
    <x v="9"/>
    <x v="20"/>
    <s v="SE4_HP"/>
    <x v="1"/>
    <s v="GHOB_WASTEHEAT"/>
    <x v="0"/>
    <x v="10"/>
    <n v="34.569597069596902"/>
    <n v="12617.902930402901"/>
    <n v="45424.450549450397"/>
  </r>
  <r>
    <x v="0"/>
    <x v="0"/>
    <x v="0"/>
    <x v="9"/>
    <x v="20"/>
    <s v="SE4_HP"/>
    <x v="1"/>
    <s v="GHOB_WASTEHEAT"/>
    <x v="0"/>
    <x v="11"/>
    <n v="34.569597069596902"/>
    <n v="12617.902930402901"/>
    <n v="45424.450549450397"/>
  </r>
  <r>
    <x v="0"/>
    <x v="0"/>
    <x v="0"/>
    <x v="9"/>
    <x v="20"/>
    <s v="SE4_HP"/>
    <x v="1"/>
    <s v="GHOB_WASTEHEAT"/>
    <x v="0"/>
    <x v="12"/>
    <n v="34.569597069596902"/>
    <n v="12617.902930402901"/>
    <n v="45424.450549450397"/>
  </r>
  <r>
    <x v="0"/>
    <x v="0"/>
    <x v="0"/>
    <x v="9"/>
    <x v="20"/>
    <s v="SE4_HP"/>
    <x v="1"/>
    <s v="GHOB_WASTEHEAT"/>
    <x v="0"/>
    <x v="13"/>
    <n v="34.569597069596902"/>
    <n v="12617.902930402901"/>
    <n v="45424.450549450397"/>
  </r>
  <r>
    <x v="0"/>
    <x v="0"/>
    <x v="0"/>
    <x v="9"/>
    <x v="20"/>
    <s v="SE4_HP"/>
    <x v="1"/>
    <s v="GHOB_WASTEHEAT"/>
    <x v="0"/>
    <x v="14"/>
    <n v="34.569597069596902"/>
    <n v="12617.902930402901"/>
    <n v="45424.450549450397"/>
  </r>
  <r>
    <x v="0"/>
    <x v="0"/>
    <x v="0"/>
    <x v="9"/>
    <x v="20"/>
    <s v="SE4_HP"/>
    <x v="1"/>
    <s v="GHOB_WASTEHEAT"/>
    <x v="0"/>
    <x v="15"/>
    <n v="34.569597069596902"/>
    <n v="12617.902930402901"/>
    <n v="45424.450549450397"/>
  </r>
  <r>
    <x v="0"/>
    <x v="0"/>
    <x v="0"/>
    <x v="9"/>
    <x v="20"/>
    <s v="SE4_HP"/>
    <x v="1"/>
    <s v="GHOB_WASTEHEAT"/>
    <x v="0"/>
    <x v="16"/>
    <n v="34.569597069596902"/>
    <n v="12617.902930402901"/>
    <n v="45424.450549450397"/>
  </r>
  <r>
    <x v="0"/>
    <x v="0"/>
    <x v="0"/>
    <x v="9"/>
    <x v="20"/>
    <s v="SE4_HP"/>
    <x v="1"/>
    <s v="GHOB_WASTEHEAT"/>
    <x v="0"/>
    <x v="17"/>
    <n v="34.569597069596902"/>
    <n v="12617.902930402901"/>
    <n v="45424.450549450397"/>
  </r>
  <r>
    <x v="0"/>
    <x v="0"/>
    <x v="0"/>
    <x v="9"/>
    <x v="20"/>
    <s v="SE4_HP"/>
    <x v="1"/>
    <s v="GHOB_WASTEHEAT"/>
    <x v="0"/>
    <x v="19"/>
    <n v="34.569597069596902"/>
    <n v="12617.902930402901"/>
    <n v="45424.450549450397"/>
  </r>
  <r>
    <x v="0"/>
    <x v="0"/>
    <x v="0"/>
    <x v="9"/>
    <x v="20"/>
    <s v="SE4_HP"/>
    <x v="1"/>
    <s v="GHOB_WASTEHEAT"/>
    <x v="0"/>
    <x v="20"/>
    <n v="34.569597069596902"/>
    <n v="12617.902930402901"/>
    <n v="45424.450549450397"/>
  </r>
  <r>
    <x v="0"/>
    <x v="0"/>
    <x v="0"/>
    <x v="9"/>
    <x v="20"/>
    <s v="SE4_HP"/>
    <x v="1"/>
    <s v="GHOB_WASTEHEAT"/>
    <x v="0"/>
    <x v="21"/>
    <n v="34.569597069596902"/>
    <n v="12617.902930402901"/>
    <n v="45424.450549450397"/>
  </r>
  <r>
    <x v="0"/>
    <x v="0"/>
    <x v="0"/>
    <x v="9"/>
    <x v="20"/>
    <s v="SE4_HP"/>
    <x v="1"/>
    <s v="GHOB_WASTEHEAT"/>
    <x v="0"/>
    <x v="22"/>
    <n v="34.569597069596902"/>
    <n v="12617.902930402901"/>
    <n v="45424.450549450397"/>
  </r>
  <r>
    <x v="0"/>
    <x v="0"/>
    <x v="0"/>
    <x v="9"/>
    <x v="20"/>
    <s v="SE4_HP"/>
    <x v="1"/>
    <s v="GHOB_WASTEHEAT"/>
    <x v="0"/>
    <x v="23"/>
    <n v="34.569597069596902"/>
    <n v="12617.902930402901"/>
    <n v="45424.450549450397"/>
  </r>
  <r>
    <x v="0"/>
    <x v="0"/>
    <x v="0"/>
    <x v="9"/>
    <x v="20"/>
    <s v="SE4_HP"/>
    <x v="9"/>
    <s v="GHOB_WOODWASTE"/>
    <x v="0"/>
    <x v="0"/>
    <n v="18.902163387246301"/>
    <n v="6899.2896363448999"/>
    <n v="24837.442690841701"/>
  </r>
  <r>
    <x v="0"/>
    <x v="0"/>
    <x v="0"/>
    <x v="9"/>
    <x v="20"/>
    <s v="SE4_HP"/>
    <x v="9"/>
    <s v="GHOB_WOODWASTE"/>
    <x v="0"/>
    <x v="1"/>
    <n v="18.902163387246301"/>
    <n v="6899.2896363448999"/>
    <n v="24837.442690841701"/>
  </r>
  <r>
    <x v="0"/>
    <x v="0"/>
    <x v="0"/>
    <x v="9"/>
    <x v="20"/>
    <s v="SE4_HP"/>
    <x v="9"/>
    <s v="GHOB_WOODWASTE"/>
    <x v="0"/>
    <x v="2"/>
    <n v="18.902163387246301"/>
    <n v="6899.2896363448999"/>
    <n v="24837.442690841701"/>
  </r>
  <r>
    <x v="0"/>
    <x v="0"/>
    <x v="0"/>
    <x v="9"/>
    <x v="20"/>
    <s v="SE4_HP"/>
    <x v="9"/>
    <s v="GHOB_WOODWASTE"/>
    <x v="0"/>
    <x v="3"/>
    <n v="18.902163387246301"/>
    <n v="6899.2896363448999"/>
    <n v="24837.442690841701"/>
  </r>
  <r>
    <x v="0"/>
    <x v="0"/>
    <x v="0"/>
    <x v="9"/>
    <x v="20"/>
    <s v="SE4_HP"/>
    <x v="9"/>
    <s v="GHOB_WOODWASTE"/>
    <x v="0"/>
    <x v="18"/>
    <n v="18.902163387246301"/>
    <n v="6899.2896363448999"/>
    <n v="24837.442690841701"/>
  </r>
  <r>
    <x v="0"/>
    <x v="0"/>
    <x v="0"/>
    <x v="9"/>
    <x v="20"/>
    <s v="SE4_HP"/>
    <x v="9"/>
    <s v="GHOB_WOODWASTE"/>
    <x v="0"/>
    <x v="4"/>
    <n v="18.902163387246301"/>
    <n v="6899.2896363448999"/>
    <n v="24837.442690841701"/>
  </r>
  <r>
    <x v="0"/>
    <x v="0"/>
    <x v="0"/>
    <x v="9"/>
    <x v="20"/>
    <s v="SE4_HP"/>
    <x v="9"/>
    <s v="GHOB_WOODWASTE"/>
    <x v="0"/>
    <x v="5"/>
    <n v="18.902163387246301"/>
    <n v="6899.2896363448999"/>
    <n v="24837.442690841701"/>
  </r>
  <r>
    <x v="0"/>
    <x v="0"/>
    <x v="0"/>
    <x v="9"/>
    <x v="20"/>
    <s v="SE4_HP"/>
    <x v="9"/>
    <s v="GHOB_WOODWASTE"/>
    <x v="0"/>
    <x v="6"/>
    <n v="18.902163387246301"/>
    <n v="6899.2896363448999"/>
    <n v="24837.442690841701"/>
  </r>
  <r>
    <x v="0"/>
    <x v="0"/>
    <x v="0"/>
    <x v="9"/>
    <x v="20"/>
    <s v="SE4_HP"/>
    <x v="9"/>
    <s v="GHOB_WOODWASTE"/>
    <x v="0"/>
    <x v="7"/>
    <n v="18.902163387246301"/>
    <n v="6899.2896363448999"/>
    <n v="24837.442690841701"/>
  </r>
  <r>
    <x v="0"/>
    <x v="0"/>
    <x v="0"/>
    <x v="9"/>
    <x v="20"/>
    <s v="SE4_HP"/>
    <x v="9"/>
    <s v="GHOB_WOODWASTE"/>
    <x v="0"/>
    <x v="8"/>
    <n v="18.902163387246301"/>
    <n v="6899.2896363448999"/>
    <n v="24837.442690841701"/>
  </r>
  <r>
    <x v="0"/>
    <x v="0"/>
    <x v="0"/>
    <x v="9"/>
    <x v="20"/>
    <s v="SE4_HP"/>
    <x v="9"/>
    <s v="GHOB_WOODWASTE"/>
    <x v="0"/>
    <x v="9"/>
    <n v="18.902163387246301"/>
    <n v="6899.2896363448999"/>
    <n v="24837.442690841701"/>
  </r>
  <r>
    <x v="0"/>
    <x v="0"/>
    <x v="0"/>
    <x v="9"/>
    <x v="20"/>
    <s v="SE4_HP"/>
    <x v="9"/>
    <s v="GHOB_WOODWASTE"/>
    <x v="0"/>
    <x v="10"/>
    <n v="18.902163387246301"/>
    <n v="6899.2896363448999"/>
    <n v="24837.442690841701"/>
  </r>
  <r>
    <x v="0"/>
    <x v="0"/>
    <x v="0"/>
    <x v="9"/>
    <x v="20"/>
    <s v="SE4_HP"/>
    <x v="9"/>
    <s v="GHOB_WOODWASTE"/>
    <x v="0"/>
    <x v="11"/>
    <n v="18.902163387246301"/>
    <n v="6899.2896363448999"/>
    <n v="24837.442690841701"/>
  </r>
  <r>
    <x v="0"/>
    <x v="0"/>
    <x v="0"/>
    <x v="9"/>
    <x v="20"/>
    <s v="SE4_HP"/>
    <x v="9"/>
    <s v="GHOB_WOODWASTE"/>
    <x v="0"/>
    <x v="12"/>
    <n v="18.902163387246301"/>
    <n v="6899.2896363448999"/>
    <n v="24837.442690841701"/>
  </r>
  <r>
    <x v="0"/>
    <x v="0"/>
    <x v="0"/>
    <x v="9"/>
    <x v="20"/>
    <s v="SE4_HP"/>
    <x v="9"/>
    <s v="GHOB_WOODWASTE"/>
    <x v="0"/>
    <x v="13"/>
    <n v="18.902163387246301"/>
    <n v="6899.2896363448999"/>
    <n v="24837.442690841701"/>
  </r>
  <r>
    <x v="0"/>
    <x v="0"/>
    <x v="0"/>
    <x v="9"/>
    <x v="20"/>
    <s v="SE4_HP"/>
    <x v="9"/>
    <s v="GHOB_WOODWASTE"/>
    <x v="0"/>
    <x v="14"/>
    <n v="18.902163387246301"/>
    <n v="6899.2896363448999"/>
    <n v="24837.442690841701"/>
  </r>
  <r>
    <x v="0"/>
    <x v="0"/>
    <x v="0"/>
    <x v="9"/>
    <x v="20"/>
    <s v="SE4_HP"/>
    <x v="9"/>
    <s v="GHOB_WOODWASTE"/>
    <x v="0"/>
    <x v="15"/>
    <n v="18.902163387246301"/>
    <n v="6899.2896363448999"/>
    <n v="24837.442690841701"/>
  </r>
  <r>
    <x v="0"/>
    <x v="0"/>
    <x v="0"/>
    <x v="9"/>
    <x v="20"/>
    <s v="SE4_HP"/>
    <x v="9"/>
    <s v="GHOB_WOODWASTE"/>
    <x v="0"/>
    <x v="16"/>
    <n v="18.902163387246301"/>
    <n v="6899.2896363448999"/>
    <n v="24837.442690841701"/>
  </r>
  <r>
    <x v="0"/>
    <x v="0"/>
    <x v="0"/>
    <x v="9"/>
    <x v="20"/>
    <s v="SE4_HP"/>
    <x v="9"/>
    <s v="GHOB_WOODWASTE"/>
    <x v="0"/>
    <x v="17"/>
    <n v="18.902163387246301"/>
    <n v="6899.2896363448999"/>
    <n v="24837.442690841701"/>
  </r>
  <r>
    <x v="0"/>
    <x v="0"/>
    <x v="0"/>
    <x v="9"/>
    <x v="20"/>
    <s v="SE4_HP"/>
    <x v="9"/>
    <s v="GHOB_WOODWASTE"/>
    <x v="0"/>
    <x v="19"/>
    <n v="18.902163387246301"/>
    <n v="6899.2896363448999"/>
    <n v="24837.442690841701"/>
  </r>
  <r>
    <x v="0"/>
    <x v="0"/>
    <x v="0"/>
    <x v="9"/>
    <x v="20"/>
    <s v="SE4_HP"/>
    <x v="9"/>
    <s v="GHOB_WOODWASTE"/>
    <x v="0"/>
    <x v="20"/>
    <n v="18.902163387246301"/>
    <n v="6899.2896363448999"/>
    <n v="24837.442690841701"/>
  </r>
  <r>
    <x v="0"/>
    <x v="0"/>
    <x v="0"/>
    <x v="9"/>
    <x v="20"/>
    <s v="SE4_HP"/>
    <x v="9"/>
    <s v="GHOB_WOODWASTE"/>
    <x v="0"/>
    <x v="21"/>
    <n v="18.902163387246301"/>
    <n v="6899.2896363448999"/>
    <n v="24837.442690841701"/>
  </r>
  <r>
    <x v="0"/>
    <x v="0"/>
    <x v="0"/>
    <x v="9"/>
    <x v="20"/>
    <s v="SE4_HP"/>
    <x v="9"/>
    <s v="GHOB_WOODWASTE"/>
    <x v="0"/>
    <x v="22"/>
    <n v="18.902163387246301"/>
    <n v="6899.2896363448999"/>
    <n v="24837.442690841701"/>
  </r>
  <r>
    <x v="0"/>
    <x v="0"/>
    <x v="0"/>
    <x v="9"/>
    <x v="20"/>
    <s v="SE4_HP"/>
    <x v="9"/>
    <s v="GHOB_WOODWASTE"/>
    <x v="0"/>
    <x v="23"/>
    <n v="18.902163387246301"/>
    <n v="6899.2896363448999"/>
    <n v="24837.442690841701"/>
  </r>
  <r>
    <x v="0"/>
    <x v="0"/>
    <x v="0"/>
    <x v="9"/>
    <x v="20"/>
    <s v="SE4_MAL"/>
    <x v="2"/>
    <s v="GBPR_MUNIWASTE_24"/>
    <x v="0"/>
    <x v="0"/>
    <n v="145.419526658839"/>
    <n v="53078.127230476399"/>
    <n v="191081.25802971501"/>
  </r>
  <r>
    <x v="0"/>
    <x v="0"/>
    <x v="0"/>
    <x v="9"/>
    <x v="20"/>
    <s v="SE4_MAL"/>
    <x v="2"/>
    <s v="GBPR_MUNIWASTE_24"/>
    <x v="0"/>
    <x v="1"/>
    <n v="145.419526658839"/>
    <n v="53078.127230476399"/>
    <n v="191081.25802971501"/>
  </r>
  <r>
    <x v="0"/>
    <x v="0"/>
    <x v="0"/>
    <x v="9"/>
    <x v="20"/>
    <s v="SE4_MAL"/>
    <x v="2"/>
    <s v="GBPR_MUNIWASTE_24"/>
    <x v="0"/>
    <x v="2"/>
    <n v="145.419526658839"/>
    <n v="53078.127230476399"/>
    <n v="191081.25802971501"/>
  </r>
  <r>
    <x v="0"/>
    <x v="0"/>
    <x v="0"/>
    <x v="9"/>
    <x v="20"/>
    <s v="SE4_MAL"/>
    <x v="2"/>
    <s v="GBPR_MUNIWASTE_24"/>
    <x v="0"/>
    <x v="3"/>
    <n v="145.419526658839"/>
    <n v="53078.127230476399"/>
    <n v="191081.25802971501"/>
  </r>
  <r>
    <x v="0"/>
    <x v="0"/>
    <x v="0"/>
    <x v="9"/>
    <x v="20"/>
    <s v="SE4_MAL"/>
    <x v="2"/>
    <s v="GBPR_MUNIWASTE_24"/>
    <x v="0"/>
    <x v="18"/>
    <n v="145.419526658839"/>
    <n v="53078.127230476399"/>
    <n v="191081.25802971501"/>
  </r>
  <r>
    <x v="0"/>
    <x v="0"/>
    <x v="0"/>
    <x v="9"/>
    <x v="20"/>
    <s v="SE4_MAL"/>
    <x v="2"/>
    <s v="GBPR_MUNIWASTE_24"/>
    <x v="0"/>
    <x v="4"/>
    <n v="145.419526658839"/>
    <n v="53078.127230476399"/>
    <n v="191081.25802971501"/>
  </r>
  <r>
    <x v="0"/>
    <x v="0"/>
    <x v="0"/>
    <x v="9"/>
    <x v="20"/>
    <s v="SE4_MAL"/>
    <x v="2"/>
    <s v="GBPR_MUNIWASTE_24"/>
    <x v="0"/>
    <x v="5"/>
    <n v="145.419526658839"/>
    <n v="53078.127230476399"/>
    <n v="191081.25802971501"/>
  </r>
  <r>
    <x v="0"/>
    <x v="0"/>
    <x v="0"/>
    <x v="9"/>
    <x v="20"/>
    <s v="SE4_MAL"/>
    <x v="2"/>
    <s v="GBPR_MUNIWASTE_24"/>
    <x v="0"/>
    <x v="6"/>
    <n v="145.419526658839"/>
    <n v="53078.127230476399"/>
    <n v="191081.25802971501"/>
  </r>
  <r>
    <x v="0"/>
    <x v="0"/>
    <x v="0"/>
    <x v="9"/>
    <x v="20"/>
    <s v="SE4_MAL"/>
    <x v="2"/>
    <s v="GBPR_MUNIWASTE_24"/>
    <x v="0"/>
    <x v="7"/>
    <n v="145.419526658839"/>
    <n v="53078.127230476399"/>
    <n v="191081.25802971501"/>
  </r>
  <r>
    <x v="0"/>
    <x v="0"/>
    <x v="0"/>
    <x v="9"/>
    <x v="20"/>
    <s v="SE4_MAL"/>
    <x v="2"/>
    <s v="GBPR_MUNIWASTE_24"/>
    <x v="0"/>
    <x v="8"/>
    <n v="145.419526658839"/>
    <n v="53078.127230476399"/>
    <n v="191081.25802971501"/>
  </r>
  <r>
    <x v="0"/>
    <x v="0"/>
    <x v="0"/>
    <x v="9"/>
    <x v="20"/>
    <s v="SE4_MAL"/>
    <x v="2"/>
    <s v="GBPR_MUNIWASTE_24"/>
    <x v="0"/>
    <x v="9"/>
    <n v="145.419526658839"/>
    <n v="53078.127230476399"/>
    <n v="191081.25802971501"/>
  </r>
  <r>
    <x v="0"/>
    <x v="0"/>
    <x v="0"/>
    <x v="9"/>
    <x v="20"/>
    <s v="SE4_MAL"/>
    <x v="2"/>
    <s v="GBPR_MUNIWASTE_24"/>
    <x v="0"/>
    <x v="10"/>
    <n v="145.419526658839"/>
    <n v="53078.127230476399"/>
    <n v="191081.25802971501"/>
  </r>
  <r>
    <x v="0"/>
    <x v="0"/>
    <x v="0"/>
    <x v="9"/>
    <x v="20"/>
    <s v="SE4_MAL"/>
    <x v="2"/>
    <s v="GBPR_MUNIWASTE_24"/>
    <x v="0"/>
    <x v="11"/>
    <n v="145.419526658839"/>
    <n v="53078.127230476399"/>
    <n v="191081.25802971501"/>
  </r>
  <r>
    <x v="0"/>
    <x v="0"/>
    <x v="0"/>
    <x v="9"/>
    <x v="20"/>
    <s v="SE4_MAL"/>
    <x v="2"/>
    <s v="GBPR_MUNIWASTE_24"/>
    <x v="0"/>
    <x v="12"/>
    <n v="145.419526658839"/>
    <n v="53078.127230476399"/>
    <n v="191081.25802971501"/>
  </r>
  <r>
    <x v="0"/>
    <x v="0"/>
    <x v="0"/>
    <x v="9"/>
    <x v="20"/>
    <s v="SE4_MAL"/>
    <x v="2"/>
    <s v="GBPR_MUNIWASTE_24"/>
    <x v="0"/>
    <x v="13"/>
    <n v="145.419526658839"/>
    <n v="53078.127230476399"/>
    <n v="191081.25802971501"/>
  </r>
  <r>
    <x v="0"/>
    <x v="0"/>
    <x v="0"/>
    <x v="9"/>
    <x v="20"/>
    <s v="SE4_MAL"/>
    <x v="2"/>
    <s v="GBPR_MUNIWASTE_24"/>
    <x v="0"/>
    <x v="14"/>
    <n v="145.419526658839"/>
    <n v="53078.127230476399"/>
    <n v="191081.25802971501"/>
  </r>
  <r>
    <x v="0"/>
    <x v="0"/>
    <x v="0"/>
    <x v="9"/>
    <x v="20"/>
    <s v="SE4_MAL"/>
    <x v="2"/>
    <s v="GBPR_MUNIWASTE_24"/>
    <x v="0"/>
    <x v="15"/>
    <n v="145.419526658839"/>
    <n v="53078.127230476399"/>
    <n v="191081.25802971501"/>
  </r>
  <r>
    <x v="0"/>
    <x v="0"/>
    <x v="0"/>
    <x v="9"/>
    <x v="20"/>
    <s v="SE4_MAL"/>
    <x v="2"/>
    <s v="GBPR_MUNIWASTE_24"/>
    <x v="0"/>
    <x v="16"/>
    <n v="145.419526658839"/>
    <n v="53078.127230476399"/>
    <n v="191081.25802971501"/>
  </r>
  <r>
    <x v="0"/>
    <x v="0"/>
    <x v="0"/>
    <x v="9"/>
    <x v="20"/>
    <s v="SE4_MAL"/>
    <x v="2"/>
    <s v="GBPR_MUNIWASTE_24"/>
    <x v="0"/>
    <x v="17"/>
    <n v="145.419526658839"/>
    <n v="53078.127230476399"/>
    <n v="191081.25802971501"/>
  </r>
  <r>
    <x v="0"/>
    <x v="0"/>
    <x v="0"/>
    <x v="9"/>
    <x v="20"/>
    <s v="SE4_MAL"/>
    <x v="2"/>
    <s v="GBPR_MUNIWASTE_24"/>
    <x v="0"/>
    <x v="19"/>
    <n v="145.419526658839"/>
    <n v="53078.127230476399"/>
    <n v="191081.25802971501"/>
  </r>
  <r>
    <x v="0"/>
    <x v="0"/>
    <x v="0"/>
    <x v="9"/>
    <x v="20"/>
    <s v="SE4_MAL"/>
    <x v="2"/>
    <s v="GBPR_MUNIWASTE_24"/>
    <x v="0"/>
    <x v="20"/>
    <n v="145.419526658839"/>
    <n v="53078.127230476399"/>
    <n v="191081.25802971501"/>
  </r>
  <r>
    <x v="0"/>
    <x v="0"/>
    <x v="0"/>
    <x v="9"/>
    <x v="20"/>
    <s v="SE4_MAL"/>
    <x v="2"/>
    <s v="GBPR_MUNIWASTE_24"/>
    <x v="0"/>
    <x v="21"/>
    <n v="145.419526658839"/>
    <n v="53078.127230476399"/>
    <n v="191081.25802971501"/>
  </r>
  <r>
    <x v="0"/>
    <x v="0"/>
    <x v="0"/>
    <x v="9"/>
    <x v="20"/>
    <s v="SE4_MAL"/>
    <x v="2"/>
    <s v="GBPR_MUNIWASTE_24"/>
    <x v="0"/>
    <x v="22"/>
    <n v="145.419526658839"/>
    <n v="53078.127230476399"/>
    <n v="191081.25802971501"/>
  </r>
  <r>
    <x v="0"/>
    <x v="0"/>
    <x v="0"/>
    <x v="9"/>
    <x v="20"/>
    <s v="SE4_MAL"/>
    <x v="2"/>
    <s v="GBPR_MUNIWASTE_24"/>
    <x v="0"/>
    <x v="23"/>
    <n v="145.419526658839"/>
    <n v="53078.127230476399"/>
    <n v="191081.25802971501"/>
  </r>
  <r>
    <x v="0"/>
    <x v="0"/>
    <x v="0"/>
    <x v="9"/>
    <x v="20"/>
    <s v="SE4_MAL"/>
    <x v="2"/>
    <s v="GHOB_MUNIWASTE"/>
    <x v="0"/>
    <x v="0"/>
    <n v="57.312907992145199"/>
    <n v="20919.211417132999"/>
    <n v="75309.161101678794"/>
  </r>
  <r>
    <x v="0"/>
    <x v="0"/>
    <x v="0"/>
    <x v="9"/>
    <x v="20"/>
    <s v="SE4_MAL"/>
    <x v="2"/>
    <s v="GHOB_MUNIWASTE"/>
    <x v="0"/>
    <x v="1"/>
    <n v="57.312907992145199"/>
    <n v="20919.211417132999"/>
    <n v="75309.161101678794"/>
  </r>
  <r>
    <x v="0"/>
    <x v="0"/>
    <x v="0"/>
    <x v="9"/>
    <x v="20"/>
    <s v="SE4_MAL"/>
    <x v="2"/>
    <s v="GHOB_MUNIWASTE"/>
    <x v="0"/>
    <x v="2"/>
    <n v="57.312907992145199"/>
    <n v="20919.211417132999"/>
    <n v="75309.161101678794"/>
  </r>
  <r>
    <x v="0"/>
    <x v="0"/>
    <x v="0"/>
    <x v="9"/>
    <x v="20"/>
    <s v="SE4_MAL"/>
    <x v="2"/>
    <s v="GHOB_MUNIWASTE"/>
    <x v="0"/>
    <x v="3"/>
    <n v="57.312907992145199"/>
    <n v="20919.211417132999"/>
    <n v="75309.161101678794"/>
  </r>
  <r>
    <x v="0"/>
    <x v="0"/>
    <x v="0"/>
    <x v="9"/>
    <x v="20"/>
    <s v="SE4_MAL"/>
    <x v="2"/>
    <s v="GHOB_MUNIWASTE"/>
    <x v="0"/>
    <x v="18"/>
    <n v="57.312907992145199"/>
    <n v="20919.211417132999"/>
    <n v="75309.161101678794"/>
  </r>
  <r>
    <x v="0"/>
    <x v="0"/>
    <x v="0"/>
    <x v="9"/>
    <x v="20"/>
    <s v="SE4_MAL"/>
    <x v="2"/>
    <s v="GHOB_MUNIWASTE"/>
    <x v="0"/>
    <x v="4"/>
    <n v="57.312907992145199"/>
    <n v="20919.211417132999"/>
    <n v="75309.161101678794"/>
  </r>
  <r>
    <x v="0"/>
    <x v="0"/>
    <x v="0"/>
    <x v="9"/>
    <x v="20"/>
    <s v="SE4_MAL"/>
    <x v="2"/>
    <s v="GHOB_MUNIWASTE"/>
    <x v="0"/>
    <x v="5"/>
    <n v="57.312907992145199"/>
    <n v="20919.211417132999"/>
    <n v="75309.161101678794"/>
  </r>
  <r>
    <x v="0"/>
    <x v="0"/>
    <x v="0"/>
    <x v="9"/>
    <x v="20"/>
    <s v="SE4_MAL"/>
    <x v="2"/>
    <s v="GHOB_MUNIWASTE"/>
    <x v="0"/>
    <x v="6"/>
    <n v="57.312907992145199"/>
    <n v="20919.211417132999"/>
    <n v="75309.161101678794"/>
  </r>
  <r>
    <x v="0"/>
    <x v="0"/>
    <x v="0"/>
    <x v="9"/>
    <x v="20"/>
    <s v="SE4_MAL"/>
    <x v="2"/>
    <s v="GHOB_MUNIWASTE"/>
    <x v="0"/>
    <x v="7"/>
    <n v="57.312907992145199"/>
    <n v="20919.211417132999"/>
    <n v="75309.161101678794"/>
  </r>
  <r>
    <x v="0"/>
    <x v="0"/>
    <x v="0"/>
    <x v="9"/>
    <x v="20"/>
    <s v="SE4_MAL"/>
    <x v="2"/>
    <s v="GHOB_MUNIWASTE"/>
    <x v="0"/>
    <x v="8"/>
    <n v="57.312907992145199"/>
    <n v="20919.211417132999"/>
    <n v="75309.161101678794"/>
  </r>
  <r>
    <x v="0"/>
    <x v="0"/>
    <x v="0"/>
    <x v="9"/>
    <x v="20"/>
    <s v="SE4_MAL"/>
    <x v="2"/>
    <s v="GHOB_MUNIWASTE"/>
    <x v="0"/>
    <x v="9"/>
    <n v="57.312907992145199"/>
    <n v="20919.211417132999"/>
    <n v="75309.161101678794"/>
  </r>
  <r>
    <x v="0"/>
    <x v="0"/>
    <x v="0"/>
    <x v="9"/>
    <x v="20"/>
    <s v="SE4_MAL"/>
    <x v="2"/>
    <s v="GHOB_MUNIWASTE"/>
    <x v="0"/>
    <x v="10"/>
    <n v="57.312907992145199"/>
    <n v="20919.211417132999"/>
    <n v="75309.161101678794"/>
  </r>
  <r>
    <x v="0"/>
    <x v="0"/>
    <x v="0"/>
    <x v="9"/>
    <x v="20"/>
    <s v="SE4_MAL"/>
    <x v="2"/>
    <s v="GHOB_MUNIWASTE"/>
    <x v="0"/>
    <x v="11"/>
    <n v="57.312907992145199"/>
    <n v="20919.211417132999"/>
    <n v="75309.161101678794"/>
  </r>
  <r>
    <x v="0"/>
    <x v="0"/>
    <x v="0"/>
    <x v="9"/>
    <x v="20"/>
    <s v="SE4_MAL"/>
    <x v="2"/>
    <s v="GHOB_MUNIWASTE"/>
    <x v="0"/>
    <x v="12"/>
    <n v="57.312907992145199"/>
    <n v="20919.211417132999"/>
    <n v="75309.161101678794"/>
  </r>
  <r>
    <x v="0"/>
    <x v="0"/>
    <x v="0"/>
    <x v="9"/>
    <x v="20"/>
    <s v="SE4_MAL"/>
    <x v="2"/>
    <s v="GHOB_MUNIWASTE"/>
    <x v="0"/>
    <x v="13"/>
    <n v="57.312907992145199"/>
    <n v="20919.211417132999"/>
    <n v="75309.161101678794"/>
  </r>
  <r>
    <x v="0"/>
    <x v="0"/>
    <x v="0"/>
    <x v="9"/>
    <x v="20"/>
    <s v="SE4_MAL"/>
    <x v="2"/>
    <s v="GHOB_MUNIWASTE"/>
    <x v="0"/>
    <x v="14"/>
    <n v="57.312907992145199"/>
    <n v="20919.211417132999"/>
    <n v="75309.161101678794"/>
  </r>
  <r>
    <x v="0"/>
    <x v="0"/>
    <x v="0"/>
    <x v="9"/>
    <x v="20"/>
    <s v="SE4_MAL"/>
    <x v="2"/>
    <s v="GHOB_MUNIWASTE"/>
    <x v="0"/>
    <x v="15"/>
    <n v="57.312907992145199"/>
    <n v="20919.211417132999"/>
    <n v="75309.161101678794"/>
  </r>
  <r>
    <x v="0"/>
    <x v="0"/>
    <x v="0"/>
    <x v="9"/>
    <x v="20"/>
    <s v="SE4_MAL"/>
    <x v="2"/>
    <s v="GHOB_MUNIWASTE"/>
    <x v="0"/>
    <x v="16"/>
    <n v="57.312907992145199"/>
    <n v="20919.211417132999"/>
    <n v="75309.161101678794"/>
  </r>
  <r>
    <x v="0"/>
    <x v="0"/>
    <x v="0"/>
    <x v="9"/>
    <x v="20"/>
    <s v="SE4_MAL"/>
    <x v="2"/>
    <s v="GHOB_MUNIWASTE"/>
    <x v="0"/>
    <x v="17"/>
    <n v="57.312907992145199"/>
    <n v="20919.211417132999"/>
    <n v="75309.161101678794"/>
  </r>
  <r>
    <x v="0"/>
    <x v="0"/>
    <x v="0"/>
    <x v="9"/>
    <x v="20"/>
    <s v="SE4_MAL"/>
    <x v="2"/>
    <s v="GHOB_MUNIWASTE"/>
    <x v="0"/>
    <x v="19"/>
    <n v="57.312907992145199"/>
    <n v="20919.211417132999"/>
    <n v="75309.161101678794"/>
  </r>
  <r>
    <x v="0"/>
    <x v="0"/>
    <x v="0"/>
    <x v="9"/>
    <x v="20"/>
    <s v="SE4_MAL"/>
    <x v="2"/>
    <s v="GHOB_MUNIWASTE"/>
    <x v="0"/>
    <x v="20"/>
    <n v="57.312907992145199"/>
    <n v="20919.211417132999"/>
    <n v="75309.161101678794"/>
  </r>
  <r>
    <x v="0"/>
    <x v="0"/>
    <x v="0"/>
    <x v="9"/>
    <x v="20"/>
    <s v="SE4_MAL"/>
    <x v="2"/>
    <s v="GHOB_MUNIWASTE"/>
    <x v="0"/>
    <x v="21"/>
    <n v="57.312907992145199"/>
    <n v="20919.211417132999"/>
    <n v="75309.161101678794"/>
  </r>
  <r>
    <x v="0"/>
    <x v="0"/>
    <x v="0"/>
    <x v="9"/>
    <x v="20"/>
    <s v="SE4_MAL"/>
    <x v="2"/>
    <s v="GHOB_MUNIWASTE"/>
    <x v="0"/>
    <x v="22"/>
    <n v="57.312907992145199"/>
    <n v="20919.211417132999"/>
    <n v="75309.161101678794"/>
  </r>
  <r>
    <x v="0"/>
    <x v="0"/>
    <x v="0"/>
    <x v="9"/>
    <x v="20"/>
    <s v="SE4_MAL"/>
    <x v="2"/>
    <s v="GHOB_MUNIWASTE"/>
    <x v="0"/>
    <x v="23"/>
    <n v="57.312907992145199"/>
    <n v="20919.211417132999"/>
    <n v="75309.161101678794"/>
  </r>
  <r>
    <x v="0"/>
    <x v="0"/>
    <x v="0"/>
    <x v="9"/>
    <x v="20"/>
    <s v="SE4_MAL"/>
    <x v="3"/>
    <s v="GBPR_NATGAS_MAL"/>
    <x v="0"/>
    <x v="5"/>
    <n v="71.554770606248397"/>
    <n v="26117.491271280702"/>
    <n v="94022.968576610394"/>
  </r>
  <r>
    <x v="0"/>
    <x v="0"/>
    <x v="0"/>
    <x v="9"/>
    <x v="20"/>
    <s v="SE4_MAL"/>
    <x v="3"/>
    <s v="GBPR_NATGAS_MAL"/>
    <x v="0"/>
    <x v="6"/>
    <n v="98.302412635439794"/>
    <n v="35880.380611935499"/>
    <n v="129169.370202968"/>
  </r>
  <r>
    <x v="0"/>
    <x v="0"/>
    <x v="0"/>
    <x v="9"/>
    <x v="20"/>
    <s v="SE4_MAL"/>
    <x v="3"/>
    <s v="GBPR_NATGAS_MAL"/>
    <x v="0"/>
    <x v="7"/>
    <n v="90.649493786241905"/>
    <n v="33087.065231978297"/>
    <n v="119113.434835122"/>
  </r>
  <r>
    <x v="0"/>
    <x v="0"/>
    <x v="0"/>
    <x v="9"/>
    <x v="20"/>
    <s v="SE4_MAL"/>
    <x v="3"/>
    <s v="GBPR_NATGAS_MAL"/>
    <x v="0"/>
    <x v="8"/>
    <n v="80.853575718897801"/>
    <n v="29511.5551373977"/>
    <n v="106241.59849463199"/>
  </r>
  <r>
    <x v="0"/>
    <x v="0"/>
    <x v="0"/>
    <x v="9"/>
    <x v="20"/>
    <s v="SE4_MAL"/>
    <x v="3"/>
    <s v="GBPR_NATGAS_MAL"/>
    <x v="0"/>
    <x v="9"/>
    <n v="69.621296239600298"/>
    <n v="25411.7731274541"/>
    <n v="91482.383258834801"/>
  </r>
  <r>
    <x v="0"/>
    <x v="0"/>
    <x v="0"/>
    <x v="9"/>
    <x v="20"/>
    <s v="SE4_MAL"/>
    <x v="3"/>
    <s v="GBPR_NATGAS_MAL"/>
    <x v="0"/>
    <x v="10"/>
    <n v="53.528371785230803"/>
    <n v="19537.8557016093"/>
    <n v="70336.280525793307"/>
  </r>
  <r>
    <x v="0"/>
    <x v="0"/>
    <x v="0"/>
    <x v="9"/>
    <x v="20"/>
    <s v="SE4_MAL"/>
    <x v="3"/>
    <s v="GBPR_NATGAS_MAL"/>
    <x v="0"/>
    <x v="11"/>
    <n v="37.725069528552602"/>
    <n v="13769.6503779217"/>
    <n v="49570.741360518099"/>
  </r>
  <r>
    <x v="0"/>
    <x v="0"/>
    <x v="0"/>
    <x v="9"/>
    <x v="20"/>
    <s v="SE4_MAL"/>
    <x v="3"/>
    <s v="GBPR_NATGAS_MAL"/>
    <x v="0"/>
    <x v="12"/>
    <n v="35.0330910184638"/>
    <n v="12787.078221739301"/>
    <n v="46033.481598261402"/>
  </r>
  <r>
    <x v="0"/>
    <x v="0"/>
    <x v="0"/>
    <x v="9"/>
    <x v="20"/>
    <s v="SE4_MAL"/>
    <x v="3"/>
    <s v="GBPR_NATGAS_MAL"/>
    <x v="0"/>
    <x v="13"/>
    <n v="34.164972373999099"/>
    <n v="12470.2149165097"/>
    <n v="44892.773699434802"/>
  </r>
  <r>
    <x v="0"/>
    <x v="0"/>
    <x v="0"/>
    <x v="9"/>
    <x v="20"/>
    <s v="SE4_MAL"/>
    <x v="3"/>
    <s v="GBPR_NATGAS_MAL"/>
    <x v="0"/>
    <x v="14"/>
    <n v="38.520395383036998"/>
    <n v="14059.944314808499"/>
    <n v="50615.799533310601"/>
  </r>
  <r>
    <x v="0"/>
    <x v="0"/>
    <x v="0"/>
    <x v="9"/>
    <x v="20"/>
    <s v="SE4_MAL"/>
    <x v="3"/>
    <s v="GBPR_NATGAS_MAL"/>
    <x v="0"/>
    <x v="15"/>
    <n v="39.271050767449303"/>
    <n v="14333.933530119"/>
    <n v="51602.160708428302"/>
  </r>
  <r>
    <x v="0"/>
    <x v="0"/>
    <x v="0"/>
    <x v="9"/>
    <x v="20"/>
    <s v="SE4_MAL"/>
    <x v="3"/>
    <s v="GBPR_NATGAS_MAL"/>
    <x v="0"/>
    <x v="16"/>
    <n v="29.870526806653999"/>
    <n v="10902.742284428699"/>
    <n v="39249.872223943297"/>
  </r>
  <r>
    <x v="0"/>
    <x v="0"/>
    <x v="0"/>
    <x v="9"/>
    <x v="20"/>
    <s v="SE4_MAL"/>
    <x v="1"/>
    <s v="GHOB_WASTEHEAT"/>
    <x v="0"/>
    <x v="0"/>
    <n v="12.362637362637299"/>
    <n v="4512.3626373626203"/>
    <n v="16244.5054945054"/>
  </r>
  <r>
    <x v="0"/>
    <x v="0"/>
    <x v="0"/>
    <x v="9"/>
    <x v="20"/>
    <s v="SE4_MAL"/>
    <x v="1"/>
    <s v="GHOB_WASTEHEAT"/>
    <x v="0"/>
    <x v="1"/>
    <n v="12.362637362637299"/>
    <n v="4512.3626373626203"/>
    <n v="16244.5054945054"/>
  </r>
  <r>
    <x v="0"/>
    <x v="0"/>
    <x v="0"/>
    <x v="9"/>
    <x v="20"/>
    <s v="SE4_MAL"/>
    <x v="1"/>
    <s v="GHOB_WASTEHEAT"/>
    <x v="0"/>
    <x v="2"/>
    <n v="12.362637362637299"/>
    <n v="4512.3626373626203"/>
    <n v="16244.5054945054"/>
  </r>
  <r>
    <x v="0"/>
    <x v="0"/>
    <x v="0"/>
    <x v="9"/>
    <x v="20"/>
    <s v="SE4_MAL"/>
    <x v="1"/>
    <s v="GHOB_WASTEHEAT"/>
    <x v="0"/>
    <x v="3"/>
    <n v="12.362637362637299"/>
    <n v="4512.3626373626203"/>
    <n v="16244.5054945054"/>
  </r>
  <r>
    <x v="0"/>
    <x v="0"/>
    <x v="0"/>
    <x v="9"/>
    <x v="20"/>
    <s v="SE4_MAL"/>
    <x v="1"/>
    <s v="GHOB_WASTEHEAT"/>
    <x v="0"/>
    <x v="18"/>
    <n v="12.362637362637299"/>
    <n v="4512.3626373626203"/>
    <n v="16244.5054945054"/>
  </r>
  <r>
    <x v="0"/>
    <x v="0"/>
    <x v="0"/>
    <x v="9"/>
    <x v="20"/>
    <s v="SE4_MAL"/>
    <x v="1"/>
    <s v="GHOB_WASTEHEAT"/>
    <x v="0"/>
    <x v="4"/>
    <n v="12.362637362637299"/>
    <n v="4512.3626373626203"/>
    <n v="16244.5054945054"/>
  </r>
  <r>
    <x v="0"/>
    <x v="0"/>
    <x v="0"/>
    <x v="9"/>
    <x v="20"/>
    <s v="SE4_MAL"/>
    <x v="1"/>
    <s v="GHOB_WASTEHEAT"/>
    <x v="0"/>
    <x v="5"/>
    <n v="12.362637362637299"/>
    <n v="4512.3626373626203"/>
    <n v="16244.5054945054"/>
  </r>
  <r>
    <x v="0"/>
    <x v="0"/>
    <x v="0"/>
    <x v="9"/>
    <x v="20"/>
    <s v="SE4_MAL"/>
    <x v="1"/>
    <s v="GHOB_WASTEHEAT"/>
    <x v="0"/>
    <x v="6"/>
    <n v="12.362637362637299"/>
    <n v="4512.3626373626203"/>
    <n v="16244.5054945054"/>
  </r>
  <r>
    <x v="0"/>
    <x v="0"/>
    <x v="0"/>
    <x v="9"/>
    <x v="20"/>
    <s v="SE4_MAL"/>
    <x v="1"/>
    <s v="GHOB_WASTEHEAT"/>
    <x v="0"/>
    <x v="7"/>
    <n v="12.362637362637299"/>
    <n v="4512.3626373626203"/>
    <n v="16244.5054945054"/>
  </r>
  <r>
    <x v="0"/>
    <x v="0"/>
    <x v="0"/>
    <x v="9"/>
    <x v="20"/>
    <s v="SE4_MAL"/>
    <x v="1"/>
    <s v="GHOB_WASTEHEAT"/>
    <x v="0"/>
    <x v="8"/>
    <n v="12.362637362637299"/>
    <n v="4512.3626373626203"/>
    <n v="16244.5054945054"/>
  </r>
  <r>
    <x v="0"/>
    <x v="0"/>
    <x v="0"/>
    <x v="9"/>
    <x v="20"/>
    <s v="SE4_MAL"/>
    <x v="1"/>
    <s v="GHOB_WASTEHEAT"/>
    <x v="0"/>
    <x v="9"/>
    <n v="12.362637362637299"/>
    <n v="4512.3626373626203"/>
    <n v="16244.5054945054"/>
  </r>
  <r>
    <x v="0"/>
    <x v="0"/>
    <x v="0"/>
    <x v="9"/>
    <x v="20"/>
    <s v="SE4_MAL"/>
    <x v="1"/>
    <s v="GHOB_WASTEHEAT"/>
    <x v="0"/>
    <x v="10"/>
    <n v="12.362637362637299"/>
    <n v="4512.3626373626203"/>
    <n v="16244.5054945054"/>
  </r>
  <r>
    <x v="0"/>
    <x v="0"/>
    <x v="0"/>
    <x v="9"/>
    <x v="20"/>
    <s v="SE4_MAL"/>
    <x v="1"/>
    <s v="GHOB_WASTEHEAT"/>
    <x v="0"/>
    <x v="11"/>
    <n v="12.362637362637299"/>
    <n v="4512.3626373626203"/>
    <n v="16244.5054945054"/>
  </r>
  <r>
    <x v="0"/>
    <x v="0"/>
    <x v="0"/>
    <x v="9"/>
    <x v="20"/>
    <s v="SE4_MAL"/>
    <x v="1"/>
    <s v="GHOB_WASTEHEAT"/>
    <x v="0"/>
    <x v="12"/>
    <n v="12.362637362637299"/>
    <n v="4512.3626373626203"/>
    <n v="16244.5054945054"/>
  </r>
  <r>
    <x v="0"/>
    <x v="0"/>
    <x v="0"/>
    <x v="9"/>
    <x v="20"/>
    <s v="SE4_MAL"/>
    <x v="1"/>
    <s v="GHOB_WASTEHEAT"/>
    <x v="0"/>
    <x v="13"/>
    <n v="12.362637362637299"/>
    <n v="4512.3626373626203"/>
    <n v="16244.5054945054"/>
  </r>
  <r>
    <x v="0"/>
    <x v="0"/>
    <x v="0"/>
    <x v="9"/>
    <x v="20"/>
    <s v="SE4_MAL"/>
    <x v="1"/>
    <s v="GHOB_WASTEHEAT"/>
    <x v="0"/>
    <x v="14"/>
    <n v="12.362637362637299"/>
    <n v="4512.3626373626203"/>
    <n v="16244.5054945054"/>
  </r>
  <r>
    <x v="0"/>
    <x v="0"/>
    <x v="0"/>
    <x v="9"/>
    <x v="20"/>
    <s v="SE4_MAL"/>
    <x v="1"/>
    <s v="GHOB_WASTEHEAT"/>
    <x v="0"/>
    <x v="15"/>
    <n v="12.362637362637299"/>
    <n v="4512.3626373626203"/>
    <n v="16244.5054945054"/>
  </r>
  <r>
    <x v="0"/>
    <x v="0"/>
    <x v="0"/>
    <x v="9"/>
    <x v="20"/>
    <s v="SE4_MAL"/>
    <x v="1"/>
    <s v="GHOB_WASTEHEAT"/>
    <x v="0"/>
    <x v="16"/>
    <n v="12.362637362637299"/>
    <n v="4512.3626373626203"/>
    <n v="16244.5054945054"/>
  </r>
  <r>
    <x v="0"/>
    <x v="0"/>
    <x v="0"/>
    <x v="9"/>
    <x v="20"/>
    <s v="SE4_MAL"/>
    <x v="1"/>
    <s v="GHOB_WASTEHEAT"/>
    <x v="0"/>
    <x v="17"/>
    <n v="12.362637362637299"/>
    <n v="4512.3626373626203"/>
    <n v="16244.5054945054"/>
  </r>
  <r>
    <x v="0"/>
    <x v="0"/>
    <x v="0"/>
    <x v="9"/>
    <x v="20"/>
    <s v="SE4_MAL"/>
    <x v="1"/>
    <s v="GHOB_WASTEHEAT"/>
    <x v="0"/>
    <x v="19"/>
    <n v="12.362637362637299"/>
    <n v="4512.3626373626203"/>
    <n v="16244.5054945054"/>
  </r>
  <r>
    <x v="0"/>
    <x v="0"/>
    <x v="0"/>
    <x v="9"/>
    <x v="20"/>
    <s v="SE4_MAL"/>
    <x v="1"/>
    <s v="GHOB_WASTEHEAT"/>
    <x v="0"/>
    <x v="20"/>
    <n v="12.362637362637299"/>
    <n v="4512.3626373626203"/>
    <n v="16244.5054945054"/>
  </r>
  <r>
    <x v="0"/>
    <x v="0"/>
    <x v="0"/>
    <x v="9"/>
    <x v="20"/>
    <s v="SE4_MAL"/>
    <x v="1"/>
    <s v="GHOB_WASTEHEAT"/>
    <x v="0"/>
    <x v="21"/>
    <n v="12.362637362637299"/>
    <n v="4512.3626373626203"/>
    <n v="16244.5054945054"/>
  </r>
  <r>
    <x v="0"/>
    <x v="0"/>
    <x v="0"/>
    <x v="9"/>
    <x v="20"/>
    <s v="SE4_MAL"/>
    <x v="1"/>
    <s v="GHOB_WASTEHEAT"/>
    <x v="0"/>
    <x v="22"/>
    <n v="12.362637362637299"/>
    <n v="4512.3626373626203"/>
    <n v="16244.5054945054"/>
  </r>
  <r>
    <x v="0"/>
    <x v="0"/>
    <x v="0"/>
    <x v="9"/>
    <x v="20"/>
    <s v="SE4_MAL"/>
    <x v="1"/>
    <s v="GHOB_WASTEHEAT"/>
    <x v="0"/>
    <x v="23"/>
    <n v="12.362637362637299"/>
    <n v="4512.3626373626203"/>
    <n v="16244.5054945054"/>
  </r>
  <r>
    <x v="0"/>
    <x v="0"/>
    <x v="0"/>
    <x v="9"/>
    <x v="20"/>
    <s v="SE4_MAL"/>
    <x v="5"/>
    <s v="GHOB_WOODCHIPS"/>
    <x v="0"/>
    <x v="0"/>
    <n v="49.843175467311099"/>
    <n v="18192.7590455686"/>
    <n v="65493.932564046801"/>
  </r>
  <r>
    <x v="0"/>
    <x v="0"/>
    <x v="0"/>
    <x v="9"/>
    <x v="20"/>
    <s v="SE4_MAL"/>
    <x v="5"/>
    <s v="GHOB_WOODCHIPS"/>
    <x v="0"/>
    <x v="1"/>
    <n v="48.409907009805103"/>
    <n v="17669.616058578798"/>
    <n v="63610.617810883799"/>
  </r>
  <r>
    <x v="0"/>
    <x v="0"/>
    <x v="0"/>
    <x v="9"/>
    <x v="20"/>
    <s v="SE4_MAL"/>
    <x v="5"/>
    <s v="GHOB_WOODCHIPS"/>
    <x v="0"/>
    <x v="2"/>
    <n v="46.832224501413698"/>
    <n v="17093.761943016001"/>
    <n v="61537.5429948577"/>
  </r>
  <r>
    <x v="0"/>
    <x v="0"/>
    <x v="0"/>
    <x v="9"/>
    <x v="20"/>
    <s v="SE4_MAL"/>
    <x v="5"/>
    <s v="GHOB_WOODCHIPS"/>
    <x v="0"/>
    <x v="3"/>
    <n v="48.139022439999401"/>
    <n v="17570.743190599798"/>
    <n v="63254.6754861593"/>
  </r>
  <r>
    <x v="0"/>
    <x v="0"/>
    <x v="0"/>
    <x v="9"/>
    <x v="20"/>
    <s v="SE4_MAL"/>
    <x v="5"/>
    <s v="GHOB_WOODCHIPS"/>
    <x v="0"/>
    <x v="18"/>
    <n v="52.962898216700502"/>
    <n v="19331.457849095699"/>
    <n v="69593.248256744395"/>
  </r>
  <r>
    <x v="0"/>
    <x v="0"/>
    <x v="0"/>
    <x v="9"/>
    <x v="20"/>
    <s v="SE4_MAL"/>
    <x v="5"/>
    <s v="GHOB_WOODCHIPS"/>
    <x v="0"/>
    <x v="4"/>
    <n v="77.360095715068795"/>
    <n v="28236.4349360001"/>
    <n v="101651.1657696"/>
  </r>
  <r>
    <x v="0"/>
    <x v="0"/>
    <x v="0"/>
    <x v="9"/>
    <x v="20"/>
    <s v="SE4_MAL"/>
    <x v="5"/>
    <s v="GHOB_WOODCHIPS"/>
    <x v="0"/>
    <x v="5"/>
    <n v="77.7777777777778"/>
    <n v="28388.888888888901"/>
    <n v="102200"/>
  </r>
  <r>
    <x v="0"/>
    <x v="0"/>
    <x v="0"/>
    <x v="9"/>
    <x v="20"/>
    <s v="SE4_MAL"/>
    <x v="5"/>
    <s v="GHOB_WOODCHIPS"/>
    <x v="0"/>
    <x v="6"/>
    <n v="77.7777777777778"/>
    <n v="28388.888888888901"/>
    <n v="102200"/>
  </r>
  <r>
    <x v="0"/>
    <x v="0"/>
    <x v="0"/>
    <x v="9"/>
    <x v="20"/>
    <s v="SE4_MAL"/>
    <x v="5"/>
    <s v="GHOB_WOODCHIPS"/>
    <x v="0"/>
    <x v="7"/>
    <n v="77.7777777777778"/>
    <n v="28388.888888888901"/>
    <n v="102200"/>
  </r>
  <r>
    <x v="0"/>
    <x v="0"/>
    <x v="0"/>
    <x v="9"/>
    <x v="20"/>
    <s v="SE4_MAL"/>
    <x v="5"/>
    <s v="GHOB_WOODCHIPS"/>
    <x v="0"/>
    <x v="8"/>
    <n v="77.7777777777778"/>
    <n v="28388.888888888901"/>
    <n v="102200"/>
  </r>
  <r>
    <x v="0"/>
    <x v="0"/>
    <x v="0"/>
    <x v="9"/>
    <x v="20"/>
    <s v="SE4_MAL"/>
    <x v="5"/>
    <s v="GHOB_WOODCHIPS"/>
    <x v="0"/>
    <x v="9"/>
    <n v="77.7777777777778"/>
    <n v="28388.888888888901"/>
    <n v="102200"/>
  </r>
  <r>
    <x v="0"/>
    <x v="0"/>
    <x v="0"/>
    <x v="9"/>
    <x v="20"/>
    <s v="SE4_MAL"/>
    <x v="5"/>
    <s v="GHOB_WOODCHIPS"/>
    <x v="0"/>
    <x v="10"/>
    <n v="77.7777777777778"/>
    <n v="28388.888888888901"/>
    <n v="102200"/>
  </r>
  <r>
    <x v="0"/>
    <x v="0"/>
    <x v="0"/>
    <x v="9"/>
    <x v="20"/>
    <s v="SE4_MAL"/>
    <x v="5"/>
    <s v="GHOB_WOODCHIPS"/>
    <x v="0"/>
    <x v="11"/>
    <n v="77.7777777777778"/>
    <n v="28388.888888888901"/>
    <n v="102200"/>
  </r>
  <r>
    <x v="0"/>
    <x v="0"/>
    <x v="0"/>
    <x v="9"/>
    <x v="20"/>
    <s v="SE4_MAL"/>
    <x v="5"/>
    <s v="GHOB_WOODCHIPS"/>
    <x v="0"/>
    <x v="12"/>
    <n v="77.7777777777778"/>
    <n v="28388.888888888901"/>
    <n v="102200"/>
  </r>
  <r>
    <x v="0"/>
    <x v="0"/>
    <x v="0"/>
    <x v="9"/>
    <x v="20"/>
    <s v="SE4_MAL"/>
    <x v="5"/>
    <s v="GHOB_WOODCHIPS"/>
    <x v="0"/>
    <x v="13"/>
    <n v="77.7777777777778"/>
    <n v="28388.888888888901"/>
    <n v="102200"/>
  </r>
  <r>
    <x v="0"/>
    <x v="0"/>
    <x v="0"/>
    <x v="9"/>
    <x v="20"/>
    <s v="SE4_MAL"/>
    <x v="5"/>
    <s v="GHOB_WOODCHIPS"/>
    <x v="0"/>
    <x v="14"/>
    <n v="77.7777777777778"/>
    <n v="28388.888888888901"/>
    <n v="102200"/>
  </r>
  <r>
    <x v="0"/>
    <x v="0"/>
    <x v="0"/>
    <x v="9"/>
    <x v="20"/>
    <s v="SE4_MAL"/>
    <x v="5"/>
    <s v="GHOB_WOODCHIPS"/>
    <x v="0"/>
    <x v="15"/>
    <n v="77.7777777777778"/>
    <n v="28388.888888888901"/>
    <n v="102200"/>
  </r>
  <r>
    <x v="0"/>
    <x v="0"/>
    <x v="0"/>
    <x v="9"/>
    <x v="20"/>
    <s v="SE4_MAL"/>
    <x v="5"/>
    <s v="GHOB_WOODCHIPS"/>
    <x v="0"/>
    <x v="16"/>
    <n v="77.7777777777778"/>
    <n v="28388.888888888901"/>
    <n v="102200"/>
  </r>
  <r>
    <x v="0"/>
    <x v="0"/>
    <x v="0"/>
    <x v="9"/>
    <x v="20"/>
    <s v="SE4_MAL"/>
    <x v="5"/>
    <s v="GHOB_WOODCHIPS"/>
    <x v="0"/>
    <x v="17"/>
    <n v="77.7777777777778"/>
    <n v="28388.888888888901"/>
    <n v="102200"/>
  </r>
  <r>
    <x v="0"/>
    <x v="0"/>
    <x v="0"/>
    <x v="9"/>
    <x v="20"/>
    <s v="SE4_MAL"/>
    <x v="5"/>
    <s v="GHOB_WOODCHIPS"/>
    <x v="0"/>
    <x v="19"/>
    <n v="77.7777777777778"/>
    <n v="28388.888888888901"/>
    <n v="102200"/>
  </r>
  <r>
    <x v="0"/>
    <x v="0"/>
    <x v="0"/>
    <x v="9"/>
    <x v="20"/>
    <s v="SE4_MAL"/>
    <x v="5"/>
    <s v="GHOB_WOODCHIPS"/>
    <x v="0"/>
    <x v="20"/>
    <n v="74.136070373696398"/>
    <n v="27059.665686399199"/>
    <n v="97414.796471037"/>
  </r>
  <r>
    <x v="0"/>
    <x v="0"/>
    <x v="0"/>
    <x v="9"/>
    <x v="20"/>
    <s v="SE4_MAL"/>
    <x v="5"/>
    <s v="GHOB_WOODCHIPS"/>
    <x v="0"/>
    <x v="21"/>
    <n v="59.473765311414098"/>
    <n v="21707.924338666198"/>
    <n v="78148.527619198197"/>
  </r>
  <r>
    <x v="0"/>
    <x v="0"/>
    <x v="0"/>
    <x v="9"/>
    <x v="20"/>
    <s v="SE4_MAL"/>
    <x v="5"/>
    <s v="GHOB_WOODCHIPS"/>
    <x v="0"/>
    <x v="22"/>
    <n v="48.949282055684897"/>
    <n v="17866.487950325001"/>
    <n v="64319.3566211699"/>
  </r>
  <r>
    <x v="0"/>
    <x v="0"/>
    <x v="0"/>
    <x v="9"/>
    <x v="20"/>
    <s v="SE4_MAL"/>
    <x v="5"/>
    <s v="GHOB_WOODCHIPS"/>
    <x v="0"/>
    <x v="23"/>
    <n v="37.652477337369099"/>
    <n v="13743.1542281397"/>
    <n v="49475.355221302998"/>
  </r>
  <r>
    <x v="0"/>
    <x v="0"/>
    <x v="0"/>
    <x v="9"/>
    <x v="20"/>
    <s v="SE4_OTHER"/>
    <x v="2"/>
    <s v="GBPR_MUNIWASTE_19"/>
    <x v="0"/>
    <x v="0"/>
    <n v="80.310012821149201"/>
    <n v="29313.154679719501"/>
    <n v="105527.35684699001"/>
  </r>
  <r>
    <x v="0"/>
    <x v="0"/>
    <x v="0"/>
    <x v="9"/>
    <x v="20"/>
    <s v="SE4_OTHER"/>
    <x v="2"/>
    <s v="GBPR_MUNIWASTE_19"/>
    <x v="0"/>
    <x v="1"/>
    <n v="80.310012821149201"/>
    <n v="29313.154679719501"/>
    <n v="105527.35684699001"/>
  </r>
  <r>
    <x v="0"/>
    <x v="0"/>
    <x v="0"/>
    <x v="9"/>
    <x v="20"/>
    <s v="SE4_OTHER"/>
    <x v="2"/>
    <s v="GBPR_MUNIWASTE_19"/>
    <x v="0"/>
    <x v="2"/>
    <n v="80.310012821149201"/>
    <n v="29313.154679719501"/>
    <n v="105527.35684699001"/>
  </r>
  <r>
    <x v="0"/>
    <x v="0"/>
    <x v="0"/>
    <x v="9"/>
    <x v="20"/>
    <s v="SE4_OTHER"/>
    <x v="2"/>
    <s v="GBPR_MUNIWASTE_19"/>
    <x v="0"/>
    <x v="3"/>
    <n v="80.310012821149201"/>
    <n v="29313.154679719501"/>
    <n v="105527.35684699001"/>
  </r>
  <r>
    <x v="0"/>
    <x v="0"/>
    <x v="0"/>
    <x v="9"/>
    <x v="20"/>
    <s v="SE4_OTHER"/>
    <x v="2"/>
    <s v="GBPR_MUNIWASTE_19"/>
    <x v="0"/>
    <x v="18"/>
    <n v="80.310012821149201"/>
    <n v="29313.154679719501"/>
    <n v="105527.35684699001"/>
  </r>
  <r>
    <x v="0"/>
    <x v="0"/>
    <x v="0"/>
    <x v="9"/>
    <x v="20"/>
    <s v="SE4_OTHER"/>
    <x v="2"/>
    <s v="GBPR_MUNIWASTE_19"/>
    <x v="0"/>
    <x v="4"/>
    <n v="80.310012821149201"/>
    <n v="29313.154679719501"/>
    <n v="105527.35684699001"/>
  </r>
  <r>
    <x v="0"/>
    <x v="0"/>
    <x v="0"/>
    <x v="9"/>
    <x v="20"/>
    <s v="SE4_OTHER"/>
    <x v="2"/>
    <s v="GBPR_MUNIWASTE_19"/>
    <x v="0"/>
    <x v="5"/>
    <n v="80.310012821149201"/>
    <n v="29313.154679719501"/>
    <n v="105527.35684699001"/>
  </r>
  <r>
    <x v="0"/>
    <x v="0"/>
    <x v="0"/>
    <x v="9"/>
    <x v="20"/>
    <s v="SE4_OTHER"/>
    <x v="2"/>
    <s v="GBPR_MUNIWASTE_19"/>
    <x v="0"/>
    <x v="6"/>
    <n v="80.310012821149201"/>
    <n v="29313.154679719501"/>
    <n v="105527.35684699001"/>
  </r>
  <r>
    <x v="0"/>
    <x v="0"/>
    <x v="0"/>
    <x v="9"/>
    <x v="20"/>
    <s v="SE4_OTHER"/>
    <x v="2"/>
    <s v="GBPR_MUNIWASTE_19"/>
    <x v="0"/>
    <x v="7"/>
    <n v="80.310012821149201"/>
    <n v="29313.154679719501"/>
    <n v="105527.35684699001"/>
  </r>
  <r>
    <x v="0"/>
    <x v="0"/>
    <x v="0"/>
    <x v="9"/>
    <x v="20"/>
    <s v="SE4_OTHER"/>
    <x v="2"/>
    <s v="GBPR_MUNIWASTE_19"/>
    <x v="0"/>
    <x v="8"/>
    <n v="80.310012821149201"/>
    <n v="29313.154679719501"/>
    <n v="105527.35684699001"/>
  </r>
  <r>
    <x v="0"/>
    <x v="0"/>
    <x v="0"/>
    <x v="9"/>
    <x v="20"/>
    <s v="SE4_OTHER"/>
    <x v="2"/>
    <s v="GBPR_MUNIWASTE_19"/>
    <x v="0"/>
    <x v="9"/>
    <n v="80.310012821149201"/>
    <n v="29313.154679719501"/>
    <n v="105527.35684699001"/>
  </r>
  <r>
    <x v="0"/>
    <x v="0"/>
    <x v="0"/>
    <x v="9"/>
    <x v="20"/>
    <s v="SE4_OTHER"/>
    <x v="2"/>
    <s v="GBPR_MUNIWASTE_19"/>
    <x v="0"/>
    <x v="10"/>
    <n v="80.310012821149201"/>
    <n v="29313.154679719501"/>
    <n v="105527.35684699001"/>
  </r>
  <r>
    <x v="0"/>
    <x v="0"/>
    <x v="0"/>
    <x v="9"/>
    <x v="20"/>
    <s v="SE4_OTHER"/>
    <x v="2"/>
    <s v="GBPR_MUNIWASTE_19"/>
    <x v="0"/>
    <x v="11"/>
    <n v="80.310012821149201"/>
    <n v="29313.154679719501"/>
    <n v="105527.35684699001"/>
  </r>
  <r>
    <x v="0"/>
    <x v="0"/>
    <x v="0"/>
    <x v="9"/>
    <x v="20"/>
    <s v="SE4_OTHER"/>
    <x v="2"/>
    <s v="GBPR_MUNIWASTE_19"/>
    <x v="0"/>
    <x v="12"/>
    <n v="80.310012821149201"/>
    <n v="29313.154679719501"/>
    <n v="105527.35684699001"/>
  </r>
  <r>
    <x v="0"/>
    <x v="0"/>
    <x v="0"/>
    <x v="9"/>
    <x v="20"/>
    <s v="SE4_OTHER"/>
    <x v="2"/>
    <s v="GBPR_MUNIWASTE_19"/>
    <x v="0"/>
    <x v="13"/>
    <n v="80.310012821149201"/>
    <n v="29313.154679719501"/>
    <n v="105527.35684699001"/>
  </r>
  <r>
    <x v="0"/>
    <x v="0"/>
    <x v="0"/>
    <x v="9"/>
    <x v="20"/>
    <s v="SE4_OTHER"/>
    <x v="2"/>
    <s v="GBPR_MUNIWASTE_19"/>
    <x v="0"/>
    <x v="14"/>
    <n v="80.310012821149201"/>
    <n v="29313.154679719501"/>
    <n v="105527.35684699001"/>
  </r>
  <r>
    <x v="0"/>
    <x v="0"/>
    <x v="0"/>
    <x v="9"/>
    <x v="20"/>
    <s v="SE4_OTHER"/>
    <x v="2"/>
    <s v="GBPR_MUNIWASTE_19"/>
    <x v="0"/>
    <x v="15"/>
    <n v="80.310012821149201"/>
    <n v="29313.154679719501"/>
    <n v="105527.35684699001"/>
  </r>
  <r>
    <x v="0"/>
    <x v="0"/>
    <x v="0"/>
    <x v="9"/>
    <x v="20"/>
    <s v="SE4_OTHER"/>
    <x v="2"/>
    <s v="GBPR_MUNIWASTE_19"/>
    <x v="0"/>
    <x v="16"/>
    <n v="80.310012821149201"/>
    <n v="29313.154679719501"/>
    <n v="105527.35684699001"/>
  </r>
  <r>
    <x v="0"/>
    <x v="0"/>
    <x v="0"/>
    <x v="9"/>
    <x v="20"/>
    <s v="SE4_OTHER"/>
    <x v="2"/>
    <s v="GBPR_MUNIWASTE_19"/>
    <x v="0"/>
    <x v="17"/>
    <n v="80.310012821149201"/>
    <n v="29313.154679719501"/>
    <n v="105527.35684699001"/>
  </r>
  <r>
    <x v="0"/>
    <x v="0"/>
    <x v="0"/>
    <x v="9"/>
    <x v="20"/>
    <s v="SE4_OTHER"/>
    <x v="2"/>
    <s v="GBPR_MUNIWASTE_19"/>
    <x v="0"/>
    <x v="19"/>
    <n v="80.310012821149201"/>
    <n v="29313.154679719501"/>
    <n v="105527.35684699001"/>
  </r>
  <r>
    <x v="0"/>
    <x v="0"/>
    <x v="0"/>
    <x v="9"/>
    <x v="20"/>
    <s v="SE4_OTHER"/>
    <x v="2"/>
    <s v="GBPR_MUNIWASTE_19"/>
    <x v="0"/>
    <x v="20"/>
    <n v="80.310012821149201"/>
    <n v="29313.154679719501"/>
    <n v="105527.35684699001"/>
  </r>
  <r>
    <x v="0"/>
    <x v="0"/>
    <x v="0"/>
    <x v="9"/>
    <x v="20"/>
    <s v="SE4_OTHER"/>
    <x v="2"/>
    <s v="GBPR_MUNIWASTE_19"/>
    <x v="0"/>
    <x v="21"/>
    <n v="80.310012821149201"/>
    <n v="29313.154679719501"/>
    <n v="105527.35684699001"/>
  </r>
  <r>
    <x v="0"/>
    <x v="0"/>
    <x v="0"/>
    <x v="9"/>
    <x v="20"/>
    <s v="SE4_OTHER"/>
    <x v="2"/>
    <s v="GBPR_MUNIWASTE_19"/>
    <x v="0"/>
    <x v="22"/>
    <n v="80.310012821149201"/>
    <n v="29313.154679719501"/>
    <n v="105527.35684699001"/>
  </r>
  <r>
    <x v="0"/>
    <x v="0"/>
    <x v="0"/>
    <x v="9"/>
    <x v="20"/>
    <s v="SE4_OTHER"/>
    <x v="2"/>
    <s v="GBPR_MUNIWASTE_19"/>
    <x v="0"/>
    <x v="23"/>
    <n v="80.310012821149201"/>
    <n v="29313.154679719501"/>
    <n v="105527.35684699001"/>
  </r>
  <r>
    <x v="0"/>
    <x v="0"/>
    <x v="0"/>
    <x v="9"/>
    <x v="20"/>
    <s v="SE4_OTHER"/>
    <x v="2"/>
    <s v="GHOB_MUNIWASTE"/>
    <x v="0"/>
    <x v="0"/>
    <n v="15.4792612335452"/>
    <n v="5649.9303502439998"/>
    <n v="20339.749260878401"/>
  </r>
  <r>
    <x v="0"/>
    <x v="0"/>
    <x v="0"/>
    <x v="9"/>
    <x v="20"/>
    <s v="SE4_OTHER"/>
    <x v="2"/>
    <s v="GHOB_MUNIWASTE"/>
    <x v="0"/>
    <x v="1"/>
    <n v="15.4792612335452"/>
    <n v="5649.9303502439998"/>
    <n v="20339.749260878401"/>
  </r>
  <r>
    <x v="0"/>
    <x v="0"/>
    <x v="0"/>
    <x v="9"/>
    <x v="20"/>
    <s v="SE4_OTHER"/>
    <x v="2"/>
    <s v="GHOB_MUNIWASTE"/>
    <x v="0"/>
    <x v="2"/>
    <n v="15.4792612335452"/>
    <n v="5649.9303502439998"/>
    <n v="20339.749260878401"/>
  </r>
  <r>
    <x v="0"/>
    <x v="0"/>
    <x v="0"/>
    <x v="9"/>
    <x v="20"/>
    <s v="SE4_OTHER"/>
    <x v="2"/>
    <s v="GHOB_MUNIWASTE"/>
    <x v="0"/>
    <x v="3"/>
    <n v="15.4792612335452"/>
    <n v="5649.9303502439998"/>
    <n v="20339.749260878401"/>
  </r>
  <r>
    <x v="0"/>
    <x v="0"/>
    <x v="0"/>
    <x v="9"/>
    <x v="20"/>
    <s v="SE4_OTHER"/>
    <x v="2"/>
    <s v="GHOB_MUNIWASTE"/>
    <x v="0"/>
    <x v="18"/>
    <n v="15.4792612335452"/>
    <n v="5649.9303502439998"/>
    <n v="20339.749260878401"/>
  </r>
  <r>
    <x v="0"/>
    <x v="0"/>
    <x v="0"/>
    <x v="9"/>
    <x v="20"/>
    <s v="SE4_OTHER"/>
    <x v="2"/>
    <s v="GHOB_MUNIWASTE"/>
    <x v="0"/>
    <x v="4"/>
    <n v="15.4792612335452"/>
    <n v="5649.9303502439998"/>
    <n v="20339.749260878401"/>
  </r>
  <r>
    <x v="0"/>
    <x v="0"/>
    <x v="0"/>
    <x v="9"/>
    <x v="20"/>
    <s v="SE4_OTHER"/>
    <x v="2"/>
    <s v="GHOB_MUNIWASTE"/>
    <x v="0"/>
    <x v="5"/>
    <n v="15.4792612335452"/>
    <n v="5649.9303502439998"/>
    <n v="20339.749260878401"/>
  </r>
  <r>
    <x v="0"/>
    <x v="0"/>
    <x v="0"/>
    <x v="9"/>
    <x v="20"/>
    <s v="SE4_OTHER"/>
    <x v="2"/>
    <s v="GHOB_MUNIWASTE"/>
    <x v="0"/>
    <x v="6"/>
    <n v="15.4792612335452"/>
    <n v="5649.9303502439998"/>
    <n v="20339.749260878401"/>
  </r>
  <r>
    <x v="0"/>
    <x v="0"/>
    <x v="0"/>
    <x v="9"/>
    <x v="20"/>
    <s v="SE4_OTHER"/>
    <x v="2"/>
    <s v="GHOB_MUNIWASTE"/>
    <x v="0"/>
    <x v="7"/>
    <n v="15.4792612335452"/>
    <n v="5649.9303502439998"/>
    <n v="20339.749260878401"/>
  </r>
  <r>
    <x v="0"/>
    <x v="0"/>
    <x v="0"/>
    <x v="9"/>
    <x v="20"/>
    <s v="SE4_OTHER"/>
    <x v="2"/>
    <s v="GHOB_MUNIWASTE"/>
    <x v="0"/>
    <x v="8"/>
    <n v="15.4792612335452"/>
    <n v="5649.9303502439998"/>
    <n v="20339.749260878401"/>
  </r>
  <r>
    <x v="0"/>
    <x v="0"/>
    <x v="0"/>
    <x v="9"/>
    <x v="20"/>
    <s v="SE4_OTHER"/>
    <x v="2"/>
    <s v="GHOB_MUNIWASTE"/>
    <x v="0"/>
    <x v="9"/>
    <n v="15.4792612335452"/>
    <n v="5649.9303502439998"/>
    <n v="20339.749260878401"/>
  </r>
  <r>
    <x v="0"/>
    <x v="0"/>
    <x v="0"/>
    <x v="9"/>
    <x v="20"/>
    <s v="SE4_OTHER"/>
    <x v="2"/>
    <s v="GHOB_MUNIWASTE"/>
    <x v="0"/>
    <x v="10"/>
    <n v="15.4792612335452"/>
    <n v="5649.9303502439998"/>
    <n v="20339.749260878401"/>
  </r>
  <r>
    <x v="0"/>
    <x v="0"/>
    <x v="0"/>
    <x v="9"/>
    <x v="20"/>
    <s v="SE4_OTHER"/>
    <x v="2"/>
    <s v="GHOB_MUNIWASTE"/>
    <x v="0"/>
    <x v="11"/>
    <n v="15.4792612335452"/>
    <n v="5649.9303502439998"/>
    <n v="20339.749260878401"/>
  </r>
  <r>
    <x v="0"/>
    <x v="0"/>
    <x v="0"/>
    <x v="9"/>
    <x v="20"/>
    <s v="SE4_OTHER"/>
    <x v="2"/>
    <s v="GHOB_MUNIWASTE"/>
    <x v="0"/>
    <x v="12"/>
    <n v="15.4792612335452"/>
    <n v="5649.9303502439998"/>
    <n v="20339.749260878401"/>
  </r>
  <r>
    <x v="0"/>
    <x v="0"/>
    <x v="0"/>
    <x v="9"/>
    <x v="20"/>
    <s v="SE4_OTHER"/>
    <x v="2"/>
    <s v="GHOB_MUNIWASTE"/>
    <x v="0"/>
    <x v="13"/>
    <n v="15.4792612335452"/>
    <n v="5649.9303502439998"/>
    <n v="20339.749260878401"/>
  </r>
  <r>
    <x v="0"/>
    <x v="0"/>
    <x v="0"/>
    <x v="9"/>
    <x v="20"/>
    <s v="SE4_OTHER"/>
    <x v="2"/>
    <s v="GHOB_MUNIWASTE"/>
    <x v="0"/>
    <x v="14"/>
    <n v="15.4792612335452"/>
    <n v="5649.9303502439998"/>
    <n v="20339.749260878401"/>
  </r>
  <r>
    <x v="0"/>
    <x v="0"/>
    <x v="0"/>
    <x v="9"/>
    <x v="20"/>
    <s v="SE4_OTHER"/>
    <x v="2"/>
    <s v="GHOB_MUNIWASTE"/>
    <x v="0"/>
    <x v="15"/>
    <n v="15.4792612335452"/>
    <n v="5649.9303502439998"/>
    <n v="20339.749260878401"/>
  </r>
  <r>
    <x v="0"/>
    <x v="0"/>
    <x v="0"/>
    <x v="9"/>
    <x v="20"/>
    <s v="SE4_OTHER"/>
    <x v="2"/>
    <s v="GHOB_MUNIWASTE"/>
    <x v="0"/>
    <x v="16"/>
    <n v="15.4792612335452"/>
    <n v="5649.9303502439998"/>
    <n v="20339.749260878401"/>
  </r>
  <r>
    <x v="0"/>
    <x v="0"/>
    <x v="0"/>
    <x v="9"/>
    <x v="20"/>
    <s v="SE4_OTHER"/>
    <x v="2"/>
    <s v="GHOB_MUNIWASTE"/>
    <x v="0"/>
    <x v="17"/>
    <n v="15.4792612335452"/>
    <n v="5649.9303502439998"/>
    <n v="20339.749260878401"/>
  </r>
  <r>
    <x v="0"/>
    <x v="0"/>
    <x v="0"/>
    <x v="9"/>
    <x v="20"/>
    <s v="SE4_OTHER"/>
    <x v="2"/>
    <s v="GHOB_MUNIWASTE"/>
    <x v="0"/>
    <x v="19"/>
    <n v="15.4792612335452"/>
    <n v="5649.9303502439998"/>
    <n v="20339.749260878401"/>
  </r>
  <r>
    <x v="0"/>
    <x v="0"/>
    <x v="0"/>
    <x v="9"/>
    <x v="20"/>
    <s v="SE4_OTHER"/>
    <x v="2"/>
    <s v="GHOB_MUNIWASTE"/>
    <x v="0"/>
    <x v="20"/>
    <n v="15.4792612335452"/>
    <n v="5649.9303502439998"/>
    <n v="20339.749260878401"/>
  </r>
  <r>
    <x v="0"/>
    <x v="0"/>
    <x v="0"/>
    <x v="9"/>
    <x v="20"/>
    <s v="SE4_OTHER"/>
    <x v="2"/>
    <s v="GHOB_MUNIWASTE"/>
    <x v="0"/>
    <x v="21"/>
    <n v="15.4792612335452"/>
    <n v="5649.9303502439998"/>
    <n v="20339.749260878401"/>
  </r>
  <r>
    <x v="0"/>
    <x v="0"/>
    <x v="0"/>
    <x v="9"/>
    <x v="20"/>
    <s v="SE4_OTHER"/>
    <x v="2"/>
    <s v="GHOB_MUNIWASTE"/>
    <x v="0"/>
    <x v="22"/>
    <n v="15.4792612335452"/>
    <n v="5649.9303502439998"/>
    <n v="20339.749260878401"/>
  </r>
  <r>
    <x v="0"/>
    <x v="0"/>
    <x v="0"/>
    <x v="9"/>
    <x v="20"/>
    <s v="SE4_OTHER"/>
    <x v="2"/>
    <s v="GHOB_MUNIWASTE"/>
    <x v="0"/>
    <x v="23"/>
    <n v="15.4792612335452"/>
    <n v="5649.9303502439998"/>
    <n v="20339.749260878401"/>
  </r>
  <r>
    <x v="0"/>
    <x v="0"/>
    <x v="0"/>
    <x v="9"/>
    <x v="20"/>
    <s v="SE4_OTHER"/>
    <x v="1"/>
    <s v="GHOB_WASTEHEAT"/>
    <x v="0"/>
    <x v="0"/>
    <n v="54.953067765567503"/>
    <n v="20057.869734432199"/>
    <n v="72208.331043955797"/>
  </r>
  <r>
    <x v="0"/>
    <x v="0"/>
    <x v="0"/>
    <x v="9"/>
    <x v="20"/>
    <s v="SE4_OTHER"/>
    <x v="1"/>
    <s v="GHOB_WASTEHEAT"/>
    <x v="0"/>
    <x v="1"/>
    <n v="54.953067765567503"/>
    <n v="20057.869734432199"/>
    <n v="72208.331043955797"/>
  </r>
  <r>
    <x v="0"/>
    <x v="0"/>
    <x v="0"/>
    <x v="9"/>
    <x v="20"/>
    <s v="SE4_OTHER"/>
    <x v="1"/>
    <s v="GHOB_WASTEHEAT"/>
    <x v="0"/>
    <x v="2"/>
    <n v="54.953067765567503"/>
    <n v="20057.869734432199"/>
    <n v="72208.331043955797"/>
  </r>
  <r>
    <x v="0"/>
    <x v="0"/>
    <x v="0"/>
    <x v="9"/>
    <x v="20"/>
    <s v="SE4_OTHER"/>
    <x v="1"/>
    <s v="GHOB_WASTEHEAT"/>
    <x v="0"/>
    <x v="3"/>
    <n v="54.953067765567503"/>
    <n v="20057.869734432199"/>
    <n v="72208.331043955797"/>
  </r>
  <r>
    <x v="0"/>
    <x v="0"/>
    <x v="0"/>
    <x v="9"/>
    <x v="20"/>
    <s v="SE4_OTHER"/>
    <x v="1"/>
    <s v="GHOB_WASTEHEAT"/>
    <x v="0"/>
    <x v="18"/>
    <n v="54.953067765567503"/>
    <n v="20057.869734432199"/>
    <n v="72208.331043955797"/>
  </r>
  <r>
    <x v="0"/>
    <x v="0"/>
    <x v="0"/>
    <x v="9"/>
    <x v="20"/>
    <s v="SE4_OTHER"/>
    <x v="1"/>
    <s v="GHOB_WASTEHEAT"/>
    <x v="0"/>
    <x v="4"/>
    <n v="54.953067765567503"/>
    <n v="20057.869734432199"/>
    <n v="72208.331043955797"/>
  </r>
  <r>
    <x v="0"/>
    <x v="0"/>
    <x v="0"/>
    <x v="9"/>
    <x v="20"/>
    <s v="SE4_OTHER"/>
    <x v="1"/>
    <s v="GHOB_WASTEHEAT"/>
    <x v="0"/>
    <x v="5"/>
    <n v="54.953067765567503"/>
    <n v="20057.869734432199"/>
    <n v="72208.331043955797"/>
  </r>
  <r>
    <x v="0"/>
    <x v="0"/>
    <x v="0"/>
    <x v="9"/>
    <x v="20"/>
    <s v="SE4_OTHER"/>
    <x v="1"/>
    <s v="GHOB_WASTEHEAT"/>
    <x v="0"/>
    <x v="6"/>
    <n v="54.953067765567503"/>
    <n v="20057.869734432199"/>
    <n v="72208.331043955797"/>
  </r>
  <r>
    <x v="0"/>
    <x v="0"/>
    <x v="0"/>
    <x v="9"/>
    <x v="20"/>
    <s v="SE4_OTHER"/>
    <x v="1"/>
    <s v="GHOB_WASTEHEAT"/>
    <x v="0"/>
    <x v="7"/>
    <n v="54.953067765567503"/>
    <n v="20057.869734432199"/>
    <n v="72208.331043955797"/>
  </r>
  <r>
    <x v="0"/>
    <x v="0"/>
    <x v="0"/>
    <x v="9"/>
    <x v="20"/>
    <s v="SE4_OTHER"/>
    <x v="1"/>
    <s v="GHOB_WASTEHEAT"/>
    <x v="0"/>
    <x v="8"/>
    <n v="54.953067765567503"/>
    <n v="20057.869734432199"/>
    <n v="72208.331043955797"/>
  </r>
  <r>
    <x v="0"/>
    <x v="0"/>
    <x v="0"/>
    <x v="9"/>
    <x v="20"/>
    <s v="SE4_OTHER"/>
    <x v="1"/>
    <s v="GHOB_WASTEHEAT"/>
    <x v="0"/>
    <x v="9"/>
    <n v="54.953067765567503"/>
    <n v="20057.869734432199"/>
    <n v="72208.331043955797"/>
  </r>
  <r>
    <x v="0"/>
    <x v="0"/>
    <x v="0"/>
    <x v="9"/>
    <x v="20"/>
    <s v="SE4_OTHER"/>
    <x v="1"/>
    <s v="GHOB_WASTEHEAT"/>
    <x v="0"/>
    <x v="10"/>
    <n v="54.953067765567503"/>
    <n v="20057.869734432199"/>
    <n v="72208.331043955797"/>
  </r>
  <r>
    <x v="0"/>
    <x v="0"/>
    <x v="0"/>
    <x v="9"/>
    <x v="20"/>
    <s v="SE4_OTHER"/>
    <x v="1"/>
    <s v="GHOB_WASTEHEAT"/>
    <x v="0"/>
    <x v="11"/>
    <n v="54.953067765567503"/>
    <n v="20057.869734432199"/>
    <n v="72208.331043955797"/>
  </r>
  <r>
    <x v="0"/>
    <x v="0"/>
    <x v="0"/>
    <x v="9"/>
    <x v="20"/>
    <s v="SE4_OTHER"/>
    <x v="1"/>
    <s v="GHOB_WASTEHEAT"/>
    <x v="0"/>
    <x v="12"/>
    <n v="54.953067765567503"/>
    <n v="20057.869734432199"/>
    <n v="72208.331043955797"/>
  </r>
  <r>
    <x v="0"/>
    <x v="0"/>
    <x v="0"/>
    <x v="9"/>
    <x v="20"/>
    <s v="SE4_OTHER"/>
    <x v="1"/>
    <s v="GHOB_WASTEHEAT"/>
    <x v="0"/>
    <x v="13"/>
    <n v="54.953067765567503"/>
    <n v="20057.869734432199"/>
    <n v="72208.331043955797"/>
  </r>
  <r>
    <x v="0"/>
    <x v="0"/>
    <x v="0"/>
    <x v="9"/>
    <x v="20"/>
    <s v="SE4_OTHER"/>
    <x v="1"/>
    <s v="GHOB_WASTEHEAT"/>
    <x v="0"/>
    <x v="14"/>
    <n v="54.953067765567503"/>
    <n v="20057.869734432199"/>
    <n v="72208.331043955797"/>
  </r>
  <r>
    <x v="0"/>
    <x v="0"/>
    <x v="0"/>
    <x v="9"/>
    <x v="20"/>
    <s v="SE4_OTHER"/>
    <x v="1"/>
    <s v="GHOB_WASTEHEAT"/>
    <x v="0"/>
    <x v="15"/>
    <n v="54.953067765567503"/>
    <n v="20057.869734432199"/>
    <n v="72208.331043955797"/>
  </r>
  <r>
    <x v="0"/>
    <x v="0"/>
    <x v="0"/>
    <x v="9"/>
    <x v="20"/>
    <s v="SE4_OTHER"/>
    <x v="1"/>
    <s v="GHOB_WASTEHEAT"/>
    <x v="0"/>
    <x v="16"/>
    <n v="54.953067765567503"/>
    <n v="20057.869734432199"/>
    <n v="72208.331043955797"/>
  </r>
  <r>
    <x v="0"/>
    <x v="0"/>
    <x v="0"/>
    <x v="9"/>
    <x v="20"/>
    <s v="SE4_OTHER"/>
    <x v="1"/>
    <s v="GHOB_WASTEHEAT"/>
    <x v="0"/>
    <x v="17"/>
    <n v="54.953067765567503"/>
    <n v="20057.869734432199"/>
    <n v="72208.331043955797"/>
  </r>
  <r>
    <x v="0"/>
    <x v="0"/>
    <x v="0"/>
    <x v="9"/>
    <x v="20"/>
    <s v="SE4_OTHER"/>
    <x v="1"/>
    <s v="GHOB_WASTEHEAT"/>
    <x v="0"/>
    <x v="19"/>
    <n v="54.953067765567503"/>
    <n v="20057.869734432199"/>
    <n v="72208.331043955797"/>
  </r>
  <r>
    <x v="0"/>
    <x v="0"/>
    <x v="0"/>
    <x v="9"/>
    <x v="20"/>
    <s v="SE4_OTHER"/>
    <x v="1"/>
    <s v="GHOB_WASTEHEAT"/>
    <x v="0"/>
    <x v="20"/>
    <n v="54.953067765567503"/>
    <n v="20057.869734432199"/>
    <n v="72208.331043955797"/>
  </r>
  <r>
    <x v="0"/>
    <x v="0"/>
    <x v="0"/>
    <x v="9"/>
    <x v="20"/>
    <s v="SE4_OTHER"/>
    <x v="1"/>
    <s v="GHOB_WASTEHEAT"/>
    <x v="0"/>
    <x v="21"/>
    <n v="54.953067765567503"/>
    <n v="20057.869734432199"/>
    <n v="72208.331043955797"/>
  </r>
  <r>
    <x v="0"/>
    <x v="0"/>
    <x v="0"/>
    <x v="9"/>
    <x v="20"/>
    <s v="SE4_OTHER"/>
    <x v="1"/>
    <s v="GHOB_WASTEHEAT"/>
    <x v="0"/>
    <x v="22"/>
    <n v="54.953067765567503"/>
    <n v="20057.869734432199"/>
    <n v="72208.331043955797"/>
  </r>
  <r>
    <x v="0"/>
    <x v="0"/>
    <x v="0"/>
    <x v="9"/>
    <x v="20"/>
    <s v="SE4_OTHER"/>
    <x v="1"/>
    <s v="GHOB_WASTEHEAT"/>
    <x v="0"/>
    <x v="23"/>
    <n v="54.953067765567503"/>
    <n v="20057.869734432199"/>
    <n v="72208.331043955797"/>
  </r>
  <r>
    <x v="0"/>
    <x v="0"/>
    <x v="0"/>
    <x v="9"/>
    <x v="20"/>
    <s v="SE4_OTHER"/>
    <x v="9"/>
    <s v="GBPR_WOODWASTE_36"/>
    <x v="0"/>
    <x v="0"/>
    <n v="300.29165207238799"/>
    <n v="109606.453006422"/>
    <n v="394583.23082311702"/>
  </r>
  <r>
    <x v="0"/>
    <x v="0"/>
    <x v="0"/>
    <x v="9"/>
    <x v="20"/>
    <s v="SE4_OTHER"/>
    <x v="9"/>
    <s v="GBPR_WOODWASTE_36"/>
    <x v="0"/>
    <x v="1"/>
    <n v="300.29165207238799"/>
    <n v="109606.453006422"/>
    <n v="394583.23082311702"/>
  </r>
  <r>
    <x v="0"/>
    <x v="0"/>
    <x v="0"/>
    <x v="9"/>
    <x v="20"/>
    <s v="SE4_OTHER"/>
    <x v="9"/>
    <s v="GBPR_WOODWASTE_36"/>
    <x v="0"/>
    <x v="2"/>
    <n v="300.29165207238799"/>
    <n v="109606.453006422"/>
    <n v="394583.23082311702"/>
  </r>
  <r>
    <x v="0"/>
    <x v="0"/>
    <x v="0"/>
    <x v="9"/>
    <x v="20"/>
    <s v="SE4_OTHER"/>
    <x v="9"/>
    <s v="GBPR_WOODWASTE_36"/>
    <x v="0"/>
    <x v="3"/>
    <n v="300.29165207238799"/>
    <n v="109606.453006422"/>
    <n v="394583.23082311702"/>
  </r>
  <r>
    <x v="0"/>
    <x v="0"/>
    <x v="0"/>
    <x v="9"/>
    <x v="20"/>
    <s v="SE4_OTHER"/>
    <x v="9"/>
    <s v="GBPR_WOODWASTE_36"/>
    <x v="0"/>
    <x v="18"/>
    <n v="300.29165207238799"/>
    <n v="109606.453006422"/>
    <n v="394583.23082311702"/>
  </r>
  <r>
    <x v="0"/>
    <x v="0"/>
    <x v="0"/>
    <x v="9"/>
    <x v="20"/>
    <s v="SE4_OTHER"/>
    <x v="9"/>
    <s v="GBPR_WOODWASTE_36"/>
    <x v="0"/>
    <x v="4"/>
    <n v="300.29165207238799"/>
    <n v="109606.453006422"/>
    <n v="394583.23082311702"/>
  </r>
  <r>
    <x v="0"/>
    <x v="0"/>
    <x v="0"/>
    <x v="9"/>
    <x v="20"/>
    <s v="SE4_OTHER"/>
    <x v="9"/>
    <s v="GBPR_WOODWASTE_36"/>
    <x v="0"/>
    <x v="5"/>
    <n v="300.29165207238799"/>
    <n v="109606.453006422"/>
    <n v="394583.23082311702"/>
  </r>
  <r>
    <x v="0"/>
    <x v="0"/>
    <x v="0"/>
    <x v="9"/>
    <x v="20"/>
    <s v="SE4_OTHER"/>
    <x v="9"/>
    <s v="GBPR_WOODWASTE_36"/>
    <x v="0"/>
    <x v="6"/>
    <n v="300.29165207238799"/>
    <n v="109606.453006422"/>
    <n v="394583.23082311702"/>
  </r>
  <r>
    <x v="0"/>
    <x v="0"/>
    <x v="0"/>
    <x v="9"/>
    <x v="20"/>
    <s v="SE4_OTHER"/>
    <x v="9"/>
    <s v="GBPR_WOODWASTE_36"/>
    <x v="0"/>
    <x v="7"/>
    <n v="300.29165207238799"/>
    <n v="109606.453006422"/>
    <n v="394583.23082311702"/>
  </r>
  <r>
    <x v="0"/>
    <x v="0"/>
    <x v="0"/>
    <x v="9"/>
    <x v="20"/>
    <s v="SE4_OTHER"/>
    <x v="9"/>
    <s v="GBPR_WOODWASTE_36"/>
    <x v="0"/>
    <x v="8"/>
    <n v="300.29165207238799"/>
    <n v="109606.453006422"/>
    <n v="394583.23082311702"/>
  </r>
  <r>
    <x v="0"/>
    <x v="0"/>
    <x v="0"/>
    <x v="9"/>
    <x v="20"/>
    <s v="SE4_OTHER"/>
    <x v="9"/>
    <s v="GBPR_WOODWASTE_36"/>
    <x v="0"/>
    <x v="9"/>
    <n v="300.29165207238799"/>
    <n v="109606.453006422"/>
    <n v="394583.23082311702"/>
  </r>
  <r>
    <x v="0"/>
    <x v="0"/>
    <x v="0"/>
    <x v="9"/>
    <x v="20"/>
    <s v="SE4_OTHER"/>
    <x v="9"/>
    <s v="GBPR_WOODWASTE_36"/>
    <x v="0"/>
    <x v="10"/>
    <n v="300.29165207238799"/>
    <n v="109606.453006422"/>
    <n v="394583.23082311702"/>
  </r>
  <r>
    <x v="0"/>
    <x v="0"/>
    <x v="0"/>
    <x v="9"/>
    <x v="20"/>
    <s v="SE4_OTHER"/>
    <x v="9"/>
    <s v="GBPR_WOODWASTE_36"/>
    <x v="0"/>
    <x v="11"/>
    <n v="300.29165207238799"/>
    <n v="109606.453006422"/>
    <n v="394583.23082311702"/>
  </r>
  <r>
    <x v="0"/>
    <x v="0"/>
    <x v="0"/>
    <x v="9"/>
    <x v="20"/>
    <s v="SE4_OTHER"/>
    <x v="9"/>
    <s v="GBPR_WOODWASTE_36"/>
    <x v="0"/>
    <x v="12"/>
    <n v="300.29165207238799"/>
    <n v="109606.453006422"/>
    <n v="394583.23082311702"/>
  </r>
  <r>
    <x v="0"/>
    <x v="0"/>
    <x v="0"/>
    <x v="9"/>
    <x v="20"/>
    <s v="SE4_OTHER"/>
    <x v="9"/>
    <s v="GBPR_WOODWASTE_36"/>
    <x v="0"/>
    <x v="13"/>
    <n v="300.29165207238799"/>
    <n v="109606.453006422"/>
    <n v="394583.23082311702"/>
  </r>
  <r>
    <x v="0"/>
    <x v="0"/>
    <x v="0"/>
    <x v="9"/>
    <x v="20"/>
    <s v="SE4_OTHER"/>
    <x v="9"/>
    <s v="GBPR_WOODWASTE_36"/>
    <x v="0"/>
    <x v="14"/>
    <n v="300.29165207238799"/>
    <n v="109606.453006422"/>
    <n v="394583.23082311702"/>
  </r>
  <r>
    <x v="0"/>
    <x v="0"/>
    <x v="0"/>
    <x v="9"/>
    <x v="20"/>
    <s v="SE4_OTHER"/>
    <x v="9"/>
    <s v="GBPR_WOODWASTE_36"/>
    <x v="0"/>
    <x v="15"/>
    <n v="300.29165207238799"/>
    <n v="109606.453006422"/>
    <n v="394583.23082311702"/>
  </r>
  <r>
    <x v="0"/>
    <x v="0"/>
    <x v="0"/>
    <x v="9"/>
    <x v="20"/>
    <s v="SE4_OTHER"/>
    <x v="9"/>
    <s v="GBPR_WOODWASTE_36"/>
    <x v="0"/>
    <x v="16"/>
    <n v="300.29165207238799"/>
    <n v="109606.453006422"/>
    <n v="394583.23082311702"/>
  </r>
  <r>
    <x v="0"/>
    <x v="0"/>
    <x v="0"/>
    <x v="9"/>
    <x v="20"/>
    <s v="SE4_OTHER"/>
    <x v="9"/>
    <s v="GBPR_WOODWASTE_36"/>
    <x v="0"/>
    <x v="17"/>
    <n v="300.29165207238799"/>
    <n v="109606.453006422"/>
    <n v="394583.23082311702"/>
  </r>
  <r>
    <x v="0"/>
    <x v="0"/>
    <x v="0"/>
    <x v="9"/>
    <x v="20"/>
    <s v="SE4_OTHER"/>
    <x v="9"/>
    <s v="GBPR_WOODWASTE_36"/>
    <x v="0"/>
    <x v="19"/>
    <n v="300.29165207238799"/>
    <n v="109606.453006422"/>
    <n v="394583.23082311702"/>
  </r>
  <r>
    <x v="0"/>
    <x v="0"/>
    <x v="0"/>
    <x v="9"/>
    <x v="20"/>
    <s v="SE4_OTHER"/>
    <x v="9"/>
    <s v="GBPR_WOODWASTE_36"/>
    <x v="0"/>
    <x v="20"/>
    <n v="300.29165207238799"/>
    <n v="109606.453006422"/>
    <n v="394583.23082311702"/>
  </r>
  <r>
    <x v="0"/>
    <x v="0"/>
    <x v="0"/>
    <x v="9"/>
    <x v="20"/>
    <s v="SE4_OTHER"/>
    <x v="9"/>
    <s v="GBPR_WOODWASTE_36"/>
    <x v="0"/>
    <x v="21"/>
    <n v="300.29165207238799"/>
    <n v="109606.453006422"/>
    <n v="394583.23082311702"/>
  </r>
  <r>
    <x v="0"/>
    <x v="0"/>
    <x v="0"/>
    <x v="9"/>
    <x v="20"/>
    <s v="SE4_OTHER"/>
    <x v="9"/>
    <s v="GBPR_WOODWASTE_36"/>
    <x v="0"/>
    <x v="22"/>
    <n v="300.29165207238799"/>
    <n v="109606.453006422"/>
    <n v="394583.23082311702"/>
  </r>
  <r>
    <x v="0"/>
    <x v="0"/>
    <x v="0"/>
    <x v="9"/>
    <x v="20"/>
    <s v="SE4_OTHER"/>
    <x v="9"/>
    <s v="GBPR_WOODWASTE_36"/>
    <x v="0"/>
    <x v="23"/>
    <n v="300.29165207238799"/>
    <n v="109606.453006422"/>
    <n v="394583.23082311702"/>
  </r>
  <r>
    <x v="0"/>
    <x v="0"/>
    <x v="0"/>
    <x v="9"/>
    <x v="20"/>
    <s v="SE4_OTHER"/>
    <x v="9"/>
    <s v="GHOB_WOODWASTE"/>
    <x v="0"/>
    <x v="0"/>
    <n v="292.81486704440101"/>
    <n v="106877.426471206"/>
    <n v="384758.73529634299"/>
  </r>
  <r>
    <x v="0"/>
    <x v="0"/>
    <x v="0"/>
    <x v="9"/>
    <x v="20"/>
    <s v="SE4_OTHER"/>
    <x v="9"/>
    <s v="GHOB_WOODWASTE"/>
    <x v="0"/>
    <x v="1"/>
    <n v="292.81486704440101"/>
    <n v="106877.426471206"/>
    <n v="384758.73529634299"/>
  </r>
  <r>
    <x v="0"/>
    <x v="0"/>
    <x v="0"/>
    <x v="9"/>
    <x v="20"/>
    <s v="SE4_OTHER"/>
    <x v="9"/>
    <s v="GHOB_WOODWASTE"/>
    <x v="0"/>
    <x v="2"/>
    <n v="292.81486704440101"/>
    <n v="106877.426471206"/>
    <n v="384758.73529634299"/>
  </r>
  <r>
    <x v="0"/>
    <x v="0"/>
    <x v="0"/>
    <x v="9"/>
    <x v="20"/>
    <s v="SE4_OTHER"/>
    <x v="9"/>
    <s v="GHOB_WOODWASTE"/>
    <x v="0"/>
    <x v="3"/>
    <n v="292.81486704440101"/>
    <n v="106877.426471206"/>
    <n v="384758.73529634299"/>
  </r>
  <r>
    <x v="0"/>
    <x v="0"/>
    <x v="0"/>
    <x v="9"/>
    <x v="20"/>
    <s v="SE4_OTHER"/>
    <x v="9"/>
    <s v="GHOB_WOODWASTE"/>
    <x v="0"/>
    <x v="18"/>
    <n v="292.81486704440101"/>
    <n v="106877.426471206"/>
    <n v="384758.73529634299"/>
  </r>
  <r>
    <x v="0"/>
    <x v="0"/>
    <x v="0"/>
    <x v="9"/>
    <x v="20"/>
    <s v="SE4_OTHER"/>
    <x v="9"/>
    <s v="GHOB_WOODWASTE"/>
    <x v="0"/>
    <x v="4"/>
    <n v="292.81486704440101"/>
    <n v="106877.426471206"/>
    <n v="384758.73529634299"/>
  </r>
  <r>
    <x v="0"/>
    <x v="0"/>
    <x v="0"/>
    <x v="9"/>
    <x v="20"/>
    <s v="SE4_OTHER"/>
    <x v="9"/>
    <s v="GHOB_WOODWASTE"/>
    <x v="0"/>
    <x v="5"/>
    <n v="292.81486704440101"/>
    <n v="106877.426471206"/>
    <n v="384758.73529634299"/>
  </r>
  <r>
    <x v="0"/>
    <x v="0"/>
    <x v="0"/>
    <x v="9"/>
    <x v="20"/>
    <s v="SE4_OTHER"/>
    <x v="9"/>
    <s v="GHOB_WOODWASTE"/>
    <x v="0"/>
    <x v="6"/>
    <n v="292.81486704440101"/>
    <n v="106877.426471206"/>
    <n v="384758.73529634299"/>
  </r>
  <r>
    <x v="0"/>
    <x v="0"/>
    <x v="0"/>
    <x v="9"/>
    <x v="20"/>
    <s v="SE4_OTHER"/>
    <x v="9"/>
    <s v="GHOB_WOODWASTE"/>
    <x v="0"/>
    <x v="7"/>
    <n v="292.81486704440101"/>
    <n v="106877.426471206"/>
    <n v="384758.73529634299"/>
  </r>
  <r>
    <x v="0"/>
    <x v="0"/>
    <x v="0"/>
    <x v="9"/>
    <x v="20"/>
    <s v="SE4_OTHER"/>
    <x v="9"/>
    <s v="GHOB_WOODWASTE"/>
    <x v="0"/>
    <x v="8"/>
    <n v="292.81486704440101"/>
    <n v="106877.426471206"/>
    <n v="384758.73529634299"/>
  </r>
  <r>
    <x v="0"/>
    <x v="0"/>
    <x v="0"/>
    <x v="9"/>
    <x v="20"/>
    <s v="SE4_OTHER"/>
    <x v="9"/>
    <s v="GHOB_WOODWASTE"/>
    <x v="0"/>
    <x v="9"/>
    <n v="292.81486704440101"/>
    <n v="106877.426471206"/>
    <n v="384758.73529634299"/>
  </r>
  <r>
    <x v="0"/>
    <x v="0"/>
    <x v="0"/>
    <x v="9"/>
    <x v="20"/>
    <s v="SE4_OTHER"/>
    <x v="9"/>
    <s v="GHOB_WOODWASTE"/>
    <x v="0"/>
    <x v="10"/>
    <n v="292.81486704440101"/>
    <n v="106877.426471206"/>
    <n v="384758.73529634299"/>
  </r>
  <r>
    <x v="0"/>
    <x v="0"/>
    <x v="0"/>
    <x v="9"/>
    <x v="20"/>
    <s v="SE4_OTHER"/>
    <x v="9"/>
    <s v="GHOB_WOODWASTE"/>
    <x v="0"/>
    <x v="11"/>
    <n v="292.81486704440101"/>
    <n v="106877.426471206"/>
    <n v="384758.73529634299"/>
  </r>
  <r>
    <x v="0"/>
    <x v="0"/>
    <x v="0"/>
    <x v="9"/>
    <x v="20"/>
    <s v="SE4_OTHER"/>
    <x v="9"/>
    <s v="GHOB_WOODWASTE"/>
    <x v="0"/>
    <x v="12"/>
    <n v="292.81486704440101"/>
    <n v="106877.426471206"/>
    <n v="384758.73529634299"/>
  </r>
  <r>
    <x v="0"/>
    <x v="0"/>
    <x v="0"/>
    <x v="9"/>
    <x v="20"/>
    <s v="SE4_OTHER"/>
    <x v="9"/>
    <s v="GHOB_WOODWASTE"/>
    <x v="0"/>
    <x v="13"/>
    <n v="292.81486704440101"/>
    <n v="106877.426471206"/>
    <n v="384758.73529634299"/>
  </r>
  <r>
    <x v="0"/>
    <x v="0"/>
    <x v="0"/>
    <x v="9"/>
    <x v="20"/>
    <s v="SE4_OTHER"/>
    <x v="9"/>
    <s v="GHOB_WOODWASTE"/>
    <x v="0"/>
    <x v="14"/>
    <n v="292.81486704440101"/>
    <n v="106877.426471206"/>
    <n v="384758.73529634299"/>
  </r>
  <r>
    <x v="0"/>
    <x v="0"/>
    <x v="0"/>
    <x v="9"/>
    <x v="20"/>
    <s v="SE4_OTHER"/>
    <x v="9"/>
    <s v="GHOB_WOODWASTE"/>
    <x v="0"/>
    <x v="15"/>
    <n v="292.81486704440101"/>
    <n v="106877.426471206"/>
    <n v="384758.73529634299"/>
  </r>
  <r>
    <x v="0"/>
    <x v="0"/>
    <x v="0"/>
    <x v="9"/>
    <x v="20"/>
    <s v="SE4_OTHER"/>
    <x v="9"/>
    <s v="GHOB_WOODWASTE"/>
    <x v="0"/>
    <x v="16"/>
    <n v="262.75113384530601"/>
    <n v="95904.163853536797"/>
    <n v="345254.98987273301"/>
  </r>
  <r>
    <x v="0"/>
    <x v="0"/>
    <x v="0"/>
    <x v="9"/>
    <x v="20"/>
    <s v="SE4_OTHER"/>
    <x v="9"/>
    <s v="GHOB_WOODWASTE"/>
    <x v="0"/>
    <x v="17"/>
    <n v="236.76829771192601"/>
    <n v="86420.4286648532"/>
    <n v="311113.54319347098"/>
  </r>
  <r>
    <x v="0"/>
    <x v="0"/>
    <x v="0"/>
    <x v="9"/>
    <x v="20"/>
    <s v="SE4_OTHER"/>
    <x v="9"/>
    <s v="GHOB_WOODWASTE"/>
    <x v="0"/>
    <x v="19"/>
    <n v="214.48746392061199"/>
    <n v="78287.924331023503"/>
    <n v="281836.52759168501"/>
  </r>
  <r>
    <x v="0"/>
    <x v="0"/>
    <x v="0"/>
    <x v="9"/>
    <x v="20"/>
    <s v="SE4_OTHER"/>
    <x v="9"/>
    <s v="GHOB_WOODWASTE"/>
    <x v="0"/>
    <x v="20"/>
    <n v="190.02149520324301"/>
    <n v="69357.845749183602"/>
    <n v="249688.24469706099"/>
  </r>
  <r>
    <x v="0"/>
    <x v="0"/>
    <x v="0"/>
    <x v="9"/>
    <x v="20"/>
    <s v="SE4_OTHER"/>
    <x v="9"/>
    <s v="GHOB_WOODWASTE"/>
    <x v="0"/>
    <x v="21"/>
    <n v="149.243355641683"/>
    <n v="54473.8248092141"/>
    <n v="196105.76931317101"/>
  </r>
  <r>
    <x v="0"/>
    <x v="0"/>
    <x v="0"/>
    <x v="9"/>
    <x v="20"/>
    <s v="SE4_OTHER"/>
    <x v="9"/>
    <s v="GHOB_WOODWASTE"/>
    <x v="0"/>
    <x v="22"/>
    <n v="152.49889792517999"/>
    <n v="55662.097742690697"/>
    <n v="200383.55187368701"/>
  </r>
  <r>
    <x v="0"/>
    <x v="0"/>
    <x v="0"/>
    <x v="9"/>
    <x v="20"/>
    <s v="SE4_OTHER"/>
    <x v="9"/>
    <s v="GHOB_WOODWASTE"/>
    <x v="0"/>
    <x v="23"/>
    <n v="292.81486704440101"/>
    <n v="106877.426471206"/>
    <n v="384758.73529634299"/>
  </r>
  <r>
    <x v="0"/>
    <x v="0"/>
    <x v="0"/>
    <x v="10"/>
    <x v="21"/>
    <s v="UK_A"/>
    <x v="0"/>
    <s v="GNR_ST_COAL_CND_E-33"/>
    <x v="0"/>
    <x v="0"/>
    <n v="3175.7850533828801"/>
    <n v="1159161.5444847499"/>
    <n v="4172981.5601451001"/>
  </r>
  <r>
    <x v="0"/>
    <x v="0"/>
    <x v="0"/>
    <x v="10"/>
    <x v="21"/>
    <s v="UK_A"/>
    <x v="0"/>
    <s v="GNR_ST_COAL_CND_E-33"/>
    <x v="0"/>
    <x v="1"/>
    <n v="331.04290965757099"/>
    <n v="120830.662025014"/>
    <n v="434990.38329004898"/>
  </r>
  <r>
    <x v="0"/>
    <x v="0"/>
    <x v="0"/>
    <x v="10"/>
    <x v="21"/>
    <s v="UK_A"/>
    <x v="0"/>
    <s v="GNR_ST_COAL_CND_E-33"/>
    <x v="0"/>
    <x v="5"/>
    <n v="13459.532891016799"/>
    <n v="4912729.5052211303"/>
    <n v="17685826.2187961"/>
  </r>
  <r>
    <x v="0"/>
    <x v="0"/>
    <x v="0"/>
    <x v="10"/>
    <x v="21"/>
    <s v="UK_A"/>
    <x v="0"/>
    <s v="GNR_ST_COAL_CND_E-33"/>
    <x v="0"/>
    <x v="6"/>
    <n v="27257.5757575758"/>
    <n v="9949015.1515151504"/>
    <n v="35816454.545454502"/>
  </r>
  <r>
    <x v="0"/>
    <x v="0"/>
    <x v="0"/>
    <x v="10"/>
    <x v="21"/>
    <s v="UK_A"/>
    <x v="0"/>
    <s v="GNR_ST_COAL_CND_E-33"/>
    <x v="0"/>
    <x v="7"/>
    <n v="27257.5757575758"/>
    <n v="9949015.1515151504"/>
    <n v="35816454.545454502"/>
  </r>
  <r>
    <x v="0"/>
    <x v="0"/>
    <x v="0"/>
    <x v="10"/>
    <x v="21"/>
    <s v="UK_A"/>
    <x v="0"/>
    <s v="GNR_ST_COAL_CND_E-33"/>
    <x v="0"/>
    <x v="8"/>
    <n v="27257.5757575758"/>
    <n v="9949015.1515151504"/>
    <n v="35816454.545454502"/>
  </r>
  <r>
    <x v="0"/>
    <x v="0"/>
    <x v="0"/>
    <x v="10"/>
    <x v="21"/>
    <s v="UK_A"/>
    <x v="0"/>
    <s v="GNR_ST_COAL_CND_E-33"/>
    <x v="0"/>
    <x v="9"/>
    <n v="27257.5757575758"/>
    <n v="9949015.1515151504"/>
    <n v="35816454.545454502"/>
  </r>
  <r>
    <x v="0"/>
    <x v="0"/>
    <x v="0"/>
    <x v="10"/>
    <x v="21"/>
    <s v="UK_A"/>
    <x v="0"/>
    <s v="GNR_ST_COAL_CND_E-33"/>
    <x v="0"/>
    <x v="10"/>
    <n v="27257.5757575758"/>
    <n v="9949015.1515151504"/>
    <n v="35816454.545454502"/>
  </r>
  <r>
    <x v="0"/>
    <x v="0"/>
    <x v="0"/>
    <x v="10"/>
    <x v="21"/>
    <s v="UK_A"/>
    <x v="0"/>
    <s v="GNR_ST_COAL_CND_E-33"/>
    <x v="0"/>
    <x v="11"/>
    <n v="27257.5757575758"/>
    <n v="9949015.1515151504"/>
    <n v="35816454.545454502"/>
  </r>
  <r>
    <x v="0"/>
    <x v="0"/>
    <x v="0"/>
    <x v="10"/>
    <x v="21"/>
    <s v="UK_A"/>
    <x v="0"/>
    <s v="GNR_ST_COAL_CND_E-33"/>
    <x v="0"/>
    <x v="12"/>
    <n v="27257.5757575758"/>
    <n v="9949015.1515151504"/>
    <n v="35816454.545454502"/>
  </r>
  <r>
    <x v="0"/>
    <x v="0"/>
    <x v="0"/>
    <x v="10"/>
    <x v="21"/>
    <s v="UK_A"/>
    <x v="0"/>
    <s v="GNR_ST_COAL_CND_E-33"/>
    <x v="0"/>
    <x v="13"/>
    <n v="27257.5757575758"/>
    <n v="9949015.1515151504"/>
    <n v="35816454.545454502"/>
  </r>
  <r>
    <x v="0"/>
    <x v="0"/>
    <x v="0"/>
    <x v="10"/>
    <x v="21"/>
    <s v="UK_A"/>
    <x v="0"/>
    <s v="GNR_ST_COAL_CND_E-33"/>
    <x v="0"/>
    <x v="14"/>
    <n v="27257.5757575758"/>
    <n v="9949015.1515151504"/>
    <n v="35816454.545454502"/>
  </r>
  <r>
    <x v="0"/>
    <x v="0"/>
    <x v="0"/>
    <x v="10"/>
    <x v="21"/>
    <s v="UK_A"/>
    <x v="0"/>
    <s v="GNR_ST_COAL_CND_E-33"/>
    <x v="0"/>
    <x v="15"/>
    <n v="27257.5757575758"/>
    <n v="9949015.1515151504"/>
    <n v="35816454.545454502"/>
  </r>
  <r>
    <x v="0"/>
    <x v="0"/>
    <x v="0"/>
    <x v="10"/>
    <x v="21"/>
    <s v="UK_A"/>
    <x v="0"/>
    <s v="GNR_ST_COAL_CND_E-33"/>
    <x v="0"/>
    <x v="16"/>
    <n v="27257.5757575758"/>
    <n v="9949015.1515151504"/>
    <n v="35816454.545454502"/>
  </r>
  <r>
    <x v="0"/>
    <x v="0"/>
    <x v="0"/>
    <x v="10"/>
    <x v="21"/>
    <s v="UK_A"/>
    <x v="0"/>
    <s v="GNR_ST_COAL_CND_E-33"/>
    <x v="0"/>
    <x v="17"/>
    <n v="27257.5757575758"/>
    <n v="9949015.1515151504"/>
    <n v="35816454.545454502"/>
  </r>
  <r>
    <x v="0"/>
    <x v="0"/>
    <x v="0"/>
    <x v="10"/>
    <x v="21"/>
    <s v="UK_A"/>
    <x v="0"/>
    <s v="GNR_ST_COAL_CND_E-33"/>
    <x v="0"/>
    <x v="19"/>
    <n v="27257.5757575758"/>
    <n v="9949015.1515151504"/>
    <n v="35816454.545454502"/>
  </r>
  <r>
    <x v="0"/>
    <x v="0"/>
    <x v="0"/>
    <x v="10"/>
    <x v="21"/>
    <s v="UK_A"/>
    <x v="0"/>
    <s v="GNR_ST_COAL_CND_E-33"/>
    <x v="0"/>
    <x v="20"/>
    <n v="27257.5757575758"/>
    <n v="9949015.1515151504"/>
    <n v="35816454.545454502"/>
  </r>
  <r>
    <x v="0"/>
    <x v="0"/>
    <x v="0"/>
    <x v="10"/>
    <x v="21"/>
    <s v="UK_A"/>
    <x v="0"/>
    <s v="GNR_ST_COAL_CND_E-33"/>
    <x v="0"/>
    <x v="21"/>
    <n v="27257.5757575758"/>
    <n v="9949015.1515151504"/>
    <n v="35816454.545454502"/>
  </r>
  <r>
    <x v="0"/>
    <x v="0"/>
    <x v="0"/>
    <x v="10"/>
    <x v="21"/>
    <s v="UK_A"/>
    <x v="0"/>
    <s v="GNR_ST_COAL_CND_E-33"/>
    <x v="0"/>
    <x v="22"/>
    <n v="27257.5757575758"/>
    <n v="9949015.1515151504"/>
    <n v="35816454.545454502"/>
  </r>
  <r>
    <x v="0"/>
    <x v="0"/>
    <x v="0"/>
    <x v="10"/>
    <x v="21"/>
    <s v="UK_A"/>
    <x v="0"/>
    <s v="GNR_ST_COAL_CND_E-33"/>
    <x v="0"/>
    <x v="23"/>
    <n v="22229.180647531299"/>
    <n v="8113650.93634893"/>
    <n v="29209143.370856199"/>
  </r>
  <r>
    <x v="0"/>
    <x v="0"/>
    <x v="0"/>
    <x v="10"/>
    <x v="21"/>
    <s v="UK_A"/>
    <x v="0"/>
    <s v="GNR_ST_COAL_CND_E-35"/>
    <x v="0"/>
    <x v="0"/>
    <n v="33208.571428571398"/>
    <n v="12121128.571428601"/>
    <n v="43636062.857142903"/>
  </r>
  <r>
    <x v="0"/>
    <x v="0"/>
    <x v="0"/>
    <x v="10"/>
    <x v="21"/>
    <s v="UK_A"/>
    <x v="0"/>
    <s v="GNR_ST_COAL_CND_E-35"/>
    <x v="0"/>
    <x v="1"/>
    <n v="33208.571428571398"/>
    <n v="12121128.571428601"/>
    <n v="43636062.857142903"/>
  </r>
  <r>
    <x v="0"/>
    <x v="0"/>
    <x v="0"/>
    <x v="10"/>
    <x v="21"/>
    <s v="UK_A"/>
    <x v="0"/>
    <s v="GNR_ST_COAL_CND_E-35"/>
    <x v="0"/>
    <x v="2"/>
    <n v="30063.926724615201"/>
    <n v="10973333.254484599"/>
    <n v="39503999.716144398"/>
  </r>
  <r>
    <x v="0"/>
    <x v="0"/>
    <x v="0"/>
    <x v="10"/>
    <x v="21"/>
    <s v="UK_A"/>
    <x v="0"/>
    <s v="GNR_ST_COAL_CND_E-35"/>
    <x v="0"/>
    <x v="3"/>
    <n v="26200.7091586475"/>
    <n v="9563258.8429063503"/>
    <n v="34427731.834462903"/>
  </r>
  <r>
    <x v="0"/>
    <x v="0"/>
    <x v="0"/>
    <x v="10"/>
    <x v="21"/>
    <s v="UK_A"/>
    <x v="0"/>
    <s v="GNR_ST_COAL_CND_E-35"/>
    <x v="0"/>
    <x v="18"/>
    <n v="23721.732763390701"/>
    <n v="8658432.4586375896"/>
    <n v="31170356.8510953"/>
  </r>
  <r>
    <x v="0"/>
    <x v="0"/>
    <x v="0"/>
    <x v="10"/>
    <x v="21"/>
    <s v="UK_A"/>
    <x v="0"/>
    <s v="GNR_ST_COAL_CND_E-35"/>
    <x v="0"/>
    <x v="4"/>
    <n v="28164.423696414"/>
    <n v="10280014.6491911"/>
    <n v="37008052.737088002"/>
  </r>
  <r>
    <x v="0"/>
    <x v="0"/>
    <x v="0"/>
    <x v="10"/>
    <x v="21"/>
    <s v="UK_A"/>
    <x v="0"/>
    <s v="GNR_ST_COAL_CND_E-35"/>
    <x v="0"/>
    <x v="5"/>
    <n v="33208.571428571398"/>
    <n v="12121128.571428601"/>
    <n v="43636062.857142903"/>
  </r>
  <r>
    <x v="0"/>
    <x v="0"/>
    <x v="0"/>
    <x v="10"/>
    <x v="21"/>
    <s v="UK_A"/>
    <x v="0"/>
    <s v="GNR_ST_COAL_CND_E-35"/>
    <x v="0"/>
    <x v="6"/>
    <n v="33208.571428571398"/>
    <n v="12121128.571428601"/>
    <n v="43636062.857142903"/>
  </r>
  <r>
    <x v="0"/>
    <x v="0"/>
    <x v="0"/>
    <x v="10"/>
    <x v="21"/>
    <s v="UK_A"/>
    <x v="0"/>
    <s v="GNR_ST_COAL_CND_E-35"/>
    <x v="0"/>
    <x v="7"/>
    <n v="33208.571428571398"/>
    <n v="12121128.571428601"/>
    <n v="43636062.857142903"/>
  </r>
  <r>
    <x v="0"/>
    <x v="0"/>
    <x v="0"/>
    <x v="10"/>
    <x v="21"/>
    <s v="UK_A"/>
    <x v="0"/>
    <s v="GNR_ST_COAL_CND_E-35"/>
    <x v="0"/>
    <x v="8"/>
    <n v="33208.571428571398"/>
    <n v="12121128.571428601"/>
    <n v="43636062.857142903"/>
  </r>
  <r>
    <x v="0"/>
    <x v="0"/>
    <x v="0"/>
    <x v="10"/>
    <x v="21"/>
    <s v="UK_A"/>
    <x v="0"/>
    <s v="GNR_ST_COAL_CND_E-35"/>
    <x v="0"/>
    <x v="9"/>
    <n v="33208.571428571398"/>
    <n v="12121128.571428601"/>
    <n v="43636062.857142903"/>
  </r>
  <r>
    <x v="0"/>
    <x v="0"/>
    <x v="0"/>
    <x v="10"/>
    <x v="21"/>
    <s v="UK_A"/>
    <x v="0"/>
    <s v="GNR_ST_COAL_CND_E-35"/>
    <x v="0"/>
    <x v="10"/>
    <n v="33208.571428571398"/>
    <n v="12121128.571428601"/>
    <n v="43636062.857142903"/>
  </r>
  <r>
    <x v="0"/>
    <x v="0"/>
    <x v="0"/>
    <x v="10"/>
    <x v="21"/>
    <s v="UK_A"/>
    <x v="0"/>
    <s v="GNR_ST_COAL_CND_E-35"/>
    <x v="0"/>
    <x v="11"/>
    <n v="33208.571428571398"/>
    <n v="12121128.571428601"/>
    <n v="43636062.857142903"/>
  </r>
  <r>
    <x v="0"/>
    <x v="0"/>
    <x v="0"/>
    <x v="10"/>
    <x v="21"/>
    <s v="UK_A"/>
    <x v="0"/>
    <s v="GNR_ST_COAL_CND_E-35"/>
    <x v="0"/>
    <x v="12"/>
    <n v="33208.571428571398"/>
    <n v="12121128.571428601"/>
    <n v="43636062.857142903"/>
  </r>
  <r>
    <x v="0"/>
    <x v="0"/>
    <x v="0"/>
    <x v="10"/>
    <x v="21"/>
    <s v="UK_A"/>
    <x v="0"/>
    <s v="GNR_ST_COAL_CND_E-35"/>
    <x v="0"/>
    <x v="13"/>
    <n v="33208.571428571398"/>
    <n v="12121128.571428601"/>
    <n v="43636062.857142903"/>
  </r>
  <r>
    <x v="0"/>
    <x v="0"/>
    <x v="0"/>
    <x v="10"/>
    <x v="21"/>
    <s v="UK_A"/>
    <x v="0"/>
    <s v="GNR_ST_COAL_CND_E-35"/>
    <x v="0"/>
    <x v="14"/>
    <n v="33208.571428571398"/>
    <n v="12121128.571428601"/>
    <n v="43636062.857142903"/>
  </r>
  <r>
    <x v="0"/>
    <x v="0"/>
    <x v="0"/>
    <x v="10"/>
    <x v="21"/>
    <s v="UK_A"/>
    <x v="0"/>
    <s v="GNR_ST_COAL_CND_E-35"/>
    <x v="0"/>
    <x v="15"/>
    <n v="33208.571428571398"/>
    <n v="12121128.571428601"/>
    <n v="43636062.857142903"/>
  </r>
  <r>
    <x v="0"/>
    <x v="0"/>
    <x v="0"/>
    <x v="10"/>
    <x v="21"/>
    <s v="UK_A"/>
    <x v="0"/>
    <s v="GNR_ST_COAL_CND_E-35"/>
    <x v="0"/>
    <x v="16"/>
    <n v="33208.571428571398"/>
    <n v="12121128.571428601"/>
    <n v="43636062.857142903"/>
  </r>
  <r>
    <x v="0"/>
    <x v="0"/>
    <x v="0"/>
    <x v="10"/>
    <x v="21"/>
    <s v="UK_A"/>
    <x v="0"/>
    <s v="GNR_ST_COAL_CND_E-35"/>
    <x v="0"/>
    <x v="17"/>
    <n v="33208.571428571398"/>
    <n v="12121128.571428601"/>
    <n v="43636062.857142903"/>
  </r>
  <r>
    <x v="0"/>
    <x v="0"/>
    <x v="0"/>
    <x v="10"/>
    <x v="21"/>
    <s v="UK_A"/>
    <x v="0"/>
    <s v="GNR_ST_COAL_CND_E-35"/>
    <x v="0"/>
    <x v="19"/>
    <n v="33208.571428571398"/>
    <n v="12121128.571428601"/>
    <n v="43636062.857142903"/>
  </r>
  <r>
    <x v="0"/>
    <x v="0"/>
    <x v="0"/>
    <x v="10"/>
    <x v="21"/>
    <s v="UK_A"/>
    <x v="0"/>
    <s v="GNR_ST_COAL_CND_E-35"/>
    <x v="0"/>
    <x v="20"/>
    <n v="33208.571428571398"/>
    <n v="12121128.571428601"/>
    <n v="43636062.857142903"/>
  </r>
  <r>
    <x v="0"/>
    <x v="0"/>
    <x v="0"/>
    <x v="10"/>
    <x v="21"/>
    <s v="UK_A"/>
    <x v="0"/>
    <s v="GNR_ST_COAL_CND_E-35"/>
    <x v="0"/>
    <x v="21"/>
    <n v="33208.571428571398"/>
    <n v="12121128.571428601"/>
    <n v="43636062.857142903"/>
  </r>
  <r>
    <x v="0"/>
    <x v="0"/>
    <x v="0"/>
    <x v="10"/>
    <x v="21"/>
    <s v="UK_A"/>
    <x v="0"/>
    <s v="GNR_ST_COAL_CND_E-35"/>
    <x v="0"/>
    <x v="22"/>
    <n v="33208.571428571398"/>
    <n v="12121128.571428601"/>
    <n v="43636062.857142903"/>
  </r>
  <r>
    <x v="0"/>
    <x v="0"/>
    <x v="0"/>
    <x v="10"/>
    <x v="21"/>
    <s v="UK_A"/>
    <x v="0"/>
    <s v="GNR_ST_COAL_CND_E-35"/>
    <x v="0"/>
    <x v="23"/>
    <n v="33208.571428571398"/>
    <n v="12121128.571428601"/>
    <n v="43636062.857142903"/>
  </r>
  <r>
    <x v="0"/>
    <x v="0"/>
    <x v="0"/>
    <x v="10"/>
    <x v="21"/>
    <s v="UK_A"/>
    <x v="2"/>
    <s v="GNR_ST_MSW_CND_E-40"/>
    <x v="0"/>
    <x v="0"/>
    <n v="2015"/>
    <n v="735475"/>
    <n v="2647710"/>
  </r>
  <r>
    <x v="0"/>
    <x v="0"/>
    <x v="0"/>
    <x v="10"/>
    <x v="21"/>
    <s v="UK_A"/>
    <x v="2"/>
    <s v="GNR_ST_MSW_CND_E-40"/>
    <x v="0"/>
    <x v="1"/>
    <n v="2015"/>
    <n v="735475"/>
    <n v="2647710"/>
  </r>
  <r>
    <x v="0"/>
    <x v="0"/>
    <x v="0"/>
    <x v="10"/>
    <x v="21"/>
    <s v="UK_A"/>
    <x v="2"/>
    <s v="GNR_ST_MSW_CND_E-40"/>
    <x v="0"/>
    <x v="2"/>
    <n v="2015"/>
    <n v="735475"/>
    <n v="2647710"/>
  </r>
  <r>
    <x v="0"/>
    <x v="0"/>
    <x v="0"/>
    <x v="10"/>
    <x v="21"/>
    <s v="UK_A"/>
    <x v="2"/>
    <s v="GNR_ST_MSW_CND_E-40"/>
    <x v="0"/>
    <x v="3"/>
    <n v="2015"/>
    <n v="735475"/>
    <n v="2647710"/>
  </r>
  <r>
    <x v="0"/>
    <x v="0"/>
    <x v="0"/>
    <x v="10"/>
    <x v="21"/>
    <s v="UK_A"/>
    <x v="2"/>
    <s v="GNR_ST_MSW_CND_E-40"/>
    <x v="0"/>
    <x v="18"/>
    <n v="2015"/>
    <n v="735475"/>
    <n v="2647710"/>
  </r>
  <r>
    <x v="0"/>
    <x v="0"/>
    <x v="0"/>
    <x v="10"/>
    <x v="21"/>
    <s v="UK_A"/>
    <x v="2"/>
    <s v="GNR_ST_MSW_CND_E-40"/>
    <x v="0"/>
    <x v="4"/>
    <n v="2015"/>
    <n v="735475"/>
    <n v="2647710"/>
  </r>
  <r>
    <x v="0"/>
    <x v="0"/>
    <x v="0"/>
    <x v="10"/>
    <x v="21"/>
    <s v="UK_A"/>
    <x v="2"/>
    <s v="GNR_ST_MSW_CND_E-40"/>
    <x v="0"/>
    <x v="5"/>
    <n v="2015"/>
    <n v="735475"/>
    <n v="2647710"/>
  </r>
  <r>
    <x v="0"/>
    <x v="0"/>
    <x v="0"/>
    <x v="10"/>
    <x v="21"/>
    <s v="UK_A"/>
    <x v="2"/>
    <s v="GNR_ST_MSW_CND_E-40"/>
    <x v="0"/>
    <x v="6"/>
    <n v="2015"/>
    <n v="735475"/>
    <n v="2647710"/>
  </r>
  <r>
    <x v="0"/>
    <x v="0"/>
    <x v="0"/>
    <x v="10"/>
    <x v="21"/>
    <s v="UK_A"/>
    <x v="2"/>
    <s v="GNR_ST_MSW_CND_E-40"/>
    <x v="0"/>
    <x v="7"/>
    <n v="2015"/>
    <n v="735475"/>
    <n v="2647710"/>
  </r>
  <r>
    <x v="0"/>
    <x v="0"/>
    <x v="0"/>
    <x v="10"/>
    <x v="21"/>
    <s v="UK_A"/>
    <x v="2"/>
    <s v="GNR_ST_MSW_CND_E-40"/>
    <x v="0"/>
    <x v="8"/>
    <n v="2015"/>
    <n v="735475"/>
    <n v="2647710"/>
  </r>
  <r>
    <x v="0"/>
    <x v="0"/>
    <x v="0"/>
    <x v="10"/>
    <x v="21"/>
    <s v="UK_A"/>
    <x v="2"/>
    <s v="GNR_ST_MSW_CND_E-40"/>
    <x v="0"/>
    <x v="9"/>
    <n v="2015"/>
    <n v="735475"/>
    <n v="2647710"/>
  </r>
  <r>
    <x v="0"/>
    <x v="0"/>
    <x v="0"/>
    <x v="10"/>
    <x v="21"/>
    <s v="UK_A"/>
    <x v="2"/>
    <s v="GNR_ST_MSW_CND_E-40"/>
    <x v="0"/>
    <x v="10"/>
    <n v="2015"/>
    <n v="735475"/>
    <n v="2647710"/>
  </r>
  <r>
    <x v="0"/>
    <x v="0"/>
    <x v="0"/>
    <x v="10"/>
    <x v="21"/>
    <s v="UK_A"/>
    <x v="2"/>
    <s v="GNR_ST_MSW_CND_E-40"/>
    <x v="0"/>
    <x v="11"/>
    <n v="2015"/>
    <n v="735475"/>
    <n v="2647710"/>
  </r>
  <r>
    <x v="0"/>
    <x v="0"/>
    <x v="0"/>
    <x v="10"/>
    <x v="21"/>
    <s v="UK_A"/>
    <x v="2"/>
    <s v="GNR_ST_MSW_CND_E-40"/>
    <x v="0"/>
    <x v="12"/>
    <n v="2015"/>
    <n v="735475"/>
    <n v="2647710"/>
  </r>
  <r>
    <x v="0"/>
    <x v="0"/>
    <x v="0"/>
    <x v="10"/>
    <x v="21"/>
    <s v="UK_A"/>
    <x v="2"/>
    <s v="GNR_ST_MSW_CND_E-40"/>
    <x v="0"/>
    <x v="13"/>
    <n v="2015"/>
    <n v="735475"/>
    <n v="2647710"/>
  </r>
  <r>
    <x v="0"/>
    <x v="0"/>
    <x v="0"/>
    <x v="10"/>
    <x v="21"/>
    <s v="UK_A"/>
    <x v="2"/>
    <s v="GNR_ST_MSW_CND_E-40"/>
    <x v="0"/>
    <x v="14"/>
    <n v="2015"/>
    <n v="735475"/>
    <n v="2647710"/>
  </r>
  <r>
    <x v="0"/>
    <x v="0"/>
    <x v="0"/>
    <x v="10"/>
    <x v="21"/>
    <s v="UK_A"/>
    <x v="2"/>
    <s v="GNR_ST_MSW_CND_E-40"/>
    <x v="0"/>
    <x v="15"/>
    <n v="2015"/>
    <n v="735475"/>
    <n v="2647710"/>
  </r>
  <r>
    <x v="0"/>
    <x v="0"/>
    <x v="0"/>
    <x v="10"/>
    <x v="21"/>
    <s v="UK_A"/>
    <x v="2"/>
    <s v="GNR_ST_MSW_CND_E-40"/>
    <x v="0"/>
    <x v="16"/>
    <n v="2015"/>
    <n v="735475"/>
    <n v="2647710"/>
  </r>
  <r>
    <x v="0"/>
    <x v="0"/>
    <x v="0"/>
    <x v="10"/>
    <x v="21"/>
    <s v="UK_A"/>
    <x v="2"/>
    <s v="GNR_ST_MSW_CND_E-40"/>
    <x v="0"/>
    <x v="17"/>
    <n v="2015"/>
    <n v="735475"/>
    <n v="2647710"/>
  </r>
  <r>
    <x v="0"/>
    <x v="0"/>
    <x v="0"/>
    <x v="10"/>
    <x v="21"/>
    <s v="UK_A"/>
    <x v="2"/>
    <s v="GNR_ST_MSW_CND_E-40"/>
    <x v="0"/>
    <x v="19"/>
    <n v="2015"/>
    <n v="735475"/>
    <n v="2647710"/>
  </r>
  <r>
    <x v="0"/>
    <x v="0"/>
    <x v="0"/>
    <x v="10"/>
    <x v="21"/>
    <s v="UK_A"/>
    <x v="2"/>
    <s v="GNR_ST_MSW_CND_E-40"/>
    <x v="0"/>
    <x v="20"/>
    <n v="2015"/>
    <n v="735475"/>
    <n v="2647710"/>
  </r>
  <r>
    <x v="0"/>
    <x v="0"/>
    <x v="0"/>
    <x v="10"/>
    <x v="21"/>
    <s v="UK_A"/>
    <x v="2"/>
    <s v="GNR_ST_MSW_CND_E-40"/>
    <x v="0"/>
    <x v="21"/>
    <n v="2015"/>
    <n v="735475"/>
    <n v="2647710"/>
  </r>
  <r>
    <x v="0"/>
    <x v="0"/>
    <x v="0"/>
    <x v="10"/>
    <x v="21"/>
    <s v="UK_A"/>
    <x v="2"/>
    <s v="GNR_ST_MSW_CND_E-40"/>
    <x v="0"/>
    <x v="22"/>
    <n v="2015"/>
    <n v="735475"/>
    <n v="2647710"/>
  </r>
  <r>
    <x v="0"/>
    <x v="0"/>
    <x v="0"/>
    <x v="10"/>
    <x v="21"/>
    <s v="UK_A"/>
    <x v="2"/>
    <s v="GNR_ST_MSW_CND_E-40"/>
    <x v="0"/>
    <x v="23"/>
    <n v="2015"/>
    <n v="735475"/>
    <n v="2647710"/>
  </r>
  <r>
    <x v="0"/>
    <x v="0"/>
    <x v="0"/>
    <x v="10"/>
    <x v="21"/>
    <s v="UK_A"/>
    <x v="3"/>
    <s v="GNR_CC_NGAS_CND_E-47"/>
    <x v="0"/>
    <x v="15"/>
    <n v="743.58955733964206"/>
    <n v="271410.18842896901"/>
    <n v="977076.67834428896"/>
  </r>
  <r>
    <x v="0"/>
    <x v="0"/>
    <x v="0"/>
    <x v="10"/>
    <x v="21"/>
    <s v="UK_A"/>
    <x v="3"/>
    <s v="GNR_CC_NGAS_CND_E-47"/>
    <x v="0"/>
    <x v="16"/>
    <n v="7954.9797232649698"/>
    <n v="2903567.5989917102"/>
    <n v="10452843.356370199"/>
  </r>
  <r>
    <x v="0"/>
    <x v="0"/>
    <x v="0"/>
    <x v="10"/>
    <x v="21"/>
    <s v="UK_A"/>
    <x v="3"/>
    <s v="GNR_CC_NGAS_CND_E-47"/>
    <x v="0"/>
    <x v="17"/>
    <n v="5659.6174385230497"/>
    <n v="2065760.3650609099"/>
    <n v="7436737.3142192801"/>
  </r>
  <r>
    <x v="0"/>
    <x v="0"/>
    <x v="0"/>
    <x v="10"/>
    <x v="21"/>
    <s v="UK_A"/>
    <x v="3"/>
    <s v="GNR_CC_NGAS_CND_E-52"/>
    <x v="0"/>
    <x v="14"/>
    <n v="2267.6277308846302"/>
    <n v="827684.12177289103"/>
    <n v="2979662.8383824099"/>
  </r>
  <r>
    <x v="0"/>
    <x v="0"/>
    <x v="0"/>
    <x v="10"/>
    <x v="21"/>
    <s v="UK_A"/>
    <x v="3"/>
    <s v="GNR_CC_NGAS_CND_E-52"/>
    <x v="0"/>
    <x v="15"/>
    <n v="13365.384615384601"/>
    <n v="4878365.3846153803"/>
    <n v="17562115.384615399"/>
  </r>
  <r>
    <x v="0"/>
    <x v="0"/>
    <x v="0"/>
    <x v="10"/>
    <x v="21"/>
    <s v="UK_A"/>
    <x v="3"/>
    <s v="GNR_CC_NGAS_CND_E-52"/>
    <x v="0"/>
    <x v="16"/>
    <n v="13365.384615384601"/>
    <n v="4878365.3846153803"/>
    <n v="17562115.384615399"/>
  </r>
  <r>
    <x v="0"/>
    <x v="0"/>
    <x v="0"/>
    <x v="10"/>
    <x v="21"/>
    <s v="UK_A"/>
    <x v="3"/>
    <s v="GNR_CC_NGAS_CND_E-52"/>
    <x v="0"/>
    <x v="17"/>
    <n v="13365.384615384601"/>
    <n v="4878365.3846153803"/>
    <n v="17562115.384615399"/>
  </r>
  <r>
    <x v="0"/>
    <x v="0"/>
    <x v="0"/>
    <x v="10"/>
    <x v="21"/>
    <s v="UK_A"/>
    <x v="3"/>
    <s v="GNR_CC_NGAS_CND_E-52"/>
    <x v="0"/>
    <x v="19"/>
    <n v="12915.714204727199"/>
    <n v="4714235.6847254299"/>
    <n v="16971248.4650115"/>
  </r>
  <r>
    <x v="0"/>
    <x v="0"/>
    <x v="0"/>
    <x v="10"/>
    <x v="21"/>
    <s v="UK_A"/>
    <x v="3"/>
    <s v="GNR_CC_NGAS_CND_E-52"/>
    <x v="0"/>
    <x v="20"/>
    <n v="5594.62510872455"/>
    <n v="2042038.16468446"/>
    <n v="7351337.3928640597"/>
  </r>
  <r>
    <x v="0"/>
    <x v="0"/>
    <x v="0"/>
    <x v="10"/>
    <x v="21"/>
    <s v="UK_A"/>
    <x v="3"/>
    <s v="GNR_CC_NGAS_CND_E-56"/>
    <x v="0"/>
    <x v="6"/>
    <n v="3492.7056786538301"/>
    <n v="1274837.57270865"/>
    <n v="4589415.2617511302"/>
  </r>
  <r>
    <x v="0"/>
    <x v="0"/>
    <x v="0"/>
    <x v="10"/>
    <x v="21"/>
    <s v="UK_A"/>
    <x v="3"/>
    <s v="GNR_CC_NGAS_CND_E-56"/>
    <x v="0"/>
    <x v="7"/>
    <n v="9512.0409988373394"/>
    <n v="3471894.9645756301"/>
    <n v="12498821.872472299"/>
  </r>
  <r>
    <x v="0"/>
    <x v="0"/>
    <x v="0"/>
    <x v="10"/>
    <x v="21"/>
    <s v="UK_A"/>
    <x v="3"/>
    <s v="GNR_CC_NGAS_CND_E-56"/>
    <x v="0"/>
    <x v="8"/>
    <n v="10650.942514215099"/>
    <n v="3887594.0176885198"/>
    <n v="13995338.463678701"/>
  </r>
  <r>
    <x v="0"/>
    <x v="0"/>
    <x v="0"/>
    <x v="10"/>
    <x v="21"/>
    <s v="UK_A"/>
    <x v="3"/>
    <s v="GNR_CC_NGAS_CND_E-56"/>
    <x v="0"/>
    <x v="9"/>
    <n v="10151.2985453496"/>
    <n v="3705223.9690526202"/>
    <n v="13338806.288589399"/>
  </r>
  <r>
    <x v="0"/>
    <x v="0"/>
    <x v="0"/>
    <x v="10"/>
    <x v="21"/>
    <s v="UK_A"/>
    <x v="3"/>
    <s v="GNR_CC_NGAS_CND_E-56"/>
    <x v="0"/>
    <x v="10"/>
    <n v="10007.614739394099"/>
    <n v="3652779.3798788399"/>
    <n v="13150005.767563799"/>
  </r>
  <r>
    <x v="0"/>
    <x v="0"/>
    <x v="0"/>
    <x v="10"/>
    <x v="21"/>
    <s v="UK_A"/>
    <x v="3"/>
    <s v="GNR_CC_NGAS_CND_E-56"/>
    <x v="0"/>
    <x v="11"/>
    <n v="8752.1796105413905"/>
    <n v="3194545.5578476102"/>
    <n v="11500364.008251401"/>
  </r>
  <r>
    <x v="0"/>
    <x v="0"/>
    <x v="0"/>
    <x v="10"/>
    <x v="21"/>
    <s v="UK_A"/>
    <x v="3"/>
    <s v="GNR_CC_NGAS_CND_E-56"/>
    <x v="0"/>
    <x v="12"/>
    <n v="10188.3543261496"/>
    <n v="3718749.3290446098"/>
    <n v="13387497.584560599"/>
  </r>
  <r>
    <x v="0"/>
    <x v="0"/>
    <x v="0"/>
    <x v="10"/>
    <x v="21"/>
    <s v="UK_A"/>
    <x v="3"/>
    <s v="GNR_CC_NGAS_CND_E-56"/>
    <x v="0"/>
    <x v="13"/>
    <n v="13985.3636161919"/>
    <n v="5104657.7199100498"/>
    <n v="18376767.791676201"/>
  </r>
  <r>
    <x v="0"/>
    <x v="0"/>
    <x v="0"/>
    <x v="10"/>
    <x v="21"/>
    <s v="UK_A"/>
    <x v="3"/>
    <s v="GNR_CC_NGAS_CND_E-56"/>
    <x v="0"/>
    <x v="14"/>
    <n v="16178.5714285714"/>
    <n v="5905178.57142857"/>
    <n v="21258642.857142899"/>
  </r>
  <r>
    <x v="0"/>
    <x v="0"/>
    <x v="0"/>
    <x v="10"/>
    <x v="21"/>
    <s v="UK_A"/>
    <x v="3"/>
    <s v="GNR_CC_NGAS_CND_E-56"/>
    <x v="0"/>
    <x v="15"/>
    <n v="16178.5714285714"/>
    <n v="5905178.57142857"/>
    <n v="21258642.857142899"/>
  </r>
  <r>
    <x v="0"/>
    <x v="0"/>
    <x v="0"/>
    <x v="10"/>
    <x v="21"/>
    <s v="UK_A"/>
    <x v="3"/>
    <s v="GNR_CC_NGAS_CND_E-56"/>
    <x v="0"/>
    <x v="16"/>
    <n v="16178.5714285714"/>
    <n v="5905178.57142857"/>
    <n v="21258642.857142899"/>
  </r>
  <r>
    <x v="0"/>
    <x v="0"/>
    <x v="0"/>
    <x v="10"/>
    <x v="21"/>
    <s v="UK_A"/>
    <x v="3"/>
    <s v="GNR_CC_NGAS_CND_E-56"/>
    <x v="0"/>
    <x v="17"/>
    <n v="16178.5714285714"/>
    <n v="5905178.57142857"/>
    <n v="21258642.857142899"/>
  </r>
  <r>
    <x v="0"/>
    <x v="0"/>
    <x v="0"/>
    <x v="10"/>
    <x v="21"/>
    <s v="UK_A"/>
    <x v="3"/>
    <s v="GNR_CC_NGAS_CND_E-56"/>
    <x v="0"/>
    <x v="19"/>
    <n v="16178.5714285714"/>
    <n v="5905178.57142857"/>
    <n v="21258642.857142899"/>
  </r>
  <r>
    <x v="0"/>
    <x v="0"/>
    <x v="0"/>
    <x v="10"/>
    <x v="21"/>
    <s v="UK_A"/>
    <x v="3"/>
    <s v="GNR_CC_NGAS_CND_E-56"/>
    <x v="0"/>
    <x v="20"/>
    <n v="16178.5714285714"/>
    <n v="5905178.57142857"/>
    <n v="21258642.857142899"/>
  </r>
  <r>
    <x v="0"/>
    <x v="0"/>
    <x v="0"/>
    <x v="10"/>
    <x v="21"/>
    <s v="UK_A"/>
    <x v="3"/>
    <s v="GNR_CC_NGAS_CND_E-56"/>
    <x v="0"/>
    <x v="21"/>
    <n v="12825.0568531013"/>
    <n v="4681145.75138197"/>
    <n v="16852124.704975098"/>
  </r>
  <r>
    <x v="0"/>
    <x v="0"/>
    <x v="0"/>
    <x v="10"/>
    <x v="21"/>
    <s v="UK_A"/>
    <x v="3"/>
    <s v="GNR_CC_NGAS_CND_E-56"/>
    <x v="0"/>
    <x v="22"/>
    <n v="4220.0086031989003"/>
    <n v="1540303.1401676"/>
    <n v="5545091.3046033597"/>
  </r>
  <r>
    <x v="0"/>
    <x v="0"/>
    <x v="0"/>
    <x v="10"/>
    <x v="21"/>
    <s v="UK_A"/>
    <x v="15"/>
    <s v="GNR_ST_NUCL_CND_E-33"/>
    <x v="0"/>
    <x v="0"/>
    <n v="28487.878787878799"/>
    <n v="10398075.757575801"/>
    <n v="37433072.727272697"/>
  </r>
  <r>
    <x v="0"/>
    <x v="0"/>
    <x v="0"/>
    <x v="10"/>
    <x v="21"/>
    <s v="UK_A"/>
    <x v="15"/>
    <s v="GNR_ST_NUCL_CND_E-33"/>
    <x v="0"/>
    <x v="1"/>
    <n v="28487.878787878799"/>
    <n v="10398075.757575801"/>
    <n v="37433072.727272697"/>
  </r>
  <r>
    <x v="0"/>
    <x v="0"/>
    <x v="0"/>
    <x v="10"/>
    <x v="21"/>
    <s v="UK_A"/>
    <x v="15"/>
    <s v="GNR_ST_NUCL_CND_E-33"/>
    <x v="0"/>
    <x v="2"/>
    <n v="28487.878787878799"/>
    <n v="10398075.757575801"/>
    <n v="37433072.727272697"/>
  </r>
  <r>
    <x v="0"/>
    <x v="0"/>
    <x v="0"/>
    <x v="10"/>
    <x v="21"/>
    <s v="UK_A"/>
    <x v="15"/>
    <s v="GNR_ST_NUCL_CND_E-33"/>
    <x v="0"/>
    <x v="3"/>
    <n v="28487.878787878799"/>
    <n v="10398075.757575801"/>
    <n v="37433072.727272697"/>
  </r>
  <r>
    <x v="0"/>
    <x v="0"/>
    <x v="0"/>
    <x v="10"/>
    <x v="21"/>
    <s v="UK_A"/>
    <x v="15"/>
    <s v="GNR_ST_NUCL_CND_E-33"/>
    <x v="0"/>
    <x v="18"/>
    <n v="28487.878787878799"/>
    <n v="10398075.757575801"/>
    <n v="37433072.727272697"/>
  </r>
  <r>
    <x v="0"/>
    <x v="0"/>
    <x v="0"/>
    <x v="10"/>
    <x v="21"/>
    <s v="UK_A"/>
    <x v="15"/>
    <s v="GNR_ST_NUCL_CND_E-33"/>
    <x v="0"/>
    <x v="4"/>
    <n v="28487.878787878799"/>
    <n v="10398075.757575801"/>
    <n v="37433072.727272697"/>
  </r>
  <r>
    <x v="0"/>
    <x v="0"/>
    <x v="0"/>
    <x v="10"/>
    <x v="21"/>
    <s v="UK_A"/>
    <x v="15"/>
    <s v="GNR_ST_NUCL_CND_E-33"/>
    <x v="0"/>
    <x v="5"/>
    <n v="28487.878787878799"/>
    <n v="10398075.757575801"/>
    <n v="37433072.727272697"/>
  </r>
  <r>
    <x v="0"/>
    <x v="0"/>
    <x v="0"/>
    <x v="10"/>
    <x v="21"/>
    <s v="UK_A"/>
    <x v="15"/>
    <s v="GNR_ST_NUCL_CND_E-33"/>
    <x v="0"/>
    <x v="6"/>
    <n v="28487.878787878799"/>
    <n v="10398075.757575801"/>
    <n v="37433072.727272697"/>
  </r>
  <r>
    <x v="0"/>
    <x v="0"/>
    <x v="0"/>
    <x v="10"/>
    <x v="21"/>
    <s v="UK_A"/>
    <x v="15"/>
    <s v="GNR_ST_NUCL_CND_E-33"/>
    <x v="0"/>
    <x v="7"/>
    <n v="28487.878787878799"/>
    <n v="10398075.757575801"/>
    <n v="37433072.727272697"/>
  </r>
  <r>
    <x v="0"/>
    <x v="0"/>
    <x v="0"/>
    <x v="10"/>
    <x v="21"/>
    <s v="UK_A"/>
    <x v="15"/>
    <s v="GNR_ST_NUCL_CND_E-33"/>
    <x v="0"/>
    <x v="8"/>
    <n v="28487.878787878799"/>
    <n v="10398075.757575801"/>
    <n v="37433072.727272697"/>
  </r>
  <r>
    <x v="0"/>
    <x v="0"/>
    <x v="0"/>
    <x v="10"/>
    <x v="21"/>
    <s v="UK_A"/>
    <x v="15"/>
    <s v="GNR_ST_NUCL_CND_E-33"/>
    <x v="0"/>
    <x v="9"/>
    <n v="28487.878787878799"/>
    <n v="10398075.757575801"/>
    <n v="37433072.727272697"/>
  </r>
  <r>
    <x v="0"/>
    <x v="0"/>
    <x v="0"/>
    <x v="10"/>
    <x v="21"/>
    <s v="UK_A"/>
    <x v="15"/>
    <s v="GNR_ST_NUCL_CND_E-33"/>
    <x v="0"/>
    <x v="10"/>
    <n v="28487.878787878799"/>
    <n v="10398075.757575801"/>
    <n v="37433072.727272697"/>
  </r>
  <r>
    <x v="0"/>
    <x v="0"/>
    <x v="0"/>
    <x v="10"/>
    <x v="21"/>
    <s v="UK_A"/>
    <x v="15"/>
    <s v="GNR_ST_NUCL_CND_E-33"/>
    <x v="0"/>
    <x v="11"/>
    <n v="28487.878787878799"/>
    <n v="10398075.757575801"/>
    <n v="37433072.727272697"/>
  </r>
  <r>
    <x v="0"/>
    <x v="0"/>
    <x v="0"/>
    <x v="10"/>
    <x v="21"/>
    <s v="UK_A"/>
    <x v="15"/>
    <s v="GNR_ST_NUCL_CND_E-33"/>
    <x v="0"/>
    <x v="12"/>
    <n v="28487.878787878799"/>
    <n v="10398075.757575801"/>
    <n v="37433072.727272697"/>
  </r>
  <r>
    <x v="0"/>
    <x v="0"/>
    <x v="0"/>
    <x v="10"/>
    <x v="21"/>
    <s v="UK_A"/>
    <x v="15"/>
    <s v="GNR_ST_NUCL_CND_E-33"/>
    <x v="0"/>
    <x v="13"/>
    <n v="28487.878787878799"/>
    <n v="10398075.757575801"/>
    <n v="37433072.727272697"/>
  </r>
  <r>
    <x v="0"/>
    <x v="0"/>
    <x v="0"/>
    <x v="10"/>
    <x v="21"/>
    <s v="UK_A"/>
    <x v="15"/>
    <s v="GNR_ST_NUCL_CND_E-33"/>
    <x v="0"/>
    <x v="14"/>
    <n v="28487.878787878799"/>
    <n v="10398075.757575801"/>
    <n v="37433072.727272697"/>
  </r>
  <r>
    <x v="0"/>
    <x v="0"/>
    <x v="0"/>
    <x v="10"/>
    <x v="21"/>
    <s v="UK_A"/>
    <x v="15"/>
    <s v="GNR_ST_NUCL_CND_E-33"/>
    <x v="0"/>
    <x v="15"/>
    <n v="28487.878787878799"/>
    <n v="10398075.757575801"/>
    <n v="37433072.727272697"/>
  </r>
  <r>
    <x v="0"/>
    <x v="0"/>
    <x v="0"/>
    <x v="10"/>
    <x v="21"/>
    <s v="UK_A"/>
    <x v="15"/>
    <s v="GNR_ST_NUCL_CND_E-33"/>
    <x v="0"/>
    <x v="16"/>
    <n v="28487.878787878799"/>
    <n v="10398075.757575801"/>
    <n v="37433072.727272697"/>
  </r>
  <r>
    <x v="0"/>
    <x v="0"/>
    <x v="0"/>
    <x v="10"/>
    <x v="21"/>
    <s v="UK_A"/>
    <x v="15"/>
    <s v="GNR_ST_NUCL_CND_E-33"/>
    <x v="0"/>
    <x v="17"/>
    <n v="28487.878787878799"/>
    <n v="10398075.757575801"/>
    <n v="37433072.727272697"/>
  </r>
  <r>
    <x v="0"/>
    <x v="0"/>
    <x v="0"/>
    <x v="10"/>
    <x v="21"/>
    <s v="UK_A"/>
    <x v="15"/>
    <s v="GNR_ST_NUCL_CND_E-33"/>
    <x v="0"/>
    <x v="19"/>
    <n v="28487.878787878799"/>
    <n v="10398075.757575801"/>
    <n v="37433072.727272697"/>
  </r>
  <r>
    <x v="0"/>
    <x v="0"/>
    <x v="0"/>
    <x v="10"/>
    <x v="21"/>
    <s v="UK_A"/>
    <x v="15"/>
    <s v="GNR_ST_NUCL_CND_E-33"/>
    <x v="0"/>
    <x v="20"/>
    <n v="28487.878787878799"/>
    <n v="10398075.757575801"/>
    <n v="37433072.727272697"/>
  </r>
  <r>
    <x v="0"/>
    <x v="0"/>
    <x v="0"/>
    <x v="10"/>
    <x v="21"/>
    <s v="UK_A"/>
    <x v="15"/>
    <s v="GNR_ST_NUCL_CND_E-33"/>
    <x v="0"/>
    <x v="21"/>
    <n v="28487.878787878799"/>
    <n v="10398075.757575801"/>
    <n v="37433072.727272697"/>
  </r>
  <r>
    <x v="0"/>
    <x v="0"/>
    <x v="0"/>
    <x v="10"/>
    <x v="21"/>
    <s v="UK_A"/>
    <x v="15"/>
    <s v="GNR_ST_NUCL_CND_E-33"/>
    <x v="0"/>
    <x v="22"/>
    <n v="28487.878787878799"/>
    <n v="10398075.757575801"/>
    <n v="37433072.727272697"/>
  </r>
  <r>
    <x v="0"/>
    <x v="0"/>
    <x v="0"/>
    <x v="10"/>
    <x v="21"/>
    <s v="UK_A"/>
    <x v="15"/>
    <s v="GNR_ST_NUCL_CND_E-33"/>
    <x v="0"/>
    <x v="23"/>
    <n v="28487.878787878799"/>
    <n v="10398075.757575801"/>
    <n v="37433072.727272697"/>
  </r>
  <r>
    <x v="0"/>
    <x v="0"/>
    <x v="0"/>
    <x v="10"/>
    <x v="21"/>
    <s v="UK_A"/>
    <x v="6"/>
    <s v="GNR_PV_SUN"/>
    <x v="0"/>
    <x v="4"/>
    <n v="91.934696158323504"/>
    <n v="33556.164097788103"/>
    <n v="120802.190752037"/>
  </r>
  <r>
    <x v="0"/>
    <x v="0"/>
    <x v="0"/>
    <x v="10"/>
    <x v="21"/>
    <s v="UK_A"/>
    <x v="6"/>
    <s v="GNR_PV_SUN"/>
    <x v="0"/>
    <x v="5"/>
    <n v="183.86939231664701"/>
    <n v="67112.328195576294"/>
    <n v="241604.38150407499"/>
  </r>
  <r>
    <x v="0"/>
    <x v="0"/>
    <x v="0"/>
    <x v="10"/>
    <x v="21"/>
    <s v="UK_A"/>
    <x v="6"/>
    <s v="GNR_PV_SUN"/>
    <x v="0"/>
    <x v="6"/>
    <n v="220.643270779977"/>
    <n v="80534.793834691605"/>
    <n v="289925.25780488999"/>
  </r>
  <r>
    <x v="0"/>
    <x v="0"/>
    <x v="0"/>
    <x v="10"/>
    <x v="21"/>
    <s v="UK_A"/>
    <x v="6"/>
    <s v="GNR_PV_SUN"/>
    <x v="0"/>
    <x v="7"/>
    <n v="220.643270779977"/>
    <n v="80534.793834691605"/>
    <n v="289925.25780488999"/>
  </r>
  <r>
    <x v="0"/>
    <x v="0"/>
    <x v="0"/>
    <x v="10"/>
    <x v="21"/>
    <s v="UK_A"/>
    <x v="6"/>
    <s v="GNR_PV_SUN"/>
    <x v="0"/>
    <x v="8"/>
    <n v="937.73390081489902"/>
    <n v="342272.87379743799"/>
    <n v="1232182.3456707799"/>
  </r>
  <r>
    <x v="0"/>
    <x v="0"/>
    <x v="0"/>
    <x v="10"/>
    <x v="21"/>
    <s v="UK_A"/>
    <x v="6"/>
    <s v="GNR_PV_SUN"/>
    <x v="0"/>
    <x v="9"/>
    <n v="1949.0155585564601"/>
    <n v="711390.678873108"/>
    <n v="2561006.4439431899"/>
  </r>
  <r>
    <x v="0"/>
    <x v="0"/>
    <x v="0"/>
    <x v="10"/>
    <x v="21"/>
    <s v="UK_A"/>
    <x v="6"/>
    <s v="GNR_PV_SUN"/>
    <x v="0"/>
    <x v="10"/>
    <n v="2813.2017024447"/>
    <n v="1026818.62139232"/>
    <n v="3696547.03701234"/>
  </r>
  <r>
    <x v="0"/>
    <x v="0"/>
    <x v="0"/>
    <x v="10"/>
    <x v="21"/>
    <s v="UK_A"/>
    <x v="6"/>
    <s v="GNR_PV_SUN"/>
    <x v="0"/>
    <x v="11"/>
    <n v="3401.5837578579799"/>
    <n v="1241578.07161816"/>
    <n v="4469681.05782538"/>
  </r>
  <r>
    <x v="0"/>
    <x v="0"/>
    <x v="0"/>
    <x v="10"/>
    <x v="21"/>
    <s v="UK_A"/>
    <x v="6"/>
    <s v="GNR_PV_SUN"/>
    <x v="0"/>
    <x v="12"/>
    <n v="2868.3625201396999"/>
    <n v="1046952.31985099"/>
    <n v="3769028.35146356"/>
  </r>
  <r>
    <x v="0"/>
    <x v="0"/>
    <x v="0"/>
    <x v="10"/>
    <x v="21"/>
    <s v="UK_A"/>
    <x v="6"/>
    <s v="GNR_PV_SUN"/>
    <x v="0"/>
    <x v="13"/>
    <n v="1930.6286193248"/>
    <n v="704679.44605355104"/>
    <n v="2536846.0057927798"/>
  </r>
  <r>
    <x v="0"/>
    <x v="0"/>
    <x v="0"/>
    <x v="10"/>
    <x v="21"/>
    <s v="UK_A"/>
    <x v="6"/>
    <s v="GNR_PV_SUN"/>
    <x v="0"/>
    <x v="14"/>
    <n v="900.96002235157005"/>
    <n v="328850.40815832303"/>
    <n v="1183861.46936996"/>
  </r>
  <r>
    <x v="0"/>
    <x v="0"/>
    <x v="0"/>
    <x v="10"/>
    <x v="21"/>
    <s v="UK_A"/>
    <x v="6"/>
    <s v="GNR_PV_SUN"/>
    <x v="0"/>
    <x v="15"/>
    <n v="183.86939231664701"/>
    <n v="67112.328195576294"/>
    <n v="241604.38150407499"/>
  </r>
  <r>
    <x v="0"/>
    <x v="0"/>
    <x v="0"/>
    <x v="10"/>
    <x v="21"/>
    <s v="UK_A"/>
    <x v="6"/>
    <s v="GNR_PV_SUN"/>
    <x v="0"/>
    <x v="16"/>
    <n v="36.773878463329403"/>
    <n v="13422.4656391152"/>
    <n v="48320.876300814904"/>
  </r>
  <r>
    <x v="0"/>
    <x v="0"/>
    <x v="0"/>
    <x v="10"/>
    <x v="21"/>
    <s v="UK_A"/>
    <x v="6"/>
    <s v="GNR_PV_SUN"/>
    <x v="0"/>
    <x v="17"/>
    <n v="36.773878463329403"/>
    <n v="13422.4656391152"/>
    <n v="48320.876300814904"/>
  </r>
  <r>
    <x v="0"/>
    <x v="0"/>
    <x v="0"/>
    <x v="10"/>
    <x v="21"/>
    <s v="UK_A"/>
    <x v="6"/>
    <s v="GNR_PV_SUN"/>
    <x v="0"/>
    <x v="19"/>
    <n v="18.386939231664702"/>
    <n v="6711.2328195576301"/>
    <n v="24160.438150407499"/>
  </r>
  <r>
    <x v="0"/>
    <x v="0"/>
    <x v="0"/>
    <x v="10"/>
    <x v="21"/>
    <s v="UK_A"/>
    <x v="7"/>
    <s v="GNR_ES_WTR_PMP"/>
    <x v="0"/>
    <x v="17"/>
    <n v="36.043835616438301"/>
    <n v="13156"/>
    <n v="47361.599999999999"/>
  </r>
  <r>
    <x v="0"/>
    <x v="0"/>
    <x v="0"/>
    <x v="10"/>
    <x v="21"/>
    <s v="UK_A"/>
    <x v="7"/>
    <s v="GNR_ROR_WTR"/>
    <x v="0"/>
    <x v="0"/>
    <n v="602.97643832497397"/>
    <n v="220086.39998861501"/>
    <n v="792311.03995901602"/>
  </r>
  <r>
    <x v="0"/>
    <x v="0"/>
    <x v="0"/>
    <x v="10"/>
    <x v="21"/>
    <s v="UK_A"/>
    <x v="7"/>
    <s v="GNR_ROR_WTR"/>
    <x v="0"/>
    <x v="1"/>
    <n v="602.97643832497397"/>
    <n v="220086.39998861501"/>
    <n v="792311.03995901602"/>
  </r>
  <r>
    <x v="0"/>
    <x v="0"/>
    <x v="0"/>
    <x v="10"/>
    <x v="21"/>
    <s v="UK_A"/>
    <x v="7"/>
    <s v="GNR_ROR_WTR"/>
    <x v="0"/>
    <x v="2"/>
    <n v="602.97643832497397"/>
    <n v="220086.39998861501"/>
    <n v="792311.03995901602"/>
  </r>
  <r>
    <x v="0"/>
    <x v="0"/>
    <x v="0"/>
    <x v="10"/>
    <x v="21"/>
    <s v="UK_A"/>
    <x v="7"/>
    <s v="GNR_ROR_WTR"/>
    <x v="0"/>
    <x v="3"/>
    <n v="602.97643832497397"/>
    <n v="220086.39998861501"/>
    <n v="792311.03995901602"/>
  </r>
  <r>
    <x v="0"/>
    <x v="0"/>
    <x v="0"/>
    <x v="10"/>
    <x v="21"/>
    <s v="UK_A"/>
    <x v="7"/>
    <s v="GNR_ROR_WTR"/>
    <x v="0"/>
    <x v="18"/>
    <n v="602.97643832497397"/>
    <n v="220086.39998861501"/>
    <n v="792311.03995901602"/>
  </r>
  <r>
    <x v="0"/>
    <x v="0"/>
    <x v="0"/>
    <x v="10"/>
    <x v="21"/>
    <s v="UK_A"/>
    <x v="7"/>
    <s v="GNR_ROR_WTR"/>
    <x v="0"/>
    <x v="4"/>
    <n v="602.97643832497397"/>
    <n v="220086.39998861501"/>
    <n v="792311.03995901602"/>
  </r>
  <r>
    <x v="0"/>
    <x v="0"/>
    <x v="0"/>
    <x v="10"/>
    <x v="21"/>
    <s v="UK_A"/>
    <x v="7"/>
    <s v="GNR_ROR_WTR"/>
    <x v="0"/>
    <x v="5"/>
    <n v="602.97643832497397"/>
    <n v="220086.39998861501"/>
    <n v="792311.03995901602"/>
  </r>
  <r>
    <x v="0"/>
    <x v="0"/>
    <x v="0"/>
    <x v="10"/>
    <x v="21"/>
    <s v="UK_A"/>
    <x v="7"/>
    <s v="GNR_ROR_WTR"/>
    <x v="0"/>
    <x v="6"/>
    <n v="602.97643832497397"/>
    <n v="220086.39998861501"/>
    <n v="792311.03995901602"/>
  </r>
  <r>
    <x v="0"/>
    <x v="0"/>
    <x v="0"/>
    <x v="10"/>
    <x v="21"/>
    <s v="UK_A"/>
    <x v="7"/>
    <s v="GNR_ROR_WTR"/>
    <x v="0"/>
    <x v="7"/>
    <n v="602.97643832497397"/>
    <n v="220086.39998861501"/>
    <n v="792311.03995901602"/>
  </r>
  <r>
    <x v="0"/>
    <x v="0"/>
    <x v="0"/>
    <x v="10"/>
    <x v="21"/>
    <s v="UK_A"/>
    <x v="7"/>
    <s v="GNR_ROR_WTR"/>
    <x v="0"/>
    <x v="8"/>
    <n v="602.97643832497397"/>
    <n v="220086.39998861501"/>
    <n v="792311.03995901602"/>
  </r>
  <r>
    <x v="0"/>
    <x v="0"/>
    <x v="0"/>
    <x v="10"/>
    <x v="21"/>
    <s v="UK_A"/>
    <x v="7"/>
    <s v="GNR_ROR_WTR"/>
    <x v="0"/>
    <x v="9"/>
    <n v="602.97643832497397"/>
    <n v="220086.39998861501"/>
    <n v="792311.03995901602"/>
  </r>
  <r>
    <x v="0"/>
    <x v="0"/>
    <x v="0"/>
    <x v="10"/>
    <x v="21"/>
    <s v="UK_A"/>
    <x v="7"/>
    <s v="GNR_ROR_WTR"/>
    <x v="0"/>
    <x v="10"/>
    <n v="602.97643832497397"/>
    <n v="220086.39998861501"/>
    <n v="792311.03995901602"/>
  </r>
  <r>
    <x v="0"/>
    <x v="0"/>
    <x v="0"/>
    <x v="10"/>
    <x v="21"/>
    <s v="UK_A"/>
    <x v="7"/>
    <s v="GNR_ROR_WTR"/>
    <x v="0"/>
    <x v="11"/>
    <n v="602.97643832497397"/>
    <n v="220086.39998861501"/>
    <n v="792311.03995901602"/>
  </r>
  <r>
    <x v="0"/>
    <x v="0"/>
    <x v="0"/>
    <x v="10"/>
    <x v="21"/>
    <s v="UK_A"/>
    <x v="7"/>
    <s v="GNR_ROR_WTR"/>
    <x v="0"/>
    <x v="12"/>
    <n v="602.97643832497397"/>
    <n v="220086.39998861501"/>
    <n v="792311.03995901602"/>
  </r>
  <r>
    <x v="0"/>
    <x v="0"/>
    <x v="0"/>
    <x v="10"/>
    <x v="21"/>
    <s v="UK_A"/>
    <x v="7"/>
    <s v="GNR_ROR_WTR"/>
    <x v="0"/>
    <x v="13"/>
    <n v="602.97643832497397"/>
    <n v="220086.39998861501"/>
    <n v="792311.03995901602"/>
  </r>
  <r>
    <x v="0"/>
    <x v="0"/>
    <x v="0"/>
    <x v="10"/>
    <x v="21"/>
    <s v="UK_A"/>
    <x v="7"/>
    <s v="GNR_ROR_WTR"/>
    <x v="0"/>
    <x v="14"/>
    <n v="602.97643832497397"/>
    <n v="220086.39998861501"/>
    <n v="792311.03995901602"/>
  </r>
  <r>
    <x v="0"/>
    <x v="0"/>
    <x v="0"/>
    <x v="10"/>
    <x v="21"/>
    <s v="UK_A"/>
    <x v="7"/>
    <s v="GNR_ROR_WTR"/>
    <x v="0"/>
    <x v="15"/>
    <n v="602.97643832497397"/>
    <n v="220086.39998861501"/>
    <n v="792311.03995901602"/>
  </r>
  <r>
    <x v="0"/>
    <x v="0"/>
    <x v="0"/>
    <x v="10"/>
    <x v="21"/>
    <s v="UK_A"/>
    <x v="7"/>
    <s v="GNR_ROR_WTR"/>
    <x v="0"/>
    <x v="16"/>
    <n v="602.97643832497397"/>
    <n v="220086.39998861501"/>
    <n v="792311.03995901602"/>
  </r>
  <r>
    <x v="0"/>
    <x v="0"/>
    <x v="0"/>
    <x v="10"/>
    <x v="21"/>
    <s v="UK_A"/>
    <x v="7"/>
    <s v="GNR_ROR_WTR"/>
    <x v="0"/>
    <x v="17"/>
    <n v="602.97643832497397"/>
    <n v="220086.39998861501"/>
    <n v="792311.03995901602"/>
  </r>
  <r>
    <x v="0"/>
    <x v="0"/>
    <x v="0"/>
    <x v="10"/>
    <x v="21"/>
    <s v="UK_A"/>
    <x v="7"/>
    <s v="GNR_ROR_WTR"/>
    <x v="0"/>
    <x v="19"/>
    <n v="602.97643832497397"/>
    <n v="220086.39998861501"/>
    <n v="792311.03995901602"/>
  </r>
  <r>
    <x v="0"/>
    <x v="0"/>
    <x v="0"/>
    <x v="10"/>
    <x v="21"/>
    <s v="UK_A"/>
    <x v="7"/>
    <s v="GNR_ROR_WTR"/>
    <x v="0"/>
    <x v="20"/>
    <n v="602.97643832497397"/>
    <n v="220086.39998861501"/>
    <n v="792311.03995901602"/>
  </r>
  <r>
    <x v="0"/>
    <x v="0"/>
    <x v="0"/>
    <x v="10"/>
    <x v="21"/>
    <s v="UK_A"/>
    <x v="7"/>
    <s v="GNR_ROR_WTR"/>
    <x v="0"/>
    <x v="21"/>
    <n v="602.97643832497397"/>
    <n v="220086.39998861501"/>
    <n v="792311.03995901602"/>
  </r>
  <r>
    <x v="0"/>
    <x v="0"/>
    <x v="0"/>
    <x v="10"/>
    <x v="21"/>
    <s v="UK_A"/>
    <x v="7"/>
    <s v="GNR_ROR_WTR"/>
    <x v="0"/>
    <x v="22"/>
    <n v="602.97643832497397"/>
    <n v="220086.39998861501"/>
    <n v="792311.03995901602"/>
  </r>
  <r>
    <x v="0"/>
    <x v="0"/>
    <x v="0"/>
    <x v="10"/>
    <x v="21"/>
    <s v="UK_A"/>
    <x v="7"/>
    <s v="GNR_ROR_WTR"/>
    <x v="0"/>
    <x v="23"/>
    <n v="602.97643832497397"/>
    <n v="220086.39998861501"/>
    <n v="792311.03995901602"/>
  </r>
  <r>
    <x v="0"/>
    <x v="0"/>
    <x v="0"/>
    <x v="10"/>
    <x v="21"/>
    <s v="UK_A"/>
    <x v="8"/>
    <s v="GNR_WT_WIND_ONS"/>
    <x v="0"/>
    <x v="0"/>
    <n v="3871.3346559148999"/>
    <n v="1413037.14940894"/>
    <n v="5086933.7378721898"/>
  </r>
  <r>
    <x v="0"/>
    <x v="0"/>
    <x v="0"/>
    <x v="10"/>
    <x v="21"/>
    <s v="UK_A"/>
    <x v="8"/>
    <s v="GNR_WT_WIND_ONS"/>
    <x v="0"/>
    <x v="1"/>
    <n v="4037.88959422784"/>
    <n v="1473829.7018931599"/>
    <n v="5305786.9268153803"/>
  </r>
  <r>
    <x v="0"/>
    <x v="0"/>
    <x v="0"/>
    <x v="10"/>
    <x v="21"/>
    <s v="UK_A"/>
    <x v="8"/>
    <s v="GNR_WT_WIND_ONS"/>
    <x v="0"/>
    <x v="2"/>
    <n v="4217.25645087255"/>
    <n v="1539298.60456848"/>
    <n v="5541474.9764465299"/>
  </r>
  <r>
    <x v="0"/>
    <x v="0"/>
    <x v="0"/>
    <x v="10"/>
    <x v="21"/>
    <s v="UK_A"/>
    <x v="8"/>
    <s v="GNR_WT_WIND_ONS"/>
    <x v="0"/>
    <x v="3"/>
    <n v="4407.2999061270702"/>
    <n v="1608664.4657363801"/>
    <n v="5791192.0766509697"/>
  </r>
  <r>
    <x v="0"/>
    <x v="0"/>
    <x v="0"/>
    <x v="10"/>
    <x v="21"/>
    <s v="UK_A"/>
    <x v="8"/>
    <s v="GNR_WT_WIND_ONS"/>
    <x v="0"/>
    <x v="18"/>
    <n v="4447.87098084432"/>
    <n v="1623472.9080081801"/>
    <n v="5844502.46882944"/>
  </r>
  <r>
    <x v="0"/>
    <x v="0"/>
    <x v="0"/>
    <x v="10"/>
    <x v="21"/>
    <s v="UK_A"/>
    <x v="8"/>
    <s v="GNR_WT_WIND_ONS"/>
    <x v="0"/>
    <x v="4"/>
    <n v="4407.2999061270702"/>
    <n v="1608664.4657363801"/>
    <n v="5791192.0766509697"/>
  </r>
  <r>
    <x v="0"/>
    <x v="0"/>
    <x v="0"/>
    <x v="10"/>
    <x v="21"/>
    <s v="UK_A"/>
    <x v="8"/>
    <s v="GNR_WT_WIND_ONS"/>
    <x v="0"/>
    <x v="5"/>
    <n v="4452.1416202882301"/>
    <n v="1625031.6914052099"/>
    <n v="5850114.0890587401"/>
  </r>
  <r>
    <x v="0"/>
    <x v="0"/>
    <x v="0"/>
    <x v="10"/>
    <x v="21"/>
    <s v="UK_A"/>
    <x v="8"/>
    <s v="GNR_WT_WIND_ONS"/>
    <x v="0"/>
    <x v="6"/>
    <n v="4573.8548444400003"/>
    <n v="1669457.0182206"/>
    <n v="6010045.2655941704"/>
  </r>
  <r>
    <x v="0"/>
    <x v="0"/>
    <x v="0"/>
    <x v="10"/>
    <x v="21"/>
    <s v="UK_A"/>
    <x v="8"/>
    <s v="GNR_WT_WIND_ONS"/>
    <x v="0"/>
    <x v="7"/>
    <n v="4699.8387080356897"/>
    <n v="1715441.1284330301"/>
    <n v="6175588.0623589"/>
  </r>
  <r>
    <x v="0"/>
    <x v="0"/>
    <x v="0"/>
    <x v="10"/>
    <x v="21"/>
    <s v="UK_A"/>
    <x v="8"/>
    <s v="GNR_WT_WIND_ONS"/>
    <x v="0"/>
    <x v="8"/>
    <n v="4509.7952527811904"/>
    <n v="1646075.2672651301"/>
    <n v="5925870.9621544797"/>
  </r>
  <r>
    <x v="0"/>
    <x v="0"/>
    <x v="0"/>
    <x v="10"/>
    <x v="21"/>
    <s v="UK_A"/>
    <x v="8"/>
    <s v="GNR_WT_WIND_ONS"/>
    <x v="0"/>
    <x v="9"/>
    <n v="4020.80703645216"/>
    <n v="1467594.56830504"/>
    <n v="5283340.4458981398"/>
  </r>
  <r>
    <x v="0"/>
    <x v="0"/>
    <x v="0"/>
    <x v="10"/>
    <x v="21"/>
    <s v="UK_A"/>
    <x v="8"/>
    <s v="GNR_WT_WIND_ONS"/>
    <x v="0"/>
    <x v="10"/>
    <n v="3649.2614048309802"/>
    <n v="1331980.4127633099"/>
    <n v="4795129.4859479098"/>
  </r>
  <r>
    <x v="0"/>
    <x v="0"/>
    <x v="0"/>
    <x v="10"/>
    <x v="21"/>
    <s v="UK_A"/>
    <x v="8"/>
    <s v="GNR_WT_WIND_ONS"/>
    <x v="0"/>
    <x v="11"/>
    <n v="3604.4196906698198"/>
    <n v="1315613.18709448"/>
    <n v="4736207.4735401403"/>
  </r>
  <r>
    <x v="0"/>
    <x v="0"/>
    <x v="0"/>
    <x v="10"/>
    <x v="21"/>
    <s v="UK_A"/>
    <x v="8"/>
    <s v="GNR_WT_WIND_ONS"/>
    <x v="0"/>
    <x v="12"/>
    <n v="3333.2340859808"/>
    <n v="1216630.44138299"/>
    <n v="4379869.5889787599"/>
  </r>
  <r>
    <x v="0"/>
    <x v="0"/>
    <x v="0"/>
    <x v="10"/>
    <x v="21"/>
    <s v="UK_A"/>
    <x v="8"/>
    <s v="GNR_WT_WIND_ONS"/>
    <x v="0"/>
    <x v="13"/>
    <n v="2498.3240746941201"/>
    <n v="911888.28726335499"/>
    <n v="3282797.8341480801"/>
  </r>
  <r>
    <x v="0"/>
    <x v="0"/>
    <x v="0"/>
    <x v="10"/>
    <x v="21"/>
    <s v="UK_A"/>
    <x v="8"/>
    <s v="GNR_WT_WIND_ONS"/>
    <x v="0"/>
    <x v="14"/>
    <n v="1864.13411727177"/>
    <n v="680408.952804195"/>
    <n v="2449472.2300951001"/>
  </r>
  <r>
    <x v="0"/>
    <x v="0"/>
    <x v="0"/>
    <x v="10"/>
    <x v="21"/>
    <s v="UK_A"/>
    <x v="8"/>
    <s v="GNR_WT_WIND_ONS"/>
    <x v="0"/>
    <x v="15"/>
    <n v="1422.1229348258801"/>
    <n v="519074.87121144799"/>
    <n v="1868669.53636121"/>
  </r>
  <r>
    <x v="0"/>
    <x v="0"/>
    <x v="0"/>
    <x v="10"/>
    <x v="21"/>
    <s v="UK_A"/>
    <x v="8"/>
    <s v="GNR_WT_WIND_ONS"/>
    <x v="0"/>
    <x v="16"/>
    <n v="1140.26073152706"/>
    <n v="416195.16700737702"/>
    <n v="1498302.6012265601"/>
  </r>
  <r>
    <x v="0"/>
    <x v="0"/>
    <x v="0"/>
    <x v="10"/>
    <x v="21"/>
    <s v="UK_A"/>
    <x v="8"/>
    <s v="GNR_WT_WIND_ONS"/>
    <x v="0"/>
    <x v="17"/>
    <n v="1014.27686793137"/>
    <n v="370211.05679495097"/>
    <n v="1332759.8044618201"/>
  </r>
  <r>
    <x v="0"/>
    <x v="0"/>
    <x v="0"/>
    <x v="10"/>
    <x v="21"/>
    <s v="UK_A"/>
    <x v="8"/>
    <s v="GNR_WT_WIND_ONS"/>
    <x v="0"/>
    <x v="19"/>
    <n v="943.81131710666898"/>
    <n v="344491.13074393402"/>
    <n v="1240168.0706781601"/>
  </r>
  <r>
    <x v="0"/>
    <x v="0"/>
    <x v="0"/>
    <x v="10"/>
    <x v="21"/>
    <s v="UK_A"/>
    <x v="8"/>
    <s v="GNR_WT_WIND_ONS"/>
    <x v="0"/>
    <x v="20"/>
    <n v="999.32962987764802"/>
    <n v="364755.31490534201"/>
    <n v="1313119.1336592301"/>
  </r>
  <r>
    <x v="0"/>
    <x v="0"/>
    <x v="0"/>
    <x v="10"/>
    <x v="21"/>
    <s v="UK_A"/>
    <x v="8"/>
    <s v="GNR_WT_WIND_ONS"/>
    <x v="0"/>
    <x v="21"/>
    <n v="1157.34328930275"/>
    <n v="422430.30059550202"/>
    <n v="1520749.0821438101"/>
  </r>
  <r>
    <x v="0"/>
    <x v="0"/>
    <x v="0"/>
    <x v="10"/>
    <x v="21"/>
    <s v="UK_A"/>
    <x v="8"/>
    <s v="GNR_WT_WIND_ONS"/>
    <x v="0"/>
    <x v="22"/>
    <n v="1362.33398261098"/>
    <n v="497251.90365300898"/>
    <n v="1790106.8531508299"/>
  </r>
  <r>
    <x v="0"/>
    <x v="0"/>
    <x v="0"/>
    <x v="10"/>
    <x v="21"/>
    <s v="UK_A"/>
    <x v="8"/>
    <s v="GNR_WT_WIND_ONS"/>
    <x v="0"/>
    <x v="23"/>
    <n v="1439.2054926015701"/>
    <n v="525310.00479957403"/>
    <n v="1891116.0172784701"/>
  </r>
  <r>
    <x v="0"/>
    <x v="0"/>
    <x v="0"/>
    <x v="10"/>
    <x v="21"/>
    <s v="UK_Offshore"/>
    <x v="8"/>
    <s v="GNR_WT_WIND_OFF"/>
    <x v="0"/>
    <x v="0"/>
    <n v="2148.8929378575799"/>
    <n v="784345.92231801595"/>
    <n v="2823645.3203448602"/>
  </r>
  <r>
    <x v="0"/>
    <x v="0"/>
    <x v="0"/>
    <x v="10"/>
    <x v="21"/>
    <s v="UK_Offshore"/>
    <x v="8"/>
    <s v="GNR_WT_WIND_OFF"/>
    <x v="0"/>
    <x v="1"/>
    <n v="2241.3439302198999"/>
    <n v="818090.534530262"/>
    <n v="2945125.9243089398"/>
  </r>
  <r>
    <x v="0"/>
    <x v="0"/>
    <x v="0"/>
    <x v="10"/>
    <x v="21"/>
    <s v="UK_Offshore"/>
    <x v="8"/>
    <s v="GNR_WT_WIND_OFF"/>
    <x v="0"/>
    <x v="2"/>
    <n v="2340.9065373793201"/>
    <n v="854430.88614345202"/>
    <n v="3075951.1901164302"/>
  </r>
  <r>
    <x v="0"/>
    <x v="0"/>
    <x v="0"/>
    <x v="10"/>
    <x v="21"/>
    <s v="UK_Offshore"/>
    <x v="8"/>
    <s v="GNR_WT_WIND_OFF"/>
    <x v="0"/>
    <x v="3"/>
    <n v="2446.395490203"/>
    <n v="892934.35392409598"/>
    <n v="3214563.6741267499"/>
  </r>
  <r>
    <x v="0"/>
    <x v="0"/>
    <x v="0"/>
    <x v="10"/>
    <x v="21"/>
    <s v="UK_Offshore"/>
    <x v="8"/>
    <s v="GNR_WT_WIND_OFF"/>
    <x v="0"/>
    <x v="18"/>
    <n v="2468.91560372716"/>
    <n v="901154.19536041201"/>
    <n v="3244155.1032974799"/>
  </r>
  <r>
    <x v="0"/>
    <x v="0"/>
    <x v="0"/>
    <x v="10"/>
    <x v="21"/>
    <s v="UK_Offshore"/>
    <x v="8"/>
    <s v="GNR_WT_WIND_OFF"/>
    <x v="0"/>
    <x v="4"/>
    <n v="2446.395490203"/>
    <n v="892934.35392409598"/>
    <n v="3214563.6741267499"/>
  </r>
  <r>
    <x v="0"/>
    <x v="0"/>
    <x v="0"/>
    <x v="10"/>
    <x v="21"/>
    <s v="UK_Offshore"/>
    <x v="8"/>
    <s v="GNR_WT_WIND_OFF"/>
    <x v="0"/>
    <x v="5"/>
    <n v="2471.2861419928499"/>
    <n v="902019.44182739197"/>
    <n v="3247269.99057861"/>
  </r>
  <r>
    <x v="0"/>
    <x v="0"/>
    <x v="0"/>
    <x v="10"/>
    <x v="21"/>
    <s v="UK_Offshore"/>
    <x v="8"/>
    <s v="GNR_WT_WIND_OFF"/>
    <x v="0"/>
    <x v="6"/>
    <n v="2538.84648256532"/>
    <n v="926678.96613634296"/>
    <n v="3336044.27809083"/>
  </r>
  <r>
    <x v="0"/>
    <x v="0"/>
    <x v="0"/>
    <x v="10"/>
    <x v="21"/>
    <s v="UK_Offshore"/>
    <x v="8"/>
    <s v="GNR_WT_WIND_OFF"/>
    <x v="0"/>
    <x v="7"/>
    <n v="2608.77736140349"/>
    <n v="952203.73691227403"/>
    <n v="3427933.4528841898"/>
  </r>
  <r>
    <x v="0"/>
    <x v="0"/>
    <x v="0"/>
    <x v="10"/>
    <x v="21"/>
    <s v="UK_Offshore"/>
    <x v="8"/>
    <s v="GNR_WT_WIND_OFF"/>
    <x v="0"/>
    <x v="8"/>
    <n v="2503.28840857982"/>
    <n v="913700.26913163404"/>
    <n v="3289320.9688738799"/>
  </r>
  <r>
    <x v="0"/>
    <x v="0"/>
    <x v="0"/>
    <x v="10"/>
    <x v="21"/>
    <s v="UK_Offshore"/>
    <x v="8"/>
    <s v="GNR_WT_WIND_OFF"/>
    <x v="0"/>
    <x v="9"/>
    <n v="2231.8617771570998"/>
    <n v="814629.54866234004"/>
    <n v="2932666.37518442"/>
  </r>
  <r>
    <x v="0"/>
    <x v="0"/>
    <x v="0"/>
    <x v="10"/>
    <x v="21"/>
    <s v="UK_Offshore"/>
    <x v="8"/>
    <s v="GNR_WT_WIND_OFF"/>
    <x v="0"/>
    <x v="10"/>
    <n v="2025.62494804115"/>
    <n v="739353.10603501904"/>
    <n v="2661671.1817260701"/>
  </r>
  <r>
    <x v="0"/>
    <x v="0"/>
    <x v="0"/>
    <x v="10"/>
    <x v="21"/>
    <s v="UK_Offshore"/>
    <x v="8"/>
    <s v="GNR_WT_WIND_OFF"/>
    <x v="0"/>
    <x v="11"/>
    <n v="2000.7342962513001"/>
    <n v="730268.01813172305"/>
    <n v="2628964.8652742002"/>
  </r>
  <r>
    <x v="0"/>
    <x v="0"/>
    <x v="0"/>
    <x v="10"/>
    <x v="21"/>
    <s v="UK_Offshore"/>
    <x v="8"/>
    <s v="GNR_WT_WIND_OFF"/>
    <x v="0"/>
    <x v="12"/>
    <n v="1850.2051163793101"/>
    <n v="675324.86747844703"/>
    <n v="2431169.5229224102"/>
  </r>
  <r>
    <x v="0"/>
    <x v="0"/>
    <x v="0"/>
    <x v="10"/>
    <x v="21"/>
    <s v="UK_Offshore"/>
    <x v="8"/>
    <s v="GNR_WT_WIND_OFF"/>
    <x v="0"/>
    <x v="13"/>
    <n v="1386.7648854348399"/>
    <n v="506169.18318371801"/>
    <n v="1822209.0594613799"/>
  </r>
  <r>
    <x v="0"/>
    <x v="0"/>
    <x v="0"/>
    <x v="10"/>
    <x v="21"/>
    <s v="UK_Offshore"/>
    <x v="8"/>
    <s v="GNR_WT_WIND_OFF"/>
    <x v="0"/>
    <x v="14"/>
    <n v="1034.7399529782999"/>
    <n v="377680.08283708099"/>
    <n v="1359648.2982134901"/>
  </r>
  <r>
    <x v="0"/>
    <x v="0"/>
    <x v="0"/>
    <x v="10"/>
    <x v="21"/>
    <s v="UK_Offshore"/>
    <x v="8"/>
    <s v="GNR_WT_WIND_OFF"/>
    <x v="0"/>
    <x v="15"/>
    <n v="789.38924247829402"/>
    <n v="288127.07350457698"/>
    <n v="1037257.4646164801"/>
  </r>
  <r>
    <x v="0"/>
    <x v="0"/>
    <x v="0"/>
    <x v="10"/>
    <x v="21"/>
    <s v="UK_Offshore"/>
    <x v="8"/>
    <s v="GNR_WT_WIND_OFF"/>
    <x v="0"/>
    <x v="16"/>
    <n v="632.93371694205598"/>
    <n v="231020.806683851"/>
    <n v="831674.90406186203"/>
  </r>
  <r>
    <x v="0"/>
    <x v="0"/>
    <x v="0"/>
    <x v="10"/>
    <x v="21"/>
    <s v="UK_Offshore"/>
    <x v="8"/>
    <s v="GNR_WT_WIND_OFF"/>
    <x v="0"/>
    <x v="17"/>
    <n v="563.00283810388805"/>
    <n v="205496.03590791899"/>
    <n v="739785.72926850896"/>
  </r>
  <r>
    <x v="0"/>
    <x v="0"/>
    <x v="0"/>
    <x v="10"/>
    <x v="21"/>
    <s v="UK_Offshore"/>
    <x v="8"/>
    <s v="GNR_WT_WIND_OFF"/>
    <x v="0"/>
    <x v="19"/>
    <n v="523.88895671982903"/>
    <n v="191219.46920273799"/>
    <n v="688390.08912985597"/>
  </r>
  <r>
    <x v="0"/>
    <x v="0"/>
    <x v="0"/>
    <x v="10"/>
    <x v="21"/>
    <s v="UK_Offshore"/>
    <x v="8"/>
    <s v="GNR_WT_WIND_OFF"/>
    <x v="0"/>
    <x v="20"/>
    <n v="554.70595417393599"/>
    <n v="202467.67327348699"/>
    <n v="728883.62378455198"/>
  </r>
  <r>
    <x v="0"/>
    <x v="0"/>
    <x v="0"/>
    <x v="10"/>
    <x v="21"/>
    <s v="UK_Offshore"/>
    <x v="8"/>
    <s v="GNR_WT_WIND_OFF"/>
    <x v="0"/>
    <x v="21"/>
    <n v="642.41587000485799"/>
    <n v="234481.79255177299"/>
    <n v="844134.45318638301"/>
  </r>
  <r>
    <x v="0"/>
    <x v="0"/>
    <x v="0"/>
    <x v="10"/>
    <x v="21"/>
    <s v="UK_Offshore"/>
    <x v="8"/>
    <s v="GNR_WT_WIND_OFF"/>
    <x v="0"/>
    <x v="22"/>
    <n v="756.20170675848601"/>
    <n v="276013.62296684802"/>
    <n v="993649.04268065095"/>
  </r>
  <r>
    <x v="0"/>
    <x v="0"/>
    <x v="0"/>
    <x v="10"/>
    <x v="21"/>
    <s v="UK_Offshore"/>
    <x v="8"/>
    <s v="GNR_WT_WIND_OFF"/>
    <x v="0"/>
    <x v="23"/>
    <n v="798.87139554109694"/>
    <n v="291588.05937249999"/>
    <n v="1049717.0137410001"/>
  </r>
</pivotCacheRecords>
</file>

<file path=xl/pivotCache/pivotCacheRecords12.xml><?xml version="1.0" encoding="utf-8"?>
<pivotCacheRecords xmlns="http://schemas.openxmlformats.org/spreadsheetml/2006/main" xmlns:r="http://schemas.openxmlformats.org/officeDocument/2006/relationships" count="6117">
  <r>
    <x v="0"/>
    <x v="0"/>
    <x v="0"/>
    <x v="0"/>
    <x v="0"/>
    <s v="DK1_Large"/>
    <x v="0"/>
    <s v="GNR_ST_COAL_EXT_E-42"/>
    <x v="0"/>
    <x v="0"/>
    <n v="416.07111080676202"/>
    <n v="151865.95544446801"/>
    <n v="546717.43960008502"/>
  </r>
  <r>
    <x v="0"/>
    <x v="0"/>
    <x v="0"/>
    <x v="0"/>
    <x v="0"/>
    <s v="DK1_Large"/>
    <x v="0"/>
    <s v="GNR_ST_COAL_EXT_E-42"/>
    <x v="0"/>
    <x v="1"/>
    <n v="490.81269346807301"/>
    <n v="179146.63311584599"/>
    <n v="644927.87921704701"/>
  </r>
  <r>
    <x v="0"/>
    <x v="0"/>
    <x v="0"/>
    <x v="0"/>
    <x v="0"/>
    <s v="DK1_Large"/>
    <x v="0"/>
    <s v="GNR_ST_COAL_EXT_E-42"/>
    <x v="0"/>
    <x v="2"/>
    <n v="793.33333333333303"/>
    <n v="289566.66666666698"/>
    <n v="1042440"/>
  </r>
  <r>
    <x v="0"/>
    <x v="0"/>
    <x v="0"/>
    <x v="0"/>
    <x v="0"/>
    <s v="DK1_Large"/>
    <x v="0"/>
    <s v="GNR_ST_COAL_EXT_E-42"/>
    <x v="0"/>
    <x v="3"/>
    <n v="443.53590174644899"/>
    <n v="161890.60413745401"/>
    <n v="582806.17489483499"/>
  </r>
  <r>
    <x v="0"/>
    <x v="0"/>
    <x v="0"/>
    <x v="0"/>
    <x v="0"/>
    <s v="DK1_Large"/>
    <x v="0"/>
    <s v="GNR_ST_COAL_EXT_E-42"/>
    <x v="0"/>
    <x v="4"/>
    <n v="489.24997354961101"/>
    <n v="178576.24034560801"/>
    <n v="642874.46524418797"/>
  </r>
  <r>
    <x v="0"/>
    <x v="0"/>
    <x v="0"/>
    <x v="0"/>
    <x v="0"/>
    <s v="DK1_Large"/>
    <x v="0"/>
    <s v="GNR_ST_COAL_EXT_E-42"/>
    <x v="0"/>
    <x v="5"/>
    <n v="547.10311342801003"/>
    <n v="199692.63640122401"/>
    <n v="718893.49104440503"/>
  </r>
  <r>
    <x v="0"/>
    <x v="0"/>
    <x v="0"/>
    <x v="0"/>
    <x v="0"/>
    <s v="DK1_Large"/>
    <x v="0"/>
    <s v="GNR_ST_COAL_EXT_E-42"/>
    <x v="0"/>
    <x v="6"/>
    <n v="567.741749715418"/>
    <n v="207225.73864612801"/>
    <n v="746012.65912605904"/>
  </r>
  <r>
    <x v="0"/>
    <x v="0"/>
    <x v="0"/>
    <x v="0"/>
    <x v="0"/>
    <s v="DK1_Large"/>
    <x v="0"/>
    <s v="GNR_ST_COAL_EXT_E-42"/>
    <x v="0"/>
    <x v="7"/>
    <n v="577.70522930244294"/>
    <n v="210862.40869539199"/>
    <n v="759104.67130340997"/>
  </r>
  <r>
    <x v="0"/>
    <x v="0"/>
    <x v="0"/>
    <x v="0"/>
    <x v="0"/>
    <s v="DK1_Large"/>
    <x v="0"/>
    <s v="GNR_ST_COAL_EXT_E-42"/>
    <x v="0"/>
    <x v="8"/>
    <n v="793.33333333333303"/>
    <n v="289566.66666666698"/>
    <n v="1042440"/>
  </r>
  <r>
    <x v="0"/>
    <x v="0"/>
    <x v="0"/>
    <x v="0"/>
    <x v="0"/>
    <s v="DK1_Large"/>
    <x v="0"/>
    <s v="GNR_ST_COAL_EXT_E-43"/>
    <x v="0"/>
    <x v="9"/>
    <n v="827.77777777777806"/>
    <n v="302138.88888888899"/>
    <n v="1087700"/>
  </r>
  <r>
    <x v="0"/>
    <x v="0"/>
    <x v="0"/>
    <x v="0"/>
    <x v="0"/>
    <s v="DK1_Large"/>
    <x v="0"/>
    <s v="GNR_ST_COAL_EXT_E-43"/>
    <x v="0"/>
    <x v="10"/>
    <n v="436.79316085737997"/>
    <n v="159429.50371294399"/>
    <n v="573946.21336659696"/>
  </r>
  <r>
    <x v="0"/>
    <x v="0"/>
    <x v="0"/>
    <x v="0"/>
    <x v="0"/>
    <s v="DK1_Large"/>
    <x v="0"/>
    <s v="GNR_ST_COAL_EXT_E-43"/>
    <x v="0"/>
    <x v="11"/>
    <n v="827.77777777777806"/>
    <n v="302138.88888888899"/>
    <n v="1087700"/>
  </r>
  <r>
    <x v="0"/>
    <x v="0"/>
    <x v="0"/>
    <x v="0"/>
    <x v="0"/>
    <s v="DK1_Large"/>
    <x v="0"/>
    <s v="GNR_ST_COAL_EXT_E-43"/>
    <x v="0"/>
    <x v="12"/>
    <n v="827.77777777777806"/>
    <n v="302138.88888888899"/>
    <n v="1087700"/>
  </r>
  <r>
    <x v="0"/>
    <x v="0"/>
    <x v="0"/>
    <x v="0"/>
    <x v="0"/>
    <s v="DK1_Large"/>
    <x v="0"/>
    <s v="GNR_ST_COAL_EXT_E-43"/>
    <x v="0"/>
    <x v="13"/>
    <n v="827.77777777777806"/>
    <n v="302138.88888888899"/>
    <n v="1087700"/>
  </r>
  <r>
    <x v="0"/>
    <x v="0"/>
    <x v="0"/>
    <x v="0"/>
    <x v="0"/>
    <s v="DK1_Large"/>
    <x v="0"/>
    <s v="GNR_ST_COAL_EXT_E-43"/>
    <x v="0"/>
    <x v="0"/>
    <n v="131.03200262124901"/>
    <n v="47826.680956755998"/>
    <n v="172176.05144432199"/>
  </r>
  <r>
    <x v="0"/>
    <x v="0"/>
    <x v="0"/>
    <x v="0"/>
    <x v="0"/>
    <s v="DK1_Large"/>
    <x v="0"/>
    <s v="GNR_ST_COAL_EXT_E-43"/>
    <x v="0"/>
    <x v="14"/>
    <n v="827.77777777777806"/>
    <n v="302138.88888888899"/>
    <n v="1087700"/>
  </r>
  <r>
    <x v="0"/>
    <x v="0"/>
    <x v="0"/>
    <x v="0"/>
    <x v="0"/>
    <s v="DK1_Large"/>
    <x v="0"/>
    <s v="GNR_ST_COAL_EXT_E-43"/>
    <x v="0"/>
    <x v="15"/>
    <n v="557.77827012839305"/>
    <n v="203589.068596864"/>
    <n v="732920.64694870904"/>
  </r>
  <r>
    <x v="0"/>
    <x v="0"/>
    <x v="0"/>
    <x v="0"/>
    <x v="0"/>
    <s v="DK1_Large"/>
    <x v="0"/>
    <s v="GNR_ST_COAL_EXT_E-43"/>
    <x v="0"/>
    <x v="8"/>
    <n v="232.07663292093699"/>
    <n v="84707.971016141804"/>
    <n v="304948.69565811101"/>
  </r>
  <r>
    <x v="0"/>
    <x v="0"/>
    <x v="0"/>
    <x v="0"/>
    <x v="0"/>
    <s v="DK1_Large"/>
    <x v="0"/>
    <s v="GNR_ST_COAL_EXT_E-43"/>
    <x v="0"/>
    <x v="16"/>
    <n v="827.77777777777806"/>
    <n v="302138.88888888899"/>
    <n v="1087700"/>
  </r>
  <r>
    <x v="0"/>
    <x v="0"/>
    <x v="0"/>
    <x v="0"/>
    <x v="0"/>
    <s v="DK1_Large"/>
    <x v="0"/>
    <s v="GNR_ST_COAL_EXT_E-43"/>
    <x v="0"/>
    <x v="17"/>
    <n v="617.55914765054104"/>
    <n v="225409.088892448"/>
    <n v="811472.72001281101"/>
  </r>
  <r>
    <x v="0"/>
    <x v="0"/>
    <x v="0"/>
    <x v="0"/>
    <x v="0"/>
    <s v="DK1_Large"/>
    <x v="0"/>
    <s v="GNR_ST_COAL_EXT_E-43"/>
    <x v="0"/>
    <x v="18"/>
    <n v="597.63218847649205"/>
    <n v="218135.74879392001"/>
    <n v="785288.69565811101"/>
  </r>
  <r>
    <x v="0"/>
    <x v="0"/>
    <x v="0"/>
    <x v="0"/>
    <x v="0"/>
    <s v="DK1_Large"/>
    <x v="0"/>
    <s v="GNR_ST_COAL_EXT_E-43"/>
    <x v="0"/>
    <x v="19"/>
    <n v="827.77777777777806"/>
    <n v="302138.88888888899"/>
    <n v="1087700"/>
  </r>
  <r>
    <x v="0"/>
    <x v="0"/>
    <x v="0"/>
    <x v="0"/>
    <x v="0"/>
    <s v="DK1_Large"/>
    <x v="0"/>
    <s v="GNR_ST_COAL_EXT_E-47"/>
    <x v="0"/>
    <x v="9"/>
    <n v="26.829681270355401"/>
    <n v="9792.8336636797103"/>
    <n v="35254.201189246996"/>
  </r>
  <r>
    <x v="0"/>
    <x v="0"/>
    <x v="0"/>
    <x v="0"/>
    <x v="0"/>
    <s v="DK1_Large"/>
    <x v="0"/>
    <s v="GNR_ST_COAL_EXT_E-47"/>
    <x v="0"/>
    <x v="10"/>
    <n v="427.777777777778"/>
    <n v="156138.88888888899"/>
    <n v="562100"/>
  </r>
  <r>
    <x v="0"/>
    <x v="0"/>
    <x v="0"/>
    <x v="0"/>
    <x v="0"/>
    <s v="DK1_Large"/>
    <x v="0"/>
    <s v="GNR_ST_COAL_EXT_E-47"/>
    <x v="0"/>
    <x v="11"/>
    <n v="46.756640444404702"/>
    <n v="17066.173762207702"/>
    <n v="61438.225543947803"/>
  </r>
  <r>
    <x v="0"/>
    <x v="0"/>
    <x v="0"/>
    <x v="0"/>
    <x v="0"/>
    <s v="DK1_Large"/>
    <x v="0"/>
    <s v="GNR_ST_COAL_EXT_E-47"/>
    <x v="0"/>
    <x v="12"/>
    <n v="56.720120031429303"/>
    <n v="20702.843811471699"/>
    <n v="74530.237721298094"/>
  </r>
  <r>
    <x v="0"/>
    <x v="0"/>
    <x v="0"/>
    <x v="0"/>
    <x v="0"/>
    <s v="DK1_Large"/>
    <x v="0"/>
    <s v="GNR_ST_COAL_EXT_E-47"/>
    <x v="0"/>
    <x v="13"/>
    <n v="87.322235905862101"/>
    <n v="31872.6161056397"/>
    <n v="114741.417980303"/>
  </r>
  <r>
    <x v="0"/>
    <x v="0"/>
    <x v="0"/>
    <x v="0"/>
    <x v="0"/>
    <s v="DK1_Large"/>
    <x v="0"/>
    <s v="GNR_ST_COAL_EXT_E-47"/>
    <x v="0"/>
    <x v="0"/>
    <n v="427.777777777778"/>
    <n v="156138.88888888899"/>
    <n v="562100"/>
  </r>
  <r>
    <x v="0"/>
    <x v="0"/>
    <x v="0"/>
    <x v="0"/>
    <x v="0"/>
    <s v="DK1_Large"/>
    <x v="0"/>
    <s v="GNR_ST_COAL_EXT_E-47"/>
    <x v="0"/>
    <x v="14"/>
    <n v="197.63218847649199"/>
    <n v="72135.7487939196"/>
    <n v="259688.69565810999"/>
  </r>
  <r>
    <x v="0"/>
    <x v="0"/>
    <x v="0"/>
    <x v="0"/>
    <x v="0"/>
    <s v="DK1_Large"/>
    <x v="0"/>
    <s v="GNR_ST_COAL_EXT_E-47"/>
    <x v="0"/>
    <x v="2"/>
    <n v="107.87078495196801"/>
    <n v="39372.836507468302"/>
    <n v="141742.211426886"/>
  </r>
  <r>
    <x v="0"/>
    <x v="0"/>
    <x v="0"/>
    <x v="0"/>
    <x v="0"/>
    <s v="DK1_Large"/>
    <x v="0"/>
    <s v="GNR_ST_COAL_EXT_E-47"/>
    <x v="0"/>
    <x v="3"/>
    <n v="427.777777777778"/>
    <n v="156138.88888888899"/>
    <n v="562100"/>
  </r>
  <r>
    <x v="0"/>
    <x v="0"/>
    <x v="0"/>
    <x v="0"/>
    <x v="0"/>
    <s v="DK1_Large"/>
    <x v="0"/>
    <s v="GNR_ST_COAL_EXT_E-47"/>
    <x v="0"/>
    <x v="4"/>
    <n v="427.777777777778"/>
    <n v="156138.88888888899"/>
    <n v="562100"/>
  </r>
  <r>
    <x v="0"/>
    <x v="0"/>
    <x v="0"/>
    <x v="0"/>
    <x v="0"/>
    <s v="DK1_Large"/>
    <x v="0"/>
    <s v="GNR_ST_COAL_EXT_E-47"/>
    <x v="0"/>
    <x v="5"/>
    <n v="427.777777777778"/>
    <n v="156138.88888888899"/>
    <n v="562100"/>
  </r>
  <r>
    <x v="0"/>
    <x v="0"/>
    <x v="0"/>
    <x v="0"/>
    <x v="0"/>
    <s v="DK1_Large"/>
    <x v="0"/>
    <s v="GNR_ST_COAL_EXT_E-47"/>
    <x v="0"/>
    <x v="15"/>
    <n v="427.777777777778"/>
    <n v="156138.88888888899"/>
    <n v="562100"/>
  </r>
  <r>
    <x v="0"/>
    <x v="0"/>
    <x v="0"/>
    <x v="0"/>
    <x v="0"/>
    <s v="DK1_Large"/>
    <x v="0"/>
    <s v="GNR_ST_COAL_EXT_E-47"/>
    <x v="0"/>
    <x v="6"/>
    <n v="427.777777777778"/>
    <n v="156138.88888888899"/>
    <n v="562100"/>
  </r>
  <r>
    <x v="0"/>
    <x v="0"/>
    <x v="0"/>
    <x v="0"/>
    <x v="0"/>
    <s v="DK1_Large"/>
    <x v="0"/>
    <s v="GNR_ST_COAL_EXT_E-47"/>
    <x v="0"/>
    <x v="7"/>
    <n v="427.777777777778"/>
    <n v="156138.88888888899"/>
    <n v="562100"/>
  </r>
  <r>
    <x v="0"/>
    <x v="0"/>
    <x v="0"/>
    <x v="0"/>
    <x v="0"/>
    <s v="DK1_Large"/>
    <x v="0"/>
    <s v="GNR_ST_COAL_EXT_E-47"/>
    <x v="0"/>
    <x v="16"/>
    <n v="207.595668063516"/>
    <n v="75772.418843183506"/>
    <n v="272780.70783546101"/>
  </r>
  <r>
    <x v="0"/>
    <x v="0"/>
    <x v="0"/>
    <x v="0"/>
    <x v="0"/>
    <s v="DK1_Large"/>
    <x v="0"/>
    <s v="GNR_ST_COAL_EXT_E-47"/>
    <x v="0"/>
    <x v="17"/>
    <n v="427.777777777778"/>
    <n v="156138.88888888899"/>
    <n v="562100"/>
  </r>
  <r>
    <x v="0"/>
    <x v="0"/>
    <x v="0"/>
    <x v="0"/>
    <x v="0"/>
    <s v="DK1_Large"/>
    <x v="0"/>
    <s v="GNR_ST_COAL_EXT_E-47"/>
    <x v="0"/>
    <x v="18"/>
    <n v="427.777777777778"/>
    <n v="156138.88888888899"/>
    <n v="562100"/>
  </r>
  <r>
    <x v="0"/>
    <x v="0"/>
    <x v="0"/>
    <x v="0"/>
    <x v="0"/>
    <s v="DK1_Large"/>
    <x v="0"/>
    <s v="GNR_ST_COAL_EXT_E-47"/>
    <x v="0"/>
    <x v="19"/>
    <n v="167.741749715418"/>
    <n v="61225.738646127596"/>
    <n v="220412.65912605901"/>
  </r>
  <r>
    <x v="0"/>
    <x v="0"/>
    <x v="0"/>
    <x v="0"/>
    <x v="0"/>
    <s v="DK1_Large"/>
    <x v="0"/>
    <s v="GNR_ST_COAL_EXT_E-47"/>
    <x v="0"/>
    <x v="20"/>
    <n v="427.777777777778"/>
    <n v="156138.88888888899"/>
    <n v="562100"/>
  </r>
  <r>
    <x v="0"/>
    <x v="0"/>
    <x v="0"/>
    <x v="0"/>
    <x v="0"/>
    <s v="DK1_Large"/>
    <x v="0"/>
    <s v="GNR_ST_COAL_EXT_E-47"/>
    <x v="0"/>
    <x v="21"/>
    <n v="427.777777777778"/>
    <n v="156138.88888888899"/>
    <n v="562100"/>
  </r>
  <r>
    <x v="0"/>
    <x v="0"/>
    <x v="0"/>
    <x v="0"/>
    <x v="0"/>
    <s v="DK1_Large"/>
    <x v="0"/>
    <s v="GNR_ST_COAL_EXT_E-47"/>
    <x v="0"/>
    <x v="22"/>
    <n v="427.777777777778"/>
    <n v="156138.88888888899"/>
    <n v="562100"/>
  </r>
  <r>
    <x v="0"/>
    <x v="0"/>
    <x v="0"/>
    <x v="0"/>
    <x v="0"/>
    <s v="DK1_Large"/>
    <x v="1"/>
    <s v="GNR_HS_HEAT-E-100"/>
    <x v="0"/>
    <x v="1"/>
    <n v="431.03006110463701"/>
    <n v="157325.97230319199"/>
    <n v="566373.50029149302"/>
  </r>
  <r>
    <x v="0"/>
    <x v="0"/>
    <x v="0"/>
    <x v="0"/>
    <x v="0"/>
    <s v="DK1_Large"/>
    <x v="1"/>
    <s v="GNR_HS_HEAT-E-100"/>
    <x v="0"/>
    <x v="23"/>
    <n v="931.806234159734"/>
    <n v="340109.27546830301"/>
    <n v="1224393.39168589"/>
  </r>
  <r>
    <x v="0"/>
    <x v="0"/>
    <x v="0"/>
    <x v="0"/>
    <x v="0"/>
    <s v="DK1_Large"/>
    <x v="1"/>
    <s v="GNR_HS_HEAT-E-100"/>
    <x v="0"/>
    <x v="20"/>
    <n v="383.04334711094299"/>
    <n v="139810.821695494"/>
    <n v="503318.958103779"/>
  </r>
  <r>
    <x v="0"/>
    <x v="0"/>
    <x v="0"/>
    <x v="0"/>
    <x v="0"/>
    <s v="DK1_Large"/>
    <x v="1"/>
    <s v="GNR_HS_HEAT-E-100"/>
    <x v="0"/>
    <x v="21"/>
    <n v="333.22594917582001"/>
    <n v="121627.471449174"/>
    <n v="437858.89721702703"/>
  </r>
  <r>
    <x v="0"/>
    <x v="0"/>
    <x v="0"/>
    <x v="0"/>
    <x v="0"/>
    <s v="DK1_Large"/>
    <x v="1"/>
    <s v="GNR_HS_HEAT-E-100"/>
    <x v="0"/>
    <x v="22"/>
    <n v="292.66035371436197"/>
    <n v="106821.029105742"/>
    <n v="384555.70478067198"/>
  </r>
  <r>
    <x v="0"/>
    <x v="0"/>
    <x v="0"/>
    <x v="0"/>
    <x v="0"/>
    <s v="DK1_Large"/>
    <x v="2"/>
    <s v="GNR_EH_HEAT"/>
    <x v="0"/>
    <x v="9"/>
    <n v="174.14"/>
    <n v="63561.1"/>
    <n v="228819.96"/>
  </r>
  <r>
    <x v="0"/>
    <x v="0"/>
    <x v="0"/>
    <x v="0"/>
    <x v="0"/>
    <s v="DK1_Large"/>
    <x v="2"/>
    <s v="GNR_EH_HEAT"/>
    <x v="0"/>
    <x v="10"/>
    <n v="174.14"/>
    <n v="63561.1"/>
    <n v="228819.96"/>
  </r>
  <r>
    <x v="0"/>
    <x v="0"/>
    <x v="0"/>
    <x v="0"/>
    <x v="0"/>
    <s v="DK1_Large"/>
    <x v="2"/>
    <s v="GNR_EH_HEAT"/>
    <x v="0"/>
    <x v="11"/>
    <n v="174.14"/>
    <n v="63561.1"/>
    <n v="228819.96"/>
  </r>
  <r>
    <x v="0"/>
    <x v="0"/>
    <x v="0"/>
    <x v="0"/>
    <x v="0"/>
    <s v="DK1_Large"/>
    <x v="2"/>
    <s v="GNR_EH_HEAT"/>
    <x v="0"/>
    <x v="12"/>
    <n v="174.14"/>
    <n v="63561.1"/>
    <n v="228819.96"/>
  </r>
  <r>
    <x v="0"/>
    <x v="0"/>
    <x v="0"/>
    <x v="0"/>
    <x v="0"/>
    <s v="DK1_Large"/>
    <x v="2"/>
    <s v="GNR_EH_HEAT"/>
    <x v="0"/>
    <x v="13"/>
    <n v="174.14"/>
    <n v="63561.1"/>
    <n v="228819.96"/>
  </r>
  <r>
    <x v="0"/>
    <x v="0"/>
    <x v="0"/>
    <x v="0"/>
    <x v="0"/>
    <s v="DK1_Large"/>
    <x v="2"/>
    <s v="GNR_EH_HEAT"/>
    <x v="0"/>
    <x v="0"/>
    <n v="174.14"/>
    <n v="63561.1"/>
    <n v="228819.96"/>
  </r>
  <r>
    <x v="0"/>
    <x v="0"/>
    <x v="0"/>
    <x v="0"/>
    <x v="0"/>
    <s v="DK1_Large"/>
    <x v="2"/>
    <s v="GNR_EH_HEAT"/>
    <x v="0"/>
    <x v="14"/>
    <n v="174.14"/>
    <n v="63561.1"/>
    <n v="228819.96"/>
  </r>
  <r>
    <x v="0"/>
    <x v="0"/>
    <x v="0"/>
    <x v="0"/>
    <x v="0"/>
    <s v="DK1_Large"/>
    <x v="2"/>
    <s v="GNR_EH_HEAT"/>
    <x v="0"/>
    <x v="1"/>
    <n v="174.14"/>
    <n v="63561.1"/>
    <n v="228819.96"/>
  </r>
  <r>
    <x v="0"/>
    <x v="0"/>
    <x v="0"/>
    <x v="0"/>
    <x v="0"/>
    <s v="DK1_Large"/>
    <x v="2"/>
    <s v="GNR_EH_HEAT"/>
    <x v="0"/>
    <x v="23"/>
    <n v="174.14"/>
    <n v="63561.1"/>
    <n v="228819.96"/>
  </r>
  <r>
    <x v="0"/>
    <x v="0"/>
    <x v="0"/>
    <x v="0"/>
    <x v="0"/>
    <s v="DK1_Large"/>
    <x v="2"/>
    <s v="GNR_EH_HEAT"/>
    <x v="0"/>
    <x v="2"/>
    <n v="174.14"/>
    <n v="63561.1"/>
    <n v="228819.96"/>
  </r>
  <r>
    <x v="0"/>
    <x v="0"/>
    <x v="0"/>
    <x v="0"/>
    <x v="0"/>
    <s v="DK1_Large"/>
    <x v="2"/>
    <s v="GNR_EH_HEAT"/>
    <x v="0"/>
    <x v="3"/>
    <n v="174.14"/>
    <n v="63561.1"/>
    <n v="228819.96"/>
  </r>
  <r>
    <x v="0"/>
    <x v="0"/>
    <x v="0"/>
    <x v="0"/>
    <x v="0"/>
    <s v="DK1_Large"/>
    <x v="2"/>
    <s v="GNR_EH_HEAT"/>
    <x v="0"/>
    <x v="4"/>
    <n v="174.14"/>
    <n v="63561.1"/>
    <n v="228819.96"/>
  </r>
  <r>
    <x v="0"/>
    <x v="0"/>
    <x v="0"/>
    <x v="0"/>
    <x v="0"/>
    <s v="DK1_Large"/>
    <x v="2"/>
    <s v="GNR_EH_HEAT"/>
    <x v="0"/>
    <x v="5"/>
    <n v="174.14"/>
    <n v="63561.1"/>
    <n v="228819.96"/>
  </r>
  <r>
    <x v="0"/>
    <x v="0"/>
    <x v="0"/>
    <x v="0"/>
    <x v="0"/>
    <s v="DK1_Large"/>
    <x v="2"/>
    <s v="GNR_EH_HEAT"/>
    <x v="0"/>
    <x v="15"/>
    <n v="174.14"/>
    <n v="63561.1"/>
    <n v="228819.96"/>
  </r>
  <r>
    <x v="0"/>
    <x v="0"/>
    <x v="0"/>
    <x v="0"/>
    <x v="0"/>
    <s v="DK1_Large"/>
    <x v="2"/>
    <s v="GNR_EH_HEAT"/>
    <x v="0"/>
    <x v="6"/>
    <n v="174.14"/>
    <n v="63561.1"/>
    <n v="228819.96"/>
  </r>
  <r>
    <x v="0"/>
    <x v="0"/>
    <x v="0"/>
    <x v="0"/>
    <x v="0"/>
    <s v="DK1_Large"/>
    <x v="2"/>
    <s v="GNR_EH_HEAT"/>
    <x v="0"/>
    <x v="7"/>
    <n v="174.14"/>
    <n v="63561.1"/>
    <n v="228819.96"/>
  </r>
  <r>
    <x v="0"/>
    <x v="0"/>
    <x v="0"/>
    <x v="0"/>
    <x v="0"/>
    <s v="DK1_Large"/>
    <x v="2"/>
    <s v="GNR_EH_HEAT"/>
    <x v="0"/>
    <x v="8"/>
    <n v="174.14"/>
    <n v="63561.1"/>
    <n v="228819.96"/>
  </r>
  <r>
    <x v="0"/>
    <x v="0"/>
    <x v="0"/>
    <x v="0"/>
    <x v="0"/>
    <s v="DK1_Large"/>
    <x v="2"/>
    <s v="GNR_EH_HEAT"/>
    <x v="0"/>
    <x v="16"/>
    <n v="174.14"/>
    <n v="63561.1"/>
    <n v="228819.96"/>
  </r>
  <r>
    <x v="0"/>
    <x v="0"/>
    <x v="0"/>
    <x v="0"/>
    <x v="0"/>
    <s v="DK1_Large"/>
    <x v="2"/>
    <s v="GNR_EH_HEAT"/>
    <x v="0"/>
    <x v="17"/>
    <n v="174.14"/>
    <n v="63561.1"/>
    <n v="228819.96"/>
  </r>
  <r>
    <x v="0"/>
    <x v="0"/>
    <x v="0"/>
    <x v="0"/>
    <x v="0"/>
    <s v="DK1_Large"/>
    <x v="2"/>
    <s v="GNR_EH_HEAT"/>
    <x v="0"/>
    <x v="18"/>
    <n v="174.14"/>
    <n v="63561.1"/>
    <n v="228819.96"/>
  </r>
  <r>
    <x v="0"/>
    <x v="0"/>
    <x v="0"/>
    <x v="0"/>
    <x v="0"/>
    <s v="DK1_Large"/>
    <x v="2"/>
    <s v="GNR_EH_HEAT"/>
    <x v="0"/>
    <x v="19"/>
    <n v="174.14"/>
    <n v="63561.1"/>
    <n v="228819.96"/>
  </r>
  <r>
    <x v="0"/>
    <x v="0"/>
    <x v="0"/>
    <x v="0"/>
    <x v="0"/>
    <s v="DK1_Large"/>
    <x v="2"/>
    <s v="GNR_EH_HEAT"/>
    <x v="0"/>
    <x v="20"/>
    <n v="174.14"/>
    <n v="63561.1"/>
    <n v="228819.96"/>
  </r>
  <r>
    <x v="0"/>
    <x v="0"/>
    <x v="0"/>
    <x v="0"/>
    <x v="0"/>
    <s v="DK1_Large"/>
    <x v="2"/>
    <s v="GNR_EH_HEAT"/>
    <x v="0"/>
    <x v="21"/>
    <n v="174.14"/>
    <n v="63561.1"/>
    <n v="228819.96"/>
  </r>
  <r>
    <x v="0"/>
    <x v="0"/>
    <x v="0"/>
    <x v="0"/>
    <x v="0"/>
    <s v="DK1_Large"/>
    <x v="2"/>
    <s v="GNR_EH_HEAT"/>
    <x v="0"/>
    <x v="22"/>
    <n v="174.14"/>
    <n v="63561.1"/>
    <n v="228819.96"/>
  </r>
  <r>
    <x v="0"/>
    <x v="0"/>
    <x v="0"/>
    <x v="0"/>
    <x v="0"/>
    <s v="DK1_MedSmall"/>
    <x v="3"/>
    <s v="GNR_BO_ELEC_E-100"/>
    <x v="0"/>
    <x v="21"/>
    <n v="1"/>
    <n v="365"/>
    <n v="1314"/>
  </r>
  <r>
    <x v="0"/>
    <x v="0"/>
    <x v="0"/>
    <x v="0"/>
    <x v="0"/>
    <s v="DK1_MedSmall"/>
    <x v="3"/>
    <s v="GNR_BO_ELEC_E-100"/>
    <x v="0"/>
    <x v="22"/>
    <n v="1"/>
    <n v="365"/>
    <n v="1314"/>
  </r>
  <r>
    <x v="0"/>
    <x v="0"/>
    <x v="0"/>
    <x v="0"/>
    <x v="0"/>
    <s v="DK1_MedSmall"/>
    <x v="1"/>
    <s v="GNR_HS_HEAT-E-100"/>
    <x v="0"/>
    <x v="3"/>
    <n v="30.312638154354001"/>
    <n v="11064.112926339199"/>
    <n v="39830.806534821102"/>
  </r>
  <r>
    <x v="0"/>
    <x v="0"/>
    <x v="0"/>
    <x v="0"/>
    <x v="0"/>
    <s v="DK1_MedSmall"/>
    <x v="1"/>
    <s v="GNR_HS_HEAT-E-100"/>
    <x v="0"/>
    <x v="4"/>
    <n v="29.113295558977601"/>
    <n v="10626.352879026799"/>
    <n v="38254.870364496601"/>
  </r>
  <r>
    <x v="0"/>
    <x v="0"/>
    <x v="0"/>
    <x v="0"/>
    <x v="0"/>
    <s v="DK1_MedSmall"/>
    <x v="1"/>
    <s v="GNR_HS_HEAT-E-100"/>
    <x v="0"/>
    <x v="5"/>
    <n v="21.650719409968701"/>
    <n v="7902.5125846385899"/>
    <n v="28449.045304698899"/>
  </r>
  <r>
    <x v="0"/>
    <x v="0"/>
    <x v="0"/>
    <x v="0"/>
    <x v="0"/>
    <s v="DK1_MedSmall"/>
    <x v="1"/>
    <s v="GNR_HS_HEAT-E-100"/>
    <x v="0"/>
    <x v="15"/>
    <n v="16.4535681633376"/>
    <n v="6005.5523796182297"/>
    <n v="21619.988566625601"/>
  </r>
  <r>
    <x v="0"/>
    <x v="0"/>
    <x v="0"/>
    <x v="0"/>
    <x v="0"/>
    <s v="DK1_MedSmall"/>
    <x v="1"/>
    <s v="GNR_HS_HEAT-E-100"/>
    <x v="0"/>
    <x v="6"/>
    <n v="18.585732777340102"/>
    <n v="6783.7924637291499"/>
    <n v="24421.652869424899"/>
  </r>
  <r>
    <x v="0"/>
    <x v="0"/>
    <x v="0"/>
    <x v="0"/>
    <x v="0"/>
    <s v="DK1_MedSmall"/>
    <x v="1"/>
    <s v="GNR_HS_HEAT-E-100"/>
    <x v="0"/>
    <x v="7"/>
    <n v="20.584637102967498"/>
    <n v="7513.3925425831403"/>
    <n v="27048.213153299301"/>
  </r>
  <r>
    <x v="0"/>
    <x v="0"/>
    <x v="0"/>
    <x v="0"/>
    <x v="0"/>
    <s v="DK1_MedSmall"/>
    <x v="1"/>
    <s v="GNR_HS_HEAT-E-100"/>
    <x v="0"/>
    <x v="8"/>
    <n v="21.783979698343899"/>
    <n v="7951.1525898955297"/>
    <n v="28624.1493236239"/>
  </r>
  <r>
    <x v="0"/>
    <x v="0"/>
    <x v="0"/>
    <x v="0"/>
    <x v="0"/>
    <s v="DK1_MedSmall"/>
    <x v="1"/>
    <s v="GNR_HS_HEAT-E-100"/>
    <x v="0"/>
    <x v="16"/>
    <n v="25.382007484473199"/>
    <n v="9264.4327318327105"/>
    <n v="33351.957834597699"/>
  </r>
  <r>
    <x v="0"/>
    <x v="0"/>
    <x v="0"/>
    <x v="0"/>
    <x v="0"/>
    <s v="DK1_MedSmall"/>
    <x v="1"/>
    <s v="GNR_HS_HEAT-E-100"/>
    <x v="0"/>
    <x v="17"/>
    <n v="24.848966330972502"/>
    <n v="9069.8727108049807"/>
    <n v="32651.5417588979"/>
  </r>
  <r>
    <x v="0"/>
    <x v="0"/>
    <x v="0"/>
    <x v="0"/>
    <x v="0"/>
    <s v="DK1_MedSmall"/>
    <x v="1"/>
    <s v="GNR_HS_HEAT-E-100"/>
    <x v="0"/>
    <x v="18"/>
    <n v="19.385294507591102"/>
    <n v="7075.63249527074"/>
    <n v="25472.276982974701"/>
  </r>
  <r>
    <x v="0"/>
    <x v="0"/>
    <x v="0"/>
    <x v="0"/>
    <x v="0"/>
    <s v="DK1_MedSmall"/>
    <x v="1"/>
    <s v="GNR_HS_HEAT-E-100"/>
    <x v="0"/>
    <x v="19"/>
    <n v="9.1242523027039404"/>
    <n v="3330.3520904869401"/>
    <n v="11989.267525753001"/>
  </r>
  <r>
    <x v="0"/>
    <x v="0"/>
    <x v="0"/>
    <x v="0"/>
    <x v="0"/>
    <s v="DK1_MedSmall"/>
    <x v="4"/>
    <s v="GNR_BO_MSW_E-100"/>
    <x v="0"/>
    <x v="9"/>
    <n v="6.5"/>
    <n v="2372.5"/>
    <n v="8541"/>
  </r>
  <r>
    <x v="0"/>
    <x v="0"/>
    <x v="0"/>
    <x v="0"/>
    <x v="0"/>
    <s v="DK1_MedSmall"/>
    <x v="4"/>
    <s v="GNR_BO_MSW_E-100"/>
    <x v="0"/>
    <x v="10"/>
    <n v="6.5"/>
    <n v="2372.5"/>
    <n v="8541"/>
  </r>
  <r>
    <x v="0"/>
    <x v="0"/>
    <x v="0"/>
    <x v="0"/>
    <x v="0"/>
    <s v="DK1_MedSmall"/>
    <x v="4"/>
    <s v="GNR_BO_MSW_E-100"/>
    <x v="0"/>
    <x v="11"/>
    <n v="6.5"/>
    <n v="2372.5"/>
    <n v="8541"/>
  </r>
  <r>
    <x v="0"/>
    <x v="0"/>
    <x v="0"/>
    <x v="0"/>
    <x v="0"/>
    <s v="DK1_MedSmall"/>
    <x v="4"/>
    <s v="GNR_BO_MSW_E-100"/>
    <x v="0"/>
    <x v="12"/>
    <n v="6.5"/>
    <n v="2372.5"/>
    <n v="8541"/>
  </r>
  <r>
    <x v="0"/>
    <x v="0"/>
    <x v="0"/>
    <x v="0"/>
    <x v="0"/>
    <s v="DK1_MedSmall"/>
    <x v="4"/>
    <s v="GNR_BO_MSW_E-100"/>
    <x v="0"/>
    <x v="13"/>
    <n v="6.5"/>
    <n v="2372.5"/>
    <n v="8541"/>
  </r>
  <r>
    <x v="0"/>
    <x v="0"/>
    <x v="0"/>
    <x v="0"/>
    <x v="0"/>
    <s v="DK1_MedSmall"/>
    <x v="4"/>
    <s v="GNR_BO_MSW_E-100"/>
    <x v="0"/>
    <x v="0"/>
    <n v="6.5"/>
    <n v="2372.5"/>
    <n v="8541"/>
  </r>
  <r>
    <x v="0"/>
    <x v="0"/>
    <x v="0"/>
    <x v="0"/>
    <x v="0"/>
    <s v="DK1_MedSmall"/>
    <x v="4"/>
    <s v="GNR_BO_MSW_E-100"/>
    <x v="0"/>
    <x v="14"/>
    <n v="6.5"/>
    <n v="2372.5"/>
    <n v="8541"/>
  </r>
  <r>
    <x v="0"/>
    <x v="0"/>
    <x v="0"/>
    <x v="0"/>
    <x v="0"/>
    <s v="DK1_MedSmall"/>
    <x v="4"/>
    <s v="GNR_BO_MSW_E-100"/>
    <x v="0"/>
    <x v="1"/>
    <n v="6.5"/>
    <n v="2372.5"/>
    <n v="8541"/>
  </r>
  <r>
    <x v="0"/>
    <x v="0"/>
    <x v="0"/>
    <x v="0"/>
    <x v="0"/>
    <s v="DK1_MedSmall"/>
    <x v="4"/>
    <s v="GNR_BO_MSW_E-100"/>
    <x v="0"/>
    <x v="23"/>
    <n v="6.5"/>
    <n v="2372.5"/>
    <n v="8541"/>
  </r>
  <r>
    <x v="0"/>
    <x v="0"/>
    <x v="0"/>
    <x v="0"/>
    <x v="0"/>
    <s v="DK1_MedSmall"/>
    <x v="4"/>
    <s v="GNR_BO_MSW_E-100"/>
    <x v="0"/>
    <x v="2"/>
    <n v="6.5"/>
    <n v="2372.5"/>
    <n v="8541"/>
  </r>
  <r>
    <x v="0"/>
    <x v="0"/>
    <x v="0"/>
    <x v="0"/>
    <x v="0"/>
    <s v="DK1_MedSmall"/>
    <x v="4"/>
    <s v="GNR_BO_MSW_E-100"/>
    <x v="0"/>
    <x v="3"/>
    <n v="6.5"/>
    <n v="2372.5"/>
    <n v="8541"/>
  </r>
  <r>
    <x v="0"/>
    <x v="0"/>
    <x v="0"/>
    <x v="0"/>
    <x v="0"/>
    <s v="DK1_MedSmall"/>
    <x v="4"/>
    <s v="GNR_BO_MSW_E-100"/>
    <x v="0"/>
    <x v="4"/>
    <n v="6.5"/>
    <n v="2372.5"/>
    <n v="8541"/>
  </r>
  <r>
    <x v="0"/>
    <x v="0"/>
    <x v="0"/>
    <x v="0"/>
    <x v="0"/>
    <s v="DK1_MedSmall"/>
    <x v="4"/>
    <s v="GNR_BO_MSW_E-100"/>
    <x v="0"/>
    <x v="5"/>
    <n v="6.5"/>
    <n v="2372.5"/>
    <n v="8541"/>
  </r>
  <r>
    <x v="0"/>
    <x v="0"/>
    <x v="0"/>
    <x v="0"/>
    <x v="0"/>
    <s v="DK1_MedSmall"/>
    <x v="4"/>
    <s v="GNR_BO_MSW_E-100"/>
    <x v="0"/>
    <x v="15"/>
    <n v="6.5"/>
    <n v="2372.5"/>
    <n v="8541"/>
  </r>
  <r>
    <x v="0"/>
    <x v="0"/>
    <x v="0"/>
    <x v="0"/>
    <x v="0"/>
    <s v="DK1_MedSmall"/>
    <x v="4"/>
    <s v="GNR_BO_MSW_E-100"/>
    <x v="0"/>
    <x v="6"/>
    <n v="6.5"/>
    <n v="2372.5"/>
    <n v="8541"/>
  </r>
  <r>
    <x v="0"/>
    <x v="0"/>
    <x v="0"/>
    <x v="0"/>
    <x v="0"/>
    <s v="DK1_MedSmall"/>
    <x v="4"/>
    <s v="GNR_BO_MSW_E-100"/>
    <x v="0"/>
    <x v="7"/>
    <n v="6.5"/>
    <n v="2372.5"/>
    <n v="8541"/>
  </r>
  <r>
    <x v="0"/>
    <x v="0"/>
    <x v="0"/>
    <x v="0"/>
    <x v="0"/>
    <s v="DK1_MedSmall"/>
    <x v="4"/>
    <s v="GNR_BO_MSW_E-100"/>
    <x v="0"/>
    <x v="8"/>
    <n v="6.5"/>
    <n v="2372.5"/>
    <n v="8541"/>
  </r>
  <r>
    <x v="0"/>
    <x v="0"/>
    <x v="0"/>
    <x v="0"/>
    <x v="0"/>
    <s v="DK1_MedSmall"/>
    <x v="4"/>
    <s v="GNR_BO_MSW_E-100"/>
    <x v="0"/>
    <x v="16"/>
    <n v="6.5"/>
    <n v="2372.5"/>
    <n v="8541"/>
  </r>
  <r>
    <x v="0"/>
    <x v="0"/>
    <x v="0"/>
    <x v="0"/>
    <x v="0"/>
    <s v="DK1_MedSmall"/>
    <x v="4"/>
    <s v="GNR_BO_MSW_E-100"/>
    <x v="0"/>
    <x v="17"/>
    <n v="6.5"/>
    <n v="2372.5"/>
    <n v="8541"/>
  </r>
  <r>
    <x v="0"/>
    <x v="0"/>
    <x v="0"/>
    <x v="0"/>
    <x v="0"/>
    <s v="DK1_MedSmall"/>
    <x v="4"/>
    <s v="GNR_BO_MSW_E-100"/>
    <x v="0"/>
    <x v="18"/>
    <n v="6.5"/>
    <n v="2372.5"/>
    <n v="8541"/>
  </r>
  <r>
    <x v="0"/>
    <x v="0"/>
    <x v="0"/>
    <x v="0"/>
    <x v="0"/>
    <s v="DK1_MedSmall"/>
    <x v="4"/>
    <s v="GNR_BO_MSW_E-100"/>
    <x v="0"/>
    <x v="19"/>
    <n v="6.5"/>
    <n v="2372.5"/>
    <n v="8541"/>
  </r>
  <r>
    <x v="0"/>
    <x v="0"/>
    <x v="0"/>
    <x v="0"/>
    <x v="0"/>
    <s v="DK1_MedSmall"/>
    <x v="4"/>
    <s v="GNR_BO_MSW_E-100"/>
    <x v="0"/>
    <x v="20"/>
    <n v="6.5"/>
    <n v="2372.5"/>
    <n v="8541"/>
  </r>
  <r>
    <x v="0"/>
    <x v="0"/>
    <x v="0"/>
    <x v="0"/>
    <x v="0"/>
    <s v="DK1_MedSmall"/>
    <x v="4"/>
    <s v="GNR_BO_MSW_E-100"/>
    <x v="0"/>
    <x v="21"/>
    <n v="6.5"/>
    <n v="2372.5"/>
    <n v="8541"/>
  </r>
  <r>
    <x v="0"/>
    <x v="0"/>
    <x v="0"/>
    <x v="0"/>
    <x v="0"/>
    <s v="DK1_MedSmall"/>
    <x v="4"/>
    <s v="GNR_BO_MSW_E-100"/>
    <x v="0"/>
    <x v="22"/>
    <n v="6.5"/>
    <n v="2372.5"/>
    <n v="8541"/>
  </r>
  <r>
    <x v="0"/>
    <x v="0"/>
    <x v="0"/>
    <x v="0"/>
    <x v="0"/>
    <s v="DK1_MedSmall"/>
    <x v="4"/>
    <s v="GNR_ST_MSW_BP_E-17"/>
    <x v="0"/>
    <x v="9"/>
    <n v="8.1146681458633108"/>
    <n v="2961.8538732401098"/>
    <n v="10662.6739436644"/>
  </r>
  <r>
    <x v="0"/>
    <x v="0"/>
    <x v="0"/>
    <x v="0"/>
    <x v="0"/>
    <s v="DK1_MedSmall"/>
    <x v="4"/>
    <s v="GNR_ST_MSW_BP_E-17"/>
    <x v="0"/>
    <x v="10"/>
    <n v="8.1146681458633108"/>
    <n v="2961.8538732401098"/>
    <n v="10662.6739436644"/>
  </r>
  <r>
    <x v="0"/>
    <x v="0"/>
    <x v="0"/>
    <x v="0"/>
    <x v="0"/>
    <s v="DK1_MedSmall"/>
    <x v="4"/>
    <s v="GNR_ST_MSW_BP_E-17"/>
    <x v="0"/>
    <x v="11"/>
    <n v="8.1146681458633108"/>
    <n v="2961.8538732401098"/>
    <n v="10662.6739436644"/>
  </r>
  <r>
    <x v="0"/>
    <x v="0"/>
    <x v="0"/>
    <x v="0"/>
    <x v="0"/>
    <s v="DK1_MedSmall"/>
    <x v="4"/>
    <s v="GNR_ST_MSW_BP_E-17"/>
    <x v="0"/>
    <x v="12"/>
    <n v="8.1146681458633108"/>
    <n v="2961.8538732401098"/>
    <n v="10662.6739436644"/>
  </r>
  <r>
    <x v="0"/>
    <x v="0"/>
    <x v="0"/>
    <x v="0"/>
    <x v="0"/>
    <s v="DK1_MedSmall"/>
    <x v="4"/>
    <s v="GNR_ST_MSW_BP_E-17"/>
    <x v="0"/>
    <x v="13"/>
    <n v="8.1146681458633108"/>
    <n v="2961.8538732401098"/>
    <n v="10662.6739436644"/>
  </r>
  <r>
    <x v="0"/>
    <x v="0"/>
    <x v="0"/>
    <x v="0"/>
    <x v="0"/>
    <s v="DK1_MedSmall"/>
    <x v="4"/>
    <s v="GNR_ST_MSW_BP_E-17"/>
    <x v="0"/>
    <x v="0"/>
    <n v="8.1146681458633108"/>
    <n v="2961.8538732401098"/>
    <n v="10662.6739436644"/>
  </r>
  <r>
    <x v="0"/>
    <x v="0"/>
    <x v="0"/>
    <x v="0"/>
    <x v="0"/>
    <s v="DK1_MedSmall"/>
    <x v="4"/>
    <s v="GNR_ST_MSW_BP_E-17"/>
    <x v="0"/>
    <x v="14"/>
    <n v="8.1146681458633108"/>
    <n v="2961.8538732401098"/>
    <n v="10662.6739436644"/>
  </r>
  <r>
    <x v="0"/>
    <x v="0"/>
    <x v="0"/>
    <x v="0"/>
    <x v="0"/>
    <s v="DK1_MedSmall"/>
    <x v="4"/>
    <s v="GNR_ST_MSW_BP_E-17"/>
    <x v="0"/>
    <x v="1"/>
    <n v="8.1146681458633108"/>
    <n v="2961.8538732401098"/>
    <n v="10662.6739436644"/>
  </r>
  <r>
    <x v="0"/>
    <x v="0"/>
    <x v="0"/>
    <x v="0"/>
    <x v="0"/>
    <s v="DK1_MedSmall"/>
    <x v="4"/>
    <s v="GNR_ST_MSW_BP_E-17"/>
    <x v="0"/>
    <x v="23"/>
    <n v="8.1146681458633108"/>
    <n v="2961.8538732401098"/>
    <n v="10662.6739436644"/>
  </r>
  <r>
    <x v="0"/>
    <x v="0"/>
    <x v="0"/>
    <x v="0"/>
    <x v="0"/>
    <s v="DK1_MedSmall"/>
    <x v="4"/>
    <s v="GNR_ST_MSW_BP_E-17"/>
    <x v="0"/>
    <x v="2"/>
    <n v="8.1146681458633108"/>
    <n v="2961.8538732401098"/>
    <n v="10662.6739436644"/>
  </r>
  <r>
    <x v="0"/>
    <x v="0"/>
    <x v="0"/>
    <x v="0"/>
    <x v="0"/>
    <s v="DK1_MedSmall"/>
    <x v="4"/>
    <s v="GNR_ST_MSW_BP_E-17"/>
    <x v="0"/>
    <x v="3"/>
    <n v="8.1146681458633108"/>
    <n v="2961.8538732401098"/>
    <n v="10662.6739436644"/>
  </r>
  <r>
    <x v="0"/>
    <x v="0"/>
    <x v="0"/>
    <x v="0"/>
    <x v="0"/>
    <s v="DK1_MedSmall"/>
    <x v="4"/>
    <s v="GNR_ST_MSW_BP_E-17"/>
    <x v="0"/>
    <x v="4"/>
    <n v="8.1146681458633108"/>
    <n v="2961.8538732401098"/>
    <n v="10662.6739436644"/>
  </r>
  <r>
    <x v="0"/>
    <x v="0"/>
    <x v="0"/>
    <x v="0"/>
    <x v="0"/>
    <s v="DK1_MedSmall"/>
    <x v="4"/>
    <s v="GNR_ST_MSW_BP_E-17"/>
    <x v="0"/>
    <x v="5"/>
    <n v="8.1146681458633108"/>
    <n v="2961.8538732401098"/>
    <n v="10662.6739436644"/>
  </r>
  <r>
    <x v="0"/>
    <x v="0"/>
    <x v="0"/>
    <x v="0"/>
    <x v="0"/>
    <s v="DK1_MedSmall"/>
    <x v="4"/>
    <s v="GNR_ST_MSW_BP_E-17"/>
    <x v="0"/>
    <x v="15"/>
    <n v="8.1146681458633108"/>
    <n v="2961.8538732401098"/>
    <n v="10662.6739436644"/>
  </r>
  <r>
    <x v="0"/>
    <x v="0"/>
    <x v="0"/>
    <x v="0"/>
    <x v="0"/>
    <s v="DK1_MedSmall"/>
    <x v="4"/>
    <s v="GNR_ST_MSW_BP_E-17"/>
    <x v="0"/>
    <x v="6"/>
    <n v="8.1146681458633108"/>
    <n v="2961.8538732401098"/>
    <n v="10662.6739436644"/>
  </r>
  <r>
    <x v="0"/>
    <x v="0"/>
    <x v="0"/>
    <x v="0"/>
    <x v="0"/>
    <s v="DK1_MedSmall"/>
    <x v="4"/>
    <s v="GNR_ST_MSW_BP_E-17"/>
    <x v="0"/>
    <x v="7"/>
    <n v="8.1146681458633108"/>
    <n v="2961.8538732401098"/>
    <n v="10662.6739436644"/>
  </r>
  <r>
    <x v="0"/>
    <x v="0"/>
    <x v="0"/>
    <x v="0"/>
    <x v="0"/>
    <s v="DK1_MedSmall"/>
    <x v="4"/>
    <s v="GNR_ST_MSW_BP_E-17"/>
    <x v="0"/>
    <x v="8"/>
    <n v="8.1146681458633108"/>
    <n v="2961.8538732401098"/>
    <n v="10662.6739436644"/>
  </r>
  <r>
    <x v="0"/>
    <x v="0"/>
    <x v="0"/>
    <x v="0"/>
    <x v="0"/>
    <s v="DK1_MedSmall"/>
    <x v="4"/>
    <s v="GNR_ST_MSW_BP_E-17"/>
    <x v="0"/>
    <x v="16"/>
    <n v="8.1146681458633108"/>
    <n v="2961.8538732401098"/>
    <n v="10662.6739436644"/>
  </r>
  <r>
    <x v="0"/>
    <x v="0"/>
    <x v="0"/>
    <x v="0"/>
    <x v="0"/>
    <s v="DK1_MedSmall"/>
    <x v="4"/>
    <s v="GNR_ST_MSW_BP_E-17"/>
    <x v="0"/>
    <x v="17"/>
    <n v="8.1146681458633108"/>
    <n v="2961.8538732401098"/>
    <n v="10662.6739436644"/>
  </r>
  <r>
    <x v="0"/>
    <x v="0"/>
    <x v="0"/>
    <x v="0"/>
    <x v="0"/>
    <s v="DK1_MedSmall"/>
    <x v="4"/>
    <s v="GNR_ST_MSW_BP_E-17"/>
    <x v="0"/>
    <x v="18"/>
    <n v="8.1146681458633108"/>
    <n v="2961.8538732401098"/>
    <n v="10662.6739436644"/>
  </r>
  <r>
    <x v="0"/>
    <x v="0"/>
    <x v="0"/>
    <x v="0"/>
    <x v="0"/>
    <s v="DK1_MedSmall"/>
    <x v="4"/>
    <s v="GNR_ST_MSW_BP_E-17"/>
    <x v="0"/>
    <x v="19"/>
    <n v="8.1146681458633108"/>
    <n v="2961.8538732401098"/>
    <n v="10662.6739436644"/>
  </r>
  <r>
    <x v="0"/>
    <x v="0"/>
    <x v="0"/>
    <x v="0"/>
    <x v="0"/>
    <s v="DK1_MedSmall"/>
    <x v="4"/>
    <s v="GNR_ST_MSW_BP_E-17"/>
    <x v="0"/>
    <x v="20"/>
    <n v="8.1146681458633108"/>
    <n v="2961.8538732401098"/>
    <n v="10662.6739436644"/>
  </r>
  <r>
    <x v="0"/>
    <x v="0"/>
    <x v="0"/>
    <x v="0"/>
    <x v="0"/>
    <s v="DK1_MedSmall"/>
    <x v="4"/>
    <s v="GNR_ST_MSW_BP_E-17"/>
    <x v="0"/>
    <x v="21"/>
    <n v="8.1146681458633108"/>
    <n v="2961.8538732401098"/>
    <n v="10662.6739436644"/>
  </r>
  <r>
    <x v="0"/>
    <x v="0"/>
    <x v="0"/>
    <x v="0"/>
    <x v="0"/>
    <s v="DK1_MedSmall"/>
    <x v="4"/>
    <s v="GNR_ST_MSW_BP_E-17"/>
    <x v="0"/>
    <x v="22"/>
    <n v="8.1146681458633108"/>
    <n v="2961.8538732401098"/>
    <n v="10662.6739436644"/>
  </r>
  <r>
    <x v="0"/>
    <x v="0"/>
    <x v="0"/>
    <x v="0"/>
    <x v="0"/>
    <s v="DK1_MedSmall"/>
    <x v="4"/>
    <s v="GNR_ST_MSW_BP_E-20"/>
    <x v="0"/>
    <x v="9"/>
    <n v="11.157668700562001"/>
    <n v="4072.5490757051498"/>
    <n v="14661.1766725385"/>
  </r>
  <r>
    <x v="0"/>
    <x v="0"/>
    <x v="0"/>
    <x v="0"/>
    <x v="0"/>
    <s v="DK1_MedSmall"/>
    <x v="4"/>
    <s v="GNR_ST_MSW_BP_E-20"/>
    <x v="0"/>
    <x v="10"/>
    <n v="11.157668700562001"/>
    <n v="4072.5490757051498"/>
    <n v="14661.1766725385"/>
  </r>
  <r>
    <x v="0"/>
    <x v="0"/>
    <x v="0"/>
    <x v="0"/>
    <x v="0"/>
    <s v="DK1_MedSmall"/>
    <x v="4"/>
    <s v="GNR_ST_MSW_BP_E-20"/>
    <x v="0"/>
    <x v="11"/>
    <n v="11.157668700562001"/>
    <n v="4072.5490757051498"/>
    <n v="14661.1766725385"/>
  </r>
  <r>
    <x v="0"/>
    <x v="0"/>
    <x v="0"/>
    <x v="0"/>
    <x v="0"/>
    <s v="DK1_MedSmall"/>
    <x v="4"/>
    <s v="GNR_ST_MSW_BP_E-20"/>
    <x v="0"/>
    <x v="12"/>
    <n v="11.157668700562001"/>
    <n v="4072.5490757051498"/>
    <n v="14661.1766725385"/>
  </r>
  <r>
    <x v="0"/>
    <x v="0"/>
    <x v="0"/>
    <x v="0"/>
    <x v="0"/>
    <s v="DK1_MedSmall"/>
    <x v="4"/>
    <s v="GNR_ST_MSW_BP_E-20"/>
    <x v="0"/>
    <x v="13"/>
    <n v="11.157668700562001"/>
    <n v="4072.5490757051498"/>
    <n v="14661.1766725385"/>
  </r>
  <r>
    <x v="0"/>
    <x v="0"/>
    <x v="0"/>
    <x v="0"/>
    <x v="0"/>
    <s v="DK1_MedSmall"/>
    <x v="4"/>
    <s v="GNR_ST_MSW_BP_E-20"/>
    <x v="0"/>
    <x v="0"/>
    <n v="11.157668700562001"/>
    <n v="4072.5490757051498"/>
    <n v="14661.1766725385"/>
  </r>
  <r>
    <x v="0"/>
    <x v="0"/>
    <x v="0"/>
    <x v="0"/>
    <x v="0"/>
    <s v="DK1_MedSmall"/>
    <x v="4"/>
    <s v="GNR_ST_MSW_BP_E-20"/>
    <x v="0"/>
    <x v="14"/>
    <n v="11.157668700562001"/>
    <n v="4072.5490757051498"/>
    <n v="14661.1766725385"/>
  </r>
  <r>
    <x v="0"/>
    <x v="0"/>
    <x v="0"/>
    <x v="0"/>
    <x v="0"/>
    <s v="DK1_MedSmall"/>
    <x v="4"/>
    <s v="GNR_ST_MSW_BP_E-20"/>
    <x v="0"/>
    <x v="1"/>
    <n v="11.157668700562001"/>
    <n v="4072.5490757051498"/>
    <n v="14661.1766725385"/>
  </r>
  <r>
    <x v="0"/>
    <x v="0"/>
    <x v="0"/>
    <x v="0"/>
    <x v="0"/>
    <s v="DK1_MedSmall"/>
    <x v="4"/>
    <s v="GNR_ST_MSW_BP_E-20"/>
    <x v="0"/>
    <x v="23"/>
    <n v="11.157668700562001"/>
    <n v="4072.5490757051498"/>
    <n v="14661.1766725385"/>
  </r>
  <r>
    <x v="0"/>
    <x v="0"/>
    <x v="0"/>
    <x v="0"/>
    <x v="0"/>
    <s v="DK1_MedSmall"/>
    <x v="4"/>
    <s v="GNR_ST_MSW_BP_E-20"/>
    <x v="0"/>
    <x v="2"/>
    <n v="11.157668700562001"/>
    <n v="4072.5490757051498"/>
    <n v="14661.1766725385"/>
  </r>
  <r>
    <x v="0"/>
    <x v="0"/>
    <x v="0"/>
    <x v="0"/>
    <x v="0"/>
    <s v="DK1_MedSmall"/>
    <x v="4"/>
    <s v="GNR_ST_MSW_BP_E-20"/>
    <x v="0"/>
    <x v="3"/>
    <n v="11.157668700562001"/>
    <n v="4072.5490757051498"/>
    <n v="14661.1766725385"/>
  </r>
  <r>
    <x v="0"/>
    <x v="0"/>
    <x v="0"/>
    <x v="0"/>
    <x v="0"/>
    <s v="DK1_MedSmall"/>
    <x v="4"/>
    <s v="GNR_ST_MSW_BP_E-20"/>
    <x v="0"/>
    <x v="4"/>
    <n v="11.157668700562001"/>
    <n v="4072.5490757051498"/>
    <n v="14661.1766725385"/>
  </r>
  <r>
    <x v="0"/>
    <x v="0"/>
    <x v="0"/>
    <x v="0"/>
    <x v="0"/>
    <s v="DK1_MedSmall"/>
    <x v="4"/>
    <s v="GNR_ST_MSW_BP_E-20"/>
    <x v="0"/>
    <x v="5"/>
    <n v="11.157668700562001"/>
    <n v="4072.5490757051498"/>
    <n v="14661.1766725385"/>
  </r>
  <r>
    <x v="0"/>
    <x v="0"/>
    <x v="0"/>
    <x v="0"/>
    <x v="0"/>
    <s v="DK1_MedSmall"/>
    <x v="4"/>
    <s v="GNR_ST_MSW_BP_E-20"/>
    <x v="0"/>
    <x v="15"/>
    <n v="11.157668700562001"/>
    <n v="4072.5490757051498"/>
    <n v="14661.1766725385"/>
  </r>
  <r>
    <x v="0"/>
    <x v="0"/>
    <x v="0"/>
    <x v="0"/>
    <x v="0"/>
    <s v="DK1_MedSmall"/>
    <x v="4"/>
    <s v="GNR_ST_MSW_BP_E-20"/>
    <x v="0"/>
    <x v="6"/>
    <n v="11.157668700562001"/>
    <n v="4072.5490757051498"/>
    <n v="14661.1766725385"/>
  </r>
  <r>
    <x v="0"/>
    <x v="0"/>
    <x v="0"/>
    <x v="0"/>
    <x v="0"/>
    <s v="DK1_MedSmall"/>
    <x v="4"/>
    <s v="GNR_ST_MSW_BP_E-20"/>
    <x v="0"/>
    <x v="7"/>
    <n v="11.157668700562001"/>
    <n v="4072.5490757051498"/>
    <n v="14661.1766725385"/>
  </r>
  <r>
    <x v="0"/>
    <x v="0"/>
    <x v="0"/>
    <x v="0"/>
    <x v="0"/>
    <s v="DK1_MedSmall"/>
    <x v="4"/>
    <s v="GNR_ST_MSW_BP_E-20"/>
    <x v="0"/>
    <x v="8"/>
    <n v="11.157668700562001"/>
    <n v="4072.5490757051498"/>
    <n v="14661.1766725385"/>
  </r>
  <r>
    <x v="0"/>
    <x v="0"/>
    <x v="0"/>
    <x v="0"/>
    <x v="0"/>
    <s v="DK1_MedSmall"/>
    <x v="4"/>
    <s v="GNR_ST_MSW_BP_E-20"/>
    <x v="0"/>
    <x v="16"/>
    <n v="11.157668700562001"/>
    <n v="4072.5490757051498"/>
    <n v="14661.1766725385"/>
  </r>
  <r>
    <x v="0"/>
    <x v="0"/>
    <x v="0"/>
    <x v="0"/>
    <x v="0"/>
    <s v="DK1_MedSmall"/>
    <x v="4"/>
    <s v="GNR_ST_MSW_BP_E-20"/>
    <x v="0"/>
    <x v="17"/>
    <n v="11.157668700562001"/>
    <n v="4072.5490757051498"/>
    <n v="14661.1766725385"/>
  </r>
  <r>
    <x v="0"/>
    <x v="0"/>
    <x v="0"/>
    <x v="0"/>
    <x v="0"/>
    <s v="DK1_MedSmall"/>
    <x v="4"/>
    <s v="GNR_ST_MSW_BP_E-20"/>
    <x v="0"/>
    <x v="18"/>
    <n v="11.157668700562001"/>
    <n v="4072.5490757051498"/>
    <n v="14661.1766725385"/>
  </r>
  <r>
    <x v="0"/>
    <x v="0"/>
    <x v="0"/>
    <x v="0"/>
    <x v="0"/>
    <s v="DK1_MedSmall"/>
    <x v="4"/>
    <s v="GNR_ST_MSW_BP_E-20"/>
    <x v="0"/>
    <x v="19"/>
    <n v="11.157668700562001"/>
    <n v="4072.5490757051498"/>
    <n v="14661.1766725385"/>
  </r>
  <r>
    <x v="0"/>
    <x v="0"/>
    <x v="0"/>
    <x v="0"/>
    <x v="0"/>
    <s v="DK1_MedSmall"/>
    <x v="4"/>
    <s v="GNR_ST_MSW_BP_E-20"/>
    <x v="0"/>
    <x v="20"/>
    <n v="11.157668700562001"/>
    <n v="4072.5490757051498"/>
    <n v="14661.1766725385"/>
  </r>
  <r>
    <x v="0"/>
    <x v="0"/>
    <x v="0"/>
    <x v="0"/>
    <x v="0"/>
    <s v="DK1_MedSmall"/>
    <x v="4"/>
    <s v="GNR_ST_MSW_BP_E-20"/>
    <x v="0"/>
    <x v="21"/>
    <n v="11.157668700562001"/>
    <n v="4072.5490757051498"/>
    <n v="14661.1766725385"/>
  </r>
  <r>
    <x v="0"/>
    <x v="0"/>
    <x v="0"/>
    <x v="0"/>
    <x v="0"/>
    <s v="DK1_MedSmall"/>
    <x v="4"/>
    <s v="GNR_ST_MSW_BP_E-20"/>
    <x v="0"/>
    <x v="22"/>
    <n v="11.157668700562001"/>
    <n v="4072.5490757051498"/>
    <n v="14661.1766725385"/>
  </r>
  <r>
    <x v="0"/>
    <x v="0"/>
    <x v="0"/>
    <x v="0"/>
    <x v="0"/>
    <s v="DK1_MedSmall"/>
    <x v="4"/>
    <s v="GNR_ST_MSW_BP_E-21"/>
    <x v="0"/>
    <x v="9"/>
    <n v="33.811117274430401"/>
    <n v="12341.0578051671"/>
    <n v="44427.808098601599"/>
  </r>
  <r>
    <x v="0"/>
    <x v="0"/>
    <x v="0"/>
    <x v="0"/>
    <x v="0"/>
    <s v="DK1_MedSmall"/>
    <x v="4"/>
    <s v="GNR_ST_MSW_BP_E-21"/>
    <x v="0"/>
    <x v="10"/>
    <n v="33.811117274430401"/>
    <n v="12341.0578051671"/>
    <n v="44427.808098601599"/>
  </r>
  <r>
    <x v="0"/>
    <x v="0"/>
    <x v="0"/>
    <x v="0"/>
    <x v="0"/>
    <s v="DK1_MedSmall"/>
    <x v="4"/>
    <s v="GNR_ST_MSW_BP_E-21"/>
    <x v="0"/>
    <x v="11"/>
    <n v="33.811117274430401"/>
    <n v="12341.0578051671"/>
    <n v="44427.808098601599"/>
  </r>
  <r>
    <x v="0"/>
    <x v="0"/>
    <x v="0"/>
    <x v="0"/>
    <x v="0"/>
    <s v="DK1_MedSmall"/>
    <x v="4"/>
    <s v="GNR_ST_MSW_BP_E-21"/>
    <x v="0"/>
    <x v="12"/>
    <n v="33.811117274430401"/>
    <n v="12341.0578051671"/>
    <n v="44427.808098601599"/>
  </r>
  <r>
    <x v="0"/>
    <x v="0"/>
    <x v="0"/>
    <x v="0"/>
    <x v="0"/>
    <s v="DK1_MedSmall"/>
    <x v="4"/>
    <s v="GNR_ST_MSW_BP_E-21"/>
    <x v="0"/>
    <x v="13"/>
    <n v="33.811117274430401"/>
    <n v="12341.0578051671"/>
    <n v="44427.808098601599"/>
  </r>
  <r>
    <x v="0"/>
    <x v="0"/>
    <x v="0"/>
    <x v="0"/>
    <x v="0"/>
    <s v="DK1_MedSmall"/>
    <x v="4"/>
    <s v="GNR_ST_MSW_BP_E-21"/>
    <x v="0"/>
    <x v="0"/>
    <n v="33.811117274430401"/>
    <n v="12341.0578051671"/>
    <n v="44427.808098601599"/>
  </r>
  <r>
    <x v="0"/>
    <x v="0"/>
    <x v="0"/>
    <x v="0"/>
    <x v="0"/>
    <s v="DK1_MedSmall"/>
    <x v="4"/>
    <s v="GNR_ST_MSW_BP_E-21"/>
    <x v="0"/>
    <x v="14"/>
    <n v="33.811117274430401"/>
    <n v="12341.0578051671"/>
    <n v="44427.808098601599"/>
  </r>
  <r>
    <x v="0"/>
    <x v="0"/>
    <x v="0"/>
    <x v="0"/>
    <x v="0"/>
    <s v="DK1_MedSmall"/>
    <x v="4"/>
    <s v="GNR_ST_MSW_BP_E-21"/>
    <x v="0"/>
    <x v="1"/>
    <n v="33.811117274430401"/>
    <n v="12341.0578051671"/>
    <n v="44427.808098601599"/>
  </r>
  <r>
    <x v="0"/>
    <x v="0"/>
    <x v="0"/>
    <x v="0"/>
    <x v="0"/>
    <s v="DK1_MedSmall"/>
    <x v="4"/>
    <s v="GNR_ST_MSW_BP_E-21"/>
    <x v="0"/>
    <x v="23"/>
    <n v="33.811117274430401"/>
    <n v="12341.0578051671"/>
    <n v="44427.808098601599"/>
  </r>
  <r>
    <x v="0"/>
    <x v="0"/>
    <x v="0"/>
    <x v="0"/>
    <x v="0"/>
    <s v="DK1_MedSmall"/>
    <x v="4"/>
    <s v="GNR_ST_MSW_BP_E-21"/>
    <x v="0"/>
    <x v="2"/>
    <n v="33.811117274430401"/>
    <n v="12341.0578051671"/>
    <n v="44427.808098601599"/>
  </r>
  <r>
    <x v="0"/>
    <x v="0"/>
    <x v="0"/>
    <x v="0"/>
    <x v="0"/>
    <s v="DK1_MedSmall"/>
    <x v="4"/>
    <s v="GNR_ST_MSW_BP_E-21"/>
    <x v="0"/>
    <x v="3"/>
    <n v="33.811117274430401"/>
    <n v="12341.0578051671"/>
    <n v="44427.808098601599"/>
  </r>
  <r>
    <x v="0"/>
    <x v="0"/>
    <x v="0"/>
    <x v="0"/>
    <x v="0"/>
    <s v="DK1_MedSmall"/>
    <x v="4"/>
    <s v="GNR_ST_MSW_BP_E-21"/>
    <x v="0"/>
    <x v="4"/>
    <n v="33.811117274430401"/>
    <n v="12341.0578051671"/>
    <n v="44427.808098601599"/>
  </r>
  <r>
    <x v="0"/>
    <x v="0"/>
    <x v="0"/>
    <x v="0"/>
    <x v="0"/>
    <s v="DK1_MedSmall"/>
    <x v="4"/>
    <s v="GNR_ST_MSW_BP_E-21"/>
    <x v="0"/>
    <x v="5"/>
    <n v="33.811117274430401"/>
    <n v="12341.0578051671"/>
    <n v="44427.808098601599"/>
  </r>
  <r>
    <x v="0"/>
    <x v="0"/>
    <x v="0"/>
    <x v="0"/>
    <x v="0"/>
    <s v="DK1_MedSmall"/>
    <x v="4"/>
    <s v="GNR_ST_MSW_BP_E-21"/>
    <x v="0"/>
    <x v="15"/>
    <n v="33.811117274430401"/>
    <n v="12341.0578051671"/>
    <n v="44427.808098601599"/>
  </r>
  <r>
    <x v="0"/>
    <x v="0"/>
    <x v="0"/>
    <x v="0"/>
    <x v="0"/>
    <s v="DK1_MedSmall"/>
    <x v="4"/>
    <s v="GNR_ST_MSW_BP_E-21"/>
    <x v="0"/>
    <x v="6"/>
    <n v="33.811117274430401"/>
    <n v="12341.0578051671"/>
    <n v="44427.808098601599"/>
  </r>
  <r>
    <x v="0"/>
    <x v="0"/>
    <x v="0"/>
    <x v="0"/>
    <x v="0"/>
    <s v="DK1_MedSmall"/>
    <x v="4"/>
    <s v="GNR_ST_MSW_BP_E-21"/>
    <x v="0"/>
    <x v="7"/>
    <n v="33.811117274430401"/>
    <n v="12341.0578051671"/>
    <n v="44427.808098601599"/>
  </r>
  <r>
    <x v="0"/>
    <x v="0"/>
    <x v="0"/>
    <x v="0"/>
    <x v="0"/>
    <s v="DK1_MedSmall"/>
    <x v="4"/>
    <s v="GNR_ST_MSW_BP_E-21"/>
    <x v="0"/>
    <x v="8"/>
    <n v="33.811117274430401"/>
    <n v="12341.0578051671"/>
    <n v="44427.808098601599"/>
  </r>
  <r>
    <x v="0"/>
    <x v="0"/>
    <x v="0"/>
    <x v="0"/>
    <x v="0"/>
    <s v="DK1_MedSmall"/>
    <x v="4"/>
    <s v="GNR_ST_MSW_BP_E-21"/>
    <x v="0"/>
    <x v="16"/>
    <n v="33.811117274430401"/>
    <n v="12341.0578051671"/>
    <n v="44427.808098601599"/>
  </r>
  <r>
    <x v="0"/>
    <x v="0"/>
    <x v="0"/>
    <x v="0"/>
    <x v="0"/>
    <s v="DK1_MedSmall"/>
    <x v="4"/>
    <s v="GNR_ST_MSW_BP_E-21"/>
    <x v="0"/>
    <x v="17"/>
    <n v="33.811117274430401"/>
    <n v="12341.0578051671"/>
    <n v="44427.808098601599"/>
  </r>
  <r>
    <x v="0"/>
    <x v="0"/>
    <x v="0"/>
    <x v="0"/>
    <x v="0"/>
    <s v="DK1_MedSmall"/>
    <x v="4"/>
    <s v="GNR_ST_MSW_BP_E-21"/>
    <x v="0"/>
    <x v="18"/>
    <n v="33.811117274430401"/>
    <n v="12341.0578051671"/>
    <n v="44427.808098601599"/>
  </r>
  <r>
    <x v="0"/>
    <x v="0"/>
    <x v="0"/>
    <x v="0"/>
    <x v="0"/>
    <s v="DK1_MedSmall"/>
    <x v="4"/>
    <s v="GNR_ST_MSW_BP_E-21"/>
    <x v="0"/>
    <x v="19"/>
    <n v="33.811117274430401"/>
    <n v="12341.0578051671"/>
    <n v="44427.808098601599"/>
  </r>
  <r>
    <x v="0"/>
    <x v="0"/>
    <x v="0"/>
    <x v="0"/>
    <x v="0"/>
    <s v="DK1_MedSmall"/>
    <x v="4"/>
    <s v="GNR_ST_MSW_BP_E-21"/>
    <x v="0"/>
    <x v="20"/>
    <n v="33.811117274430401"/>
    <n v="12341.0578051671"/>
    <n v="44427.808098601599"/>
  </r>
  <r>
    <x v="0"/>
    <x v="0"/>
    <x v="0"/>
    <x v="0"/>
    <x v="0"/>
    <s v="DK1_MedSmall"/>
    <x v="4"/>
    <s v="GNR_ST_MSW_BP_E-21"/>
    <x v="0"/>
    <x v="21"/>
    <n v="33.811117274430401"/>
    <n v="12341.0578051671"/>
    <n v="44427.808098601599"/>
  </r>
  <r>
    <x v="0"/>
    <x v="0"/>
    <x v="0"/>
    <x v="0"/>
    <x v="0"/>
    <s v="DK1_MedSmall"/>
    <x v="4"/>
    <s v="GNR_ST_MSW_BP_E-21"/>
    <x v="0"/>
    <x v="22"/>
    <n v="33.811117274430401"/>
    <n v="12341.0578051671"/>
    <n v="44427.808098601599"/>
  </r>
  <r>
    <x v="0"/>
    <x v="0"/>
    <x v="0"/>
    <x v="0"/>
    <x v="0"/>
    <s v="DK1_MedSmall"/>
    <x v="4"/>
    <s v="GNR_ST_MSW_BP_E-22"/>
    <x v="0"/>
    <x v="9"/>
    <n v="15.215002773493699"/>
    <n v="5553.4760123251999"/>
    <n v="19992.513644370702"/>
  </r>
  <r>
    <x v="0"/>
    <x v="0"/>
    <x v="0"/>
    <x v="0"/>
    <x v="0"/>
    <s v="DK1_MedSmall"/>
    <x v="4"/>
    <s v="GNR_ST_MSW_BP_E-22"/>
    <x v="0"/>
    <x v="10"/>
    <n v="15.215002773493699"/>
    <n v="5553.4760123251999"/>
    <n v="19992.513644370702"/>
  </r>
  <r>
    <x v="0"/>
    <x v="0"/>
    <x v="0"/>
    <x v="0"/>
    <x v="0"/>
    <s v="DK1_MedSmall"/>
    <x v="4"/>
    <s v="GNR_ST_MSW_BP_E-22"/>
    <x v="0"/>
    <x v="11"/>
    <n v="15.215002773493699"/>
    <n v="5553.4760123251999"/>
    <n v="19992.513644370702"/>
  </r>
  <r>
    <x v="0"/>
    <x v="0"/>
    <x v="0"/>
    <x v="0"/>
    <x v="0"/>
    <s v="DK1_MedSmall"/>
    <x v="4"/>
    <s v="GNR_ST_MSW_BP_E-22"/>
    <x v="0"/>
    <x v="12"/>
    <n v="15.215002773493699"/>
    <n v="5553.4760123251999"/>
    <n v="19992.513644370702"/>
  </r>
  <r>
    <x v="0"/>
    <x v="0"/>
    <x v="0"/>
    <x v="0"/>
    <x v="0"/>
    <s v="DK1_MedSmall"/>
    <x v="4"/>
    <s v="GNR_ST_MSW_BP_E-22"/>
    <x v="0"/>
    <x v="13"/>
    <n v="15.215002773493699"/>
    <n v="5553.4760123251999"/>
    <n v="19992.513644370702"/>
  </r>
  <r>
    <x v="0"/>
    <x v="0"/>
    <x v="0"/>
    <x v="0"/>
    <x v="0"/>
    <s v="DK1_MedSmall"/>
    <x v="4"/>
    <s v="GNR_ST_MSW_BP_E-22"/>
    <x v="0"/>
    <x v="0"/>
    <n v="15.215002773493699"/>
    <n v="5553.4760123251999"/>
    <n v="19992.513644370702"/>
  </r>
  <r>
    <x v="0"/>
    <x v="0"/>
    <x v="0"/>
    <x v="0"/>
    <x v="0"/>
    <s v="DK1_MedSmall"/>
    <x v="4"/>
    <s v="GNR_ST_MSW_BP_E-22"/>
    <x v="0"/>
    <x v="14"/>
    <n v="15.215002773493699"/>
    <n v="5553.4760123251999"/>
    <n v="19992.513644370702"/>
  </r>
  <r>
    <x v="0"/>
    <x v="0"/>
    <x v="0"/>
    <x v="0"/>
    <x v="0"/>
    <s v="DK1_MedSmall"/>
    <x v="4"/>
    <s v="GNR_ST_MSW_BP_E-22"/>
    <x v="0"/>
    <x v="1"/>
    <n v="15.215002773493699"/>
    <n v="5553.4760123251999"/>
    <n v="19992.513644370702"/>
  </r>
  <r>
    <x v="0"/>
    <x v="0"/>
    <x v="0"/>
    <x v="0"/>
    <x v="0"/>
    <s v="DK1_MedSmall"/>
    <x v="4"/>
    <s v="GNR_ST_MSW_BP_E-22"/>
    <x v="0"/>
    <x v="23"/>
    <n v="15.215002773493699"/>
    <n v="5553.4760123251999"/>
    <n v="19992.513644370702"/>
  </r>
  <r>
    <x v="0"/>
    <x v="0"/>
    <x v="0"/>
    <x v="0"/>
    <x v="0"/>
    <s v="DK1_MedSmall"/>
    <x v="4"/>
    <s v="GNR_ST_MSW_BP_E-22"/>
    <x v="0"/>
    <x v="2"/>
    <n v="15.215002773493699"/>
    <n v="5553.4760123251999"/>
    <n v="19992.513644370702"/>
  </r>
  <r>
    <x v="0"/>
    <x v="0"/>
    <x v="0"/>
    <x v="0"/>
    <x v="0"/>
    <s v="DK1_MedSmall"/>
    <x v="4"/>
    <s v="GNR_ST_MSW_BP_E-22"/>
    <x v="0"/>
    <x v="3"/>
    <n v="15.215002773493699"/>
    <n v="5553.4760123251999"/>
    <n v="19992.513644370702"/>
  </r>
  <r>
    <x v="0"/>
    <x v="0"/>
    <x v="0"/>
    <x v="0"/>
    <x v="0"/>
    <s v="DK1_MedSmall"/>
    <x v="4"/>
    <s v="GNR_ST_MSW_BP_E-22"/>
    <x v="0"/>
    <x v="4"/>
    <n v="15.215002773493699"/>
    <n v="5553.4760123251999"/>
    <n v="19992.513644370702"/>
  </r>
  <r>
    <x v="0"/>
    <x v="0"/>
    <x v="0"/>
    <x v="0"/>
    <x v="0"/>
    <s v="DK1_MedSmall"/>
    <x v="4"/>
    <s v="GNR_ST_MSW_BP_E-22"/>
    <x v="0"/>
    <x v="5"/>
    <n v="15.215002773493699"/>
    <n v="5553.4760123251999"/>
    <n v="19992.513644370702"/>
  </r>
  <r>
    <x v="0"/>
    <x v="0"/>
    <x v="0"/>
    <x v="0"/>
    <x v="0"/>
    <s v="DK1_MedSmall"/>
    <x v="4"/>
    <s v="GNR_ST_MSW_BP_E-22"/>
    <x v="0"/>
    <x v="15"/>
    <n v="15.215002773493699"/>
    <n v="5553.4760123251999"/>
    <n v="19992.513644370702"/>
  </r>
  <r>
    <x v="0"/>
    <x v="0"/>
    <x v="0"/>
    <x v="0"/>
    <x v="0"/>
    <s v="DK1_MedSmall"/>
    <x v="4"/>
    <s v="GNR_ST_MSW_BP_E-22"/>
    <x v="0"/>
    <x v="6"/>
    <n v="15.215002773493699"/>
    <n v="5553.4760123251999"/>
    <n v="19992.513644370702"/>
  </r>
  <r>
    <x v="0"/>
    <x v="0"/>
    <x v="0"/>
    <x v="0"/>
    <x v="0"/>
    <s v="DK1_MedSmall"/>
    <x v="4"/>
    <s v="GNR_ST_MSW_BP_E-22"/>
    <x v="0"/>
    <x v="7"/>
    <n v="15.215002773493699"/>
    <n v="5553.4760123251999"/>
    <n v="19992.513644370702"/>
  </r>
  <r>
    <x v="0"/>
    <x v="0"/>
    <x v="0"/>
    <x v="0"/>
    <x v="0"/>
    <s v="DK1_MedSmall"/>
    <x v="4"/>
    <s v="GNR_ST_MSW_BP_E-22"/>
    <x v="0"/>
    <x v="8"/>
    <n v="15.215002773493699"/>
    <n v="5553.4760123251999"/>
    <n v="19992.513644370702"/>
  </r>
  <r>
    <x v="0"/>
    <x v="0"/>
    <x v="0"/>
    <x v="0"/>
    <x v="0"/>
    <s v="DK1_MedSmall"/>
    <x v="4"/>
    <s v="GNR_ST_MSW_BP_E-22"/>
    <x v="0"/>
    <x v="16"/>
    <n v="15.215002773493699"/>
    <n v="5553.4760123251999"/>
    <n v="19992.513644370702"/>
  </r>
  <r>
    <x v="0"/>
    <x v="0"/>
    <x v="0"/>
    <x v="0"/>
    <x v="0"/>
    <s v="DK1_MedSmall"/>
    <x v="4"/>
    <s v="GNR_ST_MSW_BP_E-22"/>
    <x v="0"/>
    <x v="17"/>
    <n v="15.215002773493699"/>
    <n v="5553.4760123251999"/>
    <n v="19992.513644370702"/>
  </r>
  <r>
    <x v="0"/>
    <x v="0"/>
    <x v="0"/>
    <x v="0"/>
    <x v="0"/>
    <s v="DK1_MedSmall"/>
    <x v="4"/>
    <s v="GNR_ST_MSW_BP_E-22"/>
    <x v="0"/>
    <x v="18"/>
    <n v="15.215002773493699"/>
    <n v="5553.4760123251999"/>
    <n v="19992.513644370702"/>
  </r>
  <r>
    <x v="0"/>
    <x v="0"/>
    <x v="0"/>
    <x v="0"/>
    <x v="0"/>
    <s v="DK1_MedSmall"/>
    <x v="4"/>
    <s v="GNR_ST_MSW_BP_E-22"/>
    <x v="0"/>
    <x v="19"/>
    <n v="15.215002773493699"/>
    <n v="5553.4760123251999"/>
    <n v="19992.513644370702"/>
  </r>
  <r>
    <x v="0"/>
    <x v="0"/>
    <x v="0"/>
    <x v="0"/>
    <x v="0"/>
    <s v="DK1_MedSmall"/>
    <x v="4"/>
    <s v="GNR_ST_MSW_BP_E-22"/>
    <x v="0"/>
    <x v="20"/>
    <n v="15.215002773493699"/>
    <n v="5553.4760123251999"/>
    <n v="19992.513644370702"/>
  </r>
  <r>
    <x v="0"/>
    <x v="0"/>
    <x v="0"/>
    <x v="0"/>
    <x v="0"/>
    <s v="DK1_MedSmall"/>
    <x v="4"/>
    <s v="GNR_ST_MSW_BP_E-22"/>
    <x v="0"/>
    <x v="21"/>
    <n v="15.215002773493699"/>
    <n v="5553.4760123251999"/>
    <n v="19992.513644370702"/>
  </r>
  <r>
    <x v="0"/>
    <x v="0"/>
    <x v="0"/>
    <x v="0"/>
    <x v="0"/>
    <s v="DK1_MedSmall"/>
    <x v="4"/>
    <s v="GNR_ST_MSW_BP_E-22"/>
    <x v="0"/>
    <x v="22"/>
    <n v="15.215002773493699"/>
    <n v="5553.4760123251999"/>
    <n v="19992.513644370702"/>
  </r>
  <r>
    <x v="0"/>
    <x v="0"/>
    <x v="0"/>
    <x v="0"/>
    <x v="0"/>
    <s v="DK1_MedSmall"/>
    <x v="4"/>
    <s v="GNR_ST_MSW_BP_E-26"/>
    <x v="0"/>
    <x v="9"/>
    <n v="23.667782092101302"/>
    <n v="8638.7404636169795"/>
    <n v="31099.465669021101"/>
  </r>
  <r>
    <x v="0"/>
    <x v="0"/>
    <x v="0"/>
    <x v="0"/>
    <x v="0"/>
    <s v="DK1_MedSmall"/>
    <x v="4"/>
    <s v="GNR_ST_MSW_BP_E-26"/>
    <x v="0"/>
    <x v="10"/>
    <n v="23.667782092101302"/>
    <n v="8638.7404636169795"/>
    <n v="31099.465669021101"/>
  </r>
  <r>
    <x v="0"/>
    <x v="0"/>
    <x v="0"/>
    <x v="0"/>
    <x v="0"/>
    <s v="DK1_MedSmall"/>
    <x v="4"/>
    <s v="GNR_ST_MSW_BP_E-26"/>
    <x v="0"/>
    <x v="11"/>
    <n v="23.667782092101302"/>
    <n v="8638.7404636169795"/>
    <n v="31099.465669021101"/>
  </r>
  <r>
    <x v="0"/>
    <x v="0"/>
    <x v="0"/>
    <x v="0"/>
    <x v="0"/>
    <s v="DK1_MedSmall"/>
    <x v="4"/>
    <s v="GNR_ST_MSW_BP_E-26"/>
    <x v="0"/>
    <x v="12"/>
    <n v="23.667782092101302"/>
    <n v="8638.7404636169795"/>
    <n v="31099.465669021101"/>
  </r>
  <r>
    <x v="0"/>
    <x v="0"/>
    <x v="0"/>
    <x v="0"/>
    <x v="0"/>
    <s v="DK1_MedSmall"/>
    <x v="4"/>
    <s v="GNR_ST_MSW_BP_E-26"/>
    <x v="0"/>
    <x v="13"/>
    <n v="23.667782092101302"/>
    <n v="8638.7404636169795"/>
    <n v="31099.465669021101"/>
  </r>
  <r>
    <x v="0"/>
    <x v="0"/>
    <x v="0"/>
    <x v="0"/>
    <x v="0"/>
    <s v="DK1_MedSmall"/>
    <x v="4"/>
    <s v="GNR_ST_MSW_BP_E-26"/>
    <x v="0"/>
    <x v="0"/>
    <n v="23.667782092101302"/>
    <n v="8638.7404636169795"/>
    <n v="31099.465669021101"/>
  </r>
  <r>
    <x v="0"/>
    <x v="0"/>
    <x v="0"/>
    <x v="0"/>
    <x v="0"/>
    <s v="DK1_MedSmall"/>
    <x v="4"/>
    <s v="GNR_ST_MSW_BP_E-26"/>
    <x v="0"/>
    <x v="14"/>
    <n v="23.667782092101302"/>
    <n v="8638.7404636169795"/>
    <n v="31099.465669021101"/>
  </r>
  <r>
    <x v="0"/>
    <x v="0"/>
    <x v="0"/>
    <x v="0"/>
    <x v="0"/>
    <s v="DK1_MedSmall"/>
    <x v="4"/>
    <s v="GNR_ST_MSW_BP_E-26"/>
    <x v="0"/>
    <x v="1"/>
    <n v="23.667782092101302"/>
    <n v="8638.7404636169795"/>
    <n v="31099.465669021101"/>
  </r>
  <r>
    <x v="0"/>
    <x v="0"/>
    <x v="0"/>
    <x v="0"/>
    <x v="0"/>
    <s v="DK1_MedSmall"/>
    <x v="4"/>
    <s v="GNR_ST_MSW_BP_E-26"/>
    <x v="0"/>
    <x v="23"/>
    <n v="23.667782092101302"/>
    <n v="8638.7404636169795"/>
    <n v="31099.465669021101"/>
  </r>
  <r>
    <x v="0"/>
    <x v="0"/>
    <x v="0"/>
    <x v="0"/>
    <x v="0"/>
    <s v="DK1_MedSmall"/>
    <x v="4"/>
    <s v="GNR_ST_MSW_BP_E-26"/>
    <x v="0"/>
    <x v="2"/>
    <n v="23.667782092101302"/>
    <n v="8638.7404636169795"/>
    <n v="31099.465669021101"/>
  </r>
  <r>
    <x v="0"/>
    <x v="0"/>
    <x v="0"/>
    <x v="0"/>
    <x v="0"/>
    <s v="DK1_MedSmall"/>
    <x v="4"/>
    <s v="GNR_ST_MSW_BP_E-26"/>
    <x v="0"/>
    <x v="3"/>
    <n v="23.667782092101302"/>
    <n v="8638.7404636169795"/>
    <n v="31099.465669021101"/>
  </r>
  <r>
    <x v="0"/>
    <x v="0"/>
    <x v="0"/>
    <x v="0"/>
    <x v="0"/>
    <s v="DK1_MedSmall"/>
    <x v="4"/>
    <s v="GNR_ST_MSW_BP_E-26"/>
    <x v="0"/>
    <x v="4"/>
    <n v="23.667782092101302"/>
    <n v="8638.7404636169795"/>
    <n v="31099.465669021101"/>
  </r>
  <r>
    <x v="0"/>
    <x v="0"/>
    <x v="0"/>
    <x v="0"/>
    <x v="0"/>
    <s v="DK1_MedSmall"/>
    <x v="4"/>
    <s v="GNR_ST_MSW_BP_E-26"/>
    <x v="0"/>
    <x v="5"/>
    <n v="23.667782092101302"/>
    <n v="8638.7404636169795"/>
    <n v="31099.465669021101"/>
  </r>
  <r>
    <x v="0"/>
    <x v="0"/>
    <x v="0"/>
    <x v="0"/>
    <x v="0"/>
    <s v="DK1_MedSmall"/>
    <x v="4"/>
    <s v="GNR_ST_MSW_BP_E-26"/>
    <x v="0"/>
    <x v="15"/>
    <n v="23.667782092101302"/>
    <n v="8638.7404636169795"/>
    <n v="31099.465669021101"/>
  </r>
  <r>
    <x v="0"/>
    <x v="0"/>
    <x v="0"/>
    <x v="0"/>
    <x v="0"/>
    <s v="DK1_MedSmall"/>
    <x v="4"/>
    <s v="GNR_ST_MSW_BP_E-26"/>
    <x v="0"/>
    <x v="6"/>
    <n v="23.667782092101302"/>
    <n v="8638.7404636169795"/>
    <n v="31099.465669021101"/>
  </r>
  <r>
    <x v="0"/>
    <x v="0"/>
    <x v="0"/>
    <x v="0"/>
    <x v="0"/>
    <s v="DK1_MedSmall"/>
    <x v="4"/>
    <s v="GNR_ST_MSW_BP_E-26"/>
    <x v="0"/>
    <x v="7"/>
    <n v="23.667782092101302"/>
    <n v="8638.7404636169795"/>
    <n v="31099.465669021101"/>
  </r>
  <r>
    <x v="0"/>
    <x v="0"/>
    <x v="0"/>
    <x v="0"/>
    <x v="0"/>
    <s v="DK1_MedSmall"/>
    <x v="4"/>
    <s v="GNR_ST_MSW_BP_E-26"/>
    <x v="0"/>
    <x v="8"/>
    <n v="23.667782092101302"/>
    <n v="8638.7404636169795"/>
    <n v="31099.465669021101"/>
  </r>
  <r>
    <x v="0"/>
    <x v="0"/>
    <x v="0"/>
    <x v="0"/>
    <x v="0"/>
    <s v="DK1_MedSmall"/>
    <x v="4"/>
    <s v="GNR_ST_MSW_BP_E-26"/>
    <x v="0"/>
    <x v="16"/>
    <n v="23.667782092101302"/>
    <n v="8638.7404636169795"/>
    <n v="31099.465669021101"/>
  </r>
  <r>
    <x v="0"/>
    <x v="0"/>
    <x v="0"/>
    <x v="0"/>
    <x v="0"/>
    <s v="DK1_MedSmall"/>
    <x v="4"/>
    <s v="GNR_ST_MSW_BP_E-26"/>
    <x v="0"/>
    <x v="17"/>
    <n v="23.667782092101302"/>
    <n v="8638.7404636169795"/>
    <n v="31099.465669021101"/>
  </r>
  <r>
    <x v="0"/>
    <x v="0"/>
    <x v="0"/>
    <x v="0"/>
    <x v="0"/>
    <s v="DK1_MedSmall"/>
    <x v="4"/>
    <s v="GNR_ST_MSW_BP_E-26"/>
    <x v="0"/>
    <x v="18"/>
    <n v="23.667782092101302"/>
    <n v="8638.7404636169795"/>
    <n v="31099.465669021101"/>
  </r>
  <r>
    <x v="0"/>
    <x v="0"/>
    <x v="0"/>
    <x v="0"/>
    <x v="0"/>
    <s v="DK1_MedSmall"/>
    <x v="4"/>
    <s v="GNR_ST_MSW_BP_E-26"/>
    <x v="0"/>
    <x v="19"/>
    <n v="23.667782092101302"/>
    <n v="8638.7404636169795"/>
    <n v="31099.465669021101"/>
  </r>
  <r>
    <x v="0"/>
    <x v="0"/>
    <x v="0"/>
    <x v="0"/>
    <x v="0"/>
    <s v="DK1_MedSmall"/>
    <x v="4"/>
    <s v="GNR_ST_MSW_BP_E-26"/>
    <x v="0"/>
    <x v="20"/>
    <n v="23.667782092101302"/>
    <n v="8638.7404636169795"/>
    <n v="31099.465669021101"/>
  </r>
  <r>
    <x v="0"/>
    <x v="0"/>
    <x v="0"/>
    <x v="0"/>
    <x v="0"/>
    <s v="DK1_MedSmall"/>
    <x v="4"/>
    <s v="GNR_ST_MSW_BP_E-26"/>
    <x v="0"/>
    <x v="21"/>
    <n v="23.667782092101302"/>
    <n v="8638.7404636169795"/>
    <n v="31099.465669021101"/>
  </r>
  <r>
    <x v="0"/>
    <x v="0"/>
    <x v="0"/>
    <x v="0"/>
    <x v="0"/>
    <s v="DK1_MedSmall"/>
    <x v="4"/>
    <s v="GNR_ST_MSW_BP_E-26"/>
    <x v="0"/>
    <x v="22"/>
    <n v="23.667782092101302"/>
    <n v="8638.7404636169795"/>
    <n v="31099.465669021101"/>
  </r>
  <r>
    <x v="0"/>
    <x v="0"/>
    <x v="0"/>
    <x v="0"/>
    <x v="0"/>
    <s v="DK1_MedSmall"/>
    <x v="5"/>
    <s v="GNR_BO_NGAS_E-101"/>
    <x v="0"/>
    <x v="0"/>
    <n v="14.314978292074301"/>
    <n v="5224.9670766071204"/>
    <n v="18809.881475785602"/>
  </r>
  <r>
    <x v="0"/>
    <x v="0"/>
    <x v="0"/>
    <x v="0"/>
    <x v="0"/>
    <s v="DK1_MedSmall"/>
    <x v="5"/>
    <s v="GNR_BO_NGAS_E-101"/>
    <x v="0"/>
    <x v="14"/>
    <n v="61.5"/>
    <n v="22447.5"/>
    <n v="80811"/>
  </r>
  <r>
    <x v="0"/>
    <x v="0"/>
    <x v="0"/>
    <x v="0"/>
    <x v="0"/>
    <s v="DK1_MedSmall"/>
    <x v="5"/>
    <s v="GNR_BO_NGAS_E-101"/>
    <x v="0"/>
    <x v="1"/>
    <n v="61.5"/>
    <n v="22447.5"/>
    <n v="80811"/>
  </r>
  <r>
    <x v="0"/>
    <x v="0"/>
    <x v="0"/>
    <x v="0"/>
    <x v="0"/>
    <s v="DK1_MedSmall"/>
    <x v="5"/>
    <s v="GNR_BO_NGAS_E-101"/>
    <x v="0"/>
    <x v="23"/>
    <n v="61.5"/>
    <n v="22447.5"/>
    <n v="80811"/>
  </r>
  <r>
    <x v="0"/>
    <x v="0"/>
    <x v="0"/>
    <x v="0"/>
    <x v="0"/>
    <s v="DK1_MedSmall"/>
    <x v="5"/>
    <s v="GNR_BO_NGAS_E-101"/>
    <x v="0"/>
    <x v="2"/>
    <n v="61.5"/>
    <n v="22447.5"/>
    <n v="80811"/>
  </r>
  <r>
    <x v="0"/>
    <x v="0"/>
    <x v="0"/>
    <x v="0"/>
    <x v="0"/>
    <s v="DK1_MedSmall"/>
    <x v="5"/>
    <s v="GNR_BO_NGAS_E-101"/>
    <x v="0"/>
    <x v="3"/>
    <n v="61.5"/>
    <n v="22447.5"/>
    <n v="80811"/>
  </r>
  <r>
    <x v="0"/>
    <x v="0"/>
    <x v="0"/>
    <x v="0"/>
    <x v="0"/>
    <s v="DK1_MedSmall"/>
    <x v="5"/>
    <s v="GNR_BO_NGAS_E-101"/>
    <x v="0"/>
    <x v="4"/>
    <n v="61.5"/>
    <n v="22447.5"/>
    <n v="80811"/>
  </r>
  <r>
    <x v="0"/>
    <x v="0"/>
    <x v="0"/>
    <x v="0"/>
    <x v="0"/>
    <s v="DK1_MedSmall"/>
    <x v="5"/>
    <s v="GNR_BO_NGAS_E-101"/>
    <x v="0"/>
    <x v="5"/>
    <n v="61.5"/>
    <n v="22447.5"/>
    <n v="80811"/>
  </r>
  <r>
    <x v="0"/>
    <x v="0"/>
    <x v="0"/>
    <x v="0"/>
    <x v="0"/>
    <s v="DK1_MedSmall"/>
    <x v="5"/>
    <s v="GNR_BO_NGAS_E-101"/>
    <x v="0"/>
    <x v="15"/>
    <n v="61.5"/>
    <n v="22447.5"/>
    <n v="80811"/>
  </r>
  <r>
    <x v="0"/>
    <x v="0"/>
    <x v="0"/>
    <x v="0"/>
    <x v="0"/>
    <s v="DK1_MedSmall"/>
    <x v="5"/>
    <s v="GNR_BO_NGAS_E-101"/>
    <x v="0"/>
    <x v="6"/>
    <n v="61.5"/>
    <n v="22447.5"/>
    <n v="80811"/>
  </r>
  <r>
    <x v="0"/>
    <x v="0"/>
    <x v="0"/>
    <x v="0"/>
    <x v="0"/>
    <s v="DK1_MedSmall"/>
    <x v="5"/>
    <s v="GNR_BO_NGAS_E-101"/>
    <x v="0"/>
    <x v="7"/>
    <n v="61.5"/>
    <n v="22447.5"/>
    <n v="80811"/>
  </r>
  <r>
    <x v="0"/>
    <x v="0"/>
    <x v="0"/>
    <x v="0"/>
    <x v="0"/>
    <s v="DK1_MedSmall"/>
    <x v="5"/>
    <s v="GNR_BO_NGAS_E-101"/>
    <x v="0"/>
    <x v="8"/>
    <n v="61.5"/>
    <n v="22447.5"/>
    <n v="80811"/>
  </r>
  <r>
    <x v="0"/>
    <x v="0"/>
    <x v="0"/>
    <x v="0"/>
    <x v="0"/>
    <s v="DK1_MedSmall"/>
    <x v="5"/>
    <s v="GNR_BO_NGAS_E-101"/>
    <x v="0"/>
    <x v="16"/>
    <n v="61.5"/>
    <n v="22447.5"/>
    <n v="80811"/>
  </r>
  <r>
    <x v="0"/>
    <x v="0"/>
    <x v="0"/>
    <x v="0"/>
    <x v="0"/>
    <s v="DK1_MedSmall"/>
    <x v="5"/>
    <s v="GNR_BO_NGAS_E-101"/>
    <x v="0"/>
    <x v="17"/>
    <n v="61.5"/>
    <n v="22447.5"/>
    <n v="80811"/>
  </r>
  <r>
    <x v="0"/>
    <x v="0"/>
    <x v="0"/>
    <x v="0"/>
    <x v="0"/>
    <s v="DK1_MedSmall"/>
    <x v="5"/>
    <s v="GNR_BO_NGAS_E-101"/>
    <x v="0"/>
    <x v="18"/>
    <n v="61.5"/>
    <n v="22447.5"/>
    <n v="80811"/>
  </r>
  <r>
    <x v="0"/>
    <x v="0"/>
    <x v="0"/>
    <x v="0"/>
    <x v="0"/>
    <s v="DK1_MedSmall"/>
    <x v="5"/>
    <s v="GNR_BO_NGAS_E-101"/>
    <x v="0"/>
    <x v="19"/>
    <n v="61.5"/>
    <n v="22447.5"/>
    <n v="80811"/>
  </r>
  <r>
    <x v="0"/>
    <x v="0"/>
    <x v="0"/>
    <x v="0"/>
    <x v="0"/>
    <s v="DK1_MedSmall"/>
    <x v="5"/>
    <s v="GNR_BO_NGAS_E-101"/>
    <x v="0"/>
    <x v="20"/>
    <n v="42.699419715982899"/>
    <n v="15585.2881963338"/>
    <n v="56107.0375068016"/>
  </r>
  <r>
    <x v="0"/>
    <x v="0"/>
    <x v="0"/>
    <x v="0"/>
    <x v="0"/>
    <s v="DK1_MedSmall"/>
    <x v="5"/>
    <s v="GNR_BO_NGAS_E-101"/>
    <x v="0"/>
    <x v="21"/>
    <n v="27.840349724966501"/>
    <n v="10161.7276496128"/>
    <n v="36582.219538605998"/>
  </r>
  <r>
    <x v="0"/>
    <x v="0"/>
    <x v="0"/>
    <x v="0"/>
    <x v="0"/>
    <s v="DK1_MedSmall"/>
    <x v="5"/>
    <s v="GNR_BO_NGAS_E-101"/>
    <x v="0"/>
    <x v="22"/>
    <n v="19.711472134081902"/>
    <n v="7194.6873289399"/>
    <n v="25900.8743841836"/>
  </r>
  <r>
    <x v="0"/>
    <x v="0"/>
    <x v="0"/>
    <x v="0"/>
    <x v="0"/>
    <s v="DK1_MedSmall"/>
    <x v="5"/>
    <s v="GNR_BO_NGAS_E-102"/>
    <x v="0"/>
    <x v="0"/>
    <n v="5.0999999999999996"/>
    <n v="1861.5"/>
    <n v="6701.4"/>
  </r>
  <r>
    <x v="0"/>
    <x v="0"/>
    <x v="0"/>
    <x v="0"/>
    <x v="0"/>
    <s v="DK1_MedSmall"/>
    <x v="5"/>
    <s v="GNR_BO_NGAS_E-102"/>
    <x v="0"/>
    <x v="14"/>
    <n v="5.0999999999999996"/>
    <n v="1861.5"/>
    <n v="6701.4"/>
  </r>
  <r>
    <x v="0"/>
    <x v="0"/>
    <x v="0"/>
    <x v="0"/>
    <x v="0"/>
    <s v="DK1_MedSmall"/>
    <x v="5"/>
    <s v="GNR_BO_NGAS_E-102"/>
    <x v="0"/>
    <x v="1"/>
    <n v="5.0999999999999996"/>
    <n v="1861.5"/>
    <n v="6701.4"/>
  </r>
  <r>
    <x v="0"/>
    <x v="0"/>
    <x v="0"/>
    <x v="0"/>
    <x v="0"/>
    <s v="DK1_MedSmall"/>
    <x v="5"/>
    <s v="GNR_BO_NGAS_E-102"/>
    <x v="0"/>
    <x v="23"/>
    <n v="5.0999999999999996"/>
    <n v="1861.5"/>
    <n v="6701.4"/>
  </r>
  <r>
    <x v="0"/>
    <x v="0"/>
    <x v="0"/>
    <x v="0"/>
    <x v="0"/>
    <s v="DK1_MedSmall"/>
    <x v="5"/>
    <s v="GNR_BO_NGAS_E-102"/>
    <x v="0"/>
    <x v="2"/>
    <n v="5.0999999999999996"/>
    <n v="1861.5"/>
    <n v="6701.4"/>
  </r>
  <r>
    <x v="0"/>
    <x v="0"/>
    <x v="0"/>
    <x v="0"/>
    <x v="0"/>
    <s v="DK1_MedSmall"/>
    <x v="5"/>
    <s v="GNR_BO_NGAS_E-102"/>
    <x v="0"/>
    <x v="3"/>
    <n v="5.0999999999999996"/>
    <n v="1861.5"/>
    <n v="6701.4"/>
  </r>
  <r>
    <x v="0"/>
    <x v="0"/>
    <x v="0"/>
    <x v="0"/>
    <x v="0"/>
    <s v="DK1_MedSmall"/>
    <x v="5"/>
    <s v="GNR_BO_NGAS_E-102"/>
    <x v="0"/>
    <x v="4"/>
    <n v="5.0999999999999996"/>
    <n v="1861.5"/>
    <n v="6701.4"/>
  </r>
  <r>
    <x v="0"/>
    <x v="0"/>
    <x v="0"/>
    <x v="0"/>
    <x v="0"/>
    <s v="DK1_MedSmall"/>
    <x v="5"/>
    <s v="GNR_BO_NGAS_E-102"/>
    <x v="0"/>
    <x v="5"/>
    <n v="5.0999999999999996"/>
    <n v="1861.5"/>
    <n v="6701.4"/>
  </r>
  <r>
    <x v="0"/>
    <x v="0"/>
    <x v="0"/>
    <x v="0"/>
    <x v="0"/>
    <s v="DK1_MedSmall"/>
    <x v="5"/>
    <s v="GNR_BO_NGAS_E-102"/>
    <x v="0"/>
    <x v="15"/>
    <n v="5.0999999999999996"/>
    <n v="1861.5"/>
    <n v="6701.4"/>
  </r>
  <r>
    <x v="0"/>
    <x v="0"/>
    <x v="0"/>
    <x v="0"/>
    <x v="0"/>
    <s v="DK1_MedSmall"/>
    <x v="5"/>
    <s v="GNR_BO_NGAS_E-102"/>
    <x v="0"/>
    <x v="6"/>
    <n v="5.0999999999999996"/>
    <n v="1861.5"/>
    <n v="6701.4"/>
  </r>
  <r>
    <x v="0"/>
    <x v="0"/>
    <x v="0"/>
    <x v="0"/>
    <x v="0"/>
    <s v="DK1_MedSmall"/>
    <x v="5"/>
    <s v="GNR_BO_NGAS_E-102"/>
    <x v="0"/>
    <x v="7"/>
    <n v="5.0999999999999996"/>
    <n v="1861.5"/>
    <n v="6701.4"/>
  </r>
  <r>
    <x v="0"/>
    <x v="0"/>
    <x v="0"/>
    <x v="0"/>
    <x v="0"/>
    <s v="DK1_MedSmall"/>
    <x v="5"/>
    <s v="GNR_BO_NGAS_E-102"/>
    <x v="0"/>
    <x v="8"/>
    <n v="5.0999999999999996"/>
    <n v="1861.5"/>
    <n v="6701.4"/>
  </r>
  <r>
    <x v="0"/>
    <x v="0"/>
    <x v="0"/>
    <x v="0"/>
    <x v="0"/>
    <s v="DK1_MedSmall"/>
    <x v="5"/>
    <s v="GNR_BO_NGAS_E-102"/>
    <x v="0"/>
    <x v="16"/>
    <n v="5.0999999999999996"/>
    <n v="1861.5"/>
    <n v="6701.4"/>
  </r>
  <r>
    <x v="0"/>
    <x v="0"/>
    <x v="0"/>
    <x v="0"/>
    <x v="0"/>
    <s v="DK1_MedSmall"/>
    <x v="5"/>
    <s v="GNR_BO_NGAS_E-102"/>
    <x v="0"/>
    <x v="17"/>
    <n v="5.0999999999999996"/>
    <n v="1861.5"/>
    <n v="6701.4"/>
  </r>
  <r>
    <x v="0"/>
    <x v="0"/>
    <x v="0"/>
    <x v="0"/>
    <x v="0"/>
    <s v="DK1_MedSmall"/>
    <x v="5"/>
    <s v="GNR_BO_NGAS_E-102"/>
    <x v="0"/>
    <x v="18"/>
    <n v="5.0999999999999996"/>
    <n v="1861.5"/>
    <n v="6701.4"/>
  </r>
  <r>
    <x v="0"/>
    <x v="0"/>
    <x v="0"/>
    <x v="0"/>
    <x v="0"/>
    <s v="DK1_MedSmall"/>
    <x v="5"/>
    <s v="GNR_BO_NGAS_E-102"/>
    <x v="0"/>
    <x v="19"/>
    <n v="5.0999999999999996"/>
    <n v="1861.5"/>
    <n v="6701.4"/>
  </r>
  <r>
    <x v="0"/>
    <x v="0"/>
    <x v="0"/>
    <x v="0"/>
    <x v="0"/>
    <s v="DK1_MedSmall"/>
    <x v="5"/>
    <s v="GNR_BO_NGAS_E-102"/>
    <x v="0"/>
    <x v="20"/>
    <n v="5.0999999999999996"/>
    <n v="1861.5"/>
    <n v="6701.4"/>
  </r>
  <r>
    <x v="0"/>
    <x v="0"/>
    <x v="0"/>
    <x v="0"/>
    <x v="0"/>
    <s v="DK1_MedSmall"/>
    <x v="5"/>
    <s v="GNR_BO_NGAS_E-102"/>
    <x v="0"/>
    <x v="21"/>
    <n v="5.0999999999999996"/>
    <n v="1861.5"/>
    <n v="6701.4"/>
  </r>
  <r>
    <x v="0"/>
    <x v="0"/>
    <x v="0"/>
    <x v="0"/>
    <x v="0"/>
    <s v="DK1_MedSmall"/>
    <x v="5"/>
    <s v="GNR_BO_NGAS_E-102"/>
    <x v="0"/>
    <x v="22"/>
    <n v="5.0999999999999996"/>
    <n v="1861.5"/>
    <n v="6701.4"/>
  </r>
  <r>
    <x v="0"/>
    <x v="0"/>
    <x v="0"/>
    <x v="0"/>
    <x v="0"/>
    <s v="DK1_MedSmall"/>
    <x v="5"/>
    <s v="GNR_BO_NGAS_E-104"/>
    <x v="0"/>
    <x v="9"/>
    <n v="6.8781263845458804"/>
    <n v="2510.5161303592499"/>
    <n v="9037.8580692932792"/>
  </r>
  <r>
    <x v="0"/>
    <x v="0"/>
    <x v="0"/>
    <x v="0"/>
    <x v="0"/>
    <s v="DK1_MedSmall"/>
    <x v="5"/>
    <s v="GNR_BO_NGAS_E-104"/>
    <x v="0"/>
    <x v="10"/>
    <n v="5.4122632124191297"/>
    <n v="1975.47607253298"/>
    <n v="7111.7138611187402"/>
  </r>
  <r>
    <x v="0"/>
    <x v="0"/>
    <x v="0"/>
    <x v="0"/>
    <x v="0"/>
    <s v="DK1_MedSmall"/>
    <x v="5"/>
    <s v="GNR_BO_NGAS_E-104"/>
    <x v="0"/>
    <x v="11"/>
    <n v="4.0796603286675603"/>
    <n v="1489.07601996366"/>
    <n v="5360.67367186917"/>
  </r>
  <r>
    <x v="0"/>
    <x v="0"/>
    <x v="0"/>
    <x v="0"/>
    <x v="0"/>
    <s v="DK1_MedSmall"/>
    <x v="5"/>
    <s v="GNR_BO_NGAS_E-104"/>
    <x v="0"/>
    <x v="12"/>
    <n v="6.0785646542949197"/>
    <n v="2218.6760988176502"/>
    <n v="7987.2339557435298"/>
  </r>
  <r>
    <x v="0"/>
    <x v="0"/>
    <x v="0"/>
    <x v="0"/>
    <x v="0"/>
    <s v="DK1_MedSmall"/>
    <x v="5"/>
    <s v="GNR_BO_NGAS_E-104"/>
    <x v="0"/>
    <x v="13"/>
    <n v="7.5444278264216704"/>
    <n v="2753.7161566439099"/>
    <n v="9913.3781639180706"/>
  </r>
  <r>
    <x v="0"/>
    <x v="0"/>
    <x v="0"/>
    <x v="0"/>
    <x v="0"/>
    <s v="DK1_MedSmall"/>
    <x v="5"/>
    <s v="GNR_BO_NGAS_E-104"/>
    <x v="0"/>
    <x v="0"/>
    <n v="11.45"/>
    <n v="4179.25"/>
    <n v="15045.3"/>
  </r>
  <r>
    <x v="0"/>
    <x v="0"/>
    <x v="0"/>
    <x v="0"/>
    <x v="0"/>
    <s v="DK1_MedSmall"/>
    <x v="5"/>
    <s v="GNR_BO_NGAS_E-104"/>
    <x v="0"/>
    <x v="14"/>
    <n v="11.45"/>
    <n v="4179.25"/>
    <n v="15045.3"/>
  </r>
  <r>
    <x v="0"/>
    <x v="0"/>
    <x v="0"/>
    <x v="0"/>
    <x v="0"/>
    <s v="DK1_MedSmall"/>
    <x v="5"/>
    <s v="GNR_BO_NGAS_E-104"/>
    <x v="0"/>
    <x v="1"/>
    <n v="11.45"/>
    <n v="4179.25"/>
    <n v="15045.3"/>
  </r>
  <r>
    <x v="0"/>
    <x v="0"/>
    <x v="0"/>
    <x v="0"/>
    <x v="0"/>
    <s v="DK1_MedSmall"/>
    <x v="5"/>
    <s v="GNR_BO_NGAS_E-104"/>
    <x v="0"/>
    <x v="23"/>
    <n v="11.45"/>
    <n v="4179.25"/>
    <n v="15045.3"/>
  </r>
  <r>
    <x v="0"/>
    <x v="0"/>
    <x v="0"/>
    <x v="0"/>
    <x v="0"/>
    <s v="DK1_MedSmall"/>
    <x v="5"/>
    <s v="GNR_BO_NGAS_E-104"/>
    <x v="0"/>
    <x v="2"/>
    <n v="11.45"/>
    <n v="4179.25"/>
    <n v="15045.3"/>
  </r>
  <r>
    <x v="0"/>
    <x v="0"/>
    <x v="0"/>
    <x v="0"/>
    <x v="0"/>
    <s v="DK1_MedSmall"/>
    <x v="5"/>
    <s v="GNR_BO_NGAS_E-104"/>
    <x v="0"/>
    <x v="3"/>
    <n v="11.45"/>
    <n v="4179.25"/>
    <n v="15045.3"/>
  </r>
  <r>
    <x v="0"/>
    <x v="0"/>
    <x v="0"/>
    <x v="0"/>
    <x v="0"/>
    <s v="DK1_MedSmall"/>
    <x v="5"/>
    <s v="GNR_BO_NGAS_E-104"/>
    <x v="0"/>
    <x v="4"/>
    <n v="11.45"/>
    <n v="4179.25"/>
    <n v="15045.3"/>
  </r>
  <r>
    <x v="0"/>
    <x v="0"/>
    <x v="0"/>
    <x v="0"/>
    <x v="0"/>
    <s v="DK1_MedSmall"/>
    <x v="5"/>
    <s v="GNR_BO_NGAS_E-104"/>
    <x v="0"/>
    <x v="5"/>
    <n v="11.45"/>
    <n v="4179.25"/>
    <n v="15045.3"/>
  </r>
  <r>
    <x v="0"/>
    <x v="0"/>
    <x v="0"/>
    <x v="0"/>
    <x v="0"/>
    <s v="DK1_MedSmall"/>
    <x v="5"/>
    <s v="GNR_BO_NGAS_E-104"/>
    <x v="0"/>
    <x v="15"/>
    <n v="11.45"/>
    <n v="4179.25"/>
    <n v="15045.3"/>
  </r>
  <r>
    <x v="0"/>
    <x v="0"/>
    <x v="0"/>
    <x v="0"/>
    <x v="0"/>
    <s v="DK1_MedSmall"/>
    <x v="5"/>
    <s v="GNR_BO_NGAS_E-104"/>
    <x v="0"/>
    <x v="6"/>
    <n v="11.45"/>
    <n v="4179.25"/>
    <n v="15045.3"/>
  </r>
  <r>
    <x v="0"/>
    <x v="0"/>
    <x v="0"/>
    <x v="0"/>
    <x v="0"/>
    <s v="DK1_MedSmall"/>
    <x v="5"/>
    <s v="GNR_BO_NGAS_E-104"/>
    <x v="0"/>
    <x v="7"/>
    <n v="11.45"/>
    <n v="4179.25"/>
    <n v="15045.3"/>
  </r>
  <r>
    <x v="0"/>
    <x v="0"/>
    <x v="0"/>
    <x v="0"/>
    <x v="0"/>
    <s v="DK1_MedSmall"/>
    <x v="5"/>
    <s v="GNR_BO_NGAS_E-104"/>
    <x v="0"/>
    <x v="8"/>
    <n v="11.45"/>
    <n v="4179.25"/>
    <n v="15045.3"/>
  </r>
  <r>
    <x v="0"/>
    <x v="0"/>
    <x v="0"/>
    <x v="0"/>
    <x v="0"/>
    <s v="DK1_MedSmall"/>
    <x v="5"/>
    <s v="GNR_BO_NGAS_E-104"/>
    <x v="0"/>
    <x v="16"/>
    <n v="11.45"/>
    <n v="4179.25"/>
    <n v="15045.3"/>
  </r>
  <r>
    <x v="0"/>
    <x v="0"/>
    <x v="0"/>
    <x v="0"/>
    <x v="0"/>
    <s v="DK1_MedSmall"/>
    <x v="5"/>
    <s v="GNR_BO_NGAS_E-104"/>
    <x v="0"/>
    <x v="17"/>
    <n v="11.45"/>
    <n v="4179.25"/>
    <n v="15045.3"/>
  </r>
  <r>
    <x v="0"/>
    <x v="0"/>
    <x v="0"/>
    <x v="0"/>
    <x v="0"/>
    <s v="DK1_MedSmall"/>
    <x v="5"/>
    <s v="GNR_BO_NGAS_E-104"/>
    <x v="0"/>
    <x v="18"/>
    <n v="11.45"/>
    <n v="4179.25"/>
    <n v="15045.3"/>
  </r>
  <r>
    <x v="0"/>
    <x v="0"/>
    <x v="0"/>
    <x v="0"/>
    <x v="0"/>
    <s v="DK1_MedSmall"/>
    <x v="5"/>
    <s v="GNR_BO_NGAS_E-104"/>
    <x v="0"/>
    <x v="19"/>
    <n v="11.45"/>
    <n v="4179.25"/>
    <n v="15045.3"/>
  </r>
  <r>
    <x v="0"/>
    <x v="0"/>
    <x v="0"/>
    <x v="0"/>
    <x v="0"/>
    <s v="DK1_MedSmall"/>
    <x v="5"/>
    <s v="GNR_BO_NGAS_E-104"/>
    <x v="0"/>
    <x v="20"/>
    <n v="11.45"/>
    <n v="4179.25"/>
    <n v="15045.3"/>
  </r>
  <r>
    <x v="0"/>
    <x v="0"/>
    <x v="0"/>
    <x v="0"/>
    <x v="0"/>
    <s v="DK1_MedSmall"/>
    <x v="5"/>
    <s v="GNR_BO_NGAS_E-104"/>
    <x v="0"/>
    <x v="21"/>
    <n v="11.45"/>
    <n v="4179.25"/>
    <n v="15045.3"/>
  </r>
  <r>
    <x v="0"/>
    <x v="0"/>
    <x v="0"/>
    <x v="0"/>
    <x v="0"/>
    <s v="DK1_MedSmall"/>
    <x v="5"/>
    <s v="GNR_BO_NGAS_E-104"/>
    <x v="0"/>
    <x v="22"/>
    <n v="11.45"/>
    <n v="4179.25"/>
    <n v="15045.3"/>
  </r>
  <r>
    <x v="0"/>
    <x v="0"/>
    <x v="0"/>
    <x v="0"/>
    <x v="0"/>
    <s v="DK1_MedSmall"/>
    <x v="6"/>
    <s v="GNR_BO_STRW_E-102"/>
    <x v="0"/>
    <x v="9"/>
    <n v="10.73"/>
    <n v="3916.45"/>
    <n v="14099.22"/>
  </r>
  <r>
    <x v="0"/>
    <x v="0"/>
    <x v="0"/>
    <x v="0"/>
    <x v="0"/>
    <s v="DK1_MedSmall"/>
    <x v="6"/>
    <s v="GNR_BO_STRW_E-102"/>
    <x v="0"/>
    <x v="10"/>
    <n v="10.73"/>
    <n v="3916.45"/>
    <n v="14099.22"/>
  </r>
  <r>
    <x v="0"/>
    <x v="0"/>
    <x v="0"/>
    <x v="0"/>
    <x v="0"/>
    <s v="DK1_MedSmall"/>
    <x v="6"/>
    <s v="GNR_BO_STRW_E-102"/>
    <x v="0"/>
    <x v="11"/>
    <n v="10.73"/>
    <n v="3916.45"/>
    <n v="14099.22"/>
  </r>
  <r>
    <x v="0"/>
    <x v="0"/>
    <x v="0"/>
    <x v="0"/>
    <x v="0"/>
    <s v="DK1_MedSmall"/>
    <x v="6"/>
    <s v="GNR_BO_STRW_E-102"/>
    <x v="0"/>
    <x v="12"/>
    <n v="10.73"/>
    <n v="3916.45"/>
    <n v="14099.22"/>
  </r>
  <r>
    <x v="0"/>
    <x v="0"/>
    <x v="0"/>
    <x v="0"/>
    <x v="0"/>
    <s v="DK1_MedSmall"/>
    <x v="6"/>
    <s v="GNR_BO_STRW_E-102"/>
    <x v="0"/>
    <x v="13"/>
    <n v="10.73"/>
    <n v="3916.45"/>
    <n v="14099.22"/>
  </r>
  <r>
    <x v="0"/>
    <x v="0"/>
    <x v="0"/>
    <x v="0"/>
    <x v="0"/>
    <s v="DK1_MedSmall"/>
    <x v="6"/>
    <s v="GNR_BO_STRW_E-102"/>
    <x v="0"/>
    <x v="0"/>
    <n v="10.73"/>
    <n v="3916.45"/>
    <n v="14099.22"/>
  </r>
  <r>
    <x v="0"/>
    <x v="0"/>
    <x v="0"/>
    <x v="0"/>
    <x v="0"/>
    <s v="DK1_MedSmall"/>
    <x v="6"/>
    <s v="GNR_BO_STRW_E-102"/>
    <x v="0"/>
    <x v="14"/>
    <n v="10.73"/>
    <n v="3916.45"/>
    <n v="14099.22"/>
  </r>
  <r>
    <x v="0"/>
    <x v="0"/>
    <x v="0"/>
    <x v="0"/>
    <x v="0"/>
    <s v="DK1_MedSmall"/>
    <x v="6"/>
    <s v="GNR_BO_STRW_E-102"/>
    <x v="0"/>
    <x v="1"/>
    <n v="10.73"/>
    <n v="3916.45"/>
    <n v="14099.22"/>
  </r>
  <r>
    <x v="0"/>
    <x v="0"/>
    <x v="0"/>
    <x v="0"/>
    <x v="0"/>
    <s v="DK1_MedSmall"/>
    <x v="6"/>
    <s v="GNR_BO_STRW_E-102"/>
    <x v="0"/>
    <x v="23"/>
    <n v="10.73"/>
    <n v="3916.45"/>
    <n v="14099.22"/>
  </r>
  <r>
    <x v="0"/>
    <x v="0"/>
    <x v="0"/>
    <x v="0"/>
    <x v="0"/>
    <s v="DK1_MedSmall"/>
    <x v="6"/>
    <s v="GNR_BO_STRW_E-102"/>
    <x v="0"/>
    <x v="2"/>
    <n v="10.73"/>
    <n v="3916.45"/>
    <n v="14099.22"/>
  </r>
  <r>
    <x v="0"/>
    <x v="0"/>
    <x v="0"/>
    <x v="0"/>
    <x v="0"/>
    <s v="DK1_MedSmall"/>
    <x v="6"/>
    <s v="GNR_BO_STRW_E-102"/>
    <x v="0"/>
    <x v="3"/>
    <n v="10.73"/>
    <n v="3916.45"/>
    <n v="14099.22"/>
  </r>
  <r>
    <x v="0"/>
    <x v="0"/>
    <x v="0"/>
    <x v="0"/>
    <x v="0"/>
    <s v="DK1_MedSmall"/>
    <x v="6"/>
    <s v="GNR_BO_STRW_E-102"/>
    <x v="0"/>
    <x v="4"/>
    <n v="10.73"/>
    <n v="3916.45"/>
    <n v="14099.22"/>
  </r>
  <r>
    <x v="0"/>
    <x v="0"/>
    <x v="0"/>
    <x v="0"/>
    <x v="0"/>
    <s v="DK1_MedSmall"/>
    <x v="6"/>
    <s v="GNR_BO_STRW_E-102"/>
    <x v="0"/>
    <x v="5"/>
    <n v="10.73"/>
    <n v="3916.45"/>
    <n v="14099.22"/>
  </r>
  <r>
    <x v="0"/>
    <x v="0"/>
    <x v="0"/>
    <x v="0"/>
    <x v="0"/>
    <s v="DK1_MedSmall"/>
    <x v="6"/>
    <s v="GNR_BO_STRW_E-102"/>
    <x v="0"/>
    <x v="15"/>
    <n v="10.73"/>
    <n v="3916.45"/>
    <n v="14099.22"/>
  </r>
  <r>
    <x v="0"/>
    <x v="0"/>
    <x v="0"/>
    <x v="0"/>
    <x v="0"/>
    <s v="DK1_MedSmall"/>
    <x v="6"/>
    <s v="GNR_BO_STRW_E-102"/>
    <x v="0"/>
    <x v="6"/>
    <n v="10.73"/>
    <n v="3916.45"/>
    <n v="14099.22"/>
  </r>
  <r>
    <x v="0"/>
    <x v="0"/>
    <x v="0"/>
    <x v="0"/>
    <x v="0"/>
    <s v="DK1_MedSmall"/>
    <x v="6"/>
    <s v="GNR_BO_STRW_E-102"/>
    <x v="0"/>
    <x v="7"/>
    <n v="10.73"/>
    <n v="3916.45"/>
    <n v="14099.22"/>
  </r>
  <r>
    <x v="0"/>
    <x v="0"/>
    <x v="0"/>
    <x v="0"/>
    <x v="0"/>
    <s v="DK1_MedSmall"/>
    <x v="6"/>
    <s v="GNR_BO_STRW_E-102"/>
    <x v="0"/>
    <x v="8"/>
    <n v="10.73"/>
    <n v="3916.45"/>
    <n v="14099.22"/>
  </r>
  <r>
    <x v="0"/>
    <x v="0"/>
    <x v="0"/>
    <x v="0"/>
    <x v="0"/>
    <s v="DK1_MedSmall"/>
    <x v="6"/>
    <s v="GNR_BO_STRW_E-102"/>
    <x v="0"/>
    <x v="16"/>
    <n v="10.73"/>
    <n v="3916.45"/>
    <n v="14099.22"/>
  </r>
  <r>
    <x v="0"/>
    <x v="0"/>
    <x v="0"/>
    <x v="0"/>
    <x v="0"/>
    <s v="DK1_MedSmall"/>
    <x v="6"/>
    <s v="GNR_BO_STRW_E-102"/>
    <x v="0"/>
    <x v="17"/>
    <n v="10.73"/>
    <n v="3916.45"/>
    <n v="14099.22"/>
  </r>
  <r>
    <x v="0"/>
    <x v="0"/>
    <x v="0"/>
    <x v="0"/>
    <x v="0"/>
    <s v="DK1_MedSmall"/>
    <x v="6"/>
    <s v="GNR_BO_STRW_E-102"/>
    <x v="0"/>
    <x v="18"/>
    <n v="10.73"/>
    <n v="3916.45"/>
    <n v="14099.22"/>
  </r>
  <r>
    <x v="0"/>
    <x v="0"/>
    <x v="0"/>
    <x v="0"/>
    <x v="0"/>
    <s v="DK1_MedSmall"/>
    <x v="6"/>
    <s v="GNR_BO_STRW_E-102"/>
    <x v="0"/>
    <x v="19"/>
    <n v="10.73"/>
    <n v="3916.45"/>
    <n v="14099.22"/>
  </r>
  <r>
    <x v="0"/>
    <x v="0"/>
    <x v="0"/>
    <x v="0"/>
    <x v="0"/>
    <s v="DK1_MedSmall"/>
    <x v="6"/>
    <s v="GNR_BO_STRW_E-102"/>
    <x v="0"/>
    <x v="20"/>
    <n v="10.73"/>
    <n v="3916.45"/>
    <n v="14099.22"/>
  </r>
  <r>
    <x v="0"/>
    <x v="0"/>
    <x v="0"/>
    <x v="0"/>
    <x v="0"/>
    <s v="DK1_MedSmall"/>
    <x v="6"/>
    <s v="GNR_BO_STRW_E-102"/>
    <x v="0"/>
    <x v="21"/>
    <n v="10.73"/>
    <n v="3916.45"/>
    <n v="14099.22"/>
  </r>
  <r>
    <x v="0"/>
    <x v="0"/>
    <x v="0"/>
    <x v="0"/>
    <x v="0"/>
    <s v="DK1_MedSmall"/>
    <x v="6"/>
    <s v="GNR_BO_STRW_E-102"/>
    <x v="0"/>
    <x v="22"/>
    <n v="10.73"/>
    <n v="3916.45"/>
    <n v="14099.22"/>
  </r>
  <r>
    <x v="0"/>
    <x v="0"/>
    <x v="0"/>
    <x v="0"/>
    <x v="0"/>
    <s v="DK1_MedSmall"/>
    <x v="6"/>
    <s v="GNR_ST_STRW_BP_E-21"/>
    <x v="0"/>
    <x v="1"/>
    <n v="39.356224428201102"/>
    <n v="14365.021916293401"/>
    <n v="51714.078898656197"/>
  </r>
  <r>
    <x v="0"/>
    <x v="0"/>
    <x v="0"/>
    <x v="0"/>
    <x v="0"/>
    <s v="DK1_MedSmall"/>
    <x v="6"/>
    <s v="GNR_ST_STRW_BP_E-21"/>
    <x v="0"/>
    <x v="23"/>
    <n v="39.356224428201102"/>
    <n v="14365.021916293401"/>
    <n v="51714.078898656197"/>
  </r>
  <r>
    <x v="0"/>
    <x v="0"/>
    <x v="0"/>
    <x v="0"/>
    <x v="0"/>
    <s v="DK1_MedSmall"/>
    <x v="6"/>
    <s v="GNR_ST_STRW_BP_E-21"/>
    <x v="0"/>
    <x v="2"/>
    <n v="39.356224428201102"/>
    <n v="14365.021916293401"/>
    <n v="51714.078898656197"/>
  </r>
  <r>
    <x v="0"/>
    <x v="0"/>
    <x v="0"/>
    <x v="0"/>
    <x v="0"/>
    <s v="DK1_MedSmall"/>
    <x v="2"/>
    <s v="GNR_EH_HEAT"/>
    <x v="0"/>
    <x v="9"/>
    <n v="12.5"/>
    <n v="4562.5"/>
    <n v="16425"/>
  </r>
  <r>
    <x v="0"/>
    <x v="0"/>
    <x v="0"/>
    <x v="0"/>
    <x v="0"/>
    <s v="DK1_MedSmall"/>
    <x v="2"/>
    <s v="GNR_EH_HEAT"/>
    <x v="0"/>
    <x v="10"/>
    <n v="12.5"/>
    <n v="4562.5"/>
    <n v="16425"/>
  </r>
  <r>
    <x v="0"/>
    <x v="0"/>
    <x v="0"/>
    <x v="0"/>
    <x v="0"/>
    <s v="DK1_MedSmall"/>
    <x v="2"/>
    <s v="GNR_EH_HEAT"/>
    <x v="0"/>
    <x v="11"/>
    <n v="12.5"/>
    <n v="4562.5"/>
    <n v="16425"/>
  </r>
  <r>
    <x v="0"/>
    <x v="0"/>
    <x v="0"/>
    <x v="0"/>
    <x v="0"/>
    <s v="DK1_MedSmall"/>
    <x v="2"/>
    <s v="GNR_EH_HEAT"/>
    <x v="0"/>
    <x v="12"/>
    <n v="12.5"/>
    <n v="4562.5"/>
    <n v="16425"/>
  </r>
  <r>
    <x v="0"/>
    <x v="0"/>
    <x v="0"/>
    <x v="0"/>
    <x v="0"/>
    <s v="DK1_MedSmall"/>
    <x v="2"/>
    <s v="GNR_EH_HEAT"/>
    <x v="0"/>
    <x v="13"/>
    <n v="12.5"/>
    <n v="4562.5"/>
    <n v="16425"/>
  </r>
  <r>
    <x v="0"/>
    <x v="0"/>
    <x v="0"/>
    <x v="0"/>
    <x v="0"/>
    <s v="DK1_MedSmall"/>
    <x v="2"/>
    <s v="GNR_EH_HEAT"/>
    <x v="0"/>
    <x v="0"/>
    <n v="12.5"/>
    <n v="4562.5"/>
    <n v="16425"/>
  </r>
  <r>
    <x v="0"/>
    <x v="0"/>
    <x v="0"/>
    <x v="0"/>
    <x v="0"/>
    <s v="DK1_MedSmall"/>
    <x v="2"/>
    <s v="GNR_EH_HEAT"/>
    <x v="0"/>
    <x v="14"/>
    <n v="12.5"/>
    <n v="4562.5"/>
    <n v="16425"/>
  </r>
  <r>
    <x v="0"/>
    <x v="0"/>
    <x v="0"/>
    <x v="0"/>
    <x v="0"/>
    <s v="DK1_MedSmall"/>
    <x v="2"/>
    <s v="GNR_EH_HEAT"/>
    <x v="0"/>
    <x v="1"/>
    <n v="12.5"/>
    <n v="4562.5"/>
    <n v="16425"/>
  </r>
  <r>
    <x v="0"/>
    <x v="0"/>
    <x v="0"/>
    <x v="0"/>
    <x v="0"/>
    <s v="DK1_MedSmall"/>
    <x v="2"/>
    <s v="GNR_EH_HEAT"/>
    <x v="0"/>
    <x v="23"/>
    <n v="12.5"/>
    <n v="4562.5"/>
    <n v="16425"/>
  </r>
  <r>
    <x v="0"/>
    <x v="0"/>
    <x v="0"/>
    <x v="0"/>
    <x v="0"/>
    <s v="DK1_MedSmall"/>
    <x v="2"/>
    <s v="GNR_EH_HEAT"/>
    <x v="0"/>
    <x v="2"/>
    <n v="12.5"/>
    <n v="4562.5"/>
    <n v="16425"/>
  </r>
  <r>
    <x v="0"/>
    <x v="0"/>
    <x v="0"/>
    <x v="0"/>
    <x v="0"/>
    <s v="DK1_MedSmall"/>
    <x v="2"/>
    <s v="GNR_EH_HEAT"/>
    <x v="0"/>
    <x v="3"/>
    <n v="12.5"/>
    <n v="4562.5"/>
    <n v="16425"/>
  </r>
  <r>
    <x v="0"/>
    <x v="0"/>
    <x v="0"/>
    <x v="0"/>
    <x v="0"/>
    <s v="DK1_MedSmall"/>
    <x v="2"/>
    <s v="GNR_EH_HEAT"/>
    <x v="0"/>
    <x v="4"/>
    <n v="12.5"/>
    <n v="4562.5"/>
    <n v="16425"/>
  </r>
  <r>
    <x v="0"/>
    <x v="0"/>
    <x v="0"/>
    <x v="0"/>
    <x v="0"/>
    <s v="DK1_MedSmall"/>
    <x v="2"/>
    <s v="GNR_EH_HEAT"/>
    <x v="0"/>
    <x v="5"/>
    <n v="12.5"/>
    <n v="4562.5"/>
    <n v="16425"/>
  </r>
  <r>
    <x v="0"/>
    <x v="0"/>
    <x v="0"/>
    <x v="0"/>
    <x v="0"/>
    <s v="DK1_MedSmall"/>
    <x v="2"/>
    <s v="GNR_EH_HEAT"/>
    <x v="0"/>
    <x v="15"/>
    <n v="12.5"/>
    <n v="4562.5"/>
    <n v="16425"/>
  </r>
  <r>
    <x v="0"/>
    <x v="0"/>
    <x v="0"/>
    <x v="0"/>
    <x v="0"/>
    <s v="DK1_MedSmall"/>
    <x v="2"/>
    <s v="GNR_EH_HEAT"/>
    <x v="0"/>
    <x v="6"/>
    <n v="12.5"/>
    <n v="4562.5"/>
    <n v="16425"/>
  </r>
  <r>
    <x v="0"/>
    <x v="0"/>
    <x v="0"/>
    <x v="0"/>
    <x v="0"/>
    <s v="DK1_MedSmall"/>
    <x v="2"/>
    <s v="GNR_EH_HEAT"/>
    <x v="0"/>
    <x v="7"/>
    <n v="12.5"/>
    <n v="4562.5"/>
    <n v="16425"/>
  </r>
  <r>
    <x v="0"/>
    <x v="0"/>
    <x v="0"/>
    <x v="0"/>
    <x v="0"/>
    <s v="DK1_MedSmall"/>
    <x v="2"/>
    <s v="GNR_EH_HEAT"/>
    <x v="0"/>
    <x v="8"/>
    <n v="12.5"/>
    <n v="4562.5"/>
    <n v="16425"/>
  </r>
  <r>
    <x v="0"/>
    <x v="0"/>
    <x v="0"/>
    <x v="0"/>
    <x v="0"/>
    <s v="DK1_MedSmall"/>
    <x v="2"/>
    <s v="GNR_EH_HEAT"/>
    <x v="0"/>
    <x v="16"/>
    <n v="12.5"/>
    <n v="4562.5"/>
    <n v="16425"/>
  </r>
  <r>
    <x v="0"/>
    <x v="0"/>
    <x v="0"/>
    <x v="0"/>
    <x v="0"/>
    <s v="DK1_MedSmall"/>
    <x v="2"/>
    <s v="GNR_EH_HEAT"/>
    <x v="0"/>
    <x v="17"/>
    <n v="12.5"/>
    <n v="4562.5"/>
    <n v="16425"/>
  </r>
  <r>
    <x v="0"/>
    <x v="0"/>
    <x v="0"/>
    <x v="0"/>
    <x v="0"/>
    <s v="DK1_MedSmall"/>
    <x v="2"/>
    <s v="GNR_EH_HEAT"/>
    <x v="0"/>
    <x v="18"/>
    <n v="12.5"/>
    <n v="4562.5"/>
    <n v="16425"/>
  </r>
  <r>
    <x v="0"/>
    <x v="0"/>
    <x v="0"/>
    <x v="0"/>
    <x v="0"/>
    <s v="DK1_MedSmall"/>
    <x v="2"/>
    <s v="GNR_EH_HEAT"/>
    <x v="0"/>
    <x v="19"/>
    <n v="12.5"/>
    <n v="4562.5"/>
    <n v="16425"/>
  </r>
  <r>
    <x v="0"/>
    <x v="0"/>
    <x v="0"/>
    <x v="0"/>
    <x v="0"/>
    <s v="DK1_MedSmall"/>
    <x v="2"/>
    <s v="GNR_EH_HEAT"/>
    <x v="0"/>
    <x v="20"/>
    <n v="12.5"/>
    <n v="4562.5"/>
    <n v="16425"/>
  </r>
  <r>
    <x v="0"/>
    <x v="0"/>
    <x v="0"/>
    <x v="0"/>
    <x v="0"/>
    <s v="DK1_MedSmall"/>
    <x v="2"/>
    <s v="GNR_EH_HEAT"/>
    <x v="0"/>
    <x v="21"/>
    <n v="12.5"/>
    <n v="4562.5"/>
    <n v="16425"/>
  </r>
  <r>
    <x v="0"/>
    <x v="0"/>
    <x v="0"/>
    <x v="0"/>
    <x v="0"/>
    <s v="DK1_MedSmall"/>
    <x v="2"/>
    <s v="GNR_EH_HEAT"/>
    <x v="0"/>
    <x v="22"/>
    <n v="12.5"/>
    <n v="4562.5"/>
    <n v="16425"/>
  </r>
  <r>
    <x v="0"/>
    <x v="0"/>
    <x v="0"/>
    <x v="0"/>
    <x v="0"/>
    <s v="DK1_MedSmall"/>
    <x v="2"/>
    <s v="GNR_GEO_HEAT_HO"/>
    <x v="0"/>
    <x v="9"/>
    <n v="8.3000000000000007"/>
    <n v="3029.5"/>
    <n v="10906.2"/>
  </r>
  <r>
    <x v="0"/>
    <x v="0"/>
    <x v="0"/>
    <x v="0"/>
    <x v="0"/>
    <s v="DK1_MedSmall"/>
    <x v="2"/>
    <s v="GNR_GEO_HEAT_HO"/>
    <x v="0"/>
    <x v="10"/>
    <n v="8.3000000000000007"/>
    <n v="3029.5"/>
    <n v="10906.2"/>
  </r>
  <r>
    <x v="0"/>
    <x v="0"/>
    <x v="0"/>
    <x v="0"/>
    <x v="0"/>
    <s v="DK1_MedSmall"/>
    <x v="2"/>
    <s v="GNR_GEO_HEAT_HO"/>
    <x v="0"/>
    <x v="11"/>
    <n v="8.3000000000000007"/>
    <n v="3029.5"/>
    <n v="10906.2"/>
  </r>
  <r>
    <x v="0"/>
    <x v="0"/>
    <x v="0"/>
    <x v="0"/>
    <x v="0"/>
    <s v="DK1_MedSmall"/>
    <x v="2"/>
    <s v="GNR_GEO_HEAT_HO"/>
    <x v="0"/>
    <x v="12"/>
    <n v="8.3000000000000007"/>
    <n v="3029.5"/>
    <n v="10906.2"/>
  </r>
  <r>
    <x v="0"/>
    <x v="0"/>
    <x v="0"/>
    <x v="0"/>
    <x v="0"/>
    <s v="DK1_MedSmall"/>
    <x v="2"/>
    <s v="GNR_GEO_HEAT_HO"/>
    <x v="0"/>
    <x v="13"/>
    <n v="8.3000000000000007"/>
    <n v="3029.5"/>
    <n v="10906.2"/>
  </r>
  <r>
    <x v="0"/>
    <x v="0"/>
    <x v="0"/>
    <x v="0"/>
    <x v="0"/>
    <s v="DK1_MedSmall"/>
    <x v="2"/>
    <s v="GNR_GEO_HEAT_HO"/>
    <x v="0"/>
    <x v="0"/>
    <n v="8.3000000000000007"/>
    <n v="3029.5"/>
    <n v="10906.2"/>
  </r>
  <r>
    <x v="0"/>
    <x v="0"/>
    <x v="0"/>
    <x v="0"/>
    <x v="0"/>
    <s v="DK1_MedSmall"/>
    <x v="2"/>
    <s v="GNR_GEO_HEAT_HO"/>
    <x v="0"/>
    <x v="14"/>
    <n v="8.3000000000000007"/>
    <n v="3029.5"/>
    <n v="10906.2"/>
  </r>
  <r>
    <x v="0"/>
    <x v="0"/>
    <x v="0"/>
    <x v="0"/>
    <x v="0"/>
    <s v="DK1_MedSmall"/>
    <x v="2"/>
    <s v="GNR_GEO_HEAT_HO"/>
    <x v="0"/>
    <x v="1"/>
    <n v="8.3000000000000007"/>
    <n v="3029.5"/>
    <n v="10906.2"/>
  </r>
  <r>
    <x v="0"/>
    <x v="0"/>
    <x v="0"/>
    <x v="0"/>
    <x v="0"/>
    <s v="DK1_MedSmall"/>
    <x v="2"/>
    <s v="GNR_GEO_HEAT_HO"/>
    <x v="0"/>
    <x v="23"/>
    <n v="8.3000000000000007"/>
    <n v="3029.5"/>
    <n v="10906.2"/>
  </r>
  <r>
    <x v="0"/>
    <x v="0"/>
    <x v="0"/>
    <x v="0"/>
    <x v="0"/>
    <s v="DK1_MedSmall"/>
    <x v="2"/>
    <s v="GNR_GEO_HEAT_HO"/>
    <x v="0"/>
    <x v="2"/>
    <n v="8.3000000000000007"/>
    <n v="3029.5"/>
    <n v="10906.2"/>
  </r>
  <r>
    <x v="0"/>
    <x v="0"/>
    <x v="0"/>
    <x v="0"/>
    <x v="0"/>
    <s v="DK1_MedSmall"/>
    <x v="2"/>
    <s v="GNR_GEO_HEAT_HO"/>
    <x v="0"/>
    <x v="3"/>
    <n v="8.3000000000000007"/>
    <n v="3029.5"/>
    <n v="10906.2"/>
  </r>
  <r>
    <x v="0"/>
    <x v="0"/>
    <x v="0"/>
    <x v="0"/>
    <x v="0"/>
    <s v="DK1_MedSmall"/>
    <x v="2"/>
    <s v="GNR_GEO_HEAT_HO"/>
    <x v="0"/>
    <x v="4"/>
    <n v="8.3000000000000007"/>
    <n v="3029.5"/>
    <n v="10906.2"/>
  </r>
  <r>
    <x v="0"/>
    <x v="0"/>
    <x v="0"/>
    <x v="0"/>
    <x v="0"/>
    <s v="DK1_MedSmall"/>
    <x v="2"/>
    <s v="GNR_GEO_HEAT_HO"/>
    <x v="0"/>
    <x v="5"/>
    <n v="8.3000000000000007"/>
    <n v="3029.5"/>
    <n v="10906.2"/>
  </r>
  <r>
    <x v="0"/>
    <x v="0"/>
    <x v="0"/>
    <x v="0"/>
    <x v="0"/>
    <s v="DK1_MedSmall"/>
    <x v="2"/>
    <s v="GNR_GEO_HEAT_HO"/>
    <x v="0"/>
    <x v="15"/>
    <n v="8.3000000000000007"/>
    <n v="3029.5"/>
    <n v="10906.2"/>
  </r>
  <r>
    <x v="0"/>
    <x v="0"/>
    <x v="0"/>
    <x v="0"/>
    <x v="0"/>
    <s v="DK1_MedSmall"/>
    <x v="2"/>
    <s v="GNR_GEO_HEAT_HO"/>
    <x v="0"/>
    <x v="6"/>
    <n v="8.3000000000000007"/>
    <n v="3029.5"/>
    <n v="10906.2"/>
  </r>
  <r>
    <x v="0"/>
    <x v="0"/>
    <x v="0"/>
    <x v="0"/>
    <x v="0"/>
    <s v="DK1_MedSmall"/>
    <x v="2"/>
    <s v="GNR_GEO_HEAT_HO"/>
    <x v="0"/>
    <x v="7"/>
    <n v="8.3000000000000007"/>
    <n v="3029.5"/>
    <n v="10906.2"/>
  </r>
  <r>
    <x v="0"/>
    <x v="0"/>
    <x v="0"/>
    <x v="0"/>
    <x v="0"/>
    <s v="DK1_MedSmall"/>
    <x v="2"/>
    <s v="GNR_GEO_HEAT_HO"/>
    <x v="0"/>
    <x v="8"/>
    <n v="8.3000000000000007"/>
    <n v="3029.5"/>
    <n v="10906.2"/>
  </r>
  <r>
    <x v="0"/>
    <x v="0"/>
    <x v="0"/>
    <x v="0"/>
    <x v="0"/>
    <s v="DK1_MedSmall"/>
    <x v="2"/>
    <s v="GNR_GEO_HEAT_HO"/>
    <x v="0"/>
    <x v="16"/>
    <n v="8.3000000000000007"/>
    <n v="3029.5"/>
    <n v="10906.2"/>
  </r>
  <r>
    <x v="0"/>
    <x v="0"/>
    <x v="0"/>
    <x v="0"/>
    <x v="0"/>
    <s v="DK1_MedSmall"/>
    <x v="2"/>
    <s v="GNR_GEO_HEAT_HO"/>
    <x v="0"/>
    <x v="17"/>
    <n v="8.3000000000000007"/>
    <n v="3029.5"/>
    <n v="10906.2"/>
  </r>
  <r>
    <x v="0"/>
    <x v="0"/>
    <x v="0"/>
    <x v="0"/>
    <x v="0"/>
    <s v="DK1_MedSmall"/>
    <x v="2"/>
    <s v="GNR_GEO_HEAT_HO"/>
    <x v="0"/>
    <x v="18"/>
    <n v="8.3000000000000007"/>
    <n v="3029.5"/>
    <n v="10906.2"/>
  </r>
  <r>
    <x v="0"/>
    <x v="0"/>
    <x v="0"/>
    <x v="0"/>
    <x v="0"/>
    <s v="DK1_MedSmall"/>
    <x v="2"/>
    <s v="GNR_GEO_HEAT_HO"/>
    <x v="0"/>
    <x v="19"/>
    <n v="8.3000000000000007"/>
    <n v="3029.5"/>
    <n v="10906.2"/>
  </r>
  <r>
    <x v="0"/>
    <x v="0"/>
    <x v="0"/>
    <x v="0"/>
    <x v="0"/>
    <s v="DK1_MedSmall"/>
    <x v="2"/>
    <s v="GNR_GEO_HEAT_HO"/>
    <x v="0"/>
    <x v="20"/>
    <n v="8.3000000000000007"/>
    <n v="3029.5"/>
    <n v="10906.2"/>
  </r>
  <r>
    <x v="0"/>
    <x v="0"/>
    <x v="0"/>
    <x v="0"/>
    <x v="0"/>
    <s v="DK1_MedSmall"/>
    <x v="2"/>
    <s v="GNR_GEO_HEAT_HO"/>
    <x v="0"/>
    <x v="21"/>
    <n v="8.3000000000000007"/>
    <n v="3029.5"/>
    <n v="10906.2"/>
  </r>
  <r>
    <x v="0"/>
    <x v="0"/>
    <x v="0"/>
    <x v="0"/>
    <x v="0"/>
    <s v="DK1_MedSmall"/>
    <x v="2"/>
    <s v="GNR_GEO_HEAT_HO"/>
    <x v="0"/>
    <x v="22"/>
    <n v="8.3000000000000007"/>
    <n v="3029.5"/>
    <n v="10906.2"/>
  </r>
  <r>
    <x v="0"/>
    <x v="0"/>
    <x v="0"/>
    <x v="0"/>
    <x v="0"/>
    <s v="DK1_MedSmall"/>
    <x v="7"/>
    <s v="GNR_BO_WOODCHI_E-100"/>
    <x v="0"/>
    <x v="9"/>
    <n v="2.1"/>
    <n v="766.5"/>
    <n v="2759.4"/>
  </r>
  <r>
    <x v="0"/>
    <x v="0"/>
    <x v="0"/>
    <x v="0"/>
    <x v="0"/>
    <s v="DK1_MedSmall"/>
    <x v="7"/>
    <s v="GNR_BO_WOODCHI_E-100"/>
    <x v="0"/>
    <x v="10"/>
    <n v="2.1"/>
    <n v="766.5"/>
    <n v="2759.4"/>
  </r>
  <r>
    <x v="0"/>
    <x v="0"/>
    <x v="0"/>
    <x v="0"/>
    <x v="0"/>
    <s v="DK1_MedSmall"/>
    <x v="7"/>
    <s v="GNR_BO_WOODCHI_E-100"/>
    <x v="0"/>
    <x v="11"/>
    <n v="2.1"/>
    <n v="766.5"/>
    <n v="2759.4"/>
  </r>
  <r>
    <x v="0"/>
    <x v="0"/>
    <x v="0"/>
    <x v="0"/>
    <x v="0"/>
    <s v="DK1_MedSmall"/>
    <x v="7"/>
    <s v="GNR_BO_WOODCHI_E-100"/>
    <x v="0"/>
    <x v="12"/>
    <n v="2.1"/>
    <n v="766.5"/>
    <n v="2759.4"/>
  </r>
  <r>
    <x v="0"/>
    <x v="0"/>
    <x v="0"/>
    <x v="0"/>
    <x v="0"/>
    <s v="DK1_MedSmall"/>
    <x v="7"/>
    <s v="GNR_BO_WOODCHI_E-100"/>
    <x v="0"/>
    <x v="13"/>
    <n v="2.1"/>
    <n v="766.5"/>
    <n v="2759.4"/>
  </r>
  <r>
    <x v="0"/>
    <x v="0"/>
    <x v="0"/>
    <x v="0"/>
    <x v="0"/>
    <s v="DK1_MedSmall"/>
    <x v="7"/>
    <s v="GNR_BO_WOODCHI_E-100"/>
    <x v="0"/>
    <x v="0"/>
    <n v="2.1"/>
    <n v="766.5"/>
    <n v="2759.4"/>
  </r>
  <r>
    <x v="0"/>
    <x v="0"/>
    <x v="0"/>
    <x v="0"/>
    <x v="0"/>
    <s v="DK1_MedSmall"/>
    <x v="7"/>
    <s v="GNR_BO_WOODCHI_E-100"/>
    <x v="0"/>
    <x v="14"/>
    <n v="2.1"/>
    <n v="766.5"/>
    <n v="2759.4"/>
  </r>
  <r>
    <x v="0"/>
    <x v="0"/>
    <x v="0"/>
    <x v="0"/>
    <x v="0"/>
    <s v="DK1_MedSmall"/>
    <x v="7"/>
    <s v="GNR_BO_WOODCHI_E-100"/>
    <x v="0"/>
    <x v="1"/>
    <n v="2.1"/>
    <n v="766.5"/>
    <n v="2759.4"/>
  </r>
  <r>
    <x v="0"/>
    <x v="0"/>
    <x v="0"/>
    <x v="0"/>
    <x v="0"/>
    <s v="DK1_MedSmall"/>
    <x v="7"/>
    <s v="GNR_BO_WOODCHI_E-100"/>
    <x v="0"/>
    <x v="23"/>
    <n v="2.1"/>
    <n v="766.5"/>
    <n v="2759.4"/>
  </r>
  <r>
    <x v="0"/>
    <x v="0"/>
    <x v="0"/>
    <x v="0"/>
    <x v="0"/>
    <s v="DK1_MedSmall"/>
    <x v="7"/>
    <s v="GNR_BO_WOODCHI_E-100"/>
    <x v="0"/>
    <x v="2"/>
    <n v="2.1"/>
    <n v="766.5"/>
    <n v="2759.4"/>
  </r>
  <r>
    <x v="0"/>
    <x v="0"/>
    <x v="0"/>
    <x v="0"/>
    <x v="0"/>
    <s v="DK1_MedSmall"/>
    <x v="7"/>
    <s v="GNR_BO_WOODCHI_E-100"/>
    <x v="0"/>
    <x v="3"/>
    <n v="2.1"/>
    <n v="766.5"/>
    <n v="2759.4"/>
  </r>
  <r>
    <x v="0"/>
    <x v="0"/>
    <x v="0"/>
    <x v="0"/>
    <x v="0"/>
    <s v="DK1_MedSmall"/>
    <x v="7"/>
    <s v="GNR_BO_WOODCHI_E-100"/>
    <x v="0"/>
    <x v="4"/>
    <n v="2.1"/>
    <n v="766.5"/>
    <n v="2759.4"/>
  </r>
  <r>
    <x v="0"/>
    <x v="0"/>
    <x v="0"/>
    <x v="0"/>
    <x v="0"/>
    <s v="DK1_MedSmall"/>
    <x v="7"/>
    <s v="GNR_BO_WOODCHI_E-100"/>
    <x v="0"/>
    <x v="5"/>
    <n v="2.1"/>
    <n v="766.5"/>
    <n v="2759.4"/>
  </r>
  <r>
    <x v="0"/>
    <x v="0"/>
    <x v="0"/>
    <x v="0"/>
    <x v="0"/>
    <s v="DK1_MedSmall"/>
    <x v="7"/>
    <s v="GNR_BO_WOODCHI_E-100"/>
    <x v="0"/>
    <x v="15"/>
    <n v="2.1"/>
    <n v="766.5"/>
    <n v="2759.4"/>
  </r>
  <r>
    <x v="0"/>
    <x v="0"/>
    <x v="0"/>
    <x v="0"/>
    <x v="0"/>
    <s v="DK1_MedSmall"/>
    <x v="7"/>
    <s v="GNR_BO_WOODCHI_E-100"/>
    <x v="0"/>
    <x v="6"/>
    <n v="2.1"/>
    <n v="766.5"/>
    <n v="2759.4"/>
  </r>
  <r>
    <x v="0"/>
    <x v="0"/>
    <x v="0"/>
    <x v="0"/>
    <x v="0"/>
    <s v="DK1_MedSmall"/>
    <x v="7"/>
    <s v="GNR_BO_WOODCHI_E-100"/>
    <x v="0"/>
    <x v="7"/>
    <n v="2.1"/>
    <n v="766.5"/>
    <n v="2759.4"/>
  </r>
  <r>
    <x v="0"/>
    <x v="0"/>
    <x v="0"/>
    <x v="0"/>
    <x v="0"/>
    <s v="DK1_MedSmall"/>
    <x v="7"/>
    <s v="GNR_BO_WOODCHI_E-100"/>
    <x v="0"/>
    <x v="8"/>
    <n v="2.1"/>
    <n v="766.5"/>
    <n v="2759.4"/>
  </r>
  <r>
    <x v="0"/>
    <x v="0"/>
    <x v="0"/>
    <x v="0"/>
    <x v="0"/>
    <s v="DK1_MedSmall"/>
    <x v="7"/>
    <s v="GNR_BO_WOODCHI_E-100"/>
    <x v="0"/>
    <x v="16"/>
    <n v="2.1"/>
    <n v="766.5"/>
    <n v="2759.4"/>
  </r>
  <r>
    <x v="0"/>
    <x v="0"/>
    <x v="0"/>
    <x v="0"/>
    <x v="0"/>
    <s v="DK1_MedSmall"/>
    <x v="7"/>
    <s v="GNR_BO_WOODCHI_E-100"/>
    <x v="0"/>
    <x v="17"/>
    <n v="2.1"/>
    <n v="766.5"/>
    <n v="2759.4"/>
  </r>
  <r>
    <x v="0"/>
    <x v="0"/>
    <x v="0"/>
    <x v="0"/>
    <x v="0"/>
    <s v="DK1_MedSmall"/>
    <x v="7"/>
    <s v="GNR_BO_WOODCHI_E-100"/>
    <x v="0"/>
    <x v="18"/>
    <n v="2.1"/>
    <n v="766.5"/>
    <n v="2759.4"/>
  </r>
  <r>
    <x v="0"/>
    <x v="0"/>
    <x v="0"/>
    <x v="0"/>
    <x v="0"/>
    <s v="DK1_MedSmall"/>
    <x v="7"/>
    <s v="GNR_BO_WOODCHI_E-100"/>
    <x v="0"/>
    <x v="19"/>
    <n v="2.1"/>
    <n v="766.5"/>
    <n v="2759.4"/>
  </r>
  <r>
    <x v="0"/>
    <x v="0"/>
    <x v="0"/>
    <x v="0"/>
    <x v="0"/>
    <s v="DK1_MedSmall"/>
    <x v="7"/>
    <s v="GNR_BO_WOODCHI_E-100"/>
    <x v="0"/>
    <x v="20"/>
    <n v="2.1"/>
    <n v="766.5"/>
    <n v="2759.4"/>
  </r>
  <r>
    <x v="0"/>
    <x v="0"/>
    <x v="0"/>
    <x v="0"/>
    <x v="0"/>
    <s v="DK1_MedSmall"/>
    <x v="7"/>
    <s v="GNR_BO_WOODCHI_E-100"/>
    <x v="0"/>
    <x v="21"/>
    <n v="2.1"/>
    <n v="766.5"/>
    <n v="2759.4"/>
  </r>
  <r>
    <x v="0"/>
    <x v="0"/>
    <x v="0"/>
    <x v="0"/>
    <x v="0"/>
    <s v="DK1_MedSmall"/>
    <x v="7"/>
    <s v="GNR_BO_WOODCHI_E-100"/>
    <x v="0"/>
    <x v="22"/>
    <n v="2.1"/>
    <n v="766.5"/>
    <n v="2759.4"/>
  </r>
  <r>
    <x v="0"/>
    <x v="0"/>
    <x v="0"/>
    <x v="0"/>
    <x v="0"/>
    <s v="DK1_MedSmall"/>
    <x v="7"/>
    <s v="GNR_BO_WOODCHI_E-110"/>
    <x v="0"/>
    <x v="9"/>
    <n v="17"/>
    <n v="6205"/>
    <n v="22338"/>
  </r>
  <r>
    <x v="0"/>
    <x v="0"/>
    <x v="0"/>
    <x v="0"/>
    <x v="0"/>
    <s v="DK1_MedSmall"/>
    <x v="7"/>
    <s v="GNR_BO_WOODCHI_E-110"/>
    <x v="0"/>
    <x v="10"/>
    <n v="17"/>
    <n v="6205"/>
    <n v="22338"/>
  </r>
  <r>
    <x v="0"/>
    <x v="0"/>
    <x v="0"/>
    <x v="0"/>
    <x v="0"/>
    <s v="DK1_MedSmall"/>
    <x v="7"/>
    <s v="GNR_BO_WOODCHI_E-110"/>
    <x v="0"/>
    <x v="11"/>
    <n v="17"/>
    <n v="6205"/>
    <n v="22338"/>
  </r>
  <r>
    <x v="0"/>
    <x v="0"/>
    <x v="0"/>
    <x v="0"/>
    <x v="0"/>
    <s v="DK1_MedSmall"/>
    <x v="7"/>
    <s v="GNR_BO_WOODCHI_E-110"/>
    <x v="0"/>
    <x v="12"/>
    <n v="17"/>
    <n v="6205"/>
    <n v="22338"/>
  </r>
  <r>
    <x v="0"/>
    <x v="0"/>
    <x v="0"/>
    <x v="0"/>
    <x v="0"/>
    <s v="DK1_MedSmall"/>
    <x v="7"/>
    <s v="GNR_BO_WOODCHI_E-110"/>
    <x v="0"/>
    <x v="13"/>
    <n v="17"/>
    <n v="6205"/>
    <n v="22338"/>
  </r>
  <r>
    <x v="0"/>
    <x v="0"/>
    <x v="0"/>
    <x v="0"/>
    <x v="0"/>
    <s v="DK1_MedSmall"/>
    <x v="7"/>
    <s v="GNR_BO_WOODCHI_E-110"/>
    <x v="0"/>
    <x v="0"/>
    <n v="17"/>
    <n v="6205"/>
    <n v="22338"/>
  </r>
  <r>
    <x v="0"/>
    <x v="0"/>
    <x v="0"/>
    <x v="0"/>
    <x v="0"/>
    <s v="DK1_MedSmall"/>
    <x v="7"/>
    <s v="GNR_BO_WOODCHI_E-110"/>
    <x v="0"/>
    <x v="14"/>
    <n v="17"/>
    <n v="6205"/>
    <n v="22338"/>
  </r>
  <r>
    <x v="0"/>
    <x v="0"/>
    <x v="0"/>
    <x v="0"/>
    <x v="0"/>
    <s v="DK1_MedSmall"/>
    <x v="7"/>
    <s v="GNR_BO_WOODCHI_E-110"/>
    <x v="0"/>
    <x v="1"/>
    <n v="17"/>
    <n v="6205"/>
    <n v="22338"/>
  </r>
  <r>
    <x v="0"/>
    <x v="0"/>
    <x v="0"/>
    <x v="0"/>
    <x v="0"/>
    <s v="DK1_MedSmall"/>
    <x v="7"/>
    <s v="GNR_BO_WOODCHI_E-110"/>
    <x v="0"/>
    <x v="23"/>
    <n v="17"/>
    <n v="6205"/>
    <n v="22338"/>
  </r>
  <r>
    <x v="0"/>
    <x v="0"/>
    <x v="0"/>
    <x v="0"/>
    <x v="0"/>
    <s v="DK1_MedSmall"/>
    <x v="7"/>
    <s v="GNR_BO_WOODCHI_E-110"/>
    <x v="0"/>
    <x v="2"/>
    <n v="17"/>
    <n v="6205"/>
    <n v="22338"/>
  </r>
  <r>
    <x v="0"/>
    <x v="0"/>
    <x v="0"/>
    <x v="0"/>
    <x v="0"/>
    <s v="DK1_MedSmall"/>
    <x v="7"/>
    <s v="GNR_BO_WOODCHI_E-110"/>
    <x v="0"/>
    <x v="3"/>
    <n v="17"/>
    <n v="6205"/>
    <n v="22338"/>
  </r>
  <r>
    <x v="0"/>
    <x v="0"/>
    <x v="0"/>
    <x v="0"/>
    <x v="0"/>
    <s v="DK1_MedSmall"/>
    <x v="7"/>
    <s v="GNR_BO_WOODCHI_E-110"/>
    <x v="0"/>
    <x v="4"/>
    <n v="17"/>
    <n v="6205"/>
    <n v="22338"/>
  </r>
  <r>
    <x v="0"/>
    <x v="0"/>
    <x v="0"/>
    <x v="0"/>
    <x v="0"/>
    <s v="DK1_MedSmall"/>
    <x v="7"/>
    <s v="GNR_BO_WOODCHI_E-110"/>
    <x v="0"/>
    <x v="5"/>
    <n v="17"/>
    <n v="6205"/>
    <n v="22338"/>
  </r>
  <r>
    <x v="0"/>
    <x v="0"/>
    <x v="0"/>
    <x v="0"/>
    <x v="0"/>
    <s v="DK1_MedSmall"/>
    <x v="7"/>
    <s v="GNR_BO_WOODCHI_E-110"/>
    <x v="0"/>
    <x v="15"/>
    <n v="17"/>
    <n v="6205"/>
    <n v="22338"/>
  </r>
  <r>
    <x v="0"/>
    <x v="0"/>
    <x v="0"/>
    <x v="0"/>
    <x v="0"/>
    <s v="DK1_MedSmall"/>
    <x v="7"/>
    <s v="GNR_BO_WOODCHI_E-110"/>
    <x v="0"/>
    <x v="6"/>
    <n v="17"/>
    <n v="6205"/>
    <n v="22338"/>
  </r>
  <r>
    <x v="0"/>
    <x v="0"/>
    <x v="0"/>
    <x v="0"/>
    <x v="0"/>
    <s v="DK1_MedSmall"/>
    <x v="7"/>
    <s v="GNR_BO_WOODCHI_E-110"/>
    <x v="0"/>
    <x v="7"/>
    <n v="17"/>
    <n v="6205"/>
    <n v="22338"/>
  </r>
  <r>
    <x v="0"/>
    <x v="0"/>
    <x v="0"/>
    <x v="0"/>
    <x v="0"/>
    <s v="DK1_MedSmall"/>
    <x v="7"/>
    <s v="GNR_BO_WOODCHI_E-110"/>
    <x v="0"/>
    <x v="8"/>
    <n v="17"/>
    <n v="6205"/>
    <n v="22338"/>
  </r>
  <r>
    <x v="0"/>
    <x v="0"/>
    <x v="0"/>
    <x v="0"/>
    <x v="0"/>
    <s v="DK1_MedSmall"/>
    <x v="7"/>
    <s v="GNR_BO_WOODCHI_E-110"/>
    <x v="0"/>
    <x v="16"/>
    <n v="17"/>
    <n v="6205"/>
    <n v="22338"/>
  </r>
  <r>
    <x v="0"/>
    <x v="0"/>
    <x v="0"/>
    <x v="0"/>
    <x v="0"/>
    <s v="DK1_MedSmall"/>
    <x v="7"/>
    <s v="GNR_BO_WOODCHI_E-110"/>
    <x v="0"/>
    <x v="17"/>
    <n v="17"/>
    <n v="6205"/>
    <n v="22338"/>
  </r>
  <r>
    <x v="0"/>
    <x v="0"/>
    <x v="0"/>
    <x v="0"/>
    <x v="0"/>
    <s v="DK1_MedSmall"/>
    <x v="7"/>
    <s v="GNR_BO_WOODCHI_E-110"/>
    <x v="0"/>
    <x v="18"/>
    <n v="17"/>
    <n v="6205"/>
    <n v="22338"/>
  </r>
  <r>
    <x v="0"/>
    <x v="0"/>
    <x v="0"/>
    <x v="0"/>
    <x v="0"/>
    <s v="DK1_MedSmall"/>
    <x v="7"/>
    <s v="GNR_BO_WOODCHI_E-110"/>
    <x v="0"/>
    <x v="19"/>
    <n v="17"/>
    <n v="6205"/>
    <n v="22338"/>
  </r>
  <r>
    <x v="0"/>
    <x v="0"/>
    <x v="0"/>
    <x v="0"/>
    <x v="0"/>
    <s v="DK1_MedSmall"/>
    <x v="7"/>
    <s v="GNR_BO_WOODCHI_E-110"/>
    <x v="0"/>
    <x v="20"/>
    <n v="17"/>
    <n v="6205"/>
    <n v="22338"/>
  </r>
  <r>
    <x v="0"/>
    <x v="0"/>
    <x v="0"/>
    <x v="0"/>
    <x v="0"/>
    <s v="DK1_MedSmall"/>
    <x v="7"/>
    <s v="GNR_BO_WOODCHI_E-110"/>
    <x v="0"/>
    <x v="21"/>
    <n v="17"/>
    <n v="6205"/>
    <n v="22338"/>
  </r>
  <r>
    <x v="0"/>
    <x v="0"/>
    <x v="0"/>
    <x v="0"/>
    <x v="0"/>
    <s v="DK1_MedSmall"/>
    <x v="7"/>
    <s v="GNR_BO_WOODCHI_E-110"/>
    <x v="0"/>
    <x v="22"/>
    <n v="17"/>
    <n v="6205"/>
    <n v="22338"/>
  </r>
  <r>
    <x v="0"/>
    <x v="0"/>
    <x v="0"/>
    <x v="0"/>
    <x v="0"/>
    <s v="DK1_Medium"/>
    <x v="1"/>
    <s v="GNR_HS_HEAT-E-100"/>
    <x v="0"/>
    <x v="0"/>
    <n v="16.727692491471501"/>
    <n v="6105.6077593871096"/>
    <n v="21980.187933793601"/>
  </r>
  <r>
    <x v="0"/>
    <x v="0"/>
    <x v="0"/>
    <x v="0"/>
    <x v="0"/>
    <s v="DK1_Medium"/>
    <x v="1"/>
    <s v="GNR_HS_HEAT-E-100"/>
    <x v="0"/>
    <x v="5"/>
    <n v="86.386102404919697"/>
    <n v="31530.927377795699"/>
    <n v="113511.338560064"/>
  </r>
  <r>
    <x v="0"/>
    <x v="0"/>
    <x v="0"/>
    <x v="0"/>
    <x v="0"/>
    <s v="DK1_Medium"/>
    <x v="1"/>
    <s v="GNR_HS_HEAT-E-100"/>
    <x v="0"/>
    <x v="15"/>
    <n v="75.427047428566794"/>
    <n v="27530.872311426901"/>
    <n v="99111.1403211367"/>
  </r>
  <r>
    <x v="0"/>
    <x v="0"/>
    <x v="0"/>
    <x v="0"/>
    <x v="0"/>
    <s v="DK1_Medium"/>
    <x v="1"/>
    <s v="GNR_HS_HEAT-E-100"/>
    <x v="0"/>
    <x v="6"/>
    <n v="79.923069982967903"/>
    <n v="29171.920543783301"/>
    <n v="105018.91395762"/>
  </r>
  <r>
    <x v="0"/>
    <x v="0"/>
    <x v="0"/>
    <x v="0"/>
    <x v="0"/>
    <s v="DK1_Medium"/>
    <x v="1"/>
    <s v="GNR_HS_HEAT-E-100"/>
    <x v="0"/>
    <x v="17"/>
    <n v="128.70163040030999"/>
    <n v="46976.095096113"/>
    <n v="169113.94234600701"/>
  </r>
  <r>
    <x v="0"/>
    <x v="0"/>
    <x v="0"/>
    <x v="0"/>
    <x v="0"/>
    <s v="DK1_Medium"/>
    <x v="1"/>
    <s v="GNR_HS_HEAT-E-100"/>
    <x v="0"/>
    <x v="18"/>
    <n v="234.55025491145699"/>
    <n v="85610.843042681605"/>
    <n v="308199.03495365399"/>
  </r>
  <r>
    <x v="0"/>
    <x v="0"/>
    <x v="0"/>
    <x v="0"/>
    <x v="0"/>
    <s v="DK1_Medium"/>
    <x v="1"/>
    <s v="GNR_HS_HEAT-E-100"/>
    <x v="0"/>
    <x v="19"/>
    <n v="212.91314636840099"/>
    <n v="77713.298424466397"/>
    <n v="279767.87432807899"/>
  </r>
  <r>
    <x v="0"/>
    <x v="0"/>
    <x v="0"/>
    <x v="0"/>
    <x v="0"/>
    <s v="DK1_Medium"/>
    <x v="1"/>
    <s v="GNR_HS_HEAT-E-100"/>
    <x v="0"/>
    <x v="20"/>
    <n v="108.942624797874"/>
    <n v="39764.058051224201"/>
    <n v="143150.60898440701"/>
  </r>
  <r>
    <x v="0"/>
    <x v="0"/>
    <x v="0"/>
    <x v="0"/>
    <x v="0"/>
    <s v="DK1_Medium"/>
    <x v="1"/>
    <s v="GNR_HS_HEAT-E-100"/>
    <x v="0"/>
    <x v="21"/>
    <n v="79.718478194266893"/>
    <n v="29097.244540907399"/>
    <n v="104750.08034726699"/>
  </r>
  <r>
    <x v="0"/>
    <x v="0"/>
    <x v="0"/>
    <x v="0"/>
    <x v="0"/>
    <s v="DK1_Medium"/>
    <x v="1"/>
    <s v="GNR_HS_HEAT-E-100"/>
    <x v="0"/>
    <x v="22"/>
    <n v="62.577392205612597"/>
    <n v="22840.748155048601"/>
    <n v="82226.693358174904"/>
  </r>
  <r>
    <x v="0"/>
    <x v="0"/>
    <x v="0"/>
    <x v="0"/>
    <x v="0"/>
    <s v="DK1_Medium"/>
    <x v="4"/>
    <s v="GNR_BO_MSW_E-105"/>
    <x v="0"/>
    <x v="9"/>
    <n v="7"/>
    <n v="2555"/>
    <n v="9198"/>
  </r>
  <r>
    <x v="0"/>
    <x v="0"/>
    <x v="0"/>
    <x v="0"/>
    <x v="0"/>
    <s v="DK1_Medium"/>
    <x v="4"/>
    <s v="GNR_BO_MSW_E-105"/>
    <x v="0"/>
    <x v="10"/>
    <n v="7"/>
    <n v="2555"/>
    <n v="9198"/>
  </r>
  <r>
    <x v="0"/>
    <x v="0"/>
    <x v="0"/>
    <x v="0"/>
    <x v="0"/>
    <s v="DK1_Medium"/>
    <x v="4"/>
    <s v="GNR_BO_MSW_E-105"/>
    <x v="0"/>
    <x v="11"/>
    <n v="7"/>
    <n v="2555"/>
    <n v="9198"/>
  </r>
  <r>
    <x v="0"/>
    <x v="0"/>
    <x v="0"/>
    <x v="0"/>
    <x v="0"/>
    <s v="DK1_Medium"/>
    <x v="4"/>
    <s v="GNR_BO_MSW_E-105"/>
    <x v="0"/>
    <x v="12"/>
    <n v="7"/>
    <n v="2555"/>
    <n v="9198"/>
  </r>
  <r>
    <x v="0"/>
    <x v="0"/>
    <x v="0"/>
    <x v="0"/>
    <x v="0"/>
    <s v="DK1_Medium"/>
    <x v="4"/>
    <s v="GNR_BO_MSW_E-105"/>
    <x v="0"/>
    <x v="13"/>
    <n v="7"/>
    <n v="2555"/>
    <n v="9198"/>
  </r>
  <r>
    <x v="0"/>
    <x v="0"/>
    <x v="0"/>
    <x v="0"/>
    <x v="0"/>
    <s v="DK1_Medium"/>
    <x v="4"/>
    <s v="GNR_BO_MSW_E-105"/>
    <x v="0"/>
    <x v="0"/>
    <n v="7"/>
    <n v="2555"/>
    <n v="9198"/>
  </r>
  <r>
    <x v="0"/>
    <x v="0"/>
    <x v="0"/>
    <x v="0"/>
    <x v="0"/>
    <s v="DK1_Medium"/>
    <x v="4"/>
    <s v="GNR_BO_MSW_E-105"/>
    <x v="0"/>
    <x v="14"/>
    <n v="7"/>
    <n v="2555"/>
    <n v="9198"/>
  </r>
  <r>
    <x v="0"/>
    <x v="0"/>
    <x v="0"/>
    <x v="0"/>
    <x v="0"/>
    <s v="DK1_Medium"/>
    <x v="4"/>
    <s v="GNR_BO_MSW_E-105"/>
    <x v="0"/>
    <x v="1"/>
    <n v="7"/>
    <n v="2555"/>
    <n v="9198"/>
  </r>
  <r>
    <x v="0"/>
    <x v="0"/>
    <x v="0"/>
    <x v="0"/>
    <x v="0"/>
    <s v="DK1_Medium"/>
    <x v="4"/>
    <s v="GNR_BO_MSW_E-105"/>
    <x v="0"/>
    <x v="23"/>
    <n v="7"/>
    <n v="2555"/>
    <n v="9198"/>
  </r>
  <r>
    <x v="0"/>
    <x v="0"/>
    <x v="0"/>
    <x v="0"/>
    <x v="0"/>
    <s v="DK1_Medium"/>
    <x v="4"/>
    <s v="GNR_BO_MSW_E-105"/>
    <x v="0"/>
    <x v="2"/>
    <n v="7"/>
    <n v="2555"/>
    <n v="9198"/>
  </r>
  <r>
    <x v="0"/>
    <x v="0"/>
    <x v="0"/>
    <x v="0"/>
    <x v="0"/>
    <s v="DK1_Medium"/>
    <x v="4"/>
    <s v="GNR_BO_MSW_E-105"/>
    <x v="0"/>
    <x v="3"/>
    <n v="7"/>
    <n v="2555"/>
    <n v="9198"/>
  </r>
  <r>
    <x v="0"/>
    <x v="0"/>
    <x v="0"/>
    <x v="0"/>
    <x v="0"/>
    <s v="DK1_Medium"/>
    <x v="4"/>
    <s v="GNR_BO_MSW_E-105"/>
    <x v="0"/>
    <x v="4"/>
    <n v="7"/>
    <n v="2555"/>
    <n v="9198"/>
  </r>
  <r>
    <x v="0"/>
    <x v="0"/>
    <x v="0"/>
    <x v="0"/>
    <x v="0"/>
    <s v="DK1_Medium"/>
    <x v="4"/>
    <s v="GNR_BO_MSW_E-105"/>
    <x v="0"/>
    <x v="5"/>
    <n v="7"/>
    <n v="2555"/>
    <n v="9198"/>
  </r>
  <r>
    <x v="0"/>
    <x v="0"/>
    <x v="0"/>
    <x v="0"/>
    <x v="0"/>
    <s v="DK1_Medium"/>
    <x v="4"/>
    <s v="GNR_BO_MSW_E-105"/>
    <x v="0"/>
    <x v="15"/>
    <n v="7"/>
    <n v="2555"/>
    <n v="9198"/>
  </r>
  <r>
    <x v="0"/>
    <x v="0"/>
    <x v="0"/>
    <x v="0"/>
    <x v="0"/>
    <s v="DK1_Medium"/>
    <x v="4"/>
    <s v="GNR_BO_MSW_E-105"/>
    <x v="0"/>
    <x v="6"/>
    <n v="7"/>
    <n v="2555"/>
    <n v="9198"/>
  </r>
  <r>
    <x v="0"/>
    <x v="0"/>
    <x v="0"/>
    <x v="0"/>
    <x v="0"/>
    <s v="DK1_Medium"/>
    <x v="4"/>
    <s v="GNR_BO_MSW_E-105"/>
    <x v="0"/>
    <x v="7"/>
    <n v="7"/>
    <n v="2555"/>
    <n v="9198"/>
  </r>
  <r>
    <x v="0"/>
    <x v="0"/>
    <x v="0"/>
    <x v="0"/>
    <x v="0"/>
    <s v="DK1_Medium"/>
    <x v="4"/>
    <s v="GNR_BO_MSW_E-105"/>
    <x v="0"/>
    <x v="8"/>
    <n v="7"/>
    <n v="2555"/>
    <n v="9198"/>
  </r>
  <r>
    <x v="0"/>
    <x v="0"/>
    <x v="0"/>
    <x v="0"/>
    <x v="0"/>
    <s v="DK1_Medium"/>
    <x v="4"/>
    <s v="GNR_BO_MSW_E-105"/>
    <x v="0"/>
    <x v="16"/>
    <n v="7"/>
    <n v="2555"/>
    <n v="9198"/>
  </r>
  <r>
    <x v="0"/>
    <x v="0"/>
    <x v="0"/>
    <x v="0"/>
    <x v="0"/>
    <s v="DK1_Medium"/>
    <x v="4"/>
    <s v="GNR_BO_MSW_E-105"/>
    <x v="0"/>
    <x v="17"/>
    <n v="7"/>
    <n v="2555"/>
    <n v="9198"/>
  </r>
  <r>
    <x v="0"/>
    <x v="0"/>
    <x v="0"/>
    <x v="0"/>
    <x v="0"/>
    <s v="DK1_Medium"/>
    <x v="4"/>
    <s v="GNR_BO_MSW_E-105"/>
    <x v="0"/>
    <x v="18"/>
    <n v="7"/>
    <n v="2555"/>
    <n v="9198"/>
  </r>
  <r>
    <x v="0"/>
    <x v="0"/>
    <x v="0"/>
    <x v="0"/>
    <x v="0"/>
    <s v="DK1_Medium"/>
    <x v="4"/>
    <s v="GNR_BO_MSW_E-105"/>
    <x v="0"/>
    <x v="19"/>
    <n v="7"/>
    <n v="2555"/>
    <n v="9198"/>
  </r>
  <r>
    <x v="0"/>
    <x v="0"/>
    <x v="0"/>
    <x v="0"/>
    <x v="0"/>
    <s v="DK1_Medium"/>
    <x v="4"/>
    <s v="GNR_BO_MSW_E-105"/>
    <x v="0"/>
    <x v="20"/>
    <n v="7"/>
    <n v="2555"/>
    <n v="9198"/>
  </r>
  <r>
    <x v="0"/>
    <x v="0"/>
    <x v="0"/>
    <x v="0"/>
    <x v="0"/>
    <s v="DK1_Medium"/>
    <x v="4"/>
    <s v="GNR_BO_MSW_E-105"/>
    <x v="0"/>
    <x v="21"/>
    <n v="7"/>
    <n v="2555"/>
    <n v="9198"/>
  </r>
  <r>
    <x v="0"/>
    <x v="0"/>
    <x v="0"/>
    <x v="0"/>
    <x v="0"/>
    <s v="DK1_Medium"/>
    <x v="4"/>
    <s v="GNR_BO_MSW_E-105"/>
    <x v="0"/>
    <x v="22"/>
    <n v="7"/>
    <n v="2555"/>
    <n v="9198"/>
  </r>
  <r>
    <x v="0"/>
    <x v="0"/>
    <x v="0"/>
    <x v="0"/>
    <x v="0"/>
    <s v="DK1_Medium"/>
    <x v="4"/>
    <s v="GNR_ST_MSW_BP_E-21"/>
    <x v="0"/>
    <x v="23"/>
    <n v="10.8366310595847"/>
    <n v="3955.37033674842"/>
    <n v="14239.333212294299"/>
  </r>
  <r>
    <x v="0"/>
    <x v="0"/>
    <x v="0"/>
    <x v="0"/>
    <x v="0"/>
    <s v="DK1_Medium"/>
    <x v="4"/>
    <s v="GNR_ST_MSW_BP_E-21"/>
    <x v="0"/>
    <x v="2"/>
    <n v="9.4316240113343603"/>
    <n v="3442.5427641370402"/>
    <n v="12393.1539508934"/>
  </r>
  <r>
    <x v="0"/>
    <x v="0"/>
    <x v="0"/>
    <x v="0"/>
    <x v="0"/>
    <s v="DK1_Medium"/>
    <x v="4"/>
    <s v="GNR_ST_MSW_BP_E-21"/>
    <x v="0"/>
    <x v="3"/>
    <n v="11.960636698185001"/>
    <n v="4365.6323948375202"/>
    <n v="15716.2766214151"/>
  </r>
  <r>
    <x v="0"/>
    <x v="0"/>
    <x v="0"/>
    <x v="0"/>
    <x v="0"/>
    <s v="DK1_Medium"/>
    <x v="4"/>
    <s v="GNR_ST_MSW_BP_E-21"/>
    <x v="0"/>
    <x v="4"/>
    <n v="9.4316240113344101"/>
    <n v="3442.5427641370602"/>
    <n v="12393.1539508934"/>
  </r>
  <r>
    <x v="0"/>
    <x v="0"/>
    <x v="0"/>
    <x v="0"/>
    <x v="0"/>
    <s v="DK1_Medium"/>
    <x v="4"/>
    <s v="GNR_ST_MSW_BP_E-22"/>
    <x v="0"/>
    <x v="14"/>
    <n v="138.193802302498"/>
    <n v="50440.737840411603"/>
    <n v="181586.656225482"/>
  </r>
  <r>
    <x v="0"/>
    <x v="0"/>
    <x v="0"/>
    <x v="0"/>
    <x v="0"/>
    <s v="DK1_Medium"/>
    <x v="4"/>
    <s v="GNR_ST_MSW_BP_E-22"/>
    <x v="0"/>
    <x v="1"/>
    <n v="211.535170221166"/>
    <n v="77210.337130725806"/>
    <n v="277957.21367061301"/>
  </r>
  <r>
    <x v="0"/>
    <x v="0"/>
    <x v="0"/>
    <x v="0"/>
    <x v="0"/>
    <s v="DK1_Medium"/>
    <x v="4"/>
    <s v="GNR_ST_MSW_BP_E-22"/>
    <x v="0"/>
    <x v="23"/>
    <n v="211.65759413793501"/>
    <n v="77255.021860346096"/>
    <n v="278118.07869724598"/>
  </r>
  <r>
    <x v="0"/>
    <x v="0"/>
    <x v="0"/>
    <x v="0"/>
    <x v="0"/>
    <s v="DK1_Medium"/>
    <x v="4"/>
    <s v="GNR_ST_MSW_BP_E-22"/>
    <x v="0"/>
    <x v="2"/>
    <n v="211.65759413793501"/>
    <n v="77255.021860346096"/>
    <n v="278118.07869724598"/>
  </r>
  <r>
    <x v="0"/>
    <x v="0"/>
    <x v="0"/>
    <x v="0"/>
    <x v="0"/>
    <s v="DK1_Medium"/>
    <x v="4"/>
    <s v="GNR_ST_MSW_BP_E-22"/>
    <x v="0"/>
    <x v="3"/>
    <n v="211.65759413793501"/>
    <n v="77255.021860346096"/>
    <n v="278118.07869724598"/>
  </r>
  <r>
    <x v="0"/>
    <x v="0"/>
    <x v="0"/>
    <x v="0"/>
    <x v="0"/>
    <s v="DK1_Medium"/>
    <x v="4"/>
    <s v="GNR_ST_MSW_BP_E-22"/>
    <x v="0"/>
    <x v="4"/>
    <n v="211.65759413793501"/>
    <n v="77255.021860346096"/>
    <n v="278118.07869724598"/>
  </r>
  <r>
    <x v="0"/>
    <x v="0"/>
    <x v="0"/>
    <x v="0"/>
    <x v="0"/>
    <s v="DK1_Medium"/>
    <x v="4"/>
    <s v="GNR_ST_MSW_BP_E-22"/>
    <x v="0"/>
    <x v="7"/>
    <n v="203.10512793166399"/>
    <n v="74133.371695057504"/>
    <n v="266880.13810220698"/>
  </r>
  <r>
    <x v="0"/>
    <x v="0"/>
    <x v="0"/>
    <x v="0"/>
    <x v="0"/>
    <s v="DK1_Medium"/>
    <x v="4"/>
    <s v="GNR_ST_MSW_BP_E-22"/>
    <x v="0"/>
    <x v="8"/>
    <n v="205.634140618515"/>
    <n v="75056.461325758006"/>
    <n v="270203.260772729"/>
  </r>
  <r>
    <x v="0"/>
    <x v="0"/>
    <x v="0"/>
    <x v="0"/>
    <x v="0"/>
    <s v="DK1_Medium"/>
    <x v="4"/>
    <s v="GNR_ST_MSW_BP_E-22"/>
    <x v="0"/>
    <x v="16"/>
    <n v="211.65759413793501"/>
    <n v="77255.021860346096"/>
    <n v="278118.07869724598"/>
  </r>
  <r>
    <x v="0"/>
    <x v="0"/>
    <x v="0"/>
    <x v="0"/>
    <x v="0"/>
    <s v="DK1_Medium"/>
    <x v="6"/>
    <s v="GNR_BO_STRW_E-102"/>
    <x v="0"/>
    <x v="9"/>
    <n v="2.42"/>
    <n v="883.3"/>
    <n v="3179.88"/>
  </r>
  <r>
    <x v="0"/>
    <x v="0"/>
    <x v="0"/>
    <x v="0"/>
    <x v="0"/>
    <s v="DK1_Medium"/>
    <x v="6"/>
    <s v="GNR_BO_STRW_E-102"/>
    <x v="0"/>
    <x v="10"/>
    <n v="2.42"/>
    <n v="883.3"/>
    <n v="3179.88"/>
  </r>
  <r>
    <x v="0"/>
    <x v="0"/>
    <x v="0"/>
    <x v="0"/>
    <x v="0"/>
    <s v="DK1_Medium"/>
    <x v="6"/>
    <s v="GNR_BO_STRW_E-102"/>
    <x v="0"/>
    <x v="11"/>
    <n v="2.42"/>
    <n v="883.3"/>
    <n v="3179.88"/>
  </r>
  <r>
    <x v="0"/>
    <x v="0"/>
    <x v="0"/>
    <x v="0"/>
    <x v="0"/>
    <s v="DK1_Medium"/>
    <x v="6"/>
    <s v="GNR_BO_STRW_E-102"/>
    <x v="0"/>
    <x v="12"/>
    <n v="2.42"/>
    <n v="883.3"/>
    <n v="3179.88"/>
  </r>
  <r>
    <x v="0"/>
    <x v="0"/>
    <x v="0"/>
    <x v="0"/>
    <x v="0"/>
    <s v="DK1_Medium"/>
    <x v="6"/>
    <s v="GNR_BO_STRW_E-102"/>
    <x v="0"/>
    <x v="13"/>
    <n v="2.42"/>
    <n v="883.3"/>
    <n v="3179.88"/>
  </r>
  <r>
    <x v="0"/>
    <x v="0"/>
    <x v="0"/>
    <x v="0"/>
    <x v="0"/>
    <s v="DK1_Medium"/>
    <x v="6"/>
    <s v="GNR_BO_STRW_E-102"/>
    <x v="0"/>
    <x v="0"/>
    <n v="2.42"/>
    <n v="883.3"/>
    <n v="3179.88"/>
  </r>
  <r>
    <x v="0"/>
    <x v="0"/>
    <x v="0"/>
    <x v="0"/>
    <x v="0"/>
    <s v="DK1_Medium"/>
    <x v="6"/>
    <s v="GNR_BO_STRW_E-102"/>
    <x v="0"/>
    <x v="14"/>
    <n v="2.42"/>
    <n v="883.3"/>
    <n v="3179.88"/>
  </r>
  <r>
    <x v="0"/>
    <x v="0"/>
    <x v="0"/>
    <x v="0"/>
    <x v="0"/>
    <s v="DK1_Medium"/>
    <x v="6"/>
    <s v="GNR_BO_STRW_E-102"/>
    <x v="0"/>
    <x v="1"/>
    <n v="2.42"/>
    <n v="883.3"/>
    <n v="3179.88"/>
  </r>
  <r>
    <x v="0"/>
    <x v="0"/>
    <x v="0"/>
    <x v="0"/>
    <x v="0"/>
    <s v="DK1_Medium"/>
    <x v="6"/>
    <s v="GNR_BO_STRW_E-102"/>
    <x v="0"/>
    <x v="23"/>
    <n v="2.42"/>
    <n v="883.3"/>
    <n v="3179.88"/>
  </r>
  <r>
    <x v="0"/>
    <x v="0"/>
    <x v="0"/>
    <x v="0"/>
    <x v="0"/>
    <s v="DK1_Medium"/>
    <x v="6"/>
    <s v="GNR_BO_STRW_E-102"/>
    <x v="0"/>
    <x v="2"/>
    <n v="2.42"/>
    <n v="883.3"/>
    <n v="3179.88"/>
  </r>
  <r>
    <x v="0"/>
    <x v="0"/>
    <x v="0"/>
    <x v="0"/>
    <x v="0"/>
    <s v="DK1_Medium"/>
    <x v="6"/>
    <s v="GNR_BO_STRW_E-102"/>
    <x v="0"/>
    <x v="3"/>
    <n v="2.42"/>
    <n v="883.3"/>
    <n v="3179.88"/>
  </r>
  <r>
    <x v="0"/>
    <x v="0"/>
    <x v="0"/>
    <x v="0"/>
    <x v="0"/>
    <s v="DK1_Medium"/>
    <x v="6"/>
    <s v="GNR_BO_STRW_E-102"/>
    <x v="0"/>
    <x v="4"/>
    <n v="2.42"/>
    <n v="883.3"/>
    <n v="3179.88"/>
  </r>
  <r>
    <x v="0"/>
    <x v="0"/>
    <x v="0"/>
    <x v="0"/>
    <x v="0"/>
    <s v="DK1_Medium"/>
    <x v="6"/>
    <s v="GNR_BO_STRW_E-102"/>
    <x v="0"/>
    <x v="5"/>
    <n v="2.42"/>
    <n v="883.3"/>
    <n v="3179.88"/>
  </r>
  <r>
    <x v="0"/>
    <x v="0"/>
    <x v="0"/>
    <x v="0"/>
    <x v="0"/>
    <s v="DK1_Medium"/>
    <x v="6"/>
    <s v="GNR_BO_STRW_E-102"/>
    <x v="0"/>
    <x v="15"/>
    <n v="2.42"/>
    <n v="883.3"/>
    <n v="3179.88"/>
  </r>
  <r>
    <x v="0"/>
    <x v="0"/>
    <x v="0"/>
    <x v="0"/>
    <x v="0"/>
    <s v="DK1_Medium"/>
    <x v="6"/>
    <s v="GNR_BO_STRW_E-102"/>
    <x v="0"/>
    <x v="6"/>
    <n v="2.42"/>
    <n v="883.3"/>
    <n v="3179.88"/>
  </r>
  <r>
    <x v="0"/>
    <x v="0"/>
    <x v="0"/>
    <x v="0"/>
    <x v="0"/>
    <s v="DK1_Medium"/>
    <x v="6"/>
    <s v="GNR_BO_STRW_E-102"/>
    <x v="0"/>
    <x v="7"/>
    <n v="2.42"/>
    <n v="883.3"/>
    <n v="3179.88"/>
  </r>
  <r>
    <x v="0"/>
    <x v="0"/>
    <x v="0"/>
    <x v="0"/>
    <x v="0"/>
    <s v="DK1_Medium"/>
    <x v="6"/>
    <s v="GNR_BO_STRW_E-102"/>
    <x v="0"/>
    <x v="8"/>
    <n v="2.42"/>
    <n v="883.3"/>
    <n v="3179.88"/>
  </r>
  <r>
    <x v="0"/>
    <x v="0"/>
    <x v="0"/>
    <x v="0"/>
    <x v="0"/>
    <s v="DK1_Medium"/>
    <x v="6"/>
    <s v="GNR_BO_STRW_E-102"/>
    <x v="0"/>
    <x v="16"/>
    <n v="2.42"/>
    <n v="883.3"/>
    <n v="3179.88"/>
  </r>
  <r>
    <x v="0"/>
    <x v="0"/>
    <x v="0"/>
    <x v="0"/>
    <x v="0"/>
    <s v="DK1_Medium"/>
    <x v="6"/>
    <s v="GNR_BO_STRW_E-102"/>
    <x v="0"/>
    <x v="17"/>
    <n v="2.42"/>
    <n v="883.3"/>
    <n v="3179.88"/>
  </r>
  <r>
    <x v="0"/>
    <x v="0"/>
    <x v="0"/>
    <x v="0"/>
    <x v="0"/>
    <s v="DK1_Medium"/>
    <x v="6"/>
    <s v="GNR_BO_STRW_E-102"/>
    <x v="0"/>
    <x v="18"/>
    <n v="2.42"/>
    <n v="883.3"/>
    <n v="3179.88"/>
  </r>
  <r>
    <x v="0"/>
    <x v="0"/>
    <x v="0"/>
    <x v="0"/>
    <x v="0"/>
    <s v="DK1_Medium"/>
    <x v="6"/>
    <s v="GNR_BO_STRW_E-102"/>
    <x v="0"/>
    <x v="19"/>
    <n v="2.42"/>
    <n v="883.3"/>
    <n v="3179.88"/>
  </r>
  <r>
    <x v="0"/>
    <x v="0"/>
    <x v="0"/>
    <x v="0"/>
    <x v="0"/>
    <s v="DK1_Medium"/>
    <x v="6"/>
    <s v="GNR_BO_STRW_E-102"/>
    <x v="0"/>
    <x v="20"/>
    <n v="2.42"/>
    <n v="883.3"/>
    <n v="3179.88"/>
  </r>
  <r>
    <x v="0"/>
    <x v="0"/>
    <x v="0"/>
    <x v="0"/>
    <x v="0"/>
    <s v="DK1_Medium"/>
    <x v="6"/>
    <s v="GNR_BO_STRW_E-102"/>
    <x v="0"/>
    <x v="21"/>
    <n v="2.42"/>
    <n v="883.3"/>
    <n v="3179.88"/>
  </r>
  <r>
    <x v="0"/>
    <x v="0"/>
    <x v="0"/>
    <x v="0"/>
    <x v="0"/>
    <s v="DK1_Medium"/>
    <x v="6"/>
    <s v="GNR_BO_STRW_E-102"/>
    <x v="0"/>
    <x v="22"/>
    <n v="2.42"/>
    <n v="883.3"/>
    <n v="3179.88"/>
  </r>
  <r>
    <x v="0"/>
    <x v="0"/>
    <x v="0"/>
    <x v="0"/>
    <x v="0"/>
    <s v="DK1_Medium"/>
    <x v="2"/>
    <s v="GNR_GEO_HEAT_HO"/>
    <x v="0"/>
    <x v="9"/>
    <n v="10"/>
    <n v="3650"/>
    <n v="13140"/>
  </r>
  <r>
    <x v="0"/>
    <x v="0"/>
    <x v="0"/>
    <x v="0"/>
    <x v="0"/>
    <s v="DK1_Medium"/>
    <x v="2"/>
    <s v="GNR_GEO_HEAT_HO"/>
    <x v="0"/>
    <x v="10"/>
    <n v="10"/>
    <n v="3650"/>
    <n v="13140"/>
  </r>
  <r>
    <x v="0"/>
    <x v="0"/>
    <x v="0"/>
    <x v="0"/>
    <x v="0"/>
    <s v="DK1_Medium"/>
    <x v="2"/>
    <s v="GNR_GEO_HEAT_HO"/>
    <x v="0"/>
    <x v="11"/>
    <n v="10"/>
    <n v="3650"/>
    <n v="13140"/>
  </r>
  <r>
    <x v="0"/>
    <x v="0"/>
    <x v="0"/>
    <x v="0"/>
    <x v="0"/>
    <s v="DK1_Medium"/>
    <x v="2"/>
    <s v="GNR_GEO_HEAT_HO"/>
    <x v="0"/>
    <x v="12"/>
    <n v="10"/>
    <n v="3650"/>
    <n v="13140"/>
  </r>
  <r>
    <x v="0"/>
    <x v="0"/>
    <x v="0"/>
    <x v="0"/>
    <x v="0"/>
    <s v="DK1_Medium"/>
    <x v="2"/>
    <s v="GNR_GEO_HEAT_HO"/>
    <x v="0"/>
    <x v="13"/>
    <n v="10"/>
    <n v="3650"/>
    <n v="13140"/>
  </r>
  <r>
    <x v="0"/>
    <x v="0"/>
    <x v="0"/>
    <x v="0"/>
    <x v="0"/>
    <s v="DK1_Medium"/>
    <x v="2"/>
    <s v="GNR_GEO_HEAT_HO"/>
    <x v="0"/>
    <x v="0"/>
    <n v="10"/>
    <n v="3650"/>
    <n v="13140"/>
  </r>
  <r>
    <x v="0"/>
    <x v="0"/>
    <x v="0"/>
    <x v="0"/>
    <x v="0"/>
    <s v="DK1_Medium"/>
    <x v="2"/>
    <s v="GNR_GEO_HEAT_HO"/>
    <x v="0"/>
    <x v="14"/>
    <n v="10"/>
    <n v="3650"/>
    <n v="13140"/>
  </r>
  <r>
    <x v="0"/>
    <x v="0"/>
    <x v="0"/>
    <x v="0"/>
    <x v="0"/>
    <s v="DK1_Medium"/>
    <x v="2"/>
    <s v="GNR_GEO_HEAT_HO"/>
    <x v="0"/>
    <x v="1"/>
    <n v="10"/>
    <n v="3650"/>
    <n v="13140"/>
  </r>
  <r>
    <x v="0"/>
    <x v="0"/>
    <x v="0"/>
    <x v="0"/>
    <x v="0"/>
    <s v="DK1_Medium"/>
    <x v="2"/>
    <s v="GNR_GEO_HEAT_HO"/>
    <x v="0"/>
    <x v="23"/>
    <n v="10"/>
    <n v="3650"/>
    <n v="13140"/>
  </r>
  <r>
    <x v="0"/>
    <x v="0"/>
    <x v="0"/>
    <x v="0"/>
    <x v="0"/>
    <s v="DK1_Medium"/>
    <x v="2"/>
    <s v="GNR_GEO_HEAT_HO"/>
    <x v="0"/>
    <x v="2"/>
    <n v="10"/>
    <n v="3650"/>
    <n v="13140"/>
  </r>
  <r>
    <x v="0"/>
    <x v="0"/>
    <x v="0"/>
    <x v="0"/>
    <x v="0"/>
    <s v="DK1_Medium"/>
    <x v="2"/>
    <s v="GNR_GEO_HEAT_HO"/>
    <x v="0"/>
    <x v="3"/>
    <n v="10"/>
    <n v="3650"/>
    <n v="13140"/>
  </r>
  <r>
    <x v="0"/>
    <x v="0"/>
    <x v="0"/>
    <x v="0"/>
    <x v="0"/>
    <s v="DK1_Medium"/>
    <x v="2"/>
    <s v="GNR_GEO_HEAT_HO"/>
    <x v="0"/>
    <x v="4"/>
    <n v="10"/>
    <n v="3650"/>
    <n v="13140"/>
  </r>
  <r>
    <x v="0"/>
    <x v="0"/>
    <x v="0"/>
    <x v="0"/>
    <x v="0"/>
    <s v="DK1_Medium"/>
    <x v="2"/>
    <s v="GNR_GEO_HEAT_HO"/>
    <x v="0"/>
    <x v="5"/>
    <n v="10"/>
    <n v="3650"/>
    <n v="13140"/>
  </r>
  <r>
    <x v="0"/>
    <x v="0"/>
    <x v="0"/>
    <x v="0"/>
    <x v="0"/>
    <s v="DK1_Medium"/>
    <x v="2"/>
    <s v="GNR_GEO_HEAT_HO"/>
    <x v="0"/>
    <x v="15"/>
    <n v="10"/>
    <n v="3650"/>
    <n v="13140"/>
  </r>
  <r>
    <x v="0"/>
    <x v="0"/>
    <x v="0"/>
    <x v="0"/>
    <x v="0"/>
    <s v="DK1_Medium"/>
    <x v="2"/>
    <s v="GNR_GEO_HEAT_HO"/>
    <x v="0"/>
    <x v="6"/>
    <n v="10"/>
    <n v="3650"/>
    <n v="13140"/>
  </r>
  <r>
    <x v="0"/>
    <x v="0"/>
    <x v="0"/>
    <x v="0"/>
    <x v="0"/>
    <s v="DK1_Medium"/>
    <x v="2"/>
    <s v="GNR_GEO_HEAT_HO"/>
    <x v="0"/>
    <x v="7"/>
    <n v="10"/>
    <n v="3650"/>
    <n v="13140"/>
  </r>
  <r>
    <x v="0"/>
    <x v="0"/>
    <x v="0"/>
    <x v="0"/>
    <x v="0"/>
    <s v="DK1_Medium"/>
    <x v="2"/>
    <s v="GNR_GEO_HEAT_HO"/>
    <x v="0"/>
    <x v="8"/>
    <n v="10"/>
    <n v="3650"/>
    <n v="13140"/>
  </r>
  <r>
    <x v="0"/>
    <x v="0"/>
    <x v="0"/>
    <x v="0"/>
    <x v="0"/>
    <s v="DK1_Medium"/>
    <x v="2"/>
    <s v="GNR_GEO_HEAT_HO"/>
    <x v="0"/>
    <x v="16"/>
    <n v="10"/>
    <n v="3650"/>
    <n v="13140"/>
  </r>
  <r>
    <x v="0"/>
    <x v="0"/>
    <x v="0"/>
    <x v="0"/>
    <x v="0"/>
    <s v="DK1_Medium"/>
    <x v="2"/>
    <s v="GNR_GEO_HEAT_HO"/>
    <x v="0"/>
    <x v="17"/>
    <n v="10"/>
    <n v="3650"/>
    <n v="13140"/>
  </r>
  <r>
    <x v="0"/>
    <x v="0"/>
    <x v="0"/>
    <x v="0"/>
    <x v="0"/>
    <s v="DK1_Medium"/>
    <x v="2"/>
    <s v="GNR_GEO_HEAT_HO"/>
    <x v="0"/>
    <x v="18"/>
    <n v="10"/>
    <n v="3650"/>
    <n v="13140"/>
  </r>
  <r>
    <x v="0"/>
    <x v="0"/>
    <x v="0"/>
    <x v="0"/>
    <x v="0"/>
    <s v="DK1_Medium"/>
    <x v="2"/>
    <s v="GNR_GEO_HEAT_HO"/>
    <x v="0"/>
    <x v="19"/>
    <n v="10"/>
    <n v="3650"/>
    <n v="13140"/>
  </r>
  <r>
    <x v="0"/>
    <x v="0"/>
    <x v="0"/>
    <x v="0"/>
    <x v="0"/>
    <s v="DK1_Medium"/>
    <x v="2"/>
    <s v="GNR_GEO_HEAT_HO"/>
    <x v="0"/>
    <x v="20"/>
    <n v="10"/>
    <n v="3650"/>
    <n v="13140"/>
  </r>
  <r>
    <x v="0"/>
    <x v="0"/>
    <x v="0"/>
    <x v="0"/>
    <x v="0"/>
    <s v="DK1_Medium"/>
    <x v="2"/>
    <s v="GNR_GEO_HEAT_HO"/>
    <x v="0"/>
    <x v="21"/>
    <n v="10"/>
    <n v="3650"/>
    <n v="13140"/>
  </r>
  <r>
    <x v="0"/>
    <x v="0"/>
    <x v="0"/>
    <x v="0"/>
    <x v="0"/>
    <s v="DK1_Medium"/>
    <x v="2"/>
    <s v="GNR_GEO_HEAT_HO"/>
    <x v="0"/>
    <x v="22"/>
    <n v="10"/>
    <n v="3650"/>
    <n v="13140"/>
  </r>
  <r>
    <x v="0"/>
    <x v="0"/>
    <x v="0"/>
    <x v="0"/>
    <x v="0"/>
    <s v="DK1_Medium"/>
    <x v="7"/>
    <s v="GNR_ST_WOODCHI_BP_E-27"/>
    <x v="0"/>
    <x v="0"/>
    <n v="32.361632050937502"/>
    <n v="11811.9956985922"/>
    <n v="42523.184514931898"/>
  </r>
  <r>
    <x v="0"/>
    <x v="0"/>
    <x v="0"/>
    <x v="0"/>
    <x v="0"/>
    <s v="DK1_Medium"/>
    <x v="7"/>
    <s v="GNR_ST_WOODCHI_BP_E-27"/>
    <x v="0"/>
    <x v="14"/>
    <n v="152.941176470588"/>
    <n v="55823.529411764699"/>
    <n v="200964.70588235301"/>
  </r>
  <r>
    <x v="0"/>
    <x v="0"/>
    <x v="0"/>
    <x v="0"/>
    <x v="0"/>
    <s v="DK1_Medium"/>
    <x v="7"/>
    <s v="GNR_ST_WOODCHI_BP_E-27"/>
    <x v="0"/>
    <x v="1"/>
    <n v="152.941176470588"/>
    <n v="55823.529411764699"/>
    <n v="200964.70588235301"/>
  </r>
  <r>
    <x v="0"/>
    <x v="0"/>
    <x v="0"/>
    <x v="0"/>
    <x v="0"/>
    <s v="DK1_Medium"/>
    <x v="7"/>
    <s v="GNR_ST_WOODCHI_BP_E-27"/>
    <x v="0"/>
    <x v="23"/>
    <n v="152.941176470588"/>
    <n v="55823.529411764699"/>
    <n v="200964.70588235301"/>
  </r>
  <r>
    <x v="0"/>
    <x v="0"/>
    <x v="0"/>
    <x v="0"/>
    <x v="0"/>
    <s v="DK1_Medium"/>
    <x v="7"/>
    <s v="GNR_ST_WOODCHI_BP_E-27"/>
    <x v="0"/>
    <x v="2"/>
    <n v="152.941176470588"/>
    <n v="55823.529411764699"/>
    <n v="200964.70588235301"/>
  </r>
  <r>
    <x v="0"/>
    <x v="0"/>
    <x v="0"/>
    <x v="0"/>
    <x v="0"/>
    <s v="DK1_Medium"/>
    <x v="7"/>
    <s v="GNR_ST_WOODCHI_BP_E-27"/>
    <x v="0"/>
    <x v="3"/>
    <n v="152.941176470588"/>
    <n v="55823.529411764699"/>
    <n v="200964.70588235301"/>
  </r>
  <r>
    <x v="0"/>
    <x v="0"/>
    <x v="0"/>
    <x v="0"/>
    <x v="0"/>
    <s v="DK1_Medium"/>
    <x v="7"/>
    <s v="GNR_ST_WOODCHI_BP_E-27"/>
    <x v="0"/>
    <x v="4"/>
    <n v="152.941176470588"/>
    <n v="55823.529411764699"/>
    <n v="200964.70588235301"/>
  </r>
  <r>
    <x v="0"/>
    <x v="0"/>
    <x v="0"/>
    <x v="0"/>
    <x v="0"/>
    <s v="DK1_Medium"/>
    <x v="7"/>
    <s v="GNR_ST_WOODCHI_BP_E-27"/>
    <x v="0"/>
    <x v="5"/>
    <n v="152.941176470588"/>
    <n v="55823.529411764699"/>
    <n v="200964.70588235301"/>
  </r>
  <r>
    <x v="0"/>
    <x v="0"/>
    <x v="0"/>
    <x v="0"/>
    <x v="0"/>
    <s v="DK1_Medium"/>
    <x v="7"/>
    <s v="GNR_ST_WOODCHI_BP_E-27"/>
    <x v="0"/>
    <x v="15"/>
    <n v="152.941176470588"/>
    <n v="55823.529411764699"/>
    <n v="200964.70588235301"/>
  </r>
  <r>
    <x v="0"/>
    <x v="0"/>
    <x v="0"/>
    <x v="0"/>
    <x v="0"/>
    <s v="DK1_Medium"/>
    <x v="7"/>
    <s v="GNR_ST_WOODCHI_BP_E-27"/>
    <x v="0"/>
    <x v="6"/>
    <n v="152.941176470588"/>
    <n v="55823.529411764699"/>
    <n v="200964.70588235301"/>
  </r>
  <r>
    <x v="0"/>
    <x v="0"/>
    <x v="0"/>
    <x v="0"/>
    <x v="0"/>
    <s v="DK1_Medium"/>
    <x v="7"/>
    <s v="GNR_ST_WOODCHI_BP_E-27"/>
    <x v="0"/>
    <x v="7"/>
    <n v="152.941176470588"/>
    <n v="55823.529411764699"/>
    <n v="200964.70588235301"/>
  </r>
  <r>
    <x v="0"/>
    <x v="0"/>
    <x v="0"/>
    <x v="0"/>
    <x v="0"/>
    <s v="DK1_Medium"/>
    <x v="7"/>
    <s v="GNR_ST_WOODCHI_BP_E-27"/>
    <x v="0"/>
    <x v="8"/>
    <n v="152.941176470588"/>
    <n v="55823.529411764699"/>
    <n v="200964.70588235301"/>
  </r>
  <r>
    <x v="0"/>
    <x v="0"/>
    <x v="0"/>
    <x v="0"/>
    <x v="0"/>
    <s v="DK1_Medium"/>
    <x v="7"/>
    <s v="GNR_ST_WOODCHI_BP_E-27"/>
    <x v="0"/>
    <x v="16"/>
    <n v="152.941176470588"/>
    <n v="55823.529411764699"/>
    <n v="200964.70588235301"/>
  </r>
  <r>
    <x v="0"/>
    <x v="0"/>
    <x v="0"/>
    <x v="0"/>
    <x v="0"/>
    <s v="DK1_Medium"/>
    <x v="7"/>
    <s v="GNR_ST_WOODCHI_BP_E-27"/>
    <x v="0"/>
    <x v="17"/>
    <n v="117.3696823068"/>
    <n v="42839.934041981898"/>
    <n v="154223.76255113501"/>
  </r>
  <r>
    <x v="0"/>
    <x v="0"/>
    <x v="0"/>
    <x v="0"/>
    <x v="0"/>
    <s v="DK1_Medium"/>
    <x v="7"/>
    <s v="GNR_ST_WOODCHI_BP_E-30"/>
    <x v="0"/>
    <x v="9"/>
    <n v="265.88235294117601"/>
    <n v="97047.058823529398"/>
    <n v="349369.41176470602"/>
  </r>
  <r>
    <x v="0"/>
    <x v="0"/>
    <x v="0"/>
    <x v="0"/>
    <x v="0"/>
    <s v="DK1_Medium"/>
    <x v="7"/>
    <s v="GNR_ST_WOODCHI_BP_E-30"/>
    <x v="0"/>
    <x v="10"/>
    <n v="265.88235294117601"/>
    <n v="97047.058823529398"/>
    <n v="349369.41176470602"/>
  </r>
  <r>
    <x v="0"/>
    <x v="0"/>
    <x v="0"/>
    <x v="0"/>
    <x v="0"/>
    <s v="DK1_Medium"/>
    <x v="7"/>
    <s v="GNR_ST_WOODCHI_BP_E-30"/>
    <x v="0"/>
    <x v="11"/>
    <n v="265.88235294117601"/>
    <n v="97047.058823529398"/>
    <n v="349369.41176470602"/>
  </r>
  <r>
    <x v="0"/>
    <x v="0"/>
    <x v="0"/>
    <x v="0"/>
    <x v="0"/>
    <s v="DK1_Medium"/>
    <x v="7"/>
    <s v="GNR_ST_WOODCHI_BP_E-30"/>
    <x v="0"/>
    <x v="12"/>
    <n v="265.88235294117601"/>
    <n v="97047.058823529398"/>
    <n v="349369.41176470602"/>
  </r>
  <r>
    <x v="0"/>
    <x v="0"/>
    <x v="0"/>
    <x v="0"/>
    <x v="0"/>
    <s v="DK1_Medium"/>
    <x v="7"/>
    <s v="GNR_ST_WOODCHI_BP_E-30"/>
    <x v="0"/>
    <x v="13"/>
    <n v="265.88235294117601"/>
    <n v="97047.058823529398"/>
    <n v="349369.41176470602"/>
  </r>
  <r>
    <x v="0"/>
    <x v="0"/>
    <x v="0"/>
    <x v="0"/>
    <x v="0"/>
    <s v="DK1_Medium"/>
    <x v="7"/>
    <s v="GNR_ST_WOODCHI_BP_E-30"/>
    <x v="0"/>
    <x v="0"/>
    <n v="265.88235294117601"/>
    <n v="97047.058823529398"/>
    <n v="349369.41176470602"/>
  </r>
  <r>
    <x v="0"/>
    <x v="0"/>
    <x v="0"/>
    <x v="0"/>
    <x v="0"/>
    <s v="DK1_Medium"/>
    <x v="7"/>
    <s v="GNR_ST_WOODCHI_BP_E-30"/>
    <x v="0"/>
    <x v="14"/>
    <n v="265.88235294117601"/>
    <n v="97047.058823529398"/>
    <n v="349369.41176470602"/>
  </r>
  <r>
    <x v="0"/>
    <x v="0"/>
    <x v="0"/>
    <x v="0"/>
    <x v="0"/>
    <s v="DK1_Medium"/>
    <x v="7"/>
    <s v="GNR_ST_WOODCHI_BP_E-30"/>
    <x v="0"/>
    <x v="1"/>
    <n v="265.88235294117601"/>
    <n v="97047.058823529398"/>
    <n v="349369.41176470602"/>
  </r>
  <r>
    <x v="0"/>
    <x v="0"/>
    <x v="0"/>
    <x v="0"/>
    <x v="0"/>
    <s v="DK1_Medium"/>
    <x v="7"/>
    <s v="GNR_ST_WOODCHI_BP_E-30"/>
    <x v="0"/>
    <x v="23"/>
    <n v="265.88235294117601"/>
    <n v="97047.058823529398"/>
    <n v="349369.41176470602"/>
  </r>
  <r>
    <x v="0"/>
    <x v="0"/>
    <x v="0"/>
    <x v="0"/>
    <x v="0"/>
    <s v="DK1_Medium"/>
    <x v="7"/>
    <s v="GNR_ST_WOODCHI_BP_E-30"/>
    <x v="0"/>
    <x v="2"/>
    <n v="265.88235294117601"/>
    <n v="97047.058823529398"/>
    <n v="349369.41176470602"/>
  </r>
  <r>
    <x v="0"/>
    <x v="0"/>
    <x v="0"/>
    <x v="0"/>
    <x v="0"/>
    <s v="DK1_Medium"/>
    <x v="7"/>
    <s v="GNR_ST_WOODCHI_BP_E-30"/>
    <x v="0"/>
    <x v="3"/>
    <n v="265.88235294117601"/>
    <n v="97047.058823529398"/>
    <n v="349369.41176470602"/>
  </r>
  <r>
    <x v="0"/>
    <x v="0"/>
    <x v="0"/>
    <x v="0"/>
    <x v="0"/>
    <s v="DK1_Medium"/>
    <x v="7"/>
    <s v="GNR_ST_WOODCHI_BP_E-30"/>
    <x v="0"/>
    <x v="4"/>
    <n v="265.88235294117601"/>
    <n v="97047.058823529398"/>
    <n v="349369.41176470602"/>
  </r>
  <r>
    <x v="0"/>
    <x v="0"/>
    <x v="0"/>
    <x v="0"/>
    <x v="0"/>
    <s v="DK1_Medium"/>
    <x v="7"/>
    <s v="GNR_ST_WOODCHI_BP_E-30"/>
    <x v="0"/>
    <x v="5"/>
    <n v="265.88235294117601"/>
    <n v="97047.058823529398"/>
    <n v="349369.41176470602"/>
  </r>
  <r>
    <x v="0"/>
    <x v="0"/>
    <x v="0"/>
    <x v="0"/>
    <x v="0"/>
    <s v="DK1_Medium"/>
    <x v="7"/>
    <s v="GNR_ST_WOODCHI_BP_E-30"/>
    <x v="0"/>
    <x v="15"/>
    <n v="265.88235294117601"/>
    <n v="97047.058823529398"/>
    <n v="349369.41176470602"/>
  </r>
  <r>
    <x v="0"/>
    <x v="0"/>
    <x v="0"/>
    <x v="0"/>
    <x v="0"/>
    <s v="DK1_Medium"/>
    <x v="7"/>
    <s v="GNR_ST_WOODCHI_BP_E-30"/>
    <x v="0"/>
    <x v="6"/>
    <n v="265.88235294117601"/>
    <n v="97047.058823529398"/>
    <n v="349369.41176470602"/>
  </r>
  <r>
    <x v="0"/>
    <x v="0"/>
    <x v="0"/>
    <x v="0"/>
    <x v="0"/>
    <s v="DK1_Medium"/>
    <x v="7"/>
    <s v="GNR_ST_WOODCHI_BP_E-30"/>
    <x v="0"/>
    <x v="7"/>
    <n v="265.88235294117601"/>
    <n v="97047.058823529398"/>
    <n v="349369.41176470602"/>
  </r>
  <r>
    <x v="0"/>
    <x v="0"/>
    <x v="0"/>
    <x v="0"/>
    <x v="0"/>
    <s v="DK1_Medium"/>
    <x v="7"/>
    <s v="GNR_ST_WOODCHI_BP_E-30"/>
    <x v="0"/>
    <x v="8"/>
    <n v="265.88235294117601"/>
    <n v="97047.058823529398"/>
    <n v="349369.41176470602"/>
  </r>
  <r>
    <x v="0"/>
    <x v="0"/>
    <x v="0"/>
    <x v="0"/>
    <x v="0"/>
    <s v="DK1_Medium"/>
    <x v="7"/>
    <s v="GNR_ST_WOODCHI_BP_E-30"/>
    <x v="0"/>
    <x v="16"/>
    <n v="265.88235294117601"/>
    <n v="97047.058823529398"/>
    <n v="349369.41176470602"/>
  </r>
  <r>
    <x v="0"/>
    <x v="0"/>
    <x v="0"/>
    <x v="0"/>
    <x v="0"/>
    <s v="DK1_Medium"/>
    <x v="7"/>
    <s v="GNR_ST_WOODCHI_BP_E-30"/>
    <x v="0"/>
    <x v="17"/>
    <n v="265.88235294117601"/>
    <n v="97047.058823529398"/>
    <n v="349369.41176470602"/>
  </r>
  <r>
    <x v="0"/>
    <x v="0"/>
    <x v="0"/>
    <x v="0"/>
    <x v="0"/>
    <s v="DK1_Medium"/>
    <x v="7"/>
    <s v="GNR_ST_WOODCHI_BP_E-30"/>
    <x v="0"/>
    <x v="18"/>
    <n v="265.88235294117601"/>
    <n v="97047.058823529398"/>
    <n v="349369.41176470602"/>
  </r>
  <r>
    <x v="0"/>
    <x v="0"/>
    <x v="0"/>
    <x v="0"/>
    <x v="0"/>
    <s v="DK1_Medium"/>
    <x v="7"/>
    <s v="GNR_ST_WOODCHI_BP_E-30"/>
    <x v="0"/>
    <x v="19"/>
    <n v="265.88235294117601"/>
    <n v="97047.058823529398"/>
    <n v="349369.41176470602"/>
  </r>
  <r>
    <x v="0"/>
    <x v="0"/>
    <x v="0"/>
    <x v="0"/>
    <x v="0"/>
    <s v="DK1_Medium"/>
    <x v="7"/>
    <s v="GNR_ST_WOODCHI_BP_E-30"/>
    <x v="0"/>
    <x v="20"/>
    <n v="265.88235294117601"/>
    <n v="97047.058823529398"/>
    <n v="349369.41176470602"/>
  </r>
  <r>
    <x v="0"/>
    <x v="0"/>
    <x v="0"/>
    <x v="0"/>
    <x v="0"/>
    <s v="DK1_Medium"/>
    <x v="7"/>
    <s v="GNR_ST_WOODCHI_BP_E-30"/>
    <x v="0"/>
    <x v="21"/>
    <n v="265.88235294117601"/>
    <n v="97047.058823529398"/>
    <n v="349369.41176470602"/>
  </r>
  <r>
    <x v="0"/>
    <x v="0"/>
    <x v="0"/>
    <x v="0"/>
    <x v="0"/>
    <s v="DK1_Medium"/>
    <x v="7"/>
    <s v="GNR_ST_WOODCHI_BP_E-30"/>
    <x v="0"/>
    <x v="22"/>
    <n v="265.88235294117601"/>
    <n v="97047.058823529398"/>
    <n v="349369.41176470602"/>
  </r>
  <r>
    <x v="0"/>
    <x v="0"/>
    <x v="0"/>
    <x v="0"/>
    <x v="0"/>
    <s v="DK1_Rural"/>
    <x v="0"/>
    <s v="GNR_BO_COAL_E-91"/>
    <x v="0"/>
    <x v="9"/>
    <n v="10"/>
    <n v="3650"/>
    <n v="13140"/>
  </r>
  <r>
    <x v="0"/>
    <x v="0"/>
    <x v="0"/>
    <x v="0"/>
    <x v="0"/>
    <s v="DK1_Rural"/>
    <x v="0"/>
    <s v="GNR_BO_COAL_E-91"/>
    <x v="0"/>
    <x v="10"/>
    <n v="10"/>
    <n v="3650"/>
    <n v="13140"/>
  </r>
  <r>
    <x v="0"/>
    <x v="0"/>
    <x v="0"/>
    <x v="0"/>
    <x v="0"/>
    <s v="DK1_Rural"/>
    <x v="0"/>
    <s v="GNR_BO_COAL_E-91"/>
    <x v="0"/>
    <x v="11"/>
    <n v="10"/>
    <n v="3650"/>
    <n v="13140"/>
  </r>
  <r>
    <x v="0"/>
    <x v="0"/>
    <x v="0"/>
    <x v="0"/>
    <x v="0"/>
    <s v="DK1_Rural"/>
    <x v="0"/>
    <s v="GNR_BO_COAL_E-91"/>
    <x v="0"/>
    <x v="12"/>
    <n v="10"/>
    <n v="3650"/>
    <n v="13140"/>
  </r>
  <r>
    <x v="0"/>
    <x v="0"/>
    <x v="0"/>
    <x v="0"/>
    <x v="0"/>
    <s v="DK1_Rural"/>
    <x v="0"/>
    <s v="GNR_BO_COAL_E-91"/>
    <x v="0"/>
    <x v="13"/>
    <n v="10"/>
    <n v="3650"/>
    <n v="13140"/>
  </r>
  <r>
    <x v="0"/>
    <x v="0"/>
    <x v="0"/>
    <x v="0"/>
    <x v="0"/>
    <s v="DK1_Rural"/>
    <x v="0"/>
    <s v="GNR_BO_COAL_E-91"/>
    <x v="0"/>
    <x v="0"/>
    <n v="10"/>
    <n v="3650"/>
    <n v="13140"/>
  </r>
  <r>
    <x v="0"/>
    <x v="0"/>
    <x v="0"/>
    <x v="0"/>
    <x v="0"/>
    <s v="DK1_Rural"/>
    <x v="0"/>
    <s v="GNR_BO_COAL_E-91"/>
    <x v="0"/>
    <x v="14"/>
    <n v="10"/>
    <n v="3650"/>
    <n v="13140"/>
  </r>
  <r>
    <x v="0"/>
    <x v="0"/>
    <x v="0"/>
    <x v="0"/>
    <x v="0"/>
    <s v="DK1_Rural"/>
    <x v="0"/>
    <s v="GNR_BO_COAL_E-91"/>
    <x v="0"/>
    <x v="1"/>
    <n v="10"/>
    <n v="3650"/>
    <n v="13140"/>
  </r>
  <r>
    <x v="0"/>
    <x v="0"/>
    <x v="0"/>
    <x v="0"/>
    <x v="0"/>
    <s v="DK1_Rural"/>
    <x v="0"/>
    <s v="GNR_BO_COAL_E-91"/>
    <x v="0"/>
    <x v="23"/>
    <n v="10"/>
    <n v="3650"/>
    <n v="13140"/>
  </r>
  <r>
    <x v="0"/>
    <x v="0"/>
    <x v="0"/>
    <x v="0"/>
    <x v="0"/>
    <s v="DK1_Rural"/>
    <x v="0"/>
    <s v="GNR_BO_COAL_E-91"/>
    <x v="0"/>
    <x v="2"/>
    <n v="10"/>
    <n v="3650"/>
    <n v="13140"/>
  </r>
  <r>
    <x v="0"/>
    <x v="0"/>
    <x v="0"/>
    <x v="0"/>
    <x v="0"/>
    <s v="DK1_Rural"/>
    <x v="0"/>
    <s v="GNR_BO_COAL_E-91"/>
    <x v="0"/>
    <x v="3"/>
    <n v="10"/>
    <n v="3650"/>
    <n v="13140"/>
  </r>
  <r>
    <x v="0"/>
    <x v="0"/>
    <x v="0"/>
    <x v="0"/>
    <x v="0"/>
    <s v="DK1_Rural"/>
    <x v="0"/>
    <s v="GNR_BO_COAL_E-91"/>
    <x v="0"/>
    <x v="4"/>
    <n v="10"/>
    <n v="3650"/>
    <n v="13140"/>
  </r>
  <r>
    <x v="0"/>
    <x v="0"/>
    <x v="0"/>
    <x v="0"/>
    <x v="0"/>
    <s v="DK1_Rural"/>
    <x v="0"/>
    <s v="GNR_BO_COAL_E-91"/>
    <x v="0"/>
    <x v="5"/>
    <n v="10"/>
    <n v="3650"/>
    <n v="13140"/>
  </r>
  <r>
    <x v="0"/>
    <x v="0"/>
    <x v="0"/>
    <x v="0"/>
    <x v="0"/>
    <s v="DK1_Rural"/>
    <x v="0"/>
    <s v="GNR_BO_COAL_E-91"/>
    <x v="0"/>
    <x v="15"/>
    <n v="10"/>
    <n v="3650"/>
    <n v="13140"/>
  </r>
  <r>
    <x v="0"/>
    <x v="0"/>
    <x v="0"/>
    <x v="0"/>
    <x v="0"/>
    <s v="DK1_Rural"/>
    <x v="0"/>
    <s v="GNR_BO_COAL_E-91"/>
    <x v="0"/>
    <x v="6"/>
    <n v="10"/>
    <n v="3650"/>
    <n v="13140"/>
  </r>
  <r>
    <x v="0"/>
    <x v="0"/>
    <x v="0"/>
    <x v="0"/>
    <x v="0"/>
    <s v="DK1_Rural"/>
    <x v="0"/>
    <s v="GNR_BO_COAL_E-91"/>
    <x v="0"/>
    <x v="7"/>
    <n v="10"/>
    <n v="3650"/>
    <n v="13140"/>
  </r>
  <r>
    <x v="0"/>
    <x v="0"/>
    <x v="0"/>
    <x v="0"/>
    <x v="0"/>
    <s v="DK1_Rural"/>
    <x v="0"/>
    <s v="GNR_BO_COAL_E-91"/>
    <x v="0"/>
    <x v="8"/>
    <n v="10"/>
    <n v="3650"/>
    <n v="13140"/>
  </r>
  <r>
    <x v="0"/>
    <x v="0"/>
    <x v="0"/>
    <x v="0"/>
    <x v="0"/>
    <s v="DK1_Rural"/>
    <x v="0"/>
    <s v="GNR_BO_COAL_E-91"/>
    <x v="0"/>
    <x v="16"/>
    <n v="10"/>
    <n v="3650"/>
    <n v="13140"/>
  </r>
  <r>
    <x v="0"/>
    <x v="0"/>
    <x v="0"/>
    <x v="0"/>
    <x v="0"/>
    <s v="DK1_Rural"/>
    <x v="0"/>
    <s v="GNR_BO_COAL_E-91"/>
    <x v="0"/>
    <x v="17"/>
    <n v="10"/>
    <n v="3650"/>
    <n v="13140"/>
  </r>
  <r>
    <x v="0"/>
    <x v="0"/>
    <x v="0"/>
    <x v="0"/>
    <x v="0"/>
    <s v="DK1_Rural"/>
    <x v="0"/>
    <s v="GNR_BO_COAL_E-91"/>
    <x v="0"/>
    <x v="18"/>
    <n v="10"/>
    <n v="3650"/>
    <n v="13140"/>
  </r>
  <r>
    <x v="0"/>
    <x v="0"/>
    <x v="0"/>
    <x v="0"/>
    <x v="0"/>
    <s v="DK1_Rural"/>
    <x v="0"/>
    <s v="GNR_BO_COAL_E-91"/>
    <x v="0"/>
    <x v="19"/>
    <n v="10"/>
    <n v="3650"/>
    <n v="13140"/>
  </r>
  <r>
    <x v="0"/>
    <x v="0"/>
    <x v="0"/>
    <x v="0"/>
    <x v="0"/>
    <s v="DK1_Rural"/>
    <x v="0"/>
    <s v="GNR_BO_COAL_E-91"/>
    <x v="0"/>
    <x v="20"/>
    <n v="10"/>
    <n v="3650"/>
    <n v="13140"/>
  </r>
  <r>
    <x v="0"/>
    <x v="0"/>
    <x v="0"/>
    <x v="0"/>
    <x v="0"/>
    <s v="DK1_Rural"/>
    <x v="0"/>
    <s v="GNR_BO_COAL_E-91"/>
    <x v="0"/>
    <x v="21"/>
    <n v="10"/>
    <n v="3650"/>
    <n v="13140"/>
  </r>
  <r>
    <x v="0"/>
    <x v="0"/>
    <x v="0"/>
    <x v="0"/>
    <x v="0"/>
    <s v="DK1_Rural"/>
    <x v="0"/>
    <s v="GNR_BO_COAL_E-91"/>
    <x v="0"/>
    <x v="22"/>
    <n v="10"/>
    <n v="3650"/>
    <n v="13140"/>
  </r>
  <r>
    <x v="0"/>
    <x v="0"/>
    <x v="0"/>
    <x v="0"/>
    <x v="0"/>
    <s v="DK1_Rural"/>
    <x v="3"/>
    <s v="GNR_HP_ELEC_COP-300"/>
    <x v="0"/>
    <x v="9"/>
    <n v="1.5"/>
    <n v="547.5"/>
    <n v="1971"/>
  </r>
  <r>
    <x v="0"/>
    <x v="0"/>
    <x v="0"/>
    <x v="0"/>
    <x v="0"/>
    <s v="DK1_Rural"/>
    <x v="3"/>
    <s v="GNR_HP_ELEC_COP-300"/>
    <x v="0"/>
    <x v="10"/>
    <n v="1.5"/>
    <n v="547.5"/>
    <n v="1971"/>
  </r>
  <r>
    <x v="0"/>
    <x v="0"/>
    <x v="0"/>
    <x v="0"/>
    <x v="0"/>
    <s v="DK1_Rural"/>
    <x v="3"/>
    <s v="GNR_HP_ELEC_COP-300"/>
    <x v="0"/>
    <x v="11"/>
    <n v="1.5"/>
    <n v="547.5"/>
    <n v="1971"/>
  </r>
  <r>
    <x v="0"/>
    <x v="0"/>
    <x v="0"/>
    <x v="0"/>
    <x v="0"/>
    <s v="DK1_Rural"/>
    <x v="3"/>
    <s v="GNR_HP_ELEC_COP-300"/>
    <x v="0"/>
    <x v="12"/>
    <n v="1.5"/>
    <n v="547.5"/>
    <n v="1971"/>
  </r>
  <r>
    <x v="0"/>
    <x v="0"/>
    <x v="0"/>
    <x v="0"/>
    <x v="0"/>
    <s v="DK1_Rural"/>
    <x v="3"/>
    <s v="GNR_HP_ELEC_COP-300"/>
    <x v="0"/>
    <x v="13"/>
    <n v="1.5"/>
    <n v="547.5"/>
    <n v="1971"/>
  </r>
  <r>
    <x v="0"/>
    <x v="0"/>
    <x v="0"/>
    <x v="0"/>
    <x v="0"/>
    <s v="DK1_Rural"/>
    <x v="3"/>
    <s v="GNR_HP_ELEC_COP-300"/>
    <x v="0"/>
    <x v="0"/>
    <n v="1.5"/>
    <n v="547.5"/>
    <n v="1971"/>
  </r>
  <r>
    <x v="0"/>
    <x v="0"/>
    <x v="0"/>
    <x v="0"/>
    <x v="0"/>
    <s v="DK1_Rural"/>
    <x v="3"/>
    <s v="GNR_HP_ELEC_COP-300"/>
    <x v="0"/>
    <x v="14"/>
    <n v="1.5"/>
    <n v="547.5"/>
    <n v="1971"/>
  </r>
  <r>
    <x v="0"/>
    <x v="0"/>
    <x v="0"/>
    <x v="0"/>
    <x v="0"/>
    <s v="DK1_Rural"/>
    <x v="3"/>
    <s v="GNR_HP_ELEC_COP-300"/>
    <x v="0"/>
    <x v="1"/>
    <n v="1.5"/>
    <n v="547.5"/>
    <n v="1971"/>
  </r>
  <r>
    <x v="0"/>
    <x v="0"/>
    <x v="0"/>
    <x v="0"/>
    <x v="0"/>
    <s v="DK1_Rural"/>
    <x v="3"/>
    <s v="GNR_HP_ELEC_COP-300"/>
    <x v="0"/>
    <x v="23"/>
    <n v="1.5"/>
    <n v="547.5"/>
    <n v="1971"/>
  </r>
  <r>
    <x v="0"/>
    <x v="0"/>
    <x v="0"/>
    <x v="0"/>
    <x v="0"/>
    <s v="DK1_Rural"/>
    <x v="3"/>
    <s v="GNR_HP_ELEC_COP-300"/>
    <x v="0"/>
    <x v="2"/>
    <n v="1.5"/>
    <n v="547.5"/>
    <n v="1971"/>
  </r>
  <r>
    <x v="0"/>
    <x v="0"/>
    <x v="0"/>
    <x v="0"/>
    <x v="0"/>
    <s v="DK1_Rural"/>
    <x v="3"/>
    <s v="GNR_HP_ELEC_COP-300"/>
    <x v="0"/>
    <x v="3"/>
    <n v="1.5"/>
    <n v="547.5"/>
    <n v="1971"/>
  </r>
  <r>
    <x v="0"/>
    <x v="0"/>
    <x v="0"/>
    <x v="0"/>
    <x v="0"/>
    <s v="DK1_Rural"/>
    <x v="3"/>
    <s v="GNR_HP_ELEC_COP-300"/>
    <x v="0"/>
    <x v="4"/>
    <n v="1.5"/>
    <n v="547.5"/>
    <n v="1971"/>
  </r>
  <r>
    <x v="0"/>
    <x v="0"/>
    <x v="0"/>
    <x v="0"/>
    <x v="0"/>
    <s v="DK1_Rural"/>
    <x v="3"/>
    <s v="GNR_HP_ELEC_COP-300"/>
    <x v="0"/>
    <x v="5"/>
    <n v="1.5"/>
    <n v="547.5"/>
    <n v="1971"/>
  </r>
  <r>
    <x v="0"/>
    <x v="0"/>
    <x v="0"/>
    <x v="0"/>
    <x v="0"/>
    <s v="DK1_Rural"/>
    <x v="3"/>
    <s v="GNR_HP_ELEC_COP-300"/>
    <x v="0"/>
    <x v="15"/>
    <n v="1.5"/>
    <n v="547.5"/>
    <n v="1971"/>
  </r>
  <r>
    <x v="0"/>
    <x v="0"/>
    <x v="0"/>
    <x v="0"/>
    <x v="0"/>
    <s v="DK1_Rural"/>
    <x v="3"/>
    <s v="GNR_HP_ELEC_COP-300"/>
    <x v="0"/>
    <x v="6"/>
    <n v="1.5"/>
    <n v="547.5"/>
    <n v="1971"/>
  </r>
  <r>
    <x v="0"/>
    <x v="0"/>
    <x v="0"/>
    <x v="0"/>
    <x v="0"/>
    <s v="DK1_Rural"/>
    <x v="3"/>
    <s v="GNR_HP_ELEC_COP-300"/>
    <x v="0"/>
    <x v="7"/>
    <n v="1.5"/>
    <n v="547.5"/>
    <n v="1971"/>
  </r>
  <r>
    <x v="0"/>
    <x v="0"/>
    <x v="0"/>
    <x v="0"/>
    <x v="0"/>
    <s v="DK1_Rural"/>
    <x v="3"/>
    <s v="GNR_HP_ELEC_COP-300"/>
    <x v="0"/>
    <x v="8"/>
    <n v="1.5"/>
    <n v="547.5"/>
    <n v="1971"/>
  </r>
  <r>
    <x v="0"/>
    <x v="0"/>
    <x v="0"/>
    <x v="0"/>
    <x v="0"/>
    <s v="DK1_Rural"/>
    <x v="3"/>
    <s v="GNR_HP_ELEC_COP-300"/>
    <x v="0"/>
    <x v="16"/>
    <n v="1.5"/>
    <n v="547.5"/>
    <n v="1971"/>
  </r>
  <r>
    <x v="0"/>
    <x v="0"/>
    <x v="0"/>
    <x v="0"/>
    <x v="0"/>
    <s v="DK1_Rural"/>
    <x v="3"/>
    <s v="GNR_HP_ELEC_COP-300"/>
    <x v="0"/>
    <x v="17"/>
    <n v="1.5"/>
    <n v="547.5"/>
    <n v="1971"/>
  </r>
  <r>
    <x v="0"/>
    <x v="0"/>
    <x v="0"/>
    <x v="0"/>
    <x v="0"/>
    <s v="DK1_Rural"/>
    <x v="3"/>
    <s v="GNR_HP_ELEC_COP-300"/>
    <x v="0"/>
    <x v="18"/>
    <n v="1.5"/>
    <n v="547.5"/>
    <n v="1971"/>
  </r>
  <r>
    <x v="0"/>
    <x v="0"/>
    <x v="0"/>
    <x v="0"/>
    <x v="0"/>
    <s v="DK1_Rural"/>
    <x v="3"/>
    <s v="GNR_HP_ELEC_COP-300"/>
    <x v="0"/>
    <x v="19"/>
    <n v="1.5"/>
    <n v="547.5"/>
    <n v="1971"/>
  </r>
  <r>
    <x v="0"/>
    <x v="0"/>
    <x v="0"/>
    <x v="0"/>
    <x v="0"/>
    <s v="DK1_Rural"/>
    <x v="3"/>
    <s v="GNR_HP_ELEC_COP-300"/>
    <x v="0"/>
    <x v="20"/>
    <n v="1.5"/>
    <n v="547.5"/>
    <n v="1971"/>
  </r>
  <r>
    <x v="0"/>
    <x v="0"/>
    <x v="0"/>
    <x v="0"/>
    <x v="0"/>
    <s v="DK1_Rural"/>
    <x v="3"/>
    <s v="GNR_HP_ELEC_COP-300"/>
    <x v="0"/>
    <x v="21"/>
    <n v="1.5"/>
    <n v="547.5"/>
    <n v="1971"/>
  </r>
  <r>
    <x v="0"/>
    <x v="0"/>
    <x v="0"/>
    <x v="0"/>
    <x v="0"/>
    <s v="DK1_Rural"/>
    <x v="3"/>
    <s v="GNR_HP_ELEC_COP-300"/>
    <x v="0"/>
    <x v="22"/>
    <n v="1.5"/>
    <n v="547.5"/>
    <n v="1971"/>
  </r>
  <r>
    <x v="0"/>
    <x v="0"/>
    <x v="0"/>
    <x v="0"/>
    <x v="0"/>
    <s v="DK1_Rural"/>
    <x v="3"/>
    <s v="GNR_HP_ELEC_COP-350"/>
    <x v="0"/>
    <x v="9"/>
    <n v="2.1890000000000001"/>
    <n v="798.98500000000001"/>
    <n v="2876.346"/>
  </r>
  <r>
    <x v="0"/>
    <x v="0"/>
    <x v="0"/>
    <x v="0"/>
    <x v="0"/>
    <s v="DK1_Rural"/>
    <x v="3"/>
    <s v="GNR_HP_ELEC_COP-350"/>
    <x v="0"/>
    <x v="10"/>
    <n v="2.1890000000000001"/>
    <n v="798.98500000000001"/>
    <n v="2876.346"/>
  </r>
  <r>
    <x v="0"/>
    <x v="0"/>
    <x v="0"/>
    <x v="0"/>
    <x v="0"/>
    <s v="DK1_Rural"/>
    <x v="3"/>
    <s v="GNR_HP_ELEC_COP-350"/>
    <x v="0"/>
    <x v="11"/>
    <n v="2.1890000000000001"/>
    <n v="798.98500000000001"/>
    <n v="2876.346"/>
  </r>
  <r>
    <x v="0"/>
    <x v="0"/>
    <x v="0"/>
    <x v="0"/>
    <x v="0"/>
    <s v="DK1_Rural"/>
    <x v="3"/>
    <s v="GNR_HP_ELEC_COP-350"/>
    <x v="0"/>
    <x v="12"/>
    <n v="2.1890000000000001"/>
    <n v="798.98500000000001"/>
    <n v="2876.346"/>
  </r>
  <r>
    <x v="0"/>
    <x v="0"/>
    <x v="0"/>
    <x v="0"/>
    <x v="0"/>
    <s v="DK1_Rural"/>
    <x v="3"/>
    <s v="GNR_HP_ELEC_COP-350"/>
    <x v="0"/>
    <x v="13"/>
    <n v="2.1890000000000001"/>
    <n v="798.98500000000001"/>
    <n v="2876.346"/>
  </r>
  <r>
    <x v="0"/>
    <x v="0"/>
    <x v="0"/>
    <x v="0"/>
    <x v="0"/>
    <s v="DK1_Rural"/>
    <x v="3"/>
    <s v="GNR_HP_ELEC_COP-350"/>
    <x v="0"/>
    <x v="0"/>
    <n v="2.1890000000000001"/>
    <n v="798.98500000000001"/>
    <n v="2876.346"/>
  </r>
  <r>
    <x v="0"/>
    <x v="0"/>
    <x v="0"/>
    <x v="0"/>
    <x v="0"/>
    <s v="DK1_Rural"/>
    <x v="3"/>
    <s v="GNR_HP_ELEC_COP-350"/>
    <x v="0"/>
    <x v="14"/>
    <n v="2.1890000000000001"/>
    <n v="798.98500000000001"/>
    <n v="2876.346"/>
  </r>
  <r>
    <x v="0"/>
    <x v="0"/>
    <x v="0"/>
    <x v="0"/>
    <x v="0"/>
    <s v="DK1_Rural"/>
    <x v="3"/>
    <s v="GNR_HP_ELEC_COP-350"/>
    <x v="0"/>
    <x v="1"/>
    <n v="2.1890000000000001"/>
    <n v="798.98500000000001"/>
    <n v="2876.346"/>
  </r>
  <r>
    <x v="0"/>
    <x v="0"/>
    <x v="0"/>
    <x v="0"/>
    <x v="0"/>
    <s v="DK1_Rural"/>
    <x v="3"/>
    <s v="GNR_HP_ELEC_COP-350"/>
    <x v="0"/>
    <x v="23"/>
    <n v="2.1890000000000001"/>
    <n v="798.98500000000001"/>
    <n v="2876.346"/>
  </r>
  <r>
    <x v="0"/>
    <x v="0"/>
    <x v="0"/>
    <x v="0"/>
    <x v="0"/>
    <s v="DK1_Rural"/>
    <x v="3"/>
    <s v="GNR_HP_ELEC_COP-350"/>
    <x v="0"/>
    <x v="2"/>
    <n v="2.1890000000000001"/>
    <n v="798.98500000000001"/>
    <n v="2876.346"/>
  </r>
  <r>
    <x v="0"/>
    <x v="0"/>
    <x v="0"/>
    <x v="0"/>
    <x v="0"/>
    <s v="DK1_Rural"/>
    <x v="3"/>
    <s v="GNR_HP_ELEC_COP-350"/>
    <x v="0"/>
    <x v="3"/>
    <n v="2.1890000000000001"/>
    <n v="798.98500000000001"/>
    <n v="2876.346"/>
  </r>
  <r>
    <x v="0"/>
    <x v="0"/>
    <x v="0"/>
    <x v="0"/>
    <x v="0"/>
    <s v="DK1_Rural"/>
    <x v="3"/>
    <s v="GNR_HP_ELEC_COP-350"/>
    <x v="0"/>
    <x v="4"/>
    <n v="2.1890000000000001"/>
    <n v="798.98500000000001"/>
    <n v="2876.346"/>
  </r>
  <r>
    <x v="0"/>
    <x v="0"/>
    <x v="0"/>
    <x v="0"/>
    <x v="0"/>
    <s v="DK1_Rural"/>
    <x v="3"/>
    <s v="GNR_HP_ELEC_COP-350"/>
    <x v="0"/>
    <x v="5"/>
    <n v="2.1890000000000001"/>
    <n v="798.98500000000001"/>
    <n v="2876.346"/>
  </r>
  <r>
    <x v="0"/>
    <x v="0"/>
    <x v="0"/>
    <x v="0"/>
    <x v="0"/>
    <s v="DK1_Rural"/>
    <x v="3"/>
    <s v="GNR_HP_ELEC_COP-350"/>
    <x v="0"/>
    <x v="15"/>
    <n v="2.1890000000000001"/>
    <n v="798.98500000000001"/>
    <n v="2876.346"/>
  </r>
  <r>
    <x v="0"/>
    <x v="0"/>
    <x v="0"/>
    <x v="0"/>
    <x v="0"/>
    <s v="DK1_Rural"/>
    <x v="3"/>
    <s v="GNR_HP_ELEC_COP-350"/>
    <x v="0"/>
    <x v="6"/>
    <n v="2.1890000000000001"/>
    <n v="798.98500000000001"/>
    <n v="2876.346"/>
  </r>
  <r>
    <x v="0"/>
    <x v="0"/>
    <x v="0"/>
    <x v="0"/>
    <x v="0"/>
    <s v="DK1_Rural"/>
    <x v="3"/>
    <s v="GNR_HP_ELEC_COP-350"/>
    <x v="0"/>
    <x v="7"/>
    <n v="2.1890000000000001"/>
    <n v="798.98500000000001"/>
    <n v="2876.346"/>
  </r>
  <r>
    <x v="0"/>
    <x v="0"/>
    <x v="0"/>
    <x v="0"/>
    <x v="0"/>
    <s v="DK1_Rural"/>
    <x v="3"/>
    <s v="GNR_HP_ELEC_COP-350"/>
    <x v="0"/>
    <x v="8"/>
    <n v="2.1890000000000001"/>
    <n v="798.98500000000001"/>
    <n v="2876.346"/>
  </r>
  <r>
    <x v="0"/>
    <x v="0"/>
    <x v="0"/>
    <x v="0"/>
    <x v="0"/>
    <s v="DK1_Rural"/>
    <x v="3"/>
    <s v="GNR_HP_ELEC_COP-350"/>
    <x v="0"/>
    <x v="16"/>
    <n v="2.1890000000000001"/>
    <n v="798.98500000000001"/>
    <n v="2876.346"/>
  </r>
  <r>
    <x v="0"/>
    <x v="0"/>
    <x v="0"/>
    <x v="0"/>
    <x v="0"/>
    <s v="DK1_Rural"/>
    <x v="3"/>
    <s v="GNR_HP_ELEC_COP-350"/>
    <x v="0"/>
    <x v="17"/>
    <n v="2.1890000000000001"/>
    <n v="798.98500000000001"/>
    <n v="2876.346"/>
  </r>
  <r>
    <x v="0"/>
    <x v="0"/>
    <x v="0"/>
    <x v="0"/>
    <x v="0"/>
    <s v="DK1_Rural"/>
    <x v="3"/>
    <s v="GNR_HP_ELEC_COP-350"/>
    <x v="0"/>
    <x v="18"/>
    <n v="2.1890000000000001"/>
    <n v="798.98500000000001"/>
    <n v="2876.346"/>
  </r>
  <r>
    <x v="0"/>
    <x v="0"/>
    <x v="0"/>
    <x v="0"/>
    <x v="0"/>
    <s v="DK1_Rural"/>
    <x v="3"/>
    <s v="GNR_HP_ELEC_COP-350"/>
    <x v="0"/>
    <x v="19"/>
    <n v="2.1890000000000001"/>
    <n v="798.98500000000001"/>
    <n v="2876.346"/>
  </r>
  <r>
    <x v="0"/>
    <x v="0"/>
    <x v="0"/>
    <x v="0"/>
    <x v="0"/>
    <s v="DK1_Rural"/>
    <x v="3"/>
    <s v="GNR_HP_ELEC_COP-350"/>
    <x v="0"/>
    <x v="20"/>
    <n v="2.1890000000000001"/>
    <n v="798.98500000000001"/>
    <n v="2876.346"/>
  </r>
  <r>
    <x v="0"/>
    <x v="0"/>
    <x v="0"/>
    <x v="0"/>
    <x v="0"/>
    <s v="DK1_Rural"/>
    <x v="3"/>
    <s v="GNR_HP_ELEC_COP-350"/>
    <x v="0"/>
    <x v="21"/>
    <n v="2.1890000000000001"/>
    <n v="798.98500000000001"/>
    <n v="2876.346"/>
  </r>
  <r>
    <x v="0"/>
    <x v="0"/>
    <x v="0"/>
    <x v="0"/>
    <x v="0"/>
    <s v="DK1_Rural"/>
    <x v="3"/>
    <s v="GNR_HP_ELEC_COP-350"/>
    <x v="0"/>
    <x v="22"/>
    <n v="2.1890000000000001"/>
    <n v="798.98500000000001"/>
    <n v="2876.346"/>
  </r>
  <r>
    <x v="0"/>
    <x v="0"/>
    <x v="0"/>
    <x v="0"/>
    <x v="0"/>
    <s v="DK1_Rural"/>
    <x v="3"/>
    <s v="GNR_HP_ELEC_COP-400"/>
    <x v="0"/>
    <x v="9"/>
    <n v="2.048"/>
    <n v="747.52"/>
    <n v="2691.0720000000001"/>
  </r>
  <r>
    <x v="0"/>
    <x v="0"/>
    <x v="0"/>
    <x v="0"/>
    <x v="0"/>
    <s v="DK1_Rural"/>
    <x v="3"/>
    <s v="GNR_HP_ELEC_COP-400"/>
    <x v="0"/>
    <x v="10"/>
    <n v="2.048"/>
    <n v="747.52"/>
    <n v="2691.0720000000001"/>
  </r>
  <r>
    <x v="0"/>
    <x v="0"/>
    <x v="0"/>
    <x v="0"/>
    <x v="0"/>
    <s v="DK1_Rural"/>
    <x v="3"/>
    <s v="GNR_HP_ELEC_COP-400"/>
    <x v="0"/>
    <x v="11"/>
    <n v="2.048"/>
    <n v="747.52"/>
    <n v="2691.0720000000001"/>
  </r>
  <r>
    <x v="0"/>
    <x v="0"/>
    <x v="0"/>
    <x v="0"/>
    <x v="0"/>
    <s v="DK1_Rural"/>
    <x v="3"/>
    <s v="GNR_HP_ELEC_COP-400"/>
    <x v="0"/>
    <x v="12"/>
    <n v="2.048"/>
    <n v="747.52"/>
    <n v="2691.0720000000001"/>
  </r>
  <r>
    <x v="0"/>
    <x v="0"/>
    <x v="0"/>
    <x v="0"/>
    <x v="0"/>
    <s v="DK1_Rural"/>
    <x v="3"/>
    <s v="GNR_HP_ELEC_COP-400"/>
    <x v="0"/>
    <x v="13"/>
    <n v="2.048"/>
    <n v="747.52"/>
    <n v="2691.0720000000001"/>
  </r>
  <r>
    <x v="0"/>
    <x v="0"/>
    <x v="0"/>
    <x v="0"/>
    <x v="0"/>
    <s v="DK1_Rural"/>
    <x v="3"/>
    <s v="GNR_HP_ELEC_COP-400"/>
    <x v="0"/>
    <x v="0"/>
    <n v="2.048"/>
    <n v="747.52"/>
    <n v="2691.0720000000001"/>
  </r>
  <r>
    <x v="0"/>
    <x v="0"/>
    <x v="0"/>
    <x v="0"/>
    <x v="0"/>
    <s v="DK1_Rural"/>
    <x v="3"/>
    <s v="GNR_HP_ELEC_COP-400"/>
    <x v="0"/>
    <x v="14"/>
    <n v="2.048"/>
    <n v="747.52"/>
    <n v="2691.0720000000001"/>
  </r>
  <r>
    <x v="0"/>
    <x v="0"/>
    <x v="0"/>
    <x v="0"/>
    <x v="0"/>
    <s v="DK1_Rural"/>
    <x v="3"/>
    <s v="GNR_HP_ELEC_COP-400"/>
    <x v="0"/>
    <x v="1"/>
    <n v="2.048"/>
    <n v="747.52"/>
    <n v="2691.0720000000001"/>
  </r>
  <r>
    <x v="0"/>
    <x v="0"/>
    <x v="0"/>
    <x v="0"/>
    <x v="0"/>
    <s v="DK1_Rural"/>
    <x v="3"/>
    <s v="GNR_HP_ELEC_COP-400"/>
    <x v="0"/>
    <x v="23"/>
    <n v="2.048"/>
    <n v="747.52"/>
    <n v="2691.0720000000001"/>
  </r>
  <r>
    <x v="0"/>
    <x v="0"/>
    <x v="0"/>
    <x v="0"/>
    <x v="0"/>
    <s v="DK1_Rural"/>
    <x v="3"/>
    <s v="GNR_HP_ELEC_COP-400"/>
    <x v="0"/>
    <x v="2"/>
    <n v="2.048"/>
    <n v="747.52"/>
    <n v="2691.0720000000001"/>
  </r>
  <r>
    <x v="0"/>
    <x v="0"/>
    <x v="0"/>
    <x v="0"/>
    <x v="0"/>
    <s v="DK1_Rural"/>
    <x v="3"/>
    <s v="GNR_HP_ELEC_COP-400"/>
    <x v="0"/>
    <x v="3"/>
    <n v="2.048"/>
    <n v="747.52"/>
    <n v="2691.0720000000001"/>
  </r>
  <r>
    <x v="0"/>
    <x v="0"/>
    <x v="0"/>
    <x v="0"/>
    <x v="0"/>
    <s v="DK1_Rural"/>
    <x v="3"/>
    <s v="GNR_HP_ELEC_COP-400"/>
    <x v="0"/>
    <x v="4"/>
    <n v="2.048"/>
    <n v="747.52"/>
    <n v="2691.0720000000001"/>
  </r>
  <r>
    <x v="0"/>
    <x v="0"/>
    <x v="0"/>
    <x v="0"/>
    <x v="0"/>
    <s v="DK1_Rural"/>
    <x v="3"/>
    <s v="GNR_HP_ELEC_COP-400"/>
    <x v="0"/>
    <x v="5"/>
    <n v="2.048"/>
    <n v="747.52"/>
    <n v="2691.0720000000001"/>
  </r>
  <r>
    <x v="0"/>
    <x v="0"/>
    <x v="0"/>
    <x v="0"/>
    <x v="0"/>
    <s v="DK1_Rural"/>
    <x v="3"/>
    <s v="GNR_HP_ELEC_COP-400"/>
    <x v="0"/>
    <x v="15"/>
    <n v="2.048"/>
    <n v="747.52"/>
    <n v="2691.0720000000001"/>
  </r>
  <r>
    <x v="0"/>
    <x v="0"/>
    <x v="0"/>
    <x v="0"/>
    <x v="0"/>
    <s v="DK1_Rural"/>
    <x v="3"/>
    <s v="GNR_HP_ELEC_COP-400"/>
    <x v="0"/>
    <x v="6"/>
    <n v="2.048"/>
    <n v="747.52"/>
    <n v="2691.0720000000001"/>
  </r>
  <r>
    <x v="0"/>
    <x v="0"/>
    <x v="0"/>
    <x v="0"/>
    <x v="0"/>
    <s v="DK1_Rural"/>
    <x v="3"/>
    <s v="GNR_HP_ELEC_COP-400"/>
    <x v="0"/>
    <x v="7"/>
    <n v="2.048"/>
    <n v="747.52"/>
    <n v="2691.0720000000001"/>
  </r>
  <r>
    <x v="0"/>
    <x v="0"/>
    <x v="0"/>
    <x v="0"/>
    <x v="0"/>
    <s v="DK1_Rural"/>
    <x v="3"/>
    <s v="GNR_HP_ELEC_COP-400"/>
    <x v="0"/>
    <x v="8"/>
    <n v="2.048"/>
    <n v="747.52"/>
    <n v="2691.0720000000001"/>
  </r>
  <r>
    <x v="0"/>
    <x v="0"/>
    <x v="0"/>
    <x v="0"/>
    <x v="0"/>
    <s v="DK1_Rural"/>
    <x v="3"/>
    <s v="GNR_HP_ELEC_COP-400"/>
    <x v="0"/>
    <x v="16"/>
    <n v="2.048"/>
    <n v="747.52"/>
    <n v="2691.0720000000001"/>
  </r>
  <r>
    <x v="0"/>
    <x v="0"/>
    <x v="0"/>
    <x v="0"/>
    <x v="0"/>
    <s v="DK1_Rural"/>
    <x v="3"/>
    <s v="GNR_HP_ELEC_COP-400"/>
    <x v="0"/>
    <x v="17"/>
    <n v="2.048"/>
    <n v="747.52"/>
    <n v="2691.0720000000001"/>
  </r>
  <r>
    <x v="0"/>
    <x v="0"/>
    <x v="0"/>
    <x v="0"/>
    <x v="0"/>
    <s v="DK1_Rural"/>
    <x v="3"/>
    <s v="GNR_HP_ELEC_COP-400"/>
    <x v="0"/>
    <x v="18"/>
    <n v="2.048"/>
    <n v="747.52"/>
    <n v="2691.0720000000001"/>
  </r>
  <r>
    <x v="0"/>
    <x v="0"/>
    <x v="0"/>
    <x v="0"/>
    <x v="0"/>
    <s v="DK1_Rural"/>
    <x v="3"/>
    <s v="GNR_HP_ELEC_COP-400"/>
    <x v="0"/>
    <x v="19"/>
    <n v="2.048"/>
    <n v="747.52"/>
    <n v="2691.0720000000001"/>
  </r>
  <r>
    <x v="0"/>
    <x v="0"/>
    <x v="0"/>
    <x v="0"/>
    <x v="0"/>
    <s v="DK1_Rural"/>
    <x v="3"/>
    <s v="GNR_HP_ELEC_COP-400"/>
    <x v="0"/>
    <x v="20"/>
    <n v="2.048"/>
    <n v="747.52"/>
    <n v="2691.0720000000001"/>
  </r>
  <r>
    <x v="0"/>
    <x v="0"/>
    <x v="0"/>
    <x v="0"/>
    <x v="0"/>
    <s v="DK1_Rural"/>
    <x v="3"/>
    <s v="GNR_HP_ELEC_COP-400"/>
    <x v="0"/>
    <x v="21"/>
    <n v="2.048"/>
    <n v="747.52"/>
    <n v="2691.0720000000001"/>
  </r>
  <r>
    <x v="0"/>
    <x v="0"/>
    <x v="0"/>
    <x v="0"/>
    <x v="0"/>
    <s v="DK1_Rural"/>
    <x v="3"/>
    <s v="GNR_HP_ELEC_COP-400"/>
    <x v="0"/>
    <x v="22"/>
    <n v="2.048"/>
    <n v="747.52"/>
    <n v="2691.0720000000001"/>
  </r>
  <r>
    <x v="0"/>
    <x v="0"/>
    <x v="0"/>
    <x v="0"/>
    <x v="0"/>
    <s v="DK1_Rural"/>
    <x v="3"/>
    <s v="GNR_HP_ELEC_COP-430"/>
    <x v="0"/>
    <x v="9"/>
    <n v="1.3"/>
    <n v="474.5"/>
    <n v="1708.2"/>
  </r>
  <r>
    <x v="0"/>
    <x v="0"/>
    <x v="0"/>
    <x v="0"/>
    <x v="0"/>
    <s v="DK1_Rural"/>
    <x v="3"/>
    <s v="GNR_HP_ELEC_COP-430"/>
    <x v="0"/>
    <x v="10"/>
    <n v="1.3"/>
    <n v="474.5"/>
    <n v="1708.2"/>
  </r>
  <r>
    <x v="0"/>
    <x v="0"/>
    <x v="0"/>
    <x v="0"/>
    <x v="0"/>
    <s v="DK1_Rural"/>
    <x v="3"/>
    <s v="GNR_HP_ELEC_COP-430"/>
    <x v="0"/>
    <x v="11"/>
    <n v="1.3"/>
    <n v="474.5"/>
    <n v="1708.2"/>
  </r>
  <r>
    <x v="0"/>
    <x v="0"/>
    <x v="0"/>
    <x v="0"/>
    <x v="0"/>
    <s v="DK1_Rural"/>
    <x v="3"/>
    <s v="GNR_HP_ELEC_COP-430"/>
    <x v="0"/>
    <x v="12"/>
    <n v="1.3"/>
    <n v="474.5"/>
    <n v="1708.2"/>
  </r>
  <r>
    <x v="0"/>
    <x v="0"/>
    <x v="0"/>
    <x v="0"/>
    <x v="0"/>
    <s v="DK1_Rural"/>
    <x v="3"/>
    <s v="GNR_HP_ELEC_COP-430"/>
    <x v="0"/>
    <x v="13"/>
    <n v="1.3"/>
    <n v="474.5"/>
    <n v="1708.2"/>
  </r>
  <r>
    <x v="0"/>
    <x v="0"/>
    <x v="0"/>
    <x v="0"/>
    <x v="0"/>
    <s v="DK1_Rural"/>
    <x v="3"/>
    <s v="GNR_HP_ELEC_COP-430"/>
    <x v="0"/>
    <x v="0"/>
    <n v="1.3"/>
    <n v="474.5"/>
    <n v="1708.2"/>
  </r>
  <r>
    <x v="0"/>
    <x v="0"/>
    <x v="0"/>
    <x v="0"/>
    <x v="0"/>
    <s v="DK1_Rural"/>
    <x v="3"/>
    <s v="GNR_HP_ELEC_COP-430"/>
    <x v="0"/>
    <x v="14"/>
    <n v="1.3"/>
    <n v="474.5"/>
    <n v="1708.2"/>
  </r>
  <r>
    <x v="0"/>
    <x v="0"/>
    <x v="0"/>
    <x v="0"/>
    <x v="0"/>
    <s v="DK1_Rural"/>
    <x v="3"/>
    <s v="GNR_HP_ELEC_COP-430"/>
    <x v="0"/>
    <x v="1"/>
    <n v="1.3"/>
    <n v="474.5"/>
    <n v="1708.2"/>
  </r>
  <r>
    <x v="0"/>
    <x v="0"/>
    <x v="0"/>
    <x v="0"/>
    <x v="0"/>
    <s v="DK1_Rural"/>
    <x v="3"/>
    <s v="GNR_HP_ELEC_COP-430"/>
    <x v="0"/>
    <x v="23"/>
    <n v="1.3"/>
    <n v="474.5"/>
    <n v="1708.2"/>
  </r>
  <r>
    <x v="0"/>
    <x v="0"/>
    <x v="0"/>
    <x v="0"/>
    <x v="0"/>
    <s v="DK1_Rural"/>
    <x v="3"/>
    <s v="GNR_HP_ELEC_COP-430"/>
    <x v="0"/>
    <x v="2"/>
    <n v="1.3"/>
    <n v="474.5"/>
    <n v="1708.2"/>
  </r>
  <r>
    <x v="0"/>
    <x v="0"/>
    <x v="0"/>
    <x v="0"/>
    <x v="0"/>
    <s v="DK1_Rural"/>
    <x v="3"/>
    <s v="GNR_HP_ELEC_COP-430"/>
    <x v="0"/>
    <x v="3"/>
    <n v="1.3"/>
    <n v="474.5"/>
    <n v="1708.2"/>
  </r>
  <r>
    <x v="0"/>
    <x v="0"/>
    <x v="0"/>
    <x v="0"/>
    <x v="0"/>
    <s v="DK1_Rural"/>
    <x v="3"/>
    <s v="GNR_HP_ELEC_COP-430"/>
    <x v="0"/>
    <x v="4"/>
    <n v="1.3"/>
    <n v="474.5"/>
    <n v="1708.2"/>
  </r>
  <r>
    <x v="0"/>
    <x v="0"/>
    <x v="0"/>
    <x v="0"/>
    <x v="0"/>
    <s v="DK1_Rural"/>
    <x v="3"/>
    <s v="GNR_HP_ELEC_COP-430"/>
    <x v="0"/>
    <x v="5"/>
    <n v="1.3"/>
    <n v="474.5"/>
    <n v="1708.2"/>
  </r>
  <r>
    <x v="0"/>
    <x v="0"/>
    <x v="0"/>
    <x v="0"/>
    <x v="0"/>
    <s v="DK1_Rural"/>
    <x v="3"/>
    <s v="GNR_HP_ELEC_COP-430"/>
    <x v="0"/>
    <x v="15"/>
    <n v="1.3"/>
    <n v="474.5"/>
    <n v="1708.2"/>
  </r>
  <r>
    <x v="0"/>
    <x v="0"/>
    <x v="0"/>
    <x v="0"/>
    <x v="0"/>
    <s v="DK1_Rural"/>
    <x v="3"/>
    <s v="GNR_HP_ELEC_COP-430"/>
    <x v="0"/>
    <x v="6"/>
    <n v="1.3"/>
    <n v="474.5"/>
    <n v="1708.2"/>
  </r>
  <r>
    <x v="0"/>
    <x v="0"/>
    <x v="0"/>
    <x v="0"/>
    <x v="0"/>
    <s v="DK1_Rural"/>
    <x v="3"/>
    <s v="GNR_HP_ELEC_COP-430"/>
    <x v="0"/>
    <x v="7"/>
    <n v="1.3"/>
    <n v="474.5"/>
    <n v="1708.2"/>
  </r>
  <r>
    <x v="0"/>
    <x v="0"/>
    <x v="0"/>
    <x v="0"/>
    <x v="0"/>
    <s v="DK1_Rural"/>
    <x v="3"/>
    <s v="GNR_HP_ELEC_COP-430"/>
    <x v="0"/>
    <x v="8"/>
    <n v="1.3"/>
    <n v="474.5"/>
    <n v="1708.2"/>
  </r>
  <r>
    <x v="0"/>
    <x v="0"/>
    <x v="0"/>
    <x v="0"/>
    <x v="0"/>
    <s v="DK1_Rural"/>
    <x v="3"/>
    <s v="GNR_HP_ELEC_COP-430"/>
    <x v="0"/>
    <x v="16"/>
    <n v="1.3"/>
    <n v="474.5"/>
    <n v="1708.2"/>
  </r>
  <r>
    <x v="0"/>
    <x v="0"/>
    <x v="0"/>
    <x v="0"/>
    <x v="0"/>
    <s v="DK1_Rural"/>
    <x v="3"/>
    <s v="GNR_HP_ELEC_COP-430"/>
    <x v="0"/>
    <x v="17"/>
    <n v="1.3"/>
    <n v="474.5"/>
    <n v="1708.2"/>
  </r>
  <r>
    <x v="0"/>
    <x v="0"/>
    <x v="0"/>
    <x v="0"/>
    <x v="0"/>
    <s v="DK1_Rural"/>
    <x v="3"/>
    <s v="GNR_HP_ELEC_COP-430"/>
    <x v="0"/>
    <x v="18"/>
    <n v="1.3"/>
    <n v="474.5"/>
    <n v="1708.2"/>
  </r>
  <r>
    <x v="0"/>
    <x v="0"/>
    <x v="0"/>
    <x v="0"/>
    <x v="0"/>
    <s v="DK1_Rural"/>
    <x v="3"/>
    <s v="GNR_HP_ELEC_COP-430"/>
    <x v="0"/>
    <x v="19"/>
    <n v="1.3"/>
    <n v="474.5"/>
    <n v="1708.2"/>
  </r>
  <r>
    <x v="0"/>
    <x v="0"/>
    <x v="0"/>
    <x v="0"/>
    <x v="0"/>
    <s v="DK1_Rural"/>
    <x v="3"/>
    <s v="GNR_HP_ELEC_COP-430"/>
    <x v="0"/>
    <x v="20"/>
    <n v="1.3"/>
    <n v="474.5"/>
    <n v="1708.2"/>
  </r>
  <r>
    <x v="0"/>
    <x v="0"/>
    <x v="0"/>
    <x v="0"/>
    <x v="0"/>
    <s v="DK1_Rural"/>
    <x v="3"/>
    <s v="GNR_HP_ELEC_COP-430"/>
    <x v="0"/>
    <x v="21"/>
    <n v="1.3"/>
    <n v="474.5"/>
    <n v="1708.2"/>
  </r>
  <r>
    <x v="0"/>
    <x v="0"/>
    <x v="0"/>
    <x v="0"/>
    <x v="0"/>
    <s v="DK1_Rural"/>
    <x v="3"/>
    <s v="GNR_HP_ELEC_COP-430"/>
    <x v="0"/>
    <x v="22"/>
    <n v="1.3"/>
    <n v="474.5"/>
    <n v="1708.2"/>
  </r>
  <r>
    <x v="0"/>
    <x v="0"/>
    <x v="0"/>
    <x v="0"/>
    <x v="0"/>
    <s v="DK1_Rural"/>
    <x v="3"/>
    <s v="GNR_HP_ELEC_COP-450"/>
    <x v="0"/>
    <x v="9"/>
    <n v="0.54"/>
    <n v="197.1"/>
    <n v="709.56"/>
  </r>
  <r>
    <x v="0"/>
    <x v="0"/>
    <x v="0"/>
    <x v="0"/>
    <x v="0"/>
    <s v="DK1_Rural"/>
    <x v="3"/>
    <s v="GNR_HP_ELEC_COP-450"/>
    <x v="0"/>
    <x v="10"/>
    <n v="0.54"/>
    <n v="197.1"/>
    <n v="709.56"/>
  </r>
  <r>
    <x v="0"/>
    <x v="0"/>
    <x v="0"/>
    <x v="0"/>
    <x v="0"/>
    <s v="DK1_Rural"/>
    <x v="3"/>
    <s v="GNR_HP_ELEC_COP-450"/>
    <x v="0"/>
    <x v="11"/>
    <n v="0.54"/>
    <n v="197.1"/>
    <n v="709.56"/>
  </r>
  <r>
    <x v="0"/>
    <x v="0"/>
    <x v="0"/>
    <x v="0"/>
    <x v="0"/>
    <s v="DK1_Rural"/>
    <x v="3"/>
    <s v="GNR_HP_ELEC_COP-450"/>
    <x v="0"/>
    <x v="12"/>
    <n v="0.54"/>
    <n v="197.1"/>
    <n v="709.56"/>
  </r>
  <r>
    <x v="0"/>
    <x v="0"/>
    <x v="0"/>
    <x v="0"/>
    <x v="0"/>
    <s v="DK1_Rural"/>
    <x v="3"/>
    <s v="GNR_HP_ELEC_COP-450"/>
    <x v="0"/>
    <x v="13"/>
    <n v="0.54"/>
    <n v="197.1"/>
    <n v="709.56"/>
  </r>
  <r>
    <x v="0"/>
    <x v="0"/>
    <x v="0"/>
    <x v="0"/>
    <x v="0"/>
    <s v="DK1_Rural"/>
    <x v="3"/>
    <s v="GNR_HP_ELEC_COP-450"/>
    <x v="0"/>
    <x v="0"/>
    <n v="0.54"/>
    <n v="197.1"/>
    <n v="709.56"/>
  </r>
  <r>
    <x v="0"/>
    <x v="0"/>
    <x v="0"/>
    <x v="0"/>
    <x v="0"/>
    <s v="DK1_Rural"/>
    <x v="3"/>
    <s v="GNR_HP_ELEC_COP-450"/>
    <x v="0"/>
    <x v="14"/>
    <n v="0.54"/>
    <n v="197.1"/>
    <n v="709.56"/>
  </r>
  <r>
    <x v="0"/>
    <x v="0"/>
    <x v="0"/>
    <x v="0"/>
    <x v="0"/>
    <s v="DK1_Rural"/>
    <x v="3"/>
    <s v="GNR_HP_ELEC_COP-450"/>
    <x v="0"/>
    <x v="1"/>
    <n v="0.54"/>
    <n v="197.1"/>
    <n v="709.56"/>
  </r>
  <r>
    <x v="0"/>
    <x v="0"/>
    <x v="0"/>
    <x v="0"/>
    <x v="0"/>
    <s v="DK1_Rural"/>
    <x v="3"/>
    <s v="GNR_HP_ELEC_COP-450"/>
    <x v="0"/>
    <x v="23"/>
    <n v="0.54"/>
    <n v="197.1"/>
    <n v="709.56"/>
  </r>
  <r>
    <x v="0"/>
    <x v="0"/>
    <x v="0"/>
    <x v="0"/>
    <x v="0"/>
    <s v="DK1_Rural"/>
    <x v="3"/>
    <s v="GNR_HP_ELEC_COP-450"/>
    <x v="0"/>
    <x v="2"/>
    <n v="0.54"/>
    <n v="197.1"/>
    <n v="709.56"/>
  </r>
  <r>
    <x v="0"/>
    <x v="0"/>
    <x v="0"/>
    <x v="0"/>
    <x v="0"/>
    <s v="DK1_Rural"/>
    <x v="3"/>
    <s v="GNR_HP_ELEC_COP-450"/>
    <x v="0"/>
    <x v="3"/>
    <n v="0.54"/>
    <n v="197.1"/>
    <n v="709.56"/>
  </r>
  <r>
    <x v="0"/>
    <x v="0"/>
    <x v="0"/>
    <x v="0"/>
    <x v="0"/>
    <s v="DK1_Rural"/>
    <x v="3"/>
    <s v="GNR_HP_ELEC_COP-450"/>
    <x v="0"/>
    <x v="4"/>
    <n v="0.54"/>
    <n v="197.1"/>
    <n v="709.56"/>
  </r>
  <r>
    <x v="0"/>
    <x v="0"/>
    <x v="0"/>
    <x v="0"/>
    <x v="0"/>
    <s v="DK1_Rural"/>
    <x v="3"/>
    <s v="GNR_HP_ELEC_COP-450"/>
    <x v="0"/>
    <x v="5"/>
    <n v="0.54"/>
    <n v="197.1"/>
    <n v="709.56"/>
  </r>
  <r>
    <x v="0"/>
    <x v="0"/>
    <x v="0"/>
    <x v="0"/>
    <x v="0"/>
    <s v="DK1_Rural"/>
    <x v="3"/>
    <s v="GNR_HP_ELEC_COP-450"/>
    <x v="0"/>
    <x v="15"/>
    <n v="0.54"/>
    <n v="197.1"/>
    <n v="709.56"/>
  </r>
  <r>
    <x v="0"/>
    <x v="0"/>
    <x v="0"/>
    <x v="0"/>
    <x v="0"/>
    <s v="DK1_Rural"/>
    <x v="3"/>
    <s v="GNR_HP_ELEC_COP-450"/>
    <x v="0"/>
    <x v="6"/>
    <n v="0.54"/>
    <n v="197.1"/>
    <n v="709.56"/>
  </r>
  <r>
    <x v="0"/>
    <x v="0"/>
    <x v="0"/>
    <x v="0"/>
    <x v="0"/>
    <s v="DK1_Rural"/>
    <x v="3"/>
    <s v="GNR_HP_ELEC_COP-450"/>
    <x v="0"/>
    <x v="7"/>
    <n v="0.54"/>
    <n v="197.1"/>
    <n v="709.56"/>
  </r>
  <r>
    <x v="0"/>
    <x v="0"/>
    <x v="0"/>
    <x v="0"/>
    <x v="0"/>
    <s v="DK1_Rural"/>
    <x v="3"/>
    <s v="GNR_HP_ELEC_COP-450"/>
    <x v="0"/>
    <x v="8"/>
    <n v="0.54"/>
    <n v="197.1"/>
    <n v="709.56"/>
  </r>
  <r>
    <x v="0"/>
    <x v="0"/>
    <x v="0"/>
    <x v="0"/>
    <x v="0"/>
    <s v="DK1_Rural"/>
    <x v="3"/>
    <s v="GNR_HP_ELEC_COP-450"/>
    <x v="0"/>
    <x v="16"/>
    <n v="0.54"/>
    <n v="197.1"/>
    <n v="709.56"/>
  </r>
  <r>
    <x v="0"/>
    <x v="0"/>
    <x v="0"/>
    <x v="0"/>
    <x v="0"/>
    <s v="DK1_Rural"/>
    <x v="3"/>
    <s v="GNR_HP_ELEC_COP-450"/>
    <x v="0"/>
    <x v="17"/>
    <n v="0.54"/>
    <n v="197.1"/>
    <n v="709.56"/>
  </r>
  <r>
    <x v="0"/>
    <x v="0"/>
    <x v="0"/>
    <x v="0"/>
    <x v="0"/>
    <s v="DK1_Rural"/>
    <x v="3"/>
    <s v="GNR_HP_ELEC_COP-450"/>
    <x v="0"/>
    <x v="18"/>
    <n v="0.54"/>
    <n v="197.1"/>
    <n v="709.56"/>
  </r>
  <r>
    <x v="0"/>
    <x v="0"/>
    <x v="0"/>
    <x v="0"/>
    <x v="0"/>
    <s v="DK1_Rural"/>
    <x v="3"/>
    <s v="GNR_HP_ELEC_COP-450"/>
    <x v="0"/>
    <x v="19"/>
    <n v="0.54"/>
    <n v="197.1"/>
    <n v="709.56"/>
  </r>
  <r>
    <x v="0"/>
    <x v="0"/>
    <x v="0"/>
    <x v="0"/>
    <x v="0"/>
    <s v="DK1_Rural"/>
    <x v="3"/>
    <s v="GNR_HP_ELEC_COP-450"/>
    <x v="0"/>
    <x v="20"/>
    <n v="0.54"/>
    <n v="197.1"/>
    <n v="709.56"/>
  </r>
  <r>
    <x v="0"/>
    <x v="0"/>
    <x v="0"/>
    <x v="0"/>
    <x v="0"/>
    <s v="DK1_Rural"/>
    <x v="3"/>
    <s v="GNR_HP_ELEC_COP-450"/>
    <x v="0"/>
    <x v="21"/>
    <n v="0.54"/>
    <n v="197.1"/>
    <n v="709.56"/>
  </r>
  <r>
    <x v="0"/>
    <x v="0"/>
    <x v="0"/>
    <x v="0"/>
    <x v="0"/>
    <s v="DK1_Rural"/>
    <x v="3"/>
    <s v="GNR_HP_ELEC_COP-450"/>
    <x v="0"/>
    <x v="22"/>
    <n v="0.54"/>
    <n v="197.1"/>
    <n v="709.56"/>
  </r>
  <r>
    <x v="0"/>
    <x v="0"/>
    <x v="0"/>
    <x v="0"/>
    <x v="0"/>
    <s v="DK1_Rural"/>
    <x v="3"/>
    <s v="GNR_HP_ELEC_COP-460"/>
    <x v="0"/>
    <x v="9"/>
    <n v="3.6"/>
    <n v="1314"/>
    <n v="4730.3999999999996"/>
  </r>
  <r>
    <x v="0"/>
    <x v="0"/>
    <x v="0"/>
    <x v="0"/>
    <x v="0"/>
    <s v="DK1_Rural"/>
    <x v="3"/>
    <s v="GNR_HP_ELEC_COP-460"/>
    <x v="0"/>
    <x v="10"/>
    <n v="3.6"/>
    <n v="1314"/>
    <n v="4730.3999999999996"/>
  </r>
  <r>
    <x v="0"/>
    <x v="0"/>
    <x v="0"/>
    <x v="0"/>
    <x v="0"/>
    <s v="DK1_Rural"/>
    <x v="3"/>
    <s v="GNR_HP_ELEC_COP-460"/>
    <x v="0"/>
    <x v="11"/>
    <n v="3.6"/>
    <n v="1314"/>
    <n v="4730.3999999999996"/>
  </r>
  <r>
    <x v="0"/>
    <x v="0"/>
    <x v="0"/>
    <x v="0"/>
    <x v="0"/>
    <s v="DK1_Rural"/>
    <x v="3"/>
    <s v="GNR_HP_ELEC_COP-460"/>
    <x v="0"/>
    <x v="12"/>
    <n v="3.6"/>
    <n v="1314"/>
    <n v="4730.3999999999996"/>
  </r>
  <r>
    <x v="0"/>
    <x v="0"/>
    <x v="0"/>
    <x v="0"/>
    <x v="0"/>
    <s v="DK1_Rural"/>
    <x v="3"/>
    <s v="GNR_HP_ELEC_COP-460"/>
    <x v="0"/>
    <x v="13"/>
    <n v="3.6"/>
    <n v="1314"/>
    <n v="4730.3999999999996"/>
  </r>
  <r>
    <x v="0"/>
    <x v="0"/>
    <x v="0"/>
    <x v="0"/>
    <x v="0"/>
    <s v="DK1_Rural"/>
    <x v="3"/>
    <s v="GNR_HP_ELEC_COP-460"/>
    <x v="0"/>
    <x v="0"/>
    <n v="3.6"/>
    <n v="1314"/>
    <n v="4730.3999999999996"/>
  </r>
  <r>
    <x v="0"/>
    <x v="0"/>
    <x v="0"/>
    <x v="0"/>
    <x v="0"/>
    <s v="DK1_Rural"/>
    <x v="3"/>
    <s v="GNR_HP_ELEC_COP-460"/>
    <x v="0"/>
    <x v="14"/>
    <n v="3.6"/>
    <n v="1314"/>
    <n v="4730.3999999999996"/>
  </r>
  <r>
    <x v="0"/>
    <x v="0"/>
    <x v="0"/>
    <x v="0"/>
    <x v="0"/>
    <s v="DK1_Rural"/>
    <x v="3"/>
    <s v="GNR_HP_ELEC_COP-460"/>
    <x v="0"/>
    <x v="1"/>
    <n v="3.6"/>
    <n v="1314"/>
    <n v="4730.3999999999996"/>
  </r>
  <r>
    <x v="0"/>
    <x v="0"/>
    <x v="0"/>
    <x v="0"/>
    <x v="0"/>
    <s v="DK1_Rural"/>
    <x v="3"/>
    <s v="GNR_HP_ELEC_COP-460"/>
    <x v="0"/>
    <x v="23"/>
    <n v="3.6"/>
    <n v="1314"/>
    <n v="4730.3999999999996"/>
  </r>
  <r>
    <x v="0"/>
    <x v="0"/>
    <x v="0"/>
    <x v="0"/>
    <x v="0"/>
    <s v="DK1_Rural"/>
    <x v="3"/>
    <s v="GNR_HP_ELEC_COP-460"/>
    <x v="0"/>
    <x v="2"/>
    <n v="3.6"/>
    <n v="1314"/>
    <n v="4730.3999999999996"/>
  </r>
  <r>
    <x v="0"/>
    <x v="0"/>
    <x v="0"/>
    <x v="0"/>
    <x v="0"/>
    <s v="DK1_Rural"/>
    <x v="3"/>
    <s v="GNR_HP_ELEC_COP-460"/>
    <x v="0"/>
    <x v="3"/>
    <n v="3.6"/>
    <n v="1314"/>
    <n v="4730.3999999999996"/>
  </r>
  <r>
    <x v="0"/>
    <x v="0"/>
    <x v="0"/>
    <x v="0"/>
    <x v="0"/>
    <s v="DK1_Rural"/>
    <x v="3"/>
    <s v="GNR_HP_ELEC_COP-460"/>
    <x v="0"/>
    <x v="4"/>
    <n v="3.6"/>
    <n v="1314"/>
    <n v="4730.3999999999996"/>
  </r>
  <r>
    <x v="0"/>
    <x v="0"/>
    <x v="0"/>
    <x v="0"/>
    <x v="0"/>
    <s v="DK1_Rural"/>
    <x v="3"/>
    <s v="GNR_HP_ELEC_COP-460"/>
    <x v="0"/>
    <x v="5"/>
    <n v="3.6"/>
    <n v="1314"/>
    <n v="4730.3999999999996"/>
  </r>
  <r>
    <x v="0"/>
    <x v="0"/>
    <x v="0"/>
    <x v="0"/>
    <x v="0"/>
    <s v="DK1_Rural"/>
    <x v="3"/>
    <s v="GNR_HP_ELEC_COP-460"/>
    <x v="0"/>
    <x v="15"/>
    <n v="3.6"/>
    <n v="1314"/>
    <n v="4730.3999999999996"/>
  </r>
  <r>
    <x v="0"/>
    <x v="0"/>
    <x v="0"/>
    <x v="0"/>
    <x v="0"/>
    <s v="DK1_Rural"/>
    <x v="3"/>
    <s v="GNR_HP_ELEC_COP-460"/>
    <x v="0"/>
    <x v="6"/>
    <n v="3.6"/>
    <n v="1314"/>
    <n v="4730.3999999999996"/>
  </r>
  <r>
    <x v="0"/>
    <x v="0"/>
    <x v="0"/>
    <x v="0"/>
    <x v="0"/>
    <s v="DK1_Rural"/>
    <x v="3"/>
    <s v="GNR_HP_ELEC_COP-460"/>
    <x v="0"/>
    <x v="7"/>
    <n v="3.6"/>
    <n v="1314"/>
    <n v="4730.3999999999996"/>
  </r>
  <r>
    <x v="0"/>
    <x v="0"/>
    <x v="0"/>
    <x v="0"/>
    <x v="0"/>
    <s v="DK1_Rural"/>
    <x v="3"/>
    <s v="GNR_HP_ELEC_COP-460"/>
    <x v="0"/>
    <x v="8"/>
    <n v="3.6"/>
    <n v="1314"/>
    <n v="4730.3999999999996"/>
  </r>
  <r>
    <x v="0"/>
    <x v="0"/>
    <x v="0"/>
    <x v="0"/>
    <x v="0"/>
    <s v="DK1_Rural"/>
    <x v="3"/>
    <s v="GNR_HP_ELEC_COP-460"/>
    <x v="0"/>
    <x v="16"/>
    <n v="3.6"/>
    <n v="1314"/>
    <n v="4730.3999999999996"/>
  </r>
  <r>
    <x v="0"/>
    <x v="0"/>
    <x v="0"/>
    <x v="0"/>
    <x v="0"/>
    <s v="DK1_Rural"/>
    <x v="3"/>
    <s v="GNR_HP_ELEC_COP-460"/>
    <x v="0"/>
    <x v="17"/>
    <n v="3.6"/>
    <n v="1314"/>
    <n v="4730.3999999999996"/>
  </r>
  <r>
    <x v="0"/>
    <x v="0"/>
    <x v="0"/>
    <x v="0"/>
    <x v="0"/>
    <s v="DK1_Rural"/>
    <x v="3"/>
    <s v="GNR_HP_ELEC_COP-460"/>
    <x v="0"/>
    <x v="18"/>
    <n v="3.6"/>
    <n v="1314"/>
    <n v="4730.3999999999996"/>
  </r>
  <r>
    <x v="0"/>
    <x v="0"/>
    <x v="0"/>
    <x v="0"/>
    <x v="0"/>
    <s v="DK1_Rural"/>
    <x v="3"/>
    <s v="GNR_HP_ELEC_COP-460"/>
    <x v="0"/>
    <x v="19"/>
    <n v="3.6"/>
    <n v="1314"/>
    <n v="4730.3999999999996"/>
  </r>
  <r>
    <x v="0"/>
    <x v="0"/>
    <x v="0"/>
    <x v="0"/>
    <x v="0"/>
    <s v="DK1_Rural"/>
    <x v="3"/>
    <s v="GNR_HP_ELEC_COP-460"/>
    <x v="0"/>
    <x v="20"/>
    <n v="3.6"/>
    <n v="1314"/>
    <n v="4730.3999999999996"/>
  </r>
  <r>
    <x v="0"/>
    <x v="0"/>
    <x v="0"/>
    <x v="0"/>
    <x v="0"/>
    <s v="DK1_Rural"/>
    <x v="3"/>
    <s v="GNR_HP_ELEC_COP-460"/>
    <x v="0"/>
    <x v="21"/>
    <n v="3.6"/>
    <n v="1314"/>
    <n v="4730.3999999999996"/>
  </r>
  <r>
    <x v="0"/>
    <x v="0"/>
    <x v="0"/>
    <x v="0"/>
    <x v="0"/>
    <s v="DK1_Rural"/>
    <x v="3"/>
    <s v="GNR_HP_ELEC_COP-460"/>
    <x v="0"/>
    <x v="22"/>
    <n v="3.6"/>
    <n v="1314"/>
    <n v="4730.3999999999996"/>
  </r>
  <r>
    <x v="0"/>
    <x v="0"/>
    <x v="0"/>
    <x v="0"/>
    <x v="0"/>
    <s v="DK1_Rural"/>
    <x v="3"/>
    <s v="GNR_HP_ELEC_COP-470"/>
    <x v="0"/>
    <x v="9"/>
    <n v="0.95"/>
    <n v="346.75"/>
    <n v="1248.3"/>
  </r>
  <r>
    <x v="0"/>
    <x v="0"/>
    <x v="0"/>
    <x v="0"/>
    <x v="0"/>
    <s v="DK1_Rural"/>
    <x v="3"/>
    <s v="GNR_HP_ELEC_COP-470"/>
    <x v="0"/>
    <x v="10"/>
    <n v="0.95"/>
    <n v="346.75"/>
    <n v="1248.3"/>
  </r>
  <r>
    <x v="0"/>
    <x v="0"/>
    <x v="0"/>
    <x v="0"/>
    <x v="0"/>
    <s v="DK1_Rural"/>
    <x v="3"/>
    <s v="GNR_HP_ELEC_COP-470"/>
    <x v="0"/>
    <x v="11"/>
    <n v="0.95"/>
    <n v="346.75"/>
    <n v="1248.3"/>
  </r>
  <r>
    <x v="0"/>
    <x v="0"/>
    <x v="0"/>
    <x v="0"/>
    <x v="0"/>
    <s v="DK1_Rural"/>
    <x v="3"/>
    <s v="GNR_HP_ELEC_COP-470"/>
    <x v="0"/>
    <x v="12"/>
    <n v="0.95"/>
    <n v="346.75"/>
    <n v="1248.3"/>
  </r>
  <r>
    <x v="0"/>
    <x v="0"/>
    <x v="0"/>
    <x v="0"/>
    <x v="0"/>
    <s v="DK1_Rural"/>
    <x v="3"/>
    <s v="GNR_HP_ELEC_COP-470"/>
    <x v="0"/>
    <x v="13"/>
    <n v="0.95"/>
    <n v="346.75"/>
    <n v="1248.3"/>
  </r>
  <r>
    <x v="0"/>
    <x v="0"/>
    <x v="0"/>
    <x v="0"/>
    <x v="0"/>
    <s v="DK1_Rural"/>
    <x v="3"/>
    <s v="GNR_HP_ELEC_COP-470"/>
    <x v="0"/>
    <x v="0"/>
    <n v="0.95"/>
    <n v="346.75"/>
    <n v="1248.3"/>
  </r>
  <r>
    <x v="0"/>
    <x v="0"/>
    <x v="0"/>
    <x v="0"/>
    <x v="0"/>
    <s v="DK1_Rural"/>
    <x v="3"/>
    <s v="GNR_HP_ELEC_COP-470"/>
    <x v="0"/>
    <x v="14"/>
    <n v="0.95"/>
    <n v="346.75"/>
    <n v="1248.3"/>
  </r>
  <r>
    <x v="0"/>
    <x v="0"/>
    <x v="0"/>
    <x v="0"/>
    <x v="0"/>
    <s v="DK1_Rural"/>
    <x v="3"/>
    <s v="GNR_HP_ELEC_COP-470"/>
    <x v="0"/>
    <x v="1"/>
    <n v="0.95"/>
    <n v="346.75"/>
    <n v="1248.3"/>
  </r>
  <r>
    <x v="0"/>
    <x v="0"/>
    <x v="0"/>
    <x v="0"/>
    <x v="0"/>
    <s v="DK1_Rural"/>
    <x v="3"/>
    <s v="GNR_HP_ELEC_COP-470"/>
    <x v="0"/>
    <x v="23"/>
    <n v="0.95"/>
    <n v="346.75"/>
    <n v="1248.3"/>
  </r>
  <r>
    <x v="0"/>
    <x v="0"/>
    <x v="0"/>
    <x v="0"/>
    <x v="0"/>
    <s v="DK1_Rural"/>
    <x v="3"/>
    <s v="GNR_HP_ELEC_COP-470"/>
    <x v="0"/>
    <x v="2"/>
    <n v="0.95"/>
    <n v="346.75"/>
    <n v="1248.3"/>
  </r>
  <r>
    <x v="0"/>
    <x v="0"/>
    <x v="0"/>
    <x v="0"/>
    <x v="0"/>
    <s v="DK1_Rural"/>
    <x v="3"/>
    <s v="GNR_HP_ELEC_COP-470"/>
    <x v="0"/>
    <x v="3"/>
    <n v="0.95"/>
    <n v="346.75"/>
    <n v="1248.3"/>
  </r>
  <r>
    <x v="0"/>
    <x v="0"/>
    <x v="0"/>
    <x v="0"/>
    <x v="0"/>
    <s v="DK1_Rural"/>
    <x v="3"/>
    <s v="GNR_HP_ELEC_COP-470"/>
    <x v="0"/>
    <x v="4"/>
    <n v="0.95"/>
    <n v="346.75"/>
    <n v="1248.3"/>
  </r>
  <r>
    <x v="0"/>
    <x v="0"/>
    <x v="0"/>
    <x v="0"/>
    <x v="0"/>
    <s v="DK1_Rural"/>
    <x v="3"/>
    <s v="GNR_HP_ELEC_COP-470"/>
    <x v="0"/>
    <x v="5"/>
    <n v="0.95"/>
    <n v="346.75"/>
    <n v="1248.3"/>
  </r>
  <r>
    <x v="0"/>
    <x v="0"/>
    <x v="0"/>
    <x v="0"/>
    <x v="0"/>
    <s v="DK1_Rural"/>
    <x v="3"/>
    <s v="GNR_HP_ELEC_COP-470"/>
    <x v="0"/>
    <x v="15"/>
    <n v="0.95"/>
    <n v="346.75"/>
    <n v="1248.3"/>
  </r>
  <r>
    <x v="0"/>
    <x v="0"/>
    <x v="0"/>
    <x v="0"/>
    <x v="0"/>
    <s v="DK1_Rural"/>
    <x v="3"/>
    <s v="GNR_HP_ELEC_COP-470"/>
    <x v="0"/>
    <x v="6"/>
    <n v="0.95"/>
    <n v="346.75"/>
    <n v="1248.3"/>
  </r>
  <r>
    <x v="0"/>
    <x v="0"/>
    <x v="0"/>
    <x v="0"/>
    <x v="0"/>
    <s v="DK1_Rural"/>
    <x v="3"/>
    <s v="GNR_HP_ELEC_COP-470"/>
    <x v="0"/>
    <x v="7"/>
    <n v="0.95"/>
    <n v="346.75"/>
    <n v="1248.3"/>
  </r>
  <r>
    <x v="0"/>
    <x v="0"/>
    <x v="0"/>
    <x v="0"/>
    <x v="0"/>
    <s v="DK1_Rural"/>
    <x v="3"/>
    <s v="GNR_HP_ELEC_COP-470"/>
    <x v="0"/>
    <x v="8"/>
    <n v="0.95"/>
    <n v="346.75"/>
    <n v="1248.3"/>
  </r>
  <r>
    <x v="0"/>
    <x v="0"/>
    <x v="0"/>
    <x v="0"/>
    <x v="0"/>
    <s v="DK1_Rural"/>
    <x v="3"/>
    <s v="GNR_HP_ELEC_COP-470"/>
    <x v="0"/>
    <x v="16"/>
    <n v="0.95"/>
    <n v="346.75"/>
    <n v="1248.3"/>
  </r>
  <r>
    <x v="0"/>
    <x v="0"/>
    <x v="0"/>
    <x v="0"/>
    <x v="0"/>
    <s v="DK1_Rural"/>
    <x v="3"/>
    <s v="GNR_HP_ELEC_COP-470"/>
    <x v="0"/>
    <x v="17"/>
    <n v="0.95"/>
    <n v="346.75"/>
    <n v="1248.3"/>
  </r>
  <r>
    <x v="0"/>
    <x v="0"/>
    <x v="0"/>
    <x v="0"/>
    <x v="0"/>
    <s v="DK1_Rural"/>
    <x v="3"/>
    <s v="GNR_HP_ELEC_COP-470"/>
    <x v="0"/>
    <x v="18"/>
    <n v="0.95"/>
    <n v="346.75"/>
    <n v="1248.3"/>
  </r>
  <r>
    <x v="0"/>
    <x v="0"/>
    <x v="0"/>
    <x v="0"/>
    <x v="0"/>
    <s v="DK1_Rural"/>
    <x v="3"/>
    <s v="GNR_HP_ELEC_COP-470"/>
    <x v="0"/>
    <x v="19"/>
    <n v="0.95"/>
    <n v="346.75"/>
    <n v="1248.3"/>
  </r>
  <r>
    <x v="0"/>
    <x v="0"/>
    <x v="0"/>
    <x v="0"/>
    <x v="0"/>
    <s v="DK1_Rural"/>
    <x v="3"/>
    <s v="GNR_HP_ELEC_COP-470"/>
    <x v="0"/>
    <x v="20"/>
    <n v="0.95"/>
    <n v="346.75"/>
    <n v="1248.3"/>
  </r>
  <r>
    <x v="0"/>
    <x v="0"/>
    <x v="0"/>
    <x v="0"/>
    <x v="0"/>
    <s v="DK1_Rural"/>
    <x v="3"/>
    <s v="GNR_HP_ELEC_COP-470"/>
    <x v="0"/>
    <x v="21"/>
    <n v="0.95"/>
    <n v="346.75"/>
    <n v="1248.3"/>
  </r>
  <r>
    <x v="0"/>
    <x v="0"/>
    <x v="0"/>
    <x v="0"/>
    <x v="0"/>
    <s v="DK1_Rural"/>
    <x v="3"/>
    <s v="GNR_HP_ELEC_COP-470"/>
    <x v="0"/>
    <x v="22"/>
    <n v="0.95"/>
    <n v="346.75"/>
    <n v="1248.3"/>
  </r>
  <r>
    <x v="0"/>
    <x v="0"/>
    <x v="0"/>
    <x v="0"/>
    <x v="0"/>
    <s v="DK1_Rural"/>
    <x v="3"/>
    <s v="GNR_HP_ELEC_COP-500"/>
    <x v="0"/>
    <x v="9"/>
    <n v="0.5"/>
    <n v="182.5"/>
    <n v="657"/>
  </r>
  <r>
    <x v="0"/>
    <x v="0"/>
    <x v="0"/>
    <x v="0"/>
    <x v="0"/>
    <s v="DK1_Rural"/>
    <x v="3"/>
    <s v="GNR_HP_ELEC_COP-500"/>
    <x v="0"/>
    <x v="10"/>
    <n v="0.5"/>
    <n v="182.5"/>
    <n v="657"/>
  </r>
  <r>
    <x v="0"/>
    <x v="0"/>
    <x v="0"/>
    <x v="0"/>
    <x v="0"/>
    <s v="DK1_Rural"/>
    <x v="3"/>
    <s v="GNR_HP_ELEC_COP-500"/>
    <x v="0"/>
    <x v="11"/>
    <n v="0.5"/>
    <n v="182.5"/>
    <n v="657"/>
  </r>
  <r>
    <x v="0"/>
    <x v="0"/>
    <x v="0"/>
    <x v="0"/>
    <x v="0"/>
    <s v="DK1_Rural"/>
    <x v="3"/>
    <s v="GNR_HP_ELEC_COP-500"/>
    <x v="0"/>
    <x v="12"/>
    <n v="0.5"/>
    <n v="182.5"/>
    <n v="657"/>
  </r>
  <r>
    <x v="0"/>
    <x v="0"/>
    <x v="0"/>
    <x v="0"/>
    <x v="0"/>
    <s v="DK1_Rural"/>
    <x v="3"/>
    <s v="GNR_HP_ELEC_COP-500"/>
    <x v="0"/>
    <x v="13"/>
    <n v="0.5"/>
    <n v="182.5"/>
    <n v="657"/>
  </r>
  <r>
    <x v="0"/>
    <x v="0"/>
    <x v="0"/>
    <x v="0"/>
    <x v="0"/>
    <s v="DK1_Rural"/>
    <x v="3"/>
    <s v="GNR_HP_ELEC_COP-500"/>
    <x v="0"/>
    <x v="0"/>
    <n v="0.5"/>
    <n v="182.5"/>
    <n v="657"/>
  </r>
  <r>
    <x v="0"/>
    <x v="0"/>
    <x v="0"/>
    <x v="0"/>
    <x v="0"/>
    <s v="DK1_Rural"/>
    <x v="3"/>
    <s v="GNR_HP_ELEC_COP-500"/>
    <x v="0"/>
    <x v="14"/>
    <n v="0.5"/>
    <n v="182.5"/>
    <n v="657"/>
  </r>
  <r>
    <x v="0"/>
    <x v="0"/>
    <x v="0"/>
    <x v="0"/>
    <x v="0"/>
    <s v="DK1_Rural"/>
    <x v="3"/>
    <s v="GNR_HP_ELEC_COP-500"/>
    <x v="0"/>
    <x v="1"/>
    <n v="0.5"/>
    <n v="182.5"/>
    <n v="657"/>
  </r>
  <r>
    <x v="0"/>
    <x v="0"/>
    <x v="0"/>
    <x v="0"/>
    <x v="0"/>
    <s v="DK1_Rural"/>
    <x v="3"/>
    <s v="GNR_HP_ELEC_COP-500"/>
    <x v="0"/>
    <x v="23"/>
    <n v="0.5"/>
    <n v="182.5"/>
    <n v="657"/>
  </r>
  <r>
    <x v="0"/>
    <x v="0"/>
    <x v="0"/>
    <x v="0"/>
    <x v="0"/>
    <s v="DK1_Rural"/>
    <x v="3"/>
    <s v="GNR_HP_ELEC_COP-500"/>
    <x v="0"/>
    <x v="2"/>
    <n v="0.5"/>
    <n v="182.5"/>
    <n v="657"/>
  </r>
  <r>
    <x v="0"/>
    <x v="0"/>
    <x v="0"/>
    <x v="0"/>
    <x v="0"/>
    <s v="DK1_Rural"/>
    <x v="3"/>
    <s v="GNR_HP_ELEC_COP-500"/>
    <x v="0"/>
    <x v="3"/>
    <n v="0.5"/>
    <n v="182.5"/>
    <n v="657"/>
  </r>
  <r>
    <x v="0"/>
    <x v="0"/>
    <x v="0"/>
    <x v="0"/>
    <x v="0"/>
    <s v="DK1_Rural"/>
    <x v="3"/>
    <s v="GNR_HP_ELEC_COP-500"/>
    <x v="0"/>
    <x v="4"/>
    <n v="0.5"/>
    <n v="182.5"/>
    <n v="657"/>
  </r>
  <r>
    <x v="0"/>
    <x v="0"/>
    <x v="0"/>
    <x v="0"/>
    <x v="0"/>
    <s v="DK1_Rural"/>
    <x v="3"/>
    <s v="GNR_HP_ELEC_COP-500"/>
    <x v="0"/>
    <x v="5"/>
    <n v="0.5"/>
    <n v="182.5"/>
    <n v="657"/>
  </r>
  <r>
    <x v="0"/>
    <x v="0"/>
    <x v="0"/>
    <x v="0"/>
    <x v="0"/>
    <s v="DK1_Rural"/>
    <x v="3"/>
    <s v="GNR_HP_ELEC_COP-500"/>
    <x v="0"/>
    <x v="15"/>
    <n v="0.5"/>
    <n v="182.5"/>
    <n v="657"/>
  </r>
  <r>
    <x v="0"/>
    <x v="0"/>
    <x v="0"/>
    <x v="0"/>
    <x v="0"/>
    <s v="DK1_Rural"/>
    <x v="3"/>
    <s v="GNR_HP_ELEC_COP-500"/>
    <x v="0"/>
    <x v="6"/>
    <n v="0.5"/>
    <n v="182.5"/>
    <n v="657"/>
  </r>
  <r>
    <x v="0"/>
    <x v="0"/>
    <x v="0"/>
    <x v="0"/>
    <x v="0"/>
    <s v="DK1_Rural"/>
    <x v="3"/>
    <s v="GNR_HP_ELEC_COP-500"/>
    <x v="0"/>
    <x v="7"/>
    <n v="0.5"/>
    <n v="182.5"/>
    <n v="657"/>
  </r>
  <r>
    <x v="0"/>
    <x v="0"/>
    <x v="0"/>
    <x v="0"/>
    <x v="0"/>
    <s v="DK1_Rural"/>
    <x v="3"/>
    <s v="GNR_HP_ELEC_COP-500"/>
    <x v="0"/>
    <x v="8"/>
    <n v="0.5"/>
    <n v="182.5"/>
    <n v="657"/>
  </r>
  <r>
    <x v="0"/>
    <x v="0"/>
    <x v="0"/>
    <x v="0"/>
    <x v="0"/>
    <s v="DK1_Rural"/>
    <x v="3"/>
    <s v="GNR_HP_ELEC_COP-500"/>
    <x v="0"/>
    <x v="16"/>
    <n v="0.5"/>
    <n v="182.5"/>
    <n v="657"/>
  </r>
  <r>
    <x v="0"/>
    <x v="0"/>
    <x v="0"/>
    <x v="0"/>
    <x v="0"/>
    <s v="DK1_Rural"/>
    <x v="3"/>
    <s v="GNR_HP_ELEC_COP-500"/>
    <x v="0"/>
    <x v="17"/>
    <n v="0.5"/>
    <n v="182.5"/>
    <n v="657"/>
  </r>
  <r>
    <x v="0"/>
    <x v="0"/>
    <x v="0"/>
    <x v="0"/>
    <x v="0"/>
    <s v="DK1_Rural"/>
    <x v="3"/>
    <s v="GNR_HP_ELEC_COP-500"/>
    <x v="0"/>
    <x v="18"/>
    <n v="0.5"/>
    <n v="182.5"/>
    <n v="657"/>
  </r>
  <r>
    <x v="0"/>
    <x v="0"/>
    <x v="0"/>
    <x v="0"/>
    <x v="0"/>
    <s v="DK1_Rural"/>
    <x v="3"/>
    <s v="GNR_HP_ELEC_COP-500"/>
    <x v="0"/>
    <x v="19"/>
    <n v="0.5"/>
    <n v="182.5"/>
    <n v="657"/>
  </r>
  <r>
    <x v="0"/>
    <x v="0"/>
    <x v="0"/>
    <x v="0"/>
    <x v="0"/>
    <s v="DK1_Rural"/>
    <x v="3"/>
    <s v="GNR_HP_ELEC_COP-500"/>
    <x v="0"/>
    <x v="20"/>
    <n v="0.5"/>
    <n v="182.5"/>
    <n v="657"/>
  </r>
  <r>
    <x v="0"/>
    <x v="0"/>
    <x v="0"/>
    <x v="0"/>
    <x v="0"/>
    <s v="DK1_Rural"/>
    <x v="3"/>
    <s v="GNR_HP_ELEC_COP-500"/>
    <x v="0"/>
    <x v="21"/>
    <n v="0.5"/>
    <n v="182.5"/>
    <n v="657"/>
  </r>
  <r>
    <x v="0"/>
    <x v="0"/>
    <x v="0"/>
    <x v="0"/>
    <x v="0"/>
    <s v="DK1_Rural"/>
    <x v="3"/>
    <s v="GNR_HP_ELEC_COP-500"/>
    <x v="0"/>
    <x v="22"/>
    <n v="0.5"/>
    <n v="182.5"/>
    <n v="657"/>
  </r>
  <r>
    <x v="0"/>
    <x v="0"/>
    <x v="0"/>
    <x v="0"/>
    <x v="0"/>
    <s v="DK1_Rural"/>
    <x v="3"/>
    <s v="GNR_HP_ELEC_COP-530"/>
    <x v="0"/>
    <x v="9"/>
    <n v="1.35"/>
    <n v="492.75"/>
    <n v="1773.9"/>
  </r>
  <r>
    <x v="0"/>
    <x v="0"/>
    <x v="0"/>
    <x v="0"/>
    <x v="0"/>
    <s v="DK1_Rural"/>
    <x v="3"/>
    <s v="GNR_HP_ELEC_COP-530"/>
    <x v="0"/>
    <x v="10"/>
    <n v="1.35"/>
    <n v="492.75"/>
    <n v="1773.9"/>
  </r>
  <r>
    <x v="0"/>
    <x v="0"/>
    <x v="0"/>
    <x v="0"/>
    <x v="0"/>
    <s v="DK1_Rural"/>
    <x v="3"/>
    <s v="GNR_HP_ELEC_COP-530"/>
    <x v="0"/>
    <x v="11"/>
    <n v="1.35"/>
    <n v="492.75"/>
    <n v="1773.9"/>
  </r>
  <r>
    <x v="0"/>
    <x v="0"/>
    <x v="0"/>
    <x v="0"/>
    <x v="0"/>
    <s v="DK1_Rural"/>
    <x v="3"/>
    <s v="GNR_HP_ELEC_COP-530"/>
    <x v="0"/>
    <x v="12"/>
    <n v="1.35"/>
    <n v="492.75"/>
    <n v="1773.9"/>
  </r>
  <r>
    <x v="0"/>
    <x v="0"/>
    <x v="0"/>
    <x v="0"/>
    <x v="0"/>
    <s v="DK1_Rural"/>
    <x v="3"/>
    <s v="GNR_HP_ELEC_COP-530"/>
    <x v="0"/>
    <x v="13"/>
    <n v="1.35"/>
    <n v="492.75"/>
    <n v="1773.9"/>
  </r>
  <r>
    <x v="0"/>
    <x v="0"/>
    <x v="0"/>
    <x v="0"/>
    <x v="0"/>
    <s v="DK1_Rural"/>
    <x v="3"/>
    <s v="GNR_HP_ELEC_COP-530"/>
    <x v="0"/>
    <x v="0"/>
    <n v="1.35"/>
    <n v="492.75"/>
    <n v="1773.9"/>
  </r>
  <r>
    <x v="0"/>
    <x v="0"/>
    <x v="0"/>
    <x v="0"/>
    <x v="0"/>
    <s v="DK1_Rural"/>
    <x v="3"/>
    <s v="GNR_HP_ELEC_COP-530"/>
    <x v="0"/>
    <x v="14"/>
    <n v="1.35"/>
    <n v="492.75"/>
    <n v="1773.9"/>
  </r>
  <r>
    <x v="0"/>
    <x v="0"/>
    <x v="0"/>
    <x v="0"/>
    <x v="0"/>
    <s v="DK1_Rural"/>
    <x v="3"/>
    <s v="GNR_HP_ELEC_COP-530"/>
    <x v="0"/>
    <x v="1"/>
    <n v="1.35"/>
    <n v="492.75"/>
    <n v="1773.9"/>
  </r>
  <r>
    <x v="0"/>
    <x v="0"/>
    <x v="0"/>
    <x v="0"/>
    <x v="0"/>
    <s v="DK1_Rural"/>
    <x v="3"/>
    <s v="GNR_HP_ELEC_COP-530"/>
    <x v="0"/>
    <x v="23"/>
    <n v="1.35"/>
    <n v="492.75"/>
    <n v="1773.9"/>
  </r>
  <r>
    <x v="0"/>
    <x v="0"/>
    <x v="0"/>
    <x v="0"/>
    <x v="0"/>
    <s v="DK1_Rural"/>
    <x v="3"/>
    <s v="GNR_HP_ELEC_COP-530"/>
    <x v="0"/>
    <x v="2"/>
    <n v="1.35"/>
    <n v="492.75"/>
    <n v="1773.9"/>
  </r>
  <r>
    <x v="0"/>
    <x v="0"/>
    <x v="0"/>
    <x v="0"/>
    <x v="0"/>
    <s v="DK1_Rural"/>
    <x v="3"/>
    <s v="GNR_HP_ELEC_COP-530"/>
    <x v="0"/>
    <x v="3"/>
    <n v="1.35"/>
    <n v="492.75"/>
    <n v="1773.9"/>
  </r>
  <r>
    <x v="0"/>
    <x v="0"/>
    <x v="0"/>
    <x v="0"/>
    <x v="0"/>
    <s v="DK1_Rural"/>
    <x v="3"/>
    <s v="GNR_HP_ELEC_COP-530"/>
    <x v="0"/>
    <x v="4"/>
    <n v="1.35"/>
    <n v="492.75"/>
    <n v="1773.9"/>
  </r>
  <r>
    <x v="0"/>
    <x v="0"/>
    <x v="0"/>
    <x v="0"/>
    <x v="0"/>
    <s v="DK1_Rural"/>
    <x v="3"/>
    <s v="GNR_HP_ELEC_COP-530"/>
    <x v="0"/>
    <x v="5"/>
    <n v="1.35"/>
    <n v="492.75"/>
    <n v="1773.9"/>
  </r>
  <r>
    <x v="0"/>
    <x v="0"/>
    <x v="0"/>
    <x v="0"/>
    <x v="0"/>
    <s v="DK1_Rural"/>
    <x v="3"/>
    <s v="GNR_HP_ELEC_COP-530"/>
    <x v="0"/>
    <x v="15"/>
    <n v="1.35"/>
    <n v="492.75"/>
    <n v="1773.9"/>
  </r>
  <r>
    <x v="0"/>
    <x v="0"/>
    <x v="0"/>
    <x v="0"/>
    <x v="0"/>
    <s v="DK1_Rural"/>
    <x v="3"/>
    <s v="GNR_HP_ELEC_COP-530"/>
    <x v="0"/>
    <x v="6"/>
    <n v="1.35"/>
    <n v="492.75"/>
    <n v="1773.9"/>
  </r>
  <r>
    <x v="0"/>
    <x v="0"/>
    <x v="0"/>
    <x v="0"/>
    <x v="0"/>
    <s v="DK1_Rural"/>
    <x v="3"/>
    <s v="GNR_HP_ELEC_COP-530"/>
    <x v="0"/>
    <x v="7"/>
    <n v="1.35"/>
    <n v="492.75"/>
    <n v="1773.9"/>
  </r>
  <r>
    <x v="0"/>
    <x v="0"/>
    <x v="0"/>
    <x v="0"/>
    <x v="0"/>
    <s v="DK1_Rural"/>
    <x v="3"/>
    <s v="GNR_HP_ELEC_COP-530"/>
    <x v="0"/>
    <x v="8"/>
    <n v="1.35"/>
    <n v="492.75"/>
    <n v="1773.9"/>
  </r>
  <r>
    <x v="0"/>
    <x v="0"/>
    <x v="0"/>
    <x v="0"/>
    <x v="0"/>
    <s v="DK1_Rural"/>
    <x v="3"/>
    <s v="GNR_HP_ELEC_COP-530"/>
    <x v="0"/>
    <x v="16"/>
    <n v="1.35"/>
    <n v="492.75"/>
    <n v="1773.9"/>
  </r>
  <r>
    <x v="0"/>
    <x v="0"/>
    <x v="0"/>
    <x v="0"/>
    <x v="0"/>
    <s v="DK1_Rural"/>
    <x v="3"/>
    <s v="GNR_HP_ELEC_COP-530"/>
    <x v="0"/>
    <x v="17"/>
    <n v="1.35"/>
    <n v="492.75"/>
    <n v="1773.9"/>
  </r>
  <r>
    <x v="0"/>
    <x v="0"/>
    <x v="0"/>
    <x v="0"/>
    <x v="0"/>
    <s v="DK1_Rural"/>
    <x v="3"/>
    <s v="GNR_HP_ELEC_COP-530"/>
    <x v="0"/>
    <x v="18"/>
    <n v="1.35"/>
    <n v="492.75"/>
    <n v="1773.9"/>
  </r>
  <r>
    <x v="0"/>
    <x v="0"/>
    <x v="0"/>
    <x v="0"/>
    <x v="0"/>
    <s v="DK1_Rural"/>
    <x v="3"/>
    <s v="GNR_HP_ELEC_COP-530"/>
    <x v="0"/>
    <x v="19"/>
    <n v="1.35"/>
    <n v="492.75"/>
    <n v="1773.9"/>
  </r>
  <r>
    <x v="0"/>
    <x v="0"/>
    <x v="0"/>
    <x v="0"/>
    <x v="0"/>
    <s v="DK1_Rural"/>
    <x v="3"/>
    <s v="GNR_HP_ELEC_COP-530"/>
    <x v="0"/>
    <x v="20"/>
    <n v="1.35"/>
    <n v="492.75"/>
    <n v="1773.9"/>
  </r>
  <r>
    <x v="0"/>
    <x v="0"/>
    <x v="0"/>
    <x v="0"/>
    <x v="0"/>
    <s v="DK1_Rural"/>
    <x v="3"/>
    <s v="GNR_HP_ELEC_COP-530"/>
    <x v="0"/>
    <x v="21"/>
    <n v="1.35"/>
    <n v="492.75"/>
    <n v="1773.9"/>
  </r>
  <r>
    <x v="0"/>
    <x v="0"/>
    <x v="0"/>
    <x v="0"/>
    <x v="0"/>
    <s v="DK1_Rural"/>
    <x v="3"/>
    <s v="GNR_HP_ELEC_COP-530"/>
    <x v="0"/>
    <x v="22"/>
    <n v="1.35"/>
    <n v="492.75"/>
    <n v="1773.9"/>
  </r>
  <r>
    <x v="0"/>
    <x v="0"/>
    <x v="0"/>
    <x v="0"/>
    <x v="0"/>
    <s v="DK1_Rural"/>
    <x v="3"/>
    <s v="GNR_HP_ELEC_COP-600"/>
    <x v="0"/>
    <x v="9"/>
    <n v="0.3"/>
    <n v="109.5"/>
    <n v="394.2"/>
  </r>
  <r>
    <x v="0"/>
    <x v="0"/>
    <x v="0"/>
    <x v="0"/>
    <x v="0"/>
    <s v="DK1_Rural"/>
    <x v="3"/>
    <s v="GNR_HP_ELEC_COP-600"/>
    <x v="0"/>
    <x v="10"/>
    <n v="0.3"/>
    <n v="109.5"/>
    <n v="394.2"/>
  </r>
  <r>
    <x v="0"/>
    <x v="0"/>
    <x v="0"/>
    <x v="0"/>
    <x v="0"/>
    <s v="DK1_Rural"/>
    <x v="3"/>
    <s v="GNR_HP_ELEC_COP-600"/>
    <x v="0"/>
    <x v="11"/>
    <n v="0.3"/>
    <n v="109.5"/>
    <n v="394.2"/>
  </r>
  <r>
    <x v="0"/>
    <x v="0"/>
    <x v="0"/>
    <x v="0"/>
    <x v="0"/>
    <s v="DK1_Rural"/>
    <x v="3"/>
    <s v="GNR_HP_ELEC_COP-600"/>
    <x v="0"/>
    <x v="12"/>
    <n v="0.3"/>
    <n v="109.5"/>
    <n v="394.2"/>
  </r>
  <r>
    <x v="0"/>
    <x v="0"/>
    <x v="0"/>
    <x v="0"/>
    <x v="0"/>
    <s v="DK1_Rural"/>
    <x v="3"/>
    <s v="GNR_HP_ELEC_COP-600"/>
    <x v="0"/>
    <x v="13"/>
    <n v="0.3"/>
    <n v="109.5"/>
    <n v="394.2"/>
  </r>
  <r>
    <x v="0"/>
    <x v="0"/>
    <x v="0"/>
    <x v="0"/>
    <x v="0"/>
    <s v="DK1_Rural"/>
    <x v="3"/>
    <s v="GNR_HP_ELEC_COP-600"/>
    <x v="0"/>
    <x v="0"/>
    <n v="0.3"/>
    <n v="109.5"/>
    <n v="394.2"/>
  </r>
  <r>
    <x v="0"/>
    <x v="0"/>
    <x v="0"/>
    <x v="0"/>
    <x v="0"/>
    <s v="DK1_Rural"/>
    <x v="3"/>
    <s v="GNR_HP_ELEC_COP-600"/>
    <x v="0"/>
    <x v="14"/>
    <n v="0.3"/>
    <n v="109.5"/>
    <n v="394.2"/>
  </r>
  <r>
    <x v="0"/>
    <x v="0"/>
    <x v="0"/>
    <x v="0"/>
    <x v="0"/>
    <s v="DK1_Rural"/>
    <x v="3"/>
    <s v="GNR_HP_ELEC_COP-600"/>
    <x v="0"/>
    <x v="1"/>
    <n v="0.3"/>
    <n v="109.5"/>
    <n v="394.2"/>
  </r>
  <r>
    <x v="0"/>
    <x v="0"/>
    <x v="0"/>
    <x v="0"/>
    <x v="0"/>
    <s v="DK1_Rural"/>
    <x v="3"/>
    <s v="GNR_HP_ELEC_COP-600"/>
    <x v="0"/>
    <x v="23"/>
    <n v="0.3"/>
    <n v="109.5"/>
    <n v="394.2"/>
  </r>
  <r>
    <x v="0"/>
    <x v="0"/>
    <x v="0"/>
    <x v="0"/>
    <x v="0"/>
    <s v="DK1_Rural"/>
    <x v="3"/>
    <s v="GNR_HP_ELEC_COP-600"/>
    <x v="0"/>
    <x v="2"/>
    <n v="0.3"/>
    <n v="109.5"/>
    <n v="394.2"/>
  </r>
  <r>
    <x v="0"/>
    <x v="0"/>
    <x v="0"/>
    <x v="0"/>
    <x v="0"/>
    <s v="DK1_Rural"/>
    <x v="3"/>
    <s v="GNR_HP_ELEC_COP-600"/>
    <x v="0"/>
    <x v="3"/>
    <n v="0.3"/>
    <n v="109.5"/>
    <n v="394.2"/>
  </r>
  <r>
    <x v="0"/>
    <x v="0"/>
    <x v="0"/>
    <x v="0"/>
    <x v="0"/>
    <s v="DK1_Rural"/>
    <x v="3"/>
    <s v="GNR_HP_ELEC_COP-600"/>
    <x v="0"/>
    <x v="4"/>
    <n v="0.3"/>
    <n v="109.5"/>
    <n v="394.2"/>
  </r>
  <r>
    <x v="0"/>
    <x v="0"/>
    <x v="0"/>
    <x v="0"/>
    <x v="0"/>
    <s v="DK1_Rural"/>
    <x v="3"/>
    <s v="GNR_HP_ELEC_COP-600"/>
    <x v="0"/>
    <x v="5"/>
    <n v="0.3"/>
    <n v="109.5"/>
    <n v="394.2"/>
  </r>
  <r>
    <x v="0"/>
    <x v="0"/>
    <x v="0"/>
    <x v="0"/>
    <x v="0"/>
    <s v="DK1_Rural"/>
    <x v="3"/>
    <s v="GNR_HP_ELEC_COP-600"/>
    <x v="0"/>
    <x v="15"/>
    <n v="0.3"/>
    <n v="109.5"/>
    <n v="394.2"/>
  </r>
  <r>
    <x v="0"/>
    <x v="0"/>
    <x v="0"/>
    <x v="0"/>
    <x v="0"/>
    <s v="DK1_Rural"/>
    <x v="3"/>
    <s v="GNR_HP_ELEC_COP-600"/>
    <x v="0"/>
    <x v="6"/>
    <n v="0.3"/>
    <n v="109.5"/>
    <n v="394.2"/>
  </r>
  <r>
    <x v="0"/>
    <x v="0"/>
    <x v="0"/>
    <x v="0"/>
    <x v="0"/>
    <s v="DK1_Rural"/>
    <x v="3"/>
    <s v="GNR_HP_ELEC_COP-600"/>
    <x v="0"/>
    <x v="7"/>
    <n v="0.3"/>
    <n v="109.5"/>
    <n v="394.2"/>
  </r>
  <r>
    <x v="0"/>
    <x v="0"/>
    <x v="0"/>
    <x v="0"/>
    <x v="0"/>
    <s v="DK1_Rural"/>
    <x v="3"/>
    <s v="GNR_HP_ELEC_COP-600"/>
    <x v="0"/>
    <x v="8"/>
    <n v="0.3"/>
    <n v="109.5"/>
    <n v="394.2"/>
  </r>
  <r>
    <x v="0"/>
    <x v="0"/>
    <x v="0"/>
    <x v="0"/>
    <x v="0"/>
    <s v="DK1_Rural"/>
    <x v="3"/>
    <s v="GNR_HP_ELEC_COP-600"/>
    <x v="0"/>
    <x v="16"/>
    <n v="0.3"/>
    <n v="109.5"/>
    <n v="394.2"/>
  </r>
  <r>
    <x v="0"/>
    <x v="0"/>
    <x v="0"/>
    <x v="0"/>
    <x v="0"/>
    <s v="DK1_Rural"/>
    <x v="3"/>
    <s v="GNR_HP_ELEC_COP-600"/>
    <x v="0"/>
    <x v="17"/>
    <n v="0.3"/>
    <n v="109.5"/>
    <n v="394.2"/>
  </r>
  <r>
    <x v="0"/>
    <x v="0"/>
    <x v="0"/>
    <x v="0"/>
    <x v="0"/>
    <s v="DK1_Rural"/>
    <x v="3"/>
    <s v="GNR_HP_ELEC_COP-600"/>
    <x v="0"/>
    <x v="18"/>
    <n v="0.3"/>
    <n v="109.5"/>
    <n v="394.2"/>
  </r>
  <r>
    <x v="0"/>
    <x v="0"/>
    <x v="0"/>
    <x v="0"/>
    <x v="0"/>
    <s v="DK1_Rural"/>
    <x v="3"/>
    <s v="GNR_HP_ELEC_COP-600"/>
    <x v="0"/>
    <x v="19"/>
    <n v="0.3"/>
    <n v="109.5"/>
    <n v="394.2"/>
  </r>
  <r>
    <x v="0"/>
    <x v="0"/>
    <x v="0"/>
    <x v="0"/>
    <x v="0"/>
    <s v="DK1_Rural"/>
    <x v="3"/>
    <s v="GNR_HP_ELEC_COP-600"/>
    <x v="0"/>
    <x v="20"/>
    <n v="0.3"/>
    <n v="109.5"/>
    <n v="394.2"/>
  </r>
  <r>
    <x v="0"/>
    <x v="0"/>
    <x v="0"/>
    <x v="0"/>
    <x v="0"/>
    <s v="DK1_Rural"/>
    <x v="3"/>
    <s v="GNR_HP_ELEC_COP-600"/>
    <x v="0"/>
    <x v="21"/>
    <n v="0.3"/>
    <n v="109.5"/>
    <n v="394.2"/>
  </r>
  <r>
    <x v="0"/>
    <x v="0"/>
    <x v="0"/>
    <x v="0"/>
    <x v="0"/>
    <s v="DK1_Rural"/>
    <x v="3"/>
    <s v="GNR_HP_ELEC_COP-600"/>
    <x v="0"/>
    <x v="22"/>
    <n v="0.3"/>
    <n v="109.5"/>
    <n v="394.2"/>
  </r>
  <r>
    <x v="0"/>
    <x v="0"/>
    <x v="0"/>
    <x v="0"/>
    <x v="0"/>
    <s v="DK1_Rural"/>
    <x v="1"/>
    <s v="GNR_HS_HEAT-E-100"/>
    <x v="0"/>
    <x v="23"/>
    <n v="0.34211798410058197"/>
    <n v="124.873064196713"/>
    <n v="449.543031108165"/>
  </r>
  <r>
    <x v="0"/>
    <x v="0"/>
    <x v="0"/>
    <x v="0"/>
    <x v="0"/>
    <s v="DK1_Rural"/>
    <x v="1"/>
    <s v="GNR_HS_HEAT-E-100"/>
    <x v="0"/>
    <x v="2"/>
    <n v="101.61791438598399"/>
    <n v="37090.538750884101"/>
    <n v="133525.93950318301"/>
  </r>
  <r>
    <x v="0"/>
    <x v="0"/>
    <x v="0"/>
    <x v="0"/>
    <x v="0"/>
    <s v="DK1_Rural"/>
    <x v="1"/>
    <s v="GNR_HS_HEAT-E-100"/>
    <x v="0"/>
    <x v="3"/>
    <n v="105.028979796988"/>
    <n v="38335.5776259005"/>
    <n v="138008.07945324201"/>
  </r>
  <r>
    <x v="0"/>
    <x v="0"/>
    <x v="0"/>
    <x v="0"/>
    <x v="0"/>
    <s v="DK1_Rural"/>
    <x v="1"/>
    <s v="GNR_HS_HEAT-E-100"/>
    <x v="0"/>
    <x v="4"/>
    <n v="101.61791438598399"/>
    <n v="37090.538750884101"/>
    <n v="133525.93950318301"/>
  </r>
  <r>
    <x v="0"/>
    <x v="0"/>
    <x v="0"/>
    <x v="0"/>
    <x v="0"/>
    <s v="DK1_Rural"/>
    <x v="1"/>
    <s v="GNR_HS_HEAT-E-100"/>
    <x v="0"/>
    <x v="5"/>
    <n v="80.393507384181703"/>
    <n v="29343.630195226298"/>
    <n v="105637.068702815"/>
  </r>
  <r>
    <x v="0"/>
    <x v="0"/>
    <x v="0"/>
    <x v="0"/>
    <x v="0"/>
    <s v="DK1_Rural"/>
    <x v="1"/>
    <s v="GNR_HS_HEAT-E-100"/>
    <x v="0"/>
    <x v="15"/>
    <n v="65.612223936497998"/>
    <n v="23948.461736821799"/>
    <n v="86214.462252558398"/>
  </r>
  <r>
    <x v="0"/>
    <x v="0"/>
    <x v="0"/>
    <x v="0"/>
    <x v="0"/>
    <s v="DK1_Rural"/>
    <x v="1"/>
    <s v="GNR_HS_HEAT-E-100"/>
    <x v="0"/>
    <x v="6"/>
    <n v="71.676340222727106"/>
    <n v="26161.864181295401"/>
    <n v="94182.711052663493"/>
  </r>
  <r>
    <x v="0"/>
    <x v="0"/>
    <x v="0"/>
    <x v="0"/>
    <x v="0"/>
    <s v="DK1_Rural"/>
    <x v="1"/>
    <s v="GNR_HS_HEAT-E-100"/>
    <x v="0"/>
    <x v="7"/>
    <n v="77.361449241067007"/>
    <n v="28236.928972989499"/>
    <n v="101652.944302762"/>
  </r>
  <r>
    <x v="0"/>
    <x v="0"/>
    <x v="0"/>
    <x v="0"/>
    <x v="0"/>
    <s v="DK1_Rural"/>
    <x v="1"/>
    <s v="GNR_HS_HEAT-E-100"/>
    <x v="0"/>
    <x v="8"/>
    <n v="80.772514652070996"/>
    <n v="29481.967848005901"/>
    <n v="106135.08425282101"/>
  </r>
  <r>
    <x v="0"/>
    <x v="0"/>
    <x v="0"/>
    <x v="0"/>
    <x v="0"/>
    <s v="DK1_Rural"/>
    <x v="1"/>
    <s v="GNR_HS_HEAT-E-100"/>
    <x v="0"/>
    <x v="16"/>
    <n v="91.005710885082706"/>
    <n v="33217.084473055198"/>
    <n v="119581.504102999"/>
  </r>
  <r>
    <x v="0"/>
    <x v="0"/>
    <x v="0"/>
    <x v="0"/>
    <x v="0"/>
    <s v="DK1_Rural"/>
    <x v="1"/>
    <s v="GNR_HS_HEAT-E-100"/>
    <x v="0"/>
    <x v="17"/>
    <n v="89.489681813525294"/>
    <n v="32663.7338619367"/>
    <n v="117589.441902972"/>
  </r>
  <r>
    <x v="0"/>
    <x v="0"/>
    <x v="0"/>
    <x v="0"/>
    <x v="0"/>
    <s v="DK1_Rural"/>
    <x v="1"/>
    <s v="GNR_HS_HEAT-E-100"/>
    <x v="0"/>
    <x v="18"/>
    <n v="73.950383830063203"/>
    <n v="26991.890097973101"/>
    <n v="97170.804352702995"/>
  </r>
  <r>
    <x v="0"/>
    <x v="0"/>
    <x v="0"/>
    <x v="0"/>
    <x v="0"/>
    <s v="DK1_Rural"/>
    <x v="1"/>
    <s v="GNR_HS_HEAT-E-100"/>
    <x v="0"/>
    <x v="19"/>
    <n v="58.590353614349901"/>
    <n v="21385.479069237699"/>
    <n v="76987.724649255804"/>
  </r>
  <r>
    <x v="0"/>
    <x v="0"/>
    <x v="0"/>
    <x v="0"/>
    <x v="0"/>
    <s v="DK1_Rural"/>
    <x v="6"/>
    <s v="GNR_BO_STRW_E-100"/>
    <x v="0"/>
    <x v="9"/>
    <n v="133.37"/>
    <n v="48680.05"/>
    <n v="175248.18"/>
  </r>
  <r>
    <x v="0"/>
    <x v="0"/>
    <x v="0"/>
    <x v="0"/>
    <x v="0"/>
    <s v="DK1_Rural"/>
    <x v="6"/>
    <s v="GNR_BO_STRW_E-100"/>
    <x v="0"/>
    <x v="10"/>
    <n v="133.37"/>
    <n v="48680.05"/>
    <n v="175248.18"/>
  </r>
  <r>
    <x v="0"/>
    <x v="0"/>
    <x v="0"/>
    <x v="0"/>
    <x v="0"/>
    <s v="DK1_Rural"/>
    <x v="6"/>
    <s v="GNR_BO_STRW_E-100"/>
    <x v="0"/>
    <x v="11"/>
    <n v="133.37"/>
    <n v="48680.05"/>
    <n v="175248.18"/>
  </r>
  <r>
    <x v="0"/>
    <x v="0"/>
    <x v="0"/>
    <x v="0"/>
    <x v="0"/>
    <s v="DK1_Rural"/>
    <x v="6"/>
    <s v="GNR_BO_STRW_E-100"/>
    <x v="0"/>
    <x v="12"/>
    <n v="133.37"/>
    <n v="48680.05"/>
    <n v="175248.18"/>
  </r>
  <r>
    <x v="0"/>
    <x v="0"/>
    <x v="0"/>
    <x v="0"/>
    <x v="0"/>
    <s v="DK1_Rural"/>
    <x v="6"/>
    <s v="GNR_BO_STRW_E-100"/>
    <x v="0"/>
    <x v="13"/>
    <n v="133.37"/>
    <n v="48680.05"/>
    <n v="175248.18"/>
  </r>
  <r>
    <x v="0"/>
    <x v="0"/>
    <x v="0"/>
    <x v="0"/>
    <x v="0"/>
    <s v="DK1_Rural"/>
    <x v="6"/>
    <s v="GNR_BO_STRW_E-100"/>
    <x v="0"/>
    <x v="0"/>
    <n v="133.37"/>
    <n v="48680.05"/>
    <n v="175248.18"/>
  </r>
  <r>
    <x v="0"/>
    <x v="0"/>
    <x v="0"/>
    <x v="0"/>
    <x v="0"/>
    <s v="DK1_Rural"/>
    <x v="6"/>
    <s v="GNR_BO_STRW_E-100"/>
    <x v="0"/>
    <x v="14"/>
    <n v="133.37"/>
    <n v="48680.05"/>
    <n v="175248.18"/>
  </r>
  <r>
    <x v="0"/>
    <x v="0"/>
    <x v="0"/>
    <x v="0"/>
    <x v="0"/>
    <s v="DK1_Rural"/>
    <x v="6"/>
    <s v="GNR_BO_STRW_E-100"/>
    <x v="0"/>
    <x v="1"/>
    <n v="133.37"/>
    <n v="48680.05"/>
    <n v="175248.18"/>
  </r>
  <r>
    <x v="0"/>
    <x v="0"/>
    <x v="0"/>
    <x v="0"/>
    <x v="0"/>
    <s v="DK1_Rural"/>
    <x v="6"/>
    <s v="GNR_BO_STRW_E-100"/>
    <x v="0"/>
    <x v="23"/>
    <n v="133.37"/>
    <n v="48680.05"/>
    <n v="175248.18"/>
  </r>
  <r>
    <x v="0"/>
    <x v="0"/>
    <x v="0"/>
    <x v="0"/>
    <x v="0"/>
    <s v="DK1_Rural"/>
    <x v="6"/>
    <s v="GNR_BO_STRW_E-100"/>
    <x v="0"/>
    <x v="2"/>
    <n v="133.37"/>
    <n v="48680.05"/>
    <n v="175248.18"/>
  </r>
  <r>
    <x v="0"/>
    <x v="0"/>
    <x v="0"/>
    <x v="0"/>
    <x v="0"/>
    <s v="DK1_Rural"/>
    <x v="6"/>
    <s v="GNR_BO_STRW_E-100"/>
    <x v="0"/>
    <x v="3"/>
    <n v="133.37"/>
    <n v="48680.05"/>
    <n v="175248.18"/>
  </r>
  <r>
    <x v="0"/>
    <x v="0"/>
    <x v="0"/>
    <x v="0"/>
    <x v="0"/>
    <s v="DK1_Rural"/>
    <x v="6"/>
    <s v="GNR_BO_STRW_E-100"/>
    <x v="0"/>
    <x v="4"/>
    <n v="133.37"/>
    <n v="48680.05"/>
    <n v="175248.18"/>
  </r>
  <r>
    <x v="0"/>
    <x v="0"/>
    <x v="0"/>
    <x v="0"/>
    <x v="0"/>
    <s v="DK1_Rural"/>
    <x v="6"/>
    <s v="GNR_BO_STRW_E-100"/>
    <x v="0"/>
    <x v="5"/>
    <n v="133.37"/>
    <n v="48680.05"/>
    <n v="175248.18"/>
  </r>
  <r>
    <x v="0"/>
    <x v="0"/>
    <x v="0"/>
    <x v="0"/>
    <x v="0"/>
    <s v="DK1_Rural"/>
    <x v="6"/>
    <s v="GNR_BO_STRW_E-100"/>
    <x v="0"/>
    <x v="15"/>
    <n v="133.37"/>
    <n v="48680.05"/>
    <n v="175248.18"/>
  </r>
  <r>
    <x v="0"/>
    <x v="0"/>
    <x v="0"/>
    <x v="0"/>
    <x v="0"/>
    <s v="DK1_Rural"/>
    <x v="6"/>
    <s v="GNR_BO_STRW_E-100"/>
    <x v="0"/>
    <x v="6"/>
    <n v="133.37"/>
    <n v="48680.05"/>
    <n v="175248.18"/>
  </r>
  <r>
    <x v="0"/>
    <x v="0"/>
    <x v="0"/>
    <x v="0"/>
    <x v="0"/>
    <s v="DK1_Rural"/>
    <x v="6"/>
    <s v="GNR_BO_STRW_E-100"/>
    <x v="0"/>
    <x v="7"/>
    <n v="133.37"/>
    <n v="48680.05"/>
    <n v="175248.18"/>
  </r>
  <r>
    <x v="0"/>
    <x v="0"/>
    <x v="0"/>
    <x v="0"/>
    <x v="0"/>
    <s v="DK1_Rural"/>
    <x v="6"/>
    <s v="GNR_BO_STRW_E-100"/>
    <x v="0"/>
    <x v="8"/>
    <n v="133.37"/>
    <n v="48680.05"/>
    <n v="175248.18"/>
  </r>
  <r>
    <x v="0"/>
    <x v="0"/>
    <x v="0"/>
    <x v="0"/>
    <x v="0"/>
    <s v="DK1_Rural"/>
    <x v="6"/>
    <s v="GNR_BO_STRW_E-100"/>
    <x v="0"/>
    <x v="16"/>
    <n v="133.37"/>
    <n v="48680.05"/>
    <n v="175248.18"/>
  </r>
  <r>
    <x v="0"/>
    <x v="0"/>
    <x v="0"/>
    <x v="0"/>
    <x v="0"/>
    <s v="DK1_Rural"/>
    <x v="6"/>
    <s v="GNR_BO_STRW_E-100"/>
    <x v="0"/>
    <x v="17"/>
    <n v="133.37"/>
    <n v="48680.05"/>
    <n v="175248.18"/>
  </r>
  <r>
    <x v="0"/>
    <x v="0"/>
    <x v="0"/>
    <x v="0"/>
    <x v="0"/>
    <s v="DK1_Rural"/>
    <x v="6"/>
    <s v="GNR_BO_STRW_E-100"/>
    <x v="0"/>
    <x v="18"/>
    <n v="133.37"/>
    <n v="48680.05"/>
    <n v="175248.18"/>
  </r>
  <r>
    <x v="0"/>
    <x v="0"/>
    <x v="0"/>
    <x v="0"/>
    <x v="0"/>
    <s v="DK1_Rural"/>
    <x v="6"/>
    <s v="GNR_BO_STRW_E-100"/>
    <x v="0"/>
    <x v="19"/>
    <n v="133.37"/>
    <n v="48680.05"/>
    <n v="175248.18"/>
  </r>
  <r>
    <x v="0"/>
    <x v="0"/>
    <x v="0"/>
    <x v="0"/>
    <x v="0"/>
    <s v="DK1_Rural"/>
    <x v="6"/>
    <s v="GNR_BO_STRW_E-100"/>
    <x v="0"/>
    <x v="20"/>
    <n v="133.37"/>
    <n v="48680.05"/>
    <n v="175248.18"/>
  </r>
  <r>
    <x v="0"/>
    <x v="0"/>
    <x v="0"/>
    <x v="0"/>
    <x v="0"/>
    <s v="DK1_Rural"/>
    <x v="6"/>
    <s v="GNR_BO_STRW_E-100"/>
    <x v="0"/>
    <x v="21"/>
    <n v="133.37"/>
    <n v="48680.05"/>
    <n v="175248.18"/>
  </r>
  <r>
    <x v="0"/>
    <x v="0"/>
    <x v="0"/>
    <x v="0"/>
    <x v="0"/>
    <s v="DK1_Rural"/>
    <x v="6"/>
    <s v="GNR_BO_STRW_E-100"/>
    <x v="0"/>
    <x v="22"/>
    <n v="133.37"/>
    <n v="48680.05"/>
    <n v="175248.18"/>
  </r>
  <r>
    <x v="0"/>
    <x v="0"/>
    <x v="0"/>
    <x v="0"/>
    <x v="0"/>
    <s v="DK1_Rural"/>
    <x v="6"/>
    <s v="GNR_BO_STRW_E-102"/>
    <x v="0"/>
    <x v="9"/>
    <n v="56.96"/>
    <n v="20790.400000000001"/>
    <n v="74845.440000000002"/>
  </r>
  <r>
    <x v="0"/>
    <x v="0"/>
    <x v="0"/>
    <x v="0"/>
    <x v="0"/>
    <s v="DK1_Rural"/>
    <x v="6"/>
    <s v="GNR_BO_STRW_E-102"/>
    <x v="0"/>
    <x v="10"/>
    <n v="56.96"/>
    <n v="20790.400000000001"/>
    <n v="74845.440000000002"/>
  </r>
  <r>
    <x v="0"/>
    <x v="0"/>
    <x v="0"/>
    <x v="0"/>
    <x v="0"/>
    <s v="DK1_Rural"/>
    <x v="6"/>
    <s v="GNR_BO_STRW_E-102"/>
    <x v="0"/>
    <x v="11"/>
    <n v="56.96"/>
    <n v="20790.400000000001"/>
    <n v="74845.440000000002"/>
  </r>
  <r>
    <x v="0"/>
    <x v="0"/>
    <x v="0"/>
    <x v="0"/>
    <x v="0"/>
    <s v="DK1_Rural"/>
    <x v="6"/>
    <s v="GNR_BO_STRW_E-102"/>
    <x v="0"/>
    <x v="12"/>
    <n v="56.96"/>
    <n v="20790.400000000001"/>
    <n v="74845.440000000002"/>
  </r>
  <r>
    <x v="0"/>
    <x v="0"/>
    <x v="0"/>
    <x v="0"/>
    <x v="0"/>
    <s v="DK1_Rural"/>
    <x v="6"/>
    <s v="GNR_BO_STRW_E-102"/>
    <x v="0"/>
    <x v="13"/>
    <n v="56.96"/>
    <n v="20790.400000000001"/>
    <n v="74845.440000000002"/>
  </r>
  <r>
    <x v="0"/>
    <x v="0"/>
    <x v="0"/>
    <x v="0"/>
    <x v="0"/>
    <s v="DK1_Rural"/>
    <x v="6"/>
    <s v="GNR_BO_STRW_E-102"/>
    <x v="0"/>
    <x v="0"/>
    <n v="56.96"/>
    <n v="20790.400000000001"/>
    <n v="74845.440000000002"/>
  </r>
  <r>
    <x v="0"/>
    <x v="0"/>
    <x v="0"/>
    <x v="0"/>
    <x v="0"/>
    <s v="DK1_Rural"/>
    <x v="6"/>
    <s v="GNR_BO_STRW_E-102"/>
    <x v="0"/>
    <x v="14"/>
    <n v="56.96"/>
    <n v="20790.400000000001"/>
    <n v="74845.440000000002"/>
  </r>
  <r>
    <x v="0"/>
    <x v="0"/>
    <x v="0"/>
    <x v="0"/>
    <x v="0"/>
    <s v="DK1_Rural"/>
    <x v="6"/>
    <s v="GNR_BO_STRW_E-102"/>
    <x v="0"/>
    <x v="1"/>
    <n v="56.96"/>
    <n v="20790.400000000001"/>
    <n v="74845.440000000002"/>
  </r>
  <r>
    <x v="0"/>
    <x v="0"/>
    <x v="0"/>
    <x v="0"/>
    <x v="0"/>
    <s v="DK1_Rural"/>
    <x v="6"/>
    <s v="GNR_BO_STRW_E-102"/>
    <x v="0"/>
    <x v="23"/>
    <n v="56.96"/>
    <n v="20790.400000000001"/>
    <n v="74845.440000000002"/>
  </r>
  <r>
    <x v="0"/>
    <x v="0"/>
    <x v="0"/>
    <x v="0"/>
    <x v="0"/>
    <s v="DK1_Rural"/>
    <x v="6"/>
    <s v="GNR_BO_STRW_E-102"/>
    <x v="0"/>
    <x v="2"/>
    <n v="56.96"/>
    <n v="20790.400000000001"/>
    <n v="74845.440000000002"/>
  </r>
  <r>
    <x v="0"/>
    <x v="0"/>
    <x v="0"/>
    <x v="0"/>
    <x v="0"/>
    <s v="DK1_Rural"/>
    <x v="6"/>
    <s v="GNR_BO_STRW_E-102"/>
    <x v="0"/>
    <x v="3"/>
    <n v="56.96"/>
    <n v="20790.400000000001"/>
    <n v="74845.440000000002"/>
  </r>
  <r>
    <x v="0"/>
    <x v="0"/>
    <x v="0"/>
    <x v="0"/>
    <x v="0"/>
    <s v="DK1_Rural"/>
    <x v="6"/>
    <s v="GNR_BO_STRW_E-102"/>
    <x v="0"/>
    <x v="4"/>
    <n v="56.96"/>
    <n v="20790.400000000001"/>
    <n v="74845.440000000002"/>
  </r>
  <r>
    <x v="0"/>
    <x v="0"/>
    <x v="0"/>
    <x v="0"/>
    <x v="0"/>
    <s v="DK1_Rural"/>
    <x v="6"/>
    <s v="GNR_BO_STRW_E-102"/>
    <x v="0"/>
    <x v="5"/>
    <n v="56.96"/>
    <n v="20790.400000000001"/>
    <n v="74845.440000000002"/>
  </r>
  <r>
    <x v="0"/>
    <x v="0"/>
    <x v="0"/>
    <x v="0"/>
    <x v="0"/>
    <s v="DK1_Rural"/>
    <x v="6"/>
    <s v="GNR_BO_STRW_E-102"/>
    <x v="0"/>
    <x v="15"/>
    <n v="56.96"/>
    <n v="20790.400000000001"/>
    <n v="74845.440000000002"/>
  </r>
  <r>
    <x v="0"/>
    <x v="0"/>
    <x v="0"/>
    <x v="0"/>
    <x v="0"/>
    <s v="DK1_Rural"/>
    <x v="6"/>
    <s v="GNR_BO_STRW_E-102"/>
    <x v="0"/>
    <x v="6"/>
    <n v="56.96"/>
    <n v="20790.400000000001"/>
    <n v="74845.440000000002"/>
  </r>
  <r>
    <x v="0"/>
    <x v="0"/>
    <x v="0"/>
    <x v="0"/>
    <x v="0"/>
    <s v="DK1_Rural"/>
    <x v="6"/>
    <s v="GNR_BO_STRW_E-102"/>
    <x v="0"/>
    <x v="7"/>
    <n v="56.96"/>
    <n v="20790.400000000001"/>
    <n v="74845.440000000002"/>
  </r>
  <r>
    <x v="0"/>
    <x v="0"/>
    <x v="0"/>
    <x v="0"/>
    <x v="0"/>
    <s v="DK1_Rural"/>
    <x v="6"/>
    <s v="GNR_BO_STRW_E-102"/>
    <x v="0"/>
    <x v="8"/>
    <n v="56.96"/>
    <n v="20790.400000000001"/>
    <n v="74845.440000000002"/>
  </r>
  <r>
    <x v="0"/>
    <x v="0"/>
    <x v="0"/>
    <x v="0"/>
    <x v="0"/>
    <s v="DK1_Rural"/>
    <x v="6"/>
    <s v="GNR_BO_STRW_E-102"/>
    <x v="0"/>
    <x v="16"/>
    <n v="56.96"/>
    <n v="20790.400000000001"/>
    <n v="74845.440000000002"/>
  </r>
  <r>
    <x v="0"/>
    <x v="0"/>
    <x v="0"/>
    <x v="0"/>
    <x v="0"/>
    <s v="DK1_Rural"/>
    <x v="6"/>
    <s v="GNR_BO_STRW_E-102"/>
    <x v="0"/>
    <x v="17"/>
    <n v="56.96"/>
    <n v="20790.400000000001"/>
    <n v="74845.440000000002"/>
  </r>
  <r>
    <x v="0"/>
    <x v="0"/>
    <x v="0"/>
    <x v="0"/>
    <x v="0"/>
    <s v="DK1_Rural"/>
    <x v="6"/>
    <s v="GNR_BO_STRW_E-102"/>
    <x v="0"/>
    <x v="18"/>
    <n v="56.96"/>
    <n v="20790.400000000001"/>
    <n v="74845.440000000002"/>
  </r>
  <r>
    <x v="0"/>
    <x v="0"/>
    <x v="0"/>
    <x v="0"/>
    <x v="0"/>
    <s v="DK1_Rural"/>
    <x v="6"/>
    <s v="GNR_BO_STRW_E-102"/>
    <x v="0"/>
    <x v="19"/>
    <n v="56.96"/>
    <n v="20790.400000000001"/>
    <n v="74845.440000000002"/>
  </r>
  <r>
    <x v="0"/>
    <x v="0"/>
    <x v="0"/>
    <x v="0"/>
    <x v="0"/>
    <s v="DK1_Rural"/>
    <x v="6"/>
    <s v="GNR_BO_STRW_E-102"/>
    <x v="0"/>
    <x v="20"/>
    <n v="56.96"/>
    <n v="20790.400000000001"/>
    <n v="74845.440000000002"/>
  </r>
  <r>
    <x v="0"/>
    <x v="0"/>
    <x v="0"/>
    <x v="0"/>
    <x v="0"/>
    <s v="DK1_Rural"/>
    <x v="6"/>
    <s v="GNR_BO_STRW_E-102"/>
    <x v="0"/>
    <x v="21"/>
    <n v="56.96"/>
    <n v="20790.400000000001"/>
    <n v="74845.440000000002"/>
  </r>
  <r>
    <x v="0"/>
    <x v="0"/>
    <x v="0"/>
    <x v="0"/>
    <x v="0"/>
    <s v="DK1_Rural"/>
    <x v="6"/>
    <s v="GNR_BO_STRW_E-102"/>
    <x v="0"/>
    <x v="22"/>
    <n v="56.96"/>
    <n v="20790.400000000001"/>
    <n v="74845.440000000002"/>
  </r>
  <r>
    <x v="0"/>
    <x v="0"/>
    <x v="0"/>
    <x v="0"/>
    <x v="0"/>
    <s v="DK1_Rural"/>
    <x v="6"/>
    <s v="GNR_ST_STRW_BP_E-26"/>
    <x v="0"/>
    <x v="9"/>
    <n v="5.1725323534207099"/>
    <n v="1887.97430899856"/>
    <n v="6796.7075123948098"/>
  </r>
  <r>
    <x v="0"/>
    <x v="0"/>
    <x v="0"/>
    <x v="0"/>
    <x v="0"/>
    <s v="DK1_Rural"/>
    <x v="6"/>
    <s v="GNR_ST_STRW_BP_E-26"/>
    <x v="0"/>
    <x v="10"/>
    <n v="5.1725323534207099"/>
    <n v="1887.97430899856"/>
    <n v="6796.7075123948098"/>
  </r>
  <r>
    <x v="0"/>
    <x v="0"/>
    <x v="0"/>
    <x v="0"/>
    <x v="0"/>
    <s v="DK1_Rural"/>
    <x v="6"/>
    <s v="GNR_ST_STRW_BP_E-26"/>
    <x v="0"/>
    <x v="11"/>
    <n v="5.1725323534207099"/>
    <n v="1887.97430899856"/>
    <n v="6796.7075123948098"/>
  </r>
  <r>
    <x v="0"/>
    <x v="0"/>
    <x v="0"/>
    <x v="0"/>
    <x v="0"/>
    <s v="DK1_Rural"/>
    <x v="6"/>
    <s v="GNR_ST_STRW_BP_E-26"/>
    <x v="0"/>
    <x v="12"/>
    <n v="5.1725323534207099"/>
    <n v="1887.97430899856"/>
    <n v="6796.7075123948098"/>
  </r>
  <r>
    <x v="0"/>
    <x v="0"/>
    <x v="0"/>
    <x v="0"/>
    <x v="0"/>
    <s v="DK1_Rural"/>
    <x v="6"/>
    <s v="GNR_ST_STRW_BP_E-26"/>
    <x v="0"/>
    <x v="13"/>
    <n v="5.1725323534207099"/>
    <n v="1887.97430899856"/>
    <n v="6796.7075123948098"/>
  </r>
  <r>
    <x v="0"/>
    <x v="0"/>
    <x v="0"/>
    <x v="0"/>
    <x v="0"/>
    <s v="DK1_Rural"/>
    <x v="6"/>
    <s v="GNR_ST_STRW_BP_E-26"/>
    <x v="0"/>
    <x v="0"/>
    <n v="5.1725323534207099"/>
    <n v="1887.97430899856"/>
    <n v="6796.7075123948098"/>
  </r>
  <r>
    <x v="0"/>
    <x v="0"/>
    <x v="0"/>
    <x v="0"/>
    <x v="0"/>
    <s v="DK1_Rural"/>
    <x v="6"/>
    <s v="GNR_ST_STRW_BP_E-26"/>
    <x v="0"/>
    <x v="14"/>
    <n v="5.1725323534207099"/>
    <n v="1887.97430899856"/>
    <n v="6796.7075123948098"/>
  </r>
  <r>
    <x v="0"/>
    <x v="0"/>
    <x v="0"/>
    <x v="0"/>
    <x v="0"/>
    <s v="DK1_Rural"/>
    <x v="6"/>
    <s v="GNR_ST_STRW_BP_E-26"/>
    <x v="0"/>
    <x v="1"/>
    <n v="5.1725323534207099"/>
    <n v="1887.97430899856"/>
    <n v="6796.7075123948098"/>
  </r>
  <r>
    <x v="0"/>
    <x v="0"/>
    <x v="0"/>
    <x v="0"/>
    <x v="0"/>
    <s v="DK1_Rural"/>
    <x v="6"/>
    <s v="GNR_ST_STRW_BP_E-26"/>
    <x v="0"/>
    <x v="23"/>
    <n v="5.1725323534207099"/>
    <n v="1887.97430899856"/>
    <n v="6796.7075123948098"/>
  </r>
  <r>
    <x v="0"/>
    <x v="0"/>
    <x v="0"/>
    <x v="0"/>
    <x v="0"/>
    <s v="DK1_Rural"/>
    <x v="6"/>
    <s v="GNR_ST_STRW_BP_E-26"/>
    <x v="0"/>
    <x v="2"/>
    <n v="5.1725323534207099"/>
    <n v="1887.97430899856"/>
    <n v="6796.7075123948098"/>
  </r>
  <r>
    <x v="0"/>
    <x v="0"/>
    <x v="0"/>
    <x v="0"/>
    <x v="0"/>
    <s v="DK1_Rural"/>
    <x v="6"/>
    <s v="GNR_ST_STRW_BP_E-26"/>
    <x v="0"/>
    <x v="3"/>
    <n v="5.1725323534207099"/>
    <n v="1887.97430899856"/>
    <n v="6796.7075123948098"/>
  </r>
  <r>
    <x v="0"/>
    <x v="0"/>
    <x v="0"/>
    <x v="0"/>
    <x v="0"/>
    <s v="DK1_Rural"/>
    <x v="6"/>
    <s v="GNR_ST_STRW_BP_E-26"/>
    <x v="0"/>
    <x v="4"/>
    <n v="5.1725323534207099"/>
    <n v="1887.97430899856"/>
    <n v="6796.7075123948098"/>
  </r>
  <r>
    <x v="0"/>
    <x v="0"/>
    <x v="0"/>
    <x v="0"/>
    <x v="0"/>
    <s v="DK1_Rural"/>
    <x v="6"/>
    <s v="GNR_ST_STRW_BP_E-26"/>
    <x v="0"/>
    <x v="5"/>
    <n v="5.1725323534207099"/>
    <n v="1887.97430899856"/>
    <n v="6796.7075123948098"/>
  </r>
  <r>
    <x v="0"/>
    <x v="0"/>
    <x v="0"/>
    <x v="0"/>
    <x v="0"/>
    <s v="DK1_Rural"/>
    <x v="6"/>
    <s v="GNR_ST_STRW_BP_E-26"/>
    <x v="0"/>
    <x v="15"/>
    <n v="5.1725323534207099"/>
    <n v="1887.97430899856"/>
    <n v="6796.7075123948098"/>
  </r>
  <r>
    <x v="0"/>
    <x v="0"/>
    <x v="0"/>
    <x v="0"/>
    <x v="0"/>
    <s v="DK1_Rural"/>
    <x v="6"/>
    <s v="GNR_ST_STRW_BP_E-26"/>
    <x v="0"/>
    <x v="6"/>
    <n v="5.1725323534207099"/>
    <n v="1887.97430899856"/>
    <n v="6796.7075123948098"/>
  </r>
  <r>
    <x v="0"/>
    <x v="0"/>
    <x v="0"/>
    <x v="0"/>
    <x v="0"/>
    <s v="DK1_Rural"/>
    <x v="6"/>
    <s v="GNR_ST_STRW_BP_E-26"/>
    <x v="0"/>
    <x v="7"/>
    <n v="5.1725323534207099"/>
    <n v="1887.97430899856"/>
    <n v="6796.7075123948098"/>
  </r>
  <r>
    <x v="0"/>
    <x v="0"/>
    <x v="0"/>
    <x v="0"/>
    <x v="0"/>
    <s v="DK1_Rural"/>
    <x v="6"/>
    <s v="GNR_ST_STRW_BP_E-26"/>
    <x v="0"/>
    <x v="8"/>
    <n v="5.1725323534207099"/>
    <n v="1887.97430899856"/>
    <n v="6796.7075123948098"/>
  </r>
  <r>
    <x v="0"/>
    <x v="0"/>
    <x v="0"/>
    <x v="0"/>
    <x v="0"/>
    <s v="DK1_Rural"/>
    <x v="6"/>
    <s v="GNR_ST_STRW_BP_E-26"/>
    <x v="0"/>
    <x v="16"/>
    <n v="5.1725323534207099"/>
    <n v="1887.97430899856"/>
    <n v="6796.7075123948098"/>
  </r>
  <r>
    <x v="0"/>
    <x v="0"/>
    <x v="0"/>
    <x v="0"/>
    <x v="0"/>
    <s v="DK1_Rural"/>
    <x v="6"/>
    <s v="GNR_ST_STRW_BP_E-26"/>
    <x v="0"/>
    <x v="17"/>
    <n v="5.1725323534207099"/>
    <n v="1887.97430899856"/>
    <n v="6796.7075123948098"/>
  </r>
  <r>
    <x v="0"/>
    <x v="0"/>
    <x v="0"/>
    <x v="0"/>
    <x v="0"/>
    <s v="DK1_Rural"/>
    <x v="6"/>
    <s v="GNR_ST_STRW_BP_E-26"/>
    <x v="0"/>
    <x v="18"/>
    <n v="5.1725323534207099"/>
    <n v="1887.97430899856"/>
    <n v="6796.7075123948098"/>
  </r>
  <r>
    <x v="0"/>
    <x v="0"/>
    <x v="0"/>
    <x v="0"/>
    <x v="0"/>
    <s v="DK1_Rural"/>
    <x v="6"/>
    <s v="GNR_ST_STRW_BP_E-26"/>
    <x v="0"/>
    <x v="19"/>
    <n v="5.1725323534207099"/>
    <n v="1887.97430899856"/>
    <n v="6796.7075123948098"/>
  </r>
  <r>
    <x v="0"/>
    <x v="0"/>
    <x v="0"/>
    <x v="0"/>
    <x v="0"/>
    <s v="DK1_Rural"/>
    <x v="6"/>
    <s v="GNR_ST_STRW_BP_E-26"/>
    <x v="0"/>
    <x v="20"/>
    <n v="5.1725323534207099"/>
    <n v="1887.97430899856"/>
    <n v="6796.7075123948098"/>
  </r>
  <r>
    <x v="0"/>
    <x v="0"/>
    <x v="0"/>
    <x v="0"/>
    <x v="0"/>
    <s v="DK1_Rural"/>
    <x v="6"/>
    <s v="GNR_ST_STRW_BP_E-26"/>
    <x v="0"/>
    <x v="21"/>
    <n v="5.1725323534207099"/>
    <n v="1887.97430899856"/>
    <n v="6796.7075123948098"/>
  </r>
  <r>
    <x v="0"/>
    <x v="0"/>
    <x v="0"/>
    <x v="0"/>
    <x v="0"/>
    <s v="DK1_Rural"/>
    <x v="2"/>
    <s v="GNR_EH_HEAT"/>
    <x v="0"/>
    <x v="9"/>
    <n v="87.01"/>
    <n v="31758.65"/>
    <n v="114331.14"/>
  </r>
  <r>
    <x v="0"/>
    <x v="0"/>
    <x v="0"/>
    <x v="0"/>
    <x v="0"/>
    <s v="DK1_Rural"/>
    <x v="2"/>
    <s v="GNR_EH_HEAT"/>
    <x v="0"/>
    <x v="10"/>
    <n v="87.01"/>
    <n v="31758.65"/>
    <n v="114331.14"/>
  </r>
  <r>
    <x v="0"/>
    <x v="0"/>
    <x v="0"/>
    <x v="0"/>
    <x v="0"/>
    <s v="DK1_Rural"/>
    <x v="2"/>
    <s v="GNR_EH_HEAT"/>
    <x v="0"/>
    <x v="11"/>
    <n v="87.01"/>
    <n v="31758.65"/>
    <n v="114331.14"/>
  </r>
  <r>
    <x v="0"/>
    <x v="0"/>
    <x v="0"/>
    <x v="0"/>
    <x v="0"/>
    <s v="DK1_Rural"/>
    <x v="2"/>
    <s v="GNR_EH_HEAT"/>
    <x v="0"/>
    <x v="12"/>
    <n v="87.01"/>
    <n v="31758.65"/>
    <n v="114331.14"/>
  </r>
  <r>
    <x v="0"/>
    <x v="0"/>
    <x v="0"/>
    <x v="0"/>
    <x v="0"/>
    <s v="DK1_Rural"/>
    <x v="2"/>
    <s v="GNR_EH_HEAT"/>
    <x v="0"/>
    <x v="13"/>
    <n v="87.01"/>
    <n v="31758.65"/>
    <n v="114331.14"/>
  </r>
  <r>
    <x v="0"/>
    <x v="0"/>
    <x v="0"/>
    <x v="0"/>
    <x v="0"/>
    <s v="DK1_Rural"/>
    <x v="2"/>
    <s v="GNR_EH_HEAT"/>
    <x v="0"/>
    <x v="0"/>
    <n v="87.01"/>
    <n v="31758.65"/>
    <n v="114331.14"/>
  </r>
  <r>
    <x v="0"/>
    <x v="0"/>
    <x v="0"/>
    <x v="0"/>
    <x v="0"/>
    <s v="DK1_Rural"/>
    <x v="2"/>
    <s v="GNR_EH_HEAT"/>
    <x v="0"/>
    <x v="14"/>
    <n v="87.01"/>
    <n v="31758.65"/>
    <n v="114331.14"/>
  </r>
  <r>
    <x v="0"/>
    <x v="0"/>
    <x v="0"/>
    <x v="0"/>
    <x v="0"/>
    <s v="DK1_Rural"/>
    <x v="2"/>
    <s v="GNR_EH_HEAT"/>
    <x v="0"/>
    <x v="1"/>
    <n v="87.01"/>
    <n v="31758.65"/>
    <n v="114331.14"/>
  </r>
  <r>
    <x v="0"/>
    <x v="0"/>
    <x v="0"/>
    <x v="0"/>
    <x v="0"/>
    <s v="DK1_Rural"/>
    <x v="2"/>
    <s v="GNR_EH_HEAT"/>
    <x v="0"/>
    <x v="23"/>
    <n v="87.01"/>
    <n v="31758.65"/>
    <n v="114331.14"/>
  </r>
  <r>
    <x v="0"/>
    <x v="0"/>
    <x v="0"/>
    <x v="0"/>
    <x v="0"/>
    <s v="DK1_Rural"/>
    <x v="2"/>
    <s v="GNR_EH_HEAT"/>
    <x v="0"/>
    <x v="2"/>
    <n v="87.01"/>
    <n v="31758.65"/>
    <n v="114331.14"/>
  </r>
  <r>
    <x v="0"/>
    <x v="0"/>
    <x v="0"/>
    <x v="0"/>
    <x v="0"/>
    <s v="DK1_Rural"/>
    <x v="2"/>
    <s v="GNR_EH_HEAT"/>
    <x v="0"/>
    <x v="3"/>
    <n v="87.01"/>
    <n v="31758.65"/>
    <n v="114331.14"/>
  </r>
  <r>
    <x v="0"/>
    <x v="0"/>
    <x v="0"/>
    <x v="0"/>
    <x v="0"/>
    <s v="DK1_Rural"/>
    <x v="2"/>
    <s v="GNR_EH_HEAT"/>
    <x v="0"/>
    <x v="4"/>
    <n v="87.01"/>
    <n v="31758.65"/>
    <n v="114331.14"/>
  </r>
  <r>
    <x v="0"/>
    <x v="0"/>
    <x v="0"/>
    <x v="0"/>
    <x v="0"/>
    <s v="DK1_Rural"/>
    <x v="2"/>
    <s v="GNR_EH_HEAT"/>
    <x v="0"/>
    <x v="5"/>
    <n v="87.01"/>
    <n v="31758.65"/>
    <n v="114331.14"/>
  </r>
  <r>
    <x v="0"/>
    <x v="0"/>
    <x v="0"/>
    <x v="0"/>
    <x v="0"/>
    <s v="DK1_Rural"/>
    <x v="2"/>
    <s v="GNR_EH_HEAT"/>
    <x v="0"/>
    <x v="15"/>
    <n v="87.01"/>
    <n v="31758.65"/>
    <n v="114331.14"/>
  </r>
  <r>
    <x v="0"/>
    <x v="0"/>
    <x v="0"/>
    <x v="0"/>
    <x v="0"/>
    <s v="DK1_Rural"/>
    <x v="2"/>
    <s v="GNR_EH_HEAT"/>
    <x v="0"/>
    <x v="6"/>
    <n v="87.01"/>
    <n v="31758.65"/>
    <n v="114331.14"/>
  </r>
  <r>
    <x v="0"/>
    <x v="0"/>
    <x v="0"/>
    <x v="0"/>
    <x v="0"/>
    <s v="DK1_Rural"/>
    <x v="2"/>
    <s v="GNR_EH_HEAT"/>
    <x v="0"/>
    <x v="7"/>
    <n v="87.01"/>
    <n v="31758.65"/>
    <n v="114331.14"/>
  </r>
  <r>
    <x v="0"/>
    <x v="0"/>
    <x v="0"/>
    <x v="0"/>
    <x v="0"/>
    <s v="DK1_Rural"/>
    <x v="2"/>
    <s v="GNR_EH_HEAT"/>
    <x v="0"/>
    <x v="8"/>
    <n v="87.01"/>
    <n v="31758.65"/>
    <n v="114331.14"/>
  </r>
  <r>
    <x v="0"/>
    <x v="0"/>
    <x v="0"/>
    <x v="0"/>
    <x v="0"/>
    <s v="DK1_Rural"/>
    <x v="2"/>
    <s v="GNR_EH_HEAT"/>
    <x v="0"/>
    <x v="16"/>
    <n v="87.01"/>
    <n v="31758.65"/>
    <n v="114331.14"/>
  </r>
  <r>
    <x v="0"/>
    <x v="0"/>
    <x v="0"/>
    <x v="0"/>
    <x v="0"/>
    <s v="DK1_Rural"/>
    <x v="2"/>
    <s v="GNR_EH_HEAT"/>
    <x v="0"/>
    <x v="17"/>
    <n v="87.01"/>
    <n v="31758.65"/>
    <n v="114331.14"/>
  </r>
  <r>
    <x v="0"/>
    <x v="0"/>
    <x v="0"/>
    <x v="0"/>
    <x v="0"/>
    <s v="DK1_Rural"/>
    <x v="2"/>
    <s v="GNR_EH_HEAT"/>
    <x v="0"/>
    <x v="18"/>
    <n v="87.01"/>
    <n v="31758.65"/>
    <n v="114331.14"/>
  </r>
  <r>
    <x v="0"/>
    <x v="0"/>
    <x v="0"/>
    <x v="0"/>
    <x v="0"/>
    <s v="DK1_Rural"/>
    <x v="2"/>
    <s v="GNR_EH_HEAT"/>
    <x v="0"/>
    <x v="19"/>
    <n v="87.01"/>
    <n v="31758.65"/>
    <n v="114331.14"/>
  </r>
  <r>
    <x v="0"/>
    <x v="0"/>
    <x v="0"/>
    <x v="0"/>
    <x v="0"/>
    <s v="DK1_Rural"/>
    <x v="2"/>
    <s v="GNR_EH_HEAT"/>
    <x v="0"/>
    <x v="20"/>
    <n v="87.01"/>
    <n v="31758.65"/>
    <n v="114331.14"/>
  </r>
  <r>
    <x v="0"/>
    <x v="0"/>
    <x v="0"/>
    <x v="0"/>
    <x v="0"/>
    <s v="DK1_Rural"/>
    <x v="2"/>
    <s v="GNR_EH_HEAT"/>
    <x v="0"/>
    <x v="21"/>
    <n v="87.01"/>
    <n v="31758.65"/>
    <n v="114331.14"/>
  </r>
  <r>
    <x v="0"/>
    <x v="0"/>
    <x v="0"/>
    <x v="0"/>
    <x v="0"/>
    <s v="DK1_Rural"/>
    <x v="2"/>
    <s v="GNR_EH_HEAT"/>
    <x v="0"/>
    <x v="22"/>
    <n v="87.01"/>
    <n v="31758.65"/>
    <n v="114331.14"/>
  </r>
  <r>
    <x v="0"/>
    <x v="0"/>
    <x v="0"/>
    <x v="0"/>
    <x v="0"/>
    <s v="DK1_Rural"/>
    <x v="7"/>
    <s v="GNR_BO_WOODCHI_E-100"/>
    <x v="0"/>
    <x v="1"/>
    <n v="88.731667277746695"/>
    <n v="32387.058556377498"/>
    <n v="116593.410802959"/>
  </r>
  <r>
    <x v="0"/>
    <x v="0"/>
    <x v="0"/>
    <x v="0"/>
    <x v="0"/>
    <s v="DK1_Rural"/>
    <x v="7"/>
    <s v="GNR_BO_WOODCHI_E-100"/>
    <x v="0"/>
    <x v="23"/>
    <n v="103.17083274133"/>
    <n v="37657.353950585399"/>
    <n v="135566.474222107"/>
  </r>
  <r>
    <x v="0"/>
    <x v="0"/>
    <x v="0"/>
    <x v="0"/>
    <x v="0"/>
    <s v="DK1_Rural"/>
    <x v="7"/>
    <s v="GNR_BO_WOODCHI_E-105"/>
    <x v="0"/>
    <x v="14"/>
    <n v="7"/>
    <n v="2555"/>
    <n v="9198"/>
  </r>
  <r>
    <x v="0"/>
    <x v="0"/>
    <x v="0"/>
    <x v="0"/>
    <x v="0"/>
    <s v="DK1_Rural"/>
    <x v="7"/>
    <s v="GNR_BO_WOODCHI_E-105"/>
    <x v="0"/>
    <x v="1"/>
    <n v="7"/>
    <n v="2555"/>
    <n v="9198"/>
  </r>
  <r>
    <x v="0"/>
    <x v="0"/>
    <x v="0"/>
    <x v="0"/>
    <x v="0"/>
    <s v="DK1_Rural"/>
    <x v="7"/>
    <s v="GNR_BO_WOODCHI_E-105"/>
    <x v="0"/>
    <x v="23"/>
    <n v="7"/>
    <n v="2555"/>
    <n v="9198"/>
  </r>
  <r>
    <x v="0"/>
    <x v="0"/>
    <x v="0"/>
    <x v="0"/>
    <x v="0"/>
    <s v="DK1_Rural"/>
    <x v="7"/>
    <s v="GNR_BO_WOODCHI_E-105"/>
    <x v="0"/>
    <x v="2"/>
    <n v="7"/>
    <n v="2555"/>
    <n v="9198"/>
  </r>
  <r>
    <x v="0"/>
    <x v="0"/>
    <x v="0"/>
    <x v="0"/>
    <x v="0"/>
    <s v="DK1_Rural"/>
    <x v="7"/>
    <s v="GNR_BO_WOODCHI_E-105"/>
    <x v="0"/>
    <x v="3"/>
    <n v="7"/>
    <n v="2555"/>
    <n v="9198"/>
  </r>
  <r>
    <x v="0"/>
    <x v="0"/>
    <x v="0"/>
    <x v="0"/>
    <x v="0"/>
    <s v="DK1_Rural"/>
    <x v="7"/>
    <s v="GNR_BO_WOODCHI_E-105"/>
    <x v="0"/>
    <x v="4"/>
    <n v="7"/>
    <n v="2555"/>
    <n v="9198"/>
  </r>
  <r>
    <x v="0"/>
    <x v="0"/>
    <x v="0"/>
    <x v="0"/>
    <x v="0"/>
    <s v="DK1_Rural"/>
    <x v="7"/>
    <s v="GNR_BO_WOODCHI_E-105"/>
    <x v="0"/>
    <x v="5"/>
    <n v="7"/>
    <n v="2555"/>
    <n v="9198"/>
  </r>
  <r>
    <x v="0"/>
    <x v="0"/>
    <x v="0"/>
    <x v="0"/>
    <x v="0"/>
    <s v="DK1_Rural"/>
    <x v="7"/>
    <s v="GNR_BO_WOODCHI_E-105"/>
    <x v="0"/>
    <x v="15"/>
    <n v="7"/>
    <n v="2555"/>
    <n v="9198"/>
  </r>
  <r>
    <x v="0"/>
    <x v="0"/>
    <x v="0"/>
    <x v="0"/>
    <x v="0"/>
    <s v="DK1_Rural"/>
    <x v="7"/>
    <s v="GNR_BO_WOODCHI_E-105"/>
    <x v="0"/>
    <x v="6"/>
    <n v="7"/>
    <n v="2555"/>
    <n v="9198"/>
  </r>
  <r>
    <x v="0"/>
    <x v="0"/>
    <x v="0"/>
    <x v="0"/>
    <x v="0"/>
    <s v="DK1_Rural"/>
    <x v="7"/>
    <s v="GNR_BO_WOODCHI_E-105"/>
    <x v="0"/>
    <x v="7"/>
    <n v="7"/>
    <n v="2555"/>
    <n v="9198"/>
  </r>
  <r>
    <x v="0"/>
    <x v="0"/>
    <x v="0"/>
    <x v="0"/>
    <x v="0"/>
    <s v="DK1_Rural"/>
    <x v="7"/>
    <s v="GNR_BO_WOODCHI_E-105"/>
    <x v="0"/>
    <x v="8"/>
    <n v="7"/>
    <n v="2555"/>
    <n v="9198"/>
  </r>
  <r>
    <x v="0"/>
    <x v="0"/>
    <x v="0"/>
    <x v="0"/>
    <x v="0"/>
    <s v="DK1_Rural"/>
    <x v="7"/>
    <s v="GNR_BO_WOODCHI_E-105"/>
    <x v="0"/>
    <x v="16"/>
    <n v="7"/>
    <n v="2555"/>
    <n v="9198"/>
  </r>
  <r>
    <x v="0"/>
    <x v="0"/>
    <x v="0"/>
    <x v="0"/>
    <x v="0"/>
    <s v="DK1_Rural"/>
    <x v="7"/>
    <s v="GNR_BO_WOODCHI_E-105"/>
    <x v="0"/>
    <x v="17"/>
    <n v="7"/>
    <n v="2555"/>
    <n v="9198"/>
  </r>
  <r>
    <x v="0"/>
    <x v="0"/>
    <x v="0"/>
    <x v="0"/>
    <x v="0"/>
    <s v="DK1_Rural"/>
    <x v="7"/>
    <s v="GNR_BO_WOODCHI_E-105"/>
    <x v="0"/>
    <x v="18"/>
    <n v="7"/>
    <n v="2555"/>
    <n v="9198"/>
  </r>
  <r>
    <x v="0"/>
    <x v="0"/>
    <x v="0"/>
    <x v="0"/>
    <x v="0"/>
    <s v="DK1_Rural"/>
    <x v="7"/>
    <s v="GNR_BO_WOODCHI_E-105"/>
    <x v="0"/>
    <x v="19"/>
    <n v="7"/>
    <n v="2555"/>
    <n v="9198"/>
  </r>
  <r>
    <x v="0"/>
    <x v="0"/>
    <x v="0"/>
    <x v="0"/>
    <x v="0"/>
    <s v="DK1_Rural"/>
    <x v="7"/>
    <s v="GNR_BO_WOODCHI_E-106"/>
    <x v="0"/>
    <x v="14"/>
    <n v="2.75"/>
    <n v="1003.75"/>
    <n v="3613.5"/>
  </r>
  <r>
    <x v="0"/>
    <x v="0"/>
    <x v="0"/>
    <x v="0"/>
    <x v="0"/>
    <s v="DK1_Rural"/>
    <x v="7"/>
    <s v="GNR_BO_WOODCHI_E-106"/>
    <x v="0"/>
    <x v="1"/>
    <n v="2.75"/>
    <n v="1003.75"/>
    <n v="3613.5"/>
  </r>
  <r>
    <x v="0"/>
    <x v="0"/>
    <x v="0"/>
    <x v="0"/>
    <x v="0"/>
    <s v="DK1_Rural"/>
    <x v="7"/>
    <s v="GNR_BO_WOODCHI_E-106"/>
    <x v="0"/>
    <x v="23"/>
    <n v="2.75"/>
    <n v="1003.75"/>
    <n v="3613.5"/>
  </r>
  <r>
    <x v="0"/>
    <x v="0"/>
    <x v="0"/>
    <x v="0"/>
    <x v="0"/>
    <s v="DK1_Rural"/>
    <x v="7"/>
    <s v="GNR_BO_WOODCHI_E-106"/>
    <x v="0"/>
    <x v="2"/>
    <n v="2.75"/>
    <n v="1003.75"/>
    <n v="3613.5"/>
  </r>
  <r>
    <x v="0"/>
    <x v="0"/>
    <x v="0"/>
    <x v="0"/>
    <x v="0"/>
    <s v="DK1_Rural"/>
    <x v="7"/>
    <s v="GNR_BO_WOODCHI_E-106"/>
    <x v="0"/>
    <x v="3"/>
    <n v="2.75"/>
    <n v="1003.75"/>
    <n v="3613.5"/>
  </r>
  <r>
    <x v="0"/>
    <x v="0"/>
    <x v="0"/>
    <x v="0"/>
    <x v="0"/>
    <s v="DK1_Rural"/>
    <x v="7"/>
    <s v="GNR_BO_WOODCHI_E-106"/>
    <x v="0"/>
    <x v="4"/>
    <n v="2.75"/>
    <n v="1003.75"/>
    <n v="3613.5"/>
  </r>
  <r>
    <x v="0"/>
    <x v="0"/>
    <x v="0"/>
    <x v="0"/>
    <x v="0"/>
    <s v="DK1_Rural"/>
    <x v="7"/>
    <s v="GNR_BO_WOODCHI_E-106"/>
    <x v="0"/>
    <x v="5"/>
    <n v="2.75"/>
    <n v="1003.75"/>
    <n v="3613.5"/>
  </r>
  <r>
    <x v="0"/>
    <x v="0"/>
    <x v="0"/>
    <x v="0"/>
    <x v="0"/>
    <s v="DK1_Rural"/>
    <x v="7"/>
    <s v="GNR_BO_WOODCHI_E-106"/>
    <x v="0"/>
    <x v="15"/>
    <n v="2.75"/>
    <n v="1003.75"/>
    <n v="3613.5"/>
  </r>
  <r>
    <x v="0"/>
    <x v="0"/>
    <x v="0"/>
    <x v="0"/>
    <x v="0"/>
    <s v="DK1_Rural"/>
    <x v="7"/>
    <s v="GNR_BO_WOODCHI_E-106"/>
    <x v="0"/>
    <x v="6"/>
    <n v="2.75"/>
    <n v="1003.75"/>
    <n v="3613.5"/>
  </r>
  <r>
    <x v="0"/>
    <x v="0"/>
    <x v="0"/>
    <x v="0"/>
    <x v="0"/>
    <s v="DK1_Rural"/>
    <x v="7"/>
    <s v="GNR_BO_WOODCHI_E-106"/>
    <x v="0"/>
    <x v="7"/>
    <n v="2.75"/>
    <n v="1003.75"/>
    <n v="3613.5"/>
  </r>
  <r>
    <x v="0"/>
    <x v="0"/>
    <x v="0"/>
    <x v="0"/>
    <x v="0"/>
    <s v="DK1_Rural"/>
    <x v="7"/>
    <s v="GNR_BO_WOODCHI_E-106"/>
    <x v="0"/>
    <x v="8"/>
    <n v="2.75"/>
    <n v="1003.75"/>
    <n v="3613.5"/>
  </r>
  <r>
    <x v="0"/>
    <x v="0"/>
    <x v="0"/>
    <x v="0"/>
    <x v="0"/>
    <s v="DK1_Rural"/>
    <x v="7"/>
    <s v="GNR_BO_WOODCHI_E-106"/>
    <x v="0"/>
    <x v="16"/>
    <n v="2.75"/>
    <n v="1003.75"/>
    <n v="3613.5"/>
  </r>
  <r>
    <x v="0"/>
    <x v="0"/>
    <x v="0"/>
    <x v="0"/>
    <x v="0"/>
    <s v="DK1_Rural"/>
    <x v="7"/>
    <s v="GNR_BO_WOODCHI_E-106"/>
    <x v="0"/>
    <x v="17"/>
    <n v="2.75"/>
    <n v="1003.75"/>
    <n v="3613.5"/>
  </r>
  <r>
    <x v="0"/>
    <x v="0"/>
    <x v="0"/>
    <x v="0"/>
    <x v="0"/>
    <s v="DK1_Rural"/>
    <x v="7"/>
    <s v="GNR_BO_WOODCHI_E-106"/>
    <x v="0"/>
    <x v="18"/>
    <n v="2.75"/>
    <n v="1003.75"/>
    <n v="3613.5"/>
  </r>
  <r>
    <x v="0"/>
    <x v="0"/>
    <x v="0"/>
    <x v="0"/>
    <x v="0"/>
    <s v="DK1_Rural"/>
    <x v="7"/>
    <s v="GNR_BO_WOODCHI_E-106"/>
    <x v="0"/>
    <x v="19"/>
    <n v="2.75"/>
    <n v="1003.75"/>
    <n v="3613.5"/>
  </r>
  <r>
    <x v="0"/>
    <x v="0"/>
    <x v="0"/>
    <x v="0"/>
    <x v="0"/>
    <s v="DK1_Rural"/>
    <x v="7"/>
    <s v="GNR_BO_WOODCHI_E-107"/>
    <x v="0"/>
    <x v="14"/>
    <n v="12.48"/>
    <n v="4555.2"/>
    <n v="16398.72"/>
  </r>
  <r>
    <x v="0"/>
    <x v="0"/>
    <x v="0"/>
    <x v="0"/>
    <x v="0"/>
    <s v="DK1_Rural"/>
    <x v="7"/>
    <s v="GNR_BO_WOODCHI_E-107"/>
    <x v="0"/>
    <x v="1"/>
    <n v="12.48"/>
    <n v="4555.2"/>
    <n v="16398.72"/>
  </r>
  <r>
    <x v="0"/>
    <x v="0"/>
    <x v="0"/>
    <x v="0"/>
    <x v="0"/>
    <s v="DK1_Rural"/>
    <x v="7"/>
    <s v="GNR_BO_WOODCHI_E-107"/>
    <x v="0"/>
    <x v="23"/>
    <n v="12.48"/>
    <n v="4555.2"/>
    <n v="16398.72"/>
  </r>
  <r>
    <x v="0"/>
    <x v="0"/>
    <x v="0"/>
    <x v="0"/>
    <x v="0"/>
    <s v="DK1_Rural"/>
    <x v="7"/>
    <s v="GNR_BO_WOODCHI_E-107"/>
    <x v="0"/>
    <x v="2"/>
    <n v="12.48"/>
    <n v="4555.2"/>
    <n v="16398.72"/>
  </r>
  <r>
    <x v="0"/>
    <x v="0"/>
    <x v="0"/>
    <x v="0"/>
    <x v="0"/>
    <s v="DK1_Rural"/>
    <x v="7"/>
    <s v="GNR_BO_WOODCHI_E-107"/>
    <x v="0"/>
    <x v="3"/>
    <n v="12.48"/>
    <n v="4555.2"/>
    <n v="16398.72"/>
  </r>
  <r>
    <x v="0"/>
    <x v="0"/>
    <x v="0"/>
    <x v="0"/>
    <x v="0"/>
    <s v="DK1_Rural"/>
    <x v="7"/>
    <s v="GNR_BO_WOODCHI_E-107"/>
    <x v="0"/>
    <x v="4"/>
    <n v="12.48"/>
    <n v="4555.2"/>
    <n v="16398.72"/>
  </r>
  <r>
    <x v="0"/>
    <x v="0"/>
    <x v="0"/>
    <x v="0"/>
    <x v="0"/>
    <s v="DK1_Rural"/>
    <x v="7"/>
    <s v="GNR_BO_WOODCHI_E-107"/>
    <x v="0"/>
    <x v="5"/>
    <n v="12.48"/>
    <n v="4555.2"/>
    <n v="16398.72"/>
  </r>
  <r>
    <x v="0"/>
    <x v="0"/>
    <x v="0"/>
    <x v="0"/>
    <x v="0"/>
    <s v="DK1_Rural"/>
    <x v="7"/>
    <s v="GNR_BO_WOODCHI_E-107"/>
    <x v="0"/>
    <x v="15"/>
    <n v="12.48"/>
    <n v="4555.2"/>
    <n v="16398.72"/>
  </r>
  <r>
    <x v="0"/>
    <x v="0"/>
    <x v="0"/>
    <x v="0"/>
    <x v="0"/>
    <s v="DK1_Rural"/>
    <x v="7"/>
    <s v="GNR_BO_WOODCHI_E-107"/>
    <x v="0"/>
    <x v="6"/>
    <n v="12.48"/>
    <n v="4555.2"/>
    <n v="16398.72"/>
  </r>
  <r>
    <x v="0"/>
    <x v="0"/>
    <x v="0"/>
    <x v="0"/>
    <x v="0"/>
    <s v="DK1_Rural"/>
    <x v="7"/>
    <s v="GNR_BO_WOODCHI_E-107"/>
    <x v="0"/>
    <x v="7"/>
    <n v="12.48"/>
    <n v="4555.2"/>
    <n v="16398.72"/>
  </r>
  <r>
    <x v="0"/>
    <x v="0"/>
    <x v="0"/>
    <x v="0"/>
    <x v="0"/>
    <s v="DK1_Rural"/>
    <x v="7"/>
    <s v="GNR_BO_WOODCHI_E-107"/>
    <x v="0"/>
    <x v="8"/>
    <n v="12.48"/>
    <n v="4555.2"/>
    <n v="16398.72"/>
  </r>
  <r>
    <x v="0"/>
    <x v="0"/>
    <x v="0"/>
    <x v="0"/>
    <x v="0"/>
    <s v="DK1_Rural"/>
    <x v="7"/>
    <s v="GNR_BO_WOODCHI_E-107"/>
    <x v="0"/>
    <x v="16"/>
    <n v="12.48"/>
    <n v="4555.2"/>
    <n v="16398.72"/>
  </r>
  <r>
    <x v="0"/>
    <x v="0"/>
    <x v="0"/>
    <x v="0"/>
    <x v="0"/>
    <s v="DK1_Rural"/>
    <x v="7"/>
    <s v="GNR_BO_WOODCHI_E-107"/>
    <x v="0"/>
    <x v="17"/>
    <n v="12.48"/>
    <n v="4555.2"/>
    <n v="16398.72"/>
  </r>
  <r>
    <x v="0"/>
    <x v="0"/>
    <x v="0"/>
    <x v="0"/>
    <x v="0"/>
    <s v="DK1_Rural"/>
    <x v="7"/>
    <s v="GNR_BO_WOODCHI_E-107"/>
    <x v="0"/>
    <x v="18"/>
    <n v="12.48"/>
    <n v="4555.2"/>
    <n v="16398.72"/>
  </r>
  <r>
    <x v="0"/>
    <x v="0"/>
    <x v="0"/>
    <x v="0"/>
    <x v="0"/>
    <s v="DK1_Rural"/>
    <x v="7"/>
    <s v="GNR_BO_WOODCHI_E-107"/>
    <x v="0"/>
    <x v="19"/>
    <n v="12.48"/>
    <n v="4555.2"/>
    <n v="16398.72"/>
  </r>
  <r>
    <x v="0"/>
    <x v="0"/>
    <x v="0"/>
    <x v="0"/>
    <x v="0"/>
    <s v="DK1_Rural"/>
    <x v="7"/>
    <s v="GNR_BO_WOODCHI_E-108"/>
    <x v="0"/>
    <x v="14"/>
    <n v="3.5"/>
    <n v="1277.5"/>
    <n v="4599"/>
  </r>
  <r>
    <x v="0"/>
    <x v="0"/>
    <x v="0"/>
    <x v="0"/>
    <x v="0"/>
    <s v="DK1_Rural"/>
    <x v="7"/>
    <s v="GNR_BO_WOODCHI_E-108"/>
    <x v="0"/>
    <x v="1"/>
    <n v="3.5"/>
    <n v="1277.5"/>
    <n v="4599"/>
  </r>
  <r>
    <x v="0"/>
    <x v="0"/>
    <x v="0"/>
    <x v="0"/>
    <x v="0"/>
    <s v="DK1_Rural"/>
    <x v="7"/>
    <s v="GNR_BO_WOODCHI_E-108"/>
    <x v="0"/>
    <x v="23"/>
    <n v="3.5"/>
    <n v="1277.5"/>
    <n v="4599"/>
  </r>
  <r>
    <x v="0"/>
    <x v="0"/>
    <x v="0"/>
    <x v="0"/>
    <x v="0"/>
    <s v="DK1_Rural"/>
    <x v="7"/>
    <s v="GNR_BO_WOODCHI_E-108"/>
    <x v="0"/>
    <x v="2"/>
    <n v="3.5"/>
    <n v="1277.5"/>
    <n v="4599"/>
  </r>
  <r>
    <x v="0"/>
    <x v="0"/>
    <x v="0"/>
    <x v="0"/>
    <x v="0"/>
    <s v="DK1_Rural"/>
    <x v="7"/>
    <s v="GNR_BO_WOODCHI_E-108"/>
    <x v="0"/>
    <x v="3"/>
    <n v="3.5"/>
    <n v="1277.5"/>
    <n v="4599"/>
  </r>
  <r>
    <x v="0"/>
    <x v="0"/>
    <x v="0"/>
    <x v="0"/>
    <x v="0"/>
    <s v="DK1_Rural"/>
    <x v="7"/>
    <s v="GNR_BO_WOODCHI_E-108"/>
    <x v="0"/>
    <x v="4"/>
    <n v="3.5"/>
    <n v="1277.5"/>
    <n v="4599"/>
  </r>
  <r>
    <x v="0"/>
    <x v="0"/>
    <x v="0"/>
    <x v="0"/>
    <x v="0"/>
    <s v="DK1_Rural"/>
    <x v="7"/>
    <s v="GNR_BO_WOODCHI_E-108"/>
    <x v="0"/>
    <x v="5"/>
    <n v="3.5"/>
    <n v="1277.5"/>
    <n v="4599"/>
  </r>
  <r>
    <x v="0"/>
    <x v="0"/>
    <x v="0"/>
    <x v="0"/>
    <x v="0"/>
    <s v="DK1_Rural"/>
    <x v="7"/>
    <s v="GNR_BO_WOODCHI_E-108"/>
    <x v="0"/>
    <x v="15"/>
    <n v="3.5"/>
    <n v="1277.5"/>
    <n v="4599"/>
  </r>
  <r>
    <x v="0"/>
    <x v="0"/>
    <x v="0"/>
    <x v="0"/>
    <x v="0"/>
    <s v="DK1_Rural"/>
    <x v="7"/>
    <s v="GNR_BO_WOODCHI_E-108"/>
    <x v="0"/>
    <x v="6"/>
    <n v="3.5"/>
    <n v="1277.5"/>
    <n v="4599"/>
  </r>
  <r>
    <x v="0"/>
    <x v="0"/>
    <x v="0"/>
    <x v="0"/>
    <x v="0"/>
    <s v="DK1_Rural"/>
    <x v="7"/>
    <s v="GNR_BO_WOODCHI_E-108"/>
    <x v="0"/>
    <x v="7"/>
    <n v="3.5"/>
    <n v="1277.5"/>
    <n v="4599"/>
  </r>
  <r>
    <x v="0"/>
    <x v="0"/>
    <x v="0"/>
    <x v="0"/>
    <x v="0"/>
    <s v="DK1_Rural"/>
    <x v="7"/>
    <s v="GNR_BO_WOODCHI_E-108"/>
    <x v="0"/>
    <x v="8"/>
    <n v="3.5"/>
    <n v="1277.5"/>
    <n v="4599"/>
  </r>
  <r>
    <x v="0"/>
    <x v="0"/>
    <x v="0"/>
    <x v="0"/>
    <x v="0"/>
    <s v="DK1_Rural"/>
    <x v="7"/>
    <s v="GNR_BO_WOODCHI_E-108"/>
    <x v="0"/>
    <x v="16"/>
    <n v="3.5"/>
    <n v="1277.5"/>
    <n v="4599"/>
  </r>
  <r>
    <x v="0"/>
    <x v="0"/>
    <x v="0"/>
    <x v="0"/>
    <x v="0"/>
    <s v="DK1_Rural"/>
    <x v="7"/>
    <s v="GNR_BO_WOODCHI_E-108"/>
    <x v="0"/>
    <x v="17"/>
    <n v="3.5"/>
    <n v="1277.5"/>
    <n v="4599"/>
  </r>
  <r>
    <x v="0"/>
    <x v="0"/>
    <x v="0"/>
    <x v="0"/>
    <x v="0"/>
    <s v="DK1_Rural"/>
    <x v="7"/>
    <s v="GNR_BO_WOODCHI_E-108"/>
    <x v="0"/>
    <x v="18"/>
    <n v="3.5"/>
    <n v="1277.5"/>
    <n v="4599"/>
  </r>
  <r>
    <x v="0"/>
    <x v="0"/>
    <x v="0"/>
    <x v="0"/>
    <x v="0"/>
    <s v="DK1_Rural"/>
    <x v="7"/>
    <s v="GNR_BO_WOODCHI_E-108"/>
    <x v="0"/>
    <x v="19"/>
    <n v="3.5"/>
    <n v="1277.5"/>
    <n v="4599"/>
  </r>
  <r>
    <x v="0"/>
    <x v="0"/>
    <x v="0"/>
    <x v="0"/>
    <x v="0"/>
    <s v="DK1_Rural"/>
    <x v="7"/>
    <s v="GNR_BO_WOODCHI_E-108"/>
    <x v="0"/>
    <x v="20"/>
    <n v="3.5"/>
    <n v="1277.5"/>
    <n v="4599"/>
  </r>
  <r>
    <x v="0"/>
    <x v="0"/>
    <x v="0"/>
    <x v="0"/>
    <x v="0"/>
    <s v="DK1_Rural"/>
    <x v="7"/>
    <s v="GNR_BO_WOODCHI_E-108"/>
    <x v="0"/>
    <x v="21"/>
    <n v="3.5"/>
    <n v="1277.5"/>
    <n v="4599"/>
  </r>
  <r>
    <x v="0"/>
    <x v="0"/>
    <x v="0"/>
    <x v="0"/>
    <x v="0"/>
    <s v="DK1_Rural"/>
    <x v="7"/>
    <s v="GNR_BO_WOODCHI_E-108"/>
    <x v="0"/>
    <x v="22"/>
    <n v="3.5"/>
    <n v="1277.5"/>
    <n v="4599"/>
  </r>
  <r>
    <x v="0"/>
    <x v="0"/>
    <x v="0"/>
    <x v="0"/>
    <x v="0"/>
    <s v="DK1_Rural"/>
    <x v="7"/>
    <s v="GNR_BO_WOODCHI_E-110"/>
    <x v="0"/>
    <x v="9"/>
    <n v="43.974752033081799"/>
    <n v="16050.784492074899"/>
    <n v="57782.824171469503"/>
  </r>
  <r>
    <x v="0"/>
    <x v="0"/>
    <x v="0"/>
    <x v="0"/>
    <x v="0"/>
    <s v="DK1_Rural"/>
    <x v="7"/>
    <s v="GNR_BO_WOODCHI_E-110"/>
    <x v="0"/>
    <x v="10"/>
    <n v="39.805672086299303"/>
    <n v="14529.070311499299"/>
    <n v="52304.653121397299"/>
  </r>
  <r>
    <x v="0"/>
    <x v="0"/>
    <x v="0"/>
    <x v="0"/>
    <x v="0"/>
    <s v="DK1_Rural"/>
    <x v="7"/>
    <s v="GNR_BO_WOODCHI_E-110"/>
    <x v="0"/>
    <x v="11"/>
    <n v="36.0155994074061"/>
    <n v="13145.6937837032"/>
    <n v="47324.497621331597"/>
  </r>
  <r>
    <x v="0"/>
    <x v="0"/>
    <x v="0"/>
    <x v="0"/>
    <x v="0"/>
    <s v="DK1_Rural"/>
    <x v="7"/>
    <s v="GNR_BO_WOODCHI_E-110"/>
    <x v="0"/>
    <x v="12"/>
    <n v="41.700708425746001"/>
    <n v="15220.7585753973"/>
    <n v="54794.730871430198"/>
  </r>
  <r>
    <x v="0"/>
    <x v="0"/>
    <x v="0"/>
    <x v="0"/>
    <x v="0"/>
    <s v="DK1_Rural"/>
    <x v="7"/>
    <s v="GNR_BO_WOODCHI_E-110"/>
    <x v="0"/>
    <x v="13"/>
    <n v="45.869788372528497"/>
    <n v="16742.4727559729"/>
    <n v="60272.901921502402"/>
  </r>
  <r>
    <x v="0"/>
    <x v="0"/>
    <x v="0"/>
    <x v="0"/>
    <x v="0"/>
    <s v="DK1_Rural"/>
    <x v="7"/>
    <s v="GNR_BO_WOODCHI_E-110"/>
    <x v="0"/>
    <x v="0"/>
    <n v="112.19606025316"/>
    <n v="40951.561992403404"/>
    <n v="147425.62317265201"/>
  </r>
  <r>
    <x v="0"/>
    <x v="0"/>
    <x v="0"/>
    <x v="0"/>
    <x v="0"/>
    <s v="DK1_Rural"/>
    <x v="7"/>
    <s v="GNR_BO_WOODCHI_E-110"/>
    <x v="0"/>
    <x v="14"/>
    <n v="128.43"/>
    <n v="46876.95"/>
    <n v="168757.02"/>
  </r>
  <r>
    <x v="0"/>
    <x v="0"/>
    <x v="0"/>
    <x v="0"/>
    <x v="0"/>
    <s v="DK1_Rural"/>
    <x v="7"/>
    <s v="GNR_BO_WOODCHI_E-110"/>
    <x v="0"/>
    <x v="1"/>
    <n v="128.43"/>
    <n v="46876.95"/>
    <n v="168757.02"/>
  </r>
  <r>
    <x v="0"/>
    <x v="0"/>
    <x v="0"/>
    <x v="0"/>
    <x v="0"/>
    <s v="DK1_Rural"/>
    <x v="7"/>
    <s v="GNR_BO_WOODCHI_E-110"/>
    <x v="0"/>
    <x v="23"/>
    <n v="128.43"/>
    <n v="46876.95"/>
    <n v="168757.02"/>
  </r>
  <r>
    <x v="0"/>
    <x v="0"/>
    <x v="0"/>
    <x v="0"/>
    <x v="0"/>
    <s v="DK1_Rural"/>
    <x v="7"/>
    <s v="GNR_BO_WOODCHI_E-110"/>
    <x v="0"/>
    <x v="2"/>
    <n v="128.43"/>
    <n v="46876.95"/>
    <n v="168757.02"/>
  </r>
  <r>
    <x v="0"/>
    <x v="0"/>
    <x v="0"/>
    <x v="0"/>
    <x v="0"/>
    <s v="DK1_Rural"/>
    <x v="7"/>
    <s v="GNR_BO_WOODCHI_E-110"/>
    <x v="0"/>
    <x v="3"/>
    <n v="128.43"/>
    <n v="46876.95"/>
    <n v="168757.02"/>
  </r>
  <r>
    <x v="0"/>
    <x v="0"/>
    <x v="0"/>
    <x v="0"/>
    <x v="0"/>
    <s v="DK1_Rural"/>
    <x v="7"/>
    <s v="GNR_BO_WOODCHI_E-110"/>
    <x v="0"/>
    <x v="4"/>
    <n v="128.43"/>
    <n v="46876.95"/>
    <n v="168757.02"/>
  </r>
  <r>
    <x v="0"/>
    <x v="0"/>
    <x v="0"/>
    <x v="0"/>
    <x v="0"/>
    <s v="DK1_Rural"/>
    <x v="7"/>
    <s v="GNR_BO_WOODCHI_E-110"/>
    <x v="0"/>
    <x v="5"/>
    <n v="128.43"/>
    <n v="46876.95"/>
    <n v="168757.02"/>
  </r>
  <r>
    <x v="0"/>
    <x v="0"/>
    <x v="0"/>
    <x v="0"/>
    <x v="0"/>
    <s v="DK1_Rural"/>
    <x v="7"/>
    <s v="GNR_BO_WOODCHI_E-110"/>
    <x v="0"/>
    <x v="15"/>
    <n v="128.43"/>
    <n v="46876.95"/>
    <n v="168757.02"/>
  </r>
  <r>
    <x v="0"/>
    <x v="0"/>
    <x v="0"/>
    <x v="0"/>
    <x v="0"/>
    <s v="DK1_Rural"/>
    <x v="7"/>
    <s v="GNR_BO_WOODCHI_E-110"/>
    <x v="0"/>
    <x v="6"/>
    <n v="128.43"/>
    <n v="46876.95"/>
    <n v="168757.02"/>
  </r>
  <r>
    <x v="0"/>
    <x v="0"/>
    <x v="0"/>
    <x v="0"/>
    <x v="0"/>
    <s v="DK1_Rural"/>
    <x v="7"/>
    <s v="GNR_BO_WOODCHI_E-110"/>
    <x v="0"/>
    <x v="7"/>
    <n v="128.43"/>
    <n v="46876.95"/>
    <n v="168757.02"/>
  </r>
  <r>
    <x v="0"/>
    <x v="0"/>
    <x v="0"/>
    <x v="0"/>
    <x v="0"/>
    <s v="DK1_Rural"/>
    <x v="7"/>
    <s v="GNR_BO_WOODCHI_E-110"/>
    <x v="0"/>
    <x v="8"/>
    <n v="128.43"/>
    <n v="46876.95"/>
    <n v="168757.02"/>
  </r>
  <r>
    <x v="0"/>
    <x v="0"/>
    <x v="0"/>
    <x v="0"/>
    <x v="0"/>
    <s v="DK1_Rural"/>
    <x v="7"/>
    <s v="GNR_BO_WOODCHI_E-110"/>
    <x v="0"/>
    <x v="16"/>
    <n v="128.43"/>
    <n v="46876.95"/>
    <n v="168757.02"/>
  </r>
  <r>
    <x v="0"/>
    <x v="0"/>
    <x v="0"/>
    <x v="0"/>
    <x v="0"/>
    <s v="DK1_Rural"/>
    <x v="7"/>
    <s v="GNR_BO_WOODCHI_E-110"/>
    <x v="0"/>
    <x v="17"/>
    <n v="128.43"/>
    <n v="46876.95"/>
    <n v="168757.02"/>
  </r>
  <r>
    <x v="0"/>
    <x v="0"/>
    <x v="0"/>
    <x v="0"/>
    <x v="0"/>
    <s v="DK1_Rural"/>
    <x v="7"/>
    <s v="GNR_BO_WOODCHI_E-110"/>
    <x v="0"/>
    <x v="18"/>
    <n v="128.43"/>
    <n v="46876.95"/>
    <n v="168757.02"/>
  </r>
  <r>
    <x v="0"/>
    <x v="0"/>
    <x v="0"/>
    <x v="0"/>
    <x v="0"/>
    <s v="DK1_Rural"/>
    <x v="7"/>
    <s v="GNR_BO_WOODCHI_E-110"/>
    <x v="0"/>
    <x v="19"/>
    <n v="128.43"/>
    <n v="46876.95"/>
    <n v="168757.02"/>
  </r>
  <r>
    <x v="0"/>
    <x v="0"/>
    <x v="0"/>
    <x v="0"/>
    <x v="0"/>
    <s v="DK1_Rural"/>
    <x v="7"/>
    <s v="GNR_BO_WOODCHI_E-110"/>
    <x v="0"/>
    <x v="20"/>
    <n v="128.43"/>
    <n v="46876.95"/>
    <n v="168757.02"/>
  </r>
  <r>
    <x v="0"/>
    <x v="0"/>
    <x v="0"/>
    <x v="0"/>
    <x v="0"/>
    <s v="DK1_Rural"/>
    <x v="7"/>
    <s v="GNR_BO_WOODCHI_E-110"/>
    <x v="0"/>
    <x v="21"/>
    <n v="128.43"/>
    <n v="46876.95"/>
    <n v="168757.02"/>
  </r>
  <r>
    <x v="0"/>
    <x v="0"/>
    <x v="0"/>
    <x v="0"/>
    <x v="0"/>
    <s v="DK1_Rural"/>
    <x v="7"/>
    <s v="GNR_BO_WOODCHI_E-110"/>
    <x v="0"/>
    <x v="22"/>
    <n v="128.43"/>
    <n v="46876.95"/>
    <n v="168757.02"/>
  </r>
  <r>
    <x v="0"/>
    <x v="0"/>
    <x v="0"/>
    <x v="0"/>
    <x v="0"/>
    <s v="DK1_Rural"/>
    <x v="7"/>
    <s v="GNR_BO_WOODCHI_E-112"/>
    <x v="0"/>
    <x v="9"/>
    <n v="19"/>
    <n v="6935"/>
    <n v="24966"/>
  </r>
  <r>
    <x v="0"/>
    <x v="0"/>
    <x v="0"/>
    <x v="0"/>
    <x v="0"/>
    <s v="DK1_Rural"/>
    <x v="7"/>
    <s v="GNR_BO_WOODCHI_E-112"/>
    <x v="0"/>
    <x v="10"/>
    <n v="19"/>
    <n v="6935"/>
    <n v="24966"/>
  </r>
  <r>
    <x v="0"/>
    <x v="0"/>
    <x v="0"/>
    <x v="0"/>
    <x v="0"/>
    <s v="DK1_Rural"/>
    <x v="7"/>
    <s v="GNR_BO_WOODCHI_E-112"/>
    <x v="0"/>
    <x v="11"/>
    <n v="19"/>
    <n v="6935"/>
    <n v="24966"/>
  </r>
  <r>
    <x v="0"/>
    <x v="0"/>
    <x v="0"/>
    <x v="0"/>
    <x v="0"/>
    <s v="DK1_Rural"/>
    <x v="7"/>
    <s v="GNR_BO_WOODCHI_E-112"/>
    <x v="0"/>
    <x v="12"/>
    <n v="19"/>
    <n v="6935"/>
    <n v="24966"/>
  </r>
  <r>
    <x v="0"/>
    <x v="0"/>
    <x v="0"/>
    <x v="0"/>
    <x v="0"/>
    <s v="DK1_Rural"/>
    <x v="7"/>
    <s v="GNR_BO_WOODCHI_E-112"/>
    <x v="0"/>
    <x v="13"/>
    <n v="19"/>
    <n v="6935"/>
    <n v="24966"/>
  </r>
  <r>
    <x v="0"/>
    <x v="0"/>
    <x v="0"/>
    <x v="0"/>
    <x v="0"/>
    <s v="DK1_Rural"/>
    <x v="7"/>
    <s v="GNR_BO_WOODCHI_E-112"/>
    <x v="0"/>
    <x v="0"/>
    <n v="19"/>
    <n v="6935"/>
    <n v="24966"/>
  </r>
  <r>
    <x v="0"/>
    <x v="0"/>
    <x v="0"/>
    <x v="0"/>
    <x v="0"/>
    <s v="DK1_Rural"/>
    <x v="7"/>
    <s v="GNR_BO_WOODCHI_E-112"/>
    <x v="0"/>
    <x v="14"/>
    <n v="19"/>
    <n v="6935"/>
    <n v="24966"/>
  </r>
  <r>
    <x v="0"/>
    <x v="0"/>
    <x v="0"/>
    <x v="0"/>
    <x v="0"/>
    <s v="DK1_Rural"/>
    <x v="7"/>
    <s v="GNR_BO_WOODCHI_E-112"/>
    <x v="0"/>
    <x v="1"/>
    <n v="19"/>
    <n v="6935"/>
    <n v="24966"/>
  </r>
  <r>
    <x v="0"/>
    <x v="0"/>
    <x v="0"/>
    <x v="0"/>
    <x v="0"/>
    <s v="DK1_Rural"/>
    <x v="7"/>
    <s v="GNR_BO_WOODCHI_E-112"/>
    <x v="0"/>
    <x v="23"/>
    <n v="19"/>
    <n v="6935"/>
    <n v="24966"/>
  </r>
  <r>
    <x v="0"/>
    <x v="0"/>
    <x v="0"/>
    <x v="0"/>
    <x v="0"/>
    <s v="DK1_Rural"/>
    <x v="7"/>
    <s v="GNR_BO_WOODCHI_E-112"/>
    <x v="0"/>
    <x v="2"/>
    <n v="19"/>
    <n v="6935"/>
    <n v="24966"/>
  </r>
  <r>
    <x v="0"/>
    <x v="0"/>
    <x v="0"/>
    <x v="0"/>
    <x v="0"/>
    <s v="DK1_Rural"/>
    <x v="7"/>
    <s v="GNR_BO_WOODCHI_E-112"/>
    <x v="0"/>
    <x v="3"/>
    <n v="19"/>
    <n v="6935"/>
    <n v="24966"/>
  </r>
  <r>
    <x v="0"/>
    <x v="0"/>
    <x v="0"/>
    <x v="0"/>
    <x v="0"/>
    <s v="DK1_Rural"/>
    <x v="7"/>
    <s v="GNR_BO_WOODCHI_E-112"/>
    <x v="0"/>
    <x v="4"/>
    <n v="19"/>
    <n v="6935"/>
    <n v="24966"/>
  </r>
  <r>
    <x v="0"/>
    <x v="0"/>
    <x v="0"/>
    <x v="0"/>
    <x v="0"/>
    <s v="DK1_Rural"/>
    <x v="7"/>
    <s v="GNR_BO_WOODCHI_E-112"/>
    <x v="0"/>
    <x v="5"/>
    <n v="19"/>
    <n v="6935"/>
    <n v="24966"/>
  </r>
  <r>
    <x v="0"/>
    <x v="0"/>
    <x v="0"/>
    <x v="0"/>
    <x v="0"/>
    <s v="DK1_Rural"/>
    <x v="7"/>
    <s v="GNR_BO_WOODCHI_E-112"/>
    <x v="0"/>
    <x v="15"/>
    <n v="19"/>
    <n v="6935"/>
    <n v="24966"/>
  </r>
  <r>
    <x v="0"/>
    <x v="0"/>
    <x v="0"/>
    <x v="0"/>
    <x v="0"/>
    <s v="DK1_Rural"/>
    <x v="7"/>
    <s v="GNR_BO_WOODCHI_E-112"/>
    <x v="0"/>
    <x v="6"/>
    <n v="19"/>
    <n v="6935"/>
    <n v="24966"/>
  </r>
  <r>
    <x v="0"/>
    <x v="0"/>
    <x v="0"/>
    <x v="0"/>
    <x v="0"/>
    <s v="DK1_Rural"/>
    <x v="7"/>
    <s v="GNR_BO_WOODCHI_E-112"/>
    <x v="0"/>
    <x v="7"/>
    <n v="19"/>
    <n v="6935"/>
    <n v="24966"/>
  </r>
  <r>
    <x v="0"/>
    <x v="0"/>
    <x v="0"/>
    <x v="0"/>
    <x v="0"/>
    <s v="DK1_Rural"/>
    <x v="7"/>
    <s v="GNR_BO_WOODCHI_E-112"/>
    <x v="0"/>
    <x v="8"/>
    <n v="19"/>
    <n v="6935"/>
    <n v="24966"/>
  </r>
  <r>
    <x v="0"/>
    <x v="0"/>
    <x v="0"/>
    <x v="0"/>
    <x v="0"/>
    <s v="DK1_Rural"/>
    <x v="7"/>
    <s v="GNR_BO_WOODCHI_E-112"/>
    <x v="0"/>
    <x v="16"/>
    <n v="19"/>
    <n v="6935"/>
    <n v="24966"/>
  </r>
  <r>
    <x v="0"/>
    <x v="0"/>
    <x v="0"/>
    <x v="0"/>
    <x v="0"/>
    <s v="DK1_Rural"/>
    <x v="7"/>
    <s v="GNR_BO_WOODCHI_E-112"/>
    <x v="0"/>
    <x v="17"/>
    <n v="19"/>
    <n v="6935"/>
    <n v="24966"/>
  </r>
  <r>
    <x v="0"/>
    <x v="0"/>
    <x v="0"/>
    <x v="0"/>
    <x v="0"/>
    <s v="DK1_Rural"/>
    <x v="7"/>
    <s v="GNR_BO_WOODCHI_E-112"/>
    <x v="0"/>
    <x v="18"/>
    <n v="19"/>
    <n v="6935"/>
    <n v="24966"/>
  </r>
  <r>
    <x v="0"/>
    <x v="0"/>
    <x v="0"/>
    <x v="0"/>
    <x v="0"/>
    <s v="DK1_Rural"/>
    <x v="7"/>
    <s v="GNR_BO_WOODCHI_E-112"/>
    <x v="0"/>
    <x v="19"/>
    <n v="19"/>
    <n v="6935"/>
    <n v="24966"/>
  </r>
  <r>
    <x v="0"/>
    <x v="0"/>
    <x v="0"/>
    <x v="0"/>
    <x v="0"/>
    <s v="DK1_Rural"/>
    <x v="7"/>
    <s v="GNR_BO_WOODCHI_E-112"/>
    <x v="0"/>
    <x v="20"/>
    <n v="19"/>
    <n v="6935"/>
    <n v="24966"/>
  </r>
  <r>
    <x v="0"/>
    <x v="0"/>
    <x v="0"/>
    <x v="0"/>
    <x v="0"/>
    <s v="DK1_Rural"/>
    <x v="7"/>
    <s v="GNR_BO_WOODCHI_E-112"/>
    <x v="0"/>
    <x v="21"/>
    <n v="19"/>
    <n v="6935"/>
    <n v="24966"/>
  </r>
  <r>
    <x v="0"/>
    <x v="0"/>
    <x v="0"/>
    <x v="0"/>
    <x v="0"/>
    <s v="DK1_Rural"/>
    <x v="7"/>
    <s v="GNR_BO_WOODCHI_E-112"/>
    <x v="0"/>
    <x v="22"/>
    <n v="19"/>
    <n v="6935"/>
    <n v="24966"/>
  </r>
  <r>
    <x v="0"/>
    <x v="0"/>
    <x v="0"/>
    <x v="0"/>
    <x v="0"/>
    <s v="DK1_Rural"/>
    <x v="7"/>
    <s v="GNR_BO_WOODCHI_E-113"/>
    <x v="0"/>
    <x v="9"/>
    <n v="4.8"/>
    <n v="1752"/>
    <n v="6307.2"/>
  </r>
  <r>
    <x v="0"/>
    <x v="0"/>
    <x v="0"/>
    <x v="0"/>
    <x v="0"/>
    <s v="DK1_Rural"/>
    <x v="7"/>
    <s v="GNR_BO_WOODCHI_E-113"/>
    <x v="0"/>
    <x v="10"/>
    <n v="4.8"/>
    <n v="1752"/>
    <n v="6307.2"/>
  </r>
  <r>
    <x v="0"/>
    <x v="0"/>
    <x v="0"/>
    <x v="0"/>
    <x v="0"/>
    <s v="DK1_Rural"/>
    <x v="7"/>
    <s v="GNR_BO_WOODCHI_E-113"/>
    <x v="0"/>
    <x v="11"/>
    <n v="4.8"/>
    <n v="1752"/>
    <n v="6307.2"/>
  </r>
  <r>
    <x v="0"/>
    <x v="0"/>
    <x v="0"/>
    <x v="0"/>
    <x v="0"/>
    <s v="DK1_Rural"/>
    <x v="7"/>
    <s v="GNR_BO_WOODCHI_E-113"/>
    <x v="0"/>
    <x v="12"/>
    <n v="4.8"/>
    <n v="1752"/>
    <n v="6307.2"/>
  </r>
  <r>
    <x v="0"/>
    <x v="0"/>
    <x v="0"/>
    <x v="0"/>
    <x v="0"/>
    <s v="DK1_Rural"/>
    <x v="7"/>
    <s v="GNR_BO_WOODCHI_E-113"/>
    <x v="0"/>
    <x v="13"/>
    <n v="4.8"/>
    <n v="1752"/>
    <n v="6307.2"/>
  </r>
  <r>
    <x v="0"/>
    <x v="0"/>
    <x v="0"/>
    <x v="0"/>
    <x v="0"/>
    <s v="DK1_Rural"/>
    <x v="7"/>
    <s v="GNR_BO_WOODCHI_E-113"/>
    <x v="0"/>
    <x v="0"/>
    <n v="4.8"/>
    <n v="1752"/>
    <n v="6307.2"/>
  </r>
  <r>
    <x v="0"/>
    <x v="0"/>
    <x v="0"/>
    <x v="0"/>
    <x v="0"/>
    <s v="DK1_Rural"/>
    <x v="7"/>
    <s v="GNR_BO_WOODCHI_E-113"/>
    <x v="0"/>
    <x v="14"/>
    <n v="4.8"/>
    <n v="1752"/>
    <n v="6307.2"/>
  </r>
  <r>
    <x v="0"/>
    <x v="0"/>
    <x v="0"/>
    <x v="0"/>
    <x v="0"/>
    <s v="DK1_Rural"/>
    <x v="7"/>
    <s v="GNR_BO_WOODCHI_E-113"/>
    <x v="0"/>
    <x v="1"/>
    <n v="4.8"/>
    <n v="1752"/>
    <n v="6307.2"/>
  </r>
  <r>
    <x v="0"/>
    <x v="0"/>
    <x v="0"/>
    <x v="0"/>
    <x v="0"/>
    <s v="DK1_Rural"/>
    <x v="7"/>
    <s v="GNR_BO_WOODCHI_E-113"/>
    <x v="0"/>
    <x v="23"/>
    <n v="4.8"/>
    <n v="1752"/>
    <n v="6307.2"/>
  </r>
  <r>
    <x v="0"/>
    <x v="0"/>
    <x v="0"/>
    <x v="0"/>
    <x v="0"/>
    <s v="DK1_Rural"/>
    <x v="7"/>
    <s v="GNR_BO_WOODCHI_E-113"/>
    <x v="0"/>
    <x v="2"/>
    <n v="4.8"/>
    <n v="1752"/>
    <n v="6307.2"/>
  </r>
  <r>
    <x v="0"/>
    <x v="0"/>
    <x v="0"/>
    <x v="0"/>
    <x v="0"/>
    <s v="DK1_Rural"/>
    <x v="7"/>
    <s v="GNR_BO_WOODCHI_E-113"/>
    <x v="0"/>
    <x v="3"/>
    <n v="4.8"/>
    <n v="1752"/>
    <n v="6307.2"/>
  </r>
  <r>
    <x v="0"/>
    <x v="0"/>
    <x v="0"/>
    <x v="0"/>
    <x v="0"/>
    <s v="DK1_Rural"/>
    <x v="7"/>
    <s v="GNR_BO_WOODCHI_E-113"/>
    <x v="0"/>
    <x v="4"/>
    <n v="4.8"/>
    <n v="1752"/>
    <n v="6307.2"/>
  </r>
  <r>
    <x v="0"/>
    <x v="0"/>
    <x v="0"/>
    <x v="0"/>
    <x v="0"/>
    <s v="DK1_Rural"/>
    <x v="7"/>
    <s v="GNR_BO_WOODCHI_E-113"/>
    <x v="0"/>
    <x v="5"/>
    <n v="4.8"/>
    <n v="1752"/>
    <n v="6307.2"/>
  </r>
  <r>
    <x v="0"/>
    <x v="0"/>
    <x v="0"/>
    <x v="0"/>
    <x v="0"/>
    <s v="DK1_Rural"/>
    <x v="7"/>
    <s v="GNR_BO_WOODCHI_E-113"/>
    <x v="0"/>
    <x v="15"/>
    <n v="4.8"/>
    <n v="1752"/>
    <n v="6307.2"/>
  </r>
  <r>
    <x v="0"/>
    <x v="0"/>
    <x v="0"/>
    <x v="0"/>
    <x v="0"/>
    <s v="DK1_Rural"/>
    <x v="7"/>
    <s v="GNR_BO_WOODCHI_E-113"/>
    <x v="0"/>
    <x v="6"/>
    <n v="4.8"/>
    <n v="1752"/>
    <n v="6307.2"/>
  </r>
  <r>
    <x v="0"/>
    <x v="0"/>
    <x v="0"/>
    <x v="0"/>
    <x v="0"/>
    <s v="DK1_Rural"/>
    <x v="7"/>
    <s v="GNR_BO_WOODCHI_E-113"/>
    <x v="0"/>
    <x v="7"/>
    <n v="4.8"/>
    <n v="1752"/>
    <n v="6307.2"/>
  </r>
  <r>
    <x v="0"/>
    <x v="0"/>
    <x v="0"/>
    <x v="0"/>
    <x v="0"/>
    <s v="DK1_Rural"/>
    <x v="7"/>
    <s v="GNR_BO_WOODCHI_E-113"/>
    <x v="0"/>
    <x v="8"/>
    <n v="4.8"/>
    <n v="1752"/>
    <n v="6307.2"/>
  </r>
  <r>
    <x v="0"/>
    <x v="0"/>
    <x v="0"/>
    <x v="0"/>
    <x v="0"/>
    <s v="DK1_Rural"/>
    <x v="7"/>
    <s v="GNR_BO_WOODCHI_E-113"/>
    <x v="0"/>
    <x v="16"/>
    <n v="4.8"/>
    <n v="1752"/>
    <n v="6307.2"/>
  </r>
  <r>
    <x v="0"/>
    <x v="0"/>
    <x v="0"/>
    <x v="0"/>
    <x v="0"/>
    <s v="DK1_Rural"/>
    <x v="7"/>
    <s v="GNR_BO_WOODCHI_E-113"/>
    <x v="0"/>
    <x v="17"/>
    <n v="4.8"/>
    <n v="1752"/>
    <n v="6307.2"/>
  </r>
  <r>
    <x v="0"/>
    <x v="0"/>
    <x v="0"/>
    <x v="0"/>
    <x v="0"/>
    <s v="DK1_Rural"/>
    <x v="7"/>
    <s v="GNR_BO_WOODCHI_E-113"/>
    <x v="0"/>
    <x v="18"/>
    <n v="4.8"/>
    <n v="1752"/>
    <n v="6307.2"/>
  </r>
  <r>
    <x v="0"/>
    <x v="0"/>
    <x v="0"/>
    <x v="0"/>
    <x v="0"/>
    <s v="DK1_Rural"/>
    <x v="7"/>
    <s v="GNR_BO_WOODCHI_E-113"/>
    <x v="0"/>
    <x v="19"/>
    <n v="4.8"/>
    <n v="1752"/>
    <n v="6307.2"/>
  </r>
  <r>
    <x v="0"/>
    <x v="0"/>
    <x v="0"/>
    <x v="0"/>
    <x v="0"/>
    <s v="DK1_Rural"/>
    <x v="7"/>
    <s v="GNR_BO_WOODCHI_E-113"/>
    <x v="0"/>
    <x v="20"/>
    <n v="4.8"/>
    <n v="1752"/>
    <n v="6307.2"/>
  </r>
  <r>
    <x v="0"/>
    <x v="0"/>
    <x v="0"/>
    <x v="0"/>
    <x v="0"/>
    <s v="DK1_Rural"/>
    <x v="7"/>
    <s v="GNR_BO_WOODCHI_E-113"/>
    <x v="0"/>
    <x v="21"/>
    <n v="4.8"/>
    <n v="1752"/>
    <n v="6307.2"/>
  </r>
  <r>
    <x v="0"/>
    <x v="0"/>
    <x v="0"/>
    <x v="0"/>
    <x v="0"/>
    <s v="DK1_Rural"/>
    <x v="7"/>
    <s v="GNR_BO_WOODCHI_E-113"/>
    <x v="0"/>
    <x v="22"/>
    <n v="4.8"/>
    <n v="1752"/>
    <n v="6307.2"/>
  </r>
  <r>
    <x v="0"/>
    <x v="0"/>
    <x v="0"/>
    <x v="0"/>
    <x v="0"/>
    <s v="DK1_Rural"/>
    <x v="7"/>
    <s v="GNR_BO_WOODCHI_E-114"/>
    <x v="0"/>
    <x v="9"/>
    <n v="21"/>
    <n v="7665"/>
    <n v="27594"/>
  </r>
  <r>
    <x v="0"/>
    <x v="0"/>
    <x v="0"/>
    <x v="0"/>
    <x v="0"/>
    <s v="DK1_Rural"/>
    <x v="7"/>
    <s v="GNR_BO_WOODCHI_E-114"/>
    <x v="0"/>
    <x v="10"/>
    <n v="21"/>
    <n v="7665"/>
    <n v="27594"/>
  </r>
  <r>
    <x v="0"/>
    <x v="0"/>
    <x v="0"/>
    <x v="0"/>
    <x v="0"/>
    <s v="DK1_Rural"/>
    <x v="7"/>
    <s v="GNR_BO_WOODCHI_E-114"/>
    <x v="0"/>
    <x v="11"/>
    <n v="21"/>
    <n v="7665"/>
    <n v="27594"/>
  </r>
  <r>
    <x v="0"/>
    <x v="0"/>
    <x v="0"/>
    <x v="0"/>
    <x v="0"/>
    <s v="DK1_Rural"/>
    <x v="7"/>
    <s v="GNR_BO_WOODCHI_E-114"/>
    <x v="0"/>
    <x v="12"/>
    <n v="21"/>
    <n v="7665"/>
    <n v="27594"/>
  </r>
  <r>
    <x v="0"/>
    <x v="0"/>
    <x v="0"/>
    <x v="0"/>
    <x v="0"/>
    <s v="DK1_Rural"/>
    <x v="7"/>
    <s v="GNR_BO_WOODCHI_E-114"/>
    <x v="0"/>
    <x v="13"/>
    <n v="21"/>
    <n v="7665"/>
    <n v="27594"/>
  </r>
  <r>
    <x v="0"/>
    <x v="0"/>
    <x v="0"/>
    <x v="0"/>
    <x v="0"/>
    <s v="DK1_Rural"/>
    <x v="7"/>
    <s v="GNR_BO_WOODCHI_E-114"/>
    <x v="0"/>
    <x v="0"/>
    <n v="21"/>
    <n v="7665"/>
    <n v="27594"/>
  </r>
  <r>
    <x v="0"/>
    <x v="0"/>
    <x v="0"/>
    <x v="0"/>
    <x v="0"/>
    <s v="DK1_Rural"/>
    <x v="7"/>
    <s v="GNR_BO_WOODCHI_E-114"/>
    <x v="0"/>
    <x v="14"/>
    <n v="21"/>
    <n v="7665"/>
    <n v="27594"/>
  </r>
  <r>
    <x v="0"/>
    <x v="0"/>
    <x v="0"/>
    <x v="0"/>
    <x v="0"/>
    <s v="DK1_Rural"/>
    <x v="7"/>
    <s v="GNR_BO_WOODCHI_E-114"/>
    <x v="0"/>
    <x v="1"/>
    <n v="21"/>
    <n v="7665"/>
    <n v="27594"/>
  </r>
  <r>
    <x v="0"/>
    <x v="0"/>
    <x v="0"/>
    <x v="0"/>
    <x v="0"/>
    <s v="DK1_Rural"/>
    <x v="7"/>
    <s v="GNR_BO_WOODCHI_E-114"/>
    <x v="0"/>
    <x v="23"/>
    <n v="21"/>
    <n v="7665"/>
    <n v="27594"/>
  </r>
  <r>
    <x v="0"/>
    <x v="0"/>
    <x v="0"/>
    <x v="0"/>
    <x v="0"/>
    <s v="DK1_Rural"/>
    <x v="7"/>
    <s v="GNR_BO_WOODCHI_E-114"/>
    <x v="0"/>
    <x v="2"/>
    <n v="21"/>
    <n v="7665"/>
    <n v="27594"/>
  </r>
  <r>
    <x v="0"/>
    <x v="0"/>
    <x v="0"/>
    <x v="0"/>
    <x v="0"/>
    <s v="DK1_Rural"/>
    <x v="7"/>
    <s v="GNR_BO_WOODCHI_E-114"/>
    <x v="0"/>
    <x v="3"/>
    <n v="21"/>
    <n v="7665"/>
    <n v="27594"/>
  </r>
  <r>
    <x v="0"/>
    <x v="0"/>
    <x v="0"/>
    <x v="0"/>
    <x v="0"/>
    <s v="DK1_Rural"/>
    <x v="7"/>
    <s v="GNR_BO_WOODCHI_E-114"/>
    <x v="0"/>
    <x v="4"/>
    <n v="21"/>
    <n v="7665"/>
    <n v="27594"/>
  </r>
  <r>
    <x v="0"/>
    <x v="0"/>
    <x v="0"/>
    <x v="0"/>
    <x v="0"/>
    <s v="DK1_Rural"/>
    <x v="7"/>
    <s v="GNR_BO_WOODCHI_E-114"/>
    <x v="0"/>
    <x v="5"/>
    <n v="21"/>
    <n v="7665"/>
    <n v="27594"/>
  </r>
  <r>
    <x v="0"/>
    <x v="0"/>
    <x v="0"/>
    <x v="0"/>
    <x v="0"/>
    <s v="DK1_Rural"/>
    <x v="7"/>
    <s v="GNR_BO_WOODCHI_E-114"/>
    <x v="0"/>
    <x v="15"/>
    <n v="21"/>
    <n v="7665"/>
    <n v="27594"/>
  </r>
  <r>
    <x v="0"/>
    <x v="0"/>
    <x v="0"/>
    <x v="0"/>
    <x v="0"/>
    <s v="DK1_Rural"/>
    <x v="7"/>
    <s v="GNR_BO_WOODCHI_E-114"/>
    <x v="0"/>
    <x v="6"/>
    <n v="21"/>
    <n v="7665"/>
    <n v="27594"/>
  </r>
  <r>
    <x v="0"/>
    <x v="0"/>
    <x v="0"/>
    <x v="0"/>
    <x v="0"/>
    <s v="DK1_Rural"/>
    <x v="7"/>
    <s v="GNR_BO_WOODCHI_E-114"/>
    <x v="0"/>
    <x v="7"/>
    <n v="21"/>
    <n v="7665"/>
    <n v="27594"/>
  </r>
  <r>
    <x v="0"/>
    <x v="0"/>
    <x v="0"/>
    <x v="0"/>
    <x v="0"/>
    <s v="DK1_Rural"/>
    <x v="7"/>
    <s v="GNR_BO_WOODCHI_E-114"/>
    <x v="0"/>
    <x v="8"/>
    <n v="21"/>
    <n v="7665"/>
    <n v="27594"/>
  </r>
  <r>
    <x v="0"/>
    <x v="0"/>
    <x v="0"/>
    <x v="0"/>
    <x v="0"/>
    <s v="DK1_Rural"/>
    <x v="7"/>
    <s v="GNR_BO_WOODCHI_E-114"/>
    <x v="0"/>
    <x v="16"/>
    <n v="21"/>
    <n v="7665"/>
    <n v="27594"/>
  </r>
  <r>
    <x v="0"/>
    <x v="0"/>
    <x v="0"/>
    <x v="0"/>
    <x v="0"/>
    <s v="DK1_Rural"/>
    <x v="7"/>
    <s v="GNR_BO_WOODCHI_E-114"/>
    <x v="0"/>
    <x v="17"/>
    <n v="21"/>
    <n v="7665"/>
    <n v="27594"/>
  </r>
  <r>
    <x v="0"/>
    <x v="0"/>
    <x v="0"/>
    <x v="0"/>
    <x v="0"/>
    <s v="DK1_Rural"/>
    <x v="7"/>
    <s v="GNR_BO_WOODCHI_E-114"/>
    <x v="0"/>
    <x v="18"/>
    <n v="21"/>
    <n v="7665"/>
    <n v="27594"/>
  </r>
  <r>
    <x v="0"/>
    <x v="0"/>
    <x v="0"/>
    <x v="0"/>
    <x v="0"/>
    <s v="DK1_Rural"/>
    <x v="7"/>
    <s v="GNR_BO_WOODCHI_E-114"/>
    <x v="0"/>
    <x v="19"/>
    <n v="21"/>
    <n v="7665"/>
    <n v="27594"/>
  </r>
  <r>
    <x v="0"/>
    <x v="0"/>
    <x v="0"/>
    <x v="0"/>
    <x v="0"/>
    <s v="DK1_Rural"/>
    <x v="7"/>
    <s v="GNR_BO_WOODCHI_E-114"/>
    <x v="0"/>
    <x v="20"/>
    <n v="21"/>
    <n v="7665"/>
    <n v="27594"/>
  </r>
  <r>
    <x v="0"/>
    <x v="0"/>
    <x v="0"/>
    <x v="0"/>
    <x v="0"/>
    <s v="DK1_Rural"/>
    <x v="7"/>
    <s v="GNR_BO_WOODCHI_E-114"/>
    <x v="0"/>
    <x v="21"/>
    <n v="21"/>
    <n v="7665"/>
    <n v="27594"/>
  </r>
  <r>
    <x v="0"/>
    <x v="0"/>
    <x v="0"/>
    <x v="0"/>
    <x v="0"/>
    <s v="DK1_Rural"/>
    <x v="7"/>
    <s v="GNR_BO_WOODCHI_E-114"/>
    <x v="0"/>
    <x v="22"/>
    <n v="21"/>
    <n v="7665"/>
    <n v="27594"/>
  </r>
  <r>
    <x v="0"/>
    <x v="0"/>
    <x v="0"/>
    <x v="0"/>
    <x v="0"/>
    <s v="DK1_Rural"/>
    <x v="7"/>
    <s v="GNR_BO_WOODCHI_E-117"/>
    <x v="0"/>
    <x v="9"/>
    <n v="20"/>
    <n v="7300"/>
    <n v="26280"/>
  </r>
  <r>
    <x v="0"/>
    <x v="0"/>
    <x v="0"/>
    <x v="0"/>
    <x v="0"/>
    <s v="DK1_Rural"/>
    <x v="7"/>
    <s v="GNR_BO_WOODCHI_E-117"/>
    <x v="0"/>
    <x v="10"/>
    <n v="20"/>
    <n v="7300"/>
    <n v="26280"/>
  </r>
  <r>
    <x v="0"/>
    <x v="0"/>
    <x v="0"/>
    <x v="0"/>
    <x v="0"/>
    <s v="DK1_Rural"/>
    <x v="7"/>
    <s v="GNR_BO_WOODCHI_E-117"/>
    <x v="0"/>
    <x v="11"/>
    <n v="20"/>
    <n v="7300"/>
    <n v="26280"/>
  </r>
  <r>
    <x v="0"/>
    <x v="0"/>
    <x v="0"/>
    <x v="0"/>
    <x v="0"/>
    <s v="DK1_Rural"/>
    <x v="7"/>
    <s v="GNR_BO_WOODCHI_E-117"/>
    <x v="0"/>
    <x v="12"/>
    <n v="20"/>
    <n v="7300"/>
    <n v="26280"/>
  </r>
  <r>
    <x v="0"/>
    <x v="0"/>
    <x v="0"/>
    <x v="0"/>
    <x v="0"/>
    <s v="DK1_Rural"/>
    <x v="7"/>
    <s v="GNR_BO_WOODCHI_E-117"/>
    <x v="0"/>
    <x v="13"/>
    <n v="20"/>
    <n v="7300"/>
    <n v="26280"/>
  </r>
  <r>
    <x v="0"/>
    <x v="0"/>
    <x v="0"/>
    <x v="0"/>
    <x v="0"/>
    <s v="DK1_Rural"/>
    <x v="7"/>
    <s v="GNR_BO_WOODCHI_E-117"/>
    <x v="0"/>
    <x v="0"/>
    <n v="20"/>
    <n v="7300"/>
    <n v="26280"/>
  </r>
  <r>
    <x v="0"/>
    <x v="0"/>
    <x v="0"/>
    <x v="0"/>
    <x v="0"/>
    <s v="DK1_Rural"/>
    <x v="7"/>
    <s v="GNR_BO_WOODCHI_E-117"/>
    <x v="0"/>
    <x v="14"/>
    <n v="20"/>
    <n v="7300"/>
    <n v="26280"/>
  </r>
  <r>
    <x v="0"/>
    <x v="0"/>
    <x v="0"/>
    <x v="0"/>
    <x v="0"/>
    <s v="DK1_Rural"/>
    <x v="7"/>
    <s v="GNR_BO_WOODCHI_E-117"/>
    <x v="0"/>
    <x v="1"/>
    <n v="20"/>
    <n v="7300"/>
    <n v="26280"/>
  </r>
  <r>
    <x v="0"/>
    <x v="0"/>
    <x v="0"/>
    <x v="0"/>
    <x v="0"/>
    <s v="DK1_Rural"/>
    <x v="7"/>
    <s v="GNR_BO_WOODCHI_E-117"/>
    <x v="0"/>
    <x v="23"/>
    <n v="20"/>
    <n v="7300"/>
    <n v="26280"/>
  </r>
  <r>
    <x v="0"/>
    <x v="0"/>
    <x v="0"/>
    <x v="0"/>
    <x v="0"/>
    <s v="DK1_Rural"/>
    <x v="7"/>
    <s v="GNR_BO_WOODCHI_E-117"/>
    <x v="0"/>
    <x v="2"/>
    <n v="20"/>
    <n v="7300"/>
    <n v="26280"/>
  </r>
  <r>
    <x v="0"/>
    <x v="0"/>
    <x v="0"/>
    <x v="0"/>
    <x v="0"/>
    <s v="DK1_Rural"/>
    <x v="7"/>
    <s v="GNR_BO_WOODCHI_E-117"/>
    <x v="0"/>
    <x v="3"/>
    <n v="20"/>
    <n v="7300"/>
    <n v="26280"/>
  </r>
  <r>
    <x v="0"/>
    <x v="0"/>
    <x v="0"/>
    <x v="0"/>
    <x v="0"/>
    <s v="DK1_Rural"/>
    <x v="7"/>
    <s v="GNR_BO_WOODCHI_E-117"/>
    <x v="0"/>
    <x v="4"/>
    <n v="20"/>
    <n v="7300"/>
    <n v="26280"/>
  </r>
  <r>
    <x v="0"/>
    <x v="0"/>
    <x v="0"/>
    <x v="0"/>
    <x v="0"/>
    <s v="DK1_Rural"/>
    <x v="7"/>
    <s v="GNR_BO_WOODCHI_E-117"/>
    <x v="0"/>
    <x v="5"/>
    <n v="20"/>
    <n v="7300"/>
    <n v="26280"/>
  </r>
  <r>
    <x v="0"/>
    <x v="0"/>
    <x v="0"/>
    <x v="0"/>
    <x v="0"/>
    <s v="DK1_Rural"/>
    <x v="7"/>
    <s v="GNR_BO_WOODCHI_E-117"/>
    <x v="0"/>
    <x v="15"/>
    <n v="20"/>
    <n v="7300"/>
    <n v="26280"/>
  </r>
  <r>
    <x v="0"/>
    <x v="0"/>
    <x v="0"/>
    <x v="0"/>
    <x v="0"/>
    <s v="DK1_Rural"/>
    <x v="7"/>
    <s v="GNR_BO_WOODCHI_E-117"/>
    <x v="0"/>
    <x v="6"/>
    <n v="20"/>
    <n v="7300"/>
    <n v="26280"/>
  </r>
  <r>
    <x v="0"/>
    <x v="0"/>
    <x v="0"/>
    <x v="0"/>
    <x v="0"/>
    <s v="DK1_Rural"/>
    <x v="7"/>
    <s v="GNR_BO_WOODCHI_E-117"/>
    <x v="0"/>
    <x v="7"/>
    <n v="20"/>
    <n v="7300"/>
    <n v="26280"/>
  </r>
  <r>
    <x v="0"/>
    <x v="0"/>
    <x v="0"/>
    <x v="0"/>
    <x v="0"/>
    <s v="DK1_Rural"/>
    <x v="7"/>
    <s v="GNR_BO_WOODCHI_E-117"/>
    <x v="0"/>
    <x v="8"/>
    <n v="20"/>
    <n v="7300"/>
    <n v="26280"/>
  </r>
  <r>
    <x v="0"/>
    <x v="0"/>
    <x v="0"/>
    <x v="0"/>
    <x v="0"/>
    <s v="DK1_Rural"/>
    <x v="7"/>
    <s v="GNR_BO_WOODCHI_E-117"/>
    <x v="0"/>
    <x v="16"/>
    <n v="20"/>
    <n v="7300"/>
    <n v="26280"/>
  </r>
  <r>
    <x v="0"/>
    <x v="0"/>
    <x v="0"/>
    <x v="0"/>
    <x v="0"/>
    <s v="DK1_Rural"/>
    <x v="7"/>
    <s v="GNR_BO_WOODCHI_E-117"/>
    <x v="0"/>
    <x v="17"/>
    <n v="20"/>
    <n v="7300"/>
    <n v="26280"/>
  </r>
  <r>
    <x v="0"/>
    <x v="0"/>
    <x v="0"/>
    <x v="0"/>
    <x v="0"/>
    <s v="DK1_Rural"/>
    <x v="7"/>
    <s v="GNR_BO_WOODCHI_E-117"/>
    <x v="0"/>
    <x v="18"/>
    <n v="20"/>
    <n v="7300"/>
    <n v="26280"/>
  </r>
  <r>
    <x v="0"/>
    <x v="0"/>
    <x v="0"/>
    <x v="0"/>
    <x v="0"/>
    <s v="DK1_Rural"/>
    <x v="7"/>
    <s v="GNR_BO_WOODCHI_E-117"/>
    <x v="0"/>
    <x v="19"/>
    <n v="20"/>
    <n v="7300"/>
    <n v="26280"/>
  </r>
  <r>
    <x v="0"/>
    <x v="0"/>
    <x v="0"/>
    <x v="0"/>
    <x v="0"/>
    <s v="DK1_Rural"/>
    <x v="7"/>
    <s v="GNR_BO_WOODCHI_E-117"/>
    <x v="0"/>
    <x v="20"/>
    <n v="20"/>
    <n v="7300"/>
    <n v="26280"/>
  </r>
  <r>
    <x v="0"/>
    <x v="0"/>
    <x v="0"/>
    <x v="0"/>
    <x v="0"/>
    <s v="DK1_Rural"/>
    <x v="7"/>
    <s v="GNR_BO_WOODCHI_E-117"/>
    <x v="0"/>
    <x v="21"/>
    <n v="20"/>
    <n v="7300"/>
    <n v="26280"/>
  </r>
  <r>
    <x v="0"/>
    <x v="0"/>
    <x v="0"/>
    <x v="0"/>
    <x v="0"/>
    <s v="DK1_Rural"/>
    <x v="7"/>
    <s v="GNR_BO_WOODCHI_E-117"/>
    <x v="0"/>
    <x v="22"/>
    <n v="20"/>
    <n v="7300"/>
    <n v="26280"/>
  </r>
  <r>
    <x v="0"/>
    <x v="0"/>
    <x v="0"/>
    <x v="0"/>
    <x v="0"/>
    <s v="DK1_Rural"/>
    <x v="7"/>
    <s v="GNR_BO_WOODCHI_E-120"/>
    <x v="0"/>
    <x v="9"/>
    <n v="24"/>
    <n v="8760"/>
    <n v="31536"/>
  </r>
  <r>
    <x v="0"/>
    <x v="0"/>
    <x v="0"/>
    <x v="0"/>
    <x v="0"/>
    <s v="DK1_Rural"/>
    <x v="7"/>
    <s v="GNR_BO_WOODCHI_E-120"/>
    <x v="0"/>
    <x v="10"/>
    <n v="24"/>
    <n v="8760"/>
    <n v="31536"/>
  </r>
  <r>
    <x v="0"/>
    <x v="0"/>
    <x v="0"/>
    <x v="0"/>
    <x v="0"/>
    <s v="DK1_Rural"/>
    <x v="7"/>
    <s v="GNR_BO_WOODCHI_E-120"/>
    <x v="0"/>
    <x v="11"/>
    <n v="24"/>
    <n v="8760"/>
    <n v="31536"/>
  </r>
  <r>
    <x v="0"/>
    <x v="0"/>
    <x v="0"/>
    <x v="0"/>
    <x v="0"/>
    <s v="DK1_Rural"/>
    <x v="7"/>
    <s v="GNR_BO_WOODCHI_E-120"/>
    <x v="0"/>
    <x v="12"/>
    <n v="24"/>
    <n v="8760"/>
    <n v="31536"/>
  </r>
  <r>
    <x v="0"/>
    <x v="0"/>
    <x v="0"/>
    <x v="0"/>
    <x v="0"/>
    <s v="DK1_Rural"/>
    <x v="7"/>
    <s v="GNR_BO_WOODCHI_E-120"/>
    <x v="0"/>
    <x v="13"/>
    <n v="24"/>
    <n v="8760"/>
    <n v="31536"/>
  </r>
  <r>
    <x v="0"/>
    <x v="0"/>
    <x v="0"/>
    <x v="0"/>
    <x v="0"/>
    <s v="DK1_Rural"/>
    <x v="7"/>
    <s v="GNR_BO_WOODCHI_E-120"/>
    <x v="0"/>
    <x v="0"/>
    <n v="24"/>
    <n v="8760"/>
    <n v="31536"/>
  </r>
  <r>
    <x v="0"/>
    <x v="0"/>
    <x v="0"/>
    <x v="0"/>
    <x v="0"/>
    <s v="DK1_Rural"/>
    <x v="7"/>
    <s v="GNR_BO_WOODCHI_E-120"/>
    <x v="0"/>
    <x v="14"/>
    <n v="24"/>
    <n v="8760"/>
    <n v="31536"/>
  </r>
  <r>
    <x v="0"/>
    <x v="0"/>
    <x v="0"/>
    <x v="0"/>
    <x v="0"/>
    <s v="DK1_Rural"/>
    <x v="7"/>
    <s v="GNR_BO_WOODCHI_E-120"/>
    <x v="0"/>
    <x v="1"/>
    <n v="24"/>
    <n v="8760"/>
    <n v="31536"/>
  </r>
  <r>
    <x v="0"/>
    <x v="0"/>
    <x v="0"/>
    <x v="0"/>
    <x v="0"/>
    <s v="DK1_Rural"/>
    <x v="7"/>
    <s v="GNR_BO_WOODCHI_E-120"/>
    <x v="0"/>
    <x v="23"/>
    <n v="24"/>
    <n v="8760"/>
    <n v="31536"/>
  </r>
  <r>
    <x v="0"/>
    <x v="0"/>
    <x v="0"/>
    <x v="0"/>
    <x v="0"/>
    <s v="DK1_Rural"/>
    <x v="7"/>
    <s v="GNR_BO_WOODCHI_E-120"/>
    <x v="0"/>
    <x v="2"/>
    <n v="24"/>
    <n v="8760"/>
    <n v="31536"/>
  </r>
  <r>
    <x v="0"/>
    <x v="0"/>
    <x v="0"/>
    <x v="0"/>
    <x v="0"/>
    <s v="DK1_Rural"/>
    <x v="7"/>
    <s v="GNR_BO_WOODCHI_E-120"/>
    <x v="0"/>
    <x v="3"/>
    <n v="24"/>
    <n v="8760"/>
    <n v="31536"/>
  </r>
  <r>
    <x v="0"/>
    <x v="0"/>
    <x v="0"/>
    <x v="0"/>
    <x v="0"/>
    <s v="DK1_Rural"/>
    <x v="7"/>
    <s v="GNR_BO_WOODCHI_E-120"/>
    <x v="0"/>
    <x v="4"/>
    <n v="24"/>
    <n v="8760"/>
    <n v="31536"/>
  </r>
  <r>
    <x v="0"/>
    <x v="0"/>
    <x v="0"/>
    <x v="0"/>
    <x v="0"/>
    <s v="DK1_Rural"/>
    <x v="7"/>
    <s v="GNR_BO_WOODCHI_E-120"/>
    <x v="0"/>
    <x v="5"/>
    <n v="24"/>
    <n v="8760"/>
    <n v="31536"/>
  </r>
  <r>
    <x v="0"/>
    <x v="0"/>
    <x v="0"/>
    <x v="0"/>
    <x v="0"/>
    <s v="DK1_Rural"/>
    <x v="7"/>
    <s v="GNR_BO_WOODCHI_E-120"/>
    <x v="0"/>
    <x v="15"/>
    <n v="24"/>
    <n v="8760"/>
    <n v="31536"/>
  </r>
  <r>
    <x v="0"/>
    <x v="0"/>
    <x v="0"/>
    <x v="0"/>
    <x v="0"/>
    <s v="DK1_Rural"/>
    <x v="7"/>
    <s v="GNR_BO_WOODCHI_E-120"/>
    <x v="0"/>
    <x v="6"/>
    <n v="24"/>
    <n v="8760"/>
    <n v="31536"/>
  </r>
  <r>
    <x v="0"/>
    <x v="0"/>
    <x v="0"/>
    <x v="0"/>
    <x v="0"/>
    <s v="DK1_Rural"/>
    <x v="7"/>
    <s v="GNR_BO_WOODCHI_E-120"/>
    <x v="0"/>
    <x v="7"/>
    <n v="24"/>
    <n v="8760"/>
    <n v="31536"/>
  </r>
  <r>
    <x v="0"/>
    <x v="0"/>
    <x v="0"/>
    <x v="0"/>
    <x v="0"/>
    <s v="DK1_Rural"/>
    <x v="7"/>
    <s v="GNR_BO_WOODCHI_E-120"/>
    <x v="0"/>
    <x v="8"/>
    <n v="24"/>
    <n v="8760"/>
    <n v="31536"/>
  </r>
  <r>
    <x v="0"/>
    <x v="0"/>
    <x v="0"/>
    <x v="0"/>
    <x v="0"/>
    <s v="DK1_Rural"/>
    <x v="7"/>
    <s v="GNR_BO_WOODCHI_E-120"/>
    <x v="0"/>
    <x v="16"/>
    <n v="24"/>
    <n v="8760"/>
    <n v="31536"/>
  </r>
  <r>
    <x v="0"/>
    <x v="0"/>
    <x v="0"/>
    <x v="0"/>
    <x v="0"/>
    <s v="DK1_Rural"/>
    <x v="7"/>
    <s v="GNR_BO_WOODCHI_E-120"/>
    <x v="0"/>
    <x v="17"/>
    <n v="24"/>
    <n v="8760"/>
    <n v="31536"/>
  </r>
  <r>
    <x v="0"/>
    <x v="0"/>
    <x v="0"/>
    <x v="0"/>
    <x v="0"/>
    <s v="DK1_Rural"/>
    <x v="7"/>
    <s v="GNR_BO_WOODCHI_E-120"/>
    <x v="0"/>
    <x v="18"/>
    <n v="24"/>
    <n v="8760"/>
    <n v="31536"/>
  </r>
  <r>
    <x v="0"/>
    <x v="0"/>
    <x v="0"/>
    <x v="0"/>
    <x v="0"/>
    <s v="DK1_Rural"/>
    <x v="7"/>
    <s v="GNR_BO_WOODCHI_E-120"/>
    <x v="0"/>
    <x v="19"/>
    <n v="24"/>
    <n v="8760"/>
    <n v="31536"/>
  </r>
  <r>
    <x v="0"/>
    <x v="0"/>
    <x v="0"/>
    <x v="0"/>
    <x v="0"/>
    <s v="DK1_Rural"/>
    <x v="7"/>
    <s v="GNR_BO_WOODCHI_E-120"/>
    <x v="0"/>
    <x v="20"/>
    <n v="24"/>
    <n v="8760"/>
    <n v="31536"/>
  </r>
  <r>
    <x v="0"/>
    <x v="0"/>
    <x v="0"/>
    <x v="0"/>
    <x v="0"/>
    <s v="DK1_Rural"/>
    <x v="7"/>
    <s v="GNR_BO_WOODCHI_E-120"/>
    <x v="0"/>
    <x v="21"/>
    <n v="24"/>
    <n v="8760"/>
    <n v="31536"/>
  </r>
  <r>
    <x v="0"/>
    <x v="0"/>
    <x v="0"/>
    <x v="0"/>
    <x v="0"/>
    <s v="DK1_Rural"/>
    <x v="7"/>
    <s v="GNR_BO_WOODCHI_E-120"/>
    <x v="0"/>
    <x v="22"/>
    <n v="24"/>
    <n v="8760"/>
    <n v="31536"/>
  </r>
  <r>
    <x v="0"/>
    <x v="0"/>
    <x v="0"/>
    <x v="0"/>
    <x v="0"/>
    <s v="DK1_Rural"/>
    <x v="7"/>
    <s v="GNR_ST_WOODCHI_BP_E-27"/>
    <x v="0"/>
    <x v="14"/>
    <n v="3.63429977039806"/>
    <n v="1326.51941619529"/>
    <n v="4775.4698983030403"/>
  </r>
  <r>
    <x v="0"/>
    <x v="0"/>
    <x v="0"/>
    <x v="0"/>
    <x v="0"/>
    <s v="DK1_Rural"/>
    <x v="7"/>
    <s v="GNR_ST_WOODCHI_BP_E-27"/>
    <x v="0"/>
    <x v="1"/>
    <n v="13.823529411764699"/>
    <n v="5045.5882352941198"/>
    <n v="18164.1176470588"/>
  </r>
  <r>
    <x v="0"/>
    <x v="0"/>
    <x v="0"/>
    <x v="0"/>
    <x v="0"/>
    <s v="DK1_Rural"/>
    <x v="7"/>
    <s v="GNR_ST_WOODCHI_BP_E-27"/>
    <x v="0"/>
    <x v="23"/>
    <n v="13.823529411764699"/>
    <n v="5045.5882352941198"/>
    <n v="18164.1176470588"/>
  </r>
  <r>
    <x v="0"/>
    <x v="0"/>
    <x v="0"/>
    <x v="0"/>
    <x v="0"/>
    <s v="DK1_Rural"/>
    <x v="7"/>
    <s v="GNR_ST_WOODCHI_BP_E-27"/>
    <x v="0"/>
    <x v="2"/>
    <n v="13.823529411764699"/>
    <n v="5045.5882352941198"/>
    <n v="18164.1176470588"/>
  </r>
  <r>
    <x v="0"/>
    <x v="0"/>
    <x v="0"/>
    <x v="0"/>
    <x v="0"/>
    <s v="DK1_Rural"/>
    <x v="7"/>
    <s v="GNR_ST_WOODCHI_BP_E-27"/>
    <x v="0"/>
    <x v="3"/>
    <n v="13.823529411764699"/>
    <n v="5045.5882352941198"/>
    <n v="18164.1176470588"/>
  </r>
  <r>
    <x v="0"/>
    <x v="0"/>
    <x v="0"/>
    <x v="0"/>
    <x v="0"/>
    <s v="DK1_Rural"/>
    <x v="7"/>
    <s v="GNR_ST_WOODCHI_BP_E-27"/>
    <x v="0"/>
    <x v="4"/>
    <n v="13.823529411764699"/>
    <n v="5045.5882352941198"/>
    <n v="18164.1176470588"/>
  </r>
  <r>
    <x v="0"/>
    <x v="0"/>
    <x v="0"/>
    <x v="0"/>
    <x v="0"/>
    <s v="DK1_Rural"/>
    <x v="7"/>
    <s v="GNR_ST_WOODCHI_BP_E-27"/>
    <x v="0"/>
    <x v="5"/>
    <n v="13.823529411764699"/>
    <n v="5045.5882352941198"/>
    <n v="18164.1176470588"/>
  </r>
  <r>
    <x v="0"/>
    <x v="0"/>
    <x v="0"/>
    <x v="0"/>
    <x v="0"/>
    <s v="DK1_Rural"/>
    <x v="7"/>
    <s v="GNR_ST_WOODCHI_BP_E-27"/>
    <x v="0"/>
    <x v="15"/>
    <n v="13.823529411764699"/>
    <n v="5045.5882352941198"/>
    <n v="18164.1176470588"/>
  </r>
  <r>
    <x v="0"/>
    <x v="0"/>
    <x v="0"/>
    <x v="0"/>
    <x v="0"/>
    <s v="DK1_Rural"/>
    <x v="7"/>
    <s v="GNR_ST_WOODCHI_BP_E-27"/>
    <x v="0"/>
    <x v="6"/>
    <n v="13.823529411764699"/>
    <n v="5045.5882352941198"/>
    <n v="18164.1176470588"/>
  </r>
  <r>
    <x v="0"/>
    <x v="0"/>
    <x v="0"/>
    <x v="0"/>
    <x v="0"/>
    <s v="DK1_Rural"/>
    <x v="7"/>
    <s v="GNR_ST_WOODCHI_BP_E-27"/>
    <x v="0"/>
    <x v="7"/>
    <n v="13.823529411764699"/>
    <n v="5045.5882352941198"/>
    <n v="18164.1176470588"/>
  </r>
  <r>
    <x v="0"/>
    <x v="0"/>
    <x v="0"/>
    <x v="0"/>
    <x v="0"/>
    <s v="DK1_Rural"/>
    <x v="7"/>
    <s v="GNR_ST_WOODCHI_BP_E-27"/>
    <x v="0"/>
    <x v="8"/>
    <n v="13.823529411764699"/>
    <n v="5045.5882352941198"/>
    <n v="18164.1176470588"/>
  </r>
  <r>
    <x v="0"/>
    <x v="0"/>
    <x v="0"/>
    <x v="0"/>
    <x v="0"/>
    <s v="DK1_Rural"/>
    <x v="7"/>
    <s v="GNR_ST_WOODCHI_BP_E-27"/>
    <x v="0"/>
    <x v="16"/>
    <n v="13.823529411764699"/>
    <n v="5045.5882352941198"/>
    <n v="18164.1176470588"/>
  </r>
  <r>
    <x v="0"/>
    <x v="0"/>
    <x v="0"/>
    <x v="0"/>
    <x v="0"/>
    <s v="DK1_Rural"/>
    <x v="7"/>
    <s v="GNR_ST_WOODCHI_BP_E-27"/>
    <x v="0"/>
    <x v="17"/>
    <n v="13.823529411764699"/>
    <n v="5045.5882352941198"/>
    <n v="18164.1176470588"/>
  </r>
  <r>
    <x v="0"/>
    <x v="0"/>
    <x v="0"/>
    <x v="0"/>
    <x v="0"/>
    <s v="DK1_Rural"/>
    <x v="7"/>
    <s v="GNR_ST_WOODCHI_BP_E-27"/>
    <x v="0"/>
    <x v="18"/>
    <n v="13.823529411764699"/>
    <n v="5045.5882352941198"/>
    <n v="18164.1176470588"/>
  </r>
  <r>
    <x v="0"/>
    <x v="0"/>
    <x v="0"/>
    <x v="0"/>
    <x v="0"/>
    <s v="DK1_Rural"/>
    <x v="8"/>
    <s v="GNR_BO_WOODWST_E-100"/>
    <x v="0"/>
    <x v="9"/>
    <n v="30.75"/>
    <n v="11223.75"/>
    <n v="40405.5"/>
  </r>
  <r>
    <x v="0"/>
    <x v="0"/>
    <x v="0"/>
    <x v="0"/>
    <x v="0"/>
    <s v="DK1_Rural"/>
    <x v="8"/>
    <s v="GNR_BO_WOODWST_E-100"/>
    <x v="0"/>
    <x v="10"/>
    <n v="30.75"/>
    <n v="11223.75"/>
    <n v="40405.5"/>
  </r>
  <r>
    <x v="0"/>
    <x v="0"/>
    <x v="0"/>
    <x v="0"/>
    <x v="0"/>
    <s v="DK1_Rural"/>
    <x v="8"/>
    <s v="GNR_BO_WOODWST_E-100"/>
    <x v="0"/>
    <x v="11"/>
    <n v="30.75"/>
    <n v="11223.75"/>
    <n v="40405.5"/>
  </r>
  <r>
    <x v="0"/>
    <x v="0"/>
    <x v="0"/>
    <x v="0"/>
    <x v="0"/>
    <s v="DK1_Rural"/>
    <x v="8"/>
    <s v="GNR_BO_WOODWST_E-100"/>
    <x v="0"/>
    <x v="12"/>
    <n v="30.75"/>
    <n v="11223.75"/>
    <n v="40405.5"/>
  </r>
  <r>
    <x v="0"/>
    <x v="0"/>
    <x v="0"/>
    <x v="0"/>
    <x v="0"/>
    <s v="DK1_Rural"/>
    <x v="8"/>
    <s v="GNR_BO_WOODWST_E-100"/>
    <x v="0"/>
    <x v="13"/>
    <n v="30.75"/>
    <n v="11223.75"/>
    <n v="40405.5"/>
  </r>
  <r>
    <x v="0"/>
    <x v="0"/>
    <x v="0"/>
    <x v="0"/>
    <x v="0"/>
    <s v="DK1_Rural"/>
    <x v="8"/>
    <s v="GNR_BO_WOODWST_E-100"/>
    <x v="0"/>
    <x v="0"/>
    <n v="30.75"/>
    <n v="11223.75"/>
    <n v="40405.5"/>
  </r>
  <r>
    <x v="0"/>
    <x v="0"/>
    <x v="0"/>
    <x v="0"/>
    <x v="0"/>
    <s v="DK1_Rural"/>
    <x v="8"/>
    <s v="GNR_BO_WOODWST_E-100"/>
    <x v="0"/>
    <x v="14"/>
    <n v="30.75"/>
    <n v="11223.75"/>
    <n v="40405.5"/>
  </r>
  <r>
    <x v="0"/>
    <x v="0"/>
    <x v="0"/>
    <x v="0"/>
    <x v="0"/>
    <s v="DK1_Rural"/>
    <x v="8"/>
    <s v="GNR_BO_WOODWST_E-100"/>
    <x v="0"/>
    <x v="1"/>
    <n v="30.75"/>
    <n v="11223.75"/>
    <n v="40405.5"/>
  </r>
  <r>
    <x v="0"/>
    <x v="0"/>
    <x v="0"/>
    <x v="0"/>
    <x v="0"/>
    <s v="DK1_Rural"/>
    <x v="8"/>
    <s v="GNR_BO_WOODWST_E-100"/>
    <x v="0"/>
    <x v="23"/>
    <n v="30.75"/>
    <n v="11223.75"/>
    <n v="40405.5"/>
  </r>
  <r>
    <x v="0"/>
    <x v="0"/>
    <x v="0"/>
    <x v="0"/>
    <x v="0"/>
    <s v="DK1_Rural"/>
    <x v="8"/>
    <s v="GNR_BO_WOODWST_E-100"/>
    <x v="0"/>
    <x v="2"/>
    <n v="30.75"/>
    <n v="11223.75"/>
    <n v="40405.5"/>
  </r>
  <r>
    <x v="0"/>
    <x v="0"/>
    <x v="0"/>
    <x v="0"/>
    <x v="0"/>
    <s v="DK1_Rural"/>
    <x v="8"/>
    <s v="GNR_BO_WOODWST_E-100"/>
    <x v="0"/>
    <x v="3"/>
    <n v="30.75"/>
    <n v="11223.75"/>
    <n v="40405.5"/>
  </r>
  <r>
    <x v="0"/>
    <x v="0"/>
    <x v="0"/>
    <x v="0"/>
    <x v="0"/>
    <s v="DK1_Rural"/>
    <x v="8"/>
    <s v="GNR_BO_WOODWST_E-100"/>
    <x v="0"/>
    <x v="4"/>
    <n v="30.75"/>
    <n v="11223.75"/>
    <n v="40405.5"/>
  </r>
  <r>
    <x v="0"/>
    <x v="0"/>
    <x v="0"/>
    <x v="0"/>
    <x v="0"/>
    <s v="DK1_Rural"/>
    <x v="8"/>
    <s v="GNR_BO_WOODWST_E-100"/>
    <x v="0"/>
    <x v="5"/>
    <n v="30.75"/>
    <n v="11223.75"/>
    <n v="40405.5"/>
  </r>
  <r>
    <x v="0"/>
    <x v="0"/>
    <x v="0"/>
    <x v="0"/>
    <x v="0"/>
    <s v="DK1_Rural"/>
    <x v="8"/>
    <s v="GNR_BO_WOODWST_E-100"/>
    <x v="0"/>
    <x v="15"/>
    <n v="30.75"/>
    <n v="11223.75"/>
    <n v="40405.5"/>
  </r>
  <r>
    <x v="0"/>
    <x v="0"/>
    <x v="0"/>
    <x v="0"/>
    <x v="0"/>
    <s v="DK1_Rural"/>
    <x v="8"/>
    <s v="GNR_BO_WOODWST_E-100"/>
    <x v="0"/>
    <x v="6"/>
    <n v="30.75"/>
    <n v="11223.75"/>
    <n v="40405.5"/>
  </r>
  <r>
    <x v="0"/>
    <x v="0"/>
    <x v="0"/>
    <x v="0"/>
    <x v="0"/>
    <s v="DK1_Rural"/>
    <x v="8"/>
    <s v="GNR_BO_WOODWST_E-100"/>
    <x v="0"/>
    <x v="7"/>
    <n v="30.75"/>
    <n v="11223.75"/>
    <n v="40405.5"/>
  </r>
  <r>
    <x v="0"/>
    <x v="0"/>
    <x v="0"/>
    <x v="0"/>
    <x v="0"/>
    <s v="DK1_Rural"/>
    <x v="8"/>
    <s v="GNR_BO_WOODWST_E-100"/>
    <x v="0"/>
    <x v="8"/>
    <n v="30.75"/>
    <n v="11223.75"/>
    <n v="40405.5"/>
  </r>
  <r>
    <x v="0"/>
    <x v="0"/>
    <x v="0"/>
    <x v="0"/>
    <x v="0"/>
    <s v="DK1_Rural"/>
    <x v="8"/>
    <s v="GNR_BO_WOODWST_E-100"/>
    <x v="0"/>
    <x v="16"/>
    <n v="30.75"/>
    <n v="11223.75"/>
    <n v="40405.5"/>
  </r>
  <r>
    <x v="0"/>
    <x v="0"/>
    <x v="0"/>
    <x v="0"/>
    <x v="0"/>
    <s v="DK1_Rural"/>
    <x v="8"/>
    <s v="GNR_BO_WOODWST_E-100"/>
    <x v="0"/>
    <x v="17"/>
    <n v="30.75"/>
    <n v="11223.75"/>
    <n v="40405.5"/>
  </r>
  <r>
    <x v="0"/>
    <x v="0"/>
    <x v="0"/>
    <x v="0"/>
    <x v="0"/>
    <s v="DK1_Rural"/>
    <x v="8"/>
    <s v="GNR_BO_WOODWST_E-100"/>
    <x v="0"/>
    <x v="18"/>
    <n v="30.75"/>
    <n v="11223.75"/>
    <n v="40405.5"/>
  </r>
  <r>
    <x v="0"/>
    <x v="0"/>
    <x v="0"/>
    <x v="0"/>
    <x v="0"/>
    <s v="DK1_Rural"/>
    <x v="8"/>
    <s v="GNR_BO_WOODWST_E-100"/>
    <x v="0"/>
    <x v="19"/>
    <n v="30.75"/>
    <n v="11223.75"/>
    <n v="40405.5"/>
  </r>
  <r>
    <x v="0"/>
    <x v="0"/>
    <x v="0"/>
    <x v="0"/>
    <x v="0"/>
    <s v="DK1_Rural"/>
    <x v="8"/>
    <s v="GNR_BO_WOODWST_E-100"/>
    <x v="0"/>
    <x v="20"/>
    <n v="30.75"/>
    <n v="11223.75"/>
    <n v="40405.5"/>
  </r>
  <r>
    <x v="0"/>
    <x v="0"/>
    <x v="0"/>
    <x v="0"/>
    <x v="0"/>
    <s v="DK1_Rural"/>
    <x v="8"/>
    <s v="GNR_BO_WOODWST_E-100"/>
    <x v="0"/>
    <x v="21"/>
    <n v="30.75"/>
    <n v="11223.75"/>
    <n v="40405.5"/>
  </r>
  <r>
    <x v="0"/>
    <x v="0"/>
    <x v="0"/>
    <x v="0"/>
    <x v="0"/>
    <s v="DK1_Rural"/>
    <x v="8"/>
    <s v="GNR_BO_WOODWST_E-100"/>
    <x v="0"/>
    <x v="22"/>
    <n v="30.75"/>
    <n v="11223.75"/>
    <n v="40405.5"/>
  </r>
  <r>
    <x v="0"/>
    <x v="0"/>
    <x v="0"/>
    <x v="0"/>
    <x v="0"/>
    <s v="DK1_Rural"/>
    <x v="8"/>
    <s v="GNR_BO_WOODWST_E-113"/>
    <x v="0"/>
    <x v="9"/>
    <n v="4"/>
    <n v="1460"/>
    <n v="5256"/>
  </r>
  <r>
    <x v="0"/>
    <x v="0"/>
    <x v="0"/>
    <x v="0"/>
    <x v="0"/>
    <s v="DK1_Rural"/>
    <x v="8"/>
    <s v="GNR_BO_WOODWST_E-113"/>
    <x v="0"/>
    <x v="10"/>
    <n v="4"/>
    <n v="1460"/>
    <n v="5256"/>
  </r>
  <r>
    <x v="0"/>
    <x v="0"/>
    <x v="0"/>
    <x v="0"/>
    <x v="0"/>
    <s v="DK1_Rural"/>
    <x v="8"/>
    <s v="GNR_BO_WOODWST_E-113"/>
    <x v="0"/>
    <x v="11"/>
    <n v="4"/>
    <n v="1460"/>
    <n v="5256"/>
  </r>
  <r>
    <x v="0"/>
    <x v="0"/>
    <x v="0"/>
    <x v="0"/>
    <x v="0"/>
    <s v="DK1_Rural"/>
    <x v="8"/>
    <s v="GNR_BO_WOODWST_E-113"/>
    <x v="0"/>
    <x v="12"/>
    <n v="4"/>
    <n v="1460"/>
    <n v="5256"/>
  </r>
  <r>
    <x v="0"/>
    <x v="0"/>
    <x v="0"/>
    <x v="0"/>
    <x v="0"/>
    <s v="DK1_Rural"/>
    <x v="8"/>
    <s v="GNR_BO_WOODWST_E-113"/>
    <x v="0"/>
    <x v="13"/>
    <n v="4"/>
    <n v="1460"/>
    <n v="5256"/>
  </r>
  <r>
    <x v="0"/>
    <x v="0"/>
    <x v="0"/>
    <x v="0"/>
    <x v="0"/>
    <s v="DK1_Rural"/>
    <x v="8"/>
    <s v="GNR_BO_WOODWST_E-113"/>
    <x v="0"/>
    <x v="0"/>
    <n v="4"/>
    <n v="1460"/>
    <n v="5256"/>
  </r>
  <r>
    <x v="0"/>
    <x v="0"/>
    <x v="0"/>
    <x v="0"/>
    <x v="0"/>
    <s v="DK1_Rural"/>
    <x v="8"/>
    <s v="GNR_BO_WOODWST_E-113"/>
    <x v="0"/>
    <x v="14"/>
    <n v="4"/>
    <n v="1460"/>
    <n v="5256"/>
  </r>
  <r>
    <x v="0"/>
    <x v="0"/>
    <x v="0"/>
    <x v="0"/>
    <x v="0"/>
    <s v="DK1_Rural"/>
    <x v="8"/>
    <s v="GNR_BO_WOODWST_E-113"/>
    <x v="0"/>
    <x v="1"/>
    <n v="4"/>
    <n v="1460"/>
    <n v="5256"/>
  </r>
  <r>
    <x v="0"/>
    <x v="0"/>
    <x v="0"/>
    <x v="0"/>
    <x v="0"/>
    <s v="DK1_Rural"/>
    <x v="8"/>
    <s v="GNR_BO_WOODWST_E-113"/>
    <x v="0"/>
    <x v="23"/>
    <n v="4"/>
    <n v="1460"/>
    <n v="5256"/>
  </r>
  <r>
    <x v="0"/>
    <x v="0"/>
    <x v="0"/>
    <x v="0"/>
    <x v="0"/>
    <s v="DK1_Rural"/>
    <x v="8"/>
    <s v="GNR_BO_WOODWST_E-113"/>
    <x v="0"/>
    <x v="2"/>
    <n v="4"/>
    <n v="1460"/>
    <n v="5256"/>
  </r>
  <r>
    <x v="0"/>
    <x v="0"/>
    <x v="0"/>
    <x v="0"/>
    <x v="0"/>
    <s v="DK1_Rural"/>
    <x v="8"/>
    <s v="GNR_BO_WOODWST_E-113"/>
    <x v="0"/>
    <x v="3"/>
    <n v="4"/>
    <n v="1460"/>
    <n v="5256"/>
  </r>
  <r>
    <x v="0"/>
    <x v="0"/>
    <x v="0"/>
    <x v="0"/>
    <x v="0"/>
    <s v="DK1_Rural"/>
    <x v="8"/>
    <s v="GNR_BO_WOODWST_E-113"/>
    <x v="0"/>
    <x v="4"/>
    <n v="4"/>
    <n v="1460"/>
    <n v="5256"/>
  </r>
  <r>
    <x v="0"/>
    <x v="0"/>
    <x v="0"/>
    <x v="0"/>
    <x v="0"/>
    <s v="DK1_Rural"/>
    <x v="8"/>
    <s v="GNR_BO_WOODWST_E-113"/>
    <x v="0"/>
    <x v="5"/>
    <n v="4"/>
    <n v="1460"/>
    <n v="5256"/>
  </r>
  <r>
    <x v="0"/>
    <x v="0"/>
    <x v="0"/>
    <x v="0"/>
    <x v="0"/>
    <s v="DK1_Rural"/>
    <x v="8"/>
    <s v="GNR_BO_WOODWST_E-113"/>
    <x v="0"/>
    <x v="15"/>
    <n v="4"/>
    <n v="1460"/>
    <n v="5256"/>
  </r>
  <r>
    <x v="0"/>
    <x v="0"/>
    <x v="0"/>
    <x v="0"/>
    <x v="0"/>
    <s v="DK1_Rural"/>
    <x v="8"/>
    <s v="GNR_BO_WOODWST_E-113"/>
    <x v="0"/>
    <x v="6"/>
    <n v="4"/>
    <n v="1460"/>
    <n v="5256"/>
  </r>
  <r>
    <x v="0"/>
    <x v="0"/>
    <x v="0"/>
    <x v="0"/>
    <x v="0"/>
    <s v="DK1_Rural"/>
    <x v="8"/>
    <s v="GNR_BO_WOODWST_E-113"/>
    <x v="0"/>
    <x v="7"/>
    <n v="4"/>
    <n v="1460"/>
    <n v="5256"/>
  </r>
  <r>
    <x v="0"/>
    <x v="0"/>
    <x v="0"/>
    <x v="0"/>
    <x v="0"/>
    <s v="DK1_Rural"/>
    <x v="8"/>
    <s v="GNR_BO_WOODWST_E-113"/>
    <x v="0"/>
    <x v="8"/>
    <n v="4"/>
    <n v="1460"/>
    <n v="5256"/>
  </r>
  <r>
    <x v="0"/>
    <x v="0"/>
    <x v="0"/>
    <x v="0"/>
    <x v="0"/>
    <s v="DK1_Rural"/>
    <x v="8"/>
    <s v="GNR_BO_WOODWST_E-113"/>
    <x v="0"/>
    <x v="16"/>
    <n v="4"/>
    <n v="1460"/>
    <n v="5256"/>
  </r>
  <r>
    <x v="0"/>
    <x v="0"/>
    <x v="0"/>
    <x v="0"/>
    <x v="0"/>
    <s v="DK1_Rural"/>
    <x v="8"/>
    <s v="GNR_BO_WOODWST_E-113"/>
    <x v="0"/>
    <x v="17"/>
    <n v="4"/>
    <n v="1460"/>
    <n v="5256"/>
  </r>
  <r>
    <x v="0"/>
    <x v="0"/>
    <x v="0"/>
    <x v="0"/>
    <x v="0"/>
    <s v="DK1_Rural"/>
    <x v="8"/>
    <s v="GNR_BO_WOODWST_E-113"/>
    <x v="0"/>
    <x v="18"/>
    <n v="4"/>
    <n v="1460"/>
    <n v="5256"/>
  </r>
  <r>
    <x v="0"/>
    <x v="0"/>
    <x v="0"/>
    <x v="0"/>
    <x v="0"/>
    <s v="DK1_Rural"/>
    <x v="8"/>
    <s v="GNR_BO_WOODWST_E-113"/>
    <x v="0"/>
    <x v="19"/>
    <n v="4"/>
    <n v="1460"/>
    <n v="5256"/>
  </r>
  <r>
    <x v="0"/>
    <x v="0"/>
    <x v="0"/>
    <x v="0"/>
    <x v="0"/>
    <s v="DK1_Rural"/>
    <x v="8"/>
    <s v="GNR_BO_WOODWST_E-113"/>
    <x v="0"/>
    <x v="20"/>
    <n v="4"/>
    <n v="1460"/>
    <n v="5256"/>
  </r>
  <r>
    <x v="0"/>
    <x v="0"/>
    <x v="0"/>
    <x v="0"/>
    <x v="0"/>
    <s v="DK1_Rural"/>
    <x v="8"/>
    <s v="GNR_BO_WOODWST_E-113"/>
    <x v="0"/>
    <x v="21"/>
    <n v="4"/>
    <n v="1460"/>
    <n v="5256"/>
  </r>
  <r>
    <x v="0"/>
    <x v="0"/>
    <x v="0"/>
    <x v="0"/>
    <x v="0"/>
    <s v="DK1_Rural"/>
    <x v="8"/>
    <s v="GNR_BO_WOODWST_E-113"/>
    <x v="0"/>
    <x v="22"/>
    <n v="4"/>
    <n v="1460"/>
    <n v="5256"/>
  </r>
  <r>
    <x v="0"/>
    <x v="0"/>
    <x v="0"/>
    <x v="0"/>
    <x v="0"/>
    <s v="DK1_Rural"/>
    <x v="8"/>
    <s v="GNR_BO_WOODWST_E-84"/>
    <x v="0"/>
    <x v="9"/>
    <n v="5.81"/>
    <n v="2120.65"/>
    <n v="7634.34"/>
  </r>
  <r>
    <x v="0"/>
    <x v="0"/>
    <x v="0"/>
    <x v="0"/>
    <x v="0"/>
    <s v="DK1_Rural"/>
    <x v="8"/>
    <s v="GNR_BO_WOODWST_E-84"/>
    <x v="0"/>
    <x v="10"/>
    <n v="5.81"/>
    <n v="2120.65"/>
    <n v="7634.34"/>
  </r>
  <r>
    <x v="0"/>
    <x v="0"/>
    <x v="0"/>
    <x v="0"/>
    <x v="0"/>
    <s v="DK1_Rural"/>
    <x v="8"/>
    <s v="GNR_BO_WOODWST_E-84"/>
    <x v="0"/>
    <x v="11"/>
    <n v="5.81"/>
    <n v="2120.65"/>
    <n v="7634.34"/>
  </r>
  <r>
    <x v="0"/>
    <x v="0"/>
    <x v="0"/>
    <x v="0"/>
    <x v="0"/>
    <s v="DK1_Rural"/>
    <x v="8"/>
    <s v="GNR_BO_WOODWST_E-84"/>
    <x v="0"/>
    <x v="12"/>
    <n v="5.81"/>
    <n v="2120.65"/>
    <n v="7634.34"/>
  </r>
  <r>
    <x v="0"/>
    <x v="0"/>
    <x v="0"/>
    <x v="0"/>
    <x v="0"/>
    <s v="DK1_Rural"/>
    <x v="8"/>
    <s v="GNR_BO_WOODWST_E-84"/>
    <x v="0"/>
    <x v="13"/>
    <n v="5.81"/>
    <n v="2120.65"/>
    <n v="7634.34"/>
  </r>
  <r>
    <x v="0"/>
    <x v="0"/>
    <x v="0"/>
    <x v="0"/>
    <x v="0"/>
    <s v="DK1_Rural"/>
    <x v="8"/>
    <s v="GNR_BO_WOODWST_E-84"/>
    <x v="0"/>
    <x v="0"/>
    <n v="5.81"/>
    <n v="2120.65"/>
    <n v="7634.34"/>
  </r>
  <r>
    <x v="0"/>
    <x v="0"/>
    <x v="0"/>
    <x v="0"/>
    <x v="0"/>
    <s v="DK1_Rural"/>
    <x v="8"/>
    <s v="GNR_BO_WOODWST_E-84"/>
    <x v="0"/>
    <x v="14"/>
    <n v="5.81"/>
    <n v="2120.65"/>
    <n v="7634.34"/>
  </r>
  <r>
    <x v="0"/>
    <x v="0"/>
    <x v="0"/>
    <x v="0"/>
    <x v="0"/>
    <s v="DK1_Rural"/>
    <x v="8"/>
    <s v="GNR_BO_WOODWST_E-84"/>
    <x v="0"/>
    <x v="1"/>
    <n v="5.81"/>
    <n v="2120.65"/>
    <n v="7634.34"/>
  </r>
  <r>
    <x v="0"/>
    <x v="0"/>
    <x v="0"/>
    <x v="0"/>
    <x v="0"/>
    <s v="DK1_Rural"/>
    <x v="8"/>
    <s v="GNR_BO_WOODWST_E-84"/>
    <x v="0"/>
    <x v="23"/>
    <n v="5.81"/>
    <n v="2120.65"/>
    <n v="7634.34"/>
  </r>
  <r>
    <x v="0"/>
    <x v="0"/>
    <x v="0"/>
    <x v="0"/>
    <x v="0"/>
    <s v="DK1_Rural"/>
    <x v="8"/>
    <s v="GNR_BO_WOODWST_E-84"/>
    <x v="0"/>
    <x v="2"/>
    <n v="5.81"/>
    <n v="2120.65"/>
    <n v="7634.34"/>
  </r>
  <r>
    <x v="0"/>
    <x v="0"/>
    <x v="0"/>
    <x v="0"/>
    <x v="0"/>
    <s v="DK1_Rural"/>
    <x v="8"/>
    <s v="GNR_BO_WOODWST_E-84"/>
    <x v="0"/>
    <x v="3"/>
    <n v="5.81"/>
    <n v="2120.65"/>
    <n v="7634.34"/>
  </r>
  <r>
    <x v="0"/>
    <x v="0"/>
    <x v="0"/>
    <x v="0"/>
    <x v="0"/>
    <s v="DK1_Rural"/>
    <x v="8"/>
    <s v="GNR_BO_WOODWST_E-84"/>
    <x v="0"/>
    <x v="4"/>
    <n v="5.81"/>
    <n v="2120.65"/>
    <n v="7634.34"/>
  </r>
  <r>
    <x v="0"/>
    <x v="0"/>
    <x v="0"/>
    <x v="0"/>
    <x v="0"/>
    <s v="DK1_Rural"/>
    <x v="8"/>
    <s v="GNR_BO_WOODWST_E-84"/>
    <x v="0"/>
    <x v="5"/>
    <n v="5.81"/>
    <n v="2120.65"/>
    <n v="7634.34"/>
  </r>
  <r>
    <x v="0"/>
    <x v="0"/>
    <x v="0"/>
    <x v="0"/>
    <x v="0"/>
    <s v="DK1_Rural"/>
    <x v="8"/>
    <s v="GNR_BO_WOODWST_E-84"/>
    <x v="0"/>
    <x v="15"/>
    <n v="5.81"/>
    <n v="2120.65"/>
    <n v="7634.34"/>
  </r>
  <r>
    <x v="0"/>
    <x v="0"/>
    <x v="0"/>
    <x v="0"/>
    <x v="0"/>
    <s v="DK1_Rural"/>
    <x v="8"/>
    <s v="GNR_BO_WOODWST_E-84"/>
    <x v="0"/>
    <x v="6"/>
    <n v="5.81"/>
    <n v="2120.65"/>
    <n v="7634.34"/>
  </r>
  <r>
    <x v="0"/>
    <x v="0"/>
    <x v="0"/>
    <x v="0"/>
    <x v="0"/>
    <s v="DK1_Rural"/>
    <x v="8"/>
    <s v="GNR_BO_WOODWST_E-84"/>
    <x v="0"/>
    <x v="7"/>
    <n v="5.81"/>
    <n v="2120.65"/>
    <n v="7634.34"/>
  </r>
  <r>
    <x v="0"/>
    <x v="0"/>
    <x v="0"/>
    <x v="0"/>
    <x v="0"/>
    <s v="DK1_Rural"/>
    <x v="8"/>
    <s v="GNR_BO_WOODWST_E-84"/>
    <x v="0"/>
    <x v="8"/>
    <n v="5.81"/>
    <n v="2120.65"/>
    <n v="7634.34"/>
  </r>
  <r>
    <x v="0"/>
    <x v="0"/>
    <x v="0"/>
    <x v="0"/>
    <x v="0"/>
    <s v="DK1_Rural"/>
    <x v="8"/>
    <s v="GNR_BO_WOODWST_E-84"/>
    <x v="0"/>
    <x v="16"/>
    <n v="5.81"/>
    <n v="2120.65"/>
    <n v="7634.34"/>
  </r>
  <r>
    <x v="0"/>
    <x v="0"/>
    <x v="0"/>
    <x v="0"/>
    <x v="0"/>
    <s v="DK1_Rural"/>
    <x v="8"/>
    <s v="GNR_BO_WOODWST_E-84"/>
    <x v="0"/>
    <x v="17"/>
    <n v="5.81"/>
    <n v="2120.65"/>
    <n v="7634.34"/>
  </r>
  <r>
    <x v="0"/>
    <x v="0"/>
    <x v="0"/>
    <x v="0"/>
    <x v="0"/>
    <s v="DK1_Rural"/>
    <x v="8"/>
    <s v="GNR_BO_WOODWST_E-84"/>
    <x v="0"/>
    <x v="18"/>
    <n v="5.81"/>
    <n v="2120.65"/>
    <n v="7634.34"/>
  </r>
  <r>
    <x v="0"/>
    <x v="0"/>
    <x v="0"/>
    <x v="0"/>
    <x v="0"/>
    <s v="DK1_Rural"/>
    <x v="8"/>
    <s v="GNR_BO_WOODWST_E-84"/>
    <x v="0"/>
    <x v="19"/>
    <n v="5.81"/>
    <n v="2120.65"/>
    <n v="7634.34"/>
  </r>
  <r>
    <x v="0"/>
    <x v="0"/>
    <x v="0"/>
    <x v="0"/>
    <x v="0"/>
    <s v="DK1_Rural"/>
    <x v="8"/>
    <s v="GNR_BO_WOODWST_E-84"/>
    <x v="0"/>
    <x v="20"/>
    <n v="5.81"/>
    <n v="2120.65"/>
    <n v="7634.34"/>
  </r>
  <r>
    <x v="0"/>
    <x v="0"/>
    <x v="0"/>
    <x v="0"/>
    <x v="0"/>
    <s v="DK1_Rural"/>
    <x v="8"/>
    <s v="GNR_BO_WOODWST_E-84"/>
    <x v="0"/>
    <x v="21"/>
    <n v="5.81"/>
    <n v="2120.65"/>
    <n v="7634.34"/>
  </r>
  <r>
    <x v="0"/>
    <x v="0"/>
    <x v="0"/>
    <x v="0"/>
    <x v="0"/>
    <s v="DK1_Rural"/>
    <x v="8"/>
    <s v="GNR_BO_WOODWST_E-84"/>
    <x v="0"/>
    <x v="22"/>
    <n v="5.81"/>
    <n v="2120.65"/>
    <n v="7634.34"/>
  </r>
  <r>
    <x v="0"/>
    <x v="0"/>
    <x v="0"/>
    <x v="0"/>
    <x v="0"/>
    <s v="DK1_Rural"/>
    <x v="8"/>
    <s v="GNR_BO_WOODWST_E-86"/>
    <x v="0"/>
    <x v="9"/>
    <n v="3"/>
    <n v="1095"/>
    <n v="3942"/>
  </r>
  <r>
    <x v="0"/>
    <x v="0"/>
    <x v="0"/>
    <x v="0"/>
    <x v="0"/>
    <s v="DK1_Rural"/>
    <x v="8"/>
    <s v="GNR_BO_WOODWST_E-86"/>
    <x v="0"/>
    <x v="10"/>
    <n v="3"/>
    <n v="1095"/>
    <n v="3942"/>
  </r>
  <r>
    <x v="0"/>
    <x v="0"/>
    <x v="0"/>
    <x v="0"/>
    <x v="0"/>
    <s v="DK1_Rural"/>
    <x v="8"/>
    <s v="GNR_BO_WOODWST_E-86"/>
    <x v="0"/>
    <x v="11"/>
    <n v="3"/>
    <n v="1095"/>
    <n v="3942"/>
  </r>
  <r>
    <x v="0"/>
    <x v="0"/>
    <x v="0"/>
    <x v="0"/>
    <x v="0"/>
    <s v="DK1_Rural"/>
    <x v="8"/>
    <s v="GNR_BO_WOODWST_E-86"/>
    <x v="0"/>
    <x v="12"/>
    <n v="3"/>
    <n v="1095"/>
    <n v="3942"/>
  </r>
  <r>
    <x v="0"/>
    <x v="0"/>
    <x v="0"/>
    <x v="0"/>
    <x v="0"/>
    <s v="DK1_Rural"/>
    <x v="8"/>
    <s v="GNR_BO_WOODWST_E-86"/>
    <x v="0"/>
    <x v="13"/>
    <n v="3"/>
    <n v="1095"/>
    <n v="3942"/>
  </r>
  <r>
    <x v="0"/>
    <x v="0"/>
    <x v="0"/>
    <x v="0"/>
    <x v="0"/>
    <s v="DK1_Rural"/>
    <x v="8"/>
    <s v="GNR_BO_WOODWST_E-86"/>
    <x v="0"/>
    <x v="0"/>
    <n v="3"/>
    <n v="1095"/>
    <n v="3942"/>
  </r>
  <r>
    <x v="0"/>
    <x v="0"/>
    <x v="0"/>
    <x v="0"/>
    <x v="0"/>
    <s v="DK1_Rural"/>
    <x v="8"/>
    <s v="GNR_BO_WOODWST_E-86"/>
    <x v="0"/>
    <x v="14"/>
    <n v="3"/>
    <n v="1095"/>
    <n v="3942"/>
  </r>
  <r>
    <x v="0"/>
    <x v="0"/>
    <x v="0"/>
    <x v="0"/>
    <x v="0"/>
    <s v="DK1_Rural"/>
    <x v="8"/>
    <s v="GNR_BO_WOODWST_E-86"/>
    <x v="0"/>
    <x v="1"/>
    <n v="3"/>
    <n v="1095"/>
    <n v="3942"/>
  </r>
  <r>
    <x v="0"/>
    <x v="0"/>
    <x v="0"/>
    <x v="0"/>
    <x v="0"/>
    <s v="DK1_Rural"/>
    <x v="8"/>
    <s v="GNR_BO_WOODWST_E-86"/>
    <x v="0"/>
    <x v="23"/>
    <n v="3"/>
    <n v="1095"/>
    <n v="3942"/>
  </r>
  <r>
    <x v="0"/>
    <x v="0"/>
    <x v="0"/>
    <x v="0"/>
    <x v="0"/>
    <s v="DK1_Rural"/>
    <x v="8"/>
    <s v="GNR_BO_WOODWST_E-86"/>
    <x v="0"/>
    <x v="2"/>
    <n v="3"/>
    <n v="1095"/>
    <n v="3942"/>
  </r>
  <r>
    <x v="0"/>
    <x v="0"/>
    <x v="0"/>
    <x v="0"/>
    <x v="0"/>
    <s v="DK1_Rural"/>
    <x v="8"/>
    <s v="GNR_BO_WOODWST_E-86"/>
    <x v="0"/>
    <x v="3"/>
    <n v="3"/>
    <n v="1095"/>
    <n v="3942"/>
  </r>
  <r>
    <x v="0"/>
    <x v="0"/>
    <x v="0"/>
    <x v="0"/>
    <x v="0"/>
    <s v="DK1_Rural"/>
    <x v="8"/>
    <s v="GNR_BO_WOODWST_E-86"/>
    <x v="0"/>
    <x v="4"/>
    <n v="3"/>
    <n v="1095"/>
    <n v="3942"/>
  </r>
  <r>
    <x v="0"/>
    <x v="0"/>
    <x v="0"/>
    <x v="0"/>
    <x v="0"/>
    <s v="DK1_Rural"/>
    <x v="8"/>
    <s v="GNR_BO_WOODWST_E-86"/>
    <x v="0"/>
    <x v="5"/>
    <n v="3"/>
    <n v="1095"/>
    <n v="3942"/>
  </r>
  <r>
    <x v="0"/>
    <x v="0"/>
    <x v="0"/>
    <x v="0"/>
    <x v="0"/>
    <s v="DK1_Rural"/>
    <x v="8"/>
    <s v="GNR_BO_WOODWST_E-86"/>
    <x v="0"/>
    <x v="15"/>
    <n v="3"/>
    <n v="1095"/>
    <n v="3942"/>
  </r>
  <r>
    <x v="0"/>
    <x v="0"/>
    <x v="0"/>
    <x v="0"/>
    <x v="0"/>
    <s v="DK1_Rural"/>
    <x v="8"/>
    <s v="GNR_BO_WOODWST_E-86"/>
    <x v="0"/>
    <x v="6"/>
    <n v="3"/>
    <n v="1095"/>
    <n v="3942"/>
  </r>
  <r>
    <x v="0"/>
    <x v="0"/>
    <x v="0"/>
    <x v="0"/>
    <x v="0"/>
    <s v="DK1_Rural"/>
    <x v="8"/>
    <s v="GNR_BO_WOODWST_E-86"/>
    <x v="0"/>
    <x v="7"/>
    <n v="3"/>
    <n v="1095"/>
    <n v="3942"/>
  </r>
  <r>
    <x v="0"/>
    <x v="0"/>
    <x v="0"/>
    <x v="0"/>
    <x v="0"/>
    <s v="DK1_Rural"/>
    <x v="8"/>
    <s v="GNR_BO_WOODWST_E-86"/>
    <x v="0"/>
    <x v="8"/>
    <n v="3"/>
    <n v="1095"/>
    <n v="3942"/>
  </r>
  <r>
    <x v="0"/>
    <x v="0"/>
    <x v="0"/>
    <x v="0"/>
    <x v="0"/>
    <s v="DK1_Rural"/>
    <x v="8"/>
    <s v="GNR_BO_WOODWST_E-86"/>
    <x v="0"/>
    <x v="16"/>
    <n v="3"/>
    <n v="1095"/>
    <n v="3942"/>
  </r>
  <r>
    <x v="0"/>
    <x v="0"/>
    <x v="0"/>
    <x v="0"/>
    <x v="0"/>
    <s v="DK1_Rural"/>
    <x v="8"/>
    <s v="GNR_BO_WOODWST_E-86"/>
    <x v="0"/>
    <x v="17"/>
    <n v="3"/>
    <n v="1095"/>
    <n v="3942"/>
  </r>
  <r>
    <x v="0"/>
    <x v="0"/>
    <x v="0"/>
    <x v="0"/>
    <x v="0"/>
    <s v="DK1_Rural"/>
    <x v="8"/>
    <s v="GNR_BO_WOODWST_E-86"/>
    <x v="0"/>
    <x v="18"/>
    <n v="3"/>
    <n v="1095"/>
    <n v="3942"/>
  </r>
  <r>
    <x v="0"/>
    <x v="0"/>
    <x v="0"/>
    <x v="0"/>
    <x v="0"/>
    <s v="DK1_Rural"/>
    <x v="8"/>
    <s v="GNR_BO_WOODWST_E-86"/>
    <x v="0"/>
    <x v="19"/>
    <n v="3"/>
    <n v="1095"/>
    <n v="3942"/>
  </r>
  <r>
    <x v="0"/>
    <x v="0"/>
    <x v="0"/>
    <x v="0"/>
    <x v="0"/>
    <s v="DK1_Rural"/>
    <x v="8"/>
    <s v="GNR_BO_WOODWST_E-86"/>
    <x v="0"/>
    <x v="20"/>
    <n v="3"/>
    <n v="1095"/>
    <n v="3942"/>
  </r>
  <r>
    <x v="0"/>
    <x v="0"/>
    <x v="0"/>
    <x v="0"/>
    <x v="0"/>
    <s v="DK1_Rural"/>
    <x v="8"/>
    <s v="GNR_BO_WOODWST_E-86"/>
    <x v="0"/>
    <x v="21"/>
    <n v="3"/>
    <n v="1095"/>
    <n v="3942"/>
  </r>
  <r>
    <x v="0"/>
    <x v="0"/>
    <x v="0"/>
    <x v="0"/>
    <x v="0"/>
    <s v="DK1_Rural"/>
    <x v="8"/>
    <s v="GNR_BO_WOODWST_E-86"/>
    <x v="0"/>
    <x v="22"/>
    <n v="3"/>
    <n v="1095"/>
    <n v="3942"/>
  </r>
  <r>
    <x v="0"/>
    <x v="0"/>
    <x v="0"/>
    <x v="0"/>
    <x v="0"/>
    <s v="DK1_Rural"/>
    <x v="8"/>
    <s v="GNR_BO_WOODWST_E-89"/>
    <x v="0"/>
    <x v="9"/>
    <n v="7"/>
    <n v="2555"/>
    <n v="9198"/>
  </r>
  <r>
    <x v="0"/>
    <x v="0"/>
    <x v="0"/>
    <x v="0"/>
    <x v="0"/>
    <s v="DK1_Rural"/>
    <x v="8"/>
    <s v="GNR_BO_WOODWST_E-89"/>
    <x v="0"/>
    <x v="10"/>
    <n v="7"/>
    <n v="2555"/>
    <n v="9198"/>
  </r>
  <r>
    <x v="0"/>
    <x v="0"/>
    <x v="0"/>
    <x v="0"/>
    <x v="0"/>
    <s v="DK1_Rural"/>
    <x v="8"/>
    <s v="GNR_BO_WOODWST_E-89"/>
    <x v="0"/>
    <x v="11"/>
    <n v="7"/>
    <n v="2555"/>
    <n v="9198"/>
  </r>
  <r>
    <x v="0"/>
    <x v="0"/>
    <x v="0"/>
    <x v="0"/>
    <x v="0"/>
    <s v="DK1_Rural"/>
    <x v="8"/>
    <s v="GNR_BO_WOODWST_E-89"/>
    <x v="0"/>
    <x v="12"/>
    <n v="7"/>
    <n v="2555"/>
    <n v="9198"/>
  </r>
  <r>
    <x v="0"/>
    <x v="0"/>
    <x v="0"/>
    <x v="0"/>
    <x v="0"/>
    <s v="DK1_Rural"/>
    <x v="8"/>
    <s v="GNR_BO_WOODWST_E-89"/>
    <x v="0"/>
    <x v="13"/>
    <n v="7"/>
    <n v="2555"/>
    <n v="9198"/>
  </r>
  <r>
    <x v="0"/>
    <x v="0"/>
    <x v="0"/>
    <x v="0"/>
    <x v="0"/>
    <s v="DK1_Rural"/>
    <x v="8"/>
    <s v="GNR_BO_WOODWST_E-89"/>
    <x v="0"/>
    <x v="0"/>
    <n v="7"/>
    <n v="2555"/>
    <n v="9198"/>
  </r>
  <r>
    <x v="0"/>
    <x v="0"/>
    <x v="0"/>
    <x v="0"/>
    <x v="0"/>
    <s v="DK1_Rural"/>
    <x v="8"/>
    <s v="GNR_BO_WOODWST_E-89"/>
    <x v="0"/>
    <x v="14"/>
    <n v="7"/>
    <n v="2555"/>
    <n v="9198"/>
  </r>
  <r>
    <x v="0"/>
    <x v="0"/>
    <x v="0"/>
    <x v="0"/>
    <x v="0"/>
    <s v="DK1_Rural"/>
    <x v="8"/>
    <s v="GNR_BO_WOODWST_E-89"/>
    <x v="0"/>
    <x v="1"/>
    <n v="7"/>
    <n v="2555"/>
    <n v="9198"/>
  </r>
  <r>
    <x v="0"/>
    <x v="0"/>
    <x v="0"/>
    <x v="0"/>
    <x v="0"/>
    <s v="DK1_Rural"/>
    <x v="8"/>
    <s v="GNR_BO_WOODWST_E-89"/>
    <x v="0"/>
    <x v="23"/>
    <n v="7"/>
    <n v="2555"/>
    <n v="9198"/>
  </r>
  <r>
    <x v="0"/>
    <x v="0"/>
    <x v="0"/>
    <x v="0"/>
    <x v="0"/>
    <s v="DK1_Rural"/>
    <x v="8"/>
    <s v="GNR_BO_WOODWST_E-89"/>
    <x v="0"/>
    <x v="2"/>
    <n v="7"/>
    <n v="2555"/>
    <n v="9198"/>
  </r>
  <r>
    <x v="0"/>
    <x v="0"/>
    <x v="0"/>
    <x v="0"/>
    <x v="0"/>
    <s v="DK1_Rural"/>
    <x v="8"/>
    <s v="GNR_BO_WOODWST_E-89"/>
    <x v="0"/>
    <x v="3"/>
    <n v="7"/>
    <n v="2555"/>
    <n v="9198"/>
  </r>
  <r>
    <x v="0"/>
    <x v="0"/>
    <x v="0"/>
    <x v="0"/>
    <x v="0"/>
    <s v="DK1_Rural"/>
    <x v="8"/>
    <s v="GNR_BO_WOODWST_E-89"/>
    <x v="0"/>
    <x v="4"/>
    <n v="7"/>
    <n v="2555"/>
    <n v="9198"/>
  </r>
  <r>
    <x v="0"/>
    <x v="0"/>
    <x v="0"/>
    <x v="0"/>
    <x v="0"/>
    <s v="DK1_Rural"/>
    <x v="8"/>
    <s v="GNR_BO_WOODWST_E-89"/>
    <x v="0"/>
    <x v="5"/>
    <n v="7"/>
    <n v="2555"/>
    <n v="9198"/>
  </r>
  <r>
    <x v="0"/>
    <x v="0"/>
    <x v="0"/>
    <x v="0"/>
    <x v="0"/>
    <s v="DK1_Rural"/>
    <x v="8"/>
    <s v="GNR_BO_WOODWST_E-89"/>
    <x v="0"/>
    <x v="15"/>
    <n v="7"/>
    <n v="2555"/>
    <n v="9198"/>
  </r>
  <r>
    <x v="0"/>
    <x v="0"/>
    <x v="0"/>
    <x v="0"/>
    <x v="0"/>
    <s v="DK1_Rural"/>
    <x v="8"/>
    <s v="GNR_BO_WOODWST_E-89"/>
    <x v="0"/>
    <x v="6"/>
    <n v="7"/>
    <n v="2555"/>
    <n v="9198"/>
  </r>
  <r>
    <x v="0"/>
    <x v="0"/>
    <x v="0"/>
    <x v="0"/>
    <x v="0"/>
    <s v="DK1_Rural"/>
    <x v="8"/>
    <s v="GNR_BO_WOODWST_E-89"/>
    <x v="0"/>
    <x v="7"/>
    <n v="7"/>
    <n v="2555"/>
    <n v="9198"/>
  </r>
  <r>
    <x v="0"/>
    <x v="0"/>
    <x v="0"/>
    <x v="0"/>
    <x v="0"/>
    <s v="DK1_Rural"/>
    <x v="8"/>
    <s v="GNR_BO_WOODWST_E-89"/>
    <x v="0"/>
    <x v="8"/>
    <n v="7"/>
    <n v="2555"/>
    <n v="9198"/>
  </r>
  <r>
    <x v="0"/>
    <x v="0"/>
    <x v="0"/>
    <x v="0"/>
    <x v="0"/>
    <s v="DK1_Rural"/>
    <x v="8"/>
    <s v="GNR_BO_WOODWST_E-89"/>
    <x v="0"/>
    <x v="16"/>
    <n v="7"/>
    <n v="2555"/>
    <n v="9198"/>
  </r>
  <r>
    <x v="0"/>
    <x v="0"/>
    <x v="0"/>
    <x v="0"/>
    <x v="0"/>
    <s v="DK1_Rural"/>
    <x v="8"/>
    <s v="GNR_BO_WOODWST_E-89"/>
    <x v="0"/>
    <x v="17"/>
    <n v="7"/>
    <n v="2555"/>
    <n v="9198"/>
  </r>
  <r>
    <x v="0"/>
    <x v="0"/>
    <x v="0"/>
    <x v="0"/>
    <x v="0"/>
    <s v="DK1_Rural"/>
    <x v="8"/>
    <s v="GNR_BO_WOODWST_E-89"/>
    <x v="0"/>
    <x v="18"/>
    <n v="7"/>
    <n v="2555"/>
    <n v="9198"/>
  </r>
  <r>
    <x v="0"/>
    <x v="0"/>
    <x v="0"/>
    <x v="0"/>
    <x v="0"/>
    <s v="DK1_Rural"/>
    <x v="8"/>
    <s v="GNR_BO_WOODWST_E-89"/>
    <x v="0"/>
    <x v="19"/>
    <n v="7"/>
    <n v="2555"/>
    <n v="9198"/>
  </r>
  <r>
    <x v="0"/>
    <x v="0"/>
    <x v="0"/>
    <x v="0"/>
    <x v="0"/>
    <s v="DK1_Rural"/>
    <x v="8"/>
    <s v="GNR_BO_WOODWST_E-89"/>
    <x v="0"/>
    <x v="20"/>
    <n v="7"/>
    <n v="2555"/>
    <n v="9198"/>
  </r>
  <r>
    <x v="0"/>
    <x v="0"/>
    <x v="0"/>
    <x v="0"/>
    <x v="0"/>
    <s v="DK1_Rural"/>
    <x v="8"/>
    <s v="GNR_BO_WOODWST_E-89"/>
    <x v="0"/>
    <x v="21"/>
    <n v="7"/>
    <n v="2555"/>
    <n v="9198"/>
  </r>
  <r>
    <x v="0"/>
    <x v="0"/>
    <x v="0"/>
    <x v="0"/>
    <x v="0"/>
    <s v="DK1_Rural"/>
    <x v="8"/>
    <s v="GNR_BO_WOODWST_E-89"/>
    <x v="0"/>
    <x v="22"/>
    <n v="7"/>
    <n v="2555"/>
    <n v="9198"/>
  </r>
  <r>
    <x v="0"/>
    <x v="0"/>
    <x v="0"/>
    <x v="0"/>
    <x v="0"/>
    <s v="DK1_Rural"/>
    <x v="8"/>
    <s v="GNR_BO_WOODWST_E-90"/>
    <x v="0"/>
    <x v="9"/>
    <n v="9"/>
    <n v="3285"/>
    <n v="11826"/>
  </r>
  <r>
    <x v="0"/>
    <x v="0"/>
    <x v="0"/>
    <x v="0"/>
    <x v="0"/>
    <s v="DK1_Rural"/>
    <x v="8"/>
    <s v="GNR_BO_WOODWST_E-90"/>
    <x v="0"/>
    <x v="10"/>
    <n v="9"/>
    <n v="3285"/>
    <n v="11826"/>
  </r>
  <r>
    <x v="0"/>
    <x v="0"/>
    <x v="0"/>
    <x v="0"/>
    <x v="0"/>
    <s v="DK1_Rural"/>
    <x v="8"/>
    <s v="GNR_BO_WOODWST_E-90"/>
    <x v="0"/>
    <x v="11"/>
    <n v="9"/>
    <n v="3285"/>
    <n v="11826"/>
  </r>
  <r>
    <x v="0"/>
    <x v="0"/>
    <x v="0"/>
    <x v="0"/>
    <x v="0"/>
    <s v="DK1_Rural"/>
    <x v="8"/>
    <s v="GNR_BO_WOODWST_E-90"/>
    <x v="0"/>
    <x v="12"/>
    <n v="9"/>
    <n v="3285"/>
    <n v="11826"/>
  </r>
  <r>
    <x v="0"/>
    <x v="0"/>
    <x v="0"/>
    <x v="0"/>
    <x v="0"/>
    <s v="DK1_Rural"/>
    <x v="8"/>
    <s v="GNR_BO_WOODWST_E-90"/>
    <x v="0"/>
    <x v="13"/>
    <n v="9"/>
    <n v="3285"/>
    <n v="11826"/>
  </r>
  <r>
    <x v="0"/>
    <x v="0"/>
    <x v="0"/>
    <x v="0"/>
    <x v="0"/>
    <s v="DK1_Rural"/>
    <x v="8"/>
    <s v="GNR_BO_WOODWST_E-90"/>
    <x v="0"/>
    <x v="0"/>
    <n v="9"/>
    <n v="3285"/>
    <n v="11826"/>
  </r>
  <r>
    <x v="0"/>
    <x v="0"/>
    <x v="0"/>
    <x v="0"/>
    <x v="0"/>
    <s v="DK1_Rural"/>
    <x v="8"/>
    <s v="GNR_BO_WOODWST_E-90"/>
    <x v="0"/>
    <x v="14"/>
    <n v="9"/>
    <n v="3285"/>
    <n v="11826"/>
  </r>
  <r>
    <x v="0"/>
    <x v="0"/>
    <x v="0"/>
    <x v="0"/>
    <x v="0"/>
    <s v="DK1_Rural"/>
    <x v="8"/>
    <s v="GNR_BO_WOODWST_E-90"/>
    <x v="0"/>
    <x v="1"/>
    <n v="9"/>
    <n v="3285"/>
    <n v="11826"/>
  </r>
  <r>
    <x v="0"/>
    <x v="0"/>
    <x v="0"/>
    <x v="0"/>
    <x v="0"/>
    <s v="DK1_Rural"/>
    <x v="8"/>
    <s v="GNR_BO_WOODWST_E-90"/>
    <x v="0"/>
    <x v="23"/>
    <n v="9"/>
    <n v="3285"/>
    <n v="11826"/>
  </r>
  <r>
    <x v="0"/>
    <x v="0"/>
    <x v="0"/>
    <x v="0"/>
    <x v="0"/>
    <s v="DK1_Rural"/>
    <x v="8"/>
    <s v="GNR_BO_WOODWST_E-90"/>
    <x v="0"/>
    <x v="2"/>
    <n v="9"/>
    <n v="3285"/>
    <n v="11826"/>
  </r>
  <r>
    <x v="0"/>
    <x v="0"/>
    <x v="0"/>
    <x v="0"/>
    <x v="0"/>
    <s v="DK1_Rural"/>
    <x v="8"/>
    <s v="GNR_BO_WOODWST_E-90"/>
    <x v="0"/>
    <x v="3"/>
    <n v="9"/>
    <n v="3285"/>
    <n v="11826"/>
  </r>
  <r>
    <x v="0"/>
    <x v="0"/>
    <x v="0"/>
    <x v="0"/>
    <x v="0"/>
    <s v="DK1_Rural"/>
    <x v="8"/>
    <s v="GNR_BO_WOODWST_E-90"/>
    <x v="0"/>
    <x v="4"/>
    <n v="9"/>
    <n v="3285"/>
    <n v="11826"/>
  </r>
  <r>
    <x v="0"/>
    <x v="0"/>
    <x v="0"/>
    <x v="0"/>
    <x v="0"/>
    <s v="DK1_Rural"/>
    <x v="8"/>
    <s v="GNR_BO_WOODWST_E-90"/>
    <x v="0"/>
    <x v="5"/>
    <n v="9"/>
    <n v="3285"/>
    <n v="11826"/>
  </r>
  <r>
    <x v="0"/>
    <x v="0"/>
    <x v="0"/>
    <x v="0"/>
    <x v="0"/>
    <s v="DK1_Rural"/>
    <x v="8"/>
    <s v="GNR_BO_WOODWST_E-90"/>
    <x v="0"/>
    <x v="15"/>
    <n v="9"/>
    <n v="3285"/>
    <n v="11826"/>
  </r>
  <r>
    <x v="0"/>
    <x v="0"/>
    <x v="0"/>
    <x v="0"/>
    <x v="0"/>
    <s v="DK1_Rural"/>
    <x v="8"/>
    <s v="GNR_BO_WOODWST_E-90"/>
    <x v="0"/>
    <x v="6"/>
    <n v="9"/>
    <n v="3285"/>
    <n v="11826"/>
  </r>
  <r>
    <x v="0"/>
    <x v="0"/>
    <x v="0"/>
    <x v="0"/>
    <x v="0"/>
    <s v="DK1_Rural"/>
    <x v="8"/>
    <s v="GNR_BO_WOODWST_E-90"/>
    <x v="0"/>
    <x v="7"/>
    <n v="9"/>
    <n v="3285"/>
    <n v="11826"/>
  </r>
  <r>
    <x v="0"/>
    <x v="0"/>
    <x v="0"/>
    <x v="0"/>
    <x v="0"/>
    <s v="DK1_Rural"/>
    <x v="8"/>
    <s v="GNR_BO_WOODWST_E-90"/>
    <x v="0"/>
    <x v="8"/>
    <n v="9"/>
    <n v="3285"/>
    <n v="11826"/>
  </r>
  <r>
    <x v="0"/>
    <x v="0"/>
    <x v="0"/>
    <x v="0"/>
    <x v="0"/>
    <s v="DK1_Rural"/>
    <x v="8"/>
    <s v="GNR_BO_WOODWST_E-90"/>
    <x v="0"/>
    <x v="16"/>
    <n v="9"/>
    <n v="3285"/>
    <n v="11826"/>
  </r>
  <r>
    <x v="0"/>
    <x v="0"/>
    <x v="0"/>
    <x v="0"/>
    <x v="0"/>
    <s v="DK1_Rural"/>
    <x v="8"/>
    <s v="GNR_BO_WOODWST_E-90"/>
    <x v="0"/>
    <x v="17"/>
    <n v="9"/>
    <n v="3285"/>
    <n v="11826"/>
  </r>
  <r>
    <x v="0"/>
    <x v="0"/>
    <x v="0"/>
    <x v="0"/>
    <x v="0"/>
    <s v="DK1_Rural"/>
    <x v="8"/>
    <s v="GNR_BO_WOODWST_E-90"/>
    <x v="0"/>
    <x v="18"/>
    <n v="9"/>
    <n v="3285"/>
    <n v="11826"/>
  </r>
  <r>
    <x v="0"/>
    <x v="0"/>
    <x v="0"/>
    <x v="0"/>
    <x v="0"/>
    <s v="DK1_Rural"/>
    <x v="8"/>
    <s v="GNR_BO_WOODWST_E-90"/>
    <x v="0"/>
    <x v="19"/>
    <n v="9"/>
    <n v="3285"/>
    <n v="11826"/>
  </r>
  <r>
    <x v="0"/>
    <x v="0"/>
    <x v="0"/>
    <x v="0"/>
    <x v="0"/>
    <s v="DK1_Rural"/>
    <x v="8"/>
    <s v="GNR_BO_WOODWST_E-90"/>
    <x v="0"/>
    <x v="20"/>
    <n v="9"/>
    <n v="3285"/>
    <n v="11826"/>
  </r>
  <r>
    <x v="0"/>
    <x v="0"/>
    <x v="0"/>
    <x v="0"/>
    <x v="0"/>
    <s v="DK1_Rural"/>
    <x v="8"/>
    <s v="GNR_BO_WOODWST_E-90"/>
    <x v="0"/>
    <x v="21"/>
    <n v="9"/>
    <n v="3285"/>
    <n v="11826"/>
  </r>
  <r>
    <x v="0"/>
    <x v="0"/>
    <x v="0"/>
    <x v="0"/>
    <x v="0"/>
    <s v="DK1_Rural"/>
    <x v="8"/>
    <s v="GNR_BO_WOODWST_E-90"/>
    <x v="0"/>
    <x v="22"/>
    <n v="9"/>
    <n v="3285"/>
    <n v="11826"/>
  </r>
  <r>
    <x v="0"/>
    <x v="0"/>
    <x v="0"/>
    <x v="0"/>
    <x v="0"/>
    <s v="DK1_Rural"/>
    <x v="8"/>
    <s v="GNR_BO_WOODWST_E-91"/>
    <x v="0"/>
    <x v="9"/>
    <n v="3.15"/>
    <n v="1149.75"/>
    <n v="4139.1000000000004"/>
  </r>
  <r>
    <x v="0"/>
    <x v="0"/>
    <x v="0"/>
    <x v="0"/>
    <x v="0"/>
    <s v="DK1_Rural"/>
    <x v="8"/>
    <s v="GNR_BO_WOODWST_E-91"/>
    <x v="0"/>
    <x v="10"/>
    <n v="3.15"/>
    <n v="1149.75"/>
    <n v="4139.1000000000004"/>
  </r>
  <r>
    <x v="0"/>
    <x v="0"/>
    <x v="0"/>
    <x v="0"/>
    <x v="0"/>
    <s v="DK1_Rural"/>
    <x v="8"/>
    <s v="GNR_BO_WOODWST_E-91"/>
    <x v="0"/>
    <x v="11"/>
    <n v="3.15"/>
    <n v="1149.75"/>
    <n v="4139.1000000000004"/>
  </r>
  <r>
    <x v="0"/>
    <x v="0"/>
    <x v="0"/>
    <x v="0"/>
    <x v="0"/>
    <s v="DK1_Rural"/>
    <x v="8"/>
    <s v="GNR_BO_WOODWST_E-91"/>
    <x v="0"/>
    <x v="12"/>
    <n v="3.15"/>
    <n v="1149.75"/>
    <n v="4139.1000000000004"/>
  </r>
  <r>
    <x v="0"/>
    <x v="0"/>
    <x v="0"/>
    <x v="0"/>
    <x v="0"/>
    <s v="DK1_Rural"/>
    <x v="8"/>
    <s v="GNR_BO_WOODWST_E-91"/>
    <x v="0"/>
    <x v="13"/>
    <n v="3.15"/>
    <n v="1149.75"/>
    <n v="4139.1000000000004"/>
  </r>
  <r>
    <x v="0"/>
    <x v="0"/>
    <x v="0"/>
    <x v="0"/>
    <x v="0"/>
    <s v="DK1_Rural"/>
    <x v="8"/>
    <s v="GNR_BO_WOODWST_E-91"/>
    <x v="0"/>
    <x v="0"/>
    <n v="3.15"/>
    <n v="1149.75"/>
    <n v="4139.1000000000004"/>
  </r>
  <r>
    <x v="0"/>
    <x v="0"/>
    <x v="0"/>
    <x v="0"/>
    <x v="0"/>
    <s v="DK1_Rural"/>
    <x v="8"/>
    <s v="GNR_BO_WOODWST_E-91"/>
    <x v="0"/>
    <x v="14"/>
    <n v="3.15"/>
    <n v="1149.75"/>
    <n v="4139.1000000000004"/>
  </r>
  <r>
    <x v="0"/>
    <x v="0"/>
    <x v="0"/>
    <x v="0"/>
    <x v="0"/>
    <s v="DK1_Rural"/>
    <x v="8"/>
    <s v="GNR_BO_WOODWST_E-91"/>
    <x v="0"/>
    <x v="1"/>
    <n v="3.15"/>
    <n v="1149.75"/>
    <n v="4139.1000000000004"/>
  </r>
  <r>
    <x v="0"/>
    <x v="0"/>
    <x v="0"/>
    <x v="0"/>
    <x v="0"/>
    <s v="DK1_Rural"/>
    <x v="8"/>
    <s v="GNR_BO_WOODWST_E-91"/>
    <x v="0"/>
    <x v="23"/>
    <n v="3.15"/>
    <n v="1149.75"/>
    <n v="4139.1000000000004"/>
  </r>
  <r>
    <x v="0"/>
    <x v="0"/>
    <x v="0"/>
    <x v="0"/>
    <x v="0"/>
    <s v="DK1_Rural"/>
    <x v="8"/>
    <s v="GNR_BO_WOODWST_E-91"/>
    <x v="0"/>
    <x v="2"/>
    <n v="3.15"/>
    <n v="1149.75"/>
    <n v="4139.1000000000004"/>
  </r>
  <r>
    <x v="0"/>
    <x v="0"/>
    <x v="0"/>
    <x v="0"/>
    <x v="0"/>
    <s v="DK1_Rural"/>
    <x v="8"/>
    <s v="GNR_BO_WOODWST_E-91"/>
    <x v="0"/>
    <x v="3"/>
    <n v="3.15"/>
    <n v="1149.75"/>
    <n v="4139.1000000000004"/>
  </r>
  <r>
    <x v="0"/>
    <x v="0"/>
    <x v="0"/>
    <x v="0"/>
    <x v="0"/>
    <s v="DK1_Rural"/>
    <x v="8"/>
    <s v="GNR_BO_WOODWST_E-91"/>
    <x v="0"/>
    <x v="4"/>
    <n v="3.15"/>
    <n v="1149.75"/>
    <n v="4139.1000000000004"/>
  </r>
  <r>
    <x v="0"/>
    <x v="0"/>
    <x v="0"/>
    <x v="0"/>
    <x v="0"/>
    <s v="DK1_Rural"/>
    <x v="8"/>
    <s v="GNR_BO_WOODWST_E-91"/>
    <x v="0"/>
    <x v="5"/>
    <n v="3.15"/>
    <n v="1149.75"/>
    <n v="4139.1000000000004"/>
  </r>
  <r>
    <x v="0"/>
    <x v="0"/>
    <x v="0"/>
    <x v="0"/>
    <x v="0"/>
    <s v="DK1_Rural"/>
    <x v="8"/>
    <s v="GNR_BO_WOODWST_E-91"/>
    <x v="0"/>
    <x v="15"/>
    <n v="3.15"/>
    <n v="1149.75"/>
    <n v="4139.1000000000004"/>
  </r>
  <r>
    <x v="0"/>
    <x v="0"/>
    <x v="0"/>
    <x v="0"/>
    <x v="0"/>
    <s v="DK1_Rural"/>
    <x v="8"/>
    <s v="GNR_BO_WOODWST_E-91"/>
    <x v="0"/>
    <x v="6"/>
    <n v="3.15"/>
    <n v="1149.75"/>
    <n v="4139.1000000000004"/>
  </r>
  <r>
    <x v="0"/>
    <x v="0"/>
    <x v="0"/>
    <x v="0"/>
    <x v="0"/>
    <s v="DK1_Rural"/>
    <x v="8"/>
    <s v="GNR_BO_WOODWST_E-91"/>
    <x v="0"/>
    <x v="7"/>
    <n v="3.15"/>
    <n v="1149.75"/>
    <n v="4139.1000000000004"/>
  </r>
  <r>
    <x v="0"/>
    <x v="0"/>
    <x v="0"/>
    <x v="0"/>
    <x v="0"/>
    <s v="DK1_Rural"/>
    <x v="8"/>
    <s v="GNR_BO_WOODWST_E-91"/>
    <x v="0"/>
    <x v="8"/>
    <n v="3.15"/>
    <n v="1149.75"/>
    <n v="4139.1000000000004"/>
  </r>
  <r>
    <x v="0"/>
    <x v="0"/>
    <x v="0"/>
    <x v="0"/>
    <x v="0"/>
    <s v="DK1_Rural"/>
    <x v="8"/>
    <s v="GNR_BO_WOODWST_E-91"/>
    <x v="0"/>
    <x v="16"/>
    <n v="3.15"/>
    <n v="1149.75"/>
    <n v="4139.1000000000004"/>
  </r>
  <r>
    <x v="0"/>
    <x v="0"/>
    <x v="0"/>
    <x v="0"/>
    <x v="0"/>
    <s v="DK1_Rural"/>
    <x v="8"/>
    <s v="GNR_BO_WOODWST_E-91"/>
    <x v="0"/>
    <x v="17"/>
    <n v="3.15"/>
    <n v="1149.75"/>
    <n v="4139.1000000000004"/>
  </r>
  <r>
    <x v="0"/>
    <x v="0"/>
    <x v="0"/>
    <x v="0"/>
    <x v="0"/>
    <s v="DK1_Rural"/>
    <x v="8"/>
    <s v="GNR_BO_WOODWST_E-91"/>
    <x v="0"/>
    <x v="18"/>
    <n v="3.15"/>
    <n v="1149.75"/>
    <n v="4139.1000000000004"/>
  </r>
  <r>
    <x v="0"/>
    <x v="0"/>
    <x v="0"/>
    <x v="0"/>
    <x v="0"/>
    <s v="DK1_Rural"/>
    <x v="8"/>
    <s v="GNR_BO_WOODWST_E-91"/>
    <x v="0"/>
    <x v="19"/>
    <n v="3.15"/>
    <n v="1149.75"/>
    <n v="4139.1000000000004"/>
  </r>
  <r>
    <x v="0"/>
    <x v="0"/>
    <x v="0"/>
    <x v="0"/>
    <x v="0"/>
    <s v="DK1_Rural"/>
    <x v="8"/>
    <s v="GNR_BO_WOODWST_E-91"/>
    <x v="0"/>
    <x v="20"/>
    <n v="3.15"/>
    <n v="1149.75"/>
    <n v="4139.1000000000004"/>
  </r>
  <r>
    <x v="0"/>
    <x v="0"/>
    <x v="0"/>
    <x v="0"/>
    <x v="0"/>
    <s v="DK1_Rural"/>
    <x v="8"/>
    <s v="GNR_BO_WOODWST_E-91"/>
    <x v="0"/>
    <x v="21"/>
    <n v="3.15"/>
    <n v="1149.75"/>
    <n v="4139.1000000000004"/>
  </r>
  <r>
    <x v="0"/>
    <x v="0"/>
    <x v="0"/>
    <x v="0"/>
    <x v="0"/>
    <s v="DK1_Rural"/>
    <x v="8"/>
    <s v="GNR_BO_WOODWST_E-91"/>
    <x v="0"/>
    <x v="22"/>
    <n v="3.15"/>
    <n v="1149.75"/>
    <n v="4139.1000000000004"/>
  </r>
  <r>
    <x v="0"/>
    <x v="0"/>
    <x v="0"/>
    <x v="0"/>
    <x v="0"/>
    <s v="DK1_Rural"/>
    <x v="8"/>
    <s v="GNR_BO_WOODWST_E-94"/>
    <x v="0"/>
    <x v="9"/>
    <n v="0.93"/>
    <n v="339.45"/>
    <n v="1222.02"/>
  </r>
  <r>
    <x v="0"/>
    <x v="0"/>
    <x v="0"/>
    <x v="0"/>
    <x v="0"/>
    <s v="DK1_Rural"/>
    <x v="8"/>
    <s v="GNR_BO_WOODWST_E-94"/>
    <x v="0"/>
    <x v="10"/>
    <n v="0.93"/>
    <n v="339.45"/>
    <n v="1222.02"/>
  </r>
  <r>
    <x v="0"/>
    <x v="0"/>
    <x v="0"/>
    <x v="0"/>
    <x v="0"/>
    <s v="DK1_Rural"/>
    <x v="8"/>
    <s v="GNR_BO_WOODWST_E-94"/>
    <x v="0"/>
    <x v="11"/>
    <n v="0.93"/>
    <n v="339.45"/>
    <n v="1222.02"/>
  </r>
  <r>
    <x v="0"/>
    <x v="0"/>
    <x v="0"/>
    <x v="0"/>
    <x v="0"/>
    <s v="DK1_Rural"/>
    <x v="8"/>
    <s v="GNR_BO_WOODWST_E-94"/>
    <x v="0"/>
    <x v="12"/>
    <n v="0.93"/>
    <n v="339.45"/>
    <n v="1222.02"/>
  </r>
  <r>
    <x v="0"/>
    <x v="0"/>
    <x v="0"/>
    <x v="0"/>
    <x v="0"/>
    <s v="DK1_Rural"/>
    <x v="8"/>
    <s v="GNR_BO_WOODWST_E-94"/>
    <x v="0"/>
    <x v="13"/>
    <n v="0.93"/>
    <n v="339.45"/>
    <n v="1222.02"/>
  </r>
  <r>
    <x v="0"/>
    <x v="0"/>
    <x v="0"/>
    <x v="0"/>
    <x v="0"/>
    <s v="DK1_Rural"/>
    <x v="8"/>
    <s v="GNR_BO_WOODWST_E-94"/>
    <x v="0"/>
    <x v="0"/>
    <n v="0.93"/>
    <n v="339.45"/>
    <n v="1222.02"/>
  </r>
  <r>
    <x v="0"/>
    <x v="0"/>
    <x v="0"/>
    <x v="0"/>
    <x v="0"/>
    <s v="DK1_Rural"/>
    <x v="8"/>
    <s v="GNR_BO_WOODWST_E-94"/>
    <x v="0"/>
    <x v="14"/>
    <n v="0.93"/>
    <n v="339.45"/>
    <n v="1222.02"/>
  </r>
  <r>
    <x v="0"/>
    <x v="0"/>
    <x v="0"/>
    <x v="0"/>
    <x v="0"/>
    <s v="DK1_Rural"/>
    <x v="8"/>
    <s v="GNR_BO_WOODWST_E-94"/>
    <x v="0"/>
    <x v="1"/>
    <n v="0.93"/>
    <n v="339.45"/>
    <n v="1222.02"/>
  </r>
  <r>
    <x v="0"/>
    <x v="0"/>
    <x v="0"/>
    <x v="0"/>
    <x v="0"/>
    <s v="DK1_Rural"/>
    <x v="8"/>
    <s v="GNR_BO_WOODWST_E-94"/>
    <x v="0"/>
    <x v="23"/>
    <n v="0.93"/>
    <n v="339.45"/>
    <n v="1222.02"/>
  </r>
  <r>
    <x v="0"/>
    <x v="0"/>
    <x v="0"/>
    <x v="0"/>
    <x v="0"/>
    <s v="DK1_Rural"/>
    <x v="8"/>
    <s v="GNR_BO_WOODWST_E-94"/>
    <x v="0"/>
    <x v="2"/>
    <n v="0.93"/>
    <n v="339.45"/>
    <n v="1222.02"/>
  </r>
  <r>
    <x v="0"/>
    <x v="0"/>
    <x v="0"/>
    <x v="0"/>
    <x v="0"/>
    <s v="DK1_Rural"/>
    <x v="8"/>
    <s v="GNR_BO_WOODWST_E-94"/>
    <x v="0"/>
    <x v="3"/>
    <n v="0.93"/>
    <n v="339.45"/>
    <n v="1222.02"/>
  </r>
  <r>
    <x v="0"/>
    <x v="0"/>
    <x v="0"/>
    <x v="0"/>
    <x v="0"/>
    <s v="DK1_Rural"/>
    <x v="8"/>
    <s v="GNR_BO_WOODWST_E-94"/>
    <x v="0"/>
    <x v="4"/>
    <n v="0.93"/>
    <n v="339.45"/>
    <n v="1222.02"/>
  </r>
  <r>
    <x v="0"/>
    <x v="0"/>
    <x v="0"/>
    <x v="0"/>
    <x v="0"/>
    <s v="DK1_Rural"/>
    <x v="8"/>
    <s v="GNR_BO_WOODWST_E-94"/>
    <x v="0"/>
    <x v="5"/>
    <n v="0.93"/>
    <n v="339.45"/>
    <n v="1222.02"/>
  </r>
  <r>
    <x v="0"/>
    <x v="0"/>
    <x v="0"/>
    <x v="0"/>
    <x v="0"/>
    <s v="DK1_Rural"/>
    <x v="8"/>
    <s v="GNR_BO_WOODWST_E-94"/>
    <x v="0"/>
    <x v="15"/>
    <n v="0.93"/>
    <n v="339.45"/>
    <n v="1222.02"/>
  </r>
  <r>
    <x v="0"/>
    <x v="0"/>
    <x v="0"/>
    <x v="0"/>
    <x v="0"/>
    <s v="DK1_Rural"/>
    <x v="8"/>
    <s v="GNR_BO_WOODWST_E-94"/>
    <x v="0"/>
    <x v="6"/>
    <n v="0.93"/>
    <n v="339.45"/>
    <n v="1222.02"/>
  </r>
  <r>
    <x v="0"/>
    <x v="0"/>
    <x v="0"/>
    <x v="0"/>
    <x v="0"/>
    <s v="DK1_Rural"/>
    <x v="8"/>
    <s v="GNR_BO_WOODWST_E-94"/>
    <x v="0"/>
    <x v="7"/>
    <n v="0.93"/>
    <n v="339.45"/>
    <n v="1222.02"/>
  </r>
  <r>
    <x v="0"/>
    <x v="0"/>
    <x v="0"/>
    <x v="0"/>
    <x v="0"/>
    <s v="DK1_Rural"/>
    <x v="8"/>
    <s v="GNR_BO_WOODWST_E-94"/>
    <x v="0"/>
    <x v="8"/>
    <n v="0.93"/>
    <n v="339.45"/>
    <n v="1222.02"/>
  </r>
  <r>
    <x v="0"/>
    <x v="0"/>
    <x v="0"/>
    <x v="0"/>
    <x v="0"/>
    <s v="DK1_Rural"/>
    <x v="8"/>
    <s v="GNR_BO_WOODWST_E-94"/>
    <x v="0"/>
    <x v="16"/>
    <n v="0.93"/>
    <n v="339.45"/>
    <n v="1222.02"/>
  </r>
  <r>
    <x v="0"/>
    <x v="0"/>
    <x v="0"/>
    <x v="0"/>
    <x v="0"/>
    <s v="DK1_Rural"/>
    <x v="8"/>
    <s v="GNR_BO_WOODWST_E-94"/>
    <x v="0"/>
    <x v="17"/>
    <n v="0.93"/>
    <n v="339.45"/>
    <n v="1222.02"/>
  </r>
  <r>
    <x v="0"/>
    <x v="0"/>
    <x v="0"/>
    <x v="0"/>
    <x v="0"/>
    <s v="DK1_Rural"/>
    <x v="8"/>
    <s v="GNR_BO_WOODWST_E-94"/>
    <x v="0"/>
    <x v="18"/>
    <n v="0.93"/>
    <n v="339.45"/>
    <n v="1222.02"/>
  </r>
  <r>
    <x v="0"/>
    <x v="0"/>
    <x v="0"/>
    <x v="0"/>
    <x v="0"/>
    <s v="DK1_Rural"/>
    <x v="8"/>
    <s v="GNR_BO_WOODWST_E-94"/>
    <x v="0"/>
    <x v="19"/>
    <n v="0.93"/>
    <n v="339.45"/>
    <n v="1222.02"/>
  </r>
  <r>
    <x v="0"/>
    <x v="0"/>
    <x v="0"/>
    <x v="0"/>
    <x v="0"/>
    <s v="DK1_Rural"/>
    <x v="8"/>
    <s v="GNR_BO_WOODWST_E-94"/>
    <x v="0"/>
    <x v="20"/>
    <n v="0.93"/>
    <n v="339.45"/>
    <n v="1222.02"/>
  </r>
  <r>
    <x v="0"/>
    <x v="0"/>
    <x v="0"/>
    <x v="0"/>
    <x v="0"/>
    <s v="DK1_Rural"/>
    <x v="8"/>
    <s v="GNR_BO_WOODWST_E-94"/>
    <x v="0"/>
    <x v="21"/>
    <n v="0.93"/>
    <n v="339.45"/>
    <n v="1222.02"/>
  </r>
  <r>
    <x v="0"/>
    <x v="0"/>
    <x v="0"/>
    <x v="0"/>
    <x v="0"/>
    <s v="DK1_Rural"/>
    <x v="8"/>
    <s v="GNR_BO_WOODWST_E-94"/>
    <x v="0"/>
    <x v="22"/>
    <n v="0.93"/>
    <n v="339.45"/>
    <n v="1222.02"/>
  </r>
  <r>
    <x v="0"/>
    <x v="0"/>
    <x v="0"/>
    <x v="0"/>
    <x v="0"/>
    <s v="DK1_Small"/>
    <x v="1"/>
    <s v="GNR_HS_HEAT-E-100"/>
    <x v="0"/>
    <x v="1"/>
    <n v="1.8108371017018501"/>
    <n v="660.95554212117497"/>
    <n v="2379.43995163623"/>
  </r>
  <r>
    <x v="0"/>
    <x v="0"/>
    <x v="0"/>
    <x v="0"/>
    <x v="0"/>
    <s v="DK1_Small"/>
    <x v="1"/>
    <s v="GNR_HS_HEAT-E-100"/>
    <x v="0"/>
    <x v="23"/>
    <n v="3.0887908586983301"/>
    <n v="1127.4086634248899"/>
    <n v="4058.6711883296098"/>
  </r>
  <r>
    <x v="0"/>
    <x v="0"/>
    <x v="0"/>
    <x v="0"/>
    <x v="0"/>
    <s v="DK1_Small"/>
    <x v="1"/>
    <s v="GNR_HS_HEAT-E-100"/>
    <x v="0"/>
    <x v="2"/>
    <n v="2.9249506334423798"/>
    <n v="1067.60698120647"/>
    <n v="3843.38513234329"/>
  </r>
  <r>
    <x v="0"/>
    <x v="0"/>
    <x v="0"/>
    <x v="0"/>
    <x v="0"/>
    <s v="DK1_Small"/>
    <x v="1"/>
    <s v="GNR_HS_HEAT-E-100"/>
    <x v="0"/>
    <x v="3"/>
    <n v="3.2198630389031"/>
    <n v="1175.2500091996301"/>
    <n v="4230.9000331186699"/>
  </r>
  <r>
    <x v="0"/>
    <x v="0"/>
    <x v="0"/>
    <x v="0"/>
    <x v="0"/>
    <s v="DK1_Small"/>
    <x v="1"/>
    <s v="GNR_HS_HEAT-E-100"/>
    <x v="0"/>
    <x v="4"/>
    <n v="2.9249506334423798"/>
    <n v="1067.60698120647"/>
    <n v="3843.38513234329"/>
  </r>
  <r>
    <x v="0"/>
    <x v="0"/>
    <x v="0"/>
    <x v="0"/>
    <x v="0"/>
    <s v="DK1_Small"/>
    <x v="1"/>
    <s v="GNR_HS_HEAT-E-100"/>
    <x v="0"/>
    <x v="5"/>
    <n v="1.0899401105756199"/>
    <n v="397.82814036010302"/>
    <n v="1432.1813052963701"/>
  </r>
  <r>
    <x v="0"/>
    <x v="0"/>
    <x v="0"/>
    <x v="0"/>
    <x v="0"/>
    <s v="DK1_Small"/>
    <x v="1"/>
    <s v="GNR_HS_HEAT-E-100"/>
    <x v="0"/>
    <x v="6"/>
    <n v="0.33627507439819998"/>
    <n v="122.74040215534301"/>
    <n v="441.865447759235"/>
  </r>
  <r>
    <x v="0"/>
    <x v="0"/>
    <x v="0"/>
    <x v="0"/>
    <x v="0"/>
    <s v="DK1_Small"/>
    <x v="1"/>
    <s v="GNR_HS_HEAT-E-100"/>
    <x v="0"/>
    <x v="7"/>
    <n v="0.82779575016607299"/>
    <n v="302.14544881061698"/>
    <n v="1087.7236157182199"/>
  </r>
  <r>
    <x v="0"/>
    <x v="0"/>
    <x v="0"/>
    <x v="0"/>
    <x v="0"/>
    <s v="DK1_Small"/>
    <x v="1"/>
    <s v="GNR_HS_HEAT-E-100"/>
    <x v="0"/>
    <x v="8"/>
    <n v="1.1227081556268099"/>
    <n v="409.78847680378499"/>
    <n v="1475.23851649363"/>
  </r>
  <r>
    <x v="0"/>
    <x v="0"/>
    <x v="0"/>
    <x v="0"/>
    <x v="0"/>
    <s v="DK1_Small"/>
    <x v="1"/>
    <s v="GNR_HS_HEAT-E-100"/>
    <x v="0"/>
    <x v="16"/>
    <n v="2.0074453720090002"/>
    <n v="732.71756078328599"/>
    <n v="2637.7832188198299"/>
  </r>
  <r>
    <x v="0"/>
    <x v="0"/>
    <x v="0"/>
    <x v="0"/>
    <x v="0"/>
    <s v="DK1_Small"/>
    <x v="1"/>
    <s v="GNR_HS_HEAT-E-100"/>
    <x v="0"/>
    <x v="17"/>
    <n v="1.8763731918042299"/>
    <n v="684.87621500854505"/>
    <n v="2465.5543740307598"/>
  </r>
  <r>
    <x v="0"/>
    <x v="0"/>
    <x v="0"/>
    <x v="0"/>
    <x v="0"/>
    <s v="DK1_Small"/>
    <x v="1"/>
    <s v="GNR_HS_HEAT-E-100"/>
    <x v="0"/>
    <x v="18"/>
    <n v="0.53288334470535204"/>
    <n v="194.50242081745401"/>
    <n v="700.20871494283301"/>
  </r>
  <r>
    <x v="0"/>
    <x v="0"/>
    <x v="0"/>
    <x v="0"/>
    <x v="0"/>
    <s v="DK1_Small"/>
    <x v="4"/>
    <s v="GNR_BO_MSW_E-104"/>
    <x v="0"/>
    <x v="14"/>
    <n v="1.8797227632545701"/>
    <n v="686.09880858791701"/>
    <n v="2469.9557109164998"/>
  </r>
  <r>
    <x v="0"/>
    <x v="0"/>
    <x v="0"/>
    <x v="0"/>
    <x v="0"/>
    <s v="DK1_Small"/>
    <x v="4"/>
    <s v="GNR_BO_MSW_E-104"/>
    <x v="0"/>
    <x v="1"/>
    <n v="6.66"/>
    <n v="2430.9"/>
    <n v="8751.24"/>
  </r>
  <r>
    <x v="0"/>
    <x v="0"/>
    <x v="0"/>
    <x v="0"/>
    <x v="0"/>
    <s v="DK1_Small"/>
    <x v="4"/>
    <s v="GNR_BO_MSW_E-104"/>
    <x v="0"/>
    <x v="23"/>
    <n v="6.66"/>
    <n v="2430.9"/>
    <n v="8751.24"/>
  </r>
  <r>
    <x v="0"/>
    <x v="0"/>
    <x v="0"/>
    <x v="0"/>
    <x v="0"/>
    <s v="DK1_Small"/>
    <x v="4"/>
    <s v="GNR_BO_MSW_E-104"/>
    <x v="0"/>
    <x v="2"/>
    <n v="6.66"/>
    <n v="2430.9"/>
    <n v="8751.24"/>
  </r>
  <r>
    <x v="0"/>
    <x v="0"/>
    <x v="0"/>
    <x v="0"/>
    <x v="0"/>
    <s v="DK1_Small"/>
    <x v="4"/>
    <s v="GNR_BO_MSW_E-104"/>
    <x v="0"/>
    <x v="3"/>
    <n v="6.66"/>
    <n v="2430.9"/>
    <n v="8751.24"/>
  </r>
  <r>
    <x v="0"/>
    <x v="0"/>
    <x v="0"/>
    <x v="0"/>
    <x v="0"/>
    <s v="DK1_Small"/>
    <x v="4"/>
    <s v="GNR_BO_MSW_E-104"/>
    <x v="0"/>
    <x v="4"/>
    <n v="6.66"/>
    <n v="2430.9"/>
    <n v="8751.24"/>
  </r>
  <r>
    <x v="0"/>
    <x v="0"/>
    <x v="0"/>
    <x v="0"/>
    <x v="0"/>
    <s v="DK1_Small"/>
    <x v="4"/>
    <s v="GNR_BO_MSW_E-104"/>
    <x v="0"/>
    <x v="5"/>
    <n v="6.66"/>
    <n v="2430.9"/>
    <n v="8751.24"/>
  </r>
  <r>
    <x v="0"/>
    <x v="0"/>
    <x v="0"/>
    <x v="0"/>
    <x v="0"/>
    <s v="DK1_Small"/>
    <x v="4"/>
    <s v="GNR_BO_MSW_E-104"/>
    <x v="0"/>
    <x v="15"/>
    <n v="6.66"/>
    <n v="2430.9"/>
    <n v="8751.24"/>
  </r>
  <r>
    <x v="0"/>
    <x v="0"/>
    <x v="0"/>
    <x v="0"/>
    <x v="0"/>
    <s v="DK1_Small"/>
    <x v="4"/>
    <s v="GNR_BO_MSW_E-104"/>
    <x v="0"/>
    <x v="6"/>
    <n v="6.66"/>
    <n v="2430.9"/>
    <n v="8751.24"/>
  </r>
  <r>
    <x v="0"/>
    <x v="0"/>
    <x v="0"/>
    <x v="0"/>
    <x v="0"/>
    <s v="DK1_Small"/>
    <x v="4"/>
    <s v="GNR_BO_MSW_E-104"/>
    <x v="0"/>
    <x v="7"/>
    <n v="6.66"/>
    <n v="2430.9"/>
    <n v="8751.24"/>
  </r>
  <r>
    <x v="0"/>
    <x v="0"/>
    <x v="0"/>
    <x v="0"/>
    <x v="0"/>
    <s v="DK1_Small"/>
    <x v="4"/>
    <s v="GNR_BO_MSW_E-104"/>
    <x v="0"/>
    <x v="8"/>
    <n v="6.66"/>
    <n v="2430.9"/>
    <n v="8751.24"/>
  </r>
  <r>
    <x v="0"/>
    <x v="0"/>
    <x v="0"/>
    <x v="0"/>
    <x v="0"/>
    <s v="DK1_Small"/>
    <x v="4"/>
    <s v="GNR_BO_MSW_E-104"/>
    <x v="0"/>
    <x v="16"/>
    <n v="6.66"/>
    <n v="2430.9"/>
    <n v="8751.24"/>
  </r>
  <r>
    <x v="0"/>
    <x v="0"/>
    <x v="0"/>
    <x v="0"/>
    <x v="0"/>
    <s v="DK1_Small"/>
    <x v="4"/>
    <s v="GNR_BO_MSW_E-104"/>
    <x v="0"/>
    <x v="17"/>
    <n v="6.66"/>
    <n v="2430.9"/>
    <n v="8751.24"/>
  </r>
  <r>
    <x v="0"/>
    <x v="0"/>
    <x v="0"/>
    <x v="0"/>
    <x v="0"/>
    <s v="DK1_Small"/>
    <x v="4"/>
    <s v="GNR_BO_MSW_E-104"/>
    <x v="0"/>
    <x v="18"/>
    <n v="6.66"/>
    <n v="2430.9"/>
    <n v="8751.24"/>
  </r>
  <r>
    <x v="0"/>
    <x v="0"/>
    <x v="0"/>
    <x v="0"/>
    <x v="0"/>
    <s v="DK1_Small"/>
    <x v="4"/>
    <s v="GNR_BO_MSW_E-104"/>
    <x v="0"/>
    <x v="19"/>
    <n v="6.6310892956774197"/>
    <n v="2420.34759292226"/>
    <n v="8713.2513345201405"/>
  </r>
  <r>
    <x v="0"/>
    <x v="0"/>
    <x v="0"/>
    <x v="0"/>
    <x v="0"/>
    <s v="DK1_Small"/>
    <x v="4"/>
    <s v="GNR_BO_MSW_E-105"/>
    <x v="0"/>
    <x v="9"/>
    <n v="17.529070921617901"/>
    <n v="6398.1108863905201"/>
    <n v="23033.199191005901"/>
  </r>
  <r>
    <x v="0"/>
    <x v="0"/>
    <x v="0"/>
    <x v="0"/>
    <x v="0"/>
    <s v="DK1_Small"/>
    <x v="4"/>
    <s v="GNR_BO_MSW_E-105"/>
    <x v="0"/>
    <x v="10"/>
    <n v="17.1686224260547"/>
    <n v="6266.5471855099804"/>
    <n v="22559.5698678359"/>
  </r>
  <r>
    <x v="0"/>
    <x v="0"/>
    <x v="0"/>
    <x v="0"/>
    <x v="0"/>
    <s v="DK1_Small"/>
    <x v="4"/>
    <s v="GNR_BO_MSW_E-105"/>
    <x v="0"/>
    <x v="11"/>
    <n v="16.840941975542801"/>
    <n v="6146.9438210731296"/>
    <n v="22128.9977558633"/>
  </r>
  <r>
    <x v="0"/>
    <x v="0"/>
    <x v="0"/>
    <x v="0"/>
    <x v="0"/>
    <s v="DK1_Small"/>
    <x v="4"/>
    <s v="GNR_BO_MSW_E-105"/>
    <x v="0"/>
    <x v="12"/>
    <n v="17.332462651310699"/>
    <n v="6326.3488677284104"/>
    <n v="22774.855923822299"/>
  </r>
  <r>
    <x v="0"/>
    <x v="0"/>
    <x v="0"/>
    <x v="0"/>
    <x v="0"/>
    <s v="DK1_Small"/>
    <x v="4"/>
    <s v="GNR_BO_MSW_E-105"/>
    <x v="0"/>
    <x v="13"/>
    <n v="17.692911146873801"/>
    <n v="6457.9125686089401"/>
    <n v="23248.485246992201"/>
  </r>
  <r>
    <x v="0"/>
    <x v="0"/>
    <x v="0"/>
    <x v="0"/>
    <x v="0"/>
    <s v="DK1_Small"/>
    <x v="4"/>
    <s v="GNR_BO_MSW_E-105"/>
    <x v="0"/>
    <x v="0"/>
    <n v="23.4273190308324"/>
    <n v="8550.9714462538395"/>
    <n v="30783.497206513799"/>
  </r>
  <r>
    <x v="0"/>
    <x v="0"/>
    <x v="0"/>
    <x v="0"/>
    <x v="0"/>
    <s v="DK1_Small"/>
    <x v="4"/>
    <s v="GNR_BO_MSW_E-105"/>
    <x v="0"/>
    <x v="14"/>
    <n v="35.9"/>
    <n v="13103.5"/>
    <n v="47172.6"/>
  </r>
  <r>
    <x v="0"/>
    <x v="0"/>
    <x v="0"/>
    <x v="0"/>
    <x v="0"/>
    <s v="DK1_Small"/>
    <x v="4"/>
    <s v="GNR_BO_MSW_E-105"/>
    <x v="0"/>
    <x v="1"/>
    <n v="35.9"/>
    <n v="13103.5"/>
    <n v="47172.6"/>
  </r>
  <r>
    <x v="0"/>
    <x v="0"/>
    <x v="0"/>
    <x v="0"/>
    <x v="0"/>
    <s v="DK1_Small"/>
    <x v="4"/>
    <s v="GNR_BO_MSW_E-105"/>
    <x v="0"/>
    <x v="23"/>
    <n v="35.9"/>
    <n v="13103.5"/>
    <n v="47172.6"/>
  </r>
  <r>
    <x v="0"/>
    <x v="0"/>
    <x v="0"/>
    <x v="0"/>
    <x v="0"/>
    <s v="DK1_Small"/>
    <x v="4"/>
    <s v="GNR_BO_MSW_E-105"/>
    <x v="0"/>
    <x v="2"/>
    <n v="35.9"/>
    <n v="13103.5"/>
    <n v="47172.6"/>
  </r>
  <r>
    <x v="0"/>
    <x v="0"/>
    <x v="0"/>
    <x v="0"/>
    <x v="0"/>
    <s v="DK1_Small"/>
    <x v="4"/>
    <s v="GNR_BO_MSW_E-105"/>
    <x v="0"/>
    <x v="3"/>
    <n v="35.9"/>
    <n v="13103.5"/>
    <n v="47172.6"/>
  </r>
  <r>
    <x v="0"/>
    <x v="0"/>
    <x v="0"/>
    <x v="0"/>
    <x v="0"/>
    <s v="DK1_Small"/>
    <x v="4"/>
    <s v="GNR_BO_MSW_E-105"/>
    <x v="0"/>
    <x v="4"/>
    <n v="35.9"/>
    <n v="13103.5"/>
    <n v="47172.6"/>
  </r>
  <r>
    <x v="0"/>
    <x v="0"/>
    <x v="0"/>
    <x v="0"/>
    <x v="0"/>
    <s v="DK1_Small"/>
    <x v="4"/>
    <s v="GNR_BO_MSW_E-105"/>
    <x v="0"/>
    <x v="5"/>
    <n v="35.9"/>
    <n v="13103.5"/>
    <n v="47172.6"/>
  </r>
  <r>
    <x v="0"/>
    <x v="0"/>
    <x v="0"/>
    <x v="0"/>
    <x v="0"/>
    <s v="DK1_Small"/>
    <x v="4"/>
    <s v="GNR_BO_MSW_E-105"/>
    <x v="0"/>
    <x v="15"/>
    <n v="35.9"/>
    <n v="13103.5"/>
    <n v="47172.6"/>
  </r>
  <r>
    <x v="0"/>
    <x v="0"/>
    <x v="0"/>
    <x v="0"/>
    <x v="0"/>
    <s v="DK1_Small"/>
    <x v="4"/>
    <s v="GNR_BO_MSW_E-105"/>
    <x v="0"/>
    <x v="6"/>
    <n v="35.9"/>
    <n v="13103.5"/>
    <n v="47172.6"/>
  </r>
  <r>
    <x v="0"/>
    <x v="0"/>
    <x v="0"/>
    <x v="0"/>
    <x v="0"/>
    <s v="DK1_Small"/>
    <x v="4"/>
    <s v="GNR_BO_MSW_E-105"/>
    <x v="0"/>
    <x v="7"/>
    <n v="35.9"/>
    <n v="13103.5"/>
    <n v="47172.6"/>
  </r>
  <r>
    <x v="0"/>
    <x v="0"/>
    <x v="0"/>
    <x v="0"/>
    <x v="0"/>
    <s v="DK1_Small"/>
    <x v="4"/>
    <s v="GNR_BO_MSW_E-105"/>
    <x v="0"/>
    <x v="8"/>
    <n v="35.9"/>
    <n v="13103.5"/>
    <n v="47172.6"/>
  </r>
  <r>
    <x v="0"/>
    <x v="0"/>
    <x v="0"/>
    <x v="0"/>
    <x v="0"/>
    <s v="DK1_Small"/>
    <x v="4"/>
    <s v="GNR_BO_MSW_E-105"/>
    <x v="0"/>
    <x v="16"/>
    <n v="35.9"/>
    <n v="13103.5"/>
    <n v="47172.6"/>
  </r>
  <r>
    <x v="0"/>
    <x v="0"/>
    <x v="0"/>
    <x v="0"/>
    <x v="0"/>
    <s v="DK1_Small"/>
    <x v="4"/>
    <s v="GNR_BO_MSW_E-105"/>
    <x v="0"/>
    <x v="17"/>
    <n v="35.9"/>
    <n v="13103.5"/>
    <n v="47172.6"/>
  </r>
  <r>
    <x v="0"/>
    <x v="0"/>
    <x v="0"/>
    <x v="0"/>
    <x v="0"/>
    <s v="DK1_Small"/>
    <x v="4"/>
    <s v="GNR_BO_MSW_E-105"/>
    <x v="0"/>
    <x v="18"/>
    <n v="35.9"/>
    <n v="13103.5"/>
    <n v="47172.6"/>
  </r>
  <r>
    <x v="0"/>
    <x v="0"/>
    <x v="0"/>
    <x v="0"/>
    <x v="0"/>
    <s v="DK1_Small"/>
    <x v="4"/>
    <s v="GNR_BO_MSW_E-105"/>
    <x v="0"/>
    <x v="19"/>
    <n v="35.9"/>
    <n v="13103.5"/>
    <n v="47172.6"/>
  </r>
  <r>
    <x v="0"/>
    <x v="0"/>
    <x v="0"/>
    <x v="0"/>
    <x v="0"/>
    <s v="DK1_Small"/>
    <x v="4"/>
    <s v="GNR_BO_MSW_E-105"/>
    <x v="0"/>
    <x v="20"/>
    <n v="30.4069126267363"/>
    <n v="11098.5231087588"/>
    <n v="39954.6831915316"/>
  </r>
  <r>
    <x v="0"/>
    <x v="0"/>
    <x v="0"/>
    <x v="0"/>
    <x v="0"/>
    <s v="DK1_Small"/>
    <x v="4"/>
    <s v="GNR_BO_MSW_E-105"/>
    <x v="0"/>
    <x v="21"/>
    <n v="26.999035941412401"/>
    <n v="9854.6481186155197"/>
    <n v="35476.733227015902"/>
  </r>
  <r>
    <x v="0"/>
    <x v="0"/>
    <x v="0"/>
    <x v="0"/>
    <x v="0"/>
    <s v="DK1_Small"/>
    <x v="4"/>
    <s v="GNR_BO_MSW_E-105"/>
    <x v="0"/>
    <x v="22"/>
    <n v="25.000185193289699"/>
    <n v="9125.0675955507195"/>
    <n v="32850.243343982598"/>
  </r>
  <r>
    <x v="0"/>
    <x v="0"/>
    <x v="0"/>
    <x v="0"/>
    <x v="0"/>
    <s v="DK1_Small"/>
    <x v="2"/>
    <s v="GNR_EH_HEAT"/>
    <x v="0"/>
    <x v="9"/>
    <n v="14"/>
    <n v="5110"/>
    <n v="18396"/>
  </r>
  <r>
    <x v="0"/>
    <x v="0"/>
    <x v="0"/>
    <x v="0"/>
    <x v="0"/>
    <s v="DK1_Small"/>
    <x v="2"/>
    <s v="GNR_EH_HEAT"/>
    <x v="0"/>
    <x v="10"/>
    <n v="14"/>
    <n v="5110"/>
    <n v="18396"/>
  </r>
  <r>
    <x v="0"/>
    <x v="0"/>
    <x v="0"/>
    <x v="0"/>
    <x v="0"/>
    <s v="DK1_Small"/>
    <x v="2"/>
    <s v="GNR_EH_HEAT"/>
    <x v="0"/>
    <x v="11"/>
    <n v="14"/>
    <n v="5110"/>
    <n v="18396"/>
  </r>
  <r>
    <x v="0"/>
    <x v="0"/>
    <x v="0"/>
    <x v="0"/>
    <x v="0"/>
    <s v="DK1_Small"/>
    <x v="2"/>
    <s v="GNR_EH_HEAT"/>
    <x v="0"/>
    <x v="12"/>
    <n v="14"/>
    <n v="5110"/>
    <n v="18396"/>
  </r>
  <r>
    <x v="0"/>
    <x v="0"/>
    <x v="0"/>
    <x v="0"/>
    <x v="0"/>
    <s v="DK1_Small"/>
    <x v="2"/>
    <s v="GNR_EH_HEAT"/>
    <x v="0"/>
    <x v="13"/>
    <n v="14"/>
    <n v="5110"/>
    <n v="18396"/>
  </r>
  <r>
    <x v="0"/>
    <x v="0"/>
    <x v="0"/>
    <x v="0"/>
    <x v="0"/>
    <s v="DK1_Small"/>
    <x v="2"/>
    <s v="GNR_EH_HEAT"/>
    <x v="0"/>
    <x v="0"/>
    <n v="14"/>
    <n v="5110"/>
    <n v="18396"/>
  </r>
  <r>
    <x v="0"/>
    <x v="0"/>
    <x v="0"/>
    <x v="0"/>
    <x v="0"/>
    <s v="DK1_Small"/>
    <x v="2"/>
    <s v="GNR_EH_HEAT"/>
    <x v="0"/>
    <x v="14"/>
    <n v="14"/>
    <n v="5110"/>
    <n v="18396"/>
  </r>
  <r>
    <x v="0"/>
    <x v="0"/>
    <x v="0"/>
    <x v="0"/>
    <x v="0"/>
    <s v="DK1_Small"/>
    <x v="2"/>
    <s v="GNR_EH_HEAT"/>
    <x v="0"/>
    <x v="1"/>
    <n v="14"/>
    <n v="5110"/>
    <n v="18396"/>
  </r>
  <r>
    <x v="0"/>
    <x v="0"/>
    <x v="0"/>
    <x v="0"/>
    <x v="0"/>
    <s v="DK1_Small"/>
    <x v="2"/>
    <s v="GNR_EH_HEAT"/>
    <x v="0"/>
    <x v="23"/>
    <n v="14"/>
    <n v="5110"/>
    <n v="18396"/>
  </r>
  <r>
    <x v="0"/>
    <x v="0"/>
    <x v="0"/>
    <x v="0"/>
    <x v="0"/>
    <s v="DK1_Small"/>
    <x v="2"/>
    <s v="GNR_EH_HEAT"/>
    <x v="0"/>
    <x v="2"/>
    <n v="14"/>
    <n v="5110"/>
    <n v="18396"/>
  </r>
  <r>
    <x v="0"/>
    <x v="0"/>
    <x v="0"/>
    <x v="0"/>
    <x v="0"/>
    <s v="DK1_Small"/>
    <x v="2"/>
    <s v="GNR_EH_HEAT"/>
    <x v="0"/>
    <x v="3"/>
    <n v="14"/>
    <n v="5110"/>
    <n v="18396"/>
  </r>
  <r>
    <x v="0"/>
    <x v="0"/>
    <x v="0"/>
    <x v="0"/>
    <x v="0"/>
    <s v="DK1_Small"/>
    <x v="2"/>
    <s v="GNR_EH_HEAT"/>
    <x v="0"/>
    <x v="4"/>
    <n v="14"/>
    <n v="5110"/>
    <n v="18396"/>
  </r>
  <r>
    <x v="0"/>
    <x v="0"/>
    <x v="0"/>
    <x v="0"/>
    <x v="0"/>
    <s v="DK1_Small"/>
    <x v="2"/>
    <s v="GNR_EH_HEAT"/>
    <x v="0"/>
    <x v="5"/>
    <n v="14"/>
    <n v="5110"/>
    <n v="18396"/>
  </r>
  <r>
    <x v="0"/>
    <x v="0"/>
    <x v="0"/>
    <x v="0"/>
    <x v="0"/>
    <s v="DK1_Small"/>
    <x v="2"/>
    <s v="GNR_EH_HEAT"/>
    <x v="0"/>
    <x v="15"/>
    <n v="14"/>
    <n v="5110"/>
    <n v="18396"/>
  </r>
  <r>
    <x v="0"/>
    <x v="0"/>
    <x v="0"/>
    <x v="0"/>
    <x v="0"/>
    <s v="DK1_Small"/>
    <x v="2"/>
    <s v="GNR_EH_HEAT"/>
    <x v="0"/>
    <x v="6"/>
    <n v="14"/>
    <n v="5110"/>
    <n v="18396"/>
  </r>
  <r>
    <x v="0"/>
    <x v="0"/>
    <x v="0"/>
    <x v="0"/>
    <x v="0"/>
    <s v="DK1_Small"/>
    <x v="2"/>
    <s v="GNR_EH_HEAT"/>
    <x v="0"/>
    <x v="7"/>
    <n v="14"/>
    <n v="5110"/>
    <n v="18396"/>
  </r>
  <r>
    <x v="0"/>
    <x v="0"/>
    <x v="0"/>
    <x v="0"/>
    <x v="0"/>
    <s v="DK1_Small"/>
    <x v="2"/>
    <s v="GNR_EH_HEAT"/>
    <x v="0"/>
    <x v="8"/>
    <n v="14"/>
    <n v="5110"/>
    <n v="18396"/>
  </r>
  <r>
    <x v="0"/>
    <x v="0"/>
    <x v="0"/>
    <x v="0"/>
    <x v="0"/>
    <s v="DK1_Small"/>
    <x v="2"/>
    <s v="GNR_EH_HEAT"/>
    <x v="0"/>
    <x v="16"/>
    <n v="14"/>
    <n v="5110"/>
    <n v="18396"/>
  </r>
  <r>
    <x v="0"/>
    <x v="0"/>
    <x v="0"/>
    <x v="0"/>
    <x v="0"/>
    <s v="DK1_Small"/>
    <x v="2"/>
    <s v="GNR_EH_HEAT"/>
    <x v="0"/>
    <x v="17"/>
    <n v="14"/>
    <n v="5110"/>
    <n v="18396"/>
  </r>
  <r>
    <x v="0"/>
    <x v="0"/>
    <x v="0"/>
    <x v="0"/>
    <x v="0"/>
    <s v="DK1_Small"/>
    <x v="2"/>
    <s v="GNR_EH_HEAT"/>
    <x v="0"/>
    <x v="18"/>
    <n v="14"/>
    <n v="5110"/>
    <n v="18396"/>
  </r>
  <r>
    <x v="0"/>
    <x v="0"/>
    <x v="0"/>
    <x v="0"/>
    <x v="0"/>
    <s v="DK1_Small"/>
    <x v="2"/>
    <s v="GNR_EH_HEAT"/>
    <x v="0"/>
    <x v="19"/>
    <n v="14"/>
    <n v="5110"/>
    <n v="18396"/>
  </r>
  <r>
    <x v="0"/>
    <x v="0"/>
    <x v="0"/>
    <x v="0"/>
    <x v="0"/>
    <s v="DK1_Small"/>
    <x v="2"/>
    <s v="GNR_EH_HEAT"/>
    <x v="0"/>
    <x v="20"/>
    <n v="14"/>
    <n v="5110"/>
    <n v="18396"/>
  </r>
  <r>
    <x v="0"/>
    <x v="0"/>
    <x v="0"/>
    <x v="0"/>
    <x v="0"/>
    <s v="DK1_Small"/>
    <x v="2"/>
    <s v="GNR_EH_HEAT"/>
    <x v="0"/>
    <x v="21"/>
    <n v="14"/>
    <n v="5110"/>
    <n v="18396"/>
  </r>
  <r>
    <x v="0"/>
    <x v="0"/>
    <x v="0"/>
    <x v="0"/>
    <x v="0"/>
    <s v="DK1_Small"/>
    <x v="2"/>
    <s v="GNR_EH_HEAT"/>
    <x v="0"/>
    <x v="22"/>
    <n v="14"/>
    <n v="5110"/>
    <n v="18396"/>
  </r>
  <r>
    <x v="0"/>
    <x v="0"/>
    <x v="0"/>
    <x v="0"/>
    <x v="0"/>
    <s v="DK1_Small"/>
    <x v="8"/>
    <s v="GNR_BO_WOODWST_E-100"/>
    <x v="0"/>
    <x v="9"/>
    <n v="1.75"/>
    <n v="638.75"/>
    <n v="2299.5"/>
  </r>
  <r>
    <x v="0"/>
    <x v="0"/>
    <x v="0"/>
    <x v="0"/>
    <x v="0"/>
    <s v="DK1_Small"/>
    <x v="8"/>
    <s v="GNR_BO_WOODWST_E-100"/>
    <x v="0"/>
    <x v="10"/>
    <n v="1.75"/>
    <n v="638.75"/>
    <n v="2299.5"/>
  </r>
  <r>
    <x v="0"/>
    <x v="0"/>
    <x v="0"/>
    <x v="0"/>
    <x v="0"/>
    <s v="DK1_Small"/>
    <x v="8"/>
    <s v="GNR_BO_WOODWST_E-100"/>
    <x v="0"/>
    <x v="11"/>
    <n v="1.75"/>
    <n v="638.75"/>
    <n v="2299.5"/>
  </r>
  <r>
    <x v="0"/>
    <x v="0"/>
    <x v="0"/>
    <x v="0"/>
    <x v="0"/>
    <s v="DK1_Small"/>
    <x v="8"/>
    <s v="GNR_BO_WOODWST_E-100"/>
    <x v="0"/>
    <x v="12"/>
    <n v="1.75"/>
    <n v="638.75"/>
    <n v="2299.5"/>
  </r>
  <r>
    <x v="0"/>
    <x v="0"/>
    <x v="0"/>
    <x v="0"/>
    <x v="0"/>
    <s v="DK1_Small"/>
    <x v="8"/>
    <s v="GNR_BO_WOODWST_E-100"/>
    <x v="0"/>
    <x v="13"/>
    <n v="1.75"/>
    <n v="638.75"/>
    <n v="2299.5"/>
  </r>
  <r>
    <x v="0"/>
    <x v="0"/>
    <x v="0"/>
    <x v="0"/>
    <x v="0"/>
    <s v="DK1_Small"/>
    <x v="8"/>
    <s v="GNR_BO_WOODWST_E-100"/>
    <x v="0"/>
    <x v="0"/>
    <n v="1.75"/>
    <n v="638.75"/>
    <n v="2299.5"/>
  </r>
  <r>
    <x v="0"/>
    <x v="0"/>
    <x v="0"/>
    <x v="0"/>
    <x v="0"/>
    <s v="DK1_Small"/>
    <x v="8"/>
    <s v="GNR_BO_WOODWST_E-100"/>
    <x v="0"/>
    <x v="14"/>
    <n v="1.75"/>
    <n v="638.75"/>
    <n v="2299.5"/>
  </r>
  <r>
    <x v="0"/>
    <x v="0"/>
    <x v="0"/>
    <x v="0"/>
    <x v="0"/>
    <s v="DK1_Small"/>
    <x v="8"/>
    <s v="GNR_BO_WOODWST_E-100"/>
    <x v="0"/>
    <x v="1"/>
    <n v="1.75"/>
    <n v="638.75"/>
    <n v="2299.5"/>
  </r>
  <r>
    <x v="0"/>
    <x v="0"/>
    <x v="0"/>
    <x v="0"/>
    <x v="0"/>
    <s v="DK1_Small"/>
    <x v="8"/>
    <s v="GNR_BO_WOODWST_E-100"/>
    <x v="0"/>
    <x v="23"/>
    <n v="1.75"/>
    <n v="638.75"/>
    <n v="2299.5"/>
  </r>
  <r>
    <x v="0"/>
    <x v="0"/>
    <x v="0"/>
    <x v="0"/>
    <x v="0"/>
    <s v="DK1_Small"/>
    <x v="8"/>
    <s v="GNR_BO_WOODWST_E-100"/>
    <x v="0"/>
    <x v="2"/>
    <n v="1.75"/>
    <n v="638.75"/>
    <n v="2299.5"/>
  </r>
  <r>
    <x v="0"/>
    <x v="0"/>
    <x v="0"/>
    <x v="0"/>
    <x v="0"/>
    <s v="DK1_Small"/>
    <x v="8"/>
    <s v="GNR_BO_WOODWST_E-100"/>
    <x v="0"/>
    <x v="3"/>
    <n v="1.75"/>
    <n v="638.75"/>
    <n v="2299.5"/>
  </r>
  <r>
    <x v="0"/>
    <x v="0"/>
    <x v="0"/>
    <x v="0"/>
    <x v="0"/>
    <s v="DK1_Small"/>
    <x v="8"/>
    <s v="GNR_BO_WOODWST_E-100"/>
    <x v="0"/>
    <x v="4"/>
    <n v="1.75"/>
    <n v="638.75"/>
    <n v="2299.5"/>
  </r>
  <r>
    <x v="0"/>
    <x v="0"/>
    <x v="0"/>
    <x v="0"/>
    <x v="0"/>
    <s v="DK1_Small"/>
    <x v="8"/>
    <s v="GNR_BO_WOODWST_E-100"/>
    <x v="0"/>
    <x v="5"/>
    <n v="1.75"/>
    <n v="638.75"/>
    <n v="2299.5"/>
  </r>
  <r>
    <x v="0"/>
    <x v="0"/>
    <x v="0"/>
    <x v="0"/>
    <x v="0"/>
    <s v="DK1_Small"/>
    <x v="8"/>
    <s v="GNR_BO_WOODWST_E-100"/>
    <x v="0"/>
    <x v="15"/>
    <n v="1.75"/>
    <n v="638.75"/>
    <n v="2299.5"/>
  </r>
  <r>
    <x v="0"/>
    <x v="0"/>
    <x v="0"/>
    <x v="0"/>
    <x v="0"/>
    <s v="DK1_Small"/>
    <x v="8"/>
    <s v="GNR_BO_WOODWST_E-100"/>
    <x v="0"/>
    <x v="6"/>
    <n v="1.75"/>
    <n v="638.75"/>
    <n v="2299.5"/>
  </r>
  <r>
    <x v="0"/>
    <x v="0"/>
    <x v="0"/>
    <x v="0"/>
    <x v="0"/>
    <s v="DK1_Small"/>
    <x v="8"/>
    <s v="GNR_BO_WOODWST_E-100"/>
    <x v="0"/>
    <x v="7"/>
    <n v="1.75"/>
    <n v="638.75"/>
    <n v="2299.5"/>
  </r>
  <r>
    <x v="0"/>
    <x v="0"/>
    <x v="0"/>
    <x v="0"/>
    <x v="0"/>
    <s v="DK1_Small"/>
    <x v="8"/>
    <s v="GNR_BO_WOODWST_E-100"/>
    <x v="0"/>
    <x v="8"/>
    <n v="1.75"/>
    <n v="638.75"/>
    <n v="2299.5"/>
  </r>
  <r>
    <x v="0"/>
    <x v="0"/>
    <x v="0"/>
    <x v="0"/>
    <x v="0"/>
    <s v="DK1_Small"/>
    <x v="8"/>
    <s v="GNR_BO_WOODWST_E-100"/>
    <x v="0"/>
    <x v="16"/>
    <n v="1.75"/>
    <n v="638.75"/>
    <n v="2299.5"/>
  </r>
  <r>
    <x v="0"/>
    <x v="0"/>
    <x v="0"/>
    <x v="0"/>
    <x v="0"/>
    <s v="DK1_Small"/>
    <x v="8"/>
    <s v="GNR_BO_WOODWST_E-100"/>
    <x v="0"/>
    <x v="17"/>
    <n v="1.75"/>
    <n v="638.75"/>
    <n v="2299.5"/>
  </r>
  <r>
    <x v="0"/>
    <x v="0"/>
    <x v="0"/>
    <x v="0"/>
    <x v="0"/>
    <s v="DK1_Small"/>
    <x v="8"/>
    <s v="GNR_BO_WOODWST_E-100"/>
    <x v="0"/>
    <x v="18"/>
    <n v="1.75"/>
    <n v="638.75"/>
    <n v="2299.5"/>
  </r>
  <r>
    <x v="0"/>
    <x v="0"/>
    <x v="0"/>
    <x v="0"/>
    <x v="0"/>
    <s v="DK1_Small"/>
    <x v="8"/>
    <s v="GNR_BO_WOODWST_E-100"/>
    <x v="0"/>
    <x v="19"/>
    <n v="1.75"/>
    <n v="638.75"/>
    <n v="2299.5"/>
  </r>
  <r>
    <x v="0"/>
    <x v="0"/>
    <x v="0"/>
    <x v="0"/>
    <x v="0"/>
    <s v="DK1_Small"/>
    <x v="8"/>
    <s v="GNR_BO_WOODWST_E-100"/>
    <x v="0"/>
    <x v="20"/>
    <n v="1.75"/>
    <n v="638.75"/>
    <n v="2299.5"/>
  </r>
  <r>
    <x v="0"/>
    <x v="0"/>
    <x v="0"/>
    <x v="0"/>
    <x v="0"/>
    <s v="DK1_Small"/>
    <x v="8"/>
    <s v="GNR_BO_WOODWST_E-100"/>
    <x v="0"/>
    <x v="21"/>
    <n v="1.75"/>
    <n v="638.75"/>
    <n v="2299.5"/>
  </r>
  <r>
    <x v="0"/>
    <x v="0"/>
    <x v="0"/>
    <x v="0"/>
    <x v="0"/>
    <s v="DK1_Small"/>
    <x v="8"/>
    <s v="GNR_BO_WOODWST_E-100"/>
    <x v="0"/>
    <x v="22"/>
    <n v="1.75"/>
    <n v="638.75"/>
    <n v="2299.5"/>
  </r>
  <r>
    <x v="0"/>
    <x v="0"/>
    <x v="0"/>
    <x v="0"/>
    <x v="0"/>
    <s v="DK1_Small"/>
    <x v="8"/>
    <s v="GNR_BO_WOODWST_E-89"/>
    <x v="0"/>
    <x v="9"/>
    <n v="1.778"/>
    <n v="648.97"/>
    <n v="2336.2919999999999"/>
  </r>
  <r>
    <x v="0"/>
    <x v="0"/>
    <x v="0"/>
    <x v="0"/>
    <x v="0"/>
    <s v="DK1_Small"/>
    <x v="8"/>
    <s v="GNR_BO_WOODWST_E-89"/>
    <x v="0"/>
    <x v="10"/>
    <n v="1.778"/>
    <n v="648.97"/>
    <n v="2336.2919999999999"/>
  </r>
  <r>
    <x v="0"/>
    <x v="0"/>
    <x v="0"/>
    <x v="0"/>
    <x v="0"/>
    <s v="DK1_Small"/>
    <x v="8"/>
    <s v="GNR_BO_WOODWST_E-89"/>
    <x v="0"/>
    <x v="11"/>
    <n v="1.778"/>
    <n v="648.97"/>
    <n v="2336.2919999999999"/>
  </r>
  <r>
    <x v="0"/>
    <x v="0"/>
    <x v="0"/>
    <x v="0"/>
    <x v="0"/>
    <s v="DK1_Small"/>
    <x v="8"/>
    <s v="GNR_BO_WOODWST_E-89"/>
    <x v="0"/>
    <x v="12"/>
    <n v="1.778"/>
    <n v="648.97"/>
    <n v="2336.2919999999999"/>
  </r>
  <r>
    <x v="0"/>
    <x v="0"/>
    <x v="0"/>
    <x v="0"/>
    <x v="0"/>
    <s v="DK1_Small"/>
    <x v="8"/>
    <s v="GNR_BO_WOODWST_E-89"/>
    <x v="0"/>
    <x v="13"/>
    <n v="1.778"/>
    <n v="648.97"/>
    <n v="2336.2919999999999"/>
  </r>
  <r>
    <x v="0"/>
    <x v="0"/>
    <x v="0"/>
    <x v="0"/>
    <x v="0"/>
    <s v="DK1_Small"/>
    <x v="8"/>
    <s v="GNR_BO_WOODWST_E-89"/>
    <x v="0"/>
    <x v="0"/>
    <n v="1.778"/>
    <n v="648.97"/>
    <n v="2336.2919999999999"/>
  </r>
  <r>
    <x v="0"/>
    <x v="0"/>
    <x v="0"/>
    <x v="0"/>
    <x v="0"/>
    <s v="DK1_Small"/>
    <x v="8"/>
    <s v="GNR_BO_WOODWST_E-89"/>
    <x v="0"/>
    <x v="14"/>
    <n v="1.778"/>
    <n v="648.97"/>
    <n v="2336.2919999999999"/>
  </r>
  <r>
    <x v="0"/>
    <x v="0"/>
    <x v="0"/>
    <x v="0"/>
    <x v="0"/>
    <s v="DK1_Small"/>
    <x v="8"/>
    <s v="GNR_BO_WOODWST_E-89"/>
    <x v="0"/>
    <x v="1"/>
    <n v="1.778"/>
    <n v="648.97"/>
    <n v="2336.2919999999999"/>
  </r>
  <r>
    <x v="0"/>
    <x v="0"/>
    <x v="0"/>
    <x v="0"/>
    <x v="0"/>
    <s v="DK1_Small"/>
    <x v="8"/>
    <s v="GNR_BO_WOODWST_E-89"/>
    <x v="0"/>
    <x v="23"/>
    <n v="1.778"/>
    <n v="648.97"/>
    <n v="2336.2919999999999"/>
  </r>
  <r>
    <x v="0"/>
    <x v="0"/>
    <x v="0"/>
    <x v="0"/>
    <x v="0"/>
    <s v="DK1_Small"/>
    <x v="8"/>
    <s v="GNR_BO_WOODWST_E-89"/>
    <x v="0"/>
    <x v="2"/>
    <n v="1.778"/>
    <n v="648.97"/>
    <n v="2336.2919999999999"/>
  </r>
  <r>
    <x v="0"/>
    <x v="0"/>
    <x v="0"/>
    <x v="0"/>
    <x v="0"/>
    <s v="DK1_Small"/>
    <x v="8"/>
    <s v="GNR_BO_WOODWST_E-89"/>
    <x v="0"/>
    <x v="3"/>
    <n v="1.778"/>
    <n v="648.97"/>
    <n v="2336.2919999999999"/>
  </r>
  <r>
    <x v="0"/>
    <x v="0"/>
    <x v="0"/>
    <x v="0"/>
    <x v="0"/>
    <s v="DK1_Small"/>
    <x v="8"/>
    <s v="GNR_BO_WOODWST_E-89"/>
    <x v="0"/>
    <x v="4"/>
    <n v="1.778"/>
    <n v="648.97"/>
    <n v="2336.2919999999999"/>
  </r>
  <r>
    <x v="0"/>
    <x v="0"/>
    <x v="0"/>
    <x v="0"/>
    <x v="0"/>
    <s v="DK1_Small"/>
    <x v="8"/>
    <s v="GNR_BO_WOODWST_E-89"/>
    <x v="0"/>
    <x v="5"/>
    <n v="1.778"/>
    <n v="648.97"/>
    <n v="2336.2919999999999"/>
  </r>
  <r>
    <x v="0"/>
    <x v="0"/>
    <x v="0"/>
    <x v="0"/>
    <x v="0"/>
    <s v="DK1_Small"/>
    <x v="8"/>
    <s v="GNR_BO_WOODWST_E-89"/>
    <x v="0"/>
    <x v="15"/>
    <n v="1.778"/>
    <n v="648.97"/>
    <n v="2336.2919999999999"/>
  </r>
  <r>
    <x v="0"/>
    <x v="0"/>
    <x v="0"/>
    <x v="0"/>
    <x v="0"/>
    <s v="DK1_Small"/>
    <x v="8"/>
    <s v="GNR_BO_WOODWST_E-89"/>
    <x v="0"/>
    <x v="6"/>
    <n v="1.778"/>
    <n v="648.97"/>
    <n v="2336.2919999999999"/>
  </r>
  <r>
    <x v="0"/>
    <x v="0"/>
    <x v="0"/>
    <x v="0"/>
    <x v="0"/>
    <s v="DK1_Small"/>
    <x v="8"/>
    <s v="GNR_BO_WOODWST_E-89"/>
    <x v="0"/>
    <x v="7"/>
    <n v="1.778"/>
    <n v="648.97"/>
    <n v="2336.2919999999999"/>
  </r>
  <r>
    <x v="0"/>
    <x v="0"/>
    <x v="0"/>
    <x v="0"/>
    <x v="0"/>
    <s v="DK1_Small"/>
    <x v="8"/>
    <s v="GNR_BO_WOODWST_E-89"/>
    <x v="0"/>
    <x v="8"/>
    <n v="1.778"/>
    <n v="648.97"/>
    <n v="2336.2919999999999"/>
  </r>
  <r>
    <x v="0"/>
    <x v="0"/>
    <x v="0"/>
    <x v="0"/>
    <x v="0"/>
    <s v="DK1_Small"/>
    <x v="8"/>
    <s v="GNR_BO_WOODWST_E-89"/>
    <x v="0"/>
    <x v="16"/>
    <n v="1.778"/>
    <n v="648.97"/>
    <n v="2336.2919999999999"/>
  </r>
  <r>
    <x v="0"/>
    <x v="0"/>
    <x v="0"/>
    <x v="0"/>
    <x v="0"/>
    <s v="DK1_Small"/>
    <x v="8"/>
    <s v="GNR_BO_WOODWST_E-89"/>
    <x v="0"/>
    <x v="17"/>
    <n v="1.778"/>
    <n v="648.97"/>
    <n v="2336.2919999999999"/>
  </r>
  <r>
    <x v="0"/>
    <x v="0"/>
    <x v="0"/>
    <x v="0"/>
    <x v="0"/>
    <s v="DK1_Small"/>
    <x v="8"/>
    <s v="GNR_BO_WOODWST_E-89"/>
    <x v="0"/>
    <x v="18"/>
    <n v="1.778"/>
    <n v="648.97"/>
    <n v="2336.2919999999999"/>
  </r>
  <r>
    <x v="0"/>
    <x v="0"/>
    <x v="0"/>
    <x v="0"/>
    <x v="0"/>
    <s v="DK1_Small"/>
    <x v="8"/>
    <s v="GNR_BO_WOODWST_E-89"/>
    <x v="0"/>
    <x v="19"/>
    <n v="1.778"/>
    <n v="648.97"/>
    <n v="2336.2919999999999"/>
  </r>
  <r>
    <x v="0"/>
    <x v="0"/>
    <x v="0"/>
    <x v="0"/>
    <x v="0"/>
    <s v="DK1_Small"/>
    <x v="8"/>
    <s v="GNR_BO_WOODWST_E-89"/>
    <x v="0"/>
    <x v="20"/>
    <n v="1.778"/>
    <n v="648.97"/>
    <n v="2336.2919999999999"/>
  </r>
  <r>
    <x v="0"/>
    <x v="0"/>
    <x v="0"/>
    <x v="0"/>
    <x v="0"/>
    <s v="DK1_Small"/>
    <x v="8"/>
    <s v="GNR_BO_WOODWST_E-89"/>
    <x v="0"/>
    <x v="21"/>
    <n v="1.778"/>
    <n v="648.97"/>
    <n v="2336.2919999999999"/>
  </r>
  <r>
    <x v="0"/>
    <x v="0"/>
    <x v="0"/>
    <x v="0"/>
    <x v="0"/>
    <s v="DK1_Small"/>
    <x v="8"/>
    <s v="GNR_BO_WOODWST_E-89"/>
    <x v="0"/>
    <x v="22"/>
    <n v="1.778"/>
    <n v="648.97"/>
    <n v="2336.2919999999999"/>
  </r>
  <r>
    <x v="0"/>
    <x v="0"/>
    <x v="0"/>
    <x v="0"/>
    <x v="1"/>
    <s v="DK2_Large"/>
    <x v="0"/>
    <s v="GNR_ST_COAL_EXT_E-42"/>
    <x v="0"/>
    <x v="9"/>
    <n v="555.555555555556"/>
    <n v="202777.77777777801"/>
    <n v="730000"/>
  </r>
  <r>
    <x v="0"/>
    <x v="0"/>
    <x v="0"/>
    <x v="0"/>
    <x v="1"/>
    <s v="DK2_Large"/>
    <x v="0"/>
    <s v="GNR_ST_COAL_EXT_E-42"/>
    <x v="0"/>
    <x v="10"/>
    <n v="555.555555555556"/>
    <n v="202777.77777777801"/>
    <n v="730000"/>
  </r>
  <r>
    <x v="0"/>
    <x v="0"/>
    <x v="0"/>
    <x v="0"/>
    <x v="1"/>
    <s v="DK2_Large"/>
    <x v="0"/>
    <s v="GNR_ST_COAL_EXT_E-42"/>
    <x v="0"/>
    <x v="11"/>
    <n v="555.555555555556"/>
    <n v="202777.77777777801"/>
    <n v="730000"/>
  </r>
  <r>
    <x v="0"/>
    <x v="0"/>
    <x v="0"/>
    <x v="0"/>
    <x v="1"/>
    <s v="DK2_Large"/>
    <x v="0"/>
    <s v="GNR_ST_COAL_EXT_E-42"/>
    <x v="0"/>
    <x v="12"/>
    <n v="555.555555555556"/>
    <n v="202777.77777777801"/>
    <n v="730000"/>
  </r>
  <r>
    <x v="0"/>
    <x v="0"/>
    <x v="0"/>
    <x v="0"/>
    <x v="1"/>
    <s v="DK2_Large"/>
    <x v="0"/>
    <s v="GNR_ST_COAL_EXT_E-42"/>
    <x v="0"/>
    <x v="13"/>
    <n v="555.555555555556"/>
    <n v="202777.77777777801"/>
    <n v="730000"/>
  </r>
  <r>
    <x v="0"/>
    <x v="0"/>
    <x v="0"/>
    <x v="0"/>
    <x v="1"/>
    <s v="DK2_Large"/>
    <x v="0"/>
    <s v="GNR_ST_COAL_EXT_E-42"/>
    <x v="0"/>
    <x v="0"/>
    <n v="555.555555555556"/>
    <n v="202777.77777777801"/>
    <n v="730000"/>
  </r>
  <r>
    <x v="0"/>
    <x v="0"/>
    <x v="0"/>
    <x v="0"/>
    <x v="1"/>
    <s v="DK2_Large"/>
    <x v="0"/>
    <s v="GNR_ST_COAL_EXT_E-42"/>
    <x v="0"/>
    <x v="14"/>
    <n v="555.555555555556"/>
    <n v="202777.77777777801"/>
    <n v="730000"/>
  </r>
  <r>
    <x v="0"/>
    <x v="0"/>
    <x v="0"/>
    <x v="0"/>
    <x v="1"/>
    <s v="DK2_Large"/>
    <x v="0"/>
    <s v="GNR_ST_COAL_EXT_E-42"/>
    <x v="0"/>
    <x v="1"/>
    <n v="555.555555555556"/>
    <n v="202777.77777777801"/>
    <n v="730000"/>
  </r>
  <r>
    <x v="0"/>
    <x v="0"/>
    <x v="0"/>
    <x v="0"/>
    <x v="1"/>
    <s v="DK2_Large"/>
    <x v="0"/>
    <s v="GNR_ST_COAL_EXT_E-42"/>
    <x v="0"/>
    <x v="23"/>
    <n v="555.555555555556"/>
    <n v="202777.77777777801"/>
    <n v="730000"/>
  </r>
  <r>
    <x v="0"/>
    <x v="0"/>
    <x v="0"/>
    <x v="0"/>
    <x v="1"/>
    <s v="DK2_Large"/>
    <x v="0"/>
    <s v="GNR_ST_COAL_EXT_E-42"/>
    <x v="0"/>
    <x v="2"/>
    <n v="555.555555555556"/>
    <n v="202777.77777777801"/>
    <n v="730000"/>
  </r>
  <r>
    <x v="0"/>
    <x v="0"/>
    <x v="0"/>
    <x v="0"/>
    <x v="1"/>
    <s v="DK2_Large"/>
    <x v="0"/>
    <s v="GNR_ST_COAL_EXT_E-42"/>
    <x v="0"/>
    <x v="3"/>
    <n v="555.555555555556"/>
    <n v="202777.77777777801"/>
    <n v="730000"/>
  </r>
  <r>
    <x v="0"/>
    <x v="0"/>
    <x v="0"/>
    <x v="0"/>
    <x v="1"/>
    <s v="DK2_Large"/>
    <x v="0"/>
    <s v="GNR_ST_COAL_EXT_E-42"/>
    <x v="0"/>
    <x v="4"/>
    <n v="555.555555555556"/>
    <n v="202777.77777777801"/>
    <n v="730000"/>
  </r>
  <r>
    <x v="0"/>
    <x v="0"/>
    <x v="0"/>
    <x v="0"/>
    <x v="1"/>
    <s v="DK2_Large"/>
    <x v="0"/>
    <s v="GNR_ST_COAL_EXT_E-42"/>
    <x v="0"/>
    <x v="5"/>
    <n v="555.555555555556"/>
    <n v="202777.77777777801"/>
    <n v="730000"/>
  </r>
  <r>
    <x v="0"/>
    <x v="0"/>
    <x v="0"/>
    <x v="0"/>
    <x v="1"/>
    <s v="DK2_Large"/>
    <x v="0"/>
    <s v="GNR_ST_COAL_EXT_E-42"/>
    <x v="0"/>
    <x v="15"/>
    <n v="555.555555555556"/>
    <n v="202777.77777777801"/>
    <n v="730000"/>
  </r>
  <r>
    <x v="0"/>
    <x v="0"/>
    <x v="0"/>
    <x v="0"/>
    <x v="1"/>
    <s v="DK2_Large"/>
    <x v="0"/>
    <s v="GNR_ST_COAL_EXT_E-42"/>
    <x v="0"/>
    <x v="6"/>
    <n v="555.555555555556"/>
    <n v="202777.77777777801"/>
    <n v="730000"/>
  </r>
  <r>
    <x v="0"/>
    <x v="0"/>
    <x v="0"/>
    <x v="0"/>
    <x v="1"/>
    <s v="DK2_Large"/>
    <x v="0"/>
    <s v="GNR_ST_COAL_EXT_E-42"/>
    <x v="0"/>
    <x v="7"/>
    <n v="555.555555555556"/>
    <n v="202777.77777777801"/>
    <n v="730000"/>
  </r>
  <r>
    <x v="0"/>
    <x v="0"/>
    <x v="0"/>
    <x v="0"/>
    <x v="1"/>
    <s v="DK2_Large"/>
    <x v="0"/>
    <s v="GNR_ST_COAL_EXT_E-42"/>
    <x v="0"/>
    <x v="8"/>
    <n v="555.555555555556"/>
    <n v="202777.77777777801"/>
    <n v="730000"/>
  </r>
  <r>
    <x v="0"/>
    <x v="0"/>
    <x v="0"/>
    <x v="0"/>
    <x v="1"/>
    <s v="DK2_Large"/>
    <x v="0"/>
    <s v="GNR_ST_COAL_EXT_E-42"/>
    <x v="0"/>
    <x v="16"/>
    <n v="555.555555555556"/>
    <n v="202777.77777777801"/>
    <n v="730000"/>
  </r>
  <r>
    <x v="0"/>
    <x v="0"/>
    <x v="0"/>
    <x v="0"/>
    <x v="1"/>
    <s v="DK2_Large"/>
    <x v="0"/>
    <s v="GNR_ST_COAL_EXT_E-42"/>
    <x v="0"/>
    <x v="17"/>
    <n v="555.555555555556"/>
    <n v="202777.77777777801"/>
    <n v="730000"/>
  </r>
  <r>
    <x v="0"/>
    <x v="0"/>
    <x v="0"/>
    <x v="0"/>
    <x v="1"/>
    <s v="DK2_Large"/>
    <x v="0"/>
    <s v="GNR_ST_COAL_EXT_E-42"/>
    <x v="0"/>
    <x v="18"/>
    <n v="555.555555555556"/>
    <n v="202777.77777777801"/>
    <n v="730000"/>
  </r>
  <r>
    <x v="0"/>
    <x v="0"/>
    <x v="0"/>
    <x v="0"/>
    <x v="1"/>
    <s v="DK2_Large"/>
    <x v="0"/>
    <s v="GNR_ST_COAL_EXT_E-42"/>
    <x v="0"/>
    <x v="19"/>
    <n v="555.555555555556"/>
    <n v="202777.77777777801"/>
    <n v="730000"/>
  </r>
  <r>
    <x v="0"/>
    <x v="0"/>
    <x v="0"/>
    <x v="0"/>
    <x v="1"/>
    <s v="DK2_Large"/>
    <x v="0"/>
    <s v="GNR_ST_COAL_EXT_E-42"/>
    <x v="0"/>
    <x v="20"/>
    <n v="555.555555555556"/>
    <n v="202777.77777777801"/>
    <n v="730000"/>
  </r>
  <r>
    <x v="0"/>
    <x v="0"/>
    <x v="0"/>
    <x v="0"/>
    <x v="1"/>
    <s v="DK2_Large"/>
    <x v="0"/>
    <s v="GNR_ST_COAL_EXT_E-42"/>
    <x v="0"/>
    <x v="21"/>
    <n v="555.555555555556"/>
    <n v="202777.77777777801"/>
    <n v="730000"/>
  </r>
  <r>
    <x v="0"/>
    <x v="0"/>
    <x v="0"/>
    <x v="0"/>
    <x v="1"/>
    <s v="DK2_Large"/>
    <x v="0"/>
    <s v="GNR_ST_COAL_EXT_E-42"/>
    <x v="0"/>
    <x v="22"/>
    <n v="555.555555555556"/>
    <n v="202777.77777777801"/>
    <n v="730000"/>
  </r>
  <r>
    <x v="0"/>
    <x v="0"/>
    <x v="0"/>
    <x v="0"/>
    <x v="1"/>
    <s v="DK2_Large"/>
    <x v="3"/>
    <s v="GNR_HP_ELEC_COP-300"/>
    <x v="0"/>
    <x v="9"/>
    <n v="0.34"/>
    <n v="124.1"/>
    <n v="446.76"/>
  </r>
  <r>
    <x v="0"/>
    <x v="0"/>
    <x v="0"/>
    <x v="0"/>
    <x v="1"/>
    <s v="DK2_Large"/>
    <x v="3"/>
    <s v="GNR_HP_ELEC_COP-300"/>
    <x v="0"/>
    <x v="10"/>
    <n v="0.34"/>
    <n v="124.1"/>
    <n v="446.76"/>
  </r>
  <r>
    <x v="0"/>
    <x v="0"/>
    <x v="0"/>
    <x v="0"/>
    <x v="1"/>
    <s v="DK2_Large"/>
    <x v="3"/>
    <s v="GNR_HP_ELEC_COP-300"/>
    <x v="0"/>
    <x v="11"/>
    <n v="0.34"/>
    <n v="124.1"/>
    <n v="446.76"/>
  </r>
  <r>
    <x v="0"/>
    <x v="0"/>
    <x v="0"/>
    <x v="0"/>
    <x v="1"/>
    <s v="DK2_Large"/>
    <x v="3"/>
    <s v="GNR_HP_ELEC_COP-300"/>
    <x v="0"/>
    <x v="12"/>
    <n v="0.34"/>
    <n v="124.1"/>
    <n v="446.76"/>
  </r>
  <r>
    <x v="0"/>
    <x v="0"/>
    <x v="0"/>
    <x v="0"/>
    <x v="1"/>
    <s v="DK2_Large"/>
    <x v="3"/>
    <s v="GNR_HP_ELEC_COP-300"/>
    <x v="0"/>
    <x v="13"/>
    <n v="0.34"/>
    <n v="124.1"/>
    <n v="446.76"/>
  </r>
  <r>
    <x v="0"/>
    <x v="0"/>
    <x v="0"/>
    <x v="0"/>
    <x v="1"/>
    <s v="DK2_Large"/>
    <x v="3"/>
    <s v="GNR_HP_ELEC_COP-300"/>
    <x v="0"/>
    <x v="0"/>
    <n v="0.34"/>
    <n v="124.1"/>
    <n v="446.76"/>
  </r>
  <r>
    <x v="0"/>
    <x v="0"/>
    <x v="0"/>
    <x v="0"/>
    <x v="1"/>
    <s v="DK2_Large"/>
    <x v="3"/>
    <s v="GNR_HP_ELEC_COP-300"/>
    <x v="0"/>
    <x v="14"/>
    <n v="0.34"/>
    <n v="124.1"/>
    <n v="446.76"/>
  </r>
  <r>
    <x v="0"/>
    <x v="0"/>
    <x v="0"/>
    <x v="0"/>
    <x v="1"/>
    <s v="DK2_Large"/>
    <x v="3"/>
    <s v="GNR_HP_ELEC_COP-300"/>
    <x v="0"/>
    <x v="1"/>
    <n v="0.34"/>
    <n v="124.1"/>
    <n v="446.76"/>
  </r>
  <r>
    <x v="0"/>
    <x v="0"/>
    <x v="0"/>
    <x v="0"/>
    <x v="1"/>
    <s v="DK2_Large"/>
    <x v="3"/>
    <s v="GNR_HP_ELEC_COP-300"/>
    <x v="0"/>
    <x v="23"/>
    <n v="0.34"/>
    <n v="124.1"/>
    <n v="446.76"/>
  </r>
  <r>
    <x v="0"/>
    <x v="0"/>
    <x v="0"/>
    <x v="0"/>
    <x v="1"/>
    <s v="DK2_Large"/>
    <x v="3"/>
    <s v="GNR_HP_ELEC_COP-300"/>
    <x v="0"/>
    <x v="2"/>
    <n v="0.34"/>
    <n v="124.1"/>
    <n v="446.76"/>
  </r>
  <r>
    <x v="0"/>
    <x v="0"/>
    <x v="0"/>
    <x v="0"/>
    <x v="1"/>
    <s v="DK2_Large"/>
    <x v="3"/>
    <s v="GNR_HP_ELEC_COP-300"/>
    <x v="0"/>
    <x v="3"/>
    <n v="0.34"/>
    <n v="124.1"/>
    <n v="446.76"/>
  </r>
  <r>
    <x v="0"/>
    <x v="0"/>
    <x v="0"/>
    <x v="0"/>
    <x v="1"/>
    <s v="DK2_Large"/>
    <x v="3"/>
    <s v="GNR_HP_ELEC_COP-300"/>
    <x v="0"/>
    <x v="4"/>
    <n v="0.34"/>
    <n v="124.1"/>
    <n v="446.76"/>
  </r>
  <r>
    <x v="0"/>
    <x v="0"/>
    <x v="0"/>
    <x v="0"/>
    <x v="1"/>
    <s v="DK2_Large"/>
    <x v="3"/>
    <s v="GNR_HP_ELEC_COP-300"/>
    <x v="0"/>
    <x v="5"/>
    <n v="0.34"/>
    <n v="124.1"/>
    <n v="446.76"/>
  </r>
  <r>
    <x v="0"/>
    <x v="0"/>
    <x v="0"/>
    <x v="0"/>
    <x v="1"/>
    <s v="DK2_Large"/>
    <x v="3"/>
    <s v="GNR_HP_ELEC_COP-300"/>
    <x v="0"/>
    <x v="15"/>
    <n v="0.34"/>
    <n v="124.1"/>
    <n v="446.76"/>
  </r>
  <r>
    <x v="0"/>
    <x v="0"/>
    <x v="0"/>
    <x v="0"/>
    <x v="1"/>
    <s v="DK2_Large"/>
    <x v="3"/>
    <s v="GNR_HP_ELEC_COP-300"/>
    <x v="0"/>
    <x v="6"/>
    <n v="0.34"/>
    <n v="124.1"/>
    <n v="446.76"/>
  </r>
  <r>
    <x v="0"/>
    <x v="0"/>
    <x v="0"/>
    <x v="0"/>
    <x v="1"/>
    <s v="DK2_Large"/>
    <x v="3"/>
    <s v="GNR_HP_ELEC_COP-300"/>
    <x v="0"/>
    <x v="7"/>
    <n v="0.34"/>
    <n v="124.1"/>
    <n v="446.76"/>
  </r>
  <r>
    <x v="0"/>
    <x v="0"/>
    <x v="0"/>
    <x v="0"/>
    <x v="1"/>
    <s v="DK2_Large"/>
    <x v="3"/>
    <s v="GNR_HP_ELEC_COP-300"/>
    <x v="0"/>
    <x v="8"/>
    <n v="0.34"/>
    <n v="124.1"/>
    <n v="446.76"/>
  </r>
  <r>
    <x v="0"/>
    <x v="0"/>
    <x v="0"/>
    <x v="0"/>
    <x v="1"/>
    <s v="DK2_Large"/>
    <x v="3"/>
    <s v="GNR_HP_ELEC_COP-300"/>
    <x v="0"/>
    <x v="16"/>
    <n v="0.34"/>
    <n v="124.1"/>
    <n v="446.76"/>
  </r>
  <r>
    <x v="0"/>
    <x v="0"/>
    <x v="0"/>
    <x v="0"/>
    <x v="1"/>
    <s v="DK2_Large"/>
    <x v="3"/>
    <s v="GNR_HP_ELEC_COP-300"/>
    <x v="0"/>
    <x v="17"/>
    <n v="0.34"/>
    <n v="124.1"/>
    <n v="446.76"/>
  </r>
  <r>
    <x v="0"/>
    <x v="0"/>
    <x v="0"/>
    <x v="0"/>
    <x v="1"/>
    <s v="DK2_Large"/>
    <x v="3"/>
    <s v="GNR_HP_ELEC_COP-300"/>
    <x v="0"/>
    <x v="18"/>
    <n v="0.34"/>
    <n v="124.1"/>
    <n v="446.76"/>
  </r>
  <r>
    <x v="0"/>
    <x v="0"/>
    <x v="0"/>
    <x v="0"/>
    <x v="1"/>
    <s v="DK2_Large"/>
    <x v="3"/>
    <s v="GNR_HP_ELEC_COP-300"/>
    <x v="0"/>
    <x v="19"/>
    <n v="0.34"/>
    <n v="124.1"/>
    <n v="446.76"/>
  </r>
  <r>
    <x v="0"/>
    <x v="0"/>
    <x v="0"/>
    <x v="0"/>
    <x v="1"/>
    <s v="DK2_Large"/>
    <x v="3"/>
    <s v="GNR_HP_ELEC_COP-300"/>
    <x v="0"/>
    <x v="20"/>
    <n v="0.34"/>
    <n v="124.1"/>
    <n v="446.76"/>
  </r>
  <r>
    <x v="0"/>
    <x v="0"/>
    <x v="0"/>
    <x v="0"/>
    <x v="1"/>
    <s v="DK2_Large"/>
    <x v="3"/>
    <s v="GNR_HP_ELEC_COP-300"/>
    <x v="0"/>
    <x v="21"/>
    <n v="0.34"/>
    <n v="124.1"/>
    <n v="446.76"/>
  </r>
  <r>
    <x v="0"/>
    <x v="0"/>
    <x v="0"/>
    <x v="0"/>
    <x v="1"/>
    <s v="DK2_Large"/>
    <x v="3"/>
    <s v="GNR_HP_ELEC_COP-300"/>
    <x v="0"/>
    <x v="22"/>
    <n v="0.34"/>
    <n v="124.1"/>
    <n v="446.76"/>
  </r>
  <r>
    <x v="0"/>
    <x v="0"/>
    <x v="0"/>
    <x v="0"/>
    <x v="1"/>
    <s v="DK2_Large"/>
    <x v="1"/>
    <s v="GNR_HS_HEAT-E-100"/>
    <x v="0"/>
    <x v="14"/>
    <n v="43.0112565663186"/>
    <n v="15699.1086467063"/>
    <n v="56516.791128142599"/>
  </r>
  <r>
    <x v="0"/>
    <x v="0"/>
    <x v="0"/>
    <x v="0"/>
    <x v="1"/>
    <s v="DK2_Large"/>
    <x v="1"/>
    <s v="GNR_HS_HEAT-E-100"/>
    <x v="0"/>
    <x v="3"/>
    <n v="32.752045963725003"/>
    <n v="11954.496776759601"/>
    <n v="43036.188396334597"/>
  </r>
  <r>
    <x v="0"/>
    <x v="0"/>
    <x v="0"/>
    <x v="0"/>
    <x v="1"/>
    <s v="DK2_Large"/>
    <x v="1"/>
    <s v="GNR_HS_HEAT-E-100"/>
    <x v="0"/>
    <x v="4"/>
    <n v="13.8119648512445"/>
    <n v="5041.3671707042504"/>
    <n v="18148.921814535301"/>
  </r>
  <r>
    <x v="0"/>
    <x v="0"/>
    <x v="0"/>
    <x v="0"/>
    <x v="1"/>
    <s v="DK2_Large"/>
    <x v="1"/>
    <s v="GNR_HS_HEAT-E-100"/>
    <x v="0"/>
    <x v="15"/>
    <n v="4.3419242950042198"/>
    <n v="1584.8023676765399"/>
    <n v="5705.2885236355396"/>
  </r>
  <r>
    <x v="0"/>
    <x v="0"/>
    <x v="0"/>
    <x v="0"/>
    <x v="1"/>
    <s v="DK2_Large"/>
    <x v="1"/>
    <s v="GNR_HS_HEAT-E-100"/>
    <x v="0"/>
    <x v="6"/>
    <n v="13.8119648512445"/>
    <n v="5041.3671707042504"/>
    <n v="18148.921814535301"/>
  </r>
  <r>
    <x v="0"/>
    <x v="0"/>
    <x v="0"/>
    <x v="0"/>
    <x v="1"/>
    <s v="DK2_Large"/>
    <x v="1"/>
    <s v="GNR_HS_HEAT-E-100"/>
    <x v="0"/>
    <x v="7"/>
    <n v="23.2820054074847"/>
    <n v="8497.9319737319092"/>
    <n v="30592.555105434902"/>
  </r>
  <r>
    <x v="0"/>
    <x v="0"/>
    <x v="0"/>
    <x v="0"/>
    <x v="1"/>
    <s v="DK2_Large"/>
    <x v="1"/>
    <s v="GNR_HS_HEAT-E-100"/>
    <x v="0"/>
    <x v="8"/>
    <n v="43.0112565663186"/>
    <n v="15699.1086467063"/>
    <n v="56516.791128142599"/>
  </r>
  <r>
    <x v="0"/>
    <x v="0"/>
    <x v="0"/>
    <x v="0"/>
    <x v="1"/>
    <s v="DK2_Large"/>
    <x v="1"/>
    <s v="GNR_HS_HEAT-E-100"/>
    <x v="0"/>
    <x v="16"/>
    <n v="52.4812971225589"/>
    <n v="19155.673449734"/>
    <n v="68960.424419042407"/>
  </r>
  <r>
    <x v="0"/>
    <x v="0"/>
    <x v="0"/>
    <x v="0"/>
    <x v="1"/>
    <s v="DK2_Large"/>
    <x v="1"/>
    <s v="GNR_HS_HEAT-E-100"/>
    <x v="0"/>
    <x v="17"/>
    <n v="61.951337678799199"/>
    <n v="22612.238252761701"/>
    <n v="81404.057709942106"/>
  </r>
  <r>
    <x v="0"/>
    <x v="0"/>
    <x v="0"/>
    <x v="0"/>
    <x v="1"/>
    <s v="DK2_Large"/>
    <x v="1"/>
    <s v="GNR_HS_HEAT-E-100"/>
    <x v="0"/>
    <x v="18"/>
    <n v="43.0112565663186"/>
    <n v="15699.1086467063"/>
    <n v="56516.791128142599"/>
  </r>
  <r>
    <x v="0"/>
    <x v="0"/>
    <x v="0"/>
    <x v="0"/>
    <x v="1"/>
    <s v="DK2_Large"/>
    <x v="1"/>
    <s v="GNR_HS_HEAT-E-100"/>
    <x v="0"/>
    <x v="19"/>
    <n v="13.8119648512445"/>
    <n v="5041.3671707042504"/>
    <n v="18148.921814535301"/>
  </r>
  <r>
    <x v="0"/>
    <x v="0"/>
    <x v="0"/>
    <x v="0"/>
    <x v="1"/>
    <s v="DK2_Large"/>
    <x v="4"/>
    <s v="GNR_ST_MSW_BP_E-16"/>
    <x v="0"/>
    <x v="9"/>
    <n v="8.3786275861800696"/>
    <n v="3058.1990689557301"/>
    <n v="11009.5166482406"/>
  </r>
  <r>
    <x v="0"/>
    <x v="0"/>
    <x v="0"/>
    <x v="0"/>
    <x v="1"/>
    <s v="DK2_Large"/>
    <x v="4"/>
    <s v="GNR_ST_MSW_BP_E-16"/>
    <x v="0"/>
    <x v="10"/>
    <n v="17.848668142420401"/>
    <n v="6514.7638719834304"/>
    <n v="23453.1499391404"/>
  </r>
  <r>
    <x v="0"/>
    <x v="0"/>
    <x v="0"/>
    <x v="0"/>
    <x v="1"/>
    <s v="DK2_Large"/>
    <x v="4"/>
    <s v="GNR_ST_MSW_BP_E-16"/>
    <x v="0"/>
    <x v="11"/>
    <n v="27.3187086986606"/>
    <n v="9971.3286750111092"/>
    <n v="35896.783230039997"/>
  </r>
  <r>
    <x v="0"/>
    <x v="0"/>
    <x v="0"/>
    <x v="0"/>
    <x v="1"/>
    <s v="DK2_Large"/>
    <x v="4"/>
    <s v="GNR_ST_MSW_BP_E-16"/>
    <x v="0"/>
    <x v="12"/>
    <n v="36.7887492549008"/>
    <n v="13427.893478038801"/>
    <n v="48340.416520939703"/>
  </r>
  <r>
    <x v="0"/>
    <x v="0"/>
    <x v="0"/>
    <x v="0"/>
    <x v="1"/>
    <s v="DK2_Large"/>
    <x v="4"/>
    <s v="GNR_ST_MSW_BP_E-16"/>
    <x v="0"/>
    <x v="13"/>
    <n v="65.198870923621598"/>
    <n v="23797.587887121899"/>
    <n v="85671.316393638801"/>
  </r>
  <r>
    <x v="0"/>
    <x v="0"/>
    <x v="0"/>
    <x v="0"/>
    <x v="1"/>
    <s v="DK2_Large"/>
    <x v="4"/>
    <s v="GNR_ST_MSW_BP_E-16"/>
    <x v="0"/>
    <x v="0"/>
    <n v="96.361684232126805"/>
    <n v="35172.014744726301"/>
    <n v="126619.25308101501"/>
  </r>
  <r>
    <x v="0"/>
    <x v="0"/>
    <x v="0"/>
    <x v="0"/>
    <x v="1"/>
    <s v="DK2_Large"/>
    <x v="4"/>
    <s v="GNR_ST_MSW_BP_E-16"/>
    <x v="0"/>
    <x v="14"/>
    <n v="96.361684232126805"/>
    <n v="35172.014744726301"/>
    <n v="126619.25308101501"/>
  </r>
  <r>
    <x v="0"/>
    <x v="0"/>
    <x v="0"/>
    <x v="0"/>
    <x v="1"/>
    <s v="DK2_Large"/>
    <x v="4"/>
    <s v="GNR_ST_MSW_BP_E-16"/>
    <x v="0"/>
    <x v="1"/>
    <n v="96.361684232126805"/>
    <n v="35172.014744726301"/>
    <n v="126619.25308101501"/>
  </r>
  <r>
    <x v="0"/>
    <x v="0"/>
    <x v="0"/>
    <x v="0"/>
    <x v="1"/>
    <s v="DK2_Large"/>
    <x v="4"/>
    <s v="GNR_ST_MSW_BP_E-16"/>
    <x v="0"/>
    <x v="23"/>
    <n v="96.361684232126805"/>
    <n v="35172.014744726301"/>
    <n v="126619.25308101501"/>
  </r>
  <r>
    <x v="0"/>
    <x v="0"/>
    <x v="0"/>
    <x v="0"/>
    <x v="1"/>
    <s v="DK2_Large"/>
    <x v="4"/>
    <s v="GNR_ST_MSW_BP_E-16"/>
    <x v="0"/>
    <x v="2"/>
    <n v="96.361684232126805"/>
    <n v="35172.014744726301"/>
    <n v="126619.25308101501"/>
  </r>
  <r>
    <x v="0"/>
    <x v="0"/>
    <x v="0"/>
    <x v="0"/>
    <x v="1"/>
    <s v="DK2_Large"/>
    <x v="4"/>
    <s v="GNR_ST_MSW_BP_E-16"/>
    <x v="0"/>
    <x v="3"/>
    <n v="96.361684232126805"/>
    <n v="35172.014744726301"/>
    <n v="126619.25308101501"/>
  </r>
  <r>
    <x v="0"/>
    <x v="0"/>
    <x v="0"/>
    <x v="0"/>
    <x v="1"/>
    <s v="DK2_Large"/>
    <x v="4"/>
    <s v="GNR_ST_MSW_BP_E-16"/>
    <x v="0"/>
    <x v="4"/>
    <n v="96.361684232126805"/>
    <n v="35172.014744726301"/>
    <n v="126619.25308101501"/>
  </r>
  <r>
    <x v="0"/>
    <x v="0"/>
    <x v="0"/>
    <x v="0"/>
    <x v="1"/>
    <s v="DK2_Large"/>
    <x v="4"/>
    <s v="GNR_ST_MSW_BP_E-16"/>
    <x v="0"/>
    <x v="5"/>
    <n v="96.361684232126805"/>
    <n v="35172.014744726301"/>
    <n v="126619.25308101501"/>
  </r>
  <r>
    <x v="0"/>
    <x v="0"/>
    <x v="0"/>
    <x v="0"/>
    <x v="1"/>
    <s v="DK2_Large"/>
    <x v="4"/>
    <s v="GNR_ST_MSW_BP_E-16"/>
    <x v="0"/>
    <x v="15"/>
    <n v="96.361684232126805"/>
    <n v="35172.014744726301"/>
    <n v="126619.25308101501"/>
  </r>
  <r>
    <x v="0"/>
    <x v="0"/>
    <x v="0"/>
    <x v="0"/>
    <x v="1"/>
    <s v="DK2_Large"/>
    <x v="4"/>
    <s v="GNR_ST_MSW_BP_E-16"/>
    <x v="0"/>
    <x v="6"/>
    <n v="96.361684232126805"/>
    <n v="35172.014744726301"/>
    <n v="126619.25308101501"/>
  </r>
  <r>
    <x v="0"/>
    <x v="0"/>
    <x v="0"/>
    <x v="0"/>
    <x v="1"/>
    <s v="DK2_Large"/>
    <x v="4"/>
    <s v="GNR_ST_MSW_BP_E-16"/>
    <x v="0"/>
    <x v="7"/>
    <n v="96.361684232126805"/>
    <n v="35172.014744726301"/>
    <n v="126619.25308101501"/>
  </r>
  <r>
    <x v="0"/>
    <x v="0"/>
    <x v="0"/>
    <x v="0"/>
    <x v="1"/>
    <s v="DK2_Large"/>
    <x v="4"/>
    <s v="GNR_ST_MSW_BP_E-16"/>
    <x v="0"/>
    <x v="8"/>
    <n v="96.361684232126805"/>
    <n v="35172.014744726301"/>
    <n v="126619.25308101501"/>
  </r>
  <r>
    <x v="0"/>
    <x v="0"/>
    <x v="0"/>
    <x v="0"/>
    <x v="1"/>
    <s v="DK2_Large"/>
    <x v="4"/>
    <s v="GNR_ST_MSW_BP_E-16"/>
    <x v="0"/>
    <x v="16"/>
    <n v="96.361684232126805"/>
    <n v="35172.014744726301"/>
    <n v="126619.25308101501"/>
  </r>
  <r>
    <x v="0"/>
    <x v="0"/>
    <x v="0"/>
    <x v="0"/>
    <x v="1"/>
    <s v="DK2_Large"/>
    <x v="4"/>
    <s v="GNR_ST_MSW_BP_E-16"/>
    <x v="0"/>
    <x v="17"/>
    <n v="96.361684232126805"/>
    <n v="35172.014744726301"/>
    <n v="126619.25308101501"/>
  </r>
  <r>
    <x v="0"/>
    <x v="0"/>
    <x v="0"/>
    <x v="0"/>
    <x v="1"/>
    <s v="DK2_Large"/>
    <x v="4"/>
    <s v="GNR_ST_MSW_BP_E-16"/>
    <x v="0"/>
    <x v="18"/>
    <n v="96.361684232126805"/>
    <n v="35172.014744726301"/>
    <n v="126619.25308101501"/>
  </r>
  <r>
    <x v="0"/>
    <x v="0"/>
    <x v="0"/>
    <x v="0"/>
    <x v="1"/>
    <s v="DK2_Large"/>
    <x v="4"/>
    <s v="GNR_ST_MSW_BP_E-16"/>
    <x v="0"/>
    <x v="19"/>
    <n v="96.361684232126805"/>
    <n v="35172.014744726301"/>
    <n v="126619.25308101501"/>
  </r>
  <r>
    <x v="0"/>
    <x v="0"/>
    <x v="0"/>
    <x v="0"/>
    <x v="1"/>
    <s v="DK2_Large"/>
    <x v="4"/>
    <s v="GNR_ST_MSW_BP_E-16"/>
    <x v="0"/>
    <x v="20"/>
    <n v="96.361684232126805"/>
    <n v="35172.014744726301"/>
    <n v="126619.25308101501"/>
  </r>
  <r>
    <x v="0"/>
    <x v="0"/>
    <x v="0"/>
    <x v="0"/>
    <x v="1"/>
    <s v="DK2_Large"/>
    <x v="4"/>
    <s v="GNR_ST_MSW_BP_E-16"/>
    <x v="0"/>
    <x v="21"/>
    <n v="55.728830367381399"/>
    <n v="20341.023084094199"/>
    <n v="73227.683102739204"/>
  </r>
  <r>
    <x v="0"/>
    <x v="0"/>
    <x v="0"/>
    <x v="0"/>
    <x v="1"/>
    <s v="DK2_Large"/>
    <x v="4"/>
    <s v="GNR_ST_MSW_BP_E-16"/>
    <x v="0"/>
    <x v="22"/>
    <n v="17.848668142420401"/>
    <n v="6514.7638719834304"/>
    <n v="23453.1499391404"/>
  </r>
  <r>
    <x v="0"/>
    <x v="0"/>
    <x v="0"/>
    <x v="0"/>
    <x v="1"/>
    <s v="DK2_Large"/>
    <x v="4"/>
    <s v="GNR_ST_MSW_BP_E-20"/>
    <x v="0"/>
    <x v="9"/>
    <n v="131.863357370279"/>
    <n v="48130.1254401517"/>
    <n v="173268.45158454601"/>
  </r>
  <r>
    <x v="0"/>
    <x v="0"/>
    <x v="0"/>
    <x v="0"/>
    <x v="1"/>
    <s v="DK2_Large"/>
    <x v="4"/>
    <s v="GNR_ST_MSW_BP_E-20"/>
    <x v="0"/>
    <x v="10"/>
    <n v="131.863357370279"/>
    <n v="48130.1254401517"/>
    <n v="173268.45158454601"/>
  </r>
  <r>
    <x v="0"/>
    <x v="0"/>
    <x v="0"/>
    <x v="0"/>
    <x v="1"/>
    <s v="DK2_Large"/>
    <x v="4"/>
    <s v="GNR_ST_MSW_BP_E-20"/>
    <x v="0"/>
    <x v="11"/>
    <n v="131.863357370279"/>
    <n v="48130.1254401517"/>
    <n v="173268.45158454601"/>
  </r>
  <r>
    <x v="0"/>
    <x v="0"/>
    <x v="0"/>
    <x v="0"/>
    <x v="1"/>
    <s v="DK2_Large"/>
    <x v="4"/>
    <s v="GNR_ST_MSW_BP_E-20"/>
    <x v="0"/>
    <x v="12"/>
    <n v="131.863357370279"/>
    <n v="48130.1254401517"/>
    <n v="173268.45158454601"/>
  </r>
  <r>
    <x v="0"/>
    <x v="0"/>
    <x v="0"/>
    <x v="0"/>
    <x v="1"/>
    <s v="DK2_Large"/>
    <x v="4"/>
    <s v="GNR_ST_MSW_BP_E-20"/>
    <x v="0"/>
    <x v="13"/>
    <n v="131.863357370279"/>
    <n v="48130.1254401517"/>
    <n v="173268.45158454601"/>
  </r>
  <r>
    <x v="0"/>
    <x v="0"/>
    <x v="0"/>
    <x v="0"/>
    <x v="1"/>
    <s v="DK2_Large"/>
    <x v="4"/>
    <s v="GNR_ST_MSW_BP_E-20"/>
    <x v="0"/>
    <x v="0"/>
    <n v="131.863357370279"/>
    <n v="48130.1254401517"/>
    <n v="173268.45158454601"/>
  </r>
  <r>
    <x v="0"/>
    <x v="0"/>
    <x v="0"/>
    <x v="0"/>
    <x v="1"/>
    <s v="DK2_Large"/>
    <x v="4"/>
    <s v="GNR_ST_MSW_BP_E-20"/>
    <x v="0"/>
    <x v="14"/>
    <n v="131.863357370279"/>
    <n v="48130.1254401517"/>
    <n v="173268.45158454601"/>
  </r>
  <r>
    <x v="0"/>
    <x v="0"/>
    <x v="0"/>
    <x v="0"/>
    <x v="1"/>
    <s v="DK2_Large"/>
    <x v="4"/>
    <s v="GNR_ST_MSW_BP_E-20"/>
    <x v="0"/>
    <x v="1"/>
    <n v="131.863357370279"/>
    <n v="48130.1254401517"/>
    <n v="173268.45158454601"/>
  </r>
  <r>
    <x v="0"/>
    <x v="0"/>
    <x v="0"/>
    <x v="0"/>
    <x v="1"/>
    <s v="DK2_Large"/>
    <x v="4"/>
    <s v="GNR_ST_MSW_BP_E-20"/>
    <x v="0"/>
    <x v="23"/>
    <n v="131.863357370279"/>
    <n v="48130.1254401517"/>
    <n v="173268.45158454601"/>
  </r>
  <r>
    <x v="0"/>
    <x v="0"/>
    <x v="0"/>
    <x v="0"/>
    <x v="1"/>
    <s v="DK2_Large"/>
    <x v="4"/>
    <s v="GNR_ST_MSW_BP_E-20"/>
    <x v="0"/>
    <x v="2"/>
    <n v="131.863357370279"/>
    <n v="48130.1254401517"/>
    <n v="173268.45158454601"/>
  </r>
  <r>
    <x v="0"/>
    <x v="0"/>
    <x v="0"/>
    <x v="0"/>
    <x v="1"/>
    <s v="DK2_Large"/>
    <x v="4"/>
    <s v="GNR_ST_MSW_BP_E-20"/>
    <x v="0"/>
    <x v="3"/>
    <n v="131.863357370279"/>
    <n v="48130.1254401517"/>
    <n v="173268.45158454601"/>
  </r>
  <r>
    <x v="0"/>
    <x v="0"/>
    <x v="0"/>
    <x v="0"/>
    <x v="1"/>
    <s v="DK2_Large"/>
    <x v="4"/>
    <s v="GNR_ST_MSW_BP_E-20"/>
    <x v="0"/>
    <x v="4"/>
    <n v="131.863357370279"/>
    <n v="48130.1254401517"/>
    <n v="173268.45158454601"/>
  </r>
  <r>
    <x v="0"/>
    <x v="0"/>
    <x v="0"/>
    <x v="0"/>
    <x v="1"/>
    <s v="DK2_Large"/>
    <x v="4"/>
    <s v="GNR_ST_MSW_BP_E-20"/>
    <x v="0"/>
    <x v="5"/>
    <n v="131.863357370279"/>
    <n v="48130.1254401517"/>
    <n v="173268.45158454601"/>
  </r>
  <r>
    <x v="0"/>
    <x v="0"/>
    <x v="0"/>
    <x v="0"/>
    <x v="1"/>
    <s v="DK2_Large"/>
    <x v="4"/>
    <s v="GNR_ST_MSW_BP_E-20"/>
    <x v="0"/>
    <x v="15"/>
    <n v="131.863357370279"/>
    <n v="48130.1254401517"/>
    <n v="173268.45158454601"/>
  </r>
  <r>
    <x v="0"/>
    <x v="0"/>
    <x v="0"/>
    <x v="0"/>
    <x v="1"/>
    <s v="DK2_Large"/>
    <x v="4"/>
    <s v="GNR_ST_MSW_BP_E-20"/>
    <x v="0"/>
    <x v="6"/>
    <n v="131.863357370279"/>
    <n v="48130.1254401517"/>
    <n v="173268.45158454601"/>
  </r>
  <r>
    <x v="0"/>
    <x v="0"/>
    <x v="0"/>
    <x v="0"/>
    <x v="1"/>
    <s v="DK2_Large"/>
    <x v="4"/>
    <s v="GNR_ST_MSW_BP_E-20"/>
    <x v="0"/>
    <x v="7"/>
    <n v="131.863357370279"/>
    <n v="48130.1254401517"/>
    <n v="173268.45158454601"/>
  </r>
  <r>
    <x v="0"/>
    <x v="0"/>
    <x v="0"/>
    <x v="0"/>
    <x v="1"/>
    <s v="DK2_Large"/>
    <x v="4"/>
    <s v="GNR_ST_MSW_BP_E-20"/>
    <x v="0"/>
    <x v="8"/>
    <n v="131.863357370279"/>
    <n v="48130.1254401517"/>
    <n v="173268.45158454601"/>
  </r>
  <r>
    <x v="0"/>
    <x v="0"/>
    <x v="0"/>
    <x v="0"/>
    <x v="1"/>
    <s v="DK2_Large"/>
    <x v="4"/>
    <s v="GNR_ST_MSW_BP_E-20"/>
    <x v="0"/>
    <x v="16"/>
    <n v="131.863357370279"/>
    <n v="48130.1254401517"/>
    <n v="173268.45158454601"/>
  </r>
  <r>
    <x v="0"/>
    <x v="0"/>
    <x v="0"/>
    <x v="0"/>
    <x v="1"/>
    <s v="DK2_Large"/>
    <x v="4"/>
    <s v="GNR_ST_MSW_BP_E-20"/>
    <x v="0"/>
    <x v="17"/>
    <n v="131.863357370279"/>
    <n v="48130.1254401517"/>
    <n v="173268.45158454601"/>
  </r>
  <r>
    <x v="0"/>
    <x v="0"/>
    <x v="0"/>
    <x v="0"/>
    <x v="1"/>
    <s v="DK2_Large"/>
    <x v="4"/>
    <s v="GNR_ST_MSW_BP_E-20"/>
    <x v="0"/>
    <x v="18"/>
    <n v="131.863357370279"/>
    <n v="48130.1254401517"/>
    <n v="173268.45158454601"/>
  </r>
  <r>
    <x v="0"/>
    <x v="0"/>
    <x v="0"/>
    <x v="0"/>
    <x v="1"/>
    <s v="DK2_Large"/>
    <x v="4"/>
    <s v="GNR_ST_MSW_BP_E-20"/>
    <x v="0"/>
    <x v="19"/>
    <n v="131.863357370279"/>
    <n v="48130.1254401517"/>
    <n v="173268.45158454601"/>
  </r>
  <r>
    <x v="0"/>
    <x v="0"/>
    <x v="0"/>
    <x v="0"/>
    <x v="1"/>
    <s v="DK2_Large"/>
    <x v="4"/>
    <s v="GNR_ST_MSW_BP_E-20"/>
    <x v="0"/>
    <x v="20"/>
    <n v="131.863357370279"/>
    <n v="48130.1254401517"/>
    <n v="173268.45158454601"/>
  </r>
  <r>
    <x v="0"/>
    <x v="0"/>
    <x v="0"/>
    <x v="0"/>
    <x v="1"/>
    <s v="DK2_Large"/>
    <x v="4"/>
    <s v="GNR_ST_MSW_BP_E-20"/>
    <x v="0"/>
    <x v="21"/>
    <n v="131.863357370279"/>
    <n v="48130.1254401517"/>
    <n v="173268.45158454601"/>
  </r>
  <r>
    <x v="0"/>
    <x v="0"/>
    <x v="0"/>
    <x v="0"/>
    <x v="1"/>
    <s v="DK2_Large"/>
    <x v="4"/>
    <s v="GNR_ST_MSW_BP_E-20"/>
    <x v="0"/>
    <x v="22"/>
    <n v="131.863357370279"/>
    <n v="48130.1254401517"/>
    <n v="173268.45158454601"/>
  </r>
  <r>
    <x v="0"/>
    <x v="0"/>
    <x v="0"/>
    <x v="0"/>
    <x v="1"/>
    <s v="DK2_Large"/>
    <x v="4"/>
    <s v="GNR_ST_MSW_BP_E-21"/>
    <x v="0"/>
    <x v="9"/>
    <n v="46.321230665969701"/>
    <n v="16907.2491930789"/>
    <n v="60866.097095084202"/>
  </r>
  <r>
    <x v="0"/>
    <x v="0"/>
    <x v="0"/>
    <x v="0"/>
    <x v="1"/>
    <s v="DK2_Large"/>
    <x v="4"/>
    <s v="GNR_ST_MSW_BP_E-21"/>
    <x v="0"/>
    <x v="10"/>
    <n v="46.321230665969701"/>
    <n v="16907.2491930789"/>
    <n v="60866.097095084202"/>
  </r>
  <r>
    <x v="0"/>
    <x v="0"/>
    <x v="0"/>
    <x v="0"/>
    <x v="1"/>
    <s v="DK2_Large"/>
    <x v="4"/>
    <s v="GNR_ST_MSW_BP_E-21"/>
    <x v="0"/>
    <x v="11"/>
    <n v="46.321230665969701"/>
    <n v="16907.2491930789"/>
    <n v="60866.097095084202"/>
  </r>
  <r>
    <x v="0"/>
    <x v="0"/>
    <x v="0"/>
    <x v="0"/>
    <x v="1"/>
    <s v="DK2_Large"/>
    <x v="4"/>
    <s v="GNR_ST_MSW_BP_E-21"/>
    <x v="0"/>
    <x v="12"/>
    <n v="46.321230665969701"/>
    <n v="16907.2491930789"/>
    <n v="60866.097095084202"/>
  </r>
  <r>
    <x v="0"/>
    <x v="0"/>
    <x v="0"/>
    <x v="0"/>
    <x v="1"/>
    <s v="DK2_Large"/>
    <x v="4"/>
    <s v="GNR_ST_MSW_BP_E-21"/>
    <x v="0"/>
    <x v="13"/>
    <n v="46.321230665969701"/>
    <n v="16907.2491930789"/>
    <n v="60866.097095084202"/>
  </r>
  <r>
    <x v="0"/>
    <x v="0"/>
    <x v="0"/>
    <x v="0"/>
    <x v="1"/>
    <s v="DK2_Large"/>
    <x v="4"/>
    <s v="GNR_ST_MSW_BP_E-21"/>
    <x v="0"/>
    <x v="0"/>
    <n v="46.321230665969701"/>
    <n v="16907.2491930789"/>
    <n v="60866.097095084202"/>
  </r>
  <r>
    <x v="0"/>
    <x v="0"/>
    <x v="0"/>
    <x v="0"/>
    <x v="1"/>
    <s v="DK2_Large"/>
    <x v="4"/>
    <s v="GNR_ST_MSW_BP_E-21"/>
    <x v="0"/>
    <x v="14"/>
    <n v="46.321230665969701"/>
    <n v="16907.2491930789"/>
    <n v="60866.097095084202"/>
  </r>
  <r>
    <x v="0"/>
    <x v="0"/>
    <x v="0"/>
    <x v="0"/>
    <x v="1"/>
    <s v="DK2_Large"/>
    <x v="4"/>
    <s v="GNR_ST_MSW_BP_E-21"/>
    <x v="0"/>
    <x v="1"/>
    <n v="46.321230665969701"/>
    <n v="16907.2491930789"/>
    <n v="60866.097095084202"/>
  </r>
  <r>
    <x v="0"/>
    <x v="0"/>
    <x v="0"/>
    <x v="0"/>
    <x v="1"/>
    <s v="DK2_Large"/>
    <x v="4"/>
    <s v="GNR_ST_MSW_BP_E-21"/>
    <x v="0"/>
    <x v="23"/>
    <n v="46.321230665969701"/>
    <n v="16907.2491930789"/>
    <n v="60866.097095084202"/>
  </r>
  <r>
    <x v="0"/>
    <x v="0"/>
    <x v="0"/>
    <x v="0"/>
    <x v="1"/>
    <s v="DK2_Large"/>
    <x v="4"/>
    <s v="GNR_ST_MSW_BP_E-21"/>
    <x v="0"/>
    <x v="2"/>
    <n v="46.321230665969701"/>
    <n v="16907.2491930789"/>
    <n v="60866.097095084202"/>
  </r>
  <r>
    <x v="0"/>
    <x v="0"/>
    <x v="0"/>
    <x v="0"/>
    <x v="1"/>
    <s v="DK2_Large"/>
    <x v="4"/>
    <s v="GNR_ST_MSW_BP_E-21"/>
    <x v="0"/>
    <x v="3"/>
    <n v="46.321230665969701"/>
    <n v="16907.2491930789"/>
    <n v="60866.097095084202"/>
  </r>
  <r>
    <x v="0"/>
    <x v="0"/>
    <x v="0"/>
    <x v="0"/>
    <x v="1"/>
    <s v="DK2_Large"/>
    <x v="4"/>
    <s v="GNR_ST_MSW_BP_E-21"/>
    <x v="0"/>
    <x v="4"/>
    <n v="46.321230665969701"/>
    <n v="16907.2491930789"/>
    <n v="60866.097095084202"/>
  </r>
  <r>
    <x v="0"/>
    <x v="0"/>
    <x v="0"/>
    <x v="0"/>
    <x v="1"/>
    <s v="DK2_Large"/>
    <x v="4"/>
    <s v="GNR_ST_MSW_BP_E-21"/>
    <x v="0"/>
    <x v="5"/>
    <n v="46.321230665969701"/>
    <n v="16907.2491930789"/>
    <n v="60866.097095084202"/>
  </r>
  <r>
    <x v="0"/>
    <x v="0"/>
    <x v="0"/>
    <x v="0"/>
    <x v="1"/>
    <s v="DK2_Large"/>
    <x v="4"/>
    <s v="GNR_ST_MSW_BP_E-21"/>
    <x v="0"/>
    <x v="15"/>
    <n v="46.321230665969701"/>
    <n v="16907.2491930789"/>
    <n v="60866.097095084202"/>
  </r>
  <r>
    <x v="0"/>
    <x v="0"/>
    <x v="0"/>
    <x v="0"/>
    <x v="1"/>
    <s v="DK2_Large"/>
    <x v="4"/>
    <s v="GNR_ST_MSW_BP_E-21"/>
    <x v="0"/>
    <x v="6"/>
    <n v="46.321230665969701"/>
    <n v="16907.2491930789"/>
    <n v="60866.097095084202"/>
  </r>
  <r>
    <x v="0"/>
    <x v="0"/>
    <x v="0"/>
    <x v="0"/>
    <x v="1"/>
    <s v="DK2_Large"/>
    <x v="4"/>
    <s v="GNR_ST_MSW_BP_E-21"/>
    <x v="0"/>
    <x v="7"/>
    <n v="46.321230665969701"/>
    <n v="16907.2491930789"/>
    <n v="60866.097095084202"/>
  </r>
  <r>
    <x v="0"/>
    <x v="0"/>
    <x v="0"/>
    <x v="0"/>
    <x v="1"/>
    <s v="DK2_Large"/>
    <x v="4"/>
    <s v="GNR_ST_MSW_BP_E-21"/>
    <x v="0"/>
    <x v="8"/>
    <n v="46.321230665969701"/>
    <n v="16907.2491930789"/>
    <n v="60866.097095084202"/>
  </r>
  <r>
    <x v="0"/>
    <x v="0"/>
    <x v="0"/>
    <x v="0"/>
    <x v="1"/>
    <s v="DK2_Large"/>
    <x v="4"/>
    <s v="GNR_ST_MSW_BP_E-21"/>
    <x v="0"/>
    <x v="16"/>
    <n v="46.321230665969701"/>
    <n v="16907.2491930789"/>
    <n v="60866.097095084202"/>
  </r>
  <r>
    <x v="0"/>
    <x v="0"/>
    <x v="0"/>
    <x v="0"/>
    <x v="1"/>
    <s v="DK2_Large"/>
    <x v="4"/>
    <s v="GNR_ST_MSW_BP_E-21"/>
    <x v="0"/>
    <x v="17"/>
    <n v="46.321230665969701"/>
    <n v="16907.2491930789"/>
    <n v="60866.097095084202"/>
  </r>
  <r>
    <x v="0"/>
    <x v="0"/>
    <x v="0"/>
    <x v="0"/>
    <x v="1"/>
    <s v="DK2_Large"/>
    <x v="4"/>
    <s v="GNR_ST_MSW_BP_E-21"/>
    <x v="0"/>
    <x v="18"/>
    <n v="46.321230665969701"/>
    <n v="16907.2491930789"/>
    <n v="60866.097095084202"/>
  </r>
  <r>
    <x v="0"/>
    <x v="0"/>
    <x v="0"/>
    <x v="0"/>
    <x v="1"/>
    <s v="DK2_Large"/>
    <x v="4"/>
    <s v="GNR_ST_MSW_BP_E-21"/>
    <x v="0"/>
    <x v="19"/>
    <n v="46.321230665969701"/>
    <n v="16907.2491930789"/>
    <n v="60866.097095084202"/>
  </r>
  <r>
    <x v="0"/>
    <x v="0"/>
    <x v="0"/>
    <x v="0"/>
    <x v="1"/>
    <s v="DK2_Large"/>
    <x v="4"/>
    <s v="GNR_ST_MSW_BP_E-21"/>
    <x v="0"/>
    <x v="20"/>
    <n v="46.321230665969701"/>
    <n v="16907.2491930789"/>
    <n v="60866.097095084202"/>
  </r>
  <r>
    <x v="0"/>
    <x v="0"/>
    <x v="0"/>
    <x v="0"/>
    <x v="1"/>
    <s v="DK2_Large"/>
    <x v="4"/>
    <s v="GNR_ST_MSW_BP_E-21"/>
    <x v="0"/>
    <x v="21"/>
    <n v="46.321230665969701"/>
    <n v="16907.2491930789"/>
    <n v="60866.097095084202"/>
  </r>
  <r>
    <x v="0"/>
    <x v="0"/>
    <x v="0"/>
    <x v="0"/>
    <x v="1"/>
    <s v="DK2_Large"/>
    <x v="4"/>
    <s v="GNR_ST_MSW_BP_E-21"/>
    <x v="0"/>
    <x v="22"/>
    <n v="46.321230665969701"/>
    <n v="16907.2491930789"/>
    <n v="60866.097095084202"/>
  </r>
  <r>
    <x v="0"/>
    <x v="0"/>
    <x v="0"/>
    <x v="0"/>
    <x v="1"/>
    <s v="DK2_Large"/>
    <x v="4"/>
    <s v="GNR_ST_MSW_BP_E-27"/>
    <x v="0"/>
    <x v="9"/>
    <n v="65.593567512395097"/>
    <n v="23941.652142024199"/>
    <n v="86189.947711287095"/>
  </r>
  <r>
    <x v="0"/>
    <x v="0"/>
    <x v="0"/>
    <x v="0"/>
    <x v="1"/>
    <s v="DK2_Large"/>
    <x v="4"/>
    <s v="GNR_ST_MSW_BP_E-27"/>
    <x v="0"/>
    <x v="10"/>
    <n v="65.593567512395097"/>
    <n v="23941.652142024199"/>
    <n v="86189.947711287095"/>
  </r>
  <r>
    <x v="0"/>
    <x v="0"/>
    <x v="0"/>
    <x v="0"/>
    <x v="1"/>
    <s v="DK2_Large"/>
    <x v="4"/>
    <s v="GNR_ST_MSW_BP_E-27"/>
    <x v="0"/>
    <x v="11"/>
    <n v="65.593567512395097"/>
    <n v="23941.652142024199"/>
    <n v="86189.947711287095"/>
  </r>
  <r>
    <x v="0"/>
    <x v="0"/>
    <x v="0"/>
    <x v="0"/>
    <x v="1"/>
    <s v="DK2_Large"/>
    <x v="4"/>
    <s v="GNR_ST_MSW_BP_E-27"/>
    <x v="0"/>
    <x v="12"/>
    <n v="65.593567512395097"/>
    <n v="23941.652142024199"/>
    <n v="86189.947711287095"/>
  </r>
  <r>
    <x v="0"/>
    <x v="0"/>
    <x v="0"/>
    <x v="0"/>
    <x v="1"/>
    <s v="DK2_Large"/>
    <x v="4"/>
    <s v="GNR_ST_MSW_BP_E-27"/>
    <x v="0"/>
    <x v="13"/>
    <n v="65.593567512395097"/>
    <n v="23941.652142024199"/>
    <n v="86189.947711287095"/>
  </r>
  <r>
    <x v="0"/>
    <x v="0"/>
    <x v="0"/>
    <x v="0"/>
    <x v="1"/>
    <s v="DK2_Large"/>
    <x v="4"/>
    <s v="GNR_ST_MSW_BP_E-27"/>
    <x v="0"/>
    <x v="0"/>
    <n v="65.593567512395097"/>
    <n v="23941.652142024199"/>
    <n v="86189.947711287095"/>
  </r>
  <r>
    <x v="0"/>
    <x v="0"/>
    <x v="0"/>
    <x v="0"/>
    <x v="1"/>
    <s v="DK2_Large"/>
    <x v="4"/>
    <s v="GNR_ST_MSW_BP_E-27"/>
    <x v="0"/>
    <x v="14"/>
    <n v="65.593567512395097"/>
    <n v="23941.652142024199"/>
    <n v="86189.947711287095"/>
  </r>
  <r>
    <x v="0"/>
    <x v="0"/>
    <x v="0"/>
    <x v="0"/>
    <x v="1"/>
    <s v="DK2_Large"/>
    <x v="4"/>
    <s v="GNR_ST_MSW_BP_E-27"/>
    <x v="0"/>
    <x v="1"/>
    <n v="65.593567512395097"/>
    <n v="23941.652142024199"/>
    <n v="86189.947711287095"/>
  </r>
  <r>
    <x v="0"/>
    <x v="0"/>
    <x v="0"/>
    <x v="0"/>
    <x v="1"/>
    <s v="DK2_Large"/>
    <x v="4"/>
    <s v="GNR_ST_MSW_BP_E-27"/>
    <x v="0"/>
    <x v="23"/>
    <n v="65.593567512395097"/>
    <n v="23941.652142024199"/>
    <n v="86189.947711287095"/>
  </r>
  <r>
    <x v="0"/>
    <x v="0"/>
    <x v="0"/>
    <x v="0"/>
    <x v="1"/>
    <s v="DK2_Large"/>
    <x v="4"/>
    <s v="GNR_ST_MSW_BP_E-27"/>
    <x v="0"/>
    <x v="2"/>
    <n v="65.593567512395097"/>
    <n v="23941.652142024199"/>
    <n v="86189.947711287095"/>
  </r>
  <r>
    <x v="0"/>
    <x v="0"/>
    <x v="0"/>
    <x v="0"/>
    <x v="1"/>
    <s v="DK2_Large"/>
    <x v="4"/>
    <s v="GNR_ST_MSW_BP_E-27"/>
    <x v="0"/>
    <x v="3"/>
    <n v="65.593567512395097"/>
    <n v="23941.652142024199"/>
    <n v="86189.947711287095"/>
  </r>
  <r>
    <x v="0"/>
    <x v="0"/>
    <x v="0"/>
    <x v="0"/>
    <x v="1"/>
    <s v="DK2_Large"/>
    <x v="4"/>
    <s v="GNR_ST_MSW_BP_E-27"/>
    <x v="0"/>
    <x v="4"/>
    <n v="65.593567512395097"/>
    <n v="23941.652142024199"/>
    <n v="86189.947711287095"/>
  </r>
  <r>
    <x v="0"/>
    <x v="0"/>
    <x v="0"/>
    <x v="0"/>
    <x v="1"/>
    <s v="DK2_Large"/>
    <x v="4"/>
    <s v="GNR_ST_MSW_BP_E-27"/>
    <x v="0"/>
    <x v="5"/>
    <n v="65.593567512395097"/>
    <n v="23941.652142024199"/>
    <n v="86189.947711287095"/>
  </r>
  <r>
    <x v="0"/>
    <x v="0"/>
    <x v="0"/>
    <x v="0"/>
    <x v="1"/>
    <s v="DK2_Large"/>
    <x v="4"/>
    <s v="GNR_ST_MSW_BP_E-27"/>
    <x v="0"/>
    <x v="15"/>
    <n v="65.593567512395097"/>
    <n v="23941.652142024199"/>
    <n v="86189.947711287095"/>
  </r>
  <r>
    <x v="0"/>
    <x v="0"/>
    <x v="0"/>
    <x v="0"/>
    <x v="1"/>
    <s v="DK2_Large"/>
    <x v="4"/>
    <s v="GNR_ST_MSW_BP_E-27"/>
    <x v="0"/>
    <x v="6"/>
    <n v="65.593567512395097"/>
    <n v="23941.652142024199"/>
    <n v="86189.947711287095"/>
  </r>
  <r>
    <x v="0"/>
    <x v="0"/>
    <x v="0"/>
    <x v="0"/>
    <x v="1"/>
    <s v="DK2_Large"/>
    <x v="4"/>
    <s v="GNR_ST_MSW_BP_E-27"/>
    <x v="0"/>
    <x v="7"/>
    <n v="65.593567512395097"/>
    <n v="23941.652142024199"/>
    <n v="86189.947711287095"/>
  </r>
  <r>
    <x v="0"/>
    <x v="0"/>
    <x v="0"/>
    <x v="0"/>
    <x v="1"/>
    <s v="DK2_Large"/>
    <x v="4"/>
    <s v="GNR_ST_MSW_BP_E-27"/>
    <x v="0"/>
    <x v="8"/>
    <n v="65.593567512395097"/>
    <n v="23941.652142024199"/>
    <n v="86189.947711287095"/>
  </r>
  <r>
    <x v="0"/>
    <x v="0"/>
    <x v="0"/>
    <x v="0"/>
    <x v="1"/>
    <s v="DK2_Large"/>
    <x v="4"/>
    <s v="GNR_ST_MSW_BP_E-27"/>
    <x v="0"/>
    <x v="16"/>
    <n v="65.593567512395097"/>
    <n v="23941.652142024199"/>
    <n v="86189.947711287095"/>
  </r>
  <r>
    <x v="0"/>
    <x v="0"/>
    <x v="0"/>
    <x v="0"/>
    <x v="1"/>
    <s v="DK2_Large"/>
    <x v="4"/>
    <s v="GNR_ST_MSW_BP_E-27"/>
    <x v="0"/>
    <x v="17"/>
    <n v="65.593567512395097"/>
    <n v="23941.652142024199"/>
    <n v="86189.947711287095"/>
  </r>
  <r>
    <x v="0"/>
    <x v="0"/>
    <x v="0"/>
    <x v="0"/>
    <x v="1"/>
    <s v="DK2_Large"/>
    <x v="4"/>
    <s v="GNR_ST_MSW_BP_E-27"/>
    <x v="0"/>
    <x v="18"/>
    <n v="65.593567512395097"/>
    <n v="23941.652142024199"/>
    <n v="86189.947711287095"/>
  </r>
  <r>
    <x v="0"/>
    <x v="0"/>
    <x v="0"/>
    <x v="0"/>
    <x v="1"/>
    <s v="DK2_Large"/>
    <x v="4"/>
    <s v="GNR_ST_MSW_BP_E-27"/>
    <x v="0"/>
    <x v="19"/>
    <n v="65.593567512395097"/>
    <n v="23941.652142024199"/>
    <n v="86189.947711287095"/>
  </r>
  <r>
    <x v="0"/>
    <x v="0"/>
    <x v="0"/>
    <x v="0"/>
    <x v="1"/>
    <s v="DK2_Large"/>
    <x v="4"/>
    <s v="GNR_ST_MSW_BP_E-27"/>
    <x v="0"/>
    <x v="20"/>
    <n v="65.593567512395097"/>
    <n v="23941.652142024199"/>
    <n v="86189.947711287095"/>
  </r>
  <r>
    <x v="0"/>
    <x v="0"/>
    <x v="0"/>
    <x v="0"/>
    <x v="1"/>
    <s v="DK2_Large"/>
    <x v="4"/>
    <s v="GNR_ST_MSW_BP_E-27"/>
    <x v="0"/>
    <x v="21"/>
    <n v="65.593567512395097"/>
    <n v="23941.652142024199"/>
    <n v="86189.947711287095"/>
  </r>
  <r>
    <x v="0"/>
    <x v="0"/>
    <x v="0"/>
    <x v="0"/>
    <x v="1"/>
    <s v="DK2_Large"/>
    <x v="4"/>
    <s v="GNR_ST_MSW_BP_E-27"/>
    <x v="0"/>
    <x v="22"/>
    <n v="65.593567512395097"/>
    <n v="23941.652142024199"/>
    <n v="86189.947711287095"/>
  </r>
  <r>
    <x v="0"/>
    <x v="0"/>
    <x v="0"/>
    <x v="0"/>
    <x v="1"/>
    <s v="DK2_Large"/>
    <x v="5"/>
    <s v="GNR_ST_NGAS_BP_E-39"/>
    <x v="0"/>
    <x v="1"/>
    <n v="112.466135127806"/>
    <n v="41050.139321649003"/>
    <n v="147780.50155793599"/>
  </r>
  <r>
    <x v="0"/>
    <x v="0"/>
    <x v="0"/>
    <x v="0"/>
    <x v="1"/>
    <s v="DK2_Large"/>
    <x v="5"/>
    <s v="GNR_ST_NGAS_BP_E-39"/>
    <x v="0"/>
    <x v="23"/>
    <n v="117.142857142857"/>
    <n v="42757.142857142899"/>
    <n v="153925.714285714"/>
  </r>
  <r>
    <x v="0"/>
    <x v="0"/>
    <x v="0"/>
    <x v="0"/>
    <x v="1"/>
    <s v="DK2_Large"/>
    <x v="5"/>
    <s v="GNR_ST_NGAS_BP_E-39"/>
    <x v="0"/>
    <x v="2"/>
    <n v="93.526054015325101"/>
    <n v="34137.009715593602"/>
    <n v="122893.234976137"/>
  </r>
  <r>
    <x v="0"/>
    <x v="0"/>
    <x v="0"/>
    <x v="0"/>
    <x v="1"/>
    <s v="DK2_Large"/>
    <x v="2"/>
    <s v="GNR_GEO_HEAT_HO"/>
    <x v="0"/>
    <x v="9"/>
    <n v="14"/>
    <n v="5110"/>
    <n v="18396"/>
  </r>
  <r>
    <x v="0"/>
    <x v="0"/>
    <x v="0"/>
    <x v="0"/>
    <x v="1"/>
    <s v="DK2_Large"/>
    <x v="2"/>
    <s v="GNR_GEO_HEAT_HO"/>
    <x v="0"/>
    <x v="10"/>
    <n v="14"/>
    <n v="5110"/>
    <n v="18396"/>
  </r>
  <r>
    <x v="0"/>
    <x v="0"/>
    <x v="0"/>
    <x v="0"/>
    <x v="1"/>
    <s v="DK2_Large"/>
    <x v="2"/>
    <s v="GNR_GEO_HEAT_HO"/>
    <x v="0"/>
    <x v="11"/>
    <n v="14"/>
    <n v="5110"/>
    <n v="18396"/>
  </r>
  <r>
    <x v="0"/>
    <x v="0"/>
    <x v="0"/>
    <x v="0"/>
    <x v="1"/>
    <s v="DK2_Large"/>
    <x v="2"/>
    <s v="GNR_GEO_HEAT_HO"/>
    <x v="0"/>
    <x v="12"/>
    <n v="14"/>
    <n v="5110"/>
    <n v="18396"/>
  </r>
  <r>
    <x v="0"/>
    <x v="0"/>
    <x v="0"/>
    <x v="0"/>
    <x v="1"/>
    <s v="DK2_Large"/>
    <x v="2"/>
    <s v="GNR_GEO_HEAT_HO"/>
    <x v="0"/>
    <x v="13"/>
    <n v="14"/>
    <n v="5110"/>
    <n v="18396"/>
  </r>
  <r>
    <x v="0"/>
    <x v="0"/>
    <x v="0"/>
    <x v="0"/>
    <x v="1"/>
    <s v="DK2_Large"/>
    <x v="2"/>
    <s v="GNR_GEO_HEAT_HO"/>
    <x v="0"/>
    <x v="0"/>
    <n v="14"/>
    <n v="5110"/>
    <n v="18396"/>
  </r>
  <r>
    <x v="0"/>
    <x v="0"/>
    <x v="0"/>
    <x v="0"/>
    <x v="1"/>
    <s v="DK2_Large"/>
    <x v="2"/>
    <s v="GNR_GEO_HEAT_HO"/>
    <x v="0"/>
    <x v="14"/>
    <n v="14"/>
    <n v="5110"/>
    <n v="18396"/>
  </r>
  <r>
    <x v="0"/>
    <x v="0"/>
    <x v="0"/>
    <x v="0"/>
    <x v="1"/>
    <s v="DK2_Large"/>
    <x v="2"/>
    <s v="GNR_GEO_HEAT_HO"/>
    <x v="0"/>
    <x v="1"/>
    <n v="14"/>
    <n v="5110"/>
    <n v="18396"/>
  </r>
  <r>
    <x v="0"/>
    <x v="0"/>
    <x v="0"/>
    <x v="0"/>
    <x v="1"/>
    <s v="DK2_Large"/>
    <x v="2"/>
    <s v="GNR_GEO_HEAT_HO"/>
    <x v="0"/>
    <x v="23"/>
    <n v="14"/>
    <n v="5110"/>
    <n v="18396"/>
  </r>
  <r>
    <x v="0"/>
    <x v="0"/>
    <x v="0"/>
    <x v="0"/>
    <x v="1"/>
    <s v="DK2_Large"/>
    <x v="2"/>
    <s v="GNR_GEO_HEAT_HO"/>
    <x v="0"/>
    <x v="2"/>
    <n v="14"/>
    <n v="5110"/>
    <n v="18396"/>
  </r>
  <r>
    <x v="0"/>
    <x v="0"/>
    <x v="0"/>
    <x v="0"/>
    <x v="1"/>
    <s v="DK2_Large"/>
    <x v="2"/>
    <s v="GNR_GEO_HEAT_HO"/>
    <x v="0"/>
    <x v="3"/>
    <n v="14"/>
    <n v="5110"/>
    <n v="18396"/>
  </r>
  <r>
    <x v="0"/>
    <x v="0"/>
    <x v="0"/>
    <x v="0"/>
    <x v="1"/>
    <s v="DK2_Large"/>
    <x v="2"/>
    <s v="GNR_GEO_HEAT_HO"/>
    <x v="0"/>
    <x v="4"/>
    <n v="14"/>
    <n v="5110"/>
    <n v="18396"/>
  </r>
  <r>
    <x v="0"/>
    <x v="0"/>
    <x v="0"/>
    <x v="0"/>
    <x v="1"/>
    <s v="DK2_Large"/>
    <x v="2"/>
    <s v="GNR_GEO_HEAT_HO"/>
    <x v="0"/>
    <x v="5"/>
    <n v="14"/>
    <n v="5110"/>
    <n v="18396"/>
  </r>
  <r>
    <x v="0"/>
    <x v="0"/>
    <x v="0"/>
    <x v="0"/>
    <x v="1"/>
    <s v="DK2_Large"/>
    <x v="2"/>
    <s v="GNR_GEO_HEAT_HO"/>
    <x v="0"/>
    <x v="15"/>
    <n v="14"/>
    <n v="5110"/>
    <n v="18396"/>
  </r>
  <r>
    <x v="0"/>
    <x v="0"/>
    <x v="0"/>
    <x v="0"/>
    <x v="1"/>
    <s v="DK2_Large"/>
    <x v="2"/>
    <s v="GNR_GEO_HEAT_HO"/>
    <x v="0"/>
    <x v="6"/>
    <n v="14"/>
    <n v="5110"/>
    <n v="18396"/>
  </r>
  <r>
    <x v="0"/>
    <x v="0"/>
    <x v="0"/>
    <x v="0"/>
    <x v="1"/>
    <s v="DK2_Large"/>
    <x v="2"/>
    <s v="GNR_GEO_HEAT_HO"/>
    <x v="0"/>
    <x v="7"/>
    <n v="14"/>
    <n v="5110"/>
    <n v="18396"/>
  </r>
  <r>
    <x v="0"/>
    <x v="0"/>
    <x v="0"/>
    <x v="0"/>
    <x v="1"/>
    <s v="DK2_Large"/>
    <x v="2"/>
    <s v="GNR_GEO_HEAT_HO"/>
    <x v="0"/>
    <x v="8"/>
    <n v="14"/>
    <n v="5110"/>
    <n v="18396"/>
  </r>
  <r>
    <x v="0"/>
    <x v="0"/>
    <x v="0"/>
    <x v="0"/>
    <x v="1"/>
    <s v="DK2_Large"/>
    <x v="2"/>
    <s v="GNR_GEO_HEAT_HO"/>
    <x v="0"/>
    <x v="16"/>
    <n v="14"/>
    <n v="5110"/>
    <n v="18396"/>
  </r>
  <r>
    <x v="0"/>
    <x v="0"/>
    <x v="0"/>
    <x v="0"/>
    <x v="1"/>
    <s v="DK2_Large"/>
    <x v="2"/>
    <s v="GNR_GEO_HEAT_HO"/>
    <x v="0"/>
    <x v="17"/>
    <n v="14"/>
    <n v="5110"/>
    <n v="18396"/>
  </r>
  <r>
    <x v="0"/>
    <x v="0"/>
    <x v="0"/>
    <x v="0"/>
    <x v="1"/>
    <s v="DK2_Large"/>
    <x v="2"/>
    <s v="GNR_GEO_HEAT_HO"/>
    <x v="0"/>
    <x v="18"/>
    <n v="14"/>
    <n v="5110"/>
    <n v="18396"/>
  </r>
  <r>
    <x v="0"/>
    <x v="0"/>
    <x v="0"/>
    <x v="0"/>
    <x v="1"/>
    <s v="DK2_Large"/>
    <x v="2"/>
    <s v="GNR_GEO_HEAT_HO"/>
    <x v="0"/>
    <x v="19"/>
    <n v="14"/>
    <n v="5110"/>
    <n v="18396"/>
  </r>
  <r>
    <x v="0"/>
    <x v="0"/>
    <x v="0"/>
    <x v="0"/>
    <x v="1"/>
    <s v="DK2_Large"/>
    <x v="2"/>
    <s v="GNR_GEO_HEAT_HO"/>
    <x v="0"/>
    <x v="20"/>
    <n v="14"/>
    <n v="5110"/>
    <n v="18396"/>
  </r>
  <r>
    <x v="0"/>
    <x v="0"/>
    <x v="0"/>
    <x v="0"/>
    <x v="1"/>
    <s v="DK2_Large"/>
    <x v="2"/>
    <s v="GNR_GEO_HEAT_HO"/>
    <x v="0"/>
    <x v="21"/>
    <n v="14"/>
    <n v="5110"/>
    <n v="18396"/>
  </r>
  <r>
    <x v="0"/>
    <x v="0"/>
    <x v="0"/>
    <x v="0"/>
    <x v="1"/>
    <s v="DK2_Large"/>
    <x v="2"/>
    <s v="GNR_GEO_HEAT_HO"/>
    <x v="0"/>
    <x v="22"/>
    <n v="14"/>
    <n v="5110"/>
    <n v="18396"/>
  </r>
  <r>
    <x v="0"/>
    <x v="0"/>
    <x v="0"/>
    <x v="0"/>
    <x v="1"/>
    <s v="DK2_Large"/>
    <x v="7"/>
    <s v="GNR_ST_WOODCHI_BP_E-27"/>
    <x v="0"/>
    <x v="9"/>
    <n v="44.117647058823501"/>
    <n v="16102.9411764706"/>
    <n v="57970.588235294097"/>
  </r>
  <r>
    <x v="0"/>
    <x v="0"/>
    <x v="0"/>
    <x v="0"/>
    <x v="1"/>
    <s v="DK2_Large"/>
    <x v="7"/>
    <s v="GNR_ST_WOODCHI_BP_E-27"/>
    <x v="0"/>
    <x v="10"/>
    <n v="44.117647058823501"/>
    <n v="16102.9411764706"/>
    <n v="57970.588235294097"/>
  </r>
  <r>
    <x v="0"/>
    <x v="0"/>
    <x v="0"/>
    <x v="0"/>
    <x v="1"/>
    <s v="DK2_Large"/>
    <x v="7"/>
    <s v="GNR_ST_WOODCHI_BP_E-27"/>
    <x v="0"/>
    <x v="11"/>
    <n v="44.117647058823501"/>
    <n v="16102.9411764706"/>
    <n v="57970.588235294097"/>
  </r>
  <r>
    <x v="0"/>
    <x v="0"/>
    <x v="0"/>
    <x v="0"/>
    <x v="1"/>
    <s v="DK2_Large"/>
    <x v="7"/>
    <s v="GNR_ST_WOODCHI_BP_E-27"/>
    <x v="0"/>
    <x v="12"/>
    <n v="44.117647058823501"/>
    <n v="16102.9411764706"/>
    <n v="57970.588235294097"/>
  </r>
  <r>
    <x v="0"/>
    <x v="0"/>
    <x v="0"/>
    <x v="0"/>
    <x v="1"/>
    <s v="DK2_Large"/>
    <x v="7"/>
    <s v="GNR_ST_WOODCHI_BP_E-27"/>
    <x v="0"/>
    <x v="13"/>
    <n v="44.117647058823501"/>
    <n v="16102.9411764706"/>
    <n v="57970.588235294097"/>
  </r>
  <r>
    <x v="0"/>
    <x v="0"/>
    <x v="0"/>
    <x v="0"/>
    <x v="1"/>
    <s v="DK2_Large"/>
    <x v="7"/>
    <s v="GNR_ST_WOODCHI_BP_E-27"/>
    <x v="0"/>
    <x v="0"/>
    <n v="44.117647058823501"/>
    <n v="16102.9411764706"/>
    <n v="57970.588235294097"/>
  </r>
  <r>
    <x v="0"/>
    <x v="0"/>
    <x v="0"/>
    <x v="0"/>
    <x v="1"/>
    <s v="DK2_Large"/>
    <x v="7"/>
    <s v="GNR_ST_WOODCHI_BP_E-27"/>
    <x v="0"/>
    <x v="14"/>
    <n v="44.117647058823501"/>
    <n v="16102.9411764706"/>
    <n v="57970.588235294097"/>
  </r>
  <r>
    <x v="0"/>
    <x v="0"/>
    <x v="0"/>
    <x v="0"/>
    <x v="1"/>
    <s v="DK2_Large"/>
    <x v="7"/>
    <s v="GNR_ST_WOODCHI_BP_E-27"/>
    <x v="0"/>
    <x v="1"/>
    <n v="44.117647058823501"/>
    <n v="16102.9411764706"/>
    <n v="57970.588235294097"/>
  </r>
  <r>
    <x v="0"/>
    <x v="0"/>
    <x v="0"/>
    <x v="0"/>
    <x v="1"/>
    <s v="DK2_Large"/>
    <x v="7"/>
    <s v="GNR_ST_WOODCHI_BP_E-27"/>
    <x v="0"/>
    <x v="23"/>
    <n v="44.117647058823501"/>
    <n v="16102.9411764706"/>
    <n v="57970.588235294097"/>
  </r>
  <r>
    <x v="0"/>
    <x v="0"/>
    <x v="0"/>
    <x v="0"/>
    <x v="1"/>
    <s v="DK2_Large"/>
    <x v="7"/>
    <s v="GNR_ST_WOODCHI_BP_E-27"/>
    <x v="0"/>
    <x v="2"/>
    <n v="44.117647058823501"/>
    <n v="16102.9411764706"/>
    <n v="57970.588235294097"/>
  </r>
  <r>
    <x v="0"/>
    <x v="0"/>
    <x v="0"/>
    <x v="0"/>
    <x v="1"/>
    <s v="DK2_Large"/>
    <x v="7"/>
    <s v="GNR_ST_WOODCHI_BP_E-27"/>
    <x v="0"/>
    <x v="3"/>
    <n v="44.117647058823501"/>
    <n v="16102.9411764706"/>
    <n v="57970.588235294097"/>
  </r>
  <r>
    <x v="0"/>
    <x v="0"/>
    <x v="0"/>
    <x v="0"/>
    <x v="1"/>
    <s v="DK2_Large"/>
    <x v="7"/>
    <s v="GNR_ST_WOODCHI_BP_E-27"/>
    <x v="0"/>
    <x v="4"/>
    <n v="44.117647058823501"/>
    <n v="16102.9411764706"/>
    <n v="57970.588235294097"/>
  </r>
  <r>
    <x v="0"/>
    <x v="0"/>
    <x v="0"/>
    <x v="0"/>
    <x v="1"/>
    <s v="DK2_Large"/>
    <x v="7"/>
    <s v="GNR_ST_WOODCHI_BP_E-27"/>
    <x v="0"/>
    <x v="5"/>
    <n v="44.117647058823501"/>
    <n v="16102.9411764706"/>
    <n v="57970.588235294097"/>
  </r>
  <r>
    <x v="0"/>
    <x v="0"/>
    <x v="0"/>
    <x v="0"/>
    <x v="1"/>
    <s v="DK2_Large"/>
    <x v="7"/>
    <s v="GNR_ST_WOODCHI_BP_E-27"/>
    <x v="0"/>
    <x v="15"/>
    <n v="44.117647058823501"/>
    <n v="16102.9411764706"/>
    <n v="57970.588235294097"/>
  </r>
  <r>
    <x v="0"/>
    <x v="0"/>
    <x v="0"/>
    <x v="0"/>
    <x v="1"/>
    <s v="DK2_Large"/>
    <x v="7"/>
    <s v="GNR_ST_WOODCHI_BP_E-27"/>
    <x v="0"/>
    <x v="6"/>
    <n v="44.117647058823501"/>
    <n v="16102.9411764706"/>
    <n v="57970.588235294097"/>
  </r>
  <r>
    <x v="0"/>
    <x v="0"/>
    <x v="0"/>
    <x v="0"/>
    <x v="1"/>
    <s v="DK2_Large"/>
    <x v="7"/>
    <s v="GNR_ST_WOODCHI_BP_E-27"/>
    <x v="0"/>
    <x v="7"/>
    <n v="44.117647058823501"/>
    <n v="16102.9411764706"/>
    <n v="57970.588235294097"/>
  </r>
  <r>
    <x v="0"/>
    <x v="0"/>
    <x v="0"/>
    <x v="0"/>
    <x v="1"/>
    <s v="DK2_Large"/>
    <x v="7"/>
    <s v="GNR_ST_WOODCHI_BP_E-27"/>
    <x v="0"/>
    <x v="8"/>
    <n v="44.117647058823501"/>
    <n v="16102.9411764706"/>
    <n v="57970.588235294097"/>
  </r>
  <r>
    <x v="0"/>
    <x v="0"/>
    <x v="0"/>
    <x v="0"/>
    <x v="1"/>
    <s v="DK2_Large"/>
    <x v="7"/>
    <s v="GNR_ST_WOODCHI_BP_E-27"/>
    <x v="0"/>
    <x v="16"/>
    <n v="44.117647058823501"/>
    <n v="16102.9411764706"/>
    <n v="57970.588235294097"/>
  </r>
  <r>
    <x v="0"/>
    <x v="0"/>
    <x v="0"/>
    <x v="0"/>
    <x v="1"/>
    <s v="DK2_Large"/>
    <x v="7"/>
    <s v="GNR_ST_WOODCHI_BP_E-27"/>
    <x v="0"/>
    <x v="17"/>
    <n v="44.117647058823501"/>
    <n v="16102.9411764706"/>
    <n v="57970.588235294097"/>
  </r>
  <r>
    <x v="0"/>
    <x v="0"/>
    <x v="0"/>
    <x v="0"/>
    <x v="1"/>
    <s v="DK2_Large"/>
    <x v="7"/>
    <s v="GNR_ST_WOODCHI_BP_E-27"/>
    <x v="0"/>
    <x v="18"/>
    <n v="44.117647058823501"/>
    <n v="16102.9411764706"/>
    <n v="57970.588235294097"/>
  </r>
  <r>
    <x v="0"/>
    <x v="0"/>
    <x v="0"/>
    <x v="0"/>
    <x v="1"/>
    <s v="DK2_Large"/>
    <x v="7"/>
    <s v="GNR_ST_WOODCHI_BP_E-27"/>
    <x v="0"/>
    <x v="19"/>
    <n v="44.117647058823501"/>
    <n v="16102.9411764706"/>
    <n v="57970.588235294097"/>
  </r>
  <r>
    <x v="0"/>
    <x v="0"/>
    <x v="0"/>
    <x v="0"/>
    <x v="1"/>
    <s v="DK2_Large"/>
    <x v="7"/>
    <s v="GNR_ST_WOODCHI_BP_E-27"/>
    <x v="0"/>
    <x v="20"/>
    <n v="44.117647058823501"/>
    <n v="16102.9411764706"/>
    <n v="57970.588235294097"/>
  </r>
  <r>
    <x v="0"/>
    <x v="0"/>
    <x v="0"/>
    <x v="0"/>
    <x v="1"/>
    <s v="DK2_Large"/>
    <x v="7"/>
    <s v="GNR_ST_WOODCHI_BP_E-27"/>
    <x v="0"/>
    <x v="21"/>
    <n v="44.117647058823501"/>
    <n v="16102.9411764706"/>
    <n v="57970.588235294097"/>
  </r>
  <r>
    <x v="0"/>
    <x v="0"/>
    <x v="0"/>
    <x v="0"/>
    <x v="1"/>
    <s v="DK2_Large"/>
    <x v="7"/>
    <s v="GNR_ST_WOODCHI_BP_E-27"/>
    <x v="0"/>
    <x v="22"/>
    <n v="44.117647058823501"/>
    <n v="16102.9411764706"/>
    <n v="57970.588235294097"/>
  </r>
  <r>
    <x v="0"/>
    <x v="0"/>
    <x v="0"/>
    <x v="0"/>
    <x v="1"/>
    <s v="DK2_Large"/>
    <x v="8"/>
    <s v="GNR_BO_WOODWST_E-90"/>
    <x v="0"/>
    <x v="9"/>
    <n v="6.66"/>
    <n v="2430.9"/>
    <n v="8751.24"/>
  </r>
  <r>
    <x v="0"/>
    <x v="0"/>
    <x v="0"/>
    <x v="0"/>
    <x v="1"/>
    <s v="DK2_Large"/>
    <x v="8"/>
    <s v="GNR_BO_WOODWST_E-90"/>
    <x v="0"/>
    <x v="10"/>
    <n v="6.66"/>
    <n v="2430.9"/>
    <n v="8751.24"/>
  </r>
  <r>
    <x v="0"/>
    <x v="0"/>
    <x v="0"/>
    <x v="0"/>
    <x v="1"/>
    <s v="DK2_Large"/>
    <x v="8"/>
    <s v="GNR_BO_WOODWST_E-90"/>
    <x v="0"/>
    <x v="11"/>
    <n v="6.66"/>
    <n v="2430.9"/>
    <n v="8751.24"/>
  </r>
  <r>
    <x v="0"/>
    <x v="0"/>
    <x v="0"/>
    <x v="0"/>
    <x v="1"/>
    <s v="DK2_Large"/>
    <x v="8"/>
    <s v="GNR_BO_WOODWST_E-90"/>
    <x v="0"/>
    <x v="12"/>
    <n v="6.66"/>
    <n v="2430.9"/>
    <n v="8751.24"/>
  </r>
  <r>
    <x v="0"/>
    <x v="0"/>
    <x v="0"/>
    <x v="0"/>
    <x v="1"/>
    <s v="DK2_Large"/>
    <x v="8"/>
    <s v="GNR_BO_WOODWST_E-90"/>
    <x v="0"/>
    <x v="13"/>
    <n v="6.66"/>
    <n v="2430.9"/>
    <n v="8751.24"/>
  </r>
  <r>
    <x v="0"/>
    <x v="0"/>
    <x v="0"/>
    <x v="0"/>
    <x v="1"/>
    <s v="DK2_Large"/>
    <x v="8"/>
    <s v="GNR_BO_WOODWST_E-90"/>
    <x v="0"/>
    <x v="0"/>
    <n v="6.66"/>
    <n v="2430.9"/>
    <n v="8751.24"/>
  </r>
  <r>
    <x v="0"/>
    <x v="0"/>
    <x v="0"/>
    <x v="0"/>
    <x v="1"/>
    <s v="DK2_Large"/>
    <x v="8"/>
    <s v="GNR_BO_WOODWST_E-90"/>
    <x v="0"/>
    <x v="14"/>
    <n v="6.66"/>
    <n v="2430.9"/>
    <n v="8751.24"/>
  </r>
  <r>
    <x v="0"/>
    <x v="0"/>
    <x v="0"/>
    <x v="0"/>
    <x v="1"/>
    <s v="DK2_Large"/>
    <x v="8"/>
    <s v="GNR_BO_WOODWST_E-90"/>
    <x v="0"/>
    <x v="1"/>
    <n v="6.66"/>
    <n v="2430.9"/>
    <n v="8751.24"/>
  </r>
  <r>
    <x v="0"/>
    <x v="0"/>
    <x v="0"/>
    <x v="0"/>
    <x v="1"/>
    <s v="DK2_Large"/>
    <x v="8"/>
    <s v="GNR_BO_WOODWST_E-90"/>
    <x v="0"/>
    <x v="23"/>
    <n v="6.66"/>
    <n v="2430.9"/>
    <n v="8751.24"/>
  </r>
  <r>
    <x v="0"/>
    <x v="0"/>
    <x v="0"/>
    <x v="0"/>
    <x v="1"/>
    <s v="DK2_Large"/>
    <x v="8"/>
    <s v="GNR_BO_WOODWST_E-90"/>
    <x v="0"/>
    <x v="2"/>
    <n v="6.66"/>
    <n v="2430.9"/>
    <n v="8751.24"/>
  </r>
  <r>
    <x v="0"/>
    <x v="0"/>
    <x v="0"/>
    <x v="0"/>
    <x v="1"/>
    <s v="DK2_Large"/>
    <x v="8"/>
    <s v="GNR_BO_WOODWST_E-90"/>
    <x v="0"/>
    <x v="3"/>
    <n v="6.66"/>
    <n v="2430.9"/>
    <n v="8751.24"/>
  </r>
  <r>
    <x v="0"/>
    <x v="0"/>
    <x v="0"/>
    <x v="0"/>
    <x v="1"/>
    <s v="DK2_Large"/>
    <x v="8"/>
    <s v="GNR_BO_WOODWST_E-90"/>
    <x v="0"/>
    <x v="4"/>
    <n v="6.66"/>
    <n v="2430.9"/>
    <n v="8751.24"/>
  </r>
  <r>
    <x v="0"/>
    <x v="0"/>
    <x v="0"/>
    <x v="0"/>
    <x v="1"/>
    <s v="DK2_Large"/>
    <x v="8"/>
    <s v="GNR_BO_WOODWST_E-90"/>
    <x v="0"/>
    <x v="5"/>
    <n v="6.66"/>
    <n v="2430.9"/>
    <n v="8751.24"/>
  </r>
  <r>
    <x v="0"/>
    <x v="0"/>
    <x v="0"/>
    <x v="0"/>
    <x v="1"/>
    <s v="DK2_Large"/>
    <x v="8"/>
    <s v="GNR_BO_WOODWST_E-90"/>
    <x v="0"/>
    <x v="15"/>
    <n v="6.66"/>
    <n v="2430.9"/>
    <n v="8751.24"/>
  </r>
  <r>
    <x v="0"/>
    <x v="0"/>
    <x v="0"/>
    <x v="0"/>
    <x v="1"/>
    <s v="DK2_Large"/>
    <x v="8"/>
    <s v="GNR_BO_WOODWST_E-90"/>
    <x v="0"/>
    <x v="6"/>
    <n v="6.66"/>
    <n v="2430.9"/>
    <n v="8751.24"/>
  </r>
  <r>
    <x v="0"/>
    <x v="0"/>
    <x v="0"/>
    <x v="0"/>
    <x v="1"/>
    <s v="DK2_Large"/>
    <x v="8"/>
    <s v="GNR_BO_WOODWST_E-90"/>
    <x v="0"/>
    <x v="7"/>
    <n v="6.66"/>
    <n v="2430.9"/>
    <n v="8751.24"/>
  </r>
  <r>
    <x v="0"/>
    <x v="0"/>
    <x v="0"/>
    <x v="0"/>
    <x v="1"/>
    <s v="DK2_Large"/>
    <x v="8"/>
    <s v="GNR_BO_WOODWST_E-90"/>
    <x v="0"/>
    <x v="8"/>
    <n v="6.66"/>
    <n v="2430.9"/>
    <n v="8751.24"/>
  </r>
  <r>
    <x v="0"/>
    <x v="0"/>
    <x v="0"/>
    <x v="0"/>
    <x v="1"/>
    <s v="DK2_Large"/>
    <x v="8"/>
    <s v="GNR_BO_WOODWST_E-90"/>
    <x v="0"/>
    <x v="16"/>
    <n v="6.66"/>
    <n v="2430.9"/>
    <n v="8751.24"/>
  </r>
  <r>
    <x v="0"/>
    <x v="0"/>
    <x v="0"/>
    <x v="0"/>
    <x v="1"/>
    <s v="DK2_Large"/>
    <x v="8"/>
    <s v="GNR_BO_WOODWST_E-90"/>
    <x v="0"/>
    <x v="17"/>
    <n v="6.66"/>
    <n v="2430.9"/>
    <n v="8751.24"/>
  </r>
  <r>
    <x v="0"/>
    <x v="0"/>
    <x v="0"/>
    <x v="0"/>
    <x v="1"/>
    <s v="DK2_Large"/>
    <x v="8"/>
    <s v="GNR_BO_WOODWST_E-90"/>
    <x v="0"/>
    <x v="18"/>
    <n v="6.66"/>
    <n v="2430.9"/>
    <n v="8751.24"/>
  </r>
  <r>
    <x v="0"/>
    <x v="0"/>
    <x v="0"/>
    <x v="0"/>
    <x v="1"/>
    <s v="DK2_Large"/>
    <x v="8"/>
    <s v="GNR_BO_WOODWST_E-90"/>
    <x v="0"/>
    <x v="19"/>
    <n v="6.66"/>
    <n v="2430.9"/>
    <n v="8751.24"/>
  </r>
  <r>
    <x v="0"/>
    <x v="0"/>
    <x v="0"/>
    <x v="0"/>
    <x v="1"/>
    <s v="DK2_Large"/>
    <x v="8"/>
    <s v="GNR_BO_WOODWST_E-90"/>
    <x v="0"/>
    <x v="20"/>
    <n v="6.66"/>
    <n v="2430.9"/>
    <n v="8751.24"/>
  </r>
  <r>
    <x v="0"/>
    <x v="0"/>
    <x v="0"/>
    <x v="0"/>
    <x v="1"/>
    <s v="DK2_Large"/>
    <x v="8"/>
    <s v="GNR_BO_WOODWST_E-90"/>
    <x v="0"/>
    <x v="21"/>
    <n v="6.66"/>
    <n v="2430.9"/>
    <n v="8751.24"/>
  </r>
  <r>
    <x v="0"/>
    <x v="0"/>
    <x v="0"/>
    <x v="0"/>
    <x v="1"/>
    <s v="DK2_Large"/>
    <x v="8"/>
    <s v="GNR_BO_WOODWST_E-90"/>
    <x v="0"/>
    <x v="22"/>
    <n v="6.66"/>
    <n v="2430.9"/>
    <n v="8751.24"/>
  </r>
  <r>
    <x v="0"/>
    <x v="0"/>
    <x v="0"/>
    <x v="0"/>
    <x v="1"/>
    <s v="DK2_MedSmall"/>
    <x v="1"/>
    <s v="GNR_HS_HEAT-E-100"/>
    <x v="0"/>
    <x v="14"/>
    <n v="8.0866113668564807"/>
    <n v="2951.6131489026102"/>
    <n v="10625.8073360494"/>
  </r>
  <r>
    <x v="0"/>
    <x v="0"/>
    <x v="0"/>
    <x v="0"/>
    <x v="1"/>
    <s v="DK2_MedSmall"/>
    <x v="1"/>
    <s v="GNR_HS_HEAT-E-100"/>
    <x v="0"/>
    <x v="5"/>
    <n v="19.3138288832439"/>
    <n v="7049.5475423840198"/>
    <n v="25378.371152582498"/>
  </r>
  <r>
    <x v="0"/>
    <x v="0"/>
    <x v="0"/>
    <x v="0"/>
    <x v="1"/>
    <s v="DK2_MedSmall"/>
    <x v="1"/>
    <s v="GNR_HS_HEAT-E-100"/>
    <x v="0"/>
    <x v="15"/>
    <n v="17.481772468435899"/>
    <n v="6380.8469509791103"/>
    <n v="22971.0490235248"/>
  </r>
  <r>
    <x v="0"/>
    <x v="0"/>
    <x v="0"/>
    <x v="0"/>
    <x v="1"/>
    <s v="DK2_MedSmall"/>
    <x v="1"/>
    <s v="GNR_HS_HEAT-E-100"/>
    <x v="0"/>
    <x v="6"/>
    <n v="18.233385356562302"/>
    <n v="6655.1856551452202"/>
    <n v="23958.668358522798"/>
  </r>
  <r>
    <x v="0"/>
    <x v="0"/>
    <x v="0"/>
    <x v="0"/>
    <x v="1"/>
    <s v="DK2_MedSmall"/>
    <x v="1"/>
    <s v="GNR_HS_HEAT-E-100"/>
    <x v="0"/>
    <x v="7"/>
    <n v="18.938022439180699"/>
    <n v="6912.3781903009603"/>
    <n v="24884.561485083501"/>
  </r>
  <r>
    <x v="0"/>
    <x v="0"/>
    <x v="0"/>
    <x v="0"/>
    <x v="1"/>
    <s v="DK2_MedSmall"/>
    <x v="1"/>
    <s v="GNR_HS_HEAT-E-100"/>
    <x v="0"/>
    <x v="8"/>
    <n v="19.360804688751799"/>
    <n v="7066.6937113944005"/>
    <n v="25440.097361019802"/>
  </r>
  <r>
    <x v="0"/>
    <x v="0"/>
    <x v="0"/>
    <x v="0"/>
    <x v="1"/>
    <s v="DK2_MedSmall"/>
    <x v="1"/>
    <s v="GNR_HS_HEAT-E-100"/>
    <x v="0"/>
    <x v="16"/>
    <n v="5.5800535976359802"/>
    <n v="2036.7195631371301"/>
    <n v="7332.1904272936799"/>
  </r>
  <r>
    <x v="0"/>
    <x v="0"/>
    <x v="0"/>
    <x v="0"/>
    <x v="1"/>
    <s v="DK2_MedSmall"/>
    <x v="1"/>
    <s v="GNR_HS_HEAT-E-100"/>
    <x v="0"/>
    <x v="17"/>
    <n v="20.441248215433401"/>
    <n v="7461.0555986332001"/>
    <n v="26859.800155079502"/>
  </r>
  <r>
    <x v="0"/>
    <x v="0"/>
    <x v="0"/>
    <x v="0"/>
    <x v="1"/>
    <s v="DK2_MedSmall"/>
    <x v="1"/>
    <s v="GNR_HS_HEAT-E-100"/>
    <x v="0"/>
    <x v="18"/>
    <n v="18.515240189609599"/>
    <n v="6758.0626692075202"/>
    <n v="24329.025609147098"/>
  </r>
  <r>
    <x v="0"/>
    <x v="0"/>
    <x v="0"/>
    <x v="0"/>
    <x v="1"/>
    <s v="DK2_MedSmall"/>
    <x v="1"/>
    <s v="GNR_HS_HEAT-E-100"/>
    <x v="0"/>
    <x v="19"/>
    <n v="14.898103165501601"/>
    <n v="5437.8076554080699"/>
    <n v="19576.107559469001"/>
  </r>
  <r>
    <x v="0"/>
    <x v="0"/>
    <x v="0"/>
    <x v="0"/>
    <x v="1"/>
    <s v="DK2_MedSmall"/>
    <x v="4"/>
    <s v="GNR_BO_MSW_E-105"/>
    <x v="0"/>
    <x v="9"/>
    <n v="17"/>
    <n v="6205"/>
    <n v="22338"/>
  </r>
  <r>
    <x v="0"/>
    <x v="0"/>
    <x v="0"/>
    <x v="0"/>
    <x v="1"/>
    <s v="DK2_MedSmall"/>
    <x v="4"/>
    <s v="GNR_BO_MSW_E-105"/>
    <x v="0"/>
    <x v="10"/>
    <n v="17"/>
    <n v="6205"/>
    <n v="22338"/>
  </r>
  <r>
    <x v="0"/>
    <x v="0"/>
    <x v="0"/>
    <x v="0"/>
    <x v="1"/>
    <s v="DK2_MedSmall"/>
    <x v="4"/>
    <s v="GNR_BO_MSW_E-105"/>
    <x v="0"/>
    <x v="11"/>
    <n v="17"/>
    <n v="6205"/>
    <n v="22338"/>
  </r>
  <r>
    <x v="0"/>
    <x v="0"/>
    <x v="0"/>
    <x v="0"/>
    <x v="1"/>
    <s v="DK2_MedSmall"/>
    <x v="4"/>
    <s v="GNR_BO_MSW_E-105"/>
    <x v="0"/>
    <x v="12"/>
    <n v="17"/>
    <n v="6205"/>
    <n v="22338"/>
  </r>
  <r>
    <x v="0"/>
    <x v="0"/>
    <x v="0"/>
    <x v="0"/>
    <x v="1"/>
    <s v="DK2_MedSmall"/>
    <x v="4"/>
    <s v="GNR_BO_MSW_E-105"/>
    <x v="0"/>
    <x v="13"/>
    <n v="17"/>
    <n v="6205"/>
    <n v="22338"/>
  </r>
  <r>
    <x v="0"/>
    <x v="0"/>
    <x v="0"/>
    <x v="0"/>
    <x v="1"/>
    <s v="DK2_MedSmall"/>
    <x v="4"/>
    <s v="GNR_BO_MSW_E-105"/>
    <x v="0"/>
    <x v="0"/>
    <n v="17"/>
    <n v="6205"/>
    <n v="22338"/>
  </r>
  <r>
    <x v="0"/>
    <x v="0"/>
    <x v="0"/>
    <x v="0"/>
    <x v="1"/>
    <s v="DK2_MedSmall"/>
    <x v="4"/>
    <s v="GNR_BO_MSW_E-105"/>
    <x v="0"/>
    <x v="14"/>
    <n v="17"/>
    <n v="6205"/>
    <n v="22338"/>
  </r>
  <r>
    <x v="0"/>
    <x v="0"/>
    <x v="0"/>
    <x v="0"/>
    <x v="1"/>
    <s v="DK2_MedSmall"/>
    <x v="4"/>
    <s v="GNR_BO_MSW_E-105"/>
    <x v="0"/>
    <x v="1"/>
    <n v="17"/>
    <n v="6205"/>
    <n v="22338"/>
  </r>
  <r>
    <x v="0"/>
    <x v="0"/>
    <x v="0"/>
    <x v="0"/>
    <x v="1"/>
    <s v="DK2_MedSmall"/>
    <x v="4"/>
    <s v="GNR_BO_MSW_E-105"/>
    <x v="0"/>
    <x v="23"/>
    <n v="17"/>
    <n v="6205"/>
    <n v="22338"/>
  </r>
  <r>
    <x v="0"/>
    <x v="0"/>
    <x v="0"/>
    <x v="0"/>
    <x v="1"/>
    <s v="DK2_MedSmall"/>
    <x v="4"/>
    <s v="GNR_BO_MSW_E-105"/>
    <x v="0"/>
    <x v="2"/>
    <n v="17"/>
    <n v="6205"/>
    <n v="22338"/>
  </r>
  <r>
    <x v="0"/>
    <x v="0"/>
    <x v="0"/>
    <x v="0"/>
    <x v="1"/>
    <s v="DK2_MedSmall"/>
    <x v="4"/>
    <s v="GNR_BO_MSW_E-105"/>
    <x v="0"/>
    <x v="3"/>
    <n v="17"/>
    <n v="6205"/>
    <n v="22338"/>
  </r>
  <r>
    <x v="0"/>
    <x v="0"/>
    <x v="0"/>
    <x v="0"/>
    <x v="1"/>
    <s v="DK2_MedSmall"/>
    <x v="4"/>
    <s v="GNR_BO_MSW_E-105"/>
    <x v="0"/>
    <x v="4"/>
    <n v="17"/>
    <n v="6205"/>
    <n v="22338"/>
  </r>
  <r>
    <x v="0"/>
    <x v="0"/>
    <x v="0"/>
    <x v="0"/>
    <x v="1"/>
    <s v="DK2_MedSmall"/>
    <x v="4"/>
    <s v="GNR_BO_MSW_E-105"/>
    <x v="0"/>
    <x v="5"/>
    <n v="17"/>
    <n v="6205"/>
    <n v="22338"/>
  </r>
  <r>
    <x v="0"/>
    <x v="0"/>
    <x v="0"/>
    <x v="0"/>
    <x v="1"/>
    <s v="DK2_MedSmall"/>
    <x v="4"/>
    <s v="GNR_BO_MSW_E-105"/>
    <x v="0"/>
    <x v="15"/>
    <n v="17"/>
    <n v="6205"/>
    <n v="22338"/>
  </r>
  <r>
    <x v="0"/>
    <x v="0"/>
    <x v="0"/>
    <x v="0"/>
    <x v="1"/>
    <s v="DK2_MedSmall"/>
    <x v="4"/>
    <s v="GNR_BO_MSW_E-105"/>
    <x v="0"/>
    <x v="6"/>
    <n v="17"/>
    <n v="6205"/>
    <n v="22338"/>
  </r>
  <r>
    <x v="0"/>
    <x v="0"/>
    <x v="0"/>
    <x v="0"/>
    <x v="1"/>
    <s v="DK2_MedSmall"/>
    <x v="4"/>
    <s v="GNR_BO_MSW_E-105"/>
    <x v="0"/>
    <x v="7"/>
    <n v="17"/>
    <n v="6205"/>
    <n v="22338"/>
  </r>
  <r>
    <x v="0"/>
    <x v="0"/>
    <x v="0"/>
    <x v="0"/>
    <x v="1"/>
    <s v="DK2_MedSmall"/>
    <x v="4"/>
    <s v="GNR_BO_MSW_E-105"/>
    <x v="0"/>
    <x v="8"/>
    <n v="17"/>
    <n v="6205"/>
    <n v="22338"/>
  </r>
  <r>
    <x v="0"/>
    <x v="0"/>
    <x v="0"/>
    <x v="0"/>
    <x v="1"/>
    <s v="DK2_MedSmall"/>
    <x v="4"/>
    <s v="GNR_BO_MSW_E-105"/>
    <x v="0"/>
    <x v="16"/>
    <n v="17"/>
    <n v="6205"/>
    <n v="22338"/>
  </r>
  <r>
    <x v="0"/>
    <x v="0"/>
    <x v="0"/>
    <x v="0"/>
    <x v="1"/>
    <s v="DK2_MedSmall"/>
    <x v="4"/>
    <s v="GNR_BO_MSW_E-105"/>
    <x v="0"/>
    <x v="17"/>
    <n v="17"/>
    <n v="6205"/>
    <n v="22338"/>
  </r>
  <r>
    <x v="0"/>
    <x v="0"/>
    <x v="0"/>
    <x v="0"/>
    <x v="1"/>
    <s v="DK2_MedSmall"/>
    <x v="4"/>
    <s v="GNR_BO_MSW_E-105"/>
    <x v="0"/>
    <x v="18"/>
    <n v="17"/>
    <n v="6205"/>
    <n v="22338"/>
  </r>
  <r>
    <x v="0"/>
    <x v="0"/>
    <x v="0"/>
    <x v="0"/>
    <x v="1"/>
    <s v="DK2_MedSmall"/>
    <x v="4"/>
    <s v="GNR_BO_MSW_E-105"/>
    <x v="0"/>
    <x v="19"/>
    <n v="17"/>
    <n v="6205"/>
    <n v="22338"/>
  </r>
  <r>
    <x v="0"/>
    <x v="0"/>
    <x v="0"/>
    <x v="0"/>
    <x v="1"/>
    <s v="DK2_MedSmall"/>
    <x v="4"/>
    <s v="GNR_BO_MSW_E-105"/>
    <x v="0"/>
    <x v="20"/>
    <n v="17"/>
    <n v="6205"/>
    <n v="22338"/>
  </r>
  <r>
    <x v="0"/>
    <x v="0"/>
    <x v="0"/>
    <x v="0"/>
    <x v="1"/>
    <s v="DK2_MedSmall"/>
    <x v="4"/>
    <s v="GNR_BO_MSW_E-105"/>
    <x v="0"/>
    <x v="21"/>
    <n v="17"/>
    <n v="6205"/>
    <n v="22338"/>
  </r>
  <r>
    <x v="0"/>
    <x v="0"/>
    <x v="0"/>
    <x v="0"/>
    <x v="1"/>
    <s v="DK2_MedSmall"/>
    <x v="4"/>
    <s v="GNR_BO_MSW_E-105"/>
    <x v="0"/>
    <x v="22"/>
    <n v="17"/>
    <n v="6205"/>
    <n v="22338"/>
  </r>
  <r>
    <x v="0"/>
    <x v="0"/>
    <x v="0"/>
    <x v="0"/>
    <x v="1"/>
    <s v="DK2_MedSmall"/>
    <x v="4"/>
    <s v="GNR_ST_MSW_BP_E-28"/>
    <x v="0"/>
    <x v="1"/>
    <n v="36.381665682758097"/>
    <n v="13279.3079742067"/>
    <n v="47805.508707144101"/>
  </r>
  <r>
    <x v="0"/>
    <x v="0"/>
    <x v="0"/>
    <x v="0"/>
    <x v="1"/>
    <s v="DK2_MedSmall"/>
    <x v="4"/>
    <s v="GNR_ST_MSW_BP_E-28"/>
    <x v="0"/>
    <x v="23"/>
    <n v="38.213722097566098"/>
    <n v="13948.008565611601"/>
    <n v="50212.8308362018"/>
  </r>
  <r>
    <x v="0"/>
    <x v="0"/>
    <x v="0"/>
    <x v="0"/>
    <x v="1"/>
    <s v="DK2_MedSmall"/>
    <x v="4"/>
    <s v="GNR_ST_MSW_BP_E-28"/>
    <x v="0"/>
    <x v="2"/>
    <n v="37.978843070026599"/>
    <n v="13862.277720559699"/>
    <n v="49904.199794014901"/>
  </r>
  <r>
    <x v="0"/>
    <x v="0"/>
    <x v="0"/>
    <x v="0"/>
    <x v="1"/>
    <s v="DK2_MedSmall"/>
    <x v="4"/>
    <s v="GNR_ST_MSW_BP_E-28"/>
    <x v="0"/>
    <x v="3"/>
    <n v="22.367256241257198"/>
    <n v="8164.04852805888"/>
    <n v="29390.574701011999"/>
  </r>
  <r>
    <x v="0"/>
    <x v="0"/>
    <x v="0"/>
    <x v="0"/>
    <x v="1"/>
    <s v="DK2_MedSmall"/>
    <x v="4"/>
    <s v="GNR_ST_MSW_BP_E-28"/>
    <x v="0"/>
    <x v="4"/>
    <n v="21.944473991686099"/>
    <n v="8009.7330069654399"/>
    <n v="28835.0388250756"/>
  </r>
  <r>
    <x v="0"/>
    <x v="0"/>
    <x v="0"/>
    <x v="0"/>
    <x v="1"/>
    <s v="DK2_MedSmall"/>
    <x v="4"/>
    <s v="GNR_ST_MSW_BP_E-28"/>
    <x v="0"/>
    <x v="16"/>
    <n v="15.049097839829001"/>
    <n v="5492.9207115376003"/>
    <n v="19774.514561535299"/>
  </r>
  <r>
    <x v="0"/>
    <x v="0"/>
    <x v="0"/>
    <x v="0"/>
    <x v="1"/>
    <s v="DK2_MedSmall"/>
    <x v="6"/>
    <s v="GNR_BO_STRW_E-100"/>
    <x v="0"/>
    <x v="9"/>
    <n v="14.79"/>
    <n v="5398.35"/>
    <n v="19434.060000000001"/>
  </r>
  <r>
    <x v="0"/>
    <x v="0"/>
    <x v="0"/>
    <x v="0"/>
    <x v="1"/>
    <s v="DK2_MedSmall"/>
    <x v="6"/>
    <s v="GNR_BO_STRW_E-100"/>
    <x v="0"/>
    <x v="10"/>
    <n v="14.79"/>
    <n v="5398.35"/>
    <n v="19434.060000000001"/>
  </r>
  <r>
    <x v="0"/>
    <x v="0"/>
    <x v="0"/>
    <x v="0"/>
    <x v="1"/>
    <s v="DK2_MedSmall"/>
    <x v="6"/>
    <s v="GNR_BO_STRW_E-100"/>
    <x v="0"/>
    <x v="11"/>
    <n v="14.79"/>
    <n v="5398.35"/>
    <n v="19434.060000000001"/>
  </r>
  <r>
    <x v="0"/>
    <x v="0"/>
    <x v="0"/>
    <x v="0"/>
    <x v="1"/>
    <s v="DK2_MedSmall"/>
    <x v="6"/>
    <s v="GNR_BO_STRW_E-100"/>
    <x v="0"/>
    <x v="12"/>
    <n v="14.79"/>
    <n v="5398.35"/>
    <n v="19434.060000000001"/>
  </r>
  <r>
    <x v="0"/>
    <x v="0"/>
    <x v="0"/>
    <x v="0"/>
    <x v="1"/>
    <s v="DK2_MedSmall"/>
    <x v="6"/>
    <s v="GNR_BO_STRW_E-100"/>
    <x v="0"/>
    <x v="13"/>
    <n v="14.79"/>
    <n v="5398.35"/>
    <n v="19434.060000000001"/>
  </r>
  <r>
    <x v="0"/>
    <x v="0"/>
    <x v="0"/>
    <x v="0"/>
    <x v="1"/>
    <s v="DK2_MedSmall"/>
    <x v="6"/>
    <s v="GNR_BO_STRW_E-100"/>
    <x v="0"/>
    <x v="0"/>
    <n v="14.79"/>
    <n v="5398.35"/>
    <n v="19434.060000000001"/>
  </r>
  <r>
    <x v="0"/>
    <x v="0"/>
    <x v="0"/>
    <x v="0"/>
    <x v="1"/>
    <s v="DK2_MedSmall"/>
    <x v="6"/>
    <s v="GNR_BO_STRW_E-100"/>
    <x v="0"/>
    <x v="14"/>
    <n v="14.79"/>
    <n v="5398.35"/>
    <n v="19434.060000000001"/>
  </r>
  <r>
    <x v="0"/>
    <x v="0"/>
    <x v="0"/>
    <x v="0"/>
    <x v="1"/>
    <s v="DK2_MedSmall"/>
    <x v="6"/>
    <s v="GNR_BO_STRW_E-100"/>
    <x v="0"/>
    <x v="1"/>
    <n v="14.79"/>
    <n v="5398.35"/>
    <n v="19434.060000000001"/>
  </r>
  <r>
    <x v="0"/>
    <x v="0"/>
    <x v="0"/>
    <x v="0"/>
    <x v="1"/>
    <s v="DK2_MedSmall"/>
    <x v="6"/>
    <s v="GNR_BO_STRW_E-100"/>
    <x v="0"/>
    <x v="23"/>
    <n v="14.79"/>
    <n v="5398.35"/>
    <n v="19434.060000000001"/>
  </r>
  <r>
    <x v="0"/>
    <x v="0"/>
    <x v="0"/>
    <x v="0"/>
    <x v="1"/>
    <s v="DK2_MedSmall"/>
    <x v="6"/>
    <s v="GNR_BO_STRW_E-100"/>
    <x v="0"/>
    <x v="2"/>
    <n v="14.79"/>
    <n v="5398.35"/>
    <n v="19434.060000000001"/>
  </r>
  <r>
    <x v="0"/>
    <x v="0"/>
    <x v="0"/>
    <x v="0"/>
    <x v="1"/>
    <s v="DK2_MedSmall"/>
    <x v="6"/>
    <s v="GNR_BO_STRW_E-100"/>
    <x v="0"/>
    <x v="3"/>
    <n v="14.79"/>
    <n v="5398.35"/>
    <n v="19434.060000000001"/>
  </r>
  <r>
    <x v="0"/>
    <x v="0"/>
    <x v="0"/>
    <x v="0"/>
    <x v="1"/>
    <s v="DK2_MedSmall"/>
    <x v="6"/>
    <s v="GNR_BO_STRW_E-100"/>
    <x v="0"/>
    <x v="4"/>
    <n v="14.79"/>
    <n v="5398.35"/>
    <n v="19434.060000000001"/>
  </r>
  <r>
    <x v="0"/>
    <x v="0"/>
    <x v="0"/>
    <x v="0"/>
    <x v="1"/>
    <s v="DK2_MedSmall"/>
    <x v="6"/>
    <s v="GNR_BO_STRW_E-100"/>
    <x v="0"/>
    <x v="5"/>
    <n v="14.79"/>
    <n v="5398.35"/>
    <n v="19434.060000000001"/>
  </r>
  <r>
    <x v="0"/>
    <x v="0"/>
    <x v="0"/>
    <x v="0"/>
    <x v="1"/>
    <s v="DK2_MedSmall"/>
    <x v="6"/>
    <s v="GNR_BO_STRW_E-100"/>
    <x v="0"/>
    <x v="15"/>
    <n v="14.79"/>
    <n v="5398.35"/>
    <n v="19434.060000000001"/>
  </r>
  <r>
    <x v="0"/>
    <x v="0"/>
    <x v="0"/>
    <x v="0"/>
    <x v="1"/>
    <s v="DK2_MedSmall"/>
    <x v="6"/>
    <s v="GNR_BO_STRW_E-100"/>
    <x v="0"/>
    <x v="6"/>
    <n v="14.79"/>
    <n v="5398.35"/>
    <n v="19434.060000000001"/>
  </r>
  <r>
    <x v="0"/>
    <x v="0"/>
    <x v="0"/>
    <x v="0"/>
    <x v="1"/>
    <s v="DK2_MedSmall"/>
    <x v="6"/>
    <s v="GNR_BO_STRW_E-100"/>
    <x v="0"/>
    <x v="7"/>
    <n v="14.79"/>
    <n v="5398.35"/>
    <n v="19434.060000000001"/>
  </r>
  <r>
    <x v="0"/>
    <x v="0"/>
    <x v="0"/>
    <x v="0"/>
    <x v="1"/>
    <s v="DK2_MedSmall"/>
    <x v="6"/>
    <s v="GNR_BO_STRW_E-100"/>
    <x v="0"/>
    <x v="8"/>
    <n v="14.79"/>
    <n v="5398.35"/>
    <n v="19434.060000000001"/>
  </r>
  <r>
    <x v="0"/>
    <x v="0"/>
    <x v="0"/>
    <x v="0"/>
    <x v="1"/>
    <s v="DK2_MedSmall"/>
    <x v="6"/>
    <s v="GNR_BO_STRW_E-100"/>
    <x v="0"/>
    <x v="16"/>
    <n v="14.79"/>
    <n v="5398.35"/>
    <n v="19434.060000000001"/>
  </r>
  <r>
    <x v="0"/>
    <x v="0"/>
    <x v="0"/>
    <x v="0"/>
    <x v="1"/>
    <s v="DK2_MedSmall"/>
    <x v="6"/>
    <s v="GNR_BO_STRW_E-100"/>
    <x v="0"/>
    <x v="17"/>
    <n v="14.79"/>
    <n v="5398.35"/>
    <n v="19434.060000000001"/>
  </r>
  <r>
    <x v="0"/>
    <x v="0"/>
    <x v="0"/>
    <x v="0"/>
    <x v="1"/>
    <s v="DK2_MedSmall"/>
    <x v="6"/>
    <s v="GNR_BO_STRW_E-100"/>
    <x v="0"/>
    <x v="18"/>
    <n v="14.79"/>
    <n v="5398.35"/>
    <n v="19434.060000000001"/>
  </r>
  <r>
    <x v="0"/>
    <x v="0"/>
    <x v="0"/>
    <x v="0"/>
    <x v="1"/>
    <s v="DK2_MedSmall"/>
    <x v="6"/>
    <s v="GNR_BO_STRW_E-100"/>
    <x v="0"/>
    <x v="19"/>
    <n v="14.79"/>
    <n v="5398.35"/>
    <n v="19434.060000000001"/>
  </r>
  <r>
    <x v="0"/>
    <x v="0"/>
    <x v="0"/>
    <x v="0"/>
    <x v="1"/>
    <s v="DK2_MedSmall"/>
    <x v="6"/>
    <s v="GNR_BO_STRW_E-100"/>
    <x v="0"/>
    <x v="20"/>
    <n v="14.79"/>
    <n v="5398.35"/>
    <n v="19434.060000000001"/>
  </r>
  <r>
    <x v="0"/>
    <x v="0"/>
    <x v="0"/>
    <x v="0"/>
    <x v="1"/>
    <s v="DK2_MedSmall"/>
    <x v="6"/>
    <s v="GNR_BO_STRW_E-100"/>
    <x v="0"/>
    <x v="21"/>
    <n v="14.79"/>
    <n v="5398.35"/>
    <n v="19434.060000000001"/>
  </r>
  <r>
    <x v="0"/>
    <x v="0"/>
    <x v="0"/>
    <x v="0"/>
    <x v="1"/>
    <s v="DK2_MedSmall"/>
    <x v="6"/>
    <s v="GNR_BO_STRW_E-100"/>
    <x v="0"/>
    <x v="22"/>
    <n v="14.79"/>
    <n v="5398.35"/>
    <n v="19434.060000000001"/>
  </r>
  <r>
    <x v="0"/>
    <x v="0"/>
    <x v="0"/>
    <x v="0"/>
    <x v="1"/>
    <s v="DK2_MedSmall"/>
    <x v="6"/>
    <s v="GNR_BO_STRW_E-102"/>
    <x v="0"/>
    <x v="9"/>
    <n v="10"/>
    <n v="3650"/>
    <n v="13140"/>
  </r>
  <r>
    <x v="0"/>
    <x v="0"/>
    <x v="0"/>
    <x v="0"/>
    <x v="1"/>
    <s v="DK2_MedSmall"/>
    <x v="6"/>
    <s v="GNR_BO_STRW_E-102"/>
    <x v="0"/>
    <x v="10"/>
    <n v="10"/>
    <n v="3650"/>
    <n v="13140"/>
  </r>
  <r>
    <x v="0"/>
    <x v="0"/>
    <x v="0"/>
    <x v="0"/>
    <x v="1"/>
    <s v="DK2_MedSmall"/>
    <x v="6"/>
    <s v="GNR_BO_STRW_E-102"/>
    <x v="0"/>
    <x v="11"/>
    <n v="10"/>
    <n v="3650"/>
    <n v="13140"/>
  </r>
  <r>
    <x v="0"/>
    <x v="0"/>
    <x v="0"/>
    <x v="0"/>
    <x v="1"/>
    <s v="DK2_MedSmall"/>
    <x v="6"/>
    <s v="GNR_BO_STRW_E-102"/>
    <x v="0"/>
    <x v="12"/>
    <n v="10"/>
    <n v="3650"/>
    <n v="13140"/>
  </r>
  <r>
    <x v="0"/>
    <x v="0"/>
    <x v="0"/>
    <x v="0"/>
    <x v="1"/>
    <s v="DK2_MedSmall"/>
    <x v="6"/>
    <s v="GNR_BO_STRW_E-102"/>
    <x v="0"/>
    <x v="13"/>
    <n v="10"/>
    <n v="3650"/>
    <n v="13140"/>
  </r>
  <r>
    <x v="0"/>
    <x v="0"/>
    <x v="0"/>
    <x v="0"/>
    <x v="1"/>
    <s v="DK2_MedSmall"/>
    <x v="6"/>
    <s v="GNR_BO_STRW_E-102"/>
    <x v="0"/>
    <x v="0"/>
    <n v="10"/>
    <n v="3650"/>
    <n v="13140"/>
  </r>
  <r>
    <x v="0"/>
    <x v="0"/>
    <x v="0"/>
    <x v="0"/>
    <x v="1"/>
    <s v="DK2_MedSmall"/>
    <x v="6"/>
    <s v="GNR_BO_STRW_E-102"/>
    <x v="0"/>
    <x v="14"/>
    <n v="10"/>
    <n v="3650"/>
    <n v="13140"/>
  </r>
  <r>
    <x v="0"/>
    <x v="0"/>
    <x v="0"/>
    <x v="0"/>
    <x v="1"/>
    <s v="DK2_MedSmall"/>
    <x v="6"/>
    <s v="GNR_BO_STRW_E-102"/>
    <x v="0"/>
    <x v="1"/>
    <n v="10"/>
    <n v="3650"/>
    <n v="13140"/>
  </r>
  <r>
    <x v="0"/>
    <x v="0"/>
    <x v="0"/>
    <x v="0"/>
    <x v="1"/>
    <s v="DK2_MedSmall"/>
    <x v="6"/>
    <s v="GNR_BO_STRW_E-102"/>
    <x v="0"/>
    <x v="23"/>
    <n v="10"/>
    <n v="3650"/>
    <n v="13140"/>
  </r>
  <r>
    <x v="0"/>
    <x v="0"/>
    <x v="0"/>
    <x v="0"/>
    <x v="1"/>
    <s v="DK2_MedSmall"/>
    <x v="6"/>
    <s v="GNR_BO_STRW_E-102"/>
    <x v="0"/>
    <x v="2"/>
    <n v="10"/>
    <n v="3650"/>
    <n v="13140"/>
  </r>
  <r>
    <x v="0"/>
    <x v="0"/>
    <x v="0"/>
    <x v="0"/>
    <x v="1"/>
    <s v="DK2_MedSmall"/>
    <x v="6"/>
    <s v="GNR_BO_STRW_E-102"/>
    <x v="0"/>
    <x v="3"/>
    <n v="10"/>
    <n v="3650"/>
    <n v="13140"/>
  </r>
  <r>
    <x v="0"/>
    <x v="0"/>
    <x v="0"/>
    <x v="0"/>
    <x v="1"/>
    <s v="DK2_MedSmall"/>
    <x v="6"/>
    <s v="GNR_BO_STRW_E-102"/>
    <x v="0"/>
    <x v="4"/>
    <n v="10"/>
    <n v="3650"/>
    <n v="13140"/>
  </r>
  <r>
    <x v="0"/>
    <x v="0"/>
    <x v="0"/>
    <x v="0"/>
    <x v="1"/>
    <s v="DK2_MedSmall"/>
    <x v="6"/>
    <s v="GNR_BO_STRW_E-102"/>
    <x v="0"/>
    <x v="5"/>
    <n v="10"/>
    <n v="3650"/>
    <n v="13140"/>
  </r>
  <r>
    <x v="0"/>
    <x v="0"/>
    <x v="0"/>
    <x v="0"/>
    <x v="1"/>
    <s v="DK2_MedSmall"/>
    <x v="6"/>
    <s v="GNR_BO_STRW_E-102"/>
    <x v="0"/>
    <x v="15"/>
    <n v="10"/>
    <n v="3650"/>
    <n v="13140"/>
  </r>
  <r>
    <x v="0"/>
    <x v="0"/>
    <x v="0"/>
    <x v="0"/>
    <x v="1"/>
    <s v="DK2_MedSmall"/>
    <x v="6"/>
    <s v="GNR_BO_STRW_E-102"/>
    <x v="0"/>
    <x v="6"/>
    <n v="10"/>
    <n v="3650"/>
    <n v="13140"/>
  </r>
  <r>
    <x v="0"/>
    <x v="0"/>
    <x v="0"/>
    <x v="0"/>
    <x v="1"/>
    <s v="DK2_MedSmall"/>
    <x v="6"/>
    <s v="GNR_BO_STRW_E-102"/>
    <x v="0"/>
    <x v="7"/>
    <n v="10"/>
    <n v="3650"/>
    <n v="13140"/>
  </r>
  <r>
    <x v="0"/>
    <x v="0"/>
    <x v="0"/>
    <x v="0"/>
    <x v="1"/>
    <s v="DK2_MedSmall"/>
    <x v="6"/>
    <s v="GNR_BO_STRW_E-102"/>
    <x v="0"/>
    <x v="8"/>
    <n v="10"/>
    <n v="3650"/>
    <n v="13140"/>
  </r>
  <r>
    <x v="0"/>
    <x v="0"/>
    <x v="0"/>
    <x v="0"/>
    <x v="1"/>
    <s v="DK2_MedSmall"/>
    <x v="6"/>
    <s v="GNR_BO_STRW_E-102"/>
    <x v="0"/>
    <x v="16"/>
    <n v="10"/>
    <n v="3650"/>
    <n v="13140"/>
  </r>
  <r>
    <x v="0"/>
    <x v="0"/>
    <x v="0"/>
    <x v="0"/>
    <x v="1"/>
    <s v="DK2_MedSmall"/>
    <x v="6"/>
    <s v="GNR_BO_STRW_E-102"/>
    <x v="0"/>
    <x v="17"/>
    <n v="10"/>
    <n v="3650"/>
    <n v="13140"/>
  </r>
  <r>
    <x v="0"/>
    <x v="0"/>
    <x v="0"/>
    <x v="0"/>
    <x v="1"/>
    <s v="DK2_MedSmall"/>
    <x v="6"/>
    <s v="GNR_BO_STRW_E-102"/>
    <x v="0"/>
    <x v="18"/>
    <n v="10"/>
    <n v="3650"/>
    <n v="13140"/>
  </r>
  <r>
    <x v="0"/>
    <x v="0"/>
    <x v="0"/>
    <x v="0"/>
    <x v="1"/>
    <s v="DK2_MedSmall"/>
    <x v="6"/>
    <s v="GNR_BO_STRW_E-102"/>
    <x v="0"/>
    <x v="19"/>
    <n v="10"/>
    <n v="3650"/>
    <n v="13140"/>
  </r>
  <r>
    <x v="0"/>
    <x v="0"/>
    <x v="0"/>
    <x v="0"/>
    <x v="1"/>
    <s v="DK2_MedSmall"/>
    <x v="6"/>
    <s v="GNR_BO_STRW_E-102"/>
    <x v="0"/>
    <x v="20"/>
    <n v="10"/>
    <n v="3650"/>
    <n v="13140"/>
  </r>
  <r>
    <x v="0"/>
    <x v="0"/>
    <x v="0"/>
    <x v="0"/>
    <x v="1"/>
    <s v="DK2_MedSmall"/>
    <x v="6"/>
    <s v="GNR_BO_STRW_E-102"/>
    <x v="0"/>
    <x v="21"/>
    <n v="10"/>
    <n v="3650"/>
    <n v="13140"/>
  </r>
  <r>
    <x v="0"/>
    <x v="0"/>
    <x v="0"/>
    <x v="0"/>
    <x v="1"/>
    <s v="DK2_MedSmall"/>
    <x v="6"/>
    <s v="GNR_BO_STRW_E-102"/>
    <x v="0"/>
    <x v="22"/>
    <n v="10"/>
    <n v="3650"/>
    <n v="13140"/>
  </r>
  <r>
    <x v="0"/>
    <x v="0"/>
    <x v="0"/>
    <x v="0"/>
    <x v="1"/>
    <s v="DK2_MedSmall"/>
    <x v="2"/>
    <s v="GNR_EH_HEAT"/>
    <x v="0"/>
    <x v="9"/>
    <n v="2"/>
    <n v="730"/>
    <n v="2628"/>
  </r>
  <r>
    <x v="0"/>
    <x v="0"/>
    <x v="0"/>
    <x v="0"/>
    <x v="1"/>
    <s v="DK2_MedSmall"/>
    <x v="2"/>
    <s v="GNR_EH_HEAT"/>
    <x v="0"/>
    <x v="10"/>
    <n v="2"/>
    <n v="730"/>
    <n v="2628"/>
  </r>
  <r>
    <x v="0"/>
    <x v="0"/>
    <x v="0"/>
    <x v="0"/>
    <x v="1"/>
    <s v="DK2_MedSmall"/>
    <x v="2"/>
    <s v="GNR_EH_HEAT"/>
    <x v="0"/>
    <x v="11"/>
    <n v="2"/>
    <n v="730"/>
    <n v="2628"/>
  </r>
  <r>
    <x v="0"/>
    <x v="0"/>
    <x v="0"/>
    <x v="0"/>
    <x v="1"/>
    <s v="DK2_MedSmall"/>
    <x v="2"/>
    <s v="GNR_EH_HEAT"/>
    <x v="0"/>
    <x v="12"/>
    <n v="2"/>
    <n v="730"/>
    <n v="2628"/>
  </r>
  <r>
    <x v="0"/>
    <x v="0"/>
    <x v="0"/>
    <x v="0"/>
    <x v="1"/>
    <s v="DK2_MedSmall"/>
    <x v="2"/>
    <s v="GNR_EH_HEAT"/>
    <x v="0"/>
    <x v="13"/>
    <n v="2"/>
    <n v="730"/>
    <n v="2628"/>
  </r>
  <r>
    <x v="0"/>
    <x v="0"/>
    <x v="0"/>
    <x v="0"/>
    <x v="1"/>
    <s v="DK2_MedSmall"/>
    <x v="2"/>
    <s v="GNR_EH_HEAT"/>
    <x v="0"/>
    <x v="0"/>
    <n v="2"/>
    <n v="730"/>
    <n v="2628"/>
  </r>
  <r>
    <x v="0"/>
    <x v="0"/>
    <x v="0"/>
    <x v="0"/>
    <x v="1"/>
    <s v="DK2_MedSmall"/>
    <x v="2"/>
    <s v="GNR_EH_HEAT"/>
    <x v="0"/>
    <x v="14"/>
    <n v="2"/>
    <n v="730"/>
    <n v="2628"/>
  </r>
  <r>
    <x v="0"/>
    <x v="0"/>
    <x v="0"/>
    <x v="0"/>
    <x v="1"/>
    <s v="DK2_MedSmall"/>
    <x v="2"/>
    <s v="GNR_EH_HEAT"/>
    <x v="0"/>
    <x v="1"/>
    <n v="2"/>
    <n v="730"/>
    <n v="2628"/>
  </r>
  <r>
    <x v="0"/>
    <x v="0"/>
    <x v="0"/>
    <x v="0"/>
    <x v="1"/>
    <s v="DK2_MedSmall"/>
    <x v="2"/>
    <s v="GNR_EH_HEAT"/>
    <x v="0"/>
    <x v="23"/>
    <n v="2"/>
    <n v="730"/>
    <n v="2628"/>
  </r>
  <r>
    <x v="0"/>
    <x v="0"/>
    <x v="0"/>
    <x v="0"/>
    <x v="1"/>
    <s v="DK2_MedSmall"/>
    <x v="2"/>
    <s v="GNR_EH_HEAT"/>
    <x v="0"/>
    <x v="2"/>
    <n v="2"/>
    <n v="730"/>
    <n v="2628"/>
  </r>
  <r>
    <x v="0"/>
    <x v="0"/>
    <x v="0"/>
    <x v="0"/>
    <x v="1"/>
    <s v="DK2_MedSmall"/>
    <x v="2"/>
    <s v="GNR_EH_HEAT"/>
    <x v="0"/>
    <x v="3"/>
    <n v="2"/>
    <n v="730"/>
    <n v="2628"/>
  </r>
  <r>
    <x v="0"/>
    <x v="0"/>
    <x v="0"/>
    <x v="0"/>
    <x v="1"/>
    <s v="DK2_MedSmall"/>
    <x v="2"/>
    <s v="GNR_EH_HEAT"/>
    <x v="0"/>
    <x v="4"/>
    <n v="2"/>
    <n v="730"/>
    <n v="2628"/>
  </r>
  <r>
    <x v="0"/>
    <x v="0"/>
    <x v="0"/>
    <x v="0"/>
    <x v="1"/>
    <s v="DK2_MedSmall"/>
    <x v="2"/>
    <s v="GNR_EH_HEAT"/>
    <x v="0"/>
    <x v="5"/>
    <n v="2"/>
    <n v="730"/>
    <n v="2628"/>
  </r>
  <r>
    <x v="0"/>
    <x v="0"/>
    <x v="0"/>
    <x v="0"/>
    <x v="1"/>
    <s v="DK2_MedSmall"/>
    <x v="2"/>
    <s v="GNR_EH_HEAT"/>
    <x v="0"/>
    <x v="15"/>
    <n v="2"/>
    <n v="730"/>
    <n v="2628"/>
  </r>
  <r>
    <x v="0"/>
    <x v="0"/>
    <x v="0"/>
    <x v="0"/>
    <x v="1"/>
    <s v="DK2_MedSmall"/>
    <x v="2"/>
    <s v="GNR_EH_HEAT"/>
    <x v="0"/>
    <x v="6"/>
    <n v="2"/>
    <n v="730"/>
    <n v="2628"/>
  </r>
  <r>
    <x v="0"/>
    <x v="0"/>
    <x v="0"/>
    <x v="0"/>
    <x v="1"/>
    <s v="DK2_MedSmall"/>
    <x v="2"/>
    <s v="GNR_EH_HEAT"/>
    <x v="0"/>
    <x v="7"/>
    <n v="2"/>
    <n v="730"/>
    <n v="2628"/>
  </r>
  <r>
    <x v="0"/>
    <x v="0"/>
    <x v="0"/>
    <x v="0"/>
    <x v="1"/>
    <s v="DK2_MedSmall"/>
    <x v="2"/>
    <s v="GNR_EH_HEAT"/>
    <x v="0"/>
    <x v="8"/>
    <n v="2"/>
    <n v="730"/>
    <n v="2628"/>
  </r>
  <r>
    <x v="0"/>
    <x v="0"/>
    <x v="0"/>
    <x v="0"/>
    <x v="1"/>
    <s v="DK2_MedSmall"/>
    <x v="2"/>
    <s v="GNR_EH_HEAT"/>
    <x v="0"/>
    <x v="16"/>
    <n v="2"/>
    <n v="730"/>
    <n v="2628"/>
  </r>
  <r>
    <x v="0"/>
    <x v="0"/>
    <x v="0"/>
    <x v="0"/>
    <x v="1"/>
    <s v="DK2_MedSmall"/>
    <x v="2"/>
    <s v="GNR_EH_HEAT"/>
    <x v="0"/>
    <x v="17"/>
    <n v="2"/>
    <n v="730"/>
    <n v="2628"/>
  </r>
  <r>
    <x v="0"/>
    <x v="0"/>
    <x v="0"/>
    <x v="0"/>
    <x v="1"/>
    <s v="DK2_MedSmall"/>
    <x v="2"/>
    <s v="GNR_EH_HEAT"/>
    <x v="0"/>
    <x v="18"/>
    <n v="2"/>
    <n v="730"/>
    <n v="2628"/>
  </r>
  <r>
    <x v="0"/>
    <x v="0"/>
    <x v="0"/>
    <x v="0"/>
    <x v="1"/>
    <s v="DK2_MedSmall"/>
    <x v="2"/>
    <s v="GNR_EH_HEAT"/>
    <x v="0"/>
    <x v="19"/>
    <n v="2"/>
    <n v="730"/>
    <n v="2628"/>
  </r>
  <r>
    <x v="0"/>
    <x v="0"/>
    <x v="0"/>
    <x v="0"/>
    <x v="1"/>
    <s v="DK2_MedSmall"/>
    <x v="2"/>
    <s v="GNR_EH_HEAT"/>
    <x v="0"/>
    <x v="20"/>
    <n v="2"/>
    <n v="730"/>
    <n v="2628"/>
  </r>
  <r>
    <x v="0"/>
    <x v="0"/>
    <x v="0"/>
    <x v="0"/>
    <x v="1"/>
    <s v="DK2_MedSmall"/>
    <x v="2"/>
    <s v="GNR_EH_HEAT"/>
    <x v="0"/>
    <x v="21"/>
    <n v="2"/>
    <n v="730"/>
    <n v="2628"/>
  </r>
  <r>
    <x v="0"/>
    <x v="0"/>
    <x v="0"/>
    <x v="0"/>
    <x v="1"/>
    <s v="DK2_MedSmall"/>
    <x v="2"/>
    <s v="GNR_EH_HEAT"/>
    <x v="0"/>
    <x v="22"/>
    <n v="2"/>
    <n v="730"/>
    <n v="2628"/>
  </r>
  <r>
    <x v="0"/>
    <x v="0"/>
    <x v="0"/>
    <x v="0"/>
    <x v="1"/>
    <s v="DK2_MedSmall"/>
    <x v="7"/>
    <s v="GNR_BO_WOODCHI_E-112"/>
    <x v="0"/>
    <x v="9"/>
    <n v="9.0899326413165404"/>
    <n v="3317.8254140805402"/>
    <n v="11944.1714906899"/>
  </r>
  <r>
    <x v="0"/>
    <x v="0"/>
    <x v="0"/>
    <x v="0"/>
    <x v="1"/>
    <s v="DK2_MedSmall"/>
    <x v="7"/>
    <s v="GNR_BO_WOODCHI_E-112"/>
    <x v="0"/>
    <x v="10"/>
    <n v="8.5731987807296708"/>
    <n v="3129.2175549663302"/>
    <n v="11265.1831978788"/>
  </r>
  <r>
    <x v="0"/>
    <x v="0"/>
    <x v="0"/>
    <x v="0"/>
    <x v="1"/>
    <s v="DK2_MedSmall"/>
    <x v="7"/>
    <s v="GNR_BO_WOODCHI_E-112"/>
    <x v="0"/>
    <x v="11"/>
    <n v="8.1034407256506995"/>
    <n v="2957.75586486251"/>
    <n v="10647.921113505001"/>
  </r>
  <r>
    <x v="0"/>
    <x v="0"/>
    <x v="0"/>
    <x v="0"/>
    <x v="1"/>
    <s v="DK2_MedSmall"/>
    <x v="7"/>
    <s v="GNR_BO_WOODCHI_E-112"/>
    <x v="0"/>
    <x v="12"/>
    <n v="8.8080778082691609"/>
    <n v="3214.9484000182401"/>
    <n v="11573.8142400657"/>
  </r>
  <r>
    <x v="0"/>
    <x v="0"/>
    <x v="0"/>
    <x v="0"/>
    <x v="1"/>
    <s v="DK2_MedSmall"/>
    <x v="7"/>
    <s v="GNR_BO_WOODCHI_E-112"/>
    <x v="0"/>
    <x v="13"/>
    <n v="9.3248116688560199"/>
    <n v="3403.5562591324501"/>
    <n v="12252.8025328768"/>
  </r>
  <r>
    <x v="0"/>
    <x v="0"/>
    <x v="0"/>
    <x v="0"/>
    <x v="1"/>
    <s v="DK2_MedSmall"/>
    <x v="7"/>
    <s v="GNR_BO_WOODCHI_E-112"/>
    <x v="0"/>
    <x v="0"/>
    <n v="14"/>
    <n v="5110"/>
    <n v="18396"/>
  </r>
  <r>
    <x v="0"/>
    <x v="0"/>
    <x v="0"/>
    <x v="0"/>
    <x v="1"/>
    <s v="DK2_MedSmall"/>
    <x v="7"/>
    <s v="GNR_BO_WOODCHI_E-112"/>
    <x v="0"/>
    <x v="14"/>
    <n v="14"/>
    <n v="5110"/>
    <n v="18396"/>
  </r>
  <r>
    <x v="0"/>
    <x v="0"/>
    <x v="0"/>
    <x v="0"/>
    <x v="1"/>
    <s v="DK2_MedSmall"/>
    <x v="7"/>
    <s v="GNR_BO_WOODCHI_E-112"/>
    <x v="0"/>
    <x v="1"/>
    <n v="14"/>
    <n v="5110"/>
    <n v="18396"/>
  </r>
  <r>
    <x v="0"/>
    <x v="0"/>
    <x v="0"/>
    <x v="0"/>
    <x v="1"/>
    <s v="DK2_MedSmall"/>
    <x v="7"/>
    <s v="GNR_BO_WOODCHI_E-112"/>
    <x v="0"/>
    <x v="23"/>
    <n v="14"/>
    <n v="5110"/>
    <n v="18396"/>
  </r>
  <r>
    <x v="0"/>
    <x v="0"/>
    <x v="0"/>
    <x v="0"/>
    <x v="1"/>
    <s v="DK2_MedSmall"/>
    <x v="7"/>
    <s v="GNR_BO_WOODCHI_E-112"/>
    <x v="0"/>
    <x v="2"/>
    <n v="14"/>
    <n v="5110"/>
    <n v="18396"/>
  </r>
  <r>
    <x v="0"/>
    <x v="0"/>
    <x v="0"/>
    <x v="0"/>
    <x v="1"/>
    <s v="DK2_MedSmall"/>
    <x v="7"/>
    <s v="GNR_BO_WOODCHI_E-112"/>
    <x v="0"/>
    <x v="3"/>
    <n v="14"/>
    <n v="5110"/>
    <n v="18396"/>
  </r>
  <r>
    <x v="0"/>
    <x v="0"/>
    <x v="0"/>
    <x v="0"/>
    <x v="1"/>
    <s v="DK2_MedSmall"/>
    <x v="7"/>
    <s v="GNR_BO_WOODCHI_E-112"/>
    <x v="0"/>
    <x v="4"/>
    <n v="14"/>
    <n v="5110"/>
    <n v="18396"/>
  </r>
  <r>
    <x v="0"/>
    <x v="0"/>
    <x v="0"/>
    <x v="0"/>
    <x v="1"/>
    <s v="DK2_MedSmall"/>
    <x v="7"/>
    <s v="GNR_BO_WOODCHI_E-112"/>
    <x v="0"/>
    <x v="5"/>
    <n v="14"/>
    <n v="5110"/>
    <n v="18396"/>
  </r>
  <r>
    <x v="0"/>
    <x v="0"/>
    <x v="0"/>
    <x v="0"/>
    <x v="1"/>
    <s v="DK2_MedSmall"/>
    <x v="7"/>
    <s v="GNR_BO_WOODCHI_E-112"/>
    <x v="0"/>
    <x v="15"/>
    <n v="14"/>
    <n v="5110"/>
    <n v="18396"/>
  </r>
  <r>
    <x v="0"/>
    <x v="0"/>
    <x v="0"/>
    <x v="0"/>
    <x v="1"/>
    <s v="DK2_MedSmall"/>
    <x v="7"/>
    <s v="GNR_BO_WOODCHI_E-112"/>
    <x v="0"/>
    <x v="6"/>
    <n v="14"/>
    <n v="5110"/>
    <n v="18396"/>
  </r>
  <r>
    <x v="0"/>
    <x v="0"/>
    <x v="0"/>
    <x v="0"/>
    <x v="1"/>
    <s v="DK2_MedSmall"/>
    <x v="7"/>
    <s v="GNR_BO_WOODCHI_E-112"/>
    <x v="0"/>
    <x v="7"/>
    <n v="14"/>
    <n v="5110"/>
    <n v="18396"/>
  </r>
  <r>
    <x v="0"/>
    <x v="0"/>
    <x v="0"/>
    <x v="0"/>
    <x v="1"/>
    <s v="DK2_MedSmall"/>
    <x v="7"/>
    <s v="GNR_BO_WOODCHI_E-112"/>
    <x v="0"/>
    <x v="8"/>
    <n v="14"/>
    <n v="5110"/>
    <n v="18396"/>
  </r>
  <r>
    <x v="0"/>
    <x v="0"/>
    <x v="0"/>
    <x v="0"/>
    <x v="1"/>
    <s v="DK2_MedSmall"/>
    <x v="7"/>
    <s v="GNR_BO_WOODCHI_E-112"/>
    <x v="0"/>
    <x v="16"/>
    <n v="14"/>
    <n v="5110"/>
    <n v="18396"/>
  </r>
  <r>
    <x v="0"/>
    <x v="0"/>
    <x v="0"/>
    <x v="0"/>
    <x v="1"/>
    <s v="DK2_MedSmall"/>
    <x v="7"/>
    <s v="GNR_BO_WOODCHI_E-112"/>
    <x v="0"/>
    <x v="17"/>
    <n v="14"/>
    <n v="5110"/>
    <n v="18396"/>
  </r>
  <r>
    <x v="0"/>
    <x v="0"/>
    <x v="0"/>
    <x v="0"/>
    <x v="1"/>
    <s v="DK2_MedSmall"/>
    <x v="7"/>
    <s v="GNR_BO_WOODCHI_E-112"/>
    <x v="0"/>
    <x v="18"/>
    <n v="14"/>
    <n v="5110"/>
    <n v="18396"/>
  </r>
  <r>
    <x v="0"/>
    <x v="0"/>
    <x v="0"/>
    <x v="0"/>
    <x v="1"/>
    <s v="DK2_MedSmall"/>
    <x v="7"/>
    <s v="GNR_BO_WOODCHI_E-112"/>
    <x v="0"/>
    <x v="19"/>
    <n v="14"/>
    <n v="5110"/>
    <n v="18396"/>
  </r>
  <r>
    <x v="0"/>
    <x v="0"/>
    <x v="0"/>
    <x v="0"/>
    <x v="1"/>
    <s v="DK2_MedSmall"/>
    <x v="7"/>
    <s v="GNR_BO_WOODCHI_E-112"/>
    <x v="0"/>
    <x v="20"/>
    <n v="14"/>
    <n v="5110"/>
    <n v="18396"/>
  </r>
  <r>
    <x v="0"/>
    <x v="0"/>
    <x v="0"/>
    <x v="0"/>
    <x v="1"/>
    <s v="DK2_MedSmall"/>
    <x v="7"/>
    <s v="GNR_BO_WOODCHI_E-112"/>
    <x v="0"/>
    <x v="21"/>
    <n v="14"/>
    <n v="5110"/>
    <n v="18396"/>
  </r>
  <r>
    <x v="0"/>
    <x v="0"/>
    <x v="0"/>
    <x v="0"/>
    <x v="1"/>
    <s v="DK2_MedSmall"/>
    <x v="7"/>
    <s v="GNR_BO_WOODCHI_E-112"/>
    <x v="0"/>
    <x v="22"/>
    <n v="14"/>
    <n v="5110"/>
    <n v="18396"/>
  </r>
  <r>
    <x v="0"/>
    <x v="0"/>
    <x v="0"/>
    <x v="0"/>
    <x v="1"/>
    <s v="DK2_MedSmall"/>
    <x v="7"/>
    <s v="GNR_BO_WOODCHI_E-118"/>
    <x v="0"/>
    <x v="9"/>
    <n v="10.6"/>
    <n v="3869"/>
    <n v="13928.4"/>
  </r>
  <r>
    <x v="0"/>
    <x v="0"/>
    <x v="0"/>
    <x v="0"/>
    <x v="1"/>
    <s v="DK2_MedSmall"/>
    <x v="7"/>
    <s v="GNR_BO_WOODCHI_E-118"/>
    <x v="0"/>
    <x v="10"/>
    <n v="10.6"/>
    <n v="3869"/>
    <n v="13928.4"/>
  </r>
  <r>
    <x v="0"/>
    <x v="0"/>
    <x v="0"/>
    <x v="0"/>
    <x v="1"/>
    <s v="DK2_MedSmall"/>
    <x v="7"/>
    <s v="GNR_BO_WOODCHI_E-118"/>
    <x v="0"/>
    <x v="11"/>
    <n v="10.6"/>
    <n v="3869"/>
    <n v="13928.4"/>
  </r>
  <r>
    <x v="0"/>
    <x v="0"/>
    <x v="0"/>
    <x v="0"/>
    <x v="1"/>
    <s v="DK2_MedSmall"/>
    <x v="7"/>
    <s v="GNR_BO_WOODCHI_E-118"/>
    <x v="0"/>
    <x v="12"/>
    <n v="10.6"/>
    <n v="3869"/>
    <n v="13928.4"/>
  </r>
  <r>
    <x v="0"/>
    <x v="0"/>
    <x v="0"/>
    <x v="0"/>
    <x v="1"/>
    <s v="DK2_MedSmall"/>
    <x v="7"/>
    <s v="GNR_BO_WOODCHI_E-118"/>
    <x v="0"/>
    <x v="13"/>
    <n v="10.6"/>
    <n v="3869"/>
    <n v="13928.4"/>
  </r>
  <r>
    <x v="0"/>
    <x v="0"/>
    <x v="0"/>
    <x v="0"/>
    <x v="1"/>
    <s v="DK2_MedSmall"/>
    <x v="7"/>
    <s v="GNR_BO_WOODCHI_E-118"/>
    <x v="0"/>
    <x v="0"/>
    <n v="10.6"/>
    <n v="3869"/>
    <n v="13928.4"/>
  </r>
  <r>
    <x v="0"/>
    <x v="0"/>
    <x v="0"/>
    <x v="0"/>
    <x v="1"/>
    <s v="DK2_MedSmall"/>
    <x v="7"/>
    <s v="GNR_BO_WOODCHI_E-118"/>
    <x v="0"/>
    <x v="14"/>
    <n v="10.6"/>
    <n v="3869"/>
    <n v="13928.4"/>
  </r>
  <r>
    <x v="0"/>
    <x v="0"/>
    <x v="0"/>
    <x v="0"/>
    <x v="1"/>
    <s v="DK2_MedSmall"/>
    <x v="7"/>
    <s v="GNR_BO_WOODCHI_E-118"/>
    <x v="0"/>
    <x v="1"/>
    <n v="10.6"/>
    <n v="3869"/>
    <n v="13928.4"/>
  </r>
  <r>
    <x v="0"/>
    <x v="0"/>
    <x v="0"/>
    <x v="0"/>
    <x v="1"/>
    <s v="DK2_MedSmall"/>
    <x v="7"/>
    <s v="GNR_BO_WOODCHI_E-118"/>
    <x v="0"/>
    <x v="23"/>
    <n v="10.6"/>
    <n v="3869"/>
    <n v="13928.4"/>
  </r>
  <r>
    <x v="0"/>
    <x v="0"/>
    <x v="0"/>
    <x v="0"/>
    <x v="1"/>
    <s v="DK2_MedSmall"/>
    <x v="7"/>
    <s v="GNR_BO_WOODCHI_E-118"/>
    <x v="0"/>
    <x v="2"/>
    <n v="10.6"/>
    <n v="3869"/>
    <n v="13928.4"/>
  </r>
  <r>
    <x v="0"/>
    <x v="0"/>
    <x v="0"/>
    <x v="0"/>
    <x v="1"/>
    <s v="DK2_MedSmall"/>
    <x v="7"/>
    <s v="GNR_BO_WOODCHI_E-118"/>
    <x v="0"/>
    <x v="3"/>
    <n v="10.6"/>
    <n v="3869"/>
    <n v="13928.4"/>
  </r>
  <r>
    <x v="0"/>
    <x v="0"/>
    <x v="0"/>
    <x v="0"/>
    <x v="1"/>
    <s v="DK2_MedSmall"/>
    <x v="7"/>
    <s v="GNR_BO_WOODCHI_E-118"/>
    <x v="0"/>
    <x v="4"/>
    <n v="10.6"/>
    <n v="3869"/>
    <n v="13928.4"/>
  </r>
  <r>
    <x v="0"/>
    <x v="0"/>
    <x v="0"/>
    <x v="0"/>
    <x v="1"/>
    <s v="DK2_MedSmall"/>
    <x v="7"/>
    <s v="GNR_BO_WOODCHI_E-118"/>
    <x v="0"/>
    <x v="5"/>
    <n v="10.6"/>
    <n v="3869"/>
    <n v="13928.4"/>
  </r>
  <r>
    <x v="0"/>
    <x v="0"/>
    <x v="0"/>
    <x v="0"/>
    <x v="1"/>
    <s v="DK2_MedSmall"/>
    <x v="7"/>
    <s v="GNR_BO_WOODCHI_E-118"/>
    <x v="0"/>
    <x v="15"/>
    <n v="10.6"/>
    <n v="3869"/>
    <n v="13928.4"/>
  </r>
  <r>
    <x v="0"/>
    <x v="0"/>
    <x v="0"/>
    <x v="0"/>
    <x v="1"/>
    <s v="DK2_MedSmall"/>
    <x v="7"/>
    <s v="GNR_BO_WOODCHI_E-118"/>
    <x v="0"/>
    <x v="6"/>
    <n v="10.6"/>
    <n v="3869"/>
    <n v="13928.4"/>
  </r>
  <r>
    <x v="0"/>
    <x v="0"/>
    <x v="0"/>
    <x v="0"/>
    <x v="1"/>
    <s v="DK2_MedSmall"/>
    <x v="7"/>
    <s v="GNR_BO_WOODCHI_E-118"/>
    <x v="0"/>
    <x v="7"/>
    <n v="10.6"/>
    <n v="3869"/>
    <n v="13928.4"/>
  </r>
  <r>
    <x v="0"/>
    <x v="0"/>
    <x v="0"/>
    <x v="0"/>
    <x v="1"/>
    <s v="DK2_MedSmall"/>
    <x v="7"/>
    <s v="GNR_BO_WOODCHI_E-118"/>
    <x v="0"/>
    <x v="8"/>
    <n v="10.6"/>
    <n v="3869"/>
    <n v="13928.4"/>
  </r>
  <r>
    <x v="0"/>
    <x v="0"/>
    <x v="0"/>
    <x v="0"/>
    <x v="1"/>
    <s v="DK2_MedSmall"/>
    <x v="7"/>
    <s v="GNR_BO_WOODCHI_E-118"/>
    <x v="0"/>
    <x v="16"/>
    <n v="10.6"/>
    <n v="3869"/>
    <n v="13928.4"/>
  </r>
  <r>
    <x v="0"/>
    <x v="0"/>
    <x v="0"/>
    <x v="0"/>
    <x v="1"/>
    <s v="DK2_MedSmall"/>
    <x v="7"/>
    <s v="GNR_BO_WOODCHI_E-118"/>
    <x v="0"/>
    <x v="17"/>
    <n v="10.6"/>
    <n v="3869"/>
    <n v="13928.4"/>
  </r>
  <r>
    <x v="0"/>
    <x v="0"/>
    <x v="0"/>
    <x v="0"/>
    <x v="1"/>
    <s v="DK2_MedSmall"/>
    <x v="7"/>
    <s v="GNR_BO_WOODCHI_E-118"/>
    <x v="0"/>
    <x v="18"/>
    <n v="10.6"/>
    <n v="3869"/>
    <n v="13928.4"/>
  </r>
  <r>
    <x v="0"/>
    <x v="0"/>
    <x v="0"/>
    <x v="0"/>
    <x v="1"/>
    <s v="DK2_MedSmall"/>
    <x v="7"/>
    <s v="GNR_BO_WOODCHI_E-118"/>
    <x v="0"/>
    <x v="19"/>
    <n v="10.6"/>
    <n v="3869"/>
    <n v="13928.4"/>
  </r>
  <r>
    <x v="0"/>
    <x v="0"/>
    <x v="0"/>
    <x v="0"/>
    <x v="1"/>
    <s v="DK2_MedSmall"/>
    <x v="7"/>
    <s v="GNR_BO_WOODCHI_E-118"/>
    <x v="0"/>
    <x v="20"/>
    <n v="10.6"/>
    <n v="3869"/>
    <n v="13928.4"/>
  </r>
  <r>
    <x v="0"/>
    <x v="0"/>
    <x v="0"/>
    <x v="0"/>
    <x v="1"/>
    <s v="DK2_MedSmall"/>
    <x v="7"/>
    <s v="GNR_BO_WOODCHI_E-118"/>
    <x v="0"/>
    <x v="21"/>
    <n v="10.6"/>
    <n v="3869"/>
    <n v="13928.4"/>
  </r>
  <r>
    <x v="0"/>
    <x v="0"/>
    <x v="0"/>
    <x v="0"/>
    <x v="1"/>
    <s v="DK2_MedSmall"/>
    <x v="7"/>
    <s v="GNR_BO_WOODCHI_E-118"/>
    <x v="0"/>
    <x v="22"/>
    <n v="10.6"/>
    <n v="3869"/>
    <n v="13928.4"/>
  </r>
  <r>
    <x v="0"/>
    <x v="0"/>
    <x v="0"/>
    <x v="0"/>
    <x v="1"/>
    <s v="DK2_Medium"/>
    <x v="0"/>
    <s v="GNR_ST_COAL_BP_E-38"/>
    <x v="0"/>
    <x v="9"/>
    <n v="170.034623542009"/>
    <n v="62062.637592833402"/>
    <n v="223425.49533420001"/>
  </r>
  <r>
    <x v="0"/>
    <x v="0"/>
    <x v="0"/>
    <x v="0"/>
    <x v="1"/>
    <s v="DK2_Medium"/>
    <x v="0"/>
    <s v="GNR_ST_COAL_BP_E-38"/>
    <x v="0"/>
    <x v="10"/>
    <n v="165.671955426506"/>
    <n v="60470.2637306748"/>
    <n v="217692.949430429"/>
  </r>
  <r>
    <x v="0"/>
    <x v="0"/>
    <x v="0"/>
    <x v="0"/>
    <x v="1"/>
    <s v="DK2_Medium"/>
    <x v="0"/>
    <s v="GNR_ST_COAL_BP_E-38"/>
    <x v="0"/>
    <x v="11"/>
    <n v="165.09026634443899"/>
    <n v="60257.947215720298"/>
    <n v="216928.609976593"/>
  </r>
  <r>
    <x v="0"/>
    <x v="0"/>
    <x v="0"/>
    <x v="0"/>
    <x v="1"/>
    <s v="DK2_Medium"/>
    <x v="0"/>
    <s v="GNR_ST_COAL_BP_E-38"/>
    <x v="0"/>
    <x v="12"/>
    <n v="163.345199098238"/>
    <n v="59620.997670856799"/>
    <n v="214635.591615085"/>
  </r>
  <r>
    <x v="0"/>
    <x v="0"/>
    <x v="0"/>
    <x v="0"/>
    <x v="1"/>
    <s v="DK2_Medium"/>
    <x v="0"/>
    <s v="GNR_ST_COAL_BP_E-38"/>
    <x v="0"/>
    <x v="13"/>
    <n v="166.95364450857301"/>
    <n v="60938.080245629302"/>
    <n v="219377.08888426499"/>
  </r>
  <r>
    <x v="0"/>
    <x v="0"/>
    <x v="0"/>
    <x v="0"/>
    <x v="1"/>
    <s v="DK2_Medium"/>
    <x v="0"/>
    <s v="GNR_ST_COAL_BP_E-38"/>
    <x v="0"/>
    <x v="0"/>
    <n v="189.333333333333"/>
    <n v="69106.666666666701"/>
    <n v="248784"/>
  </r>
  <r>
    <x v="0"/>
    <x v="0"/>
    <x v="0"/>
    <x v="0"/>
    <x v="1"/>
    <s v="DK2_Medium"/>
    <x v="0"/>
    <s v="GNR_ST_COAL_BP_E-38"/>
    <x v="0"/>
    <x v="14"/>
    <n v="189.333333333333"/>
    <n v="69106.666666666701"/>
    <n v="248784"/>
  </r>
  <r>
    <x v="0"/>
    <x v="0"/>
    <x v="0"/>
    <x v="0"/>
    <x v="1"/>
    <s v="DK2_Medium"/>
    <x v="0"/>
    <s v="GNR_ST_COAL_BP_E-38"/>
    <x v="0"/>
    <x v="1"/>
    <n v="189.333333333333"/>
    <n v="69106.666666666701"/>
    <n v="248784"/>
  </r>
  <r>
    <x v="0"/>
    <x v="0"/>
    <x v="0"/>
    <x v="0"/>
    <x v="1"/>
    <s v="DK2_Medium"/>
    <x v="0"/>
    <s v="GNR_ST_COAL_BP_E-38"/>
    <x v="0"/>
    <x v="23"/>
    <n v="189.333333333333"/>
    <n v="69106.666666666701"/>
    <n v="248784"/>
  </r>
  <r>
    <x v="0"/>
    <x v="0"/>
    <x v="0"/>
    <x v="0"/>
    <x v="1"/>
    <s v="DK2_Medium"/>
    <x v="0"/>
    <s v="GNR_ST_COAL_BP_E-38"/>
    <x v="0"/>
    <x v="2"/>
    <n v="189.333333333333"/>
    <n v="69106.666666666701"/>
    <n v="248784"/>
  </r>
  <r>
    <x v="0"/>
    <x v="0"/>
    <x v="0"/>
    <x v="0"/>
    <x v="1"/>
    <s v="DK2_Medium"/>
    <x v="0"/>
    <s v="GNR_ST_COAL_BP_E-38"/>
    <x v="0"/>
    <x v="3"/>
    <n v="189.333333333333"/>
    <n v="69106.666666666701"/>
    <n v="248784"/>
  </r>
  <r>
    <x v="0"/>
    <x v="0"/>
    <x v="0"/>
    <x v="0"/>
    <x v="1"/>
    <s v="DK2_Medium"/>
    <x v="0"/>
    <s v="GNR_ST_COAL_BP_E-38"/>
    <x v="0"/>
    <x v="4"/>
    <n v="189.333333333333"/>
    <n v="69106.666666666701"/>
    <n v="248784"/>
  </r>
  <r>
    <x v="0"/>
    <x v="0"/>
    <x v="0"/>
    <x v="0"/>
    <x v="1"/>
    <s v="DK2_Medium"/>
    <x v="0"/>
    <s v="GNR_ST_COAL_BP_E-38"/>
    <x v="0"/>
    <x v="5"/>
    <n v="189.333333333333"/>
    <n v="69106.666666666701"/>
    <n v="248784"/>
  </r>
  <r>
    <x v="0"/>
    <x v="0"/>
    <x v="0"/>
    <x v="0"/>
    <x v="1"/>
    <s v="DK2_Medium"/>
    <x v="0"/>
    <s v="GNR_ST_COAL_BP_E-38"/>
    <x v="0"/>
    <x v="15"/>
    <n v="189.333333333333"/>
    <n v="69106.666666666701"/>
    <n v="248784"/>
  </r>
  <r>
    <x v="0"/>
    <x v="0"/>
    <x v="0"/>
    <x v="0"/>
    <x v="1"/>
    <s v="DK2_Medium"/>
    <x v="0"/>
    <s v="GNR_ST_COAL_BP_E-38"/>
    <x v="0"/>
    <x v="6"/>
    <n v="189.333333333333"/>
    <n v="69106.666666666701"/>
    <n v="248784"/>
  </r>
  <r>
    <x v="0"/>
    <x v="0"/>
    <x v="0"/>
    <x v="0"/>
    <x v="1"/>
    <s v="DK2_Medium"/>
    <x v="0"/>
    <s v="GNR_ST_COAL_BP_E-38"/>
    <x v="0"/>
    <x v="7"/>
    <n v="189.333333333333"/>
    <n v="69106.666666666701"/>
    <n v="248784"/>
  </r>
  <r>
    <x v="0"/>
    <x v="0"/>
    <x v="0"/>
    <x v="0"/>
    <x v="1"/>
    <s v="DK2_Medium"/>
    <x v="0"/>
    <s v="GNR_ST_COAL_BP_E-38"/>
    <x v="0"/>
    <x v="8"/>
    <n v="189.333333333333"/>
    <n v="69106.666666666701"/>
    <n v="248784"/>
  </r>
  <r>
    <x v="0"/>
    <x v="0"/>
    <x v="0"/>
    <x v="0"/>
    <x v="1"/>
    <s v="DK2_Medium"/>
    <x v="0"/>
    <s v="GNR_ST_COAL_BP_E-38"/>
    <x v="0"/>
    <x v="16"/>
    <n v="189.333333333333"/>
    <n v="69106.666666666701"/>
    <n v="248784"/>
  </r>
  <r>
    <x v="0"/>
    <x v="0"/>
    <x v="0"/>
    <x v="0"/>
    <x v="1"/>
    <s v="DK2_Medium"/>
    <x v="0"/>
    <s v="GNR_ST_COAL_BP_E-38"/>
    <x v="0"/>
    <x v="17"/>
    <n v="189.333333333333"/>
    <n v="69106.666666666701"/>
    <n v="248784"/>
  </r>
  <r>
    <x v="0"/>
    <x v="0"/>
    <x v="0"/>
    <x v="0"/>
    <x v="1"/>
    <s v="DK2_Medium"/>
    <x v="0"/>
    <s v="GNR_ST_COAL_BP_E-38"/>
    <x v="0"/>
    <x v="18"/>
    <n v="189.333333333333"/>
    <n v="69106.666666666701"/>
    <n v="248784"/>
  </r>
  <r>
    <x v="0"/>
    <x v="0"/>
    <x v="0"/>
    <x v="0"/>
    <x v="1"/>
    <s v="DK2_Medium"/>
    <x v="0"/>
    <s v="GNR_ST_COAL_BP_E-38"/>
    <x v="0"/>
    <x v="19"/>
    <n v="189.333333333333"/>
    <n v="69106.666666666701"/>
    <n v="248784"/>
  </r>
  <r>
    <x v="0"/>
    <x v="0"/>
    <x v="0"/>
    <x v="0"/>
    <x v="1"/>
    <s v="DK2_Medium"/>
    <x v="0"/>
    <s v="GNR_ST_COAL_BP_E-38"/>
    <x v="0"/>
    <x v="20"/>
    <n v="189.333333333333"/>
    <n v="69106.666666666701"/>
    <n v="248784"/>
  </r>
  <r>
    <x v="0"/>
    <x v="0"/>
    <x v="0"/>
    <x v="0"/>
    <x v="1"/>
    <s v="DK2_Medium"/>
    <x v="0"/>
    <s v="GNR_ST_COAL_EXT_E-41"/>
    <x v="0"/>
    <x v="0"/>
    <n v="0.76956353999048599"/>
    <n v="280.890692096527"/>
    <n v="1011.2064915475"/>
  </r>
  <r>
    <x v="0"/>
    <x v="0"/>
    <x v="0"/>
    <x v="0"/>
    <x v="1"/>
    <s v="DK2_Medium"/>
    <x v="0"/>
    <s v="GNR_ST_COAL_EXT_E-41"/>
    <x v="0"/>
    <x v="5"/>
    <n v="41.487799284686503"/>
    <n v="15143.0467389106"/>
    <n v="54514.968260078102"/>
  </r>
  <r>
    <x v="0"/>
    <x v="0"/>
    <x v="0"/>
    <x v="0"/>
    <x v="1"/>
    <s v="DK2_Medium"/>
    <x v="0"/>
    <s v="GNR_ST_COAL_EXT_E-41"/>
    <x v="0"/>
    <x v="15"/>
    <n v="34.507530299881502"/>
    <n v="12595.248559456701"/>
    <n v="45342.894814044201"/>
  </r>
  <r>
    <x v="0"/>
    <x v="0"/>
    <x v="0"/>
    <x v="0"/>
    <x v="1"/>
    <s v="DK2_Medium"/>
    <x v="0"/>
    <s v="GNR_ST_COAL_EXT_E-41"/>
    <x v="0"/>
    <x v="6"/>
    <n v="35.089219381948602"/>
    <n v="12807.565074411201"/>
    <n v="46107.234267880398"/>
  </r>
  <r>
    <x v="0"/>
    <x v="0"/>
    <x v="0"/>
    <x v="0"/>
    <x v="1"/>
    <s v="DK2_Medium"/>
    <x v="0"/>
    <s v="GNR_ST_COAL_EXT_E-41"/>
    <x v="0"/>
    <x v="7"/>
    <n v="36.543442087116297"/>
    <n v="13338.3563617974"/>
    <n v="48018.0829024708"/>
  </r>
  <r>
    <x v="0"/>
    <x v="0"/>
    <x v="0"/>
    <x v="0"/>
    <x v="1"/>
    <s v="DK2_Medium"/>
    <x v="0"/>
    <s v="GNR_ST_COAL_EXT_E-41"/>
    <x v="0"/>
    <x v="8"/>
    <n v="38.288509333317599"/>
    <n v="13975.3059066609"/>
    <n v="50311.101263979297"/>
  </r>
  <r>
    <x v="0"/>
    <x v="0"/>
    <x v="0"/>
    <x v="0"/>
    <x v="1"/>
    <s v="DK2_Medium"/>
    <x v="0"/>
    <s v="GNR_ST_COAL_EXT_E-41"/>
    <x v="0"/>
    <x v="16"/>
    <n v="43.523711071921298"/>
    <n v="15886.154541251301"/>
    <n v="57190.156348504599"/>
  </r>
  <r>
    <x v="0"/>
    <x v="0"/>
    <x v="0"/>
    <x v="0"/>
    <x v="1"/>
    <s v="DK2_Medium"/>
    <x v="0"/>
    <s v="GNR_ST_COAL_EXT_E-41"/>
    <x v="0"/>
    <x v="17"/>
    <n v="45.2687783181226"/>
    <n v="16523.104086114701"/>
    <n v="59483.174710013103"/>
  </r>
  <r>
    <x v="0"/>
    <x v="0"/>
    <x v="0"/>
    <x v="0"/>
    <x v="1"/>
    <s v="DK2_Medium"/>
    <x v="0"/>
    <s v="GNR_ST_COAL_EXT_E-41"/>
    <x v="0"/>
    <x v="18"/>
    <n v="43.523711071921298"/>
    <n v="15886.154541251301"/>
    <n v="57190.156348504599"/>
  </r>
  <r>
    <x v="0"/>
    <x v="0"/>
    <x v="0"/>
    <x v="0"/>
    <x v="1"/>
    <s v="DK2_Medium"/>
    <x v="0"/>
    <s v="GNR_ST_COAL_EXT_E-41"/>
    <x v="0"/>
    <x v="19"/>
    <n v="40.324421120552401"/>
    <n v="14718.413709001599"/>
    <n v="52986.289352405802"/>
  </r>
  <r>
    <x v="0"/>
    <x v="0"/>
    <x v="0"/>
    <x v="0"/>
    <x v="1"/>
    <s v="DK2_Medium"/>
    <x v="1"/>
    <s v="GNR_HS_HEAT-E-100"/>
    <x v="0"/>
    <x v="14"/>
    <n v="0.21490828983857599"/>
    <n v="78.441525791080096"/>
    <n v="282.38949284788799"/>
  </r>
  <r>
    <x v="0"/>
    <x v="0"/>
    <x v="0"/>
    <x v="0"/>
    <x v="1"/>
    <s v="DK2_Medium"/>
    <x v="1"/>
    <s v="GNR_HS_HEAT-E-100"/>
    <x v="0"/>
    <x v="1"/>
    <n v="11.557845390146801"/>
    <n v="4218.6135674035604"/>
    <n v="15187.0088426528"/>
  </r>
  <r>
    <x v="0"/>
    <x v="0"/>
    <x v="0"/>
    <x v="0"/>
    <x v="1"/>
    <s v="DK2_Medium"/>
    <x v="1"/>
    <s v="GNR_HS_HEAT-E-100"/>
    <x v="0"/>
    <x v="23"/>
    <n v="16.211358046683401"/>
    <n v="5917.1456870394604"/>
    <n v="21301.724473342001"/>
  </r>
  <r>
    <x v="0"/>
    <x v="0"/>
    <x v="0"/>
    <x v="0"/>
    <x v="1"/>
    <s v="DK2_Medium"/>
    <x v="1"/>
    <s v="GNR_HS_HEAT-E-100"/>
    <x v="0"/>
    <x v="2"/>
    <n v="17.374736210817598"/>
    <n v="6341.77871694843"/>
    <n v="22830.403381014301"/>
  </r>
  <r>
    <x v="0"/>
    <x v="0"/>
    <x v="0"/>
    <x v="0"/>
    <x v="1"/>
    <s v="DK2_Medium"/>
    <x v="1"/>
    <s v="GNR_HS_HEAT-E-100"/>
    <x v="0"/>
    <x v="3"/>
    <n v="19.701492539086001"/>
    <n v="7191.04477676638"/>
    <n v="25887.761196358999"/>
  </r>
  <r>
    <x v="0"/>
    <x v="0"/>
    <x v="0"/>
    <x v="0"/>
    <x v="1"/>
    <s v="DK2_Medium"/>
    <x v="1"/>
    <s v="GNR_HS_HEAT-E-100"/>
    <x v="0"/>
    <x v="4"/>
    <n v="20.283181621152998"/>
    <n v="7403.3612917208602"/>
    <n v="26652.100650195101"/>
  </r>
  <r>
    <x v="0"/>
    <x v="0"/>
    <x v="0"/>
    <x v="0"/>
    <x v="1"/>
    <s v="DK2_Medium"/>
    <x v="1"/>
    <s v="GNR_HS_HEAT-E-100"/>
    <x v="0"/>
    <x v="21"/>
    <n v="158.137031191549"/>
    <n v="57720.0163849155"/>
    <n v="207792.058985696"/>
  </r>
  <r>
    <x v="0"/>
    <x v="0"/>
    <x v="0"/>
    <x v="0"/>
    <x v="1"/>
    <s v="DK2_Medium"/>
    <x v="1"/>
    <s v="GNR_HS_HEAT-E-100"/>
    <x v="0"/>
    <x v="22"/>
    <n v="152.02929582984501"/>
    <n v="55490.692977893399"/>
    <n v="199766.494720416"/>
  </r>
  <r>
    <x v="0"/>
    <x v="0"/>
    <x v="0"/>
    <x v="0"/>
    <x v="1"/>
    <s v="DK2_Medium"/>
    <x v="2"/>
    <s v="GNR_EH_HEAT"/>
    <x v="0"/>
    <x v="9"/>
    <n v="2"/>
    <n v="730"/>
    <n v="2628"/>
  </r>
  <r>
    <x v="0"/>
    <x v="0"/>
    <x v="0"/>
    <x v="0"/>
    <x v="1"/>
    <s v="DK2_Medium"/>
    <x v="2"/>
    <s v="GNR_EH_HEAT"/>
    <x v="0"/>
    <x v="10"/>
    <n v="2"/>
    <n v="730"/>
    <n v="2628"/>
  </r>
  <r>
    <x v="0"/>
    <x v="0"/>
    <x v="0"/>
    <x v="0"/>
    <x v="1"/>
    <s v="DK2_Medium"/>
    <x v="2"/>
    <s v="GNR_EH_HEAT"/>
    <x v="0"/>
    <x v="11"/>
    <n v="2"/>
    <n v="730"/>
    <n v="2628"/>
  </r>
  <r>
    <x v="0"/>
    <x v="0"/>
    <x v="0"/>
    <x v="0"/>
    <x v="1"/>
    <s v="DK2_Medium"/>
    <x v="2"/>
    <s v="GNR_EH_HEAT"/>
    <x v="0"/>
    <x v="12"/>
    <n v="2"/>
    <n v="730"/>
    <n v="2628"/>
  </r>
  <r>
    <x v="0"/>
    <x v="0"/>
    <x v="0"/>
    <x v="0"/>
    <x v="1"/>
    <s v="DK2_Medium"/>
    <x v="2"/>
    <s v="GNR_EH_HEAT"/>
    <x v="0"/>
    <x v="13"/>
    <n v="2"/>
    <n v="730"/>
    <n v="2628"/>
  </r>
  <r>
    <x v="0"/>
    <x v="0"/>
    <x v="0"/>
    <x v="0"/>
    <x v="1"/>
    <s v="DK2_Medium"/>
    <x v="2"/>
    <s v="GNR_EH_HEAT"/>
    <x v="0"/>
    <x v="0"/>
    <n v="2"/>
    <n v="730"/>
    <n v="2628"/>
  </r>
  <r>
    <x v="0"/>
    <x v="0"/>
    <x v="0"/>
    <x v="0"/>
    <x v="1"/>
    <s v="DK2_Medium"/>
    <x v="2"/>
    <s v="GNR_EH_HEAT"/>
    <x v="0"/>
    <x v="14"/>
    <n v="2"/>
    <n v="730"/>
    <n v="2628"/>
  </r>
  <r>
    <x v="0"/>
    <x v="0"/>
    <x v="0"/>
    <x v="0"/>
    <x v="1"/>
    <s v="DK2_Medium"/>
    <x v="2"/>
    <s v="GNR_EH_HEAT"/>
    <x v="0"/>
    <x v="1"/>
    <n v="2"/>
    <n v="730"/>
    <n v="2628"/>
  </r>
  <r>
    <x v="0"/>
    <x v="0"/>
    <x v="0"/>
    <x v="0"/>
    <x v="1"/>
    <s v="DK2_Medium"/>
    <x v="2"/>
    <s v="GNR_EH_HEAT"/>
    <x v="0"/>
    <x v="23"/>
    <n v="2"/>
    <n v="730"/>
    <n v="2628"/>
  </r>
  <r>
    <x v="0"/>
    <x v="0"/>
    <x v="0"/>
    <x v="0"/>
    <x v="1"/>
    <s v="DK2_Medium"/>
    <x v="2"/>
    <s v="GNR_EH_HEAT"/>
    <x v="0"/>
    <x v="2"/>
    <n v="2"/>
    <n v="730"/>
    <n v="2628"/>
  </r>
  <r>
    <x v="0"/>
    <x v="0"/>
    <x v="0"/>
    <x v="0"/>
    <x v="1"/>
    <s v="DK2_Medium"/>
    <x v="2"/>
    <s v="GNR_EH_HEAT"/>
    <x v="0"/>
    <x v="3"/>
    <n v="2"/>
    <n v="730"/>
    <n v="2628"/>
  </r>
  <r>
    <x v="0"/>
    <x v="0"/>
    <x v="0"/>
    <x v="0"/>
    <x v="1"/>
    <s v="DK2_Medium"/>
    <x v="2"/>
    <s v="GNR_EH_HEAT"/>
    <x v="0"/>
    <x v="4"/>
    <n v="2"/>
    <n v="730"/>
    <n v="2628"/>
  </r>
  <r>
    <x v="0"/>
    <x v="0"/>
    <x v="0"/>
    <x v="0"/>
    <x v="1"/>
    <s v="DK2_Medium"/>
    <x v="2"/>
    <s v="GNR_EH_HEAT"/>
    <x v="0"/>
    <x v="5"/>
    <n v="2"/>
    <n v="730"/>
    <n v="2628"/>
  </r>
  <r>
    <x v="0"/>
    <x v="0"/>
    <x v="0"/>
    <x v="0"/>
    <x v="1"/>
    <s v="DK2_Medium"/>
    <x v="2"/>
    <s v="GNR_EH_HEAT"/>
    <x v="0"/>
    <x v="15"/>
    <n v="2"/>
    <n v="730"/>
    <n v="2628"/>
  </r>
  <r>
    <x v="0"/>
    <x v="0"/>
    <x v="0"/>
    <x v="0"/>
    <x v="1"/>
    <s v="DK2_Medium"/>
    <x v="2"/>
    <s v="GNR_EH_HEAT"/>
    <x v="0"/>
    <x v="6"/>
    <n v="2"/>
    <n v="730"/>
    <n v="2628"/>
  </r>
  <r>
    <x v="0"/>
    <x v="0"/>
    <x v="0"/>
    <x v="0"/>
    <x v="1"/>
    <s v="DK2_Medium"/>
    <x v="2"/>
    <s v="GNR_EH_HEAT"/>
    <x v="0"/>
    <x v="7"/>
    <n v="2"/>
    <n v="730"/>
    <n v="2628"/>
  </r>
  <r>
    <x v="0"/>
    <x v="0"/>
    <x v="0"/>
    <x v="0"/>
    <x v="1"/>
    <s v="DK2_Medium"/>
    <x v="2"/>
    <s v="GNR_EH_HEAT"/>
    <x v="0"/>
    <x v="8"/>
    <n v="2"/>
    <n v="730"/>
    <n v="2628"/>
  </r>
  <r>
    <x v="0"/>
    <x v="0"/>
    <x v="0"/>
    <x v="0"/>
    <x v="1"/>
    <s v="DK2_Medium"/>
    <x v="2"/>
    <s v="GNR_EH_HEAT"/>
    <x v="0"/>
    <x v="16"/>
    <n v="2"/>
    <n v="730"/>
    <n v="2628"/>
  </r>
  <r>
    <x v="0"/>
    <x v="0"/>
    <x v="0"/>
    <x v="0"/>
    <x v="1"/>
    <s v="DK2_Medium"/>
    <x v="2"/>
    <s v="GNR_EH_HEAT"/>
    <x v="0"/>
    <x v="17"/>
    <n v="2"/>
    <n v="730"/>
    <n v="2628"/>
  </r>
  <r>
    <x v="0"/>
    <x v="0"/>
    <x v="0"/>
    <x v="0"/>
    <x v="1"/>
    <s v="DK2_Medium"/>
    <x v="2"/>
    <s v="GNR_EH_HEAT"/>
    <x v="0"/>
    <x v="18"/>
    <n v="2"/>
    <n v="730"/>
    <n v="2628"/>
  </r>
  <r>
    <x v="0"/>
    <x v="0"/>
    <x v="0"/>
    <x v="0"/>
    <x v="1"/>
    <s v="DK2_Medium"/>
    <x v="2"/>
    <s v="GNR_EH_HEAT"/>
    <x v="0"/>
    <x v="19"/>
    <n v="2"/>
    <n v="730"/>
    <n v="2628"/>
  </r>
  <r>
    <x v="0"/>
    <x v="0"/>
    <x v="0"/>
    <x v="0"/>
    <x v="1"/>
    <s v="DK2_Medium"/>
    <x v="2"/>
    <s v="GNR_EH_HEAT"/>
    <x v="0"/>
    <x v="20"/>
    <n v="2"/>
    <n v="730"/>
    <n v="2628"/>
  </r>
  <r>
    <x v="0"/>
    <x v="0"/>
    <x v="0"/>
    <x v="0"/>
    <x v="1"/>
    <s v="DK2_Medium"/>
    <x v="2"/>
    <s v="GNR_EH_HEAT"/>
    <x v="0"/>
    <x v="21"/>
    <n v="2"/>
    <n v="730"/>
    <n v="2628"/>
  </r>
  <r>
    <x v="0"/>
    <x v="0"/>
    <x v="0"/>
    <x v="0"/>
    <x v="1"/>
    <s v="DK2_Medium"/>
    <x v="2"/>
    <s v="GNR_EH_HEAT"/>
    <x v="0"/>
    <x v="22"/>
    <n v="2"/>
    <n v="730"/>
    <n v="2628"/>
  </r>
  <r>
    <x v="0"/>
    <x v="0"/>
    <x v="0"/>
    <x v="0"/>
    <x v="1"/>
    <s v="DK2_Medium"/>
    <x v="8"/>
    <s v="GNR_BO_WOODWST_E-82"/>
    <x v="0"/>
    <x v="9"/>
    <n v="0.7"/>
    <n v="255.5"/>
    <n v="919.8"/>
  </r>
  <r>
    <x v="0"/>
    <x v="0"/>
    <x v="0"/>
    <x v="0"/>
    <x v="1"/>
    <s v="DK2_Medium"/>
    <x v="8"/>
    <s v="GNR_BO_WOODWST_E-82"/>
    <x v="0"/>
    <x v="10"/>
    <n v="0.7"/>
    <n v="255.5"/>
    <n v="919.8"/>
  </r>
  <r>
    <x v="0"/>
    <x v="0"/>
    <x v="0"/>
    <x v="0"/>
    <x v="1"/>
    <s v="DK2_Medium"/>
    <x v="8"/>
    <s v="GNR_BO_WOODWST_E-82"/>
    <x v="0"/>
    <x v="11"/>
    <n v="0.7"/>
    <n v="255.5"/>
    <n v="919.8"/>
  </r>
  <r>
    <x v="0"/>
    <x v="0"/>
    <x v="0"/>
    <x v="0"/>
    <x v="1"/>
    <s v="DK2_Medium"/>
    <x v="8"/>
    <s v="GNR_BO_WOODWST_E-82"/>
    <x v="0"/>
    <x v="12"/>
    <n v="0.7"/>
    <n v="255.5"/>
    <n v="919.8"/>
  </r>
  <r>
    <x v="0"/>
    <x v="0"/>
    <x v="0"/>
    <x v="0"/>
    <x v="1"/>
    <s v="DK2_Medium"/>
    <x v="8"/>
    <s v="GNR_BO_WOODWST_E-82"/>
    <x v="0"/>
    <x v="0"/>
    <n v="0.7"/>
    <n v="255.5"/>
    <n v="919.8"/>
  </r>
  <r>
    <x v="0"/>
    <x v="0"/>
    <x v="0"/>
    <x v="0"/>
    <x v="1"/>
    <s v="DK2_Medium"/>
    <x v="8"/>
    <s v="GNR_BO_WOODWST_E-82"/>
    <x v="0"/>
    <x v="14"/>
    <n v="0.7"/>
    <n v="255.5"/>
    <n v="919.8"/>
  </r>
  <r>
    <x v="0"/>
    <x v="0"/>
    <x v="0"/>
    <x v="0"/>
    <x v="1"/>
    <s v="DK2_Medium"/>
    <x v="8"/>
    <s v="GNR_BO_WOODWST_E-82"/>
    <x v="0"/>
    <x v="1"/>
    <n v="0.7"/>
    <n v="255.5"/>
    <n v="919.8"/>
  </r>
  <r>
    <x v="0"/>
    <x v="0"/>
    <x v="0"/>
    <x v="0"/>
    <x v="1"/>
    <s v="DK2_Medium"/>
    <x v="8"/>
    <s v="GNR_BO_WOODWST_E-82"/>
    <x v="0"/>
    <x v="23"/>
    <n v="0.7"/>
    <n v="255.5"/>
    <n v="919.8"/>
  </r>
  <r>
    <x v="0"/>
    <x v="0"/>
    <x v="0"/>
    <x v="0"/>
    <x v="1"/>
    <s v="DK2_Medium"/>
    <x v="8"/>
    <s v="GNR_BO_WOODWST_E-82"/>
    <x v="0"/>
    <x v="2"/>
    <n v="0.7"/>
    <n v="255.5"/>
    <n v="919.8"/>
  </r>
  <r>
    <x v="0"/>
    <x v="0"/>
    <x v="0"/>
    <x v="0"/>
    <x v="1"/>
    <s v="DK2_Medium"/>
    <x v="8"/>
    <s v="GNR_BO_WOODWST_E-82"/>
    <x v="0"/>
    <x v="3"/>
    <n v="0.7"/>
    <n v="255.5"/>
    <n v="919.8"/>
  </r>
  <r>
    <x v="0"/>
    <x v="0"/>
    <x v="0"/>
    <x v="0"/>
    <x v="1"/>
    <s v="DK2_Medium"/>
    <x v="8"/>
    <s v="GNR_BO_WOODWST_E-82"/>
    <x v="0"/>
    <x v="4"/>
    <n v="0.7"/>
    <n v="255.5"/>
    <n v="919.8"/>
  </r>
  <r>
    <x v="0"/>
    <x v="0"/>
    <x v="0"/>
    <x v="0"/>
    <x v="1"/>
    <s v="DK2_Medium"/>
    <x v="8"/>
    <s v="GNR_BO_WOODWST_E-82"/>
    <x v="0"/>
    <x v="5"/>
    <n v="0.7"/>
    <n v="255.5"/>
    <n v="919.8"/>
  </r>
  <r>
    <x v="0"/>
    <x v="0"/>
    <x v="0"/>
    <x v="0"/>
    <x v="1"/>
    <s v="DK2_Medium"/>
    <x v="8"/>
    <s v="GNR_BO_WOODWST_E-82"/>
    <x v="0"/>
    <x v="15"/>
    <n v="0.7"/>
    <n v="255.5"/>
    <n v="919.8"/>
  </r>
  <r>
    <x v="0"/>
    <x v="0"/>
    <x v="0"/>
    <x v="0"/>
    <x v="1"/>
    <s v="DK2_Medium"/>
    <x v="8"/>
    <s v="GNR_BO_WOODWST_E-82"/>
    <x v="0"/>
    <x v="6"/>
    <n v="0.7"/>
    <n v="255.5"/>
    <n v="919.8"/>
  </r>
  <r>
    <x v="0"/>
    <x v="0"/>
    <x v="0"/>
    <x v="0"/>
    <x v="1"/>
    <s v="DK2_Medium"/>
    <x v="8"/>
    <s v="GNR_BO_WOODWST_E-82"/>
    <x v="0"/>
    <x v="7"/>
    <n v="0.7"/>
    <n v="255.5"/>
    <n v="919.8"/>
  </r>
  <r>
    <x v="0"/>
    <x v="0"/>
    <x v="0"/>
    <x v="0"/>
    <x v="1"/>
    <s v="DK2_Medium"/>
    <x v="8"/>
    <s v="GNR_BO_WOODWST_E-82"/>
    <x v="0"/>
    <x v="8"/>
    <n v="0.7"/>
    <n v="255.5"/>
    <n v="919.8"/>
  </r>
  <r>
    <x v="0"/>
    <x v="0"/>
    <x v="0"/>
    <x v="0"/>
    <x v="1"/>
    <s v="DK2_Medium"/>
    <x v="8"/>
    <s v="GNR_BO_WOODWST_E-82"/>
    <x v="0"/>
    <x v="16"/>
    <n v="0.7"/>
    <n v="255.5"/>
    <n v="919.8"/>
  </r>
  <r>
    <x v="0"/>
    <x v="0"/>
    <x v="0"/>
    <x v="0"/>
    <x v="1"/>
    <s v="DK2_Medium"/>
    <x v="8"/>
    <s v="GNR_BO_WOODWST_E-82"/>
    <x v="0"/>
    <x v="17"/>
    <n v="0.7"/>
    <n v="255.5"/>
    <n v="919.8"/>
  </r>
  <r>
    <x v="0"/>
    <x v="0"/>
    <x v="0"/>
    <x v="0"/>
    <x v="1"/>
    <s v="DK2_Medium"/>
    <x v="8"/>
    <s v="GNR_BO_WOODWST_E-82"/>
    <x v="0"/>
    <x v="18"/>
    <n v="0.7"/>
    <n v="255.5"/>
    <n v="919.8"/>
  </r>
  <r>
    <x v="0"/>
    <x v="0"/>
    <x v="0"/>
    <x v="0"/>
    <x v="1"/>
    <s v="DK2_Medium"/>
    <x v="8"/>
    <s v="GNR_BO_WOODWST_E-82"/>
    <x v="0"/>
    <x v="19"/>
    <n v="0.7"/>
    <n v="255.5"/>
    <n v="919.8"/>
  </r>
  <r>
    <x v="0"/>
    <x v="0"/>
    <x v="0"/>
    <x v="0"/>
    <x v="1"/>
    <s v="DK2_Medium"/>
    <x v="8"/>
    <s v="GNR_BO_WOODWST_E-82"/>
    <x v="0"/>
    <x v="20"/>
    <n v="0.7"/>
    <n v="255.5"/>
    <n v="919.8"/>
  </r>
  <r>
    <x v="0"/>
    <x v="0"/>
    <x v="0"/>
    <x v="0"/>
    <x v="1"/>
    <s v="DK2_Medium"/>
    <x v="8"/>
    <s v="GNR_BO_WOODWST_E-82"/>
    <x v="0"/>
    <x v="21"/>
    <n v="0.7"/>
    <n v="255.5"/>
    <n v="919.8"/>
  </r>
  <r>
    <x v="0"/>
    <x v="0"/>
    <x v="0"/>
    <x v="0"/>
    <x v="1"/>
    <s v="DK2_Medium"/>
    <x v="8"/>
    <s v="GNR_BO_WOODWST_E-82"/>
    <x v="0"/>
    <x v="22"/>
    <n v="0.7"/>
    <n v="255.5"/>
    <n v="919.8"/>
  </r>
  <r>
    <x v="0"/>
    <x v="0"/>
    <x v="0"/>
    <x v="0"/>
    <x v="1"/>
    <s v="DK2_Rural"/>
    <x v="0"/>
    <s v="GNR_ST_COAL_BP_E-35"/>
    <x v="0"/>
    <x v="9"/>
    <n v="49.3333333333333"/>
    <n v="18006.666666666701"/>
    <n v="64824"/>
  </r>
  <r>
    <x v="0"/>
    <x v="0"/>
    <x v="0"/>
    <x v="0"/>
    <x v="1"/>
    <s v="DK2_Rural"/>
    <x v="0"/>
    <s v="GNR_ST_COAL_BP_E-35"/>
    <x v="0"/>
    <x v="10"/>
    <n v="49.3333333333333"/>
    <n v="18006.666666666701"/>
    <n v="64824"/>
  </r>
  <r>
    <x v="0"/>
    <x v="0"/>
    <x v="0"/>
    <x v="0"/>
    <x v="1"/>
    <s v="DK2_Rural"/>
    <x v="0"/>
    <s v="GNR_ST_COAL_BP_E-35"/>
    <x v="0"/>
    <x v="11"/>
    <n v="49.3333333333333"/>
    <n v="18006.666666666701"/>
    <n v="64824"/>
  </r>
  <r>
    <x v="0"/>
    <x v="0"/>
    <x v="0"/>
    <x v="0"/>
    <x v="1"/>
    <s v="DK2_Rural"/>
    <x v="0"/>
    <s v="GNR_ST_COAL_BP_E-35"/>
    <x v="0"/>
    <x v="12"/>
    <n v="49.3333333333333"/>
    <n v="18006.666666666701"/>
    <n v="64824"/>
  </r>
  <r>
    <x v="0"/>
    <x v="0"/>
    <x v="0"/>
    <x v="0"/>
    <x v="1"/>
    <s v="DK2_Rural"/>
    <x v="0"/>
    <s v="GNR_ST_COAL_BP_E-35"/>
    <x v="0"/>
    <x v="13"/>
    <n v="49.3333333333333"/>
    <n v="18006.666666666701"/>
    <n v="64824"/>
  </r>
  <r>
    <x v="0"/>
    <x v="0"/>
    <x v="0"/>
    <x v="0"/>
    <x v="1"/>
    <s v="DK2_Rural"/>
    <x v="0"/>
    <s v="GNR_ST_COAL_BP_E-35"/>
    <x v="0"/>
    <x v="0"/>
    <n v="49.3333333333333"/>
    <n v="18006.666666666701"/>
    <n v="64824"/>
  </r>
  <r>
    <x v="0"/>
    <x v="0"/>
    <x v="0"/>
    <x v="0"/>
    <x v="1"/>
    <s v="DK2_Rural"/>
    <x v="0"/>
    <s v="GNR_ST_COAL_BP_E-35"/>
    <x v="0"/>
    <x v="14"/>
    <n v="49.3333333333333"/>
    <n v="18006.666666666701"/>
    <n v="64824"/>
  </r>
  <r>
    <x v="0"/>
    <x v="0"/>
    <x v="0"/>
    <x v="0"/>
    <x v="1"/>
    <s v="DK2_Rural"/>
    <x v="0"/>
    <s v="GNR_ST_COAL_BP_E-35"/>
    <x v="0"/>
    <x v="1"/>
    <n v="49.3333333333333"/>
    <n v="18006.666666666701"/>
    <n v="64824"/>
  </r>
  <r>
    <x v="0"/>
    <x v="0"/>
    <x v="0"/>
    <x v="0"/>
    <x v="1"/>
    <s v="DK2_Rural"/>
    <x v="0"/>
    <s v="GNR_ST_COAL_BP_E-35"/>
    <x v="0"/>
    <x v="23"/>
    <n v="49.3333333333333"/>
    <n v="18006.666666666701"/>
    <n v="64824"/>
  </r>
  <r>
    <x v="0"/>
    <x v="0"/>
    <x v="0"/>
    <x v="0"/>
    <x v="1"/>
    <s v="DK2_Rural"/>
    <x v="0"/>
    <s v="GNR_ST_COAL_BP_E-35"/>
    <x v="0"/>
    <x v="2"/>
    <n v="49.3333333333333"/>
    <n v="18006.666666666701"/>
    <n v="64824"/>
  </r>
  <r>
    <x v="0"/>
    <x v="0"/>
    <x v="0"/>
    <x v="0"/>
    <x v="1"/>
    <s v="DK2_Rural"/>
    <x v="0"/>
    <s v="GNR_ST_COAL_BP_E-35"/>
    <x v="0"/>
    <x v="3"/>
    <n v="49.3333333333333"/>
    <n v="18006.666666666701"/>
    <n v="64824"/>
  </r>
  <r>
    <x v="0"/>
    <x v="0"/>
    <x v="0"/>
    <x v="0"/>
    <x v="1"/>
    <s v="DK2_Rural"/>
    <x v="0"/>
    <s v="GNR_ST_COAL_BP_E-35"/>
    <x v="0"/>
    <x v="4"/>
    <n v="49.3333333333333"/>
    <n v="18006.666666666701"/>
    <n v="64824"/>
  </r>
  <r>
    <x v="0"/>
    <x v="0"/>
    <x v="0"/>
    <x v="0"/>
    <x v="1"/>
    <s v="DK2_Rural"/>
    <x v="0"/>
    <s v="GNR_ST_COAL_BP_E-35"/>
    <x v="0"/>
    <x v="5"/>
    <n v="49.3333333333333"/>
    <n v="18006.666666666701"/>
    <n v="64824"/>
  </r>
  <r>
    <x v="0"/>
    <x v="0"/>
    <x v="0"/>
    <x v="0"/>
    <x v="1"/>
    <s v="DK2_Rural"/>
    <x v="0"/>
    <s v="GNR_ST_COAL_BP_E-35"/>
    <x v="0"/>
    <x v="15"/>
    <n v="49.3333333333333"/>
    <n v="18006.666666666701"/>
    <n v="64824"/>
  </r>
  <r>
    <x v="0"/>
    <x v="0"/>
    <x v="0"/>
    <x v="0"/>
    <x v="1"/>
    <s v="DK2_Rural"/>
    <x v="0"/>
    <s v="GNR_ST_COAL_BP_E-35"/>
    <x v="0"/>
    <x v="6"/>
    <n v="49.3333333333333"/>
    <n v="18006.666666666701"/>
    <n v="64824"/>
  </r>
  <r>
    <x v="0"/>
    <x v="0"/>
    <x v="0"/>
    <x v="0"/>
    <x v="1"/>
    <s v="DK2_Rural"/>
    <x v="0"/>
    <s v="GNR_ST_COAL_BP_E-35"/>
    <x v="0"/>
    <x v="7"/>
    <n v="49.3333333333333"/>
    <n v="18006.666666666701"/>
    <n v="64824"/>
  </r>
  <r>
    <x v="0"/>
    <x v="0"/>
    <x v="0"/>
    <x v="0"/>
    <x v="1"/>
    <s v="DK2_Rural"/>
    <x v="0"/>
    <s v="GNR_ST_COAL_BP_E-35"/>
    <x v="0"/>
    <x v="8"/>
    <n v="49.3333333333333"/>
    <n v="18006.666666666701"/>
    <n v="64824"/>
  </r>
  <r>
    <x v="0"/>
    <x v="0"/>
    <x v="0"/>
    <x v="0"/>
    <x v="1"/>
    <s v="DK2_Rural"/>
    <x v="0"/>
    <s v="GNR_ST_COAL_BP_E-35"/>
    <x v="0"/>
    <x v="16"/>
    <n v="49.3333333333333"/>
    <n v="18006.666666666701"/>
    <n v="64824"/>
  </r>
  <r>
    <x v="0"/>
    <x v="0"/>
    <x v="0"/>
    <x v="0"/>
    <x v="1"/>
    <s v="DK2_Rural"/>
    <x v="0"/>
    <s v="GNR_ST_COAL_BP_E-35"/>
    <x v="0"/>
    <x v="17"/>
    <n v="49.3333333333333"/>
    <n v="18006.666666666701"/>
    <n v="64824"/>
  </r>
  <r>
    <x v="0"/>
    <x v="0"/>
    <x v="0"/>
    <x v="0"/>
    <x v="1"/>
    <s v="DK2_Rural"/>
    <x v="0"/>
    <s v="GNR_ST_COAL_BP_E-35"/>
    <x v="0"/>
    <x v="18"/>
    <n v="49.3333333333333"/>
    <n v="18006.666666666701"/>
    <n v="64824"/>
  </r>
  <r>
    <x v="0"/>
    <x v="0"/>
    <x v="0"/>
    <x v="0"/>
    <x v="1"/>
    <s v="DK2_Rural"/>
    <x v="0"/>
    <s v="GNR_ST_COAL_BP_E-35"/>
    <x v="0"/>
    <x v="19"/>
    <n v="49.3333333333333"/>
    <n v="18006.666666666701"/>
    <n v="64824"/>
  </r>
  <r>
    <x v="0"/>
    <x v="0"/>
    <x v="0"/>
    <x v="0"/>
    <x v="1"/>
    <s v="DK2_Rural"/>
    <x v="0"/>
    <s v="GNR_ST_COAL_BP_E-35"/>
    <x v="0"/>
    <x v="20"/>
    <n v="49.3333333333333"/>
    <n v="18006.666666666701"/>
    <n v="64824"/>
  </r>
  <r>
    <x v="0"/>
    <x v="0"/>
    <x v="0"/>
    <x v="0"/>
    <x v="1"/>
    <s v="DK2_Rural"/>
    <x v="0"/>
    <s v="GNR_ST_COAL_BP_E-35"/>
    <x v="0"/>
    <x v="21"/>
    <n v="49.3333333333333"/>
    <n v="18006.666666666701"/>
    <n v="64824"/>
  </r>
  <r>
    <x v="0"/>
    <x v="0"/>
    <x v="0"/>
    <x v="0"/>
    <x v="1"/>
    <s v="DK2_Rural"/>
    <x v="0"/>
    <s v="GNR_ST_COAL_BP_E-35"/>
    <x v="0"/>
    <x v="22"/>
    <n v="49.3333333333333"/>
    <n v="18006.666666666701"/>
    <n v="64824"/>
  </r>
  <r>
    <x v="0"/>
    <x v="0"/>
    <x v="0"/>
    <x v="0"/>
    <x v="1"/>
    <s v="DK2_Rural"/>
    <x v="3"/>
    <s v="GNR_HP_ELEC_COP-400"/>
    <x v="0"/>
    <x v="9"/>
    <n v="0.8"/>
    <n v="292"/>
    <n v="1051.2"/>
  </r>
  <r>
    <x v="0"/>
    <x v="0"/>
    <x v="0"/>
    <x v="0"/>
    <x v="1"/>
    <s v="DK2_Rural"/>
    <x v="3"/>
    <s v="GNR_HP_ELEC_COP-400"/>
    <x v="0"/>
    <x v="10"/>
    <n v="0.8"/>
    <n v="292"/>
    <n v="1051.2"/>
  </r>
  <r>
    <x v="0"/>
    <x v="0"/>
    <x v="0"/>
    <x v="0"/>
    <x v="1"/>
    <s v="DK2_Rural"/>
    <x v="3"/>
    <s v="GNR_HP_ELEC_COP-400"/>
    <x v="0"/>
    <x v="11"/>
    <n v="0.8"/>
    <n v="292"/>
    <n v="1051.2"/>
  </r>
  <r>
    <x v="0"/>
    <x v="0"/>
    <x v="0"/>
    <x v="0"/>
    <x v="1"/>
    <s v="DK2_Rural"/>
    <x v="3"/>
    <s v="GNR_HP_ELEC_COP-400"/>
    <x v="0"/>
    <x v="12"/>
    <n v="0.8"/>
    <n v="292"/>
    <n v="1051.2"/>
  </r>
  <r>
    <x v="0"/>
    <x v="0"/>
    <x v="0"/>
    <x v="0"/>
    <x v="1"/>
    <s v="DK2_Rural"/>
    <x v="3"/>
    <s v="GNR_HP_ELEC_COP-400"/>
    <x v="0"/>
    <x v="13"/>
    <n v="0.8"/>
    <n v="292"/>
    <n v="1051.2"/>
  </r>
  <r>
    <x v="0"/>
    <x v="0"/>
    <x v="0"/>
    <x v="0"/>
    <x v="1"/>
    <s v="DK2_Rural"/>
    <x v="3"/>
    <s v="GNR_HP_ELEC_COP-400"/>
    <x v="0"/>
    <x v="0"/>
    <n v="0.8"/>
    <n v="292"/>
    <n v="1051.2"/>
  </r>
  <r>
    <x v="0"/>
    <x v="0"/>
    <x v="0"/>
    <x v="0"/>
    <x v="1"/>
    <s v="DK2_Rural"/>
    <x v="3"/>
    <s v="GNR_HP_ELEC_COP-400"/>
    <x v="0"/>
    <x v="14"/>
    <n v="0.8"/>
    <n v="292"/>
    <n v="1051.2"/>
  </r>
  <r>
    <x v="0"/>
    <x v="0"/>
    <x v="0"/>
    <x v="0"/>
    <x v="1"/>
    <s v="DK2_Rural"/>
    <x v="3"/>
    <s v="GNR_HP_ELEC_COP-400"/>
    <x v="0"/>
    <x v="1"/>
    <n v="0.8"/>
    <n v="292"/>
    <n v="1051.2"/>
  </r>
  <r>
    <x v="0"/>
    <x v="0"/>
    <x v="0"/>
    <x v="0"/>
    <x v="1"/>
    <s v="DK2_Rural"/>
    <x v="3"/>
    <s v="GNR_HP_ELEC_COP-400"/>
    <x v="0"/>
    <x v="23"/>
    <n v="0.8"/>
    <n v="292"/>
    <n v="1051.2"/>
  </r>
  <r>
    <x v="0"/>
    <x v="0"/>
    <x v="0"/>
    <x v="0"/>
    <x v="1"/>
    <s v="DK2_Rural"/>
    <x v="3"/>
    <s v="GNR_HP_ELEC_COP-400"/>
    <x v="0"/>
    <x v="2"/>
    <n v="0.8"/>
    <n v="292"/>
    <n v="1051.2"/>
  </r>
  <r>
    <x v="0"/>
    <x v="0"/>
    <x v="0"/>
    <x v="0"/>
    <x v="1"/>
    <s v="DK2_Rural"/>
    <x v="3"/>
    <s v="GNR_HP_ELEC_COP-400"/>
    <x v="0"/>
    <x v="3"/>
    <n v="0.8"/>
    <n v="292"/>
    <n v="1051.2"/>
  </r>
  <r>
    <x v="0"/>
    <x v="0"/>
    <x v="0"/>
    <x v="0"/>
    <x v="1"/>
    <s v="DK2_Rural"/>
    <x v="3"/>
    <s v="GNR_HP_ELEC_COP-400"/>
    <x v="0"/>
    <x v="4"/>
    <n v="0.8"/>
    <n v="292"/>
    <n v="1051.2"/>
  </r>
  <r>
    <x v="0"/>
    <x v="0"/>
    <x v="0"/>
    <x v="0"/>
    <x v="1"/>
    <s v="DK2_Rural"/>
    <x v="3"/>
    <s v="GNR_HP_ELEC_COP-400"/>
    <x v="0"/>
    <x v="5"/>
    <n v="0.8"/>
    <n v="292"/>
    <n v="1051.2"/>
  </r>
  <r>
    <x v="0"/>
    <x v="0"/>
    <x v="0"/>
    <x v="0"/>
    <x v="1"/>
    <s v="DK2_Rural"/>
    <x v="3"/>
    <s v="GNR_HP_ELEC_COP-400"/>
    <x v="0"/>
    <x v="15"/>
    <n v="0.8"/>
    <n v="292"/>
    <n v="1051.2"/>
  </r>
  <r>
    <x v="0"/>
    <x v="0"/>
    <x v="0"/>
    <x v="0"/>
    <x v="1"/>
    <s v="DK2_Rural"/>
    <x v="3"/>
    <s v="GNR_HP_ELEC_COP-400"/>
    <x v="0"/>
    <x v="6"/>
    <n v="0.8"/>
    <n v="292"/>
    <n v="1051.2"/>
  </r>
  <r>
    <x v="0"/>
    <x v="0"/>
    <x v="0"/>
    <x v="0"/>
    <x v="1"/>
    <s v="DK2_Rural"/>
    <x v="3"/>
    <s v="GNR_HP_ELEC_COP-400"/>
    <x v="0"/>
    <x v="7"/>
    <n v="0.8"/>
    <n v="292"/>
    <n v="1051.2"/>
  </r>
  <r>
    <x v="0"/>
    <x v="0"/>
    <x v="0"/>
    <x v="0"/>
    <x v="1"/>
    <s v="DK2_Rural"/>
    <x v="3"/>
    <s v="GNR_HP_ELEC_COP-400"/>
    <x v="0"/>
    <x v="8"/>
    <n v="0.8"/>
    <n v="292"/>
    <n v="1051.2"/>
  </r>
  <r>
    <x v="0"/>
    <x v="0"/>
    <x v="0"/>
    <x v="0"/>
    <x v="1"/>
    <s v="DK2_Rural"/>
    <x v="3"/>
    <s v="GNR_HP_ELEC_COP-400"/>
    <x v="0"/>
    <x v="16"/>
    <n v="0.8"/>
    <n v="292"/>
    <n v="1051.2"/>
  </r>
  <r>
    <x v="0"/>
    <x v="0"/>
    <x v="0"/>
    <x v="0"/>
    <x v="1"/>
    <s v="DK2_Rural"/>
    <x v="3"/>
    <s v="GNR_HP_ELEC_COP-400"/>
    <x v="0"/>
    <x v="17"/>
    <n v="0.8"/>
    <n v="292"/>
    <n v="1051.2"/>
  </r>
  <r>
    <x v="0"/>
    <x v="0"/>
    <x v="0"/>
    <x v="0"/>
    <x v="1"/>
    <s v="DK2_Rural"/>
    <x v="3"/>
    <s v="GNR_HP_ELEC_COP-400"/>
    <x v="0"/>
    <x v="18"/>
    <n v="0.8"/>
    <n v="292"/>
    <n v="1051.2"/>
  </r>
  <r>
    <x v="0"/>
    <x v="0"/>
    <x v="0"/>
    <x v="0"/>
    <x v="1"/>
    <s v="DK2_Rural"/>
    <x v="3"/>
    <s v="GNR_HP_ELEC_COP-400"/>
    <x v="0"/>
    <x v="19"/>
    <n v="0.8"/>
    <n v="292"/>
    <n v="1051.2"/>
  </r>
  <r>
    <x v="0"/>
    <x v="0"/>
    <x v="0"/>
    <x v="0"/>
    <x v="1"/>
    <s v="DK2_Rural"/>
    <x v="3"/>
    <s v="GNR_HP_ELEC_COP-400"/>
    <x v="0"/>
    <x v="20"/>
    <n v="0.8"/>
    <n v="292"/>
    <n v="1051.2"/>
  </r>
  <r>
    <x v="0"/>
    <x v="0"/>
    <x v="0"/>
    <x v="0"/>
    <x v="1"/>
    <s v="DK2_Rural"/>
    <x v="3"/>
    <s v="GNR_HP_ELEC_COP-400"/>
    <x v="0"/>
    <x v="21"/>
    <n v="0.8"/>
    <n v="292"/>
    <n v="1051.2"/>
  </r>
  <r>
    <x v="0"/>
    <x v="0"/>
    <x v="0"/>
    <x v="0"/>
    <x v="1"/>
    <s v="DK2_Rural"/>
    <x v="3"/>
    <s v="GNR_HP_ELEC_COP-400"/>
    <x v="0"/>
    <x v="22"/>
    <n v="0.8"/>
    <n v="292"/>
    <n v="1051.2"/>
  </r>
  <r>
    <x v="0"/>
    <x v="0"/>
    <x v="0"/>
    <x v="0"/>
    <x v="1"/>
    <s v="DK2_Rural"/>
    <x v="4"/>
    <s v="GNR_BO_MSW_E-105"/>
    <x v="0"/>
    <x v="9"/>
    <n v="7"/>
    <n v="2555"/>
    <n v="9198"/>
  </r>
  <r>
    <x v="0"/>
    <x v="0"/>
    <x v="0"/>
    <x v="0"/>
    <x v="1"/>
    <s v="DK2_Rural"/>
    <x v="4"/>
    <s v="GNR_BO_MSW_E-105"/>
    <x v="0"/>
    <x v="10"/>
    <n v="7"/>
    <n v="2555"/>
    <n v="9198"/>
  </r>
  <r>
    <x v="0"/>
    <x v="0"/>
    <x v="0"/>
    <x v="0"/>
    <x v="1"/>
    <s v="DK2_Rural"/>
    <x v="4"/>
    <s v="GNR_BO_MSW_E-105"/>
    <x v="0"/>
    <x v="11"/>
    <n v="7"/>
    <n v="2555"/>
    <n v="9198"/>
  </r>
  <r>
    <x v="0"/>
    <x v="0"/>
    <x v="0"/>
    <x v="0"/>
    <x v="1"/>
    <s v="DK2_Rural"/>
    <x v="4"/>
    <s v="GNR_BO_MSW_E-105"/>
    <x v="0"/>
    <x v="12"/>
    <n v="7"/>
    <n v="2555"/>
    <n v="9198"/>
  </r>
  <r>
    <x v="0"/>
    <x v="0"/>
    <x v="0"/>
    <x v="0"/>
    <x v="1"/>
    <s v="DK2_Rural"/>
    <x v="4"/>
    <s v="GNR_BO_MSW_E-105"/>
    <x v="0"/>
    <x v="13"/>
    <n v="7"/>
    <n v="2555"/>
    <n v="9198"/>
  </r>
  <r>
    <x v="0"/>
    <x v="0"/>
    <x v="0"/>
    <x v="0"/>
    <x v="1"/>
    <s v="DK2_Rural"/>
    <x v="4"/>
    <s v="GNR_BO_MSW_E-105"/>
    <x v="0"/>
    <x v="0"/>
    <n v="7"/>
    <n v="2555"/>
    <n v="9198"/>
  </r>
  <r>
    <x v="0"/>
    <x v="0"/>
    <x v="0"/>
    <x v="0"/>
    <x v="1"/>
    <s v="DK2_Rural"/>
    <x v="4"/>
    <s v="GNR_BO_MSW_E-105"/>
    <x v="0"/>
    <x v="14"/>
    <n v="7"/>
    <n v="2555"/>
    <n v="9198"/>
  </r>
  <r>
    <x v="0"/>
    <x v="0"/>
    <x v="0"/>
    <x v="0"/>
    <x v="1"/>
    <s v="DK2_Rural"/>
    <x v="4"/>
    <s v="GNR_BO_MSW_E-105"/>
    <x v="0"/>
    <x v="1"/>
    <n v="7"/>
    <n v="2555"/>
    <n v="9198"/>
  </r>
  <r>
    <x v="0"/>
    <x v="0"/>
    <x v="0"/>
    <x v="0"/>
    <x v="1"/>
    <s v="DK2_Rural"/>
    <x v="4"/>
    <s v="GNR_BO_MSW_E-105"/>
    <x v="0"/>
    <x v="23"/>
    <n v="7"/>
    <n v="2555"/>
    <n v="9198"/>
  </r>
  <r>
    <x v="0"/>
    <x v="0"/>
    <x v="0"/>
    <x v="0"/>
    <x v="1"/>
    <s v="DK2_Rural"/>
    <x v="4"/>
    <s v="GNR_BO_MSW_E-105"/>
    <x v="0"/>
    <x v="2"/>
    <n v="7"/>
    <n v="2555"/>
    <n v="9198"/>
  </r>
  <r>
    <x v="0"/>
    <x v="0"/>
    <x v="0"/>
    <x v="0"/>
    <x v="1"/>
    <s v="DK2_Rural"/>
    <x v="4"/>
    <s v="GNR_BO_MSW_E-105"/>
    <x v="0"/>
    <x v="3"/>
    <n v="7"/>
    <n v="2555"/>
    <n v="9198"/>
  </r>
  <r>
    <x v="0"/>
    <x v="0"/>
    <x v="0"/>
    <x v="0"/>
    <x v="1"/>
    <s v="DK2_Rural"/>
    <x v="4"/>
    <s v="GNR_BO_MSW_E-105"/>
    <x v="0"/>
    <x v="4"/>
    <n v="7"/>
    <n v="2555"/>
    <n v="9198"/>
  </r>
  <r>
    <x v="0"/>
    <x v="0"/>
    <x v="0"/>
    <x v="0"/>
    <x v="1"/>
    <s v="DK2_Rural"/>
    <x v="4"/>
    <s v="GNR_BO_MSW_E-105"/>
    <x v="0"/>
    <x v="5"/>
    <n v="7"/>
    <n v="2555"/>
    <n v="9198"/>
  </r>
  <r>
    <x v="0"/>
    <x v="0"/>
    <x v="0"/>
    <x v="0"/>
    <x v="1"/>
    <s v="DK2_Rural"/>
    <x v="4"/>
    <s v="GNR_BO_MSW_E-105"/>
    <x v="0"/>
    <x v="15"/>
    <n v="7"/>
    <n v="2555"/>
    <n v="9198"/>
  </r>
  <r>
    <x v="0"/>
    <x v="0"/>
    <x v="0"/>
    <x v="0"/>
    <x v="1"/>
    <s v="DK2_Rural"/>
    <x v="4"/>
    <s v="GNR_BO_MSW_E-105"/>
    <x v="0"/>
    <x v="6"/>
    <n v="7"/>
    <n v="2555"/>
    <n v="9198"/>
  </r>
  <r>
    <x v="0"/>
    <x v="0"/>
    <x v="0"/>
    <x v="0"/>
    <x v="1"/>
    <s v="DK2_Rural"/>
    <x v="4"/>
    <s v="GNR_BO_MSW_E-105"/>
    <x v="0"/>
    <x v="7"/>
    <n v="7"/>
    <n v="2555"/>
    <n v="9198"/>
  </r>
  <r>
    <x v="0"/>
    <x v="0"/>
    <x v="0"/>
    <x v="0"/>
    <x v="1"/>
    <s v="DK2_Rural"/>
    <x v="4"/>
    <s v="GNR_BO_MSW_E-105"/>
    <x v="0"/>
    <x v="8"/>
    <n v="7"/>
    <n v="2555"/>
    <n v="9198"/>
  </r>
  <r>
    <x v="0"/>
    <x v="0"/>
    <x v="0"/>
    <x v="0"/>
    <x v="1"/>
    <s v="DK2_Rural"/>
    <x v="4"/>
    <s v="GNR_BO_MSW_E-105"/>
    <x v="0"/>
    <x v="16"/>
    <n v="7"/>
    <n v="2555"/>
    <n v="9198"/>
  </r>
  <r>
    <x v="0"/>
    <x v="0"/>
    <x v="0"/>
    <x v="0"/>
    <x v="1"/>
    <s v="DK2_Rural"/>
    <x v="4"/>
    <s v="GNR_BO_MSW_E-105"/>
    <x v="0"/>
    <x v="17"/>
    <n v="7"/>
    <n v="2555"/>
    <n v="9198"/>
  </r>
  <r>
    <x v="0"/>
    <x v="0"/>
    <x v="0"/>
    <x v="0"/>
    <x v="1"/>
    <s v="DK2_Rural"/>
    <x v="4"/>
    <s v="GNR_BO_MSW_E-105"/>
    <x v="0"/>
    <x v="18"/>
    <n v="7"/>
    <n v="2555"/>
    <n v="9198"/>
  </r>
  <r>
    <x v="0"/>
    <x v="0"/>
    <x v="0"/>
    <x v="0"/>
    <x v="1"/>
    <s v="DK2_Rural"/>
    <x v="4"/>
    <s v="GNR_BO_MSW_E-105"/>
    <x v="0"/>
    <x v="19"/>
    <n v="7"/>
    <n v="2555"/>
    <n v="9198"/>
  </r>
  <r>
    <x v="0"/>
    <x v="0"/>
    <x v="0"/>
    <x v="0"/>
    <x v="1"/>
    <s v="DK2_Rural"/>
    <x v="4"/>
    <s v="GNR_BO_MSW_E-105"/>
    <x v="0"/>
    <x v="20"/>
    <n v="7"/>
    <n v="2555"/>
    <n v="9198"/>
  </r>
  <r>
    <x v="0"/>
    <x v="0"/>
    <x v="0"/>
    <x v="0"/>
    <x v="1"/>
    <s v="DK2_Rural"/>
    <x v="4"/>
    <s v="GNR_BO_MSW_E-105"/>
    <x v="0"/>
    <x v="21"/>
    <n v="7"/>
    <n v="2555"/>
    <n v="9198"/>
  </r>
  <r>
    <x v="0"/>
    <x v="0"/>
    <x v="0"/>
    <x v="0"/>
    <x v="1"/>
    <s v="DK2_Rural"/>
    <x v="4"/>
    <s v="GNR_BO_MSW_E-105"/>
    <x v="0"/>
    <x v="22"/>
    <n v="7"/>
    <n v="2555"/>
    <n v="9198"/>
  </r>
  <r>
    <x v="0"/>
    <x v="0"/>
    <x v="0"/>
    <x v="0"/>
    <x v="1"/>
    <s v="DK2_Rural"/>
    <x v="6"/>
    <s v="GNR_BO_STRW_E-100"/>
    <x v="0"/>
    <x v="14"/>
    <n v="47.734452148779702"/>
    <n v="17423.075034304598"/>
    <n v="62723.070123496502"/>
  </r>
  <r>
    <x v="0"/>
    <x v="0"/>
    <x v="0"/>
    <x v="0"/>
    <x v="1"/>
    <s v="DK2_Rural"/>
    <x v="6"/>
    <s v="GNR_BO_STRW_E-100"/>
    <x v="0"/>
    <x v="1"/>
    <n v="83.601870508796694"/>
    <n v="30514.682735710801"/>
    <n v="109852.857848559"/>
  </r>
  <r>
    <x v="0"/>
    <x v="0"/>
    <x v="0"/>
    <x v="0"/>
    <x v="1"/>
    <s v="DK2_Rural"/>
    <x v="6"/>
    <s v="GNR_BO_STRW_E-100"/>
    <x v="0"/>
    <x v="23"/>
    <n v="88.961369803971706"/>
    <n v="32470.899978449699"/>
    <n v="116895.239922419"/>
  </r>
  <r>
    <x v="0"/>
    <x v="0"/>
    <x v="0"/>
    <x v="0"/>
    <x v="1"/>
    <s v="DK2_Rural"/>
    <x v="6"/>
    <s v="GNR_BO_STRW_E-100"/>
    <x v="0"/>
    <x v="2"/>
    <n v="88.274254509718503"/>
    <n v="32220.102896047199"/>
    <n v="115992.37042577"/>
  </r>
  <r>
    <x v="0"/>
    <x v="0"/>
    <x v="0"/>
    <x v="0"/>
    <x v="1"/>
    <s v="DK2_Rural"/>
    <x v="6"/>
    <s v="GNR_BO_STRW_E-100"/>
    <x v="0"/>
    <x v="3"/>
    <n v="89.511062039374295"/>
    <n v="32671.537644371601"/>
    <n v="117617.535519738"/>
  </r>
  <r>
    <x v="0"/>
    <x v="0"/>
    <x v="0"/>
    <x v="0"/>
    <x v="1"/>
    <s v="DK2_Rural"/>
    <x v="6"/>
    <s v="GNR_BO_STRW_E-100"/>
    <x v="0"/>
    <x v="4"/>
    <n v="88.274254509718503"/>
    <n v="32220.102896047199"/>
    <n v="115992.37042577"/>
  </r>
  <r>
    <x v="0"/>
    <x v="0"/>
    <x v="0"/>
    <x v="0"/>
    <x v="1"/>
    <s v="DK2_Rural"/>
    <x v="6"/>
    <s v="GNR_BO_STRW_E-100"/>
    <x v="0"/>
    <x v="5"/>
    <n v="80.578563214082706"/>
    <n v="29411.175573140201"/>
    <n v="105880.232063305"/>
  </r>
  <r>
    <x v="0"/>
    <x v="0"/>
    <x v="0"/>
    <x v="0"/>
    <x v="1"/>
    <s v="DK2_Rural"/>
    <x v="6"/>
    <s v="GNR_BO_STRW_E-100"/>
    <x v="0"/>
    <x v="15"/>
    <n v="75.219063918907693"/>
    <n v="27454.958330401299"/>
    <n v="98837.849989444701"/>
  </r>
  <r>
    <x v="0"/>
    <x v="0"/>
    <x v="0"/>
    <x v="0"/>
    <x v="1"/>
    <s v="DK2_Rural"/>
    <x v="6"/>
    <s v="GNR_BO_STRW_E-100"/>
    <x v="0"/>
    <x v="6"/>
    <n v="77.417832860517905"/>
    <n v="28257.508994088999"/>
    <n v="101727.03237872101"/>
  </r>
  <r>
    <x v="0"/>
    <x v="0"/>
    <x v="0"/>
    <x v="0"/>
    <x v="1"/>
    <s v="DK2_Rural"/>
    <x v="6"/>
    <s v="GNR_BO_STRW_E-100"/>
    <x v="0"/>
    <x v="7"/>
    <n v="79.479178743277501"/>
    <n v="29009.900241296298"/>
    <n v="104435.640868667"/>
  </r>
  <r>
    <x v="0"/>
    <x v="0"/>
    <x v="0"/>
    <x v="0"/>
    <x v="1"/>
    <s v="DK2_Rural"/>
    <x v="6"/>
    <s v="GNR_BO_STRW_E-100"/>
    <x v="0"/>
    <x v="8"/>
    <n v="80.715986272933307"/>
    <n v="29461.3349896207"/>
    <n v="106060.805962634"/>
  </r>
  <r>
    <x v="0"/>
    <x v="0"/>
    <x v="0"/>
    <x v="0"/>
    <x v="1"/>
    <s v="DK2_Rural"/>
    <x v="6"/>
    <s v="GNR_BO_STRW_E-100"/>
    <x v="0"/>
    <x v="16"/>
    <n v="84.426408861900597"/>
    <n v="30815.639234593698"/>
    <n v="110936.301244537"/>
  </r>
  <r>
    <x v="0"/>
    <x v="0"/>
    <x v="0"/>
    <x v="0"/>
    <x v="1"/>
    <s v="DK2_Rural"/>
    <x v="6"/>
    <s v="GNR_BO_STRW_E-100"/>
    <x v="0"/>
    <x v="17"/>
    <n v="83.876716626497995"/>
    <n v="30615.0015686718"/>
    <n v="110214.005647218"/>
  </r>
  <r>
    <x v="0"/>
    <x v="0"/>
    <x v="0"/>
    <x v="0"/>
    <x v="1"/>
    <s v="DK2_Rural"/>
    <x v="6"/>
    <s v="GNR_BO_STRW_E-100"/>
    <x v="0"/>
    <x v="18"/>
    <n v="78.242371213621794"/>
    <n v="28558.4654929719"/>
    <n v="102810.47577469901"/>
  </r>
  <r>
    <x v="0"/>
    <x v="0"/>
    <x v="0"/>
    <x v="0"/>
    <x v="1"/>
    <s v="DK2_Rural"/>
    <x v="6"/>
    <s v="GNR_BO_STRW_E-100"/>
    <x v="0"/>
    <x v="19"/>
    <n v="67.660795682122497"/>
    <n v="24696.190423974698"/>
    <n v="88906.2855263089"/>
  </r>
  <r>
    <x v="0"/>
    <x v="0"/>
    <x v="0"/>
    <x v="0"/>
    <x v="1"/>
    <s v="DK2_Rural"/>
    <x v="6"/>
    <s v="GNR_BO_STRW_E-100"/>
    <x v="0"/>
    <x v="20"/>
    <n v="16.814263907385701"/>
    <n v="6137.2063261957701"/>
    <n v="22093.9427743048"/>
  </r>
  <r>
    <x v="0"/>
    <x v="0"/>
    <x v="0"/>
    <x v="0"/>
    <x v="1"/>
    <s v="DK2_Rural"/>
    <x v="6"/>
    <s v="GNR_BO_STRW_E-100"/>
    <x v="0"/>
    <x v="21"/>
    <n v="24.966558346544598"/>
    <n v="9112.7937964887806"/>
    <n v="32806.057667359601"/>
  </r>
  <r>
    <x v="0"/>
    <x v="0"/>
    <x v="0"/>
    <x v="0"/>
    <x v="1"/>
    <s v="DK2_Rural"/>
    <x v="6"/>
    <s v="GNR_BO_STRW_E-100"/>
    <x v="0"/>
    <x v="22"/>
    <n v="16.583751756655602"/>
    <n v="6053.0693911792796"/>
    <n v="21791.0498082454"/>
  </r>
  <r>
    <x v="0"/>
    <x v="0"/>
    <x v="0"/>
    <x v="0"/>
    <x v="1"/>
    <s v="DK2_Rural"/>
    <x v="6"/>
    <s v="GNR_BO_STRW_E-102"/>
    <x v="0"/>
    <x v="9"/>
    <n v="33.001294338709599"/>
    <n v="12045.472433629"/>
    <n v="43363.700761064501"/>
  </r>
  <r>
    <x v="0"/>
    <x v="0"/>
    <x v="0"/>
    <x v="0"/>
    <x v="1"/>
    <s v="DK2_Rural"/>
    <x v="6"/>
    <s v="GNR_BO_STRW_E-102"/>
    <x v="0"/>
    <x v="10"/>
    <n v="31.489640691352601"/>
    <n v="11493.7188523437"/>
    <n v="41377.387868437298"/>
  </r>
  <r>
    <x v="0"/>
    <x v="0"/>
    <x v="0"/>
    <x v="0"/>
    <x v="1"/>
    <s v="DK2_Rural"/>
    <x v="6"/>
    <s v="GNR_BO_STRW_E-102"/>
    <x v="0"/>
    <x v="11"/>
    <n v="30.115410102846202"/>
    <n v="10992.124687538901"/>
    <n v="39571.648875139901"/>
  </r>
  <r>
    <x v="0"/>
    <x v="0"/>
    <x v="0"/>
    <x v="0"/>
    <x v="1"/>
    <s v="DK2_Rural"/>
    <x v="6"/>
    <s v="GNR_BO_STRW_E-102"/>
    <x v="0"/>
    <x v="12"/>
    <n v="32.176755985605801"/>
    <n v="11744.515934746099"/>
    <n v="42280.257365085999"/>
  </r>
  <r>
    <x v="0"/>
    <x v="0"/>
    <x v="0"/>
    <x v="0"/>
    <x v="1"/>
    <s v="DK2_Rural"/>
    <x v="6"/>
    <s v="GNR_BO_STRW_E-102"/>
    <x v="0"/>
    <x v="13"/>
    <n v="11.2441170733373"/>
    <n v="4104.1027317681201"/>
    <n v="14774.769834365199"/>
  </r>
  <r>
    <x v="0"/>
    <x v="0"/>
    <x v="0"/>
    <x v="0"/>
    <x v="1"/>
    <s v="DK2_Rural"/>
    <x v="6"/>
    <s v="GNR_BO_STRW_E-102"/>
    <x v="0"/>
    <x v="0"/>
    <n v="35.293152372199302"/>
    <n v="12882.000615852699"/>
    <n v="46375.202217069898"/>
  </r>
  <r>
    <x v="0"/>
    <x v="0"/>
    <x v="0"/>
    <x v="0"/>
    <x v="1"/>
    <s v="DK2_Rural"/>
    <x v="6"/>
    <s v="GNR_BO_STRW_E-102"/>
    <x v="0"/>
    <x v="14"/>
    <n v="47.75"/>
    <n v="17428.75"/>
    <n v="62743.5"/>
  </r>
  <r>
    <x v="0"/>
    <x v="0"/>
    <x v="0"/>
    <x v="0"/>
    <x v="1"/>
    <s v="DK2_Rural"/>
    <x v="6"/>
    <s v="GNR_BO_STRW_E-102"/>
    <x v="0"/>
    <x v="1"/>
    <n v="47.75"/>
    <n v="17428.75"/>
    <n v="62743.5"/>
  </r>
  <r>
    <x v="0"/>
    <x v="0"/>
    <x v="0"/>
    <x v="0"/>
    <x v="1"/>
    <s v="DK2_Rural"/>
    <x v="6"/>
    <s v="GNR_BO_STRW_E-102"/>
    <x v="0"/>
    <x v="23"/>
    <n v="47.75"/>
    <n v="17428.75"/>
    <n v="62743.5"/>
  </r>
  <r>
    <x v="0"/>
    <x v="0"/>
    <x v="0"/>
    <x v="0"/>
    <x v="1"/>
    <s v="DK2_Rural"/>
    <x v="6"/>
    <s v="GNR_BO_STRW_E-102"/>
    <x v="0"/>
    <x v="2"/>
    <n v="47.75"/>
    <n v="17428.75"/>
    <n v="62743.5"/>
  </r>
  <r>
    <x v="0"/>
    <x v="0"/>
    <x v="0"/>
    <x v="0"/>
    <x v="1"/>
    <s v="DK2_Rural"/>
    <x v="6"/>
    <s v="GNR_BO_STRW_E-102"/>
    <x v="0"/>
    <x v="3"/>
    <n v="47.75"/>
    <n v="17428.75"/>
    <n v="62743.5"/>
  </r>
  <r>
    <x v="0"/>
    <x v="0"/>
    <x v="0"/>
    <x v="0"/>
    <x v="1"/>
    <s v="DK2_Rural"/>
    <x v="6"/>
    <s v="GNR_BO_STRW_E-102"/>
    <x v="0"/>
    <x v="4"/>
    <n v="47.75"/>
    <n v="17428.75"/>
    <n v="62743.5"/>
  </r>
  <r>
    <x v="0"/>
    <x v="0"/>
    <x v="0"/>
    <x v="0"/>
    <x v="1"/>
    <s v="DK2_Rural"/>
    <x v="6"/>
    <s v="GNR_BO_STRW_E-102"/>
    <x v="0"/>
    <x v="5"/>
    <n v="47.75"/>
    <n v="17428.75"/>
    <n v="62743.5"/>
  </r>
  <r>
    <x v="0"/>
    <x v="0"/>
    <x v="0"/>
    <x v="0"/>
    <x v="1"/>
    <s v="DK2_Rural"/>
    <x v="6"/>
    <s v="GNR_BO_STRW_E-102"/>
    <x v="0"/>
    <x v="15"/>
    <n v="47.75"/>
    <n v="17428.75"/>
    <n v="62743.5"/>
  </r>
  <r>
    <x v="0"/>
    <x v="0"/>
    <x v="0"/>
    <x v="0"/>
    <x v="1"/>
    <s v="DK2_Rural"/>
    <x v="6"/>
    <s v="GNR_BO_STRW_E-102"/>
    <x v="0"/>
    <x v="6"/>
    <n v="47.75"/>
    <n v="17428.75"/>
    <n v="62743.5"/>
  </r>
  <r>
    <x v="0"/>
    <x v="0"/>
    <x v="0"/>
    <x v="0"/>
    <x v="1"/>
    <s v="DK2_Rural"/>
    <x v="6"/>
    <s v="GNR_BO_STRW_E-102"/>
    <x v="0"/>
    <x v="7"/>
    <n v="47.75"/>
    <n v="17428.75"/>
    <n v="62743.5"/>
  </r>
  <r>
    <x v="0"/>
    <x v="0"/>
    <x v="0"/>
    <x v="0"/>
    <x v="1"/>
    <s v="DK2_Rural"/>
    <x v="6"/>
    <s v="GNR_BO_STRW_E-102"/>
    <x v="0"/>
    <x v="8"/>
    <n v="47.75"/>
    <n v="17428.75"/>
    <n v="62743.5"/>
  </r>
  <r>
    <x v="0"/>
    <x v="0"/>
    <x v="0"/>
    <x v="0"/>
    <x v="1"/>
    <s v="DK2_Rural"/>
    <x v="6"/>
    <s v="GNR_BO_STRW_E-102"/>
    <x v="0"/>
    <x v="16"/>
    <n v="47.75"/>
    <n v="17428.75"/>
    <n v="62743.5"/>
  </r>
  <r>
    <x v="0"/>
    <x v="0"/>
    <x v="0"/>
    <x v="0"/>
    <x v="1"/>
    <s v="DK2_Rural"/>
    <x v="6"/>
    <s v="GNR_BO_STRW_E-102"/>
    <x v="0"/>
    <x v="17"/>
    <n v="47.75"/>
    <n v="17428.75"/>
    <n v="62743.5"/>
  </r>
  <r>
    <x v="0"/>
    <x v="0"/>
    <x v="0"/>
    <x v="0"/>
    <x v="1"/>
    <s v="DK2_Rural"/>
    <x v="6"/>
    <s v="GNR_BO_STRW_E-102"/>
    <x v="0"/>
    <x v="18"/>
    <n v="47.75"/>
    <n v="17428.75"/>
    <n v="62743.5"/>
  </r>
  <r>
    <x v="0"/>
    <x v="0"/>
    <x v="0"/>
    <x v="0"/>
    <x v="1"/>
    <s v="DK2_Rural"/>
    <x v="6"/>
    <s v="GNR_BO_STRW_E-102"/>
    <x v="0"/>
    <x v="19"/>
    <n v="47.75"/>
    <n v="17428.75"/>
    <n v="62743.5"/>
  </r>
  <r>
    <x v="0"/>
    <x v="0"/>
    <x v="0"/>
    <x v="0"/>
    <x v="1"/>
    <s v="DK2_Rural"/>
    <x v="6"/>
    <s v="GNR_BO_STRW_E-102"/>
    <x v="0"/>
    <x v="20"/>
    <n v="47.75"/>
    <n v="17428.75"/>
    <n v="62743.5"/>
  </r>
  <r>
    <x v="0"/>
    <x v="0"/>
    <x v="0"/>
    <x v="0"/>
    <x v="1"/>
    <s v="DK2_Rural"/>
    <x v="6"/>
    <s v="GNR_BO_STRW_E-102"/>
    <x v="0"/>
    <x v="21"/>
    <n v="47.75"/>
    <n v="17428.75"/>
    <n v="62743.5"/>
  </r>
  <r>
    <x v="0"/>
    <x v="0"/>
    <x v="0"/>
    <x v="0"/>
    <x v="1"/>
    <s v="DK2_Rural"/>
    <x v="6"/>
    <s v="GNR_BO_STRW_E-102"/>
    <x v="0"/>
    <x v="22"/>
    <n v="47.75"/>
    <n v="17428.75"/>
    <n v="62743.5"/>
  </r>
  <r>
    <x v="0"/>
    <x v="0"/>
    <x v="0"/>
    <x v="0"/>
    <x v="1"/>
    <s v="DK2_Rural"/>
    <x v="6"/>
    <s v="GNR_ST_STRW_BP_E-27"/>
    <x v="0"/>
    <x v="13"/>
    <n v="22.444292559625499"/>
    <n v="8192.1667842633105"/>
    <n v="29491.800423347901"/>
  </r>
  <r>
    <x v="0"/>
    <x v="0"/>
    <x v="0"/>
    <x v="0"/>
    <x v="1"/>
    <s v="DK2_Rural"/>
    <x v="6"/>
    <s v="GNR_ST_STRW_BP_E-27"/>
    <x v="0"/>
    <x v="0"/>
    <n v="22.444292559625499"/>
    <n v="8192.1667842633105"/>
    <n v="29491.800423347901"/>
  </r>
  <r>
    <x v="0"/>
    <x v="0"/>
    <x v="0"/>
    <x v="0"/>
    <x v="1"/>
    <s v="DK2_Rural"/>
    <x v="6"/>
    <s v="GNR_ST_STRW_BP_E-27"/>
    <x v="0"/>
    <x v="14"/>
    <n v="22.444292559625499"/>
    <n v="8192.1667842633105"/>
    <n v="29491.800423347901"/>
  </r>
  <r>
    <x v="0"/>
    <x v="0"/>
    <x v="0"/>
    <x v="0"/>
    <x v="1"/>
    <s v="DK2_Rural"/>
    <x v="6"/>
    <s v="GNR_ST_STRW_BP_E-27"/>
    <x v="0"/>
    <x v="1"/>
    <n v="22.444292559625499"/>
    <n v="8192.1667842633105"/>
    <n v="29491.800423347901"/>
  </r>
  <r>
    <x v="0"/>
    <x v="0"/>
    <x v="0"/>
    <x v="0"/>
    <x v="1"/>
    <s v="DK2_Rural"/>
    <x v="6"/>
    <s v="GNR_ST_STRW_BP_E-27"/>
    <x v="0"/>
    <x v="23"/>
    <n v="22.444292559625499"/>
    <n v="8192.1667842633105"/>
    <n v="29491.800423347901"/>
  </r>
  <r>
    <x v="0"/>
    <x v="0"/>
    <x v="0"/>
    <x v="0"/>
    <x v="1"/>
    <s v="DK2_Rural"/>
    <x v="6"/>
    <s v="GNR_ST_STRW_BP_E-27"/>
    <x v="0"/>
    <x v="2"/>
    <n v="22.444292559625499"/>
    <n v="8192.1667842633105"/>
    <n v="29491.800423347901"/>
  </r>
  <r>
    <x v="0"/>
    <x v="0"/>
    <x v="0"/>
    <x v="0"/>
    <x v="1"/>
    <s v="DK2_Rural"/>
    <x v="6"/>
    <s v="GNR_ST_STRW_BP_E-27"/>
    <x v="0"/>
    <x v="3"/>
    <n v="22.444292559625499"/>
    <n v="8192.1667842633105"/>
    <n v="29491.800423347901"/>
  </r>
  <r>
    <x v="0"/>
    <x v="0"/>
    <x v="0"/>
    <x v="0"/>
    <x v="1"/>
    <s v="DK2_Rural"/>
    <x v="6"/>
    <s v="GNR_ST_STRW_BP_E-27"/>
    <x v="0"/>
    <x v="4"/>
    <n v="22.444292559625499"/>
    <n v="8192.1667842633105"/>
    <n v="29491.800423347901"/>
  </r>
  <r>
    <x v="0"/>
    <x v="0"/>
    <x v="0"/>
    <x v="0"/>
    <x v="1"/>
    <s v="DK2_Rural"/>
    <x v="6"/>
    <s v="GNR_ST_STRW_BP_E-27"/>
    <x v="0"/>
    <x v="5"/>
    <n v="22.444292559625499"/>
    <n v="8192.1667842633105"/>
    <n v="29491.800423347901"/>
  </r>
  <r>
    <x v="0"/>
    <x v="0"/>
    <x v="0"/>
    <x v="0"/>
    <x v="1"/>
    <s v="DK2_Rural"/>
    <x v="6"/>
    <s v="GNR_ST_STRW_BP_E-27"/>
    <x v="0"/>
    <x v="15"/>
    <n v="22.444292559625499"/>
    <n v="8192.1667842633105"/>
    <n v="29491.800423347901"/>
  </r>
  <r>
    <x v="0"/>
    <x v="0"/>
    <x v="0"/>
    <x v="0"/>
    <x v="1"/>
    <s v="DK2_Rural"/>
    <x v="6"/>
    <s v="GNR_ST_STRW_BP_E-27"/>
    <x v="0"/>
    <x v="6"/>
    <n v="22.444292559625499"/>
    <n v="8192.1667842633105"/>
    <n v="29491.800423347901"/>
  </r>
  <r>
    <x v="0"/>
    <x v="0"/>
    <x v="0"/>
    <x v="0"/>
    <x v="1"/>
    <s v="DK2_Rural"/>
    <x v="6"/>
    <s v="GNR_ST_STRW_BP_E-27"/>
    <x v="0"/>
    <x v="7"/>
    <n v="22.444292559625499"/>
    <n v="8192.1667842633105"/>
    <n v="29491.800423347901"/>
  </r>
  <r>
    <x v="0"/>
    <x v="0"/>
    <x v="0"/>
    <x v="0"/>
    <x v="1"/>
    <s v="DK2_Rural"/>
    <x v="6"/>
    <s v="GNR_ST_STRW_BP_E-27"/>
    <x v="0"/>
    <x v="8"/>
    <n v="22.444292559625499"/>
    <n v="8192.1667842633105"/>
    <n v="29491.800423347901"/>
  </r>
  <r>
    <x v="0"/>
    <x v="0"/>
    <x v="0"/>
    <x v="0"/>
    <x v="1"/>
    <s v="DK2_Rural"/>
    <x v="6"/>
    <s v="GNR_ST_STRW_BP_E-27"/>
    <x v="0"/>
    <x v="16"/>
    <n v="22.444292559625499"/>
    <n v="8192.1667842633105"/>
    <n v="29491.800423347901"/>
  </r>
  <r>
    <x v="0"/>
    <x v="0"/>
    <x v="0"/>
    <x v="0"/>
    <x v="1"/>
    <s v="DK2_Rural"/>
    <x v="6"/>
    <s v="GNR_ST_STRW_BP_E-27"/>
    <x v="0"/>
    <x v="17"/>
    <n v="22.444292559625499"/>
    <n v="8192.1667842633105"/>
    <n v="29491.800423347901"/>
  </r>
  <r>
    <x v="0"/>
    <x v="0"/>
    <x v="0"/>
    <x v="0"/>
    <x v="1"/>
    <s v="DK2_Rural"/>
    <x v="6"/>
    <s v="GNR_ST_STRW_BP_E-27"/>
    <x v="0"/>
    <x v="18"/>
    <n v="22.444292559625499"/>
    <n v="8192.1667842633105"/>
    <n v="29491.800423347901"/>
  </r>
  <r>
    <x v="0"/>
    <x v="0"/>
    <x v="0"/>
    <x v="0"/>
    <x v="1"/>
    <s v="DK2_Rural"/>
    <x v="6"/>
    <s v="GNR_ST_STRW_BP_E-27"/>
    <x v="0"/>
    <x v="19"/>
    <n v="22.444292559625499"/>
    <n v="8192.1667842633105"/>
    <n v="29491.800423347901"/>
  </r>
  <r>
    <x v="0"/>
    <x v="0"/>
    <x v="0"/>
    <x v="0"/>
    <x v="1"/>
    <s v="DK2_Rural"/>
    <x v="6"/>
    <s v="GNR_ST_STRW_BP_E-27"/>
    <x v="0"/>
    <x v="20"/>
    <n v="22.444292559625499"/>
    <n v="8192.1667842633105"/>
    <n v="29491.800423347901"/>
  </r>
  <r>
    <x v="0"/>
    <x v="0"/>
    <x v="0"/>
    <x v="0"/>
    <x v="1"/>
    <s v="DK2_Rural"/>
    <x v="6"/>
    <s v="GNR_ST_STRW_BP_E-28"/>
    <x v="0"/>
    <x v="9"/>
    <n v="25.862661767103599"/>
    <n v="9439.8715449928004"/>
    <n v="33983.537561974103"/>
  </r>
  <r>
    <x v="0"/>
    <x v="0"/>
    <x v="0"/>
    <x v="0"/>
    <x v="1"/>
    <s v="DK2_Rural"/>
    <x v="6"/>
    <s v="GNR_ST_STRW_BP_E-28"/>
    <x v="0"/>
    <x v="10"/>
    <n v="25.862661767103599"/>
    <n v="9439.8715449928004"/>
    <n v="33983.537561974103"/>
  </r>
  <r>
    <x v="0"/>
    <x v="0"/>
    <x v="0"/>
    <x v="0"/>
    <x v="1"/>
    <s v="DK2_Rural"/>
    <x v="6"/>
    <s v="GNR_ST_STRW_BP_E-28"/>
    <x v="0"/>
    <x v="11"/>
    <n v="25.862661767103599"/>
    <n v="9439.8715449928004"/>
    <n v="33983.537561974103"/>
  </r>
  <r>
    <x v="0"/>
    <x v="0"/>
    <x v="0"/>
    <x v="0"/>
    <x v="1"/>
    <s v="DK2_Rural"/>
    <x v="6"/>
    <s v="GNR_ST_STRW_BP_E-28"/>
    <x v="0"/>
    <x v="12"/>
    <n v="25.862661767103599"/>
    <n v="9439.8715449928004"/>
    <n v="33983.537561974103"/>
  </r>
  <r>
    <x v="0"/>
    <x v="0"/>
    <x v="0"/>
    <x v="0"/>
    <x v="1"/>
    <s v="DK2_Rural"/>
    <x v="6"/>
    <s v="GNR_ST_STRW_BP_E-28"/>
    <x v="0"/>
    <x v="13"/>
    <n v="25.862661767103599"/>
    <n v="9439.8715449928004"/>
    <n v="33983.537561974103"/>
  </r>
  <r>
    <x v="0"/>
    <x v="0"/>
    <x v="0"/>
    <x v="0"/>
    <x v="1"/>
    <s v="DK2_Rural"/>
    <x v="6"/>
    <s v="GNR_ST_STRW_BP_E-28"/>
    <x v="0"/>
    <x v="0"/>
    <n v="25.862661767103599"/>
    <n v="9439.8715449928004"/>
    <n v="33983.537561974103"/>
  </r>
  <r>
    <x v="0"/>
    <x v="0"/>
    <x v="0"/>
    <x v="0"/>
    <x v="1"/>
    <s v="DK2_Rural"/>
    <x v="6"/>
    <s v="GNR_ST_STRW_BP_E-28"/>
    <x v="0"/>
    <x v="14"/>
    <n v="25.862661767103599"/>
    <n v="9439.8715449928004"/>
    <n v="33983.537561974103"/>
  </r>
  <r>
    <x v="0"/>
    <x v="0"/>
    <x v="0"/>
    <x v="0"/>
    <x v="1"/>
    <s v="DK2_Rural"/>
    <x v="6"/>
    <s v="GNR_ST_STRW_BP_E-28"/>
    <x v="0"/>
    <x v="1"/>
    <n v="25.862661767103599"/>
    <n v="9439.8715449928004"/>
    <n v="33983.537561974103"/>
  </r>
  <r>
    <x v="0"/>
    <x v="0"/>
    <x v="0"/>
    <x v="0"/>
    <x v="1"/>
    <s v="DK2_Rural"/>
    <x v="6"/>
    <s v="GNR_ST_STRW_BP_E-28"/>
    <x v="0"/>
    <x v="23"/>
    <n v="25.862661767103599"/>
    <n v="9439.8715449928004"/>
    <n v="33983.537561974103"/>
  </r>
  <r>
    <x v="0"/>
    <x v="0"/>
    <x v="0"/>
    <x v="0"/>
    <x v="1"/>
    <s v="DK2_Rural"/>
    <x v="6"/>
    <s v="GNR_ST_STRW_BP_E-28"/>
    <x v="0"/>
    <x v="2"/>
    <n v="25.862661767103599"/>
    <n v="9439.8715449928004"/>
    <n v="33983.537561974103"/>
  </r>
  <r>
    <x v="0"/>
    <x v="0"/>
    <x v="0"/>
    <x v="0"/>
    <x v="1"/>
    <s v="DK2_Rural"/>
    <x v="6"/>
    <s v="GNR_ST_STRW_BP_E-28"/>
    <x v="0"/>
    <x v="3"/>
    <n v="25.862661767103599"/>
    <n v="9439.8715449928004"/>
    <n v="33983.537561974103"/>
  </r>
  <r>
    <x v="0"/>
    <x v="0"/>
    <x v="0"/>
    <x v="0"/>
    <x v="1"/>
    <s v="DK2_Rural"/>
    <x v="6"/>
    <s v="GNR_ST_STRW_BP_E-28"/>
    <x v="0"/>
    <x v="4"/>
    <n v="25.862661767103599"/>
    <n v="9439.8715449928004"/>
    <n v="33983.537561974103"/>
  </r>
  <r>
    <x v="0"/>
    <x v="0"/>
    <x v="0"/>
    <x v="0"/>
    <x v="1"/>
    <s v="DK2_Rural"/>
    <x v="6"/>
    <s v="GNR_ST_STRW_BP_E-28"/>
    <x v="0"/>
    <x v="5"/>
    <n v="25.862661767103599"/>
    <n v="9439.8715449928004"/>
    <n v="33983.537561974103"/>
  </r>
  <r>
    <x v="0"/>
    <x v="0"/>
    <x v="0"/>
    <x v="0"/>
    <x v="1"/>
    <s v="DK2_Rural"/>
    <x v="6"/>
    <s v="GNR_ST_STRW_BP_E-28"/>
    <x v="0"/>
    <x v="15"/>
    <n v="25.862661767103599"/>
    <n v="9439.8715449928004"/>
    <n v="33983.537561974103"/>
  </r>
  <r>
    <x v="0"/>
    <x v="0"/>
    <x v="0"/>
    <x v="0"/>
    <x v="1"/>
    <s v="DK2_Rural"/>
    <x v="6"/>
    <s v="GNR_ST_STRW_BP_E-28"/>
    <x v="0"/>
    <x v="6"/>
    <n v="25.862661767103599"/>
    <n v="9439.8715449928004"/>
    <n v="33983.537561974103"/>
  </r>
  <r>
    <x v="0"/>
    <x v="0"/>
    <x v="0"/>
    <x v="0"/>
    <x v="1"/>
    <s v="DK2_Rural"/>
    <x v="6"/>
    <s v="GNR_ST_STRW_BP_E-28"/>
    <x v="0"/>
    <x v="7"/>
    <n v="25.862661767103599"/>
    <n v="9439.8715449928004"/>
    <n v="33983.537561974103"/>
  </r>
  <r>
    <x v="0"/>
    <x v="0"/>
    <x v="0"/>
    <x v="0"/>
    <x v="1"/>
    <s v="DK2_Rural"/>
    <x v="6"/>
    <s v="GNR_ST_STRW_BP_E-28"/>
    <x v="0"/>
    <x v="8"/>
    <n v="25.862661767103599"/>
    <n v="9439.8715449928004"/>
    <n v="33983.537561974103"/>
  </r>
  <r>
    <x v="0"/>
    <x v="0"/>
    <x v="0"/>
    <x v="0"/>
    <x v="1"/>
    <s v="DK2_Rural"/>
    <x v="6"/>
    <s v="GNR_ST_STRW_BP_E-28"/>
    <x v="0"/>
    <x v="16"/>
    <n v="25.862661767103599"/>
    <n v="9439.8715449928004"/>
    <n v="33983.537561974103"/>
  </r>
  <r>
    <x v="0"/>
    <x v="0"/>
    <x v="0"/>
    <x v="0"/>
    <x v="1"/>
    <s v="DK2_Rural"/>
    <x v="6"/>
    <s v="GNR_ST_STRW_BP_E-28"/>
    <x v="0"/>
    <x v="17"/>
    <n v="25.862661767103599"/>
    <n v="9439.8715449928004"/>
    <n v="33983.537561974103"/>
  </r>
  <r>
    <x v="0"/>
    <x v="0"/>
    <x v="0"/>
    <x v="0"/>
    <x v="1"/>
    <s v="DK2_Rural"/>
    <x v="6"/>
    <s v="GNR_ST_STRW_BP_E-28"/>
    <x v="0"/>
    <x v="18"/>
    <n v="25.862661767103599"/>
    <n v="9439.8715449928004"/>
    <n v="33983.537561974103"/>
  </r>
  <r>
    <x v="0"/>
    <x v="0"/>
    <x v="0"/>
    <x v="0"/>
    <x v="1"/>
    <s v="DK2_Rural"/>
    <x v="6"/>
    <s v="GNR_ST_STRW_BP_E-28"/>
    <x v="0"/>
    <x v="19"/>
    <n v="25.862661767103599"/>
    <n v="9439.8715449928004"/>
    <n v="33983.537561974103"/>
  </r>
  <r>
    <x v="0"/>
    <x v="0"/>
    <x v="0"/>
    <x v="0"/>
    <x v="1"/>
    <s v="DK2_Rural"/>
    <x v="6"/>
    <s v="GNR_ST_STRW_BP_E-28"/>
    <x v="0"/>
    <x v="20"/>
    <n v="25.862661767103599"/>
    <n v="9439.8715449928004"/>
    <n v="33983.537561974103"/>
  </r>
  <r>
    <x v="0"/>
    <x v="0"/>
    <x v="0"/>
    <x v="0"/>
    <x v="1"/>
    <s v="DK2_Rural"/>
    <x v="6"/>
    <s v="GNR_ST_STRW_BP_E-28"/>
    <x v="0"/>
    <x v="21"/>
    <n v="25.862661767103599"/>
    <n v="9439.8715449928004"/>
    <n v="33983.537561974103"/>
  </r>
  <r>
    <x v="0"/>
    <x v="0"/>
    <x v="0"/>
    <x v="0"/>
    <x v="1"/>
    <s v="DK2_Rural"/>
    <x v="6"/>
    <s v="GNR_ST_STRW_BP_E-28"/>
    <x v="0"/>
    <x v="22"/>
    <n v="25.862661767103599"/>
    <n v="9439.8715449928004"/>
    <n v="33983.537561974103"/>
  </r>
  <r>
    <x v="0"/>
    <x v="0"/>
    <x v="0"/>
    <x v="0"/>
    <x v="1"/>
    <s v="DK2_Rural"/>
    <x v="2"/>
    <s v="GNR_EH_HEAT"/>
    <x v="0"/>
    <x v="9"/>
    <n v="16.5"/>
    <n v="6022.5"/>
    <n v="21681"/>
  </r>
  <r>
    <x v="0"/>
    <x v="0"/>
    <x v="0"/>
    <x v="0"/>
    <x v="1"/>
    <s v="DK2_Rural"/>
    <x v="2"/>
    <s v="GNR_EH_HEAT"/>
    <x v="0"/>
    <x v="10"/>
    <n v="16.5"/>
    <n v="6022.5"/>
    <n v="21681"/>
  </r>
  <r>
    <x v="0"/>
    <x v="0"/>
    <x v="0"/>
    <x v="0"/>
    <x v="1"/>
    <s v="DK2_Rural"/>
    <x v="2"/>
    <s v="GNR_EH_HEAT"/>
    <x v="0"/>
    <x v="11"/>
    <n v="16.5"/>
    <n v="6022.5"/>
    <n v="21681"/>
  </r>
  <r>
    <x v="0"/>
    <x v="0"/>
    <x v="0"/>
    <x v="0"/>
    <x v="1"/>
    <s v="DK2_Rural"/>
    <x v="2"/>
    <s v="GNR_EH_HEAT"/>
    <x v="0"/>
    <x v="12"/>
    <n v="16.5"/>
    <n v="6022.5"/>
    <n v="21681"/>
  </r>
  <r>
    <x v="0"/>
    <x v="0"/>
    <x v="0"/>
    <x v="0"/>
    <x v="1"/>
    <s v="DK2_Rural"/>
    <x v="2"/>
    <s v="GNR_EH_HEAT"/>
    <x v="0"/>
    <x v="13"/>
    <n v="16.5"/>
    <n v="6022.5"/>
    <n v="21681"/>
  </r>
  <r>
    <x v="0"/>
    <x v="0"/>
    <x v="0"/>
    <x v="0"/>
    <x v="1"/>
    <s v="DK2_Rural"/>
    <x v="2"/>
    <s v="GNR_EH_HEAT"/>
    <x v="0"/>
    <x v="0"/>
    <n v="16.5"/>
    <n v="6022.5"/>
    <n v="21681"/>
  </r>
  <r>
    <x v="0"/>
    <x v="0"/>
    <x v="0"/>
    <x v="0"/>
    <x v="1"/>
    <s v="DK2_Rural"/>
    <x v="2"/>
    <s v="GNR_EH_HEAT"/>
    <x v="0"/>
    <x v="14"/>
    <n v="16.5"/>
    <n v="6022.5"/>
    <n v="21681"/>
  </r>
  <r>
    <x v="0"/>
    <x v="0"/>
    <x v="0"/>
    <x v="0"/>
    <x v="1"/>
    <s v="DK2_Rural"/>
    <x v="2"/>
    <s v="GNR_EH_HEAT"/>
    <x v="0"/>
    <x v="1"/>
    <n v="16.5"/>
    <n v="6022.5"/>
    <n v="21681"/>
  </r>
  <r>
    <x v="0"/>
    <x v="0"/>
    <x v="0"/>
    <x v="0"/>
    <x v="1"/>
    <s v="DK2_Rural"/>
    <x v="2"/>
    <s v="GNR_EH_HEAT"/>
    <x v="0"/>
    <x v="23"/>
    <n v="16.5"/>
    <n v="6022.5"/>
    <n v="21681"/>
  </r>
  <r>
    <x v="0"/>
    <x v="0"/>
    <x v="0"/>
    <x v="0"/>
    <x v="1"/>
    <s v="DK2_Rural"/>
    <x v="2"/>
    <s v="GNR_EH_HEAT"/>
    <x v="0"/>
    <x v="2"/>
    <n v="16.5"/>
    <n v="6022.5"/>
    <n v="21681"/>
  </r>
  <r>
    <x v="0"/>
    <x v="0"/>
    <x v="0"/>
    <x v="0"/>
    <x v="1"/>
    <s v="DK2_Rural"/>
    <x v="2"/>
    <s v="GNR_EH_HEAT"/>
    <x v="0"/>
    <x v="3"/>
    <n v="16.5"/>
    <n v="6022.5"/>
    <n v="21681"/>
  </r>
  <r>
    <x v="0"/>
    <x v="0"/>
    <x v="0"/>
    <x v="0"/>
    <x v="1"/>
    <s v="DK2_Rural"/>
    <x v="2"/>
    <s v="GNR_EH_HEAT"/>
    <x v="0"/>
    <x v="4"/>
    <n v="16.5"/>
    <n v="6022.5"/>
    <n v="21681"/>
  </r>
  <r>
    <x v="0"/>
    <x v="0"/>
    <x v="0"/>
    <x v="0"/>
    <x v="1"/>
    <s v="DK2_Rural"/>
    <x v="2"/>
    <s v="GNR_EH_HEAT"/>
    <x v="0"/>
    <x v="5"/>
    <n v="16.5"/>
    <n v="6022.5"/>
    <n v="21681"/>
  </r>
  <r>
    <x v="0"/>
    <x v="0"/>
    <x v="0"/>
    <x v="0"/>
    <x v="1"/>
    <s v="DK2_Rural"/>
    <x v="2"/>
    <s v="GNR_EH_HEAT"/>
    <x v="0"/>
    <x v="15"/>
    <n v="16.5"/>
    <n v="6022.5"/>
    <n v="21681"/>
  </r>
  <r>
    <x v="0"/>
    <x v="0"/>
    <x v="0"/>
    <x v="0"/>
    <x v="1"/>
    <s v="DK2_Rural"/>
    <x v="2"/>
    <s v="GNR_EH_HEAT"/>
    <x v="0"/>
    <x v="6"/>
    <n v="16.5"/>
    <n v="6022.5"/>
    <n v="21681"/>
  </r>
  <r>
    <x v="0"/>
    <x v="0"/>
    <x v="0"/>
    <x v="0"/>
    <x v="1"/>
    <s v="DK2_Rural"/>
    <x v="2"/>
    <s v="GNR_EH_HEAT"/>
    <x v="0"/>
    <x v="7"/>
    <n v="16.5"/>
    <n v="6022.5"/>
    <n v="21681"/>
  </r>
  <r>
    <x v="0"/>
    <x v="0"/>
    <x v="0"/>
    <x v="0"/>
    <x v="1"/>
    <s v="DK2_Rural"/>
    <x v="2"/>
    <s v="GNR_EH_HEAT"/>
    <x v="0"/>
    <x v="8"/>
    <n v="16.5"/>
    <n v="6022.5"/>
    <n v="21681"/>
  </r>
  <r>
    <x v="0"/>
    <x v="0"/>
    <x v="0"/>
    <x v="0"/>
    <x v="1"/>
    <s v="DK2_Rural"/>
    <x v="2"/>
    <s v="GNR_EH_HEAT"/>
    <x v="0"/>
    <x v="16"/>
    <n v="16.5"/>
    <n v="6022.5"/>
    <n v="21681"/>
  </r>
  <r>
    <x v="0"/>
    <x v="0"/>
    <x v="0"/>
    <x v="0"/>
    <x v="1"/>
    <s v="DK2_Rural"/>
    <x v="2"/>
    <s v="GNR_EH_HEAT"/>
    <x v="0"/>
    <x v="17"/>
    <n v="16.5"/>
    <n v="6022.5"/>
    <n v="21681"/>
  </r>
  <r>
    <x v="0"/>
    <x v="0"/>
    <x v="0"/>
    <x v="0"/>
    <x v="1"/>
    <s v="DK2_Rural"/>
    <x v="2"/>
    <s v="GNR_EH_HEAT"/>
    <x v="0"/>
    <x v="18"/>
    <n v="16.5"/>
    <n v="6022.5"/>
    <n v="21681"/>
  </r>
  <r>
    <x v="0"/>
    <x v="0"/>
    <x v="0"/>
    <x v="0"/>
    <x v="1"/>
    <s v="DK2_Rural"/>
    <x v="2"/>
    <s v="GNR_EH_HEAT"/>
    <x v="0"/>
    <x v="19"/>
    <n v="16.5"/>
    <n v="6022.5"/>
    <n v="21681"/>
  </r>
  <r>
    <x v="0"/>
    <x v="0"/>
    <x v="0"/>
    <x v="0"/>
    <x v="1"/>
    <s v="DK2_Rural"/>
    <x v="2"/>
    <s v="GNR_EH_HEAT"/>
    <x v="0"/>
    <x v="20"/>
    <n v="16.5"/>
    <n v="6022.5"/>
    <n v="21681"/>
  </r>
  <r>
    <x v="0"/>
    <x v="0"/>
    <x v="0"/>
    <x v="0"/>
    <x v="1"/>
    <s v="DK2_Rural"/>
    <x v="2"/>
    <s v="GNR_EH_HEAT"/>
    <x v="0"/>
    <x v="21"/>
    <n v="16.5"/>
    <n v="6022.5"/>
    <n v="21681"/>
  </r>
  <r>
    <x v="0"/>
    <x v="0"/>
    <x v="0"/>
    <x v="0"/>
    <x v="1"/>
    <s v="DK2_Rural"/>
    <x v="2"/>
    <s v="GNR_EH_HEAT"/>
    <x v="0"/>
    <x v="22"/>
    <n v="16.5"/>
    <n v="6022.5"/>
    <n v="21681"/>
  </r>
  <r>
    <x v="0"/>
    <x v="0"/>
    <x v="0"/>
    <x v="0"/>
    <x v="1"/>
    <s v="DK2_Rural"/>
    <x v="8"/>
    <s v="GNR_BO_WOODWST_E-100"/>
    <x v="0"/>
    <x v="9"/>
    <n v="6.3"/>
    <n v="2299.5"/>
    <n v="8278.2000000000007"/>
  </r>
  <r>
    <x v="0"/>
    <x v="0"/>
    <x v="0"/>
    <x v="0"/>
    <x v="1"/>
    <s v="DK2_Rural"/>
    <x v="8"/>
    <s v="GNR_BO_WOODWST_E-100"/>
    <x v="0"/>
    <x v="10"/>
    <n v="6.3"/>
    <n v="2299.5"/>
    <n v="8278.2000000000007"/>
  </r>
  <r>
    <x v="0"/>
    <x v="0"/>
    <x v="0"/>
    <x v="0"/>
    <x v="1"/>
    <s v="DK2_Rural"/>
    <x v="8"/>
    <s v="GNR_BO_WOODWST_E-100"/>
    <x v="0"/>
    <x v="11"/>
    <n v="6.3"/>
    <n v="2299.5"/>
    <n v="8278.2000000000007"/>
  </r>
  <r>
    <x v="0"/>
    <x v="0"/>
    <x v="0"/>
    <x v="0"/>
    <x v="1"/>
    <s v="DK2_Rural"/>
    <x v="8"/>
    <s v="GNR_BO_WOODWST_E-100"/>
    <x v="0"/>
    <x v="12"/>
    <n v="6.3"/>
    <n v="2299.5"/>
    <n v="8278.2000000000007"/>
  </r>
  <r>
    <x v="0"/>
    <x v="0"/>
    <x v="0"/>
    <x v="0"/>
    <x v="1"/>
    <s v="DK2_Rural"/>
    <x v="8"/>
    <s v="GNR_BO_WOODWST_E-100"/>
    <x v="0"/>
    <x v="13"/>
    <n v="6.3"/>
    <n v="2299.5"/>
    <n v="8278.2000000000007"/>
  </r>
  <r>
    <x v="0"/>
    <x v="0"/>
    <x v="0"/>
    <x v="0"/>
    <x v="1"/>
    <s v="DK2_Rural"/>
    <x v="8"/>
    <s v="GNR_BO_WOODWST_E-100"/>
    <x v="0"/>
    <x v="0"/>
    <n v="6.3"/>
    <n v="2299.5"/>
    <n v="8278.2000000000007"/>
  </r>
  <r>
    <x v="0"/>
    <x v="0"/>
    <x v="0"/>
    <x v="0"/>
    <x v="1"/>
    <s v="DK2_Rural"/>
    <x v="8"/>
    <s v="GNR_BO_WOODWST_E-100"/>
    <x v="0"/>
    <x v="14"/>
    <n v="6.3"/>
    <n v="2299.5"/>
    <n v="8278.2000000000007"/>
  </r>
  <r>
    <x v="0"/>
    <x v="0"/>
    <x v="0"/>
    <x v="0"/>
    <x v="1"/>
    <s v="DK2_Rural"/>
    <x v="8"/>
    <s v="GNR_BO_WOODWST_E-100"/>
    <x v="0"/>
    <x v="1"/>
    <n v="6.3"/>
    <n v="2299.5"/>
    <n v="8278.2000000000007"/>
  </r>
  <r>
    <x v="0"/>
    <x v="0"/>
    <x v="0"/>
    <x v="0"/>
    <x v="1"/>
    <s v="DK2_Rural"/>
    <x v="8"/>
    <s v="GNR_BO_WOODWST_E-100"/>
    <x v="0"/>
    <x v="23"/>
    <n v="6.3"/>
    <n v="2299.5"/>
    <n v="8278.2000000000007"/>
  </r>
  <r>
    <x v="0"/>
    <x v="0"/>
    <x v="0"/>
    <x v="0"/>
    <x v="1"/>
    <s v="DK2_Rural"/>
    <x v="8"/>
    <s v="GNR_BO_WOODWST_E-100"/>
    <x v="0"/>
    <x v="2"/>
    <n v="6.3"/>
    <n v="2299.5"/>
    <n v="8278.2000000000007"/>
  </r>
  <r>
    <x v="0"/>
    <x v="0"/>
    <x v="0"/>
    <x v="0"/>
    <x v="1"/>
    <s v="DK2_Rural"/>
    <x v="8"/>
    <s v="GNR_BO_WOODWST_E-100"/>
    <x v="0"/>
    <x v="3"/>
    <n v="6.3"/>
    <n v="2299.5"/>
    <n v="8278.2000000000007"/>
  </r>
  <r>
    <x v="0"/>
    <x v="0"/>
    <x v="0"/>
    <x v="0"/>
    <x v="1"/>
    <s v="DK2_Rural"/>
    <x v="8"/>
    <s v="GNR_BO_WOODWST_E-100"/>
    <x v="0"/>
    <x v="4"/>
    <n v="6.3"/>
    <n v="2299.5"/>
    <n v="8278.2000000000007"/>
  </r>
  <r>
    <x v="0"/>
    <x v="0"/>
    <x v="0"/>
    <x v="0"/>
    <x v="1"/>
    <s v="DK2_Rural"/>
    <x v="8"/>
    <s v="GNR_BO_WOODWST_E-100"/>
    <x v="0"/>
    <x v="5"/>
    <n v="6.3"/>
    <n v="2299.5"/>
    <n v="8278.2000000000007"/>
  </r>
  <r>
    <x v="0"/>
    <x v="0"/>
    <x v="0"/>
    <x v="0"/>
    <x v="1"/>
    <s v="DK2_Rural"/>
    <x v="8"/>
    <s v="GNR_BO_WOODWST_E-100"/>
    <x v="0"/>
    <x v="15"/>
    <n v="6.3"/>
    <n v="2299.5"/>
    <n v="8278.2000000000007"/>
  </r>
  <r>
    <x v="0"/>
    <x v="0"/>
    <x v="0"/>
    <x v="0"/>
    <x v="1"/>
    <s v="DK2_Rural"/>
    <x v="8"/>
    <s v="GNR_BO_WOODWST_E-100"/>
    <x v="0"/>
    <x v="6"/>
    <n v="6.3"/>
    <n v="2299.5"/>
    <n v="8278.2000000000007"/>
  </r>
  <r>
    <x v="0"/>
    <x v="0"/>
    <x v="0"/>
    <x v="0"/>
    <x v="1"/>
    <s v="DK2_Rural"/>
    <x v="8"/>
    <s v="GNR_BO_WOODWST_E-100"/>
    <x v="0"/>
    <x v="7"/>
    <n v="6.3"/>
    <n v="2299.5"/>
    <n v="8278.2000000000007"/>
  </r>
  <r>
    <x v="0"/>
    <x v="0"/>
    <x v="0"/>
    <x v="0"/>
    <x v="1"/>
    <s v="DK2_Rural"/>
    <x v="8"/>
    <s v="GNR_BO_WOODWST_E-100"/>
    <x v="0"/>
    <x v="8"/>
    <n v="6.3"/>
    <n v="2299.5"/>
    <n v="8278.2000000000007"/>
  </r>
  <r>
    <x v="0"/>
    <x v="0"/>
    <x v="0"/>
    <x v="0"/>
    <x v="1"/>
    <s v="DK2_Rural"/>
    <x v="8"/>
    <s v="GNR_BO_WOODWST_E-100"/>
    <x v="0"/>
    <x v="16"/>
    <n v="6.3"/>
    <n v="2299.5"/>
    <n v="8278.2000000000007"/>
  </r>
  <r>
    <x v="0"/>
    <x v="0"/>
    <x v="0"/>
    <x v="0"/>
    <x v="1"/>
    <s v="DK2_Rural"/>
    <x v="8"/>
    <s v="GNR_BO_WOODWST_E-100"/>
    <x v="0"/>
    <x v="17"/>
    <n v="6.3"/>
    <n v="2299.5"/>
    <n v="8278.2000000000007"/>
  </r>
  <r>
    <x v="0"/>
    <x v="0"/>
    <x v="0"/>
    <x v="0"/>
    <x v="1"/>
    <s v="DK2_Rural"/>
    <x v="8"/>
    <s v="GNR_BO_WOODWST_E-100"/>
    <x v="0"/>
    <x v="18"/>
    <n v="6.3"/>
    <n v="2299.5"/>
    <n v="8278.2000000000007"/>
  </r>
  <r>
    <x v="0"/>
    <x v="0"/>
    <x v="0"/>
    <x v="0"/>
    <x v="1"/>
    <s v="DK2_Rural"/>
    <x v="8"/>
    <s v="GNR_BO_WOODWST_E-100"/>
    <x v="0"/>
    <x v="19"/>
    <n v="6.3"/>
    <n v="2299.5"/>
    <n v="8278.2000000000007"/>
  </r>
  <r>
    <x v="0"/>
    <x v="0"/>
    <x v="0"/>
    <x v="0"/>
    <x v="1"/>
    <s v="DK2_Rural"/>
    <x v="8"/>
    <s v="GNR_BO_WOODWST_E-100"/>
    <x v="0"/>
    <x v="20"/>
    <n v="6.3"/>
    <n v="2299.5"/>
    <n v="8278.2000000000007"/>
  </r>
  <r>
    <x v="0"/>
    <x v="0"/>
    <x v="0"/>
    <x v="0"/>
    <x v="1"/>
    <s v="DK2_Rural"/>
    <x v="8"/>
    <s v="GNR_BO_WOODWST_E-100"/>
    <x v="0"/>
    <x v="21"/>
    <n v="6.3"/>
    <n v="2299.5"/>
    <n v="8278.2000000000007"/>
  </r>
  <r>
    <x v="0"/>
    <x v="0"/>
    <x v="0"/>
    <x v="0"/>
    <x v="1"/>
    <s v="DK2_Rural"/>
    <x v="8"/>
    <s v="GNR_BO_WOODWST_E-100"/>
    <x v="0"/>
    <x v="22"/>
    <n v="6.3"/>
    <n v="2299.5"/>
    <n v="8278.2000000000007"/>
  </r>
  <r>
    <x v="0"/>
    <x v="0"/>
    <x v="0"/>
    <x v="0"/>
    <x v="1"/>
    <s v="DK2_Small"/>
    <x v="1"/>
    <s v="GNR_HS_HEAT-E-100"/>
    <x v="0"/>
    <x v="14"/>
    <n v="3.4675943952457202"/>
    <n v="1265.6719542646899"/>
    <n v="4556.4190353528702"/>
  </r>
  <r>
    <x v="0"/>
    <x v="0"/>
    <x v="0"/>
    <x v="0"/>
    <x v="1"/>
    <s v="DK2_Small"/>
    <x v="1"/>
    <s v="GNR_HS_HEAT-E-100"/>
    <x v="0"/>
    <x v="1"/>
    <n v="5.7311703696235803"/>
    <n v="2091.8771849126101"/>
    <n v="7530.7578656853802"/>
  </r>
  <r>
    <x v="0"/>
    <x v="0"/>
    <x v="0"/>
    <x v="0"/>
    <x v="1"/>
    <s v="DK2_Small"/>
    <x v="4"/>
    <s v="GNR_BO_MSW_E-105"/>
    <x v="0"/>
    <x v="9"/>
    <n v="3.3"/>
    <n v="1204.5"/>
    <n v="4336.2"/>
  </r>
  <r>
    <x v="0"/>
    <x v="0"/>
    <x v="0"/>
    <x v="0"/>
    <x v="1"/>
    <s v="DK2_Small"/>
    <x v="4"/>
    <s v="GNR_BO_MSW_E-105"/>
    <x v="0"/>
    <x v="10"/>
    <n v="3.3"/>
    <n v="1204.5"/>
    <n v="4336.2"/>
  </r>
  <r>
    <x v="0"/>
    <x v="0"/>
    <x v="0"/>
    <x v="0"/>
    <x v="1"/>
    <s v="DK2_Small"/>
    <x v="4"/>
    <s v="GNR_BO_MSW_E-105"/>
    <x v="0"/>
    <x v="11"/>
    <n v="3.3"/>
    <n v="1204.5"/>
    <n v="4336.2"/>
  </r>
  <r>
    <x v="0"/>
    <x v="0"/>
    <x v="0"/>
    <x v="0"/>
    <x v="1"/>
    <s v="DK2_Small"/>
    <x v="4"/>
    <s v="GNR_BO_MSW_E-105"/>
    <x v="0"/>
    <x v="12"/>
    <n v="3.3"/>
    <n v="1204.5"/>
    <n v="4336.2"/>
  </r>
  <r>
    <x v="0"/>
    <x v="0"/>
    <x v="0"/>
    <x v="0"/>
    <x v="1"/>
    <s v="DK2_Small"/>
    <x v="4"/>
    <s v="GNR_BO_MSW_E-105"/>
    <x v="0"/>
    <x v="13"/>
    <n v="3.3"/>
    <n v="1204.5"/>
    <n v="4336.2"/>
  </r>
  <r>
    <x v="0"/>
    <x v="0"/>
    <x v="0"/>
    <x v="0"/>
    <x v="1"/>
    <s v="DK2_Small"/>
    <x v="4"/>
    <s v="GNR_BO_MSW_E-105"/>
    <x v="0"/>
    <x v="0"/>
    <n v="3.3"/>
    <n v="1204.5"/>
    <n v="4336.2"/>
  </r>
  <r>
    <x v="0"/>
    <x v="0"/>
    <x v="0"/>
    <x v="0"/>
    <x v="1"/>
    <s v="DK2_Small"/>
    <x v="4"/>
    <s v="GNR_BO_MSW_E-105"/>
    <x v="0"/>
    <x v="14"/>
    <n v="3.3"/>
    <n v="1204.5"/>
    <n v="4336.2"/>
  </r>
  <r>
    <x v="0"/>
    <x v="0"/>
    <x v="0"/>
    <x v="0"/>
    <x v="1"/>
    <s v="DK2_Small"/>
    <x v="4"/>
    <s v="GNR_BO_MSW_E-105"/>
    <x v="0"/>
    <x v="1"/>
    <n v="3.3"/>
    <n v="1204.5"/>
    <n v="4336.2"/>
  </r>
  <r>
    <x v="0"/>
    <x v="0"/>
    <x v="0"/>
    <x v="0"/>
    <x v="1"/>
    <s v="DK2_Small"/>
    <x v="4"/>
    <s v="GNR_BO_MSW_E-105"/>
    <x v="0"/>
    <x v="23"/>
    <n v="3.3"/>
    <n v="1204.5"/>
    <n v="4336.2"/>
  </r>
  <r>
    <x v="0"/>
    <x v="0"/>
    <x v="0"/>
    <x v="0"/>
    <x v="1"/>
    <s v="DK2_Small"/>
    <x v="4"/>
    <s v="GNR_BO_MSW_E-105"/>
    <x v="0"/>
    <x v="2"/>
    <n v="3.3"/>
    <n v="1204.5"/>
    <n v="4336.2"/>
  </r>
  <r>
    <x v="0"/>
    <x v="0"/>
    <x v="0"/>
    <x v="0"/>
    <x v="1"/>
    <s v="DK2_Small"/>
    <x v="4"/>
    <s v="GNR_BO_MSW_E-105"/>
    <x v="0"/>
    <x v="3"/>
    <n v="3.3"/>
    <n v="1204.5"/>
    <n v="4336.2"/>
  </r>
  <r>
    <x v="0"/>
    <x v="0"/>
    <x v="0"/>
    <x v="0"/>
    <x v="1"/>
    <s v="DK2_Small"/>
    <x v="4"/>
    <s v="GNR_BO_MSW_E-105"/>
    <x v="0"/>
    <x v="4"/>
    <n v="3.3"/>
    <n v="1204.5"/>
    <n v="4336.2"/>
  </r>
  <r>
    <x v="0"/>
    <x v="0"/>
    <x v="0"/>
    <x v="0"/>
    <x v="1"/>
    <s v="DK2_Small"/>
    <x v="4"/>
    <s v="GNR_BO_MSW_E-105"/>
    <x v="0"/>
    <x v="5"/>
    <n v="3.3"/>
    <n v="1204.5"/>
    <n v="4336.2"/>
  </r>
  <r>
    <x v="0"/>
    <x v="0"/>
    <x v="0"/>
    <x v="0"/>
    <x v="1"/>
    <s v="DK2_Small"/>
    <x v="4"/>
    <s v="GNR_BO_MSW_E-105"/>
    <x v="0"/>
    <x v="15"/>
    <n v="3.3"/>
    <n v="1204.5"/>
    <n v="4336.2"/>
  </r>
  <r>
    <x v="0"/>
    <x v="0"/>
    <x v="0"/>
    <x v="0"/>
    <x v="1"/>
    <s v="DK2_Small"/>
    <x v="4"/>
    <s v="GNR_BO_MSW_E-105"/>
    <x v="0"/>
    <x v="6"/>
    <n v="3.3"/>
    <n v="1204.5"/>
    <n v="4336.2"/>
  </r>
  <r>
    <x v="0"/>
    <x v="0"/>
    <x v="0"/>
    <x v="0"/>
    <x v="1"/>
    <s v="DK2_Small"/>
    <x v="4"/>
    <s v="GNR_BO_MSW_E-105"/>
    <x v="0"/>
    <x v="7"/>
    <n v="3.3"/>
    <n v="1204.5"/>
    <n v="4336.2"/>
  </r>
  <r>
    <x v="0"/>
    <x v="0"/>
    <x v="0"/>
    <x v="0"/>
    <x v="1"/>
    <s v="DK2_Small"/>
    <x v="4"/>
    <s v="GNR_BO_MSW_E-105"/>
    <x v="0"/>
    <x v="8"/>
    <n v="3.3"/>
    <n v="1204.5"/>
    <n v="4336.2"/>
  </r>
  <r>
    <x v="0"/>
    <x v="0"/>
    <x v="0"/>
    <x v="0"/>
    <x v="1"/>
    <s v="DK2_Small"/>
    <x v="4"/>
    <s v="GNR_BO_MSW_E-105"/>
    <x v="0"/>
    <x v="16"/>
    <n v="3.3"/>
    <n v="1204.5"/>
    <n v="4336.2"/>
  </r>
  <r>
    <x v="0"/>
    <x v="0"/>
    <x v="0"/>
    <x v="0"/>
    <x v="1"/>
    <s v="DK2_Small"/>
    <x v="4"/>
    <s v="GNR_BO_MSW_E-105"/>
    <x v="0"/>
    <x v="17"/>
    <n v="3.3"/>
    <n v="1204.5"/>
    <n v="4336.2"/>
  </r>
  <r>
    <x v="0"/>
    <x v="0"/>
    <x v="0"/>
    <x v="0"/>
    <x v="1"/>
    <s v="DK2_Small"/>
    <x v="4"/>
    <s v="GNR_BO_MSW_E-105"/>
    <x v="0"/>
    <x v="18"/>
    <n v="3.3"/>
    <n v="1204.5"/>
    <n v="4336.2"/>
  </r>
  <r>
    <x v="0"/>
    <x v="0"/>
    <x v="0"/>
    <x v="0"/>
    <x v="1"/>
    <s v="DK2_Small"/>
    <x v="4"/>
    <s v="GNR_BO_MSW_E-105"/>
    <x v="0"/>
    <x v="19"/>
    <n v="3.3"/>
    <n v="1204.5"/>
    <n v="4336.2"/>
  </r>
  <r>
    <x v="0"/>
    <x v="0"/>
    <x v="0"/>
    <x v="0"/>
    <x v="1"/>
    <s v="DK2_Small"/>
    <x v="4"/>
    <s v="GNR_BO_MSW_E-105"/>
    <x v="0"/>
    <x v="20"/>
    <n v="3.3"/>
    <n v="1204.5"/>
    <n v="4336.2"/>
  </r>
  <r>
    <x v="0"/>
    <x v="0"/>
    <x v="0"/>
    <x v="0"/>
    <x v="1"/>
    <s v="DK2_Small"/>
    <x v="4"/>
    <s v="GNR_BO_MSW_E-105"/>
    <x v="0"/>
    <x v="21"/>
    <n v="3.3"/>
    <n v="1204.5"/>
    <n v="4336.2"/>
  </r>
  <r>
    <x v="0"/>
    <x v="0"/>
    <x v="0"/>
    <x v="0"/>
    <x v="1"/>
    <s v="DK2_Small"/>
    <x v="4"/>
    <s v="GNR_BO_MSW_E-105"/>
    <x v="0"/>
    <x v="22"/>
    <n v="3.3"/>
    <n v="1204.5"/>
    <n v="4336.2"/>
  </r>
  <r>
    <x v="0"/>
    <x v="0"/>
    <x v="0"/>
    <x v="0"/>
    <x v="1"/>
    <s v="DK2_Small"/>
    <x v="5"/>
    <s v="GNR_BO_NGAS_E-101"/>
    <x v="0"/>
    <x v="1"/>
    <n v="0.61697816392627403"/>
    <n v="225.19702983309"/>
    <n v="810.70930739912399"/>
  </r>
  <r>
    <x v="0"/>
    <x v="0"/>
    <x v="0"/>
    <x v="0"/>
    <x v="1"/>
    <s v="DK2_Small"/>
    <x v="5"/>
    <s v="GNR_BO_NGAS_E-101"/>
    <x v="0"/>
    <x v="23"/>
    <n v="6.7785761634113904"/>
    <n v="2474.1802996451602"/>
    <n v="8907.0490787225699"/>
  </r>
  <r>
    <x v="0"/>
    <x v="0"/>
    <x v="0"/>
    <x v="0"/>
    <x v="1"/>
    <s v="DK2_Small"/>
    <x v="5"/>
    <s v="GNR_BO_NGAS_E-101"/>
    <x v="0"/>
    <x v="2"/>
    <n v="6.7233931339419604"/>
    <n v="2454.0384938888201"/>
    <n v="8834.5385779997396"/>
  </r>
  <r>
    <x v="0"/>
    <x v="0"/>
    <x v="0"/>
    <x v="0"/>
    <x v="1"/>
    <s v="DK2_Small"/>
    <x v="5"/>
    <s v="GNR_BO_NGAS_E-101"/>
    <x v="0"/>
    <x v="3"/>
    <n v="6.8227225869869299"/>
    <n v="2490.2937442502298"/>
    <n v="8965.0574793008309"/>
  </r>
  <r>
    <x v="0"/>
    <x v="0"/>
    <x v="0"/>
    <x v="0"/>
    <x v="1"/>
    <s v="DK2_Small"/>
    <x v="5"/>
    <s v="GNR_BO_NGAS_E-101"/>
    <x v="0"/>
    <x v="4"/>
    <n v="6.7233931339419604"/>
    <n v="2454.0384938888201"/>
    <n v="8834.5385779997396"/>
  </r>
  <r>
    <x v="0"/>
    <x v="0"/>
    <x v="0"/>
    <x v="0"/>
    <x v="1"/>
    <s v="DK2_Small"/>
    <x v="5"/>
    <s v="GNR_BO_NGAS_E-101"/>
    <x v="0"/>
    <x v="5"/>
    <n v="6.1053432038843702"/>
    <n v="2228.45026941779"/>
    <n v="8022.4209699040603"/>
  </r>
  <r>
    <x v="0"/>
    <x v="0"/>
    <x v="0"/>
    <x v="0"/>
    <x v="1"/>
    <s v="DK2_Small"/>
    <x v="5"/>
    <s v="GNR_BO_NGAS_E-101"/>
    <x v="0"/>
    <x v="15"/>
    <n v="5.6749155740228296"/>
    <n v="2071.3441845183302"/>
    <n v="7456.8390642659997"/>
  </r>
  <r>
    <x v="0"/>
    <x v="0"/>
    <x v="0"/>
    <x v="0"/>
    <x v="1"/>
    <s v="DK2_Small"/>
    <x v="5"/>
    <s v="GNR_BO_NGAS_E-101"/>
    <x v="0"/>
    <x v="6"/>
    <n v="5.8515012683250003"/>
    <n v="2135.79796293863"/>
    <n v="7688.87266657905"/>
  </r>
  <r>
    <x v="0"/>
    <x v="0"/>
    <x v="0"/>
    <x v="0"/>
    <x v="1"/>
    <s v="DK2_Small"/>
    <x v="5"/>
    <s v="GNR_BO_NGAS_E-101"/>
    <x v="0"/>
    <x v="7"/>
    <n v="6.0170503567332903"/>
    <n v="2196.2233802076498"/>
    <n v="7906.4041687475401"/>
  </r>
  <r>
    <x v="0"/>
    <x v="0"/>
    <x v="0"/>
    <x v="0"/>
    <x v="1"/>
    <s v="DK2_Small"/>
    <x v="5"/>
    <s v="GNR_BO_NGAS_E-101"/>
    <x v="0"/>
    <x v="8"/>
    <n v="6.1163798097782598"/>
    <n v="2232.47863056906"/>
    <n v="8036.9230700486296"/>
  </r>
  <r>
    <x v="0"/>
    <x v="0"/>
    <x v="0"/>
    <x v="0"/>
    <x v="1"/>
    <s v="DK2_Small"/>
    <x v="5"/>
    <s v="GNR_BO_NGAS_E-101"/>
    <x v="0"/>
    <x v="16"/>
    <n v="6.4143681689131604"/>
    <n v="2341.24438165331"/>
    <n v="8428.4797739518999"/>
  </r>
  <r>
    <x v="0"/>
    <x v="0"/>
    <x v="0"/>
    <x v="0"/>
    <x v="1"/>
    <s v="DK2_Small"/>
    <x v="5"/>
    <s v="GNR_BO_NGAS_E-101"/>
    <x v="0"/>
    <x v="17"/>
    <n v="6.37022174533762"/>
    <n v="2325.13093704823"/>
    <n v="8370.4713733736407"/>
  </r>
  <r>
    <x v="0"/>
    <x v="0"/>
    <x v="0"/>
    <x v="0"/>
    <x v="1"/>
    <s v="DK2_Small"/>
    <x v="5"/>
    <s v="GNR_BO_NGAS_E-101"/>
    <x v="0"/>
    <x v="18"/>
    <n v="5.9177209036883101"/>
    <n v="2159.9681298462301"/>
    <n v="7775.8852674464397"/>
  </r>
  <r>
    <x v="0"/>
    <x v="0"/>
    <x v="0"/>
    <x v="0"/>
    <x v="1"/>
    <s v="DK2_Small"/>
    <x v="5"/>
    <s v="GNR_BO_NGAS_E-101"/>
    <x v="0"/>
    <x v="19"/>
    <n v="5.0679022498591202"/>
    <n v="1849.7843211985801"/>
    <n v="6659.2235563148897"/>
  </r>
  <r>
    <x v="0"/>
    <x v="0"/>
    <x v="0"/>
    <x v="0"/>
    <x v="1"/>
    <s v="DK2_Small"/>
    <x v="5"/>
    <s v="GNR_BO_NGAS_E-101"/>
    <x v="0"/>
    <x v="20"/>
    <n v="0.98435806912146195"/>
    <n v="359.29069522933401"/>
    <n v="1293.4465028256"/>
  </r>
  <r>
    <x v="0"/>
    <x v="0"/>
    <x v="0"/>
    <x v="0"/>
    <x v="1"/>
    <s v="DK2_Small"/>
    <x v="5"/>
    <s v="GNR_BO_NGAS_E-104"/>
    <x v="0"/>
    <x v="9"/>
    <n v="2.7134109391006001"/>
    <n v="990.39499277171797"/>
    <n v="3565.4219739781902"/>
  </r>
  <r>
    <x v="0"/>
    <x v="0"/>
    <x v="0"/>
    <x v="0"/>
    <x v="1"/>
    <s v="DK2_Small"/>
    <x v="5"/>
    <s v="GNR_BO_NGAS_E-104"/>
    <x v="0"/>
    <x v="10"/>
    <n v="2.5920082742678598"/>
    <n v="946.08302010776799"/>
    <n v="3405.8988723879602"/>
  </r>
  <r>
    <x v="0"/>
    <x v="0"/>
    <x v="0"/>
    <x v="0"/>
    <x v="1"/>
    <s v="DK2_Small"/>
    <x v="5"/>
    <s v="GNR_BO_NGAS_E-104"/>
    <x v="0"/>
    <x v="11"/>
    <n v="2.4816422153289999"/>
    <n v="905.79940859508497"/>
    <n v="3260.87787094231"/>
  </r>
  <r>
    <x v="0"/>
    <x v="0"/>
    <x v="0"/>
    <x v="0"/>
    <x v="1"/>
    <s v="DK2_Small"/>
    <x v="5"/>
    <s v="GNR_BO_NGAS_E-104"/>
    <x v="0"/>
    <x v="12"/>
    <n v="2.6471913037372801"/>
    <n v="966.22482586410899"/>
    <n v="3478.4093731107901"/>
  </r>
  <r>
    <x v="0"/>
    <x v="0"/>
    <x v="0"/>
    <x v="0"/>
    <x v="1"/>
    <s v="DK2_Small"/>
    <x v="5"/>
    <s v="GNR_BO_NGAS_E-104"/>
    <x v="0"/>
    <x v="13"/>
    <n v="2.76859396857003"/>
    <n v="1010.53679852806"/>
    <n v="3637.9324747010101"/>
  </r>
  <r>
    <x v="0"/>
    <x v="0"/>
    <x v="0"/>
    <x v="0"/>
    <x v="1"/>
    <s v="DK2_Small"/>
    <x v="5"/>
    <s v="GNR_BO_NGAS_E-104"/>
    <x v="0"/>
    <x v="0"/>
    <n v="4.7"/>
    <n v="1715.5"/>
    <n v="6175.8"/>
  </r>
  <r>
    <x v="0"/>
    <x v="0"/>
    <x v="0"/>
    <x v="0"/>
    <x v="1"/>
    <s v="DK2_Small"/>
    <x v="5"/>
    <s v="GNR_BO_NGAS_E-104"/>
    <x v="0"/>
    <x v="14"/>
    <n v="4.7"/>
    <n v="1715.5"/>
    <n v="6175.8"/>
  </r>
  <r>
    <x v="0"/>
    <x v="0"/>
    <x v="0"/>
    <x v="0"/>
    <x v="1"/>
    <s v="DK2_Small"/>
    <x v="5"/>
    <s v="GNR_BO_NGAS_E-104"/>
    <x v="0"/>
    <x v="1"/>
    <n v="4.7"/>
    <n v="1715.5"/>
    <n v="6175.8"/>
  </r>
  <r>
    <x v="0"/>
    <x v="0"/>
    <x v="0"/>
    <x v="0"/>
    <x v="1"/>
    <s v="DK2_Small"/>
    <x v="5"/>
    <s v="GNR_BO_NGAS_E-104"/>
    <x v="0"/>
    <x v="23"/>
    <n v="4.7"/>
    <n v="1715.5"/>
    <n v="6175.8"/>
  </r>
  <r>
    <x v="0"/>
    <x v="0"/>
    <x v="0"/>
    <x v="0"/>
    <x v="1"/>
    <s v="DK2_Small"/>
    <x v="5"/>
    <s v="GNR_BO_NGAS_E-104"/>
    <x v="0"/>
    <x v="2"/>
    <n v="4.7"/>
    <n v="1715.5"/>
    <n v="6175.8"/>
  </r>
  <r>
    <x v="0"/>
    <x v="0"/>
    <x v="0"/>
    <x v="0"/>
    <x v="1"/>
    <s v="DK2_Small"/>
    <x v="5"/>
    <s v="GNR_BO_NGAS_E-104"/>
    <x v="0"/>
    <x v="3"/>
    <n v="4.7"/>
    <n v="1715.5"/>
    <n v="6175.8"/>
  </r>
  <r>
    <x v="0"/>
    <x v="0"/>
    <x v="0"/>
    <x v="0"/>
    <x v="1"/>
    <s v="DK2_Small"/>
    <x v="5"/>
    <s v="GNR_BO_NGAS_E-104"/>
    <x v="0"/>
    <x v="4"/>
    <n v="4.7"/>
    <n v="1715.5"/>
    <n v="6175.8"/>
  </r>
  <r>
    <x v="0"/>
    <x v="0"/>
    <x v="0"/>
    <x v="0"/>
    <x v="1"/>
    <s v="DK2_Small"/>
    <x v="5"/>
    <s v="GNR_BO_NGAS_E-104"/>
    <x v="0"/>
    <x v="5"/>
    <n v="4.7"/>
    <n v="1715.5"/>
    <n v="6175.8"/>
  </r>
  <r>
    <x v="0"/>
    <x v="0"/>
    <x v="0"/>
    <x v="0"/>
    <x v="1"/>
    <s v="DK2_Small"/>
    <x v="5"/>
    <s v="GNR_BO_NGAS_E-104"/>
    <x v="0"/>
    <x v="15"/>
    <n v="4.7"/>
    <n v="1715.5"/>
    <n v="6175.8"/>
  </r>
  <r>
    <x v="0"/>
    <x v="0"/>
    <x v="0"/>
    <x v="0"/>
    <x v="1"/>
    <s v="DK2_Small"/>
    <x v="5"/>
    <s v="GNR_BO_NGAS_E-104"/>
    <x v="0"/>
    <x v="6"/>
    <n v="4.7"/>
    <n v="1715.5"/>
    <n v="6175.8"/>
  </r>
  <r>
    <x v="0"/>
    <x v="0"/>
    <x v="0"/>
    <x v="0"/>
    <x v="1"/>
    <s v="DK2_Small"/>
    <x v="5"/>
    <s v="GNR_BO_NGAS_E-104"/>
    <x v="0"/>
    <x v="7"/>
    <n v="4.7"/>
    <n v="1715.5"/>
    <n v="6175.8"/>
  </r>
  <r>
    <x v="0"/>
    <x v="0"/>
    <x v="0"/>
    <x v="0"/>
    <x v="1"/>
    <s v="DK2_Small"/>
    <x v="5"/>
    <s v="GNR_BO_NGAS_E-104"/>
    <x v="0"/>
    <x v="8"/>
    <n v="4.7"/>
    <n v="1715.5"/>
    <n v="6175.8"/>
  </r>
  <r>
    <x v="0"/>
    <x v="0"/>
    <x v="0"/>
    <x v="0"/>
    <x v="1"/>
    <s v="DK2_Small"/>
    <x v="5"/>
    <s v="GNR_BO_NGAS_E-104"/>
    <x v="0"/>
    <x v="16"/>
    <n v="4.7"/>
    <n v="1715.5"/>
    <n v="6175.8"/>
  </r>
  <r>
    <x v="0"/>
    <x v="0"/>
    <x v="0"/>
    <x v="0"/>
    <x v="1"/>
    <s v="DK2_Small"/>
    <x v="5"/>
    <s v="GNR_BO_NGAS_E-104"/>
    <x v="0"/>
    <x v="17"/>
    <n v="4.7"/>
    <n v="1715.5"/>
    <n v="6175.8"/>
  </r>
  <r>
    <x v="0"/>
    <x v="0"/>
    <x v="0"/>
    <x v="0"/>
    <x v="1"/>
    <s v="DK2_Small"/>
    <x v="5"/>
    <s v="GNR_BO_NGAS_E-104"/>
    <x v="0"/>
    <x v="18"/>
    <n v="4.7"/>
    <n v="1715.5"/>
    <n v="6175.8"/>
  </r>
  <r>
    <x v="0"/>
    <x v="0"/>
    <x v="0"/>
    <x v="0"/>
    <x v="1"/>
    <s v="DK2_Small"/>
    <x v="5"/>
    <s v="GNR_BO_NGAS_E-104"/>
    <x v="0"/>
    <x v="19"/>
    <n v="4.7"/>
    <n v="1715.5"/>
    <n v="6175.8"/>
  </r>
  <r>
    <x v="0"/>
    <x v="0"/>
    <x v="0"/>
    <x v="0"/>
    <x v="1"/>
    <s v="DK2_Small"/>
    <x v="5"/>
    <s v="GNR_BO_NGAS_E-104"/>
    <x v="0"/>
    <x v="20"/>
    <n v="4.7"/>
    <n v="1715.5"/>
    <n v="6175.8"/>
  </r>
  <r>
    <x v="0"/>
    <x v="0"/>
    <x v="0"/>
    <x v="0"/>
    <x v="1"/>
    <s v="DK2_Small"/>
    <x v="5"/>
    <s v="GNR_BO_NGAS_E-104"/>
    <x v="0"/>
    <x v="21"/>
    <n v="4.7"/>
    <n v="1715.5"/>
    <n v="6175.8"/>
  </r>
  <r>
    <x v="0"/>
    <x v="0"/>
    <x v="0"/>
    <x v="0"/>
    <x v="1"/>
    <s v="DK2_Small"/>
    <x v="5"/>
    <s v="GNR_BO_NGAS_E-104"/>
    <x v="0"/>
    <x v="22"/>
    <n v="4.7"/>
    <n v="1715.5"/>
    <n v="6175.8"/>
  </r>
  <r>
    <x v="0"/>
    <x v="0"/>
    <x v="0"/>
    <x v="0"/>
    <x v="1"/>
    <s v="DK2_Small"/>
    <x v="6"/>
    <s v="GNR_BO_STRW_E-100"/>
    <x v="0"/>
    <x v="9"/>
    <n v="6.5"/>
    <n v="2372.5"/>
    <n v="8541"/>
  </r>
  <r>
    <x v="0"/>
    <x v="0"/>
    <x v="0"/>
    <x v="0"/>
    <x v="1"/>
    <s v="DK2_Small"/>
    <x v="6"/>
    <s v="GNR_BO_STRW_E-100"/>
    <x v="0"/>
    <x v="10"/>
    <n v="6.5"/>
    <n v="2372.5"/>
    <n v="8541"/>
  </r>
  <r>
    <x v="0"/>
    <x v="0"/>
    <x v="0"/>
    <x v="0"/>
    <x v="1"/>
    <s v="DK2_Small"/>
    <x v="6"/>
    <s v="GNR_BO_STRW_E-100"/>
    <x v="0"/>
    <x v="11"/>
    <n v="6.5"/>
    <n v="2372.5"/>
    <n v="8541"/>
  </r>
  <r>
    <x v="0"/>
    <x v="0"/>
    <x v="0"/>
    <x v="0"/>
    <x v="1"/>
    <s v="DK2_Small"/>
    <x v="6"/>
    <s v="GNR_BO_STRW_E-100"/>
    <x v="0"/>
    <x v="12"/>
    <n v="6.5"/>
    <n v="2372.5"/>
    <n v="8541"/>
  </r>
  <r>
    <x v="0"/>
    <x v="0"/>
    <x v="0"/>
    <x v="0"/>
    <x v="1"/>
    <s v="DK2_Small"/>
    <x v="6"/>
    <s v="GNR_BO_STRW_E-100"/>
    <x v="0"/>
    <x v="13"/>
    <n v="6.5"/>
    <n v="2372.5"/>
    <n v="8541"/>
  </r>
  <r>
    <x v="0"/>
    <x v="0"/>
    <x v="0"/>
    <x v="0"/>
    <x v="1"/>
    <s v="DK2_Small"/>
    <x v="6"/>
    <s v="GNR_BO_STRW_E-100"/>
    <x v="0"/>
    <x v="0"/>
    <n v="6.5"/>
    <n v="2372.5"/>
    <n v="8541"/>
  </r>
  <r>
    <x v="0"/>
    <x v="0"/>
    <x v="0"/>
    <x v="0"/>
    <x v="1"/>
    <s v="DK2_Small"/>
    <x v="6"/>
    <s v="GNR_BO_STRW_E-100"/>
    <x v="0"/>
    <x v="14"/>
    <n v="6.5"/>
    <n v="2372.5"/>
    <n v="8541"/>
  </r>
  <r>
    <x v="0"/>
    <x v="0"/>
    <x v="0"/>
    <x v="0"/>
    <x v="1"/>
    <s v="DK2_Small"/>
    <x v="6"/>
    <s v="GNR_BO_STRW_E-100"/>
    <x v="0"/>
    <x v="1"/>
    <n v="6.5"/>
    <n v="2372.5"/>
    <n v="8541"/>
  </r>
  <r>
    <x v="0"/>
    <x v="0"/>
    <x v="0"/>
    <x v="0"/>
    <x v="1"/>
    <s v="DK2_Small"/>
    <x v="6"/>
    <s v="GNR_BO_STRW_E-100"/>
    <x v="0"/>
    <x v="23"/>
    <n v="6.5"/>
    <n v="2372.5"/>
    <n v="8541"/>
  </r>
  <r>
    <x v="0"/>
    <x v="0"/>
    <x v="0"/>
    <x v="0"/>
    <x v="1"/>
    <s v="DK2_Small"/>
    <x v="6"/>
    <s v="GNR_BO_STRW_E-100"/>
    <x v="0"/>
    <x v="2"/>
    <n v="6.5"/>
    <n v="2372.5"/>
    <n v="8541"/>
  </r>
  <r>
    <x v="0"/>
    <x v="0"/>
    <x v="0"/>
    <x v="0"/>
    <x v="1"/>
    <s v="DK2_Small"/>
    <x v="6"/>
    <s v="GNR_BO_STRW_E-100"/>
    <x v="0"/>
    <x v="3"/>
    <n v="6.5"/>
    <n v="2372.5"/>
    <n v="8541"/>
  </r>
  <r>
    <x v="0"/>
    <x v="0"/>
    <x v="0"/>
    <x v="0"/>
    <x v="1"/>
    <s v="DK2_Small"/>
    <x v="6"/>
    <s v="GNR_BO_STRW_E-100"/>
    <x v="0"/>
    <x v="4"/>
    <n v="6.5"/>
    <n v="2372.5"/>
    <n v="8541"/>
  </r>
  <r>
    <x v="0"/>
    <x v="0"/>
    <x v="0"/>
    <x v="0"/>
    <x v="1"/>
    <s v="DK2_Small"/>
    <x v="6"/>
    <s v="GNR_BO_STRW_E-100"/>
    <x v="0"/>
    <x v="5"/>
    <n v="6.5"/>
    <n v="2372.5"/>
    <n v="8541"/>
  </r>
  <r>
    <x v="0"/>
    <x v="0"/>
    <x v="0"/>
    <x v="0"/>
    <x v="1"/>
    <s v="DK2_Small"/>
    <x v="6"/>
    <s v="GNR_BO_STRW_E-100"/>
    <x v="0"/>
    <x v="15"/>
    <n v="6.5"/>
    <n v="2372.5"/>
    <n v="8541"/>
  </r>
  <r>
    <x v="0"/>
    <x v="0"/>
    <x v="0"/>
    <x v="0"/>
    <x v="1"/>
    <s v="DK2_Small"/>
    <x v="6"/>
    <s v="GNR_BO_STRW_E-100"/>
    <x v="0"/>
    <x v="6"/>
    <n v="6.5"/>
    <n v="2372.5"/>
    <n v="8541"/>
  </r>
  <r>
    <x v="0"/>
    <x v="0"/>
    <x v="0"/>
    <x v="0"/>
    <x v="1"/>
    <s v="DK2_Small"/>
    <x v="6"/>
    <s v="GNR_BO_STRW_E-100"/>
    <x v="0"/>
    <x v="7"/>
    <n v="6.5"/>
    <n v="2372.5"/>
    <n v="8541"/>
  </r>
  <r>
    <x v="0"/>
    <x v="0"/>
    <x v="0"/>
    <x v="0"/>
    <x v="1"/>
    <s v="DK2_Small"/>
    <x v="6"/>
    <s v="GNR_BO_STRW_E-100"/>
    <x v="0"/>
    <x v="8"/>
    <n v="6.5"/>
    <n v="2372.5"/>
    <n v="8541"/>
  </r>
  <r>
    <x v="0"/>
    <x v="0"/>
    <x v="0"/>
    <x v="0"/>
    <x v="1"/>
    <s v="DK2_Small"/>
    <x v="6"/>
    <s v="GNR_BO_STRW_E-100"/>
    <x v="0"/>
    <x v="16"/>
    <n v="6.5"/>
    <n v="2372.5"/>
    <n v="8541"/>
  </r>
  <r>
    <x v="0"/>
    <x v="0"/>
    <x v="0"/>
    <x v="0"/>
    <x v="1"/>
    <s v="DK2_Small"/>
    <x v="6"/>
    <s v="GNR_BO_STRW_E-100"/>
    <x v="0"/>
    <x v="17"/>
    <n v="6.5"/>
    <n v="2372.5"/>
    <n v="8541"/>
  </r>
  <r>
    <x v="0"/>
    <x v="0"/>
    <x v="0"/>
    <x v="0"/>
    <x v="1"/>
    <s v="DK2_Small"/>
    <x v="6"/>
    <s v="GNR_BO_STRW_E-100"/>
    <x v="0"/>
    <x v="18"/>
    <n v="6.5"/>
    <n v="2372.5"/>
    <n v="8541"/>
  </r>
  <r>
    <x v="0"/>
    <x v="0"/>
    <x v="0"/>
    <x v="0"/>
    <x v="1"/>
    <s v="DK2_Small"/>
    <x v="6"/>
    <s v="GNR_BO_STRW_E-100"/>
    <x v="0"/>
    <x v="19"/>
    <n v="6.5"/>
    <n v="2372.5"/>
    <n v="8541"/>
  </r>
  <r>
    <x v="0"/>
    <x v="0"/>
    <x v="0"/>
    <x v="0"/>
    <x v="1"/>
    <s v="DK2_Small"/>
    <x v="6"/>
    <s v="GNR_BO_STRW_E-100"/>
    <x v="0"/>
    <x v="20"/>
    <n v="6.5"/>
    <n v="2372.5"/>
    <n v="8541"/>
  </r>
  <r>
    <x v="0"/>
    <x v="0"/>
    <x v="0"/>
    <x v="0"/>
    <x v="1"/>
    <s v="DK2_Small"/>
    <x v="6"/>
    <s v="GNR_BO_STRW_E-100"/>
    <x v="0"/>
    <x v="21"/>
    <n v="6.5"/>
    <n v="2372.5"/>
    <n v="8541"/>
  </r>
  <r>
    <x v="0"/>
    <x v="0"/>
    <x v="0"/>
    <x v="0"/>
    <x v="1"/>
    <s v="DK2_Small"/>
    <x v="6"/>
    <s v="GNR_BO_STRW_E-100"/>
    <x v="0"/>
    <x v="22"/>
    <n v="6.5"/>
    <n v="2372.5"/>
    <n v="8541"/>
  </r>
  <r>
    <x v="0"/>
    <x v="0"/>
    <x v="0"/>
    <x v="1"/>
    <x v="2"/>
    <s v="EE_Industry"/>
    <x v="8"/>
    <s v="GNR_ST_WOODWST_BP_E-53"/>
    <x v="0"/>
    <x v="9"/>
    <n v="52.236344766709699"/>
    <n v="19066.265839848998"/>
    <n v="68638.557023456495"/>
  </r>
  <r>
    <x v="0"/>
    <x v="0"/>
    <x v="0"/>
    <x v="1"/>
    <x v="2"/>
    <s v="EE_Industry"/>
    <x v="8"/>
    <s v="GNR_ST_WOODWST_BP_E-53"/>
    <x v="0"/>
    <x v="10"/>
    <n v="52.568004098561801"/>
    <n v="19187.321495975099"/>
    <n v="69074.3573855102"/>
  </r>
  <r>
    <x v="0"/>
    <x v="0"/>
    <x v="0"/>
    <x v="1"/>
    <x v="2"/>
    <s v="EE_Industry"/>
    <x v="8"/>
    <s v="GNR_ST_WOODWST_BP_E-53"/>
    <x v="0"/>
    <x v="11"/>
    <n v="52.671647639765403"/>
    <n v="19225.151388514401"/>
    <n v="69210.544998651705"/>
  </r>
  <r>
    <x v="0"/>
    <x v="0"/>
    <x v="0"/>
    <x v="1"/>
    <x v="2"/>
    <s v="EE_Industry"/>
    <x v="8"/>
    <s v="GNR_ST_WOODWST_BP_E-53"/>
    <x v="0"/>
    <x v="12"/>
    <n v="52.360717016154197"/>
    <n v="19111.6617108963"/>
    <n v="68801.982159226594"/>
  </r>
  <r>
    <x v="0"/>
    <x v="0"/>
    <x v="0"/>
    <x v="1"/>
    <x v="2"/>
    <s v="EE_Industry"/>
    <x v="8"/>
    <s v="GNR_ST_WOODWST_BP_E-53"/>
    <x v="0"/>
    <x v="13"/>
    <n v="51.676669644208999"/>
    <n v="18861.984420136301"/>
    <n v="67903.143912490603"/>
  </r>
  <r>
    <x v="0"/>
    <x v="0"/>
    <x v="0"/>
    <x v="1"/>
    <x v="2"/>
    <s v="EE_Industry"/>
    <x v="8"/>
    <s v="GNR_ST_WOODWST_BP_E-53"/>
    <x v="0"/>
    <x v="0"/>
    <n v="50.681691648652603"/>
    <n v="18498.817451758201"/>
    <n v="66595.742826329602"/>
  </r>
  <r>
    <x v="0"/>
    <x v="0"/>
    <x v="0"/>
    <x v="1"/>
    <x v="2"/>
    <s v="EE_Industry"/>
    <x v="8"/>
    <s v="GNR_ST_WOODWST_BP_E-53"/>
    <x v="0"/>
    <x v="14"/>
    <n v="49.417240445966698"/>
    <n v="18037.292762777801"/>
    <n v="64934.253946000201"/>
  </r>
  <r>
    <x v="0"/>
    <x v="0"/>
    <x v="0"/>
    <x v="1"/>
    <x v="2"/>
    <s v="EE_Industry"/>
    <x v="8"/>
    <s v="GNR_ST_WOODWST_BP_E-53"/>
    <x v="0"/>
    <x v="1"/>
    <n v="47.862587327909601"/>
    <n v="17469.844374687"/>
    <n v="62891.439748873301"/>
  </r>
  <r>
    <x v="0"/>
    <x v="0"/>
    <x v="0"/>
    <x v="1"/>
    <x v="2"/>
    <s v="EE_Industry"/>
    <x v="8"/>
    <s v="GNR_ST_WOODWST_BP_E-53"/>
    <x v="0"/>
    <x v="23"/>
    <n v="46.515221292260598"/>
    <n v="16978.055771675099"/>
    <n v="61121.000778030502"/>
  </r>
  <r>
    <x v="0"/>
    <x v="0"/>
    <x v="0"/>
    <x v="1"/>
    <x v="2"/>
    <s v="EE_Industry"/>
    <x v="8"/>
    <s v="GNR_ST_WOODWST_BP_E-53"/>
    <x v="0"/>
    <x v="2"/>
    <n v="45.292227506055703"/>
    <n v="16531.6630397103"/>
    <n v="59513.986942957199"/>
  </r>
  <r>
    <x v="0"/>
    <x v="0"/>
    <x v="0"/>
    <x v="1"/>
    <x v="2"/>
    <s v="EE_Industry"/>
    <x v="8"/>
    <s v="GNR_ST_WOODWST_BP_E-53"/>
    <x v="0"/>
    <x v="3"/>
    <n v="44.193605969295803"/>
    <n v="16130.666178793001"/>
    <n v="58070.398243654599"/>
  </r>
  <r>
    <x v="0"/>
    <x v="0"/>
    <x v="0"/>
    <x v="1"/>
    <x v="2"/>
    <s v="EE_Industry"/>
    <x v="8"/>
    <s v="GNR_ST_WOODWST_BP_E-53"/>
    <x v="0"/>
    <x v="4"/>
    <n v="43.281542806702397"/>
    <n v="15797.763124446399"/>
    <n v="56871.947248007004"/>
  </r>
  <r>
    <x v="0"/>
    <x v="0"/>
    <x v="0"/>
    <x v="1"/>
    <x v="2"/>
    <s v="EE_Industry"/>
    <x v="8"/>
    <s v="GNR_ST_WOODWST_BP_E-53"/>
    <x v="0"/>
    <x v="5"/>
    <n v="42.493851893553497"/>
    <n v="15510.255941146999"/>
    <n v="55836.921388129304"/>
  </r>
  <r>
    <x v="0"/>
    <x v="0"/>
    <x v="0"/>
    <x v="1"/>
    <x v="2"/>
    <s v="EE_Industry"/>
    <x v="8"/>
    <s v="GNR_ST_WOODWST_BP_E-53"/>
    <x v="0"/>
    <x v="15"/>
    <n v="41.851261938089998"/>
    <n v="15275.7106074028"/>
    <n v="54992.558186650203"/>
  </r>
  <r>
    <x v="0"/>
    <x v="0"/>
    <x v="0"/>
    <x v="1"/>
    <x v="2"/>
    <s v="EE_Industry"/>
    <x v="8"/>
    <s v="GNR_ST_WOODWST_BP_E-53"/>
    <x v="0"/>
    <x v="6"/>
    <n v="41.457416481515601"/>
    <n v="15131.9570157532"/>
    <n v="54475.045256711499"/>
  </r>
  <r>
    <x v="0"/>
    <x v="0"/>
    <x v="0"/>
    <x v="1"/>
    <x v="2"/>
    <s v="EE_Industry"/>
    <x v="8"/>
    <s v="GNR_ST_WOODWST_BP_E-53"/>
    <x v="0"/>
    <x v="7"/>
    <n v="41.167214566144999"/>
    <n v="15026.033316642901"/>
    <n v="54093.719939914503"/>
  </r>
  <r>
    <x v="0"/>
    <x v="0"/>
    <x v="0"/>
    <x v="1"/>
    <x v="2"/>
    <s v="EE_Industry"/>
    <x v="8"/>
    <s v="GNR_ST_WOODWST_BP_E-53"/>
    <x v="0"/>
    <x v="8"/>
    <n v="40.918470067255903"/>
    <n v="14935.2415745484"/>
    <n v="53766.869668374202"/>
  </r>
  <r>
    <x v="0"/>
    <x v="0"/>
    <x v="0"/>
    <x v="1"/>
    <x v="2"/>
    <s v="EE_Industry"/>
    <x v="8"/>
    <s v="GNR_ST_WOODWST_BP_E-53"/>
    <x v="0"/>
    <x v="16"/>
    <n v="40.690454276607603"/>
    <n v="14852.015810961801"/>
    <n v="53467.256919462299"/>
  </r>
  <r>
    <x v="0"/>
    <x v="0"/>
    <x v="0"/>
    <x v="1"/>
    <x v="2"/>
    <s v="EE_Industry"/>
    <x v="8"/>
    <s v="GNR_ST_WOODWST_BP_E-53"/>
    <x v="0"/>
    <x v="17"/>
    <n v="40.441709777718501"/>
    <n v="14761.224068867199"/>
    <n v="53140.4066479221"/>
  </r>
  <r>
    <x v="0"/>
    <x v="0"/>
    <x v="0"/>
    <x v="1"/>
    <x v="2"/>
    <s v="EE_Industry"/>
    <x v="8"/>
    <s v="GNR_ST_WOODWST_BP_E-53"/>
    <x v="0"/>
    <x v="18"/>
    <n v="40.151507862347898"/>
    <n v="14655.300369757"/>
    <n v="52759.081331125097"/>
  </r>
  <r>
    <x v="0"/>
    <x v="0"/>
    <x v="0"/>
    <x v="1"/>
    <x v="2"/>
    <s v="EE_Industry"/>
    <x v="8"/>
    <s v="GNR_ST_WOODWST_BP_E-53"/>
    <x v="0"/>
    <x v="19"/>
    <n v="39.902763363458703"/>
    <n v="14564.508627662401"/>
    <n v="52432.231059584803"/>
  </r>
  <r>
    <x v="0"/>
    <x v="0"/>
    <x v="0"/>
    <x v="1"/>
    <x v="2"/>
    <s v="EE_Industry"/>
    <x v="8"/>
    <s v="GNR_ST_WOODWST_BP_E-53"/>
    <x v="0"/>
    <x v="20"/>
    <n v="39.654018864569601"/>
    <n v="14473.716885567899"/>
    <n v="52105.380788044502"/>
  </r>
  <r>
    <x v="0"/>
    <x v="0"/>
    <x v="0"/>
    <x v="1"/>
    <x v="2"/>
    <s v="EE_Industry"/>
    <x v="8"/>
    <s v="GNR_ST_WOODWST_BP_E-53"/>
    <x v="0"/>
    <x v="21"/>
    <n v="39.4674604904028"/>
    <n v="14405.623078997"/>
    <n v="51860.243084389302"/>
  </r>
  <r>
    <x v="0"/>
    <x v="0"/>
    <x v="0"/>
    <x v="1"/>
    <x v="2"/>
    <s v="EE_Industry"/>
    <x v="8"/>
    <s v="GNR_ST_WOODWST_BP_E-53"/>
    <x v="0"/>
    <x v="22"/>
    <n v="39.405274365680498"/>
    <n v="14382.9251434734"/>
    <n v="51778.530516504201"/>
  </r>
  <r>
    <x v="0"/>
    <x v="0"/>
    <x v="0"/>
    <x v="1"/>
    <x v="2"/>
    <s v="EE_Kohtla_Jarve"/>
    <x v="5"/>
    <s v="GNR_ENG_NGAS_EXT_E-44"/>
    <x v="0"/>
    <x v="9"/>
    <n v="17.7777777777778"/>
    <n v="6488.8888888888896"/>
    <n v="23360"/>
  </r>
  <r>
    <x v="0"/>
    <x v="0"/>
    <x v="0"/>
    <x v="1"/>
    <x v="2"/>
    <s v="EE_Kohtla_Jarve"/>
    <x v="5"/>
    <s v="GNR_ENG_NGAS_EXT_E-44"/>
    <x v="0"/>
    <x v="10"/>
    <n v="17.7777777777778"/>
    <n v="6488.8888888888896"/>
    <n v="23360"/>
  </r>
  <r>
    <x v="0"/>
    <x v="0"/>
    <x v="0"/>
    <x v="1"/>
    <x v="2"/>
    <s v="EE_Kohtla_Jarve"/>
    <x v="5"/>
    <s v="GNR_ENG_NGAS_EXT_E-44"/>
    <x v="0"/>
    <x v="11"/>
    <n v="6.6568537831086703"/>
    <n v="2429.7516308346599"/>
    <n v="8747.1058710047892"/>
  </r>
  <r>
    <x v="0"/>
    <x v="0"/>
    <x v="0"/>
    <x v="1"/>
    <x v="2"/>
    <s v="EE_Kohtla_Jarve"/>
    <x v="5"/>
    <s v="GNR_ENG_NGAS_EXT_E-44"/>
    <x v="0"/>
    <x v="12"/>
    <n v="17.7777777777778"/>
    <n v="6488.8888888888896"/>
    <n v="23360"/>
  </r>
  <r>
    <x v="0"/>
    <x v="0"/>
    <x v="0"/>
    <x v="1"/>
    <x v="2"/>
    <s v="EE_Kohtla_Jarve"/>
    <x v="5"/>
    <s v="GNR_ENG_NGAS_EXT_E-44"/>
    <x v="0"/>
    <x v="13"/>
    <n v="17.7777777777778"/>
    <n v="6488.8888888888896"/>
    <n v="23360"/>
  </r>
  <r>
    <x v="0"/>
    <x v="0"/>
    <x v="0"/>
    <x v="1"/>
    <x v="2"/>
    <s v="EE_Kohtla_Jarve"/>
    <x v="5"/>
    <s v="GNR_ENG_NGAS_EXT_E-44"/>
    <x v="0"/>
    <x v="0"/>
    <n v="17.7777777777778"/>
    <n v="6488.8888888888896"/>
    <n v="23360"/>
  </r>
  <r>
    <x v="0"/>
    <x v="0"/>
    <x v="0"/>
    <x v="1"/>
    <x v="2"/>
    <s v="EE_Kohtla_Jarve"/>
    <x v="5"/>
    <s v="GNR_ENG_NGAS_EXT_E-44"/>
    <x v="0"/>
    <x v="14"/>
    <n v="17.7777777777778"/>
    <n v="6488.8888888888896"/>
    <n v="23360"/>
  </r>
  <r>
    <x v="0"/>
    <x v="0"/>
    <x v="0"/>
    <x v="1"/>
    <x v="2"/>
    <s v="EE_Kohtla_Jarve"/>
    <x v="5"/>
    <s v="GNR_ENG_NGAS_EXT_E-44"/>
    <x v="0"/>
    <x v="1"/>
    <n v="17.7777777777778"/>
    <n v="6488.8888888888896"/>
    <n v="23360"/>
  </r>
  <r>
    <x v="0"/>
    <x v="0"/>
    <x v="0"/>
    <x v="1"/>
    <x v="2"/>
    <s v="EE_Kohtla_Jarve"/>
    <x v="5"/>
    <s v="GNR_ENG_NGAS_EXT_E-44"/>
    <x v="0"/>
    <x v="23"/>
    <n v="17.7777777777778"/>
    <n v="6488.8888888888896"/>
    <n v="23360"/>
  </r>
  <r>
    <x v="0"/>
    <x v="0"/>
    <x v="0"/>
    <x v="1"/>
    <x v="2"/>
    <s v="EE_Kohtla_Jarve"/>
    <x v="5"/>
    <s v="GNR_ENG_NGAS_EXT_E-44"/>
    <x v="0"/>
    <x v="2"/>
    <n v="17.7777777777778"/>
    <n v="6488.8888888888896"/>
    <n v="23360"/>
  </r>
  <r>
    <x v="0"/>
    <x v="0"/>
    <x v="0"/>
    <x v="1"/>
    <x v="2"/>
    <s v="EE_Kohtla_Jarve"/>
    <x v="5"/>
    <s v="GNR_ENG_NGAS_EXT_E-44"/>
    <x v="0"/>
    <x v="3"/>
    <n v="17.7777777777778"/>
    <n v="6488.8888888888896"/>
    <n v="23360"/>
  </r>
  <r>
    <x v="0"/>
    <x v="0"/>
    <x v="0"/>
    <x v="1"/>
    <x v="2"/>
    <s v="EE_Kohtla_Jarve"/>
    <x v="5"/>
    <s v="GNR_ENG_NGAS_EXT_E-44"/>
    <x v="0"/>
    <x v="4"/>
    <n v="17.7777777777778"/>
    <n v="6488.8888888888896"/>
    <n v="23360"/>
  </r>
  <r>
    <x v="0"/>
    <x v="0"/>
    <x v="0"/>
    <x v="1"/>
    <x v="2"/>
    <s v="EE_Kohtla_Jarve"/>
    <x v="5"/>
    <s v="GNR_ENG_NGAS_EXT_E-44"/>
    <x v="0"/>
    <x v="5"/>
    <n v="17.7777777777778"/>
    <n v="6488.8888888888896"/>
    <n v="23360"/>
  </r>
  <r>
    <x v="0"/>
    <x v="0"/>
    <x v="0"/>
    <x v="1"/>
    <x v="2"/>
    <s v="EE_Kohtla_Jarve"/>
    <x v="5"/>
    <s v="GNR_ENG_NGAS_EXT_E-44"/>
    <x v="0"/>
    <x v="15"/>
    <n v="17.7777777777778"/>
    <n v="6488.8888888888896"/>
    <n v="23360"/>
  </r>
  <r>
    <x v="0"/>
    <x v="0"/>
    <x v="0"/>
    <x v="1"/>
    <x v="2"/>
    <s v="EE_Kohtla_Jarve"/>
    <x v="5"/>
    <s v="GNR_ENG_NGAS_EXT_E-44"/>
    <x v="0"/>
    <x v="6"/>
    <n v="17.7777777777778"/>
    <n v="6488.8888888888896"/>
    <n v="23360"/>
  </r>
  <r>
    <x v="0"/>
    <x v="0"/>
    <x v="0"/>
    <x v="1"/>
    <x v="2"/>
    <s v="EE_Kohtla_Jarve"/>
    <x v="5"/>
    <s v="GNR_ENG_NGAS_EXT_E-44"/>
    <x v="0"/>
    <x v="7"/>
    <n v="17.7777777777778"/>
    <n v="6488.8888888888896"/>
    <n v="23360"/>
  </r>
  <r>
    <x v="0"/>
    <x v="0"/>
    <x v="0"/>
    <x v="1"/>
    <x v="2"/>
    <s v="EE_Kohtla_Jarve"/>
    <x v="5"/>
    <s v="GNR_ENG_NGAS_EXT_E-44"/>
    <x v="0"/>
    <x v="8"/>
    <n v="17.7777777777778"/>
    <n v="6488.8888888888896"/>
    <n v="23360"/>
  </r>
  <r>
    <x v="0"/>
    <x v="0"/>
    <x v="0"/>
    <x v="1"/>
    <x v="2"/>
    <s v="EE_Kohtla_Jarve"/>
    <x v="5"/>
    <s v="GNR_ENG_NGAS_EXT_E-44"/>
    <x v="0"/>
    <x v="16"/>
    <n v="17.7777777777778"/>
    <n v="6488.8888888888896"/>
    <n v="23360"/>
  </r>
  <r>
    <x v="0"/>
    <x v="0"/>
    <x v="0"/>
    <x v="1"/>
    <x v="2"/>
    <s v="EE_Kohtla_Jarve"/>
    <x v="5"/>
    <s v="GNR_ENG_NGAS_EXT_E-44"/>
    <x v="0"/>
    <x v="17"/>
    <n v="17.7777777777778"/>
    <n v="6488.8888888888896"/>
    <n v="23360"/>
  </r>
  <r>
    <x v="0"/>
    <x v="0"/>
    <x v="0"/>
    <x v="1"/>
    <x v="2"/>
    <s v="EE_Kohtla_Jarve"/>
    <x v="5"/>
    <s v="GNR_ENG_NGAS_EXT_E-44"/>
    <x v="0"/>
    <x v="18"/>
    <n v="17.7777777777778"/>
    <n v="6488.8888888888896"/>
    <n v="23360"/>
  </r>
  <r>
    <x v="0"/>
    <x v="0"/>
    <x v="0"/>
    <x v="1"/>
    <x v="2"/>
    <s v="EE_Kohtla_Jarve"/>
    <x v="5"/>
    <s v="GNR_ENG_NGAS_EXT_E-44"/>
    <x v="0"/>
    <x v="19"/>
    <n v="17.7777777777778"/>
    <n v="6488.8888888888896"/>
    <n v="23360"/>
  </r>
  <r>
    <x v="0"/>
    <x v="0"/>
    <x v="0"/>
    <x v="1"/>
    <x v="2"/>
    <s v="EE_Kohtla_Jarve"/>
    <x v="5"/>
    <s v="GNR_ENG_NGAS_EXT_E-44"/>
    <x v="0"/>
    <x v="20"/>
    <n v="17.7777777777778"/>
    <n v="6488.8888888888896"/>
    <n v="23360"/>
  </r>
  <r>
    <x v="0"/>
    <x v="0"/>
    <x v="0"/>
    <x v="1"/>
    <x v="2"/>
    <s v="EE_Kohtla_Jarve"/>
    <x v="5"/>
    <s v="GNR_ENG_NGAS_EXT_E-44"/>
    <x v="0"/>
    <x v="21"/>
    <n v="17.7777777777778"/>
    <n v="6488.8888888888896"/>
    <n v="23360"/>
  </r>
  <r>
    <x v="0"/>
    <x v="0"/>
    <x v="0"/>
    <x v="1"/>
    <x v="2"/>
    <s v="EE_Kohtla_Jarve"/>
    <x v="5"/>
    <s v="GNR_ENG_NGAS_EXT_E-44"/>
    <x v="0"/>
    <x v="22"/>
    <n v="17.7777777777778"/>
    <n v="6488.8888888888896"/>
    <n v="23360"/>
  </r>
  <r>
    <x v="0"/>
    <x v="0"/>
    <x v="0"/>
    <x v="1"/>
    <x v="2"/>
    <s v="EE_Kohtla_Jarve"/>
    <x v="9"/>
    <s v="GNR_BO_SHALE_HO_E-34"/>
    <x v="0"/>
    <x v="9"/>
    <n v="26.6952663171175"/>
    <n v="9743.7722057478804"/>
    <n v="35077.579940692398"/>
  </r>
  <r>
    <x v="0"/>
    <x v="0"/>
    <x v="0"/>
    <x v="1"/>
    <x v="2"/>
    <s v="EE_Kohtla_Jarve"/>
    <x v="9"/>
    <s v="GNR_BO_SHALE_HO_E-34"/>
    <x v="0"/>
    <x v="10"/>
    <n v="26.977634851053299"/>
    <n v="9846.8367206344592"/>
    <n v="35448.612194284098"/>
  </r>
  <r>
    <x v="0"/>
    <x v="0"/>
    <x v="0"/>
    <x v="1"/>
    <x v="2"/>
    <s v="EE_Kohtla_Jarve"/>
    <x v="9"/>
    <s v="GNR_BO_SHALE_HO_E-34"/>
    <x v="0"/>
    <x v="11"/>
    <n v="38.186799012577403"/>
    <n v="13938.181639590701"/>
    <n v="50177.4539025267"/>
  </r>
  <r>
    <x v="0"/>
    <x v="0"/>
    <x v="0"/>
    <x v="1"/>
    <x v="2"/>
    <s v="EE_Kohtla_Jarve"/>
    <x v="9"/>
    <s v="GNR_BO_SHALE_HO_E-34"/>
    <x v="0"/>
    <x v="12"/>
    <n v="26.801154517343399"/>
    <n v="9782.4213988303309"/>
    <n v="35216.717035789203"/>
  </r>
  <r>
    <x v="0"/>
    <x v="0"/>
    <x v="0"/>
    <x v="1"/>
    <x v="2"/>
    <s v="EE_Kohtla_Jarve"/>
    <x v="9"/>
    <s v="GNR_BO_SHALE_HO_E-34"/>
    <x v="0"/>
    <x v="13"/>
    <n v="26.218769416100699"/>
    <n v="9569.8508368767598"/>
    <n v="34451.4630127563"/>
  </r>
  <r>
    <x v="0"/>
    <x v="0"/>
    <x v="0"/>
    <x v="1"/>
    <x v="2"/>
    <s v="EE_Kohtla_Jarve"/>
    <x v="9"/>
    <s v="GNR_BO_SHALE_HO_E-34"/>
    <x v="0"/>
    <x v="0"/>
    <n v="25.3716638142932"/>
    <n v="9260.6572922170199"/>
    <n v="33338.366251981301"/>
  </r>
  <r>
    <x v="0"/>
    <x v="0"/>
    <x v="0"/>
    <x v="1"/>
    <x v="2"/>
    <s v="EE_Kohtla_Jarve"/>
    <x v="9"/>
    <s v="GNR_BO_SHALE_HO_E-34"/>
    <x v="0"/>
    <x v="14"/>
    <n v="24.295133778662802"/>
    <n v="8867.7238292119291"/>
    <n v="31923.805785162898"/>
  </r>
  <r>
    <x v="0"/>
    <x v="0"/>
    <x v="0"/>
    <x v="1"/>
    <x v="2"/>
    <s v="EE_Kohtla_Jarve"/>
    <x v="9"/>
    <s v="GNR_BO_SHALE_HO_E-34"/>
    <x v="0"/>
    <x v="1"/>
    <n v="22.971531275838501"/>
    <n v="8384.6089156810594"/>
    <n v="30184.592096451801"/>
  </r>
  <r>
    <x v="0"/>
    <x v="0"/>
    <x v="0"/>
    <x v="1"/>
    <x v="2"/>
    <s v="EE_Kohtla_Jarve"/>
    <x v="9"/>
    <s v="GNR_BO_SHALE_HO_E-34"/>
    <x v="0"/>
    <x v="23"/>
    <n v="21.8244091067242"/>
    <n v="7965.9093239543299"/>
    <n v="28677.273566235599"/>
  </r>
  <r>
    <x v="0"/>
    <x v="0"/>
    <x v="0"/>
    <x v="1"/>
    <x v="2"/>
    <s v="EE_Kohtla_Jarve"/>
    <x v="9"/>
    <s v="GNR_BO_SHALE_HO_E-34"/>
    <x v="0"/>
    <x v="2"/>
    <n v="20.783175137835698"/>
    <n v="7585.8589253100399"/>
    <n v="27309.092131116198"/>
  </r>
  <r>
    <x v="0"/>
    <x v="0"/>
    <x v="0"/>
    <x v="1"/>
    <x v="2"/>
    <s v="EE_Kohtla_Jarve"/>
    <x v="9"/>
    <s v="GNR_BO_SHALE_HO_E-34"/>
    <x v="0"/>
    <x v="3"/>
    <n v="19.847829369173301"/>
    <n v="7244.4577197482404"/>
    <n v="26080.047791093701"/>
  </r>
  <r>
    <x v="0"/>
    <x v="0"/>
    <x v="0"/>
    <x v="1"/>
    <x v="2"/>
    <s v="EE_Kohtla_Jarve"/>
    <x v="9"/>
    <s v="GNR_BO_SHALE_HO_E-34"/>
    <x v="0"/>
    <x v="4"/>
    <n v="19.071315900849701"/>
    <n v="6961.0303038101501"/>
    <n v="25059.709093716501"/>
  </r>
  <r>
    <x v="0"/>
    <x v="0"/>
    <x v="0"/>
    <x v="1"/>
    <x v="2"/>
    <s v="EE_Kohtla_Jarve"/>
    <x v="9"/>
    <s v="GNR_BO_SHALE_HO_E-34"/>
    <x v="0"/>
    <x v="5"/>
    <n v="18.400690632752099"/>
    <n v="6716.2520809545103"/>
    <n v="24178.507491436201"/>
  </r>
  <r>
    <x v="0"/>
    <x v="0"/>
    <x v="0"/>
    <x v="1"/>
    <x v="2"/>
    <s v="EE_Kohtla_Jarve"/>
    <x v="9"/>
    <s v="GNR_BO_SHALE_HO_E-34"/>
    <x v="0"/>
    <x v="15"/>
    <n v="17.853601598251402"/>
    <n v="6516.56458336176"/>
    <n v="23459.632500102402"/>
  </r>
  <r>
    <x v="0"/>
    <x v="0"/>
    <x v="0"/>
    <x v="1"/>
    <x v="2"/>
    <s v="EE_Kohtla_Jarve"/>
    <x v="9"/>
    <s v="GNR_BO_SHALE_HO_E-34"/>
    <x v="0"/>
    <x v="6"/>
    <n v="17.518288964202601"/>
    <n v="6394.1754719339297"/>
    <n v="23019.031698962201"/>
  </r>
  <r>
    <x v="0"/>
    <x v="0"/>
    <x v="0"/>
    <x v="1"/>
    <x v="2"/>
    <s v="EE_Kohtla_Jarve"/>
    <x v="9"/>
    <s v="GNR_BO_SHALE_HO_E-34"/>
    <x v="0"/>
    <x v="7"/>
    <n v="17.271216497008702"/>
    <n v="6303.9940214081898"/>
    <n v="22694.378477069498"/>
  </r>
  <r>
    <x v="0"/>
    <x v="0"/>
    <x v="0"/>
    <x v="1"/>
    <x v="2"/>
    <s v="EE_Kohtla_Jarve"/>
    <x v="9"/>
    <s v="GNR_BO_SHALE_HO_E-34"/>
    <x v="0"/>
    <x v="8"/>
    <n v="17.059440096556798"/>
    <n v="6226.6956352432298"/>
    <n v="22416.104286875601"/>
  </r>
  <r>
    <x v="0"/>
    <x v="0"/>
    <x v="0"/>
    <x v="1"/>
    <x v="2"/>
    <s v="EE_Kohtla_Jarve"/>
    <x v="9"/>
    <s v="GNR_BO_SHALE_HO_E-34"/>
    <x v="0"/>
    <x v="16"/>
    <n v="16.865311729475899"/>
    <n v="6155.8387812587098"/>
    <n v="22161.019612531301"/>
  </r>
  <r>
    <x v="0"/>
    <x v="0"/>
    <x v="0"/>
    <x v="1"/>
    <x v="2"/>
    <s v="EE_Kohtla_Jarve"/>
    <x v="9"/>
    <s v="GNR_BO_SHALE_HO_E-34"/>
    <x v="0"/>
    <x v="17"/>
    <n v="16.653535329023999"/>
    <n v="6078.5403950937798"/>
    <n v="21882.745422337601"/>
  </r>
  <r>
    <x v="0"/>
    <x v="0"/>
    <x v="0"/>
    <x v="1"/>
    <x v="2"/>
    <s v="EE_Kohtla_Jarve"/>
    <x v="9"/>
    <s v="GNR_BO_SHALE_HO_E-34"/>
    <x v="0"/>
    <x v="18"/>
    <n v="16.4064628618302"/>
    <n v="5988.35894456803"/>
    <n v="21558.092200444898"/>
  </r>
  <r>
    <x v="0"/>
    <x v="0"/>
    <x v="0"/>
    <x v="1"/>
    <x v="2"/>
    <s v="EE_Kohtla_Jarve"/>
    <x v="9"/>
    <s v="GNR_BO_SHALE_HO_E-34"/>
    <x v="0"/>
    <x v="19"/>
    <n v="16.1946864613783"/>
    <n v="5911.06055840307"/>
    <n v="21279.818010251001"/>
  </r>
  <r>
    <x v="0"/>
    <x v="0"/>
    <x v="0"/>
    <x v="1"/>
    <x v="2"/>
    <s v="EE_Kohtla_Jarve"/>
    <x v="9"/>
    <s v="GNR_BO_SHALE_HO_E-34"/>
    <x v="0"/>
    <x v="20"/>
    <n v="15.9829100609264"/>
    <n v="5833.76217223814"/>
    <n v="21001.543820057301"/>
  </r>
  <r>
    <x v="0"/>
    <x v="0"/>
    <x v="0"/>
    <x v="1"/>
    <x v="2"/>
    <s v="EE_Kohtla_Jarve"/>
    <x v="9"/>
    <s v="GNR_BO_SHALE_HO_E-34"/>
    <x v="0"/>
    <x v="21"/>
    <n v="15.8240777605875"/>
    <n v="5775.7883826144498"/>
    <n v="20792.838177411999"/>
  </r>
  <r>
    <x v="0"/>
    <x v="0"/>
    <x v="0"/>
    <x v="1"/>
    <x v="2"/>
    <s v="EE_Kohtla_Jarve"/>
    <x v="9"/>
    <s v="GNR_BO_SHALE_HO_E-34"/>
    <x v="0"/>
    <x v="22"/>
    <n v="15.771133660474501"/>
    <n v="5756.4637860732"/>
    <n v="20723.269629863498"/>
  </r>
  <r>
    <x v="0"/>
    <x v="0"/>
    <x v="0"/>
    <x v="1"/>
    <x v="2"/>
    <s v="EE_Narva"/>
    <x v="1"/>
    <s v="GNR_HS_HEAT_WTR-TANK_LS_E-95_Y-2010"/>
    <x v="0"/>
    <x v="11"/>
    <n v="27.031780103535802"/>
    <n v="9866.5997377905496"/>
    <n v="35519.759056046001"/>
  </r>
  <r>
    <x v="0"/>
    <x v="0"/>
    <x v="0"/>
    <x v="1"/>
    <x v="2"/>
    <s v="EE_Narva"/>
    <x v="1"/>
    <s v="GNR_HS_HEAT_WTR-TANK_LS_E-95_Y-2010"/>
    <x v="0"/>
    <x v="12"/>
    <n v="2.2366020797994"/>
    <n v="816.35975912677998"/>
    <n v="2938.8951328564099"/>
  </r>
  <r>
    <x v="0"/>
    <x v="0"/>
    <x v="0"/>
    <x v="1"/>
    <x v="2"/>
    <s v="EE_Narva"/>
    <x v="1"/>
    <s v="GNR_HS_HEAT_WTR-TANK_LS_E-95_Y-2010"/>
    <x v="0"/>
    <x v="1"/>
    <n v="2.2366020797994"/>
    <n v="816.35975912677998"/>
    <n v="2938.8951328564099"/>
  </r>
  <r>
    <x v="0"/>
    <x v="0"/>
    <x v="0"/>
    <x v="1"/>
    <x v="2"/>
    <s v="EE_Narva"/>
    <x v="1"/>
    <s v="GNR_HS_HEAT_WTR-TANK_LS_E-95_Y-2010"/>
    <x v="0"/>
    <x v="23"/>
    <n v="27.031780103535802"/>
    <n v="9866.5997377905496"/>
    <n v="35519.759056046001"/>
  </r>
  <r>
    <x v="0"/>
    <x v="0"/>
    <x v="0"/>
    <x v="1"/>
    <x v="2"/>
    <s v="EE_Narva"/>
    <x v="1"/>
    <s v="GNR_HS_HEAT_WTR-TANK_LS_E-95_Y-2010"/>
    <x v="0"/>
    <x v="8"/>
    <n v="2.2366020797994"/>
    <n v="816.35975912677998"/>
    <n v="2938.8951328564099"/>
  </r>
  <r>
    <x v="0"/>
    <x v="0"/>
    <x v="0"/>
    <x v="1"/>
    <x v="2"/>
    <s v="EE_Narva"/>
    <x v="1"/>
    <s v="GNR_HS_HEAT_WTR-TANK_LS_E-95_Y-2010"/>
    <x v="0"/>
    <x v="16"/>
    <n v="27.031780103535802"/>
    <n v="9866.5997377905496"/>
    <n v="35519.759056046001"/>
  </r>
  <r>
    <x v="0"/>
    <x v="0"/>
    <x v="0"/>
    <x v="1"/>
    <x v="2"/>
    <s v="EE_Narva"/>
    <x v="1"/>
    <s v="GNR_HS_HEAT_WTR-TANK_LS_E-95_Y-2010"/>
    <x v="0"/>
    <x v="22"/>
    <n v="27.031780103535802"/>
    <n v="9866.5997377905496"/>
    <n v="35519.759056046001"/>
  </r>
  <r>
    <x v="0"/>
    <x v="0"/>
    <x v="0"/>
    <x v="1"/>
    <x v="2"/>
    <s v="EE_Narva"/>
    <x v="9"/>
    <s v="NARVA-11_ST_SHALE_EXT"/>
    <x v="0"/>
    <x v="9"/>
    <n v="92.927295270278094"/>
    <n v="33918.462773651503"/>
    <n v="122106.465985145"/>
  </r>
  <r>
    <x v="0"/>
    <x v="0"/>
    <x v="0"/>
    <x v="1"/>
    <x v="2"/>
    <s v="EE_Narva"/>
    <x v="9"/>
    <s v="NARVA-11_ST_SHALE_EXT"/>
    <x v="0"/>
    <x v="10"/>
    <n v="67.736624658630404"/>
    <n v="24723.8680004001"/>
    <n v="89005.924801440298"/>
  </r>
  <r>
    <x v="0"/>
    <x v="0"/>
    <x v="0"/>
    <x v="1"/>
    <x v="2"/>
    <s v="EE_Narva"/>
    <x v="9"/>
    <s v="NARVA-11_ST_SHALE_EXT"/>
    <x v="0"/>
    <x v="11"/>
    <n v="39.412864356262801"/>
    <n v="14385.6954900359"/>
    <n v="51788.503764129302"/>
  </r>
  <r>
    <x v="0"/>
    <x v="0"/>
    <x v="0"/>
    <x v="1"/>
    <x v="2"/>
    <s v="EE_Narva"/>
    <x v="9"/>
    <s v="NARVA-11_ST_SHALE_EXT"/>
    <x v="0"/>
    <x v="12"/>
    <n v="63.815807170673303"/>
    <n v="23292.769617295799"/>
    <n v="83853.970622264693"/>
  </r>
  <r>
    <x v="0"/>
    <x v="0"/>
    <x v="0"/>
    <x v="1"/>
    <x v="2"/>
    <s v="EE_Narva"/>
    <x v="9"/>
    <s v="NARVA-11_ST_SHALE_EXT"/>
    <x v="0"/>
    <x v="13"/>
    <n v="65.189491789955795"/>
    <n v="23794.164503333901"/>
    <n v="85658.992212002006"/>
  </r>
  <r>
    <x v="0"/>
    <x v="0"/>
    <x v="0"/>
    <x v="1"/>
    <x v="2"/>
    <s v="EE_Narva"/>
    <x v="9"/>
    <s v="NARVA-11_ST_SHALE_EXT"/>
    <x v="0"/>
    <x v="0"/>
    <n v="90.966119223648903"/>
    <n v="33202.633516631802"/>
    <n v="119529.480659875"/>
  </r>
  <r>
    <x v="0"/>
    <x v="0"/>
    <x v="0"/>
    <x v="1"/>
    <x v="2"/>
    <s v="EE_Narva"/>
    <x v="9"/>
    <s v="NARVA-11_ST_SHALE_EXT"/>
    <x v="0"/>
    <x v="14"/>
    <n v="66.116292516198001"/>
    <n v="24132.446768412301"/>
    <n v="86876.808366284196"/>
  </r>
  <r>
    <x v="0"/>
    <x v="0"/>
    <x v="0"/>
    <x v="1"/>
    <x v="2"/>
    <s v="EE_Narva"/>
    <x v="9"/>
    <s v="NARVA-11_ST_SHALE_EXT"/>
    <x v="0"/>
    <x v="1"/>
    <n v="58.141471142425999"/>
    <n v="21221.636966985501"/>
    <n v="76397.893081147806"/>
  </r>
  <r>
    <x v="0"/>
    <x v="0"/>
    <x v="0"/>
    <x v="1"/>
    <x v="2"/>
    <s v="EE_Narva"/>
    <x v="9"/>
    <s v="NARVA-11_ST_SHALE_EXT"/>
    <x v="0"/>
    <x v="23"/>
    <n v="31.646607211610998"/>
    <n v="11551.011632238"/>
    <n v="41583.641876056798"/>
  </r>
  <r>
    <x v="0"/>
    <x v="0"/>
    <x v="0"/>
    <x v="1"/>
    <x v="2"/>
    <s v="EE_Narva"/>
    <x v="9"/>
    <s v="NARVA-11_ST_SHALE_EXT"/>
    <x v="0"/>
    <x v="2"/>
    <n v="57.135595491798398"/>
    <n v="20854.492354506401"/>
    <n v="75076.172476223102"/>
  </r>
  <r>
    <x v="0"/>
    <x v="0"/>
    <x v="0"/>
    <x v="1"/>
    <x v="2"/>
    <s v="EE_Narva"/>
    <x v="9"/>
    <s v="NARVA-11_ST_SHALE_EXT"/>
    <x v="0"/>
    <x v="3"/>
    <n v="55.749697752180403"/>
    <n v="20348.6396795459"/>
    <n v="73255.102846365102"/>
  </r>
  <r>
    <x v="0"/>
    <x v="0"/>
    <x v="0"/>
    <x v="1"/>
    <x v="2"/>
    <s v="EE_Narva"/>
    <x v="9"/>
    <s v="NARVA-11_ST_SHALE_EXT"/>
    <x v="0"/>
    <x v="4"/>
    <n v="54.599141138157897"/>
    <n v="19928.686515427598"/>
    <n v="71743.271455539507"/>
  </r>
  <r>
    <x v="0"/>
    <x v="0"/>
    <x v="0"/>
    <x v="1"/>
    <x v="2"/>
    <s v="EE_Narva"/>
    <x v="9"/>
    <s v="NARVA-11_ST_SHALE_EXT"/>
    <x v="0"/>
    <x v="5"/>
    <n v="53.605478607865798"/>
    <n v="19565.999691870999"/>
    <n v="70437.598890735695"/>
  </r>
  <r>
    <x v="0"/>
    <x v="0"/>
    <x v="0"/>
    <x v="1"/>
    <x v="2"/>
    <s v="EE_Narva"/>
    <x v="9"/>
    <s v="NARVA-11_ST_SHALE_EXT"/>
    <x v="0"/>
    <x v="15"/>
    <n v="79.826639278794801"/>
    <n v="29136.7233367601"/>
    <n v="104892.20401233601"/>
  </r>
  <r>
    <x v="0"/>
    <x v="0"/>
    <x v="0"/>
    <x v="1"/>
    <x v="2"/>
    <s v="EE_Narva"/>
    <x v="9"/>
    <s v="NARVA-11_ST_SHALE_EXT"/>
    <x v="0"/>
    <x v="6"/>
    <n v="56.0750711574563"/>
    <n v="20467.4009724715"/>
    <n v="73682.643500897597"/>
  </r>
  <r>
    <x v="0"/>
    <x v="0"/>
    <x v="0"/>
    <x v="1"/>
    <x v="2"/>
    <s v="EE_Narva"/>
    <x v="9"/>
    <s v="NARVA-11_ST_SHALE_EXT"/>
    <x v="0"/>
    <x v="7"/>
    <n v="51.931941714742102"/>
    <n v="18955.158725880901"/>
    <n v="68238.571413171201"/>
  </r>
  <r>
    <x v="0"/>
    <x v="0"/>
    <x v="0"/>
    <x v="1"/>
    <x v="2"/>
    <s v="EE_Narva"/>
    <x v="9"/>
    <s v="NARVA-11_ST_SHALE_EXT"/>
    <x v="0"/>
    <x v="8"/>
    <n v="49.381551467482097"/>
    <n v="18024.266285631002"/>
    <n v="64887.358628271497"/>
  </r>
  <r>
    <x v="0"/>
    <x v="0"/>
    <x v="0"/>
    <x v="1"/>
    <x v="2"/>
    <s v="EE_Narva"/>
    <x v="9"/>
    <s v="NARVA-11_ST_SHALE_EXT"/>
    <x v="0"/>
    <x v="16"/>
    <n v="24.298734290240098"/>
    <n v="8869.0380159376491"/>
    <n v="31928.536857375599"/>
  </r>
  <r>
    <x v="0"/>
    <x v="0"/>
    <x v="0"/>
    <x v="1"/>
    <x v="2"/>
    <s v="EE_Narva"/>
    <x v="9"/>
    <s v="NARVA-11_ST_SHALE_EXT"/>
    <x v="0"/>
    <x v="17"/>
    <n v="51.0167262263152"/>
    <n v="18621.105072605002"/>
    <n v="67035.978261378201"/>
  </r>
  <r>
    <x v="0"/>
    <x v="0"/>
    <x v="0"/>
    <x v="1"/>
    <x v="2"/>
    <s v="EE_Narva"/>
    <x v="9"/>
    <s v="NARVA-11_ST_SHALE_EXT"/>
    <x v="0"/>
    <x v="18"/>
    <n v="50.650640030944402"/>
    <n v="18487.483611294701"/>
    <n v="66554.941000660896"/>
  </r>
  <r>
    <x v="0"/>
    <x v="0"/>
    <x v="0"/>
    <x v="1"/>
    <x v="2"/>
    <s v="EE_Narva"/>
    <x v="9"/>
    <s v="NARVA-11_ST_SHALE_EXT"/>
    <x v="0"/>
    <x v="19"/>
    <n v="77.368631967019496"/>
    <n v="28239.550667962099"/>
    <n v="101662.38240466399"/>
  </r>
  <r>
    <x v="0"/>
    <x v="0"/>
    <x v="0"/>
    <x v="1"/>
    <x v="2"/>
    <s v="EE_Narva"/>
    <x v="9"/>
    <s v="NARVA-11_ST_SHALE_EXT"/>
    <x v="0"/>
    <x v="20"/>
    <n v="53.800106943366401"/>
    <n v="19637.0390343287"/>
    <n v="70693.340523583494"/>
  </r>
  <r>
    <x v="0"/>
    <x v="0"/>
    <x v="0"/>
    <x v="1"/>
    <x v="2"/>
    <s v="EE_Narva"/>
    <x v="9"/>
    <s v="NARVA-11_ST_SHALE_EXT"/>
    <x v="0"/>
    <x v="21"/>
    <n v="49.787722570427498"/>
    <n v="18172.518738206101"/>
    <n v="65421.067457541802"/>
  </r>
  <r>
    <x v="0"/>
    <x v="0"/>
    <x v="0"/>
    <x v="1"/>
    <x v="2"/>
    <s v="EE_Narva"/>
    <x v="9"/>
    <s v="NARVA-11_ST_SHALE_EXT"/>
    <x v="0"/>
    <x v="22"/>
    <n v="22.677495425026599"/>
    <n v="8277.2858301347296"/>
    <n v="29798.228988485"/>
  </r>
  <r>
    <x v="0"/>
    <x v="0"/>
    <x v="0"/>
    <x v="1"/>
    <x v="2"/>
    <s v="EE_Parnu"/>
    <x v="10"/>
    <s v="PARNU-1_ST_WOOD_BP"/>
    <x v="0"/>
    <x v="9"/>
    <n v="26.267553562791001"/>
    <n v="9587.6570504187293"/>
    <n v="34515.565381507397"/>
  </r>
  <r>
    <x v="0"/>
    <x v="0"/>
    <x v="0"/>
    <x v="1"/>
    <x v="2"/>
    <s v="EE_Parnu"/>
    <x v="10"/>
    <s v="PARNU-1_ST_WOOD_BP"/>
    <x v="0"/>
    <x v="10"/>
    <n v="26.434331680650001"/>
    <n v="9648.5310634372709"/>
    <n v="34734.711828374202"/>
  </r>
  <r>
    <x v="0"/>
    <x v="0"/>
    <x v="0"/>
    <x v="1"/>
    <x v="2"/>
    <s v="EE_Parnu"/>
    <x v="10"/>
    <s v="PARNU-1_ST_WOOD_BP"/>
    <x v="0"/>
    <x v="11"/>
    <n v="26.486449842481001"/>
    <n v="9667.5541925055495"/>
    <n v="34803.195093019996"/>
  </r>
  <r>
    <x v="0"/>
    <x v="0"/>
    <x v="0"/>
    <x v="1"/>
    <x v="2"/>
    <s v="EE_Parnu"/>
    <x v="10"/>
    <s v="PARNU-1_ST_WOOD_BP"/>
    <x v="0"/>
    <x v="12"/>
    <n v="26.330095356988199"/>
    <n v="9610.4848053006808"/>
    <n v="34597.745299082497"/>
  </r>
  <r>
    <x v="0"/>
    <x v="0"/>
    <x v="0"/>
    <x v="1"/>
    <x v="2"/>
    <s v="EE_Parnu"/>
    <x v="10"/>
    <s v="PARNU-1_ST_WOOD_BP"/>
    <x v="0"/>
    <x v="13"/>
    <n v="25.986115488904002"/>
    <n v="9484.9321534499595"/>
    <n v="34145.7557524199"/>
  </r>
  <r>
    <x v="0"/>
    <x v="0"/>
    <x v="0"/>
    <x v="1"/>
    <x v="2"/>
    <s v="EE_Parnu"/>
    <x v="10"/>
    <s v="PARNU-1_ST_WOOD_BP"/>
    <x v="0"/>
    <x v="0"/>
    <n v="25.485781135326999"/>
    <n v="9302.3101143943495"/>
    <n v="33488.316411819702"/>
  </r>
  <r>
    <x v="0"/>
    <x v="0"/>
    <x v="0"/>
    <x v="1"/>
    <x v="2"/>
    <s v="EE_Parnu"/>
    <x v="10"/>
    <s v="PARNU-1_ST_WOOD_BP"/>
    <x v="0"/>
    <x v="14"/>
    <n v="24.849939560989601"/>
    <n v="9070.2279397612001"/>
    <n v="32652.820583140299"/>
  </r>
  <r>
    <x v="0"/>
    <x v="0"/>
    <x v="0"/>
    <x v="1"/>
    <x v="2"/>
    <s v="EE_Parnu"/>
    <x v="10"/>
    <s v="PARNU-1_ST_WOOD_BP"/>
    <x v="0"/>
    <x v="1"/>
    <n v="24.068167133525598"/>
    <n v="8784.8810037368494"/>
    <n v="31625.571613452699"/>
  </r>
  <r>
    <x v="0"/>
    <x v="0"/>
    <x v="0"/>
    <x v="1"/>
    <x v="2"/>
    <s v="EE_Parnu"/>
    <x v="10"/>
    <s v="PARNU-1_ST_WOOD_BP"/>
    <x v="0"/>
    <x v="23"/>
    <n v="23.390631029723401"/>
    <n v="8537.5803258490505"/>
    <n v="30735.289173056601"/>
  </r>
  <r>
    <x v="0"/>
    <x v="0"/>
    <x v="0"/>
    <x v="1"/>
    <x v="2"/>
    <s v="EE_Parnu"/>
    <x v="10"/>
    <s v="PARNU-1_ST_WOOD_BP"/>
    <x v="0"/>
    <x v="2"/>
    <n v="22.775636720118399"/>
    <n v="8313.1074028432304"/>
    <n v="29927.186650235599"/>
  </r>
  <r>
    <x v="0"/>
    <x v="0"/>
    <x v="0"/>
    <x v="1"/>
    <x v="2"/>
    <s v="EE_Parnu"/>
    <x v="10"/>
    <s v="PARNU-1_ST_WOOD_BP"/>
    <x v="0"/>
    <x v="3"/>
    <n v="22.223184204710499"/>
    <n v="8111.4622347193399"/>
    <n v="29201.264044989599"/>
  </r>
  <r>
    <x v="0"/>
    <x v="0"/>
    <x v="0"/>
    <x v="1"/>
    <x v="2"/>
    <s v="EE_Parnu"/>
    <x v="10"/>
    <s v="PARNU-1_ST_WOOD_BP"/>
    <x v="0"/>
    <x v="4"/>
    <n v="21.764544380598299"/>
    <n v="7944.0586989183803"/>
    <n v="28598.611316106199"/>
  </r>
  <r>
    <x v="0"/>
    <x v="0"/>
    <x v="0"/>
    <x v="1"/>
    <x v="2"/>
    <s v="EE_Parnu"/>
    <x v="10"/>
    <s v="PARNU-1_ST_WOOD_BP"/>
    <x v="0"/>
    <x v="5"/>
    <n v="21.3684463506832"/>
    <n v="7799.4829179993503"/>
    <n v="28078.138504797698"/>
  </r>
  <r>
    <x v="0"/>
    <x v="0"/>
    <x v="0"/>
    <x v="1"/>
    <x v="2"/>
    <s v="EE_Parnu"/>
    <x v="10"/>
    <s v="PARNU-1_ST_WOOD_BP"/>
    <x v="0"/>
    <x v="15"/>
    <n v="21.045313747331399"/>
    <n v="7681.5395177759601"/>
    <n v="27653.542263993499"/>
  </r>
  <r>
    <x v="0"/>
    <x v="0"/>
    <x v="0"/>
    <x v="1"/>
    <x v="2"/>
    <s v="EE_Parnu"/>
    <x v="10"/>
    <s v="PARNU-1_ST_WOOD_BP"/>
    <x v="0"/>
    <x v="6"/>
    <n v="20.847264732373802"/>
    <n v="7609.2516273164401"/>
    <n v="27393.305858339201"/>
  </r>
  <r>
    <x v="0"/>
    <x v="0"/>
    <x v="0"/>
    <x v="1"/>
    <x v="2"/>
    <s v="EE_Parnu"/>
    <x v="10"/>
    <s v="PARNU-1_ST_WOOD_BP"/>
    <x v="0"/>
    <x v="7"/>
    <n v="20.701333879247201"/>
    <n v="7555.9868659252297"/>
    <n v="27201.5527173308"/>
  </r>
  <r>
    <x v="0"/>
    <x v="0"/>
    <x v="0"/>
    <x v="1"/>
    <x v="2"/>
    <s v="EE_Parnu"/>
    <x v="10"/>
    <s v="PARNU-1_ST_WOOD_BP"/>
    <x v="0"/>
    <x v="8"/>
    <n v="20.576250290853"/>
    <n v="7510.3313561613504"/>
    <n v="27037.192882180902"/>
  </r>
  <r>
    <x v="0"/>
    <x v="0"/>
    <x v="0"/>
    <x v="1"/>
    <x v="2"/>
    <s v="EE_Parnu"/>
    <x v="10"/>
    <s v="PARNU-1_ST_WOOD_BP"/>
    <x v="0"/>
    <x v="16"/>
    <n v="20.461590334824901"/>
    <n v="7468.4804722110903"/>
    <n v="26886.529699959901"/>
  </r>
  <r>
    <x v="0"/>
    <x v="0"/>
    <x v="0"/>
    <x v="1"/>
    <x v="2"/>
    <s v="EE_Parnu"/>
    <x v="10"/>
    <s v="PARNU-1_ST_WOOD_BP"/>
    <x v="0"/>
    <x v="17"/>
    <n v="20.3365067464307"/>
    <n v="7422.8249624472101"/>
    <n v="26722.169864809901"/>
  </r>
  <r>
    <x v="0"/>
    <x v="0"/>
    <x v="0"/>
    <x v="1"/>
    <x v="2"/>
    <s v="EE_Parnu"/>
    <x v="10"/>
    <s v="PARNU-1_ST_WOOD_BP"/>
    <x v="0"/>
    <x v="18"/>
    <n v="20.1905758933041"/>
    <n v="7369.5602010559996"/>
    <n v="26530.416723801602"/>
  </r>
  <r>
    <x v="0"/>
    <x v="0"/>
    <x v="0"/>
    <x v="1"/>
    <x v="2"/>
    <s v="EE_Parnu"/>
    <x v="10"/>
    <s v="PARNU-1_ST_WOOD_BP"/>
    <x v="0"/>
    <x v="19"/>
    <n v="20.0654923049098"/>
    <n v="7323.9046912920903"/>
    <n v="26366.056888651499"/>
  </r>
  <r>
    <x v="0"/>
    <x v="0"/>
    <x v="0"/>
    <x v="1"/>
    <x v="2"/>
    <s v="EE_Parnu"/>
    <x v="10"/>
    <s v="PARNU-1_ST_WOOD_BP"/>
    <x v="0"/>
    <x v="20"/>
    <n v="19.940408716515599"/>
    <n v="7278.2491815281801"/>
    <n v="26201.697053501401"/>
  </r>
  <r>
    <x v="0"/>
    <x v="0"/>
    <x v="0"/>
    <x v="1"/>
    <x v="2"/>
    <s v="EE_Parnu"/>
    <x v="10"/>
    <s v="PARNU-1_ST_WOOD_BP"/>
    <x v="0"/>
    <x v="21"/>
    <n v="19.846596025219899"/>
    <n v="7244.0075492052702"/>
    <n v="26078.427177139001"/>
  </r>
  <r>
    <x v="0"/>
    <x v="0"/>
    <x v="0"/>
    <x v="1"/>
    <x v="2"/>
    <s v="EE_Parnu"/>
    <x v="10"/>
    <s v="PARNU-1_ST_WOOD_BP"/>
    <x v="0"/>
    <x v="22"/>
    <n v="19.815325128121401"/>
    <n v="7232.5936717642899"/>
    <n v="26037.337218351498"/>
  </r>
  <r>
    <x v="0"/>
    <x v="0"/>
    <x v="0"/>
    <x v="1"/>
    <x v="2"/>
    <s v="EE_Rural"/>
    <x v="8"/>
    <s v="EBAVERE_ST_WOODWST_BP"/>
    <x v="0"/>
    <x v="9"/>
    <n v="26.315789473684202"/>
    <n v="9605.2631578947403"/>
    <n v="34578.947368421097"/>
  </r>
  <r>
    <x v="0"/>
    <x v="0"/>
    <x v="0"/>
    <x v="1"/>
    <x v="2"/>
    <s v="EE_Rural"/>
    <x v="8"/>
    <s v="EBAVERE_ST_WOODWST_BP"/>
    <x v="0"/>
    <x v="10"/>
    <n v="26.315789473684202"/>
    <n v="9605.2631578947403"/>
    <n v="34578.947368421097"/>
  </r>
  <r>
    <x v="0"/>
    <x v="0"/>
    <x v="0"/>
    <x v="1"/>
    <x v="2"/>
    <s v="EE_Rural"/>
    <x v="8"/>
    <s v="EBAVERE_ST_WOODWST_BP"/>
    <x v="0"/>
    <x v="11"/>
    <n v="26.315789473684202"/>
    <n v="9605.2631578947403"/>
    <n v="34578.947368421097"/>
  </r>
  <r>
    <x v="0"/>
    <x v="0"/>
    <x v="0"/>
    <x v="1"/>
    <x v="2"/>
    <s v="EE_Rural"/>
    <x v="8"/>
    <s v="EBAVERE_ST_WOODWST_BP"/>
    <x v="0"/>
    <x v="12"/>
    <n v="26.315789473684202"/>
    <n v="9605.2631578947403"/>
    <n v="34578.947368421097"/>
  </r>
  <r>
    <x v="0"/>
    <x v="0"/>
    <x v="0"/>
    <x v="1"/>
    <x v="2"/>
    <s v="EE_Rural"/>
    <x v="8"/>
    <s v="EBAVERE_ST_WOODWST_BP"/>
    <x v="0"/>
    <x v="13"/>
    <n v="26.315789473684202"/>
    <n v="9605.2631578947403"/>
    <n v="34578.947368421097"/>
  </r>
  <r>
    <x v="0"/>
    <x v="0"/>
    <x v="0"/>
    <x v="1"/>
    <x v="2"/>
    <s v="EE_Rural"/>
    <x v="8"/>
    <s v="EBAVERE_ST_WOODWST_BP"/>
    <x v="0"/>
    <x v="0"/>
    <n v="26.315789473684202"/>
    <n v="9605.2631578947403"/>
    <n v="34578.947368421097"/>
  </r>
  <r>
    <x v="0"/>
    <x v="0"/>
    <x v="0"/>
    <x v="1"/>
    <x v="2"/>
    <s v="EE_Rural"/>
    <x v="8"/>
    <s v="EBAVERE_ST_WOODWST_BP"/>
    <x v="0"/>
    <x v="14"/>
    <n v="26.315789473684202"/>
    <n v="9605.2631578947403"/>
    <n v="34578.947368421097"/>
  </r>
  <r>
    <x v="0"/>
    <x v="0"/>
    <x v="0"/>
    <x v="1"/>
    <x v="2"/>
    <s v="EE_Rural"/>
    <x v="8"/>
    <s v="EBAVERE_ST_WOODWST_BP"/>
    <x v="0"/>
    <x v="1"/>
    <n v="26.315789473684202"/>
    <n v="9605.2631578947403"/>
    <n v="34578.947368421097"/>
  </r>
  <r>
    <x v="0"/>
    <x v="0"/>
    <x v="0"/>
    <x v="1"/>
    <x v="2"/>
    <s v="EE_Rural"/>
    <x v="8"/>
    <s v="EBAVERE_ST_WOODWST_BP"/>
    <x v="0"/>
    <x v="23"/>
    <n v="26.315789473684202"/>
    <n v="9605.2631578947403"/>
    <n v="34578.947368421097"/>
  </r>
  <r>
    <x v="0"/>
    <x v="0"/>
    <x v="0"/>
    <x v="1"/>
    <x v="2"/>
    <s v="EE_Rural"/>
    <x v="8"/>
    <s v="EBAVERE_ST_WOODWST_BP"/>
    <x v="0"/>
    <x v="2"/>
    <n v="26.315789473684202"/>
    <n v="9605.2631578947403"/>
    <n v="34578.947368421097"/>
  </r>
  <r>
    <x v="0"/>
    <x v="0"/>
    <x v="0"/>
    <x v="1"/>
    <x v="2"/>
    <s v="EE_Rural"/>
    <x v="8"/>
    <s v="EBAVERE_ST_WOODWST_BP"/>
    <x v="0"/>
    <x v="3"/>
    <n v="26.315789473684202"/>
    <n v="9605.2631578947403"/>
    <n v="34578.947368421097"/>
  </r>
  <r>
    <x v="0"/>
    <x v="0"/>
    <x v="0"/>
    <x v="1"/>
    <x v="2"/>
    <s v="EE_Rural"/>
    <x v="8"/>
    <s v="EBAVERE_ST_WOODWST_BP"/>
    <x v="0"/>
    <x v="4"/>
    <n v="26.315789473684202"/>
    <n v="9605.2631578947403"/>
    <n v="34578.947368421097"/>
  </r>
  <r>
    <x v="0"/>
    <x v="0"/>
    <x v="0"/>
    <x v="1"/>
    <x v="2"/>
    <s v="EE_Rural"/>
    <x v="8"/>
    <s v="EBAVERE_ST_WOODWST_BP"/>
    <x v="0"/>
    <x v="5"/>
    <n v="26.315789473684202"/>
    <n v="9605.2631578947403"/>
    <n v="34578.947368421097"/>
  </r>
  <r>
    <x v="0"/>
    <x v="0"/>
    <x v="0"/>
    <x v="1"/>
    <x v="2"/>
    <s v="EE_Rural"/>
    <x v="8"/>
    <s v="EBAVERE_ST_WOODWST_BP"/>
    <x v="0"/>
    <x v="15"/>
    <n v="26.315789473684202"/>
    <n v="9605.2631578947403"/>
    <n v="34578.947368421097"/>
  </r>
  <r>
    <x v="0"/>
    <x v="0"/>
    <x v="0"/>
    <x v="1"/>
    <x v="2"/>
    <s v="EE_Rural"/>
    <x v="8"/>
    <s v="EBAVERE_ST_WOODWST_BP"/>
    <x v="0"/>
    <x v="6"/>
    <n v="26.315789473684202"/>
    <n v="9605.2631578947403"/>
    <n v="34578.947368421097"/>
  </r>
  <r>
    <x v="0"/>
    <x v="0"/>
    <x v="0"/>
    <x v="1"/>
    <x v="2"/>
    <s v="EE_Rural"/>
    <x v="8"/>
    <s v="EBAVERE_ST_WOODWST_BP"/>
    <x v="0"/>
    <x v="7"/>
    <n v="26.315789473684202"/>
    <n v="9605.2631578947403"/>
    <n v="34578.947368421097"/>
  </r>
  <r>
    <x v="0"/>
    <x v="0"/>
    <x v="0"/>
    <x v="1"/>
    <x v="2"/>
    <s v="EE_Rural"/>
    <x v="8"/>
    <s v="EBAVERE_ST_WOODWST_BP"/>
    <x v="0"/>
    <x v="8"/>
    <n v="26.315789473684202"/>
    <n v="9605.2631578947403"/>
    <n v="34578.947368421097"/>
  </r>
  <r>
    <x v="0"/>
    <x v="0"/>
    <x v="0"/>
    <x v="1"/>
    <x v="2"/>
    <s v="EE_Rural"/>
    <x v="8"/>
    <s v="EBAVERE_ST_WOODWST_BP"/>
    <x v="0"/>
    <x v="16"/>
    <n v="26.315789473684202"/>
    <n v="9605.2631578947403"/>
    <n v="34578.947368421097"/>
  </r>
  <r>
    <x v="0"/>
    <x v="0"/>
    <x v="0"/>
    <x v="1"/>
    <x v="2"/>
    <s v="EE_Rural"/>
    <x v="8"/>
    <s v="EBAVERE_ST_WOODWST_BP"/>
    <x v="0"/>
    <x v="17"/>
    <n v="26.315789473684202"/>
    <n v="9605.2631578947403"/>
    <n v="34578.947368421097"/>
  </r>
  <r>
    <x v="0"/>
    <x v="0"/>
    <x v="0"/>
    <x v="1"/>
    <x v="2"/>
    <s v="EE_Rural"/>
    <x v="8"/>
    <s v="EBAVERE_ST_WOODWST_BP"/>
    <x v="0"/>
    <x v="18"/>
    <n v="26.315789473684202"/>
    <n v="9605.2631578947403"/>
    <n v="34578.947368421097"/>
  </r>
  <r>
    <x v="0"/>
    <x v="0"/>
    <x v="0"/>
    <x v="1"/>
    <x v="2"/>
    <s v="EE_Rural"/>
    <x v="8"/>
    <s v="EBAVERE_ST_WOODWST_BP"/>
    <x v="0"/>
    <x v="19"/>
    <n v="26.315789473684202"/>
    <n v="9605.2631578947403"/>
    <n v="34578.947368421097"/>
  </r>
  <r>
    <x v="0"/>
    <x v="0"/>
    <x v="0"/>
    <x v="1"/>
    <x v="2"/>
    <s v="EE_Rural"/>
    <x v="8"/>
    <s v="EBAVERE_ST_WOODWST_BP"/>
    <x v="0"/>
    <x v="20"/>
    <n v="26.315789473684202"/>
    <n v="9605.2631578947403"/>
    <n v="34578.947368421097"/>
  </r>
  <r>
    <x v="0"/>
    <x v="0"/>
    <x v="0"/>
    <x v="1"/>
    <x v="2"/>
    <s v="EE_Rural"/>
    <x v="8"/>
    <s v="EBAVERE_ST_WOODWST_BP"/>
    <x v="0"/>
    <x v="21"/>
    <n v="26.315789473684202"/>
    <n v="9605.2631578947403"/>
    <n v="34578.947368421097"/>
  </r>
  <r>
    <x v="0"/>
    <x v="0"/>
    <x v="0"/>
    <x v="1"/>
    <x v="2"/>
    <s v="EE_Rural"/>
    <x v="8"/>
    <s v="EBAVERE_ST_WOODWST_BP"/>
    <x v="0"/>
    <x v="22"/>
    <n v="26.315789473684202"/>
    <n v="9605.2631578947403"/>
    <n v="34578.947368421097"/>
  </r>
  <r>
    <x v="0"/>
    <x v="0"/>
    <x v="0"/>
    <x v="1"/>
    <x v="2"/>
    <s v="EE_Tallinn"/>
    <x v="4"/>
    <s v="IRU_ST_MSW_BP"/>
    <x v="0"/>
    <x v="9"/>
    <n v="34"/>
    <n v="12410"/>
    <n v="44676"/>
  </r>
  <r>
    <x v="0"/>
    <x v="0"/>
    <x v="0"/>
    <x v="1"/>
    <x v="2"/>
    <s v="EE_Tallinn"/>
    <x v="4"/>
    <s v="IRU_ST_MSW_BP"/>
    <x v="0"/>
    <x v="10"/>
    <n v="34"/>
    <n v="12410"/>
    <n v="44676"/>
  </r>
  <r>
    <x v="0"/>
    <x v="0"/>
    <x v="0"/>
    <x v="1"/>
    <x v="2"/>
    <s v="EE_Tallinn"/>
    <x v="4"/>
    <s v="IRU_ST_MSW_BP"/>
    <x v="0"/>
    <x v="11"/>
    <n v="34"/>
    <n v="12410"/>
    <n v="44676"/>
  </r>
  <r>
    <x v="0"/>
    <x v="0"/>
    <x v="0"/>
    <x v="1"/>
    <x v="2"/>
    <s v="EE_Tallinn"/>
    <x v="4"/>
    <s v="IRU_ST_MSW_BP"/>
    <x v="0"/>
    <x v="12"/>
    <n v="34"/>
    <n v="12410"/>
    <n v="44676"/>
  </r>
  <r>
    <x v="0"/>
    <x v="0"/>
    <x v="0"/>
    <x v="1"/>
    <x v="2"/>
    <s v="EE_Tallinn"/>
    <x v="4"/>
    <s v="IRU_ST_MSW_BP"/>
    <x v="0"/>
    <x v="13"/>
    <n v="34"/>
    <n v="12410"/>
    <n v="44676"/>
  </r>
  <r>
    <x v="0"/>
    <x v="0"/>
    <x v="0"/>
    <x v="1"/>
    <x v="2"/>
    <s v="EE_Tallinn"/>
    <x v="4"/>
    <s v="IRU_ST_MSW_BP"/>
    <x v="0"/>
    <x v="0"/>
    <n v="34"/>
    <n v="12410"/>
    <n v="44676"/>
  </r>
  <r>
    <x v="0"/>
    <x v="0"/>
    <x v="0"/>
    <x v="1"/>
    <x v="2"/>
    <s v="EE_Tallinn"/>
    <x v="4"/>
    <s v="IRU_ST_MSW_BP"/>
    <x v="0"/>
    <x v="14"/>
    <n v="34"/>
    <n v="12410"/>
    <n v="44676"/>
  </r>
  <r>
    <x v="0"/>
    <x v="0"/>
    <x v="0"/>
    <x v="1"/>
    <x v="2"/>
    <s v="EE_Tallinn"/>
    <x v="4"/>
    <s v="IRU_ST_MSW_BP"/>
    <x v="0"/>
    <x v="1"/>
    <n v="34"/>
    <n v="12410"/>
    <n v="44676"/>
  </r>
  <r>
    <x v="0"/>
    <x v="0"/>
    <x v="0"/>
    <x v="1"/>
    <x v="2"/>
    <s v="EE_Tallinn"/>
    <x v="4"/>
    <s v="IRU_ST_MSW_BP"/>
    <x v="0"/>
    <x v="23"/>
    <n v="34"/>
    <n v="12410"/>
    <n v="44676"/>
  </r>
  <r>
    <x v="0"/>
    <x v="0"/>
    <x v="0"/>
    <x v="1"/>
    <x v="2"/>
    <s v="EE_Tallinn"/>
    <x v="4"/>
    <s v="IRU_ST_MSW_BP"/>
    <x v="0"/>
    <x v="2"/>
    <n v="34"/>
    <n v="12410"/>
    <n v="44676"/>
  </r>
  <r>
    <x v="0"/>
    <x v="0"/>
    <x v="0"/>
    <x v="1"/>
    <x v="2"/>
    <s v="EE_Tallinn"/>
    <x v="4"/>
    <s v="IRU_ST_MSW_BP"/>
    <x v="0"/>
    <x v="3"/>
    <n v="34"/>
    <n v="12410"/>
    <n v="44676"/>
  </r>
  <r>
    <x v="0"/>
    <x v="0"/>
    <x v="0"/>
    <x v="1"/>
    <x v="2"/>
    <s v="EE_Tallinn"/>
    <x v="4"/>
    <s v="IRU_ST_MSW_BP"/>
    <x v="0"/>
    <x v="4"/>
    <n v="34"/>
    <n v="12410"/>
    <n v="44676"/>
  </r>
  <r>
    <x v="0"/>
    <x v="0"/>
    <x v="0"/>
    <x v="1"/>
    <x v="2"/>
    <s v="EE_Tallinn"/>
    <x v="4"/>
    <s v="IRU_ST_MSW_BP"/>
    <x v="0"/>
    <x v="5"/>
    <n v="34"/>
    <n v="12410"/>
    <n v="44676"/>
  </r>
  <r>
    <x v="0"/>
    <x v="0"/>
    <x v="0"/>
    <x v="1"/>
    <x v="2"/>
    <s v="EE_Tallinn"/>
    <x v="4"/>
    <s v="IRU_ST_MSW_BP"/>
    <x v="0"/>
    <x v="15"/>
    <n v="34"/>
    <n v="12410"/>
    <n v="44676"/>
  </r>
  <r>
    <x v="0"/>
    <x v="0"/>
    <x v="0"/>
    <x v="1"/>
    <x v="2"/>
    <s v="EE_Tallinn"/>
    <x v="4"/>
    <s v="IRU_ST_MSW_BP"/>
    <x v="0"/>
    <x v="6"/>
    <n v="34"/>
    <n v="12410"/>
    <n v="44676"/>
  </r>
  <r>
    <x v="0"/>
    <x v="0"/>
    <x v="0"/>
    <x v="1"/>
    <x v="2"/>
    <s v="EE_Tallinn"/>
    <x v="4"/>
    <s v="IRU_ST_MSW_BP"/>
    <x v="0"/>
    <x v="7"/>
    <n v="34"/>
    <n v="12410"/>
    <n v="44676"/>
  </r>
  <r>
    <x v="0"/>
    <x v="0"/>
    <x v="0"/>
    <x v="1"/>
    <x v="2"/>
    <s v="EE_Tallinn"/>
    <x v="4"/>
    <s v="IRU_ST_MSW_BP"/>
    <x v="0"/>
    <x v="8"/>
    <n v="34"/>
    <n v="12410"/>
    <n v="44676"/>
  </r>
  <r>
    <x v="0"/>
    <x v="0"/>
    <x v="0"/>
    <x v="1"/>
    <x v="2"/>
    <s v="EE_Tallinn"/>
    <x v="4"/>
    <s v="IRU_ST_MSW_BP"/>
    <x v="0"/>
    <x v="16"/>
    <n v="34"/>
    <n v="12410"/>
    <n v="44676"/>
  </r>
  <r>
    <x v="0"/>
    <x v="0"/>
    <x v="0"/>
    <x v="1"/>
    <x v="2"/>
    <s v="EE_Tallinn"/>
    <x v="4"/>
    <s v="IRU_ST_MSW_BP"/>
    <x v="0"/>
    <x v="17"/>
    <n v="34"/>
    <n v="12410"/>
    <n v="44676"/>
  </r>
  <r>
    <x v="0"/>
    <x v="0"/>
    <x v="0"/>
    <x v="1"/>
    <x v="2"/>
    <s v="EE_Tallinn"/>
    <x v="4"/>
    <s v="IRU_ST_MSW_BP"/>
    <x v="0"/>
    <x v="18"/>
    <n v="34"/>
    <n v="12410"/>
    <n v="44676"/>
  </r>
  <r>
    <x v="0"/>
    <x v="0"/>
    <x v="0"/>
    <x v="1"/>
    <x v="2"/>
    <s v="EE_Tallinn"/>
    <x v="4"/>
    <s v="IRU_ST_MSW_BP"/>
    <x v="0"/>
    <x v="19"/>
    <n v="34"/>
    <n v="12410"/>
    <n v="44676"/>
  </r>
  <r>
    <x v="0"/>
    <x v="0"/>
    <x v="0"/>
    <x v="1"/>
    <x v="2"/>
    <s v="EE_Tallinn"/>
    <x v="4"/>
    <s v="IRU_ST_MSW_BP"/>
    <x v="0"/>
    <x v="20"/>
    <n v="34"/>
    <n v="12410"/>
    <n v="44676"/>
  </r>
  <r>
    <x v="0"/>
    <x v="0"/>
    <x v="0"/>
    <x v="1"/>
    <x v="2"/>
    <s v="EE_Tallinn"/>
    <x v="4"/>
    <s v="IRU_ST_MSW_BP"/>
    <x v="0"/>
    <x v="21"/>
    <n v="34"/>
    <n v="12410"/>
    <n v="44676"/>
  </r>
  <r>
    <x v="0"/>
    <x v="0"/>
    <x v="0"/>
    <x v="1"/>
    <x v="2"/>
    <s v="EE_Tallinn"/>
    <x v="4"/>
    <s v="IRU_ST_MSW_BP"/>
    <x v="0"/>
    <x v="22"/>
    <n v="34"/>
    <n v="12410"/>
    <n v="44676"/>
  </r>
  <r>
    <x v="0"/>
    <x v="0"/>
    <x v="0"/>
    <x v="1"/>
    <x v="2"/>
    <s v="EE_Tallinn"/>
    <x v="5"/>
    <s v="GNR_BO_NGAS_HO_E-85"/>
    <x v="0"/>
    <x v="9"/>
    <n v="104.081506618868"/>
    <n v="37989.749915886699"/>
    <n v="136763.099697192"/>
  </r>
  <r>
    <x v="0"/>
    <x v="0"/>
    <x v="0"/>
    <x v="1"/>
    <x v="2"/>
    <s v="EE_Tallinn"/>
    <x v="5"/>
    <s v="GNR_BO_NGAS_HO_E-85"/>
    <x v="0"/>
    <x v="10"/>
    <n v="105.79419385185901"/>
    <n v="38614.880755928403"/>
    <n v="139013.570721342"/>
  </r>
  <r>
    <x v="0"/>
    <x v="0"/>
    <x v="0"/>
    <x v="1"/>
    <x v="2"/>
    <s v="EE_Tallinn"/>
    <x v="5"/>
    <s v="GNR_BO_NGAS_HO_E-85"/>
    <x v="0"/>
    <x v="11"/>
    <n v="106.329408612168"/>
    <n v="38810.234143441397"/>
    <n v="139716.842916389"/>
  </r>
  <r>
    <x v="0"/>
    <x v="0"/>
    <x v="0"/>
    <x v="1"/>
    <x v="2"/>
    <s v="EE_Tallinn"/>
    <x v="5"/>
    <s v="GNR_BO_NGAS_HO_E-85"/>
    <x v="0"/>
    <x v="12"/>
    <n v="104.723764331239"/>
    <n v="38224.1739809024"/>
    <n v="137607.02633124901"/>
  </r>
  <r>
    <x v="0"/>
    <x v="0"/>
    <x v="0"/>
    <x v="1"/>
    <x v="2"/>
    <s v="EE_Tallinn"/>
    <x v="5"/>
    <s v="GNR_BO_NGAS_HO_E-85"/>
    <x v="0"/>
    <x v="13"/>
    <n v="101.191346913196"/>
    <n v="36934.841623316403"/>
    <n v="132965.429843939"/>
  </r>
  <r>
    <x v="0"/>
    <x v="0"/>
    <x v="0"/>
    <x v="1"/>
    <x v="2"/>
    <s v="EE_Tallinn"/>
    <x v="5"/>
    <s v="GNR_BO_NGAS_HO_E-85"/>
    <x v="0"/>
    <x v="0"/>
    <n v="96.053285214222896"/>
    <n v="35059.449103191298"/>
    <n v="126214.016771489"/>
  </r>
  <r>
    <x v="0"/>
    <x v="0"/>
    <x v="0"/>
    <x v="1"/>
    <x v="2"/>
    <s v="EE_Tallinn"/>
    <x v="5"/>
    <s v="GNR_BO_NGAS_HO_E-85"/>
    <x v="0"/>
    <x v="14"/>
    <n v="89.523665138445807"/>
    <n v="32676.137775532701"/>
    <n v="117634.095991918"/>
  </r>
  <r>
    <x v="0"/>
    <x v="0"/>
    <x v="0"/>
    <x v="1"/>
    <x v="2"/>
    <s v="EE_Tallinn"/>
    <x v="5"/>
    <s v="GNR_BO_NGAS_HO_E-85"/>
    <x v="0"/>
    <x v="1"/>
    <n v="81.495443733800997"/>
    <n v="29745.8369628373"/>
    <n v="107085.013066214"/>
  </r>
  <r>
    <x v="0"/>
    <x v="0"/>
    <x v="0"/>
    <x v="1"/>
    <x v="2"/>
    <s v="EE_Tallinn"/>
    <x v="5"/>
    <s v="GNR_BO_NGAS_HO_E-85"/>
    <x v="0"/>
    <x v="23"/>
    <n v="74.537651849775798"/>
    <n v="27206.242925168201"/>
    <n v="97942.474530605497"/>
  </r>
  <r>
    <x v="0"/>
    <x v="0"/>
    <x v="0"/>
    <x v="1"/>
    <x v="2"/>
    <s v="EE_Tallinn"/>
    <x v="5"/>
    <s v="GNR_BO_NGAS_HO_E-85"/>
    <x v="0"/>
    <x v="2"/>
    <n v="68.222117678121805"/>
    <n v="24901.0729525145"/>
    <n v="89643.862629052106"/>
  </r>
  <r>
    <x v="0"/>
    <x v="0"/>
    <x v="0"/>
    <x v="1"/>
    <x v="2"/>
    <s v="EE_Tallinn"/>
    <x v="5"/>
    <s v="GNR_BO_NGAS_HO_E-85"/>
    <x v="0"/>
    <x v="3"/>
    <n v="62.548841218839499"/>
    <n v="22830.327044876401"/>
    <n v="82189.177361555194"/>
  </r>
  <r>
    <x v="0"/>
    <x v="0"/>
    <x v="0"/>
    <x v="1"/>
    <x v="2"/>
    <s v="EE_Tallinn"/>
    <x v="5"/>
    <s v="GNR_BO_NGAS_HO_E-85"/>
    <x v="0"/>
    <x v="4"/>
    <n v="57.838951328114902"/>
    <n v="21111.217234762"/>
    <n v="76000.382045142993"/>
  </r>
  <r>
    <x v="0"/>
    <x v="0"/>
    <x v="0"/>
    <x v="1"/>
    <x v="2"/>
    <s v="EE_Tallinn"/>
    <x v="5"/>
    <s v="GNR_BO_NGAS_HO_E-85"/>
    <x v="0"/>
    <x v="5"/>
    <n v="53.7713191497621"/>
    <n v="19626.531489663201"/>
    <n v="70655.513362787402"/>
  </r>
  <r>
    <x v="0"/>
    <x v="0"/>
    <x v="0"/>
    <x v="1"/>
    <x v="2"/>
    <s v="EE_Tallinn"/>
    <x v="5"/>
    <s v="GNR_BO_NGAS_HO_E-85"/>
    <x v="0"/>
    <x v="15"/>
    <n v="50.452987635841801"/>
    <n v="18415.3404870823"/>
    <n v="66295.225753496095"/>
  </r>
  <r>
    <x v="0"/>
    <x v="0"/>
    <x v="0"/>
    <x v="1"/>
    <x v="2"/>
    <s v="EE_Tallinn"/>
    <x v="5"/>
    <s v="GNR_BO_NGAS_HO_E-85"/>
    <x v="0"/>
    <x v="6"/>
    <n v="48.419171546665702"/>
    <n v="17672.997614533"/>
    <n v="63622.791412318802"/>
  </r>
  <r>
    <x v="0"/>
    <x v="0"/>
    <x v="0"/>
    <x v="1"/>
    <x v="2"/>
    <s v="EE_Tallinn"/>
    <x v="5"/>
    <s v="GNR_BO_NGAS_HO_E-85"/>
    <x v="0"/>
    <x v="7"/>
    <n v="46.920570217798499"/>
    <n v="17126.008129496498"/>
    <n v="61653.629266187199"/>
  </r>
  <r>
    <x v="0"/>
    <x v="0"/>
    <x v="0"/>
    <x v="1"/>
    <x v="2"/>
    <s v="EE_Tallinn"/>
    <x v="5"/>
    <s v="GNR_BO_NGAS_HO_E-85"/>
    <x v="0"/>
    <x v="8"/>
    <n v="45.636054793055003"/>
    <n v="16657.159999465101"/>
    <n v="59965.775998074198"/>
  </r>
  <r>
    <x v="0"/>
    <x v="0"/>
    <x v="0"/>
    <x v="1"/>
    <x v="2"/>
    <s v="EE_Tallinn"/>
    <x v="5"/>
    <s v="GNR_BO_NGAS_HO_E-85"/>
    <x v="0"/>
    <x v="16"/>
    <n v="44.458582320374397"/>
    <n v="16227.3825469366"/>
    <n v="58418.577168971897"/>
  </r>
  <r>
    <x v="0"/>
    <x v="0"/>
    <x v="0"/>
    <x v="1"/>
    <x v="2"/>
    <s v="EE_Tallinn"/>
    <x v="5"/>
    <s v="GNR_BO_NGAS_HO_E-85"/>
    <x v="0"/>
    <x v="17"/>
    <n v="43.174066895630801"/>
    <n v="15758.534416905301"/>
    <n v="56730.723900858902"/>
  </r>
  <r>
    <x v="0"/>
    <x v="0"/>
    <x v="0"/>
    <x v="1"/>
    <x v="2"/>
    <s v="EE_Tallinn"/>
    <x v="5"/>
    <s v="GNR_BO_NGAS_HO_E-85"/>
    <x v="0"/>
    <x v="18"/>
    <n v="41.675465566764302"/>
    <n v="15211.544931869001"/>
    <n v="54761.561754728296"/>
  </r>
  <r>
    <x v="0"/>
    <x v="0"/>
    <x v="0"/>
    <x v="1"/>
    <x v="2"/>
    <s v="EE_Tallinn"/>
    <x v="5"/>
    <s v="GNR_BO_NGAS_HO_E-85"/>
    <x v="0"/>
    <x v="19"/>
    <n v="40.390950142020799"/>
    <n v="14742.696801837599"/>
    <n v="53073.708486615302"/>
  </r>
  <r>
    <x v="0"/>
    <x v="0"/>
    <x v="0"/>
    <x v="1"/>
    <x v="2"/>
    <s v="EE_Tallinn"/>
    <x v="5"/>
    <s v="GNR_BO_NGAS_HO_E-85"/>
    <x v="0"/>
    <x v="20"/>
    <n v="39.106434717277899"/>
    <n v="14273.8486718064"/>
    <n v="51385.855218503202"/>
  </r>
  <r>
    <x v="0"/>
    <x v="0"/>
    <x v="0"/>
    <x v="1"/>
    <x v="2"/>
    <s v="EE_Tallinn"/>
    <x v="5"/>
    <s v="GNR_BO_NGAS_HO_E-85"/>
    <x v="0"/>
    <x v="21"/>
    <n v="38.143048148720297"/>
    <n v="13922.212574282899"/>
    <n v="50119.965267418498"/>
  </r>
  <r>
    <x v="0"/>
    <x v="0"/>
    <x v="0"/>
    <x v="1"/>
    <x v="2"/>
    <s v="EE_Tallinn"/>
    <x v="5"/>
    <s v="GNR_BO_NGAS_HO_E-85"/>
    <x v="0"/>
    <x v="22"/>
    <n v="37.821919292534503"/>
    <n v="13805.0005417751"/>
    <n v="49698.001950390302"/>
  </r>
  <r>
    <x v="0"/>
    <x v="0"/>
    <x v="0"/>
    <x v="1"/>
    <x v="2"/>
    <s v="EE_Tallinn"/>
    <x v="5"/>
    <s v="GNR_ENG_NGAS_EXT_E-44"/>
    <x v="0"/>
    <x v="9"/>
    <n v="1.6666666666666701"/>
    <n v="608.33333333333303"/>
    <n v="2190"/>
  </r>
  <r>
    <x v="0"/>
    <x v="0"/>
    <x v="0"/>
    <x v="1"/>
    <x v="2"/>
    <s v="EE_Tallinn"/>
    <x v="5"/>
    <s v="GNR_ENG_NGAS_EXT_E-44"/>
    <x v="0"/>
    <x v="10"/>
    <n v="1.6666666666666701"/>
    <n v="608.33333333333303"/>
    <n v="2190"/>
  </r>
  <r>
    <x v="0"/>
    <x v="0"/>
    <x v="0"/>
    <x v="1"/>
    <x v="2"/>
    <s v="EE_Tallinn"/>
    <x v="5"/>
    <s v="GNR_ENG_NGAS_EXT_E-44"/>
    <x v="0"/>
    <x v="11"/>
    <n v="1.6666666666666701"/>
    <n v="608.33333333333303"/>
    <n v="2190"/>
  </r>
  <r>
    <x v="0"/>
    <x v="0"/>
    <x v="0"/>
    <x v="1"/>
    <x v="2"/>
    <s v="EE_Tallinn"/>
    <x v="5"/>
    <s v="GNR_ENG_NGAS_EXT_E-44"/>
    <x v="0"/>
    <x v="12"/>
    <n v="1.6666666666666701"/>
    <n v="608.33333333333303"/>
    <n v="2190"/>
  </r>
  <r>
    <x v="0"/>
    <x v="0"/>
    <x v="0"/>
    <x v="1"/>
    <x v="2"/>
    <s v="EE_Tallinn"/>
    <x v="5"/>
    <s v="GNR_ENG_NGAS_EXT_E-44"/>
    <x v="0"/>
    <x v="13"/>
    <n v="1.6666666666666701"/>
    <n v="608.33333333333303"/>
    <n v="2190"/>
  </r>
  <r>
    <x v="0"/>
    <x v="0"/>
    <x v="0"/>
    <x v="1"/>
    <x v="2"/>
    <s v="EE_Tallinn"/>
    <x v="5"/>
    <s v="GNR_ENG_NGAS_EXT_E-44"/>
    <x v="0"/>
    <x v="0"/>
    <n v="1.6666666666666701"/>
    <n v="608.33333333333303"/>
    <n v="2190"/>
  </r>
  <r>
    <x v="0"/>
    <x v="0"/>
    <x v="0"/>
    <x v="1"/>
    <x v="2"/>
    <s v="EE_Tallinn"/>
    <x v="5"/>
    <s v="GNR_ENG_NGAS_EXT_E-44"/>
    <x v="0"/>
    <x v="14"/>
    <n v="1.6666666666666701"/>
    <n v="608.33333333333303"/>
    <n v="2190"/>
  </r>
  <r>
    <x v="0"/>
    <x v="0"/>
    <x v="0"/>
    <x v="1"/>
    <x v="2"/>
    <s v="EE_Tallinn"/>
    <x v="5"/>
    <s v="GNR_ENG_NGAS_EXT_E-44"/>
    <x v="0"/>
    <x v="1"/>
    <n v="1.6666666666666701"/>
    <n v="608.33333333333303"/>
    <n v="2190"/>
  </r>
  <r>
    <x v="0"/>
    <x v="0"/>
    <x v="0"/>
    <x v="1"/>
    <x v="2"/>
    <s v="EE_Tallinn"/>
    <x v="5"/>
    <s v="GNR_ENG_NGAS_EXT_E-44"/>
    <x v="0"/>
    <x v="23"/>
    <n v="1.6666666666666701"/>
    <n v="608.33333333333303"/>
    <n v="2190"/>
  </r>
  <r>
    <x v="0"/>
    <x v="0"/>
    <x v="0"/>
    <x v="1"/>
    <x v="2"/>
    <s v="EE_Tallinn"/>
    <x v="5"/>
    <s v="GNR_ENG_NGAS_EXT_E-44"/>
    <x v="0"/>
    <x v="2"/>
    <n v="1.6666666666666701"/>
    <n v="608.33333333333303"/>
    <n v="2190"/>
  </r>
  <r>
    <x v="0"/>
    <x v="0"/>
    <x v="0"/>
    <x v="1"/>
    <x v="2"/>
    <s v="EE_Tallinn"/>
    <x v="5"/>
    <s v="GNR_ENG_NGAS_EXT_E-44"/>
    <x v="0"/>
    <x v="3"/>
    <n v="1.6666666666666701"/>
    <n v="608.33333333333303"/>
    <n v="2190"/>
  </r>
  <r>
    <x v="0"/>
    <x v="0"/>
    <x v="0"/>
    <x v="1"/>
    <x v="2"/>
    <s v="EE_Tallinn"/>
    <x v="5"/>
    <s v="GNR_ENG_NGAS_EXT_E-44"/>
    <x v="0"/>
    <x v="4"/>
    <n v="1.6666666666666701"/>
    <n v="608.33333333333303"/>
    <n v="2190"/>
  </r>
  <r>
    <x v="0"/>
    <x v="0"/>
    <x v="0"/>
    <x v="1"/>
    <x v="2"/>
    <s v="EE_Tallinn"/>
    <x v="5"/>
    <s v="GNR_ENG_NGAS_EXT_E-44"/>
    <x v="0"/>
    <x v="5"/>
    <n v="1.6666666666666701"/>
    <n v="608.33333333333303"/>
    <n v="2190"/>
  </r>
  <r>
    <x v="0"/>
    <x v="0"/>
    <x v="0"/>
    <x v="1"/>
    <x v="2"/>
    <s v="EE_Tallinn"/>
    <x v="5"/>
    <s v="GNR_ENG_NGAS_EXT_E-44"/>
    <x v="0"/>
    <x v="15"/>
    <n v="1.6666666666666701"/>
    <n v="608.33333333333303"/>
    <n v="2190"/>
  </r>
  <r>
    <x v="0"/>
    <x v="0"/>
    <x v="0"/>
    <x v="1"/>
    <x v="2"/>
    <s v="EE_Tallinn"/>
    <x v="5"/>
    <s v="GNR_ENG_NGAS_EXT_E-44"/>
    <x v="0"/>
    <x v="6"/>
    <n v="1.6666666666666701"/>
    <n v="608.33333333333303"/>
    <n v="2190"/>
  </r>
  <r>
    <x v="0"/>
    <x v="0"/>
    <x v="0"/>
    <x v="1"/>
    <x v="2"/>
    <s v="EE_Tallinn"/>
    <x v="5"/>
    <s v="GNR_ENG_NGAS_EXT_E-44"/>
    <x v="0"/>
    <x v="7"/>
    <n v="1.6666666666666701"/>
    <n v="608.33333333333303"/>
    <n v="2190"/>
  </r>
  <r>
    <x v="0"/>
    <x v="0"/>
    <x v="0"/>
    <x v="1"/>
    <x v="2"/>
    <s v="EE_Tallinn"/>
    <x v="5"/>
    <s v="GNR_ENG_NGAS_EXT_E-44"/>
    <x v="0"/>
    <x v="8"/>
    <n v="1.6666666666666701"/>
    <n v="608.33333333333303"/>
    <n v="2190"/>
  </r>
  <r>
    <x v="0"/>
    <x v="0"/>
    <x v="0"/>
    <x v="1"/>
    <x v="2"/>
    <s v="EE_Tallinn"/>
    <x v="5"/>
    <s v="GNR_ENG_NGAS_EXT_E-44"/>
    <x v="0"/>
    <x v="16"/>
    <n v="1.6666666666666701"/>
    <n v="608.33333333333303"/>
    <n v="2190"/>
  </r>
  <r>
    <x v="0"/>
    <x v="0"/>
    <x v="0"/>
    <x v="1"/>
    <x v="2"/>
    <s v="EE_Tallinn"/>
    <x v="5"/>
    <s v="GNR_ENG_NGAS_EXT_E-44"/>
    <x v="0"/>
    <x v="17"/>
    <n v="1.6666666666666701"/>
    <n v="608.33333333333303"/>
    <n v="2190"/>
  </r>
  <r>
    <x v="0"/>
    <x v="0"/>
    <x v="0"/>
    <x v="1"/>
    <x v="2"/>
    <s v="EE_Tallinn"/>
    <x v="5"/>
    <s v="GNR_ENG_NGAS_EXT_E-44"/>
    <x v="0"/>
    <x v="18"/>
    <n v="1.6666666666666701"/>
    <n v="608.33333333333303"/>
    <n v="2190"/>
  </r>
  <r>
    <x v="0"/>
    <x v="0"/>
    <x v="0"/>
    <x v="1"/>
    <x v="2"/>
    <s v="EE_Tallinn"/>
    <x v="5"/>
    <s v="GNR_ENG_NGAS_EXT_E-44"/>
    <x v="0"/>
    <x v="19"/>
    <n v="1.6666666666666701"/>
    <n v="608.33333333333303"/>
    <n v="2190"/>
  </r>
  <r>
    <x v="0"/>
    <x v="0"/>
    <x v="0"/>
    <x v="1"/>
    <x v="2"/>
    <s v="EE_Tallinn"/>
    <x v="5"/>
    <s v="GNR_ENG_NGAS_EXT_E-44"/>
    <x v="0"/>
    <x v="20"/>
    <n v="1.6666666666666701"/>
    <n v="608.33333333333303"/>
    <n v="2190"/>
  </r>
  <r>
    <x v="0"/>
    <x v="0"/>
    <x v="0"/>
    <x v="1"/>
    <x v="2"/>
    <s v="EE_Tallinn"/>
    <x v="5"/>
    <s v="GNR_ENG_NGAS_EXT_E-44"/>
    <x v="0"/>
    <x v="21"/>
    <n v="1.6666666666666701"/>
    <n v="608.33333333333303"/>
    <n v="2190"/>
  </r>
  <r>
    <x v="0"/>
    <x v="0"/>
    <x v="0"/>
    <x v="1"/>
    <x v="2"/>
    <s v="EE_Tallinn"/>
    <x v="5"/>
    <s v="GNR_ENG_NGAS_EXT_E-44"/>
    <x v="0"/>
    <x v="22"/>
    <n v="1.6666666666666701"/>
    <n v="608.33333333333303"/>
    <n v="2190"/>
  </r>
  <r>
    <x v="0"/>
    <x v="0"/>
    <x v="0"/>
    <x v="1"/>
    <x v="2"/>
    <s v="EE_Tallinn"/>
    <x v="10"/>
    <s v="MUSTAMAE_ST_WOOD_BP"/>
    <x v="0"/>
    <x v="9"/>
    <n v="33.000033000033"/>
    <n v="12045.012045011999"/>
    <n v="43362.043362043398"/>
  </r>
  <r>
    <x v="0"/>
    <x v="0"/>
    <x v="0"/>
    <x v="1"/>
    <x v="2"/>
    <s v="EE_Tallinn"/>
    <x v="10"/>
    <s v="MUSTAMAE_ST_WOOD_BP"/>
    <x v="0"/>
    <x v="10"/>
    <n v="33.000033000033"/>
    <n v="12045.012045011999"/>
    <n v="43362.043362043398"/>
  </r>
  <r>
    <x v="0"/>
    <x v="0"/>
    <x v="0"/>
    <x v="1"/>
    <x v="2"/>
    <s v="EE_Tallinn"/>
    <x v="10"/>
    <s v="MUSTAMAE_ST_WOOD_BP"/>
    <x v="0"/>
    <x v="11"/>
    <n v="33.000033000033"/>
    <n v="12045.012045011999"/>
    <n v="43362.043362043398"/>
  </r>
  <r>
    <x v="0"/>
    <x v="0"/>
    <x v="0"/>
    <x v="1"/>
    <x v="2"/>
    <s v="EE_Tallinn"/>
    <x v="10"/>
    <s v="MUSTAMAE_ST_WOOD_BP"/>
    <x v="0"/>
    <x v="12"/>
    <n v="33.000033000033"/>
    <n v="12045.012045011999"/>
    <n v="43362.043362043398"/>
  </r>
  <r>
    <x v="0"/>
    <x v="0"/>
    <x v="0"/>
    <x v="1"/>
    <x v="2"/>
    <s v="EE_Tallinn"/>
    <x v="10"/>
    <s v="MUSTAMAE_ST_WOOD_BP"/>
    <x v="0"/>
    <x v="13"/>
    <n v="33.000033000033"/>
    <n v="12045.012045011999"/>
    <n v="43362.043362043398"/>
  </r>
  <r>
    <x v="0"/>
    <x v="0"/>
    <x v="0"/>
    <x v="1"/>
    <x v="2"/>
    <s v="EE_Tallinn"/>
    <x v="10"/>
    <s v="MUSTAMAE_ST_WOOD_BP"/>
    <x v="0"/>
    <x v="0"/>
    <n v="33.000033000033"/>
    <n v="12045.012045011999"/>
    <n v="43362.043362043398"/>
  </r>
  <r>
    <x v="0"/>
    <x v="0"/>
    <x v="0"/>
    <x v="1"/>
    <x v="2"/>
    <s v="EE_Tallinn"/>
    <x v="10"/>
    <s v="MUSTAMAE_ST_WOOD_BP"/>
    <x v="0"/>
    <x v="14"/>
    <n v="33.000033000033"/>
    <n v="12045.012045011999"/>
    <n v="43362.043362043398"/>
  </r>
  <r>
    <x v="0"/>
    <x v="0"/>
    <x v="0"/>
    <x v="1"/>
    <x v="2"/>
    <s v="EE_Tallinn"/>
    <x v="10"/>
    <s v="MUSTAMAE_ST_WOOD_BP"/>
    <x v="0"/>
    <x v="1"/>
    <n v="33.000033000033"/>
    <n v="12045.012045011999"/>
    <n v="43362.043362043398"/>
  </r>
  <r>
    <x v="0"/>
    <x v="0"/>
    <x v="0"/>
    <x v="1"/>
    <x v="2"/>
    <s v="EE_Tallinn"/>
    <x v="10"/>
    <s v="MUSTAMAE_ST_WOOD_BP"/>
    <x v="0"/>
    <x v="23"/>
    <n v="33.000033000033"/>
    <n v="12045.012045011999"/>
    <n v="43362.043362043398"/>
  </r>
  <r>
    <x v="0"/>
    <x v="0"/>
    <x v="0"/>
    <x v="1"/>
    <x v="2"/>
    <s v="EE_Tallinn"/>
    <x v="10"/>
    <s v="MUSTAMAE_ST_WOOD_BP"/>
    <x v="0"/>
    <x v="2"/>
    <n v="33.000033000033"/>
    <n v="12045.012045011999"/>
    <n v="43362.043362043398"/>
  </r>
  <r>
    <x v="0"/>
    <x v="0"/>
    <x v="0"/>
    <x v="1"/>
    <x v="2"/>
    <s v="EE_Tallinn"/>
    <x v="10"/>
    <s v="MUSTAMAE_ST_WOOD_BP"/>
    <x v="0"/>
    <x v="3"/>
    <n v="33.000033000033"/>
    <n v="12045.012045011999"/>
    <n v="43362.043362043398"/>
  </r>
  <r>
    <x v="0"/>
    <x v="0"/>
    <x v="0"/>
    <x v="1"/>
    <x v="2"/>
    <s v="EE_Tallinn"/>
    <x v="10"/>
    <s v="MUSTAMAE_ST_WOOD_BP"/>
    <x v="0"/>
    <x v="4"/>
    <n v="33.000033000033"/>
    <n v="12045.012045011999"/>
    <n v="43362.043362043398"/>
  </r>
  <r>
    <x v="0"/>
    <x v="0"/>
    <x v="0"/>
    <x v="1"/>
    <x v="2"/>
    <s v="EE_Tallinn"/>
    <x v="10"/>
    <s v="MUSTAMAE_ST_WOOD_BP"/>
    <x v="0"/>
    <x v="5"/>
    <n v="33.000033000033"/>
    <n v="12045.012045011999"/>
    <n v="43362.043362043398"/>
  </r>
  <r>
    <x v="0"/>
    <x v="0"/>
    <x v="0"/>
    <x v="1"/>
    <x v="2"/>
    <s v="EE_Tallinn"/>
    <x v="10"/>
    <s v="MUSTAMAE_ST_WOOD_BP"/>
    <x v="0"/>
    <x v="15"/>
    <n v="33.000033000033"/>
    <n v="12045.012045011999"/>
    <n v="43362.043362043398"/>
  </r>
  <r>
    <x v="0"/>
    <x v="0"/>
    <x v="0"/>
    <x v="1"/>
    <x v="2"/>
    <s v="EE_Tallinn"/>
    <x v="10"/>
    <s v="MUSTAMAE_ST_WOOD_BP"/>
    <x v="0"/>
    <x v="6"/>
    <n v="33.000033000033"/>
    <n v="12045.012045011999"/>
    <n v="43362.043362043398"/>
  </r>
  <r>
    <x v="0"/>
    <x v="0"/>
    <x v="0"/>
    <x v="1"/>
    <x v="2"/>
    <s v="EE_Tallinn"/>
    <x v="10"/>
    <s v="MUSTAMAE_ST_WOOD_BP"/>
    <x v="0"/>
    <x v="7"/>
    <n v="33.000033000033"/>
    <n v="12045.012045011999"/>
    <n v="43362.043362043398"/>
  </r>
  <r>
    <x v="0"/>
    <x v="0"/>
    <x v="0"/>
    <x v="1"/>
    <x v="2"/>
    <s v="EE_Tallinn"/>
    <x v="10"/>
    <s v="MUSTAMAE_ST_WOOD_BP"/>
    <x v="0"/>
    <x v="8"/>
    <n v="33.000033000033"/>
    <n v="12045.012045011999"/>
    <n v="43362.043362043398"/>
  </r>
  <r>
    <x v="0"/>
    <x v="0"/>
    <x v="0"/>
    <x v="1"/>
    <x v="2"/>
    <s v="EE_Tallinn"/>
    <x v="10"/>
    <s v="MUSTAMAE_ST_WOOD_BP"/>
    <x v="0"/>
    <x v="16"/>
    <n v="33.000033000033"/>
    <n v="12045.012045011999"/>
    <n v="43362.043362043398"/>
  </r>
  <r>
    <x v="0"/>
    <x v="0"/>
    <x v="0"/>
    <x v="1"/>
    <x v="2"/>
    <s v="EE_Tallinn"/>
    <x v="10"/>
    <s v="MUSTAMAE_ST_WOOD_BP"/>
    <x v="0"/>
    <x v="17"/>
    <n v="33.000033000033"/>
    <n v="12045.012045011999"/>
    <n v="43362.043362043398"/>
  </r>
  <r>
    <x v="0"/>
    <x v="0"/>
    <x v="0"/>
    <x v="1"/>
    <x v="2"/>
    <s v="EE_Tallinn"/>
    <x v="10"/>
    <s v="MUSTAMAE_ST_WOOD_BP"/>
    <x v="0"/>
    <x v="18"/>
    <n v="33.000033000033"/>
    <n v="12045.012045011999"/>
    <n v="43362.043362043398"/>
  </r>
  <r>
    <x v="0"/>
    <x v="0"/>
    <x v="0"/>
    <x v="1"/>
    <x v="2"/>
    <s v="EE_Tallinn"/>
    <x v="10"/>
    <s v="MUSTAMAE_ST_WOOD_BP"/>
    <x v="0"/>
    <x v="19"/>
    <n v="33.000033000033"/>
    <n v="12045.012045011999"/>
    <n v="43362.043362043398"/>
  </r>
  <r>
    <x v="0"/>
    <x v="0"/>
    <x v="0"/>
    <x v="1"/>
    <x v="2"/>
    <s v="EE_Tallinn"/>
    <x v="10"/>
    <s v="MUSTAMAE_ST_WOOD_BP"/>
    <x v="0"/>
    <x v="20"/>
    <n v="33.000033000033"/>
    <n v="12045.012045011999"/>
    <n v="43362.043362043398"/>
  </r>
  <r>
    <x v="0"/>
    <x v="0"/>
    <x v="0"/>
    <x v="1"/>
    <x v="2"/>
    <s v="EE_Tallinn"/>
    <x v="10"/>
    <s v="MUSTAMAE_ST_WOOD_BP"/>
    <x v="0"/>
    <x v="21"/>
    <n v="33.000033000033"/>
    <n v="12045.012045011999"/>
    <n v="43362.043362043398"/>
  </r>
  <r>
    <x v="0"/>
    <x v="0"/>
    <x v="0"/>
    <x v="1"/>
    <x v="2"/>
    <s v="EE_Tallinn"/>
    <x v="10"/>
    <s v="MUSTAMAE_ST_WOOD_BP"/>
    <x v="0"/>
    <x v="22"/>
    <n v="33.000033000033"/>
    <n v="12045.012045011999"/>
    <n v="43362.043362043398"/>
  </r>
  <r>
    <x v="0"/>
    <x v="0"/>
    <x v="0"/>
    <x v="1"/>
    <x v="2"/>
    <s v="EE_Tallinn"/>
    <x v="10"/>
    <s v="VAO-1_ST_WOOD_BP"/>
    <x v="0"/>
    <x v="9"/>
    <n v="42.000006720001103"/>
    <n v="15330.0024528004"/>
    <n v="55188.008830081402"/>
  </r>
  <r>
    <x v="0"/>
    <x v="0"/>
    <x v="0"/>
    <x v="1"/>
    <x v="2"/>
    <s v="EE_Tallinn"/>
    <x v="10"/>
    <s v="VAO-1_ST_WOOD_BP"/>
    <x v="0"/>
    <x v="10"/>
    <n v="42.000006720001103"/>
    <n v="15330.0024528004"/>
    <n v="55188.008830081402"/>
  </r>
  <r>
    <x v="0"/>
    <x v="0"/>
    <x v="0"/>
    <x v="1"/>
    <x v="2"/>
    <s v="EE_Tallinn"/>
    <x v="10"/>
    <s v="VAO-1_ST_WOOD_BP"/>
    <x v="0"/>
    <x v="11"/>
    <n v="42.000006720001103"/>
    <n v="15330.0024528004"/>
    <n v="55188.008830081402"/>
  </r>
  <r>
    <x v="0"/>
    <x v="0"/>
    <x v="0"/>
    <x v="1"/>
    <x v="2"/>
    <s v="EE_Tallinn"/>
    <x v="10"/>
    <s v="VAO-1_ST_WOOD_BP"/>
    <x v="0"/>
    <x v="12"/>
    <n v="42.000006720001103"/>
    <n v="15330.0024528004"/>
    <n v="55188.008830081402"/>
  </r>
  <r>
    <x v="0"/>
    <x v="0"/>
    <x v="0"/>
    <x v="1"/>
    <x v="2"/>
    <s v="EE_Tallinn"/>
    <x v="10"/>
    <s v="VAO-1_ST_WOOD_BP"/>
    <x v="0"/>
    <x v="13"/>
    <n v="42.000006720001103"/>
    <n v="15330.0024528004"/>
    <n v="55188.008830081402"/>
  </r>
  <r>
    <x v="0"/>
    <x v="0"/>
    <x v="0"/>
    <x v="1"/>
    <x v="2"/>
    <s v="EE_Tallinn"/>
    <x v="10"/>
    <s v="VAO-1_ST_WOOD_BP"/>
    <x v="0"/>
    <x v="0"/>
    <n v="42.000006720001103"/>
    <n v="15330.0024528004"/>
    <n v="55188.008830081402"/>
  </r>
  <r>
    <x v="0"/>
    <x v="0"/>
    <x v="0"/>
    <x v="1"/>
    <x v="2"/>
    <s v="EE_Tallinn"/>
    <x v="10"/>
    <s v="VAO-1_ST_WOOD_BP"/>
    <x v="0"/>
    <x v="14"/>
    <n v="42.000006720001103"/>
    <n v="15330.0024528004"/>
    <n v="55188.008830081402"/>
  </r>
  <r>
    <x v="0"/>
    <x v="0"/>
    <x v="0"/>
    <x v="1"/>
    <x v="2"/>
    <s v="EE_Tallinn"/>
    <x v="10"/>
    <s v="VAO-1_ST_WOOD_BP"/>
    <x v="0"/>
    <x v="1"/>
    <n v="42.000006720001103"/>
    <n v="15330.0024528004"/>
    <n v="55188.008830081402"/>
  </r>
  <r>
    <x v="0"/>
    <x v="0"/>
    <x v="0"/>
    <x v="1"/>
    <x v="2"/>
    <s v="EE_Tallinn"/>
    <x v="10"/>
    <s v="VAO-1_ST_WOOD_BP"/>
    <x v="0"/>
    <x v="23"/>
    <n v="42.000006720001103"/>
    <n v="15330.0024528004"/>
    <n v="55188.008830081402"/>
  </r>
  <r>
    <x v="0"/>
    <x v="0"/>
    <x v="0"/>
    <x v="1"/>
    <x v="2"/>
    <s v="EE_Tallinn"/>
    <x v="10"/>
    <s v="VAO-1_ST_WOOD_BP"/>
    <x v="0"/>
    <x v="2"/>
    <n v="42.000006720001103"/>
    <n v="15330.0024528004"/>
    <n v="55188.008830081402"/>
  </r>
  <r>
    <x v="0"/>
    <x v="0"/>
    <x v="0"/>
    <x v="1"/>
    <x v="2"/>
    <s v="EE_Tallinn"/>
    <x v="10"/>
    <s v="VAO-1_ST_WOOD_BP"/>
    <x v="0"/>
    <x v="3"/>
    <n v="42.000006720001103"/>
    <n v="15330.0024528004"/>
    <n v="55188.008830081402"/>
  </r>
  <r>
    <x v="0"/>
    <x v="0"/>
    <x v="0"/>
    <x v="1"/>
    <x v="2"/>
    <s v="EE_Tallinn"/>
    <x v="10"/>
    <s v="VAO-1_ST_WOOD_BP"/>
    <x v="0"/>
    <x v="4"/>
    <n v="42.000006720001103"/>
    <n v="15330.0024528004"/>
    <n v="55188.008830081402"/>
  </r>
  <r>
    <x v="0"/>
    <x v="0"/>
    <x v="0"/>
    <x v="1"/>
    <x v="2"/>
    <s v="EE_Tallinn"/>
    <x v="10"/>
    <s v="VAO-1_ST_WOOD_BP"/>
    <x v="0"/>
    <x v="5"/>
    <n v="42.000006720001103"/>
    <n v="15330.0024528004"/>
    <n v="55188.008830081402"/>
  </r>
  <r>
    <x v="0"/>
    <x v="0"/>
    <x v="0"/>
    <x v="1"/>
    <x v="2"/>
    <s v="EE_Tallinn"/>
    <x v="10"/>
    <s v="VAO-1_ST_WOOD_BP"/>
    <x v="0"/>
    <x v="15"/>
    <n v="42.000006720001103"/>
    <n v="15330.0024528004"/>
    <n v="55188.008830081402"/>
  </r>
  <r>
    <x v="0"/>
    <x v="0"/>
    <x v="0"/>
    <x v="1"/>
    <x v="2"/>
    <s v="EE_Tallinn"/>
    <x v="10"/>
    <s v="VAO-1_ST_WOOD_BP"/>
    <x v="0"/>
    <x v="6"/>
    <n v="42.000006720001103"/>
    <n v="15330.0024528004"/>
    <n v="55188.008830081402"/>
  </r>
  <r>
    <x v="0"/>
    <x v="0"/>
    <x v="0"/>
    <x v="1"/>
    <x v="2"/>
    <s v="EE_Tallinn"/>
    <x v="10"/>
    <s v="VAO-1_ST_WOOD_BP"/>
    <x v="0"/>
    <x v="7"/>
    <n v="42.000006720001103"/>
    <n v="15330.0024528004"/>
    <n v="55188.008830081402"/>
  </r>
  <r>
    <x v="0"/>
    <x v="0"/>
    <x v="0"/>
    <x v="1"/>
    <x v="2"/>
    <s v="EE_Tallinn"/>
    <x v="10"/>
    <s v="VAO-1_ST_WOOD_BP"/>
    <x v="0"/>
    <x v="8"/>
    <n v="42.000006720001103"/>
    <n v="15330.0024528004"/>
    <n v="55188.008830081402"/>
  </r>
  <r>
    <x v="0"/>
    <x v="0"/>
    <x v="0"/>
    <x v="1"/>
    <x v="2"/>
    <s v="EE_Tallinn"/>
    <x v="10"/>
    <s v="VAO-1_ST_WOOD_BP"/>
    <x v="0"/>
    <x v="16"/>
    <n v="42.000006720001103"/>
    <n v="15330.0024528004"/>
    <n v="55188.008830081402"/>
  </r>
  <r>
    <x v="0"/>
    <x v="0"/>
    <x v="0"/>
    <x v="1"/>
    <x v="2"/>
    <s v="EE_Tallinn"/>
    <x v="10"/>
    <s v="VAO-1_ST_WOOD_BP"/>
    <x v="0"/>
    <x v="17"/>
    <n v="42.000006720001103"/>
    <n v="15330.0024528004"/>
    <n v="55188.008830081402"/>
  </r>
  <r>
    <x v="0"/>
    <x v="0"/>
    <x v="0"/>
    <x v="1"/>
    <x v="2"/>
    <s v="EE_Tallinn"/>
    <x v="10"/>
    <s v="VAO-1_ST_WOOD_BP"/>
    <x v="0"/>
    <x v="18"/>
    <n v="42.000006720001103"/>
    <n v="15330.0024528004"/>
    <n v="55188.008830081402"/>
  </r>
  <r>
    <x v="0"/>
    <x v="0"/>
    <x v="0"/>
    <x v="1"/>
    <x v="2"/>
    <s v="EE_Tallinn"/>
    <x v="10"/>
    <s v="VAO-1_ST_WOOD_BP"/>
    <x v="0"/>
    <x v="19"/>
    <n v="42.000006720001103"/>
    <n v="15330.0024528004"/>
    <n v="55188.008830081402"/>
  </r>
  <r>
    <x v="0"/>
    <x v="0"/>
    <x v="0"/>
    <x v="1"/>
    <x v="2"/>
    <s v="EE_Tallinn"/>
    <x v="10"/>
    <s v="VAO-1_ST_WOOD_BP"/>
    <x v="0"/>
    <x v="20"/>
    <n v="42.000006720001103"/>
    <n v="15330.0024528004"/>
    <n v="55188.008830081402"/>
  </r>
  <r>
    <x v="0"/>
    <x v="0"/>
    <x v="0"/>
    <x v="1"/>
    <x v="2"/>
    <s v="EE_Tallinn"/>
    <x v="10"/>
    <s v="VAO-1_ST_WOOD_BP"/>
    <x v="0"/>
    <x v="21"/>
    <n v="42.000006720001103"/>
    <n v="15330.0024528004"/>
    <n v="55188.008830081402"/>
  </r>
  <r>
    <x v="0"/>
    <x v="0"/>
    <x v="0"/>
    <x v="1"/>
    <x v="2"/>
    <s v="EE_Tallinn"/>
    <x v="10"/>
    <s v="VAO-1_ST_WOOD_BP"/>
    <x v="0"/>
    <x v="22"/>
    <n v="42.000006720001103"/>
    <n v="15330.0024528004"/>
    <n v="55188.008830081402"/>
  </r>
  <r>
    <x v="0"/>
    <x v="0"/>
    <x v="0"/>
    <x v="1"/>
    <x v="2"/>
    <s v="EE_Tallinn"/>
    <x v="10"/>
    <s v="VAO-2_ST_WOOD_BP"/>
    <x v="0"/>
    <x v="9"/>
    <n v="55.000026190488697"/>
    <n v="20075.0095595284"/>
    <n v="72270.034414302107"/>
  </r>
  <r>
    <x v="0"/>
    <x v="0"/>
    <x v="0"/>
    <x v="1"/>
    <x v="2"/>
    <s v="EE_Tallinn"/>
    <x v="10"/>
    <s v="VAO-2_ST_WOOD_BP"/>
    <x v="0"/>
    <x v="10"/>
    <n v="55.000026190488697"/>
    <n v="20075.0095595284"/>
    <n v="72270.034414302107"/>
  </r>
  <r>
    <x v="0"/>
    <x v="0"/>
    <x v="0"/>
    <x v="1"/>
    <x v="2"/>
    <s v="EE_Tallinn"/>
    <x v="10"/>
    <s v="VAO-2_ST_WOOD_BP"/>
    <x v="0"/>
    <x v="11"/>
    <n v="55.000026190488697"/>
    <n v="20075.0095595284"/>
    <n v="72270.034414302107"/>
  </r>
  <r>
    <x v="0"/>
    <x v="0"/>
    <x v="0"/>
    <x v="1"/>
    <x v="2"/>
    <s v="EE_Tallinn"/>
    <x v="10"/>
    <s v="VAO-2_ST_WOOD_BP"/>
    <x v="0"/>
    <x v="12"/>
    <n v="55.000026190488697"/>
    <n v="20075.0095595284"/>
    <n v="72270.034414302107"/>
  </r>
  <r>
    <x v="0"/>
    <x v="0"/>
    <x v="0"/>
    <x v="1"/>
    <x v="2"/>
    <s v="EE_Tallinn"/>
    <x v="10"/>
    <s v="VAO-2_ST_WOOD_BP"/>
    <x v="0"/>
    <x v="13"/>
    <n v="55.000026190488697"/>
    <n v="20075.0095595284"/>
    <n v="72270.034414302107"/>
  </r>
  <r>
    <x v="0"/>
    <x v="0"/>
    <x v="0"/>
    <x v="1"/>
    <x v="2"/>
    <s v="EE_Tallinn"/>
    <x v="10"/>
    <s v="VAO-2_ST_WOOD_BP"/>
    <x v="0"/>
    <x v="0"/>
    <n v="55.000026190488697"/>
    <n v="20075.0095595284"/>
    <n v="72270.034414302107"/>
  </r>
  <r>
    <x v="0"/>
    <x v="0"/>
    <x v="0"/>
    <x v="1"/>
    <x v="2"/>
    <s v="EE_Tallinn"/>
    <x v="10"/>
    <s v="VAO-2_ST_WOOD_BP"/>
    <x v="0"/>
    <x v="14"/>
    <n v="55.000026190488697"/>
    <n v="20075.0095595284"/>
    <n v="72270.034414302107"/>
  </r>
  <r>
    <x v="0"/>
    <x v="0"/>
    <x v="0"/>
    <x v="1"/>
    <x v="2"/>
    <s v="EE_Tallinn"/>
    <x v="10"/>
    <s v="VAO-2_ST_WOOD_BP"/>
    <x v="0"/>
    <x v="1"/>
    <n v="55.000026190488697"/>
    <n v="20075.0095595284"/>
    <n v="72270.034414302107"/>
  </r>
  <r>
    <x v="0"/>
    <x v="0"/>
    <x v="0"/>
    <x v="1"/>
    <x v="2"/>
    <s v="EE_Tallinn"/>
    <x v="10"/>
    <s v="VAO-2_ST_WOOD_BP"/>
    <x v="0"/>
    <x v="23"/>
    <n v="55.000026190488697"/>
    <n v="20075.0095595284"/>
    <n v="72270.034414302107"/>
  </r>
  <r>
    <x v="0"/>
    <x v="0"/>
    <x v="0"/>
    <x v="1"/>
    <x v="2"/>
    <s v="EE_Tallinn"/>
    <x v="10"/>
    <s v="VAO-2_ST_WOOD_BP"/>
    <x v="0"/>
    <x v="2"/>
    <n v="55.000026190488697"/>
    <n v="20075.0095595284"/>
    <n v="72270.034414302107"/>
  </r>
  <r>
    <x v="0"/>
    <x v="0"/>
    <x v="0"/>
    <x v="1"/>
    <x v="2"/>
    <s v="EE_Tallinn"/>
    <x v="10"/>
    <s v="VAO-2_ST_WOOD_BP"/>
    <x v="0"/>
    <x v="3"/>
    <n v="55.000026190488697"/>
    <n v="20075.0095595284"/>
    <n v="72270.034414302107"/>
  </r>
  <r>
    <x v="0"/>
    <x v="0"/>
    <x v="0"/>
    <x v="1"/>
    <x v="2"/>
    <s v="EE_Tallinn"/>
    <x v="10"/>
    <s v="VAO-2_ST_WOOD_BP"/>
    <x v="0"/>
    <x v="4"/>
    <n v="55.000026190488697"/>
    <n v="20075.0095595284"/>
    <n v="72270.034414302107"/>
  </r>
  <r>
    <x v="0"/>
    <x v="0"/>
    <x v="0"/>
    <x v="1"/>
    <x v="2"/>
    <s v="EE_Tallinn"/>
    <x v="10"/>
    <s v="VAO-2_ST_WOOD_BP"/>
    <x v="0"/>
    <x v="5"/>
    <n v="55.000026190488697"/>
    <n v="20075.0095595284"/>
    <n v="72270.034414302107"/>
  </r>
  <r>
    <x v="0"/>
    <x v="0"/>
    <x v="0"/>
    <x v="1"/>
    <x v="2"/>
    <s v="EE_Tallinn"/>
    <x v="10"/>
    <s v="VAO-2_ST_WOOD_BP"/>
    <x v="0"/>
    <x v="15"/>
    <n v="55.000026190488697"/>
    <n v="20075.0095595284"/>
    <n v="72270.034414302107"/>
  </r>
  <r>
    <x v="0"/>
    <x v="0"/>
    <x v="0"/>
    <x v="1"/>
    <x v="2"/>
    <s v="EE_Tallinn"/>
    <x v="10"/>
    <s v="VAO-2_ST_WOOD_BP"/>
    <x v="0"/>
    <x v="6"/>
    <n v="55.000026190488697"/>
    <n v="20075.0095595284"/>
    <n v="72270.034414302107"/>
  </r>
  <r>
    <x v="0"/>
    <x v="0"/>
    <x v="0"/>
    <x v="1"/>
    <x v="2"/>
    <s v="EE_Tallinn"/>
    <x v="10"/>
    <s v="VAO-2_ST_WOOD_BP"/>
    <x v="0"/>
    <x v="7"/>
    <n v="55.000026190488697"/>
    <n v="20075.0095595284"/>
    <n v="72270.034414302107"/>
  </r>
  <r>
    <x v="0"/>
    <x v="0"/>
    <x v="0"/>
    <x v="1"/>
    <x v="2"/>
    <s v="EE_Tallinn"/>
    <x v="10"/>
    <s v="VAO-2_ST_WOOD_BP"/>
    <x v="0"/>
    <x v="8"/>
    <n v="55.000026190488697"/>
    <n v="20075.0095595284"/>
    <n v="72270.034414302107"/>
  </r>
  <r>
    <x v="0"/>
    <x v="0"/>
    <x v="0"/>
    <x v="1"/>
    <x v="2"/>
    <s v="EE_Tallinn"/>
    <x v="10"/>
    <s v="VAO-2_ST_WOOD_BP"/>
    <x v="0"/>
    <x v="16"/>
    <n v="55.000026190488697"/>
    <n v="20075.0095595284"/>
    <n v="72270.034414302107"/>
  </r>
  <r>
    <x v="0"/>
    <x v="0"/>
    <x v="0"/>
    <x v="1"/>
    <x v="2"/>
    <s v="EE_Tallinn"/>
    <x v="10"/>
    <s v="VAO-2_ST_WOOD_BP"/>
    <x v="0"/>
    <x v="17"/>
    <n v="55.000026190488697"/>
    <n v="20075.0095595284"/>
    <n v="72270.034414302107"/>
  </r>
  <r>
    <x v="0"/>
    <x v="0"/>
    <x v="0"/>
    <x v="1"/>
    <x v="2"/>
    <s v="EE_Tallinn"/>
    <x v="10"/>
    <s v="VAO-2_ST_WOOD_BP"/>
    <x v="0"/>
    <x v="18"/>
    <n v="55.000026190488697"/>
    <n v="20075.0095595284"/>
    <n v="72270.034414302107"/>
  </r>
  <r>
    <x v="0"/>
    <x v="0"/>
    <x v="0"/>
    <x v="1"/>
    <x v="2"/>
    <s v="EE_Tallinn"/>
    <x v="10"/>
    <s v="VAO-2_ST_WOOD_BP"/>
    <x v="0"/>
    <x v="19"/>
    <n v="55.000026190488697"/>
    <n v="20075.0095595284"/>
    <n v="72270.034414302107"/>
  </r>
  <r>
    <x v="0"/>
    <x v="0"/>
    <x v="0"/>
    <x v="1"/>
    <x v="2"/>
    <s v="EE_Tallinn"/>
    <x v="10"/>
    <s v="VAO-2_ST_WOOD_BP"/>
    <x v="0"/>
    <x v="20"/>
    <n v="55.000026190488697"/>
    <n v="20075.0095595284"/>
    <n v="72270.034414302107"/>
  </r>
  <r>
    <x v="0"/>
    <x v="0"/>
    <x v="0"/>
    <x v="1"/>
    <x v="2"/>
    <s v="EE_Tallinn"/>
    <x v="10"/>
    <s v="VAO-2_ST_WOOD_BP"/>
    <x v="0"/>
    <x v="21"/>
    <n v="55.000026190488697"/>
    <n v="20075.0095595284"/>
    <n v="72270.034414302107"/>
  </r>
  <r>
    <x v="0"/>
    <x v="0"/>
    <x v="0"/>
    <x v="1"/>
    <x v="2"/>
    <s v="EE_Tallinn"/>
    <x v="10"/>
    <s v="VAO-2_ST_WOOD_BP"/>
    <x v="0"/>
    <x v="22"/>
    <n v="55.000026190488697"/>
    <n v="20075.0095595284"/>
    <n v="72270.034414302107"/>
  </r>
  <r>
    <x v="0"/>
    <x v="0"/>
    <x v="0"/>
    <x v="1"/>
    <x v="2"/>
    <s v="EE_Tartu"/>
    <x v="5"/>
    <s v="GNR_BO_NGAS_HO_E-85"/>
    <x v="0"/>
    <x v="9"/>
    <n v="20.875525094878601"/>
    <n v="7619.5666596307001"/>
    <n v="27430.439974670498"/>
  </r>
  <r>
    <x v="0"/>
    <x v="0"/>
    <x v="0"/>
    <x v="1"/>
    <x v="2"/>
    <s v="EE_Tartu"/>
    <x v="5"/>
    <s v="GNR_BO_NGAS_HO_E-85"/>
    <x v="0"/>
    <x v="10"/>
    <n v="21.3128302377613"/>
    <n v="7779.1830367828798"/>
    <n v="28005.0589324184"/>
  </r>
  <r>
    <x v="0"/>
    <x v="0"/>
    <x v="0"/>
    <x v="1"/>
    <x v="2"/>
    <s v="EE_Tartu"/>
    <x v="5"/>
    <s v="GNR_BO_NGAS_HO_E-85"/>
    <x v="0"/>
    <x v="11"/>
    <n v="21.449488094911999"/>
    <n v="7829.0631546428804"/>
    <n v="28184.627356714402"/>
  </r>
  <r>
    <x v="0"/>
    <x v="0"/>
    <x v="0"/>
    <x v="1"/>
    <x v="2"/>
    <s v="EE_Tartu"/>
    <x v="5"/>
    <s v="GNR_BO_NGAS_HO_E-85"/>
    <x v="0"/>
    <x v="12"/>
    <n v="21.0395145234593"/>
    <n v="7679.4228010626503"/>
    <n v="27645.922083825499"/>
  </r>
  <r>
    <x v="0"/>
    <x v="0"/>
    <x v="0"/>
    <x v="1"/>
    <x v="2"/>
    <s v="EE_Tartu"/>
    <x v="5"/>
    <s v="GNR_BO_NGAS_HO_E-85"/>
    <x v="0"/>
    <x v="13"/>
    <n v="20.1375726662646"/>
    <n v="7350.2140231865696"/>
    <n v="26460.770483471599"/>
  </r>
  <r>
    <x v="0"/>
    <x v="0"/>
    <x v="0"/>
    <x v="1"/>
    <x v="2"/>
    <s v="EE_Tartu"/>
    <x v="5"/>
    <s v="GNR_BO_NGAS_HO_E-85"/>
    <x v="0"/>
    <x v="0"/>
    <n v="18.825657237616898"/>
    <n v="6871.3648917301498"/>
    <n v="24736.913610228599"/>
  </r>
  <r>
    <x v="0"/>
    <x v="0"/>
    <x v="0"/>
    <x v="1"/>
    <x v="2"/>
    <s v="EE_Tartu"/>
    <x v="5"/>
    <s v="GNR_BO_NGAS_HO_E-85"/>
    <x v="0"/>
    <x v="14"/>
    <n v="17.158431380377301"/>
    <n v="6262.8274538377"/>
    <n v="22546.178833815698"/>
  </r>
  <r>
    <x v="0"/>
    <x v="0"/>
    <x v="0"/>
    <x v="1"/>
    <x v="2"/>
    <s v="EE_Tartu"/>
    <x v="5"/>
    <s v="GNR_BO_NGAS_HO_E-85"/>
    <x v="0"/>
    <x v="1"/>
    <n v="15.1085635231155"/>
    <n v="5514.6256859371497"/>
    <n v="19852.652469373701"/>
  </r>
  <r>
    <x v="0"/>
    <x v="0"/>
    <x v="0"/>
    <x v="1"/>
    <x v="2"/>
    <s v="EE_Tartu"/>
    <x v="5"/>
    <s v="GNR_BO_NGAS_HO_E-85"/>
    <x v="0"/>
    <x v="23"/>
    <n v="13.332011380155301"/>
    <n v="4866.1841537566997"/>
    <n v="17518.262953524099"/>
  </r>
  <r>
    <x v="0"/>
    <x v="0"/>
    <x v="0"/>
    <x v="1"/>
    <x v="2"/>
    <s v="EE_Tartu"/>
    <x v="5"/>
    <s v="GNR_BO_NGAS_HO_E-85"/>
    <x v="0"/>
    <x v="2"/>
    <n v="11.719448665776101"/>
    <n v="4277.59876300827"/>
    <n v="15399.3555468298"/>
  </r>
  <r>
    <x v="0"/>
    <x v="0"/>
    <x v="0"/>
    <x v="1"/>
    <x v="2"/>
    <s v="EE_Tartu"/>
    <x v="5"/>
    <s v="GNR_BO_NGAS_HO_E-85"/>
    <x v="0"/>
    <x v="3"/>
    <n v="10.270875379977801"/>
    <n v="3748.86951369191"/>
    <n v="13495.930249290899"/>
  </r>
  <r>
    <x v="0"/>
    <x v="0"/>
    <x v="0"/>
    <x v="1"/>
    <x v="2"/>
    <s v="EE_Tartu"/>
    <x v="5"/>
    <s v="GNR_BO_NGAS_HO_E-85"/>
    <x v="0"/>
    <x v="4"/>
    <n v="9.0682862370508595"/>
    <n v="3309.9244765235599"/>
    <n v="11915.728115484801"/>
  </r>
  <r>
    <x v="0"/>
    <x v="0"/>
    <x v="0"/>
    <x v="1"/>
    <x v="2"/>
    <s v="EE_Tartu"/>
    <x v="5"/>
    <s v="GNR_BO_NGAS_HO_E-85"/>
    <x v="0"/>
    <x v="5"/>
    <n v="8.0296865227049103"/>
    <n v="2930.8355807872899"/>
    <n v="10551.008090834301"/>
  </r>
  <r>
    <x v="0"/>
    <x v="0"/>
    <x v="0"/>
    <x v="1"/>
    <x v="2"/>
    <s v="EE_Tartu"/>
    <x v="5"/>
    <s v="GNR_BO_NGAS_HO_E-85"/>
    <x v="0"/>
    <x v="15"/>
    <n v="7.1824078083701099"/>
    <n v="2621.5788500550898"/>
    <n v="9437.68386019832"/>
  </r>
  <r>
    <x v="0"/>
    <x v="0"/>
    <x v="0"/>
    <x v="1"/>
    <x v="2"/>
    <s v="EE_Tartu"/>
    <x v="5"/>
    <s v="GNR_BO_NGAS_HO_E-85"/>
    <x v="0"/>
    <x v="6"/>
    <n v="6.6631079511971301"/>
    <n v="2432.03440218695"/>
    <n v="8755.3238478730309"/>
  </r>
  <r>
    <x v="0"/>
    <x v="0"/>
    <x v="0"/>
    <x v="1"/>
    <x v="2"/>
    <s v="EE_Tartu"/>
    <x v="5"/>
    <s v="GNR_BO_NGAS_HO_E-85"/>
    <x v="0"/>
    <x v="7"/>
    <n v="6.2804659511749001"/>
    <n v="2292.37007217884"/>
    <n v="8252.5322598438106"/>
  </r>
  <r>
    <x v="0"/>
    <x v="0"/>
    <x v="0"/>
    <x v="1"/>
    <x v="2"/>
    <s v="EE_Tartu"/>
    <x v="5"/>
    <s v="GNR_BO_NGAS_HO_E-85"/>
    <x v="0"/>
    <x v="8"/>
    <n v="5.9524870940130103"/>
    <n v="2172.6577893147501"/>
    <n v="7821.5680415330899"/>
  </r>
  <r>
    <x v="0"/>
    <x v="0"/>
    <x v="0"/>
    <x v="1"/>
    <x v="2"/>
    <s v="EE_Tartu"/>
    <x v="5"/>
    <s v="GNR_BO_NGAS_HO_E-85"/>
    <x v="0"/>
    <x v="16"/>
    <n v="5.6518398082813199"/>
    <n v="2062.9215300226801"/>
    <n v="7426.5175080816598"/>
  </r>
  <r>
    <x v="0"/>
    <x v="0"/>
    <x v="0"/>
    <x v="1"/>
    <x v="2"/>
    <s v="EE_Tartu"/>
    <x v="5"/>
    <s v="GNR_BO_NGAS_HO_E-85"/>
    <x v="0"/>
    <x v="17"/>
    <n v="5.3238609511194301"/>
    <n v="1943.20924715859"/>
    <n v="6995.55328977093"/>
  </r>
  <r>
    <x v="0"/>
    <x v="0"/>
    <x v="0"/>
    <x v="1"/>
    <x v="2"/>
    <s v="EE_Tartu"/>
    <x v="5"/>
    <s v="GNR_BO_NGAS_HO_E-85"/>
    <x v="0"/>
    <x v="18"/>
    <n v="4.9412189510972597"/>
    <n v="1803.5449171504999"/>
    <n v="6492.7617017417897"/>
  </r>
  <r>
    <x v="0"/>
    <x v="0"/>
    <x v="0"/>
    <x v="1"/>
    <x v="2"/>
    <s v="EE_Tartu"/>
    <x v="5"/>
    <s v="GNR_BO_NGAS_HO_E-85"/>
    <x v="0"/>
    <x v="19"/>
    <n v="4.6132400939353699"/>
    <n v="1683.83263428641"/>
    <n v="6061.7974834310698"/>
  </r>
  <r>
    <x v="0"/>
    <x v="0"/>
    <x v="0"/>
    <x v="1"/>
    <x v="2"/>
    <s v="EE_Tartu"/>
    <x v="5"/>
    <s v="GNR_BO_NGAS_HO_E-85"/>
    <x v="0"/>
    <x v="20"/>
    <n v="4.2852612367734704"/>
    <n v="1564.12035142232"/>
    <n v="5630.83326512034"/>
  </r>
  <r>
    <x v="0"/>
    <x v="0"/>
    <x v="0"/>
    <x v="1"/>
    <x v="2"/>
    <s v="EE_Tartu"/>
    <x v="5"/>
    <s v="GNR_BO_NGAS_HO_E-85"/>
    <x v="0"/>
    <x v="21"/>
    <n v="4.0392770939020597"/>
    <n v="1474.3361392742499"/>
    <n v="5307.6101013873003"/>
  </r>
  <r>
    <x v="0"/>
    <x v="0"/>
    <x v="0"/>
    <x v="1"/>
    <x v="2"/>
    <s v="EE_Tartu"/>
    <x v="5"/>
    <s v="GNR_BO_NGAS_HO_E-85"/>
    <x v="0"/>
    <x v="22"/>
    <n v="3.9572823796115801"/>
    <n v="1444.4080685582301"/>
    <n v="5199.8690468096202"/>
  </r>
  <r>
    <x v="0"/>
    <x v="0"/>
    <x v="0"/>
    <x v="1"/>
    <x v="2"/>
    <s v="EE_Tartu"/>
    <x v="10"/>
    <s v="TARTU-1_ST_WOOD_BP"/>
    <x v="0"/>
    <x v="9"/>
    <n v="48.000034909116302"/>
    <n v="17520.012741827399"/>
    <n v="63072.045870578797"/>
  </r>
  <r>
    <x v="0"/>
    <x v="0"/>
    <x v="0"/>
    <x v="1"/>
    <x v="2"/>
    <s v="EE_Tartu"/>
    <x v="10"/>
    <s v="TARTU-1_ST_WOOD_BP"/>
    <x v="0"/>
    <x v="10"/>
    <n v="48.000034909116302"/>
    <n v="17520.012741827399"/>
    <n v="63072.045870578797"/>
  </r>
  <r>
    <x v="0"/>
    <x v="0"/>
    <x v="0"/>
    <x v="1"/>
    <x v="2"/>
    <s v="EE_Tartu"/>
    <x v="10"/>
    <s v="TARTU-1_ST_WOOD_BP"/>
    <x v="0"/>
    <x v="11"/>
    <n v="48.000034909116302"/>
    <n v="17520.012741827399"/>
    <n v="63072.045870578797"/>
  </r>
  <r>
    <x v="0"/>
    <x v="0"/>
    <x v="0"/>
    <x v="1"/>
    <x v="2"/>
    <s v="EE_Tartu"/>
    <x v="10"/>
    <s v="TARTU-1_ST_WOOD_BP"/>
    <x v="0"/>
    <x v="12"/>
    <n v="48.000034909116302"/>
    <n v="17520.012741827399"/>
    <n v="63072.045870578797"/>
  </r>
  <r>
    <x v="0"/>
    <x v="0"/>
    <x v="0"/>
    <x v="1"/>
    <x v="2"/>
    <s v="EE_Tartu"/>
    <x v="10"/>
    <s v="TARTU-1_ST_WOOD_BP"/>
    <x v="0"/>
    <x v="13"/>
    <n v="48.000034909116302"/>
    <n v="17520.012741827399"/>
    <n v="63072.045870578797"/>
  </r>
  <r>
    <x v="0"/>
    <x v="0"/>
    <x v="0"/>
    <x v="1"/>
    <x v="2"/>
    <s v="EE_Tartu"/>
    <x v="10"/>
    <s v="TARTU-1_ST_WOOD_BP"/>
    <x v="0"/>
    <x v="0"/>
    <n v="48.000034909116302"/>
    <n v="17520.012741827399"/>
    <n v="63072.045870578797"/>
  </r>
  <r>
    <x v="0"/>
    <x v="0"/>
    <x v="0"/>
    <x v="1"/>
    <x v="2"/>
    <s v="EE_Tartu"/>
    <x v="10"/>
    <s v="TARTU-1_ST_WOOD_BP"/>
    <x v="0"/>
    <x v="14"/>
    <n v="48.000034909116302"/>
    <n v="17520.012741827399"/>
    <n v="63072.045870578797"/>
  </r>
  <r>
    <x v="0"/>
    <x v="0"/>
    <x v="0"/>
    <x v="1"/>
    <x v="2"/>
    <s v="EE_Tartu"/>
    <x v="10"/>
    <s v="TARTU-1_ST_WOOD_BP"/>
    <x v="0"/>
    <x v="1"/>
    <n v="48.000034909116302"/>
    <n v="17520.012741827399"/>
    <n v="63072.045870578797"/>
  </r>
  <r>
    <x v="0"/>
    <x v="0"/>
    <x v="0"/>
    <x v="1"/>
    <x v="2"/>
    <s v="EE_Tartu"/>
    <x v="10"/>
    <s v="TARTU-1_ST_WOOD_BP"/>
    <x v="0"/>
    <x v="23"/>
    <n v="48.000034909116302"/>
    <n v="17520.012741827399"/>
    <n v="63072.045870578797"/>
  </r>
  <r>
    <x v="0"/>
    <x v="0"/>
    <x v="0"/>
    <x v="1"/>
    <x v="2"/>
    <s v="EE_Tartu"/>
    <x v="10"/>
    <s v="TARTU-1_ST_WOOD_BP"/>
    <x v="0"/>
    <x v="2"/>
    <n v="48.000034909116302"/>
    <n v="17520.012741827399"/>
    <n v="63072.045870578797"/>
  </r>
  <r>
    <x v="0"/>
    <x v="0"/>
    <x v="0"/>
    <x v="1"/>
    <x v="2"/>
    <s v="EE_Tartu"/>
    <x v="10"/>
    <s v="TARTU-1_ST_WOOD_BP"/>
    <x v="0"/>
    <x v="3"/>
    <n v="48.000034909116302"/>
    <n v="17520.012741827399"/>
    <n v="63072.045870578797"/>
  </r>
  <r>
    <x v="0"/>
    <x v="0"/>
    <x v="0"/>
    <x v="1"/>
    <x v="2"/>
    <s v="EE_Tartu"/>
    <x v="10"/>
    <s v="TARTU-1_ST_WOOD_BP"/>
    <x v="0"/>
    <x v="4"/>
    <n v="48.000034909116302"/>
    <n v="17520.012741827399"/>
    <n v="63072.045870578797"/>
  </r>
  <r>
    <x v="0"/>
    <x v="0"/>
    <x v="0"/>
    <x v="1"/>
    <x v="2"/>
    <s v="EE_Tartu"/>
    <x v="10"/>
    <s v="TARTU-1_ST_WOOD_BP"/>
    <x v="0"/>
    <x v="5"/>
    <n v="48.000034909116302"/>
    <n v="17520.012741827399"/>
    <n v="63072.045870578797"/>
  </r>
  <r>
    <x v="0"/>
    <x v="0"/>
    <x v="0"/>
    <x v="1"/>
    <x v="2"/>
    <s v="EE_Tartu"/>
    <x v="10"/>
    <s v="TARTU-1_ST_WOOD_BP"/>
    <x v="0"/>
    <x v="15"/>
    <n v="48.000034909116302"/>
    <n v="17520.012741827399"/>
    <n v="63072.045870578797"/>
  </r>
  <r>
    <x v="0"/>
    <x v="0"/>
    <x v="0"/>
    <x v="1"/>
    <x v="2"/>
    <s v="EE_Tartu"/>
    <x v="10"/>
    <s v="TARTU-1_ST_WOOD_BP"/>
    <x v="0"/>
    <x v="6"/>
    <n v="48.000034909116302"/>
    <n v="17520.012741827399"/>
    <n v="63072.045870578797"/>
  </r>
  <r>
    <x v="0"/>
    <x v="0"/>
    <x v="0"/>
    <x v="1"/>
    <x v="2"/>
    <s v="EE_Tartu"/>
    <x v="10"/>
    <s v="TARTU-1_ST_WOOD_BP"/>
    <x v="0"/>
    <x v="7"/>
    <n v="48.000034909116302"/>
    <n v="17520.012741827399"/>
    <n v="63072.045870578797"/>
  </r>
  <r>
    <x v="0"/>
    <x v="0"/>
    <x v="0"/>
    <x v="1"/>
    <x v="2"/>
    <s v="EE_Tartu"/>
    <x v="10"/>
    <s v="TARTU-1_ST_WOOD_BP"/>
    <x v="0"/>
    <x v="8"/>
    <n v="48.000034909116302"/>
    <n v="17520.012741827399"/>
    <n v="63072.045870578797"/>
  </r>
  <r>
    <x v="0"/>
    <x v="0"/>
    <x v="0"/>
    <x v="1"/>
    <x v="2"/>
    <s v="EE_Tartu"/>
    <x v="10"/>
    <s v="TARTU-1_ST_WOOD_BP"/>
    <x v="0"/>
    <x v="16"/>
    <n v="48.000034909116302"/>
    <n v="17520.012741827399"/>
    <n v="63072.045870578797"/>
  </r>
  <r>
    <x v="0"/>
    <x v="0"/>
    <x v="0"/>
    <x v="1"/>
    <x v="2"/>
    <s v="EE_Tartu"/>
    <x v="10"/>
    <s v="TARTU-1_ST_WOOD_BP"/>
    <x v="0"/>
    <x v="17"/>
    <n v="48.000034909116302"/>
    <n v="17520.012741827399"/>
    <n v="63072.045870578797"/>
  </r>
  <r>
    <x v="0"/>
    <x v="0"/>
    <x v="0"/>
    <x v="1"/>
    <x v="2"/>
    <s v="EE_Tartu"/>
    <x v="10"/>
    <s v="TARTU-1_ST_WOOD_BP"/>
    <x v="0"/>
    <x v="18"/>
    <n v="48.000034909116302"/>
    <n v="17520.012741827399"/>
    <n v="63072.045870578797"/>
  </r>
  <r>
    <x v="0"/>
    <x v="0"/>
    <x v="0"/>
    <x v="1"/>
    <x v="2"/>
    <s v="EE_Tartu"/>
    <x v="10"/>
    <s v="TARTU-1_ST_WOOD_BP"/>
    <x v="0"/>
    <x v="19"/>
    <n v="48.000034909116302"/>
    <n v="17520.012741827399"/>
    <n v="63072.045870578797"/>
  </r>
  <r>
    <x v="0"/>
    <x v="0"/>
    <x v="0"/>
    <x v="1"/>
    <x v="2"/>
    <s v="EE_Tartu"/>
    <x v="10"/>
    <s v="TARTU-1_ST_WOOD_BP"/>
    <x v="0"/>
    <x v="20"/>
    <n v="48.000034909116302"/>
    <n v="17520.012741827399"/>
    <n v="63072.045870578797"/>
  </r>
  <r>
    <x v="0"/>
    <x v="0"/>
    <x v="0"/>
    <x v="1"/>
    <x v="2"/>
    <s v="EE_Tartu"/>
    <x v="10"/>
    <s v="TARTU-1_ST_WOOD_BP"/>
    <x v="0"/>
    <x v="21"/>
    <n v="48.000034909116302"/>
    <n v="17520.012741827399"/>
    <n v="63072.045870578797"/>
  </r>
  <r>
    <x v="0"/>
    <x v="0"/>
    <x v="0"/>
    <x v="1"/>
    <x v="2"/>
    <s v="EE_Tartu"/>
    <x v="10"/>
    <s v="TARTU-1_ST_WOOD_BP"/>
    <x v="0"/>
    <x v="22"/>
    <n v="48.000034909116302"/>
    <n v="17520.012741827399"/>
    <n v="63072.045870578797"/>
  </r>
  <r>
    <x v="0"/>
    <x v="0"/>
    <x v="0"/>
    <x v="2"/>
    <x v="3"/>
    <s v="FIN_EL"/>
    <x v="0"/>
    <s v="GEXT_COAL_KYMIJARVI"/>
    <x v="0"/>
    <x v="9"/>
    <n v="132.167405595899"/>
    <n v="48241.103042502997"/>
    <n v="173667.97095301101"/>
  </r>
  <r>
    <x v="0"/>
    <x v="0"/>
    <x v="0"/>
    <x v="2"/>
    <x v="3"/>
    <s v="FIN_EL"/>
    <x v="0"/>
    <s v="GEXT_COAL_KYMIJARVI"/>
    <x v="0"/>
    <x v="10"/>
    <n v="132.167405595899"/>
    <n v="48241.103042502997"/>
    <n v="173667.97095301101"/>
  </r>
  <r>
    <x v="0"/>
    <x v="0"/>
    <x v="0"/>
    <x v="2"/>
    <x v="3"/>
    <s v="FIN_EL"/>
    <x v="0"/>
    <s v="GEXT_COAL_KYMIJARVI"/>
    <x v="0"/>
    <x v="11"/>
    <n v="132.167405595899"/>
    <n v="48241.103042502997"/>
    <n v="173667.97095301101"/>
  </r>
  <r>
    <x v="0"/>
    <x v="0"/>
    <x v="0"/>
    <x v="2"/>
    <x v="3"/>
    <s v="FIN_EL"/>
    <x v="0"/>
    <s v="GEXT_COAL_KYMIJARVI"/>
    <x v="0"/>
    <x v="12"/>
    <n v="132.167405595899"/>
    <n v="48241.103042502997"/>
    <n v="173667.97095301101"/>
  </r>
  <r>
    <x v="0"/>
    <x v="0"/>
    <x v="0"/>
    <x v="2"/>
    <x v="3"/>
    <s v="FIN_EL"/>
    <x v="0"/>
    <s v="GEXT_COAL_KYMIJARVI"/>
    <x v="0"/>
    <x v="13"/>
    <n v="132.167405595899"/>
    <n v="48241.103042502997"/>
    <n v="173667.97095301101"/>
  </r>
  <r>
    <x v="0"/>
    <x v="0"/>
    <x v="0"/>
    <x v="2"/>
    <x v="3"/>
    <s v="FIN_EL"/>
    <x v="0"/>
    <s v="GEXT_COAL_KYMIJARVI"/>
    <x v="0"/>
    <x v="0"/>
    <n v="132.167405595899"/>
    <n v="48241.103042502997"/>
    <n v="173667.97095301101"/>
  </r>
  <r>
    <x v="0"/>
    <x v="0"/>
    <x v="0"/>
    <x v="2"/>
    <x v="3"/>
    <s v="FIN_EL"/>
    <x v="0"/>
    <s v="GEXT_COAL_KYMIJARVI"/>
    <x v="0"/>
    <x v="14"/>
    <n v="132.167405595899"/>
    <n v="48241.103042502997"/>
    <n v="173667.97095301101"/>
  </r>
  <r>
    <x v="0"/>
    <x v="0"/>
    <x v="0"/>
    <x v="2"/>
    <x v="3"/>
    <s v="FIN_EL"/>
    <x v="0"/>
    <s v="GEXT_COAL_KYMIJARVI"/>
    <x v="0"/>
    <x v="1"/>
    <n v="132.167405595899"/>
    <n v="48241.103042502997"/>
    <n v="173667.97095301101"/>
  </r>
  <r>
    <x v="0"/>
    <x v="0"/>
    <x v="0"/>
    <x v="2"/>
    <x v="3"/>
    <s v="FIN_EL"/>
    <x v="0"/>
    <s v="GEXT_COAL_KYMIJARVI"/>
    <x v="0"/>
    <x v="23"/>
    <n v="132.167405595899"/>
    <n v="48241.103042502997"/>
    <n v="173667.97095301101"/>
  </r>
  <r>
    <x v="0"/>
    <x v="0"/>
    <x v="0"/>
    <x v="2"/>
    <x v="3"/>
    <s v="FIN_EL"/>
    <x v="0"/>
    <s v="GEXT_COAL_KYMIJARVI"/>
    <x v="0"/>
    <x v="2"/>
    <n v="132.167405595899"/>
    <n v="48241.103042502997"/>
    <n v="173667.97095301101"/>
  </r>
  <r>
    <x v="0"/>
    <x v="0"/>
    <x v="0"/>
    <x v="2"/>
    <x v="3"/>
    <s v="FIN_EL"/>
    <x v="0"/>
    <s v="GEXT_COAL_KYMIJARVI"/>
    <x v="0"/>
    <x v="3"/>
    <n v="132.167405595899"/>
    <n v="48241.103042502997"/>
    <n v="173667.97095301101"/>
  </r>
  <r>
    <x v="0"/>
    <x v="0"/>
    <x v="0"/>
    <x v="2"/>
    <x v="3"/>
    <s v="FIN_EL"/>
    <x v="0"/>
    <s v="GEXT_COAL_KYMIJARVI"/>
    <x v="0"/>
    <x v="4"/>
    <n v="132.167405595899"/>
    <n v="48241.103042502997"/>
    <n v="173667.97095301101"/>
  </r>
  <r>
    <x v="0"/>
    <x v="0"/>
    <x v="0"/>
    <x v="2"/>
    <x v="3"/>
    <s v="FIN_EL"/>
    <x v="0"/>
    <s v="GEXT_COAL_KYMIJARVI"/>
    <x v="0"/>
    <x v="5"/>
    <n v="132.167405595899"/>
    <n v="48241.103042502997"/>
    <n v="173667.97095301101"/>
  </r>
  <r>
    <x v="0"/>
    <x v="0"/>
    <x v="0"/>
    <x v="2"/>
    <x v="3"/>
    <s v="FIN_EL"/>
    <x v="0"/>
    <s v="GEXT_COAL_KYMIJARVI"/>
    <x v="0"/>
    <x v="15"/>
    <n v="132.167405595899"/>
    <n v="48241.103042502997"/>
    <n v="173667.97095301101"/>
  </r>
  <r>
    <x v="0"/>
    <x v="0"/>
    <x v="0"/>
    <x v="2"/>
    <x v="3"/>
    <s v="FIN_EL"/>
    <x v="0"/>
    <s v="GEXT_COAL_KYMIJARVI"/>
    <x v="0"/>
    <x v="6"/>
    <n v="132.167405595899"/>
    <n v="48241.103042502997"/>
    <n v="173667.97095301101"/>
  </r>
  <r>
    <x v="0"/>
    <x v="0"/>
    <x v="0"/>
    <x v="2"/>
    <x v="3"/>
    <s v="FIN_EL"/>
    <x v="0"/>
    <s v="GEXT_COAL_KYMIJARVI"/>
    <x v="0"/>
    <x v="7"/>
    <n v="132.167405595899"/>
    <n v="48241.103042502997"/>
    <n v="173667.97095301101"/>
  </r>
  <r>
    <x v="0"/>
    <x v="0"/>
    <x v="0"/>
    <x v="2"/>
    <x v="3"/>
    <s v="FIN_EL"/>
    <x v="0"/>
    <s v="GEXT_COAL_KYMIJARVI"/>
    <x v="0"/>
    <x v="8"/>
    <n v="132.167405595899"/>
    <n v="48241.103042502997"/>
    <n v="173667.97095301101"/>
  </r>
  <r>
    <x v="0"/>
    <x v="0"/>
    <x v="0"/>
    <x v="2"/>
    <x v="3"/>
    <s v="FIN_EL"/>
    <x v="0"/>
    <s v="GEXT_COAL_KYMIJARVI"/>
    <x v="0"/>
    <x v="16"/>
    <n v="132.167405595899"/>
    <n v="48241.103042502997"/>
    <n v="173667.97095301101"/>
  </r>
  <r>
    <x v="0"/>
    <x v="0"/>
    <x v="0"/>
    <x v="2"/>
    <x v="3"/>
    <s v="FIN_EL"/>
    <x v="0"/>
    <s v="GEXT_COAL_KYMIJARVI"/>
    <x v="0"/>
    <x v="17"/>
    <n v="132.167405595899"/>
    <n v="48241.103042502997"/>
    <n v="173667.97095301101"/>
  </r>
  <r>
    <x v="0"/>
    <x v="0"/>
    <x v="0"/>
    <x v="2"/>
    <x v="3"/>
    <s v="FIN_EL"/>
    <x v="0"/>
    <s v="GEXT_COAL_KYMIJARVI"/>
    <x v="0"/>
    <x v="18"/>
    <n v="132.167405595899"/>
    <n v="48241.103042502997"/>
    <n v="173667.97095301101"/>
  </r>
  <r>
    <x v="0"/>
    <x v="0"/>
    <x v="0"/>
    <x v="2"/>
    <x v="3"/>
    <s v="FIN_EL"/>
    <x v="0"/>
    <s v="GEXT_COAL_KYMIJARVI"/>
    <x v="0"/>
    <x v="19"/>
    <n v="132.167405595899"/>
    <n v="48241.103042502997"/>
    <n v="173667.97095301101"/>
  </r>
  <r>
    <x v="0"/>
    <x v="0"/>
    <x v="0"/>
    <x v="2"/>
    <x v="3"/>
    <s v="FIN_EL"/>
    <x v="0"/>
    <s v="GEXT_COAL_KYMIJARVI"/>
    <x v="0"/>
    <x v="20"/>
    <n v="132.167405595899"/>
    <n v="48241.103042502997"/>
    <n v="173667.97095301101"/>
  </r>
  <r>
    <x v="0"/>
    <x v="0"/>
    <x v="0"/>
    <x v="2"/>
    <x v="3"/>
    <s v="FIN_EL"/>
    <x v="0"/>
    <s v="GEXT_COAL_KYMIJARVI"/>
    <x v="0"/>
    <x v="21"/>
    <n v="132.167405595899"/>
    <n v="48241.103042502997"/>
    <n v="173667.97095301101"/>
  </r>
  <r>
    <x v="0"/>
    <x v="0"/>
    <x v="0"/>
    <x v="2"/>
    <x v="3"/>
    <s v="FIN_EL"/>
    <x v="0"/>
    <s v="GEXT_COAL_KYMIJARVI"/>
    <x v="0"/>
    <x v="22"/>
    <n v="132.167405595899"/>
    <n v="48241.103042502997"/>
    <n v="173667.97095301101"/>
  </r>
  <r>
    <x v="0"/>
    <x v="0"/>
    <x v="0"/>
    <x v="2"/>
    <x v="3"/>
    <s v="FIN_EL"/>
    <x v="1"/>
    <s v="GNR_HS_HEAT_WTR-TANK_LS_E-95_Y-2010"/>
    <x v="0"/>
    <x v="14"/>
    <n v="0.43302004672801803"/>
    <n v="158.052317055727"/>
    <n v="568.98834140061501"/>
  </r>
  <r>
    <x v="0"/>
    <x v="0"/>
    <x v="0"/>
    <x v="2"/>
    <x v="3"/>
    <s v="FIN_EL"/>
    <x v="1"/>
    <s v="GNR_HS_HEAT_WTR-TANK_LS_E-95_Y-2010"/>
    <x v="0"/>
    <x v="1"/>
    <n v="65.840912573547897"/>
    <n v="24031.933089344999"/>
    <n v="86514.959121641907"/>
  </r>
  <r>
    <x v="0"/>
    <x v="0"/>
    <x v="0"/>
    <x v="2"/>
    <x v="3"/>
    <s v="FIN_EL"/>
    <x v="1"/>
    <s v="GNR_HS_HEAT_WTR-TANK_LS_E-95_Y-2010"/>
    <x v="0"/>
    <x v="23"/>
    <n v="68.508294067303595"/>
    <n v="25005.527334565799"/>
    <n v="90019.898404436899"/>
  </r>
  <r>
    <x v="0"/>
    <x v="0"/>
    <x v="0"/>
    <x v="2"/>
    <x v="3"/>
    <s v="FIN_EL"/>
    <x v="1"/>
    <s v="GNR_HS_HEAT_WTR-TANK_LS_E-95_Y-2010"/>
    <x v="0"/>
    <x v="2"/>
    <n v="46.187504406589902"/>
    <n v="16858.439108405299"/>
    <n v="60690.3807902591"/>
  </r>
  <r>
    <x v="0"/>
    <x v="0"/>
    <x v="0"/>
    <x v="2"/>
    <x v="3"/>
    <s v="FIN_EL"/>
    <x v="1"/>
    <s v="GNR_HS_HEAT_WTR-TANK_LS_E-95_Y-2010"/>
    <x v="0"/>
    <x v="3"/>
    <n v="33.370048863830398"/>
    <n v="12180.067835298099"/>
    <n v="43848.244207073098"/>
  </r>
  <r>
    <x v="0"/>
    <x v="0"/>
    <x v="0"/>
    <x v="2"/>
    <x v="3"/>
    <s v="FIN_EL"/>
    <x v="1"/>
    <s v="GNR_HS_HEAT_WTR-TANK_LS_E-95_Y-2010"/>
    <x v="0"/>
    <x v="4"/>
    <n v="26.846048059440999"/>
    <n v="9798.80754169596"/>
    <n v="35275.707150105503"/>
  </r>
  <r>
    <x v="0"/>
    <x v="0"/>
    <x v="0"/>
    <x v="2"/>
    <x v="3"/>
    <s v="FIN_EL"/>
    <x v="1"/>
    <s v="GNR_HS_HEAT_WTR-TANK_LS_E-95_Y-2010"/>
    <x v="0"/>
    <x v="5"/>
    <n v="23.766753316035999"/>
    <n v="8674.8649603531594"/>
    <n v="31229.513857271399"/>
  </r>
  <r>
    <x v="0"/>
    <x v="0"/>
    <x v="0"/>
    <x v="2"/>
    <x v="3"/>
    <s v="FIN_EL"/>
    <x v="1"/>
    <s v="GNR_HS_HEAT_WTR-TANK_LS_E-95_Y-2010"/>
    <x v="0"/>
    <x v="15"/>
    <n v="22.868926312163399"/>
    <n v="8347.1581039396406"/>
    <n v="30049.7691741827"/>
  </r>
  <r>
    <x v="0"/>
    <x v="0"/>
    <x v="0"/>
    <x v="2"/>
    <x v="3"/>
    <s v="FIN_EL"/>
    <x v="1"/>
    <s v="GNR_HS_HEAT_WTR-TANK_LS_E-95_Y-2010"/>
    <x v="0"/>
    <x v="6"/>
    <n v="24.603527785944099"/>
    <n v="8980.2876418695905"/>
    <n v="32329.0355107305"/>
  </r>
  <r>
    <x v="0"/>
    <x v="0"/>
    <x v="0"/>
    <x v="2"/>
    <x v="3"/>
    <s v="FIN_EL"/>
    <x v="1"/>
    <s v="GNR_HS_HEAT_WTR-TANK_LS_E-95_Y-2010"/>
    <x v="0"/>
    <x v="7"/>
    <n v="38.980566553414199"/>
    <n v="14227.9067919962"/>
    <n v="51220.464451186301"/>
  </r>
  <r>
    <x v="0"/>
    <x v="0"/>
    <x v="0"/>
    <x v="2"/>
    <x v="3"/>
    <s v="FIN_EL"/>
    <x v="1"/>
    <s v="GNR_HS_HEAT_WTR-TANK_LS_E-95_Y-2010"/>
    <x v="0"/>
    <x v="8"/>
    <n v="19.824503315513201"/>
    <n v="7235.9437101623198"/>
    <n v="26049.397356584301"/>
  </r>
  <r>
    <x v="0"/>
    <x v="0"/>
    <x v="0"/>
    <x v="2"/>
    <x v="3"/>
    <s v="FIN_EL"/>
    <x v="1"/>
    <s v="GNR_HS_HEAT_WTR-TANK_LS_E-95_Y-2010"/>
    <x v="0"/>
    <x v="16"/>
    <n v="8.7048485868240295"/>
    <n v="3177.2697341907701"/>
    <n v="11438.171043086801"/>
  </r>
  <r>
    <x v="0"/>
    <x v="0"/>
    <x v="0"/>
    <x v="2"/>
    <x v="3"/>
    <s v="FIN_EL"/>
    <x v="1"/>
    <s v="GNR_HS_HEAT_WTR-TANK_LS_E-95_Y-2010"/>
    <x v="0"/>
    <x v="17"/>
    <n v="10.918850395287301"/>
    <n v="3985.38039427986"/>
    <n v="14347.3694194075"/>
  </r>
  <r>
    <x v="0"/>
    <x v="0"/>
    <x v="0"/>
    <x v="2"/>
    <x v="3"/>
    <s v="FIN_EL"/>
    <x v="1"/>
    <s v="GNR_HS_HEAT_WTR-TANK_LS_E-95_Y-2010"/>
    <x v="0"/>
    <x v="18"/>
    <n v="4.0760561186359601"/>
    <n v="1487.7604833021301"/>
    <n v="5355.9377398876504"/>
  </r>
  <r>
    <x v="0"/>
    <x v="0"/>
    <x v="0"/>
    <x v="2"/>
    <x v="3"/>
    <s v="FIN_EL"/>
    <x v="11"/>
    <s v="GHOB_PEAT"/>
    <x v="0"/>
    <x v="9"/>
    <n v="18.143518467158501"/>
    <n v="6622.3842405128598"/>
    <n v="23840.5832658463"/>
  </r>
  <r>
    <x v="0"/>
    <x v="0"/>
    <x v="0"/>
    <x v="2"/>
    <x v="3"/>
    <s v="FIN_EL"/>
    <x v="11"/>
    <s v="GHOB_PEAT"/>
    <x v="0"/>
    <x v="10"/>
    <n v="18.143518467158501"/>
    <n v="6622.3842405128598"/>
    <n v="23840.5832658463"/>
  </r>
  <r>
    <x v="0"/>
    <x v="0"/>
    <x v="0"/>
    <x v="2"/>
    <x v="3"/>
    <s v="FIN_EL"/>
    <x v="11"/>
    <s v="GHOB_PEAT"/>
    <x v="0"/>
    <x v="11"/>
    <n v="18.143518467158501"/>
    <n v="6622.3842405128598"/>
    <n v="23840.5832658463"/>
  </r>
  <r>
    <x v="0"/>
    <x v="0"/>
    <x v="0"/>
    <x v="2"/>
    <x v="3"/>
    <s v="FIN_EL"/>
    <x v="11"/>
    <s v="GHOB_PEAT"/>
    <x v="0"/>
    <x v="12"/>
    <n v="18.143518467158501"/>
    <n v="6622.3842405128598"/>
    <n v="23840.5832658463"/>
  </r>
  <r>
    <x v="0"/>
    <x v="0"/>
    <x v="0"/>
    <x v="2"/>
    <x v="3"/>
    <s v="FIN_EL"/>
    <x v="11"/>
    <s v="GHOB_PEAT"/>
    <x v="0"/>
    <x v="13"/>
    <n v="18.143518467158501"/>
    <n v="6622.3842405128598"/>
    <n v="23840.5832658463"/>
  </r>
  <r>
    <x v="0"/>
    <x v="0"/>
    <x v="0"/>
    <x v="2"/>
    <x v="3"/>
    <s v="FIN_EL"/>
    <x v="11"/>
    <s v="GHOB_PEAT"/>
    <x v="0"/>
    <x v="0"/>
    <n v="18.143518467158501"/>
    <n v="6622.3842405128598"/>
    <n v="23840.5832658463"/>
  </r>
  <r>
    <x v="0"/>
    <x v="0"/>
    <x v="0"/>
    <x v="2"/>
    <x v="3"/>
    <s v="FIN_EL"/>
    <x v="11"/>
    <s v="GHOB_PEAT"/>
    <x v="0"/>
    <x v="14"/>
    <n v="18.143518467158501"/>
    <n v="6622.3842405128598"/>
    <n v="23840.5832658463"/>
  </r>
  <r>
    <x v="0"/>
    <x v="0"/>
    <x v="0"/>
    <x v="2"/>
    <x v="3"/>
    <s v="FIN_EL"/>
    <x v="11"/>
    <s v="GHOB_PEAT"/>
    <x v="0"/>
    <x v="1"/>
    <n v="18.143518467158501"/>
    <n v="6622.3842405128598"/>
    <n v="23840.5832658463"/>
  </r>
  <r>
    <x v="0"/>
    <x v="0"/>
    <x v="0"/>
    <x v="2"/>
    <x v="3"/>
    <s v="FIN_EL"/>
    <x v="11"/>
    <s v="GHOB_PEAT"/>
    <x v="0"/>
    <x v="23"/>
    <n v="18.143518467158501"/>
    <n v="6622.3842405128598"/>
    <n v="23840.5832658463"/>
  </r>
  <r>
    <x v="0"/>
    <x v="0"/>
    <x v="0"/>
    <x v="2"/>
    <x v="3"/>
    <s v="FIN_EL"/>
    <x v="11"/>
    <s v="GHOB_PEAT"/>
    <x v="0"/>
    <x v="2"/>
    <n v="18.143518467158501"/>
    <n v="6622.3842405128598"/>
    <n v="23840.5832658463"/>
  </r>
  <r>
    <x v="0"/>
    <x v="0"/>
    <x v="0"/>
    <x v="2"/>
    <x v="3"/>
    <s v="FIN_EL"/>
    <x v="11"/>
    <s v="GHOB_PEAT"/>
    <x v="0"/>
    <x v="3"/>
    <n v="18.143518467158501"/>
    <n v="6622.3842405128598"/>
    <n v="23840.5832658463"/>
  </r>
  <r>
    <x v="0"/>
    <x v="0"/>
    <x v="0"/>
    <x v="2"/>
    <x v="3"/>
    <s v="FIN_EL"/>
    <x v="11"/>
    <s v="GHOB_PEAT"/>
    <x v="0"/>
    <x v="4"/>
    <n v="18.143518467158501"/>
    <n v="6622.3842405128598"/>
    <n v="23840.5832658463"/>
  </r>
  <r>
    <x v="0"/>
    <x v="0"/>
    <x v="0"/>
    <x v="2"/>
    <x v="3"/>
    <s v="FIN_EL"/>
    <x v="11"/>
    <s v="GHOB_PEAT"/>
    <x v="0"/>
    <x v="5"/>
    <n v="18.143518467158501"/>
    <n v="6622.3842405128598"/>
    <n v="23840.5832658463"/>
  </r>
  <r>
    <x v="0"/>
    <x v="0"/>
    <x v="0"/>
    <x v="2"/>
    <x v="3"/>
    <s v="FIN_EL"/>
    <x v="11"/>
    <s v="GHOB_PEAT"/>
    <x v="0"/>
    <x v="15"/>
    <n v="18.143518467158501"/>
    <n v="6622.3842405128598"/>
    <n v="23840.5832658463"/>
  </r>
  <r>
    <x v="0"/>
    <x v="0"/>
    <x v="0"/>
    <x v="2"/>
    <x v="3"/>
    <s v="FIN_EL"/>
    <x v="11"/>
    <s v="GHOB_PEAT"/>
    <x v="0"/>
    <x v="6"/>
    <n v="18.143518467158501"/>
    <n v="6622.3842405128598"/>
    <n v="23840.5832658463"/>
  </r>
  <r>
    <x v="0"/>
    <x v="0"/>
    <x v="0"/>
    <x v="2"/>
    <x v="3"/>
    <s v="FIN_EL"/>
    <x v="11"/>
    <s v="GHOB_PEAT"/>
    <x v="0"/>
    <x v="7"/>
    <n v="18.143518467158501"/>
    <n v="6622.3842405128598"/>
    <n v="23840.5832658463"/>
  </r>
  <r>
    <x v="0"/>
    <x v="0"/>
    <x v="0"/>
    <x v="2"/>
    <x v="3"/>
    <s v="FIN_EL"/>
    <x v="11"/>
    <s v="GHOB_PEAT"/>
    <x v="0"/>
    <x v="8"/>
    <n v="18.143518467158501"/>
    <n v="6622.3842405128598"/>
    <n v="23840.5832658463"/>
  </r>
  <r>
    <x v="0"/>
    <x v="0"/>
    <x v="0"/>
    <x v="2"/>
    <x v="3"/>
    <s v="FIN_EL"/>
    <x v="11"/>
    <s v="GHOB_PEAT"/>
    <x v="0"/>
    <x v="16"/>
    <n v="18.143518467158501"/>
    <n v="6622.3842405128598"/>
    <n v="23840.5832658463"/>
  </r>
  <r>
    <x v="0"/>
    <x v="0"/>
    <x v="0"/>
    <x v="2"/>
    <x v="3"/>
    <s v="FIN_EL"/>
    <x v="11"/>
    <s v="GHOB_PEAT"/>
    <x v="0"/>
    <x v="17"/>
    <n v="18.143518467158501"/>
    <n v="6622.3842405128598"/>
    <n v="23840.5832658463"/>
  </r>
  <r>
    <x v="0"/>
    <x v="0"/>
    <x v="0"/>
    <x v="2"/>
    <x v="3"/>
    <s v="FIN_EL"/>
    <x v="11"/>
    <s v="GHOB_PEAT"/>
    <x v="0"/>
    <x v="18"/>
    <n v="18.143518467158501"/>
    <n v="6622.3842405128598"/>
    <n v="23840.5832658463"/>
  </r>
  <r>
    <x v="0"/>
    <x v="0"/>
    <x v="0"/>
    <x v="2"/>
    <x v="3"/>
    <s v="FIN_EL"/>
    <x v="11"/>
    <s v="GHOB_PEAT"/>
    <x v="0"/>
    <x v="19"/>
    <n v="18.143518467158501"/>
    <n v="6622.3842405128598"/>
    <n v="23840.5832658463"/>
  </r>
  <r>
    <x v="0"/>
    <x v="0"/>
    <x v="0"/>
    <x v="2"/>
    <x v="3"/>
    <s v="FIN_EL"/>
    <x v="11"/>
    <s v="GHOB_PEAT"/>
    <x v="0"/>
    <x v="20"/>
    <n v="18.143518467158501"/>
    <n v="6622.3842405128598"/>
    <n v="23840.5832658463"/>
  </r>
  <r>
    <x v="0"/>
    <x v="0"/>
    <x v="0"/>
    <x v="2"/>
    <x v="3"/>
    <s v="FIN_EL"/>
    <x v="11"/>
    <s v="GHOB_PEAT"/>
    <x v="0"/>
    <x v="21"/>
    <n v="18.143518467158501"/>
    <n v="6622.3842405128598"/>
    <n v="23840.5832658463"/>
  </r>
  <r>
    <x v="0"/>
    <x v="0"/>
    <x v="0"/>
    <x v="2"/>
    <x v="3"/>
    <s v="FIN_EL"/>
    <x v="11"/>
    <s v="GHOB_PEAT"/>
    <x v="0"/>
    <x v="22"/>
    <n v="18.143518467158501"/>
    <n v="6622.3842405128598"/>
    <n v="23840.5832658463"/>
  </r>
  <r>
    <x v="0"/>
    <x v="0"/>
    <x v="0"/>
    <x v="2"/>
    <x v="3"/>
    <s v="FIN_EL"/>
    <x v="7"/>
    <s v="GHOB_WOODCHIPS"/>
    <x v="0"/>
    <x v="14"/>
    <n v="30"/>
    <n v="10950"/>
    <n v="39420"/>
  </r>
  <r>
    <x v="0"/>
    <x v="0"/>
    <x v="0"/>
    <x v="2"/>
    <x v="3"/>
    <s v="FIN_EL"/>
    <x v="7"/>
    <s v="GHOB_WOODCHIPS"/>
    <x v="0"/>
    <x v="23"/>
    <n v="4.5960143071601998"/>
    <n v="1677.5452221134699"/>
    <n v="6039.1627996085099"/>
  </r>
  <r>
    <x v="0"/>
    <x v="0"/>
    <x v="0"/>
    <x v="2"/>
    <x v="3"/>
    <s v="FIN_EL"/>
    <x v="7"/>
    <s v="GHOB_WOODCHIPS"/>
    <x v="0"/>
    <x v="2"/>
    <n v="30"/>
    <n v="10950"/>
    <n v="39420"/>
  </r>
  <r>
    <x v="0"/>
    <x v="0"/>
    <x v="0"/>
    <x v="2"/>
    <x v="3"/>
    <s v="FIN_EL"/>
    <x v="7"/>
    <s v="GHOB_WOODCHIPS"/>
    <x v="0"/>
    <x v="3"/>
    <n v="30"/>
    <n v="10950"/>
    <n v="39420"/>
  </r>
  <r>
    <x v="0"/>
    <x v="0"/>
    <x v="0"/>
    <x v="2"/>
    <x v="3"/>
    <s v="FIN_EL"/>
    <x v="7"/>
    <s v="GHOB_WOODCHIPS"/>
    <x v="0"/>
    <x v="4"/>
    <n v="30"/>
    <n v="10950"/>
    <n v="39420"/>
  </r>
  <r>
    <x v="0"/>
    <x v="0"/>
    <x v="0"/>
    <x v="2"/>
    <x v="3"/>
    <s v="FIN_EL"/>
    <x v="7"/>
    <s v="GHOB_WOODCHIPS"/>
    <x v="0"/>
    <x v="5"/>
    <n v="30"/>
    <n v="10950"/>
    <n v="39420"/>
  </r>
  <r>
    <x v="0"/>
    <x v="0"/>
    <x v="0"/>
    <x v="2"/>
    <x v="3"/>
    <s v="FIN_EL"/>
    <x v="7"/>
    <s v="GHOB_WOODCHIPS"/>
    <x v="0"/>
    <x v="15"/>
    <n v="30"/>
    <n v="10950"/>
    <n v="39420"/>
  </r>
  <r>
    <x v="0"/>
    <x v="0"/>
    <x v="0"/>
    <x v="2"/>
    <x v="3"/>
    <s v="FIN_EL"/>
    <x v="7"/>
    <s v="GHOB_WOODCHIPS"/>
    <x v="0"/>
    <x v="6"/>
    <n v="30"/>
    <n v="10950"/>
    <n v="39420"/>
  </r>
  <r>
    <x v="0"/>
    <x v="0"/>
    <x v="0"/>
    <x v="2"/>
    <x v="3"/>
    <s v="FIN_EL"/>
    <x v="7"/>
    <s v="GHOB_WOODCHIPS"/>
    <x v="0"/>
    <x v="7"/>
    <n v="30"/>
    <n v="10950"/>
    <n v="39420"/>
  </r>
  <r>
    <x v="0"/>
    <x v="0"/>
    <x v="0"/>
    <x v="2"/>
    <x v="3"/>
    <s v="FIN_EL"/>
    <x v="7"/>
    <s v="GHOB_WOODCHIPS"/>
    <x v="0"/>
    <x v="8"/>
    <n v="30"/>
    <n v="10950"/>
    <n v="39420"/>
  </r>
  <r>
    <x v="0"/>
    <x v="0"/>
    <x v="0"/>
    <x v="2"/>
    <x v="3"/>
    <s v="FIN_EL"/>
    <x v="7"/>
    <s v="GHOB_WOODCHIPS"/>
    <x v="0"/>
    <x v="16"/>
    <n v="30"/>
    <n v="10950"/>
    <n v="39420"/>
  </r>
  <r>
    <x v="0"/>
    <x v="0"/>
    <x v="0"/>
    <x v="2"/>
    <x v="3"/>
    <s v="FIN_EL"/>
    <x v="7"/>
    <s v="GHOB_WOODCHIPS"/>
    <x v="0"/>
    <x v="17"/>
    <n v="30"/>
    <n v="10950"/>
    <n v="39420"/>
  </r>
  <r>
    <x v="0"/>
    <x v="0"/>
    <x v="0"/>
    <x v="2"/>
    <x v="3"/>
    <s v="FIN_EL"/>
    <x v="7"/>
    <s v="GHOB_WOODCHIPS"/>
    <x v="0"/>
    <x v="18"/>
    <n v="30"/>
    <n v="10950"/>
    <n v="39420"/>
  </r>
  <r>
    <x v="0"/>
    <x v="0"/>
    <x v="0"/>
    <x v="2"/>
    <x v="3"/>
    <s v="FIN_EL"/>
    <x v="7"/>
    <s v="GHOB_WOODCHIPS"/>
    <x v="0"/>
    <x v="19"/>
    <n v="25.0694960836645"/>
    <n v="9150.3660705375605"/>
    <n v="32941.317853935201"/>
  </r>
  <r>
    <x v="0"/>
    <x v="0"/>
    <x v="0"/>
    <x v="2"/>
    <x v="3"/>
    <s v="FIN_EL"/>
    <x v="7"/>
    <s v="GHOB_WOODCHIPS"/>
    <x v="0"/>
    <x v="20"/>
    <n v="19.293710660542001"/>
    <n v="7042.20439109785"/>
    <n v="25351.935807952199"/>
  </r>
  <r>
    <x v="0"/>
    <x v="0"/>
    <x v="0"/>
    <x v="2"/>
    <x v="3"/>
    <s v="FIN_EL"/>
    <x v="8"/>
    <s v="GBPR_WOODWASTE_FINEL"/>
    <x v="0"/>
    <x v="9"/>
    <n v="200"/>
    <n v="73000"/>
    <n v="262800"/>
  </r>
  <r>
    <x v="0"/>
    <x v="0"/>
    <x v="0"/>
    <x v="2"/>
    <x v="3"/>
    <s v="FIN_EL"/>
    <x v="8"/>
    <s v="GBPR_WOODWASTE_FINEL"/>
    <x v="0"/>
    <x v="10"/>
    <n v="200"/>
    <n v="73000"/>
    <n v="262800"/>
  </r>
  <r>
    <x v="0"/>
    <x v="0"/>
    <x v="0"/>
    <x v="2"/>
    <x v="3"/>
    <s v="FIN_EL"/>
    <x v="8"/>
    <s v="GBPR_WOODWASTE_FINEL"/>
    <x v="0"/>
    <x v="11"/>
    <n v="200"/>
    <n v="73000"/>
    <n v="262800"/>
  </r>
  <r>
    <x v="0"/>
    <x v="0"/>
    <x v="0"/>
    <x v="2"/>
    <x v="3"/>
    <s v="FIN_EL"/>
    <x v="8"/>
    <s v="GBPR_WOODWASTE_FINEL"/>
    <x v="0"/>
    <x v="12"/>
    <n v="200"/>
    <n v="73000"/>
    <n v="262800"/>
  </r>
  <r>
    <x v="0"/>
    <x v="0"/>
    <x v="0"/>
    <x v="2"/>
    <x v="3"/>
    <s v="FIN_EL"/>
    <x v="8"/>
    <s v="GBPR_WOODWASTE_FINEL"/>
    <x v="0"/>
    <x v="13"/>
    <n v="200"/>
    <n v="73000"/>
    <n v="262800"/>
  </r>
  <r>
    <x v="0"/>
    <x v="0"/>
    <x v="0"/>
    <x v="2"/>
    <x v="3"/>
    <s v="FIN_EL"/>
    <x v="8"/>
    <s v="GBPR_WOODWASTE_FINEL"/>
    <x v="0"/>
    <x v="0"/>
    <n v="200"/>
    <n v="73000"/>
    <n v="262800"/>
  </r>
  <r>
    <x v="0"/>
    <x v="0"/>
    <x v="0"/>
    <x v="2"/>
    <x v="3"/>
    <s v="FIN_EL"/>
    <x v="8"/>
    <s v="GBPR_WOODWASTE_FINEL"/>
    <x v="0"/>
    <x v="14"/>
    <n v="200"/>
    <n v="73000"/>
    <n v="262800"/>
  </r>
  <r>
    <x v="0"/>
    <x v="0"/>
    <x v="0"/>
    <x v="2"/>
    <x v="3"/>
    <s v="FIN_EL"/>
    <x v="8"/>
    <s v="GBPR_WOODWASTE_FINEL"/>
    <x v="0"/>
    <x v="1"/>
    <n v="200"/>
    <n v="73000"/>
    <n v="262800"/>
  </r>
  <r>
    <x v="0"/>
    <x v="0"/>
    <x v="0"/>
    <x v="2"/>
    <x v="3"/>
    <s v="FIN_EL"/>
    <x v="8"/>
    <s v="GBPR_WOODWASTE_FINEL"/>
    <x v="0"/>
    <x v="23"/>
    <n v="200"/>
    <n v="73000"/>
    <n v="262800"/>
  </r>
  <r>
    <x v="0"/>
    <x v="0"/>
    <x v="0"/>
    <x v="2"/>
    <x v="3"/>
    <s v="FIN_EL"/>
    <x v="8"/>
    <s v="GBPR_WOODWASTE_FINEL"/>
    <x v="0"/>
    <x v="2"/>
    <n v="200"/>
    <n v="73000"/>
    <n v="262800"/>
  </r>
  <r>
    <x v="0"/>
    <x v="0"/>
    <x v="0"/>
    <x v="2"/>
    <x v="3"/>
    <s v="FIN_EL"/>
    <x v="8"/>
    <s v="GBPR_WOODWASTE_FINEL"/>
    <x v="0"/>
    <x v="3"/>
    <n v="200"/>
    <n v="73000"/>
    <n v="262800"/>
  </r>
  <r>
    <x v="0"/>
    <x v="0"/>
    <x v="0"/>
    <x v="2"/>
    <x v="3"/>
    <s v="FIN_EL"/>
    <x v="8"/>
    <s v="GBPR_WOODWASTE_FINEL"/>
    <x v="0"/>
    <x v="4"/>
    <n v="200"/>
    <n v="73000"/>
    <n v="262800"/>
  </r>
  <r>
    <x v="0"/>
    <x v="0"/>
    <x v="0"/>
    <x v="2"/>
    <x v="3"/>
    <s v="FIN_EL"/>
    <x v="8"/>
    <s v="GBPR_WOODWASTE_FINEL"/>
    <x v="0"/>
    <x v="5"/>
    <n v="200"/>
    <n v="73000"/>
    <n v="262800"/>
  </r>
  <r>
    <x v="0"/>
    <x v="0"/>
    <x v="0"/>
    <x v="2"/>
    <x v="3"/>
    <s v="FIN_EL"/>
    <x v="8"/>
    <s v="GBPR_WOODWASTE_FINEL"/>
    <x v="0"/>
    <x v="15"/>
    <n v="200"/>
    <n v="73000"/>
    <n v="262800"/>
  </r>
  <r>
    <x v="0"/>
    <x v="0"/>
    <x v="0"/>
    <x v="2"/>
    <x v="3"/>
    <s v="FIN_EL"/>
    <x v="8"/>
    <s v="GBPR_WOODWASTE_FINEL"/>
    <x v="0"/>
    <x v="6"/>
    <n v="200"/>
    <n v="73000"/>
    <n v="262800"/>
  </r>
  <r>
    <x v="0"/>
    <x v="0"/>
    <x v="0"/>
    <x v="2"/>
    <x v="3"/>
    <s v="FIN_EL"/>
    <x v="8"/>
    <s v="GBPR_WOODWASTE_FINEL"/>
    <x v="0"/>
    <x v="7"/>
    <n v="200"/>
    <n v="73000"/>
    <n v="262800"/>
  </r>
  <r>
    <x v="0"/>
    <x v="0"/>
    <x v="0"/>
    <x v="2"/>
    <x v="3"/>
    <s v="FIN_EL"/>
    <x v="8"/>
    <s v="GBPR_WOODWASTE_FINEL"/>
    <x v="0"/>
    <x v="8"/>
    <n v="200"/>
    <n v="73000"/>
    <n v="262800"/>
  </r>
  <r>
    <x v="0"/>
    <x v="0"/>
    <x v="0"/>
    <x v="2"/>
    <x v="3"/>
    <s v="FIN_EL"/>
    <x v="8"/>
    <s v="GBPR_WOODWASTE_FINEL"/>
    <x v="0"/>
    <x v="16"/>
    <n v="200"/>
    <n v="73000"/>
    <n v="262800"/>
  </r>
  <r>
    <x v="0"/>
    <x v="0"/>
    <x v="0"/>
    <x v="2"/>
    <x v="3"/>
    <s v="FIN_EL"/>
    <x v="8"/>
    <s v="GBPR_WOODWASTE_FINEL"/>
    <x v="0"/>
    <x v="17"/>
    <n v="200"/>
    <n v="73000"/>
    <n v="262800"/>
  </r>
  <r>
    <x v="0"/>
    <x v="0"/>
    <x v="0"/>
    <x v="2"/>
    <x v="3"/>
    <s v="FIN_EL"/>
    <x v="8"/>
    <s v="GBPR_WOODWASTE_FINEL"/>
    <x v="0"/>
    <x v="18"/>
    <n v="200"/>
    <n v="73000"/>
    <n v="262800"/>
  </r>
  <r>
    <x v="0"/>
    <x v="0"/>
    <x v="0"/>
    <x v="2"/>
    <x v="3"/>
    <s v="FIN_EL"/>
    <x v="8"/>
    <s v="GBPR_WOODWASTE_FINEL"/>
    <x v="0"/>
    <x v="19"/>
    <n v="200"/>
    <n v="73000"/>
    <n v="262800"/>
  </r>
  <r>
    <x v="0"/>
    <x v="0"/>
    <x v="0"/>
    <x v="2"/>
    <x v="3"/>
    <s v="FIN_EL"/>
    <x v="8"/>
    <s v="GBPR_WOODWASTE_FINEL"/>
    <x v="0"/>
    <x v="20"/>
    <n v="200"/>
    <n v="73000"/>
    <n v="262800"/>
  </r>
  <r>
    <x v="0"/>
    <x v="0"/>
    <x v="0"/>
    <x v="2"/>
    <x v="3"/>
    <s v="FIN_EL"/>
    <x v="8"/>
    <s v="GBPR_WOODWASTE_FINEL"/>
    <x v="0"/>
    <x v="21"/>
    <n v="200"/>
    <n v="73000"/>
    <n v="262800"/>
  </r>
  <r>
    <x v="0"/>
    <x v="0"/>
    <x v="0"/>
    <x v="2"/>
    <x v="3"/>
    <s v="FIN_EL"/>
    <x v="8"/>
    <s v="GBPR_WOODWASTE_FINEL"/>
    <x v="0"/>
    <x v="22"/>
    <n v="200"/>
    <n v="73000"/>
    <n v="262800"/>
  </r>
  <r>
    <x v="0"/>
    <x v="0"/>
    <x v="0"/>
    <x v="2"/>
    <x v="3"/>
    <s v="FIN_ESPOO"/>
    <x v="0"/>
    <s v="GBPR_COAL_SUOMENOJA"/>
    <x v="0"/>
    <x v="9"/>
    <n v="127.29917648311999"/>
    <n v="46464.199416338801"/>
    <n v="167271.11789882"/>
  </r>
  <r>
    <x v="0"/>
    <x v="0"/>
    <x v="0"/>
    <x v="2"/>
    <x v="3"/>
    <s v="FIN_ESPOO"/>
    <x v="0"/>
    <s v="GBPR_COAL_SUOMENOJA"/>
    <x v="0"/>
    <x v="10"/>
    <n v="127.29917648311999"/>
    <n v="46464.199416338801"/>
    <n v="167271.11789882"/>
  </r>
  <r>
    <x v="0"/>
    <x v="0"/>
    <x v="0"/>
    <x v="2"/>
    <x v="3"/>
    <s v="FIN_ESPOO"/>
    <x v="0"/>
    <s v="GBPR_COAL_SUOMENOJA"/>
    <x v="0"/>
    <x v="11"/>
    <n v="127.29917648311999"/>
    <n v="46464.199416338801"/>
    <n v="167271.11789882"/>
  </r>
  <r>
    <x v="0"/>
    <x v="0"/>
    <x v="0"/>
    <x v="2"/>
    <x v="3"/>
    <s v="FIN_ESPOO"/>
    <x v="0"/>
    <s v="GBPR_COAL_SUOMENOJA"/>
    <x v="0"/>
    <x v="12"/>
    <n v="127.29917648311999"/>
    <n v="46464.199416338801"/>
    <n v="167271.11789882"/>
  </r>
  <r>
    <x v="0"/>
    <x v="0"/>
    <x v="0"/>
    <x v="2"/>
    <x v="3"/>
    <s v="FIN_ESPOO"/>
    <x v="0"/>
    <s v="GBPR_COAL_SUOMENOJA"/>
    <x v="0"/>
    <x v="13"/>
    <n v="127.29917648311999"/>
    <n v="46464.199416338801"/>
    <n v="167271.11789882"/>
  </r>
  <r>
    <x v="0"/>
    <x v="0"/>
    <x v="0"/>
    <x v="2"/>
    <x v="3"/>
    <s v="FIN_ESPOO"/>
    <x v="0"/>
    <s v="GBPR_COAL_SUOMENOJA"/>
    <x v="0"/>
    <x v="0"/>
    <n v="127.29917648311999"/>
    <n v="46464.199416338801"/>
    <n v="167271.11789882"/>
  </r>
  <r>
    <x v="0"/>
    <x v="0"/>
    <x v="0"/>
    <x v="2"/>
    <x v="3"/>
    <s v="FIN_ESPOO"/>
    <x v="0"/>
    <s v="GBPR_COAL_SUOMENOJA"/>
    <x v="0"/>
    <x v="14"/>
    <n v="127.29917648311999"/>
    <n v="46464.199416338801"/>
    <n v="167271.11789882"/>
  </r>
  <r>
    <x v="0"/>
    <x v="0"/>
    <x v="0"/>
    <x v="2"/>
    <x v="3"/>
    <s v="FIN_ESPOO"/>
    <x v="0"/>
    <s v="GBPR_COAL_SUOMENOJA"/>
    <x v="0"/>
    <x v="1"/>
    <n v="127.29917648311999"/>
    <n v="46464.199416338801"/>
    <n v="167271.11789882"/>
  </r>
  <r>
    <x v="0"/>
    <x v="0"/>
    <x v="0"/>
    <x v="2"/>
    <x v="3"/>
    <s v="FIN_ESPOO"/>
    <x v="0"/>
    <s v="GBPR_COAL_SUOMENOJA"/>
    <x v="0"/>
    <x v="23"/>
    <n v="127.29917648311999"/>
    <n v="46464.199416338801"/>
    <n v="167271.11789882"/>
  </r>
  <r>
    <x v="0"/>
    <x v="0"/>
    <x v="0"/>
    <x v="2"/>
    <x v="3"/>
    <s v="FIN_ESPOO"/>
    <x v="0"/>
    <s v="GBPR_COAL_SUOMENOJA"/>
    <x v="0"/>
    <x v="2"/>
    <n v="127.29917648311999"/>
    <n v="46464.199416338801"/>
    <n v="167271.11789882"/>
  </r>
  <r>
    <x v="0"/>
    <x v="0"/>
    <x v="0"/>
    <x v="2"/>
    <x v="3"/>
    <s v="FIN_ESPOO"/>
    <x v="0"/>
    <s v="GBPR_COAL_SUOMENOJA"/>
    <x v="0"/>
    <x v="3"/>
    <n v="127.29917648311999"/>
    <n v="46464.199416338801"/>
    <n v="167271.11789882"/>
  </r>
  <r>
    <x v="0"/>
    <x v="0"/>
    <x v="0"/>
    <x v="2"/>
    <x v="3"/>
    <s v="FIN_ESPOO"/>
    <x v="0"/>
    <s v="GBPR_COAL_SUOMENOJA"/>
    <x v="0"/>
    <x v="4"/>
    <n v="127.29917648311999"/>
    <n v="46464.199416338801"/>
    <n v="167271.11789882"/>
  </r>
  <r>
    <x v="0"/>
    <x v="0"/>
    <x v="0"/>
    <x v="2"/>
    <x v="3"/>
    <s v="FIN_ESPOO"/>
    <x v="0"/>
    <s v="GBPR_COAL_SUOMENOJA"/>
    <x v="0"/>
    <x v="5"/>
    <n v="127.29917648311999"/>
    <n v="46464.199416338801"/>
    <n v="167271.11789882"/>
  </r>
  <r>
    <x v="0"/>
    <x v="0"/>
    <x v="0"/>
    <x v="2"/>
    <x v="3"/>
    <s v="FIN_ESPOO"/>
    <x v="0"/>
    <s v="GBPR_COAL_SUOMENOJA"/>
    <x v="0"/>
    <x v="15"/>
    <n v="127.29917648311999"/>
    <n v="46464.199416338801"/>
    <n v="167271.11789882"/>
  </r>
  <r>
    <x v="0"/>
    <x v="0"/>
    <x v="0"/>
    <x v="2"/>
    <x v="3"/>
    <s v="FIN_ESPOO"/>
    <x v="0"/>
    <s v="GBPR_COAL_SUOMENOJA"/>
    <x v="0"/>
    <x v="6"/>
    <n v="127.29917648311999"/>
    <n v="46464.199416338801"/>
    <n v="167271.11789882"/>
  </r>
  <r>
    <x v="0"/>
    <x v="0"/>
    <x v="0"/>
    <x v="2"/>
    <x v="3"/>
    <s v="FIN_ESPOO"/>
    <x v="0"/>
    <s v="GBPR_COAL_SUOMENOJA"/>
    <x v="0"/>
    <x v="7"/>
    <n v="127.29917648311999"/>
    <n v="46464.199416338801"/>
    <n v="167271.11789882"/>
  </r>
  <r>
    <x v="0"/>
    <x v="0"/>
    <x v="0"/>
    <x v="2"/>
    <x v="3"/>
    <s v="FIN_ESPOO"/>
    <x v="0"/>
    <s v="GBPR_COAL_SUOMENOJA"/>
    <x v="0"/>
    <x v="8"/>
    <n v="127.29917648311999"/>
    <n v="46464.199416338801"/>
    <n v="167271.11789882"/>
  </r>
  <r>
    <x v="0"/>
    <x v="0"/>
    <x v="0"/>
    <x v="2"/>
    <x v="3"/>
    <s v="FIN_ESPOO"/>
    <x v="0"/>
    <s v="GBPR_COAL_SUOMENOJA"/>
    <x v="0"/>
    <x v="16"/>
    <n v="127.29917648311999"/>
    <n v="46464.199416338801"/>
    <n v="167271.11789882"/>
  </r>
  <r>
    <x v="0"/>
    <x v="0"/>
    <x v="0"/>
    <x v="2"/>
    <x v="3"/>
    <s v="FIN_ESPOO"/>
    <x v="0"/>
    <s v="GBPR_COAL_SUOMENOJA"/>
    <x v="0"/>
    <x v="17"/>
    <n v="127.29917648311999"/>
    <n v="46464.199416338801"/>
    <n v="167271.11789882"/>
  </r>
  <r>
    <x v="0"/>
    <x v="0"/>
    <x v="0"/>
    <x v="2"/>
    <x v="3"/>
    <s v="FIN_ESPOO"/>
    <x v="0"/>
    <s v="GBPR_COAL_SUOMENOJA"/>
    <x v="0"/>
    <x v="18"/>
    <n v="127.29917648311999"/>
    <n v="46464.199416338801"/>
    <n v="167271.11789882"/>
  </r>
  <r>
    <x v="0"/>
    <x v="0"/>
    <x v="0"/>
    <x v="2"/>
    <x v="3"/>
    <s v="FIN_ESPOO"/>
    <x v="0"/>
    <s v="GBPR_COAL_SUOMENOJA"/>
    <x v="0"/>
    <x v="19"/>
    <n v="127.29917648311999"/>
    <n v="46464.199416338801"/>
    <n v="167271.11789882"/>
  </r>
  <r>
    <x v="0"/>
    <x v="0"/>
    <x v="0"/>
    <x v="2"/>
    <x v="3"/>
    <s v="FIN_ESPOO"/>
    <x v="0"/>
    <s v="GBPR_COAL_SUOMENOJA"/>
    <x v="0"/>
    <x v="20"/>
    <n v="127.29917648311999"/>
    <n v="46464.199416338801"/>
    <n v="167271.11789882"/>
  </r>
  <r>
    <x v="0"/>
    <x v="0"/>
    <x v="0"/>
    <x v="2"/>
    <x v="3"/>
    <s v="FIN_ESPOO"/>
    <x v="0"/>
    <s v="GBPR_COAL_SUOMENOJA"/>
    <x v="0"/>
    <x v="21"/>
    <n v="127.29917648311999"/>
    <n v="46464.199416338801"/>
    <n v="167271.11789882"/>
  </r>
  <r>
    <x v="0"/>
    <x v="0"/>
    <x v="0"/>
    <x v="2"/>
    <x v="3"/>
    <s v="FIN_ESPOO"/>
    <x v="0"/>
    <s v="GBPR_COAL_SUOMENOJA"/>
    <x v="0"/>
    <x v="22"/>
    <n v="127.29917648311999"/>
    <n v="46464.199416338801"/>
    <n v="167271.11789882"/>
  </r>
  <r>
    <x v="0"/>
    <x v="0"/>
    <x v="0"/>
    <x v="2"/>
    <x v="3"/>
    <s v="FIN_ESPOO"/>
    <x v="5"/>
    <s v="GBPR_NATGAS_SUOMENOJA"/>
    <x v="0"/>
    <x v="1"/>
    <n v="31.494586383404101"/>
    <n v="11495.5240299425"/>
    <n v="41383.886507793002"/>
  </r>
  <r>
    <x v="0"/>
    <x v="0"/>
    <x v="0"/>
    <x v="2"/>
    <x v="3"/>
    <s v="FIN_ESPOO"/>
    <x v="5"/>
    <s v="GBPR_NATGAS_SUOMENOJA"/>
    <x v="0"/>
    <x v="23"/>
    <n v="29.3758645791285"/>
    <n v="10722.1905713819"/>
    <n v="38599.886056974901"/>
  </r>
  <r>
    <x v="0"/>
    <x v="0"/>
    <x v="0"/>
    <x v="2"/>
    <x v="3"/>
    <s v="FIN_ESPOO"/>
    <x v="5"/>
    <s v="GBPR_NATGAS_SUOMENOJA2"/>
    <x v="0"/>
    <x v="0"/>
    <n v="160.07686879715101"/>
    <n v="58428.057110959897"/>
    <n v="210341.005599456"/>
  </r>
  <r>
    <x v="0"/>
    <x v="0"/>
    <x v="0"/>
    <x v="2"/>
    <x v="3"/>
    <s v="FIN_ESPOO"/>
    <x v="5"/>
    <s v="GBPR_NATGAS_SUOMENOJA2"/>
    <x v="0"/>
    <x v="14"/>
    <n v="214.00000000000099"/>
    <n v="78110.000000000204"/>
    <n v="281196.00000000099"/>
  </r>
  <r>
    <x v="0"/>
    <x v="0"/>
    <x v="0"/>
    <x v="2"/>
    <x v="3"/>
    <s v="FIN_ESPOO"/>
    <x v="5"/>
    <s v="GBPR_NATGAS_SUOMENOJA2"/>
    <x v="0"/>
    <x v="1"/>
    <n v="214.00000000000099"/>
    <n v="78110.000000000204"/>
    <n v="281196.00000000099"/>
  </r>
  <r>
    <x v="0"/>
    <x v="0"/>
    <x v="0"/>
    <x v="2"/>
    <x v="3"/>
    <s v="FIN_ESPOO"/>
    <x v="5"/>
    <s v="GBPR_NATGAS_SUOMENOJA2"/>
    <x v="0"/>
    <x v="23"/>
    <n v="214.00000000000099"/>
    <n v="78110.000000000204"/>
    <n v="281196.00000000099"/>
  </r>
  <r>
    <x v="0"/>
    <x v="0"/>
    <x v="0"/>
    <x v="2"/>
    <x v="3"/>
    <s v="FIN_ESPOO"/>
    <x v="5"/>
    <s v="GBPR_NATGAS_SUOMENOJA2"/>
    <x v="0"/>
    <x v="2"/>
    <n v="214.00000000000099"/>
    <n v="78110.000000000204"/>
    <n v="281196.00000000099"/>
  </r>
  <r>
    <x v="0"/>
    <x v="0"/>
    <x v="0"/>
    <x v="2"/>
    <x v="3"/>
    <s v="FIN_ESPOO"/>
    <x v="5"/>
    <s v="GBPR_NATGAS_SUOMENOJA2"/>
    <x v="0"/>
    <x v="3"/>
    <n v="214.00000000000099"/>
    <n v="78110.000000000204"/>
    <n v="281196.00000000099"/>
  </r>
  <r>
    <x v="0"/>
    <x v="0"/>
    <x v="0"/>
    <x v="2"/>
    <x v="3"/>
    <s v="FIN_ESPOO"/>
    <x v="5"/>
    <s v="GBPR_NATGAS_SUOMENOJA2"/>
    <x v="0"/>
    <x v="4"/>
    <n v="214.00000000000099"/>
    <n v="78110.000000000204"/>
    <n v="281196.00000000099"/>
  </r>
  <r>
    <x v="0"/>
    <x v="0"/>
    <x v="0"/>
    <x v="2"/>
    <x v="3"/>
    <s v="FIN_ESPOO"/>
    <x v="5"/>
    <s v="GBPR_NATGAS_SUOMENOJA2"/>
    <x v="0"/>
    <x v="5"/>
    <n v="214.00000000000099"/>
    <n v="78110.000000000204"/>
    <n v="281196.00000000099"/>
  </r>
  <r>
    <x v="0"/>
    <x v="0"/>
    <x v="0"/>
    <x v="2"/>
    <x v="3"/>
    <s v="FIN_ESPOO"/>
    <x v="5"/>
    <s v="GBPR_NATGAS_SUOMENOJA2"/>
    <x v="0"/>
    <x v="15"/>
    <n v="214.00000000000099"/>
    <n v="78110.000000000204"/>
    <n v="281196.00000000099"/>
  </r>
  <r>
    <x v="0"/>
    <x v="0"/>
    <x v="0"/>
    <x v="2"/>
    <x v="3"/>
    <s v="FIN_ESPOO"/>
    <x v="5"/>
    <s v="GBPR_NATGAS_SUOMENOJA2"/>
    <x v="0"/>
    <x v="6"/>
    <n v="214.00000000000099"/>
    <n v="78110.000000000204"/>
    <n v="281196.00000000099"/>
  </r>
  <r>
    <x v="0"/>
    <x v="0"/>
    <x v="0"/>
    <x v="2"/>
    <x v="3"/>
    <s v="FIN_ESPOO"/>
    <x v="5"/>
    <s v="GBPR_NATGAS_SUOMENOJA2"/>
    <x v="0"/>
    <x v="7"/>
    <n v="214.00000000000099"/>
    <n v="78110.000000000204"/>
    <n v="281196.00000000099"/>
  </r>
  <r>
    <x v="0"/>
    <x v="0"/>
    <x v="0"/>
    <x v="2"/>
    <x v="3"/>
    <s v="FIN_ESPOO"/>
    <x v="5"/>
    <s v="GBPR_NATGAS_SUOMENOJA2"/>
    <x v="0"/>
    <x v="8"/>
    <n v="214.00000000000099"/>
    <n v="78110.000000000204"/>
    <n v="281196.00000000099"/>
  </r>
  <r>
    <x v="0"/>
    <x v="0"/>
    <x v="0"/>
    <x v="2"/>
    <x v="3"/>
    <s v="FIN_ESPOO"/>
    <x v="5"/>
    <s v="GBPR_NATGAS_SUOMENOJA2"/>
    <x v="0"/>
    <x v="16"/>
    <n v="207.17364619366799"/>
    <n v="75618.380860688907"/>
    <n v="272226.17109848"/>
  </r>
  <r>
    <x v="0"/>
    <x v="0"/>
    <x v="0"/>
    <x v="2"/>
    <x v="3"/>
    <s v="FIN_ESPOO"/>
    <x v="5"/>
    <s v="GBPR_NATGAS_SUOMENOJA2"/>
    <x v="0"/>
    <x v="17"/>
    <n v="203.39087728560099"/>
    <n v="74237.670209244403"/>
    <n v="267255.61275327997"/>
  </r>
  <r>
    <x v="0"/>
    <x v="0"/>
    <x v="0"/>
    <x v="2"/>
    <x v="3"/>
    <s v="FIN_ESPOO"/>
    <x v="5"/>
    <s v="GBPR_NATGAS_SUOMENOJA2"/>
    <x v="0"/>
    <x v="18"/>
    <n v="198.147217229517"/>
    <n v="72323.734288773703"/>
    <n v="260365.44343958501"/>
  </r>
  <r>
    <x v="0"/>
    <x v="0"/>
    <x v="0"/>
    <x v="2"/>
    <x v="3"/>
    <s v="FIN_ESPOO"/>
    <x v="5"/>
    <s v="GBPR_NATGAS_SUOMENOJA2"/>
    <x v="0"/>
    <x v="19"/>
    <n v="171.58669290138101"/>
    <n v="62629.142909003902"/>
    <n v="225464.91447241401"/>
  </r>
  <r>
    <x v="0"/>
    <x v="0"/>
    <x v="0"/>
    <x v="2"/>
    <x v="3"/>
    <s v="FIN_ESPOO"/>
    <x v="5"/>
    <s v="GBPR_NATGAS_SUOMENOJA2"/>
    <x v="0"/>
    <x v="20"/>
    <n v="162.73786790642001"/>
    <n v="59399.321785843298"/>
    <n v="213837.558429036"/>
  </r>
  <r>
    <x v="0"/>
    <x v="0"/>
    <x v="0"/>
    <x v="2"/>
    <x v="3"/>
    <s v="FIN_ESPOO"/>
    <x v="5"/>
    <s v="GBPR_NATGAS_SUOMENOJA2"/>
    <x v="0"/>
    <x v="21"/>
    <n v="63.5432868294209"/>
    <n v="23193.299692738601"/>
    <n v="83495.878893859102"/>
  </r>
  <r>
    <x v="0"/>
    <x v="0"/>
    <x v="0"/>
    <x v="2"/>
    <x v="3"/>
    <s v="FIN_ESPOO"/>
    <x v="5"/>
    <s v="GHOB_NATGAS"/>
    <x v="0"/>
    <x v="9"/>
    <n v="134.440612469234"/>
    <n v="49070.823551270201"/>
    <n v="176654.96478457301"/>
  </r>
  <r>
    <x v="0"/>
    <x v="0"/>
    <x v="0"/>
    <x v="2"/>
    <x v="3"/>
    <s v="FIN_ESPOO"/>
    <x v="5"/>
    <s v="GHOB_NATGAS"/>
    <x v="0"/>
    <x v="10"/>
    <n v="130.54723871349699"/>
    <n v="47649.742130426297"/>
    <n v="171539.07166953501"/>
  </r>
  <r>
    <x v="0"/>
    <x v="0"/>
    <x v="0"/>
    <x v="2"/>
    <x v="3"/>
    <s v="FIN_ESPOO"/>
    <x v="5"/>
    <s v="GHOB_NATGAS"/>
    <x v="0"/>
    <x v="11"/>
    <n v="130.844642389234"/>
    <n v="47758.2944720702"/>
    <n v="171929.86009945301"/>
  </r>
  <r>
    <x v="0"/>
    <x v="0"/>
    <x v="0"/>
    <x v="2"/>
    <x v="3"/>
    <s v="FIN_ESPOO"/>
    <x v="5"/>
    <s v="GHOB_NATGAS"/>
    <x v="0"/>
    <x v="12"/>
    <n v="134.383833395077"/>
    <n v="49050.099189203102"/>
    <n v="176580.35708113099"/>
  </r>
  <r>
    <x v="0"/>
    <x v="0"/>
    <x v="0"/>
    <x v="2"/>
    <x v="3"/>
    <s v="FIN_ESPOO"/>
    <x v="5"/>
    <s v="GHOB_NATGAS"/>
    <x v="0"/>
    <x v="13"/>
    <n v="143.30979198003001"/>
    <n v="52308.074072710799"/>
    <n v="188309.06666175899"/>
  </r>
  <r>
    <x v="0"/>
    <x v="0"/>
    <x v="0"/>
    <x v="2"/>
    <x v="3"/>
    <s v="FIN_ESPOO"/>
    <x v="5"/>
    <s v="GHOB_NATGAS"/>
    <x v="0"/>
    <x v="0"/>
    <n v="6.3854570038532001"/>
    <n v="2330.6918064064198"/>
    <n v="8390.4905030631107"/>
  </r>
  <r>
    <x v="0"/>
    <x v="0"/>
    <x v="0"/>
    <x v="2"/>
    <x v="3"/>
    <s v="FIN_ESPOO"/>
    <x v="5"/>
    <s v="GHOB_NATGAS"/>
    <x v="0"/>
    <x v="14"/>
    <n v="5.5263864491557397"/>
    <n v="2017.13105394184"/>
    <n v="7261.67179419064"/>
  </r>
  <r>
    <x v="0"/>
    <x v="0"/>
    <x v="0"/>
    <x v="2"/>
    <x v="3"/>
    <s v="FIN_ESPOO"/>
    <x v="5"/>
    <s v="GHOB_NATGAS"/>
    <x v="0"/>
    <x v="2"/>
    <n v="21.278967225243001"/>
    <n v="7766.8230372136904"/>
    <n v="27960.562933969301"/>
  </r>
  <r>
    <x v="0"/>
    <x v="0"/>
    <x v="0"/>
    <x v="2"/>
    <x v="3"/>
    <s v="FIN_ESPOO"/>
    <x v="5"/>
    <s v="GHOB_NATGAS"/>
    <x v="0"/>
    <x v="3"/>
    <n v="8.9255539284864795"/>
    <n v="3257.8271838975702"/>
    <n v="11728.1778620312"/>
  </r>
  <r>
    <x v="0"/>
    <x v="0"/>
    <x v="0"/>
    <x v="2"/>
    <x v="3"/>
    <s v="FIN_ESPOO"/>
    <x v="5"/>
    <s v="GHOB_NATGAS"/>
    <x v="0"/>
    <x v="21"/>
    <n v="86.180678562009803"/>
    <n v="31455.947675133601"/>
    <n v="113241.411630481"/>
  </r>
  <r>
    <x v="0"/>
    <x v="0"/>
    <x v="0"/>
    <x v="2"/>
    <x v="3"/>
    <s v="FIN_ESPOO"/>
    <x v="5"/>
    <s v="GHOB_NATGAS"/>
    <x v="0"/>
    <x v="22"/>
    <n v="134.420285034274"/>
    <n v="49063.404037510001"/>
    <n v="176628.25453503599"/>
  </r>
  <r>
    <x v="0"/>
    <x v="0"/>
    <x v="0"/>
    <x v="2"/>
    <x v="3"/>
    <s v="FIN_ESPOO"/>
    <x v="12"/>
    <s v="GHOB_NATGAS_EXETS"/>
    <x v="0"/>
    <x v="9"/>
    <n v="20"/>
    <n v="7300"/>
    <n v="26280"/>
  </r>
  <r>
    <x v="0"/>
    <x v="0"/>
    <x v="0"/>
    <x v="2"/>
    <x v="3"/>
    <s v="FIN_ESPOO"/>
    <x v="12"/>
    <s v="GHOB_NATGAS_EXETS"/>
    <x v="0"/>
    <x v="10"/>
    <n v="20"/>
    <n v="7300"/>
    <n v="26280"/>
  </r>
  <r>
    <x v="0"/>
    <x v="0"/>
    <x v="0"/>
    <x v="2"/>
    <x v="3"/>
    <s v="FIN_ESPOO"/>
    <x v="12"/>
    <s v="GHOB_NATGAS_EXETS"/>
    <x v="0"/>
    <x v="11"/>
    <n v="20"/>
    <n v="7300"/>
    <n v="26280"/>
  </r>
  <r>
    <x v="0"/>
    <x v="0"/>
    <x v="0"/>
    <x v="2"/>
    <x v="3"/>
    <s v="FIN_ESPOO"/>
    <x v="12"/>
    <s v="GHOB_NATGAS_EXETS"/>
    <x v="0"/>
    <x v="12"/>
    <n v="20"/>
    <n v="7300"/>
    <n v="26280"/>
  </r>
  <r>
    <x v="0"/>
    <x v="0"/>
    <x v="0"/>
    <x v="2"/>
    <x v="3"/>
    <s v="FIN_ESPOO"/>
    <x v="12"/>
    <s v="GHOB_NATGAS_EXETS"/>
    <x v="0"/>
    <x v="13"/>
    <n v="20"/>
    <n v="7300"/>
    <n v="26280"/>
  </r>
  <r>
    <x v="0"/>
    <x v="0"/>
    <x v="0"/>
    <x v="2"/>
    <x v="3"/>
    <s v="FIN_ESPOO"/>
    <x v="12"/>
    <s v="GHOB_NATGAS_EXETS"/>
    <x v="0"/>
    <x v="0"/>
    <n v="20"/>
    <n v="7300"/>
    <n v="26280"/>
  </r>
  <r>
    <x v="0"/>
    <x v="0"/>
    <x v="0"/>
    <x v="2"/>
    <x v="3"/>
    <s v="FIN_ESPOO"/>
    <x v="12"/>
    <s v="GHOB_NATGAS_EXETS"/>
    <x v="0"/>
    <x v="14"/>
    <n v="20"/>
    <n v="7300"/>
    <n v="26280"/>
  </r>
  <r>
    <x v="0"/>
    <x v="0"/>
    <x v="0"/>
    <x v="2"/>
    <x v="3"/>
    <s v="FIN_ESPOO"/>
    <x v="12"/>
    <s v="GHOB_NATGAS_EXETS"/>
    <x v="0"/>
    <x v="1"/>
    <n v="20"/>
    <n v="7300"/>
    <n v="26280"/>
  </r>
  <r>
    <x v="0"/>
    <x v="0"/>
    <x v="0"/>
    <x v="2"/>
    <x v="3"/>
    <s v="FIN_ESPOO"/>
    <x v="12"/>
    <s v="GHOB_NATGAS_EXETS"/>
    <x v="0"/>
    <x v="23"/>
    <n v="20"/>
    <n v="7300"/>
    <n v="26280"/>
  </r>
  <r>
    <x v="0"/>
    <x v="0"/>
    <x v="0"/>
    <x v="2"/>
    <x v="3"/>
    <s v="FIN_ESPOO"/>
    <x v="12"/>
    <s v="GHOB_NATGAS_EXETS"/>
    <x v="0"/>
    <x v="2"/>
    <n v="20"/>
    <n v="7300"/>
    <n v="26280"/>
  </r>
  <r>
    <x v="0"/>
    <x v="0"/>
    <x v="0"/>
    <x v="2"/>
    <x v="3"/>
    <s v="FIN_ESPOO"/>
    <x v="12"/>
    <s v="GHOB_NATGAS_EXETS"/>
    <x v="0"/>
    <x v="3"/>
    <n v="20"/>
    <n v="7300"/>
    <n v="26280"/>
  </r>
  <r>
    <x v="0"/>
    <x v="0"/>
    <x v="0"/>
    <x v="2"/>
    <x v="3"/>
    <s v="FIN_ESPOO"/>
    <x v="12"/>
    <s v="GHOB_NATGAS_EXETS"/>
    <x v="0"/>
    <x v="4"/>
    <n v="18.199001313181299"/>
    <n v="6642.6354793111695"/>
    <n v="23913.487725520201"/>
  </r>
  <r>
    <x v="0"/>
    <x v="0"/>
    <x v="0"/>
    <x v="2"/>
    <x v="3"/>
    <s v="FIN_ESPOO"/>
    <x v="12"/>
    <s v="GHOB_NATGAS_EXETS"/>
    <x v="0"/>
    <x v="5"/>
    <n v="10.1217568532036"/>
    <n v="3694.44125141933"/>
    <n v="13299.988505109601"/>
  </r>
  <r>
    <x v="0"/>
    <x v="0"/>
    <x v="0"/>
    <x v="2"/>
    <x v="3"/>
    <s v="FIN_ESPOO"/>
    <x v="12"/>
    <s v="GHOB_NATGAS_EXETS"/>
    <x v="0"/>
    <x v="15"/>
    <n v="7.2783453695761997"/>
    <n v="2656.5960598953102"/>
    <n v="9563.7458156231296"/>
  </r>
  <r>
    <x v="0"/>
    <x v="0"/>
    <x v="0"/>
    <x v="2"/>
    <x v="3"/>
    <s v="FIN_ESPOO"/>
    <x v="12"/>
    <s v="GHOB_NATGAS_EXETS"/>
    <x v="0"/>
    <x v="6"/>
    <n v="5.8105515848147498"/>
    <n v="2120.8513284573801"/>
    <n v="7635.0647824465796"/>
  </r>
  <r>
    <x v="0"/>
    <x v="0"/>
    <x v="0"/>
    <x v="2"/>
    <x v="3"/>
    <s v="FIN_ESPOO"/>
    <x v="12"/>
    <s v="GHOB_NATGAS_EXETS"/>
    <x v="0"/>
    <x v="7"/>
    <n v="8.3134795667404102"/>
    <n v="3034.42004186025"/>
    <n v="10923.9121506969"/>
  </r>
  <r>
    <x v="0"/>
    <x v="0"/>
    <x v="0"/>
    <x v="2"/>
    <x v="3"/>
    <s v="FIN_ESPOO"/>
    <x v="12"/>
    <s v="GHOB_NATGAS_EXETS"/>
    <x v="0"/>
    <x v="8"/>
    <n v="2.15367172208984"/>
    <n v="786.09017856279104"/>
    <n v="2829.9246428260499"/>
  </r>
  <r>
    <x v="0"/>
    <x v="0"/>
    <x v="0"/>
    <x v="2"/>
    <x v="3"/>
    <s v="FIN_ESPOO"/>
    <x v="12"/>
    <s v="GHOB_NATGAS_EXETS"/>
    <x v="0"/>
    <x v="19"/>
    <n v="20"/>
    <n v="7300"/>
    <n v="26280"/>
  </r>
  <r>
    <x v="0"/>
    <x v="0"/>
    <x v="0"/>
    <x v="2"/>
    <x v="3"/>
    <s v="FIN_ESPOO"/>
    <x v="12"/>
    <s v="GHOB_NATGAS_EXETS"/>
    <x v="0"/>
    <x v="20"/>
    <n v="20"/>
    <n v="7300"/>
    <n v="26280"/>
  </r>
  <r>
    <x v="0"/>
    <x v="0"/>
    <x v="0"/>
    <x v="2"/>
    <x v="3"/>
    <s v="FIN_ESPOO"/>
    <x v="12"/>
    <s v="GHOB_NATGAS_EXETS"/>
    <x v="0"/>
    <x v="21"/>
    <n v="20"/>
    <n v="7300"/>
    <n v="26280"/>
  </r>
  <r>
    <x v="0"/>
    <x v="0"/>
    <x v="0"/>
    <x v="2"/>
    <x v="3"/>
    <s v="FIN_ESPOO"/>
    <x v="12"/>
    <s v="GHOB_NATGAS_EXETS"/>
    <x v="0"/>
    <x v="22"/>
    <n v="20"/>
    <n v="7300"/>
    <n v="26280"/>
  </r>
  <r>
    <x v="0"/>
    <x v="0"/>
    <x v="0"/>
    <x v="2"/>
    <x v="3"/>
    <s v="FIN_GAS"/>
    <x v="5"/>
    <s v="GBPR_NATGAS_GASAREA"/>
    <x v="0"/>
    <x v="1"/>
    <n v="111.320754716981"/>
    <n v="40632.075471698103"/>
    <n v="146275.47169811299"/>
  </r>
  <r>
    <x v="0"/>
    <x v="0"/>
    <x v="0"/>
    <x v="2"/>
    <x v="3"/>
    <s v="FIN_GAS"/>
    <x v="5"/>
    <s v="GBPR_NATGAS_GASAREA"/>
    <x v="0"/>
    <x v="23"/>
    <n v="111.320754716981"/>
    <n v="40632.075471698103"/>
    <n v="146275.47169811299"/>
  </r>
  <r>
    <x v="0"/>
    <x v="0"/>
    <x v="0"/>
    <x v="2"/>
    <x v="3"/>
    <s v="FIN_GAS"/>
    <x v="5"/>
    <s v="GBPR_NATGAS_GASAREA"/>
    <x v="0"/>
    <x v="2"/>
    <n v="111.320754716981"/>
    <n v="40632.075471698103"/>
    <n v="146275.47169811299"/>
  </r>
  <r>
    <x v="0"/>
    <x v="0"/>
    <x v="0"/>
    <x v="2"/>
    <x v="3"/>
    <s v="FIN_GAS"/>
    <x v="5"/>
    <s v="GBPR_NATGAS_GASAREA"/>
    <x v="0"/>
    <x v="17"/>
    <n v="67.552391956798701"/>
    <n v="24656.623064231499"/>
    <n v="88763.843031233395"/>
  </r>
  <r>
    <x v="0"/>
    <x v="0"/>
    <x v="0"/>
    <x v="2"/>
    <x v="3"/>
    <s v="FIN_GAS"/>
    <x v="12"/>
    <s v="GHOB_NATGAS_EXETS"/>
    <x v="0"/>
    <x v="9"/>
    <n v="129.52860767244599"/>
    <n v="47277.941800442903"/>
    <n v="170200.590481594"/>
  </r>
  <r>
    <x v="0"/>
    <x v="0"/>
    <x v="0"/>
    <x v="2"/>
    <x v="3"/>
    <s v="FIN_GAS"/>
    <x v="12"/>
    <s v="GHOB_NATGAS_EXETS"/>
    <x v="0"/>
    <x v="10"/>
    <n v="128.11397551797"/>
    <n v="46761.601064058901"/>
    <n v="168341.76383061201"/>
  </r>
  <r>
    <x v="0"/>
    <x v="0"/>
    <x v="0"/>
    <x v="2"/>
    <x v="3"/>
    <s v="FIN_GAS"/>
    <x v="12"/>
    <s v="GHOB_NATGAS_EXETS"/>
    <x v="0"/>
    <x v="11"/>
    <n v="128.920468403635"/>
    <n v="47055.970967326997"/>
    <n v="169401.49548237701"/>
  </r>
  <r>
    <x v="0"/>
    <x v="0"/>
    <x v="0"/>
    <x v="2"/>
    <x v="3"/>
    <s v="FIN_GAS"/>
    <x v="12"/>
    <s v="GHOB_NATGAS_EXETS"/>
    <x v="0"/>
    <x v="12"/>
    <n v="131.89304732382701"/>
    <n v="48140.962273196797"/>
    <n v="173307.464183509"/>
  </r>
  <r>
    <x v="0"/>
    <x v="0"/>
    <x v="0"/>
    <x v="2"/>
    <x v="3"/>
    <s v="FIN_GAS"/>
    <x v="12"/>
    <s v="GHOB_NATGAS_EXETS"/>
    <x v="0"/>
    <x v="13"/>
    <n v="139.13587041128"/>
    <n v="50784.592700117202"/>
    <n v="182824.53372042201"/>
  </r>
  <r>
    <x v="0"/>
    <x v="0"/>
    <x v="0"/>
    <x v="2"/>
    <x v="3"/>
    <s v="FIN_GAS"/>
    <x v="12"/>
    <s v="GHOB_NATGAS_EXETS"/>
    <x v="0"/>
    <x v="0"/>
    <n v="152.52372111809899"/>
    <n v="55671.158208105997"/>
    <n v="200416.169549182"/>
  </r>
  <r>
    <x v="0"/>
    <x v="0"/>
    <x v="0"/>
    <x v="2"/>
    <x v="3"/>
    <s v="FIN_GAS"/>
    <x v="12"/>
    <s v="GHOB_NATGAS_EXETS"/>
    <x v="0"/>
    <x v="14"/>
    <n v="179.52607491453901"/>
    <n v="65527.017343806598"/>
    <n v="235897.26243770399"/>
  </r>
  <r>
    <x v="0"/>
    <x v="0"/>
    <x v="0"/>
    <x v="2"/>
    <x v="3"/>
    <s v="FIN_GAS"/>
    <x v="12"/>
    <s v="GHOB_NATGAS_EXETS"/>
    <x v="0"/>
    <x v="1"/>
    <n v="84.297365572639094"/>
    <n v="30768.538434013299"/>
    <n v="110766.738362448"/>
  </r>
  <r>
    <x v="0"/>
    <x v="0"/>
    <x v="0"/>
    <x v="2"/>
    <x v="3"/>
    <s v="FIN_GAS"/>
    <x v="12"/>
    <s v="GHOB_NATGAS_EXETS"/>
    <x v="0"/>
    <x v="23"/>
    <n v="88.332670545797399"/>
    <n v="32241.424749216101"/>
    <n v="116069.129097178"/>
  </r>
  <r>
    <x v="0"/>
    <x v="0"/>
    <x v="0"/>
    <x v="2"/>
    <x v="3"/>
    <s v="FIN_GAS"/>
    <x v="12"/>
    <s v="GHOB_NATGAS_EXETS"/>
    <x v="0"/>
    <x v="2"/>
    <n v="89.374025461481907"/>
    <n v="32621.519293440899"/>
    <n v="117437.469456387"/>
  </r>
  <r>
    <x v="0"/>
    <x v="0"/>
    <x v="0"/>
    <x v="2"/>
    <x v="3"/>
    <s v="FIN_GAS"/>
    <x v="12"/>
    <s v="GHOB_NATGAS_EXETS"/>
    <x v="0"/>
    <x v="3"/>
    <n v="194.86282267246901"/>
    <n v="71124.930275451305"/>
    <n v="256049.74899162501"/>
  </r>
  <r>
    <x v="0"/>
    <x v="0"/>
    <x v="0"/>
    <x v="2"/>
    <x v="3"/>
    <s v="FIN_GAS"/>
    <x v="12"/>
    <s v="GHOB_NATGAS_EXETS"/>
    <x v="0"/>
    <x v="4"/>
    <n v="190.98246952916"/>
    <n v="69708.601378143299"/>
    <n v="250950.964961316"/>
  </r>
  <r>
    <x v="0"/>
    <x v="0"/>
    <x v="0"/>
    <x v="2"/>
    <x v="3"/>
    <s v="FIN_GAS"/>
    <x v="12"/>
    <s v="GHOB_NATGAS_EXETS"/>
    <x v="0"/>
    <x v="5"/>
    <n v="189.583489537432"/>
    <n v="69197.973681162897"/>
    <n v="249112.70525218599"/>
  </r>
  <r>
    <x v="0"/>
    <x v="0"/>
    <x v="0"/>
    <x v="2"/>
    <x v="3"/>
    <s v="FIN_GAS"/>
    <x v="12"/>
    <s v="GHOB_NATGAS_EXETS"/>
    <x v="0"/>
    <x v="15"/>
    <n v="189.34996238073799"/>
    <n v="69112.7362689695"/>
    <n v="248805.85056829001"/>
  </r>
  <r>
    <x v="0"/>
    <x v="0"/>
    <x v="0"/>
    <x v="2"/>
    <x v="3"/>
    <s v="FIN_GAS"/>
    <x v="12"/>
    <s v="GHOB_NATGAS_EXETS"/>
    <x v="0"/>
    <x v="6"/>
    <n v="190.34186701887"/>
    <n v="69474.781461887396"/>
    <n v="250109.213262795"/>
  </r>
  <r>
    <x v="0"/>
    <x v="0"/>
    <x v="0"/>
    <x v="2"/>
    <x v="3"/>
    <s v="FIN_GAS"/>
    <x v="12"/>
    <s v="GHOB_NATGAS_EXETS"/>
    <x v="0"/>
    <x v="7"/>
    <n v="195.98280080148999"/>
    <n v="71533.722292543796"/>
    <n v="257521.400253158"/>
  </r>
  <r>
    <x v="0"/>
    <x v="0"/>
    <x v="0"/>
    <x v="2"/>
    <x v="3"/>
    <s v="FIN_GAS"/>
    <x v="12"/>
    <s v="GHOB_NATGAS_EXETS"/>
    <x v="0"/>
    <x v="8"/>
    <n v="191.49771476201201"/>
    <n v="69896.665888134303"/>
    <n v="251627.997197283"/>
  </r>
  <r>
    <x v="0"/>
    <x v="0"/>
    <x v="0"/>
    <x v="2"/>
    <x v="3"/>
    <s v="FIN_GAS"/>
    <x v="12"/>
    <s v="GHOB_NATGAS_EXETS"/>
    <x v="0"/>
    <x v="16"/>
    <n v="187.37738029969501"/>
    <n v="68392.743809388499"/>
    <n v="246213.87771379901"/>
  </r>
  <r>
    <x v="0"/>
    <x v="0"/>
    <x v="0"/>
    <x v="2"/>
    <x v="3"/>
    <s v="FIN_GAS"/>
    <x v="12"/>
    <s v="GHOB_NATGAS_EXETS"/>
    <x v="0"/>
    <x v="17"/>
    <n v="120.529175438628"/>
    <n v="43993.149035099101"/>
    <n v="158375.33652635699"/>
  </r>
  <r>
    <x v="0"/>
    <x v="0"/>
    <x v="0"/>
    <x v="2"/>
    <x v="3"/>
    <s v="FIN_GAS"/>
    <x v="12"/>
    <s v="GHOB_NATGAS_EXETS"/>
    <x v="0"/>
    <x v="18"/>
    <n v="185.11956391503901"/>
    <n v="67568.640828989403"/>
    <n v="243247.10698436201"/>
  </r>
  <r>
    <x v="0"/>
    <x v="0"/>
    <x v="0"/>
    <x v="2"/>
    <x v="3"/>
    <s v="FIN_GAS"/>
    <x v="12"/>
    <s v="GHOB_NATGAS_EXETS"/>
    <x v="0"/>
    <x v="19"/>
    <n v="181.090714855166"/>
    <n v="66098.110922135398"/>
    <n v="237953.19931968799"/>
  </r>
  <r>
    <x v="0"/>
    <x v="0"/>
    <x v="0"/>
    <x v="2"/>
    <x v="3"/>
    <s v="FIN_GAS"/>
    <x v="12"/>
    <s v="GHOB_NATGAS_EXETS"/>
    <x v="0"/>
    <x v="20"/>
    <n v="177.46182307952799"/>
    <n v="64773.565424027802"/>
    <n v="233184.83552650001"/>
  </r>
  <r>
    <x v="0"/>
    <x v="0"/>
    <x v="0"/>
    <x v="2"/>
    <x v="3"/>
    <s v="FIN_GAS"/>
    <x v="12"/>
    <s v="GHOB_NATGAS_EXETS"/>
    <x v="0"/>
    <x v="21"/>
    <n v="168.35195736357599"/>
    <n v="61448.464437705297"/>
    <n v="221214.471975739"/>
  </r>
  <r>
    <x v="0"/>
    <x v="0"/>
    <x v="0"/>
    <x v="2"/>
    <x v="3"/>
    <s v="FIN_GAS"/>
    <x v="12"/>
    <s v="GHOB_NATGAS_EXETS"/>
    <x v="0"/>
    <x v="22"/>
    <n v="160.12969310496001"/>
    <n v="58447.337983310397"/>
    <n v="210410.41673991701"/>
  </r>
  <r>
    <x v="0"/>
    <x v="0"/>
    <x v="0"/>
    <x v="2"/>
    <x v="3"/>
    <s v="FIN_HELS"/>
    <x v="0"/>
    <s v="GBPR_COAL_MARTINLAAKSO"/>
    <x v="0"/>
    <x v="9"/>
    <n v="252.046814563422"/>
    <n v="91997.087315648998"/>
    <n v="331189.514336336"/>
  </r>
  <r>
    <x v="0"/>
    <x v="0"/>
    <x v="0"/>
    <x v="2"/>
    <x v="3"/>
    <s v="FIN_HELS"/>
    <x v="0"/>
    <s v="GBPR_COAL_MARTINLAAKSO"/>
    <x v="0"/>
    <x v="10"/>
    <n v="252.046814563422"/>
    <n v="91997.087315648998"/>
    <n v="331189.514336336"/>
  </r>
  <r>
    <x v="0"/>
    <x v="0"/>
    <x v="0"/>
    <x v="2"/>
    <x v="3"/>
    <s v="FIN_HELS"/>
    <x v="0"/>
    <s v="GBPR_COAL_MARTINLAAKSO"/>
    <x v="0"/>
    <x v="11"/>
    <n v="252.046814563422"/>
    <n v="91997.087315648998"/>
    <n v="331189.514336336"/>
  </r>
  <r>
    <x v="0"/>
    <x v="0"/>
    <x v="0"/>
    <x v="2"/>
    <x v="3"/>
    <s v="FIN_HELS"/>
    <x v="0"/>
    <s v="GBPR_COAL_MARTINLAAKSO"/>
    <x v="0"/>
    <x v="12"/>
    <n v="252.046814563422"/>
    <n v="91997.087315648998"/>
    <n v="331189.514336336"/>
  </r>
  <r>
    <x v="0"/>
    <x v="0"/>
    <x v="0"/>
    <x v="2"/>
    <x v="3"/>
    <s v="FIN_HELS"/>
    <x v="0"/>
    <s v="GBPR_COAL_MARTINLAAKSO"/>
    <x v="0"/>
    <x v="13"/>
    <n v="252.046814563422"/>
    <n v="91997.087315648998"/>
    <n v="331189.514336336"/>
  </r>
  <r>
    <x v="0"/>
    <x v="0"/>
    <x v="0"/>
    <x v="2"/>
    <x v="3"/>
    <s v="FIN_HELS"/>
    <x v="0"/>
    <s v="GBPR_COAL_MARTINLAAKSO"/>
    <x v="0"/>
    <x v="0"/>
    <n v="252.046814563422"/>
    <n v="91997.087315648998"/>
    <n v="331189.514336336"/>
  </r>
  <r>
    <x v="0"/>
    <x v="0"/>
    <x v="0"/>
    <x v="2"/>
    <x v="3"/>
    <s v="FIN_HELS"/>
    <x v="0"/>
    <s v="GBPR_COAL_MARTINLAAKSO"/>
    <x v="0"/>
    <x v="14"/>
    <n v="252.046814563422"/>
    <n v="91997.087315648998"/>
    <n v="331189.514336336"/>
  </r>
  <r>
    <x v="0"/>
    <x v="0"/>
    <x v="0"/>
    <x v="2"/>
    <x v="3"/>
    <s v="FIN_HELS"/>
    <x v="0"/>
    <s v="GBPR_COAL_MARTINLAAKSO"/>
    <x v="0"/>
    <x v="1"/>
    <n v="252.046814563422"/>
    <n v="91997.087315648998"/>
    <n v="331189.514336336"/>
  </r>
  <r>
    <x v="0"/>
    <x v="0"/>
    <x v="0"/>
    <x v="2"/>
    <x v="3"/>
    <s v="FIN_HELS"/>
    <x v="0"/>
    <s v="GBPR_COAL_MARTINLAAKSO"/>
    <x v="0"/>
    <x v="23"/>
    <n v="252.046814563422"/>
    <n v="91997.087315648998"/>
    <n v="331189.514336336"/>
  </r>
  <r>
    <x v="0"/>
    <x v="0"/>
    <x v="0"/>
    <x v="2"/>
    <x v="3"/>
    <s v="FIN_HELS"/>
    <x v="0"/>
    <s v="GBPR_COAL_MARTINLAAKSO"/>
    <x v="0"/>
    <x v="2"/>
    <n v="252.046814563422"/>
    <n v="91997.087315648998"/>
    <n v="331189.514336336"/>
  </r>
  <r>
    <x v="0"/>
    <x v="0"/>
    <x v="0"/>
    <x v="2"/>
    <x v="3"/>
    <s v="FIN_HELS"/>
    <x v="0"/>
    <s v="GBPR_COAL_MARTINLAAKSO"/>
    <x v="0"/>
    <x v="3"/>
    <n v="252.046814563422"/>
    <n v="91997.087315648998"/>
    <n v="331189.514336336"/>
  </r>
  <r>
    <x v="0"/>
    <x v="0"/>
    <x v="0"/>
    <x v="2"/>
    <x v="3"/>
    <s v="FIN_HELS"/>
    <x v="0"/>
    <s v="GBPR_COAL_MARTINLAAKSO"/>
    <x v="0"/>
    <x v="4"/>
    <n v="252.046814563422"/>
    <n v="91997.087315648998"/>
    <n v="331189.514336336"/>
  </r>
  <r>
    <x v="0"/>
    <x v="0"/>
    <x v="0"/>
    <x v="2"/>
    <x v="3"/>
    <s v="FIN_HELS"/>
    <x v="0"/>
    <s v="GBPR_COAL_MARTINLAAKSO"/>
    <x v="0"/>
    <x v="5"/>
    <n v="252.046814563422"/>
    <n v="91997.087315648998"/>
    <n v="331189.514336336"/>
  </r>
  <r>
    <x v="0"/>
    <x v="0"/>
    <x v="0"/>
    <x v="2"/>
    <x v="3"/>
    <s v="FIN_HELS"/>
    <x v="0"/>
    <s v="GBPR_COAL_MARTINLAAKSO"/>
    <x v="0"/>
    <x v="15"/>
    <n v="252.046814563422"/>
    <n v="91997.087315648998"/>
    <n v="331189.514336336"/>
  </r>
  <r>
    <x v="0"/>
    <x v="0"/>
    <x v="0"/>
    <x v="2"/>
    <x v="3"/>
    <s v="FIN_HELS"/>
    <x v="0"/>
    <s v="GBPR_COAL_MARTINLAAKSO"/>
    <x v="0"/>
    <x v="6"/>
    <n v="252.046814563422"/>
    <n v="91997.087315648998"/>
    <n v="331189.514336336"/>
  </r>
  <r>
    <x v="0"/>
    <x v="0"/>
    <x v="0"/>
    <x v="2"/>
    <x v="3"/>
    <s v="FIN_HELS"/>
    <x v="0"/>
    <s v="GBPR_COAL_MARTINLAAKSO"/>
    <x v="0"/>
    <x v="7"/>
    <n v="252.046814563422"/>
    <n v="91997.087315648998"/>
    <n v="331189.514336336"/>
  </r>
  <r>
    <x v="0"/>
    <x v="0"/>
    <x v="0"/>
    <x v="2"/>
    <x v="3"/>
    <s v="FIN_HELS"/>
    <x v="0"/>
    <s v="GBPR_COAL_MARTINLAAKSO"/>
    <x v="0"/>
    <x v="8"/>
    <n v="252.046814563422"/>
    <n v="91997.087315648998"/>
    <n v="331189.514336336"/>
  </r>
  <r>
    <x v="0"/>
    <x v="0"/>
    <x v="0"/>
    <x v="2"/>
    <x v="3"/>
    <s v="FIN_HELS"/>
    <x v="0"/>
    <s v="GBPR_COAL_MARTINLAAKSO"/>
    <x v="0"/>
    <x v="16"/>
    <n v="252.046814563422"/>
    <n v="91997.087315648998"/>
    <n v="331189.514336336"/>
  </r>
  <r>
    <x v="0"/>
    <x v="0"/>
    <x v="0"/>
    <x v="2"/>
    <x v="3"/>
    <s v="FIN_HELS"/>
    <x v="0"/>
    <s v="GBPR_COAL_MARTINLAAKSO"/>
    <x v="0"/>
    <x v="17"/>
    <n v="252.046814563422"/>
    <n v="91997.087315648998"/>
    <n v="331189.514336336"/>
  </r>
  <r>
    <x v="0"/>
    <x v="0"/>
    <x v="0"/>
    <x v="2"/>
    <x v="3"/>
    <s v="FIN_HELS"/>
    <x v="0"/>
    <s v="GBPR_COAL_MARTINLAAKSO"/>
    <x v="0"/>
    <x v="18"/>
    <n v="252.046814563422"/>
    <n v="91997.087315648998"/>
    <n v="331189.514336336"/>
  </r>
  <r>
    <x v="0"/>
    <x v="0"/>
    <x v="0"/>
    <x v="2"/>
    <x v="3"/>
    <s v="FIN_HELS"/>
    <x v="0"/>
    <s v="GBPR_COAL_MARTINLAAKSO"/>
    <x v="0"/>
    <x v="19"/>
    <n v="252.046814563422"/>
    <n v="91997.087315648998"/>
    <n v="331189.514336336"/>
  </r>
  <r>
    <x v="0"/>
    <x v="0"/>
    <x v="0"/>
    <x v="2"/>
    <x v="3"/>
    <s v="FIN_HELS"/>
    <x v="0"/>
    <s v="GBPR_COAL_MARTINLAAKSO"/>
    <x v="0"/>
    <x v="20"/>
    <n v="252.046814563422"/>
    <n v="91997.087315648998"/>
    <n v="331189.514336336"/>
  </r>
  <r>
    <x v="0"/>
    <x v="0"/>
    <x v="0"/>
    <x v="2"/>
    <x v="3"/>
    <s v="FIN_HELS"/>
    <x v="0"/>
    <s v="GBPR_COAL_MARTINLAAKSO"/>
    <x v="0"/>
    <x v="21"/>
    <n v="252.046814563422"/>
    <n v="91997.087315648998"/>
    <n v="331189.514336336"/>
  </r>
  <r>
    <x v="0"/>
    <x v="0"/>
    <x v="0"/>
    <x v="2"/>
    <x v="3"/>
    <s v="FIN_HELS"/>
    <x v="0"/>
    <s v="GBPR_COAL_MARTINLAAKSO"/>
    <x v="0"/>
    <x v="22"/>
    <n v="252.046814563422"/>
    <n v="91997.087315648998"/>
    <n v="331189.514336336"/>
  </r>
  <r>
    <x v="0"/>
    <x v="0"/>
    <x v="0"/>
    <x v="2"/>
    <x v="3"/>
    <s v="FIN_HELS"/>
    <x v="0"/>
    <s v="GBPR_COAL_SALMISAARI"/>
    <x v="0"/>
    <x v="9"/>
    <n v="212.18226736206401"/>
    <n v="77446.527587153498"/>
    <n v="278807.49931375298"/>
  </r>
  <r>
    <x v="0"/>
    <x v="0"/>
    <x v="0"/>
    <x v="2"/>
    <x v="3"/>
    <s v="FIN_HELS"/>
    <x v="0"/>
    <s v="GBPR_COAL_SALMISAARI"/>
    <x v="0"/>
    <x v="10"/>
    <n v="212.18226736206401"/>
    <n v="77446.527587153498"/>
    <n v="278807.49931375298"/>
  </r>
  <r>
    <x v="0"/>
    <x v="0"/>
    <x v="0"/>
    <x v="2"/>
    <x v="3"/>
    <s v="FIN_HELS"/>
    <x v="0"/>
    <s v="GBPR_COAL_SALMISAARI"/>
    <x v="0"/>
    <x v="11"/>
    <n v="212.18226736206401"/>
    <n v="77446.527587153498"/>
    <n v="278807.49931375298"/>
  </r>
  <r>
    <x v="0"/>
    <x v="0"/>
    <x v="0"/>
    <x v="2"/>
    <x v="3"/>
    <s v="FIN_HELS"/>
    <x v="0"/>
    <s v="GBPR_COAL_SALMISAARI"/>
    <x v="0"/>
    <x v="12"/>
    <n v="212.18226736206401"/>
    <n v="77446.527587153498"/>
    <n v="278807.49931375298"/>
  </r>
  <r>
    <x v="0"/>
    <x v="0"/>
    <x v="0"/>
    <x v="2"/>
    <x v="3"/>
    <s v="FIN_HELS"/>
    <x v="0"/>
    <s v="GBPR_COAL_SALMISAARI"/>
    <x v="0"/>
    <x v="13"/>
    <n v="212.18226736206401"/>
    <n v="77446.527587153498"/>
    <n v="278807.49931375298"/>
  </r>
  <r>
    <x v="0"/>
    <x v="0"/>
    <x v="0"/>
    <x v="2"/>
    <x v="3"/>
    <s v="FIN_HELS"/>
    <x v="0"/>
    <s v="GBPR_COAL_SALMISAARI"/>
    <x v="0"/>
    <x v="0"/>
    <n v="212.18226736206401"/>
    <n v="77446.527587153498"/>
    <n v="278807.49931375298"/>
  </r>
  <r>
    <x v="0"/>
    <x v="0"/>
    <x v="0"/>
    <x v="2"/>
    <x v="3"/>
    <s v="FIN_HELS"/>
    <x v="0"/>
    <s v="GBPR_COAL_SALMISAARI"/>
    <x v="0"/>
    <x v="14"/>
    <n v="212.18226736206401"/>
    <n v="77446.527587153498"/>
    <n v="278807.49931375298"/>
  </r>
  <r>
    <x v="0"/>
    <x v="0"/>
    <x v="0"/>
    <x v="2"/>
    <x v="3"/>
    <s v="FIN_HELS"/>
    <x v="0"/>
    <s v="GBPR_COAL_SALMISAARI"/>
    <x v="0"/>
    <x v="1"/>
    <n v="212.18226736206401"/>
    <n v="77446.527587153498"/>
    <n v="278807.49931375298"/>
  </r>
  <r>
    <x v="0"/>
    <x v="0"/>
    <x v="0"/>
    <x v="2"/>
    <x v="3"/>
    <s v="FIN_HELS"/>
    <x v="0"/>
    <s v="GBPR_COAL_SALMISAARI"/>
    <x v="0"/>
    <x v="23"/>
    <n v="212.18226736206401"/>
    <n v="77446.527587153498"/>
    <n v="278807.49931375298"/>
  </r>
  <r>
    <x v="0"/>
    <x v="0"/>
    <x v="0"/>
    <x v="2"/>
    <x v="3"/>
    <s v="FIN_HELS"/>
    <x v="0"/>
    <s v="GBPR_COAL_SALMISAARI"/>
    <x v="0"/>
    <x v="2"/>
    <n v="212.18226736206401"/>
    <n v="77446.527587153498"/>
    <n v="278807.49931375298"/>
  </r>
  <r>
    <x v="0"/>
    <x v="0"/>
    <x v="0"/>
    <x v="2"/>
    <x v="3"/>
    <s v="FIN_HELS"/>
    <x v="0"/>
    <s v="GBPR_COAL_SALMISAARI"/>
    <x v="0"/>
    <x v="3"/>
    <n v="212.18226736206401"/>
    <n v="77446.527587153498"/>
    <n v="278807.49931375298"/>
  </r>
  <r>
    <x v="0"/>
    <x v="0"/>
    <x v="0"/>
    <x v="2"/>
    <x v="3"/>
    <s v="FIN_HELS"/>
    <x v="0"/>
    <s v="GBPR_COAL_SALMISAARI"/>
    <x v="0"/>
    <x v="4"/>
    <n v="212.18226736206401"/>
    <n v="77446.527587153498"/>
    <n v="278807.49931375298"/>
  </r>
  <r>
    <x v="0"/>
    <x v="0"/>
    <x v="0"/>
    <x v="2"/>
    <x v="3"/>
    <s v="FIN_HELS"/>
    <x v="0"/>
    <s v="GBPR_COAL_SALMISAARI"/>
    <x v="0"/>
    <x v="5"/>
    <n v="212.18226736206401"/>
    <n v="77446.527587153498"/>
    <n v="278807.49931375298"/>
  </r>
  <r>
    <x v="0"/>
    <x v="0"/>
    <x v="0"/>
    <x v="2"/>
    <x v="3"/>
    <s v="FIN_HELS"/>
    <x v="0"/>
    <s v="GBPR_COAL_SALMISAARI"/>
    <x v="0"/>
    <x v="15"/>
    <n v="212.18226736206401"/>
    <n v="77446.527587153498"/>
    <n v="278807.49931375298"/>
  </r>
  <r>
    <x v="0"/>
    <x v="0"/>
    <x v="0"/>
    <x v="2"/>
    <x v="3"/>
    <s v="FIN_HELS"/>
    <x v="0"/>
    <s v="GBPR_COAL_SALMISAARI"/>
    <x v="0"/>
    <x v="6"/>
    <n v="212.18226736206401"/>
    <n v="77446.527587153498"/>
    <n v="278807.49931375298"/>
  </r>
  <r>
    <x v="0"/>
    <x v="0"/>
    <x v="0"/>
    <x v="2"/>
    <x v="3"/>
    <s v="FIN_HELS"/>
    <x v="0"/>
    <s v="GBPR_COAL_SALMISAARI"/>
    <x v="0"/>
    <x v="7"/>
    <n v="212.18226736206401"/>
    <n v="77446.527587153498"/>
    <n v="278807.49931375298"/>
  </r>
  <r>
    <x v="0"/>
    <x v="0"/>
    <x v="0"/>
    <x v="2"/>
    <x v="3"/>
    <s v="FIN_HELS"/>
    <x v="0"/>
    <s v="GBPR_COAL_SALMISAARI"/>
    <x v="0"/>
    <x v="8"/>
    <n v="212.18226736206401"/>
    <n v="77446.527587153498"/>
    <n v="278807.49931375298"/>
  </r>
  <r>
    <x v="0"/>
    <x v="0"/>
    <x v="0"/>
    <x v="2"/>
    <x v="3"/>
    <s v="FIN_HELS"/>
    <x v="0"/>
    <s v="GBPR_COAL_SALMISAARI"/>
    <x v="0"/>
    <x v="16"/>
    <n v="212.18226736206401"/>
    <n v="77446.527587153498"/>
    <n v="278807.49931375298"/>
  </r>
  <r>
    <x v="0"/>
    <x v="0"/>
    <x v="0"/>
    <x v="2"/>
    <x v="3"/>
    <s v="FIN_HELS"/>
    <x v="0"/>
    <s v="GBPR_COAL_SALMISAARI"/>
    <x v="0"/>
    <x v="17"/>
    <n v="212.18226736206401"/>
    <n v="77446.527587153498"/>
    <n v="278807.49931375298"/>
  </r>
  <r>
    <x v="0"/>
    <x v="0"/>
    <x v="0"/>
    <x v="2"/>
    <x v="3"/>
    <s v="FIN_HELS"/>
    <x v="0"/>
    <s v="GBPR_COAL_SALMISAARI"/>
    <x v="0"/>
    <x v="18"/>
    <n v="212.18226736206401"/>
    <n v="77446.527587153498"/>
    <n v="278807.49931375298"/>
  </r>
  <r>
    <x v="0"/>
    <x v="0"/>
    <x v="0"/>
    <x v="2"/>
    <x v="3"/>
    <s v="FIN_HELS"/>
    <x v="0"/>
    <s v="GBPR_COAL_SALMISAARI"/>
    <x v="0"/>
    <x v="19"/>
    <n v="212.18226736206401"/>
    <n v="77446.527587153498"/>
    <n v="278807.49931375298"/>
  </r>
  <r>
    <x v="0"/>
    <x v="0"/>
    <x v="0"/>
    <x v="2"/>
    <x v="3"/>
    <s v="FIN_HELS"/>
    <x v="0"/>
    <s v="GBPR_COAL_SALMISAARI"/>
    <x v="0"/>
    <x v="20"/>
    <n v="212.18226736206401"/>
    <n v="77446.527587153498"/>
    <n v="278807.49931375298"/>
  </r>
  <r>
    <x v="0"/>
    <x v="0"/>
    <x v="0"/>
    <x v="2"/>
    <x v="3"/>
    <s v="FIN_HELS"/>
    <x v="0"/>
    <s v="GBPR_COAL_SALMISAARI"/>
    <x v="0"/>
    <x v="21"/>
    <n v="212.18226736206401"/>
    <n v="77446.527587153498"/>
    <n v="278807.49931375298"/>
  </r>
  <r>
    <x v="0"/>
    <x v="0"/>
    <x v="0"/>
    <x v="2"/>
    <x v="3"/>
    <s v="FIN_HELS"/>
    <x v="0"/>
    <s v="GBPR_COAL_SALMISAARI"/>
    <x v="0"/>
    <x v="22"/>
    <n v="212.18226736206401"/>
    <n v="77446.527587153498"/>
    <n v="278807.49931375298"/>
  </r>
  <r>
    <x v="0"/>
    <x v="0"/>
    <x v="0"/>
    <x v="2"/>
    <x v="3"/>
    <s v="FIN_HELS"/>
    <x v="0"/>
    <s v="GHOB_COAL"/>
    <x v="0"/>
    <x v="9"/>
    <n v="213.75398786104299"/>
    <n v="78020.205569280501"/>
    <n v="280872.74004940997"/>
  </r>
  <r>
    <x v="0"/>
    <x v="0"/>
    <x v="0"/>
    <x v="2"/>
    <x v="3"/>
    <s v="FIN_HELS"/>
    <x v="0"/>
    <s v="GHOB_COAL"/>
    <x v="0"/>
    <x v="10"/>
    <n v="213.75398786104299"/>
    <n v="78020.205569280501"/>
    <n v="280872.74004940997"/>
  </r>
  <r>
    <x v="0"/>
    <x v="0"/>
    <x v="0"/>
    <x v="2"/>
    <x v="3"/>
    <s v="FIN_HELS"/>
    <x v="0"/>
    <s v="GHOB_COAL"/>
    <x v="0"/>
    <x v="11"/>
    <n v="213.75398786104299"/>
    <n v="78020.205569280501"/>
    <n v="280872.74004940997"/>
  </r>
  <r>
    <x v="0"/>
    <x v="0"/>
    <x v="0"/>
    <x v="2"/>
    <x v="3"/>
    <s v="FIN_HELS"/>
    <x v="0"/>
    <s v="GHOB_COAL"/>
    <x v="0"/>
    <x v="12"/>
    <n v="213.75398786104299"/>
    <n v="78020.205569280501"/>
    <n v="280872.74004940997"/>
  </r>
  <r>
    <x v="0"/>
    <x v="0"/>
    <x v="0"/>
    <x v="2"/>
    <x v="3"/>
    <s v="FIN_HELS"/>
    <x v="0"/>
    <s v="GHOB_COAL"/>
    <x v="0"/>
    <x v="13"/>
    <n v="213.75398786104299"/>
    <n v="78020.205569280501"/>
    <n v="280872.74004940997"/>
  </r>
  <r>
    <x v="0"/>
    <x v="0"/>
    <x v="0"/>
    <x v="2"/>
    <x v="3"/>
    <s v="FIN_HELS"/>
    <x v="0"/>
    <s v="GHOB_COAL"/>
    <x v="0"/>
    <x v="0"/>
    <n v="213.75398786104299"/>
    <n v="78020.205569280501"/>
    <n v="280872.74004940997"/>
  </r>
  <r>
    <x v="0"/>
    <x v="0"/>
    <x v="0"/>
    <x v="2"/>
    <x v="3"/>
    <s v="FIN_HELS"/>
    <x v="0"/>
    <s v="GHOB_COAL"/>
    <x v="0"/>
    <x v="14"/>
    <n v="213.75398786104299"/>
    <n v="78020.205569280501"/>
    <n v="280872.74004940997"/>
  </r>
  <r>
    <x v="0"/>
    <x v="0"/>
    <x v="0"/>
    <x v="2"/>
    <x v="3"/>
    <s v="FIN_HELS"/>
    <x v="0"/>
    <s v="GHOB_COAL"/>
    <x v="0"/>
    <x v="1"/>
    <n v="213.75398786104299"/>
    <n v="78020.205569280501"/>
    <n v="280872.74004940997"/>
  </r>
  <r>
    <x v="0"/>
    <x v="0"/>
    <x v="0"/>
    <x v="2"/>
    <x v="3"/>
    <s v="FIN_HELS"/>
    <x v="0"/>
    <s v="GHOB_COAL"/>
    <x v="0"/>
    <x v="23"/>
    <n v="213.75398786104299"/>
    <n v="78020.205569280501"/>
    <n v="280872.74004940997"/>
  </r>
  <r>
    <x v="0"/>
    <x v="0"/>
    <x v="0"/>
    <x v="2"/>
    <x v="3"/>
    <s v="FIN_HELS"/>
    <x v="0"/>
    <s v="GHOB_COAL"/>
    <x v="0"/>
    <x v="2"/>
    <n v="213.75398786104299"/>
    <n v="78020.205569280501"/>
    <n v="280872.74004940997"/>
  </r>
  <r>
    <x v="0"/>
    <x v="0"/>
    <x v="0"/>
    <x v="2"/>
    <x v="3"/>
    <s v="FIN_HELS"/>
    <x v="0"/>
    <s v="GHOB_COAL"/>
    <x v="0"/>
    <x v="3"/>
    <n v="213.75398786104299"/>
    <n v="78020.205569280501"/>
    <n v="280872.74004940997"/>
  </r>
  <r>
    <x v="0"/>
    <x v="0"/>
    <x v="0"/>
    <x v="2"/>
    <x v="3"/>
    <s v="FIN_HELS"/>
    <x v="0"/>
    <s v="GHOB_COAL"/>
    <x v="0"/>
    <x v="4"/>
    <n v="213.75398786104299"/>
    <n v="78020.205569280501"/>
    <n v="280872.74004940997"/>
  </r>
  <r>
    <x v="0"/>
    <x v="0"/>
    <x v="0"/>
    <x v="2"/>
    <x v="3"/>
    <s v="FIN_HELS"/>
    <x v="0"/>
    <s v="GHOB_COAL"/>
    <x v="0"/>
    <x v="5"/>
    <n v="213.75398786104299"/>
    <n v="78020.205569280501"/>
    <n v="280872.74004940997"/>
  </r>
  <r>
    <x v="0"/>
    <x v="0"/>
    <x v="0"/>
    <x v="2"/>
    <x v="3"/>
    <s v="FIN_HELS"/>
    <x v="0"/>
    <s v="GHOB_COAL"/>
    <x v="0"/>
    <x v="15"/>
    <n v="213.75398786104299"/>
    <n v="78020.205569280501"/>
    <n v="280872.74004940997"/>
  </r>
  <r>
    <x v="0"/>
    <x v="0"/>
    <x v="0"/>
    <x v="2"/>
    <x v="3"/>
    <s v="FIN_HELS"/>
    <x v="0"/>
    <s v="GHOB_COAL"/>
    <x v="0"/>
    <x v="6"/>
    <n v="213.75398786104299"/>
    <n v="78020.205569280501"/>
    <n v="280872.74004940997"/>
  </r>
  <r>
    <x v="0"/>
    <x v="0"/>
    <x v="0"/>
    <x v="2"/>
    <x v="3"/>
    <s v="FIN_HELS"/>
    <x v="0"/>
    <s v="GHOB_COAL"/>
    <x v="0"/>
    <x v="7"/>
    <n v="213.75398786104299"/>
    <n v="78020.205569280501"/>
    <n v="280872.74004940997"/>
  </r>
  <r>
    <x v="0"/>
    <x v="0"/>
    <x v="0"/>
    <x v="2"/>
    <x v="3"/>
    <s v="FIN_HELS"/>
    <x v="0"/>
    <s v="GHOB_COAL"/>
    <x v="0"/>
    <x v="8"/>
    <n v="213.75398786104299"/>
    <n v="78020.205569280501"/>
    <n v="280872.74004940997"/>
  </r>
  <r>
    <x v="0"/>
    <x v="0"/>
    <x v="0"/>
    <x v="2"/>
    <x v="3"/>
    <s v="FIN_HELS"/>
    <x v="0"/>
    <s v="GHOB_COAL"/>
    <x v="0"/>
    <x v="16"/>
    <n v="213.75398786104299"/>
    <n v="78020.205569280501"/>
    <n v="280872.74004940997"/>
  </r>
  <r>
    <x v="0"/>
    <x v="0"/>
    <x v="0"/>
    <x v="2"/>
    <x v="3"/>
    <s v="FIN_HELS"/>
    <x v="0"/>
    <s v="GHOB_COAL"/>
    <x v="0"/>
    <x v="17"/>
    <n v="213.75398786104299"/>
    <n v="78020.205569280501"/>
    <n v="280872.74004940997"/>
  </r>
  <r>
    <x v="0"/>
    <x v="0"/>
    <x v="0"/>
    <x v="2"/>
    <x v="3"/>
    <s v="FIN_HELS"/>
    <x v="0"/>
    <s v="GHOB_COAL"/>
    <x v="0"/>
    <x v="18"/>
    <n v="213.75398786104299"/>
    <n v="78020.205569280501"/>
    <n v="280872.74004940997"/>
  </r>
  <r>
    <x v="0"/>
    <x v="0"/>
    <x v="0"/>
    <x v="2"/>
    <x v="3"/>
    <s v="FIN_HELS"/>
    <x v="0"/>
    <s v="GHOB_COAL"/>
    <x v="0"/>
    <x v="19"/>
    <n v="213.75398786104299"/>
    <n v="78020.205569280501"/>
    <n v="280872.74004940997"/>
  </r>
  <r>
    <x v="0"/>
    <x v="0"/>
    <x v="0"/>
    <x v="2"/>
    <x v="3"/>
    <s v="FIN_HELS"/>
    <x v="0"/>
    <s v="GHOB_COAL"/>
    <x v="0"/>
    <x v="20"/>
    <n v="213.75398786104299"/>
    <n v="78020.205569280501"/>
    <n v="280872.74004940997"/>
  </r>
  <r>
    <x v="0"/>
    <x v="0"/>
    <x v="0"/>
    <x v="2"/>
    <x v="3"/>
    <s v="FIN_HELS"/>
    <x v="0"/>
    <s v="GHOB_COAL"/>
    <x v="0"/>
    <x v="21"/>
    <n v="213.75398786104299"/>
    <n v="78020.205569280501"/>
    <n v="280872.74004940997"/>
  </r>
  <r>
    <x v="0"/>
    <x v="0"/>
    <x v="0"/>
    <x v="2"/>
    <x v="3"/>
    <s v="FIN_HELS"/>
    <x v="0"/>
    <s v="GHOB_COAL"/>
    <x v="0"/>
    <x v="22"/>
    <n v="213.75398786104299"/>
    <n v="78020.205569280501"/>
    <n v="280872.74004940997"/>
  </r>
  <r>
    <x v="0"/>
    <x v="0"/>
    <x v="0"/>
    <x v="2"/>
    <x v="3"/>
    <s v="FIN_HELS"/>
    <x v="3"/>
    <s v="GETOH_HEATPUMP"/>
    <x v="0"/>
    <x v="9"/>
    <n v="30"/>
    <n v="10950"/>
    <n v="39420"/>
  </r>
  <r>
    <x v="0"/>
    <x v="0"/>
    <x v="0"/>
    <x v="2"/>
    <x v="3"/>
    <s v="FIN_HELS"/>
    <x v="3"/>
    <s v="GETOH_HEATPUMP"/>
    <x v="0"/>
    <x v="10"/>
    <n v="30"/>
    <n v="10950"/>
    <n v="39420"/>
  </r>
  <r>
    <x v="0"/>
    <x v="0"/>
    <x v="0"/>
    <x v="2"/>
    <x v="3"/>
    <s v="FIN_HELS"/>
    <x v="3"/>
    <s v="GETOH_HEATPUMP"/>
    <x v="0"/>
    <x v="11"/>
    <n v="30"/>
    <n v="10950"/>
    <n v="39420"/>
  </r>
  <r>
    <x v="0"/>
    <x v="0"/>
    <x v="0"/>
    <x v="2"/>
    <x v="3"/>
    <s v="FIN_HELS"/>
    <x v="3"/>
    <s v="GETOH_HEATPUMP"/>
    <x v="0"/>
    <x v="12"/>
    <n v="30"/>
    <n v="10950"/>
    <n v="39420"/>
  </r>
  <r>
    <x v="0"/>
    <x v="0"/>
    <x v="0"/>
    <x v="2"/>
    <x v="3"/>
    <s v="FIN_HELS"/>
    <x v="3"/>
    <s v="GETOH_HEATPUMP"/>
    <x v="0"/>
    <x v="13"/>
    <n v="30"/>
    <n v="10950"/>
    <n v="39420"/>
  </r>
  <r>
    <x v="0"/>
    <x v="0"/>
    <x v="0"/>
    <x v="2"/>
    <x v="3"/>
    <s v="FIN_HELS"/>
    <x v="3"/>
    <s v="GETOH_HEATPUMP"/>
    <x v="0"/>
    <x v="0"/>
    <n v="30"/>
    <n v="10950"/>
    <n v="39420"/>
  </r>
  <r>
    <x v="0"/>
    <x v="0"/>
    <x v="0"/>
    <x v="2"/>
    <x v="3"/>
    <s v="FIN_HELS"/>
    <x v="3"/>
    <s v="GETOH_HEATPUMP"/>
    <x v="0"/>
    <x v="14"/>
    <n v="30"/>
    <n v="10950"/>
    <n v="39420"/>
  </r>
  <r>
    <x v="0"/>
    <x v="0"/>
    <x v="0"/>
    <x v="2"/>
    <x v="3"/>
    <s v="FIN_HELS"/>
    <x v="3"/>
    <s v="GETOH_HEATPUMP"/>
    <x v="0"/>
    <x v="1"/>
    <n v="30"/>
    <n v="10950"/>
    <n v="39420"/>
  </r>
  <r>
    <x v="0"/>
    <x v="0"/>
    <x v="0"/>
    <x v="2"/>
    <x v="3"/>
    <s v="FIN_HELS"/>
    <x v="3"/>
    <s v="GETOH_HEATPUMP"/>
    <x v="0"/>
    <x v="23"/>
    <n v="30"/>
    <n v="10950"/>
    <n v="39420"/>
  </r>
  <r>
    <x v="0"/>
    <x v="0"/>
    <x v="0"/>
    <x v="2"/>
    <x v="3"/>
    <s v="FIN_HELS"/>
    <x v="3"/>
    <s v="GETOH_HEATPUMP"/>
    <x v="0"/>
    <x v="2"/>
    <n v="30"/>
    <n v="10950"/>
    <n v="39420"/>
  </r>
  <r>
    <x v="0"/>
    <x v="0"/>
    <x v="0"/>
    <x v="2"/>
    <x v="3"/>
    <s v="FIN_HELS"/>
    <x v="3"/>
    <s v="GETOH_HEATPUMP"/>
    <x v="0"/>
    <x v="3"/>
    <n v="30"/>
    <n v="10950"/>
    <n v="39420"/>
  </r>
  <r>
    <x v="0"/>
    <x v="0"/>
    <x v="0"/>
    <x v="2"/>
    <x v="3"/>
    <s v="FIN_HELS"/>
    <x v="3"/>
    <s v="GETOH_HEATPUMP"/>
    <x v="0"/>
    <x v="4"/>
    <n v="30"/>
    <n v="10950"/>
    <n v="39420"/>
  </r>
  <r>
    <x v="0"/>
    <x v="0"/>
    <x v="0"/>
    <x v="2"/>
    <x v="3"/>
    <s v="FIN_HELS"/>
    <x v="3"/>
    <s v="GETOH_HEATPUMP"/>
    <x v="0"/>
    <x v="5"/>
    <n v="30"/>
    <n v="10950"/>
    <n v="39420"/>
  </r>
  <r>
    <x v="0"/>
    <x v="0"/>
    <x v="0"/>
    <x v="2"/>
    <x v="3"/>
    <s v="FIN_HELS"/>
    <x v="3"/>
    <s v="GETOH_HEATPUMP"/>
    <x v="0"/>
    <x v="15"/>
    <n v="30"/>
    <n v="10950"/>
    <n v="39420"/>
  </r>
  <r>
    <x v="0"/>
    <x v="0"/>
    <x v="0"/>
    <x v="2"/>
    <x v="3"/>
    <s v="FIN_HELS"/>
    <x v="3"/>
    <s v="GETOH_HEATPUMP"/>
    <x v="0"/>
    <x v="6"/>
    <n v="30"/>
    <n v="10950"/>
    <n v="39420"/>
  </r>
  <r>
    <x v="0"/>
    <x v="0"/>
    <x v="0"/>
    <x v="2"/>
    <x v="3"/>
    <s v="FIN_HELS"/>
    <x v="3"/>
    <s v="GETOH_HEATPUMP"/>
    <x v="0"/>
    <x v="7"/>
    <n v="30"/>
    <n v="10950"/>
    <n v="39420"/>
  </r>
  <r>
    <x v="0"/>
    <x v="0"/>
    <x v="0"/>
    <x v="2"/>
    <x v="3"/>
    <s v="FIN_HELS"/>
    <x v="3"/>
    <s v="GETOH_HEATPUMP"/>
    <x v="0"/>
    <x v="8"/>
    <n v="30"/>
    <n v="10950"/>
    <n v="39420"/>
  </r>
  <r>
    <x v="0"/>
    <x v="0"/>
    <x v="0"/>
    <x v="2"/>
    <x v="3"/>
    <s v="FIN_HELS"/>
    <x v="3"/>
    <s v="GETOH_HEATPUMP"/>
    <x v="0"/>
    <x v="16"/>
    <n v="30"/>
    <n v="10950"/>
    <n v="39420"/>
  </r>
  <r>
    <x v="0"/>
    <x v="0"/>
    <x v="0"/>
    <x v="2"/>
    <x v="3"/>
    <s v="FIN_HELS"/>
    <x v="3"/>
    <s v="GETOH_HEATPUMP"/>
    <x v="0"/>
    <x v="17"/>
    <n v="30"/>
    <n v="10950"/>
    <n v="39420"/>
  </r>
  <r>
    <x v="0"/>
    <x v="0"/>
    <x v="0"/>
    <x v="2"/>
    <x v="3"/>
    <s v="FIN_HELS"/>
    <x v="3"/>
    <s v="GETOH_HEATPUMP"/>
    <x v="0"/>
    <x v="18"/>
    <n v="30"/>
    <n v="10950"/>
    <n v="39420"/>
  </r>
  <r>
    <x v="0"/>
    <x v="0"/>
    <x v="0"/>
    <x v="2"/>
    <x v="3"/>
    <s v="FIN_HELS"/>
    <x v="3"/>
    <s v="GETOH_HEATPUMP"/>
    <x v="0"/>
    <x v="19"/>
    <n v="30"/>
    <n v="10950"/>
    <n v="39420"/>
  </r>
  <r>
    <x v="0"/>
    <x v="0"/>
    <x v="0"/>
    <x v="2"/>
    <x v="3"/>
    <s v="FIN_HELS"/>
    <x v="3"/>
    <s v="GETOH_HEATPUMP"/>
    <x v="0"/>
    <x v="20"/>
    <n v="30"/>
    <n v="10950"/>
    <n v="39420"/>
  </r>
  <r>
    <x v="0"/>
    <x v="0"/>
    <x v="0"/>
    <x v="2"/>
    <x v="3"/>
    <s v="FIN_HELS"/>
    <x v="3"/>
    <s v="GETOH_HEATPUMP"/>
    <x v="0"/>
    <x v="21"/>
    <n v="30"/>
    <n v="10950"/>
    <n v="39420"/>
  </r>
  <r>
    <x v="0"/>
    <x v="0"/>
    <x v="0"/>
    <x v="2"/>
    <x v="3"/>
    <s v="FIN_HELS"/>
    <x v="3"/>
    <s v="GETOH_HEATPUMP"/>
    <x v="0"/>
    <x v="22"/>
    <n v="30"/>
    <n v="10950"/>
    <n v="39420"/>
  </r>
  <r>
    <x v="0"/>
    <x v="0"/>
    <x v="0"/>
    <x v="2"/>
    <x v="3"/>
    <s v="FIN_HELS"/>
    <x v="5"/>
    <s v="GBPR_NATGAS_MARTINLAAKSOGT"/>
    <x v="0"/>
    <x v="1"/>
    <n v="75.03234152652"/>
    <n v="27386.8046571798"/>
    <n v="98592.496765847303"/>
  </r>
  <r>
    <x v="0"/>
    <x v="0"/>
    <x v="0"/>
    <x v="2"/>
    <x v="3"/>
    <s v="FIN_HELS"/>
    <x v="5"/>
    <s v="GBPR_NATGAS_MARTINLAAKSOGT"/>
    <x v="0"/>
    <x v="23"/>
    <n v="75.03234152652"/>
    <n v="27386.8046571798"/>
    <n v="98592.496765847303"/>
  </r>
  <r>
    <x v="0"/>
    <x v="0"/>
    <x v="0"/>
    <x v="2"/>
    <x v="3"/>
    <s v="FIN_HELS"/>
    <x v="5"/>
    <s v="GBPR_NATGAS_MARTINLAAKSOGT"/>
    <x v="0"/>
    <x v="2"/>
    <n v="75.03234152652"/>
    <n v="27386.8046571798"/>
    <n v="98592.496765847303"/>
  </r>
  <r>
    <x v="0"/>
    <x v="0"/>
    <x v="0"/>
    <x v="2"/>
    <x v="3"/>
    <s v="FIN_HELS"/>
    <x v="5"/>
    <s v="GBPR_NATGAS_MARTINLAAKSOGT"/>
    <x v="0"/>
    <x v="3"/>
    <n v="75.03234152652"/>
    <n v="27386.8046571798"/>
    <n v="98592.496765847303"/>
  </r>
  <r>
    <x v="0"/>
    <x v="0"/>
    <x v="0"/>
    <x v="2"/>
    <x v="3"/>
    <s v="FIN_HELS"/>
    <x v="5"/>
    <s v="GBPR_NATGAS_VOUSAARI"/>
    <x v="0"/>
    <x v="0"/>
    <n v="86.167282792734298"/>
    <n v="31451.058219348"/>
    <n v="113223.809589653"/>
  </r>
  <r>
    <x v="0"/>
    <x v="0"/>
    <x v="0"/>
    <x v="2"/>
    <x v="3"/>
    <s v="FIN_HELS"/>
    <x v="5"/>
    <s v="GBPR_NATGAS_VOUSAARI"/>
    <x v="0"/>
    <x v="14"/>
    <n v="160"/>
    <n v="58400"/>
    <n v="210240"/>
  </r>
  <r>
    <x v="0"/>
    <x v="0"/>
    <x v="0"/>
    <x v="2"/>
    <x v="3"/>
    <s v="FIN_HELS"/>
    <x v="5"/>
    <s v="GBPR_NATGAS_VOUSAARI"/>
    <x v="0"/>
    <x v="1"/>
    <n v="160"/>
    <n v="58400"/>
    <n v="210240"/>
  </r>
  <r>
    <x v="0"/>
    <x v="0"/>
    <x v="0"/>
    <x v="2"/>
    <x v="3"/>
    <s v="FIN_HELS"/>
    <x v="5"/>
    <s v="GBPR_NATGAS_VOUSAARI"/>
    <x v="0"/>
    <x v="23"/>
    <n v="160"/>
    <n v="58400"/>
    <n v="210240"/>
  </r>
  <r>
    <x v="0"/>
    <x v="0"/>
    <x v="0"/>
    <x v="2"/>
    <x v="3"/>
    <s v="FIN_HELS"/>
    <x v="5"/>
    <s v="GBPR_NATGAS_VOUSAARI"/>
    <x v="0"/>
    <x v="2"/>
    <n v="160"/>
    <n v="58400"/>
    <n v="210240"/>
  </r>
  <r>
    <x v="0"/>
    <x v="0"/>
    <x v="0"/>
    <x v="2"/>
    <x v="3"/>
    <s v="FIN_HELS"/>
    <x v="5"/>
    <s v="GBPR_NATGAS_VOUSAARI"/>
    <x v="0"/>
    <x v="3"/>
    <n v="160"/>
    <n v="58400"/>
    <n v="210240"/>
  </r>
  <r>
    <x v="0"/>
    <x v="0"/>
    <x v="0"/>
    <x v="2"/>
    <x v="3"/>
    <s v="FIN_HELS"/>
    <x v="5"/>
    <s v="GBPR_NATGAS_VOUSAARI"/>
    <x v="0"/>
    <x v="4"/>
    <n v="160"/>
    <n v="58400"/>
    <n v="210240"/>
  </r>
  <r>
    <x v="0"/>
    <x v="0"/>
    <x v="0"/>
    <x v="2"/>
    <x v="3"/>
    <s v="FIN_HELS"/>
    <x v="5"/>
    <s v="GBPR_NATGAS_VOUSAARI"/>
    <x v="0"/>
    <x v="5"/>
    <n v="160"/>
    <n v="58400"/>
    <n v="210240"/>
  </r>
  <r>
    <x v="0"/>
    <x v="0"/>
    <x v="0"/>
    <x v="2"/>
    <x v="3"/>
    <s v="FIN_HELS"/>
    <x v="5"/>
    <s v="GBPR_NATGAS_VOUSAARI"/>
    <x v="0"/>
    <x v="15"/>
    <n v="160"/>
    <n v="58400"/>
    <n v="210240"/>
  </r>
  <r>
    <x v="0"/>
    <x v="0"/>
    <x v="0"/>
    <x v="2"/>
    <x v="3"/>
    <s v="FIN_HELS"/>
    <x v="5"/>
    <s v="GBPR_NATGAS_VOUSAARI"/>
    <x v="0"/>
    <x v="6"/>
    <n v="160"/>
    <n v="58400"/>
    <n v="210240"/>
  </r>
  <r>
    <x v="0"/>
    <x v="0"/>
    <x v="0"/>
    <x v="2"/>
    <x v="3"/>
    <s v="FIN_HELS"/>
    <x v="5"/>
    <s v="GBPR_NATGAS_VOUSAARI"/>
    <x v="0"/>
    <x v="7"/>
    <n v="160"/>
    <n v="58400"/>
    <n v="210240"/>
  </r>
  <r>
    <x v="0"/>
    <x v="0"/>
    <x v="0"/>
    <x v="2"/>
    <x v="3"/>
    <s v="FIN_HELS"/>
    <x v="5"/>
    <s v="GBPR_NATGAS_VOUSAARI"/>
    <x v="0"/>
    <x v="8"/>
    <n v="160"/>
    <n v="58400"/>
    <n v="210240"/>
  </r>
  <r>
    <x v="0"/>
    <x v="0"/>
    <x v="0"/>
    <x v="2"/>
    <x v="3"/>
    <s v="FIN_HELS"/>
    <x v="5"/>
    <s v="GBPR_NATGAS_VOUSAARI"/>
    <x v="0"/>
    <x v="16"/>
    <n v="158.887309995831"/>
    <n v="57993.868148478199"/>
    <n v="208777.92533452201"/>
  </r>
  <r>
    <x v="0"/>
    <x v="0"/>
    <x v="0"/>
    <x v="2"/>
    <x v="3"/>
    <s v="FIN_HELS"/>
    <x v="5"/>
    <s v="GBPR_NATGAS_VOUSAARI"/>
    <x v="0"/>
    <x v="17"/>
    <n v="143.667979515535"/>
    <n v="52438.812523170403"/>
    <n v="188779.725083414"/>
  </r>
  <r>
    <x v="0"/>
    <x v="0"/>
    <x v="0"/>
    <x v="2"/>
    <x v="3"/>
    <s v="FIN_HELS"/>
    <x v="5"/>
    <s v="GBPR_NATGAS_VOUSAARI"/>
    <x v="0"/>
    <x v="18"/>
    <n v="122.13299989191999"/>
    <n v="44578.544960550702"/>
    <n v="160482.76185798299"/>
  </r>
  <r>
    <x v="0"/>
    <x v="0"/>
    <x v="0"/>
    <x v="2"/>
    <x v="3"/>
    <s v="FIN_HELS"/>
    <x v="5"/>
    <s v="GBPR_NATGAS_VOUSAARI"/>
    <x v="0"/>
    <x v="19"/>
    <n v="96.3402490892054"/>
    <n v="35164.190917560001"/>
    <n v="126591.087303216"/>
  </r>
  <r>
    <x v="0"/>
    <x v="0"/>
    <x v="0"/>
    <x v="2"/>
    <x v="3"/>
    <s v="FIN_HELS"/>
    <x v="5"/>
    <s v="GBPR_NATGAS_VOUSAARI"/>
    <x v="0"/>
    <x v="20"/>
    <n v="63.208002484166101"/>
    <n v="23070.920906720599"/>
    <n v="83055.3152641942"/>
  </r>
  <r>
    <x v="0"/>
    <x v="0"/>
    <x v="0"/>
    <x v="2"/>
    <x v="3"/>
    <s v="FIN_HELS"/>
    <x v="5"/>
    <s v="GBPR_NATGAS_VOUSAARI"/>
    <x v="0"/>
    <x v="21"/>
    <n v="12.6863450095624"/>
    <n v="4630.5159284902802"/>
    <n v="16669.857342564999"/>
  </r>
  <r>
    <x v="0"/>
    <x v="0"/>
    <x v="0"/>
    <x v="2"/>
    <x v="3"/>
    <s v="FIN_HELS"/>
    <x v="5"/>
    <s v="GEXT_NATGAS_VOUSAARI"/>
    <x v="0"/>
    <x v="9"/>
    <n v="389.97248928443298"/>
    <n v="142339.958588818"/>
    <n v="512423.85091974499"/>
  </r>
  <r>
    <x v="0"/>
    <x v="0"/>
    <x v="0"/>
    <x v="2"/>
    <x v="3"/>
    <s v="FIN_HELS"/>
    <x v="5"/>
    <s v="GEXT_NATGAS_VOUSAARI"/>
    <x v="0"/>
    <x v="10"/>
    <n v="374.92769068369"/>
    <n v="136848.60709954699"/>
    <n v="492654.98555836797"/>
  </r>
  <r>
    <x v="0"/>
    <x v="0"/>
    <x v="0"/>
    <x v="2"/>
    <x v="3"/>
    <s v="FIN_HELS"/>
    <x v="5"/>
    <s v="GEXT_NATGAS_VOUSAARI"/>
    <x v="0"/>
    <x v="11"/>
    <n v="376.77580032535298"/>
    <n v="137523.16711875401"/>
    <n v="495083.40162751399"/>
  </r>
  <r>
    <x v="0"/>
    <x v="0"/>
    <x v="0"/>
    <x v="2"/>
    <x v="3"/>
    <s v="FIN_HELS"/>
    <x v="5"/>
    <s v="GEXT_NATGAS_VOUSAARI"/>
    <x v="0"/>
    <x v="12"/>
    <n v="392.69709908864201"/>
    <n v="143334.441167354"/>
    <n v="516003.988202476"/>
  </r>
  <r>
    <x v="0"/>
    <x v="0"/>
    <x v="0"/>
    <x v="2"/>
    <x v="3"/>
    <s v="FIN_HELS"/>
    <x v="5"/>
    <s v="GEXT_NATGAS_VOUSAARI"/>
    <x v="0"/>
    <x v="13"/>
    <n v="430.48251787309601"/>
    <n v="157126.11902367999"/>
    <n v="565654.02848524798"/>
  </r>
  <r>
    <x v="0"/>
    <x v="0"/>
    <x v="0"/>
    <x v="2"/>
    <x v="3"/>
    <s v="FIN_HELS"/>
    <x v="5"/>
    <s v="GEXT_NATGAS_VOUSAARI"/>
    <x v="0"/>
    <x v="0"/>
    <n v="432.780847145488"/>
    <n v="157965.009208103"/>
    <n v="568674.03314917104"/>
  </r>
  <r>
    <x v="0"/>
    <x v="0"/>
    <x v="0"/>
    <x v="2"/>
    <x v="3"/>
    <s v="FIN_HELS"/>
    <x v="5"/>
    <s v="GEXT_NATGAS_VOUSAARI"/>
    <x v="0"/>
    <x v="14"/>
    <n v="432.780847145488"/>
    <n v="157965.009208103"/>
    <n v="568674.03314917104"/>
  </r>
  <r>
    <x v="0"/>
    <x v="0"/>
    <x v="0"/>
    <x v="2"/>
    <x v="3"/>
    <s v="FIN_HELS"/>
    <x v="5"/>
    <s v="GEXT_NATGAS_VOUSAARI"/>
    <x v="0"/>
    <x v="1"/>
    <n v="432.780847145488"/>
    <n v="157965.009208103"/>
    <n v="568674.03314917104"/>
  </r>
  <r>
    <x v="0"/>
    <x v="0"/>
    <x v="0"/>
    <x v="2"/>
    <x v="3"/>
    <s v="FIN_HELS"/>
    <x v="5"/>
    <s v="GEXT_NATGAS_VOUSAARI"/>
    <x v="0"/>
    <x v="23"/>
    <n v="432.780847145488"/>
    <n v="157965.009208103"/>
    <n v="568674.03314917104"/>
  </r>
  <r>
    <x v="0"/>
    <x v="0"/>
    <x v="0"/>
    <x v="2"/>
    <x v="3"/>
    <s v="FIN_HELS"/>
    <x v="5"/>
    <s v="GEXT_NATGAS_VOUSAARI"/>
    <x v="0"/>
    <x v="2"/>
    <n v="432.780847145488"/>
    <n v="157965.009208103"/>
    <n v="568674.03314917104"/>
  </r>
  <r>
    <x v="0"/>
    <x v="0"/>
    <x v="0"/>
    <x v="2"/>
    <x v="3"/>
    <s v="FIN_HELS"/>
    <x v="5"/>
    <s v="GEXT_NATGAS_VOUSAARI"/>
    <x v="0"/>
    <x v="3"/>
    <n v="432.780847145488"/>
    <n v="157965.009208103"/>
    <n v="568674.03314917104"/>
  </r>
  <r>
    <x v="0"/>
    <x v="0"/>
    <x v="0"/>
    <x v="2"/>
    <x v="3"/>
    <s v="FIN_HELS"/>
    <x v="5"/>
    <s v="GEXT_NATGAS_VOUSAARI"/>
    <x v="0"/>
    <x v="4"/>
    <n v="432.780847145488"/>
    <n v="157965.009208103"/>
    <n v="568674.03314917104"/>
  </r>
  <r>
    <x v="0"/>
    <x v="0"/>
    <x v="0"/>
    <x v="2"/>
    <x v="3"/>
    <s v="FIN_HELS"/>
    <x v="5"/>
    <s v="GEXT_NATGAS_VOUSAARI"/>
    <x v="0"/>
    <x v="5"/>
    <n v="432.780847145488"/>
    <n v="157965.009208103"/>
    <n v="568674.03314917104"/>
  </r>
  <r>
    <x v="0"/>
    <x v="0"/>
    <x v="0"/>
    <x v="2"/>
    <x v="3"/>
    <s v="FIN_HELS"/>
    <x v="5"/>
    <s v="GEXT_NATGAS_VOUSAARI"/>
    <x v="0"/>
    <x v="15"/>
    <n v="432.780847145488"/>
    <n v="157965.009208103"/>
    <n v="568674.03314917104"/>
  </r>
  <r>
    <x v="0"/>
    <x v="0"/>
    <x v="0"/>
    <x v="2"/>
    <x v="3"/>
    <s v="FIN_HELS"/>
    <x v="5"/>
    <s v="GEXT_NATGAS_VOUSAARI"/>
    <x v="0"/>
    <x v="6"/>
    <n v="432.780847145488"/>
    <n v="157965.009208103"/>
    <n v="568674.03314917104"/>
  </r>
  <r>
    <x v="0"/>
    <x v="0"/>
    <x v="0"/>
    <x v="2"/>
    <x v="3"/>
    <s v="FIN_HELS"/>
    <x v="5"/>
    <s v="GEXT_NATGAS_VOUSAARI"/>
    <x v="0"/>
    <x v="7"/>
    <n v="432.780847145488"/>
    <n v="157965.009208103"/>
    <n v="568674.03314917104"/>
  </r>
  <r>
    <x v="0"/>
    <x v="0"/>
    <x v="0"/>
    <x v="2"/>
    <x v="3"/>
    <s v="FIN_HELS"/>
    <x v="5"/>
    <s v="GEXT_NATGAS_VOUSAARI"/>
    <x v="0"/>
    <x v="8"/>
    <n v="432.780847145488"/>
    <n v="157965.009208103"/>
    <n v="568674.03314917104"/>
  </r>
  <r>
    <x v="0"/>
    <x v="0"/>
    <x v="0"/>
    <x v="2"/>
    <x v="3"/>
    <s v="FIN_HELS"/>
    <x v="5"/>
    <s v="GEXT_NATGAS_VOUSAARI"/>
    <x v="0"/>
    <x v="16"/>
    <n v="432.780847145488"/>
    <n v="157965.009208103"/>
    <n v="568674.03314917104"/>
  </r>
  <r>
    <x v="0"/>
    <x v="0"/>
    <x v="0"/>
    <x v="2"/>
    <x v="3"/>
    <s v="FIN_HELS"/>
    <x v="5"/>
    <s v="GEXT_NATGAS_VOUSAARI"/>
    <x v="0"/>
    <x v="17"/>
    <n v="432.780847145488"/>
    <n v="157965.009208103"/>
    <n v="568674.03314917104"/>
  </r>
  <r>
    <x v="0"/>
    <x v="0"/>
    <x v="0"/>
    <x v="2"/>
    <x v="3"/>
    <s v="FIN_HELS"/>
    <x v="5"/>
    <s v="GEXT_NATGAS_VOUSAARI"/>
    <x v="0"/>
    <x v="18"/>
    <n v="432.780847145488"/>
    <n v="157965.009208103"/>
    <n v="568674.03314917104"/>
  </r>
  <r>
    <x v="0"/>
    <x v="0"/>
    <x v="0"/>
    <x v="2"/>
    <x v="3"/>
    <s v="FIN_HELS"/>
    <x v="5"/>
    <s v="GEXT_NATGAS_VOUSAARI"/>
    <x v="0"/>
    <x v="19"/>
    <n v="432.780847145488"/>
    <n v="157965.009208103"/>
    <n v="568674.03314917104"/>
  </r>
  <r>
    <x v="0"/>
    <x v="0"/>
    <x v="0"/>
    <x v="2"/>
    <x v="3"/>
    <s v="FIN_HELS"/>
    <x v="5"/>
    <s v="GEXT_NATGAS_VOUSAARI"/>
    <x v="0"/>
    <x v="20"/>
    <n v="432.780847145488"/>
    <n v="157965.009208103"/>
    <n v="568674.03314917104"/>
  </r>
  <r>
    <x v="0"/>
    <x v="0"/>
    <x v="0"/>
    <x v="2"/>
    <x v="3"/>
    <s v="FIN_HELS"/>
    <x v="5"/>
    <s v="GEXT_NATGAS_VOUSAARI"/>
    <x v="0"/>
    <x v="21"/>
    <n v="432.780847145488"/>
    <n v="157965.009208103"/>
    <n v="568674.03314917104"/>
  </r>
  <r>
    <x v="0"/>
    <x v="0"/>
    <x v="0"/>
    <x v="2"/>
    <x v="3"/>
    <s v="FIN_HELS"/>
    <x v="5"/>
    <s v="GEXT_NATGAS_VOUSAARI"/>
    <x v="0"/>
    <x v="22"/>
    <n v="385.07952220202401"/>
    <n v="140554.02560373899"/>
    <n v="505994.49217346002"/>
  </r>
  <r>
    <x v="0"/>
    <x v="0"/>
    <x v="0"/>
    <x v="2"/>
    <x v="3"/>
    <s v="FIN_HELS"/>
    <x v="5"/>
    <s v="GHOB_NATGAS"/>
    <x v="0"/>
    <x v="14"/>
    <n v="135.20580881468601"/>
    <n v="49350.120217360301"/>
    <n v="177660.432782497"/>
  </r>
  <r>
    <x v="0"/>
    <x v="0"/>
    <x v="0"/>
    <x v="2"/>
    <x v="3"/>
    <s v="FIN_HELS"/>
    <x v="5"/>
    <s v="GHOB_NATGAS"/>
    <x v="0"/>
    <x v="1"/>
    <n v="163.16811609452"/>
    <n v="59556.362374499797"/>
    <n v="214402.904548199"/>
  </r>
  <r>
    <x v="0"/>
    <x v="0"/>
    <x v="0"/>
    <x v="2"/>
    <x v="3"/>
    <s v="FIN_HELS"/>
    <x v="5"/>
    <s v="GHOB_NATGAS"/>
    <x v="0"/>
    <x v="23"/>
    <n v="154.55711755863501"/>
    <n v="56413.347908901997"/>
    <n v="203088.05247204701"/>
  </r>
  <r>
    <x v="0"/>
    <x v="0"/>
    <x v="0"/>
    <x v="2"/>
    <x v="3"/>
    <s v="FIN_HELS"/>
    <x v="5"/>
    <s v="GHOB_NATGAS"/>
    <x v="0"/>
    <x v="2"/>
    <n v="122.285421491653"/>
    <n v="44634.178844453498"/>
    <n v="160683.043840033"/>
  </r>
  <r>
    <x v="0"/>
    <x v="0"/>
    <x v="0"/>
    <x v="2"/>
    <x v="3"/>
    <s v="FIN_HELS"/>
    <x v="5"/>
    <s v="GHOB_NATGAS"/>
    <x v="0"/>
    <x v="3"/>
    <n v="74.159225773815606"/>
    <n v="27068.1174074427"/>
    <n v="97445.222666793707"/>
  </r>
  <r>
    <x v="0"/>
    <x v="0"/>
    <x v="0"/>
    <x v="2"/>
    <x v="3"/>
    <s v="FIN_HELS"/>
    <x v="5"/>
    <s v="GHOB_NATGAS"/>
    <x v="0"/>
    <x v="4"/>
    <n v="109.307383962004"/>
    <n v="39897.1951461313"/>
    <n v="143629.90252607301"/>
  </r>
  <r>
    <x v="0"/>
    <x v="0"/>
    <x v="0"/>
    <x v="2"/>
    <x v="3"/>
    <s v="FIN_HELS"/>
    <x v="5"/>
    <s v="GHOB_NATGAS"/>
    <x v="0"/>
    <x v="5"/>
    <n v="77.506467396478101"/>
    <n v="28289.860599714499"/>
    <n v="101843.498158972"/>
  </r>
  <r>
    <x v="0"/>
    <x v="0"/>
    <x v="0"/>
    <x v="2"/>
    <x v="3"/>
    <s v="FIN_HELS"/>
    <x v="5"/>
    <s v="GHOB_NATGAS"/>
    <x v="0"/>
    <x v="15"/>
    <n v="66.570209230611098"/>
    <n v="24298.1263691731"/>
    <n v="87473.254929022994"/>
  </r>
  <r>
    <x v="0"/>
    <x v="0"/>
    <x v="0"/>
    <x v="2"/>
    <x v="3"/>
    <s v="FIN_HELS"/>
    <x v="5"/>
    <s v="GHOB_NATGAS"/>
    <x v="0"/>
    <x v="6"/>
    <n v="59.213923102119097"/>
    <n v="21613.081932273501"/>
    <n v="77807.094956184505"/>
  </r>
  <r>
    <x v="0"/>
    <x v="0"/>
    <x v="0"/>
    <x v="2"/>
    <x v="3"/>
    <s v="FIN_HELS"/>
    <x v="5"/>
    <s v="GHOB_NATGAS"/>
    <x v="0"/>
    <x v="7"/>
    <n v="69.230320429226495"/>
    <n v="25269.066956667699"/>
    <n v="90968.641044003598"/>
  </r>
  <r>
    <x v="0"/>
    <x v="0"/>
    <x v="0"/>
    <x v="2"/>
    <x v="3"/>
    <s v="FIN_HELS"/>
    <x v="5"/>
    <s v="GHOB_NATGAS"/>
    <x v="0"/>
    <x v="8"/>
    <n v="38.049962555087802"/>
    <n v="13888.236332607001"/>
    <n v="49997.6507973853"/>
  </r>
  <r>
    <x v="0"/>
    <x v="0"/>
    <x v="0"/>
    <x v="2"/>
    <x v="3"/>
    <s v="FIN_HP"/>
    <x v="0"/>
    <s v="GBPR_COAL_NAANTALI"/>
    <x v="0"/>
    <x v="9"/>
    <n v="275.12967334614302"/>
    <n v="100422.33077134201"/>
    <n v="361520.39077683201"/>
  </r>
  <r>
    <x v="0"/>
    <x v="0"/>
    <x v="0"/>
    <x v="2"/>
    <x v="3"/>
    <s v="FIN_HP"/>
    <x v="0"/>
    <s v="GBPR_COAL_NAANTALI"/>
    <x v="0"/>
    <x v="10"/>
    <n v="275.12967334614302"/>
    <n v="100422.33077134201"/>
    <n v="361520.39077683201"/>
  </r>
  <r>
    <x v="0"/>
    <x v="0"/>
    <x v="0"/>
    <x v="2"/>
    <x v="3"/>
    <s v="FIN_HP"/>
    <x v="0"/>
    <s v="GBPR_COAL_NAANTALI"/>
    <x v="0"/>
    <x v="11"/>
    <n v="275.12967334614302"/>
    <n v="100422.33077134201"/>
    <n v="361520.39077683201"/>
  </r>
  <r>
    <x v="0"/>
    <x v="0"/>
    <x v="0"/>
    <x v="2"/>
    <x v="3"/>
    <s v="FIN_HP"/>
    <x v="0"/>
    <s v="GBPR_COAL_NAANTALI"/>
    <x v="0"/>
    <x v="12"/>
    <n v="275.12967334614302"/>
    <n v="100422.33077134201"/>
    <n v="361520.39077683201"/>
  </r>
  <r>
    <x v="0"/>
    <x v="0"/>
    <x v="0"/>
    <x v="2"/>
    <x v="3"/>
    <s v="FIN_HP"/>
    <x v="0"/>
    <s v="GBPR_COAL_NAANTALI"/>
    <x v="0"/>
    <x v="13"/>
    <n v="275.12967334614302"/>
    <n v="100422.33077134201"/>
    <n v="361520.39077683201"/>
  </r>
  <r>
    <x v="0"/>
    <x v="0"/>
    <x v="0"/>
    <x v="2"/>
    <x v="3"/>
    <s v="FIN_HP"/>
    <x v="0"/>
    <s v="GBPR_COAL_NAANTALI"/>
    <x v="0"/>
    <x v="0"/>
    <n v="275.12967334614302"/>
    <n v="100422.33077134201"/>
    <n v="361520.39077683201"/>
  </r>
  <r>
    <x v="0"/>
    <x v="0"/>
    <x v="0"/>
    <x v="2"/>
    <x v="3"/>
    <s v="FIN_HP"/>
    <x v="0"/>
    <s v="GBPR_COAL_NAANTALI"/>
    <x v="0"/>
    <x v="14"/>
    <n v="275.12967334614302"/>
    <n v="100422.33077134201"/>
    <n v="361520.39077683201"/>
  </r>
  <r>
    <x v="0"/>
    <x v="0"/>
    <x v="0"/>
    <x v="2"/>
    <x v="3"/>
    <s v="FIN_HP"/>
    <x v="0"/>
    <s v="GBPR_COAL_NAANTALI"/>
    <x v="0"/>
    <x v="1"/>
    <n v="275.12967334614302"/>
    <n v="100422.33077134201"/>
    <n v="361520.39077683201"/>
  </r>
  <r>
    <x v="0"/>
    <x v="0"/>
    <x v="0"/>
    <x v="2"/>
    <x v="3"/>
    <s v="FIN_HP"/>
    <x v="0"/>
    <s v="GBPR_COAL_NAANTALI"/>
    <x v="0"/>
    <x v="23"/>
    <n v="275.12967334614302"/>
    <n v="100422.33077134201"/>
    <n v="361520.39077683201"/>
  </r>
  <r>
    <x v="0"/>
    <x v="0"/>
    <x v="0"/>
    <x v="2"/>
    <x v="3"/>
    <s v="FIN_HP"/>
    <x v="0"/>
    <s v="GBPR_COAL_NAANTALI"/>
    <x v="0"/>
    <x v="2"/>
    <n v="275.12967334614302"/>
    <n v="100422.33077134201"/>
    <n v="361520.39077683201"/>
  </r>
  <r>
    <x v="0"/>
    <x v="0"/>
    <x v="0"/>
    <x v="2"/>
    <x v="3"/>
    <s v="FIN_HP"/>
    <x v="0"/>
    <s v="GBPR_COAL_NAANTALI"/>
    <x v="0"/>
    <x v="3"/>
    <n v="275.12967334614302"/>
    <n v="100422.33077134201"/>
    <n v="361520.39077683201"/>
  </r>
  <r>
    <x v="0"/>
    <x v="0"/>
    <x v="0"/>
    <x v="2"/>
    <x v="3"/>
    <s v="FIN_HP"/>
    <x v="0"/>
    <s v="GBPR_COAL_NAANTALI"/>
    <x v="0"/>
    <x v="4"/>
    <n v="275.12967334614302"/>
    <n v="100422.33077134201"/>
    <n v="361520.39077683201"/>
  </r>
  <r>
    <x v="0"/>
    <x v="0"/>
    <x v="0"/>
    <x v="2"/>
    <x v="3"/>
    <s v="FIN_HP"/>
    <x v="0"/>
    <s v="GBPR_COAL_NAANTALI"/>
    <x v="0"/>
    <x v="5"/>
    <n v="275.12967334614302"/>
    <n v="100422.33077134201"/>
    <n v="361520.39077683201"/>
  </r>
  <r>
    <x v="0"/>
    <x v="0"/>
    <x v="0"/>
    <x v="2"/>
    <x v="3"/>
    <s v="FIN_HP"/>
    <x v="0"/>
    <s v="GBPR_COAL_NAANTALI"/>
    <x v="0"/>
    <x v="15"/>
    <n v="275.12967334614302"/>
    <n v="100422.33077134201"/>
    <n v="361520.39077683201"/>
  </r>
  <r>
    <x v="0"/>
    <x v="0"/>
    <x v="0"/>
    <x v="2"/>
    <x v="3"/>
    <s v="FIN_HP"/>
    <x v="0"/>
    <s v="GBPR_COAL_NAANTALI"/>
    <x v="0"/>
    <x v="6"/>
    <n v="275.12967334614302"/>
    <n v="100422.33077134201"/>
    <n v="361520.39077683201"/>
  </r>
  <r>
    <x v="0"/>
    <x v="0"/>
    <x v="0"/>
    <x v="2"/>
    <x v="3"/>
    <s v="FIN_HP"/>
    <x v="0"/>
    <s v="GBPR_COAL_NAANTALI"/>
    <x v="0"/>
    <x v="7"/>
    <n v="275.12967334614302"/>
    <n v="100422.33077134201"/>
    <n v="361520.39077683201"/>
  </r>
  <r>
    <x v="0"/>
    <x v="0"/>
    <x v="0"/>
    <x v="2"/>
    <x v="3"/>
    <s v="FIN_HP"/>
    <x v="0"/>
    <s v="GBPR_COAL_NAANTALI"/>
    <x v="0"/>
    <x v="8"/>
    <n v="275.12967334614302"/>
    <n v="100422.33077134201"/>
    <n v="361520.39077683201"/>
  </r>
  <r>
    <x v="0"/>
    <x v="0"/>
    <x v="0"/>
    <x v="2"/>
    <x v="3"/>
    <s v="FIN_HP"/>
    <x v="0"/>
    <s v="GBPR_COAL_NAANTALI"/>
    <x v="0"/>
    <x v="16"/>
    <n v="275.12967334614302"/>
    <n v="100422.33077134201"/>
    <n v="361520.39077683201"/>
  </r>
  <r>
    <x v="0"/>
    <x v="0"/>
    <x v="0"/>
    <x v="2"/>
    <x v="3"/>
    <s v="FIN_HP"/>
    <x v="0"/>
    <s v="GBPR_COAL_NAANTALI"/>
    <x v="0"/>
    <x v="17"/>
    <n v="275.12967334614302"/>
    <n v="100422.33077134201"/>
    <n v="361520.39077683201"/>
  </r>
  <r>
    <x v="0"/>
    <x v="0"/>
    <x v="0"/>
    <x v="2"/>
    <x v="3"/>
    <s v="FIN_HP"/>
    <x v="0"/>
    <s v="GBPR_COAL_NAANTALI"/>
    <x v="0"/>
    <x v="18"/>
    <n v="275.12967334614302"/>
    <n v="100422.33077134201"/>
    <n v="361520.39077683201"/>
  </r>
  <r>
    <x v="0"/>
    <x v="0"/>
    <x v="0"/>
    <x v="2"/>
    <x v="3"/>
    <s v="FIN_HP"/>
    <x v="0"/>
    <s v="GBPR_COAL_NAANTALI"/>
    <x v="0"/>
    <x v="19"/>
    <n v="275.12967334614302"/>
    <n v="100422.33077134201"/>
    <n v="361520.39077683201"/>
  </r>
  <r>
    <x v="0"/>
    <x v="0"/>
    <x v="0"/>
    <x v="2"/>
    <x v="3"/>
    <s v="FIN_HP"/>
    <x v="0"/>
    <s v="GBPR_COAL_NAANTALI"/>
    <x v="0"/>
    <x v="20"/>
    <n v="275.12967334614302"/>
    <n v="100422.33077134201"/>
    <n v="361520.39077683201"/>
  </r>
  <r>
    <x v="0"/>
    <x v="0"/>
    <x v="0"/>
    <x v="2"/>
    <x v="3"/>
    <s v="FIN_HP"/>
    <x v="0"/>
    <s v="GBPR_COAL_NAANTALI"/>
    <x v="0"/>
    <x v="21"/>
    <n v="275.12967334614302"/>
    <n v="100422.33077134201"/>
    <n v="361520.39077683201"/>
  </r>
  <r>
    <x v="0"/>
    <x v="0"/>
    <x v="0"/>
    <x v="2"/>
    <x v="3"/>
    <s v="FIN_HP"/>
    <x v="0"/>
    <s v="GBPR_COAL_NAANTALI"/>
    <x v="0"/>
    <x v="22"/>
    <n v="275.12967334614302"/>
    <n v="100422.33077134201"/>
    <n v="361520.39077683201"/>
  </r>
  <r>
    <x v="0"/>
    <x v="0"/>
    <x v="0"/>
    <x v="2"/>
    <x v="3"/>
    <s v="FIN_HP"/>
    <x v="3"/>
    <s v="GETOH_HEATPUMP"/>
    <x v="0"/>
    <x v="9"/>
    <n v="34.200000000000003"/>
    <n v="12483"/>
    <n v="44938.8"/>
  </r>
  <r>
    <x v="0"/>
    <x v="0"/>
    <x v="0"/>
    <x v="2"/>
    <x v="3"/>
    <s v="FIN_HP"/>
    <x v="3"/>
    <s v="GETOH_HEATPUMP"/>
    <x v="0"/>
    <x v="10"/>
    <n v="34.200000000000003"/>
    <n v="12483"/>
    <n v="44938.8"/>
  </r>
  <r>
    <x v="0"/>
    <x v="0"/>
    <x v="0"/>
    <x v="2"/>
    <x v="3"/>
    <s v="FIN_HP"/>
    <x v="3"/>
    <s v="GETOH_HEATPUMP"/>
    <x v="0"/>
    <x v="11"/>
    <n v="34.200000000000003"/>
    <n v="12483"/>
    <n v="44938.8"/>
  </r>
  <r>
    <x v="0"/>
    <x v="0"/>
    <x v="0"/>
    <x v="2"/>
    <x v="3"/>
    <s v="FIN_HP"/>
    <x v="3"/>
    <s v="GETOH_HEATPUMP"/>
    <x v="0"/>
    <x v="12"/>
    <n v="34.200000000000003"/>
    <n v="12483"/>
    <n v="44938.8"/>
  </r>
  <r>
    <x v="0"/>
    <x v="0"/>
    <x v="0"/>
    <x v="2"/>
    <x v="3"/>
    <s v="FIN_HP"/>
    <x v="3"/>
    <s v="GETOH_HEATPUMP"/>
    <x v="0"/>
    <x v="13"/>
    <n v="34.200000000000003"/>
    <n v="12483"/>
    <n v="44938.8"/>
  </r>
  <r>
    <x v="0"/>
    <x v="0"/>
    <x v="0"/>
    <x v="2"/>
    <x v="3"/>
    <s v="FIN_HP"/>
    <x v="3"/>
    <s v="GETOH_HEATPUMP"/>
    <x v="0"/>
    <x v="0"/>
    <n v="34.200000000000003"/>
    <n v="12483"/>
    <n v="44938.8"/>
  </r>
  <r>
    <x v="0"/>
    <x v="0"/>
    <x v="0"/>
    <x v="2"/>
    <x v="3"/>
    <s v="FIN_HP"/>
    <x v="3"/>
    <s v="GETOH_HEATPUMP"/>
    <x v="0"/>
    <x v="14"/>
    <n v="34.200000000000003"/>
    <n v="12483"/>
    <n v="44938.8"/>
  </r>
  <r>
    <x v="0"/>
    <x v="0"/>
    <x v="0"/>
    <x v="2"/>
    <x v="3"/>
    <s v="FIN_HP"/>
    <x v="3"/>
    <s v="GETOH_HEATPUMP"/>
    <x v="0"/>
    <x v="1"/>
    <n v="34.200000000000003"/>
    <n v="12483"/>
    <n v="44938.8"/>
  </r>
  <r>
    <x v="0"/>
    <x v="0"/>
    <x v="0"/>
    <x v="2"/>
    <x v="3"/>
    <s v="FIN_HP"/>
    <x v="3"/>
    <s v="GETOH_HEATPUMP"/>
    <x v="0"/>
    <x v="23"/>
    <n v="34.200000000000003"/>
    <n v="12483"/>
    <n v="44938.8"/>
  </r>
  <r>
    <x v="0"/>
    <x v="0"/>
    <x v="0"/>
    <x v="2"/>
    <x v="3"/>
    <s v="FIN_HP"/>
    <x v="3"/>
    <s v="GETOH_HEATPUMP"/>
    <x v="0"/>
    <x v="2"/>
    <n v="34.200000000000003"/>
    <n v="12483"/>
    <n v="44938.8"/>
  </r>
  <r>
    <x v="0"/>
    <x v="0"/>
    <x v="0"/>
    <x v="2"/>
    <x v="3"/>
    <s v="FIN_HP"/>
    <x v="3"/>
    <s v="GETOH_HEATPUMP"/>
    <x v="0"/>
    <x v="3"/>
    <n v="34.200000000000003"/>
    <n v="12483"/>
    <n v="44938.8"/>
  </r>
  <r>
    <x v="0"/>
    <x v="0"/>
    <x v="0"/>
    <x v="2"/>
    <x v="3"/>
    <s v="FIN_HP"/>
    <x v="3"/>
    <s v="GETOH_HEATPUMP"/>
    <x v="0"/>
    <x v="4"/>
    <n v="34.200000000000003"/>
    <n v="12483"/>
    <n v="44938.8"/>
  </r>
  <r>
    <x v="0"/>
    <x v="0"/>
    <x v="0"/>
    <x v="2"/>
    <x v="3"/>
    <s v="FIN_HP"/>
    <x v="3"/>
    <s v="GETOH_HEATPUMP"/>
    <x v="0"/>
    <x v="5"/>
    <n v="34.200000000000003"/>
    <n v="12483"/>
    <n v="44938.8"/>
  </r>
  <r>
    <x v="0"/>
    <x v="0"/>
    <x v="0"/>
    <x v="2"/>
    <x v="3"/>
    <s v="FIN_HP"/>
    <x v="3"/>
    <s v="GETOH_HEATPUMP"/>
    <x v="0"/>
    <x v="15"/>
    <n v="34.200000000000003"/>
    <n v="12483"/>
    <n v="44938.8"/>
  </r>
  <r>
    <x v="0"/>
    <x v="0"/>
    <x v="0"/>
    <x v="2"/>
    <x v="3"/>
    <s v="FIN_HP"/>
    <x v="3"/>
    <s v="GETOH_HEATPUMP"/>
    <x v="0"/>
    <x v="6"/>
    <n v="34.200000000000003"/>
    <n v="12483"/>
    <n v="44938.8"/>
  </r>
  <r>
    <x v="0"/>
    <x v="0"/>
    <x v="0"/>
    <x v="2"/>
    <x v="3"/>
    <s v="FIN_HP"/>
    <x v="3"/>
    <s v="GETOH_HEATPUMP"/>
    <x v="0"/>
    <x v="7"/>
    <n v="34.200000000000003"/>
    <n v="12483"/>
    <n v="44938.8"/>
  </r>
  <r>
    <x v="0"/>
    <x v="0"/>
    <x v="0"/>
    <x v="2"/>
    <x v="3"/>
    <s v="FIN_HP"/>
    <x v="3"/>
    <s v="GETOH_HEATPUMP"/>
    <x v="0"/>
    <x v="8"/>
    <n v="34.200000000000003"/>
    <n v="12483"/>
    <n v="44938.8"/>
  </r>
  <r>
    <x v="0"/>
    <x v="0"/>
    <x v="0"/>
    <x v="2"/>
    <x v="3"/>
    <s v="FIN_HP"/>
    <x v="3"/>
    <s v="GETOH_HEATPUMP"/>
    <x v="0"/>
    <x v="16"/>
    <n v="34.200000000000003"/>
    <n v="12483"/>
    <n v="44938.8"/>
  </r>
  <r>
    <x v="0"/>
    <x v="0"/>
    <x v="0"/>
    <x v="2"/>
    <x v="3"/>
    <s v="FIN_HP"/>
    <x v="3"/>
    <s v="GETOH_HEATPUMP"/>
    <x v="0"/>
    <x v="17"/>
    <n v="34.200000000000003"/>
    <n v="12483"/>
    <n v="44938.8"/>
  </r>
  <r>
    <x v="0"/>
    <x v="0"/>
    <x v="0"/>
    <x v="2"/>
    <x v="3"/>
    <s v="FIN_HP"/>
    <x v="3"/>
    <s v="GETOH_HEATPUMP"/>
    <x v="0"/>
    <x v="18"/>
    <n v="34.200000000000003"/>
    <n v="12483"/>
    <n v="44938.8"/>
  </r>
  <r>
    <x v="0"/>
    <x v="0"/>
    <x v="0"/>
    <x v="2"/>
    <x v="3"/>
    <s v="FIN_HP"/>
    <x v="3"/>
    <s v="GETOH_HEATPUMP"/>
    <x v="0"/>
    <x v="19"/>
    <n v="34.200000000000003"/>
    <n v="12483"/>
    <n v="44938.8"/>
  </r>
  <r>
    <x v="0"/>
    <x v="0"/>
    <x v="0"/>
    <x v="2"/>
    <x v="3"/>
    <s v="FIN_HP"/>
    <x v="3"/>
    <s v="GETOH_HEATPUMP"/>
    <x v="0"/>
    <x v="20"/>
    <n v="34.200000000000003"/>
    <n v="12483"/>
    <n v="44938.8"/>
  </r>
  <r>
    <x v="0"/>
    <x v="0"/>
    <x v="0"/>
    <x v="2"/>
    <x v="3"/>
    <s v="FIN_HP"/>
    <x v="3"/>
    <s v="GETOH_HEATPUMP"/>
    <x v="0"/>
    <x v="21"/>
    <n v="34.200000000000003"/>
    <n v="12483"/>
    <n v="44938.8"/>
  </r>
  <r>
    <x v="0"/>
    <x v="0"/>
    <x v="0"/>
    <x v="2"/>
    <x v="3"/>
    <s v="FIN_HP"/>
    <x v="3"/>
    <s v="GETOH_HEATPUMP"/>
    <x v="0"/>
    <x v="22"/>
    <n v="34.200000000000003"/>
    <n v="12483"/>
    <n v="44938.8"/>
  </r>
  <r>
    <x v="0"/>
    <x v="0"/>
    <x v="0"/>
    <x v="2"/>
    <x v="3"/>
    <s v="FIN_HP"/>
    <x v="1"/>
    <s v="GNR_HS_HEAT_WTR-TANK_LS_E-95_Y-2010"/>
    <x v="0"/>
    <x v="14"/>
    <n v="64.681411149404695"/>
    <n v="23608.7150695327"/>
    <n v="84991.374250317793"/>
  </r>
  <r>
    <x v="0"/>
    <x v="0"/>
    <x v="0"/>
    <x v="2"/>
    <x v="3"/>
    <s v="FIN_HP"/>
    <x v="1"/>
    <s v="GNR_HS_HEAT_WTR-TANK_LS_E-95_Y-2010"/>
    <x v="0"/>
    <x v="1"/>
    <n v="96.728765638419503"/>
    <n v="35305.9994580231"/>
    <n v="127101.598048883"/>
  </r>
  <r>
    <x v="0"/>
    <x v="0"/>
    <x v="0"/>
    <x v="2"/>
    <x v="3"/>
    <s v="FIN_HP"/>
    <x v="1"/>
    <s v="GNR_HS_HEAT_WTR-TANK_LS_E-95_Y-2010"/>
    <x v="0"/>
    <x v="23"/>
    <n v="96.504343967679503"/>
    <n v="35224.085548203002"/>
    <n v="126806.707973531"/>
  </r>
  <r>
    <x v="0"/>
    <x v="0"/>
    <x v="0"/>
    <x v="2"/>
    <x v="3"/>
    <s v="FIN_HP"/>
    <x v="1"/>
    <s v="GNR_HS_HEAT_WTR-TANK_LS_E-95_Y-2010"/>
    <x v="0"/>
    <x v="2"/>
    <n v="61.822506498690998"/>
    <n v="22565.214872022199"/>
    <n v="81234.773539279995"/>
  </r>
  <r>
    <x v="0"/>
    <x v="0"/>
    <x v="0"/>
    <x v="2"/>
    <x v="3"/>
    <s v="FIN_HP"/>
    <x v="11"/>
    <s v="GHOB_PEAT"/>
    <x v="0"/>
    <x v="9"/>
    <n v="4.6654761772693396"/>
    <n v="1702.8988047033099"/>
    <n v="6130.4356969319097"/>
  </r>
  <r>
    <x v="0"/>
    <x v="0"/>
    <x v="0"/>
    <x v="2"/>
    <x v="3"/>
    <s v="FIN_HP"/>
    <x v="11"/>
    <s v="GHOB_PEAT"/>
    <x v="0"/>
    <x v="10"/>
    <n v="4.6654761772693396"/>
    <n v="1702.8988047033099"/>
    <n v="6130.4356969319097"/>
  </r>
  <r>
    <x v="0"/>
    <x v="0"/>
    <x v="0"/>
    <x v="2"/>
    <x v="3"/>
    <s v="FIN_HP"/>
    <x v="11"/>
    <s v="GHOB_PEAT"/>
    <x v="0"/>
    <x v="11"/>
    <n v="4.6654761772693396"/>
    <n v="1702.8988047033099"/>
    <n v="6130.4356969319097"/>
  </r>
  <r>
    <x v="0"/>
    <x v="0"/>
    <x v="0"/>
    <x v="2"/>
    <x v="3"/>
    <s v="FIN_HP"/>
    <x v="11"/>
    <s v="GHOB_PEAT"/>
    <x v="0"/>
    <x v="12"/>
    <n v="4.6654761772693396"/>
    <n v="1702.8988047033099"/>
    <n v="6130.4356969319097"/>
  </r>
  <r>
    <x v="0"/>
    <x v="0"/>
    <x v="0"/>
    <x v="2"/>
    <x v="3"/>
    <s v="FIN_HP"/>
    <x v="11"/>
    <s v="GHOB_PEAT"/>
    <x v="0"/>
    <x v="13"/>
    <n v="4.6654761772693396"/>
    <n v="1702.8988047033099"/>
    <n v="6130.4356969319097"/>
  </r>
  <r>
    <x v="0"/>
    <x v="0"/>
    <x v="0"/>
    <x v="2"/>
    <x v="3"/>
    <s v="FIN_HP"/>
    <x v="11"/>
    <s v="GHOB_PEAT"/>
    <x v="0"/>
    <x v="0"/>
    <n v="4.6654761772693396"/>
    <n v="1702.8988047033099"/>
    <n v="6130.4356969319097"/>
  </r>
  <r>
    <x v="0"/>
    <x v="0"/>
    <x v="0"/>
    <x v="2"/>
    <x v="3"/>
    <s v="FIN_HP"/>
    <x v="11"/>
    <s v="GHOB_PEAT"/>
    <x v="0"/>
    <x v="14"/>
    <n v="4.6654761772693396"/>
    <n v="1702.8988047033099"/>
    <n v="6130.4356969319097"/>
  </r>
  <r>
    <x v="0"/>
    <x v="0"/>
    <x v="0"/>
    <x v="2"/>
    <x v="3"/>
    <s v="FIN_HP"/>
    <x v="11"/>
    <s v="GHOB_PEAT"/>
    <x v="0"/>
    <x v="1"/>
    <n v="4.6654761772693396"/>
    <n v="1702.8988047033099"/>
    <n v="6130.4356969319097"/>
  </r>
  <r>
    <x v="0"/>
    <x v="0"/>
    <x v="0"/>
    <x v="2"/>
    <x v="3"/>
    <s v="FIN_HP"/>
    <x v="11"/>
    <s v="GHOB_PEAT"/>
    <x v="0"/>
    <x v="23"/>
    <n v="4.6654761772693396"/>
    <n v="1702.8988047033099"/>
    <n v="6130.4356969319097"/>
  </r>
  <r>
    <x v="0"/>
    <x v="0"/>
    <x v="0"/>
    <x v="2"/>
    <x v="3"/>
    <s v="FIN_HP"/>
    <x v="11"/>
    <s v="GHOB_PEAT"/>
    <x v="0"/>
    <x v="2"/>
    <n v="4.6654761772693396"/>
    <n v="1702.8988047033099"/>
    <n v="6130.4356969319097"/>
  </r>
  <r>
    <x v="0"/>
    <x v="0"/>
    <x v="0"/>
    <x v="2"/>
    <x v="3"/>
    <s v="FIN_HP"/>
    <x v="11"/>
    <s v="GHOB_PEAT"/>
    <x v="0"/>
    <x v="3"/>
    <n v="4.6654761772693396"/>
    <n v="1702.8988047033099"/>
    <n v="6130.4356969319097"/>
  </r>
  <r>
    <x v="0"/>
    <x v="0"/>
    <x v="0"/>
    <x v="2"/>
    <x v="3"/>
    <s v="FIN_HP"/>
    <x v="11"/>
    <s v="GHOB_PEAT"/>
    <x v="0"/>
    <x v="4"/>
    <n v="4.6654761772693396"/>
    <n v="1702.8988047033099"/>
    <n v="6130.4356969319097"/>
  </r>
  <r>
    <x v="0"/>
    <x v="0"/>
    <x v="0"/>
    <x v="2"/>
    <x v="3"/>
    <s v="FIN_HP"/>
    <x v="11"/>
    <s v="GHOB_PEAT"/>
    <x v="0"/>
    <x v="5"/>
    <n v="4.6654761772693396"/>
    <n v="1702.8988047033099"/>
    <n v="6130.4356969319097"/>
  </r>
  <r>
    <x v="0"/>
    <x v="0"/>
    <x v="0"/>
    <x v="2"/>
    <x v="3"/>
    <s v="FIN_HP"/>
    <x v="11"/>
    <s v="GHOB_PEAT"/>
    <x v="0"/>
    <x v="15"/>
    <n v="4.6654761772693396"/>
    <n v="1702.8988047033099"/>
    <n v="6130.4356969319097"/>
  </r>
  <r>
    <x v="0"/>
    <x v="0"/>
    <x v="0"/>
    <x v="2"/>
    <x v="3"/>
    <s v="FIN_HP"/>
    <x v="11"/>
    <s v="GHOB_PEAT"/>
    <x v="0"/>
    <x v="6"/>
    <n v="4.6654761772693396"/>
    <n v="1702.8988047033099"/>
    <n v="6130.4356969319097"/>
  </r>
  <r>
    <x v="0"/>
    <x v="0"/>
    <x v="0"/>
    <x v="2"/>
    <x v="3"/>
    <s v="FIN_HP"/>
    <x v="11"/>
    <s v="GHOB_PEAT"/>
    <x v="0"/>
    <x v="7"/>
    <n v="4.6654761772693396"/>
    <n v="1702.8988047033099"/>
    <n v="6130.4356969319097"/>
  </r>
  <r>
    <x v="0"/>
    <x v="0"/>
    <x v="0"/>
    <x v="2"/>
    <x v="3"/>
    <s v="FIN_HP"/>
    <x v="11"/>
    <s v="GHOB_PEAT"/>
    <x v="0"/>
    <x v="8"/>
    <n v="4.6654761772693396"/>
    <n v="1702.8988047033099"/>
    <n v="6130.4356969319097"/>
  </r>
  <r>
    <x v="0"/>
    <x v="0"/>
    <x v="0"/>
    <x v="2"/>
    <x v="3"/>
    <s v="FIN_HP"/>
    <x v="11"/>
    <s v="GHOB_PEAT"/>
    <x v="0"/>
    <x v="16"/>
    <n v="4.6654761772693396"/>
    <n v="1702.8988047033099"/>
    <n v="6130.4356969319097"/>
  </r>
  <r>
    <x v="0"/>
    <x v="0"/>
    <x v="0"/>
    <x v="2"/>
    <x v="3"/>
    <s v="FIN_HP"/>
    <x v="11"/>
    <s v="GHOB_PEAT"/>
    <x v="0"/>
    <x v="17"/>
    <n v="4.6654761772693396"/>
    <n v="1702.8988047033099"/>
    <n v="6130.4356969319097"/>
  </r>
  <r>
    <x v="0"/>
    <x v="0"/>
    <x v="0"/>
    <x v="2"/>
    <x v="3"/>
    <s v="FIN_HP"/>
    <x v="11"/>
    <s v="GHOB_PEAT"/>
    <x v="0"/>
    <x v="18"/>
    <n v="4.6654761772693396"/>
    <n v="1702.8988047033099"/>
    <n v="6130.4356969319097"/>
  </r>
  <r>
    <x v="0"/>
    <x v="0"/>
    <x v="0"/>
    <x v="2"/>
    <x v="3"/>
    <s v="FIN_HP"/>
    <x v="11"/>
    <s v="GHOB_PEAT"/>
    <x v="0"/>
    <x v="19"/>
    <n v="4.6654761772693396"/>
    <n v="1702.8988047033099"/>
    <n v="6130.4356969319097"/>
  </r>
  <r>
    <x v="0"/>
    <x v="0"/>
    <x v="0"/>
    <x v="2"/>
    <x v="3"/>
    <s v="FIN_HP"/>
    <x v="11"/>
    <s v="GHOB_PEAT"/>
    <x v="0"/>
    <x v="20"/>
    <n v="4.6654761772693396"/>
    <n v="1702.8988047033099"/>
    <n v="6130.4356969319097"/>
  </r>
  <r>
    <x v="0"/>
    <x v="0"/>
    <x v="0"/>
    <x v="2"/>
    <x v="3"/>
    <s v="FIN_HP"/>
    <x v="11"/>
    <s v="GHOB_PEAT"/>
    <x v="0"/>
    <x v="21"/>
    <n v="4.6654761772693396"/>
    <n v="1702.8988047033099"/>
    <n v="6130.4356969319097"/>
  </r>
  <r>
    <x v="0"/>
    <x v="0"/>
    <x v="0"/>
    <x v="2"/>
    <x v="3"/>
    <s v="FIN_HP"/>
    <x v="11"/>
    <s v="GHOB_PEAT"/>
    <x v="0"/>
    <x v="22"/>
    <n v="4.6654761772693396"/>
    <n v="1702.8988047033099"/>
    <n v="6130.4356969319097"/>
  </r>
  <r>
    <x v="0"/>
    <x v="0"/>
    <x v="0"/>
    <x v="2"/>
    <x v="3"/>
    <s v="FIN_HP"/>
    <x v="2"/>
    <s v="GHOB_WASTEHEAT"/>
    <x v="0"/>
    <x v="9"/>
    <n v="5.2655677655677398"/>
    <n v="1921.93223443223"/>
    <n v="6918.95604395602"/>
  </r>
  <r>
    <x v="0"/>
    <x v="0"/>
    <x v="0"/>
    <x v="2"/>
    <x v="3"/>
    <s v="FIN_HP"/>
    <x v="2"/>
    <s v="GHOB_WASTEHEAT"/>
    <x v="0"/>
    <x v="10"/>
    <n v="5.2655677655677398"/>
    <n v="1921.93223443223"/>
    <n v="6918.95604395602"/>
  </r>
  <r>
    <x v="0"/>
    <x v="0"/>
    <x v="0"/>
    <x v="2"/>
    <x v="3"/>
    <s v="FIN_HP"/>
    <x v="2"/>
    <s v="GHOB_WASTEHEAT"/>
    <x v="0"/>
    <x v="11"/>
    <n v="5.2655677655677398"/>
    <n v="1921.93223443223"/>
    <n v="6918.95604395602"/>
  </r>
  <r>
    <x v="0"/>
    <x v="0"/>
    <x v="0"/>
    <x v="2"/>
    <x v="3"/>
    <s v="FIN_HP"/>
    <x v="2"/>
    <s v="GHOB_WASTEHEAT"/>
    <x v="0"/>
    <x v="12"/>
    <n v="5.2655677655677398"/>
    <n v="1921.93223443223"/>
    <n v="6918.95604395602"/>
  </r>
  <r>
    <x v="0"/>
    <x v="0"/>
    <x v="0"/>
    <x v="2"/>
    <x v="3"/>
    <s v="FIN_HP"/>
    <x v="2"/>
    <s v="GHOB_WASTEHEAT"/>
    <x v="0"/>
    <x v="13"/>
    <n v="5.2655677655677398"/>
    <n v="1921.93223443223"/>
    <n v="6918.95604395602"/>
  </r>
  <r>
    <x v="0"/>
    <x v="0"/>
    <x v="0"/>
    <x v="2"/>
    <x v="3"/>
    <s v="FIN_HP"/>
    <x v="2"/>
    <s v="GHOB_WASTEHEAT"/>
    <x v="0"/>
    <x v="0"/>
    <n v="5.2655677655677398"/>
    <n v="1921.93223443223"/>
    <n v="6918.95604395602"/>
  </r>
  <r>
    <x v="0"/>
    <x v="0"/>
    <x v="0"/>
    <x v="2"/>
    <x v="3"/>
    <s v="FIN_HP"/>
    <x v="2"/>
    <s v="GHOB_WASTEHEAT"/>
    <x v="0"/>
    <x v="14"/>
    <n v="5.2655677655677398"/>
    <n v="1921.93223443223"/>
    <n v="6918.95604395602"/>
  </r>
  <r>
    <x v="0"/>
    <x v="0"/>
    <x v="0"/>
    <x v="2"/>
    <x v="3"/>
    <s v="FIN_HP"/>
    <x v="2"/>
    <s v="GHOB_WASTEHEAT"/>
    <x v="0"/>
    <x v="1"/>
    <n v="5.2655677655677398"/>
    <n v="1921.93223443223"/>
    <n v="6918.95604395602"/>
  </r>
  <r>
    <x v="0"/>
    <x v="0"/>
    <x v="0"/>
    <x v="2"/>
    <x v="3"/>
    <s v="FIN_HP"/>
    <x v="2"/>
    <s v="GHOB_WASTEHEAT"/>
    <x v="0"/>
    <x v="23"/>
    <n v="5.2655677655677398"/>
    <n v="1921.93223443223"/>
    <n v="6918.95604395602"/>
  </r>
  <r>
    <x v="0"/>
    <x v="0"/>
    <x v="0"/>
    <x v="2"/>
    <x v="3"/>
    <s v="FIN_HP"/>
    <x v="2"/>
    <s v="GHOB_WASTEHEAT"/>
    <x v="0"/>
    <x v="2"/>
    <n v="5.2655677655677398"/>
    <n v="1921.93223443223"/>
    <n v="6918.95604395602"/>
  </r>
  <r>
    <x v="0"/>
    <x v="0"/>
    <x v="0"/>
    <x v="2"/>
    <x v="3"/>
    <s v="FIN_HP"/>
    <x v="2"/>
    <s v="GHOB_WASTEHEAT"/>
    <x v="0"/>
    <x v="3"/>
    <n v="5.2655677655677398"/>
    <n v="1921.93223443223"/>
    <n v="6918.95604395602"/>
  </r>
  <r>
    <x v="0"/>
    <x v="0"/>
    <x v="0"/>
    <x v="2"/>
    <x v="3"/>
    <s v="FIN_HP"/>
    <x v="2"/>
    <s v="GHOB_WASTEHEAT"/>
    <x v="0"/>
    <x v="4"/>
    <n v="5.2655677655677398"/>
    <n v="1921.93223443223"/>
    <n v="6918.95604395602"/>
  </r>
  <r>
    <x v="0"/>
    <x v="0"/>
    <x v="0"/>
    <x v="2"/>
    <x v="3"/>
    <s v="FIN_HP"/>
    <x v="2"/>
    <s v="GHOB_WASTEHEAT"/>
    <x v="0"/>
    <x v="5"/>
    <n v="5.2655677655677398"/>
    <n v="1921.93223443223"/>
    <n v="6918.95604395602"/>
  </r>
  <r>
    <x v="0"/>
    <x v="0"/>
    <x v="0"/>
    <x v="2"/>
    <x v="3"/>
    <s v="FIN_HP"/>
    <x v="2"/>
    <s v="GHOB_WASTEHEAT"/>
    <x v="0"/>
    <x v="15"/>
    <n v="5.2655677655677398"/>
    <n v="1921.93223443223"/>
    <n v="6918.95604395602"/>
  </r>
  <r>
    <x v="0"/>
    <x v="0"/>
    <x v="0"/>
    <x v="2"/>
    <x v="3"/>
    <s v="FIN_HP"/>
    <x v="2"/>
    <s v="GHOB_WASTEHEAT"/>
    <x v="0"/>
    <x v="6"/>
    <n v="5.2655677655677398"/>
    <n v="1921.93223443223"/>
    <n v="6918.95604395602"/>
  </r>
  <r>
    <x v="0"/>
    <x v="0"/>
    <x v="0"/>
    <x v="2"/>
    <x v="3"/>
    <s v="FIN_HP"/>
    <x v="2"/>
    <s v="GHOB_WASTEHEAT"/>
    <x v="0"/>
    <x v="7"/>
    <n v="5.2655677655677398"/>
    <n v="1921.93223443223"/>
    <n v="6918.95604395602"/>
  </r>
  <r>
    <x v="0"/>
    <x v="0"/>
    <x v="0"/>
    <x v="2"/>
    <x v="3"/>
    <s v="FIN_HP"/>
    <x v="2"/>
    <s v="GHOB_WASTEHEAT"/>
    <x v="0"/>
    <x v="8"/>
    <n v="5.2655677655677398"/>
    <n v="1921.93223443223"/>
    <n v="6918.95604395602"/>
  </r>
  <r>
    <x v="0"/>
    <x v="0"/>
    <x v="0"/>
    <x v="2"/>
    <x v="3"/>
    <s v="FIN_HP"/>
    <x v="2"/>
    <s v="GHOB_WASTEHEAT"/>
    <x v="0"/>
    <x v="16"/>
    <n v="5.2655677655677398"/>
    <n v="1921.93223443223"/>
    <n v="6918.95604395602"/>
  </r>
  <r>
    <x v="0"/>
    <x v="0"/>
    <x v="0"/>
    <x v="2"/>
    <x v="3"/>
    <s v="FIN_HP"/>
    <x v="2"/>
    <s v="GHOB_WASTEHEAT"/>
    <x v="0"/>
    <x v="17"/>
    <n v="5.2655677655677398"/>
    <n v="1921.93223443223"/>
    <n v="6918.95604395602"/>
  </r>
  <r>
    <x v="0"/>
    <x v="0"/>
    <x v="0"/>
    <x v="2"/>
    <x v="3"/>
    <s v="FIN_HP"/>
    <x v="2"/>
    <s v="GHOB_WASTEHEAT"/>
    <x v="0"/>
    <x v="18"/>
    <n v="5.2655677655677398"/>
    <n v="1921.93223443223"/>
    <n v="6918.95604395602"/>
  </r>
  <r>
    <x v="0"/>
    <x v="0"/>
    <x v="0"/>
    <x v="2"/>
    <x v="3"/>
    <s v="FIN_HP"/>
    <x v="2"/>
    <s v="GHOB_WASTEHEAT"/>
    <x v="0"/>
    <x v="19"/>
    <n v="5.2655677655677398"/>
    <n v="1921.93223443223"/>
    <n v="6918.95604395602"/>
  </r>
  <r>
    <x v="0"/>
    <x v="0"/>
    <x v="0"/>
    <x v="2"/>
    <x v="3"/>
    <s v="FIN_HP"/>
    <x v="2"/>
    <s v="GHOB_WASTEHEAT"/>
    <x v="0"/>
    <x v="20"/>
    <n v="5.2655677655677398"/>
    <n v="1921.93223443223"/>
    <n v="6918.95604395602"/>
  </r>
  <r>
    <x v="0"/>
    <x v="0"/>
    <x v="0"/>
    <x v="2"/>
    <x v="3"/>
    <s v="FIN_HP"/>
    <x v="2"/>
    <s v="GHOB_WASTEHEAT"/>
    <x v="0"/>
    <x v="21"/>
    <n v="5.2655677655677398"/>
    <n v="1921.93223443223"/>
    <n v="6918.95604395602"/>
  </r>
  <r>
    <x v="0"/>
    <x v="0"/>
    <x v="0"/>
    <x v="2"/>
    <x v="3"/>
    <s v="FIN_HP"/>
    <x v="2"/>
    <s v="GHOB_WASTEHEAT"/>
    <x v="0"/>
    <x v="22"/>
    <n v="5.2655677655677398"/>
    <n v="1921.93223443223"/>
    <n v="6918.95604395602"/>
  </r>
  <r>
    <x v="0"/>
    <x v="0"/>
    <x v="0"/>
    <x v="2"/>
    <x v="3"/>
    <s v="FIN_HP"/>
    <x v="7"/>
    <s v="GHOB_WOODCHIPS"/>
    <x v="0"/>
    <x v="0"/>
    <n v="8.6303308107985703"/>
    <n v="3150.0707459414798"/>
    <n v="11340.2546853893"/>
  </r>
  <r>
    <x v="0"/>
    <x v="0"/>
    <x v="0"/>
    <x v="2"/>
    <x v="3"/>
    <s v="FIN_HP"/>
    <x v="7"/>
    <s v="GHOB_WOODCHIPS"/>
    <x v="0"/>
    <x v="2"/>
    <n v="29.513178228729"/>
    <n v="10772.310053486101"/>
    <n v="38780.316192549901"/>
  </r>
  <r>
    <x v="0"/>
    <x v="0"/>
    <x v="0"/>
    <x v="2"/>
    <x v="3"/>
    <s v="FIN_HP"/>
    <x v="7"/>
    <s v="GHOB_WOODCHIPS"/>
    <x v="0"/>
    <x v="3"/>
    <n v="71.657022570199402"/>
    <n v="26154.813238122799"/>
    <n v="94157.327657242"/>
  </r>
  <r>
    <x v="0"/>
    <x v="0"/>
    <x v="0"/>
    <x v="2"/>
    <x v="3"/>
    <s v="FIN_HP"/>
    <x v="7"/>
    <s v="GHOB_WOODCHIPS"/>
    <x v="0"/>
    <x v="4"/>
    <n v="60.777184237034497"/>
    <n v="22183.672246517599"/>
    <n v="79861.2200874634"/>
  </r>
  <r>
    <x v="0"/>
    <x v="0"/>
    <x v="0"/>
    <x v="2"/>
    <x v="3"/>
    <s v="FIN_HP"/>
    <x v="7"/>
    <s v="GHOB_WOODCHIPS"/>
    <x v="0"/>
    <x v="5"/>
    <n v="54.351628262337798"/>
    <n v="19838.3443157533"/>
    <n v="71418.039536711905"/>
  </r>
  <r>
    <x v="0"/>
    <x v="0"/>
    <x v="0"/>
    <x v="2"/>
    <x v="3"/>
    <s v="FIN_HP"/>
    <x v="7"/>
    <s v="GHOB_WOODCHIPS"/>
    <x v="0"/>
    <x v="15"/>
    <n v="49.234788459012599"/>
    <n v="17970.697787539601"/>
    <n v="64694.512035142499"/>
  </r>
  <r>
    <x v="0"/>
    <x v="0"/>
    <x v="0"/>
    <x v="2"/>
    <x v="3"/>
    <s v="FIN_HP"/>
    <x v="7"/>
    <s v="GHOB_WOODCHIPS"/>
    <x v="0"/>
    <x v="6"/>
    <n v="44.706288405326802"/>
    <n v="16317.795267944301"/>
    <n v="58744.062964599398"/>
  </r>
  <r>
    <x v="0"/>
    <x v="0"/>
    <x v="0"/>
    <x v="2"/>
    <x v="3"/>
    <s v="FIN_HP"/>
    <x v="7"/>
    <s v="GHOB_WOODCHIPS"/>
    <x v="0"/>
    <x v="7"/>
    <n v="49.6960780105425"/>
    <n v="18139.068473848001"/>
    <n v="65300.646505852797"/>
  </r>
  <r>
    <x v="0"/>
    <x v="0"/>
    <x v="0"/>
    <x v="2"/>
    <x v="3"/>
    <s v="FIN_HP"/>
    <x v="7"/>
    <s v="GHOB_WOODCHIPS"/>
    <x v="0"/>
    <x v="8"/>
    <n v="26.9369540753835"/>
    <n v="9831.98823751497"/>
    <n v="35395.157655053903"/>
  </r>
  <r>
    <x v="0"/>
    <x v="0"/>
    <x v="0"/>
    <x v="2"/>
    <x v="3"/>
    <s v="FIN_HP"/>
    <x v="7"/>
    <s v="GHOB_WOODCHIPS"/>
    <x v="0"/>
    <x v="16"/>
    <n v="13.3174419606658"/>
    <n v="4860.8663156430202"/>
    <n v="17499.1187363149"/>
  </r>
  <r>
    <x v="0"/>
    <x v="0"/>
    <x v="0"/>
    <x v="2"/>
    <x v="3"/>
    <s v="FIN_HP"/>
    <x v="7"/>
    <s v="GHOB_WOODCHIPS"/>
    <x v="0"/>
    <x v="17"/>
    <n v="2.3912505271761102"/>
    <n v="872.80644241928098"/>
    <n v="3142.10319270941"/>
  </r>
  <r>
    <x v="0"/>
    <x v="0"/>
    <x v="0"/>
    <x v="2"/>
    <x v="3"/>
    <s v="FIN_HP"/>
    <x v="8"/>
    <s v="GHOB_WOODWASTE"/>
    <x v="0"/>
    <x v="9"/>
    <n v="29.5"/>
    <n v="10767.5"/>
    <n v="38763"/>
  </r>
  <r>
    <x v="0"/>
    <x v="0"/>
    <x v="0"/>
    <x v="2"/>
    <x v="3"/>
    <s v="FIN_HP"/>
    <x v="8"/>
    <s v="GHOB_WOODWASTE"/>
    <x v="0"/>
    <x v="10"/>
    <n v="29.5"/>
    <n v="10767.5"/>
    <n v="38763"/>
  </r>
  <r>
    <x v="0"/>
    <x v="0"/>
    <x v="0"/>
    <x v="2"/>
    <x v="3"/>
    <s v="FIN_HP"/>
    <x v="8"/>
    <s v="GHOB_WOODWASTE"/>
    <x v="0"/>
    <x v="11"/>
    <n v="29.5"/>
    <n v="10767.5"/>
    <n v="38763"/>
  </r>
  <r>
    <x v="0"/>
    <x v="0"/>
    <x v="0"/>
    <x v="2"/>
    <x v="3"/>
    <s v="FIN_HP"/>
    <x v="8"/>
    <s v="GHOB_WOODWASTE"/>
    <x v="0"/>
    <x v="12"/>
    <n v="29.5"/>
    <n v="10767.5"/>
    <n v="38763"/>
  </r>
  <r>
    <x v="0"/>
    <x v="0"/>
    <x v="0"/>
    <x v="2"/>
    <x v="3"/>
    <s v="FIN_HP"/>
    <x v="8"/>
    <s v="GHOB_WOODWASTE"/>
    <x v="0"/>
    <x v="13"/>
    <n v="29.5"/>
    <n v="10767.5"/>
    <n v="38763"/>
  </r>
  <r>
    <x v="0"/>
    <x v="0"/>
    <x v="0"/>
    <x v="2"/>
    <x v="3"/>
    <s v="FIN_HP"/>
    <x v="8"/>
    <s v="GHOB_WOODWASTE"/>
    <x v="0"/>
    <x v="0"/>
    <n v="29.5"/>
    <n v="10767.5"/>
    <n v="38763"/>
  </r>
  <r>
    <x v="0"/>
    <x v="0"/>
    <x v="0"/>
    <x v="2"/>
    <x v="3"/>
    <s v="FIN_HP"/>
    <x v="8"/>
    <s v="GHOB_WOODWASTE"/>
    <x v="0"/>
    <x v="14"/>
    <n v="29.5"/>
    <n v="10767.5"/>
    <n v="38763"/>
  </r>
  <r>
    <x v="0"/>
    <x v="0"/>
    <x v="0"/>
    <x v="2"/>
    <x v="3"/>
    <s v="FIN_HP"/>
    <x v="8"/>
    <s v="GHOB_WOODWASTE"/>
    <x v="0"/>
    <x v="1"/>
    <n v="29.5"/>
    <n v="10767.5"/>
    <n v="38763"/>
  </r>
  <r>
    <x v="0"/>
    <x v="0"/>
    <x v="0"/>
    <x v="2"/>
    <x v="3"/>
    <s v="FIN_HP"/>
    <x v="8"/>
    <s v="GHOB_WOODWASTE"/>
    <x v="0"/>
    <x v="23"/>
    <n v="29.5"/>
    <n v="10767.5"/>
    <n v="38763"/>
  </r>
  <r>
    <x v="0"/>
    <x v="0"/>
    <x v="0"/>
    <x v="2"/>
    <x v="3"/>
    <s v="FIN_HP"/>
    <x v="8"/>
    <s v="GHOB_WOODWASTE"/>
    <x v="0"/>
    <x v="2"/>
    <n v="29.5"/>
    <n v="10767.5"/>
    <n v="38763"/>
  </r>
  <r>
    <x v="0"/>
    <x v="0"/>
    <x v="0"/>
    <x v="2"/>
    <x v="3"/>
    <s v="FIN_HP"/>
    <x v="8"/>
    <s v="GHOB_WOODWASTE"/>
    <x v="0"/>
    <x v="3"/>
    <n v="29.5"/>
    <n v="10767.5"/>
    <n v="38763"/>
  </r>
  <r>
    <x v="0"/>
    <x v="0"/>
    <x v="0"/>
    <x v="2"/>
    <x v="3"/>
    <s v="FIN_HP"/>
    <x v="8"/>
    <s v="GHOB_WOODWASTE"/>
    <x v="0"/>
    <x v="4"/>
    <n v="29.5"/>
    <n v="10767.5"/>
    <n v="38763"/>
  </r>
  <r>
    <x v="0"/>
    <x v="0"/>
    <x v="0"/>
    <x v="2"/>
    <x v="3"/>
    <s v="FIN_HP"/>
    <x v="8"/>
    <s v="GHOB_WOODWASTE"/>
    <x v="0"/>
    <x v="5"/>
    <n v="29.5"/>
    <n v="10767.5"/>
    <n v="38763"/>
  </r>
  <r>
    <x v="0"/>
    <x v="0"/>
    <x v="0"/>
    <x v="2"/>
    <x v="3"/>
    <s v="FIN_HP"/>
    <x v="8"/>
    <s v="GHOB_WOODWASTE"/>
    <x v="0"/>
    <x v="15"/>
    <n v="29.5"/>
    <n v="10767.5"/>
    <n v="38763"/>
  </r>
  <r>
    <x v="0"/>
    <x v="0"/>
    <x v="0"/>
    <x v="2"/>
    <x v="3"/>
    <s v="FIN_HP"/>
    <x v="8"/>
    <s v="GHOB_WOODWASTE"/>
    <x v="0"/>
    <x v="6"/>
    <n v="29.5"/>
    <n v="10767.5"/>
    <n v="38763"/>
  </r>
  <r>
    <x v="0"/>
    <x v="0"/>
    <x v="0"/>
    <x v="2"/>
    <x v="3"/>
    <s v="FIN_HP"/>
    <x v="8"/>
    <s v="GHOB_WOODWASTE"/>
    <x v="0"/>
    <x v="7"/>
    <n v="29.5"/>
    <n v="10767.5"/>
    <n v="38763"/>
  </r>
  <r>
    <x v="0"/>
    <x v="0"/>
    <x v="0"/>
    <x v="2"/>
    <x v="3"/>
    <s v="FIN_HP"/>
    <x v="8"/>
    <s v="GHOB_WOODWASTE"/>
    <x v="0"/>
    <x v="8"/>
    <n v="29.5"/>
    <n v="10767.5"/>
    <n v="38763"/>
  </r>
  <r>
    <x v="0"/>
    <x v="0"/>
    <x v="0"/>
    <x v="2"/>
    <x v="3"/>
    <s v="FIN_HP"/>
    <x v="8"/>
    <s v="GHOB_WOODWASTE"/>
    <x v="0"/>
    <x v="16"/>
    <n v="29.5"/>
    <n v="10767.5"/>
    <n v="38763"/>
  </r>
  <r>
    <x v="0"/>
    <x v="0"/>
    <x v="0"/>
    <x v="2"/>
    <x v="3"/>
    <s v="FIN_HP"/>
    <x v="8"/>
    <s v="GHOB_WOODWASTE"/>
    <x v="0"/>
    <x v="17"/>
    <n v="29.5"/>
    <n v="10767.5"/>
    <n v="38763"/>
  </r>
  <r>
    <x v="0"/>
    <x v="0"/>
    <x v="0"/>
    <x v="2"/>
    <x v="3"/>
    <s v="FIN_HP"/>
    <x v="8"/>
    <s v="GHOB_WOODWASTE"/>
    <x v="0"/>
    <x v="18"/>
    <n v="29.5"/>
    <n v="10767.5"/>
    <n v="38763"/>
  </r>
  <r>
    <x v="0"/>
    <x v="0"/>
    <x v="0"/>
    <x v="2"/>
    <x v="3"/>
    <s v="FIN_HP"/>
    <x v="8"/>
    <s v="GHOB_WOODWASTE"/>
    <x v="0"/>
    <x v="19"/>
    <n v="29.5"/>
    <n v="10767.5"/>
    <n v="38763"/>
  </r>
  <r>
    <x v="0"/>
    <x v="0"/>
    <x v="0"/>
    <x v="2"/>
    <x v="3"/>
    <s v="FIN_HP"/>
    <x v="8"/>
    <s v="GHOB_WOODWASTE"/>
    <x v="0"/>
    <x v="20"/>
    <n v="29.5"/>
    <n v="10767.5"/>
    <n v="38763"/>
  </r>
  <r>
    <x v="0"/>
    <x v="0"/>
    <x v="0"/>
    <x v="2"/>
    <x v="3"/>
    <s v="FIN_HP"/>
    <x v="8"/>
    <s v="GHOB_WOODWASTE"/>
    <x v="0"/>
    <x v="21"/>
    <n v="29.5"/>
    <n v="10767.5"/>
    <n v="38763"/>
  </r>
  <r>
    <x v="0"/>
    <x v="0"/>
    <x v="0"/>
    <x v="2"/>
    <x v="3"/>
    <s v="FIN_HP"/>
    <x v="8"/>
    <s v="GHOB_WOODWASTE"/>
    <x v="0"/>
    <x v="22"/>
    <n v="29.5"/>
    <n v="10767.5"/>
    <n v="38763"/>
  </r>
  <r>
    <x v="0"/>
    <x v="0"/>
    <x v="0"/>
    <x v="2"/>
    <x v="3"/>
    <s v="FIN_OTHER"/>
    <x v="0"/>
    <s v="GBPR_COAL"/>
    <x v="0"/>
    <x v="9"/>
    <n v="5.1759613704988396"/>
    <n v="1889.22590023208"/>
    <n v="6801.2132408354801"/>
  </r>
  <r>
    <x v="0"/>
    <x v="0"/>
    <x v="0"/>
    <x v="2"/>
    <x v="3"/>
    <s v="FIN_OTHER"/>
    <x v="0"/>
    <s v="GBPR_COAL"/>
    <x v="0"/>
    <x v="10"/>
    <n v="5.1759613704988396"/>
    <n v="1889.22590023208"/>
    <n v="6801.2132408354801"/>
  </r>
  <r>
    <x v="0"/>
    <x v="0"/>
    <x v="0"/>
    <x v="2"/>
    <x v="3"/>
    <s v="FIN_OTHER"/>
    <x v="0"/>
    <s v="GBPR_COAL"/>
    <x v="0"/>
    <x v="11"/>
    <n v="5.1759613704988396"/>
    <n v="1889.22590023208"/>
    <n v="6801.2132408354801"/>
  </r>
  <r>
    <x v="0"/>
    <x v="0"/>
    <x v="0"/>
    <x v="2"/>
    <x v="3"/>
    <s v="FIN_OTHER"/>
    <x v="0"/>
    <s v="GBPR_COAL"/>
    <x v="0"/>
    <x v="12"/>
    <n v="5.1759613704988396"/>
    <n v="1889.22590023208"/>
    <n v="6801.2132408354801"/>
  </r>
  <r>
    <x v="0"/>
    <x v="0"/>
    <x v="0"/>
    <x v="2"/>
    <x v="3"/>
    <s v="FIN_OTHER"/>
    <x v="0"/>
    <s v="GBPR_COAL"/>
    <x v="0"/>
    <x v="13"/>
    <n v="5.1759613704988396"/>
    <n v="1889.22590023208"/>
    <n v="6801.2132408354801"/>
  </r>
  <r>
    <x v="0"/>
    <x v="0"/>
    <x v="0"/>
    <x v="2"/>
    <x v="3"/>
    <s v="FIN_OTHER"/>
    <x v="0"/>
    <s v="GBPR_COAL"/>
    <x v="0"/>
    <x v="0"/>
    <n v="5.1759613704988396"/>
    <n v="1889.22590023208"/>
    <n v="6801.2132408354801"/>
  </r>
  <r>
    <x v="0"/>
    <x v="0"/>
    <x v="0"/>
    <x v="2"/>
    <x v="3"/>
    <s v="FIN_OTHER"/>
    <x v="0"/>
    <s v="GBPR_COAL"/>
    <x v="0"/>
    <x v="14"/>
    <n v="5.1759613704988396"/>
    <n v="1889.22590023208"/>
    <n v="6801.2132408354801"/>
  </r>
  <r>
    <x v="0"/>
    <x v="0"/>
    <x v="0"/>
    <x v="2"/>
    <x v="3"/>
    <s v="FIN_OTHER"/>
    <x v="0"/>
    <s v="GBPR_COAL"/>
    <x v="0"/>
    <x v="1"/>
    <n v="5.1759613704988396"/>
    <n v="1889.22590023208"/>
    <n v="6801.2132408354801"/>
  </r>
  <r>
    <x v="0"/>
    <x v="0"/>
    <x v="0"/>
    <x v="2"/>
    <x v="3"/>
    <s v="FIN_OTHER"/>
    <x v="0"/>
    <s v="GBPR_COAL"/>
    <x v="0"/>
    <x v="23"/>
    <n v="5.1759613704988396"/>
    <n v="1889.22590023208"/>
    <n v="6801.2132408354801"/>
  </r>
  <r>
    <x v="0"/>
    <x v="0"/>
    <x v="0"/>
    <x v="2"/>
    <x v="3"/>
    <s v="FIN_OTHER"/>
    <x v="0"/>
    <s v="GBPR_COAL"/>
    <x v="0"/>
    <x v="2"/>
    <n v="5.1759613704988396"/>
    <n v="1889.22590023208"/>
    <n v="6801.2132408354801"/>
  </r>
  <r>
    <x v="0"/>
    <x v="0"/>
    <x v="0"/>
    <x v="2"/>
    <x v="3"/>
    <s v="FIN_OTHER"/>
    <x v="0"/>
    <s v="GBPR_COAL"/>
    <x v="0"/>
    <x v="3"/>
    <n v="5.1759613704988396"/>
    <n v="1889.22590023208"/>
    <n v="6801.2132408354801"/>
  </r>
  <r>
    <x v="0"/>
    <x v="0"/>
    <x v="0"/>
    <x v="2"/>
    <x v="3"/>
    <s v="FIN_OTHER"/>
    <x v="0"/>
    <s v="GBPR_COAL"/>
    <x v="0"/>
    <x v="4"/>
    <n v="5.1759613704988396"/>
    <n v="1889.22590023208"/>
    <n v="6801.2132408354801"/>
  </r>
  <r>
    <x v="0"/>
    <x v="0"/>
    <x v="0"/>
    <x v="2"/>
    <x v="3"/>
    <s v="FIN_OTHER"/>
    <x v="0"/>
    <s v="GBPR_COAL"/>
    <x v="0"/>
    <x v="5"/>
    <n v="5.1759613704988396"/>
    <n v="1889.22590023208"/>
    <n v="6801.2132408354801"/>
  </r>
  <r>
    <x v="0"/>
    <x v="0"/>
    <x v="0"/>
    <x v="2"/>
    <x v="3"/>
    <s v="FIN_OTHER"/>
    <x v="0"/>
    <s v="GBPR_COAL"/>
    <x v="0"/>
    <x v="15"/>
    <n v="5.1759613704988396"/>
    <n v="1889.22590023208"/>
    <n v="6801.2132408354801"/>
  </r>
  <r>
    <x v="0"/>
    <x v="0"/>
    <x v="0"/>
    <x v="2"/>
    <x v="3"/>
    <s v="FIN_OTHER"/>
    <x v="0"/>
    <s v="GBPR_COAL"/>
    <x v="0"/>
    <x v="6"/>
    <n v="5.1759613704988396"/>
    <n v="1889.22590023208"/>
    <n v="6801.2132408354801"/>
  </r>
  <r>
    <x v="0"/>
    <x v="0"/>
    <x v="0"/>
    <x v="2"/>
    <x v="3"/>
    <s v="FIN_OTHER"/>
    <x v="0"/>
    <s v="GBPR_COAL"/>
    <x v="0"/>
    <x v="7"/>
    <n v="5.1759613704988396"/>
    <n v="1889.22590023208"/>
    <n v="6801.2132408354801"/>
  </r>
  <r>
    <x v="0"/>
    <x v="0"/>
    <x v="0"/>
    <x v="2"/>
    <x v="3"/>
    <s v="FIN_OTHER"/>
    <x v="0"/>
    <s v="GBPR_COAL"/>
    <x v="0"/>
    <x v="8"/>
    <n v="5.1759613704988396"/>
    <n v="1889.22590023208"/>
    <n v="6801.2132408354801"/>
  </r>
  <r>
    <x v="0"/>
    <x v="0"/>
    <x v="0"/>
    <x v="2"/>
    <x v="3"/>
    <s v="FIN_OTHER"/>
    <x v="0"/>
    <s v="GBPR_COAL"/>
    <x v="0"/>
    <x v="16"/>
    <n v="5.1759613704988396"/>
    <n v="1889.22590023208"/>
    <n v="6801.2132408354801"/>
  </r>
  <r>
    <x v="0"/>
    <x v="0"/>
    <x v="0"/>
    <x v="2"/>
    <x v="3"/>
    <s v="FIN_OTHER"/>
    <x v="0"/>
    <s v="GBPR_COAL"/>
    <x v="0"/>
    <x v="17"/>
    <n v="5.1759613704988396"/>
    <n v="1889.22590023208"/>
    <n v="6801.2132408354801"/>
  </r>
  <r>
    <x v="0"/>
    <x v="0"/>
    <x v="0"/>
    <x v="2"/>
    <x v="3"/>
    <s v="FIN_OTHER"/>
    <x v="0"/>
    <s v="GBPR_COAL"/>
    <x v="0"/>
    <x v="18"/>
    <n v="5.1759613704988396"/>
    <n v="1889.22590023208"/>
    <n v="6801.2132408354801"/>
  </r>
  <r>
    <x v="0"/>
    <x v="0"/>
    <x v="0"/>
    <x v="2"/>
    <x v="3"/>
    <s v="FIN_OTHER"/>
    <x v="0"/>
    <s v="GBPR_COAL"/>
    <x v="0"/>
    <x v="19"/>
    <n v="5.1759613704988396"/>
    <n v="1889.22590023208"/>
    <n v="6801.2132408354801"/>
  </r>
  <r>
    <x v="0"/>
    <x v="0"/>
    <x v="0"/>
    <x v="2"/>
    <x v="3"/>
    <s v="FIN_OTHER"/>
    <x v="0"/>
    <s v="GBPR_COAL"/>
    <x v="0"/>
    <x v="20"/>
    <n v="5.1759613704988396"/>
    <n v="1889.22590023208"/>
    <n v="6801.2132408354801"/>
  </r>
  <r>
    <x v="0"/>
    <x v="0"/>
    <x v="0"/>
    <x v="2"/>
    <x v="3"/>
    <s v="FIN_OTHER"/>
    <x v="0"/>
    <s v="GBPR_COAL"/>
    <x v="0"/>
    <x v="21"/>
    <n v="5.1759613704988396"/>
    <n v="1889.22590023208"/>
    <n v="6801.2132408354801"/>
  </r>
  <r>
    <x v="0"/>
    <x v="0"/>
    <x v="0"/>
    <x v="2"/>
    <x v="3"/>
    <s v="FIN_OTHER"/>
    <x v="0"/>
    <s v="GBPR_COAL"/>
    <x v="0"/>
    <x v="22"/>
    <n v="5.1759613704988396"/>
    <n v="1889.22590023208"/>
    <n v="6801.2132408354801"/>
  </r>
  <r>
    <x v="0"/>
    <x v="0"/>
    <x v="0"/>
    <x v="2"/>
    <x v="3"/>
    <s v="FIN_OTHER"/>
    <x v="1"/>
    <s v="GNR_HS_HEAT_WTR-TANK_LS_E-95_Y-2010"/>
    <x v="0"/>
    <x v="9"/>
    <n v="3.2756877608933799"/>
    <n v="1195.62603272608"/>
    <n v="4304.2537178139"/>
  </r>
  <r>
    <x v="0"/>
    <x v="0"/>
    <x v="0"/>
    <x v="2"/>
    <x v="3"/>
    <s v="FIN_OTHER"/>
    <x v="1"/>
    <s v="GNR_HS_HEAT_WTR-TANK_LS_E-95_Y-2010"/>
    <x v="0"/>
    <x v="5"/>
    <n v="1.94703544380184"/>
    <n v="710.66793698767003"/>
    <n v="2558.4045731556098"/>
  </r>
  <r>
    <x v="0"/>
    <x v="0"/>
    <x v="0"/>
    <x v="2"/>
    <x v="3"/>
    <s v="FIN_OTHER"/>
    <x v="1"/>
    <s v="GNR_HS_HEAT_WTR-TANK_LS_E-95_Y-2010"/>
    <x v="0"/>
    <x v="15"/>
    <n v="20.797673561467199"/>
    <n v="7591.1508499355396"/>
    <n v="27328.143059767899"/>
  </r>
  <r>
    <x v="0"/>
    <x v="0"/>
    <x v="0"/>
    <x v="2"/>
    <x v="3"/>
    <s v="FIN_OTHER"/>
    <x v="11"/>
    <s v="GBPR_PEAT"/>
    <x v="0"/>
    <x v="9"/>
    <n v="553.86595601735701"/>
    <n v="202161.073946335"/>
    <n v="727779.86620680697"/>
  </r>
  <r>
    <x v="0"/>
    <x v="0"/>
    <x v="0"/>
    <x v="2"/>
    <x v="3"/>
    <s v="FIN_OTHER"/>
    <x v="11"/>
    <s v="GBPR_PEAT"/>
    <x v="0"/>
    <x v="10"/>
    <n v="553.86595601735701"/>
    <n v="202161.073946335"/>
    <n v="727779.86620680697"/>
  </r>
  <r>
    <x v="0"/>
    <x v="0"/>
    <x v="0"/>
    <x v="2"/>
    <x v="3"/>
    <s v="FIN_OTHER"/>
    <x v="11"/>
    <s v="GBPR_PEAT"/>
    <x v="0"/>
    <x v="11"/>
    <n v="553.86595601735701"/>
    <n v="202161.073946335"/>
    <n v="727779.86620680697"/>
  </r>
  <r>
    <x v="0"/>
    <x v="0"/>
    <x v="0"/>
    <x v="2"/>
    <x v="3"/>
    <s v="FIN_OTHER"/>
    <x v="11"/>
    <s v="GBPR_PEAT"/>
    <x v="0"/>
    <x v="12"/>
    <n v="553.86595601735701"/>
    <n v="202161.073946335"/>
    <n v="727779.86620680697"/>
  </r>
  <r>
    <x v="0"/>
    <x v="0"/>
    <x v="0"/>
    <x v="2"/>
    <x v="3"/>
    <s v="FIN_OTHER"/>
    <x v="11"/>
    <s v="GBPR_PEAT"/>
    <x v="0"/>
    <x v="13"/>
    <n v="553.86595601735701"/>
    <n v="202161.073946335"/>
    <n v="727779.86620680697"/>
  </r>
  <r>
    <x v="0"/>
    <x v="0"/>
    <x v="0"/>
    <x v="2"/>
    <x v="3"/>
    <s v="FIN_OTHER"/>
    <x v="11"/>
    <s v="GBPR_PEAT"/>
    <x v="0"/>
    <x v="0"/>
    <n v="553.86595601735701"/>
    <n v="202161.073946335"/>
    <n v="727779.86620680697"/>
  </r>
  <r>
    <x v="0"/>
    <x v="0"/>
    <x v="0"/>
    <x v="2"/>
    <x v="3"/>
    <s v="FIN_OTHER"/>
    <x v="11"/>
    <s v="GBPR_PEAT"/>
    <x v="0"/>
    <x v="14"/>
    <n v="553.86595601735701"/>
    <n v="202161.073946335"/>
    <n v="727779.86620680697"/>
  </r>
  <r>
    <x v="0"/>
    <x v="0"/>
    <x v="0"/>
    <x v="2"/>
    <x v="3"/>
    <s v="FIN_OTHER"/>
    <x v="11"/>
    <s v="GBPR_PEAT"/>
    <x v="0"/>
    <x v="1"/>
    <n v="553.86595601735701"/>
    <n v="202161.073946335"/>
    <n v="727779.86620680697"/>
  </r>
  <r>
    <x v="0"/>
    <x v="0"/>
    <x v="0"/>
    <x v="2"/>
    <x v="3"/>
    <s v="FIN_OTHER"/>
    <x v="11"/>
    <s v="GBPR_PEAT"/>
    <x v="0"/>
    <x v="23"/>
    <n v="553.86595601735701"/>
    <n v="202161.073946335"/>
    <n v="727779.86620680697"/>
  </r>
  <r>
    <x v="0"/>
    <x v="0"/>
    <x v="0"/>
    <x v="2"/>
    <x v="3"/>
    <s v="FIN_OTHER"/>
    <x v="11"/>
    <s v="GBPR_PEAT"/>
    <x v="0"/>
    <x v="2"/>
    <n v="553.86595601735701"/>
    <n v="202161.073946335"/>
    <n v="727779.86620680697"/>
  </r>
  <r>
    <x v="0"/>
    <x v="0"/>
    <x v="0"/>
    <x v="2"/>
    <x v="3"/>
    <s v="FIN_OTHER"/>
    <x v="11"/>
    <s v="GBPR_PEAT"/>
    <x v="0"/>
    <x v="3"/>
    <n v="553.86595601735701"/>
    <n v="202161.073946335"/>
    <n v="727779.86620680697"/>
  </r>
  <r>
    <x v="0"/>
    <x v="0"/>
    <x v="0"/>
    <x v="2"/>
    <x v="3"/>
    <s v="FIN_OTHER"/>
    <x v="11"/>
    <s v="GBPR_PEAT"/>
    <x v="0"/>
    <x v="4"/>
    <n v="553.86595601735701"/>
    <n v="202161.073946335"/>
    <n v="727779.86620680697"/>
  </r>
  <r>
    <x v="0"/>
    <x v="0"/>
    <x v="0"/>
    <x v="2"/>
    <x v="3"/>
    <s v="FIN_OTHER"/>
    <x v="11"/>
    <s v="GBPR_PEAT"/>
    <x v="0"/>
    <x v="5"/>
    <n v="553.86595601735701"/>
    <n v="202161.073946335"/>
    <n v="727779.86620680697"/>
  </r>
  <r>
    <x v="0"/>
    <x v="0"/>
    <x v="0"/>
    <x v="2"/>
    <x v="3"/>
    <s v="FIN_OTHER"/>
    <x v="11"/>
    <s v="GBPR_PEAT"/>
    <x v="0"/>
    <x v="15"/>
    <n v="553.86595601735701"/>
    <n v="202161.073946335"/>
    <n v="727779.86620680697"/>
  </r>
  <r>
    <x v="0"/>
    <x v="0"/>
    <x v="0"/>
    <x v="2"/>
    <x v="3"/>
    <s v="FIN_OTHER"/>
    <x v="11"/>
    <s v="GBPR_PEAT"/>
    <x v="0"/>
    <x v="6"/>
    <n v="553.86595601735701"/>
    <n v="202161.073946335"/>
    <n v="727779.86620680697"/>
  </r>
  <r>
    <x v="0"/>
    <x v="0"/>
    <x v="0"/>
    <x v="2"/>
    <x v="3"/>
    <s v="FIN_OTHER"/>
    <x v="11"/>
    <s v="GBPR_PEAT"/>
    <x v="0"/>
    <x v="7"/>
    <n v="553.86595601735701"/>
    <n v="202161.073946335"/>
    <n v="727779.86620680697"/>
  </r>
  <r>
    <x v="0"/>
    <x v="0"/>
    <x v="0"/>
    <x v="2"/>
    <x v="3"/>
    <s v="FIN_OTHER"/>
    <x v="11"/>
    <s v="GBPR_PEAT"/>
    <x v="0"/>
    <x v="8"/>
    <n v="553.86595601735701"/>
    <n v="202161.073946335"/>
    <n v="727779.86620680697"/>
  </r>
  <r>
    <x v="0"/>
    <x v="0"/>
    <x v="0"/>
    <x v="2"/>
    <x v="3"/>
    <s v="FIN_OTHER"/>
    <x v="11"/>
    <s v="GBPR_PEAT"/>
    <x v="0"/>
    <x v="16"/>
    <n v="553.86595601735701"/>
    <n v="202161.073946335"/>
    <n v="727779.86620680697"/>
  </r>
  <r>
    <x v="0"/>
    <x v="0"/>
    <x v="0"/>
    <x v="2"/>
    <x v="3"/>
    <s v="FIN_OTHER"/>
    <x v="11"/>
    <s v="GBPR_PEAT"/>
    <x v="0"/>
    <x v="17"/>
    <n v="553.86595601735701"/>
    <n v="202161.073946335"/>
    <n v="727779.86620680697"/>
  </r>
  <r>
    <x v="0"/>
    <x v="0"/>
    <x v="0"/>
    <x v="2"/>
    <x v="3"/>
    <s v="FIN_OTHER"/>
    <x v="11"/>
    <s v="GBPR_PEAT"/>
    <x v="0"/>
    <x v="18"/>
    <n v="553.86595601735701"/>
    <n v="202161.073946335"/>
    <n v="727779.86620680697"/>
  </r>
  <r>
    <x v="0"/>
    <x v="0"/>
    <x v="0"/>
    <x v="2"/>
    <x v="3"/>
    <s v="FIN_OTHER"/>
    <x v="11"/>
    <s v="GBPR_PEAT"/>
    <x v="0"/>
    <x v="19"/>
    <n v="553.86595601735701"/>
    <n v="202161.073946335"/>
    <n v="727779.86620680697"/>
  </r>
  <r>
    <x v="0"/>
    <x v="0"/>
    <x v="0"/>
    <x v="2"/>
    <x v="3"/>
    <s v="FIN_OTHER"/>
    <x v="11"/>
    <s v="GBPR_PEAT"/>
    <x v="0"/>
    <x v="20"/>
    <n v="553.86595601735701"/>
    <n v="202161.073946335"/>
    <n v="727779.86620680697"/>
  </r>
  <r>
    <x v="0"/>
    <x v="0"/>
    <x v="0"/>
    <x v="2"/>
    <x v="3"/>
    <s v="FIN_OTHER"/>
    <x v="11"/>
    <s v="GBPR_PEAT"/>
    <x v="0"/>
    <x v="21"/>
    <n v="553.86595601735701"/>
    <n v="202161.073946335"/>
    <n v="727779.86620680697"/>
  </r>
  <r>
    <x v="0"/>
    <x v="0"/>
    <x v="0"/>
    <x v="2"/>
    <x v="3"/>
    <s v="FIN_OTHER"/>
    <x v="11"/>
    <s v="GBPR_PEAT"/>
    <x v="0"/>
    <x v="22"/>
    <n v="553.86595601735701"/>
    <n v="202161.073946335"/>
    <n v="727779.86620680697"/>
  </r>
  <r>
    <x v="0"/>
    <x v="0"/>
    <x v="0"/>
    <x v="2"/>
    <x v="3"/>
    <s v="FIN_OTHER"/>
    <x v="11"/>
    <s v="GEXT_PEAT_KELJONLAHTI"/>
    <x v="0"/>
    <x v="9"/>
    <n v="129.59656047970401"/>
    <n v="47302.7445750919"/>
    <n v="170289.880470331"/>
  </r>
  <r>
    <x v="0"/>
    <x v="0"/>
    <x v="0"/>
    <x v="2"/>
    <x v="3"/>
    <s v="FIN_OTHER"/>
    <x v="11"/>
    <s v="GEXT_PEAT_KELJONLAHTI"/>
    <x v="0"/>
    <x v="10"/>
    <n v="129.59656047970401"/>
    <n v="47302.7445750919"/>
    <n v="170289.880470331"/>
  </r>
  <r>
    <x v="0"/>
    <x v="0"/>
    <x v="0"/>
    <x v="2"/>
    <x v="3"/>
    <s v="FIN_OTHER"/>
    <x v="11"/>
    <s v="GEXT_PEAT_KELJONLAHTI"/>
    <x v="0"/>
    <x v="11"/>
    <n v="129.59656047970401"/>
    <n v="47302.7445750919"/>
    <n v="170289.880470331"/>
  </r>
  <r>
    <x v="0"/>
    <x v="0"/>
    <x v="0"/>
    <x v="2"/>
    <x v="3"/>
    <s v="FIN_OTHER"/>
    <x v="11"/>
    <s v="GEXT_PEAT_KELJONLAHTI"/>
    <x v="0"/>
    <x v="12"/>
    <n v="129.59656047970401"/>
    <n v="47302.7445750919"/>
    <n v="170289.880470331"/>
  </r>
  <r>
    <x v="0"/>
    <x v="0"/>
    <x v="0"/>
    <x v="2"/>
    <x v="3"/>
    <s v="FIN_OTHER"/>
    <x v="11"/>
    <s v="GEXT_PEAT_KELJONLAHTI"/>
    <x v="0"/>
    <x v="13"/>
    <n v="129.59656047970401"/>
    <n v="47302.7445750919"/>
    <n v="170289.880470331"/>
  </r>
  <r>
    <x v="0"/>
    <x v="0"/>
    <x v="0"/>
    <x v="2"/>
    <x v="3"/>
    <s v="FIN_OTHER"/>
    <x v="11"/>
    <s v="GEXT_PEAT_KELJONLAHTI"/>
    <x v="0"/>
    <x v="0"/>
    <n v="129.59656047970401"/>
    <n v="47302.7445750919"/>
    <n v="170289.880470331"/>
  </r>
  <r>
    <x v="0"/>
    <x v="0"/>
    <x v="0"/>
    <x v="2"/>
    <x v="3"/>
    <s v="FIN_OTHER"/>
    <x v="11"/>
    <s v="GEXT_PEAT_KELJONLAHTI"/>
    <x v="0"/>
    <x v="14"/>
    <n v="129.59656047970401"/>
    <n v="47302.7445750919"/>
    <n v="170289.880470331"/>
  </r>
  <r>
    <x v="0"/>
    <x v="0"/>
    <x v="0"/>
    <x v="2"/>
    <x v="3"/>
    <s v="FIN_OTHER"/>
    <x v="11"/>
    <s v="GEXT_PEAT_KELJONLAHTI"/>
    <x v="0"/>
    <x v="1"/>
    <n v="129.59656047970401"/>
    <n v="47302.7445750919"/>
    <n v="170289.880470331"/>
  </r>
  <r>
    <x v="0"/>
    <x v="0"/>
    <x v="0"/>
    <x v="2"/>
    <x v="3"/>
    <s v="FIN_OTHER"/>
    <x v="11"/>
    <s v="GEXT_PEAT_KELJONLAHTI"/>
    <x v="0"/>
    <x v="23"/>
    <n v="129.59656047970401"/>
    <n v="47302.7445750919"/>
    <n v="170289.880470331"/>
  </r>
  <r>
    <x v="0"/>
    <x v="0"/>
    <x v="0"/>
    <x v="2"/>
    <x v="3"/>
    <s v="FIN_OTHER"/>
    <x v="11"/>
    <s v="GEXT_PEAT_KELJONLAHTI"/>
    <x v="0"/>
    <x v="2"/>
    <n v="129.59656047970401"/>
    <n v="47302.7445750919"/>
    <n v="170289.880470331"/>
  </r>
  <r>
    <x v="0"/>
    <x v="0"/>
    <x v="0"/>
    <x v="2"/>
    <x v="3"/>
    <s v="FIN_OTHER"/>
    <x v="11"/>
    <s v="GEXT_PEAT_KELJONLAHTI"/>
    <x v="0"/>
    <x v="3"/>
    <n v="129.59656047970401"/>
    <n v="47302.7445750919"/>
    <n v="170289.880470331"/>
  </r>
  <r>
    <x v="0"/>
    <x v="0"/>
    <x v="0"/>
    <x v="2"/>
    <x v="3"/>
    <s v="FIN_OTHER"/>
    <x v="11"/>
    <s v="GEXT_PEAT_KELJONLAHTI"/>
    <x v="0"/>
    <x v="4"/>
    <n v="129.59656047970401"/>
    <n v="47302.7445750919"/>
    <n v="170289.880470331"/>
  </r>
  <r>
    <x v="0"/>
    <x v="0"/>
    <x v="0"/>
    <x v="2"/>
    <x v="3"/>
    <s v="FIN_OTHER"/>
    <x v="11"/>
    <s v="GEXT_PEAT_KELJONLAHTI"/>
    <x v="0"/>
    <x v="5"/>
    <n v="129.59656047970401"/>
    <n v="47302.7445750919"/>
    <n v="170289.880470331"/>
  </r>
  <r>
    <x v="0"/>
    <x v="0"/>
    <x v="0"/>
    <x v="2"/>
    <x v="3"/>
    <s v="FIN_OTHER"/>
    <x v="11"/>
    <s v="GEXT_PEAT_KELJONLAHTI"/>
    <x v="0"/>
    <x v="15"/>
    <n v="129.59656047970401"/>
    <n v="47302.7445750919"/>
    <n v="170289.880470331"/>
  </r>
  <r>
    <x v="0"/>
    <x v="0"/>
    <x v="0"/>
    <x v="2"/>
    <x v="3"/>
    <s v="FIN_OTHER"/>
    <x v="11"/>
    <s v="GEXT_PEAT_KELJONLAHTI"/>
    <x v="0"/>
    <x v="6"/>
    <n v="129.59656047970401"/>
    <n v="47302.7445750919"/>
    <n v="170289.880470331"/>
  </r>
  <r>
    <x v="0"/>
    <x v="0"/>
    <x v="0"/>
    <x v="2"/>
    <x v="3"/>
    <s v="FIN_OTHER"/>
    <x v="11"/>
    <s v="GEXT_PEAT_KELJONLAHTI"/>
    <x v="0"/>
    <x v="7"/>
    <n v="129.59656047970401"/>
    <n v="47302.7445750919"/>
    <n v="170289.880470331"/>
  </r>
  <r>
    <x v="0"/>
    <x v="0"/>
    <x v="0"/>
    <x v="2"/>
    <x v="3"/>
    <s v="FIN_OTHER"/>
    <x v="11"/>
    <s v="GEXT_PEAT_KELJONLAHTI"/>
    <x v="0"/>
    <x v="8"/>
    <n v="129.59656047970401"/>
    <n v="47302.7445750919"/>
    <n v="170289.880470331"/>
  </r>
  <r>
    <x v="0"/>
    <x v="0"/>
    <x v="0"/>
    <x v="2"/>
    <x v="3"/>
    <s v="FIN_OTHER"/>
    <x v="11"/>
    <s v="GEXT_PEAT_KELJONLAHTI"/>
    <x v="0"/>
    <x v="16"/>
    <n v="129.59656047970401"/>
    <n v="47302.7445750919"/>
    <n v="170289.880470331"/>
  </r>
  <r>
    <x v="0"/>
    <x v="0"/>
    <x v="0"/>
    <x v="2"/>
    <x v="3"/>
    <s v="FIN_OTHER"/>
    <x v="11"/>
    <s v="GEXT_PEAT_KELJONLAHTI"/>
    <x v="0"/>
    <x v="17"/>
    <n v="129.59656047970401"/>
    <n v="47302.7445750919"/>
    <n v="170289.880470331"/>
  </r>
  <r>
    <x v="0"/>
    <x v="0"/>
    <x v="0"/>
    <x v="2"/>
    <x v="3"/>
    <s v="FIN_OTHER"/>
    <x v="11"/>
    <s v="GEXT_PEAT_KELJONLAHTI"/>
    <x v="0"/>
    <x v="18"/>
    <n v="129.59656047970401"/>
    <n v="47302.7445750919"/>
    <n v="170289.880470331"/>
  </r>
  <r>
    <x v="0"/>
    <x v="0"/>
    <x v="0"/>
    <x v="2"/>
    <x v="3"/>
    <s v="FIN_OTHER"/>
    <x v="11"/>
    <s v="GEXT_PEAT_KELJONLAHTI"/>
    <x v="0"/>
    <x v="19"/>
    <n v="129.59656047970401"/>
    <n v="47302.7445750919"/>
    <n v="170289.880470331"/>
  </r>
  <r>
    <x v="0"/>
    <x v="0"/>
    <x v="0"/>
    <x v="2"/>
    <x v="3"/>
    <s v="FIN_OTHER"/>
    <x v="11"/>
    <s v="GEXT_PEAT_KELJONLAHTI"/>
    <x v="0"/>
    <x v="20"/>
    <n v="129.59656047970401"/>
    <n v="47302.7445750919"/>
    <n v="170289.880470331"/>
  </r>
  <r>
    <x v="0"/>
    <x v="0"/>
    <x v="0"/>
    <x v="2"/>
    <x v="3"/>
    <s v="FIN_OTHER"/>
    <x v="11"/>
    <s v="GEXT_PEAT_KELJONLAHTI"/>
    <x v="0"/>
    <x v="21"/>
    <n v="129.59656047970401"/>
    <n v="47302.7445750919"/>
    <n v="170289.880470331"/>
  </r>
  <r>
    <x v="0"/>
    <x v="0"/>
    <x v="0"/>
    <x v="2"/>
    <x v="3"/>
    <s v="FIN_OTHER"/>
    <x v="11"/>
    <s v="GEXT_PEAT_KELJONLAHTI"/>
    <x v="0"/>
    <x v="22"/>
    <n v="129.59656047970401"/>
    <n v="47302.7445750919"/>
    <n v="170289.880470331"/>
  </r>
  <r>
    <x v="0"/>
    <x v="0"/>
    <x v="0"/>
    <x v="2"/>
    <x v="3"/>
    <s v="FIN_OTHER"/>
    <x v="11"/>
    <s v="GEXT_PEAT_SEVO"/>
    <x v="0"/>
    <x v="9"/>
    <n v="81.645833102213402"/>
    <n v="29800.729082307898"/>
    <n v="107282.624696308"/>
  </r>
  <r>
    <x v="0"/>
    <x v="0"/>
    <x v="0"/>
    <x v="2"/>
    <x v="3"/>
    <s v="FIN_OTHER"/>
    <x v="11"/>
    <s v="GEXT_PEAT_SEVO"/>
    <x v="0"/>
    <x v="10"/>
    <n v="81.645833102213402"/>
    <n v="29800.729082307898"/>
    <n v="107282.624696308"/>
  </r>
  <r>
    <x v="0"/>
    <x v="0"/>
    <x v="0"/>
    <x v="2"/>
    <x v="3"/>
    <s v="FIN_OTHER"/>
    <x v="11"/>
    <s v="GEXT_PEAT_SEVO"/>
    <x v="0"/>
    <x v="11"/>
    <n v="81.645833102213402"/>
    <n v="29800.729082307898"/>
    <n v="107282.624696308"/>
  </r>
  <r>
    <x v="0"/>
    <x v="0"/>
    <x v="0"/>
    <x v="2"/>
    <x v="3"/>
    <s v="FIN_OTHER"/>
    <x v="11"/>
    <s v="GEXT_PEAT_SEVO"/>
    <x v="0"/>
    <x v="12"/>
    <n v="81.645833102213402"/>
    <n v="29800.729082307898"/>
    <n v="107282.624696308"/>
  </r>
  <r>
    <x v="0"/>
    <x v="0"/>
    <x v="0"/>
    <x v="2"/>
    <x v="3"/>
    <s v="FIN_OTHER"/>
    <x v="11"/>
    <s v="GEXT_PEAT_SEVO"/>
    <x v="0"/>
    <x v="13"/>
    <n v="81.645833102213402"/>
    <n v="29800.729082307898"/>
    <n v="107282.624696308"/>
  </r>
  <r>
    <x v="0"/>
    <x v="0"/>
    <x v="0"/>
    <x v="2"/>
    <x v="3"/>
    <s v="FIN_OTHER"/>
    <x v="11"/>
    <s v="GEXT_PEAT_SEVO"/>
    <x v="0"/>
    <x v="0"/>
    <n v="81.645833102213402"/>
    <n v="29800.729082307898"/>
    <n v="107282.624696308"/>
  </r>
  <r>
    <x v="0"/>
    <x v="0"/>
    <x v="0"/>
    <x v="2"/>
    <x v="3"/>
    <s v="FIN_OTHER"/>
    <x v="11"/>
    <s v="GEXT_PEAT_SEVO"/>
    <x v="0"/>
    <x v="14"/>
    <n v="81.645833102213402"/>
    <n v="29800.729082307898"/>
    <n v="107282.624696308"/>
  </r>
  <r>
    <x v="0"/>
    <x v="0"/>
    <x v="0"/>
    <x v="2"/>
    <x v="3"/>
    <s v="FIN_OTHER"/>
    <x v="11"/>
    <s v="GEXT_PEAT_SEVO"/>
    <x v="0"/>
    <x v="1"/>
    <n v="81.645833102213402"/>
    <n v="29800.729082307898"/>
    <n v="107282.624696308"/>
  </r>
  <r>
    <x v="0"/>
    <x v="0"/>
    <x v="0"/>
    <x v="2"/>
    <x v="3"/>
    <s v="FIN_OTHER"/>
    <x v="11"/>
    <s v="GEXT_PEAT_SEVO"/>
    <x v="0"/>
    <x v="23"/>
    <n v="81.645833102213402"/>
    <n v="29800.729082307898"/>
    <n v="107282.624696308"/>
  </r>
  <r>
    <x v="0"/>
    <x v="0"/>
    <x v="0"/>
    <x v="2"/>
    <x v="3"/>
    <s v="FIN_OTHER"/>
    <x v="11"/>
    <s v="GEXT_PEAT_SEVO"/>
    <x v="0"/>
    <x v="2"/>
    <n v="81.645833102213402"/>
    <n v="29800.729082307898"/>
    <n v="107282.624696308"/>
  </r>
  <r>
    <x v="0"/>
    <x v="0"/>
    <x v="0"/>
    <x v="2"/>
    <x v="3"/>
    <s v="FIN_OTHER"/>
    <x v="11"/>
    <s v="GEXT_PEAT_SEVO"/>
    <x v="0"/>
    <x v="3"/>
    <n v="81.645833102213402"/>
    <n v="29800.729082307898"/>
    <n v="107282.624696308"/>
  </r>
  <r>
    <x v="0"/>
    <x v="0"/>
    <x v="0"/>
    <x v="2"/>
    <x v="3"/>
    <s v="FIN_OTHER"/>
    <x v="11"/>
    <s v="GEXT_PEAT_SEVO"/>
    <x v="0"/>
    <x v="4"/>
    <n v="81.645833102213402"/>
    <n v="29800.729082307898"/>
    <n v="107282.624696308"/>
  </r>
  <r>
    <x v="0"/>
    <x v="0"/>
    <x v="0"/>
    <x v="2"/>
    <x v="3"/>
    <s v="FIN_OTHER"/>
    <x v="11"/>
    <s v="GEXT_PEAT_SEVO"/>
    <x v="0"/>
    <x v="5"/>
    <n v="81.645833102213402"/>
    <n v="29800.729082307898"/>
    <n v="107282.624696308"/>
  </r>
  <r>
    <x v="0"/>
    <x v="0"/>
    <x v="0"/>
    <x v="2"/>
    <x v="3"/>
    <s v="FIN_OTHER"/>
    <x v="11"/>
    <s v="GEXT_PEAT_SEVO"/>
    <x v="0"/>
    <x v="15"/>
    <n v="81.645833102213402"/>
    <n v="29800.729082307898"/>
    <n v="107282.624696308"/>
  </r>
  <r>
    <x v="0"/>
    <x v="0"/>
    <x v="0"/>
    <x v="2"/>
    <x v="3"/>
    <s v="FIN_OTHER"/>
    <x v="11"/>
    <s v="GEXT_PEAT_SEVO"/>
    <x v="0"/>
    <x v="6"/>
    <n v="81.645833102213402"/>
    <n v="29800.729082307898"/>
    <n v="107282.624696308"/>
  </r>
  <r>
    <x v="0"/>
    <x v="0"/>
    <x v="0"/>
    <x v="2"/>
    <x v="3"/>
    <s v="FIN_OTHER"/>
    <x v="11"/>
    <s v="GEXT_PEAT_SEVO"/>
    <x v="0"/>
    <x v="7"/>
    <n v="81.645833102213402"/>
    <n v="29800.729082307898"/>
    <n v="107282.624696308"/>
  </r>
  <r>
    <x v="0"/>
    <x v="0"/>
    <x v="0"/>
    <x v="2"/>
    <x v="3"/>
    <s v="FIN_OTHER"/>
    <x v="11"/>
    <s v="GEXT_PEAT_SEVO"/>
    <x v="0"/>
    <x v="8"/>
    <n v="81.645833102213402"/>
    <n v="29800.729082307898"/>
    <n v="107282.624696308"/>
  </r>
  <r>
    <x v="0"/>
    <x v="0"/>
    <x v="0"/>
    <x v="2"/>
    <x v="3"/>
    <s v="FIN_OTHER"/>
    <x v="11"/>
    <s v="GEXT_PEAT_SEVO"/>
    <x v="0"/>
    <x v="16"/>
    <n v="81.645833102213402"/>
    <n v="29800.729082307898"/>
    <n v="107282.624696308"/>
  </r>
  <r>
    <x v="0"/>
    <x v="0"/>
    <x v="0"/>
    <x v="2"/>
    <x v="3"/>
    <s v="FIN_OTHER"/>
    <x v="11"/>
    <s v="GEXT_PEAT_SEVO"/>
    <x v="0"/>
    <x v="17"/>
    <n v="81.645833102213402"/>
    <n v="29800.729082307898"/>
    <n v="107282.624696308"/>
  </r>
  <r>
    <x v="0"/>
    <x v="0"/>
    <x v="0"/>
    <x v="2"/>
    <x v="3"/>
    <s v="FIN_OTHER"/>
    <x v="11"/>
    <s v="GEXT_PEAT_SEVO"/>
    <x v="0"/>
    <x v="18"/>
    <n v="81.645833102213402"/>
    <n v="29800.729082307898"/>
    <n v="107282.624696308"/>
  </r>
  <r>
    <x v="0"/>
    <x v="0"/>
    <x v="0"/>
    <x v="2"/>
    <x v="3"/>
    <s v="FIN_OTHER"/>
    <x v="11"/>
    <s v="GEXT_PEAT_SEVO"/>
    <x v="0"/>
    <x v="19"/>
    <n v="81.645833102213402"/>
    <n v="29800.729082307898"/>
    <n v="107282.624696308"/>
  </r>
  <r>
    <x v="0"/>
    <x v="0"/>
    <x v="0"/>
    <x v="2"/>
    <x v="3"/>
    <s v="FIN_OTHER"/>
    <x v="11"/>
    <s v="GEXT_PEAT_SEVO"/>
    <x v="0"/>
    <x v="20"/>
    <n v="81.645833102213402"/>
    <n v="29800.729082307898"/>
    <n v="107282.624696308"/>
  </r>
  <r>
    <x v="0"/>
    <x v="0"/>
    <x v="0"/>
    <x v="2"/>
    <x v="3"/>
    <s v="FIN_OTHER"/>
    <x v="11"/>
    <s v="GEXT_PEAT_SEVO"/>
    <x v="0"/>
    <x v="21"/>
    <n v="81.645833102213402"/>
    <n v="29800.729082307898"/>
    <n v="107282.624696308"/>
  </r>
  <r>
    <x v="0"/>
    <x v="0"/>
    <x v="0"/>
    <x v="2"/>
    <x v="3"/>
    <s v="FIN_OTHER"/>
    <x v="11"/>
    <s v="GEXT_PEAT_SEVO"/>
    <x v="0"/>
    <x v="22"/>
    <n v="81.645833102213402"/>
    <n v="29800.729082307898"/>
    <n v="107282.624696308"/>
  </r>
  <r>
    <x v="0"/>
    <x v="0"/>
    <x v="0"/>
    <x v="2"/>
    <x v="3"/>
    <s v="FIN_OTHER"/>
    <x v="11"/>
    <s v="GEXT_PEAT_TOPPILA"/>
    <x v="0"/>
    <x v="9"/>
    <n v="88.128808583647995"/>
    <n v="32167.015133031498"/>
    <n v="115801.254478913"/>
  </r>
  <r>
    <x v="0"/>
    <x v="0"/>
    <x v="0"/>
    <x v="2"/>
    <x v="3"/>
    <s v="FIN_OTHER"/>
    <x v="11"/>
    <s v="GEXT_PEAT_TOPPILA"/>
    <x v="0"/>
    <x v="10"/>
    <n v="88.128808583647995"/>
    <n v="32167.015133031498"/>
    <n v="115801.254478913"/>
  </r>
  <r>
    <x v="0"/>
    <x v="0"/>
    <x v="0"/>
    <x v="2"/>
    <x v="3"/>
    <s v="FIN_OTHER"/>
    <x v="11"/>
    <s v="GEXT_PEAT_TOPPILA"/>
    <x v="0"/>
    <x v="11"/>
    <n v="88.128808583647995"/>
    <n v="32167.015133031498"/>
    <n v="115801.254478913"/>
  </r>
  <r>
    <x v="0"/>
    <x v="0"/>
    <x v="0"/>
    <x v="2"/>
    <x v="3"/>
    <s v="FIN_OTHER"/>
    <x v="11"/>
    <s v="GEXT_PEAT_TOPPILA"/>
    <x v="0"/>
    <x v="12"/>
    <n v="88.128808583647995"/>
    <n v="32167.015133031498"/>
    <n v="115801.254478913"/>
  </r>
  <r>
    <x v="0"/>
    <x v="0"/>
    <x v="0"/>
    <x v="2"/>
    <x v="3"/>
    <s v="FIN_OTHER"/>
    <x v="11"/>
    <s v="GEXT_PEAT_TOPPILA"/>
    <x v="0"/>
    <x v="13"/>
    <n v="88.128808583647995"/>
    <n v="32167.015133031498"/>
    <n v="115801.254478913"/>
  </r>
  <r>
    <x v="0"/>
    <x v="0"/>
    <x v="0"/>
    <x v="2"/>
    <x v="3"/>
    <s v="FIN_OTHER"/>
    <x v="11"/>
    <s v="GEXT_PEAT_TOPPILA"/>
    <x v="0"/>
    <x v="0"/>
    <n v="88.128808583647995"/>
    <n v="32167.015133031498"/>
    <n v="115801.254478913"/>
  </r>
  <r>
    <x v="0"/>
    <x v="0"/>
    <x v="0"/>
    <x v="2"/>
    <x v="3"/>
    <s v="FIN_OTHER"/>
    <x v="11"/>
    <s v="GEXT_PEAT_TOPPILA"/>
    <x v="0"/>
    <x v="14"/>
    <n v="88.128808583647995"/>
    <n v="32167.015133031498"/>
    <n v="115801.254478913"/>
  </r>
  <r>
    <x v="0"/>
    <x v="0"/>
    <x v="0"/>
    <x v="2"/>
    <x v="3"/>
    <s v="FIN_OTHER"/>
    <x v="11"/>
    <s v="GEXT_PEAT_TOPPILA"/>
    <x v="0"/>
    <x v="1"/>
    <n v="88.128808583647995"/>
    <n v="32167.015133031498"/>
    <n v="115801.254478913"/>
  </r>
  <r>
    <x v="0"/>
    <x v="0"/>
    <x v="0"/>
    <x v="2"/>
    <x v="3"/>
    <s v="FIN_OTHER"/>
    <x v="11"/>
    <s v="GEXT_PEAT_TOPPILA"/>
    <x v="0"/>
    <x v="23"/>
    <n v="88.128808583647995"/>
    <n v="32167.015133031498"/>
    <n v="115801.254478913"/>
  </r>
  <r>
    <x v="0"/>
    <x v="0"/>
    <x v="0"/>
    <x v="2"/>
    <x v="3"/>
    <s v="FIN_OTHER"/>
    <x v="11"/>
    <s v="GEXT_PEAT_TOPPILA"/>
    <x v="0"/>
    <x v="2"/>
    <n v="88.128808583647995"/>
    <n v="32167.015133031498"/>
    <n v="115801.254478913"/>
  </r>
  <r>
    <x v="0"/>
    <x v="0"/>
    <x v="0"/>
    <x v="2"/>
    <x v="3"/>
    <s v="FIN_OTHER"/>
    <x v="11"/>
    <s v="GEXT_PEAT_TOPPILA"/>
    <x v="0"/>
    <x v="3"/>
    <n v="88.128808583647995"/>
    <n v="32167.015133031498"/>
    <n v="115801.254478913"/>
  </r>
  <r>
    <x v="0"/>
    <x v="0"/>
    <x v="0"/>
    <x v="2"/>
    <x v="3"/>
    <s v="FIN_OTHER"/>
    <x v="11"/>
    <s v="GEXT_PEAT_TOPPILA"/>
    <x v="0"/>
    <x v="4"/>
    <n v="88.128808583647995"/>
    <n v="32167.015133031498"/>
    <n v="115801.254478913"/>
  </r>
  <r>
    <x v="0"/>
    <x v="0"/>
    <x v="0"/>
    <x v="2"/>
    <x v="3"/>
    <s v="FIN_OTHER"/>
    <x v="11"/>
    <s v="GEXT_PEAT_TOPPILA"/>
    <x v="0"/>
    <x v="5"/>
    <n v="88.128808583647995"/>
    <n v="32167.015133031498"/>
    <n v="115801.254478913"/>
  </r>
  <r>
    <x v="0"/>
    <x v="0"/>
    <x v="0"/>
    <x v="2"/>
    <x v="3"/>
    <s v="FIN_OTHER"/>
    <x v="11"/>
    <s v="GEXT_PEAT_TOPPILA"/>
    <x v="0"/>
    <x v="15"/>
    <n v="88.128808583647995"/>
    <n v="32167.015133031498"/>
    <n v="115801.254478913"/>
  </r>
  <r>
    <x v="0"/>
    <x v="0"/>
    <x v="0"/>
    <x v="2"/>
    <x v="3"/>
    <s v="FIN_OTHER"/>
    <x v="11"/>
    <s v="GEXT_PEAT_TOPPILA"/>
    <x v="0"/>
    <x v="6"/>
    <n v="88.128808583647995"/>
    <n v="32167.015133031498"/>
    <n v="115801.254478913"/>
  </r>
  <r>
    <x v="0"/>
    <x v="0"/>
    <x v="0"/>
    <x v="2"/>
    <x v="3"/>
    <s v="FIN_OTHER"/>
    <x v="11"/>
    <s v="GEXT_PEAT_TOPPILA"/>
    <x v="0"/>
    <x v="7"/>
    <n v="88.128808583647995"/>
    <n v="32167.015133031498"/>
    <n v="115801.254478913"/>
  </r>
  <r>
    <x v="0"/>
    <x v="0"/>
    <x v="0"/>
    <x v="2"/>
    <x v="3"/>
    <s v="FIN_OTHER"/>
    <x v="11"/>
    <s v="GEXT_PEAT_TOPPILA"/>
    <x v="0"/>
    <x v="8"/>
    <n v="88.128808583647995"/>
    <n v="32167.015133031498"/>
    <n v="115801.254478913"/>
  </r>
  <r>
    <x v="0"/>
    <x v="0"/>
    <x v="0"/>
    <x v="2"/>
    <x v="3"/>
    <s v="FIN_OTHER"/>
    <x v="11"/>
    <s v="GEXT_PEAT_TOPPILA"/>
    <x v="0"/>
    <x v="16"/>
    <n v="88.128808583647995"/>
    <n v="32167.015133031498"/>
    <n v="115801.254478913"/>
  </r>
  <r>
    <x v="0"/>
    <x v="0"/>
    <x v="0"/>
    <x v="2"/>
    <x v="3"/>
    <s v="FIN_OTHER"/>
    <x v="11"/>
    <s v="GEXT_PEAT_TOPPILA"/>
    <x v="0"/>
    <x v="17"/>
    <n v="88.128808583647995"/>
    <n v="32167.015133031498"/>
    <n v="115801.254478913"/>
  </r>
  <r>
    <x v="0"/>
    <x v="0"/>
    <x v="0"/>
    <x v="2"/>
    <x v="3"/>
    <s v="FIN_OTHER"/>
    <x v="11"/>
    <s v="GEXT_PEAT_TOPPILA"/>
    <x v="0"/>
    <x v="18"/>
    <n v="88.128808583647995"/>
    <n v="32167.015133031498"/>
    <n v="115801.254478913"/>
  </r>
  <r>
    <x v="0"/>
    <x v="0"/>
    <x v="0"/>
    <x v="2"/>
    <x v="3"/>
    <s v="FIN_OTHER"/>
    <x v="11"/>
    <s v="GEXT_PEAT_TOPPILA"/>
    <x v="0"/>
    <x v="19"/>
    <n v="88.128808583647995"/>
    <n v="32167.015133031498"/>
    <n v="115801.254478913"/>
  </r>
  <r>
    <x v="0"/>
    <x v="0"/>
    <x v="0"/>
    <x v="2"/>
    <x v="3"/>
    <s v="FIN_OTHER"/>
    <x v="11"/>
    <s v="GEXT_PEAT_TOPPILA"/>
    <x v="0"/>
    <x v="20"/>
    <n v="88.128808583647995"/>
    <n v="32167.015133031498"/>
    <n v="115801.254478913"/>
  </r>
  <r>
    <x v="0"/>
    <x v="0"/>
    <x v="0"/>
    <x v="2"/>
    <x v="3"/>
    <s v="FIN_OTHER"/>
    <x v="11"/>
    <s v="GEXT_PEAT_TOPPILA"/>
    <x v="0"/>
    <x v="21"/>
    <n v="88.128808583647995"/>
    <n v="32167.015133031498"/>
    <n v="115801.254478913"/>
  </r>
  <r>
    <x v="0"/>
    <x v="0"/>
    <x v="0"/>
    <x v="2"/>
    <x v="3"/>
    <s v="FIN_OTHER"/>
    <x v="11"/>
    <s v="GEXT_PEAT_TOPPILA"/>
    <x v="0"/>
    <x v="22"/>
    <n v="88.128808583647995"/>
    <n v="32167.015133031498"/>
    <n v="115801.254478913"/>
  </r>
  <r>
    <x v="0"/>
    <x v="0"/>
    <x v="0"/>
    <x v="2"/>
    <x v="3"/>
    <s v="FIN_OTHER"/>
    <x v="11"/>
    <s v="GHOB_PEAT"/>
    <x v="0"/>
    <x v="9"/>
    <n v="415.74576601888998"/>
    <n v="151747.204596895"/>
    <n v="546289.93654882105"/>
  </r>
  <r>
    <x v="0"/>
    <x v="0"/>
    <x v="0"/>
    <x v="2"/>
    <x v="3"/>
    <s v="FIN_OTHER"/>
    <x v="11"/>
    <s v="GHOB_PEAT"/>
    <x v="0"/>
    <x v="10"/>
    <n v="415.74576601888998"/>
    <n v="151747.204596895"/>
    <n v="546289.93654882105"/>
  </r>
  <r>
    <x v="0"/>
    <x v="0"/>
    <x v="0"/>
    <x v="2"/>
    <x v="3"/>
    <s v="FIN_OTHER"/>
    <x v="11"/>
    <s v="GHOB_PEAT"/>
    <x v="0"/>
    <x v="11"/>
    <n v="415.74576601888998"/>
    <n v="151747.204596895"/>
    <n v="546289.93654882105"/>
  </r>
  <r>
    <x v="0"/>
    <x v="0"/>
    <x v="0"/>
    <x v="2"/>
    <x v="3"/>
    <s v="FIN_OTHER"/>
    <x v="11"/>
    <s v="GHOB_PEAT"/>
    <x v="0"/>
    <x v="12"/>
    <n v="415.74576601888998"/>
    <n v="151747.204596895"/>
    <n v="546289.93654882105"/>
  </r>
  <r>
    <x v="0"/>
    <x v="0"/>
    <x v="0"/>
    <x v="2"/>
    <x v="3"/>
    <s v="FIN_OTHER"/>
    <x v="11"/>
    <s v="GHOB_PEAT"/>
    <x v="0"/>
    <x v="13"/>
    <n v="415.74576601888998"/>
    <n v="151747.204596895"/>
    <n v="546289.93654882105"/>
  </r>
  <r>
    <x v="0"/>
    <x v="0"/>
    <x v="0"/>
    <x v="2"/>
    <x v="3"/>
    <s v="FIN_OTHER"/>
    <x v="11"/>
    <s v="GHOB_PEAT"/>
    <x v="0"/>
    <x v="0"/>
    <n v="415.74576601888998"/>
    <n v="151747.204596895"/>
    <n v="546289.93654882105"/>
  </r>
  <r>
    <x v="0"/>
    <x v="0"/>
    <x v="0"/>
    <x v="2"/>
    <x v="3"/>
    <s v="FIN_OTHER"/>
    <x v="11"/>
    <s v="GHOB_PEAT"/>
    <x v="0"/>
    <x v="14"/>
    <n v="415.74576601888998"/>
    <n v="151747.204596895"/>
    <n v="546289.93654882105"/>
  </r>
  <r>
    <x v="0"/>
    <x v="0"/>
    <x v="0"/>
    <x v="2"/>
    <x v="3"/>
    <s v="FIN_OTHER"/>
    <x v="11"/>
    <s v="GHOB_PEAT"/>
    <x v="0"/>
    <x v="1"/>
    <n v="415.74576601888998"/>
    <n v="151747.204596895"/>
    <n v="546289.93654882105"/>
  </r>
  <r>
    <x v="0"/>
    <x v="0"/>
    <x v="0"/>
    <x v="2"/>
    <x v="3"/>
    <s v="FIN_OTHER"/>
    <x v="11"/>
    <s v="GHOB_PEAT"/>
    <x v="0"/>
    <x v="23"/>
    <n v="415.74576601888998"/>
    <n v="151747.204596895"/>
    <n v="546289.93654882105"/>
  </r>
  <r>
    <x v="0"/>
    <x v="0"/>
    <x v="0"/>
    <x v="2"/>
    <x v="3"/>
    <s v="FIN_OTHER"/>
    <x v="11"/>
    <s v="GHOB_PEAT"/>
    <x v="0"/>
    <x v="2"/>
    <n v="415.74576601888998"/>
    <n v="151747.204596895"/>
    <n v="546289.93654882105"/>
  </r>
  <r>
    <x v="0"/>
    <x v="0"/>
    <x v="0"/>
    <x v="2"/>
    <x v="3"/>
    <s v="FIN_OTHER"/>
    <x v="11"/>
    <s v="GHOB_PEAT"/>
    <x v="0"/>
    <x v="3"/>
    <n v="415.74576601888998"/>
    <n v="151747.204596895"/>
    <n v="546289.93654882105"/>
  </r>
  <r>
    <x v="0"/>
    <x v="0"/>
    <x v="0"/>
    <x v="2"/>
    <x v="3"/>
    <s v="FIN_OTHER"/>
    <x v="11"/>
    <s v="GHOB_PEAT"/>
    <x v="0"/>
    <x v="4"/>
    <n v="415.74576601888998"/>
    <n v="151747.204596895"/>
    <n v="546289.93654882105"/>
  </r>
  <r>
    <x v="0"/>
    <x v="0"/>
    <x v="0"/>
    <x v="2"/>
    <x v="3"/>
    <s v="FIN_OTHER"/>
    <x v="11"/>
    <s v="GHOB_PEAT"/>
    <x v="0"/>
    <x v="5"/>
    <n v="415.74576601888998"/>
    <n v="151747.204596895"/>
    <n v="546289.93654882105"/>
  </r>
  <r>
    <x v="0"/>
    <x v="0"/>
    <x v="0"/>
    <x v="2"/>
    <x v="3"/>
    <s v="FIN_OTHER"/>
    <x v="11"/>
    <s v="GHOB_PEAT"/>
    <x v="0"/>
    <x v="15"/>
    <n v="415.74576601888998"/>
    <n v="151747.204596895"/>
    <n v="546289.93654882105"/>
  </r>
  <r>
    <x v="0"/>
    <x v="0"/>
    <x v="0"/>
    <x v="2"/>
    <x v="3"/>
    <s v="FIN_OTHER"/>
    <x v="11"/>
    <s v="GHOB_PEAT"/>
    <x v="0"/>
    <x v="6"/>
    <n v="415.74576601888998"/>
    <n v="151747.204596895"/>
    <n v="546289.93654882105"/>
  </r>
  <r>
    <x v="0"/>
    <x v="0"/>
    <x v="0"/>
    <x v="2"/>
    <x v="3"/>
    <s v="FIN_OTHER"/>
    <x v="11"/>
    <s v="GHOB_PEAT"/>
    <x v="0"/>
    <x v="7"/>
    <n v="415.74576601888998"/>
    <n v="151747.204596895"/>
    <n v="546289.93654882105"/>
  </r>
  <r>
    <x v="0"/>
    <x v="0"/>
    <x v="0"/>
    <x v="2"/>
    <x v="3"/>
    <s v="FIN_OTHER"/>
    <x v="11"/>
    <s v="GHOB_PEAT"/>
    <x v="0"/>
    <x v="8"/>
    <n v="415.74576601888998"/>
    <n v="151747.204596895"/>
    <n v="546289.93654882105"/>
  </r>
  <r>
    <x v="0"/>
    <x v="0"/>
    <x v="0"/>
    <x v="2"/>
    <x v="3"/>
    <s v="FIN_OTHER"/>
    <x v="11"/>
    <s v="GHOB_PEAT"/>
    <x v="0"/>
    <x v="16"/>
    <n v="415.74576601888998"/>
    <n v="151747.204596895"/>
    <n v="546289.93654882105"/>
  </r>
  <r>
    <x v="0"/>
    <x v="0"/>
    <x v="0"/>
    <x v="2"/>
    <x v="3"/>
    <s v="FIN_OTHER"/>
    <x v="11"/>
    <s v="GHOB_PEAT"/>
    <x v="0"/>
    <x v="17"/>
    <n v="415.74576601888998"/>
    <n v="151747.204596895"/>
    <n v="546289.93654882105"/>
  </r>
  <r>
    <x v="0"/>
    <x v="0"/>
    <x v="0"/>
    <x v="2"/>
    <x v="3"/>
    <s v="FIN_OTHER"/>
    <x v="11"/>
    <s v="GHOB_PEAT"/>
    <x v="0"/>
    <x v="18"/>
    <n v="415.74576601888998"/>
    <n v="151747.204596895"/>
    <n v="546289.93654882105"/>
  </r>
  <r>
    <x v="0"/>
    <x v="0"/>
    <x v="0"/>
    <x v="2"/>
    <x v="3"/>
    <s v="FIN_OTHER"/>
    <x v="11"/>
    <s v="GHOB_PEAT"/>
    <x v="0"/>
    <x v="19"/>
    <n v="415.74576601888998"/>
    <n v="151747.204596895"/>
    <n v="546289.93654882105"/>
  </r>
  <r>
    <x v="0"/>
    <x v="0"/>
    <x v="0"/>
    <x v="2"/>
    <x v="3"/>
    <s v="FIN_OTHER"/>
    <x v="11"/>
    <s v="GHOB_PEAT"/>
    <x v="0"/>
    <x v="20"/>
    <n v="415.74576601888998"/>
    <n v="151747.204596895"/>
    <n v="546289.93654882105"/>
  </r>
  <r>
    <x v="0"/>
    <x v="0"/>
    <x v="0"/>
    <x v="2"/>
    <x v="3"/>
    <s v="FIN_OTHER"/>
    <x v="11"/>
    <s v="GHOB_PEAT"/>
    <x v="0"/>
    <x v="21"/>
    <n v="415.74576601888998"/>
    <n v="151747.204596895"/>
    <n v="546289.93654882105"/>
  </r>
  <r>
    <x v="0"/>
    <x v="0"/>
    <x v="0"/>
    <x v="2"/>
    <x v="3"/>
    <s v="FIN_OTHER"/>
    <x v="11"/>
    <s v="GHOB_PEAT"/>
    <x v="0"/>
    <x v="22"/>
    <n v="415.74576601888998"/>
    <n v="151747.204596895"/>
    <n v="546289.93654882105"/>
  </r>
  <r>
    <x v="0"/>
    <x v="0"/>
    <x v="0"/>
    <x v="2"/>
    <x v="3"/>
    <s v="FIN_OTHER"/>
    <x v="2"/>
    <s v="GHOB_WASTEHEAT"/>
    <x v="0"/>
    <x v="9"/>
    <n v="214.86950549450501"/>
    <n v="78427.369505494207"/>
    <n v="282338.530219779"/>
  </r>
  <r>
    <x v="0"/>
    <x v="0"/>
    <x v="0"/>
    <x v="2"/>
    <x v="3"/>
    <s v="FIN_OTHER"/>
    <x v="2"/>
    <s v="GHOB_WASTEHEAT"/>
    <x v="0"/>
    <x v="10"/>
    <n v="214.86950549450501"/>
    <n v="78427.369505494207"/>
    <n v="282338.530219779"/>
  </r>
  <r>
    <x v="0"/>
    <x v="0"/>
    <x v="0"/>
    <x v="2"/>
    <x v="3"/>
    <s v="FIN_OTHER"/>
    <x v="2"/>
    <s v="GHOB_WASTEHEAT"/>
    <x v="0"/>
    <x v="11"/>
    <n v="214.86950549450501"/>
    <n v="78427.369505494207"/>
    <n v="282338.530219779"/>
  </r>
  <r>
    <x v="0"/>
    <x v="0"/>
    <x v="0"/>
    <x v="2"/>
    <x v="3"/>
    <s v="FIN_OTHER"/>
    <x v="2"/>
    <s v="GHOB_WASTEHEAT"/>
    <x v="0"/>
    <x v="12"/>
    <n v="214.86950549450501"/>
    <n v="78427.369505494207"/>
    <n v="282338.530219779"/>
  </r>
  <r>
    <x v="0"/>
    <x v="0"/>
    <x v="0"/>
    <x v="2"/>
    <x v="3"/>
    <s v="FIN_OTHER"/>
    <x v="2"/>
    <s v="GHOB_WASTEHEAT"/>
    <x v="0"/>
    <x v="13"/>
    <n v="214.86950549450501"/>
    <n v="78427.369505494207"/>
    <n v="282338.530219779"/>
  </r>
  <r>
    <x v="0"/>
    <x v="0"/>
    <x v="0"/>
    <x v="2"/>
    <x v="3"/>
    <s v="FIN_OTHER"/>
    <x v="2"/>
    <s v="GHOB_WASTEHEAT"/>
    <x v="0"/>
    <x v="0"/>
    <n v="214.86950549450501"/>
    <n v="78427.369505494207"/>
    <n v="282338.530219779"/>
  </r>
  <r>
    <x v="0"/>
    <x v="0"/>
    <x v="0"/>
    <x v="2"/>
    <x v="3"/>
    <s v="FIN_OTHER"/>
    <x v="2"/>
    <s v="GHOB_WASTEHEAT"/>
    <x v="0"/>
    <x v="14"/>
    <n v="214.86950549450501"/>
    <n v="78427.369505494207"/>
    <n v="282338.530219779"/>
  </r>
  <r>
    <x v="0"/>
    <x v="0"/>
    <x v="0"/>
    <x v="2"/>
    <x v="3"/>
    <s v="FIN_OTHER"/>
    <x v="2"/>
    <s v="GHOB_WASTEHEAT"/>
    <x v="0"/>
    <x v="1"/>
    <n v="214.86950549450501"/>
    <n v="78427.369505494207"/>
    <n v="282338.530219779"/>
  </r>
  <r>
    <x v="0"/>
    <x v="0"/>
    <x v="0"/>
    <x v="2"/>
    <x v="3"/>
    <s v="FIN_OTHER"/>
    <x v="2"/>
    <s v="GHOB_WASTEHEAT"/>
    <x v="0"/>
    <x v="23"/>
    <n v="214.86950549450501"/>
    <n v="78427.369505494207"/>
    <n v="282338.530219779"/>
  </r>
  <r>
    <x v="0"/>
    <x v="0"/>
    <x v="0"/>
    <x v="2"/>
    <x v="3"/>
    <s v="FIN_OTHER"/>
    <x v="2"/>
    <s v="GHOB_WASTEHEAT"/>
    <x v="0"/>
    <x v="2"/>
    <n v="214.86950549450501"/>
    <n v="78427.369505494207"/>
    <n v="282338.530219779"/>
  </r>
  <r>
    <x v="0"/>
    <x v="0"/>
    <x v="0"/>
    <x v="2"/>
    <x v="3"/>
    <s v="FIN_OTHER"/>
    <x v="2"/>
    <s v="GHOB_WASTEHEAT"/>
    <x v="0"/>
    <x v="3"/>
    <n v="214.86950549450501"/>
    <n v="78427.369505494207"/>
    <n v="282338.530219779"/>
  </r>
  <r>
    <x v="0"/>
    <x v="0"/>
    <x v="0"/>
    <x v="2"/>
    <x v="3"/>
    <s v="FIN_OTHER"/>
    <x v="2"/>
    <s v="GHOB_WASTEHEAT"/>
    <x v="0"/>
    <x v="4"/>
    <n v="214.86950549450501"/>
    <n v="78427.369505494207"/>
    <n v="282338.530219779"/>
  </r>
  <r>
    <x v="0"/>
    <x v="0"/>
    <x v="0"/>
    <x v="2"/>
    <x v="3"/>
    <s v="FIN_OTHER"/>
    <x v="2"/>
    <s v="GHOB_WASTEHEAT"/>
    <x v="0"/>
    <x v="5"/>
    <n v="214.86950549450501"/>
    <n v="78427.369505494207"/>
    <n v="282338.530219779"/>
  </r>
  <r>
    <x v="0"/>
    <x v="0"/>
    <x v="0"/>
    <x v="2"/>
    <x v="3"/>
    <s v="FIN_OTHER"/>
    <x v="2"/>
    <s v="GHOB_WASTEHEAT"/>
    <x v="0"/>
    <x v="15"/>
    <n v="214.86950549450501"/>
    <n v="78427.369505494207"/>
    <n v="282338.530219779"/>
  </r>
  <r>
    <x v="0"/>
    <x v="0"/>
    <x v="0"/>
    <x v="2"/>
    <x v="3"/>
    <s v="FIN_OTHER"/>
    <x v="2"/>
    <s v="GHOB_WASTEHEAT"/>
    <x v="0"/>
    <x v="6"/>
    <n v="214.86950549450501"/>
    <n v="78427.369505494207"/>
    <n v="282338.530219779"/>
  </r>
  <r>
    <x v="0"/>
    <x v="0"/>
    <x v="0"/>
    <x v="2"/>
    <x v="3"/>
    <s v="FIN_OTHER"/>
    <x v="2"/>
    <s v="GHOB_WASTEHEAT"/>
    <x v="0"/>
    <x v="7"/>
    <n v="214.86950549450501"/>
    <n v="78427.369505494207"/>
    <n v="282338.530219779"/>
  </r>
  <r>
    <x v="0"/>
    <x v="0"/>
    <x v="0"/>
    <x v="2"/>
    <x v="3"/>
    <s v="FIN_OTHER"/>
    <x v="2"/>
    <s v="GHOB_WASTEHEAT"/>
    <x v="0"/>
    <x v="8"/>
    <n v="214.86950549450501"/>
    <n v="78427.369505494207"/>
    <n v="282338.530219779"/>
  </r>
  <r>
    <x v="0"/>
    <x v="0"/>
    <x v="0"/>
    <x v="2"/>
    <x v="3"/>
    <s v="FIN_OTHER"/>
    <x v="2"/>
    <s v="GHOB_WASTEHEAT"/>
    <x v="0"/>
    <x v="16"/>
    <n v="214.86950549450501"/>
    <n v="78427.369505494207"/>
    <n v="282338.530219779"/>
  </r>
  <r>
    <x v="0"/>
    <x v="0"/>
    <x v="0"/>
    <x v="2"/>
    <x v="3"/>
    <s v="FIN_OTHER"/>
    <x v="2"/>
    <s v="GHOB_WASTEHEAT"/>
    <x v="0"/>
    <x v="17"/>
    <n v="214.86950549450501"/>
    <n v="78427.369505494207"/>
    <n v="282338.530219779"/>
  </r>
  <r>
    <x v="0"/>
    <x v="0"/>
    <x v="0"/>
    <x v="2"/>
    <x v="3"/>
    <s v="FIN_OTHER"/>
    <x v="2"/>
    <s v="GHOB_WASTEHEAT"/>
    <x v="0"/>
    <x v="18"/>
    <n v="214.86950549450501"/>
    <n v="78427.369505494207"/>
    <n v="282338.530219779"/>
  </r>
  <r>
    <x v="0"/>
    <x v="0"/>
    <x v="0"/>
    <x v="2"/>
    <x v="3"/>
    <s v="FIN_OTHER"/>
    <x v="2"/>
    <s v="GHOB_WASTEHEAT"/>
    <x v="0"/>
    <x v="19"/>
    <n v="214.86950549450501"/>
    <n v="78427.369505494207"/>
    <n v="282338.530219779"/>
  </r>
  <r>
    <x v="0"/>
    <x v="0"/>
    <x v="0"/>
    <x v="2"/>
    <x v="3"/>
    <s v="FIN_OTHER"/>
    <x v="2"/>
    <s v="GHOB_WASTEHEAT"/>
    <x v="0"/>
    <x v="20"/>
    <n v="214.86950549450501"/>
    <n v="78427.369505494207"/>
    <n v="282338.530219779"/>
  </r>
  <r>
    <x v="0"/>
    <x v="0"/>
    <x v="0"/>
    <x v="2"/>
    <x v="3"/>
    <s v="FIN_OTHER"/>
    <x v="2"/>
    <s v="GHOB_WASTEHEAT"/>
    <x v="0"/>
    <x v="21"/>
    <n v="214.86950549450501"/>
    <n v="78427.369505494207"/>
    <n v="282338.530219779"/>
  </r>
  <r>
    <x v="0"/>
    <x v="0"/>
    <x v="0"/>
    <x v="2"/>
    <x v="3"/>
    <s v="FIN_OTHER"/>
    <x v="2"/>
    <s v="GHOB_WASTEHEAT"/>
    <x v="0"/>
    <x v="22"/>
    <n v="214.86950549450501"/>
    <n v="78427.369505494207"/>
    <n v="282338.530219779"/>
  </r>
  <r>
    <x v="0"/>
    <x v="0"/>
    <x v="0"/>
    <x v="2"/>
    <x v="3"/>
    <s v="FIN_OTHER"/>
    <x v="7"/>
    <s v="GBPR_WOODCHIPS_FINOTHER"/>
    <x v="0"/>
    <x v="14"/>
    <n v="139.652806721134"/>
    <n v="50973.274453213897"/>
    <n v="183503.78803157"/>
  </r>
  <r>
    <x v="0"/>
    <x v="0"/>
    <x v="0"/>
    <x v="2"/>
    <x v="3"/>
    <s v="FIN_OTHER"/>
    <x v="7"/>
    <s v="GBPR_WOODCHIPS_FINOTHER"/>
    <x v="0"/>
    <x v="1"/>
    <n v="356.86863366087499"/>
    <n v="130257.05128622"/>
    <n v="468925.38463038998"/>
  </r>
  <r>
    <x v="0"/>
    <x v="0"/>
    <x v="0"/>
    <x v="2"/>
    <x v="3"/>
    <s v="FIN_OTHER"/>
    <x v="7"/>
    <s v="GBPR_WOODCHIPS_FINOTHER"/>
    <x v="0"/>
    <x v="23"/>
    <n v="360.34889549844399"/>
    <n v="131527.34685693201"/>
    <n v="473498.44868495601"/>
  </r>
  <r>
    <x v="0"/>
    <x v="0"/>
    <x v="0"/>
    <x v="2"/>
    <x v="3"/>
    <s v="FIN_OTHER"/>
    <x v="7"/>
    <s v="GBPR_WOODCHIPS_FINOTHER"/>
    <x v="0"/>
    <x v="2"/>
    <n v="303.325504560166"/>
    <n v="110713.80916446001"/>
    <n v="398569.71299205802"/>
  </r>
  <r>
    <x v="0"/>
    <x v="0"/>
    <x v="0"/>
    <x v="2"/>
    <x v="3"/>
    <s v="FIN_OTHER"/>
    <x v="7"/>
    <s v="GBPR_WOODCHIPS_FINOTHER"/>
    <x v="0"/>
    <x v="3"/>
    <n v="211.073656274364"/>
    <n v="77041.884540142899"/>
    <n v="277350.78434451501"/>
  </r>
  <r>
    <x v="0"/>
    <x v="0"/>
    <x v="0"/>
    <x v="2"/>
    <x v="3"/>
    <s v="FIN_OTHER"/>
    <x v="7"/>
    <s v="GBPR_WOODCHIPS_FINOTHER"/>
    <x v="0"/>
    <x v="4"/>
    <n v="144.424592218996"/>
    <n v="52714.976159933598"/>
    <n v="189773.91417576099"/>
  </r>
  <r>
    <x v="0"/>
    <x v="0"/>
    <x v="0"/>
    <x v="2"/>
    <x v="3"/>
    <s v="FIN_OTHER"/>
    <x v="7"/>
    <s v="GBPR_WOODCHIPS_FINOTHER"/>
    <x v="0"/>
    <x v="5"/>
    <n v="81.300682769067905"/>
    <n v="29674.749210709801"/>
    <n v="106829.097158555"/>
  </r>
  <r>
    <x v="0"/>
    <x v="0"/>
    <x v="0"/>
    <x v="2"/>
    <x v="3"/>
    <s v="FIN_OTHER"/>
    <x v="7"/>
    <s v="GBPR_WOODCHIPS_FINOTHER"/>
    <x v="0"/>
    <x v="15"/>
    <n v="41.877320508750401"/>
    <n v="15285.221985693899"/>
    <n v="55026.799148498001"/>
  </r>
  <r>
    <x v="0"/>
    <x v="0"/>
    <x v="0"/>
    <x v="2"/>
    <x v="3"/>
    <s v="FIN_OTHER"/>
    <x v="7"/>
    <s v="GBPR_WOODCHIPS_FINOTHER"/>
    <x v="0"/>
    <x v="6"/>
    <n v="38.110078997265298"/>
    <n v="13910.178834001799"/>
    <n v="50076.643802406601"/>
  </r>
  <r>
    <x v="0"/>
    <x v="0"/>
    <x v="0"/>
    <x v="2"/>
    <x v="3"/>
    <s v="FIN_OTHER"/>
    <x v="7"/>
    <s v="GBPR_WOODCHIPS_FINOTHER"/>
    <x v="0"/>
    <x v="7"/>
    <n v="46.2146412475022"/>
    <n v="16868.344055338301"/>
    <n v="60726.0385992179"/>
  </r>
  <r>
    <x v="0"/>
    <x v="0"/>
    <x v="0"/>
    <x v="2"/>
    <x v="3"/>
    <s v="FIN_OTHER"/>
    <x v="7"/>
    <s v="GHOB_WOODCHIPS"/>
    <x v="0"/>
    <x v="9"/>
    <n v="15.6859784067732"/>
    <n v="5725.3821184722101"/>
    <n v="20611.375626500001"/>
  </r>
  <r>
    <x v="0"/>
    <x v="0"/>
    <x v="0"/>
    <x v="2"/>
    <x v="3"/>
    <s v="FIN_OTHER"/>
    <x v="7"/>
    <s v="GHOB_WOODCHIPS"/>
    <x v="0"/>
    <x v="11"/>
    <n v="1.7592728476089401"/>
    <n v="642.13458937726296"/>
    <n v="2311.6845217581499"/>
  </r>
  <r>
    <x v="0"/>
    <x v="0"/>
    <x v="0"/>
    <x v="2"/>
    <x v="3"/>
    <s v="FIN_OTHER"/>
    <x v="7"/>
    <s v="GHOB_WOODCHIPS"/>
    <x v="0"/>
    <x v="12"/>
    <n v="41.994900526416203"/>
    <n v="15328.1386921419"/>
    <n v="55181.2992917109"/>
  </r>
  <r>
    <x v="0"/>
    <x v="0"/>
    <x v="0"/>
    <x v="2"/>
    <x v="3"/>
    <s v="FIN_OTHER"/>
    <x v="7"/>
    <s v="GHOB_WOODCHIPS"/>
    <x v="0"/>
    <x v="13"/>
    <n v="124.206131192691"/>
    <n v="45335.237885332201"/>
    <n v="163206.85638719599"/>
  </r>
  <r>
    <x v="0"/>
    <x v="0"/>
    <x v="0"/>
    <x v="2"/>
    <x v="3"/>
    <s v="FIN_OTHER"/>
    <x v="7"/>
    <s v="GHOB_WOODCHIPS"/>
    <x v="0"/>
    <x v="0"/>
    <n v="279.19899005694703"/>
    <n v="101907.631370786"/>
    <n v="366867.47293482802"/>
  </r>
  <r>
    <x v="0"/>
    <x v="0"/>
    <x v="0"/>
    <x v="2"/>
    <x v="3"/>
    <s v="FIN_OTHER"/>
    <x v="7"/>
    <s v="GHOB_WOODCHIPS"/>
    <x v="0"/>
    <x v="14"/>
    <n v="524.79999999999995"/>
    <n v="191552"/>
    <n v="689587.19999999995"/>
  </r>
  <r>
    <x v="0"/>
    <x v="0"/>
    <x v="0"/>
    <x v="2"/>
    <x v="3"/>
    <s v="FIN_OTHER"/>
    <x v="7"/>
    <s v="GHOB_WOODCHIPS"/>
    <x v="0"/>
    <x v="1"/>
    <n v="524.79999999999995"/>
    <n v="191552"/>
    <n v="689587.19999999995"/>
  </r>
  <r>
    <x v="0"/>
    <x v="0"/>
    <x v="0"/>
    <x v="2"/>
    <x v="3"/>
    <s v="FIN_OTHER"/>
    <x v="7"/>
    <s v="GHOB_WOODCHIPS"/>
    <x v="0"/>
    <x v="23"/>
    <n v="524.79999999999995"/>
    <n v="191552"/>
    <n v="689587.19999999995"/>
  </r>
  <r>
    <x v="0"/>
    <x v="0"/>
    <x v="0"/>
    <x v="2"/>
    <x v="3"/>
    <s v="FIN_OTHER"/>
    <x v="7"/>
    <s v="GHOB_WOODCHIPS"/>
    <x v="0"/>
    <x v="2"/>
    <n v="524.79999999999995"/>
    <n v="191552"/>
    <n v="689587.19999999995"/>
  </r>
  <r>
    <x v="0"/>
    <x v="0"/>
    <x v="0"/>
    <x v="2"/>
    <x v="3"/>
    <s v="FIN_OTHER"/>
    <x v="7"/>
    <s v="GHOB_WOODCHIPS"/>
    <x v="0"/>
    <x v="3"/>
    <n v="524.79999999999995"/>
    <n v="191552"/>
    <n v="689587.19999999995"/>
  </r>
  <r>
    <x v="0"/>
    <x v="0"/>
    <x v="0"/>
    <x v="2"/>
    <x v="3"/>
    <s v="FIN_OTHER"/>
    <x v="7"/>
    <s v="GHOB_WOODCHIPS"/>
    <x v="0"/>
    <x v="4"/>
    <n v="524.79999999999995"/>
    <n v="191552"/>
    <n v="689587.19999999995"/>
  </r>
  <r>
    <x v="0"/>
    <x v="0"/>
    <x v="0"/>
    <x v="2"/>
    <x v="3"/>
    <s v="FIN_OTHER"/>
    <x v="7"/>
    <s v="GHOB_WOODCHIPS"/>
    <x v="0"/>
    <x v="5"/>
    <n v="524.79999999999995"/>
    <n v="191552"/>
    <n v="689587.19999999995"/>
  </r>
  <r>
    <x v="0"/>
    <x v="0"/>
    <x v="0"/>
    <x v="2"/>
    <x v="3"/>
    <s v="FIN_OTHER"/>
    <x v="7"/>
    <s v="GHOB_WOODCHIPS"/>
    <x v="0"/>
    <x v="15"/>
    <n v="524.79999999999995"/>
    <n v="191552"/>
    <n v="689587.19999999995"/>
  </r>
  <r>
    <x v="0"/>
    <x v="0"/>
    <x v="0"/>
    <x v="2"/>
    <x v="3"/>
    <s v="FIN_OTHER"/>
    <x v="7"/>
    <s v="GHOB_WOODCHIPS"/>
    <x v="0"/>
    <x v="6"/>
    <n v="524.79999999999995"/>
    <n v="191552"/>
    <n v="689587.19999999995"/>
  </r>
  <r>
    <x v="0"/>
    <x v="0"/>
    <x v="0"/>
    <x v="2"/>
    <x v="3"/>
    <s v="FIN_OTHER"/>
    <x v="7"/>
    <s v="GHOB_WOODCHIPS"/>
    <x v="0"/>
    <x v="7"/>
    <n v="524.79999999999995"/>
    <n v="191552"/>
    <n v="689587.19999999995"/>
  </r>
  <r>
    <x v="0"/>
    <x v="0"/>
    <x v="0"/>
    <x v="2"/>
    <x v="3"/>
    <s v="FIN_OTHER"/>
    <x v="7"/>
    <s v="GHOB_WOODCHIPS"/>
    <x v="0"/>
    <x v="8"/>
    <n v="466.64146272010998"/>
    <n v="170324.13389284001"/>
    <n v="613166.88201422396"/>
  </r>
  <r>
    <x v="0"/>
    <x v="0"/>
    <x v="0"/>
    <x v="2"/>
    <x v="3"/>
    <s v="FIN_OTHER"/>
    <x v="7"/>
    <s v="GHOB_WOODCHIPS"/>
    <x v="0"/>
    <x v="16"/>
    <n v="367.31009152477702"/>
    <n v="134068.18340654401"/>
    <n v="482645.46026355802"/>
  </r>
  <r>
    <x v="0"/>
    <x v="0"/>
    <x v="0"/>
    <x v="2"/>
    <x v="3"/>
    <s v="FIN_OTHER"/>
    <x v="7"/>
    <s v="GHOB_WOODCHIPS"/>
    <x v="0"/>
    <x v="17"/>
    <n v="331.75322110269599"/>
    <n v="121089.925702484"/>
    <n v="435923.732528942"/>
  </r>
  <r>
    <x v="0"/>
    <x v="0"/>
    <x v="0"/>
    <x v="2"/>
    <x v="3"/>
    <s v="FIN_OTHER"/>
    <x v="7"/>
    <s v="GHOB_WOODCHIPS"/>
    <x v="0"/>
    <x v="18"/>
    <n v="284.81406299995501"/>
    <n v="103957.132994984"/>
    <n v="374245.67878194101"/>
  </r>
  <r>
    <x v="0"/>
    <x v="0"/>
    <x v="0"/>
    <x v="2"/>
    <x v="3"/>
    <s v="FIN_OTHER"/>
    <x v="7"/>
    <s v="GHOB_WOODCHIPS"/>
    <x v="0"/>
    <x v="19"/>
    <n v="234.59228667757799"/>
    <n v="85626.184637315906"/>
    <n v="308254.26469433698"/>
  </r>
  <r>
    <x v="0"/>
    <x v="0"/>
    <x v="0"/>
    <x v="2"/>
    <x v="3"/>
    <s v="FIN_OTHER"/>
    <x v="7"/>
    <s v="GHOB_WOODCHIPS"/>
    <x v="0"/>
    <x v="20"/>
    <n v="169.499448549639"/>
    <n v="61867.298720618099"/>
    <n v="222722.275394225"/>
  </r>
  <r>
    <x v="0"/>
    <x v="0"/>
    <x v="0"/>
    <x v="2"/>
    <x v="3"/>
    <s v="FIN_OTHER"/>
    <x v="7"/>
    <s v="GHOB_WOODCHIPS"/>
    <x v="0"/>
    <x v="21"/>
    <n v="77.747068369130005"/>
    <n v="28377.679954732499"/>
    <n v="102159.647837037"/>
  </r>
  <r>
    <x v="0"/>
    <x v="0"/>
    <x v="0"/>
    <x v="2"/>
    <x v="3"/>
    <s v="FIN_OTHER"/>
    <x v="8"/>
    <s v="GBPR_WOODWASTE_FINOTHER"/>
    <x v="0"/>
    <x v="9"/>
    <n v="304.938271604938"/>
    <n v="111302.46913580201"/>
    <n v="400688.88888888899"/>
  </r>
  <r>
    <x v="0"/>
    <x v="0"/>
    <x v="0"/>
    <x v="2"/>
    <x v="3"/>
    <s v="FIN_OTHER"/>
    <x v="8"/>
    <s v="GBPR_WOODWASTE_FINOTHER"/>
    <x v="0"/>
    <x v="10"/>
    <n v="304.938271604938"/>
    <n v="111302.46913580201"/>
    <n v="400688.88888888899"/>
  </r>
  <r>
    <x v="0"/>
    <x v="0"/>
    <x v="0"/>
    <x v="2"/>
    <x v="3"/>
    <s v="FIN_OTHER"/>
    <x v="8"/>
    <s v="GBPR_WOODWASTE_FINOTHER"/>
    <x v="0"/>
    <x v="11"/>
    <n v="304.938271604938"/>
    <n v="111302.46913580201"/>
    <n v="400688.88888888899"/>
  </r>
  <r>
    <x v="0"/>
    <x v="0"/>
    <x v="0"/>
    <x v="2"/>
    <x v="3"/>
    <s v="FIN_OTHER"/>
    <x v="8"/>
    <s v="GBPR_WOODWASTE_FINOTHER"/>
    <x v="0"/>
    <x v="12"/>
    <n v="304.938271604938"/>
    <n v="111302.46913580201"/>
    <n v="400688.88888888899"/>
  </r>
  <r>
    <x v="0"/>
    <x v="0"/>
    <x v="0"/>
    <x v="2"/>
    <x v="3"/>
    <s v="FIN_OTHER"/>
    <x v="8"/>
    <s v="GBPR_WOODWASTE_FINOTHER"/>
    <x v="0"/>
    <x v="13"/>
    <n v="304.938271604938"/>
    <n v="111302.46913580201"/>
    <n v="400688.88888888899"/>
  </r>
  <r>
    <x v="0"/>
    <x v="0"/>
    <x v="0"/>
    <x v="2"/>
    <x v="3"/>
    <s v="FIN_OTHER"/>
    <x v="8"/>
    <s v="GBPR_WOODWASTE_FINOTHER"/>
    <x v="0"/>
    <x v="0"/>
    <n v="304.938271604938"/>
    <n v="111302.46913580201"/>
    <n v="400688.88888888899"/>
  </r>
  <r>
    <x v="0"/>
    <x v="0"/>
    <x v="0"/>
    <x v="2"/>
    <x v="3"/>
    <s v="FIN_OTHER"/>
    <x v="8"/>
    <s v="GBPR_WOODWASTE_FINOTHER"/>
    <x v="0"/>
    <x v="14"/>
    <n v="304.938271604938"/>
    <n v="111302.46913580201"/>
    <n v="400688.88888888899"/>
  </r>
  <r>
    <x v="0"/>
    <x v="0"/>
    <x v="0"/>
    <x v="2"/>
    <x v="3"/>
    <s v="FIN_OTHER"/>
    <x v="8"/>
    <s v="GBPR_WOODWASTE_FINOTHER"/>
    <x v="0"/>
    <x v="1"/>
    <n v="304.938271604938"/>
    <n v="111302.46913580201"/>
    <n v="400688.88888888899"/>
  </r>
  <r>
    <x v="0"/>
    <x v="0"/>
    <x v="0"/>
    <x v="2"/>
    <x v="3"/>
    <s v="FIN_OTHER"/>
    <x v="8"/>
    <s v="GBPR_WOODWASTE_FINOTHER"/>
    <x v="0"/>
    <x v="23"/>
    <n v="304.938271604938"/>
    <n v="111302.46913580201"/>
    <n v="400688.88888888899"/>
  </r>
  <r>
    <x v="0"/>
    <x v="0"/>
    <x v="0"/>
    <x v="2"/>
    <x v="3"/>
    <s v="FIN_OTHER"/>
    <x v="8"/>
    <s v="GBPR_WOODWASTE_FINOTHER"/>
    <x v="0"/>
    <x v="2"/>
    <n v="304.938271604938"/>
    <n v="111302.46913580201"/>
    <n v="400688.88888888899"/>
  </r>
  <r>
    <x v="0"/>
    <x v="0"/>
    <x v="0"/>
    <x v="2"/>
    <x v="3"/>
    <s v="FIN_OTHER"/>
    <x v="8"/>
    <s v="GBPR_WOODWASTE_FINOTHER"/>
    <x v="0"/>
    <x v="3"/>
    <n v="304.938271604938"/>
    <n v="111302.46913580201"/>
    <n v="400688.88888888899"/>
  </r>
  <r>
    <x v="0"/>
    <x v="0"/>
    <x v="0"/>
    <x v="2"/>
    <x v="3"/>
    <s v="FIN_OTHER"/>
    <x v="8"/>
    <s v="GBPR_WOODWASTE_FINOTHER"/>
    <x v="0"/>
    <x v="4"/>
    <n v="304.938271604938"/>
    <n v="111302.46913580201"/>
    <n v="400688.88888888899"/>
  </r>
  <r>
    <x v="0"/>
    <x v="0"/>
    <x v="0"/>
    <x v="2"/>
    <x v="3"/>
    <s v="FIN_OTHER"/>
    <x v="8"/>
    <s v="GBPR_WOODWASTE_FINOTHER"/>
    <x v="0"/>
    <x v="5"/>
    <n v="304.938271604938"/>
    <n v="111302.46913580201"/>
    <n v="400688.88888888899"/>
  </r>
  <r>
    <x v="0"/>
    <x v="0"/>
    <x v="0"/>
    <x v="2"/>
    <x v="3"/>
    <s v="FIN_OTHER"/>
    <x v="8"/>
    <s v="GBPR_WOODWASTE_FINOTHER"/>
    <x v="0"/>
    <x v="15"/>
    <n v="304.938271604938"/>
    <n v="111302.46913580201"/>
    <n v="400688.88888888899"/>
  </r>
  <r>
    <x v="0"/>
    <x v="0"/>
    <x v="0"/>
    <x v="2"/>
    <x v="3"/>
    <s v="FIN_OTHER"/>
    <x v="8"/>
    <s v="GBPR_WOODWASTE_FINOTHER"/>
    <x v="0"/>
    <x v="6"/>
    <n v="304.938271604938"/>
    <n v="111302.46913580201"/>
    <n v="400688.88888888899"/>
  </r>
  <r>
    <x v="0"/>
    <x v="0"/>
    <x v="0"/>
    <x v="2"/>
    <x v="3"/>
    <s v="FIN_OTHER"/>
    <x v="8"/>
    <s v="GBPR_WOODWASTE_FINOTHER"/>
    <x v="0"/>
    <x v="7"/>
    <n v="304.938271604938"/>
    <n v="111302.46913580201"/>
    <n v="400688.88888888899"/>
  </r>
  <r>
    <x v="0"/>
    <x v="0"/>
    <x v="0"/>
    <x v="2"/>
    <x v="3"/>
    <s v="FIN_OTHER"/>
    <x v="8"/>
    <s v="GBPR_WOODWASTE_FINOTHER"/>
    <x v="0"/>
    <x v="8"/>
    <n v="304.938271604938"/>
    <n v="111302.46913580201"/>
    <n v="400688.88888888899"/>
  </r>
  <r>
    <x v="0"/>
    <x v="0"/>
    <x v="0"/>
    <x v="2"/>
    <x v="3"/>
    <s v="FIN_OTHER"/>
    <x v="8"/>
    <s v="GBPR_WOODWASTE_FINOTHER"/>
    <x v="0"/>
    <x v="16"/>
    <n v="304.938271604938"/>
    <n v="111302.46913580201"/>
    <n v="400688.88888888899"/>
  </r>
  <r>
    <x v="0"/>
    <x v="0"/>
    <x v="0"/>
    <x v="2"/>
    <x v="3"/>
    <s v="FIN_OTHER"/>
    <x v="8"/>
    <s v="GBPR_WOODWASTE_FINOTHER"/>
    <x v="0"/>
    <x v="17"/>
    <n v="304.938271604938"/>
    <n v="111302.46913580201"/>
    <n v="400688.88888888899"/>
  </r>
  <r>
    <x v="0"/>
    <x v="0"/>
    <x v="0"/>
    <x v="2"/>
    <x v="3"/>
    <s v="FIN_OTHER"/>
    <x v="8"/>
    <s v="GBPR_WOODWASTE_FINOTHER"/>
    <x v="0"/>
    <x v="18"/>
    <n v="304.938271604938"/>
    <n v="111302.46913580201"/>
    <n v="400688.88888888899"/>
  </r>
  <r>
    <x v="0"/>
    <x v="0"/>
    <x v="0"/>
    <x v="2"/>
    <x v="3"/>
    <s v="FIN_OTHER"/>
    <x v="8"/>
    <s v="GBPR_WOODWASTE_FINOTHER"/>
    <x v="0"/>
    <x v="19"/>
    <n v="304.938271604938"/>
    <n v="111302.46913580201"/>
    <n v="400688.88888888899"/>
  </r>
  <r>
    <x v="0"/>
    <x v="0"/>
    <x v="0"/>
    <x v="2"/>
    <x v="3"/>
    <s v="FIN_OTHER"/>
    <x v="8"/>
    <s v="GBPR_WOODWASTE_FINOTHER"/>
    <x v="0"/>
    <x v="20"/>
    <n v="304.938271604938"/>
    <n v="111302.46913580201"/>
    <n v="400688.88888888899"/>
  </r>
  <r>
    <x v="0"/>
    <x v="0"/>
    <x v="0"/>
    <x v="2"/>
    <x v="3"/>
    <s v="FIN_OTHER"/>
    <x v="8"/>
    <s v="GBPR_WOODWASTE_FINOTHER"/>
    <x v="0"/>
    <x v="21"/>
    <n v="304.938271604938"/>
    <n v="111302.46913580201"/>
    <n v="400688.88888888899"/>
  </r>
  <r>
    <x v="0"/>
    <x v="0"/>
    <x v="0"/>
    <x v="2"/>
    <x v="3"/>
    <s v="FIN_OTHER"/>
    <x v="8"/>
    <s v="GBPR_WOODWASTE_FINOTHER"/>
    <x v="0"/>
    <x v="22"/>
    <n v="304.938271604938"/>
    <n v="111302.46913580201"/>
    <n v="400688.88888888899"/>
  </r>
  <r>
    <x v="0"/>
    <x v="0"/>
    <x v="0"/>
    <x v="2"/>
    <x v="3"/>
    <s v="FIN_OTHER"/>
    <x v="8"/>
    <s v="GHOB_WOODWASTE"/>
    <x v="0"/>
    <x v="9"/>
    <n v="166.8"/>
    <n v="60882"/>
    <n v="219175.2"/>
  </r>
  <r>
    <x v="0"/>
    <x v="0"/>
    <x v="0"/>
    <x v="2"/>
    <x v="3"/>
    <s v="FIN_OTHER"/>
    <x v="8"/>
    <s v="GHOB_WOODWASTE"/>
    <x v="0"/>
    <x v="10"/>
    <n v="166.8"/>
    <n v="60882"/>
    <n v="219175.2"/>
  </r>
  <r>
    <x v="0"/>
    <x v="0"/>
    <x v="0"/>
    <x v="2"/>
    <x v="3"/>
    <s v="FIN_OTHER"/>
    <x v="8"/>
    <s v="GHOB_WOODWASTE"/>
    <x v="0"/>
    <x v="11"/>
    <n v="166.8"/>
    <n v="60882"/>
    <n v="219175.2"/>
  </r>
  <r>
    <x v="0"/>
    <x v="0"/>
    <x v="0"/>
    <x v="2"/>
    <x v="3"/>
    <s v="FIN_OTHER"/>
    <x v="8"/>
    <s v="GHOB_WOODWASTE"/>
    <x v="0"/>
    <x v="12"/>
    <n v="166.8"/>
    <n v="60882"/>
    <n v="219175.2"/>
  </r>
  <r>
    <x v="0"/>
    <x v="0"/>
    <x v="0"/>
    <x v="2"/>
    <x v="3"/>
    <s v="FIN_OTHER"/>
    <x v="8"/>
    <s v="GHOB_WOODWASTE"/>
    <x v="0"/>
    <x v="13"/>
    <n v="166.8"/>
    <n v="60882"/>
    <n v="219175.2"/>
  </r>
  <r>
    <x v="0"/>
    <x v="0"/>
    <x v="0"/>
    <x v="2"/>
    <x v="3"/>
    <s v="FIN_OTHER"/>
    <x v="8"/>
    <s v="GHOB_WOODWASTE"/>
    <x v="0"/>
    <x v="0"/>
    <n v="166.8"/>
    <n v="60882"/>
    <n v="219175.2"/>
  </r>
  <r>
    <x v="0"/>
    <x v="0"/>
    <x v="0"/>
    <x v="2"/>
    <x v="3"/>
    <s v="FIN_OTHER"/>
    <x v="8"/>
    <s v="GHOB_WOODWASTE"/>
    <x v="0"/>
    <x v="14"/>
    <n v="166.8"/>
    <n v="60882"/>
    <n v="219175.2"/>
  </r>
  <r>
    <x v="0"/>
    <x v="0"/>
    <x v="0"/>
    <x v="2"/>
    <x v="3"/>
    <s v="FIN_OTHER"/>
    <x v="8"/>
    <s v="GHOB_WOODWASTE"/>
    <x v="0"/>
    <x v="1"/>
    <n v="166.8"/>
    <n v="60882"/>
    <n v="219175.2"/>
  </r>
  <r>
    <x v="0"/>
    <x v="0"/>
    <x v="0"/>
    <x v="2"/>
    <x v="3"/>
    <s v="FIN_OTHER"/>
    <x v="8"/>
    <s v="GHOB_WOODWASTE"/>
    <x v="0"/>
    <x v="23"/>
    <n v="166.8"/>
    <n v="60882"/>
    <n v="219175.2"/>
  </r>
  <r>
    <x v="0"/>
    <x v="0"/>
    <x v="0"/>
    <x v="2"/>
    <x v="3"/>
    <s v="FIN_OTHER"/>
    <x v="8"/>
    <s v="GHOB_WOODWASTE"/>
    <x v="0"/>
    <x v="2"/>
    <n v="166.8"/>
    <n v="60882"/>
    <n v="219175.2"/>
  </r>
  <r>
    <x v="0"/>
    <x v="0"/>
    <x v="0"/>
    <x v="2"/>
    <x v="3"/>
    <s v="FIN_OTHER"/>
    <x v="8"/>
    <s v="GHOB_WOODWASTE"/>
    <x v="0"/>
    <x v="3"/>
    <n v="166.8"/>
    <n v="60882"/>
    <n v="219175.2"/>
  </r>
  <r>
    <x v="0"/>
    <x v="0"/>
    <x v="0"/>
    <x v="2"/>
    <x v="3"/>
    <s v="FIN_OTHER"/>
    <x v="8"/>
    <s v="GHOB_WOODWASTE"/>
    <x v="0"/>
    <x v="4"/>
    <n v="166.8"/>
    <n v="60882"/>
    <n v="219175.2"/>
  </r>
  <r>
    <x v="0"/>
    <x v="0"/>
    <x v="0"/>
    <x v="2"/>
    <x v="3"/>
    <s v="FIN_OTHER"/>
    <x v="8"/>
    <s v="GHOB_WOODWASTE"/>
    <x v="0"/>
    <x v="5"/>
    <n v="166.8"/>
    <n v="60882"/>
    <n v="219175.2"/>
  </r>
  <r>
    <x v="0"/>
    <x v="0"/>
    <x v="0"/>
    <x v="2"/>
    <x v="3"/>
    <s v="FIN_OTHER"/>
    <x v="8"/>
    <s v="GHOB_WOODWASTE"/>
    <x v="0"/>
    <x v="15"/>
    <n v="166.8"/>
    <n v="60882"/>
    <n v="219175.2"/>
  </r>
  <r>
    <x v="0"/>
    <x v="0"/>
    <x v="0"/>
    <x v="2"/>
    <x v="3"/>
    <s v="FIN_OTHER"/>
    <x v="8"/>
    <s v="GHOB_WOODWASTE"/>
    <x v="0"/>
    <x v="6"/>
    <n v="166.8"/>
    <n v="60882"/>
    <n v="219175.2"/>
  </r>
  <r>
    <x v="0"/>
    <x v="0"/>
    <x v="0"/>
    <x v="2"/>
    <x v="3"/>
    <s v="FIN_OTHER"/>
    <x v="8"/>
    <s v="GHOB_WOODWASTE"/>
    <x v="0"/>
    <x v="7"/>
    <n v="166.8"/>
    <n v="60882"/>
    <n v="219175.2"/>
  </r>
  <r>
    <x v="0"/>
    <x v="0"/>
    <x v="0"/>
    <x v="2"/>
    <x v="3"/>
    <s v="FIN_OTHER"/>
    <x v="8"/>
    <s v="GHOB_WOODWASTE"/>
    <x v="0"/>
    <x v="8"/>
    <n v="166.8"/>
    <n v="60882"/>
    <n v="219175.2"/>
  </r>
  <r>
    <x v="0"/>
    <x v="0"/>
    <x v="0"/>
    <x v="2"/>
    <x v="3"/>
    <s v="FIN_OTHER"/>
    <x v="8"/>
    <s v="GHOB_WOODWASTE"/>
    <x v="0"/>
    <x v="16"/>
    <n v="166.8"/>
    <n v="60882"/>
    <n v="219175.2"/>
  </r>
  <r>
    <x v="0"/>
    <x v="0"/>
    <x v="0"/>
    <x v="2"/>
    <x v="3"/>
    <s v="FIN_OTHER"/>
    <x v="8"/>
    <s v="GHOB_WOODWASTE"/>
    <x v="0"/>
    <x v="17"/>
    <n v="166.8"/>
    <n v="60882"/>
    <n v="219175.2"/>
  </r>
  <r>
    <x v="0"/>
    <x v="0"/>
    <x v="0"/>
    <x v="2"/>
    <x v="3"/>
    <s v="FIN_OTHER"/>
    <x v="8"/>
    <s v="GHOB_WOODWASTE"/>
    <x v="0"/>
    <x v="18"/>
    <n v="166.8"/>
    <n v="60882"/>
    <n v="219175.2"/>
  </r>
  <r>
    <x v="0"/>
    <x v="0"/>
    <x v="0"/>
    <x v="2"/>
    <x v="3"/>
    <s v="FIN_OTHER"/>
    <x v="8"/>
    <s v="GHOB_WOODWASTE"/>
    <x v="0"/>
    <x v="19"/>
    <n v="166.8"/>
    <n v="60882"/>
    <n v="219175.2"/>
  </r>
  <r>
    <x v="0"/>
    <x v="0"/>
    <x v="0"/>
    <x v="2"/>
    <x v="3"/>
    <s v="FIN_OTHER"/>
    <x v="8"/>
    <s v="GHOB_WOODWASTE"/>
    <x v="0"/>
    <x v="20"/>
    <n v="166.8"/>
    <n v="60882"/>
    <n v="219175.2"/>
  </r>
  <r>
    <x v="0"/>
    <x v="0"/>
    <x v="0"/>
    <x v="2"/>
    <x v="3"/>
    <s v="FIN_OTHER"/>
    <x v="8"/>
    <s v="GHOB_WOODWASTE"/>
    <x v="0"/>
    <x v="21"/>
    <n v="166.8"/>
    <n v="60882"/>
    <n v="219175.2"/>
  </r>
  <r>
    <x v="0"/>
    <x v="0"/>
    <x v="0"/>
    <x v="2"/>
    <x v="3"/>
    <s v="FIN_OTHER"/>
    <x v="8"/>
    <s v="GHOB_WOODWASTE"/>
    <x v="0"/>
    <x v="22"/>
    <n v="166.8"/>
    <n v="60882"/>
    <n v="219175.2"/>
  </r>
  <r>
    <x v="0"/>
    <x v="0"/>
    <x v="0"/>
    <x v="2"/>
    <x v="3"/>
    <s v="FIN_TAMP"/>
    <x v="3"/>
    <s v="GETOH_ELECTRICBOILER"/>
    <x v="0"/>
    <x v="10"/>
    <n v="20"/>
    <n v="7300"/>
    <n v="26280"/>
  </r>
  <r>
    <x v="0"/>
    <x v="0"/>
    <x v="0"/>
    <x v="2"/>
    <x v="3"/>
    <s v="FIN_TAMP"/>
    <x v="3"/>
    <s v="GETOH_ELECTRICBOILER"/>
    <x v="0"/>
    <x v="11"/>
    <n v="20"/>
    <n v="7300"/>
    <n v="26280"/>
  </r>
  <r>
    <x v="0"/>
    <x v="0"/>
    <x v="0"/>
    <x v="2"/>
    <x v="3"/>
    <s v="FIN_TAMP"/>
    <x v="5"/>
    <s v="GEXT_NATGAS_TAMPERE"/>
    <x v="0"/>
    <x v="9"/>
    <n v="249.4508625128"/>
    <n v="91049.564817171995"/>
    <n v="327778.43334181898"/>
  </r>
  <r>
    <x v="0"/>
    <x v="0"/>
    <x v="0"/>
    <x v="2"/>
    <x v="3"/>
    <s v="FIN_TAMP"/>
    <x v="5"/>
    <s v="GEXT_NATGAS_TAMPERE"/>
    <x v="0"/>
    <x v="10"/>
    <n v="226.73858255495"/>
    <n v="82759.582632556907"/>
    <n v="297934.497477205"/>
  </r>
  <r>
    <x v="0"/>
    <x v="0"/>
    <x v="0"/>
    <x v="2"/>
    <x v="3"/>
    <s v="FIN_TAMP"/>
    <x v="5"/>
    <s v="GEXT_NATGAS_TAMPERE"/>
    <x v="0"/>
    <x v="11"/>
    <n v="228.40320041047701"/>
    <n v="83367.168149824007"/>
    <n v="300121.80533936602"/>
  </r>
  <r>
    <x v="0"/>
    <x v="0"/>
    <x v="0"/>
    <x v="2"/>
    <x v="3"/>
    <s v="FIN_TAMP"/>
    <x v="5"/>
    <s v="GEXT_NATGAS_TAMPERE"/>
    <x v="0"/>
    <x v="12"/>
    <n v="254.88079506431799"/>
    <n v="93031.490198475905"/>
    <n v="334913.36471451301"/>
  </r>
  <r>
    <x v="0"/>
    <x v="0"/>
    <x v="0"/>
    <x v="2"/>
    <x v="3"/>
    <s v="FIN_TAMP"/>
    <x v="5"/>
    <s v="GEXT_NATGAS_TAMPERE"/>
    <x v="0"/>
    <x v="13"/>
    <n v="269.99259146028697"/>
    <n v="98547.295883004801"/>
    <n v="354770.26517881698"/>
  </r>
  <r>
    <x v="0"/>
    <x v="0"/>
    <x v="0"/>
    <x v="2"/>
    <x v="3"/>
    <s v="FIN_TAMP"/>
    <x v="5"/>
    <s v="GEXT_NATGAS_TAMPERE"/>
    <x v="0"/>
    <x v="0"/>
    <n v="295.03040112437901"/>
    <n v="107686.09641039799"/>
    <n v="387669.94707743399"/>
  </r>
  <r>
    <x v="0"/>
    <x v="0"/>
    <x v="0"/>
    <x v="2"/>
    <x v="3"/>
    <s v="FIN_TAMP"/>
    <x v="5"/>
    <s v="GEXT_NATGAS_TAMPERE"/>
    <x v="0"/>
    <x v="14"/>
    <n v="347.77170587327799"/>
    <n v="126936.672643746"/>
    <n v="456972.02151748701"/>
  </r>
  <r>
    <x v="0"/>
    <x v="0"/>
    <x v="0"/>
    <x v="2"/>
    <x v="3"/>
    <s v="FIN_TAMP"/>
    <x v="5"/>
    <s v="GEXT_NATGAS_TAMPERE"/>
    <x v="0"/>
    <x v="1"/>
    <n v="378.64361627698298"/>
    <n v="138204.91994109901"/>
    <n v="497537.71178795502"/>
  </r>
  <r>
    <x v="0"/>
    <x v="0"/>
    <x v="0"/>
    <x v="2"/>
    <x v="3"/>
    <s v="FIN_TAMP"/>
    <x v="5"/>
    <s v="GEXT_NATGAS_TAMPERE"/>
    <x v="0"/>
    <x v="23"/>
    <n v="384.78447709880299"/>
    <n v="140446.33414106301"/>
    <n v="505606.80290782702"/>
  </r>
  <r>
    <x v="0"/>
    <x v="0"/>
    <x v="0"/>
    <x v="2"/>
    <x v="3"/>
    <s v="FIN_TAMP"/>
    <x v="5"/>
    <s v="GEXT_NATGAS_TAMPERE"/>
    <x v="0"/>
    <x v="2"/>
    <n v="387.018865007356"/>
    <n v="141261.885727685"/>
    <n v="508542.78861966502"/>
  </r>
  <r>
    <x v="0"/>
    <x v="0"/>
    <x v="0"/>
    <x v="2"/>
    <x v="3"/>
    <s v="FIN_TAMP"/>
    <x v="5"/>
    <s v="GEXT_NATGAS_TAMPERE"/>
    <x v="0"/>
    <x v="3"/>
    <n v="375.70167691435699"/>
    <n v="137131.11207373999"/>
    <n v="493672.00346546498"/>
  </r>
  <r>
    <x v="0"/>
    <x v="0"/>
    <x v="0"/>
    <x v="2"/>
    <x v="3"/>
    <s v="FIN_TAMP"/>
    <x v="5"/>
    <s v="GEXT_NATGAS_TAMPERE"/>
    <x v="0"/>
    <x v="4"/>
    <n v="369.003462689554"/>
    <n v="134686.26388168699"/>
    <n v="484870.54997407401"/>
  </r>
  <r>
    <x v="0"/>
    <x v="0"/>
    <x v="0"/>
    <x v="2"/>
    <x v="3"/>
    <s v="FIN_TAMP"/>
    <x v="5"/>
    <s v="GEXT_NATGAS_TAMPERE"/>
    <x v="0"/>
    <x v="5"/>
    <n v="366.33109067394099"/>
    <n v="133710.84809598801"/>
    <n v="481359.05314555799"/>
  </r>
  <r>
    <x v="0"/>
    <x v="0"/>
    <x v="0"/>
    <x v="2"/>
    <x v="3"/>
    <s v="FIN_TAMP"/>
    <x v="5"/>
    <s v="GEXT_NATGAS_TAMPERE"/>
    <x v="0"/>
    <x v="15"/>
    <n v="365.68258243701001"/>
    <n v="133474.142589508"/>
    <n v="480506.91332223098"/>
  </r>
  <r>
    <x v="0"/>
    <x v="0"/>
    <x v="0"/>
    <x v="2"/>
    <x v="3"/>
    <s v="FIN_TAMP"/>
    <x v="5"/>
    <s v="GEXT_NATGAS_TAMPERE"/>
    <x v="0"/>
    <x v="6"/>
    <n v="367.63536037529798"/>
    <n v="134186.906536984"/>
    <n v="483072.86353314098"/>
  </r>
  <r>
    <x v="0"/>
    <x v="0"/>
    <x v="0"/>
    <x v="2"/>
    <x v="3"/>
    <s v="FIN_TAMP"/>
    <x v="5"/>
    <s v="GEXT_NATGAS_TAMPERE"/>
    <x v="0"/>
    <x v="7"/>
    <n v="380.213682942692"/>
    <n v="138777.994274083"/>
    <n v="499600.77938669798"/>
  </r>
  <r>
    <x v="0"/>
    <x v="0"/>
    <x v="0"/>
    <x v="2"/>
    <x v="3"/>
    <s v="FIN_TAMP"/>
    <x v="5"/>
    <s v="GEXT_NATGAS_TAMPERE"/>
    <x v="0"/>
    <x v="8"/>
    <n v="367.36971727981802"/>
    <n v="134089.94680713399"/>
    <n v="482723.80850568099"/>
  </r>
  <r>
    <x v="0"/>
    <x v="0"/>
    <x v="0"/>
    <x v="2"/>
    <x v="3"/>
    <s v="FIN_TAMP"/>
    <x v="5"/>
    <s v="GEXT_NATGAS_TAMPERE"/>
    <x v="0"/>
    <x v="16"/>
    <n v="358.69343421338198"/>
    <n v="130923.103487885"/>
    <n v="471323.172556384"/>
  </r>
  <r>
    <x v="0"/>
    <x v="0"/>
    <x v="0"/>
    <x v="2"/>
    <x v="3"/>
    <s v="FIN_TAMP"/>
    <x v="5"/>
    <s v="GEXT_NATGAS_TAMPERE"/>
    <x v="0"/>
    <x v="17"/>
    <n v="360.61770549540898"/>
    <n v="131625.46250582399"/>
    <n v="473851.66502096801"/>
  </r>
  <r>
    <x v="0"/>
    <x v="0"/>
    <x v="0"/>
    <x v="2"/>
    <x v="3"/>
    <s v="FIN_TAMP"/>
    <x v="5"/>
    <s v="GEXT_NATGAS_TAMPERE"/>
    <x v="0"/>
    <x v="18"/>
    <n v="354.88076200792301"/>
    <n v="129531.47813289201"/>
    <n v="466313.32127841102"/>
  </r>
  <r>
    <x v="0"/>
    <x v="0"/>
    <x v="0"/>
    <x v="2"/>
    <x v="3"/>
    <s v="FIN_TAMP"/>
    <x v="5"/>
    <s v="GEXT_NATGAS_TAMPERE"/>
    <x v="0"/>
    <x v="19"/>
    <n v="346.970826719196"/>
    <n v="126644.351752506"/>
    <n v="455919.66630902298"/>
  </r>
  <r>
    <x v="0"/>
    <x v="0"/>
    <x v="0"/>
    <x v="2"/>
    <x v="3"/>
    <s v="FIN_TAMP"/>
    <x v="5"/>
    <s v="GEXT_NATGAS_TAMPERE"/>
    <x v="0"/>
    <x v="20"/>
    <n v="341.50436489545802"/>
    <n v="124649.093186842"/>
    <n v="448736.73547263199"/>
  </r>
  <r>
    <x v="0"/>
    <x v="0"/>
    <x v="0"/>
    <x v="2"/>
    <x v="3"/>
    <s v="FIN_TAMP"/>
    <x v="5"/>
    <s v="GEXT_NATGAS_TAMPERE"/>
    <x v="0"/>
    <x v="21"/>
    <n v="323.83458744838401"/>
    <n v="118199.62441865999"/>
    <n v="425518.647907176"/>
  </r>
  <r>
    <x v="0"/>
    <x v="0"/>
    <x v="0"/>
    <x v="2"/>
    <x v="3"/>
    <s v="FIN_TAMP"/>
    <x v="5"/>
    <s v="GEXT_NATGAS_TAMPERE"/>
    <x v="0"/>
    <x v="22"/>
    <n v="307.30592249655098"/>
    <n v="112166.661711241"/>
    <n v="403799.982160468"/>
  </r>
  <r>
    <x v="0"/>
    <x v="0"/>
    <x v="0"/>
    <x v="2"/>
    <x v="3"/>
    <s v="FinA"/>
    <x v="11"/>
    <s v="GBPR_PEAT_IND"/>
    <x v="0"/>
    <x v="9"/>
    <n v="782.71604938271605"/>
    <n v="285691.358024691"/>
    <n v="1028488.88888889"/>
  </r>
  <r>
    <x v="0"/>
    <x v="0"/>
    <x v="0"/>
    <x v="2"/>
    <x v="3"/>
    <s v="FinA"/>
    <x v="11"/>
    <s v="GBPR_PEAT_IND"/>
    <x v="0"/>
    <x v="10"/>
    <n v="782.71604938271605"/>
    <n v="285691.358024691"/>
    <n v="1028488.88888889"/>
  </r>
  <r>
    <x v="0"/>
    <x v="0"/>
    <x v="0"/>
    <x v="2"/>
    <x v="3"/>
    <s v="FinA"/>
    <x v="11"/>
    <s v="GBPR_PEAT_IND"/>
    <x v="0"/>
    <x v="11"/>
    <n v="782.71604938271605"/>
    <n v="285691.358024691"/>
    <n v="1028488.88888889"/>
  </r>
  <r>
    <x v="0"/>
    <x v="0"/>
    <x v="0"/>
    <x v="2"/>
    <x v="3"/>
    <s v="FinA"/>
    <x v="11"/>
    <s v="GBPR_PEAT_IND"/>
    <x v="0"/>
    <x v="12"/>
    <n v="782.71604938271605"/>
    <n v="285691.358024691"/>
    <n v="1028488.88888889"/>
  </r>
  <r>
    <x v="0"/>
    <x v="0"/>
    <x v="0"/>
    <x v="2"/>
    <x v="3"/>
    <s v="FinA"/>
    <x v="11"/>
    <s v="GBPR_PEAT_IND"/>
    <x v="0"/>
    <x v="13"/>
    <n v="782.71604938271605"/>
    <n v="285691.358024691"/>
    <n v="1028488.88888889"/>
  </r>
  <r>
    <x v="0"/>
    <x v="0"/>
    <x v="0"/>
    <x v="2"/>
    <x v="3"/>
    <s v="FinA"/>
    <x v="11"/>
    <s v="GBPR_PEAT_IND"/>
    <x v="0"/>
    <x v="0"/>
    <n v="782.71604938271605"/>
    <n v="285691.358024691"/>
    <n v="1028488.88888889"/>
  </r>
  <r>
    <x v="0"/>
    <x v="0"/>
    <x v="0"/>
    <x v="2"/>
    <x v="3"/>
    <s v="FinA"/>
    <x v="11"/>
    <s v="GBPR_PEAT_IND"/>
    <x v="0"/>
    <x v="14"/>
    <n v="782.71604938271605"/>
    <n v="285691.358024691"/>
    <n v="1028488.88888889"/>
  </r>
  <r>
    <x v="0"/>
    <x v="0"/>
    <x v="0"/>
    <x v="2"/>
    <x v="3"/>
    <s v="FinA"/>
    <x v="11"/>
    <s v="GBPR_PEAT_IND"/>
    <x v="0"/>
    <x v="1"/>
    <n v="782.71604938271605"/>
    <n v="285691.358024691"/>
    <n v="1028488.88888889"/>
  </r>
  <r>
    <x v="0"/>
    <x v="0"/>
    <x v="0"/>
    <x v="2"/>
    <x v="3"/>
    <s v="FinA"/>
    <x v="11"/>
    <s v="GBPR_PEAT_IND"/>
    <x v="0"/>
    <x v="23"/>
    <n v="782.71604938271605"/>
    <n v="285691.358024691"/>
    <n v="1028488.88888889"/>
  </r>
  <r>
    <x v="0"/>
    <x v="0"/>
    <x v="0"/>
    <x v="2"/>
    <x v="3"/>
    <s v="FinA"/>
    <x v="11"/>
    <s v="GBPR_PEAT_IND"/>
    <x v="0"/>
    <x v="2"/>
    <n v="782.71604938271605"/>
    <n v="285691.358024691"/>
    <n v="1028488.88888889"/>
  </r>
  <r>
    <x v="0"/>
    <x v="0"/>
    <x v="0"/>
    <x v="2"/>
    <x v="3"/>
    <s v="FinA"/>
    <x v="11"/>
    <s v="GBPR_PEAT_IND"/>
    <x v="0"/>
    <x v="3"/>
    <n v="782.71604938271605"/>
    <n v="285691.358024691"/>
    <n v="1028488.88888889"/>
  </r>
  <r>
    <x v="0"/>
    <x v="0"/>
    <x v="0"/>
    <x v="2"/>
    <x v="3"/>
    <s v="FinA"/>
    <x v="11"/>
    <s v="GBPR_PEAT_IND"/>
    <x v="0"/>
    <x v="4"/>
    <n v="782.71604938271605"/>
    <n v="285691.358024691"/>
    <n v="1028488.88888889"/>
  </r>
  <r>
    <x v="0"/>
    <x v="0"/>
    <x v="0"/>
    <x v="2"/>
    <x v="3"/>
    <s v="FinA"/>
    <x v="11"/>
    <s v="GBPR_PEAT_IND"/>
    <x v="0"/>
    <x v="5"/>
    <n v="782.71604938271605"/>
    <n v="285691.358024691"/>
    <n v="1028488.88888889"/>
  </r>
  <r>
    <x v="0"/>
    <x v="0"/>
    <x v="0"/>
    <x v="2"/>
    <x v="3"/>
    <s v="FinA"/>
    <x v="11"/>
    <s v="GBPR_PEAT_IND"/>
    <x v="0"/>
    <x v="15"/>
    <n v="782.71604938271605"/>
    <n v="285691.358024691"/>
    <n v="1028488.88888889"/>
  </r>
  <r>
    <x v="0"/>
    <x v="0"/>
    <x v="0"/>
    <x v="2"/>
    <x v="3"/>
    <s v="FinA"/>
    <x v="11"/>
    <s v="GBPR_PEAT_IND"/>
    <x v="0"/>
    <x v="6"/>
    <n v="782.71604938271605"/>
    <n v="285691.358024691"/>
    <n v="1028488.88888889"/>
  </r>
  <r>
    <x v="0"/>
    <x v="0"/>
    <x v="0"/>
    <x v="2"/>
    <x v="3"/>
    <s v="FinA"/>
    <x v="11"/>
    <s v="GBPR_PEAT_IND"/>
    <x v="0"/>
    <x v="7"/>
    <n v="782.71604938271605"/>
    <n v="285691.358024691"/>
    <n v="1028488.88888889"/>
  </r>
  <r>
    <x v="0"/>
    <x v="0"/>
    <x v="0"/>
    <x v="2"/>
    <x v="3"/>
    <s v="FinA"/>
    <x v="11"/>
    <s v="GBPR_PEAT_IND"/>
    <x v="0"/>
    <x v="8"/>
    <n v="782.71604938271605"/>
    <n v="285691.358024691"/>
    <n v="1028488.88888889"/>
  </r>
  <r>
    <x v="0"/>
    <x v="0"/>
    <x v="0"/>
    <x v="2"/>
    <x v="3"/>
    <s v="FinA"/>
    <x v="11"/>
    <s v="GBPR_PEAT_IND"/>
    <x v="0"/>
    <x v="16"/>
    <n v="782.71604938271605"/>
    <n v="285691.358024691"/>
    <n v="1028488.88888889"/>
  </r>
  <r>
    <x v="0"/>
    <x v="0"/>
    <x v="0"/>
    <x v="2"/>
    <x v="3"/>
    <s v="FinA"/>
    <x v="11"/>
    <s v="GBPR_PEAT_IND"/>
    <x v="0"/>
    <x v="17"/>
    <n v="782.71604938271605"/>
    <n v="285691.358024691"/>
    <n v="1028488.88888889"/>
  </r>
  <r>
    <x v="0"/>
    <x v="0"/>
    <x v="0"/>
    <x v="2"/>
    <x v="3"/>
    <s v="FinA"/>
    <x v="11"/>
    <s v="GBPR_PEAT_IND"/>
    <x v="0"/>
    <x v="18"/>
    <n v="782.71604938271605"/>
    <n v="285691.358024691"/>
    <n v="1028488.88888889"/>
  </r>
  <r>
    <x v="0"/>
    <x v="0"/>
    <x v="0"/>
    <x v="2"/>
    <x v="3"/>
    <s v="FinA"/>
    <x v="11"/>
    <s v="GBPR_PEAT_IND"/>
    <x v="0"/>
    <x v="19"/>
    <n v="782.71604938271605"/>
    <n v="285691.358024691"/>
    <n v="1028488.88888889"/>
  </r>
  <r>
    <x v="0"/>
    <x v="0"/>
    <x v="0"/>
    <x v="2"/>
    <x v="3"/>
    <s v="FinA"/>
    <x v="11"/>
    <s v="GBPR_PEAT_IND"/>
    <x v="0"/>
    <x v="20"/>
    <n v="782.71604938271605"/>
    <n v="285691.358024691"/>
    <n v="1028488.88888889"/>
  </r>
  <r>
    <x v="0"/>
    <x v="0"/>
    <x v="0"/>
    <x v="2"/>
    <x v="3"/>
    <s v="FinA"/>
    <x v="11"/>
    <s v="GBPR_PEAT_IND"/>
    <x v="0"/>
    <x v="21"/>
    <n v="782.71604938271605"/>
    <n v="285691.358024691"/>
    <n v="1028488.88888889"/>
  </r>
  <r>
    <x v="0"/>
    <x v="0"/>
    <x v="0"/>
    <x v="2"/>
    <x v="3"/>
    <s v="FinA"/>
    <x v="11"/>
    <s v="GBPR_PEAT_IND"/>
    <x v="0"/>
    <x v="22"/>
    <n v="782.71604938271605"/>
    <n v="285691.358024691"/>
    <n v="1028488.88888889"/>
  </r>
  <r>
    <x v="0"/>
    <x v="0"/>
    <x v="0"/>
    <x v="3"/>
    <x v="4"/>
    <s v="DE4-E_A"/>
    <x v="1"/>
    <s v="GNR_HS_HEAT_WTR-TANK_LS_E-95_Y-2010"/>
    <x v="0"/>
    <x v="9"/>
    <n v="126818.90537967"/>
    <n v="46288900.463579699"/>
    <n v="166640041.66888699"/>
  </r>
  <r>
    <x v="0"/>
    <x v="0"/>
    <x v="0"/>
    <x v="3"/>
    <x v="4"/>
    <s v="DE4-E_A"/>
    <x v="1"/>
    <s v="GNR_HS_HEAT_WTR-TANK_LS_E-95_Y-2010"/>
    <x v="0"/>
    <x v="10"/>
    <n v="132242.87451309699"/>
    <n v="48268649.1972804"/>
    <n v="173767137.11021"/>
  </r>
  <r>
    <x v="0"/>
    <x v="0"/>
    <x v="0"/>
    <x v="3"/>
    <x v="4"/>
    <s v="DE4-E_A"/>
    <x v="1"/>
    <s v="GNR_HS_HEAT_WTR-TANK_LS_E-95_Y-2010"/>
    <x v="0"/>
    <x v="11"/>
    <n v="128079.559630715"/>
    <n v="46749039.2652108"/>
    <n v="168296541.35475901"/>
  </r>
  <r>
    <x v="0"/>
    <x v="0"/>
    <x v="0"/>
    <x v="3"/>
    <x v="4"/>
    <s v="DE4-E_A"/>
    <x v="1"/>
    <s v="GNR_HS_HEAT_WTR-TANK_LS_E-95_Y-2010"/>
    <x v="0"/>
    <x v="12"/>
    <n v="126801.682804386"/>
    <n v="46282614.2236007"/>
    <n v="166617411.204963"/>
  </r>
  <r>
    <x v="0"/>
    <x v="0"/>
    <x v="0"/>
    <x v="3"/>
    <x v="4"/>
    <s v="DE4-E_A"/>
    <x v="1"/>
    <s v="GNR_HS_HEAT_WTR-TANK_LS_E-95_Y-2010"/>
    <x v="0"/>
    <x v="13"/>
    <n v="126833.25752574101"/>
    <n v="46294138.9968955"/>
    <n v="166658900.38882399"/>
  </r>
  <r>
    <x v="0"/>
    <x v="0"/>
    <x v="0"/>
    <x v="3"/>
    <x v="4"/>
    <s v="DE4-E_A"/>
    <x v="1"/>
    <s v="GNR_HS_HEAT_WTR-TANK_LS_E-95_Y-2010"/>
    <x v="0"/>
    <x v="0"/>
    <n v="127335.582638216"/>
    <n v="46477487.662948899"/>
    <n v="167318955.58661601"/>
  </r>
  <r>
    <x v="0"/>
    <x v="0"/>
    <x v="0"/>
    <x v="3"/>
    <x v="4"/>
    <s v="DE4-E_A"/>
    <x v="1"/>
    <s v="GNR_HS_HEAT_WTR-TANK_LS_E-95_Y-2010"/>
    <x v="0"/>
    <x v="14"/>
    <n v="128592.830634011"/>
    <n v="46936383.181413896"/>
    <n v="168970979.45309001"/>
  </r>
  <r>
    <x v="0"/>
    <x v="0"/>
    <x v="0"/>
    <x v="3"/>
    <x v="4"/>
    <s v="DE4-E_A"/>
    <x v="1"/>
    <s v="GNR_HS_HEAT_WTR-TANK_LS_E-95_Y-2010"/>
    <x v="0"/>
    <x v="1"/>
    <n v="129172.67932556799"/>
    <n v="47148027.9538325"/>
    <n v="169732900.63379699"/>
  </r>
  <r>
    <x v="0"/>
    <x v="0"/>
    <x v="0"/>
    <x v="3"/>
    <x v="4"/>
    <s v="DE4-E_A"/>
    <x v="1"/>
    <s v="GNR_HS_HEAT_WTR-TANK_LS_E-95_Y-2010"/>
    <x v="0"/>
    <x v="23"/>
    <n v="129284.62606492"/>
    <n v="47188888.513695799"/>
    <n v="169879998.64930499"/>
  </r>
  <r>
    <x v="0"/>
    <x v="0"/>
    <x v="0"/>
    <x v="3"/>
    <x v="4"/>
    <s v="DE4-E_A"/>
    <x v="1"/>
    <s v="GNR_HS_HEAT_WTR-TANK_LS_E-95_Y-2010"/>
    <x v="0"/>
    <x v="2"/>
    <n v="129270.27391884899"/>
    <n v="47183649.980379999"/>
    <n v="169861139.92936799"/>
  </r>
  <r>
    <x v="0"/>
    <x v="0"/>
    <x v="0"/>
    <x v="3"/>
    <x v="4"/>
    <s v="DE4-E_A"/>
    <x v="1"/>
    <s v="GNR_HS_HEAT_WTR-TANK_LS_E-95_Y-2010"/>
    <x v="0"/>
    <x v="3"/>
    <n v="129465.44111511001"/>
    <n v="47254886.007015102"/>
    <n v="170117589.62525401"/>
  </r>
  <r>
    <x v="0"/>
    <x v="0"/>
    <x v="0"/>
    <x v="3"/>
    <x v="4"/>
    <s v="DE4-E_A"/>
    <x v="1"/>
    <s v="GNR_HS_HEAT_WTR-TANK_LS_E-95_Y-2010"/>
    <x v="0"/>
    <x v="4"/>
    <n v="129439.60725218301"/>
    <n v="47245456.6470467"/>
    <n v="170083643.92936799"/>
  </r>
  <r>
    <x v="0"/>
    <x v="0"/>
    <x v="0"/>
    <x v="3"/>
    <x v="4"/>
    <s v="DE4-E_A"/>
    <x v="1"/>
    <s v="GNR_HS_HEAT_WTR-TANK_LS_E-95_Y-2010"/>
    <x v="0"/>
    <x v="5"/>
    <n v="129278.86321619101"/>
    <n v="47186785.073909603"/>
    <n v="169872426.26607499"/>
  </r>
  <r>
    <x v="0"/>
    <x v="0"/>
    <x v="0"/>
    <x v="3"/>
    <x v="4"/>
    <s v="DE4-E_A"/>
    <x v="1"/>
    <s v="GNR_HS_HEAT_WTR-TANK_LS_E-95_Y-2010"/>
    <x v="0"/>
    <x v="15"/>
    <n v="129166.916476839"/>
    <n v="47145924.514046296"/>
    <n v="169725328.25056699"/>
  </r>
  <r>
    <x v="0"/>
    <x v="0"/>
    <x v="0"/>
    <x v="3"/>
    <x v="4"/>
    <s v="DE4-E_A"/>
    <x v="1"/>
    <s v="GNR_HS_HEAT_WTR-TANK_LS_E-95_Y-2010"/>
    <x v="0"/>
    <x v="6"/>
    <n v="129212.843344265"/>
    <n v="47162687.820656903"/>
    <n v="169785676.154365"/>
  </r>
  <r>
    <x v="0"/>
    <x v="0"/>
    <x v="0"/>
    <x v="3"/>
    <x v="4"/>
    <s v="DE4-E_A"/>
    <x v="1"/>
    <s v="GNR_HS_HEAT_WTR-TANK_LS_E-95_Y-2010"/>
    <x v="0"/>
    <x v="7"/>
    <n v="129255.899782477"/>
    <n v="47178403.420604303"/>
    <n v="169842252.31417501"/>
  </r>
  <r>
    <x v="0"/>
    <x v="0"/>
    <x v="0"/>
    <x v="3"/>
    <x v="4"/>
    <s v="DE4-E_A"/>
    <x v="1"/>
    <s v="GNR_HS_HEAT_WTR-TANK_LS_E-95_Y-2010"/>
    <x v="0"/>
    <x v="8"/>
    <n v="129281.73364540499"/>
    <n v="47187832.780572698"/>
    <n v="169876198.01006201"/>
  </r>
  <r>
    <x v="0"/>
    <x v="0"/>
    <x v="0"/>
    <x v="3"/>
    <x v="4"/>
    <s v="DE4-E_A"/>
    <x v="1"/>
    <s v="GNR_HS_HEAT_WTR-TANK_LS_E-95_Y-2010"/>
    <x v="0"/>
    <x v="16"/>
    <n v="129359.235234187"/>
    <n v="47216120.860478103"/>
    <n v="169978035.09772101"/>
  </r>
  <r>
    <x v="0"/>
    <x v="0"/>
    <x v="0"/>
    <x v="3"/>
    <x v="4"/>
    <s v="DE4-E_A"/>
    <x v="1"/>
    <s v="GNR_HS_HEAT_WTR-TANK_LS_E-95_Y-2010"/>
    <x v="0"/>
    <x v="17"/>
    <n v="129347.75351733"/>
    <n v="47211930.033825502"/>
    <n v="169962948.12177199"/>
  </r>
  <r>
    <x v="0"/>
    <x v="0"/>
    <x v="0"/>
    <x v="3"/>
    <x v="4"/>
    <s v="DE4-E_A"/>
    <x v="1"/>
    <s v="GNR_HS_HEAT_WTR-TANK_LS_E-95_Y-2010"/>
    <x v="0"/>
    <x v="18"/>
    <n v="129230.06591955"/>
    <n v="47168974.060635798"/>
    <n v="169808306.61828899"/>
  </r>
  <r>
    <x v="0"/>
    <x v="0"/>
    <x v="0"/>
    <x v="3"/>
    <x v="4"/>
    <s v="DE4-E_A"/>
    <x v="1"/>
    <s v="GNR_HS_HEAT_WTR-TANK_LS_E-95_Y-2010"/>
    <x v="0"/>
    <x v="19"/>
    <n v="129009.04287006101"/>
    <n v="47088300.647572398"/>
    <n v="169517882.33126"/>
  </r>
  <r>
    <x v="0"/>
    <x v="0"/>
    <x v="0"/>
    <x v="3"/>
    <x v="4"/>
    <s v="DE4-E_A"/>
    <x v="1"/>
    <s v="GNR_HS_HEAT_WTR-TANK_LS_E-95_Y-2010"/>
    <x v="0"/>
    <x v="20"/>
    <n v="129568.640640925"/>
    <n v="47292553.833937697"/>
    <n v="170253193.802176"/>
  </r>
  <r>
    <x v="0"/>
    <x v="0"/>
    <x v="0"/>
    <x v="3"/>
    <x v="4"/>
    <s v="DE4-E_A"/>
    <x v="1"/>
    <s v="GNR_HS_HEAT_WTR-TANK_LS_E-95_Y-2010"/>
    <x v="0"/>
    <x v="21"/>
    <n v="135786.06575791899"/>
    <n v="49561914.001640297"/>
    <n v="178422890.40590501"/>
  </r>
  <r>
    <x v="0"/>
    <x v="0"/>
    <x v="0"/>
    <x v="3"/>
    <x v="4"/>
    <s v="DE4-E_A"/>
    <x v="1"/>
    <s v="GNR_HS_HEAT_WTR-TANK_LS_E-95_Y-2010"/>
    <x v="0"/>
    <x v="22"/>
    <n v="136348.30520671999"/>
    <n v="49767131.400452703"/>
    <n v="179161673.04163"/>
  </r>
  <r>
    <x v="0"/>
    <x v="0"/>
    <x v="0"/>
    <x v="3"/>
    <x v="4"/>
    <s v="DE4-E_A"/>
    <x v="13"/>
    <s v="GNR_ST_LIGN_BP_E-28"/>
    <x v="0"/>
    <x v="1"/>
    <n v="169.333333333333"/>
    <n v="61806.666666666701"/>
    <n v="222504"/>
  </r>
  <r>
    <x v="0"/>
    <x v="0"/>
    <x v="0"/>
    <x v="3"/>
    <x v="4"/>
    <s v="DE4-E_A"/>
    <x v="13"/>
    <s v="GNR_ST_LIGN_BP_E-28"/>
    <x v="0"/>
    <x v="23"/>
    <n v="169.333333333333"/>
    <n v="61806.666666666701"/>
    <n v="222504"/>
  </r>
  <r>
    <x v="0"/>
    <x v="0"/>
    <x v="0"/>
    <x v="3"/>
    <x v="4"/>
    <s v="DE4-E_A"/>
    <x v="13"/>
    <s v="GNR_ST_LIGN_BP_E-28"/>
    <x v="0"/>
    <x v="2"/>
    <n v="169.333333333333"/>
    <n v="61806.666666666701"/>
    <n v="222504"/>
  </r>
  <r>
    <x v="0"/>
    <x v="0"/>
    <x v="0"/>
    <x v="3"/>
    <x v="4"/>
    <s v="DE4-E_A"/>
    <x v="13"/>
    <s v="GNR_ST_LIGN_BP_E-39"/>
    <x v="0"/>
    <x v="9"/>
    <n v="12428.5333333333"/>
    <n v="4536414.6666666698"/>
    <n v="16331092.800000001"/>
  </r>
  <r>
    <x v="0"/>
    <x v="0"/>
    <x v="0"/>
    <x v="3"/>
    <x v="4"/>
    <s v="DE4-E_A"/>
    <x v="13"/>
    <s v="GNR_ST_LIGN_BP_E-39"/>
    <x v="0"/>
    <x v="10"/>
    <n v="6972.9894785510796"/>
    <n v="2545141.1596711501"/>
    <n v="9162508.1748161204"/>
  </r>
  <r>
    <x v="0"/>
    <x v="0"/>
    <x v="0"/>
    <x v="3"/>
    <x v="4"/>
    <s v="DE4-E_A"/>
    <x v="13"/>
    <s v="GNR_ST_LIGN_BP_E-39"/>
    <x v="0"/>
    <x v="11"/>
    <n v="11107.600068792301"/>
    <n v="4054274.0251091798"/>
    <n v="14595386.490393"/>
  </r>
  <r>
    <x v="0"/>
    <x v="0"/>
    <x v="0"/>
    <x v="3"/>
    <x v="4"/>
    <s v="DE4-E_A"/>
    <x v="13"/>
    <s v="GNR_ST_LIGN_BP_E-39"/>
    <x v="0"/>
    <x v="12"/>
    <n v="12428.5333333333"/>
    <n v="4536414.6666666698"/>
    <n v="16331092.800000001"/>
  </r>
  <r>
    <x v="0"/>
    <x v="0"/>
    <x v="0"/>
    <x v="3"/>
    <x v="4"/>
    <s v="DE4-E_A"/>
    <x v="13"/>
    <s v="GNR_ST_LIGN_BP_E-39"/>
    <x v="0"/>
    <x v="13"/>
    <n v="12428.5333333333"/>
    <n v="4536414.6666666698"/>
    <n v="16331092.800000001"/>
  </r>
  <r>
    <x v="0"/>
    <x v="0"/>
    <x v="0"/>
    <x v="3"/>
    <x v="4"/>
    <s v="DE4-E_A"/>
    <x v="13"/>
    <s v="GNR_ST_LIGN_BP_E-39"/>
    <x v="0"/>
    <x v="0"/>
    <n v="12428.5333333333"/>
    <n v="4536414.6666666698"/>
    <n v="16331092.800000001"/>
  </r>
  <r>
    <x v="0"/>
    <x v="0"/>
    <x v="0"/>
    <x v="3"/>
    <x v="4"/>
    <s v="DE4-E_A"/>
    <x v="13"/>
    <s v="GNR_ST_LIGN_BP_E-39"/>
    <x v="0"/>
    <x v="14"/>
    <n v="12428.5333333333"/>
    <n v="4536414.6666666698"/>
    <n v="16331092.800000001"/>
  </r>
  <r>
    <x v="0"/>
    <x v="0"/>
    <x v="0"/>
    <x v="3"/>
    <x v="4"/>
    <s v="DE4-E_A"/>
    <x v="13"/>
    <s v="GNR_ST_LIGN_BP_E-39"/>
    <x v="0"/>
    <x v="1"/>
    <n v="12428.5333333333"/>
    <n v="4536414.6666666698"/>
    <n v="16331092.800000001"/>
  </r>
  <r>
    <x v="0"/>
    <x v="0"/>
    <x v="0"/>
    <x v="3"/>
    <x v="4"/>
    <s v="DE4-E_A"/>
    <x v="13"/>
    <s v="GNR_ST_LIGN_BP_E-39"/>
    <x v="0"/>
    <x v="23"/>
    <n v="12428.5333333333"/>
    <n v="4536414.6666666698"/>
    <n v="16331092.800000001"/>
  </r>
  <r>
    <x v="0"/>
    <x v="0"/>
    <x v="0"/>
    <x v="3"/>
    <x v="4"/>
    <s v="DE4-E_A"/>
    <x v="13"/>
    <s v="GNR_ST_LIGN_BP_E-39"/>
    <x v="0"/>
    <x v="2"/>
    <n v="12428.5333333333"/>
    <n v="4536414.6666666698"/>
    <n v="16331092.800000001"/>
  </r>
  <r>
    <x v="0"/>
    <x v="0"/>
    <x v="0"/>
    <x v="3"/>
    <x v="4"/>
    <s v="DE4-E_A"/>
    <x v="13"/>
    <s v="GNR_ST_LIGN_BP_E-39"/>
    <x v="0"/>
    <x v="3"/>
    <n v="12428.5333333333"/>
    <n v="4536414.6666666698"/>
    <n v="16331092.800000001"/>
  </r>
  <r>
    <x v="0"/>
    <x v="0"/>
    <x v="0"/>
    <x v="3"/>
    <x v="4"/>
    <s v="DE4-E_A"/>
    <x v="13"/>
    <s v="GNR_ST_LIGN_BP_E-39"/>
    <x v="0"/>
    <x v="4"/>
    <n v="12428.5333333333"/>
    <n v="4536414.6666666698"/>
    <n v="16331092.800000001"/>
  </r>
  <r>
    <x v="0"/>
    <x v="0"/>
    <x v="0"/>
    <x v="3"/>
    <x v="4"/>
    <s v="DE4-E_A"/>
    <x v="13"/>
    <s v="GNR_ST_LIGN_BP_E-39"/>
    <x v="0"/>
    <x v="5"/>
    <n v="12428.5333333333"/>
    <n v="4536414.6666666698"/>
    <n v="16331092.800000001"/>
  </r>
  <r>
    <x v="0"/>
    <x v="0"/>
    <x v="0"/>
    <x v="3"/>
    <x v="4"/>
    <s v="DE4-E_A"/>
    <x v="13"/>
    <s v="GNR_ST_LIGN_BP_E-39"/>
    <x v="0"/>
    <x v="15"/>
    <n v="12428.5333333333"/>
    <n v="4536414.6666666698"/>
    <n v="16331092.800000001"/>
  </r>
  <r>
    <x v="0"/>
    <x v="0"/>
    <x v="0"/>
    <x v="3"/>
    <x v="4"/>
    <s v="DE4-E_A"/>
    <x v="13"/>
    <s v="GNR_ST_LIGN_BP_E-39"/>
    <x v="0"/>
    <x v="6"/>
    <n v="12428.5333333333"/>
    <n v="4536414.6666666698"/>
    <n v="16331092.800000001"/>
  </r>
  <r>
    <x v="0"/>
    <x v="0"/>
    <x v="0"/>
    <x v="3"/>
    <x v="4"/>
    <s v="DE4-E_A"/>
    <x v="13"/>
    <s v="GNR_ST_LIGN_BP_E-39"/>
    <x v="0"/>
    <x v="7"/>
    <n v="12428.5333333333"/>
    <n v="4536414.6666666698"/>
    <n v="16331092.800000001"/>
  </r>
  <r>
    <x v="0"/>
    <x v="0"/>
    <x v="0"/>
    <x v="3"/>
    <x v="4"/>
    <s v="DE4-E_A"/>
    <x v="13"/>
    <s v="GNR_ST_LIGN_BP_E-39"/>
    <x v="0"/>
    <x v="8"/>
    <n v="12428.5333333333"/>
    <n v="4536414.6666666698"/>
    <n v="16331092.800000001"/>
  </r>
  <r>
    <x v="0"/>
    <x v="0"/>
    <x v="0"/>
    <x v="3"/>
    <x v="4"/>
    <s v="DE4-E_A"/>
    <x v="13"/>
    <s v="GNR_ST_LIGN_BP_E-39"/>
    <x v="0"/>
    <x v="16"/>
    <n v="12428.5333333333"/>
    <n v="4536414.6666666698"/>
    <n v="16331092.800000001"/>
  </r>
  <r>
    <x v="0"/>
    <x v="0"/>
    <x v="0"/>
    <x v="3"/>
    <x v="4"/>
    <s v="DE4-E_A"/>
    <x v="13"/>
    <s v="GNR_ST_LIGN_BP_E-39"/>
    <x v="0"/>
    <x v="17"/>
    <n v="12428.5333333333"/>
    <n v="4536414.6666666698"/>
    <n v="16331092.800000001"/>
  </r>
  <r>
    <x v="0"/>
    <x v="0"/>
    <x v="0"/>
    <x v="3"/>
    <x v="4"/>
    <s v="DE4-E_A"/>
    <x v="13"/>
    <s v="GNR_ST_LIGN_BP_E-39"/>
    <x v="0"/>
    <x v="18"/>
    <n v="12428.5333333333"/>
    <n v="4536414.6666666698"/>
    <n v="16331092.800000001"/>
  </r>
  <r>
    <x v="0"/>
    <x v="0"/>
    <x v="0"/>
    <x v="3"/>
    <x v="4"/>
    <s v="DE4-E_A"/>
    <x v="13"/>
    <s v="GNR_ST_LIGN_BP_E-39"/>
    <x v="0"/>
    <x v="19"/>
    <n v="12428.5333333333"/>
    <n v="4536414.6666666698"/>
    <n v="16331092.800000001"/>
  </r>
  <r>
    <x v="0"/>
    <x v="0"/>
    <x v="0"/>
    <x v="3"/>
    <x v="4"/>
    <s v="DE4-E_A"/>
    <x v="13"/>
    <s v="GNR_ST_LIGN_BP_E-39"/>
    <x v="0"/>
    <x v="20"/>
    <n v="10806.8767532365"/>
    <n v="3944510.01493131"/>
    <n v="14200236.0537527"/>
  </r>
  <r>
    <x v="0"/>
    <x v="0"/>
    <x v="0"/>
    <x v="3"/>
    <x v="4"/>
    <s v="DE4-E_A"/>
    <x v="13"/>
    <s v="GNR_ST_LIGN_BP_E-39"/>
    <x v="0"/>
    <x v="21"/>
    <n v="4290.9269979722203"/>
    <n v="1566188.35425986"/>
    <n v="5638278.0753354998"/>
  </r>
  <r>
    <x v="0"/>
    <x v="0"/>
    <x v="0"/>
    <x v="3"/>
    <x v="4"/>
    <s v="DE4-E_A"/>
    <x v="13"/>
    <s v="GNR_ST_LIGN_BP_E-39"/>
    <x v="0"/>
    <x v="22"/>
    <n v="2965.5152630288499"/>
    <n v="1082413.07100553"/>
    <n v="3896687.0556199099"/>
  </r>
  <r>
    <x v="0"/>
    <x v="0"/>
    <x v="0"/>
    <x v="3"/>
    <x v="5"/>
    <s v="DE4-N_A"/>
    <x v="0"/>
    <s v="GNR_ST_COAL_BP_E-40"/>
    <x v="0"/>
    <x v="9"/>
    <n v="1232"/>
    <n v="449680"/>
    <n v="1618848"/>
  </r>
  <r>
    <x v="0"/>
    <x v="0"/>
    <x v="0"/>
    <x v="3"/>
    <x v="5"/>
    <s v="DE4-N_A"/>
    <x v="0"/>
    <s v="GNR_ST_COAL_BP_E-40"/>
    <x v="0"/>
    <x v="10"/>
    <n v="1232"/>
    <n v="449680"/>
    <n v="1618848"/>
  </r>
  <r>
    <x v="0"/>
    <x v="0"/>
    <x v="0"/>
    <x v="3"/>
    <x v="5"/>
    <s v="DE4-N_A"/>
    <x v="0"/>
    <s v="GNR_ST_COAL_BP_E-40"/>
    <x v="0"/>
    <x v="11"/>
    <n v="1232"/>
    <n v="449680"/>
    <n v="1618848"/>
  </r>
  <r>
    <x v="0"/>
    <x v="0"/>
    <x v="0"/>
    <x v="3"/>
    <x v="5"/>
    <s v="DE4-N_A"/>
    <x v="0"/>
    <s v="GNR_ST_COAL_BP_E-40"/>
    <x v="0"/>
    <x v="12"/>
    <n v="1232"/>
    <n v="449680"/>
    <n v="1618848"/>
  </r>
  <r>
    <x v="0"/>
    <x v="0"/>
    <x v="0"/>
    <x v="3"/>
    <x v="5"/>
    <s v="DE4-N_A"/>
    <x v="0"/>
    <s v="GNR_ST_COAL_BP_E-40"/>
    <x v="0"/>
    <x v="13"/>
    <n v="1232"/>
    <n v="449680"/>
    <n v="1618848"/>
  </r>
  <r>
    <x v="0"/>
    <x v="0"/>
    <x v="0"/>
    <x v="3"/>
    <x v="5"/>
    <s v="DE4-N_A"/>
    <x v="0"/>
    <s v="GNR_ST_COAL_BP_E-40"/>
    <x v="0"/>
    <x v="0"/>
    <n v="1232"/>
    <n v="449680"/>
    <n v="1618848"/>
  </r>
  <r>
    <x v="0"/>
    <x v="0"/>
    <x v="0"/>
    <x v="3"/>
    <x v="5"/>
    <s v="DE4-N_A"/>
    <x v="0"/>
    <s v="GNR_ST_COAL_BP_E-40"/>
    <x v="0"/>
    <x v="14"/>
    <n v="1232"/>
    <n v="449680"/>
    <n v="1618848"/>
  </r>
  <r>
    <x v="0"/>
    <x v="0"/>
    <x v="0"/>
    <x v="3"/>
    <x v="5"/>
    <s v="DE4-N_A"/>
    <x v="0"/>
    <s v="GNR_ST_COAL_BP_E-40"/>
    <x v="0"/>
    <x v="1"/>
    <n v="1232"/>
    <n v="449680"/>
    <n v="1618848"/>
  </r>
  <r>
    <x v="0"/>
    <x v="0"/>
    <x v="0"/>
    <x v="3"/>
    <x v="5"/>
    <s v="DE4-N_A"/>
    <x v="0"/>
    <s v="GNR_ST_COAL_BP_E-40"/>
    <x v="0"/>
    <x v="23"/>
    <n v="1232"/>
    <n v="449680"/>
    <n v="1618848"/>
  </r>
  <r>
    <x v="0"/>
    <x v="0"/>
    <x v="0"/>
    <x v="3"/>
    <x v="5"/>
    <s v="DE4-N_A"/>
    <x v="0"/>
    <s v="GNR_ST_COAL_BP_E-40"/>
    <x v="0"/>
    <x v="2"/>
    <n v="1232"/>
    <n v="449680"/>
    <n v="1618848"/>
  </r>
  <r>
    <x v="0"/>
    <x v="0"/>
    <x v="0"/>
    <x v="3"/>
    <x v="5"/>
    <s v="DE4-N_A"/>
    <x v="0"/>
    <s v="GNR_ST_COAL_BP_E-40"/>
    <x v="0"/>
    <x v="3"/>
    <n v="1232"/>
    <n v="449680"/>
    <n v="1618848"/>
  </r>
  <r>
    <x v="0"/>
    <x v="0"/>
    <x v="0"/>
    <x v="3"/>
    <x v="5"/>
    <s v="DE4-N_A"/>
    <x v="0"/>
    <s v="GNR_ST_COAL_BP_E-40"/>
    <x v="0"/>
    <x v="4"/>
    <n v="1232"/>
    <n v="449680"/>
    <n v="1618848"/>
  </r>
  <r>
    <x v="0"/>
    <x v="0"/>
    <x v="0"/>
    <x v="3"/>
    <x v="5"/>
    <s v="DE4-N_A"/>
    <x v="0"/>
    <s v="GNR_ST_COAL_BP_E-40"/>
    <x v="0"/>
    <x v="5"/>
    <n v="1232"/>
    <n v="449680"/>
    <n v="1618848"/>
  </r>
  <r>
    <x v="0"/>
    <x v="0"/>
    <x v="0"/>
    <x v="3"/>
    <x v="5"/>
    <s v="DE4-N_A"/>
    <x v="0"/>
    <s v="GNR_ST_COAL_BP_E-40"/>
    <x v="0"/>
    <x v="15"/>
    <n v="1232"/>
    <n v="449680"/>
    <n v="1618848"/>
  </r>
  <r>
    <x v="0"/>
    <x v="0"/>
    <x v="0"/>
    <x v="3"/>
    <x v="5"/>
    <s v="DE4-N_A"/>
    <x v="0"/>
    <s v="GNR_ST_COAL_BP_E-40"/>
    <x v="0"/>
    <x v="6"/>
    <n v="1232"/>
    <n v="449680"/>
    <n v="1618848"/>
  </r>
  <r>
    <x v="0"/>
    <x v="0"/>
    <x v="0"/>
    <x v="3"/>
    <x v="5"/>
    <s v="DE4-N_A"/>
    <x v="0"/>
    <s v="GNR_ST_COAL_BP_E-40"/>
    <x v="0"/>
    <x v="7"/>
    <n v="1232"/>
    <n v="449680"/>
    <n v="1618848"/>
  </r>
  <r>
    <x v="0"/>
    <x v="0"/>
    <x v="0"/>
    <x v="3"/>
    <x v="5"/>
    <s v="DE4-N_A"/>
    <x v="0"/>
    <s v="GNR_ST_COAL_BP_E-40"/>
    <x v="0"/>
    <x v="8"/>
    <n v="1232"/>
    <n v="449680"/>
    <n v="1618848"/>
  </r>
  <r>
    <x v="0"/>
    <x v="0"/>
    <x v="0"/>
    <x v="3"/>
    <x v="5"/>
    <s v="DE4-N_A"/>
    <x v="0"/>
    <s v="GNR_ST_COAL_BP_E-40"/>
    <x v="0"/>
    <x v="16"/>
    <n v="1232"/>
    <n v="449680"/>
    <n v="1618848"/>
  </r>
  <r>
    <x v="0"/>
    <x v="0"/>
    <x v="0"/>
    <x v="3"/>
    <x v="5"/>
    <s v="DE4-N_A"/>
    <x v="0"/>
    <s v="GNR_ST_COAL_BP_E-40"/>
    <x v="0"/>
    <x v="17"/>
    <n v="1232"/>
    <n v="449680"/>
    <n v="1618848"/>
  </r>
  <r>
    <x v="0"/>
    <x v="0"/>
    <x v="0"/>
    <x v="3"/>
    <x v="5"/>
    <s v="DE4-N_A"/>
    <x v="0"/>
    <s v="GNR_ST_COAL_BP_E-40"/>
    <x v="0"/>
    <x v="18"/>
    <n v="1232"/>
    <n v="449680"/>
    <n v="1618848"/>
  </r>
  <r>
    <x v="0"/>
    <x v="0"/>
    <x v="0"/>
    <x v="3"/>
    <x v="5"/>
    <s v="DE4-N_A"/>
    <x v="0"/>
    <s v="GNR_ST_COAL_BP_E-40"/>
    <x v="0"/>
    <x v="19"/>
    <n v="1232"/>
    <n v="449680"/>
    <n v="1618848"/>
  </r>
  <r>
    <x v="0"/>
    <x v="0"/>
    <x v="0"/>
    <x v="3"/>
    <x v="5"/>
    <s v="DE4-N_A"/>
    <x v="0"/>
    <s v="GNR_ST_COAL_BP_E-40"/>
    <x v="0"/>
    <x v="20"/>
    <n v="1232"/>
    <n v="449680"/>
    <n v="1618848"/>
  </r>
  <r>
    <x v="0"/>
    <x v="0"/>
    <x v="0"/>
    <x v="3"/>
    <x v="5"/>
    <s v="DE4-N_A"/>
    <x v="0"/>
    <s v="GNR_ST_COAL_BP_E-40"/>
    <x v="0"/>
    <x v="21"/>
    <n v="1232"/>
    <n v="449680"/>
    <n v="1618848"/>
  </r>
  <r>
    <x v="0"/>
    <x v="0"/>
    <x v="0"/>
    <x v="3"/>
    <x v="5"/>
    <s v="DE4-N_A"/>
    <x v="0"/>
    <s v="GNR_ST_COAL_BP_E-40"/>
    <x v="0"/>
    <x v="22"/>
    <n v="1232"/>
    <n v="449680"/>
    <n v="1618848"/>
  </r>
  <r>
    <x v="0"/>
    <x v="0"/>
    <x v="0"/>
    <x v="3"/>
    <x v="5"/>
    <s v="DE4-N_A"/>
    <x v="1"/>
    <s v="GNR_HS_HEAT_WTR-TANK_LS_E-95_Y-2010"/>
    <x v="0"/>
    <x v="1"/>
    <n v="87.672554758087699"/>
    <n v="32000.482486702"/>
    <n v="115201.736952127"/>
  </r>
  <r>
    <x v="0"/>
    <x v="0"/>
    <x v="0"/>
    <x v="3"/>
    <x v="5"/>
    <s v="DE4-N_A"/>
    <x v="1"/>
    <s v="GNR_HS_HEAT_WTR-TANK_LS_E-95_Y-2010"/>
    <x v="0"/>
    <x v="23"/>
    <n v="123.76175698256201"/>
    <n v="45173.041298635202"/>
    <n v="162622.94867508701"/>
  </r>
  <r>
    <x v="0"/>
    <x v="0"/>
    <x v="0"/>
    <x v="3"/>
    <x v="5"/>
    <s v="DE4-N_A"/>
    <x v="1"/>
    <s v="GNR_HS_HEAT_WTR-TANK_LS_E-95_Y-2010"/>
    <x v="0"/>
    <x v="2"/>
    <n v="119.134936184553"/>
    <n v="43484.2517073618"/>
    <n v="156543.306146502"/>
  </r>
  <r>
    <x v="0"/>
    <x v="0"/>
    <x v="0"/>
    <x v="3"/>
    <x v="5"/>
    <s v="DE4-N_A"/>
    <x v="1"/>
    <s v="GNR_HS_HEAT_WTR-TANK_LS_E-95_Y-2010"/>
    <x v="0"/>
    <x v="3"/>
    <n v="127.46321362097"/>
    <n v="46524.072971654001"/>
    <n v="167486.66269795399"/>
  </r>
  <r>
    <x v="0"/>
    <x v="0"/>
    <x v="0"/>
    <x v="3"/>
    <x v="5"/>
    <s v="DE4-N_A"/>
    <x v="1"/>
    <s v="GNR_HS_HEAT_WTR-TANK_LS_E-95_Y-2010"/>
    <x v="0"/>
    <x v="4"/>
    <n v="224.968269517886"/>
    <n v="82113.418374028406"/>
    <n v="295608.30614650197"/>
  </r>
  <r>
    <x v="0"/>
    <x v="0"/>
    <x v="0"/>
    <x v="3"/>
    <x v="5"/>
    <s v="DE4-N_A"/>
    <x v="1"/>
    <s v="GNR_HS_HEAT_WTR-TANK_LS_E-95_Y-2010"/>
    <x v="0"/>
    <x v="5"/>
    <n v="173.147876580179"/>
    <n v="63198.974951765304"/>
    <n v="227516.30982635499"/>
  </r>
  <r>
    <x v="0"/>
    <x v="0"/>
    <x v="0"/>
    <x v="3"/>
    <x v="5"/>
    <s v="DE4-N_A"/>
    <x v="1"/>
    <s v="GNR_HS_HEAT_WTR-TANK_LS_E-95_Y-2010"/>
    <x v="0"/>
    <x v="15"/>
    <n v="137.058674355704"/>
    <n v="50026.416139832101"/>
    <n v="180095.09810339499"/>
  </r>
  <r>
    <x v="0"/>
    <x v="0"/>
    <x v="0"/>
    <x v="3"/>
    <x v="5"/>
    <s v="DE4-N_A"/>
    <x v="1"/>
    <s v="GNR_HS_HEAT_WTR-TANK_LS_E-95_Y-2010"/>
    <x v="0"/>
    <x v="6"/>
    <n v="131.05382540487099"/>
    <n v="47834.646272777798"/>
    <n v="172204.726582"/>
  </r>
  <r>
    <x v="0"/>
    <x v="0"/>
    <x v="0"/>
    <x v="3"/>
    <x v="5"/>
    <s v="DE4-N_A"/>
    <x v="1"/>
    <s v="GNR_HS_HEAT_WTR-TANK_LS_E-95_Y-2010"/>
    <x v="0"/>
    <x v="7"/>
    <n v="59.911629970030198"/>
    <n v="21867.744939061002"/>
    <n v="78723.881780619602"/>
  </r>
  <r>
    <x v="0"/>
    <x v="0"/>
    <x v="0"/>
    <x v="3"/>
    <x v="5"/>
    <s v="DE4-N_A"/>
    <x v="1"/>
    <s v="GNR_HS_HEAT_WTR-TANK_LS_E-95_Y-2010"/>
    <x v="0"/>
    <x v="8"/>
    <n v="68.239907406447401"/>
    <n v="24907.566203353301"/>
    <n v="89667.238332071895"/>
  </r>
  <r>
    <x v="0"/>
    <x v="0"/>
    <x v="0"/>
    <x v="3"/>
    <x v="5"/>
    <s v="DE4-N_A"/>
    <x v="1"/>
    <s v="GNR_HS_HEAT_WTR-TANK_LS_E-95_Y-2010"/>
    <x v="0"/>
    <x v="16"/>
    <n v="93.224739715699101"/>
    <n v="34027.029996230202"/>
    <n v="122497.307986429"/>
  </r>
  <r>
    <x v="0"/>
    <x v="0"/>
    <x v="0"/>
    <x v="3"/>
    <x v="5"/>
    <s v="DE4-N_A"/>
    <x v="1"/>
    <s v="GNR_HS_HEAT_WTR-TANK_LS_E-95_Y-2010"/>
    <x v="0"/>
    <x v="17"/>
    <n v="89.523283077291396"/>
    <n v="32675.998323211301"/>
    <n v="117633.593963561"/>
  </r>
  <r>
    <x v="0"/>
    <x v="0"/>
    <x v="0"/>
    <x v="3"/>
    <x v="5"/>
    <s v="DE4-N_A"/>
    <x v="1"/>
    <s v="GNR_HS_HEAT_WTR-TANK_LS_E-95_Y-2010"/>
    <x v="0"/>
    <x v="18"/>
    <n v="157.41668586694601"/>
    <n v="57457.090341435403"/>
    <n v="206845.52522916699"/>
  </r>
  <r>
    <x v="0"/>
    <x v="0"/>
    <x v="0"/>
    <x v="3"/>
    <x v="5"/>
    <s v="DE4-N_A"/>
    <x v="1"/>
    <s v="GNR_HS_HEAT_WTR-TANK_LS_E-95_Y-2010"/>
    <x v="0"/>
    <x v="19"/>
    <n v="86.163645577599098"/>
    <n v="31449.7306358237"/>
    <n v="113219.030288965"/>
  </r>
  <r>
    <x v="0"/>
    <x v="0"/>
    <x v="0"/>
    <x v="3"/>
    <x v="5"/>
    <s v="DE4-N_A"/>
    <x v="4"/>
    <s v="GNR_BO_MSW_E-80"/>
    <x v="0"/>
    <x v="9"/>
    <n v="0.31"/>
    <n v="113.15"/>
    <n v="407.34"/>
  </r>
  <r>
    <x v="0"/>
    <x v="0"/>
    <x v="0"/>
    <x v="3"/>
    <x v="5"/>
    <s v="DE4-N_A"/>
    <x v="4"/>
    <s v="GNR_BO_MSW_E-80"/>
    <x v="0"/>
    <x v="10"/>
    <n v="0.31"/>
    <n v="113.15"/>
    <n v="407.34"/>
  </r>
  <r>
    <x v="0"/>
    <x v="0"/>
    <x v="0"/>
    <x v="3"/>
    <x v="5"/>
    <s v="DE4-N_A"/>
    <x v="4"/>
    <s v="GNR_BO_MSW_E-80"/>
    <x v="0"/>
    <x v="11"/>
    <n v="0.31"/>
    <n v="113.15"/>
    <n v="407.34"/>
  </r>
  <r>
    <x v="0"/>
    <x v="0"/>
    <x v="0"/>
    <x v="3"/>
    <x v="5"/>
    <s v="DE4-N_A"/>
    <x v="4"/>
    <s v="GNR_BO_MSW_E-80"/>
    <x v="0"/>
    <x v="12"/>
    <n v="0.31"/>
    <n v="113.15"/>
    <n v="407.34"/>
  </r>
  <r>
    <x v="0"/>
    <x v="0"/>
    <x v="0"/>
    <x v="3"/>
    <x v="5"/>
    <s v="DE4-N_A"/>
    <x v="4"/>
    <s v="GNR_BO_MSW_E-80"/>
    <x v="0"/>
    <x v="13"/>
    <n v="0.31"/>
    <n v="113.15"/>
    <n v="407.34"/>
  </r>
  <r>
    <x v="0"/>
    <x v="0"/>
    <x v="0"/>
    <x v="3"/>
    <x v="5"/>
    <s v="DE4-N_A"/>
    <x v="4"/>
    <s v="GNR_BO_MSW_E-80"/>
    <x v="0"/>
    <x v="0"/>
    <n v="0.31"/>
    <n v="113.15"/>
    <n v="407.34"/>
  </r>
  <r>
    <x v="0"/>
    <x v="0"/>
    <x v="0"/>
    <x v="3"/>
    <x v="5"/>
    <s v="DE4-N_A"/>
    <x v="4"/>
    <s v="GNR_BO_MSW_E-80"/>
    <x v="0"/>
    <x v="14"/>
    <n v="0.31"/>
    <n v="113.15"/>
    <n v="407.34"/>
  </r>
  <r>
    <x v="0"/>
    <x v="0"/>
    <x v="0"/>
    <x v="3"/>
    <x v="5"/>
    <s v="DE4-N_A"/>
    <x v="4"/>
    <s v="GNR_BO_MSW_E-80"/>
    <x v="0"/>
    <x v="1"/>
    <n v="0.31"/>
    <n v="113.15"/>
    <n v="407.34"/>
  </r>
  <r>
    <x v="0"/>
    <x v="0"/>
    <x v="0"/>
    <x v="3"/>
    <x v="5"/>
    <s v="DE4-N_A"/>
    <x v="4"/>
    <s v="GNR_BO_MSW_E-80"/>
    <x v="0"/>
    <x v="23"/>
    <n v="0.31"/>
    <n v="113.15"/>
    <n v="407.34"/>
  </r>
  <r>
    <x v="0"/>
    <x v="0"/>
    <x v="0"/>
    <x v="3"/>
    <x v="5"/>
    <s v="DE4-N_A"/>
    <x v="4"/>
    <s v="GNR_BO_MSW_E-80"/>
    <x v="0"/>
    <x v="2"/>
    <n v="0.31"/>
    <n v="113.15"/>
    <n v="407.34"/>
  </r>
  <r>
    <x v="0"/>
    <x v="0"/>
    <x v="0"/>
    <x v="3"/>
    <x v="5"/>
    <s v="DE4-N_A"/>
    <x v="4"/>
    <s v="GNR_BO_MSW_E-80"/>
    <x v="0"/>
    <x v="3"/>
    <n v="0.31"/>
    <n v="113.15"/>
    <n v="407.34"/>
  </r>
  <r>
    <x v="0"/>
    <x v="0"/>
    <x v="0"/>
    <x v="3"/>
    <x v="5"/>
    <s v="DE4-N_A"/>
    <x v="4"/>
    <s v="GNR_BO_MSW_E-80"/>
    <x v="0"/>
    <x v="4"/>
    <n v="0.31"/>
    <n v="113.15"/>
    <n v="407.34"/>
  </r>
  <r>
    <x v="0"/>
    <x v="0"/>
    <x v="0"/>
    <x v="3"/>
    <x v="5"/>
    <s v="DE4-N_A"/>
    <x v="4"/>
    <s v="GNR_BO_MSW_E-80"/>
    <x v="0"/>
    <x v="5"/>
    <n v="0.31"/>
    <n v="113.15"/>
    <n v="407.34"/>
  </r>
  <r>
    <x v="0"/>
    <x v="0"/>
    <x v="0"/>
    <x v="3"/>
    <x v="5"/>
    <s v="DE4-N_A"/>
    <x v="4"/>
    <s v="GNR_BO_MSW_E-80"/>
    <x v="0"/>
    <x v="15"/>
    <n v="0.31"/>
    <n v="113.15"/>
    <n v="407.34"/>
  </r>
  <r>
    <x v="0"/>
    <x v="0"/>
    <x v="0"/>
    <x v="3"/>
    <x v="5"/>
    <s v="DE4-N_A"/>
    <x v="4"/>
    <s v="GNR_BO_MSW_E-80"/>
    <x v="0"/>
    <x v="6"/>
    <n v="0.31"/>
    <n v="113.15"/>
    <n v="407.34"/>
  </r>
  <r>
    <x v="0"/>
    <x v="0"/>
    <x v="0"/>
    <x v="3"/>
    <x v="5"/>
    <s v="DE4-N_A"/>
    <x v="4"/>
    <s v="GNR_BO_MSW_E-80"/>
    <x v="0"/>
    <x v="7"/>
    <n v="0.31"/>
    <n v="113.15"/>
    <n v="407.34"/>
  </r>
  <r>
    <x v="0"/>
    <x v="0"/>
    <x v="0"/>
    <x v="3"/>
    <x v="5"/>
    <s v="DE4-N_A"/>
    <x v="4"/>
    <s v="GNR_BO_MSW_E-80"/>
    <x v="0"/>
    <x v="8"/>
    <n v="0.31"/>
    <n v="113.15"/>
    <n v="407.34"/>
  </r>
  <r>
    <x v="0"/>
    <x v="0"/>
    <x v="0"/>
    <x v="3"/>
    <x v="5"/>
    <s v="DE4-N_A"/>
    <x v="4"/>
    <s v="GNR_BO_MSW_E-80"/>
    <x v="0"/>
    <x v="16"/>
    <n v="0.31"/>
    <n v="113.15"/>
    <n v="407.34"/>
  </r>
  <r>
    <x v="0"/>
    <x v="0"/>
    <x v="0"/>
    <x v="3"/>
    <x v="5"/>
    <s v="DE4-N_A"/>
    <x v="4"/>
    <s v="GNR_BO_MSW_E-80"/>
    <x v="0"/>
    <x v="17"/>
    <n v="0.31"/>
    <n v="113.15"/>
    <n v="407.34"/>
  </r>
  <r>
    <x v="0"/>
    <x v="0"/>
    <x v="0"/>
    <x v="3"/>
    <x v="5"/>
    <s v="DE4-N_A"/>
    <x v="4"/>
    <s v="GNR_BO_MSW_E-80"/>
    <x v="0"/>
    <x v="18"/>
    <n v="0.31"/>
    <n v="113.15"/>
    <n v="407.34"/>
  </r>
  <r>
    <x v="0"/>
    <x v="0"/>
    <x v="0"/>
    <x v="3"/>
    <x v="5"/>
    <s v="DE4-N_A"/>
    <x v="4"/>
    <s v="GNR_BO_MSW_E-80"/>
    <x v="0"/>
    <x v="19"/>
    <n v="0.31"/>
    <n v="113.15"/>
    <n v="407.34"/>
  </r>
  <r>
    <x v="0"/>
    <x v="0"/>
    <x v="0"/>
    <x v="3"/>
    <x v="5"/>
    <s v="DE4-N_A"/>
    <x v="4"/>
    <s v="GNR_BO_MSW_E-80"/>
    <x v="0"/>
    <x v="20"/>
    <n v="0.31"/>
    <n v="113.15"/>
    <n v="407.34"/>
  </r>
  <r>
    <x v="0"/>
    <x v="0"/>
    <x v="0"/>
    <x v="3"/>
    <x v="5"/>
    <s v="DE4-N_A"/>
    <x v="4"/>
    <s v="GNR_BO_MSW_E-80"/>
    <x v="0"/>
    <x v="21"/>
    <n v="0.31"/>
    <n v="113.15"/>
    <n v="407.34"/>
  </r>
  <r>
    <x v="0"/>
    <x v="0"/>
    <x v="0"/>
    <x v="3"/>
    <x v="5"/>
    <s v="DE4-N_A"/>
    <x v="4"/>
    <s v="GNR_BO_MSW_E-80"/>
    <x v="0"/>
    <x v="22"/>
    <n v="0.31"/>
    <n v="113.15"/>
    <n v="407.34"/>
  </r>
  <r>
    <x v="0"/>
    <x v="0"/>
    <x v="0"/>
    <x v="3"/>
    <x v="5"/>
    <s v="DE4-N_A"/>
    <x v="4"/>
    <s v="GNR_ST_MSW_BP_E-33"/>
    <x v="0"/>
    <x v="14"/>
    <n v="138.625580825165"/>
    <n v="50598.337001185202"/>
    <n v="182154.01320426699"/>
  </r>
  <r>
    <x v="0"/>
    <x v="0"/>
    <x v="0"/>
    <x v="3"/>
    <x v="5"/>
    <s v="DE4-N_A"/>
    <x v="4"/>
    <s v="GNR_ST_MSW_BP_E-33"/>
    <x v="0"/>
    <x v="1"/>
    <n v="138.625580825165"/>
    <n v="50598.337001185202"/>
    <n v="182154.01320426699"/>
  </r>
  <r>
    <x v="0"/>
    <x v="0"/>
    <x v="0"/>
    <x v="3"/>
    <x v="5"/>
    <s v="DE4-N_A"/>
    <x v="4"/>
    <s v="GNR_ST_MSW_BP_E-33"/>
    <x v="0"/>
    <x v="23"/>
    <n v="138.625580825165"/>
    <n v="50598.337001185202"/>
    <n v="182154.01320426699"/>
  </r>
  <r>
    <x v="0"/>
    <x v="0"/>
    <x v="0"/>
    <x v="3"/>
    <x v="5"/>
    <s v="DE4-N_A"/>
    <x v="4"/>
    <s v="GNR_ST_MSW_BP_E-33"/>
    <x v="0"/>
    <x v="2"/>
    <n v="138.625580825165"/>
    <n v="50598.337001185202"/>
    <n v="182154.01320426699"/>
  </r>
  <r>
    <x v="0"/>
    <x v="0"/>
    <x v="0"/>
    <x v="3"/>
    <x v="5"/>
    <s v="DE4-N_A"/>
    <x v="4"/>
    <s v="GNR_ST_MSW_BP_E-33"/>
    <x v="0"/>
    <x v="3"/>
    <n v="138.625580825165"/>
    <n v="50598.337001185202"/>
    <n v="182154.01320426699"/>
  </r>
  <r>
    <x v="0"/>
    <x v="0"/>
    <x v="0"/>
    <x v="3"/>
    <x v="5"/>
    <s v="DE4-N_A"/>
    <x v="4"/>
    <s v="GNR_ST_MSW_BP_E-33"/>
    <x v="0"/>
    <x v="4"/>
    <n v="138.625580825165"/>
    <n v="50598.337001185202"/>
    <n v="182154.01320426699"/>
  </r>
  <r>
    <x v="0"/>
    <x v="0"/>
    <x v="0"/>
    <x v="3"/>
    <x v="5"/>
    <s v="DE4-N_A"/>
    <x v="4"/>
    <s v="GNR_ST_MSW_BP_E-33"/>
    <x v="0"/>
    <x v="5"/>
    <n v="138.625580825165"/>
    <n v="50598.337001185202"/>
    <n v="182154.01320426699"/>
  </r>
  <r>
    <x v="0"/>
    <x v="0"/>
    <x v="0"/>
    <x v="3"/>
    <x v="5"/>
    <s v="DE4-N_A"/>
    <x v="4"/>
    <s v="GNR_ST_MSW_BP_E-33"/>
    <x v="0"/>
    <x v="15"/>
    <n v="138.625580825165"/>
    <n v="50598.337001185202"/>
    <n v="182154.01320426699"/>
  </r>
  <r>
    <x v="0"/>
    <x v="0"/>
    <x v="0"/>
    <x v="3"/>
    <x v="5"/>
    <s v="DE4-N_A"/>
    <x v="4"/>
    <s v="GNR_ST_MSW_BP_E-33"/>
    <x v="0"/>
    <x v="6"/>
    <n v="138.625580825165"/>
    <n v="50598.337001185202"/>
    <n v="182154.01320426699"/>
  </r>
  <r>
    <x v="0"/>
    <x v="0"/>
    <x v="0"/>
    <x v="3"/>
    <x v="5"/>
    <s v="DE4-N_A"/>
    <x v="4"/>
    <s v="GNR_ST_MSW_BP_E-33"/>
    <x v="0"/>
    <x v="7"/>
    <n v="138.625580825165"/>
    <n v="50598.337001185202"/>
    <n v="182154.01320426699"/>
  </r>
  <r>
    <x v="0"/>
    <x v="0"/>
    <x v="0"/>
    <x v="3"/>
    <x v="5"/>
    <s v="DE4-N_A"/>
    <x v="4"/>
    <s v="GNR_ST_MSW_BP_E-33"/>
    <x v="0"/>
    <x v="8"/>
    <n v="138.625580825165"/>
    <n v="50598.337001185202"/>
    <n v="182154.01320426699"/>
  </r>
  <r>
    <x v="0"/>
    <x v="0"/>
    <x v="0"/>
    <x v="3"/>
    <x v="5"/>
    <s v="DE4-N_A"/>
    <x v="4"/>
    <s v="GNR_ST_MSW_BP_E-33"/>
    <x v="0"/>
    <x v="16"/>
    <n v="138.625580825165"/>
    <n v="50598.337001185202"/>
    <n v="182154.01320426699"/>
  </r>
  <r>
    <x v="0"/>
    <x v="0"/>
    <x v="0"/>
    <x v="3"/>
    <x v="5"/>
    <s v="DE4-N_A"/>
    <x v="4"/>
    <s v="GNR_ST_MSW_BP_E-33"/>
    <x v="0"/>
    <x v="17"/>
    <n v="138.625580825165"/>
    <n v="50598.337001185202"/>
    <n v="182154.01320426699"/>
  </r>
  <r>
    <x v="0"/>
    <x v="0"/>
    <x v="0"/>
    <x v="3"/>
    <x v="5"/>
    <s v="DE4-N_A"/>
    <x v="4"/>
    <s v="GNR_ST_MSW_BP_E-33"/>
    <x v="0"/>
    <x v="18"/>
    <n v="138.625580825165"/>
    <n v="50598.337001185202"/>
    <n v="182154.01320426699"/>
  </r>
  <r>
    <x v="0"/>
    <x v="0"/>
    <x v="0"/>
    <x v="3"/>
    <x v="5"/>
    <s v="DE4-N_A"/>
    <x v="4"/>
    <s v="GNR_ST_MSW_BP_E-33"/>
    <x v="0"/>
    <x v="19"/>
    <n v="138.625580825165"/>
    <n v="50598.337001185202"/>
    <n v="182154.01320426699"/>
  </r>
  <r>
    <x v="0"/>
    <x v="0"/>
    <x v="0"/>
    <x v="3"/>
    <x v="5"/>
    <s v="DE4-N_A"/>
    <x v="4"/>
    <s v="GNR_ST_MSW_BP_E-33"/>
    <x v="0"/>
    <x v="20"/>
    <n v="65.975915921484599"/>
    <n v="24081.2093113419"/>
    <n v="86692.3535208307"/>
  </r>
  <r>
    <x v="0"/>
    <x v="0"/>
    <x v="0"/>
    <x v="3"/>
    <x v="5"/>
    <s v="DE4-N_A"/>
    <x v="5"/>
    <s v="GNR_CC_NGAS_BP_E-57"/>
    <x v="0"/>
    <x v="1"/>
    <n v="105.833333333333"/>
    <n v="38629.166666666701"/>
    <n v="139065"/>
  </r>
  <r>
    <x v="0"/>
    <x v="0"/>
    <x v="0"/>
    <x v="3"/>
    <x v="5"/>
    <s v="DE4-N_A"/>
    <x v="5"/>
    <s v="GNR_CC_NGAS_BP_E-57"/>
    <x v="0"/>
    <x v="23"/>
    <n v="105.833333333333"/>
    <n v="38629.166666666701"/>
    <n v="139065"/>
  </r>
  <r>
    <x v="0"/>
    <x v="0"/>
    <x v="0"/>
    <x v="3"/>
    <x v="5"/>
    <s v="DE4-N_A"/>
    <x v="5"/>
    <s v="GNR_CC_NGAS_BP_E-57"/>
    <x v="0"/>
    <x v="2"/>
    <n v="105.833333333333"/>
    <n v="38629.166666666701"/>
    <n v="139065"/>
  </r>
  <r>
    <x v="0"/>
    <x v="0"/>
    <x v="0"/>
    <x v="3"/>
    <x v="5"/>
    <s v="DE4-N_A"/>
    <x v="5"/>
    <s v="GNR_CC_NGAS_BP_E-57"/>
    <x v="0"/>
    <x v="3"/>
    <n v="105.833333333333"/>
    <n v="38629.166666666701"/>
    <n v="139065"/>
  </r>
  <r>
    <x v="0"/>
    <x v="0"/>
    <x v="0"/>
    <x v="3"/>
    <x v="5"/>
    <s v="DE4-N_A"/>
    <x v="5"/>
    <s v="GNR_CC_NGAS_BP_E-57"/>
    <x v="0"/>
    <x v="6"/>
    <n v="20.810675504464101"/>
    <n v="7595.8965591294"/>
    <n v="27345.227612865801"/>
  </r>
  <r>
    <x v="0"/>
    <x v="0"/>
    <x v="0"/>
    <x v="3"/>
    <x v="5"/>
    <s v="DE4-N_A"/>
    <x v="5"/>
    <s v="GNR_CC_NGAS_BP_E-57"/>
    <x v="0"/>
    <x v="7"/>
    <n v="105.833333333333"/>
    <n v="38629.166666666701"/>
    <n v="139065"/>
  </r>
  <r>
    <x v="0"/>
    <x v="0"/>
    <x v="0"/>
    <x v="3"/>
    <x v="5"/>
    <s v="DE4-N_A"/>
    <x v="5"/>
    <s v="GNR_CC_NGAS_BP_E-57"/>
    <x v="0"/>
    <x v="8"/>
    <n v="105.833333333333"/>
    <n v="38629.166666666701"/>
    <n v="139065"/>
  </r>
  <r>
    <x v="0"/>
    <x v="0"/>
    <x v="0"/>
    <x v="3"/>
    <x v="5"/>
    <s v="DE4-N_A"/>
    <x v="5"/>
    <s v="GNR_CC_NGAS_BP_E-57"/>
    <x v="0"/>
    <x v="16"/>
    <n v="105.833333333333"/>
    <n v="38629.166666666701"/>
    <n v="139065"/>
  </r>
  <r>
    <x v="0"/>
    <x v="0"/>
    <x v="0"/>
    <x v="3"/>
    <x v="5"/>
    <s v="DE4-N_A"/>
    <x v="5"/>
    <s v="GNR_CC_NGAS_BP_E-57"/>
    <x v="0"/>
    <x v="17"/>
    <n v="105.833333333333"/>
    <n v="38629.166666666701"/>
    <n v="139065"/>
  </r>
  <r>
    <x v="0"/>
    <x v="0"/>
    <x v="0"/>
    <x v="3"/>
    <x v="5"/>
    <s v="DE4-N_A"/>
    <x v="5"/>
    <s v="GNR_ST_NGAS_BP_E-39"/>
    <x v="0"/>
    <x v="14"/>
    <n v="135.55727100675"/>
    <n v="49478.403917463802"/>
    <n v="178122.25410287001"/>
  </r>
  <r>
    <x v="0"/>
    <x v="0"/>
    <x v="0"/>
    <x v="3"/>
    <x v="5"/>
    <s v="DE4-N_A"/>
    <x v="5"/>
    <s v="GNR_ST_NGAS_BP_E-39"/>
    <x v="0"/>
    <x v="1"/>
    <n v="183.57142857142901"/>
    <n v="67003.571428571406"/>
    <n v="241212.85714285701"/>
  </r>
  <r>
    <x v="0"/>
    <x v="0"/>
    <x v="0"/>
    <x v="3"/>
    <x v="5"/>
    <s v="DE4-N_A"/>
    <x v="5"/>
    <s v="GNR_ST_NGAS_BP_E-39"/>
    <x v="0"/>
    <x v="23"/>
    <n v="183.57142857142901"/>
    <n v="67003.571428571406"/>
    <n v="241212.85714285701"/>
  </r>
  <r>
    <x v="0"/>
    <x v="0"/>
    <x v="0"/>
    <x v="3"/>
    <x v="5"/>
    <s v="DE4-N_A"/>
    <x v="5"/>
    <s v="GNR_ST_NGAS_BP_E-39"/>
    <x v="0"/>
    <x v="2"/>
    <n v="183.57142857142901"/>
    <n v="67003.571428571406"/>
    <n v="241212.85714285701"/>
  </r>
  <r>
    <x v="0"/>
    <x v="0"/>
    <x v="0"/>
    <x v="3"/>
    <x v="5"/>
    <s v="DE4-N_A"/>
    <x v="5"/>
    <s v="GNR_ST_NGAS_BP_E-39"/>
    <x v="0"/>
    <x v="3"/>
    <n v="183.57142857142901"/>
    <n v="67003.571428571406"/>
    <n v="241212.85714285701"/>
  </r>
  <r>
    <x v="0"/>
    <x v="0"/>
    <x v="0"/>
    <x v="3"/>
    <x v="5"/>
    <s v="DE4-N_A"/>
    <x v="5"/>
    <s v="GNR_ST_NGAS_BP_E-39"/>
    <x v="0"/>
    <x v="4"/>
    <n v="183.57142857142901"/>
    <n v="67003.571428571406"/>
    <n v="241212.85714285701"/>
  </r>
  <r>
    <x v="0"/>
    <x v="0"/>
    <x v="0"/>
    <x v="3"/>
    <x v="5"/>
    <s v="DE4-N_A"/>
    <x v="5"/>
    <s v="GNR_ST_NGAS_BP_E-39"/>
    <x v="0"/>
    <x v="5"/>
    <n v="183.57142857142901"/>
    <n v="67003.571428571406"/>
    <n v="241212.85714285701"/>
  </r>
  <r>
    <x v="0"/>
    <x v="0"/>
    <x v="0"/>
    <x v="3"/>
    <x v="5"/>
    <s v="DE4-N_A"/>
    <x v="5"/>
    <s v="GNR_ST_NGAS_BP_E-39"/>
    <x v="0"/>
    <x v="15"/>
    <n v="183.57142857142901"/>
    <n v="67003.571428571406"/>
    <n v="241212.85714285701"/>
  </r>
  <r>
    <x v="0"/>
    <x v="0"/>
    <x v="0"/>
    <x v="3"/>
    <x v="5"/>
    <s v="DE4-N_A"/>
    <x v="5"/>
    <s v="GNR_ST_NGAS_BP_E-39"/>
    <x v="0"/>
    <x v="6"/>
    <n v="183.57142857142901"/>
    <n v="67003.571428571406"/>
    <n v="241212.85714285701"/>
  </r>
  <r>
    <x v="0"/>
    <x v="0"/>
    <x v="0"/>
    <x v="3"/>
    <x v="5"/>
    <s v="DE4-N_A"/>
    <x v="5"/>
    <s v="GNR_ST_NGAS_BP_E-39"/>
    <x v="0"/>
    <x v="7"/>
    <n v="183.57142857142901"/>
    <n v="67003.571428571406"/>
    <n v="241212.85714285701"/>
  </r>
  <r>
    <x v="0"/>
    <x v="0"/>
    <x v="0"/>
    <x v="3"/>
    <x v="5"/>
    <s v="DE4-N_A"/>
    <x v="5"/>
    <s v="GNR_ST_NGAS_BP_E-39"/>
    <x v="0"/>
    <x v="8"/>
    <n v="183.57142857142901"/>
    <n v="67003.571428571406"/>
    <n v="241212.85714285701"/>
  </r>
  <r>
    <x v="0"/>
    <x v="0"/>
    <x v="0"/>
    <x v="3"/>
    <x v="5"/>
    <s v="DE4-N_A"/>
    <x v="5"/>
    <s v="GNR_ST_NGAS_BP_E-39"/>
    <x v="0"/>
    <x v="16"/>
    <n v="183.57142857142901"/>
    <n v="67003.571428571406"/>
    <n v="241212.85714285701"/>
  </r>
  <r>
    <x v="0"/>
    <x v="0"/>
    <x v="0"/>
    <x v="3"/>
    <x v="5"/>
    <s v="DE4-N_A"/>
    <x v="5"/>
    <s v="GNR_ST_NGAS_BP_E-39"/>
    <x v="0"/>
    <x v="17"/>
    <n v="183.57142857142901"/>
    <n v="67003.571428571406"/>
    <n v="241212.85714285701"/>
  </r>
  <r>
    <x v="0"/>
    <x v="0"/>
    <x v="0"/>
    <x v="3"/>
    <x v="5"/>
    <s v="DE4-N_A"/>
    <x v="5"/>
    <s v="GNR_ST_NGAS_BP_E-39"/>
    <x v="0"/>
    <x v="18"/>
    <n v="183.57142857142901"/>
    <n v="67003.571428571406"/>
    <n v="241212.85714285701"/>
  </r>
  <r>
    <x v="0"/>
    <x v="0"/>
    <x v="0"/>
    <x v="3"/>
    <x v="5"/>
    <s v="DE4-N_A"/>
    <x v="5"/>
    <s v="GNR_ST_NGAS_BP_E-39"/>
    <x v="0"/>
    <x v="19"/>
    <n v="183.57142857142901"/>
    <n v="67003.571428571406"/>
    <n v="241212.85714285701"/>
  </r>
  <r>
    <x v="0"/>
    <x v="0"/>
    <x v="0"/>
    <x v="3"/>
    <x v="6"/>
    <s v="DE4-S_A"/>
    <x v="0"/>
    <s v="GNR_ST_COAL_BP_E-43"/>
    <x v="0"/>
    <x v="0"/>
    <n v="3310.7688113711902"/>
    <n v="1208430.61615049"/>
    <n v="4350350.2181417504"/>
  </r>
  <r>
    <x v="0"/>
    <x v="0"/>
    <x v="0"/>
    <x v="3"/>
    <x v="6"/>
    <s v="DE4-S_A"/>
    <x v="0"/>
    <s v="GNR_ST_COAL_BP_E-43"/>
    <x v="0"/>
    <x v="14"/>
    <n v="7985.0158163935303"/>
    <n v="2914530.77298364"/>
    <n v="10492310.7827411"/>
  </r>
  <r>
    <x v="0"/>
    <x v="0"/>
    <x v="0"/>
    <x v="3"/>
    <x v="6"/>
    <s v="DE4-S_A"/>
    <x v="0"/>
    <s v="GNR_ST_COAL_BP_E-43"/>
    <x v="0"/>
    <x v="1"/>
    <n v="10111.733333333301"/>
    <n v="3690782.6666666698"/>
    <n v="13286817.6"/>
  </r>
  <r>
    <x v="0"/>
    <x v="0"/>
    <x v="0"/>
    <x v="3"/>
    <x v="6"/>
    <s v="DE4-S_A"/>
    <x v="0"/>
    <s v="GNR_ST_COAL_BP_E-43"/>
    <x v="0"/>
    <x v="23"/>
    <n v="10111.733333333301"/>
    <n v="3690782.6666666698"/>
    <n v="13286817.6"/>
  </r>
  <r>
    <x v="0"/>
    <x v="0"/>
    <x v="0"/>
    <x v="3"/>
    <x v="6"/>
    <s v="DE4-S_A"/>
    <x v="0"/>
    <s v="GNR_ST_COAL_BP_E-43"/>
    <x v="0"/>
    <x v="2"/>
    <n v="10111.733333333301"/>
    <n v="3690782.6666666698"/>
    <n v="13286817.6"/>
  </r>
  <r>
    <x v="0"/>
    <x v="0"/>
    <x v="0"/>
    <x v="3"/>
    <x v="6"/>
    <s v="DE4-S_A"/>
    <x v="0"/>
    <s v="GNR_ST_COAL_BP_E-43"/>
    <x v="0"/>
    <x v="3"/>
    <n v="7951.4473204658098"/>
    <n v="2902278.2719700201"/>
    <n v="10448201.7790921"/>
  </r>
  <r>
    <x v="0"/>
    <x v="0"/>
    <x v="0"/>
    <x v="3"/>
    <x v="6"/>
    <s v="DE4-S_A"/>
    <x v="0"/>
    <s v="GNR_ST_COAL_BP_E-43"/>
    <x v="0"/>
    <x v="6"/>
    <n v="3255.0534040595599"/>
    <n v="1188094.49248174"/>
    <n v="4277140.1729342602"/>
  </r>
  <r>
    <x v="0"/>
    <x v="0"/>
    <x v="0"/>
    <x v="3"/>
    <x v="6"/>
    <s v="DE4-S_A"/>
    <x v="0"/>
    <s v="GNR_ST_COAL_BP_E-43"/>
    <x v="0"/>
    <x v="7"/>
    <n v="5178.9329692964302"/>
    <n v="1890310.5337932"/>
    <n v="6805117.9216555003"/>
  </r>
  <r>
    <x v="0"/>
    <x v="0"/>
    <x v="0"/>
    <x v="3"/>
    <x v="6"/>
    <s v="DE4-S_A"/>
    <x v="0"/>
    <s v="GNR_ST_COAL_BP_E-43"/>
    <x v="0"/>
    <x v="8"/>
    <n v="10111.733333333301"/>
    <n v="3690782.6666666698"/>
    <n v="13286817.6"/>
  </r>
  <r>
    <x v="0"/>
    <x v="0"/>
    <x v="0"/>
    <x v="3"/>
    <x v="6"/>
    <s v="DE4-S_A"/>
    <x v="0"/>
    <s v="GNR_ST_COAL_BP_E-43"/>
    <x v="0"/>
    <x v="16"/>
    <n v="8292.9107008464198"/>
    <n v="3026912.4058089401"/>
    <n v="10896884.660912201"/>
  </r>
  <r>
    <x v="0"/>
    <x v="0"/>
    <x v="0"/>
    <x v="3"/>
    <x v="6"/>
    <s v="DE4-S_A"/>
    <x v="0"/>
    <s v="GNR_ST_COAL_BP_E-43"/>
    <x v="0"/>
    <x v="17"/>
    <n v="9325.2775154815208"/>
    <n v="3403726.29315075"/>
    <n v="12253414.6553427"/>
  </r>
  <r>
    <x v="0"/>
    <x v="0"/>
    <x v="0"/>
    <x v="3"/>
    <x v="6"/>
    <s v="DE4-S_A"/>
    <x v="0"/>
    <s v="GNR_ST_COAL_BP_E-43"/>
    <x v="0"/>
    <x v="18"/>
    <n v="4546.5080315088499"/>
    <n v="1659475.4315007301"/>
    <n v="5974111.5534026204"/>
  </r>
  <r>
    <x v="0"/>
    <x v="0"/>
    <x v="0"/>
    <x v="3"/>
    <x v="6"/>
    <s v="DE4-S_A"/>
    <x v="0"/>
    <s v="GNR_ST_COAL_BP_E-43"/>
    <x v="0"/>
    <x v="19"/>
    <n v="4402.3384558261196"/>
    <n v="1606853.5363765301"/>
    <n v="5784672.7309555197"/>
  </r>
  <r>
    <x v="0"/>
    <x v="0"/>
    <x v="0"/>
    <x v="3"/>
    <x v="6"/>
    <s v="DE4-S_A"/>
    <x v="0"/>
    <s v="GNR_ST_COAL_BP_E-43"/>
    <x v="0"/>
    <x v="20"/>
    <n v="1208.41806702178"/>
    <n v="441072.59446294798"/>
    <n v="1587861.3400666099"/>
  </r>
  <r>
    <x v="0"/>
    <x v="0"/>
    <x v="0"/>
    <x v="3"/>
    <x v="6"/>
    <s v="DE4-S_A"/>
    <x v="1"/>
    <s v="GNR_HS_HEAT_WTR-TANK_LS_E-95_Y-2010"/>
    <x v="0"/>
    <x v="9"/>
    <n v="21653.8710163994"/>
    <n v="7903662.9209858002"/>
    <n v="28453186.5155489"/>
  </r>
  <r>
    <x v="0"/>
    <x v="0"/>
    <x v="0"/>
    <x v="3"/>
    <x v="6"/>
    <s v="DE4-S_A"/>
    <x v="1"/>
    <s v="GNR_HS_HEAT_WTR-TANK_LS_E-95_Y-2010"/>
    <x v="0"/>
    <x v="10"/>
    <n v="21653.8710163994"/>
    <n v="7903662.9209858002"/>
    <n v="28453186.5155489"/>
  </r>
  <r>
    <x v="0"/>
    <x v="0"/>
    <x v="0"/>
    <x v="3"/>
    <x v="6"/>
    <s v="DE4-S_A"/>
    <x v="1"/>
    <s v="GNR_HS_HEAT_WTR-TANK_LS_E-95_Y-2010"/>
    <x v="0"/>
    <x v="11"/>
    <n v="21653.8710163994"/>
    <n v="7903662.9209858002"/>
    <n v="28453186.5155489"/>
  </r>
  <r>
    <x v="0"/>
    <x v="0"/>
    <x v="0"/>
    <x v="3"/>
    <x v="6"/>
    <s v="DE4-S_A"/>
    <x v="1"/>
    <s v="GNR_HS_HEAT_WTR-TANK_LS_E-95_Y-2010"/>
    <x v="0"/>
    <x v="12"/>
    <n v="21653.8710163994"/>
    <n v="7903662.9209858002"/>
    <n v="28453186.5155489"/>
  </r>
  <r>
    <x v="0"/>
    <x v="0"/>
    <x v="0"/>
    <x v="3"/>
    <x v="6"/>
    <s v="DE4-S_A"/>
    <x v="1"/>
    <s v="GNR_HS_HEAT_WTR-TANK_LS_E-95_Y-2010"/>
    <x v="0"/>
    <x v="13"/>
    <n v="21653.8710163994"/>
    <n v="7903662.9209858002"/>
    <n v="28453186.5155489"/>
  </r>
  <r>
    <x v="0"/>
    <x v="0"/>
    <x v="0"/>
    <x v="3"/>
    <x v="6"/>
    <s v="DE4-S_A"/>
    <x v="1"/>
    <s v="GNR_HS_HEAT_WTR-TANK_LS_E-95_Y-2010"/>
    <x v="0"/>
    <x v="0"/>
    <n v="20571.177465579502"/>
    <n v="7508479.7749365102"/>
    <n v="27030527.189771399"/>
  </r>
  <r>
    <x v="0"/>
    <x v="0"/>
    <x v="0"/>
    <x v="3"/>
    <x v="6"/>
    <s v="DE4-S_A"/>
    <x v="1"/>
    <s v="GNR_HS_HEAT_WTR-TANK_LS_E-95_Y-2010"/>
    <x v="0"/>
    <x v="14"/>
    <n v="16717.011943012101"/>
    <n v="6101709.3591994299"/>
    <n v="21966153.693117902"/>
  </r>
  <r>
    <x v="0"/>
    <x v="0"/>
    <x v="0"/>
    <x v="3"/>
    <x v="6"/>
    <s v="DE4-S_A"/>
    <x v="1"/>
    <s v="GNR_HS_HEAT_WTR-TANK_LS_E-95_Y-2010"/>
    <x v="0"/>
    <x v="1"/>
    <n v="15078.9731176722"/>
    <n v="5503825.1879503503"/>
    <n v="19813770.676621299"/>
  </r>
  <r>
    <x v="0"/>
    <x v="0"/>
    <x v="0"/>
    <x v="3"/>
    <x v="6"/>
    <s v="DE4-S_A"/>
    <x v="1"/>
    <s v="GNR_HS_HEAT_WTR-TANK_LS_E-95_Y-2010"/>
    <x v="0"/>
    <x v="23"/>
    <n v="15151.994071589401"/>
    <n v="5530477.8361301403"/>
    <n v="19909720.210068502"/>
  </r>
  <r>
    <x v="0"/>
    <x v="0"/>
    <x v="0"/>
    <x v="3"/>
    <x v="6"/>
    <s v="DE4-S_A"/>
    <x v="1"/>
    <s v="GNR_HS_HEAT_WTR-TANK_LS_E-95_Y-2010"/>
    <x v="0"/>
    <x v="2"/>
    <n v="15142.6324108308"/>
    <n v="5527060.8299532495"/>
    <n v="19897418.987831701"/>
  </r>
  <r>
    <x v="0"/>
    <x v="0"/>
    <x v="0"/>
    <x v="3"/>
    <x v="6"/>
    <s v="DE4-S_A"/>
    <x v="1"/>
    <s v="GNR_HS_HEAT_WTR-TANK_LS_E-95_Y-2010"/>
    <x v="0"/>
    <x v="3"/>
    <n v="17319.769413063899"/>
    <n v="6321715.8357683104"/>
    <n v="22758177.008765899"/>
  </r>
  <r>
    <x v="0"/>
    <x v="0"/>
    <x v="0"/>
    <x v="3"/>
    <x v="6"/>
    <s v="DE4-S_A"/>
    <x v="1"/>
    <s v="GNR_HS_HEAT_WTR-TANK_LS_E-95_Y-2010"/>
    <x v="0"/>
    <x v="4"/>
    <n v="21653.8710163994"/>
    <n v="7903662.9209858002"/>
    <n v="28453186.5155489"/>
  </r>
  <r>
    <x v="0"/>
    <x v="0"/>
    <x v="0"/>
    <x v="3"/>
    <x v="6"/>
    <s v="DE4-S_A"/>
    <x v="1"/>
    <s v="GNR_HS_HEAT_WTR-TANK_LS_E-95_Y-2010"/>
    <x v="0"/>
    <x v="5"/>
    <n v="21653.8710163994"/>
    <n v="7903662.9209858002"/>
    <n v="28453186.5155489"/>
  </r>
  <r>
    <x v="0"/>
    <x v="0"/>
    <x v="0"/>
    <x v="3"/>
    <x v="6"/>
    <s v="DE4-S_A"/>
    <x v="1"/>
    <s v="GNR_HS_HEAT_WTR-TANK_LS_E-95_Y-2010"/>
    <x v="0"/>
    <x v="15"/>
    <n v="21653.8710163994"/>
    <n v="7903662.9209858002"/>
    <n v="28453186.5155489"/>
  </r>
  <r>
    <x v="0"/>
    <x v="0"/>
    <x v="0"/>
    <x v="3"/>
    <x v="6"/>
    <s v="DE4-S_A"/>
    <x v="1"/>
    <s v="GNR_HS_HEAT_WTR-TANK_LS_E-95_Y-2010"/>
    <x v="0"/>
    <x v="6"/>
    <n v="21653.8710163994"/>
    <n v="7903662.9209858002"/>
    <n v="28453186.5155489"/>
  </r>
  <r>
    <x v="0"/>
    <x v="0"/>
    <x v="0"/>
    <x v="3"/>
    <x v="6"/>
    <s v="DE4-S_A"/>
    <x v="1"/>
    <s v="GNR_HS_HEAT_WTR-TANK_LS_E-95_Y-2010"/>
    <x v="0"/>
    <x v="7"/>
    <n v="19955.6035171574"/>
    <n v="7283795.2837624503"/>
    <n v="26221663.021544799"/>
  </r>
  <r>
    <x v="0"/>
    <x v="0"/>
    <x v="0"/>
    <x v="3"/>
    <x v="6"/>
    <s v="DE4-S_A"/>
    <x v="1"/>
    <s v="GNR_HS_HEAT_WTR-TANK_LS_E-95_Y-2010"/>
    <x v="0"/>
    <x v="8"/>
    <n v="15039.654142486001"/>
    <n v="5489473.7620073901"/>
    <n v="19762105.5432266"/>
  </r>
  <r>
    <x v="0"/>
    <x v="0"/>
    <x v="0"/>
    <x v="3"/>
    <x v="6"/>
    <s v="DE4-S_A"/>
    <x v="1"/>
    <s v="GNR_HS_HEAT_WTR-TANK_LS_E-95_Y-2010"/>
    <x v="0"/>
    <x v="16"/>
    <n v="16909.029743069499"/>
    <n v="6171795.8562203497"/>
    <n v="22218465.0823933"/>
  </r>
  <r>
    <x v="0"/>
    <x v="0"/>
    <x v="0"/>
    <x v="3"/>
    <x v="6"/>
    <s v="DE4-S_A"/>
    <x v="1"/>
    <s v="GNR_HS_HEAT_WTR-TANK_LS_E-95_Y-2010"/>
    <x v="0"/>
    <x v="17"/>
    <n v="15869.1735998275"/>
    <n v="5792248.3639370296"/>
    <n v="20852094.1101733"/>
  </r>
  <r>
    <x v="0"/>
    <x v="0"/>
    <x v="0"/>
    <x v="3"/>
    <x v="6"/>
    <s v="DE4-S_A"/>
    <x v="1"/>
    <s v="GNR_HS_HEAT_WTR-TANK_LS_E-95_Y-2010"/>
    <x v="0"/>
    <x v="18"/>
    <n v="20571.177465579502"/>
    <n v="7508479.7749365102"/>
    <n v="27030527.189771399"/>
  </r>
  <r>
    <x v="0"/>
    <x v="0"/>
    <x v="0"/>
    <x v="3"/>
    <x v="6"/>
    <s v="DE4-S_A"/>
    <x v="1"/>
    <s v="GNR_HS_HEAT_WTR-TANK_LS_E-95_Y-2010"/>
    <x v="0"/>
    <x v="19"/>
    <n v="20571.177465579502"/>
    <n v="7508479.7749365102"/>
    <n v="27030527.189771399"/>
  </r>
  <r>
    <x v="0"/>
    <x v="0"/>
    <x v="0"/>
    <x v="3"/>
    <x v="6"/>
    <s v="DE4-S_A"/>
    <x v="1"/>
    <s v="GNR_HS_HEAT_WTR-TANK_LS_E-95_Y-2010"/>
    <x v="0"/>
    <x v="20"/>
    <n v="21653.8710163994"/>
    <n v="7903662.9209858002"/>
    <n v="28453186.5155489"/>
  </r>
  <r>
    <x v="0"/>
    <x v="0"/>
    <x v="0"/>
    <x v="3"/>
    <x v="6"/>
    <s v="DE4-S_A"/>
    <x v="1"/>
    <s v="GNR_HS_HEAT_WTR-TANK_LS_E-95_Y-2010"/>
    <x v="0"/>
    <x v="21"/>
    <n v="21653.8710163994"/>
    <n v="7903662.9209858002"/>
    <n v="28453186.5155489"/>
  </r>
  <r>
    <x v="0"/>
    <x v="0"/>
    <x v="0"/>
    <x v="3"/>
    <x v="6"/>
    <s v="DE4-S_A"/>
    <x v="1"/>
    <s v="GNR_HS_HEAT_WTR-TANK_LS_E-95_Y-2010"/>
    <x v="0"/>
    <x v="22"/>
    <n v="21653.8710163994"/>
    <n v="7903662.9209858002"/>
    <n v="28453186.5155489"/>
  </r>
  <r>
    <x v="0"/>
    <x v="0"/>
    <x v="0"/>
    <x v="3"/>
    <x v="7"/>
    <s v="DE4-W_A"/>
    <x v="0"/>
    <s v="GNR_ST_COAL_BP_E-41"/>
    <x v="0"/>
    <x v="1"/>
    <n v="9111.1893915326491"/>
    <n v="3325584.1279094201"/>
    <n v="11972102.860473899"/>
  </r>
  <r>
    <x v="0"/>
    <x v="0"/>
    <x v="0"/>
    <x v="3"/>
    <x v="7"/>
    <s v="DE4-W_A"/>
    <x v="0"/>
    <s v="GNR_ST_COAL_BP_E-41"/>
    <x v="0"/>
    <x v="23"/>
    <n v="5456.7281496267897"/>
    <n v="1991705.77461378"/>
    <n v="7170140.7886096099"/>
  </r>
  <r>
    <x v="0"/>
    <x v="0"/>
    <x v="0"/>
    <x v="3"/>
    <x v="7"/>
    <s v="DE4-W_A"/>
    <x v="0"/>
    <s v="GNR_ST_COAL_BP_E-41"/>
    <x v="0"/>
    <x v="2"/>
    <n v="4457.0782403888497"/>
    <n v="1626833.55774193"/>
    <n v="5856600.8078709496"/>
  </r>
  <r>
    <x v="0"/>
    <x v="0"/>
    <x v="0"/>
    <x v="3"/>
    <x v="7"/>
    <s v="DE4-W_A"/>
    <x v="1"/>
    <s v="GNR_HS_HEAT_WTR-TANK_LS_E-95_Y-2010"/>
    <x v="0"/>
    <x v="9"/>
    <n v="29602.2944049547"/>
    <n v="10804837.4578085"/>
    <n v="38897414.8481104"/>
  </r>
  <r>
    <x v="0"/>
    <x v="0"/>
    <x v="0"/>
    <x v="3"/>
    <x v="7"/>
    <s v="DE4-W_A"/>
    <x v="1"/>
    <s v="GNR_HS_HEAT_WTR-TANK_LS_E-95_Y-2010"/>
    <x v="0"/>
    <x v="10"/>
    <n v="29573.072340960502"/>
    <n v="10794171.404450599"/>
    <n v="38859017.0560221"/>
  </r>
  <r>
    <x v="0"/>
    <x v="0"/>
    <x v="0"/>
    <x v="3"/>
    <x v="7"/>
    <s v="DE4-W_A"/>
    <x v="1"/>
    <s v="GNR_HS_HEAT_WTR-TANK_LS_E-95_Y-2010"/>
    <x v="0"/>
    <x v="11"/>
    <n v="29546.506828238598"/>
    <n v="10784474.9923071"/>
    <n v="38824109.972305499"/>
  </r>
  <r>
    <x v="0"/>
    <x v="0"/>
    <x v="0"/>
    <x v="3"/>
    <x v="7"/>
    <s v="DE4-W_A"/>
    <x v="1"/>
    <s v="GNR_HS_HEAT_WTR-TANK_LS_E-95_Y-2010"/>
    <x v="0"/>
    <x v="12"/>
    <n v="29586.355097321499"/>
    <n v="10799019.6105223"/>
    <n v="38876470.597880401"/>
  </r>
  <r>
    <x v="0"/>
    <x v="0"/>
    <x v="0"/>
    <x v="3"/>
    <x v="7"/>
    <s v="DE4-W_A"/>
    <x v="1"/>
    <s v="GNR_HS_HEAT_WTR-TANK_LS_E-95_Y-2010"/>
    <x v="0"/>
    <x v="13"/>
    <n v="29615.577161315701"/>
    <n v="10809685.663880199"/>
    <n v="38914868.389968798"/>
  </r>
  <r>
    <x v="0"/>
    <x v="0"/>
    <x v="0"/>
    <x v="3"/>
    <x v="7"/>
    <s v="DE4-W_A"/>
    <x v="1"/>
    <s v="GNR_HS_HEAT_WTR-TANK_LS_E-95_Y-2010"/>
    <x v="0"/>
    <x v="0"/>
    <n v="29031.806967283199"/>
    <n v="10596609.543058399"/>
    <n v="38147794.355010197"/>
  </r>
  <r>
    <x v="0"/>
    <x v="0"/>
    <x v="0"/>
    <x v="3"/>
    <x v="7"/>
    <s v="DE4-W_A"/>
    <x v="1"/>
    <s v="GNR_HS_HEAT_WTR-TANK_LS_E-95_Y-2010"/>
    <x v="0"/>
    <x v="14"/>
    <n v="30195.376424504899"/>
    <n v="11021312.394944301"/>
    <n v="39676724.621799499"/>
  </r>
  <r>
    <x v="0"/>
    <x v="0"/>
    <x v="0"/>
    <x v="3"/>
    <x v="7"/>
    <s v="DE4-W_A"/>
    <x v="1"/>
    <s v="GNR_HS_HEAT_WTR-TANK_LS_E-95_Y-2010"/>
    <x v="0"/>
    <x v="1"/>
    <n v="21777.546915015399"/>
    <n v="7948804.6239806097"/>
    <n v="28615696.6463302"/>
  </r>
  <r>
    <x v="0"/>
    <x v="0"/>
    <x v="0"/>
    <x v="3"/>
    <x v="7"/>
    <s v="DE4-W_A"/>
    <x v="1"/>
    <s v="GNR_HS_HEAT_WTR-TANK_LS_E-95_Y-2010"/>
    <x v="0"/>
    <x v="23"/>
    <n v="25535.613656536902"/>
    <n v="9320498.9846359491"/>
    <n v="33553796.344689399"/>
  </r>
  <r>
    <x v="0"/>
    <x v="0"/>
    <x v="0"/>
    <x v="3"/>
    <x v="7"/>
    <s v="DE4-W_A"/>
    <x v="1"/>
    <s v="GNR_HS_HEAT_WTR-TANK_LS_E-95_Y-2010"/>
    <x v="0"/>
    <x v="2"/>
    <n v="26521.980809413799"/>
    <n v="9680522.9954360407"/>
    <n v="34849882.783569798"/>
  </r>
  <r>
    <x v="0"/>
    <x v="0"/>
    <x v="0"/>
    <x v="3"/>
    <x v="7"/>
    <s v="DE4-W_A"/>
    <x v="1"/>
    <s v="GNR_HS_HEAT_WTR-TANK_LS_E-95_Y-2010"/>
    <x v="0"/>
    <x v="3"/>
    <n v="31002.9680112524"/>
    <n v="11316083.324107099"/>
    <n v="40737899.966785699"/>
  </r>
  <r>
    <x v="0"/>
    <x v="0"/>
    <x v="0"/>
    <x v="3"/>
    <x v="7"/>
    <s v="DE4-W_A"/>
    <x v="1"/>
    <s v="GNR_HS_HEAT_WTR-TANK_LS_E-95_Y-2010"/>
    <x v="0"/>
    <x v="4"/>
    <n v="30979.059049802701"/>
    <n v="11307356.553177999"/>
    <n v="40706483.5914407"/>
  </r>
  <r>
    <x v="0"/>
    <x v="0"/>
    <x v="0"/>
    <x v="3"/>
    <x v="7"/>
    <s v="DE4-W_A"/>
    <x v="1"/>
    <s v="GNR_HS_HEAT_WTR-TANK_LS_E-95_Y-2010"/>
    <x v="0"/>
    <x v="5"/>
    <n v="30830.292178559699"/>
    <n v="11253056.6451743"/>
    <n v="40511003.922627501"/>
  </r>
  <r>
    <x v="0"/>
    <x v="0"/>
    <x v="0"/>
    <x v="3"/>
    <x v="7"/>
    <s v="DE4-W_A"/>
    <x v="1"/>
    <s v="GNR_HS_HEAT_WTR-TANK_LS_E-95_Y-2010"/>
    <x v="0"/>
    <x v="15"/>
    <n v="30726.686678944101"/>
    <n v="11215240.6378146"/>
    <n v="40374866.296132497"/>
  </r>
  <r>
    <x v="0"/>
    <x v="0"/>
    <x v="0"/>
    <x v="3"/>
    <x v="7"/>
    <s v="DE4-W_A"/>
    <x v="1"/>
    <s v="GNR_HS_HEAT_WTR-TANK_LS_E-95_Y-2010"/>
    <x v="0"/>
    <x v="6"/>
    <n v="30769.191499299199"/>
    <n v="11230754.8972442"/>
    <n v="40430717.630079202"/>
  </r>
  <r>
    <x v="0"/>
    <x v="0"/>
    <x v="0"/>
    <x v="3"/>
    <x v="7"/>
    <s v="DE4-W_A"/>
    <x v="1"/>
    <s v="GNR_HS_HEAT_WTR-TANK_LS_E-95_Y-2010"/>
    <x v="0"/>
    <x v="7"/>
    <n v="30809.039768382099"/>
    <n v="11245299.5154595"/>
    <n v="40483078.255654097"/>
  </r>
  <r>
    <x v="0"/>
    <x v="0"/>
    <x v="0"/>
    <x v="3"/>
    <x v="7"/>
    <s v="DE4-W_A"/>
    <x v="1"/>
    <s v="GNR_HS_HEAT_WTR-TANK_LS_E-95_Y-2010"/>
    <x v="0"/>
    <x v="8"/>
    <n v="30832.9487298319"/>
    <n v="11254026.2863886"/>
    <n v="40514494.630999103"/>
  </r>
  <r>
    <x v="0"/>
    <x v="0"/>
    <x v="0"/>
    <x v="3"/>
    <x v="7"/>
    <s v="DE4-W_A"/>
    <x v="1"/>
    <s v="GNR_HS_HEAT_WTR-TANK_LS_E-95_Y-2010"/>
    <x v="0"/>
    <x v="16"/>
    <n v="30904.6756141812"/>
    <n v="11280206.5991761"/>
    <n v="40608743.757034101"/>
  </r>
  <r>
    <x v="0"/>
    <x v="0"/>
    <x v="0"/>
    <x v="3"/>
    <x v="7"/>
    <s v="DE4-W_A"/>
    <x v="1"/>
    <s v="GNR_HS_HEAT_WTR-TANK_LS_E-95_Y-2010"/>
    <x v="0"/>
    <x v="17"/>
    <n v="30894.0494090924"/>
    <n v="11276328.0343187"/>
    <n v="40594780.923547402"/>
  </r>
  <r>
    <x v="0"/>
    <x v="0"/>
    <x v="0"/>
    <x v="3"/>
    <x v="7"/>
    <s v="DE4-W_A"/>
    <x v="1"/>
    <s v="GNR_HS_HEAT_WTR-TANK_LS_E-95_Y-2010"/>
    <x v="0"/>
    <x v="18"/>
    <n v="30785.1308069324"/>
    <n v="11236572.7445303"/>
    <n v="40451661.880309202"/>
  </r>
  <r>
    <x v="0"/>
    <x v="0"/>
    <x v="0"/>
    <x v="3"/>
    <x v="7"/>
    <s v="DE4-W_A"/>
    <x v="1"/>
    <s v="GNR_HS_HEAT_WTR-TANK_LS_E-95_Y-2010"/>
    <x v="0"/>
    <x v="19"/>
    <n v="30580.5763589733"/>
    <n v="11161910.3710253"/>
    <n v="40182877.335690901"/>
  </r>
  <r>
    <x v="0"/>
    <x v="0"/>
    <x v="0"/>
    <x v="3"/>
    <x v="7"/>
    <s v="DE4-W_A"/>
    <x v="1"/>
    <s v="GNR_HS_HEAT_WTR-TANK_LS_E-95_Y-2010"/>
    <x v="0"/>
    <x v="20"/>
    <n v="30646.319054927601"/>
    <n v="11185906.4550486"/>
    <n v="40269263.238174804"/>
  </r>
  <r>
    <x v="0"/>
    <x v="0"/>
    <x v="0"/>
    <x v="3"/>
    <x v="7"/>
    <s v="DE4-W_A"/>
    <x v="1"/>
    <s v="GNR_HS_HEAT_WTR-TANK_LS_E-95_Y-2010"/>
    <x v="0"/>
    <x v="21"/>
    <n v="30370.037722619199"/>
    <n v="11085063.768756"/>
    <n v="39906229.567521699"/>
  </r>
  <r>
    <x v="0"/>
    <x v="0"/>
    <x v="0"/>
    <x v="3"/>
    <x v="7"/>
    <s v="DE4-W_A"/>
    <x v="1"/>
    <s v="GNR_HS_HEAT_WTR-TANK_LS_E-95_Y-2010"/>
    <x v="0"/>
    <x v="22"/>
    <n v="31301.4442867037"/>
    <n v="11425027.164646801"/>
    <n v="41130097.792728603"/>
  </r>
  <r>
    <x v="0"/>
    <x v="0"/>
    <x v="0"/>
    <x v="3"/>
    <x v="7"/>
    <s v="DE4-W_A"/>
    <x v="13"/>
    <s v="GNR_ST_LIGN_BP_E-33"/>
    <x v="0"/>
    <x v="0"/>
    <n v="1048.6666666666699"/>
    <n v="382763.33333333302"/>
    <n v="1377948"/>
  </r>
  <r>
    <x v="0"/>
    <x v="0"/>
    <x v="0"/>
    <x v="3"/>
    <x v="7"/>
    <s v="DE4-W_A"/>
    <x v="13"/>
    <s v="GNR_ST_LIGN_BP_E-33"/>
    <x v="0"/>
    <x v="14"/>
    <n v="1048.6666666666699"/>
    <n v="382763.33333333302"/>
    <n v="1377948"/>
  </r>
  <r>
    <x v="0"/>
    <x v="0"/>
    <x v="0"/>
    <x v="3"/>
    <x v="7"/>
    <s v="DE4-W_A"/>
    <x v="13"/>
    <s v="GNR_ST_LIGN_BP_E-33"/>
    <x v="0"/>
    <x v="1"/>
    <n v="1048.6666666666699"/>
    <n v="382763.33333333302"/>
    <n v="1377948"/>
  </r>
  <r>
    <x v="0"/>
    <x v="0"/>
    <x v="0"/>
    <x v="3"/>
    <x v="7"/>
    <s v="DE4-W_A"/>
    <x v="13"/>
    <s v="GNR_ST_LIGN_BP_E-33"/>
    <x v="0"/>
    <x v="23"/>
    <n v="1048.6666666666699"/>
    <n v="382763.33333333302"/>
    <n v="1377948"/>
  </r>
  <r>
    <x v="0"/>
    <x v="0"/>
    <x v="0"/>
    <x v="3"/>
    <x v="7"/>
    <s v="DE4-W_A"/>
    <x v="13"/>
    <s v="GNR_ST_LIGN_BP_E-33"/>
    <x v="0"/>
    <x v="2"/>
    <n v="1048.6666666666699"/>
    <n v="382763.33333333302"/>
    <n v="1377948"/>
  </r>
  <r>
    <x v="0"/>
    <x v="0"/>
    <x v="0"/>
    <x v="3"/>
    <x v="7"/>
    <s v="DE4-W_A"/>
    <x v="13"/>
    <s v="GNR_ST_LIGN_BP_E-33"/>
    <x v="0"/>
    <x v="3"/>
    <n v="1048.6666666666699"/>
    <n v="382763.33333333302"/>
    <n v="1377948"/>
  </r>
  <r>
    <x v="0"/>
    <x v="0"/>
    <x v="0"/>
    <x v="3"/>
    <x v="7"/>
    <s v="DE4-W_A"/>
    <x v="13"/>
    <s v="GNR_ST_LIGN_BP_E-33"/>
    <x v="0"/>
    <x v="4"/>
    <n v="1048.6666666666699"/>
    <n v="382763.33333333302"/>
    <n v="1377948"/>
  </r>
  <r>
    <x v="0"/>
    <x v="0"/>
    <x v="0"/>
    <x v="3"/>
    <x v="7"/>
    <s v="DE4-W_A"/>
    <x v="13"/>
    <s v="GNR_ST_LIGN_BP_E-33"/>
    <x v="0"/>
    <x v="5"/>
    <n v="1048.6666666666699"/>
    <n v="382763.33333333302"/>
    <n v="1377948"/>
  </r>
  <r>
    <x v="0"/>
    <x v="0"/>
    <x v="0"/>
    <x v="3"/>
    <x v="7"/>
    <s v="DE4-W_A"/>
    <x v="13"/>
    <s v="GNR_ST_LIGN_BP_E-33"/>
    <x v="0"/>
    <x v="15"/>
    <n v="1048.6666666666699"/>
    <n v="382763.33333333302"/>
    <n v="1377948"/>
  </r>
  <r>
    <x v="0"/>
    <x v="0"/>
    <x v="0"/>
    <x v="3"/>
    <x v="7"/>
    <s v="DE4-W_A"/>
    <x v="13"/>
    <s v="GNR_ST_LIGN_BP_E-33"/>
    <x v="0"/>
    <x v="6"/>
    <n v="1048.6666666666699"/>
    <n v="382763.33333333302"/>
    <n v="1377948"/>
  </r>
  <r>
    <x v="0"/>
    <x v="0"/>
    <x v="0"/>
    <x v="3"/>
    <x v="7"/>
    <s v="DE4-W_A"/>
    <x v="13"/>
    <s v="GNR_ST_LIGN_BP_E-33"/>
    <x v="0"/>
    <x v="7"/>
    <n v="1048.6666666666699"/>
    <n v="382763.33333333302"/>
    <n v="1377948"/>
  </r>
  <r>
    <x v="0"/>
    <x v="0"/>
    <x v="0"/>
    <x v="3"/>
    <x v="7"/>
    <s v="DE4-W_A"/>
    <x v="13"/>
    <s v="GNR_ST_LIGN_BP_E-33"/>
    <x v="0"/>
    <x v="8"/>
    <n v="1048.6666666666699"/>
    <n v="382763.33333333302"/>
    <n v="1377948"/>
  </r>
  <r>
    <x v="0"/>
    <x v="0"/>
    <x v="0"/>
    <x v="3"/>
    <x v="7"/>
    <s v="DE4-W_A"/>
    <x v="13"/>
    <s v="GNR_ST_LIGN_BP_E-33"/>
    <x v="0"/>
    <x v="16"/>
    <n v="1048.6666666666699"/>
    <n v="382763.33333333302"/>
    <n v="1377948"/>
  </r>
  <r>
    <x v="0"/>
    <x v="0"/>
    <x v="0"/>
    <x v="3"/>
    <x v="7"/>
    <s v="DE4-W_A"/>
    <x v="13"/>
    <s v="GNR_ST_LIGN_BP_E-33"/>
    <x v="0"/>
    <x v="17"/>
    <n v="1048.6666666666699"/>
    <n v="382763.33333333302"/>
    <n v="1377948"/>
  </r>
  <r>
    <x v="0"/>
    <x v="0"/>
    <x v="0"/>
    <x v="3"/>
    <x v="7"/>
    <s v="DE4-W_A"/>
    <x v="13"/>
    <s v="GNR_ST_LIGN_BP_E-33"/>
    <x v="0"/>
    <x v="18"/>
    <n v="1048.6666666666699"/>
    <n v="382763.33333333302"/>
    <n v="1377948"/>
  </r>
  <r>
    <x v="0"/>
    <x v="0"/>
    <x v="0"/>
    <x v="3"/>
    <x v="7"/>
    <s v="DE4-W_A"/>
    <x v="13"/>
    <s v="GNR_ST_LIGN_BP_E-33"/>
    <x v="0"/>
    <x v="19"/>
    <n v="1048.6666666666699"/>
    <n v="382763.33333333302"/>
    <n v="1377948"/>
  </r>
  <r>
    <x v="0"/>
    <x v="0"/>
    <x v="0"/>
    <x v="3"/>
    <x v="7"/>
    <s v="DE4-W_A"/>
    <x v="13"/>
    <s v="GNR_ST_LIGN_BP_E-37"/>
    <x v="0"/>
    <x v="9"/>
    <n v="4382.2666666666701"/>
    <n v="1599527.33333333"/>
    <n v="5758298.4000000004"/>
  </r>
  <r>
    <x v="0"/>
    <x v="0"/>
    <x v="0"/>
    <x v="3"/>
    <x v="7"/>
    <s v="DE4-W_A"/>
    <x v="13"/>
    <s v="GNR_ST_LIGN_BP_E-37"/>
    <x v="0"/>
    <x v="10"/>
    <n v="4382.2666666666701"/>
    <n v="1599527.33333333"/>
    <n v="5758298.4000000004"/>
  </r>
  <r>
    <x v="0"/>
    <x v="0"/>
    <x v="0"/>
    <x v="3"/>
    <x v="7"/>
    <s v="DE4-W_A"/>
    <x v="13"/>
    <s v="GNR_ST_LIGN_BP_E-37"/>
    <x v="0"/>
    <x v="11"/>
    <n v="4382.2666666666701"/>
    <n v="1599527.33333333"/>
    <n v="5758298.4000000004"/>
  </r>
  <r>
    <x v="0"/>
    <x v="0"/>
    <x v="0"/>
    <x v="3"/>
    <x v="7"/>
    <s v="DE4-W_A"/>
    <x v="13"/>
    <s v="GNR_ST_LIGN_BP_E-37"/>
    <x v="0"/>
    <x v="12"/>
    <n v="4382.2666666666701"/>
    <n v="1599527.33333333"/>
    <n v="5758298.4000000004"/>
  </r>
  <r>
    <x v="0"/>
    <x v="0"/>
    <x v="0"/>
    <x v="3"/>
    <x v="7"/>
    <s v="DE4-W_A"/>
    <x v="13"/>
    <s v="GNR_ST_LIGN_BP_E-37"/>
    <x v="0"/>
    <x v="13"/>
    <n v="4382.2666666666701"/>
    <n v="1599527.33333333"/>
    <n v="5758298.4000000004"/>
  </r>
  <r>
    <x v="0"/>
    <x v="0"/>
    <x v="0"/>
    <x v="3"/>
    <x v="7"/>
    <s v="DE4-W_A"/>
    <x v="13"/>
    <s v="GNR_ST_LIGN_BP_E-37"/>
    <x v="0"/>
    <x v="0"/>
    <n v="4382.2666666666701"/>
    <n v="1599527.33333333"/>
    <n v="5758298.4000000004"/>
  </r>
  <r>
    <x v="0"/>
    <x v="0"/>
    <x v="0"/>
    <x v="3"/>
    <x v="7"/>
    <s v="DE4-W_A"/>
    <x v="13"/>
    <s v="GNR_ST_LIGN_BP_E-37"/>
    <x v="0"/>
    <x v="14"/>
    <n v="4382.2666666666701"/>
    <n v="1599527.33333333"/>
    <n v="5758298.4000000004"/>
  </r>
  <r>
    <x v="0"/>
    <x v="0"/>
    <x v="0"/>
    <x v="3"/>
    <x v="7"/>
    <s v="DE4-W_A"/>
    <x v="13"/>
    <s v="GNR_ST_LIGN_BP_E-37"/>
    <x v="0"/>
    <x v="1"/>
    <n v="4382.2666666666701"/>
    <n v="1599527.33333333"/>
    <n v="5758298.4000000004"/>
  </r>
  <r>
    <x v="0"/>
    <x v="0"/>
    <x v="0"/>
    <x v="3"/>
    <x v="7"/>
    <s v="DE4-W_A"/>
    <x v="13"/>
    <s v="GNR_ST_LIGN_BP_E-37"/>
    <x v="0"/>
    <x v="23"/>
    <n v="4382.2666666666701"/>
    <n v="1599527.33333333"/>
    <n v="5758298.4000000004"/>
  </r>
  <r>
    <x v="0"/>
    <x v="0"/>
    <x v="0"/>
    <x v="3"/>
    <x v="7"/>
    <s v="DE4-W_A"/>
    <x v="13"/>
    <s v="GNR_ST_LIGN_BP_E-37"/>
    <x v="0"/>
    <x v="2"/>
    <n v="4382.2666666666701"/>
    <n v="1599527.33333333"/>
    <n v="5758298.4000000004"/>
  </r>
  <r>
    <x v="0"/>
    <x v="0"/>
    <x v="0"/>
    <x v="3"/>
    <x v="7"/>
    <s v="DE4-W_A"/>
    <x v="13"/>
    <s v="GNR_ST_LIGN_BP_E-37"/>
    <x v="0"/>
    <x v="3"/>
    <n v="4382.2666666666701"/>
    <n v="1599527.33333333"/>
    <n v="5758298.4000000004"/>
  </r>
  <r>
    <x v="0"/>
    <x v="0"/>
    <x v="0"/>
    <x v="3"/>
    <x v="7"/>
    <s v="DE4-W_A"/>
    <x v="13"/>
    <s v="GNR_ST_LIGN_BP_E-37"/>
    <x v="0"/>
    <x v="4"/>
    <n v="4382.2666666666701"/>
    <n v="1599527.33333333"/>
    <n v="5758298.4000000004"/>
  </r>
  <r>
    <x v="0"/>
    <x v="0"/>
    <x v="0"/>
    <x v="3"/>
    <x v="7"/>
    <s v="DE4-W_A"/>
    <x v="13"/>
    <s v="GNR_ST_LIGN_BP_E-37"/>
    <x v="0"/>
    <x v="5"/>
    <n v="4382.2666666666701"/>
    <n v="1599527.33333333"/>
    <n v="5758298.4000000004"/>
  </r>
  <r>
    <x v="0"/>
    <x v="0"/>
    <x v="0"/>
    <x v="3"/>
    <x v="7"/>
    <s v="DE4-W_A"/>
    <x v="13"/>
    <s v="GNR_ST_LIGN_BP_E-37"/>
    <x v="0"/>
    <x v="15"/>
    <n v="4382.2666666666701"/>
    <n v="1599527.33333333"/>
    <n v="5758298.4000000004"/>
  </r>
  <r>
    <x v="0"/>
    <x v="0"/>
    <x v="0"/>
    <x v="3"/>
    <x v="7"/>
    <s v="DE4-W_A"/>
    <x v="13"/>
    <s v="GNR_ST_LIGN_BP_E-37"/>
    <x v="0"/>
    <x v="6"/>
    <n v="4382.2666666666701"/>
    <n v="1599527.33333333"/>
    <n v="5758298.4000000004"/>
  </r>
  <r>
    <x v="0"/>
    <x v="0"/>
    <x v="0"/>
    <x v="3"/>
    <x v="7"/>
    <s v="DE4-W_A"/>
    <x v="13"/>
    <s v="GNR_ST_LIGN_BP_E-37"/>
    <x v="0"/>
    <x v="7"/>
    <n v="4382.2666666666701"/>
    <n v="1599527.33333333"/>
    <n v="5758298.4000000004"/>
  </r>
  <r>
    <x v="0"/>
    <x v="0"/>
    <x v="0"/>
    <x v="3"/>
    <x v="7"/>
    <s v="DE4-W_A"/>
    <x v="13"/>
    <s v="GNR_ST_LIGN_BP_E-37"/>
    <x v="0"/>
    <x v="8"/>
    <n v="4382.2666666666701"/>
    <n v="1599527.33333333"/>
    <n v="5758298.4000000004"/>
  </r>
  <r>
    <x v="0"/>
    <x v="0"/>
    <x v="0"/>
    <x v="3"/>
    <x v="7"/>
    <s v="DE4-W_A"/>
    <x v="13"/>
    <s v="GNR_ST_LIGN_BP_E-37"/>
    <x v="0"/>
    <x v="16"/>
    <n v="4382.2666666666701"/>
    <n v="1599527.33333333"/>
    <n v="5758298.4000000004"/>
  </r>
  <r>
    <x v="0"/>
    <x v="0"/>
    <x v="0"/>
    <x v="3"/>
    <x v="7"/>
    <s v="DE4-W_A"/>
    <x v="13"/>
    <s v="GNR_ST_LIGN_BP_E-37"/>
    <x v="0"/>
    <x v="17"/>
    <n v="4382.2666666666701"/>
    <n v="1599527.33333333"/>
    <n v="5758298.4000000004"/>
  </r>
  <r>
    <x v="0"/>
    <x v="0"/>
    <x v="0"/>
    <x v="3"/>
    <x v="7"/>
    <s v="DE4-W_A"/>
    <x v="13"/>
    <s v="GNR_ST_LIGN_BP_E-37"/>
    <x v="0"/>
    <x v="18"/>
    <n v="4382.2666666666701"/>
    <n v="1599527.33333333"/>
    <n v="5758298.4000000004"/>
  </r>
  <r>
    <x v="0"/>
    <x v="0"/>
    <x v="0"/>
    <x v="3"/>
    <x v="7"/>
    <s v="DE4-W_A"/>
    <x v="13"/>
    <s v="GNR_ST_LIGN_BP_E-37"/>
    <x v="0"/>
    <x v="19"/>
    <n v="4382.2666666666701"/>
    <n v="1599527.33333333"/>
    <n v="5758298.4000000004"/>
  </r>
  <r>
    <x v="0"/>
    <x v="0"/>
    <x v="0"/>
    <x v="3"/>
    <x v="7"/>
    <s v="DE4-W_A"/>
    <x v="13"/>
    <s v="GNR_ST_LIGN_BP_E-37"/>
    <x v="0"/>
    <x v="20"/>
    <n v="4382.2666666666701"/>
    <n v="1599527.33333333"/>
    <n v="5758298.4000000004"/>
  </r>
  <r>
    <x v="0"/>
    <x v="0"/>
    <x v="0"/>
    <x v="3"/>
    <x v="7"/>
    <s v="DE4-W_A"/>
    <x v="13"/>
    <s v="GNR_ST_LIGN_BP_E-37"/>
    <x v="0"/>
    <x v="21"/>
    <n v="4382.2666666666701"/>
    <n v="1599527.33333333"/>
    <n v="5758298.4000000004"/>
  </r>
  <r>
    <x v="0"/>
    <x v="0"/>
    <x v="0"/>
    <x v="3"/>
    <x v="7"/>
    <s v="DE4-W_A"/>
    <x v="13"/>
    <s v="GNR_ST_LIGN_BP_E-37"/>
    <x v="0"/>
    <x v="22"/>
    <n v="1968.4105151916799"/>
    <n v="718469.83804496203"/>
    <n v="2586491.4169618599"/>
  </r>
  <r>
    <x v="0"/>
    <x v="0"/>
    <x v="0"/>
    <x v="4"/>
    <x v="8"/>
    <s v="LT_KauU"/>
    <x v="4"/>
    <s v="KAUNAS_ST_MSW_BP"/>
    <x v="0"/>
    <x v="9"/>
    <n v="68.000226667422197"/>
    <n v="24820.082733609099"/>
    <n v="89352.297840992804"/>
  </r>
  <r>
    <x v="0"/>
    <x v="0"/>
    <x v="0"/>
    <x v="4"/>
    <x v="8"/>
    <s v="LT_KauU"/>
    <x v="4"/>
    <s v="KAUNAS_ST_MSW_BP"/>
    <x v="0"/>
    <x v="10"/>
    <n v="68.000226667422197"/>
    <n v="24820.082733609099"/>
    <n v="89352.297840992804"/>
  </r>
  <r>
    <x v="0"/>
    <x v="0"/>
    <x v="0"/>
    <x v="4"/>
    <x v="8"/>
    <s v="LT_KauU"/>
    <x v="4"/>
    <s v="KAUNAS_ST_MSW_BP"/>
    <x v="0"/>
    <x v="11"/>
    <n v="68.000226667422197"/>
    <n v="24820.082733609099"/>
    <n v="89352.297840992804"/>
  </r>
  <r>
    <x v="0"/>
    <x v="0"/>
    <x v="0"/>
    <x v="4"/>
    <x v="8"/>
    <s v="LT_KauU"/>
    <x v="4"/>
    <s v="KAUNAS_ST_MSW_BP"/>
    <x v="0"/>
    <x v="12"/>
    <n v="68.000226667422197"/>
    <n v="24820.082733609099"/>
    <n v="89352.297840992804"/>
  </r>
  <r>
    <x v="0"/>
    <x v="0"/>
    <x v="0"/>
    <x v="4"/>
    <x v="8"/>
    <s v="LT_KauU"/>
    <x v="4"/>
    <s v="KAUNAS_ST_MSW_BP"/>
    <x v="0"/>
    <x v="13"/>
    <n v="68.000226667422197"/>
    <n v="24820.082733609099"/>
    <n v="89352.297840992804"/>
  </r>
  <r>
    <x v="0"/>
    <x v="0"/>
    <x v="0"/>
    <x v="4"/>
    <x v="8"/>
    <s v="LT_KauU"/>
    <x v="4"/>
    <s v="KAUNAS_ST_MSW_BP"/>
    <x v="0"/>
    <x v="0"/>
    <n v="68.000226667422197"/>
    <n v="24820.082733609099"/>
    <n v="89352.297840992804"/>
  </r>
  <r>
    <x v="0"/>
    <x v="0"/>
    <x v="0"/>
    <x v="4"/>
    <x v="8"/>
    <s v="LT_KauU"/>
    <x v="4"/>
    <s v="KAUNAS_ST_MSW_BP"/>
    <x v="0"/>
    <x v="14"/>
    <n v="68.000226667422197"/>
    <n v="24820.082733609099"/>
    <n v="89352.297840992804"/>
  </r>
  <r>
    <x v="0"/>
    <x v="0"/>
    <x v="0"/>
    <x v="4"/>
    <x v="8"/>
    <s v="LT_KauU"/>
    <x v="4"/>
    <s v="KAUNAS_ST_MSW_BP"/>
    <x v="0"/>
    <x v="1"/>
    <n v="68.000226667422197"/>
    <n v="24820.082733609099"/>
    <n v="89352.297840992804"/>
  </r>
  <r>
    <x v="0"/>
    <x v="0"/>
    <x v="0"/>
    <x v="4"/>
    <x v="8"/>
    <s v="LT_KauU"/>
    <x v="4"/>
    <s v="KAUNAS_ST_MSW_BP"/>
    <x v="0"/>
    <x v="23"/>
    <n v="68.000226667422197"/>
    <n v="24820.082733609099"/>
    <n v="89352.297840992804"/>
  </r>
  <r>
    <x v="0"/>
    <x v="0"/>
    <x v="0"/>
    <x v="4"/>
    <x v="8"/>
    <s v="LT_KauU"/>
    <x v="4"/>
    <s v="KAUNAS_ST_MSW_BP"/>
    <x v="0"/>
    <x v="2"/>
    <n v="68.000226667422197"/>
    <n v="24820.082733609099"/>
    <n v="89352.297840992804"/>
  </r>
  <r>
    <x v="0"/>
    <x v="0"/>
    <x v="0"/>
    <x v="4"/>
    <x v="8"/>
    <s v="LT_KauU"/>
    <x v="4"/>
    <s v="KAUNAS_ST_MSW_BP"/>
    <x v="0"/>
    <x v="3"/>
    <n v="68.000226667422197"/>
    <n v="24820.082733609099"/>
    <n v="89352.297840992804"/>
  </r>
  <r>
    <x v="0"/>
    <x v="0"/>
    <x v="0"/>
    <x v="4"/>
    <x v="8"/>
    <s v="LT_KauU"/>
    <x v="4"/>
    <s v="KAUNAS_ST_MSW_BP"/>
    <x v="0"/>
    <x v="4"/>
    <n v="68.000226667422197"/>
    <n v="24820.082733609099"/>
    <n v="89352.297840992804"/>
  </r>
  <r>
    <x v="0"/>
    <x v="0"/>
    <x v="0"/>
    <x v="4"/>
    <x v="8"/>
    <s v="LT_KauU"/>
    <x v="4"/>
    <s v="KAUNAS_ST_MSW_BP"/>
    <x v="0"/>
    <x v="5"/>
    <n v="68.000226667422197"/>
    <n v="24820.082733609099"/>
    <n v="89352.297840992804"/>
  </r>
  <r>
    <x v="0"/>
    <x v="0"/>
    <x v="0"/>
    <x v="4"/>
    <x v="8"/>
    <s v="LT_KauU"/>
    <x v="4"/>
    <s v="KAUNAS_ST_MSW_BP"/>
    <x v="0"/>
    <x v="15"/>
    <n v="68.000226667422197"/>
    <n v="24820.082733609099"/>
    <n v="89352.297840992804"/>
  </r>
  <r>
    <x v="0"/>
    <x v="0"/>
    <x v="0"/>
    <x v="4"/>
    <x v="8"/>
    <s v="LT_KauU"/>
    <x v="4"/>
    <s v="KAUNAS_ST_MSW_BP"/>
    <x v="0"/>
    <x v="6"/>
    <n v="68.000226667422197"/>
    <n v="24820.082733609099"/>
    <n v="89352.297840992804"/>
  </r>
  <r>
    <x v="0"/>
    <x v="0"/>
    <x v="0"/>
    <x v="4"/>
    <x v="8"/>
    <s v="LT_KauU"/>
    <x v="4"/>
    <s v="KAUNAS_ST_MSW_BP"/>
    <x v="0"/>
    <x v="7"/>
    <n v="68.000226667422197"/>
    <n v="24820.082733609099"/>
    <n v="89352.297840992804"/>
  </r>
  <r>
    <x v="0"/>
    <x v="0"/>
    <x v="0"/>
    <x v="4"/>
    <x v="8"/>
    <s v="LT_KauU"/>
    <x v="4"/>
    <s v="KAUNAS_ST_MSW_BP"/>
    <x v="0"/>
    <x v="8"/>
    <n v="68.000226667422197"/>
    <n v="24820.082733609099"/>
    <n v="89352.297840992804"/>
  </r>
  <r>
    <x v="0"/>
    <x v="0"/>
    <x v="0"/>
    <x v="4"/>
    <x v="8"/>
    <s v="LT_KauU"/>
    <x v="4"/>
    <s v="KAUNAS_ST_MSW_BP"/>
    <x v="0"/>
    <x v="16"/>
    <n v="68.000226667422197"/>
    <n v="24820.082733609099"/>
    <n v="89352.297840992804"/>
  </r>
  <r>
    <x v="0"/>
    <x v="0"/>
    <x v="0"/>
    <x v="4"/>
    <x v="8"/>
    <s v="LT_KauU"/>
    <x v="4"/>
    <s v="KAUNAS_ST_MSW_BP"/>
    <x v="0"/>
    <x v="17"/>
    <n v="68.000226667422197"/>
    <n v="24820.082733609099"/>
    <n v="89352.297840992804"/>
  </r>
  <r>
    <x v="0"/>
    <x v="0"/>
    <x v="0"/>
    <x v="4"/>
    <x v="8"/>
    <s v="LT_KauU"/>
    <x v="4"/>
    <s v="KAUNAS_ST_MSW_BP"/>
    <x v="0"/>
    <x v="18"/>
    <n v="68.000226667422197"/>
    <n v="24820.082733609099"/>
    <n v="89352.297840992804"/>
  </r>
  <r>
    <x v="0"/>
    <x v="0"/>
    <x v="0"/>
    <x v="4"/>
    <x v="8"/>
    <s v="LT_KauU"/>
    <x v="4"/>
    <s v="KAUNAS_ST_MSW_BP"/>
    <x v="0"/>
    <x v="19"/>
    <n v="68.000226667422197"/>
    <n v="24820.082733609099"/>
    <n v="89352.297840992804"/>
  </r>
  <r>
    <x v="0"/>
    <x v="0"/>
    <x v="0"/>
    <x v="4"/>
    <x v="8"/>
    <s v="LT_KauU"/>
    <x v="4"/>
    <s v="KAUNAS_ST_MSW_BP"/>
    <x v="0"/>
    <x v="20"/>
    <n v="68.000226667422197"/>
    <n v="24820.082733609099"/>
    <n v="89352.297840992804"/>
  </r>
  <r>
    <x v="0"/>
    <x v="0"/>
    <x v="0"/>
    <x v="4"/>
    <x v="8"/>
    <s v="LT_KauU"/>
    <x v="4"/>
    <s v="KAUNAS_ST_MSW_BP"/>
    <x v="0"/>
    <x v="21"/>
    <n v="68.000226667422197"/>
    <n v="24820.082733609099"/>
    <n v="89352.297840992804"/>
  </r>
  <r>
    <x v="0"/>
    <x v="0"/>
    <x v="0"/>
    <x v="4"/>
    <x v="8"/>
    <s v="LT_KauU"/>
    <x v="4"/>
    <s v="KAUNAS_ST_MSW_BP"/>
    <x v="0"/>
    <x v="22"/>
    <n v="68.000226667422197"/>
    <n v="24820.082733609099"/>
    <n v="89352.297840992804"/>
  </r>
  <r>
    <x v="0"/>
    <x v="0"/>
    <x v="0"/>
    <x v="4"/>
    <x v="8"/>
    <s v="LT_Other_DH"/>
    <x v="1"/>
    <s v="LIFOSA_ST_HEAT_BP"/>
    <x v="0"/>
    <x v="9"/>
    <n v="50"/>
    <n v="18250"/>
    <n v="65700"/>
  </r>
  <r>
    <x v="0"/>
    <x v="0"/>
    <x v="0"/>
    <x v="4"/>
    <x v="8"/>
    <s v="LT_Other_DH"/>
    <x v="1"/>
    <s v="LIFOSA_ST_HEAT_BP"/>
    <x v="0"/>
    <x v="10"/>
    <n v="50"/>
    <n v="18250"/>
    <n v="65700"/>
  </r>
  <r>
    <x v="0"/>
    <x v="0"/>
    <x v="0"/>
    <x v="4"/>
    <x v="8"/>
    <s v="LT_Other_DH"/>
    <x v="1"/>
    <s v="LIFOSA_ST_HEAT_BP"/>
    <x v="0"/>
    <x v="11"/>
    <n v="50"/>
    <n v="18250"/>
    <n v="65700"/>
  </r>
  <r>
    <x v="0"/>
    <x v="0"/>
    <x v="0"/>
    <x v="4"/>
    <x v="8"/>
    <s v="LT_Other_DH"/>
    <x v="1"/>
    <s v="LIFOSA_ST_HEAT_BP"/>
    <x v="0"/>
    <x v="12"/>
    <n v="50"/>
    <n v="18250"/>
    <n v="65700"/>
  </r>
  <r>
    <x v="0"/>
    <x v="0"/>
    <x v="0"/>
    <x v="4"/>
    <x v="8"/>
    <s v="LT_Other_DH"/>
    <x v="1"/>
    <s v="LIFOSA_ST_HEAT_BP"/>
    <x v="0"/>
    <x v="13"/>
    <n v="50"/>
    <n v="18250"/>
    <n v="65700"/>
  </r>
  <r>
    <x v="0"/>
    <x v="0"/>
    <x v="0"/>
    <x v="4"/>
    <x v="8"/>
    <s v="LT_Other_DH"/>
    <x v="1"/>
    <s v="LIFOSA_ST_HEAT_BP"/>
    <x v="0"/>
    <x v="0"/>
    <n v="50"/>
    <n v="18250"/>
    <n v="65700"/>
  </r>
  <r>
    <x v="0"/>
    <x v="0"/>
    <x v="0"/>
    <x v="4"/>
    <x v="8"/>
    <s v="LT_Other_DH"/>
    <x v="1"/>
    <s v="LIFOSA_ST_HEAT_BP"/>
    <x v="0"/>
    <x v="14"/>
    <n v="50"/>
    <n v="18250"/>
    <n v="65700"/>
  </r>
  <r>
    <x v="0"/>
    <x v="0"/>
    <x v="0"/>
    <x v="4"/>
    <x v="8"/>
    <s v="LT_Other_DH"/>
    <x v="1"/>
    <s v="LIFOSA_ST_HEAT_BP"/>
    <x v="0"/>
    <x v="1"/>
    <n v="50"/>
    <n v="18250"/>
    <n v="65700"/>
  </r>
  <r>
    <x v="0"/>
    <x v="0"/>
    <x v="0"/>
    <x v="4"/>
    <x v="8"/>
    <s v="LT_Other_DH"/>
    <x v="1"/>
    <s v="LIFOSA_ST_HEAT_BP"/>
    <x v="0"/>
    <x v="23"/>
    <n v="50"/>
    <n v="18250"/>
    <n v="65700"/>
  </r>
  <r>
    <x v="0"/>
    <x v="0"/>
    <x v="0"/>
    <x v="4"/>
    <x v="8"/>
    <s v="LT_Other_DH"/>
    <x v="1"/>
    <s v="LIFOSA_ST_HEAT_BP"/>
    <x v="0"/>
    <x v="2"/>
    <n v="50"/>
    <n v="18250"/>
    <n v="65700"/>
  </r>
  <r>
    <x v="0"/>
    <x v="0"/>
    <x v="0"/>
    <x v="4"/>
    <x v="8"/>
    <s v="LT_Other_DH"/>
    <x v="1"/>
    <s v="LIFOSA_ST_HEAT_BP"/>
    <x v="0"/>
    <x v="3"/>
    <n v="50"/>
    <n v="18250"/>
    <n v="65700"/>
  </r>
  <r>
    <x v="0"/>
    <x v="0"/>
    <x v="0"/>
    <x v="4"/>
    <x v="8"/>
    <s v="LT_Other_DH"/>
    <x v="1"/>
    <s v="LIFOSA_ST_HEAT_BP"/>
    <x v="0"/>
    <x v="4"/>
    <n v="50"/>
    <n v="18250"/>
    <n v="65700"/>
  </r>
  <r>
    <x v="0"/>
    <x v="0"/>
    <x v="0"/>
    <x v="4"/>
    <x v="8"/>
    <s v="LT_Other_DH"/>
    <x v="1"/>
    <s v="LIFOSA_ST_HEAT_BP"/>
    <x v="0"/>
    <x v="5"/>
    <n v="50"/>
    <n v="18250"/>
    <n v="65700"/>
  </r>
  <r>
    <x v="0"/>
    <x v="0"/>
    <x v="0"/>
    <x v="4"/>
    <x v="8"/>
    <s v="LT_Other_DH"/>
    <x v="1"/>
    <s v="LIFOSA_ST_HEAT_BP"/>
    <x v="0"/>
    <x v="15"/>
    <n v="50"/>
    <n v="18250"/>
    <n v="65700"/>
  </r>
  <r>
    <x v="0"/>
    <x v="0"/>
    <x v="0"/>
    <x v="4"/>
    <x v="8"/>
    <s v="LT_Other_DH"/>
    <x v="1"/>
    <s v="LIFOSA_ST_HEAT_BP"/>
    <x v="0"/>
    <x v="6"/>
    <n v="50"/>
    <n v="18250"/>
    <n v="65700"/>
  </r>
  <r>
    <x v="0"/>
    <x v="0"/>
    <x v="0"/>
    <x v="4"/>
    <x v="8"/>
    <s v="LT_Other_DH"/>
    <x v="1"/>
    <s v="LIFOSA_ST_HEAT_BP"/>
    <x v="0"/>
    <x v="7"/>
    <n v="50"/>
    <n v="18250"/>
    <n v="65700"/>
  </r>
  <r>
    <x v="0"/>
    <x v="0"/>
    <x v="0"/>
    <x v="4"/>
    <x v="8"/>
    <s v="LT_Other_DH"/>
    <x v="1"/>
    <s v="LIFOSA_ST_HEAT_BP"/>
    <x v="0"/>
    <x v="8"/>
    <n v="50"/>
    <n v="18250"/>
    <n v="65700"/>
  </r>
  <r>
    <x v="0"/>
    <x v="0"/>
    <x v="0"/>
    <x v="4"/>
    <x v="8"/>
    <s v="LT_Other_DH"/>
    <x v="1"/>
    <s v="LIFOSA_ST_HEAT_BP"/>
    <x v="0"/>
    <x v="16"/>
    <n v="50"/>
    <n v="18250"/>
    <n v="65700"/>
  </r>
  <r>
    <x v="0"/>
    <x v="0"/>
    <x v="0"/>
    <x v="4"/>
    <x v="8"/>
    <s v="LT_Other_DH"/>
    <x v="1"/>
    <s v="LIFOSA_ST_HEAT_BP"/>
    <x v="0"/>
    <x v="17"/>
    <n v="50"/>
    <n v="18250"/>
    <n v="65700"/>
  </r>
  <r>
    <x v="0"/>
    <x v="0"/>
    <x v="0"/>
    <x v="4"/>
    <x v="8"/>
    <s v="LT_Other_DH"/>
    <x v="1"/>
    <s v="LIFOSA_ST_HEAT_BP"/>
    <x v="0"/>
    <x v="18"/>
    <n v="50"/>
    <n v="18250"/>
    <n v="65700"/>
  </r>
  <r>
    <x v="0"/>
    <x v="0"/>
    <x v="0"/>
    <x v="4"/>
    <x v="8"/>
    <s v="LT_Other_DH"/>
    <x v="1"/>
    <s v="LIFOSA_ST_HEAT_BP"/>
    <x v="0"/>
    <x v="19"/>
    <n v="50"/>
    <n v="18250"/>
    <n v="65700"/>
  </r>
  <r>
    <x v="0"/>
    <x v="0"/>
    <x v="0"/>
    <x v="4"/>
    <x v="8"/>
    <s v="LT_Other_DH"/>
    <x v="1"/>
    <s v="LIFOSA_ST_HEAT_BP"/>
    <x v="0"/>
    <x v="20"/>
    <n v="50"/>
    <n v="18250"/>
    <n v="65700"/>
  </r>
  <r>
    <x v="0"/>
    <x v="0"/>
    <x v="0"/>
    <x v="4"/>
    <x v="8"/>
    <s v="LT_Other_DH"/>
    <x v="1"/>
    <s v="LIFOSA_ST_HEAT_BP"/>
    <x v="0"/>
    <x v="21"/>
    <n v="50"/>
    <n v="18250"/>
    <n v="65700"/>
  </r>
  <r>
    <x v="0"/>
    <x v="0"/>
    <x v="0"/>
    <x v="4"/>
    <x v="8"/>
    <s v="LT_Other_DH"/>
    <x v="1"/>
    <s v="LIFOSA_ST_HEAT_BP"/>
    <x v="0"/>
    <x v="22"/>
    <n v="50"/>
    <n v="18250"/>
    <n v="65700"/>
  </r>
  <r>
    <x v="0"/>
    <x v="0"/>
    <x v="0"/>
    <x v="4"/>
    <x v="8"/>
    <s v="LT_Other_DH"/>
    <x v="8"/>
    <s v="EBAVERE_ST_WOODWST_BP"/>
    <x v="0"/>
    <x v="9"/>
    <n v="27.3684210526316"/>
    <n v="9989.4736842105303"/>
    <n v="35962.1052631579"/>
  </r>
  <r>
    <x v="0"/>
    <x v="0"/>
    <x v="0"/>
    <x v="4"/>
    <x v="8"/>
    <s v="LT_Other_DH"/>
    <x v="8"/>
    <s v="EBAVERE_ST_WOODWST_BP"/>
    <x v="0"/>
    <x v="10"/>
    <n v="27.3684210526316"/>
    <n v="9989.4736842105303"/>
    <n v="35962.1052631579"/>
  </r>
  <r>
    <x v="0"/>
    <x v="0"/>
    <x v="0"/>
    <x v="4"/>
    <x v="8"/>
    <s v="LT_Other_DH"/>
    <x v="8"/>
    <s v="EBAVERE_ST_WOODWST_BP"/>
    <x v="0"/>
    <x v="11"/>
    <n v="27.3684210526316"/>
    <n v="9989.4736842105303"/>
    <n v="35962.1052631579"/>
  </r>
  <r>
    <x v="0"/>
    <x v="0"/>
    <x v="0"/>
    <x v="4"/>
    <x v="8"/>
    <s v="LT_Other_DH"/>
    <x v="8"/>
    <s v="EBAVERE_ST_WOODWST_BP"/>
    <x v="0"/>
    <x v="12"/>
    <n v="27.3684210526316"/>
    <n v="9989.4736842105303"/>
    <n v="35962.1052631579"/>
  </r>
  <r>
    <x v="0"/>
    <x v="0"/>
    <x v="0"/>
    <x v="4"/>
    <x v="8"/>
    <s v="LT_Other_DH"/>
    <x v="8"/>
    <s v="EBAVERE_ST_WOODWST_BP"/>
    <x v="0"/>
    <x v="13"/>
    <n v="27.3684210526316"/>
    <n v="9989.4736842105303"/>
    <n v="35962.1052631579"/>
  </r>
  <r>
    <x v="0"/>
    <x v="0"/>
    <x v="0"/>
    <x v="4"/>
    <x v="8"/>
    <s v="LT_Other_DH"/>
    <x v="8"/>
    <s v="EBAVERE_ST_WOODWST_BP"/>
    <x v="0"/>
    <x v="0"/>
    <n v="27.3684210526316"/>
    <n v="9989.4736842105303"/>
    <n v="35962.1052631579"/>
  </r>
  <r>
    <x v="0"/>
    <x v="0"/>
    <x v="0"/>
    <x v="4"/>
    <x v="8"/>
    <s v="LT_Other_DH"/>
    <x v="8"/>
    <s v="EBAVERE_ST_WOODWST_BP"/>
    <x v="0"/>
    <x v="14"/>
    <n v="27.3684210526316"/>
    <n v="9989.4736842105303"/>
    <n v="35962.1052631579"/>
  </r>
  <r>
    <x v="0"/>
    <x v="0"/>
    <x v="0"/>
    <x v="4"/>
    <x v="8"/>
    <s v="LT_Other_DH"/>
    <x v="8"/>
    <s v="EBAVERE_ST_WOODWST_BP"/>
    <x v="0"/>
    <x v="1"/>
    <n v="27.3684210526316"/>
    <n v="9989.4736842105303"/>
    <n v="35962.1052631579"/>
  </r>
  <r>
    <x v="0"/>
    <x v="0"/>
    <x v="0"/>
    <x v="4"/>
    <x v="8"/>
    <s v="LT_Other_DH"/>
    <x v="8"/>
    <s v="EBAVERE_ST_WOODWST_BP"/>
    <x v="0"/>
    <x v="23"/>
    <n v="27.3684210526316"/>
    <n v="9989.4736842105303"/>
    <n v="35962.1052631579"/>
  </r>
  <r>
    <x v="0"/>
    <x v="0"/>
    <x v="0"/>
    <x v="4"/>
    <x v="8"/>
    <s v="LT_Other_DH"/>
    <x v="8"/>
    <s v="EBAVERE_ST_WOODWST_BP"/>
    <x v="0"/>
    <x v="2"/>
    <n v="27.3684210526316"/>
    <n v="9989.4736842105303"/>
    <n v="35962.1052631579"/>
  </r>
  <r>
    <x v="0"/>
    <x v="0"/>
    <x v="0"/>
    <x v="4"/>
    <x v="8"/>
    <s v="LT_Other_DH"/>
    <x v="8"/>
    <s v="EBAVERE_ST_WOODWST_BP"/>
    <x v="0"/>
    <x v="3"/>
    <n v="27.3684210526316"/>
    <n v="9989.4736842105303"/>
    <n v="35962.1052631579"/>
  </r>
  <r>
    <x v="0"/>
    <x v="0"/>
    <x v="0"/>
    <x v="4"/>
    <x v="8"/>
    <s v="LT_Other_DH"/>
    <x v="8"/>
    <s v="EBAVERE_ST_WOODWST_BP"/>
    <x v="0"/>
    <x v="4"/>
    <n v="27.3684210526316"/>
    <n v="9989.4736842105303"/>
    <n v="35962.1052631579"/>
  </r>
  <r>
    <x v="0"/>
    <x v="0"/>
    <x v="0"/>
    <x v="4"/>
    <x v="8"/>
    <s v="LT_Other_DH"/>
    <x v="8"/>
    <s v="EBAVERE_ST_WOODWST_BP"/>
    <x v="0"/>
    <x v="5"/>
    <n v="27.3684210526316"/>
    <n v="9989.4736842105303"/>
    <n v="35962.1052631579"/>
  </r>
  <r>
    <x v="0"/>
    <x v="0"/>
    <x v="0"/>
    <x v="4"/>
    <x v="8"/>
    <s v="LT_Other_DH"/>
    <x v="8"/>
    <s v="EBAVERE_ST_WOODWST_BP"/>
    <x v="0"/>
    <x v="15"/>
    <n v="27.3684210526316"/>
    <n v="9989.4736842105303"/>
    <n v="35962.1052631579"/>
  </r>
  <r>
    <x v="0"/>
    <x v="0"/>
    <x v="0"/>
    <x v="4"/>
    <x v="8"/>
    <s v="LT_Other_DH"/>
    <x v="8"/>
    <s v="EBAVERE_ST_WOODWST_BP"/>
    <x v="0"/>
    <x v="6"/>
    <n v="27.3684210526316"/>
    <n v="9989.4736842105303"/>
    <n v="35962.1052631579"/>
  </r>
  <r>
    <x v="0"/>
    <x v="0"/>
    <x v="0"/>
    <x v="4"/>
    <x v="8"/>
    <s v="LT_Other_DH"/>
    <x v="8"/>
    <s v="EBAVERE_ST_WOODWST_BP"/>
    <x v="0"/>
    <x v="7"/>
    <n v="27.3684210526316"/>
    <n v="9989.4736842105303"/>
    <n v="35962.1052631579"/>
  </r>
  <r>
    <x v="0"/>
    <x v="0"/>
    <x v="0"/>
    <x v="4"/>
    <x v="8"/>
    <s v="LT_Other_DH"/>
    <x v="8"/>
    <s v="EBAVERE_ST_WOODWST_BP"/>
    <x v="0"/>
    <x v="8"/>
    <n v="27.3684210526316"/>
    <n v="9989.4736842105303"/>
    <n v="35962.1052631579"/>
  </r>
  <r>
    <x v="0"/>
    <x v="0"/>
    <x v="0"/>
    <x v="4"/>
    <x v="8"/>
    <s v="LT_Other_DH"/>
    <x v="8"/>
    <s v="EBAVERE_ST_WOODWST_BP"/>
    <x v="0"/>
    <x v="16"/>
    <n v="27.3684210526316"/>
    <n v="9989.4736842105303"/>
    <n v="35962.1052631579"/>
  </r>
  <r>
    <x v="0"/>
    <x v="0"/>
    <x v="0"/>
    <x v="4"/>
    <x v="8"/>
    <s v="LT_Other_DH"/>
    <x v="8"/>
    <s v="EBAVERE_ST_WOODWST_BP"/>
    <x v="0"/>
    <x v="17"/>
    <n v="27.3684210526316"/>
    <n v="9989.4736842105303"/>
    <n v="35962.1052631579"/>
  </r>
  <r>
    <x v="0"/>
    <x v="0"/>
    <x v="0"/>
    <x v="4"/>
    <x v="8"/>
    <s v="LT_Other_DH"/>
    <x v="8"/>
    <s v="EBAVERE_ST_WOODWST_BP"/>
    <x v="0"/>
    <x v="18"/>
    <n v="27.3684210526316"/>
    <n v="9989.4736842105303"/>
    <n v="35962.1052631579"/>
  </r>
  <r>
    <x v="0"/>
    <x v="0"/>
    <x v="0"/>
    <x v="4"/>
    <x v="8"/>
    <s v="LT_Other_DH"/>
    <x v="8"/>
    <s v="EBAVERE_ST_WOODWST_BP"/>
    <x v="0"/>
    <x v="19"/>
    <n v="27.3684210526316"/>
    <n v="9989.4736842105303"/>
    <n v="35962.1052631579"/>
  </r>
  <r>
    <x v="0"/>
    <x v="0"/>
    <x v="0"/>
    <x v="4"/>
    <x v="8"/>
    <s v="LT_Other_DH"/>
    <x v="8"/>
    <s v="EBAVERE_ST_WOODWST_BP"/>
    <x v="0"/>
    <x v="20"/>
    <n v="27.3684210526316"/>
    <n v="9989.4736842105303"/>
    <n v="35962.1052631579"/>
  </r>
  <r>
    <x v="0"/>
    <x v="0"/>
    <x v="0"/>
    <x v="4"/>
    <x v="8"/>
    <s v="LT_Other_DH"/>
    <x v="8"/>
    <s v="EBAVERE_ST_WOODWST_BP"/>
    <x v="0"/>
    <x v="21"/>
    <n v="27.3684210526316"/>
    <n v="9989.4736842105303"/>
    <n v="35962.1052631579"/>
  </r>
  <r>
    <x v="0"/>
    <x v="0"/>
    <x v="0"/>
    <x v="4"/>
    <x v="8"/>
    <s v="LT_Other_DH"/>
    <x v="8"/>
    <s v="EBAVERE_ST_WOODWST_BP"/>
    <x v="0"/>
    <x v="22"/>
    <n v="27.3684210526316"/>
    <n v="9989.4736842105303"/>
    <n v="35962.1052631579"/>
  </r>
  <r>
    <x v="0"/>
    <x v="0"/>
    <x v="0"/>
    <x v="4"/>
    <x v="8"/>
    <s v="LT_VilU"/>
    <x v="4"/>
    <s v="VILNIUS_ST_MSW_BP"/>
    <x v="0"/>
    <x v="9"/>
    <n v="226.99795208369301"/>
    <n v="82854.252510548002"/>
    <n v="298275.309037973"/>
  </r>
  <r>
    <x v="0"/>
    <x v="0"/>
    <x v="0"/>
    <x v="4"/>
    <x v="8"/>
    <s v="LT_VilU"/>
    <x v="4"/>
    <s v="VILNIUS_ST_MSW_BP"/>
    <x v="0"/>
    <x v="10"/>
    <n v="226.99795208369301"/>
    <n v="82854.252510548002"/>
    <n v="298275.309037973"/>
  </r>
  <r>
    <x v="0"/>
    <x v="0"/>
    <x v="0"/>
    <x v="4"/>
    <x v="8"/>
    <s v="LT_VilU"/>
    <x v="4"/>
    <s v="VILNIUS_ST_MSW_BP"/>
    <x v="0"/>
    <x v="11"/>
    <n v="226.99795208369301"/>
    <n v="82854.252510548002"/>
    <n v="298275.309037973"/>
  </r>
  <r>
    <x v="0"/>
    <x v="0"/>
    <x v="0"/>
    <x v="4"/>
    <x v="8"/>
    <s v="LT_VilU"/>
    <x v="4"/>
    <s v="VILNIUS_ST_MSW_BP"/>
    <x v="0"/>
    <x v="12"/>
    <n v="226.99795208369301"/>
    <n v="82854.252510548002"/>
    <n v="298275.309037973"/>
  </r>
  <r>
    <x v="0"/>
    <x v="0"/>
    <x v="0"/>
    <x v="4"/>
    <x v="8"/>
    <s v="LT_VilU"/>
    <x v="4"/>
    <s v="VILNIUS_ST_MSW_BP"/>
    <x v="0"/>
    <x v="13"/>
    <n v="226.99795208369301"/>
    <n v="82854.252510548002"/>
    <n v="298275.309037973"/>
  </r>
  <r>
    <x v="0"/>
    <x v="0"/>
    <x v="0"/>
    <x v="4"/>
    <x v="8"/>
    <s v="LT_VilU"/>
    <x v="4"/>
    <s v="VILNIUS_ST_MSW_BP"/>
    <x v="0"/>
    <x v="0"/>
    <n v="226.99795208369301"/>
    <n v="82854.252510548002"/>
    <n v="298275.309037973"/>
  </r>
  <r>
    <x v="0"/>
    <x v="0"/>
    <x v="0"/>
    <x v="4"/>
    <x v="8"/>
    <s v="LT_VilU"/>
    <x v="4"/>
    <s v="VILNIUS_ST_MSW_BP"/>
    <x v="0"/>
    <x v="14"/>
    <n v="226.99795208369301"/>
    <n v="82854.252510548002"/>
    <n v="298275.309037973"/>
  </r>
  <r>
    <x v="0"/>
    <x v="0"/>
    <x v="0"/>
    <x v="4"/>
    <x v="8"/>
    <s v="LT_VilU"/>
    <x v="4"/>
    <s v="VILNIUS_ST_MSW_BP"/>
    <x v="0"/>
    <x v="1"/>
    <n v="226.99795208369301"/>
    <n v="82854.252510548002"/>
    <n v="298275.309037973"/>
  </r>
  <r>
    <x v="0"/>
    <x v="0"/>
    <x v="0"/>
    <x v="4"/>
    <x v="8"/>
    <s v="LT_VilU"/>
    <x v="4"/>
    <s v="VILNIUS_ST_MSW_BP"/>
    <x v="0"/>
    <x v="23"/>
    <n v="226.99795208369301"/>
    <n v="82854.252510548002"/>
    <n v="298275.309037973"/>
  </r>
  <r>
    <x v="0"/>
    <x v="0"/>
    <x v="0"/>
    <x v="4"/>
    <x v="8"/>
    <s v="LT_VilU"/>
    <x v="4"/>
    <s v="VILNIUS_ST_MSW_BP"/>
    <x v="0"/>
    <x v="2"/>
    <n v="226.99795208369301"/>
    <n v="82854.252510548002"/>
    <n v="298275.309037973"/>
  </r>
  <r>
    <x v="0"/>
    <x v="0"/>
    <x v="0"/>
    <x v="4"/>
    <x v="8"/>
    <s v="LT_VilU"/>
    <x v="4"/>
    <s v="VILNIUS_ST_MSW_BP"/>
    <x v="0"/>
    <x v="3"/>
    <n v="226.99795208369301"/>
    <n v="82854.252510548002"/>
    <n v="298275.309037973"/>
  </r>
  <r>
    <x v="0"/>
    <x v="0"/>
    <x v="0"/>
    <x v="4"/>
    <x v="8"/>
    <s v="LT_VilU"/>
    <x v="4"/>
    <s v="VILNIUS_ST_MSW_BP"/>
    <x v="0"/>
    <x v="4"/>
    <n v="226.99795208369301"/>
    <n v="82854.252510548002"/>
    <n v="298275.309037973"/>
  </r>
  <r>
    <x v="0"/>
    <x v="0"/>
    <x v="0"/>
    <x v="4"/>
    <x v="8"/>
    <s v="LT_VilU"/>
    <x v="4"/>
    <s v="VILNIUS_ST_MSW_BP"/>
    <x v="0"/>
    <x v="5"/>
    <n v="226.99795208369301"/>
    <n v="82854.252510548002"/>
    <n v="298275.309037973"/>
  </r>
  <r>
    <x v="0"/>
    <x v="0"/>
    <x v="0"/>
    <x v="4"/>
    <x v="8"/>
    <s v="LT_VilU"/>
    <x v="4"/>
    <s v="VILNIUS_ST_MSW_BP"/>
    <x v="0"/>
    <x v="15"/>
    <n v="226.99795208369301"/>
    <n v="82854.252510548002"/>
    <n v="298275.309037973"/>
  </r>
  <r>
    <x v="0"/>
    <x v="0"/>
    <x v="0"/>
    <x v="4"/>
    <x v="8"/>
    <s v="LT_VilU"/>
    <x v="4"/>
    <s v="VILNIUS_ST_MSW_BP"/>
    <x v="0"/>
    <x v="6"/>
    <n v="226.99795208369301"/>
    <n v="82854.252510548002"/>
    <n v="298275.309037973"/>
  </r>
  <r>
    <x v="0"/>
    <x v="0"/>
    <x v="0"/>
    <x v="4"/>
    <x v="8"/>
    <s v="LT_VilU"/>
    <x v="4"/>
    <s v="VILNIUS_ST_MSW_BP"/>
    <x v="0"/>
    <x v="7"/>
    <n v="226.99795208369301"/>
    <n v="82854.252510548002"/>
    <n v="298275.309037973"/>
  </r>
  <r>
    <x v="0"/>
    <x v="0"/>
    <x v="0"/>
    <x v="4"/>
    <x v="8"/>
    <s v="LT_VilU"/>
    <x v="4"/>
    <s v="VILNIUS_ST_MSW_BP"/>
    <x v="0"/>
    <x v="8"/>
    <n v="226.99795208369301"/>
    <n v="82854.252510548002"/>
    <n v="298275.309037973"/>
  </r>
  <r>
    <x v="0"/>
    <x v="0"/>
    <x v="0"/>
    <x v="4"/>
    <x v="8"/>
    <s v="LT_VilU"/>
    <x v="4"/>
    <s v="VILNIUS_ST_MSW_BP"/>
    <x v="0"/>
    <x v="16"/>
    <n v="226.99795208369301"/>
    <n v="82854.252510548002"/>
    <n v="298275.309037973"/>
  </r>
  <r>
    <x v="0"/>
    <x v="0"/>
    <x v="0"/>
    <x v="4"/>
    <x v="8"/>
    <s v="LT_VilU"/>
    <x v="4"/>
    <s v="VILNIUS_ST_MSW_BP"/>
    <x v="0"/>
    <x v="17"/>
    <n v="226.99795208369301"/>
    <n v="82854.252510548002"/>
    <n v="298275.309037973"/>
  </r>
  <r>
    <x v="0"/>
    <x v="0"/>
    <x v="0"/>
    <x v="4"/>
    <x v="8"/>
    <s v="LT_VilU"/>
    <x v="4"/>
    <s v="VILNIUS_ST_MSW_BP"/>
    <x v="0"/>
    <x v="18"/>
    <n v="226.99795208369301"/>
    <n v="82854.252510548002"/>
    <n v="298275.309037973"/>
  </r>
  <r>
    <x v="0"/>
    <x v="0"/>
    <x v="0"/>
    <x v="4"/>
    <x v="8"/>
    <s v="LT_VilU"/>
    <x v="4"/>
    <s v="VILNIUS_ST_MSW_BP"/>
    <x v="0"/>
    <x v="19"/>
    <n v="226.99795208369301"/>
    <n v="82854.252510548002"/>
    <n v="298275.309037973"/>
  </r>
  <r>
    <x v="0"/>
    <x v="0"/>
    <x v="0"/>
    <x v="4"/>
    <x v="8"/>
    <s v="LT_VilU"/>
    <x v="4"/>
    <s v="VILNIUS_ST_MSW_BP"/>
    <x v="0"/>
    <x v="20"/>
    <n v="226.99795208369301"/>
    <n v="82854.252510548002"/>
    <n v="298275.309037973"/>
  </r>
  <r>
    <x v="0"/>
    <x v="0"/>
    <x v="0"/>
    <x v="4"/>
    <x v="8"/>
    <s v="LT_VilU"/>
    <x v="4"/>
    <s v="VILNIUS_ST_MSW_BP"/>
    <x v="0"/>
    <x v="21"/>
    <n v="226.99795208369301"/>
    <n v="82854.252510548002"/>
    <n v="298275.309037973"/>
  </r>
  <r>
    <x v="0"/>
    <x v="0"/>
    <x v="0"/>
    <x v="4"/>
    <x v="8"/>
    <s v="LT_VilU"/>
    <x v="4"/>
    <s v="VILNIUS_ST_MSW_BP"/>
    <x v="0"/>
    <x v="22"/>
    <n v="226.99795208369301"/>
    <n v="82854.252510548002"/>
    <n v="298275.309037973"/>
  </r>
  <r>
    <x v="0"/>
    <x v="0"/>
    <x v="0"/>
    <x v="5"/>
    <x v="9"/>
    <s v="NO1_A1"/>
    <x v="1"/>
    <s v="GNR_HS_HEAT_WTR-TANK_LS_E-95_Y-2010"/>
    <x v="0"/>
    <x v="14"/>
    <n v="22.492259439400801"/>
    <n v="8209.6746953812799"/>
    <n v="29554.8289033726"/>
  </r>
  <r>
    <x v="0"/>
    <x v="0"/>
    <x v="0"/>
    <x v="5"/>
    <x v="9"/>
    <s v="NO1_A1"/>
    <x v="1"/>
    <s v="GNR_HS_HEAT_WTR-TANK_LS_E-95_Y-2010"/>
    <x v="0"/>
    <x v="1"/>
    <n v="38.225101111111101"/>
    <n v="13952.1619055555"/>
    <n v="50227.782859999999"/>
  </r>
  <r>
    <x v="0"/>
    <x v="0"/>
    <x v="0"/>
    <x v="5"/>
    <x v="9"/>
    <s v="NO1_A1"/>
    <x v="1"/>
    <s v="GNR_HS_HEAT_WTR-TANK_LS_E-95_Y-2010"/>
    <x v="0"/>
    <x v="23"/>
    <n v="37.7397320677075"/>
    <n v="13775.002204713201"/>
    <n v="49590.007936967697"/>
  </r>
  <r>
    <x v="0"/>
    <x v="0"/>
    <x v="0"/>
    <x v="5"/>
    <x v="9"/>
    <s v="NO1_A1"/>
    <x v="1"/>
    <s v="GNR_HS_HEAT_WTR-TANK_LS_E-95_Y-2010"/>
    <x v="0"/>
    <x v="2"/>
    <n v="32.671701489633797"/>
    <n v="11925.1710437163"/>
    <n v="42930.6157573788"/>
  </r>
  <r>
    <x v="0"/>
    <x v="0"/>
    <x v="0"/>
    <x v="5"/>
    <x v="9"/>
    <s v="NO1_A1"/>
    <x v="1"/>
    <s v="GNR_HS_HEAT_WTR-TANK_LS_E-95_Y-2010"/>
    <x v="0"/>
    <x v="3"/>
    <n v="23.850626090368198"/>
    <n v="8705.4785229844001"/>
    <n v="31339.722682743799"/>
  </r>
  <r>
    <x v="0"/>
    <x v="0"/>
    <x v="0"/>
    <x v="5"/>
    <x v="9"/>
    <s v="NO1_A1"/>
    <x v="1"/>
    <s v="GNR_HS_HEAT_WTR-TANK_LS_E-95_Y-2010"/>
    <x v="0"/>
    <x v="4"/>
    <n v="16.254085581025102"/>
    <n v="5932.7412370741404"/>
    <n v="21357.868453466901"/>
  </r>
  <r>
    <x v="0"/>
    <x v="0"/>
    <x v="0"/>
    <x v="5"/>
    <x v="9"/>
    <s v="NO1_A1"/>
    <x v="1"/>
    <s v="GNR_HS_HEAT_WTR-TANK_LS_E-95_Y-2010"/>
    <x v="0"/>
    <x v="5"/>
    <n v="10.151360247185201"/>
    <n v="3705.2464902226102"/>
    <n v="13338.8873648014"/>
  </r>
  <r>
    <x v="0"/>
    <x v="0"/>
    <x v="0"/>
    <x v="5"/>
    <x v="9"/>
    <s v="NO1_A1"/>
    <x v="1"/>
    <s v="GNR_HS_HEAT_WTR-TANK_LS_E-95_Y-2010"/>
    <x v="0"/>
    <x v="15"/>
    <n v="4.1763617479434298"/>
    <n v="1524.3720379993499"/>
    <n v="5487.7393367976701"/>
  </r>
  <r>
    <x v="0"/>
    <x v="0"/>
    <x v="0"/>
    <x v="5"/>
    <x v="9"/>
    <s v="NO1_A1"/>
    <x v="1"/>
    <s v="GNR_HS_HEAT_WTR-TANK_LS_E-95_Y-2010"/>
    <x v="0"/>
    <x v="6"/>
    <n v="0.49270639609936501"/>
    <n v="179.83783457626799"/>
    <n v="647.41620447456603"/>
  </r>
  <r>
    <x v="0"/>
    <x v="0"/>
    <x v="0"/>
    <x v="5"/>
    <x v="9"/>
    <s v="NO1_A1"/>
    <x v="14"/>
    <s v="GHOB_LNG"/>
    <x v="0"/>
    <x v="9"/>
    <n v="23"/>
    <n v="8395"/>
    <n v="30222"/>
  </r>
  <r>
    <x v="0"/>
    <x v="0"/>
    <x v="0"/>
    <x v="5"/>
    <x v="9"/>
    <s v="NO1_A1"/>
    <x v="14"/>
    <s v="GHOB_LNG"/>
    <x v="0"/>
    <x v="10"/>
    <n v="23"/>
    <n v="8395"/>
    <n v="30222"/>
  </r>
  <r>
    <x v="0"/>
    <x v="0"/>
    <x v="0"/>
    <x v="5"/>
    <x v="9"/>
    <s v="NO1_A1"/>
    <x v="14"/>
    <s v="GHOB_LNG"/>
    <x v="0"/>
    <x v="11"/>
    <n v="23"/>
    <n v="8395"/>
    <n v="30222"/>
  </r>
  <r>
    <x v="0"/>
    <x v="0"/>
    <x v="0"/>
    <x v="5"/>
    <x v="9"/>
    <s v="NO1_A1"/>
    <x v="14"/>
    <s v="GHOB_LNG"/>
    <x v="0"/>
    <x v="12"/>
    <n v="23"/>
    <n v="8395"/>
    <n v="30222"/>
  </r>
  <r>
    <x v="0"/>
    <x v="0"/>
    <x v="0"/>
    <x v="5"/>
    <x v="9"/>
    <s v="NO1_A1"/>
    <x v="14"/>
    <s v="GHOB_LNG"/>
    <x v="0"/>
    <x v="13"/>
    <n v="23"/>
    <n v="8395"/>
    <n v="30222"/>
  </r>
  <r>
    <x v="0"/>
    <x v="0"/>
    <x v="0"/>
    <x v="5"/>
    <x v="9"/>
    <s v="NO1_A1"/>
    <x v="14"/>
    <s v="GHOB_LNG"/>
    <x v="0"/>
    <x v="0"/>
    <n v="23"/>
    <n v="8395"/>
    <n v="30222"/>
  </r>
  <r>
    <x v="0"/>
    <x v="0"/>
    <x v="0"/>
    <x v="5"/>
    <x v="9"/>
    <s v="NO1_A1"/>
    <x v="14"/>
    <s v="GHOB_LNG"/>
    <x v="0"/>
    <x v="14"/>
    <n v="23"/>
    <n v="8395"/>
    <n v="30222"/>
  </r>
  <r>
    <x v="0"/>
    <x v="0"/>
    <x v="0"/>
    <x v="5"/>
    <x v="9"/>
    <s v="NO1_A1"/>
    <x v="14"/>
    <s v="GHOB_LNG"/>
    <x v="0"/>
    <x v="1"/>
    <n v="23"/>
    <n v="8395"/>
    <n v="30222"/>
  </r>
  <r>
    <x v="0"/>
    <x v="0"/>
    <x v="0"/>
    <x v="5"/>
    <x v="9"/>
    <s v="NO1_A1"/>
    <x v="14"/>
    <s v="GHOB_LNG"/>
    <x v="0"/>
    <x v="23"/>
    <n v="23"/>
    <n v="8395"/>
    <n v="30222"/>
  </r>
  <r>
    <x v="0"/>
    <x v="0"/>
    <x v="0"/>
    <x v="5"/>
    <x v="9"/>
    <s v="NO1_A1"/>
    <x v="14"/>
    <s v="GHOB_LNG"/>
    <x v="0"/>
    <x v="2"/>
    <n v="23"/>
    <n v="8395"/>
    <n v="30222"/>
  </r>
  <r>
    <x v="0"/>
    <x v="0"/>
    <x v="0"/>
    <x v="5"/>
    <x v="9"/>
    <s v="NO1_A1"/>
    <x v="14"/>
    <s v="GHOB_LNG"/>
    <x v="0"/>
    <x v="3"/>
    <n v="23"/>
    <n v="8395"/>
    <n v="30222"/>
  </r>
  <r>
    <x v="0"/>
    <x v="0"/>
    <x v="0"/>
    <x v="5"/>
    <x v="9"/>
    <s v="NO1_A1"/>
    <x v="14"/>
    <s v="GHOB_LNG"/>
    <x v="0"/>
    <x v="4"/>
    <n v="23"/>
    <n v="8395"/>
    <n v="30222"/>
  </r>
  <r>
    <x v="0"/>
    <x v="0"/>
    <x v="0"/>
    <x v="5"/>
    <x v="9"/>
    <s v="NO1_A1"/>
    <x v="14"/>
    <s v="GHOB_LNG"/>
    <x v="0"/>
    <x v="5"/>
    <n v="23"/>
    <n v="8395"/>
    <n v="30222"/>
  </r>
  <r>
    <x v="0"/>
    <x v="0"/>
    <x v="0"/>
    <x v="5"/>
    <x v="9"/>
    <s v="NO1_A1"/>
    <x v="14"/>
    <s v="GHOB_LNG"/>
    <x v="0"/>
    <x v="15"/>
    <n v="23"/>
    <n v="8395"/>
    <n v="30222"/>
  </r>
  <r>
    <x v="0"/>
    <x v="0"/>
    <x v="0"/>
    <x v="5"/>
    <x v="9"/>
    <s v="NO1_A1"/>
    <x v="14"/>
    <s v="GHOB_LNG"/>
    <x v="0"/>
    <x v="6"/>
    <n v="23"/>
    <n v="8395"/>
    <n v="30222"/>
  </r>
  <r>
    <x v="0"/>
    <x v="0"/>
    <x v="0"/>
    <x v="5"/>
    <x v="9"/>
    <s v="NO1_A1"/>
    <x v="14"/>
    <s v="GHOB_LNG"/>
    <x v="0"/>
    <x v="7"/>
    <n v="23"/>
    <n v="8395"/>
    <n v="30222"/>
  </r>
  <r>
    <x v="0"/>
    <x v="0"/>
    <x v="0"/>
    <x v="5"/>
    <x v="9"/>
    <s v="NO1_A1"/>
    <x v="14"/>
    <s v="GHOB_LNG"/>
    <x v="0"/>
    <x v="8"/>
    <n v="23"/>
    <n v="8395"/>
    <n v="30222"/>
  </r>
  <r>
    <x v="0"/>
    <x v="0"/>
    <x v="0"/>
    <x v="5"/>
    <x v="9"/>
    <s v="NO1_A1"/>
    <x v="14"/>
    <s v="GHOB_LNG"/>
    <x v="0"/>
    <x v="16"/>
    <n v="23"/>
    <n v="8395"/>
    <n v="30222"/>
  </r>
  <r>
    <x v="0"/>
    <x v="0"/>
    <x v="0"/>
    <x v="5"/>
    <x v="9"/>
    <s v="NO1_A1"/>
    <x v="14"/>
    <s v="GHOB_LNG"/>
    <x v="0"/>
    <x v="17"/>
    <n v="23"/>
    <n v="8395"/>
    <n v="30222"/>
  </r>
  <r>
    <x v="0"/>
    <x v="0"/>
    <x v="0"/>
    <x v="5"/>
    <x v="9"/>
    <s v="NO1_A1"/>
    <x v="14"/>
    <s v="GHOB_LNG"/>
    <x v="0"/>
    <x v="18"/>
    <n v="23"/>
    <n v="8395"/>
    <n v="30222"/>
  </r>
  <r>
    <x v="0"/>
    <x v="0"/>
    <x v="0"/>
    <x v="5"/>
    <x v="9"/>
    <s v="NO1_A1"/>
    <x v="14"/>
    <s v="GHOB_LNG"/>
    <x v="0"/>
    <x v="19"/>
    <n v="23"/>
    <n v="8395"/>
    <n v="30222"/>
  </r>
  <r>
    <x v="0"/>
    <x v="0"/>
    <x v="0"/>
    <x v="5"/>
    <x v="9"/>
    <s v="NO1_A1"/>
    <x v="14"/>
    <s v="GHOB_LNG"/>
    <x v="0"/>
    <x v="20"/>
    <n v="23"/>
    <n v="8395"/>
    <n v="30222"/>
  </r>
  <r>
    <x v="0"/>
    <x v="0"/>
    <x v="0"/>
    <x v="5"/>
    <x v="9"/>
    <s v="NO1_A1"/>
    <x v="14"/>
    <s v="GHOB_LNG"/>
    <x v="0"/>
    <x v="21"/>
    <n v="23"/>
    <n v="8395"/>
    <n v="30222"/>
  </r>
  <r>
    <x v="0"/>
    <x v="0"/>
    <x v="0"/>
    <x v="5"/>
    <x v="9"/>
    <s v="NO1_A1"/>
    <x v="14"/>
    <s v="GHOB_LNG"/>
    <x v="0"/>
    <x v="22"/>
    <n v="23"/>
    <n v="8395"/>
    <n v="30222"/>
  </r>
  <r>
    <x v="0"/>
    <x v="0"/>
    <x v="0"/>
    <x v="5"/>
    <x v="9"/>
    <s v="NO1_A1"/>
    <x v="14"/>
    <s v="GHOB_LPG"/>
    <x v="0"/>
    <x v="9"/>
    <n v="41.6"/>
    <n v="15184"/>
    <n v="54662.400000000001"/>
  </r>
  <r>
    <x v="0"/>
    <x v="0"/>
    <x v="0"/>
    <x v="5"/>
    <x v="9"/>
    <s v="NO1_A1"/>
    <x v="14"/>
    <s v="GHOB_LPG"/>
    <x v="0"/>
    <x v="10"/>
    <n v="41.6"/>
    <n v="15184"/>
    <n v="54662.400000000001"/>
  </r>
  <r>
    <x v="0"/>
    <x v="0"/>
    <x v="0"/>
    <x v="5"/>
    <x v="9"/>
    <s v="NO1_A1"/>
    <x v="14"/>
    <s v="GHOB_LPG"/>
    <x v="0"/>
    <x v="11"/>
    <n v="41.6"/>
    <n v="15184"/>
    <n v="54662.400000000001"/>
  </r>
  <r>
    <x v="0"/>
    <x v="0"/>
    <x v="0"/>
    <x v="5"/>
    <x v="9"/>
    <s v="NO1_A1"/>
    <x v="14"/>
    <s v="GHOB_LPG"/>
    <x v="0"/>
    <x v="12"/>
    <n v="41.6"/>
    <n v="15184"/>
    <n v="54662.400000000001"/>
  </r>
  <r>
    <x v="0"/>
    <x v="0"/>
    <x v="0"/>
    <x v="5"/>
    <x v="9"/>
    <s v="NO1_A1"/>
    <x v="14"/>
    <s v="GHOB_LPG"/>
    <x v="0"/>
    <x v="13"/>
    <n v="41.6"/>
    <n v="15184"/>
    <n v="54662.400000000001"/>
  </r>
  <r>
    <x v="0"/>
    <x v="0"/>
    <x v="0"/>
    <x v="5"/>
    <x v="9"/>
    <s v="NO1_A1"/>
    <x v="14"/>
    <s v="GHOB_LPG"/>
    <x v="0"/>
    <x v="0"/>
    <n v="41.6"/>
    <n v="15184"/>
    <n v="54662.400000000001"/>
  </r>
  <r>
    <x v="0"/>
    <x v="0"/>
    <x v="0"/>
    <x v="5"/>
    <x v="9"/>
    <s v="NO1_A1"/>
    <x v="14"/>
    <s v="GHOB_LPG"/>
    <x v="0"/>
    <x v="14"/>
    <n v="41.6"/>
    <n v="15184"/>
    <n v="54662.400000000001"/>
  </r>
  <r>
    <x v="0"/>
    <x v="0"/>
    <x v="0"/>
    <x v="5"/>
    <x v="9"/>
    <s v="NO1_A1"/>
    <x v="14"/>
    <s v="GHOB_LPG"/>
    <x v="0"/>
    <x v="1"/>
    <n v="41.6"/>
    <n v="15184"/>
    <n v="54662.400000000001"/>
  </r>
  <r>
    <x v="0"/>
    <x v="0"/>
    <x v="0"/>
    <x v="5"/>
    <x v="9"/>
    <s v="NO1_A1"/>
    <x v="14"/>
    <s v="GHOB_LPG"/>
    <x v="0"/>
    <x v="23"/>
    <n v="41.6"/>
    <n v="15184"/>
    <n v="54662.400000000001"/>
  </r>
  <r>
    <x v="0"/>
    <x v="0"/>
    <x v="0"/>
    <x v="5"/>
    <x v="9"/>
    <s v="NO1_A1"/>
    <x v="14"/>
    <s v="GHOB_LPG"/>
    <x v="0"/>
    <x v="2"/>
    <n v="41.6"/>
    <n v="15184"/>
    <n v="54662.400000000001"/>
  </r>
  <r>
    <x v="0"/>
    <x v="0"/>
    <x v="0"/>
    <x v="5"/>
    <x v="9"/>
    <s v="NO1_A1"/>
    <x v="14"/>
    <s v="GHOB_LPG"/>
    <x v="0"/>
    <x v="3"/>
    <n v="41.6"/>
    <n v="15184"/>
    <n v="54662.400000000001"/>
  </r>
  <r>
    <x v="0"/>
    <x v="0"/>
    <x v="0"/>
    <x v="5"/>
    <x v="9"/>
    <s v="NO1_A1"/>
    <x v="14"/>
    <s v="GHOB_LPG"/>
    <x v="0"/>
    <x v="4"/>
    <n v="41.6"/>
    <n v="15184"/>
    <n v="54662.400000000001"/>
  </r>
  <r>
    <x v="0"/>
    <x v="0"/>
    <x v="0"/>
    <x v="5"/>
    <x v="9"/>
    <s v="NO1_A1"/>
    <x v="14"/>
    <s v="GHOB_LPG"/>
    <x v="0"/>
    <x v="5"/>
    <n v="41.6"/>
    <n v="15184"/>
    <n v="54662.400000000001"/>
  </r>
  <r>
    <x v="0"/>
    <x v="0"/>
    <x v="0"/>
    <x v="5"/>
    <x v="9"/>
    <s v="NO1_A1"/>
    <x v="14"/>
    <s v="GHOB_LPG"/>
    <x v="0"/>
    <x v="15"/>
    <n v="41.6"/>
    <n v="15184"/>
    <n v="54662.400000000001"/>
  </r>
  <r>
    <x v="0"/>
    <x v="0"/>
    <x v="0"/>
    <x v="5"/>
    <x v="9"/>
    <s v="NO1_A1"/>
    <x v="14"/>
    <s v="GHOB_LPG"/>
    <x v="0"/>
    <x v="6"/>
    <n v="41.6"/>
    <n v="15184"/>
    <n v="54662.400000000001"/>
  </r>
  <r>
    <x v="0"/>
    <x v="0"/>
    <x v="0"/>
    <x v="5"/>
    <x v="9"/>
    <s v="NO1_A1"/>
    <x v="14"/>
    <s v="GHOB_LPG"/>
    <x v="0"/>
    <x v="7"/>
    <n v="41.6"/>
    <n v="15184"/>
    <n v="54662.400000000001"/>
  </r>
  <r>
    <x v="0"/>
    <x v="0"/>
    <x v="0"/>
    <x v="5"/>
    <x v="9"/>
    <s v="NO1_A1"/>
    <x v="14"/>
    <s v="GHOB_LPG"/>
    <x v="0"/>
    <x v="8"/>
    <n v="41.6"/>
    <n v="15184"/>
    <n v="54662.400000000001"/>
  </r>
  <r>
    <x v="0"/>
    <x v="0"/>
    <x v="0"/>
    <x v="5"/>
    <x v="9"/>
    <s v="NO1_A1"/>
    <x v="14"/>
    <s v="GHOB_LPG"/>
    <x v="0"/>
    <x v="16"/>
    <n v="41.6"/>
    <n v="15184"/>
    <n v="54662.400000000001"/>
  </r>
  <r>
    <x v="0"/>
    <x v="0"/>
    <x v="0"/>
    <x v="5"/>
    <x v="9"/>
    <s v="NO1_A1"/>
    <x v="14"/>
    <s v="GHOB_LPG"/>
    <x v="0"/>
    <x v="17"/>
    <n v="41.6"/>
    <n v="15184"/>
    <n v="54662.400000000001"/>
  </r>
  <r>
    <x v="0"/>
    <x v="0"/>
    <x v="0"/>
    <x v="5"/>
    <x v="9"/>
    <s v="NO1_A1"/>
    <x v="14"/>
    <s v="GHOB_LPG"/>
    <x v="0"/>
    <x v="18"/>
    <n v="41.6"/>
    <n v="15184"/>
    <n v="54662.400000000001"/>
  </r>
  <r>
    <x v="0"/>
    <x v="0"/>
    <x v="0"/>
    <x v="5"/>
    <x v="9"/>
    <s v="NO1_A1"/>
    <x v="14"/>
    <s v="GHOB_LPG"/>
    <x v="0"/>
    <x v="19"/>
    <n v="41.6"/>
    <n v="15184"/>
    <n v="54662.400000000001"/>
  </r>
  <r>
    <x v="0"/>
    <x v="0"/>
    <x v="0"/>
    <x v="5"/>
    <x v="9"/>
    <s v="NO1_A1"/>
    <x v="14"/>
    <s v="GHOB_LPG"/>
    <x v="0"/>
    <x v="20"/>
    <n v="41.6"/>
    <n v="15184"/>
    <n v="54662.400000000001"/>
  </r>
  <r>
    <x v="0"/>
    <x v="0"/>
    <x v="0"/>
    <x v="5"/>
    <x v="9"/>
    <s v="NO1_A1"/>
    <x v="14"/>
    <s v="GHOB_LPG"/>
    <x v="0"/>
    <x v="21"/>
    <n v="41.6"/>
    <n v="15184"/>
    <n v="54662.400000000001"/>
  </r>
  <r>
    <x v="0"/>
    <x v="0"/>
    <x v="0"/>
    <x v="5"/>
    <x v="9"/>
    <s v="NO1_A1"/>
    <x v="14"/>
    <s v="GHOB_LPG"/>
    <x v="0"/>
    <x v="22"/>
    <n v="41.6"/>
    <n v="15184"/>
    <n v="54662.400000000001"/>
  </r>
  <r>
    <x v="0"/>
    <x v="0"/>
    <x v="0"/>
    <x v="5"/>
    <x v="9"/>
    <s v="NO1_A1"/>
    <x v="4"/>
    <s v="GBPR_MUNIWASTE"/>
    <x v="0"/>
    <x v="9"/>
    <n v="26.451612903225801"/>
    <n v="9654.8387096774204"/>
    <n v="34757.419354838697"/>
  </r>
  <r>
    <x v="0"/>
    <x v="0"/>
    <x v="0"/>
    <x v="5"/>
    <x v="9"/>
    <s v="NO1_A1"/>
    <x v="4"/>
    <s v="GBPR_MUNIWASTE"/>
    <x v="0"/>
    <x v="10"/>
    <n v="26.451612903225801"/>
    <n v="9654.8387096774204"/>
    <n v="34757.419354838697"/>
  </r>
  <r>
    <x v="0"/>
    <x v="0"/>
    <x v="0"/>
    <x v="5"/>
    <x v="9"/>
    <s v="NO1_A1"/>
    <x v="4"/>
    <s v="GBPR_MUNIWASTE"/>
    <x v="0"/>
    <x v="11"/>
    <n v="26.451612903225801"/>
    <n v="9654.8387096774204"/>
    <n v="34757.419354838697"/>
  </r>
  <r>
    <x v="0"/>
    <x v="0"/>
    <x v="0"/>
    <x v="5"/>
    <x v="9"/>
    <s v="NO1_A1"/>
    <x v="4"/>
    <s v="GBPR_MUNIWASTE"/>
    <x v="0"/>
    <x v="12"/>
    <n v="26.451612903225801"/>
    <n v="9654.8387096774204"/>
    <n v="34757.419354838697"/>
  </r>
  <r>
    <x v="0"/>
    <x v="0"/>
    <x v="0"/>
    <x v="5"/>
    <x v="9"/>
    <s v="NO1_A1"/>
    <x v="4"/>
    <s v="GBPR_MUNIWASTE"/>
    <x v="0"/>
    <x v="13"/>
    <n v="26.451612903225801"/>
    <n v="9654.8387096774204"/>
    <n v="34757.419354838697"/>
  </r>
  <r>
    <x v="0"/>
    <x v="0"/>
    <x v="0"/>
    <x v="5"/>
    <x v="9"/>
    <s v="NO1_A1"/>
    <x v="4"/>
    <s v="GBPR_MUNIWASTE"/>
    <x v="0"/>
    <x v="0"/>
    <n v="26.451612903225801"/>
    <n v="9654.8387096774204"/>
    <n v="34757.419354838697"/>
  </r>
  <r>
    <x v="0"/>
    <x v="0"/>
    <x v="0"/>
    <x v="5"/>
    <x v="9"/>
    <s v="NO1_A1"/>
    <x v="4"/>
    <s v="GBPR_MUNIWASTE"/>
    <x v="0"/>
    <x v="14"/>
    <n v="26.451612903225801"/>
    <n v="9654.8387096774204"/>
    <n v="34757.419354838697"/>
  </r>
  <r>
    <x v="0"/>
    <x v="0"/>
    <x v="0"/>
    <x v="5"/>
    <x v="9"/>
    <s v="NO1_A1"/>
    <x v="4"/>
    <s v="GBPR_MUNIWASTE"/>
    <x v="0"/>
    <x v="1"/>
    <n v="26.451612903225801"/>
    <n v="9654.8387096774204"/>
    <n v="34757.419354838697"/>
  </r>
  <r>
    <x v="0"/>
    <x v="0"/>
    <x v="0"/>
    <x v="5"/>
    <x v="9"/>
    <s v="NO1_A1"/>
    <x v="4"/>
    <s v="GBPR_MUNIWASTE"/>
    <x v="0"/>
    <x v="23"/>
    <n v="26.451612903225801"/>
    <n v="9654.8387096774204"/>
    <n v="34757.419354838697"/>
  </r>
  <r>
    <x v="0"/>
    <x v="0"/>
    <x v="0"/>
    <x v="5"/>
    <x v="9"/>
    <s v="NO1_A1"/>
    <x v="4"/>
    <s v="GBPR_MUNIWASTE"/>
    <x v="0"/>
    <x v="2"/>
    <n v="26.451612903225801"/>
    <n v="9654.8387096774204"/>
    <n v="34757.419354838697"/>
  </r>
  <r>
    <x v="0"/>
    <x v="0"/>
    <x v="0"/>
    <x v="5"/>
    <x v="9"/>
    <s v="NO1_A1"/>
    <x v="4"/>
    <s v="GBPR_MUNIWASTE"/>
    <x v="0"/>
    <x v="3"/>
    <n v="26.451612903225801"/>
    <n v="9654.8387096774204"/>
    <n v="34757.419354838697"/>
  </r>
  <r>
    <x v="0"/>
    <x v="0"/>
    <x v="0"/>
    <x v="5"/>
    <x v="9"/>
    <s v="NO1_A1"/>
    <x v="4"/>
    <s v="GBPR_MUNIWASTE"/>
    <x v="0"/>
    <x v="4"/>
    <n v="26.451612903225801"/>
    <n v="9654.8387096774204"/>
    <n v="34757.419354838697"/>
  </r>
  <r>
    <x v="0"/>
    <x v="0"/>
    <x v="0"/>
    <x v="5"/>
    <x v="9"/>
    <s v="NO1_A1"/>
    <x v="4"/>
    <s v="GBPR_MUNIWASTE"/>
    <x v="0"/>
    <x v="5"/>
    <n v="26.451612903225801"/>
    <n v="9654.8387096774204"/>
    <n v="34757.419354838697"/>
  </r>
  <r>
    <x v="0"/>
    <x v="0"/>
    <x v="0"/>
    <x v="5"/>
    <x v="9"/>
    <s v="NO1_A1"/>
    <x v="4"/>
    <s v="GBPR_MUNIWASTE"/>
    <x v="0"/>
    <x v="15"/>
    <n v="26.451612903225801"/>
    <n v="9654.8387096774204"/>
    <n v="34757.419354838697"/>
  </r>
  <r>
    <x v="0"/>
    <x v="0"/>
    <x v="0"/>
    <x v="5"/>
    <x v="9"/>
    <s v="NO1_A1"/>
    <x v="4"/>
    <s v="GBPR_MUNIWASTE"/>
    <x v="0"/>
    <x v="6"/>
    <n v="26.451612903225801"/>
    <n v="9654.8387096774204"/>
    <n v="34757.419354838697"/>
  </r>
  <r>
    <x v="0"/>
    <x v="0"/>
    <x v="0"/>
    <x v="5"/>
    <x v="9"/>
    <s v="NO1_A1"/>
    <x v="4"/>
    <s v="GBPR_MUNIWASTE"/>
    <x v="0"/>
    <x v="7"/>
    <n v="26.451612903225801"/>
    <n v="9654.8387096774204"/>
    <n v="34757.419354838697"/>
  </r>
  <r>
    <x v="0"/>
    <x v="0"/>
    <x v="0"/>
    <x v="5"/>
    <x v="9"/>
    <s v="NO1_A1"/>
    <x v="4"/>
    <s v="GBPR_MUNIWASTE"/>
    <x v="0"/>
    <x v="8"/>
    <n v="26.451612903225801"/>
    <n v="9654.8387096774204"/>
    <n v="34757.419354838697"/>
  </r>
  <r>
    <x v="0"/>
    <x v="0"/>
    <x v="0"/>
    <x v="5"/>
    <x v="9"/>
    <s v="NO1_A1"/>
    <x v="4"/>
    <s v="GBPR_MUNIWASTE"/>
    <x v="0"/>
    <x v="16"/>
    <n v="26.451612903225801"/>
    <n v="9654.8387096774204"/>
    <n v="34757.419354838697"/>
  </r>
  <r>
    <x v="0"/>
    <x v="0"/>
    <x v="0"/>
    <x v="5"/>
    <x v="9"/>
    <s v="NO1_A1"/>
    <x v="4"/>
    <s v="GBPR_MUNIWASTE"/>
    <x v="0"/>
    <x v="17"/>
    <n v="26.451612903225801"/>
    <n v="9654.8387096774204"/>
    <n v="34757.419354838697"/>
  </r>
  <r>
    <x v="0"/>
    <x v="0"/>
    <x v="0"/>
    <x v="5"/>
    <x v="9"/>
    <s v="NO1_A1"/>
    <x v="4"/>
    <s v="GBPR_MUNIWASTE"/>
    <x v="0"/>
    <x v="18"/>
    <n v="26.451612903225801"/>
    <n v="9654.8387096774204"/>
    <n v="34757.419354838697"/>
  </r>
  <r>
    <x v="0"/>
    <x v="0"/>
    <x v="0"/>
    <x v="5"/>
    <x v="9"/>
    <s v="NO1_A1"/>
    <x v="4"/>
    <s v="GBPR_MUNIWASTE"/>
    <x v="0"/>
    <x v="19"/>
    <n v="26.451612903225801"/>
    <n v="9654.8387096774204"/>
    <n v="34757.419354838697"/>
  </r>
  <r>
    <x v="0"/>
    <x v="0"/>
    <x v="0"/>
    <x v="5"/>
    <x v="9"/>
    <s v="NO1_A1"/>
    <x v="4"/>
    <s v="GBPR_MUNIWASTE"/>
    <x v="0"/>
    <x v="20"/>
    <n v="26.451612903225801"/>
    <n v="9654.8387096774204"/>
    <n v="34757.419354838697"/>
  </r>
  <r>
    <x v="0"/>
    <x v="0"/>
    <x v="0"/>
    <x v="5"/>
    <x v="9"/>
    <s v="NO1_A1"/>
    <x v="4"/>
    <s v="GBPR_MUNIWASTE"/>
    <x v="0"/>
    <x v="21"/>
    <n v="26.451612903225801"/>
    <n v="9654.8387096774204"/>
    <n v="34757.419354838697"/>
  </r>
  <r>
    <x v="0"/>
    <x v="0"/>
    <x v="0"/>
    <x v="5"/>
    <x v="9"/>
    <s v="NO1_A1"/>
    <x v="4"/>
    <s v="GBPR_MUNIWASTE"/>
    <x v="0"/>
    <x v="22"/>
    <n v="26.451612903225801"/>
    <n v="9654.8387096774204"/>
    <n v="34757.419354838697"/>
  </r>
  <r>
    <x v="0"/>
    <x v="0"/>
    <x v="0"/>
    <x v="5"/>
    <x v="9"/>
    <s v="NO1_A1"/>
    <x v="4"/>
    <s v="GHOB_MUNIWASTE"/>
    <x v="0"/>
    <x v="9"/>
    <n v="7.444"/>
    <n v="2717.06"/>
    <n v="9781.4159999999993"/>
  </r>
  <r>
    <x v="0"/>
    <x v="0"/>
    <x v="0"/>
    <x v="5"/>
    <x v="9"/>
    <s v="NO1_A1"/>
    <x v="4"/>
    <s v="GHOB_MUNIWASTE"/>
    <x v="0"/>
    <x v="10"/>
    <n v="7.444"/>
    <n v="2717.06"/>
    <n v="9781.4159999999993"/>
  </r>
  <r>
    <x v="0"/>
    <x v="0"/>
    <x v="0"/>
    <x v="5"/>
    <x v="9"/>
    <s v="NO1_A1"/>
    <x v="4"/>
    <s v="GHOB_MUNIWASTE"/>
    <x v="0"/>
    <x v="11"/>
    <n v="7.444"/>
    <n v="2717.06"/>
    <n v="9781.4159999999993"/>
  </r>
  <r>
    <x v="0"/>
    <x v="0"/>
    <x v="0"/>
    <x v="5"/>
    <x v="9"/>
    <s v="NO1_A1"/>
    <x v="4"/>
    <s v="GHOB_MUNIWASTE"/>
    <x v="0"/>
    <x v="12"/>
    <n v="7.444"/>
    <n v="2717.06"/>
    <n v="9781.4159999999993"/>
  </r>
  <r>
    <x v="0"/>
    <x v="0"/>
    <x v="0"/>
    <x v="5"/>
    <x v="9"/>
    <s v="NO1_A1"/>
    <x v="4"/>
    <s v="GHOB_MUNIWASTE"/>
    <x v="0"/>
    <x v="13"/>
    <n v="7.444"/>
    <n v="2717.06"/>
    <n v="9781.4159999999993"/>
  </r>
  <r>
    <x v="0"/>
    <x v="0"/>
    <x v="0"/>
    <x v="5"/>
    <x v="9"/>
    <s v="NO1_A1"/>
    <x v="4"/>
    <s v="GHOB_MUNIWASTE"/>
    <x v="0"/>
    <x v="0"/>
    <n v="7.444"/>
    <n v="2717.06"/>
    <n v="9781.4159999999993"/>
  </r>
  <r>
    <x v="0"/>
    <x v="0"/>
    <x v="0"/>
    <x v="5"/>
    <x v="9"/>
    <s v="NO1_A1"/>
    <x v="4"/>
    <s v="GHOB_MUNIWASTE"/>
    <x v="0"/>
    <x v="14"/>
    <n v="7.444"/>
    <n v="2717.06"/>
    <n v="9781.4159999999993"/>
  </r>
  <r>
    <x v="0"/>
    <x v="0"/>
    <x v="0"/>
    <x v="5"/>
    <x v="9"/>
    <s v="NO1_A1"/>
    <x v="4"/>
    <s v="GHOB_MUNIWASTE"/>
    <x v="0"/>
    <x v="1"/>
    <n v="7.444"/>
    <n v="2717.06"/>
    <n v="9781.4159999999993"/>
  </r>
  <r>
    <x v="0"/>
    <x v="0"/>
    <x v="0"/>
    <x v="5"/>
    <x v="9"/>
    <s v="NO1_A1"/>
    <x v="4"/>
    <s v="GHOB_MUNIWASTE"/>
    <x v="0"/>
    <x v="23"/>
    <n v="7.444"/>
    <n v="2717.06"/>
    <n v="9781.4159999999993"/>
  </r>
  <r>
    <x v="0"/>
    <x v="0"/>
    <x v="0"/>
    <x v="5"/>
    <x v="9"/>
    <s v="NO1_A1"/>
    <x v="4"/>
    <s v="GHOB_MUNIWASTE"/>
    <x v="0"/>
    <x v="2"/>
    <n v="7.444"/>
    <n v="2717.06"/>
    <n v="9781.4159999999993"/>
  </r>
  <r>
    <x v="0"/>
    <x v="0"/>
    <x v="0"/>
    <x v="5"/>
    <x v="9"/>
    <s v="NO1_A1"/>
    <x v="4"/>
    <s v="GHOB_MUNIWASTE"/>
    <x v="0"/>
    <x v="3"/>
    <n v="7.444"/>
    <n v="2717.06"/>
    <n v="9781.4159999999993"/>
  </r>
  <r>
    <x v="0"/>
    <x v="0"/>
    <x v="0"/>
    <x v="5"/>
    <x v="9"/>
    <s v="NO1_A1"/>
    <x v="4"/>
    <s v="GHOB_MUNIWASTE"/>
    <x v="0"/>
    <x v="4"/>
    <n v="7.444"/>
    <n v="2717.06"/>
    <n v="9781.4159999999993"/>
  </r>
  <r>
    <x v="0"/>
    <x v="0"/>
    <x v="0"/>
    <x v="5"/>
    <x v="9"/>
    <s v="NO1_A1"/>
    <x v="4"/>
    <s v="GHOB_MUNIWASTE"/>
    <x v="0"/>
    <x v="5"/>
    <n v="7.444"/>
    <n v="2717.06"/>
    <n v="9781.4159999999993"/>
  </r>
  <r>
    <x v="0"/>
    <x v="0"/>
    <x v="0"/>
    <x v="5"/>
    <x v="9"/>
    <s v="NO1_A1"/>
    <x v="4"/>
    <s v="GHOB_MUNIWASTE"/>
    <x v="0"/>
    <x v="15"/>
    <n v="7.444"/>
    <n v="2717.06"/>
    <n v="9781.4159999999993"/>
  </r>
  <r>
    <x v="0"/>
    <x v="0"/>
    <x v="0"/>
    <x v="5"/>
    <x v="9"/>
    <s v="NO1_A1"/>
    <x v="4"/>
    <s v="GHOB_MUNIWASTE"/>
    <x v="0"/>
    <x v="6"/>
    <n v="7.444"/>
    <n v="2717.06"/>
    <n v="9781.4159999999993"/>
  </r>
  <r>
    <x v="0"/>
    <x v="0"/>
    <x v="0"/>
    <x v="5"/>
    <x v="9"/>
    <s v="NO1_A1"/>
    <x v="4"/>
    <s v="GHOB_MUNIWASTE"/>
    <x v="0"/>
    <x v="7"/>
    <n v="7.444"/>
    <n v="2717.06"/>
    <n v="9781.4159999999993"/>
  </r>
  <r>
    <x v="0"/>
    <x v="0"/>
    <x v="0"/>
    <x v="5"/>
    <x v="9"/>
    <s v="NO1_A1"/>
    <x v="4"/>
    <s v="GHOB_MUNIWASTE"/>
    <x v="0"/>
    <x v="8"/>
    <n v="7.444"/>
    <n v="2717.06"/>
    <n v="9781.4159999999993"/>
  </r>
  <r>
    <x v="0"/>
    <x v="0"/>
    <x v="0"/>
    <x v="5"/>
    <x v="9"/>
    <s v="NO1_A1"/>
    <x v="4"/>
    <s v="GHOB_MUNIWASTE"/>
    <x v="0"/>
    <x v="16"/>
    <n v="7.444"/>
    <n v="2717.06"/>
    <n v="9781.4159999999993"/>
  </r>
  <r>
    <x v="0"/>
    <x v="0"/>
    <x v="0"/>
    <x v="5"/>
    <x v="9"/>
    <s v="NO1_A1"/>
    <x v="4"/>
    <s v="GHOB_MUNIWASTE"/>
    <x v="0"/>
    <x v="17"/>
    <n v="7.444"/>
    <n v="2717.06"/>
    <n v="9781.4159999999993"/>
  </r>
  <r>
    <x v="0"/>
    <x v="0"/>
    <x v="0"/>
    <x v="5"/>
    <x v="9"/>
    <s v="NO1_A1"/>
    <x v="4"/>
    <s v="GHOB_MUNIWASTE"/>
    <x v="0"/>
    <x v="18"/>
    <n v="7.444"/>
    <n v="2717.06"/>
    <n v="9781.4159999999993"/>
  </r>
  <r>
    <x v="0"/>
    <x v="0"/>
    <x v="0"/>
    <x v="5"/>
    <x v="9"/>
    <s v="NO1_A1"/>
    <x v="4"/>
    <s v="GHOB_MUNIWASTE"/>
    <x v="0"/>
    <x v="19"/>
    <n v="7.444"/>
    <n v="2717.06"/>
    <n v="9781.4159999999993"/>
  </r>
  <r>
    <x v="0"/>
    <x v="0"/>
    <x v="0"/>
    <x v="5"/>
    <x v="9"/>
    <s v="NO1_A1"/>
    <x v="4"/>
    <s v="GHOB_MUNIWASTE"/>
    <x v="0"/>
    <x v="20"/>
    <n v="7.444"/>
    <n v="2717.06"/>
    <n v="9781.4159999999993"/>
  </r>
  <r>
    <x v="0"/>
    <x v="0"/>
    <x v="0"/>
    <x v="5"/>
    <x v="9"/>
    <s v="NO1_A1"/>
    <x v="4"/>
    <s v="GHOB_MUNIWASTE"/>
    <x v="0"/>
    <x v="21"/>
    <n v="7.444"/>
    <n v="2717.06"/>
    <n v="9781.4159999999993"/>
  </r>
  <r>
    <x v="0"/>
    <x v="0"/>
    <x v="0"/>
    <x v="5"/>
    <x v="9"/>
    <s v="NO1_A1"/>
    <x v="4"/>
    <s v="GHOB_MUNIWASTE"/>
    <x v="0"/>
    <x v="22"/>
    <n v="7.444"/>
    <n v="2717.06"/>
    <n v="9781.4159999999993"/>
  </r>
  <r>
    <x v="0"/>
    <x v="0"/>
    <x v="0"/>
    <x v="5"/>
    <x v="9"/>
    <s v="NO1_A1"/>
    <x v="2"/>
    <s v="GHOB_WASTEHEAT"/>
    <x v="0"/>
    <x v="9"/>
    <n v="2.9650869963369799"/>
    <n v="1082.2567536629999"/>
    <n v="3896.1243131868"/>
  </r>
  <r>
    <x v="0"/>
    <x v="0"/>
    <x v="0"/>
    <x v="5"/>
    <x v="9"/>
    <s v="NO1_A1"/>
    <x v="2"/>
    <s v="GHOB_WASTEHEAT"/>
    <x v="0"/>
    <x v="10"/>
    <n v="2.9650869963369799"/>
    <n v="1082.2567536629999"/>
    <n v="3896.1243131868"/>
  </r>
  <r>
    <x v="0"/>
    <x v="0"/>
    <x v="0"/>
    <x v="5"/>
    <x v="9"/>
    <s v="NO1_A1"/>
    <x v="2"/>
    <s v="GHOB_WASTEHEAT"/>
    <x v="0"/>
    <x v="11"/>
    <n v="2.9650869963369799"/>
    <n v="1082.2567536629999"/>
    <n v="3896.1243131868"/>
  </r>
  <r>
    <x v="0"/>
    <x v="0"/>
    <x v="0"/>
    <x v="5"/>
    <x v="9"/>
    <s v="NO1_A1"/>
    <x v="2"/>
    <s v="GHOB_WASTEHEAT"/>
    <x v="0"/>
    <x v="12"/>
    <n v="2.9650869963369799"/>
    <n v="1082.2567536629999"/>
    <n v="3896.1243131868"/>
  </r>
  <r>
    <x v="0"/>
    <x v="0"/>
    <x v="0"/>
    <x v="5"/>
    <x v="9"/>
    <s v="NO1_A1"/>
    <x v="2"/>
    <s v="GHOB_WASTEHEAT"/>
    <x v="0"/>
    <x v="13"/>
    <n v="2.9650869963369799"/>
    <n v="1082.2567536629999"/>
    <n v="3896.1243131868"/>
  </r>
  <r>
    <x v="0"/>
    <x v="0"/>
    <x v="0"/>
    <x v="5"/>
    <x v="9"/>
    <s v="NO1_A1"/>
    <x v="2"/>
    <s v="GHOB_WASTEHEAT"/>
    <x v="0"/>
    <x v="0"/>
    <n v="2.9650869963369799"/>
    <n v="1082.2567536629999"/>
    <n v="3896.1243131868"/>
  </r>
  <r>
    <x v="0"/>
    <x v="0"/>
    <x v="0"/>
    <x v="5"/>
    <x v="9"/>
    <s v="NO1_A1"/>
    <x v="2"/>
    <s v="GHOB_WASTEHEAT"/>
    <x v="0"/>
    <x v="14"/>
    <n v="2.9650869963369799"/>
    <n v="1082.2567536629999"/>
    <n v="3896.1243131868"/>
  </r>
  <r>
    <x v="0"/>
    <x v="0"/>
    <x v="0"/>
    <x v="5"/>
    <x v="9"/>
    <s v="NO1_A1"/>
    <x v="2"/>
    <s v="GHOB_WASTEHEAT"/>
    <x v="0"/>
    <x v="1"/>
    <n v="2.9650869963369799"/>
    <n v="1082.2567536629999"/>
    <n v="3896.1243131868"/>
  </r>
  <r>
    <x v="0"/>
    <x v="0"/>
    <x v="0"/>
    <x v="5"/>
    <x v="9"/>
    <s v="NO1_A1"/>
    <x v="2"/>
    <s v="GHOB_WASTEHEAT"/>
    <x v="0"/>
    <x v="23"/>
    <n v="2.9650869963369799"/>
    <n v="1082.2567536629999"/>
    <n v="3896.1243131868"/>
  </r>
  <r>
    <x v="0"/>
    <x v="0"/>
    <x v="0"/>
    <x v="5"/>
    <x v="9"/>
    <s v="NO1_A1"/>
    <x v="2"/>
    <s v="GHOB_WASTEHEAT"/>
    <x v="0"/>
    <x v="2"/>
    <n v="2.9650869963369799"/>
    <n v="1082.2567536629999"/>
    <n v="3896.1243131868"/>
  </r>
  <r>
    <x v="0"/>
    <x v="0"/>
    <x v="0"/>
    <x v="5"/>
    <x v="9"/>
    <s v="NO1_A1"/>
    <x v="2"/>
    <s v="GHOB_WASTEHEAT"/>
    <x v="0"/>
    <x v="3"/>
    <n v="2.9650869963369799"/>
    <n v="1082.2567536629999"/>
    <n v="3896.1243131868"/>
  </r>
  <r>
    <x v="0"/>
    <x v="0"/>
    <x v="0"/>
    <x v="5"/>
    <x v="9"/>
    <s v="NO1_A1"/>
    <x v="2"/>
    <s v="GHOB_WASTEHEAT"/>
    <x v="0"/>
    <x v="4"/>
    <n v="2.9650869963369799"/>
    <n v="1082.2567536629999"/>
    <n v="3896.1243131868"/>
  </r>
  <r>
    <x v="0"/>
    <x v="0"/>
    <x v="0"/>
    <x v="5"/>
    <x v="9"/>
    <s v="NO1_A1"/>
    <x v="2"/>
    <s v="GHOB_WASTEHEAT"/>
    <x v="0"/>
    <x v="5"/>
    <n v="2.9650869963369799"/>
    <n v="1082.2567536629999"/>
    <n v="3896.1243131868"/>
  </r>
  <r>
    <x v="0"/>
    <x v="0"/>
    <x v="0"/>
    <x v="5"/>
    <x v="9"/>
    <s v="NO1_A1"/>
    <x v="2"/>
    <s v="GHOB_WASTEHEAT"/>
    <x v="0"/>
    <x v="15"/>
    <n v="2.9650869963369799"/>
    <n v="1082.2567536629999"/>
    <n v="3896.1243131868"/>
  </r>
  <r>
    <x v="0"/>
    <x v="0"/>
    <x v="0"/>
    <x v="5"/>
    <x v="9"/>
    <s v="NO1_A1"/>
    <x v="2"/>
    <s v="GHOB_WASTEHEAT"/>
    <x v="0"/>
    <x v="6"/>
    <n v="2.9650869963369799"/>
    <n v="1082.2567536629999"/>
    <n v="3896.1243131868"/>
  </r>
  <r>
    <x v="0"/>
    <x v="0"/>
    <x v="0"/>
    <x v="5"/>
    <x v="9"/>
    <s v="NO1_A1"/>
    <x v="2"/>
    <s v="GHOB_WASTEHEAT"/>
    <x v="0"/>
    <x v="7"/>
    <n v="2.9650869963369799"/>
    <n v="1082.2567536629999"/>
    <n v="3896.1243131868"/>
  </r>
  <r>
    <x v="0"/>
    <x v="0"/>
    <x v="0"/>
    <x v="5"/>
    <x v="9"/>
    <s v="NO1_A1"/>
    <x v="2"/>
    <s v="GHOB_WASTEHEAT"/>
    <x v="0"/>
    <x v="8"/>
    <n v="2.9650869963369799"/>
    <n v="1082.2567536629999"/>
    <n v="3896.1243131868"/>
  </r>
  <r>
    <x v="0"/>
    <x v="0"/>
    <x v="0"/>
    <x v="5"/>
    <x v="9"/>
    <s v="NO1_A1"/>
    <x v="2"/>
    <s v="GHOB_WASTEHEAT"/>
    <x v="0"/>
    <x v="16"/>
    <n v="2.9650869963369799"/>
    <n v="1082.2567536629999"/>
    <n v="3896.1243131868"/>
  </r>
  <r>
    <x v="0"/>
    <x v="0"/>
    <x v="0"/>
    <x v="5"/>
    <x v="9"/>
    <s v="NO1_A1"/>
    <x v="2"/>
    <s v="GHOB_WASTEHEAT"/>
    <x v="0"/>
    <x v="17"/>
    <n v="2.9650869963369799"/>
    <n v="1082.2567536629999"/>
    <n v="3896.1243131868"/>
  </r>
  <r>
    <x v="0"/>
    <x v="0"/>
    <x v="0"/>
    <x v="5"/>
    <x v="9"/>
    <s v="NO1_A1"/>
    <x v="2"/>
    <s v="GHOB_WASTEHEAT"/>
    <x v="0"/>
    <x v="18"/>
    <n v="2.9650869963369799"/>
    <n v="1082.2567536629999"/>
    <n v="3896.1243131868"/>
  </r>
  <r>
    <x v="0"/>
    <x v="0"/>
    <x v="0"/>
    <x v="5"/>
    <x v="9"/>
    <s v="NO1_A1"/>
    <x v="2"/>
    <s v="GHOB_WASTEHEAT"/>
    <x v="0"/>
    <x v="19"/>
    <n v="2.9650869963369799"/>
    <n v="1082.2567536629999"/>
    <n v="3896.1243131868"/>
  </r>
  <r>
    <x v="0"/>
    <x v="0"/>
    <x v="0"/>
    <x v="5"/>
    <x v="9"/>
    <s v="NO1_A1"/>
    <x v="2"/>
    <s v="GHOB_WASTEHEAT"/>
    <x v="0"/>
    <x v="20"/>
    <n v="2.9650869963369799"/>
    <n v="1082.2567536629999"/>
    <n v="3896.1243131868"/>
  </r>
  <r>
    <x v="0"/>
    <x v="0"/>
    <x v="0"/>
    <x v="5"/>
    <x v="9"/>
    <s v="NO1_A1"/>
    <x v="2"/>
    <s v="GHOB_WASTEHEAT"/>
    <x v="0"/>
    <x v="21"/>
    <n v="2.9650869963369799"/>
    <n v="1082.2567536629999"/>
    <n v="3896.1243131868"/>
  </r>
  <r>
    <x v="0"/>
    <x v="0"/>
    <x v="0"/>
    <x v="5"/>
    <x v="9"/>
    <s v="NO1_A1"/>
    <x v="2"/>
    <s v="GHOB_WASTEHEAT"/>
    <x v="0"/>
    <x v="22"/>
    <n v="2.9650869963369799"/>
    <n v="1082.2567536629999"/>
    <n v="3896.1243131868"/>
  </r>
  <r>
    <x v="0"/>
    <x v="0"/>
    <x v="0"/>
    <x v="5"/>
    <x v="9"/>
    <s v="NO1_A1"/>
    <x v="8"/>
    <s v="GHOB_WOODWASTE"/>
    <x v="0"/>
    <x v="9"/>
    <n v="53"/>
    <n v="19345"/>
    <n v="69642"/>
  </r>
  <r>
    <x v="0"/>
    <x v="0"/>
    <x v="0"/>
    <x v="5"/>
    <x v="9"/>
    <s v="NO1_A1"/>
    <x v="8"/>
    <s v="GHOB_WOODWASTE"/>
    <x v="0"/>
    <x v="10"/>
    <n v="53"/>
    <n v="19345"/>
    <n v="69642"/>
  </r>
  <r>
    <x v="0"/>
    <x v="0"/>
    <x v="0"/>
    <x v="5"/>
    <x v="9"/>
    <s v="NO1_A1"/>
    <x v="8"/>
    <s v="GHOB_WOODWASTE"/>
    <x v="0"/>
    <x v="11"/>
    <n v="53"/>
    <n v="19345"/>
    <n v="69642"/>
  </r>
  <r>
    <x v="0"/>
    <x v="0"/>
    <x v="0"/>
    <x v="5"/>
    <x v="9"/>
    <s v="NO1_A1"/>
    <x v="8"/>
    <s v="GHOB_WOODWASTE"/>
    <x v="0"/>
    <x v="12"/>
    <n v="53"/>
    <n v="19345"/>
    <n v="69642"/>
  </r>
  <r>
    <x v="0"/>
    <x v="0"/>
    <x v="0"/>
    <x v="5"/>
    <x v="9"/>
    <s v="NO1_A1"/>
    <x v="8"/>
    <s v="GHOB_WOODWASTE"/>
    <x v="0"/>
    <x v="13"/>
    <n v="53"/>
    <n v="19345"/>
    <n v="69642"/>
  </r>
  <r>
    <x v="0"/>
    <x v="0"/>
    <x v="0"/>
    <x v="5"/>
    <x v="9"/>
    <s v="NO1_A1"/>
    <x v="8"/>
    <s v="GHOB_WOODWASTE"/>
    <x v="0"/>
    <x v="0"/>
    <n v="53"/>
    <n v="19345"/>
    <n v="69642"/>
  </r>
  <r>
    <x v="0"/>
    <x v="0"/>
    <x v="0"/>
    <x v="5"/>
    <x v="9"/>
    <s v="NO1_A1"/>
    <x v="8"/>
    <s v="GHOB_WOODWASTE"/>
    <x v="0"/>
    <x v="14"/>
    <n v="53"/>
    <n v="19345"/>
    <n v="69642"/>
  </r>
  <r>
    <x v="0"/>
    <x v="0"/>
    <x v="0"/>
    <x v="5"/>
    <x v="9"/>
    <s v="NO1_A1"/>
    <x v="8"/>
    <s v="GHOB_WOODWASTE"/>
    <x v="0"/>
    <x v="1"/>
    <n v="53"/>
    <n v="19345"/>
    <n v="69642"/>
  </r>
  <r>
    <x v="0"/>
    <x v="0"/>
    <x v="0"/>
    <x v="5"/>
    <x v="9"/>
    <s v="NO1_A1"/>
    <x v="8"/>
    <s v="GHOB_WOODWASTE"/>
    <x v="0"/>
    <x v="23"/>
    <n v="53"/>
    <n v="19345"/>
    <n v="69642"/>
  </r>
  <r>
    <x v="0"/>
    <x v="0"/>
    <x v="0"/>
    <x v="5"/>
    <x v="9"/>
    <s v="NO1_A1"/>
    <x v="8"/>
    <s v="GHOB_WOODWASTE"/>
    <x v="0"/>
    <x v="2"/>
    <n v="53"/>
    <n v="19345"/>
    <n v="69642"/>
  </r>
  <r>
    <x v="0"/>
    <x v="0"/>
    <x v="0"/>
    <x v="5"/>
    <x v="9"/>
    <s v="NO1_A1"/>
    <x v="8"/>
    <s v="GHOB_WOODWASTE"/>
    <x v="0"/>
    <x v="3"/>
    <n v="53"/>
    <n v="19345"/>
    <n v="69642"/>
  </r>
  <r>
    <x v="0"/>
    <x v="0"/>
    <x v="0"/>
    <x v="5"/>
    <x v="9"/>
    <s v="NO1_A1"/>
    <x v="8"/>
    <s v="GHOB_WOODWASTE"/>
    <x v="0"/>
    <x v="4"/>
    <n v="53"/>
    <n v="19345"/>
    <n v="69642"/>
  </r>
  <r>
    <x v="0"/>
    <x v="0"/>
    <x v="0"/>
    <x v="5"/>
    <x v="9"/>
    <s v="NO1_A1"/>
    <x v="8"/>
    <s v="GHOB_WOODWASTE"/>
    <x v="0"/>
    <x v="5"/>
    <n v="53"/>
    <n v="19345"/>
    <n v="69642"/>
  </r>
  <r>
    <x v="0"/>
    <x v="0"/>
    <x v="0"/>
    <x v="5"/>
    <x v="9"/>
    <s v="NO1_A1"/>
    <x v="8"/>
    <s v="GHOB_WOODWASTE"/>
    <x v="0"/>
    <x v="15"/>
    <n v="53"/>
    <n v="19345"/>
    <n v="69642"/>
  </r>
  <r>
    <x v="0"/>
    <x v="0"/>
    <x v="0"/>
    <x v="5"/>
    <x v="9"/>
    <s v="NO1_A1"/>
    <x v="8"/>
    <s v="GHOB_WOODWASTE"/>
    <x v="0"/>
    <x v="6"/>
    <n v="53"/>
    <n v="19345"/>
    <n v="69642"/>
  </r>
  <r>
    <x v="0"/>
    <x v="0"/>
    <x v="0"/>
    <x v="5"/>
    <x v="9"/>
    <s v="NO1_A1"/>
    <x v="8"/>
    <s v="GHOB_WOODWASTE"/>
    <x v="0"/>
    <x v="7"/>
    <n v="48.547564599734997"/>
    <n v="17719.861078903301"/>
    <n v="63791.499884051802"/>
  </r>
  <r>
    <x v="0"/>
    <x v="0"/>
    <x v="0"/>
    <x v="5"/>
    <x v="9"/>
    <s v="NO1_A1"/>
    <x v="8"/>
    <s v="GHOB_WOODWASTE"/>
    <x v="0"/>
    <x v="8"/>
    <n v="41.742043991991402"/>
    <n v="15235.8460570769"/>
    <n v="54849.045805476802"/>
  </r>
  <r>
    <x v="0"/>
    <x v="0"/>
    <x v="0"/>
    <x v="5"/>
    <x v="9"/>
    <s v="NO1_A1"/>
    <x v="8"/>
    <s v="GHOB_WOODWASTE"/>
    <x v="0"/>
    <x v="16"/>
    <n v="36.664713752778901"/>
    <n v="13382.620519764299"/>
    <n v="48177.433871151399"/>
  </r>
  <r>
    <x v="0"/>
    <x v="0"/>
    <x v="0"/>
    <x v="5"/>
    <x v="9"/>
    <s v="NO1_A1"/>
    <x v="8"/>
    <s v="GHOB_WOODWASTE"/>
    <x v="0"/>
    <x v="17"/>
    <n v="33.1568764281432"/>
    <n v="12102.2598962723"/>
    <n v="43568.135626580202"/>
  </r>
  <r>
    <x v="0"/>
    <x v="0"/>
    <x v="0"/>
    <x v="5"/>
    <x v="9"/>
    <s v="NO1_A1"/>
    <x v="8"/>
    <s v="GHOB_WOODWASTE"/>
    <x v="0"/>
    <x v="18"/>
    <n v="29.203777315627299"/>
    <n v="10659.378720204"/>
    <n v="38373.763392734298"/>
  </r>
  <r>
    <x v="0"/>
    <x v="0"/>
    <x v="0"/>
    <x v="5"/>
    <x v="9"/>
    <s v="NO1_A1"/>
    <x v="8"/>
    <s v="GHOB_WOODWASTE"/>
    <x v="0"/>
    <x v="19"/>
    <n v="53"/>
    <n v="19345"/>
    <n v="69642"/>
  </r>
  <r>
    <x v="0"/>
    <x v="0"/>
    <x v="0"/>
    <x v="5"/>
    <x v="9"/>
    <s v="NO1_A1"/>
    <x v="8"/>
    <s v="GHOB_WOODWASTE"/>
    <x v="0"/>
    <x v="20"/>
    <n v="47.519390556190103"/>
    <n v="17344.5775530094"/>
    <n v="62440.479190833903"/>
  </r>
  <r>
    <x v="0"/>
    <x v="0"/>
    <x v="0"/>
    <x v="5"/>
    <x v="9"/>
    <s v="NO1_A1"/>
    <x v="8"/>
    <s v="GHOB_WOODWASTE"/>
    <x v="0"/>
    <x v="21"/>
    <n v="14.6956686387341"/>
    <n v="5363.91905313794"/>
    <n v="19310.108591296601"/>
  </r>
  <r>
    <x v="0"/>
    <x v="0"/>
    <x v="0"/>
    <x v="5"/>
    <x v="9"/>
    <s v="NO1_A1"/>
    <x v="8"/>
    <s v="GHOB_WOODWASTE"/>
    <x v="0"/>
    <x v="22"/>
    <n v="53"/>
    <n v="19345"/>
    <n v="69642"/>
  </r>
  <r>
    <x v="0"/>
    <x v="0"/>
    <x v="0"/>
    <x v="5"/>
    <x v="9"/>
    <s v="NO1_A2"/>
    <x v="3"/>
    <s v="GETOH_HEATPUMP"/>
    <x v="0"/>
    <x v="0"/>
    <n v="9.4821335386618504"/>
    <n v="3460.9787416115701"/>
    <n v="12459.523469801699"/>
  </r>
  <r>
    <x v="0"/>
    <x v="0"/>
    <x v="0"/>
    <x v="5"/>
    <x v="9"/>
    <s v="NO1_A2"/>
    <x v="3"/>
    <s v="GETOH_HEATPUMP"/>
    <x v="0"/>
    <x v="14"/>
    <n v="30"/>
    <n v="10950"/>
    <n v="39420"/>
  </r>
  <r>
    <x v="0"/>
    <x v="0"/>
    <x v="0"/>
    <x v="5"/>
    <x v="9"/>
    <s v="NO1_A2"/>
    <x v="3"/>
    <s v="GETOH_HEATPUMP"/>
    <x v="0"/>
    <x v="3"/>
    <n v="30"/>
    <n v="10950"/>
    <n v="39420"/>
  </r>
  <r>
    <x v="0"/>
    <x v="0"/>
    <x v="0"/>
    <x v="5"/>
    <x v="9"/>
    <s v="NO1_A2"/>
    <x v="3"/>
    <s v="GETOH_HEATPUMP"/>
    <x v="0"/>
    <x v="4"/>
    <n v="0.99544035467842895"/>
    <n v="363.335729457627"/>
    <n v="1308.00862604746"/>
  </r>
  <r>
    <x v="0"/>
    <x v="0"/>
    <x v="0"/>
    <x v="5"/>
    <x v="9"/>
    <s v="NO1_A2"/>
    <x v="3"/>
    <s v="GETOH_HEATPUMP"/>
    <x v="0"/>
    <x v="5"/>
    <n v="30"/>
    <n v="10950"/>
    <n v="39420"/>
  </r>
  <r>
    <x v="0"/>
    <x v="0"/>
    <x v="0"/>
    <x v="5"/>
    <x v="9"/>
    <s v="NO1_A2"/>
    <x v="3"/>
    <s v="GETOH_HEATPUMP"/>
    <x v="0"/>
    <x v="15"/>
    <n v="30"/>
    <n v="10950"/>
    <n v="39420"/>
  </r>
  <r>
    <x v="0"/>
    <x v="0"/>
    <x v="0"/>
    <x v="5"/>
    <x v="9"/>
    <s v="NO1_A2"/>
    <x v="3"/>
    <s v="GETOH_HEATPUMP"/>
    <x v="0"/>
    <x v="6"/>
    <n v="26.7857348515887"/>
    <n v="9776.7932208298898"/>
    <n v="35196.455594987601"/>
  </r>
  <r>
    <x v="0"/>
    <x v="0"/>
    <x v="0"/>
    <x v="5"/>
    <x v="9"/>
    <s v="NO1_A2"/>
    <x v="3"/>
    <s v="GETOH_HEATPUMP"/>
    <x v="0"/>
    <x v="7"/>
    <n v="21.7657011575869"/>
    <n v="7944.4809225192303"/>
    <n v="28600.131321069199"/>
  </r>
  <r>
    <x v="0"/>
    <x v="0"/>
    <x v="0"/>
    <x v="5"/>
    <x v="9"/>
    <s v="NO1_A2"/>
    <x v="3"/>
    <s v="GETOH_HEATPUMP"/>
    <x v="0"/>
    <x v="8"/>
    <n v="6.0591575701471596"/>
    <n v="2211.5925131037102"/>
    <n v="7961.7330471733603"/>
  </r>
  <r>
    <x v="0"/>
    <x v="0"/>
    <x v="0"/>
    <x v="5"/>
    <x v="9"/>
    <s v="NO1_A2"/>
    <x v="1"/>
    <s v="GNR_HS_HEAT_WTR-TANK_LS_E-95_Y-2010"/>
    <x v="0"/>
    <x v="14"/>
    <n v="11.6204114075319"/>
    <n v="4241.4501637491603"/>
    <n v="15269.220589496999"/>
  </r>
  <r>
    <x v="0"/>
    <x v="0"/>
    <x v="0"/>
    <x v="5"/>
    <x v="9"/>
    <s v="NO1_A2"/>
    <x v="1"/>
    <s v="GNR_HS_HEAT_WTR-TANK_LS_E-95_Y-2010"/>
    <x v="0"/>
    <x v="1"/>
    <n v="63.963315072715801"/>
    <n v="23346.610001541299"/>
    <n v="84047.796005548502"/>
  </r>
  <r>
    <x v="0"/>
    <x v="0"/>
    <x v="0"/>
    <x v="5"/>
    <x v="9"/>
    <s v="NO1_A2"/>
    <x v="1"/>
    <s v="GNR_HS_HEAT_WTR-TANK_LS_E-95_Y-2010"/>
    <x v="0"/>
    <x v="23"/>
    <n v="64.588962311347302"/>
    <n v="23574.971243641801"/>
    <n v="84869.896477110306"/>
  </r>
  <r>
    <x v="0"/>
    <x v="0"/>
    <x v="0"/>
    <x v="5"/>
    <x v="9"/>
    <s v="NO1_A2"/>
    <x v="1"/>
    <s v="GNR_HS_HEAT_WTR-TANK_LS_E-95_Y-2010"/>
    <x v="0"/>
    <x v="2"/>
    <n v="58.575415649543103"/>
    <n v="21380.0267120832"/>
    <n v="76968.096163499693"/>
  </r>
  <r>
    <x v="0"/>
    <x v="0"/>
    <x v="0"/>
    <x v="5"/>
    <x v="9"/>
    <s v="NO1_A2"/>
    <x v="1"/>
    <s v="GNR_HS_HEAT_WTR-TANK_LS_E-95_Y-2010"/>
    <x v="0"/>
    <x v="3"/>
    <n v="19.191785444505101"/>
    <n v="7005.0016872443402"/>
    <n v="25218.0060740796"/>
  </r>
  <r>
    <x v="0"/>
    <x v="0"/>
    <x v="0"/>
    <x v="5"/>
    <x v="9"/>
    <s v="NO1_A2"/>
    <x v="1"/>
    <s v="GNR_HS_HEAT_WTR-TANK_LS_E-95_Y-2010"/>
    <x v="0"/>
    <x v="4"/>
    <n v="41.558065123675703"/>
    <n v="15168.693770141601"/>
    <n v="54607.297572509902"/>
  </r>
  <r>
    <x v="0"/>
    <x v="0"/>
    <x v="0"/>
    <x v="5"/>
    <x v="9"/>
    <s v="NO1_A2"/>
    <x v="1"/>
    <s v="GNR_HS_HEAT_WTR-TANK_LS_E-95_Y-2010"/>
    <x v="0"/>
    <x v="5"/>
    <n v="6.43529443079861"/>
    <n v="2348.8824672414898"/>
    <n v="8455.9768820693807"/>
  </r>
  <r>
    <x v="0"/>
    <x v="0"/>
    <x v="0"/>
    <x v="5"/>
    <x v="9"/>
    <s v="NO1_A2"/>
    <x v="1"/>
    <s v="GNR_HS_HEAT_WTR-TANK_LS_E-95_Y-2010"/>
    <x v="0"/>
    <x v="15"/>
    <n v="2.2171424386613601"/>
    <n v="809.25699011139704"/>
    <n v="2913.3251644010302"/>
  </r>
  <r>
    <x v="0"/>
    <x v="0"/>
    <x v="0"/>
    <x v="5"/>
    <x v="9"/>
    <s v="NO1_A2"/>
    <x v="14"/>
    <s v="GHOB_LPG"/>
    <x v="0"/>
    <x v="9"/>
    <n v="100"/>
    <n v="36500"/>
    <n v="131400"/>
  </r>
  <r>
    <x v="0"/>
    <x v="0"/>
    <x v="0"/>
    <x v="5"/>
    <x v="9"/>
    <s v="NO1_A2"/>
    <x v="14"/>
    <s v="GHOB_LPG"/>
    <x v="0"/>
    <x v="10"/>
    <n v="100"/>
    <n v="36500"/>
    <n v="131400"/>
  </r>
  <r>
    <x v="0"/>
    <x v="0"/>
    <x v="0"/>
    <x v="5"/>
    <x v="9"/>
    <s v="NO1_A2"/>
    <x v="14"/>
    <s v="GHOB_LPG"/>
    <x v="0"/>
    <x v="11"/>
    <n v="100"/>
    <n v="36500"/>
    <n v="131400"/>
  </r>
  <r>
    <x v="0"/>
    <x v="0"/>
    <x v="0"/>
    <x v="5"/>
    <x v="9"/>
    <s v="NO1_A2"/>
    <x v="14"/>
    <s v="GHOB_LPG"/>
    <x v="0"/>
    <x v="12"/>
    <n v="100"/>
    <n v="36500"/>
    <n v="131400"/>
  </r>
  <r>
    <x v="0"/>
    <x v="0"/>
    <x v="0"/>
    <x v="5"/>
    <x v="9"/>
    <s v="NO1_A2"/>
    <x v="14"/>
    <s v="GHOB_LPG"/>
    <x v="0"/>
    <x v="13"/>
    <n v="100"/>
    <n v="36500"/>
    <n v="131400"/>
  </r>
  <r>
    <x v="0"/>
    <x v="0"/>
    <x v="0"/>
    <x v="5"/>
    <x v="9"/>
    <s v="NO1_A2"/>
    <x v="14"/>
    <s v="GHOB_LPG"/>
    <x v="0"/>
    <x v="0"/>
    <n v="100"/>
    <n v="36500"/>
    <n v="131400"/>
  </r>
  <r>
    <x v="0"/>
    <x v="0"/>
    <x v="0"/>
    <x v="5"/>
    <x v="9"/>
    <s v="NO1_A2"/>
    <x v="14"/>
    <s v="GHOB_LPG"/>
    <x v="0"/>
    <x v="14"/>
    <n v="100"/>
    <n v="36500"/>
    <n v="131400"/>
  </r>
  <r>
    <x v="0"/>
    <x v="0"/>
    <x v="0"/>
    <x v="5"/>
    <x v="9"/>
    <s v="NO1_A2"/>
    <x v="14"/>
    <s v="GHOB_LPG"/>
    <x v="0"/>
    <x v="1"/>
    <n v="100"/>
    <n v="36500"/>
    <n v="131400"/>
  </r>
  <r>
    <x v="0"/>
    <x v="0"/>
    <x v="0"/>
    <x v="5"/>
    <x v="9"/>
    <s v="NO1_A2"/>
    <x v="14"/>
    <s v="GHOB_LPG"/>
    <x v="0"/>
    <x v="23"/>
    <n v="100"/>
    <n v="36500"/>
    <n v="131400"/>
  </r>
  <r>
    <x v="0"/>
    <x v="0"/>
    <x v="0"/>
    <x v="5"/>
    <x v="9"/>
    <s v="NO1_A2"/>
    <x v="14"/>
    <s v="GHOB_LPG"/>
    <x v="0"/>
    <x v="2"/>
    <n v="100"/>
    <n v="36500"/>
    <n v="131400"/>
  </r>
  <r>
    <x v="0"/>
    <x v="0"/>
    <x v="0"/>
    <x v="5"/>
    <x v="9"/>
    <s v="NO1_A2"/>
    <x v="14"/>
    <s v="GHOB_LPG"/>
    <x v="0"/>
    <x v="3"/>
    <n v="100"/>
    <n v="36500"/>
    <n v="131400"/>
  </r>
  <r>
    <x v="0"/>
    <x v="0"/>
    <x v="0"/>
    <x v="5"/>
    <x v="9"/>
    <s v="NO1_A2"/>
    <x v="14"/>
    <s v="GHOB_LPG"/>
    <x v="0"/>
    <x v="4"/>
    <n v="100"/>
    <n v="36500"/>
    <n v="131400"/>
  </r>
  <r>
    <x v="0"/>
    <x v="0"/>
    <x v="0"/>
    <x v="5"/>
    <x v="9"/>
    <s v="NO1_A2"/>
    <x v="14"/>
    <s v="GHOB_LPG"/>
    <x v="0"/>
    <x v="5"/>
    <n v="100"/>
    <n v="36500"/>
    <n v="131400"/>
  </r>
  <r>
    <x v="0"/>
    <x v="0"/>
    <x v="0"/>
    <x v="5"/>
    <x v="9"/>
    <s v="NO1_A2"/>
    <x v="14"/>
    <s v="GHOB_LPG"/>
    <x v="0"/>
    <x v="15"/>
    <n v="100"/>
    <n v="36500"/>
    <n v="131400"/>
  </r>
  <r>
    <x v="0"/>
    <x v="0"/>
    <x v="0"/>
    <x v="5"/>
    <x v="9"/>
    <s v="NO1_A2"/>
    <x v="14"/>
    <s v="GHOB_LPG"/>
    <x v="0"/>
    <x v="6"/>
    <n v="100"/>
    <n v="36500"/>
    <n v="131400"/>
  </r>
  <r>
    <x v="0"/>
    <x v="0"/>
    <x v="0"/>
    <x v="5"/>
    <x v="9"/>
    <s v="NO1_A2"/>
    <x v="14"/>
    <s v="GHOB_LPG"/>
    <x v="0"/>
    <x v="7"/>
    <n v="100"/>
    <n v="36500"/>
    <n v="131400"/>
  </r>
  <r>
    <x v="0"/>
    <x v="0"/>
    <x v="0"/>
    <x v="5"/>
    <x v="9"/>
    <s v="NO1_A2"/>
    <x v="14"/>
    <s v="GHOB_LPG"/>
    <x v="0"/>
    <x v="8"/>
    <n v="100"/>
    <n v="36500"/>
    <n v="131400"/>
  </r>
  <r>
    <x v="0"/>
    <x v="0"/>
    <x v="0"/>
    <x v="5"/>
    <x v="9"/>
    <s v="NO1_A2"/>
    <x v="14"/>
    <s v="GHOB_LPG"/>
    <x v="0"/>
    <x v="16"/>
    <n v="100"/>
    <n v="36500"/>
    <n v="131400"/>
  </r>
  <r>
    <x v="0"/>
    <x v="0"/>
    <x v="0"/>
    <x v="5"/>
    <x v="9"/>
    <s v="NO1_A2"/>
    <x v="14"/>
    <s v="GHOB_LPG"/>
    <x v="0"/>
    <x v="17"/>
    <n v="100"/>
    <n v="36500"/>
    <n v="131400"/>
  </r>
  <r>
    <x v="0"/>
    <x v="0"/>
    <x v="0"/>
    <x v="5"/>
    <x v="9"/>
    <s v="NO1_A2"/>
    <x v="14"/>
    <s v="GHOB_LPG"/>
    <x v="0"/>
    <x v="18"/>
    <n v="100"/>
    <n v="36500"/>
    <n v="131400"/>
  </r>
  <r>
    <x v="0"/>
    <x v="0"/>
    <x v="0"/>
    <x v="5"/>
    <x v="9"/>
    <s v="NO1_A2"/>
    <x v="14"/>
    <s v="GHOB_LPG"/>
    <x v="0"/>
    <x v="19"/>
    <n v="100"/>
    <n v="36500"/>
    <n v="131400"/>
  </r>
  <r>
    <x v="0"/>
    <x v="0"/>
    <x v="0"/>
    <x v="5"/>
    <x v="9"/>
    <s v="NO1_A2"/>
    <x v="14"/>
    <s v="GHOB_LPG"/>
    <x v="0"/>
    <x v="20"/>
    <n v="100"/>
    <n v="36500"/>
    <n v="131400"/>
  </r>
  <r>
    <x v="0"/>
    <x v="0"/>
    <x v="0"/>
    <x v="5"/>
    <x v="9"/>
    <s v="NO1_A2"/>
    <x v="14"/>
    <s v="GHOB_LPG"/>
    <x v="0"/>
    <x v="21"/>
    <n v="100"/>
    <n v="36500"/>
    <n v="131400"/>
  </r>
  <r>
    <x v="0"/>
    <x v="0"/>
    <x v="0"/>
    <x v="5"/>
    <x v="9"/>
    <s v="NO1_A2"/>
    <x v="14"/>
    <s v="GHOB_LPG"/>
    <x v="0"/>
    <x v="22"/>
    <n v="100"/>
    <n v="36500"/>
    <n v="131400"/>
  </r>
  <r>
    <x v="0"/>
    <x v="0"/>
    <x v="0"/>
    <x v="5"/>
    <x v="9"/>
    <s v="NO1_A2"/>
    <x v="4"/>
    <s v="GBPR_MUNIWASTE"/>
    <x v="0"/>
    <x v="9"/>
    <n v="35.784946236558703"/>
    <n v="13061.505376343899"/>
    <n v="47021.419354838203"/>
  </r>
  <r>
    <x v="0"/>
    <x v="0"/>
    <x v="0"/>
    <x v="5"/>
    <x v="9"/>
    <s v="NO1_A2"/>
    <x v="4"/>
    <s v="GBPR_MUNIWASTE"/>
    <x v="0"/>
    <x v="10"/>
    <n v="35.784946236558703"/>
    <n v="13061.505376343899"/>
    <n v="47021.419354838203"/>
  </r>
  <r>
    <x v="0"/>
    <x v="0"/>
    <x v="0"/>
    <x v="5"/>
    <x v="9"/>
    <s v="NO1_A2"/>
    <x v="4"/>
    <s v="GBPR_MUNIWASTE"/>
    <x v="0"/>
    <x v="11"/>
    <n v="35.784946236558703"/>
    <n v="13061.505376343899"/>
    <n v="47021.419354838203"/>
  </r>
  <r>
    <x v="0"/>
    <x v="0"/>
    <x v="0"/>
    <x v="5"/>
    <x v="9"/>
    <s v="NO1_A2"/>
    <x v="4"/>
    <s v="GBPR_MUNIWASTE"/>
    <x v="0"/>
    <x v="12"/>
    <n v="35.784946236558703"/>
    <n v="13061.505376343899"/>
    <n v="47021.419354838203"/>
  </r>
  <r>
    <x v="0"/>
    <x v="0"/>
    <x v="0"/>
    <x v="5"/>
    <x v="9"/>
    <s v="NO1_A2"/>
    <x v="4"/>
    <s v="GBPR_MUNIWASTE"/>
    <x v="0"/>
    <x v="13"/>
    <n v="35.784946236558703"/>
    <n v="13061.505376343899"/>
    <n v="47021.419354838203"/>
  </r>
  <r>
    <x v="0"/>
    <x v="0"/>
    <x v="0"/>
    <x v="5"/>
    <x v="9"/>
    <s v="NO1_A2"/>
    <x v="4"/>
    <s v="GBPR_MUNIWASTE"/>
    <x v="0"/>
    <x v="0"/>
    <n v="35.784946236558703"/>
    <n v="13061.505376343899"/>
    <n v="47021.419354838203"/>
  </r>
  <r>
    <x v="0"/>
    <x v="0"/>
    <x v="0"/>
    <x v="5"/>
    <x v="9"/>
    <s v="NO1_A2"/>
    <x v="4"/>
    <s v="GBPR_MUNIWASTE"/>
    <x v="0"/>
    <x v="14"/>
    <n v="35.784946236558703"/>
    <n v="13061.505376343899"/>
    <n v="47021.419354838203"/>
  </r>
  <r>
    <x v="0"/>
    <x v="0"/>
    <x v="0"/>
    <x v="5"/>
    <x v="9"/>
    <s v="NO1_A2"/>
    <x v="4"/>
    <s v="GBPR_MUNIWASTE"/>
    <x v="0"/>
    <x v="1"/>
    <n v="35.784946236558703"/>
    <n v="13061.505376343899"/>
    <n v="47021.419354838203"/>
  </r>
  <r>
    <x v="0"/>
    <x v="0"/>
    <x v="0"/>
    <x v="5"/>
    <x v="9"/>
    <s v="NO1_A2"/>
    <x v="4"/>
    <s v="GBPR_MUNIWASTE"/>
    <x v="0"/>
    <x v="23"/>
    <n v="35.784946236558703"/>
    <n v="13061.505376343899"/>
    <n v="47021.419354838203"/>
  </r>
  <r>
    <x v="0"/>
    <x v="0"/>
    <x v="0"/>
    <x v="5"/>
    <x v="9"/>
    <s v="NO1_A2"/>
    <x v="4"/>
    <s v="GBPR_MUNIWASTE"/>
    <x v="0"/>
    <x v="2"/>
    <n v="35.784946236558703"/>
    <n v="13061.505376343899"/>
    <n v="47021.419354838203"/>
  </r>
  <r>
    <x v="0"/>
    <x v="0"/>
    <x v="0"/>
    <x v="5"/>
    <x v="9"/>
    <s v="NO1_A2"/>
    <x v="4"/>
    <s v="GBPR_MUNIWASTE"/>
    <x v="0"/>
    <x v="3"/>
    <n v="35.784946236558703"/>
    <n v="13061.505376343899"/>
    <n v="47021.419354838203"/>
  </r>
  <r>
    <x v="0"/>
    <x v="0"/>
    <x v="0"/>
    <x v="5"/>
    <x v="9"/>
    <s v="NO1_A2"/>
    <x v="4"/>
    <s v="GBPR_MUNIWASTE"/>
    <x v="0"/>
    <x v="4"/>
    <n v="35.784946236558703"/>
    <n v="13061.505376343899"/>
    <n v="47021.419354838203"/>
  </r>
  <r>
    <x v="0"/>
    <x v="0"/>
    <x v="0"/>
    <x v="5"/>
    <x v="9"/>
    <s v="NO1_A2"/>
    <x v="4"/>
    <s v="GBPR_MUNIWASTE"/>
    <x v="0"/>
    <x v="5"/>
    <n v="35.784946236558703"/>
    <n v="13061.505376343899"/>
    <n v="47021.419354838203"/>
  </r>
  <r>
    <x v="0"/>
    <x v="0"/>
    <x v="0"/>
    <x v="5"/>
    <x v="9"/>
    <s v="NO1_A2"/>
    <x v="4"/>
    <s v="GBPR_MUNIWASTE"/>
    <x v="0"/>
    <x v="15"/>
    <n v="35.784946236558703"/>
    <n v="13061.505376343899"/>
    <n v="47021.419354838203"/>
  </r>
  <r>
    <x v="0"/>
    <x v="0"/>
    <x v="0"/>
    <x v="5"/>
    <x v="9"/>
    <s v="NO1_A2"/>
    <x v="4"/>
    <s v="GBPR_MUNIWASTE"/>
    <x v="0"/>
    <x v="6"/>
    <n v="35.784946236558703"/>
    <n v="13061.505376343899"/>
    <n v="47021.419354838203"/>
  </r>
  <r>
    <x v="0"/>
    <x v="0"/>
    <x v="0"/>
    <x v="5"/>
    <x v="9"/>
    <s v="NO1_A2"/>
    <x v="4"/>
    <s v="GBPR_MUNIWASTE"/>
    <x v="0"/>
    <x v="7"/>
    <n v="35.784946236558703"/>
    <n v="13061.505376343899"/>
    <n v="47021.419354838203"/>
  </r>
  <r>
    <x v="0"/>
    <x v="0"/>
    <x v="0"/>
    <x v="5"/>
    <x v="9"/>
    <s v="NO1_A2"/>
    <x v="4"/>
    <s v="GBPR_MUNIWASTE"/>
    <x v="0"/>
    <x v="8"/>
    <n v="35.784946236558703"/>
    <n v="13061.505376343899"/>
    <n v="47021.419354838203"/>
  </r>
  <r>
    <x v="0"/>
    <x v="0"/>
    <x v="0"/>
    <x v="5"/>
    <x v="9"/>
    <s v="NO1_A2"/>
    <x v="4"/>
    <s v="GBPR_MUNIWASTE"/>
    <x v="0"/>
    <x v="16"/>
    <n v="35.784946236558703"/>
    <n v="13061.505376343899"/>
    <n v="47021.419354838203"/>
  </r>
  <r>
    <x v="0"/>
    <x v="0"/>
    <x v="0"/>
    <x v="5"/>
    <x v="9"/>
    <s v="NO1_A2"/>
    <x v="4"/>
    <s v="GBPR_MUNIWASTE"/>
    <x v="0"/>
    <x v="17"/>
    <n v="35.784946236558703"/>
    <n v="13061.505376343899"/>
    <n v="47021.419354838203"/>
  </r>
  <r>
    <x v="0"/>
    <x v="0"/>
    <x v="0"/>
    <x v="5"/>
    <x v="9"/>
    <s v="NO1_A2"/>
    <x v="4"/>
    <s v="GBPR_MUNIWASTE"/>
    <x v="0"/>
    <x v="18"/>
    <n v="35.784946236558703"/>
    <n v="13061.505376343899"/>
    <n v="47021.419354838203"/>
  </r>
  <r>
    <x v="0"/>
    <x v="0"/>
    <x v="0"/>
    <x v="5"/>
    <x v="9"/>
    <s v="NO1_A2"/>
    <x v="4"/>
    <s v="GBPR_MUNIWASTE"/>
    <x v="0"/>
    <x v="19"/>
    <n v="35.784946236558703"/>
    <n v="13061.505376343899"/>
    <n v="47021.419354838203"/>
  </r>
  <r>
    <x v="0"/>
    <x v="0"/>
    <x v="0"/>
    <x v="5"/>
    <x v="9"/>
    <s v="NO1_A2"/>
    <x v="4"/>
    <s v="GBPR_MUNIWASTE"/>
    <x v="0"/>
    <x v="20"/>
    <n v="35.784946236558703"/>
    <n v="13061.505376343899"/>
    <n v="47021.419354838203"/>
  </r>
  <r>
    <x v="0"/>
    <x v="0"/>
    <x v="0"/>
    <x v="5"/>
    <x v="9"/>
    <s v="NO1_A2"/>
    <x v="4"/>
    <s v="GBPR_MUNIWASTE"/>
    <x v="0"/>
    <x v="21"/>
    <n v="35.784946236558703"/>
    <n v="13061.505376343899"/>
    <n v="47021.419354838203"/>
  </r>
  <r>
    <x v="0"/>
    <x v="0"/>
    <x v="0"/>
    <x v="5"/>
    <x v="9"/>
    <s v="NO1_A2"/>
    <x v="4"/>
    <s v="GBPR_MUNIWASTE"/>
    <x v="0"/>
    <x v="22"/>
    <n v="35.784946236558703"/>
    <n v="13061.505376343899"/>
    <n v="47021.419354838203"/>
  </r>
  <r>
    <x v="0"/>
    <x v="0"/>
    <x v="0"/>
    <x v="5"/>
    <x v="9"/>
    <s v="NO1_A2"/>
    <x v="4"/>
    <s v="GHOB_MUNIWASTE"/>
    <x v="0"/>
    <x v="9"/>
    <n v="32"/>
    <n v="11680"/>
    <n v="42048"/>
  </r>
  <r>
    <x v="0"/>
    <x v="0"/>
    <x v="0"/>
    <x v="5"/>
    <x v="9"/>
    <s v="NO1_A2"/>
    <x v="4"/>
    <s v="GHOB_MUNIWASTE"/>
    <x v="0"/>
    <x v="10"/>
    <n v="32"/>
    <n v="11680"/>
    <n v="42048"/>
  </r>
  <r>
    <x v="0"/>
    <x v="0"/>
    <x v="0"/>
    <x v="5"/>
    <x v="9"/>
    <s v="NO1_A2"/>
    <x v="4"/>
    <s v="GHOB_MUNIWASTE"/>
    <x v="0"/>
    <x v="11"/>
    <n v="32"/>
    <n v="11680"/>
    <n v="42048"/>
  </r>
  <r>
    <x v="0"/>
    <x v="0"/>
    <x v="0"/>
    <x v="5"/>
    <x v="9"/>
    <s v="NO1_A2"/>
    <x v="4"/>
    <s v="GHOB_MUNIWASTE"/>
    <x v="0"/>
    <x v="12"/>
    <n v="32"/>
    <n v="11680"/>
    <n v="42048"/>
  </r>
  <r>
    <x v="0"/>
    <x v="0"/>
    <x v="0"/>
    <x v="5"/>
    <x v="9"/>
    <s v="NO1_A2"/>
    <x v="4"/>
    <s v="GHOB_MUNIWASTE"/>
    <x v="0"/>
    <x v="13"/>
    <n v="32"/>
    <n v="11680"/>
    <n v="42048"/>
  </r>
  <r>
    <x v="0"/>
    <x v="0"/>
    <x v="0"/>
    <x v="5"/>
    <x v="9"/>
    <s v="NO1_A2"/>
    <x v="4"/>
    <s v="GHOB_MUNIWASTE"/>
    <x v="0"/>
    <x v="0"/>
    <n v="32"/>
    <n v="11680"/>
    <n v="42048"/>
  </r>
  <r>
    <x v="0"/>
    <x v="0"/>
    <x v="0"/>
    <x v="5"/>
    <x v="9"/>
    <s v="NO1_A2"/>
    <x v="4"/>
    <s v="GHOB_MUNIWASTE"/>
    <x v="0"/>
    <x v="14"/>
    <n v="32"/>
    <n v="11680"/>
    <n v="42048"/>
  </r>
  <r>
    <x v="0"/>
    <x v="0"/>
    <x v="0"/>
    <x v="5"/>
    <x v="9"/>
    <s v="NO1_A2"/>
    <x v="4"/>
    <s v="GHOB_MUNIWASTE"/>
    <x v="0"/>
    <x v="1"/>
    <n v="32"/>
    <n v="11680"/>
    <n v="42048"/>
  </r>
  <r>
    <x v="0"/>
    <x v="0"/>
    <x v="0"/>
    <x v="5"/>
    <x v="9"/>
    <s v="NO1_A2"/>
    <x v="4"/>
    <s v="GHOB_MUNIWASTE"/>
    <x v="0"/>
    <x v="23"/>
    <n v="32"/>
    <n v="11680"/>
    <n v="42048"/>
  </r>
  <r>
    <x v="0"/>
    <x v="0"/>
    <x v="0"/>
    <x v="5"/>
    <x v="9"/>
    <s v="NO1_A2"/>
    <x v="4"/>
    <s v="GHOB_MUNIWASTE"/>
    <x v="0"/>
    <x v="2"/>
    <n v="32"/>
    <n v="11680"/>
    <n v="42048"/>
  </r>
  <r>
    <x v="0"/>
    <x v="0"/>
    <x v="0"/>
    <x v="5"/>
    <x v="9"/>
    <s v="NO1_A2"/>
    <x v="4"/>
    <s v="GHOB_MUNIWASTE"/>
    <x v="0"/>
    <x v="3"/>
    <n v="32"/>
    <n v="11680"/>
    <n v="42048"/>
  </r>
  <r>
    <x v="0"/>
    <x v="0"/>
    <x v="0"/>
    <x v="5"/>
    <x v="9"/>
    <s v="NO1_A2"/>
    <x v="4"/>
    <s v="GHOB_MUNIWASTE"/>
    <x v="0"/>
    <x v="4"/>
    <n v="32"/>
    <n v="11680"/>
    <n v="42048"/>
  </r>
  <r>
    <x v="0"/>
    <x v="0"/>
    <x v="0"/>
    <x v="5"/>
    <x v="9"/>
    <s v="NO1_A2"/>
    <x v="4"/>
    <s v="GHOB_MUNIWASTE"/>
    <x v="0"/>
    <x v="5"/>
    <n v="32"/>
    <n v="11680"/>
    <n v="42048"/>
  </r>
  <r>
    <x v="0"/>
    <x v="0"/>
    <x v="0"/>
    <x v="5"/>
    <x v="9"/>
    <s v="NO1_A2"/>
    <x v="4"/>
    <s v="GHOB_MUNIWASTE"/>
    <x v="0"/>
    <x v="15"/>
    <n v="32"/>
    <n v="11680"/>
    <n v="42048"/>
  </r>
  <r>
    <x v="0"/>
    <x v="0"/>
    <x v="0"/>
    <x v="5"/>
    <x v="9"/>
    <s v="NO1_A2"/>
    <x v="4"/>
    <s v="GHOB_MUNIWASTE"/>
    <x v="0"/>
    <x v="6"/>
    <n v="32"/>
    <n v="11680"/>
    <n v="42048"/>
  </r>
  <r>
    <x v="0"/>
    <x v="0"/>
    <x v="0"/>
    <x v="5"/>
    <x v="9"/>
    <s v="NO1_A2"/>
    <x v="4"/>
    <s v="GHOB_MUNIWASTE"/>
    <x v="0"/>
    <x v="7"/>
    <n v="32"/>
    <n v="11680"/>
    <n v="42048"/>
  </r>
  <r>
    <x v="0"/>
    <x v="0"/>
    <x v="0"/>
    <x v="5"/>
    <x v="9"/>
    <s v="NO1_A2"/>
    <x v="4"/>
    <s v="GHOB_MUNIWASTE"/>
    <x v="0"/>
    <x v="8"/>
    <n v="32"/>
    <n v="11680"/>
    <n v="42048"/>
  </r>
  <r>
    <x v="0"/>
    <x v="0"/>
    <x v="0"/>
    <x v="5"/>
    <x v="9"/>
    <s v="NO1_A2"/>
    <x v="4"/>
    <s v="GHOB_MUNIWASTE"/>
    <x v="0"/>
    <x v="16"/>
    <n v="32"/>
    <n v="11680"/>
    <n v="42048"/>
  </r>
  <r>
    <x v="0"/>
    <x v="0"/>
    <x v="0"/>
    <x v="5"/>
    <x v="9"/>
    <s v="NO1_A2"/>
    <x v="4"/>
    <s v="GHOB_MUNIWASTE"/>
    <x v="0"/>
    <x v="17"/>
    <n v="32"/>
    <n v="11680"/>
    <n v="42048"/>
  </r>
  <r>
    <x v="0"/>
    <x v="0"/>
    <x v="0"/>
    <x v="5"/>
    <x v="9"/>
    <s v="NO1_A2"/>
    <x v="4"/>
    <s v="GHOB_MUNIWASTE"/>
    <x v="0"/>
    <x v="18"/>
    <n v="32"/>
    <n v="11680"/>
    <n v="42048"/>
  </r>
  <r>
    <x v="0"/>
    <x v="0"/>
    <x v="0"/>
    <x v="5"/>
    <x v="9"/>
    <s v="NO1_A2"/>
    <x v="4"/>
    <s v="GHOB_MUNIWASTE"/>
    <x v="0"/>
    <x v="19"/>
    <n v="32"/>
    <n v="11680"/>
    <n v="42048"/>
  </r>
  <r>
    <x v="0"/>
    <x v="0"/>
    <x v="0"/>
    <x v="5"/>
    <x v="9"/>
    <s v="NO1_A2"/>
    <x v="4"/>
    <s v="GHOB_MUNIWASTE"/>
    <x v="0"/>
    <x v="20"/>
    <n v="32"/>
    <n v="11680"/>
    <n v="42048"/>
  </r>
  <r>
    <x v="0"/>
    <x v="0"/>
    <x v="0"/>
    <x v="5"/>
    <x v="9"/>
    <s v="NO1_A2"/>
    <x v="4"/>
    <s v="GHOB_MUNIWASTE"/>
    <x v="0"/>
    <x v="21"/>
    <n v="32"/>
    <n v="11680"/>
    <n v="42048"/>
  </r>
  <r>
    <x v="0"/>
    <x v="0"/>
    <x v="0"/>
    <x v="5"/>
    <x v="9"/>
    <s v="NO1_A2"/>
    <x v="4"/>
    <s v="GHOB_MUNIWASTE"/>
    <x v="0"/>
    <x v="22"/>
    <n v="32"/>
    <n v="11680"/>
    <n v="42048"/>
  </r>
  <r>
    <x v="0"/>
    <x v="0"/>
    <x v="0"/>
    <x v="5"/>
    <x v="9"/>
    <s v="NO1_A2"/>
    <x v="8"/>
    <s v="GHOB_WOODWASTE"/>
    <x v="0"/>
    <x v="9"/>
    <n v="16"/>
    <n v="5840"/>
    <n v="21024"/>
  </r>
  <r>
    <x v="0"/>
    <x v="0"/>
    <x v="0"/>
    <x v="5"/>
    <x v="9"/>
    <s v="NO1_A2"/>
    <x v="8"/>
    <s v="GHOB_WOODWASTE"/>
    <x v="0"/>
    <x v="10"/>
    <n v="16"/>
    <n v="5840"/>
    <n v="21024"/>
  </r>
  <r>
    <x v="0"/>
    <x v="0"/>
    <x v="0"/>
    <x v="5"/>
    <x v="9"/>
    <s v="NO1_A2"/>
    <x v="8"/>
    <s v="GHOB_WOODWASTE"/>
    <x v="0"/>
    <x v="11"/>
    <n v="16"/>
    <n v="5840"/>
    <n v="21024"/>
  </r>
  <r>
    <x v="0"/>
    <x v="0"/>
    <x v="0"/>
    <x v="5"/>
    <x v="9"/>
    <s v="NO1_A2"/>
    <x v="8"/>
    <s v="GHOB_WOODWASTE"/>
    <x v="0"/>
    <x v="12"/>
    <n v="16"/>
    <n v="5840"/>
    <n v="21024"/>
  </r>
  <r>
    <x v="0"/>
    <x v="0"/>
    <x v="0"/>
    <x v="5"/>
    <x v="9"/>
    <s v="NO1_A2"/>
    <x v="8"/>
    <s v="GHOB_WOODWASTE"/>
    <x v="0"/>
    <x v="13"/>
    <n v="16"/>
    <n v="5840"/>
    <n v="21024"/>
  </r>
  <r>
    <x v="0"/>
    <x v="0"/>
    <x v="0"/>
    <x v="5"/>
    <x v="9"/>
    <s v="NO1_A2"/>
    <x v="8"/>
    <s v="GHOB_WOODWASTE"/>
    <x v="0"/>
    <x v="0"/>
    <n v="16"/>
    <n v="5840"/>
    <n v="21024"/>
  </r>
  <r>
    <x v="0"/>
    <x v="0"/>
    <x v="0"/>
    <x v="5"/>
    <x v="9"/>
    <s v="NO1_A2"/>
    <x v="8"/>
    <s v="GHOB_WOODWASTE"/>
    <x v="0"/>
    <x v="14"/>
    <n v="16"/>
    <n v="5840"/>
    <n v="21024"/>
  </r>
  <r>
    <x v="0"/>
    <x v="0"/>
    <x v="0"/>
    <x v="5"/>
    <x v="9"/>
    <s v="NO1_A2"/>
    <x v="8"/>
    <s v="GHOB_WOODWASTE"/>
    <x v="0"/>
    <x v="1"/>
    <n v="16"/>
    <n v="5840"/>
    <n v="21024"/>
  </r>
  <r>
    <x v="0"/>
    <x v="0"/>
    <x v="0"/>
    <x v="5"/>
    <x v="9"/>
    <s v="NO1_A2"/>
    <x v="8"/>
    <s v="GHOB_WOODWASTE"/>
    <x v="0"/>
    <x v="23"/>
    <n v="16"/>
    <n v="5840"/>
    <n v="21024"/>
  </r>
  <r>
    <x v="0"/>
    <x v="0"/>
    <x v="0"/>
    <x v="5"/>
    <x v="9"/>
    <s v="NO1_A2"/>
    <x v="8"/>
    <s v="GHOB_WOODWASTE"/>
    <x v="0"/>
    <x v="2"/>
    <n v="16"/>
    <n v="5840"/>
    <n v="21024"/>
  </r>
  <r>
    <x v="0"/>
    <x v="0"/>
    <x v="0"/>
    <x v="5"/>
    <x v="9"/>
    <s v="NO1_A2"/>
    <x v="8"/>
    <s v="GHOB_WOODWASTE"/>
    <x v="0"/>
    <x v="3"/>
    <n v="16"/>
    <n v="5840"/>
    <n v="21024"/>
  </r>
  <r>
    <x v="0"/>
    <x v="0"/>
    <x v="0"/>
    <x v="5"/>
    <x v="9"/>
    <s v="NO1_A2"/>
    <x v="8"/>
    <s v="GHOB_WOODWASTE"/>
    <x v="0"/>
    <x v="4"/>
    <n v="16"/>
    <n v="5840"/>
    <n v="21024"/>
  </r>
  <r>
    <x v="0"/>
    <x v="0"/>
    <x v="0"/>
    <x v="5"/>
    <x v="9"/>
    <s v="NO1_A2"/>
    <x v="8"/>
    <s v="GHOB_WOODWASTE"/>
    <x v="0"/>
    <x v="5"/>
    <n v="16"/>
    <n v="5840"/>
    <n v="21024"/>
  </r>
  <r>
    <x v="0"/>
    <x v="0"/>
    <x v="0"/>
    <x v="5"/>
    <x v="9"/>
    <s v="NO1_A2"/>
    <x v="8"/>
    <s v="GHOB_WOODWASTE"/>
    <x v="0"/>
    <x v="15"/>
    <n v="16"/>
    <n v="5840"/>
    <n v="21024"/>
  </r>
  <r>
    <x v="0"/>
    <x v="0"/>
    <x v="0"/>
    <x v="5"/>
    <x v="9"/>
    <s v="NO1_A2"/>
    <x v="8"/>
    <s v="GHOB_WOODWASTE"/>
    <x v="0"/>
    <x v="6"/>
    <n v="16"/>
    <n v="5840"/>
    <n v="21024"/>
  </r>
  <r>
    <x v="0"/>
    <x v="0"/>
    <x v="0"/>
    <x v="5"/>
    <x v="9"/>
    <s v="NO1_A2"/>
    <x v="8"/>
    <s v="GHOB_WOODWASTE"/>
    <x v="0"/>
    <x v="7"/>
    <n v="16"/>
    <n v="5840"/>
    <n v="21024"/>
  </r>
  <r>
    <x v="0"/>
    <x v="0"/>
    <x v="0"/>
    <x v="5"/>
    <x v="9"/>
    <s v="NO1_A2"/>
    <x v="8"/>
    <s v="GHOB_WOODWASTE"/>
    <x v="0"/>
    <x v="8"/>
    <n v="16"/>
    <n v="5840"/>
    <n v="21024"/>
  </r>
  <r>
    <x v="0"/>
    <x v="0"/>
    <x v="0"/>
    <x v="5"/>
    <x v="9"/>
    <s v="NO1_A2"/>
    <x v="8"/>
    <s v="GHOB_WOODWASTE"/>
    <x v="0"/>
    <x v="16"/>
    <n v="16"/>
    <n v="5840"/>
    <n v="21024"/>
  </r>
  <r>
    <x v="0"/>
    <x v="0"/>
    <x v="0"/>
    <x v="5"/>
    <x v="9"/>
    <s v="NO1_A2"/>
    <x v="8"/>
    <s v="GHOB_WOODWASTE"/>
    <x v="0"/>
    <x v="17"/>
    <n v="16"/>
    <n v="5840"/>
    <n v="21024"/>
  </r>
  <r>
    <x v="0"/>
    <x v="0"/>
    <x v="0"/>
    <x v="5"/>
    <x v="9"/>
    <s v="NO1_A2"/>
    <x v="8"/>
    <s v="GHOB_WOODWASTE"/>
    <x v="0"/>
    <x v="18"/>
    <n v="16"/>
    <n v="5840"/>
    <n v="21024"/>
  </r>
  <r>
    <x v="0"/>
    <x v="0"/>
    <x v="0"/>
    <x v="5"/>
    <x v="9"/>
    <s v="NO1_A2"/>
    <x v="8"/>
    <s v="GHOB_WOODWASTE"/>
    <x v="0"/>
    <x v="19"/>
    <n v="16"/>
    <n v="5840"/>
    <n v="21024"/>
  </r>
  <r>
    <x v="0"/>
    <x v="0"/>
    <x v="0"/>
    <x v="5"/>
    <x v="9"/>
    <s v="NO1_A2"/>
    <x v="8"/>
    <s v="GHOB_WOODWASTE"/>
    <x v="0"/>
    <x v="20"/>
    <n v="16"/>
    <n v="5840"/>
    <n v="21024"/>
  </r>
  <r>
    <x v="0"/>
    <x v="0"/>
    <x v="0"/>
    <x v="5"/>
    <x v="9"/>
    <s v="NO1_A2"/>
    <x v="8"/>
    <s v="GHOB_WOODWASTE"/>
    <x v="0"/>
    <x v="21"/>
    <n v="16"/>
    <n v="5840"/>
    <n v="21024"/>
  </r>
  <r>
    <x v="0"/>
    <x v="0"/>
    <x v="0"/>
    <x v="5"/>
    <x v="9"/>
    <s v="NO1_A2"/>
    <x v="8"/>
    <s v="GHOB_WOODWASTE"/>
    <x v="0"/>
    <x v="22"/>
    <n v="16"/>
    <n v="5840"/>
    <n v="21024"/>
  </r>
  <r>
    <x v="0"/>
    <x v="0"/>
    <x v="0"/>
    <x v="5"/>
    <x v="10"/>
    <s v="NO2_A1"/>
    <x v="1"/>
    <s v="GNR_HS_HEAT_WTR-TANK_LS_E-95_Y-2010"/>
    <x v="0"/>
    <x v="7"/>
    <n v="0.54040127825044204"/>
    <n v="197.24646656141101"/>
    <n v="710.08727962108105"/>
  </r>
  <r>
    <x v="0"/>
    <x v="0"/>
    <x v="0"/>
    <x v="5"/>
    <x v="10"/>
    <s v="NO2_A1"/>
    <x v="1"/>
    <s v="GNR_HS_HEAT_WTR-TANK_LS_E-95_Y-2010"/>
    <x v="0"/>
    <x v="8"/>
    <n v="3.2651448637930298"/>
    <n v="1191.7778752844599"/>
    <n v="4290.40035102405"/>
  </r>
  <r>
    <x v="0"/>
    <x v="0"/>
    <x v="0"/>
    <x v="5"/>
    <x v="10"/>
    <s v="NO2_A1"/>
    <x v="1"/>
    <s v="GNR_HS_HEAT_WTR-TANK_LS_E-95_Y-2010"/>
    <x v="0"/>
    <x v="21"/>
    <n v="2.00238220198804"/>
    <n v="730.86950372563604"/>
    <n v="2631.1302134122898"/>
  </r>
  <r>
    <x v="0"/>
    <x v="0"/>
    <x v="0"/>
    <x v="5"/>
    <x v="10"/>
    <s v="NO2_A1"/>
    <x v="1"/>
    <s v="GNR_HS_HEAT_WTR-TANK_LS_E-95_Y-2010"/>
    <x v="0"/>
    <x v="22"/>
    <n v="0.87007329945823497"/>
    <n v="317.57675430225601"/>
    <n v="1143.27631548812"/>
  </r>
  <r>
    <x v="0"/>
    <x v="0"/>
    <x v="0"/>
    <x v="5"/>
    <x v="10"/>
    <s v="NO2_A1"/>
    <x v="14"/>
    <s v="GHOB_LNG"/>
    <x v="0"/>
    <x v="1"/>
    <n v="1.7109338413650701"/>
    <n v="624.49085209825"/>
    <n v="2248.1670675536998"/>
  </r>
  <r>
    <x v="0"/>
    <x v="0"/>
    <x v="0"/>
    <x v="5"/>
    <x v="10"/>
    <s v="NO2_A1"/>
    <x v="14"/>
    <s v="GHOB_LNG"/>
    <x v="0"/>
    <x v="23"/>
    <n v="2.6991094241138001"/>
    <n v="985.17493980153699"/>
    <n v="3546.6297832855298"/>
  </r>
  <r>
    <x v="0"/>
    <x v="0"/>
    <x v="0"/>
    <x v="5"/>
    <x v="10"/>
    <s v="NO2_A1"/>
    <x v="14"/>
    <s v="GHOB_LNG"/>
    <x v="0"/>
    <x v="2"/>
    <n v="1.33218219966673"/>
    <n v="486.24650287835499"/>
    <n v="1750.48741036208"/>
  </r>
  <r>
    <x v="0"/>
    <x v="0"/>
    <x v="0"/>
    <x v="5"/>
    <x v="10"/>
    <s v="NO2_A1"/>
    <x v="14"/>
    <s v="GHOB_LPG"/>
    <x v="0"/>
    <x v="0"/>
    <n v="2.6912796627234399"/>
    <n v="982.31707689405505"/>
    <n v="3536.3414768185999"/>
  </r>
  <r>
    <x v="0"/>
    <x v="0"/>
    <x v="0"/>
    <x v="5"/>
    <x v="10"/>
    <s v="NO2_A1"/>
    <x v="14"/>
    <s v="GHOB_LPG"/>
    <x v="0"/>
    <x v="14"/>
    <n v="9.5169921524676209"/>
    <n v="3473.7021356506798"/>
    <n v="12505.327688342501"/>
  </r>
  <r>
    <x v="0"/>
    <x v="0"/>
    <x v="0"/>
    <x v="5"/>
    <x v="10"/>
    <s v="NO2_A1"/>
    <x v="14"/>
    <s v="GHOB_LPG"/>
    <x v="0"/>
    <x v="1"/>
    <n v="14"/>
    <n v="5110"/>
    <n v="18396"/>
  </r>
  <r>
    <x v="0"/>
    <x v="0"/>
    <x v="0"/>
    <x v="5"/>
    <x v="10"/>
    <s v="NO2_A1"/>
    <x v="14"/>
    <s v="GHOB_LPG"/>
    <x v="0"/>
    <x v="23"/>
    <n v="14"/>
    <n v="5110"/>
    <n v="18396"/>
  </r>
  <r>
    <x v="0"/>
    <x v="0"/>
    <x v="0"/>
    <x v="5"/>
    <x v="10"/>
    <s v="NO2_A1"/>
    <x v="14"/>
    <s v="GHOB_LPG"/>
    <x v="0"/>
    <x v="2"/>
    <n v="14"/>
    <n v="5110"/>
    <n v="18396"/>
  </r>
  <r>
    <x v="0"/>
    <x v="0"/>
    <x v="0"/>
    <x v="5"/>
    <x v="10"/>
    <s v="NO2_A1"/>
    <x v="14"/>
    <s v="GHOB_LPG"/>
    <x v="0"/>
    <x v="3"/>
    <n v="13.4493599784059"/>
    <n v="4909.0163921181502"/>
    <n v="17672.4590116254"/>
  </r>
  <r>
    <x v="0"/>
    <x v="0"/>
    <x v="0"/>
    <x v="5"/>
    <x v="10"/>
    <s v="NO2_A1"/>
    <x v="14"/>
    <s v="GHOB_LPG"/>
    <x v="0"/>
    <x v="4"/>
    <n v="11.777433891431"/>
    <n v="4298.7633703723104"/>
    <n v="15475.5481333403"/>
  </r>
  <r>
    <x v="0"/>
    <x v="0"/>
    <x v="0"/>
    <x v="5"/>
    <x v="10"/>
    <s v="NO2_A1"/>
    <x v="14"/>
    <s v="GHOB_LPG"/>
    <x v="0"/>
    <x v="5"/>
    <n v="10.362867129194999"/>
    <n v="3782.44650215619"/>
    <n v="13616.8074077623"/>
  </r>
  <r>
    <x v="0"/>
    <x v="0"/>
    <x v="0"/>
    <x v="5"/>
    <x v="10"/>
    <s v="NO2_A1"/>
    <x v="14"/>
    <s v="GHOB_LPG"/>
    <x v="0"/>
    <x v="15"/>
    <n v="9.6762484490568408"/>
    <n v="3531.83068390575"/>
    <n v="12714.5904620607"/>
  </r>
  <r>
    <x v="0"/>
    <x v="0"/>
    <x v="0"/>
    <x v="5"/>
    <x v="10"/>
    <s v="NO2_A1"/>
    <x v="14"/>
    <s v="GHOB_LPG"/>
    <x v="0"/>
    <x v="6"/>
    <n v="8.3021556859271808"/>
    <n v="3030.2868253634201"/>
    <n v="10909.0325713083"/>
  </r>
  <r>
    <x v="0"/>
    <x v="0"/>
    <x v="0"/>
    <x v="5"/>
    <x v="10"/>
    <s v="NO2_A1"/>
    <x v="14"/>
    <s v="GHOB_LPG"/>
    <x v="0"/>
    <x v="7"/>
    <n v="5.78415784840087"/>
    <n v="2111.2176146663201"/>
    <n v="7600.3834127987402"/>
  </r>
  <r>
    <x v="0"/>
    <x v="0"/>
    <x v="0"/>
    <x v="5"/>
    <x v="10"/>
    <s v="NO2_A1"/>
    <x v="14"/>
    <s v="GHOB_LPG"/>
    <x v="0"/>
    <x v="16"/>
    <n v="0.56656462234958105"/>
    <n v="206.79608715759699"/>
    <n v="744.46591376735"/>
  </r>
  <r>
    <x v="0"/>
    <x v="0"/>
    <x v="0"/>
    <x v="5"/>
    <x v="10"/>
    <s v="NO2_A1"/>
    <x v="4"/>
    <s v="GBPR_MUNIWASTE"/>
    <x v="0"/>
    <x v="9"/>
    <n v="34.838709677419402"/>
    <n v="12716.129032258101"/>
    <n v="45778.064516129001"/>
  </r>
  <r>
    <x v="0"/>
    <x v="0"/>
    <x v="0"/>
    <x v="5"/>
    <x v="10"/>
    <s v="NO2_A1"/>
    <x v="4"/>
    <s v="GBPR_MUNIWASTE"/>
    <x v="0"/>
    <x v="10"/>
    <n v="34.838709677419402"/>
    <n v="12716.129032258101"/>
    <n v="45778.064516129001"/>
  </r>
  <r>
    <x v="0"/>
    <x v="0"/>
    <x v="0"/>
    <x v="5"/>
    <x v="10"/>
    <s v="NO2_A1"/>
    <x v="4"/>
    <s v="GBPR_MUNIWASTE"/>
    <x v="0"/>
    <x v="11"/>
    <n v="34.838709677419402"/>
    <n v="12716.129032258101"/>
    <n v="45778.064516129001"/>
  </r>
  <r>
    <x v="0"/>
    <x v="0"/>
    <x v="0"/>
    <x v="5"/>
    <x v="10"/>
    <s v="NO2_A1"/>
    <x v="4"/>
    <s v="GBPR_MUNIWASTE"/>
    <x v="0"/>
    <x v="12"/>
    <n v="34.838709677419402"/>
    <n v="12716.129032258101"/>
    <n v="45778.064516129001"/>
  </r>
  <r>
    <x v="0"/>
    <x v="0"/>
    <x v="0"/>
    <x v="5"/>
    <x v="10"/>
    <s v="NO2_A1"/>
    <x v="4"/>
    <s v="GBPR_MUNIWASTE"/>
    <x v="0"/>
    <x v="13"/>
    <n v="34.838709677419402"/>
    <n v="12716.129032258101"/>
    <n v="45778.064516129001"/>
  </r>
  <r>
    <x v="0"/>
    <x v="0"/>
    <x v="0"/>
    <x v="5"/>
    <x v="10"/>
    <s v="NO2_A1"/>
    <x v="4"/>
    <s v="GBPR_MUNIWASTE"/>
    <x v="0"/>
    <x v="0"/>
    <n v="34.838709677419402"/>
    <n v="12716.129032258101"/>
    <n v="45778.064516129001"/>
  </r>
  <r>
    <x v="0"/>
    <x v="0"/>
    <x v="0"/>
    <x v="5"/>
    <x v="10"/>
    <s v="NO2_A1"/>
    <x v="4"/>
    <s v="GBPR_MUNIWASTE"/>
    <x v="0"/>
    <x v="14"/>
    <n v="34.838709677419402"/>
    <n v="12716.129032258101"/>
    <n v="45778.064516129001"/>
  </r>
  <r>
    <x v="0"/>
    <x v="0"/>
    <x v="0"/>
    <x v="5"/>
    <x v="10"/>
    <s v="NO2_A1"/>
    <x v="4"/>
    <s v="GBPR_MUNIWASTE"/>
    <x v="0"/>
    <x v="1"/>
    <n v="34.838709677419402"/>
    <n v="12716.129032258101"/>
    <n v="45778.064516129001"/>
  </r>
  <r>
    <x v="0"/>
    <x v="0"/>
    <x v="0"/>
    <x v="5"/>
    <x v="10"/>
    <s v="NO2_A1"/>
    <x v="4"/>
    <s v="GBPR_MUNIWASTE"/>
    <x v="0"/>
    <x v="23"/>
    <n v="34.838709677419402"/>
    <n v="12716.129032258101"/>
    <n v="45778.064516129001"/>
  </r>
  <r>
    <x v="0"/>
    <x v="0"/>
    <x v="0"/>
    <x v="5"/>
    <x v="10"/>
    <s v="NO2_A1"/>
    <x v="4"/>
    <s v="GBPR_MUNIWASTE"/>
    <x v="0"/>
    <x v="2"/>
    <n v="34.838709677419402"/>
    <n v="12716.129032258101"/>
    <n v="45778.064516129001"/>
  </r>
  <r>
    <x v="0"/>
    <x v="0"/>
    <x v="0"/>
    <x v="5"/>
    <x v="10"/>
    <s v="NO2_A1"/>
    <x v="4"/>
    <s v="GBPR_MUNIWASTE"/>
    <x v="0"/>
    <x v="3"/>
    <n v="34.838709677419402"/>
    <n v="12716.129032258101"/>
    <n v="45778.064516129001"/>
  </r>
  <r>
    <x v="0"/>
    <x v="0"/>
    <x v="0"/>
    <x v="5"/>
    <x v="10"/>
    <s v="NO2_A1"/>
    <x v="4"/>
    <s v="GBPR_MUNIWASTE"/>
    <x v="0"/>
    <x v="4"/>
    <n v="34.838709677419402"/>
    <n v="12716.129032258101"/>
    <n v="45778.064516129001"/>
  </r>
  <r>
    <x v="0"/>
    <x v="0"/>
    <x v="0"/>
    <x v="5"/>
    <x v="10"/>
    <s v="NO2_A1"/>
    <x v="4"/>
    <s v="GBPR_MUNIWASTE"/>
    <x v="0"/>
    <x v="5"/>
    <n v="34.838709677419402"/>
    <n v="12716.129032258101"/>
    <n v="45778.064516129001"/>
  </r>
  <r>
    <x v="0"/>
    <x v="0"/>
    <x v="0"/>
    <x v="5"/>
    <x v="10"/>
    <s v="NO2_A1"/>
    <x v="4"/>
    <s v="GBPR_MUNIWASTE"/>
    <x v="0"/>
    <x v="15"/>
    <n v="34.838709677419402"/>
    <n v="12716.129032258101"/>
    <n v="45778.064516129001"/>
  </r>
  <r>
    <x v="0"/>
    <x v="0"/>
    <x v="0"/>
    <x v="5"/>
    <x v="10"/>
    <s v="NO2_A1"/>
    <x v="4"/>
    <s v="GBPR_MUNIWASTE"/>
    <x v="0"/>
    <x v="6"/>
    <n v="34.838709677419402"/>
    <n v="12716.129032258101"/>
    <n v="45778.064516129001"/>
  </r>
  <r>
    <x v="0"/>
    <x v="0"/>
    <x v="0"/>
    <x v="5"/>
    <x v="10"/>
    <s v="NO2_A1"/>
    <x v="4"/>
    <s v="GBPR_MUNIWASTE"/>
    <x v="0"/>
    <x v="7"/>
    <n v="34.838709677419402"/>
    <n v="12716.129032258101"/>
    <n v="45778.064516129001"/>
  </r>
  <r>
    <x v="0"/>
    <x v="0"/>
    <x v="0"/>
    <x v="5"/>
    <x v="10"/>
    <s v="NO2_A1"/>
    <x v="4"/>
    <s v="GBPR_MUNIWASTE"/>
    <x v="0"/>
    <x v="8"/>
    <n v="34.838709677419402"/>
    <n v="12716.129032258101"/>
    <n v="45778.064516129001"/>
  </r>
  <r>
    <x v="0"/>
    <x v="0"/>
    <x v="0"/>
    <x v="5"/>
    <x v="10"/>
    <s v="NO2_A1"/>
    <x v="4"/>
    <s v="GBPR_MUNIWASTE"/>
    <x v="0"/>
    <x v="16"/>
    <n v="34.838709677419402"/>
    <n v="12716.129032258101"/>
    <n v="45778.064516129001"/>
  </r>
  <r>
    <x v="0"/>
    <x v="0"/>
    <x v="0"/>
    <x v="5"/>
    <x v="10"/>
    <s v="NO2_A1"/>
    <x v="4"/>
    <s v="GBPR_MUNIWASTE"/>
    <x v="0"/>
    <x v="17"/>
    <n v="34.838709677419402"/>
    <n v="12716.129032258101"/>
    <n v="45778.064516129001"/>
  </r>
  <r>
    <x v="0"/>
    <x v="0"/>
    <x v="0"/>
    <x v="5"/>
    <x v="10"/>
    <s v="NO2_A1"/>
    <x v="4"/>
    <s v="GBPR_MUNIWASTE"/>
    <x v="0"/>
    <x v="18"/>
    <n v="34.838709677419402"/>
    <n v="12716.129032258101"/>
    <n v="45778.064516129001"/>
  </r>
  <r>
    <x v="0"/>
    <x v="0"/>
    <x v="0"/>
    <x v="5"/>
    <x v="10"/>
    <s v="NO2_A1"/>
    <x v="4"/>
    <s v="GBPR_MUNIWASTE"/>
    <x v="0"/>
    <x v="19"/>
    <n v="34.838709677419402"/>
    <n v="12716.129032258101"/>
    <n v="45778.064516129001"/>
  </r>
  <r>
    <x v="0"/>
    <x v="0"/>
    <x v="0"/>
    <x v="5"/>
    <x v="10"/>
    <s v="NO2_A1"/>
    <x v="4"/>
    <s v="GBPR_MUNIWASTE"/>
    <x v="0"/>
    <x v="20"/>
    <n v="34.838709677419402"/>
    <n v="12716.129032258101"/>
    <n v="45778.064516129001"/>
  </r>
  <r>
    <x v="0"/>
    <x v="0"/>
    <x v="0"/>
    <x v="5"/>
    <x v="10"/>
    <s v="NO2_A1"/>
    <x v="4"/>
    <s v="GBPR_MUNIWASTE"/>
    <x v="0"/>
    <x v="21"/>
    <n v="34.838709677419402"/>
    <n v="12716.129032258101"/>
    <n v="45778.064516129001"/>
  </r>
  <r>
    <x v="0"/>
    <x v="0"/>
    <x v="0"/>
    <x v="5"/>
    <x v="10"/>
    <s v="NO2_A1"/>
    <x v="4"/>
    <s v="GBPR_MUNIWASTE"/>
    <x v="0"/>
    <x v="22"/>
    <n v="34.838709677419402"/>
    <n v="12716.129032258101"/>
    <n v="45778.064516129001"/>
  </r>
  <r>
    <x v="0"/>
    <x v="0"/>
    <x v="0"/>
    <x v="5"/>
    <x v="10"/>
    <s v="NO2_A1"/>
    <x v="2"/>
    <s v="GHOB_WASTEHEAT"/>
    <x v="0"/>
    <x v="9"/>
    <n v="2.1038652032386098"/>
    <n v="767.91079918209095"/>
    <n v="2764.4788770555301"/>
  </r>
  <r>
    <x v="0"/>
    <x v="0"/>
    <x v="0"/>
    <x v="5"/>
    <x v="10"/>
    <s v="NO2_A1"/>
    <x v="2"/>
    <s v="GHOB_WASTEHEAT"/>
    <x v="0"/>
    <x v="10"/>
    <n v="1.9994299829472599"/>
    <n v="729.791943775748"/>
    <n v="2627.2509975926901"/>
  </r>
  <r>
    <x v="0"/>
    <x v="0"/>
    <x v="0"/>
    <x v="5"/>
    <x v="10"/>
    <s v="NO2_A1"/>
    <x v="2"/>
    <s v="GHOB_WASTEHEAT"/>
    <x v="0"/>
    <x v="11"/>
    <n v="2.3278840909490399"/>
    <n v="849.67769319640001"/>
    <n v="3058.8396955070398"/>
  </r>
  <r>
    <x v="0"/>
    <x v="0"/>
    <x v="0"/>
    <x v="5"/>
    <x v="10"/>
    <s v="NO2_A1"/>
    <x v="2"/>
    <s v="GHOB_WASTEHEAT"/>
    <x v="0"/>
    <x v="12"/>
    <n v="3.2303621339266502"/>
    <n v="1179.08217888323"/>
    <n v="4244.6958439796099"/>
  </r>
  <r>
    <x v="0"/>
    <x v="0"/>
    <x v="0"/>
    <x v="5"/>
    <x v="10"/>
    <s v="NO2_A1"/>
    <x v="2"/>
    <s v="GHOB_WASTEHEAT"/>
    <x v="0"/>
    <x v="13"/>
    <n v="5.31347482832411"/>
    <n v="1939.4183123383"/>
    <n v="6981.9059244178798"/>
  </r>
  <r>
    <x v="0"/>
    <x v="0"/>
    <x v="0"/>
    <x v="5"/>
    <x v="10"/>
    <s v="NO2_A1"/>
    <x v="2"/>
    <s v="GHOB_WASTEHEAT"/>
    <x v="0"/>
    <x v="0"/>
    <n v="5.8693910256409998"/>
    <n v="2142.32772435897"/>
    <n v="7712.3798076922803"/>
  </r>
  <r>
    <x v="0"/>
    <x v="0"/>
    <x v="0"/>
    <x v="5"/>
    <x v="10"/>
    <s v="NO2_A1"/>
    <x v="2"/>
    <s v="GHOB_WASTEHEAT"/>
    <x v="0"/>
    <x v="14"/>
    <n v="5.8693910256409998"/>
    <n v="2142.32772435897"/>
    <n v="7712.3798076922803"/>
  </r>
  <r>
    <x v="0"/>
    <x v="0"/>
    <x v="0"/>
    <x v="5"/>
    <x v="10"/>
    <s v="NO2_A1"/>
    <x v="2"/>
    <s v="GHOB_WASTEHEAT"/>
    <x v="0"/>
    <x v="1"/>
    <n v="5.8693910256409998"/>
    <n v="2142.32772435897"/>
    <n v="7712.3798076922803"/>
  </r>
  <r>
    <x v="0"/>
    <x v="0"/>
    <x v="0"/>
    <x v="5"/>
    <x v="10"/>
    <s v="NO2_A1"/>
    <x v="2"/>
    <s v="GHOB_WASTEHEAT"/>
    <x v="0"/>
    <x v="23"/>
    <n v="5.8693910256409998"/>
    <n v="2142.32772435897"/>
    <n v="7712.3798076922803"/>
  </r>
  <r>
    <x v="0"/>
    <x v="0"/>
    <x v="0"/>
    <x v="5"/>
    <x v="10"/>
    <s v="NO2_A1"/>
    <x v="2"/>
    <s v="GHOB_WASTEHEAT"/>
    <x v="0"/>
    <x v="2"/>
    <n v="5.8693910256409998"/>
    <n v="2142.32772435897"/>
    <n v="7712.3798076922803"/>
  </r>
  <r>
    <x v="0"/>
    <x v="0"/>
    <x v="0"/>
    <x v="5"/>
    <x v="10"/>
    <s v="NO2_A1"/>
    <x v="2"/>
    <s v="GHOB_WASTEHEAT"/>
    <x v="0"/>
    <x v="3"/>
    <n v="5.8693910256409998"/>
    <n v="2142.32772435897"/>
    <n v="7712.3798076922803"/>
  </r>
  <r>
    <x v="0"/>
    <x v="0"/>
    <x v="0"/>
    <x v="5"/>
    <x v="10"/>
    <s v="NO2_A1"/>
    <x v="2"/>
    <s v="GHOB_WASTEHEAT"/>
    <x v="0"/>
    <x v="4"/>
    <n v="5.8693910256409998"/>
    <n v="2142.32772435897"/>
    <n v="7712.3798076922803"/>
  </r>
  <r>
    <x v="0"/>
    <x v="0"/>
    <x v="0"/>
    <x v="5"/>
    <x v="10"/>
    <s v="NO2_A1"/>
    <x v="2"/>
    <s v="GHOB_WASTEHEAT"/>
    <x v="0"/>
    <x v="5"/>
    <n v="5.8693910256409998"/>
    <n v="2142.32772435897"/>
    <n v="7712.3798076922803"/>
  </r>
  <r>
    <x v="0"/>
    <x v="0"/>
    <x v="0"/>
    <x v="5"/>
    <x v="10"/>
    <s v="NO2_A1"/>
    <x v="2"/>
    <s v="GHOB_WASTEHEAT"/>
    <x v="0"/>
    <x v="15"/>
    <n v="5.8693910256409998"/>
    <n v="2142.32772435897"/>
    <n v="7712.3798076922803"/>
  </r>
  <r>
    <x v="0"/>
    <x v="0"/>
    <x v="0"/>
    <x v="5"/>
    <x v="10"/>
    <s v="NO2_A1"/>
    <x v="2"/>
    <s v="GHOB_WASTEHEAT"/>
    <x v="0"/>
    <x v="6"/>
    <n v="5.8693910256409998"/>
    <n v="2142.32772435897"/>
    <n v="7712.3798076922803"/>
  </r>
  <r>
    <x v="0"/>
    <x v="0"/>
    <x v="0"/>
    <x v="5"/>
    <x v="10"/>
    <s v="NO2_A1"/>
    <x v="2"/>
    <s v="GHOB_WASTEHEAT"/>
    <x v="0"/>
    <x v="7"/>
    <n v="5.8693910256409998"/>
    <n v="2142.32772435897"/>
    <n v="7712.3798076922803"/>
  </r>
  <r>
    <x v="0"/>
    <x v="0"/>
    <x v="0"/>
    <x v="5"/>
    <x v="10"/>
    <s v="NO2_A1"/>
    <x v="2"/>
    <s v="GHOB_WASTEHEAT"/>
    <x v="0"/>
    <x v="8"/>
    <n v="5.8693910256409998"/>
    <n v="2142.32772435897"/>
    <n v="7712.3798076922803"/>
  </r>
  <r>
    <x v="0"/>
    <x v="0"/>
    <x v="0"/>
    <x v="5"/>
    <x v="10"/>
    <s v="NO2_A1"/>
    <x v="2"/>
    <s v="GHOB_WASTEHEAT"/>
    <x v="0"/>
    <x v="16"/>
    <n v="5.8693910256409998"/>
    <n v="2142.32772435897"/>
    <n v="7712.3798076922803"/>
  </r>
  <r>
    <x v="0"/>
    <x v="0"/>
    <x v="0"/>
    <x v="5"/>
    <x v="10"/>
    <s v="NO2_A1"/>
    <x v="2"/>
    <s v="GHOB_WASTEHEAT"/>
    <x v="0"/>
    <x v="17"/>
    <n v="5.3334396681759202"/>
    <n v="1946.7054788842099"/>
    <n v="7008.1397239831604"/>
  </r>
  <r>
    <x v="0"/>
    <x v="0"/>
    <x v="0"/>
    <x v="5"/>
    <x v="10"/>
    <s v="NO2_A1"/>
    <x v="2"/>
    <s v="GHOB_WASTEHEAT"/>
    <x v="0"/>
    <x v="18"/>
    <n v="3.9801805055357802"/>
    <n v="1452.7658845205599"/>
    <n v="5229.9571842740097"/>
  </r>
  <r>
    <x v="0"/>
    <x v="0"/>
    <x v="0"/>
    <x v="5"/>
    <x v="10"/>
    <s v="NO2_A1"/>
    <x v="2"/>
    <s v="GHOB_WASTEHEAT"/>
    <x v="0"/>
    <x v="19"/>
    <n v="2.5887560158767"/>
    <n v="944.89594579499703"/>
    <n v="3401.6254048619899"/>
  </r>
  <r>
    <x v="0"/>
    <x v="0"/>
    <x v="0"/>
    <x v="5"/>
    <x v="10"/>
    <s v="NO2_A1"/>
    <x v="2"/>
    <s v="GHOB_WASTEHEAT"/>
    <x v="0"/>
    <x v="20"/>
    <n v="0.184639769344912"/>
    <n v="67.393515810892893"/>
    <n v="242.61665691921399"/>
  </r>
  <r>
    <x v="0"/>
    <x v="0"/>
    <x v="0"/>
    <x v="5"/>
    <x v="11"/>
    <s v="NO3_A1"/>
    <x v="14"/>
    <s v="GHOB_LNG"/>
    <x v="0"/>
    <x v="0"/>
    <n v="8.2397846461598192"/>
    <n v="3007.52139584834"/>
    <n v="10827.077025054001"/>
  </r>
  <r>
    <x v="0"/>
    <x v="0"/>
    <x v="0"/>
    <x v="5"/>
    <x v="11"/>
    <s v="NO3_A1"/>
    <x v="14"/>
    <s v="GHOB_LNG"/>
    <x v="0"/>
    <x v="1"/>
    <n v="3.1050312092362602"/>
    <n v="1133.3363913712301"/>
    <n v="4080.0110089364398"/>
  </r>
  <r>
    <x v="0"/>
    <x v="0"/>
    <x v="0"/>
    <x v="5"/>
    <x v="11"/>
    <s v="NO3_A1"/>
    <x v="14"/>
    <s v="GHOB_LNG"/>
    <x v="0"/>
    <x v="23"/>
    <n v="3.2910353896669302"/>
    <n v="1201.22791722843"/>
    <n v="4324.4205020223499"/>
  </r>
  <r>
    <x v="0"/>
    <x v="0"/>
    <x v="0"/>
    <x v="5"/>
    <x v="11"/>
    <s v="NO3_A1"/>
    <x v="14"/>
    <s v="GHOB_LNG"/>
    <x v="0"/>
    <x v="2"/>
    <n v="1.9903977815123599"/>
    <n v="726.495190252013"/>
    <n v="2615.3826849072502"/>
  </r>
  <r>
    <x v="0"/>
    <x v="0"/>
    <x v="0"/>
    <x v="5"/>
    <x v="11"/>
    <s v="NO3_A1"/>
    <x v="14"/>
    <s v="GHOB_LNG"/>
    <x v="0"/>
    <x v="3"/>
    <n v="0.23574960482274299"/>
    <n v="86.048605760301299"/>
    <n v="309.774980737085"/>
  </r>
  <r>
    <x v="0"/>
    <x v="0"/>
    <x v="0"/>
    <x v="5"/>
    <x v="11"/>
    <s v="NO3_A1"/>
    <x v="14"/>
    <s v="GHOB_LNG"/>
    <x v="0"/>
    <x v="18"/>
    <n v="1.9993064878313"/>
    <n v="729.746868058426"/>
    <n v="2627.0887250103401"/>
  </r>
  <r>
    <x v="0"/>
    <x v="0"/>
    <x v="0"/>
    <x v="5"/>
    <x v="11"/>
    <s v="NO3_A1"/>
    <x v="14"/>
    <s v="GHOB_LPG"/>
    <x v="0"/>
    <x v="9"/>
    <n v="4.90687588774448"/>
    <n v="1791.00969902673"/>
    <n v="6447.6349164962403"/>
  </r>
  <r>
    <x v="0"/>
    <x v="0"/>
    <x v="0"/>
    <x v="5"/>
    <x v="11"/>
    <s v="NO3_A1"/>
    <x v="14"/>
    <s v="GHOB_LPG"/>
    <x v="0"/>
    <x v="10"/>
    <n v="4.8165017116358202"/>
    <n v="1758.0231247470799"/>
    <n v="6328.8832490894702"/>
  </r>
  <r>
    <x v="0"/>
    <x v="0"/>
    <x v="0"/>
    <x v="5"/>
    <x v="11"/>
    <s v="NO3_A1"/>
    <x v="14"/>
    <s v="GHOB_LPG"/>
    <x v="0"/>
    <x v="11"/>
    <n v="4.9480052926626801"/>
    <n v="1806.0219318218799"/>
    <n v="6501.6789545587599"/>
  </r>
  <r>
    <x v="0"/>
    <x v="0"/>
    <x v="0"/>
    <x v="5"/>
    <x v="11"/>
    <s v="NO3_A1"/>
    <x v="14"/>
    <s v="GHOB_LPG"/>
    <x v="0"/>
    <x v="12"/>
    <n v="5.3576427572649798"/>
    <n v="1955.53960640172"/>
    <n v="7039.9425830461896"/>
  </r>
  <r>
    <x v="0"/>
    <x v="0"/>
    <x v="0"/>
    <x v="5"/>
    <x v="11"/>
    <s v="NO3_A1"/>
    <x v="14"/>
    <s v="GHOB_LPG"/>
    <x v="0"/>
    <x v="13"/>
    <n v="6.2936811920004896"/>
    <n v="2297.1936350801798"/>
    <n v="8269.8970862886508"/>
  </r>
  <r>
    <x v="0"/>
    <x v="0"/>
    <x v="0"/>
    <x v="5"/>
    <x v="11"/>
    <s v="NO3_A1"/>
    <x v="14"/>
    <s v="GHOB_LPG"/>
    <x v="0"/>
    <x v="14"/>
    <n v="13.000570826095201"/>
    <n v="4745.2083515247496"/>
    <n v="17082.750065489101"/>
  </r>
  <r>
    <x v="0"/>
    <x v="0"/>
    <x v="0"/>
    <x v="5"/>
    <x v="11"/>
    <s v="NO3_A1"/>
    <x v="14"/>
    <s v="GHOB_LPG"/>
    <x v="0"/>
    <x v="1"/>
    <n v="13.8"/>
    <n v="5037"/>
    <n v="18133.2"/>
  </r>
  <r>
    <x v="0"/>
    <x v="0"/>
    <x v="0"/>
    <x v="5"/>
    <x v="11"/>
    <s v="NO3_A1"/>
    <x v="14"/>
    <s v="GHOB_LPG"/>
    <x v="0"/>
    <x v="23"/>
    <n v="13.8"/>
    <n v="5037"/>
    <n v="18133.2"/>
  </r>
  <r>
    <x v="0"/>
    <x v="0"/>
    <x v="0"/>
    <x v="5"/>
    <x v="11"/>
    <s v="NO3_A1"/>
    <x v="14"/>
    <s v="GHOB_LPG"/>
    <x v="0"/>
    <x v="2"/>
    <n v="13.8"/>
    <n v="5037"/>
    <n v="18133.2"/>
  </r>
  <r>
    <x v="0"/>
    <x v="0"/>
    <x v="0"/>
    <x v="5"/>
    <x v="11"/>
    <s v="NO3_A1"/>
    <x v="14"/>
    <s v="GHOB_LPG"/>
    <x v="0"/>
    <x v="3"/>
    <n v="13.8"/>
    <n v="5037"/>
    <n v="18133.2"/>
  </r>
  <r>
    <x v="0"/>
    <x v="0"/>
    <x v="0"/>
    <x v="5"/>
    <x v="11"/>
    <s v="NO3_A1"/>
    <x v="14"/>
    <s v="GHOB_LPG"/>
    <x v="0"/>
    <x v="4"/>
    <n v="11.8940276874761"/>
    <n v="4341.3201059287703"/>
    <n v="15628.7523813436"/>
  </r>
  <r>
    <x v="0"/>
    <x v="0"/>
    <x v="0"/>
    <x v="5"/>
    <x v="11"/>
    <s v="NO3_A1"/>
    <x v="14"/>
    <s v="GHOB_LPG"/>
    <x v="0"/>
    <x v="5"/>
    <n v="10.485928261419099"/>
    <n v="3827.3638154179698"/>
    <n v="13778.5097355047"/>
  </r>
  <r>
    <x v="0"/>
    <x v="0"/>
    <x v="0"/>
    <x v="5"/>
    <x v="11"/>
    <s v="NO3_A1"/>
    <x v="14"/>
    <s v="GHOB_LPG"/>
    <x v="0"/>
    <x v="15"/>
    <n v="9.8061545977557305"/>
    <n v="3579.2464281808402"/>
    <n v="12885.287141450999"/>
  </r>
  <r>
    <x v="0"/>
    <x v="0"/>
    <x v="0"/>
    <x v="5"/>
    <x v="11"/>
    <s v="NO3_A1"/>
    <x v="14"/>
    <s v="GHOB_LPG"/>
    <x v="0"/>
    <x v="6"/>
    <n v="8.9211447034750009"/>
    <n v="3256.2178167683801"/>
    <n v="11722.384140366201"/>
  </r>
  <r>
    <x v="0"/>
    <x v="0"/>
    <x v="0"/>
    <x v="5"/>
    <x v="11"/>
    <s v="NO3_A1"/>
    <x v="14"/>
    <s v="GHOB_LPG"/>
    <x v="0"/>
    <x v="7"/>
    <n v="7.04312237843207"/>
    <n v="2570.73966812771"/>
    <n v="9254.6628052597407"/>
  </r>
  <r>
    <x v="0"/>
    <x v="0"/>
    <x v="0"/>
    <x v="5"/>
    <x v="11"/>
    <s v="NO3_A1"/>
    <x v="14"/>
    <s v="GHOB_LPG"/>
    <x v="0"/>
    <x v="8"/>
    <n v="4.7550946699596901"/>
    <n v="1735.60955453529"/>
    <n v="6248.1943963270396"/>
  </r>
  <r>
    <x v="0"/>
    <x v="0"/>
    <x v="0"/>
    <x v="5"/>
    <x v="11"/>
    <s v="NO3_A1"/>
    <x v="14"/>
    <s v="GHOB_LPG"/>
    <x v="0"/>
    <x v="16"/>
    <n v="3.1978103950583501"/>
    <n v="1167.2007941963"/>
    <n v="4201.9228591066703"/>
  </r>
  <r>
    <x v="0"/>
    <x v="0"/>
    <x v="0"/>
    <x v="5"/>
    <x v="11"/>
    <s v="NO3_A1"/>
    <x v="14"/>
    <s v="GHOB_LPG"/>
    <x v="0"/>
    <x v="17"/>
    <n v="2.4250526454161898"/>
    <n v="885.14421557691105"/>
    <n v="3186.5191760768798"/>
  </r>
  <r>
    <x v="0"/>
    <x v="0"/>
    <x v="0"/>
    <x v="5"/>
    <x v="11"/>
    <s v="NO3_A1"/>
    <x v="14"/>
    <s v="GHOB_LPG"/>
    <x v="0"/>
    <x v="19"/>
    <n v="1.13774525008595"/>
    <n v="415.27701628137299"/>
    <n v="1494.99725861294"/>
  </r>
  <r>
    <x v="0"/>
    <x v="0"/>
    <x v="0"/>
    <x v="5"/>
    <x v="11"/>
    <s v="NO3_A1"/>
    <x v="4"/>
    <s v="GBPR_MUNIWASTE"/>
    <x v="0"/>
    <x v="9"/>
    <n v="13.8387096774194"/>
    <n v="5051.1290322580699"/>
    <n v="18184.064516129001"/>
  </r>
  <r>
    <x v="0"/>
    <x v="0"/>
    <x v="0"/>
    <x v="5"/>
    <x v="11"/>
    <s v="NO3_A1"/>
    <x v="4"/>
    <s v="GBPR_MUNIWASTE"/>
    <x v="0"/>
    <x v="10"/>
    <n v="13.8387096774194"/>
    <n v="5051.1290322580699"/>
    <n v="18184.064516129001"/>
  </r>
  <r>
    <x v="0"/>
    <x v="0"/>
    <x v="0"/>
    <x v="5"/>
    <x v="11"/>
    <s v="NO3_A1"/>
    <x v="4"/>
    <s v="GBPR_MUNIWASTE"/>
    <x v="0"/>
    <x v="11"/>
    <n v="13.8387096774194"/>
    <n v="5051.1290322580699"/>
    <n v="18184.064516129001"/>
  </r>
  <r>
    <x v="0"/>
    <x v="0"/>
    <x v="0"/>
    <x v="5"/>
    <x v="11"/>
    <s v="NO3_A1"/>
    <x v="4"/>
    <s v="GBPR_MUNIWASTE"/>
    <x v="0"/>
    <x v="12"/>
    <n v="13.8387096774194"/>
    <n v="5051.1290322580699"/>
    <n v="18184.064516129001"/>
  </r>
  <r>
    <x v="0"/>
    <x v="0"/>
    <x v="0"/>
    <x v="5"/>
    <x v="11"/>
    <s v="NO3_A1"/>
    <x v="4"/>
    <s v="GBPR_MUNIWASTE"/>
    <x v="0"/>
    <x v="13"/>
    <n v="13.8387096774194"/>
    <n v="5051.1290322580699"/>
    <n v="18184.064516129001"/>
  </r>
  <r>
    <x v="0"/>
    <x v="0"/>
    <x v="0"/>
    <x v="5"/>
    <x v="11"/>
    <s v="NO3_A1"/>
    <x v="4"/>
    <s v="GBPR_MUNIWASTE"/>
    <x v="0"/>
    <x v="0"/>
    <n v="13.8387096774194"/>
    <n v="5051.1290322580699"/>
    <n v="18184.064516129001"/>
  </r>
  <r>
    <x v="0"/>
    <x v="0"/>
    <x v="0"/>
    <x v="5"/>
    <x v="11"/>
    <s v="NO3_A1"/>
    <x v="4"/>
    <s v="GBPR_MUNIWASTE"/>
    <x v="0"/>
    <x v="14"/>
    <n v="13.8387096774194"/>
    <n v="5051.1290322580699"/>
    <n v="18184.064516129001"/>
  </r>
  <r>
    <x v="0"/>
    <x v="0"/>
    <x v="0"/>
    <x v="5"/>
    <x v="11"/>
    <s v="NO3_A1"/>
    <x v="4"/>
    <s v="GBPR_MUNIWASTE"/>
    <x v="0"/>
    <x v="1"/>
    <n v="13.8387096774194"/>
    <n v="5051.1290322580699"/>
    <n v="18184.064516129001"/>
  </r>
  <r>
    <x v="0"/>
    <x v="0"/>
    <x v="0"/>
    <x v="5"/>
    <x v="11"/>
    <s v="NO3_A1"/>
    <x v="4"/>
    <s v="GBPR_MUNIWASTE"/>
    <x v="0"/>
    <x v="23"/>
    <n v="13.8387096774194"/>
    <n v="5051.1290322580699"/>
    <n v="18184.064516129001"/>
  </r>
  <r>
    <x v="0"/>
    <x v="0"/>
    <x v="0"/>
    <x v="5"/>
    <x v="11"/>
    <s v="NO3_A1"/>
    <x v="4"/>
    <s v="GBPR_MUNIWASTE"/>
    <x v="0"/>
    <x v="2"/>
    <n v="13.8387096774194"/>
    <n v="5051.1290322580699"/>
    <n v="18184.064516129001"/>
  </r>
  <r>
    <x v="0"/>
    <x v="0"/>
    <x v="0"/>
    <x v="5"/>
    <x v="11"/>
    <s v="NO3_A1"/>
    <x v="4"/>
    <s v="GBPR_MUNIWASTE"/>
    <x v="0"/>
    <x v="3"/>
    <n v="13.8387096774194"/>
    <n v="5051.1290322580699"/>
    <n v="18184.064516129001"/>
  </r>
  <r>
    <x v="0"/>
    <x v="0"/>
    <x v="0"/>
    <x v="5"/>
    <x v="11"/>
    <s v="NO3_A1"/>
    <x v="4"/>
    <s v="GBPR_MUNIWASTE"/>
    <x v="0"/>
    <x v="4"/>
    <n v="13.8387096774194"/>
    <n v="5051.1290322580699"/>
    <n v="18184.064516129001"/>
  </r>
  <r>
    <x v="0"/>
    <x v="0"/>
    <x v="0"/>
    <x v="5"/>
    <x v="11"/>
    <s v="NO3_A1"/>
    <x v="4"/>
    <s v="GBPR_MUNIWASTE"/>
    <x v="0"/>
    <x v="5"/>
    <n v="13.8387096774194"/>
    <n v="5051.1290322580699"/>
    <n v="18184.064516129001"/>
  </r>
  <r>
    <x v="0"/>
    <x v="0"/>
    <x v="0"/>
    <x v="5"/>
    <x v="11"/>
    <s v="NO3_A1"/>
    <x v="4"/>
    <s v="GBPR_MUNIWASTE"/>
    <x v="0"/>
    <x v="15"/>
    <n v="13.8387096774194"/>
    <n v="5051.1290322580699"/>
    <n v="18184.064516129001"/>
  </r>
  <r>
    <x v="0"/>
    <x v="0"/>
    <x v="0"/>
    <x v="5"/>
    <x v="11"/>
    <s v="NO3_A1"/>
    <x v="4"/>
    <s v="GBPR_MUNIWASTE"/>
    <x v="0"/>
    <x v="6"/>
    <n v="13.8387096774194"/>
    <n v="5051.1290322580699"/>
    <n v="18184.064516129001"/>
  </r>
  <r>
    <x v="0"/>
    <x v="0"/>
    <x v="0"/>
    <x v="5"/>
    <x v="11"/>
    <s v="NO3_A1"/>
    <x v="4"/>
    <s v="GBPR_MUNIWASTE"/>
    <x v="0"/>
    <x v="7"/>
    <n v="13.8387096774194"/>
    <n v="5051.1290322580699"/>
    <n v="18184.064516129001"/>
  </r>
  <r>
    <x v="0"/>
    <x v="0"/>
    <x v="0"/>
    <x v="5"/>
    <x v="11"/>
    <s v="NO3_A1"/>
    <x v="4"/>
    <s v="GBPR_MUNIWASTE"/>
    <x v="0"/>
    <x v="8"/>
    <n v="13.8387096774194"/>
    <n v="5051.1290322580699"/>
    <n v="18184.064516129001"/>
  </r>
  <r>
    <x v="0"/>
    <x v="0"/>
    <x v="0"/>
    <x v="5"/>
    <x v="11"/>
    <s v="NO3_A1"/>
    <x v="4"/>
    <s v="GBPR_MUNIWASTE"/>
    <x v="0"/>
    <x v="16"/>
    <n v="13.8387096774194"/>
    <n v="5051.1290322580699"/>
    <n v="18184.064516129001"/>
  </r>
  <r>
    <x v="0"/>
    <x v="0"/>
    <x v="0"/>
    <x v="5"/>
    <x v="11"/>
    <s v="NO3_A1"/>
    <x v="4"/>
    <s v="GBPR_MUNIWASTE"/>
    <x v="0"/>
    <x v="17"/>
    <n v="13.8387096774194"/>
    <n v="5051.1290322580699"/>
    <n v="18184.064516129001"/>
  </r>
  <r>
    <x v="0"/>
    <x v="0"/>
    <x v="0"/>
    <x v="5"/>
    <x v="11"/>
    <s v="NO3_A1"/>
    <x v="4"/>
    <s v="GBPR_MUNIWASTE"/>
    <x v="0"/>
    <x v="18"/>
    <n v="13.8387096774194"/>
    <n v="5051.1290322580699"/>
    <n v="18184.064516129001"/>
  </r>
  <r>
    <x v="0"/>
    <x v="0"/>
    <x v="0"/>
    <x v="5"/>
    <x v="11"/>
    <s v="NO3_A1"/>
    <x v="4"/>
    <s v="GBPR_MUNIWASTE"/>
    <x v="0"/>
    <x v="19"/>
    <n v="13.8387096774194"/>
    <n v="5051.1290322580699"/>
    <n v="18184.064516129001"/>
  </r>
  <r>
    <x v="0"/>
    <x v="0"/>
    <x v="0"/>
    <x v="5"/>
    <x v="11"/>
    <s v="NO3_A1"/>
    <x v="4"/>
    <s v="GBPR_MUNIWASTE"/>
    <x v="0"/>
    <x v="20"/>
    <n v="13.8387096774194"/>
    <n v="5051.1290322580699"/>
    <n v="18184.064516129001"/>
  </r>
  <r>
    <x v="0"/>
    <x v="0"/>
    <x v="0"/>
    <x v="5"/>
    <x v="11"/>
    <s v="NO3_A1"/>
    <x v="4"/>
    <s v="GBPR_MUNIWASTE"/>
    <x v="0"/>
    <x v="21"/>
    <n v="13.8387096774194"/>
    <n v="5051.1290322580699"/>
    <n v="18184.064516129001"/>
  </r>
  <r>
    <x v="0"/>
    <x v="0"/>
    <x v="0"/>
    <x v="5"/>
    <x v="11"/>
    <s v="NO3_A1"/>
    <x v="4"/>
    <s v="GBPR_MUNIWASTE"/>
    <x v="0"/>
    <x v="22"/>
    <n v="13.8387096774194"/>
    <n v="5051.1290322580699"/>
    <n v="18184.064516129001"/>
  </r>
  <r>
    <x v="0"/>
    <x v="0"/>
    <x v="0"/>
    <x v="5"/>
    <x v="11"/>
    <s v="NO3_A1"/>
    <x v="2"/>
    <s v="GHOB_WASTEHEAT"/>
    <x v="0"/>
    <x v="9"/>
    <n v="4.3039148351648198"/>
    <n v="1570.92891483516"/>
    <n v="5655.3440934065702"/>
  </r>
  <r>
    <x v="0"/>
    <x v="0"/>
    <x v="0"/>
    <x v="5"/>
    <x v="11"/>
    <s v="NO3_A1"/>
    <x v="2"/>
    <s v="GHOB_WASTEHEAT"/>
    <x v="0"/>
    <x v="10"/>
    <n v="4.3039148351648198"/>
    <n v="1570.92891483516"/>
    <n v="5655.3440934065702"/>
  </r>
  <r>
    <x v="0"/>
    <x v="0"/>
    <x v="0"/>
    <x v="5"/>
    <x v="11"/>
    <s v="NO3_A1"/>
    <x v="2"/>
    <s v="GHOB_WASTEHEAT"/>
    <x v="0"/>
    <x v="11"/>
    <n v="4.3039148351648198"/>
    <n v="1570.92891483516"/>
    <n v="5655.3440934065702"/>
  </r>
  <r>
    <x v="0"/>
    <x v="0"/>
    <x v="0"/>
    <x v="5"/>
    <x v="11"/>
    <s v="NO3_A1"/>
    <x v="2"/>
    <s v="GHOB_WASTEHEAT"/>
    <x v="0"/>
    <x v="12"/>
    <n v="4.3039148351648198"/>
    <n v="1570.92891483516"/>
    <n v="5655.3440934065702"/>
  </r>
  <r>
    <x v="0"/>
    <x v="0"/>
    <x v="0"/>
    <x v="5"/>
    <x v="11"/>
    <s v="NO3_A1"/>
    <x v="2"/>
    <s v="GHOB_WASTEHEAT"/>
    <x v="0"/>
    <x v="13"/>
    <n v="4.3039148351648198"/>
    <n v="1570.92891483516"/>
    <n v="5655.3440934065702"/>
  </r>
  <r>
    <x v="0"/>
    <x v="0"/>
    <x v="0"/>
    <x v="5"/>
    <x v="11"/>
    <s v="NO3_A1"/>
    <x v="2"/>
    <s v="GHOB_WASTEHEAT"/>
    <x v="0"/>
    <x v="0"/>
    <n v="4.3039148351648198"/>
    <n v="1570.92891483516"/>
    <n v="5655.3440934065702"/>
  </r>
  <r>
    <x v="0"/>
    <x v="0"/>
    <x v="0"/>
    <x v="5"/>
    <x v="11"/>
    <s v="NO3_A1"/>
    <x v="2"/>
    <s v="GHOB_WASTEHEAT"/>
    <x v="0"/>
    <x v="14"/>
    <n v="4.3039148351648198"/>
    <n v="1570.92891483516"/>
    <n v="5655.3440934065702"/>
  </r>
  <r>
    <x v="0"/>
    <x v="0"/>
    <x v="0"/>
    <x v="5"/>
    <x v="11"/>
    <s v="NO3_A1"/>
    <x v="2"/>
    <s v="GHOB_WASTEHEAT"/>
    <x v="0"/>
    <x v="1"/>
    <n v="4.3039148351648198"/>
    <n v="1570.92891483516"/>
    <n v="5655.3440934065702"/>
  </r>
  <r>
    <x v="0"/>
    <x v="0"/>
    <x v="0"/>
    <x v="5"/>
    <x v="11"/>
    <s v="NO3_A1"/>
    <x v="2"/>
    <s v="GHOB_WASTEHEAT"/>
    <x v="0"/>
    <x v="23"/>
    <n v="4.3039148351648198"/>
    <n v="1570.92891483516"/>
    <n v="5655.3440934065702"/>
  </r>
  <r>
    <x v="0"/>
    <x v="0"/>
    <x v="0"/>
    <x v="5"/>
    <x v="11"/>
    <s v="NO3_A1"/>
    <x v="2"/>
    <s v="GHOB_WASTEHEAT"/>
    <x v="0"/>
    <x v="2"/>
    <n v="4.3039148351648198"/>
    <n v="1570.92891483516"/>
    <n v="5655.3440934065702"/>
  </r>
  <r>
    <x v="0"/>
    <x v="0"/>
    <x v="0"/>
    <x v="5"/>
    <x v="11"/>
    <s v="NO3_A1"/>
    <x v="2"/>
    <s v="GHOB_WASTEHEAT"/>
    <x v="0"/>
    <x v="3"/>
    <n v="4.3039148351648198"/>
    <n v="1570.92891483516"/>
    <n v="5655.3440934065702"/>
  </r>
  <r>
    <x v="0"/>
    <x v="0"/>
    <x v="0"/>
    <x v="5"/>
    <x v="11"/>
    <s v="NO3_A1"/>
    <x v="2"/>
    <s v="GHOB_WASTEHEAT"/>
    <x v="0"/>
    <x v="4"/>
    <n v="4.3039148351648198"/>
    <n v="1570.92891483516"/>
    <n v="5655.3440934065702"/>
  </r>
  <r>
    <x v="0"/>
    <x v="0"/>
    <x v="0"/>
    <x v="5"/>
    <x v="11"/>
    <s v="NO3_A1"/>
    <x v="2"/>
    <s v="GHOB_WASTEHEAT"/>
    <x v="0"/>
    <x v="5"/>
    <n v="4.3039148351648198"/>
    <n v="1570.92891483516"/>
    <n v="5655.3440934065702"/>
  </r>
  <r>
    <x v="0"/>
    <x v="0"/>
    <x v="0"/>
    <x v="5"/>
    <x v="11"/>
    <s v="NO3_A1"/>
    <x v="2"/>
    <s v="GHOB_WASTEHEAT"/>
    <x v="0"/>
    <x v="15"/>
    <n v="4.3039148351648198"/>
    <n v="1570.92891483516"/>
    <n v="5655.3440934065702"/>
  </r>
  <r>
    <x v="0"/>
    <x v="0"/>
    <x v="0"/>
    <x v="5"/>
    <x v="11"/>
    <s v="NO3_A1"/>
    <x v="2"/>
    <s v="GHOB_WASTEHEAT"/>
    <x v="0"/>
    <x v="6"/>
    <n v="4.3039148351648198"/>
    <n v="1570.92891483516"/>
    <n v="5655.3440934065702"/>
  </r>
  <r>
    <x v="0"/>
    <x v="0"/>
    <x v="0"/>
    <x v="5"/>
    <x v="11"/>
    <s v="NO3_A1"/>
    <x v="2"/>
    <s v="GHOB_WASTEHEAT"/>
    <x v="0"/>
    <x v="7"/>
    <n v="4.3039148351648198"/>
    <n v="1570.92891483516"/>
    <n v="5655.3440934065702"/>
  </r>
  <r>
    <x v="0"/>
    <x v="0"/>
    <x v="0"/>
    <x v="5"/>
    <x v="11"/>
    <s v="NO3_A1"/>
    <x v="2"/>
    <s v="GHOB_WASTEHEAT"/>
    <x v="0"/>
    <x v="8"/>
    <n v="4.3039148351648198"/>
    <n v="1570.92891483516"/>
    <n v="5655.3440934065702"/>
  </r>
  <r>
    <x v="0"/>
    <x v="0"/>
    <x v="0"/>
    <x v="5"/>
    <x v="11"/>
    <s v="NO3_A1"/>
    <x v="2"/>
    <s v="GHOB_WASTEHEAT"/>
    <x v="0"/>
    <x v="16"/>
    <n v="4.3039148351648198"/>
    <n v="1570.92891483516"/>
    <n v="5655.3440934065702"/>
  </r>
  <r>
    <x v="0"/>
    <x v="0"/>
    <x v="0"/>
    <x v="5"/>
    <x v="11"/>
    <s v="NO3_A1"/>
    <x v="2"/>
    <s v="GHOB_WASTEHEAT"/>
    <x v="0"/>
    <x v="17"/>
    <n v="4.3039148351648198"/>
    <n v="1570.92891483516"/>
    <n v="5655.3440934065702"/>
  </r>
  <r>
    <x v="0"/>
    <x v="0"/>
    <x v="0"/>
    <x v="5"/>
    <x v="11"/>
    <s v="NO3_A1"/>
    <x v="2"/>
    <s v="GHOB_WASTEHEAT"/>
    <x v="0"/>
    <x v="18"/>
    <n v="4.3039148351648198"/>
    <n v="1570.92891483516"/>
    <n v="5655.3440934065702"/>
  </r>
  <r>
    <x v="0"/>
    <x v="0"/>
    <x v="0"/>
    <x v="5"/>
    <x v="11"/>
    <s v="NO3_A1"/>
    <x v="2"/>
    <s v="GHOB_WASTEHEAT"/>
    <x v="0"/>
    <x v="19"/>
    <n v="4.3039148351648198"/>
    <n v="1570.92891483516"/>
    <n v="5655.3440934065702"/>
  </r>
  <r>
    <x v="0"/>
    <x v="0"/>
    <x v="0"/>
    <x v="5"/>
    <x v="11"/>
    <s v="NO3_A1"/>
    <x v="2"/>
    <s v="GHOB_WASTEHEAT"/>
    <x v="0"/>
    <x v="20"/>
    <n v="4.2445122331950502"/>
    <n v="1549.24696511619"/>
    <n v="5577.2890744182996"/>
  </r>
  <r>
    <x v="0"/>
    <x v="0"/>
    <x v="0"/>
    <x v="5"/>
    <x v="11"/>
    <s v="NO3_A1"/>
    <x v="2"/>
    <s v="GHOB_WASTEHEAT"/>
    <x v="0"/>
    <x v="21"/>
    <n v="3.2794515382312999"/>
    <n v="1196.9998114544201"/>
    <n v="4309.1993212359203"/>
  </r>
  <r>
    <x v="0"/>
    <x v="0"/>
    <x v="0"/>
    <x v="5"/>
    <x v="11"/>
    <s v="NO3_A1"/>
    <x v="2"/>
    <s v="GHOB_WASTEHEAT"/>
    <x v="0"/>
    <x v="22"/>
    <n v="2.6812523440079699"/>
    <n v="978.65710556290901"/>
    <n v="3523.1655800264698"/>
  </r>
  <r>
    <x v="0"/>
    <x v="0"/>
    <x v="0"/>
    <x v="5"/>
    <x v="11"/>
    <s v="NO3_A2"/>
    <x v="14"/>
    <s v="GHOB_LNG"/>
    <x v="0"/>
    <x v="0"/>
    <n v="4.2179292789623304"/>
    <n v="1539.5441868212499"/>
    <n v="5542.3590725565"/>
  </r>
  <r>
    <x v="0"/>
    <x v="0"/>
    <x v="0"/>
    <x v="5"/>
    <x v="11"/>
    <s v="NO3_A2"/>
    <x v="14"/>
    <s v="GHOB_LNG"/>
    <x v="0"/>
    <x v="14"/>
    <n v="14.3786818267118"/>
    <n v="5248.2188667498103"/>
    <n v="18893.587920299298"/>
  </r>
  <r>
    <x v="0"/>
    <x v="0"/>
    <x v="0"/>
    <x v="5"/>
    <x v="11"/>
    <s v="NO3_A2"/>
    <x v="14"/>
    <s v="GHOB_LNG"/>
    <x v="0"/>
    <x v="1"/>
    <n v="23.817326831629401"/>
    <n v="8693.3242935447306"/>
    <n v="31295.967456761002"/>
  </r>
  <r>
    <x v="0"/>
    <x v="0"/>
    <x v="0"/>
    <x v="5"/>
    <x v="11"/>
    <s v="NO3_A2"/>
    <x v="14"/>
    <s v="GHOB_LNG"/>
    <x v="0"/>
    <x v="23"/>
    <n v="25.452869285728401"/>
    <n v="9290.2972892908692"/>
    <n v="33445.070241447102"/>
  </r>
  <r>
    <x v="0"/>
    <x v="0"/>
    <x v="0"/>
    <x v="5"/>
    <x v="11"/>
    <s v="NO3_A2"/>
    <x v="14"/>
    <s v="GHOB_LNG"/>
    <x v="0"/>
    <x v="2"/>
    <n v="22.367649268389599"/>
    <n v="8164.1919829622102"/>
    <n v="29391.091138663902"/>
  </r>
  <r>
    <x v="0"/>
    <x v="0"/>
    <x v="0"/>
    <x v="5"/>
    <x v="11"/>
    <s v="NO3_A2"/>
    <x v="14"/>
    <s v="GHOB_LNG"/>
    <x v="0"/>
    <x v="3"/>
    <n v="17.606078072735599"/>
    <n v="6426.2184965485103"/>
    <n v="23134.386587574601"/>
  </r>
  <r>
    <x v="0"/>
    <x v="0"/>
    <x v="0"/>
    <x v="5"/>
    <x v="11"/>
    <s v="NO3_A2"/>
    <x v="14"/>
    <s v="GHOB_LNG"/>
    <x v="0"/>
    <x v="4"/>
    <n v="13.3552910920196"/>
    <n v="4874.6812485871696"/>
    <n v="17548.852494913801"/>
  </r>
  <r>
    <x v="0"/>
    <x v="0"/>
    <x v="0"/>
    <x v="5"/>
    <x v="11"/>
    <s v="NO3_A2"/>
    <x v="14"/>
    <s v="GHOB_LNG"/>
    <x v="0"/>
    <x v="5"/>
    <n v="11.7753601290723"/>
    <n v="4298.0064471113901"/>
    <n v="15472.823209601"/>
  </r>
  <r>
    <x v="0"/>
    <x v="0"/>
    <x v="0"/>
    <x v="5"/>
    <x v="11"/>
    <s v="NO3_A2"/>
    <x v="14"/>
    <s v="GHOB_LNG"/>
    <x v="0"/>
    <x v="15"/>
    <n v="10.5661239463809"/>
    <n v="3856.6352404290201"/>
    <n v="13883.8868655445"/>
  </r>
  <r>
    <x v="0"/>
    <x v="0"/>
    <x v="0"/>
    <x v="5"/>
    <x v="11"/>
    <s v="NO3_A2"/>
    <x v="14"/>
    <s v="GHOB_LNG"/>
    <x v="0"/>
    <x v="6"/>
    <n v="8.4816386445560692"/>
    <n v="3095.7981052629698"/>
    <n v="11144.8731789467"/>
  </r>
  <r>
    <x v="0"/>
    <x v="0"/>
    <x v="0"/>
    <x v="5"/>
    <x v="11"/>
    <s v="NO3_A2"/>
    <x v="14"/>
    <s v="GHOB_LNG"/>
    <x v="0"/>
    <x v="7"/>
    <n v="5.5685162977091904"/>
    <n v="2032.50844866386"/>
    <n v="7317.0304151898799"/>
  </r>
  <r>
    <x v="0"/>
    <x v="0"/>
    <x v="0"/>
    <x v="5"/>
    <x v="11"/>
    <s v="NO3_A2"/>
    <x v="4"/>
    <s v="GHOB_MUNIWASTE"/>
    <x v="0"/>
    <x v="9"/>
    <n v="65.836728082854094"/>
    <n v="24030.405750241702"/>
    <n v="86509.460700870302"/>
  </r>
  <r>
    <x v="0"/>
    <x v="0"/>
    <x v="0"/>
    <x v="5"/>
    <x v="11"/>
    <s v="NO3_A2"/>
    <x v="4"/>
    <s v="GHOB_MUNIWASTE"/>
    <x v="0"/>
    <x v="10"/>
    <n v="65.754816633133501"/>
    <n v="24000.5080710937"/>
    <n v="86401.8290559374"/>
  </r>
  <r>
    <x v="0"/>
    <x v="0"/>
    <x v="0"/>
    <x v="5"/>
    <x v="11"/>
    <s v="NO3_A2"/>
    <x v="4"/>
    <s v="GHOB_MUNIWASTE"/>
    <x v="0"/>
    <x v="11"/>
    <n v="66.337098887173894"/>
    <n v="24213.041093818501"/>
    <n v="87166.947937746503"/>
  </r>
  <r>
    <x v="0"/>
    <x v="0"/>
    <x v="0"/>
    <x v="5"/>
    <x v="11"/>
    <s v="NO3_A2"/>
    <x v="4"/>
    <s v="GHOB_MUNIWASTE"/>
    <x v="0"/>
    <x v="12"/>
    <n v="66.315084266010501"/>
    <n v="24205.005757093801"/>
    <n v="87138.020725537805"/>
  </r>
  <r>
    <x v="0"/>
    <x v="0"/>
    <x v="0"/>
    <x v="5"/>
    <x v="11"/>
    <s v="NO3_A2"/>
    <x v="4"/>
    <s v="GHOB_MUNIWASTE"/>
    <x v="0"/>
    <x v="13"/>
    <n v="69.466691982321905"/>
    <n v="25355.342573547499"/>
    <n v="91279.233264770999"/>
  </r>
  <r>
    <x v="0"/>
    <x v="0"/>
    <x v="0"/>
    <x v="5"/>
    <x v="11"/>
    <s v="NO3_A2"/>
    <x v="4"/>
    <s v="GHOB_MUNIWASTE"/>
    <x v="0"/>
    <x v="0"/>
    <n v="70"/>
    <n v="25550"/>
    <n v="91980"/>
  </r>
  <r>
    <x v="0"/>
    <x v="0"/>
    <x v="0"/>
    <x v="5"/>
    <x v="11"/>
    <s v="NO3_A2"/>
    <x v="4"/>
    <s v="GHOB_MUNIWASTE"/>
    <x v="0"/>
    <x v="14"/>
    <n v="70"/>
    <n v="25550"/>
    <n v="91980"/>
  </r>
  <r>
    <x v="0"/>
    <x v="0"/>
    <x v="0"/>
    <x v="5"/>
    <x v="11"/>
    <s v="NO3_A2"/>
    <x v="4"/>
    <s v="GHOB_MUNIWASTE"/>
    <x v="0"/>
    <x v="1"/>
    <n v="70"/>
    <n v="25550"/>
    <n v="91980"/>
  </r>
  <r>
    <x v="0"/>
    <x v="0"/>
    <x v="0"/>
    <x v="5"/>
    <x v="11"/>
    <s v="NO3_A2"/>
    <x v="4"/>
    <s v="GHOB_MUNIWASTE"/>
    <x v="0"/>
    <x v="23"/>
    <n v="70"/>
    <n v="25550"/>
    <n v="91980"/>
  </r>
  <r>
    <x v="0"/>
    <x v="0"/>
    <x v="0"/>
    <x v="5"/>
    <x v="11"/>
    <s v="NO3_A2"/>
    <x v="4"/>
    <s v="GHOB_MUNIWASTE"/>
    <x v="0"/>
    <x v="2"/>
    <n v="70"/>
    <n v="25550"/>
    <n v="91980"/>
  </r>
  <r>
    <x v="0"/>
    <x v="0"/>
    <x v="0"/>
    <x v="5"/>
    <x v="11"/>
    <s v="NO3_A2"/>
    <x v="4"/>
    <s v="GHOB_MUNIWASTE"/>
    <x v="0"/>
    <x v="3"/>
    <n v="70"/>
    <n v="25550"/>
    <n v="91980"/>
  </r>
  <r>
    <x v="0"/>
    <x v="0"/>
    <x v="0"/>
    <x v="5"/>
    <x v="11"/>
    <s v="NO3_A2"/>
    <x v="4"/>
    <s v="GHOB_MUNIWASTE"/>
    <x v="0"/>
    <x v="4"/>
    <n v="70"/>
    <n v="25550"/>
    <n v="91980"/>
  </r>
  <r>
    <x v="0"/>
    <x v="0"/>
    <x v="0"/>
    <x v="5"/>
    <x v="11"/>
    <s v="NO3_A2"/>
    <x v="4"/>
    <s v="GHOB_MUNIWASTE"/>
    <x v="0"/>
    <x v="5"/>
    <n v="70"/>
    <n v="25550"/>
    <n v="91980"/>
  </r>
  <r>
    <x v="0"/>
    <x v="0"/>
    <x v="0"/>
    <x v="5"/>
    <x v="11"/>
    <s v="NO3_A2"/>
    <x v="4"/>
    <s v="GHOB_MUNIWASTE"/>
    <x v="0"/>
    <x v="15"/>
    <n v="70"/>
    <n v="25550"/>
    <n v="91980"/>
  </r>
  <r>
    <x v="0"/>
    <x v="0"/>
    <x v="0"/>
    <x v="5"/>
    <x v="11"/>
    <s v="NO3_A2"/>
    <x v="4"/>
    <s v="GHOB_MUNIWASTE"/>
    <x v="0"/>
    <x v="6"/>
    <n v="70"/>
    <n v="25550"/>
    <n v="91980"/>
  </r>
  <r>
    <x v="0"/>
    <x v="0"/>
    <x v="0"/>
    <x v="5"/>
    <x v="11"/>
    <s v="NO3_A2"/>
    <x v="4"/>
    <s v="GHOB_MUNIWASTE"/>
    <x v="0"/>
    <x v="7"/>
    <n v="70"/>
    <n v="25550"/>
    <n v="91980"/>
  </r>
  <r>
    <x v="0"/>
    <x v="0"/>
    <x v="0"/>
    <x v="5"/>
    <x v="11"/>
    <s v="NO3_A2"/>
    <x v="4"/>
    <s v="GHOB_MUNIWASTE"/>
    <x v="0"/>
    <x v="8"/>
    <n v="69.124669162514607"/>
    <n v="25230.504244317799"/>
    <n v="90829.815279544098"/>
  </r>
  <r>
    <x v="0"/>
    <x v="0"/>
    <x v="0"/>
    <x v="5"/>
    <x v="11"/>
    <s v="NO3_A2"/>
    <x v="4"/>
    <s v="GHOB_MUNIWASTE"/>
    <x v="0"/>
    <x v="16"/>
    <n v="63.791901092738598"/>
    <n v="23284.043898849599"/>
    <n v="83822.558035858499"/>
  </r>
  <r>
    <x v="0"/>
    <x v="0"/>
    <x v="0"/>
    <x v="5"/>
    <x v="11"/>
    <s v="NO3_A2"/>
    <x v="4"/>
    <s v="GHOB_MUNIWASTE"/>
    <x v="0"/>
    <x v="17"/>
    <n v="59.034510618002102"/>
    <n v="21547.5963755708"/>
    <n v="77571.346952054795"/>
  </r>
  <r>
    <x v="0"/>
    <x v="0"/>
    <x v="0"/>
    <x v="5"/>
    <x v="11"/>
    <s v="NO3_A2"/>
    <x v="4"/>
    <s v="GHOB_MUNIWASTE"/>
    <x v="0"/>
    <x v="18"/>
    <n v="56.220806437306997"/>
    <n v="20520.594349617098"/>
    <n v="73874.139658621396"/>
  </r>
  <r>
    <x v="0"/>
    <x v="0"/>
    <x v="0"/>
    <x v="5"/>
    <x v="11"/>
    <s v="NO3_A2"/>
    <x v="4"/>
    <s v="GHOB_MUNIWASTE"/>
    <x v="0"/>
    <x v="19"/>
    <n v="52.938778065487497"/>
    <n v="19322.653993902899"/>
    <n v="69561.554378050598"/>
  </r>
  <r>
    <x v="0"/>
    <x v="0"/>
    <x v="0"/>
    <x v="5"/>
    <x v="11"/>
    <s v="NO3_A2"/>
    <x v="4"/>
    <s v="GHOB_MUNIWASTE"/>
    <x v="0"/>
    <x v="20"/>
    <n v="49.716000609421499"/>
    <n v="18146.340222438801"/>
    <n v="65326.824800779897"/>
  </r>
  <r>
    <x v="0"/>
    <x v="0"/>
    <x v="0"/>
    <x v="5"/>
    <x v="11"/>
    <s v="NO3_A2"/>
    <x v="4"/>
    <s v="GHOB_MUNIWASTE"/>
    <x v="0"/>
    <x v="21"/>
    <n v="47.199656221504"/>
    <n v="17227.874520849"/>
    <n v="62020.348275056298"/>
  </r>
  <r>
    <x v="0"/>
    <x v="0"/>
    <x v="0"/>
    <x v="5"/>
    <x v="11"/>
    <s v="NO3_A2"/>
    <x v="4"/>
    <s v="GHOB_MUNIWASTE"/>
    <x v="0"/>
    <x v="22"/>
    <n v="45.431957651196903"/>
    <n v="16582.6645426869"/>
    <n v="59697.592353672699"/>
  </r>
  <r>
    <x v="0"/>
    <x v="0"/>
    <x v="0"/>
    <x v="5"/>
    <x v="12"/>
    <s v="NO4_A1"/>
    <x v="14"/>
    <s v="GHOB_LNG"/>
    <x v="0"/>
    <x v="14"/>
    <n v="1.6503992556059499"/>
    <n v="602.39572829617305"/>
    <n v="2168.62462186622"/>
  </r>
  <r>
    <x v="0"/>
    <x v="0"/>
    <x v="0"/>
    <x v="5"/>
    <x v="12"/>
    <s v="NO4_A1"/>
    <x v="14"/>
    <s v="GHOB_LNG"/>
    <x v="0"/>
    <x v="1"/>
    <n v="6.1417244357815699"/>
    <n v="2241.7294190602702"/>
    <n v="8070.2259086169797"/>
  </r>
  <r>
    <x v="0"/>
    <x v="0"/>
    <x v="0"/>
    <x v="5"/>
    <x v="12"/>
    <s v="NO4_A1"/>
    <x v="14"/>
    <s v="GHOB_LNG"/>
    <x v="0"/>
    <x v="23"/>
    <n v="8.1242026424274094"/>
    <n v="2965.3339644860098"/>
    <n v="10675.2022721496"/>
  </r>
  <r>
    <x v="0"/>
    <x v="0"/>
    <x v="0"/>
    <x v="5"/>
    <x v="12"/>
    <s v="NO4_A1"/>
    <x v="14"/>
    <s v="GHOB_LNG"/>
    <x v="0"/>
    <x v="2"/>
    <n v="8.2202019044594401"/>
    <n v="3000.3736951277001"/>
    <n v="10801.3453024597"/>
  </r>
  <r>
    <x v="0"/>
    <x v="0"/>
    <x v="0"/>
    <x v="5"/>
    <x v="12"/>
    <s v="NO4_A1"/>
    <x v="14"/>
    <s v="GHOB_LNG"/>
    <x v="0"/>
    <x v="3"/>
    <n v="7.5401025166950104"/>
    <n v="2752.1374185936802"/>
    <n v="9907.69470693724"/>
  </r>
  <r>
    <x v="0"/>
    <x v="0"/>
    <x v="0"/>
    <x v="5"/>
    <x v="12"/>
    <s v="NO4_A1"/>
    <x v="14"/>
    <s v="GHOB_LNG"/>
    <x v="0"/>
    <x v="4"/>
    <n v="6.1233425856130603"/>
    <n v="2235.0200437487701"/>
    <n v="8046.0721574955596"/>
  </r>
  <r>
    <x v="0"/>
    <x v="0"/>
    <x v="0"/>
    <x v="5"/>
    <x v="12"/>
    <s v="NO4_A1"/>
    <x v="14"/>
    <s v="GHOB_LNG"/>
    <x v="0"/>
    <x v="5"/>
    <n v="7.0274764635634002"/>
    <n v="2565.0289092006401"/>
    <n v="9234.1040731223093"/>
  </r>
  <r>
    <x v="0"/>
    <x v="0"/>
    <x v="0"/>
    <x v="5"/>
    <x v="12"/>
    <s v="NO4_A1"/>
    <x v="14"/>
    <s v="GHOB_LNG"/>
    <x v="0"/>
    <x v="15"/>
    <n v="4.3218628367001104"/>
    <n v="1577.47993539554"/>
    <n v="5678.9277674239402"/>
  </r>
  <r>
    <x v="0"/>
    <x v="0"/>
    <x v="0"/>
    <x v="5"/>
    <x v="12"/>
    <s v="NO4_A1"/>
    <x v="14"/>
    <s v="GHOB_LNG"/>
    <x v="0"/>
    <x v="6"/>
    <n v="3.64489431876168"/>
    <n v="1330.38642634801"/>
    <n v="4789.39113485285"/>
  </r>
  <r>
    <x v="0"/>
    <x v="0"/>
    <x v="0"/>
    <x v="5"/>
    <x v="12"/>
    <s v="NO4_A1"/>
    <x v="14"/>
    <s v="GHOB_LNG"/>
    <x v="0"/>
    <x v="7"/>
    <n v="4.4447922897531802"/>
    <n v="1622.3491857599099"/>
    <n v="5840.45706873568"/>
  </r>
  <r>
    <x v="0"/>
    <x v="0"/>
    <x v="0"/>
    <x v="5"/>
    <x v="12"/>
    <s v="NO4_A1"/>
    <x v="14"/>
    <s v="GHOB_LPG"/>
    <x v="0"/>
    <x v="14"/>
    <n v="2.15"/>
    <n v="784.75"/>
    <n v="2825.1"/>
  </r>
  <r>
    <x v="0"/>
    <x v="0"/>
    <x v="0"/>
    <x v="5"/>
    <x v="12"/>
    <s v="NO4_A1"/>
    <x v="14"/>
    <s v="GHOB_LPG"/>
    <x v="0"/>
    <x v="1"/>
    <n v="2.15"/>
    <n v="784.75"/>
    <n v="2825.1"/>
  </r>
  <r>
    <x v="0"/>
    <x v="0"/>
    <x v="0"/>
    <x v="5"/>
    <x v="12"/>
    <s v="NO4_A1"/>
    <x v="14"/>
    <s v="GHOB_LPG"/>
    <x v="0"/>
    <x v="23"/>
    <n v="2.15"/>
    <n v="784.75"/>
    <n v="2825.1"/>
  </r>
  <r>
    <x v="0"/>
    <x v="0"/>
    <x v="0"/>
    <x v="5"/>
    <x v="12"/>
    <s v="NO4_A1"/>
    <x v="14"/>
    <s v="GHOB_LPG"/>
    <x v="0"/>
    <x v="2"/>
    <n v="2.15"/>
    <n v="784.75"/>
    <n v="2825.1"/>
  </r>
  <r>
    <x v="0"/>
    <x v="0"/>
    <x v="0"/>
    <x v="5"/>
    <x v="12"/>
    <s v="NO4_A1"/>
    <x v="14"/>
    <s v="GHOB_LPG"/>
    <x v="0"/>
    <x v="3"/>
    <n v="2.15"/>
    <n v="784.75"/>
    <n v="2825.1"/>
  </r>
  <r>
    <x v="0"/>
    <x v="0"/>
    <x v="0"/>
    <x v="5"/>
    <x v="12"/>
    <s v="NO4_A1"/>
    <x v="14"/>
    <s v="GHOB_LPG"/>
    <x v="0"/>
    <x v="4"/>
    <n v="2.15"/>
    <n v="784.75"/>
    <n v="2825.1"/>
  </r>
  <r>
    <x v="0"/>
    <x v="0"/>
    <x v="0"/>
    <x v="5"/>
    <x v="12"/>
    <s v="NO4_A1"/>
    <x v="14"/>
    <s v="GHOB_LPG"/>
    <x v="0"/>
    <x v="15"/>
    <n v="2.15"/>
    <n v="784.75"/>
    <n v="2825.1"/>
  </r>
  <r>
    <x v="0"/>
    <x v="0"/>
    <x v="0"/>
    <x v="5"/>
    <x v="12"/>
    <s v="NO4_A1"/>
    <x v="14"/>
    <s v="GHOB_LPG"/>
    <x v="0"/>
    <x v="6"/>
    <n v="2.15"/>
    <n v="784.75"/>
    <n v="2825.1"/>
  </r>
  <r>
    <x v="0"/>
    <x v="0"/>
    <x v="0"/>
    <x v="5"/>
    <x v="12"/>
    <s v="NO4_A1"/>
    <x v="14"/>
    <s v="GHOB_LPG"/>
    <x v="0"/>
    <x v="8"/>
    <n v="2.0064129103270401"/>
    <n v="732.34071226936896"/>
    <n v="2636.4265641697302"/>
  </r>
  <r>
    <x v="0"/>
    <x v="0"/>
    <x v="0"/>
    <x v="5"/>
    <x v="12"/>
    <s v="NO4_A1"/>
    <x v="14"/>
    <s v="GHOB_LPG"/>
    <x v="0"/>
    <x v="16"/>
    <n v="0.32913286293256899"/>
    <n v="120.133494970388"/>
    <n v="432.48058189339503"/>
  </r>
  <r>
    <x v="0"/>
    <x v="0"/>
    <x v="0"/>
    <x v="5"/>
    <x v="12"/>
    <s v="NO4_A1"/>
    <x v="4"/>
    <s v="GBPR_MUNIWASTE"/>
    <x v="0"/>
    <x v="9"/>
    <n v="0.53651612903225798"/>
    <n v="195.82838709677401"/>
    <n v="704.98219354838704"/>
  </r>
  <r>
    <x v="0"/>
    <x v="0"/>
    <x v="0"/>
    <x v="5"/>
    <x v="12"/>
    <s v="NO4_A1"/>
    <x v="4"/>
    <s v="GBPR_MUNIWASTE"/>
    <x v="0"/>
    <x v="10"/>
    <n v="0.53651612903225798"/>
    <n v="195.82838709677401"/>
    <n v="704.98219354838704"/>
  </r>
  <r>
    <x v="0"/>
    <x v="0"/>
    <x v="0"/>
    <x v="5"/>
    <x v="12"/>
    <s v="NO4_A1"/>
    <x v="4"/>
    <s v="GBPR_MUNIWASTE"/>
    <x v="0"/>
    <x v="11"/>
    <n v="0.53651612903225798"/>
    <n v="195.82838709677401"/>
    <n v="704.98219354838704"/>
  </r>
  <r>
    <x v="0"/>
    <x v="0"/>
    <x v="0"/>
    <x v="5"/>
    <x v="12"/>
    <s v="NO4_A1"/>
    <x v="4"/>
    <s v="GBPR_MUNIWASTE"/>
    <x v="0"/>
    <x v="12"/>
    <n v="0.53651612903225798"/>
    <n v="195.82838709677401"/>
    <n v="704.98219354838704"/>
  </r>
  <r>
    <x v="0"/>
    <x v="0"/>
    <x v="0"/>
    <x v="5"/>
    <x v="12"/>
    <s v="NO4_A1"/>
    <x v="4"/>
    <s v="GBPR_MUNIWASTE"/>
    <x v="0"/>
    <x v="13"/>
    <n v="0.53651612903225798"/>
    <n v="195.82838709677401"/>
    <n v="704.98219354838704"/>
  </r>
  <r>
    <x v="0"/>
    <x v="0"/>
    <x v="0"/>
    <x v="5"/>
    <x v="12"/>
    <s v="NO4_A1"/>
    <x v="4"/>
    <s v="GBPR_MUNIWASTE"/>
    <x v="0"/>
    <x v="0"/>
    <n v="0.53651612903225798"/>
    <n v="195.82838709677401"/>
    <n v="704.98219354838704"/>
  </r>
  <r>
    <x v="0"/>
    <x v="0"/>
    <x v="0"/>
    <x v="5"/>
    <x v="12"/>
    <s v="NO4_A1"/>
    <x v="4"/>
    <s v="GBPR_MUNIWASTE"/>
    <x v="0"/>
    <x v="14"/>
    <n v="0.53651612903225798"/>
    <n v="195.82838709677401"/>
    <n v="704.98219354838704"/>
  </r>
  <r>
    <x v="0"/>
    <x v="0"/>
    <x v="0"/>
    <x v="5"/>
    <x v="12"/>
    <s v="NO4_A1"/>
    <x v="4"/>
    <s v="GBPR_MUNIWASTE"/>
    <x v="0"/>
    <x v="1"/>
    <n v="0.53651612903225798"/>
    <n v="195.82838709677401"/>
    <n v="704.98219354838704"/>
  </r>
  <r>
    <x v="0"/>
    <x v="0"/>
    <x v="0"/>
    <x v="5"/>
    <x v="12"/>
    <s v="NO4_A1"/>
    <x v="4"/>
    <s v="GBPR_MUNIWASTE"/>
    <x v="0"/>
    <x v="23"/>
    <n v="0.53651612903225798"/>
    <n v="195.82838709677401"/>
    <n v="704.98219354838704"/>
  </r>
  <r>
    <x v="0"/>
    <x v="0"/>
    <x v="0"/>
    <x v="5"/>
    <x v="12"/>
    <s v="NO4_A1"/>
    <x v="4"/>
    <s v="GBPR_MUNIWASTE"/>
    <x v="0"/>
    <x v="2"/>
    <n v="0.53651612903225798"/>
    <n v="195.82838709677401"/>
    <n v="704.98219354838704"/>
  </r>
  <r>
    <x v="0"/>
    <x v="0"/>
    <x v="0"/>
    <x v="5"/>
    <x v="12"/>
    <s v="NO4_A1"/>
    <x v="4"/>
    <s v="GBPR_MUNIWASTE"/>
    <x v="0"/>
    <x v="3"/>
    <n v="0.53651612903225798"/>
    <n v="195.82838709677401"/>
    <n v="704.98219354838704"/>
  </r>
  <r>
    <x v="0"/>
    <x v="0"/>
    <x v="0"/>
    <x v="5"/>
    <x v="12"/>
    <s v="NO4_A1"/>
    <x v="4"/>
    <s v="GBPR_MUNIWASTE"/>
    <x v="0"/>
    <x v="4"/>
    <n v="0.53651612903225798"/>
    <n v="195.82838709677401"/>
    <n v="704.98219354838704"/>
  </r>
  <r>
    <x v="0"/>
    <x v="0"/>
    <x v="0"/>
    <x v="5"/>
    <x v="12"/>
    <s v="NO4_A1"/>
    <x v="4"/>
    <s v="GBPR_MUNIWASTE"/>
    <x v="0"/>
    <x v="5"/>
    <n v="0.53651612903225798"/>
    <n v="195.82838709677401"/>
    <n v="704.98219354838704"/>
  </r>
  <r>
    <x v="0"/>
    <x v="0"/>
    <x v="0"/>
    <x v="5"/>
    <x v="12"/>
    <s v="NO4_A1"/>
    <x v="4"/>
    <s v="GBPR_MUNIWASTE"/>
    <x v="0"/>
    <x v="15"/>
    <n v="0.53651612903225798"/>
    <n v="195.82838709677401"/>
    <n v="704.98219354838704"/>
  </r>
  <r>
    <x v="0"/>
    <x v="0"/>
    <x v="0"/>
    <x v="5"/>
    <x v="12"/>
    <s v="NO4_A1"/>
    <x v="4"/>
    <s v="GBPR_MUNIWASTE"/>
    <x v="0"/>
    <x v="6"/>
    <n v="0.53651612903225798"/>
    <n v="195.82838709677401"/>
    <n v="704.98219354838704"/>
  </r>
  <r>
    <x v="0"/>
    <x v="0"/>
    <x v="0"/>
    <x v="5"/>
    <x v="12"/>
    <s v="NO4_A1"/>
    <x v="4"/>
    <s v="GBPR_MUNIWASTE"/>
    <x v="0"/>
    <x v="7"/>
    <n v="0.53651612903225798"/>
    <n v="195.82838709677401"/>
    <n v="704.98219354838704"/>
  </r>
  <r>
    <x v="0"/>
    <x v="0"/>
    <x v="0"/>
    <x v="5"/>
    <x v="12"/>
    <s v="NO4_A1"/>
    <x v="4"/>
    <s v="GBPR_MUNIWASTE"/>
    <x v="0"/>
    <x v="8"/>
    <n v="0.53651612903225798"/>
    <n v="195.82838709677401"/>
    <n v="704.98219354838704"/>
  </r>
  <r>
    <x v="0"/>
    <x v="0"/>
    <x v="0"/>
    <x v="5"/>
    <x v="12"/>
    <s v="NO4_A1"/>
    <x v="4"/>
    <s v="GBPR_MUNIWASTE"/>
    <x v="0"/>
    <x v="16"/>
    <n v="0.53651612903225798"/>
    <n v="195.82838709677401"/>
    <n v="704.98219354838704"/>
  </r>
  <r>
    <x v="0"/>
    <x v="0"/>
    <x v="0"/>
    <x v="5"/>
    <x v="12"/>
    <s v="NO4_A1"/>
    <x v="4"/>
    <s v="GBPR_MUNIWASTE"/>
    <x v="0"/>
    <x v="17"/>
    <n v="0.53651612903225798"/>
    <n v="195.82838709677401"/>
    <n v="704.98219354838704"/>
  </r>
  <r>
    <x v="0"/>
    <x v="0"/>
    <x v="0"/>
    <x v="5"/>
    <x v="12"/>
    <s v="NO4_A1"/>
    <x v="4"/>
    <s v="GBPR_MUNIWASTE"/>
    <x v="0"/>
    <x v="18"/>
    <n v="0.53651612903225798"/>
    <n v="195.82838709677401"/>
    <n v="704.98219354838704"/>
  </r>
  <r>
    <x v="0"/>
    <x v="0"/>
    <x v="0"/>
    <x v="5"/>
    <x v="12"/>
    <s v="NO4_A1"/>
    <x v="4"/>
    <s v="GBPR_MUNIWASTE"/>
    <x v="0"/>
    <x v="19"/>
    <n v="0.53651612903225798"/>
    <n v="195.82838709677401"/>
    <n v="704.98219354838704"/>
  </r>
  <r>
    <x v="0"/>
    <x v="0"/>
    <x v="0"/>
    <x v="5"/>
    <x v="12"/>
    <s v="NO4_A1"/>
    <x v="4"/>
    <s v="GBPR_MUNIWASTE"/>
    <x v="0"/>
    <x v="20"/>
    <n v="0.53651612903225798"/>
    <n v="195.82838709677401"/>
    <n v="704.98219354838704"/>
  </r>
  <r>
    <x v="0"/>
    <x v="0"/>
    <x v="0"/>
    <x v="5"/>
    <x v="12"/>
    <s v="NO4_A1"/>
    <x v="4"/>
    <s v="GBPR_MUNIWASTE"/>
    <x v="0"/>
    <x v="21"/>
    <n v="0.53651612903225798"/>
    <n v="195.82838709677401"/>
    <n v="704.98219354838704"/>
  </r>
  <r>
    <x v="0"/>
    <x v="0"/>
    <x v="0"/>
    <x v="5"/>
    <x v="12"/>
    <s v="NO4_A1"/>
    <x v="4"/>
    <s v="GBPR_MUNIWASTE"/>
    <x v="0"/>
    <x v="22"/>
    <n v="0.53651612903225798"/>
    <n v="195.82838709677401"/>
    <n v="704.98219354838704"/>
  </r>
  <r>
    <x v="0"/>
    <x v="0"/>
    <x v="0"/>
    <x v="5"/>
    <x v="12"/>
    <s v="NO4_A1"/>
    <x v="4"/>
    <s v="GHOB_MUNIWASTE"/>
    <x v="0"/>
    <x v="9"/>
    <n v="12.0215251422379"/>
    <n v="4387.8566769168301"/>
    <n v="15796.284036900601"/>
  </r>
  <r>
    <x v="0"/>
    <x v="0"/>
    <x v="0"/>
    <x v="5"/>
    <x v="12"/>
    <s v="NO4_A1"/>
    <x v="4"/>
    <s v="GHOB_MUNIWASTE"/>
    <x v="0"/>
    <x v="10"/>
    <n v="11.808743391077799"/>
    <n v="4310.1913377434003"/>
    <n v="15516.688815876299"/>
  </r>
  <r>
    <x v="0"/>
    <x v="0"/>
    <x v="0"/>
    <x v="5"/>
    <x v="12"/>
    <s v="NO4_A1"/>
    <x v="4"/>
    <s v="GHOB_MUNIWASTE"/>
    <x v="0"/>
    <x v="11"/>
    <n v="12.069171590768001"/>
    <n v="4405.2476306302997"/>
    <n v="15858.8914702691"/>
  </r>
  <r>
    <x v="0"/>
    <x v="0"/>
    <x v="0"/>
    <x v="5"/>
    <x v="12"/>
    <s v="NO4_A1"/>
    <x v="4"/>
    <s v="GHOB_MUNIWASTE"/>
    <x v="0"/>
    <x v="12"/>
    <n v="12.2860063656502"/>
    <n v="4484.3923234623198"/>
    <n v="16143.8123644643"/>
  </r>
  <r>
    <x v="0"/>
    <x v="0"/>
    <x v="0"/>
    <x v="5"/>
    <x v="12"/>
    <s v="NO4_A1"/>
    <x v="4"/>
    <s v="GHOB_MUNIWASTE"/>
    <x v="0"/>
    <x v="13"/>
    <n v="13.2950196968768"/>
    <n v="4852.6821893600199"/>
    <n v="17469.655881696101"/>
  </r>
  <r>
    <x v="0"/>
    <x v="0"/>
    <x v="0"/>
    <x v="5"/>
    <x v="12"/>
    <s v="NO4_A1"/>
    <x v="4"/>
    <s v="GHOB_MUNIWASTE"/>
    <x v="0"/>
    <x v="0"/>
    <n v="15.4732347626292"/>
    <n v="5647.7306883596402"/>
    <n v="20331.8304780947"/>
  </r>
  <r>
    <x v="0"/>
    <x v="0"/>
    <x v="0"/>
    <x v="5"/>
    <x v="12"/>
    <s v="NO4_A1"/>
    <x v="4"/>
    <s v="GHOB_MUNIWASTE"/>
    <x v="0"/>
    <x v="14"/>
    <n v="16"/>
    <n v="5840"/>
    <n v="21024"/>
  </r>
  <r>
    <x v="0"/>
    <x v="0"/>
    <x v="0"/>
    <x v="5"/>
    <x v="12"/>
    <s v="NO4_A1"/>
    <x v="4"/>
    <s v="GHOB_MUNIWASTE"/>
    <x v="0"/>
    <x v="1"/>
    <n v="16"/>
    <n v="5840"/>
    <n v="21024"/>
  </r>
  <r>
    <x v="0"/>
    <x v="0"/>
    <x v="0"/>
    <x v="5"/>
    <x v="12"/>
    <s v="NO4_A1"/>
    <x v="4"/>
    <s v="GHOB_MUNIWASTE"/>
    <x v="0"/>
    <x v="23"/>
    <n v="16"/>
    <n v="5840"/>
    <n v="21024"/>
  </r>
  <r>
    <x v="0"/>
    <x v="0"/>
    <x v="0"/>
    <x v="5"/>
    <x v="12"/>
    <s v="NO4_A1"/>
    <x v="4"/>
    <s v="GHOB_MUNIWASTE"/>
    <x v="0"/>
    <x v="2"/>
    <n v="16"/>
    <n v="5840"/>
    <n v="21024"/>
  </r>
  <r>
    <x v="0"/>
    <x v="0"/>
    <x v="0"/>
    <x v="5"/>
    <x v="12"/>
    <s v="NO4_A1"/>
    <x v="4"/>
    <s v="GHOB_MUNIWASTE"/>
    <x v="0"/>
    <x v="3"/>
    <n v="16"/>
    <n v="5840"/>
    <n v="21024"/>
  </r>
  <r>
    <x v="0"/>
    <x v="0"/>
    <x v="0"/>
    <x v="5"/>
    <x v="12"/>
    <s v="NO4_A1"/>
    <x v="4"/>
    <s v="GHOB_MUNIWASTE"/>
    <x v="0"/>
    <x v="4"/>
    <n v="16"/>
    <n v="5840"/>
    <n v="21024"/>
  </r>
  <r>
    <x v="0"/>
    <x v="0"/>
    <x v="0"/>
    <x v="5"/>
    <x v="12"/>
    <s v="NO4_A1"/>
    <x v="4"/>
    <s v="GHOB_MUNIWASTE"/>
    <x v="0"/>
    <x v="5"/>
    <n v="16"/>
    <n v="5840"/>
    <n v="21024"/>
  </r>
  <r>
    <x v="0"/>
    <x v="0"/>
    <x v="0"/>
    <x v="5"/>
    <x v="12"/>
    <s v="NO4_A1"/>
    <x v="4"/>
    <s v="GHOB_MUNIWASTE"/>
    <x v="0"/>
    <x v="15"/>
    <n v="16"/>
    <n v="5840"/>
    <n v="21024"/>
  </r>
  <r>
    <x v="0"/>
    <x v="0"/>
    <x v="0"/>
    <x v="5"/>
    <x v="12"/>
    <s v="NO4_A1"/>
    <x v="4"/>
    <s v="GHOB_MUNIWASTE"/>
    <x v="0"/>
    <x v="6"/>
    <n v="16"/>
    <n v="5840"/>
    <n v="21024"/>
  </r>
  <r>
    <x v="0"/>
    <x v="0"/>
    <x v="0"/>
    <x v="5"/>
    <x v="12"/>
    <s v="NO4_A1"/>
    <x v="4"/>
    <s v="GHOB_MUNIWASTE"/>
    <x v="0"/>
    <x v="7"/>
    <n v="16"/>
    <n v="5840"/>
    <n v="21024"/>
  </r>
  <r>
    <x v="0"/>
    <x v="0"/>
    <x v="0"/>
    <x v="5"/>
    <x v="12"/>
    <s v="NO4_A1"/>
    <x v="4"/>
    <s v="GHOB_MUNIWASTE"/>
    <x v="0"/>
    <x v="8"/>
    <n v="16"/>
    <n v="5840"/>
    <n v="21024"/>
  </r>
  <r>
    <x v="0"/>
    <x v="0"/>
    <x v="0"/>
    <x v="5"/>
    <x v="12"/>
    <s v="NO4_A1"/>
    <x v="4"/>
    <s v="GHOB_MUNIWASTE"/>
    <x v="0"/>
    <x v="16"/>
    <n v="16"/>
    <n v="5840"/>
    <n v="21024"/>
  </r>
  <r>
    <x v="0"/>
    <x v="0"/>
    <x v="0"/>
    <x v="5"/>
    <x v="12"/>
    <s v="NO4_A1"/>
    <x v="4"/>
    <s v="GHOB_MUNIWASTE"/>
    <x v="0"/>
    <x v="17"/>
    <n v="15.243342288072199"/>
    <n v="5563.81993514635"/>
    <n v="20029.751766526901"/>
  </r>
  <r>
    <x v="0"/>
    <x v="0"/>
    <x v="0"/>
    <x v="5"/>
    <x v="12"/>
    <s v="NO4_A1"/>
    <x v="4"/>
    <s v="GHOB_MUNIWASTE"/>
    <x v="0"/>
    <x v="18"/>
    <n v="14.1437399291272"/>
    <n v="5162.4650741314299"/>
    <n v="18584.874266873201"/>
  </r>
  <r>
    <x v="0"/>
    <x v="0"/>
    <x v="0"/>
    <x v="5"/>
    <x v="12"/>
    <s v="NO4_A1"/>
    <x v="4"/>
    <s v="GHOB_MUNIWASTE"/>
    <x v="0"/>
    <x v="19"/>
    <n v="13.0022016174639"/>
    <n v="4745.8035903743303"/>
    <n v="17084.892925347602"/>
  </r>
  <r>
    <x v="0"/>
    <x v="0"/>
    <x v="0"/>
    <x v="5"/>
    <x v="12"/>
    <s v="NO4_A1"/>
    <x v="4"/>
    <s v="GHOB_MUNIWASTE"/>
    <x v="0"/>
    <x v="20"/>
    <n v="11.759264931632901"/>
    <n v="4292.1317000460103"/>
    <n v="15451.6741201656"/>
  </r>
  <r>
    <x v="0"/>
    <x v="0"/>
    <x v="0"/>
    <x v="5"/>
    <x v="12"/>
    <s v="NO4_A1"/>
    <x v="4"/>
    <s v="GHOB_MUNIWASTE"/>
    <x v="0"/>
    <x v="21"/>
    <n v="10.408919754315599"/>
    <n v="3799.2557103251802"/>
    <n v="13677.3205571707"/>
  </r>
  <r>
    <x v="0"/>
    <x v="0"/>
    <x v="0"/>
    <x v="5"/>
    <x v="12"/>
    <s v="NO4_A1"/>
    <x v="4"/>
    <s v="GHOB_MUNIWASTE"/>
    <x v="0"/>
    <x v="22"/>
    <n v="9.6678698092194093"/>
    <n v="3528.7724803650799"/>
    <n v="12703.580929314299"/>
  </r>
  <r>
    <x v="0"/>
    <x v="0"/>
    <x v="0"/>
    <x v="5"/>
    <x v="12"/>
    <s v="NO4_A1"/>
    <x v="2"/>
    <s v="GHOB_WASTEHEAT"/>
    <x v="0"/>
    <x v="9"/>
    <n v="10.0441849816849"/>
    <n v="3666.1275183150001"/>
    <n v="13198.059065934"/>
  </r>
  <r>
    <x v="0"/>
    <x v="0"/>
    <x v="0"/>
    <x v="5"/>
    <x v="12"/>
    <s v="NO4_A1"/>
    <x v="2"/>
    <s v="GHOB_WASTEHEAT"/>
    <x v="0"/>
    <x v="10"/>
    <n v="10.0441849816849"/>
    <n v="3666.1275183150001"/>
    <n v="13198.059065934"/>
  </r>
  <r>
    <x v="0"/>
    <x v="0"/>
    <x v="0"/>
    <x v="5"/>
    <x v="12"/>
    <s v="NO4_A1"/>
    <x v="2"/>
    <s v="GHOB_WASTEHEAT"/>
    <x v="0"/>
    <x v="11"/>
    <n v="10.0441849816849"/>
    <n v="3666.1275183150001"/>
    <n v="13198.059065934"/>
  </r>
  <r>
    <x v="0"/>
    <x v="0"/>
    <x v="0"/>
    <x v="5"/>
    <x v="12"/>
    <s v="NO4_A1"/>
    <x v="2"/>
    <s v="GHOB_WASTEHEAT"/>
    <x v="0"/>
    <x v="12"/>
    <n v="10.0441849816849"/>
    <n v="3666.1275183150001"/>
    <n v="13198.059065934"/>
  </r>
  <r>
    <x v="0"/>
    <x v="0"/>
    <x v="0"/>
    <x v="5"/>
    <x v="12"/>
    <s v="NO4_A1"/>
    <x v="2"/>
    <s v="GHOB_WASTEHEAT"/>
    <x v="0"/>
    <x v="13"/>
    <n v="10.0441849816849"/>
    <n v="3666.1275183150001"/>
    <n v="13198.059065934"/>
  </r>
  <r>
    <x v="0"/>
    <x v="0"/>
    <x v="0"/>
    <x v="5"/>
    <x v="12"/>
    <s v="NO4_A1"/>
    <x v="2"/>
    <s v="GHOB_WASTEHEAT"/>
    <x v="0"/>
    <x v="0"/>
    <n v="10.0441849816849"/>
    <n v="3666.1275183150001"/>
    <n v="13198.059065934"/>
  </r>
  <r>
    <x v="0"/>
    <x v="0"/>
    <x v="0"/>
    <x v="5"/>
    <x v="12"/>
    <s v="NO4_A1"/>
    <x v="2"/>
    <s v="GHOB_WASTEHEAT"/>
    <x v="0"/>
    <x v="14"/>
    <n v="10.0441849816849"/>
    <n v="3666.1275183150001"/>
    <n v="13198.059065934"/>
  </r>
  <r>
    <x v="0"/>
    <x v="0"/>
    <x v="0"/>
    <x v="5"/>
    <x v="12"/>
    <s v="NO4_A1"/>
    <x v="2"/>
    <s v="GHOB_WASTEHEAT"/>
    <x v="0"/>
    <x v="1"/>
    <n v="10.0441849816849"/>
    <n v="3666.1275183150001"/>
    <n v="13198.059065934"/>
  </r>
  <r>
    <x v="0"/>
    <x v="0"/>
    <x v="0"/>
    <x v="5"/>
    <x v="12"/>
    <s v="NO4_A1"/>
    <x v="2"/>
    <s v="GHOB_WASTEHEAT"/>
    <x v="0"/>
    <x v="23"/>
    <n v="10.0441849816849"/>
    <n v="3666.1275183150001"/>
    <n v="13198.059065934"/>
  </r>
  <r>
    <x v="0"/>
    <x v="0"/>
    <x v="0"/>
    <x v="5"/>
    <x v="12"/>
    <s v="NO4_A1"/>
    <x v="2"/>
    <s v="GHOB_WASTEHEAT"/>
    <x v="0"/>
    <x v="2"/>
    <n v="10.0441849816849"/>
    <n v="3666.1275183150001"/>
    <n v="13198.059065934"/>
  </r>
  <r>
    <x v="0"/>
    <x v="0"/>
    <x v="0"/>
    <x v="5"/>
    <x v="12"/>
    <s v="NO4_A1"/>
    <x v="2"/>
    <s v="GHOB_WASTEHEAT"/>
    <x v="0"/>
    <x v="3"/>
    <n v="10.0441849816849"/>
    <n v="3666.1275183150001"/>
    <n v="13198.059065934"/>
  </r>
  <r>
    <x v="0"/>
    <x v="0"/>
    <x v="0"/>
    <x v="5"/>
    <x v="12"/>
    <s v="NO4_A1"/>
    <x v="2"/>
    <s v="GHOB_WASTEHEAT"/>
    <x v="0"/>
    <x v="4"/>
    <n v="10.0441849816849"/>
    <n v="3666.1275183150001"/>
    <n v="13198.059065934"/>
  </r>
  <r>
    <x v="0"/>
    <x v="0"/>
    <x v="0"/>
    <x v="5"/>
    <x v="12"/>
    <s v="NO4_A1"/>
    <x v="2"/>
    <s v="GHOB_WASTEHEAT"/>
    <x v="0"/>
    <x v="5"/>
    <n v="10.0441849816849"/>
    <n v="3666.1275183150001"/>
    <n v="13198.059065934"/>
  </r>
  <r>
    <x v="0"/>
    <x v="0"/>
    <x v="0"/>
    <x v="5"/>
    <x v="12"/>
    <s v="NO4_A1"/>
    <x v="2"/>
    <s v="GHOB_WASTEHEAT"/>
    <x v="0"/>
    <x v="15"/>
    <n v="10.0441849816849"/>
    <n v="3666.1275183150001"/>
    <n v="13198.059065934"/>
  </r>
  <r>
    <x v="0"/>
    <x v="0"/>
    <x v="0"/>
    <x v="5"/>
    <x v="12"/>
    <s v="NO4_A1"/>
    <x v="2"/>
    <s v="GHOB_WASTEHEAT"/>
    <x v="0"/>
    <x v="6"/>
    <n v="10.0441849816849"/>
    <n v="3666.1275183150001"/>
    <n v="13198.059065934"/>
  </r>
  <r>
    <x v="0"/>
    <x v="0"/>
    <x v="0"/>
    <x v="5"/>
    <x v="12"/>
    <s v="NO4_A1"/>
    <x v="2"/>
    <s v="GHOB_WASTEHEAT"/>
    <x v="0"/>
    <x v="7"/>
    <n v="10.0441849816849"/>
    <n v="3666.1275183150001"/>
    <n v="13198.059065934"/>
  </r>
  <r>
    <x v="0"/>
    <x v="0"/>
    <x v="0"/>
    <x v="5"/>
    <x v="12"/>
    <s v="NO4_A1"/>
    <x v="2"/>
    <s v="GHOB_WASTEHEAT"/>
    <x v="0"/>
    <x v="8"/>
    <n v="10.0441849816849"/>
    <n v="3666.1275183150001"/>
    <n v="13198.059065934"/>
  </r>
  <r>
    <x v="0"/>
    <x v="0"/>
    <x v="0"/>
    <x v="5"/>
    <x v="12"/>
    <s v="NO4_A1"/>
    <x v="2"/>
    <s v="GHOB_WASTEHEAT"/>
    <x v="0"/>
    <x v="16"/>
    <n v="10.0441849816849"/>
    <n v="3666.1275183150001"/>
    <n v="13198.059065934"/>
  </r>
  <r>
    <x v="0"/>
    <x v="0"/>
    <x v="0"/>
    <x v="5"/>
    <x v="12"/>
    <s v="NO4_A1"/>
    <x v="2"/>
    <s v="GHOB_WASTEHEAT"/>
    <x v="0"/>
    <x v="17"/>
    <n v="10.0441849816849"/>
    <n v="3666.1275183150001"/>
    <n v="13198.059065934"/>
  </r>
  <r>
    <x v="0"/>
    <x v="0"/>
    <x v="0"/>
    <x v="5"/>
    <x v="12"/>
    <s v="NO4_A1"/>
    <x v="2"/>
    <s v="GHOB_WASTEHEAT"/>
    <x v="0"/>
    <x v="18"/>
    <n v="10.0441849816849"/>
    <n v="3666.1275183150001"/>
    <n v="13198.059065934"/>
  </r>
  <r>
    <x v="0"/>
    <x v="0"/>
    <x v="0"/>
    <x v="5"/>
    <x v="12"/>
    <s v="NO4_A1"/>
    <x v="2"/>
    <s v="GHOB_WASTEHEAT"/>
    <x v="0"/>
    <x v="19"/>
    <n v="10.0441849816849"/>
    <n v="3666.1275183150001"/>
    <n v="13198.059065934"/>
  </r>
  <r>
    <x v="0"/>
    <x v="0"/>
    <x v="0"/>
    <x v="5"/>
    <x v="12"/>
    <s v="NO4_A1"/>
    <x v="2"/>
    <s v="GHOB_WASTEHEAT"/>
    <x v="0"/>
    <x v="20"/>
    <n v="10.0441849816849"/>
    <n v="3666.1275183150001"/>
    <n v="13198.059065934"/>
  </r>
  <r>
    <x v="0"/>
    <x v="0"/>
    <x v="0"/>
    <x v="5"/>
    <x v="12"/>
    <s v="NO4_A1"/>
    <x v="2"/>
    <s v="GHOB_WASTEHEAT"/>
    <x v="0"/>
    <x v="21"/>
    <n v="10.0441849816849"/>
    <n v="3666.1275183150001"/>
    <n v="13198.059065934"/>
  </r>
  <r>
    <x v="0"/>
    <x v="0"/>
    <x v="0"/>
    <x v="5"/>
    <x v="12"/>
    <s v="NO4_A1"/>
    <x v="2"/>
    <s v="GHOB_WASTEHEAT"/>
    <x v="0"/>
    <x v="22"/>
    <n v="10.0441849816849"/>
    <n v="3666.1275183150001"/>
    <n v="13198.059065934"/>
  </r>
  <r>
    <x v="0"/>
    <x v="0"/>
    <x v="0"/>
    <x v="5"/>
    <x v="13"/>
    <s v="NO5_A1"/>
    <x v="14"/>
    <s v="GHOB_LPG"/>
    <x v="0"/>
    <x v="9"/>
    <n v="3.1678105738039801"/>
    <n v="1156.2508594384501"/>
    <n v="4162.5030939784201"/>
  </r>
  <r>
    <x v="0"/>
    <x v="0"/>
    <x v="0"/>
    <x v="5"/>
    <x v="13"/>
    <s v="NO5_A1"/>
    <x v="14"/>
    <s v="GHOB_LPG"/>
    <x v="0"/>
    <x v="10"/>
    <n v="3.0849853872847102"/>
    <n v="1126.0196663589199"/>
    <n v="4053.6707988921098"/>
  </r>
  <r>
    <x v="0"/>
    <x v="0"/>
    <x v="0"/>
    <x v="5"/>
    <x v="13"/>
    <s v="NO5_A1"/>
    <x v="14"/>
    <s v="GHOB_LPG"/>
    <x v="0"/>
    <x v="11"/>
    <n v="3.3020205108980201"/>
    <n v="1205.2374864777801"/>
    <n v="4338.8549513199996"/>
  </r>
  <r>
    <x v="0"/>
    <x v="0"/>
    <x v="0"/>
    <x v="5"/>
    <x v="13"/>
    <s v="NO5_A1"/>
    <x v="14"/>
    <s v="GHOB_LPG"/>
    <x v="0"/>
    <x v="12"/>
    <n v="3.6853421706606602"/>
    <n v="1345.1498922911401"/>
    <n v="4842.5396122481097"/>
  </r>
  <r>
    <x v="0"/>
    <x v="0"/>
    <x v="0"/>
    <x v="5"/>
    <x v="13"/>
    <s v="NO5_A1"/>
    <x v="14"/>
    <s v="GHOB_LPG"/>
    <x v="0"/>
    <x v="13"/>
    <n v="5.5118605742745999"/>
    <n v="2011.82910961023"/>
    <n v="7242.5847945968198"/>
  </r>
  <r>
    <x v="0"/>
    <x v="0"/>
    <x v="0"/>
    <x v="5"/>
    <x v="13"/>
    <s v="NO5_A1"/>
    <x v="14"/>
    <s v="GHOB_LPG"/>
    <x v="0"/>
    <x v="0"/>
    <n v="9.2407793242854392"/>
    <n v="3372.88445336419"/>
    <n v="12142.3840321111"/>
  </r>
  <r>
    <x v="0"/>
    <x v="0"/>
    <x v="0"/>
    <x v="5"/>
    <x v="13"/>
    <s v="NO5_A1"/>
    <x v="14"/>
    <s v="GHOB_LPG"/>
    <x v="0"/>
    <x v="14"/>
    <n v="14.1824970408765"/>
    <n v="5176.6114199199401"/>
    <n v="18635.8011117118"/>
  </r>
  <r>
    <x v="0"/>
    <x v="0"/>
    <x v="0"/>
    <x v="5"/>
    <x v="13"/>
    <s v="NO5_A1"/>
    <x v="14"/>
    <s v="GHOB_LPG"/>
    <x v="0"/>
    <x v="1"/>
    <n v="18.953337198540702"/>
    <n v="6917.9680774673598"/>
    <n v="24904.6850788825"/>
  </r>
  <r>
    <x v="0"/>
    <x v="0"/>
    <x v="0"/>
    <x v="5"/>
    <x v="13"/>
    <s v="NO5_A1"/>
    <x v="14"/>
    <s v="GHOB_LPG"/>
    <x v="0"/>
    <x v="23"/>
    <n v="19.163680611421899"/>
    <n v="6994.7434231690104"/>
    <n v="25181.076323408401"/>
  </r>
  <r>
    <x v="0"/>
    <x v="0"/>
    <x v="0"/>
    <x v="5"/>
    <x v="13"/>
    <s v="NO5_A1"/>
    <x v="14"/>
    <s v="GHOB_LPG"/>
    <x v="0"/>
    <x v="2"/>
    <n v="17.860407746510798"/>
    <n v="6519.0488274764502"/>
    <n v="23468.575778915201"/>
  </r>
  <r>
    <x v="0"/>
    <x v="0"/>
    <x v="0"/>
    <x v="5"/>
    <x v="13"/>
    <s v="NO5_A1"/>
    <x v="14"/>
    <s v="GHOB_LPG"/>
    <x v="0"/>
    <x v="3"/>
    <n v="16.361602196331599"/>
    <n v="5971.9848016610404"/>
    <n v="21499.145285979801"/>
  </r>
  <r>
    <x v="0"/>
    <x v="0"/>
    <x v="0"/>
    <x v="5"/>
    <x v="13"/>
    <s v="NO5_A1"/>
    <x v="14"/>
    <s v="GHOB_LPG"/>
    <x v="0"/>
    <x v="4"/>
    <n v="14.517386443380399"/>
    <n v="5298.8460518338497"/>
    <n v="19075.845786601902"/>
  </r>
  <r>
    <x v="0"/>
    <x v="0"/>
    <x v="0"/>
    <x v="5"/>
    <x v="13"/>
    <s v="NO5_A1"/>
    <x v="14"/>
    <s v="GHOB_LPG"/>
    <x v="0"/>
    <x v="5"/>
    <n v="12.9460697873065"/>
    <n v="4725.3154723668704"/>
    <n v="17011.135700520699"/>
  </r>
  <r>
    <x v="0"/>
    <x v="0"/>
    <x v="0"/>
    <x v="5"/>
    <x v="13"/>
    <s v="NO5_A1"/>
    <x v="14"/>
    <s v="GHOB_LPG"/>
    <x v="0"/>
    <x v="15"/>
    <n v="11.4831159105947"/>
    <n v="4191.33730736707"/>
    <n v="15088.814306521501"/>
  </r>
  <r>
    <x v="0"/>
    <x v="0"/>
    <x v="0"/>
    <x v="5"/>
    <x v="13"/>
    <s v="NO5_A1"/>
    <x v="14"/>
    <s v="GHOB_LPG"/>
    <x v="0"/>
    <x v="6"/>
    <n v="10.4404087971999"/>
    <n v="3810.7492109779701"/>
    <n v="13718.6971595207"/>
  </r>
  <r>
    <x v="0"/>
    <x v="0"/>
    <x v="0"/>
    <x v="5"/>
    <x v="13"/>
    <s v="NO5_A1"/>
    <x v="14"/>
    <s v="GHOB_LPG"/>
    <x v="0"/>
    <x v="7"/>
    <n v="8.2294538232291998"/>
    <n v="3003.7506454786599"/>
    <n v="10813.5023237232"/>
  </r>
  <r>
    <x v="0"/>
    <x v="0"/>
    <x v="0"/>
    <x v="5"/>
    <x v="13"/>
    <s v="NO5_A1"/>
    <x v="14"/>
    <s v="GHOB_LPG"/>
    <x v="0"/>
    <x v="8"/>
    <n v="6.7826594205541904"/>
    <n v="2475.67068850228"/>
    <n v="8912.4144786082106"/>
  </r>
  <r>
    <x v="0"/>
    <x v="0"/>
    <x v="0"/>
    <x v="5"/>
    <x v="13"/>
    <s v="NO5_A1"/>
    <x v="14"/>
    <s v="GHOB_LPG"/>
    <x v="0"/>
    <x v="16"/>
    <n v="5.4709889704802697"/>
    <n v="1996.9109742252999"/>
    <n v="7188.8795072110797"/>
  </r>
  <r>
    <x v="0"/>
    <x v="0"/>
    <x v="0"/>
    <x v="5"/>
    <x v="13"/>
    <s v="NO5_A1"/>
    <x v="14"/>
    <s v="GHOB_LPG"/>
    <x v="0"/>
    <x v="17"/>
    <n v="4.5420136736157097"/>
    <n v="1657.8349908697301"/>
    <n v="5968.2059671310399"/>
  </r>
  <r>
    <x v="0"/>
    <x v="0"/>
    <x v="0"/>
    <x v="5"/>
    <x v="13"/>
    <s v="NO5_A1"/>
    <x v="14"/>
    <s v="GHOB_LPG"/>
    <x v="0"/>
    <x v="18"/>
    <n v="4.4149996358643104"/>
    <n v="1611.4748670904701"/>
    <n v="5801.3095215257099"/>
  </r>
  <r>
    <x v="0"/>
    <x v="0"/>
    <x v="0"/>
    <x v="5"/>
    <x v="13"/>
    <s v="NO5_A1"/>
    <x v="14"/>
    <s v="GHOB_LPG"/>
    <x v="0"/>
    <x v="19"/>
    <n v="3.89854222911337"/>
    <n v="1422.9679136263801"/>
    <n v="5122.6844890549701"/>
  </r>
  <r>
    <x v="0"/>
    <x v="0"/>
    <x v="0"/>
    <x v="5"/>
    <x v="13"/>
    <s v="NO5_A1"/>
    <x v="14"/>
    <s v="GHOB_LPG"/>
    <x v="0"/>
    <x v="20"/>
    <n v="2.3910807920505199"/>
    <n v="872.74448909844"/>
    <n v="3141.8801607543801"/>
  </r>
  <r>
    <x v="0"/>
    <x v="0"/>
    <x v="0"/>
    <x v="5"/>
    <x v="13"/>
    <s v="NO5_A1"/>
    <x v="14"/>
    <s v="GHOB_LPG"/>
    <x v="0"/>
    <x v="21"/>
    <n v="1.40239450840167"/>
    <n v="511.87399556661097"/>
    <n v="1842.7463840398"/>
  </r>
  <r>
    <x v="0"/>
    <x v="0"/>
    <x v="0"/>
    <x v="5"/>
    <x v="13"/>
    <s v="NO5_A1"/>
    <x v="14"/>
    <s v="GHOB_LPG"/>
    <x v="0"/>
    <x v="22"/>
    <n v="0.96240889514949002"/>
    <n v="351.27924672956402"/>
    <n v="1264.60528822643"/>
  </r>
  <r>
    <x v="0"/>
    <x v="0"/>
    <x v="0"/>
    <x v="5"/>
    <x v="13"/>
    <s v="NO5_A1"/>
    <x v="4"/>
    <s v="GBPR_MUNIWASTE"/>
    <x v="0"/>
    <x v="9"/>
    <n v="25.806451612903199"/>
    <n v="9419.3548387096798"/>
    <n v="33909.677419354797"/>
  </r>
  <r>
    <x v="0"/>
    <x v="0"/>
    <x v="0"/>
    <x v="5"/>
    <x v="13"/>
    <s v="NO5_A1"/>
    <x v="4"/>
    <s v="GBPR_MUNIWASTE"/>
    <x v="0"/>
    <x v="10"/>
    <n v="25.806451612903199"/>
    <n v="9419.3548387096798"/>
    <n v="33909.677419354797"/>
  </r>
  <r>
    <x v="0"/>
    <x v="0"/>
    <x v="0"/>
    <x v="5"/>
    <x v="13"/>
    <s v="NO5_A1"/>
    <x v="4"/>
    <s v="GBPR_MUNIWASTE"/>
    <x v="0"/>
    <x v="11"/>
    <n v="25.806451612903199"/>
    <n v="9419.3548387096798"/>
    <n v="33909.677419354797"/>
  </r>
  <r>
    <x v="0"/>
    <x v="0"/>
    <x v="0"/>
    <x v="5"/>
    <x v="13"/>
    <s v="NO5_A1"/>
    <x v="4"/>
    <s v="GBPR_MUNIWASTE"/>
    <x v="0"/>
    <x v="12"/>
    <n v="25.806451612903199"/>
    <n v="9419.3548387096798"/>
    <n v="33909.677419354797"/>
  </r>
  <r>
    <x v="0"/>
    <x v="0"/>
    <x v="0"/>
    <x v="5"/>
    <x v="13"/>
    <s v="NO5_A1"/>
    <x v="4"/>
    <s v="GBPR_MUNIWASTE"/>
    <x v="0"/>
    <x v="13"/>
    <n v="25.806451612903199"/>
    <n v="9419.3548387096798"/>
    <n v="33909.677419354797"/>
  </r>
  <r>
    <x v="0"/>
    <x v="0"/>
    <x v="0"/>
    <x v="5"/>
    <x v="13"/>
    <s v="NO5_A1"/>
    <x v="4"/>
    <s v="GBPR_MUNIWASTE"/>
    <x v="0"/>
    <x v="0"/>
    <n v="25.806451612903199"/>
    <n v="9419.3548387096798"/>
    <n v="33909.677419354797"/>
  </r>
  <r>
    <x v="0"/>
    <x v="0"/>
    <x v="0"/>
    <x v="5"/>
    <x v="13"/>
    <s v="NO5_A1"/>
    <x v="4"/>
    <s v="GBPR_MUNIWASTE"/>
    <x v="0"/>
    <x v="14"/>
    <n v="25.806451612903199"/>
    <n v="9419.3548387096798"/>
    <n v="33909.677419354797"/>
  </r>
  <r>
    <x v="0"/>
    <x v="0"/>
    <x v="0"/>
    <x v="5"/>
    <x v="13"/>
    <s v="NO5_A1"/>
    <x v="4"/>
    <s v="GBPR_MUNIWASTE"/>
    <x v="0"/>
    <x v="1"/>
    <n v="25.806451612903199"/>
    <n v="9419.3548387096798"/>
    <n v="33909.677419354797"/>
  </r>
  <r>
    <x v="0"/>
    <x v="0"/>
    <x v="0"/>
    <x v="5"/>
    <x v="13"/>
    <s v="NO5_A1"/>
    <x v="4"/>
    <s v="GBPR_MUNIWASTE"/>
    <x v="0"/>
    <x v="23"/>
    <n v="25.806451612903199"/>
    <n v="9419.3548387096798"/>
    <n v="33909.677419354797"/>
  </r>
  <r>
    <x v="0"/>
    <x v="0"/>
    <x v="0"/>
    <x v="5"/>
    <x v="13"/>
    <s v="NO5_A1"/>
    <x v="4"/>
    <s v="GBPR_MUNIWASTE"/>
    <x v="0"/>
    <x v="2"/>
    <n v="25.806451612903199"/>
    <n v="9419.3548387096798"/>
    <n v="33909.677419354797"/>
  </r>
  <r>
    <x v="0"/>
    <x v="0"/>
    <x v="0"/>
    <x v="5"/>
    <x v="13"/>
    <s v="NO5_A1"/>
    <x v="4"/>
    <s v="GBPR_MUNIWASTE"/>
    <x v="0"/>
    <x v="3"/>
    <n v="25.806451612903199"/>
    <n v="9419.3548387096798"/>
    <n v="33909.677419354797"/>
  </r>
  <r>
    <x v="0"/>
    <x v="0"/>
    <x v="0"/>
    <x v="5"/>
    <x v="13"/>
    <s v="NO5_A1"/>
    <x v="4"/>
    <s v="GBPR_MUNIWASTE"/>
    <x v="0"/>
    <x v="4"/>
    <n v="25.806451612903199"/>
    <n v="9419.3548387096798"/>
    <n v="33909.677419354797"/>
  </r>
  <r>
    <x v="0"/>
    <x v="0"/>
    <x v="0"/>
    <x v="5"/>
    <x v="13"/>
    <s v="NO5_A1"/>
    <x v="4"/>
    <s v="GBPR_MUNIWASTE"/>
    <x v="0"/>
    <x v="5"/>
    <n v="25.806451612903199"/>
    <n v="9419.3548387096798"/>
    <n v="33909.677419354797"/>
  </r>
  <r>
    <x v="0"/>
    <x v="0"/>
    <x v="0"/>
    <x v="5"/>
    <x v="13"/>
    <s v="NO5_A1"/>
    <x v="4"/>
    <s v="GBPR_MUNIWASTE"/>
    <x v="0"/>
    <x v="15"/>
    <n v="25.806451612903199"/>
    <n v="9419.3548387096798"/>
    <n v="33909.677419354797"/>
  </r>
  <r>
    <x v="0"/>
    <x v="0"/>
    <x v="0"/>
    <x v="5"/>
    <x v="13"/>
    <s v="NO5_A1"/>
    <x v="4"/>
    <s v="GBPR_MUNIWASTE"/>
    <x v="0"/>
    <x v="6"/>
    <n v="25.806451612903199"/>
    <n v="9419.3548387096798"/>
    <n v="33909.677419354797"/>
  </r>
  <r>
    <x v="0"/>
    <x v="0"/>
    <x v="0"/>
    <x v="5"/>
    <x v="13"/>
    <s v="NO5_A1"/>
    <x v="4"/>
    <s v="GBPR_MUNIWASTE"/>
    <x v="0"/>
    <x v="7"/>
    <n v="25.806451612903199"/>
    <n v="9419.3548387096798"/>
    <n v="33909.677419354797"/>
  </r>
  <r>
    <x v="0"/>
    <x v="0"/>
    <x v="0"/>
    <x v="5"/>
    <x v="13"/>
    <s v="NO5_A1"/>
    <x v="4"/>
    <s v="GBPR_MUNIWASTE"/>
    <x v="0"/>
    <x v="8"/>
    <n v="25.806451612903199"/>
    <n v="9419.3548387096798"/>
    <n v="33909.677419354797"/>
  </r>
  <r>
    <x v="0"/>
    <x v="0"/>
    <x v="0"/>
    <x v="5"/>
    <x v="13"/>
    <s v="NO5_A1"/>
    <x v="4"/>
    <s v="GBPR_MUNIWASTE"/>
    <x v="0"/>
    <x v="16"/>
    <n v="25.806451612903199"/>
    <n v="9419.3548387096798"/>
    <n v="33909.677419354797"/>
  </r>
  <r>
    <x v="0"/>
    <x v="0"/>
    <x v="0"/>
    <x v="5"/>
    <x v="13"/>
    <s v="NO5_A1"/>
    <x v="4"/>
    <s v="GBPR_MUNIWASTE"/>
    <x v="0"/>
    <x v="17"/>
    <n v="25.806451612903199"/>
    <n v="9419.3548387096798"/>
    <n v="33909.677419354797"/>
  </r>
  <r>
    <x v="0"/>
    <x v="0"/>
    <x v="0"/>
    <x v="5"/>
    <x v="13"/>
    <s v="NO5_A1"/>
    <x v="4"/>
    <s v="GBPR_MUNIWASTE"/>
    <x v="0"/>
    <x v="18"/>
    <n v="25.806451612903199"/>
    <n v="9419.3548387096798"/>
    <n v="33909.677419354797"/>
  </r>
  <r>
    <x v="0"/>
    <x v="0"/>
    <x v="0"/>
    <x v="5"/>
    <x v="13"/>
    <s v="NO5_A1"/>
    <x v="4"/>
    <s v="GBPR_MUNIWASTE"/>
    <x v="0"/>
    <x v="19"/>
    <n v="25.806451612903199"/>
    <n v="9419.3548387096798"/>
    <n v="33909.677419354797"/>
  </r>
  <r>
    <x v="0"/>
    <x v="0"/>
    <x v="0"/>
    <x v="5"/>
    <x v="13"/>
    <s v="NO5_A1"/>
    <x v="4"/>
    <s v="GBPR_MUNIWASTE"/>
    <x v="0"/>
    <x v="20"/>
    <n v="25.806451612903199"/>
    <n v="9419.3548387096798"/>
    <n v="33909.677419354797"/>
  </r>
  <r>
    <x v="0"/>
    <x v="0"/>
    <x v="0"/>
    <x v="5"/>
    <x v="13"/>
    <s v="NO5_A1"/>
    <x v="4"/>
    <s v="GBPR_MUNIWASTE"/>
    <x v="0"/>
    <x v="21"/>
    <n v="25.806451612903199"/>
    <n v="9419.3548387096798"/>
    <n v="33909.677419354797"/>
  </r>
  <r>
    <x v="0"/>
    <x v="0"/>
    <x v="0"/>
    <x v="5"/>
    <x v="13"/>
    <s v="NO5_A1"/>
    <x v="4"/>
    <s v="GBPR_MUNIWASTE"/>
    <x v="0"/>
    <x v="22"/>
    <n v="25.806451612903199"/>
    <n v="9419.3548387096798"/>
    <n v="33909.677419354797"/>
  </r>
  <r>
    <x v="0"/>
    <x v="0"/>
    <x v="0"/>
    <x v="6"/>
    <x v="14"/>
    <s v="PL_A"/>
    <x v="0"/>
    <s v="BIEL-4_ST_COAL_BP"/>
    <x v="0"/>
    <x v="10"/>
    <n v="106.666666666667"/>
    <n v="38933.333333333299"/>
    <n v="140160"/>
  </r>
  <r>
    <x v="0"/>
    <x v="0"/>
    <x v="0"/>
    <x v="6"/>
    <x v="14"/>
    <s v="PL_A"/>
    <x v="0"/>
    <s v="BIEL-4_ST_COAL_BP"/>
    <x v="0"/>
    <x v="11"/>
    <n v="106.666666666667"/>
    <n v="38933.333333333299"/>
    <n v="140160"/>
  </r>
  <r>
    <x v="0"/>
    <x v="0"/>
    <x v="0"/>
    <x v="6"/>
    <x v="14"/>
    <s v="PL_A"/>
    <x v="0"/>
    <s v="BIEL-4_ST_COAL_BP"/>
    <x v="0"/>
    <x v="12"/>
    <n v="106.666666666667"/>
    <n v="38933.333333333299"/>
    <n v="140160"/>
  </r>
  <r>
    <x v="0"/>
    <x v="0"/>
    <x v="0"/>
    <x v="6"/>
    <x v="14"/>
    <s v="PL_A"/>
    <x v="0"/>
    <s v="BIEL-4_ST_COAL_BP"/>
    <x v="0"/>
    <x v="13"/>
    <n v="106.666666666667"/>
    <n v="38933.333333333299"/>
    <n v="140160"/>
  </r>
  <r>
    <x v="0"/>
    <x v="0"/>
    <x v="0"/>
    <x v="6"/>
    <x v="14"/>
    <s v="PL_A"/>
    <x v="0"/>
    <s v="BIEL-4_ST_COAL_BP"/>
    <x v="0"/>
    <x v="0"/>
    <n v="106.666666666667"/>
    <n v="38933.333333333299"/>
    <n v="140160"/>
  </r>
  <r>
    <x v="0"/>
    <x v="0"/>
    <x v="0"/>
    <x v="6"/>
    <x v="14"/>
    <s v="PL_A"/>
    <x v="0"/>
    <s v="BIEL-4_ST_COAL_BP"/>
    <x v="0"/>
    <x v="14"/>
    <n v="106.666666666667"/>
    <n v="38933.333333333299"/>
    <n v="140160"/>
  </r>
  <r>
    <x v="0"/>
    <x v="0"/>
    <x v="0"/>
    <x v="6"/>
    <x v="14"/>
    <s v="PL_A"/>
    <x v="0"/>
    <s v="BIEL-4_ST_COAL_BP"/>
    <x v="0"/>
    <x v="1"/>
    <n v="106.666666666667"/>
    <n v="38933.333333333299"/>
    <n v="140160"/>
  </r>
  <r>
    <x v="0"/>
    <x v="0"/>
    <x v="0"/>
    <x v="6"/>
    <x v="14"/>
    <s v="PL_A"/>
    <x v="0"/>
    <s v="BIEL-4_ST_COAL_BP"/>
    <x v="0"/>
    <x v="2"/>
    <n v="106.666666666667"/>
    <n v="38933.333333333299"/>
    <n v="140160"/>
  </r>
  <r>
    <x v="0"/>
    <x v="0"/>
    <x v="0"/>
    <x v="6"/>
    <x v="14"/>
    <s v="PL_A"/>
    <x v="0"/>
    <s v="BIEL-4_ST_COAL_BP"/>
    <x v="0"/>
    <x v="3"/>
    <n v="106.666666666667"/>
    <n v="38933.333333333299"/>
    <n v="140160"/>
  </r>
  <r>
    <x v="0"/>
    <x v="0"/>
    <x v="0"/>
    <x v="6"/>
    <x v="14"/>
    <s v="PL_A"/>
    <x v="0"/>
    <s v="BIEL-4_ST_COAL_BP"/>
    <x v="0"/>
    <x v="4"/>
    <n v="82.627771428638496"/>
    <n v="30159.136571453098"/>
    <n v="108572.891657231"/>
  </r>
  <r>
    <x v="0"/>
    <x v="0"/>
    <x v="0"/>
    <x v="6"/>
    <x v="14"/>
    <s v="PL_A"/>
    <x v="0"/>
    <s v="CHOR2-1_ST_COAL_BP"/>
    <x v="0"/>
    <x v="9"/>
    <n v="453.33333333333297"/>
    <n v="165466.66666666701"/>
    <n v="595680"/>
  </r>
  <r>
    <x v="0"/>
    <x v="0"/>
    <x v="0"/>
    <x v="6"/>
    <x v="14"/>
    <s v="PL_A"/>
    <x v="0"/>
    <s v="CHOR2-1_ST_COAL_BP"/>
    <x v="0"/>
    <x v="10"/>
    <n v="453.33333333333297"/>
    <n v="165466.66666666701"/>
    <n v="595680"/>
  </r>
  <r>
    <x v="0"/>
    <x v="0"/>
    <x v="0"/>
    <x v="6"/>
    <x v="14"/>
    <s v="PL_A"/>
    <x v="0"/>
    <s v="CHOR2-1_ST_COAL_BP"/>
    <x v="0"/>
    <x v="11"/>
    <n v="453.33333333333297"/>
    <n v="165466.66666666701"/>
    <n v="595680"/>
  </r>
  <r>
    <x v="0"/>
    <x v="0"/>
    <x v="0"/>
    <x v="6"/>
    <x v="14"/>
    <s v="PL_A"/>
    <x v="0"/>
    <s v="CHOR2-1_ST_COAL_BP"/>
    <x v="0"/>
    <x v="12"/>
    <n v="453.33333333333297"/>
    <n v="165466.66666666701"/>
    <n v="595680"/>
  </r>
  <r>
    <x v="0"/>
    <x v="0"/>
    <x v="0"/>
    <x v="6"/>
    <x v="14"/>
    <s v="PL_A"/>
    <x v="0"/>
    <s v="CHOR2-1_ST_COAL_BP"/>
    <x v="0"/>
    <x v="13"/>
    <n v="453.33333333333297"/>
    <n v="165466.66666666701"/>
    <n v="595680"/>
  </r>
  <r>
    <x v="0"/>
    <x v="0"/>
    <x v="0"/>
    <x v="6"/>
    <x v="14"/>
    <s v="PL_A"/>
    <x v="0"/>
    <s v="CHOR2-1_ST_COAL_BP"/>
    <x v="0"/>
    <x v="0"/>
    <n v="453.33333333333297"/>
    <n v="165466.66666666701"/>
    <n v="595680"/>
  </r>
  <r>
    <x v="0"/>
    <x v="0"/>
    <x v="0"/>
    <x v="6"/>
    <x v="14"/>
    <s v="PL_A"/>
    <x v="0"/>
    <s v="CHOR2-1_ST_COAL_BP"/>
    <x v="0"/>
    <x v="14"/>
    <n v="453.33333333333297"/>
    <n v="165466.66666666701"/>
    <n v="595680"/>
  </r>
  <r>
    <x v="0"/>
    <x v="0"/>
    <x v="0"/>
    <x v="6"/>
    <x v="14"/>
    <s v="PL_A"/>
    <x v="0"/>
    <s v="CHOR2-1_ST_COAL_BP"/>
    <x v="0"/>
    <x v="1"/>
    <n v="453.33333333333297"/>
    <n v="165466.66666666701"/>
    <n v="595680"/>
  </r>
  <r>
    <x v="0"/>
    <x v="0"/>
    <x v="0"/>
    <x v="6"/>
    <x v="14"/>
    <s v="PL_A"/>
    <x v="0"/>
    <s v="CHOR2-1_ST_COAL_BP"/>
    <x v="0"/>
    <x v="23"/>
    <n v="453.33333333333297"/>
    <n v="165466.66666666701"/>
    <n v="595680"/>
  </r>
  <r>
    <x v="0"/>
    <x v="0"/>
    <x v="0"/>
    <x v="6"/>
    <x v="14"/>
    <s v="PL_A"/>
    <x v="0"/>
    <s v="CHOR2-1_ST_COAL_BP"/>
    <x v="0"/>
    <x v="2"/>
    <n v="453.33333333333297"/>
    <n v="165466.66666666701"/>
    <n v="595680"/>
  </r>
  <r>
    <x v="0"/>
    <x v="0"/>
    <x v="0"/>
    <x v="6"/>
    <x v="14"/>
    <s v="PL_A"/>
    <x v="0"/>
    <s v="CHOR2-1_ST_COAL_BP"/>
    <x v="0"/>
    <x v="3"/>
    <n v="453.33333333333297"/>
    <n v="165466.66666666701"/>
    <n v="595680"/>
  </r>
  <r>
    <x v="0"/>
    <x v="0"/>
    <x v="0"/>
    <x v="6"/>
    <x v="14"/>
    <s v="PL_A"/>
    <x v="0"/>
    <s v="CHOR2-1_ST_COAL_BP"/>
    <x v="0"/>
    <x v="4"/>
    <n v="453.33333333333297"/>
    <n v="165466.66666666701"/>
    <n v="595680"/>
  </r>
  <r>
    <x v="0"/>
    <x v="0"/>
    <x v="0"/>
    <x v="6"/>
    <x v="14"/>
    <s v="PL_A"/>
    <x v="0"/>
    <s v="CHOR2-1_ST_COAL_BP"/>
    <x v="0"/>
    <x v="5"/>
    <n v="453.33333333333297"/>
    <n v="165466.66666666701"/>
    <n v="595680"/>
  </r>
  <r>
    <x v="0"/>
    <x v="0"/>
    <x v="0"/>
    <x v="6"/>
    <x v="14"/>
    <s v="PL_A"/>
    <x v="0"/>
    <s v="CHOR2-1_ST_COAL_BP"/>
    <x v="0"/>
    <x v="15"/>
    <n v="453.33333333333297"/>
    <n v="165466.66666666701"/>
    <n v="595680"/>
  </r>
  <r>
    <x v="0"/>
    <x v="0"/>
    <x v="0"/>
    <x v="6"/>
    <x v="14"/>
    <s v="PL_A"/>
    <x v="0"/>
    <s v="CHOR2-1_ST_COAL_BP"/>
    <x v="0"/>
    <x v="6"/>
    <n v="453.33333333333297"/>
    <n v="165466.66666666701"/>
    <n v="595680"/>
  </r>
  <r>
    <x v="0"/>
    <x v="0"/>
    <x v="0"/>
    <x v="6"/>
    <x v="14"/>
    <s v="PL_A"/>
    <x v="0"/>
    <s v="CHOR2-1_ST_COAL_BP"/>
    <x v="0"/>
    <x v="7"/>
    <n v="453.33333333333297"/>
    <n v="165466.66666666701"/>
    <n v="595680"/>
  </r>
  <r>
    <x v="0"/>
    <x v="0"/>
    <x v="0"/>
    <x v="6"/>
    <x v="14"/>
    <s v="PL_A"/>
    <x v="0"/>
    <s v="CHOR2-1_ST_COAL_BP"/>
    <x v="0"/>
    <x v="8"/>
    <n v="453.33333333333297"/>
    <n v="165466.66666666701"/>
    <n v="595680"/>
  </r>
  <r>
    <x v="0"/>
    <x v="0"/>
    <x v="0"/>
    <x v="6"/>
    <x v="14"/>
    <s v="PL_A"/>
    <x v="0"/>
    <s v="CHOR2-1_ST_COAL_BP"/>
    <x v="0"/>
    <x v="16"/>
    <n v="453.33333333333297"/>
    <n v="165466.66666666701"/>
    <n v="595680"/>
  </r>
  <r>
    <x v="0"/>
    <x v="0"/>
    <x v="0"/>
    <x v="6"/>
    <x v="14"/>
    <s v="PL_A"/>
    <x v="0"/>
    <s v="CHOR2-1_ST_COAL_BP"/>
    <x v="0"/>
    <x v="17"/>
    <n v="453.33333333333297"/>
    <n v="165466.66666666701"/>
    <n v="595680"/>
  </r>
  <r>
    <x v="0"/>
    <x v="0"/>
    <x v="0"/>
    <x v="6"/>
    <x v="14"/>
    <s v="PL_A"/>
    <x v="0"/>
    <s v="CHOR2-1_ST_COAL_BP"/>
    <x v="0"/>
    <x v="18"/>
    <n v="453.33333333333297"/>
    <n v="165466.66666666701"/>
    <n v="595680"/>
  </r>
  <r>
    <x v="0"/>
    <x v="0"/>
    <x v="0"/>
    <x v="6"/>
    <x v="14"/>
    <s v="PL_A"/>
    <x v="0"/>
    <s v="CHOR2-1_ST_COAL_BP"/>
    <x v="0"/>
    <x v="19"/>
    <n v="453.33333333333297"/>
    <n v="165466.66666666701"/>
    <n v="595680"/>
  </r>
  <r>
    <x v="0"/>
    <x v="0"/>
    <x v="0"/>
    <x v="6"/>
    <x v="14"/>
    <s v="PL_A"/>
    <x v="0"/>
    <s v="CHOR2-1_ST_COAL_BP"/>
    <x v="0"/>
    <x v="20"/>
    <n v="453.33333333333297"/>
    <n v="165466.66666666701"/>
    <n v="595680"/>
  </r>
  <r>
    <x v="0"/>
    <x v="0"/>
    <x v="0"/>
    <x v="6"/>
    <x v="14"/>
    <s v="PL_A"/>
    <x v="0"/>
    <s v="CHOR2-1_ST_COAL_BP"/>
    <x v="0"/>
    <x v="21"/>
    <n v="453.33333333333297"/>
    <n v="165466.66666666701"/>
    <n v="595680"/>
  </r>
  <r>
    <x v="0"/>
    <x v="0"/>
    <x v="0"/>
    <x v="6"/>
    <x v="14"/>
    <s v="PL_A"/>
    <x v="0"/>
    <s v="CHOR2-1_ST_COAL_BP"/>
    <x v="0"/>
    <x v="22"/>
    <n v="453.33333333333297"/>
    <n v="165466.66666666701"/>
    <n v="595680"/>
  </r>
  <r>
    <x v="0"/>
    <x v="0"/>
    <x v="0"/>
    <x v="6"/>
    <x v="14"/>
    <s v="PL_A"/>
    <x v="0"/>
    <s v="DOLN-1_ST_COAL_EXT"/>
    <x v="0"/>
    <x v="9"/>
    <n v="63.75"/>
    <n v="23268.75"/>
    <n v="83767.5"/>
  </r>
  <r>
    <x v="0"/>
    <x v="0"/>
    <x v="0"/>
    <x v="6"/>
    <x v="14"/>
    <s v="PL_A"/>
    <x v="0"/>
    <s v="DOLN-1_ST_COAL_EXT"/>
    <x v="0"/>
    <x v="10"/>
    <n v="47.842841586279299"/>
    <n v="17462.637178992001"/>
    <n v="62865.493844370998"/>
  </r>
  <r>
    <x v="0"/>
    <x v="0"/>
    <x v="0"/>
    <x v="6"/>
    <x v="14"/>
    <s v="PL_A"/>
    <x v="0"/>
    <s v="DOLN-1_ST_COAL_EXT"/>
    <x v="0"/>
    <x v="11"/>
    <n v="8.8431581772089096"/>
    <n v="3227.7527346812499"/>
    <n v="11619.9098448525"/>
  </r>
  <r>
    <x v="0"/>
    <x v="0"/>
    <x v="0"/>
    <x v="6"/>
    <x v="14"/>
    <s v="PL_A"/>
    <x v="0"/>
    <s v="DOLN-1_ST_COAL_EXT"/>
    <x v="0"/>
    <x v="12"/>
    <n v="63.75"/>
    <n v="23268.75"/>
    <n v="83767.5"/>
  </r>
  <r>
    <x v="0"/>
    <x v="0"/>
    <x v="0"/>
    <x v="6"/>
    <x v="14"/>
    <s v="PL_A"/>
    <x v="0"/>
    <s v="DOLN-1_ST_COAL_EXT"/>
    <x v="0"/>
    <x v="13"/>
    <n v="63.75"/>
    <n v="23268.75"/>
    <n v="83767.5"/>
  </r>
  <r>
    <x v="0"/>
    <x v="0"/>
    <x v="0"/>
    <x v="6"/>
    <x v="14"/>
    <s v="PL_A"/>
    <x v="0"/>
    <s v="GDAN2-1_ST_COAL_BP"/>
    <x v="0"/>
    <x v="9"/>
    <n v="476.36243581220498"/>
    <n v="173872.28907145499"/>
    <n v="625940.24065723701"/>
  </r>
  <r>
    <x v="0"/>
    <x v="0"/>
    <x v="0"/>
    <x v="6"/>
    <x v="14"/>
    <s v="PL_A"/>
    <x v="0"/>
    <s v="GDAN2-1_ST_COAL_BP"/>
    <x v="0"/>
    <x v="10"/>
    <n v="437.28115532791702"/>
    <n v="159607.62169468999"/>
    <n v="574587.43810088304"/>
  </r>
  <r>
    <x v="0"/>
    <x v="0"/>
    <x v="0"/>
    <x v="6"/>
    <x v="14"/>
    <s v="PL_A"/>
    <x v="0"/>
    <s v="GDAN2-1_ST_COAL_BP"/>
    <x v="0"/>
    <x v="11"/>
    <n v="492.43028491468999"/>
    <n v="179737.05399386201"/>
    <n v="647053.39437790203"/>
  </r>
  <r>
    <x v="0"/>
    <x v="0"/>
    <x v="0"/>
    <x v="6"/>
    <x v="14"/>
    <s v="PL_A"/>
    <x v="0"/>
    <s v="GDAN2-1_ST_COAL_BP"/>
    <x v="0"/>
    <x v="12"/>
    <n v="389.07510455878901"/>
    <n v="142012.413163958"/>
    <n v="511244.68739024899"/>
  </r>
  <r>
    <x v="0"/>
    <x v="0"/>
    <x v="0"/>
    <x v="6"/>
    <x v="14"/>
    <s v="PL_A"/>
    <x v="0"/>
    <s v="GDAN2-1_ST_COAL_BP"/>
    <x v="0"/>
    <x v="0"/>
    <n v="1129.0315618500999"/>
    <n v="412096.52007528697"/>
    <n v="1483547.4722710301"/>
  </r>
  <r>
    <x v="0"/>
    <x v="0"/>
    <x v="0"/>
    <x v="6"/>
    <x v="14"/>
    <s v="PL_A"/>
    <x v="0"/>
    <s v="GDAN2-1_ST_COAL_BP"/>
    <x v="0"/>
    <x v="14"/>
    <n v="932.00831848211703"/>
    <n v="340183.03624597302"/>
    <n v="1224658.9304855"/>
  </r>
  <r>
    <x v="0"/>
    <x v="0"/>
    <x v="0"/>
    <x v="6"/>
    <x v="14"/>
    <s v="PL_A"/>
    <x v="0"/>
    <s v="GDAN2-1_ST_COAL_BP"/>
    <x v="0"/>
    <x v="1"/>
    <n v="689.76662581653204"/>
    <n v="251764.81842303401"/>
    <n v="906353.34632292297"/>
  </r>
  <r>
    <x v="0"/>
    <x v="0"/>
    <x v="0"/>
    <x v="6"/>
    <x v="14"/>
    <s v="PL_A"/>
    <x v="0"/>
    <s v="GDAN2-1_ST_COAL_BP"/>
    <x v="0"/>
    <x v="23"/>
    <n v="586.490492173039"/>
    <n v="214069.02964315901"/>
    <n v="770648.50671537302"/>
  </r>
  <r>
    <x v="0"/>
    <x v="0"/>
    <x v="0"/>
    <x v="6"/>
    <x v="14"/>
    <s v="PL_A"/>
    <x v="0"/>
    <s v="GDAN2-1_ST_COAL_BP"/>
    <x v="0"/>
    <x v="2"/>
    <n v="289.26036060944602"/>
    <n v="105580.031622448"/>
    <n v="380088.113840812"/>
  </r>
  <r>
    <x v="0"/>
    <x v="0"/>
    <x v="0"/>
    <x v="6"/>
    <x v="14"/>
    <s v="PL_A"/>
    <x v="0"/>
    <s v="GDAN2-1_ST_COAL_BP"/>
    <x v="0"/>
    <x v="3"/>
    <n v="118.07623112576999"/>
    <n v="43097.824360906197"/>
    <n v="155152.16769926201"/>
  </r>
  <r>
    <x v="0"/>
    <x v="0"/>
    <x v="0"/>
    <x v="6"/>
    <x v="14"/>
    <s v="PL_A"/>
    <x v="0"/>
    <s v="JAWO2-1_ST_COAL_BP"/>
    <x v="0"/>
    <x v="9"/>
    <n v="4342"/>
    <n v="1584830"/>
    <n v="5705388"/>
  </r>
  <r>
    <x v="0"/>
    <x v="0"/>
    <x v="0"/>
    <x v="6"/>
    <x v="14"/>
    <s v="PL_A"/>
    <x v="0"/>
    <s v="JAWO2-1_ST_COAL_BP"/>
    <x v="0"/>
    <x v="10"/>
    <n v="4342"/>
    <n v="1584830"/>
    <n v="5705388"/>
  </r>
  <r>
    <x v="0"/>
    <x v="0"/>
    <x v="0"/>
    <x v="6"/>
    <x v="14"/>
    <s v="PL_A"/>
    <x v="0"/>
    <s v="JAWO2-1_ST_COAL_BP"/>
    <x v="0"/>
    <x v="11"/>
    <n v="4342"/>
    <n v="1584830"/>
    <n v="5705388"/>
  </r>
  <r>
    <x v="0"/>
    <x v="0"/>
    <x v="0"/>
    <x v="6"/>
    <x v="14"/>
    <s v="PL_A"/>
    <x v="0"/>
    <s v="JAWO2-1_ST_COAL_BP"/>
    <x v="0"/>
    <x v="12"/>
    <n v="4342"/>
    <n v="1584830"/>
    <n v="5705388"/>
  </r>
  <r>
    <x v="0"/>
    <x v="0"/>
    <x v="0"/>
    <x v="6"/>
    <x v="14"/>
    <s v="PL_A"/>
    <x v="0"/>
    <s v="JAWO2-1_ST_COAL_BP"/>
    <x v="0"/>
    <x v="13"/>
    <n v="4342"/>
    <n v="1584830"/>
    <n v="5705388"/>
  </r>
  <r>
    <x v="0"/>
    <x v="0"/>
    <x v="0"/>
    <x v="6"/>
    <x v="14"/>
    <s v="PL_A"/>
    <x v="0"/>
    <s v="JAWO2-1_ST_COAL_BP"/>
    <x v="0"/>
    <x v="0"/>
    <n v="4342"/>
    <n v="1584830"/>
    <n v="5705388"/>
  </r>
  <r>
    <x v="0"/>
    <x v="0"/>
    <x v="0"/>
    <x v="6"/>
    <x v="14"/>
    <s v="PL_A"/>
    <x v="0"/>
    <s v="JAWO2-1_ST_COAL_BP"/>
    <x v="0"/>
    <x v="14"/>
    <n v="4342"/>
    <n v="1584830"/>
    <n v="5705388"/>
  </r>
  <r>
    <x v="0"/>
    <x v="0"/>
    <x v="0"/>
    <x v="6"/>
    <x v="14"/>
    <s v="PL_A"/>
    <x v="0"/>
    <s v="JAWO2-1_ST_COAL_BP"/>
    <x v="0"/>
    <x v="1"/>
    <n v="4342"/>
    <n v="1584830"/>
    <n v="5705388"/>
  </r>
  <r>
    <x v="0"/>
    <x v="0"/>
    <x v="0"/>
    <x v="6"/>
    <x v="14"/>
    <s v="PL_A"/>
    <x v="0"/>
    <s v="JAWO2-1_ST_COAL_BP"/>
    <x v="0"/>
    <x v="23"/>
    <n v="4342"/>
    <n v="1584830"/>
    <n v="5705388"/>
  </r>
  <r>
    <x v="0"/>
    <x v="0"/>
    <x v="0"/>
    <x v="6"/>
    <x v="14"/>
    <s v="PL_A"/>
    <x v="0"/>
    <s v="JAWO2-1_ST_COAL_BP"/>
    <x v="0"/>
    <x v="2"/>
    <n v="4342"/>
    <n v="1584830"/>
    <n v="5705388"/>
  </r>
  <r>
    <x v="0"/>
    <x v="0"/>
    <x v="0"/>
    <x v="6"/>
    <x v="14"/>
    <s v="PL_A"/>
    <x v="0"/>
    <s v="JAWO2-1_ST_COAL_BP"/>
    <x v="0"/>
    <x v="3"/>
    <n v="4342"/>
    <n v="1584830"/>
    <n v="5705388"/>
  </r>
  <r>
    <x v="0"/>
    <x v="0"/>
    <x v="0"/>
    <x v="6"/>
    <x v="14"/>
    <s v="PL_A"/>
    <x v="0"/>
    <s v="JAWO2-1_ST_COAL_BP"/>
    <x v="0"/>
    <x v="4"/>
    <n v="4342"/>
    <n v="1584830"/>
    <n v="5705388"/>
  </r>
  <r>
    <x v="0"/>
    <x v="0"/>
    <x v="0"/>
    <x v="6"/>
    <x v="14"/>
    <s v="PL_A"/>
    <x v="0"/>
    <s v="JAWO2-1_ST_COAL_BP"/>
    <x v="0"/>
    <x v="5"/>
    <n v="4342"/>
    <n v="1584830"/>
    <n v="5705388"/>
  </r>
  <r>
    <x v="0"/>
    <x v="0"/>
    <x v="0"/>
    <x v="6"/>
    <x v="14"/>
    <s v="PL_A"/>
    <x v="0"/>
    <s v="JAWO2-1_ST_COAL_BP"/>
    <x v="0"/>
    <x v="15"/>
    <n v="4342"/>
    <n v="1584830"/>
    <n v="5705388"/>
  </r>
  <r>
    <x v="0"/>
    <x v="0"/>
    <x v="0"/>
    <x v="6"/>
    <x v="14"/>
    <s v="PL_A"/>
    <x v="0"/>
    <s v="JAWO2-1_ST_COAL_BP"/>
    <x v="0"/>
    <x v="6"/>
    <n v="4140.3975187010401"/>
    <n v="1511245.0943258801"/>
    <n v="5440482.3395731701"/>
  </r>
  <r>
    <x v="0"/>
    <x v="0"/>
    <x v="0"/>
    <x v="6"/>
    <x v="14"/>
    <s v="PL_A"/>
    <x v="0"/>
    <s v="JAWO2-1_ST_COAL_BP"/>
    <x v="0"/>
    <x v="7"/>
    <n v="4342"/>
    <n v="1584830"/>
    <n v="5705388"/>
  </r>
  <r>
    <x v="0"/>
    <x v="0"/>
    <x v="0"/>
    <x v="6"/>
    <x v="14"/>
    <s v="PL_A"/>
    <x v="0"/>
    <s v="JAWO2-1_ST_COAL_BP"/>
    <x v="0"/>
    <x v="8"/>
    <n v="4056.42039857696"/>
    <n v="1480593.44548059"/>
    <n v="5330136.4037301196"/>
  </r>
  <r>
    <x v="0"/>
    <x v="0"/>
    <x v="0"/>
    <x v="6"/>
    <x v="14"/>
    <s v="PL_A"/>
    <x v="0"/>
    <s v="JAWO2-1_ST_COAL_BP"/>
    <x v="0"/>
    <x v="16"/>
    <n v="4342"/>
    <n v="1584830"/>
    <n v="5705388"/>
  </r>
  <r>
    <x v="0"/>
    <x v="0"/>
    <x v="0"/>
    <x v="6"/>
    <x v="14"/>
    <s v="PL_A"/>
    <x v="0"/>
    <s v="JAWO2-1_ST_COAL_BP"/>
    <x v="0"/>
    <x v="17"/>
    <n v="4342"/>
    <n v="1584830"/>
    <n v="5705388"/>
  </r>
  <r>
    <x v="0"/>
    <x v="0"/>
    <x v="0"/>
    <x v="6"/>
    <x v="14"/>
    <s v="PL_A"/>
    <x v="0"/>
    <s v="JAWO2-1_ST_COAL_BP"/>
    <x v="0"/>
    <x v="18"/>
    <n v="4332.9144968619603"/>
    <n v="1581513.7913546199"/>
    <n v="5693449.6488766205"/>
  </r>
  <r>
    <x v="0"/>
    <x v="0"/>
    <x v="0"/>
    <x v="6"/>
    <x v="14"/>
    <s v="PL_A"/>
    <x v="0"/>
    <s v="JAWO2-1_ST_COAL_BP"/>
    <x v="0"/>
    <x v="19"/>
    <n v="4294.1558260354604"/>
    <n v="1567366.87650294"/>
    <n v="5642520.7554105902"/>
  </r>
  <r>
    <x v="0"/>
    <x v="0"/>
    <x v="0"/>
    <x v="6"/>
    <x v="14"/>
    <s v="PL_A"/>
    <x v="0"/>
    <s v="JAWO2-1_ST_COAL_BP"/>
    <x v="0"/>
    <x v="20"/>
    <n v="4255.3971552089697"/>
    <n v="1553219.9616512801"/>
    <n v="5591591.8619445898"/>
  </r>
  <r>
    <x v="0"/>
    <x v="0"/>
    <x v="0"/>
    <x v="6"/>
    <x v="14"/>
    <s v="PL_A"/>
    <x v="0"/>
    <s v="JAWO2-1_ST_COAL_BP"/>
    <x v="0"/>
    <x v="21"/>
    <n v="3902.3281520891001"/>
    <n v="1424349.77551252"/>
    <n v="5127659.1918450696"/>
  </r>
  <r>
    <x v="0"/>
    <x v="0"/>
    <x v="0"/>
    <x v="6"/>
    <x v="14"/>
    <s v="PL_A"/>
    <x v="0"/>
    <s v="JAWO2-1_ST_COAL_BP"/>
    <x v="0"/>
    <x v="22"/>
    <n v="3840.8143085583001"/>
    <n v="1401897.2226237799"/>
    <n v="5046830.0014455998"/>
  </r>
  <r>
    <x v="0"/>
    <x v="0"/>
    <x v="0"/>
    <x v="6"/>
    <x v="14"/>
    <s v="PL_A"/>
    <x v="0"/>
    <s v="KARO-2_ST_COAL_BP"/>
    <x v="0"/>
    <x v="9"/>
    <n v="396"/>
    <n v="144540"/>
    <n v="520344"/>
  </r>
  <r>
    <x v="0"/>
    <x v="0"/>
    <x v="0"/>
    <x v="6"/>
    <x v="14"/>
    <s v="PL_A"/>
    <x v="0"/>
    <s v="KARO-2_ST_COAL_BP"/>
    <x v="0"/>
    <x v="10"/>
    <n v="396"/>
    <n v="144540"/>
    <n v="520344"/>
  </r>
  <r>
    <x v="0"/>
    <x v="0"/>
    <x v="0"/>
    <x v="6"/>
    <x v="14"/>
    <s v="PL_A"/>
    <x v="0"/>
    <s v="KARO-2_ST_COAL_BP"/>
    <x v="0"/>
    <x v="11"/>
    <n v="396"/>
    <n v="144540"/>
    <n v="520344"/>
  </r>
  <r>
    <x v="0"/>
    <x v="0"/>
    <x v="0"/>
    <x v="6"/>
    <x v="14"/>
    <s v="PL_A"/>
    <x v="0"/>
    <s v="KARO-2_ST_COAL_BP"/>
    <x v="0"/>
    <x v="12"/>
    <n v="396"/>
    <n v="144540"/>
    <n v="520344"/>
  </r>
  <r>
    <x v="0"/>
    <x v="0"/>
    <x v="0"/>
    <x v="6"/>
    <x v="14"/>
    <s v="PL_A"/>
    <x v="0"/>
    <s v="KARO-2_ST_COAL_BP"/>
    <x v="0"/>
    <x v="13"/>
    <n v="396"/>
    <n v="144540"/>
    <n v="520344"/>
  </r>
  <r>
    <x v="0"/>
    <x v="0"/>
    <x v="0"/>
    <x v="6"/>
    <x v="14"/>
    <s v="PL_A"/>
    <x v="0"/>
    <s v="KARO-2_ST_COAL_BP"/>
    <x v="0"/>
    <x v="0"/>
    <n v="396"/>
    <n v="144540"/>
    <n v="520344"/>
  </r>
  <r>
    <x v="0"/>
    <x v="0"/>
    <x v="0"/>
    <x v="6"/>
    <x v="14"/>
    <s v="PL_A"/>
    <x v="0"/>
    <s v="KARO-2_ST_COAL_BP"/>
    <x v="0"/>
    <x v="14"/>
    <n v="396"/>
    <n v="144540"/>
    <n v="520344"/>
  </r>
  <r>
    <x v="0"/>
    <x v="0"/>
    <x v="0"/>
    <x v="6"/>
    <x v="14"/>
    <s v="PL_A"/>
    <x v="0"/>
    <s v="KARO-2_ST_COAL_BP"/>
    <x v="0"/>
    <x v="1"/>
    <n v="396"/>
    <n v="144540"/>
    <n v="520344"/>
  </r>
  <r>
    <x v="0"/>
    <x v="0"/>
    <x v="0"/>
    <x v="6"/>
    <x v="14"/>
    <s v="PL_A"/>
    <x v="0"/>
    <s v="KARO-2_ST_COAL_BP"/>
    <x v="0"/>
    <x v="23"/>
    <n v="396"/>
    <n v="144540"/>
    <n v="520344"/>
  </r>
  <r>
    <x v="0"/>
    <x v="0"/>
    <x v="0"/>
    <x v="6"/>
    <x v="14"/>
    <s v="PL_A"/>
    <x v="0"/>
    <s v="KARO-2_ST_COAL_BP"/>
    <x v="0"/>
    <x v="2"/>
    <n v="396"/>
    <n v="144540"/>
    <n v="520344"/>
  </r>
  <r>
    <x v="0"/>
    <x v="0"/>
    <x v="0"/>
    <x v="6"/>
    <x v="14"/>
    <s v="PL_A"/>
    <x v="0"/>
    <s v="KARO-2_ST_COAL_BP"/>
    <x v="0"/>
    <x v="3"/>
    <n v="396"/>
    <n v="144540"/>
    <n v="520344"/>
  </r>
  <r>
    <x v="0"/>
    <x v="0"/>
    <x v="0"/>
    <x v="6"/>
    <x v="14"/>
    <s v="PL_A"/>
    <x v="0"/>
    <s v="KARO-2_ST_COAL_BP"/>
    <x v="0"/>
    <x v="4"/>
    <n v="396"/>
    <n v="144540"/>
    <n v="520344"/>
  </r>
  <r>
    <x v="0"/>
    <x v="0"/>
    <x v="0"/>
    <x v="6"/>
    <x v="14"/>
    <s v="PL_A"/>
    <x v="0"/>
    <s v="KARO-2_ST_COAL_BP"/>
    <x v="0"/>
    <x v="5"/>
    <n v="355.891980478091"/>
    <n v="129900.57287450301"/>
    <n v="467642.062348212"/>
  </r>
  <r>
    <x v="0"/>
    <x v="0"/>
    <x v="0"/>
    <x v="6"/>
    <x v="14"/>
    <s v="PL_A"/>
    <x v="0"/>
    <s v="KARO-2_ST_COAL_BP"/>
    <x v="0"/>
    <x v="15"/>
    <n v="255.765414176306"/>
    <n v="93354.376174351506"/>
    <n v="336075.75422766601"/>
  </r>
  <r>
    <x v="0"/>
    <x v="0"/>
    <x v="0"/>
    <x v="6"/>
    <x v="14"/>
    <s v="PL_A"/>
    <x v="0"/>
    <s v="KARO-2_ST_COAL_BP"/>
    <x v="0"/>
    <x v="6"/>
    <n v="396"/>
    <n v="144540"/>
    <n v="520344"/>
  </r>
  <r>
    <x v="0"/>
    <x v="0"/>
    <x v="0"/>
    <x v="6"/>
    <x v="14"/>
    <s v="PL_A"/>
    <x v="0"/>
    <s v="KARO-2_ST_COAL_BP"/>
    <x v="0"/>
    <x v="7"/>
    <n v="149.17906940346199"/>
    <n v="54450.360332263699"/>
    <n v="196021.29719614901"/>
  </r>
  <r>
    <x v="0"/>
    <x v="0"/>
    <x v="0"/>
    <x v="6"/>
    <x v="14"/>
    <s v="PL_A"/>
    <x v="0"/>
    <s v="KARO-2_ST_COAL_BP"/>
    <x v="0"/>
    <x v="8"/>
    <n v="396"/>
    <n v="144540"/>
    <n v="520344"/>
  </r>
  <r>
    <x v="0"/>
    <x v="0"/>
    <x v="0"/>
    <x v="6"/>
    <x v="14"/>
    <s v="PL_A"/>
    <x v="0"/>
    <s v="KARO-2_ST_COAL_BP"/>
    <x v="0"/>
    <x v="16"/>
    <n v="74.891616986024601"/>
    <n v="27335.440199899"/>
    <n v="98407.584719636303"/>
  </r>
  <r>
    <x v="0"/>
    <x v="0"/>
    <x v="0"/>
    <x v="6"/>
    <x v="14"/>
    <s v="PL_A"/>
    <x v="0"/>
    <s v="KARO-2_ST_COAL_BP"/>
    <x v="0"/>
    <x v="17"/>
    <n v="36.132946159521097"/>
    <n v="13188.525348225199"/>
    <n v="47478.691253610697"/>
  </r>
  <r>
    <x v="0"/>
    <x v="0"/>
    <x v="0"/>
    <x v="6"/>
    <x v="14"/>
    <s v="PL_A"/>
    <x v="0"/>
    <s v="KARO-2_ST_COAL_BP"/>
    <x v="0"/>
    <x v="21"/>
    <n v="396"/>
    <n v="144540"/>
    <n v="520344"/>
  </r>
  <r>
    <x v="0"/>
    <x v="0"/>
    <x v="0"/>
    <x v="6"/>
    <x v="14"/>
    <s v="PL_A"/>
    <x v="0"/>
    <s v="KATO_ST_COAL_BP"/>
    <x v="0"/>
    <x v="9"/>
    <n v="175.71428571428601"/>
    <n v="64135.714285714297"/>
    <n v="230888.57142857101"/>
  </r>
  <r>
    <x v="0"/>
    <x v="0"/>
    <x v="0"/>
    <x v="6"/>
    <x v="14"/>
    <s v="PL_A"/>
    <x v="0"/>
    <s v="KATO_ST_COAL_BP"/>
    <x v="0"/>
    <x v="10"/>
    <n v="175.71428571428601"/>
    <n v="64135.714285714297"/>
    <n v="230888.57142857101"/>
  </r>
  <r>
    <x v="0"/>
    <x v="0"/>
    <x v="0"/>
    <x v="6"/>
    <x v="14"/>
    <s v="PL_A"/>
    <x v="0"/>
    <s v="KATO_ST_COAL_BP"/>
    <x v="0"/>
    <x v="11"/>
    <n v="175.71428571428601"/>
    <n v="64135.714285714297"/>
    <n v="230888.57142857101"/>
  </r>
  <r>
    <x v="0"/>
    <x v="0"/>
    <x v="0"/>
    <x v="6"/>
    <x v="14"/>
    <s v="PL_A"/>
    <x v="0"/>
    <s v="KATO_ST_COAL_BP"/>
    <x v="0"/>
    <x v="12"/>
    <n v="175.71428571428601"/>
    <n v="64135.714285714297"/>
    <n v="230888.57142857101"/>
  </r>
  <r>
    <x v="0"/>
    <x v="0"/>
    <x v="0"/>
    <x v="6"/>
    <x v="14"/>
    <s v="PL_A"/>
    <x v="0"/>
    <s v="KATO_ST_COAL_BP"/>
    <x v="0"/>
    <x v="13"/>
    <n v="175.71428571428601"/>
    <n v="64135.714285714297"/>
    <n v="230888.57142857101"/>
  </r>
  <r>
    <x v="0"/>
    <x v="0"/>
    <x v="0"/>
    <x v="6"/>
    <x v="14"/>
    <s v="PL_A"/>
    <x v="0"/>
    <s v="KATO_ST_COAL_BP"/>
    <x v="0"/>
    <x v="0"/>
    <n v="175.71428571428601"/>
    <n v="64135.714285714297"/>
    <n v="230888.57142857101"/>
  </r>
  <r>
    <x v="0"/>
    <x v="0"/>
    <x v="0"/>
    <x v="6"/>
    <x v="14"/>
    <s v="PL_A"/>
    <x v="0"/>
    <s v="KATO_ST_COAL_BP"/>
    <x v="0"/>
    <x v="14"/>
    <n v="175.71428571428601"/>
    <n v="64135.714285714297"/>
    <n v="230888.57142857101"/>
  </r>
  <r>
    <x v="0"/>
    <x v="0"/>
    <x v="0"/>
    <x v="6"/>
    <x v="14"/>
    <s v="PL_A"/>
    <x v="0"/>
    <s v="KATO_ST_COAL_BP"/>
    <x v="0"/>
    <x v="1"/>
    <n v="175.71428571428601"/>
    <n v="64135.714285714297"/>
    <n v="230888.57142857101"/>
  </r>
  <r>
    <x v="0"/>
    <x v="0"/>
    <x v="0"/>
    <x v="6"/>
    <x v="14"/>
    <s v="PL_A"/>
    <x v="0"/>
    <s v="KATO_ST_COAL_BP"/>
    <x v="0"/>
    <x v="23"/>
    <n v="175.71428571428601"/>
    <n v="64135.714285714297"/>
    <n v="230888.57142857101"/>
  </r>
  <r>
    <x v="0"/>
    <x v="0"/>
    <x v="0"/>
    <x v="6"/>
    <x v="14"/>
    <s v="PL_A"/>
    <x v="0"/>
    <s v="KATO_ST_COAL_BP"/>
    <x v="0"/>
    <x v="2"/>
    <n v="175.71428571428601"/>
    <n v="64135.714285714297"/>
    <n v="230888.57142857101"/>
  </r>
  <r>
    <x v="0"/>
    <x v="0"/>
    <x v="0"/>
    <x v="6"/>
    <x v="14"/>
    <s v="PL_A"/>
    <x v="0"/>
    <s v="KATO_ST_COAL_BP"/>
    <x v="0"/>
    <x v="3"/>
    <n v="175.71428571428601"/>
    <n v="64135.714285714297"/>
    <n v="230888.57142857101"/>
  </r>
  <r>
    <x v="0"/>
    <x v="0"/>
    <x v="0"/>
    <x v="6"/>
    <x v="14"/>
    <s v="PL_A"/>
    <x v="0"/>
    <s v="KATO_ST_COAL_BP"/>
    <x v="0"/>
    <x v="4"/>
    <n v="175.71428571428601"/>
    <n v="64135.714285714297"/>
    <n v="230888.57142857101"/>
  </r>
  <r>
    <x v="0"/>
    <x v="0"/>
    <x v="0"/>
    <x v="6"/>
    <x v="14"/>
    <s v="PL_A"/>
    <x v="0"/>
    <s v="KATO_ST_COAL_BP"/>
    <x v="0"/>
    <x v="5"/>
    <n v="175.71428571428601"/>
    <n v="64135.714285714297"/>
    <n v="230888.57142857101"/>
  </r>
  <r>
    <x v="0"/>
    <x v="0"/>
    <x v="0"/>
    <x v="6"/>
    <x v="14"/>
    <s v="PL_A"/>
    <x v="0"/>
    <s v="KATO_ST_COAL_BP"/>
    <x v="0"/>
    <x v="15"/>
    <n v="175.71428571428601"/>
    <n v="64135.714285714297"/>
    <n v="230888.57142857101"/>
  </r>
  <r>
    <x v="0"/>
    <x v="0"/>
    <x v="0"/>
    <x v="6"/>
    <x v="14"/>
    <s v="PL_A"/>
    <x v="0"/>
    <s v="KATO_ST_COAL_BP"/>
    <x v="0"/>
    <x v="6"/>
    <n v="175.71428571428601"/>
    <n v="64135.714285714297"/>
    <n v="230888.57142857101"/>
  </r>
  <r>
    <x v="0"/>
    <x v="0"/>
    <x v="0"/>
    <x v="6"/>
    <x v="14"/>
    <s v="PL_A"/>
    <x v="0"/>
    <s v="KATO_ST_COAL_BP"/>
    <x v="0"/>
    <x v="7"/>
    <n v="175.71428571428601"/>
    <n v="64135.714285714297"/>
    <n v="230888.57142857101"/>
  </r>
  <r>
    <x v="0"/>
    <x v="0"/>
    <x v="0"/>
    <x v="6"/>
    <x v="14"/>
    <s v="PL_A"/>
    <x v="0"/>
    <s v="KATO_ST_COAL_BP"/>
    <x v="0"/>
    <x v="8"/>
    <n v="175.71428571428601"/>
    <n v="64135.714285714297"/>
    <n v="230888.57142857101"/>
  </r>
  <r>
    <x v="0"/>
    <x v="0"/>
    <x v="0"/>
    <x v="6"/>
    <x v="14"/>
    <s v="PL_A"/>
    <x v="0"/>
    <s v="KATO_ST_COAL_BP"/>
    <x v="0"/>
    <x v="16"/>
    <n v="175.71428571428601"/>
    <n v="64135.714285714297"/>
    <n v="230888.57142857101"/>
  </r>
  <r>
    <x v="0"/>
    <x v="0"/>
    <x v="0"/>
    <x v="6"/>
    <x v="14"/>
    <s v="PL_A"/>
    <x v="0"/>
    <s v="KATO_ST_COAL_BP"/>
    <x v="0"/>
    <x v="17"/>
    <n v="175.71428571428601"/>
    <n v="64135.714285714297"/>
    <n v="230888.57142857101"/>
  </r>
  <r>
    <x v="0"/>
    <x v="0"/>
    <x v="0"/>
    <x v="6"/>
    <x v="14"/>
    <s v="PL_A"/>
    <x v="0"/>
    <s v="KATO_ST_COAL_BP"/>
    <x v="0"/>
    <x v="18"/>
    <n v="175.71428571428601"/>
    <n v="64135.714285714297"/>
    <n v="230888.57142857101"/>
  </r>
  <r>
    <x v="0"/>
    <x v="0"/>
    <x v="0"/>
    <x v="6"/>
    <x v="14"/>
    <s v="PL_A"/>
    <x v="0"/>
    <s v="KATO_ST_COAL_BP"/>
    <x v="0"/>
    <x v="19"/>
    <n v="175.71428571428601"/>
    <n v="64135.714285714297"/>
    <n v="230888.57142857101"/>
  </r>
  <r>
    <x v="0"/>
    <x v="0"/>
    <x v="0"/>
    <x v="6"/>
    <x v="14"/>
    <s v="PL_A"/>
    <x v="0"/>
    <s v="KATO_ST_COAL_BP"/>
    <x v="0"/>
    <x v="20"/>
    <n v="175.71428571428601"/>
    <n v="64135.714285714297"/>
    <n v="230888.57142857101"/>
  </r>
  <r>
    <x v="0"/>
    <x v="0"/>
    <x v="0"/>
    <x v="6"/>
    <x v="14"/>
    <s v="PL_A"/>
    <x v="0"/>
    <s v="KATO_ST_COAL_BP"/>
    <x v="0"/>
    <x v="21"/>
    <n v="175.71428571428601"/>
    <n v="64135.714285714297"/>
    <n v="230888.57142857101"/>
  </r>
  <r>
    <x v="0"/>
    <x v="0"/>
    <x v="0"/>
    <x v="6"/>
    <x v="14"/>
    <s v="PL_A"/>
    <x v="0"/>
    <s v="KATO_ST_COAL_BP"/>
    <x v="0"/>
    <x v="22"/>
    <n v="175.71428571428601"/>
    <n v="64135.714285714297"/>
    <n v="230888.57142857101"/>
  </r>
  <r>
    <x v="0"/>
    <x v="0"/>
    <x v="0"/>
    <x v="6"/>
    <x v="14"/>
    <s v="PL_A"/>
    <x v="0"/>
    <s v="KOZI-1_ST_COAL_EXT"/>
    <x v="0"/>
    <x v="9"/>
    <n v="266.66666666666703"/>
    <n v="97333.333333333299"/>
    <n v="350400"/>
  </r>
  <r>
    <x v="0"/>
    <x v="0"/>
    <x v="0"/>
    <x v="6"/>
    <x v="14"/>
    <s v="PL_A"/>
    <x v="0"/>
    <s v="KOZI-1_ST_COAL_EXT"/>
    <x v="0"/>
    <x v="10"/>
    <n v="266.66666666666703"/>
    <n v="97333.333333333299"/>
    <n v="350400"/>
  </r>
  <r>
    <x v="0"/>
    <x v="0"/>
    <x v="0"/>
    <x v="6"/>
    <x v="14"/>
    <s v="PL_A"/>
    <x v="0"/>
    <s v="KOZI-1_ST_COAL_EXT"/>
    <x v="0"/>
    <x v="11"/>
    <n v="266.66666666666703"/>
    <n v="97333.333333333299"/>
    <n v="350400"/>
  </r>
  <r>
    <x v="0"/>
    <x v="0"/>
    <x v="0"/>
    <x v="6"/>
    <x v="14"/>
    <s v="PL_A"/>
    <x v="0"/>
    <s v="KOZI-1_ST_COAL_EXT"/>
    <x v="0"/>
    <x v="12"/>
    <n v="266.66666666666703"/>
    <n v="97333.333333333299"/>
    <n v="350400"/>
  </r>
  <r>
    <x v="0"/>
    <x v="0"/>
    <x v="0"/>
    <x v="6"/>
    <x v="14"/>
    <s v="PL_A"/>
    <x v="0"/>
    <s v="KOZI-1_ST_COAL_EXT"/>
    <x v="0"/>
    <x v="13"/>
    <n v="266.66666666666703"/>
    <n v="97333.333333333299"/>
    <n v="350400"/>
  </r>
  <r>
    <x v="0"/>
    <x v="0"/>
    <x v="0"/>
    <x v="6"/>
    <x v="14"/>
    <s v="PL_A"/>
    <x v="0"/>
    <s v="KRLEG-1_ST_COAL_BP"/>
    <x v="0"/>
    <x v="9"/>
    <n v="358.33333333333297"/>
    <n v="130791.66666666701"/>
    <n v="470850"/>
  </r>
  <r>
    <x v="0"/>
    <x v="0"/>
    <x v="0"/>
    <x v="6"/>
    <x v="14"/>
    <s v="PL_A"/>
    <x v="0"/>
    <s v="KRLEG-1_ST_COAL_BP"/>
    <x v="0"/>
    <x v="10"/>
    <n v="358.33333333333297"/>
    <n v="130791.66666666701"/>
    <n v="470850"/>
  </r>
  <r>
    <x v="0"/>
    <x v="0"/>
    <x v="0"/>
    <x v="6"/>
    <x v="14"/>
    <s v="PL_A"/>
    <x v="0"/>
    <s v="KRLEG-1_ST_COAL_BP"/>
    <x v="0"/>
    <x v="11"/>
    <n v="358.33333333333297"/>
    <n v="130791.66666666701"/>
    <n v="470850"/>
  </r>
  <r>
    <x v="0"/>
    <x v="0"/>
    <x v="0"/>
    <x v="6"/>
    <x v="14"/>
    <s v="PL_A"/>
    <x v="0"/>
    <s v="KRLEG-1_ST_COAL_BP"/>
    <x v="0"/>
    <x v="12"/>
    <n v="358.33333333333297"/>
    <n v="130791.66666666701"/>
    <n v="470850"/>
  </r>
  <r>
    <x v="0"/>
    <x v="0"/>
    <x v="0"/>
    <x v="6"/>
    <x v="14"/>
    <s v="PL_A"/>
    <x v="0"/>
    <s v="KRLEG-1_ST_COAL_BP"/>
    <x v="0"/>
    <x v="13"/>
    <n v="358.33333333333297"/>
    <n v="130791.66666666701"/>
    <n v="470850"/>
  </r>
  <r>
    <x v="0"/>
    <x v="0"/>
    <x v="0"/>
    <x v="6"/>
    <x v="14"/>
    <s v="PL_A"/>
    <x v="0"/>
    <s v="KRLEG-1_ST_COAL_BP"/>
    <x v="0"/>
    <x v="0"/>
    <n v="358.33333333333297"/>
    <n v="130791.66666666701"/>
    <n v="470850"/>
  </r>
  <r>
    <x v="0"/>
    <x v="0"/>
    <x v="0"/>
    <x v="6"/>
    <x v="14"/>
    <s v="PL_A"/>
    <x v="0"/>
    <s v="KRLEG-1_ST_COAL_BP"/>
    <x v="0"/>
    <x v="14"/>
    <n v="358.33333333333297"/>
    <n v="130791.66666666701"/>
    <n v="470850"/>
  </r>
  <r>
    <x v="0"/>
    <x v="0"/>
    <x v="0"/>
    <x v="6"/>
    <x v="14"/>
    <s v="PL_A"/>
    <x v="0"/>
    <s v="KRLEG-1_ST_COAL_BP"/>
    <x v="0"/>
    <x v="1"/>
    <n v="358.33333333333297"/>
    <n v="130791.66666666701"/>
    <n v="470850"/>
  </r>
  <r>
    <x v="0"/>
    <x v="0"/>
    <x v="0"/>
    <x v="6"/>
    <x v="14"/>
    <s v="PL_A"/>
    <x v="0"/>
    <s v="KRLEG-1_ST_COAL_BP"/>
    <x v="0"/>
    <x v="23"/>
    <n v="358.33333333333297"/>
    <n v="130791.66666666701"/>
    <n v="470850"/>
  </r>
  <r>
    <x v="0"/>
    <x v="0"/>
    <x v="0"/>
    <x v="6"/>
    <x v="14"/>
    <s v="PL_A"/>
    <x v="0"/>
    <s v="KRLEG-1_ST_COAL_BP"/>
    <x v="0"/>
    <x v="2"/>
    <n v="358.33333333333297"/>
    <n v="130791.66666666701"/>
    <n v="470850"/>
  </r>
  <r>
    <x v="0"/>
    <x v="0"/>
    <x v="0"/>
    <x v="6"/>
    <x v="14"/>
    <s v="PL_A"/>
    <x v="0"/>
    <s v="KRLEG-1_ST_COAL_BP"/>
    <x v="0"/>
    <x v="3"/>
    <n v="358.33333333333297"/>
    <n v="130791.66666666701"/>
    <n v="470850"/>
  </r>
  <r>
    <x v="0"/>
    <x v="0"/>
    <x v="0"/>
    <x v="6"/>
    <x v="14"/>
    <s v="PL_A"/>
    <x v="0"/>
    <s v="KRLEG-1_ST_COAL_BP"/>
    <x v="0"/>
    <x v="4"/>
    <n v="358.33333333333297"/>
    <n v="130791.66666666701"/>
    <n v="470850"/>
  </r>
  <r>
    <x v="0"/>
    <x v="0"/>
    <x v="0"/>
    <x v="6"/>
    <x v="14"/>
    <s v="PL_A"/>
    <x v="0"/>
    <s v="KRLEG-1_ST_COAL_BP"/>
    <x v="0"/>
    <x v="5"/>
    <n v="358.33333333333297"/>
    <n v="130791.66666666701"/>
    <n v="470850"/>
  </r>
  <r>
    <x v="0"/>
    <x v="0"/>
    <x v="0"/>
    <x v="6"/>
    <x v="14"/>
    <s v="PL_A"/>
    <x v="0"/>
    <s v="KRLEG-1_ST_COAL_BP"/>
    <x v="0"/>
    <x v="15"/>
    <n v="358.33333333333297"/>
    <n v="130791.66666666701"/>
    <n v="470850"/>
  </r>
  <r>
    <x v="0"/>
    <x v="0"/>
    <x v="0"/>
    <x v="6"/>
    <x v="14"/>
    <s v="PL_A"/>
    <x v="0"/>
    <s v="KRLEG-1_ST_COAL_BP"/>
    <x v="0"/>
    <x v="6"/>
    <n v="358.33333333333297"/>
    <n v="130791.66666666701"/>
    <n v="470850"/>
  </r>
  <r>
    <x v="0"/>
    <x v="0"/>
    <x v="0"/>
    <x v="6"/>
    <x v="14"/>
    <s v="PL_A"/>
    <x v="0"/>
    <s v="KRLEG-1_ST_COAL_BP"/>
    <x v="0"/>
    <x v="7"/>
    <n v="358.33333333333297"/>
    <n v="130791.66666666701"/>
    <n v="470850"/>
  </r>
  <r>
    <x v="0"/>
    <x v="0"/>
    <x v="0"/>
    <x v="6"/>
    <x v="14"/>
    <s v="PL_A"/>
    <x v="0"/>
    <s v="KRLEG-1_ST_COAL_BP"/>
    <x v="0"/>
    <x v="8"/>
    <n v="358.33333333333297"/>
    <n v="130791.66666666701"/>
    <n v="470850"/>
  </r>
  <r>
    <x v="0"/>
    <x v="0"/>
    <x v="0"/>
    <x v="6"/>
    <x v="14"/>
    <s v="PL_A"/>
    <x v="0"/>
    <s v="KRLEG-1_ST_COAL_BP"/>
    <x v="0"/>
    <x v="16"/>
    <n v="358.33333333333297"/>
    <n v="130791.66666666701"/>
    <n v="470850"/>
  </r>
  <r>
    <x v="0"/>
    <x v="0"/>
    <x v="0"/>
    <x v="6"/>
    <x v="14"/>
    <s v="PL_A"/>
    <x v="0"/>
    <s v="KRLEG-1_ST_COAL_BP"/>
    <x v="0"/>
    <x v="17"/>
    <n v="358.33333333333297"/>
    <n v="130791.66666666701"/>
    <n v="470850"/>
  </r>
  <r>
    <x v="0"/>
    <x v="0"/>
    <x v="0"/>
    <x v="6"/>
    <x v="14"/>
    <s v="PL_A"/>
    <x v="0"/>
    <s v="KRLEG-1_ST_COAL_BP"/>
    <x v="0"/>
    <x v="18"/>
    <n v="358.33333333333297"/>
    <n v="130791.66666666701"/>
    <n v="470850"/>
  </r>
  <r>
    <x v="0"/>
    <x v="0"/>
    <x v="0"/>
    <x v="6"/>
    <x v="14"/>
    <s v="PL_A"/>
    <x v="0"/>
    <s v="KRLEG-1_ST_COAL_BP"/>
    <x v="0"/>
    <x v="19"/>
    <n v="358.33333333333297"/>
    <n v="130791.66666666701"/>
    <n v="470850"/>
  </r>
  <r>
    <x v="0"/>
    <x v="0"/>
    <x v="0"/>
    <x v="6"/>
    <x v="14"/>
    <s v="PL_A"/>
    <x v="0"/>
    <s v="KRLEG-1_ST_COAL_BP"/>
    <x v="0"/>
    <x v="20"/>
    <n v="358.33333333333297"/>
    <n v="130791.66666666701"/>
    <n v="470850"/>
  </r>
  <r>
    <x v="0"/>
    <x v="0"/>
    <x v="0"/>
    <x v="6"/>
    <x v="14"/>
    <s v="PL_A"/>
    <x v="0"/>
    <s v="KRLEG-1_ST_COAL_BP"/>
    <x v="0"/>
    <x v="21"/>
    <n v="358.33333333333297"/>
    <n v="130791.66666666701"/>
    <n v="470850"/>
  </r>
  <r>
    <x v="0"/>
    <x v="0"/>
    <x v="0"/>
    <x v="6"/>
    <x v="14"/>
    <s v="PL_A"/>
    <x v="0"/>
    <s v="KRLEG-1_ST_COAL_BP"/>
    <x v="0"/>
    <x v="22"/>
    <n v="358.33333333333297"/>
    <n v="130791.66666666701"/>
    <n v="470850"/>
  </r>
  <r>
    <x v="0"/>
    <x v="0"/>
    <x v="0"/>
    <x v="6"/>
    <x v="14"/>
    <s v="PL_A"/>
    <x v="0"/>
    <s v="LAZI-1_ST_COAL_EXT"/>
    <x v="0"/>
    <x v="9"/>
    <n v="196.245733788396"/>
    <n v="71629.6928327645"/>
    <n v="257866.894197952"/>
  </r>
  <r>
    <x v="0"/>
    <x v="0"/>
    <x v="0"/>
    <x v="6"/>
    <x v="14"/>
    <s v="PL_A"/>
    <x v="0"/>
    <s v="LAZI-1_ST_COAL_EXT"/>
    <x v="0"/>
    <x v="10"/>
    <n v="196.245733788396"/>
    <n v="71629.6928327645"/>
    <n v="257866.894197952"/>
  </r>
  <r>
    <x v="0"/>
    <x v="0"/>
    <x v="0"/>
    <x v="6"/>
    <x v="14"/>
    <s v="PL_A"/>
    <x v="0"/>
    <s v="LAZI-1_ST_COAL_EXT"/>
    <x v="0"/>
    <x v="11"/>
    <n v="196.245733788396"/>
    <n v="71629.6928327645"/>
    <n v="257866.894197952"/>
  </r>
  <r>
    <x v="0"/>
    <x v="0"/>
    <x v="0"/>
    <x v="6"/>
    <x v="14"/>
    <s v="PL_A"/>
    <x v="0"/>
    <s v="LAZI-1_ST_COAL_EXT"/>
    <x v="0"/>
    <x v="12"/>
    <n v="196.245733788396"/>
    <n v="71629.6928327645"/>
    <n v="257866.894197952"/>
  </r>
  <r>
    <x v="0"/>
    <x v="0"/>
    <x v="0"/>
    <x v="6"/>
    <x v="14"/>
    <s v="PL_A"/>
    <x v="0"/>
    <s v="LAZI-1_ST_COAL_EXT"/>
    <x v="0"/>
    <x v="13"/>
    <n v="196.245733788396"/>
    <n v="71629.6928327645"/>
    <n v="257866.894197952"/>
  </r>
  <r>
    <x v="0"/>
    <x v="0"/>
    <x v="0"/>
    <x v="6"/>
    <x v="14"/>
    <s v="PL_A"/>
    <x v="0"/>
    <s v="SIEK-1_ST_COAL_BP"/>
    <x v="0"/>
    <x v="13"/>
    <n v="282.48875978592599"/>
    <n v="103108.397321863"/>
    <n v="371190.23035870702"/>
  </r>
  <r>
    <x v="0"/>
    <x v="0"/>
    <x v="0"/>
    <x v="6"/>
    <x v="14"/>
    <s v="PL_A"/>
    <x v="0"/>
    <s v="SIER-1_ST_COAL_BP"/>
    <x v="0"/>
    <x v="9"/>
    <n v="623"/>
    <n v="227395"/>
    <n v="818622"/>
  </r>
  <r>
    <x v="0"/>
    <x v="0"/>
    <x v="0"/>
    <x v="6"/>
    <x v="14"/>
    <s v="PL_A"/>
    <x v="0"/>
    <s v="SIER-1_ST_COAL_BP"/>
    <x v="0"/>
    <x v="10"/>
    <n v="623"/>
    <n v="227395"/>
    <n v="818622"/>
  </r>
  <r>
    <x v="0"/>
    <x v="0"/>
    <x v="0"/>
    <x v="6"/>
    <x v="14"/>
    <s v="PL_A"/>
    <x v="0"/>
    <s v="SIER-1_ST_COAL_BP"/>
    <x v="0"/>
    <x v="11"/>
    <n v="623"/>
    <n v="227395"/>
    <n v="818622"/>
  </r>
  <r>
    <x v="0"/>
    <x v="0"/>
    <x v="0"/>
    <x v="6"/>
    <x v="14"/>
    <s v="PL_A"/>
    <x v="0"/>
    <s v="SIER-1_ST_COAL_BP"/>
    <x v="0"/>
    <x v="12"/>
    <n v="623"/>
    <n v="227395"/>
    <n v="818622"/>
  </r>
  <r>
    <x v="0"/>
    <x v="0"/>
    <x v="0"/>
    <x v="6"/>
    <x v="14"/>
    <s v="PL_A"/>
    <x v="0"/>
    <s v="SIER-1_ST_COAL_BP"/>
    <x v="0"/>
    <x v="13"/>
    <n v="623"/>
    <n v="227395"/>
    <n v="818622"/>
  </r>
  <r>
    <x v="0"/>
    <x v="0"/>
    <x v="0"/>
    <x v="6"/>
    <x v="14"/>
    <s v="PL_A"/>
    <x v="0"/>
    <s v="SIER-1_ST_COAL_BP"/>
    <x v="0"/>
    <x v="0"/>
    <n v="623"/>
    <n v="227395"/>
    <n v="818622"/>
  </r>
  <r>
    <x v="0"/>
    <x v="0"/>
    <x v="0"/>
    <x v="6"/>
    <x v="14"/>
    <s v="PL_A"/>
    <x v="0"/>
    <s v="SIER-1_ST_COAL_BP"/>
    <x v="0"/>
    <x v="14"/>
    <n v="623"/>
    <n v="227395"/>
    <n v="818622"/>
  </r>
  <r>
    <x v="0"/>
    <x v="0"/>
    <x v="0"/>
    <x v="6"/>
    <x v="14"/>
    <s v="PL_A"/>
    <x v="0"/>
    <s v="SIER-1_ST_COAL_BP"/>
    <x v="0"/>
    <x v="1"/>
    <n v="623"/>
    <n v="227395"/>
    <n v="818622"/>
  </r>
  <r>
    <x v="0"/>
    <x v="0"/>
    <x v="0"/>
    <x v="6"/>
    <x v="14"/>
    <s v="PL_A"/>
    <x v="0"/>
    <s v="SIER-1_ST_COAL_BP"/>
    <x v="0"/>
    <x v="23"/>
    <n v="623"/>
    <n v="227395"/>
    <n v="818622"/>
  </r>
  <r>
    <x v="0"/>
    <x v="0"/>
    <x v="0"/>
    <x v="6"/>
    <x v="14"/>
    <s v="PL_A"/>
    <x v="0"/>
    <s v="SIER-1_ST_COAL_BP"/>
    <x v="0"/>
    <x v="2"/>
    <n v="623"/>
    <n v="227395"/>
    <n v="818622"/>
  </r>
  <r>
    <x v="0"/>
    <x v="0"/>
    <x v="0"/>
    <x v="6"/>
    <x v="14"/>
    <s v="PL_A"/>
    <x v="0"/>
    <s v="SIER-1_ST_COAL_BP"/>
    <x v="0"/>
    <x v="3"/>
    <n v="623"/>
    <n v="227395"/>
    <n v="818622"/>
  </r>
  <r>
    <x v="0"/>
    <x v="0"/>
    <x v="0"/>
    <x v="6"/>
    <x v="14"/>
    <s v="PL_A"/>
    <x v="0"/>
    <s v="SIER-1_ST_COAL_BP"/>
    <x v="0"/>
    <x v="4"/>
    <n v="623"/>
    <n v="227395"/>
    <n v="818622"/>
  </r>
  <r>
    <x v="0"/>
    <x v="0"/>
    <x v="0"/>
    <x v="6"/>
    <x v="14"/>
    <s v="PL_A"/>
    <x v="0"/>
    <s v="SIER-1_ST_COAL_BP"/>
    <x v="0"/>
    <x v="5"/>
    <n v="623"/>
    <n v="227395"/>
    <n v="818622"/>
  </r>
  <r>
    <x v="0"/>
    <x v="0"/>
    <x v="0"/>
    <x v="6"/>
    <x v="14"/>
    <s v="PL_A"/>
    <x v="0"/>
    <s v="SIER-1_ST_COAL_BP"/>
    <x v="0"/>
    <x v="15"/>
    <n v="623"/>
    <n v="227395"/>
    <n v="818622"/>
  </r>
  <r>
    <x v="0"/>
    <x v="0"/>
    <x v="0"/>
    <x v="6"/>
    <x v="14"/>
    <s v="PL_A"/>
    <x v="0"/>
    <s v="SIER-1_ST_COAL_BP"/>
    <x v="0"/>
    <x v="6"/>
    <n v="623"/>
    <n v="227395"/>
    <n v="818622"/>
  </r>
  <r>
    <x v="0"/>
    <x v="0"/>
    <x v="0"/>
    <x v="6"/>
    <x v="14"/>
    <s v="PL_A"/>
    <x v="0"/>
    <s v="SIER-1_ST_COAL_BP"/>
    <x v="0"/>
    <x v="7"/>
    <n v="623"/>
    <n v="227395"/>
    <n v="818622"/>
  </r>
  <r>
    <x v="0"/>
    <x v="0"/>
    <x v="0"/>
    <x v="6"/>
    <x v="14"/>
    <s v="PL_A"/>
    <x v="0"/>
    <s v="SIER-1_ST_COAL_BP"/>
    <x v="0"/>
    <x v="8"/>
    <n v="623"/>
    <n v="227395"/>
    <n v="818622"/>
  </r>
  <r>
    <x v="0"/>
    <x v="0"/>
    <x v="0"/>
    <x v="6"/>
    <x v="14"/>
    <s v="PL_A"/>
    <x v="0"/>
    <s v="SIER-1_ST_COAL_BP"/>
    <x v="0"/>
    <x v="16"/>
    <n v="623"/>
    <n v="227395"/>
    <n v="818622"/>
  </r>
  <r>
    <x v="0"/>
    <x v="0"/>
    <x v="0"/>
    <x v="6"/>
    <x v="14"/>
    <s v="PL_A"/>
    <x v="0"/>
    <s v="SIER-1_ST_COAL_BP"/>
    <x v="0"/>
    <x v="17"/>
    <n v="623"/>
    <n v="227395"/>
    <n v="818622"/>
  </r>
  <r>
    <x v="0"/>
    <x v="0"/>
    <x v="0"/>
    <x v="6"/>
    <x v="14"/>
    <s v="PL_A"/>
    <x v="0"/>
    <s v="SIER-1_ST_COAL_BP"/>
    <x v="0"/>
    <x v="18"/>
    <n v="623"/>
    <n v="227395"/>
    <n v="818622"/>
  </r>
  <r>
    <x v="0"/>
    <x v="0"/>
    <x v="0"/>
    <x v="6"/>
    <x v="14"/>
    <s v="PL_A"/>
    <x v="0"/>
    <s v="SIER-1_ST_COAL_BP"/>
    <x v="0"/>
    <x v="19"/>
    <n v="623"/>
    <n v="227395"/>
    <n v="818622"/>
  </r>
  <r>
    <x v="0"/>
    <x v="0"/>
    <x v="0"/>
    <x v="6"/>
    <x v="14"/>
    <s v="PL_A"/>
    <x v="0"/>
    <s v="SIER-1_ST_COAL_BP"/>
    <x v="0"/>
    <x v="20"/>
    <n v="623"/>
    <n v="227395"/>
    <n v="818622"/>
  </r>
  <r>
    <x v="0"/>
    <x v="0"/>
    <x v="0"/>
    <x v="6"/>
    <x v="14"/>
    <s v="PL_A"/>
    <x v="0"/>
    <s v="SIER-1_ST_COAL_BP"/>
    <x v="0"/>
    <x v="21"/>
    <n v="623"/>
    <n v="227395"/>
    <n v="818622"/>
  </r>
  <r>
    <x v="0"/>
    <x v="0"/>
    <x v="0"/>
    <x v="6"/>
    <x v="14"/>
    <s v="PL_A"/>
    <x v="0"/>
    <s v="SIER-1_ST_COAL_BP"/>
    <x v="0"/>
    <x v="22"/>
    <n v="623"/>
    <n v="227395"/>
    <n v="818622"/>
  </r>
  <r>
    <x v="0"/>
    <x v="0"/>
    <x v="0"/>
    <x v="6"/>
    <x v="14"/>
    <s v="PL_A"/>
    <x v="0"/>
    <s v="TYCH_ST_COAL_BP"/>
    <x v="0"/>
    <x v="9"/>
    <n v="72"/>
    <n v="26280"/>
    <n v="94608"/>
  </r>
  <r>
    <x v="0"/>
    <x v="0"/>
    <x v="0"/>
    <x v="6"/>
    <x v="14"/>
    <s v="PL_A"/>
    <x v="0"/>
    <s v="TYCH_ST_COAL_BP"/>
    <x v="0"/>
    <x v="10"/>
    <n v="72"/>
    <n v="26280"/>
    <n v="94608"/>
  </r>
  <r>
    <x v="0"/>
    <x v="0"/>
    <x v="0"/>
    <x v="6"/>
    <x v="14"/>
    <s v="PL_A"/>
    <x v="0"/>
    <s v="TYCH_ST_COAL_BP"/>
    <x v="0"/>
    <x v="11"/>
    <n v="72"/>
    <n v="26280"/>
    <n v="94608"/>
  </r>
  <r>
    <x v="0"/>
    <x v="0"/>
    <x v="0"/>
    <x v="6"/>
    <x v="14"/>
    <s v="PL_A"/>
    <x v="0"/>
    <s v="TYCH_ST_COAL_BP"/>
    <x v="0"/>
    <x v="12"/>
    <n v="72"/>
    <n v="26280"/>
    <n v="94608"/>
  </r>
  <r>
    <x v="0"/>
    <x v="0"/>
    <x v="0"/>
    <x v="6"/>
    <x v="14"/>
    <s v="PL_A"/>
    <x v="0"/>
    <s v="TYCH_ST_COAL_BP"/>
    <x v="0"/>
    <x v="13"/>
    <n v="72"/>
    <n v="26280"/>
    <n v="94608"/>
  </r>
  <r>
    <x v="0"/>
    <x v="0"/>
    <x v="0"/>
    <x v="6"/>
    <x v="14"/>
    <s v="PL_A"/>
    <x v="0"/>
    <s v="TYCH_ST_COAL_BP"/>
    <x v="0"/>
    <x v="0"/>
    <n v="72"/>
    <n v="26280"/>
    <n v="94608"/>
  </r>
  <r>
    <x v="0"/>
    <x v="0"/>
    <x v="0"/>
    <x v="6"/>
    <x v="14"/>
    <s v="PL_A"/>
    <x v="0"/>
    <s v="TYCH_ST_COAL_BP"/>
    <x v="0"/>
    <x v="14"/>
    <n v="72"/>
    <n v="26280"/>
    <n v="94608"/>
  </r>
  <r>
    <x v="0"/>
    <x v="0"/>
    <x v="0"/>
    <x v="6"/>
    <x v="14"/>
    <s v="PL_A"/>
    <x v="0"/>
    <s v="TYCH_ST_COAL_BP"/>
    <x v="0"/>
    <x v="1"/>
    <n v="72"/>
    <n v="26280"/>
    <n v="94608"/>
  </r>
  <r>
    <x v="0"/>
    <x v="0"/>
    <x v="0"/>
    <x v="6"/>
    <x v="14"/>
    <s v="PL_A"/>
    <x v="0"/>
    <s v="TYCH_ST_COAL_BP"/>
    <x v="0"/>
    <x v="23"/>
    <n v="72"/>
    <n v="26280"/>
    <n v="94608"/>
  </r>
  <r>
    <x v="0"/>
    <x v="0"/>
    <x v="0"/>
    <x v="6"/>
    <x v="14"/>
    <s v="PL_A"/>
    <x v="0"/>
    <s v="TYCH_ST_COAL_BP"/>
    <x v="0"/>
    <x v="2"/>
    <n v="72"/>
    <n v="26280"/>
    <n v="94608"/>
  </r>
  <r>
    <x v="0"/>
    <x v="0"/>
    <x v="0"/>
    <x v="6"/>
    <x v="14"/>
    <s v="PL_A"/>
    <x v="0"/>
    <s v="TYCH_ST_COAL_BP"/>
    <x v="0"/>
    <x v="3"/>
    <n v="72"/>
    <n v="26280"/>
    <n v="94608"/>
  </r>
  <r>
    <x v="0"/>
    <x v="0"/>
    <x v="0"/>
    <x v="6"/>
    <x v="14"/>
    <s v="PL_A"/>
    <x v="0"/>
    <s v="TYCH_ST_COAL_BP"/>
    <x v="0"/>
    <x v="4"/>
    <n v="72"/>
    <n v="26280"/>
    <n v="94608"/>
  </r>
  <r>
    <x v="0"/>
    <x v="0"/>
    <x v="0"/>
    <x v="6"/>
    <x v="14"/>
    <s v="PL_A"/>
    <x v="0"/>
    <s v="TYCH_ST_COAL_BP"/>
    <x v="0"/>
    <x v="5"/>
    <n v="72"/>
    <n v="26280"/>
    <n v="94608"/>
  </r>
  <r>
    <x v="0"/>
    <x v="0"/>
    <x v="0"/>
    <x v="6"/>
    <x v="14"/>
    <s v="PL_A"/>
    <x v="0"/>
    <s v="TYCH_ST_COAL_BP"/>
    <x v="0"/>
    <x v="15"/>
    <n v="72"/>
    <n v="26280"/>
    <n v="94608"/>
  </r>
  <r>
    <x v="0"/>
    <x v="0"/>
    <x v="0"/>
    <x v="6"/>
    <x v="14"/>
    <s v="PL_A"/>
    <x v="0"/>
    <s v="TYCH_ST_COAL_BP"/>
    <x v="0"/>
    <x v="6"/>
    <n v="72"/>
    <n v="26280"/>
    <n v="94608"/>
  </r>
  <r>
    <x v="0"/>
    <x v="0"/>
    <x v="0"/>
    <x v="6"/>
    <x v="14"/>
    <s v="PL_A"/>
    <x v="0"/>
    <s v="TYCH_ST_COAL_BP"/>
    <x v="0"/>
    <x v="7"/>
    <n v="72"/>
    <n v="26280"/>
    <n v="94608"/>
  </r>
  <r>
    <x v="0"/>
    <x v="0"/>
    <x v="0"/>
    <x v="6"/>
    <x v="14"/>
    <s v="PL_A"/>
    <x v="0"/>
    <s v="TYCH_ST_COAL_BP"/>
    <x v="0"/>
    <x v="8"/>
    <n v="72"/>
    <n v="26280"/>
    <n v="94608"/>
  </r>
  <r>
    <x v="0"/>
    <x v="0"/>
    <x v="0"/>
    <x v="6"/>
    <x v="14"/>
    <s v="PL_A"/>
    <x v="0"/>
    <s v="TYCH_ST_COAL_BP"/>
    <x v="0"/>
    <x v="16"/>
    <n v="72"/>
    <n v="26280"/>
    <n v="94608"/>
  </r>
  <r>
    <x v="0"/>
    <x v="0"/>
    <x v="0"/>
    <x v="6"/>
    <x v="14"/>
    <s v="PL_A"/>
    <x v="0"/>
    <s v="TYCH_ST_COAL_BP"/>
    <x v="0"/>
    <x v="17"/>
    <n v="72"/>
    <n v="26280"/>
    <n v="94608"/>
  </r>
  <r>
    <x v="0"/>
    <x v="0"/>
    <x v="0"/>
    <x v="6"/>
    <x v="14"/>
    <s v="PL_A"/>
    <x v="0"/>
    <s v="TYCH_ST_COAL_BP"/>
    <x v="0"/>
    <x v="18"/>
    <n v="72"/>
    <n v="26280"/>
    <n v="94608"/>
  </r>
  <r>
    <x v="0"/>
    <x v="0"/>
    <x v="0"/>
    <x v="6"/>
    <x v="14"/>
    <s v="PL_A"/>
    <x v="0"/>
    <s v="TYCH_ST_COAL_BP"/>
    <x v="0"/>
    <x v="19"/>
    <n v="72"/>
    <n v="26280"/>
    <n v="94608"/>
  </r>
  <r>
    <x v="0"/>
    <x v="0"/>
    <x v="0"/>
    <x v="6"/>
    <x v="14"/>
    <s v="PL_A"/>
    <x v="0"/>
    <s v="TYCH_ST_COAL_BP"/>
    <x v="0"/>
    <x v="20"/>
    <n v="72"/>
    <n v="26280"/>
    <n v="94608"/>
  </r>
  <r>
    <x v="0"/>
    <x v="0"/>
    <x v="0"/>
    <x v="6"/>
    <x v="14"/>
    <s v="PL_A"/>
    <x v="0"/>
    <s v="TYCH_ST_COAL_BP"/>
    <x v="0"/>
    <x v="22"/>
    <n v="72"/>
    <n v="26280"/>
    <n v="94608"/>
  </r>
  <r>
    <x v="0"/>
    <x v="0"/>
    <x v="0"/>
    <x v="6"/>
    <x v="14"/>
    <s v="PL_A"/>
    <x v="0"/>
    <s v="ZIEL-2_ST_COAL_BP"/>
    <x v="0"/>
    <x v="9"/>
    <n v="11"/>
    <n v="4015"/>
    <n v="14454"/>
  </r>
  <r>
    <x v="0"/>
    <x v="0"/>
    <x v="0"/>
    <x v="6"/>
    <x v="14"/>
    <s v="PL_A"/>
    <x v="0"/>
    <s v="ZIEL-2_ST_COAL_BP"/>
    <x v="0"/>
    <x v="10"/>
    <n v="11"/>
    <n v="4015"/>
    <n v="14454"/>
  </r>
  <r>
    <x v="0"/>
    <x v="0"/>
    <x v="0"/>
    <x v="6"/>
    <x v="14"/>
    <s v="PL_A"/>
    <x v="0"/>
    <s v="ZIEL-2_ST_COAL_BP"/>
    <x v="0"/>
    <x v="11"/>
    <n v="11"/>
    <n v="4015"/>
    <n v="14454"/>
  </r>
  <r>
    <x v="0"/>
    <x v="0"/>
    <x v="0"/>
    <x v="6"/>
    <x v="14"/>
    <s v="PL_A"/>
    <x v="0"/>
    <s v="ZIEL-2_ST_COAL_BP"/>
    <x v="0"/>
    <x v="12"/>
    <n v="11"/>
    <n v="4015"/>
    <n v="14454"/>
  </r>
  <r>
    <x v="0"/>
    <x v="0"/>
    <x v="0"/>
    <x v="6"/>
    <x v="14"/>
    <s v="PL_A"/>
    <x v="0"/>
    <s v="ZIEL-2_ST_COAL_BP"/>
    <x v="0"/>
    <x v="13"/>
    <n v="11"/>
    <n v="4015"/>
    <n v="14454"/>
  </r>
  <r>
    <x v="0"/>
    <x v="0"/>
    <x v="0"/>
    <x v="6"/>
    <x v="14"/>
    <s v="PL_A"/>
    <x v="0"/>
    <s v="ZIEL-2_ST_COAL_BP"/>
    <x v="0"/>
    <x v="0"/>
    <n v="11"/>
    <n v="4015"/>
    <n v="14454"/>
  </r>
  <r>
    <x v="0"/>
    <x v="0"/>
    <x v="0"/>
    <x v="6"/>
    <x v="14"/>
    <s v="PL_A"/>
    <x v="0"/>
    <s v="ZIEL-2_ST_COAL_BP"/>
    <x v="0"/>
    <x v="14"/>
    <n v="11"/>
    <n v="4015"/>
    <n v="14454"/>
  </r>
  <r>
    <x v="0"/>
    <x v="0"/>
    <x v="0"/>
    <x v="6"/>
    <x v="14"/>
    <s v="PL_A"/>
    <x v="0"/>
    <s v="ZIEL-2_ST_COAL_BP"/>
    <x v="0"/>
    <x v="1"/>
    <n v="11"/>
    <n v="4015"/>
    <n v="14454"/>
  </r>
  <r>
    <x v="0"/>
    <x v="0"/>
    <x v="0"/>
    <x v="6"/>
    <x v="14"/>
    <s v="PL_A"/>
    <x v="0"/>
    <s v="ZIEL-2_ST_COAL_BP"/>
    <x v="0"/>
    <x v="23"/>
    <n v="11"/>
    <n v="4015"/>
    <n v="14454"/>
  </r>
  <r>
    <x v="0"/>
    <x v="0"/>
    <x v="0"/>
    <x v="6"/>
    <x v="14"/>
    <s v="PL_A"/>
    <x v="0"/>
    <s v="ZIEL-2_ST_COAL_BP"/>
    <x v="0"/>
    <x v="2"/>
    <n v="11"/>
    <n v="4015"/>
    <n v="14454"/>
  </r>
  <r>
    <x v="0"/>
    <x v="0"/>
    <x v="0"/>
    <x v="6"/>
    <x v="14"/>
    <s v="PL_A"/>
    <x v="0"/>
    <s v="ZIEL-2_ST_COAL_BP"/>
    <x v="0"/>
    <x v="3"/>
    <n v="11"/>
    <n v="4015"/>
    <n v="14454"/>
  </r>
  <r>
    <x v="0"/>
    <x v="0"/>
    <x v="0"/>
    <x v="6"/>
    <x v="14"/>
    <s v="PL_A"/>
    <x v="0"/>
    <s v="ZIEL-2_ST_COAL_BP"/>
    <x v="0"/>
    <x v="4"/>
    <n v="11"/>
    <n v="4015"/>
    <n v="14454"/>
  </r>
  <r>
    <x v="0"/>
    <x v="0"/>
    <x v="0"/>
    <x v="6"/>
    <x v="14"/>
    <s v="PL_A"/>
    <x v="0"/>
    <s v="ZIEL-2_ST_COAL_BP"/>
    <x v="0"/>
    <x v="5"/>
    <n v="11"/>
    <n v="4015"/>
    <n v="14454"/>
  </r>
  <r>
    <x v="0"/>
    <x v="0"/>
    <x v="0"/>
    <x v="6"/>
    <x v="14"/>
    <s v="PL_A"/>
    <x v="0"/>
    <s v="ZIEL-2_ST_COAL_BP"/>
    <x v="0"/>
    <x v="15"/>
    <n v="11"/>
    <n v="4015"/>
    <n v="14454"/>
  </r>
  <r>
    <x v="0"/>
    <x v="0"/>
    <x v="0"/>
    <x v="6"/>
    <x v="14"/>
    <s v="PL_A"/>
    <x v="0"/>
    <s v="ZIEL-2_ST_COAL_BP"/>
    <x v="0"/>
    <x v="6"/>
    <n v="11"/>
    <n v="4015"/>
    <n v="14454"/>
  </r>
  <r>
    <x v="0"/>
    <x v="0"/>
    <x v="0"/>
    <x v="6"/>
    <x v="14"/>
    <s v="PL_A"/>
    <x v="0"/>
    <s v="ZIEL-2_ST_COAL_BP"/>
    <x v="0"/>
    <x v="7"/>
    <n v="11"/>
    <n v="4015"/>
    <n v="14454"/>
  </r>
  <r>
    <x v="0"/>
    <x v="0"/>
    <x v="0"/>
    <x v="6"/>
    <x v="14"/>
    <s v="PL_A"/>
    <x v="0"/>
    <s v="ZIEL-2_ST_COAL_BP"/>
    <x v="0"/>
    <x v="8"/>
    <n v="11"/>
    <n v="4015"/>
    <n v="14454"/>
  </r>
  <r>
    <x v="0"/>
    <x v="0"/>
    <x v="0"/>
    <x v="6"/>
    <x v="14"/>
    <s v="PL_A"/>
    <x v="0"/>
    <s v="ZIEL-2_ST_COAL_BP"/>
    <x v="0"/>
    <x v="16"/>
    <n v="11"/>
    <n v="4015"/>
    <n v="14454"/>
  </r>
  <r>
    <x v="0"/>
    <x v="0"/>
    <x v="0"/>
    <x v="6"/>
    <x v="14"/>
    <s v="PL_A"/>
    <x v="0"/>
    <s v="ZIEL-2_ST_COAL_BP"/>
    <x v="0"/>
    <x v="17"/>
    <n v="11"/>
    <n v="4015"/>
    <n v="14454"/>
  </r>
  <r>
    <x v="0"/>
    <x v="0"/>
    <x v="0"/>
    <x v="6"/>
    <x v="14"/>
    <s v="PL_A"/>
    <x v="0"/>
    <s v="ZIEL-2_ST_COAL_BP"/>
    <x v="0"/>
    <x v="18"/>
    <n v="11"/>
    <n v="4015"/>
    <n v="14454"/>
  </r>
  <r>
    <x v="0"/>
    <x v="0"/>
    <x v="0"/>
    <x v="6"/>
    <x v="14"/>
    <s v="PL_A"/>
    <x v="0"/>
    <s v="ZIEL-2_ST_COAL_BP"/>
    <x v="0"/>
    <x v="19"/>
    <n v="11"/>
    <n v="4015"/>
    <n v="14454"/>
  </r>
  <r>
    <x v="0"/>
    <x v="0"/>
    <x v="0"/>
    <x v="6"/>
    <x v="14"/>
    <s v="PL_A"/>
    <x v="0"/>
    <s v="ZIEL-2_ST_COAL_BP"/>
    <x v="0"/>
    <x v="20"/>
    <n v="11"/>
    <n v="4015"/>
    <n v="14454"/>
  </r>
  <r>
    <x v="0"/>
    <x v="0"/>
    <x v="0"/>
    <x v="6"/>
    <x v="14"/>
    <s v="PL_A"/>
    <x v="0"/>
    <s v="ZIEL-2_ST_COAL_BP"/>
    <x v="0"/>
    <x v="21"/>
    <n v="11"/>
    <n v="4015"/>
    <n v="14454"/>
  </r>
  <r>
    <x v="0"/>
    <x v="0"/>
    <x v="0"/>
    <x v="6"/>
    <x v="14"/>
    <s v="PL_A"/>
    <x v="0"/>
    <s v="ZIEL-2_ST_COAL_BP"/>
    <x v="0"/>
    <x v="22"/>
    <n v="11"/>
    <n v="4015"/>
    <n v="14454"/>
  </r>
  <r>
    <x v="0"/>
    <x v="0"/>
    <x v="0"/>
    <x v="6"/>
    <x v="14"/>
    <s v="PL_A"/>
    <x v="0"/>
    <s v="ZIEL-4_ST_COAL_BP"/>
    <x v="0"/>
    <x v="9"/>
    <n v="60"/>
    <n v="21900"/>
    <n v="78840"/>
  </r>
  <r>
    <x v="0"/>
    <x v="0"/>
    <x v="0"/>
    <x v="6"/>
    <x v="14"/>
    <s v="PL_A"/>
    <x v="0"/>
    <s v="ZIEL-4_ST_COAL_BP"/>
    <x v="0"/>
    <x v="10"/>
    <n v="60"/>
    <n v="21900"/>
    <n v="78840"/>
  </r>
  <r>
    <x v="0"/>
    <x v="0"/>
    <x v="0"/>
    <x v="6"/>
    <x v="14"/>
    <s v="PL_A"/>
    <x v="0"/>
    <s v="ZIEL-4_ST_COAL_BP"/>
    <x v="0"/>
    <x v="11"/>
    <n v="60"/>
    <n v="21900"/>
    <n v="78840"/>
  </r>
  <r>
    <x v="0"/>
    <x v="0"/>
    <x v="0"/>
    <x v="6"/>
    <x v="14"/>
    <s v="PL_A"/>
    <x v="0"/>
    <s v="ZIEL-4_ST_COAL_BP"/>
    <x v="0"/>
    <x v="12"/>
    <n v="60"/>
    <n v="21900"/>
    <n v="78840"/>
  </r>
  <r>
    <x v="0"/>
    <x v="0"/>
    <x v="0"/>
    <x v="6"/>
    <x v="14"/>
    <s v="PL_A"/>
    <x v="0"/>
    <s v="ZIEL-4_ST_COAL_BP"/>
    <x v="0"/>
    <x v="13"/>
    <n v="60"/>
    <n v="21900"/>
    <n v="78840"/>
  </r>
  <r>
    <x v="0"/>
    <x v="0"/>
    <x v="0"/>
    <x v="6"/>
    <x v="14"/>
    <s v="PL_A"/>
    <x v="0"/>
    <s v="ZIEL-4_ST_COAL_BP"/>
    <x v="0"/>
    <x v="0"/>
    <n v="60"/>
    <n v="21900"/>
    <n v="78840"/>
  </r>
  <r>
    <x v="0"/>
    <x v="0"/>
    <x v="0"/>
    <x v="6"/>
    <x v="14"/>
    <s v="PL_A"/>
    <x v="0"/>
    <s v="ZIEL-4_ST_COAL_BP"/>
    <x v="0"/>
    <x v="14"/>
    <n v="60"/>
    <n v="21900"/>
    <n v="78840"/>
  </r>
  <r>
    <x v="0"/>
    <x v="0"/>
    <x v="0"/>
    <x v="6"/>
    <x v="14"/>
    <s v="PL_A"/>
    <x v="0"/>
    <s v="ZIEL-4_ST_COAL_BP"/>
    <x v="0"/>
    <x v="1"/>
    <n v="60"/>
    <n v="21900"/>
    <n v="78840"/>
  </r>
  <r>
    <x v="0"/>
    <x v="0"/>
    <x v="0"/>
    <x v="6"/>
    <x v="14"/>
    <s v="PL_A"/>
    <x v="0"/>
    <s v="ZIEL-4_ST_COAL_BP"/>
    <x v="0"/>
    <x v="23"/>
    <n v="60"/>
    <n v="21900"/>
    <n v="78840"/>
  </r>
  <r>
    <x v="0"/>
    <x v="0"/>
    <x v="0"/>
    <x v="6"/>
    <x v="14"/>
    <s v="PL_A"/>
    <x v="0"/>
    <s v="ZIEL-4_ST_COAL_BP"/>
    <x v="0"/>
    <x v="2"/>
    <n v="60"/>
    <n v="21900"/>
    <n v="78840"/>
  </r>
  <r>
    <x v="0"/>
    <x v="0"/>
    <x v="0"/>
    <x v="6"/>
    <x v="14"/>
    <s v="PL_A"/>
    <x v="0"/>
    <s v="ZIEL-4_ST_COAL_BP"/>
    <x v="0"/>
    <x v="3"/>
    <n v="60"/>
    <n v="21900"/>
    <n v="78840"/>
  </r>
  <r>
    <x v="0"/>
    <x v="0"/>
    <x v="0"/>
    <x v="6"/>
    <x v="14"/>
    <s v="PL_A"/>
    <x v="0"/>
    <s v="ZIEL-4_ST_COAL_BP"/>
    <x v="0"/>
    <x v="4"/>
    <n v="60"/>
    <n v="21900"/>
    <n v="78840"/>
  </r>
  <r>
    <x v="0"/>
    <x v="0"/>
    <x v="0"/>
    <x v="6"/>
    <x v="14"/>
    <s v="PL_A"/>
    <x v="0"/>
    <s v="ZIEL-4_ST_COAL_BP"/>
    <x v="0"/>
    <x v="5"/>
    <n v="60"/>
    <n v="21900"/>
    <n v="78840"/>
  </r>
  <r>
    <x v="0"/>
    <x v="0"/>
    <x v="0"/>
    <x v="6"/>
    <x v="14"/>
    <s v="PL_A"/>
    <x v="0"/>
    <s v="ZIEL-4_ST_COAL_BP"/>
    <x v="0"/>
    <x v="15"/>
    <n v="60"/>
    <n v="21900"/>
    <n v="78840"/>
  </r>
  <r>
    <x v="0"/>
    <x v="0"/>
    <x v="0"/>
    <x v="6"/>
    <x v="14"/>
    <s v="PL_A"/>
    <x v="0"/>
    <s v="ZIEL-4_ST_COAL_BP"/>
    <x v="0"/>
    <x v="6"/>
    <n v="60"/>
    <n v="21900"/>
    <n v="78840"/>
  </r>
  <r>
    <x v="0"/>
    <x v="0"/>
    <x v="0"/>
    <x v="6"/>
    <x v="14"/>
    <s v="PL_A"/>
    <x v="0"/>
    <s v="ZIEL-4_ST_COAL_BP"/>
    <x v="0"/>
    <x v="7"/>
    <n v="60"/>
    <n v="21900"/>
    <n v="78840"/>
  </r>
  <r>
    <x v="0"/>
    <x v="0"/>
    <x v="0"/>
    <x v="6"/>
    <x v="14"/>
    <s v="PL_A"/>
    <x v="0"/>
    <s v="ZIEL-4_ST_COAL_BP"/>
    <x v="0"/>
    <x v="8"/>
    <n v="60"/>
    <n v="21900"/>
    <n v="78840"/>
  </r>
  <r>
    <x v="0"/>
    <x v="0"/>
    <x v="0"/>
    <x v="6"/>
    <x v="14"/>
    <s v="PL_A"/>
    <x v="0"/>
    <s v="ZIEL-4_ST_COAL_BP"/>
    <x v="0"/>
    <x v="16"/>
    <n v="60"/>
    <n v="21900"/>
    <n v="78840"/>
  </r>
  <r>
    <x v="0"/>
    <x v="0"/>
    <x v="0"/>
    <x v="6"/>
    <x v="14"/>
    <s v="PL_A"/>
    <x v="0"/>
    <s v="ZIEL-4_ST_COAL_BP"/>
    <x v="0"/>
    <x v="17"/>
    <n v="60"/>
    <n v="21900"/>
    <n v="78840"/>
  </r>
  <r>
    <x v="0"/>
    <x v="0"/>
    <x v="0"/>
    <x v="6"/>
    <x v="14"/>
    <s v="PL_A"/>
    <x v="0"/>
    <s v="ZIEL-4_ST_COAL_BP"/>
    <x v="0"/>
    <x v="18"/>
    <n v="60"/>
    <n v="21900"/>
    <n v="78840"/>
  </r>
  <r>
    <x v="0"/>
    <x v="0"/>
    <x v="0"/>
    <x v="6"/>
    <x v="14"/>
    <s v="PL_A"/>
    <x v="0"/>
    <s v="ZIEL-4_ST_COAL_BP"/>
    <x v="0"/>
    <x v="19"/>
    <n v="60"/>
    <n v="21900"/>
    <n v="78840"/>
  </r>
  <r>
    <x v="0"/>
    <x v="0"/>
    <x v="0"/>
    <x v="6"/>
    <x v="14"/>
    <s v="PL_A"/>
    <x v="0"/>
    <s v="ZIEL-4_ST_COAL_BP"/>
    <x v="0"/>
    <x v="20"/>
    <n v="60"/>
    <n v="21900"/>
    <n v="78840"/>
  </r>
  <r>
    <x v="0"/>
    <x v="0"/>
    <x v="0"/>
    <x v="6"/>
    <x v="14"/>
    <s v="PL_A"/>
    <x v="0"/>
    <s v="ZIEL-4_ST_COAL_BP"/>
    <x v="0"/>
    <x v="21"/>
    <n v="60"/>
    <n v="21900"/>
    <n v="78840"/>
  </r>
  <r>
    <x v="0"/>
    <x v="0"/>
    <x v="0"/>
    <x v="6"/>
    <x v="14"/>
    <s v="PL_A"/>
    <x v="0"/>
    <s v="ZIEL-4_ST_COAL_BP"/>
    <x v="0"/>
    <x v="22"/>
    <n v="60"/>
    <n v="21900"/>
    <n v="78840"/>
  </r>
  <r>
    <x v="0"/>
    <x v="0"/>
    <x v="0"/>
    <x v="6"/>
    <x v="14"/>
    <s v="PL_A"/>
    <x v="13"/>
    <s v="ADAM-1_ST_LIGNITE_EXT"/>
    <x v="0"/>
    <x v="9"/>
    <n v="99.090909090909093"/>
    <n v="36168.181818181802"/>
    <n v="130205.454545455"/>
  </r>
  <r>
    <x v="0"/>
    <x v="0"/>
    <x v="0"/>
    <x v="6"/>
    <x v="14"/>
    <s v="PL_A"/>
    <x v="13"/>
    <s v="ADAM-1_ST_LIGNITE_EXT"/>
    <x v="0"/>
    <x v="10"/>
    <n v="99.090909090909093"/>
    <n v="36168.181818181802"/>
    <n v="130205.454545455"/>
  </r>
  <r>
    <x v="0"/>
    <x v="0"/>
    <x v="0"/>
    <x v="6"/>
    <x v="14"/>
    <s v="PL_A"/>
    <x v="13"/>
    <s v="ADAM-1_ST_LIGNITE_EXT"/>
    <x v="0"/>
    <x v="11"/>
    <n v="99.090909090909093"/>
    <n v="36168.181818181802"/>
    <n v="130205.454545455"/>
  </r>
  <r>
    <x v="0"/>
    <x v="0"/>
    <x v="0"/>
    <x v="6"/>
    <x v="14"/>
    <s v="PL_A"/>
    <x v="13"/>
    <s v="ADAM-1_ST_LIGNITE_EXT"/>
    <x v="0"/>
    <x v="12"/>
    <n v="99.090909090909093"/>
    <n v="36168.181818181802"/>
    <n v="130205.454545455"/>
  </r>
  <r>
    <x v="0"/>
    <x v="0"/>
    <x v="0"/>
    <x v="6"/>
    <x v="14"/>
    <s v="PL_A"/>
    <x v="13"/>
    <s v="ADAM-1_ST_LIGNITE_EXT"/>
    <x v="0"/>
    <x v="13"/>
    <n v="99.090909090909093"/>
    <n v="36168.181818181802"/>
    <n v="130205.454545455"/>
  </r>
  <r>
    <x v="0"/>
    <x v="0"/>
    <x v="0"/>
    <x v="6"/>
    <x v="14"/>
    <s v="PL_A"/>
    <x v="13"/>
    <s v="BELC-1_ST_LIGNITE_EXT"/>
    <x v="0"/>
    <x v="9"/>
    <n v="375.824175824176"/>
    <n v="137175.824175824"/>
    <n v="493832.96703296702"/>
  </r>
  <r>
    <x v="0"/>
    <x v="0"/>
    <x v="0"/>
    <x v="6"/>
    <x v="14"/>
    <s v="PL_A"/>
    <x v="13"/>
    <s v="BELC-1_ST_LIGNITE_EXT"/>
    <x v="0"/>
    <x v="10"/>
    <n v="375.824175824176"/>
    <n v="137175.824175824"/>
    <n v="493832.96703296702"/>
  </r>
  <r>
    <x v="0"/>
    <x v="0"/>
    <x v="0"/>
    <x v="6"/>
    <x v="14"/>
    <s v="PL_A"/>
    <x v="13"/>
    <s v="BELC-1_ST_LIGNITE_EXT"/>
    <x v="0"/>
    <x v="11"/>
    <n v="375.824175824176"/>
    <n v="137175.824175824"/>
    <n v="493832.96703296702"/>
  </r>
  <r>
    <x v="0"/>
    <x v="0"/>
    <x v="0"/>
    <x v="6"/>
    <x v="14"/>
    <s v="PL_A"/>
    <x v="13"/>
    <s v="BELC-1_ST_LIGNITE_EXT"/>
    <x v="0"/>
    <x v="12"/>
    <n v="375.824175824176"/>
    <n v="137175.824175824"/>
    <n v="493832.96703296702"/>
  </r>
  <r>
    <x v="0"/>
    <x v="0"/>
    <x v="0"/>
    <x v="6"/>
    <x v="14"/>
    <s v="PL_A"/>
    <x v="13"/>
    <s v="BELC-1_ST_LIGNITE_EXT"/>
    <x v="0"/>
    <x v="13"/>
    <n v="375.824175824176"/>
    <n v="137175.824175824"/>
    <n v="493832.96703296702"/>
  </r>
  <r>
    <x v="0"/>
    <x v="0"/>
    <x v="0"/>
    <x v="6"/>
    <x v="14"/>
    <s v="PL_A"/>
    <x v="13"/>
    <s v="BELC-1_ST_LIGNITE_EXT"/>
    <x v="0"/>
    <x v="22"/>
    <n v="375.824175824176"/>
    <n v="137175.824175824"/>
    <n v="493832.96703296702"/>
  </r>
  <r>
    <x v="0"/>
    <x v="0"/>
    <x v="0"/>
    <x v="6"/>
    <x v="14"/>
    <s v="PL_A"/>
    <x v="4"/>
    <s v="GNR_ST_MSW_BP_E-15"/>
    <x v="0"/>
    <x v="9"/>
    <n v="170"/>
    <n v="62050"/>
    <n v="223380"/>
  </r>
  <r>
    <x v="0"/>
    <x v="0"/>
    <x v="0"/>
    <x v="6"/>
    <x v="14"/>
    <s v="PL_A"/>
    <x v="4"/>
    <s v="GNR_ST_MSW_BP_E-15"/>
    <x v="0"/>
    <x v="10"/>
    <n v="170"/>
    <n v="62050"/>
    <n v="223380"/>
  </r>
  <r>
    <x v="0"/>
    <x v="0"/>
    <x v="0"/>
    <x v="6"/>
    <x v="14"/>
    <s v="PL_A"/>
    <x v="4"/>
    <s v="GNR_ST_MSW_BP_E-15"/>
    <x v="0"/>
    <x v="11"/>
    <n v="170"/>
    <n v="62050"/>
    <n v="223380"/>
  </r>
  <r>
    <x v="0"/>
    <x v="0"/>
    <x v="0"/>
    <x v="6"/>
    <x v="14"/>
    <s v="PL_A"/>
    <x v="4"/>
    <s v="GNR_ST_MSW_BP_E-15"/>
    <x v="0"/>
    <x v="12"/>
    <n v="170"/>
    <n v="62050"/>
    <n v="223380"/>
  </r>
  <r>
    <x v="0"/>
    <x v="0"/>
    <x v="0"/>
    <x v="6"/>
    <x v="14"/>
    <s v="PL_A"/>
    <x v="4"/>
    <s v="GNR_ST_MSW_BP_E-15"/>
    <x v="0"/>
    <x v="13"/>
    <n v="170"/>
    <n v="62050"/>
    <n v="223380"/>
  </r>
  <r>
    <x v="0"/>
    <x v="0"/>
    <x v="0"/>
    <x v="6"/>
    <x v="14"/>
    <s v="PL_A"/>
    <x v="4"/>
    <s v="GNR_ST_MSW_BP_E-15"/>
    <x v="0"/>
    <x v="0"/>
    <n v="170"/>
    <n v="62050"/>
    <n v="223380"/>
  </r>
  <r>
    <x v="0"/>
    <x v="0"/>
    <x v="0"/>
    <x v="6"/>
    <x v="14"/>
    <s v="PL_A"/>
    <x v="4"/>
    <s v="GNR_ST_MSW_BP_E-15"/>
    <x v="0"/>
    <x v="14"/>
    <n v="170"/>
    <n v="62050"/>
    <n v="223380"/>
  </r>
  <r>
    <x v="0"/>
    <x v="0"/>
    <x v="0"/>
    <x v="6"/>
    <x v="14"/>
    <s v="PL_A"/>
    <x v="4"/>
    <s v="GNR_ST_MSW_BP_E-15"/>
    <x v="0"/>
    <x v="1"/>
    <n v="170"/>
    <n v="62050"/>
    <n v="223380"/>
  </r>
  <r>
    <x v="0"/>
    <x v="0"/>
    <x v="0"/>
    <x v="6"/>
    <x v="14"/>
    <s v="PL_A"/>
    <x v="4"/>
    <s v="GNR_ST_MSW_BP_E-15"/>
    <x v="0"/>
    <x v="23"/>
    <n v="170"/>
    <n v="62050"/>
    <n v="223380"/>
  </r>
  <r>
    <x v="0"/>
    <x v="0"/>
    <x v="0"/>
    <x v="6"/>
    <x v="14"/>
    <s v="PL_A"/>
    <x v="4"/>
    <s v="GNR_ST_MSW_BP_E-15"/>
    <x v="0"/>
    <x v="2"/>
    <n v="170"/>
    <n v="62050"/>
    <n v="223380"/>
  </r>
  <r>
    <x v="0"/>
    <x v="0"/>
    <x v="0"/>
    <x v="6"/>
    <x v="14"/>
    <s v="PL_A"/>
    <x v="4"/>
    <s v="GNR_ST_MSW_BP_E-15"/>
    <x v="0"/>
    <x v="3"/>
    <n v="170"/>
    <n v="62050"/>
    <n v="223380"/>
  </r>
  <r>
    <x v="0"/>
    <x v="0"/>
    <x v="0"/>
    <x v="6"/>
    <x v="14"/>
    <s v="PL_A"/>
    <x v="4"/>
    <s v="GNR_ST_MSW_BP_E-15"/>
    <x v="0"/>
    <x v="4"/>
    <n v="170"/>
    <n v="62050"/>
    <n v="223380"/>
  </r>
  <r>
    <x v="0"/>
    <x v="0"/>
    <x v="0"/>
    <x v="6"/>
    <x v="14"/>
    <s v="PL_A"/>
    <x v="4"/>
    <s v="GNR_ST_MSW_BP_E-15"/>
    <x v="0"/>
    <x v="5"/>
    <n v="170"/>
    <n v="62050"/>
    <n v="223380"/>
  </r>
  <r>
    <x v="0"/>
    <x v="0"/>
    <x v="0"/>
    <x v="6"/>
    <x v="14"/>
    <s v="PL_A"/>
    <x v="4"/>
    <s v="GNR_ST_MSW_BP_E-15"/>
    <x v="0"/>
    <x v="15"/>
    <n v="170"/>
    <n v="62050"/>
    <n v="223380"/>
  </r>
  <r>
    <x v="0"/>
    <x v="0"/>
    <x v="0"/>
    <x v="6"/>
    <x v="14"/>
    <s v="PL_A"/>
    <x v="4"/>
    <s v="GNR_ST_MSW_BP_E-15"/>
    <x v="0"/>
    <x v="6"/>
    <n v="170"/>
    <n v="62050"/>
    <n v="223380"/>
  </r>
  <r>
    <x v="0"/>
    <x v="0"/>
    <x v="0"/>
    <x v="6"/>
    <x v="14"/>
    <s v="PL_A"/>
    <x v="4"/>
    <s v="GNR_ST_MSW_BP_E-15"/>
    <x v="0"/>
    <x v="7"/>
    <n v="170"/>
    <n v="62050"/>
    <n v="223380"/>
  </r>
  <r>
    <x v="0"/>
    <x v="0"/>
    <x v="0"/>
    <x v="6"/>
    <x v="14"/>
    <s v="PL_A"/>
    <x v="4"/>
    <s v="GNR_ST_MSW_BP_E-15"/>
    <x v="0"/>
    <x v="8"/>
    <n v="170"/>
    <n v="62050"/>
    <n v="223380"/>
  </r>
  <r>
    <x v="0"/>
    <x v="0"/>
    <x v="0"/>
    <x v="6"/>
    <x v="14"/>
    <s v="PL_A"/>
    <x v="4"/>
    <s v="GNR_ST_MSW_BP_E-15"/>
    <x v="0"/>
    <x v="16"/>
    <n v="170"/>
    <n v="62050"/>
    <n v="223380"/>
  </r>
  <r>
    <x v="0"/>
    <x v="0"/>
    <x v="0"/>
    <x v="6"/>
    <x v="14"/>
    <s v="PL_A"/>
    <x v="4"/>
    <s v="GNR_ST_MSW_BP_E-15"/>
    <x v="0"/>
    <x v="17"/>
    <n v="170"/>
    <n v="62050"/>
    <n v="223380"/>
  </r>
  <r>
    <x v="0"/>
    <x v="0"/>
    <x v="0"/>
    <x v="6"/>
    <x v="14"/>
    <s v="PL_A"/>
    <x v="4"/>
    <s v="GNR_ST_MSW_BP_E-15"/>
    <x v="0"/>
    <x v="18"/>
    <n v="170"/>
    <n v="62050"/>
    <n v="223380"/>
  </r>
  <r>
    <x v="0"/>
    <x v="0"/>
    <x v="0"/>
    <x v="6"/>
    <x v="14"/>
    <s v="PL_A"/>
    <x v="4"/>
    <s v="GNR_ST_MSW_BP_E-15"/>
    <x v="0"/>
    <x v="19"/>
    <n v="170"/>
    <n v="62050"/>
    <n v="223380"/>
  </r>
  <r>
    <x v="0"/>
    <x v="0"/>
    <x v="0"/>
    <x v="6"/>
    <x v="14"/>
    <s v="PL_A"/>
    <x v="4"/>
    <s v="GNR_ST_MSW_BP_E-15"/>
    <x v="0"/>
    <x v="20"/>
    <n v="170"/>
    <n v="62050"/>
    <n v="223380"/>
  </r>
  <r>
    <x v="0"/>
    <x v="0"/>
    <x v="0"/>
    <x v="6"/>
    <x v="14"/>
    <s v="PL_A"/>
    <x v="4"/>
    <s v="GNR_ST_MSW_BP_E-15"/>
    <x v="0"/>
    <x v="21"/>
    <n v="170"/>
    <n v="62050"/>
    <n v="223380"/>
  </r>
  <r>
    <x v="0"/>
    <x v="0"/>
    <x v="0"/>
    <x v="6"/>
    <x v="14"/>
    <s v="PL_A"/>
    <x v="4"/>
    <s v="GNR_ST_MSW_BP_E-15"/>
    <x v="0"/>
    <x v="22"/>
    <n v="170"/>
    <n v="62050"/>
    <n v="223380"/>
  </r>
  <r>
    <x v="0"/>
    <x v="0"/>
    <x v="0"/>
    <x v="7"/>
    <x v="15"/>
    <s v="SE1_EL"/>
    <x v="4"/>
    <s v="GBPR_MUNIWASTE"/>
    <x v="0"/>
    <x v="9"/>
    <n v="12.6927469932977"/>
    <n v="4632.8526525536399"/>
    <n v="16678.269549193101"/>
  </r>
  <r>
    <x v="0"/>
    <x v="0"/>
    <x v="0"/>
    <x v="7"/>
    <x v="15"/>
    <s v="SE1_EL"/>
    <x v="4"/>
    <s v="GBPR_MUNIWASTE"/>
    <x v="0"/>
    <x v="10"/>
    <n v="12.6927469932977"/>
    <n v="4632.8526525536399"/>
    <n v="16678.269549193101"/>
  </r>
  <r>
    <x v="0"/>
    <x v="0"/>
    <x v="0"/>
    <x v="7"/>
    <x v="15"/>
    <s v="SE1_EL"/>
    <x v="4"/>
    <s v="GBPR_MUNIWASTE"/>
    <x v="0"/>
    <x v="11"/>
    <n v="12.6927469932977"/>
    <n v="4632.8526525536399"/>
    <n v="16678.269549193101"/>
  </r>
  <r>
    <x v="0"/>
    <x v="0"/>
    <x v="0"/>
    <x v="7"/>
    <x v="15"/>
    <s v="SE1_EL"/>
    <x v="4"/>
    <s v="GBPR_MUNIWASTE"/>
    <x v="0"/>
    <x v="12"/>
    <n v="12.6927469932977"/>
    <n v="4632.8526525536399"/>
    <n v="16678.269549193101"/>
  </r>
  <r>
    <x v="0"/>
    <x v="0"/>
    <x v="0"/>
    <x v="7"/>
    <x v="15"/>
    <s v="SE1_EL"/>
    <x v="4"/>
    <s v="GBPR_MUNIWASTE"/>
    <x v="0"/>
    <x v="13"/>
    <n v="12.6927469932977"/>
    <n v="4632.8526525536399"/>
    <n v="16678.269549193101"/>
  </r>
  <r>
    <x v="0"/>
    <x v="0"/>
    <x v="0"/>
    <x v="7"/>
    <x v="15"/>
    <s v="SE1_EL"/>
    <x v="4"/>
    <s v="GBPR_MUNIWASTE"/>
    <x v="0"/>
    <x v="0"/>
    <n v="12.6927469932977"/>
    <n v="4632.8526525536399"/>
    <n v="16678.269549193101"/>
  </r>
  <r>
    <x v="0"/>
    <x v="0"/>
    <x v="0"/>
    <x v="7"/>
    <x v="15"/>
    <s v="SE1_EL"/>
    <x v="4"/>
    <s v="GBPR_MUNIWASTE"/>
    <x v="0"/>
    <x v="14"/>
    <n v="12.6927469932977"/>
    <n v="4632.8526525536399"/>
    <n v="16678.269549193101"/>
  </r>
  <r>
    <x v="0"/>
    <x v="0"/>
    <x v="0"/>
    <x v="7"/>
    <x v="15"/>
    <s v="SE1_EL"/>
    <x v="4"/>
    <s v="GBPR_MUNIWASTE"/>
    <x v="0"/>
    <x v="1"/>
    <n v="12.6927469932977"/>
    <n v="4632.8526525536399"/>
    <n v="16678.269549193101"/>
  </r>
  <r>
    <x v="0"/>
    <x v="0"/>
    <x v="0"/>
    <x v="7"/>
    <x v="15"/>
    <s v="SE1_EL"/>
    <x v="4"/>
    <s v="GBPR_MUNIWASTE"/>
    <x v="0"/>
    <x v="23"/>
    <n v="12.6927469932977"/>
    <n v="4632.8526525536399"/>
    <n v="16678.269549193101"/>
  </r>
  <r>
    <x v="0"/>
    <x v="0"/>
    <x v="0"/>
    <x v="7"/>
    <x v="15"/>
    <s v="SE1_EL"/>
    <x v="4"/>
    <s v="GBPR_MUNIWASTE"/>
    <x v="0"/>
    <x v="2"/>
    <n v="12.6927469932977"/>
    <n v="4632.8526525536399"/>
    <n v="16678.269549193101"/>
  </r>
  <r>
    <x v="0"/>
    <x v="0"/>
    <x v="0"/>
    <x v="7"/>
    <x v="15"/>
    <s v="SE1_EL"/>
    <x v="4"/>
    <s v="GBPR_MUNIWASTE"/>
    <x v="0"/>
    <x v="3"/>
    <n v="12.6927469932977"/>
    <n v="4632.8526525536399"/>
    <n v="16678.269549193101"/>
  </r>
  <r>
    <x v="0"/>
    <x v="0"/>
    <x v="0"/>
    <x v="7"/>
    <x v="15"/>
    <s v="SE1_EL"/>
    <x v="4"/>
    <s v="GBPR_MUNIWASTE"/>
    <x v="0"/>
    <x v="4"/>
    <n v="12.6927469932977"/>
    <n v="4632.8526525536399"/>
    <n v="16678.269549193101"/>
  </r>
  <r>
    <x v="0"/>
    <x v="0"/>
    <x v="0"/>
    <x v="7"/>
    <x v="15"/>
    <s v="SE1_EL"/>
    <x v="4"/>
    <s v="GBPR_MUNIWASTE"/>
    <x v="0"/>
    <x v="5"/>
    <n v="12.6927469932977"/>
    <n v="4632.8526525536399"/>
    <n v="16678.269549193101"/>
  </r>
  <r>
    <x v="0"/>
    <x v="0"/>
    <x v="0"/>
    <x v="7"/>
    <x v="15"/>
    <s v="SE1_EL"/>
    <x v="4"/>
    <s v="GBPR_MUNIWASTE"/>
    <x v="0"/>
    <x v="15"/>
    <n v="12.6927469932977"/>
    <n v="4632.8526525536399"/>
    <n v="16678.269549193101"/>
  </r>
  <r>
    <x v="0"/>
    <x v="0"/>
    <x v="0"/>
    <x v="7"/>
    <x v="15"/>
    <s v="SE1_EL"/>
    <x v="4"/>
    <s v="GBPR_MUNIWASTE"/>
    <x v="0"/>
    <x v="6"/>
    <n v="12.6927469932977"/>
    <n v="4632.8526525536399"/>
    <n v="16678.269549193101"/>
  </r>
  <r>
    <x v="0"/>
    <x v="0"/>
    <x v="0"/>
    <x v="7"/>
    <x v="15"/>
    <s v="SE1_EL"/>
    <x v="4"/>
    <s v="GBPR_MUNIWASTE"/>
    <x v="0"/>
    <x v="7"/>
    <n v="12.6927469932977"/>
    <n v="4632.8526525536399"/>
    <n v="16678.269549193101"/>
  </r>
  <r>
    <x v="0"/>
    <x v="0"/>
    <x v="0"/>
    <x v="7"/>
    <x v="15"/>
    <s v="SE1_EL"/>
    <x v="4"/>
    <s v="GBPR_MUNIWASTE"/>
    <x v="0"/>
    <x v="8"/>
    <n v="12.6927469932977"/>
    <n v="4632.8526525536399"/>
    <n v="16678.269549193101"/>
  </r>
  <r>
    <x v="0"/>
    <x v="0"/>
    <x v="0"/>
    <x v="7"/>
    <x v="15"/>
    <s v="SE1_EL"/>
    <x v="4"/>
    <s v="GBPR_MUNIWASTE"/>
    <x v="0"/>
    <x v="16"/>
    <n v="12.6927469932977"/>
    <n v="4632.8526525536399"/>
    <n v="16678.269549193101"/>
  </r>
  <r>
    <x v="0"/>
    <x v="0"/>
    <x v="0"/>
    <x v="7"/>
    <x v="15"/>
    <s v="SE1_EL"/>
    <x v="4"/>
    <s v="GBPR_MUNIWASTE"/>
    <x v="0"/>
    <x v="17"/>
    <n v="12.6927469932977"/>
    <n v="4632.8526525536399"/>
    <n v="16678.269549193101"/>
  </r>
  <r>
    <x v="0"/>
    <x v="0"/>
    <x v="0"/>
    <x v="7"/>
    <x v="15"/>
    <s v="SE1_EL"/>
    <x v="4"/>
    <s v="GBPR_MUNIWASTE"/>
    <x v="0"/>
    <x v="18"/>
    <n v="12.6927469932977"/>
    <n v="4632.8526525536399"/>
    <n v="16678.269549193101"/>
  </r>
  <r>
    <x v="0"/>
    <x v="0"/>
    <x v="0"/>
    <x v="7"/>
    <x v="15"/>
    <s v="SE1_EL"/>
    <x v="4"/>
    <s v="GBPR_MUNIWASTE"/>
    <x v="0"/>
    <x v="19"/>
    <n v="12.6927469932977"/>
    <n v="4632.8526525536399"/>
    <n v="16678.269549193101"/>
  </r>
  <r>
    <x v="0"/>
    <x v="0"/>
    <x v="0"/>
    <x v="7"/>
    <x v="15"/>
    <s v="SE1_EL"/>
    <x v="4"/>
    <s v="GBPR_MUNIWASTE"/>
    <x v="0"/>
    <x v="20"/>
    <n v="12.6927469932977"/>
    <n v="4632.8526525536399"/>
    <n v="16678.269549193101"/>
  </r>
  <r>
    <x v="0"/>
    <x v="0"/>
    <x v="0"/>
    <x v="7"/>
    <x v="15"/>
    <s v="SE1_EL"/>
    <x v="4"/>
    <s v="GBPR_MUNIWASTE"/>
    <x v="0"/>
    <x v="21"/>
    <n v="12.6927469932977"/>
    <n v="4632.8526525536399"/>
    <n v="16678.269549193101"/>
  </r>
  <r>
    <x v="0"/>
    <x v="0"/>
    <x v="0"/>
    <x v="7"/>
    <x v="15"/>
    <s v="SE1_EL"/>
    <x v="4"/>
    <s v="GBPR_MUNIWASTE"/>
    <x v="0"/>
    <x v="22"/>
    <n v="12.6927469932977"/>
    <n v="4632.8526525536399"/>
    <n v="16678.269549193101"/>
  </r>
  <r>
    <x v="0"/>
    <x v="0"/>
    <x v="0"/>
    <x v="7"/>
    <x v="15"/>
    <s v="SE1_EL"/>
    <x v="2"/>
    <s v="GHOB_WASTEHEAT"/>
    <x v="0"/>
    <x v="9"/>
    <n v="86.4075151554988"/>
    <n v="31538.743031757102"/>
    <n v="113539.47491432499"/>
  </r>
  <r>
    <x v="0"/>
    <x v="0"/>
    <x v="0"/>
    <x v="7"/>
    <x v="15"/>
    <s v="SE1_EL"/>
    <x v="2"/>
    <s v="GHOB_WASTEHEAT"/>
    <x v="0"/>
    <x v="10"/>
    <n v="86.2692018731004"/>
    <n v="31488.258683681601"/>
    <n v="113357.731261254"/>
  </r>
  <r>
    <x v="0"/>
    <x v="0"/>
    <x v="0"/>
    <x v="7"/>
    <x v="15"/>
    <s v="SE1_EL"/>
    <x v="2"/>
    <s v="GHOB_WASTEHEAT"/>
    <x v="0"/>
    <x v="11"/>
    <n v="88.044983082888393"/>
    <n v="32136.418825254299"/>
    <n v="115691.107770915"/>
  </r>
  <r>
    <x v="0"/>
    <x v="0"/>
    <x v="0"/>
    <x v="7"/>
    <x v="15"/>
    <s v="SE1_EL"/>
    <x v="2"/>
    <s v="GHOB_WASTEHEAT"/>
    <x v="0"/>
    <x v="12"/>
    <n v="92.206067494247804"/>
    <n v="33655.2146354004"/>
    <n v="121158.772687442"/>
  </r>
  <r>
    <x v="0"/>
    <x v="0"/>
    <x v="0"/>
    <x v="7"/>
    <x v="15"/>
    <s v="SE1_EL"/>
    <x v="2"/>
    <s v="GHOB_WASTEHEAT"/>
    <x v="0"/>
    <x v="13"/>
    <n v="99.801766951326499"/>
    <n v="36427.644937234203"/>
    <n v="131139.52177404301"/>
  </r>
  <r>
    <x v="0"/>
    <x v="0"/>
    <x v="0"/>
    <x v="7"/>
    <x v="15"/>
    <s v="SE1_EL"/>
    <x v="2"/>
    <s v="GHOB_WASTEHEAT"/>
    <x v="0"/>
    <x v="0"/>
    <n v="108.815030552325"/>
    <n v="39717.486151598503"/>
    <n v="142982.95014575499"/>
  </r>
  <r>
    <x v="0"/>
    <x v="0"/>
    <x v="0"/>
    <x v="7"/>
    <x v="15"/>
    <s v="SE1_EL"/>
    <x v="2"/>
    <s v="GHOB_WASTEHEAT"/>
    <x v="0"/>
    <x v="14"/>
    <n v="129.99993878837299"/>
    <n v="47449.977657756201"/>
    <n v="170819.91956792201"/>
  </r>
  <r>
    <x v="0"/>
    <x v="0"/>
    <x v="0"/>
    <x v="7"/>
    <x v="15"/>
    <s v="SE1_EL"/>
    <x v="2"/>
    <s v="GHOB_WASTEHEAT"/>
    <x v="0"/>
    <x v="1"/>
    <n v="143.727344179537"/>
    <n v="52460.480625530799"/>
    <n v="188857.73025191101"/>
  </r>
  <r>
    <x v="0"/>
    <x v="0"/>
    <x v="0"/>
    <x v="7"/>
    <x v="15"/>
    <s v="SE1_EL"/>
    <x v="2"/>
    <s v="GHOB_WASTEHEAT"/>
    <x v="0"/>
    <x v="23"/>
    <n v="146.13659391925199"/>
    <n v="53339.856780527101"/>
    <n v="192023.484409898"/>
  </r>
  <r>
    <x v="0"/>
    <x v="0"/>
    <x v="0"/>
    <x v="7"/>
    <x v="15"/>
    <s v="SE1_EL"/>
    <x v="2"/>
    <s v="GHOB_WASTEHEAT"/>
    <x v="0"/>
    <x v="2"/>
    <n v="149.91692999355899"/>
    <n v="54719.679447649003"/>
    <n v="196990.84601153701"/>
  </r>
  <r>
    <x v="0"/>
    <x v="0"/>
    <x v="0"/>
    <x v="7"/>
    <x v="15"/>
    <s v="SE1_EL"/>
    <x v="2"/>
    <s v="GHOB_WASTEHEAT"/>
    <x v="0"/>
    <x v="3"/>
    <n v="144.64272916574399"/>
    <n v="52794.596145496696"/>
    <n v="190060.54612378799"/>
  </r>
  <r>
    <x v="0"/>
    <x v="0"/>
    <x v="0"/>
    <x v="7"/>
    <x v="15"/>
    <s v="SE1_EL"/>
    <x v="2"/>
    <s v="GHOB_WASTEHEAT"/>
    <x v="0"/>
    <x v="4"/>
    <n v="142.525771884281"/>
    <n v="52021.906737762598"/>
    <n v="187278.86425594499"/>
  </r>
  <r>
    <x v="0"/>
    <x v="0"/>
    <x v="0"/>
    <x v="7"/>
    <x v="15"/>
    <s v="SE1_EL"/>
    <x v="2"/>
    <s v="GHOB_WASTEHEAT"/>
    <x v="0"/>
    <x v="5"/>
    <n v="142.73972753285599"/>
    <n v="52100.000549492499"/>
    <n v="187560.00197817301"/>
  </r>
  <r>
    <x v="0"/>
    <x v="0"/>
    <x v="0"/>
    <x v="7"/>
    <x v="15"/>
    <s v="SE1_EL"/>
    <x v="2"/>
    <s v="GHOB_WASTEHEAT"/>
    <x v="0"/>
    <x v="15"/>
    <n v="141.689798007478"/>
    <n v="51716.776272729403"/>
    <n v="186180.394581826"/>
  </r>
  <r>
    <x v="0"/>
    <x v="0"/>
    <x v="0"/>
    <x v="7"/>
    <x v="15"/>
    <s v="SE1_EL"/>
    <x v="2"/>
    <s v="GHOB_WASTEHEAT"/>
    <x v="0"/>
    <x v="6"/>
    <n v="141.047301157607"/>
    <n v="51482.2649225266"/>
    <n v="185336.15372109599"/>
  </r>
  <r>
    <x v="0"/>
    <x v="0"/>
    <x v="0"/>
    <x v="7"/>
    <x v="15"/>
    <s v="SE1_EL"/>
    <x v="2"/>
    <s v="GHOB_WASTEHEAT"/>
    <x v="0"/>
    <x v="7"/>
    <n v="147.35395228495801"/>
    <n v="53784.192584009703"/>
    <n v="193623.09330243501"/>
  </r>
  <r>
    <x v="0"/>
    <x v="0"/>
    <x v="0"/>
    <x v="7"/>
    <x v="15"/>
    <s v="SE1_EL"/>
    <x v="2"/>
    <s v="GHOB_WASTEHEAT"/>
    <x v="0"/>
    <x v="8"/>
    <n v="136.69163030930699"/>
    <n v="49892.445062897197"/>
    <n v="179612.80222643001"/>
  </r>
  <r>
    <x v="0"/>
    <x v="0"/>
    <x v="0"/>
    <x v="7"/>
    <x v="15"/>
    <s v="SE1_EL"/>
    <x v="2"/>
    <s v="GHOB_WASTEHEAT"/>
    <x v="0"/>
    <x v="16"/>
    <n v="131.51189766029501"/>
    <n v="48001.842646007601"/>
    <n v="172806.63352562801"/>
  </r>
  <r>
    <x v="0"/>
    <x v="0"/>
    <x v="0"/>
    <x v="7"/>
    <x v="15"/>
    <s v="SE1_EL"/>
    <x v="2"/>
    <s v="GHOB_WASTEHEAT"/>
    <x v="0"/>
    <x v="17"/>
    <n v="128.95394776114"/>
    <n v="47068.190932816098"/>
    <n v="169445.48735813799"/>
  </r>
  <r>
    <x v="0"/>
    <x v="0"/>
    <x v="0"/>
    <x v="7"/>
    <x v="15"/>
    <s v="SE1_EL"/>
    <x v="2"/>
    <s v="GHOB_WASTEHEAT"/>
    <x v="0"/>
    <x v="18"/>
    <n v="124.344568719368"/>
    <n v="45385.767582569097"/>
    <n v="163388.76329724901"/>
  </r>
  <r>
    <x v="0"/>
    <x v="0"/>
    <x v="0"/>
    <x v="7"/>
    <x v="15"/>
    <s v="SE1_EL"/>
    <x v="2"/>
    <s v="GHOB_WASTEHEAT"/>
    <x v="0"/>
    <x v="19"/>
    <n v="119.602172464666"/>
    <n v="43654.792949603099"/>
    <n v="157157.25461857099"/>
  </r>
  <r>
    <x v="0"/>
    <x v="0"/>
    <x v="0"/>
    <x v="7"/>
    <x v="15"/>
    <s v="SE1_EL"/>
    <x v="2"/>
    <s v="GHOB_WASTEHEAT"/>
    <x v="0"/>
    <x v="20"/>
    <n v="117.517544471508"/>
    <n v="42893.903732100203"/>
    <n v="154418.05343556101"/>
  </r>
  <r>
    <x v="0"/>
    <x v="0"/>
    <x v="0"/>
    <x v="7"/>
    <x v="15"/>
    <s v="SE1_EL"/>
    <x v="2"/>
    <s v="GHOB_WASTEHEAT"/>
    <x v="0"/>
    <x v="21"/>
    <n v="109.885148353725"/>
    <n v="40108.079149109501"/>
    <n v="144389.08493679401"/>
  </r>
  <r>
    <x v="0"/>
    <x v="0"/>
    <x v="0"/>
    <x v="7"/>
    <x v="15"/>
    <s v="SE1_EL"/>
    <x v="2"/>
    <s v="GHOB_WASTEHEAT"/>
    <x v="0"/>
    <x v="22"/>
    <n v="101.660318616993"/>
    <n v="37106.0162952026"/>
    <n v="133581.65866272899"/>
  </r>
  <r>
    <x v="0"/>
    <x v="0"/>
    <x v="0"/>
    <x v="7"/>
    <x v="15"/>
    <s v="SE1_OTHER"/>
    <x v="1"/>
    <s v="GNR_HS_HEAT_WTR-TANK_LS_E-95_Y-2010"/>
    <x v="0"/>
    <x v="14"/>
    <n v="19.977910529867"/>
    <n v="7291.9373434014697"/>
    <n v="26250.974436245298"/>
  </r>
  <r>
    <x v="0"/>
    <x v="0"/>
    <x v="0"/>
    <x v="7"/>
    <x v="15"/>
    <s v="SE1_OTHER"/>
    <x v="1"/>
    <s v="GNR_HS_HEAT_WTR-TANK_LS_E-95_Y-2010"/>
    <x v="0"/>
    <x v="1"/>
    <n v="11.0496543354023"/>
    <n v="4033.1238324218298"/>
    <n v="14519.2457967186"/>
  </r>
  <r>
    <x v="0"/>
    <x v="0"/>
    <x v="0"/>
    <x v="7"/>
    <x v="15"/>
    <s v="SE1_OTHER"/>
    <x v="1"/>
    <s v="GNR_HS_HEAT_WTR-TANK_LS_E-95_Y-2010"/>
    <x v="0"/>
    <x v="23"/>
    <n v="11.868519465738"/>
    <n v="4332.0096049943804"/>
    <n v="15595.2345779798"/>
  </r>
  <r>
    <x v="0"/>
    <x v="0"/>
    <x v="0"/>
    <x v="7"/>
    <x v="15"/>
    <s v="SE1_OTHER"/>
    <x v="1"/>
    <s v="GNR_HS_HEAT_WTR-TANK_LS_E-95_Y-2010"/>
    <x v="0"/>
    <x v="2"/>
    <n v="8.0540155362128392"/>
    <n v="2939.71567071769"/>
    <n v="10582.9764145837"/>
  </r>
  <r>
    <x v="0"/>
    <x v="0"/>
    <x v="0"/>
    <x v="7"/>
    <x v="15"/>
    <s v="SE1_OTHER"/>
    <x v="1"/>
    <s v="GNR_HS_HEAT_WTR-TANK_LS_E-95_Y-2010"/>
    <x v="0"/>
    <x v="3"/>
    <n v="3.2787900723183201"/>
    <n v="1196.75837639619"/>
    <n v="4308.3301550262804"/>
  </r>
  <r>
    <x v="0"/>
    <x v="0"/>
    <x v="0"/>
    <x v="7"/>
    <x v="15"/>
    <s v="SE1_OTHER"/>
    <x v="1"/>
    <s v="GNR_HS_HEAT_WTR-TANK_LS_E-95_Y-2010"/>
    <x v="0"/>
    <x v="4"/>
    <n v="21.1591890980967"/>
    <n v="7723.10402080529"/>
    <n v="27803.174474898999"/>
  </r>
  <r>
    <x v="0"/>
    <x v="0"/>
    <x v="0"/>
    <x v="7"/>
    <x v="15"/>
    <s v="SE1_OTHER"/>
    <x v="1"/>
    <s v="GNR_HS_HEAT_WTR-TANK_LS_E-95_Y-2010"/>
    <x v="0"/>
    <x v="15"/>
    <n v="16.871740497605501"/>
    <n v="6158.1852816260098"/>
    <n v="22169.467013853598"/>
  </r>
  <r>
    <x v="0"/>
    <x v="0"/>
    <x v="0"/>
    <x v="7"/>
    <x v="15"/>
    <s v="SE1_OTHER"/>
    <x v="1"/>
    <s v="GNR_HS_HEAT_WTR-TANK_LS_E-95_Y-2010"/>
    <x v="0"/>
    <x v="7"/>
    <n v="12.9155957858219"/>
    <n v="4714.1924618250096"/>
    <n v="16971.09286257"/>
  </r>
  <r>
    <x v="0"/>
    <x v="0"/>
    <x v="0"/>
    <x v="7"/>
    <x v="15"/>
    <s v="SE1_OTHER"/>
    <x v="1"/>
    <s v="GNR_HS_HEAT_WTR-TANK_LS_E-95_Y-2010"/>
    <x v="0"/>
    <x v="8"/>
    <n v="7.11899375641541"/>
    <n v="2598.4327210916199"/>
    <n v="9354.3577959298509"/>
  </r>
  <r>
    <x v="0"/>
    <x v="0"/>
    <x v="0"/>
    <x v="7"/>
    <x v="15"/>
    <s v="SE1_OTHER"/>
    <x v="1"/>
    <s v="GNR_HS_HEAT_WTR-TANK_LS_E-95_Y-2010"/>
    <x v="0"/>
    <x v="16"/>
    <n v="1.6527445031478201"/>
    <n v="603.25174364895497"/>
    <n v="2171.7062771362398"/>
  </r>
  <r>
    <x v="0"/>
    <x v="0"/>
    <x v="0"/>
    <x v="7"/>
    <x v="15"/>
    <s v="SE1_OTHER"/>
    <x v="11"/>
    <s v="GBPR_PEAT_38"/>
    <x v="0"/>
    <x v="1"/>
    <n v="21.566886850773098"/>
    <n v="7871.91370053217"/>
    <n v="28338.889321915802"/>
  </r>
  <r>
    <x v="0"/>
    <x v="0"/>
    <x v="0"/>
    <x v="7"/>
    <x v="15"/>
    <s v="SE1_OTHER"/>
    <x v="11"/>
    <s v="GBPR_PEAT_38"/>
    <x v="0"/>
    <x v="23"/>
    <n v="21.566886850773098"/>
    <n v="7871.91370053217"/>
    <n v="28338.889321915802"/>
  </r>
  <r>
    <x v="0"/>
    <x v="0"/>
    <x v="0"/>
    <x v="7"/>
    <x v="15"/>
    <s v="SE1_OTHER"/>
    <x v="11"/>
    <s v="GBPR_PEAT_38"/>
    <x v="0"/>
    <x v="2"/>
    <n v="21.566886850773098"/>
    <n v="7871.91370053217"/>
    <n v="28338.889321915802"/>
  </r>
  <r>
    <x v="0"/>
    <x v="0"/>
    <x v="0"/>
    <x v="7"/>
    <x v="15"/>
    <s v="SE1_OTHER"/>
    <x v="11"/>
    <s v="GBPR_PEAT_38"/>
    <x v="0"/>
    <x v="3"/>
    <n v="21.076372046712098"/>
    <n v="7692.87579704992"/>
    <n v="27694.352869379702"/>
  </r>
  <r>
    <x v="0"/>
    <x v="0"/>
    <x v="0"/>
    <x v="7"/>
    <x v="15"/>
    <s v="SE1_OTHER"/>
    <x v="11"/>
    <s v="GBPR_PEAT_38"/>
    <x v="0"/>
    <x v="5"/>
    <n v="17.849780747139501"/>
    <n v="6515.1699727059304"/>
    <n v="23454.611901741398"/>
  </r>
  <r>
    <x v="0"/>
    <x v="0"/>
    <x v="0"/>
    <x v="7"/>
    <x v="15"/>
    <s v="SE1_OTHER"/>
    <x v="11"/>
    <s v="GBPR_PEAT_38"/>
    <x v="0"/>
    <x v="6"/>
    <n v="14.8463506404822"/>
    <n v="5418.9179837760203"/>
    <n v="19508.104741593699"/>
  </r>
  <r>
    <x v="0"/>
    <x v="0"/>
    <x v="0"/>
    <x v="7"/>
    <x v="15"/>
    <s v="SE1_OTHER"/>
    <x v="2"/>
    <s v="GHOB_WASTEHEAT"/>
    <x v="0"/>
    <x v="9"/>
    <n v="35.828754578754399"/>
    <n v="13077.495421245399"/>
    <n v="47078.983516483298"/>
  </r>
  <r>
    <x v="0"/>
    <x v="0"/>
    <x v="0"/>
    <x v="7"/>
    <x v="15"/>
    <s v="SE1_OTHER"/>
    <x v="2"/>
    <s v="GHOB_WASTEHEAT"/>
    <x v="0"/>
    <x v="10"/>
    <n v="35.828754578754399"/>
    <n v="13077.495421245399"/>
    <n v="47078.983516483298"/>
  </r>
  <r>
    <x v="0"/>
    <x v="0"/>
    <x v="0"/>
    <x v="7"/>
    <x v="15"/>
    <s v="SE1_OTHER"/>
    <x v="2"/>
    <s v="GHOB_WASTEHEAT"/>
    <x v="0"/>
    <x v="11"/>
    <n v="35.828754578754399"/>
    <n v="13077.495421245399"/>
    <n v="47078.983516483298"/>
  </r>
  <r>
    <x v="0"/>
    <x v="0"/>
    <x v="0"/>
    <x v="7"/>
    <x v="15"/>
    <s v="SE1_OTHER"/>
    <x v="2"/>
    <s v="GHOB_WASTEHEAT"/>
    <x v="0"/>
    <x v="12"/>
    <n v="35.828754578754399"/>
    <n v="13077.495421245399"/>
    <n v="47078.983516483298"/>
  </r>
  <r>
    <x v="0"/>
    <x v="0"/>
    <x v="0"/>
    <x v="7"/>
    <x v="15"/>
    <s v="SE1_OTHER"/>
    <x v="2"/>
    <s v="GHOB_WASTEHEAT"/>
    <x v="0"/>
    <x v="13"/>
    <n v="35.828754578754399"/>
    <n v="13077.495421245399"/>
    <n v="47078.983516483298"/>
  </r>
  <r>
    <x v="0"/>
    <x v="0"/>
    <x v="0"/>
    <x v="7"/>
    <x v="15"/>
    <s v="SE1_OTHER"/>
    <x v="2"/>
    <s v="GHOB_WASTEHEAT"/>
    <x v="0"/>
    <x v="0"/>
    <n v="35.828754578754399"/>
    <n v="13077.495421245399"/>
    <n v="47078.983516483298"/>
  </r>
  <r>
    <x v="0"/>
    <x v="0"/>
    <x v="0"/>
    <x v="7"/>
    <x v="15"/>
    <s v="SE1_OTHER"/>
    <x v="2"/>
    <s v="GHOB_WASTEHEAT"/>
    <x v="0"/>
    <x v="14"/>
    <n v="35.828754578754399"/>
    <n v="13077.495421245399"/>
    <n v="47078.983516483298"/>
  </r>
  <r>
    <x v="0"/>
    <x v="0"/>
    <x v="0"/>
    <x v="7"/>
    <x v="15"/>
    <s v="SE1_OTHER"/>
    <x v="2"/>
    <s v="GHOB_WASTEHEAT"/>
    <x v="0"/>
    <x v="1"/>
    <n v="35.828754578754399"/>
    <n v="13077.495421245399"/>
    <n v="47078.983516483298"/>
  </r>
  <r>
    <x v="0"/>
    <x v="0"/>
    <x v="0"/>
    <x v="7"/>
    <x v="15"/>
    <s v="SE1_OTHER"/>
    <x v="2"/>
    <s v="GHOB_WASTEHEAT"/>
    <x v="0"/>
    <x v="23"/>
    <n v="35.828754578754399"/>
    <n v="13077.495421245399"/>
    <n v="47078.983516483298"/>
  </r>
  <r>
    <x v="0"/>
    <x v="0"/>
    <x v="0"/>
    <x v="7"/>
    <x v="15"/>
    <s v="SE1_OTHER"/>
    <x v="2"/>
    <s v="GHOB_WASTEHEAT"/>
    <x v="0"/>
    <x v="2"/>
    <n v="35.828754578754399"/>
    <n v="13077.495421245399"/>
    <n v="47078.983516483298"/>
  </r>
  <r>
    <x v="0"/>
    <x v="0"/>
    <x v="0"/>
    <x v="7"/>
    <x v="15"/>
    <s v="SE1_OTHER"/>
    <x v="2"/>
    <s v="GHOB_WASTEHEAT"/>
    <x v="0"/>
    <x v="3"/>
    <n v="35.828754578754399"/>
    <n v="13077.495421245399"/>
    <n v="47078.983516483298"/>
  </r>
  <r>
    <x v="0"/>
    <x v="0"/>
    <x v="0"/>
    <x v="7"/>
    <x v="15"/>
    <s v="SE1_OTHER"/>
    <x v="2"/>
    <s v="GHOB_WASTEHEAT"/>
    <x v="0"/>
    <x v="4"/>
    <n v="35.828754578754399"/>
    <n v="13077.495421245399"/>
    <n v="47078.983516483298"/>
  </r>
  <r>
    <x v="0"/>
    <x v="0"/>
    <x v="0"/>
    <x v="7"/>
    <x v="15"/>
    <s v="SE1_OTHER"/>
    <x v="2"/>
    <s v="GHOB_WASTEHEAT"/>
    <x v="0"/>
    <x v="5"/>
    <n v="35.828754578754399"/>
    <n v="13077.495421245399"/>
    <n v="47078.983516483298"/>
  </r>
  <r>
    <x v="0"/>
    <x v="0"/>
    <x v="0"/>
    <x v="7"/>
    <x v="15"/>
    <s v="SE1_OTHER"/>
    <x v="2"/>
    <s v="GHOB_WASTEHEAT"/>
    <x v="0"/>
    <x v="15"/>
    <n v="35.828754578754399"/>
    <n v="13077.495421245399"/>
    <n v="47078.983516483298"/>
  </r>
  <r>
    <x v="0"/>
    <x v="0"/>
    <x v="0"/>
    <x v="7"/>
    <x v="15"/>
    <s v="SE1_OTHER"/>
    <x v="2"/>
    <s v="GHOB_WASTEHEAT"/>
    <x v="0"/>
    <x v="6"/>
    <n v="35.828754578754399"/>
    <n v="13077.495421245399"/>
    <n v="47078.983516483298"/>
  </r>
  <r>
    <x v="0"/>
    <x v="0"/>
    <x v="0"/>
    <x v="7"/>
    <x v="15"/>
    <s v="SE1_OTHER"/>
    <x v="2"/>
    <s v="GHOB_WASTEHEAT"/>
    <x v="0"/>
    <x v="7"/>
    <n v="35.828754578754399"/>
    <n v="13077.495421245399"/>
    <n v="47078.983516483298"/>
  </r>
  <r>
    <x v="0"/>
    <x v="0"/>
    <x v="0"/>
    <x v="7"/>
    <x v="15"/>
    <s v="SE1_OTHER"/>
    <x v="2"/>
    <s v="GHOB_WASTEHEAT"/>
    <x v="0"/>
    <x v="8"/>
    <n v="35.828754578754399"/>
    <n v="13077.495421245399"/>
    <n v="47078.983516483298"/>
  </r>
  <r>
    <x v="0"/>
    <x v="0"/>
    <x v="0"/>
    <x v="7"/>
    <x v="15"/>
    <s v="SE1_OTHER"/>
    <x v="2"/>
    <s v="GHOB_WASTEHEAT"/>
    <x v="0"/>
    <x v="16"/>
    <n v="35.828754578754399"/>
    <n v="13077.495421245399"/>
    <n v="47078.983516483298"/>
  </r>
  <r>
    <x v="0"/>
    <x v="0"/>
    <x v="0"/>
    <x v="7"/>
    <x v="15"/>
    <s v="SE1_OTHER"/>
    <x v="2"/>
    <s v="GHOB_WASTEHEAT"/>
    <x v="0"/>
    <x v="17"/>
    <n v="35.828754578754399"/>
    <n v="13077.495421245399"/>
    <n v="47078.983516483298"/>
  </r>
  <r>
    <x v="0"/>
    <x v="0"/>
    <x v="0"/>
    <x v="7"/>
    <x v="15"/>
    <s v="SE1_OTHER"/>
    <x v="2"/>
    <s v="GHOB_WASTEHEAT"/>
    <x v="0"/>
    <x v="18"/>
    <n v="35.828754578754399"/>
    <n v="13077.495421245399"/>
    <n v="47078.983516483298"/>
  </r>
  <r>
    <x v="0"/>
    <x v="0"/>
    <x v="0"/>
    <x v="7"/>
    <x v="15"/>
    <s v="SE1_OTHER"/>
    <x v="2"/>
    <s v="GHOB_WASTEHEAT"/>
    <x v="0"/>
    <x v="19"/>
    <n v="35.828754578754399"/>
    <n v="13077.495421245399"/>
    <n v="47078.983516483298"/>
  </r>
  <r>
    <x v="0"/>
    <x v="0"/>
    <x v="0"/>
    <x v="7"/>
    <x v="15"/>
    <s v="SE1_OTHER"/>
    <x v="2"/>
    <s v="GHOB_WASTEHEAT"/>
    <x v="0"/>
    <x v="20"/>
    <n v="35.828754578754399"/>
    <n v="13077.495421245399"/>
    <n v="47078.983516483298"/>
  </r>
  <r>
    <x v="0"/>
    <x v="0"/>
    <x v="0"/>
    <x v="7"/>
    <x v="15"/>
    <s v="SE1_OTHER"/>
    <x v="2"/>
    <s v="GHOB_WASTEHEAT"/>
    <x v="0"/>
    <x v="21"/>
    <n v="35.828754578754399"/>
    <n v="13077.495421245399"/>
    <n v="47078.983516483298"/>
  </r>
  <r>
    <x v="0"/>
    <x v="0"/>
    <x v="0"/>
    <x v="7"/>
    <x v="15"/>
    <s v="SE1_OTHER"/>
    <x v="2"/>
    <s v="GHOB_WASTEHEAT"/>
    <x v="0"/>
    <x v="22"/>
    <n v="35.828754578754399"/>
    <n v="13077.495421245399"/>
    <n v="47078.983516483298"/>
  </r>
  <r>
    <x v="0"/>
    <x v="0"/>
    <x v="0"/>
    <x v="7"/>
    <x v="15"/>
    <s v="SE1_OTHER"/>
    <x v="8"/>
    <s v="GBPR_WOODWASTE"/>
    <x v="0"/>
    <x v="9"/>
    <n v="57.580172834543902"/>
    <n v="21016.763084608501"/>
    <n v="75660.347104590706"/>
  </r>
  <r>
    <x v="0"/>
    <x v="0"/>
    <x v="0"/>
    <x v="7"/>
    <x v="15"/>
    <s v="SE1_OTHER"/>
    <x v="8"/>
    <s v="GBPR_WOODWASTE"/>
    <x v="0"/>
    <x v="10"/>
    <n v="57.580172834543902"/>
    <n v="21016.763084608501"/>
    <n v="75660.347104590706"/>
  </r>
  <r>
    <x v="0"/>
    <x v="0"/>
    <x v="0"/>
    <x v="7"/>
    <x v="15"/>
    <s v="SE1_OTHER"/>
    <x v="8"/>
    <s v="GBPR_WOODWASTE"/>
    <x v="0"/>
    <x v="11"/>
    <n v="57.580172834543902"/>
    <n v="21016.763084608501"/>
    <n v="75660.347104590706"/>
  </r>
  <r>
    <x v="0"/>
    <x v="0"/>
    <x v="0"/>
    <x v="7"/>
    <x v="15"/>
    <s v="SE1_OTHER"/>
    <x v="8"/>
    <s v="GBPR_WOODWASTE"/>
    <x v="0"/>
    <x v="12"/>
    <n v="57.580172834543902"/>
    <n v="21016.763084608501"/>
    <n v="75660.347104590706"/>
  </r>
  <r>
    <x v="0"/>
    <x v="0"/>
    <x v="0"/>
    <x v="7"/>
    <x v="15"/>
    <s v="SE1_OTHER"/>
    <x v="8"/>
    <s v="GBPR_WOODWASTE"/>
    <x v="0"/>
    <x v="13"/>
    <n v="57.580172834543902"/>
    <n v="21016.763084608501"/>
    <n v="75660.347104590706"/>
  </r>
  <r>
    <x v="0"/>
    <x v="0"/>
    <x v="0"/>
    <x v="7"/>
    <x v="15"/>
    <s v="SE1_OTHER"/>
    <x v="8"/>
    <s v="GBPR_WOODWASTE"/>
    <x v="0"/>
    <x v="0"/>
    <n v="57.580172834543902"/>
    <n v="21016.763084608501"/>
    <n v="75660.347104590706"/>
  </r>
  <r>
    <x v="0"/>
    <x v="0"/>
    <x v="0"/>
    <x v="7"/>
    <x v="15"/>
    <s v="SE1_OTHER"/>
    <x v="8"/>
    <s v="GBPR_WOODWASTE"/>
    <x v="0"/>
    <x v="14"/>
    <n v="57.580172834543902"/>
    <n v="21016.763084608501"/>
    <n v="75660.347104590706"/>
  </r>
  <r>
    <x v="0"/>
    <x v="0"/>
    <x v="0"/>
    <x v="7"/>
    <x v="15"/>
    <s v="SE1_OTHER"/>
    <x v="8"/>
    <s v="GBPR_WOODWASTE"/>
    <x v="0"/>
    <x v="1"/>
    <n v="57.580172834543902"/>
    <n v="21016.763084608501"/>
    <n v="75660.347104590706"/>
  </r>
  <r>
    <x v="0"/>
    <x v="0"/>
    <x v="0"/>
    <x v="7"/>
    <x v="15"/>
    <s v="SE1_OTHER"/>
    <x v="8"/>
    <s v="GBPR_WOODWASTE"/>
    <x v="0"/>
    <x v="23"/>
    <n v="57.580172834543902"/>
    <n v="21016.763084608501"/>
    <n v="75660.347104590706"/>
  </r>
  <r>
    <x v="0"/>
    <x v="0"/>
    <x v="0"/>
    <x v="7"/>
    <x v="15"/>
    <s v="SE1_OTHER"/>
    <x v="8"/>
    <s v="GBPR_WOODWASTE"/>
    <x v="0"/>
    <x v="2"/>
    <n v="57.580172834543902"/>
    <n v="21016.763084608501"/>
    <n v="75660.347104590706"/>
  </r>
  <r>
    <x v="0"/>
    <x v="0"/>
    <x v="0"/>
    <x v="7"/>
    <x v="15"/>
    <s v="SE1_OTHER"/>
    <x v="8"/>
    <s v="GBPR_WOODWASTE"/>
    <x v="0"/>
    <x v="3"/>
    <n v="57.580172834543902"/>
    <n v="21016.763084608501"/>
    <n v="75660.347104590706"/>
  </r>
  <r>
    <x v="0"/>
    <x v="0"/>
    <x v="0"/>
    <x v="7"/>
    <x v="15"/>
    <s v="SE1_OTHER"/>
    <x v="8"/>
    <s v="GBPR_WOODWASTE"/>
    <x v="0"/>
    <x v="4"/>
    <n v="57.580172834543902"/>
    <n v="21016.763084608501"/>
    <n v="75660.347104590706"/>
  </r>
  <r>
    <x v="0"/>
    <x v="0"/>
    <x v="0"/>
    <x v="7"/>
    <x v="15"/>
    <s v="SE1_OTHER"/>
    <x v="8"/>
    <s v="GBPR_WOODWASTE"/>
    <x v="0"/>
    <x v="5"/>
    <n v="57.580172834543902"/>
    <n v="21016.763084608501"/>
    <n v="75660.347104590706"/>
  </r>
  <r>
    <x v="0"/>
    <x v="0"/>
    <x v="0"/>
    <x v="7"/>
    <x v="15"/>
    <s v="SE1_OTHER"/>
    <x v="8"/>
    <s v="GBPR_WOODWASTE"/>
    <x v="0"/>
    <x v="15"/>
    <n v="57.580172834543902"/>
    <n v="21016.763084608501"/>
    <n v="75660.347104590706"/>
  </r>
  <r>
    <x v="0"/>
    <x v="0"/>
    <x v="0"/>
    <x v="7"/>
    <x v="15"/>
    <s v="SE1_OTHER"/>
    <x v="8"/>
    <s v="GBPR_WOODWASTE"/>
    <x v="0"/>
    <x v="6"/>
    <n v="57.580172834543902"/>
    <n v="21016.763084608501"/>
    <n v="75660.347104590706"/>
  </r>
  <r>
    <x v="0"/>
    <x v="0"/>
    <x v="0"/>
    <x v="7"/>
    <x v="15"/>
    <s v="SE1_OTHER"/>
    <x v="8"/>
    <s v="GBPR_WOODWASTE"/>
    <x v="0"/>
    <x v="7"/>
    <n v="57.580172834543902"/>
    <n v="21016.763084608501"/>
    <n v="75660.347104590706"/>
  </r>
  <r>
    <x v="0"/>
    <x v="0"/>
    <x v="0"/>
    <x v="7"/>
    <x v="15"/>
    <s v="SE1_OTHER"/>
    <x v="8"/>
    <s v="GBPR_WOODWASTE"/>
    <x v="0"/>
    <x v="8"/>
    <n v="57.580172834543902"/>
    <n v="21016.763084608501"/>
    <n v="75660.347104590706"/>
  </r>
  <r>
    <x v="0"/>
    <x v="0"/>
    <x v="0"/>
    <x v="7"/>
    <x v="15"/>
    <s v="SE1_OTHER"/>
    <x v="8"/>
    <s v="GBPR_WOODWASTE"/>
    <x v="0"/>
    <x v="16"/>
    <n v="57.580172834543902"/>
    <n v="21016.763084608501"/>
    <n v="75660.347104590706"/>
  </r>
  <r>
    <x v="0"/>
    <x v="0"/>
    <x v="0"/>
    <x v="7"/>
    <x v="15"/>
    <s v="SE1_OTHER"/>
    <x v="8"/>
    <s v="GBPR_WOODWASTE"/>
    <x v="0"/>
    <x v="17"/>
    <n v="57.580172834543902"/>
    <n v="21016.763084608501"/>
    <n v="75660.347104590706"/>
  </r>
  <r>
    <x v="0"/>
    <x v="0"/>
    <x v="0"/>
    <x v="7"/>
    <x v="15"/>
    <s v="SE1_OTHER"/>
    <x v="8"/>
    <s v="GBPR_WOODWASTE"/>
    <x v="0"/>
    <x v="18"/>
    <n v="57.580172834543902"/>
    <n v="21016.763084608501"/>
    <n v="75660.347104590706"/>
  </r>
  <r>
    <x v="0"/>
    <x v="0"/>
    <x v="0"/>
    <x v="7"/>
    <x v="15"/>
    <s v="SE1_OTHER"/>
    <x v="8"/>
    <s v="GBPR_WOODWASTE"/>
    <x v="0"/>
    <x v="19"/>
    <n v="57.580172834543902"/>
    <n v="21016.763084608501"/>
    <n v="75660.347104590706"/>
  </r>
  <r>
    <x v="0"/>
    <x v="0"/>
    <x v="0"/>
    <x v="7"/>
    <x v="15"/>
    <s v="SE1_OTHER"/>
    <x v="8"/>
    <s v="GBPR_WOODWASTE"/>
    <x v="0"/>
    <x v="20"/>
    <n v="57.580172834543902"/>
    <n v="21016.763084608501"/>
    <n v="75660.347104590706"/>
  </r>
  <r>
    <x v="0"/>
    <x v="0"/>
    <x v="0"/>
    <x v="7"/>
    <x v="15"/>
    <s v="SE1_OTHER"/>
    <x v="8"/>
    <s v="GBPR_WOODWASTE"/>
    <x v="0"/>
    <x v="21"/>
    <n v="57.580172834543902"/>
    <n v="21016.763084608501"/>
    <n v="75660.347104590706"/>
  </r>
  <r>
    <x v="0"/>
    <x v="0"/>
    <x v="0"/>
    <x v="7"/>
    <x v="15"/>
    <s v="SE1_OTHER"/>
    <x v="8"/>
    <s v="GBPR_WOODWASTE"/>
    <x v="0"/>
    <x v="22"/>
    <n v="57.580172834543902"/>
    <n v="21016.763084608501"/>
    <n v="75660.347104590706"/>
  </r>
  <r>
    <x v="0"/>
    <x v="0"/>
    <x v="0"/>
    <x v="7"/>
    <x v="15"/>
    <s v="SE1_OTHER"/>
    <x v="8"/>
    <s v="GHOB_WOODWASTE"/>
    <x v="0"/>
    <x v="9"/>
    <n v="26.6956707530648"/>
    <n v="9743.9198248686498"/>
    <n v="35078.111369527098"/>
  </r>
  <r>
    <x v="0"/>
    <x v="0"/>
    <x v="0"/>
    <x v="7"/>
    <x v="15"/>
    <s v="SE1_OTHER"/>
    <x v="8"/>
    <s v="GHOB_WOODWASTE"/>
    <x v="0"/>
    <x v="10"/>
    <n v="26.6956707530648"/>
    <n v="9743.9198248686498"/>
    <n v="35078.111369527098"/>
  </r>
  <r>
    <x v="0"/>
    <x v="0"/>
    <x v="0"/>
    <x v="7"/>
    <x v="15"/>
    <s v="SE1_OTHER"/>
    <x v="8"/>
    <s v="GHOB_WOODWASTE"/>
    <x v="0"/>
    <x v="11"/>
    <n v="26.6956707530648"/>
    <n v="9743.9198248686498"/>
    <n v="35078.111369527098"/>
  </r>
  <r>
    <x v="0"/>
    <x v="0"/>
    <x v="0"/>
    <x v="7"/>
    <x v="15"/>
    <s v="SE1_OTHER"/>
    <x v="8"/>
    <s v="GHOB_WOODWASTE"/>
    <x v="0"/>
    <x v="12"/>
    <n v="26.6956707530648"/>
    <n v="9743.9198248686498"/>
    <n v="35078.111369527098"/>
  </r>
  <r>
    <x v="0"/>
    <x v="0"/>
    <x v="0"/>
    <x v="7"/>
    <x v="15"/>
    <s v="SE1_OTHER"/>
    <x v="8"/>
    <s v="GHOB_WOODWASTE"/>
    <x v="0"/>
    <x v="13"/>
    <n v="26.6956707530648"/>
    <n v="9743.9198248686498"/>
    <n v="35078.111369527098"/>
  </r>
  <r>
    <x v="0"/>
    <x v="0"/>
    <x v="0"/>
    <x v="7"/>
    <x v="15"/>
    <s v="SE1_OTHER"/>
    <x v="8"/>
    <s v="GHOB_WOODWASTE"/>
    <x v="0"/>
    <x v="0"/>
    <n v="26.6956707530648"/>
    <n v="9743.9198248686498"/>
    <n v="35078.111369527098"/>
  </r>
  <r>
    <x v="0"/>
    <x v="0"/>
    <x v="0"/>
    <x v="7"/>
    <x v="15"/>
    <s v="SE1_OTHER"/>
    <x v="8"/>
    <s v="GHOB_WOODWASTE"/>
    <x v="0"/>
    <x v="14"/>
    <n v="26.6956707530648"/>
    <n v="9743.9198248686498"/>
    <n v="35078.111369527098"/>
  </r>
  <r>
    <x v="0"/>
    <x v="0"/>
    <x v="0"/>
    <x v="7"/>
    <x v="15"/>
    <s v="SE1_OTHER"/>
    <x v="8"/>
    <s v="GHOB_WOODWASTE"/>
    <x v="0"/>
    <x v="1"/>
    <n v="26.6956707530648"/>
    <n v="9743.9198248686498"/>
    <n v="35078.111369527098"/>
  </r>
  <r>
    <x v="0"/>
    <x v="0"/>
    <x v="0"/>
    <x v="7"/>
    <x v="15"/>
    <s v="SE1_OTHER"/>
    <x v="8"/>
    <s v="GHOB_WOODWASTE"/>
    <x v="0"/>
    <x v="23"/>
    <n v="26.6956707530648"/>
    <n v="9743.9198248686498"/>
    <n v="35078.111369527098"/>
  </r>
  <r>
    <x v="0"/>
    <x v="0"/>
    <x v="0"/>
    <x v="7"/>
    <x v="15"/>
    <s v="SE1_OTHER"/>
    <x v="8"/>
    <s v="GHOB_WOODWASTE"/>
    <x v="0"/>
    <x v="2"/>
    <n v="26.6956707530648"/>
    <n v="9743.9198248686498"/>
    <n v="35078.111369527098"/>
  </r>
  <r>
    <x v="0"/>
    <x v="0"/>
    <x v="0"/>
    <x v="7"/>
    <x v="15"/>
    <s v="SE1_OTHER"/>
    <x v="8"/>
    <s v="GHOB_WOODWASTE"/>
    <x v="0"/>
    <x v="3"/>
    <n v="26.6956707530648"/>
    <n v="9743.9198248686498"/>
    <n v="35078.111369527098"/>
  </r>
  <r>
    <x v="0"/>
    <x v="0"/>
    <x v="0"/>
    <x v="7"/>
    <x v="15"/>
    <s v="SE1_OTHER"/>
    <x v="8"/>
    <s v="GHOB_WOODWASTE"/>
    <x v="0"/>
    <x v="4"/>
    <n v="26.6956707530648"/>
    <n v="9743.9198248686498"/>
    <n v="35078.111369527098"/>
  </r>
  <r>
    <x v="0"/>
    <x v="0"/>
    <x v="0"/>
    <x v="7"/>
    <x v="15"/>
    <s v="SE1_OTHER"/>
    <x v="8"/>
    <s v="GHOB_WOODWASTE"/>
    <x v="0"/>
    <x v="5"/>
    <n v="26.6956707530648"/>
    <n v="9743.9198248686498"/>
    <n v="35078.111369527098"/>
  </r>
  <r>
    <x v="0"/>
    <x v="0"/>
    <x v="0"/>
    <x v="7"/>
    <x v="15"/>
    <s v="SE1_OTHER"/>
    <x v="8"/>
    <s v="GHOB_WOODWASTE"/>
    <x v="0"/>
    <x v="15"/>
    <n v="26.6956707530648"/>
    <n v="9743.9198248686498"/>
    <n v="35078.111369527098"/>
  </r>
  <r>
    <x v="0"/>
    <x v="0"/>
    <x v="0"/>
    <x v="7"/>
    <x v="15"/>
    <s v="SE1_OTHER"/>
    <x v="8"/>
    <s v="GHOB_WOODWASTE"/>
    <x v="0"/>
    <x v="6"/>
    <n v="26.6956707530648"/>
    <n v="9743.9198248686498"/>
    <n v="35078.111369527098"/>
  </r>
  <r>
    <x v="0"/>
    <x v="0"/>
    <x v="0"/>
    <x v="7"/>
    <x v="15"/>
    <s v="SE1_OTHER"/>
    <x v="8"/>
    <s v="GHOB_WOODWASTE"/>
    <x v="0"/>
    <x v="7"/>
    <n v="26.6956707530648"/>
    <n v="9743.9198248686498"/>
    <n v="35078.111369527098"/>
  </r>
  <r>
    <x v="0"/>
    <x v="0"/>
    <x v="0"/>
    <x v="7"/>
    <x v="15"/>
    <s v="SE1_OTHER"/>
    <x v="8"/>
    <s v="GHOB_WOODWASTE"/>
    <x v="0"/>
    <x v="8"/>
    <n v="26.6956707530648"/>
    <n v="9743.9198248686498"/>
    <n v="35078.111369527098"/>
  </r>
  <r>
    <x v="0"/>
    <x v="0"/>
    <x v="0"/>
    <x v="7"/>
    <x v="15"/>
    <s v="SE1_OTHER"/>
    <x v="8"/>
    <s v="GHOB_WOODWASTE"/>
    <x v="0"/>
    <x v="16"/>
    <n v="26.6956707530648"/>
    <n v="9743.9198248686498"/>
    <n v="35078.111369527098"/>
  </r>
  <r>
    <x v="0"/>
    <x v="0"/>
    <x v="0"/>
    <x v="7"/>
    <x v="15"/>
    <s v="SE1_OTHER"/>
    <x v="8"/>
    <s v="GHOB_WOODWASTE"/>
    <x v="0"/>
    <x v="17"/>
    <n v="26.6956707530648"/>
    <n v="9743.9198248686498"/>
    <n v="35078.111369527098"/>
  </r>
  <r>
    <x v="0"/>
    <x v="0"/>
    <x v="0"/>
    <x v="7"/>
    <x v="15"/>
    <s v="SE1_OTHER"/>
    <x v="8"/>
    <s v="GHOB_WOODWASTE"/>
    <x v="0"/>
    <x v="18"/>
    <n v="26.6956707530648"/>
    <n v="9743.9198248686498"/>
    <n v="35078.111369527098"/>
  </r>
  <r>
    <x v="0"/>
    <x v="0"/>
    <x v="0"/>
    <x v="7"/>
    <x v="15"/>
    <s v="SE1_OTHER"/>
    <x v="8"/>
    <s v="GHOB_WOODWASTE"/>
    <x v="0"/>
    <x v="19"/>
    <n v="26.6956707530648"/>
    <n v="9743.9198248686498"/>
    <n v="35078.111369527098"/>
  </r>
  <r>
    <x v="0"/>
    <x v="0"/>
    <x v="0"/>
    <x v="7"/>
    <x v="15"/>
    <s v="SE1_OTHER"/>
    <x v="8"/>
    <s v="GHOB_WOODWASTE"/>
    <x v="0"/>
    <x v="20"/>
    <n v="26.6956707530648"/>
    <n v="9743.9198248686498"/>
    <n v="35078.111369527098"/>
  </r>
  <r>
    <x v="0"/>
    <x v="0"/>
    <x v="0"/>
    <x v="7"/>
    <x v="15"/>
    <s v="SE1_OTHER"/>
    <x v="8"/>
    <s v="GHOB_WOODWASTE"/>
    <x v="0"/>
    <x v="21"/>
    <n v="26.6956707530648"/>
    <n v="9743.9198248686498"/>
    <n v="35078.111369527098"/>
  </r>
  <r>
    <x v="0"/>
    <x v="0"/>
    <x v="0"/>
    <x v="7"/>
    <x v="15"/>
    <s v="SE1_OTHER"/>
    <x v="8"/>
    <s v="GHOB_WOODWASTE"/>
    <x v="0"/>
    <x v="22"/>
    <n v="26.6956707530648"/>
    <n v="9743.9198248686498"/>
    <n v="35078.111369527098"/>
  </r>
  <r>
    <x v="0"/>
    <x v="0"/>
    <x v="0"/>
    <x v="7"/>
    <x v="16"/>
    <s v="SE2_EL"/>
    <x v="4"/>
    <s v="GBPR_MUNIWASTE_24"/>
    <x v="0"/>
    <x v="9"/>
    <n v="173.85783130338501"/>
    <n v="63458.1084257357"/>
    <n v="228449.19033264901"/>
  </r>
  <r>
    <x v="0"/>
    <x v="0"/>
    <x v="0"/>
    <x v="7"/>
    <x v="16"/>
    <s v="SE2_EL"/>
    <x v="4"/>
    <s v="GBPR_MUNIWASTE_24"/>
    <x v="0"/>
    <x v="10"/>
    <n v="173.85783130338501"/>
    <n v="63458.1084257357"/>
    <n v="228449.19033264901"/>
  </r>
  <r>
    <x v="0"/>
    <x v="0"/>
    <x v="0"/>
    <x v="7"/>
    <x v="16"/>
    <s v="SE2_EL"/>
    <x v="4"/>
    <s v="GBPR_MUNIWASTE_24"/>
    <x v="0"/>
    <x v="11"/>
    <n v="173.85783130338501"/>
    <n v="63458.1084257357"/>
    <n v="228449.19033264901"/>
  </r>
  <r>
    <x v="0"/>
    <x v="0"/>
    <x v="0"/>
    <x v="7"/>
    <x v="16"/>
    <s v="SE2_EL"/>
    <x v="4"/>
    <s v="GBPR_MUNIWASTE_24"/>
    <x v="0"/>
    <x v="12"/>
    <n v="173.85783130338501"/>
    <n v="63458.1084257357"/>
    <n v="228449.19033264901"/>
  </r>
  <r>
    <x v="0"/>
    <x v="0"/>
    <x v="0"/>
    <x v="7"/>
    <x v="16"/>
    <s v="SE2_EL"/>
    <x v="4"/>
    <s v="GBPR_MUNIWASTE_24"/>
    <x v="0"/>
    <x v="13"/>
    <n v="173.85783130338501"/>
    <n v="63458.1084257357"/>
    <n v="228449.19033264901"/>
  </r>
  <r>
    <x v="0"/>
    <x v="0"/>
    <x v="0"/>
    <x v="7"/>
    <x v="16"/>
    <s v="SE2_EL"/>
    <x v="4"/>
    <s v="GBPR_MUNIWASTE_24"/>
    <x v="0"/>
    <x v="0"/>
    <n v="173.85783130338501"/>
    <n v="63458.1084257357"/>
    <n v="228449.19033264901"/>
  </r>
  <r>
    <x v="0"/>
    <x v="0"/>
    <x v="0"/>
    <x v="7"/>
    <x v="16"/>
    <s v="SE2_EL"/>
    <x v="4"/>
    <s v="GBPR_MUNIWASTE_24"/>
    <x v="0"/>
    <x v="14"/>
    <n v="173.85783130338501"/>
    <n v="63458.1084257357"/>
    <n v="228449.19033264901"/>
  </r>
  <r>
    <x v="0"/>
    <x v="0"/>
    <x v="0"/>
    <x v="7"/>
    <x v="16"/>
    <s v="SE2_EL"/>
    <x v="4"/>
    <s v="GBPR_MUNIWASTE_24"/>
    <x v="0"/>
    <x v="1"/>
    <n v="173.85783130338501"/>
    <n v="63458.1084257357"/>
    <n v="228449.19033264901"/>
  </r>
  <r>
    <x v="0"/>
    <x v="0"/>
    <x v="0"/>
    <x v="7"/>
    <x v="16"/>
    <s v="SE2_EL"/>
    <x v="4"/>
    <s v="GBPR_MUNIWASTE_24"/>
    <x v="0"/>
    <x v="23"/>
    <n v="173.85783130338501"/>
    <n v="63458.1084257357"/>
    <n v="228449.19033264901"/>
  </r>
  <r>
    <x v="0"/>
    <x v="0"/>
    <x v="0"/>
    <x v="7"/>
    <x v="16"/>
    <s v="SE2_EL"/>
    <x v="4"/>
    <s v="GBPR_MUNIWASTE_24"/>
    <x v="0"/>
    <x v="2"/>
    <n v="173.85783130338501"/>
    <n v="63458.1084257357"/>
    <n v="228449.19033264901"/>
  </r>
  <r>
    <x v="0"/>
    <x v="0"/>
    <x v="0"/>
    <x v="7"/>
    <x v="16"/>
    <s v="SE2_EL"/>
    <x v="4"/>
    <s v="GBPR_MUNIWASTE_24"/>
    <x v="0"/>
    <x v="3"/>
    <n v="173.85783130338501"/>
    <n v="63458.1084257357"/>
    <n v="228449.19033264901"/>
  </r>
  <r>
    <x v="0"/>
    <x v="0"/>
    <x v="0"/>
    <x v="7"/>
    <x v="16"/>
    <s v="SE2_EL"/>
    <x v="4"/>
    <s v="GBPR_MUNIWASTE_24"/>
    <x v="0"/>
    <x v="4"/>
    <n v="173.85783130338501"/>
    <n v="63458.1084257357"/>
    <n v="228449.19033264901"/>
  </r>
  <r>
    <x v="0"/>
    <x v="0"/>
    <x v="0"/>
    <x v="7"/>
    <x v="16"/>
    <s v="SE2_EL"/>
    <x v="4"/>
    <s v="GBPR_MUNIWASTE_24"/>
    <x v="0"/>
    <x v="5"/>
    <n v="173.85783130338501"/>
    <n v="63458.1084257357"/>
    <n v="228449.19033264901"/>
  </r>
  <r>
    <x v="0"/>
    <x v="0"/>
    <x v="0"/>
    <x v="7"/>
    <x v="16"/>
    <s v="SE2_EL"/>
    <x v="4"/>
    <s v="GBPR_MUNIWASTE_24"/>
    <x v="0"/>
    <x v="15"/>
    <n v="173.85783130338501"/>
    <n v="63458.1084257357"/>
    <n v="228449.19033264901"/>
  </r>
  <r>
    <x v="0"/>
    <x v="0"/>
    <x v="0"/>
    <x v="7"/>
    <x v="16"/>
    <s v="SE2_EL"/>
    <x v="4"/>
    <s v="GBPR_MUNIWASTE_24"/>
    <x v="0"/>
    <x v="6"/>
    <n v="173.85783130338501"/>
    <n v="63458.1084257357"/>
    <n v="228449.19033264901"/>
  </r>
  <r>
    <x v="0"/>
    <x v="0"/>
    <x v="0"/>
    <x v="7"/>
    <x v="16"/>
    <s v="SE2_EL"/>
    <x v="4"/>
    <s v="GBPR_MUNIWASTE_24"/>
    <x v="0"/>
    <x v="7"/>
    <n v="173.85783130338501"/>
    <n v="63458.1084257357"/>
    <n v="228449.19033264901"/>
  </r>
  <r>
    <x v="0"/>
    <x v="0"/>
    <x v="0"/>
    <x v="7"/>
    <x v="16"/>
    <s v="SE2_EL"/>
    <x v="4"/>
    <s v="GBPR_MUNIWASTE_24"/>
    <x v="0"/>
    <x v="8"/>
    <n v="173.85783130338501"/>
    <n v="63458.1084257357"/>
    <n v="228449.19033264901"/>
  </r>
  <r>
    <x v="0"/>
    <x v="0"/>
    <x v="0"/>
    <x v="7"/>
    <x v="16"/>
    <s v="SE2_EL"/>
    <x v="4"/>
    <s v="GBPR_MUNIWASTE_24"/>
    <x v="0"/>
    <x v="16"/>
    <n v="173.85783130338501"/>
    <n v="63458.1084257357"/>
    <n v="228449.19033264901"/>
  </r>
  <r>
    <x v="0"/>
    <x v="0"/>
    <x v="0"/>
    <x v="7"/>
    <x v="16"/>
    <s v="SE2_EL"/>
    <x v="4"/>
    <s v="GBPR_MUNIWASTE_24"/>
    <x v="0"/>
    <x v="17"/>
    <n v="173.85783130338501"/>
    <n v="63458.1084257357"/>
    <n v="228449.19033264901"/>
  </r>
  <r>
    <x v="0"/>
    <x v="0"/>
    <x v="0"/>
    <x v="7"/>
    <x v="16"/>
    <s v="SE2_EL"/>
    <x v="4"/>
    <s v="GBPR_MUNIWASTE_24"/>
    <x v="0"/>
    <x v="18"/>
    <n v="173.85783130338501"/>
    <n v="63458.1084257357"/>
    <n v="228449.19033264901"/>
  </r>
  <r>
    <x v="0"/>
    <x v="0"/>
    <x v="0"/>
    <x v="7"/>
    <x v="16"/>
    <s v="SE2_EL"/>
    <x v="4"/>
    <s v="GBPR_MUNIWASTE_24"/>
    <x v="0"/>
    <x v="19"/>
    <n v="173.85783130338501"/>
    <n v="63458.1084257357"/>
    <n v="228449.19033264901"/>
  </r>
  <r>
    <x v="0"/>
    <x v="0"/>
    <x v="0"/>
    <x v="7"/>
    <x v="16"/>
    <s v="SE2_EL"/>
    <x v="4"/>
    <s v="GBPR_MUNIWASTE_24"/>
    <x v="0"/>
    <x v="20"/>
    <n v="173.85783130338501"/>
    <n v="63458.1084257357"/>
    <n v="228449.19033264901"/>
  </r>
  <r>
    <x v="0"/>
    <x v="0"/>
    <x v="0"/>
    <x v="7"/>
    <x v="16"/>
    <s v="SE2_EL"/>
    <x v="4"/>
    <s v="GBPR_MUNIWASTE_24"/>
    <x v="0"/>
    <x v="21"/>
    <n v="173.85783130338501"/>
    <n v="63458.1084257357"/>
    <n v="228449.19033264901"/>
  </r>
  <r>
    <x v="0"/>
    <x v="0"/>
    <x v="0"/>
    <x v="7"/>
    <x v="16"/>
    <s v="SE2_EL"/>
    <x v="4"/>
    <s v="GBPR_MUNIWASTE_24"/>
    <x v="0"/>
    <x v="22"/>
    <n v="173.85783130338501"/>
    <n v="63458.1084257357"/>
    <n v="228449.19033264901"/>
  </r>
  <r>
    <x v="0"/>
    <x v="0"/>
    <x v="0"/>
    <x v="7"/>
    <x v="16"/>
    <s v="SE2_EL"/>
    <x v="2"/>
    <s v="GHOB_WASTEHEAT"/>
    <x v="0"/>
    <x v="9"/>
    <n v="17.284798534798501"/>
    <n v="6308.9514652014404"/>
    <n v="22712.225274725199"/>
  </r>
  <r>
    <x v="0"/>
    <x v="0"/>
    <x v="0"/>
    <x v="7"/>
    <x v="16"/>
    <s v="SE2_EL"/>
    <x v="2"/>
    <s v="GHOB_WASTEHEAT"/>
    <x v="0"/>
    <x v="10"/>
    <n v="17.284798534798501"/>
    <n v="6308.9514652014404"/>
    <n v="22712.225274725199"/>
  </r>
  <r>
    <x v="0"/>
    <x v="0"/>
    <x v="0"/>
    <x v="7"/>
    <x v="16"/>
    <s v="SE2_EL"/>
    <x v="2"/>
    <s v="GHOB_WASTEHEAT"/>
    <x v="0"/>
    <x v="11"/>
    <n v="17.284798534798501"/>
    <n v="6308.9514652014404"/>
    <n v="22712.225274725199"/>
  </r>
  <r>
    <x v="0"/>
    <x v="0"/>
    <x v="0"/>
    <x v="7"/>
    <x v="16"/>
    <s v="SE2_EL"/>
    <x v="2"/>
    <s v="GHOB_WASTEHEAT"/>
    <x v="0"/>
    <x v="12"/>
    <n v="17.284798534798501"/>
    <n v="6308.9514652014404"/>
    <n v="22712.225274725199"/>
  </r>
  <r>
    <x v="0"/>
    <x v="0"/>
    <x v="0"/>
    <x v="7"/>
    <x v="16"/>
    <s v="SE2_EL"/>
    <x v="2"/>
    <s v="GHOB_WASTEHEAT"/>
    <x v="0"/>
    <x v="13"/>
    <n v="17.284798534798501"/>
    <n v="6308.9514652014404"/>
    <n v="22712.225274725199"/>
  </r>
  <r>
    <x v="0"/>
    <x v="0"/>
    <x v="0"/>
    <x v="7"/>
    <x v="16"/>
    <s v="SE2_EL"/>
    <x v="2"/>
    <s v="GHOB_WASTEHEAT"/>
    <x v="0"/>
    <x v="0"/>
    <n v="17.284798534798501"/>
    <n v="6308.9514652014404"/>
    <n v="22712.225274725199"/>
  </r>
  <r>
    <x v="0"/>
    <x v="0"/>
    <x v="0"/>
    <x v="7"/>
    <x v="16"/>
    <s v="SE2_EL"/>
    <x v="2"/>
    <s v="GHOB_WASTEHEAT"/>
    <x v="0"/>
    <x v="14"/>
    <n v="17.284798534798501"/>
    <n v="6308.9514652014404"/>
    <n v="22712.225274725199"/>
  </r>
  <r>
    <x v="0"/>
    <x v="0"/>
    <x v="0"/>
    <x v="7"/>
    <x v="16"/>
    <s v="SE2_EL"/>
    <x v="2"/>
    <s v="GHOB_WASTEHEAT"/>
    <x v="0"/>
    <x v="1"/>
    <n v="17.284798534798501"/>
    <n v="6308.9514652014404"/>
    <n v="22712.225274725199"/>
  </r>
  <r>
    <x v="0"/>
    <x v="0"/>
    <x v="0"/>
    <x v="7"/>
    <x v="16"/>
    <s v="SE2_EL"/>
    <x v="2"/>
    <s v="GHOB_WASTEHEAT"/>
    <x v="0"/>
    <x v="23"/>
    <n v="17.284798534798501"/>
    <n v="6308.9514652014404"/>
    <n v="22712.225274725199"/>
  </r>
  <r>
    <x v="0"/>
    <x v="0"/>
    <x v="0"/>
    <x v="7"/>
    <x v="16"/>
    <s v="SE2_EL"/>
    <x v="2"/>
    <s v="GHOB_WASTEHEAT"/>
    <x v="0"/>
    <x v="2"/>
    <n v="17.284798534798501"/>
    <n v="6308.9514652014404"/>
    <n v="22712.225274725199"/>
  </r>
  <r>
    <x v="0"/>
    <x v="0"/>
    <x v="0"/>
    <x v="7"/>
    <x v="16"/>
    <s v="SE2_EL"/>
    <x v="2"/>
    <s v="GHOB_WASTEHEAT"/>
    <x v="0"/>
    <x v="3"/>
    <n v="17.284798534798501"/>
    <n v="6308.9514652014404"/>
    <n v="22712.225274725199"/>
  </r>
  <r>
    <x v="0"/>
    <x v="0"/>
    <x v="0"/>
    <x v="7"/>
    <x v="16"/>
    <s v="SE2_EL"/>
    <x v="2"/>
    <s v="GHOB_WASTEHEAT"/>
    <x v="0"/>
    <x v="4"/>
    <n v="17.284798534798501"/>
    <n v="6308.9514652014404"/>
    <n v="22712.225274725199"/>
  </r>
  <r>
    <x v="0"/>
    <x v="0"/>
    <x v="0"/>
    <x v="7"/>
    <x v="16"/>
    <s v="SE2_EL"/>
    <x v="2"/>
    <s v="GHOB_WASTEHEAT"/>
    <x v="0"/>
    <x v="5"/>
    <n v="17.284798534798501"/>
    <n v="6308.9514652014404"/>
    <n v="22712.225274725199"/>
  </r>
  <r>
    <x v="0"/>
    <x v="0"/>
    <x v="0"/>
    <x v="7"/>
    <x v="16"/>
    <s v="SE2_EL"/>
    <x v="2"/>
    <s v="GHOB_WASTEHEAT"/>
    <x v="0"/>
    <x v="15"/>
    <n v="17.284798534798501"/>
    <n v="6308.9514652014404"/>
    <n v="22712.225274725199"/>
  </r>
  <r>
    <x v="0"/>
    <x v="0"/>
    <x v="0"/>
    <x v="7"/>
    <x v="16"/>
    <s v="SE2_EL"/>
    <x v="2"/>
    <s v="GHOB_WASTEHEAT"/>
    <x v="0"/>
    <x v="6"/>
    <n v="17.284798534798501"/>
    <n v="6308.9514652014404"/>
    <n v="22712.225274725199"/>
  </r>
  <r>
    <x v="0"/>
    <x v="0"/>
    <x v="0"/>
    <x v="7"/>
    <x v="16"/>
    <s v="SE2_EL"/>
    <x v="2"/>
    <s v="GHOB_WASTEHEAT"/>
    <x v="0"/>
    <x v="7"/>
    <n v="17.284798534798501"/>
    <n v="6308.9514652014404"/>
    <n v="22712.225274725199"/>
  </r>
  <r>
    <x v="0"/>
    <x v="0"/>
    <x v="0"/>
    <x v="7"/>
    <x v="16"/>
    <s v="SE2_EL"/>
    <x v="2"/>
    <s v="GHOB_WASTEHEAT"/>
    <x v="0"/>
    <x v="8"/>
    <n v="17.284798534798501"/>
    <n v="6308.9514652014404"/>
    <n v="22712.225274725199"/>
  </r>
  <r>
    <x v="0"/>
    <x v="0"/>
    <x v="0"/>
    <x v="7"/>
    <x v="16"/>
    <s v="SE2_EL"/>
    <x v="2"/>
    <s v="GHOB_WASTEHEAT"/>
    <x v="0"/>
    <x v="16"/>
    <n v="17.284798534798501"/>
    <n v="6308.9514652014404"/>
    <n v="22712.225274725199"/>
  </r>
  <r>
    <x v="0"/>
    <x v="0"/>
    <x v="0"/>
    <x v="7"/>
    <x v="16"/>
    <s v="SE2_EL"/>
    <x v="2"/>
    <s v="GHOB_WASTEHEAT"/>
    <x v="0"/>
    <x v="17"/>
    <n v="17.284798534798501"/>
    <n v="6308.9514652014404"/>
    <n v="22712.225274725199"/>
  </r>
  <r>
    <x v="0"/>
    <x v="0"/>
    <x v="0"/>
    <x v="7"/>
    <x v="16"/>
    <s v="SE2_EL"/>
    <x v="2"/>
    <s v="GHOB_WASTEHEAT"/>
    <x v="0"/>
    <x v="18"/>
    <n v="17.284798534798501"/>
    <n v="6308.9514652014404"/>
    <n v="22712.225274725199"/>
  </r>
  <r>
    <x v="0"/>
    <x v="0"/>
    <x v="0"/>
    <x v="7"/>
    <x v="16"/>
    <s v="SE2_EL"/>
    <x v="2"/>
    <s v="GHOB_WASTEHEAT"/>
    <x v="0"/>
    <x v="19"/>
    <n v="17.284798534798501"/>
    <n v="6308.9514652014404"/>
    <n v="22712.225274725199"/>
  </r>
  <r>
    <x v="0"/>
    <x v="0"/>
    <x v="0"/>
    <x v="7"/>
    <x v="16"/>
    <s v="SE2_EL"/>
    <x v="2"/>
    <s v="GHOB_WASTEHEAT"/>
    <x v="0"/>
    <x v="20"/>
    <n v="17.284798534798501"/>
    <n v="6308.9514652014404"/>
    <n v="22712.225274725199"/>
  </r>
  <r>
    <x v="0"/>
    <x v="0"/>
    <x v="0"/>
    <x v="7"/>
    <x v="16"/>
    <s v="SE2_EL"/>
    <x v="2"/>
    <s v="GHOB_WASTEHEAT"/>
    <x v="0"/>
    <x v="21"/>
    <n v="17.284798534798501"/>
    <n v="6308.9514652014404"/>
    <n v="22712.225274725199"/>
  </r>
  <r>
    <x v="0"/>
    <x v="0"/>
    <x v="0"/>
    <x v="7"/>
    <x v="16"/>
    <s v="SE2_EL"/>
    <x v="2"/>
    <s v="GHOB_WASTEHEAT"/>
    <x v="0"/>
    <x v="22"/>
    <n v="17.284798534798501"/>
    <n v="6308.9514652014404"/>
    <n v="22712.225274725199"/>
  </r>
  <r>
    <x v="0"/>
    <x v="0"/>
    <x v="0"/>
    <x v="7"/>
    <x v="16"/>
    <s v="SE2_EL"/>
    <x v="8"/>
    <s v="GBPR_WOODWASTE_25"/>
    <x v="0"/>
    <x v="9"/>
    <n v="44.687714535314001"/>
    <n v="16311.015805389599"/>
    <n v="58719.656899402602"/>
  </r>
  <r>
    <x v="0"/>
    <x v="0"/>
    <x v="0"/>
    <x v="7"/>
    <x v="16"/>
    <s v="SE2_EL"/>
    <x v="8"/>
    <s v="GBPR_WOODWASTE_25"/>
    <x v="0"/>
    <x v="10"/>
    <n v="43.979929056043702"/>
    <n v="16052.674105455901"/>
    <n v="57789.626779641403"/>
  </r>
  <r>
    <x v="0"/>
    <x v="0"/>
    <x v="0"/>
    <x v="7"/>
    <x v="16"/>
    <s v="SE2_EL"/>
    <x v="8"/>
    <s v="GBPR_WOODWASTE_25"/>
    <x v="0"/>
    <x v="11"/>
    <n v="47.442136974315297"/>
    <n v="17316.379995625099"/>
    <n v="62338.967984250303"/>
  </r>
  <r>
    <x v="0"/>
    <x v="0"/>
    <x v="0"/>
    <x v="7"/>
    <x v="16"/>
    <s v="SE2_EL"/>
    <x v="8"/>
    <s v="GBPR_WOODWASTE_25"/>
    <x v="0"/>
    <x v="12"/>
    <n v="60.669650774876303"/>
    <n v="22144.422532829802"/>
    <n v="79719.921118187398"/>
  </r>
  <r>
    <x v="0"/>
    <x v="0"/>
    <x v="0"/>
    <x v="7"/>
    <x v="16"/>
    <s v="SE2_EL"/>
    <x v="8"/>
    <s v="GBPR_WOODWASTE_25"/>
    <x v="0"/>
    <x v="13"/>
    <n v="79.087733831335598"/>
    <n v="28867.0228484375"/>
    <n v="103921.28225437499"/>
  </r>
  <r>
    <x v="0"/>
    <x v="0"/>
    <x v="0"/>
    <x v="7"/>
    <x v="16"/>
    <s v="SE2_EL"/>
    <x v="8"/>
    <s v="GBPR_WOODWASTE_25"/>
    <x v="0"/>
    <x v="0"/>
    <n v="93.526107136054904"/>
    <n v="34137.029104660098"/>
    <n v="122893.304776776"/>
  </r>
  <r>
    <x v="0"/>
    <x v="0"/>
    <x v="0"/>
    <x v="7"/>
    <x v="16"/>
    <s v="SE2_EL"/>
    <x v="8"/>
    <s v="GBPR_WOODWASTE_25"/>
    <x v="0"/>
    <x v="14"/>
    <n v="140.71775652345499"/>
    <n v="51361.981131061097"/>
    <n v="184903.13207182"/>
  </r>
  <r>
    <x v="0"/>
    <x v="0"/>
    <x v="0"/>
    <x v="7"/>
    <x v="16"/>
    <s v="SE2_EL"/>
    <x v="8"/>
    <s v="GBPR_WOODWASTE_25"/>
    <x v="0"/>
    <x v="1"/>
    <n v="166.79810192766899"/>
    <n v="60881.307203599099"/>
    <n v="219172.705932957"/>
  </r>
  <r>
    <x v="0"/>
    <x v="0"/>
    <x v="0"/>
    <x v="7"/>
    <x v="16"/>
    <s v="SE2_EL"/>
    <x v="8"/>
    <s v="GBPR_WOODWASTE_25"/>
    <x v="0"/>
    <x v="23"/>
    <n v="162.42228958698499"/>
    <n v="59284.135699249397"/>
    <n v="213422.88851729801"/>
  </r>
  <r>
    <x v="0"/>
    <x v="0"/>
    <x v="0"/>
    <x v="7"/>
    <x v="16"/>
    <s v="SE2_EL"/>
    <x v="8"/>
    <s v="GBPR_WOODWASTE_25"/>
    <x v="0"/>
    <x v="2"/>
    <n v="163.36007576650101"/>
    <n v="59626.427654772699"/>
    <n v="214655.139557182"/>
  </r>
  <r>
    <x v="0"/>
    <x v="0"/>
    <x v="0"/>
    <x v="7"/>
    <x v="16"/>
    <s v="SE2_EL"/>
    <x v="8"/>
    <s v="GBPR_WOODWASTE_25"/>
    <x v="0"/>
    <x v="3"/>
    <n v="147.88066175417899"/>
    <n v="53976.4415402753"/>
    <n v="194315.18954499101"/>
  </r>
  <r>
    <x v="0"/>
    <x v="0"/>
    <x v="0"/>
    <x v="7"/>
    <x v="16"/>
    <s v="SE2_EL"/>
    <x v="8"/>
    <s v="GBPR_WOODWASTE_25"/>
    <x v="0"/>
    <x v="4"/>
    <n v="141.77286954902601"/>
    <n v="51747.097385394503"/>
    <n v="186289.55058742"/>
  </r>
  <r>
    <x v="0"/>
    <x v="0"/>
    <x v="0"/>
    <x v="7"/>
    <x v="16"/>
    <s v="SE2_EL"/>
    <x v="8"/>
    <s v="GBPR_WOODWASTE_25"/>
    <x v="0"/>
    <x v="5"/>
    <n v="140.29670073657499"/>
    <n v="51208.295768850003"/>
    <n v="184349.86476786001"/>
  </r>
  <r>
    <x v="0"/>
    <x v="0"/>
    <x v="0"/>
    <x v="7"/>
    <x v="16"/>
    <s v="SE2_EL"/>
    <x v="8"/>
    <s v="GBPR_WOODWASTE_25"/>
    <x v="0"/>
    <x v="15"/>
    <n v="139.39375944606499"/>
    <n v="50878.722197813702"/>
    <n v="183163.39991212901"/>
  </r>
  <r>
    <x v="0"/>
    <x v="0"/>
    <x v="0"/>
    <x v="7"/>
    <x v="16"/>
    <s v="SE2_EL"/>
    <x v="8"/>
    <s v="GBPR_WOODWASTE_25"/>
    <x v="0"/>
    <x v="6"/>
    <n v="136.25094960008499"/>
    <n v="49731.596604031001"/>
    <n v="179033.74777451201"/>
  </r>
  <r>
    <x v="0"/>
    <x v="0"/>
    <x v="0"/>
    <x v="7"/>
    <x v="16"/>
    <s v="SE2_EL"/>
    <x v="8"/>
    <s v="GBPR_WOODWASTE_25"/>
    <x v="0"/>
    <x v="7"/>
    <n v="141.71657708545399"/>
    <n v="51726.550636190601"/>
    <n v="186215.58229028599"/>
  </r>
  <r>
    <x v="0"/>
    <x v="0"/>
    <x v="0"/>
    <x v="7"/>
    <x v="16"/>
    <s v="SE2_EL"/>
    <x v="8"/>
    <s v="GBPR_WOODWASTE_25"/>
    <x v="0"/>
    <x v="8"/>
    <n v="112.640704444291"/>
    <n v="41113.857122166199"/>
    <n v="148009.88563979801"/>
  </r>
  <r>
    <x v="0"/>
    <x v="0"/>
    <x v="0"/>
    <x v="7"/>
    <x v="16"/>
    <s v="SE2_EL"/>
    <x v="8"/>
    <s v="GBPR_WOODWASTE_25"/>
    <x v="0"/>
    <x v="16"/>
    <n v="96.449522986982402"/>
    <n v="35204.075890248598"/>
    <n v="126734.67320489501"/>
  </r>
  <r>
    <x v="0"/>
    <x v="0"/>
    <x v="0"/>
    <x v="7"/>
    <x v="16"/>
    <s v="SE2_EL"/>
    <x v="8"/>
    <s v="GBPR_WOODWASTE_25"/>
    <x v="0"/>
    <x v="17"/>
    <n v="85.230350620735805"/>
    <n v="31109.077976568598"/>
    <n v="111992.680715647"/>
  </r>
  <r>
    <x v="0"/>
    <x v="0"/>
    <x v="0"/>
    <x v="7"/>
    <x v="16"/>
    <s v="SE2_EL"/>
    <x v="8"/>
    <s v="GBPR_WOODWASTE_25"/>
    <x v="0"/>
    <x v="18"/>
    <n v="72.577332406289798"/>
    <n v="26490.726328295801"/>
    <n v="95366.614781864802"/>
  </r>
  <r>
    <x v="0"/>
    <x v="0"/>
    <x v="0"/>
    <x v="7"/>
    <x v="16"/>
    <s v="SE2_EL"/>
    <x v="8"/>
    <s v="GBPR_WOODWASTE_25"/>
    <x v="0"/>
    <x v="19"/>
    <n v="61.531839562430399"/>
    <n v="22459.121440287101"/>
    <n v="80852.837185033597"/>
  </r>
  <r>
    <x v="0"/>
    <x v="0"/>
    <x v="0"/>
    <x v="7"/>
    <x v="16"/>
    <s v="SE2_EL"/>
    <x v="8"/>
    <s v="GBPR_WOODWASTE_25"/>
    <x v="0"/>
    <x v="20"/>
    <n v="54.247985710525498"/>
    <n v="19800.514784341802"/>
    <n v="71281.853223630504"/>
  </r>
  <r>
    <x v="0"/>
    <x v="0"/>
    <x v="0"/>
    <x v="7"/>
    <x v="16"/>
    <s v="SE2_EL"/>
    <x v="8"/>
    <s v="GBPR_WOODWASTE_25"/>
    <x v="0"/>
    <x v="21"/>
    <n v="39.591771301592999"/>
    <n v="14450.9965250814"/>
    <n v="52023.587490293197"/>
  </r>
  <r>
    <x v="0"/>
    <x v="0"/>
    <x v="0"/>
    <x v="7"/>
    <x v="16"/>
    <s v="SE2_EL"/>
    <x v="8"/>
    <s v="GBPR_WOODWASTE_25"/>
    <x v="0"/>
    <x v="22"/>
    <n v="20.920800922967501"/>
    <n v="7636.09233688312"/>
    <n v="27489.932412779199"/>
  </r>
  <r>
    <x v="0"/>
    <x v="0"/>
    <x v="0"/>
    <x v="7"/>
    <x v="16"/>
    <s v="SE2_OTHER"/>
    <x v="4"/>
    <s v="GBPR_MUNIWASTE_24"/>
    <x v="0"/>
    <x v="9"/>
    <n v="13.1783135275753"/>
    <n v="4810.0844375650004"/>
    <n v="17316.303975234001"/>
  </r>
  <r>
    <x v="0"/>
    <x v="0"/>
    <x v="0"/>
    <x v="7"/>
    <x v="16"/>
    <s v="SE2_OTHER"/>
    <x v="4"/>
    <s v="GBPR_MUNIWASTE_24"/>
    <x v="0"/>
    <x v="10"/>
    <n v="13.1783135275753"/>
    <n v="4810.0844375650004"/>
    <n v="17316.303975234001"/>
  </r>
  <r>
    <x v="0"/>
    <x v="0"/>
    <x v="0"/>
    <x v="7"/>
    <x v="16"/>
    <s v="SE2_OTHER"/>
    <x v="4"/>
    <s v="GBPR_MUNIWASTE_24"/>
    <x v="0"/>
    <x v="11"/>
    <n v="13.1783135275753"/>
    <n v="4810.0844375650004"/>
    <n v="17316.303975234001"/>
  </r>
  <r>
    <x v="0"/>
    <x v="0"/>
    <x v="0"/>
    <x v="7"/>
    <x v="16"/>
    <s v="SE2_OTHER"/>
    <x v="4"/>
    <s v="GBPR_MUNIWASTE_24"/>
    <x v="0"/>
    <x v="12"/>
    <n v="13.1783135275753"/>
    <n v="4810.0844375650004"/>
    <n v="17316.303975234001"/>
  </r>
  <r>
    <x v="0"/>
    <x v="0"/>
    <x v="0"/>
    <x v="7"/>
    <x v="16"/>
    <s v="SE2_OTHER"/>
    <x v="4"/>
    <s v="GBPR_MUNIWASTE_24"/>
    <x v="0"/>
    <x v="13"/>
    <n v="13.1783135275753"/>
    <n v="4810.0844375650004"/>
    <n v="17316.303975234001"/>
  </r>
  <r>
    <x v="0"/>
    <x v="0"/>
    <x v="0"/>
    <x v="7"/>
    <x v="16"/>
    <s v="SE2_OTHER"/>
    <x v="4"/>
    <s v="GBPR_MUNIWASTE_24"/>
    <x v="0"/>
    <x v="0"/>
    <n v="13.1783135275753"/>
    <n v="4810.0844375650004"/>
    <n v="17316.303975234001"/>
  </r>
  <r>
    <x v="0"/>
    <x v="0"/>
    <x v="0"/>
    <x v="7"/>
    <x v="16"/>
    <s v="SE2_OTHER"/>
    <x v="4"/>
    <s v="GBPR_MUNIWASTE_24"/>
    <x v="0"/>
    <x v="14"/>
    <n v="13.1783135275753"/>
    <n v="4810.0844375650004"/>
    <n v="17316.303975234001"/>
  </r>
  <r>
    <x v="0"/>
    <x v="0"/>
    <x v="0"/>
    <x v="7"/>
    <x v="16"/>
    <s v="SE2_OTHER"/>
    <x v="4"/>
    <s v="GBPR_MUNIWASTE_24"/>
    <x v="0"/>
    <x v="1"/>
    <n v="13.1783135275753"/>
    <n v="4810.0844375650004"/>
    <n v="17316.303975234001"/>
  </r>
  <r>
    <x v="0"/>
    <x v="0"/>
    <x v="0"/>
    <x v="7"/>
    <x v="16"/>
    <s v="SE2_OTHER"/>
    <x v="4"/>
    <s v="GBPR_MUNIWASTE_24"/>
    <x v="0"/>
    <x v="23"/>
    <n v="13.1783135275753"/>
    <n v="4810.0844375650004"/>
    <n v="17316.303975234001"/>
  </r>
  <r>
    <x v="0"/>
    <x v="0"/>
    <x v="0"/>
    <x v="7"/>
    <x v="16"/>
    <s v="SE2_OTHER"/>
    <x v="4"/>
    <s v="GBPR_MUNIWASTE_24"/>
    <x v="0"/>
    <x v="2"/>
    <n v="13.1783135275753"/>
    <n v="4810.0844375650004"/>
    <n v="17316.303975234001"/>
  </r>
  <r>
    <x v="0"/>
    <x v="0"/>
    <x v="0"/>
    <x v="7"/>
    <x v="16"/>
    <s v="SE2_OTHER"/>
    <x v="4"/>
    <s v="GBPR_MUNIWASTE_24"/>
    <x v="0"/>
    <x v="3"/>
    <n v="13.1783135275753"/>
    <n v="4810.0844375650004"/>
    <n v="17316.303975234001"/>
  </r>
  <r>
    <x v="0"/>
    <x v="0"/>
    <x v="0"/>
    <x v="7"/>
    <x v="16"/>
    <s v="SE2_OTHER"/>
    <x v="4"/>
    <s v="GBPR_MUNIWASTE_24"/>
    <x v="0"/>
    <x v="4"/>
    <n v="13.1783135275753"/>
    <n v="4810.0844375650004"/>
    <n v="17316.303975234001"/>
  </r>
  <r>
    <x v="0"/>
    <x v="0"/>
    <x v="0"/>
    <x v="7"/>
    <x v="16"/>
    <s v="SE2_OTHER"/>
    <x v="4"/>
    <s v="GBPR_MUNIWASTE_24"/>
    <x v="0"/>
    <x v="5"/>
    <n v="13.1783135275753"/>
    <n v="4810.0844375650004"/>
    <n v="17316.303975234001"/>
  </r>
  <r>
    <x v="0"/>
    <x v="0"/>
    <x v="0"/>
    <x v="7"/>
    <x v="16"/>
    <s v="SE2_OTHER"/>
    <x v="4"/>
    <s v="GBPR_MUNIWASTE_24"/>
    <x v="0"/>
    <x v="15"/>
    <n v="13.1783135275753"/>
    <n v="4810.0844375650004"/>
    <n v="17316.303975234001"/>
  </r>
  <r>
    <x v="0"/>
    <x v="0"/>
    <x v="0"/>
    <x v="7"/>
    <x v="16"/>
    <s v="SE2_OTHER"/>
    <x v="4"/>
    <s v="GBPR_MUNIWASTE_24"/>
    <x v="0"/>
    <x v="6"/>
    <n v="13.1783135275753"/>
    <n v="4810.0844375650004"/>
    <n v="17316.303975234001"/>
  </r>
  <r>
    <x v="0"/>
    <x v="0"/>
    <x v="0"/>
    <x v="7"/>
    <x v="16"/>
    <s v="SE2_OTHER"/>
    <x v="4"/>
    <s v="GBPR_MUNIWASTE_24"/>
    <x v="0"/>
    <x v="7"/>
    <n v="13.1783135275753"/>
    <n v="4810.0844375650004"/>
    <n v="17316.303975234001"/>
  </r>
  <r>
    <x v="0"/>
    <x v="0"/>
    <x v="0"/>
    <x v="7"/>
    <x v="16"/>
    <s v="SE2_OTHER"/>
    <x v="4"/>
    <s v="GBPR_MUNIWASTE_24"/>
    <x v="0"/>
    <x v="8"/>
    <n v="13.1783135275753"/>
    <n v="4810.0844375650004"/>
    <n v="17316.303975234001"/>
  </r>
  <r>
    <x v="0"/>
    <x v="0"/>
    <x v="0"/>
    <x v="7"/>
    <x v="16"/>
    <s v="SE2_OTHER"/>
    <x v="4"/>
    <s v="GBPR_MUNIWASTE_24"/>
    <x v="0"/>
    <x v="16"/>
    <n v="13.1783135275753"/>
    <n v="4810.0844375650004"/>
    <n v="17316.303975234001"/>
  </r>
  <r>
    <x v="0"/>
    <x v="0"/>
    <x v="0"/>
    <x v="7"/>
    <x v="16"/>
    <s v="SE2_OTHER"/>
    <x v="4"/>
    <s v="GBPR_MUNIWASTE_24"/>
    <x v="0"/>
    <x v="17"/>
    <n v="13.1783135275753"/>
    <n v="4810.0844375650004"/>
    <n v="17316.303975234001"/>
  </r>
  <r>
    <x v="0"/>
    <x v="0"/>
    <x v="0"/>
    <x v="7"/>
    <x v="16"/>
    <s v="SE2_OTHER"/>
    <x v="4"/>
    <s v="GBPR_MUNIWASTE_24"/>
    <x v="0"/>
    <x v="18"/>
    <n v="13.1783135275753"/>
    <n v="4810.0844375650004"/>
    <n v="17316.303975234001"/>
  </r>
  <r>
    <x v="0"/>
    <x v="0"/>
    <x v="0"/>
    <x v="7"/>
    <x v="16"/>
    <s v="SE2_OTHER"/>
    <x v="4"/>
    <s v="GBPR_MUNIWASTE_24"/>
    <x v="0"/>
    <x v="19"/>
    <n v="13.1783135275753"/>
    <n v="4810.0844375650004"/>
    <n v="17316.303975234001"/>
  </r>
  <r>
    <x v="0"/>
    <x v="0"/>
    <x v="0"/>
    <x v="7"/>
    <x v="16"/>
    <s v="SE2_OTHER"/>
    <x v="4"/>
    <s v="GBPR_MUNIWASTE_24"/>
    <x v="0"/>
    <x v="20"/>
    <n v="13.1783135275753"/>
    <n v="4810.0844375650004"/>
    <n v="17316.303975234001"/>
  </r>
  <r>
    <x v="0"/>
    <x v="0"/>
    <x v="0"/>
    <x v="7"/>
    <x v="16"/>
    <s v="SE2_OTHER"/>
    <x v="4"/>
    <s v="GBPR_MUNIWASTE_24"/>
    <x v="0"/>
    <x v="21"/>
    <n v="13.1783135275753"/>
    <n v="4810.0844375650004"/>
    <n v="17316.303975234001"/>
  </r>
  <r>
    <x v="0"/>
    <x v="0"/>
    <x v="0"/>
    <x v="7"/>
    <x v="16"/>
    <s v="SE2_OTHER"/>
    <x v="4"/>
    <s v="GBPR_MUNIWASTE_24"/>
    <x v="0"/>
    <x v="22"/>
    <n v="13.1783135275753"/>
    <n v="4810.0844375650004"/>
    <n v="17316.303975234001"/>
  </r>
  <r>
    <x v="0"/>
    <x v="0"/>
    <x v="0"/>
    <x v="7"/>
    <x v="16"/>
    <s v="SE2_OTHER"/>
    <x v="2"/>
    <s v="GHOB_WASTEHEAT"/>
    <x v="0"/>
    <x v="9"/>
    <n v="16.031295787545702"/>
    <n v="5851.4229624541904"/>
    <n v="21065.1226648351"/>
  </r>
  <r>
    <x v="0"/>
    <x v="0"/>
    <x v="0"/>
    <x v="7"/>
    <x v="16"/>
    <s v="SE2_OTHER"/>
    <x v="2"/>
    <s v="GHOB_WASTEHEAT"/>
    <x v="0"/>
    <x v="10"/>
    <n v="16.031295787545702"/>
    <n v="5851.4229624541904"/>
    <n v="21065.1226648351"/>
  </r>
  <r>
    <x v="0"/>
    <x v="0"/>
    <x v="0"/>
    <x v="7"/>
    <x v="16"/>
    <s v="SE2_OTHER"/>
    <x v="2"/>
    <s v="GHOB_WASTEHEAT"/>
    <x v="0"/>
    <x v="11"/>
    <n v="16.031295787545702"/>
    <n v="5851.4229624541904"/>
    <n v="21065.1226648351"/>
  </r>
  <r>
    <x v="0"/>
    <x v="0"/>
    <x v="0"/>
    <x v="7"/>
    <x v="16"/>
    <s v="SE2_OTHER"/>
    <x v="2"/>
    <s v="GHOB_WASTEHEAT"/>
    <x v="0"/>
    <x v="12"/>
    <n v="16.031295787545702"/>
    <n v="5851.4229624541904"/>
    <n v="21065.1226648351"/>
  </r>
  <r>
    <x v="0"/>
    <x v="0"/>
    <x v="0"/>
    <x v="7"/>
    <x v="16"/>
    <s v="SE2_OTHER"/>
    <x v="2"/>
    <s v="GHOB_WASTEHEAT"/>
    <x v="0"/>
    <x v="13"/>
    <n v="16.031295787545702"/>
    <n v="5851.4229624541904"/>
    <n v="21065.1226648351"/>
  </r>
  <r>
    <x v="0"/>
    <x v="0"/>
    <x v="0"/>
    <x v="7"/>
    <x v="16"/>
    <s v="SE2_OTHER"/>
    <x v="2"/>
    <s v="GHOB_WASTEHEAT"/>
    <x v="0"/>
    <x v="0"/>
    <n v="16.031295787545702"/>
    <n v="5851.4229624541904"/>
    <n v="21065.1226648351"/>
  </r>
  <r>
    <x v="0"/>
    <x v="0"/>
    <x v="0"/>
    <x v="7"/>
    <x v="16"/>
    <s v="SE2_OTHER"/>
    <x v="2"/>
    <s v="GHOB_WASTEHEAT"/>
    <x v="0"/>
    <x v="14"/>
    <n v="16.031295787545702"/>
    <n v="5851.4229624541904"/>
    <n v="21065.1226648351"/>
  </r>
  <r>
    <x v="0"/>
    <x v="0"/>
    <x v="0"/>
    <x v="7"/>
    <x v="16"/>
    <s v="SE2_OTHER"/>
    <x v="2"/>
    <s v="GHOB_WASTEHEAT"/>
    <x v="0"/>
    <x v="1"/>
    <n v="16.031295787545702"/>
    <n v="5851.4229624541904"/>
    <n v="21065.1226648351"/>
  </r>
  <r>
    <x v="0"/>
    <x v="0"/>
    <x v="0"/>
    <x v="7"/>
    <x v="16"/>
    <s v="SE2_OTHER"/>
    <x v="2"/>
    <s v="GHOB_WASTEHEAT"/>
    <x v="0"/>
    <x v="23"/>
    <n v="16.031295787545702"/>
    <n v="5851.4229624541904"/>
    <n v="21065.1226648351"/>
  </r>
  <r>
    <x v="0"/>
    <x v="0"/>
    <x v="0"/>
    <x v="7"/>
    <x v="16"/>
    <s v="SE2_OTHER"/>
    <x v="2"/>
    <s v="GHOB_WASTEHEAT"/>
    <x v="0"/>
    <x v="2"/>
    <n v="16.031295787545702"/>
    <n v="5851.4229624541904"/>
    <n v="21065.1226648351"/>
  </r>
  <r>
    <x v="0"/>
    <x v="0"/>
    <x v="0"/>
    <x v="7"/>
    <x v="16"/>
    <s v="SE2_OTHER"/>
    <x v="2"/>
    <s v="GHOB_WASTEHEAT"/>
    <x v="0"/>
    <x v="3"/>
    <n v="16.031295787545702"/>
    <n v="5851.4229624541904"/>
    <n v="21065.1226648351"/>
  </r>
  <r>
    <x v="0"/>
    <x v="0"/>
    <x v="0"/>
    <x v="7"/>
    <x v="16"/>
    <s v="SE2_OTHER"/>
    <x v="2"/>
    <s v="GHOB_WASTEHEAT"/>
    <x v="0"/>
    <x v="4"/>
    <n v="16.031295787545702"/>
    <n v="5851.4229624541904"/>
    <n v="21065.1226648351"/>
  </r>
  <r>
    <x v="0"/>
    <x v="0"/>
    <x v="0"/>
    <x v="7"/>
    <x v="16"/>
    <s v="SE2_OTHER"/>
    <x v="2"/>
    <s v="GHOB_WASTEHEAT"/>
    <x v="0"/>
    <x v="5"/>
    <n v="16.031295787545702"/>
    <n v="5851.4229624541904"/>
    <n v="21065.1226648351"/>
  </r>
  <r>
    <x v="0"/>
    <x v="0"/>
    <x v="0"/>
    <x v="7"/>
    <x v="16"/>
    <s v="SE2_OTHER"/>
    <x v="2"/>
    <s v="GHOB_WASTEHEAT"/>
    <x v="0"/>
    <x v="15"/>
    <n v="16.031295787545702"/>
    <n v="5851.4229624541904"/>
    <n v="21065.1226648351"/>
  </r>
  <r>
    <x v="0"/>
    <x v="0"/>
    <x v="0"/>
    <x v="7"/>
    <x v="16"/>
    <s v="SE2_OTHER"/>
    <x v="2"/>
    <s v="GHOB_WASTEHEAT"/>
    <x v="0"/>
    <x v="6"/>
    <n v="16.031295787545702"/>
    <n v="5851.4229624541904"/>
    <n v="21065.1226648351"/>
  </r>
  <r>
    <x v="0"/>
    <x v="0"/>
    <x v="0"/>
    <x v="7"/>
    <x v="16"/>
    <s v="SE2_OTHER"/>
    <x v="2"/>
    <s v="GHOB_WASTEHEAT"/>
    <x v="0"/>
    <x v="7"/>
    <n v="16.031295787545702"/>
    <n v="5851.4229624541904"/>
    <n v="21065.1226648351"/>
  </r>
  <r>
    <x v="0"/>
    <x v="0"/>
    <x v="0"/>
    <x v="7"/>
    <x v="16"/>
    <s v="SE2_OTHER"/>
    <x v="2"/>
    <s v="GHOB_WASTEHEAT"/>
    <x v="0"/>
    <x v="8"/>
    <n v="16.031295787545702"/>
    <n v="5851.4229624541904"/>
    <n v="21065.1226648351"/>
  </r>
  <r>
    <x v="0"/>
    <x v="0"/>
    <x v="0"/>
    <x v="7"/>
    <x v="16"/>
    <s v="SE2_OTHER"/>
    <x v="2"/>
    <s v="GHOB_WASTEHEAT"/>
    <x v="0"/>
    <x v="16"/>
    <n v="16.031295787545702"/>
    <n v="5851.4229624541904"/>
    <n v="21065.1226648351"/>
  </r>
  <r>
    <x v="0"/>
    <x v="0"/>
    <x v="0"/>
    <x v="7"/>
    <x v="16"/>
    <s v="SE2_OTHER"/>
    <x v="2"/>
    <s v="GHOB_WASTEHEAT"/>
    <x v="0"/>
    <x v="17"/>
    <n v="16.031295787545702"/>
    <n v="5851.4229624541904"/>
    <n v="21065.1226648351"/>
  </r>
  <r>
    <x v="0"/>
    <x v="0"/>
    <x v="0"/>
    <x v="7"/>
    <x v="16"/>
    <s v="SE2_OTHER"/>
    <x v="2"/>
    <s v="GHOB_WASTEHEAT"/>
    <x v="0"/>
    <x v="18"/>
    <n v="16.031295787545702"/>
    <n v="5851.4229624541904"/>
    <n v="21065.1226648351"/>
  </r>
  <r>
    <x v="0"/>
    <x v="0"/>
    <x v="0"/>
    <x v="7"/>
    <x v="16"/>
    <s v="SE2_OTHER"/>
    <x v="2"/>
    <s v="GHOB_WASTEHEAT"/>
    <x v="0"/>
    <x v="19"/>
    <n v="16.031295787545702"/>
    <n v="5851.4229624541904"/>
    <n v="21065.1226648351"/>
  </r>
  <r>
    <x v="0"/>
    <x v="0"/>
    <x v="0"/>
    <x v="7"/>
    <x v="16"/>
    <s v="SE2_OTHER"/>
    <x v="2"/>
    <s v="GHOB_WASTEHEAT"/>
    <x v="0"/>
    <x v="20"/>
    <n v="16.031295787545702"/>
    <n v="5851.4229624541904"/>
    <n v="21065.1226648351"/>
  </r>
  <r>
    <x v="0"/>
    <x v="0"/>
    <x v="0"/>
    <x v="7"/>
    <x v="16"/>
    <s v="SE2_OTHER"/>
    <x v="2"/>
    <s v="GHOB_WASTEHEAT"/>
    <x v="0"/>
    <x v="21"/>
    <n v="16.031295787545702"/>
    <n v="5851.4229624541904"/>
    <n v="21065.1226648351"/>
  </r>
  <r>
    <x v="0"/>
    <x v="0"/>
    <x v="0"/>
    <x v="7"/>
    <x v="16"/>
    <s v="SE2_OTHER"/>
    <x v="2"/>
    <s v="GHOB_WASTEHEAT"/>
    <x v="0"/>
    <x v="22"/>
    <n v="16.031295787545702"/>
    <n v="5851.4229624541904"/>
    <n v="21065.1226648351"/>
  </r>
  <r>
    <x v="0"/>
    <x v="0"/>
    <x v="0"/>
    <x v="7"/>
    <x v="16"/>
    <s v="SE2_OTHER"/>
    <x v="8"/>
    <s v="GBPR_WOODWASTE_36"/>
    <x v="0"/>
    <x v="9"/>
    <n v="121.046998448051"/>
    <n v="44182.154433538599"/>
    <n v="159055.75596073901"/>
  </r>
  <r>
    <x v="0"/>
    <x v="0"/>
    <x v="0"/>
    <x v="7"/>
    <x v="16"/>
    <s v="SE2_OTHER"/>
    <x v="8"/>
    <s v="GBPR_WOODWASTE_36"/>
    <x v="0"/>
    <x v="10"/>
    <n v="121.046998448051"/>
    <n v="44182.154433538599"/>
    <n v="159055.75596073901"/>
  </r>
  <r>
    <x v="0"/>
    <x v="0"/>
    <x v="0"/>
    <x v="7"/>
    <x v="16"/>
    <s v="SE2_OTHER"/>
    <x v="8"/>
    <s v="GBPR_WOODWASTE_36"/>
    <x v="0"/>
    <x v="11"/>
    <n v="121.046998448051"/>
    <n v="44182.154433538599"/>
    <n v="159055.75596073901"/>
  </r>
  <r>
    <x v="0"/>
    <x v="0"/>
    <x v="0"/>
    <x v="7"/>
    <x v="16"/>
    <s v="SE2_OTHER"/>
    <x v="8"/>
    <s v="GBPR_WOODWASTE_36"/>
    <x v="0"/>
    <x v="12"/>
    <n v="121.046998448051"/>
    <n v="44182.154433538599"/>
    <n v="159055.75596073901"/>
  </r>
  <r>
    <x v="0"/>
    <x v="0"/>
    <x v="0"/>
    <x v="7"/>
    <x v="16"/>
    <s v="SE2_OTHER"/>
    <x v="8"/>
    <s v="GBPR_WOODWASTE_36"/>
    <x v="0"/>
    <x v="13"/>
    <n v="121.046998448051"/>
    <n v="44182.154433538599"/>
    <n v="159055.75596073901"/>
  </r>
  <r>
    <x v="0"/>
    <x v="0"/>
    <x v="0"/>
    <x v="7"/>
    <x v="16"/>
    <s v="SE2_OTHER"/>
    <x v="8"/>
    <s v="GBPR_WOODWASTE_36"/>
    <x v="0"/>
    <x v="0"/>
    <n v="121.046998448051"/>
    <n v="44182.154433538599"/>
    <n v="159055.75596073901"/>
  </r>
  <r>
    <x v="0"/>
    <x v="0"/>
    <x v="0"/>
    <x v="7"/>
    <x v="16"/>
    <s v="SE2_OTHER"/>
    <x v="8"/>
    <s v="GBPR_WOODWASTE_36"/>
    <x v="0"/>
    <x v="14"/>
    <n v="121.046998448051"/>
    <n v="44182.154433538599"/>
    <n v="159055.75596073901"/>
  </r>
  <r>
    <x v="0"/>
    <x v="0"/>
    <x v="0"/>
    <x v="7"/>
    <x v="16"/>
    <s v="SE2_OTHER"/>
    <x v="8"/>
    <s v="GBPR_WOODWASTE_36"/>
    <x v="0"/>
    <x v="1"/>
    <n v="121.046998448051"/>
    <n v="44182.154433538599"/>
    <n v="159055.75596073901"/>
  </r>
  <r>
    <x v="0"/>
    <x v="0"/>
    <x v="0"/>
    <x v="7"/>
    <x v="16"/>
    <s v="SE2_OTHER"/>
    <x v="8"/>
    <s v="GBPR_WOODWASTE_36"/>
    <x v="0"/>
    <x v="23"/>
    <n v="121.046998448051"/>
    <n v="44182.154433538599"/>
    <n v="159055.75596073901"/>
  </r>
  <r>
    <x v="0"/>
    <x v="0"/>
    <x v="0"/>
    <x v="7"/>
    <x v="16"/>
    <s v="SE2_OTHER"/>
    <x v="8"/>
    <s v="GBPR_WOODWASTE_36"/>
    <x v="0"/>
    <x v="2"/>
    <n v="121.046998448051"/>
    <n v="44182.154433538599"/>
    <n v="159055.75596073901"/>
  </r>
  <r>
    <x v="0"/>
    <x v="0"/>
    <x v="0"/>
    <x v="7"/>
    <x v="16"/>
    <s v="SE2_OTHER"/>
    <x v="8"/>
    <s v="GBPR_WOODWASTE_36"/>
    <x v="0"/>
    <x v="3"/>
    <n v="121.046998448051"/>
    <n v="44182.154433538599"/>
    <n v="159055.75596073901"/>
  </r>
  <r>
    <x v="0"/>
    <x v="0"/>
    <x v="0"/>
    <x v="7"/>
    <x v="16"/>
    <s v="SE2_OTHER"/>
    <x v="8"/>
    <s v="GBPR_WOODWASTE_36"/>
    <x v="0"/>
    <x v="4"/>
    <n v="121.046998448051"/>
    <n v="44182.154433538599"/>
    <n v="159055.75596073901"/>
  </r>
  <r>
    <x v="0"/>
    <x v="0"/>
    <x v="0"/>
    <x v="7"/>
    <x v="16"/>
    <s v="SE2_OTHER"/>
    <x v="8"/>
    <s v="GBPR_WOODWASTE_36"/>
    <x v="0"/>
    <x v="5"/>
    <n v="121.046998448051"/>
    <n v="44182.154433538599"/>
    <n v="159055.75596073901"/>
  </r>
  <r>
    <x v="0"/>
    <x v="0"/>
    <x v="0"/>
    <x v="7"/>
    <x v="16"/>
    <s v="SE2_OTHER"/>
    <x v="8"/>
    <s v="GBPR_WOODWASTE_36"/>
    <x v="0"/>
    <x v="15"/>
    <n v="121.046998448051"/>
    <n v="44182.154433538599"/>
    <n v="159055.75596073901"/>
  </r>
  <r>
    <x v="0"/>
    <x v="0"/>
    <x v="0"/>
    <x v="7"/>
    <x v="16"/>
    <s v="SE2_OTHER"/>
    <x v="8"/>
    <s v="GBPR_WOODWASTE_36"/>
    <x v="0"/>
    <x v="6"/>
    <n v="121.046998448051"/>
    <n v="44182.154433538599"/>
    <n v="159055.75596073901"/>
  </r>
  <r>
    <x v="0"/>
    <x v="0"/>
    <x v="0"/>
    <x v="7"/>
    <x v="16"/>
    <s v="SE2_OTHER"/>
    <x v="8"/>
    <s v="GBPR_WOODWASTE_36"/>
    <x v="0"/>
    <x v="7"/>
    <n v="121.046998448051"/>
    <n v="44182.154433538599"/>
    <n v="159055.75596073901"/>
  </r>
  <r>
    <x v="0"/>
    <x v="0"/>
    <x v="0"/>
    <x v="7"/>
    <x v="16"/>
    <s v="SE2_OTHER"/>
    <x v="8"/>
    <s v="GBPR_WOODWASTE_36"/>
    <x v="0"/>
    <x v="8"/>
    <n v="121.046998448051"/>
    <n v="44182.154433538599"/>
    <n v="159055.75596073901"/>
  </r>
  <r>
    <x v="0"/>
    <x v="0"/>
    <x v="0"/>
    <x v="7"/>
    <x v="16"/>
    <s v="SE2_OTHER"/>
    <x v="8"/>
    <s v="GBPR_WOODWASTE_36"/>
    <x v="0"/>
    <x v="16"/>
    <n v="121.046998448051"/>
    <n v="44182.154433538599"/>
    <n v="159055.75596073901"/>
  </r>
  <r>
    <x v="0"/>
    <x v="0"/>
    <x v="0"/>
    <x v="7"/>
    <x v="16"/>
    <s v="SE2_OTHER"/>
    <x v="8"/>
    <s v="GBPR_WOODWASTE_36"/>
    <x v="0"/>
    <x v="17"/>
    <n v="121.046998448051"/>
    <n v="44182.154433538599"/>
    <n v="159055.75596073901"/>
  </r>
  <r>
    <x v="0"/>
    <x v="0"/>
    <x v="0"/>
    <x v="7"/>
    <x v="16"/>
    <s v="SE2_OTHER"/>
    <x v="8"/>
    <s v="GBPR_WOODWASTE_36"/>
    <x v="0"/>
    <x v="18"/>
    <n v="121.046998448051"/>
    <n v="44182.154433538599"/>
    <n v="159055.75596073901"/>
  </r>
  <r>
    <x v="0"/>
    <x v="0"/>
    <x v="0"/>
    <x v="7"/>
    <x v="16"/>
    <s v="SE2_OTHER"/>
    <x v="8"/>
    <s v="GBPR_WOODWASTE_36"/>
    <x v="0"/>
    <x v="19"/>
    <n v="121.046998448051"/>
    <n v="44182.154433538599"/>
    <n v="159055.75596073901"/>
  </r>
  <r>
    <x v="0"/>
    <x v="0"/>
    <x v="0"/>
    <x v="7"/>
    <x v="16"/>
    <s v="SE2_OTHER"/>
    <x v="8"/>
    <s v="GBPR_WOODWASTE_36"/>
    <x v="0"/>
    <x v="20"/>
    <n v="121.046998448051"/>
    <n v="44182.154433538599"/>
    <n v="159055.75596073901"/>
  </r>
  <r>
    <x v="0"/>
    <x v="0"/>
    <x v="0"/>
    <x v="7"/>
    <x v="16"/>
    <s v="SE2_OTHER"/>
    <x v="8"/>
    <s v="GBPR_WOODWASTE_36"/>
    <x v="0"/>
    <x v="21"/>
    <n v="121.046998448051"/>
    <n v="44182.154433538599"/>
    <n v="159055.75596073901"/>
  </r>
  <r>
    <x v="0"/>
    <x v="0"/>
    <x v="0"/>
    <x v="7"/>
    <x v="16"/>
    <s v="SE2_OTHER"/>
    <x v="8"/>
    <s v="GBPR_WOODWASTE_36"/>
    <x v="0"/>
    <x v="22"/>
    <n v="121.046998448051"/>
    <n v="44182.154433538599"/>
    <n v="159055.75596073901"/>
  </r>
  <r>
    <x v="0"/>
    <x v="0"/>
    <x v="0"/>
    <x v="7"/>
    <x v="16"/>
    <s v="SE2_OTHER"/>
    <x v="8"/>
    <s v="GHOB_WOODWASTE"/>
    <x v="0"/>
    <x v="9"/>
    <n v="13.3390631853126"/>
    <n v="4868.7580626391"/>
    <n v="17527.5290255008"/>
  </r>
  <r>
    <x v="0"/>
    <x v="0"/>
    <x v="0"/>
    <x v="7"/>
    <x v="16"/>
    <s v="SE2_OTHER"/>
    <x v="8"/>
    <s v="GHOB_WOODWASTE"/>
    <x v="0"/>
    <x v="10"/>
    <n v="11.8632617935149"/>
    <n v="4330.0905546329504"/>
    <n v="15588.325996678601"/>
  </r>
  <r>
    <x v="0"/>
    <x v="0"/>
    <x v="0"/>
    <x v="7"/>
    <x v="16"/>
    <s v="SE2_OTHER"/>
    <x v="8"/>
    <s v="GHOB_WOODWASTE"/>
    <x v="0"/>
    <x v="11"/>
    <n v="14.004294620731001"/>
    <n v="5111.5675365668303"/>
    <n v="18401.643131640601"/>
  </r>
  <r>
    <x v="0"/>
    <x v="0"/>
    <x v="0"/>
    <x v="7"/>
    <x v="16"/>
    <s v="SE2_OTHER"/>
    <x v="8"/>
    <s v="GHOB_WOODWASTE"/>
    <x v="0"/>
    <x v="12"/>
    <n v="18.908089419712201"/>
    <n v="6901.4526381949699"/>
    <n v="24845.229497501899"/>
  </r>
  <r>
    <x v="0"/>
    <x v="0"/>
    <x v="0"/>
    <x v="7"/>
    <x v="16"/>
    <s v="SE2_OTHER"/>
    <x v="8"/>
    <s v="GHOB_WOODWASTE"/>
    <x v="0"/>
    <x v="13"/>
    <n v="25.108468028895"/>
    <n v="9164.5908305466692"/>
    <n v="32992.526989967999"/>
  </r>
  <r>
    <x v="0"/>
    <x v="0"/>
    <x v="0"/>
    <x v="7"/>
    <x v="16"/>
    <s v="SE2_OTHER"/>
    <x v="8"/>
    <s v="GHOB_WOODWASTE"/>
    <x v="0"/>
    <x v="0"/>
    <n v="36.691213693951902"/>
    <n v="13392.2929982924"/>
    <n v="48212.254793852801"/>
  </r>
  <r>
    <x v="0"/>
    <x v="0"/>
    <x v="0"/>
    <x v="7"/>
    <x v="16"/>
    <s v="SE2_OTHER"/>
    <x v="8"/>
    <s v="GHOB_WOODWASTE"/>
    <x v="0"/>
    <x v="14"/>
    <n v="67.185529945773595"/>
    <n v="24522.718430207398"/>
    <n v="88281.786348746493"/>
  </r>
  <r>
    <x v="0"/>
    <x v="0"/>
    <x v="0"/>
    <x v="7"/>
    <x v="16"/>
    <s v="SE2_OTHER"/>
    <x v="8"/>
    <s v="GHOB_WOODWASTE"/>
    <x v="0"/>
    <x v="1"/>
    <n v="82.987764166750793"/>
    <n v="30290.533920864"/>
    <n v="109045.922115111"/>
  </r>
  <r>
    <x v="0"/>
    <x v="0"/>
    <x v="0"/>
    <x v="7"/>
    <x v="16"/>
    <s v="SE2_OTHER"/>
    <x v="8"/>
    <s v="GHOB_WOODWASTE"/>
    <x v="0"/>
    <x v="23"/>
    <n v="84.007808641950206"/>
    <n v="30662.8501543118"/>
    <n v="110386.260555523"/>
  </r>
  <r>
    <x v="0"/>
    <x v="0"/>
    <x v="0"/>
    <x v="7"/>
    <x v="16"/>
    <s v="SE2_OTHER"/>
    <x v="8"/>
    <s v="GHOB_WOODWASTE"/>
    <x v="0"/>
    <x v="2"/>
    <n v="87.125461023719396"/>
    <n v="31800.7932736576"/>
    <n v="114482.855785167"/>
  </r>
  <r>
    <x v="0"/>
    <x v="0"/>
    <x v="0"/>
    <x v="7"/>
    <x v="16"/>
    <s v="SE2_OTHER"/>
    <x v="8"/>
    <s v="GHOB_WOODWASTE"/>
    <x v="0"/>
    <x v="3"/>
    <n v="83.747375614237697"/>
    <n v="30567.792099196799"/>
    <n v="110044.051557108"/>
  </r>
  <r>
    <x v="0"/>
    <x v="0"/>
    <x v="0"/>
    <x v="7"/>
    <x v="16"/>
    <s v="SE2_OTHER"/>
    <x v="8"/>
    <s v="GHOB_WOODWASTE"/>
    <x v="0"/>
    <x v="4"/>
    <n v="83.2633824399704"/>
    <n v="30391.134590589201"/>
    <n v="109408.08452612101"/>
  </r>
  <r>
    <x v="0"/>
    <x v="0"/>
    <x v="0"/>
    <x v="7"/>
    <x v="16"/>
    <s v="SE2_OTHER"/>
    <x v="8"/>
    <s v="GHOB_WOODWASTE"/>
    <x v="0"/>
    <x v="5"/>
    <n v="82.446957554402402"/>
    <n v="30093.1395073569"/>
    <n v="108335.302226485"/>
  </r>
  <r>
    <x v="0"/>
    <x v="0"/>
    <x v="0"/>
    <x v="7"/>
    <x v="16"/>
    <s v="SE2_OTHER"/>
    <x v="8"/>
    <s v="GHOB_WOODWASTE"/>
    <x v="0"/>
    <x v="15"/>
    <n v="81.657952557067105"/>
    <n v="29805.152683329499"/>
    <n v="107298.54965998601"/>
  </r>
  <r>
    <x v="0"/>
    <x v="0"/>
    <x v="0"/>
    <x v="7"/>
    <x v="16"/>
    <s v="SE2_OTHER"/>
    <x v="8"/>
    <s v="GHOB_WOODWASTE"/>
    <x v="0"/>
    <x v="6"/>
    <n v="79.310135910057397"/>
    <n v="28948.199607170998"/>
    <n v="104213.51858581501"/>
  </r>
  <r>
    <x v="0"/>
    <x v="0"/>
    <x v="0"/>
    <x v="7"/>
    <x v="16"/>
    <s v="SE2_OTHER"/>
    <x v="8"/>
    <s v="GHOB_WOODWASTE"/>
    <x v="0"/>
    <x v="7"/>
    <n v="78.9161993012696"/>
    <n v="28804.4127449634"/>
    <n v="103695.885881868"/>
  </r>
  <r>
    <x v="0"/>
    <x v="0"/>
    <x v="0"/>
    <x v="7"/>
    <x v="16"/>
    <s v="SE2_OTHER"/>
    <x v="8"/>
    <s v="GHOB_WOODWASTE"/>
    <x v="0"/>
    <x v="8"/>
    <n v="68.446261997045994"/>
    <n v="24982.885628921798"/>
    <n v="89938.388264118403"/>
  </r>
  <r>
    <x v="0"/>
    <x v="0"/>
    <x v="0"/>
    <x v="7"/>
    <x v="16"/>
    <s v="SE2_OTHER"/>
    <x v="8"/>
    <s v="GHOB_WOODWASTE"/>
    <x v="0"/>
    <x v="16"/>
    <n v="60.424404536365799"/>
    <n v="22054.907655773499"/>
    <n v="79397.667560784699"/>
  </r>
  <r>
    <x v="0"/>
    <x v="0"/>
    <x v="0"/>
    <x v="7"/>
    <x v="16"/>
    <s v="SE2_OTHER"/>
    <x v="8"/>
    <s v="GHOB_WOODWASTE"/>
    <x v="0"/>
    <x v="17"/>
    <n v="53.455194218882497"/>
    <n v="19511.145889892101"/>
    <n v="70240.125203611606"/>
  </r>
  <r>
    <x v="0"/>
    <x v="0"/>
    <x v="0"/>
    <x v="7"/>
    <x v="16"/>
    <s v="SE2_OTHER"/>
    <x v="8"/>
    <s v="GHOB_WOODWASTE"/>
    <x v="0"/>
    <x v="18"/>
    <n v="46.995506303797001"/>
    <n v="17153.359800885901"/>
    <n v="61752.095283189301"/>
  </r>
  <r>
    <x v="0"/>
    <x v="0"/>
    <x v="0"/>
    <x v="7"/>
    <x v="16"/>
    <s v="SE2_OTHER"/>
    <x v="8"/>
    <s v="GHOB_WOODWASTE"/>
    <x v="0"/>
    <x v="19"/>
    <n v="40.0598405353633"/>
    <n v="14621.841795407599"/>
    <n v="52638.6304634673"/>
  </r>
  <r>
    <x v="0"/>
    <x v="0"/>
    <x v="0"/>
    <x v="7"/>
    <x v="16"/>
    <s v="SE2_OTHER"/>
    <x v="8"/>
    <s v="GHOB_WOODWASTE"/>
    <x v="0"/>
    <x v="20"/>
    <n v="35.129044190215602"/>
    <n v="12822.1011294287"/>
    <n v="46159.564065943297"/>
  </r>
  <r>
    <x v="0"/>
    <x v="0"/>
    <x v="0"/>
    <x v="7"/>
    <x v="16"/>
    <s v="SE2_OTHER"/>
    <x v="8"/>
    <s v="GHOB_WOODWASTE"/>
    <x v="0"/>
    <x v="21"/>
    <n v="27.1463630265274"/>
    <n v="9908.4225046824795"/>
    <n v="35670.321016856898"/>
  </r>
  <r>
    <x v="0"/>
    <x v="0"/>
    <x v="0"/>
    <x v="7"/>
    <x v="16"/>
    <s v="SE2_OTHER"/>
    <x v="8"/>
    <s v="GHOB_WOODWASTE"/>
    <x v="0"/>
    <x v="22"/>
    <n v="20.893073855068"/>
    <n v="7625.9719570998304"/>
    <n v="27453.499045559402"/>
  </r>
  <r>
    <x v="0"/>
    <x v="0"/>
    <x v="0"/>
    <x v="7"/>
    <x v="17"/>
    <s v="SE3_EL"/>
    <x v="0"/>
    <s v="GEXT_COAL_LINK"/>
    <x v="0"/>
    <x v="12"/>
    <n v="14.171203606751799"/>
    <n v="5172.48931646442"/>
    <n v="18620.961539271899"/>
  </r>
  <r>
    <x v="0"/>
    <x v="0"/>
    <x v="0"/>
    <x v="7"/>
    <x v="17"/>
    <s v="SE3_EL"/>
    <x v="0"/>
    <s v="GEXT_COAL_LINK"/>
    <x v="0"/>
    <x v="13"/>
    <n v="37.533841753110501"/>
    <n v="13699.8522398853"/>
    <n v="49319.468063587199"/>
  </r>
  <r>
    <x v="0"/>
    <x v="0"/>
    <x v="0"/>
    <x v="7"/>
    <x v="17"/>
    <s v="SE3_EL"/>
    <x v="0"/>
    <s v="GEXT_COAL_LINK"/>
    <x v="0"/>
    <x v="0"/>
    <n v="37.533841753110501"/>
    <n v="13699.8522398853"/>
    <n v="49319.468063587199"/>
  </r>
  <r>
    <x v="0"/>
    <x v="0"/>
    <x v="0"/>
    <x v="7"/>
    <x v="17"/>
    <s v="SE3_EL"/>
    <x v="0"/>
    <s v="GEXT_COAL_LINK"/>
    <x v="0"/>
    <x v="14"/>
    <n v="37.533841753110501"/>
    <n v="13699.8522398853"/>
    <n v="49319.468063587199"/>
  </r>
  <r>
    <x v="0"/>
    <x v="0"/>
    <x v="0"/>
    <x v="7"/>
    <x v="17"/>
    <s v="SE3_EL"/>
    <x v="0"/>
    <s v="GEXT_COAL_LINK"/>
    <x v="0"/>
    <x v="1"/>
    <n v="37.533841753110501"/>
    <n v="13699.8522398853"/>
    <n v="49319.468063587199"/>
  </r>
  <r>
    <x v="0"/>
    <x v="0"/>
    <x v="0"/>
    <x v="7"/>
    <x v="17"/>
    <s v="SE3_EL"/>
    <x v="0"/>
    <s v="GEXT_COAL_LINK"/>
    <x v="0"/>
    <x v="23"/>
    <n v="37.533841753110501"/>
    <n v="13699.8522398853"/>
    <n v="49319.468063587199"/>
  </r>
  <r>
    <x v="0"/>
    <x v="0"/>
    <x v="0"/>
    <x v="7"/>
    <x v="17"/>
    <s v="SE3_EL"/>
    <x v="0"/>
    <s v="GEXT_COAL_LINK"/>
    <x v="0"/>
    <x v="2"/>
    <n v="37.533841753110501"/>
    <n v="13699.8522398853"/>
    <n v="49319.468063587199"/>
  </r>
  <r>
    <x v="0"/>
    <x v="0"/>
    <x v="0"/>
    <x v="7"/>
    <x v="17"/>
    <s v="SE3_EL"/>
    <x v="0"/>
    <s v="GEXT_COAL_LINK"/>
    <x v="0"/>
    <x v="3"/>
    <n v="37.533841753110501"/>
    <n v="13699.8522398853"/>
    <n v="49319.468063587199"/>
  </r>
  <r>
    <x v="0"/>
    <x v="0"/>
    <x v="0"/>
    <x v="7"/>
    <x v="17"/>
    <s v="SE3_EL"/>
    <x v="0"/>
    <s v="GEXT_COAL_LINK"/>
    <x v="0"/>
    <x v="4"/>
    <n v="37.533841753110501"/>
    <n v="13699.8522398853"/>
    <n v="49319.468063587199"/>
  </r>
  <r>
    <x v="0"/>
    <x v="0"/>
    <x v="0"/>
    <x v="7"/>
    <x v="17"/>
    <s v="SE3_EL"/>
    <x v="0"/>
    <s v="GEXT_COAL_LINK"/>
    <x v="0"/>
    <x v="5"/>
    <n v="37.533841753110501"/>
    <n v="13699.8522398853"/>
    <n v="49319.468063587199"/>
  </r>
  <r>
    <x v="0"/>
    <x v="0"/>
    <x v="0"/>
    <x v="7"/>
    <x v="17"/>
    <s v="SE3_EL"/>
    <x v="0"/>
    <s v="GEXT_COAL_LINK"/>
    <x v="0"/>
    <x v="15"/>
    <n v="37.533841753110501"/>
    <n v="13699.8522398853"/>
    <n v="49319.468063587199"/>
  </r>
  <r>
    <x v="0"/>
    <x v="0"/>
    <x v="0"/>
    <x v="7"/>
    <x v="17"/>
    <s v="SE3_EL"/>
    <x v="0"/>
    <s v="GEXT_COAL_LINK"/>
    <x v="0"/>
    <x v="6"/>
    <n v="37.533841753110501"/>
    <n v="13699.8522398853"/>
    <n v="49319.468063587199"/>
  </r>
  <r>
    <x v="0"/>
    <x v="0"/>
    <x v="0"/>
    <x v="7"/>
    <x v="17"/>
    <s v="SE3_EL"/>
    <x v="0"/>
    <s v="GEXT_COAL_LINK"/>
    <x v="0"/>
    <x v="7"/>
    <n v="37.533841753110501"/>
    <n v="13699.8522398853"/>
    <n v="49319.468063587199"/>
  </r>
  <r>
    <x v="0"/>
    <x v="0"/>
    <x v="0"/>
    <x v="7"/>
    <x v="17"/>
    <s v="SE3_EL"/>
    <x v="0"/>
    <s v="GEXT_COAL_LINK"/>
    <x v="0"/>
    <x v="8"/>
    <n v="37.533841753110501"/>
    <n v="13699.8522398853"/>
    <n v="49319.468063587199"/>
  </r>
  <r>
    <x v="0"/>
    <x v="0"/>
    <x v="0"/>
    <x v="7"/>
    <x v="17"/>
    <s v="SE3_EL"/>
    <x v="0"/>
    <s v="GEXT_COAL_LINK"/>
    <x v="0"/>
    <x v="16"/>
    <n v="37.533841753110501"/>
    <n v="13699.8522398853"/>
    <n v="49319.468063587199"/>
  </r>
  <r>
    <x v="0"/>
    <x v="0"/>
    <x v="0"/>
    <x v="7"/>
    <x v="17"/>
    <s v="SE3_EL"/>
    <x v="0"/>
    <s v="GEXT_COAL_LINK"/>
    <x v="0"/>
    <x v="17"/>
    <n v="37.533841753110501"/>
    <n v="13699.8522398853"/>
    <n v="49319.468063587199"/>
  </r>
  <r>
    <x v="0"/>
    <x v="0"/>
    <x v="0"/>
    <x v="7"/>
    <x v="17"/>
    <s v="SE3_EL"/>
    <x v="0"/>
    <s v="GEXT_COAL_LINK"/>
    <x v="0"/>
    <x v="18"/>
    <n v="37.533841753110501"/>
    <n v="13699.8522398853"/>
    <n v="49319.468063587199"/>
  </r>
  <r>
    <x v="0"/>
    <x v="0"/>
    <x v="0"/>
    <x v="7"/>
    <x v="17"/>
    <s v="SE3_EL"/>
    <x v="0"/>
    <s v="GEXT_COAL_LINK"/>
    <x v="0"/>
    <x v="19"/>
    <n v="37.533841753110501"/>
    <n v="13699.8522398853"/>
    <n v="49319.468063587199"/>
  </r>
  <r>
    <x v="0"/>
    <x v="0"/>
    <x v="0"/>
    <x v="7"/>
    <x v="17"/>
    <s v="SE3_EL"/>
    <x v="0"/>
    <s v="GEXT_COAL_LINK"/>
    <x v="0"/>
    <x v="20"/>
    <n v="35.308204817711498"/>
    <n v="12887.4947584647"/>
    <n v="46394.981130472901"/>
  </r>
  <r>
    <x v="0"/>
    <x v="0"/>
    <x v="0"/>
    <x v="7"/>
    <x v="17"/>
    <s v="SE3_EL"/>
    <x v="3"/>
    <s v="GETOH_HEATPUMP33"/>
    <x v="0"/>
    <x v="1"/>
    <n v="37.339468307218901"/>
    <n v="13628.9059321349"/>
    <n v="49064.061355685597"/>
  </r>
  <r>
    <x v="0"/>
    <x v="0"/>
    <x v="0"/>
    <x v="7"/>
    <x v="17"/>
    <s v="SE3_EL"/>
    <x v="3"/>
    <s v="GETOH_HEATPUMP33"/>
    <x v="0"/>
    <x v="2"/>
    <n v="54.24"/>
    <n v="19797.599999999999"/>
    <n v="71271.360000000001"/>
  </r>
  <r>
    <x v="0"/>
    <x v="0"/>
    <x v="0"/>
    <x v="7"/>
    <x v="17"/>
    <s v="SE3_EL"/>
    <x v="3"/>
    <s v="GETOH_HEATPUMP33"/>
    <x v="0"/>
    <x v="3"/>
    <n v="19.809831162655701"/>
    <n v="7230.5883743693403"/>
    <n v="26030.118147729601"/>
  </r>
  <r>
    <x v="0"/>
    <x v="0"/>
    <x v="0"/>
    <x v="7"/>
    <x v="17"/>
    <s v="SE3_EL"/>
    <x v="1"/>
    <s v="GNR_HS_HEAT_WTR-TANK_LS_E-95_Y-2010"/>
    <x v="0"/>
    <x v="13"/>
    <n v="29.908366343679202"/>
    <n v="10916.5537154429"/>
    <n v="39299.593375594501"/>
  </r>
  <r>
    <x v="0"/>
    <x v="0"/>
    <x v="0"/>
    <x v="7"/>
    <x v="17"/>
    <s v="SE3_EL"/>
    <x v="1"/>
    <s v="GNR_HS_HEAT_WTR-TANK_LS_E-95_Y-2010"/>
    <x v="0"/>
    <x v="1"/>
    <n v="48.483956703075101"/>
    <n v="17696.644196622401"/>
    <n v="63707.919107840702"/>
  </r>
  <r>
    <x v="0"/>
    <x v="0"/>
    <x v="0"/>
    <x v="7"/>
    <x v="17"/>
    <s v="SE3_EL"/>
    <x v="1"/>
    <s v="GNR_HS_HEAT_WTR-TANK_LS_E-95_Y-2010"/>
    <x v="0"/>
    <x v="23"/>
    <n v="97.900799702939395"/>
    <n v="35733.791891572902"/>
    <n v="128641.65080966199"/>
  </r>
  <r>
    <x v="0"/>
    <x v="0"/>
    <x v="0"/>
    <x v="7"/>
    <x v="17"/>
    <s v="SE3_EL"/>
    <x v="1"/>
    <s v="GNR_HS_HEAT_WTR-TANK_LS_E-95_Y-2010"/>
    <x v="0"/>
    <x v="2"/>
    <n v="25.471755602202698"/>
    <n v="9297.1907948039898"/>
    <n v="33469.886861294399"/>
  </r>
  <r>
    <x v="0"/>
    <x v="0"/>
    <x v="0"/>
    <x v="7"/>
    <x v="17"/>
    <s v="SE3_EL"/>
    <x v="1"/>
    <s v="GNR_HS_HEAT_WTR-TANK_LS_E-95_Y-2010"/>
    <x v="0"/>
    <x v="18"/>
    <n v="60.198164596922702"/>
    <n v="21972.330077876799"/>
    <n v="79100.388280356507"/>
  </r>
  <r>
    <x v="0"/>
    <x v="0"/>
    <x v="0"/>
    <x v="7"/>
    <x v="17"/>
    <s v="SE3_EL"/>
    <x v="1"/>
    <s v="GNR_HS_HEAT_WTR-TANK_LS_E-95_Y-2010"/>
    <x v="0"/>
    <x v="19"/>
    <n v="30.0568003454947"/>
    <n v="10970.7321261056"/>
    <n v="39494.635653980004"/>
  </r>
  <r>
    <x v="0"/>
    <x v="0"/>
    <x v="0"/>
    <x v="7"/>
    <x v="17"/>
    <s v="SE3_EL"/>
    <x v="4"/>
    <s v="GBPR_MUNIWASTE_24"/>
    <x v="0"/>
    <x v="9"/>
    <n v="192.59186990200499"/>
    <n v="70296.032514232007"/>
    <n v="253065.717051235"/>
  </r>
  <r>
    <x v="0"/>
    <x v="0"/>
    <x v="0"/>
    <x v="7"/>
    <x v="17"/>
    <s v="SE3_EL"/>
    <x v="4"/>
    <s v="GBPR_MUNIWASTE_24"/>
    <x v="0"/>
    <x v="10"/>
    <n v="192.59186990200499"/>
    <n v="70296.032514232007"/>
    <n v="253065.717051235"/>
  </r>
  <r>
    <x v="0"/>
    <x v="0"/>
    <x v="0"/>
    <x v="7"/>
    <x v="17"/>
    <s v="SE3_EL"/>
    <x v="4"/>
    <s v="GBPR_MUNIWASTE_24"/>
    <x v="0"/>
    <x v="11"/>
    <n v="192.59186990200499"/>
    <n v="70296.032514232007"/>
    <n v="253065.717051235"/>
  </r>
  <r>
    <x v="0"/>
    <x v="0"/>
    <x v="0"/>
    <x v="7"/>
    <x v="17"/>
    <s v="SE3_EL"/>
    <x v="4"/>
    <s v="GBPR_MUNIWASTE_24"/>
    <x v="0"/>
    <x v="12"/>
    <n v="192.59186990200499"/>
    <n v="70296.032514232007"/>
    <n v="253065.717051235"/>
  </r>
  <r>
    <x v="0"/>
    <x v="0"/>
    <x v="0"/>
    <x v="7"/>
    <x v="17"/>
    <s v="SE3_EL"/>
    <x v="4"/>
    <s v="GBPR_MUNIWASTE_24"/>
    <x v="0"/>
    <x v="13"/>
    <n v="192.59186990200499"/>
    <n v="70296.032514232007"/>
    <n v="253065.717051235"/>
  </r>
  <r>
    <x v="0"/>
    <x v="0"/>
    <x v="0"/>
    <x v="7"/>
    <x v="17"/>
    <s v="SE3_EL"/>
    <x v="4"/>
    <s v="GBPR_MUNIWASTE_24"/>
    <x v="0"/>
    <x v="0"/>
    <n v="192.59186990200499"/>
    <n v="70296.032514232007"/>
    <n v="253065.717051235"/>
  </r>
  <r>
    <x v="0"/>
    <x v="0"/>
    <x v="0"/>
    <x v="7"/>
    <x v="17"/>
    <s v="SE3_EL"/>
    <x v="4"/>
    <s v="GBPR_MUNIWASTE_24"/>
    <x v="0"/>
    <x v="14"/>
    <n v="192.59186990200499"/>
    <n v="70296.032514232007"/>
    <n v="253065.717051235"/>
  </r>
  <r>
    <x v="0"/>
    <x v="0"/>
    <x v="0"/>
    <x v="7"/>
    <x v="17"/>
    <s v="SE3_EL"/>
    <x v="4"/>
    <s v="GBPR_MUNIWASTE_24"/>
    <x v="0"/>
    <x v="1"/>
    <n v="192.59186990200499"/>
    <n v="70296.032514232007"/>
    <n v="253065.717051235"/>
  </r>
  <r>
    <x v="0"/>
    <x v="0"/>
    <x v="0"/>
    <x v="7"/>
    <x v="17"/>
    <s v="SE3_EL"/>
    <x v="4"/>
    <s v="GBPR_MUNIWASTE_24"/>
    <x v="0"/>
    <x v="23"/>
    <n v="192.59186990200499"/>
    <n v="70296.032514232007"/>
    <n v="253065.717051235"/>
  </r>
  <r>
    <x v="0"/>
    <x v="0"/>
    <x v="0"/>
    <x v="7"/>
    <x v="17"/>
    <s v="SE3_EL"/>
    <x v="4"/>
    <s v="GBPR_MUNIWASTE_24"/>
    <x v="0"/>
    <x v="2"/>
    <n v="192.59186990200499"/>
    <n v="70296.032514232007"/>
    <n v="253065.717051235"/>
  </r>
  <r>
    <x v="0"/>
    <x v="0"/>
    <x v="0"/>
    <x v="7"/>
    <x v="17"/>
    <s v="SE3_EL"/>
    <x v="4"/>
    <s v="GBPR_MUNIWASTE_24"/>
    <x v="0"/>
    <x v="3"/>
    <n v="192.59186990200499"/>
    <n v="70296.032514232007"/>
    <n v="253065.717051235"/>
  </r>
  <r>
    <x v="0"/>
    <x v="0"/>
    <x v="0"/>
    <x v="7"/>
    <x v="17"/>
    <s v="SE3_EL"/>
    <x v="4"/>
    <s v="GBPR_MUNIWASTE_24"/>
    <x v="0"/>
    <x v="4"/>
    <n v="192.59186990200499"/>
    <n v="70296.032514232007"/>
    <n v="253065.717051235"/>
  </r>
  <r>
    <x v="0"/>
    <x v="0"/>
    <x v="0"/>
    <x v="7"/>
    <x v="17"/>
    <s v="SE3_EL"/>
    <x v="4"/>
    <s v="GBPR_MUNIWASTE_24"/>
    <x v="0"/>
    <x v="5"/>
    <n v="192.59186990200499"/>
    <n v="70296.032514232007"/>
    <n v="253065.717051235"/>
  </r>
  <r>
    <x v="0"/>
    <x v="0"/>
    <x v="0"/>
    <x v="7"/>
    <x v="17"/>
    <s v="SE3_EL"/>
    <x v="4"/>
    <s v="GBPR_MUNIWASTE_24"/>
    <x v="0"/>
    <x v="15"/>
    <n v="192.59186990200499"/>
    <n v="70296.032514232007"/>
    <n v="253065.717051235"/>
  </r>
  <r>
    <x v="0"/>
    <x v="0"/>
    <x v="0"/>
    <x v="7"/>
    <x v="17"/>
    <s v="SE3_EL"/>
    <x v="4"/>
    <s v="GBPR_MUNIWASTE_24"/>
    <x v="0"/>
    <x v="6"/>
    <n v="192.59186990200499"/>
    <n v="70296.032514232007"/>
    <n v="253065.717051235"/>
  </r>
  <r>
    <x v="0"/>
    <x v="0"/>
    <x v="0"/>
    <x v="7"/>
    <x v="17"/>
    <s v="SE3_EL"/>
    <x v="4"/>
    <s v="GBPR_MUNIWASTE_24"/>
    <x v="0"/>
    <x v="7"/>
    <n v="192.59186990200499"/>
    <n v="70296.032514232007"/>
    <n v="253065.717051235"/>
  </r>
  <r>
    <x v="0"/>
    <x v="0"/>
    <x v="0"/>
    <x v="7"/>
    <x v="17"/>
    <s v="SE3_EL"/>
    <x v="4"/>
    <s v="GBPR_MUNIWASTE_24"/>
    <x v="0"/>
    <x v="8"/>
    <n v="192.59186990200499"/>
    <n v="70296.032514232007"/>
    <n v="253065.717051235"/>
  </r>
  <r>
    <x v="0"/>
    <x v="0"/>
    <x v="0"/>
    <x v="7"/>
    <x v="17"/>
    <s v="SE3_EL"/>
    <x v="4"/>
    <s v="GBPR_MUNIWASTE_24"/>
    <x v="0"/>
    <x v="16"/>
    <n v="192.59186990200499"/>
    <n v="70296.032514232007"/>
    <n v="253065.717051235"/>
  </r>
  <r>
    <x v="0"/>
    <x v="0"/>
    <x v="0"/>
    <x v="7"/>
    <x v="17"/>
    <s v="SE3_EL"/>
    <x v="4"/>
    <s v="GBPR_MUNIWASTE_24"/>
    <x v="0"/>
    <x v="17"/>
    <n v="192.59186990200499"/>
    <n v="70296.032514232007"/>
    <n v="253065.717051235"/>
  </r>
  <r>
    <x v="0"/>
    <x v="0"/>
    <x v="0"/>
    <x v="7"/>
    <x v="17"/>
    <s v="SE3_EL"/>
    <x v="4"/>
    <s v="GBPR_MUNIWASTE_24"/>
    <x v="0"/>
    <x v="18"/>
    <n v="192.59186990200499"/>
    <n v="70296.032514232007"/>
    <n v="253065.717051235"/>
  </r>
  <r>
    <x v="0"/>
    <x v="0"/>
    <x v="0"/>
    <x v="7"/>
    <x v="17"/>
    <s v="SE3_EL"/>
    <x v="4"/>
    <s v="GBPR_MUNIWASTE_24"/>
    <x v="0"/>
    <x v="19"/>
    <n v="192.59186990200499"/>
    <n v="70296.032514232007"/>
    <n v="253065.717051235"/>
  </r>
  <r>
    <x v="0"/>
    <x v="0"/>
    <x v="0"/>
    <x v="7"/>
    <x v="17"/>
    <s v="SE3_EL"/>
    <x v="4"/>
    <s v="GBPR_MUNIWASTE_24"/>
    <x v="0"/>
    <x v="20"/>
    <n v="192.59186990200499"/>
    <n v="70296.032514232007"/>
    <n v="253065.717051235"/>
  </r>
  <r>
    <x v="0"/>
    <x v="0"/>
    <x v="0"/>
    <x v="7"/>
    <x v="17"/>
    <s v="SE3_EL"/>
    <x v="4"/>
    <s v="GBPR_MUNIWASTE_24"/>
    <x v="0"/>
    <x v="21"/>
    <n v="192.59186990200499"/>
    <n v="70296.032514232007"/>
    <n v="253065.717051235"/>
  </r>
  <r>
    <x v="0"/>
    <x v="0"/>
    <x v="0"/>
    <x v="7"/>
    <x v="17"/>
    <s v="SE3_EL"/>
    <x v="4"/>
    <s v="GBPR_MUNIWASTE_24"/>
    <x v="0"/>
    <x v="22"/>
    <n v="192.59186990200499"/>
    <n v="70296.032514232007"/>
    <n v="253065.717051235"/>
  </r>
  <r>
    <x v="0"/>
    <x v="0"/>
    <x v="0"/>
    <x v="7"/>
    <x v="17"/>
    <s v="SE3_EL"/>
    <x v="4"/>
    <s v="GBPR_MUNIWASTE_LINK"/>
    <x v="0"/>
    <x v="9"/>
    <n v="188.28514910205899"/>
    <n v="68724.079422251394"/>
    <n v="247406.685920105"/>
  </r>
  <r>
    <x v="0"/>
    <x v="0"/>
    <x v="0"/>
    <x v="7"/>
    <x v="17"/>
    <s v="SE3_EL"/>
    <x v="4"/>
    <s v="GBPR_MUNIWASTE_LINK"/>
    <x v="0"/>
    <x v="10"/>
    <n v="188.28514910205899"/>
    <n v="68724.079422251394"/>
    <n v="247406.685920105"/>
  </r>
  <r>
    <x v="0"/>
    <x v="0"/>
    <x v="0"/>
    <x v="7"/>
    <x v="17"/>
    <s v="SE3_EL"/>
    <x v="4"/>
    <s v="GBPR_MUNIWASTE_LINK"/>
    <x v="0"/>
    <x v="11"/>
    <n v="188.28514910205899"/>
    <n v="68724.079422251394"/>
    <n v="247406.685920105"/>
  </r>
  <r>
    <x v="0"/>
    <x v="0"/>
    <x v="0"/>
    <x v="7"/>
    <x v="17"/>
    <s v="SE3_EL"/>
    <x v="4"/>
    <s v="GBPR_MUNIWASTE_LINK"/>
    <x v="0"/>
    <x v="12"/>
    <n v="188.28514910205899"/>
    <n v="68724.079422251394"/>
    <n v="247406.685920105"/>
  </r>
  <r>
    <x v="0"/>
    <x v="0"/>
    <x v="0"/>
    <x v="7"/>
    <x v="17"/>
    <s v="SE3_EL"/>
    <x v="4"/>
    <s v="GBPR_MUNIWASTE_LINK"/>
    <x v="0"/>
    <x v="13"/>
    <n v="188.28514910205899"/>
    <n v="68724.079422251394"/>
    <n v="247406.685920105"/>
  </r>
  <r>
    <x v="0"/>
    <x v="0"/>
    <x v="0"/>
    <x v="7"/>
    <x v="17"/>
    <s v="SE3_EL"/>
    <x v="4"/>
    <s v="GBPR_MUNIWASTE_LINK"/>
    <x v="0"/>
    <x v="0"/>
    <n v="188.28514910205899"/>
    <n v="68724.079422251394"/>
    <n v="247406.685920105"/>
  </r>
  <r>
    <x v="0"/>
    <x v="0"/>
    <x v="0"/>
    <x v="7"/>
    <x v="17"/>
    <s v="SE3_EL"/>
    <x v="4"/>
    <s v="GBPR_MUNIWASTE_LINK"/>
    <x v="0"/>
    <x v="14"/>
    <n v="188.28514910205899"/>
    <n v="68724.079422251394"/>
    <n v="247406.685920105"/>
  </r>
  <r>
    <x v="0"/>
    <x v="0"/>
    <x v="0"/>
    <x v="7"/>
    <x v="17"/>
    <s v="SE3_EL"/>
    <x v="4"/>
    <s v="GBPR_MUNIWASTE_LINK"/>
    <x v="0"/>
    <x v="1"/>
    <n v="188.28514910205899"/>
    <n v="68724.079422251394"/>
    <n v="247406.685920105"/>
  </r>
  <r>
    <x v="0"/>
    <x v="0"/>
    <x v="0"/>
    <x v="7"/>
    <x v="17"/>
    <s v="SE3_EL"/>
    <x v="4"/>
    <s v="GBPR_MUNIWASTE_LINK"/>
    <x v="0"/>
    <x v="23"/>
    <n v="188.28514910205899"/>
    <n v="68724.079422251394"/>
    <n v="247406.685920105"/>
  </r>
  <r>
    <x v="0"/>
    <x v="0"/>
    <x v="0"/>
    <x v="7"/>
    <x v="17"/>
    <s v="SE3_EL"/>
    <x v="4"/>
    <s v="GBPR_MUNIWASTE_LINK"/>
    <x v="0"/>
    <x v="2"/>
    <n v="188.28514910205899"/>
    <n v="68724.079422251394"/>
    <n v="247406.685920105"/>
  </r>
  <r>
    <x v="0"/>
    <x v="0"/>
    <x v="0"/>
    <x v="7"/>
    <x v="17"/>
    <s v="SE3_EL"/>
    <x v="4"/>
    <s v="GBPR_MUNIWASTE_LINK"/>
    <x v="0"/>
    <x v="3"/>
    <n v="188.28514910205899"/>
    <n v="68724.079422251394"/>
    <n v="247406.685920105"/>
  </r>
  <r>
    <x v="0"/>
    <x v="0"/>
    <x v="0"/>
    <x v="7"/>
    <x v="17"/>
    <s v="SE3_EL"/>
    <x v="4"/>
    <s v="GBPR_MUNIWASTE_LINK"/>
    <x v="0"/>
    <x v="4"/>
    <n v="188.28514910205899"/>
    <n v="68724.079422251394"/>
    <n v="247406.685920105"/>
  </r>
  <r>
    <x v="0"/>
    <x v="0"/>
    <x v="0"/>
    <x v="7"/>
    <x v="17"/>
    <s v="SE3_EL"/>
    <x v="4"/>
    <s v="GBPR_MUNIWASTE_LINK"/>
    <x v="0"/>
    <x v="5"/>
    <n v="188.28514910205899"/>
    <n v="68724.079422251394"/>
    <n v="247406.685920105"/>
  </r>
  <r>
    <x v="0"/>
    <x v="0"/>
    <x v="0"/>
    <x v="7"/>
    <x v="17"/>
    <s v="SE3_EL"/>
    <x v="4"/>
    <s v="GBPR_MUNIWASTE_LINK"/>
    <x v="0"/>
    <x v="15"/>
    <n v="188.28514910205899"/>
    <n v="68724.079422251394"/>
    <n v="247406.685920105"/>
  </r>
  <r>
    <x v="0"/>
    <x v="0"/>
    <x v="0"/>
    <x v="7"/>
    <x v="17"/>
    <s v="SE3_EL"/>
    <x v="4"/>
    <s v="GBPR_MUNIWASTE_LINK"/>
    <x v="0"/>
    <x v="6"/>
    <n v="188.28514910205899"/>
    <n v="68724.079422251394"/>
    <n v="247406.685920105"/>
  </r>
  <r>
    <x v="0"/>
    <x v="0"/>
    <x v="0"/>
    <x v="7"/>
    <x v="17"/>
    <s v="SE3_EL"/>
    <x v="4"/>
    <s v="GBPR_MUNIWASTE_LINK"/>
    <x v="0"/>
    <x v="7"/>
    <n v="188.28514910205899"/>
    <n v="68724.079422251394"/>
    <n v="247406.685920105"/>
  </r>
  <r>
    <x v="0"/>
    <x v="0"/>
    <x v="0"/>
    <x v="7"/>
    <x v="17"/>
    <s v="SE3_EL"/>
    <x v="4"/>
    <s v="GBPR_MUNIWASTE_LINK"/>
    <x v="0"/>
    <x v="8"/>
    <n v="188.28514910205899"/>
    <n v="68724.079422251394"/>
    <n v="247406.685920105"/>
  </r>
  <r>
    <x v="0"/>
    <x v="0"/>
    <x v="0"/>
    <x v="7"/>
    <x v="17"/>
    <s v="SE3_EL"/>
    <x v="4"/>
    <s v="GBPR_MUNIWASTE_LINK"/>
    <x v="0"/>
    <x v="16"/>
    <n v="188.28514910205899"/>
    <n v="68724.079422251394"/>
    <n v="247406.685920105"/>
  </r>
  <r>
    <x v="0"/>
    <x v="0"/>
    <x v="0"/>
    <x v="7"/>
    <x v="17"/>
    <s v="SE3_EL"/>
    <x v="4"/>
    <s v="GBPR_MUNIWASTE_LINK"/>
    <x v="0"/>
    <x v="17"/>
    <n v="188.28514910205899"/>
    <n v="68724.079422251394"/>
    <n v="247406.685920105"/>
  </r>
  <r>
    <x v="0"/>
    <x v="0"/>
    <x v="0"/>
    <x v="7"/>
    <x v="17"/>
    <s v="SE3_EL"/>
    <x v="4"/>
    <s v="GBPR_MUNIWASTE_LINK"/>
    <x v="0"/>
    <x v="18"/>
    <n v="188.28514910205899"/>
    <n v="68724.079422251394"/>
    <n v="247406.685920105"/>
  </r>
  <r>
    <x v="0"/>
    <x v="0"/>
    <x v="0"/>
    <x v="7"/>
    <x v="17"/>
    <s v="SE3_EL"/>
    <x v="4"/>
    <s v="GBPR_MUNIWASTE_LINK"/>
    <x v="0"/>
    <x v="19"/>
    <n v="188.28514910205899"/>
    <n v="68724.079422251394"/>
    <n v="247406.685920105"/>
  </r>
  <r>
    <x v="0"/>
    <x v="0"/>
    <x v="0"/>
    <x v="7"/>
    <x v="17"/>
    <s v="SE3_EL"/>
    <x v="4"/>
    <s v="GBPR_MUNIWASTE_LINK"/>
    <x v="0"/>
    <x v="20"/>
    <n v="188.28514910205899"/>
    <n v="68724.079422251394"/>
    <n v="247406.685920105"/>
  </r>
  <r>
    <x v="0"/>
    <x v="0"/>
    <x v="0"/>
    <x v="7"/>
    <x v="17"/>
    <s v="SE3_EL"/>
    <x v="4"/>
    <s v="GBPR_MUNIWASTE_LINK"/>
    <x v="0"/>
    <x v="21"/>
    <n v="188.28514910205899"/>
    <n v="68724.079422251394"/>
    <n v="247406.685920105"/>
  </r>
  <r>
    <x v="0"/>
    <x v="0"/>
    <x v="0"/>
    <x v="7"/>
    <x v="17"/>
    <s v="SE3_EL"/>
    <x v="4"/>
    <s v="GBPR_MUNIWASTE_LINK"/>
    <x v="0"/>
    <x v="22"/>
    <n v="188.28514910205899"/>
    <n v="68724.079422251394"/>
    <n v="247406.685920105"/>
  </r>
  <r>
    <x v="0"/>
    <x v="0"/>
    <x v="0"/>
    <x v="7"/>
    <x v="17"/>
    <s v="SE3_EL"/>
    <x v="4"/>
    <s v="GHOB_MUNIWASTE"/>
    <x v="0"/>
    <x v="9"/>
    <n v="177.805177716998"/>
    <n v="64898.889866704398"/>
    <n v="233636.003520136"/>
  </r>
  <r>
    <x v="0"/>
    <x v="0"/>
    <x v="0"/>
    <x v="7"/>
    <x v="17"/>
    <s v="SE3_EL"/>
    <x v="4"/>
    <s v="GHOB_MUNIWASTE"/>
    <x v="0"/>
    <x v="10"/>
    <n v="177.805177716998"/>
    <n v="64898.889866704398"/>
    <n v="233636.003520136"/>
  </r>
  <r>
    <x v="0"/>
    <x v="0"/>
    <x v="0"/>
    <x v="7"/>
    <x v="17"/>
    <s v="SE3_EL"/>
    <x v="4"/>
    <s v="GHOB_MUNIWASTE"/>
    <x v="0"/>
    <x v="11"/>
    <n v="177.805177716998"/>
    <n v="64898.889866704398"/>
    <n v="233636.003520136"/>
  </r>
  <r>
    <x v="0"/>
    <x v="0"/>
    <x v="0"/>
    <x v="7"/>
    <x v="17"/>
    <s v="SE3_EL"/>
    <x v="4"/>
    <s v="GHOB_MUNIWASTE"/>
    <x v="0"/>
    <x v="12"/>
    <n v="177.805177716998"/>
    <n v="64898.889866704398"/>
    <n v="233636.003520136"/>
  </r>
  <r>
    <x v="0"/>
    <x v="0"/>
    <x v="0"/>
    <x v="7"/>
    <x v="17"/>
    <s v="SE3_EL"/>
    <x v="4"/>
    <s v="GHOB_MUNIWASTE"/>
    <x v="0"/>
    <x v="13"/>
    <n v="177.805177716998"/>
    <n v="64898.889866704398"/>
    <n v="233636.003520136"/>
  </r>
  <r>
    <x v="0"/>
    <x v="0"/>
    <x v="0"/>
    <x v="7"/>
    <x v="17"/>
    <s v="SE3_EL"/>
    <x v="4"/>
    <s v="GHOB_MUNIWASTE"/>
    <x v="0"/>
    <x v="0"/>
    <n v="177.805177716998"/>
    <n v="64898.889866704398"/>
    <n v="233636.003520136"/>
  </r>
  <r>
    <x v="0"/>
    <x v="0"/>
    <x v="0"/>
    <x v="7"/>
    <x v="17"/>
    <s v="SE3_EL"/>
    <x v="4"/>
    <s v="GHOB_MUNIWASTE"/>
    <x v="0"/>
    <x v="14"/>
    <n v="177.805177716998"/>
    <n v="64898.889866704398"/>
    <n v="233636.003520136"/>
  </r>
  <r>
    <x v="0"/>
    <x v="0"/>
    <x v="0"/>
    <x v="7"/>
    <x v="17"/>
    <s v="SE3_EL"/>
    <x v="4"/>
    <s v="GHOB_MUNIWASTE"/>
    <x v="0"/>
    <x v="1"/>
    <n v="177.805177716998"/>
    <n v="64898.889866704398"/>
    <n v="233636.003520136"/>
  </r>
  <r>
    <x v="0"/>
    <x v="0"/>
    <x v="0"/>
    <x v="7"/>
    <x v="17"/>
    <s v="SE3_EL"/>
    <x v="4"/>
    <s v="GHOB_MUNIWASTE"/>
    <x v="0"/>
    <x v="23"/>
    <n v="177.805177716998"/>
    <n v="64898.889866704398"/>
    <n v="233636.003520136"/>
  </r>
  <r>
    <x v="0"/>
    <x v="0"/>
    <x v="0"/>
    <x v="7"/>
    <x v="17"/>
    <s v="SE3_EL"/>
    <x v="4"/>
    <s v="GHOB_MUNIWASTE"/>
    <x v="0"/>
    <x v="2"/>
    <n v="177.805177716998"/>
    <n v="64898.889866704398"/>
    <n v="233636.003520136"/>
  </r>
  <r>
    <x v="0"/>
    <x v="0"/>
    <x v="0"/>
    <x v="7"/>
    <x v="17"/>
    <s v="SE3_EL"/>
    <x v="4"/>
    <s v="GHOB_MUNIWASTE"/>
    <x v="0"/>
    <x v="3"/>
    <n v="177.805177716998"/>
    <n v="64898.889866704398"/>
    <n v="233636.003520136"/>
  </r>
  <r>
    <x v="0"/>
    <x v="0"/>
    <x v="0"/>
    <x v="7"/>
    <x v="17"/>
    <s v="SE3_EL"/>
    <x v="4"/>
    <s v="GHOB_MUNIWASTE"/>
    <x v="0"/>
    <x v="4"/>
    <n v="177.805177716998"/>
    <n v="64898.889866704398"/>
    <n v="233636.003520136"/>
  </r>
  <r>
    <x v="0"/>
    <x v="0"/>
    <x v="0"/>
    <x v="7"/>
    <x v="17"/>
    <s v="SE3_EL"/>
    <x v="4"/>
    <s v="GHOB_MUNIWASTE"/>
    <x v="0"/>
    <x v="5"/>
    <n v="177.805177716998"/>
    <n v="64898.889866704398"/>
    <n v="233636.003520136"/>
  </r>
  <r>
    <x v="0"/>
    <x v="0"/>
    <x v="0"/>
    <x v="7"/>
    <x v="17"/>
    <s v="SE3_EL"/>
    <x v="4"/>
    <s v="GHOB_MUNIWASTE"/>
    <x v="0"/>
    <x v="15"/>
    <n v="177.805177716998"/>
    <n v="64898.889866704398"/>
    <n v="233636.003520136"/>
  </r>
  <r>
    <x v="0"/>
    <x v="0"/>
    <x v="0"/>
    <x v="7"/>
    <x v="17"/>
    <s v="SE3_EL"/>
    <x v="4"/>
    <s v="GHOB_MUNIWASTE"/>
    <x v="0"/>
    <x v="6"/>
    <n v="177.805177716998"/>
    <n v="64898.889866704398"/>
    <n v="233636.003520136"/>
  </r>
  <r>
    <x v="0"/>
    <x v="0"/>
    <x v="0"/>
    <x v="7"/>
    <x v="17"/>
    <s v="SE3_EL"/>
    <x v="4"/>
    <s v="GHOB_MUNIWASTE"/>
    <x v="0"/>
    <x v="7"/>
    <n v="177.805177716998"/>
    <n v="64898.889866704398"/>
    <n v="233636.003520136"/>
  </r>
  <r>
    <x v="0"/>
    <x v="0"/>
    <x v="0"/>
    <x v="7"/>
    <x v="17"/>
    <s v="SE3_EL"/>
    <x v="4"/>
    <s v="GHOB_MUNIWASTE"/>
    <x v="0"/>
    <x v="8"/>
    <n v="177.805177716998"/>
    <n v="64898.889866704398"/>
    <n v="233636.003520136"/>
  </r>
  <r>
    <x v="0"/>
    <x v="0"/>
    <x v="0"/>
    <x v="7"/>
    <x v="17"/>
    <s v="SE3_EL"/>
    <x v="4"/>
    <s v="GHOB_MUNIWASTE"/>
    <x v="0"/>
    <x v="16"/>
    <n v="177.805177716998"/>
    <n v="64898.889866704398"/>
    <n v="233636.003520136"/>
  </r>
  <r>
    <x v="0"/>
    <x v="0"/>
    <x v="0"/>
    <x v="7"/>
    <x v="17"/>
    <s v="SE3_EL"/>
    <x v="4"/>
    <s v="GHOB_MUNIWASTE"/>
    <x v="0"/>
    <x v="17"/>
    <n v="177.805177716998"/>
    <n v="64898.889866704398"/>
    <n v="233636.003520136"/>
  </r>
  <r>
    <x v="0"/>
    <x v="0"/>
    <x v="0"/>
    <x v="7"/>
    <x v="17"/>
    <s v="SE3_EL"/>
    <x v="4"/>
    <s v="GHOB_MUNIWASTE"/>
    <x v="0"/>
    <x v="18"/>
    <n v="177.805177716998"/>
    <n v="64898.889866704398"/>
    <n v="233636.003520136"/>
  </r>
  <r>
    <x v="0"/>
    <x v="0"/>
    <x v="0"/>
    <x v="7"/>
    <x v="17"/>
    <s v="SE3_EL"/>
    <x v="4"/>
    <s v="GHOB_MUNIWASTE"/>
    <x v="0"/>
    <x v="19"/>
    <n v="177.805177716998"/>
    <n v="64898.889866704398"/>
    <n v="233636.003520136"/>
  </r>
  <r>
    <x v="0"/>
    <x v="0"/>
    <x v="0"/>
    <x v="7"/>
    <x v="17"/>
    <s v="SE3_EL"/>
    <x v="4"/>
    <s v="GHOB_MUNIWASTE"/>
    <x v="0"/>
    <x v="20"/>
    <n v="177.805177716998"/>
    <n v="64898.889866704398"/>
    <n v="233636.003520136"/>
  </r>
  <r>
    <x v="0"/>
    <x v="0"/>
    <x v="0"/>
    <x v="7"/>
    <x v="17"/>
    <s v="SE3_EL"/>
    <x v="4"/>
    <s v="GHOB_MUNIWASTE"/>
    <x v="0"/>
    <x v="21"/>
    <n v="177.805177716998"/>
    <n v="64898.889866704398"/>
    <n v="233636.003520136"/>
  </r>
  <r>
    <x v="0"/>
    <x v="0"/>
    <x v="0"/>
    <x v="7"/>
    <x v="17"/>
    <s v="SE3_EL"/>
    <x v="4"/>
    <s v="GHOB_MUNIWASTE"/>
    <x v="0"/>
    <x v="22"/>
    <n v="177.805177716998"/>
    <n v="64898.889866704398"/>
    <n v="233636.003520136"/>
  </r>
  <r>
    <x v="0"/>
    <x v="0"/>
    <x v="0"/>
    <x v="7"/>
    <x v="17"/>
    <s v="SE3_EL"/>
    <x v="11"/>
    <s v="GBPR_PEAT_38"/>
    <x v="0"/>
    <x v="14"/>
    <n v="51.572990295326903"/>
    <n v="18824.1414577943"/>
    <n v="67766.909248059601"/>
  </r>
  <r>
    <x v="0"/>
    <x v="0"/>
    <x v="0"/>
    <x v="7"/>
    <x v="17"/>
    <s v="SE3_EL"/>
    <x v="11"/>
    <s v="GBPR_PEAT_38"/>
    <x v="0"/>
    <x v="1"/>
    <n v="51.572990295326903"/>
    <n v="18824.1414577943"/>
    <n v="67766.909248059601"/>
  </r>
  <r>
    <x v="0"/>
    <x v="0"/>
    <x v="0"/>
    <x v="7"/>
    <x v="17"/>
    <s v="SE3_EL"/>
    <x v="11"/>
    <s v="GBPR_PEAT_38"/>
    <x v="0"/>
    <x v="23"/>
    <n v="51.572990295326903"/>
    <n v="18824.1414577943"/>
    <n v="67766.909248059601"/>
  </r>
  <r>
    <x v="0"/>
    <x v="0"/>
    <x v="0"/>
    <x v="7"/>
    <x v="17"/>
    <s v="SE3_EL"/>
    <x v="11"/>
    <s v="GBPR_PEAT_38"/>
    <x v="0"/>
    <x v="2"/>
    <n v="51.572990295326903"/>
    <n v="18824.1414577943"/>
    <n v="67766.909248059601"/>
  </r>
  <r>
    <x v="0"/>
    <x v="0"/>
    <x v="0"/>
    <x v="7"/>
    <x v="17"/>
    <s v="SE3_EL"/>
    <x v="11"/>
    <s v="GBPR_PEAT_38"/>
    <x v="0"/>
    <x v="3"/>
    <n v="51.572990295326903"/>
    <n v="18824.1414577943"/>
    <n v="67766.909248059601"/>
  </r>
  <r>
    <x v="0"/>
    <x v="0"/>
    <x v="0"/>
    <x v="7"/>
    <x v="17"/>
    <s v="SE3_EL"/>
    <x v="11"/>
    <s v="GBPR_PEAT_38"/>
    <x v="0"/>
    <x v="4"/>
    <n v="19.379366640794199"/>
    <n v="7073.4688238898998"/>
    <n v="25464.4877660036"/>
  </r>
  <r>
    <x v="0"/>
    <x v="0"/>
    <x v="0"/>
    <x v="7"/>
    <x v="17"/>
    <s v="SE3_EL"/>
    <x v="11"/>
    <s v="GEXT_PEAT"/>
    <x v="0"/>
    <x v="13"/>
    <n v="16.929524218822401"/>
    <n v="6179.27633987018"/>
    <n v="22245.394823532701"/>
  </r>
  <r>
    <x v="0"/>
    <x v="0"/>
    <x v="0"/>
    <x v="7"/>
    <x v="17"/>
    <s v="SE3_EL"/>
    <x v="11"/>
    <s v="GEXT_PEAT"/>
    <x v="0"/>
    <x v="0"/>
    <n v="156.19658636173199"/>
    <n v="57011.754022032103"/>
    <n v="205242.314479316"/>
  </r>
  <r>
    <x v="0"/>
    <x v="0"/>
    <x v="0"/>
    <x v="7"/>
    <x v="17"/>
    <s v="SE3_EL"/>
    <x v="11"/>
    <s v="GEXT_PEAT"/>
    <x v="0"/>
    <x v="14"/>
    <n v="197.65207877074101"/>
    <n v="72143.008751320594"/>
    <n v="259714.83150475399"/>
  </r>
  <r>
    <x v="0"/>
    <x v="0"/>
    <x v="0"/>
    <x v="7"/>
    <x v="17"/>
    <s v="SE3_EL"/>
    <x v="11"/>
    <s v="GEXT_PEAT"/>
    <x v="0"/>
    <x v="1"/>
    <n v="197.65207877074101"/>
    <n v="72143.008751320594"/>
    <n v="259714.83150475399"/>
  </r>
  <r>
    <x v="0"/>
    <x v="0"/>
    <x v="0"/>
    <x v="7"/>
    <x v="17"/>
    <s v="SE3_EL"/>
    <x v="11"/>
    <s v="GEXT_PEAT"/>
    <x v="0"/>
    <x v="23"/>
    <n v="197.65207877074101"/>
    <n v="72143.008751320594"/>
    <n v="259714.83150475399"/>
  </r>
  <r>
    <x v="0"/>
    <x v="0"/>
    <x v="0"/>
    <x v="7"/>
    <x v="17"/>
    <s v="SE3_EL"/>
    <x v="11"/>
    <s v="GEXT_PEAT"/>
    <x v="0"/>
    <x v="2"/>
    <n v="197.65207877074101"/>
    <n v="72143.008751320594"/>
    <n v="259714.83150475399"/>
  </r>
  <r>
    <x v="0"/>
    <x v="0"/>
    <x v="0"/>
    <x v="7"/>
    <x v="17"/>
    <s v="SE3_EL"/>
    <x v="11"/>
    <s v="GEXT_PEAT"/>
    <x v="0"/>
    <x v="3"/>
    <n v="197.65207877074101"/>
    <n v="72143.008751320594"/>
    <n v="259714.83150475399"/>
  </r>
  <r>
    <x v="0"/>
    <x v="0"/>
    <x v="0"/>
    <x v="7"/>
    <x v="17"/>
    <s v="SE3_EL"/>
    <x v="11"/>
    <s v="GEXT_PEAT"/>
    <x v="0"/>
    <x v="4"/>
    <n v="197.65207877074101"/>
    <n v="72143.008751320594"/>
    <n v="259714.83150475399"/>
  </r>
  <r>
    <x v="0"/>
    <x v="0"/>
    <x v="0"/>
    <x v="7"/>
    <x v="17"/>
    <s v="SE3_EL"/>
    <x v="11"/>
    <s v="GEXT_PEAT"/>
    <x v="0"/>
    <x v="5"/>
    <n v="178.35136874469899"/>
    <n v="65098.249591815002"/>
    <n v="234353.69853053399"/>
  </r>
  <r>
    <x v="0"/>
    <x v="0"/>
    <x v="0"/>
    <x v="7"/>
    <x v="17"/>
    <s v="SE3_EL"/>
    <x v="11"/>
    <s v="GEXT_PEAT"/>
    <x v="0"/>
    <x v="15"/>
    <n v="146.02507994150599"/>
    <n v="53299.154178649696"/>
    <n v="191876.95504313899"/>
  </r>
  <r>
    <x v="0"/>
    <x v="0"/>
    <x v="0"/>
    <x v="7"/>
    <x v="17"/>
    <s v="SE3_EL"/>
    <x v="11"/>
    <s v="GEXT_PEAT"/>
    <x v="0"/>
    <x v="6"/>
    <n v="118.807357465626"/>
    <n v="43364.685474953701"/>
    <n v="156112.86770983299"/>
  </r>
  <r>
    <x v="0"/>
    <x v="0"/>
    <x v="0"/>
    <x v="7"/>
    <x v="17"/>
    <s v="SE3_EL"/>
    <x v="11"/>
    <s v="GEXT_PEAT"/>
    <x v="0"/>
    <x v="7"/>
    <n v="106.300744358156"/>
    <n v="38799.771690727102"/>
    <n v="139679.17808661799"/>
  </r>
  <r>
    <x v="0"/>
    <x v="0"/>
    <x v="0"/>
    <x v="7"/>
    <x v="17"/>
    <s v="SE3_EL"/>
    <x v="11"/>
    <s v="GEXT_PEAT"/>
    <x v="0"/>
    <x v="8"/>
    <n v="52.464613502467103"/>
    <n v="19149.583928400501"/>
    <n v="68938.502142241705"/>
  </r>
  <r>
    <x v="0"/>
    <x v="0"/>
    <x v="0"/>
    <x v="7"/>
    <x v="17"/>
    <s v="SE3_EL"/>
    <x v="11"/>
    <s v="GEXT_PEAT"/>
    <x v="0"/>
    <x v="16"/>
    <n v="94.789156178351305"/>
    <n v="34598.042005098199"/>
    <n v="124552.95121835401"/>
  </r>
  <r>
    <x v="0"/>
    <x v="0"/>
    <x v="0"/>
    <x v="7"/>
    <x v="17"/>
    <s v="SE3_EL"/>
    <x v="15"/>
    <s v="GBPR_RECYCLEDWOOD_SE3EL"/>
    <x v="0"/>
    <x v="14"/>
    <n v="136.85232592368899"/>
    <n v="49951.098962146702"/>
    <n v="179823.956263728"/>
  </r>
  <r>
    <x v="0"/>
    <x v="0"/>
    <x v="0"/>
    <x v="7"/>
    <x v="17"/>
    <s v="SE3_EL"/>
    <x v="15"/>
    <s v="GBPR_RECYCLEDWOOD_SE3EL"/>
    <x v="0"/>
    <x v="1"/>
    <n v="136.85232592368899"/>
    <n v="49951.098962146702"/>
    <n v="179823.956263728"/>
  </r>
  <r>
    <x v="0"/>
    <x v="0"/>
    <x v="0"/>
    <x v="7"/>
    <x v="17"/>
    <s v="SE3_EL"/>
    <x v="15"/>
    <s v="GBPR_RECYCLEDWOOD_SE3EL"/>
    <x v="0"/>
    <x v="23"/>
    <n v="136.85232592368899"/>
    <n v="49951.098962146702"/>
    <n v="179823.956263728"/>
  </r>
  <r>
    <x v="0"/>
    <x v="0"/>
    <x v="0"/>
    <x v="7"/>
    <x v="17"/>
    <s v="SE3_EL"/>
    <x v="15"/>
    <s v="GBPR_RECYCLEDWOOD_SE3EL"/>
    <x v="0"/>
    <x v="2"/>
    <n v="136.85232592368899"/>
    <n v="49951.098962146702"/>
    <n v="179823.956263728"/>
  </r>
  <r>
    <x v="0"/>
    <x v="0"/>
    <x v="0"/>
    <x v="7"/>
    <x v="17"/>
    <s v="SE3_EL"/>
    <x v="15"/>
    <s v="GBPR_RECYCLEDWOOD_SE3EL"/>
    <x v="0"/>
    <x v="3"/>
    <n v="136.85232592368899"/>
    <n v="49951.098962146702"/>
    <n v="179823.956263728"/>
  </r>
  <r>
    <x v="0"/>
    <x v="0"/>
    <x v="0"/>
    <x v="7"/>
    <x v="17"/>
    <s v="SE3_EL"/>
    <x v="15"/>
    <s v="GBPR_RECYCLEDWOOD_SE3EL"/>
    <x v="0"/>
    <x v="4"/>
    <n v="136.85232592368899"/>
    <n v="49951.098962146702"/>
    <n v="179823.956263728"/>
  </r>
  <r>
    <x v="0"/>
    <x v="0"/>
    <x v="0"/>
    <x v="7"/>
    <x v="17"/>
    <s v="SE3_EL"/>
    <x v="15"/>
    <s v="GBPR_RECYCLEDWOOD_SE3EL"/>
    <x v="0"/>
    <x v="5"/>
    <n v="136.85232592368899"/>
    <n v="49951.098962146702"/>
    <n v="179823.956263728"/>
  </r>
  <r>
    <x v="0"/>
    <x v="0"/>
    <x v="0"/>
    <x v="7"/>
    <x v="17"/>
    <s v="SE3_EL"/>
    <x v="15"/>
    <s v="GBPR_RECYCLEDWOOD_SE3EL"/>
    <x v="0"/>
    <x v="15"/>
    <n v="136.85232592368899"/>
    <n v="49951.098962146702"/>
    <n v="179823.956263728"/>
  </r>
  <r>
    <x v="0"/>
    <x v="0"/>
    <x v="0"/>
    <x v="7"/>
    <x v="17"/>
    <s v="SE3_EL"/>
    <x v="15"/>
    <s v="GBPR_RECYCLEDWOOD_SE3EL"/>
    <x v="0"/>
    <x v="6"/>
    <n v="136.85232592368899"/>
    <n v="49951.098962146702"/>
    <n v="179823.956263728"/>
  </r>
  <r>
    <x v="0"/>
    <x v="0"/>
    <x v="0"/>
    <x v="7"/>
    <x v="17"/>
    <s v="SE3_EL"/>
    <x v="15"/>
    <s v="GBPR_RECYCLEDWOOD_SE3EL"/>
    <x v="0"/>
    <x v="7"/>
    <n v="136.85232592368899"/>
    <n v="49951.098962146702"/>
    <n v="179823.956263728"/>
  </r>
  <r>
    <x v="0"/>
    <x v="0"/>
    <x v="0"/>
    <x v="7"/>
    <x v="17"/>
    <s v="SE3_EL"/>
    <x v="15"/>
    <s v="GBPR_RECYCLEDWOOD_SE3EL"/>
    <x v="0"/>
    <x v="8"/>
    <n v="136.85232592368899"/>
    <n v="49951.098962146702"/>
    <n v="179823.956263728"/>
  </r>
  <r>
    <x v="0"/>
    <x v="0"/>
    <x v="0"/>
    <x v="7"/>
    <x v="17"/>
    <s v="SE3_EL"/>
    <x v="15"/>
    <s v="GBPR_RECYCLEDWOOD_SE3EL"/>
    <x v="0"/>
    <x v="16"/>
    <n v="136.85232592368899"/>
    <n v="49951.098962146702"/>
    <n v="179823.956263728"/>
  </r>
  <r>
    <x v="0"/>
    <x v="0"/>
    <x v="0"/>
    <x v="7"/>
    <x v="17"/>
    <s v="SE3_EL"/>
    <x v="15"/>
    <s v="GBPR_RECYCLEDWOOD_SE3EL"/>
    <x v="0"/>
    <x v="17"/>
    <n v="95.426751394173394"/>
    <n v="34830.7642588733"/>
    <n v="125390.751331944"/>
  </r>
  <r>
    <x v="0"/>
    <x v="0"/>
    <x v="0"/>
    <x v="7"/>
    <x v="17"/>
    <s v="SE3_EL"/>
    <x v="2"/>
    <s v="GHOB_WASTEHEAT"/>
    <x v="0"/>
    <x v="9"/>
    <n v="27.2206959706959"/>
    <n v="9935.5540293039903"/>
    <n v="35767.994505494396"/>
  </r>
  <r>
    <x v="0"/>
    <x v="0"/>
    <x v="0"/>
    <x v="7"/>
    <x v="17"/>
    <s v="SE3_EL"/>
    <x v="2"/>
    <s v="GHOB_WASTEHEAT"/>
    <x v="0"/>
    <x v="10"/>
    <n v="27.2206959706959"/>
    <n v="9935.5540293039903"/>
    <n v="35767.994505494396"/>
  </r>
  <r>
    <x v="0"/>
    <x v="0"/>
    <x v="0"/>
    <x v="7"/>
    <x v="17"/>
    <s v="SE3_EL"/>
    <x v="2"/>
    <s v="GHOB_WASTEHEAT"/>
    <x v="0"/>
    <x v="11"/>
    <n v="27.2206959706959"/>
    <n v="9935.5540293039903"/>
    <n v="35767.994505494396"/>
  </r>
  <r>
    <x v="0"/>
    <x v="0"/>
    <x v="0"/>
    <x v="7"/>
    <x v="17"/>
    <s v="SE3_EL"/>
    <x v="2"/>
    <s v="GHOB_WASTEHEAT"/>
    <x v="0"/>
    <x v="12"/>
    <n v="27.2206959706959"/>
    <n v="9935.5540293039903"/>
    <n v="35767.994505494396"/>
  </r>
  <r>
    <x v="0"/>
    <x v="0"/>
    <x v="0"/>
    <x v="7"/>
    <x v="17"/>
    <s v="SE3_EL"/>
    <x v="2"/>
    <s v="GHOB_WASTEHEAT"/>
    <x v="0"/>
    <x v="13"/>
    <n v="27.2206959706959"/>
    <n v="9935.5540293039903"/>
    <n v="35767.994505494396"/>
  </r>
  <r>
    <x v="0"/>
    <x v="0"/>
    <x v="0"/>
    <x v="7"/>
    <x v="17"/>
    <s v="SE3_EL"/>
    <x v="2"/>
    <s v="GHOB_WASTEHEAT"/>
    <x v="0"/>
    <x v="0"/>
    <n v="27.2206959706959"/>
    <n v="9935.5540293039903"/>
    <n v="35767.994505494396"/>
  </r>
  <r>
    <x v="0"/>
    <x v="0"/>
    <x v="0"/>
    <x v="7"/>
    <x v="17"/>
    <s v="SE3_EL"/>
    <x v="2"/>
    <s v="GHOB_WASTEHEAT"/>
    <x v="0"/>
    <x v="14"/>
    <n v="27.2206959706959"/>
    <n v="9935.5540293039903"/>
    <n v="35767.994505494396"/>
  </r>
  <r>
    <x v="0"/>
    <x v="0"/>
    <x v="0"/>
    <x v="7"/>
    <x v="17"/>
    <s v="SE3_EL"/>
    <x v="2"/>
    <s v="GHOB_WASTEHEAT"/>
    <x v="0"/>
    <x v="1"/>
    <n v="27.2206959706959"/>
    <n v="9935.5540293039903"/>
    <n v="35767.994505494396"/>
  </r>
  <r>
    <x v="0"/>
    <x v="0"/>
    <x v="0"/>
    <x v="7"/>
    <x v="17"/>
    <s v="SE3_EL"/>
    <x v="2"/>
    <s v="GHOB_WASTEHEAT"/>
    <x v="0"/>
    <x v="23"/>
    <n v="27.2206959706959"/>
    <n v="9935.5540293039903"/>
    <n v="35767.994505494396"/>
  </r>
  <r>
    <x v="0"/>
    <x v="0"/>
    <x v="0"/>
    <x v="7"/>
    <x v="17"/>
    <s v="SE3_EL"/>
    <x v="2"/>
    <s v="GHOB_WASTEHEAT"/>
    <x v="0"/>
    <x v="2"/>
    <n v="27.2206959706959"/>
    <n v="9935.5540293039903"/>
    <n v="35767.994505494396"/>
  </r>
  <r>
    <x v="0"/>
    <x v="0"/>
    <x v="0"/>
    <x v="7"/>
    <x v="17"/>
    <s v="SE3_EL"/>
    <x v="2"/>
    <s v="GHOB_WASTEHEAT"/>
    <x v="0"/>
    <x v="3"/>
    <n v="27.2206959706959"/>
    <n v="9935.5540293039903"/>
    <n v="35767.994505494396"/>
  </r>
  <r>
    <x v="0"/>
    <x v="0"/>
    <x v="0"/>
    <x v="7"/>
    <x v="17"/>
    <s v="SE3_EL"/>
    <x v="2"/>
    <s v="GHOB_WASTEHEAT"/>
    <x v="0"/>
    <x v="4"/>
    <n v="27.2206959706959"/>
    <n v="9935.5540293039903"/>
    <n v="35767.994505494396"/>
  </r>
  <r>
    <x v="0"/>
    <x v="0"/>
    <x v="0"/>
    <x v="7"/>
    <x v="17"/>
    <s v="SE3_EL"/>
    <x v="2"/>
    <s v="GHOB_WASTEHEAT"/>
    <x v="0"/>
    <x v="5"/>
    <n v="27.2206959706959"/>
    <n v="9935.5540293039903"/>
    <n v="35767.994505494396"/>
  </r>
  <r>
    <x v="0"/>
    <x v="0"/>
    <x v="0"/>
    <x v="7"/>
    <x v="17"/>
    <s v="SE3_EL"/>
    <x v="2"/>
    <s v="GHOB_WASTEHEAT"/>
    <x v="0"/>
    <x v="15"/>
    <n v="27.2206959706959"/>
    <n v="9935.5540293039903"/>
    <n v="35767.994505494396"/>
  </r>
  <r>
    <x v="0"/>
    <x v="0"/>
    <x v="0"/>
    <x v="7"/>
    <x v="17"/>
    <s v="SE3_EL"/>
    <x v="2"/>
    <s v="GHOB_WASTEHEAT"/>
    <x v="0"/>
    <x v="6"/>
    <n v="27.2206959706959"/>
    <n v="9935.5540293039903"/>
    <n v="35767.994505494396"/>
  </r>
  <r>
    <x v="0"/>
    <x v="0"/>
    <x v="0"/>
    <x v="7"/>
    <x v="17"/>
    <s v="SE3_EL"/>
    <x v="2"/>
    <s v="GHOB_WASTEHEAT"/>
    <x v="0"/>
    <x v="7"/>
    <n v="27.2206959706959"/>
    <n v="9935.5540293039903"/>
    <n v="35767.994505494396"/>
  </r>
  <r>
    <x v="0"/>
    <x v="0"/>
    <x v="0"/>
    <x v="7"/>
    <x v="17"/>
    <s v="SE3_EL"/>
    <x v="2"/>
    <s v="GHOB_WASTEHEAT"/>
    <x v="0"/>
    <x v="8"/>
    <n v="27.2206959706959"/>
    <n v="9935.5540293039903"/>
    <n v="35767.994505494396"/>
  </r>
  <r>
    <x v="0"/>
    <x v="0"/>
    <x v="0"/>
    <x v="7"/>
    <x v="17"/>
    <s v="SE3_EL"/>
    <x v="2"/>
    <s v="GHOB_WASTEHEAT"/>
    <x v="0"/>
    <x v="16"/>
    <n v="27.2206959706959"/>
    <n v="9935.5540293039903"/>
    <n v="35767.994505494396"/>
  </r>
  <r>
    <x v="0"/>
    <x v="0"/>
    <x v="0"/>
    <x v="7"/>
    <x v="17"/>
    <s v="SE3_EL"/>
    <x v="2"/>
    <s v="GHOB_WASTEHEAT"/>
    <x v="0"/>
    <x v="17"/>
    <n v="27.2206959706959"/>
    <n v="9935.5540293039903"/>
    <n v="35767.994505494396"/>
  </r>
  <r>
    <x v="0"/>
    <x v="0"/>
    <x v="0"/>
    <x v="7"/>
    <x v="17"/>
    <s v="SE3_EL"/>
    <x v="2"/>
    <s v="GHOB_WASTEHEAT"/>
    <x v="0"/>
    <x v="18"/>
    <n v="27.2206959706959"/>
    <n v="9935.5540293039903"/>
    <n v="35767.994505494396"/>
  </r>
  <r>
    <x v="0"/>
    <x v="0"/>
    <x v="0"/>
    <x v="7"/>
    <x v="17"/>
    <s v="SE3_EL"/>
    <x v="2"/>
    <s v="GHOB_WASTEHEAT"/>
    <x v="0"/>
    <x v="19"/>
    <n v="27.2206959706959"/>
    <n v="9935.5540293039903"/>
    <n v="35767.994505494396"/>
  </r>
  <r>
    <x v="0"/>
    <x v="0"/>
    <x v="0"/>
    <x v="7"/>
    <x v="17"/>
    <s v="SE3_EL"/>
    <x v="2"/>
    <s v="GHOB_WASTEHEAT"/>
    <x v="0"/>
    <x v="20"/>
    <n v="27.2206959706959"/>
    <n v="9935.5540293039903"/>
    <n v="35767.994505494396"/>
  </r>
  <r>
    <x v="0"/>
    <x v="0"/>
    <x v="0"/>
    <x v="7"/>
    <x v="17"/>
    <s v="SE3_EL"/>
    <x v="2"/>
    <s v="GHOB_WASTEHEAT"/>
    <x v="0"/>
    <x v="21"/>
    <n v="27.2206959706959"/>
    <n v="9935.5540293039903"/>
    <n v="35767.994505494396"/>
  </r>
  <r>
    <x v="0"/>
    <x v="0"/>
    <x v="0"/>
    <x v="7"/>
    <x v="17"/>
    <s v="SE3_EL"/>
    <x v="2"/>
    <s v="GHOB_WASTEHEAT"/>
    <x v="0"/>
    <x v="22"/>
    <n v="27.2206959706959"/>
    <n v="9935.5540293039903"/>
    <n v="35767.994505494396"/>
  </r>
  <r>
    <x v="0"/>
    <x v="0"/>
    <x v="0"/>
    <x v="7"/>
    <x v="17"/>
    <s v="SE3_EL"/>
    <x v="8"/>
    <s v="GBPR_WOODWASTE_25"/>
    <x v="0"/>
    <x v="9"/>
    <n v="216.33019964973701"/>
    <n v="78960.522872154106"/>
    <n v="284257.88233975501"/>
  </r>
  <r>
    <x v="0"/>
    <x v="0"/>
    <x v="0"/>
    <x v="7"/>
    <x v="17"/>
    <s v="SE3_EL"/>
    <x v="8"/>
    <s v="GBPR_WOODWASTE_25"/>
    <x v="0"/>
    <x v="10"/>
    <n v="216.33019964973701"/>
    <n v="78960.522872154106"/>
    <n v="284257.88233975501"/>
  </r>
  <r>
    <x v="0"/>
    <x v="0"/>
    <x v="0"/>
    <x v="7"/>
    <x v="17"/>
    <s v="SE3_EL"/>
    <x v="8"/>
    <s v="GBPR_WOODWASTE_25"/>
    <x v="0"/>
    <x v="11"/>
    <n v="216.33019964973701"/>
    <n v="78960.522872154106"/>
    <n v="284257.88233975501"/>
  </r>
  <r>
    <x v="0"/>
    <x v="0"/>
    <x v="0"/>
    <x v="7"/>
    <x v="17"/>
    <s v="SE3_EL"/>
    <x v="8"/>
    <s v="GBPR_WOODWASTE_25"/>
    <x v="0"/>
    <x v="12"/>
    <n v="216.33019964973701"/>
    <n v="78960.522872154106"/>
    <n v="284257.88233975501"/>
  </r>
  <r>
    <x v="0"/>
    <x v="0"/>
    <x v="0"/>
    <x v="7"/>
    <x v="17"/>
    <s v="SE3_EL"/>
    <x v="8"/>
    <s v="GBPR_WOODWASTE_25"/>
    <x v="0"/>
    <x v="13"/>
    <n v="216.33019964973701"/>
    <n v="78960.522872154106"/>
    <n v="284257.88233975501"/>
  </r>
  <r>
    <x v="0"/>
    <x v="0"/>
    <x v="0"/>
    <x v="7"/>
    <x v="17"/>
    <s v="SE3_EL"/>
    <x v="8"/>
    <s v="GBPR_WOODWASTE_25"/>
    <x v="0"/>
    <x v="0"/>
    <n v="216.33019964973701"/>
    <n v="78960.522872154106"/>
    <n v="284257.88233975501"/>
  </r>
  <r>
    <x v="0"/>
    <x v="0"/>
    <x v="0"/>
    <x v="7"/>
    <x v="17"/>
    <s v="SE3_EL"/>
    <x v="8"/>
    <s v="GBPR_WOODWASTE_25"/>
    <x v="0"/>
    <x v="14"/>
    <n v="216.33019964973701"/>
    <n v="78960.522872154106"/>
    <n v="284257.88233975501"/>
  </r>
  <r>
    <x v="0"/>
    <x v="0"/>
    <x v="0"/>
    <x v="7"/>
    <x v="17"/>
    <s v="SE3_EL"/>
    <x v="8"/>
    <s v="GBPR_WOODWASTE_25"/>
    <x v="0"/>
    <x v="1"/>
    <n v="216.33019964973701"/>
    <n v="78960.522872154106"/>
    <n v="284257.88233975501"/>
  </r>
  <r>
    <x v="0"/>
    <x v="0"/>
    <x v="0"/>
    <x v="7"/>
    <x v="17"/>
    <s v="SE3_EL"/>
    <x v="8"/>
    <s v="GBPR_WOODWASTE_25"/>
    <x v="0"/>
    <x v="23"/>
    <n v="216.33019964973701"/>
    <n v="78960.522872154106"/>
    <n v="284257.88233975501"/>
  </r>
  <r>
    <x v="0"/>
    <x v="0"/>
    <x v="0"/>
    <x v="7"/>
    <x v="17"/>
    <s v="SE3_EL"/>
    <x v="8"/>
    <s v="GBPR_WOODWASTE_25"/>
    <x v="0"/>
    <x v="2"/>
    <n v="216.33019964973701"/>
    <n v="78960.522872154106"/>
    <n v="284257.88233975501"/>
  </r>
  <r>
    <x v="0"/>
    <x v="0"/>
    <x v="0"/>
    <x v="7"/>
    <x v="17"/>
    <s v="SE3_EL"/>
    <x v="8"/>
    <s v="GBPR_WOODWASTE_25"/>
    <x v="0"/>
    <x v="3"/>
    <n v="216.33019964973701"/>
    <n v="78960.522872154106"/>
    <n v="284257.88233975501"/>
  </r>
  <r>
    <x v="0"/>
    <x v="0"/>
    <x v="0"/>
    <x v="7"/>
    <x v="17"/>
    <s v="SE3_EL"/>
    <x v="8"/>
    <s v="GBPR_WOODWASTE_25"/>
    <x v="0"/>
    <x v="4"/>
    <n v="216.33019964973701"/>
    <n v="78960.522872154106"/>
    <n v="284257.88233975501"/>
  </r>
  <r>
    <x v="0"/>
    <x v="0"/>
    <x v="0"/>
    <x v="7"/>
    <x v="17"/>
    <s v="SE3_EL"/>
    <x v="8"/>
    <s v="GBPR_WOODWASTE_25"/>
    <x v="0"/>
    <x v="5"/>
    <n v="216.33019964973701"/>
    <n v="78960.522872154106"/>
    <n v="284257.88233975501"/>
  </r>
  <r>
    <x v="0"/>
    <x v="0"/>
    <x v="0"/>
    <x v="7"/>
    <x v="17"/>
    <s v="SE3_EL"/>
    <x v="8"/>
    <s v="GBPR_WOODWASTE_25"/>
    <x v="0"/>
    <x v="15"/>
    <n v="216.33019964973701"/>
    <n v="78960.522872154106"/>
    <n v="284257.88233975501"/>
  </r>
  <r>
    <x v="0"/>
    <x v="0"/>
    <x v="0"/>
    <x v="7"/>
    <x v="17"/>
    <s v="SE3_EL"/>
    <x v="8"/>
    <s v="GBPR_WOODWASTE_25"/>
    <x v="0"/>
    <x v="6"/>
    <n v="216.33019964973701"/>
    <n v="78960.522872154106"/>
    <n v="284257.88233975501"/>
  </r>
  <r>
    <x v="0"/>
    <x v="0"/>
    <x v="0"/>
    <x v="7"/>
    <x v="17"/>
    <s v="SE3_EL"/>
    <x v="8"/>
    <s v="GBPR_WOODWASTE_25"/>
    <x v="0"/>
    <x v="7"/>
    <n v="216.33019964973701"/>
    <n v="78960.522872154106"/>
    <n v="284257.88233975501"/>
  </r>
  <r>
    <x v="0"/>
    <x v="0"/>
    <x v="0"/>
    <x v="7"/>
    <x v="17"/>
    <s v="SE3_EL"/>
    <x v="8"/>
    <s v="GBPR_WOODWASTE_25"/>
    <x v="0"/>
    <x v="8"/>
    <n v="216.33019964973701"/>
    <n v="78960.522872154106"/>
    <n v="284257.88233975501"/>
  </r>
  <r>
    <x v="0"/>
    <x v="0"/>
    <x v="0"/>
    <x v="7"/>
    <x v="17"/>
    <s v="SE3_EL"/>
    <x v="8"/>
    <s v="GBPR_WOODWASTE_25"/>
    <x v="0"/>
    <x v="16"/>
    <n v="216.33019964973701"/>
    <n v="78960.522872154106"/>
    <n v="284257.88233975501"/>
  </r>
  <r>
    <x v="0"/>
    <x v="0"/>
    <x v="0"/>
    <x v="7"/>
    <x v="17"/>
    <s v="SE3_EL"/>
    <x v="8"/>
    <s v="GBPR_WOODWASTE_25"/>
    <x v="0"/>
    <x v="17"/>
    <n v="216.33019964973701"/>
    <n v="78960.522872154106"/>
    <n v="284257.88233975501"/>
  </r>
  <r>
    <x v="0"/>
    <x v="0"/>
    <x v="0"/>
    <x v="7"/>
    <x v="17"/>
    <s v="SE3_EL"/>
    <x v="8"/>
    <s v="GBPR_WOODWASTE_25"/>
    <x v="0"/>
    <x v="18"/>
    <n v="216.33019964973701"/>
    <n v="78960.522872154106"/>
    <n v="284257.88233975501"/>
  </r>
  <r>
    <x v="0"/>
    <x v="0"/>
    <x v="0"/>
    <x v="7"/>
    <x v="17"/>
    <s v="SE3_EL"/>
    <x v="8"/>
    <s v="GBPR_WOODWASTE_25"/>
    <x v="0"/>
    <x v="19"/>
    <n v="216.33019964973701"/>
    <n v="78960.522872154106"/>
    <n v="284257.88233975501"/>
  </r>
  <r>
    <x v="0"/>
    <x v="0"/>
    <x v="0"/>
    <x v="7"/>
    <x v="17"/>
    <s v="SE3_EL"/>
    <x v="8"/>
    <s v="GBPR_WOODWASTE_25"/>
    <x v="0"/>
    <x v="20"/>
    <n v="216.33019964973701"/>
    <n v="78960.522872154106"/>
    <n v="284257.88233975501"/>
  </r>
  <r>
    <x v="0"/>
    <x v="0"/>
    <x v="0"/>
    <x v="7"/>
    <x v="17"/>
    <s v="SE3_EL"/>
    <x v="8"/>
    <s v="GBPR_WOODWASTE_25"/>
    <x v="0"/>
    <x v="21"/>
    <n v="216.33019964973701"/>
    <n v="78960.522872154106"/>
    <n v="284257.88233975501"/>
  </r>
  <r>
    <x v="0"/>
    <x v="0"/>
    <x v="0"/>
    <x v="7"/>
    <x v="17"/>
    <s v="SE3_EL"/>
    <x v="8"/>
    <s v="GBPR_WOODWASTE_25"/>
    <x v="0"/>
    <x v="22"/>
    <n v="216.33019964973701"/>
    <n v="78960.522872154106"/>
    <n v="284257.88233975501"/>
  </r>
  <r>
    <x v="0"/>
    <x v="0"/>
    <x v="0"/>
    <x v="7"/>
    <x v="17"/>
    <s v="SE3_EL"/>
    <x v="8"/>
    <s v="GBPR_WOODWASTE_ABY"/>
    <x v="0"/>
    <x v="9"/>
    <n v="90.398038528896294"/>
    <n v="32995.284063047096"/>
    <n v="118783.02262697001"/>
  </r>
  <r>
    <x v="0"/>
    <x v="0"/>
    <x v="0"/>
    <x v="7"/>
    <x v="17"/>
    <s v="SE3_EL"/>
    <x v="8"/>
    <s v="GBPR_WOODWASTE_ABY"/>
    <x v="0"/>
    <x v="10"/>
    <n v="90.398038528896294"/>
    <n v="32995.284063047096"/>
    <n v="118783.02262697001"/>
  </r>
  <r>
    <x v="0"/>
    <x v="0"/>
    <x v="0"/>
    <x v="7"/>
    <x v="17"/>
    <s v="SE3_EL"/>
    <x v="8"/>
    <s v="GBPR_WOODWASTE_ABY"/>
    <x v="0"/>
    <x v="11"/>
    <n v="90.398038528896294"/>
    <n v="32995.284063047096"/>
    <n v="118783.02262697001"/>
  </r>
  <r>
    <x v="0"/>
    <x v="0"/>
    <x v="0"/>
    <x v="7"/>
    <x v="17"/>
    <s v="SE3_EL"/>
    <x v="8"/>
    <s v="GBPR_WOODWASTE_ABY"/>
    <x v="0"/>
    <x v="12"/>
    <n v="90.398038528896294"/>
    <n v="32995.284063047096"/>
    <n v="118783.02262697001"/>
  </r>
  <r>
    <x v="0"/>
    <x v="0"/>
    <x v="0"/>
    <x v="7"/>
    <x v="17"/>
    <s v="SE3_EL"/>
    <x v="8"/>
    <s v="GBPR_WOODWASTE_ABY"/>
    <x v="0"/>
    <x v="13"/>
    <n v="90.398038528896294"/>
    <n v="32995.284063047096"/>
    <n v="118783.02262697001"/>
  </r>
  <r>
    <x v="0"/>
    <x v="0"/>
    <x v="0"/>
    <x v="7"/>
    <x v="17"/>
    <s v="SE3_EL"/>
    <x v="8"/>
    <s v="GBPR_WOODWASTE_ABY"/>
    <x v="0"/>
    <x v="0"/>
    <n v="90.398038528896294"/>
    <n v="32995.284063047096"/>
    <n v="118783.02262697001"/>
  </r>
  <r>
    <x v="0"/>
    <x v="0"/>
    <x v="0"/>
    <x v="7"/>
    <x v="17"/>
    <s v="SE3_EL"/>
    <x v="8"/>
    <s v="GBPR_WOODWASTE_ABY"/>
    <x v="0"/>
    <x v="14"/>
    <n v="90.398038528896294"/>
    <n v="32995.284063047096"/>
    <n v="118783.02262697001"/>
  </r>
  <r>
    <x v="0"/>
    <x v="0"/>
    <x v="0"/>
    <x v="7"/>
    <x v="17"/>
    <s v="SE3_EL"/>
    <x v="8"/>
    <s v="GBPR_WOODWASTE_ABY"/>
    <x v="0"/>
    <x v="1"/>
    <n v="90.398038528896294"/>
    <n v="32995.284063047096"/>
    <n v="118783.02262697001"/>
  </r>
  <r>
    <x v="0"/>
    <x v="0"/>
    <x v="0"/>
    <x v="7"/>
    <x v="17"/>
    <s v="SE3_EL"/>
    <x v="8"/>
    <s v="GBPR_WOODWASTE_ABY"/>
    <x v="0"/>
    <x v="23"/>
    <n v="90.398038528896294"/>
    <n v="32995.284063047096"/>
    <n v="118783.02262697001"/>
  </r>
  <r>
    <x v="0"/>
    <x v="0"/>
    <x v="0"/>
    <x v="7"/>
    <x v="17"/>
    <s v="SE3_EL"/>
    <x v="8"/>
    <s v="GBPR_WOODWASTE_ABY"/>
    <x v="0"/>
    <x v="2"/>
    <n v="90.398038528896294"/>
    <n v="32995.284063047096"/>
    <n v="118783.02262697001"/>
  </r>
  <r>
    <x v="0"/>
    <x v="0"/>
    <x v="0"/>
    <x v="7"/>
    <x v="17"/>
    <s v="SE3_EL"/>
    <x v="8"/>
    <s v="GBPR_WOODWASTE_ABY"/>
    <x v="0"/>
    <x v="3"/>
    <n v="90.398038528896294"/>
    <n v="32995.284063047096"/>
    <n v="118783.02262697001"/>
  </r>
  <r>
    <x v="0"/>
    <x v="0"/>
    <x v="0"/>
    <x v="7"/>
    <x v="17"/>
    <s v="SE3_EL"/>
    <x v="8"/>
    <s v="GBPR_WOODWASTE_ABY"/>
    <x v="0"/>
    <x v="4"/>
    <n v="90.398038528896294"/>
    <n v="32995.284063047096"/>
    <n v="118783.02262697001"/>
  </r>
  <r>
    <x v="0"/>
    <x v="0"/>
    <x v="0"/>
    <x v="7"/>
    <x v="17"/>
    <s v="SE3_EL"/>
    <x v="8"/>
    <s v="GBPR_WOODWASTE_ABY"/>
    <x v="0"/>
    <x v="5"/>
    <n v="90.398038528896294"/>
    <n v="32995.284063047096"/>
    <n v="118783.02262697001"/>
  </r>
  <r>
    <x v="0"/>
    <x v="0"/>
    <x v="0"/>
    <x v="7"/>
    <x v="17"/>
    <s v="SE3_EL"/>
    <x v="8"/>
    <s v="GBPR_WOODWASTE_ABY"/>
    <x v="0"/>
    <x v="15"/>
    <n v="90.398038528896294"/>
    <n v="32995.284063047096"/>
    <n v="118783.02262697001"/>
  </r>
  <r>
    <x v="0"/>
    <x v="0"/>
    <x v="0"/>
    <x v="7"/>
    <x v="17"/>
    <s v="SE3_EL"/>
    <x v="8"/>
    <s v="GBPR_WOODWASTE_ABY"/>
    <x v="0"/>
    <x v="6"/>
    <n v="90.398038528896294"/>
    <n v="32995.284063047096"/>
    <n v="118783.02262697001"/>
  </r>
  <r>
    <x v="0"/>
    <x v="0"/>
    <x v="0"/>
    <x v="7"/>
    <x v="17"/>
    <s v="SE3_EL"/>
    <x v="8"/>
    <s v="GBPR_WOODWASTE_ABY"/>
    <x v="0"/>
    <x v="7"/>
    <n v="90.398038528896294"/>
    <n v="32995.284063047096"/>
    <n v="118783.02262697001"/>
  </r>
  <r>
    <x v="0"/>
    <x v="0"/>
    <x v="0"/>
    <x v="7"/>
    <x v="17"/>
    <s v="SE3_EL"/>
    <x v="8"/>
    <s v="GBPR_WOODWASTE_ABY"/>
    <x v="0"/>
    <x v="8"/>
    <n v="90.398038528896294"/>
    <n v="32995.284063047096"/>
    <n v="118783.02262697001"/>
  </r>
  <r>
    <x v="0"/>
    <x v="0"/>
    <x v="0"/>
    <x v="7"/>
    <x v="17"/>
    <s v="SE3_EL"/>
    <x v="8"/>
    <s v="GBPR_WOODWASTE_ABY"/>
    <x v="0"/>
    <x v="16"/>
    <n v="90.398038528896294"/>
    <n v="32995.284063047096"/>
    <n v="118783.02262697001"/>
  </r>
  <r>
    <x v="0"/>
    <x v="0"/>
    <x v="0"/>
    <x v="7"/>
    <x v="17"/>
    <s v="SE3_EL"/>
    <x v="8"/>
    <s v="GBPR_WOODWASTE_ABY"/>
    <x v="0"/>
    <x v="17"/>
    <n v="90.398038528896294"/>
    <n v="32995.284063047096"/>
    <n v="118783.02262697001"/>
  </r>
  <r>
    <x v="0"/>
    <x v="0"/>
    <x v="0"/>
    <x v="7"/>
    <x v="17"/>
    <s v="SE3_EL"/>
    <x v="8"/>
    <s v="GBPR_WOODWASTE_ABY"/>
    <x v="0"/>
    <x v="18"/>
    <n v="90.398038528896294"/>
    <n v="32995.284063047096"/>
    <n v="118783.02262697001"/>
  </r>
  <r>
    <x v="0"/>
    <x v="0"/>
    <x v="0"/>
    <x v="7"/>
    <x v="17"/>
    <s v="SE3_EL"/>
    <x v="8"/>
    <s v="GBPR_WOODWASTE_ABY"/>
    <x v="0"/>
    <x v="19"/>
    <n v="90.398038528896294"/>
    <n v="32995.284063047096"/>
    <n v="118783.02262697001"/>
  </r>
  <r>
    <x v="0"/>
    <x v="0"/>
    <x v="0"/>
    <x v="7"/>
    <x v="17"/>
    <s v="SE3_EL"/>
    <x v="8"/>
    <s v="GBPR_WOODWASTE_ABY"/>
    <x v="0"/>
    <x v="20"/>
    <n v="90.398038528896294"/>
    <n v="32995.284063047096"/>
    <n v="118783.02262697001"/>
  </r>
  <r>
    <x v="0"/>
    <x v="0"/>
    <x v="0"/>
    <x v="7"/>
    <x v="17"/>
    <s v="SE3_EL"/>
    <x v="8"/>
    <s v="GBPR_WOODWASTE_ABY"/>
    <x v="0"/>
    <x v="21"/>
    <n v="90.398038528896294"/>
    <n v="32995.284063047096"/>
    <n v="118783.02262697001"/>
  </r>
  <r>
    <x v="0"/>
    <x v="0"/>
    <x v="0"/>
    <x v="7"/>
    <x v="17"/>
    <s v="SE3_EL"/>
    <x v="8"/>
    <s v="GBPR_WOODWASTE_ABY"/>
    <x v="0"/>
    <x v="22"/>
    <n v="90.398038528896294"/>
    <n v="32995.284063047096"/>
    <n v="118783.02262697001"/>
  </r>
  <r>
    <x v="0"/>
    <x v="0"/>
    <x v="0"/>
    <x v="7"/>
    <x v="17"/>
    <s v="SE3_EL"/>
    <x v="8"/>
    <s v="GHOB_WOODWASTE"/>
    <x v="0"/>
    <x v="9"/>
    <n v="57.099073555166399"/>
    <n v="20841.1618476357"/>
    <n v="75028.182651488605"/>
  </r>
  <r>
    <x v="0"/>
    <x v="0"/>
    <x v="0"/>
    <x v="7"/>
    <x v="17"/>
    <s v="SE3_EL"/>
    <x v="8"/>
    <s v="GHOB_WOODWASTE"/>
    <x v="0"/>
    <x v="10"/>
    <n v="57.099073555166399"/>
    <n v="20841.1618476357"/>
    <n v="75028.182651488605"/>
  </r>
  <r>
    <x v="0"/>
    <x v="0"/>
    <x v="0"/>
    <x v="7"/>
    <x v="17"/>
    <s v="SE3_EL"/>
    <x v="8"/>
    <s v="GHOB_WOODWASTE"/>
    <x v="0"/>
    <x v="11"/>
    <n v="57.099073555166399"/>
    <n v="20841.1618476357"/>
    <n v="75028.182651488605"/>
  </r>
  <r>
    <x v="0"/>
    <x v="0"/>
    <x v="0"/>
    <x v="7"/>
    <x v="17"/>
    <s v="SE3_EL"/>
    <x v="8"/>
    <s v="GHOB_WOODWASTE"/>
    <x v="0"/>
    <x v="12"/>
    <n v="57.099073555166399"/>
    <n v="20841.1618476357"/>
    <n v="75028.182651488605"/>
  </r>
  <r>
    <x v="0"/>
    <x v="0"/>
    <x v="0"/>
    <x v="7"/>
    <x v="17"/>
    <s v="SE3_EL"/>
    <x v="8"/>
    <s v="GHOB_WOODWASTE"/>
    <x v="0"/>
    <x v="13"/>
    <n v="57.099073555166399"/>
    <n v="20841.1618476357"/>
    <n v="75028.182651488605"/>
  </r>
  <r>
    <x v="0"/>
    <x v="0"/>
    <x v="0"/>
    <x v="7"/>
    <x v="17"/>
    <s v="SE3_EL"/>
    <x v="8"/>
    <s v="GHOB_WOODWASTE"/>
    <x v="0"/>
    <x v="0"/>
    <n v="57.099073555166399"/>
    <n v="20841.1618476357"/>
    <n v="75028.182651488605"/>
  </r>
  <r>
    <x v="0"/>
    <x v="0"/>
    <x v="0"/>
    <x v="7"/>
    <x v="17"/>
    <s v="SE3_EL"/>
    <x v="8"/>
    <s v="GHOB_WOODWASTE"/>
    <x v="0"/>
    <x v="14"/>
    <n v="57.099073555166399"/>
    <n v="20841.1618476357"/>
    <n v="75028.182651488605"/>
  </r>
  <r>
    <x v="0"/>
    <x v="0"/>
    <x v="0"/>
    <x v="7"/>
    <x v="17"/>
    <s v="SE3_EL"/>
    <x v="8"/>
    <s v="GHOB_WOODWASTE"/>
    <x v="0"/>
    <x v="1"/>
    <n v="57.099073555166399"/>
    <n v="20841.1618476357"/>
    <n v="75028.182651488605"/>
  </r>
  <r>
    <x v="0"/>
    <x v="0"/>
    <x v="0"/>
    <x v="7"/>
    <x v="17"/>
    <s v="SE3_EL"/>
    <x v="8"/>
    <s v="GHOB_WOODWASTE"/>
    <x v="0"/>
    <x v="23"/>
    <n v="57.099073555166399"/>
    <n v="20841.1618476357"/>
    <n v="75028.182651488605"/>
  </r>
  <r>
    <x v="0"/>
    <x v="0"/>
    <x v="0"/>
    <x v="7"/>
    <x v="17"/>
    <s v="SE3_EL"/>
    <x v="8"/>
    <s v="GHOB_WOODWASTE"/>
    <x v="0"/>
    <x v="2"/>
    <n v="57.099073555166399"/>
    <n v="20841.1618476357"/>
    <n v="75028.182651488605"/>
  </r>
  <r>
    <x v="0"/>
    <x v="0"/>
    <x v="0"/>
    <x v="7"/>
    <x v="17"/>
    <s v="SE3_EL"/>
    <x v="8"/>
    <s v="GHOB_WOODWASTE"/>
    <x v="0"/>
    <x v="3"/>
    <n v="57.099073555166399"/>
    <n v="20841.1618476357"/>
    <n v="75028.182651488605"/>
  </r>
  <r>
    <x v="0"/>
    <x v="0"/>
    <x v="0"/>
    <x v="7"/>
    <x v="17"/>
    <s v="SE3_EL"/>
    <x v="8"/>
    <s v="GHOB_WOODWASTE"/>
    <x v="0"/>
    <x v="4"/>
    <n v="57.099073555166399"/>
    <n v="20841.1618476357"/>
    <n v="75028.182651488605"/>
  </r>
  <r>
    <x v="0"/>
    <x v="0"/>
    <x v="0"/>
    <x v="7"/>
    <x v="17"/>
    <s v="SE3_EL"/>
    <x v="8"/>
    <s v="GHOB_WOODWASTE"/>
    <x v="0"/>
    <x v="5"/>
    <n v="57.099073555166399"/>
    <n v="20841.1618476357"/>
    <n v="75028.182651488605"/>
  </r>
  <r>
    <x v="0"/>
    <x v="0"/>
    <x v="0"/>
    <x v="7"/>
    <x v="17"/>
    <s v="SE3_EL"/>
    <x v="8"/>
    <s v="GHOB_WOODWASTE"/>
    <x v="0"/>
    <x v="15"/>
    <n v="57.099073555166399"/>
    <n v="20841.1618476357"/>
    <n v="75028.182651488605"/>
  </r>
  <r>
    <x v="0"/>
    <x v="0"/>
    <x v="0"/>
    <x v="7"/>
    <x v="17"/>
    <s v="SE3_EL"/>
    <x v="8"/>
    <s v="GHOB_WOODWASTE"/>
    <x v="0"/>
    <x v="6"/>
    <n v="57.099073555166399"/>
    <n v="20841.1618476357"/>
    <n v="75028.182651488605"/>
  </r>
  <r>
    <x v="0"/>
    <x v="0"/>
    <x v="0"/>
    <x v="7"/>
    <x v="17"/>
    <s v="SE3_EL"/>
    <x v="8"/>
    <s v="GHOB_WOODWASTE"/>
    <x v="0"/>
    <x v="7"/>
    <n v="57.099073555166399"/>
    <n v="20841.1618476357"/>
    <n v="75028.182651488605"/>
  </r>
  <r>
    <x v="0"/>
    <x v="0"/>
    <x v="0"/>
    <x v="7"/>
    <x v="17"/>
    <s v="SE3_EL"/>
    <x v="8"/>
    <s v="GHOB_WOODWASTE"/>
    <x v="0"/>
    <x v="8"/>
    <n v="57.099073555166399"/>
    <n v="20841.1618476357"/>
    <n v="75028.182651488605"/>
  </r>
  <r>
    <x v="0"/>
    <x v="0"/>
    <x v="0"/>
    <x v="7"/>
    <x v="17"/>
    <s v="SE3_EL"/>
    <x v="8"/>
    <s v="GHOB_WOODWASTE"/>
    <x v="0"/>
    <x v="16"/>
    <n v="57.099073555166399"/>
    <n v="20841.1618476357"/>
    <n v="75028.182651488605"/>
  </r>
  <r>
    <x v="0"/>
    <x v="0"/>
    <x v="0"/>
    <x v="7"/>
    <x v="17"/>
    <s v="SE3_EL"/>
    <x v="8"/>
    <s v="GHOB_WOODWASTE"/>
    <x v="0"/>
    <x v="17"/>
    <n v="57.099073555166399"/>
    <n v="20841.1618476357"/>
    <n v="75028.182651488605"/>
  </r>
  <r>
    <x v="0"/>
    <x v="0"/>
    <x v="0"/>
    <x v="7"/>
    <x v="17"/>
    <s v="SE3_EL"/>
    <x v="8"/>
    <s v="GHOB_WOODWASTE"/>
    <x v="0"/>
    <x v="18"/>
    <n v="57.099073555166399"/>
    <n v="20841.1618476357"/>
    <n v="75028.182651488605"/>
  </r>
  <r>
    <x v="0"/>
    <x v="0"/>
    <x v="0"/>
    <x v="7"/>
    <x v="17"/>
    <s v="SE3_EL"/>
    <x v="8"/>
    <s v="GHOB_WOODWASTE"/>
    <x v="0"/>
    <x v="19"/>
    <n v="57.099073555166399"/>
    <n v="20841.1618476357"/>
    <n v="75028.182651488605"/>
  </r>
  <r>
    <x v="0"/>
    <x v="0"/>
    <x v="0"/>
    <x v="7"/>
    <x v="17"/>
    <s v="SE3_EL"/>
    <x v="8"/>
    <s v="GHOB_WOODWASTE"/>
    <x v="0"/>
    <x v="20"/>
    <n v="57.099073555166399"/>
    <n v="20841.1618476357"/>
    <n v="75028.182651488605"/>
  </r>
  <r>
    <x v="0"/>
    <x v="0"/>
    <x v="0"/>
    <x v="7"/>
    <x v="17"/>
    <s v="SE3_EL"/>
    <x v="8"/>
    <s v="GHOB_WOODWASTE"/>
    <x v="0"/>
    <x v="21"/>
    <n v="57.099073555166399"/>
    <n v="20841.1618476357"/>
    <n v="75028.182651488605"/>
  </r>
  <r>
    <x v="0"/>
    <x v="0"/>
    <x v="0"/>
    <x v="7"/>
    <x v="17"/>
    <s v="SE3_EL"/>
    <x v="8"/>
    <s v="GHOB_WOODWASTE"/>
    <x v="0"/>
    <x v="22"/>
    <n v="57.099073555166399"/>
    <n v="20841.1618476357"/>
    <n v="75028.182651488605"/>
  </r>
  <r>
    <x v="0"/>
    <x v="0"/>
    <x v="0"/>
    <x v="7"/>
    <x v="17"/>
    <s v="SE3_GOT"/>
    <x v="3"/>
    <s v="GETOH_HEATPUMP33"/>
    <x v="0"/>
    <x v="9"/>
    <n v="13.3174636588968"/>
    <n v="4860.8742354973401"/>
    <n v="17499.147247790399"/>
  </r>
  <r>
    <x v="0"/>
    <x v="0"/>
    <x v="0"/>
    <x v="7"/>
    <x v="17"/>
    <s v="SE3_GOT"/>
    <x v="3"/>
    <s v="GETOH_HEATPUMP33"/>
    <x v="0"/>
    <x v="10"/>
    <n v="12.3470061823663"/>
    <n v="4506.6572565637098"/>
    <n v="16223.9661236294"/>
  </r>
  <r>
    <x v="0"/>
    <x v="0"/>
    <x v="0"/>
    <x v="7"/>
    <x v="17"/>
    <s v="SE3_GOT"/>
    <x v="3"/>
    <s v="GETOH_HEATPUMP33"/>
    <x v="0"/>
    <x v="11"/>
    <n v="13.809651389247099"/>
    <n v="5040.5227570751704"/>
    <n v="18145.8819254706"/>
  </r>
  <r>
    <x v="0"/>
    <x v="0"/>
    <x v="0"/>
    <x v="7"/>
    <x v="17"/>
    <s v="SE3_GOT"/>
    <x v="3"/>
    <s v="GETOH_HEATPUMP33"/>
    <x v="0"/>
    <x v="12"/>
    <n v="27.385829880802099"/>
    <n v="9995.8279064927792"/>
    <n v="35984.980463373999"/>
  </r>
  <r>
    <x v="0"/>
    <x v="0"/>
    <x v="0"/>
    <x v="7"/>
    <x v="17"/>
    <s v="SE3_GOT"/>
    <x v="3"/>
    <s v="GETOH_HEATPUMP33"/>
    <x v="0"/>
    <x v="13"/>
    <n v="50.306745730163897"/>
    <n v="18361.9621915098"/>
    <n v="66103.063889435303"/>
  </r>
  <r>
    <x v="0"/>
    <x v="0"/>
    <x v="0"/>
    <x v="7"/>
    <x v="17"/>
    <s v="SE3_GOT"/>
    <x v="3"/>
    <s v="GETOH_HEATPUMP33"/>
    <x v="0"/>
    <x v="0"/>
    <n v="97.983363001116999"/>
    <n v="35763.927495407697"/>
    <n v="128750.138983468"/>
  </r>
  <r>
    <x v="0"/>
    <x v="0"/>
    <x v="0"/>
    <x v="7"/>
    <x v="17"/>
    <s v="SE3_GOT"/>
    <x v="3"/>
    <s v="GETOH_HEATPUMP33"/>
    <x v="0"/>
    <x v="14"/>
    <n v="160"/>
    <n v="58400"/>
    <n v="210240"/>
  </r>
  <r>
    <x v="0"/>
    <x v="0"/>
    <x v="0"/>
    <x v="7"/>
    <x v="17"/>
    <s v="SE3_GOT"/>
    <x v="3"/>
    <s v="GETOH_HEATPUMP33"/>
    <x v="0"/>
    <x v="1"/>
    <n v="160"/>
    <n v="58400"/>
    <n v="210240"/>
  </r>
  <r>
    <x v="0"/>
    <x v="0"/>
    <x v="0"/>
    <x v="7"/>
    <x v="17"/>
    <s v="SE3_GOT"/>
    <x v="3"/>
    <s v="GETOH_HEATPUMP33"/>
    <x v="0"/>
    <x v="23"/>
    <n v="160"/>
    <n v="58400"/>
    <n v="210240"/>
  </r>
  <r>
    <x v="0"/>
    <x v="0"/>
    <x v="0"/>
    <x v="7"/>
    <x v="17"/>
    <s v="SE3_GOT"/>
    <x v="3"/>
    <s v="GETOH_HEATPUMP33"/>
    <x v="0"/>
    <x v="2"/>
    <n v="160"/>
    <n v="58400"/>
    <n v="210240"/>
  </r>
  <r>
    <x v="0"/>
    <x v="0"/>
    <x v="0"/>
    <x v="7"/>
    <x v="17"/>
    <s v="SE3_GOT"/>
    <x v="3"/>
    <s v="GETOH_HEATPUMP33"/>
    <x v="0"/>
    <x v="3"/>
    <n v="160"/>
    <n v="58400"/>
    <n v="210240"/>
  </r>
  <r>
    <x v="0"/>
    <x v="0"/>
    <x v="0"/>
    <x v="7"/>
    <x v="17"/>
    <s v="SE3_GOT"/>
    <x v="3"/>
    <s v="GETOH_HEATPUMP33"/>
    <x v="0"/>
    <x v="4"/>
    <n v="160"/>
    <n v="58400"/>
    <n v="210240"/>
  </r>
  <r>
    <x v="0"/>
    <x v="0"/>
    <x v="0"/>
    <x v="7"/>
    <x v="17"/>
    <s v="SE3_GOT"/>
    <x v="3"/>
    <s v="GETOH_HEATPUMP33"/>
    <x v="0"/>
    <x v="5"/>
    <n v="148.15205891054501"/>
    <n v="54075.501502348998"/>
    <n v="194671.80540845601"/>
  </r>
  <r>
    <x v="0"/>
    <x v="0"/>
    <x v="0"/>
    <x v="7"/>
    <x v="17"/>
    <s v="SE3_GOT"/>
    <x v="3"/>
    <s v="GETOH_HEATPUMP33"/>
    <x v="0"/>
    <x v="15"/>
    <n v="146.341561836446"/>
    <n v="53414.670070302898"/>
    <n v="192292.81225309"/>
  </r>
  <r>
    <x v="0"/>
    <x v="0"/>
    <x v="0"/>
    <x v="7"/>
    <x v="17"/>
    <s v="SE3_GOT"/>
    <x v="3"/>
    <s v="GETOH_HEATPUMP33"/>
    <x v="0"/>
    <x v="6"/>
    <n v="138.063225075964"/>
    <n v="50393.077152726903"/>
    <n v="181415.07774981699"/>
  </r>
  <r>
    <x v="0"/>
    <x v="0"/>
    <x v="0"/>
    <x v="7"/>
    <x v="17"/>
    <s v="SE3_GOT"/>
    <x v="3"/>
    <s v="GETOH_HEATPUMP33"/>
    <x v="0"/>
    <x v="7"/>
    <n v="132.801665191594"/>
    <n v="48472.607794931697"/>
    <n v="174501.388061754"/>
  </r>
  <r>
    <x v="0"/>
    <x v="0"/>
    <x v="0"/>
    <x v="7"/>
    <x v="17"/>
    <s v="SE3_GOT"/>
    <x v="3"/>
    <s v="GETOH_HEATPUMP33"/>
    <x v="0"/>
    <x v="8"/>
    <n v="123.381088226881"/>
    <n v="45034.097202811703"/>
    <n v="162122.74993012199"/>
  </r>
  <r>
    <x v="0"/>
    <x v="0"/>
    <x v="0"/>
    <x v="7"/>
    <x v="17"/>
    <s v="SE3_GOT"/>
    <x v="3"/>
    <s v="GETOH_HEATPUMP33"/>
    <x v="0"/>
    <x v="16"/>
    <n v="102.042533795653"/>
    <n v="37245.524835413198"/>
    <n v="134083.889407487"/>
  </r>
  <r>
    <x v="0"/>
    <x v="0"/>
    <x v="0"/>
    <x v="7"/>
    <x v="17"/>
    <s v="SE3_GOT"/>
    <x v="3"/>
    <s v="GETOH_HEATPUMP33"/>
    <x v="0"/>
    <x v="17"/>
    <n v="84.379517226805504"/>
    <n v="30798.523787784001"/>
    <n v="110874.685636022"/>
  </r>
  <r>
    <x v="0"/>
    <x v="0"/>
    <x v="0"/>
    <x v="7"/>
    <x v="17"/>
    <s v="SE3_GOT"/>
    <x v="3"/>
    <s v="GETOH_HEATPUMP33"/>
    <x v="0"/>
    <x v="18"/>
    <n v="70.593613563617296"/>
    <n v="25766.668950720301"/>
    <n v="92760.008222593096"/>
  </r>
  <r>
    <x v="0"/>
    <x v="0"/>
    <x v="0"/>
    <x v="7"/>
    <x v="17"/>
    <s v="SE3_GOT"/>
    <x v="3"/>
    <s v="GETOH_HEATPUMP33"/>
    <x v="0"/>
    <x v="19"/>
    <n v="58.238273407390402"/>
    <n v="21256.969793697499"/>
    <n v="76525.091257310996"/>
  </r>
  <r>
    <x v="0"/>
    <x v="0"/>
    <x v="0"/>
    <x v="7"/>
    <x v="17"/>
    <s v="SE3_GOT"/>
    <x v="3"/>
    <s v="GETOH_HEATPUMP33"/>
    <x v="0"/>
    <x v="20"/>
    <n v="40.737015421549899"/>
    <n v="14869.010628865701"/>
    <n v="53528.438263916498"/>
  </r>
  <r>
    <x v="0"/>
    <x v="0"/>
    <x v="0"/>
    <x v="7"/>
    <x v="17"/>
    <s v="SE3_GOT"/>
    <x v="3"/>
    <s v="GETOH_HEATPUMP33"/>
    <x v="0"/>
    <x v="21"/>
    <n v="68.450999546313696"/>
    <n v="24984.6148344045"/>
    <n v="89944.613403856099"/>
  </r>
  <r>
    <x v="0"/>
    <x v="0"/>
    <x v="0"/>
    <x v="7"/>
    <x v="17"/>
    <s v="SE3_GOT"/>
    <x v="3"/>
    <s v="GETOH_HEATPUMP33"/>
    <x v="0"/>
    <x v="22"/>
    <n v="160"/>
    <n v="58400"/>
    <n v="210240"/>
  </r>
  <r>
    <x v="0"/>
    <x v="0"/>
    <x v="0"/>
    <x v="7"/>
    <x v="17"/>
    <s v="SE3_GOT"/>
    <x v="1"/>
    <s v="GNR_HS_HEAT_WTR-TANK_LS_E-95_Y-2010"/>
    <x v="0"/>
    <x v="14"/>
    <n v="22.4826867403733"/>
    <n v="8206.1806602362594"/>
    <n v="29542.250376850501"/>
  </r>
  <r>
    <x v="0"/>
    <x v="0"/>
    <x v="0"/>
    <x v="7"/>
    <x v="17"/>
    <s v="SE3_GOT"/>
    <x v="1"/>
    <s v="GNR_HS_HEAT_WTR-TANK_LS_E-95_Y-2010"/>
    <x v="0"/>
    <x v="1"/>
    <n v="60.0628467185171"/>
    <n v="21922.939052258698"/>
    <n v="78922.580588131503"/>
  </r>
  <r>
    <x v="0"/>
    <x v="0"/>
    <x v="0"/>
    <x v="7"/>
    <x v="17"/>
    <s v="SE3_GOT"/>
    <x v="1"/>
    <s v="GNR_HS_HEAT_WTR-TANK_LS_E-95_Y-2010"/>
    <x v="0"/>
    <x v="23"/>
    <n v="53.891133042524999"/>
    <n v="19670.263560521598"/>
    <n v="70812.948817877797"/>
  </r>
  <r>
    <x v="0"/>
    <x v="0"/>
    <x v="0"/>
    <x v="7"/>
    <x v="17"/>
    <s v="SE3_GOT"/>
    <x v="1"/>
    <s v="GNR_HS_HEAT_WTR-TANK_LS_E-95_Y-2010"/>
    <x v="0"/>
    <x v="2"/>
    <n v="36.715508624631397"/>
    <n v="13401.1606479905"/>
    <n v="48244.178332765703"/>
  </r>
  <r>
    <x v="0"/>
    <x v="0"/>
    <x v="0"/>
    <x v="7"/>
    <x v="17"/>
    <s v="SE3_GOT"/>
    <x v="1"/>
    <s v="GNR_HS_HEAT_WTR-TANK_LS_E-95_Y-2010"/>
    <x v="0"/>
    <x v="3"/>
    <n v="20.9082515528785"/>
    <n v="7631.5118168006502"/>
    <n v="27473.442540482301"/>
  </r>
  <r>
    <x v="0"/>
    <x v="0"/>
    <x v="0"/>
    <x v="7"/>
    <x v="17"/>
    <s v="SE3_GOT"/>
    <x v="1"/>
    <s v="GNR_HS_HEAT_WTR-TANK_LS_E-95_Y-2010"/>
    <x v="0"/>
    <x v="4"/>
    <n v="5.1985637667862603"/>
    <n v="1897.47577487699"/>
    <n v="6830.9127895571501"/>
  </r>
  <r>
    <x v="0"/>
    <x v="0"/>
    <x v="0"/>
    <x v="7"/>
    <x v="17"/>
    <s v="SE3_GOT"/>
    <x v="4"/>
    <s v="GBPR_MUNIWASTE_24"/>
    <x v="0"/>
    <x v="9"/>
    <n v="169.166666666667"/>
    <n v="61745.833333333299"/>
    <n v="222285"/>
  </r>
  <r>
    <x v="0"/>
    <x v="0"/>
    <x v="0"/>
    <x v="7"/>
    <x v="17"/>
    <s v="SE3_GOT"/>
    <x v="4"/>
    <s v="GBPR_MUNIWASTE_24"/>
    <x v="0"/>
    <x v="10"/>
    <n v="169.166666666667"/>
    <n v="61745.833333333299"/>
    <n v="222285"/>
  </r>
  <r>
    <x v="0"/>
    <x v="0"/>
    <x v="0"/>
    <x v="7"/>
    <x v="17"/>
    <s v="SE3_GOT"/>
    <x v="4"/>
    <s v="GBPR_MUNIWASTE_24"/>
    <x v="0"/>
    <x v="11"/>
    <n v="169.166666666667"/>
    <n v="61745.833333333299"/>
    <n v="222285"/>
  </r>
  <r>
    <x v="0"/>
    <x v="0"/>
    <x v="0"/>
    <x v="7"/>
    <x v="17"/>
    <s v="SE3_GOT"/>
    <x v="4"/>
    <s v="GBPR_MUNIWASTE_24"/>
    <x v="0"/>
    <x v="12"/>
    <n v="169.166666666667"/>
    <n v="61745.833333333299"/>
    <n v="222285"/>
  </r>
  <r>
    <x v="0"/>
    <x v="0"/>
    <x v="0"/>
    <x v="7"/>
    <x v="17"/>
    <s v="SE3_GOT"/>
    <x v="4"/>
    <s v="GBPR_MUNIWASTE_24"/>
    <x v="0"/>
    <x v="13"/>
    <n v="169.166666666667"/>
    <n v="61745.833333333299"/>
    <n v="222285"/>
  </r>
  <r>
    <x v="0"/>
    <x v="0"/>
    <x v="0"/>
    <x v="7"/>
    <x v="17"/>
    <s v="SE3_GOT"/>
    <x v="4"/>
    <s v="GBPR_MUNIWASTE_24"/>
    <x v="0"/>
    <x v="0"/>
    <n v="169.166666666667"/>
    <n v="61745.833333333299"/>
    <n v="222285"/>
  </r>
  <r>
    <x v="0"/>
    <x v="0"/>
    <x v="0"/>
    <x v="7"/>
    <x v="17"/>
    <s v="SE3_GOT"/>
    <x v="4"/>
    <s v="GBPR_MUNIWASTE_24"/>
    <x v="0"/>
    <x v="14"/>
    <n v="169.166666666667"/>
    <n v="61745.833333333299"/>
    <n v="222285"/>
  </r>
  <r>
    <x v="0"/>
    <x v="0"/>
    <x v="0"/>
    <x v="7"/>
    <x v="17"/>
    <s v="SE3_GOT"/>
    <x v="4"/>
    <s v="GBPR_MUNIWASTE_24"/>
    <x v="0"/>
    <x v="1"/>
    <n v="169.166666666667"/>
    <n v="61745.833333333299"/>
    <n v="222285"/>
  </r>
  <r>
    <x v="0"/>
    <x v="0"/>
    <x v="0"/>
    <x v="7"/>
    <x v="17"/>
    <s v="SE3_GOT"/>
    <x v="4"/>
    <s v="GBPR_MUNIWASTE_24"/>
    <x v="0"/>
    <x v="23"/>
    <n v="169.166666666667"/>
    <n v="61745.833333333299"/>
    <n v="222285"/>
  </r>
  <r>
    <x v="0"/>
    <x v="0"/>
    <x v="0"/>
    <x v="7"/>
    <x v="17"/>
    <s v="SE3_GOT"/>
    <x v="4"/>
    <s v="GBPR_MUNIWASTE_24"/>
    <x v="0"/>
    <x v="2"/>
    <n v="169.166666666667"/>
    <n v="61745.833333333299"/>
    <n v="222285"/>
  </r>
  <r>
    <x v="0"/>
    <x v="0"/>
    <x v="0"/>
    <x v="7"/>
    <x v="17"/>
    <s v="SE3_GOT"/>
    <x v="4"/>
    <s v="GBPR_MUNIWASTE_24"/>
    <x v="0"/>
    <x v="3"/>
    <n v="169.166666666667"/>
    <n v="61745.833333333299"/>
    <n v="222285"/>
  </r>
  <r>
    <x v="0"/>
    <x v="0"/>
    <x v="0"/>
    <x v="7"/>
    <x v="17"/>
    <s v="SE3_GOT"/>
    <x v="4"/>
    <s v="GBPR_MUNIWASTE_24"/>
    <x v="0"/>
    <x v="4"/>
    <n v="169.166666666667"/>
    <n v="61745.833333333299"/>
    <n v="222285"/>
  </r>
  <r>
    <x v="0"/>
    <x v="0"/>
    <x v="0"/>
    <x v="7"/>
    <x v="17"/>
    <s v="SE3_GOT"/>
    <x v="4"/>
    <s v="GBPR_MUNIWASTE_24"/>
    <x v="0"/>
    <x v="5"/>
    <n v="169.166666666667"/>
    <n v="61745.833333333299"/>
    <n v="222285"/>
  </r>
  <r>
    <x v="0"/>
    <x v="0"/>
    <x v="0"/>
    <x v="7"/>
    <x v="17"/>
    <s v="SE3_GOT"/>
    <x v="4"/>
    <s v="GBPR_MUNIWASTE_24"/>
    <x v="0"/>
    <x v="15"/>
    <n v="169.166666666667"/>
    <n v="61745.833333333299"/>
    <n v="222285"/>
  </r>
  <r>
    <x v="0"/>
    <x v="0"/>
    <x v="0"/>
    <x v="7"/>
    <x v="17"/>
    <s v="SE3_GOT"/>
    <x v="4"/>
    <s v="GBPR_MUNIWASTE_24"/>
    <x v="0"/>
    <x v="6"/>
    <n v="169.166666666667"/>
    <n v="61745.833333333299"/>
    <n v="222285"/>
  </r>
  <r>
    <x v="0"/>
    <x v="0"/>
    <x v="0"/>
    <x v="7"/>
    <x v="17"/>
    <s v="SE3_GOT"/>
    <x v="4"/>
    <s v="GBPR_MUNIWASTE_24"/>
    <x v="0"/>
    <x v="7"/>
    <n v="169.166666666667"/>
    <n v="61745.833333333299"/>
    <n v="222285"/>
  </r>
  <r>
    <x v="0"/>
    <x v="0"/>
    <x v="0"/>
    <x v="7"/>
    <x v="17"/>
    <s v="SE3_GOT"/>
    <x v="4"/>
    <s v="GBPR_MUNIWASTE_24"/>
    <x v="0"/>
    <x v="8"/>
    <n v="169.166666666667"/>
    <n v="61745.833333333299"/>
    <n v="222285"/>
  </r>
  <r>
    <x v="0"/>
    <x v="0"/>
    <x v="0"/>
    <x v="7"/>
    <x v="17"/>
    <s v="SE3_GOT"/>
    <x v="4"/>
    <s v="GBPR_MUNIWASTE_24"/>
    <x v="0"/>
    <x v="16"/>
    <n v="169.166666666667"/>
    <n v="61745.833333333299"/>
    <n v="222285"/>
  </r>
  <r>
    <x v="0"/>
    <x v="0"/>
    <x v="0"/>
    <x v="7"/>
    <x v="17"/>
    <s v="SE3_GOT"/>
    <x v="4"/>
    <s v="GBPR_MUNIWASTE_24"/>
    <x v="0"/>
    <x v="17"/>
    <n v="169.166666666667"/>
    <n v="61745.833333333299"/>
    <n v="222285"/>
  </r>
  <r>
    <x v="0"/>
    <x v="0"/>
    <x v="0"/>
    <x v="7"/>
    <x v="17"/>
    <s v="SE3_GOT"/>
    <x v="4"/>
    <s v="GBPR_MUNIWASTE_24"/>
    <x v="0"/>
    <x v="18"/>
    <n v="169.166666666667"/>
    <n v="61745.833333333299"/>
    <n v="222285"/>
  </r>
  <r>
    <x v="0"/>
    <x v="0"/>
    <x v="0"/>
    <x v="7"/>
    <x v="17"/>
    <s v="SE3_GOT"/>
    <x v="4"/>
    <s v="GBPR_MUNIWASTE_24"/>
    <x v="0"/>
    <x v="19"/>
    <n v="169.166666666667"/>
    <n v="61745.833333333299"/>
    <n v="222285"/>
  </r>
  <r>
    <x v="0"/>
    <x v="0"/>
    <x v="0"/>
    <x v="7"/>
    <x v="17"/>
    <s v="SE3_GOT"/>
    <x v="4"/>
    <s v="GBPR_MUNIWASTE_24"/>
    <x v="0"/>
    <x v="20"/>
    <n v="169.166666666667"/>
    <n v="61745.833333333299"/>
    <n v="222285"/>
  </r>
  <r>
    <x v="0"/>
    <x v="0"/>
    <x v="0"/>
    <x v="7"/>
    <x v="17"/>
    <s v="SE3_GOT"/>
    <x v="4"/>
    <s v="GBPR_MUNIWASTE_24"/>
    <x v="0"/>
    <x v="21"/>
    <n v="169.166666666667"/>
    <n v="61745.833333333299"/>
    <n v="222285"/>
  </r>
  <r>
    <x v="0"/>
    <x v="0"/>
    <x v="0"/>
    <x v="7"/>
    <x v="17"/>
    <s v="SE3_GOT"/>
    <x v="4"/>
    <s v="GBPR_MUNIWASTE_24"/>
    <x v="0"/>
    <x v="22"/>
    <n v="169.166666666667"/>
    <n v="61745.833333333299"/>
    <n v="222285"/>
  </r>
  <r>
    <x v="0"/>
    <x v="0"/>
    <x v="0"/>
    <x v="7"/>
    <x v="17"/>
    <s v="SE3_GOT"/>
    <x v="2"/>
    <s v="GHOB_WASTEHEAT"/>
    <x v="0"/>
    <x v="9"/>
    <n v="118.24633699633701"/>
    <n v="43159.913003662798"/>
    <n v="155375.68681318601"/>
  </r>
  <r>
    <x v="0"/>
    <x v="0"/>
    <x v="0"/>
    <x v="7"/>
    <x v="17"/>
    <s v="SE3_GOT"/>
    <x v="2"/>
    <s v="GHOB_WASTEHEAT"/>
    <x v="0"/>
    <x v="10"/>
    <n v="118.24633699633701"/>
    <n v="43159.913003662798"/>
    <n v="155375.68681318601"/>
  </r>
  <r>
    <x v="0"/>
    <x v="0"/>
    <x v="0"/>
    <x v="7"/>
    <x v="17"/>
    <s v="SE3_GOT"/>
    <x v="2"/>
    <s v="GHOB_WASTEHEAT"/>
    <x v="0"/>
    <x v="11"/>
    <n v="118.24633699633701"/>
    <n v="43159.913003662798"/>
    <n v="155375.68681318601"/>
  </r>
  <r>
    <x v="0"/>
    <x v="0"/>
    <x v="0"/>
    <x v="7"/>
    <x v="17"/>
    <s v="SE3_GOT"/>
    <x v="2"/>
    <s v="GHOB_WASTEHEAT"/>
    <x v="0"/>
    <x v="12"/>
    <n v="118.24633699633701"/>
    <n v="43159.913003662798"/>
    <n v="155375.68681318601"/>
  </r>
  <r>
    <x v="0"/>
    <x v="0"/>
    <x v="0"/>
    <x v="7"/>
    <x v="17"/>
    <s v="SE3_GOT"/>
    <x v="2"/>
    <s v="GHOB_WASTEHEAT"/>
    <x v="0"/>
    <x v="13"/>
    <n v="118.24633699633701"/>
    <n v="43159.913003662798"/>
    <n v="155375.68681318601"/>
  </r>
  <r>
    <x v="0"/>
    <x v="0"/>
    <x v="0"/>
    <x v="7"/>
    <x v="17"/>
    <s v="SE3_GOT"/>
    <x v="2"/>
    <s v="GHOB_WASTEHEAT"/>
    <x v="0"/>
    <x v="0"/>
    <n v="118.24633699633701"/>
    <n v="43159.913003662798"/>
    <n v="155375.68681318601"/>
  </r>
  <r>
    <x v="0"/>
    <x v="0"/>
    <x v="0"/>
    <x v="7"/>
    <x v="17"/>
    <s v="SE3_GOT"/>
    <x v="2"/>
    <s v="GHOB_WASTEHEAT"/>
    <x v="0"/>
    <x v="14"/>
    <n v="118.24633699633701"/>
    <n v="43159.913003662798"/>
    <n v="155375.68681318601"/>
  </r>
  <r>
    <x v="0"/>
    <x v="0"/>
    <x v="0"/>
    <x v="7"/>
    <x v="17"/>
    <s v="SE3_GOT"/>
    <x v="2"/>
    <s v="GHOB_WASTEHEAT"/>
    <x v="0"/>
    <x v="1"/>
    <n v="118.24633699633701"/>
    <n v="43159.913003662798"/>
    <n v="155375.68681318601"/>
  </r>
  <r>
    <x v="0"/>
    <x v="0"/>
    <x v="0"/>
    <x v="7"/>
    <x v="17"/>
    <s v="SE3_GOT"/>
    <x v="2"/>
    <s v="GHOB_WASTEHEAT"/>
    <x v="0"/>
    <x v="23"/>
    <n v="118.24633699633701"/>
    <n v="43159.913003662798"/>
    <n v="155375.68681318601"/>
  </r>
  <r>
    <x v="0"/>
    <x v="0"/>
    <x v="0"/>
    <x v="7"/>
    <x v="17"/>
    <s v="SE3_GOT"/>
    <x v="2"/>
    <s v="GHOB_WASTEHEAT"/>
    <x v="0"/>
    <x v="2"/>
    <n v="118.24633699633701"/>
    <n v="43159.913003662798"/>
    <n v="155375.68681318601"/>
  </r>
  <r>
    <x v="0"/>
    <x v="0"/>
    <x v="0"/>
    <x v="7"/>
    <x v="17"/>
    <s v="SE3_GOT"/>
    <x v="2"/>
    <s v="GHOB_WASTEHEAT"/>
    <x v="0"/>
    <x v="3"/>
    <n v="118.24633699633701"/>
    <n v="43159.913003662798"/>
    <n v="155375.68681318601"/>
  </r>
  <r>
    <x v="0"/>
    <x v="0"/>
    <x v="0"/>
    <x v="7"/>
    <x v="17"/>
    <s v="SE3_GOT"/>
    <x v="2"/>
    <s v="GHOB_WASTEHEAT"/>
    <x v="0"/>
    <x v="4"/>
    <n v="118.24633699633701"/>
    <n v="43159.913003662798"/>
    <n v="155375.68681318601"/>
  </r>
  <r>
    <x v="0"/>
    <x v="0"/>
    <x v="0"/>
    <x v="7"/>
    <x v="17"/>
    <s v="SE3_GOT"/>
    <x v="2"/>
    <s v="GHOB_WASTEHEAT"/>
    <x v="0"/>
    <x v="5"/>
    <n v="118.24633699633701"/>
    <n v="43159.913003662798"/>
    <n v="155375.68681318601"/>
  </r>
  <r>
    <x v="0"/>
    <x v="0"/>
    <x v="0"/>
    <x v="7"/>
    <x v="17"/>
    <s v="SE3_GOT"/>
    <x v="2"/>
    <s v="GHOB_WASTEHEAT"/>
    <x v="0"/>
    <x v="15"/>
    <n v="118.24633699633701"/>
    <n v="43159.913003662798"/>
    <n v="155375.68681318601"/>
  </r>
  <r>
    <x v="0"/>
    <x v="0"/>
    <x v="0"/>
    <x v="7"/>
    <x v="17"/>
    <s v="SE3_GOT"/>
    <x v="2"/>
    <s v="GHOB_WASTEHEAT"/>
    <x v="0"/>
    <x v="6"/>
    <n v="118.24633699633701"/>
    <n v="43159.913003662798"/>
    <n v="155375.68681318601"/>
  </r>
  <r>
    <x v="0"/>
    <x v="0"/>
    <x v="0"/>
    <x v="7"/>
    <x v="17"/>
    <s v="SE3_GOT"/>
    <x v="2"/>
    <s v="GHOB_WASTEHEAT"/>
    <x v="0"/>
    <x v="7"/>
    <n v="118.24633699633701"/>
    <n v="43159.913003662798"/>
    <n v="155375.68681318601"/>
  </r>
  <r>
    <x v="0"/>
    <x v="0"/>
    <x v="0"/>
    <x v="7"/>
    <x v="17"/>
    <s v="SE3_GOT"/>
    <x v="2"/>
    <s v="GHOB_WASTEHEAT"/>
    <x v="0"/>
    <x v="8"/>
    <n v="118.24633699633701"/>
    <n v="43159.913003662798"/>
    <n v="155375.68681318601"/>
  </r>
  <r>
    <x v="0"/>
    <x v="0"/>
    <x v="0"/>
    <x v="7"/>
    <x v="17"/>
    <s v="SE3_GOT"/>
    <x v="2"/>
    <s v="GHOB_WASTEHEAT"/>
    <x v="0"/>
    <x v="16"/>
    <n v="118.24633699633701"/>
    <n v="43159.913003662798"/>
    <n v="155375.68681318601"/>
  </r>
  <r>
    <x v="0"/>
    <x v="0"/>
    <x v="0"/>
    <x v="7"/>
    <x v="17"/>
    <s v="SE3_GOT"/>
    <x v="2"/>
    <s v="GHOB_WASTEHEAT"/>
    <x v="0"/>
    <x v="17"/>
    <n v="118.24633699633701"/>
    <n v="43159.913003662798"/>
    <n v="155375.68681318601"/>
  </r>
  <r>
    <x v="0"/>
    <x v="0"/>
    <x v="0"/>
    <x v="7"/>
    <x v="17"/>
    <s v="SE3_GOT"/>
    <x v="2"/>
    <s v="GHOB_WASTEHEAT"/>
    <x v="0"/>
    <x v="18"/>
    <n v="118.24633699633701"/>
    <n v="43159.913003662798"/>
    <n v="155375.68681318601"/>
  </r>
  <r>
    <x v="0"/>
    <x v="0"/>
    <x v="0"/>
    <x v="7"/>
    <x v="17"/>
    <s v="SE3_GOT"/>
    <x v="2"/>
    <s v="GHOB_WASTEHEAT"/>
    <x v="0"/>
    <x v="19"/>
    <n v="118.24633699633701"/>
    <n v="43159.913003662798"/>
    <n v="155375.68681318601"/>
  </r>
  <r>
    <x v="0"/>
    <x v="0"/>
    <x v="0"/>
    <x v="7"/>
    <x v="17"/>
    <s v="SE3_GOT"/>
    <x v="2"/>
    <s v="GHOB_WASTEHEAT"/>
    <x v="0"/>
    <x v="20"/>
    <n v="118.24633699633701"/>
    <n v="43159.913003662798"/>
    <n v="155375.68681318601"/>
  </r>
  <r>
    <x v="0"/>
    <x v="0"/>
    <x v="0"/>
    <x v="7"/>
    <x v="17"/>
    <s v="SE3_GOT"/>
    <x v="2"/>
    <s v="GHOB_WASTEHEAT"/>
    <x v="0"/>
    <x v="21"/>
    <n v="118.24633699633701"/>
    <n v="43159.913003662798"/>
    <n v="155375.68681318601"/>
  </r>
  <r>
    <x v="0"/>
    <x v="0"/>
    <x v="0"/>
    <x v="7"/>
    <x v="17"/>
    <s v="SE3_GOT"/>
    <x v="2"/>
    <s v="GHOB_WASTEHEAT"/>
    <x v="0"/>
    <x v="22"/>
    <n v="118.24633699633701"/>
    <n v="43159.913003662798"/>
    <n v="155375.68681318601"/>
  </r>
  <r>
    <x v="0"/>
    <x v="0"/>
    <x v="0"/>
    <x v="7"/>
    <x v="17"/>
    <s v="SE3_GOT"/>
    <x v="8"/>
    <s v="GBPR_WOODWASTE_GOT"/>
    <x v="0"/>
    <x v="9"/>
    <n v="78.512319588487799"/>
    <n v="28656.996649797999"/>
    <n v="103165.187939273"/>
  </r>
  <r>
    <x v="0"/>
    <x v="0"/>
    <x v="0"/>
    <x v="7"/>
    <x v="17"/>
    <s v="SE3_GOT"/>
    <x v="8"/>
    <s v="GBPR_WOODWASTE_GOT"/>
    <x v="0"/>
    <x v="10"/>
    <n v="78.512319588487799"/>
    <n v="28656.996649797999"/>
    <n v="103165.187939273"/>
  </r>
  <r>
    <x v="0"/>
    <x v="0"/>
    <x v="0"/>
    <x v="7"/>
    <x v="17"/>
    <s v="SE3_GOT"/>
    <x v="8"/>
    <s v="GBPR_WOODWASTE_GOT"/>
    <x v="0"/>
    <x v="11"/>
    <n v="78.512319588487799"/>
    <n v="28656.996649797999"/>
    <n v="103165.187939273"/>
  </r>
  <r>
    <x v="0"/>
    <x v="0"/>
    <x v="0"/>
    <x v="7"/>
    <x v="17"/>
    <s v="SE3_GOT"/>
    <x v="8"/>
    <s v="GBPR_WOODWASTE_GOT"/>
    <x v="0"/>
    <x v="12"/>
    <n v="78.512319588487799"/>
    <n v="28656.996649797999"/>
    <n v="103165.187939273"/>
  </r>
  <r>
    <x v="0"/>
    <x v="0"/>
    <x v="0"/>
    <x v="7"/>
    <x v="17"/>
    <s v="SE3_GOT"/>
    <x v="8"/>
    <s v="GBPR_WOODWASTE_GOT"/>
    <x v="0"/>
    <x v="13"/>
    <n v="78.512319588487799"/>
    <n v="28656.996649797999"/>
    <n v="103165.187939273"/>
  </r>
  <r>
    <x v="0"/>
    <x v="0"/>
    <x v="0"/>
    <x v="7"/>
    <x v="17"/>
    <s v="SE3_GOT"/>
    <x v="8"/>
    <s v="GBPR_WOODWASTE_GOT"/>
    <x v="0"/>
    <x v="0"/>
    <n v="78.512319588487799"/>
    <n v="28656.996649797999"/>
    <n v="103165.187939273"/>
  </r>
  <r>
    <x v="0"/>
    <x v="0"/>
    <x v="0"/>
    <x v="7"/>
    <x v="17"/>
    <s v="SE3_GOT"/>
    <x v="8"/>
    <s v="GBPR_WOODWASTE_GOT"/>
    <x v="0"/>
    <x v="14"/>
    <n v="78.512319588487799"/>
    <n v="28656.996649797999"/>
    <n v="103165.187939273"/>
  </r>
  <r>
    <x v="0"/>
    <x v="0"/>
    <x v="0"/>
    <x v="7"/>
    <x v="17"/>
    <s v="SE3_GOT"/>
    <x v="8"/>
    <s v="GBPR_WOODWASTE_GOT"/>
    <x v="0"/>
    <x v="1"/>
    <n v="78.512319588487799"/>
    <n v="28656.996649797999"/>
    <n v="103165.187939273"/>
  </r>
  <r>
    <x v="0"/>
    <x v="0"/>
    <x v="0"/>
    <x v="7"/>
    <x v="17"/>
    <s v="SE3_GOT"/>
    <x v="8"/>
    <s v="GBPR_WOODWASTE_GOT"/>
    <x v="0"/>
    <x v="23"/>
    <n v="78.512319588487799"/>
    <n v="28656.996649797999"/>
    <n v="103165.187939273"/>
  </r>
  <r>
    <x v="0"/>
    <x v="0"/>
    <x v="0"/>
    <x v="7"/>
    <x v="17"/>
    <s v="SE3_GOT"/>
    <x v="8"/>
    <s v="GBPR_WOODWASTE_GOT"/>
    <x v="0"/>
    <x v="2"/>
    <n v="78.512319588487799"/>
    <n v="28656.996649797999"/>
    <n v="103165.187939273"/>
  </r>
  <r>
    <x v="0"/>
    <x v="0"/>
    <x v="0"/>
    <x v="7"/>
    <x v="17"/>
    <s v="SE3_GOT"/>
    <x v="8"/>
    <s v="GBPR_WOODWASTE_GOT"/>
    <x v="0"/>
    <x v="3"/>
    <n v="78.512319588487799"/>
    <n v="28656.996649797999"/>
    <n v="103165.187939273"/>
  </r>
  <r>
    <x v="0"/>
    <x v="0"/>
    <x v="0"/>
    <x v="7"/>
    <x v="17"/>
    <s v="SE3_GOT"/>
    <x v="8"/>
    <s v="GBPR_WOODWASTE_GOT"/>
    <x v="0"/>
    <x v="4"/>
    <n v="78.512319588487799"/>
    <n v="28656.996649797999"/>
    <n v="103165.187939273"/>
  </r>
  <r>
    <x v="0"/>
    <x v="0"/>
    <x v="0"/>
    <x v="7"/>
    <x v="17"/>
    <s v="SE3_GOT"/>
    <x v="8"/>
    <s v="GBPR_WOODWASTE_GOT"/>
    <x v="0"/>
    <x v="5"/>
    <n v="78.512319588487799"/>
    <n v="28656.996649797999"/>
    <n v="103165.187939273"/>
  </r>
  <r>
    <x v="0"/>
    <x v="0"/>
    <x v="0"/>
    <x v="7"/>
    <x v="17"/>
    <s v="SE3_GOT"/>
    <x v="8"/>
    <s v="GBPR_WOODWASTE_GOT"/>
    <x v="0"/>
    <x v="15"/>
    <n v="78.512319588487799"/>
    <n v="28656.996649797999"/>
    <n v="103165.187939273"/>
  </r>
  <r>
    <x v="0"/>
    <x v="0"/>
    <x v="0"/>
    <x v="7"/>
    <x v="17"/>
    <s v="SE3_GOT"/>
    <x v="8"/>
    <s v="GBPR_WOODWASTE_GOT"/>
    <x v="0"/>
    <x v="6"/>
    <n v="78.512319588487799"/>
    <n v="28656.996649797999"/>
    <n v="103165.187939273"/>
  </r>
  <r>
    <x v="0"/>
    <x v="0"/>
    <x v="0"/>
    <x v="7"/>
    <x v="17"/>
    <s v="SE3_GOT"/>
    <x v="8"/>
    <s v="GBPR_WOODWASTE_GOT"/>
    <x v="0"/>
    <x v="7"/>
    <n v="78.512319588487799"/>
    <n v="28656.996649797999"/>
    <n v="103165.187939273"/>
  </r>
  <r>
    <x v="0"/>
    <x v="0"/>
    <x v="0"/>
    <x v="7"/>
    <x v="17"/>
    <s v="SE3_GOT"/>
    <x v="8"/>
    <s v="GBPR_WOODWASTE_GOT"/>
    <x v="0"/>
    <x v="8"/>
    <n v="78.512319588487799"/>
    <n v="28656.996649797999"/>
    <n v="103165.187939273"/>
  </r>
  <r>
    <x v="0"/>
    <x v="0"/>
    <x v="0"/>
    <x v="7"/>
    <x v="17"/>
    <s v="SE3_GOT"/>
    <x v="8"/>
    <s v="GBPR_WOODWASTE_GOT"/>
    <x v="0"/>
    <x v="16"/>
    <n v="78.512319588487799"/>
    <n v="28656.996649797999"/>
    <n v="103165.187939273"/>
  </r>
  <r>
    <x v="0"/>
    <x v="0"/>
    <x v="0"/>
    <x v="7"/>
    <x v="17"/>
    <s v="SE3_GOT"/>
    <x v="8"/>
    <s v="GBPR_WOODWASTE_GOT"/>
    <x v="0"/>
    <x v="17"/>
    <n v="78.512319588487799"/>
    <n v="28656.996649797999"/>
    <n v="103165.187939273"/>
  </r>
  <r>
    <x v="0"/>
    <x v="0"/>
    <x v="0"/>
    <x v="7"/>
    <x v="17"/>
    <s v="SE3_GOT"/>
    <x v="8"/>
    <s v="GBPR_WOODWASTE_GOT"/>
    <x v="0"/>
    <x v="18"/>
    <n v="78.512319588487799"/>
    <n v="28656.996649797999"/>
    <n v="103165.187939273"/>
  </r>
  <r>
    <x v="0"/>
    <x v="0"/>
    <x v="0"/>
    <x v="7"/>
    <x v="17"/>
    <s v="SE3_GOT"/>
    <x v="8"/>
    <s v="GBPR_WOODWASTE_GOT"/>
    <x v="0"/>
    <x v="19"/>
    <n v="78.512319588487799"/>
    <n v="28656.996649797999"/>
    <n v="103165.187939273"/>
  </r>
  <r>
    <x v="0"/>
    <x v="0"/>
    <x v="0"/>
    <x v="7"/>
    <x v="17"/>
    <s v="SE3_GOT"/>
    <x v="8"/>
    <s v="GBPR_WOODWASTE_GOT"/>
    <x v="0"/>
    <x v="20"/>
    <n v="78.512319588487799"/>
    <n v="28656.996649797999"/>
    <n v="103165.187939273"/>
  </r>
  <r>
    <x v="0"/>
    <x v="0"/>
    <x v="0"/>
    <x v="7"/>
    <x v="17"/>
    <s v="SE3_GOT"/>
    <x v="8"/>
    <s v="GBPR_WOODWASTE_GOT"/>
    <x v="0"/>
    <x v="21"/>
    <n v="78.512319588487799"/>
    <n v="28656.996649797999"/>
    <n v="103165.187939273"/>
  </r>
  <r>
    <x v="0"/>
    <x v="0"/>
    <x v="0"/>
    <x v="7"/>
    <x v="17"/>
    <s v="SE3_GOT"/>
    <x v="8"/>
    <s v="GBPR_WOODWASTE_GOT"/>
    <x v="0"/>
    <x v="22"/>
    <n v="78.512319588487799"/>
    <n v="28656.996649797999"/>
    <n v="103165.187939273"/>
  </r>
  <r>
    <x v="0"/>
    <x v="0"/>
    <x v="0"/>
    <x v="7"/>
    <x v="17"/>
    <s v="SE3_HP"/>
    <x v="4"/>
    <s v="GBPR_MUNIWASTE_24"/>
    <x v="0"/>
    <x v="9"/>
    <n v="138.20408399727"/>
    <n v="50444.490659003503"/>
    <n v="181600.16637241299"/>
  </r>
  <r>
    <x v="0"/>
    <x v="0"/>
    <x v="0"/>
    <x v="7"/>
    <x v="17"/>
    <s v="SE3_HP"/>
    <x v="4"/>
    <s v="GBPR_MUNIWASTE_24"/>
    <x v="0"/>
    <x v="10"/>
    <n v="138.20408399727"/>
    <n v="50444.490659003503"/>
    <n v="181600.16637241299"/>
  </r>
  <r>
    <x v="0"/>
    <x v="0"/>
    <x v="0"/>
    <x v="7"/>
    <x v="17"/>
    <s v="SE3_HP"/>
    <x v="4"/>
    <s v="GBPR_MUNIWASTE_24"/>
    <x v="0"/>
    <x v="11"/>
    <n v="138.20408399727"/>
    <n v="50444.490659003503"/>
    <n v="181600.16637241299"/>
  </r>
  <r>
    <x v="0"/>
    <x v="0"/>
    <x v="0"/>
    <x v="7"/>
    <x v="17"/>
    <s v="SE3_HP"/>
    <x v="4"/>
    <s v="GBPR_MUNIWASTE_24"/>
    <x v="0"/>
    <x v="12"/>
    <n v="138.20408399727"/>
    <n v="50444.490659003503"/>
    <n v="181600.16637241299"/>
  </r>
  <r>
    <x v="0"/>
    <x v="0"/>
    <x v="0"/>
    <x v="7"/>
    <x v="17"/>
    <s v="SE3_HP"/>
    <x v="4"/>
    <s v="GBPR_MUNIWASTE_24"/>
    <x v="0"/>
    <x v="13"/>
    <n v="138.20408399727"/>
    <n v="50444.490659003503"/>
    <n v="181600.16637241299"/>
  </r>
  <r>
    <x v="0"/>
    <x v="0"/>
    <x v="0"/>
    <x v="7"/>
    <x v="17"/>
    <s v="SE3_HP"/>
    <x v="4"/>
    <s v="GBPR_MUNIWASTE_24"/>
    <x v="0"/>
    <x v="0"/>
    <n v="138.20408399727"/>
    <n v="50444.490659003503"/>
    <n v="181600.16637241299"/>
  </r>
  <r>
    <x v="0"/>
    <x v="0"/>
    <x v="0"/>
    <x v="7"/>
    <x v="17"/>
    <s v="SE3_HP"/>
    <x v="4"/>
    <s v="GBPR_MUNIWASTE_24"/>
    <x v="0"/>
    <x v="14"/>
    <n v="138.20408399727"/>
    <n v="50444.490659003503"/>
    <n v="181600.16637241299"/>
  </r>
  <r>
    <x v="0"/>
    <x v="0"/>
    <x v="0"/>
    <x v="7"/>
    <x v="17"/>
    <s v="SE3_HP"/>
    <x v="4"/>
    <s v="GBPR_MUNIWASTE_24"/>
    <x v="0"/>
    <x v="1"/>
    <n v="138.20408399727"/>
    <n v="50444.490659003503"/>
    <n v="181600.16637241299"/>
  </r>
  <r>
    <x v="0"/>
    <x v="0"/>
    <x v="0"/>
    <x v="7"/>
    <x v="17"/>
    <s v="SE3_HP"/>
    <x v="4"/>
    <s v="GBPR_MUNIWASTE_24"/>
    <x v="0"/>
    <x v="23"/>
    <n v="138.20408399727"/>
    <n v="50444.490659003503"/>
    <n v="181600.16637241299"/>
  </r>
  <r>
    <x v="0"/>
    <x v="0"/>
    <x v="0"/>
    <x v="7"/>
    <x v="17"/>
    <s v="SE3_HP"/>
    <x v="4"/>
    <s v="GBPR_MUNIWASTE_24"/>
    <x v="0"/>
    <x v="2"/>
    <n v="138.20408399727"/>
    <n v="50444.490659003503"/>
    <n v="181600.16637241299"/>
  </r>
  <r>
    <x v="0"/>
    <x v="0"/>
    <x v="0"/>
    <x v="7"/>
    <x v="17"/>
    <s v="SE3_HP"/>
    <x v="4"/>
    <s v="GBPR_MUNIWASTE_24"/>
    <x v="0"/>
    <x v="3"/>
    <n v="138.20408399727"/>
    <n v="50444.490659003503"/>
    <n v="181600.16637241299"/>
  </r>
  <r>
    <x v="0"/>
    <x v="0"/>
    <x v="0"/>
    <x v="7"/>
    <x v="17"/>
    <s v="SE3_HP"/>
    <x v="4"/>
    <s v="GBPR_MUNIWASTE_24"/>
    <x v="0"/>
    <x v="4"/>
    <n v="138.20408399727"/>
    <n v="50444.490659003503"/>
    <n v="181600.16637241299"/>
  </r>
  <r>
    <x v="0"/>
    <x v="0"/>
    <x v="0"/>
    <x v="7"/>
    <x v="17"/>
    <s v="SE3_HP"/>
    <x v="4"/>
    <s v="GBPR_MUNIWASTE_24"/>
    <x v="0"/>
    <x v="5"/>
    <n v="138.20408399727"/>
    <n v="50444.490659003503"/>
    <n v="181600.16637241299"/>
  </r>
  <r>
    <x v="0"/>
    <x v="0"/>
    <x v="0"/>
    <x v="7"/>
    <x v="17"/>
    <s v="SE3_HP"/>
    <x v="4"/>
    <s v="GBPR_MUNIWASTE_24"/>
    <x v="0"/>
    <x v="15"/>
    <n v="138.20408399727"/>
    <n v="50444.490659003503"/>
    <n v="181600.16637241299"/>
  </r>
  <r>
    <x v="0"/>
    <x v="0"/>
    <x v="0"/>
    <x v="7"/>
    <x v="17"/>
    <s v="SE3_HP"/>
    <x v="4"/>
    <s v="GBPR_MUNIWASTE_24"/>
    <x v="0"/>
    <x v="6"/>
    <n v="138.20408399727"/>
    <n v="50444.490659003503"/>
    <n v="181600.16637241299"/>
  </r>
  <r>
    <x v="0"/>
    <x v="0"/>
    <x v="0"/>
    <x v="7"/>
    <x v="17"/>
    <s v="SE3_HP"/>
    <x v="4"/>
    <s v="GBPR_MUNIWASTE_24"/>
    <x v="0"/>
    <x v="7"/>
    <n v="138.20408399727"/>
    <n v="50444.490659003503"/>
    <n v="181600.16637241299"/>
  </r>
  <r>
    <x v="0"/>
    <x v="0"/>
    <x v="0"/>
    <x v="7"/>
    <x v="17"/>
    <s v="SE3_HP"/>
    <x v="4"/>
    <s v="GBPR_MUNIWASTE_24"/>
    <x v="0"/>
    <x v="8"/>
    <n v="138.20408399727"/>
    <n v="50444.490659003503"/>
    <n v="181600.16637241299"/>
  </r>
  <r>
    <x v="0"/>
    <x v="0"/>
    <x v="0"/>
    <x v="7"/>
    <x v="17"/>
    <s v="SE3_HP"/>
    <x v="4"/>
    <s v="GBPR_MUNIWASTE_24"/>
    <x v="0"/>
    <x v="16"/>
    <n v="138.20408399727"/>
    <n v="50444.490659003503"/>
    <n v="181600.16637241299"/>
  </r>
  <r>
    <x v="0"/>
    <x v="0"/>
    <x v="0"/>
    <x v="7"/>
    <x v="17"/>
    <s v="SE3_HP"/>
    <x v="4"/>
    <s v="GBPR_MUNIWASTE_24"/>
    <x v="0"/>
    <x v="17"/>
    <n v="138.20408399727"/>
    <n v="50444.490659003503"/>
    <n v="181600.16637241299"/>
  </r>
  <r>
    <x v="0"/>
    <x v="0"/>
    <x v="0"/>
    <x v="7"/>
    <x v="17"/>
    <s v="SE3_HP"/>
    <x v="4"/>
    <s v="GBPR_MUNIWASTE_24"/>
    <x v="0"/>
    <x v="18"/>
    <n v="138.20408399727"/>
    <n v="50444.490659003503"/>
    <n v="181600.16637241299"/>
  </r>
  <r>
    <x v="0"/>
    <x v="0"/>
    <x v="0"/>
    <x v="7"/>
    <x v="17"/>
    <s v="SE3_HP"/>
    <x v="4"/>
    <s v="GBPR_MUNIWASTE_24"/>
    <x v="0"/>
    <x v="19"/>
    <n v="138.20408399727"/>
    <n v="50444.490659003503"/>
    <n v="181600.16637241299"/>
  </r>
  <r>
    <x v="0"/>
    <x v="0"/>
    <x v="0"/>
    <x v="7"/>
    <x v="17"/>
    <s v="SE3_HP"/>
    <x v="4"/>
    <s v="GBPR_MUNIWASTE_24"/>
    <x v="0"/>
    <x v="20"/>
    <n v="138.20408399727"/>
    <n v="50444.490659003503"/>
    <n v="181600.16637241299"/>
  </r>
  <r>
    <x v="0"/>
    <x v="0"/>
    <x v="0"/>
    <x v="7"/>
    <x v="17"/>
    <s v="SE3_HP"/>
    <x v="4"/>
    <s v="GBPR_MUNIWASTE_24"/>
    <x v="0"/>
    <x v="21"/>
    <n v="138.20408399727"/>
    <n v="50444.490659003503"/>
    <n v="181600.16637241299"/>
  </r>
  <r>
    <x v="0"/>
    <x v="0"/>
    <x v="0"/>
    <x v="7"/>
    <x v="17"/>
    <s v="SE3_HP"/>
    <x v="4"/>
    <s v="GBPR_MUNIWASTE_24"/>
    <x v="0"/>
    <x v="22"/>
    <n v="138.20408399727"/>
    <n v="50444.490659003503"/>
    <n v="181600.16637241299"/>
  </r>
  <r>
    <x v="0"/>
    <x v="0"/>
    <x v="0"/>
    <x v="7"/>
    <x v="17"/>
    <s v="SE3_HP"/>
    <x v="2"/>
    <s v="GHOB_WASTEHEAT"/>
    <x v="0"/>
    <x v="9"/>
    <n v="3.4340659340659201E-3"/>
    <n v="1.2534340659340599"/>
    <n v="4.51236263736262"/>
  </r>
  <r>
    <x v="0"/>
    <x v="0"/>
    <x v="0"/>
    <x v="7"/>
    <x v="17"/>
    <s v="SE3_HP"/>
    <x v="2"/>
    <s v="GHOB_WASTEHEAT"/>
    <x v="0"/>
    <x v="10"/>
    <n v="3.4340659340659201E-3"/>
    <n v="1.2534340659340599"/>
    <n v="4.51236263736262"/>
  </r>
  <r>
    <x v="0"/>
    <x v="0"/>
    <x v="0"/>
    <x v="7"/>
    <x v="17"/>
    <s v="SE3_HP"/>
    <x v="2"/>
    <s v="GHOB_WASTEHEAT"/>
    <x v="0"/>
    <x v="11"/>
    <n v="3.4340659340659201E-3"/>
    <n v="1.2534340659340599"/>
    <n v="4.51236263736262"/>
  </r>
  <r>
    <x v="0"/>
    <x v="0"/>
    <x v="0"/>
    <x v="7"/>
    <x v="17"/>
    <s v="SE3_HP"/>
    <x v="2"/>
    <s v="GHOB_WASTEHEAT"/>
    <x v="0"/>
    <x v="12"/>
    <n v="3.4340659340659201E-3"/>
    <n v="1.2534340659340599"/>
    <n v="4.51236263736262"/>
  </r>
  <r>
    <x v="0"/>
    <x v="0"/>
    <x v="0"/>
    <x v="7"/>
    <x v="17"/>
    <s v="SE3_HP"/>
    <x v="2"/>
    <s v="GHOB_WASTEHEAT"/>
    <x v="0"/>
    <x v="13"/>
    <n v="3.4340659340659201E-3"/>
    <n v="1.2534340659340599"/>
    <n v="4.51236263736262"/>
  </r>
  <r>
    <x v="0"/>
    <x v="0"/>
    <x v="0"/>
    <x v="7"/>
    <x v="17"/>
    <s v="SE3_HP"/>
    <x v="2"/>
    <s v="GHOB_WASTEHEAT"/>
    <x v="0"/>
    <x v="0"/>
    <n v="3.4340659340659201E-3"/>
    <n v="1.2534340659340599"/>
    <n v="4.51236263736262"/>
  </r>
  <r>
    <x v="0"/>
    <x v="0"/>
    <x v="0"/>
    <x v="7"/>
    <x v="17"/>
    <s v="SE3_HP"/>
    <x v="2"/>
    <s v="GHOB_WASTEHEAT"/>
    <x v="0"/>
    <x v="14"/>
    <n v="3.4340659340659201E-3"/>
    <n v="1.2534340659340599"/>
    <n v="4.51236263736262"/>
  </r>
  <r>
    <x v="0"/>
    <x v="0"/>
    <x v="0"/>
    <x v="7"/>
    <x v="17"/>
    <s v="SE3_HP"/>
    <x v="2"/>
    <s v="GHOB_WASTEHEAT"/>
    <x v="0"/>
    <x v="1"/>
    <n v="3.4340659340659201E-3"/>
    <n v="1.2534340659340599"/>
    <n v="4.51236263736262"/>
  </r>
  <r>
    <x v="0"/>
    <x v="0"/>
    <x v="0"/>
    <x v="7"/>
    <x v="17"/>
    <s v="SE3_HP"/>
    <x v="2"/>
    <s v="GHOB_WASTEHEAT"/>
    <x v="0"/>
    <x v="23"/>
    <n v="3.4340659340659201E-3"/>
    <n v="1.2534340659340599"/>
    <n v="4.51236263736262"/>
  </r>
  <r>
    <x v="0"/>
    <x v="0"/>
    <x v="0"/>
    <x v="7"/>
    <x v="17"/>
    <s v="SE3_HP"/>
    <x v="2"/>
    <s v="GHOB_WASTEHEAT"/>
    <x v="0"/>
    <x v="2"/>
    <n v="3.4340659340659201E-3"/>
    <n v="1.2534340659340599"/>
    <n v="4.51236263736262"/>
  </r>
  <r>
    <x v="0"/>
    <x v="0"/>
    <x v="0"/>
    <x v="7"/>
    <x v="17"/>
    <s v="SE3_HP"/>
    <x v="2"/>
    <s v="GHOB_WASTEHEAT"/>
    <x v="0"/>
    <x v="3"/>
    <n v="3.4340659340659201E-3"/>
    <n v="1.2534340659340599"/>
    <n v="4.51236263736262"/>
  </r>
  <r>
    <x v="0"/>
    <x v="0"/>
    <x v="0"/>
    <x v="7"/>
    <x v="17"/>
    <s v="SE3_HP"/>
    <x v="2"/>
    <s v="GHOB_WASTEHEAT"/>
    <x v="0"/>
    <x v="4"/>
    <n v="3.4340659340659201E-3"/>
    <n v="1.2534340659340599"/>
    <n v="4.51236263736262"/>
  </r>
  <r>
    <x v="0"/>
    <x v="0"/>
    <x v="0"/>
    <x v="7"/>
    <x v="17"/>
    <s v="SE3_HP"/>
    <x v="2"/>
    <s v="GHOB_WASTEHEAT"/>
    <x v="0"/>
    <x v="5"/>
    <n v="3.4340659340659201E-3"/>
    <n v="1.2534340659340599"/>
    <n v="4.51236263736262"/>
  </r>
  <r>
    <x v="0"/>
    <x v="0"/>
    <x v="0"/>
    <x v="7"/>
    <x v="17"/>
    <s v="SE3_HP"/>
    <x v="2"/>
    <s v="GHOB_WASTEHEAT"/>
    <x v="0"/>
    <x v="15"/>
    <n v="3.4340659340659201E-3"/>
    <n v="1.2534340659340599"/>
    <n v="4.51236263736262"/>
  </r>
  <r>
    <x v="0"/>
    <x v="0"/>
    <x v="0"/>
    <x v="7"/>
    <x v="17"/>
    <s v="SE3_HP"/>
    <x v="2"/>
    <s v="GHOB_WASTEHEAT"/>
    <x v="0"/>
    <x v="6"/>
    <n v="3.4340659340659201E-3"/>
    <n v="1.2534340659340599"/>
    <n v="4.51236263736262"/>
  </r>
  <r>
    <x v="0"/>
    <x v="0"/>
    <x v="0"/>
    <x v="7"/>
    <x v="17"/>
    <s v="SE3_HP"/>
    <x v="2"/>
    <s v="GHOB_WASTEHEAT"/>
    <x v="0"/>
    <x v="7"/>
    <n v="3.4340659340659201E-3"/>
    <n v="1.2534340659340599"/>
    <n v="4.51236263736262"/>
  </r>
  <r>
    <x v="0"/>
    <x v="0"/>
    <x v="0"/>
    <x v="7"/>
    <x v="17"/>
    <s v="SE3_HP"/>
    <x v="2"/>
    <s v="GHOB_WASTEHEAT"/>
    <x v="0"/>
    <x v="8"/>
    <n v="3.4340659340659201E-3"/>
    <n v="1.2534340659340599"/>
    <n v="4.51236263736262"/>
  </r>
  <r>
    <x v="0"/>
    <x v="0"/>
    <x v="0"/>
    <x v="7"/>
    <x v="17"/>
    <s v="SE3_HP"/>
    <x v="2"/>
    <s v="GHOB_WASTEHEAT"/>
    <x v="0"/>
    <x v="16"/>
    <n v="3.4340659340659201E-3"/>
    <n v="1.2534340659340599"/>
    <n v="4.51236263736262"/>
  </r>
  <r>
    <x v="0"/>
    <x v="0"/>
    <x v="0"/>
    <x v="7"/>
    <x v="17"/>
    <s v="SE3_HP"/>
    <x v="2"/>
    <s v="GHOB_WASTEHEAT"/>
    <x v="0"/>
    <x v="17"/>
    <n v="3.4340659340659201E-3"/>
    <n v="1.2534340659340599"/>
    <n v="4.51236263736262"/>
  </r>
  <r>
    <x v="0"/>
    <x v="0"/>
    <x v="0"/>
    <x v="7"/>
    <x v="17"/>
    <s v="SE3_HP"/>
    <x v="2"/>
    <s v="GHOB_WASTEHEAT"/>
    <x v="0"/>
    <x v="18"/>
    <n v="3.4340659340659201E-3"/>
    <n v="1.2534340659340599"/>
    <n v="4.51236263736262"/>
  </r>
  <r>
    <x v="0"/>
    <x v="0"/>
    <x v="0"/>
    <x v="7"/>
    <x v="17"/>
    <s v="SE3_HP"/>
    <x v="2"/>
    <s v="GHOB_WASTEHEAT"/>
    <x v="0"/>
    <x v="19"/>
    <n v="3.4340659340659201E-3"/>
    <n v="1.2534340659340599"/>
    <n v="4.51236263736262"/>
  </r>
  <r>
    <x v="0"/>
    <x v="0"/>
    <x v="0"/>
    <x v="7"/>
    <x v="17"/>
    <s v="SE3_HP"/>
    <x v="2"/>
    <s v="GHOB_WASTEHEAT"/>
    <x v="0"/>
    <x v="20"/>
    <n v="3.4340659340659201E-3"/>
    <n v="1.2534340659340599"/>
    <n v="4.51236263736262"/>
  </r>
  <r>
    <x v="0"/>
    <x v="0"/>
    <x v="0"/>
    <x v="7"/>
    <x v="17"/>
    <s v="SE3_HP"/>
    <x v="2"/>
    <s v="GHOB_WASTEHEAT"/>
    <x v="0"/>
    <x v="21"/>
    <n v="3.4340659340659201E-3"/>
    <n v="1.2534340659340599"/>
    <n v="4.51236263736262"/>
  </r>
  <r>
    <x v="0"/>
    <x v="0"/>
    <x v="0"/>
    <x v="7"/>
    <x v="17"/>
    <s v="SE3_HP"/>
    <x v="2"/>
    <s v="GHOB_WASTEHEAT"/>
    <x v="0"/>
    <x v="22"/>
    <n v="3.4340659340659201E-3"/>
    <n v="1.2534340659340599"/>
    <n v="4.51236263736262"/>
  </r>
  <r>
    <x v="0"/>
    <x v="0"/>
    <x v="0"/>
    <x v="7"/>
    <x v="17"/>
    <s v="SE3_HP"/>
    <x v="8"/>
    <s v="GBPR_WOODWASTE_36"/>
    <x v="0"/>
    <x v="9"/>
    <n v="68.870402802101594"/>
    <n v="25137.697022767101"/>
    <n v="90495.709281961506"/>
  </r>
  <r>
    <x v="0"/>
    <x v="0"/>
    <x v="0"/>
    <x v="7"/>
    <x v="17"/>
    <s v="SE3_HP"/>
    <x v="8"/>
    <s v="GBPR_WOODWASTE_36"/>
    <x v="0"/>
    <x v="10"/>
    <n v="68.870402802101594"/>
    <n v="25137.697022767101"/>
    <n v="90495.709281961506"/>
  </r>
  <r>
    <x v="0"/>
    <x v="0"/>
    <x v="0"/>
    <x v="7"/>
    <x v="17"/>
    <s v="SE3_HP"/>
    <x v="8"/>
    <s v="GBPR_WOODWASTE_36"/>
    <x v="0"/>
    <x v="11"/>
    <n v="68.870402802101594"/>
    <n v="25137.697022767101"/>
    <n v="90495.709281961506"/>
  </r>
  <r>
    <x v="0"/>
    <x v="0"/>
    <x v="0"/>
    <x v="7"/>
    <x v="17"/>
    <s v="SE3_HP"/>
    <x v="8"/>
    <s v="GBPR_WOODWASTE_36"/>
    <x v="0"/>
    <x v="12"/>
    <n v="68.870402802101594"/>
    <n v="25137.697022767101"/>
    <n v="90495.709281961506"/>
  </r>
  <r>
    <x v="0"/>
    <x v="0"/>
    <x v="0"/>
    <x v="7"/>
    <x v="17"/>
    <s v="SE3_HP"/>
    <x v="8"/>
    <s v="GBPR_WOODWASTE_36"/>
    <x v="0"/>
    <x v="13"/>
    <n v="68.870402802101594"/>
    <n v="25137.697022767101"/>
    <n v="90495.709281961506"/>
  </r>
  <r>
    <x v="0"/>
    <x v="0"/>
    <x v="0"/>
    <x v="7"/>
    <x v="17"/>
    <s v="SE3_HP"/>
    <x v="8"/>
    <s v="GBPR_WOODWASTE_36"/>
    <x v="0"/>
    <x v="0"/>
    <n v="68.870402802101594"/>
    <n v="25137.697022767101"/>
    <n v="90495.709281961506"/>
  </r>
  <r>
    <x v="0"/>
    <x v="0"/>
    <x v="0"/>
    <x v="7"/>
    <x v="17"/>
    <s v="SE3_HP"/>
    <x v="8"/>
    <s v="GBPR_WOODWASTE_36"/>
    <x v="0"/>
    <x v="14"/>
    <n v="68.870402802101594"/>
    <n v="25137.697022767101"/>
    <n v="90495.709281961506"/>
  </r>
  <r>
    <x v="0"/>
    <x v="0"/>
    <x v="0"/>
    <x v="7"/>
    <x v="17"/>
    <s v="SE3_HP"/>
    <x v="8"/>
    <s v="GBPR_WOODWASTE_36"/>
    <x v="0"/>
    <x v="1"/>
    <n v="68.870402802101594"/>
    <n v="25137.697022767101"/>
    <n v="90495.709281961506"/>
  </r>
  <r>
    <x v="0"/>
    <x v="0"/>
    <x v="0"/>
    <x v="7"/>
    <x v="17"/>
    <s v="SE3_HP"/>
    <x v="8"/>
    <s v="GBPR_WOODWASTE_36"/>
    <x v="0"/>
    <x v="23"/>
    <n v="68.870402802101594"/>
    <n v="25137.697022767101"/>
    <n v="90495.709281961506"/>
  </r>
  <r>
    <x v="0"/>
    <x v="0"/>
    <x v="0"/>
    <x v="7"/>
    <x v="17"/>
    <s v="SE3_HP"/>
    <x v="8"/>
    <s v="GBPR_WOODWASTE_36"/>
    <x v="0"/>
    <x v="2"/>
    <n v="68.870402802101594"/>
    <n v="25137.697022767101"/>
    <n v="90495.709281961506"/>
  </r>
  <r>
    <x v="0"/>
    <x v="0"/>
    <x v="0"/>
    <x v="7"/>
    <x v="17"/>
    <s v="SE3_HP"/>
    <x v="8"/>
    <s v="GBPR_WOODWASTE_36"/>
    <x v="0"/>
    <x v="3"/>
    <n v="68.870402802101594"/>
    <n v="25137.697022767101"/>
    <n v="90495.709281961506"/>
  </r>
  <r>
    <x v="0"/>
    <x v="0"/>
    <x v="0"/>
    <x v="7"/>
    <x v="17"/>
    <s v="SE3_HP"/>
    <x v="8"/>
    <s v="GBPR_WOODWASTE_36"/>
    <x v="0"/>
    <x v="4"/>
    <n v="68.870402802101594"/>
    <n v="25137.697022767101"/>
    <n v="90495.709281961506"/>
  </r>
  <r>
    <x v="0"/>
    <x v="0"/>
    <x v="0"/>
    <x v="7"/>
    <x v="17"/>
    <s v="SE3_HP"/>
    <x v="8"/>
    <s v="GBPR_WOODWASTE_36"/>
    <x v="0"/>
    <x v="5"/>
    <n v="68.870402802101594"/>
    <n v="25137.697022767101"/>
    <n v="90495.709281961506"/>
  </r>
  <r>
    <x v="0"/>
    <x v="0"/>
    <x v="0"/>
    <x v="7"/>
    <x v="17"/>
    <s v="SE3_HP"/>
    <x v="8"/>
    <s v="GBPR_WOODWASTE_36"/>
    <x v="0"/>
    <x v="15"/>
    <n v="68.870402802101594"/>
    <n v="25137.697022767101"/>
    <n v="90495.709281961506"/>
  </r>
  <r>
    <x v="0"/>
    <x v="0"/>
    <x v="0"/>
    <x v="7"/>
    <x v="17"/>
    <s v="SE3_HP"/>
    <x v="8"/>
    <s v="GBPR_WOODWASTE_36"/>
    <x v="0"/>
    <x v="6"/>
    <n v="68.870402802101594"/>
    <n v="25137.697022767101"/>
    <n v="90495.709281961506"/>
  </r>
  <r>
    <x v="0"/>
    <x v="0"/>
    <x v="0"/>
    <x v="7"/>
    <x v="17"/>
    <s v="SE3_HP"/>
    <x v="8"/>
    <s v="GBPR_WOODWASTE_36"/>
    <x v="0"/>
    <x v="7"/>
    <n v="68.870402802101594"/>
    <n v="25137.697022767101"/>
    <n v="90495.709281961506"/>
  </r>
  <r>
    <x v="0"/>
    <x v="0"/>
    <x v="0"/>
    <x v="7"/>
    <x v="17"/>
    <s v="SE3_HP"/>
    <x v="8"/>
    <s v="GBPR_WOODWASTE_36"/>
    <x v="0"/>
    <x v="8"/>
    <n v="68.870402802101594"/>
    <n v="25137.697022767101"/>
    <n v="90495.709281961506"/>
  </r>
  <r>
    <x v="0"/>
    <x v="0"/>
    <x v="0"/>
    <x v="7"/>
    <x v="17"/>
    <s v="SE3_HP"/>
    <x v="8"/>
    <s v="GBPR_WOODWASTE_36"/>
    <x v="0"/>
    <x v="16"/>
    <n v="68.870402802101594"/>
    <n v="25137.697022767101"/>
    <n v="90495.709281961506"/>
  </r>
  <r>
    <x v="0"/>
    <x v="0"/>
    <x v="0"/>
    <x v="7"/>
    <x v="17"/>
    <s v="SE3_HP"/>
    <x v="8"/>
    <s v="GBPR_WOODWASTE_36"/>
    <x v="0"/>
    <x v="17"/>
    <n v="68.870402802101594"/>
    <n v="25137.697022767101"/>
    <n v="90495.709281961506"/>
  </r>
  <r>
    <x v="0"/>
    <x v="0"/>
    <x v="0"/>
    <x v="7"/>
    <x v="17"/>
    <s v="SE3_HP"/>
    <x v="8"/>
    <s v="GBPR_WOODWASTE_36"/>
    <x v="0"/>
    <x v="18"/>
    <n v="68.870402802101594"/>
    <n v="25137.697022767101"/>
    <n v="90495.709281961506"/>
  </r>
  <r>
    <x v="0"/>
    <x v="0"/>
    <x v="0"/>
    <x v="7"/>
    <x v="17"/>
    <s v="SE3_HP"/>
    <x v="8"/>
    <s v="GBPR_WOODWASTE_36"/>
    <x v="0"/>
    <x v="19"/>
    <n v="68.870402802101594"/>
    <n v="25137.697022767101"/>
    <n v="90495.709281961506"/>
  </r>
  <r>
    <x v="0"/>
    <x v="0"/>
    <x v="0"/>
    <x v="7"/>
    <x v="17"/>
    <s v="SE3_HP"/>
    <x v="8"/>
    <s v="GBPR_WOODWASTE_36"/>
    <x v="0"/>
    <x v="20"/>
    <n v="68.870402802101594"/>
    <n v="25137.697022767101"/>
    <n v="90495.709281961506"/>
  </r>
  <r>
    <x v="0"/>
    <x v="0"/>
    <x v="0"/>
    <x v="7"/>
    <x v="17"/>
    <s v="SE3_HP"/>
    <x v="8"/>
    <s v="GBPR_WOODWASTE_36"/>
    <x v="0"/>
    <x v="21"/>
    <n v="68.870402802101594"/>
    <n v="25137.697022767101"/>
    <n v="90495.709281961506"/>
  </r>
  <r>
    <x v="0"/>
    <x v="0"/>
    <x v="0"/>
    <x v="7"/>
    <x v="17"/>
    <s v="SE3_HP"/>
    <x v="8"/>
    <s v="GBPR_WOODWASTE_36"/>
    <x v="0"/>
    <x v="22"/>
    <n v="68.870402802101594"/>
    <n v="25137.697022767101"/>
    <n v="90495.709281961506"/>
  </r>
  <r>
    <x v="0"/>
    <x v="0"/>
    <x v="0"/>
    <x v="7"/>
    <x v="17"/>
    <s v="SE3_HP"/>
    <x v="8"/>
    <s v="GEXT_WOODWASTE"/>
    <x v="0"/>
    <x v="9"/>
    <n v="124.36065666101899"/>
    <n v="45391.639681271801"/>
    <n v="163409.90285257899"/>
  </r>
  <r>
    <x v="0"/>
    <x v="0"/>
    <x v="0"/>
    <x v="7"/>
    <x v="17"/>
    <s v="SE3_HP"/>
    <x v="8"/>
    <s v="GEXT_WOODWASTE"/>
    <x v="0"/>
    <x v="10"/>
    <n v="121.509572568321"/>
    <n v="44350.993987437199"/>
    <n v="159663.57835477401"/>
  </r>
  <r>
    <x v="0"/>
    <x v="0"/>
    <x v="0"/>
    <x v="7"/>
    <x v="17"/>
    <s v="SE3_HP"/>
    <x v="8"/>
    <s v="GEXT_WOODWASTE"/>
    <x v="0"/>
    <x v="11"/>
    <n v="121.60831838080099"/>
    <n v="44387.036208992497"/>
    <n v="159793.33035237301"/>
  </r>
  <r>
    <x v="0"/>
    <x v="0"/>
    <x v="0"/>
    <x v="7"/>
    <x v="17"/>
    <s v="SE3_HP"/>
    <x v="8"/>
    <s v="GEXT_WOODWASTE"/>
    <x v="0"/>
    <x v="12"/>
    <n v="127.780365958619"/>
    <n v="46639.8335748959"/>
    <n v="167903.40086962501"/>
  </r>
  <r>
    <x v="0"/>
    <x v="0"/>
    <x v="0"/>
    <x v="7"/>
    <x v="17"/>
    <s v="SE3_HP"/>
    <x v="8"/>
    <s v="GEXT_WOODWASTE"/>
    <x v="0"/>
    <x v="13"/>
    <n v="146.47835231879"/>
    <n v="53464.598596358497"/>
    <n v="192472.554946891"/>
  </r>
  <r>
    <x v="0"/>
    <x v="0"/>
    <x v="0"/>
    <x v="7"/>
    <x v="17"/>
    <s v="SE3_HP"/>
    <x v="8"/>
    <s v="GEXT_WOODWASTE"/>
    <x v="0"/>
    <x v="0"/>
    <n v="184.766233919629"/>
    <n v="67439.675380664499"/>
    <n v="242782.831370392"/>
  </r>
  <r>
    <x v="0"/>
    <x v="0"/>
    <x v="0"/>
    <x v="7"/>
    <x v="17"/>
    <s v="SE3_HP"/>
    <x v="8"/>
    <s v="GEXT_WOODWASTE"/>
    <x v="0"/>
    <x v="14"/>
    <n v="261.68305864390601"/>
    <n v="95514.316405025602"/>
    <n v="343851.53905809199"/>
  </r>
  <r>
    <x v="0"/>
    <x v="0"/>
    <x v="0"/>
    <x v="7"/>
    <x v="17"/>
    <s v="SE3_HP"/>
    <x v="8"/>
    <s v="GEXT_WOODWASTE"/>
    <x v="0"/>
    <x v="1"/>
    <n v="302.19177802575302"/>
    <n v="110299.9989794"/>
    <n v="397079.99632584001"/>
  </r>
  <r>
    <x v="0"/>
    <x v="0"/>
    <x v="0"/>
    <x v="7"/>
    <x v="17"/>
    <s v="SE3_HP"/>
    <x v="8"/>
    <s v="GEXT_WOODWASTE"/>
    <x v="0"/>
    <x v="23"/>
    <n v="304.51558558140698"/>
    <n v="111148.188737214"/>
    <n v="400133.47945396899"/>
  </r>
  <r>
    <x v="0"/>
    <x v="0"/>
    <x v="0"/>
    <x v="7"/>
    <x v="17"/>
    <s v="SE3_HP"/>
    <x v="8"/>
    <s v="GEXT_WOODWASTE"/>
    <x v="0"/>
    <x v="2"/>
    <n v="299.01082333061498"/>
    <n v="109138.95051567401"/>
    <n v="392900.22185642802"/>
  </r>
  <r>
    <x v="0"/>
    <x v="0"/>
    <x v="0"/>
    <x v="7"/>
    <x v="17"/>
    <s v="SE3_HP"/>
    <x v="8"/>
    <s v="GEXT_WOODWASTE"/>
    <x v="0"/>
    <x v="3"/>
    <n v="286.20450875338798"/>
    <n v="104464.645694987"/>
    <n v="376072.72450195201"/>
  </r>
  <r>
    <x v="0"/>
    <x v="0"/>
    <x v="0"/>
    <x v="7"/>
    <x v="17"/>
    <s v="SE3_HP"/>
    <x v="8"/>
    <s v="GEXT_WOODWASTE"/>
    <x v="0"/>
    <x v="4"/>
    <n v="278.83195332257702"/>
    <n v="101773.662962741"/>
    <n v="366385.186665866"/>
  </r>
  <r>
    <x v="0"/>
    <x v="0"/>
    <x v="0"/>
    <x v="7"/>
    <x v="17"/>
    <s v="SE3_HP"/>
    <x v="8"/>
    <s v="GEXT_WOODWASTE"/>
    <x v="0"/>
    <x v="5"/>
    <n v="276.48976717151902"/>
    <n v="100918.765017604"/>
    <n v="363307.55406337598"/>
  </r>
  <r>
    <x v="0"/>
    <x v="0"/>
    <x v="0"/>
    <x v="7"/>
    <x v="17"/>
    <s v="SE3_HP"/>
    <x v="8"/>
    <s v="GEXT_WOODWASTE"/>
    <x v="0"/>
    <x v="15"/>
    <n v="277.68528036372101"/>
    <n v="101355.127332758"/>
    <n v="364878.45839793002"/>
  </r>
  <r>
    <x v="0"/>
    <x v="0"/>
    <x v="0"/>
    <x v="7"/>
    <x v="17"/>
    <s v="SE3_HP"/>
    <x v="8"/>
    <s v="GEXT_WOODWASTE"/>
    <x v="0"/>
    <x v="6"/>
    <n v="275.37080259105198"/>
    <n v="100510.342945734"/>
    <n v="361837.23460464203"/>
  </r>
  <r>
    <x v="0"/>
    <x v="0"/>
    <x v="0"/>
    <x v="7"/>
    <x v="17"/>
    <s v="SE3_HP"/>
    <x v="8"/>
    <s v="GEXT_WOODWASTE"/>
    <x v="0"/>
    <x v="7"/>
    <n v="280.58758048559702"/>
    <n v="102414.466877243"/>
    <n v="368692.08075807401"/>
  </r>
  <r>
    <x v="0"/>
    <x v="0"/>
    <x v="0"/>
    <x v="7"/>
    <x v="17"/>
    <s v="SE3_HP"/>
    <x v="8"/>
    <s v="GEXT_WOODWASTE"/>
    <x v="0"/>
    <x v="8"/>
    <n v="264.81517120508403"/>
    <n v="96657.537489855604"/>
    <n v="347967.13496348"/>
  </r>
  <r>
    <x v="0"/>
    <x v="0"/>
    <x v="0"/>
    <x v="7"/>
    <x v="17"/>
    <s v="SE3_HP"/>
    <x v="8"/>
    <s v="GEXT_WOODWASTE"/>
    <x v="0"/>
    <x v="16"/>
    <n v="248.73837903556799"/>
    <n v="90789.508347982293"/>
    <n v="326842.23005273601"/>
  </r>
  <r>
    <x v="0"/>
    <x v="0"/>
    <x v="0"/>
    <x v="7"/>
    <x v="17"/>
    <s v="SE3_HP"/>
    <x v="8"/>
    <s v="GEXT_WOODWASTE"/>
    <x v="0"/>
    <x v="17"/>
    <n v="239.34407529955001"/>
    <n v="87360.587484335803"/>
    <n v="314498.11494360899"/>
  </r>
  <r>
    <x v="0"/>
    <x v="0"/>
    <x v="0"/>
    <x v="7"/>
    <x v="17"/>
    <s v="SE3_HP"/>
    <x v="8"/>
    <s v="GEXT_WOODWASTE"/>
    <x v="0"/>
    <x v="18"/>
    <n v="224.14121271819201"/>
    <n v="81811.542642140193"/>
    <n v="294521.55351170502"/>
  </r>
  <r>
    <x v="0"/>
    <x v="0"/>
    <x v="0"/>
    <x v="7"/>
    <x v="17"/>
    <s v="SE3_HP"/>
    <x v="8"/>
    <s v="GEXT_WOODWASTE"/>
    <x v="0"/>
    <x v="19"/>
    <n v="207.114079947731"/>
    <n v="75596.639180921804"/>
    <n v="272147.90105131798"/>
  </r>
  <r>
    <x v="0"/>
    <x v="0"/>
    <x v="0"/>
    <x v="7"/>
    <x v="17"/>
    <s v="SE3_HP"/>
    <x v="8"/>
    <s v="GEXT_WOODWASTE"/>
    <x v="0"/>
    <x v="20"/>
    <n v="192.562714457277"/>
    <n v="70285.390776906206"/>
    <n v="253027.40679686199"/>
  </r>
  <r>
    <x v="0"/>
    <x v="0"/>
    <x v="0"/>
    <x v="7"/>
    <x v="17"/>
    <s v="SE3_HP"/>
    <x v="8"/>
    <s v="GEXT_WOODWASTE"/>
    <x v="0"/>
    <x v="21"/>
    <n v="170.02343481243"/>
    <n v="62058.553706537103"/>
    <n v="223410.79334353399"/>
  </r>
  <r>
    <x v="0"/>
    <x v="0"/>
    <x v="0"/>
    <x v="7"/>
    <x v="17"/>
    <s v="SE3_HP"/>
    <x v="8"/>
    <s v="GEXT_WOODWASTE"/>
    <x v="0"/>
    <x v="22"/>
    <n v="134.62794060812101"/>
    <n v="49139.198321964301"/>
    <n v="176901.11395907099"/>
  </r>
  <r>
    <x v="0"/>
    <x v="0"/>
    <x v="0"/>
    <x v="7"/>
    <x v="17"/>
    <s v="SE3_HP"/>
    <x v="8"/>
    <s v="GHOB_WOODWASTE"/>
    <x v="0"/>
    <x v="9"/>
    <n v="17.4016224168126"/>
    <n v="6351.5921821366001"/>
    <n v="22865.7318556918"/>
  </r>
  <r>
    <x v="0"/>
    <x v="0"/>
    <x v="0"/>
    <x v="7"/>
    <x v="17"/>
    <s v="SE3_HP"/>
    <x v="8"/>
    <s v="GHOB_WOODWASTE"/>
    <x v="0"/>
    <x v="10"/>
    <n v="17.4016224168126"/>
    <n v="6351.5921821366001"/>
    <n v="22865.7318556918"/>
  </r>
  <r>
    <x v="0"/>
    <x v="0"/>
    <x v="0"/>
    <x v="7"/>
    <x v="17"/>
    <s v="SE3_HP"/>
    <x v="8"/>
    <s v="GHOB_WOODWASTE"/>
    <x v="0"/>
    <x v="11"/>
    <n v="17.4016224168126"/>
    <n v="6351.5921821366001"/>
    <n v="22865.7318556918"/>
  </r>
  <r>
    <x v="0"/>
    <x v="0"/>
    <x v="0"/>
    <x v="7"/>
    <x v="17"/>
    <s v="SE3_HP"/>
    <x v="8"/>
    <s v="GHOB_WOODWASTE"/>
    <x v="0"/>
    <x v="12"/>
    <n v="17.4016224168126"/>
    <n v="6351.5921821366001"/>
    <n v="22865.7318556918"/>
  </r>
  <r>
    <x v="0"/>
    <x v="0"/>
    <x v="0"/>
    <x v="7"/>
    <x v="17"/>
    <s v="SE3_HP"/>
    <x v="8"/>
    <s v="GHOB_WOODWASTE"/>
    <x v="0"/>
    <x v="13"/>
    <n v="17.4016224168126"/>
    <n v="6351.5921821366001"/>
    <n v="22865.7318556918"/>
  </r>
  <r>
    <x v="0"/>
    <x v="0"/>
    <x v="0"/>
    <x v="7"/>
    <x v="17"/>
    <s v="SE3_HP"/>
    <x v="8"/>
    <s v="GHOB_WOODWASTE"/>
    <x v="0"/>
    <x v="0"/>
    <n v="17.4016224168126"/>
    <n v="6351.5921821366001"/>
    <n v="22865.7318556918"/>
  </r>
  <r>
    <x v="0"/>
    <x v="0"/>
    <x v="0"/>
    <x v="7"/>
    <x v="17"/>
    <s v="SE3_HP"/>
    <x v="8"/>
    <s v="GHOB_WOODWASTE"/>
    <x v="0"/>
    <x v="14"/>
    <n v="17.4016224168126"/>
    <n v="6351.5921821366001"/>
    <n v="22865.7318556918"/>
  </r>
  <r>
    <x v="0"/>
    <x v="0"/>
    <x v="0"/>
    <x v="7"/>
    <x v="17"/>
    <s v="SE3_HP"/>
    <x v="8"/>
    <s v="GHOB_WOODWASTE"/>
    <x v="0"/>
    <x v="1"/>
    <n v="17.4016224168126"/>
    <n v="6351.5921821366001"/>
    <n v="22865.7318556918"/>
  </r>
  <r>
    <x v="0"/>
    <x v="0"/>
    <x v="0"/>
    <x v="7"/>
    <x v="17"/>
    <s v="SE3_HP"/>
    <x v="8"/>
    <s v="GHOB_WOODWASTE"/>
    <x v="0"/>
    <x v="23"/>
    <n v="17.4016224168126"/>
    <n v="6351.5921821366001"/>
    <n v="22865.7318556918"/>
  </r>
  <r>
    <x v="0"/>
    <x v="0"/>
    <x v="0"/>
    <x v="7"/>
    <x v="17"/>
    <s v="SE3_HP"/>
    <x v="8"/>
    <s v="GHOB_WOODWASTE"/>
    <x v="0"/>
    <x v="2"/>
    <n v="17.4016224168126"/>
    <n v="6351.5921821366001"/>
    <n v="22865.7318556918"/>
  </r>
  <r>
    <x v="0"/>
    <x v="0"/>
    <x v="0"/>
    <x v="7"/>
    <x v="17"/>
    <s v="SE3_HP"/>
    <x v="8"/>
    <s v="GHOB_WOODWASTE"/>
    <x v="0"/>
    <x v="3"/>
    <n v="17.4016224168126"/>
    <n v="6351.5921821366001"/>
    <n v="22865.7318556918"/>
  </r>
  <r>
    <x v="0"/>
    <x v="0"/>
    <x v="0"/>
    <x v="7"/>
    <x v="17"/>
    <s v="SE3_HP"/>
    <x v="8"/>
    <s v="GHOB_WOODWASTE"/>
    <x v="0"/>
    <x v="4"/>
    <n v="17.4016224168126"/>
    <n v="6351.5921821366001"/>
    <n v="22865.7318556918"/>
  </r>
  <r>
    <x v="0"/>
    <x v="0"/>
    <x v="0"/>
    <x v="7"/>
    <x v="17"/>
    <s v="SE3_HP"/>
    <x v="8"/>
    <s v="GHOB_WOODWASTE"/>
    <x v="0"/>
    <x v="5"/>
    <n v="17.4016224168126"/>
    <n v="6351.5921821366001"/>
    <n v="22865.7318556918"/>
  </r>
  <r>
    <x v="0"/>
    <x v="0"/>
    <x v="0"/>
    <x v="7"/>
    <x v="17"/>
    <s v="SE3_HP"/>
    <x v="8"/>
    <s v="GHOB_WOODWASTE"/>
    <x v="0"/>
    <x v="15"/>
    <n v="17.4016224168126"/>
    <n v="6351.5921821366001"/>
    <n v="22865.7318556918"/>
  </r>
  <r>
    <x v="0"/>
    <x v="0"/>
    <x v="0"/>
    <x v="7"/>
    <x v="17"/>
    <s v="SE3_HP"/>
    <x v="8"/>
    <s v="GHOB_WOODWASTE"/>
    <x v="0"/>
    <x v="6"/>
    <n v="17.4016224168126"/>
    <n v="6351.5921821366001"/>
    <n v="22865.7318556918"/>
  </r>
  <r>
    <x v="0"/>
    <x v="0"/>
    <x v="0"/>
    <x v="7"/>
    <x v="17"/>
    <s v="SE3_HP"/>
    <x v="8"/>
    <s v="GHOB_WOODWASTE"/>
    <x v="0"/>
    <x v="7"/>
    <n v="17.4016224168126"/>
    <n v="6351.5921821366001"/>
    <n v="22865.7318556918"/>
  </r>
  <r>
    <x v="0"/>
    <x v="0"/>
    <x v="0"/>
    <x v="7"/>
    <x v="17"/>
    <s v="SE3_HP"/>
    <x v="8"/>
    <s v="GHOB_WOODWASTE"/>
    <x v="0"/>
    <x v="8"/>
    <n v="17.4016224168126"/>
    <n v="6351.5921821366001"/>
    <n v="22865.7318556918"/>
  </r>
  <r>
    <x v="0"/>
    <x v="0"/>
    <x v="0"/>
    <x v="7"/>
    <x v="17"/>
    <s v="SE3_HP"/>
    <x v="8"/>
    <s v="GHOB_WOODWASTE"/>
    <x v="0"/>
    <x v="16"/>
    <n v="17.4016224168126"/>
    <n v="6351.5921821366001"/>
    <n v="22865.7318556918"/>
  </r>
  <r>
    <x v="0"/>
    <x v="0"/>
    <x v="0"/>
    <x v="7"/>
    <x v="17"/>
    <s v="SE3_HP"/>
    <x v="8"/>
    <s v="GHOB_WOODWASTE"/>
    <x v="0"/>
    <x v="17"/>
    <n v="17.4016224168126"/>
    <n v="6351.5921821366001"/>
    <n v="22865.7318556918"/>
  </r>
  <r>
    <x v="0"/>
    <x v="0"/>
    <x v="0"/>
    <x v="7"/>
    <x v="17"/>
    <s v="SE3_HP"/>
    <x v="8"/>
    <s v="GHOB_WOODWASTE"/>
    <x v="0"/>
    <x v="18"/>
    <n v="17.4016224168126"/>
    <n v="6351.5921821366001"/>
    <n v="22865.7318556918"/>
  </r>
  <r>
    <x v="0"/>
    <x v="0"/>
    <x v="0"/>
    <x v="7"/>
    <x v="17"/>
    <s v="SE3_HP"/>
    <x v="8"/>
    <s v="GHOB_WOODWASTE"/>
    <x v="0"/>
    <x v="19"/>
    <n v="17.4016224168126"/>
    <n v="6351.5921821366001"/>
    <n v="22865.7318556918"/>
  </r>
  <r>
    <x v="0"/>
    <x v="0"/>
    <x v="0"/>
    <x v="7"/>
    <x v="17"/>
    <s v="SE3_HP"/>
    <x v="8"/>
    <s v="GHOB_WOODWASTE"/>
    <x v="0"/>
    <x v="20"/>
    <n v="17.4016224168126"/>
    <n v="6351.5921821366001"/>
    <n v="22865.7318556918"/>
  </r>
  <r>
    <x v="0"/>
    <x v="0"/>
    <x v="0"/>
    <x v="7"/>
    <x v="17"/>
    <s v="SE3_HP"/>
    <x v="8"/>
    <s v="GHOB_WOODWASTE"/>
    <x v="0"/>
    <x v="21"/>
    <n v="17.4016224168126"/>
    <n v="6351.5921821366001"/>
    <n v="22865.7318556918"/>
  </r>
  <r>
    <x v="0"/>
    <x v="0"/>
    <x v="0"/>
    <x v="7"/>
    <x v="17"/>
    <s v="SE3_HP"/>
    <x v="8"/>
    <s v="GHOB_WOODWASTE"/>
    <x v="0"/>
    <x v="22"/>
    <n v="17.4016224168126"/>
    <n v="6351.5921821366001"/>
    <n v="22865.7318556918"/>
  </r>
  <r>
    <x v="0"/>
    <x v="0"/>
    <x v="0"/>
    <x v="7"/>
    <x v="17"/>
    <s v="SE3_OTHER"/>
    <x v="1"/>
    <s v="GNR_HS_HEAT_WTR-TANK_LS_E-95_Y-2010"/>
    <x v="0"/>
    <x v="14"/>
    <n v="189.962312935619"/>
    <n v="69336.244221500907"/>
    <n v="249610.47919740301"/>
  </r>
  <r>
    <x v="0"/>
    <x v="0"/>
    <x v="0"/>
    <x v="7"/>
    <x v="17"/>
    <s v="SE3_OTHER"/>
    <x v="1"/>
    <s v="GNR_HS_HEAT_WTR-TANK_LS_E-95_Y-2010"/>
    <x v="0"/>
    <x v="1"/>
    <n v="332.07073075578802"/>
    <n v="121205.81672586199"/>
    <n v="436340.940213105"/>
  </r>
  <r>
    <x v="0"/>
    <x v="0"/>
    <x v="0"/>
    <x v="7"/>
    <x v="17"/>
    <s v="SE3_OTHER"/>
    <x v="1"/>
    <s v="GNR_HS_HEAT_WTR-TANK_LS_E-95_Y-2010"/>
    <x v="0"/>
    <x v="23"/>
    <n v="343.90682191286601"/>
    <n v="125525.989998196"/>
    <n v="451893.56399350503"/>
  </r>
  <r>
    <x v="0"/>
    <x v="0"/>
    <x v="0"/>
    <x v="7"/>
    <x v="17"/>
    <s v="SE3_OTHER"/>
    <x v="1"/>
    <s v="GNR_HS_HEAT_WTR-TANK_LS_E-95_Y-2010"/>
    <x v="0"/>
    <x v="2"/>
    <n v="322.482952465312"/>
    <n v="117706.277649839"/>
    <n v="423742.59953941999"/>
  </r>
  <r>
    <x v="0"/>
    <x v="0"/>
    <x v="0"/>
    <x v="7"/>
    <x v="17"/>
    <s v="SE3_OTHER"/>
    <x v="1"/>
    <s v="GNR_HS_HEAT_WTR-TANK_LS_E-95_Y-2010"/>
    <x v="0"/>
    <x v="3"/>
    <n v="250.69212767864701"/>
    <n v="91502.626602706106"/>
    <n v="329409.45576974202"/>
  </r>
  <r>
    <x v="0"/>
    <x v="0"/>
    <x v="0"/>
    <x v="7"/>
    <x v="17"/>
    <s v="SE3_OTHER"/>
    <x v="1"/>
    <s v="GNR_HS_HEAT_WTR-TANK_LS_E-95_Y-2010"/>
    <x v="0"/>
    <x v="4"/>
    <n v="192.76174597158999"/>
    <n v="70358.037279630196"/>
    <n v="253288.93420666899"/>
  </r>
  <r>
    <x v="0"/>
    <x v="0"/>
    <x v="0"/>
    <x v="7"/>
    <x v="17"/>
    <s v="SE3_OTHER"/>
    <x v="1"/>
    <s v="GNR_HS_HEAT_WTR-TANK_LS_E-95_Y-2010"/>
    <x v="0"/>
    <x v="5"/>
    <n v="146.39983698271499"/>
    <n v="53435.940498691103"/>
    <n v="192369.38579528799"/>
  </r>
  <r>
    <x v="0"/>
    <x v="0"/>
    <x v="0"/>
    <x v="7"/>
    <x v="17"/>
    <s v="SE3_OTHER"/>
    <x v="1"/>
    <s v="GNR_HS_HEAT_WTR-TANK_LS_E-95_Y-2010"/>
    <x v="0"/>
    <x v="15"/>
    <n v="108.89749748206199"/>
    <n v="39747.5865809526"/>
    <n v="143091.311691429"/>
  </r>
  <r>
    <x v="0"/>
    <x v="0"/>
    <x v="0"/>
    <x v="7"/>
    <x v="17"/>
    <s v="SE3_OTHER"/>
    <x v="1"/>
    <s v="GNR_HS_HEAT_WTR-TANK_LS_E-95_Y-2010"/>
    <x v="0"/>
    <x v="6"/>
    <n v="73.231266126311198"/>
    <n v="26729.412136103601"/>
    <n v="96225.883689972907"/>
  </r>
  <r>
    <x v="0"/>
    <x v="0"/>
    <x v="0"/>
    <x v="7"/>
    <x v="17"/>
    <s v="SE3_OTHER"/>
    <x v="1"/>
    <s v="GNR_HS_HEAT_WTR-TANK_LS_E-95_Y-2010"/>
    <x v="0"/>
    <x v="7"/>
    <n v="59.119432283028203"/>
    <n v="21578.592783305299"/>
    <n v="77682.934019898996"/>
  </r>
  <r>
    <x v="0"/>
    <x v="0"/>
    <x v="0"/>
    <x v="7"/>
    <x v="17"/>
    <s v="SE3_OTHER"/>
    <x v="4"/>
    <s v="GBPR_MUNIWASTE_24"/>
    <x v="0"/>
    <x v="9"/>
    <n v="120.48960927447"/>
    <n v="43978.707385181697"/>
    <n v="158323.34658665399"/>
  </r>
  <r>
    <x v="0"/>
    <x v="0"/>
    <x v="0"/>
    <x v="7"/>
    <x v="17"/>
    <s v="SE3_OTHER"/>
    <x v="4"/>
    <s v="GBPR_MUNIWASTE_24"/>
    <x v="0"/>
    <x v="10"/>
    <n v="120.48960927447"/>
    <n v="43978.707385181697"/>
    <n v="158323.34658665399"/>
  </r>
  <r>
    <x v="0"/>
    <x v="0"/>
    <x v="0"/>
    <x v="7"/>
    <x v="17"/>
    <s v="SE3_OTHER"/>
    <x v="4"/>
    <s v="GBPR_MUNIWASTE_24"/>
    <x v="0"/>
    <x v="11"/>
    <n v="120.48960927447"/>
    <n v="43978.707385181697"/>
    <n v="158323.34658665399"/>
  </r>
  <r>
    <x v="0"/>
    <x v="0"/>
    <x v="0"/>
    <x v="7"/>
    <x v="17"/>
    <s v="SE3_OTHER"/>
    <x v="4"/>
    <s v="GBPR_MUNIWASTE_24"/>
    <x v="0"/>
    <x v="12"/>
    <n v="120.48960927447"/>
    <n v="43978.707385181697"/>
    <n v="158323.34658665399"/>
  </r>
  <r>
    <x v="0"/>
    <x v="0"/>
    <x v="0"/>
    <x v="7"/>
    <x v="17"/>
    <s v="SE3_OTHER"/>
    <x v="4"/>
    <s v="GBPR_MUNIWASTE_24"/>
    <x v="0"/>
    <x v="13"/>
    <n v="120.48960927447"/>
    <n v="43978.707385181697"/>
    <n v="158323.34658665399"/>
  </r>
  <r>
    <x v="0"/>
    <x v="0"/>
    <x v="0"/>
    <x v="7"/>
    <x v="17"/>
    <s v="SE3_OTHER"/>
    <x v="4"/>
    <s v="GBPR_MUNIWASTE_24"/>
    <x v="0"/>
    <x v="0"/>
    <n v="120.48960927447"/>
    <n v="43978.707385181697"/>
    <n v="158323.34658665399"/>
  </r>
  <r>
    <x v="0"/>
    <x v="0"/>
    <x v="0"/>
    <x v="7"/>
    <x v="17"/>
    <s v="SE3_OTHER"/>
    <x v="4"/>
    <s v="GBPR_MUNIWASTE_24"/>
    <x v="0"/>
    <x v="14"/>
    <n v="120.48960927447"/>
    <n v="43978.707385181697"/>
    <n v="158323.34658665399"/>
  </r>
  <r>
    <x v="0"/>
    <x v="0"/>
    <x v="0"/>
    <x v="7"/>
    <x v="17"/>
    <s v="SE3_OTHER"/>
    <x v="4"/>
    <s v="GBPR_MUNIWASTE_24"/>
    <x v="0"/>
    <x v="1"/>
    <n v="120.48960927447"/>
    <n v="43978.707385181697"/>
    <n v="158323.34658665399"/>
  </r>
  <r>
    <x v="0"/>
    <x v="0"/>
    <x v="0"/>
    <x v="7"/>
    <x v="17"/>
    <s v="SE3_OTHER"/>
    <x v="4"/>
    <s v="GBPR_MUNIWASTE_24"/>
    <x v="0"/>
    <x v="23"/>
    <n v="120.48960927447"/>
    <n v="43978.707385181697"/>
    <n v="158323.34658665399"/>
  </r>
  <r>
    <x v="0"/>
    <x v="0"/>
    <x v="0"/>
    <x v="7"/>
    <x v="17"/>
    <s v="SE3_OTHER"/>
    <x v="4"/>
    <s v="GBPR_MUNIWASTE_24"/>
    <x v="0"/>
    <x v="2"/>
    <n v="120.48960927447"/>
    <n v="43978.707385181697"/>
    <n v="158323.34658665399"/>
  </r>
  <r>
    <x v="0"/>
    <x v="0"/>
    <x v="0"/>
    <x v="7"/>
    <x v="17"/>
    <s v="SE3_OTHER"/>
    <x v="4"/>
    <s v="GBPR_MUNIWASTE_24"/>
    <x v="0"/>
    <x v="3"/>
    <n v="120.48960927447"/>
    <n v="43978.707385181697"/>
    <n v="158323.34658665399"/>
  </r>
  <r>
    <x v="0"/>
    <x v="0"/>
    <x v="0"/>
    <x v="7"/>
    <x v="17"/>
    <s v="SE3_OTHER"/>
    <x v="4"/>
    <s v="GBPR_MUNIWASTE_24"/>
    <x v="0"/>
    <x v="4"/>
    <n v="120.48960927447"/>
    <n v="43978.707385181697"/>
    <n v="158323.34658665399"/>
  </r>
  <r>
    <x v="0"/>
    <x v="0"/>
    <x v="0"/>
    <x v="7"/>
    <x v="17"/>
    <s v="SE3_OTHER"/>
    <x v="4"/>
    <s v="GBPR_MUNIWASTE_24"/>
    <x v="0"/>
    <x v="5"/>
    <n v="120.48960927447"/>
    <n v="43978.707385181697"/>
    <n v="158323.34658665399"/>
  </r>
  <r>
    <x v="0"/>
    <x v="0"/>
    <x v="0"/>
    <x v="7"/>
    <x v="17"/>
    <s v="SE3_OTHER"/>
    <x v="4"/>
    <s v="GBPR_MUNIWASTE_24"/>
    <x v="0"/>
    <x v="15"/>
    <n v="120.48960927447"/>
    <n v="43978.707385181697"/>
    <n v="158323.34658665399"/>
  </r>
  <r>
    <x v="0"/>
    <x v="0"/>
    <x v="0"/>
    <x v="7"/>
    <x v="17"/>
    <s v="SE3_OTHER"/>
    <x v="4"/>
    <s v="GBPR_MUNIWASTE_24"/>
    <x v="0"/>
    <x v="6"/>
    <n v="120.48960927447"/>
    <n v="43978.707385181697"/>
    <n v="158323.34658665399"/>
  </r>
  <r>
    <x v="0"/>
    <x v="0"/>
    <x v="0"/>
    <x v="7"/>
    <x v="17"/>
    <s v="SE3_OTHER"/>
    <x v="4"/>
    <s v="GBPR_MUNIWASTE_24"/>
    <x v="0"/>
    <x v="7"/>
    <n v="120.48960927447"/>
    <n v="43978.707385181697"/>
    <n v="158323.34658665399"/>
  </r>
  <r>
    <x v="0"/>
    <x v="0"/>
    <x v="0"/>
    <x v="7"/>
    <x v="17"/>
    <s v="SE3_OTHER"/>
    <x v="4"/>
    <s v="GBPR_MUNIWASTE_24"/>
    <x v="0"/>
    <x v="8"/>
    <n v="120.48960927447"/>
    <n v="43978.707385181697"/>
    <n v="158323.34658665399"/>
  </r>
  <r>
    <x v="0"/>
    <x v="0"/>
    <x v="0"/>
    <x v="7"/>
    <x v="17"/>
    <s v="SE3_OTHER"/>
    <x v="4"/>
    <s v="GBPR_MUNIWASTE_24"/>
    <x v="0"/>
    <x v="16"/>
    <n v="120.48960927447"/>
    <n v="43978.707385181697"/>
    <n v="158323.34658665399"/>
  </r>
  <r>
    <x v="0"/>
    <x v="0"/>
    <x v="0"/>
    <x v="7"/>
    <x v="17"/>
    <s v="SE3_OTHER"/>
    <x v="4"/>
    <s v="GBPR_MUNIWASTE_24"/>
    <x v="0"/>
    <x v="17"/>
    <n v="120.48960927447"/>
    <n v="43978.707385181697"/>
    <n v="158323.34658665399"/>
  </r>
  <r>
    <x v="0"/>
    <x v="0"/>
    <x v="0"/>
    <x v="7"/>
    <x v="17"/>
    <s v="SE3_OTHER"/>
    <x v="4"/>
    <s v="GBPR_MUNIWASTE_24"/>
    <x v="0"/>
    <x v="18"/>
    <n v="120.48960927447"/>
    <n v="43978.707385181697"/>
    <n v="158323.34658665399"/>
  </r>
  <r>
    <x v="0"/>
    <x v="0"/>
    <x v="0"/>
    <x v="7"/>
    <x v="17"/>
    <s v="SE3_OTHER"/>
    <x v="4"/>
    <s v="GBPR_MUNIWASTE_24"/>
    <x v="0"/>
    <x v="19"/>
    <n v="120.48960927447"/>
    <n v="43978.707385181697"/>
    <n v="158323.34658665399"/>
  </r>
  <r>
    <x v="0"/>
    <x v="0"/>
    <x v="0"/>
    <x v="7"/>
    <x v="17"/>
    <s v="SE3_OTHER"/>
    <x v="4"/>
    <s v="GBPR_MUNIWASTE_24"/>
    <x v="0"/>
    <x v="20"/>
    <n v="120.48960927447"/>
    <n v="43978.707385181697"/>
    <n v="158323.34658665399"/>
  </r>
  <r>
    <x v="0"/>
    <x v="0"/>
    <x v="0"/>
    <x v="7"/>
    <x v="17"/>
    <s v="SE3_OTHER"/>
    <x v="4"/>
    <s v="GBPR_MUNIWASTE_24"/>
    <x v="0"/>
    <x v="21"/>
    <n v="120.48960927447"/>
    <n v="43978.707385181697"/>
    <n v="158323.34658665399"/>
  </r>
  <r>
    <x v="0"/>
    <x v="0"/>
    <x v="0"/>
    <x v="7"/>
    <x v="17"/>
    <s v="SE3_OTHER"/>
    <x v="4"/>
    <s v="GBPR_MUNIWASTE_24"/>
    <x v="0"/>
    <x v="22"/>
    <n v="120.48960927447"/>
    <n v="43978.707385181697"/>
    <n v="158323.34658665399"/>
  </r>
  <r>
    <x v="0"/>
    <x v="0"/>
    <x v="0"/>
    <x v="7"/>
    <x v="17"/>
    <s v="SE3_OTHER"/>
    <x v="4"/>
    <s v="GHOB_MUNIWASTE"/>
    <x v="0"/>
    <x v="9"/>
    <n v="118.900503206948"/>
    <n v="43398.683670535902"/>
    <n v="156235.26121392901"/>
  </r>
  <r>
    <x v="0"/>
    <x v="0"/>
    <x v="0"/>
    <x v="7"/>
    <x v="17"/>
    <s v="SE3_OTHER"/>
    <x v="4"/>
    <s v="GHOB_MUNIWASTE"/>
    <x v="0"/>
    <x v="10"/>
    <n v="118.900503206948"/>
    <n v="43398.683670535902"/>
    <n v="156235.26121392901"/>
  </r>
  <r>
    <x v="0"/>
    <x v="0"/>
    <x v="0"/>
    <x v="7"/>
    <x v="17"/>
    <s v="SE3_OTHER"/>
    <x v="4"/>
    <s v="GHOB_MUNIWASTE"/>
    <x v="0"/>
    <x v="11"/>
    <n v="118.900503206948"/>
    <n v="43398.683670535902"/>
    <n v="156235.26121392901"/>
  </r>
  <r>
    <x v="0"/>
    <x v="0"/>
    <x v="0"/>
    <x v="7"/>
    <x v="17"/>
    <s v="SE3_OTHER"/>
    <x v="4"/>
    <s v="GHOB_MUNIWASTE"/>
    <x v="0"/>
    <x v="12"/>
    <n v="118.900503206948"/>
    <n v="43398.683670535902"/>
    <n v="156235.26121392901"/>
  </r>
  <r>
    <x v="0"/>
    <x v="0"/>
    <x v="0"/>
    <x v="7"/>
    <x v="17"/>
    <s v="SE3_OTHER"/>
    <x v="4"/>
    <s v="GHOB_MUNIWASTE"/>
    <x v="0"/>
    <x v="13"/>
    <n v="118.900503206948"/>
    <n v="43398.683670535902"/>
    <n v="156235.26121392901"/>
  </r>
  <r>
    <x v="0"/>
    <x v="0"/>
    <x v="0"/>
    <x v="7"/>
    <x v="17"/>
    <s v="SE3_OTHER"/>
    <x v="4"/>
    <s v="GHOB_MUNIWASTE"/>
    <x v="0"/>
    <x v="0"/>
    <n v="118.900503206948"/>
    <n v="43398.683670535902"/>
    <n v="156235.26121392901"/>
  </r>
  <r>
    <x v="0"/>
    <x v="0"/>
    <x v="0"/>
    <x v="7"/>
    <x v="17"/>
    <s v="SE3_OTHER"/>
    <x v="4"/>
    <s v="GHOB_MUNIWASTE"/>
    <x v="0"/>
    <x v="14"/>
    <n v="118.900503206948"/>
    <n v="43398.683670535902"/>
    <n v="156235.26121392901"/>
  </r>
  <r>
    <x v="0"/>
    <x v="0"/>
    <x v="0"/>
    <x v="7"/>
    <x v="17"/>
    <s v="SE3_OTHER"/>
    <x v="4"/>
    <s v="GHOB_MUNIWASTE"/>
    <x v="0"/>
    <x v="1"/>
    <n v="118.900503206948"/>
    <n v="43398.683670535902"/>
    <n v="156235.26121392901"/>
  </r>
  <r>
    <x v="0"/>
    <x v="0"/>
    <x v="0"/>
    <x v="7"/>
    <x v="17"/>
    <s v="SE3_OTHER"/>
    <x v="4"/>
    <s v="GHOB_MUNIWASTE"/>
    <x v="0"/>
    <x v="23"/>
    <n v="118.900503206948"/>
    <n v="43398.683670535902"/>
    <n v="156235.26121392901"/>
  </r>
  <r>
    <x v="0"/>
    <x v="0"/>
    <x v="0"/>
    <x v="7"/>
    <x v="17"/>
    <s v="SE3_OTHER"/>
    <x v="4"/>
    <s v="GHOB_MUNIWASTE"/>
    <x v="0"/>
    <x v="2"/>
    <n v="118.900503206948"/>
    <n v="43398.683670535902"/>
    <n v="156235.26121392901"/>
  </r>
  <r>
    <x v="0"/>
    <x v="0"/>
    <x v="0"/>
    <x v="7"/>
    <x v="17"/>
    <s v="SE3_OTHER"/>
    <x v="4"/>
    <s v="GHOB_MUNIWASTE"/>
    <x v="0"/>
    <x v="3"/>
    <n v="118.900503206948"/>
    <n v="43398.683670535902"/>
    <n v="156235.26121392901"/>
  </r>
  <r>
    <x v="0"/>
    <x v="0"/>
    <x v="0"/>
    <x v="7"/>
    <x v="17"/>
    <s v="SE3_OTHER"/>
    <x v="4"/>
    <s v="GHOB_MUNIWASTE"/>
    <x v="0"/>
    <x v="4"/>
    <n v="118.900503206948"/>
    <n v="43398.683670535902"/>
    <n v="156235.26121392901"/>
  </r>
  <r>
    <x v="0"/>
    <x v="0"/>
    <x v="0"/>
    <x v="7"/>
    <x v="17"/>
    <s v="SE3_OTHER"/>
    <x v="4"/>
    <s v="GHOB_MUNIWASTE"/>
    <x v="0"/>
    <x v="5"/>
    <n v="118.900503206948"/>
    <n v="43398.683670535902"/>
    <n v="156235.26121392901"/>
  </r>
  <r>
    <x v="0"/>
    <x v="0"/>
    <x v="0"/>
    <x v="7"/>
    <x v="17"/>
    <s v="SE3_OTHER"/>
    <x v="4"/>
    <s v="GHOB_MUNIWASTE"/>
    <x v="0"/>
    <x v="15"/>
    <n v="118.900503206948"/>
    <n v="43398.683670535902"/>
    <n v="156235.26121392901"/>
  </r>
  <r>
    <x v="0"/>
    <x v="0"/>
    <x v="0"/>
    <x v="7"/>
    <x v="17"/>
    <s v="SE3_OTHER"/>
    <x v="4"/>
    <s v="GHOB_MUNIWASTE"/>
    <x v="0"/>
    <x v="6"/>
    <n v="118.900503206948"/>
    <n v="43398.683670535902"/>
    <n v="156235.26121392901"/>
  </r>
  <r>
    <x v="0"/>
    <x v="0"/>
    <x v="0"/>
    <x v="7"/>
    <x v="17"/>
    <s v="SE3_OTHER"/>
    <x v="4"/>
    <s v="GHOB_MUNIWASTE"/>
    <x v="0"/>
    <x v="7"/>
    <n v="118.900503206948"/>
    <n v="43398.683670535902"/>
    <n v="156235.26121392901"/>
  </r>
  <r>
    <x v="0"/>
    <x v="0"/>
    <x v="0"/>
    <x v="7"/>
    <x v="17"/>
    <s v="SE3_OTHER"/>
    <x v="4"/>
    <s v="GHOB_MUNIWASTE"/>
    <x v="0"/>
    <x v="8"/>
    <n v="118.900503206948"/>
    <n v="43398.683670535902"/>
    <n v="156235.26121392901"/>
  </r>
  <r>
    <x v="0"/>
    <x v="0"/>
    <x v="0"/>
    <x v="7"/>
    <x v="17"/>
    <s v="SE3_OTHER"/>
    <x v="4"/>
    <s v="GHOB_MUNIWASTE"/>
    <x v="0"/>
    <x v="16"/>
    <n v="118.900503206948"/>
    <n v="43398.683670535902"/>
    <n v="156235.26121392901"/>
  </r>
  <r>
    <x v="0"/>
    <x v="0"/>
    <x v="0"/>
    <x v="7"/>
    <x v="17"/>
    <s v="SE3_OTHER"/>
    <x v="4"/>
    <s v="GHOB_MUNIWASTE"/>
    <x v="0"/>
    <x v="17"/>
    <n v="118.900503206948"/>
    <n v="43398.683670535902"/>
    <n v="156235.26121392901"/>
  </r>
  <r>
    <x v="0"/>
    <x v="0"/>
    <x v="0"/>
    <x v="7"/>
    <x v="17"/>
    <s v="SE3_OTHER"/>
    <x v="4"/>
    <s v="GHOB_MUNIWASTE"/>
    <x v="0"/>
    <x v="18"/>
    <n v="118.900503206948"/>
    <n v="43398.683670535902"/>
    <n v="156235.26121392901"/>
  </r>
  <r>
    <x v="0"/>
    <x v="0"/>
    <x v="0"/>
    <x v="7"/>
    <x v="17"/>
    <s v="SE3_OTHER"/>
    <x v="4"/>
    <s v="GHOB_MUNIWASTE"/>
    <x v="0"/>
    <x v="19"/>
    <n v="118.900503206948"/>
    <n v="43398.683670535902"/>
    <n v="156235.26121392901"/>
  </r>
  <r>
    <x v="0"/>
    <x v="0"/>
    <x v="0"/>
    <x v="7"/>
    <x v="17"/>
    <s v="SE3_OTHER"/>
    <x v="4"/>
    <s v="GHOB_MUNIWASTE"/>
    <x v="0"/>
    <x v="20"/>
    <n v="118.900503206948"/>
    <n v="43398.683670535902"/>
    <n v="156235.26121392901"/>
  </r>
  <r>
    <x v="0"/>
    <x v="0"/>
    <x v="0"/>
    <x v="7"/>
    <x v="17"/>
    <s v="SE3_OTHER"/>
    <x v="4"/>
    <s v="GHOB_MUNIWASTE"/>
    <x v="0"/>
    <x v="21"/>
    <n v="118.900503206948"/>
    <n v="43398.683670535902"/>
    <n v="156235.26121392901"/>
  </r>
  <r>
    <x v="0"/>
    <x v="0"/>
    <x v="0"/>
    <x v="7"/>
    <x v="17"/>
    <s v="SE3_OTHER"/>
    <x v="4"/>
    <s v="GHOB_MUNIWASTE"/>
    <x v="0"/>
    <x v="22"/>
    <n v="118.900503206948"/>
    <n v="43398.683670535902"/>
    <n v="156235.26121392901"/>
  </r>
  <r>
    <x v="0"/>
    <x v="0"/>
    <x v="0"/>
    <x v="7"/>
    <x v="17"/>
    <s v="SE3_OTHER"/>
    <x v="16"/>
    <s v="GHOB_OTHERGAS"/>
    <x v="0"/>
    <x v="9"/>
    <n v="20"/>
    <n v="7300"/>
    <n v="26280"/>
  </r>
  <r>
    <x v="0"/>
    <x v="0"/>
    <x v="0"/>
    <x v="7"/>
    <x v="17"/>
    <s v="SE3_OTHER"/>
    <x v="16"/>
    <s v="GHOB_OTHERGAS"/>
    <x v="0"/>
    <x v="10"/>
    <n v="20"/>
    <n v="7300"/>
    <n v="26280"/>
  </r>
  <r>
    <x v="0"/>
    <x v="0"/>
    <x v="0"/>
    <x v="7"/>
    <x v="17"/>
    <s v="SE3_OTHER"/>
    <x v="16"/>
    <s v="GHOB_OTHERGAS"/>
    <x v="0"/>
    <x v="11"/>
    <n v="20"/>
    <n v="7300"/>
    <n v="26280"/>
  </r>
  <r>
    <x v="0"/>
    <x v="0"/>
    <x v="0"/>
    <x v="7"/>
    <x v="17"/>
    <s v="SE3_OTHER"/>
    <x v="16"/>
    <s v="GHOB_OTHERGAS"/>
    <x v="0"/>
    <x v="12"/>
    <n v="20"/>
    <n v="7300"/>
    <n v="26280"/>
  </r>
  <r>
    <x v="0"/>
    <x v="0"/>
    <x v="0"/>
    <x v="7"/>
    <x v="17"/>
    <s v="SE3_OTHER"/>
    <x v="16"/>
    <s v="GHOB_OTHERGAS"/>
    <x v="0"/>
    <x v="13"/>
    <n v="20"/>
    <n v="7300"/>
    <n v="26280"/>
  </r>
  <r>
    <x v="0"/>
    <x v="0"/>
    <x v="0"/>
    <x v="7"/>
    <x v="17"/>
    <s v="SE3_OTHER"/>
    <x v="16"/>
    <s v="GHOB_OTHERGAS"/>
    <x v="0"/>
    <x v="0"/>
    <n v="20"/>
    <n v="7300"/>
    <n v="26280"/>
  </r>
  <r>
    <x v="0"/>
    <x v="0"/>
    <x v="0"/>
    <x v="7"/>
    <x v="17"/>
    <s v="SE3_OTHER"/>
    <x v="16"/>
    <s v="GHOB_OTHERGAS"/>
    <x v="0"/>
    <x v="14"/>
    <n v="20"/>
    <n v="7300"/>
    <n v="26280"/>
  </r>
  <r>
    <x v="0"/>
    <x v="0"/>
    <x v="0"/>
    <x v="7"/>
    <x v="17"/>
    <s v="SE3_OTHER"/>
    <x v="16"/>
    <s v="GHOB_OTHERGAS"/>
    <x v="0"/>
    <x v="1"/>
    <n v="20"/>
    <n v="7300"/>
    <n v="26280"/>
  </r>
  <r>
    <x v="0"/>
    <x v="0"/>
    <x v="0"/>
    <x v="7"/>
    <x v="17"/>
    <s v="SE3_OTHER"/>
    <x v="16"/>
    <s v="GHOB_OTHERGAS"/>
    <x v="0"/>
    <x v="23"/>
    <n v="20"/>
    <n v="7300"/>
    <n v="26280"/>
  </r>
  <r>
    <x v="0"/>
    <x v="0"/>
    <x v="0"/>
    <x v="7"/>
    <x v="17"/>
    <s v="SE3_OTHER"/>
    <x v="16"/>
    <s v="GHOB_OTHERGAS"/>
    <x v="0"/>
    <x v="2"/>
    <n v="20"/>
    <n v="7300"/>
    <n v="26280"/>
  </r>
  <r>
    <x v="0"/>
    <x v="0"/>
    <x v="0"/>
    <x v="7"/>
    <x v="17"/>
    <s v="SE3_OTHER"/>
    <x v="16"/>
    <s v="GHOB_OTHERGAS"/>
    <x v="0"/>
    <x v="3"/>
    <n v="20"/>
    <n v="7300"/>
    <n v="26280"/>
  </r>
  <r>
    <x v="0"/>
    <x v="0"/>
    <x v="0"/>
    <x v="7"/>
    <x v="17"/>
    <s v="SE3_OTHER"/>
    <x v="16"/>
    <s v="GHOB_OTHERGAS"/>
    <x v="0"/>
    <x v="4"/>
    <n v="20"/>
    <n v="7300"/>
    <n v="26280"/>
  </r>
  <r>
    <x v="0"/>
    <x v="0"/>
    <x v="0"/>
    <x v="7"/>
    <x v="17"/>
    <s v="SE3_OTHER"/>
    <x v="16"/>
    <s v="GHOB_OTHERGAS"/>
    <x v="0"/>
    <x v="5"/>
    <n v="20"/>
    <n v="7300"/>
    <n v="26280"/>
  </r>
  <r>
    <x v="0"/>
    <x v="0"/>
    <x v="0"/>
    <x v="7"/>
    <x v="17"/>
    <s v="SE3_OTHER"/>
    <x v="16"/>
    <s v="GHOB_OTHERGAS"/>
    <x v="0"/>
    <x v="15"/>
    <n v="20"/>
    <n v="7300"/>
    <n v="26280"/>
  </r>
  <r>
    <x v="0"/>
    <x v="0"/>
    <x v="0"/>
    <x v="7"/>
    <x v="17"/>
    <s v="SE3_OTHER"/>
    <x v="16"/>
    <s v="GHOB_OTHERGAS"/>
    <x v="0"/>
    <x v="6"/>
    <n v="20"/>
    <n v="7300"/>
    <n v="26280"/>
  </r>
  <r>
    <x v="0"/>
    <x v="0"/>
    <x v="0"/>
    <x v="7"/>
    <x v="17"/>
    <s v="SE3_OTHER"/>
    <x v="16"/>
    <s v="GHOB_OTHERGAS"/>
    <x v="0"/>
    <x v="7"/>
    <n v="20"/>
    <n v="7300"/>
    <n v="26280"/>
  </r>
  <r>
    <x v="0"/>
    <x v="0"/>
    <x v="0"/>
    <x v="7"/>
    <x v="17"/>
    <s v="SE3_OTHER"/>
    <x v="16"/>
    <s v="GHOB_OTHERGAS"/>
    <x v="0"/>
    <x v="8"/>
    <n v="20"/>
    <n v="7300"/>
    <n v="26280"/>
  </r>
  <r>
    <x v="0"/>
    <x v="0"/>
    <x v="0"/>
    <x v="7"/>
    <x v="17"/>
    <s v="SE3_OTHER"/>
    <x v="16"/>
    <s v="GHOB_OTHERGAS"/>
    <x v="0"/>
    <x v="16"/>
    <n v="20"/>
    <n v="7300"/>
    <n v="26280"/>
  </r>
  <r>
    <x v="0"/>
    <x v="0"/>
    <x v="0"/>
    <x v="7"/>
    <x v="17"/>
    <s v="SE3_OTHER"/>
    <x v="16"/>
    <s v="GHOB_OTHERGAS"/>
    <x v="0"/>
    <x v="17"/>
    <n v="20"/>
    <n v="7300"/>
    <n v="26280"/>
  </r>
  <r>
    <x v="0"/>
    <x v="0"/>
    <x v="0"/>
    <x v="7"/>
    <x v="17"/>
    <s v="SE3_OTHER"/>
    <x v="16"/>
    <s v="GHOB_OTHERGAS"/>
    <x v="0"/>
    <x v="18"/>
    <n v="20"/>
    <n v="7300"/>
    <n v="26280"/>
  </r>
  <r>
    <x v="0"/>
    <x v="0"/>
    <x v="0"/>
    <x v="7"/>
    <x v="17"/>
    <s v="SE3_OTHER"/>
    <x v="16"/>
    <s v="GHOB_OTHERGAS"/>
    <x v="0"/>
    <x v="19"/>
    <n v="20"/>
    <n v="7300"/>
    <n v="26280"/>
  </r>
  <r>
    <x v="0"/>
    <x v="0"/>
    <x v="0"/>
    <x v="7"/>
    <x v="17"/>
    <s v="SE3_OTHER"/>
    <x v="16"/>
    <s v="GHOB_OTHERGAS"/>
    <x v="0"/>
    <x v="20"/>
    <n v="20"/>
    <n v="7300"/>
    <n v="26280"/>
  </r>
  <r>
    <x v="0"/>
    <x v="0"/>
    <x v="0"/>
    <x v="7"/>
    <x v="17"/>
    <s v="SE3_OTHER"/>
    <x v="16"/>
    <s v="GHOB_OTHERGAS"/>
    <x v="0"/>
    <x v="21"/>
    <n v="20"/>
    <n v="7300"/>
    <n v="26280"/>
  </r>
  <r>
    <x v="0"/>
    <x v="0"/>
    <x v="0"/>
    <x v="7"/>
    <x v="17"/>
    <s v="SE3_OTHER"/>
    <x v="16"/>
    <s v="GHOB_OTHERGAS"/>
    <x v="0"/>
    <x v="22"/>
    <n v="20"/>
    <n v="7300"/>
    <n v="26280"/>
  </r>
  <r>
    <x v="0"/>
    <x v="0"/>
    <x v="0"/>
    <x v="7"/>
    <x v="17"/>
    <s v="SE3_OTHER"/>
    <x v="2"/>
    <s v="GHOB_WASTEHEAT"/>
    <x v="0"/>
    <x v="9"/>
    <n v="135.051739926739"/>
    <n v="49293.885073259902"/>
    <n v="177457.98626373601"/>
  </r>
  <r>
    <x v="0"/>
    <x v="0"/>
    <x v="0"/>
    <x v="7"/>
    <x v="17"/>
    <s v="SE3_OTHER"/>
    <x v="2"/>
    <s v="GHOB_WASTEHEAT"/>
    <x v="0"/>
    <x v="10"/>
    <n v="135.051739926739"/>
    <n v="49293.885073259902"/>
    <n v="177457.98626373601"/>
  </r>
  <r>
    <x v="0"/>
    <x v="0"/>
    <x v="0"/>
    <x v="7"/>
    <x v="17"/>
    <s v="SE3_OTHER"/>
    <x v="2"/>
    <s v="GHOB_WASTEHEAT"/>
    <x v="0"/>
    <x v="11"/>
    <n v="135.051739926739"/>
    <n v="49293.885073259902"/>
    <n v="177457.98626373601"/>
  </r>
  <r>
    <x v="0"/>
    <x v="0"/>
    <x v="0"/>
    <x v="7"/>
    <x v="17"/>
    <s v="SE3_OTHER"/>
    <x v="2"/>
    <s v="GHOB_WASTEHEAT"/>
    <x v="0"/>
    <x v="12"/>
    <n v="135.051739926739"/>
    <n v="49293.885073259902"/>
    <n v="177457.98626373601"/>
  </r>
  <r>
    <x v="0"/>
    <x v="0"/>
    <x v="0"/>
    <x v="7"/>
    <x v="17"/>
    <s v="SE3_OTHER"/>
    <x v="2"/>
    <s v="GHOB_WASTEHEAT"/>
    <x v="0"/>
    <x v="13"/>
    <n v="135.051739926739"/>
    <n v="49293.885073259902"/>
    <n v="177457.98626373601"/>
  </r>
  <r>
    <x v="0"/>
    <x v="0"/>
    <x v="0"/>
    <x v="7"/>
    <x v="17"/>
    <s v="SE3_OTHER"/>
    <x v="2"/>
    <s v="GHOB_WASTEHEAT"/>
    <x v="0"/>
    <x v="0"/>
    <n v="135.051739926739"/>
    <n v="49293.885073259902"/>
    <n v="177457.98626373601"/>
  </r>
  <r>
    <x v="0"/>
    <x v="0"/>
    <x v="0"/>
    <x v="7"/>
    <x v="17"/>
    <s v="SE3_OTHER"/>
    <x v="2"/>
    <s v="GHOB_WASTEHEAT"/>
    <x v="0"/>
    <x v="14"/>
    <n v="135.051739926739"/>
    <n v="49293.885073259902"/>
    <n v="177457.98626373601"/>
  </r>
  <r>
    <x v="0"/>
    <x v="0"/>
    <x v="0"/>
    <x v="7"/>
    <x v="17"/>
    <s v="SE3_OTHER"/>
    <x v="2"/>
    <s v="GHOB_WASTEHEAT"/>
    <x v="0"/>
    <x v="1"/>
    <n v="135.051739926739"/>
    <n v="49293.885073259902"/>
    <n v="177457.98626373601"/>
  </r>
  <r>
    <x v="0"/>
    <x v="0"/>
    <x v="0"/>
    <x v="7"/>
    <x v="17"/>
    <s v="SE3_OTHER"/>
    <x v="2"/>
    <s v="GHOB_WASTEHEAT"/>
    <x v="0"/>
    <x v="23"/>
    <n v="135.051739926739"/>
    <n v="49293.885073259902"/>
    <n v="177457.98626373601"/>
  </r>
  <r>
    <x v="0"/>
    <x v="0"/>
    <x v="0"/>
    <x v="7"/>
    <x v="17"/>
    <s v="SE3_OTHER"/>
    <x v="2"/>
    <s v="GHOB_WASTEHEAT"/>
    <x v="0"/>
    <x v="2"/>
    <n v="135.051739926739"/>
    <n v="49293.885073259902"/>
    <n v="177457.98626373601"/>
  </r>
  <r>
    <x v="0"/>
    <x v="0"/>
    <x v="0"/>
    <x v="7"/>
    <x v="17"/>
    <s v="SE3_OTHER"/>
    <x v="2"/>
    <s v="GHOB_WASTEHEAT"/>
    <x v="0"/>
    <x v="3"/>
    <n v="135.051739926739"/>
    <n v="49293.885073259902"/>
    <n v="177457.98626373601"/>
  </r>
  <r>
    <x v="0"/>
    <x v="0"/>
    <x v="0"/>
    <x v="7"/>
    <x v="17"/>
    <s v="SE3_OTHER"/>
    <x v="2"/>
    <s v="GHOB_WASTEHEAT"/>
    <x v="0"/>
    <x v="4"/>
    <n v="135.051739926739"/>
    <n v="49293.885073259902"/>
    <n v="177457.98626373601"/>
  </r>
  <r>
    <x v="0"/>
    <x v="0"/>
    <x v="0"/>
    <x v="7"/>
    <x v="17"/>
    <s v="SE3_OTHER"/>
    <x v="2"/>
    <s v="GHOB_WASTEHEAT"/>
    <x v="0"/>
    <x v="5"/>
    <n v="135.051739926739"/>
    <n v="49293.885073259902"/>
    <n v="177457.98626373601"/>
  </r>
  <r>
    <x v="0"/>
    <x v="0"/>
    <x v="0"/>
    <x v="7"/>
    <x v="17"/>
    <s v="SE3_OTHER"/>
    <x v="2"/>
    <s v="GHOB_WASTEHEAT"/>
    <x v="0"/>
    <x v="15"/>
    <n v="135.051739926739"/>
    <n v="49293.885073259902"/>
    <n v="177457.98626373601"/>
  </r>
  <r>
    <x v="0"/>
    <x v="0"/>
    <x v="0"/>
    <x v="7"/>
    <x v="17"/>
    <s v="SE3_OTHER"/>
    <x v="2"/>
    <s v="GHOB_WASTEHEAT"/>
    <x v="0"/>
    <x v="6"/>
    <n v="135.051739926739"/>
    <n v="49293.885073259902"/>
    <n v="177457.98626373601"/>
  </r>
  <r>
    <x v="0"/>
    <x v="0"/>
    <x v="0"/>
    <x v="7"/>
    <x v="17"/>
    <s v="SE3_OTHER"/>
    <x v="2"/>
    <s v="GHOB_WASTEHEAT"/>
    <x v="0"/>
    <x v="7"/>
    <n v="135.051739926739"/>
    <n v="49293.885073259902"/>
    <n v="177457.98626373601"/>
  </r>
  <r>
    <x v="0"/>
    <x v="0"/>
    <x v="0"/>
    <x v="7"/>
    <x v="17"/>
    <s v="SE3_OTHER"/>
    <x v="2"/>
    <s v="GHOB_WASTEHEAT"/>
    <x v="0"/>
    <x v="8"/>
    <n v="135.051739926739"/>
    <n v="49293.885073259902"/>
    <n v="177457.98626373601"/>
  </r>
  <r>
    <x v="0"/>
    <x v="0"/>
    <x v="0"/>
    <x v="7"/>
    <x v="17"/>
    <s v="SE3_OTHER"/>
    <x v="2"/>
    <s v="GHOB_WASTEHEAT"/>
    <x v="0"/>
    <x v="16"/>
    <n v="135.051739926739"/>
    <n v="49293.885073259902"/>
    <n v="177457.98626373601"/>
  </r>
  <r>
    <x v="0"/>
    <x v="0"/>
    <x v="0"/>
    <x v="7"/>
    <x v="17"/>
    <s v="SE3_OTHER"/>
    <x v="2"/>
    <s v="GHOB_WASTEHEAT"/>
    <x v="0"/>
    <x v="17"/>
    <n v="135.051739926739"/>
    <n v="49293.885073259902"/>
    <n v="177457.98626373601"/>
  </r>
  <r>
    <x v="0"/>
    <x v="0"/>
    <x v="0"/>
    <x v="7"/>
    <x v="17"/>
    <s v="SE3_OTHER"/>
    <x v="2"/>
    <s v="GHOB_WASTEHEAT"/>
    <x v="0"/>
    <x v="18"/>
    <n v="135.051739926739"/>
    <n v="49293.885073259902"/>
    <n v="177457.98626373601"/>
  </r>
  <r>
    <x v="0"/>
    <x v="0"/>
    <x v="0"/>
    <x v="7"/>
    <x v="17"/>
    <s v="SE3_OTHER"/>
    <x v="2"/>
    <s v="GHOB_WASTEHEAT"/>
    <x v="0"/>
    <x v="19"/>
    <n v="135.051739926739"/>
    <n v="49293.885073259902"/>
    <n v="177457.98626373601"/>
  </r>
  <r>
    <x v="0"/>
    <x v="0"/>
    <x v="0"/>
    <x v="7"/>
    <x v="17"/>
    <s v="SE3_OTHER"/>
    <x v="2"/>
    <s v="GHOB_WASTEHEAT"/>
    <x v="0"/>
    <x v="20"/>
    <n v="135.051739926739"/>
    <n v="49293.885073259902"/>
    <n v="177457.98626373601"/>
  </r>
  <r>
    <x v="0"/>
    <x v="0"/>
    <x v="0"/>
    <x v="7"/>
    <x v="17"/>
    <s v="SE3_OTHER"/>
    <x v="2"/>
    <s v="GHOB_WASTEHEAT"/>
    <x v="0"/>
    <x v="21"/>
    <n v="135.051739926739"/>
    <n v="49293.885073259902"/>
    <n v="177457.98626373601"/>
  </r>
  <r>
    <x v="0"/>
    <x v="0"/>
    <x v="0"/>
    <x v="7"/>
    <x v="17"/>
    <s v="SE3_OTHER"/>
    <x v="2"/>
    <s v="GHOB_WASTEHEAT"/>
    <x v="0"/>
    <x v="22"/>
    <n v="135.051739926739"/>
    <n v="49293.885073259902"/>
    <n v="177457.98626373601"/>
  </r>
  <r>
    <x v="0"/>
    <x v="0"/>
    <x v="0"/>
    <x v="7"/>
    <x v="17"/>
    <s v="SE3_OTHER"/>
    <x v="8"/>
    <s v="GBPR_WOODWASTE_25"/>
    <x v="0"/>
    <x v="9"/>
    <n v="597.44325120840597"/>
    <n v="218066.786691068"/>
    <n v="785040.43208784598"/>
  </r>
  <r>
    <x v="0"/>
    <x v="0"/>
    <x v="0"/>
    <x v="7"/>
    <x v="17"/>
    <s v="SE3_OTHER"/>
    <x v="8"/>
    <s v="GBPR_WOODWASTE_25"/>
    <x v="0"/>
    <x v="10"/>
    <n v="597.44325120840597"/>
    <n v="218066.786691068"/>
    <n v="785040.43208784598"/>
  </r>
  <r>
    <x v="0"/>
    <x v="0"/>
    <x v="0"/>
    <x v="7"/>
    <x v="17"/>
    <s v="SE3_OTHER"/>
    <x v="8"/>
    <s v="GBPR_WOODWASTE_25"/>
    <x v="0"/>
    <x v="11"/>
    <n v="597.44325120840597"/>
    <n v="218066.786691068"/>
    <n v="785040.43208784598"/>
  </r>
  <r>
    <x v="0"/>
    <x v="0"/>
    <x v="0"/>
    <x v="7"/>
    <x v="17"/>
    <s v="SE3_OTHER"/>
    <x v="8"/>
    <s v="GBPR_WOODWASTE_25"/>
    <x v="0"/>
    <x v="12"/>
    <n v="597.44325120840597"/>
    <n v="218066.786691068"/>
    <n v="785040.43208784598"/>
  </r>
  <r>
    <x v="0"/>
    <x v="0"/>
    <x v="0"/>
    <x v="7"/>
    <x v="17"/>
    <s v="SE3_OTHER"/>
    <x v="8"/>
    <s v="GBPR_WOODWASTE_25"/>
    <x v="0"/>
    <x v="13"/>
    <n v="597.44325120840597"/>
    <n v="218066.786691068"/>
    <n v="785040.43208784598"/>
  </r>
  <r>
    <x v="0"/>
    <x v="0"/>
    <x v="0"/>
    <x v="7"/>
    <x v="17"/>
    <s v="SE3_OTHER"/>
    <x v="8"/>
    <s v="GBPR_WOODWASTE_25"/>
    <x v="0"/>
    <x v="0"/>
    <n v="597.44325120840597"/>
    <n v="218066.786691068"/>
    <n v="785040.43208784598"/>
  </r>
  <r>
    <x v="0"/>
    <x v="0"/>
    <x v="0"/>
    <x v="7"/>
    <x v="17"/>
    <s v="SE3_OTHER"/>
    <x v="8"/>
    <s v="GBPR_WOODWASTE_25"/>
    <x v="0"/>
    <x v="14"/>
    <n v="597.44325120840597"/>
    <n v="218066.786691068"/>
    <n v="785040.43208784598"/>
  </r>
  <r>
    <x v="0"/>
    <x v="0"/>
    <x v="0"/>
    <x v="7"/>
    <x v="17"/>
    <s v="SE3_OTHER"/>
    <x v="8"/>
    <s v="GBPR_WOODWASTE_25"/>
    <x v="0"/>
    <x v="1"/>
    <n v="597.44325120840597"/>
    <n v="218066.786691068"/>
    <n v="785040.43208784598"/>
  </r>
  <r>
    <x v="0"/>
    <x v="0"/>
    <x v="0"/>
    <x v="7"/>
    <x v="17"/>
    <s v="SE3_OTHER"/>
    <x v="8"/>
    <s v="GBPR_WOODWASTE_25"/>
    <x v="0"/>
    <x v="23"/>
    <n v="597.44325120840597"/>
    <n v="218066.786691068"/>
    <n v="785040.43208784598"/>
  </r>
  <r>
    <x v="0"/>
    <x v="0"/>
    <x v="0"/>
    <x v="7"/>
    <x v="17"/>
    <s v="SE3_OTHER"/>
    <x v="8"/>
    <s v="GBPR_WOODWASTE_25"/>
    <x v="0"/>
    <x v="2"/>
    <n v="597.44325120840597"/>
    <n v="218066.786691068"/>
    <n v="785040.43208784598"/>
  </r>
  <r>
    <x v="0"/>
    <x v="0"/>
    <x v="0"/>
    <x v="7"/>
    <x v="17"/>
    <s v="SE3_OTHER"/>
    <x v="8"/>
    <s v="GBPR_WOODWASTE_25"/>
    <x v="0"/>
    <x v="3"/>
    <n v="597.44325120840597"/>
    <n v="218066.786691068"/>
    <n v="785040.43208784598"/>
  </r>
  <r>
    <x v="0"/>
    <x v="0"/>
    <x v="0"/>
    <x v="7"/>
    <x v="17"/>
    <s v="SE3_OTHER"/>
    <x v="8"/>
    <s v="GBPR_WOODWASTE_25"/>
    <x v="0"/>
    <x v="4"/>
    <n v="597.44325120840597"/>
    <n v="218066.786691068"/>
    <n v="785040.43208784598"/>
  </r>
  <r>
    <x v="0"/>
    <x v="0"/>
    <x v="0"/>
    <x v="7"/>
    <x v="17"/>
    <s v="SE3_OTHER"/>
    <x v="8"/>
    <s v="GBPR_WOODWASTE_25"/>
    <x v="0"/>
    <x v="5"/>
    <n v="597.44325120840597"/>
    <n v="218066.786691068"/>
    <n v="785040.43208784598"/>
  </r>
  <r>
    <x v="0"/>
    <x v="0"/>
    <x v="0"/>
    <x v="7"/>
    <x v="17"/>
    <s v="SE3_OTHER"/>
    <x v="8"/>
    <s v="GBPR_WOODWASTE_25"/>
    <x v="0"/>
    <x v="15"/>
    <n v="597.44325120840597"/>
    <n v="218066.786691068"/>
    <n v="785040.43208784598"/>
  </r>
  <r>
    <x v="0"/>
    <x v="0"/>
    <x v="0"/>
    <x v="7"/>
    <x v="17"/>
    <s v="SE3_OTHER"/>
    <x v="8"/>
    <s v="GBPR_WOODWASTE_25"/>
    <x v="0"/>
    <x v="6"/>
    <n v="597.44325120840597"/>
    <n v="218066.786691068"/>
    <n v="785040.43208784598"/>
  </r>
  <r>
    <x v="0"/>
    <x v="0"/>
    <x v="0"/>
    <x v="7"/>
    <x v="17"/>
    <s v="SE3_OTHER"/>
    <x v="8"/>
    <s v="GBPR_WOODWASTE_25"/>
    <x v="0"/>
    <x v="7"/>
    <n v="597.44325120840597"/>
    <n v="218066.786691068"/>
    <n v="785040.43208784598"/>
  </r>
  <r>
    <x v="0"/>
    <x v="0"/>
    <x v="0"/>
    <x v="7"/>
    <x v="17"/>
    <s v="SE3_OTHER"/>
    <x v="8"/>
    <s v="GBPR_WOODWASTE_25"/>
    <x v="0"/>
    <x v="8"/>
    <n v="597.44325120840597"/>
    <n v="218066.786691068"/>
    <n v="785040.43208784598"/>
  </r>
  <r>
    <x v="0"/>
    <x v="0"/>
    <x v="0"/>
    <x v="7"/>
    <x v="17"/>
    <s v="SE3_OTHER"/>
    <x v="8"/>
    <s v="GBPR_WOODWASTE_25"/>
    <x v="0"/>
    <x v="16"/>
    <n v="597.44325120840597"/>
    <n v="218066.786691068"/>
    <n v="785040.43208784598"/>
  </r>
  <r>
    <x v="0"/>
    <x v="0"/>
    <x v="0"/>
    <x v="7"/>
    <x v="17"/>
    <s v="SE3_OTHER"/>
    <x v="8"/>
    <s v="GBPR_WOODWASTE_25"/>
    <x v="0"/>
    <x v="17"/>
    <n v="597.44325120840597"/>
    <n v="218066.786691068"/>
    <n v="785040.43208784598"/>
  </r>
  <r>
    <x v="0"/>
    <x v="0"/>
    <x v="0"/>
    <x v="7"/>
    <x v="17"/>
    <s v="SE3_OTHER"/>
    <x v="8"/>
    <s v="GBPR_WOODWASTE_25"/>
    <x v="0"/>
    <x v="18"/>
    <n v="597.44325120840597"/>
    <n v="218066.786691068"/>
    <n v="785040.43208784598"/>
  </r>
  <r>
    <x v="0"/>
    <x v="0"/>
    <x v="0"/>
    <x v="7"/>
    <x v="17"/>
    <s v="SE3_OTHER"/>
    <x v="8"/>
    <s v="GBPR_WOODWASTE_25"/>
    <x v="0"/>
    <x v="19"/>
    <n v="597.44325120840597"/>
    <n v="218066.786691068"/>
    <n v="785040.43208784598"/>
  </r>
  <r>
    <x v="0"/>
    <x v="0"/>
    <x v="0"/>
    <x v="7"/>
    <x v="17"/>
    <s v="SE3_OTHER"/>
    <x v="8"/>
    <s v="GBPR_WOODWASTE_25"/>
    <x v="0"/>
    <x v="20"/>
    <n v="597.44325120840597"/>
    <n v="218066.786691068"/>
    <n v="785040.43208784598"/>
  </r>
  <r>
    <x v="0"/>
    <x v="0"/>
    <x v="0"/>
    <x v="7"/>
    <x v="17"/>
    <s v="SE3_OTHER"/>
    <x v="8"/>
    <s v="GBPR_WOODWASTE_25"/>
    <x v="0"/>
    <x v="21"/>
    <n v="597.44325120840597"/>
    <n v="218066.786691068"/>
    <n v="785040.43208784598"/>
  </r>
  <r>
    <x v="0"/>
    <x v="0"/>
    <x v="0"/>
    <x v="7"/>
    <x v="17"/>
    <s v="SE3_OTHER"/>
    <x v="8"/>
    <s v="GBPR_WOODWASTE_25"/>
    <x v="0"/>
    <x v="22"/>
    <n v="597.44325120840597"/>
    <n v="218066.786691068"/>
    <n v="785040.43208784598"/>
  </r>
  <r>
    <x v="0"/>
    <x v="0"/>
    <x v="0"/>
    <x v="7"/>
    <x v="17"/>
    <s v="SE3_OTHER"/>
    <x v="8"/>
    <s v="GHOB_WOODWASTE"/>
    <x v="0"/>
    <x v="9"/>
    <n v="398.43782963222401"/>
    <n v="145429.807815762"/>
    <n v="523547.30813674198"/>
  </r>
  <r>
    <x v="0"/>
    <x v="0"/>
    <x v="0"/>
    <x v="7"/>
    <x v="17"/>
    <s v="SE3_OTHER"/>
    <x v="8"/>
    <s v="GHOB_WOODWASTE"/>
    <x v="0"/>
    <x v="10"/>
    <n v="398.43782963222401"/>
    <n v="145429.807815762"/>
    <n v="523547.30813674198"/>
  </r>
  <r>
    <x v="0"/>
    <x v="0"/>
    <x v="0"/>
    <x v="7"/>
    <x v="17"/>
    <s v="SE3_OTHER"/>
    <x v="8"/>
    <s v="GHOB_WOODWASTE"/>
    <x v="0"/>
    <x v="11"/>
    <n v="398.43782963222401"/>
    <n v="145429.807815762"/>
    <n v="523547.30813674198"/>
  </r>
  <r>
    <x v="0"/>
    <x v="0"/>
    <x v="0"/>
    <x v="7"/>
    <x v="17"/>
    <s v="SE3_OTHER"/>
    <x v="8"/>
    <s v="GHOB_WOODWASTE"/>
    <x v="0"/>
    <x v="12"/>
    <n v="398.43782963222401"/>
    <n v="145429.807815762"/>
    <n v="523547.30813674198"/>
  </r>
  <r>
    <x v="0"/>
    <x v="0"/>
    <x v="0"/>
    <x v="7"/>
    <x v="17"/>
    <s v="SE3_OTHER"/>
    <x v="8"/>
    <s v="GHOB_WOODWASTE"/>
    <x v="0"/>
    <x v="13"/>
    <n v="398.43782963222401"/>
    <n v="145429.807815762"/>
    <n v="523547.30813674198"/>
  </r>
  <r>
    <x v="0"/>
    <x v="0"/>
    <x v="0"/>
    <x v="7"/>
    <x v="17"/>
    <s v="SE3_OTHER"/>
    <x v="8"/>
    <s v="GHOB_WOODWASTE"/>
    <x v="0"/>
    <x v="0"/>
    <n v="398.43782963222401"/>
    <n v="145429.807815762"/>
    <n v="523547.30813674198"/>
  </r>
  <r>
    <x v="0"/>
    <x v="0"/>
    <x v="0"/>
    <x v="7"/>
    <x v="17"/>
    <s v="SE3_OTHER"/>
    <x v="8"/>
    <s v="GHOB_WOODWASTE"/>
    <x v="0"/>
    <x v="14"/>
    <n v="398.43782963222401"/>
    <n v="145429.807815762"/>
    <n v="523547.30813674198"/>
  </r>
  <r>
    <x v="0"/>
    <x v="0"/>
    <x v="0"/>
    <x v="7"/>
    <x v="17"/>
    <s v="SE3_OTHER"/>
    <x v="8"/>
    <s v="GHOB_WOODWASTE"/>
    <x v="0"/>
    <x v="1"/>
    <n v="398.43782963222401"/>
    <n v="145429.807815762"/>
    <n v="523547.30813674198"/>
  </r>
  <r>
    <x v="0"/>
    <x v="0"/>
    <x v="0"/>
    <x v="7"/>
    <x v="17"/>
    <s v="SE3_OTHER"/>
    <x v="8"/>
    <s v="GHOB_WOODWASTE"/>
    <x v="0"/>
    <x v="23"/>
    <n v="398.43782963222401"/>
    <n v="145429.807815762"/>
    <n v="523547.30813674198"/>
  </r>
  <r>
    <x v="0"/>
    <x v="0"/>
    <x v="0"/>
    <x v="7"/>
    <x v="17"/>
    <s v="SE3_OTHER"/>
    <x v="8"/>
    <s v="GHOB_WOODWASTE"/>
    <x v="0"/>
    <x v="2"/>
    <n v="398.43782963222401"/>
    <n v="145429.807815762"/>
    <n v="523547.30813674198"/>
  </r>
  <r>
    <x v="0"/>
    <x v="0"/>
    <x v="0"/>
    <x v="7"/>
    <x v="17"/>
    <s v="SE3_OTHER"/>
    <x v="8"/>
    <s v="GHOB_WOODWASTE"/>
    <x v="0"/>
    <x v="3"/>
    <n v="398.43782963222401"/>
    <n v="145429.807815762"/>
    <n v="523547.30813674198"/>
  </r>
  <r>
    <x v="0"/>
    <x v="0"/>
    <x v="0"/>
    <x v="7"/>
    <x v="17"/>
    <s v="SE3_OTHER"/>
    <x v="8"/>
    <s v="GHOB_WOODWASTE"/>
    <x v="0"/>
    <x v="4"/>
    <n v="398.43782963222401"/>
    <n v="145429.807815762"/>
    <n v="523547.30813674198"/>
  </r>
  <r>
    <x v="0"/>
    <x v="0"/>
    <x v="0"/>
    <x v="7"/>
    <x v="17"/>
    <s v="SE3_OTHER"/>
    <x v="8"/>
    <s v="GHOB_WOODWASTE"/>
    <x v="0"/>
    <x v="5"/>
    <n v="398.43782963222401"/>
    <n v="145429.807815762"/>
    <n v="523547.30813674198"/>
  </r>
  <r>
    <x v="0"/>
    <x v="0"/>
    <x v="0"/>
    <x v="7"/>
    <x v="17"/>
    <s v="SE3_OTHER"/>
    <x v="8"/>
    <s v="GHOB_WOODWASTE"/>
    <x v="0"/>
    <x v="15"/>
    <n v="398.43782963222401"/>
    <n v="145429.807815762"/>
    <n v="523547.30813674198"/>
  </r>
  <r>
    <x v="0"/>
    <x v="0"/>
    <x v="0"/>
    <x v="7"/>
    <x v="17"/>
    <s v="SE3_OTHER"/>
    <x v="8"/>
    <s v="GHOB_WOODWASTE"/>
    <x v="0"/>
    <x v="6"/>
    <n v="398.43782963222401"/>
    <n v="145429.807815762"/>
    <n v="523547.30813674198"/>
  </r>
  <r>
    <x v="0"/>
    <x v="0"/>
    <x v="0"/>
    <x v="7"/>
    <x v="17"/>
    <s v="SE3_OTHER"/>
    <x v="8"/>
    <s v="GHOB_WOODWASTE"/>
    <x v="0"/>
    <x v="7"/>
    <n v="398.43782963222401"/>
    <n v="145429.807815762"/>
    <n v="523547.30813674198"/>
  </r>
  <r>
    <x v="0"/>
    <x v="0"/>
    <x v="0"/>
    <x v="7"/>
    <x v="17"/>
    <s v="SE3_OTHER"/>
    <x v="8"/>
    <s v="GHOB_WOODWASTE"/>
    <x v="0"/>
    <x v="8"/>
    <n v="382.84338520719501"/>
    <n v="139737.83560062599"/>
    <n v="503056.208162255"/>
  </r>
  <r>
    <x v="0"/>
    <x v="0"/>
    <x v="0"/>
    <x v="7"/>
    <x v="17"/>
    <s v="SE3_OTHER"/>
    <x v="8"/>
    <s v="GHOB_WOODWASTE"/>
    <x v="0"/>
    <x v="16"/>
    <n v="314.83762086743002"/>
    <n v="114915.731616612"/>
    <n v="413696.633819804"/>
  </r>
  <r>
    <x v="0"/>
    <x v="0"/>
    <x v="0"/>
    <x v="7"/>
    <x v="17"/>
    <s v="SE3_OTHER"/>
    <x v="8"/>
    <s v="GHOB_WOODWASTE"/>
    <x v="0"/>
    <x v="17"/>
    <n v="398.43782963222401"/>
    <n v="145429.807815762"/>
    <n v="523547.30813674198"/>
  </r>
  <r>
    <x v="0"/>
    <x v="0"/>
    <x v="0"/>
    <x v="7"/>
    <x v="17"/>
    <s v="SE3_OTHER"/>
    <x v="8"/>
    <s v="GHOB_WOODWASTE"/>
    <x v="0"/>
    <x v="18"/>
    <n v="398.43782963222401"/>
    <n v="145429.807815762"/>
    <n v="523547.30813674198"/>
  </r>
  <r>
    <x v="0"/>
    <x v="0"/>
    <x v="0"/>
    <x v="7"/>
    <x v="17"/>
    <s v="SE3_OTHER"/>
    <x v="8"/>
    <s v="GHOB_WOODWASTE"/>
    <x v="0"/>
    <x v="19"/>
    <n v="239.12015101280599"/>
    <n v="87278.855119674001"/>
    <n v="314203.878430827"/>
  </r>
  <r>
    <x v="0"/>
    <x v="0"/>
    <x v="0"/>
    <x v="7"/>
    <x v="17"/>
    <s v="SE3_OTHER"/>
    <x v="8"/>
    <s v="GHOB_WOODWASTE"/>
    <x v="0"/>
    <x v="20"/>
    <n v="149.332672679636"/>
    <n v="54506.425528067099"/>
    <n v="196223.13190104201"/>
  </r>
  <r>
    <x v="0"/>
    <x v="0"/>
    <x v="0"/>
    <x v="7"/>
    <x v="17"/>
    <s v="SE3_OTHER"/>
    <x v="8"/>
    <s v="GHOB_WOODWASTE"/>
    <x v="0"/>
    <x v="21"/>
    <n v="398.43782963222401"/>
    <n v="145429.807815762"/>
    <n v="523547.30813674198"/>
  </r>
  <r>
    <x v="0"/>
    <x v="0"/>
    <x v="0"/>
    <x v="7"/>
    <x v="17"/>
    <s v="SE3_OTHER"/>
    <x v="8"/>
    <s v="GHOB_WOODWASTE"/>
    <x v="0"/>
    <x v="22"/>
    <n v="21.047750196292601"/>
    <n v="7682.4288216468103"/>
    <n v="27656.7437579285"/>
  </r>
  <r>
    <x v="0"/>
    <x v="0"/>
    <x v="0"/>
    <x v="7"/>
    <x v="17"/>
    <s v="SE3_STO"/>
    <x v="0"/>
    <s v="GBPR_COAL_VARTAN"/>
    <x v="0"/>
    <x v="9"/>
    <n v="150.25489147807801"/>
    <n v="54843.035389498502"/>
    <n v="197434.927402195"/>
  </r>
  <r>
    <x v="0"/>
    <x v="0"/>
    <x v="0"/>
    <x v="7"/>
    <x v="17"/>
    <s v="SE3_STO"/>
    <x v="0"/>
    <s v="GBPR_COAL_VARTAN"/>
    <x v="0"/>
    <x v="10"/>
    <n v="143.645514728477"/>
    <n v="52430.612875894098"/>
    <n v="188750.20635321899"/>
  </r>
  <r>
    <x v="0"/>
    <x v="0"/>
    <x v="0"/>
    <x v="7"/>
    <x v="17"/>
    <s v="SE3_STO"/>
    <x v="0"/>
    <s v="GBPR_COAL_VARTAN"/>
    <x v="0"/>
    <x v="11"/>
    <n v="141.89371389770201"/>
    <n v="51791.205572661303"/>
    <n v="186448.340061581"/>
  </r>
  <r>
    <x v="0"/>
    <x v="0"/>
    <x v="0"/>
    <x v="7"/>
    <x v="17"/>
    <s v="SE3_STO"/>
    <x v="0"/>
    <s v="GBPR_COAL_VARTAN"/>
    <x v="0"/>
    <x v="12"/>
    <n v="147.44146530574201"/>
    <n v="53816.134836595797"/>
    <n v="193738.08541174501"/>
  </r>
  <r>
    <x v="0"/>
    <x v="0"/>
    <x v="0"/>
    <x v="7"/>
    <x v="17"/>
    <s v="SE3_STO"/>
    <x v="0"/>
    <s v="GBPR_COAL_VARTAN"/>
    <x v="0"/>
    <x v="13"/>
    <n v="174.08189444570701"/>
    <n v="63539.891472683201"/>
    <n v="228743.60930166001"/>
  </r>
  <r>
    <x v="0"/>
    <x v="0"/>
    <x v="0"/>
    <x v="7"/>
    <x v="17"/>
    <s v="SE3_STO"/>
    <x v="0"/>
    <s v="GBPR_COAL_VARTAN"/>
    <x v="0"/>
    <x v="0"/>
    <n v="197.38412089750199"/>
    <n v="72045.204127588106"/>
    <n v="259362.73485931699"/>
  </r>
  <r>
    <x v="0"/>
    <x v="0"/>
    <x v="0"/>
    <x v="7"/>
    <x v="17"/>
    <s v="SE3_STO"/>
    <x v="0"/>
    <s v="GBPR_COAL_VARTAN"/>
    <x v="0"/>
    <x v="14"/>
    <n v="197.38412089750199"/>
    <n v="72045.204127588106"/>
    <n v="259362.73485931699"/>
  </r>
  <r>
    <x v="0"/>
    <x v="0"/>
    <x v="0"/>
    <x v="7"/>
    <x v="17"/>
    <s v="SE3_STO"/>
    <x v="0"/>
    <s v="GBPR_COAL_VARTAN"/>
    <x v="0"/>
    <x v="1"/>
    <n v="197.38412089750199"/>
    <n v="72045.204127588106"/>
    <n v="259362.73485931699"/>
  </r>
  <r>
    <x v="0"/>
    <x v="0"/>
    <x v="0"/>
    <x v="7"/>
    <x v="17"/>
    <s v="SE3_STO"/>
    <x v="0"/>
    <s v="GBPR_COAL_VARTAN"/>
    <x v="0"/>
    <x v="23"/>
    <n v="197.38412089750199"/>
    <n v="72045.204127588106"/>
    <n v="259362.73485931699"/>
  </r>
  <r>
    <x v="0"/>
    <x v="0"/>
    <x v="0"/>
    <x v="7"/>
    <x v="17"/>
    <s v="SE3_STO"/>
    <x v="0"/>
    <s v="GBPR_COAL_VARTAN"/>
    <x v="0"/>
    <x v="2"/>
    <n v="197.38412089750199"/>
    <n v="72045.204127588106"/>
    <n v="259362.73485931699"/>
  </r>
  <r>
    <x v="0"/>
    <x v="0"/>
    <x v="0"/>
    <x v="7"/>
    <x v="17"/>
    <s v="SE3_STO"/>
    <x v="0"/>
    <s v="GBPR_COAL_VARTAN"/>
    <x v="0"/>
    <x v="3"/>
    <n v="197.38412089750199"/>
    <n v="72045.204127588106"/>
    <n v="259362.73485931699"/>
  </r>
  <r>
    <x v="0"/>
    <x v="0"/>
    <x v="0"/>
    <x v="7"/>
    <x v="17"/>
    <s v="SE3_STO"/>
    <x v="0"/>
    <s v="GBPR_COAL_VARTAN"/>
    <x v="0"/>
    <x v="4"/>
    <n v="197.38412089750199"/>
    <n v="72045.204127588106"/>
    <n v="259362.73485931699"/>
  </r>
  <r>
    <x v="0"/>
    <x v="0"/>
    <x v="0"/>
    <x v="7"/>
    <x v="17"/>
    <s v="SE3_STO"/>
    <x v="0"/>
    <s v="GBPR_COAL_VARTAN"/>
    <x v="0"/>
    <x v="5"/>
    <n v="197.38412089750199"/>
    <n v="72045.204127588106"/>
    <n v="259362.73485931699"/>
  </r>
  <r>
    <x v="0"/>
    <x v="0"/>
    <x v="0"/>
    <x v="7"/>
    <x v="17"/>
    <s v="SE3_STO"/>
    <x v="0"/>
    <s v="GBPR_COAL_VARTAN"/>
    <x v="0"/>
    <x v="15"/>
    <n v="197.38412089750199"/>
    <n v="72045.204127588106"/>
    <n v="259362.73485931699"/>
  </r>
  <r>
    <x v="0"/>
    <x v="0"/>
    <x v="0"/>
    <x v="7"/>
    <x v="17"/>
    <s v="SE3_STO"/>
    <x v="0"/>
    <s v="GBPR_COAL_VARTAN"/>
    <x v="0"/>
    <x v="6"/>
    <n v="197.38412089750199"/>
    <n v="72045.204127588106"/>
    <n v="259362.73485931699"/>
  </r>
  <r>
    <x v="0"/>
    <x v="0"/>
    <x v="0"/>
    <x v="7"/>
    <x v="17"/>
    <s v="SE3_STO"/>
    <x v="0"/>
    <s v="GBPR_COAL_VARTAN"/>
    <x v="0"/>
    <x v="7"/>
    <n v="197.38412089750199"/>
    <n v="72045.204127588106"/>
    <n v="259362.73485931699"/>
  </r>
  <r>
    <x v="0"/>
    <x v="0"/>
    <x v="0"/>
    <x v="7"/>
    <x v="17"/>
    <s v="SE3_STO"/>
    <x v="0"/>
    <s v="GBPR_COAL_VARTAN"/>
    <x v="0"/>
    <x v="8"/>
    <n v="197.38412089750199"/>
    <n v="72045.204127588106"/>
    <n v="259362.73485931699"/>
  </r>
  <r>
    <x v="0"/>
    <x v="0"/>
    <x v="0"/>
    <x v="7"/>
    <x v="17"/>
    <s v="SE3_STO"/>
    <x v="0"/>
    <s v="GBPR_COAL_VARTAN"/>
    <x v="0"/>
    <x v="16"/>
    <n v="197.38412089750199"/>
    <n v="72045.204127588106"/>
    <n v="259362.73485931699"/>
  </r>
  <r>
    <x v="0"/>
    <x v="0"/>
    <x v="0"/>
    <x v="7"/>
    <x v="17"/>
    <s v="SE3_STO"/>
    <x v="0"/>
    <s v="GBPR_COAL_VARTAN"/>
    <x v="0"/>
    <x v="17"/>
    <n v="197.38412089750199"/>
    <n v="72045.204127588106"/>
    <n v="259362.73485931699"/>
  </r>
  <r>
    <x v="0"/>
    <x v="0"/>
    <x v="0"/>
    <x v="7"/>
    <x v="17"/>
    <s v="SE3_STO"/>
    <x v="0"/>
    <s v="GBPR_COAL_VARTAN"/>
    <x v="0"/>
    <x v="18"/>
    <n v="197.38412089750199"/>
    <n v="72045.204127588106"/>
    <n v="259362.73485931699"/>
  </r>
  <r>
    <x v="0"/>
    <x v="0"/>
    <x v="0"/>
    <x v="7"/>
    <x v="17"/>
    <s v="SE3_STO"/>
    <x v="0"/>
    <s v="GBPR_COAL_VARTAN"/>
    <x v="0"/>
    <x v="19"/>
    <n v="197.38412089750199"/>
    <n v="72045.204127588106"/>
    <n v="259362.73485931699"/>
  </r>
  <r>
    <x v="0"/>
    <x v="0"/>
    <x v="0"/>
    <x v="7"/>
    <x v="17"/>
    <s v="SE3_STO"/>
    <x v="0"/>
    <s v="GBPR_COAL_VARTAN"/>
    <x v="0"/>
    <x v="20"/>
    <n v="197.38412089750199"/>
    <n v="72045.204127588106"/>
    <n v="259362.73485931699"/>
  </r>
  <r>
    <x v="0"/>
    <x v="0"/>
    <x v="0"/>
    <x v="7"/>
    <x v="17"/>
    <s v="SE3_STO"/>
    <x v="0"/>
    <s v="GBPR_COAL_VARTAN"/>
    <x v="0"/>
    <x v="21"/>
    <n v="197.38412089750199"/>
    <n v="72045.204127588106"/>
    <n v="259362.73485931699"/>
  </r>
  <r>
    <x v="0"/>
    <x v="0"/>
    <x v="0"/>
    <x v="7"/>
    <x v="17"/>
    <s v="SE3_STO"/>
    <x v="3"/>
    <s v="GETOH_HEATPUMP33"/>
    <x v="0"/>
    <x v="0"/>
    <n v="53.632694265418898"/>
    <n v="19575.933406877899"/>
    <n v="70473.3602647605"/>
  </r>
  <r>
    <x v="0"/>
    <x v="0"/>
    <x v="0"/>
    <x v="7"/>
    <x v="17"/>
    <s v="SE3_STO"/>
    <x v="3"/>
    <s v="GETOH_HEATPUMP33"/>
    <x v="0"/>
    <x v="14"/>
    <n v="200.215363080522"/>
    <n v="73078.607524390405"/>
    <n v="263082.987087805"/>
  </r>
  <r>
    <x v="0"/>
    <x v="0"/>
    <x v="0"/>
    <x v="7"/>
    <x v="17"/>
    <s v="SE3_STO"/>
    <x v="3"/>
    <s v="GETOH_HEATPUMP33"/>
    <x v="0"/>
    <x v="1"/>
    <n v="269.445122800511"/>
    <n v="98347.469822186395"/>
    <n v="354050.89135987102"/>
  </r>
  <r>
    <x v="0"/>
    <x v="0"/>
    <x v="0"/>
    <x v="7"/>
    <x v="17"/>
    <s v="SE3_STO"/>
    <x v="3"/>
    <s v="GETOH_HEATPUMP33"/>
    <x v="0"/>
    <x v="23"/>
    <n v="269.83353262233402"/>
    <n v="98489.239407151996"/>
    <n v="354561.26186574699"/>
  </r>
  <r>
    <x v="0"/>
    <x v="0"/>
    <x v="0"/>
    <x v="7"/>
    <x v="17"/>
    <s v="SE3_STO"/>
    <x v="3"/>
    <s v="GETOH_HEATPUMP33"/>
    <x v="0"/>
    <x v="2"/>
    <n v="258.68473631244802"/>
    <n v="94419.928754043503"/>
    <n v="339911.74351455702"/>
  </r>
  <r>
    <x v="0"/>
    <x v="0"/>
    <x v="0"/>
    <x v="7"/>
    <x v="17"/>
    <s v="SE3_STO"/>
    <x v="3"/>
    <s v="GETOH_HEATPUMP33"/>
    <x v="0"/>
    <x v="3"/>
    <n v="235.13249653400001"/>
    <n v="85823.361234910102"/>
    <n v="308964.10044567601"/>
  </r>
  <r>
    <x v="0"/>
    <x v="0"/>
    <x v="0"/>
    <x v="7"/>
    <x v="17"/>
    <s v="SE3_STO"/>
    <x v="3"/>
    <s v="GETOH_HEATPUMP33"/>
    <x v="0"/>
    <x v="4"/>
    <n v="215.459980136734"/>
    <n v="78642.8927499079"/>
    <n v="283114.41389966803"/>
  </r>
  <r>
    <x v="0"/>
    <x v="0"/>
    <x v="0"/>
    <x v="7"/>
    <x v="17"/>
    <s v="SE3_STO"/>
    <x v="3"/>
    <s v="GETOH_HEATPUMP33"/>
    <x v="0"/>
    <x v="5"/>
    <n v="211.06414796111801"/>
    <n v="77038.414005808096"/>
    <n v="277338.290420909"/>
  </r>
  <r>
    <x v="0"/>
    <x v="0"/>
    <x v="0"/>
    <x v="7"/>
    <x v="17"/>
    <s v="SE3_STO"/>
    <x v="3"/>
    <s v="GETOH_HEATPUMP33"/>
    <x v="0"/>
    <x v="15"/>
    <n v="214.19694386767901"/>
    <n v="78181.884511702898"/>
    <n v="281454.78424213099"/>
  </r>
  <r>
    <x v="0"/>
    <x v="0"/>
    <x v="0"/>
    <x v="7"/>
    <x v="17"/>
    <s v="SE3_STO"/>
    <x v="3"/>
    <s v="GETOH_HEATPUMP33"/>
    <x v="0"/>
    <x v="6"/>
    <n v="214.59713995580799"/>
    <n v="78327.9560838701"/>
    <n v="281980.64190193202"/>
  </r>
  <r>
    <x v="0"/>
    <x v="0"/>
    <x v="0"/>
    <x v="7"/>
    <x v="17"/>
    <s v="SE3_STO"/>
    <x v="3"/>
    <s v="GETOH_HEATPUMP33"/>
    <x v="0"/>
    <x v="7"/>
    <n v="225.837061816942"/>
    <n v="82430.527563184005"/>
    <n v="296749.89922746201"/>
  </r>
  <r>
    <x v="0"/>
    <x v="0"/>
    <x v="0"/>
    <x v="7"/>
    <x v="17"/>
    <s v="SE3_STO"/>
    <x v="3"/>
    <s v="GETOH_HEATPUMP33"/>
    <x v="0"/>
    <x v="8"/>
    <n v="219.77204622201401"/>
    <n v="80216.796871034996"/>
    <n v="288780.46873572603"/>
  </r>
  <r>
    <x v="0"/>
    <x v="0"/>
    <x v="0"/>
    <x v="7"/>
    <x v="17"/>
    <s v="SE3_STO"/>
    <x v="3"/>
    <s v="GETOH_HEATPUMP33"/>
    <x v="0"/>
    <x v="16"/>
    <n v="200.21039289373201"/>
    <n v="73076.793406212295"/>
    <n v="263076.45626236399"/>
  </r>
  <r>
    <x v="0"/>
    <x v="0"/>
    <x v="0"/>
    <x v="7"/>
    <x v="17"/>
    <s v="SE3_STO"/>
    <x v="3"/>
    <s v="GETOH_HEATPUMP33"/>
    <x v="0"/>
    <x v="17"/>
    <n v="184.73690309548499"/>
    <n v="67428.969629851897"/>
    <n v="242744.29066746699"/>
  </r>
  <r>
    <x v="0"/>
    <x v="0"/>
    <x v="0"/>
    <x v="7"/>
    <x v="17"/>
    <s v="SE3_STO"/>
    <x v="3"/>
    <s v="GETOH_HEATPUMP33"/>
    <x v="0"/>
    <x v="18"/>
    <n v="160.80563571663501"/>
    <n v="58694.057036571598"/>
    <n v="211298.60533165801"/>
  </r>
  <r>
    <x v="0"/>
    <x v="0"/>
    <x v="0"/>
    <x v="7"/>
    <x v="17"/>
    <s v="SE3_STO"/>
    <x v="3"/>
    <s v="GETOH_HEATPUMP33"/>
    <x v="0"/>
    <x v="19"/>
    <n v="127.470223661463"/>
    <n v="46526.6316364339"/>
    <n v="167495.87389116199"/>
  </r>
  <r>
    <x v="0"/>
    <x v="0"/>
    <x v="0"/>
    <x v="7"/>
    <x v="17"/>
    <s v="SE3_STO"/>
    <x v="3"/>
    <s v="GETOH_HEATPUMP33"/>
    <x v="0"/>
    <x v="20"/>
    <n v="99.500329062668598"/>
    <n v="36317.6201078741"/>
    <n v="130743.43238834701"/>
  </r>
  <r>
    <x v="0"/>
    <x v="0"/>
    <x v="0"/>
    <x v="7"/>
    <x v="17"/>
    <s v="SE3_STO"/>
    <x v="3"/>
    <s v="GETOH_HEATPUMP33"/>
    <x v="0"/>
    <x v="21"/>
    <n v="54.496799195870302"/>
    <n v="19891.3317064927"/>
    <n v="71608.794143373598"/>
  </r>
  <r>
    <x v="0"/>
    <x v="0"/>
    <x v="0"/>
    <x v="7"/>
    <x v="17"/>
    <s v="SE3_STO"/>
    <x v="3"/>
    <s v="GETOH_HEATPUMP33"/>
    <x v="0"/>
    <x v="22"/>
    <n v="177.27739677796899"/>
    <n v="64706.249823958802"/>
    <n v="232942.49936625201"/>
  </r>
  <r>
    <x v="0"/>
    <x v="0"/>
    <x v="0"/>
    <x v="7"/>
    <x v="17"/>
    <s v="SE3_STO"/>
    <x v="4"/>
    <s v="GBPR_MUNIWASTE_HOGDALEN"/>
    <x v="0"/>
    <x v="9"/>
    <n v="119.49986243319501"/>
    <n v="43617.449788116202"/>
    <n v="157022.81923721801"/>
  </r>
  <r>
    <x v="0"/>
    <x v="0"/>
    <x v="0"/>
    <x v="7"/>
    <x v="17"/>
    <s v="SE3_STO"/>
    <x v="4"/>
    <s v="GBPR_MUNIWASTE_HOGDALEN"/>
    <x v="0"/>
    <x v="10"/>
    <n v="119.49986243319501"/>
    <n v="43617.449788116202"/>
    <n v="157022.81923721801"/>
  </r>
  <r>
    <x v="0"/>
    <x v="0"/>
    <x v="0"/>
    <x v="7"/>
    <x v="17"/>
    <s v="SE3_STO"/>
    <x v="4"/>
    <s v="GBPR_MUNIWASTE_HOGDALEN"/>
    <x v="0"/>
    <x v="11"/>
    <n v="119.49986243319501"/>
    <n v="43617.449788116202"/>
    <n v="157022.81923721801"/>
  </r>
  <r>
    <x v="0"/>
    <x v="0"/>
    <x v="0"/>
    <x v="7"/>
    <x v="17"/>
    <s v="SE3_STO"/>
    <x v="4"/>
    <s v="GBPR_MUNIWASTE_HOGDALEN"/>
    <x v="0"/>
    <x v="12"/>
    <n v="119.49986243319501"/>
    <n v="43617.449788116202"/>
    <n v="157022.81923721801"/>
  </r>
  <r>
    <x v="0"/>
    <x v="0"/>
    <x v="0"/>
    <x v="7"/>
    <x v="17"/>
    <s v="SE3_STO"/>
    <x v="4"/>
    <s v="GBPR_MUNIWASTE_HOGDALEN"/>
    <x v="0"/>
    <x v="13"/>
    <n v="119.49986243319501"/>
    <n v="43617.449788116202"/>
    <n v="157022.81923721801"/>
  </r>
  <r>
    <x v="0"/>
    <x v="0"/>
    <x v="0"/>
    <x v="7"/>
    <x v="17"/>
    <s v="SE3_STO"/>
    <x v="4"/>
    <s v="GBPR_MUNIWASTE_HOGDALEN"/>
    <x v="0"/>
    <x v="0"/>
    <n v="119.49986243319501"/>
    <n v="43617.449788116202"/>
    <n v="157022.81923721801"/>
  </r>
  <r>
    <x v="0"/>
    <x v="0"/>
    <x v="0"/>
    <x v="7"/>
    <x v="17"/>
    <s v="SE3_STO"/>
    <x v="4"/>
    <s v="GBPR_MUNIWASTE_HOGDALEN"/>
    <x v="0"/>
    <x v="14"/>
    <n v="119.49986243319501"/>
    <n v="43617.449788116202"/>
    <n v="157022.81923721801"/>
  </r>
  <r>
    <x v="0"/>
    <x v="0"/>
    <x v="0"/>
    <x v="7"/>
    <x v="17"/>
    <s v="SE3_STO"/>
    <x v="4"/>
    <s v="GBPR_MUNIWASTE_HOGDALEN"/>
    <x v="0"/>
    <x v="1"/>
    <n v="119.49986243319501"/>
    <n v="43617.449788116202"/>
    <n v="157022.81923721801"/>
  </r>
  <r>
    <x v="0"/>
    <x v="0"/>
    <x v="0"/>
    <x v="7"/>
    <x v="17"/>
    <s v="SE3_STO"/>
    <x v="4"/>
    <s v="GBPR_MUNIWASTE_HOGDALEN"/>
    <x v="0"/>
    <x v="23"/>
    <n v="119.49986243319501"/>
    <n v="43617.449788116202"/>
    <n v="157022.81923721801"/>
  </r>
  <r>
    <x v="0"/>
    <x v="0"/>
    <x v="0"/>
    <x v="7"/>
    <x v="17"/>
    <s v="SE3_STO"/>
    <x v="4"/>
    <s v="GBPR_MUNIWASTE_HOGDALEN"/>
    <x v="0"/>
    <x v="2"/>
    <n v="119.49986243319501"/>
    <n v="43617.449788116202"/>
    <n v="157022.81923721801"/>
  </r>
  <r>
    <x v="0"/>
    <x v="0"/>
    <x v="0"/>
    <x v="7"/>
    <x v="17"/>
    <s v="SE3_STO"/>
    <x v="4"/>
    <s v="GBPR_MUNIWASTE_HOGDALEN"/>
    <x v="0"/>
    <x v="3"/>
    <n v="119.49986243319501"/>
    <n v="43617.449788116202"/>
    <n v="157022.81923721801"/>
  </r>
  <r>
    <x v="0"/>
    <x v="0"/>
    <x v="0"/>
    <x v="7"/>
    <x v="17"/>
    <s v="SE3_STO"/>
    <x v="4"/>
    <s v="GBPR_MUNIWASTE_HOGDALEN"/>
    <x v="0"/>
    <x v="4"/>
    <n v="119.49986243319501"/>
    <n v="43617.449788116202"/>
    <n v="157022.81923721801"/>
  </r>
  <r>
    <x v="0"/>
    <x v="0"/>
    <x v="0"/>
    <x v="7"/>
    <x v="17"/>
    <s v="SE3_STO"/>
    <x v="4"/>
    <s v="GBPR_MUNIWASTE_HOGDALEN"/>
    <x v="0"/>
    <x v="5"/>
    <n v="119.49986243319501"/>
    <n v="43617.449788116202"/>
    <n v="157022.81923721801"/>
  </r>
  <r>
    <x v="0"/>
    <x v="0"/>
    <x v="0"/>
    <x v="7"/>
    <x v="17"/>
    <s v="SE3_STO"/>
    <x v="4"/>
    <s v="GBPR_MUNIWASTE_HOGDALEN"/>
    <x v="0"/>
    <x v="15"/>
    <n v="119.49986243319501"/>
    <n v="43617.449788116202"/>
    <n v="157022.81923721801"/>
  </r>
  <r>
    <x v="0"/>
    <x v="0"/>
    <x v="0"/>
    <x v="7"/>
    <x v="17"/>
    <s v="SE3_STO"/>
    <x v="4"/>
    <s v="GBPR_MUNIWASTE_HOGDALEN"/>
    <x v="0"/>
    <x v="6"/>
    <n v="119.49986243319501"/>
    <n v="43617.449788116202"/>
    <n v="157022.81923721801"/>
  </r>
  <r>
    <x v="0"/>
    <x v="0"/>
    <x v="0"/>
    <x v="7"/>
    <x v="17"/>
    <s v="SE3_STO"/>
    <x v="4"/>
    <s v="GBPR_MUNIWASTE_HOGDALEN"/>
    <x v="0"/>
    <x v="7"/>
    <n v="119.49986243319501"/>
    <n v="43617.449788116202"/>
    <n v="157022.81923721801"/>
  </r>
  <r>
    <x v="0"/>
    <x v="0"/>
    <x v="0"/>
    <x v="7"/>
    <x v="17"/>
    <s v="SE3_STO"/>
    <x v="4"/>
    <s v="GBPR_MUNIWASTE_HOGDALEN"/>
    <x v="0"/>
    <x v="8"/>
    <n v="119.49986243319501"/>
    <n v="43617.449788116202"/>
    <n v="157022.81923721801"/>
  </r>
  <r>
    <x v="0"/>
    <x v="0"/>
    <x v="0"/>
    <x v="7"/>
    <x v="17"/>
    <s v="SE3_STO"/>
    <x v="4"/>
    <s v="GBPR_MUNIWASTE_HOGDALEN"/>
    <x v="0"/>
    <x v="16"/>
    <n v="119.49986243319501"/>
    <n v="43617.449788116202"/>
    <n v="157022.81923721801"/>
  </r>
  <r>
    <x v="0"/>
    <x v="0"/>
    <x v="0"/>
    <x v="7"/>
    <x v="17"/>
    <s v="SE3_STO"/>
    <x v="4"/>
    <s v="GBPR_MUNIWASTE_HOGDALEN"/>
    <x v="0"/>
    <x v="17"/>
    <n v="119.49986243319501"/>
    <n v="43617.449788116202"/>
    <n v="157022.81923721801"/>
  </r>
  <r>
    <x v="0"/>
    <x v="0"/>
    <x v="0"/>
    <x v="7"/>
    <x v="17"/>
    <s v="SE3_STO"/>
    <x v="4"/>
    <s v="GBPR_MUNIWASTE_HOGDALEN"/>
    <x v="0"/>
    <x v="18"/>
    <n v="119.49986243319501"/>
    <n v="43617.449788116202"/>
    <n v="157022.81923721801"/>
  </r>
  <r>
    <x v="0"/>
    <x v="0"/>
    <x v="0"/>
    <x v="7"/>
    <x v="17"/>
    <s v="SE3_STO"/>
    <x v="4"/>
    <s v="GBPR_MUNIWASTE_HOGDALEN"/>
    <x v="0"/>
    <x v="19"/>
    <n v="119.49986243319501"/>
    <n v="43617.449788116202"/>
    <n v="157022.81923721801"/>
  </r>
  <r>
    <x v="0"/>
    <x v="0"/>
    <x v="0"/>
    <x v="7"/>
    <x v="17"/>
    <s v="SE3_STO"/>
    <x v="4"/>
    <s v="GBPR_MUNIWASTE_HOGDALEN"/>
    <x v="0"/>
    <x v="20"/>
    <n v="119.49986243319501"/>
    <n v="43617.449788116202"/>
    <n v="157022.81923721801"/>
  </r>
  <r>
    <x v="0"/>
    <x v="0"/>
    <x v="0"/>
    <x v="7"/>
    <x v="17"/>
    <s v="SE3_STO"/>
    <x v="4"/>
    <s v="GBPR_MUNIWASTE_HOGDALEN"/>
    <x v="0"/>
    <x v="21"/>
    <n v="119.49986243319501"/>
    <n v="43617.449788116202"/>
    <n v="157022.81923721801"/>
  </r>
  <r>
    <x v="0"/>
    <x v="0"/>
    <x v="0"/>
    <x v="7"/>
    <x v="17"/>
    <s v="SE3_STO"/>
    <x v="4"/>
    <s v="GBPR_MUNIWASTE_HOGDALEN"/>
    <x v="0"/>
    <x v="22"/>
    <n v="119.49986243319501"/>
    <n v="43617.449788116202"/>
    <n v="157022.81923721801"/>
  </r>
  <r>
    <x v="0"/>
    <x v="0"/>
    <x v="0"/>
    <x v="7"/>
    <x v="17"/>
    <s v="SE3_STO"/>
    <x v="4"/>
    <s v="GHOB_MUNIWASTE"/>
    <x v="0"/>
    <x v="9"/>
    <n v="113.670600851088"/>
    <n v="41489.769310647098"/>
    <n v="149363.16951832999"/>
  </r>
  <r>
    <x v="0"/>
    <x v="0"/>
    <x v="0"/>
    <x v="7"/>
    <x v="17"/>
    <s v="SE3_STO"/>
    <x v="4"/>
    <s v="GHOB_MUNIWASTE"/>
    <x v="0"/>
    <x v="10"/>
    <n v="113.670600851088"/>
    <n v="41489.769310647098"/>
    <n v="149363.16951832999"/>
  </r>
  <r>
    <x v="0"/>
    <x v="0"/>
    <x v="0"/>
    <x v="7"/>
    <x v="17"/>
    <s v="SE3_STO"/>
    <x v="4"/>
    <s v="GHOB_MUNIWASTE"/>
    <x v="0"/>
    <x v="11"/>
    <n v="113.670600851088"/>
    <n v="41489.769310647098"/>
    <n v="149363.16951832999"/>
  </r>
  <r>
    <x v="0"/>
    <x v="0"/>
    <x v="0"/>
    <x v="7"/>
    <x v="17"/>
    <s v="SE3_STO"/>
    <x v="4"/>
    <s v="GHOB_MUNIWASTE"/>
    <x v="0"/>
    <x v="12"/>
    <n v="113.670600851088"/>
    <n v="41489.769310647098"/>
    <n v="149363.16951832999"/>
  </r>
  <r>
    <x v="0"/>
    <x v="0"/>
    <x v="0"/>
    <x v="7"/>
    <x v="17"/>
    <s v="SE3_STO"/>
    <x v="4"/>
    <s v="GHOB_MUNIWASTE"/>
    <x v="0"/>
    <x v="13"/>
    <n v="113.670600851088"/>
    <n v="41489.769310647098"/>
    <n v="149363.16951832999"/>
  </r>
  <r>
    <x v="0"/>
    <x v="0"/>
    <x v="0"/>
    <x v="7"/>
    <x v="17"/>
    <s v="SE3_STO"/>
    <x v="4"/>
    <s v="GHOB_MUNIWASTE"/>
    <x v="0"/>
    <x v="0"/>
    <n v="113.670600851088"/>
    <n v="41489.769310647098"/>
    <n v="149363.16951832999"/>
  </r>
  <r>
    <x v="0"/>
    <x v="0"/>
    <x v="0"/>
    <x v="7"/>
    <x v="17"/>
    <s v="SE3_STO"/>
    <x v="4"/>
    <s v="GHOB_MUNIWASTE"/>
    <x v="0"/>
    <x v="14"/>
    <n v="113.670600851088"/>
    <n v="41489.769310647098"/>
    <n v="149363.16951832999"/>
  </r>
  <r>
    <x v="0"/>
    <x v="0"/>
    <x v="0"/>
    <x v="7"/>
    <x v="17"/>
    <s v="SE3_STO"/>
    <x v="4"/>
    <s v="GHOB_MUNIWASTE"/>
    <x v="0"/>
    <x v="1"/>
    <n v="113.670600851088"/>
    <n v="41489.769310647098"/>
    <n v="149363.16951832999"/>
  </r>
  <r>
    <x v="0"/>
    <x v="0"/>
    <x v="0"/>
    <x v="7"/>
    <x v="17"/>
    <s v="SE3_STO"/>
    <x v="4"/>
    <s v="GHOB_MUNIWASTE"/>
    <x v="0"/>
    <x v="23"/>
    <n v="113.670600851088"/>
    <n v="41489.769310647098"/>
    <n v="149363.16951832999"/>
  </r>
  <r>
    <x v="0"/>
    <x v="0"/>
    <x v="0"/>
    <x v="7"/>
    <x v="17"/>
    <s v="SE3_STO"/>
    <x v="4"/>
    <s v="GHOB_MUNIWASTE"/>
    <x v="0"/>
    <x v="2"/>
    <n v="113.670600851088"/>
    <n v="41489.769310647098"/>
    <n v="149363.16951832999"/>
  </r>
  <r>
    <x v="0"/>
    <x v="0"/>
    <x v="0"/>
    <x v="7"/>
    <x v="17"/>
    <s v="SE3_STO"/>
    <x v="4"/>
    <s v="GHOB_MUNIWASTE"/>
    <x v="0"/>
    <x v="3"/>
    <n v="113.670600851088"/>
    <n v="41489.769310647098"/>
    <n v="149363.16951832999"/>
  </r>
  <r>
    <x v="0"/>
    <x v="0"/>
    <x v="0"/>
    <x v="7"/>
    <x v="17"/>
    <s v="SE3_STO"/>
    <x v="4"/>
    <s v="GHOB_MUNIWASTE"/>
    <x v="0"/>
    <x v="4"/>
    <n v="113.670600851088"/>
    <n v="41489.769310647098"/>
    <n v="149363.16951832999"/>
  </r>
  <r>
    <x v="0"/>
    <x v="0"/>
    <x v="0"/>
    <x v="7"/>
    <x v="17"/>
    <s v="SE3_STO"/>
    <x v="4"/>
    <s v="GHOB_MUNIWASTE"/>
    <x v="0"/>
    <x v="5"/>
    <n v="113.670600851088"/>
    <n v="41489.769310647098"/>
    <n v="149363.16951832999"/>
  </r>
  <r>
    <x v="0"/>
    <x v="0"/>
    <x v="0"/>
    <x v="7"/>
    <x v="17"/>
    <s v="SE3_STO"/>
    <x v="4"/>
    <s v="GHOB_MUNIWASTE"/>
    <x v="0"/>
    <x v="15"/>
    <n v="113.670600851088"/>
    <n v="41489.769310647098"/>
    <n v="149363.16951832999"/>
  </r>
  <r>
    <x v="0"/>
    <x v="0"/>
    <x v="0"/>
    <x v="7"/>
    <x v="17"/>
    <s v="SE3_STO"/>
    <x v="4"/>
    <s v="GHOB_MUNIWASTE"/>
    <x v="0"/>
    <x v="6"/>
    <n v="113.670600851088"/>
    <n v="41489.769310647098"/>
    <n v="149363.16951832999"/>
  </r>
  <r>
    <x v="0"/>
    <x v="0"/>
    <x v="0"/>
    <x v="7"/>
    <x v="17"/>
    <s v="SE3_STO"/>
    <x v="4"/>
    <s v="GHOB_MUNIWASTE"/>
    <x v="0"/>
    <x v="7"/>
    <n v="113.670600851088"/>
    <n v="41489.769310647098"/>
    <n v="149363.16951832999"/>
  </r>
  <r>
    <x v="0"/>
    <x v="0"/>
    <x v="0"/>
    <x v="7"/>
    <x v="17"/>
    <s v="SE3_STO"/>
    <x v="4"/>
    <s v="GHOB_MUNIWASTE"/>
    <x v="0"/>
    <x v="8"/>
    <n v="113.670600851088"/>
    <n v="41489.769310647098"/>
    <n v="149363.16951832999"/>
  </r>
  <r>
    <x v="0"/>
    <x v="0"/>
    <x v="0"/>
    <x v="7"/>
    <x v="17"/>
    <s v="SE3_STO"/>
    <x v="4"/>
    <s v="GHOB_MUNIWASTE"/>
    <x v="0"/>
    <x v="16"/>
    <n v="113.670600851088"/>
    <n v="41489.769310647098"/>
    <n v="149363.16951832999"/>
  </r>
  <r>
    <x v="0"/>
    <x v="0"/>
    <x v="0"/>
    <x v="7"/>
    <x v="17"/>
    <s v="SE3_STO"/>
    <x v="4"/>
    <s v="GHOB_MUNIWASTE"/>
    <x v="0"/>
    <x v="17"/>
    <n v="113.670600851088"/>
    <n v="41489.769310647098"/>
    <n v="149363.16951832999"/>
  </r>
  <r>
    <x v="0"/>
    <x v="0"/>
    <x v="0"/>
    <x v="7"/>
    <x v="17"/>
    <s v="SE3_STO"/>
    <x v="4"/>
    <s v="GHOB_MUNIWASTE"/>
    <x v="0"/>
    <x v="18"/>
    <n v="113.670600851088"/>
    <n v="41489.769310647098"/>
    <n v="149363.16951832999"/>
  </r>
  <r>
    <x v="0"/>
    <x v="0"/>
    <x v="0"/>
    <x v="7"/>
    <x v="17"/>
    <s v="SE3_STO"/>
    <x v="4"/>
    <s v="GHOB_MUNIWASTE"/>
    <x v="0"/>
    <x v="19"/>
    <n v="113.670600851088"/>
    <n v="41489.769310647098"/>
    <n v="149363.16951832999"/>
  </r>
  <r>
    <x v="0"/>
    <x v="0"/>
    <x v="0"/>
    <x v="7"/>
    <x v="17"/>
    <s v="SE3_STO"/>
    <x v="4"/>
    <s v="GHOB_MUNIWASTE"/>
    <x v="0"/>
    <x v="20"/>
    <n v="113.670600851088"/>
    <n v="41489.769310647098"/>
    <n v="149363.16951832999"/>
  </r>
  <r>
    <x v="0"/>
    <x v="0"/>
    <x v="0"/>
    <x v="7"/>
    <x v="17"/>
    <s v="SE3_STO"/>
    <x v="4"/>
    <s v="GHOB_MUNIWASTE"/>
    <x v="0"/>
    <x v="21"/>
    <n v="113.670600851088"/>
    <n v="41489.769310647098"/>
    <n v="149363.16951832999"/>
  </r>
  <r>
    <x v="0"/>
    <x v="0"/>
    <x v="0"/>
    <x v="7"/>
    <x v="17"/>
    <s v="SE3_STO"/>
    <x v="4"/>
    <s v="GHOB_MUNIWASTE"/>
    <x v="0"/>
    <x v="22"/>
    <n v="113.670600851088"/>
    <n v="41489.769310647098"/>
    <n v="149363.16951832999"/>
  </r>
  <r>
    <x v="0"/>
    <x v="0"/>
    <x v="0"/>
    <x v="7"/>
    <x v="17"/>
    <s v="SE3_STO"/>
    <x v="8"/>
    <s v="GBPR_WOODWASTE"/>
    <x v="0"/>
    <x v="9"/>
    <n v="198.143535930637"/>
    <n v="72322.390614682299"/>
    <n v="260360.60621285599"/>
  </r>
  <r>
    <x v="0"/>
    <x v="0"/>
    <x v="0"/>
    <x v="7"/>
    <x v="17"/>
    <s v="SE3_STO"/>
    <x v="8"/>
    <s v="GBPR_WOODWASTE"/>
    <x v="0"/>
    <x v="10"/>
    <n v="198.143535930637"/>
    <n v="72322.390614682299"/>
    <n v="260360.60621285599"/>
  </r>
  <r>
    <x v="0"/>
    <x v="0"/>
    <x v="0"/>
    <x v="7"/>
    <x v="17"/>
    <s v="SE3_STO"/>
    <x v="8"/>
    <s v="GBPR_WOODWASTE"/>
    <x v="0"/>
    <x v="11"/>
    <n v="198.143535930637"/>
    <n v="72322.390614682299"/>
    <n v="260360.60621285599"/>
  </r>
  <r>
    <x v="0"/>
    <x v="0"/>
    <x v="0"/>
    <x v="7"/>
    <x v="17"/>
    <s v="SE3_STO"/>
    <x v="8"/>
    <s v="GBPR_WOODWASTE"/>
    <x v="0"/>
    <x v="12"/>
    <n v="198.143535930637"/>
    <n v="72322.390614682299"/>
    <n v="260360.60621285599"/>
  </r>
  <r>
    <x v="0"/>
    <x v="0"/>
    <x v="0"/>
    <x v="7"/>
    <x v="17"/>
    <s v="SE3_STO"/>
    <x v="8"/>
    <s v="GBPR_WOODWASTE"/>
    <x v="0"/>
    <x v="13"/>
    <n v="198.143535930637"/>
    <n v="72322.390614682299"/>
    <n v="260360.60621285599"/>
  </r>
  <r>
    <x v="0"/>
    <x v="0"/>
    <x v="0"/>
    <x v="7"/>
    <x v="17"/>
    <s v="SE3_STO"/>
    <x v="8"/>
    <s v="GBPR_WOODWASTE"/>
    <x v="0"/>
    <x v="0"/>
    <n v="198.143535930637"/>
    <n v="72322.390614682299"/>
    <n v="260360.60621285599"/>
  </r>
  <r>
    <x v="0"/>
    <x v="0"/>
    <x v="0"/>
    <x v="7"/>
    <x v="17"/>
    <s v="SE3_STO"/>
    <x v="8"/>
    <s v="GBPR_WOODWASTE"/>
    <x v="0"/>
    <x v="14"/>
    <n v="198.143535930637"/>
    <n v="72322.390614682299"/>
    <n v="260360.60621285599"/>
  </r>
  <r>
    <x v="0"/>
    <x v="0"/>
    <x v="0"/>
    <x v="7"/>
    <x v="17"/>
    <s v="SE3_STO"/>
    <x v="8"/>
    <s v="GBPR_WOODWASTE"/>
    <x v="0"/>
    <x v="1"/>
    <n v="198.143535930637"/>
    <n v="72322.390614682299"/>
    <n v="260360.60621285599"/>
  </r>
  <r>
    <x v="0"/>
    <x v="0"/>
    <x v="0"/>
    <x v="7"/>
    <x v="17"/>
    <s v="SE3_STO"/>
    <x v="8"/>
    <s v="GBPR_WOODWASTE"/>
    <x v="0"/>
    <x v="23"/>
    <n v="198.143535930637"/>
    <n v="72322.390614682299"/>
    <n v="260360.60621285599"/>
  </r>
  <r>
    <x v="0"/>
    <x v="0"/>
    <x v="0"/>
    <x v="7"/>
    <x v="17"/>
    <s v="SE3_STO"/>
    <x v="8"/>
    <s v="GBPR_WOODWASTE"/>
    <x v="0"/>
    <x v="2"/>
    <n v="198.143535930637"/>
    <n v="72322.390614682299"/>
    <n v="260360.60621285599"/>
  </r>
  <r>
    <x v="0"/>
    <x v="0"/>
    <x v="0"/>
    <x v="7"/>
    <x v="17"/>
    <s v="SE3_STO"/>
    <x v="8"/>
    <s v="GBPR_WOODWASTE"/>
    <x v="0"/>
    <x v="3"/>
    <n v="198.143535930637"/>
    <n v="72322.390614682299"/>
    <n v="260360.60621285599"/>
  </r>
  <r>
    <x v="0"/>
    <x v="0"/>
    <x v="0"/>
    <x v="7"/>
    <x v="17"/>
    <s v="SE3_STO"/>
    <x v="8"/>
    <s v="GBPR_WOODWASTE"/>
    <x v="0"/>
    <x v="4"/>
    <n v="198.143535930637"/>
    <n v="72322.390614682299"/>
    <n v="260360.60621285599"/>
  </r>
  <r>
    <x v="0"/>
    <x v="0"/>
    <x v="0"/>
    <x v="7"/>
    <x v="17"/>
    <s v="SE3_STO"/>
    <x v="8"/>
    <s v="GBPR_WOODWASTE"/>
    <x v="0"/>
    <x v="5"/>
    <n v="198.143535930637"/>
    <n v="72322.390614682299"/>
    <n v="260360.60621285599"/>
  </r>
  <r>
    <x v="0"/>
    <x v="0"/>
    <x v="0"/>
    <x v="7"/>
    <x v="17"/>
    <s v="SE3_STO"/>
    <x v="8"/>
    <s v="GBPR_WOODWASTE"/>
    <x v="0"/>
    <x v="15"/>
    <n v="198.143535930637"/>
    <n v="72322.390614682299"/>
    <n v="260360.60621285599"/>
  </r>
  <r>
    <x v="0"/>
    <x v="0"/>
    <x v="0"/>
    <x v="7"/>
    <x v="17"/>
    <s v="SE3_STO"/>
    <x v="8"/>
    <s v="GBPR_WOODWASTE"/>
    <x v="0"/>
    <x v="6"/>
    <n v="198.143535930637"/>
    <n v="72322.390614682299"/>
    <n v="260360.60621285599"/>
  </r>
  <r>
    <x v="0"/>
    <x v="0"/>
    <x v="0"/>
    <x v="7"/>
    <x v="17"/>
    <s v="SE3_STO"/>
    <x v="8"/>
    <s v="GBPR_WOODWASTE"/>
    <x v="0"/>
    <x v="7"/>
    <n v="198.143535930637"/>
    <n v="72322.390614682299"/>
    <n v="260360.60621285599"/>
  </r>
  <r>
    <x v="0"/>
    <x v="0"/>
    <x v="0"/>
    <x v="7"/>
    <x v="17"/>
    <s v="SE3_STO"/>
    <x v="8"/>
    <s v="GBPR_WOODWASTE"/>
    <x v="0"/>
    <x v="8"/>
    <n v="198.143535930637"/>
    <n v="72322.390614682299"/>
    <n v="260360.60621285599"/>
  </r>
  <r>
    <x v="0"/>
    <x v="0"/>
    <x v="0"/>
    <x v="7"/>
    <x v="17"/>
    <s v="SE3_STO"/>
    <x v="8"/>
    <s v="GBPR_WOODWASTE"/>
    <x v="0"/>
    <x v="16"/>
    <n v="198.143535930637"/>
    <n v="72322.390614682299"/>
    <n v="260360.60621285599"/>
  </r>
  <r>
    <x v="0"/>
    <x v="0"/>
    <x v="0"/>
    <x v="7"/>
    <x v="17"/>
    <s v="SE3_STO"/>
    <x v="8"/>
    <s v="GBPR_WOODWASTE"/>
    <x v="0"/>
    <x v="17"/>
    <n v="198.143535930637"/>
    <n v="72322.390614682299"/>
    <n v="260360.60621285599"/>
  </r>
  <r>
    <x v="0"/>
    <x v="0"/>
    <x v="0"/>
    <x v="7"/>
    <x v="17"/>
    <s v="SE3_STO"/>
    <x v="8"/>
    <s v="GBPR_WOODWASTE"/>
    <x v="0"/>
    <x v="18"/>
    <n v="198.143535930637"/>
    <n v="72322.390614682299"/>
    <n v="260360.60621285599"/>
  </r>
  <r>
    <x v="0"/>
    <x v="0"/>
    <x v="0"/>
    <x v="7"/>
    <x v="17"/>
    <s v="SE3_STO"/>
    <x v="8"/>
    <s v="GBPR_WOODWASTE"/>
    <x v="0"/>
    <x v="19"/>
    <n v="198.143535930637"/>
    <n v="72322.390614682299"/>
    <n v="260360.60621285599"/>
  </r>
  <r>
    <x v="0"/>
    <x v="0"/>
    <x v="0"/>
    <x v="7"/>
    <x v="17"/>
    <s v="SE3_STO"/>
    <x v="8"/>
    <s v="GBPR_WOODWASTE"/>
    <x v="0"/>
    <x v="20"/>
    <n v="198.143535930637"/>
    <n v="72322.390614682299"/>
    <n v="260360.60621285599"/>
  </r>
  <r>
    <x v="0"/>
    <x v="0"/>
    <x v="0"/>
    <x v="7"/>
    <x v="17"/>
    <s v="SE3_STO"/>
    <x v="8"/>
    <s v="GBPR_WOODWASTE"/>
    <x v="0"/>
    <x v="21"/>
    <n v="198.143535930637"/>
    <n v="72322.390614682299"/>
    <n v="260360.60621285599"/>
  </r>
  <r>
    <x v="0"/>
    <x v="0"/>
    <x v="0"/>
    <x v="7"/>
    <x v="17"/>
    <s v="SE3_STO"/>
    <x v="8"/>
    <s v="GBPR_WOODWASTE"/>
    <x v="0"/>
    <x v="22"/>
    <n v="198.143535930637"/>
    <n v="72322.390614682299"/>
    <n v="260360.60621285599"/>
  </r>
  <r>
    <x v="0"/>
    <x v="0"/>
    <x v="0"/>
    <x v="7"/>
    <x v="17"/>
    <s v="SE3_STO"/>
    <x v="8"/>
    <s v="GBPR_WOODWASTE_BRISTA"/>
    <x v="0"/>
    <x v="9"/>
    <n v="122.385290770653"/>
    <n v="44670.631131288399"/>
    <n v="160814.27207263801"/>
  </r>
  <r>
    <x v="0"/>
    <x v="0"/>
    <x v="0"/>
    <x v="7"/>
    <x v="17"/>
    <s v="SE3_STO"/>
    <x v="8"/>
    <s v="GBPR_WOODWASTE_BRISTA"/>
    <x v="0"/>
    <x v="10"/>
    <n v="122.385290770653"/>
    <n v="44670.631131288399"/>
    <n v="160814.27207263801"/>
  </r>
  <r>
    <x v="0"/>
    <x v="0"/>
    <x v="0"/>
    <x v="7"/>
    <x v="17"/>
    <s v="SE3_STO"/>
    <x v="8"/>
    <s v="GBPR_WOODWASTE_BRISTA"/>
    <x v="0"/>
    <x v="11"/>
    <n v="122.385290770653"/>
    <n v="44670.631131288399"/>
    <n v="160814.27207263801"/>
  </r>
  <r>
    <x v="0"/>
    <x v="0"/>
    <x v="0"/>
    <x v="7"/>
    <x v="17"/>
    <s v="SE3_STO"/>
    <x v="8"/>
    <s v="GBPR_WOODWASTE_BRISTA"/>
    <x v="0"/>
    <x v="12"/>
    <n v="122.385290770653"/>
    <n v="44670.631131288399"/>
    <n v="160814.27207263801"/>
  </r>
  <r>
    <x v="0"/>
    <x v="0"/>
    <x v="0"/>
    <x v="7"/>
    <x v="17"/>
    <s v="SE3_STO"/>
    <x v="8"/>
    <s v="GBPR_WOODWASTE_BRISTA"/>
    <x v="0"/>
    <x v="13"/>
    <n v="122.385290770653"/>
    <n v="44670.631131288399"/>
    <n v="160814.27207263801"/>
  </r>
  <r>
    <x v="0"/>
    <x v="0"/>
    <x v="0"/>
    <x v="7"/>
    <x v="17"/>
    <s v="SE3_STO"/>
    <x v="8"/>
    <s v="GBPR_WOODWASTE_BRISTA"/>
    <x v="0"/>
    <x v="0"/>
    <n v="122.385290770653"/>
    <n v="44670.631131288399"/>
    <n v="160814.27207263801"/>
  </r>
  <r>
    <x v="0"/>
    <x v="0"/>
    <x v="0"/>
    <x v="7"/>
    <x v="17"/>
    <s v="SE3_STO"/>
    <x v="8"/>
    <s v="GBPR_WOODWASTE_BRISTA"/>
    <x v="0"/>
    <x v="14"/>
    <n v="122.385290770653"/>
    <n v="44670.631131288399"/>
    <n v="160814.27207263801"/>
  </r>
  <r>
    <x v="0"/>
    <x v="0"/>
    <x v="0"/>
    <x v="7"/>
    <x v="17"/>
    <s v="SE3_STO"/>
    <x v="8"/>
    <s v="GBPR_WOODWASTE_BRISTA"/>
    <x v="0"/>
    <x v="1"/>
    <n v="122.385290770653"/>
    <n v="44670.631131288399"/>
    <n v="160814.27207263801"/>
  </r>
  <r>
    <x v="0"/>
    <x v="0"/>
    <x v="0"/>
    <x v="7"/>
    <x v="17"/>
    <s v="SE3_STO"/>
    <x v="8"/>
    <s v="GBPR_WOODWASTE_BRISTA"/>
    <x v="0"/>
    <x v="23"/>
    <n v="122.385290770653"/>
    <n v="44670.631131288399"/>
    <n v="160814.27207263801"/>
  </r>
  <r>
    <x v="0"/>
    <x v="0"/>
    <x v="0"/>
    <x v="7"/>
    <x v="17"/>
    <s v="SE3_STO"/>
    <x v="8"/>
    <s v="GBPR_WOODWASTE_BRISTA"/>
    <x v="0"/>
    <x v="2"/>
    <n v="122.385290770653"/>
    <n v="44670.631131288399"/>
    <n v="160814.27207263801"/>
  </r>
  <r>
    <x v="0"/>
    <x v="0"/>
    <x v="0"/>
    <x v="7"/>
    <x v="17"/>
    <s v="SE3_STO"/>
    <x v="8"/>
    <s v="GBPR_WOODWASTE_BRISTA"/>
    <x v="0"/>
    <x v="3"/>
    <n v="122.385290770653"/>
    <n v="44670.631131288399"/>
    <n v="160814.27207263801"/>
  </r>
  <r>
    <x v="0"/>
    <x v="0"/>
    <x v="0"/>
    <x v="7"/>
    <x v="17"/>
    <s v="SE3_STO"/>
    <x v="8"/>
    <s v="GBPR_WOODWASTE_BRISTA"/>
    <x v="0"/>
    <x v="4"/>
    <n v="122.385290770653"/>
    <n v="44670.631131288399"/>
    <n v="160814.27207263801"/>
  </r>
  <r>
    <x v="0"/>
    <x v="0"/>
    <x v="0"/>
    <x v="7"/>
    <x v="17"/>
    <s v="SE3_STO"/>
    <x v="8"/>
    <s v="GBPR_WOODWASTE_BRISTA"/>
    <x v="0"/>
    <x v="5"/>
    <n v="122.385290770653"/>
    <n v="44670.631131288399"/>
    <n v="160814.27207263801"/>
  </r>
  <r>
    <x v="0"/>
    <x v="0"/>
    <x v="0"/>
    <x v="7"/>
    <x v="17"/>
    <s v="SE3_STO"/>
    <x v="8"/>
    <s v="GBPR_WOODWASTE_BRISTA"/>
    <x v="0"/>
    <x v="15"/>
    <n v="122.385290770653"/>
    <n v="44670.631131288399"/>
    <n v="160814.27207263801"/>
  </r>
  <r>
    <x v="0"/>
    <x v="0"/>
    <x v="0"/>
    <x v="7"/>
    <x v="17"/>
    <s v="SE3_STO"/>
    <x v="8"/>
    <s v="GBPR_WOODWASTE_BRISTA"/>
    <x v="0"/>
    <x v="6"/>
    <n v="122.385290770653"/>
    <n v="44670.631131288399"/>
    <n v="160814.27207263801"/>
  </r>
  <r>
    <x v="0"/>
    <x v="0"/>
    <x v="0"/>
    <x v="7"/>
    <x v="17"/>
    <s v="SE3_STO"/>
    <x v="8"/>
    <s v="GBPR_WOODWASTE_BRISTA"/>
    <x v="0"/>
    <x v="7"/>
    <n v="122.385290770653"/>
    <n v="44670.631131288399"/>
    <n v="160814.27207263801"/>
  </r>
  <r>
    <x v="0"/>
    <x v="0"/>
    <x v="0"/>
    <x v="7"/>
    <x v="17"/>
    <s v="SE3_STO"/>
    <x v="8"/>
    <s v="GBPR_WOODWASTE_BRISTA"/>
    <x v="0"/>
    <x v="8"/>
    <n v="122.385290770653"/>
    <n v="44670.631131288399"/>
    <n v="160814.27207263801"/>
  </r>
  <r>
    <x v="0"/>
    <x v="0"/>
    <x v="0"/>
    <x v="7"/>
    <x v="17"/>
    <s v="SE3_STO"/>
    <x v="8"/>
    <s v="GBPR_WOODWASTE_BRISTA"/>
    <x v="0"/>
    <x v="16"/>
    <n v="122.385290770653"/>
    <n v="44670.631131288399"/>
    <n v="160814.27207263801"/>
  </r>
  <r>
    <x v="0"/>
    <x v="0"/>
    <x v="0"/>
    <x v="7"/>
    <x v="17"/>
    <s v="SE3_STO"/>
    <x v="8"/>
    <s v="GBPR_WOODWASTE_BRISTA"/>
    <x v="0"/>
    <x v="17"/>
    <n v="122.385290770653"/>
    <n v="44670.631131288399"/>
    <n v="160814.27207263801"/>
  </r>
  <r>
    <x v="0"/>
    <x v="0"/>
    <x v="0"/>
    <x v="7"/>
    <x v="17"/>
    <s v="SE3_STO"/>
    <x v="8"/>
    <s v="GBPR_WOODWASTE_BRISTA"/>
    <x v="0"/>
    <x v="18"/>
    <n v="122.385290770653"/>
    <n v="44670.631131288399"/>
    <n v="160814.27207263801"/>
  </r>
  <r>
    <x v="0"/>
    <x v="0"/>
    <x v="0"/>
    <x v="7"/>
    <x v="17"/>
    <s v="SE3_STO"/>
    <x v="8"/>
    <s v="GBPR_WOODWASTE_BRISTA"/>
    <x v="0"/>
    <x v="19"/>
    <n v="122.385290770653"/>
    <n v="44670.631131288399"/>
    <n v="160814.27207263801"/>
  </r>
  <r>
    <x v="0"/>
    <x v="0"/>
    <x v="0"/>
    <x v="7"/>
    <x v="17"/>
    <s v="SE3_STO"/>
    <x v="8"/>
    <s v="GBPR_WOODWASTE_BRISTA"/>
    <x v="0"/>
    <x v="20"/>
    <n v="122.385290770653"/>
    <n v="44670.631131288399"/>
    <n v="160814.27207263801"/>
  </r>
  <r>
    <x v="0"/>
    <x v="0"/>
    <x v="0"/>
    <x v="7"/>
    <x v="17"/>
    <s v="SE3_STO"/>
    <x v="8"/>
    <s v="GBPR_WOODWASTE_BRISTA"/>
    <x v="0"/>
    <x v="21"/>
    <n v="122.385290770653"/>
    <n v="44670.631131288399"/>
    <n v="160814.27207263801"/>
  </r>
  <r>
    <x v="0"/>
    <x v="0"/>
    <x v="0"/>
    <x v="7"/>
    <x v="17"/>
    <s v="SE3_STO"/>
    <x v="8"/>
    <s v="GBPR_WOODWASTE_BRISTA"/>
    <x v="0"/>
    <x v="22"/>
    <n v="122.385290770653"/>
    <n v="44670.631131288399"/>
    <n v="160814.27207263801"/>
  </r>
  <r>
    <x v="0"/>
    <x v="0"/>
    <x v="0"/>
    <x v="7"/>
    <x v="18"/>
    <s v="SE4_EL"/>
    <x v="3"/>
    <s v="GETOH_HEATPUMP1"/>
    <x v="0"/>
    <x v="13"/>
    <n v="3.2877857683623999"/>
    <n v="1200.04180545228"/>
    <n v="4320.1504996282001"/>
  </r>
  <r>
    <x v="0"/>
    <x v="0"/>
    <x v="0"/>
    <x v="7"/>
    <x v="18"/>
    <s v="SE4_EL"/>
    <x v="3"/>
    <s v="GETOH_HEATPUMP1"/>
    <x v="0"/>
    <x v="0"/>
    <n v="6.89681605106371"/>
    <n v="2517.3378586382601"/>
    <n v="9062.4162910977193"/>
  </r>
  <r>
    <x v="0"/>
    <x v="0"/>
    <x v="0"/>
    <x v="7"/>
    <x v="18"/>
    <s v="SE4_EL"/>
    <x v="3"/>
    <s v="GETOH_HEATPUMP1"/>
    <x v="0"/>
    <x v="14"/>
    <n v="29.534085732386799"/>
    <n v="10779.9412923212"/>
    <n v="38807.788652356197"/>
  </r>
  <r>
    <x v="0"/>
    <x v="0"/>
    <x v="0"/>
    <x v="7"/>
    <x v="18"/>
    <s v="SE4_EL"/>
    <x v="3"/>
    <s v="GETOH_HEATPUMP1"/>
    <x v="0"/>
    <x v="1"/>
    <n v="38.023519167485702"/>
    <n v="13878.5844961323"/>
    <n v="49962.904186076099"/>
  </r>
  <r>
    <x v="0"/>
    <x v="0"/>
    <x v="0"/>
    <x v="7"/>
    <x v="18"/>
    <s v="SE4_EL"/>
    <x v="3"/>
    <s v="GETOH_HEATPUMP1"/>
    <x v="0"/>
    <x v="23"/>
    <n v="37.4423201001064"/>
    <n v="13666.4468365388"/>
    <n v="49199.208611539798"/>
  </r>
  <r>
    <x v="0"/>
    <x v="0"/>
    <x v="0"/>
    <x v="7"/>
    <x v="18"/>
    <s v="SE4_EL"/>
    <x v="3"/>
    <s v="GETOH_HEATPUMP1"/>
    <x v="0"/>
    <x v="2"/>
    <n v="32.341079769215"/>
    <n v="11804.4941157635"/>
    <n v="42496.178816748397"/>
  </r>
  <r>
    <x v="0"/>
    <x v="0"/>
    <x v="0"/>
    <x v="7"/>
    <x v="18"/>
    <s v="SE4_EL"/>
    <x v="3"/>
    <s v="GETOH_HEATPUMP1"/>
    <x v="0"/>
    <x v="3"/>
    <n v="29.643647651182899"/>
    <n v="10819.931392681799"/>
    <n v="38951.753013654401"/>
  </r>
  <r>
    <x v="0"/>
    <x v="0"/>
    <x v="0"/>
    <x v="7"/>
    <x v="18"/>
    <s v="SE4_EL"/>
    <x v="3"/>
    <s v="GETOH_HEATPUMP1"/>
    <x v="0"/>
    <x v="4"/>
    <n v="23.298976267163901"/>
    <n v="8504.1263375148192"/>
    <n v="30614.854815053401"/>
  </r>
  <r>
    <x v="0"/>
    <x v="0"/>
    <x v="0"/>
    <x v="7"/>
    <x v="18"/>
    <s v="SE4_EL"/>
    <x v="3"/>
    <s v="GETOH_HEATPUMP1"/>
    <x v="0"/>
    <x v="5"/>
    <n v="18.570977977602599"/>
    <n v="6778.4069618249496"/>
    <n v="24402.265062569801"/>
  </r>
  <r>
    <x v="0"/>
    <x v="0"/>
    <x v="0"/>
    <x v="7"/>
    <x v="18"/>
    <s v="SE4_EL"/>
    <x v="3"/>
    <s v="GETOH_HEATPUMP1"/>
    <x v="0"/>
    <x v="15"/>
    <n v="16.149285747861299"/>
    <n v="5894.4892979693605"/>
    <n v="21220.161472689699"/>
  </r>
  <r>
    <x v="0"/>
    <x v="0"/>
    <x v="0"/>
    <x v="7"/>
    <x v="18"/>
    <s v="SE4_EL"/>
    <x v="3"/>
    <s v="GETOH_HEATPUMP1"/>
    <x v="0"/>
    <x v="6"/>
    <n v="14.477216253486899"/>
    <n v="5284.1839325227102"/>
    <n v="19023.0621570818"/>
  </r>
  <r>
    <x v="0"/>
    <x v="0"/>
    <x v="0"/>
    <x v="7"/>
    <x v="18"/>
    <s v="SE4_EL"/>
    <x v="3"/>
    <s v="GETOH_HEATPUMP1"/>
    <x v="0"/>
    <x v="7"/>
    <n v="14.481214938574301"/>
    <n v="5285.6434525796303"/>
    <n v="19028.3164292867"/>
  </r>
  <r>
    <x v="0"/>
    <x v="0"/>
    <x v="0"/>
    <x v="7"/>
    <x v="18"/>
    <s v="SE4_EL"/>
    <x v="3"/>
    <s v="GETOH_HEATPUMP1"/>
    <x v="0"/>
    <x v="8"/>
    <n v="11.2048403136533"/>
    <n v="4089.76671448345"/>
    <n v="14723.1601721404"/>
  </r>
  <r>
    <x v="0"/>
    <x v="0"/>
    <x v="0"/>
    <x v="7"/>
    <x v="18"/>
    <s v="SE4_EL"/>
    <x v="3"/>
    <s v="GETOH_HEATPUMP1"/>
    <x v="0"/>
    <x v="16"/>
    <n v="6.1161266395567004"/>
    <n v="2232.3862234382"/>
    <n v="8036.5904043775099"/>
  </r>
  <r>
    <x v="0"/>
    <x v="0"/>
    <x v="0"/>
    <x v="7"/>
    <x v="18"/>
    <s v="SE4_EL"/>
    <x v="3"/>
    <s v="GETOH_HEATPUMP1"/>
    <x v="0"/>
    <x v="17"/>
    <n v="2.80547623778169"/>
    <n v="1023.99882679032"/>
    <n v="3686.3957764451502"/>
  </r>
  <r>
    <x v="0"/>
    <x v="0"/>
    <x v="0"/>
    <x v="7"/>
    <x v="18"/>
    <s v="SE4_EL"/>
    <x v="15"/>
    <s v="GBPR_RECYCLEDWOOD"/>
    <x v="0"/>
    <x v="9"/>
    <n v="41.8561976683323"/>
    <n v="15277.5121489413"/>
    <n v="54999.043736188702"/>
  </r>
  <r>
    <x v="0"/>
    <x v="0"/>
    <x v="0"/>
    <x v="7"/>
    <x v="18"/>
    <s v="SE4_EL"/>
    <x v="15"/>
    <s v="GBPR_RECYCLEDWOOD"/>
    <x v="0"/>
    <x v="10"/>
    <n v="41.748739149488301"/>
    <n v="15238.2897895632"/>
    <n v="54857.843242427603"/>
  </r>
  <r>
    <x v="0"/>
    <x v="0"/>
    <x v="0"/>
    <x v="7"/>
    <x v="18"/>
    <s v="SE4_EL"/>
    <x v="15"/>
    <s v="GBPR_RECYCLEDWOOD"/>
    <x v="0"/>
    <x v="11"/>
    <n v="42.698455665386597"/>
    <n v="15584.936317866101"/>
    <n v="56105.770744317997"/>
  </r>
  <r>
    <x v="0"/>
    <x v="0"/>
    <x v="0"/>
    <x v="7"/>
    <x v="18"/>
    <s v="SE4_EL"/>
    <x v="15"/>
    <s v="GBPR_RECYCLEDWOOD"/>
    <x v="0"/>
    <x v="12"/>
    <n v="45.631586014068702"/>
    <n v="16655.528895135099"/>
    <n v="59959.904022486298"/>
  </r>
  <r>
    <x v="0"/>
    <x v="0"/>
    <x v="0"/>
    <x v="7"/>
    <x v="18"/>
    <s v="SE4_EL"/>
    <x v="15"/>
    <s v="GBPR_RECYCLEDWOOD"/>
    <x v="0"/>
    <x v="13"/>
    <n v="49.2739836602289"/>
    <n v="17985.0040359835"/>
    <n v="64746.014529540698"/>
  </r>
  <r>
    <x v="0"/>
    <x v="0"/>
    <x v="0"/>
    <x v="7"/>
    <x v="18"/>
    <s v="SE4_EL"/>
    <x v="15"/>
    <s v="GBPR_RECYCLEDWOOD"/>
    <x v="0"/>
    <x v="0"/>
    <n v="49.2739836602289"/>
    <n v="17985.0040359835"/>
    <n v="64746.014529540698"/>
  </r>
  <r>
    <x v="0"/>
    <x v="0"/>
    <x v="0"/>
    <x v="7"/>
    <x v="18"/>
    <s v="SE4_EL"/>
    <x v="15"/>
    <s v="GBPR_RECYCLEDWOOD"/>
    <x v="0"/>
    <x v="14"/>
    <n v="49.2739836602289"/>
    <n v="17985.0040359835"/>
    <n v="64746.014529540698"/>
  </r>
  <r>
    <x v="0"/>
    <x v="0"/>
    <x v="0"/>
    <x v="7"/>
    <x v="18"/>
    <s v="SE4_EL"/>
    <x v="15"/>
    <s v="GBPR_RECYCLEDWOOD"/>
    <x v="0"/>
    <x v="1"/>
    <n v="49.2739836602289"/>
    <n v="17985.0040359835"/>
    <n v="64746.014529540698"/>
  </r>
  <r>
    <x v="0"/>
    <x v="0"/>
    <x v="0"/>
    <x v="7"/>
    <x v="18"/>
    <s v="SE4_EL"/>
    <x v="15"/>
    <s v="GBPR_RECYCLEDWOOD"/>
    <x v="0"/>
    <x v="23"/>
    <n v="49.2739836602289"/>
    <n v="17985.0040359835"/>
    <n v="64746.014529540698"/>
  </r>
  <r>
    <x v="0"/>
    <x v="0"/>
    <x v="0"/>
    <x v="7"/>
    <x v="18"/>
    <s v="SE4_EL"/>
    <x v="15"/>
    <s v="GBPR_RECYCLEDWOOD"/>
    <x v="0"/>
    <x v="2"/>
    <n v="49.2739836602289"/>
    <n v="17985.0040359835"/>
    <n v="64746.014529540698"/>
  </r>
  <r>
    <x v="0"/>
    <x v="0"/>
    <x v="0"/>
    <x v="7"/>
    <x v="18"/>
    <s v="SE4_EL"/>
    <x v="15"/>
    <s v="GBPR_RECYCLEDWOOD"/>
    <x v="0"/>
    <x v="3"/>
    <n v="49.2739836602289"/>
    <n v="17985.0040359835"/>
    <n v="64746.014529540698"/>
  </r>
  <r>
    <x v="0"/>
    <x v="0"/>
    <x v="0"/>
    <x v="7"/>
    <x v="18"/>
    <s v="SE4_EL"/>
    <x v="15"/>
    <s v="GBPR_RECYCLEDWOOD"/>
    <x v="0"/>
    <x v="4"/>
    <n v="49.2739836602289"/>
    <n v="17985.0040359835"/>
    <n v="64746.014529540698"/>
  </r>
  <r>
    <x v="0"/>
    <x v="0"/>
    <x v="0"/>
    <x v="7"/>
    <x v="18"/>
    <s v="SE4_EL"/>
    <x v="15"/>
    <s v="GBPR_RECYCLEDWOOD"/>
    <x v="0"/>
    <x v="5"/>
    <n v="49.2739836602289"/>
    <n v="17985.0040359835"/>
    <n v="64746.014529540698"/>
  </r>
  <r>
    <x v="0"/>
    <x v="0"/>
    <x v="0"/>
    <x v="7"/>
    <x v="18"/>
    <s v="SE4_EL"/>
    <x v="15"/>
    <s v="GBPR_RECYCLEDWOOD"/>
    <x v="0"/>
    <x v="15"/>
    <n v="49.2739836602289"/>
    <n v="17985.0040359835"/>
    <n v="64746.014529540698"/>
  </r>
  <r>
    <x v="0"/>
    <x v="0"/>
    <x v="0"/>
    <x v="7"/>
    <x v="18"/>
    <s v="SE4_EL"/>
    <x v="15"/>
    <s v="GBPR_RECYCLEDWOOD"/>
    <x v="0"/>
    <x v="6"/>
    <n v="49.2739836602289"/>
    <n v="17985.0040359835"/>
    <n v="64746.014529540698"/>
  </r>
  <r>
    <x v="0"/>
    <x v="0"/>
    <x v="0"/>
    <x v="7"/>
    <x v="18"/>
    <s v="SE4_EL"/>
    <x v="15"/>
    <s v="GBPR_RECYCLEDWOOD"/>
    <x v="0"/>
    <x v="7"/>
    <n v="49.2739836602289"/>
    <n v="17985.0040359835"/>
    <n v="64746.014529540698"/>
  </r>
  <r>
    <x v="0"/>
    <x v="0"/>
    <x v="0"/>
    <x v="7"/>
    <x v="18"/>
    <s v="SE4_EL"/>
    <x v="15"/>
    <s v="GBPR_RECYCLEDWOOD"/>
    <x v="0"/>
    <x v="8"/>
    <n v="49.2739836602289"/>
    <n v="17985.0040359835"/>
    <n v="64746.014529540698"/>
  </r>
  <r>
    <x v="0"/>
    <x v="0"/>
    <x v="0"/>
    <x v="7"/>
    <x v="18"/>
    <s v="SE4_EL"/>
    <x v="15"/>
    <s v="GBPR_RECYCLEDWOOD"/>
    <x v="0"/>
    <x v="16"/>
    <n v="49.2739836602289"/>
    <n v="17985.0040359835"/>
    <n v="64746.014529540698"/>
  </r>
  <r>
    <x v="0"/>
    <x v="0"/>
    <x v="0"/>
    <x v="7"/>
    <x v="18"/>
    <s v="SE4_EL"/>
    <x v="15"/>
    <s v="GBPR_RECYCLEDWOOD"/>
    <x v="0"/>
    <x v="17"/>
    <n v="49.2739836602289"/>
    <n v="17985.0040359835"/>
    <n v="64746.014529540698"/>
  </r>
  <r>
    <x v="0"/>
    <x v="0"/>
    <x v="0"/>
    <x v="7"/>
    <x v="18"/>
    <s v="SE4_EL"/>
    <x v="15"/>
    <s v="GBPR_RECYCLEDWOOD"/>
    <x v="0"/>
    <x v="18"/>
    <n v="49.2739836602289"/>
    <n v="17985.0040359835"/>
    <n v="64746.014529540698"/>
  </r>
  <r>
    <x v="0"/>
    <x v="0"/>
    <x v="0"/>
    <x v="7"/>
    <x v="18"/>
    <s v="SE4_EL"/>
    <x v="15"/>
    <s v="GBPR_RECYCLEDWOOD"/>
    <x v="0"/>
    <x v="19"/>
    <n v="49.2739836602289"/>
    <n v="17985.0040359835"/>
    <n v="64746.014529540698"/>
  </r>
  <r>
    <x v="0"/>
    <x v="0"/>
    <x v="0"/>
    <x v="7"/>
    <x v="18"/>
    <s v="SE4_EL"/>
    <x v="15"/>
    <s v="GBPR_RECYCLEDWOOD"/>
    <x v="0"/>
    <x v="20"/>
    <n v="45.024757023234898"/>
    <n v="16434.036313480701"/>
    <n v="59162.530728530699"/>
  </r>
  <r>
    <x v="0"/>
    <x v="0"/>
    <x v="0"/>
    <x v="7"/>
    <x v="18"/>
    <s v="SE4_EL"/>
    <x v="15"/>
    <s v="GBPR_RECYCLEDWOOD"/>
    <x v="0"/>
    <x v="21"/>
    <n v="39.795299305600103"/>
    <n v="14525.284246544001"/>
    <n v="52291.023287558601"/>
  </r>
  <r>
    <x v="0"/>
    <x v="0"/>
    <x v="0"/>
    <x v="7"/>
    <x v="18"/>
    <s v="SE4_EL"/>
    <x v="15"/>
    <s v="GBPR_RECYCLEDWOOD"/>
    <x v="0"/>
    <x v="22"/>
    <n v="30.099491799994201"/>
    <n v="10986.3145069979"/>
    <n v="39550.732225192398"/>
  </r>
  <r>
    <x v="0"/>
    <x v="0"/>
    <x v="0"/>
    <x v="7"/>
    <x v="18"/>
    <s v="SE4_EL"/>
    <x v="15"/>
    <s v="GBPR_RECYCLEDWOOD_SE4EL"/>
    <x v="0"/>
    <x v="0"/>
    <n v="7.4955144427247999"/>
    <n v="2735.8627715945499"/>
    <n v="9849.1059777403898"/>
  </r>
  <r>
    <x v="0"/>
    <x v="0"/>
    <x v="0"/>
    <x v="7"/>
    <x v="18"/>
    <s v="SE4_EL"/>
    <x v="15"/>
    <s v="GBPR_RECYCLEDWOOD_SE4EL"/>
    <x v="0"/>
    <x v="14"/>
    <n v="7.4955144427247999"/>
    <n v="2735.8627715945499"/>
    <n v="9849.1059777403898"/>
  </r>
  <r>
    <x v="0"/>
    <x v="0"/>
    <x v="0"/>
    <x v="7"/>
    <x v="18"/>
    <s v="SE4_EL"/>
    <x v="15"/>
    <s v="GBPR_RECYCLEDWOOD_SE4EL"/>
    <x v="0"/>
    <x v="1"/>
    <n v="7.4955144427247999"/>
    <n v="2735.8627715945499"/>
    <n v="9849.1059777403898"/>
  </r>
  <r>
    <x v="0"/>
    <x v="0"/>
    <x v="0"/>
    <x v="7"/>
    <x v="18"/>
    <s v="SE4_EL"/>
    <x v="15"/>
    <s v="GBPR_RECYCLEDWOOD_SE4EL"/>
    <x v="0"/>
    <x v="23"/>
    <n v="7.4955144427247999"/>
    <n v="2735.8627715945499"/>
    <n v="9849.1059777403898"/>
  </r>
  <r>
    <x v="0"/>
    <x v="0"/>
    <x v="0"/>
    <x v="7"/>
    <x v="18"/>
    <s v="SE4_EL"/>
    <x v="15"/>
    <s v="GBPR_RECYCLEDWOOD_SE4EL"/>
    <x v="0"/>
    <x v="2"/>
    <n v="7.4955144427247999"/>
    <n v="2735.8627715945499"/>
    <n v="9849.1059777403898"/>
  </r>
  <r>
    <x v="0"/>
    <x v="0"/>
    <x v="0"/>
    <x v="7"/>
    <x v="18"/>
    <s v="SE4_EL"/>
    <x v="15"/>
    <s v="GBPR_RECYCLEDWOOD_SE4EL"/>
    <x v="0"/>
    <x v="3"/>
    <n v="7.4955144427247999"/>
    <n v="2735.8627715945499"/>
    <n v="9849.1059777403898"/>
  </r>
  <r>
    <x v="0"/>
    <x v="0"/>
    <x v="0"/>
    <x v="7"/>
    <x v="18"/>
    <s v="SE4_EL"/>
    <x v="15"/>
    <s v="GBPR_RECYCLEDWOOD_SE4EL"/>
    <x v="0"/>
    <x v="4"/>
    <n v="7.4955144427247999"/>
    <n v="2735.8627715945499"/>
    <n v="9849.1059777403898"/>
  </r>
  <r>
    <x v="0"/>
    <x v="0"/>
    <x v="0"/>
    <x v="7"/>
    <x v="18"/>
    <s v="SE4_EL"/>
    <x v="15"/>
    <s v="GBPR_RECYCLEDWOOD_SE4EL"/>
    <x v="0"/>
    <x v="5"/>
    <n v="7.4955144427247999"/>
    <n v="2735.8627715945499"/>
    <n v="9849.1059777403898"/>
  </r>
  <r>
    <x v="0"/>
    <x v="0"/>
    <x v="0"/>
    <x v="7"/>
    <x v="18"/>
    <s v="SE4_EL"/>
    <x v="15"/>
    <s v="GBPR_RECYCLEDWOOD_SE4EL"/>
    <x v="0"/>
    <x v="15"/>
    <n v="7.4955144427247999"/>
    <n v="2735.8627715945499"/>
    <n v="9849.1059777403898"/>
  </r>
  <r>
    <x v="0"/>
    <x v="0"/>
    <x v="0"/>
    <x v="7"/>
    <x v="18"/>
    <s v="SE4_EL"/>
    <x v="15"/>
    <s v="GBPR_RECYCLEDWOOD_SE4EL"/>
    <x v="0"/>
    <x v="6"/>
    <n v="7.4955144427247999"/>
    <n v="2735.8627715945499"/>
    <n v="9849.1059777403898"/>
  </r>
  <r>
    <x v="0"/>
    <x v="0"/>
    <x v="0"/>
    <x v="7"/>
    <x v="18"/>
    <s v="SE4_EL"/>
    <x v="15"/>
    <s v="GBPR_RECYCLEDWOOD_SE4EL"/>
    <x v="0"/>
    <x v="7"/>
    <n v="7.4955144427247999"/>
    <n v="2735.8627715945499"/>
    <n v="9849.1059777403898"/>
  </r>
  <r>
    <x v="0"/>
    <x v="0"/>
    <x v="0"/>
    <x v="7"/>
    <x v="18"/>
    <s v="SE4_EL"/>
    <x v="15"/>
    <s v="GBPR_RECYCLEDWOOD_SE4EL"/>
    <x v="0"/>
    <x v="8"/>
    <n v="7.4955144427247999"/>
    <n v="2735.8627715945499"/>
    <n v="9849.1059777403898"/>
  </r>
  <r>
    <x v="0"/>
    <x v="0"/>
    <x v="0"/>
    <x v="7"/>
    <x v="18"/>
    <s v="SE4_EL"/>
    <x v="15"/>
    <s v="GBPR_RECYCLEDWOOD_SE4EL"/>
    <x v="0"/>
    <x v="16"/>
    <n v="7.4955144427247999"/>
    <n v="2735.8627715945499"/>
    <n v="9849.1059777403898"/>
  </r>
  <r>
    <x v="0"/>
    <x v="0"/>
    <x v="0"/>
    <x v="7"/>
    <x v="18"/>
    <s v="SE4_EL"/>
    <x v="15"/>
    <s v="GBPR_RECYCLEDWOOD_SE4EL"/>
    <x v="0"/>
    <x v="17"/>
    <n v="7.4955144427247999"/>
    <n v="2735.8627715945499"/>
    <n v="9849.1059777403898"/>
  </r>
  <r>
    <x v="0"/>
    <x v="0"/>
    <x v="0"/>
    <x v="7"/>
    <x v="18"/>
    <s v="SE4_EL"/>
    <x v="15"/>
    <s v="GBPR_RECYCLEDWOOD_SE4EL"/>
    <x v="0"/>
    <x v="18"/>
    <n v="6.0482557945628104"/>
    <n v="2207.6133650154302"/>
    <n v="7947.40811405554"/>
  </r>
  <r>
    <x v="0"/>
    <x v="0"/>
    <x v="0"/>
    <x v="7"/>
    <x v="18"/>
    <s v="SE4_EL"/>
    <x v="15"/>
    <s v="GBPR_RECYCLEDWOOD_SE4EL"/>
    <x v="0"/>
    <x v="19"/>
    <n v="0.80977045021541705"/>
    <n v="295.56621432862698"/>
    <n v="1064.0383715830601"/>
  </r>
  <r>
    <x v="0"/>
    <x v="0"/>
    <x v="0"/>
    <x v="7"/>
    <x v="18"/>
    <s v="SE4_EL"/>
    <x v="15"/>
    <s v="GHOB_RECYCLEDWOOD"/>
    <x v="0"/>
    <x v="1"/>
    <n v="3.9549141856392298"/>
    <n v="1443.54367775832"/>
    <n v="5196.7572399299497"/>
  </r>
  <r>
    <x v="0"/>
    <x v="0"/>
    <x v="0"/>
    <x v="7"/>
    <x v="18"/>
    <s v="SE4_EL"/>
    <x v="15"/>
    <s v="GHOB_RECYCLEDWOOD"/>
    <x v="0"/>
    <x v="23"/>
    <n v="3.9549141856392298"/>
    <n v="1443.54367775832"/>
    <n v="5196.7572399299497"/>
  </r>
  <r>
    <x v="0"/>
    <x v="0"/>
    <x v="0"/>
    <x v="7"/>
    <x v="18"/>
    <s v="SE4_EL"/>
    <x v="15"/>
    <s v="GHOB_RECYCLEDWOOD"/>
    <x v="0"/>
    <x v="2"/>
    <n v="3.9549141856392298"/>
    <n v="1443.54367775832"/>
    <n v="5196.7572399299497"/>
  </r>
  <r>
    <x v="0"/>
    <x v="0"/>
    <x v="0"/>
    <x v="7"/>
    <x v="18"/>
    <s v="SE4_EL"/>
    <x v="2"/>
    <s v="GHOB_WASTEHEAT"/>
    <x v="0"/>
    <x v="9"/>
    <n v="10.4166666666666"/>
    <n v="3802.0833333333198"/>
    <n v="13687.4999999999"/>
  </r>
  <r>
    <x v="0"/>
    <x v="0"/>
    <x v="0"/>
    <x v="7"/>
    <x v="18"/>
    <s v="SE4_EL"/>
    <x v="2"/>
    <s v="GHOB_WASTEHEAT"/>
    <x v="0"/>
    <x v="10"/>
    <n v="10.4166666666666"/>
    <n v="3802.0833333333198"/>
    <n v="13687.4999999999"/>
  </r>
  <r>
    <x v="0"/>
    <x v="0"/>
    <x v="0"/>
    <x v="7"/>
    <x v="18"/>
    <s v="SE4_EL"/>
    <x v="2"/>
    <s v="GHOB_WASTEHEAT"/>
    <x v="0"/>
    <x v="11"/>
    <n v="10.4166666666666"/>
    <n v="3802.0833333333198"/>
    <n v="13687.4999999999"/>
  </r>
  <r>
    <x v="0"/>
    <x v="0"/>
    <x v="0"/>
    <x v="7"/>
    <x v="18"/>
    <s v="SE4_EL"/>
    <x v="2"/>
    <s v="GHOB_WASTEHEAT"/>
    <x v="0"/>
    <x v="12"/>
    <n v="10.4166666666666"/>
    <n v="3802.0833333333198"/>
    <n v="13687.4999999999"/>
  </r>
  <r>
    <x v="0"/>
    <x v="0"/>
    <x v="0"/>
    <x v="7"/>
    <x v="18"/>
    <s v="SE4_EL"/>
    <x v="2"/>
    <s v="GHOB_WASTEHEAT"/>
    <x v="0"/>
    <x v="13"/>
    <n v="10.4166666666666"/>
    <n v="3802.0833333333198"/>
    <n v="13687.4999999999"/>
  </r>
  <r>
    <x v="0"/>
    <x v="0"/>
    <x v="0"/>
    <x v="7"/>
    <x v="18"/>
    <s v="SE4_EL"/>
    <x v="2"/>
    <s v="GHOB_WASTEHEAT"/>
    <x v="0"/>
    <x v="0"/>
    <n v="10.4166666666666"/>
    <n v="3802.0833333333198"/>
    <n v="13687.4999999999"/>
  </r>
  <r>
    <x v="0"/>
    <x v="0"/>
    <x v="0"/>
    <x v="7"/>
    <x v="18"/>
    <s v="SE4_EL"/>
    <x v="2"/>
    <s v="GHOB_WASTEHEAT"/>
    <x v="0"/>
    <x v="14"/>
    <n v="10.4166666666666"/>
    <n v="3802.0833333333198"/>
    <n v="13687.4999999999"/>
  </r>
  <r>
    <x v="0"/>
    <x v="0"/>
    <x v="0"/>
    <x v="7"/>
    <x v="18"/>
    <s v="SE4_EL"/>
    <x v="2"/>
    <s v="GHOB_WASTEHEAT"/>
    <x v="0"/>
    <x v="1"/>
    <n v="10.4166666666666"/>
    <n v="3802.0833333333198"/>
    <n v="13687.4999999999"/>
  </r>
  <r>
    <x v="0"/>
    <x v="0"/>
    <x v="0"/>
    <x v="7"/>
    <x v="18"/>
    <s v="SE4_EL"/>
    <x v="2"/>
    <s v="GHOB_WASTEHEAT"/>
    <x v="0"/>
    <x v="23"/>
    <n v="10.4166666666666"/>
    <n v="3802.0833333333198"/>
    <n v="13687.4999999999"/>
  </r>
  <r>
    <x v="0"/>
    <x v="0"/>
    <x v="0"/>
    <x v="7"/>
    <x v="18"/>
    <s v="SE4_EL"/>
    <x v="2"/>
    <s v="GHOB_WASTEHEAT"/>
    <x v="0"/>
    <x v="2"/>
    <n v="10.4166666666666"/>
    <n v="3802.0833333333198"/>
    <n v="13687.4999999999"/>
  </r>
  <r>
    <x v="0"/>
    <x v="0"/>
    <x v="0"/>
    <x v="7"/>
    <x v="18"/>
    <s v="SE4_EL"/>
    <x v="2"/>
    <s v="GHOB_WASTEHEAT"/>
    <x v="0"/>
    <x v="3"/>
    <n v="10.4166666666666"/>
    <n v="3802.0833333333198"/>
    <n v="13687.4999999999"/>
  </r>
  <r>
    <x v="0"/>
    <x v="0"/>
    <x v="0"/>
    <x v="7"/>
    <x v="18"/>
    <s v="SE4_EL"/>
    <x v="2"/>
    <s v="GHOB_WASTEHEAT"/>
    <x v="0"/>
    <x v="4"/>
    <n v="10.4166666666666"/>
    <n v="3802.0833333333198"/>
    <n v="13687.4999999999"/>
  </r>
  <r>
    <x v="0"/>
    <x v="0"/>
    <x v="0"/>
    <x v="7"/>
    <x v="18"/>
    <s v="SE4_EL"/>
    <x v="2"/>
    <s v="GHOB_WASTEHEAT"/>
    <x v="0"/>
    <x v="5"/>
    <n v="10.4166666666666"/>
    <n v="3802.0833333333198"/>
    <n v="13687.4999999999"/>
  </r>
  <r>
    <x v="0"/>
    <x v="0"/>
    <x v="0"/>
    <x v="7"/>
    <x v="18"/>
    <s v="SE4_EL"/>
    <x v="2"/>
    <s v="GHOB_WASTEHEAT"/>
    <x v="0"/>
    <x v="15"/>
    <n v="10.4166666666666"/>
    <n v="3802.0833333333198"/>
    <n v="13687.4999999999"/>
  </r>
  <r>
    <x v="0"/>
    <x v="0"/>
    <x v="0"/>
    <x v="7"/>
    <x v="18"/>
    <s v="SE4_EL"/>
    <x v="2"/>
    <s v="GHOB_WASTEHEAT"/>
    <x v="0"/>
    <x v="6"/>
    <n v="10.4166666666666"/>
    <n v="3802.0833333333198"/>
    <n v="13687.4999999999"/>
  </r>
  <r>
    <x v="0"/>
    <x v="0"/>
    <x v="0"/>
    <x v="7"/>
    <x v="18"/>
    <s v="SE4_EL"/>
    <x v="2"/>
    <s v="GHOB_WASTEHEAT"/>
    <x v="0"/>
    <x v="7"/>
    <n v="10.4166666666666"/>
    <n v="3802.0833333333198"/>
    <n v="13687.4999999999"/>
  </r>
  <r>
    <x v="0"/>
    <x v="0"/>
    <x v="0"/>
    <x v="7"/>
    <x v="18"/>
    <s v="SE4_EL"/>
    <x v="2"/>
    <s v="GHOB_WASTEHEAT"/>
    <x v="0"/>
    <x v="8"/>
    <n v="10.4166666666666"/>
    <n v="3802.0833333333198"/>
    <n v="13687.4999999999"/>
  </r>
  <r>
    <x v="0"/>
    <x v="0"/>
    <x v="0"/>
    <x v="7"/>
    <x v="18"/>
    <s v="SE4_EL"/>
    <x v="2"/>
    <s v="GHOB_WASTEHEAT"/>
    <x v="0"/>
    <x v="16"/>
    <n v="10.4166666666666"/>
    <n v="3802.0833333333198"/>
    <n v="13687.4999999999"/>
  </r>
  <r>
    <x v="0"/>
    <x v="0"/>
    <x v="0"/>
    <x v="7"/>
    <x v="18"/>
    <s v="SE4_EL"/>
    <x v="2"/>
    <s v="GHOB_WASTEHEAT"/>
    <x v="0"/>
    <x v="17"/>
    <n v="10.4166666666666"/>
    <n v="3802.0833333333198"/>
    <n v="13687.4999999999"/>
  </r>
  <r>
    <x v="0"/>
    <x v="0"/>
    <x v="0"/>
    <x v="7"/>
    <x v="18"/>
    <s v="SE4_EL"/>
    <x v="2"/>
    <s v="GHOB_WASTEHEAT"/>
    <x v="0"/>
    <x v="18"/>
    <n v="10.4166666666666"/>
    <n v="3802.0833333333198"/>
    <n v="13687.4999999999"/>
  </r>
  <r>
    <x v="0"/>
    <x v="0"/>
    <x v="0"/>
    <x v="7"/>
    <x v="18"/>
    <s v="SE4_EL"/>
    <x v="2"/>
    <s v="GHOB_WASTEHEAT"/>
    <x v="0"/>
    <x v="19"/>
    <n v="10.4166666666666"/>
    <n v="3802.0833333333198"/>
    <n v="13687.4999999999"/>
  </r>
  <r>
    <x v="0"/>
    <x v="0"/>
    <x v="0"/>
    <x v="7"/>
    <x v="18"/>
    <s v="SE4_EL"/>
    <x v="2"/>
    <s v="GHOB_WASTEHEAT"/>
    <x v="0"/>
    <x v="20"/>
    <n v="10.4166666666666"/>
    <n v="3802.0833333333198"/>
    <n v="13687.4999999999"/>
  </r>
  <r>
    <x v="0"/>
    <x v="0"/>
    <x v="0"/>
    <x v="7"/>
    <x v="18"/>
    <s v="SE4_EL"/>
    <x v="2"/>
    <s v="GHOB_WASTEHEAT"/>
    <x v="0"/>
    <x v="21"/>
    <n v="10.4166666666666"/>
    <n v="3802.0833333333198"/>
    <n v="13687.4999999999"/>
  </r>
  <r>
    <x v="0"/>
    <x v="0"/>
    <x v="0"/>
    <x v="7"/>
    <x v="18"/>
    <s v="SE4_EL"/>
    <x v="2"/>
    <s v="GHOB_WASTEHEAT"/>
    <x v="0"/>
    <x v="22"/>
    <n v="10.4166666666666"/>
    <n v="3802.0833333333198"/>
    <n v="13687.4999999999"/>
  </r>
  <r>
    <x v="0"/>
    <x v="0"/>
    <x v="0"/>
    <x v="7"/>
    <x v="18"/>
    <s v="SE4_EL"/>
    <x v="8"/>
    <s v="GHOB_WOODWASTE"/>
    <x v="0"/>
    <x v="9"/>
    <n v="55.121616462346701"/>
    <n v="20119.3900087566"/>
    <n v="72429.804031523599"/>
  </r>
  <r>
    <x v="0"/>
    <x v="0"/>
    <x v="0"/>
    <x v="7"/>
    <x v="18"/>
    <s v="SE4_EL"/>
    <x v="8"/>
    <s v="GHOB_WOODWASTE"/>
    <x v="0"/>
    <x v="10"/>
    <n v="55.121616462346701"/>
    <n v="20119.3900087566"/>
    <n v="72429.804031523599"/>
  </r>
  <r>
    <x v="0"/>
    <x v="0"/>
    <x v="0"/>
    <x v="7"/>
    <x v="18"/>
    <s v="SE4_EL"/>
    <x v="8"/>
    <s v="GHOB_WOODWASTE"/>
    <x v="0"/>
    <x v="11"/>
    <n v="55.121616462346701"/>
    <n v="20119.3900087566"/>
    <n v="72429.804031523599"/>
  </r>
  <r>
    <x v="0"/>
    <x v="0"/>
    <x v="0"/>
    <x v="7"/>
    <x v="18"/>
    <s v="SE4_EL"/>
    <x v="8"/>
    <s v="GHOB_WOODWASTE"/>
    <x v="0"/>
    <x v="12"/>
    <n v="55.121616462346701"/>
    <n v="20119.3900087566"/>
    <n v="72429.804031523599"/>
  </r>
  <r>
    <x v="0"/>
    <x v="0"/>
    <x v="0"/>
    <x v="7"/>
    <x v="18"/>
    <s v="SE4_EL"/>
    <x v="8"/>
    <s v="GHOB_WOODWASTE"/>
    <x v="0"/>
    <x v="13"/>
    <n v="55.121616462346701"/>
    <n v="20119.3900087566"/>
    <n v="72429.804031523599"/>
  </r>
  <r>
    <x v="0"/>
    <x v="0"/>
    <x v="0"/>
    <x v="7"/>
    <x v="18"/>
    <s v="SE4_EL"/>
    <x v="8"/>
    <s v="GHOB_WOODWASTE"/>
    <x v="0"/>
    <x v="0"/>
    <n v="55.121616462346701"/>
    <n v="20119.3900087566"/>
    <n v="72429.804031523599"/>
  </r>
  <r>
    <x v="0"/>
    <x v="0"/>
    <x v="0"/>
    <x v="7"/>
    <x v="18"/>
    <s v="SE4_EL"/>
    <x v="8"/>
    <s v="GHOB_WOODWASTE"/>
    <x v="0"/>
    <x v="14"/>
    <n v="55.121616462346701"/>
    <n v="20119.3900087566"/>
    <n v="72429.804031523599"/>
  </r>
  <r>
    <x v="0"/>
    <x v="0"/>
    <x v="0"/>
    <x v="7"/>
    <x v="18"/>
    <s v="SE4_EL"/>
    <x v="8"/>
    <s v="GHOB_WOODWASTE"/>
    <x v="0"/>
    <x v="1"/>
    <n v="55.121616462346701"/>
    <n v="20119.3900087566"/>
    <n v="72429.804031523599"/>
  </r>
  <r>
    <x v="0"/>
    <x v="0"/>
    <x v="0"/>
    <x v="7"/>
    <x v="18"/>
    <s v="SE4_EL"/>
    <x v="8"/>
    <s v="GHOB_WOODWASTE"/>
    <x v="0"/>
    <x v="23"/>
    <n v="55.121616462346701"/>
    <n v="20119.3900087566"/>
    <n v="72429.804031523599"/>
  </r>
  <r>
    <x v="0"/>
    <x v="0"/>
    <x v="0"/>
    <x v="7"/>
    <x v="18"/>
    <s v="SE4_EL"/>
    <x v="8"/>
    <s v="GHOB_WOODWASTE"/>
    <x v="0"/>
    <x v="2"/>
    <n v="55.121616462346701"/>
    <n v="20119.3900087566"/>
    <n v="72429.804031523599"/>
  </r>
  <r>
    <x v="0"/>
    <x v="0"/>
    <x v="0"/>
    <x v="7"/>
    <x v="18"/>
    <s v="SE4_EL"/>
    <x v="8"/>
    <s v="GHOB_WOODWASTE"/>
    <x v="0"/>
    <x v="3"/>
    <n v="55.121616462346701"/>
    <n v="20119.3900087566"/>
    <n v="72429.804031523599"/>
  </r>
  <r>
    <x v="0"/>
    <x v="0"/>
    <x v="0"/>
    <x v="7"/>
    <x v="18"/>
    <s v="SE4_EL"/>
    <x v="8"/>
    <s v="GHOB_WOODWASTE"/>
    <x v="0"/>
    <x v="4"/>
    <n v="55.121616462346701"/>
    <n v="20119.3900087566"/>
    <n v="72429.804031523599"/>
  </r>
  <r>
    <x v="0"/>
    <x v="0"/>
    <x v="0"/>
    <x v="7"/>
    <x v="18"/>
    <s v="SE4_EL"/>
    <x v="8"/>
    <s v="GHOB_WOODWASTE"/>
    <x v="0"/>
    <x v="5"/>
    <n v="55.121616462346701"/>
    <n v="20119.3900087566"/>
    <n v="72429.804031523599"/>
  </r>
  <r>
    <x v="0"/>
    <x v="0"/>
    <x v="0"/>
    <x v="7"/>
    <x v="18"/>
    <s v="SE4_EL"/>
    <x v="8"/>
    <s v="GHOB_WOODWASTE"/>
    <x v="0"/>
    <x v="15"/>
    <n v="55.121616462346701"/>
    <n v="20119.3900087566"/>
    <n v="72429.804031523599"/>
  </r>
  <r>
    <x v="0"/>
    <x v="0"/>
    <x v="0"/>
    <x v="7"/>
    <x v="18"/>
    <s v="SE4_EL"/>
    <x v="8"/>
    <s v="GHOB_WOODWASTE"/>
    <x v="0"/>
    <x v="6"/>
    <n v="55.121616462346701"/>
    <n v="20119.3900087566"/>
    <n v="72429.804031523599"/>
  </r>
  <r>
    <x v="0"/>
    <x v="0"/>
    <x v="0"/>
    <x v="7"/>
    <x v="18"/>
    <s v="SE4_EL"/>
    <x v="8"/>
    <s v="GHOB_WOODWASTE"/>
    <x v="0"/>
    <x v="7"/>
    <n v="55.121616462346701"/>
    <n v="20119.3900087566"/>
    <n v="72429.804031523599"/>
  </r>
  <r>
    <x v="0"/>
    <x v="0"/>
    <x v="0"/>
    <x v="7"/>
    <x v="18"/>
    <s v="SE4_EL"/>
    <x v="8"/>
    <s v="GHOB_WOODWASTE"/>
    <x v="0"/>
    <x v="8"/>
    <n v="55.121616462346701"/>
    <n v="20119.3900087566"/>
    <n v="72429.804031523599"/>
  </r>
  <r>
    <x v="0"/>
    <x v="0"/>
    <x v="0"/>
    <x v="7"/>
    <x v="18"/>
    <s v="SE4_EL"/>
    <x v="8"/>
    <s v="GHOB_WOODWASTE"/>
    <x v="0"/>
    <x v="16"/>
    <n v="55.121616462346701"/>
    <n v="20119.3900087566"/>
    <n v="72429.804031523599"/>
  </r>
  <r>
    <x v="0"/>
    <x v="0"/>
    <x v="0"/>
    <x v="7"/>
    <x v="18"/>
    <s v="SE4_EL"/>
    <x v="8"/>
    <s v="GHOB_WOODWASTE"/>
    <x v="0"/>
    <x v="17"/>
    <n v="55.121616462346701"/>
    <n v="20119.3900087566"/>
    <n v="72429.804031523599"/>
  </r>
  <r>
    <x v="0"/>
    <x v="0"/>
    <x v="0"/>
    <x v="7"/>
    <x v="18"/>
    <s v="SE4_EL"/>
    <x v="8"/>
    <s v="GHOB_WOODWASTE"/>
    <x v="0"/>
    <x v="18"/>
    <n v="55.121616462346701"/>
    <n v="20119.3900087566"/>
    <n v="72429.804031523599"/>
  </r>
  <r>
    <x v="0"/>
    <x v="0"/>
    <x v="0"/>
    <x v="7"/>
    <x v="18"/>
    <s v="SE4_EL"/>
    <x v="8"/>
    <s v="GHOB_WOODWASTE"/>
    <x v="0"/>
    <x v="19"/>
    <n v="55.121616462346701"/>
    <n v="20119.3900087566"/>
    <n v="72429.804031523599"/>
  </r>
  <r>
    <x v="0"/>
    <x v="0"/>
    <x v="0"/>
    <x v="7"/>
    <x v="18"/>
    <s v="SE4_EL"/>
    <x v="8"/>
    <s v="GHOB_WOODWASTE"/>
    <x v="0"/>
    <x v="20"/>
    <n v="55.121616462346701"/>
    <n v="20119.3900087566"/>
    <n v="72429.804031523599"/>
  </r>
  <r>
    <x v="0"/>
    <x v="0"/>
    <x v="0"/>
    <x v="7"/>
    <x v="18"/>
    <s v="SE4_EL"/>
    <x v="8"/>
    <s v="GHOB_WOODWASTE"/>
    <x v="0"/>
    <x v="21"/>
    <n v="55.121616462346701"/>
    <n v="20119.3900087566"/>
    <n v="72429.804031523599"/>
  </r>
  <r>
    <x v="0"/>
    <x v="0"/>
    <x v="0"/>
    <x v="7"/>
    <x v="18"/>
    <s v="SE4_EL"/>
    <x v="8"/>
    <s v="GHOB_WOODWASTE"/>
    <x v="0"/>
    <x v="22"/>
    <n v="55.121616462346701"/>
    <n v="20119.3900087566"/>
    <n v="72429.804031523599"/>
  </r>
  <r>
    <x v="0"/>
    <x v="0"/>
    <x v="0"/>
    <x v="7"/>
    <x v="18"/>
    <s v="SE4_HP"/>
    <x v="3"/>
    <s v="GETOH_HEATPUMP1"/>
    <x v="0"/>
    <x v="9"/>
    <n v="25.24"/>
    <n v="9212.6"/>
    <n v="33165.360000000001"/>
  </r>
  <r>
    <x v="0"/>
    <x v="0"/>
    <x v="0"/>
    <x v="7"/>
    <x v="18"/>
    <s v="SE4_HP"/>
    <x v="3"/>
    <s v="GETOH_HEATPUMP1"/>
    <x v="0"/>
    <x v="10"/>
    <n v="25.24"/>
    <n v="9212.6"/>
    <n v="33165.360000000001"/>
  </r>
  <r>
    <x v="0"/>
    <x v="0"/>
    <x v="0"/>
    <x v="7"/>
    <x v="18"/>
    <s v="SE4_HP"/>
    <x v="3"/>
    <s v="GETOH_HEATPUMP1"/>
    <x v="0"/>
    <x v="11"/>
    <n v="25.24"/>
    <n v="9212.6"/>
    <n v="33165.360000000001"/>
  </r>
  <r>
    <x v="0"/>
    <x v="0"/>
    <x v="0"/>
    <x v="7"/>
    <x v="18"/>
    <s v="SE4_HP"/>
    <x v="3"/>
    <s v="GETOH_HEATPUMP1"/>
    <x v="0"/>
    <x v="12"/>
    <n v="25.24"/>
    <n v="9212.6"/>
    <n v="33165.360000000001"/>
  </r>
  <r>
    <x v="0"/>
    <x v="0"/>
    <x v="0"/>
    <x v="7"/>
    <x v="18"/>
    <s v="SE4_HP"/>
    <x v="3"/>
    <s v="GETOH_HEATPUMP1"/>
    <x v="0"/>
    <x v="13"/>
    <n v="25.24"/>
    <n v="9212.6"/>
    <n v="33165.360000000001"/>
  </r>
  <r>
    <x v="0"/>
    <x v="0"/>
    <x v="0"/>
    <x v="7"/>
    <x v="18"/>
    <s v="SE4_HP"/>
    <x v="3"/>
    <s v="GETOH_HEATPUMP1"/>
    <x v="0"/>
    <x v="0"/>
    <n v="25.24"/>
    <n v="9212.6"/>
    <n v="33165.360000000001"/>
  </r>
  <r>
    <x v="0"/>
    <x v="0"/>
    <x v="0"/>
    <x v="7"/>
    <x v="18"/>
    <s v="SE4_HP"/>
    <x v="3"/>
    <s v="GETOH_HEATPUMP1"/>
    <x v="0"/>
    <x v="14"/>
    <n v="25.24"/>
    <n v="9212.6"/>
    <n v="33165.360000000001"/>
  </r>
  <r>
    <x v="0"/>
    <x v="0"/>
    <x v="0"/>
    <x v="7"/>
    <x v="18"/>
    <s v="SE4_HP"/>
    <x v="3"/>
    <s v="GETOH_HEATPUMP1"/>
    <x v="0"/>
    <x v="1"/>
    <n v="25.24"/>
    <n v="9212.6"/>
    <n v="33165.360000000001"/>
  </r>
  <r>
    <x v="0"/>
    <x v="0"/>
    <x v="0"/>
    <x v="7"/>
    <x v="18"/>
    <s v="SE4_HP"/>
    <x v="3"/>
    <s v="GETOH_HEATPUMP1"/>
    <x v="0"/>
    <x v="23"/>
    <n v="25.24"/>
    <n v="9212.6"/>
    <n v="33165.360000000001"/>
  </r>
  <r>
    <x v="0"/>
    <x v="0"/>
    <x v="0"/>
    <x v="7"/>
    <x v="18"/>
    <s v="SE4_HP"/>
    <x v="3"/>
    <s v="GETOH_HEATPUMP1"/>
    <x v="0"/>
    <x v="2"/>
    <n v="25.24"/>
    <n v="9212.6"/>
    <n v="33165.360000000001"/>
  </r>
  <r>
    <x v="0"/>
    <x v="0"/>
    <x v="0"/>
    <x v="7"/>
    <x v="18"/>
    <s v="SE4_HP"/>
    <x v="3"/>
    <s v="GETOH_HEATPUMP1"/>
    <x v="0"/>
    <x v="3"/>
    <n v="25.24"/>
    <n v="9212.6"/>
    <n v="33165.360000000001"/>
  </r>
  <r>
    <x v="0"/>
    <x v="0"/>
    <x v="0"/>
    <x v="7"/>
    <x v="18"/>
    <s v="SE4_HP"/>
    <x v="3"/>
    <s v="GETOH_HEATPUMP1"/>
    <x v="0"/>
    <x v="4"/>
    <n v="25.24"/>
    <n v="9212.6"/>
    <n v="33165.360000000001"/>
  </r>
  <r>
    <x v="0"/>
    <x v="0"/>
    <x v="0"/>
    <x v="7"/>
    <x v="18"/>
    <s v="SE4_HP"/>
    <x v="3"/>
    <s v="GETOH_HEATPUMP1"/>
    <x v="0"/>
    <x v="5"/>
    <n v="25.24"/>
    <n v="9212.6"/>
    <n v="33165.360000000001"/>
  </r>
  <r>
    <x v="0"/>
    <x v="0"/>
    <x v="0"/>
    <x v="7"/>
    <x v="18"/>
    <s v="SE4_HP"/>
    <x v="3"/>
    <s v="GETOH_HEATPUMP1"/>
    <x v="0"/>
    <x v="15"/>
    <n v="25.24"/>
    <n v="9212.6"/>
    <n v="33165.360000000001"/>
  </r>
  <r>
    <x v="0"/>
    <x v="0"/>
    <x v="0"/>
    <x v="7"/>
    <x v="18"/>
    <s v="SE4_HP"/>
    <x v="3"/>
    <s v="GETOH_HEATPUMP1"/>
    <x v="0"/>
    <x v="6"/>
    <n v="25.24"/>
    <n v="9212.6"/>
    <n v="33165.360000000001"/>
  </r>
  <r>
    <x v="0"/>
    <x v="0"/>
    <x v="0"/>
    <x v="7"/>
    <x v="18"/>
    <s v="SE4_HP"/>
    <x v="3"/>
    <s v="GETOH_HEATPUMP1"/>
    <x v="0"/>
    <x v="7"/>
    <n v="25.24"/>
    <n v="9212.6"/>
    <n v="33165.360000000001"/>
  </r>
  <r>
    <x v="0"/>
    <x v="0"/>
    <x v="0"/>
    <x v="7"/>
    <x v="18"/>
    <s v="SE4_HP"/>
    <x v="3"/>
    <s v="GETOH_HEATPUMP1"/>
    <x v="0"/>
    <x v="8"/>
    <n v="25.24"/>
    <n v="9212.6"/>
    <n v="33165.360000000001"/>
  </r>
  <r>
    <x v="0"/>
    <x v="0"/>
    <x v="0"/>
    <x v="7"/>
    <x v="18"/>
    <s v="SE4_HP"/>
    <x v="3"/>
    <s v="GETOH_HEATPUMP1"/>
    <x v="0"/>
    <x v="16"/>
    <n v="25.24"/>
    <n v="9212.6"/>
    <n v="33165.360000000001"/>
  </r>
  <r>
    <x v="0"/>
    <x v="0"/>
    <x v="0"/>
    <x v="7"/>
    <x v="18"/>
    <s v="SE4_HP"/>
    <x v="3"/>
    <s v="GETOH_HEATPUMP1"/>
    <x v="0"/>
    <x v="17"/>
    <n v="25.24"/>
    <n v="9212.6"/>
    <n v="33165.360000000001"/>
  </r>
  <r>
    <x v="0"/>
    <x v="0"/>
    <x v="0"/>
    <x v="7"/>
    <x v="18"/>
    <s v="SE4_HP"/>
    <x v="3"/>
    <s v="GETOH_HEATPUMP1"/>
    <x v="0"/>
    <x v="18"/>
    <n v="25.24"/>
    <n v="9212.6"/>
    <n v="33165.360000000001"/>
  </r>
  <r>
    <x v="0"/>
    <x v="0"/>
    <x v="0"/>
    <x v="7"/>
    <x v="18"/>
    <s v="SE4_HP"/>
    <x v="3"/>
    <s v="GETOH_HEATPUMP1"/>
    <x v="0"/>
    <x v="19"/>
    <n v="25.24"/>
    <n v="9212.6"/>
    <n v="33165.360000000001"/>
  </r>
  <r>
    <x v="0"/>
    <x v="0"/>
    <x v="0"/>
    <x v="7"/>
    <x v="18"/>
    <s v="SE4_HP"/>
    <x v="3"/>
    <s v="GETOH_HEATPUMP1"/>
    <x v="0"/>
    <x v="20"/>
    <n v="25.24"/>
    <n v="9212.6"/>
    <n v="33165.360000000001"/>
  </r>
  <r>
    <x v="0"/>
    <x v="0"/>
    <x v="0"/>
    <x v="7"/>
    <x v="18"/>
    <s v="SE4_HP"/>
    <x v="3"/>
    <s v="GETOH_HEATPUMP1"/>
    <x v="0"/>
    <x v="21"/>
    <n v="25.24"/>
    <n v="9212.6"/>
    <n v="33165.360000000001"/>
  </r>
  <r>
    <x v="0"/>
    <x v="0"/>
    <x v="0"/>
    <x v="7"/>
    <x v="18"/>
    <s v="SE4_HP"/>
    <x v="3"/>
    <s v="GETOH_HEATPUMP1"/>
    <x v="0"/>
    <x v="22"/>
    <n v="25.24"/>
    <n v="9212.6"/>
    <n v="33165.360000000001"/>
  </r>
  <r>
    <x v="0"/>
    <x v="0"/>
    <x v="0"/>
    <x v="7"/>
    <x v="18"/>
    <s v="SE4_HP"/>
    <x v="1"/>
    <s v="GNR_HS_HEAT_WTR-TANK_LS_E-95_Y-2010"/>
    <x v="0"/>
    <x v="9"/>
    <n v="1.3242866660181001"/>
    <n v="483.36463309660502"/>
    <n v="1740.11267914778"/>
  </r>
  <r>
    <x v="0"/>
    <x v="0"/>
    <x v="0"/>
    <x v="7"/>
    <x v="18"/>
    <s v="SE4_HP"/>
    <x v="1"/>
    <s v="GNR_HS_HEAT_WTR-TANK_LS_E-95_Y-2010"/>
    <x v="0"/>
    <x v="10"/>
    <n v="0.62345822994795697"/>
    <n v="227.56225393100399"/>
    <n v="819.22411415161503"/>
  </r>
  <r>
    <x v="0"/>
    <x v="0"/>
    <x v="0"/>
    <x v="7"/>
    <x v="18"/>
    <s v="SE4_HP"/>
    <x v="1"/>
    <s v="GNR_HS_HEAT_WTR-TANK_LS_E-95_Y-2010"/>
    <x v="0"/>
    <x v="11"/>
    <n v="0.153914443757699"/>
    <n v="56.178771971560302"/>
    <n v="202.24357909761699"/>
  </r>
  <r>
    <x v="0"/>
    <x v="0"/>
    <x v="0"/>
    <x v="7"/>
    <x v="18"/>
    <s v="SE4_HP"/>
    <x v="1"/>
    <s v="GNR_HS_HEAT_WTR-TANK_LS_E-95_Y-2010"/>
    <x v="0"/>
    <x v="12"/>
    <n v="1.8180649989240401"/>
    <n v="663.59372460727604"/>
    <n v="2388.93740858619"/>
  </r>
  <r>
    <x v="0"/>
    <x v="0"/>
    <x v="0"/>
    <x v="7"/>
    <x v="18"/>
    <s v="SE4_HP"/>
    <x v="1"/>
    <s v="GNR_HS_HEAT_WTR-TANK_LS_E-95_Y-2010"/>
    <x v="0"/>
    <x v="13"/>
    <n v="5.7610963519484804"/>
    <n v="2102.8001684612"/>
    <n v="7570.0806064603003"/>
  </r>
  <r>
    <x v="0"/>
    <x v="0"/>
    <x v="0"/>
    <x v="7"/>
    <x v="18"/>
    <s v="SE4_HP"/>
    <x v="1"/>
    <s v="GNR_HS_HEAT_WTR-TANK_LS_E-95_Y-2010"/>
    <x v="0"/>
    <x v="0"/>
    <n v="7.3814257127748197"/>
    <n v="2694.2203851628101"/>
    <n v="9699.1933865861101"/>
  </r>
  <r>
    <x v="0"/>
    <x v="0"/>
    <x v="0"/>
    <x v="7"/>
    <x v="18"/>
    <s v="SE4_HP"/>
    <x v="1"/>
    <s v="GNR_HS_HEAT_WTR-TANK_LS_E-95_Y-2010"/>
    <x v="0"/>
    <x v="18"/>
    <n v="3.9309626687530899"/>
    <n v="1434.80137409488"/>
    <n v="5165.2849467415599"/>
  </r>
  <r>
    <x v="0"/>
    <x v="0"/>
    <x v="0"/>
    <x v="7"/>
    <x v="18"/>
    <s v="SE4_HP"/>
    <x v="1"/>
    <s v="GNR_HS_HEAT_WTR-TANK_LS_E-95_Y-2010"/>
    <x v="0"/>
    <x v="19"/>
    <n v="10.0394661453048"/>
    <n v="3664.4051430362401"/>
    <n v="13191.8585149305"/>
  </r>
  <r>
    <x v="0"/>
    <x v="0"/>
    <x v="0"/>
    <x v="7"/>
    <x v="18"/>
    <s v="SE4_HP"/>
    <x v="1"/>
    <s v="GNR_HS_HEAT_WTR-TANK_LS_E-95_Y-2010"/>
    <x v="0"/>
    <x v="20"/>
    <n v="3.09181758931325"/>
    <n v="1128.51342009934"/>
    <n v="4062.6483123576099"/>
  </r>
  <r>
    <x v="0"/>
    <x v="0"/>
    <x v="0"/>
    <x v="7"/>
    <x v="18"/>
    <s v="SE4_HP"/>
    <x v="4"/>
    <s v="GBPR_MUNIWASTE_65"/>
    <x v="0"/>
    <x v="9"/>
    <n v="28.571428571428601"/>
    <n v="10428.5714285714"/>
    <n v="37542.857142857101"/>
  </r>
  <r>
    <x v="0"/>
    <x v="0"/>
    <x v="0"/>
    <x v="7"/>
    <x v="18"/>
    <s v="SE4_HP"/>
    <x v="4"/>
    <s v="GBPR_MUNIWASTE_65"/>
    <x v="0"/>
    <x v="10"/>
    <n v="28.571428571428601"/>
    <n v="10428.5714285714"/>
    <n v="37542.857142857101"/>
  </r>
  <r>
    <x v="0"/>
    <x v="0"/>
    <x v="0"/>
    <x v="7"/>
    <x v="18"/>
    <s v="SE4_HP"/>
    <x v="4"/>
    <s v="GBPR_MUNIWASTE_65"/>
    <x v="0"/>
    <x v="11"/>
    <n v="28.571428571428601"/>
    <n v="10428.5714285714"/>
    <n v="37542.857142857101"/>
  </r>
  <r>
    <x v="0"/>
    <x v="0"/>
    <x v="0"/>
    <x v="7"/>
    <x v="18"/>
    <s v="SE4_HP"/>
    <x v="4"/>
    <s v="GBPR_MUNIWASTE_65"/>
    <x v="0"/>
    <x v="12"/>
    <n v="28.571428571428601"/>
    <n v="10428.5714285714"/>
    <n v="37542.857142857101"/>
  </r>
  <r>
    <x v="0"/>
    <x v="0"/>
    <x v="0"/>
    <x v="7"/>
    <x v="18"/>
    <s v="SE4_HP"/>
    <x v="4"/>
    <s v="GBPR_MUNIWASTE_65"/>
    <x v="0"/>
    <x v="13"/>
    <n v="28.571428571428601"/>
    <n v="10428.5714285714"/>
    <n v="37542.857142857101"/>
  </r>
  <r>
    <x v="0"/>
    <x v="0"/>
    <x v="0"/>
    <x v="7"/>
    <x v="18"/>
    <s v="SE4_HP"/>
    <x v="4"/>
    <s v="GBPR_MUNIWASTE_65"/>
    <x v="0"/>
    <x v="0"/>
    <n v="28.571428571428601"/>
    <n v="10428.5714285714"/>
    <n v="37542.857142857101"/>
  </r>
  <r>
    <x v="0"/>
    <x v="0"/>
    <x v="0"/>
    <x v="7"/>
    <x v="18"/>
    <s v="SE4_HP"/>
    <x v="4"/>
    <s v="GBPR_MUNIWASTE_65"/>
    <x v="0"/>
    <x v="14"/>
    <n v="28.571428571428601"/>
    <n v="10428.5714285714"/>
    <n v="37542.857142857101"/>
  </r>
  <r>
    <x v="0"/>
    <x v="0"/>
    <x v="0"/>
    <x v="7"/>
    <x v="18"/>
    <s v="SE4_HP"/>
    <x v="4"/>
    <s v="GBPR_MUNIWASTE_65"/>
    <x v="0"/>
    <x v="1"/>
    <n v="28.571428571428601"/>
    <n v="10428.5714285714"/>
    <n v="37542.857142857101"/>
  </r>
  <r>
    <x v="0"/>
    <x v="0"/>
    <x v="0"/>
    <x v="7"/>
    <x v="18"/>
    <s v="SE4_HP"/>
    <x v="4"/>
    <s v="GBPR_MUNIWASTE_65"/>
    <x v="0"/>
    <x v="23"/>
    <n v="28.571428571428601"/>
    <n v="10428.5714285714"/>
    <n v="37542.857142857101"/>
  </r>
  <r>
    <x v="0"/>
    <x v="0"/>
    <x v="0"/>
    <x v="7"/>
    <x v="18"/>
    <s v="SE4_HP"/>
    <x v="4"/>
    <s v="GBPR_MUNIWASTE_65"/>
    <x v="0"/>
    <x v="2"/>
    <n v="28.571428571428601"/>
    <n v="10428.5714285714"/>
    <n v="37542.857142857101"/>
  </r>
  <r>
    <x v="0"/>
    <x v="0"/>
    <x v="0"/>
    <x v="7"/>
    <x v="18"/>
    <s v="SE4_HP"/>
    <x v="4"/>
    <s v="GBPR_MUNIWASTE_65"/>
    <x v="0"/>
    <x v="3"/>
    <n v="28.571428571428601"/>
    <n v="10428.5714285714"/>
    <n v="37542.857142857101"/>
  </r>
  <r>
    <x v="0"/>
    <x v="0"/>
    <x v="0"/>
    <x v="7"/>
    <x v="18"/>
    <s v="SE4_HP"/>
    <x v="4"/>
    <s v="GBPR_MUNIWASTE_65"/>
    <x v="0"/>
    <x v="4"/>
    <n v="28.571428571428601"/>
    <n v="10428.5714285714"/>
    <n v="37542.857142857101"/>
  </r>
  <r>
    <x v="0"/>
    <x v="0"/>
    <x v="0"/>
    <x v="7"/>
    <x v="18"/>
    <s v="SE4_HP"/>
    <x v="4"/>
    <s v="GBPR_MUNIWASTE_65"/>
    <x v="0"/>
    <x v="5"/>
    <n v="28.571428571428601"/>
    <n v="10428.5714285714"/>
    <n v="37542.857142857101"/>
  </r>
  <r>
    <x v="0"/>
    <x v="0"/>
    <x v="0"/>
    <x v="7"/>
    <x v="18"/>
    <s v="SE4_HP"/>
    <x v="4"/>
    <s v="GBPR_MUNIWASTE_65"/>
    <x v="0"/>
    <x v="15"/>
    <n v="28.571428571428601"/>
    <n v="10428.5714285714"/>
    <n v="37542.857142857101"/>
  </r>
  <r>
    <x v="0"/>
    <x v="0"/>
    <x v="0"/>
    <x v="7"/>
    <x v="18"/>
    <s v="SE4_HP"/>
    <x v="4"/>
    <s v="GBPR_MUNIWASTE_65"/>
    <x v="0"/>
    <x v="6"/>
    <n v="28.571428571428601"/>
    <n v="10428.5714285714"/>
    <n v="37542.857142857101"/>
  </r>
  <r>
    <x v="0"/>
    <x v="0"/>
    <x v="0"/>
    <x v="7"/>
    <x v="18"/>
    <s v="SE4_HP"/>
    <x v="4"/>
    <s v="GBPR_MUNIWASTE_65"/>
    <x v="0"/>
    <x v="7"/>
    <n v="28.571428571428601"/>
    <n v="10428.5714285714"/>
    <n v="37542.857142857101"/>
  </r>
  <r>
    <x v="0"/>
    <x v="0"/>
    <x v="0"/>
    <x v="7"/>
    <x v="18"/>
    <s v="SE4_HP"/>
    <x v="4"/>
    <s v="GBPR_MUNIWASTE_65"/>
    <x v="0"/>
    <x v="8"/>
    <n v="28.571428571428601"/>
    <n v="10428.5714285714"/>
    <n v="37542.857142857101"/>
  </r>
  <r>
    <x v="0"/>
    <x v="0"/>
    <x v="0"/>
    <x v="7"/>
    <x v="18"/>
    <s v="SE4_HP"/>
    <x v="4"/>
    <s v="GBPR_MUNIWASTE_65"/>
    <x v="0"/>
    <x v="16"/>
    <n v="28.571428571428601"/>
    <n v="10428.5714285714"/>
    <n v="37542.857142857101"/>
  </r>
  <r>
    <x v="0"/>
    <x v="0"/>
    <x v="0"/>
    <x v="7"/>
    <x v="18"/>
    <s v="SE4_HP"/>
    <x v="4"/>
    <s v="GBPR_MUNIWASTE_65"/>
    <x v="0"/>
    <x v="17"/>
    <n v="28.571428571428601"/>
    <n v="10428.5714285714"/>
    <n v="37542.857142857101"/>
  </r>
  <r>
    <x v="0"/>
    <x v="0"/>
    <x v="0"/>
    <x v="7"/>
    <x v="18"/>
    <s v="SE4_HP"/>
    <x v="4"/>
    <s v="GBPR_MUNIWASTE_65"/>
    <x v="0"/>
    <x v="18"/>
    <n v="28.571428571428601"/>
    <n v="10428.5714285714"/>
    <n v="37542.857142857101"/>
  </r>
  <r>
    <x v="0"/>
    <x v="0"/>
    <x v="0"/>
    <x v="7"/>
    <x v="18"/>
    <s v="SE4_HP"/>
    <x v="4"/>
    <s v="GBPR_MUNIWASTE_65"/>
    <x v="0"/>
    <x v="19"/>
    <n v="28.571428571428601"/>
    <n v="10428.5714285714"/>
    <n v="37542.857142857101"/>
  </r>
  <r>
    <x v="0"/>
    <x v="0"/>
    <x v="0"/>
    <x v="7"/>
    <x v="18"/>
    <s v="SE4_HP"/>
    <x v="4"/>
    <s v="GBPR_MUNIWASTE_65"/>
    <x v="0"/>
    <x v="20"/>
    <n v="28.571428571428601"/>
    <n v="10428.5714285714"/>
    <n v="37542.857142857101"/>
  </r>
  <r>
    <x v="0"/>
    <x v="0"/>
    <x v="0"/>
    <x v="7"/>
    <x v="18"/>
    <s v="SE4_HP"/>
    <x v="4"/>
    <s v="GBPR_MUNIWASTE_65"/>
    <x v="0"/>
    <x v="21"/>
    <n v="28.571428571428601"/>
    <n v="10428.5714285714"/>
    <n v="37542.857142857101"/>
  </r>
  <r>
    <x v="0"/>
    <x v="0"/>
    <x v="0"/>
    <x v="7"/>
    <x v="18"/>
    <s v="SE4_HP"/>
    <x v="4"/>
    <s v="GBPR_MUNIWASTE_65"/>
    <x v="0"/>
    <x v="22"/>
    <n v="28.571428571428601"/>
    <n v="10428.5714285714"/>
    <n v="37542.857142857101"/>
  </r>
  <r>
    <x v="0"/>
    <x v="0"/>
    <x v="0"/>
    <x v="7"/>
    <x v="18"/>
    <s v="SE4_HP"/>
    <x v="5"/>
    <s v="GBPR_NATGAS_100"/>
    <x v="0"/>
    <x v="0"/>
    <n v="9.2979685422873395"/>
    <n v="3393.7585179348798"/>
    <n v="12217.5306645656"/>
  </r>
  <r>
    <x v="0"/>
    <x v="0"/>
    <x v="0"/>
    <x v="7"/>
    <x v="18"/>
    <s v="SE4_HP"/>
    <x v="5"/>
    <s v="GBPR_NATGAS_100"/>
    <x v="0"/>
    <x v="14"/>
    <n v="39.706919775537401"/>
    <n v="14493.0257180711"/>
    <n v="52174.892585056099"/>
  </r>
  <r>
    <x v="0"/>
    <x v="0"/>
    <x v="0"/>
    <x v="7"/>
    <x v="18"/>
    <s v="SE4_HP"/>
    <x v="5"/>
    <s v="GBPR_NATGAS_100"/>
    <x v="0"/>
    <x v="1"/>
    <n v="54"/>
    <n v="19710"/>
    <n v="70956"/>
  </r>
  <r>
    <x v="0"/>
    <x v="0"/>
    <x v="0"/>
    <x v="7"/>
    <x v="18"/>
    <s v="SE4_HP"/>
    <x v="5"/>
    <s v="GBPR_NATGAS_100"/>
    <x v="0"/>
    <x v="23"/>
    <n v="54"/>
    <n v="19710"/>
    <n v="70956"/>
  </r>
  <r>
    <x v="0"/>
    <x v="0"/>
    <x v="0"/>
    <x v="7"/>
    <x v="18"/>
    <s v="SE4_HP"/>
    <x v="5"/>
    <s v="GBPR_NATGAS_100"/>
    <x v="0"/>
    <x v="2"/>
    <n v="49.117643612292802"/>
    <n v="17927.9399184869"/>
    <n v="64540.583706552701"/>
  </r>
  <r>
    <x v="0"/>
    <x v="0"/>
    <x v="0"/>
    <x v="7"/>
    <x v="18"/>
    <s v="SE4_HP"/>
    <x v="5"/>
    <s v="GBPR_NATGAS_100"/>
    <x v="0"/>
    <x v="3"/>
    <n v="39.840891185001396"/>
    <n v="14541.925282525501"/>
    <n v="52350.931017091898"/>
  </r>
  <r>
    <x v="0"/>
    <x v="0"/>
    <x v="0"/>
    <x v="7"/>
    <x v="18"/>
    <s v="SE4_HP"/>
    <x v="5"/>
    <s v="GBPR_NATGAS_100"/>
    <x v="0"/>
    <x v="4"/>
    <n v="34.886961588741997"/>
    <n v="12733.740979890799"/>
    <n v="45841.467527606997"/>
  </r>
  <r>
    <x v="0"/>
    <x v="0"/>
    <x v="0"/>
    <x v="7"/>
    <x v="18"/>
    <s v="SE4_HP"/>
    <x v="5"/>
    <s v="GBPR_NATGAS_100"/>
    <x v="0"/>
    <x v="5"/>
    <n v="29.788076719143199"/>
    <n v="10872.6480024873"/>
    <n v="39141.532808954202"/>
  </r>
  <r>
    <x v="0"/>
    <x v="0"/>
    <x v="0"/>
    <x v="7"/>
    <x v="18"/>
    <s v="SE4_HP"/>
    <x v="5"/>
    <s v="GBPR_NATGAS_100"/>
    <x v="0"/>
    <x v="15"/>
    <n v="29.2524647736209"/>
    <n v="10677.1496423716"/>
    <n v="38437.738712537903"/>
  </r>
  <r>
    <x v="0"/>
    <x v="0"/>
    <x v="0"/>
    <x v="7"/>
    <x v="18"/>
    <s v="SE4_HP"/>
    <x v="5"/>
    <s v="GBPR_NATGAS_100"/>
    <x v="0"/>
    <x v="6"/>
    <n v="27.852364094235799"/>
    <n v="10166.112894396099"/>
    <n v="36598.006419825797"/>
  </r>
  <r>
    <x v="0"/>
    <x v="0"/>
    <x v="0"/>
    <x v="7"/>
    <x v="18"/>
    <s v="SE4_HP"/>
    <x v="5"/>
    <s v="GBPR_NATGAS_100"/>
    <x v="0"/>
    <x v="7"/>
    <n v="27.848793424094001"/>
    <n v="10164.8095997943"/>
    <n v="36593.314559259503"/>
  </r>
  <r>
    <x v="0"/>
    <x v="0"/>
    <x v="0"/>
    <x v="7"/>
    <x v="18"/>
    <s v="SE4_HP"/>
    <x v="5"/>
    <s v="GBPR_NATGAS_100"/>
    <x v="0"/>
    <x v="8"/>
    <n v="27.187442719118401"/>
    <n v="9923.4165924782301"/>
    <n v="35724.299732921601"/>
  </r>
  <r>
    <x v="0"/>
    <x v="0"/>
    <x v="0"/>
    <x v="7"/>
    <x v="18"/>
    <s v="SE4_HP"/>
    <x v="5"/>
    <s v="GBPR_NATGAS_100"/>
    <x v="0"/>
    <x v="16"/>
    <n v="22.021423006719999"/>
    <n v="8037.8193974528203"/>
    <n v="28936.149830830102"/>
  </r>
  <r>
    <x v="0"/>
    <x v="0"/>
    <x v="0"/>
    <x v="7"/>
    <x v="18"/>
    <s v="SE4_HP"/>
    <x v="5"/>
    <s v="GBPR_NATGAS_100"/>
    <x v="0"/>
    <x v="17"/>
    <n v="18.3006381587482"/>
    <n v="6679.7329279430896"/>
    <n v="24047.038540595098"/>
  </r>
  <r>
    <x v="0"/>
    <x v="0"/>
    <x v="0"/>
    <x v="7"/>
    <x v="18"/>
    <s v="SE4_HP"/>
    <x v="5"/>
    <s v="GHOB_NATGAS"/>
    <x v="0"/>
    <x v="18"/>
    <n v="10.7018542367799"/>
    <n v="3906.1767964246701"/>
    <n v="14062.2364671288"/>
  </r>
  <r>
    <x v="0"/>
    <x v="0"/>
    <x v="0"/>
    <x v="7"/>
    <x v="18"/>
    <s v="SE4_HP"/>
    <x v="2"/>
    <s v="GHOB_WASTEHEAT"/>
    <x v="0"/>
    <x v="9"/>
    <n v="34.569597069596902"/>
    <n v="12617.902930402901"/>
    <n v="45424.450549450397"/>
  </r>
  <r>
    <x v="0"/>
    <x v="0"/>
    <x v="0"/>
    <x v="7"/>
    <x v="18"/>
    <s v="SE4_HP"/>
    <x v="2"/>
    <s v="GHOB_WASTEHEAT"/>
    <x v="0"/>
    <x v="10"/>
    <n v="34.569597069596902"/>
    <n v="12617.902930402901"/>
    <n v="45424.450549450397"/>
  </r>
  <r>
    <x v="0"/>
    <x v="0"/>
    <x v="0"/>
    <x v="7"/>
    <x v="18"/>
    <s v="SE4_HP"/>
    <x v="2"/>
    <s v="GHOB_WASTEHEAT"/>
    <x v="0"/>
    <x v="11"/>
    <n v="34.569597069596902"/>
    <n v="12617.902930402901"/>
    <n v="45424.450549450397"/>
  </r>
  <r>
    <x v="0"/>
    <x v="0"/>
    <x v="0"/>
    <x v="7"/>
    <x v="18"/>
    <s v="SE4_HP"/>
    <x v="2"/>
    <s v="GHOB_WASTEHEAT"/>
    <x v="0"/>
    <x v="12"/>
    <n v="34.569597069596902"/>
    <n v="12617.902930402901"/>
    <n v="45424.450549450397"/>
  </r>
  <r>
    <x v="0"/>
    <x v="0"/>
    <x v="0"/>
    <x v="7"/>
    <x v="18"/>
    <s v="SE4_HP"/>
    <x v="2"/>
    <s v="GHOB_WASTEHEAT"/>
    <x v="0"/>
    <x v="13"/>
    <n v="34.569597069596902"/>
    <n v="12617.902930402901"/>
    <n v="45424.450549450397"/>
  </r>
  <r>
    <x v="0"/>
    <x v="0"/>
    <x v="0"/>
    <x v="7"/>
    <x v="18"/>
    <s v="SE4_HP"/>
    <x v="2"/>
    <s v="GHOB_WASTEHEAT"/>
    <x v="0"/>
    <x v="0"/>
    <n v="34.569597069596902"/>
    <n v="12617.902930402901"/>
    <n v="45424.450549450397"/>
  </r>
  <r>
    <x v="0"/>
    <x v="0"/>
    <x v="0"/>
    <x v="7"/>
    <x v="18"/>
    <s v="SE4_HP"/>
    <x v="2"/>
    <s v="GHOB_WASTEHEAT"/>
    <x v="0"/>
    <x v="14"/>
    <n v="34.569597069596902"/>
    <n v="12617.902930402901"/>
    <n v="45424.450549450397"/>
  </r>
  <r>
    <x v="0"/>
    <x v="0"/>
    <x v="0"/>
    <x v="7"/>
    <x v="18"/>
    <s v="SE4_HP"/>
    <x v="2"/>
    <s v="GHOB_WASTEHEAT"/>
    <x v="0"/>
    <x v="1"/>
    <n v="34.569597069596902"/>
    <n v="12617.902930402901"/>
    <n v="45424.450549450397"/>
  </r>
  <r>
    <x v="0"/>
    <x v="0"/>
    <x v="0"/>
    <x v="7"/>
    <x v="18"/>
    <s v="SE4_HP"/>
    <x v="2"/>
    <s v="GHOB_WASTEHEAT"/>
    <x v="0"/>
    <x v="23"/>
    <n v="34.569597069596902"/>
    <n v="12617.902930402901"/>
    <n v="45424.450549450397"/>
  </r>
  <r>
    <x v="0"/>
    <x v="0"/>
    <x v="0"/>
    <x v="7"/>
    <x v="18"/>
    <s v="SE4_HP"/>
    <x v="2"/>
    <s v="GHOB_WASTEHEAT"/>
    <x v="0"/>
    <x v="2"/>
    <n v="34.569597069596902"/>
    <n v="12617.902930402901"/>
    <n v="45424.450549450397"/>
  </r>
  <r>
    <x v="0"/>
    <x v="0"/>
    <x v="0"/>
    <x v="7"/>
    <x v="18"/>
    <s v="SE4_HP"/>
    <x v="2"/>
    <s v="GHOB_WASTEHEAT"/>
    <x v="0"/>
    <x v="3"/>
    <n v="34.569597069596902"/>
    <n v="12617.902930402901"/>
    <n v="45424.450549450397"/>
  </r>
  <r>
    <x v="0"/>
    <x v="0"/>
    <x v="0"/>
    <x v="7"/>
    <x v="18"/>
    <s v="SE4_HP"/>
    <x v="2"/>
    <s v="GHOB_WASTEHEAT"/>
    <x v="0"/>
    <x v="4"/>
    <n v="34.569597069596902"/>
    <n v="12617.902930402901"/>
    <n v="45424.450549450397"/>
  </r>
  <r>
    <x v="0"/>
    <x v="0"/>
    <x v="0"/>
    <x v="7"/>
    <x v="18"/>
    <s v="SE4_HP"/>
    <x v="2"/>
    <s v="GHOB_WASTEHEAT"/>
    <x v="0"/>
    <x v="5"/>
    <n v="34.569597069596902"/>
    <n v="12617.902930402901"/>
    <n v="45424.450549450397"/>
  </r>
  <r>
    <x v="0"/>
    <x v="0"/>
    <x v="0"/>
    <x v="7"/>
    <x v="18"/>
    <s v="SE4_HP"/>
    <x v="2"/>
    <s v="GHOB_WASTEHEAT"/>
    <x v="0"/>
    <x v="15"/>
    <n v="34.569597069596902"/>
    <n v="12617.902930402901"/>
    <n v="45424.450549450397"/>
  </r>
  <r>
    <x v="0"/>
    <x v="0"/>
    <x v="0"/>
    <x v="7"/>
    <x v="18"/>
    <s v="SE4_HP"/>
    <x v="2"/>
    <s v="GHOB_WASTEHEAT"/>
    <x v="0"/>
    <x v="6"/>
    <n v="34.569597069596902"/>
    <n v="12617.902930402901"/>
    <n v="45424.450549450397"/>
  </r>
  <r>
    <x v="0"/>
    <x v="0"/>
    <x v="0"/>
    <x v="7"/>
    <x v="18"/>
    <s v="SE4_HP"/>
    <x v="2"/>
    <s v="GHOB_WASTEHEAT"/>
    <x v="0"/>
    <x v="7"/>
    <n v="34.569597069596902"/>
    <n v="12617.902930402901"/>
    <n v="45424.450549450397"/>
  </r>
  <r>
    <x v="0"/>
    <x v="0"/>
    <x v="0"/>
    <x v="7"/>
    <x v="18"/>
    <s v="SE4_HP"/>
    <x v="2"/>
    <s v="GHOB_WASTEHEAT"/>
    <x v="0"/>
    <x v="8"/>
    <n v="34.569597069596902"/>
    <n v="12617.902930402901"/>
    <n v="45424.450549450397"/>
  </r>
  <r>
    <x v="0"/>
    <x v="0"/>
    <x v="0"/>
    <x v="7"/>
    <x v="18"/>
    <s v="SE4_HP"/>
    <x v="2"/>
    <s v="GHOB_WASTEHEAT"/>
    <x v="0"/>
    <x v="16"/>
    <n v="34.569597069596902"/>
    <n v="12617.902930402901"/>
    <n v="45424.450549450397"/>
  </r>
  <r>
    <x v="0"/>
    <x v="0"/>
    <x v="0"/>
    <x v="7"/>
    <x v="18"/>
    <s v="SE4_HP"/>
    <x v="2"/>
    <s v="GHOB_WASTEHEAT"/>
    <x v="0"/>
    <x v="17"/>
    <n v="34.569597069596902"/>
    <n v="12617.902930402901"/>
    <n v="45424.450549450397"/>
  </r>
  <r>
    <x v="0"/>
    <x v="0"/>
    <x v="0"/>
    <x v="7"/>
    <x v="18"/>
    <s v="SE4_HP"/>
    <x v="2"/>
    <s v="GHOB_WASTEHEAT"/>
    <x v="0"/>
    <x v="18"/>
    <n v="34.569597069596902"/>
    <n v="12617.902930402901"/>
    <n v="45424.450549450397"/>
  </r>
  <r>
    <x v="0"/>
    <x v="0"/>
    <x v="0"/>
    <x v="7"/>
    <x v="18"/>
    <s v="SE4_HP"/>
    <x v="2"/>
    <s v="GHOB_WASTEHEAT"/>
    <x v="0"/>
    <x v="19"/>
    <n v="34.569597069596902"/>
    <n v="12617.902930402901"/>
    <n v="45424.450549450397"/>
  </r>
  <r>
    <x v="0"/>
    <x v="0"/>
    <x v="0"/>
    <x v="7"/>
    <x v="18"/>
    <s v="SE4_HP"/>
    <x v="2"/>
    <s v="GHOB_WASTEHEAT"/>
    <x v="0"/>
    <x v="20"/>
    <n v="34.569597069596902"/>
    <n v="12617.902930402901"/>
    <n v="45424.450549450397"/>
  </r>
  <r>
    <x v="0"/>
    <x v="0"/>
    <x v="0"/>
    <x v="7"/>
    <x v="18"/>
    <s v="SE4_HP"/>
    <x v="2"/>
    <s v="GHOB_WASTEHEAT"/>
    <x v="0"/>
    <x v="21"/>
    <n v="34.569597069596902"/>
    <n v="12617.902930402901"/>
    <n v="45424.450549450397"/>
  </r>
  <r>
    <x v="0"/>
    <x v="0"/>
    <x v="0"/>
    <x v="7"/>
    <x v="18"/>
    <s v="SE4_HP"/>
    <x v="2"/>
    <s v="GHOB_WASTEHEAT"/>
    <x v="0"/>
    <x v="22"/>
    <n v="34.569597069596902"/>
    <n v="12617.902930402901"/>
    <n v="45424.450549450397"/>
  </r>
  <r>
    <x v="0"/>
    <x v="0"/>
    <x v="0"/>
    <x v="7"/>
    <x v="18"/>
    <s v="SE4_HP"/>
    <x v="8"/>
    <s v="GHOB_WOODWASTE"/>
    <x v="0"/>
    <x v="9"/>
    <n v="16.066838879159398"/>
    <n v="5864.3961908931697"/>
    <n v="21111.826287215401"/>
  </r>
  <r>
    <x v="0"/>
    <x v="0"/>
    <x v="0"/>
    <x v="7"/>
    <x v="18"/>
    <s v="SE4_HP"/>
    <x v="8"/>
    <s v="GHOB_WOODWASTE"/>
    <x v="0"/>
    <x v="10"/>
    <n v="16.066838879159398"/>
    <n v="5864.3961908931697"/>
    <n v="21111.826287215401"/>
  </r>
  <r>
    <x v="0"/>
    <x v="0"/>
    <x v="0"/>
    <x v="7"/>
    <x v="18"/>
    <s v="SE4_HP"/>
    <x v="8"/>
    <s v="GHOB_WOODWASTE"/>
    <x v="0"/>
    <x v="11"/>
    <n v="16.066838879159398"/>
    <n v="5864.3961908931697"/>
    <n v="21111.826287215401"/>
  </r>
  <r>
    <x v="0"/>
    <x v="0"/>
    <x v="0"/>
    <x v="7"/>
    <x v="18"/>
    <s v="SE4_HP"/>
    <x v="8"/>
    <s v="GHOB_WOODWASTE"/>
    <x v="0"/>
    <x v="12"/>
    <n v="16.066838879159398"/>
    <n v="5864.3961908931697"/>
    <n v="21111.826287215401"/>
  </r>
  <r>
    <x v="0"/>
    <x v="0"/>
    <x v="0"/>
    <x v="7"/>
    <x v="18"/>
    <s v="SE4_HP"/>
    <x v="8"/>
    <s v="GHOB_WOODWASTE"/>
    <x v="0"/>
    <x v="13"/>
    <n v="16.066838879159398"/>
    <n v="5864.3961908931697"/>
    <n v="21111.826287215401"/>
  </r>
  <r>
    <x v="0"/>
    <x v="0"/>
    <x v="0"/>
    <x v="7"/>
    <x v="18"/>
    <s v="SE4_HP"/>
    <x v="8"/>
    <s v="GHOB_WOODWASTE"/>
    <x v="0"/>
    <x v="0"/>
    <n v="16.066838879159398"/>
    <n v="5864.3961908931697"/>
    <n v="21111.826287215401"/>
  </r>
  <r>
    <x v="0"/>
    <x v="0"/>
    <x v="0"/>
    <x v="7"/>
    <x v="18"/>
    <s v="SE4_HP"/>
    <x v="8"/>
    <s v="GHOB_WOODWASTE"/>
    <x v="0"/>
    <x v="14"/>
    <n v="16.066838879159398"/>
    <n v="5864.3961908931697"/>
    <n v="21111.826287215401"/>
  </r>
  <r>
    <x v="0"/>
    <x v="0"/>
    <x v="0"/>
    <x v="7"/>
    <x v="18"/>
    <s v="SE4_HP"/>
    <x v="8"/>
    <s v="GHOB_WOODWASTE"/>
    <x v="0"/>
    <x v="1"/>
    <n v="16.066838879159398"/>
    <n v="5864.3961908931697"/>
    <n v="21111.826287215401"/>
  </r>
  <r>
    <x v="0"/>
    <x v="0"/>
    <x v="0"/>
    <x v="7"/>
    <x v="18"/>
    <s v="SE4_HP"/>
    <x v="8"/>
    <s v="GHOB_WOODWASTE"/>
    <x v="0"/>
    <x v="23"/>
    <n v="16.066838879159398"/>
    <n v="5864.3961908931697"/>
    <n v="21111.826287215401"/>
  </r>
  <r>
    <x v="0"/>
    <x v="0"/>
    <x v="0"/>
    <x v="7"/>
    <x v="18"/>
    <s v="SE4_HP"/>
    <x v="8"/>
    <s v="GHOB_WOODWASTE"/>
    <x v="0"/>
    <x v="2"/>
    <n v="16.066838879159398"/>
    <n v="5864.3961908931697"/>
    <n v="21111.826287215401"/>
  </r>
  <r>
    <x v="0"/>
    <x v="0"/>
    <x v="0"/>
    <x v="7"/>
    <x v="18"/>
    <s v="SE4_HP"/>
    <x v="8"/>
    <s v="GHOB_WOODWASTE"/>
    <x v="0"/>
    <x v="3"/>
    <n v="16.066838879159398"/>
    <n v="5864.3961908931697"/>
    <n v="21111.826287215401"/>
  </r>
  <r>
    <x v="0"/>
    <x v="0"/>
    <x v="0"/>
    <x v="7"/>
    <x v="18"/>
    <s v="SE4_HP"/>
    <x v="8"/>
    <s v="GHOB_WOODWASTE"/>
    <x v="0"/>
    <x v="4"/>
    <n v="16.066838879159398"/>
    <n v="5864.3961908931697"/>
    <n v="21111.826287215401"/>
  </r>
  <r>
    <x v="0"/>
    <x v="0"/>
    <x v="0"/>
    <x v="7"/>
    <x v="18"/>
    <s v="SE4_HP"/>
    <x v="8"/>
    <s v="GHOB_WOODWASTE"/>
    <x v="0"/>
    <x v="5"/>
    <n v="16.066838879159398"/>
    <n v="5864.3961908931697"/>
    <n v="21111.826287215401"/>
  </r>
  <r>
    <x v="0"/>
    <x v="0"/>
    <x v="0"/>
    <x v="7"/>
    <x v="18"/>
    <s v="SE4_HP"/>
    <x v="8"/>
    <s v="GHOB_WOODWASTE"/>
    <x v="0"/>
    <x v="15"/>
    <n v="16.066838879159398"/>
    <n v="5864.3961908931697"/>
    <n v="21111.826287215401"/>
  </r>
  <r>
    <x v="0"/>
    <x v="0"/>
    <x v="0"/>
    <x v="7"/>
    <x v="18"/>
    <s v="SE4_HP"/>
    <x v="8"/>
    <s v="GHOB_WOODWASTE"/>
    <x v="0"/>
    <x v="6"/>
    <n v="16.066838879159398"/>
    <n v="5864.3961908931697"/>
    <n v="21111.826287215401"/>
  </r>
  <r>
    <x v="0"/>
    <x v="0"/>
    <x v="0"/>
    <x v="7"/>
    <x v="18"/>
    <s v="SE4_HP"/>
    <x v="8"/>
    <s v="GHOB_WOODWASTE"/>
    <x v="0"/>
    <x v="7"/>
    <n v="16.066838879159398"/>
    <n v="5864.3961908931697"/>
    <n v="21111.826287215401"/>
  </r>
  <r>
    <x v="0"/>
    <x v="0"/>
    <x v="0"/>
    <x v="7"/>
    <x v="18"/>
    <s v="SE4_HP"/>
    <x v="8"/>
    <s v="GHOB_WOODWASTE"/>
    <x v="0"/>
    <x v="8"/>
    <n v="16.066838879159398"/>
    <n v="5864.3961908931697"/>
    <n v="21111.826287215401"/>
  </r>
  <r>
    <x v="0"/>
    <x v="0"/>
    <x v="0"/>
    <x v="7"/>
    <x v="18"/>
    <s v="SE4_HP"/>
    <x v="8"/>
    <s v="GHOB_WOODWASTE"/>
    <x v="0"/>
    <x v="16"/>
    <n v="16.066838879159398"/>
    <n v="5864.3961908931697"/>
    <n v="21111.826287215401"/>
  </r>
  <r>
    <x v="0"/>
    <x v="0"/>
    <x v="0"/>
    <x v="7"/>
    <x v="18"/>
    <s v="SE4_HP"/>
    <x v="8"/>
    <s v="GHOB_WOODWASTE"/>
    <x v="0"/>
    <x v="17"/>
    <n v="16.066838879159398"/>
    <n v="5864.3961908931697"/>
    <n v="21111.826287215401"/>
  </r>
  <r>
    <x v="0"/>
    <x v="0"/>
    <x v="0"/>
    <x v="7"/>
    <x v="18"/>
    <s v="SE4_HP"/>
    <x v="8"/>
    <s v="GHOB_WOODWASTE"/>
    <x v="0"/>
    <x v="18"/>
    <n v="16.066838879159398"/>
    <n v="5864.3961908931697"/>
    <n v="21111.826287215401"/>
  </r>
  <r>
    <x v="0"/>
    <x v="0"/>
    <x v="0"/>
    <x v="7"/>
    <x v="18"/>
    <s v="SE4_HP"/>
    <x v="8"/>
    <s v="GHOB_WOODWASTE"/>
    <x v="0"/>
    <x v="19"/>
    <n v="16.066838879159398"/>
    <n v="5864.3961908931697"/>
    <n v="21111.826287215401"/>
  </r>
  <r>
    <x v="0"/>
    <x v="0"/>
    <x v="0"/>
    <x v="7"/>
    <x v="18"/>
    <s v="SE4_HP"/>
    <x v="8"/>
    <s v="GHOB_WOODWASTE"/>
    <x v="0"/>
    <x v="20"/>
    <n v="16.066838879159398"/>
    <n v="5864.3961908931697"/>
    <n v="21111.826287215401"/>
  </r>
  <r>
    <x v="0"/>
    <x v="0"/>
    <x v="0"/>
    <x v="7"/>
    <x v="18"/>
    <s v="SE4_HP"/>
    <x v="8"/>
    <s v="GHOB_WOODWASTE"/>
    <x v="0"/>
    <x v="21"/>
    <n v="16.066838879159398"/>
    <n v="5864.3961908931697"/>
    <n v="21111.826287215401"/>
  </r>
  <r>
    <x v="0"/>
    <x v="0"/>
    <x v="0"/>
    <x v="7"/>
    <x v="18"/>
    <s v="SE4_HP"/>
    <x v="8"/>
    <s v="GHOB_WOODWASTE"/>
    <x v="0"/>
    <x v="22"/>
    <n v="16.066838879159398"/>
    <n v="5864.3961908931697"/>
    <n v="21111.826287215401"/>
  </r>
  <r>
    <x v="0"/>
    <x v="0"/>
    <x v="0"/>
    <x v="7"/>
    <x v="18"/>
    <s v="SE4_MAL"/>
    <x v="3"/>
    <s v="GETOH_HEATPUMP33"/>
    <x v="0"/>
    <x v="9"/>
    <n v="1.1000000000000001"/>
    <n v="401.5"/>
    <n v="1445.4"/>
  </r>
  <r>
    <x v="0"/>
    <x v="0"/>
    <x v="0"/>
    <x v="7"/>
    <x v="18"/>
    <s v="SE4_MAL"/>
    <x v="3"/>
    <s v="GETOH_HEATPUMP33"/>
    <x v="0"/>
    <x v="10"/>
    <n v="1.1000000000000001"/>
    <n v="401.5"/>
    <n v="1445.4"/>
  </r>
  <r>
    <x v="0"/>
    <x v="0"/>
    <x v="0"/>
    <x v="7"/>
    <x v="18"/>
    <s v="SE4_MAL"/>
    <x v="3"/>
    <s v="GETOH_HEATPUMP33"/>
    <x v="0"/>
    <x v="11"/>
    <n v="1.1000000000000001"/>
    <n v="401.5"/>
    <n v="1445.4"/>
  </r>
  <r>
    <x v="0"/>
    <x v="0"/>
    <x v="0"/>
    <x v="7"/>
    <x v="18"/>
    <s v="SE4_MAL"/>
    <x v="3"/>
    <s v="GETOH_HEATPUMP33"/>
    <x v="0"/>
    <x v="12"/>
    <n v="1.1000000000000001"/>
    <n v="401.5"/>
    <n v="1445.4"/>
  </r>
  <r>
    <x v="0"/>
    <x v="0"/>
    <x v="0"/>
    <x v="7"/>
    <x v="18"/>
    <s v="SE4_MAL"/>
    <x v="3"/>
    <s v="GETOH_HEATPUMP33"/>
    <x v="0"/>
    <x v="13"/>
    <n v="1.1000000000000001"/>
    <n v="401.5"/>
    <n v="1445.4"/>
  </r>
  <r>
    <x v="0"/>
    <x v="0"/>
    <x v="0"/>
    <x v="7"/>
    <x v="18"/>
    <s v="SE4_MAL"/>
    <x v="3"/>
    <s v="GETOH_HEATPUMP33"/>
    <x v="0"/>
    <x v="0"/>
    <n v="1.1000000000000001"/>
    <n v="401.5"/>
    <n v="1445.4"/>
  </r>
  <r>
    <x v="0"/>
    <x v="0"/>
    <x v="0"/>
    <x v="7"/>
    <x v="18"/>
    <s v="SE4_MAL"/>
    <x v="3"/>
    <s v="GETOH_HEATPUMP33"/>
    <x v="0"/>
    <x v="14"/>
    <n v="1.1000000000000001"/>
    <n v="401.5"/>
    <n v="1445.4"/>
  </r>
  <r>
    <x v="0"/>
    <x v="0"/>
    <x v="0"/>
    <x v="7"/>
    <x v="18"/>
    <s v="SE4_MAL"/>
    <x v="3"/>
    <s v="GETOH_HEATPUMP33"/>
    <x v="0"/>
    <x v="1"/>
    <n v="1.1000000000000001"/>
    <n v="401.5"/>
    <n v="1445.4"/>
  </r>
  <r>
    <x v="0"/>
    <x v="0"/>
    <x v="0"/>
    <x v="7"/>
    <x v="18"/>
    <s v="SE4_MAL"/>
    <x v="3"/>
    <s v="GETOH_HEATPUMP33"/>
    <x v="0"/>
    <x v="23"/>
    <n v="1.1000000000000001"/>
    <n v="401.5"/>
    <n v="1445.4"/>
  </r>
  <r>
    <x v="0"/>
    <x v="0"/>
    <x v="0"/>
    <x v="7"/>
    <x v="18"/>
    <s v="SE4_MAL"/>
    <x v="3"/>
    <s v="GETOH_HEATPUMP33"/>
    <x v="0"/>
    <x v="2"/>
    <n v="1.1000000000000001"/>
    <n v="401.5"/>
    <n v="1445.4"/>
  </r>
  <r>
    <x v="0"/>
    <x v="0"/>
    <x v="0"/>
    <x v="7"/>
    <x v="18"/>
    <s v="SE4_MAL"/>
    <x v="3"/>
    <s v="GETOH_HEATPUMP33"/>
    <x v="0"/>
    <x v="3"/>
    <n v="1.1000000000000001"/>
    <n v="401.5"/>
    <n v="1445.4"/>
  </r>
  <r>
    <x v="0"/>
    <x v="0"/>
    <x v="0"/>
    <x v="7"/>
    <x v="18"/>
    <s v="SE4_MAL"/>
    <x v="3"/>
    <s v="GETOH_HEATPUMP33"/>
    <x v="0"/>
    <x v="4"/>
    <n v="1.1000000000000001"/>
    <n v="401.5"/>
    <n v="1445.4"/>
  </r>
  <r>
    <x v="0"/>
    <x v="0"/>
    <x v="0"/>
    <x v="7"/>
    <x v="18"/>
    <s v="SE4_MAL"/>
    <x v="3"/>
    <s v="GETOH_HEATPUMP33"/>
    <x v="0"/>
    <x v="5"/>
    <n v="1.1000000000000001"/>
    <n v="401.5"/>
    <n v="1445.4"/>
  </r>
  <r>
    <x v="0"/>
    <x v="0"/>
    <x v="0"/>
    <x v="7"/>
    <x v="18"/>
    <s v="SE4_MAL"/>
    <x v="3"/>
    <s v="GETOH_HEATPUMP33"/>
    <x v="0"/>
    <x v="15"/>
    <n v="1.1000000000000001"/>
    <n v="401.5"/>
    <n v="1445.4"/>
  </r>
  <r>
    <x v="0"/>
    <x v="0"/>
    <x v="0"/>
    <x v="7"/>
    <x v="18"/>
    <s v="SE4_MAL"/>
    <x v="3"/>
    <s v="GETOH_HEATPUMP33"/>
    <x v="0"/>
    <x v="6"/>
    <n v="1.1000000000000001"/>
    <n v="401.5"/>
    <n v="1445.4"/>
  </r>
  <r>
    <x v="0"/>
    <x v="0"/>
    <x v="0"/>
    <x v="7"/>
    <x v="18"/>
    <s v="SE4_MAL"/>
    <x v="3"/>
    <s v="GETOH_HEATPUMP33"/>
    <x v="0"/>
    <x v="7"/>
    <n v="1.1000000000000001"/>
    <n v="401.5"/>
    <n v="1445.4"/>
  </r>
  <r>
    <x v="0"/>
    <x v="0"/>
    <x v="0"/>
    <x v="7"/>
    <x v="18"/>
    <s v="SE4_MAL"/>
    <x v="3"/>
    <s v="GETOH_HEATPUMP33"/>
    <x v="0"/>
    <x v="8"/>
    <n v="1.1000000000000001"/>
    <n v="401.5"/>
    <n v="1445.4"/>
  </r>
  <r>
    <x v="0"/>
    <x v="0"/>
    <x v="0"/>
    <x v="7"/>
    <x v="18"/>
    <s v="SE4_MAL"/>
    <x v="3"/>
    <s v="GETOH_HEATPUMP33"/>
    <x v="0"/>
    <x v="16"/>
    <n v="1.1000000000000001"/>
    <n v="401.5"/>
    <n v="1445.4"/>
  </r>
  <r>
    <x v="0"/>
    <x v="0"/>
    <x v="0"/>
    <x v="7"/>
    <x v="18"/>
    <s v="SE4_MAL"/>
    <x v="3"/>
    <s v="GETOH_HEATPUMP33"/>
    <x v="0"/>
    <x v="17"/>
    <n v="1.1000000000000001"/>
    <n v="401.5"/>
    <n v="1445.4"/>
  </r>
  <r>
    <x v="0"/>
    <x v="0"/>
    <x v="0"/>
    <x v="7"/>
    <x v="18"/>
    <s v="SE4_MAL"/>
    <x v="3"/>
    <s v="GETOH_HEATPUMP33"/>
    <x v="0"/>
    <x v="18"/>
    <n v="1.1000000000000001"/>
    <n v="401.5"/>
    <n v="1445.4"/>
  </r>
  <r>
    <x v="0"/>
    <x v="0"/>
    <x v="0"/>
    <x v="7"/>
    <x v="18"/>
    <s v="SE4_MAL"/>
    <x v="3"/>
    <s v="GETOH_HEATPUMP33"/>
    <x v="0"/>
    <x v="19"/>
    <n v="1.1000000000000001"/>
    <n v="401.5"/>
    <n v="1445.4"/>
  </r>
  <r>
    <x v="0"/>
    <x v="0"/>
    <x v="0"/>
    <x v="7"/>
    <x v="18"/>
    <s v="SE4_MAL"/>
    <x v="3"/>
    <s v="GETOH_HEATPUMP33"/>
    <x v="0"/>
    <x v="20"/>
    <n v="1.1000000000000001"/>
    <n v="401.5"/>
    <n v="1445.4"/>
  </r>
  <r>
    <x v="0"/>
    <x v="0"/>
    <x v="0"/>
    <x v="7"/>
    <x v="18"/>
    <s v="SE4_MAL"/>
    <x v="3"/>
    <s v="GETOH_HEATPUMP33"/>
    <x v="0"/>
    <x v="21"/>
    <n v="1.1000000000000001"/>
    <n v="401.5"/>
    <n v="1445.4"/>
  </r>
  <r>
    <x v="0"/>
    <x v="0"/>
    <x v="0"/>
    <x v="7"/>
    <x v="18"/>
    <s v="SE4_MAL"/>
    <x v="3"/>
    <s v="GETOH_HEATPUMP33"/>
    <x v="0"/>
    <x v="22"/>
    <n v="1.1000000000000001"/>
    <n v="401.5"/>
    <n v="1445.4"/>
  </r>
  <r>
    <x v="0"/>
    <x v="0"/>
    <x v="0"/>
    <x v="7"/>
    <x v="18"/>
    <s v="SE4_MAL"/>
    <x v="1"/>
    <s v="GNR_HS_HEAT_WTR-TANK_LS_E-95_Y-2010"/>
    <x v="0"/>
    <x v="17"/>
    <n v="12.6302147956039"/>
    <n v="4610.0284003954102"/>
    <n v="16596.102241423501"/>
  </r>
  <r>
    <x v="0"/>
    <x v="0"/>
    <x v="0"/>
    <x v="7"/>
    <x v="18"/>
    <s v="SE4_MAL"/>
    <x v="1"/>
    <s v="GNR_HS_HEAT_WTR-TANK_LS_E-95_Y-2010"/>
    <x v="0"/>
    <x v="18"/>
    <n v="6.7520710946940898"/>
    <n v="2464.50594956334"/>
    <n v="8872.2214184280292"/>
  </r>
  <r>
    <x v="0"/>
    <x v="0"/>
    <x v="0"/>
    <x v="7"/>
    <x v="18"/>
    <s v="SE4_MAL"/>
    <x v="4"/>
    <s v="GBPR_MUNIWASTE_24"/>
    <x v="0"/>
    <x v="9"/>
    <n v="105.54643063947999"/>
    <n v="38524.447183410302"/>
    <n v="138688.009860277"/>
  </r>
  <r>
    <x v="0"/>
    <x v="0"/>
    <x v="0"/>
    <x v="7"/>
    <x v="18"/>
    <s v="SE4_MAL"/>
    <x v="4"/>
    <s v="GBPR_MUNIWASTE_24"/>
    <x v="0"/>
    <x v="10"/>
    <n v="105.54643063947999"/>
    <n v="38524.447183410302"/>
    <n v="138688.009860277"/>
  </r>
  <r>
    <x v="0"/>
    <x v="0"/>
    <x v="0"/>
    <x v="7"/>
    <x v="18"/>
    <s v="SE4_MAL"/>
    <x v="4"/>
    <s v="GBPR_MUNIWASTE_24"/>
    <x v="0"/>
    <x v="11"/>
    <n v="105.54643063947999"/>
    <n v="38524.447183410302"/>
    <n v="138688.009860277"/>
  </r>
  <r>
    <x v="0"/>
    <x v="0"/>
    <x v="0"/>
    <x v="7"/>
    <x v="18"/>
    <s v="SE4_MAL"/>
    <x v="4"/>
    <s v="GBPR_MUNIWASTE_24"/>
    <x v="0"/>
    <x v="12"/>
    <n v="105.54643063947999"/>
    <n v="38524.447183410302"/>
    <n v="138688.009860277"/>
  </r>
  <r>
    <x v="0"/>
    <x v="0"/>
    <x v="0"/>
    <x v="7"/>
    <x v="18"/>
    <s v="SE4_MAL"/>
    <x v="4"/>
    <s v="GBPR_MUNIWASTE_24"/>
    <x v="0"/>
    <x v="13"/>
    <n v="105.54643063947999"/>
    <n v="38524.447183410302"/>
    <n v="138688.009860277"/>
  </r>
  <r>
    <x v="0"/>
    <x v="0"/>
    <x v="0"/>
    <x v="7"/>
    <x v="18"/>
    <s v="SE4_MAL"/>
    <x v="4"/>
    <s v="GBPR_MUNIWASTE_24"/>
    <x v="0"/>
    <x v="0"/>
    <n v="105.54643063947999"/>
    <n v="38524.447183410302"/>
    <n v="138688.009860277"/>
  </r>
  <r>
    <x v="0"/>
    <x v="0"/>
    <x v="0"/>
    <x v="7"/>
    <x v="18"/>
    <s v="SE4_MAL"/>
    <x v="4"/>
    <s v="GBPR_MUNIWASTE_24"/>
    <x v="0"/>
    <x v="14"/>
    <n v="105.54643063947999"/>
    <n v="38524.447183410302"/>
    <n v="138688.009860277"/>
  </r>
  <r>
    <x v="0"/>
    <x v="0"/>
    <x v="0"/>
    <x v="7"/>
    <x v="18"/>
    <s v="SE4_MAL"/>
    <x v="4"/>
    <s v="GBPR_MUNIWASTE_24"/>
    <x v="0"/>
    <x v="1"/>
    <n v="105.54643063947999"/>
    <n v="38524.447183410302"/>
    <n v="138688.009860277"/>
  </r>
  <r>
    <x v="0"/>
    <x v="0"/>
    <x v="0"/>
    <x v="7"/>
    <x v="18"/>
    <s v="SE4_MAL"/>
    <x v="4"/>
    <s v="GBPR_MUNIWASTE_24"/>
    <x v="0"/>
    <x v="23"/>
    <n v="105.54643063947999"/>
    <n v="38524.447183410302"/>
    <n v="138688.009860277"/>
  </r>
  <r>
    <x v="0"/>
    <x v="0"/>
    <x v="0"/>
    <x v="7"/>
    <x v="18"/>
    <s v="SE4_MAL"/>
    <x v="4"/>
    <s v="GBPR_MUNIWASTE_24"/>
    <x v="0"/>
    <x v="2"/>
    <n v="105.54643063947999"/>
    <n v="38524.447183410302"/>
    <n v="138688.009860277"/>
  </r>
  <r>
    <x v="0"/>
    <x v="0"/>
    <x v="0"/>
    <x v="7"/>
    <x v="18"/>
    <s v="SE4_MAL"/>
    <x v="4"/>
    <s v="GBPR_MUNIWASTE_24"/>
    <x v="0"/>
    <x v="3"/>
    <n v="105.54643063947999"/>
    <n v="38524.447183410302"/>
    <n v="138688.009860277"/>
  </r>
  <r>
    <x v="0"/>
    <x v="0"/>
    <x v="0"/>
    <x v="7"/>
    <x v="18"/>
    <s v="SE4_MAL"/>
    <x v="4"/>
    <s v="GBPR_MUNIWASTE_24"/>
    <x v="0"/>
    <x v="4"/>
    <n v="105.54643063947999"/>
    <n v="38524.447183410302"/>
    <n v="138688.009860277"/>
  </r>
  <r>
    <x v="0"/>
    <x v="0"/>
    <x v="0"/>
    <x v="7"/>
    <x v="18"/>
    <s v="SE4_MAL"/>
    <x v="4"/>
    <s v="GBPR_MUNIWASTE_24"/>
    <x v="0"/>
    <x v="5"/>
    <n v="105.54643063947999"/>
    <n v="38524.447183410302"/>
    <n v="138688.009860277"/>
  </r>
  <r>
    <x v="0"/>
    <x v="0"/>
    <x v="0"/>
    <x v="7"/>
    <x v="18"/>
    <s v="SE4_MAL"/>
    <x v="4"/>
    <s v="GBPR_MUNIWASTE_24"/>
    <x v="0"/>
    <x v="15"/>
    <n v="105.54643063947999"/>
    <n v="38524.447183410302"/>
    <n v="138688.009860277"/>
  </r>
  <r>
    <x v="0"/>
    <x v="0"/>
    <x v="0"/>
    <x v="7"/>
    <x v="18"/>
    <s v="SE4_MAL"/>
    <x v="4"/>
    <s v="GBPR_MUNIWASTE_24"/>
    <x v="0"/>
    <x v="6"/>
    <n v="105.54643063947999"/>
    <n v="38524.447183410302"/>
    <n v="138688.009860277"/>
  </r>
  <r>
    <x v="0"/>
    <x v="0"/>
    <x v="0"/>
    <x v="7"/>
    <x v="18"/>
    <s v="SE4_MAL"/>
    <x v="4"/>
    <s v="GBPR_MUNIWASTE_24"/>
    <x v="0"/>
    <x v="7"/>
    <n v="105.54643063947999"/>
    <n v="38524.447183410302"/>
    <n v="138688.009860277"/>
  </r>
  <r>
    <x v="0"/>
    <x v="0"/>
    <x v="0"/>
    <x v="7"/>
    <x v="18"/>
    <s v="SE4_MAL"/>
    <x v="4"/>
    <s v="GBPR_MUNIWASTE_24"/>
    <x v="0"/>
    <x v="8"/>
    <n v="105.54643063947999"/>
    <n v="38524.447183410302"/>
    <n v="138688.009860277"/>
  </r>
  <r>
    <x v="0"/>
    <x v="0"/>
    <x v="0"/>
    <x v="7"/>
    <x v="18"/>
    <s v="SE4_MAL"/>
    <x v="4"/>
    <s v="GBPR_MUNIWASTE_24"/>
    <x v="0"/>
    <x v="16"/>
    <n v="105.54643063947999"/>
    <n v="38524.447183410302"/>
    <n v="138688.009860277"/>
  </r>
  <r>
    <x v="0"/>
    <x v="0"/>
    <x v="0"/>
    <x v="7"/>
    <x v="18"/>
    <s v="SE4_MAL"/>
    <x v="4"/>
    <s v="GBPR_MUNIWASTE_24"/>
    <x v="0"/>
    <x v="17"/>
    <n v="105.54643063947999"/>
    <n v="38524.447183410302"/>
    <n v="138688.009860277"/>
  </r>
  <r>
    <x v="0"/>
    <x v="0"/>
    <x v="0"/>
    <x v="7"/>
    <x v="18"/>
    <s v="SE4_MAL"/>
    <x v="4"/>
    <s v="GBPR_MUNIWASTE_24"/>
    <x v="0"/>
    <x v="18"/>
    <n v="105.54643063947999"/>
    <n v="38524.447183410302"/>
    <n v="138688.009860277"/>
  </r>
  <r>
    <x v="0"/>
    <x v="0"/>
    <x v="0"/>
    <x v="7"/>
    <x v="18"/>
    <s v="SE4_MAL"/>
    <x v="4"/>
    <s v="GBPR_MUNIWASTE_24"/>
    <x v="0"/>
    <x v="19"/>
    <n v="105.54643063947999"/>
    <n v="38524.447183410302"/>
    <n v="138688.009860277"/>
  </r>
  <r>
    <x v="0"/>
    <x v="0"/>
    <x v="0"/>
    <x v="7"/>
    <x v="18"/>
    <s v="SE4_MAL"/>
    <x v="4"/>
    <s v="GBPR_MUNIWASTE_24"/>
    <x v="0"/>
    <x v="20"/>
    <n v="105.54643063947999"/>
    <n v="38524.447183410302"/>
    <n v="138688.009860277"/>
  </r>
  <r>
    <x v="0"/>
    <x v="0"/>
    <x v="0"/>
    <x v="7"/>
    <x v="18"/>
    <s v="SE4_MAL"/>
    <x v="4"/>
    <s v="GBPR_MUNIWASTE_24"/>
    <x v="0"/>
    <x v="21"/>
    <n v="105.54643063947999"/>
    <n v="38524.447183410302"/>
    <n v="138688.009860277"/>
  </r>
  <r>
    <x v="0"/>
    <x v="0"/>
    <x v="0"/>
    <x v="7"/>
    <x v="18"/>
    <s v="SE4_MAL"/>
    <x v="4"/>
    <s v="GBPR_MUNIWASTE_24"/>
    <x v="0"/>
    <x v="22"/>
    <n v="105.54643063947999"/>
    <n v="38524.447183410302"/>
    <n v="138688.009860277"/>
  </r>
  <r>
    <x v="0"/>
    <x v="0"/>
    <x v="0"/>
    <x v="7"/>
    <x v="18"/>
    <s v="SE4_MAL"/>
    <x v="4"/>
    <s v="GHOB_MUNIWASTE"/>
    <x v="0"/>
    <x v="9"/>
    <n v="48.715971793323398"/>
    <n v="17781.329704562999"/>
    <n v="64012.786936427001"/>
  </r>
  <r>
    <x v="0"/>
    <x v="0"/>
    <x v="0"/>
    <x v="7"/>
    <x v="18"/>
    <s v="SE4_MAL"/>
    <x v="4"/>
    <s v="GHOB_MUNIWASTE"/>
    <x v="0"/>
    <x v="10"/>
    <n v="48.715971793323398"/>
    <n v="17781.329704562999"/>
    <n v="64012.786936427001"/>
  </r>
  <r>
    <x v="0"/>
    <x v="0"/>
    <x v="0"/>
    <x v="7"/>
    <x v="18"/>
    <s v="SE4_MAL"/>
    <x v="4"/>
    <s v="GHOB_MUNIWASTE"/>
    <x v="0"/>
    <x v="11"/>
    <n v="48.715971793323398"/>
    <n v="17781.329704562999"/>
    <n v="64012.786936427001"/>
  </r>
  <r>
    <x v="0"/>
    <x v="0"/>
    <x v="0"/>
    <x v="7"/>
    <x v="18"/>
    <s v="SE4_MAL"/>
    <x v="4"/>
    <s v="GHOB_MUNIWASTE"/>
    <x v="0"/>
    <x v="12"/>
    <n v="48.715971793323398"/>
    <n v="17781.329704562999"/>
    <n v="64012.786936427001"/>
  </r>
  <r>
    <x v="0"/>
    <x v="0"/>
    <x v="0"/>
    <x v="7"/>
    <x v="18"/>
    <s v="SE4_MAL"/>
    <x v="4"/>
    <s v="GHOB_MUNIWASTE"/>
    <x v="0"/>
    <x v="13"/>
    <n v="48.715971793323398"/>
    <n v="17781.329704562999"/>
    <n v="64012.786936427001"/>
  </r>
  <r>
    <x v="0"/>
    <x v="0"/>
    <x v="0"/>
    <x v="7"/>
    <x v="18"/>
    <s v="SE4_MAL"/>
    <x v="4"/>
    <s v="GHOB_MUNIWASTE"/>
    <x v="0"/>
    <x v="0"/>
    <n v="48.715971793323398"/>
    <n v="17781.329704562999"/>
    <n v="64012.786936427001"/>
  </r>
  <r>
    <x v="0"/>
    <x v="0"/>
    <x v="0"/>
    <x v="7"/>
    <x v="18"/>
    <s v="SE4_MAL"/>
    <x v="4"/>
    <s v="GHOB_MUNIWASTE"/>
    <x v="0"/>
    <x v="14"/>
    <n v="48.715971793323398"/>
    <n v="17781.329704562999"/>
    <n v="64012.786936427001"/>
  </r>
  <r>
    <x v="0"/>
    <x v="0"/>
    <x v="0"/>
    <x v="7"/>
    <x v="18"/>
    <s v="SE4_MAL"/>
    <x v="4"/>
    <s v="GHOB_MUNIWASTE"/>
    <x v="0"/>
    <x v="1"/>
    <n v="48.715971793323398"/>
    <n v="17781.329704562999"/>
    <n v="64012.786936427001"/>
  </r>
  <r>
    <x v="0"/>
    <x v="0"/>
    <x v="0"/>
    <x v="7"/>
    <x v="18"/>
    <s v="SE4_MAL"/>
    <x v="4"/>
    <s v="GHOB_MUNIWASTE"/>
    <x v="0"/>
    <x v="23"/>
    <n v="48.715971793323398"/>
    <n v="17781.329704562999"/>
    <n v="64012.786936427001"/>
  </r>
  <r>
    <x v="0"/>
    <x v="0"/>
    <x v="0"/>
    <x v="7"/>
    <x v="18"/>
    <s v="SE4_MAL"/>
    <x v="4"/>
    <s v="GHOB_MUNIWASTE"/>
    <x v="0"/>
    <x v="2"/>
    <n v="48.715971793323398"/>
    <n v="17781.329704562999"/>
    <n v="64012.786936427001"/>
  </r>
  <r>
    <x v="0"/>
    <x v="0"/>
    <x v="0"/>
    <x v="7"/>
    <x v="18"/>
    <s v="SE4_MAL"/>
    <x v="4"/>
    <s v="GHOB_MUNIWASTE"/>
    <x v="0"/>
    <x v="3"/>
    <n v="48.715971793323398"/>
    <n v="17781.329704562999"/>
    <n v="64012.786936427001"/>
  </r>
  <r>
    <x v="0"/>
    <x v="0"/>
    <x v="0"/>
    <x v="7"/>
    <x v="18"/>
    <s v="SE4_MAL"/>
    <x v="4"/>
    <s v="GHOB_MUNIWASTE"/>
    <x v="0"/>
    <x v="4"/>
    <n v="48.715971793323398"/>
    <n v="17781.329704562999"/>
    <n v="64012.786936427001"/>
  </r>
  <r>
    <x v="0"/>
    <x v="0"/>
    <x v="0"/>
    <x v="7"/>
    <x v="18"/>
    <s v="SE4_MAL"/>
    <x v="4"/>
    <s v="GHOB_MUNIWASTE"/>
    <x v="0"/>
    <x v="5"/>
    <n v="48.715971793323398"/>
    <n v="17781.329704562999"/>
    <n v="64012.786936427001"/>
  </r>
  <r>
    <x v="0"/>
    <x v="0"/>
    <x v="0"/>
    <x v="7"/>
    <x v="18"/>
    <s v="SE4_MAL"/>
    <x v="4"/>
    <s v="GHOB_MUNIWASTE"/>
    <x v="0"/>
    <x v="15"/>
    <n v="48.715971793323398"/>
    <n v="17781.329704562999"/>
    <n v="64012.786936427001"/>
  </r>
  <r>
    <x v="0"/>
    <x v="0"/>
    <x v="0"/>
    <x v="7"/>
    <x v="18"/>
    <s v="SE4_MAL"/>
    <x v="4"/>
    <s v="GHOB_MUNIWASTE"/>
    <x v="0"/>
    <x v="6"/>
    <n v="48.715971793323398"/>
    <n v="17781.329704562999"/>
    <n v="64012.786936427001"/>
  </r>
  <r>
    <x v="0"/>
    <x v="0"/>
    <x v="0"/>
    <x v="7"/>
    <x v="18"/>
    <s v="SE4_MAL"/>
    <x v="4"/>
    <s v="GHOB_MUNIWASTE"/>
    <x v="0"/>
    <x v="7"/>
    <n v="48.715971793323398"/>
    <n v="17781.329704562999"/>
    <n v="64012.786936427001"/>
  </r>
  <r>
    <x v="0"/>
    <x v="0"/>
    <x v="0"/>
    <x v="7"/>
    <x v="18"/>
    <s v="SE4_MAL"/>
    <x v="4"/>
    <s v="GHOB_MUNIWASTE"/>
    <x v="0"/>
    <x v="8"/>
    <n v="48.715971793323398"/>
    <n v="17781.329704562999"/>
    <n v="64012.786936427001"/>
  </r>
  <r>
    <x v="0"/>
    <x v="0"/>
    <x v="0"/>
    <x v="7"/>
    <x v="18"/>
    <s v="SE4_MAL"/>
    <x v="4"/>
    <s v="GHOB_MUNIWASTE"/>
    <x v="0"/>
    <x v="16"/>
    <n v="48.715971793323398"/>
    <n v="17781.329704562999"/>
    <n v="64012.786936427001"/>
  </r>
  <r>
    <x v="0"/>
    <x v="0"/>
    <x v="0"/>
    <x v="7"/>
    <x v="18"/>
    <s v="SE4_MAL"/>
    <x v="4"/>
    <s v="GHOB_MUNIWASTE"/>
    <x v="0"/>
    <x v="17"/>
    <n v="48.715971793323398"/>
    <n v="17781.329704562999"/>
    <n v="64012.786936427001"/>
  </r>
  <r>
    <x v="0"/>
    <x v="0"/>
    <x v="0"/>
    <x v="7"/>
    <x v="18"/>
    <s v="SE4_MAL"/>
    <x v="4"/>
    <s v="GHOB_MUNIWASTE"/>
    <x v="0"/>
    <x v="18"/>
    <n v="48.715971793323398"/>
    <n v="17781.329704562999"/>
    <n v="64012.786936427001"/>
  </r>
  <r>
    <x v="0"/>
    <x v="0"/>
    <x v="0"/>
    <x v="7"/>
    <x v="18"/>
    <s v="SE4_MAL"/>
    <x v="4"/>
    <s v="GHOB_MUNIWASTE"/>
    <x v="0"/>
    <x v="19"/>
    <n v="48.715971793323398"/>
    <n v="17781.329704562999"/>
    <n v="64012.786936427001"/>
  </r>
  <r>
    <x v="0"/>
    <x v="0"/>
    <x v="0"/>
    <x v="7"/>
    <x v="18"/>
    <s v="SE4_MAL"/>
    <x v="4"/>
    <s v="GHOB_MUNIWASTE"/>
    <x v="0"/>
    <x v="20"/>
    <n v="48.715971793323398"/>
    <n v="17781.329704562999"/>
    <n v="64012.786936427001"/>
  </r>
  <r>
    <x v="0"/>
    <x v="0"/>
    <x v="0"/>
    <x v="7"/>
    <x v="18"/>
    <s v="SE4_MAL"/>
    <x v="4"/>
    <s v="GHOB_MUNIWASTE"/>
    <x v="0"/>
    <x v="21"/>
    <n v="48.715971793323398"/>
    <n v="17781.329704562999"/>
    <n v="64012.786936427001"/>
  </r>
  <r>
    <x v="0"/>
    <x v="0"/>
    <x v="0"/>
    <x v="7"/>
    <x v="18"/>
    <s v="SE4_MAL"/>
    <x v="4"/>
    <s v="GHOB_MUNIWASTE"/>
    <x v="0"/>
    <x v="22"/>
    <n v="48.715971793323398"/>
    <n v="17781.329704562999"/>
    <n v="64012.786936427001"/>
  </r>
  <r>
    <x v="0"/>
    <x v="0"/>
    <x v="0"/>
    <x v="7"/>
    <x v="18"/>
    <s v="SE4_MAL"/>
    <x v="5"/>
    <s v="GBPR_NATGAS_MAL"/>
    <x v="0"/>
    <x v="14"/>
    <n v="44.033704988460599"/>
    <n v="16072.3023207881"/>
    <n v="57860.288354837197"/>
  </r>
  <r>
    <x v="0"/>
    <x v="0"/>
    <x v="0"/>
    <x v="7"/>
    <x v="18"/>
    <s v="SE4_MAL"/>
    <x v="5"/>
    <s v="GBPR_NATGAS_MAL"/>
    <x v="0"/>
    <x v="1"/>
    <n v="60.493792391039797"/>
    <n v="22080.234222729501"/>
    <n v="79488.843201826399"/>
  </r>
  <r>
    <x v="0"/>
    <x v="0"/>
    <x v="0"/>
    <x v="7"/>
    <x v="18"/>
    <s v="SE4_MAL"/>
    <x v="5"/>
    <s v="GBPR_NATGAS_MAL"/>
    <x v="0"/>
    <x v="23"/>
    <n v="55.784303868456597"/>
    <n v="20361.270911986601"/>
    <n v="73300.575283151906"/>
  </r>
  <r>
    <x v="0"/>
    <x v="0"/>
    <x v="0"/>
    <x v="7"/>
    <x v="18"/>
    <s v="SE4_MAL"/>
    <x v="5"/>
    <s v="GBPR_NATGAS_MAL"/>
    <x v="0"/>
    <x v="2"/>
    <n v="49.756046596244801"/>
    <n v="18160.9570076294"/>
    <n v="65379.445227465701"/>
  </r>
  <r>
    <x v="0"/>
    <x v="0"/>
    <x v="0"/>
    <x v="7"/>
    <x v="18"/>
    <s v="SE4_MAL"/>
    <x v="5"/>
    <s v="GBPR_NATGAS_MAL"/>
    <x v="0"/>
    <x v="3"/>
    <n v="42.843874608984798"/>
    <n v="15638.0142322794"/>
    <n v="56296.851236205999"/>
  </r>
  <r>
    <x v="0"/>
    <x v="0"/>
    <x v="0"/>
    <x v="7"/>
    <x v="18"/>
    <s v="SE4_MAL"/>
    <x v="5"/>
    <s v="GBPR_NATGAS_MAL"/>
    <x v="0"/>
    <x v="4"/>
    <n v="32.940536483218999"/>
    <n v="12023.295816374901"/>
    <n v="43283.8649389497"/>
  </r>
  <r>
    <x v="0"/>
    <x v="0"/>
    <x v="0"/>
    <x v="7"/>
    <x v="18"/>
    <s v="SE4_MAL"/>
    <x v="5"/>
    <s v="GBPR_NATGAS_MAL"/>
    <x v="0"/>
    <x v="5"/>
    <n v="23.215427402186201"/>
    <n v="8473.6310017979704"/>
    <n v="30505.071606472698"/>
  </r>
  <r>
    <x v="0"/>
    <x v="0"/>
    <x v="0"/>
    <x v="7"/>
    <x v="18"/>
    <s v="SE4_MAL"/>
    <x v="5"/>
    <s v="GBPR_NATGAS_MAL"/>
    <x v="0"/>
    <x v="15"/>
    <n v="21.558825242131501"/>
    <n v="7868.9712133780104"/>
    <n v="28328.2963681609"/>
  </r>
  <r>
    <x v="0"/>
    <x v="0"/>
    <x v="0"/>
    <x v="7"/>
    <x v="18"/>
    <s v="SE4_MAL"/>
    <x v="5"/>
    <s v="GBPR_NATGAS_MAL"/>
    <x v="0"/>
    <x v="6"/>
    <n v="21.0245983839994"/>
    <n v="7673.9784101597897"/>
    <n v="27626.322276575302"/>
  </r>
  <r>
    <x v="0"/>
    <x v="0"/>
    <x v="0"/>
    <x v="7"/>
    <x v="18"/>
    <s v="SE4_MAL"/>
    <x v="5"/>
    <s v="GBPR_NATGAS_MAL"/>
    <x v="0"/>
    <x v="7"/>
    <n v="23.704858697253499"/>
    <n v="8652.27342449754"/>
    <n v="31148.184328191201"/>
  </r>
  <r>
    <x v="0"/>
    <x v="0"/>
    <x v="0"/>
    <x v="7"/>
    <x v="18"/>
    <s v="SE4_MAL"/>
    <x v="5"/>
    <s v="GBPR_NATGAS_MAL"/>
    <x v="0"/>
    <x v="8"/>
    <n v="24.166800472276499"/>
    <n v="8820.8821723809106"/>
    <n v="31755.175820571301"/>
  </r>
  <r>
    <x v="0"/>
    <x v="0"/>
    <x v="0"/>
    <x v="7"/>
    <x v="18"/>
    <s v="SE4_MAL"/>
    <x v="5"/>
    <s v="GBPR_NATGAS_MAL"/>
    <x v="0"/>
    <x v="16"/>
    <n v="18.3818626502486"/>
    <n v="6709.37986734074"/>
    <n v="24153.7675224267"/>
  </r>
  <r>
    <x v="0"/>
    <x v="0"/>
    <x v="0"/>
    <x v="7"/>
    <x v="18"/>
    <s v="SE4_MAL"/>
    <x v="2"/>
    <s v="GHOB_WASTEHEAT"/>
    <x v="0"/>
    <x v="9"/>
    <n v="12.362637362637299"/>
    <n v="4512.3626373626203"/>
    <n v="16244.5054945054"/>
  </r>
  <r>
    <x v="0"/>
    <x v="0"/>
    <x v="0"/>
    <x v="7"/>
    <x v="18"/>
    <s v="SE4_MAL"/>
    <x v="2"/>
    <s v="GHOB_WASTEHEAT"/>
    <x v="0"/>
    <x v="10"/>
    <n v="12.362637362637299"/>
    <n v="4512.3626373626203"/>
    <n v="16244.5054945054"/>
  </r>
  <r>
    <x v="0"/>
    <x v="0"/>
    <x v="0"/>
    <x v="7"/>
    <x v="18"/>
    <s v="SE4_MAL"/>
    <x v="2"/>
    <s v="GHOB_WASTEHEAT"/>
    <x v="0"/>
    <x v="11"/>
    <n v="12.362637362637299"/>
    <n v="4512.3626373626203"/>
    <n v="16244.5054945054"/>
  </r>
  <r>
    <x v="0"/>
    <x v="0"/>
    <x v="0"/>
    <x v="7"/>
    <x v="18"/>
    <s v="SE4_MAL"/>
    <x v="2"/>
    <s v="GHOB_WASTEHEAT"/>
    <x v="0"/>
    <x v="12"/>
    <n v="12.362637362637299"/>
    <n v="4512.3626373626203"/>
    <n v="16244.5054945054"/>
  </r>
  <r>
    <x v="0"/>
    <x v="0"/>
    <x v="0"/>
    <x v="7"/>
    <x v="18"/>
    <s v="SE4_MAL"/>
    <x v="2"/>
    <s v="GHOB_WASTEHEAT"/>
    <x v="0"/>
    <x v="13"/>
    <n v="12.362637362637299"/>
    <n v="4512.3626373626203"/>
    <n v="16244.5054945054"/>
  </r>
  <r>
    <x v="0"/>
    <x v="0"/>
    <x v="0"/>
    <x v="7"/>
    <x v="18"/>
    <s v="SE4_MAL"/>
    <x v="2"/>
    <s v="GHOB_WASTEHEAT"/>
    <x v="0"/>
    <x v="0"/>
    <n v="12.362637362637299"/>
    <n v="4512.3626373626203"/>
    <n v="16244.5054945054"/>
  </r>
  <r>
    <x v="0"/>
    <x v="0"/>
    <x v="0"/>
    <x v="7"/>
    <x v="18"/>
    <s v="SE4_MAL"/>
    <x v="2"/>
    <s v="GHOB_WASTEHEAT"/>
    <x v="0"/>
    <x v="14"/>
    <n v="12.362637362637299"/>
    <n v="4512.3626373626203"/>
    <n v="16244.5054945054"/>
  </r>
  <r>
    <x v="0"/>
    <x v="0"/>
    <x v="0"/>
    <x v="7"/>
    <x v="18"/>
    <s v="SE4_MAL"/>
    <x v="2"/>
    <s v="GHOB_WASTEHEAT"/>
    <x v="0"/>
    <x v="1"/>
    <n v="12.362637362637299"/>
    <n v="4512.3626373626203"/>
    <n v="16244.5054945054"/>
  </r>
  <r>
    <x v="0"/>
    <x v="0"/>
    <x v="0"/>
    <x v="7"/>
    <x v="18"/>
    <s v="SE4_MAL"/>
    <x v="2"/>
    <s v="GHOB_WASTEHEAT"/>
    <x v="0"/>
    <x v="23"/>
    <n v="12.362637362637299"/>
    <n v="4512.3626373626203"/>
    <n v="16244.5054945054"/>
  </r>
  <r>
    <x v="0"/>
    <x v="0"/>
    <x v="0"/>
    <x v="7"/>
    <x v="18"/>
    <s v="SE4_MAL"/>
    <x v="2"/>
    <s v="GHOB_WASTEHEAT"/>
    <x v="0"/>
    <x v="2"/>
    <n v="12.362637362637299"/>
    <n v="4512.3626373626203"/>
    <n v="16244.5054945054"/>
  </r>
  <r>
    <x v="0"/>
    <x v="0"/>
    <x v="0"/>
    <x v="7"/>
    <x v="18"/>
    <s v="SE4_MAL"/>
    <x v="2"/>
    <s v="GHOB_WASTEHEAT"/>
    <x v="0"/>
    <x v="3"/>
    <n v="12.362637362637299"/>
    <n v="4512.3626373626203"/>
    <n v="16244.5054945054"/>
  </r>
  <r>
    <x v="0"/>
    <x v="0"/>
    <x v="0"/>
    <x v="7"/>
    <x v="18"/>
    <s v="SE4_MAL"/>
    <x v="2"/>
    <s v="GHOB_WASTEHEAT"/>
    <x v="0"/>
    <x v="4"/>
    <n v="12.362637362637299"/>
    <n v="4512.3626373626203"/>
    <n v="16244.5054945054"/>
  </r>
  <r>
    <x v="0"/>
    <x v="0"/>
    <x v="0"/>
    <x v="7"/>
    <x v="18"/>
    <s v="SE4_MAL"/>
    <x v="2"/>
    <s v="GHOB_WASTEHEAT"/>
    <x v="0"/>
    <x v="5"/>
    <n v="12.362637362637299"/>
    <n v="4512.3626373626203"/>
    <n v="16244.5054945054"/>
  </r>
  <r>
    <x v="0"/>
    <x v="0"/>
    <x v="0"/>
    <x v="7"/>
    <x v="18"/>
    <s v="SE4_MAL"/>
    <x v="2"/>
    <s v="GHOB_WASTEHEAT"/>
    <x v="0"/>
    <x v="15"/>
    <n v="12.362637362637299"/>
    <n v="4512.3626373626203"/>
    <n v="16244.5054945054"/>
  </r>
  <r>
    <x v="0"/>
    <x v="0"/>
    <x v="0"/>
    <x v="7"/>
    <x v="18"/>
    <s v="SE4_MAL"/>
    <x v="2"/>
    <s v="GHOB_WASTEHEAT"/>
    <x v="0"/>
    <x v="6"/>
    <n v="12.362637362637299"/>
    <n v="4512.3626373626203"/>
    <n v="16244.5054945054"/>
  </r>
  <r>
    <x v="0"/>
    <x v="0"/>
    <x v="0"/>
    <x v="7"/>
    <x v="18"/>
    <s v="SE4_MAL"/>
    <x v="2"/>
    <s v="GHOB_WASTEHEAT"/>
    <x v="0"/>
    <x v="7"/>
    <n v="12.362637362637299"/>
    <n v="4512.3626373626203"/>
    <n v="16244.5054945054"/>
  </r>
  <r>
    <x v="0"/>
    <x v="0"/>
    <x v="0"/>
    <x v="7"/>
    <x v="18"/>
    <s v="SE4_MAL"/>
    <x v="2"/>
    <s v="GHOB_WASTEHEAT"/>
    <x v="0"/>
    <x v="8"/>
    <n v="12.362637362637299"/>
    <n v="4512.3626373626203"/>
    <n v="16244.5054945054"/>
  </r>
  <r>
    <x v="0"/>
    <x v="0"/>
    <x v="0"/>
    <x v="7"/>
    <x v="18"/>
    <s v="SE4_MAL"/>
    <x v="2"/>
    <s v="GHOB_WASTEHEAT"/>
    <x v="0"/>
    <x v="16"/>
    <n v="12.362637362637299"/>
    <n v="4512.3626373626203"/>
    <n v="16244.5054945054"/>
  </r>
  <r>
    <x v="0"/>
    <x v="0"/>
    <x v="0"/>
    <x v="7"/>
    <x v="18"/>
    <s v="SE4_MAL"/>
    <x v="2"/>
    <s v="GHOB_WASTEHEAT"/>
    <x v="0"/>
    <x v="17"/>
    <n v="12.362637362637299"/>
    <n v="4512.3626373626203"/>
    <n v="16244.5054945054"/>
  </r>
  <r>
    <x v="0"/>
    <x v="0"/>
    <x v="0"/>
    <x v="7"/>
    <x v="18"/>
    <s v="SE4_MAL"/>
    <x v="2"/>
    <s v="GHOB_WASTEHEAT"/>
    <x v="0"/>
    <x v="18"/>
    <n v="12.362637362637299"/>
    <n v="4512.3626373626203"/>
    <n v="16244.5054945054"/>
  </r>
  <r>
    <x v="0"/>
    <x v="0"/>
    <x v="0"/>
    <x v="7"/>
    <x v="18"/>
    <s v="SE4_MAL"/>
    <x v="2"/>
    <s v="GHOB_WASTEHEAT"/>
    <x v="0"/>
    <x v="19"/>
    <n v="12.362637362637299"/>
    <n v="4512.3626373626203"/>
    <n v="16244.5054945054"/>
  </r>
  <r>
    <x v="0"/>
    <x v="0"/>
    <x v="0"/>
    <x v="7"/>
    <x v="18"/>
    <s v="SE4_MAL"/>
    <x v="2"/>
    <s v="GHOB_WASTEHEAT"/>
    <x v="0"/>
    <x v="20"/>
    <n v="12.362637362637299"/>
    <n v="4512.3626373626203"/>
    <n v="16244.5054945054"/>
  </r>
  <r>
    <x v="0"/>
    <x v="0"/>
    <x v="0"/>
    <x v="7"/>
    <x v="18"/>
    <s v="SE4_MAL"/>
    <x v="2"/>
    <s v="GHOB_WASTEHEAT"/>
    <x v="0"/>
    <x v="21"/>
    <n v="12.362637362637299"/>
    <n v="4512.3626373626203"/>
    <n v="16244.5054945054"/>
  </r>
  <r>
    <x v="0"/>
    <x v="0"/>
    <x v="0"/>
    <x v="7"/>
    <x v="18"/>
    <s v="SE4_MAL"/>
    <x v="2"/>
    <s v="GHOB_WASTEHEAT"/>
    <x v="0"/>
    <x v="22"/>
    <n v="12.362637362637299"/>
    <n v="4512.3626373626203"/>
    <n v="16244.5054945054"/>
  </r>
  <r>
    <x v="0"/>
    <x v="0"/>
    <x v="0"/>
    <x v="7"/>
    <x v="18"/>
    <s v="SE4_MAL"/>
    <x v="7"/>
    <s v="GHOB_WOODCHIPS"/>
    <x v="0"/>
    <x v="9"/>
    <n v="44.85885792058"/>
    <n v="16373.4831410117"/>
    <n v="58944.539307642102"/>
  </r>
  <r>
    <x v="0"/>
    <x v="0"/>
    <x v="0"/>
    <x v="7"/>
    <x v="18"/>
    <s v="SE4_MAL"/>
    <x v="7"/>
    <s v="GHOB_WOODCHIPS"/>
    <x v="0"/>
    <x v="10"/>
    <n v="43.568916308824598"/>
    <n v="15902.654452721001"/>
    <n v="57249.556029795502"/>
  </r>
  <r>
    <x v="0"/>
    <x v="0"/>
    <x v="0"/>
    <x v="7"/>
    <x v="18"/>
    <s v="SE4_MAL"/>
    <x v="7"/>
    <s v="GHOB_WOODCHIPS"/>
    <x v="0"/>
    <x v="11"/>
    <n v="42.149002051272397"/>
    <n v="15384.3857487144"/>
    <n v="55383.788695371899"/>
  </r>
  <r>
    <x v="0"/>
    <x v="0"/>
    <x v="0"/>
    <x v="7"/>
    <x v="18"/>
    <s v="SE4_MAL"/>
    <x v="7"/>
    <s v="GHOB_WOODCHIPS"/>
    <x v="0"/>
    <x v="12"/>
    <n v="43.325120195999503"/>
    <n v="15813.6688715398"/>
    <n v="56929.207937543302"/>
  </r>
  <r>
    <x v="0"/>
    <x v="0"/>
    <x v="0"/>
    <x v="7"/>
    <x v="18"/>
    <s v="SE4_MAL"/>
    <x v="7"/>
    <s v="GHOB_WOODCHIPS"/>
    <x v="0"/>
    <x v="13"/>
    <n v="47.666608395030401"/>
    <n v="17398.312064186099"/>
    <n v="62633.923431069998"/>
  </r>
  <r>
    <x v="0"/>
    <x v="0"/>
    <x v="0"/>
    <x v="7"/>
    <x v="18"/>
    <s v="SE4_MAL"/>
    <x v="7"/>
    <s v="GHOB_WOODCHIPS"/>
    <x v="0"/>
    <x v="0"/>
    <n v="69.624086143561897"/>
    <n v="25412.791442400099"/>
    <n v="91486.049192640305"/>
  </r>
  <r>
    <x v="0"/>
    <x v="0"/>
    <x v="0"/>
    <x v="7"/>
    <x v="18"/>
    <s v="SE4_MAL"/>
    <x v="7"/>
    <s v="GHOB_WOODCHIPS"/>
    <x v="0"/>
    <x v="14"/>
    <n v="70"/>
    <n v="25550"/>
    <n v="91980"/>
  </r>
  <r>
    <x v="0"/>
    <x v="0"/>
    <x v="0"/>
    <x v="7"/>
    <x v="18"/>
    <s v="SE4_MAL"/>
    <x v="7"/>
    <s v="GHOB_WOODCHIPS"/>
    <x v="0"/>
    <x v="1"/>
    <n v="70"/>
    <n v="25550"/>
    <n v="91980"/>
  </r>
  <r>
    <x v="0"/>
    <x v="0"/>
    <x v="0"/>
    <x v="7"/>
    <x v="18"/>
    <s v="SE4_MAL"/>
    <x v="7"/>
    <s v="GHOB_WOODCHIPS"/>
    <x v="0"/>
    <x v="23"/>
    <n v="70"/>
    <n v="25550"/>
    <n v="91980"/>
  </r>
  <r>
    <x v="0"/>
    <x v="0"/>
    <x v="0"/>
    <x v="7"/>
    <x v="18"/>
    <s v="SE4_MAL"/>
    <x v="7"/>
    <s v="GHOB_WOODCHIPS"/>
    <x v="0"/>
    <x v="2"/>
    <n v="70"/>
    <n v="25550"/>
    <n v="91980"/>
  </r>
  <r>
    <x v="0"/>
    <x v="0"/>
    <x v="0"/>
    <x v="7"/>
    <x v="18"/>
    <s v="SE4_MAL"/>
    <x v="7"/>
    <s v="GHOB_WOODCHIPS"/>
    <x v="0"/>
    <x v="3"/>
    <n v="70"/>
    <n v="25550"/>
    <n v="91980"/>
  </r>
  <r>
    <x v="0"/>
    <x v="0"/>
    <x v="0"/>
    <x v="7"/>
    <x v="18"/>
    <s v="SE4_MAL"/>
    <x v="7"/>
    <s v="GHOB_WOODCHIPS"/>
    <x v="0"/>
    <x v="4"/>
    <n v="70"/>
    <n v="25550"/>
    <n v="91980"/>
  </r>
  <r>
    <x v="0"/>
    <x v="0"/>
    <x v="0"/>
    <x v="7"/>
    <x v="18"/>
    <s v="SE4_MAL"/>
    <x v="7"/>
    <s v="GHOB_WOODCHIPS"/>
    <x v="0"/>
    <x v="5"/>
    <n v="70"/>
    <n v="25550"/>
    <n v="91980"/>
  </r>
  <r>
    <x v="0"/>
    <x v="0"/>
    <x v="0"/>
    <x v="7"/>
    <x v="18"/>
    <s v="SE4_MAL"/>
    <x v="7"/>
    <s v="GHOB_WOODCHIPS"/>
    <x v="0"/>
    <x v="15"/>
    <n v="70"/>
    <n v="25550"/>
    <n v="91980"/>
  </r>
  <r>
    <x v="0"/>
    <x v="0"/>
    <x v="0"/>
    <x v="7"/>
    <x v="18"/>
    <s v="SE4_MAL"/>
    <x v="7"/>
    <s v="GHOB_WOODCHIPS"/>
    <x v="0"/>
    <x v="6"/>
    <n v="70"/>
    <n v="25550"/>
    <n v="91980"/>
  </r>
  <r>
    <x v="0"/>
    <x v="0"/>
    <x v="0"/>
    <x v="7"/>
    <x v="18"/>
    <s v="SE4_MAL"/>
    <x v="7"/>
    <s v="GHOB_WOODCHIPS"/>
    <x v="0"/>
    <x v="7"/>
    <n v="70"/>
    <n v="25550"/>
    <n v="91980"/>
  </r>
  <r>
    <x v="0"/>
    <x v="0"/>
    <x v="0"/>
    <x v="7"/>
    <x v="18"/>
    <s v="SE4_MAL"/>
    <x v="7"/>
    <s v="GHOB_WOODCHIPS"/>
    <x v="0"/>
    <x v="8"/>
    <n v="70"/>
    <n v="25550"/>
    <n v="91980"/>
  </r>
  <r>
    <x v="0"/>
    <x v="0"/>
    <x v="0"/>
    <x v="7"/>
    <x v="18"/>
    <s v="SE4_MAL"/>
    <x v="7"/>
    <s v="GHOB_WOODCHIPS"/>
    <x v="0"/>
    <x v="16"/>
    <n v="70"/>
    <n v="25550"/>
    <n v="91980"/>
  </r>
  <r>
    <x v="0"/>
    <x v="0"/>
    <x v="0"/>
    <x v="7"/>
    <x v="18"/>
    <s v="SE4_MAL"/>
    <x v="7"/>
    <s v="GHOB_WOODCHIPS"/>
    <x v="0"/>
    <x v="17"/>
    <n v="70"/>
    <n v="25550"/>
    <n v="91980"/>
  </r>
  <r>
    <x v="0"/>
    <x v="0"/>
    <x v="0"/>
    <x v="7"/>
    <x v="18"/>
    <s v="SE4_MAL"/>
    <x v="7"/>
    <s v="GHOB_WOODCHIPS"/>
    <x v="0"/>
    <x v="18"/>
    <n v="70"/>
    <n v="25550"/>
    <n v="91980"/>
  </r>
  <r>
    <x v="0"/>
    <x v="0"/>
    <x v="0"/>
    <x v="7"/>
    <x v="18"/>
    <s v="SE4_MAL"/>
    <x v="7"/>
    <s v="GHOB_WOODCHIPS"/>
    <x v="0"/>
    <x v="19"/>
    <n v="66.722463336326697"/>
    <n v="24353.699117759199"/>
    <n v="87673.316823933303"/>
  </r>
  <r>
    <x v="0"/>
    <x v="0"/>
    <x v="0"/>
    <x v="7"/>
    <x v="18"/>
    <s v="SE4_MAL"/>
    <x v="7"/>
    <s v="GHOB_WOODCHIPS"/>
    <x v="0"/>
    <x v="20"/>
    <n v="53.526388780272697"/>
    <n v="19537.131904799498"/>
    <n v="70333.674857278398"/>
  </r>
  <r>
    <x v="0"/>
    <x v="0"/>
    <x v="0"/>
    <x v="7"/>
    <x v="18"/>
    <s v="SE4_MAL"/>
    <x v="7"/>
    <s v="GHOB_WOODCHIPS"/>
    <x v="0"/>
    <x v="21"/>
    <n v="44.054353850116399"/>
    <n v="16079.8391552925"/>
    <n v="57887.420959052899"/>
  </r>
  <r>
    <x v="0"/>
    <x v="0"/>
    <x v="0"/>
    <x v="7"/>
    <x v="18"/>
    <s v="SE4_MAL"/>
    <x v="7"/>
    <s v="GHOB_WOODCHIPS"/>
    <x v="0"/>
    <x v="22"/>
    <n v="33.8872296036322"/>
    <n v="12368.8388053258"/>
    <n v="44527.819699172702"/>
  </r>
  <r>
    <x v="0"/>
    <x v="0"/>
    <x v="0"/>
    <x v="7"/>
    <x v="18"/>
    <s v="SE4_OTHER"/>
    <x v="1"/>
    <s v="GNR_HS_HEAT_WTR-TANK_LS_E-95_Y-2010"/>
    <x v="0"/>
    <x v="14"/>
    <n v="73.862256699091901"/>
    <n v="26959.723695168599"/>
    <n v="97055.005302606805"/>
  </r>
  <r>
    <x v="0"/>
    <x v="0"/>
    <x v="0"/>
    <x v="7"/>
    <x v="18"/>
    <s v="SE4_OTHER"/>
    <x v="1"/>
    <s v="GNR_HS_HEAT_WTR-TANK_LS_E-95_Y-2010"/>
    <x v="0"/>
    <x v="1"/>
    <n v="123.230162249025"/>
    <n v="44979.009220894302"/>
    <n v="161924.433195219"/>
  </r>
  <r>
    <x v="0"/>
    <x v="0"/>
    <x v="0"/>
    <x v="7"/>
    <x v="18"/>
    <s v="SE4_OTHER"/>
    <x v="1"/>
    <s v="GNR_HS_HEAT_WTR-TANK_LS_E-95_Y-2010"/>
    <x v="0"/>
    <x v="23"/>
    <n v="124.938569206176"/>
    <n v="45602.577760254302"/>
    <n v="164169.27993691599"/>
  </r>
  <r>
    <x v="0"/>
    <x v="0"/>
    <x v="0"/>
    <x v="7"/>
    <x v="18"/>
    <s v="SE4_OTHER"/>
    <x v="1"/>
    <s v="GNR_HS_HEAT_WTR-TANK_LS_E-95_Y-2010"/>
    <x v="0"/>
    <x v="2"/>
    <n v="106.056900083587"/>
    <n v="38710.768530509296"/>
    <n v="139358.766709833"/>
  </r>
  <r>
    <x v="0"/>
    <x v="0"/>
    <x v="0"/>
    <x v="7"/>
    <x v="18"/>
    <s v="SE4_OTHER"/>
    <x v="1"/>
    <s v="GNR_HS_HEAT_WTR-TANK_LS_E-95_Y-2010"/>
    <x v="0"/>
    <x v="3"/>
    <n v="89.375310175855404"/>
    <n v="32621.9882141872"/>
    <n v="117439.157571074"/>
  </r>
  <r>
    <x v="0"/>
    <x v="0"/>
    <x v="0"/>
    <x v="7"/>
    <x v="18"/>
    <s v="SE4_OTHER"/>
    <x v="1"/>
    <s v="GNR_HS_HEAT_WTR-TANK_LS_E-95_Y-2010"/>
    <x v="0"/>
    <x v="4"/>
    <n v="65.6344751341516"/>
    <n v="23956.583423965301"/>
    <n v="86243.700326275299"/>
  </r>
  <r>
    <x v="0"/>
    <x v="0"/>
    <x v="0"/>
    <x v="7"/>
    <x v="18"/>
    <s v="SE4_OTHER"/>
    <x v="1"/>
    <s v="GNR_HS_HEAT_WTR-TANK_LS_E-95_Y-2010"/>
    <x v="0"/>
    <x v="5"/>
    <n v="41.762690505394197"/>
    <n v="15243.382034468899"/>
    <n v="54876.175324087897"/>
  </r>
  <r>
    <x v="0"/>
    <x v="0"/>
    <x v="0"/>
    <x v="7"/>
    <x v="18"/>
    <s v="SE4_OTHER"/>
    <x v="1"/>
    <s v="GNR_HS_HEAT_WTR-TANK_LS_E-95_Y-2010"/>
    <x v="0"/>
    <x v="15"/>
    <n v="39.992012233048698"/>
    <n v="14597.084465062801"/>
    <n v="52549.504074226003"/>
  </r>
  <r>
    <x v="0"/>
    <x v="0"/>
    <x v="0"/>
    <x v="7"/>
    <x v="18"/>
    <s v="SE4_OTHER"/>
    <x v="1"/>
    <s v="GNR_HS_HEAT_WTR-TANK_LS_E-95_Y-2010"/>
    <x v="0"/>
    <x v="6"/>
    <n v="29.058033837596401"/>
    <n v="10606.1823507227"/>
    <n v="38182.256462601697"/>
  </r>
  <r>
    <x v="0"/>
    <x v="0"/>
    <x v="0"/>
    <x v="7"/>
    <x v="18"/>
    <s v="SE4_OTHER"/>
    <x v="1"/>
    <s v="GNR_HS_HEAT_WTR-TANK_LS_E-95_Y-2010"/>
    <x v="0"/>
    <x v="7"/>
    <n v="21.264011616549801"/>
    <n v="7761.3642400406898"/>
    <n v="27940.9112641465"/>
  </r>
  <r>
    <x v="0"/>
    <x v="0"/>
    <x v="0"/>
    <x v="7"/>
    <x v="18"/>
    <s v="SE4_OTHER"/>
    <x v="1"/>
    <s v="GNR_HS_HEAT_WTR-TANK_LS_E-95_Y-2010"/>
    <x v="0"/>
    <x v="8"/>
    <n v="8.9008861000649908"/>
    <n v="3248.8234265237202"/>
    <n v="11695.764335485401"/>
  </r>
  <r>
    <x v="0"/>
    <x v="0"/>
    <x v="0"/>
    <x v="7"/>
    <x v="18"/>
    <s v="SE4_OTHER"/>
    <x v="4"/>
    <s v="GBPR_MUNIWASTE_19"/>
    <x v="0"/>
    <x v="9"/>
    <n v="60.738665158852299"/>
    <n v="22169.612782981101"/>
    <n v="79810.606018731996"/>
  </r>
  <r>
    <x v="0"/>
    <x v="0"/>
    <x v="0"/>
    <x v="7"/>
    <x v="18"/>
    <s v="SE4_OTHER"/>
    <x v="4"/>
    <s v="GBPR_MUNIWASTE_19"/>
    <x v="0"/>
    <x v="10"/>
    <n v="60.738665158852299"/>
    <n v="22169.612782981101"/>
    <n v="79810.606018731996"/>
  </r>
  <r>
    <x v="0"/>
    <x v="0"/>
    <x v="0"/>
    <x v="7"/>
    <x v="18"/>
    <s v="SE4_OTHER"/>
    <x v="4"/>
    <s v="GBPR_MUNIWASTE_19"/>
    <x v="0"/>
    <x v="11"/>
    <n v="60.738665158852299"/>
    <n v="22169.612782981101"/>
    <n v="79810.606018731996"/>
  </r>
  <r>
    <x v="0"/>
    <x v="0"/>
    <x v="0"/>
    <x v="7"/>
    <x v="18"/>
    <s v="SE4_OTHER"/>
    <x v="4"/>
    <s v="GBPR_MUNIWASTE_19"/>
    <x v="0"/>
    <x v="12"/>
    <n v="60.738665158852299"/>
    <n v="22169.612782981101"/>
    <n v="79810.606018731996"/>
  </r>
  <r>
    <x v="0"/>
    <x v="0"/>
    <x v="0"/>
    <x v="7"/>
    <x v="18"/>
    <s v="SE4_OTHER"/>
    <x v="4"/>
    <s v="GBPR_MUNIWASTE_19"/>
    <x v="0"/>
    <x v="13"/>
    <n v="60.738665158852299"/>
    <n v="22169.612782981101"/>
    <n v="79810.606018731996"/>
  </r>
  <r>
    <x v="0"/>
    <x v="0"/>
    <x v="0"/>
    <x v="7"/>
    <x v="18"/>
    <s v="SE4_OTHER"/>
    <x v="4"/>
    <s v="GBPR_MUNIWASTE_19"/>
    <x v="0"/>
    <x v="0"/>
    <n v="60.738665158852299"/>
    <n v="22169.612782981101"/>
    <n v="79810.606018731996"/>
  </r>
  <r>
    <x v="0"/>
    <x v="0"/>
    <x v="0"/>
    <x v="7"/>
    <x v="18"/>
    <s v="SE4_OTHER"/>
    <x v="4"/>
    <s v="GBPR_MUNIWASTE_19"/>
    <x v="0"/>
    <x v="14"/>
    <n v="60.738665158852299"/>
    <n v="22169.612782981101"/>
    <n v="79810.606018731996"/>
  </r>
  <r>
    <x v="0"/>
    <x v="0"/>
    <x v="0"/>
    <x v="7"/>
    <x v="18"/>
    <s v="SE4_OTHER"/>
    <x v="4"/>
    <s v="GBPR_MUNIWASTE_19"/>
    <x v="0"/>
    <x v="1"/>
    <n v="60.738665158852299"/>
    <n v="22169.612782981101"/>
    <n v="79810.606018731996"/>
  </r>
  <r>
    <x v="0"/>
    <x v="0"/>
    <x v="0"/>
    <x v="7"/>
    <x v="18"/>
    <s v="SE4_OTHER"/>
    <x v="4"/>
    <s v="GBPR_MUNIWASTE_19"/>
    <x v="0"/>
    <x v="23"/>
    <n v="60.738665158852299"/>
    <n v="22169.612782981101"/>
    <n v="79810.606018731996"/>
  </r>
  <r>
    <x v="0"/>
    <x v="0"/>
    <x v="0"/>
    <x v="7"/>
    <x v="18"/>
    <s v="SE4_OTHER"/>
    <x v="4"/>
    <s v="GBPR_MUNIWASTE_19"/>
    <x v="0"/>
    <x v="2"/>
    <n v="60.738665158852299"/>
    <n v="22169.612782981101"/>
    <n v="79810.606018731996"/>
  </r>
  <r>
    <x v="0"/>
    <x v="0"/>
    <x v="0"/>
    <x v="7"/>
    <x v="18"/>
    <s v="SE4_OTHER"/>
    <x v="4"/>
    <s v="GBPR_MUNIWASTE_19"/>
    <x v="0"/>
    <x v="3"/>
    <n v="60.738665158852299"/>
    <n v="22169.612782981101"/>
    <n v="79810.606018731996"/>
  </r>
  <r>
    <x v="0"/>
    <x v="0"/>
    <x v="0"/>
    <x v="7"/>
    <x v="18"/>
    <s v="SE4_OTHER"/>
    <x v="4"/>
    <s v="GBPR_MUNIWASTE_19"/>
    <x v="0"/>
    <x v="4"/>
    <n v="60.738665158852299"/>
    <n v="22169.612782981101"/>
    <n v="79810.606018731996"/>
  </r>
  <r>
    <x v="0"/>
    <x v="0"/>
    <x v="0"/>
    <x v="7"/>
    <x v="18"/>
    <s v="SE4_OTHER"/>
    <x v="4"/>
    <s v="GBPR_MUNIWASTE_19"/>
    <x v="0"/>
    <x v="5"/>
    <n v="60.738665158852299"/>
    <n v="22169.612782981101"/>
    <n v="79810.606018731996"/>
  </r>
  <r>
    <x v="0"/>
    <x v="0"/>
    <x v="0"/>
    <x v="7"/>
    <x v="18"/>
    <s v="SE4_OTHER"/>
    <x v="4"/>
    <s v="GBPR_MUNIWASTE_19"/>
    <x v="0"/>
    <x v="15"/>
    <n v="60.738665158852299"/>
    <n v="22169.612782981101"/>
    <n v="79810.606018731996"/>
  </r>
  <r>
    <x v="0"/>
    <x v="0"/>
    <x v="0"/>
    <x v="7"/>
    <x v="18"/>
    <s v="SE4_OTHER"/>
    <x v="4"/>
    <s v="GBPR_MUNIWASTE_19"/>
    <x v="0"/>
    <x v="6"/>
    <n v="60.738665158852299"/>
    <n v="22169.612782981101"/>
    <n v="79810.606018731996"/>
  </r>
  <r>
    <x v="0"/>
    <x v="0"/>
    <x v="0"/>
    <x v="7"/>
    <x v="18"/>
    <s v="SE4_OTHER"/>
    <x v="4"/>
    <s v="GBPR_MUNIWASTE_19"/>
    <x v="0"/>
    <x v="7"/>
    <n v="60.738665158852299"/>
    <n v="22169.612782981101"/>
    <n v="79810.606018731996"/>
  </r>
  <r>
    <x v="0"/>
    <x v="0"/>
    <x v="0"/>
    <x v="7"/>
    <x v="18"/>
    <s v="SE4_OTHER"/>
    <x v="4"/>
    <s v="GBPR_MUNIWASTE_19"/>
    <x v="0"/>
    <x v="8"/>
    <n v="60.738665158852299"/>
    <n v="22169.612782981101"/>
    <n v="79810.606018731996"/>
  </r>
  <r>
    <x v="0"/>
    <x v="0"/>
    <x v="0"/>
    <x v="7"/>
    <x v="18"/>
    <s v="SE4_OTHER"/>
    <x v="4"/>
    <s v="GBPR_MUNIWASTE_19"/>
    <x v="0"/>
    <x v="16"/>
    <n v="60.738665158852299"/>
    <n v="22169.612782981101"/>
    <n v="79810.606018731996"/>
  </r>
  <r>
    <x v="0"/>
    <x v="0"/>
    <x v="0"/>
    <x v="7"/>
    <x v="18"/>
    <s v="SE4_OTHER"/>
    <x v="4"/>
    <s v="GBPR_MUNIWASTE_19"/>
    <x v="0"/>
    <x v="17"/>
    <n v="60.738665158852299"/>
    <n v="22169.612782981101"/>
    <n v="79810.606018731996"/>
  </r>
  <r>
    <x v="0"/>
    <x v="0"/>
    <x v="0"/>
    <x v="7"/>
    <x v="18"/>
    <s v="SE4_OTHER"/>
    <x v="4"/>
    <s v="GBPR_MUNIWASTE_19"/>
    <x v="0"/>
    <x v="18"/>
    <n v="60.738665158852299"/>
    <n v="22169.612782981101"/>
    <n v="79810.606018731996"/>
  </r>
  <r>
    <x v="0"/>
    <x v="0"/>
    <x v="0"/>
    <x v="7"/>
    <x v="18"/>
    <s v="SE4_OTHER"/>
    <x v="4"/>
    <s v="GBPR_MUNIWASTE_19"/>
    <x v="0"/>
    <x v="19"/>
    <n v="60.738665158852299"/>
    <n v="22169.612782981101"/>
    <n v="79810.606018731996"/>
  </r>
  <r>
    <x v="0"/>
    <x v="0"/>
    <x v="0"/>
    <x v="7"/>
    <x v="18"/>
    <s v="SE4_OTHER"/>
    <x v="4"/>
    <s v="GBPR_MUNIWASTE_19"/>
    <x v="0"/>
    <x v="20"/>
    <n v="60.738665158852299"/>
    <n v="22169.612782981101"/>
    <n v="79810.606018731996"/>
  </r>
  <r>
    <x v="0"/>
    <x v="0"/>
    <x v="0"/>
    <x v="7"/>
    <x v="18"/>
    <s v="SE4_OTHER"/>
    <x v="4"/>
    <s v="GBPR_MUNIWASTE_19"/>
    <x v="0"/>
    <x v="21"/>
    <n v="60.738665158852299"/>
    <n v="22169.612782981101"/>
    <n v="79810.606018731996"/>
  </r>
  <r>
    <x v="0"/>
    <x v="0"/>
    <x v="0"/>
    <x v="7"/>
    <x v="18"/>
    <s v="SE4_OTHER"/>
    <x v="4"/>
    <s v="GBPR_MUNIWASTE_19"/>
    <x v="0"/>
    <x v="22"/>
    <n v="60.738665158852299"/>
    <n v="22169.612782981101"/>
    <n v="79810.606018731996"/>
  </r>
  <r>
    <x v="0"/>
    <x v="0"/>
    <x v="0"/>
    <x v="7"/>
    <x v="18"/>
    <s v="SE4_OTHER"/>
    <x v="4"/>
    <s v="GHOB_MUNIWASTE"/>
    <x v="0"/>
    <x v="9"/>
    <n v="13.1573720485134"/>
    <n v="4802.4407977073997"/>
    <n v="17288.786871746699"/>
  </r>
  <r>
    <x v="0"/>
    <x v="0"/>
    <x v="0"/>
    <x v="7"/>
    <x v="18"/>
    <s v="SE4_OTHER"/>
    <x v="4"/>
    <s v="GHOB_MUNIWASTE"/>
    <x v="0"/>
    <x v="10"/>
    <n v="13.1573720485134"/>
    <n v="4802.4407977073997"/>
    <n v="17288.786871746699"/>
  </r>
  <r>
    <x v="0"/>
    <x v="0"/>
    <x v="0"/>
    <x v="7"/>
    <x v="18"/>
    <s v="SE4_OTHER"/>
    <x v="4"/>
    <s v="GHOB_MUNIWASTE"/>
    <x v="0"/>
    <x v="11"/>
    <n v="13.1573720485134"/>
    <n v="4802.4407977073997"/>
    <n v="17288.786871746699"/>
  </r>
  <r>
    <x v="0"/>
    <x v="0"/>
    <x v="0"/>
    <x v="7"/>
    <x v="18"/>
    <s v="SE4_OTHER"/>
    <x v="4"/>
    <s v="GHOB_MUNIWASTE"/>
    <x v="0"/>
    <x v="12"/>
    <n v="13.1573720485134"/>
    <n v="4802.4407977073997"/>
    <n v="17288.786871746699"/>
  </r>
  <r>
    <x v="0"/>
    <x v="0"/>
    <x v="0"/>
    <x v="7"/>
    <x v="18"/>
    <s v="SE4_OTHER"/>
    <x v="4"/>
    <s v="GHOB_MUNIWASTE"/>
    <x v="0"/>
    <x v="13"/>
    <n v="13.1573720485134"/>
    <n v="4802.4407977073997"/>
    <n v="17288.786871746699"/>
  </r>
  <r>
    <x v="0"/>
    <x v="0"/>
    <x v="0"/>
    <x v="7"/>
    <x v="18"/>
    <s v="SE4_OTHER"/>
    <x v="4"/>
    <s v="GHOB_MUNIWASTE"/>
    <x v="0"/>
    <x v="0"/>
    <n v="13.1573720485134"/>
    <n v="4802.4407977073997"/>
    <n v="17288.786871746699"/>
  </r>
  <r>
    <x v="0"/>
    <x v="0"/>
    <x v="0"/>
    <x v="7"/>
    <x v="18"/>
    <s v="SE4_OTHER"/>
    <x v="4"/>
    <s v="GHOB_MUNIWASTE"/>
    <x v="0"/>
    <x v="14"/>
    <n v="13.1573720485134"/>
    <n v="4802.4407977073997"/>
    <n v="17288.786871746699"/>
  </r>
  <r>
    <x v="0"/>
    <x v="0"/>
    <x v="0"/>
    <x v="7"/>
    <x v="18"/>
    <s v="SE4_OTHER"/>
    <x v="4"/>
    <s v="GHOB_MUNIWASTE"/>
    <x v="0"/>
    <x v="1"/>
    <n v="13.1573720485134"/>
    <n v="4802.4407977073997"/>
    <n v="17288.786871746699"/>
  </r>
  <r>
    <x v="0"/>
    <x v="0"/>
    <x v="0"/>
    <x v="7"/>
    <x v="18"/>
    <s v="SE4_OTHER"/>
    <x v="4"/>
    <s v="GHOB_MUNIWASTE"/>
    <x v="0"/>
    <x v="23"/>
    <n v="13.1573720485134"/>
    <n v="4802.4407977073997"/>
    <n v="17288.786871746699"/>
  </r>
  <r>
    <x v="0"/>
    <x v="0"/>
    <x v="0"/>
    <x v="7"/>
    <x v="18"/>
    <s v="SE4_OTHER"/>
    <x v="4"/>
    <s v="GHOB_MUNIWASTE"/>
    <x v="0"/>
    <x v="2"/>
    <n v="13.1573720485134"/>
    <n v="4802.4407977073997"/>
    <n v="17288.786871746699"/>
  </r>
  <r>
    <x v="0"/>
    <x v="0"/>
    <x v="0"/>
    <x v="7"/>
    <x v="18"/>
    <s v="SE4_OTHER"/>
    <x v="4"/>
    <s v="GHOB_MUNIWASTE"/>
    <x v="0"/>
    <x v="3"/>
    <n v="13.1573720485134"/>
    <n v="4802.4407977073997"/>
    <n v="17288.786871746699"/>
  </r>
  <r>
    <x v="0"/>
    <x v="0"/>
    <x v="0"/>
    <x v="7"/>
    <x v="18"/>
    <s v="SE4_OTHER"/>
    <x v="4"/>
    <s v="GHOB_MUNIWASTE"/>
    <x v="0"/>
    <x v="4"/>
    <n v="13.1573720485134"/>
    <n v="4802.4407977073997"/>
    <n v="17288.786871746699"/>
  </r>
  <r>
    <x v="0"/>
    <x v="0"/>
    <x v="0"/>
    <x v="7"/>
    <x v="18"/>
    <s v="SE4_OTHER"/>
    <x v="4"/>
    <s v="GHOB_MUNIWASTE"/>
    <x v="0"/>
    <x v="5"/>
    <n v="13.1573720485134"/>
    <n v="4802.4407977073997"/>
    <n v="17288.786871746699"/>
  </r>
  <r>
    <x v="0"/>
    <x v="0"/>
    <x v="0"/>
    <x v="7"/>
    <x v="18"/>
    <s v="SE4_OTHER"/>
    <x v="4"/>
    <s v="GHOB_MUNIWASTE"/>
    <x v="0"/>
    <x v="15"/>
    <n v="13.1573720485134"/>
    <n v="4802.4407977073997"/>
    <n v="17288.786871746699"/>
  </r>
  <r>
    <x v="0"/>
    <x v="0"/>
    <x v="0"/>
    <x v="7"/>
    <x v="18"/>
    <s v="SE4_OTHER"/>
    <x v="4"/>
    <s v="GHOB_MUNIWASTE"/>
    <x v="0"/>
    <x v="6"/>
    <n v="13.1573720485134"/>
    <n v="4802.4407977073997"/>
    <n v="17288.786871746699"/>
  </r>
  <r>
    <x v="0"/>
    <x v="0"/>
    <x v="0"/>
    <x v="7"/>
    <x v="18"/>
    <s v="SE4_OTHER"/>
    <x v="4"/>
    <s v="GHOB_MUNIWASTE"/>
    <x v="0"/>
    <x v="7"/>
    <n v="13.1573720485134"/>
    <n v="4802.4407977073997"/>
    <n v="17288.786871746699"/>
  </r>
  <r>
    <x v="0"/>
    <x v="0"/>
    <x v="0"/>
    <x v="7"/>
    <x v="18"/>
    <s v="SE4_OTHER"/>
    <x v="4"/>
    <s v="GHOB_MUNIWASTE"/>
    <x v="0"/>
    <x v="8"/>
    <n v="13.1573720485134"/>
    <n v="4802.4407977073997"/>
    <n v="17288.786871746699"/>
  </r>
  <r>
    <x v="0"/>
    <x v="0"/>
    <x v="0"/>
    <x v="7"/>
    <x v="18"/>
    <s v="SE4_OTHER"/>
    <x v="4"/>
    <s v="GHOB_MUNIWASTE"/>
    <x v="0"/>
    <x v="16"/>
    <n v="13.1573720485134"/>
    <n v="4802.4407977073997"/>
    <n v="17288.786871746699"/>
  </r>
  <r>
    <x v="0"/>
    <x v="0"/>
    <x v="0"/>
    <x v="7"/>
    <x v="18"/>
    <s v="SE4_OTHER"/>
    <x v="4"/>
    <s v="GHOB_MUNIWASTE"/>
    <x v="0"/>
    <x v="17"/>
    <n v="13.1573720485134"/>
    <n v="4802.4407977073997"/>
    <n v="17288.786871746699"/>
  </r>
  <r>
    <x v="0"/>
    <x v="0"/>
    <x v="0"/>
    <x v="7"/>
    <x v="18"/>
    <s v="SE4_OTHER"/>
    <x v="4"/>
    <s v="GHOB_MUNIWASTE"/>
    <x v="0"/>
    <x v="18"/>
    <n v="13.1573720485134"/>
    <n v="4802.4407977073997"/>
    <n v="17288.786871746699"/>
  </r>
  <r>
    <x v="0"/>
    <x v="0"/>
    <x v="0"/>
    <x v="7"/>
    <x v="18"/>
    <s v="SE4_OTHER"/>
    <x v="4"/>
    <s v="GHOB_MUNIWASTE"/>
    <x v="0"/>
    <x v="19"/>
    <n v="13.1573720485134"/>
    <n v="4802.4407977073997"/>
    <n v="17288.786871746699"/>
  </r>
  <r>
    <x v="0"/>
    <x v="0"/>
    <x v="0"/>
    <x v="7"/>
    <x v="18"/>
    <s v="SE4_OTHER"/>
    <x v="4"/>
    <s v="GHOB_MUNIWASTE"/>
    <x v="0"/>
    <x v="20"/>
    <n v="13.1573720485134"/>
    <n v="4802.4407977073997"/>
    <n v="17288.786871746699"/>
  </r>
  <r>
    <x v="0"/>
    <x v="0"/>
    <x v="0"/>
    <x v="7"/>
    <x v="18"/>
    <s v="SE4_OTHER"/>
    <x v="4"/>
    <s v="GHOB_MUNIWASTE"/>
    <x v="0"/>
    <x v="21"/>
    <n v="13.1573720485134"/>
    <n v="4802.4407977073997"/>
    <n v="17288.786871746699"/>
  </r>
  <r>
    <x v="0"/>
    <x v="0"/>
    <x v="0"/>
    <x v="7"/>
    <x v="18"/>
    <s v="SE4_OTHER"/>
    <x v="4"/>
    <s v="GHOB_MUNIWASTE"/>
    <x v="0"/>
    <x v="22"/>
    <n v="13.1573720485134"/>
    <n v="4802.4407977073997"/>
    <n v="17288.786871746699"/>
  </r>
  <r>
    <x v="0"/>
    <x v="0"/>
    <x v="0"/>
    <x v="7"/>
    <x v="18"/>
    <s v="SE4_OTHER"/>
    <x v="2"/>
    <s v="GHOB_WASTEHEAT"/>
    <x v="0"/>
    <x v="9"/>
    <n v="54.953067765567503"/>
    <n v="20057.869734432199"/>
    <n v="72208.331043955797"/>
  </r>
  <r>
    <x v="0"/>
    <x v="0"/>
    <x v="0"/>
    <x v="7"/>
    <x v="18"/>
    <s v="SE4_OTHER"/>
    <x v="2"/>
    <s v="GHOB_WASTEHEAT"/>
    <x v="0"/>
    <x v="10"/>
    <n v="54.953067765567503"/>
    <n v="20057.869734432199"/>
    <n v="72208.331043955797"/>
  </r>
  <r>
    <x v="0"/>
    <x v="0"/>
    <x v="0"/>
    <x v="7"/>
    <x v="18"/>
    <s v="SE4_OTHER"/>
    <x v="2"/>
    <s v="GHOB_WASTEHEAT"/>
    <x v="0"/>
    <x v="11"/>
    <n v="54.953067765567503"/>
    <n v="20057.869734432199"/>
    <n v="72208.331043955797"/>
  </r>
  <r>
    <x v="0"/>
    <x v="0"/>
    <x v="0"/>
    <x v="7"/>
    <x v="18"/>
    <s v="SE4_OTHER"/>
    <x v="2"/>
    <s v="GHOB_WASTEHEAT"/>
    <x v="0"/>
    <x v="12"/>
    <n v="54.953067765567503"/>
    <n v="20057.869734432199"/>
    <n v="72208.331043955797"/>
  </r>
  <r>
    <x v="0"/>
    <x v="0"/>
    <x v="0"/>
    <x v="7"/>
    <x v="18"/>
    <s v="SE4_OTHER"/>
    <x v="2"/>
    <s v="GHOB_WASTEHEAT"/>
    <x v="0"/>
    <x v="13"/>
    <n v="54.953067765567503"/>
    <n v="20057.869734432199"/>
    <n v="72208.331043955797"/>
  </r>
  <r>
    <x v="0"/>
    <x v="0"/>
    <x v="0"/>
    <x v="7"/>
    <x v="18"/>
    <s v="SE4_OTHER"/>
    <x v="2"/>
    <s v="GHOB_WASTEHEAT"/>
    <x v="0"/>
    <x v="0"/>
    <n v="54.953067765567503"/>
    <n v="20057.869734432199"/>
    <n v="72208.331043955797"/>
  </r>
  <r>
    <x v="0"/>
    <x v="0"/>
    <x v="0"/>
    <x v="7"/>
    <x v="18"/>
    <s v="SE4_OTHER"/>
    <x v="2"/>
    <s v="GHOB_WASTEHEAT"/>
    <x v="0"/>
    <x v="14"/>
    <n v="54.953067765567503"/>
    <n v="20057.869734432199"/>
    <n v="72208.331043955797"/>
  </r>
  <r>
    <x v="0"/>
    <x v="0"/>
    <x v="0"/>
    <x v="7"/>
    <x v="18"/>
    <s v="SE4_OTHER"/>
    <x v="2"/>
    <s v="GHOB_WASTEHEAT"/>
    <x v="0"/>
    <x v="1"/>
    <n v="54.953067765567503"/>
    <n v="20057.869734432199"/>
    <n v="72208.331043955797"/>
  </r>
  <r>
    <x v="0"/>
    <x v="0"/>
    <x v="0"/>
    <x v="7"/>
    <x v="18"/>
    <s v="SE4_OTHER"/>
    <x v="2"/>
    <s v="GHOB_WASTEHEAT"/>
    <x v="0"/>
    <x v="23"/>
    <n v="54.953067765567503"/>
    <n v="20057.869734432199"/>
    <n v="72208.331043955797"/>
  </r>
  <r>
    <x v="0"/>
    <x v="0"/>
    <x v="0"/>
    <x v="7"/>
    <x v="18"/>
    <s v="SE4_OTHER"/>
    <x v="2"/>
    <s v="GHOB_WASTEHEAT"/>
    <x v="0"/>
    <x v="2"/>
    <n v="54.953067765567503"/>
    <n v="20057.869734432199"/>
    <n v="72208.331043955797"/>
  </r>
  <r>
    <x v="0"/>
    <x v="0"/>
    <x v="0"/>
    <x v="7"/>
    <x v="18"/>
    <s v="SE4_OTHER"/>
    <x v="2"/>
    <s v="GHOB_WASTEHEAT"/>
    <x v="0"/>
    <x v="3"/>
    <n v="54.953067765567503"/>
    <n v="20057.869734432199"/>
    <n v="72208.331043955797"/>
  </r>
  <r>
    <x v="0"/>
    <x v="0"/>
    <x v="0"/>
    <x v="7"/>
    <x v="18"/>
    <s v="SE4_OTHER"/>
    <x v="2"/>
    <s v="GHOB_WASTEHEAT"/>
    <x v="0"/>
    <x v="4"/>
    <n v="54.953067765567503"/>
    <n v="20057.869734432199"/>
    <n v="72208.331043955797"/>
  </r>
  <r>
    <x v="0"/>
    <x v="0"/>
    <x v="0"/>
    <x v="7"/>
    <x v="18"/>
    <s v="SE4_OTHER"/>
    <x v="2"/>
    <s v="GHOB_WASTEHEAT"/>
    <x v="0"/>
    <x v="5"/>
    <n v="54.953067765567503"/>
    <n v="20057.869734432199"/>
    <n v="72208.331043955797"/>
  </r>
  <r>
    <x v="0"/>
    <x v="0"/>
    <x v="0"/>
    <x v="7"/>
    <x v="18"/>
    <s v="SE4_OTHER"/>
    <x v="2"/>
    <s v="GHOB_WASTEHEAT"/>
    <x v="0"/>
    <x v="15"/>
    <n v="54.953067765567503"/>
    <n v="20057.869734432199"/>
    <n v="72208.331043955797"/>
  </r>
  <r>
    <x v="0"/>
    <x v="0"/>
    <x v="0"/>
    <x v="7"/>
    <x v="18"/>
    <s v="SE4_OTHER"/>
    <x v="2"/>
    <s v="GHOB_WASTEHEAT"/>
    <x v="0"/>
    <x v="6"/>
    <n v="54.953067765567503"/>
    <n v="20057.869734432199"/>
    <n v="72208.331043955797"/>
  </r>
  <r>
    <x v="0"/>
    <x v="0"/>
    <x v="0"/>
    <x v="7"/>
    <x v="18"/>
    <s v="SE4_OTHER"/>
    <x v="2"/>
    <s v="GHOB_WASTEHEAT"/>
    <x v="0"/>
    <x v="7"/>
    <n v="54.953067765567503"/>
    <n v="20057.869734432199"/>
    <n v="72208.331043955797"/>
  </r>
  <r>
    <x v="0"/>
    <x v="0"/>
    <x v="0"/>
    <x v="7"/>
    <x v="18"/>
    <s v="SE4_OTHER"/>
    <x v="2"/>
    <s v="GHOB_WASTEHEAT"/>
    <x v="0"/>
    <x v="8"/>
    <n v="54.953067765567503"/>
    <n v="20057.869734432199"/>
    <n v="72208.331043955797"/>
  </r>
  <r>
    <x v="0"/>
    <x v="0"/>
    <x v="0"/>
    <x v="7"/>
    <x v="18"/>
    <s v="SE4_OTHER"/>
    <x v="2"/>
    <s v="GHOB_WASTEHEAT"/>
    <x v="0"/>
    <x v="16"/>
    <n v="54.953067765567503"/>
    <n v="20057.869734432199"/>
    <n v="72208.331043955797"/>
  </r>
  <r>
    <x v="0"/>
    <x v="0"/>
    <x v="0"/>
    <x v="7"/>
    <x v="18"/>
    <s v="SE4_OTHER"/>
    <x v="2"/>
    <s v="GHOB_WASTEHEAT"/>
    <x v="0"/>
    <x v="17"/>
    <n v="54.953067765567503"/>
    <n v="20057.869734432199"/>
    <n v="72208.331043955797"/>
  </r>
  <r>
    <x v="0"/>
    <x v="0"/>
    <x v="0"/>
    <x v="7"/>
    <x v="18"/>
    <s v="SE4_OTHER"/>
    <x v="2"/>
    <s v="GHOB_WASTEHEAT"/>
    <x v="0"/>
    <x v="18"/>
    <n v="54.953067765567503"/>
    <n v="20057.869734432199"/>
    <n v="72208.331043955797"/>
  </r>
  <r>
    <x v="0"/>
    <x v="0"/>
    <x v="0"/>
    <x v="7"/>
    <x v="18"/>
    <s v="SE4_OTHER"/>
    <x v="2"/>
    <s v="GHOB_WASTEHEAT"/>
    <x v="0"/>
    <x v="19"/>
    <n v="54.953067765567503"/>
    <n v="20057.869734432199"/>
    <n v="72208.331043955797"/>
  </r>
  <r>
    <x v="0"/>
    <x v="0"/>
    <x v="0"/>
    <x v="7"/>
    <x v="18"/>
    <s v="SE4_OTHER"/>
    <x v="2"/>
    <s v="GHOB_WASTEHEAT"/>
    <x v="0"/>
    <x v="20"/>
    <n v="54.953067765567503"/>
    <n v="20057.869734432199"/>
    <n v="72208.331043955797"/>
  </r>
  <r>
    <x v="0"/>
    <x v="0"/>
    <x v="0"/>
    <x v="7"/>
    <x v="18"/>
    <s v="SE4_OTHER"/>
    <x v="2"/>
    <s v="GHOB_WASTEHEAT"/>
    <x v="0"/>
    <x v="21"/>
    <n v="54.953067765567503"/>
    <n v="20057.869734432199"/>
    <n v="72208.331043955797"/>
  </r>
  <r>
    <x v="0"/>
    <x v="0"/>
    <x v="0"/>
    <x v="7"/>
    <x v="18"/>
    <s v="SE4_OTHER"/>
    <x v="2"/>
    <s v="GHOB_WASTEHEAT"/>
    <x v="0"/>
    <x v="22"/>
    <n v="54.953067765567503"/>
    <n v="20057.869734432199"/>
    <n v="72208.331043955797"/>
  </r>
  <r>
    <x v="0"/>
    <x v="0"/>
    <x v="0"/>
    <x v="7"/>
    <x v="18"/>
    <s v="SE4_OTHER"/>
    <x v="8"/>
    <s v="GBPR_WOODWASTE_36"/>
    <x v="0"/>
    <x v="9"/>
    <n v="194.306363105663"/>
    <n v="70921.822533566898"/>
    <n v="255318.56112084101"/>
  </r>
  <r>
    <x v="0"/>
    <x v="0"/>
    <x v="0"/>
    <x v="7"/>
    <x v="18"/>
    <s v="SE4_OTHER"/>
    <x v="8"/>
    <s v="GBPR_WOODWASTE_36"/>
    <x v="0"/>
    <x v="10"/>
    <n v="194.306363105663"/>
    <n v="70921.822533566898"/>
    <n v="255318.56112084101"/>
  </r>
  <r>
    <x v="0"/>
    <x v="0"/>
    <x v="0"/>
    <x v="7"/>
    <x v="18"/>
    <s v="SE4_OTHER"/>
    <x v="8"/>
    <s v="GBPR_WOODWASTE_36"/>
    <x v="0"/>
    <x v="11"/>
    <n v="194.306363105663"/>
    <n v="70921.822533566898"/>
    <n v="255318.56112084101"/>
  </r>
  <r>
    <x v="0"/>
    <x v="0"/>
    <x v="0"/>
    <x v="7"/>
    <x v="18"/>
    <s v="SE4_OTHER"/>
    <x v="8"/>
    <s v="GBPR_WOODWASTE_36"/>
    <x v="0"/>
    <x v="12"/>
    <n v="194.306363105663"/>
    <n v="70921.822533566898"/>
    <n v="255318.56112084101"/>
  </r>
  <r>
    <x v="0"/>
    <x v="0"/>
    <x v="0"/>
    <x v="7"/>
    <x v="18"/>
    <s v="SE4_OTHER"/>
    <x v="8"/>
    <s v="GBPR_WOODWASTE_36"/>
    <x v="0"/>
    <x v="13"/>
    <n v="194.306363105663"/>
    <n v="70921.822533566898"/>
    <n v="255318.56112084101"/>
  </r>
  <r>
    <x v="0"/>
    <x v="0"/>
    <x v="0"/>
    <x v="7"/>
    <x v="18"/>
    <s v="SE4_OTHER"/>
    <x v="8"/>
    <s v="GBPR_WOODWASTE_36"/>
    <x v="0"/>
    <x v="0"/>
    <n v="194.306363105663"/>
    <n v="70921.822533566898"/>
    <n v="255318.56112084101"/>
  </r>
  <r>
    <x v="0"/>
    <x v="0"/>
    <x v="0"/>
    <x v="7"/>
    <x v="18"/>
    <s v="SE4_OTHER"/>
    <x v="8"/>
    <s v="GBPR_WOODWASTE_36"/>
    <x v="0"/>
    <x v="14"/>
    <n v="194.306363105663"/>
    <n v="70921.822533566898"/>
    <n v="255318.56112084101"/>
  </r>
  <r>
    <x v="0"/>
    <x v="0"/>
    <x v="0"/>
    <x v="7"/>
    <x v="18"/>
    <s v="SE4_OTHER"/>
    <x v="8"/>
    <s v="GBPR_WOODWASTE_36"/>
    <x v="0"/>
    <x v="1"/>
    <n v="194.306363105663"/>
    <n v="70921.822533566898"/>
    <n v="255318.56112084101"/>
  </r>
  <r>
    <x v="0"/>
    <x v="0"/>
    <x v="0"/>
    <x v="7"/>
    <x v="18"/>
    <s v="SE4_OTHER"/>
    <x v="8"/>
    <s v="GBPR_WOODWASTE_36"/>
    <x v="0"/>
    <x v="23"/>
    <n v="194.306363105663"/>
    <n v="70921.822533566898"/>
    <n v="255318.56112084101"/>
  </r>
  <r>
    <x v="0"/>
    <x v="0"/>
    <x v="0"/>
    <x v="7"/>
    <x v="18"/>
    <s v="SE4_OTHER"/>
    <x v="8"/>
    <s v="GBPR_WOODWASTE_36"/>
    <x v="0"/>
    <x v="2"/>
    <n v="194.306363105663"/>
    <n v="70921.822533566898"/>
    <n v="255318.56112084101"/>
  </r>
  <r>
    <x v="0"/>
    <x v="0"/>
    <x v="0"/>
    <x v="7"/>
    <x v="18"/>
    <s v="SE4_OTHER"/>
    <x v="8"/>
    <s v="GBPR_WOODWASTE_36"/>
    <x v="0"/>
    <x v="3"/>
    <n v="194.306363105663"/>
    <n v="70921.822533566898"/>
    <n v="255318.56112084101"/>
  </r>
  <r>
    <x v="0"/>
    <x v="0"/>
    <x v="0"/>
    <x v="7"/>
    <x v="18"/>
    <s v="SE4_OTHER"/>
    <x v="8"/>
    <s v="GBPR_WOODWASTE_36"/>
    <x v="0"/>
    <x v="4"/>
    <n v="194.306363105663"/>
    <n v="70921.822533566898"/>
    <n v="255318.56112084101"/>
  </r>
  <r>
    <x v="0"/>
    <x v="0"/>
    <x v="0"/>
    <x v="7"/>
    <x v="18"/>
    <s v="SE4_OTHER"/>
    <x v="8"/>
    <s v="GBPR_WOODWASTE_36"/>
    <x v="0"/>
    <x v="5"/>
    <n v="194.306363105663"/>
    <n v="70921.822533566898"/>
    <n v="255318.56112084101"/>
  </r>
  <r>
    <x v="0"/>
    <x v="0"/>
    <x v="0"/>
    <x v="7"/>
    <x v="18"/>
    <s v="SE4_OTHER"/>
    <x v="8"/>
    <s v="GBPR_WOODWASTE_36"/>
    <x v="0"/>
    <x v="15"/>
    <n v="194.306363105663"/>
    <n v="70921.822533566898"/>
    <n v="255318.56112084101"/>
  </r>
  <r>
    <x v="0"/>
    <x v="0"/>
    <x v="0"/>
    <x v="7"/>
    <x v="18"/>
    <s v="SE4_OTHER"/>
    <x v="8"/>
    <s v="GBPR_WOODWASTE_36"/>
    <x v="0"/>
    <x v="6"/>
    <n v="194.306363105663"/>
    <n v="70921.822533566898"/>
    <n v="255318.56112084101"/>
  </r>
  <r>
    <x v="0"/>
    <x v="0"/>
    <x v="0"/>
    <x v="7"/>
    <x v="18"/>
    <s v="SE4_OTHER"/>
    <x v="8"/>
    <s v="GBPR_WOODWASTE_36"/>
    <x v="0"/>
    <x v="7"/>
    <n v="194.306363105663"/>
    <n v="70921.822533566898"/>
    <n v="255318.56112084101"/>
  </r>
  <r>
    <x v="0"/>
    <x v="0"/>
    <x v="0"/>
    <x v="7"/>
    <x v="18"/>
    <s v="SE4_OTHER"/>
    <x v="8"/>
    <s v="GBPR_WOODWASTE_36"/>
    <x v="0"/>
    <x v="8"/>
    <n v="194.306363105663"/>
    <n v="70921.822533566898"/>
    <n v="255318.56112084101"/>
  </r>
  <r>
    <x v="0"/>
    <x v="0"/>
    <x v="0"/>
    <x v="7"/>
    <x v="18"/>
    <s v="SE4_OTHER"/>
    <x v="8"/>
    <s v="GBPR_WOODWASTE_36"/>
    <x v="0"/>
    <x v="16"/>
    <n v="194.306363105663"/>
    <n v="70921.822533566898"/>
    <n v="255318.56112084101"/>
  </r>
  <r>
    <x v="0"/>
    <x v="0"/>
    <x v="0"/>
    <x v="7"/>
    <x v="18"/>
    <s v="SE4_OTHER"/>
    <x v="8"/>
    <s v="GBPR_WOODWASTE_36"/>
    <x v="0"/>
    <x v="17"/>
    <n v="194.306363105663"/>
    <n v="70921.822533566898"/>
    <n v="255318.56112084101"/>
  </r>
  <r>
    <x v="0"/>
    <x v="0"/>
    <x v="0"/>
    <x v="7"/>
    <x v="18"/>
    <s v="SE4_OTHER"/>
    <x v="8"/>
    <s v="GBPR_WOODWASTE_36"/>
    <x v="0"/>
    <x v="18"/>
    <n v="194.306363105663"/>
    <n v="70921.822533566898"/>
    <n v="255318.56112084101"/>
  </r>
  <r>
    <x v="0"/>
    <x v="0"/>
    <x v="0"/>
    <x v="7"/>
    <x v="18"/>
    <s v="SE4_OTHER"/>
    <x v="8"/>
    <s v="GBPR_WOODWASTE_36"/>
    <x v="0"/>
    <x v="19"/>
    <n v="194.306363105663"/>
    <n v="70921.822533566898"/>
    <n v="255318.56112084101"/>
  </r>
  <r>
    <x v="0"/>
    <x v="0"/>
    <x v="0"/>
    <x v="7"/>
    <x v="18"/>
    <s v="SE4_OTHER"/>
    <x v="8"/>
    <s v="GBPR_WOODWASTE_36"/>
    <x v="0"/>
    <x v="20"/>
    <n v="194.306363105663"/>
    <n v="70921.822533566898"/>
    <n v="255318.56112084101"/>
  </r>
  <r>
    <x v="0"/>
    <x v="0"/>
    <x v="0"/>
    <x v="7"/>
    <x v="18"/>
    <s v="SE4_OTHER"/>
    <x v="8"/>
    <s v="GBPR_WOODWASTE_36"/>
    <x v="0"/>
    <x v="21"/>
    <n v="194.306363105663"/>
    <n v="70921.822533566898"/>
    <n v="255318.56112084101"/>
  </r>
  <r>
    <x v="0"/>
    <x v="0"/>
    <x v="0"/>
    <x v="7"/>
    <x v="18"/>
    <s v="SE4_OTHER"/>
    <x v="8"/>
    <s v="GBPR_WOODWASTE_36"/>
    <x v="0"/>
    <x v="22"/>
    <n v="194.306363105663"/>
    <n v="70921.822533566898"/>
    <n v="255318.56112084101"/>
  </r>
  <r>
    <x v="0"/>
    <x v="0"/>
    <x v="0"/>
    <x v="7"/>
    <x v="18"/>
    <s v="SE4_OTHER"/>
    <x v="8"/>
    <s v="GHOB_WOODWASTE"/>
    <x v="0"/>
    <x v="9"/>
    <n v="248.89263698774101"/>
    <n v="90845.812500525397"/>
    <n v="327044.92500189098"/>
  </r>
  <r>
    <x v="0"/>
    <x v="0"/>
    <x v="0"/>
    <x v="7"/>
    <x v="18"/>
    <s v="SE4_OTHER"/>
    <x v="8"/>
    <s v="GHOB_WOODWASTE"/>
    <x v="0"/>
    <x v="10"/>
    <n v="248.89263698774101"/>
    <n v="90845.812500525397"/>
    <n v="327044.92500189098"/>
  </r>
  <r>
    <x v="0"/>
    <x v="0"/>
    <x v="0"/>
    <x v="7"/>
    <x v="18"/>
    <s v="SE4_OTHER"/>
    <x v="8"/>
    <s v="GHOB_WOODWASTE"/>
    <x v="0"/>
    <x v="11"/>
    <n v="248.89263698774101"/>
    <n v="90845.812500525397"/>
    <n v="327044.92500189098"/>
  </r>
  <r>
    <x v="0"/>
    <x v="0"/>
    <x v="0"/>
    <x v="7"/>
    <x v="18"/>
    <s v="SE4_OTHER"/>
    <x v="8"/>
    <s v="GHOB_WOODWASTE"/>
    <x v="0"/>
    <x v="12"/>
    <n v="248.89263698774101"/>
    <n v="90845.812500525397"/>
    <n v="327044.92500189098"/>
  </r>
  <r>
    <x v="0"/>
    <x v="0"/>
    <x v="0"/>
    <x v="7"/>
    <x v="18"/>
    <s v="SE4_OTHER"/>
    <x v="8"/>
    <s v="GHOB_WOODWASTE"/>
    <x v="0"/>
    <x v="13"/>
    <n v="248.89263698774101"/>
    <n v="90845.812500525397"/>
    <n v="327044.92500189098"/>
  </r>
  <r>
    <x v="0"/>
    <x v="0"/>
    <x v="0"/>
    <x v="7"/>
    <x v="18"/>
    <s v="SE4_OTHER"/>
    <x v="8"/>
    <s v="GHOB_WOODWASTE"/>
    <x v="0"/>
    <x v="0"/>
    <n v="248.89263698774101"/>
    <n v="90845.812500525397"/>
    <n v="327044.92500189098"/>
  </r>
  <r>
    <x v="0"/>
    <x v="0"/>
    <x v="0"/>
    <x v="7"/>
    <x v="18"/>
    <s v="SE4_OTHER"/>
    <x v="8"/>
    <s v="GHOB_WOODWASTE"/>
    <x v="0"/>
    <x v="14"/>
    <n v="248.89263698774101"/>
    <n v="90845.812500525397"/>
    <n v="327044.92500189098"/>
  </r>
  <r>
    <x v="0"/>
    <x v="0"/>
    <x v="0"/>
    <x v="7"/>
    <x v="18"/>
    <s v="SE4_OTHER"/>
    <x v="8"/>
    <s v="GHOB_WOODWASTE"/>
    <x v="0"/>
    <x v="1"/>
    <n v="248.89263698774101"/>
    <n v="90845.812500525397"/>
    <n v="327044.92500189098"/>
  </r>
  <r>
    <x v="0"/>
    <x v="0"/>
    <x v="0"/>
    <x v="7"/>
    <x v="18"/>
    <s v="SE4_OTHER"/>
    <x v="8"/>
    <s v="GHOB_WOODWASTE"/>
    <x v="0"/>
    <x v="23"/>
    <n v="248.89263698774101"/>
    <n v="90845.812500525397"/>
    <n v="327044.92500189098"/>
  </r>
  <r>
    <x v="0"/>
    <x v="0"/>
    <x v="0"/>
    <x v="7"/>
    <x v="18"/>
    <s v="SE4_OTHER"/>
    <x v="8"/>
    <s v="GHOB_WOODWASTE"/>
    <x v="0"/>
    <x v="2"/>
    <n v="248.89263698774101"/>
    <n v="90845.812500525397"/>
    <n v="327044.92500189098"/>
  </r>
  <r>
    <x v="0"/>
    <x v="0"/>
    <x v="0"/>
    <x v="7"/>
    <x v="18"/>
    <s v="SE4_OTHER"/>
    <x v="8"/>
    <s v="GHOB_WOODWASTE"/>
    <x v="0"/>
    <x v="3"/>
    <n v="248.89263698774101"/>
    <n v="90845.812500525397"/>
    <n v="327044.92500189098"/>
  </r>
  <r>
    <x v="0"/>
    <x v="0"/>
    <x v="0"/>
    <x v="7"/>
    <x v="18"/>
    <s v="SE4_OTHER"/>
    <x v="8"/>
    <s v="GHOB_WOODWASTE"/>
    <x v="0"/>
    <x v="4"/>
    <n v="248.89263698774101"/>
    <n v="90845.812500525397"/>
    <n v="327044.92500189098"/>
  </r>
  <r>
    <x v="0"/>
    <x v="0"/>
    <x v="0"/>
    <x v="7"/>
    <x v="18"/>
    <s v="SE4_OTHER"/>
    <x v="8"/>
    <s v="GHOB_WOODWASTE"/>
    <x v="0"/>
    <x v="5"/>
    <n v="248.89263698774101"/>
    <n v="90845.812500525397"/>
    <n v="327044.92500189098"/>
  </r>
  <r>
    <x v="0"/>
    <x v="0"/>
    <x v="0"/>
    <x v="7"/>
    <x v="18"/>
    <s v="SE4_OTHER"/>
    <x v="8"/>
    <s v="GHOB_WOODWASTE"/>
    <x v="0"/>
    <x v="15"/>
    <n v="248.89263698774101"/>
    <n v="90845.812500525397"/>
    <n v="327044.92500189098"/>
  </r>
  <r>
    <x v="0"/>
    <x v="0"/>
    <x v="0"/>
    <x v="7"/>
    <x v="18"/>
    <s v="SE4_OTHER"/>
    <x v="8"/>
    <s v="GHOB_WOODWASTE"/>
    <x v="0"/>
    <x v="6"/>
    <n v="248.89263698774101"/>
    <n v="90845.812500525397"/>
    <n v="327044.92500189098"/>
  </r>
  <r>
    <x v="0"/>
    <x v="0"/>
    <x v="0"/>
    <x v="7"/>
    <x v="18"/>
    <s v="SE4_OTHER"/>
    <x v="8"/>
    <s v="GHOB_WOODWASTE"/>
    <x v="0"/>
    <x v="7"/>
    <n v="248.89263698774101"/>
    <n v="90845.812500525397"/>
    <n v="327044.92500189098"/>
  </r>
  <r>
    <x v="0"/>
    <x v="0"/>
    <x v="0"/>
    <x v="7"/>
    <x v="18"/>
    <s v="SE4_OTHER"/>
    <x v="8"/>
    <s v="GHOB_WOODWASTE"/>
    <x v="0"/>
    <x v="8"/>
    <n v="248.89263698774101"/>
    <n v="90845.812500525397"/>
    <n v="327044.92500189098"/>
  </r>
  <r>
    <x v="0"/>
    <x v="0"/>
    <x v="0"/>
    <x v="7"/>
    <x v="18"/>
    <s v="SE4_OTHER"/>
    <x v="8"/>
    <s v="GHOB_WOODWASTE"/>
    <x v="0"/>
    <x v="16"/>
    <n v="223.33846376851"/>
    <n v="81518.539275506293"/>
    <n v="293466.74139182299"/>
  </r>
  <r>
    <x v="0"/>
    <x v="0"/>
    <x v="0"/>
    <x v="7"/>
    <x v="18"/>
    <s v="SE4_OTHER"/>
    <x v="8"/>
    <s v="GHOB_WOODWASTE"/>
    <x v="0"/>
    <x v="17"/>
    <n v="201.253053055137"/>
    <n v="73457.364365125206"/>
    <n v="264446.51171445101"/>
  </r>
  <r>
    <x v="0"/>
    <x v="0"/>
    <x v="0"/>
    <x v="7"/>
    <x v="18"/>
    <s v="SE4_OTHER"/>
    <x v="8"/>
    <s v="GHOB_WOODWASTE"/>
    <x v="0"/>
    <x v="18"/>
    <n v="182.31434433251999"/>
    <n v="66544.735681369901"/>
    <n v="239561.04845293201"/>
  </r>
  <r>
    <x v="0"/>
    <x v="0"/>
    <x v="0"/>
    <x v="7"/>
    <x v="18"/>
    <s v="SE4_OTHER"/>
    <x v="8"/>
    <s v="GHOB_WOODWASTE"/>
    <x v="0"/>
    <x v="19"/>
    <n v="161.51827092275599"/>
    <n v="58954.168886806001"/>
    <n v="212235.00799250201"/>
  </r>
  <r>
    <x v="0"/>
    <x v="0"/>
    <x v="0"/>
    <x v="7"/>
    <x v="18"/>
    <s v="SE4_OTHER"/>
    <x v="8"/>
    <s v="GHOB_WOODWASTE"/>
    <x v="0"/>
    <x v="20"/>
    <n v="126.85685229543"/>
    <n v="46302.751087832003"/>
    <n v="166689.90391619501"/>
  </r>
  <r>
    <x v="0"/>
    <x v="0"/>
    <x v="0"/>
    <x v="7"/>
    <x v="18"/>
    <s v="SE4_OTHER"/>
    <x v="8"/>
    <s v="GHOB_WOODWASTE"/>
    <x v="0"/>
    <x v="21"/>
    <n v="129.624063236403"/>
    <n v="47312.783081287103"/>
    <n v="170326.019092634"/>
  </r>
  <r>
    <x v="0"/>
    <x v="0"/>
    <x v="0"/>
    <x v="7"/>
    <x v="18"/>
    <s v="SE4_OTHER"/>
    <x v="8"/>
    <s v="GHOB_WOODWASTE"/>
    <x v="0"/>
    <x v="22"/>
    <n v="248.89263698774101"/>
    <n v="90845.812500525397"/>
    <n v="327044.92500189098"/>
  </r>
</pivotCacheRecords>
</file>

<file path=xl/pivotCache/pivotCacheRecords13.xml><?xml version="1.0" encoding="utf-8"?>
<pivotCacheRecords xmlns="http://schemas.openxmlformats.org/spreadsheetml/2006/main" xmlns:r="http://schemas.openxmlformats.org/officeDocument/2006/relationships" count="347">
  <r>
    <x v="0"/>
    <x v="0"/>
    <x v="0"/>
    <x v="0"/>
    <x v="0"/>
    <s v="DK1_Large"/>
    <x v="0"/>
    <x v="0"/>
    <s v="GNR_ST_COAL_EXT_E-42"/>
    <n v="3.5212404369958099"/>
    <n v="12.676465573184901"/>
  </r>
  <r>
    <x v="0"/>
    <x v="0"/>
    <x v="0"/>
    <x v="0"/>
    <x v="0"/>
    <s v="DK1_Large"/>
    <x v="0"/>
    <x v="0"/>
    <s v="GNR_ST_COAL_EXT_E-43"/>
    <n v="5.2523144573713001"/>
    <n v="18.9083320465367"/>
  </r>
  <r>
    <x v="0"/>
    <x v="0"/>
    <x v="0"/>
    <x v="0"/>
    <x v="0"/>
    <s v="DK1_Large"/>
    <x v="0"/>
    <x v="0"/>
    <s v="GNR_ST_COAL_EXT_E-47"/>
    <n v="3.0189379851466098"/>
    <n v="10.8681767465278"/>
  </r>
  <r>
    <x v="0"/>
    <x v="0"/>
    <x v="0"/>
    <x v="0"/>
    <x v="0"/>
    <s v="DK1_MedSmall"/>
    <x v="1"/>
    <x v="1"/>
    <s v="GNR_BO_ELEC_E-100"/>
    <n v="7.2999999999999996E-4"/>
    <n v="2.6280000000000001E-3"/>
  </r>
  <r>
    <x v="0"/>
    <x v="0"/>
    <x v="0"/>
    <x v="0"/>
    <x v="0"/>
    <s v="DK1_MedSmall"/>
    <x v="2"/>
    <x v="2"/>
    <s v="GNR_ST_MSW_BP_E-17"/>
    <n v="2.1024000000000001E-2"/>
    <n v="7.5686400000000001E-2"/>
  </r>
  <r>
    <x v="0"/>
    <x v="0"/>
    <x v="0"/>
    <x v="0"/>
    <x v="0"/>
    <s v="DK1_MedSmall"/>
    <x v="2"/>
    <x v="2"/>
    <s v="GNR_ST_MSW_BP_E-20"/>
    <n v="2.8908E-2"/>
    <n v="0.1040688"/>
  </r>
  <r>
    <x v="0"/>
    <x v="0"/>
    <x v="0"/>
    <x v="0"/>
    <x v="0"/>
    <s v="DK1_MedSmall"/>
    <x v="2"/>
    <x v="2"/>
    <s v="GNR_ST_MSW_BP_E-21"/>
    <n v="8.7599999999999997E-2"/>
    <n v="0.31535999999999997"/>
  </r>
  <r>
    <x v="0"/>
    <x v="0"/>
    <x v="0"/>
    <x v="0"/>
    <x v="0"/>
    <s v="DK1_MedSmall"/>
    <x v="2"/>
    <x v="2"/>
    <s v="GNR_ST_MSW_BP_E-22"/>
    <n v="3.9419999999999997E-2"/>
    <n v="0.14191200000000001"/>
  </r>
  <r>
    <x v="0"/>
    <x v="0"/>
    <x v="0"/>
    <x v="0"/>
    <x v="0"/>
    <s v="DK1_MedSmall"/>
    <x v="2"/>
    <x v="2"/>
    <s v="GNR_ST_MSW_BP_E-26"/>
    <n v="6.132E-2"/>
    <n v="0.220752"/>
  </r>
  <r>
    <x v="0"/>
    <x v="0"/>
    <x v="0"/>
    <x v="0"/>
    <x v="0"/>
    <s v="DK1_MedSmall"/>
    <x v="3"/>
    <x v="2"/>
    <s v="GNR_ST_STRW_BP_E-21"/>
    <n v="1.9162499999999999E-2"/>
    <n v="6.8985000000000005E-2"/>
  </r>
  <r>
    <x v="0"/>
    <x v="0"/>
    <x v="0"/>
    <x v="0"/>
    <x v="0"/>
    <s v="DK1_Medium"/>
    <x v="2"/>
    <x v="2"/>
    <s v="GNR_ST_MSW_BP_E-21"/>
    <n v="4.4973634371318497E-3"/>
    <n v="1.6190508373674702E-2"/>
  </r>
  <r>
    <x v="0"/>
    <x v="0"/>
    <x v="0"/>
    <x v="0"/>
    <x v="0"/>
    <s v="DK1_Medium"/>
    <x v="2"/>
    <x v="2"/>
    <s v="GNR_ST_MSW_BP_E-22"/>
    <n v="0.196123663087337"/>
    <n v="0.706045187114413"/>
  </r>
  <r>
    <x v="0"/>
    <x v="0"/>
    <x v="0"/>
    <x v="0"/>
    <x v="0"/>
    <s v="DK1_Medium"/>
    <x v="4"/>
    <x v="2"/>
    <s v="GNR_ST_WOODCHI_BP_E-27"/>
    <n v="0.24634165611179501"/>
    <n v="0.886829962002463"/>
  </r>
  <r>
    <x v="0"/>
    <x v="0"/>
    <x v="0"/>
    <x v="0"/>
    <x v="0"/>
    <s v="DK1_Medium"/>
    <x v="4"/>
    <x v="2"/>
    <s v="GNR_ST_WOODCHI_BP_E-30"/>
    <n v="0.79190400000000005"/>
    <n v="2.8508543999999998"/>
  </r>
  <r>
    <x v="0"/>
    <x v="0"/>
    <x v="0"/>
    <x v="0"/>
    <x v="0"/>
    <s v="DK1_NoDH"/>
    <x v="5"/>
    <x v="3"/>
    <s v="GNR_PV_SUN"/>
    <n v="0.56990659346167905"/>
    <n v="2.05166373646205"/>
  </r>
  <r>
    <x v="0"/>
    <x v="0"/>
    <x v="0"/>
    <x v="0"/>
    <x v="0"/>
    <s v="DK1_NoDH"/>
    <x v="6"/>
    <x v="4"/>
    <s v="GNR_ROR_WTR"/>
    <n v="3.3449832846470198E-2"/>
    <n v="0.120419398247293"/>
  </r>
  <r>
    <x v="0"/>
    <x v="0"/>
    <x v="0"/>
    <x v="0"/>
    <x v="0"/>
    <s v="DK1_NoDH"/>
    <x v="7"/>
    <x v="5"/>
    <s v="GNR_WT_WIND_ONS"/>
    <n v="10.4267294285003"/>
    <n v="37.536225942601099"/>
  </r>
  <r>
    <x v="0"/>
    <x v="0"/>
    <x v="0"/>
    <x v="0"/>
    <x v="0"/>
    <s v="DK1_Offshore"/>
    <x v="7"/>
    <x v="5"/>
    <s v="GNR_WT_WIND_OFF"/>
    <n v="3.66971220000001"/>
    <n v="13.210963919999999"/>
  </r>
  <r>
    <x v="0"/>
    <x v="0"/>
    <x v="0"/>
    <x v="0"/>
    <x v="0"/>
    <s v="DK1_Rural"/>
    <x v="1"/>
    <x v="1"/>
    <s v="GNR_HP_ELEC_COP-300"/>
    <n v="4.3800000000000002E-3"/>
    <n v="1.5768000000000001E-2"/>
  </r>
  <r>
    <x v="0"/>
    <x v="0"/>
    <x v="0"/>
    <x v="0"/>
    <x v="0"/>
    <s v="DK1_Rural"/>
    <x v="1"/>
    <x v="1"/>
    <s v="GNR_HP_ELEC_COP-350"/>
    <n v="5.4787542857142896E-3"/>
    <n v="1.9723515428571401E-2"/>
  </r>
  <r>
    <x v="0"/>
    <x v="0"/>
    <x v="0"/>
    <x v="0"/>
    <x v="0"/>
    <s v="DK1_Rural"/>
    <x v="1"/>
    <x v="1"/>
    <s v="GNR_HP_ELEC_COP-400"/>
    <n v="4.4851200000000004E-3"/>
    <n v="1.6146431999999999E-2"/>
  </r>
  <r>
    <x v="0"/>
    <x v="0"/>
    <x v="0"/>
    <x v="0"/>
    <x v="0"/>
    <s v="DK1_Rural"/>
    <x v="1"/>
    <x v="1"/>
    <s v="GNR_HP_ELEC_COP-430"/>
    <n v="2.6483720930232601E-3"/>
    <n v="9.5341395348837298E-3"/>
  </r>
  <r>
    <x v="0"/>
    <x v="0"/>
    <x v="0"/>
    <x v="0"/>
    <x v="0"/>
    <s v="DK1_Rural"/>
    <x v="1"/>
    <x v="1"/>
    <s v="GNR_HP_ELEC_COP-450"/>
    <n v="1.0512E-3"/>
    <n v="3.7843199999999999E-3"/>
  </r>
  <r>
    <x v="0"/>
    <x v="0"/>
    <x v="0"/>
    <x v="0"/>
    <x v="0"/>
    <s v="DK1_Rural"/>
    <x v="1"/>
    <x v="1"/>
    <s v="GNR_HP_ELEC_COP-460"/>
    <n v="6.85565217391305E-3"/>
    <n v="2.4680347826086999E-2"/>
  </r>
  <r>
    <x v="0"/>
    <x v="0"/>
    <x v="0"/>
    <x v="0"/>
    <x v="0"/>
    <s v="DK1_Rural"/>
    <x v="1"/>
    <x v="1"/>
    <s v="GNR_HP_ELEC_COP-470"/>
    <n v="1.77063829787234E-3"/>
    <n v="6.37429787234043E-3"/>
  </r>
  <r>
    <x v="0"/>
    <x v="0"/>
    <x v="0"/>
    <x v="0"/>
    <x v="0"/>
    <s v="DK1_Rural"/>
    <x v="1"/>
    <x v="1"/>
    <s v="GNR_HP_ELEC_COP-500"/>
    <n v="8.7600000000000004E-4"/>
    <n v="3.1535999999999999E-3"/>
  </r>
  <r>
    <x v="0"/>
    <x v="0"/>
    <x v="0"/>
    <x v="0"/>
    <x v="0"/>
    <s v="DK1_Rural"/>
    <x v="1"/>
    <x v="1"/>
    <s v="GNR_HP_ELEC_COP-530"/>
    <n v="2.2313207547169801E-3"/>
    <n v="8.0327547169811303E-3"/>
  </r>
  <r>
    <x v="0"/>
    <x v="0"/>
    <x v="0"/>
    <x v="0"/>
    <x v="0"/>
    <s v="DK1_Rural"/>
    <x v="1"/>
    <x v="1"/>
    <s v="GNR_HP_ELEC_COP-600"/>
    <n v="4.3800000000000002E-4"/>
    <n v="1.5767999999999999E-3"/>
  </r>
  <r>
    <x v="0"/>
    <x v="0"/>
    <x v="0"/>
    <x v="0"/>
    <x v="0"/>
    <s v="DK1_Rural"/>
    <x v="3"/>
    <x v="2"/>
    <s v="GNR_ST_STRW_BP_E-26"/>
    <n v="1.9308499999999999E-2"/>
    <n v="6.9510600000000006E-2"/>
  </r>
  <r>
    <x v="0"/>
    <x v="0"/>
    <x v="0"/>
    <x v="0"/>
    <x v="0"/>
    <s v="DK1_Rural"/>
    <x v="4"/>
    <x v="2"/>
    <s v="GNR_ST_WOODCHI_BP_E-27"/>
    <n v="2.2752516601506401E-2"/>
    <n v="8.1909059765422995E-2"/>
  </r>
  <r>
    <x v="0"/>
    <x v="0"/>
    <x v="0"/>
    <x v="0"/>
    <x v="1"/>
    <s v="DK2_Large"/>
    <x v="0"/>
    <x v="0"/>
    <s v="GNR_ST_COAL_EXT_E-42"/>
    <n v="3.65"/>
    <n v="13.14"/>
  </r>
  <r>
    <x v="0"/>
    <x v="0"/>
    <x v="0"/>
    <x v="0"/>
    <x v="1"/>
    <s v="DK2_Large"/>
    <x v="1"/>
    <x v="1"/>
    <s v="GNR_HP_ELEC_COP-300"/>
    <n v="9.9280000000000006E-4"/>
    <n v="3.5740799999999999E-3"/>
  </r>
  <r>
    <x v="0"/>
    <x v="0"/>
    <x v="0"/>
    <x v="0"/>
    <x v="1"/>
    <s v="DK2_Large"/>
    <x v="2"/>
    <x v="2"/>
    <s v="GNR_ST_MSW_BP_E-16"/>
    <n v="0.201575654855084"/>
    <n v="0.72567235747830094"/>
  </r>
  <r>
    <x v="0"/>
    <x v="0"/>
    <x v="0"/>
    <x v="0"/>
    <x v="1"/>
    <s v="DK2_Large"/>
    <x v="2"/>
    <x v="2"/>
    <s v="GNR_ST_MSW_BP_E-20"/>
    <n v="0.34164"/>
    <n v="1.2299040000000001"/>
  </r>
  <r>
    <x v="0"/>
    <x v="0"/>
    <x v="0"/>
    <x v="0"/>
    <x v="1"/>
    <s v="DK2_Large"/>
    <x v="2"/>
    <x v="2"/>
    <s v="GNR_ST_MSW_BP_E-21"/>
    <n v="0.12001199999999999"/>
    <n v="0.43204320000000002"/>
  </r>
  <r>
    <x v="0"/>
    <x v="0"/>
    <x v="0"/>
    <x v="0"/>
    <x v="1"/>
    <s v="DK2_Large"/>
    <x v="2"/>
    <x v="2"/>
    <s v="GNR_ST_MSW_BP_E-27"/>
    <n v="0.16994400000000001"/>
    <n v="0.61179839999999996"/>
  </r>
  <r>
    <x v="0"/>
    <x v="0"/>
    <x v="0"/>
    <x v="0"/>
    <x v="1"/>
    <s v="DK2_Large"/>
    <x v="8"/>
    <x v="2"/>
    <s v="GNR_ST_NGAS_BP_E-39"/>
    <n v="8.2561004326069901E-2"/>
    <n v="0.29721961557385201"/>
  </r>
  <r>
    <x v="0"/>
    <x v="0"/>
    <x v="0"/>
    <x v="0"/>
    <x v="1"/>
    <s v="DK2_Large"/>
    <x v="4"/>
    <x v="2"/>
    <s v="GNR_ST_WOODCHI_BP_E-27"/>
    <n v="0.13139999999999999"/>
    <n v="0.47304000000000002"/>
  </r>
  <r>
    <x v="0"/>
    <x v="0"/>
    <x v="0"/>
    <x v="0"/>
    <x v="1"/>
    <s v="DK2_MedSmall"/>
    <x v="2"/>
    <x v="2"/>
    <s v="GNR_ST_MSW_BP_E-28"/>
    <n v="1.8560846717242101E-2"/>
    <n v="6.6819048182071503E-2"/>
  </r>
  <r>
    <x v="0"/>
    <x v="0"/>
    <x v="0"/>
    <x v="0"/>
    <x v="1"/>
    <s v="DK2_Medium"/>
    <x v="0"/>
    <x v="0"/>
    <s v="GNR_ST_COAL_EXT_E-41"/>
    <n v="3.6632251628031698"/>
    <n v="13.187610586091401"/>
  </r>
  <r>
    <x v="0"/>
    <x v="0"/>
    <x v="0"/>
    <x v="0"/>
    <x v="1"/>
    <s v="DK2_Medium"/>
    <x v="0"/>
    <x v="2"/>
    <s v="GNR_ST_COAL_BP_E-38"/>
    <n v="1.1086224448417901"/>
    <n v="3.9910408014304299"/>
  </r>
  <r>
    <x v="0"/>
    <x v="0"/>
    <x v="0"/>
    <x v="0"/>
    <x v="1"/>
    <s v="DK2_NoDH"/>
    <x v="5"/>
    <x v="3"/>
    <s v="GNR_PV_SUN"/>
    <n v="0.29146560783759401"/>
    <n v="1.0492761882153401"/>
  </r>
  <r>
    <x v="0"/>
    <x v="0"/>
    <x v="0"/>
    <x v="0"/>
    <x v="1"/>
    <s v="DK2_NoDH"/>
    <x v="6"/>
    <x v="4"/>
    <s v="GNR_ROR_WTR"/>
    <n v="7.2297909610526402E-5"/>
    <n v="2.6027247459789498E-4"/>
  </r>
  <r>
    <x v="0"/>
    <x v="0"/>
    <x v="0"/>
    <x v="0"/>
    <x v="1"/>
    <s v="DK2_NoDH"/>
    <x v="7"/>
    <x v="5"/>
    <s v="GNR_WT_WIND_ONS"/>
    <n v="1.8714861274999901"/>
    <n v="6.7373500589999802"/>
  </r>
  <r>
    <x v="0"/>
    <x v="0"/>
    <x v="0"/>
    <x v="0"/>
    <x v="1"/>
    <s v="DK2_Offshore"/>
    <x v="7"/>
    <x v="5"/>
    <s v="GNR_WT_WIND_OFF"/>
    <n v="1.946472"/>
    <n v="7.0072992000000198"/>
  </r>
  <r>
    <x v="0"/>
    <x v="0"/>
    <x v="0"/>
    <x v="0"/>
    <x v="1"/>
    <s v="DK2_Rural"/>
    <x v="0"/>
    <x v="2"/>
    <s v="GNR_ST_COAL_BP_E-35"/>
    <n v="0.32412000000000002"/>
    <n v="1.1668320000000001"/>
  </r>
  <r>
    <x v="0"/>
    <x v="0"/>
    <x v="0"/>
    <x v="0"/>
    <x v="1"/>
    <s v="DK2_Rural"/>
    <x v="1"/>
    <x v="1"/>
    <s v="GNR_HP_ELEC_COP-400"/>
    <n v="1.7520000000000001E-3"/>
    <n v="6.3071999999999998E-3"/>
  </r>
  <r>
    <x v="0"/>
    <x v="0"/>
    <x v="0"/>
    <x v="0"/>
    <x v="1"/>
    <s v="DK2_Rural"/>
    <x v="3"/>
    <x v="2"/>
    <s v="GNR_ST_STRW_BP_E-27"/>
    <n v="6.5568600000000005E-2"/>
    <n v="0.23604696"/>
  </r>
  <r>
    <x v="0"/>
    <x v="0"/>
    <x v="0"/>
    <x v="0"/>
    <x v="1"/>
    <s v="DK2_Rural"/>
    <x v="3"/>
    <x v="2"/>
    <s v="GNR_ST_STRW_BP_E-28"/>
    <n v="0.10074"/>
    <n v="0.36266399999999999"/>
  </r>
  <r>
    <x v="0"/>
    <x v="0"/>
    <x v="0"/>
    <x v="1"/>
    <x v="2"/>
    <s v="EE_Enefit"/>
    <x v="9"/>
    <x v="6"/>
    <s v="ENEFIT_ST_RETORT-GAS_CND"/>
    <n v="0.30659999999999998"/>
    <n v="1.1037600000000001"/>
  </r>
  <r>
    <x v="0"/>
    <x v="0"/>
    <x v="0"/>
    <x v="1"/>
    <x v="2"/>
    <s v="EE_Industry"/>
    <x v="9"/>
    <x v="0"/>
    <s v="GNR_ENG_RETORT-GAS_E-44"/>
    <n v="0.83220000000000005"/>
    <n v="2.9959199999999999"/>
  </r>
  <r>
    <x v="0"/>
    <x v="0"/>
    <x v="0"/>
    <x v="1"/>
    <x v="2"/>
    <s v="EE_Industry"/>
    <x v="10"/>
    <x v="2"/>
    <s v="GNR_ST_WOODWST_BP_E-53"/>
    <n v="5.1073229999999997E-2"/>
    <n v="0.183863628"/>
  </r>
  <r>
    <x v="0"/>
    <x v="0"/>
    <x v="0"/>
    <x v="1"/>
    <x v="2"/>
    <s v="EE_Kohtla_Jarve"/>
    <x v="8"/>
    <x v="0"/>
    <s v="GNR_ENG_NGAS_EXT_E-44"/>
    <n v="0.136506776467751"/>
    <n v="0.49142439528390403"/>
  </r>
  <r>
    <x v="0"/>
    <x v="0"/>
    <x v="0"/>
    <x v="1"/>
    <x v="2"/>
    <s v="EE_Narva"/>
    <x v="11"/>
    <x v="6"/>
    <s v="AUVERE_ST_SHALE_CND"/>
    <n v="2.4002400000000002"/>
    <n v="8.6408640000000005"/>
  </r>
  <r>
    <x v="0"/>
    <x v="0"/>
    <x v="0"/>
    <x v="1"/>
    <x v="2"/>
    <s v="EE_Narva"/>
    <x v="11"/>
    <x v="6"/>
    <s v="NARVA-4_ST_SHALE_CND"/>
    <n v="1.56142445332142E-2"/>
    <n v="5.6211280319571101E-2"/>
  </r>
  <r>
    <x v="0"/>
    <x v="0"/>
    <x v="0"/>
    <x v="1"/>
    <x v="2"/>
    <s v="EE_Narva"/>
    <x v="11"/>
    <x v="6"/>
    <s v="NARVA-6_ST_SHALE_CND"/>
    <n v="9.0198219746853801E-3"/>
    <n v="3.2471359108867399E-2"/>
  </r>
  <r>
    <x v="0"/>
    <x v="0"/>
    <x v="0"/>
    <x v="1"/>
    <x v="2"/>
    <s v="EE_Narva"/>
    <x v="11"/>
    <x v="6"/>
    <s v="NARVA-8_ST_SHALE_CND"/>
    <n v="1.1155366567860301"/>
    <n v="4.01593196442969"/>
  </r>
  <r>
    <x v="0"/>
    <x v="0"/>
    <x v="0"/>
    <x v="1"/>
    <x v="2"/>
    <s v="EE_Narva"/>
    <x v="11"/>
    <x v="0"/>
    <s v="NARVA-11_ST_SHALE_EXT"/>
    <n v="1.1205845720202701"/>
    <n v="4.03410445927297"/>
  </r>
  <r>
    <x v="0"/>
    <x v="0"/>
    <x v="0"/>
    <x v="1"/>
    <x v="2"/>
    <s v="EE_Parnu"/>
    <x v="12"/>
    <x v="2"/>
    <s v="PARNU-1_ST_WOOD_BP"/>
    <n v="9.0547809147007802E-2"/>
    <n v="0.32597211292922801"/>
  </r>
  <r>
    <x v="0"/>
    <x v="0"/>
    <x v="0"/>
    <x v="1"/>
    <x v="2"/>
    <s v="EE_Rural"/>
    <x v="6"/>
    <x v="4"/>
    <s v="GNR_ROR_WTR"/>
    <n v="0.03"/>
    <n v="0.108"/>
  </r>
  <r>
    <x v="0"/>
    <x v="0"/>
    <x v="0"/>
    <x v="1"/>
    <x v="2"/>
    <s v="EE_Rural"/>
    <x v="7"/>
    <x v="5"/>
    <s v="GNR_WT_WIND_ONS"/>
    <n v="0.78061100000000005"/>
    <n v="2.8101995999999998"/>
  </r>
  <r>
    <x v="0"/>
    <x v="0"/>
    <x v="0"/>
    <x v="1"/>
    <x v="2"/>
    <s v="EE_Rural"/>
    <x v="10"/>
    <x v="2"/>
    <s v="EBAVERE_ST_WOODWST_BP"/>
    <n v="8.7599999999999997E-2"/>
    <n v="0.31535999999999997"/>
  </r>
  <r>
    <x v="0"/>
    <x v="0"/>
    <x v="0"/>
    <x v="1"/>
    <x v="2"/>
    <s v="EE_Tallinn"/>
    <x v="2"/>
    <x v="2"/>
    <s v="IRU_ST_MSW_BP"/>
    <n v="0.14892"/>
    <n v="0.53611200000000003"/>
  </r>
  <r>
    <x v="0"/>
    <x v="0"/>
    <x v="0"/>
    <x v="1"/>
    <x v="2"/>
    <s v="EE_Tallinn"/>
    <x v="8"/>
    <x v="0"/>
    <s v="GNR_ENG_NGAS_EXT_E-44"/>
    <n v="1.3140000000000001E-2"/>
    <n v="4.7303999999999999E-2"/>
  </r>
  <r>
    <x v="0"/>
    <x v="0"/>
    <x v="0"/>
    <x v="1"/>
    <x v="2"/>
    <s v="EE_Tallinn"/>
    <x v="12"/>
    <x v="2"/>
    <s v="MUSTAMAE_ST_WOOD_BP"/>
    <n v="8.7599999999999997E-2"/>
    <n v="0.31535999999999997"/>
  </r>
  <r>
    <x v="0"/>
    <x v="0"/>
    <x v="0"/>
    <x v="1"/>
    <x v="2"/>
    <s v="EE_Tallinn"/>
    <x v="12"/>
    <x v="2"/>
    <s v="VAO-1_ST_WOOD_BP"/>
    <n v="0.219"/>
    <n v="0.78839999999999999"/>
  </r>
  <r>
    <x v="0"/>
    <x v="0"/>
    <x v="0"/>
    <x v="1"/>
    <x v="2"/>
    <s v="EE_Tallinn"/>
    <x v="12"/>
    <x v="2"/>
    <s v="VAO-2_ST_WOOD_BP"/>
    <n v="0.18396000000000001"/>
    <n v="0.66225599999999996"/>
  </r>
  <r>
    <x v="0"/>
    <x v="0"/>
    <x v="0"/>
    <x v="1"/>
    <x v="2"/>
    <s v="EE_Tartu"/>
    <x v="12"/>
    <x v="2"/>
    <s v="TARTU-1_ST_WOOD_BP"/>
    <n v="0.19272"/>
    <n v="0.69379199999999996"/>
  </r>
  <r>
    <x v="0"/>
    <x v="0"/>
    <x v="0"/>
    <x v="2"/>
    <x v="3"/>
    <s v="FIN_EL"/>
    <x v="0"/>
    <x v="0"/>
    <s v="GEXT_COAL_KYMIJARVI"/>
    <n v="0.78729480165364896"/>
    <n v="2.83426128595314"/>
  </r>
  <r>
    <x v="0"/>
    <x v="0"/>
    <x v="0"/>
    <x v="2"/>
    <x v="3"/>
    <s v="FIN_EL"/>
    <x v="10"/>
    <x v="2"/>
    <s v="GBPR_WOODWASTE_FINEL"/>
    <n v="0.96360000000000001"/>
    <n v="3.46896"/>
  </r>
  <r>
    <x v="0"/>
    <x v="0"/>
    <x v="0"/>
    <x v="2"/>
    <x v="3"/>
    <s v="FIN_ESPOO"/>
    <x v="0"/>
    <x v="2"/>
    <s v="GBPR_COAL_SUOMENOJA"/>
    <n v="0.51631018391435701"/>
    <n v="1.85871666209168"/>
  </r>
  <r>
    <x v="0"/>
    <x v="0"/>
    <x v="0"/>
    <x v="2"/>
    <x v="3"/>
    <s v="FIN_ESPOO"/>
    <x v="8"/>
    <x v="2"/>
    <s v="GBPR_NATGAS_SUOMENOJA"/>
    <n v="1.3552805906807901E-2"/>
    <n v="4.8790101264508397E-2"/>
  </r>
  <r>
    <x v="0"/>
    <x v="0"/>
    <x v="0"/>
    <x v="2"/>
    <x v="3"/>
    <s v="FIN_ESPOO"/>
    <x v="8"/>
    <x v="2"/>
    <s v="GBPR_NATGAS_SUOMENOJA2"/>
    <n v="1.4051367663766201"/>
    <n v="5.0584923589558297"/>
  </r>
  <r>
    <x v="0"/>
    <x v="0"/>
    <x v="0"/>
    <x v="2"/>
    <x v="3"/>
    <s v="FIN_GAS"/>
    <x v="8"/>
    <x v="2"/>
    <s v="GBPR_NATGAS_GASAREA"/>
    <n v="7.7673010224042702E-2"/>
    <n v="0.27962283680655398"/>
  </r>
  <r>
    <x v="0"/>
    <x v="0"/>
    <x v="0"/>
    <x v="2"/>
    <x v="3"/>
    <s v="FIN_HELS"/>
    <x v="0"/>
    <x v="2"/>
    <s v="GBPR_COAL_MARTINLAAKSO"/>
    <n v="1.2143615525665701"/>
    <n v="4.37170158923964"/>
  </r>
  <r>
    <x v="0"/>
    <x v="0"/>
    <x v="0"/>
    <x v="2"/>
    <x v="3"/>
    <s v="FIN_HELS"/>
    <x v="0"/>
    <x v="2"/>
    <s v="GBPR_COAL_SALMISAARI"/>
    <n v="0.99131555311556396"/>
    <n v="3.5687359912160299"/>
  </r>
  <r>
    <x v="0"/>
    <x v="0"/>
    <x v="0"/>
    <x v="2"/>
    <x v="3"/>
    <s v="FIN_HELS"/>
    <x v="1"/>
    <x v="1"/>
    <s v="GETOH_HEATPUMP"/>
    <n v="9.7333333333333397E-2"/>
    <n v="0.35039999999999999"/>
  </r>
  <r>
    <x v="0"/>
    <x v="0"/>
    <x v="0"/>
    <x v="2"/>
    <x v="3"/>
    <s v="FIN_HELS"/>
    <x v="8"/>
    <x v="0"/>
    <s v="GEXT_NATGAS_VOUSAARI"/>
    <n v="3.3902043796625398"/>
    <n v="12.204735766785101"/>
  </r>
  <r>
    <x v="0"/>
    <x v="0"/>
    <x v="0"/>
    <x v="2"/>
    <x v="3"/>
    <s v="FIN_HELS"/>
    <x v="8"/>
    <x v="2"/>
    <s v="GBPR_NATGAS_MARTINLAAKSOGT"/>
    <n v="8.4680000000000005E-2"/>
    <n v="0.30484800000000001"/>
  </r>
  <r>
    <x v="0"/>
    <x v="0"/>
    <x v="0"/>
    <x v="2"/>
    <x v="3"/>
    <s v="FIN_HELS"/>
    <x v="8"/>
    <x v="2"/>
    <s v="GBPR_NATGAS_VOUSAARI"/>
    <n v="0.89172791160431797"/>
    <n v="3.2102204817755502"/>
  </r>
  <r>
    <x v="0"/>
    <x v="0"/>
    <x v="0"/>
    <x v="2"/>
    <x v="3"/>
    <s v="FIN_HP"/>
    <x v="0"/>
    <x v="2"/>
    <s v="GBPR_COAL_NAANTALI"/>
    <n v="1.61708349601976"/>
    <n v="5.8215005856711501"/>
  </r>
  <r>
    <x v="0"/>
    <x v="0"/>
    <x v="0"/>
    <x v="2"/>
    <x v="3"/>
    <s v="FIN_HP"/>
    <x v="1"/>
    <x v="1"/>
    <s v="GETOH_HEATPUMP"/>
    <n v="0.11096"/>
    <n v="0.39945599999999998"/>
  </r>
  <r>
    <x v="0"/>
    <x v="0"/>
    <x v="0"/>
    <x v="2"/>
    <x v="3"/>
    <s v="FIN_OTHER"/>
    <x v="0"/>
    <x v="2"/>
    <s v="GBPR_COAL"/>
    <n v="1.9950225506450699E-2"/>
    <n v="7.1820811823222599E-2"/>
  </r>
  <r>
    <x v="0"/>
    <x v="0"/>
    <x v="0"/>
    <x v="2"/>
    <x v="3"/>
    <s v="FIN_OTHER"/>
    <x v="13"/>
    <x v="0"/>
    <s v="GEXT_PEAT_KELJONLAHTI"/>
    <n v="0.634386568045472"/>
    <n v="2.2837916449637001"/>
  </r>
  <r>
    <x v="0"/>
    <x v="0"/>
    <x v="0"/>
    <x v="2"/>
    <x v="3"/>
    <s v="FIN_OTHER"/>
    <x v="13"/>
    <x v="0"/>
    <s v="GEXT_PEAT_SEVO"/>
    <n v="0.629391398218343"/>
    <n v="2.2658090335860299"/>
  </r>
  <r>
    <x v="0"/>
    <x v="0"/>
    <x v="0"/>
    <x v="2"/>
    <x v="3"/>
    <s v="FIN_OTHER"/>
    <x v="13"/>
    <x v="0"/>
    <s v="GEXT_PEAT_TOPPILA"/>
    <n v="0.35419743703283701"/>
    <n v="1.2751107733182101"/>
  </r>
  <r>
    <x v="0"/>
    <x v="0"/>
    <x v="0"/>
    <x v="2"/>
    <x v="3"/>
    <s v="FIN_OTHER"/>
    <x v="13"/>
    <x v="2"/>
    <s v="GBPR_PEAT"/>
    <n v="2.3677104980594801"/>
    <n v="8.52375779301412"/>
  </r>
  <r>
    <x v="0"/>
    <x v="0"/>
    <x v="0"/>
    <x v="2"/>
    <x v="3"/>
    <s v="FIN_OTHER"/>
    <x v="4"/>
    <x v="2"/>
    <s v="GBPR_WOODCHIPS_FINOTHER"/>
    <n v="0.247812933599379"/>
    <n v="0.89212656095776299"/>
  </r>
  <r>
    <x v="0"/>
    <x v="0"/>
    <x v="0"/>
    <x v="2"/>
    <x v="3"/>
    <s v="FIN_OTHER"/>
    <x v="10"/>
    <x v="2"/>
    <s v="GBPR_WOODWASTE_FINOTHER"/>
    <n v="0.64911600000000003"/>
    <n v="2.3368175999999998"/>
  </r>
  <r>
    <x v="0"/>
    <x v="0"/>
    <x v="0"/>
    <x v="2"/>
    <x v="3"/>
    <s v="FIN_TAMP"/>
    <x v="1"/>
    <x v="1"/>
    <s v="GETOH_ELECTRICBOILER"/>
    <n v="1.4897959183673501E-2"/>
    <n v="5.36326530612245E-2"/>
  </r>
  <r>
    <x v="0"/>
    <x v="0"/>
    <x v="0"/>
    <x v="2"/>
    <x v="3"/>
    <s v="FIN_TAMP"/>
    <x v="8"/>
    <x v="0"/>
    <s v="GEXT_NATGAS_TAMPERE"/>
    <n v="1.8181607360000001"/>
    <n v="6.5453786495999999"/>
  </r>
  <r>
    <x v="0"/>
    <x v="0"/>
    <x v="0"/>
    <x v="2"/>
    <x v="3"/>
    <s v="FinA"/>
    <x v="0"/>
    <x v="6"/>
    <s v="GCND_COAL3"/>
    <n v="4.1613153229563604"/>
    <n v="14.980735162642899"/>
  </r>
  <r>
    <x v="0"/>
    <x v="0"/>
    <x v="0"/>
    <x v="2"/>
    <x v="3"/>
    <s v="FinA"/>
    <x v="14"/>
    <x v="6"/>
    <s v="GCND_NUCLEAR"/>
    <n v="25.401491136000001"/>
    <n v="91.445368089599995"/>
  </r>
  <r>
    <x v="0"/>
    <x v="0"/>
    <x v="0"/>
    <x v="2"/>
    <x v="3"/>
    <s v="FinA"/>
    <x v="13"/>
    <x v="2"/>
    <s v="GBPR_PEAT_IND"/>
    <n v="5.5538400000000001"/>
    <n v="19.993824"/>
  </r>
  <r>
    <x v="0"/>
    <x v="0"/>
    <x v="0"/>
    <x v="2"/>
    <x v="3"/>
    <s v="FinA"/>
    <x v="6"/>
    <x v="7"/>
    <s v="GNR_RES_WTR_NOPMP_MC-01"/>
    <n v="1.3748819999999999"/>
    <n v="4.9495752"/>
  </r>
  <r>
    <x v="0"/>
    <x v="0"/>
    <x v="0"/>
    <x v="2"/>
    <x v="3"/>
    <s v="FinA"/>
    <x v="6"/>
    <x v="7"/>
    <s v="GNR_RES_WTR_NOPMP_MC-02"/>
    <n v="1.3748819999999999"/>
    <n v="4.9495752"/>
  </r>
  <r>
    <x v="0"/>
    <x v="0"/>
    <x v="0"/>
    <x v="2"/>
    <x v="3"/>
    <s v="FinA"/>
    <x v="6"/>
    <x v="7"/>
    <s v="GNR_RES_WTR_NOPMP_MC-03"/>
    <n v="1.3748819999999999"/>
    <n v="4.9495752"/>
  </r>
  <r>
    <x v="0"/>
    <x v="0"/>
    <x v="0"/>
    <x v="2"/>
    <x v="3"/>
    <s v="FinA"/>
    <x v="6"/>
    <x v="7"/>
    <s v="GNR_RES_WTR_NOPMP_MC-04"/>
    <n v="1.3121613011694799"/>
    <n v="4.7237806842101104"/>
  </r>
  <r>
    <x v="0"/>
    <x v="0"/>
    <x v="0"/>
    <x v="2"/>
    <x v="3"/>
    <s v="FinA"/>
    <x v="6"/>
    <x v="7"/>
    <s v="GNR_RES_WTR_NOPMP_MC-05"/>
    <n v="1.1045631535501701"/>
    <n v="3.9764273527806302"/>
  </r>
  <r>
    <x v="0"/>
    <x v="0"/>
    <x v="0"/>
    <x v="2"/>
    <x v="3"/>
    <s v="FinA"/>
    <x v="6"/>
    <x v="7"/>
    <s v="GNR_RES_WTR_NOPMP_MC-06"/>
    <n v="1.0311615000000001"/>
    <n v="3.7121814"/>
  </r>
  <r>
    <x v="0"/>
    <x v="0"/>
    <x v="0"/>
    <x v="2"/>
    <x v="3"/>
    <s v="FinA"/>
    <x v="6"/>
    <x v="7"/>
    <s v="GNR_RES_WTR_NOPMP_MC-07"/>
    <n v="0.86125729102885795"/>
    <n v="3.1005262477038902"/>
  </r>
  <r>
    <x v="0"/>
    <x v="0"/>
    <x v="0"/>
    <x v="2"/>
    <x v="3"/>
    <s v="FinA"/>
    <x v="6"/>
    <x v="7"/>
    <s v="GNR_RES_WTR_NOPMP_MC-08"/>
    <n v="0.49745050425149201"/>
    <n v="1.7908218153053701"/>
  </r>
  <r>
    <x v="0"/>
    <x v="0"/>
    <x v="0"/>
    <x v="2"/>
    <x v="3"/>
    <s v="FinA"/>
    <x v="6"/>
    <x v="7"/>
    <s v="GNR_RES_WTR_NOPMP_MC-09"/>
    <n v="0.17186024999999999"/>
    <n v="0.61869689999999999"/>
  </r>
  <r>
    <x v="0"/>
    <x v="0"/>
    <x v="0"/>
    <x v="2"/>
    <x v="3"/>
    <s v="FinA"/>
    <x v="6"/>
    <x v="4"/>
    <s v="GNR_ROR_WTR"/>
    <n v="8.0631208425029399"/>
    <n v="29.027235033010601"/>
  </r>
  <r>
    <x v="0"/>
    <x v="0"/>
    <x v="0"/>
    <x v="2"/>
    <x v="3"/>
    <s v="FinA"/>
    <x v="7"/>
    <x v="5"/>
    <s v="GNR_WT_WIND_ONS"/>
    <n v="2.967977935"/>
    <n v="10.684720565999999"/>
  </r>
  <r>
    <x v="0"/>
    <x v="0"/>
    <x v="0"/>
    <x v="3"/>
    <x v="4"/>
    <s v="DE4-E_A"/>
    <x v="1"/>
    <x v="8"/>
    <s v="AGG-DE4-E_RES_WTR_PMP"/>
    <n v="2.71059281688279"/>
    <n v="9.7581341407780506"/>
  </r>
  <r>
    <x v="0"/>
    <x v="0"/>
    <x v="0"/>
    <x v="3"/>
    <x v="4"/>
    <s v="DE4-E_A"/>
    <x v="15"/>
    <x v="6"/>
    <s v="GNR_ST_LIGN_CND_E-43"/>
    <n v="5.6063999999999998"/>
    <n v="20.183039999999998"/>
  </r>
  <r>
    <x v="0"/>
    <x v="0"/>
    <x v="0"/>
    <x v="3"/>
    <x v="4"/>
    <s v="DE4-E_A"/>
    <x v="15"/>
    <x v="2"/>
    <s v="GNR_ST_LIGN_BP_E-28"/>
    <n v="0.13906499999999999"/>
    <n v="0.50063400000000002"/>
  </r>
  <r>
    <x v="0"/>
    <x v="0"/>
    <x v="0"/>
    <x v="3"/>
    <x v="4"/>
    <s v="DE4-E_A"/>
    <x v="15"/>
    <x v="2"/>
    <s v="GNR_ST_LIGN_BP_E-39"/>
    <n v="74.538303968732706"/>
    <n v="268.33789428743802"/>
  </r>
  <r>
    <x v="0"/>
    <x v="0"/>
    <x v="0"/>
    <x v="3"/>
    <x v="4"/>
    <s v="DE4-E_A"/>
    <x v="2"/>
    <x v="6"/>
    <s v="GNR_ST_MSW_CND_E-33"/>
    <n v="0.57027600000000001"/>
    <n v="2.0529936000000002"/>
  </r>
  <r>
    <x v="0"/>
    <x v="0"/>
    <x v="0"/>
    <x v="3"/>
    <x v="4"/>
    <s v="DE4-E_A"/>
    <x v="5"/>
    <x v="3"/>
    <s v="GNR_PV_SUN"/>
    <n v="11.438265235278299"/>
    <n v="41.1777548470018"/>
  </r>
  <r>
    <x v="0"/>
    <x v="0"/>
    <x v="0"/>
    <x v="3"/>
    <x v="4"/>
    <s v="DE4-E_A"/>
    <x v="16"/>
    <x v="6"/>
    <s v="GNR_GEO_HEAT_EO"/>
    <n v="1.9272E-3"/>
    <n v="6.9379200000000002E-3"/>
  </r>
  <r>
    <x v="0"/>
    <x v="0"/>
    <x v="0"/>
    <x v="3"/>
    <x v="4"/>
    <s v="DE4-E_A"/>
    <x v="6"/>
    <x v="4"/>
    <s v="GNR_ROR_WTR"/>
    <n v="2.6530440910678799"/>
    <n v="9.5509587278443497"/>
  </r>
  <r>
    <x v="0"/>
    <x v="0"/>
    <x v="0"/>
    <x v="3"/>
    <x v="4"/>
    <s v="DE4-E_A"/>
    <x v="7"/>
    <x v="5"/>
    <s v="GNR_WT_WIND_ONS"/>
    <n v="40.504328129999998"/>
    <n v="145.81558126799999"/>
  </r>
  <r>
    <x v="0"/>
    <x v="0"/>
    <x v="0"/>
    <x v="3"/>
    <x v="4"/>
    <s v="DE4-E_Offshore_A"/>
    <x v="7"/>
    <x v="5"/>
    <s v="GNR_WT_WIND_OFF"/>
    <n v="1.4729939999999999"/>
    <n v="5.3027784000000002"/>
  </r>
  <r>
    <x v="0"/>
    <x v="0"/>
    <x v="0"/>
    <x v="3"/>
    <x v="5"/>
    <s v="DE4-N_A"/>
    <x v="0"/>
    <x v="6"/>
    <s v="GNR_ST_COAL_CND_E-46"/>
    <n v="14.016"/>
    <n v="50.457599999999999"/>
  </r>
  <r>
    <x v="0"/>
    <x v="0"/>
    <x v="0"/>
    <x v="3"/>
    <x v="5"/>
    <s v="DE4-N_A"/>
    <x v="0"/>
    <x v="2"/>
    <s v="GNR_ST_COAL_BP_E-40"/>
    <n v="8.0942399999999992"/>
    <n v="29.139264000000001"/>
  </r>
  <r>
    <x v="0"/>
    <x v="0"/>
    <x v="0"/>
    <x v="3"/>
    <x v="5"/>
    <s v="DE4-N_A"/>
    <x v="1"/>
    <x v="8"/>
    <s v="AGG-DE4-N_RES_WTR_PMP"/>
    <n v="0.14256269999999999"/>
    <n v="0.51322572"/>
  </r>
  <r>
    <x v="0"/>
    <x v="0"/>
    <x v="0"/>
    <x v="3"/>
    <x v="5"/>
    <s v="DE4-N_A"/>
    <x v="2"/>
    <x v="2"/>
    <s v="GNR_ST_MSW_BP_E-33"/>
    <n v="0.23159727552727299"/>
    <n v="0.833750191898181"/>
  </r>
  <r>
    <x v="0"/>
    <x v="0"/>
    <x v="0"/>
    <x v="3"/>
    <x v="5"/>
    <s v="DE4-N_A"/>
    <x v="8"/>
    <x v="2"/>
    <s v="GNR_CC_NGAS_BP_E-57"/>
    <n v="0.37995507587095501"/>
    <n v="1.3678382731354399"/>
  </r>
  <r>
    <x v="0"/>
    <x v="0"/>
    <x v="0"/>
    <x v="3"/>
    <x v="5"/>
    <s v="DE4-N_A"/>
    <x v="8"/>
    <x v="2"/>
    <s v="GNR_ST_NGAS_BP_E-39"/>
    <n v="0.69126988274222501"/>
    <n v="2.4885715778720101"/>
  </r>
  <r>
    <x v="0"/>
    <x v="0"/>
    <x v="0"/>
    <x v="3"/>
    <x v="5"/>
    <s v="DE4-N_A"/>
    <x v="14"/>
    <x v="6"/>
    <s v="GNR_ST_NUCL_CND_E-33"/>
    <n v="12.351599999999999"/>
    <n v="44.465760000000003"/>
  </r>
  <r>
    <x v="0"/>
    <x v="0"/>
    <x v="0"/>
    <x v="3"/>
    <x v="5"/>
    <s v="DE4-N_A"/>
    <x v="5"/>
    <x v="3"/>
    <s v="GNR_PV_SUN"/>
    <n v="1.6803275310545001"/>
    <n v="6.0491791117962102"/>
  </r>
  <r>
    <x v="0"/>
    <x v="0"/>
    <x v="0"/>
    <x v="3"/>
    <x v="5"/>
    <s v="DE4-N_A"/>
    <x v="6"/>
    <x v="4"/>
    <s v="GNR_ROR_WTR"/>
    <n v="2.3376999999999998E-2"/>
    <n v="8.4157200000000001E-2"/>
  </r>
  <r>
    <x v="0"/>
    <x v="0"/>
    <x v="0"/>
    <x v="3"/>
    <x v="5"/>
    <s v="DE4-N_A"/>
    <x v="7"/>
    <x v="5"/>
    <s v="GNR_WT_WIND_ONS"/>
    <n v="17.132994289999999"/>
    <n v="61.678779444"/>
  </r>
  <r>
    <x v="0"/>
    <x v="0"/>
    <x v="0"/>
    <x v="3"/>
    <x v="5"/>
    <s v="DE4-N_Offshore_A"/>
    <x v="7"/>
    <x v="5"/>
    <s v="GNR_WT_WIND_OFF"/>
    <n v="4.0293000000000001"/>
    <n v="14.50548"/>
  </r>
  <r>
    <x v="0"/>
    <x v="0"/>
    <x v="0"/>
    <x v="3"/>
    <x v="6"/>
    <s v="DE4-S_A"/>
    <x v="0"/>
    <x v="6"/>
    <s v="GNR_ST_COAL_CND_E-38"/>
    <n v="4.2398400000000001"/>
    <n v="15.263424000000001"/>
  </r>
  <r>
    <x v="0"/>
    <x v="0"/>
    <x v="0"/>
    <x v="3"/>
    <x v="6"/>
    <s v="DE4-S_A"/>
    <x v="0"/>
    <x v="6"/>
    <s v="GNR_ST_COAL_CND_E-44"/>
    <n v="4.6165200000000004"/>
    <n v="16.619471999999998"/>
  </r>
  <r>
    <x v="0"/>
    <x v="0"/>
    <x v="0"/>
    <x v="3"/>
    <x v="6"/>
    <s v="DE4-S_A"/>
    <x v="0"/>
    <x v="2"/>
    <s v="GNR_ST_COAL_BP_E-43"/>
    <n v="26.253611711509201"/>
    <n v="94.513002161433306"/>
  </r>
  <r>
    <x v="0"/>
    <x v="0"/>
    <x v="0"/>
    <x v="3"/>
    <x v="6"/>
    <s v="DE4-S_A"/>
    <x v="1"/>
    <x v="8"/>
    <s v="AGG-DE4-S_RES_WTR_PMP"/>
    <n v="2.33722216262115"/>
    <n v="8.4139997854361503"/>
  </r>
  <r>
    <x v="0"/>
    <x v="0"/>
    <x v="0"/>
    <x v="3"/>
    <x v="6"/>
    <s v="DE4-S_A"/>
    <x v="2"/>
    <x v="6"/>
    <s v="GNR_ST_MSW_CND_E-33"/>
    <n v="0.35039999999999999"/>
    <n v="1.2614399999999999"/>
  </r>
  <r>
    <x v="0"/>
    <x v="0"/>
    <x v="0"/>
    <x v="3"/>
    <x v="6"/>
    <s v="DE4-S_A"/>
    <x v="14"/>
    <x v="6"/>
    <s v="GNR_ST_NUCL_CND_E-33"/>
    <n v="58.63944"/>
    <n v="211.10198399999999"/>
  </r>
  <r>
    <x v="0"/>
    <x v="0"/>
    <x v="0"/>
    <x v="3"/>
    <x v="6"/>
    <s v="DE4-S_A"/>
    <x v="5"/>
    <x v="3"/>
    <s v="GNR_PV_SUN"/>
    <n v="21.7176092114785"/>
    <n v="78.183393161322698"/>
  </r>
  <r>
    <x v="0"/>
    <x v="0"/>
    <x v="0"/>
    <x v="3"/>
    <x v="6"/>
    <s v="DE4-S_A"/>
    <x v="16"/>
    <x v="6"/>
    <s v="GNR_GEO_HEAT_EO"/>
    <n v="0.39209759999999999"/>
    <n v="1.41155136"/>
  </r>
  <r>
    <x v="0"/>
    <x v="0"/>
    <x v="0"/>
    <x v="3"/>
    <x v="6"/>
    <s v="DE4-S_A"/>
    <x v="6"/>
    <x v="7"/>
    <s v="GNR_RES_WTR_NOPMP"/>
    <n v="0.59766271944701799"/>
    <n v="2.1515857900092699"/>
  </r>
  <r>
    <x v="0"/>
    <x v="0"/>
    <x v="0"/>
    <x v="3"/>
    <x v="6"/>
    <s v="DE4-S_A"/>
    <x v="6"/>
    <x v="4"/>
    <s v="GNR_ROR_WTR"/>
    <n v="38.207127800000002"/>
    <n v="137.54566008"/>
  </r>
  <r>
    <x v="0"/>
    <x v="0"/>
    <x v="0"/>
    <x v="3"/>
    <x v="6"/>
    <s v="DE4-S_A"/>
    <x v="7"/>
    <x v="5"/>
    <s v="GNR_WT_WIND_ONS"/>
    <n v="13.97148009"/>
    <n v="50.297328323999999"/>
  </r>
  <r>
    <x v="0"/>
    <x v="0"/>
    <x v="0"/>
    <x v="3"/>
    <x v="7"/>
    <s v="DE4-W_A"/>
    <x v="0"/>
    <x v="6"/>
    <s v="GNR_ST_COAL_CND_E-37"/>
    <n v="32.648245518507203"/>
    <n v="117.53368386662601"/>
  </r>
  <r>
    <x v="0"/>
    <x v="0"/>
    <x v="0"/>
    <x v="3"/>
    <x v="7"/>
    <s v="DE4-W_A"/>
    <x v="0"/>
    <x v="6"/>
    <s v="GNR_ST_COAL_CND_E-45"/>
    <n v="30.213239999999999"/>
    <n v="108.767664"/>
  </r>
  <r>
    <x v="0"/>
    <x v="0"/>
    <x v="0"/>
    <x v="3"/>
    <x v="7"/>
    <s v="DE4-W_A"/>
    <x v="0"/>
    <x v="2"/>
    <s v="GNR_ST_COAL_BP_E-41"/>
    <n v="5.2080925951988499"/>
    <n v="18.749133342715801"/>
  </r>
  <r>
    <x v="0"/>
    <x v="0"/>
    <x v="0"/>
    <x v="3"/>
    <x v="7"/>
    <s v="DE4-W_A"/>
    <x v="1"/>
    <x v="8"/>
    <s v="AGG-DE4-W_RES_WTR_PMP"/>
    <n v="0.95347199999999999"/>
    <n v="3.4324992000000001"/>
  </r>
  <r>
    <x v="0"/>
    <x v="0"/>
    <x v="0"/>
    <x v="3"/>
    <x v="7"/>
    <s v="DE4-W_A"/>
    <x v="15"/>
    <x v="6"/>
    <s v="GNR_ST_LIGN_CND_E-32"/>
    <n v="39.76164"/>
    <n v="143.14190400000001"/>
  </r>
  <r>
    <x v="0"/>
    <x v="0"/>
    <x v="0"/>
    <x v="3"/>
    <x v="7"/>
    <s v="DE4-W_A"/>
    <x v="15"/>
    <x v="6"/>
    <s v="GNR_ST_LIGN_CND_E-41"/>
    <n v="35.302799999999998"/>
    <n v="127.09008"/>
  </r>
  <r>
    <x v="0"/>
    <x v="0"/>
    <x v="0"/>
    <x v="3"/>
    <x v="7"/>
    <s v="DE4-W_A"/>
    <x v="15"/>
    <x v="2"/>
    <s v="GNR_ST_LIGN_BP_E-33"/>
    <n v="4.5931600000000001"/>
    <n v="16.535375999999999"/>
  </r>
  <r>
    <x v="0"/>
    <x v="0"/>
    <x v="0"/>
    <x v="3"/>
    <x v="7"/>
    <s v="DE4-W_A"/>
    <x v="15"/>
    <x v="2"/>
    <s v="GNR_ST_LIGN_BP_E-37"/>
    <n v="28.1306988785337"/>
    <n v="101.27051596272101"/>
  </r>
  <r>
    <x v="0"/>
    <x v="0"/>
    <x v="0"/>
    <x v="3"/>
    <x v="7"/>
    <s v="DE4-W_A"/>
    <x v="2"/>
    <x v="6"/>
    <s v="GNR_ST_MSW_CND_E-33"/>
    <n v="1.513728"/>
    <n v="5.4494208000000004"/>
  </r>
  <r>
    <x v="0"/>
    <x v="0"/>
    <x v="0"/>
    <x v="3"/>
    <x v="7"/>
    <s v="DE4-W_A"/>
    <x v="14"/>
    <x v="6"/>
    <s v="GNR_ST_NUCL_CND_E-33"/>
    <n v="23.616959999999999"/>
    <n v="85.021056000000002"/>
  </r>
  <r>
    <x v="0"/>
    <x v="0"/>
    <x v="0"/>
    <x v="3"/>
    <x v="7"/>
    <s v="DE4-W_A"/>
    <x v="5"/>
    <x v="3"/>
    <s v="GNR_PV_SUN"/>
    <n v="10.6223389660178"/>
    <n v="38.240420277664001"/>
  </r>
  <r>
    <x v="0"/>
    <x v="0"/>
    <x v="0"/>
    <x v="3"/>
    <x v="7"/>
    <s v="DE4-W_A"/>
    <x v="6"/>
    <x v="4"/>
    <s v="GNR_ROR_WTR"/>
    <n v="1.7424299999999999"/>
    <n v="6.272748"/>
  </r>
  <r>
    <x v="0"/>
    <x v="0"/>
    <x v="0"/>
    <x v="3"/>
    <x v="7"/>
    <s v="DE4-W_A"/>
    <x v="7"/>
    <x v="5"/>
    <s v="GNR_WT_WIND_ONS"/>
    <n v="38.021413850000002"/>
    <n v="136.87708986000001"/>
  </r>
  <r>
    <x v="0"/>
    <x v="0"/>
    <x v="0"/>
    <x v="3"/>
    <x v="7"/>
    <s v="DE4-W_Offshore_A"/>
    <x v="7"/>
    <x v="5"/>
    <s v="GNR_WT_WIND_OFF"/>
    <n v="0.49694700000000003"/>
    <n v="1.7890092"/>
  </r>
  <r>
    <x v="0"/>
    <x v="0"/>
    <x v="0"/>
    <x v="4"/>
    <x v="8"/>
    <s v="LV_RigaR"/>
    <x v="8"/>
    <x v="0"/>
    <s v="RIGA-TEC2_CC_NGAS_EXT"/>
    <n v="1.8467089975317299"/>
    <n v="6.6481523911142304"/>
  </r>
  <r>
    <x v="0"/>
    <x v="0"/>
    <x v="0"/>
    <x v="4"/>
    <x v="8"/>
    <s v="LV_RigaR"/>
    <x v="6"/>
    <x v="7"/>
    <s v="GNR_RES_WTR_NOPMP"/>
    <n v="4.0200000000000001E-4"/>
    <n v="1.4472E-3"/>
  </r>
  <r>
    <x v="0"/>
    <x v="0"/>
    <x v="0"/>
    <x v="4"/>
    <x v="8"/>
    <s v="LV_Rural"/>
    <x v="7"/>
    <x v="5"/>
    <s v="GNR_WT_WIND_ONS"/>
    <n v="0.11622"/>
    <n v="0.41839199999999999"/>
  </r>
  <r>
    <x v="0"/>
    <x v="0"/>
    <x v="0"/>
    <x v="5"/>
    <x v="9"/>
    <s v="LT_KauU"/>
    <x v="2"/>
    <x v="2"/>
    <s v="KAUNAS_ST_MSW_BP"/>
    <n v="0.21024000000000001"/>
    <n v="0.75686399999999998"/>
  </r>
  <r>
    <x v="0"/>
    <x v="0"/>
    <x v="0"/>
    <x v="5"/>
    <x v="9"/>
    <s v="LT_KauU"/>
    <x v="6"/>
    <x v="4"/>
    <s v="GNR_ROR_WTR"/>
    <n v="0.61343999999999999"/>
    <n v="2.2083840000000001"/>
  </r>
  <r>
    <x v="0"/>
    <x v="0"/>
    <x v="0"/>
    <x v="5"/>
    <x v="9"/>
    <s v="LT_KlaU"/>
    <x v="5"/>
    <x v="3"/>
    <s v="GNR_PV_SUN"/>
    <n v="8.7830410424068805E-2"/>
    <n v="0.316189477526648"/>
  </r>
  <r>
    <x v="0"/>
    <x v="0"/>
    <x v="0"/>
    <x v="5"/>
    <x v="9"/>
    <s v="LT_Other_DH"/>
    <x v="17"/>
    <x v="2"/>
    <s v="LIFOSA_ST_HEAT_BP"/>
    <n v="0.32412000000000002"/>
    <n v="1.1668320000000001"/>
  </r>
  <r>
    <x v="0"/>
    <x v="0"/>
    <x v="0"/>
    <x v="5"/>
    <x v="9"/>
    <s v="LT_Other_DH"/>
    <x v="10"/>
    <x v="2"/>
    <s v="EBAVERE_ST_WOODWST_BP"/>
    <n v="9.1104000000000004E-2"/>
    <n v="0.3279744"/>
  </r>
  <r>
    <x v="0"/>
    <x v="0"/>
    <x v="0"/>
    <x v="5"/>
    <x v="9"/>
    <s v="LT_Rural"/>
    <x v="7"/>
    <x v="5"/>
    <s v="GNR_WT_WIND_ONS"/>
    <n v="0.98593299999999995"/>
    <n v="3.5493587999999998"/>
  </r>
  <r>
    <x v="0"/>
    <x v="0"/>
    <x v="0"/>
    <x v="5"/>
    <x v="9"/>
    <s v="LT_VilU"/>
    <x v="2"/>
    <x v="2"/>
    <s v="VILNIUS_ST_MSW_BP"/>
    <n v="0.80591999999999997"/>
    <n v="2.9013119999999999"/>
  </r>
  <r>
    <x v="0"/>
    <x v="0"/>
    <x v="0"/>
    <x v="5"/>
    <x v="9"/>
    <s v="LT_VilU"/>
    <x v="8"/>
    <x v="6"/>
    <s v="GNR_CC_NGAS_CND_E-58"/>
    <n v="7.4781798035693403E-2"/>
    <n v="0.26921447292849598"/>
  </r>
  <r>
    <x v="0"/>
    <x v="0"/>
    <x v="0"/>
    <x v="5"/>
    <x v="9"/>
    <s v="LT_VilU"/>
    <x v="6"/>
    <x v="8"/>
    <s v="GNR_ES_WTR_PMP"/>
    <n v="3.4164E-2"/>
    <n v="0.1229904"/>
  </r>
  <r>
    <x v="0"/>
    <x v="0"/>
    <x v="0"/>
    <x v="6"/>
    <x v="10"/>
    <s v="NL_A"/>
    <x v="0"/>
    <x v="6"/>
    <s v="GNR_ST_COAL_CND_E-40"/>
    <n v="41.519247932722202"/>
    <n v="149.4692925578"/>
  </r>
  <r>
    <x v="0"/>
    <x v="0"/>
    <x v="0"/>
    <x v="6"/>
    <x v="10"/>
    <s v="NL_A"/>
    <x v="2"/>
    <x v="6"/>
    <s v="GNR_ST_MSW_CND_E-40"/>
    <n v="5.9918399999999998"/>
    <n v="21.570623999999999"/>
  </r>
  <r>
    <x v="0"/>
    <x v="0"/>
    <x v="0"/>
    <x v="6"/>
    <x v="10"/>
    <s v="NL_A"/>
    <x v="8"/>
    <x v="6"/>
    <s v="GNR_CC_NGAS_CND_E-38"/>
    <n v="0.25517851207049203"/>
    <n v="0.91864264345377"/>
  </r>
  <r>
    <x v="0"/>
    <x v="0"/>
    <x v="0"/>
    <x v="6"/>
    <x v="10"/>
    <s v="NL_A"/>
    <x v="14"/>
    <x v="6"/>
    <s v="GNR_ST_NUCL_CND_E-33"/>
    <n v="4.5114000000000001"/>
    <n v="16.241040000000002"/>
  </r>
  <r>
    <x v="0"/>
    <x v="0"/>
    <x v="0"/>
    <x v="6"/>
    <x v="10"/>
    <s v="NL_A"/>
    <x v="5"/>
    <x v="3"/>
    <s v="GNR_PV_SUN"/>
    <n v="0.83486304"/>
    <n v="3.005506944"/>
  </r>
  <r>
    <x v="0"/>
    <x v="0"/>
    <x v="0"/>
    <x v="6"/>
    <x v="10"/>
    <s v="NL_A"/>
    <x v="6"/>
    <x v="4"/>
    <s v="GNR_ROR_WTR"/>
    <n v="0.15959999999999999"/>
    <n v="0.57455999999999996"/>
  </r>
  <r>
    <x v="0"/>
    <x v="0"/>
    <x v="0"/>
    <x v="6"/>
    <x v="10"/>
    <s v="NL_A"/>
    <x v="7"/>
    <x v="5"/>
    <s v="GNR_WT_WIND_OFF"/>
    <n v="0.70642000000000005"/>
    <n v="2.5431119999999998"/>
  </r>
  <r>
    <x v="0"/>
    <x v="0"/>
    <x v="0"/>
    <x v="6"/>
    <x v="10"/>
    <s v="NL_A"/>
    <x v="7"/>
    <x v="5"/>
    <s v="GNR_WT_WIND_ONS"/>
    <n v="7.0527600000000001"/>
    <n v="25.389935999999999"/>
  </r>
  <r>
    <x v="0"/>
    <x v="0"/>
    <x v="0"/>
    <x v="6"/>
    <x v="10"/>
    <s v="NL_A"/>
    <x v="12"/>
    <x v="6"/>
    <s v="GNR_ST_WOOD_CND_E-50"/>
    <n v="2.12889105108041"/>
    <n v="7.6640077838894696"/>
  </r>
  <r>
    <x v="0"/>
    <x v="0"/>
    <x v="0"/>
    <x v="7"/>
    <x v="11"/>
    <s v="NO1_A1"/>
    <x v="2"/>
    <x v="2"/>
    <s v="GBPR_MUNIWASTE"/>
    <n v="7.1831999999999993E-2"/>
    <n v="0.25859520000000003"/>
  </r>
  <r>
    <x v="0"/>
    <x v="0"/>
    <x v="0"/>
    <x v="7"/>
    <x v="11"/>
    <s v="NO1_A1"/>
    <x v="6"/>
    <x v="7"/>
    <s v="GNR_RES_WTR_NOPMP_MC-01"/>
    <n v="1.4016"/>
    <n v="5.0457599999999996"/>
  </r>
  <r>
    <x v="0"/>
    <x v="0"/>
    <x v="0"/>
    <x v="7"/>
    <x v="11"/>
    <s v="NO1_A1"/>
    <x v="6"/>
    <x v="7"/>
    <s v="GNR_RES_WTR_NOPMP_MC-02"/>
    <n v="1.4016"/>
    <n v="5.0457599999999996"/>
  </r>
  <r>
    <x v="0"/>
    <x v="0"/>
    <x v="0"/>
    <x v="7"/>
    <x v="11"/>
    <s v="NO1_A1"/>
    <x v="6"/>
    <x v="7"/>
    <s v="GNR_RES_WTR_NOPMP_MC-03"/>
    <n v="0.99280000000000002"/>
    <n v="3.5740799999999999"/>
  </r>
  <r>
    <x v="0"/>
    <x v="0"/>
    <x v="0"/>
    <x v="7"/>
    <x v="11"/>
    <s v="NO1_A1"/>
    <x v="6"/>
    <x v="7"/>
    <s v="GNR_RES_WTR_NOPMP_MC-04"/>
    <n v="0.75919999999999999"/>
    <n v="2.73312"/>
  </r>
  <r>
    <x v="0"/>
    <x v="0"/>
    <x v="0"/>
    <x v="7"/>
    <x v="11"/>
    <s v="NO1_A1"/>
    <x v="6"/>
    <x v="7"/>
    <s v="GNR_RES_WTR_NOPMP_MC-05"/>
    <n v="0.17519999999999999"/>
    <n v="0.63071999999999995"/>
  </r>
  <r>
    <x v="0"/>
    <x v="0"/>
    <x v="0"/>
    <x v="7"/>
    <x v="11"/>
    <s v="NO1_A1"/>
    <x v="6"/>
    <x v="7"/>
    <s v="GNR_RES_WTR_NOPMP_MC-06"/>
    <n v="9.8057635581695501E-2"/>
    <n v="0.35300748809410398"/>
  </r>
  <r>
    <x v="0"/>
    <x v="0"/>
    <x v="0"/>
    <x v="7"/>
    <x v="11"/>
    <s v="NO1_A1"/>
    <x v="6"/>
    <x v="4"/>
    <s v="GNR_ROR_WTR"/>
    <n v="8.2207838348424804"/>
    <n v="29.5948218054329"/>
  </r>
  <r>
    <x v="0"/>
    <x v="0"/>
    <x v="0"/>
    <x v="7"/>
    <x v="11"/>
    <s v="NO1_A2"/>
    <x v="1"/>
    <x v="1"/>
    <s v="GETOH_HEATPUMP"/>
    <n v="2.50211781953785E-2"/>
    <n v="9.00762415033627E-2"/>
  </r>
  <r>
    <x v="0"/>
    <x v="0"/>
    <x v="0"/>
    <x v="7"/>
    <x v="11"/>
    <s v="NO1_A2"/>
    <x v="2"/>
    <x v="2"/>
    <s v="GBPR_MUNIWASTE"/>
    <n v="9.7177599999998795E-2"/>
    <n v="0.34983935999999599"/>
  </r>
  <r>
    <x v="0"/>
    <x v="0"/>
    <x v="0"/>
    <x v="7"/>
    <x v="12"/>
    <s v="NO2_A1"/>
    <x v="2"/>
    <x v="2"/>
    <s v="GBPR_MUNIWASTE"/>
    <n v="9.4607999999999998E-2"/>
    <n v="0.34058880000000002"/>
  </r>
  <r>
    <x v="0"/>
    <x v="0"/>
    <x v="0"/>
    <x v="7"/>
    <x v="12"/>
    <s v="NO2_A1"/>
    <x v="6"/>
    <x v="7"/>
    <s v="GNR_RES_WTR_NOPMP_MC-01"/>
    <n v="3.2166024084082498"/>
    <n v="11.579768670269701"/>
  </r>
  <r>
    <x v="0"/>
    <x v="0"/>
    <x v="0"/>
    <x v="7"/>
    <x v="12"/>
    <s v="NO2_A1"/>
    <x v="6"/>
    <x v="7"/>
    <s v="GNR_RES_WTR_NOPMP_MC-02"/>
    <n v="7.7718024084082398"/>
    <n v="27.978488670269702"/>
  </r>
  <r>
    <x v="0"/>
    <x v="0"/>
    <x v="0"/>
    <x v="7"/>
    <x v="12"/>
    <s v="NO2_A1"/>
    <x v="6"/>
    <x v="7"/>
    <s v="GNR_RES_WTR_NOPMP_MC-03"/>
    <n v="7.7718024084082398"/>
    <n v="27.978488670269702"/>
  </r>
  <r>
    <x v="0"/>
    <x v="0"/>
    <x v="0"/>
    <x v="7"/>
    <x v="12"/>
    <s v="NO2_A1"/>
    <x v="6"/>
    <x v="7"/>
    <s v="GNR_RES_WTR_NOPMP_MC-04"/>
    <n v="6.6228250810895002"/>
    <n v="23.842170291922201"/>
  </r>
  <r>
    <x v="0"/>
    <x v="0"/>
    <x v="0"/>
    <x v="7"/>
    <x v="12"/>
    <s v="NO2_A1"/>
    <x v="6"/>
    <x v="7"/>
    <s v="GNR_RES_WTR_NOPMP_MC-05"/>
    <n v="4.9174114832861999"/>
    <n v="17.702681339830299"/>
  </r>
  <r>
    <x v="0"/>
    <x v="0"/>
    <x v="0"/>
    <x v="7"/>
    <x v="12"/>
    <s v="NO2_A1"/>
    <x v="6"/>
    <x v="7"/>
    <s v="GNR_RES_WTR_NOPMP_MC-06"/>
    <n v="1.9675827604426599"/>
    <n v="7.0832979375935796"/>
  </r>
  <r>
    <x v="0"/>
    <x v="0"/>
    <x v="0"/>
    <x v="7"/>
    <x v="12"/>
    <s v="NO2_A1"/>
    <x v="6"/>
    <x v="7"/>
    <s v="GNR_RES_WTR_NOPMP_MC-07"/>
    <n v="0.65899265537388096"/>
    <n v="2.3723735593459701"/>
  </r>
  <r>
    <x v="0"/>
    <x v="0"/>
    <x v="0"/>
    <x v="7"/>
    <x v="12"/>
    <s v="NO2_A1"/>
    <x v="6"/>
    <x v="7"/>
    <s v="GNR_RES_WTR_PMP_MC-01"/>
    <n v="4.5552000000000001"/>
    <n v="16.398720000000001"/>
  </r>
  <r>
    <x v="0"/>
    <x v="0"/>
    <x v="0"/>
    <x v="7"/>
    <x v="12"/>
    <s v="NO2_A1"/>
    <x v="6"/>
    <x v="4"/>
    <s v="GNR_ROR_WTR"/>
    <n v="9.2743043586350105"/>
    <n v="33.387495691086102"/>
  </r>
  <r>
    <x v="0"/>
    <x v="0"/>
    <x v="0"/>
    <x v="7"/>
    <x v="12"/>
    <s v="NO2_A1"/>
    <x v="7"/>
    <x v="5"/>
    <s v="GNR_WT_WIND_ONS"/>
    <n v="1.5001477000000001"/>
    <n v="5.40053172"/>
  </r>
  <r>
    <x v="0"/>
    <x v="0"/>
    <x v="0"/>
    <x v="7"/>
    <x v="13"/>
    <s v="NO3_A1"/>
    <x v="2"/>
    <x v="2"/>
    <s v="GBPR_MUNIWASTE"/>
    <n v="3.75804E-2"/>
    <n v="0.13528944000000001"/>
  </r>
  <r>
    <x v="0"/>
    <x v="0"/>
    <x v="0"/>
    <x v="7"/>
    <x v="13"/>
    <s v="NO3_A1"/>
    <x v="6"/>
    <x v="7"/>
    <s v="GNR_RES_WTR_NOPMP_MC-01"/>
    <n v="1.94337545966466"/>
    <n v="6.9961516547927696"/>
  </r>
  <r>
    <x v="0"/>
    <x v="0"/>
    <x v="0"/>
    <x v="7"/>
    <x v="13"/>
    <s v="NO3_A1"/>
    <x v="6"/>
    <x v="7"/>
    <s v="GNR_RES_WTR_NOPMP_MC-02"/>
    <n v="2.4716034596646601"/>
    <n v="8.8977724547927703"/>
  </r>
  <r>
    <x v="0"/>
    <x v="0"/>
    <x v="0"/>
    <x v="7"/>
    <x v="13"/>
    <s v="NO3_A1"/>
    <x v="6"/>
    <x v="7"/>
    <s v="GNR_RES_WTR_NOPMP_MC-03"/>
    <n v="2.4716034596646601"/>
    <n v="8.8977724547927703"/>
  </r>
  <r>
    <x v="0"/>
    <x v="0"/>
    <x v="0"/>
    <x v="7"/>
    <x v="13"/>
    <s v="NO3_A1"/>
    <x v="6"/>
    <x v="7"/>
    <s v="GNR_RES_WTR_NOPMP_MC-04"/>
    <n v="2.3686199821786298"/>
    <n v="8.5270319358430697"/>
  </r>
  <r>
    <x v="0"/>
    <x v="0"/>
    <x v="0"/>
    <x v="7"/>
    <x v="13"/>
    <s v="NO3_A1"/>
    <x v="6"/>
    <x v="7"/>
    <s v="GNR_RES_WTR_NOPMP_MC-05"/>
    <n v="1.64773563977644"/>
    <n v="5.9318483031951796"/>
  </r>
  <r>
    <x v="0"/>
    <x v="0"/>
    <x v="0"/>
    <x v="7"/>
    <x v="13"/>
    <s v="NO3_A1"/>
    <x v="6"/>
    <x v="7"/>
    <s v="GNR_RES_WTR_NOPMP_MC-06"/>
    <n v="0.94470580349606903"/>
    <n v="3.40094089258585"/>
  </r>
  <r>
    <x v="0"/>
    <x v="0"/>
    <x v="0"/>
    <x v="7"/>
    <x v="13"/>
    <s v="NO3_A1"/>
    <x v="6"/>
    <x v="7"/>
    <s v="GNR_RES_WTR_NOPMP_MC-07"/>
    <n v="0.155342095046619"/>
    <n v="0.559231542167827"/>
  </r>
  <r>
    <x v="0"/>
    <x v="0"/>
    <x v="0"/>
    <x v="7"/>
    <x v="13"/>
    <s v="NO3_A1"/>
    <x v="6"/>
    <x v="7"/>
    <s v="GNR_RES_WTR_PMP_MC-01"/>
    <n v="0.52822800000000003"/>
    <n v="1.9016207999999999"/>
  </r>
  <r>
    <x v="0"/>
    <x v="0"/>
    <x v="0"/>
    <x v="7"/>
    <x v="13"/>
    <s v="NO3_A1"/>
    <x v="6"/>
    <x v="4"/>
    <s v="GNR_ROR_WTR"/>
    <n v="6.0353824559844602"/>
    <n v="21.727376841544"/>
  </r>
  <r>
    <x v="0"/>
    <x v="0"/>
    <x v="0"/>
    <x v="7"/>
    <x v="13"/>
    <s v="NO3_A1"/>
    <x v="7"/>
    <x v="5"/>
    <s v="GNR_WT_WIND_ONS"/>
    <n v="1.0027718999999999"/>
    <n v="3.6099788400000001"/>
  </r>
  <r>
    <x v="0"/>
    <x v="0"/>
    <x v="0"/>
    <x v="7"/>
    <x v="14"/>
    <s v="NO4_A1"/>
    <x v="2"/>
    <x v="2"/>
    <s v="GBPR_MUNIWASTE"/>
    <n v="1.4569632E-3"/>
    <n v="5.2450675199999996E-3"/>
  </r>
  <r>
    <x v="0"/>
    <x v="0"/>
    <x v="0"/>
    <x v="7"/>
    <x v="14"/>
    <s v="NO4_A1"/>
    <x v="6"/>
    <x v="7"/>
    <s v="GNR_RES_WTR_NOPMP_MC-01"/>
    <n v="3.67537745819287"/>
    <n v="13.231358849494301"/>
  </r>
  <r>
    <x v="0"/>
    <x v="0"/>
    <x v="0"/>
    <x v="7"/>
    <x v="14"/>
    <s v="NO4_A1"/>
    <x v="6"/>
    <x v="7"/>
    <s v="GNR_RES_WTR_NOPMP_MC-02"/>
    <n v="3.67537745819287"/>
    <n v="13.231358849494301"/>
  </r>
  <r>
    <x v="0"/>
    <x v="0"/>
    <x v="0"/>
    <x v="7"/>
    <x v="14"/>
    <s v="NO4_A1"/>
    <x v="6"/>
    <x v="7"/>
    <s v="GNR_RES_WTR_NOPMP_MC-03"/>
    <n v="3.67537745819287"/>
    <n v="13.231358849494301"/>
  </r>
  <r>
    <x v="0"/>
    <x v="0"/>
    <x v="0"/>
    <x v="7"/>
    <x v="14"/>
    <s v="NO4_A1"/>
    <x v="6"/>
    <x v="7"/>
    <s v="GNR_RES_WTR_NOPMP_MC-04"/>
    <n v="3.67537745819287"/>
    <n v="13.231358849494301"/>
  </r>
  <r>
    <x v="0"/>
    <x v="0"/>
    <x v="0"/>
    <x v="7"/>
    <x v="14"/>
    <s v="NO4_A1"/>
    <x v="6"/>
    <x v="7"/>
    <s v="GNR_RES_WTR_NOPMP_MC-05"/>
    <n v="3.5222367307681699"/>
    <n v="12.6800522307654"/>
  </r>
  <r>
    <x v="0"/>
    <x v="0"/>
    <x v="0"/>
    <x v="7"/>
    <x v="14"/>
    <s v="NO4_A1"/>
    <x v="6"/>
    <x v="7"/>
    <s v="GNR_RES_WTR_NOPMP_MC-06"/>
    <n v="2.4109358451538001"/>
    <n v="8.6793690425536898"/>
  </r>
  <r>
    <x v="0"/>
    <x v="0"/>
    <x v="0"/>
    <x v="7"/>
    <x v="14"/>
    <s v="NO4_A1"/>
    <x v="6"/>
    <x v="7"/>
    <s v="GNR_RES_WTR_NOPMP_MC-07"/>
    <n v="0.43690600992398598"/>
    <n v="1.5728616357263501"/>
  </r>
  <r>
    <x v="0"/>
    <x v="0"/>
    <x v="0"/>
    <x v="7"/>
    <x v="14"/>
    <s v="NO4_A1"/>
    <x v="6"/>
    <x v="4"/>
    <s v="GNR_ROR_WTR"/>
    <n v="3.2123587841587899"/>
    <n v="11.5644916229716"/>
  </r>
  <r>
    <x v="0"/>
    <x v="0"/>
    <x v="0"/>
    <x v="7"/>
    <x v="14"/>
    <s v="NO4_A1"/>
    <x v="7"/>
    <x v="5"/>
    <s v="GNR_WT_WIND_ONS"/>
    <n v="0.819936"/>
    <n v="2.9517696"/>
  </r>
  <r>
    <x v="0"/>
    <x v="0"/>
    <x v="0"/>
    <x v="7"/>
    <x v="15"/>
    <s v="NO5_A1"/>
    <x v="2"/>
    <x v="2"/>
    <s v="GBPR_MUNIWASTE"/>
    <n v="7.0080000000000003E-2"/>
    <n v="0.25228800000000001"/>
  </r>
  <r>
    <x v="0"/>
    <x v="0"/>
    <x v="0"/>
    <x v="7"/>
    <x v="15"/>
    <s v="NO5_A1"/>
    <x v="6"/>
    <x v="7"/>
    <s v="GNR_RES_WTR_NOPMP_MC-01"/>
    <n v="1.3507327989206199"/>
    <n v="4.8626380761142496"/>
  </r>
  <r>
    <x v="0"/>
    <x v="0"/>
    <x v="0"/>
    <x v="7"/>
    <x v="15"/>
    <s v="NO5_A1"/>
    <x v="6"/>
    <x v="7"/>
    <s v="GNR_RES_WTR_NOPMP_MC-02"/>
    <n v="5.2401727989206197"/>
    <n v="18.864622076114198"/>
  </r>
  <r>
    <x v="0"/>
    <x v="0"/>
    <x v="0"/>
    <x v="7"/>
    <x v="15"/>
    <s v="NO5_A1"/>
    <x v="6"/>
    <x v="7"/>
    <s v="GNR_RES_WTR_NOPMP_MC-03"/>
    <n v="5.2401727989206197"/>
    <n v="18.864622076114198"/>
  </r>
  <r>
    <x v="0"/>
    <x v="0"/>
    <x v="0"/>
    <x v="7"/>
    <x v="15"/>
    <s v="NO5_A1"/>
    <x v="6"/>
    <x v="7"/>
    <s v="GNR_RES_WTR_NOPMP_MC-04"/>
    <n v="5.2401727989206197"/>
    <n v="18.864622076114198"/>
  </r>
  <r>
    <x v="0"/>
    <x v="0"/>
    <x v="0"/>
    <x v="7"/>
    <x v="15"/>
    <s v="NO5_A1"/>
    <x v="6"/>
    <x v="7"/>
    <s v="GNR_RES_WTR_NOPMP_MC-05"/>
    <n v="4.2982970837830798"/>
    <n v="15.473869501619101"/>
  </r>
  <r>
    <x v="0"/>
    <x v="0"/>
    <x v="0"/>
    <x v="7"/>
    <x v="15"/>
    <s v="NO5_A1"/>
    <x v="6"/>
    <x v="7"/>
    <s v="GNR_RES_WTR_NOPMP_MC-06"/>
    <n v="0.14343428250611201"/>
    <n v="0.51636341702200295"/>
  </r>
  <r>
    <x v="0"/>
    <x v="0"/>
    <x v="0"/>
    <x v="7"/>
    <x v="15"/>
    <s v="NO5_A1"/>
    <x v="6"/>
    <x v="7"/>
    <s v="GNR_RES_WTR_PMP_MC-01"/>
    <n v="3.88944"/>
    <n v="14.001984"/>
  </r>
  <r>
    <x v="0"/>
    <x v="0"/>
    <x v="0"/>
    <x v="7"/>
    <x v="15"/>
    <s v="NO5_A1"/>
    <x v="6"/>
    <x v="4"/>
    <s v="GNR_ROR_WTR"/>
    <n v="9.43591967443969"/>
    <n v="33.969310827982902"/>
  </r>
  <r>
    <x v="0"/>
    <x v="0"/>
    <x v="0"/>
    <x v="8"/>
    <x v="16"/>
    <s v="PL_A"/>
    <x v="0"/>
    <x v="6"/>
    <s v="BIAL-4_ST_COAL_CND"/>
    <n v="0.18396000000000001"/>
    <n v="0.66225599999999996"/>
  </r>
  <r>
    <x v="0"/>
    <x v="0"/>
    <x v="0"/>
    <x v="8"/>
    <x v="16"/>
    <s v="PL_A"/>
    <x v="0"/>
    <x v="0"/>
    <s v="DOLN-1_ST_COAL_EXT"/>
    <n v="1.68622991974102"/>
    <n v="6.0704277110676701"/>
  </r>
  <r>
    <x v="0"/>
    <x v="0"/>
    <x v="0"/>
    <x v="8"/>
    <x v="16"/>
    <s v="PL_A"/>
    <x v="0"/>
    <x v="0"/>
    <s v="KOZI-1_ST_COAL_EXT"/>
    <n v="1.6546666666666701"/>
    <n v="5.9568000000000003"/>
  </r>
  <r>
    <x v="0"/>
    <x v="0"/>
    <x v="0"/>
    <x v="8"/>
    <x v="16"/>
    <s v="PL_A"/>
    <x v="0"/>
    <x v="0"/>
    <s v="LAZI-1_ST_COAL_EXT"/>
    <n v="0.93577030716723497"/>
    <n v="3.3687731058020498"/>
  </r>
  <r>
    <x v="0"/>
    <x v="0"/>
    <x v="0"/>
    <x v="8"/>
    <x v="16"/>
    <s v="PL_A"/>
    <x v="0"/>
    <x v="2"/>
    <s v="BIEL-4_ST_COAL_BP"/>
    <n v="0.17125161145715401"/>
    <n v="0.61650580124575405"/>
  </r>
  <r>
    <x v="0"/>
    <x v="0"/>
    <x v="0"/>
    <x v="8"/>
    <x v="16"/>
    <s v="PL_A"/>
    <x v="0"/>
    <x v="2"/>
    <s v="CHOR2-1_ST_COAL_BP"/>
    <n v="2.3827199999999999"/>
    <n v="8.5777920000000005"/>
  </r>
  <r>
    <x v="0"/>
    <x v="0"/>
    <x v="0"/>
    <x v="8"/>
    <x v="16"/>
    <s v="PL_A"/>
    <x v="0"/>
    <x v="2"/>
    <s v="GDAN2-1_ST_COAL_BP"/>
    <n v="0.90990928723264697"/>
    <n v="3.2756734340375302"/>
  </r>
  <r>
    <x v="0"/>
    <x v="0"/>
    <x v="0"/>
    <x v="8"/>
    <x v="16"/>
    <s v="PL_A"/>
    <x v="0"/>
    <x v="2"/>
    <s v="JAWO2-1_ST_COAL_BP"/>
    <n v="18.731148083725799"/>
    <n v="67.432133101412902"/>
  </r>
  <r>
    <x v="0"/>
    <x v="0"/>
    <x v="0"/>
    <x v="8"/>
    <x v="16"/>
    <s v="PL_A"/>
    <x v="0"/>
    <x v="2"/>
    <s v="KARO-2_ST_COAL_BP"/>
    <n v="1.2431646374646199"/>
    <n v="4.4753926948726397"/>
  </r>
  <r>
    <x v="0"/>
    <x v="0"/>
    <x v="0"/>
    <x v="8"/>
    <x v="16"/>
    <s v="PL_A"/>
    <x v="0"/>
    <x v="2"/>
    <s v="KATO_ST_COAL_BP"/>
    <n v="1.07748"/>
    <n v="3.8789280000000002"/>
  </r>
  <r>
    <x v="0"/>
    <x v="0"/>
    <x v="0"/>
    <x v="8"/>
    <x v="16"/>
    <s v="PL_A"/>
    <x v="0"/>
    <x v="2"/>
    <s v="KRLEG-1_ST_COAL_BP"/>
    <n v="1.8834"/>
    <n v="6.78024"/>
  </r>
  <r>
    <x v="0"/>
    <x v="0"/>
    <x v="0"/>
    <x v="8"/>
    <x v="16"/>
    <s v="PL_A"/>
    <x v="0"/>
    <x v="2"/>
    <s v="SIEK-1_ST_COAL_BP"/>
    <n v="4.6398778794838301E-2"/>
    <n v="0.16703560366141801"/>
  </r>
  <r>
    <x v="0"/>
    <x v="0"/>
    <x v="0"/>
    <x v="8"/>
    <x v="16"/>
    <s v="PL_A"/>
    <x v="0"/>
    <x v="2"/>
    <s v="SIER-1_ST_COAL_BP"/>
    <n v="5.4574800000000003"/>
    <n v="19.646927999999999"/>
  </r>
  <r>
    <x v="0"/>
    <x v="0"/>
    <x v="0"/>
    <x v="8"/>
    <x v="16"/>
    <s v="PL_A"/>
    <x v="0"/>
    <x v="2"/>
    <s v="TYCH_ST_COAL_BP"/>
    <n v="0.30221999999999999"/>
    <n v="1.0879920000000001"/>
  </r>
  <r>
    <x v="0"/>
    <x v="0"/>
    <x v="0"/>
    <x v="8"/>
    <x v="16"/>
    <s v="PL_A"/>
    <x v="0"/>
    <x v="2"/>
    <s v="ZIEL-2_ST_COAL_BP"/>
    <n v="9.6360000000000001E-2"/>
    <n v="0.34689599999999998"/>
  </r>
  <r>
    <x v="0"/>
    <x v="0"/>
    <x v="0"/>
    <x v="8"/>
    <x v="16"/>
    <s v="PL_A"/>
    <x v="0"/>
    <x v="2"/>
    <s v="ZIEL-4_ST_COAL_BP"/>
    <n v="0.52559999999999996"/>
    <n v="1.8921600000000001"/>
  </r>
  <r>
    <x v="0"/>
    <x v="0"/>
    <x v="0"/>
    <x v="8"/>
    <x v="16"/>
    <s v="PL_A"/>
    <x v="15"/>
    <x v="0"/>
    <s v="ADAM-1_ST_LIGNITE_EXT"/>
    <n v="0.91867181818181798"/>
    <n v="3.30721854545454"/>
  </r>
  <r>
    <x v="0"/>
    <x v="0"/>
    <x v="0"/>
    <x v="8"/>
    <x v="16"/>
    <s v="PL_A"/>
    <x v="15"/>
    <x v="0"/>
    <s v="BELC-1_ST_LIGNITE_EXT"/>
    <n v="2.84777010989011"/>
    <n v="10.251972395604399"/>
  </r>
  <r>
    <x v="0"/>
    <x v="0"/>
    <x v="0"/>
    <x v="8"/>
    <x v="16"/>
    <s v="PL_A"/>
    <x v="2"/>
    <x v="0"/>
    <s v="GNR_ST_MSW_BP_E-15"/>
    <n v="0.29783999999999999"/>
    <n v="1.0722240000000001"/>
  </r>
  <r>
    <x v="0"/>
    <x v="0"/>
    <x v="0"/>
    <x v="8"/>
    <x v="16"/>
    <s v="PL_A"/>
    <x v="5"/>
    <x v="3"/>
    <s v="GNR_PV_SUN"/>
    <n v="1.09788013030086E-3"/>
    <n v="3.9523684690831E-3"/>
  </r>
  <r>
    <x v="0"/>
    <x v="0"/>
    <x v="0"/>
    <x v="8"/>
    <x v="16"/>
    <s v="PL_A"/>
    <x v="7"/>
    <x v="5"/>
    <s v="GNR_WT_WIND_ONS"/>
    <n v="6.9265800000000004"/>
    <n v="24.935687999999999"/>
  </r>
  <r>
    <x v="0"/>
    <x v="0"/>
    <x v="0"/>
    <x v="8"/>
    <x v="16"/>
    <s v="PL_Rural"/>
    <x v="0"/>
    <x v="6"/>
    <s v="DOLN-2_ST_COAL_CND"/>
    <n v="6.8761559502440104"/>
    <n v="24.7541614208784"/>
  </r>
  <r>
    <x v="0"/>
    <x v="0"/>
    <x v="0"/>
    <x v="8"/>
    <x v="16"/>
    <s v="PL_Rural"/>
    <x v="0"/>
    <x v="6"/>
    <s v="KOZI-2_ST_COAL_CND"/>
    <n v="11.3927499008275"/>
    <n v="41.013899642978998"/>
  </r>
  <r>
    <x v="0"/>
    <x v="0"/>
    <x v="0"/>
    <x v="8"/>
    <x v="16"/>
    <s v="PL_Rural"/>
    <x v="0"/>
    <x v="6"/>
    <s v="LAGI-6_ST_COAL_CND"/>
    <n v="3.7405200000000001"/>
    <n v="13.465871999999999"/>
  </r>
  <r>
    <x v="0"/>
    <x v="0"/>
    <x v="0"/>
    <x v="8"/>
    <x v="16"/>
    <s v="PL_Rural"/>
    <x v="0"/>
    <x v="6"/>
    <s v="OPOL-1_ST_COAL_CND"/>
    <n v="12.4392"/>
    <n v="44.781120000000001"/>
  </r>
  <r>
    <x v="0"/>
    <x v="0"/>
    <x v="0"/>
    <x v="8"/>
    <x v="16"/>
    <s v="PL_Rural"/>
    <x v="0"/>
    <x v="6"/>
    <s v="OSTRB-1_ST_COAL_CND"/>
    <n v="3.5156800000000001"/>
    <n v="12.656447999999999"/>
  </r>
  <r>
    <x v="0"/>
    <x v="0"/>
    <x v="0"/>
    <x v="8"/>
    <x v="16"/>
    <s v="PL_Rural"/>
    <x v="0"/>
    <x v="6"/>
    <s v="POLA-2_ST_COAL_CND"/>
    <n v="11.7115210084979"/>
    <n v="42.161475630592498"/>
  </r>
  <r>
    <x v="0"/>
    <x v="0"/>
    <x v="0"/>
    <x v="8"/>
    <x v="16"/>
    <s v="PL_Rural"/>
    <x v="0"/>
    <x v="6"/>
    <s v="RYBN-2_ST_COAL_CND"/>
    <n v="10.2826743597999"/>
    <n v="37.017627695279501"/>
  </r>
  <r>
    <x v="0"/>
    <x v="0"/>
    <x v="0"/>
    <x v="8"/>
    <x v="16"/>
    <s v="PL_Rural"/>
    <x v="15"/>
    <x v="6"/>
    <s v="ADAM-2_ST_LIGNITE_CON"/>
    <n v="5.3436000000000003"/>
    <n v="19.23696"/>
  </r>
  <r>
    <x v="0"/>
    <x v="0"/>
    <x v="0"/>
    <x v="8"/>
    <x v="16"/>
    <s v="PL_Rural"/>
    <x v="15"/>
    <x v="6"/>
    <s v="BELC-2_ST_LIGNITE_CON"/>
    <n v="33.743519999999997"/>
    <n v="121.47667199999999"/>
  </r>
  <r>
    <x v="0"/>
    <x v="0"/>
    <x v="0"/>
    <x v="8"/>
    <x v="16"/>
    <s v="PL_Rural"/>
    <x v="15"/>
    <x v="6"/>
    <s v="PATN2-1_ST_LIGNITE_CON"/>
    <n v="3.8631600000000001"/>
    <n v="13.907375999999999"/>
  </r>
  <r>
    <x v="0"/>
    <x v="0"/>
    <x v="0"/>
    <x v="8"/>
    <x v="16"/>
    <s v="PL_Rural"/>
    <x v="6"/>
    <x v="4"/>
    <s v="GNR_ROR_WTR"/>
    <n v="2.3110249999999999"/>
    <n v="8.3196899999999996"/>
  </r>
  <r>
    <x v="0"/>
    <x v="0"/>
    <x v="0"/>
    <x v="9"/>
    <x v="17"/>
    <s v="SE1A"/>
    <x v="6"/>
    <x v="7"/>
    <s v="GNR_RES_WTR_NOPMP_MC-01"/>
    <n v="3.5521799999999999"/>
    <n v="12.787848"/>
  </r>
  <r>
    <x v="0"/>
    <x v="0"/>
    <x v="0"/>
    <x v="9"/>
    <x v="17"/>
    <s v="SE1A"/>
    <x v="6"/>
    <x v="7"/>
    <s v="GNR_RES_WTR_NOPMP_MC-02"/>
    <n v="3.5521799999999999"/>
    <n v="12.787848"/>
  </r>
  <r>
    <x v="0"/>
    <x v="0"/>
    <x v="0"/>
    <x v="9"/>
    <x v="17"/>
    <s v="SE1A"/>
    <x v="6"/>
    <x v="7"/>
    <s v="GNR_RES_WTR_NOPMP_MC-03"/>
    <n v="3.3784273879578302"/>
    <n v="12.162338596648199"/>
  </r>
  <r>
    <x v="0"/>
    <x v="0"/>
    <x v="0"/>
    <x v="9"/>
    <x v="17"/>
    <s v="SE1A"/>
    <x v="6"/>
    <x v="7"/>
    <s v="GNR_RES_WTR_NOPMP_MC-04"/>
    <n v="2.04907613709099"/>
    <n v="7.3766740935275497"/>
  </r>
  <r>
    <x v="0"/>
    <x v="0"/>
    <x v="0"/>
    <x v="9"/>
    <x v="17"/>
    <s v="SE1A"/>
    <x v="6"/>
    <x v="7"/>
    <s v="GNR_RES_WTR_NOPMP_MC-05"/>
    <n v="0.77050968853483004"/>
    <n v="2.7738348787253901"/>
  </r>
  <r>
    <x v="0"/>
    <x v="0"/>
    <x v="0"/>
    <x v="9"/>
    <x v="17"/>
    <s v="SE1A"/>
    <x v="6"/>
    <x v="4"/>
    <s v="GNR_ROR_WTR"/>
    <n v="4.9412659291283996"/>
    <n v="17.788557344862198"/>
  </r>
  <r>
    <x v="0"/>
    <x v="0"/>
    <x v="0"/>
    <x v="9"/>
    <x v="17"/>
    <s v="SE1A"/>
    <x v="7"/>
    <x v="5"/>
    <s v="GNR_WT_WIND_ONS"/>
    <n v="1.3272919999999999"/>
    <n v="4.7782511999999997"/>
  </r>
  <r>
    <x v="0"/>
    <x v="0"/>
    <x v="0"/>
    <x v="9"/>
    <x v="17"/>
    <s v="SE1_EL"/>
    <x v="2"/>
    <x v="2"/>
    <s v="GBPR_MUNIWASTE"/>
    <n v="3.4468423734999101E-2"/>
    <n v="0.124086325445997"/>
  </r>
  <r>
    <x v="0"/>
    <x v="0"/>
    <x v="0"/>
    <x v="9"/>
    <x v="17"/>
    <s v="SE1_OTHER"/>
    <x v="13"/>
    <x v="2"/>
    <s v="GBPR_PEAT_38"/>
    <n v="1.6432227844948799E-2"/>
    <n v="5.9156020241815599E-2"/>
  </r>
  <r>
    <x v="0"/>
    <x v="0"/>
    <x v="0"/>
    <x v="9"/>
    <x v="17"/>
    <s v="SE1_OTHER"/>
    <x v="10"/>
    <x v="2"/>
    <s v="GBPR_WOODWASTE"/>
    <n v="0.246148329246935"/>
    <n v="0.88613398528896703"/>
  </r>
  <r>
    <x v="0"/>
    <x v="0"/>
    <x v="0"/>
    <x v="9"/>
    <x v="18"/>
    <s v="SE2A"/>
    <x v="6"/>
    <x v="7"/>
    <s v="GNR_RES_WTR_NOPMP_MC-01"/>
    <n v="3.5695705432814999"/>
    <n v="12.8504539558134"/>
  </r>
  <r>
    <x v="0"/>
    <x v="0"/>
    <x v="0"/>
    <x v="9"/>
    <x v="18"/>
    <s v="SE2A"/>
    <x v="6"/>
    <x v="7"/>
    <s v="GNR_RES_WTR_NOPMP_MC-02"/>
    <n v="4.51565054328149"/>
    <n v="16.256341955813401"/>
  </r>
  <r>
    <x v="0"/>
    <x v="0"/>
    <x v="0"/>
    <x v="9"/>
    <x v="18"/>
    <s v="SE2A"/>
    <x v="6"/>
    <x v="7"/>
    <s v="GNR_RES_WTR_NOPMP_MC-03"/>
    <n v="4.32749843731143"/>
    <n v="15.5789943743212"/>
  </r>
  <r>
    <x v="0"/>
    <x v="0"/>
    <x v="0"/>
    <x v="9"/>
    <x v="18"/>
    <s v="SE2A"/>
    <x v="6"/>
    <x v="7"/>
    <s v="GNR_RES_WTR_NOPMP_MC-04"/>
    <n v="3.09060717323556"/>
    <n v="11.126185823647999"/>
  </r>
  <r>
    <x v="0"/>
    <x v="0"/>
    <x v="0"/>
    <x v="9"/>
    <x v="18"/>
    <s v="SE2A"/>
    <x v="6"/>
    <x v="7"/>
    <s v="GNR_RES_WTR_NOPMP_MC-05"/>
    <n v="2.8222815895509301"/>
    <n v="10.1602137223834"/>
  </r>
  <r>
    <x v="0"/>
    <x v="0"/>
    <x v="0"/>
    <x v="9"/>
    <x v="18"/>
    <s v="SE2A"/>
    <x v="6"/>
    <x v="7"/>
    <s v="GNR_RES_WTR_NOPMP_MC-06"/>
    <n v="2.2578252716407499"/>
    <n v="8.1281709779066897"/>
  </r>
  <r>
    <x v="0"/>
    <x v="0"/>
    <x v="0"/>
    <x v="9"/>
    <x v="18"/>
    <s v="SE2A"/>
    <x v="6"/>
    <x v="7"/>
    <s v="GNR_RES_WTR_NOPMP_MC-07"/>
    <n v="0.80071520441753796"/>
    <n v="2.8825747359031402"/>
  </r>
  <r>
    <x v="0"/>
    <x v="0"/>
    <x v="0"/>
    <x v="9"/>
    <x v="18"/>
    <s v="SE2A"/>
    <x v="6"/>
    <x v="7"/>
    <s v="GNR_RES_WTR_NOPMP_MC-08"/>
    <n v="0.56445631791018702"/>
    <n v="2.0320427444766702"/>
  </r>
  <r>
    <x v="0"/>
    <x v="0"/>
    <x v="0"/>
    <x v="9"/>
    <x v="18"/>
    <s v="SE2A"/>
    <x v="6"/>
    <x v="7"/>
    <s v="GNR_RES_WTR_PMP_MC-01"/>
    <n v="0.94608000000000003"/>
    <n v="3.405888"/>
  </r>
  <r>
    <x v="0"/>
    <x v="0"/>
    <x v="0"/>
    <x v="9"/>
    <x v="18"/>
    <s v="SE2A"/>
    <x v="6"/>
    <x v="4"/>
    <s v="GNR_ROR_WTR"/>
    <n v="14.6401234618342"/>
    <n v="52.704444462603199"/>
  </r>
  <r>
    <x v="0"/>
    <x v="0"/>
    <x v="0"/>
    <x v="9"/>
    <x v="18"/>
    <s v="SE2A"/>
    <x v="7"/>
    <x v="5"/>
    <s v="GNR_WT_WIND_ONS"/>
    <n v="5.7980369999999999"/>
    <n v="20.872933199999999"/>
  </r>
  <r>
    <x v="0"/>
    <x v="0"/>
    <x v="0"/>
    <x v="9"/>
    <x v="18"/>
    <s v="SE2_EL"/>
    <x v="2"/>
    <x v="2"/>
    <s v="GBPR_MUNIWASTE_24"/>
    <n v="0.365518704532238"/>
    <n v="1.31586733631606"/>
  </r>
  <r>
    <x v="0"/>
    <x v="0"/>
    <x v="0"/>
    <x v="9"/>
    <x v="18"/>
    <s v="SE2_EL"/>
    <x v="10"/>
    <x v="0"/>
    <s v="GEXT_WOODWASTE_HORNEBORG"/>
    <n v="0.29682592644483402"/>
    <n v="1.0685733352014"/>
  </r>
  <r>
    <x v="0"/>
    <x v="0"/>
    <x v="0"/>
    <x v="9"/>
    <x v="18"/>
    <s v="SE2_EL"/>
    <x v="10"/>
    <x v="2"/>
    <s v="GBPR_WOODWASTE_25"/>
    <n v="0.21837889065437699"/>
    <n v="0.78616400635575701"/>
  </r>
  <r>
    <x v="0"/>
    <x v="0"/>
    <x v="0"/>
    <x v="9"/>
    <x v="18"/>
    <s v="SE2_OTHER"/>
    <x v="2"/>
    <x v="2"/>
    <s v="GBPR_MUNIWASTE_24"/>
    <n v="2.7706086360374398E-2"/>
    <n v="9.9741910897347699E-2"/>
  </r>
  <r>
    <x v="0"/>
    <x v="0"/>
    <x v="0"/>
    <x v="9"/>
    <x v="18"/>
    <s v="SE2_OTHER"/>
    <x v="10"/>
    <x v="2"/>
    <s v="GBPR_WOODWASTE_36"/>
    <n v="0.38173381430577402"/>
    <n v="1.37424173150079"/>
  </r>
  <r>
    <x v="0"/>
    <x v="0"/>
    <x v="0"/>
    <x v="9"/>
    <x v="19"/>
    <s v="SE3A"/>
    <x v="14"/>
    <x v="6"/>
    <s v="GCND_NUCLEAR"/>
    <n v="63.724488272511699"/>
    <n v="229.40815778104201"/>
  </r>
  <r>
    <x v="0"/>
    <x v="0"/>
    <x v="0"/>
    <x v="9"/>
    <x v="19"/>
    <s v="SE3A"/>
    <x v="6"/>
    <x v="7"/>
    <s v="GNR_RES_WTR_NOPMP_MC-01"/>
    <n v="1.1528160000000001"/>
    <n v="4.1501375999999999"/>
  </r>
  <r>
    <x v="0"/>
    <x v="0"/>
    <x v="0"/>
    <x v="9"/>
    <x v="19"/>
    <s v="SE3A"/>
    <x v="6"/>
    <x v="7"/>
    <s v="GNR_RES_WTR_NOPMP_MC-02"/>
    <n v="1.1528160000000001"/>
    <n v="4.1501375999999999"/>
  </r>
  <r>
    <x v="0"/>
    <x v="0"/>
    <x v="0"/>
    <x v="9"/>
    <x v="19"/>
    <s v="SE3A"/>
    <x v="6"/>
    <x v="7"/>
    <s v="GNR_RES_WTR_NOPMP_MC-03"/>
    <n v="0.91264599999999996"/>
    <n v="3.2855256000000002"/>
  </r>
  <r>
    <x v="0"/>
    <x v="0"/>
    <x v="0"/>
    <x v="9"/>
    <x v="19"/>
    <s v="SE3A"/>
    <x v="6"/>
    <x v="7"/>
    <s v="GNR_RES_WTR_NOPMP_MC-04"/>
    <n v="0.768544"/>
    <n v="2.7667584000000001"/>
  </r>
  <r>
    <x v="0"/>
    <x v="0"/>
    <x v="0"/>
    <x v="9"/>
    <x v="19"/>
    <s v="SE3A"/>
    <x v="6"/>
    <x v="7"/>
    <s v="GNR_RES_WTR_NOPMP_MC-05"/>
    <n v="0.62444200000000005"/>
    <n v="2.2479912"/>
  </r>
  <r>
    <x v="0"/>
    <x v="0"/>
    <x v="0"/>
    <x v="9"/>
    <x v="19"/>
    <s v="SE3A"/>
    <x v="6"/>
    <x v="7"/>
    <s v="GNR_RES_WTR_NOPMP_MC-06"/>
    <n v="0.43408543739192001"/>
    <n v="1.56270757461091"/>
  </r>
  <r>
    <x v="0"/>
    <x v="0"/>
    <x v="0"/>
    <x v="9"/>
    <x v="19"/>
    <s v="SE3A"/>
    <x v="6"/>
    <x v="7"/>
    <s v="GNR_RES_WTR_NOPMP_MC-07"/>
    <n v="0.192136"/>
    <n v="0.69168960000000002"/>
  </r>
  <r>
    <x v="0"/>
    <x v="0"/>
    <x v="0"/>
    <x v="9"/>
    <x v="19"/>
    <s v="SE3A"/>
    <x v="6"/>
    <x v="7"/>
    <s v="GNR_RES_WTR_NOPMP_MC-08"/>
    <n v="0.129172237353778"/>
    <n v="0.46502005447360001"/>
  </r>
  <r>
    <x v="0"/>
    <x v="0"/>
    <x v="0"/>
    <x v="9"/>
    <x v="19"/>
    <s v="SE3A"/>
    <x v="6"/>
    <x v="4"/>
    <s v="GNR_ROR_WTR"/>
    <n v="5.3666576747457002"/>
    <n v="19.319967629084498"/>
  </r>
  <r>
    <x v="0"/>
    <x v="0"/>
    <x v="0"/>
    <x v="9"/>
    <x v="19"/>
    <s v="SE3A"/>
    <x v="7"/>
    <x v="5"/>
    <s v="GNR_WT_WIND_ONS"/>
    <n v="4.6407759999999998"/>
    <n v="16.706793600000001"/>
  </r>
  <r>
    <x v="0"/>
    <x v="0"/>
    <x v="0"/>
    <x v="9"/>
    <x v="19"/>
    <s v="SE3_EL"/>
    <x v="0"/>
    <x v="0"/>
    <s v="GEXT_COAL_LINK"/>
    <n v="6.77585174813045E-2"/>
    <n v="0.243930662932696"/>
  </r>
  <r>
    <x v="0"/>
    <x v="0"/>
    <x v="0"/>
    <x v="9"/>
    <x v="19"/>
    <s v="SE3_EL"/>
    <x v="1"/>
    <x v="1"/>
    <s v="GETOH_HEATPUMP33"/>
    <n v="1.2320331608031599E-2"/>
    <n v="4.4353193788913697E-2"/>
  </r>
  <r>
    <x v="0"/>
    <x v="0"/>
    <x v="0"/>
    <x v="9"/>
    <x v="19"/>
    <s v="SE3_EL"/>
    <x v="2"/>
    <x v="2"/>
    <s v="GBPR_MUNIWASTE_24"/>
    <n v="0.40490514728197602"/>
    <n v="1.4576585302151099"/>
  </r>
  <r>
    <x v="0"/>
    <x v="0"/>
    <x v="0"/>
    <x v="9"/>
    <x v="19"/>
    <s v="SE3_EL"/>
    <x v="2"/>
    <x v="2"/>
    <s v="GBPR_MUNIWASTE_LINK"/>
    <n v="0.24740668592010501"/>
    <n v="0.89066406931237796"/>
  </r>
  <r>
    <x v="0"/>
    <x v="0"/>
    <x v="0"/>
    <x v="9"/>
    <x v="19"/>
    <s v="SE3_EL"/>
    <x v="13"/>
    <x v="0"/>
    <s v="GEXT_PEAT"/>
    <n v="0.225107570921841"/>
    <n v="0.81038725531862799"/>
  </r>
  <r>
    <x v="0"/>
    <x v="0"/>
    <x v="0"/>
    <x v="9"/>
    <x v="19"/>
    <s v="SE3_EL"/>
    <x v="13"/>
    <x v="2"/>
    <s v="GBPR_PEAT_38"/>
    <n v="3.8453786922887402E-2"/>
    <n v="0.13843363292239499"/>
  </r>
  <r>
    <x v="0"/>
    <x v="0"/>
    <x v="0"/>
    <x v="9"/>
    <x v="19"/>
    <s v="SE3_EL"/>
    <x v="18"/>
    <x v="2"/>
    <s v="GBPR_RECYCLEDWOOD_SE3EL"/>
    <n v="0.29530398396023699"/>
    <n v="1.06309434225685"/>
  </r>
  <r>
    <x v="0"/>
    <x v="0"/>
    <x v="0"/>
    <x v="9"/>
    <x v="19"/>
    <s v="SE3_EL"/>
    <x v="10"/>
    <x v="2"/>
    <s v="GBPR_WOODWASTE_25"/>
    <n v="0.47376313723292501"/>
    <n v="1.7055472940385299"/>
  </r>
  <r>
    <x v="0"/>
    <x v="0"/>
    <x v="0"/>
    <x v="9"/>
    <x v="19"/>
    <s v="SE3_EL"/>
    <x v="10"/>
    <x v="2"/>
    <s v="GBPR_WOODWASTE_ABY"/>
    <n v="0.89297875166374796"/>
    <n v="3.2147235059894901"/>
  </r>
  <r>
    <x v="0"/>
    <x v="0"/>
    <x v="0"/>
    <x v="9"/>
    <x v="19"/>
    <s v="SE3_GOT"/>
    <x v="1"/>
    <x v="1"/>
    <s v="GETOH_HEATPUMP33"/>
    <n v="0.27080031466562199"/>
    <n v="0.974881132796241"/>
  </r>
  <r>
    <x v="0"/>
    <x v="0"/>
    <x v="0"/>
    <x v="9"/>
    <x v="19"/>
    <s v="SE3_GOT"/>
    <x v="2"/>
    <x v="2"/>
    <s v="GBPR_MUNIWASTE_24"/>
    <n v="0.35565600000000003"/>
    <n v="1.2803616"/>
  </r>
  <r>
    <x v="0"/>
    <x v="0"/>
    <x v="0"/>
    <x v="9"/>
    <x v="19"/>
    <s v="SE3_GOT"/>
    <x v="10"/>
    <x v="2"/>
    <s v="GBPR_WOODWASTE_GOT"/>
    <n v="9.4115537653240003E-2"/>
    <n v="0.338815935551664"/>
  </r>
  <r>
    <x v="0"/>
    <x v="0"/>
    <x v="0"/>
    <x v="9"/>
    <x v="19"/>
    <s v="SE3_HP"/>
    <x v="2"/>
    <x v="2"/>
    <s v="GBPR_MUNIWASTE_24"/>
    <n v="0.29056026619586001"/>
    <n v="1.0460169583051"/>
  </r>
  <r>
    <x v="0"/>
    <x v="0"/>
    <x v="0"/>
    <x v="9"/>
    <x v="19"/>
    <s v="SE3_HP"/>
    <x v="10"/>
    <x v="0"/>
    <s v="GEXT_WOODWASTE"/>
    <n v="1.0834050788284699"/>
    <n v="3.90025828378249"/>
  </r>
  <r>
    <x v="0"/>
    <x v="0"/>
    <x v="0"/>
    <x v="9"/>
    <x v="19"/>
    <s v="SE3_HP"/>
    <x v="10"/>
    <x v="2"/>
    <s v="GBPR_WOODWASTE_36"/>
    <n v="0.217189702276707"/>
    <n v="0.78188292819614802"/>
  </r>
  <r>
    <x v="0"/>
    <x v="0"/>
    <x v="0"/>
    <x v="9"/>
    <x v="19"/>
    <s v="SE3_OTHER"/>
    <x v="2"/>
    <x v="2"/>
    <s v="GBPR_MUNIWASTE_24"/>
    <n v="0.25331735453864601"/>
    <n v="0.91194247633912595"/>
  </r>
  <r>
    <x v="0"/>
    <x v="0"/>
    <x v="0"/>
    <x v="9"/>
    <x v="19"/>
    <s v="SE3_OTHER"/>
    <x v="10"/>
    <x v="2"/>
    <s v="GBPR_WOODWASTE_25"/>
    <n v="1.3084007201464101"/>
    <n v="4.7102425925270799"/>
  </r>
  <r>
    <x v="0"/>
    <x v="0"/>
    <x v="0"/>
    <x v="9"/>
    <x v="19"/>
    <s v="SE3_STO"/>
    <x v="0"/>
    <x v="2"/>
    <s v="GBPR_COAL_VARTAN"/>
    <n v="0.73942024058864197"/>
    <n v="2.6619128661191098"/>
  </r>
  <r>
    <x v="0"/>
    <x v="0"/>
    <x v="0"/>
    <x v="9"/>
    <x v="19"/>
    <s v="SE3_STO"/>
    <x v="1"/>
    <x v="1"/>
    <s v="GETOH_HEATPUMP33"/>
    <n v="0.39733777735832199"/>
    <n v="1.43041599848996"/>
  </r>
  <r>
    <x v="0"/>
    <x v="0"/>
    <x v="0"/>
    <x v="9"/>
    <x v="19"/>
    <s v="SE3_STO"/>
    <x v="2"/>
    <x v="2"/>
    <s v="GBPR_MUNIWASTE_HOGDALEN"/>
    <n v="0.43966389386421101"/>
    <n v="1.58279001791116"/>
  </r>
  <r>
    <x v="0"/>
    <x v="0"/>
    <x v="0"/>
    <x v="9"/>
    <x v="19"/>
    <s v="SE3_STO"/>
    <x v="10"/>
    <x v="2"/>
    <s v="GBPR_WOODWASTE"/>
    <n v="0.84703983887916001"/>
    <n v="3.0493434199649698"/>
  </r>
  <r>
    <x v="0"/>
    <x v="0"/>
    <x v="0"/>
    <x v="9"/>
    <x v="19"/>
    <s v="SE3_STO"/>
    <x v="10"/>
    <x v="2"/>
    <s v="GBPR_WOODWASTE_BRISTA"/>
    <n v="0.353821769527146"/>
    <n v="1.27375837029772"/>
  </r>
  <r>
    <x v="0"/>
    <x v="0"/>
    <x v="0"/>
    <x v="9"/>
    <x v="20"/>
    <s v="SE4A"/>
    <x v="6"/>
    <x v="7"/>
    <s v="GNR_RES_WTR_NOPMP_MC-01"/>
    <n v="0.133916753811192"/>
    <n v="0.482100313720292"/>
  </r>
  <r>
    <x v="0"/>
    <x v="0"/>
    <x v="0"/>
    <x v="9"/>
    <x v="20"/>
    <s v="SE4A"/>
    <x v="6"/>
    <x v="7"/>
    <s v="GNR_RES_WTR_NOPMP_MC-02"/>
    <n v="0.133916753811192"/>
    <n v="0.482100313720292"/>
  </r>
  <r>
    <x v="0"/>
    <x v="0"/>
    <x v="0"/>
    <x v="9"/>
    <x v="20"/>
    <s v="SE4A"/>
    <x v="6"/>
    <x v="7"/>
    <s v="GNR_RES_WTR_NOPMP_MC-03"/>
    <n v="0.124362190896582"/>
    <n v="0.447703887227696"/>
  </r>
  <r>
    <x v="0"/>
    <x v="0"/>
    <x v="0"/>
    <x v="9"/>
    <x v="20"/>
    <s v="SE4A"/>
    <x v="6"/>
    <x v="7"/>
    <s v="GNR_RES_WTR_NOPMP_MC-04"/>
    <n v="0.100437565358394"/>
    <n v="0.36157523529021901"/>
  </r>
  <r>
    <x v="0"/>
    <x v="0"/>
    <x v="0"/>
    <x v="9"/>
    <x v="20"/>
    <s v="SE4A"/>
    <x v="6"/>
    <x v="7"/>
    <s v="GNR_RES_WTR_NOPMP_MC-05"/>
    <n v="8.3697971131995105E-2"/>
    <n v="0.30131269607518202"/>
  </r>
  <r>
    <x v="0"/>
    <x v="0"/>
    <x v="0"/>
    <x v="9"/>
    <x v="20"/>
    <s v="SE4A"/>
    <x v="6"/>
    <x v="7"/>
    <s v="GNR_RES_WTR_NOPMP_MC-06"/>
    <n v="6.6958376905596098E-2"/>
    <n v="0.241050156860146"/>
  </r>
  <r>
    <x v="0"/>
    <x v="0"/>
    <x v="0"/>
    <x v="9"/>
    <x v="20"/>
    <s v="SE4A"/>
    <x v="6"/>
    <x v="7"/>
    <s v="GNR_RES_WTR_NOPMP_MC-07"/>
    <n v="2.7899323710664999E-2"/>
    <n v="0.100437565358394"/>
  </r>
  <r>
    <x v="0"/>
    <x v="0"/>
    <x v="0"/>
    <x v="9"/>
    <x v="20"/>
    <s v="SE4A"/>
    <x v="6"/>
    <x v="7"/>
    <s v="GNR_RES_WTR_NOPMP_MC-08"/>
    <n v="1.6739594226399E-2"/>
    <n v="6.0262539215036499E-2"/>
  </r>
  <r>
    <x v="0"/>
    <x v="0"/>
    <x v="0"/>
    <x v="9"/>
    <x v="20"/>
    <s v="SE4A"/>
    <x v="6"/>
    <x v="4"/>
    <s v="GNR_ROR_WTR"/>
    <n v="0.89790717004695797"/>
    <n v="3.2324658121690502"/>
  </r>
  <r>
    <x v="0"/>
    <x v="0"/>
    <x v="0"/>
    <x v="9"/>
    <x v="20"/>
    <s v="SE4A"/>
    <x v="7"/>
    <x v="5"/>
    <s v="GNR_WT_WIND_ONS"/>
    <n v="2.8917470000000001"/>
    <n v="10.410289199999999"/>
  </r>
  <r>
    <x v="0"/>
    <x v="0"/>
    <x v="0"/>
    <x v="9"/>
    <x v="20"/>
    <s v="SE4_EL"/>
    <x v="1"/>
    <x v="1"/>
    <s v="GETOH_HEATPUMP1"/>
    <n v="3.3470896627306901E-2"/>
    <n v="0.12049522785830501"/>
  </r>
  <r>
    <x v="0"/>
    <x v="0"/>
    <x v="0"/>
    <x v="9"/>
    <x v="20"/>
    <s v="SE4_EL"/>
    <x v="18"/>
    <x v="2"/>
    <s v="GBPR_RECYCLEDWOOD"/>
    <n v="0.20029812176516101"/>
    <n v="0.72107323835458104"/>
  </r>
  <r>
    <x v="0"/>
    <x v="0"/>
    <x v="0"/>
    <x v="9"/>
    <x v="20"/>
    <s v="SE4_EL"/>
    <x v="18"/>
    <x v="2"/>
    <s v="GBPR_RECYCLEDWOOD_SE4EL"/>
    <n v="1.36003926186099E-2"/>
    <n v="4.8961413426995497E-2"/>
  </r>
  <r>
    <x v="0"/>
    <x v="0"/>
    <x v="0"/>
    <x v="9"/>
    <x v="20"/>
    <s v="SE4_HP"/>
    <x v="1"/>
    <x v="1"/>
    <s v="GETOH_HEATPUMP1"/>
    <n v="7.1323354838709704E-2"/>
    <n v="0.25676407741935497"/>
  </r>
  <r>
    <x v="0"/>
    <x v="0"/>
    <x v="0"/>
    <x v="9"/>
    <x v="20"/>
    <s v="SE4_HP"/>
    <x v="2"/>
    <x v="2"/>
    <s v="GBPR_MUNIWASTE_65"/>
    <n v="0.15767999999999999"/>
    <n v="0.56764800000000004"/>
  </r>
  <r>
    <x v="0"/>
    <x v="0"/>
    <x v="0"/>
    <x v="9"/>
    <x v="20"/>
    <s v="SE4_HP"/>
    <x v="8"/>
    <x v="2"/>
    <s v="GBPR_NATGAS_100"/>
    <n v="0.169032079473833"/>
    <n v="0.60851548610579798"/>
  </r>
  <r>
    <x v="0"/>
    <x v="0"/>
    <x v="0"/>
    <x v="9"/>
    <x v="20"/>
    <s v="SE4_MAL"/>
    <x v="1"/>
    <x v="1"/>
    <s v="GETOH_HEATPUMP33"/>
    <n v="2.9199999999999999E-3"/>
    <n v="1.0512000000000001E-2"/>
  </r>
  <r>
    <x v="0"/>
    <x v="0"/>
    <x v="0"/>
    <x v="9"/>
    <x v="20"/>
    <s v="SE4_MAL"/>
    <x v="2"/>
    <x v="2"/>
    <s v="GBPR_MUNIWASTE_24"/>
    <n v="0.22190081577644299"/>
    <n v="0.79884293679519602"/>
  </r>
  <r>
    <x v="0"/>
    <x v="0"/>
    <x v="0"/>
    <x v="9"/>
    <x v="20"/>
    <s v="SE4_MAL"/>
    <x v="8"/>
    <x v="2"/>
    <s v="GBPR_NATGAS_MAL"/>
    <n v="6.5590131958577505E-2"/>
    <n v="0.236124475050879"/>
  </r>
  <r>
    <x v="0"/>
    <x v="0"/>
    <x v="0"/>
    <x v="9"/>
    <x v="20"/>
    <s v="SE4_OTHER"/>
    <x v="2"/>
    <x v="2"/>
    <s v="GBPR_MUNIWASTE_19"/>
    <n v="0.101093434290394"/>
    <n v="0.36393636344541802"/>
  </r>
  <r>
    <x v="0"/>
    <x v="0"/>
    <x v="0"/>
    <x v="9"/>
    <x v="20"/>
    <s v="SE4_OTHER"/>
    <x v="10"/>
    <x v="2"/>
    <s v="GBPR_WOODWASTE_36"/>
    <n v="0.61276454669001801"/>
    <n v="2.20595236808406"/>
  </r>
  <r>
    <x v="0"/>
    <x v="0"/>
    <x v="0"/>
    <x v="10"/>
    <x v="21"/>
    <s v="UK_A"/>
    <x v="0"/>
    <x v="6"/>
    <s v="GNR_ST_COAL_CND_E-33"/>
    <n v="57.251902973866301"/>
    <n v="206.10685070591899"/>
  </r>
  <r>
    <x v="0"/>
    <x v="0"/>
    <x v="0"/>
    <x v="10"/>
    <x v="21"/>
    <s v="UK_A"/>
    <x v="0"/>
    <x v="6"/>
    <s v="GNR_ST_COAL_CND_E-35"/>
    <n v="98.664163721826895"/>
    <n v="355.19098939857702"/>
  </r>
  <r>
    <x v="0"/>
    <x v="0"/>
    <x v="0"/>
    <x v="10"/>
    <x v="21"/>
    <s v="UK_A"/>
    <x v="2"/>
    <x v="6"/>
    <s v="GNR_ST_MSW_CND_E-40"/>
    <n v="7.0605599999999997"/>
    <n v="25.418016000000001"/>
  </r>
  <r>
    <x v="0"/>
    <x v="0"/>
    <x v="0"/>
    <x v="10"/>
    <x v="21"/>
    <s v="UK_A"/>
    <x v="8"/>
    <x v="6"/>
    <s v="GNR_CC_NGAS_CND_E-47"/>
    <n v="2.4631469316663499"/>
    <n v="8.8673289539988591"/>
  </r>
  <r>
    <x v="0"/>
    <x v="0"/>
    <x v="0"/>
    <x v="10"/>
    <x v="21"/>
    <s v="UK_A"/>
    <x v="8"/>
    <x v="6"/>
    <s v="GNR_CC_NGAS_CND_E-52"/>
    <n v="11.553908145015001"/>
    <n v="41.594069322054203"/>
  </r>
  <r>
    <x v="0"/>
    <x v="0"/>
    <x v="0"/>
    <x v="10"/>
    <x v="21"/>
    <s v="UK_A"/>
    <x v="8"/>
    <x v="6"/>
    <s v="GNR_CC_NGAS_CND_E-56"/>
    <n v="39.011169585263403"/>
    <n v="140.44021050694801"/>
  </r>
  <r>
    <x v="0"/>
    <x v="0"/>
    <x v="0"/>
    <x v="10"/>
    <x v="21"/>
    <s v="UK_A"/>
    <x v="14"/>
    <x v="6"/>
    <s v="GNR_ST_NUCL_CND_E-33"/>
    <n v="82.352760000000004"/>
    <n v="296.46993600000002"/>
  </r>
  <r>
    <x v="0"/>
    <x v="0"/>
    <x v="0"/>
    <x v="10"/>
    <x v="21"/>
    <s v="UK_A"/>
    <x v="5"/>
    <x v="3"/>
    <s v="GNR_PV_SUN"/>
    <n v="5.7649489919999999"/>
    <n v="20.753816371199999"/>
  </r>
  <r>
    <x v="0"/>
    <x v="0"/>
    <x v="0"/>
    <x v="10"/>
    <x v="21"/>
    <s v="UK_A"/>
    <x v="6"/>
    <x v="4"/>
    <s v="GNR_ROR_WTR"/>
    <n v="5.28207359972677"/>
    <n v="19.015464959016398"/>
  </r>
  <r>
    <x v="0"/>
    <x v="0"/>
    <x v="0"/>
    <x v="10"/>
    <x v="21"/>
    <s v="UK_A"/>
    <x v="6"/>
    <x v="8"/>
    <s v="GNR_ES_WTR_PMP"/>
    <n v="9.6038800000000004E-3"/>
    <n v="3.4573967999999997E-2"/>
  </r>
  <r>
    <x v="0"/>
    <x v="0"/>
    <x v="0"/>
    <x v="10"/>
    <x v="21"/>
    <s v="UK_A"/>
    <x v="7"/>
    <x v="5"/>
    <s v="GNR_WT_WIND_ONS"/>
    <n v="26.306808"/>
    <n v="94.704508799999999"/>
  </r>
  <r>
    <x v="0"/>
    <x v="0"/>
    <x v="0"/>
    <x v="10"/>
    <x v="21"/>
    <s v="UK_Offshore"/>
    <x v="7"/>
    <x v="5"/>
    <s v="GNR_WT_WIND_OFF"/>
    <n v="14.602332000000001"/>
    <n v="52.568395199999998"/>
  </r>
</pivotCacheRecords>
</file>

<file path=xl/pivotCache/pivotCacheRecords14.xml><?xml version="1.0" encoding="utf-8"?>
<pivotCacheRecords xmlns="http://schemas.openxmlformats.org/spreadsheetml/2006/main" xmlns:r="http://schemas.openxmlformats.org/officeDocument/2006/relationships" count="311">
  <r>
    <x v="0"/>
    <x v="0"/>
    <x v="0"/>
    <x v="0"/>
    <x v="0"/>
    <s v="DK1_Large"/>
    <x v="0"/>
    <s v="GNR_ST_COAL_EXT_E-42"/>
    <n v="1.86839355011945"/>
    <n v="6.7262167804300299"/>
  </r>
  <r>
    <x v="0"/>
    <x v="0"/>
    <x v="0"/>
    <x v="0"/>
    <x v="0"/>
    <s v="DK1_Large"/>
    <x v="0"/>
    <s v="GNR_ST_COAL_EXT_E-43"/>
    <n v="3.0540702841912899"/>
    <n v="10.9946530230887"/>
  </r>
  <r>
    <x v="0"/>
    <x v="0"/>
    <x v="0"/>
    <x v="0"/>
    <x v="0"/>
    <s v="DK1_Large"/>
    <x v="0"/>
    <s v="GNR_ST_COAL_EXT_E-47"/>
    <n v="2.3577467656892499"/>
    <n v="8.4878883564813101"/>
  </r>
  <r>
    <x v="0"/>
    <x v="0"/>
    <x v="0"/>
    <x v="0"/>
    <x v="0"/>
    <s v="DK1_Large"/>
    <x v="1"/>
    <s v="GNR_HS_HEAT-E-100"/>
    <n v="0.86569457002190597"/>
    <n v="3.11650045207886"/>
  </r>
  <r>
    <x v="0"/>
    <x v="0"/>
    <x v="0"/>
    <x v="0"/>
    <x v="0"/>
    <s v="DK1_Large"/>
    <x v="2"/>
    <s v="GNR_EH_HEAT"/>
    <n v="1.5254664"/>
    <n v="5.4916790400000002"/>
  </r>
  <r>
    <x v="0"/>
    <x v="0"/>
    <x v="0"/>
    <x v="0"/>
    <x v="0"/>
    <s v="DK1_MedSmall"/>
    <x v="3"/>
    <s v="GNR_BO_ELEC_E-100"/>
    <n v="7.2999999999999996E-4"/>
    <n v="2.6280000000000001E-3"/>
  </r>
  <r>
    <x v="0"/>
    <x v="0"/>
    <x v="0"/>
    <x v="0"/>
    <x v="0"/>
    <s v="DK1_MedSmall"/>
    <x v="1"/>
    <s v="GNR_HS_HEAT-E-100"/>
    <n v="8.6587158394225996E-2"/>
    <n v="0.31171377021921398"/>
  </r>
  <r>
    <x v="0"/>
    <x v="0"/>
    <x v="0"/>
    <x v="0"/>
    <x v="0"/>
    <s v="DK1_MedSmall"/>
    <x v="4"/>
    <s v="GNR_BO_MSW_E-100"/>
    <n v="5.6939999999999998E-2"/>
    <n v="0.204984"/>
  </r>
  <r>
    <x v="0"/>
    <x v="0"/>
    <x v="0"/>
    <x v="0"/>
    <x v="0"/>
    <s v="DK1_MedSmall"/>
    <x v="4"/>
    <s v="GNR_ST_MSW_BP_E-17"/>
    <n v="7.1084492957762493E-2"/>
    <n v="0.25590417464794502"/>
  </r>
  <r>
    <x v="0"/>
    <x v="0"/>
    <x v="0"/>
    <x v="0"/>
    <x v="0"/>
    <s v="DK1_MedSmall"/>
    <x v="4"/>
    <s v="GNR_ST_MSW_BP_E-20"/>
    <n v="9.77411778169235E-2"/>
    <n v="0.35186824014092499"/>
  </r>
  <r>
    <x v="0"/>
    <x v="0"/>
    <x v="0"/>
    <x v="0"/>
    <x v="0"/>
    <s v="DK1_MedSmall"/>
    <x v="4"/>
    <s v="GNR_ST_MSW_BP_E-21"/>
    <n v="0.29618538732401101"/>
    <n v="1.06626739436644"/>
  </r>
  <r>
    <x v="0"/>
    <x v="0"/>
    <x v="0"/>
    <x v="0"/>
    <x v="0"/>
    <s v="DK1_MedSmall"/>
    <x v="4"/>
    <s v="GNR_ST_MSW_BP_E-22"/>
    <n v="0.133283424295805"/>
    <n v="0.479820327464897"/>
  </r>
  <r>
    <x v="0"/>
    <x v="0"/>
    <x v="0"/>
    <x v="0"/>
    <x v="0"/>
    <s v="DK1_MedSmall"/>
    <x v="4"/>
    <s v="GNR_ST_MSW_BP_E-26"/>
    <n v="0.207329771126808"/>
    <n v="0.74638717605650695"/>
  </r>
  <r>
    <x v="0"/>
    <x v="0"/>
    <x v="0"/>
    <x v="0"/>
    <x v="0"/>
    <s v="DK1_MedSmall"/>
    <x v="5"/>
    <s v="GNR_BO_NGAS_E-101"/>
    <n v="0.37487917025149398"/>
    <n v="1.34956501290538"/>
  </r>
  <r>
    <x v="0"/>
    <x v="0"/>
    <x v="0"/>
    <x v="0"/>
    <x v="0"/>
    <s v="DK1_MedSmall"/>
    <x v="5"/>
    <s v="GNR_BO_NGAS_E-102"/>
    <n v="3.5368499999999997E-2"/>
    <n v="0.12732660000000001"/>
  </r>
  <r>
    <x v="0"/>
    <x v="0"/>
    <x v="0"/>
    <x v="0"/>
    <x v="0"/>
    <s v="DK1_MedSmall"/>
    <x v="5"/>
    <s v="GNR_BO_NGAS_E-104"/>
    <n v="9.0353210478317403E-2"/>
    <n v="0.32527155772194299"/>
  </r>
  <r>
    <x v="0"/>
    <x v="0"/>
    <x v="0"/>
    <x v="0"/>
    <x v="0"/>
    <s v="DK1_MedSmall"/>
    <x v="6"/>
    <s v="GNR_BO_STRW_E-102"/>
    <n v="9.3994800000000003E-2"/>
    <n v="0.33838128000000001"/>
  </r>
  <r>
    <x v="0"/>
    <x v="0"/>
    <x v="0"/>
    <x v="0"/>
    <x v="0"/>
    <s v="DK1_MedSmall"/>
    <x v="6"/>
    <s v="GNR_ST_STRW_BP_E-21"/>
    <n v="4.3095065748880203E-2"/>
    <n v="0.15514223669596899"/>
  </r>
  <r>
    <x v="0"/>
    <x v="0"/>
    <x v="0"/>
    <x v="0"/>
    <x v="0"/>
    <s v="DK1_MedSmall"/>
    <x v="2"/>
    <s v="GNR_EH_HEAT"/>
    <n v="0.1095"/>
    <n v="0.39419999999999999"/>
  </r>
  <r>
    <x v="0"/>
    <x v="0"/>
    <x v="0"/>
    <x v="0"/>
    <x v="0"/>
    <s v="DK1_MedSmall"/>
    <x v="2"/>
    <s v="GNR_GEO_HEAT_HO"/>
    <n v="7.2707999999999995E-2"/>
    <n v="0.2617488"/>
  </r>
  <r>
    <x v="0"/>
    <x v="0"/>
    <x v="0"/>
    <x v="0"/>
    <x v="0"/>
    <s v="DK1_MedSmall"/>
    <x v="7"/>
    <s v="GNR_BO_WOODCHI_E-100"/>
    <n v="1.8395999999999999E-2"/>
    <n v="6.6225599999999996E-2"/>
  </r>
  <r>
    <x v="0"/>
    <x v="0"/>
    <x v="0"/>
    <x v="0"/>
    <x v="0"/>
    <s v="DK1_MedSmall"/>
    <x v="7"/>
    <s v="GNR_BO_WOODCHI_E-110"/>
    <n v="0.14892"/>
    <n v="0.53611200000000003"/>
  </r>
  <r>
    <x v="0"/>
    <x v="0"/>
    <x v="0"/>
    <x v="0"/>
    <x v="0"/>
    <s v="DK1_Medium"/>
    <x v="1"/>
    <s v="GNR_HS_HEAT-E-100"/>
    <n v="0.39634161530283402"/>
    <n v="1.4268298150901999"/>
  </r>
  <r>
    <x v="0"/>
    <x v="0"/>
    <x v="0"/>
    <x v="0"/>
    <x v="0"/>
    <s v="DK1_Medium"/>
    <x v="4"/>
    <s v="GNR_BO_MSW_E-105"/>
    <n v="6.132E-2"/>
    <n v="0.220752"/>
  </r>
  <r>
    <x v="0"/>
    <x v="0"/>
    <x v="0"/>
    <x v="0"/>
    <x v="0"/>
    <s v="DK1_Medium"/>
    <x v="4"/>
    <s v="GNR_ST_MSW_BP_E-21"/>
    <n v="1.5206088259859999E-2"/>
    <n v="5.47419177354962E-2"/>
  </r>
  <r>
    <x v="0"/>
    <x v="0"/>
    <x v="0"/>
    <x v="0"/>
    <x v="0"/>
    <s v="DK1_Medium"/>
    <x v="4"/>
    <s v="GNR_ST_MSW_BP_E-22"/>
    <n v="0.66311601729368297"/>
    <n v="2.3872176622572598"/>
  </r>
  <r>
    <x v="0"/>
    <x v="0"/>
    <x v="0"/>
    <x v="0"/>
    <x v="0"/>
    <s v="DK1_Medium"/>
    <x v="6"/>
    <s v="GNR_BO_STRW_E-102"/>
    <n v="2.1199200000000001E-2"/>
    <n v="7.6317120000000002E-2"/>
  </r>
  <r>
    <x v="0"/>
    <x v="0"/>
    <x v="0"/>
    <x v="0"/>
    <x v="0"/>
    <s v="DK1_Medium"/>
    <x v="2"/>
    <s v="GNR_GEO_HEAT_HO"/>
    <n v="8.7599999999999997E-2"/>
    <n v="0.31535999999999997"/>
  </r>
  <r>
    <x v="0"/>
    <x v="0"/>
    <x v="0"/>
    <x v="0"/>
    <x v="0"/>
    <s v="DK1_Medium"/>
    <x v="7"/>
    <s v="GNR_ST_WOODCHI_BP_E-27"/>
    <n v="0.72453428268175102"/>
    <n v="2.6083234176543"/>
  </r>
  <r>
    <x v="0"/>
    <x v="0"/>
    <x v="0"/>
    <x v="0"/>
    <x v="0"/>
    <s v="DK1_Medium"/>
    <x v="7"/>
    <s v="GNR_ST_WOODCHI_BP_E-30"/>
    <n v="2.3291294117647099"/>
    <n v="8.3848658823529405"/>
  </r>
  <r>
    <x v="0"/>
    <x v="0"/>
    <x v="0"/>
    <x v="0"/>
    <x v="0"/>
    <s v="DK1_Rural"/>
    <x v="0"/>
    <s v="GNR_BO_COAL_E-91"/>
    <n v="8.7599999999999997E-2"/>
    <n v="0.31535999999999997"/>
  </r>
  <r>
    <x v="0"/>
    <x v="0"/>
    <x v="0"/>
    <x v="0"/>
    <x v="0"/>
    <s v="DK1_Rural"/>
    <x v="3"/>
    <s v="GNR_HP_ELEC_COP-300"/>
    <n v="1.3140000000000001E-2"/>
    <n v="4.7303999999999999E-2"/>
  </r>
  <r>
    <x v="0"/>
    <x v="0"/>
    <x v="0"/>
    <x v="0"/>
    <x v="0"/>
    <s v="DK1_Rural"/>
    <x v="3"/>
    <s v="GNR_HP_ELEC_COP-350"/>
    <n v="1.9175640000000001E-2"/>
    <n v="6.9032304000000003E-2"/>
  </r>
  <r>
    <x v="0"/>
    <x v="0"/>
    <x v="0"/>
    <x v="0"/>
    <x v="0"/>
    <s v="DK1_Rural"/>
    <x v="3"/>
    <s v="GNR_HP_ELEC_COP-400"/>
    <n v="1.7940480000000002E-2"/>
    <n v="6.4585727999999995E-2"/>
  </r>
  <r>
    <x v="0"/>
    <x v="0"/>
    <x v="0"/>
    <x v="0"/>
    <x v="0"/>
    <s v="DK1_Rural"/>
    <x v="3"/>
    <s v="GNR_HP_ELEC_COP-430"/>
    <n v="1.1388000000000001E-2"/>
    <n v="4.09968E-2"/>
  </r>
  <r>
    <x v="0"/>
    <x v="0"/>
    <x v="0"/>
    <x v="0"/>
    <x v="0"/>
    <s v="DK1_Rural"/>
    <x v="3"/>
    <s v="GNR_HP_ELEC_COP-450"/>
    <n v="4.7304000000000001E-3"/>
    <n v="1.702944E-2"/>
  </r>
  <r>
    <x v="0"/>
    <x v="0"/>
    <x v="0"/>
    <x v="0"/>
    <x v="0"/>
    <s v="DK1_Rural"/>
    <x v="3"/>
    <s v="GNR_HP_ELEC_COP-460"/>
    <n v="3.1536000000000002E-2"/>
    <n v="0.11352959999999999"/>
  </r>
  <r>
    <x v="0"/>
    <x v="0"/>
    <x v="0"/>
    <x v="0"/>
    <x v="0"/>
    <s v="DK1_Rural"/>
    <x v="3"/>
    <s v="GNR_HP_ELEC_COP-470"/>
    <n v="8.3219999999999995E-3"/>
    <n v="2.9959199999999998E-2"/>
  </r>
  <r>
    <x v="0"/>
    <x v="0"/>
    <x v="0"/>
    <x v="0"/>
    <x v="0"/>
    <s v="DK1_Rural"/>
    <x v="3"/>
    <s v="GNR_HP_ELEC_COP-500"/>
    <n v="4.3800000000000002E-3"/>
    <n v="1.5768000000000001E-2"/>
  </r>
  <r>
    <x v="0"/>
    <x v="0"/>
    <x v="0"/>
    <x v="0"/>
    <x v="0"/>
    <s v="DK1_Rural"/>
    <x v="3"/>
    <s v="GNR_HP_ELEC_COP-530"/>
    <n v="1.1826E-2"/>
    <n v="4.2573600000000003E-2"/>
  </r>
  <r>
    <x v="0"/>
    <x v="0"/>
    <x v="0"/>
    <x v="0"/>
    <x v="0"/>
    <s v="DK1_Rural"/>
    <x v="3"/>
    <s v="GNR_HP_ELEC_COP-600"/>
    <n v="2.6280000000000001E-3"/>
    <n v="9.4608000000000001E-3"/>
  </r>
  <r>
    <x v="0"/>
    <x v="0"/>
    <x v="0"/>
    <x v="0"/>
    <x v="0"/>
    <s v="DK1_Rural"/>
    <x v="1"/>
    <s v="GNR_HS_HEAT-E-100"/>
    <n v="0.36407256862840698"/>
    <n v="1.3106612470622601"/>
  </r>
  <r>
    <x v="0"/>
    <x v="0"/>
    <x v="0"/>
    <x v="0"/>
    <x v="0"/>
    <s v="DK1_Rural"/>
    <x v="6"/>
    <s v="GNR_BO_STRW_E-100"/>
    <n v="1.1683212000000001"/>
    <n v="4.2059563200000003"/>
  </r>
  <r>
    <x v="0"/>
    <x v="0"/>
    <x v="0"/>
    <x v="0"/>
    <x v="0"/>
    <s v="DK1_Rural"/>
    <x v="6"/>
    <s v="GNR_BO_STRW_E-102"/>
    <n v="0.49896960000000001"/>
    <n v="1.7962905600000001"/>
  </r>
  <r>
    <x v="0"/>
    <x v="0"/>
    <x v="0"/>
    <x v="0"/>
    <x v="0"/>
    <s v="DK1_Rural"/>
    <x v="6"/>
    <s v="GNR_ST_STRW_BP_E-26"/>
    <n v="4.3423409106966897E-2"/>
    <n v="0.15632427278508099"/>
  </r>
  <r>
    <x v="0"/>
    <x v="0"/>
    <x v="0"/>
    <x v="0"/>
    <x v="0"/>
    <s v="DK1_Rural"/>
    <x v="2"/>
    <s v="GNR_EH_HEAT"/>
    <n v="0.76220759999999999"/>
    <n v="2.7439473599999999"/>
  </r>
  <r>
    <x v="0"/>
    <x v="0"/>
    <x v="0"/>
    <x v="0"/>
    <x v="0"/>
    <s v="DK1_Rural"/>
    <x v="7"/>
    <s v="GNR_BO_WOODCHI_E-100"/>
    <n v="7.0044412506962903E-2"/>
    <n v="0.25215988502506598"/>
  </r>
  <r>
    <x v="0"/>
    <x v="0"/>
    <x v="0"/>
    <x v="0"/>
    <x v="0"/>
    <s v="DK1_Rural"/>
    <x v="7"/>
    <s v="GNR_BO_WOODCHI_E-105"/>
    <n v="3.8324999999999998E-2"/>
    <n v="0.13797000000000001"/>
  </r>
  <r>
    <x v="0"/>
    <x v="0"/>
    <x v="0"/>
    <x v="0"/>
    <x v="0"/>
    <s v="DK1_Rural"/>
    <x v="7"/>
    <s v="GNR_BO_WOODCHI_E-106"/>
    <n v="1.505625E-2"/>
    <n v="5.4202500000000001E-2"/>
  </r>
  <r>
    <x v="0"/>
    <x v="0"/>
    <x v="0"/>
    <x v="0"/>
    <x v="0"/>
    <s v="DK1_Rural"/>
    <x v="7"/>
    <s v="GNR_BO_WOODCHI_E-107"/>
    <n v="6.8328E-2"/>
    <n v="0.2459808"/>
  </r>
  <r>
    <x v="0"/>
    <x v="0"/>
    <x v="0"/>
    <x v="0"/>
    <x v="0"/>
    <s v="DK1_Rural"/>
    <x v="7"/>
    <s v="GNR_BO_WOODCHI_E-108"/>
    <n v="2.2995000000000002E-2"/>
    <n v="8.2781999999999994E-2"/>
  </r>
  <r>
    <x v="0"/>
    <x v="0"/>
    <x v="0"/>
    <x v="0"/>
    <x v="0"/>
    <s v="DK1_Rural"/>
    <x v="7"/>
    <s v="GNR_BO_WOODCHI_E-110"/>
    <n v="0.96042544191105095"/>
    <n v="3.4575315908797801"/>
  </r>
  <r>
    <x v="0"/>
    <x v="0"/>
    <x v="0"/>
    <x v="0"/>
    <x v="0"/>
    <s v="DK1_Rural"/>
    <x v="7"/>
    <s v="GNR_BO_WOODCHI_E-112"/>
    <n v="0.16644"/>
    <n v="0.59918400000000005"/>
  </r>
  <r>
    <x v="0"/>
    <x v="0"/>
    <x v="0"/>
    <x v="0"/>
    <x v="0"/>
    <s v="DK1_Rural"/>
    <x v="7"/>
    <s v="GNR_BO_WOODCHI_E-113"/>
    <n v="4.2048000000000002E-2"/>
    <n v="0.1513728"/>
  </r>
  <r>
    <x v="0"/>
    <x v="0"/>
    <x v="0"/>
    <x v="0"/>
    <x v="0"/>
    <s v="DK1_Rural"/>
    <x v="7"/>
    <s v="GNR_BO_WOODCHI_E-114"/>
    <n v="0.18396000000000001"/>
    <n v="0.66225599999999996"/>
  </r>
  <r>
    <x v="0"/>
    <x v="0"/>
    <x v="0"/>
    <x v="0"/>
    <x v="0"/>
    <s v="DK1_Rural"/>
    <x v="7"/>
    <s v="GNR_BO_WOODCHI_E-117"/>
    <n v="0.17519999999999999"/>
    <n v="0.63071999999999995"/>
  </r>
  <r>
    <x v="0"/>
    <x v="0"/>
    <x v="0"/>
    <x v="0"/>
    <x v="0"/>
    <s v="DK1_Rural"/>
    <x v="7"/>
    <s v="GNR_BO_WOODCHI_E-120"/>
    <n v="0.21024000000000001"/>
    <n v="0.75686399999999998"/>
  </r>
  <r>
    <x v="0"/>
    <x v="0"/>
    <x v="0"/>
    <x v="0"/>
    <x v="0"/>
    <s v="DK1_Rural"/>
    <x v="7"/>
    <s v="GNR_ST_WOODCHI_BP_E-27"/>
    <n v="6.6919166475018804E-2"/>
    <n v="0.24090899931006801"/>
  </r>
  <r>
    <x v="0"/>
    <x v="0"/>
    <x v="0"/>
    <x v="0"/>
    <x v="0"/>
    <s v="DK1_Rural"/>
    <x v="8"/>
    <s v="GNR_BO_WOODWST_E-100"/>
    <n v="0.26937"/>
    <n v="0.96973200000000004"/>
  </r>
  <r>
    <x v="0"/>
    <x v="0"/>
    <x v="0"/>
    <x v="0"/>
    <x v="0"/>
    <s v="DK1_Rural"/>
    <x v="8"/>
    <s v="GNR_BO_WOODWST_E-113"/>
    <n v="3.5040000000000002E-2"/>
    <n v="0.12614400000000001"/>
  </r>
  <r>
    <x v="0"/>
    <x v="0"/>
    <x v="0"/>
    <x v="0"/>
    <x v="0"/>
    <s v="DK1_Rural"/>
    <x v="8"/>
    <s v="GNR_BO_WOODWST_E-84"/>
    <n v="5.0895599999999999E-2"/>
    <n v="0.18322416"/>
  </r>
  <r>
    <x v="0"/>
    <x v="0"/>
    <x v="0"/>
    <x v="0"/>
    <x v="0"/>
    <s v="DK1_Rural"/>
    <x v="8"/>
    <s v="GNR_BO_WOODWST_E-86"/>
    <n v="2.6280000000000001E-2"/>
    <n v="9.4607999999999998E-2"/>
  </r>
  <r>
    <x v="0"/>
    <x v="0"/>
    <x v="0"/>
    <x v="0"/>
    <x v="0"/>
    <s v="DK1_Rural"/>
    <x v="8"/>
    <s v="GNR_BO_WOODWST_E-89"/>
    <n v="6.132E-2"/>
    <n v="0.220752"/>
  </r>
  <r>
    <x v="0"/>
    <x v="0"/>
    <x v="0"/>
    <x v="0"/>
    <x v="0"/>
    <s v="DK1_Rural"/>
    <x v="8"/>
    <s v="GNR_BO_WOODWST_E-90"/>
    <n v="7.8839999999999993E-2"/>
    <n v="0.28382400000000002"/>
  </r>
  <r>
    <x v="0"/>
    <x v="0"/>
    <x v="0"/>
    <x v="0"/>
    <x v="0"/>
    <s v="DK1_Rural"/>
    <x v="8"/>
    <s v="GNR_BO_WOODWST_E-91"/>
    <n v="2.7594E-2"/>
    <n v="9.9338400000000104E-2"/>
  </r>
  <r>
    <x v="0"/>
    <x v="0"/>
    <x v="0"/>
    <x v="0"/>
    <x v="0"/>
    <s v="DK1_Rural"/>
    <x v="8"/>
    <s v="GNR_BO_WOODWST_E-94"/>
    <n v="8.1467999999999992E-3"/>
    <n v="2.9328480000000001E-2"/>
  </r>
  <r>
    <x v="0"/>
    <x v="0"/>
    <x v="0"/>
    <x v="0"/>
    <x v="0"/>
    <s v="DK1_Small"/>
    <x v="1"/>
    <s v="GNR_HS_HEAT-E-100"/>
    <n v="7.9434268418977702E-3"/>
    <n v="2.8596336630832001E-2"/>
  </r>
  <r>
    <x v="0"/>
    <x v="0"/>
    <x v="0"/>
    <x v="0"/>
    <x v="0"/>
    <s v="DK1_Small"/>
    <x v="4"/>
    <s v="GNR_BO_MSW_E-104"/>
    <n v="3.4708146401510202E-2"/>
    <n v="0.124949327045437"/>
  </r>
  <r>
    <x v="0"/>
    <x v="0"/>
    <x v="0"/>
    <x v="0"/>
    <x v="0"/>
    <s v="DK1_Small"/>
    <x v="4"/>
    <s v="GNR_BO_MSW_E-105"/>
    <n v="0.26677757359849003"/>
    <n v="0.96039926495456396"/>
  </r>
  <r>
    <x v="0"/>
    <x v="0"/>
    <x v="0"/>
    <x v="0"/>
    <x v="0"/>
    <s v="DK1_Small"/>
    <x v="2"/>
    <s v="GNR_EH_HEAT"/>
    <n v="0.12264"/>
    <n v="0.44150400000000001"/>
  </r>
  <r>
    <x v="0"/>
    <x v="0"/>
    <x v="0"/>
    <x v="0"/>
    <x v="0"/>
    <s v="DK1_Small"/>
    <x v="8"/>
    <s v="GNR_BO_WOODWST_E-100"/>
    <n v="1.533E-2"/>
    <n v="5.5188000000000001E-2"/>
  </r>
  <r>
    <x v="0"/>
    <x v="0"/>
    <x v="0"/>
    <x v="0"/>
    <x v="0"/>
    <s v="DK1_Small"/>
    <x v="8"/>
    <s v="GNR_BO_WOODWST_E-89"/>
    <n v="1.557528E-2"/>
    <n v="5.6071007999999999E-2"/>
  </r>
  <r>
    <x v="0"/>
    <x v="0"/>
    <x v="0"/>
    <x v="0"/>
    <x v="1"/>
    <s v="DK2_Large"/>
    <x v="0"/>
    <s v="GNR_ST_COAL_EXT_E-42"/>
    <n v="4.8666666666666698"/>
    <n v="17.52"/>
  </r>
  <r>
    <x v="0"/>
    <x v="0"/>
    <x v="0"/>
    <x v="0"/>
    <x v="1"/>
    <s v="DK2_Large"/>
    <x v="3"/>
    <s v="GNR_HP_ELEC_COP-300"/>
    <n v="2.9784E-3"/>
    <n v="1.0722239999999999E-2"/>
  </r>
  <r>
    <x v="0"/>
    <x v="0"/>
    <x v="0"/>
    <x v="0"/>
    <x v="1"/>
    <s v="DK2_Large"/>
    <x v="1"/>
    <s v="GNR_HS_HEAT-E-100"/>
    <n v="0.12602657027289499"/>
    <n v="0.45369565298242298"/>
  </r>
  <r>
    <x v="0"/>
    <x v="0"/>
    <x v="0"/>
    <x v="0"/>
    <x v="1"/>
    <s v="DK2_Large"/>
    <x v="4"/>
    <s v="GNR_ST_MSW_BP_E-16"/>
    <n v="0.68154981059753506"/>
    <n v="2.4535793181511298"/>
  </r>
  <r>
    <x v="0"/>
    <x v="0"/>
    <x v="0"/>
    <x v="0"/>
    <x v="1"/>
    <s v="DK2_Large"/>
    <x v="4"/>
    <s v="GNR_ST_MSW_BP_E-20"/>
    <n v="1.1551230105636401"/>
    <n v="4.1584428380291101"/>
  </r>
  <r>
    <x v="0"/>
    <x v="0"/>
    <x v="0"/>
    <x v="0"/>
    <x v="1"/>
    <s v="DK2_Large"/>
    <x v="4"/>
    <s v="GNR_ST_MSW_BP_E-21"/>
    <n v="0.40577398063389503"/>
    <n v="1.4607863302820201"/>
  </r>
  <r>
    <x v="0"/>
    <x v="0"/>
    <x v="0"/>
    <x v="0"/>
    <x v="1"/>
    <s v="DK2_Large"/>
    <x v="4"/>
    <s v="GNR_ST_MSW_BP_E-27"/>
    <n v="0.57459965140858105"/>
    <n v="2.0685587450708902"/>
  </r>
  <r>
    <x v="0"/>
    <x v="0"/>
    <x v="0"/>
    <x v="0"/>
    <x v="1"/>
    <s v="DK2_Large"/>
    <x v="5"/>
    <s v="GNR_ST_NGAS_BP_E-39"/>
    <n v="0.117944291894386"/>
    <n v="0.424599450819788"/>
  </r>
  <r>
    <x v="0"/>
    <x v="0"/>
    <x v="0"/>
    <x v="0"/>
    <x v="1"/>
    <s v="DK2_Large"/>
    <x v="2"/>
    <s v="GNR_GEO_HEAT_HO"/>
    <n v="0.12264"/>
    <n v="0.44150400000000001"/>
  </r>
  <r>
    <x v="0"/>
    <x v="0"/>
    <x v="0"/>
    <x v="0"/>
    <x v="1"/>
    <s v="DK2_Large"/>
    <x v="7"/>
    <s v="GNR_ST_WOODCHI_BP_E-27"/>
    <n v="0.38647058823529401"/>
    <n v="1.3912941176470599"/>
  </r>
  <r>
    <x v="0"/>
    <x v="0"/>
    <x v="0"/>
    <x v="0"/>
    <x v="1"/>
    <s v="DK2_Large"/>
    <x v="8"/>
    <s v="GNR_BO_WOODWST_E-90"/>
    <n v="5.83416E-2"/>
    <n v="0.21002976000000001"/>
  </r>
  <r>
    <x v="0"/>
    <x v="0"/>
    <x v="0"/>
    <x v="0"/>
    <x v="1"/>
    <s v="DK2_MedSmall"/>
    <x v="1"/>
    <s v="GNR_HS_HEAT-E-100"/>
    <n v="5.8709910685492202E-2"/>
    <n v="0.21135567846777201"/>
  </r>
  <r>
    <x v="0"/>
    <x v="0"/>
    <x v="0"/>
    <x v="0"/>
    <x v="1"/>
    <s v="DK2_MedSmall"/>
    <x v="4"/>
    <s v="GNR_BO_MSW_E-105"/>
    <n v="0.14892"/>
    <n v="0.53611200000000003"/>
  </r>
  <r>
    <x v="0"/>
    <x v="0"/>
    <x v="0"/>
    <x v="0"/>
    <x v="1"/>
    <s v="DK2_MedSmall"/>
    <x v="4"/>
    <s v="GNR_ST_MSW_BP_E-28"/>
    <n v="6.2756296506939896E-2"/>
    <n v="0.22592266742498399"/>
  </r>
  <r>
    <x v="0"/>
    <x v="0"/>
    <x v="0"/>
    <x v="0"/>
    <x v="1"/>
    <s v="DK2_MedSmall"/>
    <x v="6"/>
    <s v="GNR_BO_STRW_E-100"/>
    <n v="0.12956039999999999"/>
    <n v="0.46641744000000002"/>
  </r>
  <r>
    <x v="0"/>
    <x v="0"/>
    <x v="0"/>
    <x v="0"/>
    <x v="1"/>
    <s v="DK2_MedSmall"/>
    <x v="6"/>
    <s v="GNR_BO_STRW_E-102"/>
    <n v="8.7599999999999997E-2"/>
    <n v="0.31535999999999997"/>
  </r>
  <r>
    <x v="0"/>
    <x v="0"/>
    <x v="0"/>
    <x v="0"/>
    <x v="1"/>
    <s v="DK2_MedSmall"/>
    <x v="2"/>
    <s v="GNR_EH_HEAT"/>
    <n v="1.7520000000000001E-2"/>
    <n v="6.3072000000000003E-2"/>
  </r>
  <r>
    <x v="0"/>
    <x v="0"/>
    <x v="0"/>
    <x v="0"/>
    <x v="1"/>
    <s v="DK2_MedSmall"/>
    <x v="7"/>
    <s v="GNR_BO_WOODCHI_E-112"/>
    <n v="0.11311330349305999"/>
    <n v="0.407207892575016"/>
  </r>
  <r>
    <x v="0"/>
    <x v="0"/>
    <x v="0"/>
    <x v="0"/>
    <x v="1"/>
    <s v="DK2_MedSmall"/>
    <x v="7"/>
    <s v="GNR_BO_WOODCHI_E-118"/>
    <n v="9.2855999999999994E-2"/>
    <n v="0.33428160000000001"/>
  </r>
  <r>
    <x v="0"/>
    <x v="0"/>
    <x v="0"/>
    <x v="0"/>
    <x v="1"/>
    <s v="DK2_Medium"/>
    <x v="0"/>
    <s v="GNR_ST_COAL_BP_E-38"/>
    <n v="1.4781632597890499"/>
    <n v="5.3213877352405703"/>
  </r>
  <r>
    <x v="0"/>
    <x v="0"/>
    <x v="0"/>
    <x v="0"/>
    <x v="1"/>
    <s v="DK2_Medium"/>
    <x v="0"/>
    <s v="GNR_ST_COAL_EXT_E-41"/>
    <n v="0.13115424021095201"/>
    <n v="0.47215526475942798"/>
  </r>
  <r>
    <x v="0"/>
    <x v="0"/>
    <x v="0"/>
    <x v="0"/>
    <x v="1"/>
    <s v="DK2_Medium"/>
    <x v="1"/>
    <s v="GNR_HS_HEAT-E-100"/>
    <n v="0.14436109492847901"/>
    <n v="0.51969994174252299"/>
  </r>
  <r>
    <x v="0"/>
    <x v="0"/>
    <x v="0"/>
    <x v="0"/>
    <x v="1"/>
    <s v="DK2_Medium"/>
    <x v="2"/>
    <s v="GNR_EH_HEAT"/>
    <n v="1.7520000000000001E-2"/>
    <n v="6.3072000000000003E-2"/>
  </r>
  <r>
    <x v="0"/>
    <x v="0"/>
    <x v="0"/>
    <x v="0"/>
    <x v="1"/>
    <s v="DK2_Medium"/>
    <x v="8"/>
    <s v="GNR_BO_WOODWST_E-82"/>
    <n v="5.8764999999999998E-3"/>
    <n v="2.1155400000000001E-2"/>
  </r>
  <r>
    <x v="0"/>
    <x v="0"/>
    <x v="0"/>
    <x v="0"/>
    <x v="1"/>
    <s v="DK2_Rural"/>
    <x v="0"/>
    <s v="GNR_ST_COAL_BP_E-35"/>
    <n v="0.43215999999999999"/>
    <n v="1.555776"/>
  </r>
  <r>
    <x v="0"/>
    <x v="0"/>
    <x v="0"/>
    <x v="0"/>
    <x v="1"/>
    <s v="DK2_Rural"/>
    <x v="3"/>
    <s v="GNR_HP_ELEC_COP-400"/>
    <n v="7.0080000000000003E-3"/>
    <n v="2.5228799999999999E-2"/>
  </r>
  <r>
    <x v="0"/>
    <x v="0"/>
    <x v="0"/>
    <x v="0"/>
    <x v="1"/>
    <s v="DK2_Rural"/>
    <x v="4"/>
    <s v="GNR_BO_MSW_E-105"/>
    <n v="6.132E-2"/>
    <n v="0.220752"/>
  </r>
  <r>
    <x v="0"/>
    <x v="0"/>
    <x v="0"/>
    <x v="0"/>
    <x v="1"/>
    <s v="DK2_Rural"/>
    <x v="6"/>
    <s v="GNR_BO_STRW_E-100"/>
    <n v="0.457103645547555"/>
    <n v="1.6455731239711999"/>
  </r>
  <r>
    <x v="0"/>
    <x v="0"/>
    <x v="0"/>
    <x v="0"/>
    <x v="1"/>
    <s v="DK2_Rural"/>
    <x v="6"/>
    <s v="GNR_BO_STRW_E-102"/>
    <n v="0.37697943525587801"/>
    <n v="1.3571259669211599"/>
  </r>
  <r>
    <x v="0"/>
    <x v="0"/>
    <x v="0"/>
    <x v="0"/>
    <x v="1"/>
    <s v="DK2_Rural"/>
    <x v="6"/>
    <s v="GNR_ST_STRW_BP_E-27"/>
    <n v="0.14745900211674001"/>
    <n v="0.53085240762026298"/>
  </r>
  <r>
    <x v="0"/>
    <x v="0"/>
    <x v="0"/>
    <x v="0"/>
    <x v="1"/>
    <s v="DK2_Rural"/>
    <x v="6"/>
    <s v="GNR_ST_STRW_BP_E-28"/>
    <n v="0.226556917079827"/>
    <n v="0.81560490148737697"/>
  </r>
  <r>
    <x v="0"/>
    <x v="0"/>
    <x v="0"/>
    <x v="0"/>
    <x v="1"/>
    <s v="DK2_Rural"/>
    <x v="2"/>
    <s v="GNR_EH_HEAT"/>
    <n v="0.14454"/>
    <n v="0.52034400000000003"/>
  </r>
  <r>
    <x v="0"/>
    <x v="0"/>
    <x v="0"/>
    <x v="0"/>
    <x v="1"/>
    <s v="DK2_Rural"/>
    <x v="8"/>
    <s v="GNR_BO_WOODWST_E-100"/>
    <n v="5.5188000000000001E-2"/>
    <n v="0.19867679999999999"/>
  </r>
  <r>
    <x v="0"/>
    <x v="0"/>
    <x v="0"/>
    <x v="0"/>
    <x v="1"/>
    <s v="DK2_Small"/>
    <x v="1"/>
    <s v="GNR_HS_HEAT-E-100"/>
    <n v="3.35754913917729E-3"/>
    <n v="1.2087176901038299E-2"/>
  </r>
  <r>
    <x v="0"/>
    <x v="0"/>
    <x v="0"/>
    <x v="0"/>
    <x v="1"/>
    <s v="DK2_Small"/>
    <x v="4"/>
    <s v="GNR_BO_MSW_E-105"/>
    <n v="2.8908E-2"/>
    <n v="0.1040688"/>
  </r>
  <r>
    <x v="0"/>
    <x v="0"/>
    <x v="0"/>
    <x v="0"/>
    <x v="1"/>
    <s v="DK2_Small"/>
    <x v="5"/>
    <s v="GNR_BO_NGAS_E-101"/>
    <n v="2.99974609541333E-2"/>
    <n v="0.10799085943488"/>
  </r>
  <r>
    <x v="0"/>
    <x v="0"/>
    <x v="0"/>
    <x v="0"/>
    <x v="1"/>
    <s v="DK2_Small"/>
    <x v="5"/>
    <s v="GNR_BO_NGAS_E-104"/>
    <n v="3.7413539045866799E-2"/>
    <n v="0.13468874056512001"/>
  </r>
  <r>
    <x v="0"/>
    <x v="0"/>
    <x v="0"/>
    <x v="0"/>
    <x v="1"/>
    <s v="DK2_Small"/>
    <x v="6"/>
    <s v="GNR_BO_STRW_E-100"/>
    <n v="5.6939999999999998E-2"/>
    <n v="0.204984"/>
  </r>
  <r>
    <x v="0"/>
    <x v="0"/>
    <x v="0"/>
    <x v="1"/>
    <x v="2"/>
    <s v="EE_Industry"/>
    <x v="8"/>
    <s v="GNR_ST_WOODWST_BP_E-53"/>
    <n v="0.39287100000000003"/>
    <n v="1.4143356"/>
  </r>
  <r>
    <x v="0"/>
    <x v="0"/>
    <x v="0"/>
    <x v="1"/>
    <x v="2"/>
    <s v="EE_Kohtla_Jarve"/>
    <x v="5"/>
    <s v="GNR_ENG_NGAS_EXT_E-44"/>
    <n v="0.15167419607527899"/>
    <n v="0.546027105871005"/>
  </r>
  <r>
    <x v="0"/>
    <x v="0"/>
    <x v="0"/>
    <x v="1"/>
    <x v="2"/>
    <s v="EE_Kohtla_Jarve"/>
    <x v="9"/>
    <s v="GNR_BO_SHALE_HO_E-34"/>
    <n v="0.18280880392476401"/>
    <n v="0.65811169412915005"/>
  </r>
  <r>
    <x v="0"/>
    <x v="0"/>
    <x v="0"/>
    <x v="1"/>
    <x v="2"/>
    <s v="EE_Narva"/>
    <x v="1"/>
    <s v="GNR_HS_HEAT_WTR-TANK_LS_E-95_Y-2010"/>
    <n v="4.1915478228542601E-2"/>
    <n v="0.150895721622753"/>
  </r>
  <r>
    <x v="0"/>
    <x v="0"/>
    <x v="0"/>
    <x v="1"/>
    <x v="2"/>
    <s v="EE_Narva"/>
    <x v="9"/>
    <s v="NARVA-11_ST_SHALE_EXT"/>
    <n v="0.49780807780154801"/>
    <n v="1.7921090800855699"/>
  </r>
  <r>
    <x v="0"/>
    <x v="0"/>
    <x v="0"/>
    <x v="1"/>
    <x v="2"/>
    <s v="EE_Parnu"/>
    <x v="10"/>
    <s v="PARNU-1_ST_WOOD_BP"/>
    <n v="0.197559000000017"/>
    <n v="0.71121240000006103"/>
  </r>
  <r>
    <x v="0"/>
    <x v="0"/>
    <x v="0"/>
    <x v="1"/>
    <x v="2"/>
    <s v="EE_Rural"/>
    <x v="8"/>
    <s v="EBAVERE_ST_WOODWST_BP"/>
    <n v="0.230526315789474"/>
    <n v="0.82989473684210502"/>
  </r>
  <r>
    <x v="0"/>
    <x v="0"/>
    <x v="0"/>
    <x v="1"/>
    <x v="2"/>
    <s v="EE_Tallinn"/>
    <x v="4"/>
    <s v="IRU_ST_MSW_BP"/>
    <n v="0.29783999999999999"/>
    <n v="1.0722240000000001"/>
  </r>
  <r>
    <x v="0"/>
    <x v="0"/>
    <x v="0"/>
    <x v="1"/>
    <x v="2"/>
    <s v="EE_Tallinn"/>
    <x v="5"/>
    <s v="GNR_BO_NGAS_HO_E-85"/>
    <n v="0.57754342262401004"/>
    <n v="2.0791563214464399"/>
  </r>
  <r>
    <x v="0"/>
    <x v="0"/>
    <x v="0"/>
    <x v="1"/>
    <x v="2"/>
    <s v="EE_Tallinn"/>
    <x v="5"/>
    <s v="GNR_ENG_NGAS_EXT_E-44"/>
    <n v="1.46E-2"/>
    <n v="5.2560000000000003E-2"/>
  </r>
  <r>
    <x v="0"/>
    <x v="0"/>
    <x v="0"/>
    <x v="1"/>
    <x v="2"/>
    <s v="EE_Tallinn"/>
    <x v="10"/>
    <s v="MUSTAMAE_ST_WOOD_BP"/>
    <n v="0.28908028908028899"/>
    <n v="1.0406890406890399"/>
  </r>
  <r>
    <x v="0"/>
    <x v="0"/>
    <x v="0"/>
    <x v="1"/>
    <x v="2"/>
    <s v="EE_Tallinn"/>
    <x v="10"/>
    <s v="VAO-1_ST_WOOD_BP"/>
    <n v="0.36792005886720902"/>
    <n v="1.3245122119219499"/>
  </r>
  <r>
    <x v="0"/>
    <x v="0"/>
    <x v="0"/>
    <x v="1"/>
    <x v="2"/>
    <s v="EE_Tallinn"/>
    <x v="10"/>
    <s v="VAO-2_ST_WOOD_BP"/>
    <n v="0.48180022942868"/>
    <n v="1.73448082594325"/>
  </r>
  <r>
    <x v="0"/>
    <x v="0"/>
    <x v="0"/>
    <x v="1"/>
    <x v="2"/>
    <s v="EE_Tartu"/>
    <x v="5"/>
    <s v="GNR_BO_NGAS_HO_E-85"/>
    <n v="9.7534694196187002E-2"/>
    <n v="0.35112489910627298"/>
  </r>
  <r>
    <x v="0"/>
    <x v="0"/>
    <x v="0"/>
    <x v="1"/>
    <x v="2"/>
    <s v="EE_Tartu"/>
    <x v="10"/>
    <s v="TARTU-1_ST_WOOD_BP"/>
    <n v="0.42048030580385898"/>
    <n v="1.51372910089389"/>
  </r>
  <r>
    <x v="0"/>
    <x v="0"/>
    <x v="0"/>
    <x v="2"/>
    <x v="3"/>
    <s v="FIN_EL"/>
    <x v="0"/>
    <s v="GEXT_COAL_KYMIJARVI"/>
    <n v="1.15778647302007"/>
    <n v="4.1680313028722598"/>
  </r>
  <r>
    <x v="0"/>
    <x v="0"/>
    <x v="0"/>
    <x v="2"/>
    <x v="3"/>
    <s v="FIN_EL"/>
    <x v="1"/>
    <s v="GNR_HS_HEAT_WTR-TANK_LS_E-95_Y-2010"/>
    <n v="0.14414939904645999"/>
    <n v="0.51893783656725401"/>
  </r>
  <r>
    <x v="0"/>
    <x v="0"/>
    <x v="0"/>
    <x v="2"/>
    <x v="3"/>
    <s v="FIN_EL"/>
    <x v="11"/>
    <s v="GHOB_PEAT"/>
    <n v="0.15893722177230901"/>
    <n v="0.57217399838031102"/>
  </r>
  <r>
    <x v="0"/>
    <x v="0"/>
    <x v="0"/>
    <x v="2"/>
    <x v="3"/>
    <s v="FIN_EL"/>
    <x v="7"/>
    <s v="GHOB_WOODCHIPS"/>
    <n v="0.14927011568374901"/>
    <n v="0.53737241646149603"/>
  </r>
  <r>
    <x v="0"/>
    <x v="0"/>
    <x v="0"/>
    <x v="2"/>
    <x v="3"/>
    <s v="FIN_EL"/>
    <x v="8"/>
    <s v="GBPR_WOODWASTE_FINEL"/>
    <n v="1.752"/>
    <n v="6.3071999999999999"/>
  </r>
  <r>
    <x v="0"/>
    <x v="0"/>
    <x v="0"/>
    <x v="2"/>
    <x v="3"/>
    <s v="FIN_ESPOO"/>
    <x v="0"/>
    <s v="GBPR_COAL_SUOMENOJA"/>
    <n v="1.1151407859921301"/>
    <n v="4.0145068295716699"/>
  </r>
  <r>
    <x v="0"/>
    <x v="0"/>
    <x v="0"/>
    <x v="2"/>
    <x v="3"/>
    <s v="FIN_ESPOO"/>
    <x v="5"/>
    <s v="GBPR_NATGAS_SUOMENOJA"/>
    <n v="2.22177146013244E-2"/>
    <n v="7.9983772564767894E-2"/>
  </r>
  <r>
    <x v="0"/>
    <x v="0"/>
    <x v="0"/>
    <x v="2"/>
    <x v="3"/>
    <s v="FIN_ESPOO"/>
    <x v="5"/>
    <s v="GBPR_NATGAS_SUOMENOJA2"/>
    <n v="1.28503960685726"/>
    <n v="4.6261425846861197"/>
  </r>
  <r>
    <x v="0"/>
    <x v="0"/>
    <x v="0"/>
    <x v="2"/>
    <x v="3"/>
    <s v="FIN_ESPOO"/>
    <x v="5"/>
    <s v="GHOB_NATGAS"/>
    <n v="0.34172885820978399"/>
    <n v="1.23022388955522"/>
  </r>
  <r>
    <x v="0"/>
    <x v="0"/>
    <x v="0"/>
    <x v="2"/>
    <x v="3"/>
    <s v="FIN_ESPOO"/>
    <x v="12"/>
    <s v="GHOB_NATGAS_EXETS"/>
    <n v="0.12843503433950601"/>
    <n v="0.46236612362222301"/>
  </r>
  <r>
    <x v="0"/>
    <x v="0"/>
    <x v="0"/>
    <x v="2"/>
    <x v="3"/>
    <s v="FIN_GAS"/>
    <x v="5"/>
    <s v="GBPR_NATGAS_GASAREA"/>
    <n v="0.14655284947932601"/>
    <n v="0.52759025812557303"/>
  </r>
  <r>
    <x v="0"/>
    <x v="0"/>
    <x v="0"/>
    <x v="2"/>
    <x v="3"/>
    <s v="FIN_GAS"/>
    <x v="12"/>
    <s v="GHOB_NATGAS_EXETS"/>
    <n v="1.3776221505206701"/>
    <n v="4.95943974187443"/>
  </r>
  <r>
    <x v="0"/>
    <x v="0"/>
    <x v="0"/>
    <x v="2"/>
    <x v="3"/>
    <s v="FIN_HELS"/>
    <x v="0"/>
    <s v="GBPR_COAL_MARTINLAAKSO"/>
    <n v="2.2079300955755801"/>
    <n v="7.9485483440720701"/>
  </r>
  <r>
    <x v="0"/>
    <x v="0"/>
    <x v="0"/>
    <x v="2"/>
    <x v="3"/>
    <s v="FIN_HELS"/>
    <x v="0"/>
    <s v="GBPR_COAL_SALMISAARI"/>
    <n v="1.85871666209168"/>
    <n v="6.6913799835300596"/>
  </r>
  <r>
    <x v="0"/>
    <x v="0"/>
    <x v="0"/>
    <x v="2"/>
    <x v="3"/>
    <s v="FIN_HELS"/>
    <x v="0"/>
    <s v="GHOB_COAL"/>
    <n v="1.8724849336627301"/>
    <n v="6.7409457611858397"/>
  </r>
  <r>
    <x v="0"/>
    <x v="0"/>
    <x v="0"/>
    <x v="2"/>
    <x v="3"/>
    <s v="FIN_HELS"/>
    <x v="3"/>
    <s v="GETOH_HEATPUMP"/>
    <n v="0.26279999999999998"/>
    <n v="0.94608000000000003"/>
  </r>
  <r>
    <x v="0"/>
    <x v="0"/>
    <x v="0"/>
    <x v="2"/>
    <x v="3"/>
    <s v="FIN_HELS"/>
    <x v="5"/>
    <s v="GBPR_NATGAS_MARTINLAAKSOGT"/>
    <n v="0.109547218628719"/>
    <n v="0.39436998706338899"/>
  </r>
  <r>
    <x v="0"/>
    <x v="0"/>
    <x v="0"/>
    <x v="2"/>
    <x v="3"/>
    <s v="FIN_HELS"/>
    <x v="5"/>
    <s v="GBPR_NATGAS_VOUSAARI"/>
    <n v="0.89172791160431797"/>
    <n v="3.2102204817755502"/>
  </r>
  <r>
    <x v="0"/>
    <x v="0"/>
    <x v="0"/>
    <x v="2"/>
    <x v="3"/>
    <s v="FIN_HELS"/>
    <x v="5"/>
    <s v="GEXT_NATGAS_VOUSAARI"/>
    <n v="3.7010964843477501"/>
    <n v="13.3239473436519"/>
  </r>
  <r>
    <x v="0"/>
    <x v="0"/>
    <x v="0"/>
    <x v="2"/>
    <x v="3"/>
    <s v="FIN_HELS"/>
    <x v="5"/>
    <s v="GHOB_NATGAS"/>
    <n v="0.39027769408922502"/>
    <n v="1.4049996987212101"/>
  </r>
  <r>
    <x v="0"/>
    <x v="0"/>
    <x v="0"/>
    <x v="2"/>
    <x v="3"/>
    <s v="FIN_HP"/>
    <x v="0"/>
    <s v="GBPR_COAL_NAANTALI"/>
    <n v="2.4101359385122199"/>
    <n v="8.6764893786439803"/>
  </r>
  <r>
    <x v="0"/>
    <x v="0"/>
    <x v="0"/>
    <x v="2"/>
    <x v="3"/>
    <s v="FIN_HP"/>
    <x v="3"/>
    <s v="GETOH_HEATPUMP"/>
    <n v="0.29959200000000002"/>
    <n v="1.0785312"/>
  </r>
  <r>
    <x v="0"/>
    <x v="0"/>
    <x v="0"/>
    <x v="2"/>
    <x v="3"/>
    <s v="FIN_HP"/>
    <x v="1"/>
    <s v="GNR_HS_HEAT_WTR-TANK_LS_E-95_Y-2010"/>
    <n v="0.116704014947781"/>
    <n v="0.42013445381201198"/>
  </r>
  <r>
    <x v="0"/>
    <x v="0"/>
    <x v="0"/>
    <x v="2"/>
    <x v="3"/>
    <s v="FIN_HP"/>
    <x v="11"/>
    <s v="GHOB_PEAT"/>
    <n v="4.0869571312879403E-2"/>
    <n v="0.14713045672636599"/>
  </r>
  <r>
    <x v="0"/>
    <x v="0"/>
    <x v="0"/>
    <x v="2"/>
    <x v="3"/>
    <s v="FIN_HP"/>
    <x v="2"/>
    <s v="GHOB_WASTEHEAT"/>
    <n v="4.6126373626373403E-2"/>
    <n v="0.166054945054944"/>
  </r>
  <r>
    <x v="0"/>
    <x v="0"/>
    <x v="0"/>
    <x v="2"/>
    <x v="3"/>
    <s v="FIN_HP"/>
    <x v="7"/>
    <s v="GHOB_WOODCHIPS"/>
    <n v="0.15009243312473"/>
    <n v="0.54033275924902902"/>
  </r>
  <r>
    <x v="0"/>
    <x v="0"/>
    <x v="0"/>
    <x v="2"/>
    <x v="3"/>
    <s v="FIN_HP"/>
    <x v="8"/>
    <s v="GHOB_WOODWASTE"/>
    <n v="0.25841999999999998"/>
    <n v="0.93031200000000003"/>
  </r>
  <r>
    <x v="0"/>
    <x v="0"/>
    <x v="0"/>
    <x v="2"/>
    <x v="3"/>
    <s v="FIN_OTHER"/>
    <x v="0"/>
    <s v="GBPR_COAL"/>
    <n v="4.53414216055699E-2"/>
    <n v="0.163229117780051"/>
  </r>
  <r>
    <x v="0"/>
    <x v="0"/>
    <x v="0"/>
    <x v="2"/>
    <x v="3"/>
    <s v="FIN_OTHER"/>
    <x v="1"/>
    <s v="GNR_HS_HEAT_WTR-TANK_LS_E-95_Y-2010"/>
    <n v="9.4974448196492901E-3"/>
    <n v="3.4190801350737397E-2"/>
  </r>
  <r>
    <x v="0"/>
    <x v="0"/>
    <x v="0"/>
    <x v="2"/>
    <x v="3"/>
    <s v="FIN_OTHER"/>
    <x v="11"/>
    <s v="GBPR_PEAT"/>
    <n v="4.8518657747120502"/>
    <n v="17.466716788963399"/>
  </r>
  <r>
    <x v="0"/>
    <x v="0"/>
    <x v="0"/>
    <x v="2"/>
    <x v="3"/>
    <s v="FIN_OTHER"/>
    <x v="11"/>
    <s v="GEXT_PEAT_KELJONLAHTI"/>
    <n v="1.1352658698022"/>
    <n v="4.0869571312879396"/>
  </r>
  <r>
    <x v="0"/>
    <x v="0"/>
    <x v="0"/>
    <x v="2"/>
    <x v="3"/>
    <s v="FIN_OTHER"/>
    <x v="11"/>
    <s v="GEXT_PEAT_SEVO"/>
    <n v="0.71521749797539003"/>
    <n v="2.5747829927114001"/>
  </r>
  <r>
    <x v="0"/>
    <x v="0"/>
    <x v="0"/>
    <x v="2"/>
    <x v="3"/>
    <s v="FIN_OTHER"/>
    <x v="11"/>
    <s v="GEXT_PEAT_TOPPILA"/>
    <n v="0.77200836319275601"/>
    <n v="2.7792301074939201"/>
  </r>
  <r>
    <x v="0"/>
    <x v="0"/>
    <x v="0"/>
    <x v="2"/>
    <x v="3"/>
    <s v="FIN_OTHER"/>
    <x v="11"/>
    <s v="GHOB_PEAT"/>
    <n v="3.6419329103254698"/>
    <n v="13.1109584771717"/>
  </r>
  <r>
    <x v="0"/>
    <x v="0"/>
    <x v="0"/>
    <x v="2"/>
    <x v="3"/>
    <s v="FIN_OTHER"/>
    <x v="2"/>
    <s v="GHOB_WASTEHEAT"/>
    <n v="1.8822568681318601"/>
    <n v="6.7761247252747001"/>
  </r>
  <r>
    <x v="0"/>
    <x v="0"/>
    <x v="0"/>
    <x v="2"/>
    <x v="3"/>
    <s v="FIN_OTHER"/>
    <x v="7"/>
    <s v="GBPR_WOODCHIPS_FINOTHER"/>
    <n v="0.62896683654664598"/>
    <n v="2.2642806115679299"/>
  </r>
  <r>
    <x v="0"/>
    <x v="0"/>
    <x v="0"/>
    <x v="2"/>
    <x v="3"/>
    <s v="FIN_OTHER"/>
    <x v="7"/>
    <s v="GHOB_WOODCHIPS"/>
    <n v="2.7897690639656298"/>
    <n v="10.0431686302763"/>
  </r>
  <r>
    <x v="0"/>
    <x v="0"/>
    <x v="0"/>
    <x v="2"/>
    <x v="3"/>
    <s v="FIN_OTHER"/>
    <x v="8"/>
    <s v="GBPR_WOODWASTE_FINOTHER"/>
    <n v="2.6712592592592599"/>
    <n v="9.6165333333333294"/>
  </r>
  <r>
    <x v="0"/>
    <x v="0"/>
    <x v="0"/>
    <x v="2"/>
    <x v="3"/>
    <s v="FIN_OTHER"/>
    <x v="8"/>
    <s v="GHOB_WOODWASTE"/>
    <n v="1.461168"/>
    <n v="5.2602048000000003"/>
  </r>
  <r>
    <x v="0"/>
    <x v="0"/>
    <x v="0"/>
    <x v="2"/>
    <x v="3"/>
    <s v="FIN_TAMP"/>
    <x v="3"/>
    <s v="GETOH_ELECTRICBOILER"/>
    <n v="1.46E-2"/>
    <n v="5.2560000000000003E-2"/>
  </r>
  <r>
    <x v="0"/>
    <x v="0"/>
    <x v="0"/>
    <x v="2"/>
    <x v="3"/>
    <s v="FIN_TAMP"/>
    <x v="5"/>
    <s v="GEXT_NATGAS_TAMPERE"/>
    <n v="2.9230879999999999"/>
    <n v="10.5231168"/>
  </r>
  <r>
    <x v="0"/>
    <x v="0"/>
    <x v="0"/>
    <x v="2"/>
    <x v="3"/>
    <s v="FinA"/>
    <x v="11"/>
    <s v="GBPR_PEAT_IND"/>
    <n v="6.8565925925925999"/>
    <n v="24.683733333333301"/>
  </r>
  <r>
    <x v="0"/>
    <x v="0"/>
    <x v="0"/>
    <x v="3"/>
    <x v="4"/>
    <s v="DE4-E_A"/>
    <x v="1"/>
    <s v="GNR_HS_HEAT_WTR-TANK_LS_E-95_Y-2010"/>
    <n v="1134.48668054123"/>
    <n v="4084.15204994844"/>
  </r>
  <r>
    <x v="0"/>
    <x v="0"/>
    <x v="0"/>
    <x v="3"/>
    <x v="4"/>
    <s v="DE4-E_A"/>
    <x v="13"/>
    <s v="GNR_ST_LIGN_BP_E-28"/>
    <n v="0.18542"/>
    <n v="0.66751199999999999"/>
  </r>
  <r>
    <x v="0"/>
    <x v="0"/>
    <x v="0"/>
    <x v="3"/>
    <x v="4"/>
    <s v="DE4-E_A"/>
    <x v="13"/>
    <s v="GNR_ST_LIGN_BP_E-39"/>
    <n v="99.384405291643702"/>
    <n v="357.783859049917"/>
  </r>
  <r>
    <x v="0"/>
    <x v="0"/>
    <x v="0"/>
    <x v="3"/>
    <x v="5"/>
    <s v="DE4-N_A"/>
    <x v="0"/>
    <s v="GNR_ST_COAL_BP_E-40"/>
    <n v="10.79232"/>
    <n v="38.852352000000003"/>
  </r>
  <r>
    <x v="0"/>
    <x v="0"/>
    <x v="0"/>
    <x v="3"/>
    <x v="5"/>
    <s v="DE4-N_A"/>
    <x v="1"/>
    <s v="GNR_HS_HEAT_WTR-TANK_LS_E-95_Y-2010"/>
    <n v="0.61274046464187204"/>
    <n v="2.2058656727107402"/>
  </r>
  <r>
    <x v="0"/>
    <x v="0"/>
    <x v="0"/>
    <x v="3"/>
    <x v="5"/>
    <s v="DE4-N_A"/>
    <x v="4"/>
    <s v="GNR_BO_MSW_E-80"/>
    <n v="2.7155999999999999E-3"/>
    <n v="9.7761600000000008E-3"/>
  </r>
  <r>
    <x v="0"/>
    <x v="0"/>
    <x v="0"/>
    <x v="3"/>
    <x v="5"/>
    <s v="DE4-N_A"/>
    <x v="4"/>
    <s v="GNR_ST_MSW_BP_E-33"/>
    <n v="0.78305626432912001"/>
    <n v="2.81900255158483"/>
  </r>
  <r>
    <x v="0"/>
    <x v="0"/>
    <x v="0"/>
    <x v="3"/>
    <x v="5"/>
    <s v="DE4-N_A"/>
    <x v="5"/>
    <s v="GNR_CC_NGAS_BP_E-57"/>
    <n v="0.316629229892463"/>
    <n v="1.13986522761287"/>
  </r>
  <r>
    <x v="0"/>
    <x v="0"/>
    <x v="0"/>
    <x v="3"/>
    <x v="5"/>
    <s v="DE4-N_A"/>
    <x v="5"/>
    <s v="GNR_ST_NGAS_BP_E-39"/>
    <n v="0.98752840391746399"/>
    <n v="3.5551022541028701"/>
  </r>
  <r>
    <x v="0"/>
    <x v="0"/>
    <x v="0"/>
    <x v="3"/>
    <x v="6"/>
    <s v="DE4-S_A"/>
    <x v="0"/>
    <s v="GNR_ST_COAL_BP_E-43"/>
    <n v="35.004815615345599"/>
    <n v="126.017336215244"/>
  </r>
  <r>
    <x v="0"/>
    <x v="0"/>
    <x v="0"/>
    <x v="3"/>
    <x v="6"/>
    <s v="DE4-S_A"/>
    <x v="1"/>
    <s v="GNR_HS_HEAT_WTR-TANK_LS_E-95_Y-2010"/>
    <n v="171.09149669156801"/>
    <n v="615.92938808964402"/>
  </r>
  <r>
    <x v="0"/>
    <x v="0"/>
    <x v="0"/>
    <x v="3"/>
    <x v="7"/>
    <s v="DE4-W_A"/>
    <x v="0"/>
    <s v="GNR_ST_COAL_BP_E-41"/>
    <n v="6.9441234602651303"/>
    <n v="24.998844456954501"/>
  </r>
  <r>
    <x v="0"/>
    <x v="0"/>
    <x v="0"/>
    <x v="3"/>
    <x v="7"/>
    <s v="DE4-W_A"/>
    <x v="1"/>
    <s v="GNR_HS_HEAT_WTR-TANK_LS_E-95_Y-2010"/>
    <n v="260.03277066789201"/>
    <n v="936.11797440441205"/>
  </r>
  <r>
    <x v="0"/>
    <x v="0"/>
    <x v="0"/>
    <x v="3"/>
    <x v="7"/>
    <s v="DE4-W_A"/>
    <x v="13"/>
    <s v="GNR_ST_LIGN_BP_E-33"/>
    <n v="6.12421333333333"/>
    <n v="22.047167999999999"/>
  </r>
  <r>
    <x v="0"/>
    <x v="0"/>
    <x v="0"/>
    <x v="3"/>
    <x v="7"/>
    <s v="DE4-W_A"/>
    <x v="13"/>
    <s v="GNR_ST_LIGN_BP_E-37"/>
    <n v="37.507598504711602"/>
    <n v="135.02735461696199"/>
  </r>
  <r>
    <x v="0"/>
    <x v="0"/>
    <x v="0"/>
    <x v="4"/>
    <x v="8"/>
    <s v="LT_KauU"/>
    <x v="4"/>
    <s v="KAUNAS_ST_MSW_BP"/>
    <n v="0.595681985606619"/>
    <n v="2.1444551481838299"/>
  </r>
  <r>
    <x v="0"/>
    <x v="0"/>
    <x v="0"/>
    <x v="4"/>
    <x v="8"/>
    <s v="LT_Other_DH"/>
    <x v="1"/>
    <s v="LIFOSA_ST_HEAT_BP"/>
    <n v="0.438"/>
    <n v="1.5768"/>
  </r>
  <r>
    <x v="0"/>
    <x v="0"/>
    <x v="0"/>
    <x v="4"/>
    <x v="8"/>
    <s v="LT_Other_DH"/>
    <x v="8"/>
    <s v="EBAVERE_ST_WOODWST_BP"/>
    <n v="0.23974736842105299"/>
    <n v="0.86309052631578997"/>
  </r>
  <r>
    <x v="0"/>
    <x v="0"/>
    <x v="0"/>
    <x v="4"/>
    <x v="8"/>
    <s v="LT_VilU"/>
    <x v="4"/>
    <s v="VILNIUS_ST_MSW_BP"/>
    <n v="1.98850206025315"/>
    <n v="7.1586074169113401"/>
  </r>
  <r>
    <x v="0"/>
    <x v="0"/>
    <x v="0"/>
    <x v="5"/>
    <x v="9"/>
    <s v="NO1_A1"/>
    <x v="1"/>
    <s v="GNR_HS_HEAT_WTR-TANK_LS_E-95_Y-2010"/>
    <n v="6.7909685972223202E-2"/>
    <n v="0.24447486950000299"/>
  </r>
  <r>
    <x v="0"/>
    <x v="0"/>
    <x v="0"/>
    <x v="5"/>
    <x v="9"/>
    <s v="NO1_A1"/>
    <x v="14"/>
    <s v="GHOB_LNG"/>
    <n v="0.20147999999999999"/>
    <n v="0.72532799999999997"/>
  </r>
  <r>
    <x v="0"/>
    <x v="0"/>
    <x v="0"/>
    <x v="5"/>
    <x v="9"/>
    <s v="NO1_A1"/>
    <x v="14"/>
    <s v="GHOB_LPG"/>
    <n v="0.36441600000000002"/>
    <n v="1.3118976"/>
  </r>
  <r>
    <x v="0"/>
    <x v="0"/>
    <x v="0"/>
    <x v="5"/>
    <x v="9"/>
    <s v="NO1_A1"/>
    <x v="4"/>
    <s v="GBPR_MUNIWASTE"/>
    <n v="0.23171612903225799"/>
    <n v="0.83417806451612897"/>
  </r>
  <r>
    <x v="0"/>
    <x v="0"/>
    <x v="0"/>
    <x v="5"/>
    <x v="9"/>
    <s v="NO1_A1"/>
    <x v="4"/>
    <s v="GHOB_MUNIWASTE"/>
    <n v="6.5209439999999994E-2"/>
    <n v="0.234753984"/>
  </r>
  <r>
    <x v="0"/>
    <x v="0"/>
    <x v="0"/>
    <x v="5"/>
    <x v="9"/>
    <s v="NO1_A1"/>
    <x v="2"/>
    <s v="GHOB_WASTEHEAT"/>
    <n v="2.5974162087911999E-2"/>
    <n v="9.3506983516483094E-2"/>
  </r>
  <r>
    <x v="0"/>
    <x v="0"/>
    <x v="0"/>
    <x v="5"/>
    <x v="9"/>
    <s v="NO1_A1"/>
    <x v="8"/>
    <s v="GHOB_WOODWASTE"/>
    <n v="0.42067346287836799"/>
    <n v="1.51442446636212"/>
  </r>
  <r>
    <x v="0"/>
    <x v="0"/>
    <x v="0"/>
    <x v="5"/>
    <x v="9"/>
    <s v="NO1_A2"/>
    <x v="3"/>
    <s v="GETOH_HEATPUMP"/>
    <n v="6.7557181127522001E-2"/>
    <n v="0.24320585205907899"/>
  </r>
  <r>
    <x v="0"/>
    <x v="0"/>
    <x v="0"/>
    <x v="5"/>
    <x v="9"/>
    <s v="NO1_A2"/>
    <x v="1"/>
    <s v="GNR_HS_HEAT_WTR-TANK_LS_E-95_Y-2010"/>
    <n v="9.7874893035754307E-2"/>
    <n v="0.35234961492871503"/>
  </r>
  <r>
    <x v="0"/>
    <x v="0"/>
    <x v="0"/>
    <x v="5"/>
    <x v="9"/>
    <s v="NO1_A2"/>
    <x v="14"/>
    <s v="GHOB_LPG"/>
    <n v="0.876"/>
    <n v="3.1536"/>
  </r>
  <r>
    <x v="0"/>
    <x v="0"/>
    <x v="0"/>
    <x v="5"/>
    <x v="9"/>
    <s v="NO1_A2"/>
    <x v="4"/>
    <s v="GBPR_MUNIWASTE"/>
    <n v="0.31347612903225403"/>
    <n v="1.12851406451612"/>
  </r>
  <r>
    <x v="0"/>
    <x v="0"/>
    <x v="0"/>
    <x v="5"/>
    <x v="9"/>
    <s v="NO1_A2"/>
    <x v="4"/>
    <s v="GHOB_MUNIWASTE"/>
    <n v="0.28032000000000001"/>
    <n v="1.009152"/>
  </r>
  <r>
    <x v="0"/>
    <x v="0"/>
    <x v="0"/>
    <x v="5"/>
    <x v="9"/>
    <s v="NO1_A2"/>
    <x v="8"/>
    <s v="GHOB_WOODWASTE"/>
    <n v="0.14016000000000001"/>
    <n v="0.50457600000000002"/>
  </r>
  <r>
    <x v="0"/>
    <x v="0"/>
    <x v="0"/>
    <x v="5"/>
    <x v="10"/>
    <s v="NO2_A1"/>
    <x v="1"/>
    <s v="GNR_HS_HEAT_WTR-TANK_LS_E-95_Y-2010"/>
    <n v="2.4374705998737602E-3"/>
    <n v="8.7748941595455297E-3"/>
  </r>
  <r>
    <x v="0"/>
    <x v="0"/>
    <x v="0"/>
    <x v="5"/>
    <x v="10"/>
    <s v="NO2_A1"/>
    <x v="14"/>
    <s v="GHOB_LNG"/>
    <n v="2.09591229477814E-3"/>
    <n v="7.5452842612013099E-3"/>
  </r>
  <r>
    <x v="0"/>
    <x v="0"/>
    <x v="0"/>
    <x v="5"/>
    <x v="10"/>
    <s v="NO2_A1"/>
    <x v="14"/>
    <s v="GHOB_LPG"/>
    <n v="4.1656376688284501E-2"/>
    <n v="0.14996295607782401"/>
  </r>
  <r>
    <x v="0"/>
    <x v="0"/>
    <x v="0"/>
    <x v="5"/>
    <x v="10"/>
    <s v="NO2_A1"/>
    <x v="4"/>
    <s v="GBPR_MUNIWASTE"/>
    <n v="0.30518709677419398"/>
    <n v="1.0986735483871"/>
  </r>
  <r>
    <x v="0"/>
    <x v="0"/>
    <x v="0"/>
    <x v="5"/>
    <x v="10"/>
    <s v="NO2_A1"/>
    <x v="2"/>
    <s v="GHOB_WASTEHEAT"/>
    <n v="3.7727902169053001E-2"/>
    <n v="0.13582044780859101"/>
  </r>
  <r>
    <x v="0"/>
    <x v="0"/>
    <x v="0"/>
    <x v="5"/>
    <x v="11"/>
    <s v="NO3_A1"/>
    <x v="14"/>
    <s v="GHOB_LNG"/>
    <n v="6.88437636851874E-3"/>
    <n v="2.4783754926667501E-2"/>
  </r>
  <r>
    <x v="0"/>
    <x v="0"/>
    <x v="0"/>
    <x v="5"/>
    <x v="11"/>
    <s v="NO3_A1"/>
    <x v="14"/>
    <s v="GHOB_LPG"/>
    <n v="5.6279115763615897E-2"/>
    <n v="0.20260481674901701"/>
  </r>
  <r>
    <x v="0"/>
    <x v="0"/>
    <x v="0"/>
    <x v="5"/>
    <x v="11"/>
    <s v="NO3_A1"/>
    <x v="4"/>
    <s v="GBPR_MUNIWASTE"/>
    <n v="0.12122709677419399"/>
    <n v="0.43641754838709701"/>
  </r>
  <r>
    <x v="0"/>
    <x v="0"/>
    <x v="0"/>
    <x v="5"/>
    <x v="11"/>
    <s v="NO3_A1"/>
    <x v="2"/>
    <s v="GHOB_WASTEHEAT"/>
    <n v="3.6714411093671802E-2"/>
    <n v="0.13217187993721899"/>
  </r>
  <r>
    <x v="0"/>
    <x v="0"/>
    <x v="0"/>
    <x v="5"/>
    <x v="11"/>
    <s v="NO3_A2"/>
    <x v="14"/>
    <s v="GHOB_LNG"/>
    <n v="5.75194246059718E-2"/>
    <n v="0.207069928581498"/>
  </r>
  <r>
    <x v="0"/>
    <x v="0"/>
    <x v="0"/>
    <x v="5"/>
    <x v="11"/>
    <s v="NO3_A2"/>
    <x v="4"/>
    <s v="GHOB_MUNIWASTE"/>
    <n v="0.56471657539402798"/>
    <n v="2.0329796714185"/>
  </r>
  <r>
    <x v="0"/>
    <x v="0"/>
    <x v="0"/>
    <x v="5"/>
    <x v="12"/>
    <s v="NO4_A1"/>
    <x v="14"/>
    <s v="GHOB_LNG"/>
    <n v="2.0892234726016701E-2"/>
    <n v="7.5212045013660106E-2"/>
  </r>
  <r>
    <x v="0"/>
    <x v="0"/>
    <x v="0"/>
    <x v="5"/>
    <x v="12"/>
    <s v="NO4_A1"/>
    <x v="14"/>
    <s v="GHOB_LPG"/>
    <n v="7.1304742072397596E-3"/>
    <n v="2.5669707146063099E-2"/>
  </r>
  <r>
    <x v="0"/>
    <x v="0"/>
    <x v="0"/>
    <x v="5"/>
    <x v="12"/>
    <s v="NO4_A1"/>
    <x v="4"/>
    <s v="GBPR_MUNIWASTE"/>
    <n v="4.6998812903225797E-3"/>
    <n v="1.69195726451613E-2"/>
  </r>
  <r>
    <x v="0"/>
    <x v="0"/>
    <x v="0"/>
    <x v="5"/>
    <x v="12"/>
    <s v="NO4_A1"/>
    <x v="4"/>
    <s v="GHOB_MUNIWASTE"/>
    <n v="0.125260349336861"/>
    <n v="0.45093725761269898"/>
  </r>
  <r>
    <x v="0"/>
    <x v="0"/>
    <x v="0"/>
    <x v="5"/>
    <x v="12"/>
    <s v="NO4_A1"/>
    <x v="2"/>
    <s v="GHOB_WASTEHEAT"/>
    <n v="8.7987060439560102E-2"/>
    <n v="0.31675341758241599"/>
  </r>
  <r>
    <x v="0"/>
    <x v="0"/>
    <x v="0"/>
    <x v="5"/>
    <x v="13"/>
    <s v="NO5_A1"/>
    <x v="14"/>
    <s v="GHOB_LPG"/>
    <n v="7.3728483870967698E-2"/>
    <n v="0.26542254193548398"/>
  </r>
  <r>
    <x v="0"/>
    <x v="0"/>
    <x v="0"/>
    <x v="5"/>
    <x v="13"/>
    <s v="NO5_A1"/>
    <x v="4"/>
    <s v="GBPR_MUNIWASTE"/>
    <n v="0.226064516129032"/>
    <n v="0.81383225806451598"/>
  </r>
  <r>
    <x v="0"/>
    <x v="0"/>
    <x v="0"/>
    <x v="6"/>
    <x v="14"/>
    <s v="PL_A"/>
    <x v="0"/>
    <s v="BIEL-4_ST_COAL_BP"/>
    <n v="0.38055913657145302"/>
    <n v="1.3700128916572301"/>
  </r>
  <r>
    <x v="0"/>
    <x v="0"/>
    <x v="0"/>
    <x v="6"/>
    <x v="14"/>
    <s v="PL_A"/>
    <x v="0"/>
    <s v="CHOR2-1_ST_COAL_BP"/>
    <n v="3.9712000000000001"/>
    <n v="14.29632"/>
  </r>
  <r>
    <x v="0"/>
    <x v="0"/>
    <x v="0"/>
    <x v="6"/>
    <x v="14"/>
    <s v="PL_A"/>
    <x v="0"/>
    <s v="DOLN-1_ST_COAL_EXT"/>
    <n v="9.0496639913673196E-2"/>
    <n v="0.325787903689224"/>
  </r>
  <r>
    <x v="0"/>
    <x v="0"/>
    <x v="0"/>
    <x v="6"/>
    <x v="14"/>
    <s v="PL_A"/>
    <x v="0"/>
    <s v="GDAN2-1_ST_COAL_BP"/>
    <n v="2.0220206382947699"/>
    <n v="7.2792742978611802"/>
  </r>
  <r>
    <x v="0"/>
    <x v="0"/>
    <x v="0"/>
    <x v="6"/>
    <x v="14"/>
    <s v="PL_A"/>
    <x v="0"/>
    <s v="JAWO2-1_ST_COAL_BP"/>
    <n v="37.462296167451598"/>
    <n v="134.864266202826"/>
  </r>
  <r>
    <x v="0"/>
    <x v="0"/>
    <x v="0"/>
    <x v="6"/>
    <x v="14"/>
    <s v="PL_A"/>
    <x v="0"/>
    <s v="KARO-2_ST_COAL_BP"/>
    <n v="2.4863292749292398"/>
    <n v="8.9507853897452705"/>
  </r>
  <r>
    <x v="0"/>
    <x v="0"/>
    <x v="0"/>
    <x v="6"/>
    <x v="14"/>
    <s v="PL_A"/>
    <x v="0"/>
    <s v="KATO_ST_COAL_BP"/>
    <n v="1.53925714285714"/>
    <n v="5.5413257142857102"/>
  </r>
  <r>
    <x v="0"/>
    <x v="0"/>
    <x v="0"/>
    <x v="6"/>
    <x v="14"/>
    <s v="PL_A"/>
    <x v="0"/>
    <s v="KOZI-1_ST_COAL_EXT"/>
    <n v="0.48666666666666702"/>
    <n v="1.752"/>
  </r>
  <r>
    <x v="0"/>
    <x v="0"/>
    <x v="0"/>
    <x v="6"/>
    <x v="14"/>
    <s v="PL_A"/>
    <x v="0"/>
    <s v="KRLEG-1_ST_COAL_BP"/>
    <n v="3.1389999999999998"/>
    <n v="11.3004"/>
  </r>
  <r>
    <x v="0"/>
    <x v="0"/>
    <x v="0"/>
    <x v="6"/>
    <x v="14"/>
    <s v="PL_A"/>
    <x v="0"/>
    <s v="LAZI-1_ST_COAL_EXT"/>
    <n v="0.35814846416382301"/>
    <n v="1.2893344709897601"/>
  </r>
  <r>
    <x v="0"/>
    <x v="0"/>
    <x v="0"/>
    <x v="6"/>
    <x v="14"/>
    <s v="PL_A"/>
    <x v="0"/>
    <s v="SIEK-1_ST_COAL_BP"/>
    <n v="0.103108397321863"/>
    <n v="0.37119023035870702"/>
  </r>
  <r>
    <x v="0"/>
    <x v="0"/>
    <x v="0"/>
    <x v="6"/>
    <x v="14"/>
    <s v="PL_A"/>
    <x v="0"/>
    <s v="SIER-1_ST_COAL_BP"/>
    <n v="5.4574800000000003"/>
    <n v="19.646927999999999"/>
  </r>
  <r>
    <x v="0"/>
    <x v="0"/>
    <x v="0"/>
    <x v="6"/>
    <x v="14"/>
    <s v="PL_A"/>
    <x v="0"/>
    <s v="TYCH_ST_COAL_BP"/>
    <n v="0.60443999999999998"/>
    <n v="2.1759840000000001"/>
  </r>
  <r>
    <x v="0"/>
    <x v="0"/>
    <x v="0"/>
    <x v="6"/>
    <x v="14"/>
    <s v="PL_A"/>
    <x v="0"/>
    <s v="ZIEL-2_ST_COAL_BP"/>
    <n v="9.6360000000000001E-2"/>
    <n v="0.34689599999999998"/>
  </r>
  <r>
    <x v="0"/>
    <x v="0"/>
    <x v="0"/>
    <x v="6"/>
    <x v="14"/>
    <s v="PL_A"/>
    <x v="0"/>
    <s v="ZIEL-4_ST_COAL_BP"/>
    <n v="0.52559999999999996"/>
    <n v="1.8921600000000001"/>
  </r>
  <r>
    <x v="0"/>
    <x v="0"/>
    <x v="0"/>
    <x v="6"/>
    <x v="14"/>
    <s v="PL_A"/>
    <x v="13"/>
    <s v="ADAM-1_ST_LIGNITE_EXT"/>
    <n v="0.180840909090909"/>
    <n v="0.65102727272727301"/>
  </r>
  <r>
    <x v="0"/>
    <x v="0"/>
    <x v="0"/>
    <x v="6"/>
    <x v="14"/>
    <s v="PL_A"/>
    <x v="13"/>
    <s v="BELC-1_ST_LIGNITE_EXT"/>
    <n v="0.82305494505494503"/>
    <n v="2.9629978021977998"/>
  </r>
  <r>
    <x v="0"/>
    <x v="0"/>
    <x v="0"/>
    <x v="6"/>
    <x v="14"/>
    <s v="PL_A"/>
    <x v="4"/>
    <s v="GNR_ST_MSW_BP_E-15"/>
    <n v="1.4892000000000001"/>
    <n v="5.3611199999999997"/>
  </r>
  <r>
    <x v="0"/>
    <x v="0"/>
    <x v="0"/>
    <x v="7"/>
    <x v="15"/>
    <s v="SE1_EL"/>
    <x v="4"/>
    <s v="GBPR_MUNIWASTE"/>
    <n v="0.111188463661287"/>
    <n v="0.40027846918063498"/>
  </r>
  <r>
    <x v="0"/>
    <x v="0"/>
    <x v="0"/>
    <x v="7"/>
    <x v="15"/>
    <s v="SE1_EL"/>
    <x v="2"/>
    <s v="GHOB_WASTEHEAT"/>
    <n v="1.08094453633871"/>
    <n v="3.8914003308193599"/>
  </r>
  <r>
    <x v="0"/>
    <x v="0"/>
    <x v="0"/>
    <x v="7"/>
    <x v="15"/>
    <s v="SE1_OTHER"/>
    <x v="1"/>
    <s v="GNR_HS_HEAT_WTR-TANK_LS_E-95_Y-2010"/>
    <n v="4.1590711056928402E-2"/>
    <n v="0.14972655980494201"/>
  </r>
  <r>
    <x v="0"/>
    <x v="0"/>
    <x v="0"/>
    <x v="7"/>
    <x v="15"/>
    <s v="SE1_OTHER"/>
    <x v="11"/>
    <s v="GBPR_PEAT_38"/>
    <n v="4.3242704855128399E-2"/>
    <n v="0.155673737478462"/>
  </r>
  <r>
    <x v="0"/>
    <x v="0"/>
    <x v="0"/>
    <x v="7"/>
    <x v="15"/>
    <s v="SE1_OTHER"/>
    <x v="2"/>
    <s v="GHOB_WASTEHEAT"/>
    <n v="0.31385989010988902"/>
    <n v="1.1298956043956001"/>
  </r>
  <r>
    <x v="0"/>
    <x v="0"/>
    <x v="0"/>
    <x v="7"/>
    <x v="15"/>
    <s v="SE1_OTHER"/>
    <x v="8"/>
    <s v="GBPR_WOODWASTE"/>
    <n v="0.50440231403060498"/>
    <n v="1.81584833051018"/>
  </r>
  <r>
    <x v="0"/>
    <x v="0"/>
    <x v="0"/>
    <x v="7"/>
    <x v="15"/>
    <s v="SE1_OTHER"/>
    <x v="8"/>
    <s v="GHOB_WOODWASTE"/>
    <n v="0.233854075796847"/>
    <n v="0.84187467286865103"/>
  </r>
  <r>
    <x v="0"/>
    <x v="0"/>
    <x v="0"/>
    <x v="7"/>
    <x v="16"/>
    <s v="SE2_EL"/>
    <x v="4"/>
    <s v="GBPR_MUNIWASTE_24"/>
    <n v="1.5229946022176599"/>
    <n v="5.4827805679835704"/>
  </r>
  <r>
    <x v="0"/>
    <x v="0"/>
    <x v="0"/>
    <x v="7"/>
    <x v="16"/>
    <s v="SE2_EL"/>
    <x v="2"/>
    <s v="GHOB_WASTEHEAT"/>
    <n v="0.151414835164835"/>
    <n v="0.545093406593404"/>
  </r>
  <r>
    <x v="0"/>
    <x v="0"/>
    <x v="0"/>
    <x v="7"/>
    <x v="16"/>
    <s v="SE2_EL"/>
    <x v="8"/>
    <s v="GBPR_WOODWASTE_25"/>
    <n v="0.87351556261750796"/>
    <n v="3.1446560254230298"/>
  </r>
  <r>
    <x v="0"/>
    <x v="0"/>
    <x v="0"/>
    <x v="7"/>
    <x v="16"/>
    <s v="SE2_OTHER"/>
    <x v="4"/>
    <s v="GBPR_MUNIWASTE_24"/>
    <n v="0.11544202650156001"/>
    <n v="0.41559129540561601"/>
  </r>
  <r>
    <x v="0"/>
    <x v="0"/>
    <x v="0"/>
    <x v="7"/>
    <x v="16"/>
    <s v="SE2_OTHER"/>
    <x v="2"/>
    <s v="GHOB_WASTEHEAT"/>
    <n v="0.14043415109890101"/>
    <n v="0.50556294395604195"/>
  </r>
  <r>
    <x v="0"/>
    <x v="0"/>
    <x v="0"/>
    <x v="7"/>
    <x v="16"/>
    <s v="SE2_OTHER"/>
    <x v="8"/>
    <s v="GBPR_WOODWASTE_36"/>
    <n v="1.0603717064049301"/>
    <n v="3.81733814305773"/>
  </r>
  <r>
    <x v="0"/>
    <x v="0"/>
    <x v="0"/>
    <x v="7"/>
    <x v="16"/>
    <s v="SE2_OTHER"/>
    <x v="8"/>
    <s v="GHOB_WOODWASTE"/>
    <n v="0.468336115994612"/>
    <n v="1.6860100175806001"/>
  </r>
  <r>
    <x v="0"/>
    <x v="0"/>
    <x v="0"/>
    <x v="7"/>
    <x v="17"/>
    <s v="SE3_EL"/>
    <x v="0"/>
    <s v="GEXT_COAL_LINK"/>
    <n v="0.25095747215297998"/>
    <n v="0.90344689975072701"/>
  </r>
  <r>
    <x v="0"/>
    <x v="0"/>
    <x v="0"/>
    <x v="7"/>
    <x v="17"/>
    <s v="SE3_EL"/>
    <x v="3"/>
    <s v="GETOH_HEATPUMP33"/>
    <n v="4.0657094306504202E-2"/>
    <n v="0.14636553950341499"/>
  </r>
  <r>
    <x v="0"/>
    <x v="0"/>
    <x v="0"/>
    <x v="7"/>
    <x v="17"/>
    <s v="SE3_EL"/>
    <x v="1"/>
    <s v="GNR_HS_HEAT_WTR-TANK_LS_E-95_Y-2010"/>
    <n v="0.106587242802425"/>
    <n v="0.38371407408872799"/>
  </r>
  <r>
    <x v="0"/>
    <x v="0"/>
    <x v="0"/>
    <x v="7"/>
    <x v="17"/>
    <s v="SE3_EL"/>
    <x v="4"/>
    <s v="GBPR_MUNIWASTE_24"/>
    <n v="1.68710478034157"/>
    <n v="6.0735772092296401"/>
  </r>
  <r>
    <x v="0"/>
    <x v="0"/>
    <x v="0"/>
    <x v="7"/>
    <x v="17"/>
    <s v="SE3_EL"/>
    <x v="4"/>
    <s v="GBPR_MUNIWASTE_LINK"/>
    <n v="1.6493779061340299"/>
    <n v="5.9377604620825197"/>
  </r>
  <r>
    <x v="0"/>
    <x v="0"/>
    <x v="0"/>
    <x v="7"/>
    <x v="17"/>
    <s v="SE3_EL"/>
    <x v="4"/>
    <s v="GHOB_MUNIWASTE"/>
    <n v="1.55757335680091"/>
    <n v="5.6072640844832602"/>
  </r>
  <r>
    <x v="0"/>
    <x v="0"/>
    <x v="0"/>
    <x v="7"/>
    <x v="17"/>
    <s v="SE3_EL"/>
    <x v="11"/>
    <s v="GBPR_PEAT_38"/>
    <n v="0.10119417611286199"/>
    <n v="0.36429903400630098"/>
  </r>
  <r>
    <x v="0"/>
    <x v="0"/>
    <x v="0"/>
    <x v="7"/>
    <x v="17"/>
    <s v="SE3_EL"/>
    <x v="11"/>
    <s v="GEXT_PEAT"/>
    <n v="0.75035856973947002"/>
    <n v="2.7012908510620899"/>
  </r>
  <r>
    <x v="0"/>
    <x v="0"/>
    <x v="0"/>
    <x v="7"/>
    <x v="17"/>
    <s v="SE3_EL"/>
    <x v="15"/>
    <s v="GBPR_RECYCLEDWOOD_SE3EL"/>
    <n v="0.634243951804633"/>
    <n v="2.2832782264966802"/>
  </r>
  <r>
    <x v="0"/>
    <x v="0"/>
    <x v="0"/>
    <x v="7"/>
    <x v="17"/>
    <s v="SE3_EL"/>
    <x v="2"/>
    <s v="GHOB_WASTEHEAT"/>
    <n v="0.23845329670329601"/>
    <n v="0.85843186813186501"/>
  </r>
  <r>
    <x v="0"/>
    <x v="0"/>
    <x v="0"/>
    <x v="7"/>
    <x v="17"/>
    <s v="SE3_EL"/>
    <x v="8"/>
    <s v="GBPR_WOODWASTE_25"/>
    <n v="1.8950525489317001"/>
    <n v="6.8221891761541196"/>
  </r>
  <r>
    <x v="0"/>
    <x v="0"/>
    <x v="0"/>
    <x v="7"/>
    <x v="17"/>
    <s v="SE3_EL"/>
    <x v="8"/>
    <s v="GBPR_WOODWASTE_ABY"/>
    <n v="0.79188681751313095"/>
    <n v="2.85079254304727"/>
  </r>
  <r>
    <x v="0"/>
    <x v="0"/>
    <x v="0"/>
    <x v="7"/>
    <x v="17"/>
    <s v="SE3_EL"/>
    <x v="8"/>
    <s v="GHOB_WOODWASTE"/>
    <n v="0.500187884343258"/>
    <n v="1.80067638363573"/>
  </r>
  <r>
    <x v="0"/>
    <x v="0"/>
    <x v="0"/>
    <x v="7"/>
    <x v="17"/>
    <s v="SE3_GOT"/>
    <x v="3"/>
    <s v="GETOH_HEATPUMP33"/>
    <n v="0.89364103839655396"/>
    <n v="3.2171077382275901"/>
  </r>
  <r>
    <x v="0"/>
    <x v="0"/>
    <x v="0"/>
    <x v="7"/>
    <x v="17"/>
    <s v="SE3_GOT"/>
    <x v="1"/>
    <s v="GNR_HS_HEAT_WTR-TANK_LS_E-95_Y-2010"/>
    <n v="7.27295315126847E-2"/>
    <n v="0.26182631344566498"/>
  </r>
  <r>
    <x v="0"/>
    <x v="0"/>
    <x v="0"/>
    <x v="7"/>
    <x v="17"/>
    <s v="SE3_GOT"/>
    <x v="4"/>
    <s v="GBPR_MUNIWASTE_24"/>
    <n v="1.4819"/>
    <n v="5.3348399999999998"/>
  </r>
  <r>
    <x v="0"/>
    <x v="0"/>
    <x v="0"/>
    <x v="7"/>
    <x v="17"/>
    <s v="SE3_GOT"/>
    <x v="2"/>
    <s v="GHOB_WASTEHEAT"/>
    <n v="1.03583791208791"/>
    <n v="3.7290164835164701"/>
  </r>
  <r>
    <x v="0"/>
    <x v="0"/>
    <x v="0"/>
    <x v="7"/>
    <x v="17"/>
    <s v="SE3_GOT"/>
    <x v="8"/>
    <s v="GBPR_WOODWASTE_GOT"/>
    <n v="0.68776791959515304"/>
    <n v="2.4759645105425498"/>
  </r>
  <r>
    <x v="0"/>
    <x v="0"/>
    <x v="0"/>
    <x v="7"/>
    <x v="17"/>
    <s v="SE3_HP"/>
    <x v="4"/>
    <s v="GBPR_MUNIWASTE_24"/>
    <n v="1.21066777581608"/>
    <n v="4.3584039929378999"/>
  </r>
  <r>
    <x v="0"/>
    <x v="0"/>
    <x v="0"/>
    <x v="7"/>
    <x v="17"/>
    <s v="SE3_HP"/>
    <x v="2"/>
    <s v="GHOB_WASTEHEAT"/>
    <n v="3.0082417582417501E-5"/>
    <n v="1.08296703296703E-4"/>
  </r>
  <r>
    <x v="0"/>
    <x v="0"/>
    <x v="0"/>
    <x v="7"/>
    <x v="17"/>
    <s v="SE3_HP"/>
    <x v="8"/>
    <s v="GBPR_WOODWASTE_36"/>
    <n v="0.60330472854641004"/>
    <n v="2.17189702276707"/>
  </r>
  <r>
    <x v="0"/>
    <x v="0"/>
    <x v="0"/>
    <x v="7"/>
    <x v="17"/>
    <s v="SE3_HP"/>
    <x v="8"/>
    <s v="GEXT_WOODWASTE"/>
    <n v="1.95291120084864"/>
    <n v="7.0304803230551203"/>
  </r>
  <r>
    <x v="0"/>
    <x v="0"/>
    <x v="0"/>
    <x v="7"/>
    <x v="17"/>
    <s v="SE3_HP"/>
    <x v="8"/>
    <s v="GHOB_WOODWASTE"/>
    <n v="0.152438212371278"/>
    <n v="0.54877756453660198"/>
  </r>
  <r>
    <x v="0"/>
    <x v="0"/>
    <x v="0"/>
    <x v="7"/>
    <x v="17"/>
    <s v="SE3_OTHER"/>
    <x v="1"/>
    <s v="GNR_HS_HEAT_WTR-TANK_LS_E-95_Y-2010"/>
    <n v="0.73712652447678695"/>
    <n v="2.65365548811643"/>
  </r>
  <r>
    <x v="0"/>
    <x v="0"/>
    <x v="0"/>
    <x v="7"/>
    <x v="17"/>
    <s v="SE3_OTHER"/>
    <x v="4"/>
    <s v="GBPR_MUNIWASTE_24"/>
    <n v="1.0554889772443601"/>
    <n v="3.7997603180796902"/>
  </r>
  <r>
    <x v="0"/>
    <x v="0"/>
    <x v="0"/>
    <x v="7"/>
    <x v="17"/>
    <s v="SE3_OTHER"/>
    <x v="4"/>
    <s v="GHOB_MUNIWASTE"/>
    <n v="1.04156840809286"/>
    <n v="3.7496462691343"/>
  </r>
  <r>
    <x v="0"/>
    <x v="0"/>
    <x v="0"/>
    <x v="7"/>
    <x v="17"/>
    <s v="SE3_OTHER"/>
    <x v="16"/>
    <s v="GHOB_OTHERGAS"/>
    <n v="0.17519999999999999"/>
    <n v="0.63071999999999995"/>
  </r>
  <r>
    <x v="0"/>
    <x v="0"/>
    <x v="0"/>
    <x v="7"/>
    <x v="17"/>
    <s v="SE3_OTHER"/>
    <x v="2"/>
    <s v="GHOB_WASTEHEAT"/>
    <n v="1.18305324175824"/>
    <n v="4.2589916703296504"/>
  </r>
  <r>
    <x v="0"/>
    <x v="0"/>
    <x v="0"/>
    <x v="7"/>
    <x v="17"/>
    <s v="SE3_OTHER"/>
    <x v="8"/>
    <s v="GBPR_WOODWASTE_25"/>
    <n v="5.2336028805856403"/>
    <n v="18.840970370108298"/>
  </r>
  <r>
    <x v="0"/>
    <x v="0"/>
    <x v="0"/>
    <x v="7"/>
    <x v="17"/>
    <s v="SE3_OTHER"/>
    <x v="8"/>
    <s v="GHOB_WOODWASTE"/>
    <n v="3.1672876251861002"/>
    <n v="11.40223545067"/>
  </r>
  <r>
    <x v="0"/>
    <x v="0"/>
    <x v="0"/>
    <x v="7"/>
    <x v="17"/>
    <s v="SE3_STO"/>
    <x v="0"/>
    <s v="GBPR_COAL_VARTAN"/>
    <n v="1.5732345544439199"/>
    <n v="5.6636443959981104"/>
  </r>
  <r>
    <x v="0"/>
    <x v="0"/>
    <x v="0"/>
    <x v="7"/>
    <x v="17"/>
    <s v="SE3_STO"/>
    <x v="3"/>
    <s v="GETOH_HEATPUMP33"/>
    <n v="1.3112146652824599"/>
    <n v="4.7203727950168703"/>
  </r>
  <r>
    <x v="0"/>
    <x v="0"/>
    <x v="0"/>
    <x v="7"/>
    <x v="17"/>
    <s v="SE3_STO"/>
    <x v="4"/>
    <s v="GBPR_MUNIWASTE_HOGDALEN"/>
    <n v="1.04681879491479"/>
    <n v="3.7685476616932401"/>
  </r>
  <r>
    <x v="0"/>
    <x v="0"/>
    <x v="0"/>
    <x v="7"/>
    <x v="17"/>
    <s v="SE3_STO"/>
    <x v="4"/>
    <s v="GHOB_MUNIWASTE"/>
    <n v="0.99575446345552998"/>
    <n v="3.58471606843991"/>
  </r>
  <r>
    <x v="0"/>
    <x v="0"/>
    <x v="0"/>
    <x v="7"/>
    <x v="17"/>
    <s v="SE3_STO"/>
    <x v="8"/>
    <s v="GBPR_WOODWASTE"/>
    <n v="1.7357373747523801"/>
    <n v="6.2486545491085499"/>
  </r>
  <r>
    <x v="0"/>
    <x v="0"/>
    <x v="0"/>
    <x v="7"/>
    <x v="17"/>
    <s v="SE3_STO"/>
    <x v="8"/>
    <s v="GBPR_WOODWASTE_BRISTA"/>
    <n v="1.0720951471509199"/>
    <n v="3.8595425297433099"/>
  </r>
  <r>
    <x v="0"/>
    <x v="0"/>
    <x v="0"/>
    <x v="7"/>
    <x v="18"/>
    <s v="SE4_EL"/>
    <x v="3"/>
    <s v="GETOH_HEATPUMP1"/>
    <n v="0.103759779544651"/>
    <n v="0.373535206360745"/>
  </r>
  <r>
    <x v="0"/>
    <x v="0"/>
    <x v="0"/>
    <x v="7"/>
    <x v="18"/>
    <s v="SE4_EL"/>
    <x v="15"/>
    <s v="GBPR_RECYCLEDWOOD"/>
    <n v="0.410446970830248"/>
    <n v="1.47760909498889"/>
  </r>
  <r>
    <x v="0"/>
    <x v="0"/>
    <x v="0"/>
    <x v="7"/>
    <x v="18"/>
    <s v="SE4_EL"/>
    <x v="15"/>
    <s v="GBPR_RECYCLEDWOOD_SE4EL"/>
    <n v="4.0805258381667799E-2"/>
    <n v="0.14689893017400399"/>
  </r>
  <r>
    <x v="0"/>
    <x v="0"/>
    <x v="0"/>
    <x v="7"/>
    <x v="18"/>
    <s v="SE4_EL"/>
    <x v="15"/>
    <s v="GHOB_RECYCLEDWOOD"/>
    <n v="4.3306310332749502E-3"/>
    <n v="1.55902717197898E-2"/>
  </r>
  <r>
    <x v="0"/>
    <x v="0"/>
    <x v="0"/>
    <x v="7"/>
    <x v="18"/>
    <s v="SE4_EL"/>
    <x v="2"/>
    <s v="GHOB_WASTEHEAT"/>
    <n v="9.1249999999999595E-2"/>
    <n v="0.32849999999999902"/>
  </r>
  <r>
    <x v="0"/>
    <x v="0"/>
    <x v="0"/>
    <x v="7"/>
    <x v="18"/>
    <s v="SE4_EL"/>
    <x v="8"/>
    <s v="GHOB_WOODWASTE"/>
    <n v="0.48286536021015802"/>
    <n v="1.73831529675657"/>
  </r>
  <r>
    <x v="0"/>
    <x v="0"/>
    <x v="0"/>
    <x v="7"/>
    <x v="18"/>
    <s v="SE4_HP"/>
    <x v="3"/>
    <s v="GETOH_HEATPUMP1"/>
    <n v="0.2211024"/>
    <n v="0.79596864000000001"/>
  </r>
  <r>
    <x v="0"/>
    <x v="0"/>
    <x v="0"/>
    <x v="7"/>
    <x v="18"/>
    <s v="SE4_HP"/>
    <x v="1"/>
    <s v="GNR_HS_HEAT_WTR-TANK_LS_E-95_Y-2010"/>
    <n v="1.24554398744609E-2"/>
    <n v="4.4839583548059198E-2"/>
  </r>
  <r>
    <x v="0"/>
    <x v="0"/>
    <x v="0"/>
    <x v="7"/>
    <x v="18"/>
    <s v="SE4_HP"/>
    <x v="4"/>
    <s v="GBPR_MUNIWASTE_65"/>
    <n v="0.250285714285714"/>
    <n v="0.90102857142857096"/>
  </r>
  <r>
    <x v="0"/>
    <x v="0"/>
    <x v="0"/>
    <x v="7"/>
    <x v="18"/>
    <s v="SE4_HP"/>
    <x v="5"/>
    <s v="GBPR_NATGAS_100"/>
    <n v="0.169032079473833"/>
    <n v="0.60851548610579798"/>
  </r>
  <r>
    <x v="0"/>
    <x v="0"/>
    <x v="0"/>
    <x v="7"/>
    <x v="18"/>
    <s v="SE4_HP"/>
    <x v="5"/>
    <s v="GHOB_NATGAS"/>
    <n v="3.9061767964246701E-3"/>
    <n v="1.40622364671288E-2"/>
  </r>
  <r>
    <x v="0"/>
    <x v="0"/>
    <x v="0"/>
    <x v="7"/>
    <x v="18"/>
    <s v="SE4_HP"/>
    <x v="2"/>
    <s v="GHOB_WASTEHEAT"/>
    <n v="0.30282967032966901"/>
    <n v="1.09018681318681"/>
  </r>
  <r>
    <x v="0"/>
    <x v="0"/>
    <x v="0"/>
    <x v="7"/>
    <x v="18"/>
    <s v="SE4_HP"/>
    <x v="8"/>
    <s v="GHOB_WOODWASTE"/>
    <n v="0.140745508581436"/>
    <n v="0.50668383089317004"/>
  </r>
  <r>
    <x v="0"/>
    <x v="0"/>
    <x v="0"/>
    <x v="7"/>
    <x v="18"/>
    <s v="SE4_MAL"/>
    <x v="3"/>
    <s v="GETOH_HEATPUMP33"/>
    <n v="9.6360000000000005E-3"/>
    <n v="3.4689600000000001E-2"/>
  </r>
  <r>
    <x v="0"/>
    <x v="0"/>
    <x v="0"/>
    <x v="7"/>
    <x v="18"/>
    <s v="SE4_MAL"/>
    <x v="1"/>
    <s v="GNR_HS_HEAT_WTR-TANK_LS_E-95_Y-2010"/>
    <n v="7.0745343499587603E-3"/>
    <n v="2.5468323659851501E-2"/>
  </r>
  <r>
    <x v="0"/>
    <x v="0"/>
    <x v="0"/>
    <x v="7"/>
    <x v="18"/>
    <s v="SE4_MAL"/>
    <x v="4"/>
    <s v="GBPR_MUNIWASTE_24"/>
    <n v="0.92458673240184697"/>
    <n v="3.3285122366466502"/>
  </r>
  <r>
    <x v="0"/>
    <x v="0"/>
    <x v="0"/>
    <x v="7"/>
    <x v="18"/>
    <s v="SE4_MAL"/>
    <x v="4"/>
    <s v="GHOB_MUNIWASTE"/>
    <n v="0.42675191290951298"/>
    <n v="1.53630688647425"/>
  </r>
  <r>
    <x v="0"/>
    <x v="0"/>
    <x v="0"/>
    <x v="7"/>
    <x v="18"/>
    <s v="SE4_MAL"/>
    <x v="5"/>
    <s v="GBPR_NATGAS_MAL"/>
    <n v="0.15253519060134299"/>
    <n v="0.54912668616483495"/>
  </r>
  <r>
    <x v="0"/>
    <x v="0"/>
    <x v="0"/>
    <x v="7"/>
    <x v="18"/>
    <s v="SE4_MAL"/>
    <x v="2"/>
    <s v="GHOB_WASTEHEAT"/>
    <n v="0.108296703296703"/>
    <n v="0.38986813186813102"/>
  </r>
  <r>
    <x v="0"/>
    <x v="0"/>
    <x v="0"/>
    <x v="7"/>
    <x v="18"/>
    <s v="SE4_MAL"/>
    <x v="7"/>
    <s v="GHOB_WOODCHIPS"/>
    <n v="0.53632480470374999"/>
    <n v="1.9307692969335"/>
  </r>
  <r>
    <x v="0"/>
    <x v="0"/>
    <x v="0"/>
    <x v="7"/>
    <x v="18"/>
    <s v="SE4_OTHER"/>
    <x v="1"/>
    <s v="GNR_HS_HEAT_WTR-TANK_LS_E-95_Y-2010"/>
    <n v="0.26428748736179802"/>
    <n v="0.95143495450247195"/>
  </r>
  <r>
    <x v="0"/>
    <x v="0"/>
    <x v="0"/>
    <x v="7"/>
    <x v="18"/>
    <s v="SE4_OTHER"/>
    <x v="4"/>
    <s v="GBPR_MUNIWASTE_19"/>
    <n v="0.532070706791547"/>
    <n v="1.9154545444495701"/>
  </r>
  <r>
    <x v="0"/>
    <x v="0"/>
    <x v="0"/>
    <x v="7"/>
    <x v="18"/>
    <s v="SE4_OTHER"/>
    <x v="4"/>
    <s v="GHOB_MUNIWASTE"/>
    <n v="0.115258579144978"/>
    <n v="0.41493088492191998"/>
  </r>
  <r>
    <x v="0"/>
    <x v="0"/>
    <x v="0"/>
    <x v="7"/>
    <x v="18"/>
    <s v="SE4_OTHER"/>
    <x v="2"/>
    <s v="GHOB_WASTEHEAT"/>
    <n v="0.481388873626372"/>
    <n v="1.73299994505494"/>
  </r>
  <r>
    <x v="0"/>
    <x v="0"/>
    <x v="0"/>
    <x v="7"/>
    <x v="18"/>
    <s v="SE4_OTHER"/>
    <x v="8"/>
    <s v="GBPR_WOODWASTE_36"/>
    <n v="1.7021237408056"/>
    <n v="6.1276454669001703"/>
  </r>
  <r>
    <x v="0"/>
    <x v="0"/>
    <x v="0"/>
    <x v="7"/>
    <x v="18"/>
    <s v="SE4_OTHER"/>
    <x v="8"/>
    <s v="GHOB_WOODWASTE"/>
    <n v="2.0093149673873798"/>
    <n v="7.2335338825945801"/>
  </r>
</pivotCacheRecords>
</file>

<file path=xl/pivotCache/pivotCacheRecords15.xml><?xml version="1.0" encoding="utf-8"?>
<pivotCacheRecords xmlns="http://schemas.openxmlformats.org/spreadsheetml/2006/main" xmlns:r="http://schemas.openxmlformats.org/officeDocument/2006/relationships" count="27">
  <r>
    <x v="0"/>
    <x v="0"/>
    <x v="0"/>
    <x v="0"/>
    <x v="0"/>
    <x v="0"/>
    <x v="0"/>
    <x v="0"/>
    <x v="0"/>
    <x v="0"/>
  </r>
  <r>
    <x v="0"/>
    <x v="0"/>
    <x v="0"/>
    <x v="0"/>
    <x v="0"/>
    <x v="1"/>
    <x v="0"/>
    <x v="0"/>
    <x v="0"/>
    <x v="1"/>
  </r>
  <r>
    <x v="0"/>
    <x v="0"/>
    <x v="0"/>
    <x v="0"/>
    <x v="0"/>
    <x v="2"/>
    <x v="0"/>
    <x v="0"/>
    <x v="0"/>
    <x v="2"/>
  </r>
  <r>
    <x v="0"/>
    <x v="0"/>
    <x v="0"/>
    <x v="0"/>
    <x v="0"/>
    <x v="3"/>
    <x v="0"/>
    <x v="0"/>
    <x v="0"/>
    <x v="3"/>
  </r>
  <r>
    <x v="0"/>
    <x v="0"/>
    <x v="0"/>
    <x v="0"/>
    <x v="0"/>
    <x v="4"/>
    <x v="0"/>
    <x v="0"/>
    <x v="0"/>
    <x v="4"/>
  </r>
  <r>
    <x v="0"/>
    <x v="0"/>
    <x v="0"/>
    <x v="0"/>
    <x v="1"/>
    <x v="5"/>
    <x v="0"/>
    <x v="0"/>
    <x v="0"/>
    <x v="5"/>
  </r>
  <r>
    <x v="0"/>
    <x v="0"/>
    <x v="0"/>
    <x v="0"/>
    <x v="1"/>
    <x v="6"/>
    <x v="0"/>
    <x v="0"/>
    <x v="0"/>
    <x v="6"/>
  </r>
  <r>
    <x v="0"/>
    <x v="0"/>
    <x v="0"/>
    <x v="0"/>
    <x v="1"/>
    <x v="7"/>
    <x v="0"/>
    <x v="0"/>
    <x v="0"/>
    <x v="7"/>
  </r>
  <r>
    <x v="0"/>
    <x v="0"/>
    <x v="0"/>
    <x v="0"/>
    <x v="1"/>
    <x v="8"/>
    <x v="0"/>
    <x v="0"/>
    <x v="0"/>
    <x v="8"/>
  </r>
  <r>
    <x v="0"/>
    <x v="0"/>
    <x v="0"/>
    <x v="1"/>
    <x v="2"/>
    <x v="9"/>
    <x v="0"/>
    <x v="0"/>
    <x v="0"/>
    <x v="9"/>
  </r>
  <r>
    <x v="0"/>
    <x v="0"/>
    <x v="0"/>
    <x v="2"/>
    <x v="3"/>
    <x v="10"/>
    <x v="0"/>
    <x v="0"/>
    <x v="0"/>
    <x v="10"/>
  </r>
  <r>
    <x v="0"/>
    <x v="0"/>
    <x v="0"/>
    <x v="2"/>
    <x v="3"/>
    <x v="11"/>
    <x v="0"/>
    <x v="0"/>
    <x v="0"/>
    <x v="11"/>
  </r>
  <r>
    <x v="0"/>
    <x v="0"/>
    <x v="0"/>
    <x v="2"/>
    <x v="3"/>
    <x v="12"/>
    <x v="0"/>
    <x v="0"/>
    <x v="0"/>
    <x v="12"/>
  </r>
  <r>
    <x v="0"/>
    <x v="0"/>
    <x v="0"/>
    <x v="3"/>
    <x v="4"/>
    <x v="13"/>
    <x v="0"/>
    <x v="0"/>
    <x v="0"/>
    <x v="13"/>
  </r>
  <r>
    <x v="0"/>
    <x v="0"/>
    <x v="0"/>
    <x v="3"/>
    <x v="5"/>
    <x v="14"/>
    <x v="0"/>
    <x v="0"/>
    <x v="0"/>
    <x v="14"/>
  </r>
  <r>
    <x v="0"/>
    <x v="0"/>
    <x v="0"/>
    <x v="3"/>
    <x v="6"/>
    <x v="15"/>
    <x v="0"/>
    <x v="0"/>
    <x v="0"/>
    <x v="15"/>
  </r>
  <r>
    <x v="0"/>
    <x v="0"/>
    <x v="0"/>
    <x v="3"/>
    <x v="7"/>
    <x v="16"/>
    <x v="0"/>
    <x v="0"/>
    <x v="0"/>
    <x v="16"/>
  </r>
  <r>
    <x v="0"/>
    <x v="0"/>
    <x v="0"/>
    <x v="4"/>
    <x v="8"/>
    <x v="17"/>
    <x v="0"/>
    <x v="0"/>
    <x v="0"/>
    <x v="17"/>
  </r>
  <r>
    <x v="0"/>
    <x v="0"/>
    <x v="0"/>
    <x v="4"/>
    <x v="8"/>
    <x v="18"/>
    <x v="0"/>
    <x v="0"/>
    <x v="0"/>
    <x v="18"/>
  </r>
  <r>
    <x v="0"/>
    <x v="0"/>
    <x v="0"/>
    <x v="4"/>
    <x v="9"/>
    <x v="19"/>
    <x v="0"/>
    <x v="0"/>
    <x v="0"/>
    <x v="19"/>
  </r>
  <r>
    <x v="0"/>
    <x v="0"/>
    <x v="0"/>
    <x v="5"/>
    <x v="10"/>
    <x v="20"/>
    <x v="0"/>
    <x v="0"/>
    <x v="0"/>
    <x v="20"/>
  </r>
  <r>
    <x v="0"/>
    <x v="0"/>
    <x v="0"/>
    <x v="5"/>
    <x v="11"/>
    <x v="21"/>
    <x v="0"/>
    <x v="0"/>
    <x v="0"/>
    <x v="21"/>
  </r>
  <r>
    <x v="0"/>
    <x v="0"/>
    <x v="0"/>
    <x v="5"/>
    <x v="11"/>
    <x v="22"/>
    <x v="0"/>
    <x v="0"/>
    <x v="0"/>
    <x v="22"/>
  </r>
  <r>
    <x v="0"/>
    <x v="0"/>
    <x v="0"/>
    <x v="5"/>
    <x v="11"/>
    <x v="23"/>
    <x v="0"/>
    <x v="0"/>
    <x v="0"/>
    <x v="23"/>
  </r>
  <r>
    <x v="0"/>
    <x v="0"/>
    <x v="0"/>
    <x v="5"/>
    <x v="12"/>
    <x v="24"/>
    <x v="0"/>
    <x v="0"/>
    <x v="0"/>
    <x v="24"/>
  </r>
  <r>
    <x v="0"/>
    <x v="0"/>
    <x v="0"/>
    <x v="5"/>
    <x v="12"/>
    <x v="25"/>
    <x v="0"/>
    <x v="0"/>
    <x v="0"/>
    <x v="25"/>
  </r>
  <r>
    <x v="0"/>
    <x v="0"/>
    <x v="0"/>
    <x v="5"/>
    <x v="12"/>
    <x v="26"/>
    <x v="0"/>
    <x v="0"/>
    <x v="0"/>
    <x v="26"/>
  </r>
</pivotCacheRecords>
</file>

<file path=xl/pivotCache/pivotCacheRecords16.xml><?xml version="1.0" encoding="utf-8"?>
<pivotCacheRecords xmlns="http://schemas.openxmlformats.org/spreadsheetml/2006/main" xmlns:r="http://schemas.openxmlformats.org/officeDocument/2006/relationships" count="2322">
  <r>
    <x v="0"/>
    <x v="0"/>
    <x v="0"/>
    <x v="0"/>
    <s v="FinA"/>
    <x v="0"/>
    <s v="GCND_COAL3"/>
    <x v="0"/>
    <x v="0"/>
  </r>
  <r>
    <x v="0"/>
    <x v="1"/>
    <x v="0"/>
    <x v="0"/>
    <s v="FinA"/>
    <x v="0"/>
    <s v="GCND_COAL3"/>
    <x v="0"/>
    <x v="0"/>
  </r>
  <r>
    <x v="0"/>
    <x v="0"/>
    <x v="0"/>
    <x v="0"/>
    <s v="FinA"/>
    <x v="1"/>
    <s v="GCND_FUELOIL1"/>
    <x v="0"/>
    <x v="0"/>
  </r>
  <r>
    <x v="0"/>
    <x v="0"/>
    <x v="1"/>
    <x v="1"/>
    <s v="SE1A"/>
    <x v="1"/>
    <s v="GCND_FUELOIL1"/>
    <x v="0"/>
    <x v="0"/>
  </r>
  <r>
    <x v="0"/>
    <x v="0"/>
    <x v="1"/>
    <x v="2"/>
    <s v="SE2A"/>
    <x v="1"/>
    <s v="GCND_FUELOIL1"/>
    <x v="0"/>
    <x v="0"/>
  </r>
  <r>
    <x v="0"/>
    <x v="0"/>
    <x v="1"/>
    <x v="3"/>
    <s v="SE3A"/>
    <x v="1"/>
    <s v="GCND_FUELOIL1"/>
    <x v="0"/>
    <x v="0"/>
  </r>
  <r>
    <x v="0"/>
    <x v="0"/>
    <x v="1"/>
    <x v="4"/>
    <s v="SE4A"/>
    <x v="1"/>
    <s v="GCND_FUELOIL1"/>
    <x v="0"/>
    <x v="0"/>
  </r>
  <r>
    <x v="0"/>
    <x v="1"/>
    <x v="0"/>
    <x v="0"/>
    <s v="FinA"/>
    <x v="1"/>
    <s v="GCND_FUELOIL1"/>
    <x v="0"/>
    <x v="0"/>
  </r>
  <r>
    <x v="0"/>
    <x v="1"/>
    <x v="1"/>
    <x v="1"/>
    <s v="SE1A"/>
    <x v="1"/>
    <s v="GCND_FUELOIL1"/>
    <x v="0"/>
    <x v="0"/>
  </r>
  <r>
    <x v="0"/>
    <x v="1"/>
    <x v="1"/>
    <x v="2"/>
    <s v="SE2A"/>
    <x v="1"/>
    <s v="GCND_FUELOIL1"/>
    <x v="0"/>
    <x v="0"/>
  </r>
  <r>
    <x v="0"/>
    <x v="1"/>
    <x v="1"/>
    <x v="3"/>
    <s v="SE3A"/>
    <x v="1"/>
    <s v="GCND_FUELOIL1"/>
    <x v="0"/>
    <x v="0"/>
  </r>
  <r>
    <x v="0"/>
    <x v="1"/>
    <x v="1"/>
    <x v="4"/>
    <s v="SE4A"/>
    <x v="1"/>
    <s v="GCND_FUELOIL1"/>
    <x v="0"/>
    <x v="0"/>
  </r>
  <r>
    <x v="0"/>
    <x v="2"/>
    <x v="0"/>
    <x v="0"/>
    <s v="FinA"/>
    <x v="1"/>
    <s v="GCND_FUELOIL1"/>
    <x v="0"/>
    <x v="0"/>
  </r>
  <r>
    <x v="0"/>
    <x v="2"/>
    <x v="1"/>
    <x v="1"/>
    <s v="SE1A"/>
    <x v="1"/>
    <s v="GCND_FUELOIL1"/>
    <x v="0"/>
    <x v="0"/>
  </r>
  <r>
    <x v="0"/>
    <x v="2"/>
    <x v="1"/>
    <x v="2"/>
    <s v="SE2A"/>
    <x v="1"/>
    <s v="GCND_FUELOIL1"/>
    <x v="0"/>
    <x v="0"/>
  </r>
  <r>
    <x v="0"/>
    <x v="2"/>
    <x v="1"/>
    <x v="3"/>
    <s v="SE3A"/>
    <x v="1"/>
    <s v="GCND_FUELOIL1"/>
    <x v="0"/>
    <x v="0"/>
  </r>
  <r>
    <x v="0"/>
    <x v="2"/>
    <x v="1"/>
    <x v="4"/>
    <s v="SE4A"/>
    <x v="1"/>
    <s v="GCND_FUELOIL1"/>
    <x v="0"/>
    <x v="0"/>
  </r>
  <r>
    <x v="0"/>
    <x v="0"/>
    <x v="0"/>
    <x v="0"/>
    <s v="FinA"/>
    <x v="1"/>
    <s v="GCND_FUELOIL2"/>
    <x v="0"/>
    <x v="0"/>
  </r>
  <r>
    <x v="0"/>
    <x v="0"/>
    <x v="1"/>
    <x v="1"/>
    <s v="SE1A"/>
    <x v="1"/>
    <s v="GCND_FUELOIL2"/>
    <x v="0"/>
    <x v="0"/>
  </r>
  <r>
    <x v="0"/>
    <x v="0"/>
    <x v="1"/>
    <x v="2"/>
    <s v="SE2A"/>
    <x v="1"/>
    <s v="GCND_FUELOIL2"/>
    <x v="0"/>
    <x v="0"/>
  </r>
  <r>
    <x v="0"/>
    <x v="0"/>
    <x v="1"/>
    <x v="3"/>
    <s v="SE3A"/>
    <x v="1"/>
    <s v="GCND_FUELOIL2"/>
    <x v="0"/>
    <x v="0"/>
  </r>
  <r>
    <x v="0"/>
    <x v="0"/>
    <x v="1"/>
    <x v="4"/>
    <s v="SE4A"/>
    <x v="1"/>
    <s v="GCND_FUELOIL2"/>
    <x v="0"/>
    <x v="0"/>
  </r>
  <r>
    <x v="0"/>
    <x v="1"/>
    <x v="0"/>
    <x v="0"/>
    <s v="FinA"/>
    <x v="1"/>
    <s v="GCND_FUELOIL2"/>
    <x v="0"/>
    <x v="0"/>
  </r>
  <r>
    <x v="0"/>
    <x v="1"/>
    <x v="1"/>
    <x v="1"/>
    <s v="SE1A"/>
    <x v="1"/>
    <s v="GCND_FUELOIL2"/>
    <x v="0"/>
    <x v="0"/>
  </r>
  <r>
    <x v="0"/>
    <x v="1"/>
    <x v="1"/>
    <x v="2"/>
    <s v="SE2A"/>
    <x v="1"/>
    <s v="GCND_FUELOIL2"/>
    <x v="0"/>
    <x v="0"/>
  </r>
  <r>
    <x v="0"/>
    <x v="1"/>
    <x v="1"/>
    <x v="3"/>
    <s v="SE3A"/>
    <x v="1"/>
    <s v="GCND_FUELOIL2"/>
    <x v="0"/>
    <x v="0"/>
  </r>
  <r>
    <x v="0"/>
    <x v="1"/>
    <x v="1"/>
    <x v="4"/>
    <s v="SE4A"/>
    <x v="1"/>
    <s v="GCND_FUELOIL2"/>
    <x v="0"/>
    <x v="0"/>
  </r>
  <r>
    <x v="0"/>
    <x v="2"/>
    <x v="0"/>
    <x v="0"/>
    <s v="FinA"/>
    <x v="1"/>
    <s v="GCND_FUELOIL2"/>
    <x v="0"/>
    <x v="0"/>
  </r>
  <r>
    <x v="0"/>
    <x v="2"/>
    <x v="1"/>
    <x v="1"/>
    <s v="SE1A"/>
    <x v="1"/>
    <s v="GCND_FUELOIL2"/>
    <x v="0"/>
    <x v="0"/>
  </r>
  <r>
    <x v="0"/>
    <x v="2"/>
    <x v="1"/>
    <x v="2"/>
    <s v="SE2A"/>
    <x v="1"/>
    <s v="GCND_FUELOIL2"/>
    <x v="0"/>
    <x v="0"/>
  </r>
  <r>
    <x v="0"/>
    <x v="2"/>
    <x v="1"/>
    <x v="3"/>
    <s v="SE3A"/>
    <x v="1"/>
    <s v="GCND_FUELOIL2"/>
    <x v="0"/>
    <x v="0"/>
  </r>
  <r>
    <x v="0"/>
    <x v="2"/>
    <x v="1"/>
    <x v="4"/>
    <s v="SE4A"/>
    <x v="1"/>
    <s v="GCND_FUELOIL2"/>
    <x v="0"/>
    <x v="0"/>
  </r>
  <r>
    <x v="0"/>
    <x v="0"/>
    <x v="0"/>
    <x v="0"/>
    <s v="FinA"/>
    <x v="1"/>
    <s v="GCND_FUELOIL3"/>
    <x v="0"/>
    <x v="0"/>
  </r>
  <r>
    <x v="0"/>
    <x v="0"/>
    <x v="1"/>
    <x v="1"/>
    <s v="SE1A"/>
    <x v="1"/>
    <s v="GCND_FUELOIL3"/>
    <x v="0"/>
    <x v="0"/>
  </r>
  <r>
    <x v="0"/>
    <x v="0"/>
    <x v="1"/>
    <x v="2"/>
    <s v="SE2A"/>
    <x v="1"/>
    <s v="GCND_FUELOIL3"/>
    <x v="0"/>
    <x v="0"/>
  </r>
  <r>
    <x v="0"/>
    <x v="0"/>
    <x v="1"/>
    <x v="3"/>
    <s v="SE3A"/>
    <x v="1"/>
    <s v="GCND_FUELOIL3"/>
    <x v="0"/>
    <x v="0"/>
  </r>
  <r>
    <x v="0"/>
    <x v="0"/>
    <x v="1"/>
    <x v="4"/>
    <s v="SE4A"/>
    <x v="1"/>
    <s v="GCND_FUELOIL3"/>
    <x v="0"/>
    <x v="0"/>
  </r>
  <r>
    <x v="0"/>
    <x v="1"/>
    <x v="0"/>
    <x v="0"/>
    <s v="FinA"/>
    <x v="1"/>
    <s v="GCND_FUELOIL3"/>
    <x v="0"/>
    <x v="0"/>
  </r>
  <r>
    <x v="0"/>
    <x v="1"/>
    <x v="1"/>
    <x v="1"/>
    <s v="SE1A"/>
    <x v="1"/>
    <s v="GCND_FUELOIL3"/>
    <x v="0"/>
    <x v="0"/>
  </r>
  <r>
    <x v="0"/>
    <x v="1"/>
    <x v="1"/>
    <x v="2"/>
    <s v="SE2A"/>
    <x v="1"/>
    <s v="GCND_FUELOIL3"/>
    <x v="0"/>
    <x v="0"/>
  </r>
  <r>
    <x v="0"/>
    <x v="1"/>
    <x v="1"/>
    <x v="3"/>
    <s v="SE3A"/>
    <x v="1"/>
    <s v="GCND_FUELOIL3"/>
    <x v="0"/>
    <x v="0"/>
  </r>
  <r>
    <x v="0"/>
    <x v="1"/>
    <x v="1"/>
    <x v="4"/>
    <s v="SE4A"/>
    <x v="1"/>
    <s v="GCND_FUELOIL3"/>
    <x v="0"/>
    <x v="0"/>
  </r>
  <r>
    <x v="0"/>
    <x v="2"/>
    <x v="0"/>
    <x v="0"/>
    <s v="FinA"/>
    <x v="1"/>
    <s v="GCND_FUELOIL3"/>
    <x v="0"/>
    <x v="0"/>
  </r>
  <r>
    <x v="0"/>
    <x v="2"/>
    <x v="1"/>
    <x v="1"/>
    <s v="SE1A"/>
    <x v="1"/>
    <s v="GCND_FUELOIL3"/>
    <x v="0"/>
    <x v="0"/>
  </r>
  <r>
    <x v="0"/>
    <x v="2"/>
    <x v="1"/>
    <x v="2"/>
    <s v="SE2A"/>
    <x v="1"/>
    <s v="GCND_FUELOIL3"/>
    <x v="0"/>
    <x v="0"/>
  </r>
  <r>
    <x v="0"/>
    <x v="2"/>
    <x v="1"/>
    <x v="3"/>
    <s v="SE3A"/>
    <x v="1"/>
    <s v="GCND_FUELOIL3"/>
    <x v="0"/>
    <x v="0"/>
  </r>
  <r>
    <x v="0"/>
    <x v="2"/>
    <x v="1"/>
    <x v="4"/>
    <s v="SE4A"/>
    <x v="1"/>
    <s v="GCND_FUELOIL3"/>
    <x v="0"/>
    <x v="0"/>
  </r>
  <r>
    <x v="0"/>
    <x v="0"/>
    <x v="0"/>
    <x v="0"/>
    <s v="FinA"/>
    <x v="2"/>
    <s v="GCND_NATGAS1"/>
    <x v="0"/>
    <x v="0"/>
  </r>
  <r>
    <x v="0"/>
    <x v="1"/>
    <x v="0"/>
    <x v="0"/>
    <s v="FinA"/>
    <x v="2"/>
    <s v="GCND_NATGAS1"/>
    <x v="0"/>
    <x v="0"/>
  </r>
  <r>
    <x v="0"/>
    <x v="2"/>
    <x v="0"/>
    <x v="0"/>
    <s v="FinA"/>
    <x v="2"/>
    <s v="GCND_NATGAS1"/>
    <x v="0"/>
    <x v="0"/>
  </r>
  <r>
    <x v="0"/>
    <x v="0"/>
    <x v="0"/>
    <x v="0"/>
    <s v="FinA"/>
    <x v="2"/>
    <s v="GCND_NATGAS2"/>
    <x v="0"/>
    <x v="0"/>
  </r>
  <r>
    <x v="0"/>
    <x v="1"/>
    <x v="0"/>
    <x v="0"/>
    <s v="FinA"/>
    <x v="2"/>
    <s v="GCND_NATGAS2"/>
    <x v="0"/>
    <x v="0"/>
  </r>
  <r>
    <x v="0"/>
    <x v="2"/>
    <x v="0"/>
    <x v="0"/>
    <s v="FinA"/>
    <x v="2"/>
    <s v="GCND_NATGAS2"/>
    <x v="0"/>
    <x v="0"/>
  </r>
  <r>
    <x v="0"/>
    <x v="0"/>
    <x v="0"/>
    <x v="0"/>
    <s v="FinA"/>
    <x v="2"/>
    <s v="GCND_NATGAS3"/>
    <x v="0"/>
    <x v="0"/>
  </r>
  <r>
    <x v="0"/>
    <x v="1"/>
    <x v="0"/>
    <x v="0"/>
    <s v="FinA"/>
    <x v="2"/>
    <s v="GCND_NATGAS3"/>
    <x v="0"/>
    <x v="0"/>
  </r>
  <r>
    <x v="0"/>
    <x v="2"/>
    <x v="0"/>
    <x v="0"/>
    <s v="FinA"/>
    <x v="2"/>
    <s v="GCND_NATGAS3"/>
    <x v="0"/>
    <x v="0"/>
  </r>
  <r>
    <x v="0"/>
    <x v="0"/>
    <x v="0"/>
    <x v="0"/>
    <s v="FinA"/>
    <x v="2"/>
    <s v="GCND_NATGAS4"/>
    <x v="0"/>
    <x v="0"/>
  </r>
  <r>
    <x v="0"/>
    <x v="0"/>
    <x v="2"/>
    <x v="5"/>
    <s v="NO3_A1"/>
    <x v="2"/>
    <s v="GCND_NATGAS4"/>
    <x v="0"/>
    <x v="0"/>
  </r>
  <r>
    <x v="0"/>
    <x v="1"/>
    <x v="2"/>
    <x v="5"/>
    <s v="NO3_A1"/>
    <x v="2"/>
    <s v="GCND_NATGAS4"/>
    <x v="0"/>
    <x v="0"/>
  </r>
  <r>
    <x v="0"/>
    <x v="2"/>
    <x v="2"/>
    <x v="5"/>
    <s v="NO3_A1"/>
    <x v="2"/>
    <s v="GCND_NATGAS4"/>
    <x v="0"/>
    <x v="0"/>
  </r>
  <r>
    <x v="0"/>
    <x v="0"/>
    <x v="0"/>
    <x v="0"/>
    <s v="FinA"/>
    <x v="3"/>
    <s v="GCND_NUCLEAR"/>
    <x v="0"/>
    <x v="0"/>
  </r>
  <r>
    <x v="0"/>
    <x v="0"/>
    <x v="1"/>
    <x v="3"/>
    <s v="SE3A"/>
    <x v="3"/>
    <s v="GCND_NUCLEAR"/>
    <x v="0"/>
    <x v="0"/>
  </r>
  <r>
    <x v="0"/>
    <x v="1"/>
    <x v="0"/>
    <x v="0"/>
    <s v="FinA"/>
    <x v="3"/>
    <s v="GCND_NUCLEAR"/>
    <x v="0"/>
    <x v="0"/>
  </r>
  <r>
    <x v="0"/>
    <x v="1"/>
    <x v="1"/>
    <x v="3"/>
    <s v="SE3A"/>
    <x v="3"/>
    <s v="GCND_NUCLEAR"/>
    <x v="0"/>
    <x v="0"/>
  </r>
  <r>
    <x v="0"/>
    <x v="2"/>
    <x v="0"/>
    <x v="0"/>
    <s v="FinA"/>
    <x v="3"/>
    <s v="GCND_NUCLEAR"/>
    <x v="0"/>
    <x v="0"/>
  </r>
  <r>
    <x v="0"/>
    <x v="2"/>
    <x v="1"/>
    <x v="3"/>
    <s v="SE3A"/>
    <x v="3"/>
    <s v="GCND_NUCLEAR"/>
    <x v="0"/>
    <x v="0"/>
  </r>
  <r>
    <x v="0"/>
    <x v="0"/>
    <x v="0"/>
    <x v="0"/>
    <s v="FinA"/>
    <x v="4"/>
    <s v="GCND_COFIRING"/>
    <x v="0"/>
    <x v="0"/>
  </r>
  <r>
    <x v="0"/>
    <x v="1"/>
    <x v="0"/>
    <x v="0"/>
    <s v="FinA"/>
    <x v="4"/>
    <s v="GCND_COFIRING"/>
    <x v="0"/>
    <x v="0"/>
  </r>
  <r>
    <x v="0"/>
    <x v="2"/>
    <x v="0"/>
    <x v="0"/>
    <s v="FinA"/>
    <x v="4"/>
    <s v="GCND_COFIRING"/>
    <x v="0"/>
    <x v="0"/>
  </r>
  <r>
    <x v="0"/>
    <x v="0"/>
    <x v="0"/>
    <x v="0"/>
    <s v="FinA"/>
    <x v="5"/>
    <s v="GCND_PEAT"/>
    <x v="0"/>
    <x v="0"/>
  </r>
  <r>
    <x v="0"/>
    <x v="1"/>
    <x v="0"/>
    <x v="0"/>
    <s v="FinA"/>
    <x v="5"/>
    <s v="GCND_PEAT"/>
    <x v="0"/>
    <x v="0"/>
  </r>
  <r>
    <x v="0"/>
    <x v="2"/>
    <x v="0"/>
    <x v="0"/>
    <s v="FinA"/>
    <x v="5"/>
    <s v="GCND_PEAT"/>
    <x v="0"/>
    <x v="0"/>
  </r>
  <r>
    <x v="0"/>
    <x v="0"/>
    <x v="0"/>
    <x v="0"/>
    <s v="FinA"/>
    <x v="6"/>
    <s v="GCND_WOODCHIPS"/>
    <x v="0"/>
    <x v="0"/>
  </r>
  <r>
    <x v="0"/>
    <x v="1"/>
    <x v="0"/>
    <x v="0"/>
    <s v="FinA"/>
    <x v="6"/>
    <s v="GCND_WOODCHIPS"/>
    <x v="0"/>
    <x v="0"/>
  </r>
  <r>
    <x v="0"/>
    <x v="2"/>
    <x v="0"/>
    <x v="0"/>
    <s v="FinA"/>
    <x v="6"/>
    <s v="GCND_WOODCHIPS"/>
    <x v="0"/>
    <x v="0"/>
  </r>
  <r>
    <x v="0"/>
    <x v="0"/>
    <x v="0"/>
    <x v="0"/>
    <s v="FinA"/>
    <x v="1"/>
    <s v="Back-up-power"/>
    <x v="0"/>
    <x v="0"/>
  </r>
  <r>
    <x v="0"/>
    <x v="0"/>
    <x v="1"/>
    <x v="1"/>
    <s v="SE1A"/>
    <x v="1"/>
    <s v="Back-up-power"/>
    <x v="0"/>
    <x v="0"/>
  </r>
  <r>
    <x v="0"/>
    <x v="0"/>
    <x v="1"/>
    <x v="2"/>
    <s v="SE2A"/>
    <x v="1"/>
    <s v="Back-up-power"/>
    <x v="0"/>
    <x v="0"/>
  </r>
  <r>
    <x v="0"/>
    <x v="0"/>
    <x v="1"/>
    <x v="3"/>
    <s v="SE3A"/>
    <x v="1"/>
    <s v="Back-up-power"/>
    <x v="0"/>
    <x v="0"/>
  </r>
  <r>
    <x v="0"/>
    <x v="0"/>
    <x v="1"/>
    <x v="4"/>
    <s v="SE4A"/>
    <x v="1"/>
    <s v="Back-up-power"/>
    <x v="0"/>
    <x v="0"/>
  </r>
  <r>
    <x v="0"/>
    <x v="1"/>
    <x v="0"/>
    <x v="0"/>
    <s v="FinA"/>
    <x v="1"/>
    <s v="Back-up-power"/>
    <x v="0"/>
    <x v="0"/>
  </r>
  <r>
    <x v="0"/>
    <x v="1"/>
    <x v="1"/>
    <x v="1"/>
    <s v="SE1A"/>
    <x v="1"/>
    <s v="Back-up-power"/>
    <x v="0"/>
    <x v="0"/>
  </r>
  <r>
    <x v="0"/>
    <x v="1"/>
    <x v="1"/>
    <x v="2"/>
    <s v="SE2A"/>
    <x v="1"/>
    <s v="Back-up-power"/>
    <x v="0"/>
    <x v="0"/>
  </r>
  <r>
    <x v="0"/>
    <x v="1"/>
    <x v="1"/>
    <x v="3"/>
    <s v="SE3A"/>
    <x v="1"/>
    <s v="Back-up-power"/>
    <x v="0"/>
    <x v="0"/>
  </r>
  <r>
    <x v="0"/>
    <x v="1"/>
    <x v="1"/>
    <x v="4"/>
    <s v="SE4A"/>
    <x v="1"/>
    <s v="Back-up-power"/>
    <x v="0"/>
    <x v="0"/>
  </r>
  <r>
    <x v="0"/>
    <x v="2"/>
    <x v="0"/>
    <x v="0"/>
    <s v="FinA"/>
    <x v="1"/>
    <s v="Back-up-power"/>
    <x v="0"/>
    <x v="0"/>
  </r>
  <r>
    <x v="0"/>
    <x v="2"/>
    <x v="1"/>
    <x v="1"/>
    <s v="SE1A"/>
    <x v="1"/>
    <s v="Back-up-power"/>
    <x v="0"/>
    <x v="0"/>
  </r>
  <r>
    <x v="0"/>
    <x v="2"/>
    <x v="1"/>
    <x v="2"/>
    <s v="SE2A"/>
    <x v="1"/>
    <s v="Back-up-power"/>
    <x v="0"/>
    <x v="0"/>
  </r>
  <r>
    <x v="0"/>
    <x v="2"/>
    <x v="1"/>
    <x v="3"/>
    <s v="SE3A"/>
    <x v="1"/>
    <s v="Back-up-power"/>
    <x v="0"/>
    <x v="0"/>
  </r>
  <r>
    <x v="0"/>
    <x v="2"/>
    <x v="1"/>
    <x v="4"/>
    <s v="SE4A"/>
    <x v="1"/>
    <s v="Back-up-power"/>
    <x v="0"/>
    <x v="0"/>
  </r>
  <r>
    <x v="0"/>
    <x v="0"/>
    <x v="1"/>
    <x v="3"/>
    <s v="SE3_EL"/>
    <x v="0"/>
    <s v="GEXT_COAL_LINK"/>
    <x v="0"/>
    <x v="0"/>
  </r>
  <r>
    <x v="0"/>
    <x v="1"/>
    <x v="1"/>
    <x v="3"/>
    <s v="SE3_EL"/>
    <x v="0"/>
    <s v="GEXT_COAL_LINK"/>
    <x v="0"/>
    <x v="0"/>
  </r>
  <r>
    <x v="0"/>
    <x v="2"/>
    <x v="1"/>
    <x v="3"/>
    <s v="SE3_EL"/>
    <x v="0"/>
    <s v="GEXT_COAL_LINK"/>
    <x v="0"/>
    <x v="0"/>
  </r>
  <r>
    <x v="0"/>
    <x v="0"/>
    <x v="0"/>
    <x v="0"/>
    <s v="FIN_EL"/>
    <x v="0"/>
    <s v="GEXT_COAL_KYMIJARVI"/>
    <x v="0"/>
    <x v="0"/>
  </r>
  <r>
    <x v="0"/>
    <x v="1"/>
    <x v="0"/>
    <x v="0"/>
    <s v="FIN_EL"/>
    <x v="0"/>
    <s v="GEXT_COAL_KYMIJARVI"/>
    <x v="0"/>
    <x v="0"/>
  </r>
  <r>
    <x v="0"/>
    <x v="2"/>
    <x v="0"/>
    <x v="0"/>
    <s v="FIN_EL"/>
    <x v="0"/>
    <s v="GEXT_COAL_KYMIJARVI"/>
    <x v="0"/>
    <x v="0"/>
  </r>
  <r>
    <x v="0"/>
    <x v="0"/>
    <x v="1"/>
    <x v="4"/>
    <s v="SE4_MAL"/>
    <x v="2"/>
    <s v="GEXT_NATGAS_ORESUND"/>
    <x v="0"/>
    <x v="0"/>
  </r>
  <r>
    <x v="0"/>
    <x v="1"/>
    <x v="1"/>
    <x v="4"/>
    <s v="SE4_MAL"/>
    <x v="2"/>
    <s v="GEXT_NATGAS_ORESUND"/>
    <x v="0"/>
    <x v="0"/>
  </r>
  <r>
    <x v="0"/>
    <x v="2"/>
    <x v="1"/>
    <x v="4"/>
    <s v="SE4_MAL"/>
    <x v="2"/>
    <s v="GEXT_NATGAS_ORESUND"/>
    <x v="0"/>
    <x v="0"/>
  </r>
  <r>
    <x v="0"/>
    <x v="0"/>
    <x v="0"/>
    <x v="0"/>
    <s v="FIN_GAS"/>
    <x v="2"/>
    <s v="GEXT_NATGAS_NOKIA"/>
    <x v="0"/>
    <x v="0"/>
  </r>
  <r>
    <x v="0"/>
    <x v="1"/>
    <x v="0"/>
    <x v="0"/>
    <s v="FIN_GAS"/>
    <x v="2"/>
    <s v="GEXT_NATGAS_NOKIA"/>
    <x v="0"/>
    <x v="0"/>
  </r>
  <r>
    <x v="0"/>
    <x v="2"/>
    <x v="0"/>
    <x v="0"/>
    <s v="FIN_GAS"/>
    <x v="2"/>
    <s v="GEXT_NATGAS_NOKIA"/>
    <x v="0"/>
    <x v="0"/>
  </r>
  <r>
    <x v="0"/>
    <x v="0"/>
    <x v="0"/>
    <x v="0"/>
    <s v="FIN_EL"/>
    <x v="2"/>
    <s v="GEXT_NATGAS_MERTANIEMI"/>
    <x v="0"/>
    <x v="0"/>
  </r>
  <r>
    <x v="0"/>
    <x v="1"/>
    <x v="0"/>
    <x v="0"/>
    <s v="FIN_EL"/>
    <x v="2"/>
    <s v="GEXT_NATGAS_MERTANIEMI"/>
    <x v="0"/>
    <x v="0"/>
  </r>
  <r>
    <x v="0"/>
    <x v="2"/>
    <x v="0"/>
    <x v="0"/>
    <s v="FIN_EL"/>
    <x v="2"/>
    <s v="GEXT_NATGAS_MERTANIEMI"/>
    <x v="0"/>
    <x v="0"/>
  </r>
  <r>
    <x v="0"/>
    <x v="0"/>
    <x v="0"/>
    <x v="0"/>
    <s v="FIN_TAMP"/>
    <x v="2"/>
    <s v="GEXT_NATGAS_TAMPERE"/>
    <x v="0"/>
    <x v="0"/>
  </r>
  <r>
    <x v="0"/>
    <x v="1"/>
    <x v="0"/>
    <x v="0"/>
    <s v="FIN_TAMP"/>
    <x v="2"/>
    <s v="GEXT_NATGAS_TAMPERE"/>
    <x v="0"/>
    <x v="0"/>
  </r>
  <r>
    <x v="0"/>
    <x v="2"/>
    <x v="0"/>
    <x v="0"/>
    <s v="FIN_TAMP"/>
    <x v="2"/>
    <s v="GEXT_NATGAS_TAMPERE"/>
    <x v="0"/>
    <x v="0"/>
  </r>
  <r>
    <x v="0"/>
    <x v="0"/>
    <x v="0"/>
    <x v="0"/>
    <s v="FIN_HELS"/>
    <x v="2"/>
    <s v="GEXT_NATGAS_VOUSAARI"/>
    <x v="0"/>
    <x v="0"/>
  </r>
  <r>
    <x v="0"/>
    <x v="1"/>
    <x v="0"/>
    <x v="0"/>
    <s v="FIN_HELS"/>
    <x v="2"/>
    <s v="GEXT_NATGAS_VOUSAARI"/>
    <x v="0"/>
    <x v="0"/>
  </r>
  <r>
    <x v="0"/>
    <x v="2"/>
    <x v="0"/>
    <x v="0"/>
    <s v="FIN_HELS"/>
    <x v="2"/>
    <s v="GEXT_NATGAS_VOUSAARI"/>
    <x v="0"/>
    <x v="0"/>
  </r>
  <r>
    <x v="0"/>
    <x v="0"/>
    <x v="1"/>
    <x v="2"/>
    <s v="SE2_EL"/>
    <x v="7"/>
    <s v="GEXT_WOODWASTE_HORNEBORG"/>
    <x v="0"/>
    <x v="0"/>
  </r>
  <r>
    <x v="0"/>
    <x v="1"/>
    <x v="1"/>
    <x v="2"/>
    <s v="SE2_EL"/>
    <x v="7"/>
    <s v="GEXT_WOODWASTE_HORNEBORG"/>
    <x v="0"/>
    <x v="0"/>
  </r>
  <r>
    <x v="0"/>
    <x v="2"/>
    <x v="1"/>
    <x v="2"/>
    <s v="SE2_EL"/>
    <x v="7"/>
    <s v="GEXT_WOODWASTE_HORNEBORG"/>
    <x v="0"/>
    <x v="0"/>
  </r>
  <r>
    <x v="0"/>
    <x v="0"/>
    <x v="1"/>
    <x v="3"/>
    <s v="SE3_HP"/>
    <x v="7"/>
    <s v="GEXT_WOODWASTE"/>
    <x v="0"/>
    <x v="0"/>
  </r>
  <r>
    <x v="0"/>
    <x v="1"/>
    <x v="1"/>
    <x v="3"/>
    <s v="SE3_HP"/>
    <x v="7"/>
    <s v="GEXT_WOODWASTE"/>
    <x v="0"/>
    <x v="0"/>
  </r>
  <r>
    <x v="0"/>
    <x v="2"/>
    <x v="1"/>
    <x v="3"/>
    <s v="SE3_HP"/>
    <x v="7"/>
    <s v="GEXT_WOODWASTE"/>
    <x v="0"/>
    <x v="0"/>
  </r>
  <r>
    <x v="0"/>
    <x v="0"/>
    <x v="1"/>
    <x v="3"/>
    <s v="SE3_STO"/>
    <x v="8"/>
    <s v="GEXT_BIOOIL_VARTAN"/>
    <x v="0"/>
    <x v="0"/>
  </r>
  <r>
    <x v="0"/>
    <x v="1"/>
    <x v="1"/>
    <x v="3"/>
    <s v="SE3_STO"/>
    <x v="8"/>
    <s v="GEXT_BIOOIL_VARTAN"/>
    <x v="0"/>
    <x v="0"/>
  </r>
  <r>
    <x v="0"/>
    <x v="2"/>
    <x v="1"/>
    <x v="3"/>
    <s v="SE3_STO"/>
    <x v="8"/>
    <s v="GEXT_BIOOIL_VARTAN"/>
    <x v="0"/>
    <x v="0"/>
  </r>
  <r>
    <x v="0"/>
    <x v="0"/>
    <x v="1"/>
    <x v="3"/>
    <s v="SE3_HP"/>
    <x v="1"/>
    <s v="GEXT_FUELOIL"/>
    <x v="0"/>
    <x v="0"/>
  </r>
  <r>
    <x v="0"/>
    <x v="1"/>
    <x v="1"/>
    <x v="3"/>
    <s v="SE3_HP"/>
    <x v="1"/>
    <s v="GEXT_FUELOIL"/>
    <x v="0"/>
    <x v="0"/>
  </r>
  <r>
    <x v="0"/>
    <x v="2"/>
    <x v="1"/>
    <x v="3"/>
    <s v="SE3_HP"/>
    <x v="1"/>
    <s v="GEXT_FUELOIL"/>
    <x v="0"/>
    <x v="0"/>
  </r>
  <r>
    <x v="0"/>
    <x v="0"/>
    <x v="0"/>
    <x v="0"/>
    <s v="FIN_OTHER"/>
    <x v="5"/>
    <s v="GEXT_PEAT_KELJONLAHTI"/>
    <x v="0"/>
    <x v="0"/>
  </r>
  <r>
    <x v="0"/>
    <x v="1"/>
    <x v="0"/>
    <x v="0"/>
    <s v="FIN_OTHER"/>
    <x v="5"/>
    <s v="GEXT_PEAT_KELJONLAHTI"/>
    <x v="0"/>
    <x v="0"/>
  </r>
  <r>
    <x v="0"/>
    <x v="2"/>
    <x v="0"/>
    <x v="0"/>
    <s v="FIN_OTHER"/>
    <x v="5"/>
    <s v="GEXT_PEAT_KELJONLAHTI"/>
    <x v="0"/>
    <x v="0"/>
  </r>
  <r>
    <x v="0"/>
    <x v="0"/>
    <x v="0"/>
    <x v="0"/>
    <s v="FIN_OTHER"/>
    <x v="5"/>
    <s v="GEXT_PEAT_TOPPILA"/>
    <x v="0"/>
    <x v="0"/>
  </r>
  <r>
    <x v="0"/>
    <x v="1"/>
    <x v="0"/>
    <x v="0"/>
    <s v="FIN_OTHER"/>
    <x v="5"/>
    <s v="GEXT_PEAT_TOPPILA"/>
    <x v="0"/>
    <x v="0"/>
  </r>
  <r>
    <x v="0"/>
    <x v="2"/>
    <x v="0"/>
    <x v="0"/>
    <s v="FIN_OTHER"/>
    <x v="5"/>
    <s v="GEXT_PEAT_TOPPILA"/>
    <x v="0"/>
    <x v="0"/>
  </r>
  <r>
    <x v="0"/>
    <x v="0"/>
    <x v="0"/>
    <x v="0"/>
    <s v="FIN_OTHER"/>
    <x v="5"/>
    <s v="GEXT_PEAT_SEVO"/>
    <x v="0"/>
    <x v="0"/>
  </r>
  <r>
    <x v="0"/>
    <x v="1"/>
    <x v="0"/>
    <x v="0"/>
    <s v="FIN_OTHER"/>
    <x v="5"/>
    <s v="GEXT_PEAT_SEVO"/>
    <x v="0"/>
    <x v="0"/>
  </r>
  <r>
    <x v="0"/>
    <x v="2"/>
    <x v="0"/>
    <x v="0"/>
    <s v="FIN_OTHER"/>
    <x v="5"/>
    <s v="GEXT_PEAT_SEVO"/>
    <x v="0"/>
    <x v="0"/>
  </r>
  <r>
    <x v="0"/>
    <x v="0"/>
    <x v="1"/>
    <x v="3"/>
    <s v="SE3_EL"/>
    <x v="5"/>
    <s v="GEXT_PEAT"/>
    <x v="0"/>
    <x v="0"/>
  </r>
  <r>
    <x v="0"/>
    <x v="1"/>
    <x v="1"/>
    <x v="3"/>
    <s v="SE3_EL"/>
    <x v="5"/>
    <s v="GEXT_PEAT"/>
    <x v="0"/>
    <x v="0"/>
  </r>
  <r>
    <x v="0"/>
    <x v="2"/>
    <x v="1"/>
    <x v="3"/>
    <s v="SE3_EL"/>
    <x v="5"/>
    <s v="GEXT_PEAT"/>
    <x v="0"/>
    <x v="0"/>
  </r>
  <r>
    <x v="0"/>
    <x v="0"/>
    <x v="0"/>
    <x v="0"/>
    <s v="FIN_HELS"/>
    <x v="0"/>
    <s v="GBPR_COAL_SALMISAARI"/>
    <x v="0"/>
    <x v="0"/>
  </r>
  <r>
    <x v="0"/>
    <x v="1"/>
    <x v="0"/>
    <x v="0"/>
    <s v="FIN_HELS"/>
    <x v="0"/>
    <s v="GBPR_COAL_SALMISAARI"/>
    <x v="0"/>
    <x v="0"/>
  </r>
  <r>
    <x v="0"/>
    <x v="2"/>
    <x v="0"/>
    <x v="0"/>
    <s v="FIN_HELS"/>
    <x v="0"/>
    <s v="GBPR_COAL_SALMISAARI"/>
    <x v="0"/>
    <x v="0"/>
  </r>
  <r>
    <x v="0"/>
    <x v="0"/>
    <x v="0"/>
    <x v="0"/>
    <s v="FIN_ESPOO"/>
    <x v="0"/>
    <s v="GBPR_COAL_SUOMENOJA"/>
    <x v="0"/>
    <x v="0"/>
  </r>
  <r>
    <x v="0"/>
    <x v="1"/>
    <x v="0"/>
    <x v="0"/>
    <s v="FIN_ESPOO"/>
    <x v="0"/>
    <s v="GBPR_COAL_SUOMENOJA"/>
    <x v="0"/>
    <x v="0"/>
  </r>
  <r>
    <x v="0"/>
    <x v="2"/>
    <x v="0"/>
    <x v="0"/>
    <s v="FIN_ESPOO"/>
    <x v="0"/>
    <s v="GBPR_COAL_SUOMENOJA"/>
    <x v="0"/>
    <x v="0"/>
  </r>
  <r>
    <x v="0"/>
    <x v="0"/>
    <x v="0"/>
    <x v="0"/>
    <s v="FIN_HP"/>
    <x v="0"/>
    <s v="GBPR_COAL_NAANTALI"/>
    <x v="0"/>
    <x v="0"/>
  </r>
  <r>
    <x v="0"/>
    <x v="1"/>
    <x v="0"/>
    <x v="0"/>
    <s v="FIN_HP"/>
    <x v="0"/>
    <s v="GBPR_COAL_NAANTALI"/>
    <x v="0"/>
    <x v="0"/>
  </r>
  <r>
    <x v="0"/>
    <x v="2"/>
    <x v="0"/>
    <x v="0"/>
    <s v="FIN_HP"/>
    <x v="0"/>
    <s v="GBPR_COAL_NAANTALI"/>
    <x v="0"/>
    <x v="0"/>
  </r>
  <r>
    <x v="0"/>
    <x v="0"/>
    <x v="0"/>
    <x v="0"/>
    <s v="FIN_HELS"/>
    <x v="0"/>
    <s v="GBPR_COAL_MARTINLAAKSO"/>
    <x v="0"/>
    <x v="0"/>
  </r>
  <r>
    <x v="0"/>
    <x v="1"/>
    <x v="0"/>
    <x v="0"/>
    <s v="FIN_HELS"/>
    <x v="0"/>
    <s v="GBPR_COAL_MARTINLAAKSO"/>
    <x v="0"/>
    <x v="0"/>
  </r>
  <r>
    <x v="0"/>
    <x v="2"/>
    <x v="0"/>
    <x v="0"/>
    <s v="FIN_HELS"/>
    <x v="0"/>
    <s v="GBPR_COAL_MARTINLAAKSO"/>
    <x v="0"/>
    <x v="0"/>
  </r>
  <r>
    <x v="0"/>
    <x v="0"/>
    <x v="1"/>
    <x v="3"/>
    <s v="SE3_STO"/>
    <x v="0"/>
    <s v="GBPR_COAL_VARTAN"/>
    <x v="0"/>
    <x v="0"/>
  </r>
  <r>
    <x v="0"/>
    <x v="1"/>
    <x v="1"/>
    <x v="3"/>
    <s v="SE3_STO"/>
    <x v="0"/>
    <s v="GBPR_COAL_VARTAN"/>
    <x v="0"/>
    <x v="0"/>
  </r>
  <r>
    <x v="0"/>
    <x v="2"/>
    <x v="1"/>
    <x v="3"/>
    <s v="SE3_STO"/>
    <x v="0"/>
    <s v="GBPR_COAL_VARTAN"/>
    <x v="0"/>
    <x v="0"/>
  </r>
  <r>
    <x v="0"/>
    <x v="0"/>
    <x v="1"/>
    <x v="3"/>
    <s v="SE3_OTHER"/>
    <x v="0"/>
    <s v="GBPR_COAL_SE3"/>
    <x v="0"/>
    <x v="0"/>
  </r>
  <r>
    <x v="0"/>
    <x v="1"/>
    <x v="1"/>
    <x v="3"/>
    <s v="SE3_OTHER"/>
    <x v="0"/>
    <s v="GBPR_COAL_SE3"/>
    <x v="0"/>
    <x v="0"/>
  </r>
  <r>
    <x v="0"/>
    <x v="2"/>
    <x v="1"/>
    <x v="3"/>
    <s v="SE3_OTHER"/>
    <x v="0"/>
    <s v="GBPR_COAL_SE3"/>
    <x v="0"/>
    <x v="0"/>
  </r>
  <r>
    <x v="0"/>
    <x v="0"/>
    <x v="0"/>
    <x v="0"/>
    <s v="FIN_OTHER"/>
    <x v="0"/>
    <s v="GBPR_COAL"/>
    <x v="0"/>
    <x v="0"/>
  </r>
  <r>
    <x v="0"/>
    <x v="1"/>
    <x v="0"/>
    <x v="0"/>
    <s v="FIN_OTHER"/>
    <x v="0"/>
    <s v="GBPR_COAL"/>
    <x v="0"/>
    <x v="0"/>
  </r>
  <r>
    <x v="0"/>
    <x v="2"/>
    <x v="0"/>
    <x v="0"/>
    <s v="FIN_OTHER"/>
    <x v="0"/>
    <s v="GBPR_COAL"/>
    <x v="0"/>
    <x v="0"/>
  </r>
  <r>
    <x v="0"/>
    <x v="0"/>
    <x v="1"/>
    <x v="3"/>
    <s v="SE3_EL"/>
    <x v="9"/>
    <s v="GBPR_MUNIWASTE_LINK"/>
    <x v="0"/>
    <x v="0"/>
  </r>
  <r>
    <x v="0"/>
    <x v="1"/>
    <x v="1"/>
    <x v="3"/>
    <s v="SE3_EL"/>
    <x v="9"/>
    <s v="GBPR_MUNIWASTE_LINK"/>
    <x v="0"/>
    <x v="0"/>
  </r>
  <r>
    <x v="0"/>
    <x v="2"/>
    <x v="1"/>
    <x v="3"/>
    <s v="SE3_EL"/>
    <x v="9"/>
    <s v="GBPR_MUNIWASTE_LINK"/>
    <x v="0"/>
    <x v="0"/>
  </r>
  <r>
    <x v="0"/>
    <x v="0"/>
    <x v="1"/>
    <x v="3"/>
    <s v="SE3_STO"/>
    <x v="9"/>
    <s v="GBPR_MUNIWASTE_HOGDALEN"/>
    <x v="0"/>
    <x v="0"/>
  </r>
  <r>
    <x v="0"/>
    <x v="1"/>
    <x v="1"/>
    <x v="3"/>
    <s v="SE3_STO"/>
    <x v="9"/>
    <s v="GBPR_MUNIWASTE_HOGDALEN"/>
    <x v="0"/>
    <x v="0"/>
  </r>
  <r>
    <x v="0"/>
    <x v="2"/>
    <x v="1"/>
    <x v="3"/>
    <s v="SE3_STO"/>
    <x v="9"/>
    <s v="GBPR_MUNIWASTE_HOGDALEN"/>
    <x v="0"/>
    <x v="0"/>
  </r>
  <r>
    <x v="0"/>
    <x v="0"/>
    <x v="1"/>
    <x v="2"/>
    <s v="SE2_EL"/>
    <x v="9"/>
    <s v="GBPR_MUNIWASTE_24"/>
    <x v="0"/>
    <x v="0"/>
  </r>
  <r>
    <x v="0"/>
    <x v="0"/>
    <x v="1"/>
    <x v="2"/>
    <s v="SE2_OTHER"/>
    <x v="9"/>
    <s v="GBPR_MUNIWASTE_24"/>
    <x v="0"/>
    <x v="0"/>
  </r>
  <r>
    <x v="0"/>
    <x v="0"/>
    <x v="1"/>
    <x v="3"/>
    <s v="SE3_EL"/>
    <x v="9"/>
    <s v="GBPR_MUNIWASTE_24"/>
    <x v="0"/>
    <x v="0"/>
  </r>
  <r>
    <x v="0"/>
    <x v="0"/>
    <x v="1"/>
    <x v="3"/>
    <s v="SE3_GOT"/>
    <x v="9"/>
    <s v="GBPR_MUNIWASTE_24"/>
    <x v="0"/>
    <x v="0"/>
  </r>
  <r>
    <x v="0"/>
    <x v="0"/>
    <x v="1"/>
    <x v="3"/>
    <s v="SE3_HP"/>
    <x v="9"/>
    <s v="GBPR_MUNIWASTE_24"/>
    <x v="0"/>
    <x v="0"/>
  </r>
  <r>
    <x v="0"/>
    <x v="0"/>
    <x v="1"/>
    <x v="3"/>
    <s v="SE3_OTHER"/>
    <x v="9"/>
    <s v="GBPR_MUNIWASTE_24"/>
    <x v="0"/>
    <x v="0"/>
  </r>
  <r>
    <x v="0"/>
    <x v="0"/>
    <x v="1"/>
    <x v="4"/>
    <s v="SE4_MAL"/>
    <x v="9"/>
    <s v="GBPR_MUNIWASTE_24"/>
    <x v="0"/>
    <x v="0"/>
  </r>
  <r>
    <x v="0"/>
    <x v="1"/>
    <x v="1"/>
    <x v="2"/>
    <s v="SE2_EL"/>
    <x v="9"/>
    <s v="GBPR_MUNIWASTE_24"/>
    <x v="0"/>
    <x v="0"/>
  </r>
  <r>
    <x v="0"/>
    <x v="1"/>
    <x v="1"/>
    <x v="2"/>
    <s v="SE2_OTHER"/>
    <x v="9"/>
    <s v="GBPR_MUNIWASTE_24"/>
    <x v="0"/>
    <x v="0"/>
  </r>
  <r>
    <x v="0"/>
    <x v="1"/>
    <x v="1"/>
    <x v="3"/>
    <s v="SE3_EL"/>
    <x v="9"/>
    <s v="GBPR_MUNIWASTE_24"/>
    <x v="0"/>
    <x v="0"/>
  </r>
  <r>
    <x v="0"/>
    <x v="1"/>
    <x v="1"/>
    <x v="3"/>
    <s v="SE3_GOT"/>
    <x v="9"/>
    <s v="GBPR_MUNIWASTE_24"/>
    <x v="0"/>
    <x v="0"/>
  </r>
  <r>
    <x v="0"/>
    <x v="1"/>
    <x v="1"/>
    <x v="3"/>
    <s v="SE3_HP"/>
    <x v="9"/>
    <s v="GBPR_MUNIWASTE_24"/>
    <x v="0"/>
    <x v="0"/>
  </r>
  <r>
    <x v="0"/>
    <x v="1"/>
    <x v="1"/>
    <x v="3"/>
    <s v="SE3_OTHER"/>
    <x v="9"/>
    <s v="GBPR_MUNIWASTE_24"/>
    <x v="0"/>
    <x v="0"/>
  </r>
  <r>
    <x v="0"/>
    <x v="1"/>
    <x v="1"/>
    <x v="4"/>
    <s v="SE4_MAL"/>
    <x v="9"/>
    <s v="GBPR_MUNIWASTE_24"/>
    <x v="0"/>
    <x v="0"/>
  </r>
  <r>
    <x v="0"/>
    <x v="2"/>
    <x v="1"/>
    <x v="2"/>
    <s v="SE2_EL"/>
    <x v="9"/>
    <s v="GBPR_MUNIWASTE_24"/>
    <x v="0"/>
    <x v="0"/>
  </r>
  <r>
    <x v="0"/>
    <x v="2"/>
    <x v="1"/>
    <x v="2"/>
    <s v="SE2_OTHER"/>
    <x v="9"/>
    <s v="GBPR_MUNIWASTE_24"/>
    <x v="0"/>
    <x v="0"/>
  </r>
  <r>
    <x v="0"/>
    <x v="2"/>
    <x v="1"/>
    <x v="3"/>
    <s v="SE3_EL"/>
    <x v="9"/>
    <s v="GBPR_MUNIWASTE_24"/>
    <x v="0"/>
    <x v="0"/>
  </r>
  <r>
    <x v="0"/>
    <x v="2"/>
    <x v="1"/>
    <x v="3"/>
    <s v="SE3_GOT"/>
    <x v="9"/>
    <s v="GBPR_MUNIWASTE_24"/>
    <x v="0"/>
    <x v="0"/>
  </r>
  <r>
    <x v="0"/>
    <x v="2"/>
    <x v="1"/>
    <x v="3"/>
    <s v="SE3_HP"/>
    <x v="9"/>
    <s v="GBPR_MUNIWASTE_24"/>
    <x v="0"/>
    <x v="0"/>
  </r>
  <r>
    <x v="0"/>
    <x v="2"/>
    <x v="1"/>
    <x v="3"/>
    <s v="SE3_OTHER"/>
    <x v="9"/>
    <s v="GBPR_MUNIWASTE_24"/>
    <x v="0"/>
    <x v="0"/>
  </r>
  <r>
    <x v="0"/>
    <x v="2"/>
    <x v="1"/>
    <x v="4"/>
    <s v="SE4_MAL"/>
    <x v="9"/>
    <s v="GBPR_MUNIWASTE_24"/>
    <x v="0"/>
    <x v="0"/>
  </r>
  <r>
    <x v="0"/>
    <x v="0"/>
    <x v="1"/>
    <x v="4"/>
    <s v="SE4_OTHER"/>
    <x v="9"/>
    <s v="GBPR_MUNIWASTE_19"/>
    <x v="0"/>
    <x v="0"/>
  </r>
  <r>
    <x v="0"/>
    <x v="1"/>
    <x v="1"/>
    <x v="4"/>
    <s v="SE4_OTHER"/>
    <x v="9"/>
    <s v="GBPR_MUNIWASTE_19"/>
    <x v="0"/>
    <x v="0"/>
  </r>
  <r>
    <x v="0"/>
    <x v="2"/>
    <x v="1"/>
    <x v="4"/>
    <s v="SE4_OTHER"/>
    <x v="9"/>
    <s v="GBPR_MUNIWASTE_19"/>
    <x v="0"/>
    <x v="0"/>
  </r>
  <r>
    <x v="0"/>
    <x v="0"/>
    <x v="2"/>
    <x v="6"/>
    <s v="NO1_A1"/>
    <x v="9"/>
    <s v="GBPR_MUNIWASTE"/>
    <x v="0"/>
    <x v="0"/>
  </r>
  <r>
    <x v="0"/>
    <x v="0"/>
    <x v="2"/>
    <x v="6"/>
    <s v="NO1_A2"/>
    <x v="9"/>
    <s v="GBPR_MUNIWASTE"/>
    <x v="0"/>
    <x v="0"/>
  </r>
  <r>
    <x v="0"/>
    <x v="0"/>
    <x v="2"/>
    <x v="7"/>
    <s v="NO2_A1"/>
    <x v="9"/>
    <s v="GBPR_MUNIWASTE"/>
    <x v="0"/>
    <x v="0"/>
  </r>
  <r>
    <x v="0"/>
    <x v="0"/>
    <x v="2"/>
    <x v="5"/>
    <s v="NO3_A1"/>
    <x v="9"/>
    <s v="GBPR_MUNIWASTE"/>
    <x v="0"/>
    <x v="0"/>
  </r>
  <r>
    <x v="0"/>
    <x v="0"/>
    <x v="2"/>
    <x v="8"/>
    <s v="NO4_A1"/>
    <x v="9"/>
    <s v="GBPR_MUNIWASTE"/>
    <x v="0"/>
    <x v="0"/>
  </r>
  <r>
    <x v="0"/>
    <x v="0"/>
    <x v="2"/>
    <x v="9"/>
    <s v="NO5_A1"/>
    <x v="9"/>
    <s v="GBPR_MUNIWASTE"/>
    <x v="0"/>
    <x v="0"/>
  </r>
  <r>
    <x v="0"/>
    <x v="0"/>
    <x v="1"/>
    <x v="1"/>
    <s v="SE1_EL"/>
    <x v="9"/>
    <s v="GBPR_MUNIWASTE"/>
    <x v="0"/>
    <x v="0"/>
  </r>
  <r>
    <x v="0"/>
    <x v="1"/>
    <x v="2"/>
    <x v="6"/>
    <s v="NO1_A1"/>
    <x v="9"/>
    <s v="GBPR_MUNIWASTE"/>
    <x v="0"/>
    <x v="0"/>
  </r>
  <r>
    <x v="0"/>
    <x v="1"/>
    <x v="2"/>
    <x v="6"/>
    <s v="NO1_A2"/>
    <x v="9"/>
    <s v="GBPR_MUNIWASTE"/>
    <x v="0"/>
    <x v="0"/>
  </r>
  <r>
    <x v="0"/>
    <x v="1"/>
    <x v="2"/>
    <x v="7"/>
    <s v="NO2_A1"/>
    <x v="9"/>
    <s v="GBPR_MUNIWASTE"/>
    <x v="0"/>
    <x v="0"/>
  </r>
  <r>
    <x v="0"/>
    <x v="1"/>
    <x v="2"/>
    <x v="5"/>
    <s v="NO3_A1"/>
    <x v="9"/>
    <s v="GBPR_MUNIWASTE"/>
    <x v="0"/>
    <x v="0"/>
  </r>
  <r>
    <x v="0"/>
    <x v="1"/>
    <x v="2"/>
    <x v="8"/>
    <s v="NO4_A1"/>
    <x v="9"/>
    <s v="GBPR_MUNIWASTE"/>
    <x v="0"/>
    <x v="0"/>
  </r>
  <r>
    <x v="0"/>
    <x v="1"/>
    <x v="2"/>
    <x v="9"/>
    <s v="NO5_A1"/>
    <x v="9"/>
    <s v="GBPR_MUNIWASTE"/>
    <x v="0"/>
    <x v="0"/>
  </r>
  <r>
    <x v="0"/>
    <x v="1"/>
    <x v="1"/>
    <x v="1"/>
    <s v="SE1_EL"/>
    <x v="9"/>
    <s v="GBPR_MUNIWASTE"/>
    <x v="0"/>
    <x v="0"/>
  </r>
  <r>
    <x v="0"/>
    <x v="2"/>
    <x v="2"/>
    <x v="6"/>
    <s v="NO1_A1"/>
    <x v="9"/>
    <s v="GBPR_MUNIWASTE"/>
    <x v="0"/>
    <x v="0"/>
  </r>
  <r>
    <x v="0"/>
    <x v="2"/>
    <x v="2"/>
    <x v="6"/>
    <s v="NO1_A2"/>
    <x v="9"/>
    <s v="GBPR_MUNIWASTE"/>
    <x v="0"/>
    <x v="0"/>
  </r>
  <r>
    <x v="0"/>
    <x v="2"/>
    <x v="2"/>
    <x v="7"/>
    <s v="NO2_A1"/>
    <x v="9"/>
    <s v="GBPR_MUNIWASTE"/>
    <x v="0"/>
    <x v="0"/>
  </r>
  <r>
    <x v="0"/>
    <x v="2"/>
    <x v="2"/>
    <x v="5"/>
    <s v="NO3_A1"/>
    <x v="9"/>
    <s v="GBPR_MUNIWASTE"/>
    <x v="0"/>
    <x v="0"/>
  </r>
  <r>
    <x v="0"/>
    <x v="2"/>
    <x v="2"/>
    <x v="8"/>
    <s v="NO4_A1"/>
    <x v="9"/>
    <s v="GBPR_MUNIWASTE"/>
    <x v="0"/>
    <x v="0"/>
  </r>
  <r>
    <x v="0"/>
    <x v="2"/>
    <x v="2"/>
    <x v="9"/>
    <s v="NO5_A1"/>
    <x v="9"/>
    <s v="GBPR_MUNIWASTE"/>
    <x v="0"/>
    <x v="0"/>
  </r>
  <r>
    <x v="0"/>
    <x v="2"/>
    <x v="1"/>
    <x v="1"/>
    <s v="SE1_EL"/>
    <x v="9"/>
    <s v="GBPR_MUNIWASTE"/>
    <x v="0"/>
    <x v="0"/>
  </r>
  <r>
    <x v="0"/>
    <x v="0"/>
    <x v="1"/>
    <x v="4"/>
    <s v="SE4_HP"/>
    <x v="9"/>
    <s v="GBPR_MUNIWASTE_65"/>
    <x v="0"/>
    <x v="0"/>
  </r>
  <r>
    <x v="0"/>
    <x v="1"/>
    <x v="1"/>
    <x v="4"/>
    <s v="SE4_HP"/>
    <x v="9"/>
    <s v="GBPR_MUNIWASTE_65"/>
    <x v="0"/>
    <x v="0"/>
  </r>
  <r>
    <x v="0"/>
    <x v="2"/>
    <x v="1"/>
    <x v="4"/>
    <s v="SE4_HP"/>
    <x v="9"/>
    <s v="GBPR_MUNIWASTE_65"/>
    <x v="0"/>
    <x v="0"/>
  </r>
  <r>
    <x v="0"/>
    <x v="0"/>
    <x v="1"/>
    <x v="3"/>
    <s v="SE3_EL"/>
    <x v="10"/>
    <s v="GBPR_RECYCLEDWOOD_SE3EL"/>
    <x v="0"/>
    <x v="0"/>
  </r>
  <r>
    <x v="0"/>
    <x v="1"/>
    <x v="1"/>
    <x v="3"/>
    <s v="SE3_EL"/>
    <x v="10"/>
    <s v="GBPR_RECYCLEDWOOD_SE3EL"/>
    <x v="0"/>
    <x v="0"/>
  </r>
  <r>
    <x v="0"/>
    <x v="2"/>
    <x v="1"/>
    <x v="3"/>
    <s v="SE3_EL"/>
    <x v="10"/>
    <s v="GBPR_RECYCLEDWOOD_SE3EL"/>
    <x v="0"/>
    <x v="0"/>
  </r>
  <r>
    <x v="0"/>
    <x v="0"/>
    <x v="1"/>
    <x v="3"/>
    <s v="SE3_OTHER"/>
    <x v="10"/>
    <s v="GBPR_RECYCLEDWOOD_SE3OTHER"/>
    <x v="0"/>
    <x v="0"/>
  </r>
  <r>
    <x v="0"/>
    <x v="1"/>
    <x v="1"/>
    <x v="3"/>
    <s v="SE3_OTHER"/>
    <x v="10"/>
    <s v="GBPR_RECYCLEDWOOD_SE3OTHER"/>
    <x v="0"/>
    <x v="0"/>
  </r>
  <r>
    <x v="0"/>
    <x v="2"/>
    <x v="1"/>
    <x v="3"/>
    <s v="SE3_OTHER"/>
    <x v="10"/>
    <s v="GBPR_RECYCLEDWOOD_SE3OTHER"/>
    <x v="0"/>
    <x v="0"/>
  </r>
  <r>
    <x v="0"/>
    <x v="0"/>
    <x v="1"/>
    <x v="4"/>
    <s v="SE4_EL"/>
    <x v="10"/>
    <s v="GBPR_RECYCLEDWOOD_SE4EL"/>
    <x v="0"/>
    <x v="0"/>
  </r>
  <r>
    <x v="0"/>
    <x v="1"/>
    <x v="1"/>
    <x v="4"/>
    <s v="SE4_EL"/>
    <x v="10"/>
    <s v="GBPR_RECYCLEDWOOD_SE4EL"/>
    <x v="0"/>
    <x v="0"/>
  </r>
  <r>
    <x v="0"/>
    <x v="2"/>
    <x v="1"/>
    <x v="4"/>
    <s v="SE4_EL"/>
    <x v="10"/>
    <s v="GBPR_RECYCLEDWOOD_SE4EL"/>
    <x v="0"/>
    <x v="0"/>
  </r>
  <r>
    <x v="0"/>
    <x v="0"/>
    <x v="1"/>
    <x v="4"/>
    <s v="SE4_EL"/>
    <x v="10"/>
    <s v="GBPR_RECYCLEDWOOD"/>
    <x v="0"/>
    <x v="0"/>
  </r>
  <r>
    <x v="0"/>
    <x v="1"/>
    <x v="1"/>
    <x v="4"/>
    <s v="SE4_EL"/>
    <x v="10"/>
    <s v="GBPR_RECYCLEDWOOD"/>
    <x v="0"/>
    <x v="0"/>
  </r>
  <r>
    <x v="0"/>
    <x v="2"/>
    <x v="1"/>
    <x v="4"/>
    <s v="SE4_EL"/>
    <x v="10"/>
    <s v="GBPR_RECYCLEDWOOD"/>
    <x v="0"/>
    <x v="0"/>
  </r>
  <r>
    <x v="0"/>
    <x v="0"/>
    <x v="1"/>
    <x v="3"/>
    <s v="SE3_GOT"/>
    <x v="7"/>
    <s v="GBPR_WOODWASTE_GOT"/>
    <x v="0"/>
    <x v="0"/>
  </r>
  <r>
    <x v="0"/>
    <x v="1"/>
    <x v="1"/>
    <x v="3"/>
    <s v="SE3_GOT"/>
    <x v="7"/>
    <s v="GBPR_WOODWASTE_GOT"/>
    <x v="0"/>
    <x v="0"/>
  </r>
  <r>
    <x v="0"/>
    <x v="2"/>
    <x v="1"/>
    <x v="3"/>
    <s v="SE3_GOT"/>
    <x v="7"/>
    <s v="GBPR_WOODWASTE_GOT"/>
    <x v="0"/>
    <x v="0"/>
  </r>
  <r>
    <x v="0"/>
    <x v="0"/>
    <x v="1"/>
    <x v="1"/>
    <s v="SE1_EL"/>
    <x v="7"/>
    <s v="GBPR_WOODWASTE_25"/>
    <x v="0"/>
    <x v="0"/>
  </r>
  <r>
    <x v="0"/>
    <x v="0"/>
    <x v="1"/>
    <x v="2"/>
    <s v="SE2_EL"/>
    <x v="7"/>
    <s v="GBPR_WOODWASTE_25"/>
    <x v="0"/>
    <x v="0"/>
  </r>
  <r>
    <x v="0"/>
    <x v="0"/>
    <x v="1"/>
    <x v="3"/>
    <s v="SE3_EL"/>
    <x v="7"/>
    <s v="GBPR_WOODWASTE_25"/>
    <x v="0"/>
    <x v="0"/>
  </r>
  <r>
    <x v="0"/>
    <x v="0"/>
    <x v="1"/>
    <x v="3"/>
    <s v="SE3_OTHER"/>
    <x v="7"/>
    <s v="GBPR_WOODWASTE_25"/>
    <x v="0"/>
    <x v="0"/>
  </r>
  <r>
    <x v="0"/>
    <x v="1"/>
    <x v="1"/>
    <x v="1"/>
    <s v="SE1_EL"/>
    <x v="7"/>
    <s v="GBPR_WOODWASTE_25"/>
    <x v="0"/>
    <x v="0"/>
  </r>
  <r>
    <x v="0"/>
    <x v="1"/>
    <x v="1"/>
    <x v="2"/>
    <s v="SE2_EL"/>
    <x v="7"/>
    <s v="GBPR_WOODWASTE_25"/>
    <x v="0"/>
    <x v="0"/>
  </r>
  <r>
    <x v="0"/>
    <x v="1"/>
    <x v="1"/>
    <x v="3"/>
    <s v="SE3_EL"/>
    <x v="7"/>
    <s v="GBPR_WOODWASTE_25"/>
    <x v="0"/>
    <x v="0"/>
  </r>
  <r>
    <x v="0"/>
    <x v="1"/>
    <x v="1"/>
    <x v="3"/>
    <s v="SE3_OTHER"/>
    <x v="7"/>
    <s v="GBPR_WOODWASTE_25"/>
    <x v="0"/>
    <x v="0"/>
  </r>
  <r>
    <x v="0"/>
    <x v="2"/>
    <x v="1"/>
    <x v="1"/>
    <s v="SE1_EL"/>
    <x v="7"/>
    <s v="GBPR_WOODWASTE_25"/>
    <x v="0"/>
    <x v="0"/>
  </r>
  <r>
    <x v="0"/>
    <x v="2"/>
    <x v="1"/>
    <x v="2"/>
    <s v="SE2_EL"/>
    <x v="7"/>
    <s v="GBPR_WOODWASTE_25"/>
    <x v="0"/>
    <x v="0"/>
  </r>
  <r>
    <x v="0"/>
    <x v="2"/>
    <x v="1"/>
    <x v="3"/>
    <s v="SE3_EL"/>
    <x v="7"/>
    <s v="GBPR_WOODWASTE_25"/>
    <x v="0"/>
    <x v="0"/>
  </r>
  <r>
    <x v="0"/>
    <x v="2"/>
    <x v="1"/>
    <x v="3"/>
    <s v="SE3_OTHER"/>
    <x v="7"/>
    <s v="GBPR_WOODWASTE_25"/>
    <x v="0"/>
    <x v="0"/>
  </r>
  <r>
    <x v="0"/>
    <x v="0"/>
    <x v="1"/>
    <x v="2"/>
    <s v="SE2_OTHER"/>
    <x v="7"/>
    <s v="GBPR_WOODWASTE_36"/>
    <x v="0"/>
    <x v="0"/>
  </r>
  <r>
    <x v="0"/>
    <x v="0"/>
    <x v="1"/>
    <x v="3"/>
    <s v="SE3_HP"/>
    <x v="7"/>
    <s v="GBPR_WOODWASTE_36"/>
    <x v="0"/>
    <x v="0"/>
  </r>
  <r>
    <x v="0"/>
    <x v="0"/>
    <x v="1"/>
    <x v="4"/>
    <s v="SE4_OTHER"/>
    <x v="7"/>
    <s v="GBPR_WOODWASTE_36"/>
    <x v="0"/>
    <x v="0"/>
  </r>
  <r>
    <x v="0"/>
    <x v="1"/>
    <x v="1"/>
    <x v="2"/>
    <s v="SE2_OTHER"/>
    <x v="7"/>
    <s v="GBPR_WOODWASTE_36"/>
    <x v="0"/>
    <x v="0"/>
  </r>
  <r>
    <x v="0"/>
    <x v="1"/>
    <x v="1"/>
    <x v="3"/>
    <s v="SE3_HP"/>
    <x v="7"/>
    <s v="GBPR_WOODWASTE_36"/>
    <x v="0"/>
    <x v="0"/>
  </r>
  <r>
    <x v="0"/>
    <x v="1"/>
    <x v="1"/>
    <x v="4"/>
    <s v="SE4_OTHER"/>
    <x v="7"/>
    <s v="GBPR_WOODWASTE_36"/>
    <x v="0"/>
    <x v="0"/>
  </r>
  <r>
    <x v="0"/>
    <x v="2"/>
    <x v="1"/>
    <x v="2"/>
    <s v="SE2_OTHER"/>
    <x v="7"/>
    <s v="GBPR_WOODWASTE_36"/>
    <x v="0"/>
    <x v="0"/>
  </r>
  <r>
    <x v="0"/>
    <x v="2"/>
    <x v="1"/>
    <x v="3"/>
    <s v="SE3_HP"/>
    <x v="7"/>
    <s v="GBPR_WOODWASTE_36"/>
    <x v="0"/>
    <x v="0"/>
  </r>
  <r>
    <x v="0"/>
    <x v="2"/>
    <x v="1"/>
    <x v="4"/>
    <s v="SE4_OTHER"/>
    <x v="7"/>
    <s v="GBPR_WOODWASTE_36"/>
    <x v="0"/>
    <x v="0"/>
  </r>
  <r>
    <x v="0"/>
    <x v="0"/>
    <x v="1"/>
    <x v="3"/>
    <s v="SE3_EL"/>
    <x v="7"/>
    <s v="GBPR_WOODWASTE_ABY"/>
    <x v="0"/>
    <x v="0"/>
  </r>
  <r>
    <x v="0"/>
    <x v="1"/>
    <x v="1"/>
    <x v="3"/>
    <s v="SE3_EL"/>
    <x v="7"/>
    <s v="GBPR_WOODWASTE_ABY"/>
    <x v="0"/>
    <x v="0"/>
  </r>
  <r>
    <x v="0"/>
    <x v="2"/>
    <x v="1"/>
    <x v="3"/>
    <s v="SE3_EL"/>
    <x v="7"/>
    <s v="GBPR_WOODWASTE_ABY"/>
    <x v="0"/>
    <x v="0"/>
  </r>
  <r>
    <x v="0"/>
    <x v="0"/>
    <x v="1"/>
    <x v="3"/>
    <s v="SE3_STO"/>
    <x v="7"/>
    <s v="GBPR_WOODWASTE_BRISTA"/>
    <x v="0"/>
    <x v="0"/>
  </r>
  <r>
    <x v="0"/>
    <x v="1"/>
    <x v="1"/>
    <x v="3"/>
    <s v="SE3_STO"/>
    <x v="7"/>
    <s v="GBPR_WOODWASTE_BRISTA"/>
    <x v="0"/>
    <x v="0"/>
  </r>
  <r>
    <x v="0"/>
    <x v="2"/>
    <x v="1"/>
    <x v="3"/>
    <s v="SE3_STO"/>
    <x v="7"/>
    <s v="GBPR_WOODWASTE_BRISTA"/>
    <x v="0"/>
    <x v="0"/>
  </r>
  <r>
    <x v="0"/>
    <x v="0"/>
    <x v="0"/>
    <x v="0"/>
    <s v="FIN_EL"/>
    <x v="7"/>
    <s v="GBPR_WOODWASTE_FINEL"/>
    <x v="0"/>
    <x v="0"/>
  </r>
  <r>
    <x v="0"/>
    <x v="1"/>
    <x v="0"/>
    <x v="0"/>
    <s v="FIN_EL"/>
    <x v="7"/>
    <s v="GBPR_WOODWASTE_FINEL"/>
    <x v="0"/>
    <x v="0"/>
  </r>
  <r>
    <x v="0"/>
    <x v="2"/>
    <x v="0"/>
    <x v="0"/>
    <s v="FIN_EL"/>
    <x v="7"/>
    <s v="GBPR_WOODWASTE_FINEL"/>
    <x v="0"/>
    <x v="0"/>
  </r>
  <r>
    <x v="0"/>
    <x v="0"/>
    <x v="0"/>
    <x v="0"/>
    <s v="FIN_OTHER"/>
    <x v="7"/>
    <s v="GBPR_WOODWASTE_FINOTHER"/>
    <x v="0"/>
    <x v="0"/>
  </r>
  <r>
    <x v="0"/>
    <x v="1"/>
    <x v="0"/>
    <x v="0"/>
    <s v="FIN_OTHER"/>
    <x v="7"/>
    <s v="GBPR_WOODWASTE_FINOTHER"/>
    <x v="0"/>
    <x v="0"/>
  </r>
  <r>
    <x v="0"/>
    <x v="2"/>
    <x v="0"/>
    <x v="0"/>
    <s v="FIN_OTHER"/>
    <x v="7"/>
    <s v="GBPR_WOODWASTE_FINOTHER"/>
    <x v="0"/>
    <x v="0"/>
  </r>
  <r>
    <x v="0"/>
    <x v="0"/>
    <x v="1"/>
    <x v="1"/>
    <s v="SE1_OTHER"/>
    <x v="7"/>
    <s v="GBPR_WOODWASTE"/>
    <x v="0"/>
    <x v="0"/>
  </r>
  <r>
    <x v="0"/>
    <x v="0"/>
    <x v="1"/>
    <x v="3"/>
    <s v="SE3_STO"/>
    <x v="7"/>
    <s v="GBPR_WOODWASTE"/>
    <x v="0"/>
    <x v="0"/>
  </r>
  <r>
    <x v="0"/>
    <x v="1"/>
    <x v="1"/>
    <x v="1"/>
    <s v="SE1_OTHER"/>
    <x v="7"/>
    <s v="GBPR_WOODWASTE"/>
    <x v="0"/>
    <x v="0"/>
  </r>
  <r>
    <x v="0"/>
    <x v="1"/>
    <x v="1"/>
    <x v="3"/>
    <s v="SE3_STO"/>
    <x v="7"/>
    <s v="GBPR_WOODWASTE"/>
    <x v="0"/>
    <x v="0"/>
  </r>
  <r>
    <x v="0"/>
    <x v="2"/>
    <x v="1"/>
    <x v="1"/>
    <s v="SE1_OTHER"/>
    <x v="7"/>
    <s v="GBPR_WOODWASTE"/>
    <x v="0"/>
    <x v="0"/>
  </r>
  <r>
    <x v="0"/>
    <x v="2"/>
    <x v="1"/>
    <x v="3"/>
    <s v="SE3_STO"/>
    <x v="7"/>
    <s v="GBPR_WOODWASTE"/>
    <x v="0"/>
    <x v="0"/>
  </r>
  <r>
    <x v="0"/>
    <x v="0"/>
    <x v="0"/>
    <x v="0"/>
    <s v="FIN_OTHER"/>
    <x v="6"/>
    <s v="GBPR_WOODCHIPS_FINOTHER"/>
    <x v="0"/>
    <x v="0"/>
  </r>
  <r>
    <x v="0"/>
    <x v="1"/>
    <x v="0"/>
    <x v="0"/>
    <s v="FIN_OTHER"/>
    <x v="6"/>
    <s v="GBPR_WOODCHIPS_FINOTHER"/>
    <x v="0"/>
    <x v="0"/>
  </r>
  <r>
    <x v="0"/>
    <x v="2"/>
    <x v="0"/>
    <x v="0"/>
    <s v="FIN_OTHER"/>
    <x v="6"/>
    <s v="GBPR_WOODCHIPS_FINOTHER"/>
    <x v="0"/>
    <x v="0"/>
  </r>
  <r>
    <x v="0"/>
    <x v="0"/>
    <x v="1"/>
    <x v="3"/>
    <s v="SE3_HP"/>
    <x v="6"/>
    <s v="GBPR_WOODCHIPS_08"/>
    <x v="0"/>
    <x v="0"/>
  </r>
  <r>
    <x v="0"/>
    <x v="1"/>
    <x v="1"/>
    <x v="3"/>
    <s v="SE3_HP"/>
    <x v="6"/>
    <s v="GBPR_WOODCHIPS_08"/>
    <x v="0"/>
    <x v="0"/>
  </r>
  <r>
    <x v="0"/>
    <x v="2"/>
    <x v="1"/>
    <x v="3"/>
    <s v="SE3_HP"/>
    <x v="6"/>
    <s v="GBPR_WOODCHIPS_08"/>
    <x v="0"/>
    <x v="0"/>
  </r>
  <r>
    <x v="0"/>
    <x v="0"/>
    <x v="1"/>
    <x v="1"/>
    <s v="SE1_OTHER"/>
    <x v="6"/>
    <s v="GBPR_WOODCHIPS_25"/>
    <x v="0"/>
    <x v="0"/>
  </r>
  <r>
    <x v="0"/>
    <x v="0"/>
    <x v="1"/>
    <x v="3"/>
    <s v="SE3_EL"/>
    <x v="6"/>
    <s v="GBPR_WOODCHIPS_25"/>
    <x v="0"/>
    <x v="0"/>
  </r>
  <r>
    <x v="0"/>
    <x v="0"/>
    <x v="1"/>
    <x v="3"/>
    <s v="SE3_OTHER"/>
    <x v="6"/>
    <s v="GBPR_WOODCHIPS_25"/>
    <x v="0"/>
    <x v="0"/>
  </r>
  <r>
    <x v="0"/>
    <x v="0"/>
    <x v="1"/>
    <x v="4"/>
    <s v="SE4_OTHER"/>
    <x v="6"/>
    <s v="GBPR_WOODCHIPS_25"/>
    <x v="0"/>
    <x v="0"/>
  </r>
  <r>
    <x v="0"/>
    <x v="1"/>
    <x v="1"/>
    <x v="1"/>
    <s v="SE1_OTHER"/>
    <x v="6"/>
    <s v="GBPR_WOODCHIPS_25"/>
    <x v="0"/>
    <x v="0"/>
  </r>
  <r>
    <x v="0"/>
    <x v="1"/>
    <x v="1"/>
    <x v="3"/>
    <s v="SE3_EL"/>
    <x v="6"/>
    <s v="GBPR_WOODCHIPS_25"/>
    <x v="0"/>
    <x v="0"/>
  </r>
  <r>
    <x v="0"/>
    <x v="1"/>
    <x v="1"/>
    <x v="3"/>
    <s v="SE3_OTHER"/>
    <x v="6"/>
    <s v="GBPR_WOODCHIPS_25"/>
    <x v="0"/>
    <x v="0"/>
  </r>
  <r>
    <x v="0"/>
    <x v="1"/>
    <x v="1"/>
    <x v="4"/>
    <s v="SE4_OTHER"/>
    <x v="6"/>
    <s v="GBPR_WOODCHIPS_25"/>
    <x v="0"/>
    <x v="0"/>
  </r>
  <r>
    <x v="0"/>
    <x v="2"/>
    <x v="1"/>
    <x v="1"/>
    <s v="SE1_OTHER"/>
    <x v="6"/>
    <s v="GBPR_WOODCHIPS_25"/>
    <x v="0"/>
    <x v="0"/>
  </r>
  <r>
    <x v="0"/>
    <x v="2"/>
    <x v="1"/>
    <x v="3"/>
    <s v="SE3_EL"/>
    <x v="6"/>
    <s v="GBPR_WOODCHIPS_25"/>
    <x v="0"/>
    <x v="0"/>
  </r>
  <r>
    <x v="0"/>
    <x v="2"/>
    <x v="1"/>
    <x v="3"/>
    <s v="SE3_OTHER"/>
    <x v="6"/>
    <s v="GBPR_WOODCHIPS_25"/>
    <x v="0"/>
    <x v="0"/>
  </r>
  <r>
    <x v="0"/>
    <x v="2"/>
    <x v="1"/>
    <x v="4"/>
    <s v="SE4_OTHER"/>
    <x v="6"/>
    <s v="GBPR_WOODCHIPS_25"/>
    <x v="0"/>
    <x v="0"/>
  </r>
  <r>
    <x v="0"/>
    <x v="0"/>
    <x v="1"/>
    <x v="2"/>
    <s v="SE2_EL"/>
    <x v="6"/>
    <s v="GBPR_WOODCHIPS_37"/>
    <x v="0"/>
    <x v="0"/>
  </r>
  <r>
    <x v="0"/>
    <x v="0"/>
    <x v="1"/>
    <x v="2"/>
    <s v="SE2_OTHER"/>
    <x v="6"/>
    <s v="GBPR_WOODCHIPS_37"/>
    <x v="0"/>
    <x v="0"/>
  </r>
  <r>
    <x v="0"/>
    <x v="0"/>
    <x v="1"/>
    <x v="3"/>
    <s v="SE3_OTHER"/>
    <x v="6"/>
    <s v="GBPR_WOODCHIPS_37"/>
    <x v="0"/>
    <x v="0"/>
  </r>
  <r>
    <x v="0"/>
    <x v="1"/>
    <x v="1"/>
    <x v="2"/>
    <s v="SE2_EL"/>
    <x v="6"/>
    <s v="GBPR_WOODCHIPS_37"/>
    <x v="0"/>
    <x v="0"/>
  </r>
  <r>
    <x v="0"/>
    <x v="1"/>
    <x v="1"/>
    <x v="2"/>
    <s v="SE2_OTHER"/>
    <x v="6"/>
    <s v="GBPR_WOODCHIPS_37"/>
    <x v="0"/>
    <x v="0"/>
  </r>
  <r>
    <x v="0"/>
    <x v="1"/>
    <x v="1"/>
    <x v="3"/>
    <s v="SE3_OTHER"/>
    <x v="6"/>
    <s v="GBPR_WOODCHIPS_37"/>
    <x v="0"/>
    <x v="0"/>
  </r>
  <r>
    <x v="0"/>
    <x v="2"/>
    <x v="1"/>
    <x v="2"/>
    <s v="SE2_EL"/>
    <x v="6"/>
    <s v="GBPR_WOODCHIPS_37"/>
    <x v="0"/>
    <x v="0"/>
  </r>
  <r>
    <x v="0"/>
    <x v="2"/>
    <x v="1"/>
    <x v="2"/>
    <s v="SE2_OTHER"/>
    <x v="6"/>
    <s v="GBPR_WOODCHIPS_37"/>
    <x v="0"/>
    <x v="0"/>
  </r>
  <r>
    <x v="0"/>
    <x v="2"/>
    <x v="1"/>
    <x v="3"/>
    <s v="SE3_OTHER"/>
    <x v="6"/>
    <s v="GBPR_WOODCHIPS_37"/>
    <x v="0"/>
    <x v="0"/>
  </r>
  <r>
    <x v="0"/>
    <x v="0"/>
    <x v="0"/>
    <x v="0"/>
    <s v="FIN_EL"/>
    <x v="6"/>
    <s v="GBPR_WOODCHIPS"/>
    <x v="0"/>
    <x v="0"/>
  </r>
  <r>
    <x v="0"/>
    <x v="0"/>
    <x v="1"/>
    <x v="4"/>
    <s v="SE4_OTHER"/>
    <x v="6"/>
    <s v="GBPR_WOODCHIPS"/>
    <x v="0"/>
    <x v="0"/>
  </r>
  <r>
    <x v="0"/>
    <x v="1"/>
    <x v="0"/>
    <x v="0"/>
    <s v="FIN_EL"/>
    <x v="6"/>
    <s v="GBPR_WOODCHIPS"/>
    <x v="0"/>
    <x v="0"/>
  </r>
  <r>
    <x v="0"/>
    <x v="1"/>
    <x v="1"/>
    <x v="4"/>
    <s v="SE4_OTHER"/>
    <x v="6"/>
    <s v="GBPR_WOODCHIPS"/>
    <x v="0"/>
    <x v="0"/>
  </r>
  <r>
    <x v="0"/>
    <x v="2"/>
    <x v="0"/>
    <x v="0"/>
    <s v="FIN_EL"/>
    <x v="6"/>
    <s v="GBPR_WOODCHIPS"/>
    <x v="0"/>
    <x v="0"/>
  </r>
  <r>
    <x v="0"/>
    <x v="2"/>
    <x v="1"/>
    <x v="4"/>
    <s v="SE4_OTHER"/>
    <x v="6"/>
    <s v="GBPR_WOODCHIPS"/>
    <x v="0"/>
    <x v="0"/>
  </r>
  <r>
    <x v="0"/>
    <x v="0"/>
    <x v="1"/>
    <x v="3"/>
    <s v="SE3_STO"/>
    <x v="11"/>
    <s v="GBPR_WOODPELLETS_HASSELBY"/>
    <x v="0"/>
    <x v="0"/>
  </r>
  <r>
    <x v="0"/>
    <x v="1"/>
    <x v="1"/>
    <x v="3"/>
    <s v="SE3_STO"/>
    <x v="11"/>
    <s v="GBPR_WOODPELLETS_HASSELBY"/>
    <x v="0"/>
    <x v="0"/>
  </r>
  <r>
    <x v="0"/>
    <x v="2"/>
    <x v="1"/>
    <x v="3"/>
    <s v="SE3_STO"/>
    <x v="11"/>
    <s v="GBPR_WOODPELLETS_HASSELBY"/>
    <x v="0"/>
    <x v="0"/>
  </r>
  <r>
    <x v="0"/>
    <x v="0"/>
    <x v="0"/>
    <x v="0"/>
    <s v="FIN_OTHER"/>
    <x v="11"/>
    <s v="GBPR_WOODPELLETS"/>
    <x v="0"/>
    <x v="0"/>
  </r>
  <r>
    <x v="0"/>
    <x v="0"/>
    <x v="1"/>
    <x v="4"/>
    <s v="SE4_HP"/>
    <x v="11"/>
    <s v="GBPR_WOODPELLETS"/>
    <x v="0"/>
    <x v="0"/>
  </r>
  <r>
    <x v="0"/>
    <x v="1"/>
    <x v="0"/>
    <x v="0"/>
    <s v="FIN_OTHER"/>
    <x v="11"/>
    <s v="GBPR_WOODPELLETS"/>
    <x v="0"/>
    <x v="0"/>
  </r>
  <r>
    <x v="0"/>
    <x v="1"/>
    <x v="1"/>
    <x v="4"/>
    <s v="SE4_HP"/>
    <x v="11"/>
    <s v="GBPR_WOODPELLETS"/>
    <x v="0"/>
    <x v="0"/>
  </r>
  <r>
    <x v="0"/>
    <x v="2"/>
    <x v="0"/>
    <x v="0"/>
    <s v="FIN_OTHER"/>
    <x v="11"/>
    <s v="GBPR_WOODPELLETS"/>
    <x v="0"/>
    <x v="0"/>
  </r>
  <r>
    <x v="0"/>
    <x v="2"/>
    <x v="1"/>
    <x v="4"/>
    <s v="SE4_HP"/>
    <x v="11"/>
    <s v="GBPR_WOODPELLETS"/>
    <x v="0"/>
    <x v="0"/>
  </r>
  <r>
    <x v="0"/>
    <x v="0"/>
    <x v="1"/>
    <x v="1"/>
    <s v="SE1_OTHER"/>
    <x v="5"/>
    <s v="GBPR_PEAT_38"/>
    <x v="0"/>
    <x v="0"/>
  </r>
  <r>
    <x v="0"/>
    <x v="0"/>
    <x v="1"/>
    <x v="3"/>
    <s v="SE3_EL"/>
    <x v="5"/>
    <s v="GBPR_PEAT_38"/>
    <x v="0"/>
    <x v="0"/>
  </r>
  <r>
    <x v="0"/>
    <x v="1"/>
    <x v="1"/>
    <x v="1"/>
    <s v="SE1_OTHER"/>
    <x v="5"/>
    <s v="GBPR_PEAT_38"/>
    <x v="0"/>
    <x v="0"/>
  </r>
  <r>
    <x v="0"/>
    <x v="1"/>
    <x v="1"/>
    <x v="3"/>
    <s v="SE3_EL"/>
    <x v="5"/>
    <s v="GBPR_PEAT_38"/>
    <x v="0"/>
    <x v="0"/>
  </r>
  <r>
    <x v="0"/>
    <x v="2"/>
    <x v="1"/>
    <x v="1"/>
    <s v="SE1_OTHER"/>
    <x v="5"/>
    <s v="GBPR_PEAT_38"/>
    <x v="0"/>
    <x v="0"/>
  </r>
  <r>
    <x v="0"/>
    <x v="2"/>
    <x v="1"/>
    <x v="3"/>
    <s v="SE3_EL"/>
    <x v="5"/>
    <s v="GBPR_PEAT_38"/>
    <x v="0"/>
    <x v="0"/>
  </r>
  <r>
    <x v="0"/>
    <x v="0"/>
    <x v="0"/>
    <x v="0"/>
    <s v="FIN_OTHER"/>
    <x v="5"/>
    <s v="GBPR_PEAT"/>
    <x v="0"/>
    <x v="0"/>
  </r>
  <r>
    <x v="0"/>
    <x v="1"/>
    <x v="0"/>
    <x v="0"/>
    <s v="FIN_OTHER"/>
    <x v="5"/>
    <s v="GBPR_PEAT"/>
    <x v="0"/>
    <x v="0"/>
  </r>
  <r>
    <x v="0"/>
    <x v="2"/>
    <x v="0"/>
    <x v="0"/>
    <s v="FIN_OTHER"/>
    <x v="5"/>
    <s v="GBPR_PEAT"/>
    <x v="0"/>
    <x v="0"/>
  </r>
  <r>
    <x v="0"/>
    <x v="0"/>
    <x v="1"/>
    <x v="3"/>
    <s v="SE3_GOT"/>
    <x v="2"/>
    <s v="GBPR_NATGAS_RYA"/>
    <x v="0"/>
    <x v="0"/>
  </r>
  <r>
    <x v="0"/>
    <x v="1"/>
    <x v="1"/>
    <x v="3"/>
    <s v="SE3_GOT"/>
    <x v="2"/>
    <s v="GBPR_NATGAS_RYA"/>
    <x v="0"/>
    <x v="0"/>
  </r>
  <r>
    <x v="0"/>
    <x v="2"/>
    <x v="1"/>
    <x v="3"/>
    <s v="SE3_GOT"/>
    <x v="2"/>
    <s v="GBPR_NATGAS_RYA"/>
    <x v="0"/>
    <x v="0"/>
  </r>
  <r>
    <x v="0"/>
    <x v="0"/>
    <x v="1"/>
    <x v="3"/>
    <s v="SE3_GOT"/>
    <x v="2"/>
    <s v="GBPR_NATGAS_GOT"/>
    <x v="0"/>
    <x v="0"/>
  </r>
  <r>
    <x v="0"/>
    <x v="1"/>
    <x v="1"/>
    <x v="3"/>
    <s v="SE3_GOT"/>
    <x v="2"/>
    <s v="GBPR_NATGAS_GOT"/>
    <x v="0"/>
    <x v="0"/>
  </r>
  <r>
    <x v="0"/>
    <x v="2"/>
    <x v="1"/>
    <x v="3"/>
    <s v="SE3_GOT"/>
    <x v="2"/>
    <s v="GBPR_NATGAS_GOT"/>
    <x v="0"/>
    <x v="0"/>
  </r>
  <r>
    <x v="0"/>
    <x v="0"/>
    <x v="1"/>
    <x v="4"/>
    <s v="SE4_MAL"/>
    <x v="2"/>
    <s v="GBPR_NATGAS_MAL"/>
    <x v="0"/>
    <x v="0"/>
  </r>
  <r>
    <x v="0"/>
    <x v="1"/>
    <x v="1"/>
    <x v="4"/>
    <s v="SE4_MAL"/>
    <x v="2"/>
    <s v="GBPR_NATGAS_MAL"/>
    <x v="0"/>
    <x v="0"/>
  </r>
  <r>
    <x v="0"/>
    <x v="2"/>
    <x v="1"/>
    <x v="4"/>
    <s v="SE4_MAL"/>
    <x v="2"/>
    <s v="GBPR_NATGAS_MAL"/>
    <x v="0"/>
    <x v="0"/>
  </r>
  <r>
    <x v="0"/>
    <x v="0"/>
    <x v="0"/>
    <x v="0"/>
    <s v="FIN_OTHER"/>
    <x v="2"/>
    <s v="GBPR_NATGAS_100"/>
    <x v="0"/>
    <x v="0"/>
  </r>
  <r>
    <x v="0"/>
    <x v="0"/>
    <x v="1"/>
    <x v="4"/>
    <s v="SE4_HP"/>
    <x v="2"/>
    <s v="GBPR_NATGAS_100"/>
    <x v="0"/>
    <x v="0"/>
  </r>
  <r>
    <x v="0"/>
    <x v="1"/>
    <x v="0"/>
    <x v="0"/>
    <s v="FIN_OTHER"/>
    <x v="2"/>
    <s v="GBPR_NATGAS_100"/>
    <x v="0"/>
    <x v="0"/>
  </r>
  <r>
    <x v="0"/>
    <x v="1"/>
    <x v="1"/>
    <x v="4"/>
    <s v="SE4_HP"/>
    <x v="2"/>
    <s v="GBPR_NATGAS_100"/>
    <x v="0"/>
    <x v="0"/>
  </r>
  <r>
    <x v="0"/>
    <x v="2"/>
    <x v="0"/>
    <x v="0"/>
    <s v="FIN_OTHER"/>
    <x v="2"/>
    <s v="GBPR_NATGAS_100"/>
    <x v="0"/>
    <x v="0"/>
  </r>
  <r>
    <x v="0"/>
    <x v="2"/>
    <x v="1"/>
    <x v="4"/>
    <s v="SE4_HP"/>
    <x v="2"/>
    <s v="GBPR_NATGAS_100"/>
    <x v="0"/>
    <x v="0"/>
  </r>
  <r>
    <x v="0"/>
    <x v="0"/>
    <x v="0"/>
    <x v="0"/>
    <s v="FIN_HELS"/>
    <x v="2"/>
    <s v="GBPR_NATGAS_VOUSAARI"/>
    <x v="0"/>
    <x v="0"/>
  </r>
  <r>
    <x v="0"/>
    <x v="1"/>
    <x v="0"/>
    <x v="0"/>
    <s v="FIN_HELS"/>
    <x v="2"/>
    <s v="GBPR_NATGAS_VOUSAARI"/>
    <x v="0"/>
    <x v="0"/>
  </r>
  <r>
    <x v="0"/>
    <x v="2"/>
    <x v="0"/>
    <x v="0"/>
    <s v="FIN_HELS"/>
    <x v="2"/>
    <s v="GBPR_NATGAS_VOUSAARI"/>
    <x v="0"/>
    <x v="0"/>
  </r>
  <r>
    <x v="0"/>
    <x v="0"/>
    <x v="0"/>
    <x v="0"/>
    <s v="FIN_EL"/>
    <x v="2"/>
    <s v="GBPR_NATGAS_FINEL"/>
    <x v="0"/>
    <x v="0"/>
  </r>
  <r>
    <x v="0"/>
    <x v="1"/>
    <x v="0"/>
    <x v="0"/>
    <s v="FIN_EL"/>
    <x v="2"/>
    <s v="GBPR_NATGAS_FINEL"/>
    <x v="0"/>
    <x v="0"/>
  </r>
  <r>
    <x v="0"/>
    <x v="2"/>
    <x v="0"/>
    <x v="0"/>
    <s v="FIN_EL"/>
    <x v="2"/>
    <s v="GBPR_NATGAS_FINEL"/>
    <x v="0"/>
    <x v="0"/>
  </r>
  <r>
    <x v="0"/>
    <x v="0"/>
    <x v="0"/>
    <x v="0"/>
    <s v="FIN_ESPOO"/>
    <x v="2"/>
    <s v="GBPR_NATGAS_SUOMENOJA2"/>
    <x v="0"/>
    <x v="0"/>
  </r>
  <r>
    <x v="0"/>
    <x v="1"/>
    <x v="0"/>
    <x v="0"/>
    <s v="FIN_ESPOO"/>
    <x v="2"/>
    <s v="GBPR_NATGAS_SUOMENOJA2"/>
    <x v="0"/>
    <x v="0"/>
  </r>
  <r>
    <x v="0"/>
    <x v="2"/>
    <x v="0"/>
    <x v="0"/>
    <s v="FIN_ESPOO"/>
    <x v="2"/>
    <s v="GBPR_NATGAS_SUOMENOJA2"/>
    <x v="0"/>
    <x v="0"/>
  </r>
  <r>
    <x v="0"/>
    <x v="0"/>
    <x v="0"/>
    <x v="0"/>
    <s v="FIN_GAS"/>
    <x v="2"/>
    <s v="GBPR_NATGAS_GASAREA"/>
    <x v="0"/>
    <x v="0"/>
  </r>
  <r>
    <x v="0"/>
    <x v="1"/>
    <x v="0"/>
    <x v="0"/>
    <s v="FIN_GAS"/>
    <x v="2"/>
    <s v="GBPR_NATGAS_GASAREA"/>
    <x v="0"/>
    <x v="0"/>
  </r>
  <r>
    <x v="0"/>
    <x v="2"/>
    <x v="0"/>
    <x v="0"/>
    <s v="FIN_GAS"/>
    <x v="2"/>
    <s v="GBPR_NATGAS_GASAREA"/>
    <x v="0"/>
    <x v="0"/>
  </r>
  <r>
    <x v="0"/>
    <x v="0"/>
    <x v="0"/>
    <x v="0"/>
    <s v="FIN_ESPOO"/>
    <x v="2"/>
    <s v="GBPR_NATGAS_SUOMENOJA"/>
    <x v="0"/>
    <x v="0"/>
  </r>
  <r>
    <x v="0"/>
    <x v="1"/>
    <x v="0"/>
    <x v="0"/>
    <s v="FIN_ESPOO"/>
    <x v="2"/>
    <s v="GBPR_NATGAS_SUOMENOJA"/>
    <x v="0"/>
    <x v="0"/>
  </r>
  <r>
    <x v="0"/>
    <x v="2"/>
    <x v="0"/>
    <x v="0"/>
    <s v="FIN_ESPOO"/>
    <x v="2"/>
    <s v="GBPR_NATGAS_SUOMENOJA"/>
    <x v="0"/>
    <x v="0"/>
  </r>
  <r>
    <x v="0"/>
    <x v="0"/>
    <x v="0"/>
    <x v="0"/>
    <s v="FIN_HELS"/>
    <x v="2"/>
    <s v="GBPR_NATGAS_MARTINLAAKSOGT"/>
    <x v="0"/>
    <x v="0"/>
  </r>
  <r>
    <x v="0"/>
    <x v="1"/>
    <x v="0"/>
    <x v="0"/>
    <s v="FIN_HELS"/>
    <x v="2"/>
    <s v="GBPR_NATGAS_MARTINLAAKSOGT"/>
    <x v="0"/>
    <x v="0"/>
  </r>
  <r>
    <x v="0"/>
    <x v="2"/>
    <x v="0"/>
    <x v="0"/>
    <s v="FIN_HELS"/>
    <x v="2"/>
    <s v="GBPR_NATGAS_MARTINLAAKSOGT"/>
    <x v="0"/>
    <x v="0"/>
  </r>
  <r>
    <x v="0"/>
    <x v="0"/>
    <x v="1"/>
    <x v="1"/>
    <s v="SE1_OTHER"/>
    <x v="2"/>
    <s v="GBPR_NATGAS"/>
    <x v="0"/>
    <x v="0"/>
  </r>
  <r>
    <x v="0"/>
    <x v="0"/>
    <x v="1"/>
    <x v="3"/>
    <s v="SE3_EL"/>
    <x v="2"/>
    <s v="GBPR_NATGAS"/>
    <x v="0"/>
    <x v="0"/>
  </r>
  <r>
    <x v="0"/>
    <x v="1"/>
    <x v="1"/>
    <x v="1"/>
    <s v="SE1_OTHER"/>
    <x v="2"/>
    <s v="GBPR_NATGAS"/>
    <x v="0"/>
    <x v="0"/>
  </r>
  <r>
    <x v="0"/>
    <x v="1"/>
    <x v="1"/>
    <x v="3"/>
    <s v="SE3_EL"/>
    <x v="2"/>
    <s v="GBPR_NATGAS"/>
    <x v="0"/>
    <x v="0"/>
  </r>
  <r>
    <x v="0"/>
    <x v="2"/>
    <x v="1"/>
    <x v="1"/>
    <s v="SE1_OTHER"/>
    <x v="2"/>
    <s v="GBPR_NATGAS"/>
    <x v="0"/>
    <x v="0"/>
  </r>
  <r>
    <x v="0"/>
    <x v="2"/>
    <x v="1"/>
    <x v="3"/>
    <s v="SE3_EL"/>
    <x v="2"/>
    <s v="GBPR_NATGAS"/>
    <x v="0"/>
    <x v="0"/>
  </r>
  <r>
    <x v="0"/>
    <x v="0"/>
    <x v="1"/>
    <x v="3"/>
    <s v="SE3_EL"/>
    <x v="1"/>
    <s v="GBPR_FUELOIL_LINK"/>
    <x v="0"/>
    <x v="0"/>
  </r>
  <r>
    <x v="0"/>
    <x v="1"/>
    <x v="1"/>
    <x v="3"/>
    <s v="SE3_EL"/>
    <x v="1"/>
    <s v="GBPR_FUELOIL_LINK"/>
    <x v="0"/>
    <x v="0"/>
  </r>
  <r>
    <x v="0"/>
    <x v="2"/>
    <x v="1"/>
    <x v="3"/>
    <s v="SE3_EL"/>
    <x v="1"/>
    <s v="GBPR_FUELOIL_LINK"/>
    <x v="0"/>
    <x v="0"/>
  </r>
  <r>
    <x v="0"/>
    <x v="0"/>
    <x v="1"/>
    <x v="3"/>
    <s v="SE3_EL"/>
    <x v="1"/>
    <s v="GBPR_FUELOIL"/>
    <x v="0"/>
    <x v="0"/>
  </r>
  <r>
    <x v="0"/>
    <x v="1"/>
    <x v="1"/>
    <x v="3"/>
    <s v="SE3_EL"/>
    <x v="1"/>
    <s v="GBPR_FUELOIL"/>
    <x v="0"/>
    <x v="0"/>
  </r>
  <r>
    <x v="0"/>
    <x v="2"/>
    <x v="1"/>
    <x v="3"/>
    <s v="SE3_EL"/>
    <x v="1"/>
    <s v="GBPR_FUELOIL"/>
    <x v="0"/>
    <x v="0"/>
  </r>
  <r>
    <x v="0"/>
    <x v="0"/>
    <x v="0"/>
    <x v="0"/>
    <s v="FIN_OTHER"/>
    <x v="12"/>
    <s v="GBPR_HEAVYFUELOIL"/>
    <x v="0"/>
    <x v="0"/>
  </r>
  <r>
    <x v="0"/>
    <x v="1"/>
    <x v="0"/>
    <x v="0"/>
    <s v="FIN_OTHER"/>
    <x v="12"/>
    <s v="GBPR_HEAVYFUELOIL"/>
    <x v="0"/>
    <x v="0"/>
  </r>
  <r>
    <x v="0"/>
    <x v="2"/>
    <x v="0"/>
    <x v="0"/>
    <s v="FIN_OTHER"/>
    <x v="12"/>
    <s v="GBPR_HEAVYFUELOIL"/>
    <x v="0"/>
    <x v="0"/>
  </r>
  <r>
    <x v="0"/>
    <x v="0"/>
    <x v="0"/>
    <x v="0"/>
    <s v="FIN_HELS"/>
    <x v="13"/>
    <s v="GETOH_HEATPUMP"/>
    <x v="0"/>
    <x v="0"/>
  </r>
  <r>
    <x v="0"/>
    <x v="0"/>
    <x v="0"/>
    <x v="0"/>
    <s v="FIN_HP"/>
    <x v="13"/>
    <s v="GETOH_HEATPUMP"/>
    <x v="0"/>
    <x v="0"/>
  </r>
  <r>
    <x v="0"/>
    <x v="0"/>
    <x v="2"/>
    <x v="6"/>
    <s v="NO1_A1"/>
    <x v="13"/>
    <s v="GETOH_HEATPUMP"/>
    <x v="0"/>
    <x v="0"/>
  </r>
  <r>
    <x v="0"/>
    <x v="0"/>
    <x v="2"/>
    <x v="6"/>
    <s v="NO1_A2"/>
    <x v="13"/>
    <s v="GETOH_HEATPUMP"/>
    <x v="0"/>
    <x v="0"/>
  </r>
  <r>
    <x v="0"/>
    <x v="0"/>
    <x v="2"/>
    <x v="7"/>
    <s v="NO2_A1"/>
    <x v="13"/>
    <s v="GETOH_HEATPUMP"/>
    <x v="0"/>
    <x v="0"/>
  </r>
  <r>
    <x v="0"/>
    <x v="0"/>
    <x v="2"/>
    <x v="5"/>
    <s v="NO3_A2"/>
    <x v="13"/>
    <s v="GETOH_HEATPUMP"/>
    <x v="0"/>
    <x v="0"/>
  </r>
  <r>
    <x v="0"/>
    <x v="0"/>
    <x v="2"/>
    <x v="8"/>
    <s v="NO4_A1"/>
    <x v="13"/>
    <s v="GETOH_HEATPUMP"/>
    <x v="0"/>
    <x v="0"/>
  </r>
  <r>
    <x v="0"/>
    <x v="0"/>
    <x v="2"/>
    <x v="9"/>
    <s v="NO5_A1"/>
    <x v="13"/>
    <s v="GETOH_HEATPUMP"/>
    <x v="0"/>
    <x v="0"/>
  </r>
  <r>
    <x v="0"/>
    <x v="0"/>
    <x v="1"/>
    <x v="2"/>
    <s v="SE2_EL"/>
    <x v="13"/>
    <s v="GETOH_HEATPUMP"/>
    <x v="0"/>
    <x v="0"/>
  </r>
  <r>
    <x v="0"/>
    <x v="1"/>
    <x v="0"/>
    <x v="0"/>
    <s v="FIN_HELS"/>
    <x v="13"/>
    <s v="GETOH_HEATPUMP"/>
    <x v="0"/>
    <x v="0"/>
  </r>
  <r>
    <x v="0"/>
    <x v="1"/>
    <x v="0"/>
    <x v="0"/>
    <s v="FIN_HP"/>
    <x v="13"/>
    <s v="GETOH_HEATPUMP"/>
    <x v="0"/>
    <x v="0"/>
  </r>
  <r>
    <x v="0"/>
    <x v="1"/>
    <x v="2"/>
    <x v="6"/>
    <s v="NO1_A1"/>
    <x v="13"/>
    <s v="GETOH_HEATPUMP"/>
    <x v="0"/>
    <x v="0"/>
  </r>
  <r>
    <x v="0"/>
    <x v="1"/>
    <x v="2"/>
    <x v="6"/>
    <s v="NO1_A2"/>
    <x v="13"/>
    <s v="GETOH_HEATPUMP"/>
    <x v="0"/>
    <x v="0"/>
  </r>
  <r>
    <x v="0"/>
    <x v="1"/>
    <x v="2"/>
    <x v="7"/>
    <s v="NO2_A1"/>
    <x v="13"/>
    <s v="GETOH_HEATPUMP"/>
    <x v="0"/>
    <x v="0"/>
  </r>
  <r>
    <x v="0"/>
    <x v="1"/>
    <x v="2"/>
    <x v="5"/>
    <s v="NO3_A2"/>
    <x v="13"/>
    <s v="GETOH_HEATPUMP"/>
    <x v="0"/>
    <x v="0"/>
  </r>
  <r>
    <x v="0"/>
    <x v="1"/>
    <x v="2"/>
    <x v="8"/>
    <s v="NO4_A1"/>
    <x v="13"/>
    <s v="GETOH_HEATPUMP"/>
    <x v="0"/>
    <x v="0"/>
  </r>
  <r>
    <x v="0"/>
    <x v="1"/>
    <x v="2"/>
    <x v="9"/>
    <s v="NO5_A1"/>
    <x v="13"/>
    <s v="GETOH_HEATPUMP"/>
    <x v="0"/>
    <x v="0"/>
  </r>
  <r>
    <x v="0"/>
    <x v="1"/>
    <x v="1"/>
    <x v="2"/>
    <s v="SE2_EL"/>
    <x v="13"/>
    <s v="GETOH_HEATPUMP"/>
    <x v="0"/>
    <x v="0"/>
  </r>
  <r>
    <x v="0"/>
    <x v="2"/>
    <x v="0"/>
    <x v="0"/>
    <s v="FIN_HELS"/>
    <x v="13"/>
    <s v="GETOH_HEATPUMP"/>
    <x v="0"/>
    <x v="0"/>
  </r>
  <r>
    <x v="0"/>
    <x v="2"/>
    <x v="0"/>
    <x v="0"/>
    <s v="FIN_HP"/>
    <x v="13"/>
    <s v="GETOH_HEATPUMP"/>
    <x v="0"/>
    <x v="0"/>
  </r>
  <r>
    <x v="0"/>
    <x v="2"/>
    <x v="2"/>
    <x v="6"/>
    <s v="NO1_A1"/>
    <x v="13"/>
    <s v="GETOH_HEATPUMP"/>
    <x v="0"/>
    <x v="0"/>
  </r>
  <r>
    <x v="0"/>
    <x v="2"/>
    <x v="2"/>
    <x v="6"/>
    <s v="NO1_A2"/>
    <x v="13"/>
    <s v="GETOH_HEATPUMP"/>
    <x v="0"/>
    <x v="0"/>
  </r>
  <r>
    <x v="0"/>
    <x v="2"/>
    <x v="2"/>
    <x v="7"/>
    <s v="NO2_A1"/>
    <x v="13"/>
    <s v="GETOH_HEATPUMP"/>
    <x v="0"/>
    <x v="0"/>
  </r>
  <r>
    <x v="0"/>
    <x v="2"/>
    <x v="2"/>
    <x v="5"/>
    <s v="NO3_A2"/>
    <x v="13"/>
    <s v="GETOH_HEATPUMP"/>
    <x v="0"/>
    <x v="0"/>
  </r>
  <r>
    <x v="0"/>
    <x v="2"/>
    <x v="2"/>
    <x v="8"/>
    <s v="NO4_A1"/>
    <x v="13"/>
    <s v="GETOH_HEATPUMP"/>
    <x v="0"/>
    <x v="0"/>
  </r>
  <r>
    <x v="0"/>
    <x v="2"/>
    <x v="2"/>
    <x v="9"/>
    <s v="NO5_A1"/>
    <x v="13"/>
    <s v="GETOH_HEATPUMP"/>
    <x v="0"/>
    <x v="0"/>
  </r>
  <r>
    <x v="0"/>
    <x v="2"/>
    <x v="1"/>
    <x v="2"/>
    <s v="SE2_EL"/>
    <x v="13"/>
    <s v="GETOH_HEATPUMP"/>
    <x v="0"/>
    <x v="0"/>
  </r>
  <r>
    <x v="0"/>
    <x v="0"/>
    <x v="1"/>
    <x v="3"/>
    <s v="SE3_EL"/>
    <x v="13"/>
    <s v="GETOH_HEATPUMP33"/>
    <x v="0"/>
    <x v="0"/>
  </r>
  <r>
    <x v="0"/>
    <x v="0"/>
    <x v="1"/>
    <x v="3"/>
    <s v="SE3_GOT"/>
    <x v="13"/>
    <s v="GETOH_HEATPUMP33"/>
    <x v="0"/>
    <x v="0"/>
  </r>
  <r>
    <x v="0"/>
    <x v="0"/>
    <x v="1"/>
    <x v="3"/>
    <s v="SE3_STO"/>
    <x v="13"/>
    <s v="GETOH_HEATPUMP33"/>
    <x v="0"/>
    <x v="0"/>
  </r>
  <r>
    <x v="0"/>
    <x v="0"/>
    <x v="1"/>
    <x v="4"/>
    <s v="SE4_MAL"/>
    <x v="13"/>
    <s v="GETOH_HEATPUMP33"/>
    <x v="0"/>
    <x v="0"/>
  </r>
  <r>
    <x v="0"/>
    <x v="1"/>
    <x v="1"/>
    <x v="3"/>
    <s v="SE3_EL"/>
    <x v="13"/>
    <s v="GETOH_HEATPUMP33"/>
    <x v="0"/>
    <x v="0"/>
  </r>
  <r>
    <x v="0"/>
    <x v="1"/>
    <x v="1"/>
    <x v="3"/>
    <s v="SE3_GOT"/>
    <x v="13"/>
    <s v="GETOH_HEATPUMP33"/>
    <x v="0"/>
    <x v="0"/>
  </r>
  <r>
    <x v="0"/>
    <x v="1"/>
    <x v="1"/>
    <x v="3"/>
    <s v="SE3_STO"/>
    <x v="13"/>
    <s v="GETOH_HEATPUMP33"/>
    <x v="0"/>
    <x v="0"/>
  </r>
  <r>
    <x v="0"/>
    <x v="1"/>
    <x v="1"/>
    <x v="4"/>
    <s v="SE4_MAL"/>
    <x v="13"/>
    <s v="GETOH_HEATPUMP33"/>
    <x v="0"/>
    <x v="0"/>
  </r>
  <r>
    <x v="0"/>
    <x v="2"/>
    <x v="1"/>
    <x v="3"/>
    <s v="SE3_EL"/>
    <x v="13"/>
    <s v="GETOH_HEATPUMP33"/>
    <x v="0"/>
    <x v="0"/>
  </r>
  <r>
    <x v="0"/>
    <x v="2"/>
    <x v="1"/>
    <x v="3"/>
    <s v="SE3_GOT"/>
    <x v="13"/>
    <s v="GETOH_HEATPUMP33"/>
    <x v="0"/>
    <x v="0"/>
  </r>
  <r>
    <x v="0"/>
    <x v="2"/>
    <x v="1"/>
    <x v="3"/>
    <s v="SE3_STO"/>
    <x v="13"/>
    <s v="GETOH_HEATPUMP33"/>
    <x v="0"/>
    <x v="0"/>
  </r>
  <r>
    <x v="0"/>
    <x v="2"/>
    <x v="1"/>
    <x v="4"/>
    <s v="SE4_MAL"/>
    <x v="13"/>
    <s v="GETOH_HEATPUMP33"/>
    <x v="0"/>
    <x v="0"/>
  </r>
  <r>
    <x v="0"/>
    <x v="0"/>
    <x v="1"/>
    <x v="4"/>
    <s v="SE4_EL"/>
    <x v="13"/>
    <s v="GETOH_HEATPUMP1"/>
    <x v="0"/>
    <x v="0"/>
  </r>
  <r>
    <x v="0"/>
    <x v="0"/>
    <x v="1"/>
    <x v="4"/>
    <s v="SE4_HP"/>
    <x v="13"/>
    <s v="GETOH_HEATPUMP1"/>
    <x v="0"/>
    <x v="0"/>
  </r>
  <r>
    <x v="0"/>
    <x v="1"/>
    <x v="1"/>
    <x v="4"/>
    <s v="SE4_EL"/>
    <x v="13"/>
    <s v="GETOH_HEATPUMP1"/>
    <x v="0"/>
    <x v="0"/>
  </r>
  <r>
    <x v="0"/>
    <x v="1"/>
    <x v="1"/>
    <x v="4"/>
    <s v="SE4_HP"/>
    <x v="13"/>
    <s v="GETOH_HEATPUMP1"/>
    <x v="0"/>
    <x v="0"/>
  </r>
  <r>
    <x v="0"/>
    <x v="2"/>
    <x v="1"/>
    <x v="4"/>
    <s v="SE4_EL"/>
    <x v="13"/>
    <s v="GETOH_HEATPUMP1"/>
    <x v="0"/>
    <x v="0"/>
  </r>
  <r>
    <x v="0"/>
    <x v="2"/>
    <x v="1"/>
    <x v="4"/>
    <s v="SE4_HP"/>
    <x v="13"/>
    <s v="GETOH_HEATPUMP1"/>
    <x v="0"/>
    <x v="0"/>
  </r>
  <r>
    <x v="0"/>
    <x v="0"/>
    <x v="1"/>
    <x v="3"/>
    <s v="SE3_HP"/>
    <x v="13"/>
    <s v="GETOH_HEATPUMP2"/>
    <x v="0"/>
    <x v="0"/>
  </r>
  <r>
    <x v="0"/>
    <x v="1"/>
    <x v="1"/>
    <x v="3"/>
    <s v="SE3_HP"/>
    <x v="13"/>
    <s v="GETOH_HEATPUMP2"/>
    <x v="0"/>
    <x v="0"/>
  </r>
  <r>
    <x v="0"/>
    <x v="2"/>
    <x v="1"/>
    <x v="3"/>
    <s v="SE3_HP"/>
    <x v="13"/>
    <s v="GETOH_HEATPUMP2"/>
    <x v="0"/>
    <x v="0"/>
  </r>
  <r>
    <x v="0"/>
    <x v="0"/>
    <x v="2"/>
    <x v="5"/>
    <s v="NO3_A1"/>
    <x v="13"/>
    <s v="GETOH_HEATPUMP3"/>
    <x v="0"/>
    <x v="0"/>
  </r>
  <r>
    <x v="0"/>
    <x v="1"/>
    <x v="2"/>
    <x v="5"/>
    <s v="NO3_A1"/>
    <x v="13"/>
    <s v="GETOH_HEATPUMP3"/>
    <x v="0"/>
    <x v="0"/>
  </r>
  <r>
    <x v="0"/>
    <x v="2"/>
    <x v="2"/>
    <x v="5"/>
    <s v="NO3_A1"/>
    <x v="13"/>
    <s v="GETOH_HEATPUMP3"/>
    <x v="0"/>
    <x v="0"/>
  </r>
  <r>
    <x v="0"/>
    <x v="0"/>
    <x v="0"/>
    <x v="0"/>
    <s v="FIN_EL"/>
    <x v="13"/>
    <s v="GETOH_ELECTRICBOILER"/>
    <x v="0"/>
    <x v="0"/>
  </r>
  <r>
    <x v="0"/>
    <x v="0"/>
    <x v="0"/>
    <x v="0"/>
    <s v="FIN_HP"/>
    <x v="13"/>
    <s v="GETOH_ELECTRICBOILER"/>
    <x v="0"/>
    <x v="0"/>
  </r>
  <r>
    <x v="0"/>
    <x v="0"/>
    <x v="0"/>
    <x v="0"/>
    <s v="FIN_TAMP"/>
    <x v="13"/>
    <s v="GETOH_ELECTRICBOILER"/>
    <x v="0"/>
    <x v="0"/>
  </r>
  <r>
    <x v="0"/>
    <x v="0"/>
    <x v="2"/>
    <x v="6"/>
    <s v="NO1_A1"/>
    <x v="13"/>
    <s v="GETOH_ELECTRICBOILER"/>
    <x v="0"/>
    <x v="0"/>
  </r>
  <r>
    <x v="0"/>
    <x v="0"/>
    <x v="2"/>
    <x v="6"/>
    <s v="NO1_A2"/>
    <x v="13"/>
    <s v="GETOH_ELECTRICBOILER"/>
    <x v="0"/>
    <x v="0"/>
  </r>
  <r>
    <x v="0"/>
    <x v="0"/>
    <x v="2"/>
    <x v="7"/>
    <s v="NO2_A1"/>
    <x v="13"/>
    <s v="GETOH_ELECTRICBOILER"/>
    <x v="0"/>
    <x v="0"/>
  </r>
  <r>
    <x v="0"/>
    <x v="0"/>
    <x v="2"/>
    <x v="5"/>
    <s v="NO3_A1"/>
    <x v="13"/>
    <s v="GETOH_ELECTRICBOILER"/>
    <x v="0"/>
    <x v="0"/>
  </r>
  <r>
    <x v="0"/>
    <x v="0"/>
    <x v="2"/>
    <x v="5"/>
    <s v="NO3_A2"/>
    <x v="13"/>
    <s v="GETOH_ELECTRICBOILER"/>
    <x v="0"/>
    <x v="0"/>
  </r>
  <r>
    <x v="0"/>
    <x v="0"/>
    <x v="2"/>
    <x v="8"/>
    <s v="NO4_A1"/>
    <x v="13"/>
    <s v="GETOH_ELECTRICBOILER"/>
    <x v="0"/>
    <x v="0"/>
  </r>
  <r>
    <x v="0"/>
    <x v="0"/>
    <x v="2"/>
    <x v="9"/>
    <s v="NO5_A1"/>
    <x v="13"/>
    <s v="GETOH_ELECTRICBOILER"/>
    <x v="0"/>
    <x v="0"/>
  </r>
  <r>
    <x v="0"/>
    <x v="0"/>
    <x v="1"/>
    <x v="1"/>
    <s v="SE1_EL"/>
    <x v="13"/>
    <s v="GETOH_ELECTRICBOILER"/>
    <x v="0"/>
    <x v="0"/>
  </r>
  <r>
    <x v="0"/>
    <x v="0"/>
    <x v="1"/>
    <x v="2"/>
    <s v="SE2_EL"/>
    <x v="13"/>
    <s v="GETOH_ELECTRICBOILER"/>
    <x v="0"/>
    <x v="0"/>
  </r>
  <r>
    <x v="0"/>
    <x v="0"/>
    <x v="1"/>
    <x v="3"/>
    <s v="SE3_EL"/>
    <x v="13"/>
    <s v="GETOH_ELECTRICBOILER"/>
    <x v="0"/>
    <x v="0"/>
  </r>
  <r>
    <x v="0"/>
    <x v="0"/>
    <x v="1"/>
    <x v="3"/>
    <s v="SE3_HP"/>
    <x v="13"/>
    <s v="GETOH_ELECTRICBOILER"/>
    <x v="0"/>
    <x v="0"/>
  </r>
  <r>
    <x v="0"/>
    <x v="0"/>
    <x v="1"/>
    <x v="3"/>
    <s v="SE3_STO"/>
    <x v="13"/>
    <s v="GETOH_ELECTRICBOILER"/>
    <x v="0"/>
    <x v="0"/>
  </r>
  <r>
    <x v="0"/>
    <x v="0"/>
    <x v="1"/>
    <x v="4"/>
    <s v="SE4_EL"/>
    <x v="13"/>
    <s v="GETOH_ELECTRICBOILER"/>
    <x v="0"/>
    <x v="0"/>
  </r>
  <r>
    <x v="0"/>
    <x v="1"/>
    <x v="0"/>
    <x v="0"/>
    <s v="FIN_EL"/>
    <x v="13"/>
    <s v="GETOH_ELECTRICBOILER"/>
    <x v="0"/>
    <x v="0"/>
  </r>
  <r>
    <x v="0"/>
    <x v="1"/>
    <x v="0"/>
    <x v="0"/>
    <s v="FIN_HP"/>
    <x v="13"/>
    <s v="GETOH_ELECTRICBOILER"/>
    <x v="0"/>
    <x v="0"/>
  </r>
  <r>
    <x v="0"/>
    <x v="1"/>
    <x v="0"/>
    <x v="0"/>
    <s v="FIN_TAMP"/>
    <x v="13"/>
    <s v="GETOH_ELECTRICBOILER"/>
    <x v="0"/>
    <x v="0"/>
  </r>
  <r>
    <x v="0"/>
    <x v="1"/>
    <x v="2"/>
    <x v="6"/>
    <s v="NO1_A1"/>
    <x v="13"/>
    <s v="GETOH_ELECTRICBOILER"/>
    <x v="0"/>
    <x v="0"/>
  </r>
  <r>
    <x v="0"/>
    <x v="1"/>
    <x v="2"/>
    <x v="6"/>
    <s v="NO1_A2"/>
    <x v="13"/>
    <s v="GETOH_ELECTRICBOILER"/>
    <x v="0"/>
    <x v="0"/>
  </r>
  <r>
    <x v="0"/>
    <x v="1"/>
    <x v="2"/>
    <x v="7"/>
    <s v="NO2_A1"/>
    <x v="13"/>
    <s v="GETOH_ELECTRICBOILER"/>
    <x v="0"/>
    <x v="0"/>
  </r>
  <r>
    <x v="0"/>
    <x v="1"/>
    <x v="2"/>
    <x v="5"/>
    <s v="NO3_A1"/>
    <x v="13"/>
    <s v="GETOH_ELECTRICBOILER"/>
    <x v="0"/>
    <x v="0"/>
  </r>
  <r>
    <x v="0"/>
    <x v="1"/>
    <x v="2"/>
    <x v="5"/>
    <s v="NO3_A2"/>
    <x v="13"/>
    <s v="GETOH_ELECTRICBOILER"/>
    <x v="0"/>
    <x v="0"/>
  </r>
  <r>
    <x v="0"/>
    <x v="1"/>
    <x v="2"/>
    <x v="8"/>
    <s v="NO4_A1"/>
    <x v="13"/>
    <s v="GETOH_ELECTRICBOILER"/>
    <x v="0"/>
    <x v="0"/>
  </r>
  <r>
    <x v="0"/>
    <x v="1"/>
    <x v="2"/>
    <x v="9"/>
    <s v="NO5_A1"/>
    <x v="13"/>
    <s v="GETOH_ELECTRICBOILER"/>
    <x v="0"/>
    <x v="0"/>
  </r>
  <r>
    <x v="0"/>
    <x v="1"/>
    <x v="1"/>
    <x v="1"/>
    <s v="SE1_EL"/>
    <x v="13"/>
    <s v="GETOH_ELECTRICBOILER"/>
    <x v="0"/>
    <x v="0"/>
  </r>
  <r>
    <x v="0"/>
    <x v="1"/>
    <x v="1"/>
    <x v="2"/>
    <s v="SE2_EL"/>
    <x v="13"/>
    <s v="GETOH_ELECTRICBOILER"/>
    <x v="0"/>
    <x v="0"/>
  </r>
  <r>
    <x v="0"/>
    <x v="1"/>
    <x v="1"/>
    <x v="3"/>
    <s v="SE3_EL"/>
    <x v="13"/>
    <s v="GETOH_ELECTRICBOILER"/>
    <x v="0"/>
    <x v="0"/>
  </r>
  <r>
    <x v="0"/>
    <x v="1"/>
    <x v="1"/>
    <x v="3"/>
    <s v="SE3_HP"/>
    <x v="13"/>
    <s v="GETOH_ELECTRICBOILER"/>
    <x v="0"/>
    <x v="0"/>
  </r>
  <r>
    <x v="0"/>
    <x v="1"/>
    <x v="1"/>
    <x v="3"/>
    <s v="SE3_STO"/>
    <x v="13"/>
    <s v="GETOH_ELECTRICBOILER"/>
    <x v="0"/>
    <x v="0"/>
  </r>
  <r>
    <x v="0"/>
    <x v="1"/>
    <x v="1"/>
    <x v="4"/>
    <s v="SE4_EL"/>
    <x v="13"/>
    <s v="GETOH_ELECTRICBOILER"/>
    <x v="0"/>
    <x v="0"/>
  </r>
  <r>
    <x v="0"/>
    <x v="2"/>
    <x v="0"/>
    <x v="0"/>
    <s v="FIN_EL"/>
    <x v="13"/>
    <s v="GETOH_ELECTRICBOILER"/>
    <x v="0"/>
    <x v="0"/>
  </r>
  <r>
    <x v="0"/>
    <x v="2"/>
    <x v="0"/>
    <x v="0"/>
    <s v="FIN_HP"/>
    <x v="13"/>
    <s v="GETOH_ELECTRICBOILER"/>
    <x v="0"/>
    <x v="0"/>
  </r>
  <r>
    <x v="0"/>
    <x v="2"/>
    <x v="0"/>
    <x v="0"/>
    <s v="FIN_TAMP"/>
    <x v="13"/>
    <s v="GETOH_ELECTRICBOILER"/>
    <x v="0"/>
    <x v="0"/>
  </r>
  <r>
    <x v="0"/>
    <x v="2"/>
    <x v="2"/>
    <x v="6"/>
    <s v="NO1_A1"/>
    <x v="13"/>
    <s v="GETOH_ELECTRICBOILER"/>
    <x v="0"/>
    <x v="0"/>
  </r>
  <r>
    <x v="0"/>
    <x v="2"/>
    <x v="2"/>
    <x v="6"/>
    <s v="NO1_A2"/>
    <x v="13"/>
    <s v="GETOH_ELECTRICBOILER"/>
    <x v="0"/>
    <x v="0"/>
  </r>
  <r>
    <x v="0"/>
    <x v="2"/>
    <x v="2"/>
    <x v="7"/>
    <s v="NO2_A1"/>
    <x v="13"/>
    <s v="GETOH_ELECTRICBOILER"/>
    <x v="0"/>
    <x v="0"/>
  </r>
  <r>
    <x v="0"/>
    <x v="2"/>
    <x v="2"/>
    <x v="5"/>
    <s v="NO3_A1"/>
    <x v="13"/>
    <s v="GETOH_ELECTRICBOILER"/>
    <x v="0"/>
    <x v="0"/>
  </r>
  <r>
    <x v="0"/>
    <x v="2"/>
    <x v="2"/>
    <x v="5"/>
    <s v="NO3_A2"/>
    <x v="13"/>
    <s v="GETOH_ELECTRICBOILER"/>
    <x v="0"/>
    <x v="0"/>
  </r>
  <r>
    <x v="0"/>
    <x v="2"/>
    <x v="2"/>
    <x v="8"/>
    <s v="NO4_A1"/>
    <x v="13"/>
    <s v="GETOH_ELECTRICBOILER"/>
    <x v="0"/>
    <x v="0"/>
  </r>
  <r>
    <x v="0"/>
    <x v="2"/>
    <x v="2"/>
    <x v="9"/>
    <s v="NO5_A1"/>
    <x v="13"/>
    <s v="GETOH_ELECTRICBOILER"/>
    <x v="0"/>
    <x v="0"/>
  </r>
  <r>
    <x v="0"/>
    <x v="2"/>
    <x v="1"/>
    <x v="1"/>
    <s v="SE1_EL"/>
    <x v="13"/>
    <s v="GETOH_ELECTRICBOILER"/>
    <x v="0"/>
    <x v="0"/>
  </r>
  <r>
    <x v="0"/>
    <x v="2"/>
    <x v="1"/>
    <x v="2"/>
    <s v="SE2_EL"/>
    <x v="13"/>
    <s v="GETOH_ELECTRICBOILER"/>
    <x v="0"/>
    <x v="0"/>
  </r>
  <r>
    <x v="0"/>
    <x v="2"/>
    <x v="1"/>
    <x v="3"/>
    <s v="SE3_EL"/>
    <x v="13"/>
    <s v="GETOH_ELECTRICBOILER"/>
    <x v="0"/>
    <x v="0"/>
  </r>
  <r>
    <x v="0"/>
    <x v="2"/>
    <x v="1"/>
    <x v="3"/>
    <s v="SE3_HP"/>
    <x v="13"/>
    <s v="GETOH_ELECTRICBOILER"/>
    <x v="0"/>
    <x v="0"/>
  </r>
  <r>
    <x v="0"/>
    <x v="2"/>
    <x v="1"/>
    <x v="3"/>
    <s v="SE3_STO"/>
    <x v="13"/>
    <s v="GETOH_ELECTRICBOILER"/>
    <x v="0"/>
    <x v="0"/>
  </r>
  <r>
    <x v="0"/>
    <x v="2"/>
    <x v="1"/>
    <x v="4"/>
    <s v="SE4_EL"/>
    <x v="13"/>
    <s v="GETOH_ELECTRICBOILER"/>
    <x v="0"/>
    <x v="0"/>
  </r>
  <r>
    <x v="0"/>
    <x v="0"/>
    <x v="0"/>
    <x v="0"/>
    <s v="FinA"/>
    <x v="4"/>
    <s v="GBPR_IND_BIO"/>
    <x v="0"/>
    <x v="0"/>
  </r>
  <r>
    <x v="0"/>
    <x v="0"/>
    <x v="1"/>
    <x v="1"/>
    <s v="SE1A"/>
    <x v="4"/>
    <s v="GBPR_IND_BIO"/>
    <x v="0"/>
    <x v="0"/>
  </r>
  <r>
    <x v="0"/>
    <x v="0"/>
    <x v="1"/>
    <x v="2"/>
    <s v="SE2A"/>
    <x v="4"/>
    <s v="GBPR_IND_BIO"/>
    <x v="0"/>
    <x v="0"/>
  </r>
  <r>
    <x v="0"/>
    <x v="0"/>
    <x v="1"/>
    <x v="3"/>
    <s v="SE3A"/>
    <x v="4"/>
    <s v="GBPR_IND_BIO"/>
    <x v="0"/>
    <x v="0"/>
  </r>
  <r>
    <x v="0"/>
    <x v="0"/>
    <x v="1"/>
    <x v="4"/>
    <s v="SE4A"/>
    <x v="4"/>
    <s v="GBPR_IND_BIO"/>
    <x v="0"/>
    <x v="0"/>
  </r>
  <r>
    <x v="0"/>
    <x v="1"/>
    <x v="0"/>
    <x v="0"/>
    <s v="FinA"/>
    <x v="4"/>
    <s v="GBPR_IND_BIO"/>
    <x v="0"/>
    <x v="0"/>
  </r>
  <r>
    <x v="0"/>
    <x v="1"/>
    <x v="1"/>
    <x v="1"/>
    <s v="SE1A"/>
    <x v="4"/>
    <s v="GBPR_IND_BIO"/>
    <x v="0"/>
    <x v="0"/>
  </r>
  <r>
    <x v="0"/>
    <x v="1"/>
    <x v="1"/>
    <x v="2"/>
    <s v="SE2A"/>
    <x v="4"/>
    <s v="GBPR_IND_BIO"/>
    <x v="0"/>
    <x v="0"/>
  </r>
  <r>
    <x v="0"/>
    <x v="1"/>
    <x v="1"/>
    <x v="3"/>
    <s v="SE3A"/>
    <x v="4"/>
    <s v="GBPR_IND_BIO"/>
    <x v="0"/>
    <x v="0"/>
  </r>
  <r>
    <x v="0"/>
    <x v="1"/>
    <x v="1"/>
    <x v="4"/>
    <s v="SE4A"/>
    <x v="4"/>
    <s v="GBPR_IND_BIO"/>
    <x v="0"/>
    <x v="0"/>
  </r>
  <r>
    <x v="0"/>
    <x v="2"/>
    <x v="0"/>
    <x v="0"/>
    <s v="FinA"/>
    <x v="4"/>
    <s v="GBPR_IND_BIO"/>
    <x v="0"/>
    <x v="0"/>
  </r>
  <r>
    <x v="0"/>
    <x v="2"/>
    <x v="1"/>
    <x v="1"/>
    <s v="SE1A"/>
    <x v="4"/>
    <s v="GBPR_IND_BIO"/>
    <x v="0"/>
    <x v="0"/>
  </r>
  <r>
    <x v="0"/>
    <x v="2"/>
    <x v="1"/>
    <x v="2"/>
    <s v="SE2A"/>
    <x v="4"/>
    <s v="GBPR_IND_BIO"/>
    <x v="0"/>
    <x v="0"/>
  </r>
  <r>
    <x v="0"/>
    <x v="2"/>
    <x v="1"/>
    <x v="3"/>
    <s v="SE3A"/>
    <x v="4"/>
    <s v="GBPR_IND_BIO"/>
    <x v="0"/>
    <x v="0"/>
  </r>
  <r>
    <x v="0"/>
    <x v="2"/>
    <x v="1"/>
    <x v="4"/>
    <s v="SE4A"/>
    <x v="4"/>
    <s v="GBPR_IND_BIO"/>
    <x v="0"/>
    <x v="0"/>
  </r>
  <r>
    <x v="0"/>
    <x v="0"/>
    <x v="1"/>
    <x v="1"/>
    <s v="SE1A"/>
    <x v="1"/>
    <s v="GBPR_IND_FOSSILE"/>
    <x v="0"/>
    <x v="0"/>
  </r>
  <r>
    <x v="0"/>
    <x v="1"/>
    <x v="1"/>
    <x v="1"/>
    <s v="SE1A"/>
    <x v="1"/>
    <s v="GBPR_IND_FOSSILE"/>
    <x v="0"/>
    <x v="0"/>
  </r>
  <r>
    <x v="0"/>
    <x v="2"/>
    <x v="1"/>
    <x v="1"/>
    <s v="SE1A"/>
    <x v="1"/>
    <s v="GBPR_IND_FOSSILE"/>
    <x v="0"/>
    <x v="0"/>
  </r>
  <r>
    <x v="0"/>
    <x v="0"/>
    <x v="0"/>
    <x v="0"/>
    <s v="FinA"/>
    <x v="4"/>
    <s v="GBPR_WOOD_IND"/>
    <x v="0"/>
    <x v="0"/>
  </r>
  <r>
    <x v="0"/>
    <x v="1"/>
    <x v="0"/>
    <x v="0"/>
    <s v="FinA"/>
    <x v="4"/>
    <s v="GBPR_WOOD_IND"/>
    <x v="0"/>
    <x v="0"/>
  </r>
  <r>
    <x v="0"/>
    <x v="2"/>
    <x v="0"/>
    <x v="0"/>
    <s v="FinA"/>
    <x v="4"/>
    <s v="GBPR_WOOD_IND"/>
    <x v="0"/>
    <x v="0"/>
  </r>
  <r>
    <x v="0"/>
    <x v="0"/>
    <x v="0"/>
    <x v="0"/>
    <s v="FinA"/>
    <x v="5"/>
    <s v="GBPR_PEAT_IND"/>
    <x v="0"/>
    <x v="0"/>
  </r>
  <r>
    <x v="0"/>
    <x v="1"/>
    <x v="0"/>
    <x v="0"/>
    <s v="FinA"/>
    <x v="5"/>
    <s v="GBPR_PEAT_IND"/>
    <x v="0"/>
    <x v="0"/>
  </r>
  <r>
    <x v="0"/>
    <x v="2"/>
    <x v="0"/>
    <x v="0"/>
    <s v="FinA"/>
    <x v="5"/>
    <s v="GBPR_PEAT_IND"/>
    <x v="0"/>
    <x v="0"/>
  </r>
  <r>
    <x v="0"/>
    <x v="0"/>
    <x v="0"/>
    <x v="0"/>
    <s v="FinA"/>
    <x v="2"/>
    <s v="GBPR_NATGAS_IND"/>
    <x v="0"/>
    <x v="0"/>
  </r>
  <r>
    <x v="0"/>
    <x v="1"/>
    <x v="0"/>
    <x v="0"/>
    <s v="FinA"/>
    <x v="2"/>
    <s v="GBPR_NATGAS_IND"/>
    <x v="0"/>
    <x v="0"/>
  </r>
  <r>
    <x v="0"/>
    <x v="2"/>
    <x v="0"/>
    <x v="0"/>
    <s v="FinA"/>
    <x v="2"/>
    <s v="GBPR_NATGAS_IND"/>
    <x v="0"/>
    <x v="0"/>
  </r>
  <r>
    <x v="0"/>
    <x v="0"/>
    <x v="0"/>
    <x v="0"/>
    <s v="FinA"/>
    <x v="0"/>
    <s v="GBPR_COAL_IND"/>
    <x v="0"/>
    <x v="0"/>
  </r>
  <r>
    <x v="0"/>
    <x v="1"/>
    <x v="0"/>
    <x v="0"/>
    <s v="FinA"/>
    <x v="0"/>
    <s v="GBPR_COAL_IND"/>
    <x v="0"/>
    <x v="0"/>
  </r>
  <r>
    <x v="0"/>
    <x v="2"/>
    <x v="0"/>
    <x v="0"/>
    <s v="FinA"/>
    <x v="0"/>
    <s v="GBPR_COAL_IND"/>
    <x v="0"/>
    <x v="0"/>
  </r>
  <r>
    <x v="0"/>
    <x v="0"/>
    <x v="0"/>
    <x v="0"/>
    <s v="FinA"/>
    <x v="1"/>
    <s v="GBPR_FUELOIL_IND"/>
    <x v="0"/>
    <x v="0"/>
  </r>
  <r>
    <x v="0"/>
    <x v="1"/>
    <x v="0"/>
    <x v="0"/>
    <s v="FinA"/>
    <x v="1"/>
    <s v="GBPR_FUELOIL_IND"/>
    <x v="0"/>
    <x v="0"/>
  </r>
  <r>
    <x v="0"/>
    <x v="2"/>
    <x v="0"/>
    <x v="0"/>
    <s v="FinA"/>
    <x v="1"/>
    <s v="GBPR_FUELOIL_IND"/>
    <x v="0"/>
    <x v="0"/>
  </r>
  <r>
    <x v="0"/>
    <x v="0"/>
    <x v="3"/>
    <x v="10"/>
    <s v="LT_Other_DH"/>
    <x v="2"/>
    <s v="ACHEMA1_ST_NGAS_EXT"/>
    <x v="0"/>
    <x v="0"/>
  </r>
  <r>
    <x v="0"/>
    <x v="1"/>
    <x v="3"/>
    <x v="10"/>
    <s v="LT_Other_DH"/>
    <x v="2"/>
    <s v="ACHEMA1_ST_NGAS_EXT"/>
    <x v="0"/>
    <x v="0"/>
  </r>
  <r>
    <x v="0"/>
    <x v="2"/>
    <x v="3"/>
    <x v="10"/>
    <s v="LT_Other_DH"/>
    <x v="2"/>
    <s v="ACHEMA1_ST_NGAS_EXT"/>
    <x v="0"/>
    <x v="0"/>
  </r>
  <r>
    <x v="0"/>
    <x v="0"/>
    <x v="3"/>
    <x v="10"/>
    <s v="LT_Other_DH"/>
    <x v="2"/>
    <s v="ACHEMA2_ST_NGAS_EXT"/>
    <x v="0"/>
    <x v="0"/>
  </r>
  <r>
    <x v="0"/>
    <x v="1"/>
    <x v="3"/>
    <x v="10"/>
    <s v="LT_Other_DH"/>
    <x v="2"/>
    <s v="ACHEMA2_ST_NGAS_EXT"/>
    <x v="0"/>
    <x v="0"/>
  </r>
  <r>
    <x v="0"/>
    <x v="2"/>
    <x v="3"/>
    <x v="10"/>
    <s v="LT_Other_DH"/>
    <x v="2"/>
    <s v="ACHEMA2_ST_NGAS_EXT"/>
    <x v="0"/>
    <x v="0"/>
  </r>
  <r>
    <x v="0"/>
    <x v="0"/>
    <x v="4"/>
    <x v="11"/>
    <s v="PL_A"/>
    <x v="14"/>
    <s v="ADAM-1_ST_LIGNITE_EXT"/>
    <x v="0"/>
    <x v="0"/>
  </r>
  <r>
    <x v="0"/>
    <x v="1"/>
    <x v="4"/>
    <x v="11"/>
    <s v="PL_A"/>
    <x v="14"/>
    <s v="ADAM-1_ST_LIGNITE_EXT"/>
    <x v="0"/>
    <x v="0"/>
  </r>
  <r>
    <x v="0"/>
    <x v="0"/>
    <x v="4"/>
    <x v="11"/>
    <s v="PL_Rural"/>
    <x v="14"/>
    <s v="ADAM-2_ST_LIGNITE_CON"/>
    <x v="0"/>
    <x v="0"/>
  </r>
  <r>
    <x v="0"/>
    <x v="1"/>
    <x v="4"/>
    <x v="11"/>
    <s v="PL_Rural"/>
    <x v="14"/>
    <s v="ADAM-2_ST_LIGNITE_CON"/>
    <x v="0"/>
    <x v="0"/>
  </r>
  <r>
    <x v="0"/>
    <x v="0"/>
    <x v="5"/>
    <x v="12"/>
    <s v="DE4-E_A"/>
    <x v="13"/>
    <s v="AGG-DE4-E_ES_ELEC"/>
    <x v="0"/>
    <x v="0"/>
  </r>
  <r>
    <x v="0"/>
    <x v="1"/>
    <x v="5"/>
    <x v="12"/>
    <s v="DE4-E_A"/>
    <x v="13"/>
    <s v="AGG-DE4-E_ES_ELEC"/>
    <x v="0"/>
    <x v="0"/>
  </r>
  <r>
    <x v="0"/>
    <x v="2"/>
    <x v="5"/>
    <x v="12"/>
    <s v="DE4-E_A"/>
    <x v="13"/>
    <s v="AGG-DE4-E_ES_ELEC"/>
    <x v="0"/>
    <x v="0"/>
  </r>
  <r>
    <x v="0"/>
    <x v="0"/>
    <x v="5"/>
    <x v="12"/>
    <s v="DE4-E_A"/>
    <x v="13"/>
    <s v="AGG-DE4-E_RES_WTR_PMP"/>
    <x v="0"/>
    <x v="0"/>
  </r>
  <r>
    <x v="0"/>
    <x v="1"/>
    <x v="5"/>
    <x v="12"/>
    <s v="DE4-E_A"/>
    <x v="13"/>
    <s v="AGG-DE4-E_RES_WTR_PMP"/>
    <x v="0"/>
    <x v="0"/>
  </r>
  <r>
    <x v="0"/>
    <x v="2"/>
    <x v="5"/>
    <x v="12"/>
    <s v="DE4-E_A"/>
    <x v="13"/>
    <s v="AGG-DE4-E_RES_WTR_PMP"/>
    <x v="0"/>
    <x v="0"/>
  </r>
  <r>
    <x v="0"/>
    <x v="0"/>
    <x v="5"/>
    <x v="13"/>
    <s v="DE4-N_A"/>
    <x v="13"/>
    <s v="AGG-DE4-N_ES_ELEC"/>
    <x v="0"/>
    <x v="0"/>
  </r>
  <r>
    <x v="0"/>
    <x v="1"/>
    <x v="5"/>
    <x v="13"/>
    <s v="DE4-N_A"/>
    <x v="13"/>
    <s v="AGG-DE4-N_ES_ELEC"/>
    <x v="0"/>
    <x v="0"/>
  </r>
  <r>
    <x v="0"/>
    <x v="2"/>
    <x v="5"/>
    <x v="13"/>
    <s v="DE4-N_A"/>
    <x v="13"/>
    <s v="AGG-DE4-N_ES_ELEC"/>
    <x v="0"/>
    <x v="0"/>
  </r>
  <r>
    <x v="0"/>
    <x v="0"/>
    <x v="5"/>
    <x v="13"/>
    <s v="DE4-N_A"/>
    <x v="13"/>
    <s v="AGG-DE4-N_RES_WTR_PMP"/>
    <x v="0"/>
    <x v="0"/>
  </r>
  <r>
    <x v="0"/>
    <x v="1"/>
    <x v="5"/>
    <x v="13"/>
    <s v="DE4-N_A"/>
    <x v="13"/>
    <s v="AGG-DE4-N_RES_WTR_PMP"/>
    <x v="0"/>
    <x v="0"/>
  </r>
  <r>
    <x v="0"/>
    <x v="2"/>
    <x v="5"/>
    <x v="13"/>
    <s v="DE4-N_A"/>
    <x v="13"/>
    <s v="AGG-DE4-N_RES_WTR_PMP"/>
    <x v="0"/>
    <x v="0"/>
  </r>
  <r>
    <x v="0"/>
    <x v="0"/>
    <x v="5"/>
    <x v="14"/>
    <s v="DE4-S_A"/>
    <x v="13"/>
    <s v="AGG-DE4-S_ES_ELEC"/>
    <x v="0"/>
    <x v="0"/>
  </r>
  <r>
    <x v="0"/>
    <x v="1"/>
    <x v="5"/>
    <x v="14"/>
    <s v="DE4-S_A"/>
    <x v="13"/>
    <s v="AGG-DE4-S_ES_ELEC"/>
    <x v="0"/>
    <x v="0"/>
  </r>
  <r>
    <x v="0"/>
    <x v="2"/>
    <x v="5"/>
    <x v="14"/>
    <s v="DE4-S_A"/>
    <x v="13"/>
    <s v="AGG-DE4-S_ES_ELEC"/>
    <x v="0"/>
    <x v="0"/>
  </r>
  <r>
    <x v="0"/>
    <x v="0"/>
    <x v="5"/>
    <x v="14"/>
    <s v="DE4-S_A"/>
    <x v="13"/>
    <s v="AGG-DE4-S_RES_WTR_PMP"/>
    <x v="0"/>
    <x v="0"/>
  </r>
  <r>
    <x v="0"/>
    <x v="1"/>
    <x v="5"/>
    <x v="14"/>
    <s v="DE4-S_A"/>
    <x v="13"/>
    <s v="AGG-DE4-S_RES_WTR_PMP"/>
    <x v="0"/>
    <x v="0"/>
  </r>
  <r>
    <x v="0"/>
    <x v="2"/>
    <x v="5"/>
    <x v="14"/>
    <s v="DE4-S_A"/>
    <x v="13"/>
    <s v="AGG-DE4-S_RES_WTR_PMP"/>
    <x v="0"/>
    <x v="0"/>
  </r>
  <r>
    <x v="0"/>
    <x v="0"/>
    <x v="5"/>
    <x v="15"/>
    <s v="DE4-W_A"/>
    <x v="13"/>
    <s v="AGG-DE4-W_ES_ELEC"/>
    <x v="0"/>
    <x v="0"/>
  </r>
  <r>
    <x v="0"/>
    <x v="1"/>
    <x v="5"/>
    <x v="15"/>
    <s v="DE4-W_A"/>
    <x v="13"/>
    <s v="AGG-DE4-W_ES_ELEC"/>
    <x v="0"/>
    <x v="0"/>
  </r>
  <r>
    <x v="0"/>
    <x v="2"/>
    <x v="5"/>
    <x v="15"/>
    <s v="DE4-W_A"/>
    <x v="13"/>
    <s v="AGG-DE4-W_ES_ELEC"/>
    <x v="0"/>
    <x v="0"/>
  </r>
  <r>
    <x v="0"/>
    <x v="0"/>
    <x v="5"/>
    <x v="15"/>
    <s v="DE4-W_A"/>
    <x v="13"/>
    <s v="AGG-DE4-W_RES_WTR_PMP"/>
    <x v="0"/>
    <x v="0"/>
  </r>
  <r>
    <x v="0"/>
    <x v="1"/>
    <x v="5"/>
    <x v="15"/>
    <s v="DE4-W_A"/>
    <x v="13"/>
    <s v="AGG-DE4-W_RES_WTR_PMP"/>
    <x v="0"/>
    <x v="0"/>
  </r>
  <r>
    <x v="0"/>
    <x v="2"/>
    <x v="5"/>
    <x v="15"/>
    <s v="DE4-W_A"/>
    <x v="13"/>
    <s v="AGG-DE4-W_RES_WTR_PMP"/>
    <x v="0"/>
    <x v="0"/>
  </r>
  <r>
    <x v="0"/>
    <x v="0"/>
    <x v="3"/>
    <x v="10"/>
    <s v="LT_Other_DH"/>
    <x v="2"/>
    <s v="ALYTUS_ENG_NGAS_BP"/>
    <x v="0"/>
    <x v="0"/>
  </r>
  <r>
    <x v="0"/>
    <x v="1"/>
    <x v="3"/>
    <x v="10"/>
    <s v="LT_Other_DH"/>
    <x v="2"/>
    <s v="ALYTUS_ENG_NGAS_BP"/>
    <x v="0"/>
    <x v="0"/>
  </r>
  <r>
    <x v="0"/>
    <x v="2"/>
    <x v="3"/>
    <x v="10"/>
    <s v="LT_Other_DH"/>
    <x v="2"/>
    <s v="ALYTUS_ENG_NGAS_BP"/>
    <x v="0"/>
    <x v="0"/>
  </r>
  <r>
    <x v="0"/>
    <x v="0"/>
    <x v="6"/>
    <x v="16"/>
    <s v="EE_Narva"/>
    <x v="15"/>
    <s v="AUVERE_ST_SHALE_CND"/>
    <x v="0"/>
    <x v="0"/>
  </r>
  <r>
    <x v="0"/>
    <x v="1"/>
    <x v="6"/>
    <x v="16"/>
    <s v="EE_Narva"/>
    <x v="15"/>
    <s v="AUVERE_ST_SHALE_CND"/>
    <x v="0"/>
    <x v="0"/>
  </r>
  <r>
    <x v="0"/>
    <x v="2"/>
    <x v="6"/>
    <x v="16"/>
    <s v="EE_Narva"/>
    <x v="15"/>
    <s v="AUVERE_ST_SHALE_CND"/>
    <x v="0"/>
    <x v="0"/>
  </r>
  <r>
    <x v="0"/>
    <x v="0"/>
    <x v="4"/>
    <x v="11"/>
    <s v="PL_A"/>
    <x v="14"/>
    <s v="BELC-1_ST_LIGNITE_EXT"/>
    <x v="0"/>
    <x v="0"/>
  </r>
  <r>
    <x v="0"/>
    <x v="1"/>
    <x v="4"/>
    <x v="11"/>
    <s v="PL_A"/>
    <x v="14"/>
    <s v="BELC-1_ST_LIGNITE_EXT"/>
    <x v="0"/>
    <x v="0"/>
  </r>
  <r>
    <x v="0"/>
    <x v="0"/>
    <x v="4"/>
    <x v="11"/>
    <s v="PL_Rural"/>
    <x v="14"/>
    <s v="BELC-2_ST_LIGNITE_CON"/>
    <x v="0"/>
    <x v="0"/>
  </r>
  <r>
    <x v="0"/>
    <x v="1"/>
    <x v="4"/>
    <x v="11"/>
    <s v="PL_Rural"/>
    <x v="14"/>
    <s v="BELC-2_ST_LIGNITE_CON"/>
    <x v="0"/>
    <x v="0"/>
  </r>
  <r>
    <x v="0"/>
    <x v="0"/>
    <x v="4"/>
    <x v="11"/>
    <s v="PL_A"/>
    <x v="16"/>
    <s v="BIAL-1_ST_STRAW_BP"/>
    <x v="0"/>
    <x v="0"/>
  </r>
  <r>
    <x v="0"/>
    <x v="1"/>
    <x v="4"/>
    <x v="11"/>
    <s v="PL_A"/>
    <x v="16"/>
    <s v="BIAL-1_ST_STRAW_BP"/>
    <x v="0"/>
    <x v="0"/>
  </r>
  <r>
    <x v="0"/>
    <x v="0"/>
    <x v="4"/>
    <x v="11"/>
    <s v="PL_A"/>
    <x v="0"/>
    <s v="BIAL-4_ST_COAL_CND"/>
    <x v="0"/>
    <x v="0"/>
  </r>
  <r>
    <x v="0"/>
    <x v="1"/>
    <x v="4"/>
    <x v="11"/>
    <s v="PL_A"/>
    <x v="0"/>
    <s v="BIAL-4_ST_COAL_CND"/>
    <x v="0"/>
    <x v="0"/>
  </r>
  <r>
    <x v="0"/>
    <x v="2"/>
    <x v="4"/>
    <x v="11"/>
    <s v="PL_A"/>
    <x v="0"/>
    <s v="BIAL-4_ST_COAL_CND"/>
    <x v="0"/>
    <x v="0"/>
  </r>
  <r>
    <x v="0"/>
    <x v="0"/>
    <x v="4"/>
    <x v="11"/>
    <s v="PL_A"/>
    <x v="0"/>
    <s v="BIEL-4_ST_COAL_BP"/>
    <x v="0"/>
    <x v="0"/>
  </r>
  <r>
    <x v="0"/>
    <x v="1"/>
    <x v="4"/>
    <x v="11"/>
    <s v="PL_A"/>
    <x v="0"/>
    <s v="BIEL-4_ST_COAL_BP"/>
    <x v="0"/>
    <x v="0"/>
  </r>
  <r>
    <x v="0"/>
    <x v="2"/>
    <x v="4"/>
    <x v="11"/>
    <s v="PL_A"/>
    <x v="0"/>
    <s v="BIEL-4_ST_COAL_BP"/>
    <x v="0"/>
    <x v="0"/>
  </r>
  <r>
    <x v="0"/>
    <x v="0"/>
    <x v="4"/>
    <x v="11"/>
    <s v="PL_A"/>
    <x v="0"/>
    <s v="CHOR2-1_ST_COAL_BP"/>
    <x v="0"/>
    <x v="0"/>
  </r>
  <r>
    <x v="0"/>
    <x v="1"/>
    <x v="4"/>
    <x v="11"/>
    <s v="PL_A"/>
    <x v="0"/>
    <s v="CHOR2-1_ST_COAL_BP"/>
    <x v="0"/>
    <x v="0"/>
  </r>
  <r>
    <x v="0"/>
    <x v="2"/>
    <x v="4"/>
    <x v="11"/>
    <s v="PL_A"/>
    <x v="0"/>
    <s v="CHOR2-1_ST_COAL_BP"/>
    <x v="0"/>
    <x v="0"/>
  </r>
  <r>
    <x v="0"/>
    <x v="0"/>
    <x v="4"/>
    <x v="11"/>
    <s v="PL_A"/>
    <x v="0"/>
    <s v="CORZ-3_ST_COAL_EXT"/>
    <x v="0"/>
    <x v="0"/>
  </r>
  <r>
    <x v="0"/>
    <x v="1"/>
    <x v="4"/>
    <x v="11"/>
    <s v="PL_A"/>
    <x v="0"/>
    <s v="CORZ-3_ST_COAL_EXT"/>
    <x v="0"/>
    <x v="0"/>
  </r>
  <r>
    <x v="0"/>
    <x v="0"/>
    <x v="4"/>
    <x v="11"/>
    <s v="PL_A"/>
    <x v="0"/>
    <s v="CZEC-1_ST_COAL_EXT"/>
    <x v="0"/>
    <x v="0"/>
  </r>
  <r>
    <x v="0"/>
    <x v="1"/>
    <x v="4"/>
    <x v="11"/>
    <s v="PL_A"/>
    <x v="0"/>
    <s v="CZEC-1_ST_COAL_EXT"/>
    <x v="0"/>
    <x v="0"/>
  </r>
  <r>
    <x v="0"/>
    <x v="0"/>
    <x v="4"/>
    <x v="11"/>
    <s v="PL_A"/>
    <x v="0"/>
    <s v="DOLN-1_ST_COAL_EXT"/>
    <x v="0"/>
    <x v="0"/>
  </r>
  <r>
    <x v="0"/>
    <x v="1"/>
    <x v="4"/>
    <x v="11"/>
    <s v="PL_A"/>
    <x v="0"/>
    <s v="DOLN-1_ST_COAL_EXT"/>
    <x v="0"/>
    <x v="0"/>
  </r>
  <r>
    <x v="0"/>
    <x v="0"/>
    <x v="4"/>
    <x v="11"/>
    <s v="PL_Rural"/>
    <x v="0"/>
    <s v="DOLN-2_ST_COAL_CND"/>
    <x v="0"/>
    <x v="0"/>
  </r>
  <r>
    <x v="0"/>
    <x v="1"/>
    <x v="4"/>
    <x v="11"/>
    <s v="PL_Rural"/>
    <x v="0"/>
    <s v="DOLN-2_ST_COAL_CND"/>
    <x v="0"/>
    <x v="0"/>
  </r>
  <r>
    <x v="0"/>
    <x v="0"/>
    <x v="6"/>
    <x v="16"/>
    <s v="EE_Rural"/>
    <x v="7"/>
    <s v="EBAVERE_ST_WOODWST_BP"/>
    <x v="0"/>
    <x v="0"/>
  </r>
  <r>
    <x v="0"/>
    <x v="0"/>
    <x v="3"/>
    <x v="10"/>
    <s v="LT_Other_DH"/>
    <x v="7"/>
    <s v="EBAVERE_ST_WOODWST_BP"/>
    <x v="0"/>
    <x v="0"/>
  </r>
  <r>
    <x v="0"/>
    <x v="1"/>
    <x v="6"/>
    <x v="16"/>
    <s v="EE_Rural"/>
    <x v="7"/>
    <s v="EBAVERE_ST_WOODWST_BP"/>
    <x v="0"/>
    <x v="0"/>
  </r>
  <r>
    <x v="0"/>
    <x v="1"/>
    <x v="3"/>
    <x v="10"/>
    <s v="LT_Other_DH"/>
    <x v="7"/>
    <s v="EBAVERE_ST_WOODWST_BP"/>
    <x v="0"/>
    <x v="0"/>
  </r>
  <r>
    <x v="0"/>
    <x v="2"/>
    <x v="6"/>
    <x v="16"/>
    <s v="EE_Rural"/>
    <x v="7"/>
    <s v="EBAVERE_ST_WOODWST_BP"/>
    <x v="0"/>
    <x v="0"/>
  </r>
  <r>
    <x v="0"/>
    <x v="2"/>
    <x v="3"/>
    <x v="10"/>
    <s v="LT_Other_DH"/>
    <x v="7"/>
    <s v="EBAVERE_ST_WOODWST_BP"/>
    <x v="0"/>
    <x v="0"/>
  </r>
  <r>
    <x v="0"/>
    <x v="0"/>
    <x v="6"/>
    <x v="16"/>
    <s v="EE_Enefit"/>
    <x v="17"/>
    <s v="ENEFIT_ST_RETORT-GAS_CND"/>
    <x v="0"/>
    <x v="0"/>
  </r>
  <r>
    <x v="0"/>
    <x v="1"/>
    <x v="6"/>
    <x v="16"/>
    <s v="EE_Enefit"/>
    <x v="17"/>
    <s v="ENEFIT_ST_RETORT-GAS_CND"/>
    <x v="0"/>
    <x v="0"/>
  </r>
  <r>
    <x v="0"/>
    <x v="2"/>
    <x v="6"/>
    <x v="16"/>
    <s v="EE_Enefit"/>
    <x v="17"/>
    <s v="ENEFIT_ST_RETORT-GAS_CND"/>
    <x v="0"/>
    <x v="0"/>
  </r>
  <r>
    <x v="0"/>
    <x v="0"/>
    <x v="4"/>
    <x v="11"/>
    <s v="PL_A"/>
    <x v="0"/>
    <s v="GDAN2-1_ST_COAL_BP"/>
    <x v="0"/>
    <x v="0"/>
  </r>
  <r>
    <x v="0"/>
    <x v="1"/>
    <x v="4"/>
    <x v="11"/>
    <s v="PL_A"/>
    <x v="0"/>
    <s v="GDAN2-1_ST_COAL_BP"/>
    <x v="0"/>
    <x v="0"/>
  </r>
  <r>
    <x v="0"/>
    <x v="0"/>
    <x v="7"/>
    <x v="17"/>
    <s v="DK1_Large"/>
    <x v="13"/>
    <s v="GNR_BO_ELEC_E-100"/>
    <x v="0"/>
    <x v="0"/>
  </r>
  <r>
    <x v="0"/>
    <x v="0"/>
    <x v="7"/>
    <x v="17"/>
    <s v="DK1_MedSmall"/>
    <x v="13"/>
    <s v="GNR_BO_ELEC_E-100"/>
    <x v="0"/>
    <x v="0"/>
  </r>
  <r>
    <x v="0"/>
    <x v="0"/>
    <x v="7"/>
    <x v="17"/>
    <s v="DK1_Medium"/>
    <x v="13"/>
    <s v="GNR_BO_ELEC_E-100"/>
    <x v="0"/>
    <x v="0"/>
  </r>
  <r>
    <x v="0"/>
    <x v="0"/>
    <x v="7"/>
    <x v="17"/>
    <s v="DK1_Rural"/>
    <x v="13"/>
    <s v="GNR_BO_ELEC_E-100"/>
    <x v="0"/>
    <x v="0"/>
  </r>
  <r>
    <x v="0"/>
    <x v="0"/>
    <x v="7"/>
    <x v="17"/>
    <s v="DK1_Small"/>
    <x v="13"/>
    <s v="GNR_BO_ELEC_E-100"/>
    <x v="0"/>
    <x v="0"/>
  </r>
  <r>
    <x v="0"/>
    <x v="0"/>
    <x v="7"/>
    <x v="18"/>
    <s v="DK2_Large"/>
    <x v="13"/>
    <s v="GNR_BO_ELEC_E-100"/>
    <x v="0"/>
    <x v="0"/>
  </r>
  <r>
    <x v="0"/>
    <x v="0"/>
    <x v="7"/>
    <x v="18"/>
    <s v="DK2_Medium"/>
    <x v="13"/>
    <s v="GNR_BO_ELEC_E-100"/>
    <x v="0"/>
    <x v="0"/>
  </r>
  <r>
    <x v="0"/>
    <x v="0"/>
    <x v="7"/>
    <x v="18"/>
    <s v="DK2_NoDH"/>
    <x v="13"/>
    <s v="GNR_BO_ELEC_E-100"/>
    <x v="0"/>
    <x v="0"/>
  </r>
  <r>
    <x v="0"/>
    <x v="0"/>
    <x v="7"/>
    <x v="18"/>
    <s v="DK2_Rural"/>
    <x v="13"/>
    <s v="GNR_BO_ELEC_E-100"/>
    <x v="0"/>
    <x v="0"/>
  </r>
  <r>
    <x v="0"/>
    <x v="1"/>
    <x v="7"/>
    <x v="17"/>
    <s v="DK1_Large"/>
    <x v="13"/>
    <s v="GNR_BO_ELEC_E-100"/>
    <x v="0"/>
    <x v="0"/>
  </r>
  <r>
    <x v="0"/>
    <x v="1"/>
    <x v="7"/>
    <x v="17"/>
    <s v="DK1_MedSmall"/>
    <x v="13"/>
    <s v="GNR_BO_ELEC_E-100"/>
    <x v="0"/>
    <x v="0"/>
  </r>
  <r>
    <x v="0"/>
    <x v="1"/>
    <x v="7"/>
    <x v="17"/>
    <s v="DK1_Medium"/>
    <x v="13"/>
    <s v="GNR_BO_ELEC_E-100"/>
    <x v="0"/>
    <x v="0"/>
  </r>
  <r>
    <x v="0"/>
    <x v="1"/>
    <x v="7"/>
    <x v="17"/>
    <s v="DK1_Rural"/>
    <x v="13"/>
    <s v="GNR_BO_ELEC_E-100"/>
    <x v="0"/>
    <x v="0"/>
  </r>
  <r>
    <x v="0"/>
    <x v="1"/>
    <x v="7"/>
    <x v="17"/>
    <s v="DK1_Small"/>
    <x v="13"/>
    <s v="GNR_BO_ELEC_E-100"/>
    <x v="0"/>
    <x v="0"/>
  </r>
  <r>
    <x v="0"/>
    <x v="1"/>
    <x v="7"/>
    <x v="18"/>
    <s v="DK2_Large"/>
    <x v="13"/>
    <s v="GNR_BO_ELEC_E-100"/>
    <x v="0"/>
    <x v="0"/>
  </r>
  <r>
    <x v="0"/>
    <x v="1"/>
    <x v="7"/>
    <x v="18"/>
    <s v="DK2_Medium"/>
    <x v="13"/>
    <s v="GNR_BO_ELEC_E-100"/>
    <x v="0"/>
    <x v="0"/>
  </r>
  <r>
    <x v="0"/>
    <x v="1"/>
    <x v="7"/>
    <x v="18"/>
    <s v="DK2_NoDH"/>
    <x v="13"/>
    <s v="GNR_BO_ELEC_E-100"/>
    <x v="0"/>
    <x v="0"/>
  </r>
  <r>
    <x v="0"/>
    <x v="1"/>
    <x v="7"/>
    <x v="18"/>
    <s v="DK2_Rural"/>
    <x v="13"/>
    <s v="GNR_BO_ELEC_E-100"/>
    <x v="0"/>
    <x v="0"/>
  </r>
  <r>
    <x v="0"/>
    <x v="2"/>
    <x v="7"/>
    <x v="17"/>
    <s v="DK1_Large"/>
    <x v="13"/>
    <s v="GNR_BO_ELEC_E-100"/>
    <x v="0"/>
    <x v="0"/>
  </r>
  <r>
    <x v="0"/>
    <x v="2"/>
    <x v="7"/>
    <x v="17"/>
    <s v="DK1_MedSmall"/>
    <x v="13"/>
    <s v="GNR_BO_ELEC_E-100"/>
    <x v="0"/>
    <x v="0"/>
  </r>
  <r>
    <x v="0"/>
    <x v="2"/>
    <x v="7"/>
    <x v="17"/>
    <s v="DK1_Medium"/>
    <x v="13"/>
    <s v="GNR_BO_ELEC_E-100"/>
    <x v="0"/>
    <x v="0"/>
  </r>
  <r>
    <x v="0"/>
    <x v="2"/>
    <x v="7"/>
    <x v="17"/>
    <s v="DK1_Rural"/>
    <x v="13"/>
    <s v="GNR_BO_ELEC_E-100"/>
    <x v="0"/>
    <x v="0"/>
  </r>
  <r>
    <x v="0"/>
    <x v="2"/>
    <x v="7"/>
    <x v="18"/>
    <s v="DK2_Large"/>
    <x v="13"/>
    <s v="GNR_BO_ELEC_E-100"/>
    <x v="0"/>
    <x v="0"/>
  </r>
  <r>
    <x v="0"/>
    <x v="2"/>
    <x v="7"/>
    <x v="18"/>
    <s v="DK2_NoDH"/>
    <x v="13"/>
    <s v="GNR_BO_ELEC_E-100"/>
    <x v="0"/>
    <x v="0"/>
  </r>
  <r>
    <x v="0"/>
    <x v="2"/>
    <x v="7"/>
    <x v="18"/>
    <s v="DK2_Rural"/>
    <x v="13"/>
    <s v="GNR_BO_ELEC_E-100"/>
    <x v="0"/>
    <x v="0"/>
  </r>
  <r>
    <x v="0"/>
    <x v="0"/>
    <x v="5"/>
    <x v="13"/>
    <s v="DE4-N_A"/>
    <x v="13"/>
    <s v="GNR_BO_ELEC_E-80"/>
    <x v="0"/>
    <x v="0"/>
  </r>
  <r>
    <x v="0"/>
    <x v="0"/>
    <x v="5"/>
    <x v="15"/>
    <s v="DE4-W_A"/>
    <x v="13"/>
    <s v="GNR_BO_ELEC_E-80"/>
    <x v="0"/>
    <x v="0"/>
  </r>
  <r>
    <x v="0"/>
    <x v="1"/>
    <x v="5"/>
    <x v="13"/>
    <s v="DE4-N_A"/>
    <x v="13"/>
    <s v="GNR_BO_ELEC_E-80"/>
    <x v="0"/>
    <x v="0"/>
  </r>
  <r>
    <x v="0"/>
    <x v="1"/>
    <x v="5"/>
    <x v="15"/>
    <s v="DE4-W_A"/>
    <x v="13"/>
    <s v="GNR_BO_ELEC_E-80"/>
    <x v="0"/>
    <x v="0"/>
  </r>
  <r>
    <x v="0"/>
    <x v="2"/>
    <x v="5"/>
    <x v="13"/>
    <s v="DE4-N_A"/>
    <x v="13"/>
    <s v="GNR_BO_ELEC_E-80"/>
    <x v="0"/>
    <x v="0"/>
  </r>
  <r>
    <x v="0"/>
    <x v="2"/>
    <x v="5"/>
    <x v="15"/>
    <s v="DE4-W_A"/>
    <x v="13"/>
    <s v="GNR_BO_ELEC_E-80"/>
    <x v="0"/>
    <x v="0"/>
  </r>
  <r>
    <x v="0"/>
    <x v="0"/>
    <x v="7"/>
    <x v="18"/>
    <s v="DK2_Rural"/>
    <x v="13"/>
    <s v="GNR_BO_ELEC_E-98"/>
    <x v="0"/>
    <x v="0"/>
  </r>
  <r>
    <x v="0"/>
    <x v="1"/>
    <x v="7"/>
    <x v="18"/>
    <s v="DK2_Rural"/>
    <x v="13"/>
    <s v="GNR_BO_ELEC_E-98"/>
    <x v="0"/>
    <x v="0"/>
  </r>
  <r>
    <x v="0"/>
    <x v="2"/>
    <x v="7"/>
    <x v="18"/>
    <s v="DK2_Rural"/>
    <x v="13"/>
    <s v="GNR_BO_ELEC_E-98"/>
    <x v="0"/>
    <x v="0"/>
  </r>
  <r>
    <x v="0"/>
    <x v="0"/>
    <x v="7"/>
    <x v="17"/>
    <s v="DK1_Rural"/>
    <x v="13"/>
    <s v="GNR_BO_ELEC_E-99"/>
    <x v="0"/>
    <x v="0"/>
  </r>
  <r>
    <x v="0"/>
    <x v="1"/>
    <x v="7"/>
    <x v="17"/>
    <s v="DK1_Rural"/>
    <x v="13"/>
    <s v="GNR_BO_ELEC_E-99"/>
    <x v="0"/>
    <x v="0"/>
  </r>
  <r>
    <x v="0"/>
    <x v="2"/>
    <x v="7"/>
    <x v="17"/>
    <s v="DK1_Rural"/>
    <x v="13"/>
    <s v="GNR_BO_ELEC_E-99"/>
    <x v="0"/>
    <x v="0"/>
  </r>
  <r>
    <x v="0"/>
    <x v="0"/>
    <x v="5"/>
    <x v="15"/>
    <s v="DE4-W_A"/>
    <x v="0"/>
    <s v="GNR_CC_COAL_BP_E-47"/>
    <x v="0"/>
    <x v="0"/>
  </r>
  <r>
    <x v="0"/>
    <x v="1"/>
    <x v="5"/>
    <x v="15"/>
    <s v="DE4-W_A"/>
    <x v="0"/>
    <s v="GNR_CC_COAL_BP_E-47"/>
    <x v="0"/>
    <x v="0"/>
  </r>
  <r>
    <x v="0"/>
    <x v="0"/>
    <x v="5"/>
    <x v="15"/>
    <s v="DE4-W_A"/>
    <x v="0"/>
    <s v="GNR_CC_COAL_BP_E-49"/>
    <x v="0"/>
    <x v="0"/>
  </r>
  <r>
    <x v="0"/>
    <x v="1"/>
    <x v="5"/>
    <x v="15"/>
    <s v="DE4-W_A"/>
    <x v="0"/>
    <s v="GNR_CC_COAL_BP_E-49"/>
    <x v="0"/>
    <x v="0"/>
  </r>
  <r>
    <x v="0"/>
    <x v="0"/>
    <x v="5"/>
    <x v="12"/>
    <s v="DE4-E_A"/>
    <x v="1"/>
    <s v="GNR_CC_FUELOIL_BP_E-38"/>
    <x v="0"/>
    <x v="0"/>
  </r>
  <r>
    <x v="0"/>
    <x v="0"/>
    <x v="5"/>
    <x v="15"/>
    <s v="DE4-W_A"/>
    <x v="1"/>
    <s v="GNR_CC_FUELOIL_BP_E-38"/>
    <x v="0"/>
    <x v="0"/>
  </r>
  <r>
    <x v="0"/>
    <x v="1"/>
    <x v="5"/>
    <x v="15"/>
    <s v="DE4-W_A"/>
    <x v="1"/>
    <s v="GNR_CC_FUELOIL_BP_E-38"/>
    <x v="0"/>
    <x v="0"/>
  </r>
  <r>
    <x v="0"/>
    <x v="0"/>
    <x v="5"/>
    <x v="14"/>
    <s v="DE4-S_A"/>
    <x v="1"/>
    <s v="GNR_CC_FUELOIL_CND_E-38"/>
    <x v="0"/>
    <x v="0"/>
  </r>
  <r>
    <x v="0"/>
    <x v="0"/>
    <x v="5"/>
    <x v="15"/>
    <s v="DE4-W_A"/>
    <x v="1"/>
    <s v="GNR_CC_FUELOIL_CND_E-38"/>
    <x v="0"/>
    <x v="0"/>
  </r>
  <r>
    <x v="0"/>
    <x v="1"/>
    <x v="5"/>
    <x v="14"/>
    <s v="DE4-S_A"/>
    <x v="1"/>
    <s v="GNR_CC_FUELOIL_CND_E-38"/>
    <x v="0"/>
    <x v="0"/>
  </r>
  <r>
    <x v="0"/>
    <x v="1"/>
    <x v="5"/>
    <x v="15"/>
    <s v="DE4-W_A"/>
    <x v="1"/>
    <s v="GNR_CC_FUELOIL_CND_E-38"/>
    <x v="0"/>
    <x v="0"/>
  </r>
  <r>
    <x v="0"/>
    <x v="0"/>
    <x v="5"/>
    <x v="14"/>
    <s v="DE4-S_A"/>
    <x v="2"/>
    <s v="GNR_CC_NGAS_BP_E-18"/>
    <x v="0"/>
    <x v="0"/>
  </r>
  <r>
    <x v="0"/>
    <x v="1"/>
    <x v="5"/>
    <x v="14"/>
    <s v="DE4-S_A"/>
    <x v="2"/>
    <s v="GNR_CC_NGAS_BP_E-18"/>
    <x v="0"/>
    <x v="0"/>
  </r>
  <r>
    <x v="0"/>
    <x v="0"/>
    <x v="5"/>
    <x v="15"/>
    <s v="DE4-W_A"/>
    <x v="2"/>
    <s v="GNR_CC_NGAS_BP_E-39"/>
    <x v="0"/>
    <x v="0"/>
  </r>
  <r>
    <x v="0"/>
    <x v="1"/>
    <x v="5"/>
    <x v="15"/>
    <s v="DE4-W_A"/>
    <x v="2"/>
    <s v="GNR_CC_NGAS_BP_E-39"/>
    <x v="0"/>
    <x v="0"/>
  </r>
  <r>
    <x v="0"/>
    <x v="0"/>
    <x v="3"/>
    <x v="10"/>
    <s v="LT_Panevezys"/>
    <x v="2"/>
    <s v="GNR_CC_NGAS_BP_E-42"/>
    <x v="0"/>
    <x v="0"/>
  </r>
  <r>
    <x v="0"/>
    <x v="1"/>
    <x v="3"/>
    <x v="10"/>
    <s v="LT_Panevezys"/>
    <x v="2"/>
    <s v="GNR_CC_NGAS_BP_E-42"/>
    <x v="0"/>
    <x v="0"/>
  </r>
  <r>
    <x v="0"/>
    <x v="2"/>
    <x v="3"/>
    <x v="10"/>
    <s v="LT_Panevezys"/>
    <x v="2"/>
    <s v="GNR_CC_NGAS_BP_E-42"/>
    <x v="0"/>
    <x v="0"/>
  </r>
  <r>
    <x v="0"/>
    <x v="0"/>
    <x v="5"/>
    <x v="12"/>
    <s v="DE4-E_A"/>
    <x v="2"/>
    <s v="GNR_CC_NGAS_BP_E-53"/>
    <x v="0"/>
    <x v="0"/>
  </r>
  <r>
    <x v="0"/>
    <x v="0"/>
    <x v="5"/>
    <x v="14"/>
    <s v="DE4-S_A"/>
    <x v="2"/>
    <s v="GNR_CC_NGAS_BP_E-53"/>
    <x v="0"/>
    <x v="0"/>
  </r>
  <r>
    <x v="0"/>
    <x v="1"/>
    <x v="5"/>
    <x v="12"/>
    <s v="DE4-E_A"/>
    <x v="2"/>
    <s v="GNR_CC_NGAS_BP_E-53"/>
    <x v="0"/>
    <x v="0"/>
  </r>
  <r>
    <x v="0"/>
    <x v="1"/>
    <x v="5"/>
    <x v="14"/>
    <s v="DE4-S_A"/>
    <x v="2"/>
    <s v="GNR_CC_NGAS_BP_E-53"/>
    <x v="0"/>
    <x v="0"/>
  </r>
  <r>
    <x v="0"/>
    <x v="2"/>
    <x v="5"/>
    <x v="12"/>
    <s v="DE4-E_A"/>
    <x v="2"/>
    <s v="GNR_CC_NGAS_BP_E-53"/>
    <x v="0"/>
    <x v="0"/>
  </r>
  <r>
    <x v="0"/>
    <x v="2"/>
    <x v="5"/>
    <x v="14"/>
    <s v="DE4-S_A"/>
    <x v="2"/>
    <s v="GNR_CC_NGAS_BP_E-53"/>
    <x v="0"/>
    <x v="0"/>
  </r>
  <r>
    <x v="0"/>
    <x v="0"/>
    <x v="5"/>
    <x v="15"/>
    <s v="DE4-W_A"/>
    <x v="2"/>
    <s v="GNR_CC_NGAS_BP_E-55"/>
    <x v="0"/>
    <x v="0"/>
  </r>
  <r>
    <x v="0"/>
    <x v="1"/>
    <x v="5"/>
    <x v="15"/>
    <s v="DE4-W_A"/>
    <x v="2"/>
    <s v="GNR_CC_NGAS_BP_E-55"/>
    <x v="0"/>
    <x v="0"/>
  </r>
  <r>
    <x v="0"/>
    <x v="2"/>
    <x v="5"/>
    <x v="15"/>
    <s v="DE4-W_A"/>
    <x v="2"/>
    <s v="GNR_CC_NGAS_BP_E-55"/>
    <x v="0"/>
    <x v="0"/>
  </r>
  <r>
    <x v="0"/>
    <x v="0"/>
    <x v="5"/>
    <x v="13"/>
    <s v="DE4-N_A"/>
    <x v="2"/>
    <s v="GNR_CC_NGAS_BP_E-57"/>
    <x v="0"/>
    <x v="0"/>
  </r>
  <r>
    <x v="0"/>
    <x v="1"/>
    <x v="5"/>
    <x v="13"/>
    <s v="DE4-N_A"/>
    <x v="2"/>
    <s v="GNR_CC_NGAS_BP_E-57"/>
    <x v="0"/>
    <x v="0"/>
  </r>
  <r>
    <x v="0"/>
    <x v="2"/>
    <x v="5"/>
    <x v="13"/>
    <s v="DE4-N_A"/>
    <x v="2"/>
    <s v="GNR_CC_NGAS_BP_E-57"/>
    <x v="0"/>
    <x v="0"/>
  </r>
  <r>
    <x v="0"/>
    <x v="0"/>
    <x v="8"/>
    <x v="19"/>
    <s v="NL_A"/>
    <x v="2"/>
    <s v="GNR_CC_NGAS_CND_E-38"/>
    <x v="0"/>
    <x v="0"/>
  </r>
  <r>
    <x v="0"/>
    <x v="1"/>
    <x v="8"/>
    <x v="19"/>
    <s v="NL_A"/>
    <x v="2"/>
    <s v="GNR_CC_NGAS_CND_E-38"/>
    <x v="0"/>
    <x v="0"/>
  </r>
  <r>
    <x v="0"/>
    <x v="2"/>
    <x v="8"/>
    <x v="19"/>
    <s v="NL_A"/>
    <x v="2"/>
    <s v="GNR_CC_NGAS_CND_E-38"/>
    <x v="0"/>
    <x v="0"/>
  </r>
  <r>
    <x v="0"/>
    <x v="0"/>
    <x v="5"/>
    <x v="15"/>
    <s v="DE4-W_A"/>
    <x v="2"/>
    <s v="GNR_CC_NGAS_CND_E-42"/>
    <x v="0"/>
    <x v="0"/>
  </r>
  <r>
    <x v="0"/>
    <x v="1"/>
    <x v="5"/>
    <x v="15"/>
    <s v="DE4-W_A"/>
    <x v="2"/>
    <s v="GNR_CC_NGAS_CND_E-42"/>
    <x v="0"/>
    <x v="0"/>
  </r>
  <r>
    <x v="0"/>
    <x v="0"/>
    <x v="5"/>
    <x v="14"/>
    <s v="DE4-S_A"/>
    <x v="2"/>
    <s v="GNR_CC_NGAS_CND_E-43"/>
    <x v="0"/>
    <x v="0"/>
  </r>
  <r>
    <x v="0"/>
    <x v="1"/>
    <x v="5"/>
    <x v="14"/>
    <s v="DE4-S_A"/>
    <x v="2"/>
    <s v="GNR_CC_NGAS_CND_E-43"/>
    <x v="0"/>
    <x v="0"/>
  </r>
  <r>
    <x v="0"/>
    <x v="0"/>
    <x v="9"/>
    <x v="20"/>
    <s v="UK_A"/>
    <x v="2"/>
    <s v="GNR_CC_NGAS_CND_E-47"/>
    <x v="0"/>
    <x v="0"/>
  </r>
  <r>
    <x v="0"/>
    <x v="1"/>
    <x v="9"/>
    <x v="20"/>
    <s v="UK_A"/>
    <x v="2"/>
    <s v="GNR_CC_NGAS_CND_E-47"/>
    <x v="0"/>
    <x v="0"/>
  </r>
  <r>
    <x v="0"/>
    <x v="2"/>
    <x v="9"/>
    <x v="20"/>
    <s v="UK_A"/>
    <x v="2"/>
    <s v="GNR_CC_NGAS_CND_E-47"/>
    <x v="0"/>
    <x v="0"/>
  </r>
  <r>
    <x v="0"/>
    <x v="0"/>
    <x v="5"/>
    <x v="12"/>
    <s v="DE4-E_A"/>
    <x v="2"/>
    <s v="GNR_CC_NGAS_CND_E-51"/>
    <x v="0"/>
    <x v="0"/>
  </r>
  <r>
    <x v="0"/>
    <x v="0"/>
    <x v="9"/>
    <x v="20"/>
    <s v="UK_A"/>
    <x v="2"/>
    <s v="GNR_CC_NGAS_CND_E-52"/>
    <x v="0"/>
    <x v="0"/>
  </r>
  <r>
    <x v="0"/>
    <x v="1"/>
    <x v="9"/>
    <x v="20"/>
    <s v="UK_A"/>
    <x v="2"/>
    <s v="GNR_CC_NGAS_CND_E-52"/>
    <x v="0"/>
    <x v="0"/>
  </r>
  <r>
    <x v="0"/>
    <x v="2"/>
    <x v="9"/>
    <x v="20"/>
    <s v="UK_A"/>
    <x v="2"/>
    <s v="GNR_CC_NGAS_CND_E-52"/>
    <x v="0"/>
    <x v="0"/>
  </r>
  <r>
    <x v="0"/>
    <x v="0"/>
    <x v="9"/>
    <x v="20"/>
    <s v="UK_A"/>
    <x v="2"/>
    <s v="GNR_CC_NGAS_CND_E-56"/>
    <x v="0"/>
    <x v="0"/>
  </r>
  <r>
    <x v="0"/>
    <x v="1"/>
    <x v="9"/>
    <x v="20"/>
    <s v="UK_A"/>
    <x v="2"/>
    <s v="GNR_CC_NGAS_CND_E-56"/>
    <x v="0"/>
    <x v="0"/>
  </r>
  <r>
    <x v="0"/>
    <x v="2"/>
    <x v="9"/>
    <x v="20"/>
    <s v="UK_A"/>
    <x v="2"/>
    <s v="GNR_CC_NGAS_CND_E-56"/>
    <x v="0"/>
    <x v="0"/>
  </r>
  <r>
    <x v="0"/>
    <x v="0"/>
    <x v="5"/>
    <x v="12"/>
    <s v="DE4-E_A"/>
    <x v="2"/>
    <s v="GNR_CC_NGAS_CND_E-57"/>
    <x v="0"/>
    <x v="0"/>
  </r>
  <r>
    <x v="0"/>
    <x v="0"/>
    <x v="5"/>
    <x v="14"/>
    <s v="DE4-S_A"/>
    <x v="2"/>
    <s v="GNR_CC_NGAS_CND_E-57"/>
    <x v="0"/>
    <x v="0"/>
  </r>
  <r>
    <x v="0"/>
    <x v="0"/>
    <x v="5"/>
    <x v="15"/>
    <s v="DE4-W_A"/>
    <x v="2"/>
    <s v="GNR_CC_NGAS_CND_E-57"/>
    <x v="0"/>
    <x v="0"/>
  </r>
  <r>
    <x v="0"/>
    <x v="1"/>
    <x v="5"/>
    <x v="12"/>
    <s v="DE4-E_A"/>
    <x v="2"/>
    <s v="GNR_CC_NGAS_CND_E-57"/>
    <x v="0"/>
    <x v="0"/>
  </r>
  <r>
    <x v="0"/>
    <x v="1"/>
    <x v="5"/>
    <x v="14"/>
    <s v="DE4-S_A"/>
    <x v="2"/>
    <s v="GNR_CC_NGAS_CND_E-57"/>
    <x v="0"/>
    <x v="0"/>
  </r>
  <r>
    <x v="0"/>
    <x v="1"/>
    <x v="5"/>
    <x v="15"/>
    <s v="DE4-W_A"/>
    <x v="2"/>
    <s v="GNR_CC_NGAS_CND_E-57"/>
    <x v="0"/>
    <x v="0"/>
  </r>
  <r>
    <x v="0"/>
    <x v="2"/>
    <x v="5"/>
    <x v="12"/>
    <s v="DE4-E_A"/>
    <x v="2"/>
    <s v="GNR_CC_NGAS_CND_E-57"/>
    <x v="0"/>
    <x v="0"/>
  </r>
  <r>
    <x v="0"/>
    <x v="2"/>
    <x v="5"/>
    <x v="14"/>
    <s v="DE4-S_A"/>
    <x v="2"/>
    <s v="GNR_CC_NGAS_CND_E-57"/>
    <x v="0"/>
    <x v="0"/>
  </r>
  <r>
    <x v="0"/>
    <x v="2"/>
    <x v="5"/>
    <x v="15"/>
    <s v="DE4-W_A"/>
    <x v="2"/>
    <s v="GNR_CC_NGAS_CND_E-57"/>
    <x v="0"/>
    <x v="0"/>
  </r>
  <r>
    <x v="0"/>
    <x v="0"/>
    <x v="3"/>
    <x v="10"/>
    <s v="LT_VilU"/>
    <x v="2"/>
    <s v="GNR_CC_NGAS_CND_E-58"/>
    <x v="0"/>
    <x v="0"/>
  </r>
  <r>
    <x v="0"/>
    <x v="1"/>
    <x v="3"/>
    <x v="10"/>
    <s v="LT_VilU"/>
    <x v="2"/>
    <s v="GNR_CC_NGAS_CND_E-58"/>
    <x v="0"/>
    <x v="0"/>
  </r>
  <r>
    <x v="0"/>
    <x v="2"/>
    <x v="3"/>
    <x v="10"/>
    <s v="LT_VilU"/>
    <x v="2"/>
    <s v="GNR_CC_NGAS_CND_E-58"/>
    <x v="0"/>
    <x v="0"/>
  </r>
  <r>
    <x v="0"/>
    <x v="0"/>
    <x v="7"/>
    <x v="17"/>
    <s v="DK1_NoDH"/>
    <x v="18"/>
    <s v="GNR_ENG_BGAS_BP_E-30"/>
    <x v="0"/>
    <x v="0"/>
  </r>
  <r>
    <x v="0"/>
    <x v="0"/>
    <x v="7"/>
    <x v="17"/>
    <s v="DK1_Rural"/>
    <x v="18"/>
    <s v="GNR_ENG_BGAS_BP_E-30"/>
    <x v="0"/>
    <x v="0"/>
  </r>
  <r>
    <x v="0"/>
    <x v="1"/>
    <x v="7"/>
    <x v="17"/>
    <s v="DK1_NoDH"/>
    <x v="18"/>
    <s v="GNR_ENG_BGAS_BP_E-30"/>
    <x v="0"/>
    <x v="0"/>
  </r>
  <r>
    <x v="0"/>
    <x v="1"/>
    <x v="7"/>
    <x v="17"/>
    <s v="DK1_Rural"/>
    <x v="18"/>
    <s v="GNR_ENG_BGAS_BP_E-30"/>
    <x v="0"/>
    <x v="0"/>
  </r>
  <r>
    <x v="0"/>
    <x v="2"/>
    <x v="7"/>
    <x v="17"/>
    <s v="DK1_Rural"/>
    <x v="18"/>
    <s v="GNR_ENG_BGAS_BP_E-30"/>
    <x v="0"/>
    <x v="0"/>
  </r>
  <r>
    <x v="0"/>
    <x v="0"/>
    <x v="7"/>
    <x v="17"/>
    <s v="DK1_Large"/>
    <x v="18"/>
    <s v="GNR_ENG_BGAS_BP_E-31"/>
    <x v="0"/>
    <x v="0"/>
  </r>
  <r>
    <x v="0"/>
    <x v="0"/>
    <x v="7"/>
    <x v="17"/>
    <s v="DK1_NoDH"/>
    <x v="18"/>
    <s v="GNR_ENG_BGAS_BP_E-31"/>
    <x v="0"/>
    <x v="0"/>
  </r>
  <r>
    <x v="0"/>
    <x v="0"/>
    <x v="7"/>
    <x v="18"/>
    <s v="DK2_NoDH"/>
    <x v="18"/>
    <s v="GNR_ENG_BGAS_BP_E-31"/>
    <x v="0"/>
    <x v="0"/>
  </r>
  <r>
    <x v="0"/>
    <x v="1"/>
    <x v="7"/>
    <x v="17"/>
    <s v="DK1_Large"/>
    <x v="18"/>
    <s v="GNR_ENG_BGAS_BP_E-31"/>
    <x v="0"/>
    <x v="0"/>
  </r>
  <r>
    <x v="0"/>
    <x v="1"/>
    <x v="7"/>
    <x v="17"/>
    <s v="DK1_NoDH"/>
    <x v="18"/>
    <s v="GNR_ENG_BGAS_BP_E-31"/>
    <x v="0"/>
    <x v="0"/>
  </r>
  <r>
    <x v="0"/>
    <x v="1"/>
    <x v="7"/>
    <x v="18"/>
    <s v="DK2_NoDH"/>
    <x v="18"/>
    <s v="GNR_ENG_BGAS_BP_E-31"/>
    <x v="0"/>
    <x v="0"/>
  </r>
  <r>
    <x v="0"/>
    <x v="0"/>
    <x v="7"/>
    <x v="17"/>
    <s v="DK1_Medium"/>
    <x v="18"/>
    <s v="GNR_ENG_BGAS_BP_E-32"/>
    <x v="0"/>
    <x v="0"/>
  </r>
  <r>
    <x v="0"/>
    <x v="0"/>
    <x v="7"/>
    <x v="17"/>
    <s v="DK1_NoDH"/>
    <x v="18"/>
    <s v="GNR_ENG_BGAS_BP_E-32"/>
    <x v="0"/>
    <x v="0"/>
  </r>
  <r>
    <x v="0"/>
    <x v="0"/>
    <x v="7"/>
    <x v="18"/>
    <s v="DK2_NoDH"/>
    <x v="18"/>
    <s v="GNR_ENG_BGAS_BP_E-32"/>
    <x v="0"/>
    <x v="0"/>
  </r>
  <r>
    <x v="0"/>
    <x v="1"/>
    <x v="7"/>
    <x v="17"/>
    <s v="DK1_NoDH"/>
    <x v="18"/>
    <s v="GNR_ENG_BGAS_BP_E-32"/>
    <x v="0"/>
    <x v="0"/>
  </r>
  <r>
    <x v="0"/>
    <x v="1"/>
    <x v="7"/>
    <x v="18"/>
    <s v="DK2_NoDH"/>
    <x v="18"/>
    <s v="GNR_ENG_BGAS_BP_E-32"/>
    <x v="0"/>
    <x v="0"/>
  </r>
  <r>
    <x v="0"/>
    <x v="0"/>
    <x v="7"/>
    <x v="17"/>
    <s v="DK1_MedSmall"/>
    <x v="18"/>
    <s v="GNR_ENG_BGAS_BP_E-33"/>
    <x v="0"/>
    <x v="0"/>
  </r>
  <r>
    <x v="0"/>
    <x v="0"/>
    <x v="7"/>
    <x v="17"/>
    <s v="DK1_NoDH"/>
    <x v="18"/>
    <s v="GNR_ENG_BGAS_BP_E-33"/>
    <x v="0"/>
    <x v="0"/>
  </r>
  <r>
    <x v="0"/>
    <x v="0"/>
    <x v="7"/>
    <x v="18"/>
    <s v="DK2_NoDH"/>
    <x v="18"/>
    <s v="GNR_ENG_BGAS_BP_E-33"/>
    <x v="0"/>
    <x v="0"/>
  </r>
  <r>
    <x v="0"/>
    <x v="1"/>
    <x v="7"/>
    <x v="17"/>
    <s v="DK1_MedSmall"/>
    <x v="18"/>
    <s v="GNR_ENG_BGAS_BP_E-33"/>
    <x v="0"/>
    <x v="0"/>
  </r>
  <r>
    <x v="0"/>
    <x v="1"/>
    <x v="7"/>
    <x v="17"/>
    <s v="DK1_NoDH"/>
    <x v="18"/>
    <s v="GNR_ENG_BGAS_BP_E-33"/>
    <x v="0"/>
    <x v="0"/>
  </r>
  <r>
    <x v="0"/>
    <x v="1"/>
    <x v="7"/>
    <x v="18"/>
    <s v="DK2_NoDH"/>
    <x v="18"/>
    <s v="GNR_ENG_BGAS_BP_E-33"/>
    <x v="0"/>
    <x v="0"/>
  </r>
  <r>
    <x v="0"/>
    <x v="2"/>
    <x v="7"/>
    <x v="17"/>
    <s v="DK1_NoDH"/>
    <x v="18"/>
    <s v="GNR_ENG_BGAS_BP_E-33"/>
    <x v="0"/>
    <x v="0"/>
  </r>
  <r>
    <x v="0"/>
    <x v="2"/>
    <x v="7"/>
    <x v="18"/>
    <s v="DK2_NoDH"/>
    <x v="18"/>
    <s v="GNR_ENG_BGAS_BP_E-33"/>
    <x v="0"/>
    <x v="0"/>
  </r>
  <r>
    <x v="0"/>
    <x v="0"/>
    <x v="7"/>
    <x v="17"/>
    <s v="DK1_Medium"/>
    <x v="18"/>
    <s v="GNR_ENG_BGAS_BP_E-34"/>
    <x v="0"/>
    <x v="0"/>
  </r>
  <r>
    <x v="0"/>
    <x v="0"/>
    <x v="7"/>
    <x v="17"/>
    <s v="DK1_NoDH"/>
    <x v="18"/>
    <s v="GNR_ENG_BGAS_BP_E-34"/>
    <x v="0"/>
    <x v="0"/>
  </r>
  <r>
    <x v="0"/>
    <x v="0"/>
    <x v="7"/>
    <x v="17"/>
    <s v="DK1_Rural"/>
    <x v="18"/>
    <s v="GNR_ENG_BGAS_BP_E-34"/>
    <x v="0"/>
    <x v="0"/>
  </r>
  <r>
    <x v="0"/>
    <x v="0"/>
    <x v="7"/>
    <x v="18"/>
    <s v="DK2_NoDH"/>
    <x v="18"/>
    <s v="GNR_ENG_BGAS_BP_E-34"/>
    <x v="0"/>
    <x v="0"/>
  </r>
  <r>
    <x v="0"/>
    <x v="0"/>
    <x v="7"/>
    <x v="18"/>
    <s v="DK2_Rural"/>
    <x v="18"/>
    <s v="GNR_ENG_BGAS_BP_E-34"/>
    <x v="0"/>
    <x v="0"/>
  </r>
  <r>
    <x v="0"/>
    <x v="1"/>
    <x v="7"/>
    <x v="17"/>
    <s v="DK1_Medium"/>
    <x v="18"/>
    <s v="GNR_ENG_BGAS_BP_E-34"/>
    <x v="0"/>
    <x v="0"/>
  </r>
  <r>
    <x v="0"/>
    <x v="1"/>
    <x v="7"/>
    <x v="17"/>
    <s v="DK1_NoDH"/>
    <x v="18"/>
    <s v="GNR_ENG_BGAS_BP_E-34"/>
    <x v="0"/>
    <x v="0"/>
  </r>
  <r>
    <x v="0"/>
    <x v="1"/>
    <x v="7"/>
    <x v="17"/>
    <s v="DK1_Rural"/>
    <x v="18"/>
    <s v="GNR_ENG_BGAS_BP_E-34"/>
    <x v="0"/>
    <x v="0"/>
  </r>
  <r>
    <x v="0"/>
    <x v="1"/>
    <x v="7"/>
    <x v="18"/>
    <s v="DK2_NoDH"/>
    <x v="18"/>
    <s v="GNR_ENG_BGAS_BP_E-34"/>
    <x v="0"/>
    <x v="0"/>
  </r>
  <r>
    <x v="0"/>
    <x v="2"/>
    <x v="7"/>
    <x v="17"/>
    <s v="DK1_NoDH"/>
    <x v="18"/>
    <s v="GNR_ENG_BGAS_BP_E-34"/>
    <x v="0"/>
    <x v="0"/>
  </r>
  <r>
    <x v="0"/>
    <x v="2"/>
    <x v="7"/>
    <x v="18"/>
    <s v="DK2_NoDH"/>
    <x v="18"/>
    <s v="GNR_ENG_BGAS_BP_E-34"/>
    <x v="0"/>
    <x v="0"/>
  </r>
  <r>
    <x v="0"/>
    <x v="0"/>
    <x v="7"/>
    <x v="17"/>
    <s v="DK1_Medium"/>
    <x v="18"/>
    <s v="GNR_ENG_BGAS_BP_E-35"/>
    <x v="0"/>
    <x v="0"/>
  </r>
  <r>
    <x v="0"/>
    <x v="0"/>
    <x v="7"/>
    <x v="17"/>
    <s v="DK1_NoDH"/>
    <x v="18"/>
    <s v="GNR_ENG_BGAS_BP_E-35"/>
    <x v="0"/>
    <x v="0"/>
  </r>
  <r>
    <x v="0"/>
    <x v="0"/>
    <x v="7"/>
    <x v="17"/>
    <s v="DK1_Rural"/>
    <x v="18"/>
    <s v="GNR_ENG_BGAS_BP_E-35"/>
    <x v="0"/>
    <x v="0"/>
  </r>
  <r>
    <x v="0"/>
    <x v="0"/>
    <x v="7"/>
    <x v="18"/>
    <s v="DK2_NoDH"/>
    <x v="18"/>
    <s v="GNR_ENG_BGAS_BP_E-35"/>
    <x v="0"/>
    <x v="0"/>
  </r>
  <r>
    <x v="0"/>
    <x v="1"/>
    <x v="7"/>
    <x v="17"/>
    <s v="DK1_NoDH"/>
    <x v="18"/>
    <s v="GNR_ENG_BGAS_BP_E-35"/>
    <x v="0"/>
    <x v="0"/>
  </r>
  <r>
    <x v="0"/>
    <x v="1"/>
    <x v="7"/>
    <x v="17"/>
    <s v="DK1_Rural"/>
    <x v="18"/>
    <s v="GNR_ENG_BGAS_BP_E-35"/>
    <x v="0"/>
    <x v="0"/>
  </r>
  <r>
    <x v="0"/>
    <x v="1"/>
    <x v="7"/>
    <x v="18"/>
    <s v="DK2_NoDH"/>
    <x v="18"/>
    <s v="GNR_ENG_BGAS_BP_E-35"/>
    <x v="0"/>
    <x v="0"/>
  </r>
  <r>
    <x v="0"/>
    <x v="2"/>
    <x v="7"/>
    <x v="17"/>
    <s v="DK1_NoDH"/>
    <x v="18"/>
    <s v="GNR_ENG_BGAS_BP_E-35"/>
    <x v="0"/>
    <x v="0"/>
  </r>
  <r>
    <x v="0"/>
    <x v="2"/>
    <x v="7"/>
    <x v="18"/>
    <s v="DK2_NoDH"/>
    <x v="18"/>
    <s v="GNR_ENG_BGAS_BP_E-35"/>
    <x v="0"/>
    <x v="0"/>
  </r>
  <r>
    <x v="0"/>
    <x v="0"/>
    <x v="7"/>
    <x v="17"/>
    <s v="DK1_Large"/>
    <x v="18"/>
    <s v="GNR_ENG_BGAS_BP_E-36"/>
    <x v="0"/>
    <x v="0"/>
  </r>
  <r>
    <x v="0"/>
    <x v="0"/>
    <x v="7"/>
    <x v="17"/>
    <s v="DK1_NoDH"/>
    <x v="18"/>
    <s v="GNR_ENG_BGAS_BP_E-36"/>
    <x v="0"/>
    <x v="0"/>
  </r>
  <r>
    <x v="0"/>
    <x v="0"/>
    <x v="7"/>
    <x v="18"/>
    <s v="DK2_NoDH"/>
    <x v="18"/>
    <s v="GNR_ENG_BGAS_BP_E-36"/>
    <x v="0"/>
    <x v="0"/>
  </r>
  <r>
    <x v="0"/>
    <x v="1"/>
    <x v="7"/>
    <x v="17"/>
    <s v="DK1_Large"/>
    <x v="18"/>
    <s v="GNR_ENG_BGAS_BP_E-36"/>
    <x v="0"/>
    <x v="0"/>
  </r>
  <r>
    <x v="0"/>
    <x v="1"/>
    <x v="7"/>
    <x v="17"/>
    <s v="DK1_NoDH"/>
    <x v="18"/>
    <s v="GNR_ENG_BGAS_BP_E-36"/>
    <x v="0"/>
    <x v="0"/>
  </r>
  <r>
    <x v="0"/>
    <x v="1"/>
    <x v="7"/>
    <x v="18"/>
    <s v="DK2_NoDH"/>
    <x v="18"/>
    <s v="GNR_ENG_BGAS_BP_E-36"/>
    <x v="0"/>
    <x v="0"/>
  </r>
  <r>
    <x v="0"/>
    <x v="2"/>
    <x v="7"/>
    <x v="17"/>
    <s v="DK1_Large"/>
    <x v="18"/>
    <s v="GNR_ENG_BGAS_BP_E-36"/>
    <x v="0"/>
    <x v="0"/>
  </r>
  <r>
    <x v="0"/>
    <x v="2"/>
    <x v="7"/>
    <x v="18"/>
    <s v="DK2_NoDH"/>
    <x v="18"/>
    <s v="GNR_ENG_BGAS_BP_E-36"/>
    <x v="0"/>
    <x v="0"/>
  </r>
  <r>
    <x v="0"/>
    <x v="0"/>
    <x v="7"/>
    <x v="17"/>
    <s v="DK1_Large"/>
    <x v="18"/>
    <s v="GNR_ENG_BGAS_BP_E-37"/>
    <x v="0"/>
    <x v="0"/>
  </r>
  <r>
    <x v="0"/>
    <x v="0"/>
    <x v="7"/>
    <x v="17"/>
    <s v="DK1_Medium"/>
    <x v="18"/>
    <s v="GNR_ENG_BGAS_BP_E-37"/>
    <x v="0"/>
    <x v="0"/>
  </r>
  <r>
    <x v="0"/>
    <x v="0"/>
    <x v="7"/>
    <x v="17"/>
    <s v="DK1_NoDH"/>
    <x v="18"/>
    <s v="GNR_ENG_BGAS_BP_E-37"/>
    <x v="0"/>
    <x v="0"/>
  </r>
  <r>
    <x v="0"/>
    <x v="0"/>
    <x v="7"/>
    <x v="17"/>
    <s v="DK1_Rural"/>
    <x v="18"/>
    <s v="GNR_ENG_BGAS_BP_E-37"/>
    <x v="0"/>
    <x v="0"/>
  </r>
  <r>
    <x v="0"/>
    <x v="0"/>
    <x v="7"/>
    <x v="18"/>
    <s v="DK2_NoDH"/>
    <x v="18"/>
    <s v="GNR_ENG_BGAS_BP_E-37"/>
    <x v="0"/>
    <x v="0"/>
  </r>
  <r>
    <x v="0"/>
    <x v="1"/>
    <x v="7"/>
    <x v="17"/>
    <s v="DK1_Large"/>
    <x v="18"/>
    <s v="GNR_ENG_BGAS_BP_E-37"/>
    <x v="0"/>
    <x v="0"/>
  </r>
  <r>
    <x v="0"/>
    <x v="1"/>
    <x v="7"/>
    <x v="17"/>
    <s v="DK1_Medium"/>
    <x v="18"/>
    <s v="GNR_ENG_BGAS_BP_E-37"/>
    <x v="0"/>
    <x v="0"/>
  </r>
  <r>
    <x v="0"/>
    <x v="1"/>
    <x v="7"/>
    <x v="17"/>
    <s v="DK1_NoDH"/>
    <x v="18"/>
    <s v="GNR_ENG_BGAS_BP_E-37"/>
    <x v="0"/>
    <x v="0"/>
  </r>
  <r>
    <x v="0"/>
    <x v="1"/>
    <x v="7"/>
    <x v="17"/>
    <s v="DK1_Rural"/>
    <x v="18"/>
    <s v="GNR_ENG_BGAS_BP_E-37"/>
    <x v="0"/>
    <x v="0"/>
  </r>
  <r>
    <x v="0"/>
    <x v="1"/>
    <x v="7"/>
    <x v="18"/>
    <s v="DK2_NoDH"/>
    <x v="18"/>
    <s v="GNR_ENG_BGAS_BP_E-37"/>
    <x v="0"/>
    <x v="0"/>
  </r>
  <r>
    <x v="0"/>
    <x v="2"/>
    <x v="7"/>
    <x v="17"/>
    <s v="DK1_Large"/>
    <x v="18"/>
    <s v="GNR_ENG_BGAS_BP_E-37"/>
    <x v="0"/>
    <x v="0"/>
  </r>
  <r>
    <x v="0"/>
    <x v="2"/>
    <x v="7"/>
    <x v="17"/>
    <s v="DK1_NoDH"/>
    <x v="18"/>
    <s v="GNR_ENG_BGAS_BP_E-37"/>
    <x v="0"/>
    <x v="0"/>
  </r>
  <r>
    <x v="0"/>
    <x v="2"/>
    <x v="7"/>
    <x v="17"/>
    <s v="DK1_Rural"/>
    <x v="18"/>
    <s v="GNR_ENG_BGAS_BP_E-37"/>
    <x v="0"/>
    <x v="0"/>
  </r>
  <r>
    <x v="0"/>
    <x v="2"/>
    <x v="7"/>
    <x v="18"/>
    <s v="DK2_NoDH"/>
    <x v="18"/>
    <s v="GNR_ENG_BGAS_BP_E-37"/>
    <x v="0"/>
    <x v="0"/>
  </r>
  <r>
    <x v="0"/>
    <x v="0"/>
    <x v="7"/>
    <x v="17"/>
    <s v="DK1_MedSmall"/>
    <x v="18"/>
    <s v="GNR_ENG_BGAS_BP_E-38"/>
    <x v="0"/>
    <x v="0"/>
  </r>
  <r>
    <x v="0"/>
    <x v="0"/>
    <x v="7"/>
    <x v="17"/>
    <s v="DK1_NoDH"/>
    <x v="18"/>
    <s v="GNR_ENG_BGAS_BP_E-38"/>
    <x v="0"/>
    <x v="0"/>
  </r>
  <r>
    <x v="0"/>
    <x v="0"/>
    <x v="7"/>
    <x v="17"/>
    <s v="DK1_Rural"/>
    <x v="18"/>
    <s v="GNR_ENG_BGAS_BP_E-38"/>
    <x v="0"/>
    <x v="0"/>
  </r>
  <r>
    <x v="0"/>
    <x v="0"/>
    <x v="7"/>
    <x v="18"/>
    <s v="DK2_Large"/>
    <x v="18"/>
    <s v="GNR_ENG_BGAS_BP_E-38"/>
    <x v="0"/>
    <x v="0"/>
  </r>
  <r>
    <x v="0"/>
    <x v="0"/>
    <x v="7"/>
    <x v="18"/>
    <s v="DK2_MedSmall"/>
    <x v="18"/>
    <s v="GNR_ENG_BGAS_BP_E-38"/>
    <x v="0"/>
    <x v="0"/>
  </r>
  <r>
    <x v="0"/>
    <x v="0"/>
    <x v="7"/>
    <x v="18"/>
    <s v="DK2_NoDH"/>
    <x v="18"/>
    <s v="GNR_ENG_BGAS_BP_E-38"/>
    <x v="0"/>
    <x v="0"/>
  </r>
  <r>
    <x v="0"/>
    <x v="1"/>
    <x v="7"/>
    <x v="17"/>
    <s v="DK1_MedSmall"/>
    <x v="18"/>
    <s v="GNR_ENG_BGAS_BP_E-38"/>
    <x v="0"/>
    <x v="0"/>
  </r>
  <r>
    <x v="0"/>
    <x v="1"/>
    <x v="7"/>
    <x v="17"/>
    <s v="DK1_NoDH"/>
    <x v="18"/>
    <s v="GNR_ENG_BGAS_BP_E-38"/>
    <x v="0"/>
    <x v="0"/>
  </r>
  <r>
    <x v="0"/>
    <x v="1"/>
    <x v="7"/>
    <x v="17"/>
    <s v="DK1_Rural"/>
    <x v="18"/>
    <s v="GNR_ENG_BGAS_BP_E-38"/>
    <x v="0"/>
    <x v="0"/>
  </r>
  <r>
    <x v="0"/>
    <x v="1"/>
    <x v="7"/>
    <x v="18"/>
    <s v="DK2_Large"/>
    <x v="18"/>
    <s v="GNR_ENG_BGAS_BP_E-38"/>
    <x v="0"/>
    <x v="0"/>
  </r>
  <r>
    <x v="0"/>
    <x v="1"/>
    <x v="7"/>
    <x v="18"/>
    <s v="DK2_MedSmall"/>
    <x v="18"/>
    <s v="GNR_ENG_BGAS_BP_E-38"/>
    <x v="0"/>
    <x v="0"/>
  </r>
  <r>
    <x v="0"/>
    <x v="1"/>
    <x v="7"/>
    <x v="18"/>
    <s v="DK2_NoDH"/>
    <x v="18"/>
    <s v="GNR_ENG_BGAS_BP_E-38"/>
    <x v="0"/>
    <x v="0"/>
  </r>
  <r>
    <x v="0"/>
    <x v="2"/>
    <x v="7"/>
    <x v="17"/>
    <s v="DK1_NoDH"/>
    <x v="18"/>
    <s v="GNR_ENG_BGAS_BP_E-38"/>
    <x v="0"/>
    <x v="0"/>
  </r>
  <r>
    <x v="0"/>
    <x v="2"/>
    <x v="7"/>
    <x v="17"/>
    <s v="DK1_Rural"/>
    <x v="18"/>
    <s v="GNR_ENG_BGAS_BP_E-38"/>
    <x v="0"/>
    <x v="0"/>
  </r>
  <r>
    <x v="0"/>
    <x v="2"/>
    <x v="7"/>
    <x v="18"/>
    <s v="DK2_MedSmall"/>
    <x v="18"/>
    <s v="GNR_ENG_BGAS_BP_E-38"/>
    <x v="0"/>
    <x v="0"/>
  </r>
  <r>
    <x v="0"/>
    <x v="2"/>
    <x v="7"/>
    <x v="18"/>
    <s v="DK2_NoDH"/>
    <x v="18"/>
    <s v="GNR_ENG_BGAS_BP_E-38"/>
    <x v="0"/>
    <x v="0"/>
  </r>
  <r>
    <x v="0"/>
    <x v="0"/>
    <x v="7"/>
    <x v="17"/>
    <s v="DK1_Large"/>
    <x v="18"/>
    <s v="GNR_ENG_BGAS_BP_E-39"/>
    <x v="0"/>
    <x v="0"/>
  </r>
  <r>
    <x v="0"/>
    <x v="0"/>
    <x v="7"/>
    <x v="17"/>
    <s v="DK1_Medium"/>
    <x v="18"/>
    <s v="GNR_ENG_BGAS_BP_E-39"/>
    <x v="0"/>
    <x v="0"/>
  </r>
  <r>
    <x v="0"/>
    <x v="0"/>
    <x v="7"/>
    <x v="17"/>
    <s v="DK1_NoDH"/>
    <x v="18"/>
    <s v="GNR_ENG_BGAS_BP_E-39"/>
    <x v="0"/>
    <x v="0"/>
  </r>
  <r>
    <x v="0"/>
    <x v="0"/>
    <x v="7"/>
    <x v="17"/>
    <s v="DK1_Rural"/>
    <x v="18"/>
    <s v="GNR_ENG_BGAS_BP_E-39"/>
    <x v="0"/>
    <x v="0"/>
  </r>
  <r>
    <x v="0"/>
    <x v="0"/>
    <x v="7"/>
    <x v="18"/>
    <s v="DK2_NoDH"/>
    <x v="18"/>
    <s v="GNR_ENG_BGAS_BP_E-39"/>
    <x v="0"/>
    <x v="0"/>
  </r>
  <r>
    <x v="0"/>
    <x v="0"/>
    <x v="7"/>
    <x v="18"/>
    <s v="DK2_Rural"/>
    <x v="18"/>
    <s v="GNR_ENG_BGAS_BP_E-39"/>
    <x v="0"/>
    <x v="0"/>
  </r>
  <r>
    <x v="0"/>
    <x v="1"/>
    <x v="7"/>
    <x v="17"/>
    <s v="DK1_Large"/>
    <x v="18"/>
    <s v="GNR_ENG_BGAS_BP_E-39"/>
    <x v="0"/>
    <x v="0"/>
  </r>
  <r>
    <x v="0"/>
    <x v="1"/>
    <x v="7"/>
    <x v="17"/>
    <s v="DK1_Medium"/>
    <x v="18"/>
    <s v="GNR_ENG_BGAS_BP_E-39"/>
    <x v="0"/>
    <x v="0"/>
  </r>
  <r>
    <x v="0"/>
    <x v="1"/>
    <x v="7"/>
    <x v="17"/>
    <s v="DK1_NoDH"/>
    <x v="18"/>
    <s v="GNR_ENG_BGAS_BP_E-39"/>
    <x v="0"/>
    <x v="0"/>
  </r>
  <r>
    <x v="0"/>
    <x v="1"/>
    <x v="7"/>
    <x v="17"/>
    <s v="DK1_Rural"/>
    <x v="18"/>
    <s v="GNR_ENG_BGAS_BP_E-39"/>
    <x v="0"/>
    <x v="0"/>
  </r>
  <r>
    <x v="0"/>
    <x v="1"/>
    <x v="7"/>
    <x v="18"/>
    <s v="DK2_NoDH"/>
    <x v="18"/>
    <s v="GNR_ENG_BGAS_BP_E-39"/>
    <x v="0"/>
    <x v="0"/>
  </r>
  <r>
    <x v="0"/>
    <x v="1"/>
    <x v="7"/>
    <x v="18"/>
    <s v="DK2_Rural"/>
    <x v="18"/>
    <s v="GNR_ENG_BGAS_BP_E-39"/>
    <x v="0"/>
    <x v="0"/>
  </r>
  <r>
    <x v="0"/>
    <x v="2"/>
    <x v="7"/>
    <x v="17"/>
    <s v="DK1_Large"/>
    <x v="18"/>
    <s v="GNR_ENG_BGAS_BP_E-39"/>
    <x v="0"/>
    <x v="0"/>
  </r>
  <r>
    <x v="0"/>
    <x v="2"/>
    <x v="7"/>
    <x v="17"/>
    <s v="DK1_Medium"/>
    <x v="18"/>
    <s v="GNR_ENG_BGAS_BP_E-39"/>
    <x v="0"/>
    <x v="0"/>
  </r>
  <r>
    <x v="0"/>
    <x v="2"/>
    <x v="7"/>
    <x v="17"/>
    <s v="DK1_NoDH"/>
    <x v="18"/>
    <s v="GNR_ENG_BGAS_BP_E-39"/>
    <x v="0"/>
    <x v="0"/>
  </r>
  <r>
    <x v="0"/>
    <x v="2"/>
    <x v="7"/>
    <x v="17"/>
    <s v="DK1_Rural"/>
    <x v="18"/>
    <s v="GNR_ENG_BGAS_BP_E-39"/>
    <x v="0"/>
    <x v="0"/>
  </r>
  <r>
    <x v="0"/>
    <x v="2"/>
    <x v="7"/>
    <x v="18"/>
    <s v="DK2_NoDH"/>
    <x v="18"/>
    <s v="GNR_ENG_BGAS_BP_E-39"/>
    <x v="0"/>
    <x v="0"/>
  </r>
  <r>
    <x v="0"/>
    <x v="0"/>
    <x v="7"/>
    <x v="17"/>
    <s v="DK1_Large"/>
    <x v="18"/>
    <s v="GNR_ENG_BGAS_BP_E-40"/>
    <x v="0"/>
    <x v="0"/>
  </r>
  <r>
    <x v="0"/>
    <x v="0"/>
    <x v="7"/>
    <x v="17"/>
    <s v="DK1_NoDH"/>
    <x v="18"/>
    <s v="GNR_ENG_BGAS_BP_E-40"/>
    <x v="0"/>
    <x v="0"/>
  </r>
  <r>
    <x v="0"/>
    <x v="0"/>
    <x v="7"/>
    <x v="17"/>
    <s v="DK1_Rural"/>
    <x v="18"/>
    <s v="GNR_ENG_BGAS_BP_E-40"/>
    <x v="0"/>
    <x v="0"/>
  </r>
  <r>
    <x v="0"/>
    <x v="0"/>
    <x v="7"/>
    <x v="18"/>
    <s v="DK2_NoDH"/>
    <x v="18"/>
    <s v="GNR_ENG_BGAS_BP_E-40"/>
    <x v="0"/>
    <x v="0"/>
  </r>
  <r>
    <x v="0"/>
    <x v="0"/>
    <x v="7"/>
    <x v="18"/>
    <s v="DK2_Rural"/>
    <x v="18"/>
    <s v="GNR_ENG_BGAS_BP_E-40"/>
    <x v="0"/>
    <x v="0"/>
  </r>
  <r>
    <x v="0"/>
    <x v="1"/>
    <x v="7"/>
    <x v="17"/>
    <s v="DK1_Large"/>
    <x v="18"/>
    <s v="GNR_ENG_BGAS_BP_E-40"/>
    <x v="0"/>
    <x v="0"/>
  </r>
  <r>
    <x v="0"/>
    <x v="1"/>
    <x v="7"/>
    <x v="17"/>
    <s v="DK1_NoDH"/>
    <x v="18"/>
    <s v="GNR_ENG_BGAS_BP_E-40"/>
    <x v="0"/>
    <x v="0"/>
  </r>
  <r>
    <x v="0"/>
    <x v="1"/>
    <x v="7"/>
    <x v="17"/>
    <s v="DK1_Rural"/>
    <x v="18"/>
    <s v="GNR_ENG_BGAS_BP_E-40"/>
    <x v="0"/>
    <x v="0"/>
  </r>
  <r>
    <x v="0"/>
    <x v="1"/>
    <x v="7"/>
    <x v="18"/>
    <s v="DK2_NoDH"/>
    <x v="18"/>
    <s v="GNR_ENG_BGAS_BP_E-40"/>
    <x v="0"/>
    <x v="0"/>
  </r>
  <r>
    <x v="0"/>
    <x v="1"/>
    <x v="7"/>
    <x v="18"/>
    <s v="DK2_Rural"/>
    <x v="18"/>
    <s v="GNR_ENG_BGAS_BP_E-40"/>
    <x v="0"/>
    <x v="0"/>
  </r>
  <r>
    <x v="0"/>
    <x v="2"/>
    <x v="7"/>
    <x v="17"/>
    <s v="DK1_Large"/>
    <x v="18"/>
    <s v="GNR_ENG_BGAS_BP_E-40"/>
    <x v="0"/>
    <x v="0"/>
  </r>
  <r>
    <x v="0"/>
    <x v="2"/>
    <x v="7"/>
    <x v="17"/>
    <s v="DK1_NoDH"/>
    <x v="18"/>
    <s v="GNR_ENG_BGAS_BP_E-40"/>
    <x v="0"/>
    <x v="0"/>
  </r>
  <r>
    <x v="0"/>
    <x v="2"/>
    <x v="7"/>
    <x v="17"/>
    <s v="DK1_Rural"/>
    <x v="18"/>
    <s v="GNR_ENG_BGAS_BP_E-40"/>
    <x v="0"/>
    <x v="0"/>
  </r>
  <r>
    <x v="0"/>
    <x v="2"/>
    <x v="7"/>
    <x v="18"/>
    <s v="DK2_NoDH"/>
    <x v="18"/>
    <s v="GNR_ENG_BGAS_BP_E-40"/>
    <x v="0"/>
    <x v="0"/>
  </r>
  <r>
    <x v="0"/>
    <x v="2"/>
    <x v="7"/>
    <x v="18"/>
    <s v="DK2_Rural"/>
    <x v="18"/>
    <s v="GNR_ENG_BGAS_BP_E-40"/>
    <x v="0"/>
    <x v="0"/>
  </r>
  <r>
    <x v="0"/>
    <x v="0"/>
    <x v="7"/>
    <x v="17"/>
    <s v="DK1_Large"/>
    <x v="18"/>
    <s v="GNR_ENG_BGAS_BP_E-41"/>
    <x v="0"/>
    <x v="0"/>
  </r>
  <r>
    <x v="0"/>
    <x v="0"/>
    <x v="7"/>
    <x v="17"/>
    <s v="DK1_Medium"/>
    <x v="18"/>
    <s v="GNR_ENG_BGAS_BP_E-41"/>
    <x v="0"/>
    <x v="0"/>
  </r>
  <r>
    <x v="0"/>
    <x v="0"/>
    <x v="7"/>
    <x v="17"/>
    <s v="DK1_Rural"/>
    <x v="18"/>
    <s v="GNR_ENG_BGAS_BP_E-41"/>
    <x v="0"/>
    <x v="0"/>
  </r>
  <r>
    <x v="0"/>
    <x v="0"/>
    <x v="7"/>
    <x v="18"/>
    <s v="DK2_Rural"/>
    <x v="18"/>
    <s v="GNR_ENG_BGAS_BP_E-41"/>
    <x v="0"/>
    <x v="0"/>
  </r>
  <r>
    <x v="0"/>
    <x v="1"/>
    <x v="7"/>
    <x v="17"/>
    <s v="DK1_Large"/>
    <x v="18"/>
    <s v="GNR_ENG_BGAS_BP_E-41"/>
    <x v="0"/>
    <x v="0"/>
  </r>
  <r>
    <x v="0"/>
    <x v="1"/>
    <x v="7"/>
    <x v="17"/>
    <s v="DK1_Medium"/>
    <x v="18"/>
    <s v="GNR_ENG_BGAS_BP_E-41"/>
    <x v="0"/>
    <x v="0"/>
  </r>
  <r>
    <x v="0"/>
    <x v="1"/>
    <x v="7"/>
    <x v="17"/>
    <s v="DK1_Rural"/>
    <x v="18"/>
    <s v="GNR_ENG_BGAS_BP_E-41"/>
    <x v="0"/>
    <x v="0"/>
  </r>
  <r>
    <x v="0"/>
    <x v="1"/>
    <x v="7"/>
    <x v="18"/>
    <s v="DK2_Rural"/>
    <x v="18"/>
    <s v="GNR_ENG_BGAS_BP_E-41"/>
    <x v="0"/>
    <x v="0"/>
  </r>
  <r>
    <x v="0"/>
    <x v="2"/>
    <x v="7"/>
    <x v="17"/>
    <s v="DK1_Large"/>
    <x v="18"/>
    <s v="GNR_ENG_BGAS_BP_E-41"/>
    <x v="0"/>
    <x v="0"/>
  </r>
  <r>
    <x v="0"/>
    <x v="2"/>
    <x v="7"/>
    <x v="17"/>
    <s v="DK1_Medium"/>
    <x v="18"/>
    <s v="GNR_ENG_BGAS_BP_E-41"/>
    <x v="0"/>
    <x v="0"/>
  </r>
  <r>
    <x v="0"/>
    <x v="2"/>
    <x v="7"/>
    <x v="17"/>
    <s v="DK1_Rural"/>
    <x v="18"/>
    <s v="GNR_ENG_BGAS_BP_E-41"/>
    <x v="0"/>
    <x v="0"/>
  </r>
  <r>
    <x v="0"/>
    <x v="2"/>
    <x v="7"/>
    <x v="18"/>
    <s v="DK2_Rural"/>
    <x v="18"/>
    <s v="GNR_ENG_BGAS_BP_E-41"/>
    <x v="0"/>
    <x v="0"/>
  </r>
  <r>
    <x v="0"/>
    <x v="0"/>
    <x v="7"/>
    <x v="17"/>
    <s v="DK1_Large"/>
    <x v="18"/>
    <s v="GNR_ENG_BGAS_BP_E-42"/>
    <x v="0"/>
    <x v="0"/>
  </r>
  <r>
    <x v="0"/>
    <x v="0"/>
    <x v="7"/>
    <x v="17"/>
    <s v="DK1_Medium"/>
    <x v="18"/>
    <s v="GNR_ENG_BGAS_BP_E-42"/>
    <x v="0"/>
    <x v="0"/>
  </r>
  <r>
    <x v="0"/>
    <x v="0"/>
    <x v="7"/>
    <x v="17"/>
    <s v="DK1_NoDH"/>
    <x v="18"/>
    <s v="GNR_ENG_BGAS_BP_E-42"/>
    <x v="0"/>
    <x v="0"/>
  </r>
  <r>
    <x v="0"/>
    <x v="0"/>
    <x v="7"/>
    <x v="17"/>
    <s v="DK1_Rural"/>
    <x v="18"/>
    <s v="GNR_ENG_BGAS_BP_E-42"/>
    <x v="0"/>
    <x v="0"/>
  </r>
  <r>
    <x v="0"/>
    <x v="0"/>
    <x v="7"/>
    <x v="18"/>
    <s v="DK2_Large"/>
    <x v="18"/>
    <s v="GNR_ENG_BGAS_BP_E-42"/>
    <x v="0"/>
    <x v="0"/>
  </r>
  <r>
    <x v="0"/>
    <x v="0"/>
    <x v="7"/>
    <x v="18"/>
    <s v="DK2_NoDH"/>
    <x v="18"/>
    <s v="GNR_ENG_BGAS_BP_E-42"/>
    <x v="0"/>
    <x v="0"/>
  </r>
  <r>
    <x v="0"/>
    <x v="0"/>
    <x v="7"/>
    <x v="18"/>
    <s v="DK2_Rural"/>
    <x v="18"/>
    <s v="GNR_ENG_BGAS_BP_E-42"/>
    <x v="0"/>
    <x v="0"/>
  </r>
  <r>
    <x v="0"/>
    <x v="1"/>
    <x v="7"/>
    <x v="17"/>
    <s v="DK1_Large"/>
    <x v="18"/>
    <s v="GNR_ENG_BGAS_BP_E-42"/>
    <x v="0"/>
    <x v="0"/>
  </r>
  <r>
    <x v="0"/>
    <x v="1"/>
    <x v="7"/>
    <x v="17"/>
    <s v="DK1_Medium"/>
    <x v="18"/>
    <s v="GNR_ENG_BGAS_BP_E-42"/>
    <x v="0"/>
    <x v="0"/>
  </r>
  <r>
    <x v="0"/>
    <x v="1"/>
    <x v="7"/>
    <x v="17"/>
    <s v="DK1_NoDH"/>
    <x v="18"/>
    <s v="GNR_ENG_BGAS_BP_E-42"/>
    <x v="0"/>
    <x v="0"/>
  </r>
  <r>
    <x v="0"/>
    <x v="1"/>
    <x v="7"/>
    <x v="17"/>
    <s v="DK1_Rural"/>
    <x v="18"/>
    <s v="GNR_ENG_BGAS_BP_E-42"/>
    <x v="0"/>
    <x v="0"/>
  </r>
  <r>
    <x v="0"/>
    <x v="1"/>
    <x v="7"/>
    <x v="18"/>
    <s v="DK2_Large"/>
    <x v="18"/>
    <s v="GNR_ENG_BGAS_BP_E-42"/>
    <x v="0"/>
    <x v="0"/>
  </r>
  <r>
    <x v="0"/>
    <x v="1"/>
    <x v="7"/>
    <x v="18"/>
    <s v="DK2_NoDH"/>
    <x v="18"/>
    <s v="GNR_ENG_BGAS_BP_E-42"/>
    <x v="0"/>
    <x v="0"/>
  </r>
  <r>
    <x v="0"/>
    <x v="1"/>
    <x v="7"/>
    <x v="18"/>
    <s v="DK2_Rural"/>
    <x v="18"/>
    <s v="GNR_ENG_BGAS_BP_E-42"/>
    <x v="0"/>
    <x v="0"/>
  </r>
  <r>
    <x v="0"/>
    <x v="2"/>
    <x v="7"/>
    <x v="17"/>
    <s v="DK1_Large"/>
    <x v="18"/>
    <s v="GNR_ENG_BGAS_BP_E-42"/>
    <x v="0"/>
    <x v="0"/>
  </r>
  <r>
    <x v="0"/>
    <x v="2"/>
    <x v="7"/>
    <x v="17"/>
    <s v="DK1_Medium"/>
    <x v="18"/>
    <s v="GNR_ENG_BGAS_BP_E-42"/>
    <x v="0"/>
    <x v="0"/>
  </r>
  <r>
    <x v="0"/>
    <x v="2"/>
    <x v="7"/>
    <x v="17"/>
    <s v="DK1_NoDH"/>
    <x v="18"/>
    <s v="GNR_ENG_BGAS_BP_E-42"/>
    <x v="0"/>
    <x v="0"/>
  </r>
  <r>
    <x v="0"/>
    <x v="2"/>
    <x v="7"/>
    <x v="17"/>
    <s v="DK1_Rural"/>
    <x v="18"/>
    <s v="GNR_ENG_BGAS_BP_E-42"/>
    <x v="0"/>
    <x v="0"/>
  </r>
  <r>
    <x v="0"/>
    <x v="2"/>
    <x v="7"/>
    <x v="18"/>
    <s v="DK2_Large"/>
    <x v="18"/>
    <s v="GNR_ENG_BGAS_BP_E-42"/>
    <x v="0"/>
    <x v="0"/>
  </r>
  <r>
    <x v="0"/>
    <x v="2"/>
    <x v="7"/>
    <x v="18"/>
    <s v="DK2_NoDH"/>
    <x v="18"/>
    <s v="GNR_ENG_BGAS_BP_E-42"/>
    <x v="0"/>
    <x v="0"/>
  </r>
  <r>
    <x v="0"/>
    <x v="2"/>
    <x v="7"/>
    <x v="18"/>
    <s v="DK2_Rural"/>
    <x v="18"/>
    <s v="GNR_ENG_BGAS_BP_E-42"/>
    <x v="0"/>
    <x v="0"/>
  </r>
  <r>
    <x v="0"/>
    <x v="0"/>
    <x v="7"/>
    <x v="17"/>
    <s v="DK1_Large"/>
    <x v="18"/>
    <s v="GNR_ENG_BGAS_BP_E-43"/>
    <x v="0"/>
    <x v="0"/>
  </r>
  <r>
    <x v="0"/>
    <x v="0"/>
    <x v="7"/>
    <x v="17"/>
    <s v="DK1_NoDH"/>
    <x v="18"/>
    <s v="GNR_ENG_BGAS_BP_E-43"/>
    <x v="0"/>
    <x v="0"/>
  </r>
  <r>
    <x v="0"/>
    <x v="0"/>
    <x v="7"/>
    <x v="17"/>
    <s v="DK1_Rural"/>
    <x v="18"/>
    <s v="GNR_ENG_BGAS_BP_E-43"/>
    <x v="0"/>
    <x v="0"/>
  </r>
  <r>
    <x v="0"/>
    <x v="1"/>
    <x v="7"/>
    <x v="17"/>
    <s v="DK1_Large"/>
    <x v="18"/>
    <s v="GNR_ENG_BGAS_BP_E-43"/>
    <x v="0"/>
    <x v="0"/>
  </r>
  <r>
    <x v="0"/>
    <x v="1"/>
    <x v="7"/>
    <x v="17"/>
    <s v="DK1_NoDH"/>
    <x v="18"/>
    <s v="GNR_ENG_BGAS_BP_E-43"/>
    <x v="0"/>
    <x v="0"/>
  </r>
  <r>
    <x v="0"/>
    <x v="1"/>
    <x v="7"/>
    <x v="17"/>
    <s v="DK1_Rural"/>
    <x v="18"/>
    <s v="GNR_ENG_BGAS_BP_E-43"/>
    <x v="0"/>
    <x v="0"/>
  </r>
  <r>
    <x v="0"/>
    <x v="2"/>
    <x v="7"/>
    <x v="17"/>
    <s v="DK1_Large"/>
    <x v="18"/>
    <s v="GNR_ENG_BGAS_BP_E-43"/>
    <x v="0"/>
    <x v="0"/>
  </r>
  <r>
    <x v="0"/>
    <x v="2"/>
    <x v="7"/>
    <x v="17"/>
    <s v="DK1_NoDH"/>
    <x v="18"/>
    <s v="GNR_ENG_BGAS_BP_E-43"/>
    <x v="0"/>
    <x v="0"/>
  </r>
  <r>
    <x v="0"/>
    <x v="2"/>
    <x v="7"/>
    <x v="17"/>
    <s v="DK1_Rural"/>
    <x v="18"/>
    <s v="GNR_ENG_BGAS_BP_E-43"/>
    <x v="0"/>
    <x v="0"/>
  </r>
  <r>
    <x v="0"/>
    <x v="0"/>
    <x v="5"/>
    <x v="12"/>
    <s v="DE4-E_A"/>
    <x v="18"/>
    <s v="GNR_ENG_BGAS_BP_E-45"/>
    <x v="0"/>
    <x v="0"/>
  </r>
  <r>
    <x v="0"/>
    <x v="0"/>
    <x v="5"/>
    <x v="13"/>
    <s v="DE4-N_A"/>
    <x v="18"/>
    <s v="GNR_ENG_BGAS_BP_E-45"/>
    <x v="0"/>
    <x v="0"/>
  </r>
  <r>
    <x v="0"/>
    <x v="0"/>
    <x v="5"/>
    <x v="14"/>
    <s v="DE4-S_A"/>
    <x v="18"/>
    <s v="GNR_ENG_BGAS_BP_E-45"/>
    <x v="0"/>
    <x v="0"/>
  </r>
  <r>
    <x v="0"/>
    <x v="0"/>
    <x v="5"/>
    <x v="15"/>
    <s v="DE4-W_A"/>
    <x v="18"/>
    <s v="GNR_ENG_BGAS_BP_E-45"/>
    <x v="0"/>
    <x v="0"/>
  </r>
  <r>
    <x v="0"/>
    <x v="1"/>
    <x v="5"/>
    <x v="12"/>
    <s v="DE4-E_A"/>
    <x v="18"/>
    <s v="GNR_ENG_BGAS_BP_E-45"/>
    <x v="0"/>
    <x v="0"/>
  </r>
  <r>
    <x v="0"/>
    <x v="1"/>
    <x v="5"/>
    <x v="13"/>
    <s v="DE4-N_A"/>
    <x v="18"/>
    <s v="GNR_ENG_BGAS_BP_E-45"/>
    <x v="0"/>
    <x v="0"/>
  </r>
  <r>
    <x v="0"/>
    <x v="1"/>
    <x v="5"/>
    <x v="14"/>
    <s v="DE4-S_A"/>
    <x v="18"/>
    <s v="GNR_ENG_BGAS_BP_E-45"/>
    <x v="0"/>
    <x v="0"/>
  </r>
  <r>
    <x v="0"/>
    <x v="1"/>
    <x v="5"/>
    <x v="15"/>
    <s v="DE4-W_A"/>
    <x v="18"/>
    <s v="GNR_ENG_BGAS_BP_E-45"/>
    <x v="0"/>
    <x v="0"/>
  </r>
  <r>
    <x v="0"/>
    <x v="2"/>
    <x v="5"/>
    <x v="12"/>
    <s v="DE4-E_A"/>
    <x v="18"/>
    <s v="GNR_ENG_BGAS_BP_E-45"/>
    <x v="0"/>
    <x v="0"/>
  </r>
  <r>
    <x v="0"/>
    <x v="2"/>
    <x v="5"/>
    <x v="13"/>
    <s v="DE4-N_A"/>
    <x v="18"/>
    <s v="GNR_ENG_BGAS_BP_E-45"/>
    <x v="0"/>
    <x v="0"/>
  </r>
  <r>
    <x v="0"/>
    <x v="2"/>
    <x v="5"/>
    <x v="14"/>
    <s v="DE4-S_A"/>
    <x v="18"/>
    <s v="GNR_ENG_BGAS_BP_E-45"/>
    <x v="0"/>
    <x v="0"/>
  </r>
  <r>
    <x v="0"/>
    <x v="2"/>
    <x v="5"/>
    <x v="15"/>
    <s v="DE4-W_A"/>
    <x v="18"/>
    <s v="GNR_ENG_BGAS_BP_E-45"/>
    <x v="0"/>
    <x v="0"/>
  </r>
  <r>
    <x v="0"/>
    <x v="0"/>
    <x v="7"/>
    <x v="18"/>
    <s v="DK2_NoDH"/>
    <x v="18"/>
    <s v="GNR_ENG_BGAS_CND_E-32"/>
    <x v="0"/>
    <x v="0"/>
  </r>
  <r>
    <x v="0"/>
    <x v="1"/>
    <x v="7"/>
    <x v="18"/>
    <s v="DK2_NoDH"/>
    <x v="18"/>
    <s v="GNR_ENG_BGAS_CND_E-32"/>
    <x v="0"/>
    <x v="0"/>
  </r>
  <r>
    <x v="0"/>
    <x v="2"/>
    <x v="7"/>
    <x v="18"/>
    <s v="DK2_NoDH"/>
    <x v="18"/>
    <s v="GNR_ENG_BGAS_CND_E-32"/>
    <x v="0"/>
    <x v="0"/>
  </r>
  <r>
    <x v="0"/>
    <x v="0"/>
    <x v="7"/>
    <x v="18"/>
    <s v="DK2_NoDH"/>
    <x v="18"/>
    <s v="GNR_ENG_BGAS_CND_E-35"/>
    <x v="0"/>
    <x v="0"/>
  </r>
  <r>
    <x v="0"/>
    <x v="1"/>
    <x v="7"/>
    <x v="18"/>
    <s v="DK2_NoDH"/>
    <x v="18"/>
    <s v="GNR_ENG_BGAS_CND_E-35"/>
    <x v="0"/>
    <x v="0"/>
  </r>
  <r>
    <x v="0"/>
    <x v="0"/>
    <x v="7"/>
    <x v="17"/>
    <s v="DK1_NoDH"/>
    <x v="18"/>
    <s v="GNR_ENG_BGAS_CND_E-36"/>
    <x v="0"/>
    <x v="0"/>
  </r>
  <r>
    <x v="0"/>
    <x v="1"/>
    <x v="7"/>
    <x v="17"/>
    <s v="DK1_NoDH"/>
    <x v="18"/>
    <s v="GNR_ENG_BGAS_CND_E-36"/>
    <x v="0"/>
    <x v="0"/>
  </r>
  <r>
    <x v="0"/>
    <x v="2"/>
    <x v="7"/>
    <x v="17"/>
    <s v="DK1_NoDH"/>
    <x v="18"/>
    <s v="GNR_ENG_BGAS_CND_E-36"/>
    <x v="0"/>
    <x v="0"/>
  </r>
  <r>
    <x v="0"/>
    <x v="0"/>
    <x v="7"/>
    <x v="17"/>
    <s v="DK1_NoDH"/>
    <x v="18"/>
    <s v="GNR_ENG_BGAS_CND_E-42"/>
    <x v="0"/>
    <x v="0"/>
  </r>
  <r>
    <x v="0"/>
    <x v="1"/>
    <x v="7"/>
    <x v="17"/>
    <s v="DK1_NoDH"/>
    <x v="18"/>
    <s v="GNR_ENG_BGAS_CND_E-42"/>
    <x v="0"/>
    <x v="0"/>
  </r>
  <r>
    <x v="0"/>
    <x v="0"/>
    <x v="5"/>
    <x v="12"/>
    <s v="DE4-E_A"/>
    <x v="18"/>
    <s v="GNR_ENG_BGAS_CND_E-44"/>
    <x v="0"/>
    <x v="0"/>
  </r>
  <r>
    <x v="0"/>
    <x v="0"/>
    <x v="5"/>
    <x v="13"/>
    <s v="DE4-N_A"/>
    <x v="18"/>
    <s v="GNR_ENG_BGAS_CND_E-44"/>
    <x v="0"/>
    <x v="0"/>
  </r>
  <r>
    <x v="0"/>
    <x v="0"/>
    <x v="5"/>
    <x v="14"/>
    <s v="DE4-S_A"/>
    <x v="18"/>
    <s v="GNR_ENG_BGAS_CND_E-44"/>
    <x v="0"/>
    <x v="0"/>
  </r>
  <r>
    <x v="0"/>
    <x v="0"/>
    <x v="5"/>
    <x v="15"/>
    <s v="DE4-W_A"/>
    <x v="18"/>
    <s v="GNR_ENG_BGAS_CND_E-44"/>
    <x v="0"/>
    <x v="0"/>
  </r>
  <r>
    <x v="0"/>
    <x v="1"/>
    <x v="5"/>
    <x v="12"/>
    <s v="DE4-E_A"/>
    <x v="18"/>
    <s v="GNR_ENG_BGAS_CND_E-44"/>
    <x v="0"/>
    <x v="0"/>
  </r>
  <r>
    <x v="0"/>
    <x v="1"/>
    <x v="5"/>
    <x v="13"/>
    <s v="DE4-N_A"/>
    <x v="18"/>
    <s v="GNR_ENG_BGAS_CND_E-44"/>
    <x v="0"/>
    <x v="0"/>
  </r>
  <r>
    <x v="0"/>
    <x v="1"/>
    <x v="5"/>
    <x v="14"/>
    <s v="DE4-S_A"/>
    <x v="18"/>
    <s v="GNR_ENG_BGAS_CND_E-44"/>
    <x v="0"/>
    <x v="0"/>
  </r>
  <r>
    <x v="0"/>
    <x v="1"/>
    <x v="5"/>
    <x v="15"/>
    <s v="DE4-W_A"/>
    <x v="18"/>
    <s v="GNR_ENG_BGAS_CND_E-44"/>
    <x v="0"/>
    <x v="0"/>
  </r>
  <r>
    <x v="0"/>
    <x v="2"/>
    <x v="5"/>
    <x v="12"/>
    <s v="DE4-E_A"/>
    <x v="18"/>
    <s v="GNR_ENG_BGAS_CND_E-44"/>
    <x v="0"/>
    <x v="0"/>
  </r>
  <r>
    <x v="0"/>
    <x v="2"/>
    <x v="5"/>
    <x v="13"/>
    <s v="DE4-N_A"/>
    <x v="18"/>
    <s v="GNR_ENG_BGAS_CND_E-44"/>
    <x v="0"/>
    <x v="0"/>
  </r>
  <r>
    <x v="0"/>
    <x v="2"/>
    <x v="5"/>
    <x v="14"/>
    <s v="DE4-S_A"/>
    <x v="18"/>
    <s v="GNR_ENG_BGAS_CND_E-44"/>
    <x v="0"/>
    <x v="0"/>
  </r>
  <r>
    <x v="0"/>
    <x v="2"/>
    <x v="5"/>
    <x v="15"/>
    <s v="DE4-W_A"/>
    <x v="18"/>
    <s v="GNR_ENG_BGAS_CND_E-44"/>
    <x v="0"/>
    <x v="0"/>
  </r>
  <r>
    <x v="0"/>
    <x v="0"/>
    <x v="3"/>
    <x v="10"/>
    <s v="LT_Other_DH"/>
    <x v="18"/>
    <s v="GNR_ENG_BGAS_EXT_E-33"/>
    <x v="0"/>
    <x v="0"/>
  </r>
  <r>
    <x v="0"/>
    <x v="1"/>
    <x v="3"/>
    <x v="10"/>
    <s v="LT_Other_DH"/>
    <x v="18"/>
    <s v="GNR_ENG_BGAS_EXT_E-33"/>
    <x v="0"/>
    <x v="0"/>
  </r>
  <r>
    <x v="0"/>
    <x v="2"/>
    <x v="3"/>
    <x v="10"/>
    <s v="LT_Other_DH"/>
    <x v="18"/>
    <s v="GNR_ENG_BGAS_EXT_E-33"/>
    <x v="0"/>
    <x v="0"/>
  </r>
  <r>
    <x v="0"/>
    <x v="0"/>
    <x v="7"/>
    <x v="18"/>
    <s v="DK2_Rural"/>
    <x v="1"/>
    <s v="GNR_ENG_FUELOIL_CND_E-42"/>
    <x v="0"/>
    <x v="0"/>
  </r>
  <r>
    <x v="0"/>
    <x v="1"/>
    <x v="7"/>
    <x v="18"/>
    <s v="DK2_Rural"/>
    <x v="1"/>
    <s v="GNR_ENG_FUELOIL_CND_E-42"/>
    <x v="0"/>
    <x v="0"/>
  </r>
  <r>
    <x v="0"/>
    <x v="2"/>
    <x v="7"/>
    <x v="18"/>
    <s v="DK2_Rural"/>
    <x v="1"/>
    <s v="GNR_ENG_FUELOIL_CND_E-42"/>
    <x v="0"/>
    <x v="0"/>
  </r>
  <r>
    <x v="0"/>
    <x v="0"/>
    <x v="7"/>
    <x v="17"/>
    <s v="DK1_Rural"/>
    <x v="19"/>
    <s v="GNR_ENG_LIGHTOIL_BP_E-35"/>
    <x v="0"/>
    <x v="0"/>
  </r>
  <r>
    <x v="0"/>
    <x v="1"/>
    <x v="7"/>
    <x v="17"/>
    <s v="DK1_Rural"/>
    <x v="19"/>
    <s v="GNR_ENG_LIGHTOIL_BP_E-35"/>
    <x v="0"/>
    <x v="0"/>
  </r>
  <r>
    <x v="0"/>
    <x v="0"/>
    <x v="7"/>
    <x v="17"/>
    <s v="DK1_Large"/>
    <x v="19"/>
    <s v="GNR_ENG_LIGHTOIL_BP_E-37"/>
    <x v="0"/>
    <x v="0"/>
  </r>
  <r>
    <x v="0"/>
    <x v="0"/>
    <x v="7"/>
    <x v="17"/>
    <s v="DK1_Rural"/>
    <x v="19"/>
    <s v="GNR_ENG_LIGHTOIL_BP_E-37"/>
    <x v="0"/>
    <x v="0"/>
  </r>
  <r>
    <x v="0"/>
    <x v="0"/>
    <x v="7"/>
    <x v="18"/>
    <s v="DK2_NoDH"/>
    <x v="19"/>
    <s v="GNR_ENG_LIGHTOIL_BP_E-37"/>
    <x v="0"/>
    <x v="0"/>
  </r>
  <r>
    <x v="0"/>
    <x v="1"/>
    <x v="7"/>
    <x v="17"/>
    <s v="DK1_Large"/>
    <x v="19"/>
    <s v="GNR_ENG_LIGHTOIL_BP_E-37"/>
    <x v="0"/>
    <x v="0"/>
  </r>
  <r>
    <x v="0"/>
    <x v="1"/>
    <x v="7"/>
    <x v="17"/>
    <s v="DK1_Rural"/>
    <x v="19"/>
    <s v="GNR_ENG_LIGHTOIL_BP_E-37"/>
    <x v="0"/>
    <x v="0"/>
  </r>
  <r>
    <x v="0"/>
    <x v="1"/>
    <x v="7"/>
    <x v="18"/>
    <s v="DK2_NoDH"/>
    <x v="19"/>
    <s v="GNR_ENG_LIGHTOIL_BP_E-37"/>
    <x v="0"/>
    <x v="0"/>
  </r>
  <r>
    <x v="0"/>
    <x v="2"/>
    <x v="7"/>
    <x v="17"/>
    <s v="DK1_Large"/>
    <x v="19"/>
    <s v="GNR_ENG_LIGHTOIL_BP_E-37"/>
    <x v="0"/>
    <x v="0"/>
  </r>
  <r>
    <x v="0"/>
    <x v="2"/>
    <x v="7"/>
    <x v="17"/>
    <s v="DK1_Rural"/>
    <x v="19"/>
    <s v="GNR_ENG_LIGHTOIL_BP_E-37"/>
    <x v="0"/>
    <x v="0"/>
  </r>
  <r>
    <x v="0"/>
    <x v="2"/>
    <x v="7"/>
    <x v="18"/>
    <s v="DK2_NoDH"/>
    <x v="19"/>
    <s v="GNR_ENG_LIGHTOIL_BP_E-37"/>
    <x v="0"/>
    <x v="0"/>
  </r>
  <r>
    <x v="0"/>
    <x v="0"/>
    <x v="7"/>
    <x v="18"/>
    <s v="DK2_NoDH"/>
    <x v="19"/>
    <s v="GNR_ENG_LIGHTOIL_BP_E-39"/>
    <x v="0"/>
    <x v="0"/>
  </r>
  <r>
    <x v="0"/>
    <x v="1"/>
    <x v="7"/>
    <x v="18"/>
    <s v="DK2_NoDH"/>
    <x v="19"/>
    <s v="GNR_ENG_LIGHTOIL_BP_E-39"/>
    <x v="0"/>
    <x v="0"/>
  </r>
  <r>
    <x v="0"/>
    <x v="2"/>
    <x v="7"/>
    <x v="18"/>
    <s v="DK2_NoDH"/>
    <x v="19"/>
    <s v="GNR_ENG_LIGHTOIL_BP_E-39"/>
    <x v="0"/>
    <x v="0"/>
  </r>
  <r>
    <x v="0"/>
    <x v="0"/>
    <x v="7"/>
    <x v="18"/>
    <s v="DK2_Rural"/>
    <x v="19"/>
    <s v="GNR_ENG_LIGHTOIL_BP_E-43"/>
    <x v="0"/>
    <x v="0"/>
  </r>
  <r>
    <x v="0"/>
    <x v="1"/>
    <x v="7"/>
    <x v="18"/>
    <s v="DK2_Rural"/>
    <x v="19"/>
    <s v="GNR_ENG_LIGHTOIL_BP_E-43"/>
    <x v="0"/>
    <x v="0"/>
  </r>
  <r>
    <x v="0"/>
    <x v="2"/>
    <x v="7"/>
    <x v="18"/>
    <s v="DK2_Rural"/>
    <x v="19"/>
    <s v="GNR_ENG_LIGHTOIL_BP_E-43"/>
    <x v="0"/>
    <x v="0"/>
  </r>
  <r>
    <x v="0"/>
    <x v="0"/>
    <x v="7"/>
    <x v="17"/>
    <s v="DK1_Rural"/>
    <x v="19"/>
    <s v="GNR_ENG_LIGHTOIL_CND_E-33"/>
    <x v="0"/>
    <x v="0"/>
  </r>
  <r>
    <x v="0"/>
    <x v="1"/>
    <x v="7"/>
    <x v="17"/>
    <s v="DK1_Rural"/>
    <x v="19"/>
    <s v="GNR_ENG_LIGHTOIL_CND_E-33"/>
    <x v="0"/>
    <x v="0"/>
  </r>
  <r>
    <x v="0"/>
    <x v="2"/>
    <x v="7"/>
    <x v="17"/>
    <s v="DK1_Rural"/>
    <x v="19"/>
    <s v="GNR_ENG_LIGHTOIL_CND_E-33"/>
    <x v="0"/>
    <x v="0"/>
  </r>
  <r>
    <x v="0"/>
    <x v="0"/>
    <x v="7"/>
    <x v="17"/>
    <s v="DK1_NoDH"/>
    <x v="19"/>
    <s v="GNR_ENG_LIGHTOIL_CND_E-34"/>
    <x v="0"/>
    <x v="0"/>
  </r>
  <r>
    <x v="0"/>
    <x v="1"/>
    <x v="7"/>
    <x v="17"/>
    <s v="DK1_NoDH"/>
    <x v="19"/>
    <s v="GNR_ENG_LIGHTOIL_CND_E-34"/>
    <x v="0"/>
    <x v="0"/>
  </r>
  <r>
    <x v="0"/>
    <x v="2"/>
    <x v="7"/>
    <x v="17"/>
    <s v="DK1_NoDH"/>
    <x v="19"/>
    <s v="GNR_ENG_LIGHTOIL_CND_E-34"/>
    <x v="0"/>
    <x v="0"/>
  </r>
  <r>
    <x v="0"/>
    <x v="0"/>
    <x v="7"/>
    <x v="17"/>
    <s v="DK1_NoDH"/>
    <x v="19"/>
    <s v="GNR_ENG_LIGHTOIL_CND_E-36"/>
    <x v="0"/>
    <x v="0"/>
  </r>
  <r>
    <x v="0"/>
    <x v="1"/>
    <x v="7"/>
    <x v="17"/>
    <s v="DK1_NoDH"/>
    <x v="19"/>
    <s v="GNR_ENG_LIGHTOIL_CND_E-36"/>
    <x v="0"/>
    <x v="0"/>
  </r>
  <r>
    <x v="0"/>
    <x v="2"/>
    <x v="7"/>
    <x v="17"/>
    <s v="DK1_NoDH"/>
    <x v="19"/>
    <s v="GNR_ENG_LIGHTOIL_CND_E-36"/>
    <x v="0"/>
    <x v="0"/>
  </r>
  <r>
    <x v="0"/>
    <x v="0"/>
    <x v="7"/>
    <x v="18"/>
    <s v="DK2_NoDH"/>
    <x v="19"/>
    <s v="GNR_ENG_LIGHTOIL_CND_E-37"/>
    <x v="0"/>
    <x v="0"/>
  </r>
  <r>
    <x v="0"/>
    <x v="0"/>
    <x v="7"/>
    <x v="18"/>
    <s v="DK2_Rural"/>
    <x v="19"/>
    <s v="GNR_ENG_LIGHTOIL_CND_E-37"/>
    <x v="0"/>
    <x v="0"/>
  </r>
  <r>
    <x v="0"/>
    <x v="1"/>
    <x v="7"/>
    <x v="18"/>
    <s v="DK2_NoDH"/>
    <x v="19"/>
    <s v="GNR_ENG_LIGHTOIL_CND_E-37"/>
    <x v="0"/>
    <x v="0"/>
  </r>
  <r>
    <x v="0"/>
    <x v="1"/>
    <x v="7"/>
    <x v="18"/>
    <s v="DK2_Rural"/>
    <x v="19"/>
    <s v="GNR_ENG_LIGHTOIL_CND_E-37"/>
    <x v="0"/>
    <x v="0"/>
  </r>
  <r>
    <x v="0"/>
    <x v="2"/>
    <x v="7"/>
    <x v="18"/>
    <s v="DK2_NoDH"/>
    <x v="19"/>
    <s v="GNR_ENG_LIGHTOIL_CND_E-37"/>
    <x v="0"/>
    <x v="0"/>
  </r>
  <r>
    <x v="0"/>
    <x v="2"/>
    <x v="7"/>
    <x v="18"/>
    <s v="DK2_Rural"/>
    <x v="19"/>
    <s v="GNR_ENG_LIGHTOIL_CND_E-37"/>
    <x v="0"/>
    <x v="0"/>
  </r>
  <r>
    <x v="0"/>
    <x v="0"/>
    <x v="7"/>
    <x v="17"/>
    <s v="DK1_Medium"/>
    <x v="19"/>
    <s v="GNR_ENG_LIGHTOIL_CND_E-38"/>
    <x v="0"/>
    <x v="0"/>
  </r>
  <r>
    <x v="0"/>
    <x v="1"/>
    <x v="7"/>
    <x v="17"/>
    <s v="DK1_Medium"/>
    <x v="19"/>
    <s v="GNR_ENG_LIGHTOIL_CND_E-38"/>
    <x v="0"/>
    <x v="0"/>
  </r>
  <r>
    <x v="0"/>
    <x v="0"/>
    <x v="7"/>
    <x v="17"/>
    <s v="DK1_MedSmall"/>
    <x v="19"/>
    <s v="GNR_ENG_LIGHTOIL_CND_E-39"/>
    <x v="0"/>
    <x v="0"/>
  </r>
  <r>
    <x v="0"/>
    <x v="0"/>
    <x v="7"/>
    <x v="17"/>
    <s v="DK1_Medium"/>
    <x v="19"/>
    <s v="GNR_ENG_LIGHTOIL_CND_E-39"/>
    <x v="0"/>
    <x v="0"/>
  </r>
  <r>
    <x v="0"/>
    <x v="0"/>
    <x v="7"/>
    <x v="18"/>
    <s v="DK2_Rural"/>
    <x v="19"/>
    <s v="GNR_ENG_LIGHTOIL_CND_E-39"/>
    <x v="0"/>
    <x v="0"/>
  </r>
  <r>
    <x v="0"/>
    <x v="1"/>
    <x v="7"/>
    <x v="17"/>
    <s v="DK1_MedSmall"/>
    <x v="19"/>
    <s v="GNR_ENG_LIGHTOIL_CND_E-39"/>
    <x v="0"/>
    <x v="0"/>
  </r>
  <r>
    <x v="0"/>
    <x v="1"/>
    <x v="7"/>
    <x v="17"/>
    <s v="DK1_Medium"/>
    <x v="19"/>
    <s v="GNR_ENG_LIGHTOIL_CND_E-39"/>
    <x v="0"/>
    <x v="0"/>
  </r>
  <r>
    <x v="0"/>
    <x v="1"/>
    <x v="7"/>
    <x v="18"/>
    <s v="DK2_Rural"/>
    <x v="19"/>
    <s v="GNR_ENG_LIGHTOIL_CND_E-39"/>
    <x v="0"/>
    <x v="0"/>
  </r>
  <r>
    <x v="0"/>
    <x v="2"/>
    <x v="7"/>
    <x v="17"/>
    <s v="DK1_Medium"/>
    <x v="19"/>
    <s v="GNR_ENG_LIGHTOIL_CND_E-39"/>
    <x v="0"/>
    <x v="0"/>
  </r>
  <r>
    <x v="0"/>
    <x v="0"/>
    <x v="7"/>
    <x v="18"/>
    <s v="DK2_Large"/>
    <x v="19"/>
    <s v="GNR_ENG_LIGHTOIL_CND_E-40"/>
    <x v="0"/>
    <x v="0"/>
  </r>
  <r>
    <x v="0"/>
    <x v="1"/>
    <x v="7"/>
    <x v="18"/>
    <s v="DK2_Large"/>
    <x v="19"/>
    <s v="GNR_ENG_LIGHTOIL_CND_E-40"/>
    <x v="0"/>
    <x v="0"/>
  </r>
  <r>
    <x v="0"/>
    <x v="2"/>
    <x v="7"/>
    <x v="18"/>
    <s v="DK2_Large"/>
    <x v="19"/>
    <s v="GNR_ENG_LIGHTOIL_CND_E-40"/>
    <x v="0"/>
    <x v="0"/>
  </r>
  <r>
    <x v="0"/>
    <x v="0"/>
    <x v="7"/>
    <x v="17"/>
    <s v="DK1_Medium"/>
    <x v="19"/>
    <s v="GNR_ENG_LIGHTOIL_CND_E-41"/>
    <x v="0"/>
    <x v="0"/>
  </r>
  <r>
    <x v="0"/>
    <x v="0"/>
    <x v="7"/>
    <x v="17"/>
    <s v="DK1_NoDH"/>
    <x v="19"/>
    <s v="GNR_ENG_LIGHTOIL_CND_E-41"/>
    <x v="0"/>
    <x v="0"/>
  </r>
  <r>
    <x v="0"/>
    <x v="0"/>
    <x v="7"/>
    <x v="18"/>
    <s v="DK2_Rural"/>
    <x v="19"/>
    <s v="GNR_ENG_LIGHTOIL_CND_E-41"/>
    <x v="0"/>
    <x v="0"/>
  </r>
  <r>
    <x v="0"/>
    <x v="1"/>
    <x v="7"/>
    <x v="17"/>
    <s v="DK1_Medium"/>
    <x v="19"/>
    <s v="GNR_ENG_LIGHTOIL_CND_E-41"/>
    <x v="0"/>
    <x v="0"/>
  </r>
  <r>
    <x v="0"/>
    <x v="1"/>
    <x v="7"/>
    <x v="17"/>
    <s v="DK1_NoDH"/>
    <x v="19"/>
    <s v="GNR_ENG_LIGHTOIL_CND_E-41"/>
    <x v="0"/>
    <x v="0"/>
  </r>
  <r>
    <x v="0"/>
    <x v="1"/>
    <x v="7"/>
    <x v="18"/>
    <s v="DK2_Rural"/>
    <x v="19"/>
    <s v="GNR_ENG_LIGHTOIL_CND_E-41"/>
    <x v="0"/>
    <x v="0"/>
  </r>
  <r>
    <x v="0"/>
    <x v="2"/>
    <x v="7"/>
    <x v="17"/>
    <s v="DK1_NoDH"/>
    <x v="19"/>
    <s v="GNR_ENG_LIGHTOIL_CND_E-41"/>
    <x v="0"/>
    <x v="0"/>
  </r>
  <r>
    <x v="0"/>
    <x v="2"/>
    <x v="7"/>
    <x v="18"/>
    <s v="DK2_Rural"/>
    <x v="19"/>
    <s v="GNR_ENG_LIGHTOIL_CND_E-41"/>
    <x v="0"/>
    <x v="0"/>
  </r>
  <r>
    <x v="0"/>
    <x v="0"/>
    <x v="7"/>
    <x v="17"/>
    <s v="DK1_Rural"/>
    <x v="19"/>
    <s v="GNR_ENG_LIGHTOIL_CND_E-42"/>
    <x v="0"/>
    <x v="0"/>
  </r>
  <r>
    <x v="0"/>
    <x v="1"/>
    <x v="7"/>
    <x v="17"/>
    <s v="DK1_Rural"/>
    <x v="19"/>
    <s v="GNR_ENG_LIGHTOIL_CND_E-42"/>
    <x v="0"/>
    <x v="0"/>
  </r>
  <r>
    <x v="0"/>
    <x v="2"/>
    <x v="7"/>
    <x v="17"/>
    <s v="DK1_Rural"/>
    <x v="19"/>
    <s v="GNR_ENG_LIGHTOIL_CND_E-42"/>
    <x v="0"/>
    <x v="0"/>
  </r>
  <r>
    <x v="0"/>
    <x v="0"/>
    <x v="7"/>
    <x v="17"/>
    <s v="DK1_NoDH"/>
    <x v="19"/>
    <s v="GNR_ENG_LIGHTOIL_CND_E-43"/>
    <x v="0"/>
    <x v="0"/>
  </r>
  <r>
    <x v="0"/>
    <x v="0"/>
    <x v="7"/>
    <x v="17"/>
    <s v="DK1_Rural"/>
    <x v="19"/>
    <s v="GNR_ENG_LIGHTOIL_CND_E-43"/>
    <x v="0"/>
    <x v="0"/>
  </r>
  <r>
    <x v="0"/>
    <x v="0"/>
    <x v="7"/>
    <x v="18"/>
    <s v="DK2_Large"/>
    <x v="19"/>
    <s v="GNR_ENG_LIGHTOIL_CND_E-43"/>
    <x v="0"/>
    <x v="0"/>
  </r>
  <r>
    <x v="0"/>
    <x v="0"/>
    <x v="7"/>
    <x v="18"/>
    <s v="DK2_Rural"/>
    <x v="19"/>
    <s v="GNR_ENG_LIGHTOIL_CND_E-43"/>
    <x v="0"/>
    <x v="0"/>
  </r>
  <r>
    <x v="0"/>
    <x v="1"/>
    <x v="7"/>
    <x v="17"/>
    <s v="DK1_NoDH"/>
    <x v="19"/>
    <s v="GNR_ENG_LIGHTOIL_CND_E-43"/>
    <x v="0"/>
    <x v="0"/>
  </r>
  <r>
    <x v="0"/>
    <x v="1"/>
    <x v="7"/>
    <x v="17"/>
    <s v="DK1_Rural"/>
    <x v="19"/>
    <s v="GNR_ENG_LIGHTOIL_CND_E-43"/>
    <x v="0"/>
    <x v="0"/>
  </r>
  <r>
    <x v="0"/>
    <x v="1"/>
    <x v="7"/>
    <x v="18"/>
    <s v="DK2_Large"/>
    <x v="19"/>
    <s v="GNR_ENG_LIGHTOIL_CND_E-43"/>
    <x v="0"/>
    <x v="0"/>
  </r>
  <r>
    <x v="0"/>
    <x v="1"/>
    <x v="7"/>
    <x v="18"/>
    <s v="DK2_Rural"/>
    <x v="19"/>
    <s v="GNR_ENG_LIGHTOIL_CND_E-43"/>
    <x v="0"/>
    <x v="0"/>
  </r>
  <r>
    <x v="0"/>
    <x v="2"/>
    <x v="7"/>
    <x v="17"/>
    <s v="DK1_NoDH"/>
    <x v="19"/>
    <s v="GNR_ENG_LIGHTOIL_CND_E-43"/>
    <x v="0"/>
    <x v="0"/>
  </r>
  <r>
    <x v="0"/>
    <x v="2"/>
    <x v="7"/>
    <x v="17"/>
    <s v="DK1_Rural"/>
    <x v="19"/>
    <s v="GNR_ENG_LIGHTOIL_CND_E-43"/>
    <x v="0"/>
    <x v="0"/>
  </r>
  <r>
    <x v="0"/>
    <x v="2"/>
    <x v="7"/>
    <x v="18"/>
    <s v="DK2_Large"/>
    <x v="19"/>
    <s v="GNR_ENG_LIGHTOIL_CND_E-43"/>
    <x v="0"/>
    <x v="0"/>
  </r>
  <r>
    <x v="0"/>
    <x v="0"/>
    <x v="7"/>
    <x v="17"/>
    <s v="DK1_NoDH"/>
    <x v="2"/>
    <s v="GNR_ENG_NGAS_BP_E-33"/>
    <x v="0"/>
    <x v="0"/>
  </r>
  <r>
    <x v="0"/>
    <x v="0"/>
    <x v="7"/>
    <x v="17"/>
    <s v="DK1_Rural"/>
    <x v="2"/>
    <s v="GNR_ENG_NGAS_BP_E-33"/>
    <x v="0"/>
    <x v="0"/>
  </r>
  <r>
    <x v="0"/>
    <x v="0"/>
    <x v="7"/>
    <x v="18"/>
    <s v="DK2_Medium"/>
    <x v="2"/>
    <s v="GNR_ENG_NGAS_BP_E-33"/>
    <x v="0"/>
    <x v="0"/>
  </r>
  <r>
    <x v="0"/>
    <x v="0"/>
    <x v="7"/>
    <x v="18"/>
    <s v="DK2_NoDH"/>
    <x v="2"/>
    <s v="GNR_ENG_NGAS_BP_E-33"/>
    <x v="0"/>
    <x v="0"/>
  </r>
  <r>
    <x v="0"/>
    <x v="0"/>
    <x v="7"/>
    <x v="18"/>
    <s v="DK2_Rural"/>
    <x v="2"/>
    <s v="GNR_ENG_NGAS_BP_E-33"/>
    <x v="0"/>
    <x v="0"/>
  </r>
  <r>
    <x v="0"/>
    <x v="1"/>
    <x v="7"/>
    <x v="17"/>
    <s v="DK1_NoDH"/>
    <x v="2"/>
    <s v="GNR_ENG_NGAS_BP_E-33"/>
    <x v="0"/>
    <x v="0"/>
  </r>
  <r>
    <x v="0"/>
    <x v="1"/>
    <x v="7"/>
    <x v="17"/>
    <s v="DK1_Rural"/>
    <x v="2"/>
    <s v="GNR_ENG_NGAS_BP_E-33"/>
    <x v="0"/>
    <x v="0"/>
  </r>
  <r>
    <x v="0"/>
    <x v="1"/>
    <x v="7"/>
    <x v="18"/>
    <s v="DK2_NoDH"/>
    <x v="2"/>
    <s v="GNR_ENG_NGAS_BP_E-33"/>
    <x v="0"/>
    <x v="0"/>
  </r>
  <r>
    <x v="0"/>
    <x v="1"/>
    <x v="7"/>
    <x v="18"/>
    <s v="DK2_Rural"/>
    <x v="2"/>
    <s v="GNR_ENG_NGAS_BP_E-33"/>
    <x v="0"/>
    <x v="0"/>
  </r>
  <r>
    <x v="0"/>
    <x v="2"/>
    <x v="7"/>
    <x v="17"/>
    <s v="DK1_NoDH"/>
    <x v="2"/>
    <s v="GNR_ENG_NGAS_BP_E-33"/>
    <x v="0"/>
    <x v="0"/>
  </r>
  <r>
    <x v="0"/>
    <x v="0"/>
    <x v="7"/>
    <x v="17"/>
    <s v="DK1_Large"/>
    <x v="2"/>
    <s v="GNR_ENG_NGAS_BP_E-34"/>
    <x v="0"/>
    <x v="0"/>
  </r>
  <r>
    <x v="0"/>
    <x v="0"/>
    <x v="7"/>
    <x v="17"/>
    <s v="DK1_Medium"/>
    <x v="2"/>
    <s v="GNR_ENG_NGAS_BP_E-34"/>
    <x v="0"/>
    <x v="0"/>
  </r>
  <r>
    <x v="0"/>
    <x v="0"/>
    <x v="7"/>
    <x v="17"/>
    <s v="DK1_Rural"/>
    <x v="2"/>
    <s v="GNR_ENG_NGAS_BP_E-34"/>
    <x v="0"/>
    <x v="0"/>
  </r>
  <r>
    <x v="0"/>
    <x v="0"/>
    <x v="7"/>
    <x v="18"/>
    <s v="DK2_Large"/>
    <x v="2"/>
    <s v="GNR_ENG_NGAS_BP_E-34"/>
    <x v="0"/>
    <x v="0"/>
  </r>
  <r>
    <x v="0"/>
    <x v="0"/>
    <x v="7"/>
    <x v="18"/>
    <s v="DK2_NoDH"/>
    <x v="2"/>
    <s v="GNR_ENG_NGAS_BP_E-34"/>
    <x v="0"/>
    <x v="0"/>
  </r>
  <r>
    <x v="0"/>
    <x v="0"/>
    <x v="7"/>
    <x v="18"/>
    <s v="DK2_Rural"/>
    <x v="2"/>
    <s v="GNR_ENG_NGAS_BP_E-34"/>
    <x v="0"/>
    <x v="0"/>
  </r>
  <r>
    <x v="0"/>
    <x v="1"/>
    <x v="7"/>
    <x v="17"/>
    <s v="DK1_Large"/>
    <x v="2"/>
    <s v="GNR_ENG_NGAS_BP_E-34"/>
    <x v="0"/>
    <x v="0"/>
  </r>
  <r>
    <x v="0"/>
    <x v="1"/>
    <x v="7"/>
    <x v="17"/>
    <s v="DK1_Rural"/>
    <x v="2"/>
    <s v="GNR_ENG_NGAS_BP_E-34"/>
    <x v="0"/>
    <x v="0"/>
  </r>
  <r>
    <x v="0"/>
    <x v="1"/>
    <x v="7"/>
    <x v="18"/>
    <s v="DK2_Large"/>
    <x v="2"/>
    <s v="GNR_ENG_NGAS_BP_E-34"/>
    <x v="0"/>
    <x v="0"/>
  </r>
  <r>
    <x v="0"/>
    <x v="1"/>
    <x v="7"/>
    <x v="18"/>
    <s v="DK2_NoDH"/>
    <x v="2"/>
    <s v="GNR_ENG_NGAS_BP_E-34"/>
    <x v="0"/>
    <x v="0"/>
  </r>
  <r>
    <x v="0"/>
    <x v="1"/>
    <x v="7"/>
    <x v="18"/>
    <s v="DK2_Rural"/>
    <x v="2"/>
    <s v="GNR_ENG_NGAS_BP_E-34"/>
    <x v="0"/>
    <x v="0"/>
  </r>
  <r>
    <x v="0"/>
    <x v="0"/>
    <x v="7"/>
    <x v="17"/>
    <s v="DK1_MedSmall"/>
    <x v="2"/>
    <s v="GNR_ENG_NGAS_BP_E-35"/>
    <x v="0"/>
    <x v="0"/>
  </r>
  <r>
    <x v="0"/>
    <x v="0"/>
    <x v="7"/>
    <x v="17"/>
    <s v="DK1_NoDH"/>
    <x v="2"/>
    <s v="GNR_ENG_NGAS_BP_E-35"/>
    <x v="0"/>
    <x v="0"/>
  </r>
  <r>
    <x v="0"/>
    <x v="0"/>
    <x v="7"/>
    <x v="18"/>
    <s v="DK2_Medium"/>
    <x v="2"/>
    <s v="GNR_ENG_NGAS_BP_E-35"/>
    <x v="0"/>
    <x v="0"/>
  </r>
  <r>
    <x v="0"/>
    <x v="0"/>
    <x v="7"/>
    <x v="18"/>
    <s v="DK2_NoDH"/>
    <x v="2"/>
    <s v="GNR_ENG_NGAS_BP_E-35"/>
    <x v="0"/>
    <x v="0"/>
  </r>
  <r>
    <x v="0"/>
    <x v="0"/>
    <x v="7"/>
    <x v="18"/>
    <s v="DK2_Rural"/>
    <x v="2"/>
    <s v="GNR_ENG_NGAS_BP_E-35"/>
    <x v="0"/>
    <x v="0"/>
  </r>
  <r>
    <x v="0"/>
    <x v="1"/>
    <x v="7"/>
    <x v="17"/>
    <s v="DK1_MedSmall"/>
    <x v="2"/>
    <s v="GNR_ENG_NGAS_BP_E-35"/>
    <x v="0"/>
    <x v="0"/>
  </r>
  <r>
    <x v="0"/>
    <x v="1"/>
    <x v="7"/>
    <x v="17"/>
    <s v="DK1_NoDH"/>
    <x v="2"/>
    <s v="GNR_ENG_NGAS_BP_E-35"/>
    <x v="0"/>
    <x v="0"/>
  </r>
  <r>
    <x v="0"/>
    <x v="1"/>
    <x v="7"/>
    <x v="18"/>
    <s v="DK2_Medium"/>
    <x v="2"/>
    <s v="GNR_ENG_NGAS_BP_E-35"/>
    <x v="0"/>
    <x v="0"/>
  </r>
  <r>
    <x v="0"/>
    <x v="2"/>
    <x v="7"/>
    <x v="18"/>
    <s v="DK2_Medium"/>
    <x v="2"/>
    <s v="GNR_ENG_NGAS_BP_E-35"/>
    <x v="0"/>
    <x v="0"/>
  </r>
  <r>
    <x v="0"/>
    <x v="0"/>
    <x v="7"/>
    <x v="17"/>
    <s v="DK1_Medium"/>
    <x v="2"/>
    <s v="GNR_ENG_NGAS_BP_E-36"/>
    <x v="0"/>
    <x v="0"/>
  </r>
  <r>
    <x v="0"/>
    <x v="0"/>
    <x v="7"/>
    <x v="17"/>
    <s v="DK1_NoDH"/>
    <x v="2"/>
    <s v="GNR_ENG_NGAS_BP_E-36"/>
    <x v="0"/>
    <x v="0"/>
  </r>
  <r>
    <x v="0"/>
    <x v="0"/>
    <x v="7"/>
    <x v="17"/>
    <s v="DK1_Rural"/>
    <x v="2"/>
    <s v="GNR_ENG_NGAS_BP_E-36"/>
    <x v="0"/>
    <x v="0"/>
  </r>
  <r>
    <x v="0"/>
    <x v="0"/>
    <x v="7"/>
    <x v="18"/>
    <s v="DK2_Large"/>
    <x v="2"/>
    <s v="GNR_ENG_NGAS_BP_E-36"/>
    <x v="0"/>
    <x v="0"/>
  </r>
  <r>
    <x v="0"/>
    <x v="0"/>
    <x v="7"/>
    <x v="18"/>
    <s v="DK2_NoDH"/>
    <x v="2"/>
    <s v="GNR_ENG_NGAS_BP_E-36"/>
    <x v="0"/>
    <x v="0"/>
  </r>
  <r>
    <x v="0"/>
    <x v="0"/>
    <x v="7"/>
    <x v="18"/>
    <s v="DK2_Rural"/>
    <x v="2"/>
    <s v="GNR_ENG_NGAS_BP_E-36"/>
    <x v="0"/>
    <x v="0"/>
  </r>
  <r>
    <x v="0"/>
    <x v="1"/>
    <x v="7"/>
    <x v="17"/>
    <s v="DK1_Medium"/>
    <x v="2"/>
    <s v="GNR_ENG_NGAS_BP_E-36"/>
    <x v="0"/>
    <x v="0"/>
  </r>
  <r>
    <x v="0"/>
    <x v="1"/>
    <x v="7"/>
    <x v="17"/>
    <s v="DK1_NoDH"/>
    <x v="2"/>
    <s v="GNR_ENG_NGAS_BP_E-36"/>
    <x v="0"/>
    <x v="0"/>
  </r>
  <r>
    <x v="0"/>
    <x v="1"/>
    <x v="7"/>
    <x v="17"/>
    <s v="DK1_Rural"/>
    <x v="2"/>
    <s v="GNR_ENG_NGAS_BP_E-36"/>
    <x v="0"/>
    <x v="0"/>
  </r>
  <r>
    <x v="0"/>
    <x v="1"/>
    <x v="7"/>
    <x v="18"/>
    <s v="DK2_Large"/>
    <x v="2"/>
    <s v="GNR_ENG_NGAS_BP_E-36"/>
    <x v="0"/>
    <x v="0"/>
  </r>
  <r>
    <x v="0"/>
    <x v="1"/>
    <x v="7"/>
    <x v="18"/>
    <s v="DK2_NoDH"/>
    <x v="2"/>
    <s v="GNR_ENG_NGAS_BP_E-36"/>
    <x v="0"/>
    <x v="0"/>
  </r>
  <r>
    <x v="0"/>
    <x v="1"/>
    <x v="7"/>
    <x v="18"/>
    <s v="DK2_Rural"/>
    <x v="2"/>
    <s v="GNR_ENG_NGAS_BP_E-36"/>
    <x v="0"/>
    <x v="0"/>
  </r>
  <r>
    <x v="0"/>
    <x v="2"/>
    <x v="7"/>
    <x v="18"/>
    <s v="DK2_NoDH"/>
    <x v="2"/>
    <s v="GNR_ENG_NGAS_BP_E-36"/>
    <x v="0"/>
    <x v="0"/>
  </r>
  <r>
    <x v="0"/>
    <x v="2"/>
    <x v="7"/>
    <x v="18"/>
    <s v="DK2_Rural"/>
    <x v="2"/>
    <s v="GNR_ENG_NGAS_BP_E-36"/>
    <x v="0"/>
    <x v="0"/>
  </r>
  <r>
    <x v="0"/>
    <x v="0"/>
    <x v="7"/>
    <x v="17"/>
    <s v="DK1_MedSmall"/>
    <x v="2"/>
    <s v="GNR_ENG_NGAS_BP_E-37"/>
    <x v="0"/>
    <x v="0"/>
  </r>
  <r>
    <x v="0"/>
    <x v="0"/>
    <x v="7"/>
    <x v="17"/>
    <s v="DK1_NoDH"/>
    <x v="2"/>
    <s v="GNR_ENG_NGAS_BP_E-37"/>
    <x v="0"/>
    <x v="0"/>
  </r>
  <r>
    <x v="0"/>
    <x v="0"/>
    <x v="7"/>
    <x v="17"/>
    <s v="DK1_Rural"/>
    <x v="2"/>
    <s v="GNR_ENG_NGAS_BP_E-37"/>
    <x v="0"/>
    <x v="0"/>
  </r>
  <r>
    <x v="0"/>
    <x v="0"/>
    <x v="7"/>
    <x v="18"/>
    <s v="DK2_NoDH"/>
    <x v="2"/>
    <s v="GNR_ENG_NGAS_BP_E-37"/>
    <x v="0"/>
    <x v="0"/>
  </r>
  <r>
    <x v="0"/>
    <x v="0"/>
    <x v="7"/>
    <x v="18"/>
    <s v="DK2_Rural"/>
    <x v="2"/>
    <s v="GNR_ENG_NGAS_BP_E-37"/>
    <x v="0"/>
    <x v="0"/>
  </r>
  <r>
    <x v="0"/>
    <x v="1"/>
    <x v="7"/>
    <x v="17"/>
    <s v="DK1_MedSmall"/>
    <x v="2"/>
    <s v="GNR_ENG_NGAS_BP_E-37"/>
    <x v="0"/>
    <x v="0"/>
  </r>
  <r>
    <x v="0"/>
    <x v="1"/>
    <x v="7"/>
    <x v="17"/>
    <s v="DK1_NoDH"/>
    <x v="2"/>
    <s v="GNR_ENG_NGAS_BP_E-37"/>
    <x v="0"/>
    <x v="0"/>
  </r>
  <r>
    <x v="0"/>
    <x v="1"/>
    <x v="7"/>
    <x v="17"/>
    <s v="DK1_Rural"/>
    <x v="2"/>
    <s v="GNR_ENG_NGAS_BP_E-37"/>
    <x v="0"/>
    <x v="0"/>
  </r>
  <r>
    <x v="0"/>
    <x v="1"/>
    <x v="7"/>
    <x v="18"/>
    <s v="DK2_NoDH"/>
    <x v="2"/>
    <s v="GNR_ENG_NGAS_BP_E-37"/>
    <x v="0"/>
    <x v="0"/>
  </r>
  <r>
    <x v="0"/>
    <x v="1"/>
    <x v="7"/>
    <x v="18"/>
    <s v="DK2_Rural"/>
    <x v="2"/>
    <s v="GNR_ENG_NGAS_BP_E-37"/>
    <x v="0"/>
    <x v="0"/>
  </r>
  <r>
    <x v="0"/>
    <x v="2"/>
    <x v="7"/>
    <x v="17"/>
    <s v="DK1_Rural"/>
    <x v="2"/>
    <s v="GNR_ENG_NGAS_BP_E-37"/>
    <x v="0"/>
    <x v="0"/>
  </r>
  <r>
    <x v="0"/>
    <x v="0"/>
    <x v="7"/>
    <x v="17"/>
    <s v="DK1_Large"/>
    <x v="2"/>
    <s v="GNR_ENG_NGAS_BP_E-38"/>
    <x v="0"/>
    <x v="0"/>
  </r>
  <r>
    <x v="0"/>
    <x v="0"/>
    <x v="7"/>
    <x v="17"/>
    <s v="DK1_NoDH"/>
    <x v="2"/>
    <s v="GNR_ENG_NGAS_BP_E-38"/>
    <x v="0"/>
    <x v="0"/>
  </r>
  <r>
    <x v="0"/>
    <x v="0"/>
    <x v="7"/>
    <x v="17"/>
    <s v="DK1_Rural"/>
    <x v="2"/>
    <s v="GNR_ENG_NGAS_BP_E-38"/>
    <x v="0"/>
    <x v="0"/>
  </r>
  <r>
    <x v="0"/>
    <x v="0"/>
    <x v="7"/>
    <x v="17"/>
    <s v="DK1_Small"/>
    <x v="2"/>
    <s v="GNR_ENG_NGAS_BP_E-38"/>
    <x v="0"/>
    <x v="0"/>
  </r>
  <r>
    <x v="0"/>
    <x v="0"/>
    <x v="7"/>
    <x v="18"/>
    <s v="DK2_Large"/>
    <x v="2"/>
    <s v="GNR_ENG_NGAS_BP_E-38"/>
    <x v="0"/>
    <x v="0"/>
  </r>
  <r>
    <x v="0"/>
    <x v="0"/>
    <x v="7"/>
    <x v="18"/>
    <s v="DK2_Medium"/>
    <x v="2"/>
    <s v="GNR_ENG_NGAS_BP_E-38"/>
    <x v="0"/>
    <x v="0"/>
  </r>
  <r>
    <x v="0"/>
    <x v="0"/>
    <x v="7"/>
    <x v="18"/>
    <s v="DK2_NoDH"/>
    <x v="2"/>
    <s v="GNR_ENG_NGAS_BP_E-38"/>
    <x v="0"/>
    <x v="0"/>
  </r>
  <r>
    <x v="0"/>
    <x v="0"/>
    <x v="7"/>
    <x v="18"/>
    <s v="DK2_Rural"/>
    <x v="2"/>
    <s v="GNR_ENG_NGAS_BP_E-38"/>
    <x v="0"/>
    <x v="0"/>
  </r>
  <r>
    <x v="0"/>
    <x v="1"/>
    <x v="7"/>
    <x v="17"/>
    <s v="DK1_Large"/>
    <x v="2"/>
    <s v="GNR_ENG_NGAS_BP_E-38"/>
    <x v="0"/>
    <x v="0"/>
  </r>
  <r>
    <x v="0"/>
    <x v="1"/>
    <x v="7"/>
    <x v="17"/>
    <s v="DK1_NoDH"/>
    <x v="2"/>
    <s v="GNR_ENG_NGAS_BP_E-38"/>
    <x v="0"/>
    <x v="0"/>
  </r>
  <r>
    <x v="0"/>
    <x v="1"/>
    <x v="7"/>
    <x v="17"/>
    <s v="DK1_Rural"/>
    <x v="2"/>
    <s v="GNR_ENG_NGAS_BP_E-38"/>
    <x v="0"/>
    <x v="0"/>
  </r>
  <r>
    <x v="0"/>
    <x v="1"/>
    <x v="7"/>
    <x v="17"/>
    <s v="DK1_Small"/>
    <x v="2"/>
    <s v="GNR_ENG_NGAS_BP_E-38"/>
    <x v="0"/>
    <x v="0"/>
  </r>
  <r>
    <x v="0"/>
    <x v="1"/>
    <x v="7"/>
    <x v="18"/>
    <s v="DK2_Large"/>
    <x v="2"/>
    <s v="GNR_ENG_NGAS_BP_E-38"/>
    <x v="0"/>
    <x v="0"/>
  </r>
  <r>
    <x v="0"/>
    <x v="1"/>
    <x v="7"/>
    <x v="18"/>
    <s v="DK2_NoDH"/>
    <x v="2"/>
    <s v="GNR_ENG_NGAS_BP_E-38"/>
    <x v="0"/>
    <x v="0"/>
  </r>
  <r>
    <x v="0"/>
    <x v="1"/>
    <x v="7"/>
    <x v="18"/>
    <s v="DK2_Rural"/>
    <x v="2"/>
    <s v="GNR_ENG_NGAS_BP_E-38"/>
    <x v="0"/>
    <x v="0"/>
  </r>
  <r>
    <x v="0"/>
    <x v="2"/>
    <x v="7"/>
    <x v="17"/>
    <s v="DK1_NoDH"/>
    <x v="2"/>
    <s v="GNR_ENG_NGAS_BP_E-38"/>
    <x v="0"/>
    <x v="0"/>
  </r>
  <r>
    <x v="0"/>
    <x v="2"/>
    <x v="7"/>
    <x v="17"/>
    <s v="DK1_Rural"/>
    <x v="2"/>
    <s v="GNR_ENG_NGAS_BP_E-38"/>
    <x v="0"/>
    <x v="0"/>
  </r>
  <r>
    <x v="0"/>
    <x v="2"/>
    <x v="7"/>
    <x v="17"/>
    <s v="DK1_Small"/>
    <x v="2"/>
    <s v="GNR_ENG_NGAS_BP_E-38"/>
    <x v="0"/>
    <x v="0"/>
  </r>
  <r>
    <x v="0"/>
    <x v="2"/>
    <x v="7"/>
    <x v="18"/>
    <s v="DK2_Rural"/>
    <x v="2"/>
    <s v="GNR_ENG_NGAS_BP_E-38"/>
    <x v="0"/>
    <x v="0"/>
  </r>
  <r>
    <x v="0"/>
    <x v="0"/>
    <x v="7"/>
    <x v="17"/>
    <s v="DK1_Large"/>
    <x v="2"/>
    <s v="GNR_ENG_NGAS_BP_E-39"/>
    <x v="0"/>
    <x v="0"/>
  </r>
  <r>
    <x v="0"/>
    <x v="0"/>
    <x v="7"/>
    <x v="17"/>
    <s v="DK1_NoDH"/>
    <x v="2"/>
    <s v="GNR_ENG_NGAS_BP_E-39"/>
    <x v="0"/>
    <x v="0"/>
  </r>
  <r>
    <x v="0"/>
    <x v="0"/>
    <x v="7"/>
    <x v="17"/>
    <s v="DK1_Rural"/>
    <x v="2"/>
    <s v="GNR_ENG_NGAS_BP_E-39"/>
    <x v="0"/>
    <x v="0"/>
  </r>
  <r>
    <x v="0"/>
    <x v="0"/>
    <x v="7"/>
    <x v="17"/>
    <s v="DK1_Small"/>
    <x v="2"/>
    <s v="GNR_ENG_NGAS_BP_E-39"/>
    <x v="0"/>
    <x v="0"/>
  </r>
  <r>
    <x v="0"/>
    <x v="0"/>
    <x v="7"/>
    <x v="18"/>
    <s v="DK2_Medium"/>
    <x v="2"/>
    <s v="GNR_ENG_NGAS_BP_E-39"/>
    <x v="0"/>
    <x v="0"/>
  </r>
  <r>
    <x v="0"/>
    <x v="0"/>
    <x v="7"/>
    <x v="18"/>
    <s v="DK2_NoDH"/>
    <x v="2"/>
    <s v="GNR_ENG_NGAS_BP_E-39"/>
    <x v="0"/>
    <x v="0"/>
  </r>
  <r>
    <x v="0"/>
    <x v="0"/>
    <x v="7"/>
    <x v="18"/>
    <s v="DK2_Rural"/>
    <x v="2"/>
    <s v="GNR_ENG_NGAS_BP_E-39"/>
    <x v="0"/>
    <x v="0"/>
  </r>
  <r>
    <x v="0"/>
    <x v="1"/>
    <x v="7"/>
    <x v="17"/>
    <s v="DK1_Large"/>
    <x v="2"/>
    <s v="GNR_ENG_NGAS_BP_E-39"/>
    <x v="0"/>
    <x v="0"/>
  </r>
  <r>
    <x v="0"/>
    <x v="1"/>
    <x v="7"/>
    <x v="17"/>
    <s v="DK1_NoDH"/>
    <x v="2"/>
    <s v="GNR_ENG_NGAS_BP_E-39"/>
    <x v="0"/>
    <x v="0"/>
  </r>
  <r>
    <x v="0"/>
    <x v="1"/>
    <x v="7"/>
    <x v="17"/>
    <s v="DK1_Rural"/>
    <x v="2"/>
    <s v="GNR_ENG_NGAS_BP_E-39"/>
    <x v="0"/>
    <x v="0"/>
  </r>
  <r>
    <x v="0"/>
    <x v="1"/>
    <x v="7"/>
    <x v="17"/>
    <s v="DK1_Small"/>
    <x v="2"/>
    <s v="GNR_ENG_NGAS_BP_E-39"/>
    <x v="0"/>
    <x v="0"/>
  </r>
  <r>
    <x v="0"/>
    <x v="1"/>
    <x v="7"/>
    <x v="18"/>
    <s v="DK2_Medium"/>
    <x v="2"/>
    <s v="GNR_ENG_NGAS_BP_E-39"/>
    <x v="0"/>
    <x v="0"/>
  </r>
  <r>
    <x v="0"/>
    <x v="1"/>
    <x v="7"/>
    <x v="18"/>
    <s v="DK2_NoDH"/>
    <x v="2"/>
    <s v="GNR_ENG_NGAS_BP_E-39"/>
    <x v="0"/>
    <x v="0"/>
  </r>
  <r>
    <x v="0"/>
    <x v="1"/>
    <x v="7"/>
    <x v="18"/>
    <s v="DK2_Rural"/>
    <x v="2"/>
    <s v="GNR_ENG_NGAS_BP_E-39"/>
    <x v="0"/>
    <x v="0"/>
  </r>
  <r>
    <x v="0"/>
    <x v="2"/>
    <x v="7"/>
    <x v="17"/>
    <s v="DK1_Large"/>
    <x v="2"/>
    <s v="GNR_ENG_NGAS_BP_E-39"/>
    <x v="0"/>
    <x v="0"/>
  </r>
  <r>
    <x v="0"/>
    <x v="2"/>
    <x v="7"/>
    <x v="17"/>
    <s v="DK1_NoDH"/>
    <x v="2"/>
    <s v="GNR_ENG_NGAS_BP_E-39"/>
    <x v="0"/>
    <x v="0"/>
  </r>
  <r>
    <x v="0"/>
    <x v="2"/>
    <x v="7"/>
    <x v="17"/>
    <s v="DK1_Rural"/>
    <x v="2"/>
    <s v="GNR_ENG_NGAS_BP_E-39"/>
    <x v="0"/>
    <x v="0"/>
  </r>
  <r>
    <x v="0"/>
    <x v="2"/>
    <x v="7"/>
    <x v="18"/>
    <s v="DK2_NoDH"/>
    <x v="2"/>
    <s v="GNR_ENG_NGAS_BP_E-39"/>
    <x v="0"/>
    <x v="0"/>
  </r>
  <r>
    <x v="0"/>
    <x v="0"/>
    <x v="7"/>
    <x v="17"/>
    <s v="DK1_Large"/>
    <x v="2"/>
    <s v="GNR_ENG_NGAS_BP_E-40"/>
    <x v="0"/>
    <x v="0"/>
  </r>
  <r>
    <x v="0"/>
    <x v="0"/>
    <x v="7"/>
    <x v="17"/>
    <s v="DK1_MedSmall"/>
    <x v="2"/>
    <s v="GNR_ENG_NGAS_BP_E-40"/>
    <x v="0"/>
    <x v="0"/>
  </r>
  <r>
    <x v="0"/>
    <x v="0"/>
    <x v="7"/>
    <x v="17"/>
    <s v="DK1_Medium"/>
    <x v="2"/>
    <s v="GNR_ENG_NGAS_BP_E-40"/>
    <x v="0"/>
    <x v="0"/>
  </r>
  <r>
    <x v="0"/>
    <x v="0"/>
    <x v="7"/>
    <x v="17"/>
    <s v="DK1_NoDH"/>
    <x v="2"/>
    <s v="GNR_ENG_NGAS_BP_E-40"/>
    <x v="0"/>
    <x v="0"/>
  </r>
  <r>
    <x v="0"/>
    <x v="0"/>
    <x v="7"/>
    <x v="17"/>
    <s v="DK1_Rural"/>
    <x v="2"/>
    <s v="GNR_ENG_NGAS_BP_E-40"/>
    <x v="0"/>
    <x v="0"/>
  </r>
  <r>
    <x v="0"/>
    <x v="0"/>
    <x v="7"/>
    <x v="18"/>
    <s v="DK2_Large"/>
    <x v="2"/>
    <s v="GNR_ENG_NGAS_BP_E-40"/>
    <x v="0"/>
    <x v="0"/>
  </r>
  <r>
    <x v="0"/>
    <x v="0"/>
    <x v="7"/>
    <x v="18"/>
    <s v="DK2_MedSmall"/>
    <x v="2"/>
    <s v="GNR_ENG_NGAS_BP_E-40"/>
    <x v="0"/>
    <x v="0"/>
  </r>
  <r>
    <x v="0"/>
    <x v="0"/>
    <x v="7"/>
    <x v="18"/>
    <s v="DK2_NoDH"/>
    <x v="2"/>
    <s v="GNR_ENG_NGAS_BP_E-40"/>
    <x v="0"/>
    <x v="0"/>
  </r>
  <r>
    <x v="0"/>
    <x v="0"/>
    <x v="7"/>
    <x v="18"/>
    <s v="DK2_Rural"/>
    <x v="2"/>
    <s v="GNR_ENG_NGAS_BP_E-40"/>
    <x v="0"/>
    <x v="0"/>
  </r>
  <r>
    <x v="0"/>
    <x v="1"/>
    <x v="7"/>
    <x v="17"/>
    <s v="DK1_Large"/>
    <x v="2"/>
    <s v="GNR_ENG_NGAS_BP_E-40"/>
    <x v="0"/>
    <x v="0"/>
  </r>
  <r>
    <x v="0"/>
    <x v="1"/>
    <x v="7"/>
    <x v="17"/>
    <s v="DK1_MedSmall"/>
    <x v="2"/>
    <s v="GNR_ENG_NGAS_BP_E-40"/>
    <x v="0"/>
    <x v="0"/>
  </r>
  <r>
    <x v="0"/>
    <x v="1"/>
    <x v="7"/>
    <x v="17"/>
    <s v="DK1_NoDH"/>
    <x v="2"/>
    <s v="GNR_ENG_NGAS_BP_E-40"/>
    <x v="0"/>
    <x v="0"/>
  </r>
  <r>
    <x v="0"/>
    <x v="1"/>
    <x v="7"/>
    <x v="17"/>
    <s v="DK1_Rural"/>
    <x v="2"/>
    <s v="GNR_ENG_NGAS_BP_E-40"/>
    <x v="0"/>
    <x v="0"/>
  </r>
  <r>
    <x v="0"/>
    <x v="1"/>
    <x v="7"/>
    <x v="18"/>
    <s v="DK2_Large"/>
    <x v="2"/>
    <s v="GNR_ENG_NGAS_BP_E-40"/>
    <x v="0"/>
    <x v="0"/>
  </r>
  <r>
    <x v="0"/>
    <x v="1"/>
    <x v="7"/>
    <x v="18"/>
    <s v="DK2_MedSmall"/>
    <x v="2"/>
    <s v="GNR_ENG_NGAS_BP_E-40"/>
    <x v="0"/>
    <x v="0"/>
  </r>
  <r>
    <x v="0"/>
    <x v="1"/>
    <x v="7"/>
    <x v="18"/>
    <s v="DK2_NoDH"/>
    <x v="2"/>
    <s v="GNR_ENG_NGAS_BP_E-40"/>
    <x v="0"/>
    <x v="0"/>
  </r>
  <r>
    <x v="0"/>
    <x v="1"/>
    <x v="7"/>
    <x v="18"/>
    <s v="DK2_Rural"/>
    <x v="2"/>
    <s v="GNR_ENG_NGAS_BP_E-40"/>
    <x v="0"/>
    <x v="0"/>
  </r>
  <r>
    <x v="0"/>
    <x v="2"/>
    <x v="7"/>
    <x v="17"/>
    <s v="DK1_NoDH"/>
    <x v="2"/>
    <s v="GNR_ENG_NGAS_BP_E-40"/>
    <x v="0"/>
    <x v="0"/>
  </r>
  <r>
    <x v="0"/>
    <x v="2"/>
    <x v="7"/>
    <x v="17"/>
    <s v="DK1_Rural"/>
    <x v="2"/>
    <s v="GNR_ENG_NGAS_BP_E-40"/>
    <x v="0"/>
    <x v="0"/>
  </r>
  <r>
    <x v="0"/>
    <x v="2"/>
    <x v="7"/>
    <x v="18"/>
    <s v="DK2_Rural"/>
    <x v="2"/>
    <s v="GNR_ENG_NGAS_BP_E-40"/>
    <x v="0"/>
    <x v="0"/>
  </r>
  <r>
    <x v="0"/>
    <x v="0"/>
    <x v="7"/>
    <x v="17"/>
    <s v="DK1_Large"/>
    <x v="2"/>
    <s v="GNR_ENG_NGAS_BP_E-41"/>
    <x v="0"/>
    <x v="0"/>
  </r>
  <r>
    <x v="0"/>
    <x v="0"/>
    <x v="7"/>
    <x v="17"/>
    <s v="DK1_MedSmall"/>
    <x v="2"/>
    <s v="GNR_ENG_NGAS_BP_E-41"/>
    <x v="0"/>
    <x v="0"/>
  </r>
  <r>
    <x v="0"/>
    <x v="0"/>
    <x v="7"/>
    <x v="17"/>
    <s v="DK1_Medium"/>
    <x v="2"/>
    <s v="GNR_ENG_NGAS_BP_E-41"/>
    <x v="0"/>
    <x v="0"/>
  </r>
  <r>
    <x v="0"/>
    <x v="0"/>
    <x v="7"/>
    <x v="17"/>
    <s v="DK1_NoDH"/>
    <x v="2"/>
    <s v="GNR_ENG_NGAS_BP_E-41"/>
    <x v="0"/>
    <x v="0"/>
  </r>
  <r>
    <x v="0"/>
    <x v="0"/>
    <x v="7"/>
    <x v="17"/>
    <s v="DK1_Rural"/>
    <x v="2"/>
    <s v="GNR_ENG_NGAS_BP_E-41"/>
    <x v="0"/>
    <x v="0"/>
  </r>
  <r>
    <x v="0"/>
    <x v="0"/>
    <x v="7"/>
    <x v="17"/>
    <s v="DK1_Small"/>
    <x v="2"/>
    <s v="GNR_ENG_NGAS_BP_E-41"/>
    <x v="0"/>
    <x v="0"/>
  </r>
  <r>
    <x v="0"/>
    <x v="0"/>
    <x v="7"/>
    <x v="18"/>
    <s v="DK2_Medium"/>
    <x v="2"/>
    <s v="GNR_ENG_NGAS_BP_E-41"/>
    <x v="0"/>
    <x v="0"/>
  </r>
  <r>
    <x v="0"/>
    <x v="0"/>
    <x v="7"/>
    <x v="18"/>
    <s v="DK2_NoDH"/>
    <x v="2"/>
    <s v="GNR_ENG_NGAS_BP_E-41"/>
    <x v="0"/>
    <x v="0"/>
  </r>
  <r>
    <x v="0"/>
    <x v="0"/>
    <x v="7"/>
    <x v="18"/>
    <s v="DK2_Rural"/>
    <x v="2"/>
    <s v="GNR_ENG_NGAS_BP_E-41"/>
    <x v="0"/>
    <x v="0"/>
  </r>
  <r>
    <x v="0"/>
    <x v="1"/>
    <x v="7"/>
    <x v="17"/>
    <s v="DK1_Large"/>
    <x v="2"/>
    <s v="GNR_ENG_NGAS_BP_E-41"/>
    <x v="0"/>
    <x v="0"/>
  </r>
  <r>
    <x v="0"/>
    <x v="1"/>
    <x v="7"/>
    <x v="17"/>
    <s v="DK1_MedSmall"/>
    <x v="2"/>
    <s v="GNR_ENG_NGAS_BP_E-41"/>
    <x v="0"/>
    <x v="0"/>
  </r>
  <r>
    <x v="0"/>
    <x v="1"/>
    <x v="7"/>
    <x v="17"/>
    <s v="DK1_Medium"/>
    <x v="2"/>
    <s v="GNR_ENG_NGAS_BP_E-41"/>
    <x v="0"/>
    <x v="0"/>
  </r>
  <r>
    <x v="0"/>
    <x v="1"/>
    <x v="7"/>
    <x v="17"/>
    <s v="DK1_NoDH"/>
    <x v="2"/>
    <s v="GNR_ENG_NGAS_BP_E-41"/>
    <x v="0"/>
    <x v="0"/>
  </r>
  <r>
    <x v="0"/>
    <x v="1"/>
    <x v="7"/>
    <x v="17"/>
    <s v="DK1_Rural"/>
    <x v="2"/>
    <s v="GNR_ENG_NGAS_BP_E-41"/>
    <x v="0"/>
    <x v="0"/>
  </r>
  <r>
    <x v="0"/>
    <x v="1"/>
    <x v="7"/>
    <x v="17"/>
    <s v="DK1_Small"/>
    <x v="2"/>
    <s v="GNR_ENG_NGAS_BP_E-41"/>
    <x v="0"/>
    <x v="0"/>
  </r>
  <r>
    <x v="0"/>
    <x v="1"/>
    <x v="7"/>
    <x v="18"/>
    <s v="DK2_Medium"/>
    <x v="2"/>
    <s v="GNR_ENG_NGAS_BP_E-41"/>
    <x v="0"/>
    <x v="0"/>
  </r>
  <r>
    <x v="0"/>
    <x v="1"/>
    <x v="7"/>
    <x v="18"/>
    <s v="DK2_NoDH"/>
    <x v="2"/>
    <s v="GNR_ENG_NGAS_BP_E-41"/>
    <x v="0"/>
    <x v="0"/>
  </r>
  <r>
    <x v="0"/>
    <x v="1"/>
    <x v="7"/>
    <x v="18"/>
    <s v="DK2_Rural"/>
    <x v="2"/>
    <s v="GNR_ENG_NGAS_BP_E-41"/>
    <x v="0"/>
    <x v="0"/>
  </r>
  <r>
    <x v="0"/>
    <x v="2"/>
    <x v="7"/>
    <x v="17"/>
    <s v="DK1_MedSmall"/>
    <x v="2"/>
    <s v="GNR_ENG_NGAS_BP_E-41"/>
    <x v="0"/>
    <x v="0"/>
  </r>
  <r>
    <x v="0"/>
    <x v="2"/>
    <x v="7"/>
    <x v="17"/>
    <s v="DK1_Medium"/>
    <x v="2"/>
    <s v="GNR_ENG_NGAS_BP_E-41"/>
    <x v="0"/>
    <x v="0"/>
  </r>
  <r>
    <x v="0"/>
    <x v="2"/>
    <x v="7"/>
    <x v="17"/>
    <s v="DK1_NoDH"/>
    <x v="2"/>
    <s v="GNR_ENG_NGAS_BP_E-41"/>
    <x v="0"/>
    <x v="0"/>
  </r>
  <r>
    <x v="0"/>
    <x v="2"/>
    <x v="7"/>
    <x v="17"/>
    <s v="DK1_Rural"/>
    <x v="2"/>
    <s v="GNR_ENG_NGAS_BP_E-41"/>
    <x v="0"/>
    <x v="0"/>
  </r>
  <r>
    <x v="0"/>
    <x v="2"/>
    <x v="7"/>
    <x v="18"/>
    <s v="DK2_NoDH"/>
    <x v="2"/>
    <s v="GNR_ENG_NGAS_BP_E-41"/>
    <x v="0"/>
    <x v="0"/>
  </r>
  <r>
    <x v="0"/>
    <x v="0"/>
    <x v="7"/>
    <x v="17"/>
    <s v="DK1_Large"/>
    <x v="2"/>
    <s v="GNR_ENG_NGAS_BP_E-42"/>
    <x v="0"/>
    <x v="0"/>
  </r>
  <r>
    <x v="0"/>
    <x v="0"/>
    <x v="7"/>
    <x v="17"/>
    <s v="DK1_Medium"/>
    <x v="2"/>
    <s v="GNR_ENG_NGAS_BP_E-42"/>
    <x v="0"/>
    <x v="0"/>
  </r>
  <r>
    <x v="0"/>
    <x v="0"/>
    <x v="7"/>
    <x v="17"/>
    <s v="DK1_NoDH"/>
    <x v="2"/>
    <s v="GNR_ENG_NGAS_BP_E-42"/>
    <x v="0"/>
    <x v="0"/>
  </r>
  <r>
    <x v="0"/>
    <x v="0"/>
    <x v="7"/>
    <x v="17"/>
    <s v="DK1_Rural"/>
    <x v="2"/>
    <s v="GNR_ENG_NGAS_BP_E-42"/>
    <x v="0"/>
    <x v="0"/>
  </r>
  <r>
    <x v="0"/>
    <x v="0"/>
    <x v="7"/>
    <x v="17"/>
    <s v="DK1_Small"/>
    <x v="2"/>
    <s v="GNR_ENG_NGAS_BP_E-42"/>
    <x v="0"/>
    <x v="0"/>
  </r>
  <r>
    <x v="0"/>
    <x v="0"/>
    <x v="7"/>
    <x v="18"/>
    <s v="DK2_MedSmall"/>
    <x v="2"/>
    <s v="GNR_ENG_NGAS_BP_E-42"/>
    <x v="0"/>
    <x v="0"/>
  </r>
  <r>
    <x v="0"/>
    <x v="0"/>
    <x v="7"/>
    <x v="18"/>
    <s v="DK2_Medium"/>
    <x v="2"/>
    <s v="GNR_ENG_NGAS_BP_E-42"/>
    <x v="0"/>
    <x v="0"/>
  </r>
  <r>
    <x v="0"/>
    <x v="0"/>
    <x v="7"/>
    <x v="18"/>
    <s v="DK2_Rural"/>
    <x v="2"/>
    <s v="GNR_ENG_NGAS_BP_E-42"/>
    <x v="0"/>
    <x v="0"/>
  </r>
  <r>
    <x v="0"/>
    <x v="1"/>
    <x v="7"/>
    <x v="17"/>
    <s v="DK1_Large"/>
    <x v="2"/>
    <s v="GNR_ENG_NGAS_BP_E-42"/>
    <x v="0"/>
    <x v="0"/>
  </r>
  <r>
    <x v="0"/>
    <x v="1"/>
    <x v="7"/>
    <x v="17"/>
    <s v="DK1_Medium"/>
    <x v="2"/>
    <s v="GNR_ENG_NGAS_BP_E-42"/>
    <x v="0"/>
    <x v="0"/>
  </r>
  <r>
    <x v="0"/>
    <x v="1"/>
    <x v="7"/>
    <x v="17"/>
    <s v="DK1_NoDH"/>
    <x v="2"/>
    <s v="GNR_ENG_NGAS_BP_E-42"/>
    <x v="0"/>
    <x v="0"/>
  </r>
  <r>
    <x v="0"/>
    <x v="1"/>
    <x v="7"/>
    <x v="17"/>
    <s v="DK1_Rural"/>
    <x v="2"/>
    <s v="GNR_ENG_NGAS_BP_E-42"/>
    <x v="0"/>
    <x v="0"/>
  </r>
  <r>
    <x v="0"/>
    <x v="1"/>
    <x v="7"/>
    <x v="17"/>
    <s v="DK1_Small"/>
    <x v="2"/>
    <s v="GNR_ENG_NGAS_BP_E-42"/>
    <x v="0"/>
    <x v="0"/>
  </r>
  <r>
    <x v="0"/>
    <x v="1"/>
    <x v="7"/>
    <x v="18"/>
    <s v="DK2_MedSmall"/>
    <x v="2"/>
    <s v="GNR_ENG_NGAS_BP_E-42"/>
    <x v="0"/>
    <x v="0"/>
  </r>
  <r>
    <x v="0"/>
    <x v="1"/>
    <x v="7"/>
    <x v="18"/>
    <s v="DK2_Medium"/>
    <x v="2"/>
    <s v="GNR_ENG_NGAS_BP_E-42"/>
    <x v="0"/>
    <x v="0"/>
  </r>
  <r>
    <x v="0"/>
    <x v="1"/>
    <x v="7"/>
    <x v="18"/>
    <s v="DK2_Rural"/>
    <x v="2"/>
    <s v="GNR_ENG_NGAS_BP_E-42"/>
    <x v="0"/>
    <x v="0"/>
  </r>
  <r>
    <x v="0"/>
    <x v="2"/>
    <x v="7"/>
    <x v="17"/>
    <s v="DK1_Large"/>
    <x v="2"/>
    <s v="GNR_ENG_NGAS_BP_E-42"/>
    <x v="0"/>
    <x v="0"/>
  </r>
  <r>
    <x v="0"/>
    <x v="2"/>
    <x v="7"/>
    <x v="17"/>
    <s v="DK1_Medium"/>
    <x v="2"/>
    <s v="GNR_ENG_NGAS_BP_E-42"/>
    <x v="0"/>
    <x v="0"/>
  </r>
  <r>
    <x v="0"/>
    <x v="2"/>
    <x v="7"/>
    <x v="17"/>
    <s v="DK1_NoDH"/>
    <x v="2"/>
    <s v="GNR_ENG_NGAS_BP_E-42"/>
    <x v="0"/>
    <x v="0"/>
  </r>
  <r>
    <x v="0"/>
    <x v="2"/>
    <x v="7"/>
    <x v="17"/>
    <s v="DK1_Rural"/>
    <x v="2"/>
    <s v="GNR_ENG_NGAS_BP_E-42"/>
    <x v="0"/>
    <x v="0"/>
  </r>
  <r>
    <x v="0"/>
    <x v="2"/>
    <x v="7"/>
    <x v="18"/>
    <s v="DK2_Medium"/>
    <x v="2"/>
    <s v="GNR_ENG_NGAS_BP_E-42"/>
    <x v="0"/>
    <x v="0"/>
  </r>
  <r>
    <x v="0"/>
    <x v="0"/>
    <x v="7"/>
    <x v="17"/>
    <s v="DK1_Large"/>
    <x v="2"/>
    <s v="GNR_ENG_NGAS_BP_E-43"/>
    <x v="0"/>
    <x v="0"/>
  </r>
  <r>
    <x v="0"/>
    <x v="0"/>
    <x v="7"/>
    <x v="17"/>
    <s v="DK1_Medium"/>
    <x v="2"/>
    <s v="GNR_ENG_NGAS_BP_E-43"/>
    <x v="0"/>
    <x v="0"/>
  </r>
  <r>
    <x v="0"/>
    <x v="0"/>
    <x v="7"/>
    <x v="17"/>
    <s v="DK1_NoDH"/>
    <x v="2"/>
    <s v="GNR_ENG_NGAS_BP_E-43"/>
    <x v="0"/>
    <x v="0"/>
  </r>
  <r>
    <x v="0"/>
    <x v="0"/>
    <x v="7"/>
    <x v="17"/>
    <s v="DK1_Rural"/>
    <x v="2"/>
    <s v="GNR_ENG_NGAS_BP_E-43"/>
    <x v="0"/>
    <x v="0"/>
  </r>
  <r>
    <x v="0"/>
    <x v="0"/>
    <x v="7"/>
    <x v="18"/>
    <s v="DK2_Rural"/>
    <x v="2"/>
    <s v="GNR_ENG_NGAS_BP_E-43"/>
    <x v="0"/>
    <x v="0"/>
  </r>
  <r>
    <x v="0"/>
    <x v="1"/>
    <x v="7"/>
    <x v="17"/>
    <s v="DK1_Large"/>
    <x v="2"/>
    <s v="GNR_ENG_NGAS_BP_E-43"/>
    <x v="0"/>
    <x v="0"/>
  </r>
  <r>
    <x v="0"/>
    <x v="1"/>
    <x v="7"/>
    <x v="17"/>
    <s v="DK1_Medium"/>
    <x v="2"/>
    <s v="GNR_ENG_NGAS_BP_E-43"/>
    <x v="0"/>
    <x v="0"/>
  </r>
  <r>
    <x v="0"/>
    <x v="1"/>
    <x v="7"/>
    <x v="17"/>
    <s v="DK1_NoDH"/>
    <x v="2"/>
    <s v="GNR_ENG_NGAS_BP_E-43"/>
    <x v="0"/>
    <x v="0"/>
  </r>
  <r>
    <x v="0"/>
    <x v="1"/>
    <x v="7"/>
    <x v="17"/>
    <s v="DK1_Rural"/>
    <x v="2"/>
    <s v="GNR_ENG_NGAS_BP_E-43"/>
    <x v="0"/>
    <x v="0"/>
  </r>
  <r>
    <x v="0"/>
    <x v="1"/>
    <x v="7"/>
    <x v="18"/>
    <s v="DK2_Rural"/>
    <x v="2"/>
    <s v="GNR_ENG_NGAS_BP_E-43"/>
    <x v="0"/>
    <x v="0"/>
  </r>
  <r>
    <x v="0"/>
    <x v="2"/>
    <x v="7"/>
    <x v="17"/>
    <s v="DK1_Large"/>
    <x v="2"/>
    <s v="GNR_ENG_NGAS_BP_E-43"/>
    <x v="0"/>
    <x v="0"/>
  </r>
  <r>
    <x v="0"/>
    <x v="2"/>
    <x v="7"/>
    <x v="17"/>
    <s v="DK1_Medium"/>
    <x v="2"/>
    <s v="GNR_ENG_NGAS_BP_E-43"/>
    <x v="0"/>
    <x v="0"/>
  </r>
  <r>
    <x v="0"/>
    <x v="2"/>
    <x v="7"/>
    <x v="17"/>
    <s v="DK1_NoDH"/>
    <x v="2"/>
    <s v="GNR_ENG_NGAS_BP_E-43"/>
    <x v="0"/>
    <x v="0"/>
  </r>
  <r>
    <x v="0"/>
    <x v="2"/>
    <x v="7"/>
    <x v="17"/>
    <s v="DK1_Rural"/>
    <x v="2"/>
    <s v="GNR_ENG_NGAS_BP_E-43"/>
    <x v="0"/>
    <x v="0"/>
  </r>
  <r>
    <x v="0"/>
    <x v="0"/>
    <x v="7"/>
    <x v="17"/>
    <s v="DK1_Large"/>
    <x v="2"/>
    <s v="GNR_ENG_NGAS_BP_E-44"/>
    <x v="0"/>
    <x v="0"/>
  </r>
  <r>
    <x v="0"/>
    <x v="0"/>
    <x v="7"/>
    <x v="17"/>
    <s v="DK1_Medium"/>
    <x v="2"/>
    <s v="GNR_ENG_NGAS_BP_E-44"/>
    <x v="0"/>
    <x v="0"/>
  </r>
  <r>
    <x v="0"/>
    <x v="0"/>
    <x v="7"/>
    <x v="17"/>
    <s v="DK1_Rural"/>
    <x v="2"/>
    <s v="GNR_ENG_NGAS_BP_E-44"/>
    <x v="0"/>
    <x v="0"/>
  </r>
  <r>
    <x v="0"/>
    <x v="1"/>
    <x v="7"/>
    <x v="17"/>
    <s v="DK1_Large"/>
    <x v="2"/>
    <s v="GNR_ENG_NGAS_BP_E-44"/>
    <x v="0"/>
    <x v="0"/>
  </r>
  <r>
    <x v="0"/>
    <x v="1"/>
    <x v="7"/>
    <x v="17"/>
    <s v="DK1_Medium"/>
    <x v="2"/>
    <s v="GNR_ENG_NGAS_BP_E-44"/>
    <x v="0"/>
    <x v="0"/>
  </r>
  <r>
    <x v="0"/>
    <x v="1"/>
    <x v="7"/>
    <x v="17"/>
    <s v="DK1_Rural"/>
    <x v="2"/>
    <s v="GNR_ENG_NGAS_BP_E-44"/>
    <x v="0"/>
    <x v="0"/>
  </r>
  <r>
    <x v="0"/>
    <x v="2"/>
    <x v="7"/>
    <x v="17"/>
    <s v="DK1_Medium"/>
    <x v="2"/>
    <s v="GNR_ENG_NGAS_BP_E-44"/>
    <x v="0"/>
    <x v="0"/>
  </r>
  <r>
    <x v="0"/>
    <x v="2"/>
    <x v="7"/>
    <x v="17"/>
    <s v="DK1_Rural"/>
    <x v="2"/>
    <s v="GNR_ENG_NGAS_BP_E-44"/>
    <x v="0"/>
    <x v="0"/>
  </r>
  <r>
    <x v="0"/>
    <x v="0"/>
    <x v="7"/>
    <x v="17"/>
    <s v="DK1_Rural"/>
    <x v="2"/>
    <s v="GNR_ENG_NGAS_BP_E-45"/>
    <x v="0"/>
    <x v="0"/>
  </r>
  <r>
    <x v="0"/>
    <x v="0"/>
    <x v="7"/>
    <x v="18"/>
    <s v="DK2_Rural"/>
    <x v="2"/>
    <s v="GNR_ENG_NGAS_BP_E-45"/>
    <x v="0"/>
    <x v="0"/>
  </r>
  <r>
    <x v="0"/>
    <x v="1"/>
    <x v="7"/>
    <x v="17"/>
    <s v="DK1_Rural"/>
    <x v="2"/>
    <s v="GNR_ENG_NGAS_BP_E-45"/>
    <x v="0"/>
    <x v="0"/>
  </r>
  <r>
    <x v="0"/>
    <x v="1"/>
    <x v="7"/>
    <x v="18"/>
    <s v="DK2_Rural"/>
    <x v="2"/>
    <s v="GNR_ENG_NGAS_BP_E-45"/>
    <x v="0"/>
    <x v="0"/>
  </r>
  <r>
    <x v="0"/>
    <x v="2"/>
    <x v="7"/>
    <x v="17"/>
    <s v="DK1_Rural"/>
    <x v="2"/>
    <s v="GNR_ENG_NGAS_BP_E-45"/>
    <x v="0"/>
    <x v="0"/>
  </r>
  <r>
    <x v="0"/>
    <x v="2"/>
    <x v="7"/>
    <x v="18"/>
    <s v="DK2_Rural"/>
    <x v="2"/>
    <s v="GNR_ENG_NGAS_BP_E-45"/>
    <x v="0"/>
    <x v="0"/>
  </r>
  <r>
    <x v="0"/>
    <x v="0"/>
    <x v="7"/>
    <x v="17"/>
    <s v="DK1_Large"/>
    <x v="2"/>
    <s v="GNR_ENG_NGAS_BP_E-46"/>
    <x v="0"/>
    <x v="0"/>
  </r>
  <r>
    <x v="0"/>
    <x v="0"/>
    <x v="7"/>
    <x v="17"/>
    <s v="DK1_MedSmall"/>
    <x v="2"/>
    <s v="GNR_ENG_NGAS_BP_E-46"/>
    <x v="0"/>
    <x v="0"/>
  </r>
  <r>
    <x v="0"/>
    <x v="0"/>
    <x v="7"/>
    <x v="17"/>
    <s v="DK1_NoDH"/>
    <x v="2"/>
    <s v="GNR_ENG_NGAS_BP_E-46"/>
    <x v="0"/>
    <x v="0"/>
  </r>
  <r>
    <x v="0"/>
    <x v="0"/>
    <x v="7"/>
    <x v="17"/>
    <s v="DK1_Rural"/>
    <x v="2"/>
    <s v="GNR_ENG_NGAS_BP_E-46"/>
    <x v="0"/>
    <x v="0"/>
  </r>
  <r>
    <x v="0"/>
    <x v="0"/>
    <x v="7"/>
    <x v="18"/>
    <s v="DK2_NoDH"/>
    <x v="2"/>
    <s v="GNR_ENG_NGAS_BP_E-46"/>
    <x v="0"/>
    <x v="0"/>
  </r>
  <r>
    <x v="0"/>
    <x v="0"/>
    <x v="7"/>
    <x v="18"/>
    <s v="DK2_Rural"/>
    <x v="2"/>
    <s v="GNR_ENG_NGAS_BP_E-46"/>
    <x v="0"/>
    <x v="0"/>
  </r>
  <r>
    <x v="0"/>
    <x v="0"/>
    <x v="7"/>
    <x v="18"/>
    <s v="DK2_Small"/>
    <x v="2"/>
    <s v="GNR_ENG_NGAS_BP_E-46"/>
    <x v="0"/>
    <x v="0"/>
  </r>
  <r>
    <x v="0"/>
    <x v="0"/>
    <x v="5"/>
    <x v="14"/>
    <s v="DE4-S_A"/>
    <x v="2"/>
    <s v="GNR_ENG_NGAS_BP_E-46"/>
    <x v="0"/>
    <x v="0"/>
  </r>
  <r>
    <x v="0"/>
    <x v="1"/>
    <x v="7"/>
    <x v="17"/>
    <s v="DK1_Large"/>
    <x v="2"/>
    <s v="GNR_ENG_NGAS_BP_E-46"/>
    <x v="0"/>
    <x v="0"/>
  </r>
  <r>
    <x v="0"/>
    <x v="1"/>
    <x v="7"/>
    <x v="17"/>
    <s v="DK1_NoDH"/>
    <x v="2"/>
    <s v="GNR_ENG_NGAS_BP_E-46"/>
    <x v="0"/>
    <x v="0"/>
  </r>
  <r>
    <x v="0"/>
    <x v="1"/>
    <x v="7"/>
    <x v="17"/>
    <s v="DK1_Rural"/>
    <x v="2"/>
    <s v="GNR_ENG_NGAS_BP_E-46"/>
    <x v="0"/>
    <x v="0"/>
  </r>
  <r>
    <x v="0"/>
    <x v="1"/>
    <x v="7"/>
    <x v="18"/>
    <s v="DK2_NoDH"/>
    <x v="2"/>
    <s v="GNR_ENG_NGAS_BP_E-46"/>
    <x v="0"/>
    <x v="0"/>
  </r>
  <r>
    <x v="0"/>
    <x v="1"/>
    <x v="7"/>
    <x v="18"/>
    <s v="DK2_Rural"/>
    <x v="2"/>
    <s v="GNR_ENG_NGAS_BP_E-46"/>
    <x v="0"/>
    <x v="0"/>
  </r>
  <r>
    <x v="0"/>
    <x v="1"/>
    <x v="7"/>
    <x v="18"/>
    <s v="DK2_Small"/>
    <x v="2"/>
    <s v="GNR_ENG_NGAS_BP_E-46"/>
    <x v="0"/>
    <x v="0"/>
  </r>
  <r>
    <x v="0"/>
    <x v="1"/>
    <x v="5"/>
    <x v="14"/>
    <s v="DE4-S_A"/>
    <x v="2"/>
    <s v="GNR_ENG_NGAS_BP_E-46"/>
    <x v="0"/>
    <x v="0"/>
  </r>
  <r>
    <x v="0"/>
    <x v="2"/>
    <x v="7"/>
    <x v="17"/>
    <s v="DK1_Large"/>
    <x v="2"/>
    <s v="GNR_ENG_NGAS_BP_E-46"/>
    <x v="0"/>
    <x v="0"/>
  </r>
  <r>
    <x v="0"/>
    <x v="2"/>
    <x v="7"/>
    <x v="17"/>
    <s v="DK1_NoDH"/>
    <x v="2"/>
    <s v="GNR_ENG_NGAS_BP_E-46"/>
    <x v="0"/>
    <x v="0"/>
  </r>
  <r>
    <x v="0"/>
    <x v="2"/>
    <x v="7"/>
    <x v="17"/>
    <s v="DK1_Rural"/>
    <x v="2"/>
    <s v="GNR_ENG_NGAS_BP_E-46"/>
    <x v="0"/>
    <x v="0"/>
  </r>
  <r>
    <x v="0"/>
    <x v="2"/>
    <x v="7"/>
    <x v="18"/>
    <s v="DK2_NoDH"/>
    <x v="2"/>
    <s v="GNR_ENG_NGAS_BP_E-46"/>
    <x v="0"/>
    <x v="0"/>
  </r>
  <r>
    <x v="0"/>
    <x v="2"/>
    <x v="5"/>
    <x v="14"/>
    <s v="DE4-S_A"/>
    <x v="2"/>
    <s v="GNR_ENG_NGAS_BP_E-46"/>
    <x v="0"/>
    <x v="0"/>
  </r>
  <r>
    <x v="0"/>
    <x v="0"/>
    <x v="7"/>
    <x v="17"/>
    <s v="DK1_Rural"/>
    <x v="2"/>
    <s v="GNR_ENG_NGAS_BP_E-47"/>
    <x v="0"/>
    <x v="0"/>
  </r>
  <r>
    <x v="0"/>
    <x v="0"/>
    <x v="7"/>
    <x v="17"/>
    <s v="DK1_NoDH"/>
    <x v="2"/>
    <s v="GNR_ENG_NGAS_CND_E-41"/>
    <x v="0"/>
    <x v="0"/>
  </r>
  <r>
    <x v="0"/>
    <x v="1"/>
    <x v="7"/>
    <x v="17"/>
    <s v="DK1_NoDH"/>
    <x v="2"/>
    <s v="GNR_ENG_NGAS_CND_E-41"/>
    <x v="0"/>
    <x v="0"/>
  </r>
  <r>
    <x v="0"/>
    <x v="2"/>
    <x v="7"/>
    <x v="17"/>
    <s v="DK1_NoDH"/>
    <x v="2"/>
    <s v="GNR_ENG_NGAS_CND_E-41"/>
    <x v="0"/>
    <x v="0"/>
  </r>
  <r>
    <x v="0"/>
    <x v="0"/>
    <x v="5"/>
    <x v="15"/>
    <s v="DE4-W_A"/>
    <x v="2"/>
    <s v="GNR_ENG_NGAS_CND_E-44"/>
    <x v="0"/>
    <x v="0"/>
  </r>
  <r>
    <x v="0"/>
    <x v="1"/>
    <x v="5"/>
    <x v="15"/>
    <s v="DE4-W_A"/>
    <x v="2"/>
    <s v="GNR_ENG_NGAS_CND_E-44"/>
    <x v="0"/>
    <x v="0"/>
  </r>
  <r>
    <x v="0"/>
    <x v="0"/>
    <x v="7"/>
    <x v="17"/>
    <s v="DK1_NoDH"/>
    <x v="2"/>
    <s v="GNR_ENG_NGAS_CND_E-46"/>
    <x v="0"/>
    <x v="0"/>
  </r>
  <r>
    <x v="0"/>
    <x v="1"/>
    <x v="7"/>
    <x v="17"/>
    <s v="DK1_NoDH"/>
    <x v="2"/>
    <s v="GNR_ENG_NGAS_CND_E-46"/>
    <x v="0"/>
    <x v="0"/>
  </r>
  <r>
    <x v="0"/>
    <x v="2"/>
    <x v="7"/>
    <x v="17"/>
    <s v="DK1_NoDH"/>
    <x v="2"/>
    <s v="GNR_ENG_NGAS_CND_E-46"/>
    <x v="0"/>
    <x v="0"/>
  </r>
  <r>
    <x v="0"/>
    <x v="0"/>
    <x v="3"/>
    <x v="10"/>
    <s v="LT_Other_DH"/>
    <x v="2"/>
    <s v="GNR_ENG_NGAS_EXT_E-43"/>
    <x v="0"/>
    <x v="0"/>
  </r>
  <r>
    <x v="0"/>
    <x v="1"/>
    <x v="3"/>
    <x v="10"/>
    <s v="LT_Other_DH"/>
    <x v="2"/>
    <s v="GNR_ENG_NGAS_EXT_E-43"/>
    <x v="0"/>
    <x v="0"/>
  </r>
  <r>
    <x v="0"/>
    <x v="0"/>
    <x v="6"/>
    <x v="16"/>
    <s v="EE_Kohtla_Jarve"/>
    <x v="2"/>
    <s v="GNR_ENG_NGAS_EXT_E-44"/>
    <x v="0"/>
    <x v="0"/>
  </r>
  <r>
    <x v="0"/>
    <x v="0"/>
    <x v="6"/>
    <x v="16"/>
    <s v="EE_Rural"/>
    <x v="2"/>
    <s v="GNR_ENG_NGAS_EXT_E-44"/>
    <x v="0"/>
    <x v="0"/>
  </r>
  <r>
    <x v="0"/>
    <x v="0"/>
    <x v="6"/>
    <x v="16"/>
    <s v="EE_Sillamae"/>
    <x v="2"/>
    <s v="GNR_ENG_NGAS_EXT_E-44"/>
    <x v="0"/>
    <x v="0"/>
  </r>
  <r>
    <x v="0"/>
    <x v="0"/>
    <x v="6"/>
    <x v="16"/>
    <s v="EE_Tallinn"/>
    <x v="2"/>
    <s v="GNR_ENG_NGAS_EXT_E-44"/>
    <x v="0"/>
    <x v="0"/>
  </r>
  <r>
    <x v="0"/>
    <x v="0"/>
    <x v="6"/>
    <x v="16"/>
    <s v="EE_Urban"/>
    <x v="2"/>
    <s v="GNR_ENG_NGAS_EXT_E-44"/>
    <x v="0"/>
    <x v="0"/>
  </r>
  <r>
    <x v="0"/>
    <x v="1"/>
    <x v="6"/>
    <x v="16"/>
    <s v="EE_Kohtla_Jarve"/>
    <x v="2"/>
    <s v="GNR_ENG_NGAS_EXT_E-44"/>
    <x v="0"/>
    <x v="0"/>
  </r>
  <r>
    <x v="0"/>
    <x v="1"/>
    <x v="6"/>
    <x v="16"/>
    <s v="EE_Rural"/>
    <x v="2"/>
    <s v="GNR_ENG_NGAS_EXT_E-44"/>
    <x v="0"/>
    <x v="0"/>
  </r>
  <r>
    <x v="0"/>
    <x v="1"/>
    <x v="6"/>
    <x v="16"/>
    <s v="EE_Sillamae"/>
    <x v="2"/>
    <s v="GNR_ENG_NGAS_EXT_E-44"/>
    <x v="0"/>
    <x v="0"/>
  </r>
  <r>
    <x v="0"/>
    <x v="1"/>
    <x v="6"/>
    <x v="16"/>
    <s v="EE_Tallinn"/>
    <x v="2"/>
    <s v="GNR_ENG_NGAS_EXT_E-44"/>
    <x v="0"/>
    <x v="0"/>
  </r>
  <r>
    <x v="0"/>
    <x v="1"/>
    <x v="6"/>
    <x v="16"/>
    <s v="EE_Urban"/>
    <x v="2"/>
    <s v="GNR_ENG_NGAS_EXT_E-44"/>
    <x v="0"/>
    <x v="0"/>
  </r>
  <r>
    <x v="0"/>
    <x v="2"/>
    <x v="6"/>
    <x v="16"/>
    <s v="EE_Kohtla_Jarve"/>
    <x v="2"/>
    <s v="GNR_ENG_NGAS_EXT_E-44"/>
    <x v="0"/>
    <x v="0"/>
  </r>
  <r>
    <x v="0"/>
    <x v="2"/>
    <x v="6"/>
    <x v="16"/>
    <s v="EE_Rural"/>
    <x v="2"/>
    <s v="GNR_ENG_NGAS_EXT_E-44"/>
    <x v="0"/>
    <x v="0"/>
  </r>
  <r>
    <x v="0"/>
    <x v="2"/>
    <x v="6"/>
    <x v="16"/>
    <s v="EE_Sillamae"/>
    <x v="2"/>
    <s v="GNR_ENG_NGAS_EXT_E-44"/>
    <x v="0"/>
    <x v="0"/>
  </r>
  <r>
    <x v="0"/>
    <x v="2"/>
    <x v="6"/>
    <x v="16"/>
    <s v="EE_Tallinn"/>
    <x v="2"/>
    <s v="GNR_ENG_NGAS_EXT_E-44"/>
    <x v="0"/>
    <x v="0"/>
  </r>
  <r>
    <x v="0"/>
    <x v="2"/>
    <x v="6"/>
    <x v="16"/>
    <s v="EE_Urban"/>
    <x v="2"/>
    <s v="GNR_ENG_NGAS_EXT_E-44"/>
    <x v="0"/>
    <x v="0"/>
  </r>
  <r>
    <x v="0"/>
    <x v="0"/>
    <x v="6"/>
    <x v="16"/>
    <s v="EE_Industry"/>
    <x v="17"/>
    <s v="GNR_ENG_RETORT-GAS_E-44"/>
    <x v="0"/>
    <x v="0"/>
  </r>
  <r>
    <x v="0"/>
    <x v="1"/>
    <x v="6"/>
    <x v="16"/>
    <s v="EE_Industry"/>
    <x v="17"/>
    <s v="GNR_ENG_RETORT-GAS_E-44"/>
    <x v="0"/>
    <x v="0"/>
  </r>
  <r>
    <x v="0"/>
    <x v="2"/>
    <x v="6"/>
    <x v="16"/>
    <s v="EE_Industry"/>
    <x v="17"/>
    <s v="GNR_ENG_RETORT-GAS_E-44"/>
    <x v="0"/>
    <x v="0"/>
  </r>
  <r>
    <x v="0"/>
    <x v="0"/>
    <x v="3"/>
    <x v="10"/>
    <s v="LT_VilU"/>
    <x v="20"/>
    <s v="GNR_ES_WTR_PMP"/>
    <x v="0"/>
    <x v="0"/>
  </r>
  <r>
    <x v="0"/>
    <x v="0"/>
    <x v="4"/>
    <x v="11"/>
    <s v="PL_A"/>
    <x v="20"/>
    <s v="GNR_ES_WTR_PMP"/>
    <x v="0"/>
    <x v="0"/>
  </r>
  <r>
    <x v="0"/>
    <x v="0"/>
    <x v="9"/>
    <x v="20"/>
    <s v="UK_A"/>
    <x v="20"/>
    <s v="GNR_ES_WTR_PMP"/>
    <x v="0"/>
    <x v="0"/>
  </r>
  <r>
    <x v="0"/>
    <x v="1"/>
    <x v="3"/>
    <x v="10"/>
    <s v="LT_VilU"/>
    <x v="20"/>
    <s v="GNR_ES_WTR_PMP"/>
    <x v="0"/>
    <x v="0"/>
  </r>
  <r>
    <x v="0"/>
    <x v="1"/>
    <x v="4"/>
    <x v="11"/>
    <s v="PL_A"/>
    <x v="20"/>
    <s v="GNR_ES_WTR_PMP"/>
    <x v="0"/>
    <x v="0"/>
  </r>
  <r>
    <x v="0"/>
    <x v="1"/>
    <x v="9"/>
    <x v="20"/>
    <s v="UK_A"/>
    <x v="20"/>
    <s v="GNR_ES_WTR_PMP"/>
    <x v="0"/>
    <x v="0"/>
  </r>
  <r>
    <x v="0"/>
    <x v="2"/>
    <x v="3"/>
    <x v="10"/>
    <s v="LT_VilU"/>
    <x v="20"/>
    <s v="GNR_ES_WTR_PMP"/>
    <x v="0"/>
    <x v="0"/>
  </r>
  <r>
    <x v="0"/>
    <x v="2"/>
    <x v="4"/>
    <x v="11"/>
    <s v="PL_A"/>
    <x v="20"/>
    <s v="GNR_ES_WTR_PMP"/>
    <x v="0"/>
    <x v="0"/>
  </r>
  <r>
    <x v="0"/>
    <x v="2"/>
    <x v="9"/>
    <x v="20"/>
    <s v="UK_A"/>
    <x v="20"/>
    <s v="GNR_ES_WTR_PMP"/>
    <x v="0"/>
    <x v="0"/>
  </r>
  <r>
    <x v="0"/>
    <x v="0"/>
    <x v="5"/>
    <x v="12"/>
    <s v="DE4-E_A"/>
    <x v="21"/>
    <s v="GNR_GEO_HEAT_EO"/>
    <x v="0"/>
    <x v="0"/>
  </r>
  <r>
    <x v="0"/>
    <x v="0"/>
    <x v="5"/>
    <x v="14"/>
    <s v="DE4-S_A"/>
    <x v="21"/>
    <s v="GNR_GEO_HEAT_EO"/>
    <x v="0"/>
    <x v="0"/>
  </r>
  <r>
    <x v="0"/>
    <x v="1"/>
    <x v="5"/>
    <x v="12"/>
    <s v="DE4-E_A"/>
    <x v="21"/>
    <s v="GNR_GEO_HEAT_EO"/>
    <x v="0"/>
    <x v="0"/>
  </r>
  <r>
    <x v="0"/>
    <x v="1"/>
    <x v="5"/>
    <x v="13"/>
    <s v="DE4-N_A"/>
    <x v="21"/>
    <s v="GNR_GEO_HEAT_EO"/>
    <x v="0"/>
    <x v="0"/>
  </r>
  <r>
    <x v="0"/>
    <x v="1"/>
    <x v="5"/>
    <x v="14"/>
    <s v="DE4-S_A"/>
    <x v="21"/>
    <s v="GNR_GEO_HEAT_EO"/>
    <x v="0"/>
    <x v="0"/>
  </r>
  <r>
    <x v="0"/>
    <x v="2"/>
    <x v="5"/>
    <x v="13"/>
    <s v="DE4-N_A"/>
    <x v="21"/>
    <s v="GNR_GEO_HEAT_EO"/>
    <x v="0"/>
    <x v="0"/>
  </r>
  <r>
    <x v="0"/>
    <x v="2"/>
    <x v="5"/>
    <x v="14"/>
    <s v="DE4-S_A"/>
    <x v="21"/>
    <s v="GNR_GEO_HEAT_EO"/>
    <x v="0"/>
    <x v="0"/>
  </r>
  <r>
    <x v="0"/>
    <x v="0"/>
    <x v="10"/>
    <x v="21"/>
    <s v="LV_Other_DH"/>
    <x v="18"/>
    <s v="GNR_GT_BGAS_BP_E-30"/>
    <x v="0"/>
    <x v="0"/>
  </r>
  <r>
    <x v="0"/>
    <x v="1"/>
    <x v="10"/>
    <x v="21"/>
    <s v="LV_Other_DH"/>
    <x v="18"/>
    <s v="GNR_GT_BGAS_BP_E-30"/>
    <x v="0"/>
    <x v="0"/>
  </r>
  <r>
    <x v="0"/>
    <x v="2"/>
    <x v="10"/>
    <x v="21"/>
    <s v="LV_Other_DH"/>
    <x v="18"/>
    <s v="GNR_GT_BGAS_BP_E-30"/>
    <x v="0"/>
    <x v="0"/>
  </r>
  <r>
    <x v="0"/>
    <x v="0"/>
    <x v="5"/>
    <x v="12"/>
    <s v="DE4-E_A"/>
    <x v="1"/>
    <s v="GNR_GT_FUELOIL_CND_E-30"/>
    <x v="0"/>
    <x v="0"/>
  </r>
  <r>
    <x v="0"/>
    <x v="1"/>
    <x v="5"/>
    <x v="12"/>
    <s v="DE4-E_A"/>
    <x v="1"/>
    <s v="GNR_GT_FUELOIL_CND_E-30"/>
    <x v="0"/>
    <x v="0"/>
  </r>
  <r>
    <x v="0"/>
    <x v="0"/>
    <x v="5"/>
    <x v="13"/>
    <s v="DE4-N_A"/>
    <x v="1"/>
    <s v="GNR_GT_FUELOIL_CND_E-31"/>
    <x v="0"/>
    <x v="0"/>
  </r>
  <r>
    <x v="0"/>
    <x v="0"/>
    <x v="5"/>
    <x v="15"/>
    <s v="DE4-W_A"/>
    <x v="1"/>
    <s v="GNR_GT_FUELOIL_CND_E-31"/>
    <x v="0"/>
    <x v="0"/>
  </r>
  <r>
    <x v="0"/>
    <x v="1"/>
    <x v="5"/>
    <x v="13"/>
    <s v="DE4-N_A"/>
    <x v="1"/>
    <s v="GNR_GT_FUELOIL_CND_E-31"/>
    <x v="0"/>
    <x v="0"/>
  </r>
  <r>
    <x v="0"/>
    <x v="1"/>
    <x v="5"/>
    <x v="15"/>
    <s v="DE4-W_A"/>
    <x v="1"/>
    <s v="GNR_GT_FUELOIL_CND_E-31"/>
    <x v="0"/>
    <x v="0"/>
  </r>
  <r>
    <x v="0"/>
    <x v="0"/>
    <x v="5"/>
    <x v="14"/>
    <s v="DE4-S_A"/>
    <x v="1"/>
    <s v="GNR_GT_FUELOIL_CND_E-32"/>
    <x v="0"/>
    <x v="0"/>
  </r>
  <r>
    <x v="0"/>
    <x v="1"/>
    <x v="5"/>
    <x v="14"/>
    <s v="DE4-S_A"/>
    <x v="1"/>
    <s v="GNR_GT_FUELOIL_CND_E-32"/>
    <x v="0"/>
    <x v="0"/>
  </r>
  <r>
    <x v="0"/>
    <x v="0"/>
    <x v="5"/>
    <x v="14"/>
    <s v="DE4-S_A"/>
    <x v="1"/>
    <s v="GNR_GT_FUELOIL_CND_E-35"/>
    <x v="0"/>
    <x v="0"/>
  </r>
  <r>
    <x v="0"/>
    <x v="1"/>
    <x v="5"/>
    <x v="14"/>
    <s v="DE4-S_A"/>
    <x v="1"/>
    <s v="GNR_GT_FUELOIL_CND_E-35"/>
    <x v="0"/>
    <x v="0"/>
  </r>
  <r>
    <x v="0"/>
    <x v="0"/>
    <x v="5"/>
    <x v="12"/>
    <s v="DE4-E_A"/>
    <x v="1"/>
    <s v="GNR_GT_FUELOIL_CND_E-36"/>
    <x v="0"/>
    <x v="0"/>
  </r>
  <r>
    <x v="0"/>
    <x v="0"/>
    <x v="7"/>
    <x v="17"/>
    <s v="DK1_Large"/>
    <x v="19"/>
    <s v="GNR_GT_LIGHTOIL_CND_E-26"/>
    <x v="0"/>
    <x v="0"/>
  </r>
  <r>
    <x v="0"/>
    <x v="1"/>
    <x v="7"/>
    <x v="17"/>
    <s v="DK1_Large"/>
    <x v="19"/>
    <s v="GNR_GT_LIGHTOIL_CND_E-26"/>
    <x v="0"/>
    <x v="0"/>
  </r>
  <r>
    <x v="0"/>
    <x v="0"/>
    <x v="7"/>
    <x v="18"/>
    <s v="DK2_Medium"/>
    <x v="19"/>
    <s v="GNR_GT_LIGHTOIL_CND_E-27"/>
    <x v="0"/>
    <x v="0"/>
  </r>
  <r>
    <x v="0"/>
    <x v="0"/>
    <x v="7"/>
    <x v="18"/>
    <s v="DK2_Rural"/>
    <x v="19"/>
    <s v="GNR_GT_LIGHTOIL_CND_E-27"/>
    <x v="0"/>
    <x v="0"/>
  </r>
  <r>
    <x v="0"/>
    <x v="1"/>
    <x v="7"/>
    <x v="18"/>
    <s v="DK2_Medium"/>
    <x v="19"/>
    <s v="GNR_GT_LIGHTOIL_CND_E-27"/>
    <x v="0"/>
    <x v="0"/>
  </r>
  <r>
    <x v="0"/>
    <x v="1"/>
    <x v="7"/>
    <x v="18"/>
    <s v="DK2_Rural"/>
    <x v="19"/>
    <s v="GNR_GT_LIGHTOIL_CND_E-27"/>
    <x v="0"/>
    <x v="0"/>
  </r>
  <r>
    <x v="0"/>
    <x v="0"/>
    <x v="7"/>
    <x v="17"/>
    <s v="DK1_Large"/>
    <x v="2"/>
    <s v="GNR_GT_NGAS_BP_E-27"/>
    <x v="0"/>
    <x v="0"/>
  </r>
  <r>
    <x v="0"/>
    <x v="0"/>
    <x v="7"/>
    <x v="17"/>
    <s v="DK1_NoDH"/>
    <x v="2"/>
    <s v="GNR_GT_NGAS_BP_E-28"/>
    <x v="0"/>
    <x v="0"/>
  </r>
  <r>
    <x v="0"/>
    <x v="0"/>
    <x v="7"/>
    <x v="17"/>
    <s v="DK1_Rural"/>
    <x v="2"/>
    <s v="GNR_GT_NGAS_BP_E-28"/>
    <x v="0"/>
    <x v="0"/>
  </r>
  <r>
    <x v="0"/>
    <x v="0"/>
    <x v="7"/>
    <x v="18"/>
    <s v="DK2_NoDH"/>
    <x v="2"/>
    <s v="GNR_GT_NGAS_BP_E-28"/>
    <x v="0"/>
    <x v="0"/>
  </r>
  <r>
    <x v="0"/>
    <x v="1"/>
    <x v="7"/>
    <x v="17"/>
    <s v="DK1_NoDH"/>
    <x v="2"/>
    <s v="GNR_GT_NGAS_BP_E-28"/>
    <x v="0"/>
    <x v="0"/>
  </r>
  <r>
    <x v="0"/>
    <x v="1"/>
    <x v="7"/>
    <x v="17"/>
    <s v="DK1_Rural"/>
    <x v="2"/>
    <s v="GNR_GT_NGAS_BP_E-28"/>
    <x v="0"/>
    <x v="0"/>
  </r>
  <r>
    <x v="0"/>
    <x v="2"/>
    <x v="7"/>
    <x v="17"/>
    <s v="DK1_NoDH"/>
    <x v="2"/>
    <s v="GNR_GT_NGAS_BP_E-28"/>
    <x v="0"/>
    <x v="0"/>
  </r>
  <r>
    <x v="0"/>
    <x v="0"/>
    <x v="7"/>
    <x v="17"/>
    <s v="DK1_Rural"/>
    <x v="2"/>
    <s v="GNR_GT_NGAS_BP_E-30"/>
    <x v="0"/>
    <x v="0"/>
  </r>
  <r>
    <x v="0"/>
    <x v="1"/>
    <x v="7"/>
    <x v="17"/>
    <s v="DK1_Rural"/>
    <x v="2"/>
    <s v="GNR_GT_NGAS_BP_E-30"/>
    <x v="0"/>
    <x v="0"/>
  </r>
  <r>
    <x v="0"/>
    <x v="0"/>
    <x v="7"/>
    <x v="17"/>
    <s v="DK1_MedSmall"/>
    <x v="2"/>
    <s v="GNR_GT_NGAS_BP_E-31"/>
    <x v="0"/>
    <x v="0"/>
  </r>
  <r>
    <x v="0"/>
    <x v="0"/>
    <x v="7"/>
    <x v="17"/>
    <s v="DK1_Medium"/>
    <x v="2"/>
    <s v="GNR_GT_NGAS_BP_E-31"/>
    <x v="0"/>
    <x v="0"/>
  </r>
  <r>
    <x v="0"/>
    <x v="0"/>
    <x v="7"/>
    <x v="17"/>
    <s v="DK1_Small"/>
    <x v="2"/>
    <s v="GNR_GT_NGAS_BP_E-31"/>
    <x v="0"/>
    <x v="0"/>
  </r>
  <r>
    <x v="0"/>
    <x v="0"/>
    <x v="5"/>
    <x v="15"/>
    <s v="DE4-W_A"/>
    <x v="2"/>
    <s v="GNR_GT_NGAS_BP_E-31"/>
    <x v="0"/>
    <x v="0"/>
  </r>
  <r>
    <x v="0"/>
    <x v="1"/>
    <x v="7"/>
    <x v="17"/>
    <s v="DK1_MedSmall"/>
    <x v="2"/>
    <s v="GNR_GT_NGAS_BP_E-31"/>
    <x v="0"/>
    <x v="0"/>
  </r>
  <r>
    <x v="0"/>
    <x v="1"/>
    <x v="7"/>
    <x v="17"/>
    <s v="DK1_Medium"/>
    <x v="2"/>
    <s v="GNR_GT_NGAS_BP_E-31"/>
    <x v="0"/>
    <x v="0"/>
  </r>
  <r>
    <x v="0"/>
    <x v="1"/>
    <x v="7"/>
    <x v="17"/>
    <s v="DK1_Small"/>
    <x v="2"/>
    <s v="GNR_GT_NGAS_BP_E-31"/>
    <x v="0"/>
    <x v="0"/>
  </r>
  <r>
    <x v="0"/>
    <x v="1"/>
    <x v="5"/>
    <x v="15"/>
    <s v="DE4-W_A"/>
    <x v="2"/>
    <s v="GNR_GT_NGAS_BP_E-31"/>
    <x v="0"/>
    <x v="0"/>
  </r>
  <r>
    <x v="0"/>
    <x v="0"/>
    <x v="5"/>
    <x v="14"/>
    <s v="DE4-S_A"/>
    <x v="2"/>
    <s v="GNR_GT_NGAS_BP_E-32"/>
    <x v="0"/>
    <x v="0"/>
  </r>
  <r>
    <x v="0"/>
    <x v="1"/>
    <x v="5"/>
    <x v="14"/>
    <s v="DE4-S_A"/>
    <x v="2"/>
    <s v="GNR_GT_NGAS_BP_E-32"/>
    <x v="0"/>
    <x v="0"/>
  </r>
  <r>
    <x v="0"/>
    <x v="0"/>
    <x v="7"/>
    <x v="17"/>
    <s v="DK1_NoDH"/>
    <x v="2"/>
    <s v="GNR_GT_NGAS_BP_E-33"/>
    <x v="0"/>
    <x v="0"/>
  </r>
  <r>
    <x v="0"/>
    <x v="1"/>
    <x v="7"/>
    <x v="17"/>
    <s v="DK1_NoDH"/>
    <x v="2"/>
    <s v="GNR_GT_NGAS_BP_E-33"/>
    <x v="0"/>
    <x v="0"/>
  </r>
  <r>
    <x v="0"/>
    <x v="0"/>
    <x v="7"/>
    <x v="17"/>
    <s v="DK1_NoDH"/>
    <x v="2"/>
    <s v="GNR_GT_NGAS_BP_E-36"/>
    <x v="0"/>
    <x v="0"/>
  </r>
  <r>
    <x v="0"/>
    <x v="0"/>
    <x v="7"/>
    <x v="18"/>
    <s v="DK2_Large"/>
    <x v="2"/>
    <s v="GNR_GT_NGAS_BP_E-36"/>
    <x v="0"/>
    <x v="0"/>
  </r>
  <r>
    <x v="0"/>
    <x v="1"/>
    <x v="7"/>
    <x v="17"/>
    <s v="DK1_NoDH"/>
    <x v="2"/>
    <s v="GNR_GT_NGAS_BP_E-36"/>
    <x v="0"/>
    <x v="0"/>
  </r>
  <r>
    <x v="0"/>
    <x v="1"/>
    <x v="7"/>
    <x v="18"/>
    <s v="DK2_Large"/>
    <x v="2"/>
    <s v="GNR_GT_NGAS_BP_E-36"/>
    <x v="0"/>
    <x v="0"/>
  </r>
  <r>
    <x v="0"/>
    <x v="2"/>
    <x v="7"/>
    <x v="17"/>
    <s v="DK1_NoDH"/>
    <x v="2"/>
    <s v="GNR_GT_NGAS_BP_E-36"/>
    <x v="0"/>
    <x v="0"/>
  </r>
  <r>
    <x v="0"/>
    <x v="0"/>
    <x v="5"/>
    <x v="14"/>
    <s v="DE4-S_A"/>
    <x v="2"/>
    <s v="GNR_GT_NGAS_BP_E-37"/>
    <x v="0"/>
    <x v="0"/>
  </r>
  <r>
    <x v="0"/>
    <x v="1"/>
    <x v="5"/>
    <x v="14"/>
    <s v="DE4-S_A"/>
    <x v="2"/>
    <s v="GNR_GT_NGAS_BP_E-37"/>
    <x v="0"/>
    <x v="0"/>
  </r>
  <r>
    <x v="0"/>
    <x v="0"/>
    <x v="5"/>
    <x v="12"/>
    <s v="DE4-E_A"/>
    <x v="2"/>
    <s v="GNR_GT_NGAS_BP_E-38"/>
    <x v="0"/>
    <x v="0"/>
  </r>
  <r>
    <x v="0"/>
    <x v="1"/>
    <x v="5"/>
    <x v="12"/>
    <s v="DE4-E_A"/>
    <x v="2"/>
    <s v="GNR_GT_NGAS_BP_E-38"/>
    <x v="0"/>
    <x v="0"/>
  </r>
  <r>
    <x v="0"/>
    <x v="0"/>
    <x v="5"/>
    <x v="15"/>
    <s v="DE4-W_A"/>
    <x v="2"/>
    <s v="GNR_GT_NGAS_BP_E-39"/>
    <x v="0"/>
    <x v="0"/>
  </r>
  <r>
    <x v="0"/>
    <x v="1"/>
    <x v="5"/>
    <x v="15"/>
    <s v="DE4-W_A"/>
    <x v="2"/>
    <s v="GNR_GT_NGAS_BP_E-39"/>
    <x v="0"/>
    <x v="0"/>
  </r>
  <r>
    <x v="0"/>
    <x v="2"/>
    <x v="5"/>
    <x v="15"/>
    <s v="DE4-W_A"/>
    <x v="2"/>
    <s v="GNR_GT_NGAS_BP_E-39"/>
    <x v="0"/>
    <x v="0"/>
  </r>
  <r>
    <x v="0"/>
    <x v="0"/>
    <x v="7"/>
    <x v="17"/>
    <s v="DK1_Rural"/>
    <x v="2"/>
    <s v="GNR_GT_NGAS_BP_E-41"/>
    <x v="0"/>
    <x v="0"/>
  </r>
  <r>
    <x v="0"/>
    <x v="0"/>
    <x v="7"/>
    <x v="18"/>
    <s v="DK2_Medium"/>
    <x v="2"/>
    <s v="GNR_GT_NGAS_BP_E-42"/>
    <x v="0"/>
    <x v="0"/>
  </r>
  <r>
    <x v="0"/>
    <x v="0"/>
    <x v="7"/>
    <x v="17"/>
    <s v="DK1_Medium"/>
    <x v="2"/>
    <s v="GNR_GT_NGAS_BP_E-43"/>
    <x v="0"/>
    <x v="0"/>
  </r>
  <r>
    <x v="0"/>
    <x v="1"/>
    <x v="7"/>
    <x v="17"/>
    <s v="DK1_Medium"/>
    <x v="2"/>
    <s v="GNR_GT_NGAS_BP_E-43"/>
    <x v="0"/>
    <x v="0"/>
  </r>
  <r>
    <x v="0"/>
    <x v="0"/>
    <x v="7"/>
    <x v="17"/>
    <s v="DK1_Medium"/>
    <x v="2"/>
    <s v="GNR_GT_NGAS_BP_E-44"/>
    <x v="0"/>
    <x v="0"/>
  </r>
  <r>
    <x v="0"/>
    <x v="0"/>
    <x v="7"/>
    <x v="18"/>
    <s v="DK2_Medium"/>
    <x v="2"/>
    <s v="GNR_GT_NGAS_BP_E-44"/>
    <x v="0"/>
    <x v="0"/>
  </r>
  <r>
    <x v="0"/>
    <x v="1"/>
    <x v="7"/>
    <x v="17"/>
    <s v="DK1_Medium"/>
    <x v="2"/>
    <s v="GNR_GT_NGAS_BP_E-44"/>
    <x v="0"/>
    <x v="0"/>
  </r>
  <r>
    <x v="0"/>
    <x v="0"/>
    <x v="7"/>
    <x v="17"/>
    <s v="DK1_Medium"/>
    <x v="2"/>
    <s v="GNR_GT_NGAS_BP_E-47"/>
    <x v="0"/>
    <x v="0"/>
  </r>
  <r>
    <x v="0"/>
    <x v="1"/>
    <x v="7"/>
    <x v="17"/>
    <s v="DK1_Medium"/>
    <x v="2"/>
    <s v="GNR_GT_NGAS_BP_E-47"/>
    <x v="0"/>
    <x v="0"/>
  </r>
  <r>
    <x v="0"/>
    <x v="0"/>
    <x v="5"/>
    <x v="14"/>
    <s v="DE4-S_A"/>
    <x v="2"/>
    <s v="GNR_GT_NGAS_CND_E-31"/>
    <x v="0"/>
    <x v="0"/>
  </r>
  <r>
    <x v="0"/>
    <x v="1"/>
    <x v="5"/>
    <x v="14"/>
    <s v="DE4-S_A"/>
    <x v="2"/>
    <s v="GNR_GT_NGAS_CND_E-31"/>
    <x v="0"/>
    <x v="0"/>
  </r>
  <r>
    <x v="0"/>
    <x v="0"/>
    <x v="5"/>
    <x v="15"/>
    <s v="DE4-W_A"/>
    <x v="2"/>
    <s v="GNR_GT_NGAS_CND_E-32"/>
    <x v="0"/>
    <x v="0"/>
  </r>
  <r>
    <x v="0"/>
    <x v="1"/>
    <x v="5"/>
    <x v="15"/>
    <s v="DE4-W_A"/>
    <x v="2"/>
    <s v="GNR_GT_NGAS_CND_E-32"/>
    <x v="0"/>
    <x v="0"/>
  </r>
  <r>
    <x v="0"/>
    <x v="0"/>
    <x v="9"/>
    <x v="20"/>
    <s v="UK_A"/>
    <x v="2"/>
    <s v="GNR_GT_NGAS_CND_E-33"/>
    <x v="0"/>
    <x v="0"/>
  </r>
  <r>
    <x v="0"/>
    <x v="1"/>
    <x v="9"/>
    <x v="20"/>
    <s v="UK_A"/>
    <x v="2"/>
    <s v="GNR_GT_NGAS_CND_E-33"/>
    <x v="0"/>
    <x v="0"/>
  </r>
  <r>
    <x v="0"/>
    <x v="2"/>
    <x v="9"/>
    <x v="20"/>
    <s v="UK_A"/>
    <x v="2"/>
    <s v="GNR_GT_NGAS_CND_E-33"/>
    <x v="0"/>
    <x v="0"/>
  </r>
  <r>
    <x v="0"/>
    <x v="0"/>
    <x v="5"/>
    <x v="12"/>
    <s v="DE4-E_A"/>
    <x v="2"/>
    <s v="GNR_GT_NGAS_CND_E-35"/>
    <x v="0"/>
    <x v="0"/>
  </r>
  <r>
    <x v="0"/>
    <x v="0"/>
    <x v="9"/>
    <x v="20"/>
    <s v="UK_A"/>
    <x v="2"/>
    <s v="GNR_GT_NGAS_CND_E-35"/>
    <x v="0"/>
    <x v="0"/>
  </r>
  <r>
    <x v="0"/>
    <x v="1"/>
    <x v="5"/>
    <x v="12"/>
    <s v="DE4-E_A"/>
    <x v="2"/>
    <s v="GNR_GT_NGAS_CND_E-35"/>
    <x v="0"/>
    <x v="0"/>
  </r>
  <r>
    <x v="0"/>
    <x v="1"/>
    <x v="9"/>
    <x v="20"/>
    <s v="UK_A"/>
    <x v="2"/>
    <s v="GNR_GT_NGAS_CND_E-35"/>
    <x v="0"/>
    <x v="0"/>
  </r>
  <r>
    <x v="0"/>
    <x v="2"/>
    <x v="9"/>
    <x v="20"/>
    <s v="UK_A"/>
    <x v="2"/>
    <s v="GNR_GT_NGAS_CND_E-35"/>
    <x v="0"/>
    <x v="0"/>
  </r>
  <r>
    <x v="0"/>
    <x v="0"/>
    <x v="9"/>
    <x v="20"/>
    <s v="UK_A"/>
    <x v="2"/>
    <s v="GNR_GT_NGAS_CND_E-38"/>
    <x v="0"/>
    <x v="0"/>
  </r>
  <r>
    <x v="0"/>
    <x v="1"/>
    <x v="9"/>
    <x v="20"/>
    <s v="UK_A"/>
    <x v="2"/>
    <s v="GNR_GT_NGAS_CND_E-38"/>
    <x v="0"/>
    <x v="0"/>
  </r>
  <r>
    <x v="0"/>
    <x v="2"/>
    <x v="9"/>
    <x v="20"/>
    <s v="UK_A"/>
    <x v="2"/>
    <s v="GNR_GT_NGAS_CND_E-38"/>
    <x v="0"/>
    <x v="0"/>
  </r>
  <r>
    <x v="0"/>
    <x v="0"/>
    <x v="5"/>
    <x v="15"/>
    <s v="DE4-W_A"/>
    <x v="2"/>
    <s v="GNR_GT_NGAS_CND_E-40"/>
    <x v="0"/>
    <x v="0"/>
  </r>
  <r>
    <x v="0"/>
    <x v="1"/>
    <x v="5"/>
    <x v="15"/>
    <s v="DE4-W_A"/>
    <x v="2"/>
    <s v="GNR_GT_NGAS_CND_E-40"/>
    <x v="0"/>
    <x v="0"/>
  </r>
  <r>
    <x v="0"/>
    <x v="2"/>
    <x v="5"/>
    <x v="15"/>
    <s v="DE4-W_A"/>
    <x v="2"/>
    <s v="GNR_GT_NGAS_CND_E-40"/>
    <x v="0"/>
    <x v="0"/>
  </r>
  <r>
    <x v="0"/>
    <x v="0"/>
    <x v="9"/>
    <x v="20"/>
    <s v="UK_A"/>
    <x v="2"/>
    <s v="GNR_GT_NGAS_CND_E-41"/>
    <x v="0"/>
    <x v="0"/>
  </r>
  <r>
    <x v="0"/>
    <x v="1"/>
    <x v="9"/>
    <x v="20"/>
    <s v="UK_A"/>
    <x v="2"/>
    <s v="GNR_GT_NGAS_CND_E-41"/>
    <x v="0"/>
    <x v="0"/>
  </r>
  <r>
    <x v="0"/>
    <x v="2"/>
    <x v="9"/>
    <x v="20"/>
    <s v="UK_A"/>
    <x v="2"/>
    <s v="GNR_GT_NGAS_CND_E-41"/>
    <x v="0"/>
    <x v="0"/>
  </r>
  <r>
    <x v="0"/>
    <x v="0"/>
    <x v="7"/>
    <x v="17"/>
    <s v="DK1_Rural"/>
    <x v="13"/>
    <s v="GNR_HP_ELEC_COP-300"/>
    <x v="0"/>
    <x v="0"/>
  </r>
  <r>
    <x v="0"/>
    <x v="0"/>
    <x v="7"/>
    <x v="18"/>
    <s v="DK2_Large"/>
    <x v="13"/>
    <s v="GNR_HP_ELEC_COP-300"/>
    <x v="0"/>
    <x v="0"/>
  </r>
  <r>
    <x v="0"/>
    <x v="1"/>
    <x v="7"/>
    <x v="17"/>
    <s v="DK1_Rural"/>
    <x v="13"/>
    <s v="GNR_HP_ELEC_COP-300"/>
    <x v="0"/>
    <x v="0"/>
  </r>
  <r>
    <x v="0"/>
    <x v="1"/>
    <x v="7"/>
    <x v="18"/>
    <s v="DK2_Large"/>
    <x v="13"/>
    <s v="GNR_HP_ELEC_COP-300"/>
    <x v="0"/>
    <x v="0"/>
  </r>
  <r>
    <x v="0"/>
    <x v="2"/>
    <x v="7"/>
    <x v="17"/>
    <s v="DK1_Rural"/>
    <x v="13"/>
    <s v="GNR_HP_ELEC_COP-300"/>
    <x v="0"/>
    <x v="0"/>
  </r>
  <r>
    <x v="0"/>
    <x v="2"/>
    <x v="7"/>
    <x v="18"/>
    <s v="DK2_Large"/>
    <x v="13"/>
    <s v="GNR_HP_ELEC_COP-300"/>
    <x v="0"/>
    <x v="0"/>
  </r>
  <r>
    <x v="0"/>
    <x v="0"/>
    <x v="7"/>
    <x v="17"/>
    <s v="DK1_Rural"/>
    <x v="13"/>
    <s v="GNR_HP_ELEC_COP-350"/>
    <x v="0"/>
    <x v="0"/>
  </r>
  <r>
    <x v="0"/>
    <x v="1"/>
    <x v="7"/>
    <x v="17"/>
    <s v="DK1_Rural"/>
    <x v="13"/>
    <s v="GNR_HP_ELEC_COP-350"/>
    <x v="0"/>
    <x v="0"/>
  </r>
  <r>
    <x v="0"/>
    <x v="2"/>
    <x v="7"/>
    <x v="17"/>
    <s v="DK1_Rural"/>
    <x v="13"/>
    <s v="GNR_HP_ELEC_COP-350"/>
    <x v="0"/>
    <x v="0"/>
  </r>
  <r>
    <x v="0"/>
    <x v="0"/>
    <x v="7"/>
    <x v="17"/>
    <s v="DK1_Rural"/>
    <x v="13"/>
    <s v="GNR_HP_ELEC_COP-400"/>
    <x v="0"/>
    <x v="0"/>
  </r>
  <r>
    <x v="0"/>
    <x v="0"/>
    <x v="7"/>
    <x v="18"/>
    <s v="DK2_Rural"/>
    <x v="13"/>
    <s v="GNR_HP_ELEC_COP-400"/>
    <x v="0"/>
    <x v="0"/>
  </r>
  <r>
    <x v="0"/>
    <x v="1"/>
    <x v="7"/>
    <x v="17"/>
    <s v="DK1_Rural"/>
    <x v="13"/>
    <s v="GNR_HP_ELEC_COP-400"/>
    <x v="0"/>
    <x v="0"/>
  </r>
  <r>
    <x v="0"/>
    <x v="1"/>
    <x v="7"/>
    <x v="18"/>
    <s v="DK2_Rural"/>
    <x v="13"/>
    <s v="GNR_HP_ELEC_COP-400"/>
    <x v="0"/>
    <x v="0"/>
  </r>
  <r>
    <x v="0"/>
    <x v="2"/>
    <x v="7"/>
    <x v="17"/>
    <s v="DK1_Rural"/>
    <x v="13"/>
    <s v="GNR_HP_ELEC_COP-400"/>
    <x v="0"/>
    <x v="0"/>
  </r>
  <r>
    <x v="0"/>
    <x v="2"/>
    <x v="7"/>
    <x v="18"/>
    <s v="DK2_Rural"/>
    <x v="13"/>
    <s v="GNR_HP_ELEC_COP-400"/>
    <x v="0"/>
    <x v="0"/>
  </r>
  <r>
    <x v="0"/>
    <x v="0"/>
    <x v="7"/>
    <x v="17"/>
    <s v="DK1_Rural"/>
    <x v="13"/>
    <s v="GNR_HP_ELEC_COP-430"/>
    <x v="0"/>
    <x v="0"/>
  </r>
  <r>
    <x v="0"/>
    <x v="1"/>
    <x v="7"/>
    <x v="17"/>
    <s v="DK1_Rural"/>
    <x v="13"/>
    <s v="GNR_HP_ELEC_COP-430"/>
    <x v="0"/>
    <x v="0"/>
  </r>
  <r>
    <x v="0"/>
    <x v="2"/>
    <x v="7"/>
    <x v="17"/>
    <s v="DK1_Rural"/>
    <x v="13"/>
    <s v="GNR_HP_ELEC_COP-430"/>
    <x v="0"/>
    <x v="0"/>
  </r>
  <r>
    <x v="0"/>
    <x v="0"/>
    <x v="7"/>
    <x v="17"/>
    <s v="DK1_Rural"/>
    <x v="13"/>
    <s v="GNR_HP_ELEC_COP-450"/>
    <x v="0"/>
    <x v="0"/>
  </r>
  <r>
    <x v="0"/>
    <x v="1"/>
    <x v="7"/>
    <x v="17"/>
    <s v="DK1_Rural"/>
    <x v="13"/>
    <s v="GNR_HP_ELEC_COP-450"/>
    <x v="0"/>
    <x v="0"/>
  </r>
  <r>
    <x v="0"/>
    <x v="2"/>
    <x v="7"/>
    <x v="17"/>
    <s v="DK1_Rural"/>
    <x v="13"/>
    <s v="GNR_HP_ELEC_COP-450"/>
    <x v="0"/>
    <x v="0"/>
  </r>
  <r>
    <x v="0"/>
    <x v="0"/>
    <x v="7"/>
    <x v="17"/>
    <s v="DK1_Rural"/>
    <x v="13"/>
    <s v="GNR_HP_ELEC_COP-460"/>
    <x v="0"/>
    <x v="0"/>
  </r>
  <r>
    <x v="0"/>
    <x v="1"/>
    <x v="7"/>
    <x v="17"/>
    <s v="DK1_Rural"/>
    <x v="13"/>
    <s v="GNR_HP_ELEC_COP-460"/>
    <x v="0"/>
    <x v="0"/>
  </r>
  <r>
    <x v="0"/>
    <x v="2"/>
    <x v="7"/>
    <x v="17"/>
    <s v="DK1_Rural"/>
    <x v="13"/>
    <s v="GNR_HP_ELEC_COP-460"/>
    <x v="0"/>
    <x v="0"/>
  </r>
  <r>
    <x v="0"/>
    <x v="0"/>
    <x v="7"/>
    <x v="17"/>
    <s v="DK1_Rural"/>
    <x v="13"/>
    <s v="GNR_HP_ELEC_COP-470"/>
    <x v="0"/>
    <x v="0"/>
  </r>
  <r>
    <x v="0"/>
    <x v="1"/>
    <x v="7"/>
    <x v="17"/>
    <s v="DK1_Rural"/>
    <x v="13"/>
    <s v="GNR_HP_ELEC_COP-470"/>
    <x v="0"/>
    <x v="0"/>
  </r>
  <r>
    <x v="0"/>
    <x v="2"/>
    <x v="7"/>
    <x v="17"/>
    <s v="DK1_Rural"/>
    <x v="13"/>
    <s v="GNR_HP_ELEC_COP-470"/>
    <x v="0"/>
    <x v="0"/>
  </r>
  <r>
    <x v="0"/>
    <x v="0"/>
    <x v="7"/>
    <x v="17"/>
    <s v="DK1_Rural"/>
    <x v="13"/>
    <s v="GNR_HP_ELEC_COP-500"/>
    <x v="0"/>
    <x v="0"/>
  </r>
  <r>
    <x v="0"/>
    <x v="1"/>
    <x v="7"/>
    <x v="17"/>
    <s v="DK1_Rural"/>
    <x v="13"/>
    <s v="GNR_HP_ELEC_COP-500"/>
    <x v="0"/>
    <x v="0"/>
  </r>
  <r>
    <x v="0"/>
    <x v="2"/>
    <x v="7"/>
    <x v="17"/>
    <s v="DK1_Rural"/>
    <x v="13"/>
    <s v="GNR_HP_ELEC_COP-500"/>
    <x v="0"/>
    <x v="0"/>
  </r>
  <r>
    <x v="0"/>
    <x v="0"/>
    <x v="7"/>
    <x v="17"/>
    <s v="DK1_Rural"/>
    <x v="13"/>
    <s v="GNR_HP_ELEC_COP-530"/>
    <x v="0"/>
    <x v="0"/>
  </r>
  <r>
    <x v="0"/>
    <x v="1"/>
    <x v="7"/>
    <x v="17"/>
    <s v="DK1_Rural"/>
    <x v="13"/>
    <s v="GNR_HP_ELEC_COP-530"/>
    <x v="0"/>
    <x v="0"/>
  </r>
  <r>
    <x v="0"/>
    <x v="2"/>
    <x v="7"/>
    <x v="17"/>
    <s v="DK1_Rural"/>
    <x v="13"/>
    <s v="GNR_HP_ELEC_COP-530"/>
    <x v="0"/>
    <x v="0"/>
  </r>
  <r>
    <x v="0"/>
    <x v="0"/>
    <x v="7"/>
    <x v="17"/>
    <s v="DK1_Rural"/>
    <x v="13"/>
    <s v="GNR_HP_ELEC_COP-600"/>
    <x v="0"/>
    <x v="0"/>
  </r>
  <r>
    <x v="0"/>
    <x v="1"/>
    <x v="7"/>
    <x v="17"/>
    <s v="DK1_Rural"/>
    <x v="13"/>
    <s v="GNR_HP_ELEC_COP-600"/>
    <x v="0"/>
    <x v="0"/>
  </r>
  <r>
    <x v="0"/>
    <x v="2"/>
    <x v="7"/>
    <x v="17"/>
    <s v="DK1_Rural"/>
    <x v="13"/>
    <s v="GNR_HP_ELEC_COP-600"/>
    <x v="0"/>
    <x v="0"/>
  </r>
  <r>
    <x v="0"/>
    <x v="0"/>
    <x v="7"/>
    <x v="17"/>
    <s v="DK1_NoDH"/>
    <x v="22"/>
    <s v="GNR_PV_SUN"/>
    <x v="0"/>
    <x v="0"/>
  </r>
  <r>
    <x v="0"/>
    <x v="0"/>
    <x v="7"/>
    <x v="18"/>
    <s v="DK2_NoDH"/>
    <x v="22"/>
    <s v="GNR_PV_SUN"/>
    <x v="0"/>
    <x v="0"/>
  </r>
  <r>
    <x v="0"/>
    <x v="0"/>
    <x v="5"/>
    <x v="12"/>
    <s v="DE4-E_A"/>
    <x v="22"/>
    <s v="GNR_PV_SUN"/>
    <x v="0"/>
    <x v="0"/>
  </r>
  <r>
    <x v="0"/>
    <x v="0"/>
    <x v="5"/>
    <x v="13"/>
    <s v="DE4-N_A"/>
    <x v="22"/>
    <s v="GNR_PV_SUN"/>
    <x v="0"/>
    <x v="0"/>
  </r>
  <r>
    <x v="0"/>
    <x v="0"/>
    <x v="5"/>
    <x v="14"/>
    <s v="DE4-S_A"/>
    <x v="22"/>
    <s v="GNR_PV_SUN"/>
    <x v="0"/>
    <x v="0"/>
  </r>
  <r>
    <x v="0"/>
    <x v="0"/>
    <x v="5"/>
    <x v="15"/>
    <s v="DE4-W_A"/>
    <x v="22"/>
    <s v="GNR_PV_SUN"/>
    <x v="0"/>
    <x v="0"/>
  </r>
  <r>
    <x v="0"/>
    <x v="0"/>
    <x v="3"/>
    <x v="10"/>
    <s v="LT_KlaU"/>
    <x v="22"/>
    <s v="GNR_PV_SUN"/>
    <x v="0"/>
    <x v="0"/>
  </r>
  <r>
    <x v="0"/>
    <x v="0"/>
    <x v="8"/>
    <x v="19"/>
    <s v="NL_A"/>
    <x v="22"/>
    <s v="GNR_PV_SUN"/>
    <x v="0"/>
    <x v="0"/>
  </r>
  <r>
    <x v="0"/>
    <x v="0"/>
    <x v="4"/>
    <x v="11"/>
    <s v="PL_A"/>
    <x v="22"/>
    <s v="GNR_PV_SUN"/>
    <x v="0"/>
    <x v="0"/>
  </r>
  <r>
    <x v="0"/>
    <x v="0"/>
    <x v="9"/>
    <x v="20"/>
    <s v="UK_A"/>
    <x v="22"/>
    <s v="GNR_PV_SUN"/>
    <x v="0"/>
    <x v="0"/>
  </r>
  <r>
    <x v="0"/>
    <x v="1"/>
    <x v="7"/>
    <x v="17"/>
    <s v="DK1_NoDH"/>
    <x v="22"/>
    <s v="GNR_PV_SUN"/>
    <x v="0"/>
    <x v="0"/>
  </r>
  <r>
    <x v="0"/>
    <x v="1"/>
    <x v="7"/>
    <x v="18"/>
    <s v="DK2_NoDH"/>
    <x v="22"/>
    <s v="GNR_PV_SUN"/>
    <x v="0"/>
    <x v="0"/>
  </r>
  <r>
    <x v="0"/>
    <x v="1"/>
    <x v="5"/>
    <x v="12"/>
    <s v="DE4-E_A"/>
    <x v="22"/>
    <s v="GNR_PV_SUN"/>
    <x v="0"/>
    <x v="0"/>
  </r>
  <r>
    <x v="0"/>
    <x v="1"/>
    <x v="5"/>
    <x v="13"/>
    <s v="DE4-N_A"/>
    <x v="22"/>
    <s v="GNR_PV_SUN"/>
    <x v="0"/>
    <x v="0"/>
  </r>
  <r>
    <x v="0"/>
    <x v="1"/>
    <x v="5"/>
    <x v="14"/>
    <s v="DE4-S_A"/>
    <x v="22"/>
    <s v="GNR_PV_SUN"/>
    <x v="0"/>
    <x v="0"/>
  </r>
  <r>
    <x v="0"/>
    <x v="1"/>
    <x v="5"/>
    <x v="15"/>
    <s v="DE4-W_A"/>
    <x v="22"/>
    <s v="GNR_PV_SUN"/>
    <x v="0"/>
    <x v="0"/>
  </r>
  <r>
    <x v="0"/>
    <x v="1"/>
    <x v="3"/>
    <x v="10"/>
    <s v="LT_KlaU"/>
    <x v="22"/>
    <s v="GNR_PV_SUN"/>
    <x v="0"/>
    <x v="0"/>
  </r>
  <r>
    <x v="0"/>
    <x v="1"/>
    <x v="8"/>
    <x v="19"/>
    <s v="NL_A"/>
    <x v="22"/>
    <s v="GNR_PV_SUN"/>
    <x v="0"/>
    <x v="0"/>
  </r>
  <r>
    <x v="0"/>
    <x v="1"/>
    <x v="4"/>
    <x v="11"/>
    <s v="PL_A"/>
    <x v="22"/>
    <s v="GNR_PV_SUN"/>
    <x v="0"/>
    <x v="0"/>
  </r>
  <r>
    <x v="0"/>
    <x v="1"/>
    <x v="9"/>
    <x v="20"/>
    <s v="UK_A"/>
    <x v="22"/>
    <s v="GNR_PV_SUN"/>
    <x v="0"/>
    <x v="0"/>
  </r>
  <r>
    <x v="0"/>
    <x v="2"/>
    <x v="7"/>
    <x v="17"/>
    <s v="DK1_NoDH"/>
    <x v="22"/>
    <s v="GNR_PV_SUN"/>
    <x v="0"/>
    <x v="0"/>
  </r>
  <r>
    <x v="0"/>
    <x v="2"/>
    <x v="7"/>
    <x v="18"/>
    <s v="DK2_NoDH"/>
    <x v="22"/>
    <s v="GNR_PV_SUN"/>
    <x v="0"/>
    <x v="0"/>
  </r>
  <r>
    <x v="0"/>
    <x v="2"/>
    <x v="5"/>
    <x v="12"/>
    <s v="DE4-E_A"/>
    <x v="22"/>
    <s v="GNR_PV_SUN"/>
    <x v="0"/>
    <x v="0"/>
  </r>
  <r>
    <x v="0"/>
    <x v="2"/>
    <x v="5"/>
    <x v="13"/>
    <s v="DE4-N_A"/>
    <x v="22"/>
    <s v="GNR_PV_SUN"/>
    <x v="0"/>
    <x v="0"/>
  </r>
  <r>
    <x v="0"/>
    <x v="2"/>
    <x v="5"/>
    <x v="14"/>
    <s v="DE4-S_A"/>
    <x v="22"/>
    <s v="GNR_PV_SUN"/>
    <x v="0"/>
    <x v="0"/>
  </r>
  <r>
    <x v="0"/>
    <x v="2"/>
    <x v="5"/>
    <x v="15"/>
    <s v="DE4-W_A"/>
    <x v="22"/>
    <s v="GNR_PV_SUN"/>
    <x v="0"/>
    <x v="0"/>
  </r>
  <r>
    <x v="0"/>
    <x v="2"/>
    <x v="3"/>
    <x v="10"/>
    <s v="LT_KlaU"/>
    <x v="22"/>
    <s v="GNR_PV_SUN"/>
    <x v="0"/>
    <x v="0"/>
  </r>
  <r>
    <x v="0"/>
    <x v="2"/>
    <x v="8"/>
    <x v="19"/>
    <s v="NL_A"/>
    <x v="22"/>
    <s v="GNR_PV_SUN"/>
    <x v="0"/>
    <x v="0"/>
  </r>
  <r>
    <x v="0"/>
    <x v="2"/>
    <x v="4"/>
    <x v="11"/>
    <s v="PL_A"/>
    <x v="22"/>
    <s v="GNR_PV_SUN"/>
    <x v="0"/>
    <x v="0"/>
  </r>
  <r>
    <x v="0"/>
    <x v="2"/>
    <x v="9"/>
    <x v="20"/>
    <s v="UK_A"/>
    <x v="22"/>
    <s v="GNR_PV_SUN"/>
    <x v="0"/>
    <x v="0"/>
  </r>
  <r>
    <x v="0"/>
    <x v="0"/>
    <x v="5"/>
    <x v="14"/>
    <s v="DE4-S_A"/>
    <x v="20"/>
    <s v="GNR_RES_WTR_NOPMP"/>
    <x v="0"/>
    <x v="0"/>
  </r>
  <r>
    <x v="0"/>
    <x v="0"/>
    <x v="10"/>
    <x v="21"/>
    <s v="LV_Other_DH"/>
    <x v="20"/>
    <s v="GNR_RES_WTR_NOPMP"/>
    <x v="0"/>
    <x v="0"/>
  </r>
  <r>
    <x v="0"/>
    <x v="0"/>
    <x v="10"/>
    <x v="21"/>
    <s v="LV_RigaR"/>
    <x v="20"/>
    <s v="GNR_RES_WTR_NOPMP"/>
    <x v="0"/>
    <x v="0"/>
  </r>
  <r>
    <x v="0"/>
    <x v="1"/>
    <x v="5"/>
    <x v="14"/>
    <s v="DE4-S_A"/>
    <x v="20"/>
    <s v="GNR_RES_WTR_NOPMP"/>
    <x v="0"/>
    <x v="0"/>
  </r>
  <r>
    <x v="0"/>
    <x v="1"/>
    <x v="10"/>
    <x v="21"/>
    <s v="LV_Other_DH"/>
    <x v="20"/>
    <s v="GNR_RES_WTR_NOPMP"/>
    <x v="0"/>
    <x v="0"/>
  </r>
  <r>
    <x v="0"/>
    <x v="1"/>
    <x v="10"/>
    <x v="21"/>
    <s v="LV_RigaR"/>
    <x v="20"/>
    <s v="GNR_RES_WTR_NOPMP"/>
    <x v="0"/>
    <x v="0"/>
  </r>
  <r>
    <x v="0"/>
    <x v="2"/>
    <x v="5"/>
    <x v="14"/>
    <s v="DE4-S_A"/>
    <x v="20"/>
    <s v="GNR_RES_WTR_NOPMP"/>
    <x v="0"/>
    <x v="0"/>
  </r>
  <r>
    <x v="0"/>
    <x v="2"/>
    <x v="10"/>
    <x v="21"/>
    <s v="LV_Other_DH"/>
    <x v="20"/>
    <s v="GNR_RES_WTR_NOPMP"/>
    <x v="0"/>
    <x v="0"/>
  </r>
  <r>
    <x v="0"/>
    <x v="2"/>
    <x v="10"/>
    <x v="21"/>
    <s v="LV_RigaR"/>
    <x v="20"/>
    <s v="GNR_RES_WTR_NOPMP"/>
    <x v="0"/>
    <x v="0"/>
  </r>
  <r>
    <x v="0"/>
    <x v="0"/>
    <x v="0"/>
    <x v="0"/>
    <s v="FinA"/>
    <x v="20"/>
    <s v="GNR_RES_WTR_NOPMP_MC-01"/>
    <x v="0"/>
    <x v="0"/>
  </r>
  <r>
    <x v="0"/>
    <x v="0"/>
    <x v="2"/>
    <x v="6"/>
    <s v="NO1_A1"/>
    <x v="20"/>
    <s v="GNR_RES_WTR_NOPMP_MC-01"/>
    <x v="0"/>
    <x v="0"/>
  </r>
  <r>
    <x v="0"/>
    <x v="0"/>
    <x v="2"/>
    <x v="7"/>
    <s v="NO2_A1"/>
    <x v="20"/>
    <s v="GNR_RES_WTR_NOPMP_MC-01"/>
    <x v="0"/>
    <x v="0"/>
  </r>
  <r>
    <x v="0"/>
    <x v="0"/>
    <x v="2"/>
    <x v="5"/>
    <s v="NO3_A1"/>
    <x v="20"/>
    <s v="GNR_RES_WTR_NOPMP_MC-01"/>
    <x v="0"/>
    <x v="0"/>
  </r>
  <r>
    <x v="0"/>
    <x v="0"/>
    <x v="2"/>
    <x v="8"/>
    <s v="NO4_A1"/>
    <x v="20"/>
    <s v="GNR_RES_WTR_NOPMP_MC-01"/>
    <x v="0"/>
    <x v="0"/>
  </r>
  <r>
    <x v="0"/>
    <x v="0"/>
    <x v="2"/>
    <x v="9"/>
    <s v="NO5_A1"/>
    <x v="20"/>
    <s v="GNR_RES_WTR_NOPMP_MC-01"/>
    <x v="0"/>
    <x v="0"/>
  </r>
  <r>
    <x v="0"/>
    <x v="0"/>
    <x v="1"/>
    <x v="1"/>
    <s v="SE1A"/>
    <x v="20"/>
    <s v="GNR_RES_WTR_NOPMP_MC-01"/>
    <x v="0"/>
    <x v="0"/>
  </r>
  <r>
    <x v="0"/>
    <x v="0"/>
    <x v="1"/>
    <x v="2"/>
    <s v="SE2A"/>
    <x v="20"/>
    <s v="GNR_RES_WTR_NOPMP_MC-01"/>
    <x v="0"/>
    <x v="0"/>
  </r>
  <r>
    <x v="0"/>
    <x v="0"/>
    <x v="1"/>
    <x v="3"/>
    <s v="SE3A"/>
    <x v="20"/>
    <s v="GNR_RES_WTR_NOPMP_MC-01"/>
    <x v="0"/>
    <x v="0"/>
  </r>
  <r>
    <x v="0"/>
    <x v="0"/>
    <x v="1"/>
    <x v="4"/>
    <s v="SE4A"/>
    <x v="20"/>
    <s v="GNR_RES_WTR_NOPMP_MC-01"/>
    <x v="0"/>
    <x v="0"/>
  </r>
  <r>
    <x v="0"/>
    <x v="1"/>
    <x v="0"/>
    <x v="0"/>
    <s v="FinA"/>
    <x v="20"/>
    <s v="GNR_RES_WTR_NOPMP_MC-01"/>
    <x v="0"/>
    <x v="0"/>
  </r>
  <r>
    <x v="0"/>
    <x v="1"/>
    <x v="2"/>
    <x v="6"/>
    <s v="NO1_A1"/>
    <x v="20"/>
    <s v="GNR_RES_WTR_NOPMP_MC-01"/>
    <x v="0"/>
    <x v="0"/>
  </r>
  <r>
    <x v="0"/>
    <x v="1"/>
    <x v="2"/>
    <x v="7"/>
    <s v="NO2_A1"/>
    <x v="20"/>
    <s v="GNR_RES_WTR_NOPMP_MC-01"/>
    <x v="0"/>
    <x v="0"/>
  </r>
  <r>
    <x v="0"/>
    <x v="1"/>
    <x v="2"/>
    <x v="5"/>
    <s v="NO3_A1"/>
    <x v="20"/>
    <s v="GNR_RES_WTR_NOPMP_MC-01"/>
    <x v="0"/>
    <x v="0"/>
  </r>
  <r>
    <x v="0"/>
    <x v="1"/>
    <x v="2"/>
    <x v="8"/>
    <s v="NO4_A1"/>
    <x v="20"/>
    <s v="GNR_RES_WTR_NOPMP_MC-01"/>
    <x v="0"/>
    <x v="0"/>
  </r>
  <r>
    <x v="0"/>
    <x v="1"/>
    <x v="2"/>
    <x v="9"/>
    <s v="NO5_A1"/>
    <x v="20"/>
    <s v="GNR_RES_WTR_NOPMP_MC-01"/>
    <x v="0"/>
    <x v="0"/>
  </r>
  <r>
    <x v="0"/>
    <x v="1"/>
    <x v="1"/>
    <x v="1"/>
    <s v="SE1A"/>
    <x v="20"/>
    <s v="GNR_RES_WTR_NOPMP_MC-01"/>
    <x v="0"/>
    <x v="0"/>
  </r>
  <r>
    <x v="0"/>
    <x v="1"/>
    <x v="1"/>
    <x v="2"/>
    <s v="SE2A"/>
    <x v="20"/>
    <s v="GNR_RES_WTR_NOPMP_MC-01"/>
    <x v="0"/>
    <x v="0"/>
  </r>
  <r>
    <x v="0"/>
    <x v="1"/>
    <x v="1"/>
    <x v="3"/>
    <s v="SE3A"/>
    <x v="20"/>
    <s v="GNR_RES_WTR_NOPMP_MC-01"/>
    <x v="0"/>
    <x v="0"/>
  </r>
  <r>
    <x v="0"/>
    <x v="1"/>
    <x v="1"/>
    <x v="4"/>
    <s v="SE4A"/>
    <x v="20"/>
    <s v="GNR_RES_WTR_NOPMP_MC-01"/>
    <x v="0"/>
    <x v="0"/>
  </r>
  <r>
    <x v="0"/>
    <x v="2"/>
    <x v="0"/>
    <x v="0"/>
    <s v="FinA"/>
    <x v="20"/>
    <s v="GNR_RES_WTR_NOPMP_MC-01"/>
    <x v="0"/>
    <x v="0"/>
  </r>
  <r>
    <x v="0"/>
    <x v="2"/>
    <x v="2"/>
    <x v="6"/>
    <s v="NO1_A1"/>
    <x v="20"/>
    <s v="GNR_RES_WTR_NOPMP_MC-01"/>
    <x v="0"/>
    <x v="0"/>
  </r>
  <r>
    <x v="0"/>
    <x v="2"/>
    <x v="2"/>
    <x v="7"/>
    <s v="NO2_A1"/>
    <x v="20"/>
    <s v="GNR_RES_WTR_NOPMP_MC-01"/>
    <x v="0"/>
    <x v="0"/>
  </r>
  <r>
    <x v="0"/>
    <x v="2"/>
    <x v="2"/>
    <x v="5"/>
    <s v="NO3_A1"/>
    <x v="20"/>
    <s v="GNR_RES_WTR_NOPMP_MC-01"/>
    <x v="0"/>
    <x v="0"/>
  </r>
  <r>
    <x v="0"/>
    <x v="2"/>
    <x v="2"/>
    <x v="8"/>
    <s v="NO4_A1"/>
    <x v="20"/>
    <s v="GNR_RES_WTR_NOPMP_MC-01"/>
    <x v="0"/>
    <x v="0"/>
  </r>
  <r>
    <x v="0"/>
    <x v="2"/>
    <x v="2"/>
    <x v="9"/>
    <s v="NO5_A1"/>
    <x v="20"/>
    <s v="GNR_RES_WTR_NOPMP_MC-01"/>
    <x v="0"/>
    <x v="0"/>
  </r>
  <r>
    <x v="0"/>
    <x v="2"/>
    <x v="1"/>
    <x v="1"/>
    <s v="SE1A"/>
    <x v="20"/>
    <s v="GNR_RES_WTR_NOPMP_MC-01"/>
    <x v="0"/>
    <x v="0"/>
  </r>
  <r>
    <x v="0"/>
    <x v="2"/>
    <x v="1"/>
    <x v="2"/>
    <s v="SE2A"/>
    <x v="20"/>
    <s v="GNR_RES_WTR_NOPMP_MC-01"/>
    <x v="0"/>
    <x v="0"/>
  </r>
  <r>
    <x v="0"/>
    <x v="2"/>
    <x v="1"/>
    <x v="3"/>
    <s v="SE3A"/>
    <x v="20"/>
    <s v="GNR_RES_WTR_NOPMP_MC-01"/>
    <x v="0"/>
    <x v="0"/>
  </r>
  <r>
    <x v="0"/>
    <x v="2"/>
    <x v="1"/>
    <x v="4"/>
    <s v="SE4A"/>
    <x v="20"/>
    <s v="GNR_RES_WTR_NOPMP_MC-01"/>
    <x v="0"/>
    <x v="0"/>
  </r>
  <r>
    <x v="0"/>
    <x v="0"/>
    <x v="0"/>
    <x v="0"/>
    <s v="FinA"/>
    <x v="20"/>
    <s v="GNR_RES_WTR_NOPMP_MC-02"/>
    <x v="0"/>
    <x v="0"/>
  </r>
  <r>
    <x v="0"/>
    <x v="0"/>
    <x v="2"/>
    <x v="6"/>
    <s v="NO1_A1"/>
    <x v="20"/>
    <s v="GNR_RES_WTR_NOPMP_MC-02"/>
    <x v="0"/>
    <x v="0"/>
  </r>
  <r>
    <x v="0"/>
    <x v="0"/>
    <x v="2"/>
    <x v="7"/>
    <s v="NO2_A1"/>
    <x v="20"/>
    <s v="GNR_RES_WTR_NOPMP_MC-02"/>
    <x v="0"/>
    <x v="0"/>
  </r>
  <r>
    <x v="0"/>
    <x v="0"/>
    <x v="2"/>
    <x v="5"/>
    <s v="NO3_A1"/>
    <x v="20"/>
    <s v="GNR_RES_WTR_NOPMP_MC-02"/>
    <x v="0"/>
    <x v="0"/>
  </r>
  <r>
    <x v="0"/>
    <x v="0"/>
    <x v="2"/>
    <x v="8"/>
    <s v="NO4_A1"/>
    <x v="20"/>
    <s v="GNR_RES_WTR_NOPMP_MC-02"/>
    <x v="0"/>
    <x v="0"/>
  </r>
  <r>
    <x v="0"/>
    <x v="0"/>
    <x v="2"/>
    <x v="9"/>
    <s v="NO5_A1"/>
    <x v="20"/>
    <s v="GNR_RES_WTR_NOPMP_MC-02"/>
    <x v="0"/>
    <x v="0"/>
  </r>
  <r>
    <x v="0"/>
    <x v="0"/>
    <x v="1"/>
    <x v="1"/>
    <s v="SE1A"/>
    <x v="20"/>
    <s v="GNR_RES_WTR_NOPMP_MC-02"/>
    <x v="0"/>
    <x v="0"/>
  </r>
  <r>
    <x v="0"/>
    <x v="0"/>
    <x v="1"/>
    <x v="2"/>
    <s v="SE2A"/>
    <x v="20"/>
    <s v="GNR_RES_WTR_NOPMP_MC-02"/>
    <x v="0"/>
    <x v="0"/>
  </r>
  <r>
    <x v="0"/>
    <x v="0"/>
    <x v="1"/>
    <x v="3"/>
    <s v="SE3A"/>
    <x v="20"/>
    <s v="GNR_RES_WTR_NOPMP_MC-02"/>
    <x v="0"/>
    <x v="0"/>
  </r>
  <r>
    <x v="0"/>
    <x v="0"/>
    <x v="1"/>
    <x v="4"/>
    <s v="SE4A"/>
    <x v="20"/>
    <s v="GNR_RES_WTR_NOPMP_MC-02"/>
    <x v="0"/>
    <x v="0"/>
  </r>
  <r>
    <x v="0"/>
    <x v="1"/>
    <x v="0"/>
    <x v="0"/>
    <s v="FinA"/>
    <x v="20"/>
    <s v="GNR_RES_WTR_NOPMP_MC-02"/>
    <x v="0"/>
    <x v="0"/>
  </r>
  <r>
    <x v="0"/>
    <x v="1"/>
    <x v="2"/>
    <x v="6"/>
    <s v="NO1_A1"/>
    <x v="20"/>
    <s v="GNR_RES_WTR_NOPMP_MC-02"/>
    <x v="0"/>
    <x v="0"/>
  </r>
  <r>
    <x v="0"/>
    <x v="1"/>
    <x v="2"/>
    <x v="7"/>
    <s v="NO2_A1"/>
    <x v="20"/>
    <s v="GNR_RES_WTR_NOPMP_MC-02"/>
    <x v="0"/>
    <x v="0"/>
  </r>
  <r>
    <x v="0"/>
    <x v="1"/>
    <x v="2"/>
    <x v="5"/>
    <s v="NO3_A1"/>
    <x v="20"/>
    <s v="GNR_RES_WTR_NOPMP_MC-02"/>
    <x v="0"/>
    <x v="0"/>
  </r>
  <r>
    <x v="0"/>
    <x v="1"/>
    <x v="2"/>
    <x v="8"/>
    <s v="NO4_A1"/>
    <x v="20"/>
    <s v="GNR_RES_WTR_NOPMP_MC-02"/>
    <x v="0"/>
    <x v="0"/>
  </r>
  <r>
    <x v="0"/>
    <x v="1"/>
    <x v="2"/>
    <x v="9"/>
    <s v="NO5_A1"/>
    <x v="20"/>
    <s v="GNR_RES_WTR_NOPMP_MC-02"/>
    <x v="0"/>
    <x v="0"/>
  </r>
  <r>
    <x v="0"/>
    <x v="1"/>
    <x v="1"/>
    <x v="1"/>
    <s v="SE1A"/>
    <x v="20"/>
    <s v="GNR_RES_WTR_NOPMP_MC-02"/>
    <x v="0"/>
    <x v="0"/>
  </r>
  <r>
    <x v="0"/>
    <x v="1"/>
    <x v="1"/>
    <x v="2"/>
    <s v="SE2A"/>
    <x v="20"/>
    <s v="GNR_RES_WTR_NOPMP_MC-02"/>
    <x v="0"/>
    <x v="0"/>
  </r>
  <r>
    <x v="0"/>
    <x v="1"/>
    <x v="1"/>
    <x v="3"/>
    <s v="SE3A"/>
    <x v="20"/>
    <s v="GNR_RES_WTR_NOPMP_MC-02"/>
    <x v="0"/>
    <x v="0"/>
  </r>
  <r>
    <x v="0"/>
    <x v="1"/>
    <x v="1"/>
    <x v="4"/>
    <s v="SE4A"/>
    <x v="20"/>
    <s v="GNR_RES_WTR_NOPMP_MC-02"/>
    <x v="0"/>
    <x v="0"/>
  </r>
  <r>
    <x v="0"/>
    <x v="2"/>
    <x v="0"/>
    <x v="0"/>
    <s v="FinA"/>
    <x v="20"/>
    <s v="GNR_RES_WTR_NOPMP_MC-02"/>
    <x v="0"/>
    <x v="0"/>
  </r>
  <r>
    <x v="0"/>
    <x v="2"/>
    <x v="2"/>
    <x v="6"/>
    <s v="NO1_A1"/>
    <x v="20"/>
    <s v="GNR_RES_WTR_NOPMP_MC-02"/>
    <x v="0"/>
    <x v="0"/>
  </r>
  <r>
    <x v="0"/>
    <x v="2"/>
    <x v="2"/>
    <x v="7"/>
    <s v="NO2_A1"/>
    <x v="20"/>
    <s v="GNR_RES_WTR_NOPMP_MC-02"/>
    <x v="0"/>
    <x v="0"/>
  </r>
  <r>
    <x v="0"/>
    <x v="2"/>
    <x v="2"/>
    <x v="5"/>
    <s v="NO3_A1"/>
    <x v="20"/>
    <s v="GNR_RES_WTR_NOPMP_MC-02"/>
    <x v="0"/>
    <x v="0"/>
  </r>
  <r>
    <x v="0"/>
    <x v="2"/>
    <x v="2"/>
    <x v="8"/>
    <s v="NO4_A1"/>
    <x v="20"/>
    <s v="GNR_RES_WTR_NOPMP_MC-02"/>
    <x v="0"/>
    <x v="0"/>
  </r>
  <r>
    <x v="0"/>
    <x v="2"/>
    <x v="2"/>
    <x v="9"/>
    <s v="NO5_A1"/>
    <x v="20"/>
    <s v="GNR_RES_WTR_NOPMP_MC-02"/>
    <x v="0"/>
    <x v="0"/>
  </r>
  <r>
    <x v="0"/>
    <x v="2"/>
    <x v="1"/>
    <x v="1"/>
    <s v="SE1A"/>
    <x v="20"/>
    <s v="GNR_RES_WTR_NOPMP_MC-02"/>
    <x v="0"/>
    <x v="0"/>
  </r>
  <r>
    <x v="0"/>
    <x v="2"/>
    <x v="1"/>
    <x v="2"/>
    <s v="SE2A"/>
    <x v="20"/>
    <s v="GNR_RES_WTR_NOPMP_MC-02"/>
    <x v="0"/>
    <x v="0"/>
  </r>
  <r>
    <x v="0"/>
    <x v="2"/>
    <x v="1"/>
    <x v="3"/>
    <s v="SE3A"/>
    <x v="20"/>
    <s v="GNR_RES_WTR_NOPMP_MC-02"/>
    <x v="0"/>
    <x v="0"/>
  </r>
  <r>
    <x v="0"/>
    <x v="2"/>
    <x v="1"/>
    <x v="4"/>
    <s v="SE4A"/>
    <x v="20"/>
    <s v="GNR_RES_WTR_NOPMP_MC-02"/>
    <x v="0"/>
    <x v="0"/>
  </r>
  <r>
    <x v="0"/>
    <x v="0"/>
    <x v="0"/>
    <x v="0"/>
    <s v="FinA"/>
    <x v="20"/>
    <s v="GNR_RES_WTR_NOPMP_MC-03"/>
    <x v="0"/>
    <x v="0"/>
  </r>
  <r>
    <x v="0"/>
    <x v="0"/>
    <x v="2"/>
    <x v="6"/>
    <s v="NO1_A1"/>
    <x v="20"/>
    <s v="GNR_RES_WTR_NOPMP_MC-03"/>
    <x v="0"/>
    <x v="0"/>
  </r>
  <r>
    <x v="0"/>
    <x v="0"/>
    <x v="2"/>
    <x v="7"/>
    <s v="NO2_A1"/>
    <x v="20"/>
    <s v="GNR_RES_WTR_NOPMP_MC-03"/>
    <x v="0"/>
    <x v="0"/>
  </r>
  <r>
    <x v="0"/>
    <x v="0"/>
    <x v="2"/>
    <x v="5"/>
    <s v="NO3_A1"/>
    <x v="20"/>
    <s v="GNR_RES_WTR_NOPMP_MC-03"/>
    <x v="0"/>
    <x v="0"/>
  </r>
  <r>
    <x v="0"/>
    <x v="0"/>
    <x v="2"/>
    <x v="8"/>
    <s v="NO4_A1"/>
    <x v="20"/>
    <s v="GNR_RES_WTR_NOPMP_MC-03"/>
    <x v="0"/>
    <x v="0"/>
  </r>
  <r>
    <x v="0"/>
    <x v="0"/>
    <x v="2"/>
    <x v="9"/>
    <s v="NO5_A1"/>
    <x v="20"/>
    <s v="GNR_RES_WTR_NOPMP_MC-03"/>
    <x v="0"/>
    <x v="0"/>
  </r>
  <r>
    <x v="0"/>
    <x v="0"/>
    <x v="1"/>
    <x v="1"/>
    <s v="SE1A"/>
    <x v="20"/>
    <s v="GNR_RES_WTR_NOPMP_MC-03"/>
    <x v="0"/>
    <x v="0"/>
  </r>
  <r>
    <x v="0"/>
    <x v="0"/>
    <x v="1"/>
    <x v="2"/>
    <s v="SE2A"/>
    <x v="20"/>
    <s v="GNR_RES_WTR_NOPMP_MC-03"/>
    <x v="0"/>
    <x v="0"/>
  </r>
  <r>
    <x v="0"/>
    <x v="0"/>
    <x v="1"/>
    <x v="3"/>
    <s v="SE3A"/>
    <x v="20"/>
    <s v="GNR_RES_WTR_NOPMP_MC-03"/>
    <x v="0"/>
    <x v="0"/>
  </r>
  <r>
    <x v="0"/>
    <x v="0"/>
    <x v="1"/>
    <x v="4"/>
    <s v="SE4A"/>
    <x v="20"/>
    <s v="GNR_RES_WTR_NOPMP_MC-03"/>
    <x v="0"/>
    <x v="0"/>
  </r>
  <r>
    <x v="0"/>
    <x v="1"/>
    <x v="0"/>
    <x v="0"/>
    <s v="FinA"/>
    <x v="20"/>
    <s v="GNR_RES_WTR_NOPMP_MC-03"/>
    <x v="0"/>
    <x v="0"/>
  </r>
  <r>
    <x v="0"/>
    <x v="1"/>
    <x v="2"/>
    <x v="6"/>
    <s v="NO1_A1"/>
    <x v="20"/>
    <s v="GNR_RES_WTR_NOPMP_MC-03"/>
    <x v="0"/>
    <x v="0"/>
  </r>
  <r>
    <x v="0"/>
    <x v="1"/>
    <x v="2"/>
    <x v="7"/>
    <s v="NO2_A1"/>
    <x v="20"/>
    <s v="GNR_RES_WTR_NOPMP_MC-03"/>
    <x v="0"/>
    <x v="0"/>
  </r>
  <r>
    <x v="0"/>
    <x v="1"/>
    <x v="2"/>
    <x v="5"/>
    <s v="NO3_A1"/>
    <x v="20"/>
    <s v="GNR_RES_WTR_NOPMP_MC-03"/>
    <x v="0"/>
    <x v="0"/>
  </r>
  <r>
    <x v="0"/>
    <x v="1"/>
    <x v="2"/>
    <x v="8"/>
    <s v="NO4_A1"/>
    <x v="20"/>
    <s v="GNR_RES_WTR_NOPMP_MC-03"/>
    <x v="0"/>
    <x v="0"/>
  </r>
  <r>
    <x v="0"/>
    <x v="1"/>
    <x v="2"/>
    <x v="9"/>
    <s v="NO5_A1"/>
    <x v="20"/>
    <s v="GNR_RES_WTR_NOPMP_MC-03"/>
    <x v="0"/>
    <x v="0"/>
  </r>
  <r>
    <x v="0"/>
    <x v="1"/>
    <x v="1"/>
    <x v="1"/>
    <s v="SE1A"/>
    <x v="20"/>
    <s v="GNR_RES_WTR_NOPMP_MC-03"/>
    <x v="0"/>
    <x v="0"/>
  </r>
  <r>
    <x v="0"/>
    <x v="1"/>
    <x v="1"/>
    <x v="2"/>
    <s v="SE2A"/>
    <x v="20"/>
    <s v="GNR_RES_WTR_NOPMP_MC-03"/>
    <x v="0"/>
    <x v="0"/>
  </r>
  <r>
    <x v="0"/>
    <x v="1"/>
    <x v="1"/>
    <x v="3"/>
    <s v="SE3A"/>
    <x v="20"/>
    <s v="GNR_RES_WTR_NOPMP_MC-03"/>
    <x v="0"/>
    <x v="0"/>
  </r>
  <r>
    <x v="0"/>
    <x v="1"/>
    <x v="1"/>
    <x v="4"/>
    <s v="SE4A"/>
    <x v="20"/>
    <s v="GNR_RES_WTR_NOPMP_MC-03"/>
    <x v="0"/>
    <x v="0"/>
  </r>
  <r>
    <x v="0"/>
    <x v="2"/>
    <x v="0"/>
    <x v="0"/>
    <s v="FinA"/>
    <x v="20"/>
    <s v="GNR_RES_WTR_NOPMP_MC-03"/>
    <x v="0"/>
    <x v="0"/>
  </r>
  <r>
    <x v="0"/>
    <x v="2"/>
    <x v="2"/>
    <x v="6"/>
    <s v="NO1_A1"/>
    <x v="20"/>
    <s v="GNR_RES_WTR_NOPMP_MC-03"/>
    <x v="0"/>
    <x v="0"/>
  </r>
  <r>
    <x v="0"/>
    <x v="2"/>
    <x v="2"/>
    <x v="7"/>
    <s v="NO2_A1"/>
    <x v="20"/>
    <s v="GNR_RES_WTR_NOPMP_MC-03"/>
    <x v="0"/>
    <x v="0"/>
  </r>
  <r>
    <x v="0"/>
    <x v="2"/>
    <x v="2"/>
    <x v="5"/>
    <s v="NO3_A1"/>
    <x v="20"/>
    <s v="GNR_RES_WTR_NOPMP_MC-03"/>
    <x v="0"/>
    <x v="0"/>
  </r>
  <r>
    <x v="0"/>
    <x v="2"/>
    <x v="2"/>
    <x v="8"/>
    <s v="NO4_A1"/>
    <x v="20"/>
    <s v="GNR_RES_WTR_NOPMP_MC-03"/>
    <x v="0"/>
    <x v="0"/>
  </r>
  <r>
    <x v="0"/>
    <x v="2"/>
    <x v="2"/>
    <x v="9"/>
    <s v="NO5_A1"/>
    <x v="20"/>
    <s v="GNR_RES_WTR_NOPMP_MC-03"/>
    <x v="0"/>
    <x v="0"/>
  </r>
  <r>
    <x v="0"/>
    <x v="2"/>
    <x v="1"/>
    <x v="1"/>
    <s v="SE1A"/>
    <x v="20"/>
    <s v="GNR_RES_WTR_NOPMP_MC-03"/>
    <x v="0"/>
    <x v="0"/>
  </r>
  <r>
    <x v="0"/>
    <x v="2"/>
    <x v="1"/>
    <x v="2"/>
    <s v="SE2A"/>
    <x v="20"/>
    <s v="GNR_RES_WTR_NOPMP_MC-03"/>
    <x v="0"/>
    <x v="0"/>
  </r>
  <r>
    <x v="0"/>
    <x v="2"/>
    <x v="1"/>
    <x v="3"/>
    <s v="SE3A"/>
    <x v="20"/>
    <s v="GNR_RES_WTR_NOPMP_MC-03"/>
    <x v="0"/>
    <x v="0"/>
  </r>
  <r>
    <x v="0"/>
    <x v="2"/>
    <x v="1"/>
    <x v="4"/>
    <s v="SE4A"/>
    <x v="20"/>
    <s v="GNR_RES_WTR_NOPMP_MC-03"/>
    <x v="0"/>
    <x v="0"/>
  </r>
  <r>
    <x v="0"/>
    <x v="0"/>
    <x v="0"/>
    <x v="0"/>
    <s v="FinA"/>
    <x v="20"/>
    <s v="GNR_RES_WTR_NOPMP_MC-04"/>
    <x v="0"/>
    <x v="0"/>
  </r>
  <r>
    <x v="0"/>
    <x v="0"/>
    <x v="2"/>
    <x v="6"/>
    <s v="NO1_A1"/>
    <x v="20"/>
    <s v="GNR_RES_WTR_NOPMP_MC-04"/>
    <x v="0"/>
    <x v="0"/>
  </r>
  <r>
    <x v="0"/>
    <x v="0"/>
    <x v="2"/>
    <x v="7"/>
    <s v="NO2_A1"/>
    <x v="20"/>
    <s v="GNR_RES_WTR_NOPMP_MC-04"/>
    <x v="0"/>
    <x v="0"/>
  </r>
  <r>
    <x v="0"/>
    <x v="0"/>
    <x v="2"/>
    <x v="5"/>
    <s v="NO3_A1"/>
    <x v="20"/>
    <s v="GNR_RES_WTR_NOPMP_MC-04"/>
    <x v="0"/>
    <x v="0"/>
  </r>
  <r>
    <x v="0"/>
    <x v="0"/>
    <x v="2"/>
    <x v="8"/>
    <s v="NO4_A1"/>
    <x v="20"/>
    <s v="GNR_RES_WTR_NOPMP_MC-04"/>
    <x v="0"/>
    <x v="0"/>
  </r>
  <r>
    <x v="0"/>
    <x v="0"/>
    <x v="2"/>
    <x v="9"/>
    <s v="NO5_A1"/>
    <x v="20"/>
    <s v="GNR_RES_WTR_NOPMP_MC-04"/>
    <x v="0"/>
    <x v="0"/>
  </r>
  <r>
    <x v="0"/>
    <x v="0"/>
    <x v="1"/>
    <x v="1"/>
    <s v="SE1A"/>
    <x v="20"/>
    <s v="GNR_RES_WTR_NOPMP_MC-04"/>
    <x v="0"/>
    <x v="0"/>
  </r>
  <r>
    <x v="0"/>
    <x v="0"/>
    <x v="1"/>
    <x v="2"/>
    <s v="SE2A"/>
    <x v="20"/>
    <s v="GNR_RES_WTR_NOPMP_MC-04"/>
    <x v="0"/>
    <x v="0"/>
  </r>
  <r>
    <x v="0"/>
    <x v="0"/>
    <x v="1"/>
    <x v="3"/>
    <s v="SE3A"/>
    <x v="20"/>
    <s v="GNR_RES_WTR_NOPMP_MC-04"/>
    <x v="0"/>
    <x v="0"/>
  </r>
  <r>
    <x v="0"/>
    <x v="0"/>
    <x v="1"/>
    <x v="4"/>
    <s v="SE4A"/>
    <x v="20"/>
    <s v="GNR_RES_WTR_NOPMP_MC-04"/>
    <x v="0"/>
    <x v="0"/>
  </r>
  <r>
    <x v="0"/>
    <x v="1"/>
    <x v="0"/>
    <x v="0"/>
    <s v="FinA"/>
    <x v="20"/>
    <s v="GNR_RES_WTR_NOPMP_MC-04"/>
    <x v="0"/>
    <x v="0"/>
  </r>
  <r>
    <x v="0"/>
    <x v="1"/>
    <x v="2"/>
    <x v="6"/>
    <s v="NO1_A1"/>
    <x v="20"/>
    <s v="GNR_RES_WTR_NOPMP_MC-04"/>
    <x v="0"/>
    <x v="0"/>
  </r>
  <r>
    <x v="0"/>
    <x v="1"/>
    <x v="2"/>
    <x v="7"/>
    <s v="NO2_A1"/>
    <x v="20"/>
    <s v="GNR_RES_WTR_NOPMP_MC-04"/>
    <x v="0"/>
    <x v="0"/>
  </r>
  <r>
    <x v="0"/>
    <x v="1"/>
    <x v="2"/>
    <x v="5"/>
    <s v="NO3_A1"/>
    <x v="20"/>
    <s v="GNR_RES_WTR_NOPMP_MC-04"/>
    <x v="0"/>
    <x v="0"/>
  </r>
  <r>
    <x v="0"/>
    <x v="1"/>
    <x v="2"/>
    <x v="8"/>
    <s v="NO4_A1"/>
    <x v="20"/>
    <s v="GNR_RES_WTR_NOPMP_MC-04"/>
    <x v="0"/>
    <x v="0"/>
  </r>
  <r>
    <x v="0"/>
    <x v="1"/>
    <x v="2"/>
    <x v="9"/>
    <s v="NO5_A1"/>
    <x v="20"/>
    <s v="GNR_RES_WTR_NOPMP_MC-04"/>
    <x v="0"/>
    <x v="0"/>
  </r>
  <r>
    <x v="0"/>
    <x v="1"/>
    <x v="1"/>
    <x v="1"/>
    <s v="SE1A"/>
    <x v="20"/>
    <s v="GNR_RES_WTR_NOPMP_MC-04"/>
    <x v="0"/>
    <x v="0"/>
  </r>
  <r>
    <x v="0"/>
    <x v="1"/>
    <x v="1"/>
    <x v="2"/>
    <s v="SE2A"/>
    <x v="20"/>
    <s v="GNR_RES_WTR_NOPMP_MC-04"/>
    <x v="0"/>
    <x v="0"/>
  </r>
  <r>
    <x v="0"/>
    <x v="1"/>
    <x v="1"/>
    <x v="3"/>
    <s v="SE3A"/>
    <x v="20"/>
    <s v="GNR_RES_WTR_NOPMP_MC-04"/>
    <x v="0"/>
    <x v="0"/>
  </r>
  <r>
    <x v="0"/>
    <x v="1"/>
    <x v="1"/>
    <x v="4"/>
    <s v="SE4A"/>
    <x v="20"/>
    <s v="GNR_RES_WTR_NOPMP_MC-04"/>
    <x v="0"/>
    <x v="0"/>
  </r>
  <r>
    <x v="0"/>
    <x v="2"/>
    <x v="0"/>
    <x v="0"/>
    <s v="FinA"/>
    <x v="20"/>
    <s v="GNR_RES_WTR_NOPMP_MC-04"/>
    <x v="0"/>
    <x v="0"/>
  </r>
  <r>
    <x v="0"/>
    <x v="2"/>
    <x v="2"/>
    <x v="6"/>
    <s v="NO1_A1"/>
    <x v="20"/>
    <s v="GNR_RES_WTR_NOPMP_MC-04"/>
    <x v="0"/>
    <x v="0"/>
  </r>
  <r>
    <x v="0"/>
    <x v="2"/>
    <x v="2"/>
    <x v="7"/>
    <s v="NO2_A1"/>
    <x v="20"/>
    <s v="GNR_RES_WTR_NOPMP_MC-04"/>
    <x v="0"/>
    <x v="0"/>
  </r>
  <r>
    <x v="0"/>
    <x v="2"/>
    <x v="2"/>
    <x v="5"/>
    <s v="NO3_A1"/>
    <x v="20"/>
    <s v="GNR_RES_WTR_NOPMP_MC-04"/>
    <x v="0"/>
    <x v="0"/>
  </r>
  <r>
    <x v="0"/>
    <x v="2"/>
    <x v="2"/>
    <x v="8"/>
    <s v="NO4_A1"/>
    <x v="20"/>
    <s v="GNR_RES_WTR_NOPMP_MC-04"/>
    <x v="0"/>
    <x v="0"/>
  </r>
  <r>
    <x v="0"/>
    <x v="2"/>
    <x v="2"/>
    <x v="9"/>
    <s v="NO5_A1"/>
    <x v="20"/>
    <s v="GNR_RES_WTR_NOPMP_MC-04"/>
    <x v="0"/>
    <x v="0"/>
  </r>
  <r>
    <x v="0"/>
    <x v="2"/>
    <x v="1"/>
    <x v="1"/>
    <s v="SE1A"/>
    <x v="20"/>
    <s v="GNR_RES_WTR_NOPMP_MC-04"/>
    <x v="0"/>
    <x v="0"/>
  </r>
  <r>
    <x v="0"/>
    <x v="2"/>
    <x v="1"/>
    <x v="2"/>
    <s v="SE2A"/>
    <x v="20"/>
    <s v="GNR_RES_WTR_NOPMP_MC-04"/>
    <x v="0"/>
    <x v="0"/>
  </r>
  <r>
    <x v="0"/>
    <x v="2"/>
    <x v="1"/>
    <x v="3"/>
    <s v="SE3A"/>
    <x v="20"/>
    <s v="GNR_RES_WTR_NOPMP_MC-04"/>
    <x v="0"/>
    <x v="0"/>
  </r>
  <r>
    <x v="0"/>
    <x v="2"/>
    <x v="1"/>
    <x v="4"/>
    <s v="SE4A"/>
    <x v="20"/>
    <s v="GNR_RES_WTR_NOPMP_MC-04"/>
    <x v="0"/>
    <x v="0"/>
  </r>
  <r>
    <x v="0"/>
    <x v="0"/>
    <x v="0"/>
    <x v="0"/>
    <s v="FinA"/>
    <x v="20"/>
    <s v="GNR_RES_WTR_NOPMP_MC-05"/>
    <x v="0"/>
    <x v="0"/>
  </r>
  <r>
    <x v="0"/>
    <x v="0"/>
    <x v="2"/>
    <x v="6"/>
    <s v="NO1_A1"/>
    <x v="20"/>
    <s v="GNR_RES_WTR_NOPMP_MC-05"/>
    <x v="0"/>
    <x v="0"/>
  </r>
  <r>
    <x v="0"/>
    <x v="0"/>
    <x v="2"/>
    <x v="7"/>
    <s v="NO2_A1"/>
    <x v="20"/>
    <s v="GNR_RES_WTR_NOPMP_MC-05"/>
    <x v="0"/>
    <x v="0"/>
  </r>
  <r>
    <x v="0"/>
    <x v="0"/>
    <x v="2"/>
    <x v="5"/>
    <s v="NO3_A1"/>
    <x v="20"/>
    <s v="GNR_RES_WTR_NOPMP_MC-05"/>
    <x v="0"/>
    <x v="0"/>
  </r>
  <r>
    <x v="0"/>
    <x v="0"/>
    <x v="2"/>
    <x v="8"/>
    <s v="NO4_A1"/>
    <x v="20"/>
    <s v="GNR_RES_WTR_NOPMP_MC-05"/>
    <x v="0"/>
    <x v="0"/>
  </r>
  <r>
    <x v="0"/>
    <x v="0"/>
    <x v="2"/>
    <x v="9"/>
    <s v="NO5_A1"/>
    <x v="20"/>
    <s v="GNR_RES_WTR_NOPMP_MC-05"/>
    <x v="0"/>
    <x v="0"/>
  </r>
  <r>
    <x v="0"/>
    <x v="0"/>
    <x v="1"/>
    <x v="1"/>
    <s v="SE1A"/>
    <x v="20"/>
    <s v="GNR_RES_WTR_NOPMP_MC-05"/>
    <x v="0"/>
    <x v="0"/>
  </r>
  <r>
    <x v="0"/>
    <x v="0"/>
    <x v="1"/>
    <x v="2"/>
    <s v="SE2A"/>
    <x v="20"/>
    <s v="GNR_RES_WTR_NOPMP_MC-05"/>
    <x v="0"/>
    <x v="0"/>
  </r>
  <r>
    <x v="0"/>
    <x v="0"/>
    <x v="1"/>
    <x v="3"/>
    <s v="SE3A"/>
    <x v="20"/>
    <s v="GNR_RES_WTR_NOPMP_MC-05"/>
    <x v="0"/>
    <x v="0"/>
  </r>
  <r>
    <x v="0"/>
    <x v="0"/>
    <x v="1"/>
    <x v="4"/>
    <s v="SE4A"/>
    <x v="20"/>
    <s v="GNR_RES_WTR_NOPMP_MC-05"/>
    <x v="0"/>
    <x v="0"/>
  </r>
  <r>
    <x v="0"/>
    <x v="1"/>
    <x v="0"/>
    <x v="0"/>
    <s v="FinA"/>
    <x v="20"/>
    <s v="GNR_RES_WTR_NOPMP_MC-05"/>
    <x v="0"/>
    <x v="0"/>
  </r>
  <r>
    <x v="0"/>
    <x v="1"/>
    <x v="2"/>
    <x v="6"/>
    <s v="NO1_A1"/>
    <x v="20"/>
    <s v="GNR_RES_WTR_NOPMP_MC-05"/>
    <x v="0"/>
    <x v="0"/>
  </r>
  <r>
    <x v="0"/>
    <x v="1"/>
    <x v="2"/>
    <x v="7"/>
    <s v="NO2_A1"/>
    <x v="20"/>
    <s v="GNR_RES_WTR_NOPMP_MC-05"/>
    <x v="0"/>
    <x v="0"/>
  </r>
  <r>
    <x v="0"/>
    <x v="1"/>
    <x v="2"/>
    <x v="5"/>
    <s v="NO3_A1"/>
    <x v="20"/>
    <s v="GNR_RES_WTR_NOPMP_MC-05"/>
    <x v="0"/>
    <x v="0"/>
  </r>
  <r>
    <x v="0"/>
    <x v="1"/>
    <x v="2"/>
    <x v="8"/>
    <s v="NO4_A1"/>
    <x v="20"/>
    <s v="GNR_RES_WTR_NOPMP_MC-05"/>
    <x v="0"/>
    <x v="0"/>
  </r>
  <r>
    <x v="0"/>
    <x v="1"/>
    <x v="2"/>
    <x v="9"/>
    <s v="NO5_A1"/>
    <x v="20"/>
    <s v="GNR_RES_WTR_NOPMP_MC-05"/>
    <x v="0"/>
    <x v="0"/>
  </r>
  <r>
    <x v="0"/>
    <x v="1"/>
    <x v="1"/>
    <x v="1"/>
    <s v="SE1A"/>
    <x v="20"/>
    <s v="GNR_RES_WTR_NOPMP_MC-05"/>
    <x v="0"/>
    <x v="0"/>
  </r>
  <r>
    <x v="0"/>
    <x v="1"/>
    <x v="1"/>
    <x v="2"/>
    <s v="SE2A"/>
    <x v="20"/>
    <s v="GNR_RES_WTR_NOPMP_MC-05"/>
    <x v="0"/>
    <x v="0"/>
  </r>
  <r>
    <x v="0"/>
    <x v="1"/>
    <x v="1"/>
    <x v="3"/>
    <s v="SE3A"/>
    <x v="20"/>
    <s v="GNR_RES_WTR_NOPMP_MC-05"/>
    <x v="0"/>
    <x v="0"/>
  </r>
  <r>
    <x v="0"/>
    <x v="1"/>
    <x v="1"/>
    <x v="4"/>
    <s v="SE4A"/>
    <x v="20"/>
    <s v="GNR_RES_WTR_NOPMP_MC-05"/>
    <x v="0"/>
    <x v="0"/>
  </r>
  <r>
    <x v="0"/>
    <x v="2"/>
    <x v="0"/>
    <x v="0"/>
    <s v="FinA"/>
    <x v="20"/>
    <s v="GNR_RES_WTR_NOPMP_MC-05"/>
    <x v="0"/>
    <x v="0"/>
  </r>
  <r>
    <x v="0"/>
    <x v="2"/>
    <x v="2"/>
    <x v="6"/>
    <s v="NO1_A1"/>
    <x v="20"/>
    <s v="GNR_RES_WTR_NOPMP_MC-05"/>
    <x v="0"/>
    <x v="0"/>
  </r>
  <r>
    <x v="0"/>
    <x v="2"/>
    <x v="2"/>
    <x v="7"/>
    <s v="NO2_A1"/>
    <x v="20"/>
    <s v="GNR_RES_WTR_NOPMP_MC-05"/>
    <x v="0"/>
    <x v="0"/>
  </r>
  <r>
    <x v="0"/>
    <x v="2"/>
    <x v="2"/>
    <x v="5"/>
    <s v="NO3_A1"/>
    <x v="20"/>
    <s v="GNR_RES_WTR_NOPMP_MC-05"/>
    <x v="0"/>
    <x v="0"/>
  </r>
  <r>
    <x v="0"/>
    <x v="2"/>
    <x v="2"/>
    <x v="8"/>
    <s v="NO4_A1"/>
    <x v="20"/>
    <s v="GNR_RES_WTR_NOPMP_MC-05"/>
    <x v="0"/>
    <x v="0"/>
  </r>
  <r>
    <x v="0"/>
    <x v="2"/>
    <x v="2"/>
    <x v="9"/>
    <s v="NO5_A1"/>
    <x v="20"/>
    <s v="GNR_RES_WTR_NOPMP_MC-05"/>
    <x v="0"/>
    <x v="0"/>
  </r>
  <r>
    <x v="0"/>
    <x v="2"/>
    <x v="1"/>
    <x v="1"/>
    <s v="SE1A"/>
    <x v="20"/>
    <s v="GNR_RES_WTR_NOPMP_MC-05"/>
    <x v="0"/>
    <x v="0"/>
  </r>
  <r>
    <x v="0"/>
    <x v="2"/>
    <x v="1"/>
    <x v="2"/>
    <s v="SE2A"/>
    <x v="20"/>
    <s v="GNR_RES_WTR_NOPMP_MC-05"/>
    <x v="0"/>
    <x v="0"/>
  </r>
  <r>
    <x v="0"/>
    <x v="2"/>
    <x v="1"/>
    <x v="3"/>
    <s v="SE3A"/>
    <x v="20"/>
    <s v="GNR_RES_WTR_NOPMP_MC-05"/>
    <x v="0"/>
    <x v="0"/>
  </r>
  <r>
    <x v="0"/>
    <x v="2"/>
    <x v="1"/>
    <x v="4"/>
    <s v="SE4A"/>
    <x v="20"/>
    <s v="GNR_RES_WTR_NOPMP_MC-05"/>
    <x v="0"/>
    <x v="0"/>
  </r>
  <r>
    <x v="0"/>
    <x v="0"/>
    <x v="0"/>
    <x v="0"/>
    <s v="FinA"/>
    <x v="20"/>
    <s v="GNR_RES_WTR_NOPMP_MC-06"/>
    <x v="0"/>
    <x v="0"/>
  </r>
  <r>
    <x v="0"/>
    <x v="0"/>
    <x v="2"/>
    <x v="6"/>
    <s v="NO1_A1"/>
    <x v="20"/>
    <s v="GNR_RES_WTR_NOPMP_MC-06"/>
    <x v="0"/>
    <x v="0"/>
  </r>
  <r>
    <x v="0"/>
    <x v="0"/>
    <x v="2"/>
    <x v="7"/>
    <s v="NO2_A1"/>
    <x v="20"/>
    <s v="GNR_RES_WTR_NOPMP_MC-06"/>
    <x v="0"/>
    <x v="0"/>
  </r>
  <r>
    <x v="0"/>
    <x v="0"/>
    <x v="2"/>
    <x v="5"/>
    <s v="NO3_A1"/>
    <x v="20"/>
    <s v="GNR_RES_WTR_NOPMP_MC-06"/>
    <x v="0"/>
    <x v="0"/>
  </r>
  <r>
    <x v="0"/>
    <x v="0"/>
    <x v="2"/>
    <x v="8"/>
    <s v="NO4_A1"/>
    <x v="20"/>
    <s v="GNR_RES_WTR_NOPMP_MC-06"/>
    <x v="0"/>
    <x v="0"/>
  </r>
  <r>
    <x v="0"/>
    <x v="0"/>
    <x v="2"/>
    <x v="9"/>
    <s v="NO5_A1"/>
    <x v="20"/>
    <s v="GNR_RES_WTR_NOPMP_MC-06"/>
    <x v="0"/>
    <x v="0"/>
  </r>
  <r>
    <x v="0"/>
    <x v="0"/>
    <x v="1"/>
    <x v="1"/>
    <s v="SE1A"/>
    <x v="20"/>
    <s v="GNR_RES_WTR_NOPMP_MC-06"/>
    <x v="0"/>
    <x v="0"/>
  </r>
  <r>
    <x v="0"/>
    <x v="0"/>
    <x v="1"/>
    <x v="2"/>
    <s v="SE2A"/>
    <x v="20"/>
    <s v="GNR_RES_WTR_NOPMP_MC-06"/>
    <x v="0"/>
    <x v="0"/>
  </r>
  <r>
    <x v="0"/>
    <x v="0"/>
    <x v="1"/>
    <x v="3"/>
    <s v="SE3A"/>
    <x v="20"/>
    <s v="GNR_RES_WTR_NOPMP_MC-06"/>
    <x v="0"/>
    <x v="0"/>
  </r>
  <r>
    <x v="0"/>
    <x v="0"/>
    <x v="1"/>
    <x v="4"/>
    <s v="SE4A"/>
    <x v="20"/>
    <s v="GNR_RES_WTR_NOPMP_MC-06"/>
    <x v="0"/>
    <x v="0"/>
  </r>
  <r>
    <x v="0"/>
    <x v="1"/>
    <x v="0"/>
    <x v="0"/>
    <s v="FinA"/>
    <x v="20"/>
    <s v="GNR_RES_WTR_NOPMP_MC-06"/>
    <x v="0"/>
    <x v="0"/>
  </r>
  <r>
    <x v="0"/>
    <x v="1"/>
    <x v="2"/>
    <x v="6"/>
    <s v="NO1_A1"/>
    <x v="20"/>
    <s v="GNR_RES_WTR_NOPMP_MC-06"/>
    <x v="0"/>
    <x v="0"/>
  </r>
  <r>
    <x v="0"/>
    <x v="1"/>
    <x v="2"/>
    <x v="7"/>
    <s v="NO2_A1"/>
    <x v="20"/>
    <s v="GNR_RES_WTR_NOPMP_MC-06"/>
    <x v="0"/>
    <x v="0"/>
  </r>
  <r>
    <x v="0"/>
    <x v="1"/>
    <x v="2"/>
    <x v="5"/>
    <s v="NO3_A1"/>
    <x v="20"/>
    <s v="GNR_RES_WTR_NOPMP_MC-06"/>
    <x v="0"/>
    <x v="0"/>
  </r>
  <r>
    <x v="0"/>
    <x v="1"/>
    <x v="2"/>
    <x v="8"/>
    <s v="NO4_A1"/>
    <x v="20"/>
    <s v="GNR_RES_WTR_NOPMP_MC-06"/>
    <x v="0"/>
    <x v="0"/>
  </r>
  <r>
    <x v="0"/>
    <x v="1"/>
    <x v="2"/>
    <x v="9"/>
    <s v="NO5_A1"/>
    <x v="20"/>
    <s v="GNR_RES_WTR_NOPMP_MC-06"/>
    <x v="0"/>
    <x v="0"/>
  </r>
  <r>
    <x v="0"/>
    <x v="1"/>
    <x v="1"/>
    <x v="1"/>
    <s v="SE1A"/>
    <x v="20"/>
    <s v="GNR_RES_WTR_NOPMP_MC-06"/>
    <x v="0"/>
    <x v="0"/>
  </r>
  <r>
    <x v="0"/>
    <x v="1"/>
    <x v="1"/>
    <x v="2"/>
    <s v="SE2A"/>
    <x v="20"/>
    <s v="GNR_RES_WTR_NOPMP_MC-06"/>
    <x v="0"/>
    <x v="0"/>
  </r>
  <r>
    <x v="0"/>
    <x v="1"/>
    <x v="1"/>
    <x v="3"/>
    <s v="SE3A"/>
    <x v="20"/>
    <s v="GNR_RES_WTR_NOPMP_MC-06"/>
    <x v="0"/>
    <x v="0"/>
  </r>
  <r>
    <x v="0"/>
    <x v="1"/>
    <x v="1"/>
    <x v="4"/>
    <s v="SE4A"/>
    <x v="20"/>
    <s v="GNR_RES_WTR_NOPMP_MC-06"/>
    <x v="0"/>
    <x v="0"/>
  </r>
  <r>
    <x v="0"/>
    <x v="2"/>
    <x v="0"/>
    <x v="0"/>
    <s v="FinA"/>
    <x v="20"/>
    <s v="GNR_RES_WTR_NOPMP_MC-06"/>
    <x v="0"/>
    <x v="0"/>
  </r>
  <r>
    <x v="0"/>
    <x v="2"/>
    <x v="2"/>
    <x v="6"/>
    <s v="NO1_A1"/>
    <x v="20"/>
    <s v="GNR_RES_WTR_NOPMP_MC-06"/>
    <x v="0"/>
    <x v="0"/>
  </r>
  <r>
    <x v="0"/>
    <x v="2"/>
    <x v="2"/>
    <x v="7"/>
    <s v="NO2_A1"/>
    <x v="20"/>
    <s v="GNR_RES_WTR_NOPMP_MC-06"/>
    <x v="0"/>
    <x v="0"/>
  </r>
  <r>
    <x v="0"/>
    <x v="2"/>
    <x v="2"/>
    <x v="5"/>
    <s v="NO3_A1"/>
    <x v="20"/>
    <s v="GNR_RES_WTR_NOPMP_MC-06"/>
    <x v="0"/>
    <x v="0"/>
  </r>
  <r>
    <x v="0"/>
    <x v="2"/>
    <x v="2"/>
    <x v="8"/>
    <s v="NO4_A1"/>
    <x v="20"/>
    <s v="GNR_RES_WTR_NOPMP_MC-06"/>
    <x v="0"/>
    <x v="0"/>
  </r>
  <r>
    <x v="0"/>
    <x v="2"/>
    <x v="2"/>
    <x v="9"/>
    <s v="NO5_A1"/>
    <x v="20"/>
    <s v="GNR_RES_WTR_NOPMP_MC-06"/>
    <x v="0"/>
    <x v="0"/>
  </r>
  <r>
    <x v="0"/>
    <x v="2"/>
    <x v="1"/>
    <x v="1"/>
    <s v="SE1A"/>
    <x v="20"/>
    <s v="GNR_RES_WTR_NOPMP_MC-06"/>
    <x v="0"/>
    <x v="0"/>
  </r>
  <r>
    <x v="0"/>
    <x v="2"/>
    <x v="1"/>
    <x v="2"/>
    <s v="SE2A"/>
    <x v="20"/>
    <s v="GNR_RES_WTR_NOPMP_MC-06"/>
    <x v="0"/>
    <x v="0"/>
  </r>
  <r>
    <x v="0"/>
    <x v="2"/>
    <x v="1"/>
    <x v="3"/>
    <s v="SE3A"/>
    <x v="20"/>
    <s v="GNR_RES_WTR_NOPMP_MC-06"/>
    <x v="0"/>
    <x v="0"/>
  </r>
  <r>
    <x v="0"/>
    <x v="2"/>
    <x v="1"/>
    <x v="4"/>
    <s v="SE4A"/>
    <x v="20"/>
    <s v="GNR_RES_WTR_NOPMP_MC-06"/>
    <x v="0"/>
    <x v="0"/>
  </r>
  <r>
    <x v="0"/>
    <x v="0"/>
    <x v="0"/>
    <x v="0"/>
    <s v="FinA"/>
    <x v="20"/>
    <s v="GNR_RES_WTR_NOPMP_MC-07"/>
    <x v="0"/>
    <x v="0"/>
  </r>
  <r>
    <x v="0"/>
    <x v="0"/>
    <x v="2"/>
    <x v="6"/>
    <s v="NO1_A1"/>
    <x v="20"/>
    <s v="GNR_RES_WTR_NOPMP_MC-07"/>
    <x v="0"/>
    <x v="0"/>
  </r>
  <r>
    <x v="0"/>
    <x v="0"/>
    <x v="2"/>
    <x v="7"/>
    <s v="NO2_A1"/>
    <x v="20"/>
    <s v="GNR_RES_WTR_NOPMP_MC-07"/>
    <x v="0"/>
    <x v="0"/>
  </r>
  <r>
    <x v="0"/>
    <x v="0"/>
    <x v="2"/>
    <x v="5"/>
    <s v="NO3_A1"/>
    <x v="20"/>
    <s v="GNR_RES_WTR_NOPMP_MC-07"/>
    <x v="0"/>
    <x v="0"/>
  </r>
  <r>
    <x v="0"/>
    <x v="0"/>
    <x v="2"/>
    <x v="8"/>
    <s v="NO4_A1"/>
    <x v="20"/>
    <s v="GNR_RES_WTR_NOPMP_MC-07"/>
    <x v="0"/>
    <x v="0"/>
  </r>
  <r>
    <x v="0"/>
    <x v="0"/>
    <x v="2"/>
    <x v="9"/>
    <s v="NO5_A1"/>
    <x v="20"/>
    <s v="GNR_RES_WTR_NOPMP_MC-07"/>
    <x v="0"/>
    <x v="0"/>
  </r>
  <r>
    <x v="0"/>
    <x v="0"/>
    <x v="1"/>
    <x v="1"/>
    <s v="SE1A"/>
    <x v="20"/>
    <s v="GNR_RES_WTR_NOPMP_MC-07"/>
    <x v="0"/>
    <x v="0"/>
  </r>
  <r>
    <x v="0"/>
    <x v="0"/>
    <x v="1"/>
    <x v="2"/>
    <s v="SE2A"/>
    <x v="20"/>
    <s v="GNR_RES_WTR_NOPMP_MC-07"/>
    <x v="0"/>
    <x v="0"/>
  </r>
  <r>
    <x v="0"/>
    <x v="0"/>
    <x v="1"/>
    <x v="3"/>
    <s v="SE3A"/>
    <x v="20"/>
    <s v="GNR_RES_WTR_NOPMP_MC-07"/>
    <x v="0"/>
    <x v="0"/>
  </r>
  <r>
    <x v="0"/>
    <x v="0"/>
    <x v="1"/>
    <x v="4"/>
    <s v="SE4A"/>
    <x v="20"/>
    <s v="GNR_RES_WTR_NOPMP_MC-07"/>
    <x v="0"/>
    <x v="0"/>
  </r>
  <r>
    <x v="0"/>
    <x v="1"/>
    <x v="0"/>
    <x v="0"/>
    <s v="FinA"/>
    <x v="20"/>
    <s v="GNR_RES_WTR_NOPMP_MC-07"/>
    <x v="0"/>
    <x v="0"/>
  </r>
  <r>
    <x v="0"/>
    <x v="1"/>
    <x v="2"/>
    <x v="6"/>
    <s v="NO1_A1"/>
    <x v="20"/>
    <s v="GNR_RES_WTR_NOPMP_MC-07"/>
    <x v="0"/>
    <x v="0"/>
  </r>
  <r>
    <x v="0"/>
    <x v="1"/>
    <x v="2"/>
    <x v="7"/>
    <s v="NO2_A1"/>
    <x v="20"/>
    <s v="GNR_RES_WTR_NOPMP_MC-07"/>
    <x v="0"/>
    <x v="0"/>
  </r>
  <r>
    <x v="0"/>
    <x v="1"/>
    <x v="2"/>
    <x v="5"/>
    <s v="NO3_A1"/>
    <x v="20"/>
    <s v="GNR_RES_WTR_NOPMP_MC-07"/>
    <x v="0"/>
    <x v="0"/>
  </r>
  <r>
    <x v="0"/>
    <x v="1"/>
    <x v="2"/>
    <x v="8"/>
    <s v="NO4_A1"/>
    <x v="20"/>
    <s v="GNR_RES_WTR_NOPMP_MC-07"/>
    <x v="0"/>
    <x v="0"/>
  </r>
  <r>
    <x v="0"/>
    <x v="1"/>
    <x v="2"/>
    <x v="9"/>
    <s v="NO5_A1"/>
    <x v="20"/>
    <s v="GNR_RES_WTR_NOPMP_MC-07"/>
    <x v="0"/>
    <x v="0"/>
  </r>
  <r>
    <x v="0"/>
    <x v="1"/>
    <x v="1"/>
    <x v="1"/>
    <s v="SE1A"/>
    <x v="20"/>
    <s v="GNR_RES_WTR_NOPMP_MC-07"/>
    <x v="0"/>
    <x v="0"/>
  </r>
  <r>
    <x v="0"/>
    <x v="1"/>
    <x v="1"/>
    <x v="2"/>
    <s v="SE2A"/>
    <x v="20"/>
    <s v="GNR_RES_WTR_NOPMP_MC-07"/>
    <x v="0"/>
    <x v="0"/>
  </r>
  <r>
    <x v="0"/>
    <x v="1"/>
    <x v="1"/>
    <x v="3"/>
    <s v="SE3A"/>
    <x v="20"/>
    <s v="GNR_RES_WTR_NOPMP_MC-07"/>
    <x v="0"/>
    <x v="0"/>
  </r>
  <r>
    <x v="0"/>
    <x v="1"/>
    <x v="1"/>
    <x v="4"/>
    <s v="SE4A"/>
    <x v="20"/>
    <s v="GNR_RES_WTR_NOPMP_MC-07"/>
    <x v="0"/>
    <x v="0"/>
  </r>
  <r>
    <x v="0"/>
    <x v="2"/>
    <x v="0"/>
    <x v="0"/>
    <s v="FinA"/>
    <x v="20"/>
    <s v="GNR_RES_WTR_NOPMP_MC-07"/>
    <x v="0"/>
    <x v="0"/>
  </r>
  <r>
    <x v="0"/>
    <x v="2"/>
    <x v="2"/>
    <x v="6"/>
    <s v="NO1_A1"/>
    <x v="20"/>
    <s v="GNR_RES_WTR_NOPMP_MC-07"/>
    <x v="0"/>
    <x v="0"/>
  </r>
  <r>
    <x v="0"/>
    <x v="2"/>
    <x v="2"/>
    <x v="7"/>
    <s v="NO2_A1"/>
    <x v="20"/>
    <s v="GNR_RES_WTR_NOPMP_MC-07"/>
    <x v="0"/>
    <x v="0"/>
  </r>
  <r>
    <x v="0"/>
    <x v="2"/>
    <x v="2"/>
    <x v="5"/>
    <s v="NO3_A1"/>
    <x v="20"/>
    <s v="GNR_RES_WTR_NOPMP_MC-07"/>
    <x v="0"/>
    <x v="0"/>
  </r>
  <r>
    <x v="0"/>
    <x v="2"/>
    <x v="2"/>
    <x v="8"/>
    <s v="NO4_A1"/>
    <x v="20"/>
    <s v="GNR_RES_WTR_NOPMP_MC-07"/>
    <x v="0"/>
    <x v="0"/>
  </r>
  <r>
    <x v="0"/>
    <x v="2"/>
    <x v="2"/>
    <x v="9"/>
    <s v="NO5_A1"/>
    <x v="20"/>
    <s v="GNR_RES_WTR_NOPMP_MC-07"/>
    <x v="0"/>
    <x v="0"/>
  </r>
  <r>
    <x v="0"/>
    <x v="2"/>
    <x v="1"/>
    <x v="1"/>
    <s v="SE1A"/>
    <x v="20"/>
    <s v="GNR_RES_WTR_NOPMP_MC-07"/>
    <x v="0"/>
    <x v="0"/>
  </r>
  <r>
    <x v="0"/>
    <x v="2"/>
    <x v="1"/>
    <x v="2"/>
    <s v="SE2A"/>
    <x v="20"/>
    <s v="GNR_RES_WTR_NOPMP_MC-07"/>
    <x v="0"/>
    <x v="0"/>
  </r>
  <r>
    <x v="0"/>
    <x v="2"/>
    <x v="1"/>
    <x v="3"/>
    <s v="SE3A"/>
    <x v="20"/>
    <s v="GNR_RES_WTR_NOPMP_MC-07"/>
    <x v="0"/>
    <x v="0"/>
  </r>
  <r>
    <x v="0"/>
    <x v="2"/>
    <x v="1"/>
    <x v="4"/>
    <s v="SE4A"/>
    <x v="20"/>
    <s v="GNR_RES_WTR_NOPMP_MC-07"/>
    <x v="0"/>
    <x v="0"/>
  </r>
  <r>
    <x v="0"/>
    <x v="0"/>
    <x v="0"/>
    <x v="0"/>
    <s v="FinA"/>
    <x v="20"/>
    <s v="GNR_RES_WTR_NOPMP_MC-08"/>
    <x v="0"/>
    <x v="0"/>
  </r>
  <r>
    <x v="0"/>
    <x v="0"/>
    <x v="2"/>
    <x v="6"/>
    <s v="NO1_A1"/>
    <x v="20"/>
    <s v="GNR_RES_WTR_NOPMP_MC-08"/>
    <x v="0"/>
    <x v="0"/>
  </r>
  <r>
    <x v="0"/>
    <x v="0"/>
    <x v="2"/>
    <x v="7"/>
    <s v="NO2_A1"/>
    <x v="20"/>
    <s v="GNR_RES_WTR_NOPMP_MC-08"/>
    <x v="0"/>
    <x v="0"/>
  </r>
  <r>
    <x v="0"/>
    <x v="0"/>
    <x v="2"/>
    <x v="5"/>
    <s v="NO3_A1"/>
    <x v="20"/>
    <s v="GNR_RES_WTR_NOPMP_MC-08"/>
    <x v="0"/>
    <x v="0"/>
  </r>
  <r>
    <x v="0"/>
    <x v="0"/>
    <x v="2"/>
    <x v="8"/>
    <s v="NO4_A1"/>
    <x v="20"/>
    <s v="GNR_RES_WTR_NOPMP_MC-08"/>
    <x v="0"/>
    <x v="0"/>
  </r>
  <r>
    <x v="0"/>
    <x v="0"/>
    <x v="2"/>
    <x v="9"/>
    <s v="NO5_A1"/>
    <x v="20"/>
    <s v="GNR_RES_WTR_NOPMP_MC-08"/>
    <x v="0"/>
    <x v="0"/>
  </r>
  <r>
    <x v="0"/>
    <x v="0"/>
    <x v="1"/>
    <x v="1"/>
    <s v="SE1A"/>
    <x v="20"/>
    <s v="GNR_RES_WTR_NOPMP_MC-08"/>
    <x v="0"/>
    <x v="0"/>
  </r>
  <r>
    <x v="0"/>
    <x v="0"/>
    <x v="1"/>
    <x v="2"/>
    <s v="SE2A"/>
    <x v="20"/>
    <s v="GNR_RES_WTR_NOPMP_MC-08"/>
    <x v="0"/>
    <x v="0"/>
  </r>
  <r>
    <x v="0"/>
    <x v="0"/>
    <x v="1"/>
    <x v="3"/>
    <s v="SE3A"/>
    <x v="20"/>
    <s v="GNR_RES_WTR_NOPMP_MC-08"/>
    <x v="0"/>
    <x v="0"/>
  </r>
  <r>
    <x v="0"/>
    <x v="0"/>
    <x v="1"/>
    <x v="4"/>
    <s v="SE4A"/>
    <x v="20"/>
    <s v="GNR_RES_WTR_NOPMP_MC-08"/>
    <x v="0"/>
    <x v="0"/>
  </r>
  <r>
    <x v="0"/>
    <x v="1"/>
    <x v="0"/>
    <x v="0"/>
    <s v="FinA"/>
    <x v="20"/>
    <s v="GNR_RES_WTR_NOPMP_MC-08"/>
    <x v="0"/>
    <x v="0"/>
  </r>
  <r>
    <x v="0"/>
    <x v="1"/>
    <x v="2"/>
    <x v="6"/>
    <s v="NO1_A1"/>
    <x v="20"/>
    <s v="GNR_RES_WTR_NOPMP_MC-08"/>
    <x v="0"/>
    <x v="0"/>
  </r>
  <r>
    <x v="0"/>
    <x v="1"/>
    <x v="2"/>
    <x v="7"/>
    <s v="NO2_A1"/>
    <x v="20"/>
    <s v="GNR_RES_WTR_NOPMP_MC-08"/>
    <x v="0"/>
    <x v="0"/>
  </r>
  <r>
    <x v="0"/>
    <x v="1"/>
    <x v="2"/>
    <x v="5"/>
    <s v="NO3_A1"/>
    <x v="20"/>
    <s v="GNR_RES_WTR_NOPMP_MC-08"/>
    <x v="0"/>
    <x v="0"/>
  </r>
  <r>
    <x v="0"/>
    <x v="1"/>
    <x v="2"/>
    <x v="8"/>
    <s v="NO4_A1"/>
    <x v="20"/>
    <s v="GNR_RES_WTR_NOPMP_MC-08"/>
    <x v="0"/>
    <x v="0"/>
  </r>
  <r>
    <x v="0"/>
    <x v="1"/>
    <x v="2"/>
    <x v="9"/>
    <s v="NO5_A1"/>
    <x v="20"/>
    <s v="GNR_RES_WTR_NOPMP_MC-08"/>
    <x v="0"/>
    <x v="0"/>
  </r>
  <r>
    <x v="0"/>
    <x v="1"/>
    <x v="1"/>
    <x v="1"/>
    <s v="SE1A"/>
    <x v="20"/>
    <s v="GNR_RES_WTR_NOPMP_MC-08"/>
    <x v="0"/>
    <x v="0"/>
  </r>
  <r>
    <x v="0"/>
    <x v="1"/>
    <x v="1"/>
    <x v="2"/>
    <s v="SE2A"/>
    <x v="20"/>
    <s v="GNR_RES_WTR_NOPMP_MC-08"/>
    <x v="0"/>
    <x v="0"/>
  </r>
  <r>
    <x v="0"/>
    <x v="1"/>
    <x v="1"/>
    <x v="3"/>
    <s v="SE3A"/>
    <x v="20"/>
    <s v="GNR_RES_WTR_NOPMP_MC-08"/>
    <x v="0"/>
    <x v="0"/>
  </r>
  <r>
    <x v="0"/>
    <x v="1"/>
    <x v="1"/>
    <x v="4"/>
    <s v="SE4A"/>
    <x v="20"/>
    <s v="GNR_RES_WTR_NOPMP_MC-08"/>
    <x v="0"/>
    <x v="0"/>
  </r>
  <r>
    <x v="0"/>
    <x v="2"/>
    <x v="0"/>
    <x v="0"/>
    <s v="FinA"/>
    <x v="20"/>
    <s v="GNR_RES_WTR_NOPMP_MC-08"/>
    <x v="0"/>
    <x v="0"/>
  </r>
  <r>
    <x v="0"/>
    <x v="2"/>
    <x v="2"/>
    <x v="6"/>
    <s v="NO1_A1"/>
    <x v="20"/>
    <s v="GNR_RES_WTR_NOPMP_MC-08"/>
    <x v="0"/>
    <x v="0"/>
  </r>
  <r>
    <x v="0"/>
    <x v="2"/>
    <x v="2"/>
    <x v="7"/>
    <s v="NO2_A1"/>
    <x v="20"/>
    <s v="GNR_RES_WTR_NOPMP_MC-08"/>
    <x v="0"/>
    <x v="0"/>
  </r>
  <r>
    <x v="0"/>
    <x v="2"/>
    <x v="2"/>
    <x v="5"/>
    <s v="NO3_A1"/>
    <x v="20"/>
    <s v="GNR_RES_WTR_NOPMP_MC-08"/>
    <x v="0"/>
    <x v="0"/>
  </r>
  <r>
    <x v="0"/>
    <x v="2"/>
    <x v="2"/>
    <x v="8"/>
    <s v="NO4_A1"/>
    <x v="20"/>
    <s v="GNR_RES_WTR_NOPMP_MC-08"/>
    <x v="0"/>
    <x v="0"/>
  </r>
  <r>
    <x v="0"/>
    <x v="2"/>
    <x v="2"/>
    <x v="9"/>
    <s v="NO5_A1"/>
    <x v="20"/>
    <s v="GNR_RES_WTR_NOPMP_MC-08"/>
    <x v="0"/>
    <x v="0"/>
  </r>
  <r>
    <x v="0"/>
    <x v="2"/>
    <x v="1"/>
    <x v="1"/>
    <s v="SE1A"/>
    <x v="20"/>
    <s v="GNR_RES_WTR_NOPMP_MC-08"/>
    <x v="0"/>
    <x v="0"/>
  </r>
  <r>
    <x v="0"/>
    <x v="2"/>
    <x v="1"/>
    <x v="2"/>
    <s v="SE2A"/>
    <x v="20"/>
    <s v="GNR_RES_WTR_NOPMP_MC-08"/>
    <x v="0"/>
    <x v="0"/>
  </r>
  <r>
    <x v="0"/>
    <x v="2"/>
    <x v="1"/>
    <x v="3"/>
    <s v="SE3A"/>
    <x v="20"/>
    <s v="GNR_RES_WTR_NOPMP_MC-08"/>
    <x v="0"/>
    <x v="0"/>
  </r>
  <r>
    <x v="0"/>
    <x v="2"/>
    <x v="1"/>
    <x v="4"/>
    <s v="SE4A"/>
    <x v="20"/>
    <s v="GNR_RES_WTR_NOPMP_MC-08"/>
    <x v="0"/>
    <x v="0"/>
  </r>
  <r>
    <x v="0"/>
    <x v="0"/>
    <x v="0"/>
    <x v="0"/>
    <s v="FinA"/>
    <x v="20"/>
    <s v="GNR_RES_WTR_NOPMP_MC-09"/>
    <x v="0"/>
    <x v="0"/>
  </r>
  <r>
    <x v="0"/>
    <x v="0"/>
    <x v="2"/>
    <x v="6"/>
    <s v="NO1_A1"/>
    <x v="20"/>
    <s v="GNR_RES_WTR_NOPMP_MC-09"/>
    <x v="0"/>
    <x v="0"/>
  </r>
  <r>
    <x v="0"/>
    <x v="0"/>
    <x v="2"/>
    <x v="7"/>
    <s v="NO2_A1"/>
    <x v="20"/>
    <s v="GNR_RES_WTR_NOPMP_MC-09"/>
    <x v="0"/>
    <x v="0"/>
  </r>
  <r>
    <x v="0"/>
    <x v="0"/>
    <x v="2"/>
    <x v="5"/>
    <s v="NO3_A1"/>
    <x v="20"/>
    <s v="GNR_RES_WTR_NOPMP_MC-09"/>
    <x v="0"/>
    <x v="0"/>
  </r>
  <r>
    <x v="0"/>
    <x v="0"/>
    <x v="2"/>
    <x v="8"/>
    <s v="NO4_A1"/>
    <x v="20"/>
    <s v="GNR_RES_WTR_NOPMP_MC-09"/>
    <x v="0"/>
    <x v="0"/>
  </r>
  <r>
    <x v="0"/>
    <x v="0"/>
    <x v="2"/>
    <x v="9"/>
    <s v="NO5_A1"/>
    <x v="20"/>
    <s v="GNR_RES_WTR_NOPMP_MC-09"/>
    <x v="0"/>
    <x v="0"/>
  </r>
  <r>
    <x v="0"/>
    <x v="0"/>
    <x v="1"/>
    <x v="1"/>
    <s v="SE1A"/>
    <x v="20"/>
    <s v="GNR_RES_WTR_NOPMP_MC-09"/>
    <x v="0"/>
    <x v="0"/>
  </r>
  <r>
    <x v="0"/>
    <x v="0"/>
    <x v="1"/>
    <x v="2"/>
    <s v="SE2A"/>
    <x v="20"/>
    <s v="GNR_RES_WTR_NOPMP_MC-09"/>
    <x v="0"/>
    <x v="0"/>
  </r>
  <r>
    <x v="0"/>
    <x v="0"/>
    <x v="1"/>
    <x v="3"/>
    <s v="SE3A"/>
    <x v="20"/>
    <s v="GNR_RES_WTR_NOPMP_MC-09"/>
    <x v="0"/>
    <x v="0"/>
  </r>
  <r>
    <x v="0"/>
    <x v="0"/>
    <x v="1"/>
    <x v="4"/>
    <s v="SE4A"/>
    <x v="20"/>
    <s v="GNR_RES_WTR_NOPMP_MC-09"/>
    <x v="0"/>
    <x v="0"/>
  </r>
  <r>
    <x v="0"/>
    <x v="1"/>
    <x v="0"/>
    <x v="0"/>
    <s v="FinA"/>
    <x v="20"/>
    <s v="GNR_RES_WTR_NOPMP_MC-09"/>
    <x v="0"/>
    <x v="0"/>
  </r>
  <r>
    <x v="0"/>
    <x v="1"/>
    <x v="2"/>
    <x v="6"/>
    <s v="NO1_A1"/>
    <x v="20"/>
    <s v="GNR_RES_WTR_NOPMP_MC-09"/>
    <x v="0"/>
    <x v="0"/>
  </r>
  <r>
    <x v="0"/>
    <x v="1"/>
    <x v="2"/>
    <x v="7"/>
    <s v="NO2_A1"/>
    <x v="20"/>
    <s v="GNR_RES_WTR_NOPMP_MC-09"/>
    <x v="0"/>
    <x v="0"/>
  </r>
  <r>
    <x v="0"/>
    <x v="1"/>
    <x v="2"/>
    <x v="5"/>
    <s v="NO3_A1"/>
    <x v="20"/>
    <s v="GNR_RES_WTR_NOPMP_MC-09"/>
    <x v="0"/>
    <x v="0"/>
  </r>
  <r>
    <x v="0"/>
    <x v="1"/>
    <x v="2"/>
    <x v="8"/>
    <s v="NO4_A1"/>
    <x v="20"/>
    <s v="GNR_RES_WTR_NOPMP_MC-09"/>
    <x v="0"/>
    <x v="0"/>
  </r>
  <r>
    <x v="0"/>
    <x v="1"/>
    <x v="2"/>
    <x v="9"/>
    <s v="NO5_A1"/>
    <x v="20"/>
    <s v="GNR_RES_WTR_NOPMP_MC-09"/>
    <x v="0"/>
    <x v="0"/>
  </r>
  <r>
    <x v="0"/>
    <x v="1"/>
    <x v="1"/>
    <x v="1"/>
    <s v="SE1A"/>
    <x v="20"/>
    <s v="GNR_RES_WTR_NOPMP_MC-09"/>
    <x v="0"/>
    <x v="0"/>
  </r>
  <r>
    <x v="0"/>
    <x v="1"/>
    <x v="1"/>
    <x v="2"/>
    <s v="SE2A"/>
    <x v="20"/>
    <s v="GNR_RES_WTR_NOPMP_MC-09"/>
    <x v="0"/>
    <x v="0"/>
  </r>
  <r>
    <x v="0"/>
    <x v="1"/>
    <x v="1"/>
    <x v="3"/>
    <s v="SE3A"/>
    <x v="20"/>
    <s v="GNR_RES_WTR_NOPMP_MC-09"/>
    <x v="0"/>
    <x v="0"/>
  </r>
  <r>
    <x v="0"/>
    <x v="1"/>
    <x v="1"/>
    <x v="4"/>
    <s v="SE4A"/>
    <x v="20"/>
    <s v="GNR_RES_WTR_NOPMP_MC-09"/>
    <x v="0"/>
    <x v="0"/>
  </r>
  <r>
    <x v="0"/>
    <x v="2"/>
    <x v="0"/>
    <x v="0"/>
    <s v="FinA"/>
    <x v="20"/>
    <s v="GNR_RES_WTR_NOPMP_MC-09"/>
    <x v="0"/>
    <x v="0"/>
  </r>
  <r>
    <x v="0"/>
    <x v="2"/>
    <x v="2"/>
    <x v="6"/>
    <s v="NO1_A1"/>
    <x v="20"/>
    <s v="GNR_RES_WTR_NOPMP_MC-09"/>
    <x v="0"/>
    <x v="0"/>
  </r>
  <r>
    <x v="0"/>
    <x v="2"/>
    <x v="2"/>
    <x v="7"/>
    <s v="NO2_A1"/>
    <x v="20"/>
    <s v="GNR_RES_WTR_NOPMP_MC-09"/>
    <x v="0"/>
    <x v="0"/>
  </r>
  <r>
    <x v="0"/>
    <x v="2"/>
    <x v="2"/>
    <x v="5"/>
    <s v="NO3_A1"/>
    <x v="20"/>
    <s v="GNR_RES_WTR_NOPMP_MC-09"/>
    <x v="0"/>
    <x v="0"/>
  </r>
  <r>
    <x v="0"/>
    <x v="2"/>
    <x v="2"/>
    <x v="8"/>
    <s v="NO4_A1"/>
    <x v="20"/>
    <s v="GNR_RES_WTR_NOPMP_MC-09"/>
    <x v="0"/>
    <x v="0"/>
  </r>
  <r>
    <x v="0"/>
    <x v="2"/>
    <x v="2"/>
    <x v="9"/>
    <s v="NO5_A1"/>
    <x v="20"/>
    <s v="GNR_RES_WTR_NOPMP_MC-09"/>
    <x v="0"/>
    <x v="0"/>
  </r>
  <r>
    <x v="0"/>
    <x v="2"/>
    <x v="1"/>
    <x v="1"/>
    <s v="SE1A"/>
    <x v="20"/>
    <s v="GNR_RES_WTR_NOPMP_MC-09"/>
    <x v="0"/>
    <x v="0"/>
  </r>
  <r>
    <x v="0"/>
    <x v="2"/>
    <x v="1"/>
    <x v="2"/>
    <s v="SE2A"/>
    <x v="20"/>
    <s v="GNR_RES_WTR_NOPMP_MC-09"/>
    <x v="0"/>
    <x v="0"/>
  </r>
  <r>
    <x v="0"/>
    <x v="2"/>
    <x v="1"/>
    <x v="3"/>
    <s v="SE3A"/>
    <x v="20"/>
    <s v="GNR_RES_WTR_NOPMP_MC-09"/>
    <x v="0"/>
    <x v="0"/>
  </r>
  <r>
    <x v="0"/>
    <x v="2"/>
    <x v="1"/>
    <x v="4"/>
    <s v="SE4A"/>
    <x v="20"/>
    <s v="GNR_RES_WTR_NOPMP_MC-09"/>
    <x v="0"/>
    <x v="0"/>
  </r>
  <r>
    <x v="0"/>
    <x v="0"/>
    <x v="0"/>
    <x v="0"/>
    <s v="FinA"/>
    <x v="20"/>
    <s v="GNR_RES_WTR_NOPMP_MC-10"/>
    <x v="0"/>
    <x v="0"/>
  </r>
  <r>
    <x v="0"/>
    <x v="0"/>
    <x v="2"/>
    <x v="6"/>
    <s v="NO1_A1"/>
    <x v="20"/>
    <s v="GNR_RES_WTR_NOPMP_MC-10"/>
    <x v="0"/>
    <x v="0"/>
  </r>
  <r>
    <x v="0"/>
    <x v="0"/>
    <x v="2"/>
    <x v="7"/>
    <s v="NO2_A1"/>
    <x v="20"/>
    <s v="GNR_RES_WTR_NOPMP_MC-10"/>
    <x v="0"/>
    <x v="0"/>
  </r>
  <r>
    <x v="0"/>
    <x v="0"/>
    <x v="2"/>
    <x v="5"/>
    <s v="NO3_A1"/>
    <x v="20"/>
    <s v="GNR_RES_WTR_NOPMP_MC-10"/>
    <x v="0"/>
    <x v="0"/>
  </r>
  <r>
    <x v="0"/>
    <x v="0"/>
    <x v="2"/>
    <x v="8"/>
    <s v="NO4_A1"/>
    <x v="20"/>
    <s v="GNR_RES_WTR_NOPMP_MC-10"/>
    <x v="0"/>
    <x v="0"/>
  </r>
  <r>
    <x v="0"/>
    <x v="0"/>
    <x v="2"/>
    <x v="9"/>
    <s v="NO5_A1"/>
    <x v="20"/>
    <s v="GNR_RES_WTR_NOPMP_MC-10"/>
    <x v="0"/>
    <x v="0"/>
  </r>
  <r>
    <x v="0"/>
    <x v="0"/>
    <x v="1"/>
    <x v="1"/>
    <s v="SE1A"/>
    <x v="20"/>
    <s v="GNR_RES_WTR_NOPMP_MC-10"/>
    <x v="0"/>
    <x v="0"/>
  </r>
  <r>
    <x v="0"/>
    <x v="0"/>
    <x v="1"/>
    <x v="2"/>
    <s v="SE2A"/>
    <x v="20"/>
    <s v="GNR_RES_WTR_NOPMP_MC-10"/>
    <x v="0"/>
    <x v="0"/>
  </r>
  <r>
    <x v="0"/>
    <x v="0"/>
    <x v="1"/>
    <x v="3"/>
    <s v="SE3A"/>
    <x v="20"/>
    <s v="GNR_RES_WTR_NOPMP_MC-10"/>
    <x v="0"/>
    <x v="0"/>
  </r>
  <r>
    <x v="0"/>
    <x v="0"/>
    <x v="1"/>
    <x v="4"/>
    <s v="SE4A"/>
    <x v="20"/>
    <s v="GNR_RES_WTR_NOPMP_MC-10"/>
    <x v="0"/>
    <x v="0"/>
  </r>
  <r>
    <x v="0"/>
    <x v="1"/>
    <x v="0"/>
    <x v="0"/>
    <s v="FinA"/>
    <x v="20"/>
    <s v="GNR_RES_WTR_NOPMP_MC-10"/>
    <x v="0"/>
    <x v="0"/>
  </r>
  <r>
    <x v="0"/>
    <x v="1"/>
    <x v="2"/>
    <x v="6"/>
    <s v="NO1_A1"/>
    <x v="20"/>
    <s v="GNR_RES_WTR_NOPMP_MC-10"/>
    <x v="0"/>
    <x v="0"/>
  </r>
  <r>
    <x v="0"/>
    <x v="1"/>
    <x v="2"/>
    <x v="7"/>
    <s v="NO2_A1"/>
    <x v="20"/>
    <s v="GNR_RES_WTR_NOPMP_MC-10"/>
    <x v="0"/>
    <x v="0"/>
  </r>
  <r>
    <x v="0"/>
    <x v="1"/>
    <x v="2"/>
    <x v="5"/>
    <s v="NO3_A1"/>
    <x v="20"/>
    <s v="GNR_RES_WTR_NOPMP_MC-10"/>
    <x v="0"/>
    <x v="0"/>
  </r>
  <r>
    <x v="0"/>
    <x v="1"/>
    <x v="2"/>
    <x v="8"/>
    <s v="NO4_A1"/>
    <x v="20"/>
    <s v="GNR_RES_WTR_NOPMP_MC-10"/>
    <x v="0"/>
    <x v="0"/>
  </r>
  <r>
    <x v="0"/>
    <x v="1"/>
    <x v="2"/>
    <x v="9"/>
    <s v="NO5_A1"/>
    <x v="20"/>
    <s v="GNR_RES_WTR_NOPMP_MC-10"/>
    <x v="0"/>
    <x v="0"/>
  </r>
  <r>
    <x v="0"/>
    <x v="1"/>
    <x v="1"/>
    <x v="1"/>
    <s v="SE1A"/>
    <x v="20"/>
    <s v="GNR_RES_WTR_NOPMP_MC-10"/>
    <x v="0"/>
    <x v="0"/>
  </r>
  <r>
    <x v="0"/>
    <x v="1"/>
    <x v="1"/>
    <x v="2"/>
    <s v="SE2A"/>
    <x v="20"/>
    <s v="GNR_RES_WTR_NOPMP_MC-10"/>
    <x v="0"/>
    <x v="0"/>
  </r>
  <r>
    <x v="0"/>
    <x v="1"/>
    <x v="1"/>
    <x v="3"/>
    <s v="SE3A"/>
    <x v="20"/>
    <s v="GNR_RES_WTR_NOPMP_MC-10"/>
    <x v="0"/>
    <x v="0"/>
  </r>
  <r>
    <x v="0"/>
    <x v="1"/>
    <x v="1"/>
    <x v="4"/>
    <s v="SE4A"/>
    <x v="20"/>
    <s v="GNR_RES_WTR_NOPMP_MC-10"/>
    <x v="0"/>
    <x v="0"/>
  </r>
  <r>
    <x v="0"/>
    <x v="2"/>
    <x v="0"/>
    <x v="0"/>
    <s v="FinA"/>
    <x v="20"/>
    <s v="GNR_RES_WTR_NOPMP_MC-10"/>
    <x v="0"/>
    <x v="0"/>
  </r>
  <r>
    <x v="0"/>
    <x v="2"/>
    <x v="2"/>
    <x v="6"/>
    <s v="NO1_A1"/>
    <x v="20"/>
    <s v="GNR_RES_WTR_NOPMP_MC-10"/>
    <x v="0"/>
    <x v="0"/>
  </r>
  <r>
    <x v="0"/>
    <x v="2"/>
    <x v="2"/>
    <x v="7"/>
    <s v="NO2_A1"/>
    <x v="20"/>
    <s v="GNR_RES_WTR_NOPMP_MC-10"/>
    <x v="0"/>
    <x v="0"/>
  </r>
  <r>
    <x v="0"/>
    <x v="2"/>
    <x v="2"/>
    <x v="5"/>
    <s v="NO3_A1"/>
    <x v="20"/>
    <s v="GNR_RES_WTR_NOPMP_MC-10"/>
    <x v="0"/>
    <x v="0"/>
  </r>
  <r>
    <x v="0"/>
    <x v="2"/>
    <x v="2"/>
    <x v="8"/>
    <s v="NO4_A1"/>
    <x v="20"/>
    <s v="GNR_RES_WTR_NOPMP_MC-10"/>
    <x v="0"/>
    <x v="0"/>
  </r>
  <r>
    <x v="0"/>
    <x v="2"/>
    <x v="2"/>
    <x v="9"/>
    <s v="NO5_A1"/>
    <x v="20"/>
    <s v="GNR_RES_WTR_NOPMP_MC-10"/>
    <x v="0"/>
    <x v="0"/>
  </r>
  <r>
    <x v="0"/>
    <x v="2"/>
    <x v="1"/>
    <x v="1"/>
    <s v="SE1A"/>
    <x v="20"/>
    <s v="GNR_RES_WTR_NOPMP_MC-10"/>
    <x v="0"/>
    <x v="0"/>
  </r>
  <r>
    <x v="0"/>
    <x v="2"/>
    <x v="1"/>
    <x v="2"/>
    <s v="SE2A"/>
    <x v="20"/>
    <s v="GNR_RES_WTR_NOPMP_MC-10"/>
    <x v="0"/>
    <x v="0"/>
  </r>
  <r>
    <x v="0"/>
    <x v="2"/>
    <x v="1"/>
    <x v="3"/>
    <s v="SE3A"/>
    <x v="20"/>
    <s v="GNR_RES_WTR_NOPMP_MC-10"/>
    <x v="0"/>
    <x v="0"/>
  </r>
  <r>
    <x v="0"/>
    <x v="2"/>
    <x v="1"/>
    <x v="4"/>
    <s v="SE4A"/>
    <x v="20"/>
    <s v="GNR_RES_WTR_NOPMP_MC-10"/>
    <x v="0"/>
    <x v="0"/>
  </r>
  <r>
    <x v="0"/>
    <x v="0"/>
    <x v="2"/>
    <x v="7"/>
    <s v="NO2_A1"/>
    <x v="20"/>
    <s v="GNR_RES_WTR_PMP_MC-01"/>
    <x v="0"/>
    <x v="0"/>
  </r>
  <r>
    <x v="0"/>
    <x v="0"/>
    <x v="2"/>
    <x v="5"/>
    <s v="NO3_A1"/>
    <x v="20"/>
    <s v="GNR_RES_WTR_PMP_MC-01"/>
    <x v="0"/>
    <x v="0"/>
  </r>
  <r>
    <x v="0"/>
    <x v="0"/>
    <x v="2"/>
    <x v="9"/>
    <s v="NO5_A1"/>
    <x v="20"/>
    <s v="GNR_RES_WTR_PMP_MC-01"/>
    <x v="0"/>
    <x v="0"/>
  </r>
  <r>
    <x v="0"/>
    <x v="0"/>
    <x v="1"/>
    <x v="2"/>
    <s v="SE2A"/>
    <x v="20"/>
    <s v="GNR_RES_WTR_PMP_MC-01"/>
    <x v="0"/>
    <x v="0"/>
  </r>
  <r>
    <x v="0"/>
    <x v="1"/>
    <x v="2"/>
    <x v="7"/>
    <s v="NO2_A1"/>
    <x v="20"/>
    <s v="GNR_RES_WTR_PMP_MC-01"/>
    <x v="0"/>
    <x v="0"/>
  </r>
  <r>
    <x v="0"/>
    <x v="1"/>
    <x v="2"/>
    <x v="5"/>
    <s v="NO3_A1"/>
    <x v="20"/>
    <s v="GNR_RES_WTR_PMP_MC-01"/>
    <x v="0"/>
    <x v="0"/>
  </r>
  <r>
    <x v="0"/>
    <x v="1"/>
    <x v="2"/>
    <x v="9"/>
    <s v="NO5_A1"/>
    <x v="20"/>
    <s v="GNR_RES_WTR_PMP_MC-01"/>
    <x v="0"/>
    <x v="0"/>
  </r>
  <r>
    <x v="0"/>
    <x v="1"/>
    <x v="1"/>
    <x v="2"/>
    <s v="SE2A"/>
    <x v="20"/>
    <s v="GNR_RES_WTR_PMP_MC-01"/>
    <x v="0"/>
    <x v="0"/>
  </r>
  <r>
    <x v="0"/>
    <x v="2"/>
    <x v="2"/>
    <x v="7"/>
    <s v="NO2_A1"/>
    <x v="20"/>
    <s v="GNR_RES_WTR_PMP_MC-01"/>
    <x v="0"/>
    <x v="0"/>
  </r>
  <r>
    <x v="0"/>
    <x v="2"/>
    <x v="2"/>
    <x v="5"/>
    <s v="NO3_A1"/>
    <x v="20"/>
    <s v="GNR_RES_WTR_PMP_MC-01"/>
    <x v="0"/>
    <x v="0"/>
  </r>
  <r>
    <x v="0"/>
    <x v="2"/>
    <x v="2"/>
    <x v="9"/>
    <s v="NO5_A1"/>
    <x v="20"/>
    <s v="GNR_RES_WTR_PMP_MC-01"/>
    <x v="0"/>
    <x v="0"/>
  </r>
  <r>
    <x v="0"/>
    <x v="2"/>
    <x v="1"/>
    <x v="2"/>
    <s v="SE2A"/>
    <x v="20"/>
    <s v="GNR_RES_WTR_PMP_MC-01"/>
    <x v="0"/>
    <x v="0"/>
  </r>
  <r>
    <x v="0"/>
    <x v="0"/>
    <x v="7"/>
    <x v="17"/>
    <s v="DK1_NoDH"/>
    <x v="20"/>
    <s v="GNR_ROR_WTR"/>
    <x v="0"/>
    <x v="0"/>
  </r>
  <r>
    <x v="0"/>
    <x v="0"/>
    <x v="7"/>
    <x v="18"/>
    <s v="DK2_NoDH"/>
    <x v="20"/>
    <s v="GNR_ROR_WTR"/>
    <x v="0"/>
    <x v="0"/>
  </r>
  <r>
    <x v="0"/>
    <x v="0"/>
    <x v="6"/>
    <x v="16"/>
    <s v="EE_Rural"/>
    <x v="20"/>
    <s v="GNR_ROR_WTR"/>
    <x v="0"/>
    <x v="0"/>
  </r>
  <r>
    <x v="0"/>
    <x v="0"/>
    <x v="0"/>
    <x v="0"/>
    <s v="FinA"/>
    <x v="20"/>
    <s v="GNR_ROR_WTR"/>
    <x v="0"/>
    <x v="0"/>
  </r>
  <r>
    <x v="0"/>
    <x v="0"/>
    <x v="5"/>
    <x v="12"/>
    <s v="DE4-E_A"/>
    <x v="20"/>
    <s v="GNR_ROR_WTR"/>
    <x v="0"/>
    <x v="0"/>
  </r>
  <r>
    <x v="0"/>
    <x v="0"/>
    <x v="5"/>
    <x v="13"/>
    <s v="DE4-N_A"/>
    <x v="20"/>
    <s v="GNR_ROR_WTR"/>
    <x v="0"/>
    <x v="0"/>
  </r>
  <r>
    <x v="0"/>
    <x v="0"/>
    <x v="5"/>
    <x v="14"/>
    <s v="DE4-S_A"/>
    <x v="20"/>
    <s v="GNR_ROR_WTR"/>
    <x v="0"/>
    <x v="0"/>
  </r>
  <r>
    <x v="0"/>
    <x v="0"/>
    <x v="5"/>
    <x v="15"/>
    <s v="DE4-W_A"/>
    <x v="20"/>
    <s v="GNR_ROR_WTR"/>
    <x v="0"/>
    <x v="0"/>
  </r>
  <r>
    <x v="0"/>
    <x v="0"/>
    <x v="3"/>
    <x v="10"/>
    <s v="LT_KauU"/>
    <x v="20"/>
    <s v="GNR_ROR_WTR"/>
    <x v="0"/>
    <x v="0"/>
  </r>
  <r>
    <x v="0"/>
    <x v="0"/>
    <x v="8"/>
    <x v="19"/>
    <s v="NL_A"/>
    <x v="20"/>
    <s v="GNR_ROR_WTR"/>
    <x v="0"/>
    <x v="0"/>
  </r>
  <r>
    <x v="0"/>
    <x v="0"/>
    <x v="2"/>
    <x v="6"/>
    <s v="NO1_A1"/>
    <x v="20"/>
    <s v="GNR_ROR_WTR"/>
    <x v="0"/>
    <x v="0"/>
  </r>
  <r>
    <x v="0"/>
    <x v="0"/>
    <x v="2"/>
    <x v="7"/>
    <s v="NO2_A1"/>
    <x v="20"/>
    <s v="GNR_ROR_WTR"/>
    <x v="0"/>
    <x v="0"/>
  </r>
  <r>
    <x v="0"/>
    <x v="0"/>
    <x v="2"/>
    <x v="5"/>
    <s v="NO3_A1"/>
    <x v="20"/>
    <s v="GNR_ROR_WTR"/>
    <x v="0"/>
    <x v="0"/>
  </r>
  <r>
    <x v="0"/>
    <x v="0"/>
    <x v="2"/>
    <x v="8"/>
    <s v="NO4_A1"/>
    <x v="20"/>
    <s v="GNR_ROR_WTR"/>
    <x v="0"/>
    <x v="0"/>
  </r>
  <r>
    <x v="0"/>
    <x v="0"/>
    <x v="2"/>
    <x v="9"/>
    <s v="NO5_A1"/>
    <x v="20"/>
    <s v="GNR_ROR_WTR"/>
    <x v="0"/>
    <x v="0"/>
  </r>
  <r>
    <x v="0"/>
    <x v="0"/>
    <x v="4"/>
    <x v="11"/>
    <s v="PL_Rural"/>
    <x v="20"/>
    <s v="GNR_ROR_WTR"/>
    <x v="0"/>
    <x v="0"/>
  </r>
  <r>
    <x v="0"/>
    <x v="0"/>
    <x v="1"/>
    <x v="1"/>
    <s v="SE1A"/>
    <x v="20"/>
    <s v="GNR_ROR_WTR"/>
    <x v="0"/>
    <x v="0"/>
  </r>
  <r>
    <x v="0"/>
    <x v="0"/>
    <x v="1"/>
    <x v="2"/>
    <s v="SE2A"/>
    <x v="20"/>
    <s v="GNR_ROR_WTR"/>
    <x v="0"/>
    <x v="0"/>
  </r>
  <r>
    <x v="0"/>
    <x v="0"/>
    <x v="1"/>
    <x v="3"/>
    <s v="SE3A"/>
    <x v="20"/>
    <s v="GNR_ROR_WTR"/>
    <x v="0"/>
    <x v="0"/>
  </r>
  <r>
    <x v="0"/>
    <x v="0"/>
    <x v="1"/>
    <x v="4"/>
    <s v="SE4A"/>
    <x v="20"/>
    <s v="GNR_ROR_WTR"/>
    <x v="0"/>
    <x v="0"/>
  </r>
  <r>
    <x v="0"/>
    <x v="0"/>
    <x v="9"/>
    <x v="20"/>
    <s v="UK_A"/>
    <x v="20"/>
    <s v="GNR_ROR_WTR"/>
    <x v="0"/>
    <x v="0"/>
  </r>
  <r>
    <x v="0"/>
    <x v="1"/>
    <x v="7"/>
    <x v="17"/>
    <s v="DK1_NoDH"/>
    <x v="20"/>
    <s v="GNR_ROR_WTR"/>
    <x v="0"/>
    <x v="0"/>
  </r>
  <r>
    <x v="0"/>
    <x v="1"/>
    <x v="7"/>
    <x v="18"/>
    <s v="DK2_NoDH"/>
    <x v="20"/>
    <s v="GNR_ROR_WTR"/>
    <x v="0"/>
    <x v="0"/>
  </r>
  <r>
    <x v="0"/>
    <x v="1"/>
    <x v="6"/>
    <x v="16"/>
    <s v="EE_Rural"/>
    <x v="20"/>
    <s v="GNR_ROR_WTR"/>
    <x v="0"/>
    <x v="0"/>
  </r>
  <r>
    <x v="0"/>
    <x v="1"/>
    <x v="0"/>
    <x v="0"/>
    <s v="FinA"/>
    <x v="20"/>
    <s v="GNR_ROR_WTR"/>
    <x v="0"/>
    <x v="0"/>
  </r>
  <r>
    <x v="0"/>
    <x v="1"/>
    <x v="5"/>
    <x v="12"/>
    <s v="DE4-E_A"/>
    <x v="20"/>
    <s v="GNR_ROR_WTR"/>
    <x v="0"/>
    <x v="0"/>
  </r>
  <r>
    <x v="0"/>
    <x v="1"/>
    <x v="5"/>
    <x v="13"/>
    <s v="DE4-N_A"/>
    <x v="20"/>
    <s v="GNR_ROR_WTR"/>
    <x v="0"/>
    <x v="0"/>
  </r>
  <r>
    <x v="0"/>
    <x v="1"/>
    <x v="5"/>
    <x v="14"/>
    <s v="DE4-S_A"/>
    <x v="20"/>
    <s v="GNR_ROR_WTR"/>
    <x v="0"/>
    <x v="0"/>
  </r>
  <r>
    <x v="0"/>
    <x v="1"/>
    <x v="5"/>
    <x v="15"/>
    <s v="DE4-W_A"/>
    <x v="20"/>
    <s v="GNR_ROR_WTR"/>
    <x v="0"/>
    <x v="0"/>
  </r>
  <r>
    <x v="0"/>
    <x v="1"/>
    <x v="3"/>
    <x v="10"/>
    <s v="LT_KauU"/>
    <x v="20"/>
    <s v="GNR_ROR_WTR"/>
    <x v="0"/>
    <x v="0"/>
  </r>
  <r>
    <x v="0"/>
    <x v="1"/>
    <x v="8"/>
    <x v="19"/>
    <s v="NL_A"/>
    <x v="20"/>
    <s v="GNR_ROR_WTR"/>
    <x v="0"/>
    <x v="0"/>
  </r>
  <r>
    <x v="0"/>
    <x v="1"/>
    <x v="2"/>
    <x v="6"/>
    <s v="NO1_A1"/>
    <x v="20"/>
    <s v="GNR_ROR_WTR"/>
    <x v="0"/>
    <x v="0"/>
  </r>
  <r>
    <x v="0"/>
    <x v="1"/>
    <x v="2"/>
    <x v="7"/>
    <s v="NO2_A1"/>
    <x v="20"/>
    <s v="GNR_ROR_WTR"/>
    <x v="0"/>
    <x v="0"/>
  </r>
  <r>
    <x v="0"/>
    <x v="1"/>
    <x v="2"/>
    <x v="5"/>
    <s v="NO3_A1"/>
    <x v="20"/>
    <s v="GNR_ROR_WTR"/>
    <x v="0"/>
    <x v="0"/>
  </r>
  <r>
    <x v="0"/>
    <x v="1"/>
    <x v="2"/>
    <x v="8"/>
    <s v="NO4_A1"/>
    <x v="20"/>
    <s v="GNR_ROR_WTR"/>
    <x v="0"/>
    <x v="0"/>
  </r>
  <r>
    <x v="0"/>
    <x v="1"/>
    <x v="2"/>
    <x v="9"/>
    <s v="NO5_A1"/>
    <x v="20"/>
    <s v="GNR_ROR_WTR"/>
    <x v="0"/>
    <x v="0"/>
  </r>
  <r>
    <x v="0"/>
    <x v="1"/>
    <x v="4"/>
    <x v="11"/>
    <s v="PL_Rural"/>
    <x v="20"/>
    <s v="GNR_ROR_WTR"/>
    <x v="0"/>
    <x v="0"/>
  </r>
  <r>
    <x v="0"/>
    <x v="1"/>
    <x v="1"/>
    <x v="1"/>
    <s v="SE1A"/>
    <x v="20"/>
    <s v="GNR_ROR_WTR"/>
    <x v="0"/>
    <x v="0"/>
  </r>
  <r>
    <x v="0"/>
    <x v="1"/>
    <x v="1"/>
    <x v="2"/>
    <s v="SE2A"/>
    <x v="20"/>
    <s v="GNR_ROR_WTR"/>
    <x v="0"/>
    <x v="0"/>
  </r>
  <r>
    <x v="0"/>
    <x v="1"/>
    <x v="1"/>
    <x v="3"/>
    <s v="SE3A"/>
    <x v="20"/>
    <s v="GNR_ROR_WTR"/>
    <x v="0"/>
    <x v="0"/>
  </r>
  <r>
    <x v="0"/>
    <x v="1"/>
    <x v="1"/>
    <x v="4"/>
    <s v="SE4A"/>
    <x v="20"/>
    <s v="GNR_ROR_WTR"/>
    <x v="0"/>
    <x v="0"/>
  </r>
  <r>
    <x v="0"/>
    <x v="1"/>
    <x v="9"/>
    <x v="20"/>
    <s v="UK_A"/>
    <x v="20"/>
    <s v="GNR_ROR_WTR"/>
    <x v="0"/>
    <x v="0"/>
  </r>
  <r>
    <x v="0"/>
    <x v="2"/>
    <x v="7"/>
    <x v="17"/>
    <s v="DK1_NoDH"/>
    <x v="20"/>
    <s v="GNR_ROR_WTR"/>
    <x v="0"/>
    <x v="0"/>
  </r>
  <r>
    <x v="0"/>
    <x v="2"/>
    <x v="7"/>
    <x v="18"/>
    <s v="DK2_NoDH"/>
    <x v="20"/>
    <s v="GNR_ROR_WTR"/>
    <x v="0"/>
    <x v="0"/>
  </r>
  <r>
    <x v="0"/>
    <x v="2"/>
    <x v="6"/>
    <x v="16"/>
    <s v="EE_Rural"/>
    <x v="20"/>
    <s v="GNR_ROR_WTR"/>
    <x v="0"/>
    <x v="0"/>
  </r>
  <r>
    <x v="0"/>
    <x v="2"/>
    <x v="0"/>
    <x v="0"/>
    <s v="FinA"/>
    <x v="20"/>
    <s v="GNR_ROR_WTR"/>
    <x v="0"/>
    <x v="0"/>
  </r>
  <r>
    <x v="0"/>
    <x v="2"/>
    <x v="5"/>
    <x v="12"/>
    <s v="DE4-E_A"/>
    <x v="20"/>
    <s v="GNR_ROR_WTR"/>
    <x v="0"/>
    <x v="0"/>
  </r>
  <r>
    <x v="0"/>
    <x v="2"/>
    <x v="5"/>
    <x v="13"/>
    <s v="DE4-N_A"/>
    <x v="20"/>
    <s v="GNR_ROR_WTR"/>
    <x v="0"/>
    <x v="0"/>
  </r>
  <r>
    <x v="0"/>
    <x v="2"/>
    <x v="5"/>
    <x v="14"/>
    <s v="DE4-S_A"/>
    <x v="20"/>
    <s v="GNR_ROR_WTR"/>
    <x v="0"/>
    <x v="0"/>
  </r>
  <r>
    <x v="0"/>
    <x v="2"/>
    <x v="5"/>
    <x v="15"/>
    <s v="DE4-W_A"/>
    <x v="20"/>
    <s v="GNR_ROR_WTR"/>
    <x v="0"/>
    <x v="0"/>
  </r>
  <r>
    <x v="0"/>
    <x v="2"/>
    <x v="3"/>
    <x v="10"/>
    <s v="LT_KauU"/>
    <x v="20"/>
    <s v="GNR_ROR_WTR"/>
    <x v="0"/>
    <x v="0"/>
  </r>
  <r>
    <x v="0"/>
    <x v="2"/>
    <x v="8"/>
    <x v="19"/>
    <s v="NL_A"/>
    <x v="20"/>
    <s v="GNR_ROR_WTR"/>
    <x v="0"/>
    <x v="0"/>
  </r>
  <r>
    <x v="0"/>
    <x v="2"/>
    <x v="2"/>
    <x v="6"/>
    <s v="NO1_A1"/>
    <x v="20"/>
    <s v="GNR_ROR_WTR"/>
    <x v="0"/>
    <x v="0"/>
  </r>
  <r>
    <x v="0"/>
    <x v="2"/>
    <x v="2"/>
    <x v="7"/>
    <s v="NO2_A1"/>
    <x v="20"/>
    <s v="GNR_ROR_WTR"/>
    <x v="0"/>
    <x v="0"/>
  </r>
  <r>
    <x v="0"/>
    <x v="2"/>
    <x v="2"/>
    <x v="5"/>
    <s v="NO3_A1"/>
    <x v="20"/>
    <s v="GNR_ROR_WTR"/>
    <x v="0"/>
    <x v="0"/>
  </r>
  <r>
    <x v="0"/>
    <x v="2"/>
    <x v="2"/>
    <x v="8"/>
    <s v="NO4_A1"/>
    <x v="20"/>
    <s v="GNR_ROR_WTR"/>
    <x v="0"/>
    <x v="0"/>
  </r>
  <r>
    <x v="0"/>
    <x v="2"/>
    <x v="2"/>
    <x v="9"/>
    <s v="NO5_A1"/>
    <x v="20"/>
    <s v="GNR_ROR_WTR"/>
    <x v="0"/>
    <x v="0"/>
  </r>
  <r>
    <x v="0"/>
    <x v="2"/>
    <x v="4"/>
    <x v="11"/>
    <s v="PL_Rural"/>
    <x v="20"/>
    <s v="GNR_ROR_WTR"/>
    <x v="0"/>
    <x v="0"/>
  </r>
  <r>
    <x v="0"/>
    <x v="2"/>
    <x v="1"/>
    <x v="1"/>
    <s v="SE1A"/>
    <x v="20"/>
    <s v="GNR_ROR_WTR"/>
    <x v="0"/>
    <x v="0"/>
  </r>
  <r>
    <x v="0"/>
    <x v="2"/>
    <x v="1"/>
    <x v="2"/>
    <s v="SE2A"/>
    <x v="20"/>
    <s v="GNR_ROR_WTR"/>
    <x v="0"/>
    <x v="0"/>
  </r>
  <r>
    <x v="0"/>
    <x v="2"/>
    <x v="1"/>
    <x v="3"/>
    <s v="SE3A"/>
    <x v="20"/>
    <s v="GNR_ROR_WTR"/>
    <x v="0"/>
    <x v="0"/>
  </r>
  <r>
    <x v="0"/>
    <x v="2"/>
    <x v="1"/>
    <x v="4"/>
    <s v="SE4A"/>
    <x v="20"/>
    <s v="GNR_ROR_WTR"/>
    <x v="0"/>
    <x v="0"/>
  </r>
  <r>
    <x v="0"/>
    <x v="2"/>
    <x v="9"/>
    <x v="20"/>
    <s v="UK_A"/>
    <x v="20"/>
    <s v="GNR_ROR_WTR"/>
    <x v="0"/>
    <x v="0"/>
  </r>
  <r>
    <x v="0"/>
    <x v="0"/>
    <x v="5"/>
    <x v="15"/>
    <s v="DE4-W_A"/>
    <x v="18"/>
    <s v="GNR_ST_BGAS_BP_E-33"/>
    <x v="0"/>
    <x v="0"/>
  </r>
  <r>
    <x v="0"/>
    <x v="1"/>
    <x v="5"/>
    <x v="15"/>
    <s v="DE4-W_A"/>
    <x v="18"/>
    <s v="GNR_ST_BGAS_BP_E-33"/>
    <x v="0"/>
    <x v="0"/>
  </r>
  <r>
    <x v="0"/>
    <x v="0"/>
    <x v="5"/>
    <x v="12"/>
    <s v="DE4-E_A"/>
    <x v="18"/>
    <s v="GNR_ST_BGAS_BP_E-38"/>
    <x v="0"/>
    <x v="0"/>
  </r>
  <r>
    <x v="0"/>
    <x v="0"/>
    <x v="5"/>
    <x v="13"/>
    <s v="DE4-N_A"/>
    <x v="18"/>
    <s v="GNR_ST_BGAS_BP_E-38"/>
    <x v="0"/>
    <x v="0"/>
  </r>
  <r>
    <x v="0"/>
    <x v="0"/>
    <x v="5"/>
    <x v="14"/>
    <s v="DE4-S_A"/>
    <x v="18"/>
    <s v="GNR_ST_BGAS_BP_E-38"/>
    <x v="0"/>
    <x v="0"/>
  </r>
  <r>
    <x v="0"/>
    <x v="0"/>
    <x v="5"/>
    <x v="15"/>
    <s v="DE4-W_A"/>
    <x v="18"/>
    <s v="GNR_ST_BGAS_BP_E-38"/>
    <x v="0"/>
    <x v="0"/>
  </r>
  <r>
    <x v="0"/>
    <x v="1"/>
    <x v="5"/>
    <x v="12"/>
    <s v="DE4-E_A"/>
    <x v="18"/>
    <s v="GNR_ST_BGAS_BP_E-38"/>
    <x v="0"/>
    <x v="0"/>
  </r>
  <r>
    <x v="0"/>
    <x v="1"/>
    <x v="5"/>
    <x v="13"/>
    <s v="DE4-N_A"/>
    <x v="18"/>
    <s v="GNR_ST_BGAS_BP_E-38"/>
    <x v="0"/>
    <x v="0"/>
  </r>
  <r>
    <x v="0"/>
    <x v="1"/>
    <x v="5"/>
    <x v="14"/>
    <s v="DE4-S_A"/>
    <x v="18"/>
    <s v="GNR_ST_BGAS_BP_E-38"/>
    <x v="0"/>
    <x v="0"/>
  </r>
  <r>
    <x v="0"/>
    <x v="1"/>
    <x v="5"/>
    <x v="15"/>
    <s v="DE4-W_A"/>
    <x v="18"/>
    <s v="GNR_ST_BGAS_BP_E-38"/>
    <x v="0"/>
    <x v="0"/>
  </r>
  <r>
    <x v="0"/>
    <x v="2"/>
    <x v="5"/>
    <x v="12"/>
    <s v="DE4-E_A"/>
    <x v="18"/>
    <s v="GNR_ST_BGAS_BP_E-38"/>
    <x v="0"/>
    <x v="0"/>
  </r>
  <r>
    <x v="0"/>
    <x v="2"/>
    <x v="5"/>
    <x v="13"/>
    <s v="DE4-N_A"/>
    <x v="18"/>
    <s v="GNR_ST_BGAS_BP_E-38"/>
    <x v="0"/>
    <x v="0"/>
  </r>
  <r>
    <x v="0"/>
    <x v="2"/>
    <x v="5"/>
    <x v="14"/>
    <s v="DE4-S_A"/>
    <x v="18"/>
    <s v="GNR_ST_BGAS_BP_E-38"/>
    <x v="0"/>
    <x v="0"/>
  </r>
  <r>
    <x v="0"/>
    <x v="2"/>
    <x v="5"/>
    <x v="15"/>
    <s v="DE4-W_A"/>
    <x v="18"/>
    <s v="GNR_ST_BGAS_BP_E-38"/>
    <x v="0"/>
    <x v="0"/>
  </r>
  <r>
    <x v="0"/>
    <x v="0"/>
    <x v="4"/>
    <x v="11"/>
    <s v="PL_A"/>
    <x v="18"/>
    <s v="GNR_ST_BGAS_CND_E-37"/>
    <x v="0"/>
    <x v="0"/>
  </r>
  <r>
    <x v="0"/>
    <x v="1"/>
    <x v="4"/>
    <x v="11"/>
    <s v="PL_A"/>
    <x v="18"/>
    <s v="GNR_ST_BGAS_CND_E-37"/>
    <x v="0"/>
    <x v="0"/>
  </r>
  <r>
    <x v="0"/>
    <x v="2"/>
    <x v="4"/>
    <x v="11"/>
    <s v="PL_A"/>
    <x v="18"/>
    <s v="GNR_ST_BGAS_CND_E-37"/>
    <x v="0"/>
    <x v="0"/>
  </r>
  <r>
    <x v="0"/>
    <x v="0"/>
    <x v="5"/>
    <x v="12"/>
    <s v="DE4-E_A"/>
    <x v="18"/>
    <s v="GNR_ST_BGAS_CND_E-38"/>
    <x v="0"/>
    <x v="0"/>
  </r>
  <r>
    <x v="0"/>
    <x v="0"/>
    <x v="5"/>
    <x v="14"/>
    <s v="DE4-S_A"/>
    <x v="18"/>
    <s v="GNR_ST_BGAS_CND_E-38"/>
    <x v="0"/>
    <x v="0"/>
  </r>
  <r>
    <x v="0"/>
    <x v="0"/>
    <x v="5"/>
    <x v="15"/>
    <s v="DE4-W_A"/>
    <x v="18"/>
    <s v="GNR_ST_BGAS_CND_E-38"/>
    <x v="0"/>
    <x v="0"/>
  </r>
  <r>
    <x v="0"/>
    <x v="1"/>
    <x v="5"/>
    <x v="12"/>
    <s v="DE4-E_A"/>
    <x v="18"/>
    <s v="GNR_ST_BGAS_CND_E-38"/>
    <x v="0"/>
    <x v="0"/>
  </r>
  <r>
    <x v="0"/>
    <x v="1"/>
    <x v="5"/>
    <x v="14"/>
    <s v="DE4-S_A"/>
    <x v="18"/>
    <s v="GNR_ST_BGAS_CND_E-38"/>
    <x v="0"/>
    <x v="0"/>
  </r>
  <r>
    <x v="0"/>
    <x v="1"/>
    <x v="5"/>
    <x v="15"/>
    <s v="DE4-W_A"/>
    <x v="18"/>
    <s v="GNR_ST_BGAS_CND_E-38"/>
    <x v="0"/>
    <x v="0"/>
  </r>
  <r>
    <x v="0"/>
    <x v="2"/>
    <x v="5"/>
    <x v="12"/>
    <s v="DE4-E_A"/>
    <x v="18"/>
    <s v="GNR_ST_BGAS_CND_E-38"/>
    <x v="0"/>
    <x v="0"/>
  </r>
  <r>
    <x v="0"/>
    <x v="2"/>
    <x v="5"/>
    <x v="15"/>
    <s v="DE4-W_A"/>
    <x v="18"/>
    <s v="GNR_ST_BGAS_CND_E-38"/>
    <x v="0"/>
    <x v="0"/>
  </r>
  <r>
    <x v="0"/>
    <x v="0"/>
    <x v="9"/>
    <x v="20"/>
    <s v="UK_A"/>
    <x v="18"/>
    <s v="GNR_ST_BGAS_CND_E-40"/>
    <x v="0"/>
    <x v="0"/>
  </r>
  <r>
    <x v="0"/>
    <x v="1"/>
    <x v="9"/>
    <x v="20"/>
    <s v="UK_A"/>
    <x v="18"/>
    <s v="GNR_ST_BGAS_CND_E-40"/>
    <x v="0"/>
    <x v="0"/>
  </r>
  <r>
    <x v="0"/>
    <x v="2"/>
    <x v="9"/>
    <x v="20"/>
    <s v="UK_A"/>
    <x v="18"/>
    <s v="GNR_ST_BGAS_CND_E-40"/>
    <x v="0"/>
    <x v="0"/>
  </r>
  <r>
    <x v="0"/>
    <x v="0"/>
    <x v="9"/>
    <x v="20"/>
    <s v="UK_A"/>
    <x v="18"/>
    <s v="GNR_ST_BGAS_CND_E-45"/>
    <x v="0"/>
    <x v="0"/>
  </r>
  <r>
    <x v="0"/>
    <x v="1"/>
    <x v="9"/>
    <x v="20"/>
    <s v="UK_A"/>
    <x v="18"/>
    <s v="GNR_ST_BGAS_CND_E-45"/>
    <x v="0"/>
    <x v="0"/>
  </r>
  <r>
    <x v="0"/>
    <x v="2"/>
    <x v="9"/>
    <x v="20"/>
    <s v="UK_A"/>
    <x v="18"/>
    <s v="GNR_ST_BGAS_CND_E-45"/>
    <x v="0"/>
    <x v="0"/>
  </r>
  <r>
    <x v="0"/>
    <x v="0"/>
    <x v="6"/>
    <x v="16"/>
    <s v="EE_Industry"/>
    <x v="18"/>
    <s v="GNR_ST_BGAS_EXT_E-38"/>
    <x v="0"/>
    <x v="0"/>
  </r>
  <r>
    <x v="0"/>
    <x v="0"/>
    <x v="6"/>
    <x v="16"/>
    <s v="EE_Parnu"/>
    <x v="18"/>
    <s v="GNR_ST_BGAS_EXT_E-38"/>
    <x v="0"/>
    <x v="0"/>
  </r>
  <r>
    <x v="0"/>
    <x v="0"/>
    <x v="6"/>
    <x v="16"/>
    <s v="EE_Rural"/>
    <x v="18"/>
    <s v="GNR_ST_BGAS_EXT_E-38"/>
    <x v="0"/>
    <x v="0"/>
  </r>
  <r>
    <x v="0"/>
    <x v="0"/>
    <x v="6"/>
    <x v="16"/>
    <s v="EE_Urban"/>
    <x v="18"/>
    <s v="GNR_ST_BGAS_EXT_E-38"/>
    <x v="0"/>
    <x v="0"/>
  </r>
  <r>
    <x v="0"/>
    <x v="1"/>
    <x v="6"/>
    <x v="16"/>
    <s v="EE_Industry"/>
    <x v="18"/>
    <s v="GNR_ST_BGAS_EXT_E-38"/>
    <x v="0"/>
    <x v="0"/>
  </r>
  <r>
    <x v="0"/>
    <x v="1"/>
    <x v="6"/>
    <x v="16"/>
    <s v="EE_Parnu"/>
    <x v="18"/>
    <s v="GNR_ST_BGAS_EXT_E-38"/>
    <x v="0"/>
    <x v="0"/>
  </r>
  <r>
    <x v="0"/>
    <x v="1"/>
    <x v="6"/>
    <x v="16"/>
    <s v="EE_Rural"/>
    <x v="18"/>
    <s v="GNR_ST_BGAS_EXT_E-38"/>
    <x v="0"/>
    <x v="0"/>
  </r>
  <r>
    <x v="0"/>
    <x v="1"/>
    <x v="6"/>
    <x v="16"/>
    <s v="EE_Urban"/>
    <x v="18"/>
    <s v="GNR_ST_BGAS_EXT_E-38"/>
    <x v="0"/>
    <x v="0"/>
  </r>
  <r>
    <x v="0"/>
    <x v="2"/>
    <x v="6"/>
    <x v="16"/>
    <s v="EE_Industry"/>
    <x v="18"/>
    <s v="GNR_ST_BGAS_EXT_E-38"/>
    <x v="0"/>
    <x v="0"/>
  </r>
  <r>
    <x v="0"/>
    <x v="2"/>
    <x v="6"/>
    <x v="16"/>
    <s v="EE_Parnu"/>
    <x v="18"/>
    <s v="GNR_ST_BGAS_EXT_E-38"/>
    <x v="0"/>
    <x v="0"/>
  </r>
  <r>
    <x v="0"/>
    <x v="2"/>
    <x v="6"/>
    <x v="16"/>
    <s v="EE_Rural"/>
    <x v="18"/>
    <s v="GNR_ST_BGAS_EXT_E-38"/>
    <x v="0"/>
    <x v="0"/>
  </r>
  <r>
    <x v="0"/>
    <x v="2"/>
    <x v="6"/>
    <x v="16"/>
    <s v="EE_Urban"/>
    <x v="18"/>
    <s v="GNR_ST_BGAS_EXT_E-38"/>
    <x v="0"/>
    <x v="0"/>
  </r>
  <r>
    <x v="0"/>
    <x v="0"/>
    <x v="4"/>
    <x v="11"/>
    <s v="PL_A"/>
    <x v="0"/>
    <s v="GNR_ST_COAL_BP_E-15"/>
    <x v="0"/>
    <x v="0"/>
  </r>
  <r>
    <x v="0"/>
    <x v="1"/>
    <x v="4"/>
    <x v="11"/>
    <s v="PL_A"/>
    <x v="0"/>
    <s v="GNR_ST_COAL_BP_E-15"/>
    <x v="0"/>
    <x v="0"/>
  </r>
  <r>
    <x v="0"/>
    <x v="2"/>
    <x v="4"/>
    <x v="11"/>
    <s v="PL_A"/>
    <x v="0"/>
    <s v="GNR_ST_COAL_BP_E-15"/>
    <x v="0"/>
    <x v="0"/>
  </r>
  <r>
    <x v="0"/>
    <x v="0"/>
    <x v="5"/>
    <x v="15"/>
    <s v="DE4-W_A"/>
    <x v="0"/>
    <s v="GNR_ST_COAL_BP_E-33"/>
    <x v="0"/>
    <x v="0"/>
  </r>
  <r>
    <x v="0"/>
    <x v="1"/>
    <x v="5"/>
    <x v="15"/>
    <s v="DE4-W_A"/>
    <x v="0"/>
    <s v="GNR_ST_COAL_BP_E-33"/>
    <x v="0"/>
    <x v="0"/>
  </r>
  <r>
    <x v="0"/>
    <x v="0"/>
    <x v="5"/>
    <x v="14"/>
    <s v="DE4-S_A"/>
    <x v="0"/>
    <s v="GNR_ST_COAL_BP_E-34"/>
    <x v="0"/>
    <x v="0"/>
  </r>
  <r>
    <x v="0"/>
    <x v="1"/>
    <x v="5"/>
    <x v="14"/>
    <s v="DE4-S_A"/>
    <x v="0"/>
    <s v="GNR_ST_COAL_BP_E-34"/>
    <x v="0"/>
    <x v="0"/>
  </r>
  <r>
    <x v="0"/>
    <x v="0"/>
    <x v="7"/>
    <x v="18"/>
    <s v="DK2_Rural"/>
    <x v="0"/>
    <s v="GNR_ST_COAL_BP_E-35"/>
    <x v="0"/>
    <x v="0"/>
  </r>
  <r>
    <x v="0"/>
    <x v="0"/>
    <x v="5"/>
    <x v="12"/>
    <s v="DE4-E_A"/>
    <x v="0"/>
    <s v="GNR_ST_COAL_BP_E-35"/>
    <x v="0"/>
    <x v="0"/>
  </r>
  <r>
    <x v="0"/>
    <x v="1"/>
    <x v="7"/>
    <x v="18"/>
    <s v="DK2_Rural"/>
    <x v="0"/>
    <s v="GNR_ST_COAL_BP_E-35"/>
    <x v="0"/>
    <x v="0"/>
  </r>
  <r>
    <x v="0"/>
    <x v="1"/>
    <x v="5"/>
    <x v="12"/>
    <s v="DE4-E_A"/>
    <x v="0"/>
    <s v="GNR_ST_COAL_BP_E-35"/>
    <x v="0"/>
    <x v="0"/>
  </r>
  <r>
    <x v="0"/>
    <x v="2"/>
    <x v="7"/>
    <x v="18"/>
    <s v="DK2_Rural"/>
    <x v="0"/>
    <s v="GNR_ST_COAL_BP_E-35"/>
    <x v="0"/>
    <x v="0"/>
  </r>
  <r>
    <x v="0"/>
    <x v="0"/>
    <x v="7"/>
    <x v="18"/>
    <s v="DK2_Medium"/>
    <x v="0"/>
    <s v="GNR_ST_COAL_BP_E-38"/>
    <x v="0"/>
    <x v="0"/>
  </r>
  <r>
    <x v="0"/>
    <x v="1"/>
    <x v="7"/>
    <x v="18"/>
    <s v="DK2_Medium"/>
    <x v="0"/>
    <s v="GNR_ST_COAL_BP_E-38"/>
    <x v="0"/>
    <x v="0"/>
  </r>
  <r>
    <x v="0"/>
    <x v="0"/>
    <x v="5"/>
    <x v="12"/>
    <s v="DE4-E_A"/>
    <x v="0"/>
    <s v="GNR_ST_COAL_BP_E-40"/>
    <x v="0"/>
    <x v="0"/>
  </r>
  <r>
    <x v="0"/>
    <x v="0"/>
    <x v="5"/>
    <x v="13"/>
    <s v="DE4-N_A"/>
    <x v="0"/>
    <s v="GNR_ST_COAL_BP_E-40"/>
    <x v="0"/>
    <x v="0"/>
  </r>
  <r>
    <x v="0"/>
    <x v="1"/>
    <x v="5"/>
    <x v="12"/>
    <s v="DE4-E_A"/>
    <x v="0"/>
    <s v="GNR_ST_COAL_BP_E-40"/>
    <x v="0"/>
    <x v="0"/>
  </r>
  <r>
    <x v="0"/>
    <x v="1"/>
    <x v="5"/>
    <x v="13"/>
    <s v="DE4-N_A"/>
    <x v="0"/>
    <s v="GNR_ST_COAL_BP_E-40"/>
    <x v="0"/>
    <x v="0"/>
  </r>
  <r>
    <x v="0"/>
    <x v="2"/>
    <x v="5"/>
    <x v="12"/>
    <s v="DE4-E_A"/>
    <x v="0"/>
    <s v="GNR_ST_COAL_BP_E-40"/>
    <x v="0"/>
    <x v="0"/>
  </r>
  <r>
    <x v="0"/>
    <x v="2"/>
    <x v="5"/>
    <x v="13"/>
    <s v="DE4-N_A"/>
    <x v="0"/>
    <s v="GNR_ST_COAL_BP_E-40"/>
    <x v="0"/>
    <x v="0"/>
  </r>
  <r>
    <x v="0"/>
    <x v="0"/>
    <x v="5"/>
    <x v="15"/>
    <s v="DE4-W_A"/>
    <x v="0"/>
    <s v="GNR_ST_COAL_BP_E-41"/>
    <x v="0"/>
    <x v="0"/>
  </r>
  <r>
    <x v="0"/>
    <x v="1"/>
    <x v="5"/>
    <x v="15"/>
    <s v="DE4-W_A"/>
    <x v="0"/>
    <s v="GNR_ST_COAL_BP_E-41"/>
    <x v="0"/>
    <x v="0"/>
  </r>
  <r>
    <x v="0"/>
    <x v="2"/>
    <x v="5"/>
    <x v="15"/>
    <s v="DE4-W_A"/>
    <x v="0"/>
    <s v="GNR_ST_COAL_BP_E-41"/>
    <x v="0"/>
    <x v="0"/>
  </r>
  <r>
    <x v="0"/>
    <x v="0"/>
    <x v="5"/>
    <x v="14"/>
    <s v="DE4-S_A"/>
    <x v="0"/>
    <s v="GNR_ST_COAL_BP_E-43"/>
    <x v="0"/>
    <x v="0"/>
  </r>
  <r>
    <x v="0"/>
    <x v="1"/>
    <x v="5"/>
    <x v="14"/>
    <s v="DE4-S_A"/>
    <x v="0"/>
    <s v="GNR_ST_COAL_BP_E-43"/>
    <x v="0"/>
    <x v="0"/>
  </r>
  <r>
    <x v="0"/>
    <x v="2"/>
    <x v="5"/>
    <x v="14"/>
    <s v="DE4-S_A"/>
    <x v="0"/>
    <s v="GNR_ST_COAL_BP_E-43"/>
    <x v="0"/>
    <x v="0"/>
  </r>
  <r>
    <x v="0"/>
    <x v="0"/>
    <x v="9"/>
    <x v="20"/>
    <s v="UK_A"/>
    <x v="0"/>
    <s v="GNR_ST_COAL_CND_E-33"/>
    <x v="0"/>
    <x v="0"/>
  </r>
  <r>
    <x v="0"/>
    <x v="0"/>
    <x v="9"/>
    <x v="20"/>
    <s v="UK_A"/>
    <x v="0"/>
    <s v="GNR_ST_COAL_CND_E-35"/>
    <x v="0"/>
    <x v="0"/>
  </r>
  <r>
    <x v="0"/>
    <x v="1"/>
    <x v="9"/>
    <x v="20"/>
    <s v="UK_A"/>
    <x v="0"/>
    <s v="GNR_ST_COAL_CND_E-35"/>
    <x v="0"/>
    <x v="0"/>
  </r>
  <r>
    <x v="0"/>
    <x v="2"/>
    <x v="9"/>
    <x v="20"/>
    <s v="UK_A"/>
    <x v="0"/>
    <s v="GNR_ST_COAL_CND_E-35"/>
    <x v="0"/>
    <x v="0"/>
  </r>
  <r>
    <x v="0"/>
    <x v="0"/>
    <x v="5"/>
    <x v="15"/>
    <s v="DE4-W_A"/>
    <x v="0"/>
    <s v="GNR_ST_COAL_CND_E-37"/>
    <x v="0"/>
    <x v="0"/>
  </r>
  <r>
    <x v="0"/>
    <x v="1"/>
    <x v="5"/>
    <x v="15"/>
    <s v="DE4-W_A"/>
    <x v="0"/>
    <s v="GNR_ST_COAL_CND_E-37"/>
    <x v="0"/>
    <x v="0"/>
  </r>
  <r>
    <x v="0"/>
    <x v="0"/>
    <x v="5"/>
    <x v="14"/>
    <s v="DE4-S_A"/>
    <x v="0"/>
    <s v="GNR_ST_COAL_CND_E-38"/>
    <x v="0"/>
    <x v="0"/>
  </r>
  <r>
    <x v="0"/>
    <x v="1"/>
    <x v="5"/>
    <x v="14"/>
    <s v="DE4-S_A"/>
    <x v="0"/>
    <s v="GNR_ST_COAL_CND_E-38"/>
    <x v="0"/>
    <x v="0"/>
  </r>
  <r>
    <x v="0"/>
    <x v="0"/>
    <x v="8"/>
    <x v="19"/>
    <s v="NL_A"/>
    <x v="0"/>
    <s v="GNR_ST_COAL_CND_E-40"/>
    <x v="0"/>
    <x v="0"/>
  </r>
  <r>
    <x v="0"/>
    <x v="1"/>
    <x v="8"/>
    <x v="19"/>
    <s v="NL_A"/>
    <x v="0"/>
    <s v="GNR_ST_COAL_CND_E-40"/>
    <x v="0"/>
    <x v="0"/>
  </r>
  <r>
    <x v="0"/>
    <x v="2"/>
    <x v="8"/>
    <x v="19"/>
    <s v="NL_A"/>
    <x v="0"/>
    <s v="GNR_ST_COAL_CND_E-40"/>
    <x v="0"/>
    <x v="0"/>
  </r>
  <r>
    <x v="0"/>
    <x v="0"/>
    <x v="5"/>
    <x v="14"/>
    <s v="DE4-S_A"/>
    <x v="0"/>
    <s v="GNR_ST_COAL_CND_E-44"/>
    <x v="0"/>
    <x v="0"/>
  </r>
  <r>
    <x v="0"/>
    <x v="1"/>
    <x v="5"/>
    <x v="14"/>
    <s v="DE4-S_A"/>
    <x v="0"/>
    <s v="GNR_ST_COAL_CND_E-44"/>
    <x v="0"/>
    <x v="0"/>
  </r>
  <r>
    <x v="0"/>
    <x v="2"/>
    <x v="5"/>
    <x v="14"/>
    <s v="DE4-S_A"/>
    <x v="0"/>
    <s v="GNR_ST_COAL_CND_E-44"/>
    <x v="0"/>
    <x v="0"/>
  </r>
  <r>
    <x v="0"/>
    <x v="0"/>
    <x v="5"/>
    <x v="15"/>
    <s v="DE4-W_A"/>
    <x v="0"/>
    <s v="GNR_ST_COAL_CND_E-45"/>
    <x v="0"/>
    <x v="0"/>
  </r>
  <r>
    <x v="0"/>
    <x v="1"/>
    <x v="5"/>
    <x v="15"/>
    <s v="DE4-W_A"/>
    <x v="0"/>
    <s v="GNR_ST_COAL_CND_E-45"/>
    <x v="0"/>
    <x v="0"/>
  </r>
  <r>
    <x v="0"/>
    <x v="2"/>
    <x v="5"/>
    <x v="15"/>
    <s v="DE4-W_A"/>
    <x v="0"/>
    <s v="GNR_ST_COAL_CND_E-45"/>
    <x v="0"/>
    <x v="0"/>
  </r>
  <r>
    <x v="0"/>
    <x v="0"/>
    <x v="5"/>
    <x v="13"/>
    <s v="DE4-N_A"/>
    <x v="0"/>
    <s v="GNR_ST_COAL_CND_E-46"/>
    <x v="0"/>
    <x v="0"/>
  </r>
  <r>
    <x v="0"/>
    <x v="1"/>
    <x v="5"/>
    <x v="13"/>
    <s v="DE4-N_A"/>
    <x v="0"/>
    <s v="GNR_ST_COAL_CND_E-46"/>
    <x v="0"/>
    <x v="0"/>
  </r>
  <r>
    <x v="0"/>
    <x v="2"/>
    <x v="5"/>
    <x v="13"/>
    <s v="DE4-N_A"/>
    <x v="0"/>
    <s v="GNR_ST_COAL_CND_E-46"/>
    <x v="0"/>
    <x v="0"/>
  </r>
  <r>
    <x v="0"/>
    <x v="0"/>
    <x v="7"/>
    <x v="18"/>
    <s v="DK2_Medium"/>
    <x v="0"/>
    <s v="GNR_ST_COAL_EXT_E-41"/>
    <x v="0"/>
    <x v="0"/>
  </r>
  <r>
    <x v="0"/>
    <x v="1"/>
    <x v="7"/>
    <x v="18"/>
    <s v="DK2_Medium"/>
    <x v="0"/>
    <s v="GNR_ST_COAL_EXT_E-41"/>
    <x v="0"/>
    <x v="0"/>
  </r>
  <r>
    <x v="0"/>
    <x v="0"/>
    <x v="7"/>
    <x v="17"/>
    <s v="DK1_Large"/>
    <x v="0"/>
    <s v="GNR_ST_COAL_EXT_E-42"/>
    <x v="0"/>
    <x v="0"/>
  </r>
  <r>
    <x v="0"/>
    <x v="0"/>
    <x v="7"/>
    <x v="18"/>
    <s v="DK2_Large"/>
    <x v="0"/>
    <s v="GNR_ST_COAL_EXT_E-42"/>
    <x v="0"/>
    <x v="0"/>
  </r>
  <r>
    <x v="0"/>
    <x v="1"/>
    <x v="7"/>
    <x v="17"/>
    <s v="DK1_Large"/>
    <x v="0"/>
    <s v="GNR_ST_COAL_EXT_E-42"/>
    <x v="0"/>
    <x v="0"/>
  </r>
  <r>
    <x v="0"/>
    <x v="1"/>
    <x v="7"/>
    <x v="18"/>
    <s v="DK2_Large"/>
    <x v="0"/>
    <s v="GNR_ST_COAL_EXT_E-42"/>
    <x v="0"/>
    <x v="0"/>
  </r>
  <r>
    <x v="0"/>
    <x v="2"/>
    <x v="7"/>
    <x v="18"/>
    <s v="DK2_Large"/>
    <x v="0"/>
    <s v="GNR_ST_COAL_EXT_E-42"/>
    <x v="0"/>
    <x v="0"/>
  </r>
  <r>
    <x v="0"/>
    <x v="0"/>
    <x v="7"/>
    <x v="17"/>
    <s v="DK1_Large"/>
    <x v="0"/>
    <s v="GNR_ST_COAL_EXT_E-43"/>
    <x v="0"/>
    <x v="0"/>
  </r>
  <r>
    <x v="0"/>
    <x v="1"/>
    <x v="7"/>
    <x v="17"/>
    <s v="DK1_Large"/>
    <x v="0"/>
    <s v="GNR_ST_COAL_EXT_E-43"/>
    <x v="0"/>
    <x v="0"/>
  </r>
  <r>
    <x v="0"/>
    <x v="0"/>
    <x v="7"/>
    <x v="17"/>
    <s v="DK1_Large"/>
    <x v="0"/>
    <s v="GNR_ST_COAL_EXT_E-47"/>
    <x v="0"/>
    <x v="0"/>
  </r>
  <r>
    <x v="0"/>
    <x v="1"/>
    <x v="7"/>
    <x v="17"/>
    <s v="DK1_Large"/>
    <x v="0"/>
    <s v="GNR_ST_COAL_EXT_E-47"/>
    <x v="0"/>
    <x v="0"/>
  </r>
  <r>
    <x v="0"/>
    <x v="0"/>
    <x v="4"/>
    <x v="11"/>
    <s v="PL_A"/>
    <x v="1"/>
    <s v="GNR_ST_FUELOIL_BP_E-15"/>
    <x v="0"/>
    <x v="0"/>
  </r>
  <r>
    <x v="0"/>
    <x v="1"/>
    <x v="4"/>
    <x v="11"/>
    <s v="PL_A"/>
    <x v="1"/>
    <s v="GNR_ST_FUELOIL_BP_E-15"/>
    <x v="0"/>
    <x v="0"/>
  </r>
  <r>
    <x v="0"/>
    <x v="2"/>
    <x v="4"/>
    <x v="11"/>
    <s v="PL_A"/>
    <x v="1"/>
    <s v="GNR_ST_FUELOIL_BP_E-15"/>
    <x v="0"/>
    <x v="0"/>
  </r>
  <r>
    <x v="0"/>
    <x v="0"/>
    <x v="7"/>
    <x v="18"/>
    <s v="DK2_MedSmall"/>
    <x v="1"/>
    <s v="GNR_ST_FUELOIL_BP_E-27"/>
    <x v="0"/>
    <x v="0"/>
  </r>
  <r>
    <x v="0"/>
    <x v="1"/>
    <x v="7"/>
    <x v="18"/>
    <s v="DK2_MedSmall"/>
    <x v="1"/>
    <s v="GNR_ST_FUELOIL_BP_E-27"/>
    <x v="0"/>
    <x v="0"/>
  </r>
  <r>
    <x v="0"/>
    <x v="0"/>
    <x v="7"/>
    <x v="17"/>
    <s v="DK1_NoDH"/>
    <x v="1"/>
    <s v="GNR_ST_FUELOIL_BP_E-34"/>
    <x v="0"/>
    <x v="0"/>
  </r>
  <r>
    <x v="0"/>
    <x v="0"/>
    <x v="7"/>
    <x v="18"/>
    <s v="DK2_MedSmall"/>
    <x v="1"/>
    <s v="GNR_ST_FUELOIL_BP_E-34"/>
    <x v="0"/>
    <x v="0"/>
  </r>
  <r>
    <x v="0"/>
    <x v="1"/>
    <x v="7"/>
    <x v="17"/>
    <s v="DK1_NoDH"/>
    <x v="1"/>
    <s v="GNR_ST_FUELOIL_BP_E-34"/>
    <x v="0"/>
    <x v="0"/>
  </r>
  <r>
    <x v="0"/>
    <x v="1"/>
    <x v="7"/>
    <x v="18"/>
    <s v="DK2_MedSmall"/>
    <x v="1"/>
    <s v="GNR_ST_FUELOIL_BP_E-34"/>
    <x v="0"/>
    <x v="0"/>
  </r>
  <r>
    <x v="0"/>
    <x v="0"/>
    <x v="5"/>
    <x v="13"/>
    <s v="DE4-N_A"/>
    <x v="1"/>
    <s v="GNR_ST_FUELOIL_BP_E-35"/>
    <x v="0"/>
    <x v="0"/>
  </r>
  <r>
    <x v="0"/>
    <x v="1"/>
    <x v="5"/>
    <x v="13"/>
    <s v="DE4-N_A"/>
    <x v="1"/>
    <s v="GNR_ST_FUELOIL_BP_E-35"/>
    <x v="0"/>
    <x v="0"/>
  </r>
  <r>
    <x v="0"/>
    <x v="0"/>
    <x v="5"/>
    <x v="12"/>
    <s v="DE4-E_A"/>
    <x v="1"/>
    <s v="GNR_ST_FUELOIL_BP_E-36"/>
    <x v="0"/>
    <x v="0"/>
  </r>
  <r>
    <x v="0"/>
    <x v="0"/>
    <x v="5"/>
    <x v="14"/>
    <s v="DE4-S_A"/>
    <x v="1"/>
    <s v="GNR_ST_FUELOIL_BP_E-36"/>
    <x v="0"/>
    <x v="0"/>
  </r>
  <r>
    <x v="0"/>
    <x v="1"/>
    <x v="5"/>
    <x v="12"/>
    <s v="DE4-E_A"/>
    <x v="1"/>
    <s v="GNR_ST_FUELOIL_BP_E-36"/>
    <x v="0"/>
    <x v="0"/>
  </r>
  <r>
    <x v="0"/>
    <x v="1"/>
    <x v="5"/>
    <x v="14"/>
    <s v="DE4-S_A"/>
    <x v="1"/>
    <s v="GNR_ST_FUELOIL_BP_E-36"/>
    <x v="0"/>
    <x v="0"/>
  </r>
  <r>
    <x v="0"/>
    <x v="0"/>
    <x v="5"/>
    <x v="12"/>
    <s v="DE4-E_A"/>
    <x v="1"/>
    <s v="GNR_ST_FUELOIL_BP_E-38"/>
    <x v="0"/>
    <x v="0"/>
  </r>
  <r>
    <x v="0"/>
    <x v="0"/>
    <x v="5"/>
    <x v="13"/>
    <s v="DE4-N_A"/>
    <x v="1"/>
    <s v="GNR_ST_FUELOIL_BP_E-38"/>
    <x v="0"/>
    <x v="0"/>
  </r>
  <r>
    <x v="0"/>
    <x v="0"/>
    <x v="5"/>
    <x v="14"/>
    <s v="DE4-S_A"/>
    <x v="1"/>
    <s v="GNR_ST_FUELOIL_BP_E-38"/>
    <x v="0"/>
    <x v="0"/>
  </r>
  <r>
    <x v="0"/>
    <x v="1"/>
    <x v="5"/>
    <x v="12"/>
    <s v="DE4-E_A"/>
    <x v="1"/>
    <s v="GNR_ST_FUELOIL_BP_E-38"/>
    <x v="0"/>
    <x v="0"/>
  </r>
  <r>
    <x v="0"/>
    <x v="1"/>
    <x v="5"/>
    <x v="14"/>
    <s v="DE4-S_A"/>
    <x v="1"/>
    <s v="GNR_ST_FUELOIL_BP_E-38"/>
    <x v="0"/>
    <x v="0"/>
  </r>
  <r>
    <x v="0"/>
    <x v="0"/>
    <x v="7"/>
    <x v="18"/>
    <s v="DK2_Rural"/>
    <x v="1"/>
    <s v="GNR_ST_FUELOIL_CND_E-32"/>
    <x v="0"/>
    <x v="0"/>
  </r>
  <r>
    <x v="0"/>
    <x v="1"/>
    <x v="7"/>
    <x v="18"/>
    <s v="DK2_Rural"/>
    <x v="1"/>
    <s v="GNR_ST_FUELOIL_CND_E-32"/>
    <x v="0"/>
    <x v="0"/>
  </r>
  <r>
    <x v="0"/>
    <x v="0"/>
    <x v="5"/>
    <x v="13"/>
    <s v="DE4-N_A"/>
    <x v="1"/>
    <s v="GNR_ST_FUELOIL_CND_E-35"/>
    <x v="0"/>
    <x v="0"/>
  </r>
  <r>
    <x v="0"/>
    <x v="1"/>
    <x v="5"/>
    <x v="13"/>
    <s v="DE4-N_A"/>
    <x v="1"/>
    <s v="GNR_ST_FUELOIL_CND_E-35"/>
    <x v="0"/>
    <x v="0"/>
  </r>
  <r>
    <x v="0"/>
    <x v="0"/>
    <x v="9"/>
    <x v="20"/>
    <s v="UK_A"/>
    <x v="1"/>
    <s v="GNR_ST_FUELOIL_CND_E-36"/>
    <x v="0"/>
    <x v="0"/>
  </r>
  <r>
    <x v="0"/>
    <x v="1"/>
    <x v="9"/>
    <x v="20"/>
    <s v="UK_A"/>
    <x v="1"/>
    <s v="GNR_ST_FUELOIL_CND_E-36"/>
    <x v="0"/>
    <x v="0"/>
  </r>
  <r>
    <x v="0"/>
    <x v="2"/>
    <x v="9"/>
    <x v="20"/>
    <s v="UK_A"/>
    <x v="1"/>
    <s v="GNR_ST_FUELOIL_CND_E-36"/>
    <x v="0"/>
    <x v="0"/>
  </r>
  <r>
    <x v="0"/>
    <x v="0"/>
    <x v="5"/>
    <x v="14"/>
    <s v="DE4-S_A"/>
    <x v="1"/>
    <s v="GNR_ST_FUELOIL_CND_E-37"/>
    <x v="0"/>
    <x v="0"/>
  </r>
  <r>
    <x v="0"/>
    <x v="1"/>
    <x v="5"/>
    <x v="14"/>
    <s v="DE4-S_A"/>
    <x v="1"/>
    <s v="GNR_ST_FUELOIL_CND_E-37"/>
    <x v="0"/>
    <x v="0"/>
  </r>
  <r>
    <x v="0"/>
    <x v="0"/>
    <x v="5"/>
    <x v="12"/>
    <s v="DE4-E_A"/>
    <x v="1"/>
    <s v="GNR_ST_FUELOIL_CND_E-39"/>
    <x v="0"/>
    <x v="0"/>
  </r>
  <r>
    <x v="0"/>
    <x v="0"/>
    <x v="5"/>
    <x v="15"/>
    <s v="DE4-W_A"/>
    <x v="1"/>
    <s v="GNR_ST_FUELOIL_CND_E-39"/>
    <x v="0"/>
    <x v="0"/>
  </r>
  <r>
    <x v="0"/>
    <x v="1"/>
    <x v="5"/>
    <x v="12"/>
    <s v="DE4-E_A"/>
    <x v="1"/>
    <s v="GNR_ST_FUELOIL_CND_E-39"/>
    <x v="0"/>
    <x v="0"/>
  </r>
  <r>
    <x v="0"/>
    <x v="1"/>
    <x v="5"/>
    <x v="15"/>
    <s v="DE4-W_A"/>
    <x v="1"/>
    <s v="GNR_ST_FUELOIL_CND_E-39"/>
    <x v="0"/>
    <x v="0"/>
  </r>
  <r>
    <x v="0"/>
    <x v="2"/>
    <x v="5"/>
    <x v="12"/>
    <s v="DE4-E_A"/>
    <x v="1"/>
    <s v="GNR_ST_FUELOIL_CND_E-39"/>
    <x v="0"/>
    <x v="0"/>
  </r>
  <r>
    <x v="0"/>
    <x v="2"/>
    <x v="5"/>
    <x v="15"/>
    <s v="DE4-W_A"/>
    <x v="1"/>
    <s v="GNR_ST_FUELOIL_CND_E-39"/>
    <x v="0"/>
    <x v="0"/>
  </r>
  <r>
    <x v="0"/>
    <x v="0"/>
    <x v="3"/>
    <x v="10"/>
    <s v="LT_Other_DH"/>
    <x v="1"/>
    <s v="GNR_ST_FUELOIL_EXT_E-22"/>
    <x v="0"/>
    <x v="0"/>
  </r>
  <r>
    <x v="0"/>
    <x v="1"/>
    <x v="3"/>
    <x v="10"/>
    <s v="LT_Other_DH"/>
    <x v="1"/>
    <s v="GNR_ST_FUELOIL_EXT_E-22"/>
    <x v="0"/>
    <x v="0"/>
  </r>
  <r>
    <x v="0"/>
    <x v="2"/>
    <x v="3"/>
    <x v="10"/>
    <s v="LT_Other_DH"/>
    <x v="1"/>
    <s v="GNR_ST_FUELOIL_EXT_E-22"/>
    <x v="0"/>
    <x v="0"/>
  </r>
  <r>
    <x v="0"/>
    <x v="0"/>
    <x v="3"/>
    <x v="10"/>
    <s v="LT_Other_DH"/>
    <x v="2"/>
    <s v="GNR_ST_GAS_BP-E15"/>
    <x v="0"/>
    <x v="0"/>
  </r>
  <r>
    <x v="0"/>
    <x v="1"/>
    <x v="3"/>
    <x v="10"/>
    <s v="LT_Other_DH"/>
    <x v="2"/>
    <s v="GNR_ST_GAS_BP-E15"/>
    <x v="0"/>
    <x v="0"/>
  </r>
  <r>
    <x v="0"/>
    <x v="2"/>
    <x v="3"/>
    <x v="10"/>
    <s v="LT_Other_DH"/>
    <x v="2"/>
    <s v="GNR_ST_GAS_BP-E15"/>
    <x v="0"/>
    <x v="0"/>
  </r>
  <r>
    <x v="0"/>
    <x v="0"/>
    <x v="7"/>
    <x v="18"/>
    <s v="DK2_Medium"/>
    <x v="19"/>
    <s v="GNR_ST_LIGHTOIL_CND_E-33"/>
    <x v="0"/>
    <x v="0"/>
  </r>
  <r>
    <x v="0"/>
    <x v="1"/>
    <x v="7"/>
    <x v="18"/>
    <s v="DK2_Medium"/>
    <x v="19"/>
    <s v="GNR_ST_LIGHTOIL_CND_E-33"/>
    <x v="0"/>
    <x v="0"/>
  </r>
  <r>
    <x v="0"/>
    <x v="0"/>
    <x v="5"/>
    <x v="12"/>
    <s v="DE4-E_A"/>
    <x v="14"/>
    <s v="GNR_ST_LIGN_BP_E-28"/>
    <x v="0"/>
    <x v="0"/>
  </r>
  <r>
    <x v="0"/>
    <x v="1"/>
    <x v="5"/>
    <x v="12"/>
    <s v="DE4-E_A"/>
    <x v="14"/>
    <s v="GNR_ST_LIGN_BP_E-28"/>
    <x v="0"/>
    <x v="0"/>
  </r>
  <r>
    <x v="0"/>
    <x v="0"/>
    <x v="5"/>
    <x v="15"/>
    <s v="DE4-W_A"/>
    <x v="14"/>
    <s v="GNR_ST_LIGN_BP_E-33"/>
    <x v="0"/>
    <x v="0"/>
  </r>
  <r>
    <x v="0"/>
    <x v="1"/>
    <x v="5"/>
    <x v="15"/>
    <s v="DE4-W_A"/>
    <x v="14"/>
    <s v="GNR_ST_LIGN_BP_E-33"/>
    <x v="0"/>
    <x v="0"/>
  </r>
  <r>
    <x v="0"/>
    <x v="0"/>
    <x v="5"/>
    <x v="15"/>
    <s v="DE4-W_A"/>
    <x v="14"/>
    <s v="GNR_ST_LIGN_BP_E-37"/>
    <x v="0"/>
    <x v="0"/>
  </r>
  <r>
    <x v="0"/>
    <x v="1"/>
    <x v="5"/>
    <x v="15"/>
    <s v="DE4-W_A"/>
    <x v="14"/>
    <s v="GNR_ST_LIGN_BP_E-37"/>
    <x v="0"/>
    <x v="0"/>
  </r>
  <r>
    <x v="0"/>
    <x v="2"/>
    <x v="5"/>
    <x v="15"/>
    <s v="DE4-W_A"/>
    <x v="14"/>
    <s v="GNR_ST_LIGN_BP_E-37"/>
    <x v="0"/>
    <x v="0"/>
  </r>
  <r>
    <x v="0"/>
    <x v="0"/>
    <x v="5"/>
    <x v="12"/>
    <s v="DE4-E_A"/>
    <x v="14"/>
    <s v="GNR_ST_LIGN_BP_E-39"/>
    <x v="0"/>
    <x v="0"/>
  </r>
  <r>
    <x v="0"/>
    <x v="1"/>
    <x v="5"/>
    <x v="12"/>
    <s v="DE4-E_A"/>
    <x v="14"/>
    <s v="GNR_ST_LIGN_BP_E-39"/>
    <x v="0"/>
    <x v="0"/>
  </r>
  <r>
    <x v="0"/>
    <x v="2"/>
    <x v="5"/>
    <x v="12"/>
    <s v="DE4-E_A"/>
    <x v="14"/>
    <s v="GNR_ST_LIGN_BP_E-39"/>
    <x v="0"/>
    <x v="0"/>
  </r>
  <r>
    <x v="0"/>
    <x v="0"/>
    <x v="5"/>
    <x v="15"/>
    <s v="DE4-W_A"/>
    <x v="14"/>
    <s v="GNR_ST_LIGN_CND_E-32"/>
    <x v="0"/>
    <x v="0"/>
  </r>
  <r>
    <x v="0"/>
    <x v="1"/>
    <x v="5"/>
    <x v="15"/>
    <s v="DE4-W_A"/>
    <x v="14"/>
    <s v="GNR_ST_LIGN_CND_E-32"/>
    <x v="0"/>
    <x v="0"/>
  </r>
  <r>
    <x v="0"/>
    <x v="0"/>
    <x v="5"/>
    <x v="15"/>
    <s v="DE4-W_A"/>
    <x v="14"/>
    <s v="GNR_ST_LIGN_CND_E-41"/>
    <x v="0"/>
    <x v="0"/>
  </r>
  <r>
    <x v="0"/>
    <x v="1"/>
    <x v="5"/>
    <x v="15"/>
    <s v="DE4-W_A"/>
    <x v="14"/>
    <s v="GNR_ST_LIGN_CND_E-41"/>
    <x v="0"/>
    <x v="0"/>
  </r>
  <r>
    <x v="0"/>
    <x v="2"/>
    <x v="5"/>
    <x v="15"/>
    <s v="DE4-W_A"/>
    <x v="14"/>
    <s v="GNR_ST_LIGN_CND_E-41"/>
    <x v="0"/>
    <x v="0"/>
  </r>
  <r>
    <x v="0"/>
    <x v="0"/>
    <x v="5"/>
    <x v="12"/>
    <s v="DE4-E_A"/>
    <x v="14"/>
    <s v="GNR_ST_LIGN_CND_E-43"/>
    <x v="0"/>
    <x v="0"/>
  </r>
  <r>
    <x v="0"/>
    <x v="1"/>
    <x v="5"/>
    <x v="12"/>
    <s v="DE4-E_A"/>
    <x v="14"/>
    <s v="GNR_ST_LIGN_CND_E-43"/>
    <x v="0"/>
    <x v="0"/>
  </r>
  <r>
    <x v="0"/>
    <x v="2"/>
    <x v="5"/>
    <x v="12"/>
    <s v="DE4-E_A"/>
    <x v="14"/>
    <s v="GNR_ST_LIGN_CND_E-43"/>
    <x v="0"/>
    <x v="0"/>
  </r>
  <r>
    <x v="0"/>
    <x v="0"/>
    <x v="4"/>
    <x v="11"/>
    <s v="PL_A"/>
    <x v="9"/>
    <s v="GNR_ST_MSW_BP_E-15"/>
    <x v="0"/>
    <x v="0"/>
  </r>
  <r>
    <x v="0"/>
    <x v="1"/>
    <x v="4"/>
    <x v="11"/>
    <s v="PL_A"/>
    <x v="9"/>
    <s v="GNR_ST_MSW_BP_E-15"/>
    <x v="0"/>
    <x v="0"/>
  </r>
  <r>
    <x v="0"/>
    <x v="2"/>
    <x v="4"/>
    <x v="11"/>
    <s v="PL_A"/>
    <x v="9"/>
    <s v="GNR_ST_MSW_BP_E-15"/>
    <x v="0"/>
    <x v="0"/>
  </r>
  <r>
    <x v="0"/>
    <x v="0"/>
    <x v="7"/>
    <x v="18"/>
    <s v="DK2_Large"/>
    <x v="9"/>
    <s v="GNR_ST_MSW_BP_E-16"/>
    <x v="0"/>
    <x v="0"/>
  </r>
  <r>
    <x v="0"/>
    <x v="0"/>
    <x v="7"/>
    <x v="17"/>
    <s v="DK1_MedSmall"/>
    <x v="9"/>
    <s v="GNR_ST_MSW_BP_E-17"/>
    <x v="0"/>
    <x v="0"/>
  </r>
  <r>
    <x v="0"/>
    <x v="0"/>
    <x v="7"/>
    <x v="17"/>
    <s v="DK1_Large"/>
    <x v="9"/>
    <s v="GNR_ST_MSW_BP_E-18"/>
    <x v="0"/>
    <x v="0"/>
  </r>
  <r>
    <x v="0"/>
    <x v="0"/>
    <x v="7"/>
    <x v="17"/>
    <s v="DK1_Medium"/>
    <x v="9"/>
    <s v="GNR_ST_MSW_BP_E-18"/>
    <x v="0"/>
    <x v="0"/>
  </r>
  <r>
    <x v="0"/>
    <x v="0"/>
    <x v="7"/>
    <x v="17"/>
    <s v="DK1_Large"/>
    <x v="9"/>
    <s v="GNR_ST_MSW_BP_E-19"/>
    <x v="0"/>
    <x v="0"/>
  </r>
  <r>
    <x v="0"/>
    <x v="1"/>
    <x v="7"/>
    <x v="17"/>
    <s v="DK1_Large"/>
    <x v="9"/>
    <s v="GNR_ST_MSW_BP_E-19"/>
    <x v="0"/>
    <x v="0"/>
  </r>
  <r>
    <x v="0"/>
    <x v="0"/>
    <x v="7"/>
    <x v="17"/>
    <s v="DK1_MedSmall"/>
    <x v="9"/>
    <s v="GNR_ST_MSW_BP_E-20"/>
    <x v="0"/>
    <x v="0"/>
  </r>
  <r>
    <x v="0"/>
    <x v="0"/>
    <x v="7"/>
    <x v="17"/>
    <s v="DK1_Small"/>
    <x v="9"/>
    <s v="GNR_ST_MSW_BP_E-20"/>
    <x v="0"/>
    <x v="0"/>
  </r>
  <r>
    <x v="0"/>
    <x v="0"/>
    <x v="7"/>
    <x v="18"/>
    <s v="DK2_Large"/>
    <x v="9"/>
    <s v="GNR_ST_MSW_BP_E-20"/>
    <x v="0"/>
    <x v="0"/>
  </r>
  <r>
    <x v="0"/>
    <x v="1"/>
    <x v="7"/>
    <x v="17"/>
    <s v="DK1_Small"/>
    <x v="9"/>
    <s v="GNR_ST_MSW_BP_E-20"/>
    <x v="0"/>
    <x v="0"/>
  </r>
  <r>
    <x v="0"/>
    <x v="1"/>
    <x v="7"/>
    <x v="18"/>
    <s v="DK2_Large"/>
    <x v="9"/>
    <s v="GNR_ST_MSW_BP_E-20"/>
    <x v="0"/>
    <x v="0"/>
  </r>
  <r>
    <x v="0"/>
    <x v="0"/>
    <x v="7"/>
    <x v="17"/>
    <s v="DK1_MedSmall"/>
    <x v="9"/>
    <s v="GNR_ST_MSW_BP_E-21"/>
    <x v="0"/>
    <x v="0"/>
  </r>
  <r>
    <x v="0"/>
    <x v="0"/>
    <x v="7"/>
    <x v="17"/>
    <s v="DK1_Medium"/>
    <x v="9"/>
    <s v="GNR_ST_MSW_BP_E-21"/>
    <x v="0"/>
    <x v="0"/>
  </r>
  <r>
    <x v="0"/>
    <x v="0"/>
    <x v="7"/>
    <x v="18"/>
    <s v="DK2_Large"/>
    <x v="9"/>
    <s v="GNR_ST_MSW_BP_E-21"/>
    <x v="0"/>
    <x v="0"/>
  </r>
  <r>
    <x v="0"/>
    <x v="0"/>
    <x v="7"/>
    <x v="18"/>
    <s v="DK2_MedSmall"/>
    <x v="9"/>
    <s v="GNR_ST_MSW_BP_E-21"/>
    <x v="0"/>
    <x v="0"/>
  </r>
  <r>
    <x v="0"/>
    <x v="1"/>
    <x v="7"/>
    <x v="17"/>
    <s v="DK1_MedSmall"/>
    <x v="9"/>
    <s v="GNR_ST_MSW_BP_E-21"/>
    <x v="0"/>
    <x v="0"/>
  </r>
  <r>
    <x v="0"/>
    <x v="1"/>
    <x v="7"/>
    <x v="18"/>
    <s v="DK2_Large"/>
    <x v="9"/>
    <s v="GNR_ST_MSW_BP_E-21"/>
    <x v="0"/>
    <x v="0"/>
  </r>
  <r>
    <x v="0"/>
    <x v="1"/>
    <x v="7"/>
    <x v="18"/>
    <s v="DK2_MedSmall"/>
    <x v="9"/>
    <s v="GNR_ST_MSW_BP_E-21"/>
    <x v="0"/>
    <x v="0"/>
  </r>
  <r>
    <x v="0"/>
    <x v="0"/>
    <x v="7"/>
    <x v="17"/>
    <s v="DK1_Large"/>
    <x v="9"/>
    <s v="GNR_ST_MSW_BP_E-22"/>
    <x v="0"/>
    <x v="0"/>
  </r>
  <r>
    <x v="0"/>
    <x v="0"/>
    <x v="7"/>
    <x v="17"/>
    <s v="DK1_MedSmall"/>
    <x v="9"/>
    <s v="GNR_ST_MSW_BP_E-22"/>
    <x v="0"/>
    <x v="0"/>
  </r>
  <r>
    <x v="0"/>
    <x v="0"/>
    <x v="7"/>
    <x v="17"/>
    <s v="DK1_Medium"/>
    <x v="9"/>
    <s v="GNR_ST_MSW_BP_E-22"/>
    <x v="0"/>
    <x v="0"/>
  </r>
  <r>
    <x v="0"/>
    <x v="1"/>
    <x v="7"/>
    <x v="17"/>
    <s v="DK1_Large"/>
    <x v="9"/>
    <s v="GNR_ST_MSW_BP_E-22"/>
    <x v="0"/>
    <x v="0"/>
  </r>
  <r>
    <x v="0"/>
    <x v="1"/>
    <x v="7"/>
    <x v="17"/>
    <s v="DK1_MedSmall"/>
    <x v="9"/>
    <s v="GNR_ST_MSW_BP_E-22"/>
    <x v="0"/>
    <x v="0"/>
  </r>
  <r>
    <x v="0"/>
    <x v="1"/>
    <x v="7"/>
    <x v="17"/>
    <s v="DK1_Medium"/>
    <x v="9"/>
    <s v="GNR_ST_MSW_BP_E-22"/>
    <x v="0"/>
    <x v="0"/>
  </r>
  <r>
    <x v="0"/>
    <x v="0"/>
    <x v="7"/>
    <x v="17"/>
    <s v="DK1_Large"/>
    <x v="9"/>
    <s v="GNR_ST_MSW_BP_E-23"/>
    <x v="0"/>
    <x v="0"/>
  </r>
  <r>
    <x v="0"/>
    <x v="0"/>
    <x v="7"/>
    <x v="18"/>
    <s v="DK2_Medium"/>
    <x v="9"/>
    <s v="GNR_ST_MSW_BP_E-23"/>
    <x v="0"/>
    <x v="0"/>
  </r>
  <r>
    <x v="0"/>
    <x v="1"/>
    <x v="7"/>
    <x v="17"/>
    <s v="DK1_Large"/>
    <x v="9"/>
    <s v="GNR_ST_MSW_BP_E-23"/>
    <x v="0"/>
    <x v="0"/>
  </r>
  <r>
    <x v="0"/>
    <x v="1"/>
    <x v="7"/>
    <x v="18"/>
    <s v="DK2_Medium"/>
    <x v="9"/>
    <s v="GNR_ST_MSW_BP_E-23"/>
    <x v="0"/>
    <x v="0"/>
  </r>
  <r>
    <x v="0"/>
    <x v="2"/>
    <x v="7"/>
    <x v="18"/>
    <s v="DK2_Medium"/>
    <x v="9"/>
    <s v="GNR_ST_MSW_BP_E-23"/>
    <x v="0"/>
    <x v="0"/>
  </r>
  <r>
    <x v="0"/>
    <x v="0"/>
    <x v="7"/>
    <x v="18"/>
    <s v="DK2_MedSmall"/>
    <x v="9"/>
    <s v="GNR_ST_MSW_BP_E-25"/>
    <x v="0"/>
    <x v="0"/>
  </r>
  <r>
    <x v="0"/>
    <x v="0"/>
    <x v="7"/>
    <x v="18"/>
    <s v="DK2_Medium"/>
    <x v="9"/>
    <s v="GNR_ST_MSW_BP_E-25"/>
    <x v="0"/>
    <x v="0"/>
  </r>
  <r>
    <x v="0"/>
    <x v="1"/>
    <x v="7"/>
    <x v="18"/>
    <s v="DK2_MedSmall"/>
    <x v="9"/>
    <s v="GNR_ST_MSW_BP_E-25"/>
    <x v="0"/>
    <x v="0"/>
  </r>
  <r>
    <x v="0"/>
    <x v="1"/>
    <x v="7"/>
    <x v="18"/>
    <s v="DK2_Medium"/>
    <x v="9"/>
    <s v="GNR_ST_MSW_BP_E-25"/>
    <x v="0"/>
    <x v="0"/>
  </r>
  <r>
    <x v="0"/>
    <x v="0"/>
    <x v="7"/>
    <x v="17"/>
    <s v="DK1_MedSmall"/>
    <x v="9"/>
    <s v="GNR_ST_MSW_BP_E-26"/>
    <x v="0"/>
    <x v="0"/>
  </r>
  <r>
    <x v="0"/>
    <x v="1"/>
    <x v="7"/>
    <x v="17"/>
    <s v="DK1_MedSmall"/>
    <x v="9"/>
    <s v="GNR_ST_MSW_BP_E-26"/>
    <x v="0"/>
    <x v="0"/>
  </r>
  <r>
    <x v="0"/>
    <x v="0"/>
    <x v="7"/>
    <x v="17"/>
    <s v="DK1_Large"/>
    <x v="9"/>
    <s v="GNR_ST_MSW_BP_E-27"/>
    <x v="0"/>
    <x v="0"/>
  </r>
  <r>
    <x v="0"/>
    <x v="0"/>
    <x v="7"/>
    <x v="18"/>
    <s v="DK2_Large"/>
    <x v="9"/>
    <s v="GNR_ST_MSW_BP_E-27"/>
    <x v="0"/>
    <x v="0"/>
  </r>
  <r>
    <x v="0"/>
    <x v="1"/>
    <x v="7"/>
    <x v="17"/>
    <s v="DK1_Large"/>
    <x v="9"/>
    <s v="GNR_ST_MSW_BP_E-27"/>
    <x v="0"/>
    <x v="0"/>
  </r>
  <r>
    <x v="0"/>
    <x v="1"/>
    <x v="7"/>
    <x v="18"/>
    <s v="DK2_Large"/>
    <x v="9"/>
    <s v="GNR_ST_MSW_BP_E-27"/>
    <x v="0"/>
    <x v="0"/>
  </r>
  <r>
    <x v="0"/>
    <x v="2"/>
    <x v="7"/>
    <x v="17"/>
    <s v="DK1_Large"/>
    <x v="9"/>
    <s v="GNR_ST_MSW_BP_E-27"/>
    <x v="0"/>
    <x v="0"/>
  </r>
  <r>
    <x v="0"/>
    <x v="2"/>
    <x v="7"/>
    <x v="18"/>
    <s v="DK2_Large"/>
    <x v="9"/>
    <s v="GNR_ST_MSW_BP_E-27"/>
    <x v="0"/>
    <x v="0"/>
  </r>
  <r>
    <x v="0"/>
    <x v="0"/>
    <x v="7"/>
    <x v="18"/>
    <s v="DK2_MedSmall"/>
    <x v="9"/>
    <s v="GNR_ST_MSW_BP_E-28"/>
    <x v="0"/>
    <x v="0"/>
  </r>
  <r>
    <x v="0"/>
    <x v="1"/>
    <x v="7"/>
    <x v="18"/>
    <s v="DK2_MedSmall"/>
    <x v="9"/>
    <s v="GNR_ST_MSW_BP_E-28"/>
    <x v="0"/>
    <x v="0"/>
  </r>
  <r>
    <x v="0"/>
    <x v="0"/>
    <x v="5"/>
    <x v="12"/>
    <s v="DE4-E_A"/>
    <x v="9"/>
    <s v="GNR_ST_MSW_BP_E-33"/>
    <x v="0"/>
    <x v="0"/>
  </r>
  <r>
    <x v="0"/>
    <x v="0"/>
    <x v="5"/>
    <x v="13"/>
    <s v="DE4-N_A"/>
    <x v="9"/>
    <s v="GNR_ST_MSW_BP_E-33"/>
    <x v="0"/>
    <x v="0"/>
  </r>
  <r>
    <x v="0"/>
    <x v="0"/>
    <x v="5"/>
    <x v="14"/>
    <s v="DE4-S_A"/>
    <x v="9"/>
    <s v="GNR_ST_MSW_BP_E-33"/>
    <x v="0"/>
    <x v="0"/>
  </r>
  <r>
    <x v="0"/>
    <x v="0"/>
    <x v="5"/>
    <x v="15"/>
    <s v="DE4-W_A"/>
    <x v="9"/>
    <s v="GNR_ST_MSW_BP_E-33"/>
    <x v="0"/>
    <x v="0"/>
  </r>
  <r>
    <x v="0"/>
    <x v="1"/>
    <x v="5"/>
    <x v="12"/>
    <s v="DE4-E_A"/>
    <x v="9"/>
    <s v="GNR_ST_MSW_BP_E-33"/>
    <x v="0"/>
    <x v="0"/>
  </r>
  <r>
    <x v="0"/>
    <x v="1"/>
    <x v="5"/>
    <x v="13"/>
    <s v="DE4-N_A"/>
    <x v="9"/>
    <s v="GNR_ST_MSW_BP_E-33"/>
    <x v="0"/>
    <x v="0"/>
  </r>
  <r>
    <x v="0"/>
    <x v="1"/>
    <x v="5"/>
    <x v="14"/>
    <s v="DE4-S_A"/>
    <x v="9"/>
    <s v="GNR_ST_MSW_BP_E-33"/>
    <x v="0"/>
    <x v="0"/>
  </r>
  <r>
    <x v="0"/>
    <x v="1"/>
    <x v="5"/>
    <x v="15"/>
    <s v="DE4-W_A"/>
    <x v="9"/>
    <s v="GNR_ST_MSW_BP_E-33"/>
    <x v="0"/>
    <x v="0"/>
  </r>
  <r>
    <x v="0"/>
    <x v="2"/>
    <x v="5"/>
    <x v="12"/>
    <s v="DE4-E_A"/>
    <x v="9"/>
    <s v="GNR_ST_MSW_BP_E-33"/>
    <x v="0"/>
    <x v="0"/>
  </r>
  <r>
    <x v="0"/>
    <x v="2"/>
    <x v="5"/>
    <x v="13"/>
    <s v="DE4-N_A"/>
    <x v="9"/>
    <s v="GNR_ST_MSW_BP_E-33"/>
    <x v="0"/>
    <x v="0"/>
  </r>
  <r>
    <x v="0"/>
    <x v="2"/>
    <x v="5"/>
    <x v="14"/>
    <s v="DE4-S_A"/>
    <x v="9"/>
    <s v="GNR_ST_MSW_BP_E-33"/>
    <x v="0"/>
    <x v="0"/>
  </r>
  <r>
    <x v="0"/>
    <x v="2"/>
    <x v="5"/>
    <x v="15"/>
    <s v="DE4-W_A"/>
    <x v="9"/>
    <s v="GNR_ST_MSW_BP_E-33"/>
    <x v="0"/>
    <x v="0"/>
  </r>
  <r>
    <x v="0"/>
    <x v="0"/>
    <x v="5"/>
    <x v="12"/>
    <s v="DE4-E_A"/>
    <x v="9"/>
    <s v="GNR_ST_MSW_CND_E-33"/>
    <x v="0"/>
    <x v="0"/>
  </r>
  <r>
    <x v="0"/>
    <x v="0"/>
    <x v="5"/>
    <x v="14"/>
    <s v="DE4-S_A"/>
    <x v="9"/>
    <s v="GNR_ST_MSW_CND_E-33"/>
    <x v="0"/>
    <x v="0"/>
  </r>
  <r>
    <x v="0"/>
    <x v="0"/>
    <x v="5"/>
    <x v="15"/>
    <s v="DE4-W_A"/>
    <x v="9"/>
    <s v="GNR_ST_MSW_CND_E-33"/>
    <x v="0"/>
    <x v="0"/>
  </r>
  <r>
    <x v="0"/>
    <x v="1"/>
    <x v="5"/>
    <x v="12"/>
    <s v="DE4-E_A"/>
    <x v="9"/>
    <s v="GNR_ST_MSW_CND_E-33"/>
    <x v="0"/>
    <x v="0"/>
  </r>
  <r>
    <x v="0"/>
    <x v="1"/>
    <x v="5"/>
    <x v="14"/>
    <s v="DE4-S_A"/>
    <x v="9"/>
    <s v="GNR_ST_MSW_CND_E-33"/>
    <x v="0"/>
    <x v="0"/>
  </r>
  <r>
    <x v="0"/>
    <x v="1"/>
    <x v="5"/>
    <x v="15"/>
    <s v="DE4-W_A"/>
    <x v="9"/>
    <s v="GNR_ST_MSW_CND_E-33"/>
    <x v="0"/>
    <x v="0"/>
  </r>
  <r>
    <x v="0"/>
    <x v="2"/>
    <x v="5"/>
    <x v="12"/>
    <s v="DE4-E_A"/>
    <x v="9"/>
    <s v="GNR_ST_MSW_CND_E-33"/>
    <x v="0"/>
    <x v="0"/>
  </r>
  <r>
    <x v="0"/>
    <x v="2"/>
    <x v="5"/>
    <x v="14"/>
    <s v="DE4-S_A"/>
    <x v="9"/>
    <s v="GNR_ST_MSW_CND_E-33"/>
    <x v="0"/>
    <x v="0"/>
  </r>
  <r>
    <x v="0"/>
    <x v="2"/>
    <x v="5"/>
    <x v="15"/>
    <s v="DE4-W_A"/>
    <x v="9"/>
    <s v="GNR_ST_MSW_CND_E-33"/>
    <x v="0"/>
    <x v="0"/>
  </r>
  <r>
    <x v="0"/>
    <x v="0"/>
    <x v="8"/>
    <x v="19"/>
    <s v="NL_A"/>
    <x v="9"/>
    <s v="GNR_ST_MSW_CND_E-40"/>
    <x v="0"/>
    <x v="0"/>
  </r>
  <r>
    <x v="0"/>
    <x v="0"/>
    <x v="9"/>
    <x v="20"/>
    <s v="UK_A"/>
    <x v="9"/>
    <s v="GNR_ST_MSW_CND_E-40"/>
    <x v="0"/>
    <x v="0"/>
  </r>
  <r>
    <x v="0"/>
    <x v="1"/>
    <x v="8"/>
    <x v="19"/>
    <s v="NL_A"/>
    <x v="9"/>
    <s v="GNR_ST_MSW_CND_E-40"/>
    <x v="0"/>
    <x v="0"/>
  </r>
  <r>
    <x v="0"/>
    <x v="1"/>
    <x v="9"/>
    <x v="20"/>
    <s v="UK_A"/>
    <x v="9"/>
    <s v="GNR_ST_MSW_CND_E-40"/>
    <x v="0"/>
    <x v="0"/>
  </r>
  <r>
    <x v="0"/>
    <x v="2"/>
    <x v="8"/>
    <x v="19"/>
    <s v="NL_A"/>
    <x v="9"/>
    <s v="GNR_ST_MSW_CND_E-40"/>
    <x v="0"/>
    <x v="0"/>
  </r>
  <r>
    <x v="0"/>
    <x v="2"/>
    <x v="9"/>
    <x v="20"/>
    <s v="UK_A"/>
    <x v="9"/>
    <s v="GNR_ST_MSW_CND_E-40"/>
    <x v="0"/>
    <x v="0"/>
  </r>
  <r>
    <x v="0"/>
    <x v="0"/>
    <x v="4"/>
    <x v="11"/>
    <s v="PL_A"/>
    <x v="2"/>
    <s v="GNR_ST_NGAS_BP_E-15"/>
    <x v="0"/>
    <x v="0"/>
  </r>
  <r>
    <x v="0"/>
    <x v="1"/>
    <x v="4"/>
    <x v="11"/>
    <s v="PL_A"/>
    <x v="2"/>
    <s v="GNR_ST_NGAS_BP_E-15"/>
    <x v="0"/>
    <x v="0"/>
  </r>
  <r>
    <x v="0"/>
    <x v="2"/>
    <x v="4"/>
    <x v="11"/>
    <s v="PL_A"/>
    <x v="2"/>
    <s v="GNR_ST_NGAS_BP_E-15"/>
    <x v="0"/>
    <x v="0"/>
  </r>
  <r>
    <x v="0"/>
    <x v="0"/>
    <x v="10"/>
    <x v="21"/>
    <s v="LV_Other_DH"/>
    <x v="2"/>
    <s v="GNR_ST_NGAS_BP_E-28"/>
    <x v="0"/>
    <x v="0"/>
  </r>
  <r>
    <x v="0"/>
    <x v="1"/>
    <x v="10"/>
    <x v="21"/>
    <s v="LV_Other_DH"/>
    <x v="2"/>
    <s v="GNR_ST_NGAS_BP_E-28"/>
    <x v="0"/>
    <x v="0"/>
  </r>
  <r>
    <x v="0"/>
    <x v="2"/>
    <x v="10"/>
    <x v="21"/>
    <s v="LV_Other_DH"/>
    <x v="2"/>
    <s v="GNR_ST_NGAS_BP_E-28"/>
    <x v="0"/>
    <x v="0"/>
  </r>
  <r>
    <x v="0"/>
    <x v="0"/>
    <x v="5"/>
    <x v="12"/>
    <s v="DE4-E_A"/>
    <x v="2"/>
    <s v="GNR_ST_NGAS_BP_E-31"/>
    <x v="0"/>
    <x v="0"/>
  </r>
  <r>
    <x v="0"/>
    <x v="1"/>
    <x v="5"/>
    <x v="12"/>
    <s v="DE4-E_A"/>
    <x v="2"/>
    <s v="GNR_ST_NGAS_BP_E-31"/>
    <x v="0"/>
    <x v="0"/>
  </r>
  <r>
    <x v="0"/>
    <x v="0"/>
    <x v="5"/>
    <x v="15"/>
    <s v="DE4-W_A"/>
    <x v="2"/>
    <s v="GNR_ST_NGAS_BP_E-33"/>
    <x v="0"/>
    <x v="0"/>
  </r>
  <r>
    <x v="0"/>
    <x v="1"/>
    <x v="5"/>
    <x v="15"/>
    <s v="DE4-W_A"/>
    <x v="2"/>
    <s v="GNR_ST_NGAS_BP_E-33"/>
    <x v="0"/>
    <x v="0"/>
  </r>
  <r>
    <x v="0"/>
    <x v="0"/>
    <x v="5"/>
    <x v="12"/>
    <s v="DE4-E_A"/>
    <x v="2"/>
    <s v="GNR_ST_NGAS_BP_E-38"/>
    <x v="0"/>
    <x v="0"/>
  </r>
  <r>
    <x v="0"/>
    <x v="0"/>
    <x v="5"/>
    <x v="14"/>
    <s v="DE4-S_A"/>
    <x v="2"/>
    <s v="GNR_ST_NGAS_BP_E-38"/>
    <x v="0"/>
    <x v="0"/>
  </r>
  <r>
    <x v="0"/>
    <x v="0"/>
    <x v="5"/>
    <x v="15"/>
    <s v="DE4-W_A"/>
    <x v="2"/>
    <s v="GNR_ST_NGAS_BP_E-38"/>
    <x v="0"/>
    <x v="0"/>
  </r>
  <r>
    <x v="0"/>
    <x v="1"/>
    <x v="5"/>
    <x v="12"/>
    <s v="DE4-E_A"/>
    <x v="2"/>
    <s v="GNR_ST_NGAS_BP_E-38"/>
    <x v="0"/>
    <x v="0"/>
  </r>
  <r>
    <x v="0"/>
    <x v="1"/>
    <x v="5"/>
    <x v="14"/>
    <s v="DE4-S_A"/>
    <x v="2"/>
    <s v="GNR_ST_NGAS_BP_E-38"/>
    <x v="0"/>
    <x v="0"/>
  </r>
  <r>
    <x v="0"/>
    <x v="1"/>
    <x v="5"/>
    <x v="15"/>
    <s v="DE4-W_A"/>
    <x v="2"/>
    <s v="GNR_ST_NGAS_BP_E-38"/>
    <x v="0"/>
    <x v="0"/>
  </r>
  <r>
    <x v="0"/>
    <x v="2"/>
    <x v="5"/>
    <x v="12"/>
    <s v="DE4-E_A"/>
    <x v="2"/>
    <s v="GNR_ST_NGAS_BP_E-38"/>
    <x v="0"/>
    <x v="0"/>
  </r>
  <r>
    <x v="0"/>
    <x v="2"/>
    <x v="5"/>
    <x v="14"/>
    <s v="DE4-S_A"/>
    <x v="2"/>
    <s v="GNR_ST_NGAS_BP_E-38"/>
    <x v="0"/>
    <x v="0"/>
  </r>
  <r>
    <x v="0"/>
    <x v="2"/>
    <x v="5"/>
    <x v="15"/>
    <s v="DE4-W_A"/>
    <x v="2"/>
    <s v="GNR_ST_NGAS_BP_E-38"/>
    <x v="0"/>
    <x v="0"/>
  </r>
  <r>
    <x v="0"/>
    <x v="0"/>
    <x v="7"/>
    <x v="18"/>
    <s v="DK2_Large"/>
    <x v="2"/>
    <s v="GNR_ST_NGAS_BP_E-39"/>
    <x v="0"/>
    <x v="0"/>
  </r>
  <r>
    <x v="0"/>
    <x v="0"/>
    <x v="7"/>
    <x v="18"/>
    <s v="DK2_NoDH"/>
    <x v="2"/>
    <s v="GNR_ST_NGAS_BP_E-39"/>
    <x v="0"/>
    <x v="0"/>
  </r>
  <r>
    <x v="0"/>
    <x v="0"/>
    <x v="5"/>
    <x v="13"/>
    <s v="DE4-N_A"/>
    <x v="2"/>
    <s v="GNR_ST_NGAS_BP_E-39"/>
    <x v="0"/>
    <x v="0"/>
  </r>
  <r>
    <x v="0"/>
    <x v="1"/>
    <x v="7"/>
    <x v="18"/>
    <s v="DK2_Large"/>
    <x v="2"/>
    <s v="GNR_ST_NGAS_BP_E-39"/>
    <x v="0"/>
    <x v="0"/>
  </r>
  <r>
    <x v="0"/>
    <x v="1"/>
    <x v="5"/>
    <x v="13"/>
    <s v="DE4-N_A"/>
    <x v="2"/>
    <s v="GNR_ST_NGAS_BP_E-39"/>
    <x v="0"/>
    <x v="0"/>
  </r>
  <r>
    <x v="0"/>
    <x v="2"/>
    <x v="5"/>
    <x v="13"/>
    <s v="DE4-N_A"/>
    <x v="2"/>
    <s v="GNR_ST_NGAS_BP_E-39"/>
    <x v="0"/>
    <x v="0"/>
  </r>
  <r>
    <x v="0"/>
    <x v="0"/>
    <x v="10"/>
    <x v="21"/>
    <s v="LV_RigaR"/>
    <x v="2"/>
    <s v="GNR_ST_NGAS_BP_E-42"/>
    <x v="0"/>
    <x v="0"/>
  </r>
  <r>
    <x v="0"/>
    <x v="1"/>
    <x v="10"/>
    <x v="21"/>
    <s v="LV_RigaR"/>
    <x v="2"/>
    <s v="GNR_ST_NGAS_BP_E-42"/>
    <x v="0"/>
    <x v="0"/>
  </r>
  <r>
    <x v="0"/>
    <x v="2"/>
    <x v="10"/>
    <x v="21"/>
    <s v="LV_RigaR"/>
    <x v="2"/>
    <s v="GNR_ST_NGAS_BP_E-42"/>
    <x v="0"/>
    <x v="0"/>
  </r>
  <r>
    <x v="0"/>
    <x v="0"/>
    <x v="5"/>
    <x v="14"/>
    <s v="DE4-S_A"/>
    <x v="2"/>
    <s v="GNR_ST_NGAS_CND_E-36"/>
    <x v="0"/>
    <x v="0"/>
  </r>
  <r>
    <x v="0"/>
    <x v="0"/>
    <x v="5"/>
    <x v="15"/>
    <s v="DE4-W_A"/>
    <x v="2"/>
    <s v="GNR_ST_NGAS_CND_E-36"/>
    <x v="0"/>
    <x v="0"/>
  </r>
  <r>
    <x v="0"/>
    <x v="1"/>
    <x v="5"/>
    <x v="14"/>
    <s v="DE4-S_A"/>
    <x v="2"/>
    <s v="GNR_ST_NGAS_CND_E-36"/>
    <x v="0"/>
    <x v="0"/>
  </r>
  <r>
    <x v="0"/>
    <x v="1"/>
    <x v="5"/>
    <x v="15"/>
    <s v="DE4-W_A"/>
    <x v="2"/>
    <s v="GNR_ST_NGAS_CND_E-36"/>
    <x v="0"/>
    <x v="0"/>
  </r>
  <r>
    <x v="0"/>
    <x v="0"/>
    <x v="5"/>
    <x v="12"/>
    <s v="DE4-E_A"/>
    <x v="2"/>
    <s v="GNR_ST_NGAS_CND_E-38"/>
    <x v="0"/>
    <x v="0"/>
  </r>
  <r>
    <x v="0"/>
    <x v="1"/>
    <x v="5"/>
    <x v="12"/>
    <s v="DE4-E_A"/>
    <x v="2"/>
    <s v="GNR_ST_NGAS_CND_E-38"/>
    <x v="0"/>
    <x v="0"/>
  </r>
  <r>
    <x v="0"/>
    <x v="0"/>
    <x v="5"/>
    <x v="15"/>
    <s v="DE4-W_A"/>
    <x v="2"/>
    <s v="GNR_ST_NGAS_CND_E-39"/>
    <x v="0"/>
    <x v="0"/>
  </r>
  <r>
    <x v="0"/>
    <x v="1"/>
    <x v="5"/>
    <x v="15"/>
    <s v="DE4-W_A"/>
    <x v="2"/>
    <s v="GNR_ST_NGAS_CND_E-39"/>
    <x v="0"/>
    <x v="0"/>
  </r>
  <r>
    <x v="0"/>
    <x v="2"/>
    <x v="5"/>
    <x v="15"/>
    <s v="DE4-W_A"/>
    <x v="2"/>
    <s v="GNR_ST_NGAS_CND_E-39"/>
    <x v="0"/>
    <x v="0"/>
  </r>
  <r>
    <x v="0"/>
    <x v="0"/>
    <x v="3"/>
    <x v="10"/>
    <s v="LT_VilU"/>
    <x v="2"/>
    <s v="GNR_ST_NGAS_CON_E-38"/>
    <x v="0"/>
    <x v="0"/>
  </r>
  <r>
    <x v="0"/>
    <x v="1"/>
    <x v="3"/>
    <x v="10"/>
    <s v="LT_VilU"/>
    <x v="2"/>
    <s v="GNR_ST_NGAS_CON_E-38"/>
    <x v="0"/>
    <x v="0"/>
  </r>
  <r>
    <x v="0"/>
    <x v="2"/>
    <x v="3"/>
    <x v="10"/>
    <s v="LT_VilU"/>
    <x v="2"/>
    <s v="GNR_ST_NGAS_CON_E-38"/>
    <x v="0"/>
    <x v="0"/>
  </r>
  <r>
    <x v="0"/>
    <x v="0"/>
    <x v="3"/>
    <x v="10"/>
    <s v="LT_KauU"/>
    <x v="2"/>
    <s v="GNR_ST_NGAS_EXT_E-24"/>
    <x v="0"/>
    <x v="0"/>
  </r>
  <r>
    <x v="0"/>
    <x v="1"/>
    <x v="3"/>
    <x v="10"/>
    <s v="LT_KauU"/>
    <x v="2"/>
    <s v="GNR_ST_NGAS_EXT_E-24"/>
    <x v="0"/>
    <x v="0"/>
  </r>
  <r>
    <x v="0"/>
    <x v="0"/>
    <x v="3"/>
    <x v="10"/>
    <s v="LT_KauU"/>
    <x v="2"/>
    <s v="GNR_ST_NGAS_EXT_E-31"/>
    <x v="0"/>
    <x v="0"/>
  </r>
  <r>
    <x v="0"/>
    <x v="1"/>
    <x v="3"/>
    <x v="10"/>
    <s v="LT_KauU"/>
    <x v="2"/>
    <s v="GNR_ST_NGAS_EXT_E-31"/>
    <x v="0"/>
    <x v="0"/>
  </r>
  <r>
    <x v="0"/>
    <x v="0"/>
    <x v="3"/>
    <x v="10"/>
    <s v="LT_VilU"/>
    <x v="2"/>
    <s v="GNR_ST_NGAS_EXT_E-39"/>
    <x v="0"/>
    <x v="0"/>
  </r>
  <r>
    <x v="0"/>
    <x v="1"/>
    <x v="3"/>
    <x v="10"/>
    <s v="LT_VilU"/>
    <x v="2"/>
    <s v="GNR_ST_NGAS_EXT_E-39"/>
    <x v="0"/>
    <x v="0"/>
  </r>
  <r>
    <x v="0"/>
    <x v="0"/>
    <x v="7"/>
    <x v="17"/>
    <s v="DK1_Large"/>
    <x v="2"/>
    <s v="GNR_ST_NGAS_EXT_E-47"/>
    <x v="0"/>
    <x v="0"/>
  </r>
  <r>
    <x v="0"/>
    <x v="1"/>
    <x v="7"/>
    <x v="17"/>
    <s v="DK1_Large"/>
    <x v="2"/>
    <s v="GNR_ST_NGAS_EXT_E-47"/>
    <x v="0"/>
    <x v="0"/>
  </r>
  <r>
    <x v="0"/>
    <x v="0"/>
    <x v="5"/>
    <x v="13"/>
    <s v="DE4-N_A"/>
    <x v="3"/>
    <s v="GNR_ST_NUCL_CND_E-33"/>
    <x v="0"/>
    <x v="0"/>
  </r>
  <r>
    <x v="0"/>
    <x v="0"/>
    <x v="5"/>
    <x v="14"/>
    <s v="DE4-S_A"/>
    <x v="3"/>
    <s v="GNR_ST_NUCL_CND_E-33"/>
    <x v="0"/>
    <x v="0"/>
  </r>
  <r>
    <x v="0"/>
    <x v="0"/>
    <x v="5"/>
    <x v="15"/>
    <s v="DE4-W_A"/>
    <x v="3"/>
    <s v="GNR_ST_NUCL_CND_E-33"/>
    <x v="0"/>
    <x v="0"/>
  </r>
  <r>
    <x v="0"/>
    <x v="0"/>
    <x v="8"/>
    <x v="19"/>
    <s v="NL_A"/>
    <x v="3"/>
    <s v="GNR_ST_NUCL_CND_E-33"/>
    <x v="0"/>
    <x v="0"/>
  </r>
  <r>
    <x v="0"/>
    <x v="0"/>
    <x v="9"/>
    <x v="20"/>
    <s v="UK_A"/>
    <x v="3"/>
    <s v="GNR_ST_NUCL_CND_E-33"/>
    <x v="0"/>
    <x v="0"/>
  </r>
  <r>
    <x v="0"/>
    <x v="1"/>
    <x v="5"/>
    <x v="13"/>
    <s v="DE4-N_A"/>
    <x v="3"/>
    <s v="GNR_ST_NUCL_CND_E-33"/>
    <x v="0"/>
    <x v="0"/>
  </r>
  <r>
    <x v="0"/>
    <x v="1"/>
    <x v="5"/>
    <x v="14"/>
    <s v="DE4-S_A"/>
    <x v="3"/>
    <s v="GNR_ST_NUCL_CND_E-33"/>
    <x v="0"/>
    <x v="0"/>
  </r>
  <r>
    <x v="0"/>
    <x v="1"/>
    <x v="5"/>
    <x v="15"/>
    <s v="DE4-W_A"/>
    <x v="3"/>
    <s v="GNR_ST_NUCL_CND_E-33"/>
    <x v="0"/>
    <x v="0"/>
  </r>
  <r>
    <x v="0"/>
    <x v="1"/>
    <x v="8"/>
    <x v="19"/>
    <s v="NL_A"/>
    <x v="3"/>
    <s v="GNR_ST_NUCL_CND_E-33"/>
    <x v="0"/>
    <x v="0"/>
  </r>
  <r>
    <x v="0"/>
    <x v="1"/>
    <x v="9"/>
    <x v="20"/>
    <s v="UK_A"/>
    <x v="3"/>
    <s v="GNR_ST_NUCL_CND_E-33"/>
    <x v="0"/>
    <x v="0"/>
  </r>
  <r>
    <x v="0"/>
    <x v="2"/>
    <x v="8"/>
    <x v="19"/>
    <s v="NL_A"/>
    <x v="3"/>
    <s v="GNR_ST_NUCL_CND_E-33"/>
    <x v="0"/>
    <x v="0"/>
  </r>
  <r>
    <x v="0"/>
    <x v="2"/>
    <x v="4"/>
    <x v="11"/>
    <s v="PL_Rural"/>
    <x v="3"/>
    <s v="GNR_ST_NUCL_CND_E-33"/>
    <x v="0"/>
    <x v="0"/>
  </r>
  <r>
    <x v="0"/>
    <x v="2"/>
    <x v="9"/>
    <x v="20"/>
    <s v="UK_A"/>
    <x v="3"/>
    <s v="GNR_ST_NUCL_CND_E-33"/>
    <x v="0"/>
    <x v="0"/>
  </r>
  <r>
    <x v="0"/>
    <x v="0"/>
    <x v="4"/>
    <x v="11"/>
    <s v="PL_A"/>
    <x v="16"/>
    <s v="GNR_ST_STRAW_BP_E-15"/>
    <x v="0"/>
    <x v="0"/>
  </r>
  <r>
    <x v="0"/>
    <x v="1"/>
    <x v="4"/>
    <x v="11"/>
    <s v="PL_A"/>
    <x v="16"/>
    <s v="GNR_ST_STRAW_BP_E-15"/>
    <x v="0"/>
    <x v="0"/>
  </r>
  <r>
    <x v="0"/>
    <x v="2"/>
    <x v="4"/>
    <x v="11"/>
    <s v="PL_A"/>
    <x v="16"/>
    <s v="GNR_ST_STRAW_BP_E-15"/>
    <x v="0"/>
    <x v="0"/>
  </r>
  <r>
    <x v="0"/>
    <x v="0"/>
    <x v="7"/>
    <x v="17"/>
    <s v="DK1_MedSmall"/>
    <x v="16"/>
    <s v="GNR_ST_STRW_BP_E-21"/>
    <x v="0"/>
    <x v="0"/>
  </r>
  <r>
    <x v="0"/>
    <x v="0"/>
    <x v="7"/>
    <x v="18"/>
    <s v="DK2_Rural"/>
    <x v="16"/>
    <s v="GNR_ST_STRW_BP_E-24"/>
    <x v="0"/>
    <x v="0"/>
  </r>
  <r>
    <x v="0"/>
    <x v="1"/>
    <x v="7"/>
    <x v="18"/>
    <s v="DK2_Rural"/>
    <x v="16"/>
    <s v="GNR_ST_STRW_BP_E-24"/>
    <x v="0"/>
    <x v="0"/>
  </r>
  <r>
    <x v="0"/>
    <x v="0"/>
    <x v="7"/>
    <x v="17"/>
    <s v="DK1_Large"/>
    <x v="16"/>
    <s v="GNR_ST_STRW_BP_E-26"/>
    <x v="0"/>
    <x v="0"/>
  </r>
  <r>
    <x v="0"/>
    <x v="0"/>
    <x v="7"/>
    <x v="17"/>
    <s v="DK1_Rural"/>
    <x v="16"/>
    <s v="GNR_ST_STRW_BP_E-26"/>
    <x v="0"/>
    <x v="0"/>
  </r>
  <r>
    <x v="0"/>
    <x v="1"/>
    <x v="7"/>
    <x v="17"/>
    <s v="DK1_Large"/>
    <x v="16"/>
    <s v="GNR_ST_STRW_BP_E-26"/>
    <x v="0"/>
    <x v="0"/>
  </r>
  <r>
    <x v="0"/>
    <x v="1"/>
    <x v="7"/>
    <x v="17"/>
    <s v="DK1_Rural"/>
    <x v="16"/>
    <s v="GNR_ST_STRW_BP_E-26"/>
    <x v="0"/>
    <x v="0"/>
  </r>
  <r>
    <x v="0"/>
    <x v="2"/>
    <x v="7"/>
    <x v="17"/>
    <s v="DK1_Large"/>
    <x v="16"/>
    <s v="GNR_ST_STRW_BP_E-26"/>
    <x v="0"/>
    <x v="0"/>
  </r>
  <r>
    <x v="0"/>
    <x v="0"/>
    <x v="7"/>
    <x v="18"/>
    <s v="DK2_Rural"/>
    <x v="16"/>
    <s v="GNR_ST_STRW_BP_E-27"/>
    <x v="0"/>
    <x v="0"/>
  </r>
  <r>
    <x v="0"/>
    <x v="1"/>
    <x v="7"/>
    <x v="18"/>
    <s v="DK2_Rural"/>
    <x v="16"/>
    <s v="GNR_ST_STRW_BP_E-27"/>
    <x v="0"/>
    <x v="0"/>
  </r>
  <r>
    <x v="0"/>
    <x v="0"/>
    <x v="7"/>
    <x v="18"/>
    <s v="DK2_Rural"/>
    <x v="16"/>
    <s v="GNR_ST_STRW_BP_E-28"/>
    <x v="0"/>
    <x v="0"/>
  </r>
  <r>
    <x v="0"/>
    <x v="1"/>
    <x v="7"/>
    <x v="18"/>
    <s v="DK2_Rural"/>
    <x v="16"/>
    <s v="GNR_ST_STRW_BP_E-28"/>
    <x v="0"/>
    <x v="0"/>
  </r>
  <r>
    <x v="0"/>
    <x v="0"/>
    <x v="10"/>
    <x v="21"/>
    <s v="LV_Other_DH"/>
    <x v="4"/>
    <s v="GNR_ST_WOOD_BP_E-30"/>
    <x v="0"/>
    <x v="0"/>
  </r>
  <r>
    <x v="0"/>
    <x v="1"/>
    <x v="10"/>
    <x v="21"/>
    <s v="LV_Other_DH"/>
    <x v="4"/>
    <s v="GNR_ST_WOOD_BP_E-30"/>
    <x v="0"/>
    <x v="0"/>
  </r>
  <r>
    <x v="0"/>
    <x v="2"/>
    <x v="10"/>
    <x v="21"/>
    <s v="LV_Other_DH"/>
    <x v="4"/>
    <s v="GNR_ST_WOOD_BP_E-30"/>
    <x v="0"/>
    <x v="0"/>
  </r>
  <r>
    <x v="0"/>
    <x v="0"/>
    <x v="6"/>
    <x v="16"/>
    <s v="EE_Urban"/>
    <x v="4"/>
    <s v="GNR_ST_WOOD_BP_E-53"/>
    <x v="0"/>
    <x v="0"/>
  </r>
  <r>
    <x v="0"/>
    <x v="1"/>
    <x v="6"/>
    <x v="16"/>
    <s v="EE_Urban"/>
    <x v="4"/>
    <s v="GNR_ST_WOOD_BP_E-53"/>
    <x v="0"/>
    <x v="0"/>
  </r>
  <r>
    <x v="0"/>
    <x v="2"/>
    <x v="6"/>
    <x v="16"/>
    <s v="EE_Urban"/>
    <x v="4"/>
    <s v="GNR_ST_WOOD_BP_E-53"/>
    <x v="0"/>
    <x v="0"/>
  </r>
  <r>
    <x v="0"/>
    <x v="0"/>
    <x v="8"/>
    <x v="19"/>
    <s v="NL_A"/>
    <x v="4"/>
    <s v="GNR_ST_WOOD_CND_E-50"/>
    <x v="0"/>
    <x v="0"/>
  </r>
  <r>
    <x v="0"/>
    <x v="1"/>
    <x v="8"/>
    <x v="19"/>
    <s v="NL_A"/>
    <x v="4"/>
    <s v="GNR_ST_WOOD_CND_E-50"/>
    <x v="0"/>
    <x v="0"/>
  </r>
  <r>
    <x v="0"/>
    <x v="2"/>
    <x v="8"/>
    <x v="19"/>
    <s v="NL_A"/>
    <x v="4"/>
    <s v="GNR_ST_WOOD_CND_E-50"/>
    <x v="0"/>
    <x v="0"/>
  </r>
  <r>
    <x v="0"/>
    <x v="0"/>
    <x v="3"/>
    <x v="10"/>
    <s v="LT_Panevezys"/>
    <x v="4"/>
    <s v="GNR_ST_WOOD_EXT_E-14"/>
    <x v="0"/>
    <x v="0"/>
  </r>
  <r>
    <x v="0"/>
    <x v="1"/>
    <x v="3"/>
    <x v="10"/>
    <s v="LT_Panevezys"/>
    <x v="4"/>
    <s v="GNR_ST_WOOD_EXT_E-14"/>
    <x v="0"/>
    <x v="0"/>
  </r>
  <r>
    <x v="0"/>
    <x v="0"/>
    <x v="4"/>
    <x v="11"/>
    <s v="PL_A"/>
    <x v="4"/>
    <s v="GNR_ST_WOOD_EXT_E-45"/>
    <x v="0"/>
    <x v="0"/>
  </r>
  <r>
    <x v="0"/>
    <x v="1"/>
    <x v="4"/>
    <x v="11"/>
    <s v="PL_A"/>
    <x v="4"/>
    <s v="GNR_ST_WOOD_EXT_E-45"/>
    <x v="0"/>
    <x v="0"/>
  </r>
  <r>
    <x v="0"/>
    <x v="0"/>
    <x v="7"/>
    <x v="17"/>
    <s v="DK1_Small"/>
    <x v="6"/>
    <s v="GNR_ST_WOODCHI_BP_E-15"/>
    <x v="0"/>
    <x v="0"/>
  </r>
  <r>
    <x v="0"/>
    <x v="1"/>
    <x v="7"/>
    <x v="17"/>
    <s v="DK1_Small"/>
    <x v="6"/>
    <s v="GNR_ST_WOODCHI_BP_E-15"/>
    <x v="0"/>
    <x v="0"/>
  </r>
  <r>
    <x v="0"/>
    <x v="0"/>
    <x v="7"/>
    <x v="17"/>
    <s v="DK1_Rural"/>
    <x v="6"/>
    <s v="GNR_ST_WOODCHI_BP_E-17"/>
    <x v="0"/>
    <x v="0"/>
  </r>
  <r>
    <x v="0"/>
    <x v="1"/>
    <x v="7"/>
    <x v="17"/>
    <s v="DK1_Rural"/>
    <x v="6"/>
    <s v="GNR_ST_WOODCHI_BP_E-17"/>
    <x v="0"/>
    <x v="0"/>
  </r>
  <r>
    <x v="0"/>
    <x v="2"/>
    <x v="7"/>
    <x v="17"/>
    <s v="DK1_Rural"/>
    <x v="6"/>
    <s v="GNR_ST_WOODCHI_BP_E-17"/>
    <x v="0"/>
    <x v="0"/>
  </r>
  <r>
    <x v="0"/>
    <x v="0"/>
    <x v="7"/>
    <x v="17"/>
    <s v="DK1_Large"/>
    <x v="6"/>
    <s v="GNR_ST_WOODCHI_BP_E-23"/>
    <x v="0"/>
    <x v="0"/>
  </r>
  <r>
    <x v="0"/>
    <x v="1"/>
    <x v="7"/>
    <x v="17"/>
    <s v="DK1_Large"/>
    <x v="6"/>
    <s v="GNR_ST_WOODCHI_BP_E-23"/>
    <x v="0"/>
    <x v="0"/>
  </r>
  <r>
    <x v="0"/>
    <x v="2"/>
    <x v="7"/>
    <x v="17"/>
    <s v="DK1_Large"/>
    <x v="6"/>
    <s v="GNR_ST_WOODCHI_BP_E-23"/>
    <x v="0"/>
    <x v="0"/>
  </r>
  <r>
    <x v="0"/>
    <x v="0"/>
    <x v="7"/>
    <x v="18"/>
    <s v="DK2_Large"/>
    <x v="6"/>
    <s v="GNR_ST_WOODCHI_BP_E-24"/>
    <x v="0"/>
    <x v="0"/>
  </r>
  <r>
    <x v="0"/>
    <x v="1"/>
    <x v="7"/>
    <x v="18"/>
    <s v="DK2_Large"/>
    <x v="6"/>
    <s v="GNR_ST_WOODCHI_BP_E-24"/>
    <x v="0"/>
    <x v="0"/>
  </r>
  <r>
    <x v="0"/>
    <x v="0"/>
    <x v="7"/>
    <x v="17"/>
    <s v="DK1_Medium"/>
    <x v="6"/>
    <s v="GNR_ST_WOODCHI_BP_E-27"/>
    <x v="0"/>
    <x v="0"/>
  </r>
  <r>
    <x v="0"/>
    <x v="0"/>
    <x v="7"/>
    <x v="17"/>
    <s v="DK1_Rural"/>
    <x v="6"/>
    <s v="GNR_ST_WOODCHI_BP_E-27"/>
    <x v="0"/>
    <x v="0"/>
  </r>
  <r>
    <x v="0"/>
    <x v="0"/>
    <x v="7"/>
    <x v="18"/>
    <s v="DK2_Large"/>
    <x v="6"/>
    <s v="GNR_ST_WOODCHI_BP_E-27"/>
    <x v="0"/>
    <x v="0"/>
  </r>
  <r>
    <x v="0"/>
    <x v="0"/>
    <x v="7"/>
    <x v="18"/>
    <s v="DK2_Medium"/>
    <x v="6"/>
    <s v="GNR_ST_WOODCHI_BP_E-27"/>
    <x v="0"/>
    <x v="0"/>
  </r>
  <r>
    <x v="0"/>
    <x v="1"/>
    <x v="7"/>
    <x v="17"/>
    <s v="DK1_Medium"/>
    <x v="6"/>
    <s v="GNR_ST_WOODCHI_BP_E-27"/>
    <x v="0"/>
    <x v="0"/>
  </r>
  <r>
    <x v="0"/>
    <x v="1"/>
    <x v="7"/>
    <x v="17"/>
    <s v="DK1_Rural"/>
    <x v="6"/>
    <s v="GNR_ST_WOODCHI_BP_E-27"/>
    <x v="0"/>
    <x v="0"/>
  </r>
  <r>
    <x v="0"/>
    <x v="1"/>
    <x v="7"/>
    <x v="18"/>
    <s v="DK2_Large"/>
    <x v="6"/>
    <s v="GNR_ST_WOODCHI_BP_E-27"/>
    <x v="0"/>
    <x v="0"/>
  </r>
  <r>
    <x v="0"/>
    <x v="1"/>
    <x v="7"/>
    <x v="18"/>
    <s v="DK2_Medium"/>
    <x v="6"/>
    <s v="GNR_ST_WOODCHI_BP_E-27"/>
    <x v="0"/>
    <x v="0"/>
  </r>
  <r>
    <x v="0"/>
    <x v="2"/>
    <x v="7"/>
    <x v="18"/>
    <s v="DK2_Medium"/>
    <x v="6"/>
    <s v="GNR_ST_WOODCHI_BP_E-27"/>
    <x v="0"/>
    <x v="0"/>
  </r>
  <r>
    <x v="0"/>
    <x v="0"/>
    <x v="7"/>
    <x v="17"/>
    <s v="DK1_Medium"/>
    <x v="6"/>
    <s v="GNR_ST_WOODCHI_BP_E-30"/>
    <x v="0"/>
    <x v="0"/>
  </r>
  <r>
    <x v="0"/>
    <x v="1"/>
    <x v="7"/>
    <x v="17"/>
    <s v="DK1_Medium"/>
    <x v="6"/>
    <s v="GNR_ST_WOODCHI_BP_E-30"/>
    <x v="0"/>
    <x v="0"/>
  </r>
  <r>
    <x v="0"/>
    <x v="1"/>
    <x v="7"/>
    <x v="17"/>
    <s v="DK1_NoDH"/>
    <x v="6"/>
    <s v="GNR_ST_WOODCHI_EXT_E-30"/>
    <x v="0"/>
    <x v="0"/>
  </r>
  <r>
    <x v="0"/>
    <x v="2"/>
    <x v="7"/>
    <x v="17"/>
    <s v="DK1_NoDH"/>
    <x v="6"/>
    <s v="GNR_ST_WOODCHI_EXT_E-30"/>
    <x v="0"/>
    <x v="0"/>
  </r>
  <r>
    <x v="0"/>
    <x v="0"/>
    <x v="7"/>
    <x v="18"/>
    <s v="DK2_Large"/>
    <x v="11"/>
    <s v="GNR_ST_WOODPEL_BP_E-18"/>
    <x v="0"/>
    <x v="0"/>
  </r>
  <r>
    <x v="0"/>
    <x v="1"/>
    <x v="7"/>
    <x v="18"/>
    <s v="DK2_Large"/>
    <x v="11"/>
    <s v="GNR_ST_WOODPEL_BP_E-18"/>
    <x v="0"/>
    <x v="0"/>
  </r>
  <r>
    <x v="0"/>
    <x v="0"/>
    <x v="7"/>
    <x v="17"/>
    <s v="DK1_Rural"/>
    <x v="11"/>
    <s v="GNR_ST_WOODPEL_BP_E-30"/>
    <x v="0"/>
    <x v="0"/>
  </r>
  <r>
    <x v="0"/>
    <x v="1"/>
    <x v="7"/>
    <x v="17"/>
    <s v="DK1_Rural"/>
    <x v="11"/>
    <s v="GNR_ST_WOODPEL_BP_E-30"/>
    <x v="0"/>
    <x v="0"/>
  </r>
  <r>
    <x v="0"/>
    <x v="0"/>
    <x v="7"/>
    <x v="18"/>
    <s v="DK2_Large"/>
    <x v="11"/>
    <s v="GNR_ST_WOODPEL_EXT_E-50"/>
    <x v="0"/>
    <x v="0"/>
  </r>
  <r>
    <x v="0"/>
    <x v="1"/>
    <x v="7"/>
    <x v="18"/>
    <s v="DK2_Large"/>
    <x v="11"/>
    <s v="GNR_ST_WOODPEL_EXT_E-50"/>
    <x v="0"/>
    <x v="0"/>
  </r>
  <r>
    <x v="0"/>
    <x v="0"/>
    <x v="6"/>
    <x v="16"/>
    <s v="EE_Industry"/>
    <x v="7"/>
    <s v="GNR_ST_WOODWST_BP_E-53"/>
    <x v="0"/>
    <x v="0"/>
  </r>
  <r>
    <x v="0"/>
    <x v="1"/>
    <x v="6"/>
    <x v="16"/>
    <s v="EE_Industry"/>
    <x v="7"/>
    <s v="GNR_ST_WOODWST_BP_E-53"/>
    <x v="0"/>
    <x v="0"/>
  </r>
  <r>
    <x v="0"/>
    <x v="2"/>
    <x v="6"/>
    <x v="16"/>
    <s v="EE_Industry"/>
    <x v="7"/>
    <s v="GNR_ST_WOODWST_BP_E-53"/>
    <x v="0"/>
    <x v="0"/>
  </r>
  <r>
    <x v="0"/>
    <x v="0"/>
    <x v="7"/>
    <x v="17"/>
    <s v="DK1_Offshore"/>
    <x v="23"/>
    <s v="GNR_WT_WIND_OFF"/>
    <x v="0"/>
    <x v="0"/>
  </r>
  <r>
    <x v="0"/>
    <x v="0"/>
    <x v="7"/>
    <x v="18"/>
    <s v="DK2_Offshore"/>
    <x v="23"/>
    <s v="GNR_WT_WIND_OFF"/>
    <x v="0"/>
    <x v="0"/>
  </r>
  <r>
    <x v="0"/>
    <x v="0"/>
    <x v="5"/>
    <x v="12"/>
    <s v="DE4-E_Offshore_A"/>
    <x v="23"/>
    <s v="GNR_WT_WIND_OFF"/>
    <x v="0"/>
    <x v="0"/>
  </r>
  <r>
    <x v="0"/>
    <x v="0"/>
    <x v="5"/>
    <x v="13"/>
    <s v="DE4-N_Offshore_A"/>
    <x v="23"/>
    <s v="GNR_WT_WIND_OFF"/>
    <x v="0"/>
    <x v="0"/>
  </r>
  <r>
    <x v="0"/>
    <x v="0"/>
    <x v="5"/>
    <x v="15"/>
    <s v="DE4-W_Offshore_A"/>
    <x v="23"/>
    <s v="GNR_WT_WIND_OFF"/>
    <x v="0"/>
    <x v="0"/>
  </r>
  <r>
    <x v="0"/>
    <x v="0"/>
    <x v="8"/>
    <x v="19"/>
    <s v="NL_A"/>
    <x v="23"/>
    <s v="GNR_WT_WIND_OFF"/>
    <x v="0"/>
    <x v="0"/>
  </r>
  <r>
    <x v="0"/>
    <x v="0"/>
    <x v="9"/>
    <x v="20"/>
    <s v="UK_Offshore"/>
    <x v="23"/>
    <s v="GNR_WT_WIND_OFF"/>
    <x v="0"/>
    <x v="0"/>
  </r>
  <r>
    <x v="0"/>
    <x v="1"/>
    <x v="7"/>
    <x v="17"/>
    <s v="DK1_Offshore"/>
    <x v="23"/>
    <s v="GNR_WT_WIND_OFF"/>
    <x v="0"/>
    <x v="0"/>
  </r>
  <r>
    <x v="0"/>
    <x v="1"/>
    <x v="7"/>
    <x v="18"/>
    <s v="DK2_Offshore"/>
    <x v="23"/>
    <s v="GNR_WT_WIND_OFF"/>
    <x v="0"/>
    <x v="0"/>
  </r>
  <r>
    <x v="0"/>
    <x v="1"/>
    <x v="5"/>
    <x v="12"/>
    <s v="DE4-E_Offshore_A"/>
    <x v="23"/>
    <s v="GNR_WT_WIND_OFF"/>
    <x v="0"/>
    <x v="0"/>
  </r>
  <r>
    <x v="0"/>
    <x v="1"/>
    <x v="5"/>
    <x v="13"/>
    <s v="DE4-N_Offshore_A"/>
    <x v="23"/>
    <s v="GNR_WT_WIND_OFF"/>
    <x v="0"/>
    <x v="0"/>
  </r>
  <r>
    <x v="0"/>
    <x v="1"/>
    <x v="5"/>
    <x v="15"/>
    <s v="DE4-W_Offshore_A"/>
    <x v="23"/>
    <s v="GNR_WT_WIND_OFF"/>
    <x v="0"/>
    <x v="0"/>
  </r>
  <r>
    <x v="0"/>
    <x v="1"/>
    <x v="8"/>
    <x v="19"/>
    <s v="NL_A"/>
    <x v="23"/>
    <s v="GNR_WT_WIND_OFF"/>
    <x v="0"/>
    <x v="0"/>
  </r>
  <r>
    <x v="0"/>
    <x v="1"/>
    <x v="9"/>
    <x v="20"/>
    <s v="UK_Offshore"/>
    <x v="23"/>
    <s v="GNR_WT_WIND_OFF"/>
    <x v="0"/>
    <x v="0"/>
  </r>
  <r>
    <x v="0"/>
    <x v="2"/>
    <x v="7"/>
    <x v="17"/>
    <s v="DK1_Offshore"/>
    <x v="23"/>
    <s v="GNR_WT_WIND_OFF"/>
    <x v="0"/>
    <x v="0"/>
  </r>
  <r>
    <x v="0"/>
    <x v="2"/>
    <x v="7"/>
    <x v="18"/>
    <s v="DK2_Offshore"/>
    <x v="23"/>
    <s v="GNR_WT_WIND_OFF"/>
    <x v="0"/>
    <x v="0"/>
  </r>
  <r>
    <x v="0"/>
    <x v="2"/>
    <x v="5"/>
    <x v="12"/>
    <s v="DE4-E_Offshore_A"/>
    <x v="23"/>
    <s v="GNR_WT_WIND_OFF"/>
    <x v="0"/>
    <x v="0"/>
  </r>
  <r>
    <x v="0"/>
    <x v="2"/>
    <x v="5"/>
    <x v="13"/>
    <s v="DE4-N_Offshore_A"/>
    <x v="23"/>
    <s v="GNR_WT_WIND_OFF"/>
    <x v="0"/>
    <x v="0"/>
  </r>
  <r>
    <x v="0"/>
    <x v="2"/>
    <x v="5"/>
    <x v="15"/>
    <s v="DE4-W_Offshore_A"/>
    <x v="23"/>
    <s v="GNR_WT_WIND_OFF"/>
    <x v="0"/>
    <x v="0"/>
  </r>
  <r>
    <x v="0"/>
    <x v="2"/>
    <x v="8"/>
    <x v="19"/>
    <s v="NL_A"/>
    <x v="23"/>
    <s v="GNR_WT_WIND_OFF"/>
    <x v="0"/>
    <x v="0"/>
  </r>
  <r>
    <x v="0"/>
    <x v="2"/>
    <x v="9"/>
    <x v="20"/>
    <s v="UK_Offshore"/>
    <x v="23"/>
    <s v="GNR_WT_WIND_OFF"/>
    <x v="0"/>
    <x v="0"/>
  </r>
  <r>
    <x v="0"/>
    <x v="0"/>
    <x v="7"/>
    <x v="17"/>
    <s v="DK1_NoDH"/>
    <x v="23"/>
    <s v="GNR_WT_WIND_ONS"/>
    <x v="0"/>
    <x v="0"/>
  </r>
  <r>
    <x v="0"/>
    <x v="0"/>
    <x v="7"/>
    <x v="18"/>
    <s v="DK2_NoDH"/>
    <x v="23"/>
    <s v="GNR_WT_WIND_ONS"/>
    <x v="0"/>
    <x v="0"/>
  </r>
  <r>
    <x v="0"/>
    <x v="0"/>
    <x v="6"/>
    <x v="16"/>
    <s v="EE_Rural"/>
    <x v="23"/>
    <s v="GNR_WT_WIND_ONS"/>
    <x v="0"/>
    <x v="0"/>
  </r>
  <r>
    <x v="0"/>
    <x v="0"/>
    <x v="0"/>
    <x v="0"/>
    <s v="FinA"/>
    <x v="23"/>
    <s v="GNR_WT_WIND_ONS"/>
    <x v="0"/>
    <x v="0"/>
  </r>
  <r>
    <x v="0"/>
    <x v="0"/>
    <x v="5"/>
    <x v="12"/>
    <s v="DE4-E_A"/>
    <x v="23"/>
    <s v="GNR_WT_WIND_ONS"/>
    <x v="0"/>
    <x v="0"/>
  </r>
  <r>
    <x v="0"/>
    <x v="0"/>
    <x v="5"/>
    <x v="13"/>
    <s v="DE4-N_A"/>
    <x v="23"/>
    <s v="GNR_WT_WIND_ONS"/>
    <x v="0"/>
    <x v="0"/>
  </r>
  <r>
    <x v="0"/>
    <x v="0"/>
    <x v="5"/>
    <x v="14"/>
    <s v="DE4-S_A"/>
    <x v="23"/>
    <s v="GNR_WT_WIND_ONS"/>
    <x v="0"/>
    <x v="0"/>
  </r>
  <r>
    <x v="0"/>
    <x v="0"/>
    <x v="5"/>
    <x v="15"/>
    <s v="DE4-W_A"/>
    <x v="23"/>
    <s v="GNR_WT_WIND_ONS"/>
    <x v="0"/>
    <x v="0"/>
  </r>
  <r>
    <x v="0"/>
    <x v="0"/>
    <x v="10"/>
    <x v="21"/>
    <s v="LV_Rural"/>
    <x v="23"/>
    <s v="GNR_WT_WIND_ONS"/>
    <x v="0"/>
    <x v="0"/>
  </r>
  <r>
    <x v="0"/>
    <x v="0"/>
    <x v="3"/>
    <x v="10"/>
    <s v="LT_Rural"/>
    <x v="23"/>
    <s v="GNR_WT_WIND_ONS"/>
    <x v="0"/>
    <x v="0"/>
  </r>
  <r>
    <x v="0"/>
    <x v="0"/>
    <x v="8"/>
    <x v="19"/>
    <s v="NL_A"/>
    <x v="23"/>
    <s v="GNR_WT_WIND_ONS"/>
    <x v="0"/>
    <x v="0"/>
  </r>
  <r>
    <x v="0"/>
    <x v="0"/>
    <x v="2"/>
    <x v="7"/>
    <s v="NO2_A1"/>
    <x v="23"/>
    <s v="GNR_WT_WIND_ONS"/>
    <x v="0"/>
    <x v="0"/>
  </r>
  <r>
    <x v="0"/>
    <x v="0"/>
    <x v="2"/>
    <x v="5"/>
    <s v="NO3_A1"/>
    <x v="23"/>
    <s v="GNR_WT_WIND_ONS"/>
    <x v="0"/>
    <x v="0"/>
  </r>
  <r>
    <x v="0"/>
    <x v="0"/>
    <x v="2"/>
    <x v="8"/>
    <s v="NO4_A1"/>
    <x v="23"/>
    <s v="GNR_WT_WIND_ONS"/>
    <x v="0"/>
    <x v="0"/>
  </r>
  <r>
    <x v="0"/>
    <x v="0"/>
    <x v="4"/>
    <x v="11"/>
    <s v="PL_A"/>
    <x v="23"/>
    <s v="GNR_WT_WIND_ONS"/>
    <x v="0"/>
    <x v="0"/>
  </r>
  <r>
    <x v="0"/>
    <x v="0"/>
    <x v="1"/>
    <x v="1"/>
    <s v="SE1A"/>
    <x v="23"/>
    <s v="GNR_WT_WIND_ONS"/>
    <x v="0"/>
    <x v="0"/>
  </r>
  <r>
    <x v="0"/>
    <x v="0"/>
    <x v="1"/>
    <x v="2"/>
    <s v="SE2A"/>
    <x v="23"/>
    <s v="GNR_WT_WIND_ONS"/>
    <x v="0"/>
    <x v="0"/>
  </r>
  <r>
    <x v="0"/>
    <x v="0"/>
    <x v="1"/>
    <x v="3"/>
    <s v="SE3A"/>
    <x v="23"/>
    <s v="GNR_WT_WIND_ONS"/>
    <x v="0"/>
    <x v="0"/>
  </r>
  <r>
    <x v="0"/>
    <x v="0"/>
    <x v="1"/>
    <x v="4"/>
    <s v="SE4A"/>
    <x v="23"/>
    <s v="GNR_WT_WIND_ONS"/>
    <x v="0"/>
    <x v="0"/>
  </r>
  <r>
    <x v="0"/>
    <x v="0"/>
    <x v="9"/>
    <x v="20"/>
    <s v="UK_A"/>
    <x v="23"/>
    <s v="GNR_WT_WIND_ONS"/>
    <x v="0"/>
    <x v="0"/>
  </r>
  <r>
    <x v="0"/>
    <x v="1"/>
    <x v="7"/>
    <x v="17"/>
    <s v="DK1_NoDH"/>
    <x v="23"/>
    <s v="GNR_WT_WIND_ONS"/>
    <x v="0"/>
    <x v="0"/>
  </r>
  <r>
    <x v="0"/>
    <x v="1"/>
    <x v="7"/>
    <x v="18"/>
    <s v="DK2_NoDH"/>
    <x v="23"/>
    <s v="GNR_WT_WIND_ONS"/>
    <x v="0"/>
    <x v="0"/>
  </r>
  <r>
    <x v="0"/>
    <x v="1"/>
    <x v="6"/>
    <x v="16"/>
    <s v="EE_Rural"/>
    <x v="23"/>
    <s v="GNR_WT_WIND_ONS"/>
    <x v="0"/>
    <x v="0"/>
  </r>
  <r>
    <x v="0"/>
    <x v="1"/>
    <x v="0"/>
    <x v="0"/>
    <s v="FinA"/>
    <x v="23"/>
    <s v="GNR_WT_WIND_ONS"/>
    <x v="0"/>
    <x v="0"/>
  </r>
  <r>
    <x v="0"/>
    <x v="1"/>
    <x v="5"/>
    <x v="12"/>
    <s v="DE4-E_A"/>
    <x v="23"/>
    <s v="GNR_WT_WIND_ONS"/>
    <x v="0"/>
    <x v="0"/>
  </r>
  <r>
    <x v="0"/>
    <x v="1"/>
    <x v="5"/>
    <x v="13"/>
    <s v="DE4-N_A"/>
    <x v="23"/>
    <s v="GNR_WT_WIND_ONS"/>
    <x v="0"/>
    <x v="0"/>
  </r>
  <r>
    <x v="0"/>
    <x v="1"/>
    <x v="5"/>
    <x v="14"/>
    <s v="DE4-S_A"/>
    <x v="23"/>
    <s v="GNR_WT_WIND_ONS"/>
    <x v="0"/>
    <x v="0"/>
  </r>
  <r>
    <x v="0"/>
    <x v="1"/>
    <x v="5"/>
    <x v="15"/>
    <s v="DE4-W_A"/>
    <x v="23"/>
    <s v="GNR_WT_WIND_ONS"/>
    <x v="0"/>
    <x v="0"/>
  </r>
  <r>
    <x v="0"/>
    <x v="1"/>
    <x v="10"/>
    <x v="21"/>
    <s v="LV_Rural"/>
    <x v="23"/>
    <s v="GNR_WT_WIND_ONS"/>
    <x v="0"/>
    <x v="0"/>
  </r>
  <r>
    <x v="0"/>
    <x v="1"/>
    <x v="3"/>
    <x v="10"/>
    <s v="LT_Rural"/>
    <x v="23"/>
    <s v="GNR_WT_WIND_ONS"/>
    <x v="0"/>
    <x v="0"/>
  </r>
  <r>
    <x v="0"/>
    <x v="1"/>
    <x v="8"/>
    <x v="19"/>
    <s v="NL_A"/>
    <x v="23"/>
    <s v="GNR_WT_WIND_ONS"/>
    <x v="0"/>
    <x v="0"/>
  </r>
  <r>
    <x v="0"/>
    <x v="1"/>
    <x v="2"/>
    <x v="6"/>
    <s v="NO1_A1"/>
    <x v="23"/>
    <s v="GNR_WT_WIND_ONS"/>
    <x v="0"/>
    <x v="0"/>
  </r>
  <r>
    <x v="0"/>
    <x v="1"/>
    <x v="2"/>
    <x v="7"/>
    <s v="NO2_A1"/>
    <x v="23"/>
    <s v="GNR_WT_WIND_ONS"/>
    <x v="0"/>
    <x v="0"/>
  </r>
  <r>
    <x v="0"/>
    <x v="1"/>
    <x v="2"/>
    <x v="5"/>
    <s v="NO3_A1"/>
    <x v="23"/>
    <s v="GNR_WT_WIND_ONS"/>
    <x v="0"/>
    <x v="0"/>
  </r>
  <r>
    <x v="0"/>
    <x v="1"/>
    <x v="2"/>
    <x v="8"/>
    <s v="NO4_A1"/>
    <x v="23"/>
    <s v="GNR_WT_WIND_ONS"/>
    <x v="0"/>
    <x v="0"/>
  </r>
  <r>
    <x v="0"/>
    <x v="1"/>
    <x v="4"/>
    <x v="11"/>
    <s v="PL_A"/>
    <x v="23"/>
    <s v="GNR_WT_WIND_ONS"/>
    <x v="0"/>
    <x v="0"/>
  </r>
  <r>
    <x v="0"/>
    <x v="1"/>
    <x v="1"/>
    <x v="1"/>
    <s v="SE1A"/>
    <x v="23"/>
    <s v="GNR_WT_WIND_ONS"/>
    <x v="0"/>
    <x v="0"/>
  </r>
  <r>
    <x v="0"/>
    <x v="1"/>
    <x v="1"/>
    <x v="2"/>
    <s v="SE2A"/>
    <x v="23"/>
    <s v="GNR_WT_WIND_ONS"/>
    <x v="0"/>
    <x v="0"/>
  </r>
  <r>
    <x v="0"/>
    <x v="1"/>
    <x v="1"/>
    <x v="3"/>
    <s v="SE3A"/>
    <x v="23"/>
    <s v="GNR_WT_WIND_ONS"/>
    <x v="0"/>
    <x v="0"/>
  </r>
  <r>
    <x v="0"/>
    <x v="1"/>
    <x v="1"/>
    <x v="4"/>
    <s v="SE4A"/>
    <x v="23"/>
    <s v="GNR_WT_WIND_ONS"/>
    <x v="0"/>
    <x v="0"/>
  </r>
  <r>
    <x v="0"/>
    <x v="1"/>
    <x v="9"/>
    <x v="20"/>
    <s v="UK_A"/>
    <x v="23"/>
    <s v="GNR_WT_WIND_ONS"/>
    <x v="0"/>
    <x v="0"/>
  </r>
  <r>
    <x v="0"/>
    <x v="2"/>
    <x v="7"/>
    <x v="17"/>
    <s v="DK1_NoDH"/>
    <x v="23"/>
    <s v="GNR_WT_WIND_ONS"/>
    <x v="0"/>
    <x v="0"/>
  </r>
  <r>
    <x v="0"/>
    <x v="2"/>
    <x v="7"/>
    <x v="18"/>
    <s v="DK2_NoDH"/>
    <x v="23"/>
    <s v="GNR_WT_WIND_ONS"/>
    <x v="0"/>
    <x v="0"/>
  </r>
  <r>
    <x v="0"/>
    <x v="2"/>
    <x v="6"/>
    <x v="16"/>
    <s v="EE_Rural"/>
    <x v="23"/>
    <s v="GNR_WT_WIND_ONS"/>
    <x v="0"/>
    <x v="0"/>
  </r>
  <r>
    <x v="0"/>
    <x v="2"/>
    <x v="0"/>
    <x v="0"/>
    <s v="FinA"/>
    <x v="23"/>
    <s v="GNR_WT_WIND_ONS"/>
    <x v="0"/>
    <x v="0"/>
  </r>
  <r>
    <x v="0"/>
    <x v="2"/>
    <x v="5"/>
    <x v="12"/>
    <s v="DE4-E_A"/>
    <x v="23"/>
    <s v="GNR_WT_WIND_ONS"/>
    <x v="0"/>
    <x v="0"/>
  </r>
  <r>
    <x v="0"/>
    <x v="2"/>
    <x v="5"/>
    <x v="13"/>
    <s v="DE4-N_A"/>
    <x v="23"/>
    <s v="GNR_WT_WIND_ONS"/>
    <x v="0"/>
    <x v="0"/>
  </r>
  <r>
    <x v="0"/>
    <x v="2"/>
    <x v="5"/>
    <x v="14"/>
    <s v="DE4-S_A"/>
    <x v="23"/>
    <s v="GNR_WT_WIND_ONS"/>
    <x v="0"/>
    <x v="0"/>
  </r>
  <r>
    <x v="0"/>
    <x v="2"/>
    <x v="5"/>
    <x v="15"/>
    <s v="DE4-W_A"/>
    <x v="23"/>
    <s v="GNR_WT_WIND_ONS"/>
    <x v="0"/>
    <x v="0"/>
  </r>
  <r>
    <x v="0"/>
    <x v="2"/>
    <x v="10"/>
    <x v="21"/>
    <s v="LV_Rural"/>
    <x v="23"/>
    <s v="GNR_WT_WIND_ONS"/>
    <x v="0"/>
    <x v="0"/>
  </r>
  <r>
    <x v="0"/>
    <x v="2"/>
    <x v="3"/>
    <x v="10"/>
    <s v="LT_Rural"/>
    <x v="23"/>
    <s v="GNR_WT_WIND_ONS"/>
    <x v="0"/>
    <x v="0"/>
  </r>
  <r>
    <x v="0"/>
    <x v="2"/>
    <x v="8"/>
    <x v="19"/>
    <s v="NL_A"/>
    <x v="23"/>
    <s v="GNR_WT_WIND_ONS"/>
    <x v="0"/>
    <x v="0"/>
  </r>
  <r>
    <x v="0"/>
    <x v="2"/>
    <x v="2"/>
    <x v="6"/>
    <s v="NO1_A1"/>
    <x v="23"/>
    <s v="GNR_WT_WIND_ONS"/>
    <x v="0"/>
    <x v="0"/>
  </r>
  <r>
    <x v="0"/>
    <x v="2"/>
    <x v="2"/>
    <x v="7"/>
    <s v="NO2_A1"/>
    <x v="23"/>
    <s v="GNR_WT_WIND_ONS"/>
    <x v="0"/>
    <x v="0"/>
  </r>
  <r>
    <x v="0"/>
    <x v="2"/>
    <x v="2"/>
    <x v="5"/>
    <s v="NO3_A1"/>
    <x v="23"/>
    <s v="GNR_WT_WIND_ONS"/>
    <x v="0"/>
    <x v="0"/>
  </r>
  <r>
    <x v="0"/>
    <x v="2"/>
    <x v="2"/>
    <x v="8"/>
    <s v="NO4_A1"/>
    <x v="23"/>
    <s v="GNR_WT_WIND_ONS"/>
    <x v="0"/>
    <x v="0"/>
  </r>
  <r>
    <x v="0"/>
    <x v="2"/>
    <x v="4"/>
    <x v="11"/>
    <s v="PL_A"/>
    <x v="23"/>
    <s v="GNR_WT_WIND_ONS"/>
    <x v="0"/>
    <x v="0"/>
  </r>
  <r>
    <x v="0"/>
    <x v="2"/>
    <x v="1"/>
    <x v="1"/>
    <s v="SE1A"/>
    <x v="23"/>
    <s v="GNR_WT_WIND_ONS"/>
    <x v="0"/>
    <x v="0"/>
  </r>
  <r>
    <x v="0"/>
    <x v="2"/>
    <x v="1"/>
    <x v="2"/>
    <s v="SE2A"/>
    <x v="23"/>
    <s v="GNR_WT_WIND_ONS"/>
    <x v="0"/>
    <x v="0"/>
  </r>
  <r>
    <x v="0"/>
    <x v="2"/>
    <x v="1"/>
    <x v="3"/>
    <s v="SE3A"/>
    <x v="23"/>
    <s v="GNR_WT_WIND_ONS"/>
    <x v="0"/>
    <x v="0"/>
  </r>
  <r>
    <x v="0"/>
    <x v="2"/>
    <x v="1"/>
    <x v="4"/>
    <s v="SE4A"/>
    <x v="23"/>
    <s v="GNR_WT_WIND_ONS"/>
    <x v="0"/>
    <x v="0"/>
  </r>
  <r>
    <x v="0"/>
    <x v="2"/>
    <x v="9"/>
    <x v="20"/>
    <s v="UK_A"/>
    <x v="23"/>
    <s v="GNR_WT_WIND_ONS"/>
    <x v="0"/>
    <x v="0"/>
  </r>
  <r>
    <x v="0"/>
    <x v="0"/>
    <x v="4"/>
    <x v="11"/>
    <s v="PL_A"/>
    <x v="2"/>
    <s v="GORZ-4_ST_NGAS_BP"/>
    <x v="0"/>
    <x v="0"/>
  </r>
  <r>
    <x v="0"/>
    <x v="1"/>
    <x v="4"/>
    <x v="11"/>
    <s v="PL_A"/>
    <x v="2"/>
    <s v="GORZ-4_ST_NGAS_BP"/>
    <x v="0"/>
    <x v="0"/>
  </r>
  <r>
    <x v="0"/>
    <x v="2"/>
    <x v="4"/>
    <x v="11"/>
    <s v="PL_A"/>
    <x v="2"/>
    <s v="GORZ-4_ST_NGAS_BP"/>
    <x v="0"/>
    <x v="0"/>
  </r>
  <r>
    <x v="0"/>
    <x v="0"/>
    <x v="6"/>
    <x v="16"/>
    <s v="EE_Industry"/>
    <x v="4"/>
    <s v="IMAVERE_ST_WOOD_BP"/>
    <x v="0"/>
    <x v="0"/>
  </r>
  <r>
    <x v="0"/>
    <x v="1"/>
    <x v="6"/>
    <x v="16"/>
    <s v="EE_Industry"/>
    <x v="4"/>
    <s v="IMAVERE_ST_WOOD_BP"/>
    <x v="0"/>
    <x v="0"/>
  </r>
  <r>
    <x v="0"/>
    <x v="2"/>
    <x v="6"/>
    <x v="16"/>
    <s v="EE_Industry"/>
    <x v="4"/>
    <s v="IMAVERE_ST_WOOD_BP"/>
    <x v="0"/>
    <x v="0"/>
  </r>
  <r>
    <x v="0"/>
    <x v="0"/>
    <x v="6"/>
    <x v="16"/>
    <s v="EE_Tallinn"/>
    <x v="9"/>
    <s v="IRU_ST_MSW_BP"/>
    <x v="0"/>
    <x v="0"/>
  </r>
  <r>
    <x v="0"/>
    <x v="1"/>
    <x v="6"/>
    <x v="16"/>
    <s v="EE_Tallinn"/>
    <x v="9"/>
    <s v="IRU_ST_MSW_BP"/>
    <x v="0"/>
    <x v="0"/>
  </r>
  <r>
    <x v="0"/>
    <x v="2"/>
    <x v="6"/>
    <x v="16"/>
    <s v="EE_Tallinn"/>
    <x v="9"/>
    <s v="IRU_ST_MSW_BP"/>
    <x v="0"/>
    <x v="0"/>
  </r>
  <r>
    <x v="0"/>
    <x v="0"/>
    <x v="6"/>
    <x v="16"/>
    <s v="EE_Tallinn"/>
    <x v="2"/>
    <s v="IRU_ST_NGAS_BP"/>
    <x v="0"/>
    <x v="0"/>
  </r>
  <r>
    <x v="0"/>
    <x v="1"/>
    <x v="6"/>
    <x v="16"/>
    <s v="EE_Tallinn"/>
    <x v="2"/>
    <s v="IRU_ST_NGAS_BP"/>
    <x v="0"/>
    <x v="0"/>
  </r>
  <r>
    <x v="0"/>
    <x v="0"/>
    <x v="4"/>
    <x v="11"/>
    <s v="PL_A"/>
    <x v="0"/>
    <s v="JAWO2-1_ST_COAL_BP"/>
    <x v="0"/>
    <x v="0"/>
  </r>
  <r>
    <x v="0"/>
    <x v="1"/>
    <x v="4"/>
    <x v="11"/>
    <s v="PL_A"/>
    <x v="0"/>
    <s v="JAWO2-1_ST_COAL_BP"/>
    <x v="0"/>
    <x v="0"/>
  </r>
  <r>
    <x v="0"/>
    <x v="0"/>
    <x v="4"/>
    <x v="11"/>
    <s v="PL_A"/>
    <x v="0"/>
    <s v="KARO-1_ST_COAL_EXT"/>
    <x v="0"/>
    <x v="0"/>
  </r>
  <r>
    <x v="0"/>
    <x v="1"/>
    <x v="4"/>
    <x v="11"/>
    <s v="PL_A"/>
    <x v="0"/>
    <s v="KARO-1_ST_COAL_EXT"/>
    <x v="0"/>
    <x v="0"/>
  </r>
  <r>
    <x v="0"/>
    <x v="0"/>
    <x v="4"/>
    <x v="11"/>
    <s v="PL_A"/>
    <x v="0"/>
    <s v="KARO-2_ST_COAL_BP"/>
    <x v="0"/>
    <x v="0"/>
  </r>
  <r>
    <x v="0"/>
    <x v="1"/>
    <x v="4"/>
    <x v="11"/>
    <s v="PL_A"/>
    <x v="0"/>
    <s v="KARO-2_ST_COAL_BP"/>
    <x v="0"/>
    <x v="0"/>
  </r>
  <r>
    <x v="0"/>
    <x v="2"/>
    <x v="4"/>
    <x v="11"/>
    <s v="PL_A"/>
    <x v="0"/>
    <s v="KARO-2_ST_COAL_BP"/>
    <x v="0"/>
    <x v="0"/>
  </r>
  <r>
    <x v="0"/>
    <x v="0"/>
    <x v="4"/>
    <x v="11"/>
    <s v="PL_A"/>
    <x v="0"/>
    <s v="KATO_ST_COAL_BP"/>
    <x v="0"/>
    <x v="0"/>
  </r>
  <r>
    <x v="0"/>
    <x v="1"/>
    <x v="4"/>
    <x v="11"/>
    <s v="PL_A"/>
    <x v="0"/>
    <s v="KATO_ST_COAL_BP"/>
    <x v="0"/>
    <x v="0"/>
  </r>
  <r>
    <x v="0"/>
    <x v="2"/>
    <x v="4"/>
    <x v="11"/>
    <s v="PL_A"/>
    <x v="0"/>
    <s v="KATO_ST_COAL_BP"/>
    <x v="0"/>
    <x v="0"/>
  </r>
  <r>
    <x v="0"/>
    <x v="0"/>
    <x v="3"/>
    <x v="10"/>
    <s v="LT_KauU"/>
    <x v="9"/>
    <s v="KAUNAS_ST_MSW_BP"/>
    <x v="0"/>
    <x v="0"/>
  </r>
  <r>
    <x v="0"/>
    <x v="1"/>
    <x v="3"/>
    <x v="10"/>
    <s v="LT_KauU"/>
    <x v="9"/>
    <s v="KAUNAS_ST_MSW_BP"/>
    <x v="0"/>
    <x v="0"/>
  </r>
  <r>
    <x v="0"/>
    <x v="2"/>
    <x v="3"/>
    <x v="10"/>
    <s v="LT_KauU"/>
    <x v="9"/>
    <s v="KAUNAS_ST_MSW_BP"/>
    <x v="0"/>
    <x v="0"/>
  </r>
  <r>
    <x v="0"/>
    <x v="0"/>
    <x v="3"/>
    <x v="10"/>
    <s v="LT_KlaU"/>
    <x v="4"/>
    <s v="KLAIPEDA_ST_WOOD_BP"/>
    <x v="0"/>
    <x v="0"/>
  </r>
  <r>
    <x v="0"/>
    <x v="1"/>
    <x v="3"/>
    <x v="10"/>
    <s v="LT_KlaU"/>
    <x v="4"/>
    <s v="KLAIPEDA_ST_WOOD_BP"/>
    <x v="0"/>
    <x v="0"/>
  </r>
  <r>
    <x v="0"/>
    <x v="2"/>
    <x v="3"/>
    <x v="10"/>
    <s v="LT_KlaU"/>
    <x v="4"/>
    <s v="KLAIPEDA_ST_WOOD_BP"/>
    <x v="0"/>
    <x v="0"/>
  </r>
  <r>
    <x v="0"/>
    <x v="0"/>
    <x v="4"/>
    <x v="11"/>
    <s v="PL_A"/>
    <x v="0"/>
    <s v="KOZI-1_ST_COAL_EXT"/>
    <x v="0"/>
    <x v="0"/>
  </r>
  <r>
    <x v="0"/>
    <x v="1"/>
    <x v="4"/>
    <x v="11"/>
    <s v="PL_A"/>
    <x v="0"/>
    <s v="KOZI-1_ST_COAL_EXT"/>
    <x v="0"/>
    <x v="0"/>
  </r>
  <r>
    <x v="0"/>
    <x v="0"/>
    <x v="4"/>
    <x v="11"/>
    <s v="PL_Rural"/>
    <x v="0"/>
    <s v="KOZI-2_ST_COAL_CND"/>
    <x v="0"/>
    <x v="0"/>
  </r>
  <r>
    <x v="0"/>
    <x v="1"/>
    <x v="4"/>
    <x v="11"/>
    <s v="PL_Rural"/>
    <x v="0"/>
    <s v="KOZI-2_ST_COAL_CND"/>
    <x v="0"/>
    <x v="0"/>
  </r>
  <r>
    <x v="0"/>
    <x v="0"/>
    <x v="4"/>
    <x v="11"/>
    <s v="PL_A"/>
    <x v="0"/>
    <s v="KRLEG-1_ST_COAL_BP"/>
    <x v="0"/>
    <x v="0"/>
  </r>
  <r>
    <x v="0"/>
    <x v="1"/>
    <x v="4"/>
    <x v="11"/>
    <s v="PL_A"/>
    <x v="0"/>
    <s v="KRLEG-1_ST_COAL_BP"/>
    <x v="0"/>
    <x v="0"/>
  </r>
  <r>
    <x v="0"/>
    <x v="0"/>
    <x v="4"/>
    <x v="11"/>
    <s v="PL_A"/>
    <x v="0"/>
    <s v="KRLEG-3_ST_COAL_EXT"/>
    <x v="0"/>
    <x v="0"/>
  </r>
  <r>
    <x v="0"/>
    <x v="1"/>
    <x v="4"/>
    <x v="11"/>
    <s v="PL_A"/>
    <x v="0"/>
    <s v="KRLEG-3_ST_COAL_EXT"/>
    <x v="0"/>
    <x v="0"/>
  </r>
  <r>
    <x v="0"/>
    <x v="0"/>
    <x v="4"/>
    <x v="11"/>
    <s v="PL_Rural"/>
    <x v="0"/>
    <s v="LAGI-6_ST_COAL_CND"/>
    <x v="0"/>
    <x v="0"/>
  </r>
  <r>
    <x v="0"/>
    <x v="1"/>
    <x v="4"/>
    <x v="11"/>
    <s v="PL_Rural"/>
    <x v="0"/>
    <s v="LAGI-6_ST_COAL_CND"/>
    <x v="0"/>
    <x v="0"/>
  </r>
  <r>
    <x v="0"/>
    <x v="2"/>
    <x v="4"/>
    <x v="11"/>
    <s v="PL_Rural"/>
    <x v="0"/>
    <s v="LAGI-6_ST_COAL_CND"/>
    <x v="0"/>
    <x v="0"/>
  </r>
  <r>
    <x v="0"/>
    <x v="0"/>
    <x v="4"/>
    <x v="11"/>
    <s v="PL_A"/>
    <x v="0"/>
    <s v="LAZI-1_ST_COAL_EXT"/>
    <x v="0"/>
    <x v="0"/>
  </r>
  <r>
    <x v="0"/>
    <x v="1"/>
    <x v="4"/>
    <x v="11"/>
    <s v="PL_A"/>
    <x v="0"/>
    <s v="LAZI-1_ST_COAL_EXT"/>
    <x v="0"/>
    <x v="0"/>
  </r>
  <r>
    <x v="0"/>
    <x v="0"/>
    <x v="4"/>
    <x v="11"/>
    <s v="PL_Rural"/>
    <x v="0"/>
    <s v="LAZI-2_ST_COAL_CND"/>
    <x v="0"/>
    <x v="0"/>
  </r>
  <r>
    <x v="0"/>
    <x v="1"/>
    <x v="4"/>
    <x v="11"/>
    <s v="PL_Rural"/>
    <x v="0"/>
    <s v="LAZI-2_ST_COAL_CND"/>
    <x v="0"/>
    <x v="0"/>
  </r>
  <r>
    <x v="0"/>
    <x v="0"/>
    <x v="3"/>
    <x v="10"/>
    <s v="LT_Other_DH"/>
    <x v="24"/>
    <s v="LIFOSA_ST_HEAT_BP"/>
    <x v="0"/>
    <x v="0"/>
  </r>
  <r>
    <x v="0"/>
    <x v="1"/>
    <x v="3"/>
    <x v="10"/>
    <s v="LT_Other_DH"/>
    <x v="24"/>
    <s v="LIFOSA_ST_HEAT_BP"/>
    <x v="0"/>
    <x v="0"/>
  </r>
  <r>
    <x v="0"/>
    <x v="2"/>
    <x v="3"/>
    <x v="10"/>
    <s v="LT_Other_DH"/>
    <x v="24"/>
    <s v="LIFOSA_ST_HEAT_BP"/>
    <x v="0"/>
    <x v="0"/>
  </r>
  <r>
    <x v="0"/>
    <x v="0"/>
    <x v="4"/>
    <x v="11"/>
    <s v="PL_A"/>
    <x v="16"/>
    <s v="LODZ-3_ST_STRAW_EXT"/>
    <x v="0"/>
    <x v="0"/>
  </r>
  <r>
    <x v="0"/>
    <x v="1"/>
    <x v="4"/>
    <x v="11"/>
    <s v="PL_A"/>
    <x v="16"/>
    <s v="LODZ-3_ST_STRAW_EXT"/>
    <x v="0"/>
    <x v="0"/>
  </r>
  <r>
    <x v="0"/>
    <x v="2"/>
    <x v="4"/>
    <x v="11"/>
    <s v="PL_A"/>
    <x v="16"/>
    <s v="LODZ-3_ST_STRAW_EXT"/>
    <x v="0"/>
    <x v="0"/>
  </r>
  <r>
    <x v="0"/>
    <x v="0"/>
    <x v="4"/>
    <x v="11"/>
    <s v="PL_A"/>
    <x v="0"/>
    <s v="MIEC_ST_COAL_EXT"/>
    <x v="0"/>
    <x v="0"/>
  </r>
  <r>
    <x v="0"/>
    <x v="1"/>
    <x v="4"/>
    <x v="11"/>
    <s v="PL_A"/>
    <x v="0"/>
    <s v="MIEC_ST_COAL_EXT"/>
    <x v="0"/>
    <x v="0"/>
  </r>
  <r>
    <x v="0"/>
    <x v="0"/>
    <x v="6"/>
    <x v="16"/>
    <s v="EE_Tallinn"/>
    <x v="4"/>
    <s v="MUSTAMAE_ST_WOOD_BP"/>
    <x v="0"/>
    <x v="0"/>
  </r>
  <r>
    <x v="0"/>
    <x v="1"/>
    <x v="6"/>
    <x v="16"/>
    <s v="EE_Tallinn"/>
    <x v="4"/>
    <s v="MUSTAMAE_ST_WOOD_BP"/>
    <x v="0"/>
    <x v="0"/>
  </r>
  <r>
    <x v="0"/>
    <x v="2"/>
    <x v="6"/>
    <x v="16"/>
    <s v="EE_Tallinn"/>
    <x v="4"/>
    <s v="MUSTAMAE_ST_WOOD_BP"/>
    <x v="0"/>
    <x v="0"/>
  </r>
  <r>
    <x v="0"/>
    <x v="0"/>
    <x v="6"/>
    <x v="16"/>
    <s v="EE_Narva"/>
    <x v="15"/>
    <s v="NARVA-1_ST_SHALE_CND"/>
    <x v="0"/>
    <x v="0"/>
  </r>
  <r>
    <x v="0"/>
    <x v="1"/>
    <x v="6"/>
    <x v="16"/>
    <s v="EE_Narva"/>
    <x v="15"/>
    <s v="NARVA-1_ST_SHALE_CND"/>
    <x v="0"/>
    <x v="0"/>
  </r>
  <r>
    <x v="0"/>
    <x v="0"/>
    <x v="6"/>
    <x v="16"/>
    <s v="EE_Narva"/>
    <x v="15"/>
    <s v="NARVA-11_ST_SHALE_EXT"/>
    <x v="0"/>
    <x v="0"/>
  </r>
  <r>
    <x v="0"/>
    <x v="1"/>
    <x v="6"/>
    <x v="16"/>
    <s v="EE_Narva"/>
    <x v="15"/>
    <s v="NARVA-11_ST_SHALE_EXT"/>
    <x v="0"/>
    <x v="0"/>
  </r>
  <r>
    <x v="0"/>
    <x v="2"/>
    <x v="6"/>
    <x v="16"/>
    <s v="EE_Narva"/>
    <x v="15"/>
    <s v="NARVA-11_ST_SHALE_EXT"/>
    <x v="0"/>
    <x v="0"/>
  </r>
  <r>
    <x v="0"/>
    <x v="0"/>
    <x v="6"/>
    <x v="16"/>
    <s v="EE_Narva"/>
    <x v="15"/>
    <s v="NARVA-12_ST_SHALE_CND"/>
    <x v="0"/>
    <x v="0"/>
  </r>
  <r>
    <x v="0"/>
    <x v="1"/>
    <x v="6"/>
    <x v="16"/>
    <s v="EE_Narva"/>
    <x v="15"/>
    <s v="NARVA-12_ST_SHALE_CND"/>
    <x v="0"/>
    <x v="0"/>
  </r>
  <r>
    <x v="0"/>
    <x v="0"/>
    <x v="6"/>
    <x v="16"/>
    <s v="EE_Narva"/>
    <x v="15"/>
    <s v="NARVA-2_ST_SHALE_CND"/>
    <x v="0"/>
    <x v="0"/>
  </r>
  <r>
    <x v="0"/>
    <x v="1"/>
    <x v="6"/>
    <x v="16"/>
    <s v="EE_Narva"/>
    <x v="15"/>
    <s v="NARVA-2_ST_SHALE_CND"/>
    <x v="0"/>
    <x v="0"/>
  </r>
  <r>
    <x v="0"/>
    <x v="0"/>
    <x v="6"/>
    <x v="16"/>
    <s v="EE_Narva"/>
    <x v="15"/>
    <s v="NARVA-3_ST_SHALE_CND"/>
    <x v="0"/>
    <x v="0"/>
  </r>
  <r>
    <x v="0"/>
    <x v="1"/>
    <x v="6"/>
    <x v="16"/>
    <s v="EE_Narva"/>
    <x v="15"/>
    <s v="NARVA-3_ST_SHALE_CND"/>
    <x v="0"/>
    <x v="0"/>
  </r>
  <r>
    <x v="0"/>
    <x v="2"/>
    <x v="6"/>
    <x v="16"/>
    <s v="EE_Narva"/>
    <x v="15"/>
    <s v="NARVA-3_ST_SHALE_CND"/>
    <x v="0"/>
    <x v="0"/>
  </r>
  <r>
    <x v="0"/>
    <x v="0"/>
    <x v="6"/>
    <x v="16"/>
    <s v="EE_Narva"/>
    <x v="15"/>
    <s v="NARVA-4_ST_SHALE_CND"/>
    <x v="0"/>
    <x v="0"/>
  </r>
  <r>
    <x v="0"/>
    <x v="1"/>
    <x v="6"/>
    <x v="16"/>
    <s v="EE_Narva"/>
    <x v="15"/>
    <s v="NARVA-4_ST_SHALE_CND"/>
    <x v="0"/>
    <x v="0"/>
  </r>
  <r>
    <x v="0"/>
    <x v="2"/>
    <x v="6"/>
    <x v="16"/>
    <s v="EE_Narva"/>
    <x v="15"/>
    <s v="NARVA-4_ST_SHALE_CND"/>
    <x v="0"/>
    <x v="0"/>
  </r>
  <r>
    <x v="0"/>
    <x v="0"/>
    <x v="6"/>
    <x v="16"/>
    <s v="EE_Narva"/>
    <x v="15"/>
    <s v="NARVA-5_ST_SHALE_CND"/>
    <x v="0"/>
    <x v="0"/>
  </r>
  <r>
    <x v="0"/>
    <x v="1"/>
    <x v="6"/>
    <x v="16"/>
    <s v="EE_Narva"/>
    <x v="15"/>
    <s v="NARVA-5_ST_SHALE_CND"/>
    <x v="0"/>
    <x v="0"/>
  </r>
  <r>
    <x v="0"/>
    <x v="2"/>
    <x v="6"/>
    <x v="16"/>
    <s v="EE_Narva"/>
    <x v="15"/>
    <s v="NARVA-5_ST_SHALE_CND"/>
    <x v="0"/>
    <x v="0"/>
  </r>
  <r>
    <x v="0"/>
    <x v="0"/>
    <x v="6"/>
    <x v="16"/>
    <s v="EE_Narva"/>
    <x v="15"/>
    <s v="NARVA-6_ST_SHALE_CND"/>
    <x v="0"/>
    <x v="0"/>
  </r>
  <r>
    <x v="0"/>
    <x v="1"/>
    <x v="6"/>
    <x v="16"/>
    <s v="EE_Narva"/>
    <x v="15"/>
    <s v="NARVA-6_ST_SHALE_CND"/>
    <x v="0"/>
    <x v="0"/>
  </r>
  <r>
    <x v="0"/>
    <x v="2"/>
    <x v="6"/>
    <x v="16"/>
    <s v="EE_Narva"/>
    <x v="15"/>
    <s v="NARVA-6_ST_SHALE_CND"/>
    <x v="0"/>
    <x v="0"/>
  </r>
  <r>
    <x v="0"/>
    <x v="0"/>
    <x v="6"/>
    <x v="16"/>
    <s v="EE_Narva"/>
    <x v="15"/>
    <s v="NARVA-7_ST_SHALE_CND"/>
    <x v="0"/>
    <x v="0"/>
  </r>
  <r>
    <x v="0"/>
    <x v="1"/>
    <x v="6"/>
    <x v="16"/>
    <s v="EE_Narva"/>
    <x v="15"/>
    <s v="NARVA-7_ST_SHALE_CND"/>
    <x v="0"/>
    <x v="0"/>
  </r>
  <r>
    <x v="0"/>
    <x v="0"/>
    <x v="6"/>
    <x v="16"/>
    <s v="EE_Narva"/>
    <x v="15"/>
    <s v="NARVA-8_ST_SHALE_CND"/>
    <x v="0"/>
    <x v="0"/>
  </r>
  <r>
    <x v="0"/>
    <x v="1"/>
    <x v="6"/>
    <x v="16"/>
    <s v="EE_Narva"/>
    <x v="15"/>
    <s v="NARVA-8_ST_SHALE_CND"/>
    <x v="0"/>
    <x v="0"/>
  </r>
  <r>
    <x v="0"/>
    <x v="2"/>
    <x v="6"/>
    <x v="16"/>
    <s v="EE_Narva"/>
    <x v="15"/>
    <s v="NARVA-8_ST_SHALE_CND"/>
    <x v="0"/>
    <x v="0"/>
  </r>
  <r>
    <x v="0"/>
    <x v="0"/>
    <x v="4"/>
    <x v="11"/>
    <s v="PL_A"/>
    <x v="2"/>
    <s v="NOWA-1_ST_NGAS_BP"/>
    <x v="0"/>
    <x v="0"/>
  </r>
  <r>
    <x v="0"/>
    <x v="1"/>
    <x v="4"/>
    <x v="11"/>
    <s v="PL_A"/>
    <x v="2"/>
    <s v="NOWA-1_ST_NGAS_BP"/>
    <x v="0"/>
    <x v="0"/>
  </r>
  <r>
    <x v="0"/>
    <x v="2"/>
    <x v="4"/>
    <x v="11"/>
    <s v="PL_A"/>
    <x v="2"/>
    <s v="NOWA-1_ST_NGAS_BP"/>
    <x v="0"/>
    <x v="0"/>
  </r>
  <r>
    <x v="0"/>
    <x v="0"/>
    <x v="4"/>
    <x v="11"/>
    <s v="PL_Rural"/>
    <x v="0"/>
    <s v="OPOL-1_ST_COAL_CND"/>
    <x v="0"/>
    <x v="0"/>
  </r>
  <r>
    <x v="0"/>
    <x v="1"/>
    <x v="4"/>
    <x v="11"/>
    <s v="PL_Rural"/>
    <x v="0"/>
    <s v="OPOL-1_ST_COAL_CND"/>
    <x v="0"/>
    <x v="0"/>
  </r>
  <r>
    <x v="0"/>
    <x v="2"/>
    <x v="4"/>
    <x v="11"/>
    <s v="PL_Rural"/>
    <x v="0"/>
    <s v="OPOL-1_ST_COAL_CND"/>
    <x v="0"/>
    <x v="0"/>
  </r>
  <r>
    <x v="0"/>
    <x v="0"/>
    <x v="4"/>
    <x v="11"/>
    <s v="PL_Rural"/>
    <x v="0"/>
    <s v="OSTRB-1_ST_COAL_CND"/>
    <x v="0"/>
    <x v="0"/>
  </r>
  <r>
    <x v="0"/>
    <x v="1"/>
    <x v="4"/>
    <x v="11"/>
    <s v="PL_Rural"/>
    <x v="0"/>
    <s v="OSTRB-1_ST_COAL_CND"/>
    <x v="0"/>
    <x v="0"/>
  </r>
  <r>
    <x v="0"/>
    <x v="0"/>
    <x v="6"/>
    <x v="16"/>
    <s v="EE_Industry"/>
    <x v="4"/>
    <s v="OSULA_ST_WOOD_BP"/>
    <x v="0"/>
    <x v="0"/>
  </r>
  <r>
    <x v="0"/>
    <x v="1"/>
    <x v="6"/>
    <x v="16"/>
    <s v="EE_Industry"/>
    <x v="4"/>
    <s v="OSULA_ST_WOOD_BP"/>
    <x v="0"/>
    <x v="0"/>
  </r>
  <r>
    <x v="0"/>
    <x v="2"/>
    <x v="6"/>
    <x v="16"/>
    <s v="EE_Industry"/>
    <x v="4"/>
    <s v="OSULA_ST_WOOD_BP"/>
    <x v="0"/>
    <x v="0"/>
  </r>
  <r>
    <x v="0"/>
    <x v="0"/>
    <x v="6"/>
    <x v="16"/>
    <s v="EE_Parnu"/>
    <x v="4"/>
    <s v="PARNU-1_ST_WOOD_BP"/>
    <x v="0"/>
    <x v="0"/>
  </r>
  <r>
    <x v="0"/>
    <x v="1"/>
    <x v="6"/>
    <x v="16"/>
    <s v="EE_Parnu"/>
    <x v="4"/>
    <s v="PARNU-1_ST_WOOD_BP"/>
    <x v="0"/>
    <x v="0"/>
  </r>
  <r>
    <x v="0"/>
    <x v="2"/>
    <x v="6"/>
    <x v="16"/>
    <s v="EE_Parnu"/>
    <x v="4"/>
    <s v="PARNU-1_ST_WOOD_BP"/>
    <x v="0"/>
    <x v="0"/>
  </r>
  <r>
    <x v="0"/>
    <x v="0"/>
    <x v="4"/>
    <x v="11"/>
    <s v="PL_Rural"/>
    <x v="14"/>
    <s v="PATN2-1_ST_LIGNITE_CON"/>
    <x v="0"/>
    <x v="0"/>
  </r>
  <r>
    <x v="0"/>
    <x v="1"/>
    <x v="4"/>
    <x v="11"/>
    <s v="PL_Rural"/>
    <x v="14"/>
    <s v="PATN2-1_ST_LIGNITE_CON"/>
    <x v="0"/>
    <x v="0"/>
  </r>
  <r>
    <x v="0"/>
    <x v="2"/>
    <x v="4"/>
    <x v="11"/>
    <s v="PL_Rural"/>
    <x v="14"/>
    <s v="PATN2-1_ST_LIGNITE_CON"/>
    <x v="0"/>
    <x v="0"/>
  </r>
  <r>
    <x v="0"/>
    <x v="0"/>
    <x v="4"/>
    <x v="11"/>
    <s v="PL_Rural"/>
    <x v="0"/>
    <s v="POLA-2_ST_COAL_CND"/>
    <x v="0"/>
    <x v="0"/>
  </r>
  <r>
    <x v="0"/>
    <x v="1"/>
    <x v="4"/>
    <x v="11"/>
    <s v="PL_Rural"/>
    <x v="0"/>
    <s v="POLA-2_ST_COAL_CND"/>
    <x v="0"/>
    <x v="0"/>
  </r>
  <r>
    <x v="0"/>
    <x v="0"/>
    <x v="10"/>
    <x v="21"/>
    <s v="LV_RigaR"/>
    <x v="2"/>
    <s v="RIGA-TEC2_CC_NGAS_BP"/>
    <x v="0"/>
    <x v="0"/>
  </r>
  <r>
    <x v="0"/>
    <x v="1"/>
    <x v="10"/>
    <x v="21"/>
    <s v="LV_RigaR"/>
    <x v="2"/>
    <s v="RIGA-TEC2_CC_NGAS_BP"/>
    <x v="0"/>
    <x v="0"/>
  </r>
  <r>
    <x v="0"/>
    <x v="2"/>
    <x v="10"/>
    <x v="21"/>
    <s v="LV_RigaR"/>
    <x v="2"/>
    <s v="RIGA-TEC2_CC_NGAS_BP"/>
    <x v="0"/>
    <x v="0"/>
  </r>
  <r>
    <x v="0"/>
    <x v="0"/>
    <x v="10"/>
    <x v="21"/>
    <s v="LV_RigaR"/>
    <x v="2"/>
    <s v="RIGA-TEC2_CC_NGAS_EXT"/>
    <x v="0"/>
    <x v="0"/>
  </r>
  <r>
    <x v="0"/>
    <x v="1"/>
    <x v="10"/>
    <x v="21"/>
    <s v="LV_RigaR"/>
    <x v="2"/>
    <s v="RIGA-TEC2_CC_NGAS_EXT"/>
    <x v="0"/>
    <x v="0"/>
  </r>
  <r>
    <x v="0"/>
    <x v="2"/>
    <x v="10"/>
    <x v="21"/>
    <s v="LV_RigaR"/>
    <x v="2"/>
    <s v="RIGA-TEC2_CC_NGAS_EXT"/>
    <x v="0"/>
    <x v="0"/>
  </r>
  <r>
    <x v="0"/>
    <x v="0"/>
    <x v="4"/>
    <x v="11"/>
    <s v="PL_A"/>
    <x v="2"/>
    <s v="RZES-2_ST_NGAS_BP"/>
    <x v="0"/>
    <x v="0"/>
  </r>
  <r>
    <x v="0"/>
    <x v="1"/>
    <x v="4"/>
    <x v="11"/>
    <s v="PL_A"/>
    <x v="2"/>
    <s v="RZES-2_ST_NGAS_BP"/>
    <x v="0"/>
    <x v="0"/>
  </r>
  <r>
    <x v="0"/>
    <x v="2"/>
    <x v="4"/>
    <x v="11"/>
    <s v="PL_A"/>
    <x v="2"/>
    <s v="RZES-2_ST_NGAS_BP"/>
    <x v="0"/>
    <x v="0"/>
  </r>
  <r>
    <x v="0"/>
    <x v="0"/>
    <x v="4"/>
    <x v="11"/>
    <s v="PL_A"/>
    <x v="0"/>
    <s v="RYBN-1_ST_COAL_EXT"/>
    <x v="0"/>
    <x v="0"/>
  </r>
  <r>
    <x v="0"/>
    <x v="1"/>
    <x v="4"/>
    <x v="11"/>
    <s v="PL_A"/>
    <x v="0"/>
    <s v="RYBN-1_ST_COAL_EXT"/>
    <x v="0"/>
    <x v="0"/>
  </r>
  <r>
    <x v="0"/>
    <x v="0"/>
    <x v="4"/>
    <x v="11"/>
    <s v="PL_Rural"/>
    <x v="0"/>
    <s v="RYBN-2_ST_COAL_CND"/>
    <x v="0"/>
    <x v="0"/>
  </r>
  <r>
    <x v="0"/>
    <x v="1"/>
    <x v="4"/>
    <x v="11"/>
    <s v="PL_Rural"/>
    <x v="0"/>
    <s v="RYBN-2_ST_COAL_CND"/>
    <x v="0"/>
    <x v="0"/>
  </r>
  <r>
    <x v="0"/>
    <x v="0"/>
    <x v="3"/>
    <x v="10"/>
    <s v="LT_SiaU"/>
    <x v="4"/>
    <s v="SIAULIAI_ST_WOOD_BP"/>
    <x v="0"/>
    <x v="0"/>
  </r>
  <r>
    <x v="0"/>
    <x v="1"/>
    <x v="3"/>
    <x v="10"/>
    <s v="LT_SiaU"/>
    <x v="4"/>
    <s v="SIAULIAI_ST_WOOD_BP"/>
    <x v="0"/>
    <x v="0"/>
  </r>
  <r>
    <x v="0"/>
    <x v="2"/>
    <x v="3"/>
    <x v="10"/>
    <s v="LT_SiaU"/>
    <x v="4"/>
    <s v="SIAULIAI_ST_WOOD_BP"/>
    <x v="0"/>
    <x v="0"/>
  </r>
  <r>
    <x v="0"/>
    <x v="0"/>
    <x v="4"/>
    <x v="11"/>
    <s v="PL_A"/>
    <x v="0"/>
    <s v="SIEK-1_ST_COAL_BP"/>
    <x v="0"/>
    <x v="0"/>
  </r>
  <r>
    <x v="0"/>
    <x v="1"/>
    <x v="4"/>
    <x v="11"/>
    <s v="PL_A"/>
    <x v="0"/>
    <s v="SIEK-1_ST_COAL_BP"/>
    <x v="0"/>
    <x v="0"/>
  </r>
  <r>
    <x v="0"/>
    <x v="0"/>
    <x v="4"/>
    <x v="11"/>
    <s v="PL_A"/>
    <x v="0"/>
    <s v="SIEK-1_ST_COAL_EXT"/>
    <x v="0"/>
    <x v="0"/>
  </r>
  <r>
    <x v="0"/>
    <x v="0"/>
    <x v="4"/>
    <x v="11"/>
    <s v="PL_A"/>
    <x v="0"/>
    <s v="SIEK-8_ST_COAL_EXT"/>
    <x v="0"/>
    <x v="0"/>
  </r>
  <r>
    <x v="0"/>
    <x v="1"/>
    <x v="4"/>
    <x v="11"/>
    <s v="PL_A"/>
    <x v="0"/>
    <s v="SIEK-8_ST_COAL_EXT"/>
    <x v="0"/>
    <x v="0"/>
  </r>
  <r>
    <x v="0"/>
    <x v="2"/>
    <x v="4"/>
    <x v="11"/>
    <s v="PL_A"/>
    <x v="0"/>
    <s v="SIEK-8_ST_COAL_EXT"/>
    <x v="0"/>
    <x v="0"/>
  </r>
  <r>
    <x v="0"/>
    <x v="0"/>
    <x v="4"/>
    <x v="11"/>
    <s v="PL_A"/>
    <x v="0"/>
    <s v="SIER-1_ST_COAL_BP"/>
    <x v="0"/>
    <x v="0"/>
  </r>
  <r>
    <x v="0"/>
    <x v="1"/>
    <x v="4"/>
    <x v="11"/>
    <s v="PL_A"/>
    <x v="0"/>
    <s v="SIER-1_ST_COAL_BP"/>
    <x v="0"/>
    <x v="0"/>
  </r>
  <r>
    <x v="0"/>
    <x v="2"/>
    <x v="4"/>
    <x v="11"/>
    <s v="PL_A"/>
    <x v="0"/>
    <s v="SIER-1_ST_COAL_BP"/>
    <x v="0"/>
    <x v="0"/>
  </r>
  <r>
    <x v="0"/>
    <x v="0"/>
    <x v="6"/>
    <x v="16"/>
    <s v="EE_Sillamae"/>
    <x v="4"/>
    <s v="SILLAMAE_ST_WOOD_BP"/>
    <x v="0"/>
    <x v="0"/>
  </r>
  <r>
    <x v="0"/>
    <x v="1"/>
    <x v="6"/>
    <x v="16"/>
    <s v="EE_Sillamae"/>
    <x v="4"/>
    <s v="SILLAMAE_ST_WOOD_BP"/>
    <x v="0"/>
    <x v="0"/>
  </r>
  <r>
    <x v="0"/>
    <x v="2"/>
    <x v="6"/>
    <x v="16"/>
    <s v="EE_Sillamae"/>
    <x v="4"/>
    <s v="SILLAMAE_ST_WOOD_BP"/>
    <x v="0"/>
    <x v="0"/>
  </r>
  <r>
    <x v="0"/>
    <x v="0"/>
    <x v="4"/>
    <x v="11"/>
    <s v="PL_A"/>
    <x v="0"/>
    <s v="SKAW-1_ST_COAL_BP"/>
    <x v="0"/>
    <x v="0"/>
  </r>
  <r>
    <x v="0"/>
    <x v="1"/>
    <x v="4"/>
    <x v="11"/>
    <s v="PL_A"/>
    <x v="0"/>
    <s v="SKAW-1_ST_COAL_BP"/>
    <x v="0"/>
    <x v="0"/>
  </r>
  <r>
    <x v="0"/>
    <x v="2"/>
    <x v="4"/>
    <x v="11"/>
    <s v="PL_A"/>
    <x v="0"/>
    <s v="SKAW-1_ST_COAL_BP"/>
    <x v="0"/>
    <x v="0"/>
  </r>
  <r>
    <x v="0"/>
    <x v="0"/>
    <x v="4"/>
    <x v="11"/>
    <s v="PL_Rural"/>
    <x v="0"/>
    <s v="SZCZ-1_ST_COAL_BP"/>
    <x v="0"/>
    <x v="0"/>
  </r>
  <r>
    <x v="0"/>
    <x v="1"/>
    <x v="4"/>
    <x v="11"/>
    <s v="PL_Rural"/>
    <x v="0"/>
    <s v="SZCZ-1_ST_COAL_BP"/>
    <x v="0"/>
    <x v="0"/>
  </r>
  <r>
    <x v="0"/>
    <x v="2"/>
    <x v="4"/>
    <x v="11"/>
    <s v="PL_Rural"/>
    <x v="0"/>
    <s v="SZCZ-1_ST_COAL_BP"/>
    <x v="0"/>
    <x v="0"/>
  </r>
  <r>
    <x v="0"/>
    <x v="0"/>
    <x v="4"/>
    <x v="11"/>
    <s v="PL_A"/>
    <x v="0"/>
    <s v="ZABR-1_ST_COAL_EXT"/>
    <x v="0"/>
    <x v="0"/>
  </r>
  <r>
    <x v="0"/>
    <x v="1"/>
    <x v="4"/>
    <x v="11"/>
    <s v="PL_A"/>
    <x v="0"/>
    <s v="ZABR-1_ST_COAL_EXT"/>
    <x v="0"/>
    <x v="0"/>
  </r>
  <r>
    <x v="0"/>
    <x v="0"/>
    <x v="4"/>
    <x v="11"/>
    <s v="PL_A"/>
    <x v="0"/>
    <s v="ZABR-2_ST_COAL_EXT"/>
    <x v="0"/>
    <x v="0"/>
  </r>
  <r>
    <x v="0"/>
    <x v="1"/>
    <x v="4"/>
    <x v="11"/>
    <s v="PL_A"/>
    <x v="0"/>
    <s v="ZABR-2_ST_COAL_EXT"/>
    <x v="0"/>
    <x v="0"/>
  </r>
  <r>
    <x v="0"/>
    <x v="2"/>
    <x v="4"/>
    <x v="11"/>
    <s v="PL_A"/>
    <x v="0"/>
    <s v="ZABR-2_ST_COAL_EXT"/>
    <x v="0"/>
    <x v="0"/>
  </r>
  <r>
    <x v="0"/>
    <x v="0"/>
    <x v="4"/>
    <x v="11"/>
    <s v="PL_A"/>
    <x v="0"/>
    <s v="ZABR-3_ST_COAL_BP"/>
    <x v="0"/>
    <x v="0"/>
  </r>
  <r>
    <x v="0"/>
    <x v="0"/>
    <x v="4"/>
    <x v="11"/>
    <s v="PL_A"/>
    <x v="0"/>
    <s v="ZERA-7_ST_COAL_EXT"/>
    <x v="0"/>
    <x v="0"/>
  </r>
  <r>
    <x v="0"/>
    <x v="1"/>
    <x v="4"/>
    <x v="11"/>
    <s v="PL_A"/>
    <x v="0"/>
    <s v="ZERA-7_ST_COAL_EXT"/>
    <x v="0"/>
    <x v="0"/>
  </r>
  <r>
    <x v="0"/>
    <x v="2"/>
    <x v="4"/>
    <x v="11"/>
    <s v="PL_A"/>
    <x v="0"/>
    <s v="ZERA-7_ST_COAL_EXT"/>
    <x v="0"/>
    <x v="0"/>
  </r>
  <r>
    <x v="0"/>
    <x v="0"/>
    <x v="4"/>
    <x v="11"/>
    <s v="PL_A"/>
    <x v="0"/>
    <s v="ZERA-8_ST_COAL_EXT"/>
    <x v="0"/>
    <x v="0"/>
  </r>
  <r>
    <x v="0"/>
    <x v="1"/>
    <x v="4"/>
    <x v="11"/>
    <s v="PL_A"/>
    <x v="0"/>
    <s v="ZERA-8_ST_COAL_EXT"/>
    <x v="0"/>
    <x v="0"/>
  </r>
  <r>
    <x v="0"/>
    <x v="2"/>
    <x v="4"/>
    <x v="11"/>
    <s v="PL_A"/>
    <x v="0"/>
    <s v="ZERA-8_ST_COAL_EXT"/>
    <x v="0"/>
    <x v="0"/>
  </r>
  <r>
    <x v="0"/>
    <x v="0"/>
    <x v="4"/>
    <x v="11"/>
    <s v="PL_A"/>
    <x v="2"/>
    <s v="ZIEL-1_ST_NGAS_BP"/>
    <x v="0"/>
    <x v="0"/>
  </r>
  <r>
    <x v="0"/>
    <x v="0"/>
    <x v="4"/>
    <x v="11"/>
    <s v="PL_A"/>
    <x v="0"/>
    <s v="ZIEL-2_ST_COAL_BP"/>
    <x v="0"/>
    <x v="0"/>
  </r>
  <r>
    <x v="0"/>
    <x v="1"/>
    <x v="4"/>
    <x v="11"/>
    <s v="PL_A"/>
    <x v="0"/>
    <s v="ZIEL-2_ST_COAL_BP"/>
    <x v="0"/>
    <x v="0"/>
  </r>
  <r>
    <x v="0"/>
    <x v="2"/>
    <x v="4"/>
    <x v="11"/>
    <s v="PL_A"/>
    <x v="0"/>
    <s v="ZIEL-2_ST_COAL_BP"/>
    <x v="0"/>
    <x v="0"/>
  </r>
  <r>
    <x v="0"/>
    <x v="0"/>
    <x v="4"/>
    <x v="11"/>
    <s v="PL_A"/>
    <x v="2"/>
    <s v="ZIEL-3_ST_NGAS_BP"/>
    <x v="0"/>
    <x v="0"/>
  </r>
  <r>
    <x v="0"/>
    <x v="1"/>
    <x v="4"/>
    <x v="11"/>
    <s v="PL_A"/>
    <x v="2"/>
    <s v="ZIEL-3_ST_NGAS_BP"/>
    <x v="0"/>
    <x v="0"/>
  </r>
  <r>
    <x v="0"/>
    <x v="2"/>
    <x v="4"/>
    <x v="11"/>
    <s v="PL_A"/>
    <x v="2"/>
    <s v="ZIEL-3_ST_NGAS_BP"/>
    <x v="0"/>
    <x v="0"/>
  </r>
  <r>
    <x v="0"/>
    <x v="0"/>
    <x v="4"/>
    <x v="11"/>
    <s v="PL_A"/>
    <x v="0"/>
    <s v="ZIEL-4_ST_COAL_BP"/>
    <x v="0"/>
    <x v="0"/>
  </r>
  <r>
    <x v="0"/>
    <x v="1"/>
    <x v="4"/>
    <x v="11"/>
    <s v="PL_A"/>
    <x v="0"/>
    <s v="ZIEL-4_ST_COAL_BP"/>
    <x v="0"/>
    <x v="0"/>
  </r>
  <r>
    <x v="0"/>
    <x v="2"/>
    <x v="4"/>
    <x v="11"/>
    <s v="PL_A"/>
    <x v="0"/>
    <s v="ZIEL-4_ST_COAL_BP"/>
    <x v="0"/>
    <x v="0"/>
  </r>
  <r>
    <x v="0"/>
    <x v="0"/>
    <x v="6"/>
    <x v="16"/>
    <s v="EE_Tartu"/>
    <x v="4"/>
    <s v="TARTU-1_ST_WOOD_BP"/>
    <x v="0"/>
    <x v="0"/>
  </r>
  <r>
    <x v="0"/>
    <x v="1"/>
    <x v="6"/>
    <x v="16"/>
    <s v="EE_Tartu"/>
    <x v="4"/>
    <s v="TARTU-1_ST_WOOD_BP"/>
    <x v="0"/>
    <x v="0"/>
  </r>
  <r>
    <x v="0"/>
    <x v="2"/>
    <x v="6"/>
    <x v="16"/>
    <s v="EE_Tartu"/>
    <x v="4"/>
    <s v="TARTU-1_ST_WOOD_BP"/>
    <x v="0"/>
    <x v="0"/>
  </r>
  <r>
    <x v="0"/>
    <x v="0"/>
    <x v="4"/>
    <x v="11"/>
    <s v="PL_Rural"/>
    <x v="0"/>
    <s v="TURO-1_ST_COAL_BP"/>
    <x v="0"/>
    <x v="0"/>
  </r>
  <r>
    <x v="0"/>
    <x v="1"/>
    <x v="4"/>
    <x v="11"/>
    <s v="PL_Rural"/>
    <x v="0"/>
    <s v="TURO-1_ST_COAL_BP"/>
    <x v="0"/>
    <x v="0"/>
  </r>
  <r>
    <x v="0"/>
    <x v="2"/>
    <x v="4"/>
    <x v="11"/>
    <s v="PL_Rural"/>
    <x v="0"/>
    <s v="TURO-1_ST_COAL_BP"/>
    <x v="0"/>
    <x v="0"/>
  </r>
  <r>
    <x v="0"/>
    <x v="0"/>
    <x v="4"/>
    <x v="11"/>
    <s v="PL_A"/>
    <x v="0"/>
    <s v="TYCH_ST_COAL_BP"/>
    <x v="0"/>
    <x v="0"/>
  </r>
  <r>
    <x v="0"/>
    <x v="1"/>
    <x v="4"/>
    <x v="11"/>
    <s v="PL_A"/>
    <x v="0"/>
    <s v="TYCH_ST_COAL_BP"/>
    <x v="0"/>
    <x v="0"/>
  </r>
  <r>
    <x v="0"/>
    <x v="2"/>
    <x v="4"/>
    <x v="11"/>
    <s v="PL_A"/>
    <x v="0"/>
    <s v="TYCH_ST_COAL_BP"/>
    <x v="0"/>
    <x v="0"/>
  </r>
  <r>
    <x v="0"/>
    <x v="0"/>
    <x v="6"/>
    <x v="16"/>
    <s v="EE_Tallinn"/>
    <x v="4"/>
    <s v="VAO-1_ST_WOOD_BP"/>
    <x v="0"/>
    <x v="0"/>
  </r>
  <r>
    <x v="0"/>
    <x v="1"/>
    <x v="6"/>
    <x v="16"/>
    <s v="EE_Tallinn"/>
    <x v="4"/>
    <s v="VAO-1_ST_WOOD_BP"/>
    <x v="0"/>
    <x v="0"/>
  </r>
  <r>
    <x v="0"/>
    <x v="2"/>
    <x v="6"/>
    <x v="16"/>
    <s v="EE_Tallinn"/>
    <x v="4"/>
    <s v="VAO-1_ST_WOOD_BP"/>
    <x v="0"/>
    <x v="0"/>
  </r>
  <r>
    <x v="0"/>
    <x v="0"/>
    <x v="6"/>
    <x v="16"/>
    <s v="EE_Tallinn"/>
    <x v="4"/>
    <s v="VAO-2_ST_WOOD_BP"/>
    <x v="0"/>
    <x v="0"/>
  </r>
  <r>
    <x v="0"/>
    <x v="1"/>
    <x v="6"/>
    <x v="16"/>
    <s v="EE_Tallinn"/>
    <x v="4"/>
    <s v="VAO-2_ST_WOOD_BP"/>
    <x v="0"/>
    <x v="0"/>
  </r>
  <r>
    <x v="0"/>
    <x v="2"/>
    <x v="6"/>
    <x v="16"/>
    <s v="EE_Tallinn"/>
    <x v="4"/>
    <s v="VAO-2_ST_WOOD_BP"/>
    <x v="0"/>
    <x v="0"/>
  </r>
  <r>
    <x v="0"/>
    <x v="0"/>
    <x v="3"/>
    <x v="10"/>
    <s v="LT_VilU"/>
    <x v="9"/>
    <s v="VILNIUS_ST_MSW_BP"/>
    <x v="0"/>
    <x v="0"/>
  </r>
  <r>
    <x v="0"/>
    <x v="1"/>
    <x v="3"/>
    <x v="10"/>
    <s v="LT_VilU"/>
    <x v="9"/>
    <s v="VILNIUS_ST_MSW_BP"/>
    <x v="0"/>
    <x v="0"/>
  </r>
  <r>
    <x v="0"/>
    <x v="2"/>
    <x v="3"/>
    <x v="10"/>
    <s v="LT_VilU"/>
    <x v="9"/>
    <s v="VILNIUS_ST_MSW_BP"/>
    <x v="0"/>
    <x v="0"/>
  </r>
  <r>
    <x v="0"/>
    <x v="0"/>
    <x v="3"/>
    <x v="10"/>
    <s v="LT_VilU"/>
    <x v="4"/>
    <s v="VILNIUS_ST_WOOD_BP"/>
    <x v="0"/>
    <x v="0"/>
  </r>
  <r>
    <x v="0"/>
    <x v="1"/>
    <x v="3"/>
    <x v="10"/>
    <s v="LT_VilU"/>
    <x v="4"/>
    <s v="VILNIUS_ST_WOOD_BP"/>
    <x v="0"/>
    <x v="0"/>
  </r>
  <r>
    <x v="0"/>
    <x v="2"/>
    <x v="3"/>
    <x v="10"/>
    <s v="LT_VilU"/>
    <x v="4"/>
    <s v="VILNIUS_ST_WOOD_BP"/>
    <x v="0"/>
    <x v="0"/>
  </r>
</pivotCacheRecords>
</file>

<file path=xl/pivotCache/pivotCacheRecords17.xml><?xml version="1.0" encoding="utf-8"?>
<pivotCacheRecords xmlns="http://schemas.openxmlformats.org/spreadsheetml/2006/main" xmlns:r="http://schemas.openxmlformats.org/officeDocument/2006/relationships" count="15982">
  <r>
    <x v="0"/>
    <x v="0"/>
    <x v="0"/>
    <x v="0"/>
    <x v="0"/>
    <s v="DK1_Large"/>
    <x v="0"/>
    <x v="0"/>
    <s v="GNR_ST_COAL_EXT_E-42"/>
    <x v="0"/>
    <x v="0"/>
    <n v="287.79464287311299"/>
    <n v="105045.044648686"/>
    <n v="378162.16073527001"/>
  </r>
  <r>
    <x v="0"/>
    <x v="0"/>
    <x v="0"/>
    <x v="0"/>
    <x v="0"/>
    <s v="DK1_Large"/>
    <x v="0"/>
    <x v="0"/>
    <s v="GNR_ST_COAL_EXT_E-42"/>
    <x v="0"/>
    <x v="1"/>
    <n v="263.88597920056299"/>
    <n v="96318.382408205594"/>
    <n v="346746.17666954"/>
  </r>
  <r>
    <x v="0"/>
    <x v="0"/>
    <x v="0"/>
    <x v="0"/>
    <x v="0"/>
    <s v="DK1_Large"/>
    <x v="0"/>
    <x v="0"/>
    <s v="GNR_ST_COAL_EXT_E-42"/>
    <x v="0"/>
    <x v="2"/>
    <n v="181.11536834780699"/>
    <n v="66107.1094469495"/>
    <n v="237985.59400901801"/>
  </r>
  <r>
    <x v="0"/>
    <x v="0"/>
    <x v="0"/>
    <x v="0"/>
    <x v="0"/>
    <s v="DK1_Large"/>
    <x v="0"/>
    <x v="0"/>
    <s v="GNR_ST_COAL_EXT_E-42"/>
    <x v="0"/>
    <x v="3"/>
    <n v="195.06367559264899"/>
    <n v="71198.241591316997"/>
    <n v="256313.66972874099"/>
  </r>
  <r>
    <x v="0"/>
    <x v="0"/>
    <x v="0"/>
    <x v="0"/>
    <x v="0"/>
    <s v="DK1_Large"/>
    <x v="0"/>
    <x v="0"/>
    <s v="GNR_ST_COAL_EXT_E-42"/>
    <x v="0"/>
    <x v="4"/>
    <n v="374.463999726086"/>
    <n v="136679.35990002099"/>
    <n v="492045.695640077"/>
  </r>
  <r>
    <x v="0"/>
    <x v="0"/>
    <x v="0"/>
    <x v="0"/>
    <x v="0"/>
    <s v="DK1_Large"/>
    <x v="0"/>
    <x v="0"/>
    <s v="GNR_ST_COAL_EXT_E-42"/>
    <x v="0"/>
    <x v="5"/>
    <n v="624.35517172852599"/>
    <n v="227889.63768091201"/>
    <n v="820402.69565128302"/>
  </r>
  <r>
    <x v="0"/>
    <x v="0"/>
    <x v="0"/>
    <x v="0"/>
    <x v="0"/>
    <s v="DK1_Large"/>
    <x v="0"/>
    <x v="0"/>
    <s v="GNR_ST_COAL_EXT_E-42"/>
    <x v="0"/>
    <x v="6"/>
    <n v="714"/>
    <n v="260610"/>
    <n v="938196"/>
  </r>
  <r>
    <x v="0"/>
    <x v="0"/>
    <x v="0"/>
    <x v="0"/>
    <x v="0"/>
    <s v="DK1_Large"/>
    <x v="0"/>
    <x v="0"/>
    <s v="GNR_ST_COAL_EXT_E-42"/>
    <x v="0"/>
    <x v="7"/>
    <n v="714"/>
    <n v="260610"/>
    <n v="938196"/>
  </r>
  <r>
    <x v="0"/>
    <x v="0"/>
    <x v="0"/>
    <x v="0"/>
    <x v="0"/>
    <s v="DK1_Large"/>
    <x v="0"/>
    <x v="0"/>
    <s v="GNR_ST_COAL_EXT_E-42"/>
    <x v="0"/>
    <x v="8"/>
    <n v="714"/>
    <n v="260610"/>
    <n v="938196"/>
  </r>
  <r>
    <x v="0"/>
    <x v="0"/>
    <x v="0"/>
    <x v="0"/>
    <x v="0"/>
    <s v="DK1_Large"/>
    <x v="0"/>
    <x v="0"/>
    <s v="GNR_ST_COAL_EXT_E-42"/>
    <x v="0"/>
    <x v="9"/>
    <n v="595"/>
    <n v="217175"/>
    <n v="781830"/>
  </r>
  <r>
    <x v="0"/>
    <x v="0"/>
    <x v="0"/>
    <x v="0"/>
    <x v="0"/>
    <s v="DK1_Large"/>
    <x v="0"/>
    <x v="0"/>
    <s v="GNR_ST_COAL_EXT_E-42"/>
    <x v="0"/>
    <x v="10"/>
    <n v="640.61250396755804"/>
    <n v="233823.56394815899"/>
    <n v="841764.83021337201"/>
  </r>
  <r>
    <x v="0"/>
    <x v="0"/>
    <x v="0"/>
    <x v="0"/>
    <x v="0"/>
    <s v="DK1_Large"/>
    <x v="0"/>
    <x v="0"/>
    <s v="GNR_ST_COAL_EXT_E-42"/>
    <x v="0"/>
    <x v="11"/>
    <n v="714"/>
    <n v="260610"/>
    <n v="938196"/>
  </r>
  <r>
    <x v="0"/>
    <x v="0"/>
    <x v="0"/>
    <x v="0"/>
    <x v="0"/>
    <s v="DK1_Large"/>
    <x v="0"/>
    <x v="0"/>
    <s v="GNR_ST_COAL_EXT_E-42"/>
    <x v="0"/>
    <x v="12"/>
    <n v="595"/>
    <n v="217175"/>
    <n v="781830"/>
  </r>
  <r>
    <x v="0"/>
    <x v="0"/>
    <x v="0"/>
    <x v="0"/>
    <x v="0"/>
    <s v="DK1_Large"/>
    <x v="0"/>
    <x v="0"/>
    <s v="GNR_ST_COAL_EXT_E-42"/>
    <x v="0"/>
    <x v="13"/>
    <n v="595"/>
    <n v="217175"/>
    <n v="781830"/>
  </r>
  <r>
    <x v="0"/>
    <x v="0"/>
    <x v="0"/>
    <x v="0"/>
    <x v="0"/>
    <s v="DK1_Large"/>
    <x v="0"/>
    <x v="0"/>
    <s v="GNR_ST_COAL_EXT_E-42"/>
    <x v="0"/>
    <x v="14"/>
    <n v="595"/>
    <n v="217175"/>
    <n v="781830"/>
  </r>
  <r>
    <x v="0"/>
    <x v="0"/>
    <x v="0"/>
    <x v="0"/>
    <x v="0"/>
    <s v="DK1_Large"/>
    <x v="0"/>
    <x v="0"/>
    <s v="GNR_ST_COAL_EXT_E-42"/>
    <x v="0"/>
    <x v="15"/>
    <n v="624.35517172852599"/>
    <n v="227889.63768091201"/>
    <n v="820402.69565128302"/>
  </r>
  <r>
    <x v="0"/>
    <x v="0"/>
    <x v="0"/>
    <x v="0"/>
    <x v="0"/>
    <s v="DK1_Large"/>
    <x v="0"/>
    <x v="0"/>
    <s v="GNR_ST_COAL_EXT_E-42"/>
    <x v="0"/>
    <x v="16"/>
    <n v="622.86064979047296"/>
    <n v="227344.137173522"/>
    <n v="818438.89382468106"/>
  </r>
  <r>
    <x v="0"/>
    <x v="0"/>
    <x v="0"/>
    <x v="0"/>
    <x v="0"/>
    <s v="DK1_Large"/>
    <x v="0"/>
    <x v="0"/>
    <s v="GNR_ST_COAL_EXT_E-42"/>
    <x v="0"/>
    <x v="17"/>
    <n v="423.76691696154501"/>
    <n v="154674.92469096399"/>
    <n v="556829.72888747102"/>
  </r>
  <r>
    <x v="0"/>
    <x v="0"/>
    <x v="0"/>
    <x v="0"/>
    <x v="0"/>
    <s v="DK1_Large"/>
    <x v="0"/>
    <x v="0"/>
    <s v="GNR_ST_COAL_EXT_E-43"/>
    <x v="0"/>
    <x v="0"/>
    <n v="680.97554780944699"/>
    <n v="248556.074950448"/>
    <n v="894801.86982161296"/>
  </r>
  <r>
    <x v="0"/>
    <x v="0"/>
    <x v="0"/>
    <x v="0"/>
    <x v="0"/>
    <s v="DK1_Large"/>
    <x v="0"/>
    <x v="0"/>
    <s v="GNR_ST_COAL_EXT_E-43"/>
    <x v="0"/>
    <x v="1"/>
    <n v="679.48102587139294"/>
    <n v="248010.57444305799"/>
    <n v="892838.06799500994"/>
  </r>
  <r>
    <x v="0"/>
    <x v="0"/>
    <x v="0"/>
    <x v="0"/>
    <x v="0"/>
    <s v="DK1_Large"/>
    <x v="0"/>
    <x v="0"/>
    <s v="GNR_ST_COAL_EXT_E-43"/>
    <x v="0"/>
    <x v="18"/>
    <n v="677.98650393333901"/>
    <n v="247465.073935669"/>
    <n v="890874.26616840798"/>
  </r>
  <r>
    <x v="0"/>
    <x v="0"/>
    <x v="0"/>
    <x v="0"/>
    <x v="0"/>
    <s v="DK1_Large"/>
    <x v="0"/>
    <x v="0"/>
    <s v="GNR_ST_COAL_EXT_E-43"/>
    <x v="0"/>
    <x v="2"/>
    <n v="712.715055664847"/>
    <n v="260140.995317669"/>
    <n v="936507.58314360899"/>
  </r>
  <r>
    <x v="0"/>
    <x v="0"/>
    <x v="0"/>
    <x v="0"/>
    <x v="0"/>
    <s v="DK1_Large"/>
    <x v="0"/>
    <x v="0"/>
    <s v="GNR_ST_COAL_EXT_E-43"/>
    <x v="0"/>
    <x v="3"/>
    <n v="671.90166461412105"/>
    <n v="245244.107584154"/>
    <n v="882878.78730295505"/>
  </r>
  <r>
    <x v="0"/>
    <x v="0"/>
    <x v="0"/>
    <x v="0"/>
    <x v="0"/>
    <s v="DK1_Large"/>
    <x v="0"/>
    <x v="0"/>
    <s v="GNR_ST_COAL_EXT_E-43"/>
    <x v="0"/>
    <x v="4"/>
    <n v="662.93453298579902"/>
    <n v="241971.10453981601"/>
    <n v="871095.97634333896"/>
  </r>
  <r>
    <x v="0"/>
    <x v="0"/>
    <x v="0"/>
    <x v="0"/>
    <x v="0"/>
    <s v="DK1_Large"/>
    <x v="0"/>
    <x v="0"/>
    <s v="GNR_ST_COAL_EXT_E-43"/>
    <x v="0"/>
    <x v="5"/>
    <n v="745"/>
    <n v="271925"/>
    <n v="978930"/>
  </r>
  <r>
    <x v="0"/>
    <x v="0"/>
    <x v="0"/>
    <x v="0"/>
    <x v="0"/>
    <s v="DK1_Large"/>
    <x v="0"/>
    <x v="0"/>
    <s v="GNR_ST_COAL_EXT_E-43"/>
    <x v="0"/>
    <x v="6"/>
    <n v="745"/>
    <n v="271925"/>
    <n v="978930"/>
  </r>
  <r>
    <x v="0"/>
    <x v="0"/>
    <x v="0"/>
    <x v="0"/>
    <x v="0"/>
    <s v="DK1_Large"/>
    <x v="0"/>
    <x v="0"/>
    <s v="GNR_ST_COAL_EXT_E-43"/>
    <x v="0"/>
    <x v="7"/>
    <n v="671.37809597978901"/>
    <n v="245053.00503262301"/>
    <n v="882190.81811744301"/>
  </r>
  <r>
    <x v="0"/>
    <x v="0"/>
    <x v="0"/>
    <x v="0"/>
    <x v="0"/>
    <s v="DK1_Large"/>
    <x v="0"/>
    <x v="0"/>
    <s v="GNR_ST_COAL_EXT_E-43"/>
    <x v="0"/>
    <x v="8"/>
    <n v="620.83333333333303"/>
    <n v="226604.16666666701"/>
    <n v="815775"/>
  </r>
  <r>
    <x v="0"/>
    <x v="0"/>
    <x v="0"/>
    <x v="0"/>
    <x v="0"/>
    <s v="DK1_Large"/>
    <x v="0"/>
    <x v="0"/>
    <s v="GNR_ST_COAL_EXT_E-43"/>
    <x v="0"/>
    <x v="9"/>
    <n v="733.30294807136602"/>
    <n v="267655.57604604901"/>
    <n v="963560.07376577496"/>
  </r>
  <r>
    <x v="0"/>
    <x v="0"/>
    <x v="0"/>
    <x v="0"/>
    <x v="0"/>
    <s v="DK1_Large"/>
    <x v="0"/>
    <x v="0"/>
    <s v="GNR_ST_COAL_EXT_E-43"/>
    <x v="0"/>
    <x v="10"/>
    <n v="745"/>
    <n v="271925"/>
    <n v="978930"/>
  </r>
  <r>
    <x v="0"/>
    <x v="0"/>
    <x v="0"/>
    <x v="0"/>
    <x v="0"/>
    <s v="DK1_Large"/>
    <x v="0"/>
    <x v="0"/>
    <s v="GNR_ST_COAL_EXT_E-43"/>
    <x v="0"/>
    <x v="11"/>
    <n v="620.83333333333303"/>
    <n v="226604.16666666701"/>
    <n v="815775"/>
  </r>
  <r>
    <x v="0"/>
    <x v="0"/>
    <x v="0"/>
    <x v="0"/>
    <x v="0"/>
    <s v="DK1_Large"/>
    <x v="0"/>
    <x v="0"/>
    <s v="GNR_ST_COAL_EXT_E-43"/>
    <x v="0"/>
    <x v="12"/>
    <n v="716.16659281407397"/>
    <n v="261400.80637713699"/>
    <n v="941042.90295769402"/>
  </r>
  <r>
    <x v="0"/>
    <x v="0"/>
    <x v="0"/>
    <x v="0"/>
    <x v="0"/>
    <s v="DK1_Large"/>
    <x v="0"/>
    <x v="0"/>
    <s v="GNR_ST_COAL_EXT_E-43"/>
    <x v="0"/>
    <x v="13"/>
    <n v="714.67207087602105"/>
    <n v="260855.305869748"/>
    <n v="939079.10113109101"/>
  </r>
  <r>
    <x v="0"/>
    <x v="0"/>
    <x v="0"/>
    <x v="0"/>
    <x v="0"/>
    <s v="DK1_Large"/>
    <x v="0"/>
    <x v="0"/>
    <s v="GNR_ST_COAL_EXT_E-43"/>
    <x v="0"/>
    <x v="14"/>
    <n v="713.177548937967"/>
    <n v="260309.80536235799"/>
    <n v="937115.299304488"/>
  </r>
  <r>
    <x v="0"/>
    <x v="0"/>
    <x v="0"/>
    <x v="0"/>
    <x v="0"/>
    <s v="DK1_Large"/>
    <x v="0"/>
    <x v="0"/>
    <s v="GNR_ST_COAL_EXT_E-43"/>
    <x v="0"/>
    <x v="15"/>
    <n v="745"/>
    <n v="271925"/>
    <n v="978930"/>
  </r>
  <r>
    <x v="0"/>
    <x v="0"/>
    <x v="0"/>
    <x v="0"/>
    <x v="0"/>
    <s v="DK1_Large"/>
    <x v="0"/>
    <x v="0"/>
    <s v="GNR_ST_COAL_EXT_E-43"/>
    <x v="0"/>
    <x v="16"/>
    <n v="745"/>
    <n v="271925"/>
    <n v="978930"/>
  </r>
  <r>
    <x v="0"/>
    <x v="0"/>
    <x v="0"/>
    <x v="0"/>
    <x v="0"/>
    <s v="DK1_Large"/>
    <x v="0"/>
    <x v="0"/>
    <s v="GNR_ST_COAL_EXT_E-43"/>
    <x v="0"/>
    <x v="17"/>
    <n v="737.11951124472796"/>
    <n v="269048.62160432601"/>
    <n v="968575.03777557204"/>
  </r>
  <r>
    <x v="0"/>
    <x v="0"/>
    <x v="0"/>
    <x v="0"/>
    <x v="0"/>
    <s v="DK1_Large"/>
    <x v="0"/>
    <x v="0"/>
    <s v="GNR_ST_COAL_EXT_E-43"/>
    <x v="0"/>
    <x v="19"/>
    <n v="620.83333333333303"/>
    <n v="226604.16666666701"/>
    <n v="815775"/>
  </r>
  <r>
    <x v="0"/>
    <x v="0"/>
    <x v="0"/>
    <x v="0"/>
    <x v="0"/>
    <s v="DK1_Large"/>
    <x v="0"/>
    <x v="0"/>
    <s v="GNR_ST_COAL_EXT_E-43"/>
    <x v="0"/>
    <x v="20"/>
    <n v="659.838737542687"/>
    <n v="240841.13920308099"/>
    <n v="867028.10113109101"/>
  </r>
  <r>
    <x v="0"/>
    <x v="0"/>
    <x v="0"/>
    <x v="0"/>
    <x v="0"/>
    <s v="DK1_Large"/>
    <x v="0"/>
    <x v="0"/>
    <s v="GNR_ST_COAL_EXT_E-47"/>
    <x v="0"/>
    <x v="0"/>
    <n v="320.83333333333297"/>
    <n v="117104.16666666701"/>
    <n v="421575"/>
  </r>
  <r>
    <x v="0"/>
    <x v="0"/>
    <x v="0"/>
    <x v="0"/>
    <x v="0"/>
    <s v="DK1_Large"/>
    <x v="0"/>
    <x v="0"/>
    <s v="GNR_ST_COAL_EXT_E-47"/>
    <x v="0"/>
    <x v="1"/>
    <n v="320.83333333333297"/>
    <n v="117104.16666666701"/>
    <n v="421575"/>
  </r>
  <r>
    <x v="0"/>
    <x v="0"/>
    <x v="0"/>
    <x v="0"/>
    <x v="0"/>
    <s v="DK1_Large"/>
    <x v="0"/>
    <x v="0"/>
    <s v="GNR_ST_COAL_EXT_E-47"/>
    <x v="0"/>
    <x v="18"/>
    <n v="320.83333333333297"/>
    <n v="117104.16666666701"/>
    <n v="421575"/>
  </r>
  <r>
    <x v="0"/>
    <x v="0"/>
    <x v="0"/>
    <x v="0"/>
    <x v="0"/>
    <s v="DK1_Large"/>
    <x v="0"/>
    <x v="0"/>
    <s v="GNR_ST_COAL_EXT_E-47"/>
    <x v="0"/>
    <x v="2"/>
    <n v="320.83333333333297"/>
    <n v="117104.16666666701"/>
    <n v="421575"/>
  </r>
  <r>
    <x v="0"/>
    <x v="0"/>
    <x v="0"/>
    <x v="0"/>
    <x v="0"/>
    <s v="DK1_Large"/>
    <x v="0"/>
    <x v="0"/>
    <s v="GNR_ST_COAL_EXT_E-47"/>
    <x v="0"/>
    <x v="3"/>
    <n v="320.83333333333297"/>
    <n v="117104.16666666701"/>
    <n v="421575"/>
  </r>
  <r>
    <x v="0"/>
    <x v="0"/>
    <x v="0"/>
    <x v="0"/>
    <x v="0"/>
    <s v="DK1_Large"/>
    <x v="0"/>
    <x v="0"/>
    <s v="GNR_ST_COAL_EXT_E-47"/>
    <x v="0"/>
    <x v="4"/>
    <n v="320.83333333333297"/>
    <n v="117104.16666666701"/>
    <n v="421575"/>
  </r>
  <r>
    <x v="0"/>
    <x v="0"/>
    <x v="0"/>
    <x v="0"/>
    <x v="0"/>
    <s v="DK1_Large"/>
    <x v="0"/>
    <x v="0"/>
    <s v="GNR_ST_COAL_EXT_E-47"/>
    <x v="0"/>
    <x v="5"/>
    <n v="320.83333333333297"/>
    <n v="117104.16666666701"/>
    <n v="421575"/>
  </r>
  <r>
    <x v="0"/>
    <x v="0"/>
    <x v="0"/>
    <x v="0"/>
    <x v="0"/>
    <s v="DK1_Large"/>
    <x v="0"/>
    <x v="0"/>
    <s v="GNR_ST_COAL_EXT_E-47"/>
    <x v="0"/>
    <x v="6"/>
    <n v="385"/>
    <n v="140525"/>
    <n v="505890"/>
  </r>
  <r>
    <x v="0"/>
    <x v="0"/>
    <x v="0"/>
    <x v="0"/>
    <x v="0"/>
    <s v="DK1_Large"/>
    <x v="0"/>
    <x v="0"/>
    <s v="GNR_ST_COAL_EXT_E-47"/>
    <x v="0"/>
    <x v="7"/>
    <n v="385"/>
    <n v="140525"/>
    <n v="505890"/>
  </r>
  <r>
    <x v="0"/>
    <x v="0"/>
    <x v="0"/>
    <x v="0"/>
    <x v="0"/>
    <s v="DK1_Large"/>
    <x v="0"/>
    <x v="0"/>
    <s v="GNR_ST_COAL_EXT_E-47"/>
    <x v="0"/>
    <x v="8"/>
    <n v="373.98604892387198"/>
    <n v="136504.90785721299"/>
    <n v="491417.66828596703"/>
  </r>
  <r>
    <x v="0"/>
    <x v="0"/>
    <x v="0"/>
    <x v="0"/>
    <x v="0"/>
    <s v="DK1_Large"/>
    <x v="0"/>
    <x v="0"/>
    <s v="GNR_ST_COAL_EXT_E-47"/>
    <x v="0"/>
    <x v="9"/>
    <n v="385"/>
    <n v="140525"/>
    <n v="505890"/>
  </r>
  <r>
    <x v="0"/>
    <x v="0"/>
    <x v="0"/>
    <x v="0"/>
    <x v="0"/>
    <s v="DK1_Large"/>
    <x v="0"/>
    <x v="0"/>
    <s v="GNR_ST_COAL_EXT_E-47"/>
    <x v="0"/>
    <x v="10"/>
    <n v="320.83333333333297"/>
    <n v="117104.16666666701"/>
    <n v="421575"/>
  </r>
  <r>
    <x v="0"/>
    <x v="0"/>
    <x v="0"/>
    <x v="0"/>
    <x v="0"/>
    <s v="DK1_Large"/>
    <x v="0"/>
    <x v="0"/>
    <s v="GNR_ST_COAL_EXT_E-47"/>
    <x v="0"/>
    <x v="11"/>
    <n v="362.93453298579902"/>
    <n v="132471.10453981601"/>
    <n v="476895.97634333902"/>
  </r>
  <r>
    <x v="0"/>
    <x v="0"/>
    <x v="0"/>
    <x v="0"/>
    <x v="0"/>
    <s v="DK1_Large"/>
    <x v="0"/>
    <x v="0"/>
    <s v="GNR_ST_COAL_EXT_E-47"/>
    <x v="0"/>
    <x v="12"/>
    <n v="385"/>
    <n v="140525"/>
    <n v="505890"/>
  </r>
  <r>
    <x v="0"/>
    <x v="0"/>
    <x v="0"/>
    <x v="0"/>
    <x v="0"/>
    <s v="DK1_Large"/>
    <x v="0"/>
    <x v="0"/>
    <s v="GNR_ST_COAL_EXT_E-47"/>
    <x v="0"/>
    <x v="13"/>
    <n v="385"/>
    <n v="140525"/>
    <n v="505890"/>
  </r>
  <r>
    <x v="0"/>
    <x v="0"/>
    <x v="0"/>
    <x v="0"/>
    <x v="0"/>
    <s v="DK1_Large"/>
    <x v="0"/>
    <x v="0"/>
    <s v="GNR_ST_COAL_EXT_E-47"/>
    <x v="0"/>
    <x v="14"/>
    <n v="385"/>
    <n v="140525"/>
    <n v="505890"/>
  </r>
  <r>
    <x v="0"/>
    <x v="0"/>
    <x v="0"/>
    <x v="0"/>
    <x v="0"/>
    <s v="DK1_Large"/>
    <x v="0"/>
    <x v="0"/>
    <s v="GNR_ST_COAL_EXT_E-47"/>
    <x v="0"/>
    <x v="15"/>
    <n v="320.83333333333297"/>
    <n v="117104.16666666701"/>
    <n v="421575"/>
  </r>
  <r>
    <x v="0"/>
    <x v="0"/>
    <x v="0"/>
    <x v="0"/>
    <x v="0"/>
    <s v="DK1_Large"/>
    <x v="0"/>
    <x v="0"/>
    <s v="GNR_ST_COAL_EXT_E-47"/>
    <x v="0"/>
    <x v="16"/>
    <n v="320.83333333333297"/>
    <n v="117104.16666666701"/>
    <n v="421575"/>
  </r>
  <r>
    <x v="0"/>
    <x v="0"/>
    <x v="0"/>
    <x v="0"/>
    <x v="0"/>
    <s v="DK1_Large"/>
    <x v="0"/>
    <x v="0"/>
    <s v="GNR_ST_COAL_EXT_E-47"/>
    <x v="0"/>
    <x v="17"/>
    <n v="320.83333333333297"/>
    <n v="117104.16666666701"/>
    <n v="421575"/>
  </r>
  <r>
    <x v="0"/>
    <x v="0"/>
    <x v="0"/>
    <x v="0"/>
    <x v="0"/>
    <s v="DK1_Large"/>
    <x v="0"/>
    <x v="0"/>
    <s v="GNR_ST_COAL_EXT_E-47"/>
    <x v="0"/>
    <x v="19"/>
    <n v="355.35517172852599"/>
    <n v="129704.637680912"/>
    <n v="466936.69565128302"/>
  </r>
  <r>
    <x v="0"/>
    <x v="0"/>
    <x v="0"/>
    <x v="0"/>
    <x v="0"/>
    <s v="DK1_Large"/>
    <x v="0"/>
    <x v="0"/>
    <s v="GNR_ST_COAL_EXT_E-47"/>
    <x v="0"/>
    <x v="20"/>
    <n v="320.83333333333297"/>
    <n v="117104.16666666701"/>
    <n v="421575"/>
  </r>
  <r>
    <x v="0"/>
    <x v="0"/>
    <x v="0"/>
    <x v="0"/>
    <x v="0"/>
    <s v="DK1_Large"/>
    <x v="0"/>
    <x v="0"/>
    <s v="GNR_ST_COAL_EXT_E-47"/>
    <x v="0"/>
    <x v="21"/>
    <n v="320.83333333333297"/>
    <n v="117104.16666666701"/>
    <n v="421575"/>
  </r>
  <r>
    <x v="0"/>
    <x v="0"/>
    <x v="0"/>
    <x v="0"/>
    <x v="0"/>
    <s v="DK1_Large"/>
    <x v="0"/>
    <x v="0"/>
    <s v="GNR_ST_COAL_EXT_E-47"/>
    <x v="0"/>
    <x v="22"/>
    <n v="320.83333333333297"/>
    <n v="117104.16666666701"/>
    <n v="421575"/>
  </r>
  <r>
    <x v="0"/>
    <x v="0"/>
    <x v="0"/>
    <x v="0"/>
    <x v="0"/>
    <s v="DK1_Large"/>
    <x v="0"/>
    <x v="0"/>
    <s v="GNR_ST_COAL_EXT_E-47"/>
    <x v="0"/>
    <x v="23"/>
    <n v="320.83333333333297"/>
    <n v="117104.16666666701"/>
    <n v="421575"/>
  </r>
  <r>
    <x v="0"/>
    <x v="0"/>
    <x v="0"/>
    <x v="0"/>
    <x v="0"/>
    <s v="DK1_MedSmall"/>
    <x v="1"/>
    <x v="1"/>
    <s v="GNR_BO_ELEC_E-100"/>
    <x v="0"/>
    <x v="22"/>
    <n v="-1"/>
    <n v="-365"/>
    <n v="-1314"/>
  </r>
  <r>
    <x v="0"/>
    <x v="0"/>
    <x v="0"/>
    <x v="0"/>
    <x v="0"/>
    <s v="DK1_MedSmall"/>
    <x v="1"/>
    <x v="1"/>
    <s v="GNR_BO_ELEC_E-100"/>
    <x v="0"/>
    <x v="23"/>
    <n v="-1"/>
    <n v="-365"/>
    <n v="-1314"/>
  </r>
  <r>
    <x v="0"/>
    <x v="0"/>
    <x v="0"/>
    <x v="0"/>
    <x v="0"/>
    <s v="DK1_MedSmall"/>
    <x v="2"/>
    <x v="2"/>
    <s v="GNR_ST_MSW_BP_E-17"/>
    <x v="0"/>
    <x v="0"/>
    <n v="2.4"/>
    <n v="876"/>
    <n v="3153.6"/>
  </r>
  <r>
    <x v="0"/>
    <x v="0"/>
    <x v="0"/>
    <x v="0"/>
    <x v="0"/>
    <s v="DK1_MedSmall"/>
    <x v="2"/>
    <x v="2"/>
    <s v="GNR_ST_MSW_BP_E-17"/>
    <x v="0"/>
    <x v="1"/>
    <n v="2.4"/>
    <n v="876"/>
    <n v="3153.6"/>
  </r>
  <r>
    <x v="0"/>
    <x v="0"/>
    <x v="0"/>
    <x v="0"/>
    <x v="0"/>
    <s v="DK1_MedSmall"/>
    <x v="2"/>
    <x v="2"/>
    <s v="GNR_ST_MSW_BP_E-17"/>
    <x v="0"/>
    <x v="18"/>
    <n v="2.4"/>
    <n v="876"/>
    <n v="3153.6"/>
  </r>
  <r>
    <x v="0"/>
    <x v="0"/>
    <x v="0"/>
    <x v="0"/>
    <x v="0"/>
    <s v="DK1_MedSmall"/>
    <x v="2"/>
    <x v="2"/>
    <s v="GNR_ST_MSW_BP_E-17"/>
    <x v="0"/>
    <x v="2"/>
    <n v="2.4"/>
    <n v="876"/>
    <n v="3153.6"/>
  </r>
  <r>
    <x v="0"/>
    <x v="0"/>
    <x v="0"/>
    <x v="0"/>
    <x v="0"/>
    <s v="DK1_MedSmall"/>
    <x v="2"/>
    <x v="2"/>
    <s v="GNR_ST_MSW_BP_E-17"/>
    <x v="0"/>
    <x v="3"/>
    <n v="2.4"/>
    <n v="876"/>
    <n v="3153.6"/>
  </r>
  <r>
    <x v="0"/>
    <x v="0"/>
    <x v="0"/>
    <x v="0"/>
    <x v="0"/>
    <s v="DK1_MedSmall"/>
    <x v="2"/>
    <x v="2"/>
    <s v="GNR_ST_MSW_BP_E-17"/>
    <x v="0"/>
    <x v="4"/>
    <n v="2.4"/>
    <n v="876"/>
    <n v="3153.6"/>
  </r>
  <r>
    <x v="0"/>
    <x v="0"/>
    <x v="0"/>
    <x v="0"/>
    <x v="0"/>
    <s v="DK1_MedSmall"/>
    <x v="2"/>
    <x v="2"/>
    <s v="GNR_ST_MSW_BP_E-17"/>
    <x v="0"/>
    <x v="5"/>
    <n v="2.4"/>
    <n v="876"/>
    <n v="3153.6"/>
  </r>
  <r>
    <x v="0"/>
    <x v="0"/>
    <x v="0"/>
    <x v="0"/>
    <x v="0"/>
    <s v="DK1_MedSmall"/>
    <x v="2"/>
    <x v="2"/>
    <s v="GNR_ST_MSW_BP_E-17"/>
    <x v="0"/>
    <x v="6"/>
    <n v="2.4"/>
    <n v="876"/>
    <n v="3153.6"/>
  </r>
  <r>
    <x v="0"/>
    <x v="0"/>
    <x v="0"/>
    <x v="0"/>
    <x v="0"/>
    <s v="DK1_MedSmall"/>
    <x v="2"/>
    <x v="2"/>
    <s v="GNR_ST_MSW_BP_E-17"/>
    <x v="0"/>
    <x v="7"/>
    <n v="2.4"/>
    <n v="876"/>
    <n v="3153.6"/>
  </r>
  <r>
    <x v="0"/>
    <x v="0"/>
    <x v="0"/>
    <x v="0"/>
    <x v="0"/>
    <s v="DK1_MedSmall"/>
    <x v="2"/>
    <x v="2"/>
    <s v="GNR_ST_MSW_BP_E-17"/>
    <x v="0"/>
    <x v="8"/>
    <n v="2.4"/>
    <n v="876"/>
    <n v="3153.6"/>
  </r>
  <r>
    <x v="0"/>
    <x v="0"/>
    <x v="0"/>
    <x v="0"/>
    <x v="0"/>
    <s v="DK1_MedSmall"/>
    <x v="2"/>
    <x v="2"/>
    <s v="GNR_ST_MSW_BP_E-17"/>
    <x v="0"/>
    <x v="9"/>
    <n v="2.4"/>
    <n v="876"/>
    <n v="3153.6"/>
  </r>
  <r>
    <x v="0"/>
    <x v="0"/>
    <x v="0"/>
    <x v="0"/>
    <x v="0"/>
    <s v="DK1_MedSmall"/>
    <x v="2"/>
    <x v="2"/>
    <s v="GNR_ST_MSW_BP_E-17"/>
    <x v="0"/>
    <x v="10"/>
    <n v="2.4"/>
    <n v="876"/>
    <n v="3153.6"/>
  </r>
  <r>
    <x v="0"/>
    <x v="0"/>
    <x v="0"/>
    <x v="0"/>
    <x v="0"/>
    <s v="DK1_MedSmall"/>
    <x v="2"/>
    <x v="2"/>
    <s v="GNR_ST_MSW_BP_E-17"/>
    <x v="0"/>
    <x v="11"/>
    <n v="2.4"/>
    <n v="876"/>
    <n v="3153.6"/>
  </r>
  <r>
    <x v="0"/>
    <x v="0"/>
    <x v="0"/>
    <x v="0"/>
    <x v="0"/>
    <s v="DK1_MedSmall"/>
    <x v="2"/>
    <x v="2"/>
    <s v="GNR_ST_MSW_BP_E-17"/>
    <x v="0"/>
    <x v="12"/>
    <n v="2.4"/>
    <n v="876"/>
    <n v="3153.6"/>
  </r>
  <r>
    <x v="0"/>
    <x v="0"/>
    <x v="0"/>
    <x v="0"/>
    <x v="0"/>
    <s v="DK1_MedSmall"/>
    <x v="2"/>
    <x v="2"/>
    <s v="GNR_ST_MSW_BP_E-17"/>
    <x v="0"/>
    <x v="13"/>
    <n v="2.4"/>
    <n v="876"/>
    <n v="3153.6"/>
  </r>
  <r>
    <x v="0"/>
    <x v="0"/>
    <x v="0"/>
    <x v="0"/>
    <x v="0"/>
    <s v="DK1_MedSmall"/>
    <x v="2"/>
    <x v="2"/>
    <s v="GNR_ST_MSW_BP_E-17"/>
    <x v="0"/>
    <x v="14"/>
    <n v="2.4"/>
    <n v="876"/>
    <n v="3153.6"/>
  </r>
  <r>
    <x v="0"/>
    <x v="0"/>
    <x v="0"/>
    <x v="0"/>
    <x v="0"/>
    <s v="DK1_MedSmall"/>
    <x v="2"/>
    <x v="2"/>
    <s v="GNR_ST_MSW_BP_E-17"/>
    <x v="0"/>
    <x v="15"/>
    <n v="2.4"/>
    <n v="876"/>
    <n v="3153.6"/>
  </r>
  <r>
    <x v="0"/>
    <x v="0"/>
    <x v="0"/>
    <x v="0"/>
    <x v="0"/>
    <s v="DK1_MedSmall"/>
    <x v="2"/>
    <x v="2"/>
    <s v="GNR_ST_MSW_BP_E-17"/>
    <x v="0"/>
    <x v="16"/>
    <n v="2.4"/>
    <n v="876"/>
    <n v="3153.6"/>
  </r>
  <r>
    <x v="0"/>
    <x v="0"/>
    <x v="0"/>
    <x v="0"/>
    <x v="0"/>
    <s v="DK1_MedSmall"/>
    <x v="2"/>
    <x v="2"/>
    <s v="GNR_ST_MSW_BP_E-17"/>
    <x v="0"/>
    <x v="17"/>
    <n v="2.4"/>
    <n v="876"/>
    <n v="3153.6"/>
  </r>
  <r>
    <x v="0"/>
    <x v="0"/>
    <x v="0"/>
    <x v="0"/>
    <x v="0"/>
    <s v="DK1_MedSmall"/>
    <x v="2"/>
    <x v="2"/>
    <s v="GNR_ST_MSW_BP_E-17"/>
    <x v="0"/>
    <x v="19"/>
    <n v="2.4"/>
    <n v="876"/>
    <n v="3153.6"/>
  </r>
  <r>
    <x v="0"/>
    <x v="0"/>
    <x v="0"/>
    <x v="0"/>
    <x v="0"/>
    <s v="DK1_MedSmall"/>
    <x v="2"/>
    <x v="2"/>
    <s v="GNR_ST_MSW_BP_E-17"/>
    <x v="0"/>
    <x v="20"/>
    <n v="2.4"/>
    <n v="876"/>
    <n v="3153.6"/>
  </r>
  <r>
    <x v="0"/>
    <x v="0"/>
    <x v="0"/>
    <x v="0"/>
    <x v="0"/>
    <s v="DK1_MedSmall"/>
    <x v="2"/>
    <x v="2"/>
    <s v="GNR_ST_MSW_BP_E-17"/>
    <x v="0"/>
    <x v="21"/>
    <n v="2.4"/>
    <n v="876"/>
    <n v="3153.6"/>
  </r>
  <r>
    <x v="0"/>
    <x v="0"/>
    <x v="0"/>
    <x v="0"/>
    <x v="0"/>
    <s v="DK1_MedSmall"/>
    <x v="2"/>
    <x v="2"/>
    <s v="GNR_ST_MSW_BP_E-17"/>
    <x v="0"/>
    <x v="22"/>
    <n v="2.4"/>
    <n v="876"/>
    <n v="3153.6"/>
  </r>
  <r>
    <x v="0"/>
    <x v="0"/>
    <x v="0"/>
    <x v="0"/>
    <x v="0"/>
    <s v="DK1_MedSmall"/>
    <x v="2"/>
    <x v="2"/>
    <s v="GNR_ST_MSW_BP_E-17"/>
    <x v="0"/>
    <x v="23"/>
    <n v="2.4"/>
    <n v="876"/>
    <n v="3153.6"/>
  </r>
  <r>
    <x v="0"/>
    <x v="0"/>
    <x v="0"/>
    <x v="0"/>
    <x v="0"/>
    <s v="DK1_MedSmall"/>
    <x v="2"/>
    <x v="2"/>
    <s v="GNR_ST_MSW_BP_E-20"/>
    <x v="0"/>
    <x v="0"/>
    <n v="3.3"/>
    <n v="1204.5"/>
    <n v="4336.2"/>
  </r>
  <r>
    <x v="0"/>
    <x v="0"/>
    <x v="0"/>
    <x v="0"/>
    <x v="0"/>
    <s v="DK1_MedSmall"/>
    <x v="2"/>
    <x v="2"/>
    <s v="GNR_ST_MSW_BP_E-20"/>
    <x v="0"/>
    <x v="1"/>
    <n v="3.3"/>
    <n v="1204.5"/>
    <n v="4336.2"/>
  </r>
  <r>
    <x v="0"/>
    <x v="0"/>
    <x v="0"/>
    <x v="0"/>
    <x v="0"/>
    <s v="DK1_MedSmall"/>
    <x v="2"/>
    <x v="2"/>
    <s v="GNR_ST_MSW_BP_E-20"/>
    <x v="0"/>
    <x v="18"/>
    <n v="3.3"/>
    <n v="1204.5"/>
    <n v="4336.2"/>
  </r>
  <r>
    <x v="0"/>
    <x v="0"/>
    <x v="0"/>
    <x v="0"/>
    <x v="0"/>
    <s v="DK1_MedSmall"/>
    <x v="2"/>
    <x v="2"/>
    <s v="GNR_ST_MSW_BP_E-20"/>
    <x v="0"/>
    <x v="2"/>
    <n v="3.3"/>
    <n v="1204.5"/>
    <n v="4336.2"/>
  </r>
  <r>
    <x v="0"/>
    <x v="0"/>
    <x v="0"/>
    <x v="0"/>
    <x v="0"/>
    <s v="DK1_MedSmall"/>
    <x v="2"/>
    <x v="2"/>
    <s v="GNR_ST_MSW_BP_E-20"/>
    <x v="0"/>
    <x v="3"/>
    <n v="3.3"/>
    <n v="1204.5"/>
    <n v="4336.2"/>
  </r>
  <r>
    <x v="0"/>
    <x v="0"/>
    <x v="0"/>
    <x v="0"/>
    <x v="0"/>
    <s v="DK1_MedSmall"/>
    <x v="2"/>
    <x v="2"/>
    <s v="GNR_ST_MSW_BP_E-20"/>
    <x v="0"/>
    <x v="4"/>
    <n v="3.3"/>
    <n v="1204.5"/>
    <n v="4336.2"/>
  </r>
  <r>
    <x v="0"/>
    <x v="0"/>
    <x v="0"/>
    <x v="0"/>
    <x v="0"/>
    <s v="DK1_MedSmall"/>
    <x v="2"/>
    <x v="2"/>
    <s v="GNR_ST_MSW_BP_E-20"/>
    <x v="0"/>
    <x v="5"/>
    <n v="3.3"/>
    <n v="1204.5"/>
    <n v="4336.2"/>
  </r>
  <r>
    <x v="0"/>
    <x v="0"/>
    <x v="0"/>
    <x v="0"/>
    <x v="0"/>
    <s v="DK1_MedSmall"/>
    <x v="2"/>
    <x v="2"/>
    <s v="GNR_ST_MSW_BP_E-20"/>
    <x v="0"/>
    <x v="6"/>
    <n v="3.3"/>
    <n v="1204.5"/>
    <n v="4336.2"/>
  </r>
  <r>
    <x v="0"/>
    <x v="0"/>
    <x v="0"/>
    <x v="0"/>
    <x v="0"/>
    <s v="DK1_MedSmall"/>
    <x v="2"/>
    <x v="2"/>
    <s v="GNR_ST_MSW_BP_E-20"/>
    <x v="0"/>
    <x v="7"/>
    <n v="3.3"/>
    <n v="1204.5"/>
    <n v="4336.2"/>
  </r>
  <r>
    <x v="0"/>
    <x v="0"/>
    <x v="0"/>
    <x v="0"/>
    <x v="0"/>
    <s v="DK1_MedSmall"/>
    <x v="2"/>
    <x v="2"/>
    <s v="GNR_ST_MSW_BP_E-20"/>
    <x v="0"/>
    <x v="8"/>
    <n v="3.3"/>
    <n v="1204.5"/>
    <n v="4336.2"/>
  </r>
  <r>
    <x v="0"/>
    <x v="0"/>
    <x v="0"/>
    <x v="0"/>
    <x v="0"/>
    <s v="DK1_MedSmall"/>
    <x v="2"/>
    <x v="2"/>
    <s v="GNR_ST_MSW_BP_E-20"/>
    <x v="0"/>
    <x v="9"/>
    <n v="3.3"/>
    <n v="1204.5"/>
    <n v="4336.2"/>
  </r>
  <r>
    <x v="0"/>
    <x v="0"/>
    <x v="0"/>
    <x v="0"/>
    <x v="0"/>
    <s v="DK1_MedSmall"/>
    <x v="2"/>
    <x v="2"/>
    <s v="GNR_ST_MSW_BP_E-20"/>
    <x v="0"/>
    <x v="10"/>
    <n v="3.3"/>
    <n v="1204.5"/>
    <n v="4336.2"/>
  </r>
  <r>
    <x v="0"/>
    <x v="0"/>
    <x v="0"/>
    <x v="0"/>
    <x v="0"/>
    <s v="DK1_MedSmall"/>
    <x v="2"/>
    <x v="2"/>
    <s v="GNR_ST_MSW_BP_E-20"/>
    <x v="0"/>
    <x v="11"/>
    <n v="3.3"/>
    <n v="1204.5"/>
    <n v="4336.2"/>
  </r>
  <r>
    <x v="0"/>
    <x v="0"/>
    <x v="0"/>
    <x v="0"/>
    <x v="0"/>
    <s v="DK1_MedSmall"/>
    <x v="2"/>
    <x v="2"/>
    <s v="GNR_ST_MSW_BP_E-20"/>
    <x v="0"/>
    <x v="12"/>
    <n v="3.3"/>
    <n v="1204.5"/>
    <n v="4336.2"/>
  </r>
  <r>
    <x v="0"/>
    <x v="0"/>
    <x v="0"/>
    <x v="0"/>
    <x v="0"/>
    <s v="DK1_MedSmall"/>
    <x v="2"/>
    <x v="2"/>
    <s v="GNR_ST_MSW_BP_E-20"/>
    <x v="0"/>
    <x v="13"/>
    <n v="3.3"/>
    <n v="1204.5"/>
    <n v="4336.2"/>
  </r>
  <r>
    <x v="0"/>
    <x v="0"/>
    <x v="0"/>
    <x v="0"/>
    <x v="0"/>
    <s v="DK1_MedSmall"/>
    <x v="2"/>
    <x v="2"/>
    <s v="GNR_ST_MSW_BP_E-20"/>
    <x v="0"/>
    <x v="14"/>
    <n v="3.3"/>
    <n v="1204.5"/>
    <n v="4336.2"/>
  </r>
  <r>
    <x v="0"/>
    <x v="0"/>
    <x v="0"/>
    <x v="0"/>
    <x v="0"/>
    <s v="DK1_MedSmall"/>
    <x v="2"/>
    <x v="2"/>
    <s v="GNR_ST_MSW_BP_E-20"/>
    <x v="0"/>
    <x v="15"/>
    <n v="3.3"/>
    <n v="1204.5"/>
    <n v="4336.2"/>
  </r>
  <r>
    <x v="0"/>
    <x v="0"/>
    <x v="0"/>
    <x v="0"/>
    <x v="0"/>
    <s v="DK1_MedSmall"/>
    <x v="2"/>
    <x v="2"/>
    <s v="GNR_ST_MSW_BP_E-20"/>
    <x v="0"/>
    <x v="16"/>
    <n v="3.3"/>
    <n v="1204.5"/>
    <n v="4336.2"/>
  </r>
  <r>
    <x v="0"/>
    <x v="0"/>
    <x v="0"/>
    <x v="0"/>
    <x v="0"/>
    <s v="DK1_MedSmall"/>
    <x v="2"/>
    <x v="2"/>
    <s v="GNR_ST_MSW_BP_E-20"/>
    <x v="0"/>
    <x v="17"/>
    <n v="3.3"/>
    <n v="1204.5"/>
    <n v="4336.2"/>
  </r>
  <r>
    <x v="0"/>
    <x v="0"/>
    <x v="0"/>
    <x v="0"/>
    <x v="0"/>
    <s v="DK1_MedSmall"/>
    <x v="2"/>
    <x v="2"/>
    <s v="GNR_ST_MSW_BP_E-20"/>
    <x v="0"/>
    <x v="19"/>
    <n v="3.3"/>
    <n v="1204.5"/>
    <n v="4336.2"/>
  </r>
  <r>
    <x v="0"/>
    <x v="0"/>
    <x v="0"/>
    <x v="0"/>
    <x v="0"/>
    <s v="DK1_MedSmall"/>
    <x v="2"/>
    <x v="2"/>
    <s v="GNR_ST_MSW_BP_E-20"/>
    <x v="0"/>
    <x v="20"/>
    <n v="3.3"/>
    <n v="1204.5"/>
    <n v="4336.2"/>
  </r>
  <r>
    <x v="0"/>
    <x v="0"/>
    <x v="0"/>
    <x v="0"/>
    <x v="0"/>
    <s v="DK1_MedSmall"/>
    <x v="2"/>
    <x v="2"/>
    <s v="GNR_ST_MSW_BP_E-20"/>
    <x v="0"/>
    <x v="21"/>
    <n v="3.3"/>
    <n v="1204.5"/>
    <n v="4336.2"/>
  </r>
  <r>
    <x v="0"/>
    <x v="0"/>
    <x v="0"/>
    <x v="0"/>
    <x v="0"/>
    <s v="DK1_MedSmall"/>
    <x v="2"/>
    <x v="2"/>
    <s v="GNR_ST_MSW_BP_E-20"/>
    <x v="0"/>
    <x v="22"/>
    <n v="3.3"/>
    <n v="1204.5"/>
    <n v="4336.2"/>
  </r>
  <r>
    <x v="0"/>
    <x v="0"/>
    <x v="0"/>
    <x v="0"/>
    <x v="0"/>
    <s v="DK1_MedSmall"/>
    <x v="2"/>
    <x v="2"/>
    <s v="GNR_ST_MSW_BP_E-20"/>
    <x v="0"/>
    <x v="23"/>
    <n v="3.3"/>
    <n v="1204.5"/>
    <n v="4336.2"/>
  </r>
  <r>
    <x v="0"/>
    <x v="0"/>
    <x v="0"/>
    <x v="0"/>
    <x v="0"/>
    <s v="DK1_MedSmall"/>
    <x v="2"/>
    <x v="2"/>
    <s v="GNR_ST_MSW_BP_E-21"/>
    <x v="0"/>
    <x v="0"/>
    <n v="10"/>
    <n v="3650"/>
    <n v="13140"/>
  </r>
  <r>
    <x v="0"/>
    <x v="0"/>
    <x v="0"/>
    <x v="0"/>
    <x v="0"/>
    <s v="DK1_MedSmall"/>
    <x v="2"/>
    <x v="2"/>
    <s v="GNR_ST_MSW_BP_E-21"/>
    <x v="0"/>
    <x v="1"/>
    <n v="10"/>
    <n v="3650"/>
    <n v="13140"/>
  </r>
  <r>
    <x v="0"/>
    <x v="0"/>
    <x v="0"/>
    <x v="0"/>
    <x v="0"/>
    <s v="DK1_MedSmall"/>
    <x v="2"/>
    <x v="2"/>
    <s v="GNR_ST_MSW_BP_E-21"/>
    <x v="0"/>
    <x v="18"/>
    <n v="10"/>
    <n v="3650"/>
    <n v="13140"/>
  </r>
  <r>
    <x v="0"/>
    <x v="0"/>
    <x v="0"/>
    <x v="0"/>
    <x v="0"/>
    <s v="DK1_MedSmall"/>
    <x v="2"/>
    <x v="2"/>
    <s v="GNR_ST_MSW_BP_E-21"/>
    <x v="0"/>
    <x v="2"/>
    <n v="10"/>
    <n v="3650"/>
    <n v="13140"/>
  </r>
  <r>
    <x v="0"/>
    <x v="0"/>
    <x v="0"/>
    <x v="0"/>
    <x v="0"/>
    <s v="DK1_MedSmall"/>
    <x v="2"/>
    <x v="2"/>
    <s v="GNR_ST_MSW_BP_E-21"/>
    <x v="0"/>
    <x v="3"/>
    <n v="10"/>
    <n v="3650"/>
    <n v="13140"/>
  </r>
  <r>
    <x v="0"/>
    <x v="0"/>
    <x v="0"/>
    <x v="0"/>
    <x v="0"/>
    <s v="DK1_MedSmall"/>
    <x v="2"/>
    <x v="2"/>
    <s v="GNR_ST_MSW_BP_E-21"/>
    <x v="0"/>
    <x v="4"/>
    <n v="10"/>
    <n v="3650"/>
    <n v="13140"/>
  </r>
  <r>
    <x v="0"/>
    <x v="0"/>
    <x v="0"/>
    <x v="0"/>
    <x v="0"/>
    <s v="DK1_MedSmall"/>
    <x v="2"/>
    <x v="2"/>
    <s v="GNR_ST_MSW_BP_E-21"/>
    <x v="0"/>
    <x v="5"/>
    <n v="10"/>
    <n v="3650"/>
    <n v="13140"/>
  </r>
  <r>
    <x v="0"/>
    <x v="0"/>
    <x v="0"/>
    <x v="0"/>
    <x v="0"/>
    <s v="DK1_MedSmall"/>
    <x v="2"/>
    <x v="2"/>
    <s v="GNR_ST_MSW_BP_E-21"/>
    <x v="0"/>
    <x v="6"/>
    <n v="10"/>
    <n v="3650"/>
    <n v="13140"/>
  </r>
  <r>
    <x v="0"/>
    <x v="0"/>
    <x v="0"/>
    <x v="0"/>
    <x v="0"/>
    <s v="DK1_MedSmall"/>
    <x v="2"/>
    <x v="2"/>
    <s v="GNR_ST_MSW_BP_E-21"/>
    <x v="0"/>
    <x v="7"/>
    <n v="10"/>
    <n v="3650"/>
    <n v="13140"/>
  </r>
  <r>
    <x v="0"/>
    <x v="0"/>
    <x v="0"/>
    <x v="0"/>
    <x v="0"/>
    <s v="DK1_MedSmall"/>
    <x v="2"/>
    <x v="2"/>
    <s v="GNR_ST_MSW_BP_E-21"/>
    <x v="0"/>
    <x v="8"/>
    <n v="10"/>
    <n v="3650"/>
    <n v="13140"/>
  </r>
  <r>
    <x v="0"/>
    <x v="0"/>
    <x v="0"/>
    <x v="0"/>
    <x v="0"/>
    <s v="DK1_MedSmall"/>
    <x v="2"/>
    <x v="2"/>
    <s v="GNR_ST_MSW_BP_E-21"/>
    <x v="0"/>
    <x v="9"/>
    <n v="10"/>
    <n v="3650"/>
    <n v="13140"/>
  </r>
  <r>
    <x v="0"/>
    <x v="0"/>
    <x v="0"/>
    <x v="0"/>
    <x v="0"/>
    <s v="DK1_MedSmall"/>
    <x v="2"/>
    <x v="2"/>
    <s v="GNR_ST_MSW_BP_E-21"/>
    <x v="0"/>
    <x v="10"/>
    <n v="10"/>
    <n v="3650"/>
    <n v="13140"/>
  </r>
  <r>
    <x v="0"/>
    <x v="0"/>
    <x v="0"/>
    <x v="0"/>
    <x v="0"/>
    <s v="DK1_MedSmall"/>
    <x v="2"/>
    <x v="2"/>
    <s v="GNR_ST_MSW_BP_E-21"/>
    <x v="0"/>
    <x v="11"/>
    <n v="10"/>
    <n v="3650"/>
    <n v="13140"/>
  </r>
  <r>
    <x v="0"/>
    <x v="0"/>
    <x v="0"/>
    <x v="0"/>
    <x v="0"/>
    <s v="DK1_MedSmall"/>
    <x v="2"/>
    <x v="2"/>
    <s v="GNR_ST_MSW_BP_E-21"/>
    <x v="0"/>
    <x v="12"/>
    <n v="10"/>
    <n v="3650"/>
    <n v="13140"/>
  </r>
  <r>
    <x v="0"/>
    <x v="0"/>
    <x v="0"/>
    <x v="0"/>
    <x v="0"/>
    <s v="DK1_MedSmall"/>
    <x v="2"/>
    <x v="2"/>
    <s v="GNR_ST_MSW_BP_E-21"/>
    <x v="0"/>
    <x v="13"/>
    <n v="10"/>
    <n v="3650"/>
    <n v="13140"/>
  </r>
  <r>
    <x v="0"/>
    <x v="0"/>
    <x v="0"/>
    <x v="0"/>
    <x v="0"/>
    <s v="DK1_MedSmall"/>
    <x v="2"/>
    <x v="2"/>
    <s v="GNR_ST_MSW_BP_E-21"/>
    <x v="0"/>
    <x v="14"/>
    <n v="10"/>
    <n v="3650"/>
    <n v="13140"/>
  </r>
  <r>
    <x v="0"/>
    <x v="0"/>
    <x v="0"/>
    <x v="0"/>
    <x v="0"/>
    <s v="DK1_MedSmall"/>
    <x v="2"/>
    <x v="2"/>
    <s v="GNR_ST_MSW_BP_E-21"/>
    <x v="0"/>
    <x v="15"/>
    <n v="10"/>
    <n v="3650"/>
    <n v="13140"/>
  </r>
  <r>
    <x v="0"/>
    <x v="0"/>
    <x v="0"/>
    <x v="0"/>
    <x v="0"/>
    <s v="DK1_MedSmall"/>
    <x v="2"/>
    <x v="2"/>
    <s v="GNR_ST_MSW_BP_E-21"/>
    <x v="0"/>
    <x v="16"/>
    <n v="10"/>
    <n v="3650"/>
    <n v="13140"/>
  </r>
  <r>
    <x v="0"/>
    <x v="0"/>
    <x v="0"/>
    <x v="0"/>
    <x v="0"/>
    <s v="DK1_MedSmall"/>
    <x v="2"/>
    <x v="2"/>
    <s v="GNR_ST_MSW_BP_E-21"/>
    <x v="0"/>
    <x v="17"/>
    <n v="10"/>
    <n v="3650"/>
    <n v="13140"/>
  </r>
  <r>
    <x v="0"/>
    <x v="0"/>
    <x v="0"/>
    <x v="0"/>
    <x v="0"/>
    <s v="DK1_MedSmall"/>
    <x v="2"/>
    <x v="2"/>
    <s v="GNR_ST_MSW_BP_E-21"/>
    <x v="0"/>
    <x v="19"/>
    <n v="10"/>
    <n v="3650"/>
    <n v="13140"/>
  </r>
  <r>
    <x v="0"/>
    <x v="0"/>
    <x v="0"/>
    <x v="0"/>
    <x v="0"/>
    <s v="DK1_MedSmall"/>
    <x v="2"/>
    <x v="2"/>
    <s v="GNR_ST_MSW_BP_E-21"/>
    <x v="0"/>
    <x v="20"/>
    <n v="10"/>
    <n v="3650"/>
    <n v="13140"/>
  </r>
  <r>
    <x v="0"/>
    <x v="0"/>
    <x v="0"/>
    <x v="0"/>
    <x v="0"/>
    <s v="DK1_MedSmall"/>
    <x v="2"/>
    <x v="2"/>
    <s v="GNR_ST_MSW_BP_E-21"/>
    <x v="0"/>
    <x v="21"/>
    <n v="10"/>
    <n v="3650"/>
    <n v="13140"/>
  </r>
  <r>
    <x v="0"/>
    <x v="0"/>
    <x v="0"/>
    <x v="0"/>
    <x v="0"/>
    <s v="DK1_MedSmall"/>
    <x v="2"/>
    <x v="2"/>
    <s v="GNR_ST_MSW_BP_E-21"/>
    <x v="0"/>
    <x v="22"/>
    <n v="10"/>
    <n v="3650"/>
    <n v="13140"/>
  </r>
  <r>
    <x v="0"/>
    <x v="0"/>
    <x v="0"/>
    <x v="0"/>
    <x v="0"/>
    <s v="DK1_MedSmall"/>
    <x v="2"/>
    <x v="2"/>
    <s v="GNR_ST_MSW_BP_E-21"/>
    <x v="0"/>
    <x v="23"/>
    <n v="10"/>
    <n v="3650"/>
    <n v="13140"/>
  </r>
  <r>
    <x v="0"/>
    <x v="0"/>
    <x v="0"/>
    <x v="0"/>
    <x v="0"/>
    <s v="DK1_MedSmall"/>
    <x v="2"/>
    <x v="2"/>
    <s v="GNR_ST_MSW_BP_E-22"/>
    <x v="0"/>
    <x v="0"/>
    <n v="4.5"/>
    <n v="1642.5"/>
    <n v="5913"/>
  </r>
  <r>
    <x v="0"/>
    <x v="0"/>
    <x v="0"/>
    <x v="0"/>
    <x v="0"/>
    <s v="DK1_MedSmall"/>
    <x v="2"/>
    <x v="2"/>
    <s v="GNR_ST_MSW_BP_E-22"/>
    <x v="0"/>
    <x v="1"/>
    <n v="4.5"/>
    <n v="1642.5"/>
    <n v="5913"/>
  </r>
  <r>
    <x v="0"/>
    <x v="0"/>
    <x v="0"/>
    <x v="0"/>
    <x v="0"/>
    <s v="DK1_MedSmall"/>
    <x v="2"/>
    <x v="2"/>
    <s v="GNR_ST_MSW_BP_E-22"/>
    <x v="0"/>
    <x v="18"/>
    <n v="4.5"/>
    <n v="1642.5"/>
    <n v="5913"/>
  </r>
  <r>
    <x v="0"/>
    <x v="0"/>
    <x v="0"/>
    <x v="0"/>
    <x v="0"/>
    <s v="DK1_MedSmall"/>
    <x v="2"/>
    <x v="2"/>
    <s v="GNR_ST_MSW_BP_E-22"/>
    <x v="0"/>
    <x v="2"/>
    <n v="4.5"/>
    <n v="1642.5"/>
    <n v="5913"/>
  </r>
  <r>
    <x v="0"/>
    <x v="0"/>
    <x v="0"/>
    <x v="0"/>
    <x v="0"/>
    <s v="DK1_MedSmall"/>
    <x v="2"/>
    <x v="2"/>
    <s v="GNR_ST_MSW_BP_E-22"/>
    <x v="0"/>
    <x v="3"/>
    <n v="4.5"/>
    <n v="1642.5"/>
    <n v="5913"/>
  </r>
  <r>
    <x v="0"/>
    <x v="0"/>
    <x v="0"/>
    <x v="0"/>
    <x v="0"/>
    <s v="DK1_MedSmall"/>
    <x v="2"/>
    <x v="2"/>
    <s v="GNR_ST_MSW_BP_E-22"/>
    <x v="0"/>
    <x v="4"/>
    <n v="4.5"/>
    <n v="1642.5"/>
    <n v="5913"/>
  </r>
  <r>
    <x v="0"/>
    <x v="0"/>
    <x v="0"/>
    <x v="0"/>
    <x v="0"/>
    <s v="DK1_MedSmall"/>
    <x v="2"/>
    <x v="2"/>
    <s v="GNR_ST_MSW_BP_E-22"/>
    <x v="0"/>
    <x v="5"/>
    <n v="4.5"/>
    <n v="1642.5"/>
    <n v="5913"/>
  </r>
  <r>
    <x v="0"/>
    <x v="0"/>
    <x v="0"/>
    <x v="0"/>
    <x v="0"/>
    <s v="DK1_MedSmall"/>
    <x v="2"/>
    <x v="2"/>
    <s v="GNR_ST_MSW_BP_E-22"/>
    <x v="0"/>
    <x v="6"/>
    <n v="4.5"/>
    <n v="1642.5"/>
    <n v="5913"/>
  </r>
  <r>
    <x v="0"/>
    <x v="0"/>
    <x v="0"/>
    <x v="0"/>
    <x v="0"/>
    <s v="DK1_MedSmall"/>
    <x v="2"/>
    <x v="2"/>
    <s v="GNR_ST_MSW_BP_E-22"/>
    <x v="0"/>
    <x v="7"/>
    <n v="4.5"/>
    <n v="1642.5"/>
    <n v="5913"/>
  </r>
  <r>
    <x v="0"/>
    <x v="0"/>
    <x v="0"/>
    <x v="0"/>
    <x v="0"/>
    <s v="DK1_MedSmall"/>
    <x v="2"/>
    <x v="2"/>
    <s v="GNR_ST_MSW_BP_E-22"/>
    <x v="0"/>
    <x v="8"/>
    <n v="4.5"/>
    <n v="1642.5"/>
    <n v="5913"/>
  </r>
  <r>
    <x v="0"/>
    <x v="0"/>
    <x v="0"/>
    <x v="0"/>
    <x v="0"/>
    <s v="DK1_MedSmall"/>
    <x v="2"/>
    <x v="2"/>
    <s v="GNR_ST_MSW_BP_E-22"/>
    <x v="0"/>
    <x v="9"/>
    <n v="4.5"/>
    <n v="1642.5"/>
    <n v="5913"/>
  </r>
  <r>
    <x v="0"/>
    <x v="0"/>
    <x v="0"/>
    <x v="0"/>
    <x v="0"/>
    <s v="DK1_MedSmall"/>
    <x v="2"/>
    <x v="2"/>
    <s v="GNR_ST_MSW_BP_E-22"/>
    <x v="0"/>
    <x v="10"/>
    <n v="4.5"/>
    <n v="1642.5"/>
    <n v="5913"/>
  </r>
  <r>
    <x v="0"/>
    <x v="0"/>
    <x v="0"/>
    <x v="0"/>
    <x v="0"/>
    <s v="DK1_MedSmall"/>
    <x v="2"/>
    <x v="2"/>
    <s v="GNR_ST_MSW_BP_E-22"/>
    <x v="0"/>
    <x v="11"/>
    <n v="4.5"/>
    <n v="1642.5"/>
    <n v="5913"/>
  </r>
  <r>
    <x v="0"/>
    <x v="0"/>
    <x v="0"/>
    <x v="0"/>
    <x v="0"/>
    <s v="DK1_MedSmall"/>
    <x v="2"/>
    <x v="2"/>
    <s v="GNR_ST_MSW_BP_E-22"/>
    <x v="0"/>
    <x v="12"/>
    <n v="4.5"/>
    <n v="1642.5"/>
    <n v="5913"/>
  </r>
  <r>
    <x v="0"/>
    <x v="0"/>
    <x v="0"/>
    <x v="0"/>
    <x v="0"/>
    <s v="DK1_MedSmall"/>
    <x v="2"/>
    <x v="2"/>
    <s v="GNR_ST_MSW_BP_E-22"/>
    <x v="0"/>
    <x v="13"/>
    <n v="4.5"/>
    <n v="1642.5"/>
    <n v="5913"/>
  </r>
  <r>
    <x v="0"/>
    <x v="0"/>
    <x v="0"/>
    <x v="0"/>
    <x v="0"/>
    <s v="DK1_MedSmall"/>
    <x v="2"/>
    <x v="2"/>
    <s v="GNR_ST_MSW_BP_E-22"/>
    <x v="0"/>
    <x v="14"/>
    <n v="4.5"/>
    <n v="1642.5"/>
    <n v="5913"/>
  </r>
  <r>
    <x v="0"/>
    <x v="0"/>
    <x v="0"/>
    <x v="0"/>
    <x v="0"/>
    <s v="DK1_MedSmall"/>
    <x v="2"/>
    <x v="2"/>
    <s v="GNR_ST_MSW_BP_E-22"/>
    <x v="0"/>
    <x v="15"/>
    <n v="4.5"/>
    <n v="1642.5"/>
    <n v="5913"/>
  </r>
  <r>
    <x v="0"/>
    <x v="0"/>
    <x v="0"/>
    <x v="0"/>
    <x v="0"/>
    <s v="DK1_MedSmall"/>
    <x v="2"/>
    <x v="2"/>
    <s v="GNR_ST_MSW_BP_E-22"/>
    <x v="0"/>
    <x v="16"/>
    <n v="4.5"/>
    <n v="1642.5"/>
    <n v="5913"/>
  </r>
  <r>
    <x v="0"/>
    <x v="0"/>
    <x v="0"/>
    <x v="0"/>
    <x v="0"/>
    <s v="DK1_MedSmall"/>
    <x v="2"/>
    <x v="2"/>
    <s v="GNR_ST_MSW_BP_E-22"/>
    <x v="0"/>
    <x v="17"/>
    <n v="4.5"/>
    <n v="1642.5"/>
    <n v="5913"/>
  </r>
  <r>
    <x v="0"/>
    <x v="0"/>
    <x v="0"/>
    <x v="0"/>
    <x v="0"/>
    <s v="DK1_MedSmall"/>
    <x v="2"/>
    <x v="2"/>
    <s v="GNR_ST_MSW_BP_E-22"/>
    <x v="0"/>
    <x v="19"/>
    <n v="4.5"/>
    <n v="1642.5"/>
    <n v="5913"/>
  </r>
  <r>
    <x v="0"/>
    <x v="0"/>
    <x v="0"/>
    <x v="0"/>
    <x v="0"/>
    <s v="DK1_MedSmall"/>
    <x v="2"/>
    <x v="2"/>
    <s v="GNR_ST_MSW_BP_E-22"/>
    <x v="0"/>
    <x v="20"/>
    <n v="4.5"/>
    <n v="1642.5"/>
    <n v="5913"/>
  </r>
  <r>
    <x v="0"/>
    <x v="0"/>
    <x v="0"/>
    <x v="0"/>
    <x v="0"/>
    <s v="DK1_MedSmall"/>
    <x v="2"/>
    <x v="2"/>
    <s v="GNR_ST_MSW_BP_E-22"/>
    <x v="0"/>
    <x v="21"/>
    <n v="4.5"/>
    <n v="1642.5"/>
    <n v="5913"/>
  </r>
  <r>
    <x v="0"/>
    <x v="0"/>
    <x v="0"/>
    <x v="0"/>
    <x v="0"/>
    <s v="DK1_MedSmall"/>
    <x v="2"/>
    <x v="2"/>
    <s v="GNR_ST_MSW_BP_E-22"/>
    <x v="0"/>
    <x v="22"/>
    <n v="4.5"/>
    <n v="1642.5"/>
    <n v="5913"/>
  </r>
  <r>
    <x v="0"/>
    <x v="0"/>
    <x v="0"/>
    <x v="0"/>
    <x v="0"/>
    <s v="DK1_MedSmall"/>
    <x v="2"/>
    <x v="2"/>
    <s v="GNR_ST_MSW_BP_E-22"/>
    <x v="0"/>
    <x v="23"/>
    <n v="4.5"/>
    <n v="1642.5"/>
    <n v="5913"/>
  </r>
  <r>
    <x v="0"/>
    <x v="0"/>
    <x v="0"/>
    <x v="0"/>
    <x v="0"/>
    <s v="DK1_MedSmall"/>
    <x v="2"/>
    <x v="2"/>
    <s v="GNR_ST_MSW_BP_E-26"/>
    <x v="0"/>
    <x v="0"/>
    <n v="7"/>
    <n v="2555"/>
    <n v="9198"/>
  </r>
  <r>
    <x v="0"/>
    <x v="0"/>
    <x v="0"/>
    <x v="0"/>
    <x v="0"/>
    <s v="DK1_MedSmall"/>
    <x v="2"/>
    <x v="2"/>
    <s v="GNR_ST_MSW_BP_E-26"/>
    <x v="0"/>
    <x v="1"/>
    <n v="7"/>
    <n v="2555"/>
    <n v="9198"/>
  </r>
  <r>
    <x v="0"/>
    <x v="0"/>
    <x v="0"/>
    <x v="0"/>
    <x v="0"/>
    <s v="DK1_MedSmall"/>
    <x v="2"/>
    <x v="2"/>
    <s v="GNR_ST_MSW_BP_E-26"/>
    <x v="0"/>
    <x v="18"/>
    <n v="7"/>
    <n v="2555"/>
    <n v="9198"/>
  </r>
  <r>
    <x v="0"/>
    <x v="0"/>
    <x v="0"/>
    <x v="0"/>
    <x v="0"/>
    <s v="DK1_MedSmall"/>
    <x v="2"/>
    <x v="2"/>
    <s v="GNR_ST_MSW_BP_E-26"/>
    <x v="0"/>
    <x v="2"/>
    <n v="7"/>
    <n v="2555"/>
    <n v="9198"/>
  </r>
  <r>
    <x v="0"/>
    <x v="0"/>
    <x v="0"/>
    <x v="0"/>
    <x v="0"/>
    <s v="DK1_MedSmall"/>
    <x v="2"/>
    <x v="2"/>
    <s v="GNR_ST_MSW_BP_E-26"/>
    <x v="0"/>
    <x v="3"/>
    <n v="7"/>
    <n v="2555"/>
    <n v="9198"/>
  </r>
  <r>
    <x v="0"/>
    <x v="0"/>
    <x v="0"/>
    <x v="0"/>
    <x v="0"/>
    <s v="DK1_MedSmall"/>
    <x v="2"/>
    <x v="2"/>
    <s v="GNR_ST_MSW_BP_E-26"/>
    <x v="0"/>
    <x v="4"/>
    <n v="7"/>
    <n v="2555"/>
    <n v="9198"/>
  </r>
  <r>
    <x v="0"/>
    <x v="0"/>
    <x v="0"/>
    <x v="0"/>
    <x v="0"/>
    <s v="DK1_MedSmall"/>
    <x v="2"/>
    <x v="2"/>
    <s v="GNR_ST_MSW_BP_E-26"/>
    <x v="0"/>
    <x v="5"/>
    <n v="7"/>
    <n v="2555"/>
    <n v="9198"/>
  </r>
  <r>
    <x v="0"/>
    <x v="0"/>
    <x v="0"/>
    <x v="0"/>
    <x v="0"/>
    <s v="DK1_MedSmall"/>
    <x v="2"/>
    <x v="2"/>
    <s v="GNR_ST_MSW_BP_E-26"/>
    <x v="0"/>
    <x v="6"/>
    <n v="7"/>
    <n v="2555"/>
    <n v="9198"/>
  </r>
  <r>
    <x v="0"/>
    <x v="0"/>
    <x v="0"/>
    <x v="0"/>
    <x v="0"/>
    <s v="DK1_MedSmall"/>
    <x v="2"/>
    <x v="2"/>
    <s v="GNR_ST_MSW_BP_E-26"/>
    <x v="0"/>
    <x v="7"/>
    <n v="7"/>
    <n v="2555"/>
    <n v="9198"/>
  </r>
  <r>
    <x v="0"/>
    <x v="0"/>
    <x v="0"/>
    <x v="0"/>
    <x v="0"/>
    <s v="DK1_MedSmall"/>
    <x v="2"/>
    <x v="2"/>
    <s v="GNR_ST_MSW_BP_E-26"/>
    <x v="0"/>
    <x v="8"/>
    <n v="7"/>
    <n v="2555"/>
    <n v="9198"/>
  </r>
  <r>
    <x v="0"/>
    <x v="0"/>
    <x v="0"/>
    <x v="0"/>
    <x v="0"/>
    <s v="DK1_MedSmall"/>
    <x v="2"/>
    <x v="2"/>
    <s v="GNR_ST_MSW_BP_E-26"/>
    <x v="0"/>
    <x v="9"/>
    <n v="7"/>
    <n v="2555"/>
    <n v="9198"/>
  </r>
  <r>
    <x v="0"/>
    <x v="0"/>
    <x v="0"/>
    <x v="0"/>
    <x v="0"/>
    <s v="DK1_MedSmall"/>
    <x v="2"/>
    <x v="2"/>
    <s v="GNR_ST_MSW_BP_E-26"/>
    <x v="0"/>
    <x v="10"/>
    <n v="7"/>
    <n v="2555"/>
    <n v="9198"/>
  </r>
  <r>
    <x v="0"/>
    <x v="0"/>
    <x v="0"/>
    <x v="0"/>
    <x v="0"/>
    <s v="DK1_MedSmall"/>
    <x v="2"/>
    <x v="2"/>
    <s v="GNR_ST_MSW_BP_E-26"/>
    <x v="0"/>
    <x v="11"/>
    <n v="7"/>
    <n v="2555"/>
    <n v="9198"/>
  </r>
  <r>
    <x v="0"/>
    <x v="0"/>
    <x v="0"/>
    <x v="0"/>
    <x v="0"/>
    <s v="DK1_MedSmall"/>
    <x v="2"/>
    <x v="2"/>
    <s v="GNR_ST_MSW_BP_E-26"/>
    <x v="0"/>
    <x v="12"/>
    <n v="7"/>
    <n v="2555"/>
    <n v="9198"/>
  </r>
  <r>
    <x v="0"/>
    <x v="0"/>
    <x v="0"/>
    <x v="0"/>
    <x v="0"/>
    <s v="DK1_MedSmall"/>
    <x v="2"/>
    <x v="2"/>
    <s v="GNR_ST_MSW_BP_E-26"/>
    <x v="0"/>
    <x v="13"/>
    <n v="7"/>
    <n v="2555"/>
    <n v="9198"/>
  </r>
  <r>
    <x v="0"/>
    <x v="0"/>
    <x v="0"/>
    <x v="0"/>
    <x v="0"/>
    <s v="DK1_MedSmall"/>
    <x v="2"/>
    <x v="2"/>
    <s v="GNR_ST_MSW_BP_E-26"/>
    <x v="0"/>
    <x v="14"/>
    <n v="7"/>
    <n v="2555"/>
    <n v="9198"/>
  </r>
  <r>
    <x v="0"/>
    <x v="0"/>
    <x v="0"/>
    <x v="0"/>
    <x v="0"/>
    <s v="DK1_MedSmall"/>
    <x v="2"/>
    <x v="2"/>
    <s v="GNR_ST_MSW_BP_E-26"/>
    <x v="0"/>
    <x v="15"/>
    <n v="7"/>
    <n v="2555"/>
    <n v="9198"/>
  </r>
  <r>
    <x v="0"/>
    <x v="0"/>
    <x v="0"/>
    <x v="0"/>
    <x v="0"/>
    <s v="DK1_MedSmall"/>
    <x v="2"/>
    <x v="2"/>
    <s v="GNR_ST_MSW_BP_E-26"/>
    <x v="0"/>
    <x v="16"/>
    <n v="7"/>
    <n v="2555"/>
    <n v="9198"/>
  </r>
  <r>
    <x v="0"/>
    <x v="0"/>
    <x v="0"/>
    <x v="0"/>
    <x v="0"/>
    <s v="DK1_MedSmall"/>
    <x v="2"/>
    <x v="2"/>
    <s v="GNR_ST_MSW_BP_E-26"/>
    <x v="0"/>
    <x v="17"/>
    <n v="7"/>
    <n v="2555"/>
    <n v="9198"/>
  </r>
  <r>
    <x v="0"/>
    <x v="0"/>
    <x v="0"/>
    <x v="0"/>
    <x v="0"/>
    <s v="DK1_MedSmall"/>
    <x v="2"/>
    <x v="2"/>
    <s v="GNR_ST_MSW_BP_E-26"/>
    <x v="0"/>
    <x v="19"/>
    <n v="7"/>
    <n v="2555"/>
    <n v="9198"/>
  </r>
  <r>
    <x v="0"/>
    <x v="0"/>
    <x v="0"/>
    <x v="0"/>
    <x v="0"/>
    <s v="DK1_MedSmall"/>
    <x v="2"/>
    <x v="2"/>
    <s v="GNR_ST_MSW_BP_E-26"/>
    <x v="0"/>
    <x v="20"/>
    <n v="7"/>
    <n v="2555"/>
    <n v="9198"/>
  </r>
  <r>
    <x v="0"/>
    <x v="0"/>
    <x v="0"/>
    <x v="0"/>
    <x v="0"/>
    <s v="DK1_MedSmall"/>
    <x v="2"/>
    <x v="2"/>
    <s v="GNR_ST_MSW_BP_E-26"/>
    <x v="0"/>
    <x v="21"/>
    <n v="7"/>
    <n v="2555"/>
    <n v="9198"/>
  </r>
  <r>
    <x v="0"/>
    <x v="0"/>
    <x v="0"/>
    <x v="0"/>
    <x v="0"/>
    <s v="DK1_MedSmall"/>
    <x v="2"/>
    <x v="2"/>
    <s v="GNR_ST_MSW_BP_E-26"/>
    <x v="0"/>
    <x v="22"/>
    <n v="7"/>
    <n v="2555"/>
    <n v="9198"/>
  </r>
  <r>
    <x v="0"/>
    <x v="0"/>
    <x v="0"/>
    <x v="0"/>
    <x v="0"/>
    <s v="DK1_MedSmall"/>
    <x v="2"/>
    <x v="2"/>
    <s v="GNR_ST_MSW_BP_E-26"/>
    <x v="0"/>
    <x v="23"/>
    <n v="7"/>
    <n v="2555"/>
    <n v="9198"/>
  </r>
  <r>
    <x v="0"/>
    <x v="0"/>
    <x v="0"/>
    <x v="0"/>
    <x v="0"/>
    <s v="DK1_MedSmall"/>
    <x v="3"/>
    <x v="2"/>
    <s v="GNR_ST_STRW_BP_E-21"/>
    <x v="0"/>
    <x v="6"/>
    <n v="17.5"/>
    <n v="6387.5"/>
    <n v="22995"/>
  </r>
  <r>
    <x v="0"/>
    <x v="0"/>
    <x v="0"/>
    <x v="0"/>
    <x v="0"/>
    <s v="DK1_MedSmall"/>
    <x v="3"/>
    <x v="2"/>
    <s v="GNR_ST_STRW_BP_E-21"/>
    <x v="0"/>
    <x v="7"/>
    <n v="17.5"/>
    <n v="6387.5"/>
    <n v="22995"/>
  </r>
  <r>
    <x v="0"/>
    <x v="0"/>
    <x v="0"/>
    <x v="0"/>
    <x v="0"/>
    <s v="DK1_MedSmall"/>
    <x v="3"/>
    <x v="2"/>
    <s v="GNR_ST_STRW_BP_E-21"/>
    <x v="0"/>
    <x v="8"/>
    <n v="17.5"/>
    <n v="6387.5"/>
    <n v="22995"/>
  </r>
  <r>
    <x v="0"/>
    <x v="0"/>
    <x v="0"/>
    <x v="0"/>
    <x v="0"/>
    <s v="DK1_Medium"/>
    <x v="2"/>
    <x v="2"/>
    <s v="GNR_ST_MSW_BP_E-21"/>
    <x v="0"/>
    <x v="7"/>
    <n v="3.2050496798519101"/>
    <n v="1169.8431331459501"/>
    <n v="4211.4352793254102"/>
  </r>
  <r>
    <x v="0"/>
    <x v="0"/>
    <x v="0"/>
    <x v="0"/>
    <x v="0"/>
    <s v="DK1_Medium"/>
    <x v="2"/>
    <x v="2"/>
    <s v="GNR_ST_MSW_BP_E-21"/>
    <x v="0"/>
    <x v="8"/>
    <n v="2.7895037998247898"/>
    <n v="1018.1688869360499"/>
    <n v="3665.40799296977"/>
  </r>
  <r>
    <x v="0"/>
    <x v="0"/>
    <x v="0"/>
    <x v="0"/>
    <x v="0"/>
    <s v="DK1_Medium"/>
    <x v="2"/>
    <x v="2"/>
    <s v="GNR_ST_MSW_BP_E-21"/>
    <x v="0"/>
    <x v="9"/>
    <n v="3.5374863838735999"/>
    <n v="1291.1825301138599"/>
    <n v="4648.25710840991"/>
  </r>
  <r>
    <x v="0"/>
    <x v="0"/>
    <x v="0"/>
    <x v="0"/>
    <x v="0"/>
    <s v="DK1_Medium"/>
    <x v="2"/>
    <x v="2"/>
    <s v="GNR_ST_MSW_BP_E-21"/>
    <x v="0"/>
    <x v="10"/>
    <n v="2.7895037998247898"/>
    <n v="1018.1688869360499"/>
    <n v="3665.40799296977"/>
  </r>
  <r>
    <x v="0"/>
    <x v="0"/>
    <x v="0"/>
    <x v="0"/>
    <x v="0"/>
    <s v="DK1_Medium"/>
    <x v="2"/>
    <x v="2"/>
    <s v="GNR_ST_MSW_BP_E-22"/>
    <x v="0"/>
    <x v="5"/>
    <n v="40.872296878224297"/>
    <n v="14918.3883605519"/>
    <n v="53706.1980979867"/>
  </r>
  <r>
    <x v="0"/>
    <x v="0"/>
    <x v="0"/>
    <x v="0"/>
    <x v="0"/>
    <s v="DK1_Medium"/>
    <x v="2"/>
    <x v="2"/>
    <s v="GNR_ST_MSW_BP_E-22"/>
    <x v="0"/>
    <x v="6"/>
    <n v="62.5637918156403"/>
    <n v="22835.7840127087"/>
    <n v="82208.822445751401"/>
  </r>
  <r>
    <x v="0"/>
    <x v="0"/>
    <x v="0"/>
    <x v="0"/>
    <x v="0"/>
    <s v="DK1_Medium"/>
    <x v="2"/>
    <x v="2"/>
    <s v="GNR_ST_MSW_BP_E-22"/>
    <x v="0"/>
    <x v="7"/>
    <n v="62.6"/>
    <n v="22849"/>
    <n v="82256.399999999994"/>
  </r>
  <r>
    <x v="0"/>
    <x v="0"/>
    <x v="0"/>
    <x v="0"/>
    <x v="0"/>
    <s v="DK1_Medium"/>
    <x v="2"/>
    <x v="2"/>
    <s v="GNR_ST_MSW_BP_E-22"/>
    <x v="0"/>
    <x v="8"/>
    <n v="62.6"/>
    <n v="22849"/>
    <n v="82256.399999999994"/>
  </r>
  <r>
    <x v="0"/>
    <x v="0"/>
    <x v="0"/>
    <x v="0"/>
    <x v="0"/>
    <s v="DK1_Medium"/>
    <x v="2"/>
    <x v="2"/>
    <s v="GNR_ST_MSW_BP_E-22"/>
    <x v="0"/>
    <x v="9"/>
    <n v="62.6"/>
    <n v="22849"/>
    <n v="82256.399999999994"/>
  </r>
  <r>
    <x v="0"/>
    <x v="0"/>
    <x v="0"/>
    <x v="0"/>
    <x v="0"/>
    <s v="DK1_Medium"/>
    <x v="2"/>
    <x v="2"/>
    <s v="GNR_ST_MSW_BP_E-22"/>
    <x v="0"/>
    <x v="10"/>
    <n v="62.6"/>
    <n v="22849"/>
    <n v="82256.399999999994"/>
  </r>
  <r>
    <x v="0"/>
    <x v="0"/>
    <x v="0"/>
    <x v="0"/>
    <x v="0"/>
    <s v="DK1_Medium"/>
    <x v="2"/>
    <x v="2"/>
    <s v="GNR_ST_MSW_BP_E-22"/>
    <x v="0"/>
    <x v="14"/>
    <n v="60.070516535477601"/>
    <n v="21925.738535449302"/>
    <n v="78932.658727617498"/>
  </r>
  <r>
    <x v="0"/>
    <x v="0"/>
    <x v="0"/>
    <x v="0"/>
    <x v="0"/>
    <s v="DK1_Medium"/>
    <x v="2"/>
    <x v="2"/>
    <s v="GNR_ST_MSW_BP_E-22"/>
    <x v="0"/>
    <x v="15"/>
    <n v="60.8184991195264"/>
    <n v="22198.752178627099"/>
    <n v="79915.507843057698"/>
  </r>
  <r>
    <x v="0"/>
    <x v="0"/>
    <x v="0"/>
    <x v="0"/>
    <x v="0"/>
    <s v="DK1_Medium"/>
    <x v="2"/>
    <x v="2"/>
    <s v="GNR_ST_MSW_BP_E-22"/>
    <x v="0"/>
    <x v="16"/>
    <n v="62.6"/>
    <n v="22849"/>
    <n v="82256.399999999994"/>
  </r>
  <r>
    <x v="0"/>
    <x v="0"/>
    <x v="0"/>
    <x v="0"/>
    <x v="0"/>
    <s v="DK1_Medium"/>
    <x v="4"/>
    <x v="2"/>
    <s v="GNR_ST_WOODCHI_BP_E-27"/>
    <x v="0"/>
    <x v="4"/>
    <n v="11.0029548973188"/>
    <n v="4016.07853752135"/>
    <n v="14457.882735076901"/>
  </r>
  <r>
    <x v="0"/>
    <x v="0"/>
    <x v="0"/>
    <x v="0"/>
    <x v="0"/>
    <s v="DK1_Medium"/>
    <x v="4"/>
    <x v="2"/>
    <s v="GNR_ST_WOODCHI_BP_E-27"/>
    <x v="0"/>
    <x v="5"/>
    <n v="52"/>
    <n v="18980"/>
    <n v="68328"/>
  </r>
  <r>
    <x v="0"/>
    <x v="0"/>
    <x v="0"/>
    <x v="0"/>
    <x v="0"/>
    <s v="DK1_Medium"/>
    <x v="4"/>
    <x v="2"/>
    <s v="GNR_ST_WOODCHI_BP_E-27"/>
    <x v="0"/>
    <x v="6"/>
    <n v="52"/>
    <n v="18980"/>
    <n v="68328"/>
  </r>
  <r>
    <x v="0"/>
    <x v="0"/>
    <x v="0"/>
    <x v="0"/>
    <x v="0"/>
    <s v="DK1_Medium"/>
    <x v="4"/>
    <x v="2"/>
    <s v="GNR_ST_WOODCHI_BP_E-27"/>
    <x v="0"/>
    <x v="7"/>
    <n v="52"/>
    <n v="18980"/>
    <n v="68328"/>
  </r>
  <r>
    <x v="0"/>
    <x v="0"/>
    <x v="0"/>
    <x v="0"/>
    <x v="0"/>
    <s v="DK1_Medium"/>
    <x v="4"/>
    <x v="2"/>
    <s v="GNR_ST_WOODCHI_BP_E-27"/>
    <x v="0"/>
    <x v="8"/>
    <n v="52"/>
    <n v="18980"/>
    <n v="68328"/>
  </r>
  <r>
    <x v="0"/>
    <x v="0"/>
    <x v="0"/>
    <x v="0"/>
    <x v="0"/>
    <s v="DK1_Medium"/>
    <x v="4"/>
    <x v="2"/>
    <s v="GNR_ST_WOODCHI_BP_E-27"/>
    <x v="0"/>
    <x v="9"/>
    <n v="52"/>
    <n v="18980"/>
    <n v="68328"/>
  </r>
  <r>
    <x v="0"/>
    <x v="0"/>
    <x v="0"/>
    <x v="0"/>
    <x v="0"/>
    <s v="DK1_Medium"/>
    <x v="4"/>
    <x v="2"/>
    <s v="GNR_ST_WOODCHI_BP_E-27"/>
    <x v="0"/>
    <x v="10"/>
    <n v="52"/>
    <n v="18980"/>
    <n v="68328"/>
  </r>
  <r>
    <x v="0"/>
    <x v="0"/>
    <x v="0"/>
    <x v="0"/>
    <x v="0"/>
    <s v="DK1_Medium"/>
    <x v="4"/>
    <x v="2"/>
    <s v="GNR_ST_WOODCHI_BP_E-27"/>
    <x v="0"/>
    <x v="11"/>
    <n v="52"/>
    <n v="18980"/>
    <n v="68328"/>
  </r>
  <r>
    <x v="0"/>
    <x v="0"/>
    <x v="0"/>
    <x v="0"/>
    <x v="0"/>
    <s v="DK1_Medium"/>
    <x v="4"/>
    <x v="2"/>
    <s v="GNR_ST_WOODCHI_BP_E-27"/>
    <x v="0"/>
    <x v="12"/>
    <n v="52"/>
    <n v="18980"/>
    <n v="68328"/>
  </r>
  <r>
    <x v="0"/>
    <x v="0"/>
    <x v="0"/>
    <x v="0"/>
    <x v="0"/>
    <s v="DK1_Medium"/>
    <x v="4"/>
    <x v="2"/>
    <s v="GNR_ST_WOODCHI_BP_E-27"/>
    <x v="0"/>
    <x v="13"/>
    <n v="52"/>
    <n v="18980"/>
    <n v="68328"/>
  </r>
  <r>
    <x v="0"/>
    <x v="0"/>
    <x v="0"/>
    <x v="0"/>
    <x v="0"/>
    <s v="DK1_Medium"/>
    <x v="4"/>
    <x v="2"/>
    <s v="GNR_ST_WOODCHI_BP_E-27"/>
    <x v="0"/>
    <x v="14"/>
    <n v="52"/>
    <n v="18980"/>
    <n v="68328"/>
  </r>
  <r>
    <x v="0"/>
    <x v="0"/>
    <x v="0"/>
    <x v="0"/>
    <x v="0"/>
    <s v="DK1_Medium"/>
    <x v="4"/>
    <x v="2"/>
    <s v="GNR_ST_WOODCHI_BP_E-27"/>
    <x v="0"/>
    <x v="15"/>
    <n v="52"/>
    <n v="18980"/>
    <n v="68328"/>
  </r>
  <r>
    <x v="0"/>
    <x v="0"/>
    <x v="0"/>
    <x v="0"/>
    <x v="0"/>
    <s v="DK1_Medium"/>
    <x v="4"/>
    <x v="2"/>
    <s v="GNR_ST_WOODCHI_BP_E-27"/>
    <x v="0"/>
    <x v="16"/>
    <n v="52"/>
    <n v="18980"/>
    <n v="68328"/>
  </r>
  <r>
    <x v="0"/>
    <x v="0"/>
    <x v="0"/>
    <x v="0"/>
    <x v="0"/>
    <s v="DK1_Medium"/>
    <x v="4"/>
    <x v="2"/>
    <s v="GNR_ST_WOODCHI_BP_E-27"/>
    <x v="0"/>
    <x v="17"/>
    <n v="39.9056919843119"/>
    <n v="14565.577574273801"/>
    <n v="52436.079267385903"/>
  </r>
  <r>
    <x v="0"/>
    <x v="0"/>
    <x v="0"/>
    <x v="0"/>
    <x v="0"/>
    <s v="DK1_Medium"/>
    <x v="4"/>
    <x v="2"/>
    <s v="GNR_ST_WOODCHI_BP_E-30"/>
    <x v="0"/>
    <x v="0"/>
    <n v="90.4"/>
    <n v="32996"/>
    <n v="118785.60000000001"/>
  </r>
  <r>
    <x v="0"/>
    <x v="0"/>
    <x v="0"/>
    <x v="0"/>
    <x v="0"/>
    <s v="DK1_Medium"/>
    <x v="4"/>
    <x v="2"/>
    <s v="GNR_ST_WOODCHI_BP_E-30"/>
    <x v="0"/>
    <x v="1"/>
    <n v="90.4"/>
    <n v="32996"/>
    <n v="118785.60000000001"/>
  </r>
  <r>
    <x v="0"/>
    <x v="0"/>
    <x v="0"/>
    <x v="0"/>
    <x v="0"/>
    <s v="DK1_Medium"/>
    <x v="4"/>
    <x v="2"/>
    <s v="GNR_ST_WOODCHI_BP_E-30"/>
    <x v="0"/>
    <x v="18"/>
    <n v="90.4"/>
    <n v="32996"/>
    <n v="118785.60000000001"/>
  </r>
  <r>
    <x v="0"/>
    <x v="0"/>
    <x v="0"/>
    <x v="0"/>
    <x v="0"/>
    <s v="DK1_Medium"/>
    <x v="4"/>
    <x v="2"/>
    <s v="GNR_ST_WOODCHI_BP_E-30"/>
    <x v="0"/>
    <x v="2"/>
    <n v="90.4"/>
    <n v="32996"/>
    <n v="118785.60000000001"/>
  </r>
  <r>
    <x v="0"/>
    <x v="0"/>
    <x v="0"/>
    <x v="0"/>
    <x v="0"/>
    <s v="DK1_Medium"/>
    <x v="4"/>
    <x v="2"/>
    <s v="GNR_ST_WOODCHI_BP_E-30"/>
    <x v="0"/>
    <x v="3"/>
    <n v="90.4"/>
    <n v="32996"/>
    <n v="118785.60000000001"/>
  </r>
  <r>
    <x v="0"/>
    <x v="0"/>
    <x v="0"/>
    <x v="0"/>
    <x v="0"/>
    <s v="DK1_Medium"/>
    <x v="4"/>
    <x v="2"/>
    <s v="GNR_ST_WOODCHI_BP_E-30"/>
    <x v="0"/>
    <x v="4"/>
    <n v="90.4"/>
    <n v="32996"/>
    <n v="118785.60000000001"/>
  </r>
  <r>
    <x v="0"/>
    <x v="0"/>
    <x v="0"/>
    <x v="0"/>
    <x v="0"/>
    <s v="DK1_Medium"/>
    <x v="4"/>
    <x v="2"/>
    <s v="GNR_ST_WOODCHI_BP_E-30"/>
    <x v="0"/>
    <x v="5"/>
    <n v="90.4"/>
    <n v="32996"/>
    <n v="118785.60000000001"/>
  </r>
  <r>
    <x v="0"/>
    <x v="0"/>
    <x v="0"/>
    <x v="0"/>
    <x v="0"/>
    <s v="DK1_Medium"/>
    <x v="4"/>
    <x v="2"/>
    <s v="GNR_ST_WOODCHI_BP_E-30"/>
    <x v="0"/>
    <x v="6"/>
    <n v="90.4"/>
    <n v="32996"/>
    <n v="118785.60000000001"/>
  </r>
  <r>
    <x v="0"/>
    <x v="0"/>
    <x v="0"/>
    <x v="0"/>
    <x v="0"/>
    <s v="DK1_Medium"/>
    <x v="4"/>
    <x v="2"/>
    <s v="GNR_ST_WOODCHI_BP_E-30"/>
    <x v="0"/>
    <x v="7"/>
    <n v="90.4"/>
    <n v="32996"/>
    <n v="118785.60000000001"/>
  </r>
  <r>
    <x v="0"/>
    <x v="0"/>
    <x v="0"/>
    <x v="0"/>
    <x v="0"/>
    <s v="DK1_Medium"/>
    <x v="4"/>
    <x v="2"/>
    <s v="GNR_ST_WOODCHI_BP_E-30"/>
    <x v="0"/>
    <x v="8"/>
    <n v="90.4"/>
    <n v="32996"/>
    <n v="118785.60000000001"/>
  </r>
  <r>
    <x v="0"/>
    <x v="0"/>
    <x v="0"/>
    <x v="0"/>
    <x v="0"/>
    <s v="DK1_Medium"/>
    <x v="4"/>
    <x v="2"/>
    <s v="GNR_ST_WOODCHI_BP_E-30"/>
    <x v="0"/>
    <x v="9"/>
    <n v="90.4"/>
    <n v="32996"/>
    <n v="118785.60000000001"/>
  </r>
  <r>
    <x v="0"/>
    <x v="0"/>
    <x v="0"/>
    <x v="0"/>
    <x v="0"/>
    <s v="DK1_Medium"/>
    <x v="4"/>
    <x v="2"/>
    <s v="GNR_ST_WOODCHI_BP_E-30"/>
    <x v="0"/>
    <x v="10"/>
    <n v="90.4"/>
    <n v="32996"/>
    <n v="118785.60000000001"/>
  </r>
  <r>
    <x v="0"/>
    <x v="0"/>
    <x v="0"/>
    <x v="0"/>
    <x v="0"/>
    <s v="DK1_Medium"/>
    <x v="4"/>
    <x v="2"/>
    <s v="GNR_ST_WOODCHI_BP_E-30"/>
    <x v="0"/>
    <x v="11"/>
    <n v="90.4"/>
    <n v="32996"/>
    <n v="118785.60000000001"/>
  </r>
  <r>
    <x v="0"/>
    <x v="0"/>
    <x v="0"/>
    <x v="0"/>
    <x v="0"/>
    <s v="DK1_Medium"/>
    <x v="4"/>
    <x v="2"/>
    <s v="GNR_ST_WOODCHI_BP_E-30"/>
    <x v="0"/>
    <x v="12"/>
    <n v="90.4"/>
    <n v="32996"/>
    <n v="118785.60000000001"/>
  </r>
  <r>
    <x v="0"/>
    <x v="0"/>
    <x v="0"/>
    <x v="0"/>
    <x v="0"/>
    <s v="DK1_Medium"/>
    <x v="4"/>
    <x v="2"/>
    <s v="GNR_ST_WOODCHI_BP_E-30"/>
    <x v="0"/>
    <x v="13"/>
    <n v="90.4"/>
    <n v="32996"/>
    <n v="118785.60000000001"/>
  </r>
  <r>
    <x v="0"/>
    <x v="0"/>
    <x v="0"/>
    <x v="0"/>
    <x v="0"/>
    <s v="DK1_Medium"/>
    <x v="4"/>
    <x v="2"/>
    <s v="GNR_ST_WOODCHI_BP_E-30"/>
    <x v="0"/>
    <x v="14"/>
    <n v="90.4"/>
    <n v="32996"/>
    <n v="118785.60000000001"/>
  </r>
  <r>
    <x v="0"/>
    <x v="0"/>
    <x v="0"/>
    <x v="0"/>
    <x v="0"/>
    <s v="DK1_Medium"/>
    <x v="4"/>
    <x v="2"/>
    <s v="GNR_ST_WOODCHI_BP_E-30"/>
    <x v="0"/>
    <x v="15"/>
    <n v="90.4"/>
    <n v="32996"/>
    <n v="118785.60000000001"/>
  </r>
  <r>
    <x v="0"/>
    <x v="0"/>
    <x v="0"/>
    <x v="0"/>
    <x v="0"/>
    <s v="DK1_Medium"/>
    <x v="4"/>
    <x v="2"/>
    <s v="GNR_ST_WOODCHI_BP_E-30"/>
    <x v="0"/>
    <x v="16"/>
    <n v="90.4"/>
    <n v="32996"/>
    <n v="118785.60000000001"/>
  </r>
  <r>
    <x v="0"/>
    <x v="0"/>
    <x v="0"/>
    <x v="0"/>
    <x v="0"/>
    <s v="DK1_Medium"/>
    <x v="4"/>
    <x v="2"/>
    <s v="GNR_ST_WOODCHI_BP_E-30"/>
    <x v="0"/>
    <x v="17"/>
    <n v="90.4"/>
    <n v="32996"/>
    <n v="118785.60000000001"/>
  </r>
  <r>
    <x v="0"/>
    <x v="0"/>
    <x v="0"/>
    <x v="0"/>
    <x v="0"/>
    <s v="DK1_Medium"/>
    <x v="4"/>
    <x v="2"/>
    <s v="GNR_ST_WOODCHI_BP_E-30"/>
    <x v="0"/>
    <x v="19"/>
    <n v="90.4"/>
    <n v="32996"/>
    <n v="118785.60000000001"/>
  </r>
  <r>
    <x v="0"/>
    <x v="0"/>
    <x v="0"/>
    <x v="0"/>
    <x v="0"/>
    <s v="DK1_Medium"/>
    <x v="4"/>
    <x v="2"/>
    <s v="GNR_ST_WOODCHI_BP_E-30"/>
    <x v="0"/>
    <x v="20"/>
    <n v="90.4"/>
    <n v="32996"/>
    <n v="118785.60000000001"/>
  </r>
  <r>
    <x v="0"/>
    <x v="0"/>
    <x v="0"/>
    <x v="0"/>
    <x v="0"/>
    <s v="DK1_Medium"/>
    <x v="4"/>
    <x v="2"/>
    <s v="GNR_ST_WOODCHI_BP_E-30"/>
    <x v="0"/>
    <x v="21"/>
    <n v="90.4"/>
    <n v="32996"/>
    <n v="118785.60000000001"/>
  </r>
  <r>
    <x v="0"/>
    <x v="0"/>
    <x v="0"/>
    <x v="0"/>
    <x v="0"/>
    <s v="DK1_Medium"/>
    <x v="4"/>
    <x v="2"/>
    <s v="GNR_ST_WOODCHI_BP_E-30"/>
    <x v="0"/>
    <x v="22"/>
    <n v="90.4"/>
    <n v="32996"/>
    <n v="118785.60000000001"/>
  </r>
  <r>
    <x v="0"/>
    <x v="0"/>
    <x v="0"/>
    <x v="0"/>
    <x v="0"/>
    <s v="DK1_Medium"/>
    <x v="4"/>
    <x v="2"/>
    <s v="GNR_ST_WOODCHI_BP_E-30"/>
    <x v="0"/>
    <x v="23"/>
    <n v="90.4"/>
    <n v="32996"/>
    <n v="118785.60000000001"/>
  </r>
  <r>
    <x v="0"/>
    <x v="0"/>
    <x v="0"/>
    <x v="0"/>
    <x v="0"/>
    <s v="DK1_NoDH"/>
    <x v="5"/>
    <x v="3"/>
    <s v="GNR_PV_SUN"/>
    <x v="0"/>
    <x v="7"/>
    <n v="11.5255572480597"/>
    <n v="4206.8283955417901"/>
    <n v="15144.5822239504"/>
  </r>
  <r>
    <x v="0"/>
    <x v="0"/>
    <x v="0"/>
    <x v="0"/>
    <x v="0"/>
    <s v="DK1_NoDH"/>
    <x v="5"/>
    <x v="3"/>
    <s v="GNR_PV_SUN"/>
    <x v="0"/>
    <x v="8"/>
    <n v="86.766759180264799"/>
    <n v="31669.867100796699"/>
    <n v="114011.521562868"/>
  </r>
  <r>
    <x v="0"/>
    <x v="0"/>
    <x v="0"/>
    <x v="0"/>
    <x v="0"/>
    <s v="DK1_NoDH"/>
    <x v="5"/>
    <x v="3"/>
    <s v="GNR_PV_SUN"/>
    <x v="0"/>
    <x v="9"/>
    <n v="200.426485272669"/>
    <n v="73155.667124524203"/>
    <n v="263360.40164828702"/>
  </r>
  <r>
    <x v="0"/>
    <x v="0"/>
    <x v="0"/>
    <x v="0"/>
    <x v="0"/>
    <s v="DK1_NoDH"/>
    <x v="5"/>
    <x v="3"/>
    <s v="GNR_PV_SUN"/>
    <x v="0"/>
    <x v="10"/>
    <n v="305.22039809733502"/>
    <n v="111405.445305527"/>
    <n v="401059.60309989803"/>
  </r>
  <r>
    <x v="0"/>
    <x v="0"/>
    <x v="0"/>
    <x v="0"/>
    <x v="0"/>
    <s v="DK1_NoDH"/>
    <x v="5"/>
    <x v="3"/>
    <s v="GNR_PV_SUN"/>
    <x v="0"/>
    <x v="11"/>
    <n v="347.00793129927399"/>
    <n v="126657.89492423501"/>
    <n v="455968.42172724602"/>
  </r>
  <r>
    <x v="0"/>
    <x v="0"/>
    <x v="0"/>
    <x v="0"/>
    <x v="0"/>
    <s v="DK1_NoDH"/>
    <x v="5"/>
    <x v="3"/>
    <s v="GNR_PV_SUN"/>
    <x v="0"/>
    <x v="12"/>
    <n v="301.73317821202397"/>
    <n v="110132.610047389"/>
    <n v="396477.39617060003"/>
  </r>
  <r>
    <x v="0"/>
    <x v="0"/>
    <x v="0"/>
    <x v="0"/>
    <x v="0"/>
    <s v="DK1_NoDH"/>
    <x v="5"/>
    <x v="3"/>
    <s v="GNR_PV_SUN"/>
    <x v="0"/>
    <x v="13"/>
    <n v="196.348211169509"/>
    <n v="71667.097076870894"/>
    <n v="258001.549476735"/>
  </r>
  <r>
    <x v="0"/>
    <x v="0"/>
    <x v="0"/>
    <x v="0"/>
    <x v="0"/>
    <s v="DK1_NoDH"/>
    <x v="5"/>
    <x v="3"/>
    <s v="GNR_PV_SUN"/>
    <x v="0"/>
    <x v="14"/>
    <n v="99.415319442238001"/>
    <n v="36286.591596416903"/>
    <n v="130631.729747101"/>
  </r>
  <r>
    <x v="0"/>
    <x v="0"/>
    <x v="0"/>
    <x v="0"/>
    <x v="0"/>
    <s v="DK1_NoDH"/>
    <x v="5"/>
    <x v="3"/>
    <s v="GNR_PV_SUN"/>
    <x v="0"/>
    <x v="15"/>
    <n v="12.944087370897799"/>
    <n v="4724.5918903777001"/>
    <n v="17008.5308053597"/>
  </r>
  <r>
    <x v="0"/>
    <x v="0"/>
    <x v="0"/>
    <x v="0"/>
    <x v="0"/>
    <s v="DK1_NoDH"/>
    <x v="6"/>
    <x v="4"/>
    <s v="GNR_ROR_WTR"/>
    <x v="0"/>
    <x v="0"/>
    <n v="3.81847406923176"/>
    <n v="1393.7430352695901"/>
    <n v="5017.4749269705299"/>
  </r>
  <r>
    <x v="0"/>
    <x v="0"/>
    <x v="0"/>
    <x v="0"/>
    <x v="0"/>
    <s v="DK1_NoDH"/>
    <x v="6"/>
    <x v="4"/>
    <s v="GNR_ROR_WTR"/>
    <x v="0"/>
    <x v="1"/>
    <n v="3.81847406923176"/>
    <n v="1393.7430352695901"/>
    <n v="5017.4749269705299"/>
  </r>
  <r>
    <x v="0"/>
    <x v="0"/>
    <x v="0"/>
    <x v="0"/>
    <x v="0"/>
    <s v="DK1_NoDH"/>
    <x v="6"/>
    <x v="4"/>
    <s v="GNR_ROR_WTR"/>
    <x v="0"/>
    <x v="18"/>
    <n v="3.81847406923176"/>
    <n v="1393.7430352695901"/>
    <n v="5017.4749269705299"/>
  </r>
  <r>
    <x v="0"/>
    <x v="0"/>
    <x v="0"/>
    <x v="0"/>
    <x v="0"/>
    <s v="DK1_NoDH"/>
    <x v="6"/>
    <x v="4"/>
    <s v="GNR_ROR_WTR"/>
    <x v="0"/>
    <x v="2"/>
    <n v="3.81847406923176"/>
    <n v="1393.7430352695901"/>
    <n v="5017.4749269705299"/>
  </r>
  <r>
    <x v="0"/>
    <x v="0"/>
    <x v="0"/>
    <x v="0"/>
    <x v="0"/>
    <s v="DK1_NoDH"/>
    <x v="6"/>
    <x v="4"/>
    <s v="GNR_ROR_WTR"/>
    <x v="0"/>
    <x v="3"/>
    <n v="3.81847406923176"/>
    <n v="1393.7430352695901"/>
    <n v="5017.4749269705299"/>
  </r>
  <r>
    <x v="0"/>
    <x v="0"/>
    <x v="0"/>
    <x v="0"/>
    <x v="0"/>
    <s v="DK1_NoDH"/>
    <x v="6"/>
    <x v="4"/>
    <s v="GNR_ROR_WTR"/>
    <x v="0"/>
    <x v="4"/>
    <n v="3.81847406923176"/>
    <n v="1393.7430352695901"/>
    <n v="5017.4749269705299"/>
  </r>
  <r>
    <x v="0"/>
    <x v="0"/>
    <x v="0"/>
    <x v="0"/>
    <x v="0"/>
    <s v="DK1_NoDH"/>
    <x v="6"/>
    <x v="4"/>
    <s v="GNR_ROR_WTR"/>
    <x v="0"/>
    <x v="5"/>
    <n v="3.81847406923176"/>
    <n v="1393.7430352695901"/>
    <n v="5017.4749269705299"/>
  </r>
  <r>
    <x v="0"/>
    <x v="0"/>
    <x v="0"/>
    <x v="0"/>
    <x v="0"/>
    <s v="DK1_NoDH"/>
    <x v="6"/>
    <x v="4"/>
    <s v="GNR_ROR_WTR"/>
    <x v="0"/>
    <x v="6"/>
    <n v="3.81847406923176"/>
    <n v="1393.7430352695901"/>
    <n v="5017.4749269705299"/>
  </r>
  <r>
    <x v="0"/>
    <x v="0"/>
    <x v="0"/>
    <x v="0"/>
    <x v="0"/>
    <s v="DK1_NoDH"/>
    <x v="6"/>
    <x v="4"/>
    <s v="GNR_ROR_WTR"/>
    <x v="0"/>
    <x v="7"/>
    <n v="3.81847406923176"/>
    <n v="1393.7430352695901"/>
    <n v="5017.4749269705299"/>
  </r>
  <r>
    <x v="0"/>
    <x v="0"/>
    <x v="0"/>
    <x v="0"/>
    <x v="0"/>
    <s v="DK1_NoDH"/>
    <x v="6"/>
    <x v="4"/>
    <s v="GNR_ROR_WTR"/>
    <x v="0"/>
    <x v="8"/>
    <n v="3.81847406923176"/>
    <n v="1393.7430352695901"/>
    <n v="5017.4749269705299"/>
  </r>
  <r>
    <x v="0"/>
    <x v="0"/>
    <x v="0"/>
    <x v="0"/>
    <x v="0"/>
    <s v="DK1_NoDH"/>
    <x v="6"/>
    <x v="4"/>
    <s v="GNR_ROR_WTR"/>
    <x v="0"/>
    <x v="9"/>
    <n v="3.81847406923176"/>
    <n v="1393.7430352695901"/>
    <n v="5017.4749269705299"/>
  </r>
  <r>
    <x v="0"/>
    <x v="0"/>
    <x v="0"/>
    <x v="0"/>
    <x v="0"/>
    <s v="DK1_NoDH"/>
    <x v="6"/>
    <x v="4"/>
    <s v="GNR_ROR_WTR"/>
    <x v="0"/>
    <x v="10"/>
    <n v="3.81847406923176"/>
    <n v="1393.7430352695901"/>
    <n v="5017.4749269705299"/>
  </r>
  <r>
    <x v="0"/>
    <x v="0"/>
    <x v="0"/>
    <x v="0"/>
    <x v="0"/>
    <s v="DK1_NoDH"/>
    <x v="6"/>
    <x v="4"/>
    <s v="GNR_ROR_WTR"/>
    <x v="0"/>
    <x v="11"/>
    <n v="3.81847406923176"/>
    <n v="1393.7430352695901"/>
    <n v="5017.4749269705299"/>
  </r>
  <r>
    <x v="0"/>
    <x v="0"/>
    <x v="0"/>
    <x v="0"/>
    <x v="0"/>
    <s v="DK1_NoDH"/>
    <x v="6"/>
    <x v="4"/>
    <s v="GNR_ROR_WTR"/>
    <x v="0"/>
    <x v="12"/>
    <n v="3.81847406923176"/>
    <n v="1393.7430352695901"/>
    <n v="5017.4749269705299"/>
  </r>
  <r>
    <x v="0"/>
    <x v="0"/>
    <x v="0"/>
    <x v="0"/>
    <x v="0"/>
    <s v="DK1_NoDH"/>
    <x v="6"/>
    <x v="4"/>
    <s v="GNR_ROR_WTR"/>
    <x v="0"/>
    <x v="13"/>
    <n v="3.81847406923176"/>
    <n v="1393.7430352695901"/>
    <n v="5017.4749269705299"/>
  </r>
  <r>
    <x v="0"/>
    <x v="0"/>
    <x v="0"/>
    <x v="0"/>
    <x v="0"/>
    <s v="DK1_NoDH"/>
    <x v="6"/>
    <x v="4"/>
    <s v="GNR_ROR_WTR"/>
    <x v="0"/>
    <x v="14"/>
    <n v="3.81847406923176"/>
    <n v="1393.7430352695901"/>
    <n v="5017.4749269705299"/>
  </r>
  <r>
    <x v="0"/>
    <x v="0"/>
    <x v="0"/>
    <x v="0"/>
    <x v="0"/>
    <s v="DK1_NoDH"/>
    <x v="6"/>
    <x v="4"/>
    <s v="GNR_ROR_WTR"/>
    <x v="0"/>
    <x v="15"/>
    <n v="3.81847406923176"/>
    <n v="1393.7430352695901"/>
    <n v="5017.4749269705299"/>
  </r>
  <r>
    <x v="0"/>
    <x v="0"/>
    <x v="0"/>
    <x v="0"/>
    <x v="0"/>
    <s v="DK1_NoDH"/>
    <x v="6"/>
    <x v="4"/>
    <s v="GNR_ROR_WTR"/>
    <x v="0"/>
    <x v="16"/>
    <n v="3.81847406923176"/>
    <n v="1393.7430352695901"/>
    <n v="5017.4749269705299"/>
  </r>
  <r>
    <x v="0"/>
    <x v="0"/>
    <x v="0"/>
    <x v="0"/>
    <x v="0"/>
    <s v="DK1_NoDH"/>
    <x v="6"/>
    <x v="4"/>
    <s v="GNR_ROR_WTR"/>
    <x v="0"/>
    <x v="17"/>
    <n v="3.81847406923176"/>
    <n v="1393.7430352695901"/>
    <n v="5017.4749269705299"/>
  </r>
  <r>
    <x v="0"/>
    <x v="0"/>
    <x v="0"/>
    <x v="0"/>
    <x v="0"/>
    <s v="DK1_NoDH"/>
    <x v="6"/>
    <x v="4"/>
    <s v="GNR_ROR_WTR"/>
    <x v="0"/>
    <x v="19"/>
    <n v="3.81847406923176"/>
    <n v="1393.7430352695901"/>
    <n v="5017.4749269705299"/>
  </r>
  <r>
    <x v="0"/>
    <x v="0"/>
    <x v="0"/>
    <x v="0"/>
    <x v="0"/>
    <s v="DK1_NoDH"/>
    <x v="6"/>
    <x v="4"/>
    <s v="GNR_ROR_WTR"/>
    <x v="0"/>
    <x v="20"/>
    <n v="3.81847406923176"/>
    <n v="1393.7430352695901"/>
    <n v="5017.4749269705299"/>
  </r>
  <r>
    <x v="0"/>
    <x v="0"/>
    <x v="0"/>
    <x v="0"/>
    <x v="0"/>
    <s v="DK1_NoDH"/>
    <x v="6"/>
    <x v="4"/>
    <s v="GNR_ROR_WTR"/>
    <x v="0"/>
    <x v="21"/>
    <n v="3.81847406923176"/>
    <n v="1393.7430352695901"/>
    <n v="5017.4749269705299"/>
  </r>
  <r>
    <x v="0"/>
    <x v="0"/>
    <x v="0"/>
    <x v="0"/>
    <x v="0"/>
    <s v="DK1_NoDH"/>
    <x v="6"/>
    <x v="4"/>
    <s v="GNR_ROR_WTR"/>
    <x v="0"/>
    <x v="22"/>
    <n v="3.81847406923176"/>
    <n v="1393.7430352695901"/>
    <n v="5017.4749269705299"/>
  </r>
  <r>
    <x v="0"/>
    <x v="0"/>
    <x v="0"/>
    <x v="0"/>
    <x v="0"/>
    <s v="DK1_NoDH"/>
    <x v="6"/>
    <x v="4"/>
    <s v="GNR_ROR_WTR"/>
    <x v="0"/>
    <x v="23"/>
    <n v="3.81847406923176"/>
    <n v="1393.7430352695901"/>
    <n v="5017.4749269705299"/>
  </r>
  <r>
    <x v="0"/>
    <x v="0"/>
    <x v="0"/>
    <x v="0"/>
    <x v="0"/>
    <s v="DK1_NoDH"/>
    <x v="7"/>
    <x v="5"/>
    <s v="GNR_WT_WIND_ONS"/>
    <x v="0"/>
    <x v="0"/>
    <n v="30.762561377727302"/>
    <n v="11228.3349028705"/>
    <n v="40422.005650333696"/>
  </r>
  <r>
    <x v="0"/>
    <x v="0"/>
    <x v="0"/>
    <x v="0"/>
    <x v="0"/>
    <s v="DK1_NoDH"/>
    <x v="7"/>
    <x v="5"/>
    <s v="GNR_WT_WIND_ONS"/>
    <x v="0"/>
    <x v="1"/>
    <n v="28.087556040533599"/>
    <n v="10251.9579547948"/>
    <n v="36907.048637261199"/>
  </r>
  <r>
    <x v="0"/>
    <x v="0"/>
    <x v="0"/>
    <x v="0"/>
    <x v="0"/>
    <s v="DK1_NoDH"/>
    <x v="7"/>
    <x v="5"/>
    <s v="GNR_WT_WIND_ONS"/>
    <x v="0"/>
    <x v="18"/>
    <n v="13.3750266859684"/>
    <n v="4881.8847403784603"/>
    <n v="17574.785065362499"/>
  </r>
  <r>
    <x v="0"/>
    <x v="0"/>
    <x v="0"/>
    <x v="0"/>
    <x v="0"/>
    <s v="DK1_NoDH"/>
    <x v="7"/>
    <x v="5"/>
    <s v="GNR_WT_WIND_ONS"/>
    <x v="0"/>
    <x v="2"/>
    <n v="14.7125293545652"/>
    <n v="5370.0732144163103"/>
    <n v="19332.2635718987"/>
  </r>
  <r>
    <x v="0"/>
    <x v="0"/>
    <x v="0"/>
    <x v="0"/>
    <x v="0"/>
    <s v="DK1_NoDH"/>
    <x v="7"/>
    <x v="5"/>
    <s v="GNR_WT_WIND_ONS"/>
    <x v="0"/>
    <x v="3"/>
    <n v="26.750053371936801"/>
    <n v="9763.7694807569205"/>
    <n v="35149.570130724896"/>
  </r>
  <r>
    <x v="0"/>
    <x v="0"/>
    <x v="0"/>
    <x v="0"/>
    <x v="0"/>
    <s v="DK1_NoDH"/>
    <x v="7"/>
    <x v="5"/>
    <s v="GNR_WT_WIND_ONS"/>
    <x v="0"/>
    <x v="4"/>
    <n v="46.812593400889398"/>
    <n v="17086.5965913246"/>
    <n v="61511.747728768598"/>
  </r>
  <r>
    <x v="0"/>
    <x v="0"/>
    <x v="0"/>
    <x v="0"/>
    <x v="0"/>
    <s v="DK1_NoDH"/>
    <x v="7"/>
    <x v="5"/>
    <s v="GNR_WT_WIND_ONS"/>
    <x v="0"/>
    <x v="5"/>
    <n v="94.962689470375594"/>
    <n v="34661.381656687103"/>
    <n v="124780.973964073"/>
  </r>
  <r>
    <x v="0"/>
    <x v="0"/>
    <x v="0"/>
    <x v="0"/>
    <x v="0"/>
    <s v="DK1_NoDH"/>
    <x v="7"/>
    <x v="5"/>
    <s v="GNR_WT_WIND_ONS"/>
    <x v="0"/>
    <x v="6"/>
    <n v="197.950394952332"/>
    <n v="72251.8941576012"/>
    <n v="260106.818967364"/>
  </r>
  <r>
    <x v="0"/>
    <x v="0"/>
    <x v="0"/>
    <x v="0"/>
    <x v="0"/>
    <s v="DK1_NoDH"/>
    <x v="7"/>
    <x v="5"/>
    <s v="GNR_WT_WIND_ONS"/>
    <x v="0"/>
    <x v="7"/>
    <n v="327.68815380622601"/>
    <n v="119606.17613927199"/>
    <n v="430582.23410137999"/>
  </r>
  <r>
    <x v="0"/>
    <x v="0"/>
    <x v="0"/>
    <x v="0"/>
    <x v="0"/>
    <s v="DK1_NoDH"/>
    <x v="7"/>
    <x v="5"/>
    <s v="GNR_WT_WIND_ONS"/>
    <x v="0"/>
    <x v="8"/>
    <n v="484.17596603205601"/>
    <n v="176724.2276017"/>
    <n v="636207.21936612099"/>
  </r>
  <r>
    <x v="0"/>
    <x v="0"/>
    <x v="0"/>
    <x v="0"/>
    <x v="0"/>
    <s v="DK1_NoDH"/>
    <x v="7"/>
    <x v="5"/>
    <s v="GNR_WT_WIND_ONS"/>
    <x v="0"/>
    <x v="9"/>
    <n v="643.33878359507901"/>
    <n v="234818.65601220401"/>
    <n v="845347.16164393397"/>
  </r>
  <r>
    <x v="0"/>
    <x v="0"/>
    <x v="0"/>
    <x v="0"/>
    <x v="0"/>
    <s v="DK1_NoDH"/>
    <x v="7"/>
    <x v="5"/>
    <s v="GNR_WT_WIND_ONS"/>
    <x v="0"/>
    <x v="10"/>
    <n v="787.78907180353804"/>
    <n v="287543.01120829099"/>
    <n v="1035154.84034985"/>
  </r>
  <r>
    <x v="0"/>
    <x v="0"/>
    <x v="0"/>
    <x v="0"/>
    <x v="0"/>
    <s v="DK1_NoDH"/>
    <x v="7"/>
    <x v="5"/>
    <s v="GNR_WT_WIND_ONS"/>
    <x v="0"/>
    <x v="11"/>
    <n v="872.05173992513903"/>
    <n v="318298.885072676"/>
    <n v="1145875.98626163"/>
  </r>
  <r>
    <x v="0"/>
    <x v="0"/>
    <x v="0"/>
    <x v="0"/>
    <x v="0"/>
    <s v="DK1_NoDH"/>
    <x v="7"/>
    <x v="5"/>
    <s v="GNR_WT_WIND_ONS"/>
    <x v="0"/>
    <x v="12"/>
    <n v="1031.2145574881599"/>
    <n v="376393.31348317902"/>
    <n v="1355015.92853945"/>
  </r>
  <r>
    <x v="0"/>
    <x v="0"/>
    <x v="0"/>
    <x v="0"/>
    <x v="0"/>
    <s v="DK1_NoDH"/>
    <x v="7"/>
    <x v="5"/>
    <s v="GNR_WT_WIND_ONS"/>
    <x v="0"/>
    <x v="13"/>
    <n v="1172.98984035943"/>
    <n v="428141.29173119098"/>
    <n v="1541308.6502322899"/>
  </r>
  <r>
    <x v="0"/>
    <x v="0"/>
    <x v="0"/>
    <x v="0"/>
    <x v="0"/>
    <s v="DK1_NoDH"/>
    <x v="7"/>
    <x v="5"/>
    <s v="GNR_WT_WIND_ONS"/>
    <x v="0"/>
    <x v="14"/>
    <n v="1404.37780202668"/>
    <n v="512597.89773973898"/>
    <n v="1845352.43186306"/>
  </r>
  <r>
    <x v="0"/>
    <x v="0"/>
    <x v="0"/>
    <x v="0"/>
    <x v="0"/>
    <s v="DK1_NoDH"/>
    <x v="7"/>
    <x v="5"/>
    <s v="GNR_WT_WIND_ONS"/>
    <x v="0"/>
    <x v="15"/>
    <n v="1746.7784851874701"/>
    <n v="637574.14709342702"/>
    <n v="2295266.9295363398"/>
  </r>
  <r>
    <x v="0"/>
    <x v="0"/>
    <x v="0"/>
    <x v="0"/>
    <x v="0"/>
    <s v="DK1_NoDH"/>
    <x v="7"/>
    <x v="5"/>
    <s v="GNR_WT_WIND_ONS"/>
    <x v="0"/>
    <x v="16"/>
    <n v="2201.5293925104002"/>
    <n v="803558.22826629505"/>
    <n v="2892809.6217586598"/>
  </r>
  <r>
    <x v="0"/>
    <x v="0"/>
    <x v="0"/>
    <x v="0"/>
    <x v="0"/>
    <s v="DK1_NoDH"/>
    <x v="7"/>
    <x v="5"/>
    <s v="GNR_WT_WIND_ONS"/>
    <x v="0"/>
    <x v="17"/>
    <n v="2720.4804279259702"/>
    <n v="992975.35619297903"/>
    <n v="3574711.2822947302"/>
  </r>
  <r>
    <x v="0"/>
    <x v="0"/>
    <x v="0"/>
    <x v="0"/>
    <x v="0"/>
    <s v="DK1_NoDH"/>
    <x v="7"/>
    <x v="5"/>
    <s v="GNR_WT_WIND_ONS"/>
    <x v="0"/>
    <x v="19"/>
    <n v="2931.8058495642699"/>
    <n v="1070109.13509096"/>
    <n v="3852392.8863274502"/>
  </r>
  <r>
    <x v="0"/>
    <x v="0"/>
    <x v="0"/>
    <x v="0"/>
    <x v="0"/>
    <s v="DK1_NoDH"/>
    <x v="7"/>
    <x v="5"/>
    <s v="GNR_WT_WIND_ONS"/>
    <x v="0"/>
    <x v="20"/>
    <n v="2894.3557748435601"/>
    <n v="1056439.8578178999"/>
    <n v="3803183.4881444401"/>
  </r>
  <r>
    <x v="0"/>
    <x v="0"/>
    <x v="0"/>
    <x v="0"/>
    <x v="0"/>
    <s v="DK1_NoDH"/>
    <x v="7"/>
    <x v="5"/>
    <s v="GNR_WT_WIND_ONS"/>
    <x v="0"/>
    <x v="21"/>
    <n v="2910.40580686672"/>
    <n v="1062298.11950635"/>
    <n v="3824273.2302228701"/>
  </r>
  <r>
    <x v="0"/>
    <x v="0"/>
    <x v="0"/>
    <x v="0"/>
    <x v="0"/>
    <s v="DK1_NoDH"/>
    <x v="7"/>
    <x v="5"/>
    <s v="GNR_WT_WIND_ONS"/>
    <x v="0"/>
    <x v="22"/>
    <n v="2982.6309509709499"/>
    <n v="1088660.2971043999"/>
    <n v="3919177.0695758299"/>
  </r>
  <r>
    <x v="0"/>
    <x v="0"/>
    <x v="0"/>
    <x v="0"/>
    <x v="0"/>
    <s v="DK1_NoDH"/>
    <x v="7"/>
    <x v="5"/>
    <s v="GNR_WT_WIND_ONS"/>
    <x v="0"/>
    <x v="23"/>
    <n v="3001.3559883313101"/>
    <n v="1095494.93574093"/>
    <n v="3943781.7686673398"/>
  </r>
  <r>
    <x v="0"/>
    <x v="0"/>
    <x v="0"/>
    <x v="0"/>
    <x v="0"/>
    <s v="DK1_Offshore"/>
    <x v="7"/>
    <x v="5"/>
    <s v="GNR_WT_WIND_OFF"/>
    <x v="0"/>
    <x v="0"/>
    <n v="10.826956579742401"/>
    <n v="3951.8391516059701"/>
    <n v="14226.6209457815"/>
  </r>
  <r>
    <x v="0"/>
    <x v="0"/>
    <x v="0"/>
    <x v="0"/>
    <x v="0"/>
    <s v="DK1_Offshore"/>
    <x v="7"/>
    <x v="5"/>
    <s v="GNR_WT_WIND_OFF"/>
    <x v="0"/>
    <x v="1"/>
    <n v="9.88548209454739"/>
    <n v="3608.2009645098001"/>
    <n v="12989.5234722353"/>
  </r>
  <r>
    <x v="0"/>
    <x v="0"/>
    <x v="0"/>
    <x v="0"/>
    <x v="0"/>
    <s v="DK1_Offshore"/>
    <x v="7"/>
    <x v="5"/>
    <s v="GNR_WT_WIND_OFF"/>
    <x v="0"/>
    <x v="18"/>
    <n v="4.7073724259749499"/>
    <n v="1718.1909354808599"/>
    <n v="6185.4873677310798"/>
  </r>
  <r>
    <x v="0"/>
    <x v="0"/>
    <x v="0"/>
    <x v="0"/>
    <x v="0"/>
    <s v="DK1_Offshore"/>
    <x v="7"/>
    <x v="5"/>
    <s v="GNR_WT_WIND_OFF"/>
    <x v="0"/>
    <x v="2"/>
    <n v="5.1781096685724401"/>
    <n v="1890.0100290289399"/>
    <n v="6804.03610450419"/>
  </r>
  <r>
    <x v="0"/>
    <x v="0"/>
    <x v="0"/>
    <x v="0"/>
    <x v="0"/>
    <s v="DK1_Offshore"/>
    <x v="7"/>
    <x v="5"/>
    <s v="GNR_WT_WIND_OFF"/>
    <x v="0"/>
    <x v="3"/>
    <n v="9.4147448519498997"/>
    <n v="3436.3818709617099"/>
    <n v="12370.9747354622"/>
  </r>
  <r>
    <x v="0"/>
    <x v="0"/>
    <x v="0"/>
    <x v="0"/>
    <x v="0"/>
    <s v="DK1_Offshore"/>
    <x v="7"/>
    <x v="5"/>
    <s v="GNR_WT_WIND_OFF"/>
    <x v="0"/>
    <x v="4"/>
    <n v="16.475803490912298"/>
    <n v="6013.668274183"/>
    <n v="21649.2057870588"/>
  </r>
  <r>
    <x v="0"/>
    <x v="0"/>
    <x v="0"/>
    <x v="0"/>
    <x v="0"/>
    <s v="DK1_Offshore"/>
    <x v="7"/>
    <x v="5"/>
    <s v="GNR_WT_WIND_OFF"/>
    <x v="0"/>
    <x v="5"/>
    <n v="33.422344224422098"/>
    <n v="12199.1556419141"/>
    <n v="43916.960310890703"/>
  </r>
  <r>
    <x v="0"/>
    <x v="0"/>
    <x v="0"/>
    <x v="0"/>
    <x v="0"/>
    <s v="DK1_Offshore"/>
    <x v="7"/>
    <x v="5"/>
    <s v="GNR_WT_WIND_OFF"/>
    <x v="0"/>
    <x v="6"/>
    <n v="69.669111904429201"/>
    <n v="25429.2258451167"/>
    <n v="91545.21304242"/>
  </r>
  <r>
    <x v="0"/>
    <x v="0"/>
    <x v="0"/>
    <x v="0"/>
    <x v="0"/>
    <s v="DK1_Offshore"/>
    <x v="7"/>
    <x v="5"/>
    <s v="GNR_WT_WIND_OFF"/>
    <x v="0"/>
    <x v="7"/>
    <n v="115.330624436386"/>
    <n v="42095.677919280999"/>
    <n v="151544.440509412"/>
  </r>
  <r>
    <x v="0"/>
    <x v="0"/>
    <x v="0"/>
    <x v="0"/>
    <x v="0"/>
    <s v="DK1_Offshore"/>
    <x v="7"/>
    <x v="5"/>
    <s v="GNR_WT_WIND_OFF"/>
    <x v="0"/>
    <x v="8"/>
    <n v="170.40688182029299"/>
    <n v="62198.511864407003"/>
    <n v="223914.64271186499"/>
  </r>
  <r>
    <x v="0"/>
    <x v="0"/>
    <x v="0"/>
    <x v="0"/>
    <x v="0"/>
    <s v="DK1_Offshore"/>
    <x v="7"/>
    <x v="5"/>
    <s v="GNR_WT_WIND_OFF"/>
    <x v="0"/>
    <x v="9"/>
    <n v="226.42461368939499"/>
    <n v="82644.983996629206"/>
    <n v="297521.94238786498"/>
  </r>
  <r>
    <x v="0"/>
    <x v="0"/>
    <x v="0"/>
    <x v="0"/>
    <x v="0"/>
    <s v="DK1_Offshore"/>
    <x v="7"/>
    <x v="5"/>
    <s v="GNR_WT_WIND_OFF"/>
    <x v="0"/>
    <x v="10"/>
    <n v="277.26423588992498"/>
    <n v="101201.446099822"/>
    <n v="364325.20595936099"/>
  </r>
  <r>
    <x v="0"/>
    <x v="0"/>
    <x v="0"/>
    <x v="0"/>
    <x v="0"/>
    <s v="DK1_Offshore"/>
    <x v="7"/>
    <x v="5"/>
    <s v="GNR_WT_WIND_OFF"/>
    <x v="0"/>
    <x v="11"/>
    <n v="306.920682173567"/>
    <n v="112026.048993352"/>
    <n v="403293.77637606702"/>
  </r>
  <r>
    <x v="0"/>
    <x v="0"/>
    <x v="0"/>
    <x v="0"/>
    <x v="0"/>
    <s v="DK1_Offshore"/>
    <x v="7"/>
    <x v="5"/>
    <s v="GNR_WT_WIND_OFF"/>
    <x v="0"/>
    <x v="12"/>
    <n v="362.93841404266902"/>
    <n v="132472.52112557401"/>
    <n v="476901.076052066"/>
  </r>
  <r>
    <x v="0"/>
    <x v="0"/>
    <x v="0"/>
    <x v="0"/>
    <x v="0"/>
    <s v="DK1_Offshore"/>
    <x v="7"/>
    <x v="5"/>
    <s v="GNR_WT_WIND_OFF"/>
    <x v="0"/>
    <x v="13"/>
    <n v="412.83656175800297"/>
    <n v="150685.34504167101"/>
    <n v="542467.24215001601"/>
  </r>
  <r>
    <x v="0"/>
    <x v="0"/>
    <x v="0"/>
    <x v="0"/>
    <x v="0"/>
    <s v="DK1_Offshore"/>
    <x v="7"/>
    <x v="5"/>
    <s v="GNR_WT_WIND_OFF"/>
    <x v="0"/>
    <x v="14"/>
    <n v="494.27410472737"/>
    <n v="180410.04822549"/>
    <n v="649476.17361176398"/>
  </r>
  <r>
    <x v="0"/>
    <x v="0"/>
    <x v="0"/>
    <x v="0"/>
    <x v="0"/>
    <s v="DK1_Offshore"/>
    <x v="7"/>
    <x v="5"/>
    <s v="GNR_WT_WIND_OFF"/>
    <x v="0"/>
    <x v="15"/>
    <n v="614.78283883232803"/>
    <n v="224395.73617379999"/>
    <n v="807824.65022567997"/>
  </r>
  <r>
    <x v="0"/>
    <x v="0"/>
    <x v="0"/>
    <x v="0"/>
    <x v="0"/>
    <s v="DK1_Offshore"/>
    <x v="7"/>
    <x v="5"/>
    <s v="GNR_WT_WIND_OFF"/>
    <x v="0"/>
    <x v="16"/>
    <n v="774.83350131547695"/>
    <n v="282814.22798014898"/>
    <n v="1018131.22072854"/>
  </r>
  <r>
    <x v="0"/>
    <x v="0"/>
    <x v="0"/>
    <x v="0"/>
    <x v="0"/>
    <s v="DK1_Offshore"/>
    <x v="7"/>
    <x v="5"/>
    <s v="GNR_WT_WIND_OFF"/>
    <x v="0"/>
    <x v="17"/>
    <n v="957.47955144330501"/>
    <n v="349480.03627680597"/>
    <n v="1258128.1305964999"/>
  </r>
  <r>
    <x v="0"/>
    <x v="0"/>
    <x v="0"/>
    <x v="0"/>
    <x v="0"/>
    <s v="DK1_Offshore"/>
    <x v="7"/>
    <x v="5"/>
    <s v="GNR_WT_WIND_OFF"/>
    <x v="0"/>
    <x v="19"/>
    <n v="1031.8560357737099"/>
    <n v="376627.45305740403"/>
    <n v="1355858.8310066501"/>
  </r>
  <r>
    <x v="0"/>
    <x v="0"/>
    <x v="0"/>
    <x v="0"/>
    <x v="0"/>
    <s v="DK1_Offshore"/>
    <x v="7"/>
    <x v="5"/>
    <s v="GNR_WT_WIND_OFF"/>
    <x v="0"/>
    <x v="20"/>
    <n v="1018.67539298098"/>
    <n v="371816.51843805698"/>
    <n v="1338539.4663770101"/>
  </r>
  <r>
    <x v="0"/>
    <x v="0"/>
    <x v="0"/>
    <x v="0"/>
    <x v="0"/>
    <s v="DK1_Offshore"/>
    <x v="7"/>
    <x v="5"/>
    <s v="GNR_WT_WIND_OFF"/>
    <x v="0"/>
    <x v="21"/>
    <n v="1024.32423989215"/>
    <n v="373878.34756063402"/>
    <n v="1345962.0512182801"/>
  </r>
  <r>
    <x v="0"/>
    <x v="0"/>
    <x v="0"/>
    <x v="0"/>
    <x v="0"/>
    <s v="DK1_Offshore"/>
    <x v="7"/>
    <x v="5"/>
    <s v="GNR_WT_WIND_OFF"/>
    <x v="0"/>
    <x v="22"/>
    <n v="1049.7440509924099"/>
    <n v="383156.57861223101"/>
    <n v="1379363.68300403"/>
  </r>
  <r>
    <x v="0"/>
    <x v="0"/>
    <x v="0"/>
    <x v="0"/>
    <x v="0"/>
    <s v="DK1_Offshore"/>
    <x v="7"/>
    <x v="5"/>
    <s v="GNR_WT_WIND_OFF"/>
    <x v="0"/>
    <x v="23"/>
    <n v="1056.3343723887799"/>
    <n v="385562.04592190398"/>
    <n v="1388023.3653188599"/>
  </r>
  <r>
    <x v="0"/>
    <x v="0"/>
    <x v="0"/>
    <x v="0"/>
    <x v="0"/>
    <s v="DK1_Rural"/>
    <x v="1"/>
    <x v="1"/>
    <s v="GNR_HP_ELEC_COP-300"/>
    <x v="0"/>
    <x v="0"/>
    <n v="-0.5"/>
    <n v="-182.5"/>
    <n v="-657"/>
  </r>
  <r>
    <x v="0"/>
    <x v="0"/>
    <x v="0"/>
    <x v="0"/>
    <x v="0"/>
    <s v="DK1_Rural"/>
    <x v="1"/>
    <x v="1"/>
    <s v="GNR_HP_ELEC_COP-300"/>
    <x v="0"/>
    <x v="1"/>
    <n v="-0.5"/>
    <n v="-182.5"/>
    <n v="-657"/>
  </r>
  <r>
    <x v="0"/>
    <x v="0"/>
    <x v="0"/>
    <x v="0"/>
    <x v="0"/>
    <s v="DK1_Rural"/>
    <x v="1"/>
    <x v="1"/>
    <s v="GNR_HP_ELEC_COP-300"/>
    <x v="0"/>
    <x v="18"/>
    <n v="-0.5"/>
    <n v="-182.5"/>
    <n v="-657"/>
  </r>
  <r>
    <x v="0"/>
    <x v="0"/>
    <x v="0"/>
    <x v="0"/>
    <x v="0"/>
    <s v="DK1_Rural"/>
    <x v="1"/>
    <x v="1"/>
    <s v="GNR_HP_ELEC_COP-300"/>
    <x v="0"/>
    <x v="2"/>
    <n v="-0.5"/>
    <n v="-182.5"/>
    <n v="-657"/>
  </r>
  <r>
    <x v="0"/>
    <x v="0"/>
    <x v="0"/>
    <x v="0"/>
    <x v="0"/>
    <s v="DK1_Rural"/>
    <x v="1"/>
    <x v="1"/>
    <s v="GNR_HP_ELEC_COP-300"/>
    <x v="0"/>
    <x v="3"/>
    <n v="-0.5"/>
    <n v="-182.5"/>
    <n v="-657"/>
  </r>
  <r>
    <x v="0"/>
    <x v="0"/>
    <x v="0"/>
    <x v="0"/>
    <x v="0"/>
    <s v="DK1_Rural"/>
    <x v="1"/>
    <x v="1"/>
    <s v="GNR_HP_ELEC_COP-300"/>
    <x v="0"/>
    <x v="4"/>
    <n v="-0.5"/>
    <n v="-182.5"/>
    <n v="-657"/>
  </r>
  <r>
    <x v="0"/>
    <x v="0"/>
    <x v="0"/>
    <x v="0"/>
    <x v="0"/>
    <s v="DK1_Rural"/>
    <x v="1"/>
    <x v="1"/>
    <s v="GNR_HP_ELEC_COP-300"/>
    <x v="0"/>
    <x v="5"/>
    <n v="-0.5"/>
    <n v="-182.5"/>
    <n v="-657"/>
  </r>
  <r>
    <x v="0"/>
    <x v="0"/>
    <x v="0"/>
    <x v="0"/>
    <x v="0"/>
    <s v="DK1_Rural"/>
    <x v="1"/>
    <x v="1"/>
    <s v="GNR_HP_ELEC_COP-300"/>
    <x v="0"/>
    <x v="6"/>
    <n v="-0.5"/>
    <n v="-182.5"/>
    <n v="-657"/>
  </r>
  <r>
    <x v="0"/>
    <x v="0"/>
    <x v="0"/>
    <x v="0"/>
    <x v="0"/>
    <s v="DK1_Rural"/>
    <x v="1"/>
    <x v="1"/>
    <s v="GNR_HP_ELEC_COP-300"/>
    <x v="0"/>
    <x v="7"/>
    <n v="-0.5"/>
    <n v="-182.5"/>
    <n v="-657"/>
  </r>
  <r>
    <x v="0"/>
    <x v="0"/>
    <x v="0"/>
    <x v="0"/>
    <x v="0"/>
    <s v="DK1_Rural"/>
    <x v="1"/>
    <x v="1"/>
    <s v="GNR_HP_ELEC_COP-300"/>
    <x v="0"/>
    <x v="8"/>
    <n v="-0.5"/>
    <n v="-182.5"/>
    <n v="-657"/>
  </r>
  <r>
    <x v="0"/>
    <x v="0"/>
    <x v="0"/>
    <x v="0"/>
    <x v="0"/>
    <s v="DK1_Rural"/>
    <x v="1"/>
    <x v="1"/>
    <s v="GNR_HP_ELEC_COP-300"/>
    <x v="0"/>
    <x v="9"/>
    <n v="-0.5"/>
    <n v="-182.5"/>
    <n v="-657"/>
  </r>
  <r>
    <x v="0"/>
    <x v="0"/>
    <x v="0"/>
    <x v="0"/>
    <x v="0"/>
    <s v="DK1_Rural"/>
    <x v="1"/>
    <x v="1"/>
    <s v="GNR_HP_ELEC_COP-300"/>
    <x v="0"/>
    <x v="10"/>
    <n v="-0.5"/>
    <n v="-182.5"/>
    <n v="-657"/>
  </r>
  <r>
    <x v="0"/>
    <x v="0"/>
    <x v="0"/>
    <x v="0"/>
    <x v="0"/>
    <s v="DK1_Rural"/>
    <x v="1"/>
    <x v="1"/>
    <s v="GNR_HP_ELEC_COP-300"/>
    <x v="0"/>
    <x v="11"/>
    <n v="-0.5"/>
    <n v="-182.5"/>
    <n v="-657"/>
  </r>
  <r>
    <x v="0"/>
    <x v="0"/>
    <x v="0"/>
    <x v="0"/>
    <x v="0"/>
    <s v="DK1_Rural"/>
    <x v="1"/>
    <x v="1"/>
    <s v="GNR_HP_ELEC_COP-300"/>
    <x v="0"/>
    <x v="12"/>
    <n v="-0.5"/>
    <n v="-182.5"/>
    <n v="-657"/>
  </r>
  <r>
    <x v="0"/>
    <x v="0"/>
    <x v="0"/>
    <x v="0"/>
    <x v="0"/>
    <s v="DK1_Rural"/>
    <x v="1"/>
    <x v="1"/>
    <s v="GNR_HP_ELEC_COP-300"/>
    <x v="0"/>
    <x v="13"/>
    <n v="-0.5"/>
    <n v="-182.5"/>
    <n v="-657"/>
  </r>
  <r>
    <x v="0"/>
    <x v="0"/>
    <x v="0"/>
    <x v="0"/>
    <x v="0"/>
    <s v="DK1_Rural"/>
    <x v="1"/>
    <x v="1"/>
    <s v="GNR_HP_ELEC_COP-300"/>
    <x v="0"/>
    <x v="14"/>
    <n v="-0.5"/>
    <n v="-182.5"/>
    <n v="-657"/>
  </r>
  <r>
    <x v="0"/>
    <x v="0"/>
    <x v="0"/>
    <x v="0"/>
    <x v="0"/>
    <s v="DK1_Rural"/>
    <x v="1"/>
    <x v="1"/>
    <s v="GNR_HP_ELEC_COP-300"/>
    <x v="0"/>
    <x v="15"/>
    <n v="-0.5"/>
    <n v="-182.5"/>
    <n v="-657"/>
  </r>
  <r>
    <x v="0"/>
    <x v="0"/>
    <x v="0"/>
    <x v="0"/>
    <x v="0"/>
    <s v="DK1_Rural"/>
    <x v="1"/>
    <x v="1"/>
    <s v="GNR_HP_ELEC_COP-300"/>
    <x v="0"/>
    <x v="16"/>
    <n v="-0.5"/>
    <n v="-182.5"/>
    <n v="-657"/>
  </r>
  <r>
    <x v="0"/>
    <x v="0"/>
    <x v="0"/>
    <x v="0"/>
    <x v="0"/>
    <s v="DK1_Rural"/>
    <x v="1"/>
    <x v="1"/>
    <s v="GNR_HP_ELEC_COP-300"/>
    <x v="0"/>
    <x v="17"/>
    <n v="-0.5"/>
    <n v="-182.5"/>
    <n v="-657"/>
  </r>
  <r>
    <x v="0"/>
    <x v="0"/>
    <x v="0"/>
    <x v="0"/>
    <x v="0"/>
    <s v="DK1_Rural"/>
    <x v="1"/>
    <x v="1"/>
    <s v="GNR_HP_ELEC_COP-300"/>
    <x v="0"/>
    <x v="19"/>
    <n v="-0.5"/>
    <n v="-182.5"/>
    <n v="-657"/>
  </r>
  <r>
    <x v="0"/>
    <x v="0"/>
    <x v="0"/>
    <x v="0"/>
    <x v="0"/>
    <s v="DK1_Rural"/>
    <x v="1"/>
    <x v="1"/>
    <s v="GNR_HP_ELEC_COP-300"/>
    <x v="0"/>
    <x v="20"/>
    <n v="-0.5"/>
    <n v="-182.5"/>
    <n v="-657"/>
  </r>
  <r>
    <x v="0"/>
    <x v="0"/>
    <x v="0"/>
    <x v="0"/>
    <x v="0"/>
    <s v="DK1_Rural"/>
    <x v="1"/>
    <x v="1"/>
    <s v="GNR_HP_ELEC_COP-300"/>
    <x v="0"/>
    <x v="21"/>
    <n v="-0.5"/>
    <n v="-182.5"/>
    <n v="-657"/>
  </r>
  <r>
    <x v="0"/>
    <x v="0"/>
    <x v="0"/>
    <x v="0"/>
    <x v="0"/>
    <s v="DK1_Rural"/>
    <x v="1"/>
    <x v="1"/>
    <s v="GNR_HP_ELEC_COP-300"/>
    <x v="0"/>
    <x v="22"/>
    <n v="-0.5"/>
    <n v="-182.5"/>
    <n v="-657"/>
  </r>
  <r>
    <x v="0"/>
    <x v="0"/>
    <x v="0"/>
    <x v="0"/>
    <x v="0"/>
    <s v="DK1_Rural"/>
    <x v="1"/>
    <x v="1"/>
    <s v="GNR_HP_ELEC_COP-300"/>
    <x v="0"/>
    <x v="23"/>
    <n v="-0.5"/>
    <n v="-182.5"/>
    <n v="-657"/>
  </r>
  <r>
    <x v="0"/>
    <x v="0"/>
    <x v="0"/>
    <x v="0"/>
    <x v="0"/>
    <s v="DK1_Rural"/>
    <x v="1"/>
    <x v="1"/>
    <s v="GNR_HP_ELEC_COP-350"/>
    <x v="0"/>
    <x v="0"/>
    <n v="-0.625428571428571"/>
    <n v="-228.28142857142899"/>
    <n v="-821.81314285714302"/>
  </r>
  <r>
    <x v="0"/>
    <x v="0"/>
    <x v="0"/>
    <x v="0"/>
    <x v="0"/>
    <s v="DK1_Rural"/>
    <x v="1"/>
    <x v="1"/>
    <s v="GNR_HP_ELEC_COP-350"/>
    <x v="0"/>
    <x v="1"/>
    <n v="-0.625428571428571"/>
    <n v="-228.28142857142899"/>
    <n v="-821.81314285714302"/>
  </r>
  <r>
    <x v="0"/>
    <x v="0"/>
    <x v="0"/>
    <x v="0"/>
    <x v="0"/>
    <s v="DK1_Rural"/>
    <x v="1"/>
    <x v="1"/>
    <s v="GNR_HP_ELEC_COP-350"/>
    <x v="0"/>
    <x v="18"/>
    <n v="-0.625428571428571"/>
    <n v="-228.28142857142899"/>
    <n v="-821.81314285714302"/>
  </r>
  <r>
    <x v="0"/>
    <x v="0"/>
    <x v="0"/>
    <x v="0"/>
    <x v="0"/>
    <s v="DK1_Rural"/>
    <x v="1"/>
    <x v="1"/>
    <s v="GNR_HP_ELEC_COP-350"/>
    <x v="0"/>
    <x v="2"/>
    <n v="-0.625428571428571"/>
    <n v="-228.28142857142899"/>
    <n v="-821.81314285714302"/>
  </r>
  <r>
    <x v="0"/>
    <x v="0"/>
    <x v="0"/>
    <x v="0"/>
    <x v="0"/>
    <s v="DK1_Rural"/>
    <x v="1"/>
    <x v="1"/>
    <s v="GNR_HP_ELEC_COP-350"/>
    <x v="0"/>
    <x v="3"/>
    <n v="-0.625428571428571"/>
    <n v="-228.28142857142899"/>
    <n v="-821.81314285714302"/>
  </r>
  <r>
    <x v="0"/>
    <x v="0"/>
    <x v="0"/>
    <x v="0"/>
    <x v="0"/>
    <s v="DK1_Rural"/>
    <x v="1"/>
    <x v="1"/>
    <s v="GNR_HP_ELEC_COP-350"/>
    <x v="0"/>
    <x v="4"/>
    <n v="-0.625428571428571"/>
    <n v="-228.28142857142899"/>
    <n v="-821.81314285714302"/>
  </r>
  <r>
    <x v="0"/>
    <x v="0"/>
    <x v="0"/>
    <x v="0"/>
    <x v="0"/>
    <s v="DK1_Rural"/>
    <x v="1"/>
    <x v="1"/>
    <s v="GNR_HP_ELEC_COP-350"/>
    <x v="0"/>
    <x v="5"/>
    <n v="-0.625428571428571"/>
    <n v="-228.28142857142899"/>
    <n v="-821.81314285714302"/>
  </r>
  <r>
    <x v="0"/>
    <x v="0"/>
    <x v="0"/>
    <x v="0"/>
    <x v="0"/>
    <s v="DK1_Rural"/>
    <x v="1"/>
    <x v="1"/>
    <s v="GNR_HP_ELEC_COP-350"/>
    <x v="0"/>
    <x v="6"/>
    <n v="-0.625428571428571"/>
    <n v="-228.28142857142899"/>
    <n v="-821.81314285714302"/>
  </r>
  <r>
    <x v="0"/>
    <x v="0"/>
    <x v="0"/>
    <x v="0"/>
    <x v="0"/>
    <s v="DK1_Rural"/>
    <x v="1"/>
    <x v="1"/>
    <s v="GNR_HP_ELEC_COP-350"/>
    <x v="0"/>
    <x v="7"/>
    <n v="-0.625428571428571"/>
    <n v="-228.28142857142899"/>
    <n v="-821.81314285714302"/>
  </r>
  <r>
    <x v="0"/>
    <x v="0"/>
    <x v="0"/>
    <x v="0"/>
    <x v="0"/>
    <s v="DK1_Rural"/>
    <x v="1"/>
    <x v="1"/>
    <s v="GNR_HP_ELEC_COP-350"/>
    <x v="0"/>
    <x v="8"/>
    <n v="-0.625428571428571"/>
    <n v="-228.28142857142899"/>
    <n v="-821.81314285714302"/>
  </r>
  <r>
    <x v="0"/>
    <x v="0"/>
    <x v="0"/>
    <x v="0"/>
    <x v="0"/>
    <s v="DK1_Rural"/>
    <x v="1"/>
    <x v="1"/>
    <s v="GNR_HP_ELEC_COP-350"/>
    <x v="0"/>
    <x v="9"/>
    <n v="-0.625428571428571"/>
    <n v="-228.28142857142899"/>
    <n v="-821.81314285714302"/>
  </r>
  <r>
    <x v="0"/>
    <x v="0"/>
    <x v="0"/>
    <x v="0"/>
    <x v="0"/>
    <s v="DK1_Rural"/>
    <x v="1"/>
    <x v="1"/>
    <s v="GNR_HP_ELEC_COP-350"/>
    <x v="0"/>
    <x v="10"/>
    <n v="-0.625428571428571"/>
    <n v="-228.28142857142899"/>
    <n v="-821.81314285714302"/>
  </r>
  <r>
    <x v="0"/>
    <x v="0"/>
    <x v="0"/>
    <x v="0"/>
    <x v="0"/>
    <s v="DK1_Rural"/>
    <x v="1"/>
    <x v="1"/>
    <s v="GNR_HP_ELEC_COP-350"/>
    <x v="0"/>
    <x v="11"/>
    <n v="-0.625428571428571"/>
    <n v="-228.28142857142899"/>
    <n v="-821.81314285714302"/>
  </r>
  <r>
    <x v="0"/>
    <x v="0"/>
    <x v="0"/>
    <x v="0"/>
    <x v="0"/>
    <s v="DK1_Rural"/>
    <x v="1"/>
    <x v="1"/>
    <s v="GNR_HP_ELEC_COP-350"/>
    <x v="0"/>
    <x v="12"/>
    <n v="-0.625428571428571"/>
    <n v="-228.28142857142899"/>
    <n v="-821.81314285714302"/>
  </r>
  <r>
    <x v="0"/>
    <x v="0"/>
    <x v="0"/>
    <x v="0"/>
    <x v="0"/>
    <s v="DK1_Rural"/>
    <x v="1"/>
    <x v="1"/>
    <s v="GNR_HP_ELEC_COP-350"/>
    <x v="0"/>
    <x v="13"/>
    <n v="-0.625428571428571"/>
    <n v="-228.28142857142899"/>
    <n v="-821.81314285714302"/>
  </r>
  <r>
    <x v="0"/>
    <x v="0"/>
    <x v="0"/>
    <x v="0"/>
    <x v="0"/>
    <s v="DK1_Rural"/>
    <x v="1"/>
    <x v="1"/>
    <s v="GNR_HP_ELEC_COP-350"/>
    <x v="0"/>
    <x v="14"/>
    <n v="-0.625428571428571"/>
    <n v="-228.28142857142899"/>
    <n v="-821.81314285714302"/>
  </r>
  <r>
    <x v="0"/>
    <x v="0"/>
    <x v="0"/>
    <x v="0"/>
    <x v="0"/>
    <s v="DK1_Rural"/>
    <x v="1"/>
    <x v="1"/>
    <s v="GNR_HP_ELEC_COP-350"/>
    <x v="0"/>
    <x v="15"/>
    <n v="-0.625428571428571"/>
    <n v="-228.28142857142899"/>
    <n v="-821.81314285714302"/>
  </r>
  <r>
    <x v="0"/>
    <x v="0"/>
    <x v="0"/>
    <x v="0"/>
    <x v="0"/>
    <s v="DK1_Rural"/>
    <x v="1"/>
    <x v="1"/>
    <s v="GNR_HP_ELEC_COP-350"/>
    <x v="0"/>
    <x v="16"/>
    <n v="-0.625428571428571"/>
    <n v="-228.28142857142899"/>
    <n v="-821.81314285714302"/>
  </r>
  <r>
    <x v="0"/>
    <x v="0"/>
    <x v="0"/>
    <x v="0"/>
    <x v="0"/>
    <s v="DK1_Rural"/>
    <x v="1"/>
    <x v="1"/>
    <s v="GNR_HP_ELEC_COP-350"/>
    <x v="0"/>
    <x v="17"/>
    <n v="-0.625428571428571"/>
    <n v="-228.28142857142899"/>
    <n v="-821.81314285714302"/>
  </r>
  <r>
    <x v="0"/>
    <x v="0"/>
    <x v="0"/>
    <x v="0"/>
    <x v="0"/>
    <s v="DK1_Rural"/>
    <x v="1"/>
    <x v="1"/>
    <s v="GNR_HP_ELEC_COP-350"/>
    <x v="0"/>
    <x v="19"/>
    <n v="-0.625428571428571"/>
    <n v="-228.28142857142899"/>
    <n v="-821.81314285714302"/>
  </r>
  <r>
    <x v="0"/>
    <x v="0"/>
    <x v="0"/>
    <x v="0"/>
    <x v="0"/>
    <s v="DK1_Rural"/>
    <x v="1"/>
    <x v="1"/>
    <s v="GNR_HP_ELEC_COP-350"/>
    <x v="0"/>
    <x v="20"/>
    <n v="-0.625428571428571"/>
    <n v="-228.28142857142899"/>
    <n v="-821.81314285714302"/>
  </r>
  <r>
    <x v="0"/>
    <x v="0"/>
    <x v="0"/>
    <x v="0"/>
    <x v="0"/>
    <s v="DK1_Rural"/>
    <x v="1"/>
    <x v="1"/>
    <s v="GNR_HP_ELEC_COP-350"/>
    <x v="0"/>
    <x v="21"/>
    <n v="-0.625428571428571"/>
    <n v="-228.28142857142899"/>
    <n v="-821.81314285714302"/>
  </r>
  <r>
    <x v="0"/>
    <x v="0"/>
    <x v="0"/>
    <x v="0"/>
    <x v="0"/>
    <s v="DK1_Rural"/>
    <x v="1"/>
    <x v="1"/>
    <s v="GNR_HP_ELEC_COP-350"/>
    <x v="0"/>
    <x v="22"/>
    <n v="-0.625428571428571"/>
    <n v="-228.28142857142899"/>
    <n v="-821.81314285714302"/>
  </r>
  <r>
    <x v="0"/>
    <x v="0"/>
    <x v="0"/>
    <x v="0"/>
    <x v="0"/>
    <s v="DK1_Rural"/>
    <x v="1"/>
    <x v="1"/>
    <s v="GNR_HP_ELEC_COP-350"/>
    <x v="0"/>
    <x v="23"/>
    <n v="-0.625428571428571"/>
    <n v="-228.28142857142899"/>
    <n v="-821.81314285714302"/>
  </r>
  <r>
    <x v="0"/>
    <x v="0"/>
    <x v="0"/>
    <x v="0"/>
    <x v="0"/>
    <s v="DK1_Rural"/>
    <x v="1"/>
    <x v="1"/>
    <s v="GNR_HP_ELEC_COP-400"/>
    <x v="0"/>
    <x v="0"/>
    <n v="-0.51200000000000001"/>
    <n v="-186.88"/>
    <n v="-672.76800000000003"/>
  </r>
  <r>
    <x v="0"/>
    <x v="0"/>
    <x v="0"/>
    <x v="0"/>
    <x v="0"/>
    <s v="DK1_Rural"/>
    <x v="1"/>
    <x v="1"/>
    <s v="GNR_HP_ELEC_COP-400"/>
    <x v="0"/>
    <x v="1"/>
    <n v="-0.51200000000000001"/>
    <n v="-186.88"/>
    <n v="-672.76800000000003"/>
  </r>
  <r>
    <x v="0"/>
    <x v="0"/>
    <x v="0"/>
    <x v="0"/>
    <x v="0"/>
    <s v="DK1_Rural"/>
    <x v="1"/>
    <x v="1"/>
    <s v="GNR_HP_ELEC_COP-400"/>
    <x v="0"/>
    <x v="18"/>
    <n v="-0.51200000000000001"/>
    <n v="-186.88"/>
    <n v="-672.76800000000003"/>
  </r>
  <r>
    <x v="0"/>
    <x v="0"/>
    <x v="0"/>
    <x v="0"/>
    <x v="0"/>
    <s v="DK1_Rural"/>
    <x v="1"/>
    <x v="1"/>
    <s v="GNR_HP_ELEC_COP-400"/>
    <x v="0"/>
    <x v="2"/>
    <n v="-0.51200000000000001"/>
    <n v="-186.88"/>
    <n v="-672.76800000000003"/>
  </r>
  <r>
    <x v="0"/>
    <x v="0"/>
    <x v="0"/>
    <x v="0"/>
    <x v="0"/>
    <s v="DK1_Rural"/>
    <x v="1"/>
    <x v="1"/>
    <s v="GNR_HP_ELEC_COP-400"/>
    <x v="0"/>
    <x v="3"/>
    <n v="-0.51200000000000001"/>
    <n v="-186.88"/>
    <n v="-672.76800000000003"/>
  </r>
  <r>
    <x v="0"/>
    <x v="0"/>
    <x v="0"/>
    <x v="0"/>
    <x v="0"/>
    <s v="DK1_Rural"/>
    <x v="1"/>
    <x v="1"/>
    <s v="GNR_HP_ELEC_COP-400"/>
    <x v="0"/>
    <x v="4"/>
    <n v="-0.51200000000000001"/>
    <n v="-186.88"/>
    <n v="-672.76800000000003"/>
  </r>
  <r>
    <x v="0"/>
    <x v="0"/>
    <x v="0"/>
    <x v="0"/>
    <x v="0"/>
    <s v="DK1_Rural"/>
    <x v="1"/>
    <x v="1"/>
    <s v="GNR_HP_ELEC_COP-400"/>
    <x v="0"/>
    <x v="5"/>
    <n v="-0.51200000000000001"/>
    <n v="-186.88"/>
    <n v="-672.76800000000003"/>
  </r>
  <r>
    <x v="0"/>
    <x v="0"/>
    <x v="0"/>
    <x v="0"/>
    <x v="0"/>
    <s v="DK1_Rural"/>
    <x v="1"/>
    <x v="1"/>
    <s v="GNR_HP_ELEC_COP-400"/>
    <x v="0"/>
    <x v="6"/>
    <n v="-0.51200000000000001"/>
    <n v="-186.88"/>
    <n v="-672.76800000000003"/>
  </r>
  <r>
    <x v="0"/>
    <x v="0"/>
    <x v="0"/>
    <x v="0"/>
    <x v="0"/>
    <s v="DK1_Rural"/>
    <x v="1"/>
    <x v="1"/>
    <s v="GNR_HP_ELEC_COP-400"/>
    <x v="0"/>
    <x v="7"/>
    <n v="-0.51200000000000001"/>
    <n v="-186.88"/>
    <n v="-672.76800000000003"/>
  </r>
  <r>
    <x v="0"/>
    <x v="0"/>
    <x v="0"/>
    <x v="0"/>
    <x v="0"/>
    <s v="DK1_Rural"/>
    <x v="1"/>
    <x v="1"/>
    <s v="GNR_HP_ELEC_COP-400"/>
    <x v="0"/>
    <x v="8"/>
    <n v="-0.51200000000000001"/>
    <n v="-186.88"/>
    <n v="-672.76800000000003"/>
  </r>
  <r>
    <x v="0"/>
    <x v="0"/>
    <x v="0"/>
    <x v="0"/>
    <x v="0"/>
    <s v="DK1_Rural"/>
    <x v="1"/>
    <x v="1"/>
    <s v="GNR_HP_ELEC_COP-400"/>
    <x v="0"/>
    <x v="9"/>
    <n v="-0.51200000000000001"/>
    <n v="-186.88"/>
    <n v="-672.76800000000003"/>
  </r>
  <r>
    <x v="0"/>
    <x v="0"/>
    <x v="0"/>
    <x v="0"/>
    <x v="0"/>
    <s v="DK1_Rural"/>
    <x v="1"/>
    <x v="1"/>
    <s v="GNR_HP_ELEC_COP-400"/>
    <x v="0"/>
    <x v="10"/>
    <n v="-0.51200000000000001"/>
    <n v="-186.88"/>
    <n v="-672.76800000000003"/>
  </r>
  <r>
    <x v="0"/>
    <x v="0"/>
    <x v="0"/>
    <x v="0"/>
    <x v="0"/>
    <s v="DK1_Rural"/>
    <x v="1"/>
    <x v="1"/>
    <s v="GNR_HP_ELEC_COP-400"/>
    <x v="0"/>
    <x v="11"/>
    <n v="-0.51200000000000001"/>
    <n v="-186.88"/>
    <n v="-672.76800000000003"/>
  </r>
  <r>
    <x v="0"/>
    <x v="0"/>
    <x v="0"/>
    <x v="0"/>
    <x v="0"/>
    <s v="DK1_Rural"/>
    <x v="1"/>
    <x v="1"/>
    <s v="GNR_HP_ELEC_COP-400"/>
    <x v="0"/>
    <x v="12"/>
    <n v="-0.51200000000000001"/>
    <n v="-186.88"/>
    <n v="-672.76800000000003"/>
  </r>
  <r>
    <x v="0"/>
    <x v="0"/>
    <x v="0"/>
    <x v="0"/>
    <x v="0"/>
    <s v="DK1_Rural"/>
    <x v="1"/>
    <x v="1"/>
    <s v="GNR_HP_ELEC_COP-400"/>
    <x v="0"/>
    <x v="13"/>
    <n v="-0.51200000000000001"/>
    <n v="-186.88"/>
    <n v="-672.76800000000003"/>
  </r>
  <r>
    <x v="0"/>
    <x v="0"/>
    <x v="0"/>
    <x v="0"/>
    <x v="0"/>
    <s v="DK1_Rural"/>
    <x v="1"/>
    <x v="1"/>
    <s v="GNR_HP_ELEC_COP-400"/>
    <x v="0"/>
    <x v="14"/>
    <n v="-0.51200000000000001"/>
    <n v="-186.88"/>
    <n v="-672.76800000000003"/>
  </r>
  <r>
    <x v="0"/>
    <x v="0"/>
    <x v="0"/>
    <x v="0"/>
    <x v="0"/>
    <s v="DK1_Rural"/>
    <x v="1"/>
    <x v="1"/>
    <s v="GNR_HP_ELEC_COP-400"/>
    <x v="0"/>
    <x v="15"/>
    <n v="-0.51200000000000001"/>
    <n v="-186.88"/>
    <n v="-672.76800000000003"/>
  </r>
  <r>
    <x v="0"/>
    <x v="0"/>
    <x v="0"/>
    <x v="0"/>
    <x v="0"/>
    <s v="DK1_Rural"/>
    <x v="1"/>
    <x v="1"/>
    <s v="GNR_HP_ELEC_COP-400"/>
    <x v="0"/>
    <x v="16"/>
    <n v="-0.51200000000000001"/>
    <n v="-186.88"/>
    <n v="-672.76800000000003"/>
  </r>
  <r>
    <x v="0"/>
    <x v="0"/>
    <x v="0"/>
    <x v="0"/>
    <x v="0"/>
    <s v="DK1_Rural"/>
    <x v="1"/>
    <x v="1"/>
    <s v="GNR_HP_ELEC_COP-400"/>
    <x v="0"/>
    <x v="17"/>
    <n v="-0.51200000000000001"/>
    <n v="-186.88"/>
    <n v="-672.76800000000003"/>
  </r>
  <r>
    <x v="0"/>
    <x v="0"/>
    <x v="0"/>
    <x v="0"/>
    <x v="0"/>
    <s v="DK1_Rural"/>
    <x v="1"/>
    <x v="1"/>
    <s v="GNR_HP_ELEC_COP-400"/>
    <x v="0"/>
    <x v="19"/>
    <n v="-0.51200000000000001"/>
    <n v="-186.88"/>
    <n v="-672.76800000000003"/>
  </r>
  <r>
    <x v="0"/>
    <x v="0"/>
    <x v="0"/>
    <x v="0"/>
    <x v="0"/>
    <s v="DK1_Rural"/>
    <x v="1"/>
    <x v="1"/>
    <s v="GNR_HP_ELEC_COP-400"/>
    <x v="0"/>
    <x v="20"/>
    <n v="-0.51200000000000001"/>
    <n v="-186.88"/>
    <n v="-672.76800000000003"/>
  </r>
  <r>
    <x v="0"/>
    <x v="0"/>
    <x v="0"/>
    <x v="0"/>
    <x v="0"/>
    <s v="DK1_Rural"/>
    <x v="1"/>
    <x v="1"/>
    <s v="GNR_HP_ELEC_COP-400"/>
    <x v="0"/>
    <x v="21"/>
    <n v="-0.51200000000000001"/>
    <n v="-186.88"/>
    <n v="-672.76800000000003"/>
  </r>
  <r>
    <x v="0"/>
    <x v="0"/>
    <x v="0"/>
    <x v="0"/>
    <x v="0"/>
    <s v="DK1_Rural"/>
    <x v="1"/>
    <x v="1"/>
    <s v="GNR_HP_ELEC_COP-400"/>
    <x v="0"/>
    <x v="22"/>
    <n v="-0.51200000000000001"/>
    <n v="-186.88"/>
    <n v="-672.76800000000003"/>
  </r>
  <r>
    <x v="0"/>
    <x v="0"/>
    <x v="0"/>
    <x v="0"/>
    <x v="0"/>
    <s v="DK1_Rural"/>
    <x v="1"/>
    <x v="1"/>
    <s v="GNR_HP_ELEC_COP-400"/>
    <x v="0"/>
    <x v="23"/>
    <n v="-0.51200000000000001"/>
    <n v="-186.88"/>
    <n v="-672.76800000000003"/>
  </r>
  <r>
    <x v="0"/>
    <x v="0"/>
    <x v="0"/>
    <x v="0"/>
    <x v="0"/>
    <s v="DK1_Rural"/>
    <x v="1"/>
    <x v="1"/>
    <s v="GNR_HP_ELEC_COP-430"/>
    <x v="0"/>
    <x v="0"/>
    <n v="-0.30232558139534899"/>
    <n v="-110.348837209302"/>
    <n v="-397.25581395348797"/>
  </r>
  <r>
    <x v="0"/>
    <x v="0"/>
    <x v="0"/>
    <x v="0"/>
    <x v="0"/>
    <s v="DK1_Rural"/>
    <x v="1"/>
    <x v="1"/>
    <s v="GNR_HP_ELEC_COP-430"/>
    <x v="0"/>
    <x v="1"/>
    <n v="-0.30232558139534899"/>
    <n v="-110.348837209302"/>
    <n v="-397.25581395348797"/>
  </r>
  <r>
    <x v="0"/>
    <x v="0"/>
    <x v="0"/>
    <x v="0"/>
    <x v="0"/>
    <s v="DK1_Rural"/>
    <x v="1"/>
    <x v="1"/>
    <s v="GNR_HP_ELEC_COP-430"/>
    <x v="0"/>
    <x v="18"/>
    <n v="-0.30232558139534899"/>
    <n v="-110.348837209302"/>
    <n v="-397.25581395348797"/>
  </r>
  <r>
    <x v="0"/>
    <x v="0"/>
    <x v="0"/>
    <x v="0"/>
    <x v="0"/>
    <s v="DK1_Rural"/>
    <x v="1"/>
    <x v="1"/>
    <s v="GNR_HP_ELEC_COP-430"/>
    <x v="0"/>
    <x v="2"/>
    <n v="-0.30232558139534899"/>
    <n v="-110.348837209302"/>
    <n v="-397.25581395348797"/>
  </r>
  <r>
    <x v="0"/>
    <x v="0"/>
    <x v="0"/>
    <x v="0"/>
    <x v="0"/>
    <s v="DK1_Rural"/>
    <x v="1"/>
    <x v="1"/>
    <s v="GNR_HP_ELEC_COP-430"/>
    <x v="0"/>
    <x v="3"/>
    <n v="-0.30232558139534899"/>
    <n v="-110.348837209302"/>
    <n v="-397.25581395348797"/>
  </r>
  <r>
    <x v="0"/>
    <x v="0"/>
    <x v="0"/>
    <x v="0"/>
    <x v="0"/>
    <s v="DK1_Rural"/>
    <x v="1"/>
    <x v="1"/>
    <s v="GNR_HP_ELEC_COP-430"/>
    <x v="0"/>
    <x v="4"/>
    <n v="-0.30232558139534899"/>
    <n v="-110.348837209302"/>
    <n v="-397.25581395348797"/>
  </r>
  <r>
    <x v="0"/>
    <x v="0"/>
    <x v="0"/>
    <x v="0"/>
    <x v="0"/>
    <s v="DK1_Rural"/>
    <x v="1"/>
    <x v="1"/>
    <s v="GNR_HP_ELEC_COP-430"/>
    <x v="0"/>
    <x v="5"/>
    <n v="-0.30232558139534899"/>
    <n v="-110.348837209302"/>
    <n v="-397.25581395348797"/>
  </r>
  <r>
    <x v="0"/>
    <x v="0"/>
    <x v="0"/>
    <x v="0"/>
    <x v="0"/>
    <s v="DK1_Rural"/>
    <x v="1"/>
    <x v="1"/>
    <s v="GNR_HP_ELEC_COP-430"/>
    <x v="0"/>
    <x v="6"/>
    <n v="-0.30232558139534899"/>
    <n v="-110.348837209302"/>
    <n v="-397.25581395348797"/>
  </r>
  <r>
    <x v="0"/>
    <x v="0"/>
    <x v="0"/>
    <x v="0"/>
    <x v="0"/>
    <s v="DK1_Rural"/>
    <x v="1"/>
    <x v="1"/>
    <s v="GNR_HP_ELEC_COP-430"/>
    <x v="0"/>
    <x v="7"/>
    <n v="-0.30232558139534899"/>
    <n v="-110.348837209302"/>
    <n v="-397.25581395348797"/>
  </r>
  <r>
    <x v="0"/>
    <x v="0"/>
    <x v="0"/>
    <x v="0"/>
    <x v="0"/>
    <s v="DK1_Rural"/>
    <x v="1"/>
    <x v="1"/>
    <s v="GNR_HP_ELEC_COP-430"/>
    <x v="0"/>
    <x v="8"/>
    <n v="-0.30232558139534899"/>
    <n v="-110.348837209302"/>
    <n v="-397.25581395348797"/>
  </r>
  <r>
    <x v="0"/>
    <x v="0"/>
    <x v="0"/>
    <x v="0"/>
    <x v="0"/>
    <s v="DK1_Rural"/>
    <x v="1"/>
    <x v="1"/>
    <s v="GNR_HP_ELEC_COP-430"/>
    <x v="0"/>
    <x v="9"/>
    <n v="-0.30232558139534899"/>
    <n v="-110.348837209302"/>
    <n v="-397.25581395348797"/>
  </r>
  <r>
    <x v="0"/>
    <x v="0"/>
    <x v="0"/>
    <x v="0"/>
    <x v="0"/>
    <s v="DK1_Rural"/>
    <x v="1"/>
    <x v="1"/>
    <s v="GNR_HP_ELEC_COP-430"/>
    <x v="0"/>
    <x v="10"/>
    <n v="-0.30232558139534899"/>
    <n v="-110.348837209302"/>
    <n v="-397.25581395348797"/>
  </r>
  <r>
    <x v="0"/>
    <x v="0"/>
    <x v="0"/>
    <x v="0"/>
    <x v="0"/>
    <s v="DK1_Rural"/>
    <x v="1"/>
    <x v="1"/>
    <s v="GNR_HP_ELEC_COP-430"/>
    <x v="0"/>
    <x v="11"/>
    <n v="-0.30232558139534899"/>
    <n v="-110.348837209302"/>
    <n v="-397.25581395348797"/>
  </r>
  <r>
    <x v="0"/>
    <x v="0"/>
    <x v="0"/>
    <x v="0"/>
    <x v="0"/>
    <s v="DK1_Rural"/>
    <x v="1"/>
    <x v="1"/>
    <s v="GNR_HP_ELEC_COP-430"/>
    <x v="0"/>
    <x v="12"/>
    <n v="-0.30232558139534899"/>
    <n v="-110.348837209302"/>
    <n v="-397.25581395348797"/>
  </r>
  <r>
    <x v="0"/>
    <x v="0"/>
    <x v="0"/>
    <x v="0"/>
    <x v="0"/>
    <s v="DK1_Rural"/>
    <x v="1"/>
    <x v="1"/>
    <s v="GNR_HP_ELEC_COP-430"/>
    <x v="0"/>
    <x v="13"/>
    <n v="-0.30232558139534899"/>
    <n v="-110.348837209302"/>
    <n v="-397.25581395348797"/>
  </r>
  <r>
    <x v="0"/>
    <x v="0"/>
    <x v="0"/>
    <x v="0"/>
    <x v="0"/>
    <s v="DK1_Rural"/>
    <x v="1"/>
    <x v="1"/>
    <s v="GNR_HP_ELEC_COP-430"/>
    <x v="0"/>
    <x v="14"/>
    <n v="-0.30232558139534899"/>
    <n v="-110.348837209302"/>
    <n v="-397.25581395348797"/>
  </r>
  <r>
    <x v="0"/>
    <x v="0"/>
    <x v="0"/>
    <x v="0"/>
    <x v="0"/>
    <s v="DK1_Rural"/>
    <x v="1"/>
    <x v="1"/>
    <s v="GNR_HP_ELEC_COP-430"/>
    <x v="0"/>
    <x v="15"/>
    <n v="-0.30232558139534899"/>
    <n v="-110.348837209302"/>
    <n v="-397.25581395348797"/>
  </r>
  <r>
    <x v="0"/>
    <x v="0"/>
    <x v="0"/>
    <x v="0"/>
    <x v="0"/>
    <s v="DK1_Rural"/>
    <x v="1"/>
    <x v="1"/>
    <s v="GNR_HP_ELEC_COP-430"/>
    <x v="0"/>
    <x v="16"/>
    <n v="-0.30232558139534899"/>
    <n v="-110.348837209302"/>
    <n v="-397.25581395348797"/>
  </r>
  <r>
    <x v="0"/>
    <x v="0"/>
    <x v="0"/>
    <x v="0"/>
    <x v="0"/>
    <s v="DK1_Rural"/>
    <x v="1"/>
    <x v="1"/>
    <s v="GNR_HP_ELEC_COP-430"/>
    <x v="0"/>
    <x v="17"/>
    <n v="-0.30232558139534899"/>
    <n v="-110.348837209302"/>
    <n v="-397.25581395348797"/>
  </r>
  <r>
    <x v="0"/>
    <x v="0"/>
    <x v="0"/>
    <x v="0"/>
    <x v="0"/>
    <s v="DK1_Rural"/>
    <x v="1"/>
    <x v="1"/>
    <s v="GNR_HP_ELEC_COP-430"/>
    <x v="0"/>
    <x v="19"/>
    <n v="-0.30232558139534899"/>
    <n v="-110.348837209302"/>
    <n v="-397.25581395348797"/>
  </r>
  <r>
    <x v="0"/>
    <x v="0"/>
    <x v="0"/>
    <x v="0"/>
    <x v="0"/>
    <s v="DK1_Rural"/>
    <x v="1"/>
    <x v="1"/>
    <s v="GNR_HP_ELEC_COP-430"/>
    <x v="0"/>
    <x v="20"/>
    <n v="-0.30232558139534899"/>
    <n v="-110.348837209302"/>
    <n v="-397.25581395348797"/>
  </r>
  <r>
    <x v="0"/>
    <x v="0"/>
    <x v="0"/>
    <x v="0"/>
    <x v="0"/>
    <s v="DK1_Rural"/>
    <x v="1"/>
    <x v="1"/>
    <s v="GNR_HP_ELEC_COP-430"/>
    <x v="0"/>
    <x v="21"/>
    <n v="-0.30232558139534899"/>
    <n v="-110.348837209302"/>
    <n v="-397.25581395348797"/>
  </r>
  <r>
    <x v="0"/>
    <x v="0"/>
    <x v="0"/>
    <x v="0"/>
    <x v="0"/>
    <s v="DK1_Rural"/>
    <x v="1"/>
    <x v="1"/>
    <s v="GNR_HP_ELEC_COP-430"/>
    <x v="0"/>
    <x v="22"/>
    <n v="-0.30232558139534899"/>
    <n v="-110.348837209302"/>
    <n v="-397.25581395348797"/>
  </r>
  <r>
    <x v="0"/>
    <x v="0"/>
    <x v="0"/>
    <x v="0"/>
    <x v="0"/>
    <s v="DK1_Rural"/>
    <x v="1"/>
    <x v="1"/>
    <s v="GNR_HP_ELEC_COP-430"/>
    <x v="0"/>
    <x v="23"/>
    <n v="-0.30232558139534899"/>
    <n v="-110.348837209302"/>
    <n v="-397.25581395348797"/>
  </r>
  <r>
    <x v="0"/>
    <x v="0"/>
    <x v="0"/>
    <x v="0"/>
    <x v="0"/>
    <s v="DK1_Rural"/>
    <x v="1"/>
    <x v="1"/>
    <s v="GNR_HP_ELEC_COP-450"/>
    <x v="0"/>
    <x v="0"/>
    <n v="-0.12"/>
    <n v="-43.8"/>
    <n v="-157.68"/>
  </r>
  <r>
    <x v="0"/>
    <x v="0"/>
    <x v="0"/>
    <x v="0"/>
    <x v="0"/>
    <s v="DK1_Rural"/>
    <x v="1"/>
    <x v="1"/>
    <s v="GNR_HP_ELEC_COP-450"/>
    <x v="0"/>
    <x v="1"/>
    <n v="-0.12"/>
    <n v="-43.8"/>
    <n v="-157.68"/>
  </r>
  <r>
    <x v="0"/>
    <x v="0"/>
    <x v="0"/>
    <x v="0"/>
    <x v="0"/>
    <s v="DK1_Rural"/>
    <x v="1"/>
    <x v="1"/>
    <s v="GNR_HP_ELEC_COP-450"/>
    <x v="0"/>
    <x v="18"/>
    <n v="-0.12"/>
    <n v="-43.8"/>
    <n v="-157.68"/>
  </r>
  <r>
    <x v="0"/>
    <x v="0"/>
    <x v="0"/>
    <x v="0"/>
    <x v="0"/>
    <s v="DK1_Rural"/>
    <x v="1"/>
    <x v="1"/>
    <s v="GNR_HP_ELEC_COP-450"/>
    <x v="0"/>
    <x v="2"/>
    <n v="-0.12"/>
    <n v="-43.8"/>
    <n v="-157.68"/>
  </r>
  <r>
    <x v="0"/>
    <x v="0"/>
    <x v="0"/>
    <x v="0"/>
    <x v="0"/>
    <s v="DK1_Rural"/>
    <x v="1"/>
    <x v="1"/>
    <s v="GNR_HP_ELEC_COP-450"/>
    <x v="0"/>
    <x v="3"/>
    <n v="-0.12"/>
    <n v="-43.8"/>
    <n v="-157.68"/>
  </r>
  <r>
    <x v="0"/>
    <x v="0"/>
    <x v="0"/>
    <x v="0"/>
    <x v="0"/>
    <s v="DK1_Rural"/>
    <x v="1"/>
    <x v="1"/>
    <s v="GNR_HP_ELEC_COP-450"/>
    <x v="0"/>
    <x v="4"/>
    <n v="-0.12"/>
    <n v="-43.8"/>
    <n v="-157.68"/>
  </r>
  <r>
    <x v="0"/>
    <x v="0"/>
    <x v="0"/>
    <x v="0"/>
    <x v="0"/>
    <s v="DK1_Rural"/>
    <x v="1"/>
    <x v="1"/>
    <s v="GNR_HP_ELEC_COP-450"/>
    <x v="0"/>
    <x v="5"/>
    <n v="-0.12"/>
    <n v="-43.8"/>
    <n v="-157.68"/>
  </r>
  <r>
    <x v="0"/>
    <x v="0"/>
    <x v="0"/>
    <x v="0"/>
    <x v="0"/>
    <s v="DK1_Rural"/>
    <x v="1"/>
    <x v="1"/>
    <s v="GNR_HP_ELEC_COP-450"/>
    <x v="0"/>
    <x v="6"/>
    <n v="-0.12"/>
    <n v="-43.8"/>
    <n v="-157.68"/>
  </r>
  <r>
    <x v="0"/>
    <x v="0"/>
    <x v="0"/>
    <x v="0"/>
    <x v="0"/>
    <s v="DK1_Rural"/>
    <x v="1"/>
    <x v="1"/>
    <s v="GNR_HP_ELEC_COP-450"/>
    <x v="0"/>
    <x v="7"/>
    <n v="-0.12"/>
    <n v="-43.8"/>
    <n v="-157.68"/>
  </r>
  <r>
    <x v="0"/>
    <x v="0"/>
    <x v="0"/>
    <x v="0"/>
    <x v="0"/>
    <s v="DK1_Rural"/>
    <x v="1"/>
    <x v="1"/>
    <s v="GNR_HP_ELEC_COP-450"/>
    <x v="0"/>
    <x v="8"/>
    <n v="-0.12"/>
    <n v="-43.8"/>
    <n v="-157.68"/>
  </r>
  <r>
    <x v="0"/>
    <x v="0"/>
    <x v="0"/>
    <x v="0"/>
    <x v="0"/>
    <s v="DK1_Rural"/>
    <x v="1"/>
    <x v="1"/>
    <s v="GNR_HP_ELEC_COP-450"/>
    <x v="0"/>
    <x v="9"/>
    <n v="-0.12"/>
    <n v="-43.8"/>
    <n v="-157.68"/>
  </r>
  <r>
    <x v="0"/>
    <x v="0"/>
    <x v="0"/>
    <x v="0"/>
    <x v="0"/>
    <s v="DK1_Rural"/>
    <x v="1"/>
    <x v="1"/>
    <s v="GNR_HP_ELEC_COP-450"/>
    <x v="0"/>
    <x v="10"/>
    <n v="-0.12"/>
    <n v="-43.8"/>
    <n v="-157.68"/>
  </r>
  <r>
    <x v="0"/>
    <x v="0"/>
    <x v="0"/>
    <x v="0"/>
    <x v="0"/>
    <s v="DK1_Rural"/>
    <x v="1"/>
    <x v="1"/>
    <s v="GNR_HP_ELEC_COP-450"/>
    <x v="0"/>
    <x v="11"/>
    <n v="-0.12"/>
    <n v="-43.8"/>
    <n v="-157.68"/>
  </r>
  <r>
    <x v="0"/>
    <x v="0"/>
    <x v="0"/>
    <x v="0"/>
    <x v="0"/>
    <s v="DK1_Rural"/>
    <x v="1"/>
    <x v="1"/>
    <s v="GNR_HP_ELEC_COP-450"/>
    <x v="0"/>
    <x v="12"/>
    <n v="-0.12"/>
    <n v="-43.8"/>
    <n v="-157.68"/>
  </r>
  <r>
    <x v="0"/>
    <x v="0"/>
    <x v="0"/>
    <x v="0"/>
    <x v="0"/>
    <s v="DK1_Rural"/>
    <x v="1"/>
    <x v="1"/>
    <s v="GNR_HP_ELEC_COP-450"/>
    <x v="0"/>
    <x v="13"/>
    <n v="-0.12"/>
    <n v="-43.8"/>
    <n v="-157.68"/>
  </r>
  <r>
    <x v="0"/>
    <x v="0"/>
    <x v="0"/>
    <x v="0"/>
    <x v="0"/>
    <s v="DK1_Rural"/>
    <x v="1"/>
    <x v="1"/>
    <s v="GNR_HP_ELEC_COP-450"/>
    <x v="0"/>
    <x v="14"/>
    <n v="-0.12"/>
    <n v="-43.8"/>
    <n v="-157.68"/>
  </r>
  <r>
    <x v="0"/>
    <x v="0"/>
    <x v="0"/>
    <x v="0"/>
    <x v="0"/>
    <s v="DK1_Rural"/>
    <x v="1"/>
    <x v="1"/>
    <s v="GNR_HP_ELEC_COP-450"/>
    <x v="0"/>
    <x v="15"/>
    <n v="-0.12"/>
    <n v="-43.8"/>
    <n v="-157.68"/>
  </r>
  <r>
    <x v="0"/>
    <x v="0"/>
    <x v="0"/>
    <x v="0"/>
    <x v="0"/>
    <s v="DK1_Rural"/>
    <x v="1"/>
    <x v="1"/>
    <s v="GNR_HP_ELEC_COP-450"/>
    <x v="0"/>
    <x v="16"/>
    <n v="-0.12"/>
    <n v="-43.8"/>
    <n v="-157.68"/>
  </r>
  <r>
    <x v="0"/>
    <x v="0"/>
    <x v="0"/>
    <x v="0"/>
    <x v="0"/>
    <s v="DK1_Rural"/>
    <x v="1"/>
    <x v="1"/>
    <s v="GNR_HP_ELEC_COP-450"/>
    <x v="0"/>
    <x v="17"/>
    <n v="-0.12"/>
    <n v="-43.8"/>
    <n v="-157.68"/>
  </r>
  <r>
    <x v="0"/>
    <x v="0"/>
    <x v="0"/>
    <x v="0"/>
    <x v="0"/>
    <s v="DK1_Rural"/>
    <x v="1"/>
    <x v="1"/>
    <s v="GNR_HP_ELEC_COP-450"/>
    <x v="0"/>
    <x v="19"/>
    <n v="-0.12"/>
    <n v="-43.8"/>
    <n v="-157.68"/>
  </r>
  <r>
    <x v="0"/>
    <x v="0"/>
    <x v="0"/>
    <x v="0"/>
    <x v="0"/>
    <s v="DK1_Rural"/>
    <x v="1"/>
    <x v="1"/>
    <s v="GNR_HP_ELEC_COP-450"/>
    <x v="0"/>
    <x v="20"/>
    <n v="-0.12"/>
    <n v="-43.8"/>
    <n v="-157.68"/>
  </r>
  <r>
    <x v="0"/>
    <x v="0"/>
    <x v="0"/>
    <x v="0"/>
    <x v="0"/>
    <s v="DK1_Rural"/>
    <x v="1"/>
    <x v="1"/>
    <s v="GNR_HP_ELEC_COP-450"/>
    <x v="0"/>
    <x v="21"/>
    <n v="-0.12"/>
    <n v="-43.8"/>
    <n v="-157.68"/>
  </r>
  <r>
    <x v="0"/>
    <x v="0"/>
    <x v="0"/>
    <x v="0"/>
    <x v="0"/>
    <s v="DK1_Rural"/>
    <x v="1"/>
    <x v="1"/>
    <s v="GNR_HP_ELEC_COP-450"/>
    <x v="0"/>
    <x v="22"/>
    <n v="-0.12"/>
    <n v="-43.8"/>
    <n v="-157.68"/>
  </r>
  <r>
    <x v="0"/>
    <x v="0"/>
    <x v="0"/>
    <x v="0"/>
    <x v="0"/>
    <s v="DK1_Rural"/>
    <x v="1"/>
    <x v="1"/>
    <s v="GNR_HP_ELEC_COP-450"/>
    <x v="0"/>
    <x v="23"/>
    <n v="-0.12"/>
    <n v="-43.8"/>
    <n v="-157.68"/>
  </r>
  <r>
    <x v="0"/>
    <x v="0"/>
    <x v="0"/>
    <x v="0"/>
    <x v="0"/>
    <s v="DK1_Rural"/>
    <x v="1"/>
    <x v="1"/>
    <s v="GNR_HP_ELEC_COP-460"/>
    <x v="0"/>
    <x v="0"/>
    <n v="-0.78260869565217395"/>
    <n v="-285.65217391304401"/>
    <n v="-1028.3478260869599"/>
  </r>
  <r>
    <x v="0"/>
    <x v="0"/>
    <x v="0"/>
    <x v="0"/>
    <x v="0"/>
    <s v="DK1_Rural"/>
    <x v="1"/>
    <x v="1"/>
    <s v="GNR_HP_ELEC_COP-460"/>
    <x v="0"/>
    <x v="1"/>
    <n v="-0.78260869565217395"/>
    <n v="-285.65217391304401"/>
    <n v="-1028.3478260869599"/>
  </r>
  <r>
    <x v="0"/>
    <x v="0"/>
    <x v="0"/>
    <x v="0"/>
    <x v="0"/>
    <s v="DK1_Rural"/>
    <x v="1"/>
    <x v="1"/>
    <s v="GNR_HP_ELEC_COP-460"/>
    <x v="0"/>
    <x v="18"/>
    <n v="-0.78260869565217395"/>
    <n v="-285.65217391304401"/>
    <n v="-1028.3478260869599"/>
  </r>
  <r>
    <x v="0"/>
    <x v="0"/>
    <x v="0"/>
    <x v="0"/>
    <x v="0"/>
    <s v="DK1_Rural"/>
    <x v="1"/>
    <x v="1"/>
    <s v="GNR_HP_ELEC_COP-460"/>
    <x v="0"/>
    <x v="2"/>
    <n v="-0.78260869565217395"/>
    <n v="-285.65217391304401"/>
    <n v="-1028.3478260869599"/>
  </r>
  <r>
    <x v="0"/>
    <x v="0"/>
    <x v="0"/>
    <x v="0"/>
    <x v="0"/>
    <s v="DK1_Rural"/>
    <x v="1"/>
    <x v="1"/>
    <s v="GNR_HP_ELEC_COP-460"/>
    <x v="0"/>
    <x v="3"/>
    <n v="-0.78260869565217395"/>
    <n v="-285.65217391304401"/>
    <n v="-1028.3478260869599"/>
  </r>
  <r>
    <x v="0"/>
    <x v="0"/>
    <x v="0"/>
    <x v="0"/>
    <x v="0"/>
    <s v="DK1_Rural"/>
    <x v="1"/>
    <x v="1"/>
    <s v="GNR_HP_ELEC_COP-460"/>
    <x v="0"/>
    <x v="4"/>
    <n v="-0.78260869565217395"/>
    <n v="-285.65217391304401"/>
    <n v="-1028.3478260869599"/>
  </r>
  <r>
    <x v="0"/>
    <x v="0"/>
    <x v="0"/>
    <x v="0"/>
    <x v="0"/>
    <s v="DK1_Rural"/>
    <x v="1"/>
    <x v="1"/>
    <s v="GNR_HP_ELEC_COP-460"/>
    <x v="0"/>
    <x v="5"/>
    <n v="-0.78260869565217395"/>
    <n v="-285.65217391304401"/>
    <n v="-1028.3478260869599"/>
  </r>
  <r>
    <x v="0"/>
    <x v="0"/>
    <x v="0"/>
    <x v="0"/>
    <x v="0"/>
    <s v="DK1_Rural"/>
    <x v="1"/>
    <x v="1"/>
    <s v="GNR_HP_ELEC_COP-460"/>
    <x v="0"/>
    <x v="6"/>
    <n v="-0.78260869565217395"/>
    <n v="-285.65217391304401"/>
    <n v="-1028.3478260869599"/>
  </r>
  <r>
    <x v="0"/>
    <x v="0"/>
    <x v="0"/>
    <x v="0"/>
    <x v="0"/>
    <s v="DK1_Rural"/>
    <x v="1"/>
    <x v="1"/>
    <s v="GNR_HP_ELEC_COP-460"/>
    <x v="0"/>
    <x v="7"/>
    <n v="-0.78260869565217395"/>
    <n v="-285.65217391304401"/>
    <n v="-1028.3478260869599"/>
  </r>
  <r>
    <x v="0"/>
    <x v="0"/>
    <x v="0"/>
    <x v="0"/>
    <x v="0"/>
    <s v="DK1_Rural"/>
    <x v="1"/>
    <x v="1"/>
    <s v="GNR_HP_ELEC_COP-460"/>
    <x v="0"/>
    <x v="8"/>
    <n v="-0.78260869565217395"/>
    <n v="-285.65217391304401"/>
    <n v="-1028.3478260869599"/>
  </r>
  <r>
    <x v="0"/>
    <x v="0"/>
    <x v="0"/>
    <x v="0"/>
    <x v="0"/>
    <s v="DK1_Rural"/>
    <x v="1"/>
    <x v="1"/>
    <s v="GNR_HP_ELEC_COP-460"/>
    <x v="0"/>
    <x v="9"/>
    <n v="-0.78260869565217395"/>
    <n v="-285.65217391304401"/>
    <n v="-1028.3478260869599"/>
  </r>
  <r>
    <x v="0"/>
    <x v="0"/>
    <x v="0"/>
    <x v="0"/>
    <x v="0"/>
    <s v="DK1_Rural"/>
    <x v="1"/>
    <x v="1"/>
    <s v="GNR_HP_ELEC_COP-460"/>
    <x v="0"/>
    <x v="10"/>
    <n v="-0.78260869565217395"/>
    <n v="-285.65217391304401"/>
    <n v="-1028.3478260869599"/>
  </r>
  <r>
    <x v="0"/>
    <x v="0"/>
    <x v="0"/>
    <x v="0"/>
    <x v="0"/>
    <s v="DK1_Rural"/>
    <x v="1"/>
    <x v="1"/>
    <s v="GNR_HP_ELEC_COP-460"/>
    <x v="0"/>
    <x v="11"/>
    <n v="-0.78260869565217395"/>
    <n v="-285.65217391304401"/>
    <n v="-1028.3478260869599"/>
  </r>
  <r>
    <x v="0"/>
    <x v="0"/>
    <x v="0"/>
    <x v="0"/>
    <x v="0"/>
    <s v="DK1_Rural"/>
    <x v="1"/>
    <x v="1"/>
    <s v="GNR_HP_ELEC_COP-460"/>
    <x v="0"/>
    <x v="12"/>
    <n v="-0.78260869565217395"/>
    <n v="-285.65217391304401"/>
    <n v="-1028.3478260869599"/>
  </r>
  <r>
    <x v="0"/>
    <x v="0"/>
    <x v="0"/>
    <x v="0"/>
    <x v="0"/>
    <s v="DK1_Rural"/>
    <x v="1"/>
    <x v="1"/>
    <s v="GNR_HP_ELEC_COP-460"/>
    <x v="0"/>
    <x v="13"/>
    <n v="-0.78260869565217395"/>
    <n v="-285.65217391304401"/>
    <n v="-1028.3478260869599"/>
  </r>
  <r>
    <x v="0"/>
    <x v="0"/>
    <x v="0"/>
    <x v="0"/>
    <x v="0"/>
    <s v="DK1_Rural"/>
    <x v="1"/>
    <x v="1"/>
    <s v="GNR_HP_ELEC_COP-460"/>
    <x v="0"/>
    <x v="14"/>
    <n v="-0.78260869565217395"/>
    <n v="-285.65217391304401"/>
    <n v="-1028.3478260869599"/>
  </r>
  <r>
    <x v="0"/>
    <x v="0"/>
    <x v="0"/>
    <x v="0"/>
    <x v="0"/>
    <s v="DK1_Rural"/>
    <x v="1"/>
    <x v="1"/>
    <s v="GNR_HP_ELEC_COP-460"/>
    <x v="0"/>
    <x v="15"/>
    <n v="-0.78260869565217395"/>
    <n v="-285.65217391304401"/>
    <n v="-1028.3478260869599"/>
  </r>
  <r>
    <x v="0"/>
    <x v="0"/>
    <x v="0"/>
    <x v="0"/>
    <x v="0"/>
    <s v="DK1_Rural"/>
    <x v="1"/>
    <x v="1"/>
    <s v="GNR_HP_ELEC_COP-460"/>
    <x v="0"/>
    <x v="16"/>
    <n v="-0.78260869565217395"/>
    <n v="-285.65217391304401"/>
    <n v="-1028.3478260869599"/>
  </r>
  <r>
    <x v="0"/>
    <x v="0"/>
    <x v="0"/>
    <x v="0"/>
    <x v="0"/>
    <s v="DK1_Rural"/>
    <x v="1"/>
    <x v="1"/>
    <s v="GNR_HP_ELEC_COP-460"/>
    <x v="0"/>
    <x v="17"/>
    <n v="-0.78260869565217395"/>
    <n v="-285.65217391304401"/>
    <n v="-1028.3478260869599"/>
  </r>
  <r>
    <x v="0"/>
    <x v="0"/>
    <x v="0"/>
    <x v="0"/>
    <x v="0"/>
    <s v="DK1_Rural"/>
    <x v="1"/>
    <x v="1"/>
    <s v="GNR_HP_ELEC_COP-460"/>
    <x v="0"/>
    <x v="19"/>
    <n v="-0.78260869565217395"/>
    <n v="-285.65217391304401"/>
    <n v="-1028.3478260869599"/>
  </r>
  <r>
    <x v="0"/>
    <x v="0"/>
    <x v="0"/>
    <x v="0"/>
    <x v="0"/>
    <s v="DK1_Rural"/>
    <x v="1"/>
    <x v="1"/>
    <s v="GNR_HP_ELEC_COP-460"/>
    <x v="0"/>
    <x v="20"/>
    <n v="-0.78260869565217395"/>
    <n v="-285.65217391304401"/>
    <n v="-1028.3478260869599"/>
  </r>
  <r>
    <x v="0"/>
    <x v="0"/>
    <x v="0"/>
    <x v="0"/>
    <x v="0"/>
    <s v="DK1_Rural"/>
    <x v="1"/>
    <x v="1"/>
    <s v="GNR_HP_ELEC_COP-460"/>
    <x v="0"/>
    <x v="21"/>
    <n v="-0.78260869565217395"/>
    <n v="-285.65217391304401"/>
    <n v="-1028.3478260869599"/>
  </r>
  <r>
    <x v="0"/>
    <x v="0"/>
    <x v="0"/>
    <x v="0"/>
    <x v="0"/>
    <s v="DK1_Rural"/>
    <x v="1"/>
    <x v="1"/>
    <s v="GNR_HP_ELEC_COP-460"/>
    <x v="0"/>
    <x v="22"/>
    <n v="-0.78260869565217395"/>
    <n v="-285.65217391304401"/>
    <n v="-1028.3478260869599"/>
  </r>
  <r>
    <x v="0"/>
    <x v="0"/>
    <x v="0"/>
    <x v="0"/>
    <x v="0"/>
    <s v="DK1_Rural"/>
    <x v="1"/>
    <x v="1"/>
    <s v="GNR_HP_ELEC_COP-460"/>
    <x v="0"/>
    <x v="23"/>
    <n v="-0.78260869565217395"/>
    <n v="-285.65217391304401"/>
    <n v="-1028.3478260869599"/>
  </r>
  <r>
    <x v="0"/>
    <x v="0"/>
    <x v="0"/>
    <x v="0"/>
    <x v="0"/>
    <s v="DK1_Rural"/>
    <x v="1"/>
    <x v="1"/>
    <s v="GNR_HP_ELEC_COP-470"/>
    <x v="0"/>
    <x v="0"/>
    <n v="-0.20212765957446799"/>
    <n v="-73.776595744680805"/>
    <n v="-265.595744680851"/>
  </r>
  <r>
    <x v="0"/>
    <x v="0"/>
    <x v="0"/>
    <x v="0"/>
    <x v="0"/>
    <s v="DK1_Rural"/>
    <x v="1"/>
    <x v="1"/>
    <s v="GNR_HP_ELEC_COP-470"/>
    <x v="0"/>
    <x v="1"/>
    <n v="-0.20212765957446799"/>
    <n v="-73.776595744680805"/>
    <n v="-265.595744680851"/>
  </r>
  <r>
    <x v="0"/>
    <x v="0"/>
    <x v="0"/>
    <x v="0"/>
    <x v="0"/>
    <s v="DK1_Rural"/>
    <x v="1"/>
    <x v="1"/>
    <s v="GNR_HP_ELEC_COP-470"/>
    <x v="0"/>
    <x v="18"/>
    <n v="-0.20212765957446799"/>
    <n v="-73.776595744680805"/>
    <n v="-265.595744680851"/>
  </r>
  <r>
    <x v="0"/>
    <x v="0"/>
    <x v="0"/>
    <x v="0"/>
    <x v="0"/>
    <s v="DK1_Rural"/>
    <x v="1"/>
    <x v="1"/>
    <s v="GNR_HP_ELEC_COP-470"/>
    <x v="0"/>
    <x v="2"/>
    <n v="-0.20212765957446799"/>
    <n v="-73.776595744680805"/>
    <n v="-265.595744680851"/>
  </r>
  <r>
    <x v="0"/>
    <x v="0"/>
    <x v="0"/>
    <x v="0"/>
    <x v="0"/>
    <s v="DK1_Rural"/>
    <x v="1"/>
    <x v="1"/>
    <s v="GNR_HP_ELEC_COP-470"/>
    <x v="0"/>
    <x v="3"/>
    <n v="-0.20212765957446799"/>
    <n v="-73.776595744680805"/>
    <n v="-265.595744680851"/>
  </r>
  <r>
    <x v="0"/>
    <x v="0"/>
    <x v="0"/>
    <x v="0"/>
    <x v="0"/>
    <s v="DK1_Rural"/>
    <x v="1"/>
    <x v="1"/>
    <s v="GNR_HP_ELEC_COP-470"/>
    <x v="0"/>
    <x v="4"/>
    <n v="-0.20212765957446799"/>
    <n v="-73.776595744680805"/>
    <n v="-265.595744680851"/>
  </r>
  <r>
    <x v="0"/>
    <x v="0"/>
    <x v="0"/>
    <x v="0"/>
    <x v="0"/>
    <s v="DK1_Rural"/>
    <x v="1"/>
    <x v="1"/>
    <s v="GNR_HP_ELEC_COP-470"/>
    <x v="0"/>
    <x v="5"/>
    <n v="-0.20212765957446799"/>
    <n v="-73.776595744680805"/>
    <n v="-265.595744680851"/>
  </r>
  <r>
    <x v="0"/>
    <x v="0"/>
    <x v="0"/>
    <x v="0"/>
    <x v="0"/>
    <s v="DK1_Rural"/>
    <x v="1"/>
    <x v="1"/>
    <s v="GNR_HP_ELEC_COP-470"/>
    <x v="0"/>
    <x v="6"/>
    <n v="-0.20212765957446799"/>
    <n v="-73.776595744680805"/>
    <n v="-265.595744680851"/>
  </r>
  <r>
    <x v="0"/>
    <x v="0"/>
    <x v="0"/>
    <x v="0"/>
    <x v="0"/>
    <s v="DK1_Rural"/>
    <x v="1"/>
    <x v="1"/>
    <s v="GNR_HP_ELEC_COP-470"/>
    <x v="0"/>
    <x v="7"/>
    <n v="-0.20212765957446799"/>
    <n v="-73.776595744680805"/>
    <n v="-265.595744680851"/>
  </r>
  <r>
    <x v="0"/>
    <x v="0"/>
    <x v="0"/>
    <x v="0"/>
    <x v="0"/>
    <s v="DK1_Rural"/>
    <x v="1"/>
    <x v="1"/>
    <s v="GNR_HP_ELEC_COP-470"/>
    <x v="0"/>
    <x v="8"/>
    <n v="-0.20212765957446799"/>
    <n v="-73.776595744680805"/>
    <n v="-265.595744680851"/>
  </r>
  <r>
    <x v="0"/>
    <x v="0"/>
    <x v="0"/>
    <x v="0"/>
    <x v="0"/>
    <s v="DK1_Rural"/>
    <x v="1"/>
    <x v="1"/>
    <s v="GNR_HP_ELEC_COP-470"/>
    <x v="0"/>
    <x v="9"/>
    <n v="-0.20212765957446799"/>
    <n v="-73.776595744680805"/>
    <n v="-265.595744680851"/>
  </r>
  <r>
    <x v="0"/>
    <x v="0"/>
    <x v="0"/>
    <x v="0"/>
    <x v="0"/>
    <s v="DK1_Rural"/>
    <x v="1"/>
    <x v="1"/>
    <s v="GNR_HP_ELEC_COP-470"/>
    <x v="0"/>
    <x v="10"/>
    <n v="-0.20212765957446799"/>
    <n v="-73.776595744680805"/>
    <n v="-265.595744680851"/>
  </r>
  <r>
    <x v="0"/>
    <x v="0"/>
    <x v="0"/>
    <x v="0"/>
    <x v="0"/>
    <s v="DK1_Rural"/>
    <x v="1"/>
    <x v="1"/>
    <s v="GNR_HP_ELEC_COP-470"/>
    <x v="0"/>
    <x v="11"/>
    <n v="-0.20212765957446799"/>
    <n v="-73.776595744680805"/>
    <n v="-265.595744680851"/>
  </r>
  <r>
    <x v="0"/>
    <x v="0"/>
    <x v="0"/>
    <x v="0"/>
    <x v="0"/>
    <s v="DK1_Rural"/>
    <x v="1"/>
    <x v="1"/>
    <s v="GNR_HP_ELEC_COP-470"/>
    <x v="0"/>
    <x v="12"/>
    <n v="-0.20212765957446799"/>
    <n v="-73.776595744680805"/>
    <n v="-265.595744680851"/>
  </r>
  <r>
    <x v="0"/>
    <x v="0"/>
    <x v="0"/>
    <x v="0"/>
    <x v="0"/>
    <s v="DK1_Rural"/>
    <x v="1"/>
    <x v="1"/>
    <s v="GNR_HP_ELEC_COP-470"/>
    <x v="0"/>
    <x v="13"/>
    <n v="-0.20212765957446799"/>
    <n v="-73.776595744680805"/>
    <n v="-265.595744680851"/>
  </r>
  <r>
    <x v="0"/>
    <x v="0"/>
    <x v="0"/>
    <x v="0"/>
    <x v="0"/>
    <s v="DK1_Rural"/>
    <x v="1"/>
    <x v="1"/>
    <s v="GNR_HP_ELEC_COP-470"/>
    <x v="0"/>
    <x v="14"/>
    <n v="-0.20212765957446799"/>
    <n v="-73.776595744680805"/>
    <n v="-265.595744680851"/>
  </r>
  <r>
    <x v="0"/>
    <x v="0"/>
    <x v="0"/>
    <x v="0"/>
    <x v="0"/>
    <s v="DK1_Rural"/>
    <x v="1"/>
    <x v="1"/>
    <s v="GNR_HP_ELEC_COP-470"/>
    <x v="0"/>
    <x v="15"/>
    <n v="-0.20212765957446799"/>
    <n v="-73.776595744680805"/>
    <n v="-265.595744680851"/>
  </r>
  <r>
    <x v="0"/>
    <x v="0"/>
    <x v="0"/>
    <x v="0"/>
    <x v="0"/>
    <s v="DK1_Rural"/>
    <x v="1"/>
    <x v="1"/>
    <s v="GNR_HP_ELEC_COP-470"/>
    <x v="0"/>
    <x v="16"/>
    <n v="-0.20212765957446799"/>
    <n v="-73.776595744680805"/>
    <n v="-265.595744680851"/>
  </r>
  <r>
    <x v="0"/>
    <x v="0"/>
    <x v="0"/>
    <x v="0"/>
    <x v="0"/>
    <s v="DK1_Rural"/>
    <x v="1"/>
    <x v="1"/>
    <s v="GNR_HP_ELEC_COP-470"/>
    <x v="0"/>
    <x v="17"/>
    <n v="-0.20212765957446799"/>
    <n v="-73.776595744680805"/>
    <n v="-265.595744680851"/>
  </r>
  <r>
    <x v="0"/>
    <x v="0"/>
    <x v="0"/>
    <x v="0"/>
    <x v="0"/>
    <s v="DK1_Rural"/>
    <x v="1"/>
    <x v="1"/>
    <s v="GNR_HP_ELEC_COP-470"/>
    <x v="0"/>
    <x v="19"/>
    <n v="-0.20212765957446799"/>
    <n v="-73.776595744680805"/>
    <n v="-265.595744680851"/>
  </r>
  <r>
    <x v="0"/>
    <x v="0"/>
    <x v="0"/>
    <x v="0"/>
    <x v="0"/>
    <s v="DK1_Rural"/>
    <x v="1"/>
    <x v="1"/>
    <s v="GNR_HP_ELEC_COP-470"/>
    <x v="0"/>
    <x v="20"/>
    <n v="-0.20212765957446799"/>
    <n v="-73.776595744680805"/>
    <n v="-265.595744680851"/>
  </r>
  <r>
    <x v="0"/>
    <x v="0"/>
    <x v="0"/>
    <x v="0"/>
    <x v="0"/>
    <s v="DK1_Rural"/>
    <x v="1"/>
    <x v="1"/>
    <s v="GNR_HP_ELEC_COP-470"/>
    <x v="0"/>
    <x v="21"/>
    <n v="-0.20212765957446799"/>
    <n v="-73.776595744680805"/>
    <n v="-265.595744680851"/>
  </r>
  <r>
    <x v="0"/>
    <x v="0"/>
    <x v="0"/>
    <x v="0"/>
    <x v="0"/>
    <s v="DK1_Rural"/>
    <x v="1"/>
    <x v="1"/>
    <s v="GNR_HP_ELEC_COP-470"/>
    <x v="0"/>
    <x v="22"/>
    <n v="-0.20212765957446799"/>
    <n v="-73.776595744680805"/>
    <n v="-265.595744680851"/>
  </r>
  <r>
    <x v="0"/>
    <x v="0"/>
    <x v="0"/>
    <x v="0"/>
    <x v="0"/>
    <s v="DK1_Rural"/>
    <x v="1"/>
    <x v="1"/>
    <s v="GNR_HP_ELEC_COP-470"/>
    <x v="0"/>
    <x v="23"/>
    <n v="-0.20212765957446799"/>
    <n v="-73.776595744680805"/>
    <n v="-265.595744680851"/>
  </r>
  <r>
    <x v="0"/>
    <x v="0"/>
    <x v="0"/>
    <x v="0"/>
    <x v="0"/>
    <s v="DK1_Rural"/>
    <x v="1"/>
    <x v="1"/>
    <s v="GNR_HP_ELEC_COP-500"/>
    <x v="0"/>
    <x v="0"/>
    <n v="-0.1"/>
    <n v="-36.5"/>
    <n v="-131.4"/>
  </r>
  <r>
    <x v="0"/>
    <x v="0"/>
    <x v="0"/>
    <x v="0"/>
    <x v="0"/>
    <s v="DK1_Rural"/>
    <x v="1"/>
    <x v="1"/>
    <s v="GNR_HP_ELEC_COP-500"/>
    <x v="0"/>
    <x v="1"/>
    <n v="-0.1"/>
    <n v="-36.5"/>
    <n v="-131.4"/>
  </r>
  <r>
    <x v="0"/>
    <x v="0"/>
    <x v="0"/>
    <x v="0"/>
    <x v="0"/>
    <s v="DK1_Rural"/>
    <x v="1"/>
    <x v="1"/>
    <s v="GNR_HP_ELEC_COP-500"/>
    <x v="0"/>
    <x v="18"/>
    <n v="-0.1"/>
    <n v="-36.5"/>
    <n v="-131.4"/>
  </r>
  <r>
    <x v="0"/>
    <x v="0"/>
    <x v="0"/>
    <x v="0"/>
    <x v="0"/>
    <s v="DK1_Rural"/>
    <x v="1"/>
    <x v="1"/>
    <s v="GNR_HP_ELEC_COP-500"/>
    <x v="0"/>
    <x v="2"/>
    <n v="-0.1"/>
    <n v="-36.5"/>
    <n v="-131.4"/>
  </r>
  <r>
    <x v="0"/>
    <x v="0"/>
    <x v="0"/>
    <x v="0"/>
    <x v="0"/>
    <s v="DK1_Rural"/>
    <x v="1"/>
    <x v="1"/>
    <s v="GNR_HP_ELEC_COP-500"/>
    <x v="0"/>
    <x v="3"/>
    <n v="-0.1"/>
    <n v="-36.5"/>
    <n v="-131.4"/>
  </r>
  <r>
    <x v="0"/>
    <x v="0"/>
    <x v="0"/>
    <x v="0"/>
    <x v="0"/>
    <s v="DK1_Rural"/>
    <x v="1"/>
    <x v="1"/>
    <s v="GNR_HP_ELEC_COP-500"/>
    <x v="0"/>
    <x v="4"/>
    <n v="-0.1"/>
    <n v="-36.5"/>
    <n v="-131.4"/>
  </r>
  <r>
    <x v="0"/>
    <x v="0"/>
    <x v="0"/>
    <x v="0"/>
    <x v="0"/>
    <s v="DK1_Rural"/>
    <x v="1"/>
    <x v="1"/>
    <s v="GNR_HP_ELEC_COP-500"/>
    <x v="0"/>
    <x v="5"/>
    <n v="-0.1"/>
    <n v="-36.5"/>
    <n v="-131.4"/>
  </r>
  <r>
    <x v="0"/>
    <x v="0"/>
    <x v="0"/>
    <x v="0"/>
    <x v="0"/>
    <s v="DK1_Rural"/>
    <x v="1"/>
    <x v="1"/>
    <s v="GNR_HP_ELEC_COP-500"/>
    <x v="0"/>
    <x v="6"/>
    <n v="-0.1"/>
    <n v="-36.5"/>
    <n v="-131.4"/>
  </r>
  <r>
    <x v="0"/>
    <x v="0"/>
    <x v="0"/>
    <x v="0"/>
    <x v="0"/>
    <s v="DK1_Rural"/>
    <x v="1"/>
    <x v="1"/>
    <s v="GNR_HP_ELEC_COP-500"/>
    <x v="0"/>
    <x v="7"/>
    <n v="-0.1"/>
    <n v="-36.5"/>
    <n v="-131.4"/>
  </r>
  <r>
    <x v="0"/>
    <x v="0"/>
    <x v="0"/>
    <x v="0"/>
    <x v="0"/>
    <s v="DK1_Rural"/>
    <x v="1"/>
    <x v="1"/>
    <s v="GNR_HP_ELEC_COP-500"/>
    <x v="0"/>
    <x v="8"/>
    <n v="-0.1"/>
    <n v="-36.5"/>
    <n v="-131.4"/>
  </r>
  <r>
    <x v="0"/>
    <x v="0"/>
    <x v="0"/>
    <x v="0"/>
    <x v="0"/>
    <s v="DK1_Rural"/>
    <x v="1"/>
    <x v="1"/>
    <s v="GNR_HP_ELEC_COP-500"/>
    <x v="0"/>
    <x v="9"/>
    <n v="-0.1"/>
    <n v="-36.5"/>
    <n v="-131.4"/>
  </r>
  <r>
    <x v="0"/>
    <x v="0"/>
    <x v="0"/>
    <x v="0"/>
    <x v="0"/>
    <s v="DK1_Rural"/>
    <x v="1"/>
    <x v="1"/>
    <s v="GNR_HP_ELEC_COP-500"/>
    <x v="0"/>
    <x v="10"/>
    <n v="-0.1"/>
    <n v="-36.5"/>
    <n v="-131.4"/>
  </r>
  <r>
    <x v="0"/>
    <x v="0"/>
    <x v="0"/>
    <x v="0"/>
    <x v="0"/>
    <s v="DK1_Rural"/>
    <x v="1"/>
    <x v="1"/>
    <s v="GNR_HP_ELEC_COP-500"/>
    <x v="0"/>
    <x v="11"/>
    <n v="-0.1"/>
    <n v="-36.5"/>
    <n v="-131.4"/>
  </r>
  <r>
    <x v="0"/>
    <x v="0"/>
    <x v="0"/>
    <x v="0"/>
    <x v="0"/>
    <s v="DK1_Rural"/>
    <x v="1"/>
    <x v="1"/>
    <s v="GNR_HP_ELEC_COP-500"/>
    <x v="0"/>
    <x v="12"/>
    <n v="-0.1"/>
    <n v="-36.5"/>
    <n v="-131.4"/>
  </r>
  <r>
    <x v="0"/>
    <x v="0"/>
    <x v="0"/>
    <x v="0"/>
    <x v="0"/>
    <s v="DK1_Rural"/>
    <x v="1"/>
    <x v="1"/>
    <s v="GNR_HP_ELEC_COP-500"/>
    <x v="0"/>
    <x v="13"/>
    <n v="-0.1"/>
    <n v="-36.5"/>
    <n v="-131.4"/>
  </r>
  <r>
    <x v="0"/>
    <x v="0"/>
    <x v="0"/>
    <x v="0"/>
    <x v="0"/>
    <s v="DK1_Rural"/>
    <x v="1"/>
    <x v="1"/>
    <s v="GNR_HP_ELEC_COP-500"/>
    <x v="0"/>
    <x v="14"/>
    <n v="-0.1"/>
    <n v="-36.5"/>
    <n v="-131.4"/>
  </r>
  <r>
    <x v="0"/>
    <x v="0"/>
    <x v="0"/>
    <x v="0"/>
    <x v="0"/>
    <s v="DK1_Rural"/>
    <x v="1"/>
    <x v="1"/>
    <s v="GNR_HP_ELEC_COP-500"/>
    <x v="0"/>
    <x v="15"/>
    <n v="-0.1"/>
    <n v="-36.5"/>
    <n v="-131.4"/>
  </r>
  <r>
    <x v="0"/>
    <x v="0"/>
    <x v="0"/>
    <x v="0"/>
    <x v="0"/>
    <s v="DK1_Rural"/>
    <x v="1"/>
    <x v="1"/>
    <s v="GNR_HP_ELEC_COP-500"/>
    <x v="0"/>
    <x v="16"/>
    <n v="-0.1"/>
    <n v="-36.5"/>
    <n v="-131.4"/>
  </r>
  <r>
    <x v="0"/>
    <x v="0"/>
    <x v="0"/>
    <x v="0"/>
    <x v="0"/>
    <s v="DK1_Rural"/>
    <x v="1"/>
    <x v="1"/>
    <s v="GNR_HP_ELEC_COP-500"/>
    <x v="0"/>
    <x v="17"/>
    <n v="-0.1"/>
    <n v="-36.5"/>
    <n v="-131.4"/>
  </r>
  <r>
    <x v="0"/>
    <x v="0"/>
    <x v="0"/>
    <x v="0"/>
    <x v="0"/>
    <s v="DK1_Rural"/>
    <x v="1"/>
    <x v="1"/>
    <s v="GNR_HP_ELEC_COP-500"/>
    <x v="0"/>
    <x v="19"/>
    <n v="-0.1"/>
    <n v="-36.5"/>
    <n v="-131.4"/>
  </r>
  <r>
    <x v="0"/>
    <x v="0"/>
    <x v="0"/>
    <x v="0"/>
    <x v="0"/>
    <s v="DK1_Rural"/>
    <x v="1"/>
    <x v="1"/>
    <s v="GNR_HP_ELEC_COP-500"/>
    <x v="0"/>
    <x v="20"/>
    <n v="-0.1"/>
    <n v="-36.5"/>
    <n v="-131.4"/>
  </r>
  <r>
    <x v="0"/>
    <x v="0"/>
    <x v="0"/>
    <x v="0"/>
    <x v="0"/>
    <s v="DK1_Rural"/>
    <x v="1"/>
    <x v="1"/>
    <s v="GNR_HP_ELEC_COP-500"/>
    <x v="0"/>
    <x v="21"/>
    <n v="-0.1"/>
    <n v="-36.5"/>
    <n v="-131.4"/>
  </r>
  <r>
    <x v="0"/>
    <x v="0"/>
    <x v="0"/>
    <x v="0"/>
    <x v="0"/>
    <s v="DK1_Rural"/>
    <x v="1"/>
    <x v="1"/>
    <s v="GNR_HP_ELEC_COP-500"/>
    <x v="0"/>
    <x v="22"/>
    <n v="-0.1"/>
    <n v="-36.5"/>
    <n v="-131.4"/>
  </r>
  <r>
    <x v="0"/>
    <x v="0"/>
    <x v="0"/>
    <x v="0"/>
    <x v="0"/>
    <s v="DK1_Rural"/>
    <x v="1"/>
    <x v="1"/>
    <s v="GNR_HP_ELEC_COP-500"/>
    <x v="0"/>
    <x v="23"/>
    <n v="-0.1"/>
    <n v="-36.5"/>
    <n v="-131.4"/>
  </r>
  <r>
    <x v="0"/>
    <x v="0"/>
    <x v="0"/>
    <x v="0"/>
    <x v="0"/>
    <s v="DK1_Rural"/>
    <x v="1"/>
    <x v="1"/>
    <s v="GNR_HP_ELEC_COP-530"/>
    <x v="0"/>
    <x v="0"/>
    <n v="-0.25471698113207603"/>
    <n v="-92.971698113207594"/>
    <n v="-334.69811320754701"/>
  </r>
  <r>
    <x v="0"/>
    <x v="0"/>
    <x v="0"/>
    <x v="0"/>
    <x v="0"/>
    <s v="DK1_Rural"/>
    <x v="1"/>
    <x v="1"/>
    <s v="GNR_HP_ELEC_COP-530"/>
    <x v="0"/>
    <x v="1"/>
    <n v="-0.25471698113207603"/>
    <n v="-92.971698113207594"/>
    <n v="-334.69811320754701"/>
  </r>
  <r>
    <x v="0"/>
    <x v="0"/>
    <x v="0"/>
    <x v="0"/>
    <x v="0"/>
    <s v="DK1_Rural"/>
    <x v="1"/>
    <x v="1"/>
    <s v="GNR_HP_ELEC_COP-530"/>
    <x v="0"/>
    <x v="18"/>
    <n v="-0.25471698113207603"/>
    <n v="-92.971698113207594"/>
    <n v="-334.69811320754701"/>
  </r>
  <r>
    <x v="0"/>
    <x v="0"/>
    <x v="0"/>
    <x v="0"/>
    <x v="0"/>
    <s v="DK1_Rural"/>
    <x v="1"/>
    <x v="1"/>
    <s v="GNR_HP_ELEC_COP-530"/>
    <x v="0"/>
    <x v="2"/>
    <n v="-0.25471698113207603"/>
    <n v="-92.971698113207594"/>
    <n v="-334.69811320754701"/>
  </r>
  <r>
    <x v="0"/>
    <x v="0"/>
    <x v="0"/>
    <x v="0"/>
    <x v="0"/>
    <s v="DK1_Rural"/>
    <x v="1"/>
    <x v="1"/>
    <s v="GNR_HP_ELEC_COP-530"/>
    <x v="0"/>
    <x v="3"/>
    <n v="-0.25471698113207603"/>
    <n v="-92.971698113207594"/>
    <n v="-334.69811320754701"/>
  </r>
  <r>
    <x v="0"/>
    <x v="0"/>
    <x v="0"/>
    <x v="0"/>
    <x v="0"/>
    <s v="DK1_Rural"/>
    <x v="1"/>
    <x v="1"/>
    <s v="GNR_HP_ELEC_COP-530"/>
    <x v="0"/>
    <x v="4"/>
    <n v="-0.25471698113207603"/>
    <n v="-92.971698113207594"/>
    <n v="-334.69811320754701"/>
  </r>
  <r>
    <x v="0"/>
    <x v="0"/>
    <x v="0"/>
    <x v="0"/>
    <x v="0"/>
    <s v="DK1_Rural"/>
    <x v="1"/>
    <x v="1"/>
    <s v="GNR_HP_ELEC_COP-530"/>
    <x v="0"/>
    <x v="5"/>
    <n v="-0.25471698113207603"/>
    <n v="-92.971698113207594"/>
    <n v="-334.69811320754701"/>
  </r>
  <r>
    <x v="0"/>
    <x v="0"/>
    <x v="0"/>
    <x v="0"/>
    <x v="0"/>
    <s v="DK1_Rural"/>
    <x v="1"/>
    <x v="1"/>
    <s v="GNR_HP_ELEC_COP-530"/>
    <x v="0"/>
    <x v="6"/>
    <n v="-0.25471698113207603"/>
    <n v="-92.971698113207594"/>
    <n v="-334.69811320754701"/>
  </r>
  <r>
    <x v="0"/>
    <x v="0"/>
    <x v="0"/>
    <x v="0"/>
    <x v="0"/>
    <s v="DK1_Rural"/>
    <x v="1"/>
    <x v="1"/>
    <s v="GNR_HP_ELEC_COP-530"/>
    <x v="0"/>
    <x v="7"/>
    <n v="-0.25471698113207603"/>
    <n v="-92.971698113207594"/>
    <n v="-334.69811320754701"/>
  </r>
  <r>
    <x v="0"/>
    <x v="0"/>
    <x v="0"/>
    <x v="0"/>
    <x v="0"/>
    <s v="DK1_Rural"/>
    <x v="1"/>
    <x v="1"/>
    <s v="GNR_HP_ELEC_COP-530"/>
    <x v="0"/>
    <x v="8"/>
    <n v="-0.25471698113207603"/>
    <n v="-92.971698113207594"/>
    <n v="-334.69811320754701"/>
  </r>
  <r>
    <x v="0"/>
    <x v="0"/>
    <x v="0"/>
    <x v="0"/>
    <x v="0"/>
    <s v="DK1_Rural"/>
    <x v="1"/>
    <x v="1"/>
    <s v="GNR_HP_ELEC_COP-530"/>
    <x v="0"/>
    <x v="9"/>
    <n v="-0.25471698113207603"/>
    <n v="-92.971698113207594"/>
    <n v="-334.69811320754701"/>
  </r>
  <r>
    <x v="0"/>
    <x v="0"/>
    <x v="0"/>
    <x v="0"/>
    <x v="0"/>
    <s v="DK1_Rural"/>
    <x v="1"/>
    <x v="1"/>
    <s v="GNR_HP_ELEC_COP-530"/>
    <x v="0"/>
    <x v="10"/>
    <n v="-0.25471698113207603"/>
    <n v="-92.971698113207594"/>
    <n v="-334.69811320754701"/>
  </r>
  <r>
    <x v="0"/>
    <x v="0"/>
    <x v="0"/>
    <x v="0"/>
    <x v="0"/>
    <s v="DK1_Rural"/>
    <x v="1"/>
    <x v="1"/>
    <s v="GNR_HP_ELEC_COP-530"/>
    <x v="0"/>
    <x v="11"/>
    <n v="-0.25471698113207603"/>
    <n v="-92.971698113207594"/>
    <n v="-334.69811320754701"/>
  </r>
  <r>
    <x v="0"/>
    <x v="0"/>
    <x v="0"/>
    <x v="0"/>
    <x v="0"/>
    <s v="DK1_Rural"/>
    <x v="1"/>
    <x v="1"/>
    <s v="GNR_HP_ELEC_COP-530"/>
    <x v="0"/>
    <x v="12"/>
    <n v="-0.25471698113207603"/>
    <n v="-92.971698113207594"/>
    <n v="-334.69811320754701"/>
  </r>
  <r>
    <x v="0"/>
    <x v="0"/>
    <x v="0"/>
    <x v="0"/>
    <x v="0"/>
    <s v="DK1_Rural"/>
    <x v="1"/>
    <x v="1"/>
    <s v="GNR_HP_ELEC_COP-530"/>
    <x v="0"/>
    <x v="13"/>
    <n v="-0.25471698113207603"/>
    <n v="-92.971698113207594"/>
    <n v="-334.69811320754701"/>
  </r>
  <r>
    <x v="0"/>
    <x v="0"/>
    <x v="0"/>
    <x v="0"/>
    <x v="0"/>
    <s v="DK1_Rural"/>
    <x v="1"/>
    <x v="1"/>
    <s v="GNR_HP_ELEC_COP-530"/>
    <x v="0"/>
    <x v="14"/>
    <n v="-0.25471698113207603"/>
    <n v="-92.971698113207594"/>
    <n v="-334.69811320754701"/>
  </r>
  <r>
    <x v="0"/>
    <x v="0"/>
    <x v="0"/>
    <x v="0"/>
    <x v="0"/>
    <s v="DK1_Rural"/>
    <x v="1"/>
    <x v="1"/>
    <s v="GNR_HP_ELEC_COP-530"/>
    <x v="0"/>
    <x v="15"/>
    <n v="-0.25471698113207603"/>
    <n v="-92.971698113207594"/>
    <n v="-334.69811320754701"/>
  </r>
  <r>
    <x v="0"/>
    <x v="0"/>
    <x v="0"/>
    <x v="0"/>
    <x v="0"/>
    <s v="DK1_Rural"/>
    <x v="1"/>
    <x v="1"/>
    <s v="GNR_HP_ELEC_COP-530"/>
    <x v="0"/>
    <x v="16"/>
    <n v="-0.25471698113207603"/>
    <n v="-92.971698113207594"/>
    <n v="-334.69811320754701"/>
  </r>
  <r>
    <x v="0"/>
    <x v="0"/>
    <x v="0"/>
    <x v="0"/>
    <x v="0"/>
    <s v="DK1_Rural"/>
    <x v="1"/>
    <x v="1"/>
    <s v="GNR_HP_ELEC_COP-530"/>
    <x v="0"/>
    <x v="17"/>
    <n v="-0.25471698113207603"/>
    <n v="-92.971698113207594"/>
    <n v="-334.69811320754701"/>
  </r>
  <r>
    <x v="0"/>
    <x v="0"/>
    <x v="0"/>
    <x v="0"/>
    <x v="0"/>
    <s v="DK1_Rural"/>
    <x v="1"/>
    <x v="1"/>
    <s v="GNR_HP_ELEC_COP-530"/>
    <x v="0"/>
    <x v="19"/>
    <n v="-0.25471698113207603"/>
    <n v="-92.971698113207594"/>
    <n v="-334.69811320754701"/>
  </r>
  <r>
    <x v="0"/>
    <x v="0"/>
    <x v="0"/>
    <x v="0"/>
    <x v="0"/>
    <s v="DK1_Rural"/>
    <x v="1"/>
    <x v="1"/>
    <s v="GNR_HP_ELEC_COP-530"/>
    <x v="0"/>
    <x v="20"/>
    <n v="-0.25471698113207603"/>
    <n v="-92.971698113207594"/>
    <n v="-334.69811320754701"/>
  </r>
  <r>
    <x v="0"/>
    <x v="0"/>
    <x v="0"/>
    <x v="0"/>
    <x v="0"/>
    <s v="DK1_Rural"/>
    <x v="1"/>
    <x v="1"/>
    <s v="GNR_HP_ELEC_COP-530"/>
    <x v="0"/>
    <x v="21"/>
    <n v="-0.25471698113207603"/>
    <n v="-92.971698113207594"/>
    <n v="-334.69811320754701"/>
  </r>
  <r>
    <x v="0"/>
    <x v="0"/>
    <x v="0"/>
    <x v="0"/>
    <x v="0"/>
    <s v="DK1_Rural"/>
    <x v="1"/>
    <x v="1"/>
    <s v="GNR_HP_ELEC_COP-530"/>
    <x v="0"/>
    <x v="22"/>
    <n v="-0.25471698113207603"/>
    <n v="-92.971698113207594"/>
    <n v="-334.69811320754701"/>
  </r>
  <r>
    <x v="0"/>
    <x v="0"/>
    <x v="0"/>
    <x v="0"/>
    <x v="0"/>
    <s v="DK1_Rural"/>
    <x v="1"/>
    <x v="1"/>
    <s v="GNR_HP_ELEC_COP-530"/>
    <x v="0"/>
    <x v="23"/>
    <n v="-0.25471698113207603"/>
    <n v="-92.971698113207594"/>
    <n v="-334.69811320754701"/>
  </r>
  <r>
    <x v="0"/>
    <x v="0"/>
    <x v="0"/>
    <x v="0"/>
    <x v="0"/>
    <s v="DK1_Rural"/>
    <x v="1"/>
    <x v="1"/>
    <s v="GNR_HP_ELEC_COP-600"/>
    <x v="0"/>
    <x v="0"/>
    <n v="-0.05"/>
    <n v="-18.25"/>
    <n v="-65.7"/>
  </r>
  <r>
    <x v="0"/>
    <x v="0"/>
    <x v="0"/>
    <x v="0"/>
    <x v="0"/>
    <s v="DK1_Rural"/>
    <x v="1"/>
    <x v="1"/>
    <s v="GNR_HP_ELEC_COP-600"/>
    <x v="0"/>
    <x v="1"/>
    <n v="-0.05"/>
    <n v="-18.25"/>
    <n v="-65.7"/>
  </r>
  <r>
    <x v="0"/>
    <x v="0"/>
    <x v="0"/>
    <x v="0"/>
    <x v="0"/>
    <s v="DK1_Rural"/>
    <x v="1"/>
    <x v="1"/>
    <s v="GNR_HP_ELEC_COP-600"/>
    <x v="0"/>
    <x v="18"/>
    <n v="-0.05"/>
    <n v="-18.25"/>
    <n v="-65.7"/>
  </r>
  <r>
    <x v="0"/>
    <x v="0"/>
    <x v="0"/>
    <x v="0"/>
    <x v="0"/>
    <s v="DK1_Rural"/>
    <x v="1"/>
    <x v="1"/>
    <s v="GNR_HP_ELEC_COP-600"/>
    <x v="0"/>
    <x v="2"/>
    <n v="-0.05"/>
    <n v="-18.25"/>
    <n v="-65.7"/>
  </r>
  <r>
    <x v="0"/>
    <x v="0"/>
    <x v="0"/>
    <x v="0"/>
    <x v="0"/>
    <s v="DK1_Rural"/>
    <x v="1"/>
    <x v="1"/>
    <s v="GNR_HP_ELEC_COP-600"/>
    <x v="0"/>
    <x v="3"/>
    <n v="-0.05"/>
    <n v="-18.25"/>
    <n v="-65.7"/>
  </r>
  <r>
    <x v="0"/>
    <x v="0"/>
    <x v="0"/>
    <x v="0"/>
    <x v="0"/>
    <s v="DK1_Rural"/>
    <x v="1"/>
    <x v="1"/>
    <s v="GNR_HP_ELEC_COP-600"/>
    <x v="0"/>
    <x v="4"/>
    <n v="-0.05"/>
    <n v="-18.25"/>
    <n v="-65.7"/>
  </r>
  <r>
    <x v="0"/>
    <x v="0"/>
    <x v="0"/>
    <x v="0"/>
    <x v="0"/>
    <s v="DK1_Rural"/>
    <x v="1"/>
    <x v="1"/>
    <s v="GNR_HP_ELEC_COP-600"/>
    <x v="0"/>
    <x v="5"/>
    <n v="-0.05"/>
    <n v="-18.25"/>
    <n v="-65.7"/>
  </r>
  <r>
    <x v="0"/>
    <x v="0"/>
    <x v="0"/>
    <x v="0"/>
    <x v="0"/>
    <s v="DK1_Rural"/>
    <x v="1"/>
    <x v="1"/>
    <s v="GNR_HP_ELEC_COP-600"/>
    <x v="0"/>
    <x v="6"/>
    <n v="-0.05"/>
    <n v="-18.25"/>
    <n v="-65.7"/>
  </r>
  <r>
    <x v="0"/>
    <x v="0"/>
    <x v="0"/>
    <x v="0"/>
    <x v="0"/>
    <s v="DK1_Rural"/>
    <x v="1"/>
    <x v="1"/>
    <s v="GNR_HP_ELEC_COP-600"/>
    <x v="0"/>
    <x v="7"/>
    <n v="-0.05"/>
    <n v="-18.25"/>
    <n v="-65.7"/>
  </r>
  <r>
    <x v="0"/>
    <x v="0"/>
    <x v="0"/>
    <x v="0"/>
    <x v="0"/>
    <s v="DK1_Rural"/>
    <x v="1"/>
    <x v="1"/>
    <s v="GNR_HP_ELEC_COP-600"/>
    <x v="0"/>
    <x v="8"/>
    <n v="-0.05"/>
    <n v="-18.25"/>
    <n v="-65.7"/>
  </r>
  <r>
    <x v="0"/>
    <x v="0"/>
    <x v="0"/>
    <x v="0"/>
    <x v="0"/>
    <s v="DK1_Rural"/>
    <x v="1"/>
    <x v="1"/>
    <s v="GNR_HP_ELEC_COP-600"/>
    <x v="0"/>
    <x v="9"/>
    <n v="-0.05"/>
    <n v="-18.25"/>
    <n v="-65.7"/>
  </r>
  <r>
    <x v="0"/>
    <x v="0"/>
    <x v="0"/>
    <x v="0"/>
    <x v="0"/>
    <s v="DK1_Rural"/>
    <x v="1"/>
    <x v="1"/>
    <s v="GNR_HP_ELEC_COP-600"/>
    <x v="0"/>
    <x v="10"/>
    <n v="-0.05"/>
    <n v="-18.25"/>
    <n v="-65.7"/>
  </r>
  <r>
    <x v="0"/>
    <x v="0"/>
    <x v="0"/>
    <x v="0"/>
    <x v="0"/>
    <s v="DK1_Rural"/>
    <x v="1"/>
    <x v="1"/>
    <s v="GNR_HP_ELEC_COP-600"/>
    <x v="0"/>
    <x v="11"/>
    <n v="-0.05"/>
    <n v="-18.25"/>
    <n v="-65.7"/>
  </r>
  <r>
    <x v="0"/>
    <x v="0"/>
    <x v="0"/>
    <x v="0"/>
    <x v="0"/>
    <s v="DK1_Rural"/>
    <x v="1"/>
    <x v="1"/>
    <s v="GNR_HP_ELEC_COP-600"/>
    <x v="0"/>
    <x v="12"/>
    <n v="-0.05"/>
    <n v="-18.25"/>
    <n v="-65.7"/>
  </r>
  <r>
    <x v="0"/>
    <x v="0"/>
    <x v="0"/>
    <x v="0"/>
    <x v="0"/>
    <s v="DK1_Rural"/>
    <x v="1"/>
    <x v="1"/>
    <s v="GNR_HP_ELEC_COP-600"/>
    <x v="0"/>
    <x v="13"/>
    <n v="-0.05"/>
    <n v="-18.25"/>
    <n v="-65.7"/>
  </r>
  <r>
    <x v="0"/>
    <x v="0"/>
    <x v="0"/>
    <x v="0"/>
    <x v="0"/>
    <s v="DK1_Rural"/>
    <x v="1"/>
    <x v="1"/>
    <s v="GNR_HP_ELEC_COP-600"/>
    <x v="0"/>
    <x v="14"/>
    <n v="-0.05"/>
    <n v="-18.25"/>
    <n v="-65.7"/>
  </r>
  <r>
    <x v="0"/>
    <x v="0"/>
    <x v="0"/>
    <x v="0"/>
    <x v="0"/>
    <s v="DK1_Rural"/>
    <x v="1"/>
    <x v="1"/>
    <s v="GNR_HP_ELEC_COP-600"/>
    <x v="0"/>
    <x v="15"/>
    <n v="-0.05"/>
    <n v="-18.25"/>
    <n v="-65.7"/>
  </r>
  <r>
    <x v="0"/>
    <x v="0"/>
    <x v="0"/>
    <x v="0"/>
    <x v="0"/>
    <s v="DK1_Rural"/>
    <x v="1"/>
    <x v="1"/>
    <s v="GNR_HP_ELEC_COP-600"/>
    <x v="0"/>
    <x v="16"/>
    <n v="-0.05"/>
    <n v="-18.25"/>
    <n v="-65.7"/>
  </r>
  <r>
    <x v="0"/>
    <x v="0"/>
    <x v="0"/>
    <x v="0"/>
    <x v="0"/>
    <s v="DK1_Rural"/>
    <x v="1"/>
    <x v="1"/>
    <s v="GNR_HP_ELEC_COP-600"/>
    <x v="0"/>
    <x v="17"/>
    <n v="-0.05"/>
    <n v="-18.25"/>
    <n v="-65.7"/>
  </r>
  <r>
    <x v="0"/>
    <x v="0"/>
    <x v="0"/>
    <x v="0"/>
    <x v="0"/>
    <s v="DK1_Rural"/>
    <x v="1"/>
    <x v="1"/>
    <s v="GNR_HP_ELEC_COP-600"/>
    <x v="0"/>
    <x v="19"/>
    <n v="-0.05"/>
    <n v="-18.25"/>
    <n v="-65.7"/>
  </r>
  <r>
    <x v="0"/>
    <x v="0"/>
    <x v="0"/>
    <x v="0"/>
    <x v="0"/>
    <s v="DK1_Rural"/>
    <x v="1"/>
    <x v="1"/>
    <s v="GNR_HP_ELEC_COP-600"/>
    <x v="0"/>
    <x v="20"/>
    <n v="-0.05"/>
    <n v="-18.25"/>
    <n v="-65.7"/>
  </r>
  <r>
    <x v="0"/>
    <x v="0"/>
    <x v="0"/>
    <x v="0"/>
    <x v="0"/>
    <s v="DK1_Rural"/>
    <x v="1"/>
    <x v="1"/>
    <s v="GNR_HP_ELEC_COP-600"/>
    <x v="0"/>
    <x v="21"/>
    <n v="-0.05"/>
    <n v="-18.25"/>
    <n v="-65.7"/>
  </r>
  <r>
    <x v="0"/>
    <x v="0"/>
    <x v="0"/>
    <x v="0"/>
    <x v="0"/>
    <s v="DK1_Rural"/>
    <x v="1"/>
    <x v="1"/>
    <s v="GNR_HP_ELEC_COP-600"/>
    <x v="0"/>
    <x v="22"/>
    <n v="-0.05"/>
    <n v="-18.25"/>
    <n v="-65.7"/>
  </r>
  <r>
    <x v="0"/>
    <x v="0"/>
    <x v="0"/>
    <x v="0"/>
    <x v="0"/>
    <s v="DK1_Rural"/>
    <x v="1"/>
    <x v="1"/>
    <s v="GNR_HP_ELEC_COP-600"/>
    <x v="0"/>
    <x v="23"/>
    <n v="-0.05"/>
    <n v="-18.25"/>
    <n v="-65.7"/>
  </r>
  <r>
    <x v="0"/>
    <x v="0"/>
    <x v="0"/>
    <x v="0"/>
    <x v="0"/>
    <s v="DK1_Rural"/>
    <x v="3"/>
    <x v="2"/>
    <s v="GNR_ST_STRW_BP_E-26"/>
    <x v="0"/>
    <x v="0"/>
    <n v="2.2999999999999998"/>
    <n v="839.5"/>
    <n v="3022.2"/>
  </r>
  <r>
    <x v="0"/>
    <x v="0"/>
    <x v="0"/>
    <x v="0"/>
    <x v="0"/>
    <s v="DK1_Rural"/>
    <x v="3"/>
    <x v="2"/>
    <s v="GNR_ST_STRW_BP_E-26"/>
    <x v="0"/>
    <x v="1"/>
    <n v="2.2999999999999998"/>
    <n v="839.5"/>
    <n v="3022.2"/>
  </r>
  <r>
    <x v="0"/>
    <x v="0"/>
    <x v="0"/>
    <x v="0"/>
    <x v="0"/>
    <s v="DK1_Rural"/>
    <x v="3"/>
    <x v="2"/>
    <s v="GNR_ST_STRW_BP_E-26"/>
    <x v="0"/>
    <x v="18"/>
    <n v="2.2999999999999998"/>
    <n v="839.5"/>
    <n v="3022.2"/>
  </r>
  <r>
    <x v="0"/>
    <x v="0"/>
    <x v="0"/>
    <x v="0"/>
    <x v="0"/>
    <s v="DK1_Rural"/>
    <x v="3"/>
    <x v="2"/>
    <s v="GNR_ST_STRW_BP_E-26"/>
    <x v="0"/>
    <x v="2"/>
    <n v="2.2999999999999998"/>
    <n v="839.5"/>
    <n v="3022.2"/>
  </r>
  <r>
    <x v="0"/>
    <x v="0"/>
    <x v="0"/>
    <x v="0"/>
    <x v="0"/>
    <s v="DK1_Rural"/>
    <x v="3"/>
    <x v="2"/>
    <s v="GNR_ST_STRW_BP_E-26"/>
    <x v="0"/>
    <x v="3"/>
    <n v="2.2999999999999998"/>
    <n v="839.5"/>
    <n v="3022.2"/>
  </r>
  <r>
    <x v="0"/>
    <x v="0"/>
    <x v="0"/>
    <x v="0"/>
    <x v="0"/>
    <s v="DK1_Rural"/>
    <x v="3"/>
    <x v="2"/>
    <s v="GNR_ST_STRW_BP_E-26"/>
    <x v="0"/>
    <x v="4"/>
    <n v="2.2999999999999998"/>
    <n v="839.5"/>
    <n v="3022.2"/>
  </r>
  <r>
    <x v="0"/>
    <x v="0"/>
    <x v="0"/>
    <x v="0"/>
    <x v="0"/>
    <s v="DK1_Rural"/>
    <x v="3"/>
    <x v="2"/>
    <s v="GNR_ST_STRW_BP_E-26"/>
    <x v="0"/>
    <x v="5"/>
    <n v="2.2999999999999998"/>
    <n v="839.5"/>
    <n v="3022.2"/>
  </r>
  <r>
    <x v="0"/>
    <x v="0"/>
    <x v="0"/>
    <x v="0"/>
    <x v="0"/>
    <s v="DK1_Rural"/>
    <x v="3"/>
    <x v="2"/>
    <s v="GNR_ST_STRW_BP_E-26"/>
    <x v="0"/>
    <x v="6"/>
    <n v="2.2999999999999998"/>
    <n v="839.5"/>
    <n v="3022.2"/>
  </r>
  <r>
    <x v="0"/>
    <x v="0"/>
    <x v="0"/>
    <x v="0"/>
    <x v="0"/>
    <s v="DK1_Rural"/>
    <x v="3"/>
    <x v="2"/>
    <s v="GNR_ST_STRW_BP_E-26"/>
    <x v="0"/>
    <x v="7"/>
    <n v="2.2999999999999998"/>
    <n v="839.5"/>
    <n v="3022.2"/>
  </r>
  <r>
    <x v="0"/>
    <x v="0"/>
    <x v="0"/>
    <x v="0"/>
    <x v="0"/>
    <s v="DK1_Rural"/>
    <x v="3"/>
    <x v="2"/>
    <s v="GNR_ST_STRW_BP_E-26"/>
    <x v="0"/>
    <x v="8"/>
    <n v="2.2999999999999998"/>
    <n v="839.5"/>
    <n v="3022.2"/>
  </r>
  <r>
    <x v="0"/>
    <x v="0"/>
    <x v="0"/>
    <x v="0"/>
    <x v="0"/>
    <s v="DK1_Rural"/>
    <x v="3"/>
    <x v="2"/>
    <s v="GNR_ST_STRW_BP_E-26"/>
    <x v="0"/>
    <x v="9"/>
    <n v="2.2999999999999998"/>
    <n v="839.5"/>
    <n v="3022.2"/>
  </r>
  <r>
    <x v="0"/>
    <x v="0"/>
    <x v="0"/>
    <x v="0"/>
    <x v="0"/>
    <s v="DK1_Rural"/>
    <x v="3"/>
    <x v="2"/>
    <s v="GNR_ST_STRW_BP_E-26"/>
    <x v="0"/>
    <x v="10"/>
    <n v="2.2999999999999998"/>
    <n v="839.5"/>
    <n v="3022.2"/>
  </r>
  <r>
    <x v="0"/>
    <x v="0"/>
    <x v="0"/>
    <x v="0"/>
    <x v="0"/>
    <s v="DK1_Rural"/>
    <x v="3"/>
    <x v="2"/>
    <s v="GNR_ST_STRW_BP_E-26"/>
    <x v="0"/>
    <x v="11"/>
    <n v="2.2999999999999998"/>
    <n v="839.5"/>
    <n v="3022.2"/>
  </r>
  <r>
    <x v="0"/>
    <x v="0"/>
    <x v="0"/>
    <x v="0"/>
    <x v="0"/>
    <s v="DK1_Rural"/>
    <x v="3"/>
    <x v="2"/>
    <s v="GNR_ST_STRW_BP_E-26"/>
    <x v="0"/>
    <x v="12"/>
    <n v="2.2999999999999998"/>
    <n v="839.5"/>
    <n v="3022.2"/>
  </r>
  <r>
    <x v="0"/>
    <x v="0"/>
    <x v="0"/>
    <x v="0"/>
    <x v="0"/>
    <s v="DK1_Rural"/>
    <x v="3"/>
    <x v="2"/>
    <s v="GNR_ST_STRW_BP_E-26"/>
    <x v="0"/>
    <x v="13"/>
    <n v="2.2999999999999998"/>
    <n v="839.5"/>
    <n v="3022.2"/>
  </r>
  <r>
    <x v="0"/>
    <x v="0"/>
    <x v="0"/>
    <x v="0"/>
    <x v="0"/>
    <s v="DK1_Rural"/>
    <x v="3"/>
    <x v="2"/>
    <s v="GNR_ST_STRW_BP_E-26"/>
    <x v="0"/>
    <x v="14"/>
    <n v="2.2999999999999998"/>
    <n v="839.5"/>
    <n v="3022.2"/>
  </r>
  <r>
    <x v="0"/>
    <x v="0"/>
    <x v="0"/>
    <x v="0"/>
    <x v="0"/>
    <s v="DK1_Rural"/>
    <x v="3"/>
    <x v="2"/>
    <s v="GNR_ST_STRW_BP_E-26"/>
    <x v="0"/>
    <x v="15"/>
    <n v="2.2999999999999998"/>
    <n v="839.5"/>
    <n v="3022.2"/>
  </r>
  <r>
    <x v="0"/>
    <x v="0"/>
    <x v="0"/>
    <x v="0"/>
    <x v="0"/>
    <s v="DK1_Rural"/>
    <x v="3"/>
    <x v="2"/>
    <s v="GNR_ST_STRW_BP_E-26"/>
    <x v="0"/>
    <x v="16"/>
    <n v="2.2999999999999998"/>
    <n v="839.5"/>
    <n v="3022.2"/>
  </r>
  <r>
    <x v="0"/>
    <x v="0"/>
    <x v="0"/>
    <x v="0"/>
    <x v="0"/>
    <s v="DK1_Rural"/>
    <x v="3"/>
    <x v="2"/>
    <s v="GNR_ST_STRW_BP_E-26"/>
    <x v="0"/>
    <x v="17"/>
    <n v="2.2999999999999998"/>
    <n v="839.5"/>
    <n v="3022.2"/>
  </r>
  <r>
    <x v="0"/>
    <x v="0"/>
    <x v="0"/>
    <x v="0"/>
    <x v="0"/>
    <s v="DK1_Rural"/>
    <x v="3"/>
    <x v="2"/>
    <s v="GNR_ST_STRW_BP_E-26"/>
    <x v="0"/>
    <x v="19"/>
    <n v="2.2999999999999998"/>
    <n v="839.5"/>
    <n v="3022.2"/>
  </r>
  <r>
    <x v="0"/>
    <x v="0"/>
    <x v="0"/>
    <x v="0"/>
    <x v="0"/>
    <s v="DK1_Rural"/>
    <x v="3"/>
    <x v="2"/>
    <s v="GNR_ST_STRW_BP_E-26"/>
    <x v="0"/>
    <x v="20"/>
    <n v="2.2999999999999998"/>
    <n v="839.5"/>
    <n v="3022.2"/>
  </r>
  <r>
    <x v="0"/>
    <x v="0"/>
    <x v="0"/>
    <x v="0"/>
    <x v="0"/>
    <s v="DK1_Rural"/>
    <x v="3"/>
    <x v="2"/>
    <s v="GNR_ST_STRW_BP_E-26"/>
    <x v="0"/>
    <x v="21"/>
    <n v="2.2999999999999998"/>
    <n v="839.5"/>
    <n v="3022.2"/>
  </r>
  <r>
    <x v="0"/>
    <x v="0"/>
    <x v="0"/>
    <x v="0"/>
    <x v="0"/>
    <s v="DK1_Rural"/>
    <x v="3"/>
    <x v="2"/>
    <s v="GNR_ST_STRW_BP_E-26"/>
    <x v="0"/>
    <x v="22"/>
    <n v="2.2999999999999998"/>
    <n v="839.5"/>
    <n v="3022.2"/>
  </r>
  <r>
    <x v="0"/>
    <x v="0"/>
    <x v="0"/>
    <x v="0"/>
    <x v="0"/>
    <s v="DK1_Rural"/>
    <x v="4"/>
    <x v="2"/>
    <s v="GNR_ST_WOODCHI_BP_E-27"/>
    <x v="0"/>
    <x v="5"/>
    <n v="1.23566192193534"/>
    <n v="451.01660150639901"/>
    <n v="1623.65976542304"/>
  </r>
  <r>
    <x v="0"/>
    <x v="0"/>
    <x v="0"/>
    <x v="0"/>
    <x v="0"/>
    <s v="DK1_Rural"/>
    <x v="4"/>
    <x v="2"/>
    <s v="GNR_ST_WOODCHI_BP_E-27"/>
    <x v="0"/>
    <x v="6"/>
    <n v="4.7"/>
    <n v="1715.5"/>
    <n v="6175.8"/>
  </r>
  <r>
    <x v="0"/>
    <x v="0"/>
    <x v="0"/>
    <x v="0"/>
    <x v="0"/>
    <s v="DK1_Rural"/>
    <x v="4"/>
    <x v="2"/>
    <s v="GNR_ST_WOODCHI_BP_E-27"/>
    <x v="0"/>
    <x v="7"/>
    <n v="4.7"/>
    <n v="1715.5"/>
    <n v="6175.8"/>
  </r>
  <r>
    <x v="0"/>
    <x v="0"/>
    <x v="0"/>
    <x v="0"/>
    <x v="0"/>
    <s v="DK1_Rural"/>
    <x v="4"/>
    <x v="2"/>
    <s v="GNR_ST_WOODCHI_BP_E-27"/>
    <x v="0"/>
    <x v="8"/>
    <n v="4.7"/>
    <n v="1715.5"/>
    <n v="6175.8"/>
  </r>
  <r>
    <x v="0"/>
    <x v="0"/>
    <x v="0"/>
    <x v="0"/>
    <x v="0"/>
    <s v="DK1_Rural"/>
    <x v="4"/>
    <x v="2"/>
    <s v="GNR_ST_WOODCHI_BP_E-27"/>
    <x v="0"/>
    <x v="9"/>
    <n v="4.7"/>
    <n v="1715.5"/>
    <n v="6175.8"/>
  </r>
  <r>
    <x v="0"/>
    <x v="0"/>
    <x v="0"/>
    <x v="0"/>
    <x v="0"/>
    <s v="DK1_Rural"/>
    <x v="4"/>
    <x v="2"/>
    <s v="GNR_ST_WOODCHI_BP_E-27"/>
    <x v="0"/>
    <x v="10"/>
    <n v="4.7"/>
    <n v="1715.5"/>
    <n v="6175.8"/>
  </r>
  <r>
    <x v="0"/>
    <x v="0"/>
    <x v="0"/>
    <x v="0"/>
    <x v="0"/>
    <s v="DK1_Rural"/>
    <x v="4"/>
    <x v="2"/>
    <s v="GNR_ST_WOODCHI_BP_E-27"/>
    <x v="0"/>
    <x v="11"/>
    <n v="4.7"/>
    <n v="1715.5"/>
    <n v="6175.8"/>
  </r>
  <r>
    <x v="0"/>
    <x v="0"/>
    <x v="0"/>
    <x v="0"/>
    <x v="0"/>
    <s v="DK1_Rural"/>
    <x v="4"/>
    <x v="2"/>
    <s v="GNR_ST_WOODCHI_BP_E-27"/>
    <x v="0"/>
    <x v="12"/>
    <n v="4.7"/>
    <n v="1715.5"/>
    <n v="6175.8"/>
  </r>
  <r>
    <x v="0"/>
    <x v="0"/>
    <x v="0"/>
    <x v="0"/>
    <x v="0"/>
    <s v="DK1_Rural"/>
    <x v="4"/>
    <x v="2"/>
    <s v="GNR_ST_WOODCHI_BP_E-27"/>
    <x v="0"/>
    <x v="13"/>
    <n v="4.7"/>
    <n v="1715.5"/>
    <n v="6175.8"/>
  </r>
  <r>
    <x v="0"/>
    <x v="0"/>
    <x v="0"/>
    <x v="0"/>
    <x v="0"/>
    <s v="DK1_Rural"/>
    <x v="4"/>
    <x v="2"/>
    <s v="GNR_ST_WOODCHI_BP_E-27"/>
    <x v="0"/>
    <x v="14"/>
    <n v="4.7"/>
    <n v="1715.5"/>
    <n v="6175.8"/>
  </r>
  <r>
    <x v="0"/>
    <x v="0"/>
    <x v="0"/>
    <x v="0"/>
    <x v="0"/>
    <s v="DK1_Rural"/>
    <x v="4"/>
    <x v="2"/>
    <s v="GNR_ST_WOODCHI_BP_E-27"/>
    <x v="0"/>
    <x v="15"/>
    <n v="4.7"/>
    <n v="1715.5"/>
    <n v="6175.8"/>
  </r>
  <r>
    <x v="0"/>
    <x v="0"/>
    <x v="0"/>
    <x v="0"/>
    <x v="0"/>
    <s v="DK1_Rural"/>
    <x v="4"/>
    <x v="2"/>
    <s v="GNR_ST_WOODCHI_BP_E-27"/>
    <x v="0"/>
    <x v="16"/>
    <n v="4.7"/>
    <n v="1715.5"/>
    <n v="6175.8"/>
  </r>
  <r>
    <x v="0"/>
    <x v="0"/>
    <x v="0"/>
    <x v="0"/>
    <x v="0"/>
    <s v="DK1_Rural"/>
    <x v="4"/>
    <x v="2"/>
    <s v="GNR_ST_WOODCHI_BP_E-27"/>
    <x v="0"/>
    <x v="17"/>
    <n v="4.7"/>
    <n v="1715.5"/>
    <n v="6175.8"/>
  </r>
  <r>
    <x v="0"/>
    <x v="0"/>
    <x v="0"/>
    <x v="0"/>
    <x v="0"/>
    <s v="DK1_Rural"/>
    <x v="4"/>
    <x v="2"/>
    <s v="GNR_ST_WOODCHI_BP_E-27"/>
    <x v="0"/>
    <x v="19"/>
    <n v="4.7"/>
    <n v="1715.5"/>
    <n v="6175.8"/>
  </r>
  <r>
    <x v="0"/>
    <x v="0"/>
    <x v="0"/>
    <x v="0"/>
    <x v="1"/>
    <s v="DK2_Large"/>
    <x v="0"/>
    <x v="0"/>
    <s v="GNR_ST_COAL_EXT_E-42"/>
    <x v="0"/>
    <x v="0"/>
    <n v="416.66666666666703"/>
    <n v="152083.33333333299"/>
    <n v="547500"/>
  </r>
  <r>
    <x v="0"/>
    <x v="0"/>
    <x v="0"/>
    <x v="0"/>
    <x v="1"/>
    <s v="DK2_Large"/>
    <x v="0"/>
    <x v="0"/>
    <s v="GNR_ST_COAL_EXT_E-42"/>
    <x v="0"/>
    <x v="1"/>
    <n v="416.66666666666703"/>
    <n v="152083.33333333299"/>
    <n v="547500"/>
  </r>
  <r>
    <x v="0"/>
    <x v="0"/>
    <x v="0"/>
    <x v="0"/>
    <x v="1"/>
    <s v="DK2_Large"/>
    <x v="0"/>
    <x v="0"/>
    <s v="GNR_ST_COAL_EXT_E-42"/>
    <x v="0"/>
    <x v="18"/>
    <n v="416.66666666666703"/>
    <n v="152083.33333333299"/>
    <n v="547500"/>
  </r>
  <r>
    <x v="0"/>
    <x v="0"/>
    <x v="0"/>
    <x v="0"/>
    <x v="1"/>
    <s v="DK2_Large"/>
    <x v="0"/>
    <x v="0"/>
    <s v="GNR_ST_COAL_EXT_E-42"/>
    <x v="0"/>
    <x v="2"/>
    <n v="416.66666666666703"/>
    <n v="152083.33333333299"/>
    <n v="547500"/>
  </r>
  <r>
    <x v="0"/>
    <x v="0"/>
    <x v="0"/>
    <x v="0"/>
    <x v="1"/>
    <s v="DK2_Large"/>
    <x v="0"/>
    <x v="0"/>
    <s v="GNR_ST_COAL_EXT_E-42"/>
    <x v="0"/>
    <x v="3"/>
    <n v="416.66666666666703"/>
    <n v="152083.33333333299"/>
    <n v="547500"/>
  </r>
  <r>
    <x v="0"/>
    <x v="0"/>
    <x v="0"/>
    <x v="0"/>
    <x v="1"/>
    <s v="DK2_Large"/>
    <x v="0"/>
    <x v="0"/>
    <s v="GNR_ST_COAL_EXT_E-42"/>
    <x v="0"/>
    <x v="4"/>
    <n v="416.66666666666703"/>
    <n v="152083.33333333299"/>
    <n v="547500"/>
  </r>
  <r>
    <x v="0"/>
    <x v="0"/>
    <x v="0"/>
    <x v="0"/>
    <x v="1"/>
    <s v="DK2_Large"/>
    <x v="0"/>
    <x v="0"/>
    <s v="GNR_ST_COAL_EXT_E-42"/>
    <x v="0"/>
    <x v="5"/>
    <n v="416.66666666666703"/>
    <n v="152083.33333333299"/>
    <n v="547500"/>
  </r>
  <r>
    <x v="0"/>
    <x v="0"/>
    <x v="0"/>
    <x v="0"/>
    <x v="1"/>
    <s v="DK2_Large"/>
    <x v="0"/>
    <x v="0"/>
    <s v="GNR_ST_COAL_EXT_E-42"/>
    <x v="0"/>
    <x v="6"/>
    <n v="416.66666666666703"/>
    <n v="152083.33333333299"/>
    <n v="547500"/>
  </r>
  <r>
    <x v="0"/>
    <x v="0"/>
    <x v="0"/>
    <x v="0"/>
    <x v="1"/>
    <s v="DK2_Large"/>
    <x v="0"/>
    <x v="0"/>
    <s v="GNR_ST_COAL_EXT_E-42"/>
    <x v="0"/>
    <x v="7"/>
    <n v="416.66666666666703"/>
    <n v="152083.33333333299"/>
    <n v="547500"/>
  </r>
  <r>
    <x v="0"/>
    <x v="0"/>
    <x v="0"/>
    <x v="0"/>
    <x v="1"/>
    <s v="DK2_Large"/>
    <x v="0"/>
    <x v="0"/>
    <s v="GNR_ST_COAL_EXT_E-42"/>
    <x v="0"/>
    <x v="8"/>
    <n v="416.66666666666703"/>
    <n v="152083.33333333299"/>
    <n v="547500"/>
  </r>
  <r>
    <x v="0"/>
    <x v="0"/>
    <x v="0"/>
    <x v="0"/>
    <x v="1"/>
    <s v="DK2_Large"/>
    <x v="0"/>
    <x v="0"/>
    <s v="GNR_ST_COAL_EXT_E-42"/>
    <x v="0"/>
    <x v="9"/>
    <n v="416.66666666666703"/>
    <n v="152083.33333333299"/>
    <n v="547500"/>
  </r>
  <r>
    <x v="0"/>
    <x v="0"/>
    <x v="0"/>
    <x v="0"/>
    <x v="1"/>
    <s v="DK2_Large"/>
    <x v="0"/>
    <x v="0"/>
    <s v="GNR_ST_COAL_EXT_E-42"/>
    <x v="0"/>
    <x v="10"/>
    <n v="416.66666666666703"/>
    <n v="152083.33333333299"/>
    <n v="547500"/>
  </r>
  <r>
    <x v="0"/>
    <x v="0"/>
    <x v="0"/>
    <x v="0"/>
    <x v="1"/>
    <s v="DK2_Large"/>
    <x v="0"/>
    <x v="0"/>
    <s v="GNR_ST_COAL_EXT_E-42"/>
    <x v="0"/>
    <x v="11"/>
    <n v="416.66666666666703"/>
    <n v="152083.33333333299"/>
    <n v="547500"/>
  </r>
  <r>
    <x v="0"/>
    <x v="0"/>
    <x v="0"/>
    <x v="0"/>
    <x v="1"/>
    <s v="DK2_Large"/>
    <x v="0"/>
    <x v="0"/>
    <s v="GNR_ST_COAL_EXT_E-42"/>
    <x v="0"/>
    <x v="12"/>
    <n v="416.66666666666703"/>
    <n v="152083.33333333299"/>
    <n v="547500"/>
  </r>
  <r>
    <x v="0"/>
    <x v="0"/>
    <x v="0"/>
    <x v="0"/>
    <x v="1"/>
    <s v="DK2_Large"/>
    <x v="0"/>
    <x v="0"/>
    <s v="GNR_ST_COAL_EXT_E-42"/>
    <x v="0"/>
    <x v="13"/>
    <n v="416.66666666666703"/>
    <n v="152083.33333333299"/>
    <n v="547500"/>
  </r>
  <r>
    <x v="0"/>
    <x v="0"/>
    <x v="0"/>
    <x v="0"/>
    <x v="1"/>
    <s v="DK2_Large"/>
    <x v="0"/>
    <x v="0"/>
    <s v="GNR_ST_COAL_EXT_E-42"/>
    <x v="0"/>
    <x v="14"/>
    <n v="416.66666666666703"/>
    <n v="152083.33333333299"/>
    <n v="547500"/>
  </r>
  <r>
    <x v="0"/>
    <x v="0"/>
    <x v="0"/>
    <x v="0"/>
    <x v="1"/>
    <s v="DK2_Large"/>
    <x v="0"/>
    <x v="0"/>
    <s v="GNR_ST_COAL_EXT_E-42"/>
    <x v="0"/>
    <x v="15"/>
    <n v="416.66666666666703"/>
    <n v="152083.33333333299"/>
    <n v="547500"/>
  </r>
  <r>
    <x v="0"/>
    <x v="0"/>
    <x v="0"/>
    <x v="0"/>
    <x v="1"/>
    <s v="DK2_Large"/>
    <x v="0"/>
    <x v="0"/>
    <s v="GNR_ST_COAL_EXT_E-42"/>
    <x v="0"/>
    <x v="16"/>
    <n v="416.66666666666703"/>
    <n v="152083.33333333299"/>
    <n v="547500"/>
  </r>
  <r>
    <x v="0"/>
    <x v="0"/>
    <x v="0"/>
    <x v="0"/>
    <x v="1"/>
    <s v="DK2_Large"/>
    <x v="0"/>
    <x v="0"/>
    <s v="GNR_ST_COAL_EXT_E-42"/>
    <x v="0"/>
    <x v="17"/>
    <n v="416.66666666666703"/>
    <n v="152083.33333333299"/>
    <n v="547500"/>
  </r>
  <r>
    <x v="0"/>
    <x v="0"/>
    <x v="0"/>
    <x v="0"/>
    <x v="1"/>
    <s v="DK2_Large"/>
    <x v="0"/>
    <x v="0"/>
    <s v="GNR_ST_COAL_EXT_E-42"/>
    <x v="0"/>
    <x v="19"/>
    <n v="416.66666666666703"/>
    <n v="152083.33333333299"/>
    <n v="547500"/>
  </r>
  <r>
    <x v="0"/>
    <x v="0"/>
    <x v="0"/>
    <x v="0"/>
    <x v="1"/>
    <s v="DK2_Large"/>
    <x v="0"/>
    <x v="0"/>
    <s v="GNR_ST_COAL_EXT_E-42"/>
    <x v="0"/>
    <x v="20"/>
    <n v="416.66666666666703"/>
    <n v="152083.33333333299"/>
    <n v="547500"/>
  </r>
  <r>
    <x v="0"/>
    <x v="0"/>
    <x v="0"/>
    <x v="0"/>
    <x v="1"/>
    <s v="DK2_Large"/>
    <x v="0"/>
    <x v="0"/>
    <s v="GNR_ST_COAL_EXT_E-42"/>
    <x v="0"/>
    <x v="21"/>
    <n v="416.66666666666703"/>
    <n v="152083.33333333299"/>
    <n v="547500"/>
  </r>
  <r>
    <x v="0"/>
    <x v="0"/>
    <x v="0"/>
    <x v="0"/>
    <x v="1"/>
    <s v="DK2_Large"/>
    <x v="0"/>
    <x v="0"/>
    <s v="GNR_ST_COAL_EXT_E-42"/>
    <x v="0"/>
    <x v="22"/>
    <n v="416.66666666666703"/>
    <n v="152083.33333333299"/>
    <n v="547500"/>
  </r>
  <r>
    <x v="0"/>
    <x v="0"/>
    <x v="0"/>
    <x v="0"/>
    <x v="1"/>
    <s v="DK2_Large"/>
    <x v="0"/>
    <x v="0"/>
    <s v="GNR_ST_COAL_EXT_E-42"/>
    <x v="0"/>
    <x v="23"/>
    <n v="416.66666666666703"/>
    <n v="152083.33333333299"/>
    <n v="547500"/>
  </r>
  <r>
    <x v="0"/>
    <x v="0"/>
    <x v="0"/>
    <x v="0"/>
    <x v="1"/>
    <s v="DK2_Large"/>
    <x v="1"/>
    <x v="1"/>
    <s v="GNR_HP_ELEC_COP-300"/>
    <x v="0"/>
    <x v="0"/>
    <n v="-0.11333333333333299"/>
    <n v="-41.366666666666703"/>
    <n v="-148.91999999999999"/>
  </r>
  <r>
    <x v="0"/>
    <x v="0"/>
    <x v="0"/>
    <x v="0"/>
    <x v="1"/>
    <s v="DK2_Large"/>
    <x v="1"/>
    <x v="1"/>
    <s v="GNR_HP_ELEC_COP-300"/>
    <x v="0"/>
    <x v="1"/>
    <n v="-0.11333333333333299"/>
    <n v="-41.366666666666703"/>
    <n v="-148.91999999999999"/>
  </r>
  <r>
    <x v="0"/>
    <x v="0"/>
    <x v="0"/>
    <x v="0"/>
    <x v="1"/>
    <s v="DK2_Large"/>
    <x v="1"/>
    <x v="1"/>
    <s v="GNR_HP_ELEC_COP-300"/>
    <x v="0"/>
    <x v="18"/>
    <n v="-0.11333333333333299"/>
    <n v="-41.366666666666703"/>
    <n v="-148.91999999999999"/>
  </r>
  <r>
    <x v="0"/>
    <x v="0"/>
    <x v="0"/>
    <x v="0"/>
    <x v="1"/>
    <s v="DK2_Large"/>
    <x v="1"/>
    <x v="1"/>
    <s v="GNR_HP_ELEC_COP-300"/>
    <x v="0"/>
    <x v="2"/>
    <n v="-0.11333333333333299"/>
    <n v="-41.366666666666703"/>
    <n v="-148.91999999999999"/>
  </r>
  <r>
    <x v="0"/>
    <x v="0"/>
    <x v="0"/>
    <x v="0"/>
    <x v="1"/>
    <s v="DK2_Large"/>
    <x v="1"/>
    <x v="1"/>
    <s v="GNR_HP_ELEC_COP-300"/>
    <x v="0"/>
    <x v="3"/>
    <n v="-0.11333333333333299"/>
    <n v="-41.366666666666703"/>
    <n v="-148.91999999999999"/>
  </r>
  <r>
    <x v="0"/>
    <x v="0"/>
    <x v="0"/>
    <x v="0"/>
    <x v="1"/>
    <s v="DK2_Large"/>
    <x v="1"/>
    <x v="1"/>
    <s v="GNR_HP_ELEC_COP-300"/>
    <x v="0"/>
    <x v="4"/>
    <n v="-0.11333333333333299"/>
    <n v="-41.366666666666703"/>
    <n v="-148.91999999999999"/>
  </r>
  <r>
    <x v="0"/>
    <x v="0"/>
    <x v="0"/>
    <x v="0"/>
    <x v="1"/>
    <s v="DK2_Large"/>
    <x v="1"/>
    <x v="1"/>
    <s v="GNR_HP_ELEC_COP-300"/>
    <x v="0"/>
    <x v="5"/>
    <n v="-0.11333333333333299"/>
    <n v="-41.366666666666703"/>
    <n v="-148.91999999999999"/>
  </r>
  <r>
    <x v="0"/>
    <x v="0"/>
    <x v="0"/>
    <x v="0"/>
    <x v="1"/>
    <s v="DK2_Large"/>
    <x v="1"/>
    <x v="1"/>
    <s v="GNR_HP_ELEC_COP-300"/>
    <x v="0"/>
    <x v="6"/>
    <n v="-0.11333333333333299"/>
    <n v="-41.366666666666703"/>
    <n v="-148.91999999999999"/>
  </r>
  <r>
    <x v="0"/>
    <x v="0"/>
    <x v="0"/>
    <x v="0"/>
    <x v="1"/>
    <s v="DK2_Large"/>
    <x v="1"/>
    <x v="1"/>
    <s v="GNR_HP_ELEC_COP-300"/>
    <x v="0"/>
    <x v="7"/>
    <n v="-0.11333333333333299"/>
    <n v="-41.366666666666703"/>
    <n v="-148.91999999999999"/>
  </r>
  <r>
    <x v="0"/>
    <x v="0"/>
    <x v="0"/>
    <x v="0"/>
    <x v="1"/>
    <s v="DK2_Large"/>
    <x v="1"/>
    <x v="1"/>
    <s v="GNR_HP_ELEC_COP-300"/>
    <x v="0"/>
    <x v="8"/>
    <n v="-0.11333333333333299"/>
    <n v="-41.366666666666703"/>
    <n v="-148.91999999999999"/>
  </r>
  <r>
    <x v="0"/>
    <x v="0"/>
    <x v="0"/>
    <x v="0"/>
    <x v="1"/>
    <s v="DK2_Large"/>
    <x v="1"/>
    <x v="1"/>
    <s v="GNR_HP_ELEC_COP-300"/>
    <x v="0"/>
    <x v="9"/>
    <n v="-0.11333333333333299"/>
    <n v="-41.366666666666703"/>
    <n v="-148.91999999999999"/>
  </r>
  <r>
    <x v="0"/>
    <x v="0"/>
    <x v="0"/>
    <x v="0"/>
    <x v="1"/>
    <s v="DK2_Large"/>
    <x v="1"/>
    <x v="1"/>
    <s v="GNR_HP_ELEC_COP-300"/>
    <x v="0"/>
    <x v="10"/>
    <n v="-0.11333333333333299"/>
    <n v="-41.366666666666703"/>
    <n v="-148.91999999999999"/>
  </r>
  <r>
    <x v="0"/>
    <x v="0"/>
    <x v="0"/>
    <x v="0"/>
    <x v="1"/>
    <s v="DK2_Large"/>
    <x v="1"/>
    <x v="1"/>
    <s v="GNR_HP_ELEC_COP-300"/>
    <x v="0"/>
    <x v="11"/>
    <n v="-0.11333333333333299"/>
    <n v="-41.366666666666703"/>
    <n v="-148.91999999999999"/>
  </r>
  <r>
    <x v="0"/>
    <x v="0"/>
    <x v="0"/>
    <x v="0"/>
    <x v="1"/>
    <s v="DK2_Large"/>
    <x v="1"/>
    <x v="1"/>
    <s v="GNR_HP_ELEC_COP-300"/>
    <x v="0"/>
    <x v="12"/>
    <n v="-0.11333333333333299"/>
    <n v="-41.366666666666703"/>
    <n v="-148.91999999999999"/>
  </r>
  <r>
    <x v="0"/>
    <x v="0"/>
    <x v="0"/>
    <x v="0"/>
    <x v="1"/>
    <s v="DK2_Large"/>
    <x v="1"/>
    <x v="1"/>
    <s v="GNR_HP_ELEC_COP-300"/>
    <x v="0"/>
    <x v="13"/>
    <n v="-0.11333333333333299"/>
    <n v="-41.366666666666703"/>
    <n v="-148.91999999999999"/>
  </r>
  <r>
    <x v="0"/>
    <x v="0"/>
    <x v="0"/>
    <x v="0"/>
    <x v="1"/>
    <s v="DK2_Large"/>
    <x v="1"/>
    <x v="1"/>
    <s v="GNR_HP_ELEC_COP-300"/>
    <x v="0"/>
    <x v="14"/>
    <n v="-0.11333333333333299"/>
    <n v="-41.366666666666703"/>
    <n v="-148.91999999999999"/>
  </r>
  <r>
    <x v="0"/>
    <x v="0"/>
    <x v="0"/>
    <x v="0"/>
    <x v="1"/>
    <s v="DK2_Large"/>
    <x v="1"/>
    <x v="1"/>
    <s v="GNR_HP_ELEC_COP-300"/>
    <x v="0"/>
    <x v="15"/>
    <n v="-0.11333333333333299"/>
    <n v="-41.366666666666703"/>
    <n v="-148.91999999999999"/>
  </r>
  <r>
    <x v="0"/>
    <x v="0"/>
    <x v="0"/>
    <x v="0"/>
    <x v="1"/>
    <s v="DK2_Large"/>
    <x v="1"/>
    <x v="1"/>
    <s v="GNR_HP_ELEC_COP-300"/>
    <x v="0"/>
    <x v="16"/>
    <n v="-0.11333333333333299"/>
    <n v="-41.366666666666703"/>
    <n v="-148.91999999999999"/>
  </r>
  <r>
    <x v="0"/>
    <x v="0"/>
    <x v="0"/>
    <x v="0"/>
    <x v="1"/>
    <s v="DK2_Large"/>
    <x v="1"/>
    <x v="1"/>
    <s v="GNR_HP_ELEC_COP-300"/>
    <x v="0"/>
    <x v="17"/>
    <n v="-0.11333333333333299"/>
    <n v="-41.366666666666703"/>
    <n v="-148.91999999999999"/>
  </r>
  <r>
    <x v="0"/>
    <x v="0"/>
    <x v="0"/>
    <x v="0"/>
    <x v="1"/>
    <s v="DK2_Large"/>
    <x v="1"/>
    <x v="1"/>
    <s v="GNR_HP_ELEC_COP-300"/>
    <x v="0"/>
    <x v="19"/>
    <n v="-0.11333333333333299"/>
    <n v="-41.366666666666703"/>
    <n v="-148.91999999999999"/>
  </r>
  <r>
    <x v="0"/>
    <x v="0"/>
    <x v="0"/>
    <x v="0"/>
    <x v="1"/>
    <s v="DK2_Large"/>
    <x v="1"/>
    <x v="1"/>
    <s v="GNR_HP_ELEC_COP-300"/>
    <x v="0"/>
    <x v="20"/>
    <n v="-0.11333333333333299"/>
    <n v="-41.366666666666703"/>
    <n v="-148.91999999999999"/>
  </r>
  <r>
    <x v="0"/>
    <x v="0"/>
    <x v="0"/>
    <x v="0"/>
    <x v="1"/>
    <s v="DK2_Large"/>
    <x v="1"/>
    <x v="1"/>
    <s v="GNR_HP_ELEC_COP-300"/>
    <x v="0"/>
    <x v="21"/>
    <n v="-0.11333333333333299"/>
    <n v="-41.366666666666703"/>
    <n v="-148.91999999999999"/>
  </r>
  <r>
    <x v="0"/>
    <x v="0"/>
    <x v="0"/>
    <x v="0"/>
    <x v="1"/>
    <s v="DK2_Large"/>
    <x v="1"/>
    <x v="1"/>
    <s v="GNR_HP_ELEC_COP-300"/>
    <x v="0"/>
    <x v="22"/>
    <n v="-0.11333333333333299"/>
    <n v="-41.366666666666703"/>
    <n v="-148.91999999999999"/>
  </r>
  <r>
    <x v="0"/>
    <x v="0"/>
    <x v="0"/>
    <x v="0"/>
    <x v="1"/>
    <s v="DK2_Large"/>
    <x v="1"/>
    <x v="1"/>
    <s v="GNR_HP_ELEC_COP-300"/>
    <x v="0"/>
    <x v="23"/>
    <n v="-0.11333333333333299"/>
    <n v="-41.366666666666703"/>
    <n v="-148.91999999999999"/>
  </r>
  <r>
    <x v="0"/>
    <x v="0"/>
    <x v="0"/>
    <x v="0"/>
    <x v="1"/>
    <s v="DK2_Large"/>
    <x v="2"/>
    <x v="2"/>
    <s v="GNR_ST_MSW_BP_E-16"/>
    <x v="0"/>
    <x v="0"/>
    <n v="2.4780688310813099"/>
    <n v="904.49512334467897"/>
    <n v="3256.18244404084"/>
  </r>
  <r>
    <x v="0"/>
    <x v="0"/>
    <x v="0"/>
    <x v="0"/>
    <x v="1"/>
    <s v="DK2_Large"/>
    <x v="2"/>
    <x v="2"/>
    <s v="GNR_ST_MSW_BP_E-16"/>
    <x v="0"/>
    <x v="1"/>
    <n v="5.27893473544525"/>
    <n v="1926.8111784375201"/>
    <n v="6936.5202423750598"/>
  </r>
  <r>
    <x v="0"/>
    <x v="0"/>
    <x v="0"/>
    <x v="0"/>
    <x v="1"/>
    <s v="DK2_Large"/>
    <x v="2"/>
    <x v="2"/>
    <s v="GNR_ST_MSW_BP_E-16"/>
    <x v="0"/>
    <x v="18"/>
    <n v="8.0798006398091609"/>
    <n v="2949.1272335303402"/>
    <n v="10616.858040709199"/>
  </r>
  <r>
    <x v="0"/>
    <x v="0"/>
    <x v="0"/>
    <x v="0"/>
    <x v="1"/>
    <s v="DK2_Large"/>
    <x v="2"/>
    <x v="2"/>
    <s v="GNR_ST_MSW_BP_E-16"/>
    <x v="0"/>
    <x v="2"/>
    <n v="10.880666544173099"/>
    <n v="3971.4432886231798"/>
    <n v="14297.195839043499"/>
  </r>
  <r>
    <x v="0"/>
    <x v="0"/>
    <x v="0"/>
    <x v="0"/>
    <x v="1"/>
    <s v="DK2_Large"/>
    <x v="2"/>
    <x v="2"/>
    <s v="GNR_ST_MSW_BP_E-16"/>
    <x v="0"/>
    <x v="3"/>
    <n v="19.2832642572649"/>
    <n v="7038.3914539016896"/>
    <n v="25338.209234046099"/>
  </r>
  <r>
    <x v="0"/>
    <x v="0"/>
    <x v="0"/>
    <x v="0"/>
    <x v="1"/>
    <s v="DK2_Large"/>
    <x v="2"/>
    <x v="2"/>
    <s v="GNR_ST_MSW_BP_E-16"/>
    <x v="0"/>
    <x v="4"/>
    <n v="28.5"/>
    <n v="10402.5"/>
    <n v="37449"/>
  </r>
  <r>
    <x v="0"/>
    <x v="0"/>
    <x v="0"/>
    <x v="0"/>
    <x v="1"/>
    <s v="DK2_Large"/>
    <x v="2"/>
    <x v="2"/>
    <s v="GNR_ST_MSW_BP_E-16"/>
    <x v="0"/>
    <x v="5"/>
    <n v="28.5"/>
    <n v="10402.5"/>
    <n v="37449"/>
  </r>
  <r>
    <x v="0"/>
    <x v="0"/>
    <x v="0"/>
    <x v="0"/>
    <x v="1"/>
    <s v="DK2_Large"/>
    <x v="2"/>
    <x v="2"/>
    <s v="GNR_ST_MSW_BP_E-16"/>
    <x v="0"/>
    <x v="6"/>
    <n v="28.5"/>
    <n v="10402.5"/>
    <n v="37449"/>
  </r>
  <r>
    <x v="0"/>
    <x v="0"/>
    <x v="0"/>
    <x v="0"/>
    <x v="1"/>
    <s v="DK2_Large"/>
    <x v="2"/>
    <x v="2"/>
    <s v="GNR_ST_MSW_BP_E-16"/>
    <x v="0"/>
    <x v="7"/>
    <n v="28.5"/>
    <n v="10402.5"/>
    <n v="37449"/>
  </r>
  <r>
    <x v="0"/>
    <x v="0"/>
    <x v="0"/>
    <x v="0"/>
    <x v="1"/>
    <s v="DK2_Large"/>
    <x v="2"/>
    <x v="2"/>
    <s v="GNR_ST_MSW_BP_E-16"/>
    <x v="0"/>
    <x v="8"/>
    <n v="28.5"/>
    <n v="10402.5"/>
    <n v="37449"/>
  </r>
  <r>
    <x v="0"/>
    <x v="0"/>
    <x v="0"/>
    <x v="0"/>
    <x v="1"/>
    <s v="DK2_Large"/>
    <x v="2"/>
    <x v="2"/>
    <s v="GNR_ST_MSW_BP_E-16"/>
    <x v="0"/>
    <x v="9"/>
    <n v="28.5"/>
    <n v="10402.5"/>
    <n v="37449"/>
  </r>
  <r>
    <x v="0"/>
    <x v="0"/>
    <x v="0"/>
    <x v="0"/>
    <x v="1"/>
    <s v="DK2_Large"/>
    <x v="2"/>
    <x v="2"/>
    <s v="GNR_ST_MSW_BP_E-16"/>
    <x v="0"/>
    <x v="10"/>
    <n v="28.5"/>
    <n v="10402.5"/>
    <n v="37449"/>
  </r>
  <r>
    <x v="0"/>
    <x v="0"/>
    <x v="0"/>
    <x v="0"/>
    <x v="1"/>
    <s v="DK2_Large"/>
    <x v="2"/>
    <x v="2"/>
    <s v="GNR_ST_MSW_BP_E-16"/>
    <x v="0"/>
    <x v="11"/>
    <n v="28.5"/>
    <n v="10402.5"/>
    <n v="37449"/>
  </r>
  <r>
    <x v="0"/>
    <x v="0"/>
    <x v="0"/>
    <x v="0"/>
    <x v="1"/>
    <s v="DK2_Large"/>
    <x v="2"/>
    <x v="2"/>
    <s v="GNR_ST_MSW_BP_E-16"/>
    <x v="0"/>
    <x v="12"/>
    <n v="28.5"/>
    <n v="10402.5"/>
    <n v="37449"/>
  </r>
  <r>
    <x v="0"/>
    <x v="0"/>
    <x v="0"/>
    <x v="0"/>
    <x v="1"/>
    <s v="DK2_Large"/>
    <x v="2"/>
    <x v="2"/>
    <s v="GNR_ST_MSW_BP_E-16"/>
    <x v="0"/>
    <x v="13"/>
    <n v="28.5"/>
    <n v="10402.5"/>
    <n v="37449"/>
  </r>
  <r>
    <x v="0"/>
    <x v="0"/>
    <x v="0"/>
    <x v="0"/>
    <x v="1"/>
    <s v="DK2_Large"/>
    <x v="2"/>
    <x v="2"/>
    <s v="GNR_ST_MSW_BP_E-16"/>
    <x v="0"/>
    <x v="14"/>
    <n v="28.5"/>
    <n v="10402.5"/>
    <n v="37449"/>
  </r>
  <r>
    <x v="0"/>
    <x v="0"/>
    <x v="0"/>
    <x v="0"/>
    <x v="1"/>
    <s v="DK2_Large"/>
    <x v="2"/>
    <x v="2"/>
    <s v="GNR_ST_MSW_BP_E-16"/>
    <x v="0"/>
    <x v="15"/>
    <n v="28.5"/>
    <n v="10402.5"/>
    <n v="37449"/>
  </r>
  <r>
    <x v="0"/>
    <x v="0"/>
    <x v="0"/>
    <x v="0"/>
    <x v="1"/>
    <s v="DK2_Large"/>
    <x v="2"/>
    <x v="2"/>
    <s v="GNR_ST_MSW_BP_E-16"/>
    <x v="0"/>
    <x v="16"/>
    <n v="28.5"/>
    <n v="10402.5"/>
    <n v="37449"/>
  </r>
  <r>
    <x v="0"/>
    <x v="0"/>
    <x v="0"/>
    <x v="0"/>
    <x v="1"/>
    <s v="DK2_Large"/>
    <x v="2"/>
    <x v="2"/>
    <s v="GNR_ST_MSW_BP_E-16"/>
    <x v="0"/>
    <x v="17"/>
    <n v="28.5"/>
    <n v="10402.5"/>
    <n v="37449"/>
  </r>
  <r>
    <x v="0"/>
    <x v="0"/>
    <x v="0"/>
    <x v="0"/>
    <x v="1"/>
    <s v="DK2_Large"/>
    <x v="2"/>
    <x v="2"/>
    <s v="GNR_ST_MSW_BP_E-16"/>
    <x v="0"/>
    <x v="19"/>
    <n v="28.5"/>
    <n v="10402.5"/>
    <n v="37449"/>
  </r>
  <r>
    <x v="0"/>
    <x v="0"/>
    <x v="0"/>
    <x v="0"/>
    <x v="1"/>
    <s v="DK2_Large"/>
    <x v="2"/>
    <x v="2"/>
    <s v="GNR_ST_MSW_BP_E-16"/>
    <x v="0"/>
    <x v="20"/>
    <n v="28.5"/>
    <n v="10402.5"/>
    <n v="37449"/>
  </r>
  <r>
    <x v="0"/>
    <x v="0"/>
    <x v="0"/>
    <x v="0"/>
    <x v="1"/>
    <s v="DK2_Large"/>
    <x v="2"/>
    <x v="2"/>
    <s v="GNR_ST_MSW_BP_E-16"/>
    <x v="0"/>
    <x v="21"/>
    <n v="28.5"/>
    <n v="10402.5"/>
    <n v="37449"/>
  </r>
  <r>
    <x v="0"/>
    <x v="0"/>
    <x v="0"/>
    <x v="0"/>
    <x v="1"/>
    <s v="DK2_Large"/>
    <x v="2"/>
    <x v="2"/>
    <s v="GNR_ST_MSW_BP_E-16"/>
    <x v="0"/>
    <x v="22"/>
    <n v="16.482398352901001"/>
    <n v="6016.07539880886"/>
    <n v="21657.871435711899"/>
  </r>
  <r>
    <x v="0"/>
    <x v="0"/>
    <x v="0"/>
    <x v="0"/>
    <x v="1"/>
    <s v="DK2_Large"/>
    <x v="2"/>
    <x v="2"/>
    <s v="GNR_ST_MSW_BP_E-16"/>
    <x v="0"/>
    <x v="23"/>
    <n v="5.27893473544525"/>
    <n v="1926.8111784375101"/>
    <n v="6936.5202423750497"/>
  </r>
  <r>
    <x v="0"/>
    <x v="0"/>
    <x v="0"/>
    <x v="0"/>
    <x v="1"/>
    <s v="DK2_Large"/>
    <x v="2"/>
    <x v="2"/>
    <s v="GNR_ST_MSW_BP_E-20"/>
    <x v="0"/>
    <x v="0"/>
    <n v="39"/>
    <n v="14235"/>
    <n v="51246"/>
  </r>
  <r>
    <x v="0"/>
    <x v="0"/>
    <x v="0"/>
    <x v="0"/>
    <x v="1"/>
    <s v="DK2_Large"/>
    <x v="2"/>
    <x v="2"/>
    <s v="GNR_ST_MSW_BP_E-20"/>
    <x v="0"/>
    <x v="1"/>
    <n v="39"/>
    <n v="14235"/>
    <n v="51246"/>
  </r>
  <r>
    <x v="0"/>
    <x v="0"/>
    <x v="0"/>
    <x v="0"/>
    <x v="1"/>
    <s v="DK2_Large"/>
    <x v="2"/>
    <x v="2"/>
    <s v="GNR_ST_MSW_BP_E-20"/>
    <x v="0"/>
    <x v="18"/>
    <n v="39"/>
    <n v="14235"/>
    <n v="51246"/>
  </r>
  <r>
    <x v="0"/>
    <x v="0"/>
    <x v="0"/>
    <x v="0"/>
    <x v="1"/>
    <s v="DK2_Large"/>
    <x v="2"/>
    <x v="2"/>
    <s v="GNR_ST_MSW_BP_E-20"/>
    <x v="0"/>
    <x v="2"/>
    <n v="39"/>
    <n v="14235"/>
    <n v="51246"/>
  </r>
  <r>
    <x v="0"/>
    <x v="0"/>
    <x v="0"/>
    <x v="0"/>
    <x v="1"/>
    <s v="DK2_Large"/>
    <x v="2"/>
    <x v="2"/>
    <s v="GNR_ST_MSW_BP_E-20"/>
    <x v="0"/>
    <x v="3"/>
    <n v="39"/>
    <n v="14235"/>
    <n v="51246"/>
  </r>
  <r>
    <x v="0"/>
    <x v="0"/>
    <x v="0"/>
    <x v="0"/>
    <x v="1"/>
    <s v="DK2_Large"/>
    <x v="2"/>
    <x v="2"/>
    <s v="GNR_ST_MSW_BP_E-20"/>
    <x v="0"/>
    <x v="4"/>
    <n v="39"/>
    <n v="14235"/>
    <n v="51246"/>
  </r>
  <r>
    <x v="0"/>
    <x v="0"/>
    <x v="0"/>
    <x v="0"/>
    <x v="1"/>
    <s v="DK2_Large"/>
    <x v="2"/>
    <x v="2"/>
    <s v="GNR_ST_MSW_BP_E-20"/>
    <x v="0"/>
    <x v="5"/>
    <n v="39"/>
    <n v="14235"/>
    <n v="51246"/>
  </r>
  <r>
    <x v="0"/>
    <x v="0"/>
    <x v="0"/>
    <x v="0"/>
    <x v="1"/>
    <s v="DK2_Large"/>
    <x v="2"/>
    <x v="2"/>
    <s v="GNR_ST_MSW_BP_E-20"/>
    <x v="0"/>
    <x v="6"/>
    <n v="39"/>
    <n v="14235"/>
    <n v="51246"/>
  </r>
  <r>
    <x v="0"/>
    <x v="0"/>
    <x v="0"/>
    <x v="0"/>
    <x v="1"/>
    <s v="DK2_Large"/>
    <x v="2"/>
    <x v="2"/>
    <s v="GNR_ST_MSW_BP_E-20"/>
    <x v="0"/>
    <x v="7"/>
    <n v="39"/>
    <n v="14235"/>
    <n v="51246"/>
  </r>
  <r>
    <x v="0"/>
    <x v="0"/>
    <x v="0"/>
    <x v="0"/>
    <x v="1"/>
    <s v="DK2_Large"/>
    <x v="2"/>
    <x v="2"/>
    <s v="GNR_ST_MSW_BP_E-20"/>
    <x v="0"/>
    <x v="8"/>
    <n v="39"/>
    <n v="14235"/>
    <n v="51246"/>
  </r>
  <r>
    <x v="0"/>
    <x v="0"/>
    <x v="0"/>
    <x v="0"/>
    <x v="1"/>
    <s v="DK2_Large"/>
    <x v="2"/>
    <x v="2"/>
    <s v="GNR_ST_MSW_BP_E-20"/>
    <x v="0"/>
    <x v="9"/>
    <n v="39"/>
    <n v="14235"/>
    <n v="51246"/>
  </r>
  <r>
    <x v="0"/>
    <x v="0"/>
    <x v="0"/>
    <x v="0"/>
    <x v="1"/>
    <s v="DK2_Large"/>
    <x v="2"/>
    <x v="2"/>
    <s v="GNR_ST_MSW_BP_E-20"/>
    <x v="0"/>
    <x v="10"/>
    <n v="39"/>
    <n v="14235"/>
    <n v="51246"/>
  </r>
  <r>
    <x v="0"/>
    <x v="0"/>
    <x v="0"/>
    <x v="0"/>
    <x v="1"/>
    <s v="DK2_Large"/>
    <x v="2"/>
    <x v="2"/>
    <s v="GNR_ST_MSW_BP_E-20"/>
    <x v="0"/>
    <x v="11"/>
    <n v="39"/>
    <n v="14235"/>
    <n v="51246"/>
  </r>
  <r>
    <x v="0"/>
    <x v="0"/>
    <x v="0"/>
    <x v="0"/>
    <x v="1"/>
    <s v="DK2_Large"/>
    <x v="2"/>
    <x v="2"/>
    <s v="GNR_ST_MSW_BP_E-20"/>
    <x v="0"/>
    <x v="12"/>
    <n v="39"/>
    <n v="14235"/>
    <n v="51246"/>
  </r>
  <r>
    <x v="0"/>
    <x v="0"/>
    <x v="0"/>
    <x v="0"/>
    <x v="1"/>
    <s v="DK2_Large"/>
    <x v="2"/>
    <x v="2"/>
    <s v="GNR_ST_MSW_BP_E-20"/>
    <x v="0"/>
    <x v="13"/>
    <n v="39"/>
    <n v="14235"/>
    <n v="51246"/>
  </r>
  <r>
    <x v="0"/>
    <x v="0"/>
    <x v="0"/>
    <x v="0"/>
    <x v="1"/>
    <s v="DK2_Large"/>
    <x v="2"/>
    <x v="2"/>
    <s v="GNR_ST_MSW_BP_E-20"/>
    <x v="0"/>
    <x v="14"/>
    <n v="39"/>
    <n v="14235"/>
    <n v="51246"/>
  </r>
  <r>
    <x v="0"/>
    <x v="0"/>
    <x v="0"/>
    <x v="0"/>
    <x v="1"/>
    <s v="DK2_Large"/>
    <x v="2"/>
    <x v="2"/>
    <s v="GNR_ST_MSW_BP_E-20"/>
    <x v="0"/>
    <x v="15"/>
    <n v="39"/>
    <n v="14235"/>
    <n v="51246"/>
  </r>
  <r>
    <x v="0"/>
    <x v="0"/>
    <x v="0"/>
    <x v="0"/>
    <x v="1"/>
    <s v="DK2_Large"/>
    <x v="2"/>
    <x v="2"/>
    <s v="GNR_ST_MSW_BP_E-20"/>
    <x v="0"/>
    <x v="16"/>
    <n v="39"/>
    <n v="14235"/>
    <n v="51246"/>
  </r>
  <r>
    <x v="0"/>
    <x v="0"/>
    <x v="0"/>
    <x v="0"/>
    <x v="1"/>
    <s v="DK2_Large"/>
    <x v="2"/>
    <x v="2"/>
    <s v="GNR_ST_MSW_BP_E-20"/>
    <x v="0"/>
    <x v="17"/>
    <n v="39"/>
    <n v="14235"/>
    <n v="51246"/>
  </r>
  <r>
    <x v="0"/>
    <x v="0"/>
    <x v="0"/>
    <x v="0"/>
    <x v="1"/>
    <s v="DK2_Large"/>
    <x v="2"/>
    <x v="2"/>
    <s v="GNR_ST_MSW_BP_E-20"/>
    <x v="0"/>
    <x v="19"/>
    <n v="39"/>
    <n v="14235"/>
    <n v="51246"/>
  </r>
  <r>
    <x v="0"/>
    <x v="0"/>
    <x v="0"/>
    <x v="0"/>
    <x v="1"/>
    <s v="DK2_Large"/>
    <x v="2"/>
    <x v="2"/>
    <s v="GNR_ST_MSW_BP_E-20"/>
    <x v="0"/>
    <x v="20"/>
    <n v="39"/>
    <n v="14235"/>
    <n v="51246"/>
  </r>
  <r>
    <x v="0"/>
    <x v="0"/>
    <x v="0"/>
    <x v="0"/>
    <x v="1"/>
    <s v="DK2_Large"/>
    <x v="2"/>
    <x v="2"/>
    <s v="GNR_ST_MSW_BP_E-20"/>
    <x v="0"/>
    <x v="21"/>
    <n v="39"/>
    <n v="14235"/>
    <n v="51246"/>
  </r>
  <r>
    <x v="0"/>
    <x v="0"/>
    <x v="0"/>
    <x v="0"/>
    <x v="1"/>
    <s v="DK2_Large"/>
    <x v="2"/>
    <x v="2"/>
    <s v="GNR_ST_MSW_BP_E-20"/>
    <x v="0"/>
    <x v="22"/>
    <n v="39"/>
    <n v="14235"/>
    <n v="51246"/>
  </r>
  <r>
    <x v="0"/>
    <x v="0"/>
    <x v="0"/>
    <x v="0"/>
    <x v="1"/>
    <s v="DK2_Large"/>
    <x v="2"/>
    <x v="2"/>
    <s v="GNR_ST_MSW_BP_E-20"/>
    <x v="0"/>
    <x v="23"/>
    <n v="39"/>
    <n v="14235"/>
    <n v="51246"/>
  </r>
  <r>
    <x v="0"/>
    <x v="0"/>
    <x v="0"/>
    <x v="0"/>
    <x v="1"/>
    <s v="DK2_Large"/>
    <x v="2"/>
    <x v="2"/>
    <s v="GNR_ST_MSW_BP_E-21"/>
    <x v="0"/>
    <x v="0"/>
    <n v="13.7"/>
    <n v="5000.5"/>
    <n v="18001.8"/>
  </r>
  <r>
    <x v="0"/>
    <x v="0"/>
    <x v="0"/>
    <x v="0"/>
    <x v="1"/>
    <s v="DK2_Large"/>
    <x v="2"/>
    <x v="2"/>
    <s v="GNR_ST_MSW_BP_E-21"/>
    <x v="0"/>
    <x v="1"/>
    <n v="13.7"/>
    <n v="5000.5"/>
    <n v="18001.8"/>
  </r>
  <r>
    <x v="0"/>
    <x v="0"/>
    <x v="0"/>
    <x v="0"/>
    <x v="1"/>
    <s v="DK2_Large"/>
    <x v="2"/>
    <x v="2"/>
    <s v="GNR_ST_MSW_BP_E-21"/>
    <x v="0"/>
    <x v="18"/>
    <n v="13.7"/>
    <n v="5000.5"/>
    <n v="18001.8"/>
  </r>
  <r>
    <x v="0"/>
    <x v="0"/>
    <x v="0"/>
    <x v="0"/>
    <x v="1"/>
    <s v="DK2_Large"/>
    <x v="2"/>
    <x v="2"/>
    <s v="GNR_ST_MSW_BP_E-21"/>
    <x v="0"/>
    <x v="2"/>
    <n v="13.7"/>
    <n v="5000.5"/>
    <n v="18001.8"/>
  </r>
  <r>
    <x v="0"/>
    <x v="0"/>
    <x v="0"/>
    <x v="0"/>
    <x v="1"/>
    <s v="DK2_Large"/>
    <x v="2"/>
    <x v="2"/>
    <s v="GNR_ST_MSW_BP_E-21"/>
    <x v="0"/>
    <x v="3"/>
    <n v="13.7"/>
    <n v="5000.5"/>
    <n v="18001.8"/>
  </r>
  <r>
    <x v="0"/>
    <x v="0"/>
    <x v="0"/>
    <x v="0"/>
    <x v="1"/>
    <s v="DK2_Large"/>
    <x v="2"/>
    <x v="2"/>
    <s v="GNR_ST_MSW_BP_E-21"/>
    <x v="0"/>
    <x v="4"/>
    <n v="13.7"/>
    <n v="5000.5"/>
    <n v="18001.8"/>
  </r>
  <r>
    <x v="0"/>
    <x v="0"/>
    <x v="0"/>
    <x v="0"/>
    <x v="1"/>
    <s v="DK2_Large"/>
    <x v="2"/>
    <x v="2"/>
    <s v="GNR_ST_MSW_BP_E-21"/>
    <x v="0"/>
    <x v="5"/>
    <n v="13.7"/>
    <n v="5000.5"/>
    <n v="18001.8"/>
  </r>
  <r>
    <x v="0"/>
    <x v="0"/>
    <x v="0"/>
    <x v="0"/>
    <x v="1"/>
    <s v="DK2_Large"/>
    <x v="2"/>
    <x v="2"/>
    <s v="GNR_ST_MSW_BP_E-21"/>
    <x v="0"/>
    <x v="6"/>
    <n v="13.7"/>
    <n v="5000.5"/>
    <n v="18001.8"/>
  </r>
  <r>
    <x v="0"/>
    <x v="0"/>
    <x v="0"/>
    <x v="0"/>
    <x v="1"/>
    <s v="DK2_Large"/>
    <x v="2"/>
    <x v="2"/>
    <s v="GNR_ST_MSW_BP_E-21"/>
    <x v="0"/>
    <x v="7"/>
    <n v="13.7"/>
    <n v="5000.5"/>
    <n v="18001.8"/>
  </r>
  <r>
    <x v="0"/>
    <x v="0"/>
    <x v="0"/>
    <x v="0"/>
    <x v="1"/>
    <s v="DK2_Large"/>
    <x v="2"/>
    <x v="2"/>
    <s v="GNR_ST_MSW_BP_E-21"/>
    <x v="0"/>
    <x v="8"/>
    <n v="13.7"/>
    <n v="5000.5"/>
    <n v="18001.8"/>
  </r>
  <r>
    <x v="0"/>
    <x v="0"/>
    <x v="0"/>
    <x v="0"/>
    <x v="1"/>
    <s v="DK2_Large"/>
    <x v="2"/>
    <x v="2"/>
    <s v="GNR_ST_MSW_BP_E-21"/>
    <x v="0"/>
    <x v="9"/>
    <n v="13.7"/>
    <n v="5000.5"/>
    <n v="18001.8"/>
  </r>
  <r>
    <x v="0"/>
    <x v="0"/>
    <x v="0"/>
    <x v="0"/>
    <x v="1"/>
    <s v="DK2_Large"/>
    <x v="2"/>
    <x v="2"/>
    <s v="GNR_ST_MSW_BP_E-21"/>
    <x v="0"/>
    <x v="10"/>
    <n v="13.7"/>
    <n v="5000.5"/>
    <n v="18001.8"/>
  </r>
  <r>
    <x v="0"/>
    <x v="0"/>
    <x v="0"/>
    <x v="0"/>
    <x v="1"/>
    <s v="DK2_Large"/>
    <x v="2"/>
    <x v="2"/>
    <s v="GNR_ST_MSW_BP_E-21"/>
    <x v="0"/>
    <x v="11"/>
    <n v="13.7"/>
    <n v="5000.5"/>
    <n v="18001.8"/>
  </r>
  <r>
    <x v="0"/>
    <x v="0"/>
    <x v="0"/>
    <x v="0"/>
    <x v="1"/>
    <s v="DK2_Large"/>
    <x v="2"/>
    <x v="2"/>
    <s v="GNR_ST_MSW_BP_E-21"/>
    <x v="0"/>
    <x v="12"/>
    <n v="13.7"/>
    <n v="5000.5"/>
    <n v="18001.8"/>
  </r>
  <r>
    <x v="0"/>
    <x v="0"/>
    <x v="0"/>
    <x v="0"/>
    <x v="1"/>
    <s v="DK2_Large"/>
    <x v="2"/>
    <x v="2"/>
    <s v="GNR_ST_MSW_BP_E-21"/>
    <x v="0"/>
    <x v="13"/>
    <n v="13.7"/>
    <n v="5000.5"/>
    <n v="18001.8"/>
  </r>
  <r>
    <x v="0"/>
    <x v="0"/>
    <x v="0"/>
    <x v="0"/>
    <x v="1"/>
    <s v="DK2_Large"/>
    <x v="2"/>
    <x v="2"/>
    <s v="GNR_ST_MSW_BP_E-21"/>
    <x v="0"/>
    <x v="14"/>
    <n v="13.7"/>
    <n v="5000.5"/>
    <n v="18001.8"/>
  </r>
  <r>
    <x v="0"/>
    <x v="0"/>
    <x v="0"/>
    <x v="0"/>
    <x v="1"/>
    <s v="DK2_Large"/>
    <x v="2"/>
    <x v="2"/>
    <s v="GNR_ST_MSW_BP_E-21"/>
    <x v="0"/>
    <x v="15"/>
    <n v="13.7"/>
    <n v="5000.5"/>
    <n v="18001.8"/>
  </r>
  <r>
    <x v="0"/>
    <x v="0"/>
    <x v="0"/>
    <x v="0"/>
    <x v="1"/>
    <s v="DK2_Large"/>
    <x v="2"/>
    <x v="2"/>
    <s v="GNR_ST_MSW_BP_E-21"/>
    <x v="0"/>
    <x v="16"/>
    <n v="13.7"/>
    <n v="5000.5"/>
    <n v="18001.8"/>
  </r>
  <r>
    <x v="0"/>
    <x v="0"/>
    <x v="0"/>
    <x v="0"/>
    <x v="1"/>
    <s v="DK2_Large"/>
    <x v="2"/>
    <x v="2"/>
    <s v="GNR_ST_MSW_BP_E-21"/>
    <x v="0"/>
    <x v="17"/>
    <n v="13.7"/>
    <n v="5000.5"/>
    <n v="18001.8"/>
  </r>
  <r>
    <x v="0"/>
    <x v="0"/>
    <x v="0"/>
    <x v="0"/>
    <x v="1"/>
    <s v="DK2_Large"/>
    <x v="2"/>
    <x v="2"/>
    <s v="GNR_ST_MSW_BP_E-21"/>
    <x v="0"/>
    <x v="19"/>
    <n v="13.7"/>
    <n v="5000.5"/>
    <n v="18001.8"/>
  </r>
  <r>
    <x v="0"/>
    <x v="0"/>
    <x v="0"/>
    <x v="0"/>
    <x v="1"/>
    <s v="DK2_Large"/>
    <x v="2"/>
    <x v="2"/>
    <s v="GNR_ST_MSW_BP_E-21"/>
    <x v="0"/>
    <x v="20"/>
    <n v="13.7"/>
    <n v="5000.5"/>
    <n v="18001.8"/>
  </r>
  <r>
    <x v="0"/>
    <x v="0"/>
    <x v="0"/>
    <x v="0"/>
    <x v="1"/>
    <s v="DK2_Large"/>
    <x v="2"/>
    <x v="2"/>
    <s v="GNR_ST_MSW_BP_E-21"/>
    <x v="0"/>
    <x v="21"/>
    <n v="13.7"/>
    <n v="5000.5"/>
    <n v="18001.8"/>
  </r>
  <r>
    <x v="0"/>
    <x v="0"/>
    <x v="0"/>
    <x v="0"/>
    <x v="1"/>
    <s v="DK2_Large"/>
    <x v="2"/>
    <x v="2"/>
    <s v="GNR_ST_MSW_BP_E-21"/>
    <x v="0"/>
    <x v="22"/>
    <n v="13.7"/>
    <n v="5000.5"/>
    <n v="18001.8"/>
  </r>
  <r>
    <x v="0"/>
    <x v="0"/>
    <x v="0"/>
    <x v="0"/>
    <x v="1"/>
    <s v="DK2_Large"/>
    <x v="2"/>
    <x v="2"/>
    <s v="GNR_ST_MSW_BP_E-21"/>
    <x v="0"/>
    <x v="23"/>
    <n v="13.7"/>
    <n v="5000.5"/>
    <n v="18001.8"/>
  </r>
  <r>
    <x v="0"/>
    <x v="0"/>
    <x v="0"/>
    <x v="0"/>
    <x v="1"/>
    <s v="DK2_Large"/>
    <x v="2"/>
    <x v="2"/>
    <s v="GNR_ST_MSW_BP_E-27"/>
    <x v="0"/>
    <x v="0"/>
    <n v="19.399999999999999"/>
    <n v="7081"/>
    <n v="25491.599999999999"/>
  </r>
  <r>
    <x v="0"/>
    <x v="0"/>
    <x v="0"/>
    <x v="0"/>
    <x v="1"/>
    <s v="DK2_Large"/>
    <x v="2"/>
    <x v="2"/>
    <s v="GNR_ST_MSW_BP_E-27"/>
    <x v="0"/>
    <x v="1"/>
    <n v="19.399999999999999"/>
    <n v="7081"/>
    <n v="25491.599999999999"/>
  </r>
  <r>
    <x v="0"/>
    <x v="0"/>
    <x v="0"/>
    <x v="0"/>
    <x v="1"/>
    <s v="DK2_Large"/>
    <x v="2"/>
    <x v="2"/>
    <s v="GNR_ST_MSW_BP_E-27"/>
    <x v="0"/>
    <x v="18"/>
    <n v="19.399999999999999"/>
    <n v="7081"/>
    <n v="25491.599999999999"/>
  </r>
  <r>
    <x v="0"/>
    <x v="0"/>
    <x v="0"/>
    <x v="0"/>
    <x v="1"/>
    <s v="DK2_Large"/>
    <x v="2"/>
    <x v="2"/>
    <s v="GNR_ST_MSW_BP_E-27"/>
    <x v="0"/>
    <x v="2"/>
    <n v="19.399999999999999"/>
    <n v="7081"/>
    <n v="25491.599999999999"/>
  </r>
  <r>
    <x v="0"/>
    <x v="0"/>
    <x v="0"/>
    <x v="0"/>
    <x v="1"/>
    <s v="DK2_Large"/>
    <x v="2"/>
    <x v="2"/>
    <s v="GNR_ST_MSW_BP_E-27"/>
    <x v="0"/>
    <x v="3"/>
    <n v="19.399999999999999"/>
    <n v="7081"/>
    <n v="25491.599999999999"/>
  </r>
  <r>
    <x v="0"/>
    <x v="0"/>
    <x v="0"/>
    <x v="0"/>
    <x v="1"/>
    <s v="DK2_Large"/>
    <x v="2"/>
    <x v="2"/>
    <s v="GNR_ST_MSW_BP_E-27"/>
    <x v="0"/>
    <x v="4"/>
    <n v="19.399999999999999"/>
    <n v="7081"/>
    <n v="25491.599999999999"/>
  </r>
  <r>
    <x v="0"/>
    <x v="0"/>
    <x v="0"/>
    <x v="0"/>
    <x v="1"/>
    <s v="DK2_Large"/>
    <x v="2"/>
    <x v="2"/>
    <s v="GNR_ST_MSW_BP_E-27"/>
    <x v="0"/>
    <x v="5"/>
    <n v="19.399999999999999"/>
    <n v="7081"/>
    <n v="25491.599999999999"/>
  </r>
  <r>
    <x v="0"/>
    <x v="0"/>
    <x v="0"/>
    <x v="0"/>
    <x v="1"/>
    <s v="DK2_Large"/>
    <x v="2"/>
    <x v="2"/>
    <s v="GNR_ST_MSW_BP_E-27"/>
    <x v="0"/>
    <x v="6"/>
    <n v="19.399999999999999"/>
    <n v="7081"/>
    <n v="25491.599999999999"/>
  </r>
  <r>
    <x v="0"/>
    <x v="0"/>
    <x v="0"/>
    <x v="0"/>
    <x v="1"/>
    <s v="DK2_Large"/>
    <x v="2"/>
    <x v="2"/>
    <s v="GNR_ST_MSW_BP_E-27"/>
    <x v="0"/>
    <x v="7"/>
    <n v="19.399999999999999"/>
    <n v="7081"/>
    <n v="25491.599999999999"/>
  </r>
  <r>
    <x v="0"/>
    <x v="0"/>
    <x v="0"/>
    <x v="0"/>
    <x v="1"/>
    <s v="DK2_Large"/>
    <x v="2"/>
    <x v="2"/>
    <s v="GNR_ST_MSW_BP_E-27"/>
    <x v="0"/>
    <x v="8"/>
    <n v="19.399999999999999"/>
    <n v="7081"/>
    <n v="25491.599999999999"/>
  </r>
  <r>
    <x v="0"/>
    <x v="0"/>
    <x v="0"/>
    <x v="0"/>
    <x v="1"/>
    <s v="DK2_Large"/>
    <x v="2"/>
    <x v="2"/>
    <s v="GNR_ST_MSW_BP_E-27"/>
    <x v="0"/>
    <x v="9"/>
    <n v="19.399999999999999"/>
    <n v="7081"/>
    <n v="25491.599999999999"/>
  </r>
  <r>
    <x v="0"/>
    <x v="0"/>
    <x v="0"/>
    <x v="0"/>
    <x v="1"/>
    <s v="DK2_Large"/>
    <x v="2"/>
    <x v="2"/>
    <s v="GNR_ST_MSW_BP_E-27"/>
    <x v="0"/>
    <x v="10"/>
    <n v="19.399999999999999"/>
    <n v="7081"/>
    <n v="25491.599999999999"/>
  </r>
  <r>
    <x v="0"/>
    <x v="0"/>
    <x v="0"/>
    <x v="0"/>
    <x v="1"/>
    <s v="DK2_Large"/>
    <x v="2"/>
    <x v="2"/>
    <s v="GNR_ST_MSW_BP_E-27"/>
    <x v="0"/>
    <x v="11"/>
    <n v="19.399999999999999"/>
    <n v="7081"/>
    <n v="25491.599999999999"/>
  </r>
  <r>
    <x v="0"/>
    <x v="0"/>
    <x v="0"/>
    <x v="0"/>
    <x v="1"/>
    <s v="DK2_Large"/>
    <x v="2"/>
    <x v="2"/>
    <s v="GNR_ST_MSW_BP_E-27"/>
    <x v="0"/>
    <x v="12"/>
    <n v="19.399999999999999"/>
    <n v="7081"/>
    <n v="25491.599999999999"/>
  </r>
  <r>
    <x v="0"/>
    <x v="0"/>
    <x v="0"/>
    <x v="0"/>
    <x v="1"/>
    <s v="DK2_Large"/>
    <x v="2"/>
    <x v="2"/>
    <s v="GNR_ST_MSW_BP_E-27"/>
    <x v="0"/>
    <x v="13"/>
    <n v="19.399999999999999"/>
    <n v="7081"/>
    <n v="25491.599999999999"/>
  </r>
  <r>
    <x v="0"/>
    <x v="0"/>
    <x v="0"/>
    <x v="0"/>
    <x v="1"/>
    <s v="DK2_Large"/>
    <x v="2"/>
    <x v="2"/>
    <s v="GNR_ST_MSW_BP_E-27"/>
    <x v="0"/>
    <x v="14"/>
    <n v="19.399999999999999"/>
    <n v="7081"/>
    <n v="25491.599999999999"/>
  </r>
  <r>
    <x v="0"/>
    <x v="0"/>
    <x v="0"/>
    <x v="0"/>
    <x v="1"/>
    <s v="DK2_Large"/>
    <x v="2"/>
    <x v="2"/>
    <s v="GNR_ST_MSW_BP_E-27"/>
    <x v="0"/>
    <x v="15"/>
    <n v="19.399999999999999"/>
    <n v="7081"/>
    <n v="25491.599999999999"/>
  </r>
  <r>
    <x v="0"/>
    <x v="0"/>
    <x v="0"/>
    <x v="0"/>
    <x v="1"/>
    <s v="DK2_Large"/>
    <x v="2"/>
    <x v="2"/>
    <s v="GNR_ST_MSW_BP_E-27"/>
    <x v="0"/>
    <x v="16"/>
    <n v="19.399999999999999"/>
    <n v="7081"/>
    <n v="25491.599999999999"/>
  </r>
  <r>
    <x v="0"/>
    <x v="0"/>
    <x v="0"/>
    <x v="0"/>
    <x v="1"/>
    <s v="DK2_Large"/>
    <x v="2"/>
    <x v="2"/>
    <s v="GNR_ST_MSW_BP_E-27"/>
    <x v="0"/>
    <x v="17"/>
    <n v="19.399999999999999"/>
    <n v="7081"/>
    <n v="25491.599999999999"/>
  </r>
  <r>
    <x v="0"/>
    <x v="0"/>
    <x v="0"/>
    <x v="0"/>
    <x v="1"/>
    <s v="DK2_Large"/>
    <x v="2"/>
    <x v="2"/>
    <s v="GNR_ST_MSW_BP_E-27"/>
    <x v="0"/>
    <x v="19"/>
    <n v="19.399999999999999"/>
    <n v="7081"/>
    <n v="25491.599999999999"/>
  </r>
  <r>
    <x v="0"/>
    <x v="0"/>
    <x v="0"/>
    <x v="0"/>
    <x v="1"/>
    <s v="DK2_Large"/>
    <x v="2"/>
    <x v="2"/>
    <s v="GNR_ST_MSW_BP_E-27"/>
    <x v="0"/>
    <x v="20"/>
    <n v="19.399999999999999"/>
    <n v="7081"/>
    <n v="25491.599999999999"/>
  </r>
  <r>
    <x v="0"/>
    <x v="0"/>
    <x v="0"/>
    <x v="0"/>
    <x v="1"/>
    <s v="DK2_Large"/>
    <x v="2"/>
    <x v="2"/>
    <s v="GNR_ST_MSW_BP_E-27"/>
    <x v="0"/>
    <x v="21"/>
    <n v="19.399999999999999"/>
    <n v="7081"/>
    <n v="25491.599999999999"/>
  </r>
  <r>
    <x v="0"/>
    <x v="0"/>
    <x v="0"/>
    <x v="0"/>
    <x v="1"/>
    <s v="DK2_Large"/>
    <x v="2"/>
    <x v="2"/>
    <s v="GNR_ST_MSW_BP_E-27"/>
    <x v="0"/>
    <x v="22"/>
    <n v="19.399999999999999"/>
    <n v="7081"/>
    <n v="25491.599999999999"/>
  </r>
  <r>
    <x v="0"/>
    <x v="0"/>
    <x v="0"/>
    <x v="0"/>
    <x v="1"/>
    <s v="DK2_Large"/>
    <x v="2"/>
    <x v="2"/>
    <s v="GNR_ST_MSW_BP_E-27"/>
    <x v="0"/>
    <x v="23"/>
    <n v="19.399999999999999"/>
    <n v="7081"/>
    <n v="25491.599999999999"/>
  </r>
  <r>
    <x v="0"/>
    <x v="0"/>
    <x v="0"/>
    <x v="0"/>
    <x v="1"/>
    <s v="DK2_Large"/>
    <x v="8"/>
    <x v="2"/>
    <s v="GNR_ST_NGAS_BP_E-39"/>
    <x v="0"/>
    <x v="6"/>
    <n v="78.726294589463905"/>
    <n v="28735.097525154299"/>
    <n v="103446.351090556"/>
  </r>
  <r>
    <x v="0"/>
    <x v="0"/>
    <x v="0"/>
    <x v="0"/>
    <x v="1"/>
    <s v="DK2_Large"/>
    <x v="8"/>
    <x v="2"/>
    <s v="GNR_ST_NGAS_BP_E-39"/>
    <x v="0"/>
    <x v="7"/>
    <n v="82"/>
    <n v="29930"/>
    <n v="107748"/>
  </r>
  <r>
    <x v="0"/>
    <x v="0"/>
    <x v="0"/>
    <x v="0"/>
    <x v="1"/>
    <s v="DK2_Large"/>
    <x v="8"/>
    <x v="2"/>
    <s v="GNR_ST_NGAS_BP_E-39"/>
    <x v="0"/>
    <x v="8"/>
    <n v="65.468237810727501"/>
    <n v="23895.9068009156"/>
    <n v="86025.264483296007"/>
  </r>
  <r>
    <x v="0"/>
    <x v="0"/>
    <x v="0"/>
    <x v="0"/>
    <x v="1"/>
    <s v="DK2_Large"/>
    <x v="4"/>
    <x v="2"/>
    <s v="GNR_ST_WOODCHI_BP_E-27"/>
    <x v="0"/>
    <x v="0"/>
    <n v="15"/>
    <n v="5475"/>
    <n v="19710"/>
  </r>
  <r>
    <x v="0"/>
    <x v="0"/>
    <x v="0"/>
    <x v="0"/>
    <x v="1"/>
    <s v="DK2_Large"/>
    <x v="4"/>
    <x v="2"/>
    <s v="GNR_ST_WOODCHI_BP_E-27"/>
    <x v="0"/>
    <x v="1"/>
    <n v="15"/>
    <n v="5475"/>
    <n v="19710"/>
  </r>
  <r>
    <x v="0"/>
    <x v="0"/>
    <x v="0"/>
    <x v="0"/>
    <x v="1"/>
    <s v="DK2_Large"/>
    <x v="4"/>
    <x v="2"/>
    <s v="GNR_ST_WOODCHI_BP_E-27"/>
    <x v="0"/>
    <x v="18"/>
    <n v="15"/>
    <n v="5475"/>
    <n v="19710"/>
  </r>
  <r>
    <x v="0"/>
    <x v="0"/>
    <x v="0"/>
    <x v="0"/>
    <x v="1"/>
    <s v="DK2_Large"/>
    <x v="4"/>
    <x v="2"/>
    <s v="GNR_ST_WOODCHI_BP_E-27"/>
    <x v="0"/>
    <x v="2"/>
    <n v="15"/>
    <n v="5475"/>
    <n v="19710"/>
  </r>
  <r>
    <x v="0"/>
    <x v="0"/>
    <x v="0"/>
    <x v="0"/>
    <x v="1"/>
    <s v="DK2_Large"/>
    <x v="4"/>
    <x v="2"/>
    <s v="GNR_ST_WOODCHI_BP_E-27"/>
    <x v="0"/>
    <x v="3"/>
    <n v="15"/>
    <n v="5475"/>
    <n v="19710"/>
  </r>
  <r>
    <x v="0"/>
    <x v="0"/>
    <x v="0"/>
    <x v="0"/>
    <x v="1"/>
    <s v="DK2_Large"/>
    <x v="4"/>
    <x v="2"/>
    <s v="GNR_ST_WOODCHI_BP_E-27"/>
    <x v="0"/>
    <x v="4"/>
    <n v="15"/>
    <n v="5475"/>
    <n v="19710"/>
  </r>
  <r>
    <x v="0"/>
    <x v="0"/>
    <x v="0"/>
    <x v="0"/>
    <x v="1"/>
    <s v="DK2_Large"/>
    <x v="4"/>
    <x v="2"/>
    <s v="GNR_ST_WOODCHI_BP_E-27"/>
    <x v="0"/>
    <x v="5"/>
    <n v="15"/>
    <n v="5475"/>
    <n v="19710"/>
  </r>
  <r>
    <x v="0"/>
    <x v="0"/>
    <x v="0"/>
    <x v="0"/>
    <x v="1"/>
    <s v="DK2_Large"/>
    <x v="4"/>
    <x v="2"/>
    <s v="GNR_ST_WOODCHI_BP_E-27"/>
    <x v="0"/>
    <x v="6"/>
    <n v="15"/>
    <n v="5475"/>
    <n v="19710"/>
  </r>
  <r>
    <x v="0"/>
    <x v="0"/>
    <x v="0"/>
    <x v="0"/>
    <x v="1"/>
    <s v="DK2_Large"/>
    <x v="4"/>
    <x v="2"/>
    <s v="GNR_ST_WOODCHI_BP_E-27"/>
    <x v="0"/>
    <x v="7"/>
    <n v="15"/>
    <n v="5475"/>
    <n v="19710"/>
  </r>
  <r>
    <x v="0"/>
    <x v="0"/>
    <x v="0"/>
    <x v="0"/>
    <x v="1"/>
    <s v="DK2_Large"/>
    <x v="4"/>
    <x v="2"/>
    <s v="GNR_ST_WOODCHI_BP_E-27"/>
    <x v="0"/>
    <x v="8"/>
    <n v="15"/>
    <n v="5475"/>
    <n v="19710"/>
  </r>
  <r>
    <x v="0"/>
    <x v="0"/>
    <x v="0"/>
    <x v="0"/>
    <x v="1"/>
    <s v="DK2_Large"/>
    <x v="4"/>
    <x v="2"/>
    <s v="GNR_ST_WOODCHI_BP_E-27"/>
    <x v="0"/>
    <x v="9"/>
    <n v="15"/>
    <n v="5475"/>
    <n v="19710"/>
  </r>
  <r>
    <x v="0"/>
    <x v="0"/>
    <x v="0"/>
    <x v="0"/>
    <x v="1"/>
    <s v="DK2_Large"/>
    <x v="4"/>
    <x v="2"/>
    <s v="GNR_ST_WOODCHI_BP_E-27"/>
    <x v="0"/>
    <x v="10"/>
    <n v="15"/>
    <n v="5475"/>
    <n v="19710"/>
  </r>
  <r>
    <x v="0"/>
    <x v="0"/>
    <x v="0"/>
    <x v="0"/>
    <x v="1"/>
    <s v="DK2_Large"/>
    <x v="4"/>
    <x v="2"/>
    <s v="GNR_ST_WOODCHI_BP_E-27"/>
    <x v="0"/>
    <x v="11"/>
    <n v="15"/>
    <n v="5475"/>
    <n v="19710"/>
  </r>
  <r>
    <x v="0"/>
    <x v="0"/>
    <x v="0"/>
    <x v="0"/>
    <x v="1"/>
    <s v="DK2_Large"/>
    <x v="4"/>
    <x v="2"/>
    <s v="GNR_ST_WOODCHI_BP_E-27"/>
    <x v="0"/>
    <x v="12"/>
    <n v="15"/>
    <n v="5475"/>
    <n v="19710"/>
  </r>
  <r>
    <x v="0"/>
    <x v="0"/>
    <x v="0"/>
    <x v="0"/>
    <x v="1"/>
    <s v="DK2_Large"/>
    <x v="4"/>
    <x v="2"/>
    <s v="GNR_ST_WOODCHI_BP_E-27"/>
    <x v="0"/>
    <x v="13"/>
    <n v="15"/>
    <n v="5475"/>
    <n v="19710"/>
  </r>
  <r>
    <x v="0"/>
    <x v="0"/>
    <x v="0"/>
    <x v="0"/>
    <x v="1"/>
    <s v="DK2_Large"/>
    <x v="4"/>
    <x v="2"/>
    <s v="GNR_ST_WOODCHI_BP_E-27"/>
    <x v="0"/>
    <x v="14"/>
    <n v="15"/>
    <n v="5475"/>
    <n v="19710"/>
  </r>
  <r>
    <x v="0"/>
    <x v="0"/>
    <x v="0"/>
    <x v="0"/>
    <x v="1"/>
    <s v="DK2_Large"/>
    <x v="4"/>
    <x v="2"/>
    <s v="GNR_ST_WOODCHI_BP_E-27"/>
    <x v="0"/>
    <x v="15"/>
    <n v="15"/>
    <n v="5475"/>
    <n v="19710"/>
  </r>
  <r>
    <x v="0"/>
    <x v="0"/>
    <x v="0"/>
    <x v="0"/>
    <x v="1"/>
    <s v="DK2_Large"/>
    <x v="4"/>
    <x v="2"/>
    <s v="GNR_ST_WOODCHI_BP_E-27"/>
    <x v="0"/>
    <x v="16"/>
    <n v="15"/>
    <n v="5475"/>
    <n v="19710"/>
  </r>
  <r>
    <x v="0"/>
    <x v="0"/>
    <x v="0"/>
    <x v="0"/>
    <x v="1"/>
    <s v="DK2_Large"/>
    <x v="4"/>
    <x v="2"/>
    <s v="GNR_ST_WOODCHI_BP_E-27"/>
    <x v="0"/>
    <x v="17"/>
    <n v="15"/>
    <n v="5475"/>
    <n v="19710"/>
  </r>
  <r>
    <x v="0"/>
    <x v="0"/>
    <x v="0"/>
    <x v="0"/>
    <x v="1"/>
    <s v="DK2_Large"/>
    <x v="4"/>
    <x v="2"/>
    <s v="GNR_ST_WOODCHI_BP_E-27"/>
    <x v="0"/>
    <x v="19"/>
    <n v="15"/>
    <n v="5475"/>
    <n v="19710"/>
  </r>
  <r>
    <x v="0"/>
    <x v="0"/>
    <x v="0"/>
    <x v="0"/>
    <x v="1"/>
    <s v="DK2_Large"/>
    <x v="4"/>
    <x v="2"/>
    <s v="GNR_ST_WOODCHI_BP_E-27"/>
    <x v="0"/>
    <x v="20"/>
    <n v="15"/>
    <n v="5475"/>
    <n v="19710"/>
  </r>
  <r>
    <x v="0"/>
    <x v="0"/>
    <x v="0"/>
    <x v="0"/>
    <x v="1"/>
    <s v="DK2_Large"/>
    <x v="4"/>
    <x v="2"/>
    <s v="GNR_ST_WOODCHI_BP_E-27"/>
    <x v="0"/>
    <x v="21"/>
    <n v="15"/>
    <n v="5475"/>
    <n v="19710"/>
  </r>
  <r>
    <x v="0"/>
    <x v="0"/>
    <x v="0"/>
    <x v="0"/>
    <x v="1"/>
    <s v="DK2_Large"/>
    <x v="4"/>
    <x v="2"/>
    <s v="GNR_ST_WOODCHI_BP_E-27"/>
    <x v="0"/>
    <x v="22"/>
    <n v="15"/>
    <n v="5475"/>
    <n v="19710"/>
  </r>
  <r>
    <x v="0"/>
    <x v="0"/>
    <x v="0"/>
    <x v="0"/>
    <x v="1"/>
    <s v="DK2_Large"/>
    <x v="4"/>
    <x v="2"/>
    <s v="GNR_ST_WOODCHI_BP_E-27"/>
    <x v="0"/>
    <x v="23"/>
    <n v="15"/>
    <n v="5475"/>
    <n v="19710"/>
  </r>
  <r>
    <x v="0"/>
    <x v="0"/>
    <x v="0"/>
    <x v="0"/>
    <x v="1"/>
    <s v="DK2_MedSmall"/>
    <x v="2"/>
    <x v="2"/>
    <s v="GNR_ST_MSW_BP_E-28"/>
    <x v="0"/>
    <x v="6"/>
    <n v="10.7602672184606"/>
    <n v="3927.4975347381201"/>
    <n v="14138.9911250572"/>
  </r>
  <r>
    <x v="0"/>
    <x v="0"/>
    <x v="0"/>
    <x v="0"/>
    <x v="1"/>
    <s v="DK2_MedSmall"/>
    <x v="2"/>
    <x v="2"/>
    <s v="GNR_ST_MSW_BP_E-28"/>
    <x v="0"/>
    <x v="7"/>
    <n v="11.302117521702"/>
    <n v="4125.2728954212198"/>
    <n v="14850.9824235164"/>
  </r>
  <r>
    <x v="0"/>
    <x v="0"/>
    <x v="0"/>
    <x v="0"/>
    <x v="1"/>
    <s v="DK2_MedSmall"/>
    <x v="2"/>
    <x v="2"/>
    <s v="GNR_ST_MSW_BP_E-28"/>
    <x v="0"/>
    <x v="8"/>
    <n v="11.232649534106899"/>
    <n v="4099.9170799490303"/>
    <n v="14759.701487816499"/>
  </r>
  <r>
    <x v="0"/>
    <x v="0"/>
    <x v="0"/>
    <x v="0"/>
    <x v="1"/>
    <s v="DK2_MedSmall"/>
    <x v="2"/>
    <x v="2"/>
    <s v="GNR_ST_MSW_BP_E-28"/>
    <x v="0"/>
    <x v="9"/>
    <n v="6.6153555529418604"/>
    <n v="2414.60477682378"/>
    <n v="8692.5771965656095"/>
  </r>
  <r>
    <x v="0"/>
    <x v="0"/>
    <x v="0"/>
    <x v="0"/>
    <x v="1"/>
    <s v="DK2_MedSmall"/>
    <x v="2"/>
    <x v="2"/>
    <s v="GNR_ST_MSW_BP_E-28"/>
    <x v="0"/>
    <x v="10"/>
    <n v="6.4903131752707797"/>
    <n v="2368.9643089738302"/>
    <n v="8528.2715123058006"/>
  </r>
  <r>
    <x v="0"/>
    <x v="0"/>
    <x v="0"/>
    <x v="0"/>
    <x v="1"/>
    <s v="DK2_MedSmall"/>
    <x v="2"/>
    <x v="2"/>
    <s v="GNR_ST_MSW_BP_E-28"/>
    <x v="0"/>
    <x v="14"/>
    <n v="4.4509318392769801"/>
    <n v="1624.5901213361001"/>
    <n v="5848.5244368099502"/>
  </r>
  <r>
    <x v="0"/>
    <x v="0"/>
    <x v="0"/>
    <x v="0"/>
    <x v="1"/>
    <s v="DK2_Medium"/>
    <x v="0"/>
    <x v="2"/>
    <s v="GNR_ST_COAL_BP_E-38"/>
    <x v="0"/>
    <x v="0"/>
    <n v="127.52596765650701"/>
    <n v="46546.978194625102"/>
    <n v="167569.12150065001"/>
  </r>
  <r>
    <x v="0"/>
    <x v="0"/>
    <x v="0"/>
    <x v="0"/>
    <x v="1"/>
    <s v="DK2_Medium"/>
    <x v="0"/>
    <x v="2"/>
    <s v="GNR_ST_COAL_BP_E-38"/>
    <x v="0"/>
    <x v="1"/>
    <n v="124.25396656988001"/>
    <n v="45352.697798006098"/>
    <n v="163269.712072822"/>
  </r>
  <r>
    <x v="0"/>
    <x v="0"/>
    <x v="0"/>
    <x v="0"/>
    <x v="1"/>
    <s v="DK2_Medium"/>
    <x v="0"/>
    <x v="2"/>
    <s v="GNR_ST_COAL_BP_E-38"/>
    <x v="0"/>
    <x v="18"/>
    <n v="123.817699758329"/>
    <n v="45193.460411790198"/>
    <n v="162696.457482445"/>
  </r>
  <r>
    <x v="0"/>
    <x v="0"/>
    <x v="0"/>
    <x v="0"/>
    <x v="1"/>
    <s v="DK2_Medium"/>
    <x v="0"/>
    <x v="2"/>
    <s v="GNR_ST_COAL_BP_E-38"/>
    <x v="0"/>
    <x v="2"/>
    <n v="122.50889932367799"/>
    <n v="44715.748253142599"/>
    <n v="160976.69371131301"/>
  </r>
  <r>
    <x v="0"/>
    <x v="0"/>
    <x v="0"/>
    <x v="0"/>
    <x v="1"/>
    <s v="DK2_Medium"/>
    <x v="0"/>
    <x v="2"/>
    <s v="GNR_ST_COAL_BP_E-38"/>
    <x v="0"/>
    <x v="3"/>
    <n v="125.21523338143"/>
    <n v="45703.560184221897"/>
    <n v="164532.81666319899"/>
  </r>
  <r>
    <x v="0"/>
    <x v="0"/>
    <x v="0"/>
    <x v="0"/>
    <x v="1"/>
    <s v="DK2_Medium"/>
    <x v="0"/>
    <x v="2"/>
    <s v="GNR_ST_COAL_BP_E-38"/>
    <x v="0"/>
    <x v="4"/>
    <n v="142"/>
    <n v="51830"/>
    <n v="186588"/>
  </r>
  <r>
    <x v="0"/>
    <x v="0"/>
    <x v="0"/>
    <x v="0"/>
    <x v="1"/>
    <s v="DK2_Medium"/>
    <x v="0"/>
    <x v="2"/>
    <s v="GNR_ST_COAL_BP_E-38"/>
    <x v="0"/>
    <x v="5"/>
    <n v="142"/>
    <n v="51830"/>
    <n v="186588"/>
  </r>
  <r>
    <x v="0"/>
    <x v="0"/>
    <x v="0"/>
    <x v="0"/>
    <x v="1"/>
    <s v="DK2_Medium"/>
    <x v="0"/>
    <x v="2"/>
    <s v="GNR_ST_COAL_BP_E-38"/>
    <x v="0"/>
    <x v="6"/>
    <n v="142"/>
    <n v="51830"/>
    <n v="186588"/>
  </r>
  <r>
    <x v="0"/>
    <x v="0"/>
    <x v="0"/>
    <x v="0"/>
    <x v="1"/>
    <s v="DK2_Medium"/>
    <x v="0"/>
    <x v="2"/>
    <s v="GNR_ST_COAL_BP_E-38"/>
    <x v="0"/>
    <x v="7"/>
    <n v="142"/>
    <n v="51830"/>
    <n v="186588"/>
  </r>
  <r>
    <x v="0"/>
    <x v="0"/>
    <x v="0"/>
    <x v="0"/>
    <x v="1"/>
    <s v="DK2_Medium"/>
    <x v="0"/>
    <x v="2"/>
    <s v="GNR_ST_COAL_BP_E-38"/>
    <x v="0"/>
    <x v="8"/>
    <n v="142"/>
    <n v="51830"/>
    <n v="186588"/>
  </r>
  <r>
    <x v="0"/>
    <x v="0"/>
    <x v="0"/>
    <x v="0"/>
    <x v="1"/>
    <s v="DK2_Medium"/>
    <x v="0"/>
    <x v="2"/>
    <s v="GNR_ST_COAL_BP_E-38"/>
    <x v="0"/>
    <x v="9"/>
    <n v="142"/>
    <n v="51830"/>
    <n v="186588"/>
  </r>
  <r>
    <x v="0"/>
    <x v="0"/>
    <x v="0"/>
    <x v="0"/>
    <x v="1"/>
    <s v="DK2_Medium"/>
    <x v="0"/>
    <x v="2"/>
    <s v="GNR_ST_COAL_BP_E-38"/>
    <x v="0"/>
    <x v="10"/>
    <n v="142"/>
    <n v="51830"/>
    <n v="186588"/>
  </r>
  <r>
    <x v="0"/>
    <x v="0"/>
    <x v="0"/>
    <x v="0"/>
    <x v="1"/>
    <s v="DK2_Medium"/>
    <x v="0"/>
    <x v="2"/>
    <s v="GNR_ST_COAL_BP_E-38"/>
    <x v="0"/>
    <x v="11"/>
    <n v="142"/>
    <n v="51830"/>
    <n v="186588"/>
  </r>
  <r>
    <x v="0"/>
    <x v="0"/>
    <x v="0"/>
    <x v="0"/>
    <x v="1"/>
    <s v="DK2_Medium"/>
    <x v="0"/>
    <x v="2"/>
    <s v="GNR_ST_COAL_BP_E-38"/>
    <x v="0"/>
    <x v="12"/>
    <n v="142"/>
    <n v="51830"/>
    <n v="186588"/>
  </r>
  <r>
    <x v="0"/>
    <x v="0"/>
    <x v="0"/>
    <x v="0"/>
    <x v="1"/>
    <s v="DK2_Medium"/>
    <x v="0"/>
    <x v="2"/>
    <s v="GNR_ST_COAL_BP_E-38"/>
    <x v="0"/>
    <x v="13"/>
    <n v="142"/>
    <n v="51830"/>
    <n v="186588"/>
  </r>
  <r>
    <x v="0"/>
    <x v="0"/>
    <x v="0"/>
    <x v="0"/>
    <x v="1"/>
    <s v="DK2_Medium"/>
    <x v="0"/>
    <x v="2"/>
    <s v="GNR_ST_COAL_BP_E-38"/>
    <x v="0"/>
    <x v="14"/>
    <n v="142"/>
    <n v="51830"/>
    <n v="186588"/>
  </r>
  <r>
    <x v="0"/>
    <x v="0"/>
    <x v="0"/>
    <x v="0"/>
    <x v="1"/>
    <s v="DK2_Medium"/>
    <x v="0"/>
    <x v="2"/>
    <s v="GNR_ST_COAL_BP_E-38"/>
    <x v="0"/>
    <x v="15"/>
    <n v="142"/>
    <n v="51830"/>
    <n v="186588"/>
  </r>
  <r>
    <x v="0"/>
    <x v="0"/>
    <x v="0"/>
    <x v="0"/>
    <x v="1"/>
    <s v="DK2_Medium"/>
    <x v="0"/>
    <x v="2"/>
    <s v="GNR_ST_COAL_BP_E-38"/>
    <x v="0"/>
    <x v="16"/>
    <n v="142"/>
    <n v="51830"/>
    <n v="186588"/>
  </r>
  <r>
    <x v="0"/>
    <x v="0"/>
    <x v="0"/>
    <x v="0"/>
    <x v="1"/>
    <s v="DK2_Medium"/>
    <x v="0"/>
    <x v="2"/>
    <s v="GNR_ST_COAL_BP_E-38"/>
    <x v="0"/>
    <x v="17"/>
    <n v="142"/>
    <n v="51830"/>
    <n v="186588"/>
  </r>
  <r>
    <x v="0"/>
    <x v="0"/>
    <x v="0"/>
    <x v="0"/>
    <x v="1"/>
    <s v="DK2_Medium"/>
    <x v="0"/>
    <x v="2"/>
    <s v="GNR_ST_COAL_BP_E-38"/>
    <x v="0"/>
    <x v="19"/>
    <n v="142"/>
    <n v="51830"/>
    <n v="186588"/>
  </r>
  <r>
    <x v="0"/>
    <x v="0"/>
    <x v="0"/>
    <x v="0"/>
    <x v="1"/>
    <s v="DK2_Medium"/>
    <x v="0"/>
    <x v="2"/>
    <s v="GNR_ST_COAL_BP_E-38"/>
    <x v="0"/>
    <x v="20"/>
    <n v="142"/>
    <n v="51830"/>
    <n v="186588"/>
  </r>
  <r>
    <x v="0"/>
    <x v="0"/>
    <x v="0"/>
    <x v="0"/>
    <x v="1"/>
    <s v="DK2_Medium"/>
    <x v="0"/>
    <x v="2"/>
    <s v="GNR_ST_COAL_BP_E-38"/>
    <x v="0"/>
    <x v="21"/>
    <n v="142"/>
    <n v="51830"/>
    <n v="186588"/>
  </r>
  <r>
    <x v="0"/>
    <x v="0"/>
    <x v="0"/>
    <x v="0"/>
    <x v="1"/>
    <s v="DK2_Medium"/>
    <x v="0"/>
    <x v="0"/>
    <s v="GNR_ST_COAL_EXT_E-41"/>
    <x v="0"/>
    <x v="3"/>
    <n v="179.185017318642"/>
    <n v="65402.531321304501"/>
    <n v="235449.11275669601"/>
  </r>
  <r>
    <x v="0"/>
    <x v="0"/>
    <x v="0"/>
    <x v="0"/>
    <x v="1"/>
    <s v="DK2_Medium"/>
    <x v="0"/>
    <x v="0"/>
    <s v="GNR_ST_COAL_EXT_E-41"/>
    <x v="0"/>
    <x v="4"/>
    <n v="639.88456546900102"/>
    <n v="233557.866396186"/>
    <n v="840808.31902626797"/>
  </r>
  <r>
    <x v="0"/>
    <x v="0"/>
    <x v="0"/>
    <x v="0"/>
    <x v="1"/>
    <s v="DK2_Medium"/>
    <x v="0"/>
    <x v="0"/>
    <s v="GNR_ST_COAL_EXT_E-41"/>
    <x v="0"/>
    <x v="5"/>
    <n v="640"/>
    <n v="233600"/>
    <n v="840960"/>
  </r>
  <r>
    <x v="0"/>
    <x v="0"/>
    <x v="0"/>
    <x v="0"/>
    <x v="1"/>
    <s v="DK2_Medium"/>
    <x v="0"/>
    <x v="0"/>
    <s v="GNR_ST_COAL_EXT_E-41"/>
    <x v="0"/>
    <x v="6"/>
    <n v="640"/>
    <n v="233600"/>
    <n v="840960"/>
  </r>
  <r>
    <x v="0"/>
    <x v="0"/>
    <x v="0"/>
    <x v="0"/>
    <x v="1"/>
    <s v="DK2_Medium"/>
    <x v="0"/>
    <x v="0"/>
    <s v="GNR_ST_COAL_EXT_E-41"/>
    <x v="0"/>
    <x v="7"/>
    <n v="640"/>
    <n v="233600"/>
    <n v="840960"/>
  </r>
  <r>
    <x v="0"/>
    <x v="0"/>
    <x v="0"/>
    <x v="0"/>
    <x v="1"/>
    <s v="DK2_Medium"/>
    <x v="0"/>
    <x v="0"/>
    <s v="GNR_ST_COAL_EXT_E-41"/>
    <x v="0"/>
    <x v="8"/>
    <n v="640"/>
    <n v="233600"/>
    <n v="840960"/>
  </r>
  <r>
    <x v="0"/>
    <x v="0"/>
    <x v="0"/>
    <x v="0"/>
    <x v="1"/>
    <s v="DK2_Medium"/>
    <x v="0"/>
    <x v="0"/>
    <s v="GNR_ST_COAL_EXT_E-41"/>
    <x v="0"/>
    <x v="9"/>
    <n v="640"/>
    <n v="233600"/>
    <n v="840960"/>
  </r>
  <r>
    <x v="0"/>
    <x v="0"/>
    <x v="0"/>
    <x v="0"/>
    <x v="1"/>
    <s v="DK2_Medium"/>
    <x v="0"/>
    <x v="0"/>
    <s v="GNR_ST_COAL_EXT_E-41"/>
    <x v="0"/>
    <x v="10"/>
    <n v="640"/>
    <n v="233600"/>
    <n v="840960"/>
  </r>
  <r>
    <x v="0"/>
    <x v="0"/>
    <x v="0"/>
    <x v="0"/>
    <x v="1"/>
    <s v="DK2_Medium"/>
    <x v="0"/>
    <x v="0"/>
    <s v="GNR_ST_COAL_EXT_E-41"/>
    <x v="0"/>
    <x v="11"/>
    <n v="633.77683010729697"/>
    <n v="231328.54298916299"/>
    <n v="832782.75476098806"/>
  </r>
  <r>
    <x v="0"/>
    <x v="0"/>
    <x v="0"/>
    <x v="0"/>
    <x v="1"/>
    <s v="DK2_Medium"/>
    <x v="0"/>
    <x v="0"/>
    <s v="GNR_ST_COAL_EXT_E-41"/>
    <x v="0"/>
    <x v="12"/>
    <n v="634.82387045501798"/>
    <n v="231710.71271608101"/>
    <n v="834158.56577789295"/>
  </r>
  <r>
    <x v="0"/>
    <x v="0"/>
    <x v="0"/>
    <x v="0"/>
    <x v="1"/>
    <s v="DK2_Medium"/>
    <x v="0"/>
    <x v="0"/>
    <s v="GNR_ST_COAL_EXT_E-41"/>
    <x v="0"/>
    <x v="13"/>
    <n v="634.736617092708"/>
    <n v="231678.86523883801"/>
    <n v="834043.91485981795"/>
  </r>
  <r>
    <x v="0"/>
    <x v="0"/>
    <x v="0"/>
    <x v="0"/>
    <x v="1"/>
    <s v="DK2_Medium"/>
    <x v="0"/>
    <x v="0"/>
    <s v="GNR_ST_COAL_EXT_E-41"/>
    <x v="0"/>
    <x v="14"/>
    <n v="634.518483686933"/>
    <n v="231599.24654573001"/>
    <n v="833757.28756462899"/>
  </r>
  <r>
    <x v="0"/>
    <x v="0"/>
    <x v="0"/>
    <x v="0"/>
    <x v="1"/>
    <s v="DK2_Medium"/>
    <x v="0"/>
    <x v="0"/>
    <s v="GNR_ST_COAL_EXT_E-41"/>
    <x v="0"/>
    <x v="15"/>
    <n v="634.25672360000203"/>
    <n v="231503.70411400101"/>
    <n v="833413.33481040294"/>
  </r>
  <r>
    <x v="0"/>
    <x v="0"/>
    <x v="0"/>
    <x v="0"/>
    <x v="1"/>
    <s v="DK2_Medium"/>
    <x v="0"/>
    <x v="0"/>
    <s v="GNR_ST_COAL_EXT_E-41"/>
    <x v="0"/>
    <x v="16"/>
    <n v="633.47144333921199"/>
    <n v="231217.076818812"/>
    <n v="832381.47654772399"/>
  </r>
  <r>
    <x v="0"/>
    <x v="0"/>
    <x v="0"/>
    <x v="0"/>
    <x v="1"/>
    <s v="DK2_Medium"/>
    <x v="0"/>
    <x v="0"/>
    <s v="GNR_ST_COAL_EXT_E-41"/>
    <x v="0"/>
    <x v="17"/>
    <n v="633.20968325228205"/>
    <n v="231121.534387083"/>
    <n v="832037.52379349805"/>
  </r>
  <r>
    <x v="0"/>
    <x v="0"/>
    <x v="0"/>
    <x v="0"/>
    <x v="1"/>
    <s v="DK2_Medium"/>
    <x v="0"/>
    <x v="0"/>
    <s v="GNR_ST_COAL_EXT_E-41"/>
    <x v="0"/>
    <x v="19"/>
    <n v="633.47144333921199"/>
    <n v="231217.076818812"/>
    <n v="832381.47654772399"/>
  </r>
  <r>
    <x v="0"/>
    <x v="0"/>
    <x v="0"/>
    <x v="0"/>
    <x v="1"/>
    <s v="DK2_Medium"/>
    <x v="0"/>
    <x v="0"/>
    <s v="GNR_ST_COAL_EXT_E-41"/>
    <x v="0"/>
    <x v="20"/>
    <n v="304.89864508809001"/>
    <n v="111288.00545715301"/>
    <n v="400636.81964574999"/>
  </r>
  <r>
    <x v="0"/>
    <x v="0"/>
    <x v="0"/>
    <x v="0"/>
    <x v="1"/>
    <s v="DK2_NoDH"/>
    <x v="5"/>
    <x v="3"/>
    <s v="GNR_PV_SUN"/>
    <x v="0"/>
    <x v="7"/>
    <n v="5.89448093338929"/>
    <n v="2151.4855406870902"/>
    <n v="7745.3479464735301"/>
  </r>
  <r>
    <x v="0"/>
    <x v="0"/>
    <x v="0"/>
    <x v="0"/>
    <x v="1"/>
    <s v="DK2_NoDH"/>
    <x v="5"/>
    <x v="3"/>
    <s v="GNR_PV_SUN"/>
    <x v="0"/>
    <x v="8"/>
    <n v="44.374861590848603"/>
    <n v="16196.824480659699"/>
    <n v="58308.568130375097"/>
  </r>
  <r>
    <x v="0"/>
    <x v="0"/>
    <x v="0"/>
    <x v="0"/>
    <x v="1"/>
    <s v="DK2_NoDH"/>
    <x v="5"/>
    <x v="3"/>
    <s v="GNR_PV_SUN"/>
    <x v="0"/>
    <x v="9"/>
    <n v="102.50351202627201"/>
    <n v="37413.781889589402"/>
    <n v="134689.614802522"/>
  </r>
  <r>
    <x v="0"/>
    <x v="0"/>
    <x v="0"/>
    <x v="0"/>
    <x v="1"/>
    <s v="DK2_NoDH"/>
    <x v="5"/>
    <x v="3"/>
    <s v="GNR_PV_SUN"/>
    <x v="0"/>
    <x v="10"/>
    <n v="156.09794635908901"/>
    <n v="56975.750421067401"/>
    <n v="205112.70151584299"/>
  </r>
  <r>
    <x v="0"/>
    <x v="0"/>
    <x v="0"/>
    <x v="0"/>
    <x v="1"/>
    <s v="DK2_NoDH"/>
    <x v="5"/>
    <x v="3"/>
    <s v="GNR_PV_SUN"/>
    <x v="0"/>
    <x v="11"/>
    <n v="177.469218256044"/>
    <n v="64776.264663456001"/>
    <n v="233194.55278844101"/>
  </r>
  <r>
    <x v="0"/>
    <x v="0"/>
    <x v="0"/>
    <x v="0"/>
    <x v="1"/>
    <s v="DK2_NoDH"/>
    <x v="5"/>
    <x v="3"/>
    <s v="GNR_PV_SUN"/>
    <x v="0"/>
    <x v="12"/>
    <n v="154.314488025397"/>
    <n v="56324.788129269698"/>
    <n v="202769.23726537099"/>
  </r>
  <r>
    <x v="0"/>
    <x v="0"/>
    <x v="0"/>
    <x v="0"/>
    <x v="1"/>
    <s v="DK2_NoDH"/>
    <x v="5"/>
    <x v="3"/>
    <s v="GNR_PV_SUN"/>
    <x v="0"/>
    <x v="13"/>
    <n v="100.41777261907301"/>
    <n v="36652.487005961601"/>
    <n v="131948.953221462"/>
  </r>
  <r>
    <x v="0"/>
    <x v="0"/>
    <x v="0"/>
    <x v="0"/>
    <x v="1"/>
    <s v="DK2_NoDH"/>
    <x v="5"/>
    <x v="3"/>
    <s v="GNR_PV_SUN"/>
    <x v="0"/>
    <x v="14"/>
    <n v="50.843676563901496"/>
    <n v="18557.941945824001"/>
    <n v="66808.591004966496"/>
  </r>
  <r>
    <x v="0"/>
    <x v="0"/>
    <x v="0"/>
    <x v="0"/>
    <x v="1"/>
    <s v="DK2_NoDH"/>
    <x v="5"/>
    <x v="3"/>
    <s v="GNR_PV_SUN"/>
    <x v="0"/>
    <x v="15"/>
    <n v="6.61995550980643"/>
    <n v="2416.2837610793499"/>
    <n v="8698.6215398856493"/>
  </r>
  <r>
    <x v="0"/>
    <x v="0"/>
    <x v="0"/>
    <x v="0"/>
    <x v="1"/>
    <s v="DK2_NoDH"/>
    <x v="6"/>
    <x v="4"/>
    <s v="GNR_ROR_WTR"/>
    <x v="0"/>
    <x v="0"/>
    <n v="8.2531860285989002E-3"/>
    <n v="3.0124129004386"/>
    <n v="10.844686441579"/>
  </r>
  <r>
    <x v="0"/>
    <x v="0"/>
    <x v="0"/>
    <x v="0"/>
    <x v="1"/>
    <s v="DK2_NoDH"/>
    <x v="6"/>
    <x v="4"/>
    <s v="GNR_ROR_WTR"/>
    <x v="0"/>
    <x v="1"/>
    <n v="8.2531860285989002E-3"/>
    <n v="3.0124129004386"/>
    <n v="10.844686441579"/>
  </r>
  <r>
    <x v="0"/>
    <x v="0"/>
    <x v="0"/>
    <x v="0"/>
    <x v="1"/>
    <s v="DK2_NoDH"/>
    <x v="6"/>
    <x v="4"/>
    <s v="GNR_ROR_WTR"/>
    <x v="0"/>
    <x v="18"/>
    <n v="8.2531860285989002E-3"/>
    <n v="3.0124129004386"/>
    <n v="10.844686441579"/>
  </r>
  <r>
    <x v="0"/>
    <x v="0"/>
    <x v="0"/>
    <x v="0"/>
    <x v="1"/>
    <s v="DK2_NoDH"/>
    <x v="6"/>
    <x v="4"/>
    <s v="GNR_ROR_WTR"/>
    <x v="0"/>
    <x v="2"/>
    <n v="8.2531860285989002E-3"/>
    <n v="3.0124129004386"/>
    <n v="10.844686441579"/>
  </r>
  <r>
    <x v="0"/>
    <x v="0"/>
    <x v="0"/>
    <x v="0"/>
    <x v="1"/>
    <s v="DK2_NoDH"/>
    <x v="6"/>
    <x v="4"/>
    <s v="GNR_ROR_WTR"/>
    <x v="0"/>
    <x v="3"/>
    <n v="8.2531860285989002E-3"/>
    <n v="3.0124129004386"/>
    <n v="10.844686441579"/>
  </r>
  <r>
    <x v="0"/>
    <x v="0"/>
    <x v="0"/>
    <x v="0"/>
    <x v="1"/>
    <s v="DK2_NoDH"/>
    <x v="6"/>
    <x v="4"/>
    <s v="GNR_ROR_WTR"/>
    <x v="0"/>
    <x v="4"/>
    <n v="8.2531860285989002E-3"/>
    <n v="3.0124129004386"/>
    <n v="10.844686441579"/>
  </r>
  <r>
    <x v="0"/>
    <x v="0"/>
    <x v="0"/>
    <x v="0"/>
    <x v="1"/>
    <s v="DK2_NoDH"/>
    <x v="6"/>
    <x v="4"/>
    <s v="GNR_ROR_WTR"/>
    <x v="0"/>
    <x v="5"/>
    <n v="8.2531860285989002E-3"/>
    <n v="3.0124129004386"/>
    <n v="10.844686441579"/>
  </r>
  <r>
    <x v="0"/>
    <x v="0"/>
    <x v="0"/>
    <x v="0"/>
    <x v="1"/>
    <s v="DK2_NoDH"/>
    <x v="6"/>
    <x v="4"/>
    <s v="GNR_ROR_WTR"/>
    <x v="0"/>
    <x v="6"/>
    <n v="8.2531860285989002E-3"/>
    <n v="3.0124129004386"/>
    <n v="10.844686441579"/>
  </r>
  <r>
    <x v="0"/>
    <x v="0"/>
    <x v="0"/>
    <x v="0"/>
    <x v="1"/>
    <s v="DK2_NoDH"/>
    <x v="6"/>
    <x v="4"/>
    <s v="GNR_ROR_WTR"/>
    <x v="0"/>
    <x v="7"/>
    <n v="8.2531860285989002E-3"/>
    <n v="3.0124129004386"/>
    <n v="10.844686441579"/>
  </r>
  <r>
    <x v="0"/>
    <x v="0"/>
    <x v="0"/>
    <x v="0"/>
    <x v="1"/>
    <s v="DK2_NoDH"/>
    <x v="6"/>
    <x v="4"/>
    <s v="GNR_ROR_WTR"/>
    <x v="0"/>
    <x v="8"/>
    <n v="8.2531860285989002E-3"/>
    <n v="3.0124129004386"/>
    <n v="10.844686441579"/>
  </r>
  <r>
    <x v="0"/>
    <x v="0"/>
    <x v="0"/>
    <x v="0"/>
    <x v="1"/>
    <s v="DK2_NoDH"/>
    <x v="6"/>
    <x v="4"/>
    <s v="GNR_ROR_WTR"/>
    <x v="0"/>
    <x v="9"/>
    <n v="8.2531860285989002E-3"/>
    <n v="3.0124129004386"/>
    <n v="10.844686441579"/>
  </r>
  <r>
    <x v="0"/>
    <x v="0"/>
    <x v="0"/>
    <x v="0"/>
    <x v="1"/>
    <s v="DK2_NoDH"/>
    <x v="6"/>
    <x v="4"/>
    <s v="GNR_ROR_WTR"/>
    <x v="0"/>
    <x v="10"/>
    <n v="8.2531860285989002E-3"/>
    <n v="3.0124129004386"/>
    <n v="10.844686441579"/>
  </r>
  <r>
    <x v="0"/>
    <x v="0"/>
    <x v="0"/>
    <x v="0"/>
    <x v="1"/>
    <s v="DK2_NoDH"/>
    <x v="6"/>
    <x v="4"/>
    <s v="GNR_ROR_WTR"/>
    <x v="0"/>
    <x v="11"/>
    <n v="8.2531860285989002E-3"/>
    <n v="3.0124129004386"/>
    <n v="10.844686441579"/>
  </r>
  <r>
    <x v="0"/>
    <x v="0"/>
    <x v="0"/>
    <x v="0"/>
    <x v="1"/>
    <s v="DK2_NoDH"/>
    <x v="6"/>
    <x v="4"/>
    <s v="GNR_ROR_WTR"/>
    <x v="0"/>
    <x v="12"/>
    <n v="8.2531860285989002E-3"/>
    <n v="3.0124129004386"/>
    <n v="10.844686441579"/>
  </r>
  <r>
    <x v="0"/>
    <x v="0"/>
    <x v="0"/>
    <x v="0"/>
    <x v="1"/>
    <s v="DK2_NoDH"/>
    <x v="6"/>
    <x v="4"/>
    <s v="GNR_ROR_WTR"/>
    <x v="0"/>
    <x v="13"/>
    <n v="8.2531860285989002E-3"/>
    <n v="3.0124129004386"/>
    <n v="10.844686441579"/>
  </r>
  <r>
    <x v="0"/>
    <x v="0"/>
    <x v="0"/>
    <x v="0"/>
    <x v="1"/>
    <s v="DK2_NoDH"/>
    <x v="6"/>
    <x v="4"/>
    <s v="GNR_ROR_WTR"/>
    <x v="0"/>
    <x v="14"/>
    <n v="8.2531860285989002E-3"/>
    <n v="3.0124129004386"/>
    <n v="10.844686441579"/>
  </r>
  <r>
    <x v="0"/>
    <x v="0"/>
    <x v="0"/>
    <x v="0"/>
    <x v="1"/>
    <s v="DK2_NoDH"/>
    <x v="6"/>
    <x v="4"/>
    <s v="GNR_ROR_WTR"/>
    <x v="0"/>
    <x v="15"/>
    <n v="8.2531860285989002E-3"/>
    <n v="3.0124129004386"/>
    <n v="10.844686441579"/>
  </r>
  <r>
    <x v="0"/>
    <x v="0"/>
    <x v="0"/>
    <x v="0"/>
    <x v="1"/>
    <s v="DK2_NoDH"/>
    <x v="6"/>
    <x v="4"/>
    <s v="GNR_ROR_WTR"/>
    <x v="0"/>
    <x v="16"/>
    <n v="8.2531860285989002E-3"/>
    <n v="3.0124129004386"/>
    <n v="10.844686441579"/>
  </r>
  <r>
    <x v="0"/>
    <x v="0"/>
    <x v="0"/>
    <x v="0"/>
    <x v="1"/>
    <s v="DK2_NoDH"/>
    <x v="6"/>
    <x v="4"/>
    <s v="GNR_ROR_WTR"/>
    <x v="0"/>
    <x v="17"/>
    <n v="8.2531860285989002E-3"/>
    <n v="3.0124129004386"/>
    <n v="10.844686441579"/>
  </r>
  <r>
    <x v="0"/>
    <x v="0"/>
    <x v="0"/>
    <x v="0"/>
    <x v="1"/>
    <s v="DK2_NoDH"/>
    <x v="6"/>
    <x v="4"/>
    <s v="GNR_ROR_WTR"/>
    <x v="0"/>
    <x v="19"/>
    <n v="8.2531860285989002E-3"/>
    <n v="3.0124129004386"/>
    <n v="10.844686441579"/>
  </r>
  <r>
    <x v="0"/>
    <x v="0"/>
    <x v="0"/>
    <x v="0"/>
    <x v="1"/>
    <s v="DK2_NoDH"/>
    <x v="6"/>
    <x v="4"/>
    <s v="GNR_ROR_WTR"/>
    <x v="0"/>
    <x v="20"/>
    <n v="8.2531860285989002E-3"/>
    <n v="3.0124129004386"/>
    <n v="10.844686441579"/>
  </r>
  <r>
    <x v="0"/>
    <x v="0"/>
    <x v="0"/>
    <x v="0"/>
    <x v="1"/>
    <s v="DK2_NoDH"/>
    <x v="6"/>
    <x v="4"/>
    <s v="GNR_ROR_WTR"/>
    <x v="0"/>
    <x v="21"/>
    <n v="8.2531860285989002E-3"/>
    <n v="3.0124129004386"/>
    <n v="10.844686441579"/>
  </r>
  <r>
    <x v="0"/>
    <x v="0"/>
    <x v="0"/>
    <x v="0"/>
    <x v="1"/>
    <s v="DK2_NoDH"/>
    <x v="6"/>
    <x v="4"/>
    <s v="GNR_ROR_WTR"/>
    <x v="0"/>
    <x v="22"/>
    <n v="8.2531860285989002E-3"/>
    <n v="3.0124129004386"/>
    <n v="10.844686441579"/>
  </r>
  <r>
    <x v="0"/>
    <x v="0"/>
    <x v="0"/>
    <x v="0"/>
    <x v="1"/>
    <s v="DK2_NoDH"/>
    <x v="6"/>
    <x v="4"/>
    <s v="GNR_ROR_WTR"/>
    <x v="0"/>
    <x v="23"/>
    <n v="8.2531860285989002E-3"/>
    <n v="3.0124129004386"/>
    <n v="10.844686441579"/>
  </r>
  <r>
    <x v="0"/>
    <x v="0"/>
    <x v="0"/>
    <x v="0"/>
    <x v="1"/>
    <s v="DK2_NoDH"/>
    <x v="7"/>
    <x v="5"/>
    <s v="GNR_WT_WIND_ONS"/>
    <x v="0"/>
    <x v="0"/>
    <n v="56.727540341350497"/>
    <n v="20705.552224592899"/>
    <n v="74539.988008534594"/>
  </r>
  <r>
    <x v="0"/>
    <x v="0"/>
    <x v="0"/>
    <x v="0"/>
    <x v="1"/>
    <s v="DK2_NoDH"/>
    <x v="7"/>
    <x v="5"/>
    <s v="GNR_WT_WIND_ONS"/>
    <x v="0"/>
    <x v="1"/>
    <n v="68.073048409620696"/>
    <n v="24846.662669511501"/>
    <n v="89447.985610241507"/>
  </r>
  <r>
    <x v="0"/>
    <x v="0"/>
    <x v="0"/>
    <x v="0"/>
    <x v="1"/>
    <s v="DK2_NoDH"/>
    <x v="7"/>
    <x v="5"/>
    <s v="GNR_WT_WIND_ONS"/>
    <x v="0"/>
    <x v="18"/>
    <n v="66.452261542724898"/>
    <n v="24255.075463094599"/>
    <n v="87318.271667140594"/>
  </r>
  <r>
    <x v="0"/>
    <x v="0"/>
    <x v="0"/>
    <x v="0"/>
    <x v="1"/>
    <s v="DK2_NoDH"/>
    <x v="7"/>
    <x v="5"/>
    <s v="GNR_WT_WIND_ONS"/>
    <x v="0"/>
    <x v="2"/>
    <n v="62.400294375485601"/>
    <n v="22776.1074470522"/>
    <n v="81993.986809388094"/>
  </r>
  <r>
    <x v="0"/>
    <x v="0"/>
    <x v="0"/>
    <x v="0"/>
    <x v="1"/>
    <s v="DK2_NoDH"/>
    <x v="7"/>
    <x v="5"/>
    <s v="GNR_WT_WIND_ONS"/>
    <x v="0"/>
    <x v="3"/>
    <n v="46.192425706528297"/>
    <n v="16860.235382882802"/>
    <n v="60696.847378378203"/>
  </r>
  <r>
    <x v="0"/>
    <x v="0"/>
    <x v="0"/>
    <x v="0"/>
    <x v="1"/>
    <s v="DK2_NoDH"/>
    <x v="7"/>
    <x v="5"/>
    <s v="GNR_WT_WIND_ONS"/>
    <x v="0"/>
    <x v="4"/>
    <n v="26.7429833037795"/>
    <n v="9761.1889058795296"/>
    <n v="35140.280061166297"/>
  </r>
  <r>
    <x v="0"/>
    <x v="0"/>
    <x v="0"/>
    <x v="0"/>
    <x v="1"/>
    <s v="DK2_NoDH"/>
    <x v="7"/>
    <x v="5"/>
    <s v="GNR_WT_WIND_ONS"/>
    <x v="0"/>
    <x v="5"/>
    <n v="5.6727540341350497"/>
    <n v="2070.5552224592898"/>
    <n v="7453.9988008534601"/>
  </r>
  <r>
    <x v="0"/>
    <x v="0"/>
    <x v="0"/>
    <x v="0"/>
    <x v="1"/>
    <s v="DK2_NoDH"/>
    <x v="7"/>
    <x v="5"/>
    <s v="GNR_WT_WIND_ONS"/>
    <x v="0"/>
    <x v="6"/>
    <n v="4.0519671672393196"/>
    <n v="1478.96801604235"/>
    <n v="5324.2848577524701"/>
  </r>
  <r>
    <x v="0"/>
    <x v="0"/>
    <x v="0"/>
    <x v="0"/>
    <x v="1"/>
    <s v="DK2_NoDH"/>
    <x v="7"/>
    <x v="5"/>
    <s v="GNR_WT_WIND_ONS"/>
    <x v="0"/>
    <x v="7"/>
    <n v="5.6727540341350497"/>
    <n v="2070.5552224592898"/>
    <n v="7453.9988008534601"/>
  </r>
  <r>
    <x v="0"/>
    <x v="0"/>
    <x v="0"/>
    <x v="0"/>
    <x v="1"/>
    <s v="DK2_NoDH"/>
    <x v="7"/>
    <x v="5"/>
    <s v="GNR_WT_WIND_ONS"/>
    <x v="0"/>
    <x v="8"/>
    <n v="26.7429833037795"/>
    <n v="9761.1889058795296"/>
    <n v="35140.280061166297"/>
  </r>
  <r>
    <x v="0"/>
    <x v="0"/>
    <x v="0"/>
    <x v="0"/>
    <x v="1"/>
    <s v="DK2_NoDH"/>
    <x v="7"/>
    <x v="5"/>
    <s v="GNR_WT_WIND_ONS"/>
    <x v="0"/>
    <x v="9"/>
    <n v="62.400294375485601"/>
    <n v="22776.1074470522"/>
    <n v="81993.986809388094"/>
  </r>
  <r>
    <x v="0"/>
    <x v="0"/>
    <x v="0"/>
    <x v="0"/>
    <x v="1"/>
    <s v="DK2_NoDH"/>
    <x v="7"/>
    <x v="5"/>
    <s v="GNR_WT_WIND_ONS"/>
    <x v="0"/>
    <x v="10"/>
    <n v="96.436818580295906"/>
    <n v="35199.438781807999"/>
    <n v="126717.97961450899"/>
  </r>
  <r>
    <x v="0"/>
    <x v="0"/>
    <x v="0"/>
    <x v="0"/>
    <x v="1"/>
    <s v="DK2_NoDH"/>
    <x v="7"/>
    <x v="5"/>
    <s v="GNR_WT_WIND_ONS"/>
    <x v="0"/>
    <x v="11"/>
    <n v="111.834293815805"/>
    <n v="40819.517242768998"/>
    <n v="146950.26207396801"/>
  </r>
  <r>
    <x v="0"/>
    <x v="0"/>
    <x v="0"/>
    <x v="0"/>
    <x v="1"/>
    <s v="DK2_NoDH"/>
    <x v="7"/>
    <x v="5"/>
    <s v="GNR_WT_WIND_ONS"/>
    <x v="0"/>
    <x v="12"/>
    <n v="128.042162484763"/>
    <n v="46735.389306938399"/>
    <n v="168247.40150497801"/>
  </r>
  <r>
    <x v="0"/>
    <x v="0"/>
    <x v="0"/>
    <x v="0"/>
    <x v="1"/>
    <s v="DK2_NoDH"/>
    <x v="7"/>
    <x v="5"/>
    <s v="GNR_WT_WIND_ONS"/>
    <x v="0"/>
    <x v="13"/>
    <n v="128.042162484763"/>
    <n v="46735.389306938399"/>
    <n v="168247.40150497801"/>
  </r>
  <r>
    <x v="0"/>
    <x v="0"/>
    <x v="0"/>
    <x v="0"/>
    <x v="1"/>
    <s v="DK2_NoDH"/>
    <x v="7"/>
    <x v="5"/>
    <s v="GNR_WT_WIND_ONS"/>
    <x v="0"/>
    <x v="14"/>
    <n v="202.59835836196601"/>
    <n v="73948.4008021177"/>
    <n v="266214.24288762402"/>
  </r>
  <r>
    <x v="0"/>
    <x v="0"/>
    <x v="0"/>
    <x v="0"/>
    <x v="1"/>
    <s v="DK2_NoDH"/>
    <x v="7"/>
    <x v="5"/>
    <s v="GNR_WT_WIND_ONS"/>
    <x v="0"/>
    <x v="15"/>
    <n v="261.75707900366001"/>
    <n v="95541.333836335994"/>
    <n v="343948.80181080999"/>
  </r>
  <r>
    <x v="0"/>
    <x v="0"/>
    <x v="0"/>
    <x v="0"/>
    <x v="1"/>
    <s v="DK2_NoDH"/>
    <x v="7"/>
    <x v="5"/>
    <s v="GNR_WT_WIND_ONS"/>
    <x v="0"/>
    <x v="16"/>
    <n v="258.51550526986898"/>
    <n v="94358.159423502206"/>
    <n v="339689.37392460799"/>
  </r>
  <r>
    <x v="0"/>
    <x v="0"/>
    <x v="0"/>
    <x v="0"/>
    <x v="1"/>
    <s v="DK2_NoDH"/>
    <x v="7"/>
    <x v="5"/>
    <s v="GNR_WT_WIND_ONS"/>
    <x v="0"/>
    <x v="17"/>
    <n v="353.33153698326902"/>
    <n v="128966.01099889301"/>
    <n v="464277.63959601597"/>
  </r>
  <r>
    <x v="0"/>
    <x v="0"/>
    <x v="0"/>
    <x v="0"/>
    <x v="1"/>
    <s v="DK2_NoDH"/>
    <x v="7"/>
    <x v="5"/>
    <s v="GNR_WT_WIND_ONS"/>
    <x v="0"/>
    <x v="19"/>
    <n v="525.94533830766397"/>
    <n v="191970.04848229699"/>
    <n v="691092.17453627102"/>
  </r>
  <r>
    <x v="0"/>
    <x v="0"/>
    <x v="0"/>
    <x v="0"/>
    <x v="1"/>
    <s v="DK2_NoDH"/>
    <x v="7"/>
    <x v="5"/>
    <s v="GNR_WT_WIND_ONS"/>
    <x v="0"/>
    <x v="20"/>
    <n v="609.41586195279399"/>
    <n v="222436.78961276999"/>
    <n v="800772.44260597206"/>
  </r>
  <r>
    <x v="0"/>
    <x v="0"/>
    <x v="0"/>
    <x v="0"/>
    <x v="1"/>
    <s v="DK2_NoDH"/>
    <x v="7"/>
    <x v="5"/>
    <s v="GNR_WT_WIND_ONS"/>
    <x v="0"/>
    <x v="21"/>
    <n v="657.22907452621803"/>
    <n v="239888.61220207001"/>
    <n v="863599.00392745098"/>
  </r>
  <r>
    <x v="0"/>
    <x v="0"/>
    <x v="0"/>
    <x v="0"/>
    <x v="1"/>
    <s v="DK2_NoDH"/>
    <x v="7"/>
    <x v="5"/>
    <s v="GNR_WT_WIND_ONS"/>
    <x v="0"/>
    <x v="22"/>
    <n v="667.76418916104103"/>
    <n v="243733.92904377999"/>
    <n v="877442.14455760701"/>
  </r>
  <r>
    <x v="0"/>
    <x v="0"/>
    <x v="0"/>
    <x v="0"/>
    <x v="1"/>
    <s v="DK2_NoDH"/>
    <x v="7"/>
    <x v="5"/>
    <s v="GNR_WT_WIND_ONS"/>
    <x v="0"/>
    <x v="23"/>
    <n v="695.31756589826796"/>
    <n v="253790.911552868"/>
    <n v="913647.28159032401"/>
  </r>
  <r>
    <x v="0"/>
    <x v="0"/>
    <x v="0"/>
    <x v="0"/>
    <x v="1"/>
    <s v="DK2_Offshore"/>
    <x v="7"/>
    <x v="5"/>
    <s v="GNR_WT_WIND_OFF"/>
    <x v="0"/>
    <x v="0"/>
    <n v="59.000474158369002"/>
    <n v="21535.173067804699"/>
    <n v="77526.623044096894"/>
  </r>
  <r>
    <x v="0"/>
    <x v="0"/>
    <x v="0"/>
    <x v="0"/>
    <x v="1"/>
    <s v="DK2_Offshore"/>
    <x v="7"/>
    <x v="5"/>
    <s v="GNR_WT_WIND_OFF"/>
    <x v="0"/>
    <x v="1"/>
    <n v="70.800568990042805"/>
    <n v="25842.207681365599"/>
    <n v="93031.947652916293"/>
  </r>
  <r>
    <x v="0"/>
    <x v="0"/>
    <x v="0"/>
    <x v="0"/>
    <x v="1"/>
    <s v="DK2_Offshore"/>
    <x v="7"/>
    <x v="5"/>
    <s v="GNR_WT_WIND_OFF"/>
    <x v="0"/>
    <x v="18"/>
    <n v="69.114841156946596"/>
    <n v="25226.917022285499"/>
    <n v="90816.901280227801"/>
  </r>
  <r>
    <x v="0"/>
    <x v="0"/>
    <x v="0"/>
    <x v="0"/>
    <x v="1"/>
    <s v="DK2_Offshore"/>
    <x v="7"/>
    <x v="5"/>
    <s v="GNR_WT_WIND_OFF"/>
    <x v="0"/>
    <x v="2"/>
    <n v="64.900521574205897"/>
    <n v="23688.6903745852"/>
    <n v="85279.285348506601"/>
  </r>
  <r>
    <x v="0"/>
    <x v="0"/>
    <x v="0"/>
    <x v="0"/>
    <x v="1"/>
    <s v="DK2_Offshore"/>
    <x v="7"/>
    <x v="5"/>
    <s v="GNR_WT_WIND_OFF"/>
    <x v="0"/>
    <x v="3"/>
    <n v="48.043243243243403"/>
    <n v="17535.783783783801"/>
    <n v="63128.821621621799"/>
  </r>
  <r>
    <x v="0"/>
    <x v="0"/>
    <x v="0"/>
    <x v="0"/>
    <x v="1"/>
    <s v="DK2_Offshore"/>
    <x v="7"/>
    <x v="5"/>
    <s v="GNR_WT_WIND_OFF"/>
    <x v="0"/>
    <x v="4"/>
    <n v="27.814509246088299"/>
    <n v="10152.295874822201"/>
    <n v="36548.265149359999"/>
  </r>
  <r>
    <x v="0"/>
    <x v="0"/>
    <x v="0"/>
    <x v="0"/>
    <x v="1"/>
    <s v="DK2_Offshore"/>
    <x v="7"/>
    <x v="5"/>
    <s v="GNR_WT_WIND_OFF"/>
    <x v="0"/>
    <x v="5"/>
    <n v="5.9000474158368998"/>
    <n v="2153.5173067804699"/>
    <n v="7752.6623044096896"/>
  </r>
  <r>
    <x v="0"/>
    <x v="0"/>
    <x v="0"/>
    <x v="0"/>
    <x v="1"/>
    <s v="DK2_Offshore"/>
    <x v="7"/>
    <x v="5"/>
    <s v="GNR_WT_WIND_OFF"/>
    <x v="0"/>
    <x v="6"/>
    <n v="4.2143195827406403"/>
    <n v="1538.22664770034"/>
    <n v="5537.6159317212096"/>
  </r>
  <r>
    <x v="0"/>
    <x v="0"/>
    <x v="0"/>
    <x v="0"/>
    <x v="1"/>
    <s v="DK2_Offshore"/>
    <x v="7"/>
    <x v="5"/>
    <s v="GNR_WT_WIND_OFF"/>
    <x v="0"/>
    <x v="7"/>
    <n v="5.9000474158368998"/>
    <n v="2153.5173067804699"/>
    <n v="7752.6623044096896"/>
  </r>
  <r>
    <x v="0"/>
    <x v="0"/>
    <x v="0"/>
    <x v="0"/>
    <x v="1"/>
    <s v="DK2_Offshore"/>
    <x v="7"/>
    <x v="5"/>
    <s v="GNR_WT_WIND_OFF"/>
    <x v="0"/>
    <x v="8"/>
    <n v="27.814509246088299"/>
    <n v="10152.295874822201"/>
    <n v="36548.265149359999"/>
  </r>
  <r>
    <x v="0"/>
    <x v="0"/>
    <x v="0"/>
    <x v="0"/>
    <x v="1"/>
    <s v="DK2_Offshore"/>
    <x v="7"/>
    <x v="5"/>
    <s v="GNR_WT_WIND_OFF"/>
    <x v="0"/>
    <x v="9"/>
    <n v="64.900521574205897"/>
    <n v="23688.6903745852"/>
    <n v="85279.285348506601"/>
  </r>
  <r>
    <x v="0"/>
    <x v="0"/>
    <x v="0"/>
    <x v="0"/>
    <x v="1"/>
    <s v="DK2_Offshore"/>
    <x v="7"/>
    <x v="5"/>
    <s v="GNR_WT_WIND_OFF"/>
    <x v="0"/>
    <x v="10"/>
    <n v="100.30080606922699"/>
    <n v="36609.794215267997"/>
    <n v="131795.259174965"/>
  </r>
  <r>
    <x v="0"/>
    <x v="0"/>
    <x v="0"/>
    <x v="0"/>
    <x v="1"/>
    <s v="DK2_Offshore"/>
    <x v="7"/>
    <x v="5"/>
    <s v="GNR_WT_WIND_OFF"/>
    <x v="0"/>
    <x v="11"/>
    <n v="116.31522048364199"/>
    <n v="42455.055476529298"/>
    <n v="152838.199715505"/>
  </r>
  <r>
    <x v="0"/>
    <x v="0"/>
    <x v="0"/>
    <x v="0"/>
    <x v="1"/>
    <s v="DK2_Offshore"/>
    <x v="7"/>
    <x v="5"/>
    <s v="GNR_WT_WIND_OFF"/>
    <x v="0"/>
    <x v="12"/>
    <n v="133.17249881460401"/>
    <n v="48607.962067330598"/>
    <n v="174988.66344239001"/>
  </r>
  <r>
    <x v="0"/>
    <x v="0"/>
    <x v="0"/>
    <x v="0"/>
    <x v="1"/>
    <s v="DK2_Offshore"/>
    <x v="7"/>
    <x v="5"/>
    <s v="GNR_WT_WIND_OFF"/>
    <x v="0"/>
    <x v="13"/>
    <n v="133.17249881460401"/>
    <n v="48607.962067330598"/>
    <n v="174988.66344239001"/>
  </r>
  <r>
    <x v="0"/>
    <x v="0"/>
    <x v="0"/>
    <x v="0"/>
    <x v="1"/>
    <s v="DK2_Offshore"/>
    <x v="7"/>
    <x v="5"/>
    <s v="GNR_WT_WIND_OFF"/>
    <x v="0"/>
    <x v="14"/>
    <n v="210.71597913703201"/>
    <n v="76911.332385016794"/>
    <n v="276880.79658606002"/>
  </r>
  <r>
    <x v="0"/>
    <x v="0"/>
    <x v="0"/>
    <x v="0"/>
    <x v="1"/>
    <s v="DK2_Offshore"/>
    <x v="7"/>
    <x v="5"/>
    <s v="GNR_WT_WIND_OFF"/>
    <x v="0"/>
    <x v="15"/>
    <n v="272.24504504504603"/>
    <n v="99369.441441441697"/>
    <n v="357729.98918918998"/>
  </r>
  <r>
    <x v="0"/>
    <x v="0"/>
    <x v="0"/>
    <x v="0"/>
    <x v="1"/>
    <s v="DK2_Offshore"/>
    <x v="7"/>
    <x v="5"/>
    <s v="GNR_WT_WIND_OFF"/>
    <x v="0"/>
    <x v="16"/>
    <n v="268.87358937885301"/>
    <n v="98138.860123281396"/>
    <n v="353299.89644381299"/>
  </r>
  <r>
    <x v="0"/>
    <x v="0"/>
    <x v="0"/>
    <x v="0"/>
    <x v="1"/>
    <s v="DK2_Offshore"/>
    <x v="7"/>
    <x v="5"/>
    <s v="GNR_WT_WIND_OFF"/>
    <x v="0"/>
    <x v="17"/>
    <n v="367.48866761498402"/>
    <n v="134133.36367946901"/>
    <n v="482880.10924608901"/>
  </r>
  <r>
    <x v="0"/>
    <x v="0"/>
    <x v="0"/>
    <x v="0"/>
    <x v="1"/>
    <s v="DK2_Offshore"/>
    <x v="7"/>
    <x v="5"/>
    <s v="GNR_WT_WIND_OFF"/>
    <x v="0"/>
    <x v="19"/>
    <n v="547.01868183973602"/>
    <n v="199661.81887150399"/>
    <n v="718782.54793741298"/>
  </r>
  <r>
    <x v="0"/>
    <x v="0"/>
    <x v="0"/>
    <x v="0"/>
    <x v="1"/>
    <s v="DK2_Offshore"/>
    <x v="7"/>
    <x v="5"/>
    <s v="GNR_WT_WIND_OFF"/>
    <x v="0"/>
    <x v="20"/>
    <n v="633.83366524419296"/>
    <n v="231349.28781412999"/>
    <n v="832857.43613087002"/>
  </r>
  <r>
    <x v="0"/>
    <x v="0"/>
    <x v="0"/>
    <x v="0"/>
    <x v="1"/>
    <s v="DK2_Offshore"/>
    <x v="7"/>
    <x v="5"/>
    <s v="GNR_WT_WIND_OFF"/>
    <x v="0"/>
    <x v="21"/>
    <n v="683.56263632053299"/>
    <n v="249500.36225699401"/>
    <n v="898201.30412518"/>
  </r>
  <r>
    <x v="0"/>
    <x v="0"/>
    <x v="0"/>
    <x v="0"/>
    <x v="1"/>
    <s v="DK2_Offshore"/>
    <x v="7"/>
    <x v="5"/>
    <s v="GNR_WT_WIND_OFF"/>
    <x v="0"/>
    <x v="22"/>
    <n v="694.51986723565801"/>
    <n v="253499.75154101499"/>
    <n v="912599.10554765502"/>
  </r>
  <r>
    <x v="0"/>
    <x v="0"/>
    <x v="0"/>
    <x v="0"/>
    <x v="1"/>
    <s v="DK2_Offshore"/>
    <x v="7"/>
    <x v="5"/>
    <s v="GNR_WT_WIND_OFF"/>
    <x v="0"/>
    <x v="23"/>
    <n v="723.177240398295"/>
    <n v="263959.69274537801"/>
    <n v="950254.89388335904"/>
  </r>
  <r>
    <x v="0"/>
    <x v="0"/>
    <x v="0"/>
    <x v="0"/>
    <x v="1"/>
    <s v="DK2_Rural"/>
    <x v="0"/>
    <x v="2"/>
    <s v="GNR_ST_COAL_BP_E-35"/>
    <x v="0"/>
    <x v="0"/>
    <n v="37"/>
    <n v="13505"/>
    <n v="48618"/>
  </r>
  <r>
    <x v="0"/>
    <x v="0"/>
    <x v="0"/>
    <x v="0"/>
    <x v="1"/>
    <s v="DK2_Rural"/>
    <x v="0"/>
    <x v="2"/>
    <s v="GNR_ST_COAL_BP_E-35"/>
    <x v="0"/>
    <x v="1"/>
    <n v="37"/>
    <n v="13505"/>
    <n v="48618"/>
  </r>
  <r>
    <x v="0"/>
    <x v="0"/>
    <x v="0"/>
    <x v="0"/>
    <x v="1"/>
    <s v="DK2_Rural"/>
    <x v="0"/>
    <x v="2"/>
    <s v="GNR_ST_COAL_BP_E-35"/>
    <x v="0"/>
    <x v="18"/>
    <n v="37"/>
    <n v="13505"/>
    <n v="48618"/>
  </r>
  <r>
    <x v="0"/>
    <x v="0"/>
    <x v="0"/>
    <x v="0"/>
    <x v="1"/>
    <s v="DK2_Rural"/>
    <x v="0"/>
    <x v="2"/>
    <s v="GNR_ST_COAL_BP_E-35"/>
    <x v="0"/>
    <x v="2"/>
    <n v="37"/>
    <n v="13505"/>
    <n v="48618"/>
  </r>
  <r>
    <x v="0"/>
    <x v="0"/>
    <x v="0"/>
    <x v="0"/>
    <x v="1"/>
    <s v="DK2_Rural"/>
    <x v="0"/>
    <x v="2"/>
    <s v="GNR_ST_COAL_BP_E-35"/>
    <x v="0"/>
    <x v="3"/>
    <n v="37"/>
    <n v="13505"/>
    <n v="48618"/>
  </r>
  <r>
    <x v="0"/>
    <x v="0"/>
    <x v="0"/>
    <x v="0"/>
    <x v="1"/>
    <s v="DK2_Rural"/>
    <x v="0"/>
    <x v="2"/>
    <s v="GNR_ST_COAL_BP_E-35"/>
    <x v="0"/>
    <x v="4"/>
    <n v="37"/>
    <n v="13505"/>
    <n v="48618"/>
  </r>
  <r>
    <x v="0"/>
    <x v="0"/>
    <x v="0"/>
    <x v="0"/>
    <x v="1"/>
    <s v="DK2_Rural"/>
    <x v="0"/>
    <x v="2"/>
    <s v="GNR_ST_COAL_BP_E-35"/>
    <x v="0"/>
    <x v="5"/>
    <n v="37"/>
    <n v="13505"/>
    <n v="48618"/>
  </r>
  <r>
    <x v="0"/>
    <x v="0"/>
    <x v="0"/>
    <x v="0"/>
    <x v="1"/>
    <s v="DK2_Rural"/>
    <x v="0"/>
    <x v="2"/>
    <s v="GNR_ST_COAL_BP_E-35"/>
    <x v="0"/>
    <x v="6"/>
    <n v="37"/>
    <n v="13505"/>
    <n v="48618"/>
  </r>
  <r>
    <x v="0"/>
    <x v="0"/>
    <x v="0"/>
    <x v="0"/>
    <x v="1"/>
    <s v="DK2_Rural"/>
    <x v="0"/>
    <x v="2"/>
    <s v="GNR_ST_COAL_BP_E-35"/>
    <x v="0"/>
    <x v="7"/>
    <n v="37"/>
    <n v="13505"/>
    <n v="48618"/>
  </r>
  <r>
    <x v="0"/>
    <x v="0"/>
    <x v="0"/>
    <x v="0"/>
    <x v="1"/>
    <s v="DK2_Rural"/>
    <x v="0"/>
    <x v="2"/>
    <s v="GNR_ST_COAL_BP_E-35"/>
    <x v="0"/>
    <x v="8"/>
    <n v="37"/>
    <n v="13505"/>
    <n v="48618"/>
  </r>
  <r>
    <x v="0"/>
    <x v="0"/>
    <x v="0"/>
    <x v="0"/>
    <x v="1"/>
    <s v="DK2_Rural"/>
    <x v="0"/>
    <x v="2"/>
    <s v="GNR_ST_COAL_BP_E-35"/>
    <x v="0"/>
    <x v="9"/>
    <n v="37"/>
    <n v="13505"/>
    <n v="48618"/>
  </r>
  <r>
    <x v="0"/>
    <x v="0"/>
    <x v="0"/>
    <x v="0"/>
    <x v="1"/>
    <s v="DK2_Rural"/>
    <x v="0"/>
    <x v="2"/>
    <s v="GNR_ST_COAL_BP_E-35"/>
    <x v="0"/>
    <x v="10"/>
    <n v="37"/>
    <n v="13505"/>
    <n v="48618"/>
  </r>
  <r>
    <x v="0"/>
    <x v="0"/>
    <x v="0"/>
    <x v="0"/>
    <x v="1"/>
    <s v="DK2_Rural"/>
    <x v="0"/>
    <x v="2"/>
    <s v="GNR_ST_COAL_BP_E-35"/>
    <x v="0"/>
    <x v="11"/>
    <n v="37"/>
    <n v="13505"/>
    <n v="48618"/>
  </r>
  <r>
    <x v="0"/>
    <x v="0"/>
    <x v="0"/>
    <x v="0"/>
    <x v="1"/>
    <s v="DK2_Rural"/>
    <x v="0"/>
    <x v="2"/>
    <s v="GNR_ST_COAL_BP_E-35"/>
    <x v="0"/>
    <x v="12"/>
    <n v="37"/>
    <n v="13505"/>
    <n v="48618"/>
  </r>
  <r>
    <x v="0"/>
    <x v="0"/>
    <x v="0"/>
    <x v="0"/>
    <x v="1"/>
    <s v="DK2_Rural"/>
    <x v="0"/>
    <x v="2"/>
    <s v="GNR_ST_COAL_BP_E-35"/>
    <x v="0"/>
    <x v="13"/>
    <n v="37"/>
    <n v="13505"/>
    <n v="48618"/>
  </r>
  <r>
    <x v="0"/>
    <x v="0"/>
    <x v="0"/>
    <x v="0"/>
    <x v="1"/>
    <s v="DK2_Rural"/>
    <x v="0"/>
    <x v="2"/>
    <s v="GNR_ST_COAL_BP_E-35"/>
    <x v="0"/>
    <x v="14"/>
    <n v="37"/>
    <n v="13505"/>
    <n v="48618"/>
  </r>
  <r>
    <x v="0"/>
    <x v="0"/>
    <x v="0"/>
    <x v="0"/>
    <x v="1"/>
    <s v="DK2_Rural"/>
    <x v="0"/>
    <x v="2"/>
    <s v="GNR_ST_COAL_BP_E-35"/>
    <x v="0"/>
    <x v="15"/>
    <n v="37"/>
    <n v="13505"/>
    <n v="48618"/>
  </r>
  <r>
    <x v="0"/>
    <x v="0"/>
    <x v="0"/>
    <x v="0"/>
    <x v="1"/>
    <s v="DK2_Rural"/>
    <x v="0"/>
    <x v="2"/>
    <s v="GNR_ST_COAL_BP_E-35"/>
    <x v="0"/>
    <x v="16"/>
    <n v="37"/>
    <n v="13505"/>
    <n v="48618"/>
  </r>
  <r>
    <x v="0"/>
    <x v="0"/>
    <x v="0"/>
    <x v="0"/>
    <x v="1"/>
    <s v="DK2_Rural"/>
    <x v="0"/>
    <x v="2"/>
    <s v="GNR_ST_COAL_BP_E-35"/>
    <x v="0"/>
    <x v="17"/>
    <n v="37"/>
    <n v="13505"/>
    <n v="48618"/>
  </r>
  <r>
    <x v="0"/>
    <x v="0"/>
    <x v="0"/>
    <x v="0"/>
    <x v="1"/>
    <s v="DK2_Rural"/>
    <x v="0"/>
    <x v="2"/>
    <s v="GNR_ST_COAL_BP_E-35"/>
    <x v="0"/>
    <x v="19"/>
    <n v="37"/>
    <n v="13505"/>
    <n v="48618"/>
  </r>
  <r>
    <x v="0"/>
    <x v="0"/>
    <x v="0"/>
    <x v="0"/>
    <x v="1"/>
    <s v="DK2_Rural"/>
    <x v="0"/>
    <x v="2"/>
    <s v="GNR_ST_COAL_BP_E-35"/>
    <x v="0"/>
    <x v="20"/>
    <n v="37"/>
    <n v="13505"/>
    <n v="48618"/>
  </r>
  <r>
    <x v="0"/>
    <x v="0"/>
    <x v="0"/>
    <x v="0"/>
    <x v="1"/>
    <s v="DK2_Rural"/>
    <x v="0"/>
    <x v="2"/>
    <s v="GNR_ST_COAL_BP_E-35"/>
    <x v="0"/>
    <x v="21"/>
    <n v="37"/>
    <n v="13505"/>
    <n v="48618"/>
  </r>
  <r>
    <x v="0"/>
    <x v="0"/>
    <x v="0"/>
    <x v="0"/>
    <x v="1"/>
    <s v="DK2_Rural"/>
    <x v="0"/>
    <x v="2"/>
    <s v="GNR_ST_COAL_BP_E-35"/>
    <x v="0"/>
    <x v="22"/>
    <n v="37"/>
    <n v="13505"/>
    <n v="48618"/>
  </r>
  <r>
    <x v="0"/>
    <x v="0"/>
    <x v="0"/>
    <x v="0"/>
    <x v="1"/>
    <s v="DK2_Rural"/>
    <x v="0"/>
    <x v="2"/>
    <s v="GNR_ST_COAL_BP_E-35"/>
    <x v="0"/>
    <x v="23"/>
    <n v="37"/>
    <n v="13505"/>
    <n v="48618"/>
  </r>
  <r>
    <x v="0"/>
    <x v="0"/>
    <x v="0"/>
    <x v="0"/>
    <x v="1"/>
    <s v="DK2_Rural"/>
    <x v="1"/>
    <x v="1"/>
    <s v="GNR_HP_ELEC_COP-400"/>
    <x v="0"/>
    <x v="0"/>
    <n v="-0.2"/>
    <n v="-73"/>
    <n v="-262.8"/>
  </r>
  <r>
    <x v="0"/>
    <x v="0"/>
    <x v="0"/>
    <x v="0"/>
    <x v="1"/>
    <s v="DK2_Rural"/>
    <x v="1"/>
    <x v="1"/>
    <s v="GNR_HP_ELEC_COP-400"/>
    <x v="0"/>
    <x v="1"/>
    <n v="-0.2"/>
    <n v="-73"/>
    <n v="-262.8"/>
  </r>
  <r>
    <x v="0"/>
    <x v="0"/>
    <x v="0"/>
    <x v="0"/>
    <x v="1"/>
    <s v="DK2_Rural"/>
    <x v="1"/>
    <x v="1"/>
    <s v="GNR_HP_ELEC_COP-400"/>
    <x v="0"/>
    <x v="18"/>
    <n v="-0.2"/>
    <n v="-73"/>
    <n v="-262.8"/>
  </r>
  <r>
    <x v="0"/>
    <x v="0"/>
    <x v="0"/>
    <x v="0"/>
    <x v="1"/>
    <s v="DK2_Rural"/>
    <x v="1"/>
    <x v="1"/>
    <s v="GNR_HP_ELEC_COP-400"/>
    <x v="0"/>
    <x v="2"/>
    <n v="-0.2"/>
    <n v="-73"/>
    <n v="-262.8"/>
  </r>
  <r>
    <x v="0"/>
    <x v="0"/>
    <x v="0"/>
    <x v="0"/>
    <x v="1"/>
    <s v="DK2_Rural"/>
    <x v="1"/>
    <x v="1"/>
    <s v="GNR_HP_ELEC_COP-400"/>
    <x v="0"/>
    <x v="3"/>
    <n v="-0.2"/>
    <n v="-73"/>
    <n v="-262.8"/>
  </r>
  <r>
    <x v="0"/>
    <x v="0"/>
    <x v="0"/>
    <x v="0"/>
    <x v="1"/>
    <s v="DK2_Rural"/>
    <x v="1"/>
    <x v="1"/>
    <s v="GNR_HP_ELEC_COP-400"/>
    <x v="0"/>
    <x v="4"/>
    <n v="-0.2"/>
    <n v="-73"/>
    <n v="-262.8"/>
  </r>
  <r>
    <x v="0"/>
    <x v="0"/>
    <x v="0"/>
    <x v="0"/>
    <x v="1"/>
    <s v="DK2_Rural"/>
    <x v="1"/>
    <x v="1"/>
    <s v="GNR_HP_ELEC_COP-400"/>
    <x v="0"/>
    <x v="5"/>
    <n v="-0.2"/>
    <n v="-73"/>
    <n v="-262.8"/>
  </r>
  <r>
    <x v="0"/>
    <x v="0"/>
    <x v="0"/>
    <x v="0"/>
    <x v="1"/>
    <s v="DK2_Rural"/>
    <x v="1"/>
    <x v="1"/>
    <s v="GNR_HP_ELEC_COP-400"/>
    <x v="0"/>
    <x v="6"/>
    <n v="-0.2"/>
    <n v="-73"/>
    <n v="-262.8"/>
  </r>
  <r>
    <x v="0"/>
    <x v="0"/>
    <x v="0"/>
    <x v="0"/>
    <x v="1"/>
    <s v="DK2_Rural"/>
    <x v="1"/>
    <x v="1"/>
    <s v="GNR_HP_ELEC_COP-400"/>
    <x v="0"/>
    <x v="7"/>
    <n v="-0.2"/>
    <n v="-73"/>
    <n v="-262.8"/>
  </r>
  <r>
    <x v="0"/>
    <x v="0"/>
    <x v="0"/>
    <x v="0"/>
    <x v="1"/>
    <s v="DK2_Rural"/>
    <x v="1"/>
    <x v="1"/>
    <s v="GNR_HP_ELEC_COP-400"/>
    <x v="0"/>
    <x v="8"/>
    <n v="-0.2"/>
    <n v="-73"/>
    <n v="-262.8"/>
  </r>
  <r>
    <x v="0"/>
    <x v="0"/>
    <x v="0"/>
    <x v="0"/>
    <x v="1"/>
    <s v="DK2_Rural"/>
    <x v="1"/>
    <x v="1"/>
    <s v="GNR_HP_ELEC_COP-400"/>
    <x v="0"/>
    <x v="9"/>
    <n v="-0.2"/>
    <n v="-73"/>
    <n v="-262.8"/>
  </r>
  <r>
    <x v="0"/>
    <x v="0"/>
    <x v="0"/>
    <x v="0"/>
    <x v="1"/>
    <s v="DK2_Rural"/>
    <x v="1"/>
    <x v="1"/>
    <s v="GNR_HP_ELEC_COP-400"/>
    <x v="0"/>
    <x v="10"/>
    <n v="-0.2"/>
    <n v="-73"/>
    <n v="-262.8"/>
  </r>
  <r>
    <x v="0"/>
    <x v="0"/>
    <x v="0"/>
    <x v="0"/>
    <x v="1"/>
    <s v="DK2_Rural"/>
    <x v="1"/>
    <x v="1"/>
    <s v="GNR_HP_ELEC_COP-400"/>
    <x v="0"/>
    <x v="11"/>
    <n v="-0.2"/>
    <n v="-73"/>
    <n v="-262.8"/>
  </r>
  <r>
    <x v="0"/>
    <x v="0"/>
    <x v="0"/>
    <x v="0"/>
    <x v="1"/>
    <s v="DK2_Rural"/>
    <x v="1"/>
    <x v="1"/>
    <s v="GNR_HP_ELEC_COP-400"/>
    <x v="0"/>
    <x v="12"/>
    <n v="-0.2"/>
    <n v="-73"/>
    <n v="-262.8"/>
  </r>
  <r>
    <x v="0"/>
    <x v="0"/>
    <x v="0"/>
    <x v="0"/>
    <x v="1"/>
    <s v="DK2_Rural"/>
    <x v="1"/>
    <x v="1"/>
    <s v="GNR_HP_ELEC_COP-400"/>
    <x v="0"/>
    <x v="13"/>
    <n v="-0.2"/>
    <n v="-73"/>
    <n v="-262.8"/>
  </r>
  <r>
    <x v="0"/>
    <x v="0"/>
    <x v="0"/>
    <x v="0"/>
    <x v="1"/>
    <s v="DK2_Rural"/>
    <x v="1"/>
    <x v="1"/>
    <s v="GNR_HP_ELEC_COP-400"/>
    <x v="0"/>
    <x v="14"/>
    <n v="-0.2"/>
    <n v="-73"/>
    <n v="-262.8"/>
  </r>
  <r>
    <x v="0"/>
    <x v="0"/>
    <x v="0"/>
    <x v="0"/>
    <x v="1"/>
    <s v="DK2_Rural"/>
    <x v="1"/>
    <x v="1"/>
    <s v="GNR_HP_ELEC_COP-400"/>
    <x v="0"/>
    <x v="15"/>
    <n v="-0.2"/>
    <n v="-73"/>
    <n v="-262.8"/>
  </r>
  <r>
    <x v="0"/>
    <x v="0"/>
    <x v="0"/>
    <x v="0"/>
    <x v="1"/>
    <s v="DK2_Rural"/>
    <x v="1"/>
    <x v="1"/>
    <s v="GNR_HP_ELEC_COP-400"/>
    <x v="0"/>
    <x v="16"/>
    <n v="-0.2"/>
    <n v="-73"/>
    <n v="-262.8"/>
  </r>
  <r>
    <x v="0"/>
    <x v="0"/>
    <x v="0"/>
    <x v="0"/>
    <x v="1"/>
    <s v="DK2_Rural"/>
    <x v="1"/>
    <x v="1"/>
    <s v="GNR_HP_ELEC_COP-400"/>
    <x v="0"/>
    <x v="17"/>
    <n v="-0.2"/>
    <n v="-73"/>
    <n v="-262.8"/>
  </r>
  <r>
    <x v="0"/>
    <x v="0"/>
    <x v="0"/>
    <x v="0"/>
    <x v="1"/>
    <s v="DK2_Rural"/>
    <x v="1"/>
    <x v="1"/>
    <s v="GNR_HP_ELEC_COP-400"/>
    <x v="0"/>
    <x v="19"/>
    <n v="-0.2"/>
    <n v="-73"/>
    <n v="-262.8"/>
  </r>
  <r>
    <x v="0"/>
    <x v="0"/>
    <x v="0"/>
    <x v="0"/>
    <x v="1"/>
    <s v="DK2_Rural"/>
    <x v="1"/>
    <x v="1"/>
    <s v="GNR_HP_ELEC_COP-400"/>
    <x v="0"/>
    <x v="20"/>
    <n v="-0.2"/>
    <n v="-73"/>
    <n v="-262.8"/>
  </r>
  <r>
    <x v="0"/>
    <x v="0"/>
    <x v="0"/>
    <x v="0"/>
    <x v="1"/>
    <s v="DK2_Rural"/>
    <x v="1"/>
    <x v="1"/>
    <s v="GNR_HP_ELEC_COP-400"/>
    <x v="0"/>
    <x v="21"/>
    <n v="-0.2"/>
    <n v="-73"/>
    <n v="-262.8"/>
  </r>
  <r>
    <x v="0"/>
    <x v="0"/>
    <x v="0"/>
    <x v="0"/>
    <x v="1"/>
    <s v="DK2_Rural"/>
    <x v="1"/>
    <x v="1"/>
    <s v="GNR_HP_ELEC_COP-400"/>
    <x v="0"/>
    <x v="22"/>
    <n v="-0.2"/>
    <n v="-73"/>
    <n v="-262.8"/>
  </r>
  <r>
    <x v="0"/>
    <x v="0"/>
    <x v="0"/>
    <x v="0"/>
    <x v="1"/>
    <s v="DK2_Rural"/>
    <x v="1"/>
    <x v="1"/>
    <s v="GNR_HP_ELEC_COP-400"/>
    <x v="0"/>
    <x v="23"/>
    <n v="-0.2"/>
    <n v="-73"/>
    <n v="-262.8"/>
  </r>
  <r>
    <x v="0"/>
    <x v="0"/>
    <x v="0"/>
    <x v="0"/>
    <x v="1"/>
    <s v="DK2_Rural"/>
    <x v="3"/>
    <x v="2"/>
    <s v="GNR_ST_STRW_BP_E-27"/>
    <x v="0"/>
    <x v="3"/>
    <n v="9.98"/>
    <n v="3642.7"/>
    <n v="13113.72"/>
  </r>
  <r>
    <x v="0"/>
    <x v="0"/>
    <x v="0"/>
    <x v="0"/>
    <x v="1"/>
    <s v="DK2_Rural"/>
    <x v="3"/>
    <x v="2"/>
    <s v="GNR_ST_STRW_BP_E-27"/>
    <x v="0"/>
    <x v="4"/>
    <n v="9.98"/>
    <n v="3642.7"/>
    <n v="13113.72"/>
  </r>
  <r>
    <x v="0"/>
    <x v="0"/>
    <x v="0"/>
    <x v="0"/>
    <x v="1"/>
    <s v="DK2_Rural"/>
    <x v="3"/>
    <x v="2"/>
    <s v="GNR_ST_STRW_BP_E-27"/>
    <x v="0"/>
    <x v="5"/>
    <n v="9.98"/>
    <n v="3642.7"/>
    <n v="13113.72"/>
  </r>
  <r>
    <x v="0"/>
    <x v="0"/>
    <x v="0"/>
    <x v="0"/>
    <x v="1"/>
    <s v="DK2_Rural"/>
    <x v="3"/>
    <x v="2"/>
    <s v="GNR_ST_STRW_BP_E-27"/>
    <x v="0"/>
    <x v="6"/>
    <n v="9.98"/>
    <n v="3642.7"/>
    <n v="13113.72"/>
  </r>
  <r>
    <x v="0"/>
    <x v="0"/>
    <x v="0"/>
    <x v="0"/>
    <x v="1"/>
    <s v="DK2_Rural"/>
    <x v="3"/>
    <x v="2"/>
    <s v="GNR_ST_STRW_BP_E-27"/>
    <x v="0"/>
    <x v="7"/>
    <n v="9.98"/>
    <n v="3642.7"/>
    <n v="13113.72"/>
  </r>
  <r>
    <x v="0"/>
    <x v="0"/>
    <x v="0"/>
    <x v="0"/>
    <x v="1"/>
    <s v="DK2_Rural"/>
    <x v="3"/>
    <x v="2"/>
    <s v="GNR_ST_STRW_BP_E-27"/>
    <x v="0"/>
    <x v="8"/>
    <n v="9.98"/>
    <n v="3642.7"/>
    <n v="13113.72"/>
  </r>
  <r>
    <x v="0"/>
    <x v="0"/>
    <x v="0"/>
    <x v="0"/>
    <x v="1"/>
    <s v="DK2_Rural"/>
    <x v="3"/>
    <x v="2"/>
    <s v="GNR_ST_STRW_BP_E-27"/>
    <x v="0"/>
    <x v="9"/>
    <n v="9.98"/>
    <n v="3642.7"/>
    <n v="13113.72"/>
  </r>
  <r>
    <x v="0"/>
    <x v="0"/>
    <x v="0"/>
    <x v="0"/>
    <x v="1"/>
    <s v="DK2_Rural"/>
    <x v="3"/>
    <x v="2"/>
    <s v="GNR_ST_STRW_BP_E-27"/>
    <x v="0"/>
    <x v="10"/>
    <n v="9.98"/>
    <n v="3642.7"/>
    <n v="13113.72"/>
  </r>
  <r>
    <x v="0"/>
    <x v="0"/>
    <x v="0"/>
    <x v="0"/>
    <x v="1"/>
    <s v="DK2_Rural"/>
    <x v="3"/>
    <x v="2"/>
    <s v="GNR_ST_STRW_BP_E-27"/>
    <x v="0"/>
    <x v="11"/>
    <n v="9.98"/>
    <n v="3642.7"/>
    <n v="13113.72"/>
  </r>
  <r>
    <x v="0"/>
    <x v="0"/>
    <x v="0"/>
    <x v="0"/>
    <x v="1"/>
    <s v="DK2_Rural"/>
    <x v="3"/>
    <x v="2"/>
    <s v="GNR_ST_STRW_BP_E-27"/>
    <x v="0"/>
    <x v="12"/>
    <n v="9.98"/>
    <n v="3642.7"/>
    <n v="13113.72"/>
  </r>
  <r>
    <x v="0"/>
    <x v="0"/>
    <x v="0"/>
    <x v="0"/>
    <x v="1"/>
    <s v="DK2_Rural"/>
    <x v="3"/>
    <x v="2"/>
    <s v="GNR_ST_STRW_BP_E-27"/>
    <x v="0"/>
    <x v="13"/>
    <n v="9.98"/>
    <n v="3642.7"/>
    <n v="13113.72"/>
  </r>
  <r>
    <x v="0"/>
    <x v="0"/>
    <x v="0"/>
    <x v="0"/>
    <x v="1"/>
    <s v="DK2_Rural"/>
    <x v="3"/>
    <x v="2"/>
    <s v="GNR_ST_STRW_BP_E-27"/>
    <x v="0"/>
    <x v="14"/>
    <n v="9.98"/>
    <n v="3642.7"/>
    <n v="13113.72"/>
  </r>
  <r>
    <x v="0"/>
    <x v="0"/>
    <x v="0"/>
    <x v="0"/>
    <x v="1"/>
    <s v="DK2_Rural"/>
    <x v="3"/>
    <x v="2"/>
    <s v="GNR_ST_STRW_BP_E-27"/>
    <x v="0"/>
    <x v="15"/>
    <n v="9.98"/>
    <n v="3642.7"/>
    <n v="13113.72"/>
  </r>
  <r>
    <x v="0"/>
    <x v="0"/>
    <x v="0"/>
    <x v="0"/>
    <x v="1"/>
    <s v="DK2_Rural"/>
    <x v="3"/>
    <x v="2"/>
    <s v="GNR_ST_STRW_BP_E-27"/>
    <x v="0"/>
    <x v="16"/>
    <n v="9.98"/>
    <n v="3642.7"/>
    <n v="13113.72"/>
  </r>
  <r>
    <x v="0"/>
    <x v="0"/>
    <x v="0"/>
    <x v="0"/>
    <x v="1"/>
    <s v="DK2_Rural"/>
    <x v="3"/>
    <x v="2"/>
    <s v="GNR_ST_STRW_BP_E-27"/>
    <x v="0"/>
    <x v="17"/>
    <n v="9.98"/>
    <n v="3642.7"/>
    <n v="13113.72"/>
  </r>
  <r>
    <x v="0"/>
    <x v="0"/>
    <x v="0"/>
    <x v="0"/>
    <x v="1"/>
    <s v="DK2_Rural"/>
    <x v="3"/>
    <x v="2"/>
    <s v="GNR_ST_STRW_BP_E-27"/>
    <x v="0"/>
    <x v="19"/>
    <n v="9.98"/>
    <n v="3642.7"/>
    <n v="13113.72"/>
  </r>
  <r>
    <x v="0"/>
    <x v="0"/>
    <x v="0"/>
    <x v="0"/>
    <x v="1"/>
    <s v="DK2_Rural"/>
    <x v="3"/>
    <x v="2"/>
    <s v="GNR_ST_STRW_BP_E-27"/>
    <x v="0"/>
    <x v="20"/>
    <n v="9.98"/>
    <n v="3642.7"/>
    <n v="13113.72"/>
  </r>
  <r>
    <x v="0"/>
    <x v="0"/>
    <x v="0"/>
    <x v="0"/>
    <x v="1"/>
    <s v="DK2_Rural"/>
    <x v="3"/>
    <x v="2"/>
    <s v="GNR_ST_STRW_BP_E-27"/>
    <x v="0"/>
    <x v="21"/>
    <n v="9.98"/>
    <n v="3642.7"/>
    <n v="13113.72"/>
  </r>
  <r>
    <x v="0"/>
    <x v="0"/>
    <x v="0"/>
    <x v="0"/>
    <x v="1"/>
    <s v="DK2_Rural"/>
    <x v="3"/>
    <x v="2"/>
    <s v="GNR_ST_STRW_BP_E-28"/>
    <x v="0"/>
    <x v="0"/>
    <n v="11.5"/>
    <n v="4197.5"/>
    <n v="15111"/>
  </r>
  <r>
    <x v="0"/>
    <x v="0"/>
    <x v="0"/>
    <x v="0"/>
    <x v="1"/>
    <s v="DK2_Rural"/>
    <x v="3"/>
    <x v="2"/>
    <s v="GNR_ST_STRW_BP_E-28"/>
    <x v="0"/>
    <x v="1"/>
    <n v="11.5"/>
    <n v="4197.5"/>
    <n v="15111"/>
  </r>
  <r>
    <x v="0"/>
    <x v="0"/>
    <x v="0"/>
    <x v="0"/>
    <x v="1"/>
    <s v="DK2_Rural"/>
    <x v="3"/>
    <x v="2"/>
    <s v="GNR_ST_STRW_BP_E-28"/>
    <x v="0"/>
    <x v="18"/>
    <n v="11.5"/>
    <n v="4197.5"/>
    <n v="15111"/>
  </r>
  <r>
    <x v="0"/>
    <x v="0"/>
    <x v="0"/>
    <x v="0"/>
    <x v="1"/>
    <s v="DK2_Rural"/>
    <x v="3"/>
    <x v="2"/>
    <s v="GNR_ST_STRW_BP_E-28"/>
    <x v="0"/>
    <x v="2"/>
    <n v="11.5"/>
    <n v="4197.5"/>
    <n v="15111"/>
  </r>
  <r>
    <x v="0"/>
    <x v="0"/>
    <x v="0"/>
    <x v="0"/>
    <x v="1"/>
    <s v="DK2_Rural"/>
    <x v="3"/>
    <x v="2"/>
    <s v="GNR_ST_STRW_BP_E-28"/>
    <x v="0"/>
    <x v="3"/>
    <n v="11.5"/>
    <n v="4197.5"/>
    <n v="15111"/>
  </r>
  <r>
    <x v="0"/>
    <x v="0"/>
    <x v="0"/>
    <x v="0"/>
    <x v="1"/>
    <s v="DK2_Rural"/>
    <x v="3"/>
    <x v="2"/>
    <s v="GNR_ST_STRW_BP_E-28"/>
    <x v="0"/>
    <x v="4"/>
    <n v="11.5"/>
    <n v="4197.5"/>
    <n v="15111"/>
  </r>
  <r>
    <x v="0"/>
    <x v="0"/>
    <x v="0"/>
    <x v="0"/>
    <x v="1"/>
    <s v="DK2_Rural"/>
    <x v="3"/>
    <x v="2"/>
    <s v="GNR_ST_STRW_BP_E-28"/>
    <x v="0"/>
    <x v="5"/>
    <n v="11.5"/>
    <n v="4197.5"/>
    <n v="15111"/>
  </r>
  <r>
    <x v="0"/>
    <x v="0"/>
    <x v="0"/>
    <x v="0"/>
    <x v="1"/>
    <s v="DK2_Rural"/>
    <x v="3"/>
    <x v="2"/>
    <s v="GNR_ST_STRW_BP_E-28"/>
    <x v="0"/>
    <x v="6"/>
    <n v="11.5"/>
    <n v="4197.5"/>
    <n v="15111"/>
  </r>
  <r>
    <x v="0"/>
    <x v="0"/>
    <x v="0"/>
    <x v="0"/>
    <x v="1"/>
    <s v="DK2_Rural"/>
    <x v="3"/>
    <x v="2"/>
    <s v="GNR_ST_STRW_BP_E-28"/>
    <x v="0"/>
    <x v="7"/>
    <n v="11.5"/>
    <n v="4197.5"/>
    <n v="15111"/>
  </r>
  <r>
    <x v="0"/>
    <x v="0"/>
    <x v="0"/>
    <x v="0"/>
    <x v="1"/>
    <s v="DK2_Rural"/>
    <x v="3"/>
    <x v="2"/>
    <s v="GNR_ST_STRW_BP_E-28"/>
    <x v="0"/>
    <x v="8"/>
    <n v="11.5"/>
    <n v="4197.5"/>
    <n v="15111"/>
  </r>
  <r>
    <x v="0"/>
    <x v="0"/>
    <x v="0"/>
    <x v="0"/>
    <x v="1"/>
    <s v="DK2_Rural"/>
    <x v="3"/>
    <x v="2"/>
    <s v="GNR_ST_STRW_BP_E-28"/>
    <x v="0"/>
    <x v="9"/>
    <n v="11.5"/>
    <n v="4197.5"/>
    <n v="15111"/>
  </r>
  <r>
    <x v="0"/>
    <x v="0"/>
    <x v="0"/>
    <x v="0"/>
    <x v="1"/>
    <s v="DK2_Rural"/>
    <x v="3"/>
    <x v="2"/>
    <s v="GNR_ST_STRW_BP_E-28"/>
    <x v="0"/>
    <x v="10"/>
    <n v="11.5"/>
    <n v="4197.5"/>
    <n v="15111"/>
  </r>
  <r>
    <x v="0"/>
    <x v="0"/>
    <x v="0"/>
    <x v="0"/>
    <x v="1"/>
    <s v="DK2_Rural"/>
    <x v="3"/>
    <x v="2"/>
    <s v="GNR_ST_STRW_BP_E-28"/>
    <x v="0"/>
    <x v="11"/>
    <n v="11.5"/>
    <n v="4197.5"/>
    <n v="15111"/>
  </r>
  <r>
    <x v="0"/>
    <x v="0"/>
    <x v="0"/>
    <x v="0"/>
    <x v="1"/>
    <s v="DK2_Rural"/>
    <x v="3"/>
    <x v="2"/>
    <s v="GNR_ST_STRW_BP_E-28"/>
    <x v="0"/>
    <x v="12"/>
    <n v="11.5"/>
    <n v="4197.5"/>
    <n v="15111"/>
  </r>
  <r>
    <x v="0"/>
    <x v="0"/>
    <x v="0"/>
    <x v="0"/>
    <x v="1"/>
    <s v="DK2_Rural"/>
    <x v="3"/>
    <x v="2"/>
    <s v="GNR_ST_STRW_BP_E-28"/>
    <x v="0"/>
    <x v="13"/>
    <n v="11.5"/>
    <n v="4197.5"/>
    <n v="15111"/>
  </r>
  <r>
    <x v="0"/>
    <x v="0"/>
    <x v="0"/>
    <x v="0"/>
    <x v="1"/>
    <s v="DK2_Rural"/>
    <x v="3"/>
    <x v="2"/>
    <s v="GNR_ST_STRW_BP_E-28"/>
    <x v="0"/>
    <x v="14"/>
    <n v="11.5"/>
    <n v="4197.5"/>
    <n v="15111"/>
  </r>
  <r>
    <x v="0"/>
    <x v="0"/>
    <x v="0"/>
    <x v="0"/>
    <x v="1"/>
    <s v="DK2_Rural"/>
    <x v="3"/>
    <x v="2"/>
    <s v="GNR_ST_STRW_BP_E-28"/>
    <x v="0"/>
    <x v="15"/>
    <n v="11.5"/>
    <n v="4197.5"/>
    <n v="15111"/>
  </r>
  <r>
    <x v="0"/>
    <x v="0"/>
    <x v="0"/>
    <x v="0"/>
    <x v="1"/>
    <s v="DK2_Rural"/>
    <x v="3"/>
    <x v="2"/>
    <s v="GNR_ST_STRW_BP_E-28"/>
    <x v="0"/>
    <x v="16"/>
    <n v="11.5"/>
    <n v="4197.5"/>
    <n v="15111"/>
  </r>
  <r>
    <x v="0"/>
    <x v="0"/>
    <x v="0"/>
    <x v="0"/>
    <x v="1"/>
    <s v="DK2_Rural"/>
    <x v="3"/>
    <x v="2"/>
    <s v="GNR_ST_STRW_BP_E-28"/>
    <x v="0"/>
    <x v="17"/>
    <n v="11.5"/>
    <n v="4197.5"/>
    <n v="15111"/>
  </r>
  <r>
    <x v="0"/>
    <x v="0"/>
    <x v="0"/>
    <x v="0"/>
    <x v="1"/>
    <s v="DK2_Rural"/>
    <x v="3"/>
    <x v="2"/>
    <s v="GNR_ST_STRW_BP_E-28"/>
    <x v="0"/>
    <x v="19"/>
    <n v="11.5"/>
    <n v="4197.5"/>
    <n v="15111"/>
  </r>
  <r>
    <x v="0"/>
    <x v="0"/>
    <x v="0"/>
    <x v="0"/>
    <x v="1"/>
    <s v="DK2_Rural"/>
    <x v="3"/>
    <x v="2"/>
    <s v="GNR_ST_STRW_BP_E-28"/>
    <x v="0"/>
    <x v="20"/>
    <n v="11.5"/>
    <n v="4197.5"/>
    <n v="15111"/>
  </r>
  <r>
    <x v="0"/>
    <x v="0"/>
    <x v="0"/>
    <x v="0"/>
    <x v="1"/>
    <s v="DK2_Rural"/>
    <x v="3"/>
    <x v="2"/>
    <s v="GNR_ST_STRW_BP_E-28"/>
    <x v="0"/>
    <x v="21"/>
    <n v="11.5"/>
    <n v="4197.5"/>
    <n v="15111"/>
  </r>
  <r>
    <x v="0"/>
    <x v="0"/>
    <x v="0"/>
    <x v="0"/>
    <x v="1"/>
    <s v="DK2_Rural"/>
    <x v="3"/>
    <x v="2"/>
    <s v="GNR_ST_STRW_BP_E-28"/>
    <x v="0"/>
    <x v="22"/>
    <n v="11.5"/>
    <n v="4197.5"/>
    <n v="15111"/>
  </r>
  <r>
    <x v="0"/>
    <x v="0"/>
    <x v="0"/>
    <x v="0"/>
    <x v="1"/>
    <s v="DK2_Rural"/>
    <x v="3"/>
    <x v="2"/>
    <s v="GNR_ST_STRW_BP_E-28"/>
    <x v="0"/>
    <x v="23"/>
    <n v="11.5"/>
    <n v="4197.5"/>
    <n v="15111"/>
  </r>
  <r>
    <x v="0"/>
    <x v="0"/>
    <x v="0"/>
    <x v="1"/>
    <x v="2"/>
    <s v="EE_Enefit"/>
    <x v="9"/>
    <x v="6"/>
    <s v="ENEFIT_ST_RETORT-GAS_CND"/>
    <x v="0"/>
    <x v="0"/>
    <n v="35"/>
    <n v="12775"/>
    <n v="45990"/>
  </r>
  <r>
    <x v="0"/>
    <x v="0"/>
    <x v="0"/>
    <x v="1"/>
    <x v="2"/>
    <s v="EE_Enefit"/>
    <x v="9"/>
    <x v="6"/>
    <s v="ENEFIT_ST_RETORT-GAS_CND"/>
    <x v="0"/>
    <x v="1"/>
    <n v="35"/>
    <n v="12775"/>
    <n v="45990"/>
  </r>
  <r>
    <x v="0"/>
    <x v="0"/>
    <x v="0"/>
    <x v="1"/>
    <x v="2"/>
    <s v="EE_Enefit"/>
    <x v="9"/>
    <x v="6"/>
    <s v="ENEFIT_ST_RETORT-GAS_CND"/>
    <x v="0"/>
    <x v="18"/>
    <n v="35"/>
    <n v="12775"/>
    <n v="45990"/>
  </r>
  <r>
    <x v="0"/>
    <x v="0"/>
    <x v="0"/>
    <x v="1"/>
    <x v="2"/>
    <s v="EE_Enefit"/>
    <x v="9"/>
    <x v="6"/>
    <s v="ENEFIT_ST_RETORT-GAS_CND"/>
    <x v="0"/>
    <x v="2"/>
    <n v="35"/>
    <n v="12775"/>
    <n v="45990"/>
  </r>
  <r>
    <x v="0"/>
    <x v="0"/>
    <x v="0"/>
    <x v="1"/>
    <x v="2"/>
    <s v="EE_Enefit"/>
    <x v="9"/>
    <x v="6"/>
    <s v="ENEFIT_ST_RETORT-GAS_CND"/>
    <x v="0"/>
    <x v="3"/>
    <n v="35"/>
    <n v="12775"/>
    <n v="45990"/>
  </r>
  <r>
    <x v="0"/>
    <x v="0"/>
    <x v="0"/>
    <x v="1"/>
    <x v="2"/>
    <s v="EE_Enefit"/>
    <x v="9"/>
    <x v="6"/>
    <s v="ENEFIT_ST_RETORT-GAS_CND"/>
    <x v="0"/>
    <x v="4"/>
    <n v="35"/>
    <n v="12775"/>
    <n v="45990"/>
  </r>
  <r>
    <x v="0"/>
    <x v="0"/>
    <x v="0"/>
    <x v="1"/>
    <x v="2"/>
    <s v="EE_Enefit"/>
    <x v="9"/>
    <x v="6"/>
    <s v="ENEFIT_ST_RETORT-GAS_CND"/>
    <x v="0"/>
    <x v="5"/>
    <n v="35"/>
    <n v="12775"/>
    <n v="45990"/>
  </r>
  <r>
    <x v="0"/>
    <x v="0"/>
    <x v="0"/>
    <x v="1"/>
    <x v="2"/>
    <s v="EE_Enefit"/>
    <x v="9"/>
    <x v="6"/>
    <s v="ENEFIT_ST_RETORT-GAS_CND"/>
    <x v="0"/>
    <x v="6"/>
    <n v="35"/>
    <n v="12775"/>
    <n v="45990"/>
  </r>
  <r>
    <x v="0"/>
    <x v="0"/>
    <x v="0"/>
    <x v="1"/>
    <x v="2"/>
    <s v="EE_Enefit"/>
    <x v="9"/>
    <x v="6"/>
    <s v="ENEFIT_ST_RETORT-GAS_CND"/>
    <x v="0"/>
    <x v="7"/>
    <n v="35"/>
    <n v="12775"/>
    <n v="45990"/>
  </r>
  <r>
    <x v="0"/>
    <x v="0"/>
    <x v="0"/>
    <x v="1"/>
    <x v="2"/>
    <s v="EE_Enefit"/>
    <x v="9"/>
    <x v="6"/>
    <s v="ENEFIT_ST_RETORT-GAS_CND"/>
    <x v="0"/>
    <x v="8"/>
    <n v="35"/>
    <n v="12775"/>
    <n v="45990"/>
  </r>
  <r>
    <x v="0"/>
    <x v="0"/>
    <x v="0"/>
    <x v="1"/>
    <x v="2"/>
    <s v="EE_Enefit"/>
    <x v="9"/>
    <x v="6"/>
    <s v="ENEFIT_ST_RETORT-GAS_CND"/>
    <x v="0"/>
    <x v="9"/>
    <n v="35"/>
    <n v="12775"/>
    <n v="45990"/>
  </r>
  <r>
    <x v="0"/>
    <x v="0"/>
    <x v="0"/>
    <x v="1"/>
    <x v="2"/>
    <s v="EE_Enefit"/>
    <x v="9"/>
    <x v="6"/>
    <s v="ENEFIT_ST_RETORT-GAS_CND"/>
    <x v="0"/>
    <x v="10"/>
    <n v="35"/>
    <n v="12775"/>
    <n v="45990"/>
  </r>
  <r>
    <x v="0"/>
    <x v="0"/>
    <x v="0"/>
    <x v="1"/>
    <x v="2"/>
    <s v="EE_Enefit"/>
    <x v="9"/>
    <x v="6"/>
    <s v="ENEFIT_ST_RETORT-GAS_CND"/>
    <x v="0"/>
    <x v="11"/>
    <n v="35"/>
    <n v="12775"/>
    <n v="45990"/>
  </r>
  <r>
    <x v="0"/>
    <x v="0"/>
    <x v="0"/>
    <x v="1"/>
    <x v="2"/>
    <s v="EE_Enefit"/>
    <x v="9"/>
    <x v="6"/>
    <s v="ENEFIT_ST_RETORT-GAS_CND"/>
    <x v="0"/>
    <x v="12"/>
    <n v="35"/>
    <n v="12775"/>
    <n v="45990"/>
  </r>
  <r>
    <x v="0"/>
    <x v="0"/>
    <x v="0"/>
    <x v="1"/>
    <x v="2"/>
    <s v="EE_Enefit"/>
    <x v="9"/>
    <x v="6"/>
    <s v="ENEFIT_ST_RETORT-GAS_CND"/>
    <x v="0"/>
    <x v="13"/>
    <n v="35"/>
    <n v="12775"/>
    <n v="45990"/>
  </r>
  <r>
    <x v="0"/>
    <x v="0"/>
    <x v="0"/>
    <x v="1"/>
    <x v="2"/>
    <s v="EE_Enefit"/>
    <x v="9"/>
    <x v="6"/>
    <s v="ENEFIT_ST_RETORT-GAS_CND"/>
    <x v="0"/>
    <x v="14"/>
    <n v="35"/>
    <n v="12775"/>
    <n v="45990"/>
  </r>
  <r>
    <x v="0"/>
    <x v="0"/>
    <x v="0"/>
    <x v="1"/>
    <x v="2"/>
    <s v="EE_Enefit"/>
    <x v="9"/>
    <x v="6"/>
    <s v="ENEFIT_ST_RETORT-GAS_CND"/>
    <x v="0"/>
    <x v="15"/>
    <n v="35"/>
    <n v="12775"/>
    <n v="45990"/>
  </r>
  <r>
    <x v="0"/>
    <x v="0"/>
    <x v="0"/>
    <x v="1"/>
    <x v="2"/>
    <s v="EE_Enefit"/>
    <x v="9"/>
    <x v="6"/>
    <s v="ENEFIT_ST_RETORT-GAS_CND"/>
    <x v="0"/>
    <x v="16"/>
    <n v="35"/>
    <n v="12775"/>
    <n v="45990"/>
  </r>
  <r>
    <x v="0"/>
    <x v="0"/>
    <x v="0"/>
    <x v="1"/>
    <x v="2"/>
    <s v="EE_Enefit"/>
    <x v="9"/>
    <x v="6"/>
    <s v="ENEFIT_ST_RETORT-GAS_CND"/>
    <x v="0"/>
    <x v="17"/>
    <n v="35"/>
    <n v="12775"/>
    <n v="45990"/>
  </r>
  <r>
    <x v="0"/>
    <x v="0"/>
    <x v="0"/>
    <x v="1"/>
    <x v="2"/>
    <s v="EE_Enefit"/>
    <x v="9"/>
    <x v="6"/>
    <s v="ENEFIT_ST_RETORT-GAS_CND"/>
    <x v="0"/>
    <x v="19"/>
    <n v="35"/>
    <n v="12775"/>
    <n v="45990"/>
  </r>
  <r>
    <x v="0"/>
    <x v="0"/>
    <x v="0"/>
    <x v="1"/>
    <x v="2"/>
    <s v="EE_Enefit"/>
    <x v="9"/>
    <x v="6"/>
    <s v="ENEFIT_ST_RETORT-GAS_CND"/>
    <x v="0"/>
    <x v="20"/>
    <n v="35"/>
    <n v="12775"/>
    <n v="45990"/>
  </r>
  <r>
    <x v="0"/>
    <x v="0"/>
    <x v="0"/>
    <x v="1"/>
    <x v="2"/>
    <s v="EE_Enefit"/>
    <x v="9"/>
    <x v="6"/>
    <s v="ENEFIT_ST_RETORT-GAS_CND"/>
    <x v="0"/>
    <x v="21"/>
    <n v="35"/>
    <n v="12775"/>
    <n v="45990"/>
  </r>
  <r>
    <x v="0"/>
    <x v="0"/>
    <x v="0"/>
    <x v="1"/>
    <x v="2"/>
    <s v="EE_Enefit"/>
    <x v="9"/>
    <x v="6"/>
    <s v="ENEFIT_ST_RETORT-GAS_CND"/>
    <x v="0"/>
    <x v="22"/>
    <n v="35"/>
    <n v="12775"/>
    <n v="45990"/>
  </r>
  <r>
    <x v="0"/>
    <x v="0"/>
    <x v="0"/>
    <x v="1"/>
    <x v="2"/>
    <s v="EE_Enefit"/>
    <x v="9"/>
    <x v="6"/>
    <s v="ENEFIT_ST_RETORT-GAS_CND"/>
    <x v="0"/>
    <x v="23"/>
    <n v="35"/>
    <n v="12775"/>
    <n v="45990"/>
  </r>
  <r>
    <x v="0"/>
    <x v="0"/>
    <x v="0"/>
    <x v="1"/>
    <x v="2"/>
    <s v="EE_Industry"/>
    <x v="9"/>
    <x v="0"/>
    <s v="GNR_ENG_RETORT-GAS_E-44"/>
    <x v="0"/>
    <x v="0"/>
    <n v="95"/>
    <n v="34675"/>
    <n v="124830"/>
  </r>
  <r>
    <x v="0"/>
    <x v="0"/>
    <x v="0"/>
    <x v="1"/>
    <x v="2"/>
    <s v="EE_Industry"/>
    <x v="9"/>
    <x v="0"/>
    <s v="GNR_ENG_RETORT-GAS_E-44"/>
    <x v="0"/>
    <x v="1"/>
    <n v="95"/>
    <n v="34675"/>
    <n v="124830"/>
  </r>
  <r>
    <x v="0"/>
    <x v="0"/>
    <x v="0"/>
    <x v="1"/>
    <x v="2"/>
    <s v="EE_Industry"/>
    <x v="9"/>
    <x v="0"/>
    <s v="GNR_ENG_RETORT-GAS_E-44"/>
    <x v="0"/>
    <x v="18"/>
    <n v="95"/>
    <n v="34675"/>
    <n v="124830"/>
  </r>
  <r>
    <x v="0"/>
    <x v="0"/>
    <x v="0"/>
    <x v="1"/>
    <x v="2"/>
    <s v="EE_Industry"/>
    <x v="9"/>
    <x v="0"/>
    <s v="GNR_ENG_RETORT-GAS_E-44"/>
    <x v="0"/>
    <x v="2"/>
    <n v="95"/>
    <n v="34675"/>
    <n v="124830"/>
  </r>
  <r>
    <x v="0"/>
    <x v="0"/>
    <x v="0"/>
    <x v="1"/>
    <x v="2"/>
    <s v="EE_Industry"/>
    <x v="9"/>
    <x v="0"/>
    <s v="GNR_ENG_RETORT-GAS_E-44"/>
    <x v="0"/>
    <x v="3"/>
    <n v="95"/>
    <n v="34675"/>
    <n v="124830"/>
  </r>
  <r>
    <x v="0"/>
    <x v="0"/>
    <x v="0"/>
    <x v="1"/>
    <x v="2"/>
    <s v="EE_Industry"/>
    <x v="9"/>
    <x v="0"/>
    <s v="GNR_ENG_RETORT-GAS_E-44"/>
    <x v="0"/>
    <x v="4"/>
    <n v="95"/>
    <n v="34675"/>
    <n v="124830"/>
  </r>
  <r>
    <x v="0"/>
    <x v="0"/>
    <x v="0"/>
    <x v="1"/>
    <x v="2"/>
    <s v="EE_Industry"/>
    <x v="9"/>
    <x v="0"/>
    <s v="GNR_ENG_RETORT-GAS_E-44"/>
    <x v="0"/>
    <x v="5"/>
    <n v="95"/>
    <n v="34675"/>
    <n v="124830"/>
  </r>
  <r>
    <x v="0"/>
    <x v="0"/>
    <x v="0"/>
    <x v="1"/>
    <x v="2"/>
    <s v="EE_Industry"/>
    <x v="9"/>
    <x v="0"/>
    <s v="GNR_ENG_RETORT-GAS_E-44"/>
    <x v="0"/>
    <x v="6"/>
    <n v="95"/>
    <n v="34675"/>
    <n v="124830"/>
  </r>
  <r>
    <x v="0"/>
    <x v="0"/>
    <x v="0"/>
    <x v="1"/>
    <x v="2"/>
    <s v="EE_Industry"/>
    <x v="9"/>
    <x v="0"/>
    <s v="GNR_ENG_RETORT-GAS_E-44"/>
    <x v="0"/>
    <x v="7"/>
    <n v="95"/>
    <n v="34675"/>
    <n v="124830"/>
  </r>
  <r>
    <x v="0"/>
    <x v="0"/>
    <x v="0"/>
    <x v="1"/>
    <x v="2"/>
    <s v="EE_Industry"/>
    <x v="9"/>
    <x v="0"/>
    <s v="GNR_ENG_RETORT-GAS_E-44"/>
    <x v="0"/>
    <x v="8"/>
    <n v="95"/>
    <n v="34675"/>
    <n v="124830"/>
  </r>
  <r>
    <x v="0"/>
    <x v="0"/>
    <x v="0"/>
    <x v="1"/>
    <x v="2"/>
    <s v="EE_Industry"/>
    <x v="9"/>
    <x v="0"/>
    <s v="GNR_ENG_RETORT-GAS_E-44"/>
    <x v="0"/>
    <x v="9"/>
    <n v="95"/>
    <n v="34675"/>
    <n v="124830"/>
  </r>
  <r>
    <x v="0"/>
    <x v="0"/>
    <x v="0"/>
    <x v="1"/>
    <x v="2"/>
    <s v="EE_Industry"/>
    <x v="9"/>
    <x v="0"/>
    <s v="GNR_ENG_RETORT-GAS_E-44"/>
    <x v="0"/>
    <x v="10"/>
    <n v="95"/>
    <n v="34675"/>
    <n v="124830"/>
  </r>
  <r>
    <x v="0"/>
    <x v="0"/>
    <x v="0"/>
    <x v="1"/>
    <x v="2"/>
    <s v="EE_Industry"/>
    <x v="9"/>
    <x v="0"/>
    <s v="GNR_ENG_RETORT-GAS_E-44"/>
    <x v="0"/>
    <x v="11"/>
    <n v="95"/>
    <n v="34675"/>
    <n v="124830"/>
  </r>
  <r>
    <x v="0"/>
    <x v="0"/>
    <x v="0"/>
    <x v="1"/>
    <x v="2"/>
    <s v="EE_Industry"/>
    <x v="9"/>
    <x v="0"/>
    <s v="GNR_ENG_RETORT-GAS_E-44"/>
    <x v="0"/>
    <x v="12"/>
    <n v="95"/>
    <n v="34675"/>
    <n v="124830"/>
  </r>
  <r>
    <x v="0"/>
    <x v="0"/>
    <x v="0"/>
    <x v="1"/>
    <x v="2"/>
    <s v="EE_Industry"/>
    <x v="9"/>
    <x v="0"/>
    <s v="GNR_ENG_RETORT-GAS_E-44"/>
    <x v="0"/>
    <x v="13"/>
    <n v="95"/>
    <n v="34675"/>
    <n v="124830"/>
  </r>
  <r>
    <x v="0"/>
    <x v="0"/>
    <x v="0"/>
    <x v="1"/>
    <x v="2"/>
    <s v="EE_Industry"/>
    <x v="9"/>
    <x v="0"/>
    <s v="GNR_ENG_RETORT-GAS_E-44"/>
    <x v="0"/>
    <x v="14"/>
    <n v="95"/>
    <n v="34675"/>
    <n v="124830"/>
  </r>
  <r>
    <x v="0"/>
    <x v="0"/>
    <x v="0"/>
    <x v="1"/>
    <x v="2"/>
    <s v="EE_Industry"/>
    <x v="9"/>
    <x v="0"/>
    <s v="GNR_ENG_RETORT-GAS_E-44"/>
    <x v="0"/>
    <x v="15"/>
    <n v="95"/>
    <n v="34675"/>
    <n v="124830"/>
  </r>
  <r>
    <x v="0"/>
    <x v="0"/>
    <x v="0"/>
    <x v="1"/>
    <x v="2"/>
    <s v="EE_Industry"/>
    <x v="9"/>
    <x v="0"/>
    <s v="GNR_ENG_RETORT-GAS_E-44"/>
    <x v="0"/>
    <x v="16"/>
    <n v="95"/>
    <n v="34675"/>
    <n v="124830"/>
  </r>
  <r>
    <x v="0"/>
    <x v="0"/>
    <x v="0"/>
    <x v="1"/>
    <x v="2"/>
    <s v="EE_Industry"/>
    <x v="9"/>
    <x v="0"/>
    <s v="GNR_ENG_RETORT-GAS_E-44"/>
    <x v="0"/>
    <x v="17"/>
    <n v="95"/>
    <n v="34675"/>
    <n v="124830"/>
  </r>
  <r>
    <x v="0"/>
    <x v="0"/>
    <x v="0"/>
    <x v="1"/>
    <x v="2"/>
    <s v="EE_Industry"/>
    <x v="9"/>
    <x v="0"/>
    <s v="GNR_ENG_RETORT-GAS_E-44"/>
    <x v="0"/>
    <x v="19"/>
    <n v="95"/>
    <n v="34675"/>
    <n v="124830"/>
  </r>
  <r>
    <x v="0"/>
    <x v="0"/>
    <x v="0"/>
    <x v="1"/>
    <x v="2"/>
    <s v="EE_Industry"/>
    <x v="9"/>
    <x v="0"/>
    <s v="GNR_ENG_RETORT-GAS_E-44"/>
    <x v="0"/>
    <x v="20"/>
    <n v="95"/>
    <n v="34675"/>
    <n v="124830"/>
  </r>
  <r>
    <x v="0"/>
    <x v="0"/>
    <x v="0"/>
    <x v="1"/>
    <x v="2"/>
    <s v="EE_Industry"/>
    <x v="9"/>
    <x v="0"/>
    <s v="GNR_ENG_RETORT-GAS_E-44"/>
    <x v="0"/>
    <x v="21"/>
    <n v="95"/>
    <n v="34675"/>
    <n v="124830"/>
  </r>
  <r>
    <x v="0"/>
    <x v="0"/>
    <x v="0"/>
    <x v="1"/>
    <x v="2"/>
    <s v="EE_Industry"/>
    <x v="9"/>
    <x v="0"/>
    <s v="GNR_ENG_RETORT-GAS_E-44"/>
    <x v="0"/>
    <x v="22"/>
    <n v="95"/>
    <n v="34675"/>
    <n v="124830"/>
  </r>
  <r>
    <x v="0"/>
    <x v="0"/>
    <x v="0"/>
    <x v="1"/>
    <x v="2"/>
    <s v="EE_Industry"/>
    <x v="9"/>
    <x v="0"/>
    <s v="GNR_ENG_RETORT-GAS_E-44"/>
    <x v="0"/>
    <x v="23"/>
    <n v="95"/>
    <n v="34675"/>
    <n v="124830"/>
  </r>
  <r>
    <x v="0"/>
    <x v="0"/>
    <x v="0"/>
    <x v="1"/>
    <x v="2"/>
    <s v="EE_Industry"/>
    <x v="10"/>
    <x v="2"/>
    <s v="GNR_ST_WOODWST_BP_E-53"/>
    <x v="0"/>
    <x v="0"/>
    <n v="6.7907248196722598"/>
    <n v="2478.6145591803702"/>
    <n v="8923.0124130493405"/>
  </r>
  <r>
    <x v="0"/>
    <x v="0"/>
    <x v="0"/>
    <x v="1"/>
    <x v="2"/>
    <s v="EE_Industry"/>
    <x v="10"/>
    <x v="2"/>
    <s v="GNR_ST_WOODWST_BP_E-53"/>
    <x v="0"/>
    <x v="1"/>
    <n v="6.8338405328130296"/>
    <n v="2494.35179447676"/>
    <n v="8979.6664601163302"/>
  </r>
  <r>
    <x v="0"/>
    <x v="0"/>
    <x v="0"/>
    <x v="1"/>
    <x v="2"/>
    <s v="EE_Industry"/>
    <x v="10"/>
    <x v="2"/>
    <s v="GNR_ST_WOODWST_BP_E-53"/>
    <x v="0"/>
    <x v="18"/>
    <n v="6.8473141931694999"/>
    <n v="2499.2696805068699"/>
    <n v="8997.3708498247197"/>
  </r>
  <r>
    <x v="0"/>
    <x v="0"/>
    <x v="0"/>
    <x v="1"/>
    <x v="2"/>
    <s v="EE_Industry"/>
    <x v="10"/>
    <x v="2"/>
    <s v="GNR_ST_WOODWST_BP_E-53"/>
    <x v="0"/>
    <x v="2"/>
    <n v="6.8068932121000501"/>
    <n v="2484.5160224165202"/>
    <n v="8944.2576806994603"/>
  </r>
  <r>
    <x v="0"/>
    <x v="0"/>
    <x v="0"/>
    <x v="1"/>
    <x v="2"/>
    <s v="EE_Industry"/>
    <x v="10"/>
    <x v="2"/>
    <s v="GNR_ST_WOODWST_BP_E-53"/>
    <x v="0"/>
    <x v="3"/>
    <n v="6.7179670537471701"/>
    <n v="2452.05797461772"/>
    <n v="8827.4087086237796"/>
  </r>
  <r>
    <x v="0"/>
    <x v="0"/>
    <x v="0"/>
    <x v="1"/>
    <x v="2"/>
    <s v="EE_Industry"/>
    <x v="10"/>
    <x v="2"/>
    <s v="GNR_ST_WOODWST_BP_E-53"/>
    <x v="0"/>
    <x v="4"/>
    <n v="6.5886199143248403"/>
    <n v="2404.8462687285701"/>
    <n v="8657.4465674228395"/>
  </r>
  <r>
    <x v="0"/>
    <x v="0"/>
    <x v="0"/>
    <x v="1"/>
    <x v="2"/>
    <s v="EE_Industry"/>
    <x v="10"/>
    <x v="2"/>
    <s v="GNR_ST_WOODWST_BP_E-53"/>
    <x v="0"/>
    <x v="5"/>
    <n v="6.4242412579756696"/>
    <n v="2344.8480591611201"/>
    <n v="8441.4530129800205"/>
  </r>
  <r>
    <x v="0"/>
    <x v="0"/>
    <x v="0"/>
    <x v="1"/>
    <x v="2"/>
    <s v="EE_Industry"/>
    <x v="10"/>
    <x v="2"/>
    <s v="GNR_ST_WOODWST_BP_E-53"/>
    <x v="0"/>
    <x v="6"/>
    <n v="6.22213635262825"/>
    <n v="2271.07976870931"/>
    <n v="8175.8871673535205"/>
  </r>
  <r>
    <x v="0"/>
    <x v="0"/>
    <x v="0"/>
    <x v="1"/>
    <x v="2"/>
    <s v="EE_Industry"/>
    <x v="10"/>
    <x v="2"/>
    <s v="GNR_ST_WOODWST_BP_E-53"/>
    <x v="0"/>
    <x v="7"/>
    <n v="6.0469787679938802"/>
    <n v="2207.1472503177702"/>
    <n v="7945.7301011439604"/>
  </r>
  <r>
    <x v="0"/>
    <x v="0"/>
    <x v="0"/>
    <x v="1"/>
    <x v="2"/>
    <s v="EE_Industry"/>
    <x v="10"/>
    <x v="2"/>
    <s v="GNR_ST_WOODWST_BP_E-53"/>
    <x v="0"/>
    <x v="8"/>
    <n v="5.8879895757872402"/>
    <n v="2149.1161951623399"/>
    <n v="7736.8183025844401"/>
  </r>
  <r>
    <x v="0"/>
    <x v="0"/>
    <x v="0"/>
    <x v="1"/>
    <x v="2"/>
    <s v="EE_Industry"/>
    <x v="10"/>
    <x v="2"/>
    <s v="GNR_ST_WOODWST_BP_E-53"/>
    <x v="0"/>
    <x v="9"/>
    <n v="5.74516877600845"/>
    <n v="2096.98660324308"/>
    <n v="7549.1517716751096"/>
  </r>
  <r>
    <x v="0"/>
    <x v="0"/>
    <x v="0"/>
    <x v="1"/>
    <x v="2"/>
    <s v="EE_Industry"/>
    <x v="10"/>
    <x v="2"/>
    <s v="GNR_ST_WOODWST_BP_E-53"/>
    <x v="0"/>
    <x v="10"/>
    <n v="5.6266005648713202"/>
    <n v="2053.7092061780299"/>
    <n v="7393.3531422409096"/>
  </r>
  <r>
    <x v="0"/>
    <x v="0"/>
    <x v="0"/>
    <x v="1"/>
    <x v="2"/>
    <s v="EE_Industry"/>
    <x v="10"/>
    <x v="2"/>
    <s v="GNR_ST_WOODWST_BP_E-53"/>
    <x v="0"/>
    <x v="11"/>
    <n v="5.5242007461619496"/>
    <n v="2016.3332723491101"/>
    <n v="7258.7997804568104"/>
  </r>
  <r>
    <x v="0"/>
    <x v="0"/>
    <x v="0"/>
    <x v="1"/>
    <x v="2"/>
    <s v="EE_Industry"/>
    <x v="10"/>
    <x v="2"/>
    <s v="GNR_ST_WOODWST_BP_E-53"/>
    <x v="0"/>
    <x v="12"/>
    <n v="5.4406640519516998"/>
    <n v="1985.84237896237"/>
    <n v="7149.0325642645303"/>
  </r>
  <r>
    <x v="0"/>
    <x v="0"/>
    <x v="0"/>
    <x v="1"/>
    <x v="2"/>
    <s v="EE_Industry"/>
    <x v="10"/>
    <x v="2"/>
    <s v="GNR_ST_WOODWST_BP_E-53"/>
    <x v="0"/>
    <x v="13"/>
    <n v="5.3894641425970304"/>
    <n v="1967.15441204791"/>
    <n v="7081.7558833724897"/>
  </r>
  <r>
    <x v="0"/>
    <x v="0"/>
    <x v="0"/>
    <x v="1"/>
    <x v="2"/>
    <s v="EE_Industry"/>
    <x v="10"/>
    <x v="2"/>
    <s v="GNR_ST_WOODWST_BP_E-53"/>
    <x v="0"/>
    <x v="14"/>
    <n v="5.35173789359885"/>
    <n v="1953.3843311635801"/>
    <n v="7032.1835921888796"/>
  </r>
  <r>
    <x v="0"/>
    <x v="0"/>
    <x v="0"/>
    <x v="1"/>
    <x v="2"/>
    <s v="EE_Industry"/>
    <x v="10"/>
    <x v="2"/>
    <s v="GNR_ST_WOODWST_BP_E-53"/>
    <x v="0"/>
    <x v="15"/>
    <n v="5.3194011087432704"/>
    <n v="1941.5814046912899"/>
    <n v="6989.6930568886501"/>
  </r>
  <r>
    <x v="0"/>
    <x v="0"/>
    <x v="0"/>
    <x v="1"/>
    <x v="2"/>
    <s v="EE_Industry"/>
    <x v="10"/>
    <x v="2"/>
    <s v="GNR_ST_WOODWST_BP_E-53"/>
    <x v="0"/>
    <x v="16"/>
    <n v="5.2897590559589798"/>
    <n v="1930.76205542503"/>
    <n v="6950.7433995300999"/>
  </r>
  <r>
    <x v="0"/>
    <x v="0"/>
    <x v="0"/>
    <x v="1"/>
    <x v="2"/>
    <s v="EE_Industry"/>
    <x v="10"/>
    <x v="2"/>
    <s v="GNR_ST_WOODWST_BP_E-53"/>
    <x v="0"/>
    <x v="17"/>
    <n v="5.2574222711034002"/>
    <n v="1918.95912895274"/>
    <n v="6908.2528642298703"/>
  </r>
  <r>
    <x v="0"/>
    <x v="0"/>
    <x v="0"/>
    <x v="1"/>
    <x v="2"/>
    <s v="EE_Industry"/>
    <x v="10"/>
    <x v="2"/>
    <s v="GNR_ST_WOODWST_BP_E-53"/>
    <x v="0"/>
    <x v="19"/>
    <n v="5.2196960221052198"/>
    <n v="1905.1890480684101"/>
    <n v="6858.6805730462602"/>
  </r>
  <r>
    <x v="0"/>
    <x v="0"/>
    <x v="0"/>
    <x v="1"/>
    <x v="2"/>
    <s v="EE_Industry"/>
    <x v="10"/>
    <x v="2"/>
    <s v="GNR_ST_WOODWST_BP_E-53"/>
    <x v="0"/>
    <x v="20"/>
    <n v="5.1873592372496304"/>
    <n v="1893.3861215961199"/>
    <n v="6816.1900377460197"/>
  </r>
  <r>
    <x v="0"/>
    <x v="0"/>
    <x v="0"/>
    <x v="1"/>
    <x v="2"/>
    <s v="EE_Industry"/>
    <x v="10"/>
    <x v="2"/>
    <s v="GNR_ST_WOODWST_BP_E-53"/>
    <x v="0"/>
    <x v="21"/>
    <n v="5.15502245239405"/>
    <n v="1881.5831951238299"/>
    <n v="6773.6995024457801"/>
  </r>
  <r>
    <x v="0"/>
    <x v="0"/>
    <x v="0"/>
    <x v="1"/>
    <x v="2"/>
    <s v="EE_Industry"/>
    <x v="10"/>
    <x v="2"/>
    <s v="GNR_ST_WOODWST_BP_E-53"/>
    <x v="0"/>
    <x v="22"/>
    <n v="5.13076986375237"/>
    <n v="1872.7310002696099"/>
    <n v="6741.8316009706105"/>
  </r>
  <r>
    <x v="0"/>
    <x v="0"/>
    <x v="0"/>
    <x v="1"/>
    <x v="2"/>
    <s v="EE_Industry"/>
    <x v="10"/>
    <x v="2"/>
    <s v="GNR_ST_WOODWST_BP_E-53"/>
    <x v="0"/>
    <x v="23"/>
    <n v="5.1226856675384704"/>
    <n v="1869.7802686515399"/>
    <n v="6731.2089671455497"/>
  </r>
  <r>
    <x v="0"/>
    <x v="0"/>
    <x v="0"/>
    <x v="1"/>
    <x v="2"/>
    <s v="EE_Kohtla_Jarve"/>
    <x v="8"/>
    <x v="0"/>
    <s v="GNR_ENG_NGAS_EXT_E-44"/>
    <x v="0"/>
    <x v="0"/>
    <n v="16"/>
    <n v="5840"/>
    <n v="21024"/>
  </r>
  <r>
    <x v="0"/>
    <x v="0"/>
    <x v="0"/>
    <x v="1"/>
    <x v="2"/>
    <s v="EE_Kohtla_Jarve"/>
    <x v="8"/>
    <x v="0"/>
    <s v="GNR_ENG_NGAS_EXT_E-44"/>
    <x v="0"/>
    <x v="1"/>
    <n v="16"/>
    <n v="5840"/>
    <n v="21024"/>
  </r>
  <r>
    <x v="0"/>
    <x v="0"/>
    <x v="0"/>
    <x v="1"/>
    <x v="2"/>
    <s v="EE_Kohtla_Jarve"/>
    <x v="8"/>
    <x v="0"/>
    <s v="GNR_ENG_NGAS_EXT_E-44"/>
    <x v="0"/>
    <x v="18"/>
    <n v="5.9911684047976896"/>
    <n v="2186.77646775116"/>
    <n v="7872.3952839041604"/>
  </r>
  <r>
    <x v="0"/>
    <x v="0"/>
    <x v="0"/>
    <x v="1"/>
    <x v="2"/>
    <s v="EE_Kohtla_Jarve"/>
    <x v="8"/>
    <x v="0"/>
    <s v="GNR_ENG_NGAS_EXT_E-44"/>
    <x v="0"/>
    <x v="2"/>
    <n v="16"/>
    <n v="5840"/>
    <n v="21024"/>
  </r>
  <r>
    <x v="0"/>
    <x v="0"/>
    <x v="0"/>
    <x v="1"/>
    <x v="2"/>
    <s v="EE_Kohtla_Jarve"/>
    <x v="8"/>
    <x v="0"/>
    <s v="GNR_ENG_NGAS_EXT_E-44"/>
    <x v="0"/>
    <x v="3"/>
    <n v="16"/>
    <n v="5840"/>
    <n v="21024"/>
  </r>
  <r>
    <x v="0"/>
    <x v="0"/>
    <x v="0"/>
    <x v="1"/>
    <x v="2"/>
    <s v="EE_Kohtla_Jarve"/>
    <x v="8"/>
    <x v="0"/>
    <s v="GNR_ENG_NGAS_EXT_E-44"/>
    <x v="0"/>
    <x v="4"/>
    <n v="16"/>
    <n v="5840"/>
    <n v="21024"/>
  </r>
  <r>
    <x v="0"/>
    <x v="0"/>
    <x v="0"/>
    <x v="1"/>
    <x v="2"/>
    <s v="EE_Kohtla_Jarve"/>
    <x v="8"/>
    <x v="0"/>
    <s v="GNR_ENG_NGAS_EXT_E-44"/>
    <x v="0"/>
    <x v="5"/>
    <n v="16"/>
    <n v="5840"/>
    <n v="21024"/>
  </r>
  <r>
    <x v="0"/>
    <x v="0"/>
    <x v="0"/>
    <x v="1"/>
    <x v="2"/>
    <s v="EE_Kohtla_Jarve"/>
    <x v="8"/>
    <x v="0"/>
    <s v="GNR_ENG_NGAS_EXT_E-44"/>
    <x v="0"/>
    <x v="6"/>
    <n v="16"/>
    <n v="5840"/>
    <n v="21024"/>
  </r>
  <r>
    <x v="0"/>
    <x v="0"/>
    <x v="0"/>
    <x v="1"/>
    <x v="2"/>
    <s v="EE_Kohtla_Jarve"/>
    <x v="8"/>
    <x v="0"/>
    <s v="GNR_ENG_NGAS_EXT_E-44"/>
    <x v="0"/>
    <x v="7"/>
    <n v="16"/>
    <n v="5840"/>
    <n v="21024"/>
  </r>
  <r>
    <x v="0"/>
    <x v="0"/>
    <x v="0"/>
    <x v="1"/>
    <x v="2"/>
    <s v="EE_Kohtla_Jarve"/>
    <x v="8"/>
    <x v="0"/>
    <s v="GNR_ENG_NGAS_EXT_E-44"/>
    <x v="0"/>
    <x v="8"/>
    <n v="16"/>
    <n v="5840"/>
    <n v="21024"/>
  </r>
  <r>
    <x v="0"/>
    <x v="0"/>
    <x v="0"/>
    <x v="1"/>
    <x v="2"/>
    <s v="EE_Kohtla_Jarve"/>
    <x v="8"/>
    <x v="0"/>
    <s v="GNR_ENG_NGAS_EXT_E-44"/>
    <x v="0"/>
    <x v="9"/>
    <n v="16"/>
    <n v="5840"/>
    <n v="21024"/>
  </r>
  <r>
    <x v="0"/>
    <x v="0"/>
    <x v="0"/>
    <x v="1"/>
    <x v="2"/>
    <s v="EE_Kohtla_Jarve"/>
    <x v="8"/>
    <x v="0"/>
    <s v="GNR_ENG_NGAS_EXT_E-44"/>
    <x v="0"/>
    <x v="10"/>
    <n v="16"/>
    <n v="5840"/>
    <n v="21024"/>
  </r>
  <r>
    <x v="0"/>
    <x v="0"/>
    <x v="0"/>
    <x v="1"/>
    <x v="2"/>
    <s v="EE_Kohtla_Jarve"/>
    <x v="8"/>
    <x v="0"/>
    <s v="GNR_ENG_NGAS_EXT_E-44"/>
    <x v="0"/>
    <x v="11"/>
    <n v="16"/>
    <n v="5840"/>
    <n v="21024"/>
  </r>
  <r>
    <x v="0"/>
    <x v="0"/>
    <x v="0"/>
    <x v="1"/>
    <x v="2"/>
    <s v="EE_Kohtla_Jarve"/>
    <x v="8"/>
    <x v="0"/>
    <s v="GNR_ENG_NGAS_EXT_E-44"/>
    <x v="0"/>
    <x v="12"/>
    <n v="16"/>
    <n v="5840"/>
    <n v="21024"/>
  </r>
  <r>
    <x v="0"/>
    <x v="0"/>
    <x v="0"/>
    <x v="1"/>
    <x v="2"/>
    <s v="EE_Kohtla_Jarve"/>
    <x v="8"/>
    <x v="0"/>
    <s v="GNR_ENG_NGAS_EXT_E-44"/>
    <x v="0"/>
    <x v="13"/>
    <n v="16"/>
    <n v="5840"/>
    <n v="21024"/>
  </r>
  <r>
    <x v="0"/>
    <x v="0"/>
    <x v="0"/>
    <x v="1"/>
    <x v="2"/>
    <s v="EE_Kohtla_Jarve"/>
    <x v="8"/>
    <x v="0"/>
    <s v="GNR_ENG_NGAS_EXT_E-44"/>
    <x v="0"/>
    <x v="14"/>
    <n v="16"/>
    <n v="5840"/>
    <n v="21024"/>
  </r>
  <r>
    <x v="0"/>
    <x v="0"/>
    <x v="0"/>
    <x v="1"/>
    <x v="2"/>
    <s v="EE_Kohtla_Jarve"/>
    <x v="8"/>
    <x v="0"/>
    <s v="GNR_ENG_NGAS_EXT_E-44"/>
    <x v="0"/>
    <x v="15"/>
    <n v="16"/>
    <n v="5840"/>
    <n v="21024"/>
  </r>
  <r>
    <x v="0"/>
    <x v="0"/>
    <x v="0"/>
    <x v="1"/>
    <x v="2"/>
    <s v="EE_Kohtla_Jarve"/>
    <x v="8"/>
    <x v="0"/>
    <s v="GNR_ENG_NGAS_EXT_E-44"/>
    <x v="0"/>
    <x v="16"/>
    <n v="16"/>
    <n v="5840"/>
    <n v="21024"/>
  </r>
  <r>
    <x v="0"/>
    <x v="0"/>
    <x v="0"/>
    <x v="1"/>
    <x v="2"/>
    <s v="EE_Kohtla_Jarve"/>
    <x v="8"/>
    <x v="0"/>
    <s v="GNR_ENG_NGAS_EXT_E-44"/>
    <x v="0"/>
    <x v="17"/>
    <n v="16"/>
    <n v="5840"/>
    <n v="21024"/>
  </r>
  <r>
    <x v="0"/>
    <x v="0"/>
    <x v="0"/>
    <x v="1"/>
    <x v="2"/>
    <s v="EE_Kohtla_Jarve"/>
    <x v="8"/>
    <x v="0"/>
    <s v="GNR_ENG_NGAS_EXT_E-44"/>
    <x v="0"/>
    <x v="19"/>
    <n v="16"/>
    <n v="5840"/>
    <n v="21024"/>
  </r>
  <r>
    <x v="0"/>
    <x v="0"/>
    <x v="0"/>
    <x v="1"/>
    <x v="2"/>
    <s v="EE_Kohtla_Jarve"/>
    <x v="8"/>
    <x v="0"/>
    <s v="GNR_ENG_NGAS_EXT_E-44"/>
    <x v="0"/>
    <x v="20"/>
    <n v="16"/>
    <n v="5840"/>
    <n v="21024"/>
  </r>
  <r>
    <x v="0"/>
    <x v="0"/>
    <x v="0"/>
    <x v="1"/>
    <x v="2"/>
    <s v="EE_Kohtla_Jarve"/>
    <x v="8"/>
    <x v="0"/>
    <s v="GNR_ENG_NGAS_EXT_E-44"/>
    <x v="0"/>
    <x v="21"/>
    <n v="16"/>
    <n v="5840"/>
    <n v="21024"/>
  </r>
  <r>
    <x v="0"/>
    <x v="0"/>
    <x v="0"/>
    <x v="1"/>
    <x v="2"/>
    <s v="EE_Kohtla_Jarve"/>
    <x v="8"/>
    <x v="0"/>
    <s v="GNR_ENG_NGAS_EXT_E-44"/>
    <x v="0"/>
    <x v="22"/>
    <n v="16"/>
    <n v="5840"/>
    <n v="21024"/>
  </r>
  <r>
    <x v="0"/>
    <x v="0"/>
    <x v="0"/>
    <x v="1"/>
    <x v="2"/>
    <s v="EE_Kohtla_Jarve"/>
    <x v="8"/>
    <x v="0"/>
    <s v="GNR_ENG_NGAS_EXT_E-44"/>
    <x v="0"/>
    <x v="23"/>
    <n v="16"/>
    <n v="5840"/>
    <n v="21024"/>
  </r>
  <r>
    <x v="0"/>
    <x v="0"/>
    <x v="0"/>
    <x v="1"/>
    <x v="2"/>
    <s v="EE_Narva"/>
    <x v="11"/>
    <x v="6"/>
    <s v="AUVERE_ST_SHALE_CND"/>
    <x v="0"/>
    <x v="0"/>
    <n v="274"/>
    <n v="100010"/>
    <n v="360036"/>
  </r>
  <r>
    <x v="0"/>
    <x v="0"/>
    <x v="0"/>
    <x v="1"/>
    <x v="2"/>
    <s v="EE_Narva"/>
    <x v="11"/>
    <x v="6"/>
    <s v="AUVERE_ST_SHALE_CND"/>
    <x v="0"/>
    <x v="1"/>
    <n v="274"/>
    <n v="100010"/>
    <n v="360036"/>
  </r>
  <r>
    <x v="0"/>
    <x v="0"/>
    <x v="0"/>
    <x v="1"/>
    <x v="2"/>
    <s v="EE_Narva"/>
    <x v="11"/>
    <x v="6"/>
    <s v="AUVERE_ST_SHALE_CND"/>
    <x v="0"/>
    <x v="18"/>
    <n v="274"/>
    <n v="100010"/>
    <n v="360036"/>
  </r>
  <r>
    <x v="0"/>
    <x v="0"/>
    <x v="0"/>
    <x v="1"/>
    <x v="2"/>
    <s v="EE_Narva"/>
    <x v="11"/>
    <x v="6"/>
    <s v="AUVERE_ST_SHALE_CND"/>
    <x v="0"/>
    <x v="2"/>
    <n v="274"/>
    <n v="100010"/>
    <n v="360036"/>
  </r>
  <r>
    <x v="0"/>
    <x v="0"/>
    <x v="0"/>
    <x v="1"/>
    <x v="2"/>
    <s v="EE_Narva"/>
    <x v="11"/>
    <x v="6"/>
    <s v="AUVERE_ST_SHALE_CND"/>
    <x v="0"/>
    <x v="3"/>
    <n v="274"/>
    <n v="100010"/>
    <n v="360036"/>
  </r>
  <r>
    <x v="0"/>
    <x v="0"/>
    <x v="0"/>
    <x v="1"/>
    <x v="2"/>
    <s v="EE_Narva"/>
    <x v="11"/>
    <x v="6"/>
    <s v="AUVERE_ST_SHALE_CND"/>
    <x v="0"/>
    <x v="4"/>
    <n v="274"/>
    <n v="100010"/>
    <n v="360036"/>
  </r>
  <r>
    <x v="0"/>
    <x v="0"/>
    <x v="0"/>
    <x v="1"/>
    <x v="2"/>
    <s v="EE_Narva"/>
    <x v="11"/>
    <x v="6"/>
    <s v="AUVERE_ST_SHALE_CND"/>
    <x v="0"/>
    <x v="5"/>
    <n v="274"/>
    <n v="100010"/>
    <n v="360036"/>
  </r>
  <r>
    <x v="0"/>
    <x v="0"/>
    <x v="0"/>
    <x v="1"/>
    <x v="2"/>
    <s v="EE_Narva"/>
    <x v="11"/>
    <x v="6"/>
    <s v="AUVERE_ST_SHALE_CND"/>
    <x v="0"/>
    <x v="6"/>
    <n v="274"/>
    <n v="100010"/>
    <n v="360036"/>
  </r>
  <r>
    <x v="0"/>
    <x v="0"/>
    <x v="0"/>
    <x v="1"/>
    <x v="2"/>
    <s v="EE_Narva"/>
    <x v="11"/>
    <x v="6"/>
    <s v="AUVERE_ST_SHALE_CND"/>
    <x v="0"/>
    <x v="7"/>
    <n v="274"/>
    <n v="100010"/>
    <n v="360036"/>
  </r>
  <r>
    <x v="0"/>
    <x v="0"/>
    <x v="0"/>
    <x v="1"/>
    <x v="2"/>
    <s v="EE_Narva"/>
    <x v="11"/>
    <x v="6"/>
    <s v="AUVERE_ST_SHALE_CND"/>
    <x v="0"/>
    <x v="8"/>
    <n v="274"/>
    <n v="100010"/>
    <n v="360036"/>
  </r>
  <r>
    <x v="0"/>
    <x v="0"/>
    <x v="0"/>
    <x v="1"/>
    <x v="2"/>
    <s v="EE_Narva"/>
    <x v="11"/>
    <x v="6"/>
    <s v="AUVERE_ST_SHALE_CND"/>
    <x v="0"/>
    <x v="9"/>
    <n v="274"/>
    <n v="100010"/>
    <n v="360036"/>
  </r>
  <r>
    <x v="0"/>
    <x v="0"/>
    <x v="0"/>
    <x v="1"/>
    <x v="2"/>
    <s v="EE_Narva"/>
    <x v="11"/>
    <x v="6"/>
    <s v="AUVERE_ST_SHALE_CND"/>
    <x v="0"/>
    <x v="10"/>
    <n v="274"/>
    <n v="100010"/>
    <n v="360036"/>
  </r>
  <r>
    <x v="0"/>
    <x v="0"/>
    <x v="0"/>
    <x v="1"/>
    <x v="2"/>
    <s v="EE_Narva"/>
    <x v="11"/>
    <x v="6"/>
    <s v="AUVERE_ST_SHALE_CND"/>
    <x v="0"/>
    <x v="11"/>
    <n v="274"/>
    <n v="100010"/>
    <n v="360036"/>
  </r>
  <r>
    <x v="0"/>
    <x v="0"/>
    <x v="0"/>
    <x v="1"/>
    <x v="2"/>
    <s v="EE_Narva"/>
    <x v="11"/>
    <x v="6"/>
    <s v="AUVERE_ST_SHALE_CND"/>
    <x v="0"/>
    <x v="12"/>
    <n v="274"/>
    <n v="100010"/>
    <n v="360036"/>
  </r>
  <r>
    <x v="0"/>
    <x v="0"/>
    <x v="0"/>
    <x v="1"/>
    <x v="2"/>
    <s v="EE_Narva"/>
    <x v="11"/>
    <x v="6"/>
    <s v="AUVERE_ST_SHALE_CND"/>
    <x v="0"/>
    <x v="13"/>
    <n v="274"/>
    <n v="100010"/>
    <n v="360036"/>
  </r>
  <r>
    <x v="0"/>
    <x v="0"/>
    <x v="0"/>
    <x v="1"/>
    <x v="2"/>
    <s v="EE_Narva"/>
    <x v="11"/>
    <x v="6"/>
    <s v="AUVERE_ST_SHALE_CND"/>
    <x v="0"/>
    <x v="14"/>
    <n v="274"/>
    <n v="100010"/>
    <n v="360036"/>
  </r>
  <r>
    <x v="0"/>
    <x v="0"/>
    <x v="0"/>
    <x v="1"/>
    <x v="2"/>
    <s v="EE_Narva"/>
    <x v="11"/>
    <x v="6"/>
    <s v="AUVERE_ST_SHALE_CND"/>
    <x v="0"/>
    <x v="15"/>
    <n v="274"/>
    <n v="100010"/>
    <n v="360036"/>
  </r>
  <r>
    <x v="0"/>
    <x v="0"/>
    <x v="0"/>
    <x v="1"/>
    <x v="2"/>
    <s v="EE_Narva"/>
    <x v="11"/>
    <x v="6"/>
    <s v="AUVERE_ST_SHALE_CND"/>
    <x v="0"/>
    <x v="16"/>
    <n v="274"/>
    <n v="100010"/>
    <n v="360036"/>
  </r>
  <r>
    <x v="0"/>
    <x v="0"/>
    <x v="0"/>
    <x v="1"/>
    <x v="2"/>
    <s v="EE_Narva"/>
    <x v="11"/>
    <x v="6"/>
    <s v="AUVERE_ST_SHALE_CND"/>
    <x v="0"/>
    <x v="17"/>
    <n v="274"/>
    <n v="100010"/>
    <n v="360036"/>
  </r>
  <r>
    <x v="0"/>
    <x v="0"/>
    <x v="0"/>
    <x v="1"/>
    <x v="2"/>
    <s v="EE_Narva"/>
    <x v="11"/>
    <x v="6"/>
    <s v="AUVERE_ST_SHALE_CND"/>
    <x v="0"/>
    <x v="19"/>
    <n v="274"/>
    <n v="100010"/>
    <n v="360036"/>
  </r>
  <r>
    <x v="0"/>
    <x v="0"/>
    <x v="0"/>
    <x v="1"/>
    <x v="2"/>
    <s v="EE_Narva"/>
    <x v="11"/>
    <x v="6"/>
    <s v="AUVERE_ST_SHALE_CND"/>
    <x v="0"/>
    <x v="20"/>
    <n v="274"/>
    <n v="100010"/>
    <n v="360036"/>
  </r>
  <r>
    <x v="0"/>
    <x v="0"/>
    <x v="0"/>
    <x v="1"/>
    <x v="2"/>
    <s v="EE_Narva"/>
    <x v="11"/>
    <x v="6"/>
    <s v="AUVERE_ST_SHALE_CND"/>
    <x v="0"/>
    <x v="21"/>
    <n v="274"/>
    <n v="100010"/>
    <n v="360036"/>
  </r>
  <r>
    <x v="0"/>
    <x v="0"/>
    <x v="0"/>
    <x v="1"/>
    <x v="2"/>
    <s v="EE_Narva"/>
    <x v="11"/>
    <x v="6"/>
    <s v="AUVERE_ST_SHALE_CND"/>
    <x v="0"/>
    <x v="22"/>
    <n v="274"/>
    <n v="100010"/>
    <n v="360036"/>
  </r>
  <r>
    <x v="0"/>
    <x v="0"/>
    <x v="0"/>
    <x v="1"/>
    <x v="2"/>
    <s v="EE_Narva"/>
    <x v="11"/>
    <x v="6"/>
    <s v="AUVERE_ST_SHALE_CND"/>
    <x v="0"/>
    <x v="23"/>
    <n v="274"/>
    <n v="100010"/>
    <n v="360036"/>
  </r>
  <r>
    <x v="0"/>
    <x v="0"/>
    <x v="0"/>
    <x v="1"/>
    <x v="2"/>
    <s v="EE_Narva"/>
    <x v="11"/>
    <x v="0"/>
    <s v="NARVA-11_ST_SHALE_EXT"/>
    <x v="0"/>
    <x v="0"/>
    <n v="78.988200979736305"/>
    <n v="28830.693357603799"/>
    <n v="103790.49608737401"/>
  </r>
  <r>
    <x v="0"/>
    <x v="0"/>
    <x v="0"/>
    <x v="1"/>
    <x v="2"/>
    <s v="EE_Narva"/>
    <x v="11"/>
    <x v="0"/>
    <s v="NARVA-11_ST_SHALE_EXT"/>
    <x v="0"/>
    <x v="1"/>
    <n v="57.576130959835801"/>
    <n v="21015.287800340098"/>
    <n v="75655.036081224302"/>
  </r>
  <r>
    <x v="0"/>
    <x v="0"/>
    <x v="0"/>
    <x v="1"/>
    <x v="2"/>
    <s v="EE_Narva"/>
    <x v="11"/>
    <x v="0"/>
    <s v="NARVA-11_ST_SHALE_EXT"/>
    <x v="0"/>
    <x v="18"/>
    <n v="33.5009347028234"/>
    <n v="12227.841166530499"/>
    <n v="44020.228199509998"/>
  </r>
  <r>
    <x v="0"/>
    <x v="0"/>
    <x v="0"/>
    <x v="1"/>
    <x v="2"/>
    <s v="EE_Narva"/>
    <x v="11"/>
    <x v="0"/>
    <s v="NARVA-11_ST_SHALE_EXT"/>
    <x v="0"/>
    <x v="2"/>
    <n v="54.243436095072298"/>
    <n v="19798.854174701399"/>
    <n v="71275.875028925002"/>
  </r>
  <r>
    <x v="0"/>
    <x v="0"/>
    <x v="0"/>
    <x v="1"/>
    <x v="2"/>
    <s v="EE_Narva"/>
    <x v="11"/>
    <x v="0"/>
    <s v="NARVA-11_ST_SHALE_EXT"/>
    <x v="0"/>
    <x v="3"/>
    <n v="55.411068021462498"/>
    <n v="20225.0398278338"/>
    <n v="72810.143380201698"/>
  </r>
  <r>
    <x v="0"/>
    <x v="0"/>
    <x v="0"/>
    <x v="1"/>
    <x v="2"/>
    <s v="EE_Narva"/>
    <x v="11"/>
    <x v="0"/>
    <s v="NARVA-11_ST_SHALE_EXT"/>
    <x v="0"/>
    <x v="4"/>
    <n v="77.321201340101496"/>
    <n v="28222.238489136998"/>
    <n v="101600.058560893"/>
  </r>
  <r>
    <x v="0"/>
    <x v="0"/>
    <x v="0"/>
    <x v="1"/>
    <x v="2"/>
    <s v="EE_Narva"/>
    <x v="11"/>
    <x v="0"/>
    <s v="NARVA-11_ST_SHALE_EXT"/>
    <x v="0"/>
    <x v="5"/>
    <n v="178.77674149676"/>
    <n v="65253.510646317503"/>
    <n v="234912.63832674301"/>
  </r>
  <r>
    <x v="0"/>
    <x v="0"/>
    <x v="0"/>
    <x v="1"/>
    <x v="2"/>
    <s v="EE_Narva"/>
    <x v="11"/>
    <x v="0"/>
    <s v="NARVA-11_ST_SHALE_EXT"/>
    <x v="0"/>
    <x v="6"/>
    <n v="180.371705771515"/>
    <n v="65835.672606602893"/>
    <n v="237008.42138377001"/>
  </r>
  <r>
    <x v="0"/>
    <x v="0"/>
    <x v="0"/>
    <x v="1"/>
    <x v="2"/>
    <s v="EE_Narva"/>
    <x v="11"/>
    <x v="0"/>
    <s v="NARVA-11_ST_SHALE_EXT"/>
    <x v="0"/>
    <x v="7"/>
    <n v="185.670678557678"/>
    <n v="67769.797673552399"/>
    <n v="243971.27162478899"/>
  </r>
  <r>
    <x v="0"/>
    <x v="0"/>
    <x v="0"/>
    <x v="1"/>
    <x v="2"/>
    <s v="EE_Narva"/>
    <x v="11"/>
    <x v="0"/>
    <s v="NARVA-11_ST_SHALE_EXT"/>
    <x v="0"/>
    <x v="8"/>
    <n v="180.57288090163999"/>
    <n v="65909.101529098698"/>
    <n v="237272.76550475499"/>
  </r>
  <r>
    <x v="0"/>
    <x v="0"/>
    <x v="0"/>
    <x v="1"/>
    <x v="2"/>
    <s v="EE_Narva"/>
    <x v="11"/>
    <x v="0"/>
    <s v="NARVA-11_ST_SHALE_EXT"/>
    <x v="0"/>
    <x v="9"/>
    <n v="180.85006044956401"/>
    <n v="66010.272064090794"/>
    <n v="237636.97943072699"/>
  </r>
  <r>
    <x v="0"/>
    <x v="0"/>
    <x v="0"/>
    <x v="1"/>
    <x v="2"/>
    <s v="EE_Narva"/>
    <x v="11"/>
    <x v="0"/>
    <s v="NARVA-11_ST_SHALE_EXT"/>
    <x v="0"/>
    <x v="10"/>
    <n v="181.080171772368"/>
    <n v="66094.262696914506"/>
    <n v="237939.34570889201"/>
  </r>
  <r>
    <x v="0"/>
    <x v="0"/>
    <x v="0"/>
    <x v="1"/>
    <x v="2"/>
    <s v="EE_Narva"/>
    <x v="11"/>
    <x v="0"/>
    <s v="NARVA-11_ST_SHALE_EXT"/>
    <x v="0"/>
    <x v="11"/>
    <n v="181.27890427842701"/>
    <n v="66166.800061625807"/>
    <n v="238200.48022185301"/>
  </r>
  <r>
    <x v="0"/>
    <x v="0"/>
    <x v="0"/>
    <x v="1"/>
    <x v="2"/>
    <s v="EE_Narva"/>
    <x v="11"/>
    <x v="0"/>
    <s v="NARVA-11_ST_SHALE_EXT"/>
    <x v="0"/>
    <x v="12"/>
    <n v="176.034672144241"/>
    <n v="64252.655332647999"/>
    <n v="231309.559197533"/>
  </r>
  <r>
    <x v="0"/>
    <x v="0"/>
    <x v="0"/>
    <x v="1"/>
    <x v="2"/>
    <s v="EE_Narva"/>
    <x v="11"/>
    <x v="0"/>
    <s v="NARVA-11_ST_SHALE_EXT"/>
    <x v="0"/>
    <x v="13"/>
    <n v="180.78498576850899"/>
    <n v="65986.519805505697"/>
    <n v="237551.47129982"/>
  </r>
  <r>
    <x v="0"/>
    <x v="0"/>
    <x v="0"/>
    <x v="1"/>
    <x v="2"/>
    <s v="EE_Narva"/>
    <x v="11"/>
    <x v="0"/>
    <s v="NARVA-11_ST_SHALE_EXT"/>
    <x v="0"/>
    <x v="14"/>
    <n v="181.61361165705199"/>
    <n v="66288.968254823805"/>
    <n v="238640.285717366"/>
  </r>
  <r>
    <x v="0"/>
    <x v="0"/>
    <x v="0"/>
    <x v="1"/>
    <x v="2"/>
    <s v="EE_Narva"/>
    <x v="11"/>
    <x v="0"/>
    <s v="NARVA-11_ST_SHALE_EXT"/>
    <x v="0"/>
    <x v="15"/>
    <n v="182.123689706504"/>
    <n v="66475.146742873796"/>
    <n v="239310.528274346"/>
  </r>
  <r>
    <x v="0"/>
    <x v="0"/>
    <x v="0"/>
    <x v="1"/>
    <x v="2"/>
    <s v="EE_Narva"/>
    <x v="11"/>
    <x v="0"/>
    <s v="NARVA-11_ST_SHALE_EXT"/>
    <x v="0"/>
    <x v="16"/>
    <n v="187.140253141952"/>
    <n v="68306.192396812505"/>
    <n v="245902.292628525"/>
  </r>
  <r>
    <x v="0"/>
    <x v="0"/>
    <x v="0"/>
    <x v="1"/>
    <x v="2"/>
    <s v="EE_Narva"/>
    <x v="11"/>
    <x v="0"/>
    <s v="NARVA-11_ST_SHALE_EXT"/>
    <x v="0"/>
    <x v="17"/>
    <n v="181.79665475473701"/>
    <n v="66355.778985479003"/>
    <n v="238880.80434772401"/>
  </r>
  <r>
    <x v="0"/>
    <x v="0"/>
    <x v="0"/>
    <x v="1"/>
    <x v="2"/>
    <s v="EE_Narva"/>
    <x v="11"/>
    <x v="0"/>
    <s v="NARVA-11_ST_SHALE_EXT"/>
    <x v="0"/>
    <x v="19"/>
    <n v="181.86987199381099"/>
    <n v="66382.503277741096"/>
    <n v="238977.01179986799"/>
  </r>
  <r>
    <x v="0"/>
    <x v="0"/>
    <x v="0"/>
    <x v="1"/>
    <x v="2"/>
    <s v="EE_Narva"/>
    <x v="11"/>
    <x v="0"/>
    <s v="NARVA-11_ST_SHALE_EXT"/>
    <x v="0"/>
    <x v="20"/>
    <n v="65.763337171966498"/>
    <n v="24003.618067767798"/>
    <n v="86413.025043963993"/>
  </r>
  <r>
    <x v="0"/>
    <x v="0"/>
    <x v="0"/>
    <x v="1"/>
    <x v="2"/>
    <s v="EE_Narva"/>
    <x v="11"/>
    <x v="0"/>
    <s v="NARVA-11_ST_SHALE_EXT"/>
    <x v="0"/>
    <x v="21"/>
    <n v="45.730090901861402"/>
    <n v="16691.483179179399"/>
    <n v="60089.339445045902"/>
  </r>
  <r>
    <x v="0"/>
    <x v="0"/>
    <x v="0"/>
    <x v="1"/>
    <x v="2"/>
    <s v="EE_Narva"/>
    <x v="11"/>
    <x v="0"/>
    <s v="NARVA-11_ST_SHALE_EXT"/>
    <x v="0"/>
    <x v="22"/>
    <n v="42.319564184863403"/>
    <n v="15446.6409274751"/>
    <n v="55607.907338910503"/>
  </r>
  <r>
    <x v="0"/>
    <x v="0"/>
    <x v="0"/>
    <x v="1"/>
    <x v="2"/>
    <s v="EE_Narva"/>
    <x v="11"/>
    <x v="0"/>
    <s v="NARVA-11_ST_SHALE_EXT"/>
    <x v="0"/>
    <x v="23"/>
    <n v="19.2758711112727"/>
    <n v="7035.6929556145396"/>
    <n v="25328.494640212299"/>
  </r>
  <r>
    <x v="0"/>
    <x v="0"/>
    <x v="0"/>
    <x v="1"/>
    <x v="2"/>
    <s v="EE_Narva"/>
    <x v="11"/>
    <x v="6"/>
    <s v="NARVA-4_ST_SHALE_CND"/>
    <x v="0"/>
    <x v="16"/>
    <n v="42.778752145792303"/>
    <n v="15614.2445332142"/>
    <n v="56211.280319571102"/>
  </r>
  <r>
    <x v="0"/>
    <x v="0"/>
    <x v="0"/>
    <x v="1"/>
    <x v="2"/>
    <s v="EE_Narva"/>
    <x v="11"/>
    <x v="6"/>
    <s v="NARVA-6_ST_SHALE_CND"/>
    <x v="0"/>
    <x v="15"/>
    <n v="24.7118410265353"/>
    <n v="9019.8219746853792"/>
    <n v="32471.3591088674"/>
  </r>
  <r>
    <x v="0"/>
    <x v="0"/>
    <x v="0"/>
    <x v="1"/>
    <x v="2"/>
    <s v="EE_Narva"/>
    <x v="11"/>
    <x v="6"/>
    <s v="NARVA-8_ST_SHALE_CND"/>
    <x v="0"/>
    <x v="5"/>
    <n v="194"/>
    <n v="70810"/>
    <n v="254916"/>
  </r>
  <r>
    <x v="0"/>
    <x v="0"/>
    <x v="0"/>
    <x v="1"/>
    <x v="2"/>
    <s v="EE_Narva"/>
    <x v="11"/>
    <x v="6"/>
    <s v="NARVA-8_ST_SHALE_CND"/>
    <x v="0"/>
    <x v="6"/>
    <n v="194"/>
    <n v="70810"/>
    <n v="254916"/>
  </r>
  <r>
    <x v="0"/>
    <x v="0"/>
    <x v="0"/>
    <x v="1"/>
    <x v="2"/>
    <s v="EE_Narva"/>
    <x v="11"/>
    <x v="6"/>
    <s v="NARVA-8_ST_SHALE_CND"/>
    <x v="0"/>
    <x v="7"/>
    <n v="194"/>
    <n v="70810"/>
    <n v="254916"/>
  </r>
  <r>
    <x v="0"/>
    <x v="0"/>
    <x v="0"/>
    <x v="1"/>
    <x v="2"/>
    <s v="EE_Narva"/>
    <x v="11"/>
    <x v="6"/>
    <s v="NARVA-8_ST_SHALE_CND"/>
    <x v="0"/>
    <x v="8"/>
    <n v="194"/>
    <n v="70810"/>
    <n v="254916"/>
  </r>
  <r>
    <x v="0"/>
    <x v="0"/>
    <x v="0"/>
    <x v="1"/>
    <x v="2"/>
    <s v="EE_Narva"/>
    <x v="11"/>
    <x v="6"/>
    <s v="NARVA-8_ST_SHALE_CND"/>
    <x v="0"/>
    <x v="9"/>
    <n v="194"/>
    <n v="70810"/>
    <n v="254916"/>
  </r>
  <r>
    <x v="0"/>
    <x v="0"/>
    <x v="0"/>
    <x v="1"/>
    <x v="2"/>
    <s v="EE_Narva"/>
    <x v="11"/>
    <x v="6"/>
    <s v="NARVA-8_ST_SHALE_CND"/>
    <x v="0"/>
    <x v="10"/>
    <n v="194"/>
    <n v="70810"/>
    <n v="254916"/>
  </r>
  <r>
    <x v="0"/>
    <x v="0"/>
    <x v="0"/>
    <x v="1"/>
    <x v="2"/>
    <s v="EE_Narva"/>
    <x v="11"/>
    <x v="6"/>
    <s v="NARVA-8_ST_SHALE_CND"/>
    <x v="0"/>
    <x v="11"/>
    <n v="194"/>
    <n v="70810"/>
    <n v="254916"/>
  </r>
  <r>
    <x v="0"/>
    <x v="0"/>
    <x v="0"/>
    <x v="1"/>
    <x v="2"/>
    <s v="EE_Narva"/>
    <x v="11"/>
    <x v="6"/>
    <s v="NARVA-8_ST_SHALE_CND"/>
    <x v="0"/>
    <x v="12"/>
    <n v="194"/>
    <n v="70810"/>
    <n v="254916"/>
  </r>
  <r>
    <x v="0"/>
    <x v="0"/>
    <x v="0"/>
    <x v="1"/>
    <x v="2"/>
    <s v="EE_Narva"/>
    <x v="11"/>
    <x v="6"/>
    <s v="NARVA-8_ST_SHALE_CND"/>
    <x v="0"/>
    <x v="13"/>
    <n v="194"/>
    <n v="70810"/>
    <n v="254916"/>
  </r>
  <r>
    <x v="0"/>
    <x v="0"/>
    <x v="0"/>
    <x v="1"/>
    <x v="2"/>
    <s v="EE_Narva"/>
    <x v="11"/>
    <x v="6"/>
    <s v="NARVA-8_ST_SHALE_CND"/>
    <x v="0"/>
    <x v="14"/>
    <n v="194"/>
    <n v="70810"/>
    <n v="254916"/>
  </r>
  <r>
    <x v="0"/>
    <x v="0"/>
    <x v="0"/>
    <x v="1"/>
    <x v="2"/>
    <s v="EE_Narva"/>
    <x v="11"/>
    <x v="6"/>
    <s v="NARVA-8_ST_SHALE_CND"/>
    <x v="0"/>
    <x v="15"/>
    <n v="194"/>
    <n v="70810"/>
    <n v="254916"/>
  </r>
  <r>
    <x v="0"/>
    <x v="0"/>
    <x v="0"/>
    <x v="1"/>
    <x v="2"/>
    <s v="EE_Narva"/>
    <x v="11"/>
    <x v="6"/>
    <s v="NARVA-8_ST_SHALE_CND"/>
    <x v="0"/>
    <x v="16"/>
    <n v="194"/>
    <n v="70810"/>
    <n v="254916"/>
  </r>
  <r>
    <x v="0"/>
    <x v="0"/>
    <x v="0"/>
    <x v="1"/>
    <x v="2"/>
    <s v="EE_Narva"/>
    <x v="11"/>
    <x v="6"/>
    <s v="NARVA-8_ST_SHALE_CND"/>
    <x v="0"/>
    <x v="17"/>
    <n v="194"/>
    <n v="70810"/>
    <n v="254916"/>
  </r>
  <r>
    <x v="0"/>
    <x v="0"/>
    <x v="0"/>
    <x v="1"/>
    <x v="2"/>
    <s v="EE_Narva"/>
    <x v="11"/>
    <x v="6"/>
    <s v="NARVA-8_ST_SHALE_CND"/>
    <x v="0"/>
    <x v="19"/>
    <n v="194"/>
    <n v="70810"/>
    <n v="254916"/>
  </r>
  <r>
    <x v="0"/>
    <x v="0"/>
    <x v="0"/>
    <x v="1"/>
    <x v="2"/>
    <s v="EE_Narva"/>
    <x v="11"/>
    <x v="6"/>
    <s v="NARVA-8_ST_SHALE_CND"/>
    <x v="0"/>
    <x v="20"/>
    <n v="158.46889254494599"/>
    <n v="57841.145778905498"/>
    <n v="208228.12480406"/>
  </r>
  <r>
    <x v="0"/>
    <x v="0"/>
    <x v="0"/>
    <x v="1"/>
    <x v="2"/>
    <s v="EE_Narva"/>
    <x v="11"/>
    <x v="6"/>
    <s v="NARVA-8_ST_SHALE_CND"/>
    <x v="0"/>
    <x v="21"/>
    <n v="147.77355297464999"/>
    <n v="53937.346835747099"/>
    <n v="194174.44860869"/>
  </r>
  <r>
    <x v="0"/>
    <x v="0"/>
    <x v="0"/>
    <x v="1"/>
    <x v="2"/>
    <s v="EE_Narva"/>
    <x v="11"/>
    <x v="6"/>
    <s v="NARVA-8_ST_SHALE_CND"/>
    <x v="0"/>
    <x v="22"/>
    <n v="34.022367592803697"/>
    <n v="12418.164171373401"/>
    <n v="44705.391016944101"/>
  </r>
  <r>
    <x v="0"/>
    <x v="0"/>
    <x v="0"/>
    <x v="1"/>
    <x v="2"/>
    <s v="EE_Parnu"/>
    <x v="12"/>
    <x v="2"/>
    <s v="PARNU-1_ST_WOOD_BP"/>
    <x v="0"/>
    <x v="0"/>
    <n v="12.0392866270947"/>
    <n v="4394.3396188895704"/>
    <n v="15819.6226280024"/>
  </r>
  <r>
    <x v="0"/>
    <x v="0"/>
    <x v="0"/>
    <x v="1"/>
    <x v="2"/>
    <s v="EE_Parnu"/>
    <x v="12"/>
    <x v="2"/>
    <s v="PARNU-1_ST_WOOD_BP"/>
    <x v="0"/>
    <x v="1"/>
    <n v="12.115726542187399"/>
    <n v="4422.2401878983901"/>
    <n v="15920.0646764342"/>
  </r>
  <r>
    <x v="0"/>
    <x v="0"/>
    <x v="0"/>
    <x v="1"/>
    <x v="2"/>
    <s v="EE_Parnu"/>
    <x v="12"/>
    <x v="2"/>
    <s v="PARNU-1_ST_WOOD_BP"/>
    <x v="0"/>
    <x v="18"/>
    <n v="12.1396140156538"/>
    <n v="4430.9591157136401"/>
    <n v="15951.452816569101"/>
  </r>
  <r>
    <x v="0"/>
    <x v="0"/>
    <x v="0"/>
    <x v="1"/>
    <x v="2"/>
    <s v="EE_Parnu"/>
    <x v="12"/>
    <x v="2"/>
    <s v="PARNU-1_ST_WOOD_BP"/>
    <x v="0"/>
    <x v="2"/>
    <n v="12.067951595254501"/>
    <n v="4404.80233226788"/>
    <n v="15857.2883961644"/>
  </r>
  <r>
    <x v="0"/>
    <x v="0"/>
    <x v="0"/>
    <x v="1"/>
    <x v="2"/>
    <s v="EE_Parnu"/>
    <x v="12"/>
    <x v="2"/>
    <s v="PARNU-1_ST_WOOD_BP"/>
    <x v="0"/>
    <x v="3"/>
    <n v="11.9102942703758"/>
    <n v="4347.25740868718"/>
    <n v="15650.1266712738"/>
  </r>
  <r>
    <x v="0"/>
    <x v="0"/>
    <x v="0"/>
    <x v="1"/>
    <x v="2"/>
    <s v="EE_Parnu"/>
    <x v="12"/>
    <x v="2"/>
    <s v="PARNU-1_ST_WOOD_BP"/>
    <x v="0"/>
    <x v="4"/>
    <n v="11.680974525097801"/>
    <n v="4263.5557016607099"/>
    <n v="15348.8005259785"/>
  </r>
  <r>
    <x v="0"/>
    <x v="0"/>
    <x v="0"/>
    <x v="1"/>
    <x v="2"/>
    <s v="EE_Parnu"/>
    <x v="12"/>
    <x v="2"/>
    <s v="PARNU-1_ST_WOOD_BP"/>
    <x v="0"/>
    <x v="5"/>
    <n v="11.389547348807"/>
    <n v="4157.1847823145699"/>
    <n v="14965.8652163325"/>
  </r>
  <r>
    <x v="0"/>
    <x v="0"/>
    <x v="0"/>
    <x v="1"/>
    <x v="2"/>
    <s v="EE_Parnu"/>
    <x v="12"/>
    <x v="2"/>
    <s v="PARNU-1_ST_WOOD_BP"/>
    <x v="0"/>
    <x v="6"/>
    <n v="11.0312352468102"/>
    <n v="4026.4008650857199"/>
    <n v="14495.043114308601"/>
  </r>
  <r>
    <x v="0"/>
    <x v="0"/>
    <x v="0"/>
    <x v="1"/>
    <x v="2"/>
    <s v="EE_Parnu"/>
    <x v="12"/>
    <x v="2"/>
    <s v="PARNU-1_ST_WOOD_BP"/>
    <x v="0"/>
    <x v="7"/>
    <n v="10.7206980917462"/>
    <n v="3913.05480348737"/>
    <n v="14086.997292554501"/>
  </r>
  <r>
    <x v="0"/>
    <x v="0"/>
    <x v="0"/>
    <x v="1"/>
    <x v="2"/>
    <s v="EE_Parnu"/>
    <x v="12"/>
    <x v="2"/>
    <s v="PARNU-1_ST_WOOD_BP"/>
    <x v="0"/>
    <x v="8"/>
    <n v="10.438825904842"/>
    <n v="3810.1714552673502"/>
    <n v="13716.617238962401"/>
  </r>
  <r>
    <x v="0"/>
    <x v="0"/>
    <x v="0"/>
    <x v="1"/>
    <x v="2"/>
    <s v="EE_Parnu"/>
    <x v="12"/>
    <x v="2"/>
    <s v="PARNU-1_ST_WOOD_BP"/>
    <x v="0"/>
    <x v="9"/>
    <n v="10.1856186860976"/>
    <n v="3717.7508204256201"/>
    <n v="13383.902953532201"/>
  </r>
  <r>
    <x v="0"/>
    <x v="0"/>
    <x v="0"/>
    <x v="1"/>
    <x v="2"/>
    <s v="EE_Parnu"/>
    <x v="12"/>
    <x v="2"/>
    <s v="PARNU-1_ST_WOOD_BP"/>
    <x v="0"/>
    <x v="10"/>
    <n v="9.9754089195927609"/>
    <n v="3641.0242556513599"/>
    <n v="13107.687320344899"/>
  </r>
  <r>
    <x v="0"/>
    <x v="0"/>
    <x v="0"/>
    <x v="1"/>
    <x v="2"/>
    <s v="EE_Parnu"/>
    <x v="12"/>
    <x v="2"/>
    <s v="PARNU-1_ST_WOOD_BP"/>
    <x v="0"/>
    <x v="11"/>
    <n v="9.7938641212476707"/>
    <n v="3574.7604042553999"/>
    <n v="12869.1374553194"/>
  </r>
  <r>
    <x v="0"/>
    <x v="0"/>
    <x v="0"/>
    <x v="1"/>
    <x v="2"/>
    <s v="EE_Parnu"/>
    <x v="12"/>
    <x v="2"/>
    <s v="PARNU-1_ST_WOOD_BP"/>
    <x v="0"/>
    <x v="12"/>
    <n v="9.6457617857556404"/>
    <n v="3520.70305180081"/>
    <n v="12674.5309864829"/>
  </r>
  <r>
    <x v="0"/>
    <x v="0"/>
    <x v="0"/>
    <x v="1"/>
    <x v="2"/>
    <s v="EE_Parnu"/>
    <x v="12"/>
    <x v="2"/>
    <s v="PARNU-1_ST_WOOD_BP"/>
    <x v="0"/>
    <x v="13"/>
    <n v="9.5549893865830899"/>
    <n v="3487.57112610283"/>
    <n v="12555.256053970201"/>
  </r>
  <r>
    <x v="0"/>
    <x v="0"/>
    <x v="0"/>
    <x v="1"/>
    <x v="2"/>
    <s v="EE_Parnu"/>
    <x v="12"/>
    <x v="2"/>
    <s v="PARNU-1_ST_WOOD_BP"/>
    <x v="0"/>
    <x v="14"/>
    <n v="9.4881044608770093"/>
    <n v="3463.15812822011"/>
    <n v="12467.369261592399"/>
  </r>
  <r>
    <x v="0"/>
    <x v="0"/>
    <x v="0"/>
    <x v="1"/>
    <x v="2"/>
    <s v="EE_Parnu"/>
    <x v="12"/>
    <x v="2"/>
    <s v="PARNU-1_ST_WOOD_BP"/>
    <x v="0"/>
    <x v="15"/>
    <n v="9.4307745245575294"/>
    <n v="3442.2327014634998"/>
    <n v="12392.037725268599"/>
  </r>
  <r>
    <x v="0"/>
    <x v="0"/>
    <x v="0"/>
    <x v="1"/>
    <x v="2"/>
    <s v="EE_Parnu"/>
    <x v="12"/>
    <x v="2"/>
    <s v="PARNU-1_ST_WOOD_BP"/>
    <x v="0"/>
    <x v="16"/>
    <n v="9.3782220829313001"/>
    <n v="3423.0510602699301"/>
    <n v="12322.9838169717"/>
  </r>
  <r>
    <x v="0"/>
    <x v="0"/>
    <x v="0"/>
    <x v="1"/>
    <x v="2"/>
    <s v="EE_Parnu"/>
    <x v="12"/>
    <x v="2"/>
    <s v="PARNU-1_ST_WOOD_BP"/>
    <x v="0"/>
    <x v="17"/>
    <n v="9.3208921466118202"/>
    <n v="3402.1256335133098"/>
    <n v="12247.652280647901"/>
  </r>
  <r>
    <x v="0"/>
    <x v="0"/>
    <x v="0"/>
    <x v="1"/>
    <x v="2"/>
    <s v="EE_Parnu"/>
    <x v="12"/>
    <x v="2"/>
    <s v="PARNU-1_ST_WOOD_BP"/>
    <x v="0"/>
    <x v="19"/>
    <n v="9.2540072209057502"/>
    <n v="3377.7126356305998"/>
    <n v="12159.765488270201"/>
  </r>
  <r>
    <x v="0"/>
    <x v="0"/>
    <x v="0"/>
    <x v="1"/>
    <x v="2"/>
    <s v="EE_Parnu"/>
    <x v="12"/>
    <x v="2"/>
    <s v="PARNU-1_ST_WOOD_BP"/>
    <x v="0"/>
    <x v="20"/>
    <n v="9.1966772845862401"/>
    <n v="3356.78720887398"/>
    <n v="12084.433951946299"/>
  </r>
  <r>
    <x v="0"/>
    <x v="0"/>
    <x v="0"/>
    <x v="1"/>
    <x v="2"/>
    <s v="EE_Parnu"/>
    <x v="12"/>
    <x v="2"/>
    <s v="PARNU-1_ST_WOOD_BP"/>
    <x v="0"/>
    <x v="21"/>
    <n v="9.1393473482667194"/>
    <n v="3335.8617821173498"/>
    <n v="12009.102415622499"/>
  </r>
  <r>
    <x v="0"/>
    <x v="0"/>
    <x v="0"/>
    <x v="1"/>
    <x v="2"/>
    <s v="EE_Parnu"/>
    <x v="12"/>
    <x v="2"/>
    <s v="PARNU-1_ST_WOOD_BP"/>
    <x v="0"/>
    <x v="22"/>
    <n v="9.0963498960271192"/>
    <n v="3320.1677120498998"/>
    <n v="11952.6037633796"/>
  </r>
  <r>
    <x v="0"/>
    <x v="0"/>
    <x v="0"/>
    <x v="1"/>
    <x v="2"/>
    <s v="EE_Parnu"/>
    <x v="12"/>
    <x v="2"/>
    <s v="PARNU-1_ST_WOOD_BP"/>
    <x v="0"/>
    <x v="23"/>
    <n v="9.0820174119472394"/>
    <n v="3314.93635536074"/>
    <n v="11933.7708792987"/>
  </r>
  <r>
    <x v="0"/>
    <x v="0"/>
    <x v="0"/>
    <x v="1"/>
    <x v="2"/>
    <s v="EE_Rural"/>
    <x v="6"/>
    <x v="4"/>
    <s v="GNR_ROR_WTR"/>
    <x v="0"/>
    <x v="0"/>
    <n v="3.4246575342465699"/>
    <n v="1250"/>
    <n v="4500"/>
  </r>
  <r>
    <x v="0"/>
    <x v="0"/>
    <x v="0"/>
    <x v="1"/>
    <x v="2"/>
    <s v="EE_Rural"/>
    <x v="6"/>
    <x v="4"/>
    <s v="GNR_ROR_WTR"/>
    <x v="0"/>
    <x v="1"/>
    <n v="3.4246575342465699"/>
    <n v="1250"/>
    <n v="4500"/>
  </r>
  <r>
    <x v="0"/>
    <x v="0"/>
    <x v="0"/>
    <x v="1"/>
    <x v="2"/>
    <s v="EE_Rural"/>
    <x v="6"/>
    <x v="4"/>
    <s v="GNR_ROR_WTR"/>
    <x v="0"/>
    <x v="18"/>
    <n v="3.4246575342465699"/>
    <n v="1250"/>
    <n v="4500"/>
  </r>
  <r>
    <x v="0"/>
    <x v="0"/>
    <x v="0"/>
    <x v="1"/>
    <x v="2"/>
    <s v="EE_Rural"/>
    <x v="6"/>
    <x v="4"/>
    <s v="GNR_ROR_WTR"/>
    <x v="0"/>
    <x v="2"/>
    <n v="3.4246575342465699"/>
    <n v="1250"/>
    <n v="4500"/>
  </r>
  <r>
    <x v="0"/>
    <x v="0"/>
    <x v="0"/>
    <x v="1"/>
    <x v="2"/>
    <s v="EE_Rural"/>
    <x v="6"/>
    <x v="4"/>
    <s v="GNR_ROR_WTR"/>
    <x v="0"/>
    <x v="3"/>
    <n v="3.4246575342465699"/>
    <n v="1250"/>
    <n v="4500"/>
  </r>
  <r>
    <x v="0"/>
    <x v="0"/>
    <x v="0"/>
    <x v="1"/>
    <x v="2"/>
    <s v="EE_Rural"/>
    <x v="6"/>
    <x v="4"/>
    <s v="GNR_ROR_WTR"/>
    <x v="0"/>
    <x v="4"/>
    <n v="3.4246575342465699"/>
    <n v="1250"/>
    <n v="4500"/>
  </r>
  <r>
    <x v="0"/>
    <x v="0"/>
    <x v="0"/>
    <x v="1"/>
    <x v="2"/>
    <s v="EE_Rural"/>
    <x v="6"/>
    <x v="4"/>
    <s v="GNR_ROR_WTR"/>
    <x v="0"/>
    <x v="5"/>
    <n v="3.4246575342465699"/>
    <n v="1250"/>
    <n v="4500"/>
  </r>
  <r>
    <x v="0"/>
    <x v="0"/>
    <x v="0"/>
    <x v="1"/>
    <x v="2"/>
    <s v="EE_Rural"/>
    <x v="6"/>
    <x v="4"/>
    <s v="GNR_ROR_WTR"/>
    <x v="0"/>
    <x v="6"/>
    <n v="3.4246575342465699"/>
    <n v="1250"/>
    <n v="4500"/>
  </r>
  <r>
    <x v="0"/>
    <x v="0"/>
    <x v="0"/>
    <x v="1"/>
    <x v="2"/>
    <s v="EE_Rural"/>
    <x v="6"/>
    <x v="4"/>
    <s v="GNR_ROR_WTR"/>
    <x v="0"/>
    <x v="7"/>
    <n v="3.4246575342465699"/>
    <n v="1250"/>
    <n v="4500"/>
  </r>
  <r>
    <x v="0"/>
    <x v="0"/>
    <x v="0"/>
    <x v="1"/>
    <x v="2"/>
    <s v="EE_Rural"/>
    <x v="6"/>
    <x v="4"/>
    <s v="GNR_ROR_WTR"/>
    <x v="0"/>
    <x v="8"/>
    <n v="3.4246575342465699"/>
    <n v="1250"/>
    <n v="4500"/>
  </r>
  <r>
    <x v="0"/>
    <x v="0"/>
    <x v="0"/>
    <x v="1"/>
    <x v="2"/>
    <s v="EE_Rural"/>
    <x v="6"/>
    <x v="4"/>
    <s v="GNR_ROR_WTR"/>
    <x v="0"/>
    <x v="9"/>
    <n v="3.4246575342465699"/>
    <n v="1250"/>
    <n v="4500"/>
  </r>
  <r>
    <x v="0"/>
    <x v="0"/>
    <x v="0"/>
    <x v="1"/>
    <x v="2"/>
    <s v="EE_Rural"/>
    <x v="6"/>
    <x v="4"/>
    <s v="GNR_ROR_WTR"/>
    <x v="0"/>
    <x v="10"/>
    <n v="3.4246575342465699"/>
    <n v="1250"/>
    <n v="4500"/>
  </r>
  <r>
    <x v="0"/>
    <x v="0"/>
    <x v="0"/>
    <x v="1"/>
    <x v="2"/>
    <s v="EE_Rural"/>
    <x v="6"/>
    <x v="4"/>
    <s v="GNR_ROR_WTR"/>
    <x v="0"/>
    <x v="11"/>
    <n v="3.4246575342465699"/>
    <n v="1250"/>
    <n v="4500"/>
  </r>
  <r>
    <x v="0"/>
    <x v="0"/>
    <x v="0"/>
    <x v="1"/>
    <x v="2"/>
    <s v="EE_Rural"/>
    <x v="6"/>
    <x v="4"/>
    <s v="GNR_ROR_WTR"/>
    <x v="0"/>
    <x v="12"/>
    <n v="3.4246575342465699"/>
    <n v="1250"/>
    <n v="4500"/>
  </r>
  <r>
    <x v="0"/>
    <x v="0"/>
    <x v="0"/>
    <x v="1"/>
    <x v="2"/>
    <s v="EE_Rural"/>
    <x v="6"/>
    <x v="4"/>
    <s v="GNR_ROR_WTR"/>
    <x v="0"/>
    <x v="13"/>
    <n v="3.4246575342465699"/>
    <n v="1250"/>
    <n v="4500"/>
  </r>
  <r>
    <x v="0"/>
    <x v="0"/>
    <x v="0"/>
    <x v="1"/>
    <x v="2"/>
    <s v="EE_Rural"/>
    <x v="6"/>
    <x v="4"/>
    <s v="GNR_ROR_WTR"/>
    <x v="0"/>
    <x v="14"/>
    <n v="3.4246575342465699"/>
    <n v="1250"/>
    <n v="4500"/>
  </r>
  <r>
    <x v="0"/>
    <x v="0"/>
    <x v="0"/>
    <x v="1"/>
    <x v="2"/>
    <s v="EE_Rural"/>
    <x v="6"/>
    <x v="4"/>
    <s v="GNR_ROR_WTR"/>
    <x v="0"/>
    <x v="15"/>
    <n v="3.4246575342465699"/>
    <n v="1250"/>
    <n v="4500"/>
  </r>
  <r>
    <x v="0"/>
    <x v="0"/>
    <x v="0"/>
    <x v="1"/>
    <x v="2"/>
    <s v="EE_Rural"/>
    <x v="6"/>
    <x v="4"/>
    <s v="GNR_ROR_WTR"/>
    <x v="0"/>
    <x v="16"/>
    <n v="3.4246575342465699"/>
    <n v="1250"/>
    <n v="4500"/>
  </r>
  <r>
    <x v="0"/>
    <x v="0"/>
    <x v="0"/>
    <x v="1"/>
    <x v="2"/>
    <s v="EE_Rural"/>
    <x v="6"/>
    <x v="4"/>
    <s v="GNR_ROR_WTR"/>
    <x v="0"/>
    <x v="17"/>
    <n v="3.4246575342465699"/>
    <n v="1250"/>
    <n v="4500"/>
  </r>
  <r>
    <x v="0"/>
    <x v="0"/>
    <x v="0"/>
    <x v="1"/>
    <x v="2"/>
    <s v="EE_Rural"/>
    <x v="6"/>
    <x v="4"/>
    <s v="GNR_ROR_WTR"/>
    <x v="0"/>
    <x v="19"/>
    <n v="3.4246575342465699"/>
    <n v="1250"/>
    <n v="4500"/>
  </r>
  <r>
    <x v="0"/>
    <x v="0"/>
    <x v="0"/>
    <x v="1"/>
    <x v="2"/>
    <s v="EE_Rural"/>
    <x v="6"/>
    <x v="4"/>
    <s v="GNR_ROR_WTR"/>
    <x v="0"/>
    <x v="20"/>
    <n v="3.4246575342465699"/>
    <n v="1250"/>
    <n v="4500"/>
  </r>
  <r>
    <x v="0"/>
    <x v="0"/>
    <x v="0"/>
    <x v="1"/>
    <x v="2"/>
    <s v="EE_Rural"/>
    <x v="6"/>
    <x v="4"/>
    <s v="GNR_ROR_WTR"/>
    <x v="0"/>
    <x v="21"/>
    <n v="3.4246575342465699"/>
    <n v="1250"/>
    <n v="4500"/>
  </r>
  <r>
    <x v="0"/>
    <x v="0"/>
    <x v="0"/>
    <x v="1"/>
    <x v="2"/>
    <s v="EE_Rural"/>
    <x v="6"/>
    <x v="4"/>
    <s v="GNR_ROR_WTR"/>
    <x v="0"/>
    <x v="22"/>
    <n v="3.4246575342465699"/>
    <n v="1250"/>
    <n v="4500"/>
  </r>
  <r>
    <x v="0"/>
    <x v="0"/>
    <x v="0"/>
    <x v="1"/>
    <x v="2"/>
    <s v="EE_Rural"/>
    <x v="6"/>
    <x v="4"/>
    <s v="GNR_ROR_WTR"/>
    <x v="0"/>
    <x v="23"/>
    <n v="3.4246575342465699"/>
    <n v="1250"/>
    <n v="4500"/>
  </r>
  <r>
    <x v="0"/>
    <x v="0"/>
    <x v="0"/>
    <x v="1"/>
    <x v="2"/>
    <s v="EE_Rural"/>
    <x v="7"/>
    <x v="5"/>
    <s v="GNR_WT_WIND_ONS"/>
    <x v="0"/>
    <x v="0"/>
    <n v="23.661485566316099"/>
    <n v="8636.4422317053904"/>
    <n v="31091.1920341394"/>
  </r>
  <r>
    <x v="0"/>
    <x v="0"/>
    <x v="0"/>
    <x v="1"/>
    <x v="2"/>
    <s v="EE_Rural"/>
    <x v="7"/>
    <x v="5"/>
    <s v="GNR_WT_WIND_ONS"/>
    <x v="0"/>
    <x v="1"/>
    <n v="28.393782679579399"/>
    <n v="10363.730678046501"/>
    <n v="37309.430440967299"/>
  </r>
  <r>
    <x v="0"/>
    <x v="0"/>
    <x v="0"/>
    <x v="1"/>
    <x v="2"/>
    <s v="EE_Rural"/>
    <x v="7"/>
    <x v="5"/>
    <s v="GNR_WT_WIND_ONS"/>
    <x v="0"/>
    <x v="18"/>
    <n v="27.717740234827499"/>
    <n v="10116.975185712001"/>
    <n v="36421.110668563299"/>
  </r>
  <r>
    <x v="0"/>
    <x v="0"/>
    <x v="0"/>
    <x v="1"/>
    <x v="2"/>
    <s v="EE_Rural"/>
    <x v="7"/>
    <x v="5"/>
    <s v="GNR_WT_WIND_ONS"/>
    <x v="0"/>
    <x v="2"/>
    <n v="26.027634122947699"/>
    <n v="9500.0864548759291"/>
    <n v="34200.311237553302"/>
  </r>
  <r>
    <x v="0"/>
    <x v="0"/>
    <x v="0"/>
    <x v="1"/>
    <x v="2"/>
    <s v="EE_Rural"/>
    <x v="7"/>
    <x v="5"/>
    <s v="GNR_WT_WIND_ONS"/>
    <x v="0"/>
    <x v="3"/>
    <n v="19.267209675428902"/>
    <n v="7032.5315315315302"/>
    <n v="25317.113513513501"/>
  </r>
  <r>
    <x v="0"/>
    <x v="0"/>
    <x v="0"/>
    <x v="1"/>
    <x v="2"/>
    <s v="EE_Rural"/>
    <x v="7"/>
    <x v="5"/>
    <s v="GNR_WT_WIND_ONS"/>
    <x v="0"/>
    <x v="4"/>
    <n v="11.154700338406199"/>
    <n v="4071.4656235182501"/>
    <n v="14657.2762446657"/>
  </r>
  <r>
    <x v="0"/>
    <x v="0"/>
    <x v="0"/>
    <x v="1"/>
    <x v="2"/>
    <s v="EE_Rural"/>
    <x v="7"/>
    <x v="5"/>
    <s v="GNR_WT_WIND_ONS"/>
    <x v="0"/>
    <x v="5"/>
    <n v="2.3661485566316101"/>
    <n v="863.64422317053902"/>
    <n v="3109.1192034139399"/>
  </r>
  <r>
    <x v="0"/>
    <x v="0"/>
    <x v="0"/>
    <x v="1"/>
    <x v="2"/>
    <s v="EE_Rural"/>
    <x v="7"/>
    <x v="5"/>
    <s v="GNR_WT_WIND_ONS"/>
    <x v="0"/>
    <x v="6"/>
    <n v="1.69010611187972"/>
    <n v="616.88873083609894"/>
    <n v="2220.7994310099598"/>
  </r>
  <r>
    <x v="0"/>
    <x v="0"/>
    <x v="0"/>
    <x v="1"/>
    <x v="2"/>
    <s v="EE_Rural"/>
    <x v="7"/>
    <x v="5"/>
    <s v="GNR_WT_WIND_ONS"/>
    <x v="0"/>
    <x v="7"/>
    <n v="2.3661485566316101"/>
    <n v="863.64422317053902"/>
    <n v="3109.1192034139399"/>
  </r>
  <r>
    <x v="0"/>
    <x v="0"/>
    <x v="0"/>
    <x v="1"/>
    <x v="2"/>
    <s v="EE_Rural"/>
    <x v="7"/>
    <x v="5"/>
    <s v="GNR_WT_WIND_ONS"/>
    <x v="0"/>
    <x v="8"/>
    <n v="11.154700338406199"/>
    <n v="4071.4656235182501"/>
    <n v="14657.2762446657"/>
  </r>
  <r>
    <x v="0"/>
    <x v="0"/>
    <x v="0"/>
    <x v="1"/>
    <x v="2"/>
    <s v="EE_Rural"/>
    <x v="7"/>
    <x v="5"/>
    <s v="GNR_WT_WIND_ONS"/>
    <x v="0"/>
    <x v="9"/>
    <n v="26.027634122947699"/>
    <n v="9500.0864548759291"/>
    <n v="34200.311237553302"/>
  </r>
  <r>
    <x v="0"/>
    <x v="0"/>
    <x v="0"/>
    <x v="1"/>
    <x v="2"/>
    <s v="EE_Rural"/>
    <x v="7"/>
    <x v="5"/>
    <s v="GNR_WT_WIND_ONS"/>
    <x v="0"/>
    <x v="10"/>
    <n v="40.224525462737397"/>
    <n v="14681.951793899199"/>
    <n v="52855.026458036999"/>
  </r>
  <r>
    <x v="0"/>
    <x v="0"/>
    <x v="0"/>
    <x v="1"/>
    <x v="2"/>
    <s v="EE_Rural"/>
    <x v="7"/>
    <x v="5"/>
    <s v="GNR_WT_WIND_ONS"/>
    <x v="0"/>
    <x v="11"/>
    <n v="46.646928687880397"/>
    <n v="17026.128971076301"/>
    <n v="61294.064295874799"/>
  </r>
  <r>
    <x v="0"/>
    <x v="0"/>
    <x v="0"/>
    <x v="1"/>
    <x v="2"/>
    <s v="EE_Rural"/>
    <x v="7"/>
    <x v="5"/>
    <s v="GNR_WT_WIND_ONS"/>
    <x v="0"/>
    <x v="12"/>
    <n v="53.407353135399298"/>
    <n v="19493.683894420701"/>
    <n v="70177.262019914706"/>
  </r>
  <r>
    <x v="0"/>
    <x v="0"/>
    <x v="0"/>
    <x v="1"/>
    <x v="2"/>
    <s v="EE_Rural"/>
    <x v="7"/>
    <x v="5"/>
    <s v="GNR_WT_WIND_ONS"/>
    <x v="0"/>
    <x v="13"/>
    <n v="53.407353135399298"/>
    <n v="19493.683894420701"/>
    <n v="70177.262019914706"/>
  </r>
  <r>
    <x v="0"/>
    <x v="0"/>
    <x v="0"/>
    <x v="1"/>
    <x v="2"/>
    <s v="EE_Rural"/>
    <x v="7"/>
    <x v="5"/>
    <s v="GNR_WT_WIND_ONS"/>
    <x v="0"/>
    <x v="14"/>
    <n v="84.505305593986193"/>
    <n v="30844.436541805"/>
    <n v="111039.971550498"/>
  </r>
  <r>
    <x v="0"/>
    <x v="0"/>
    <x v="0"/>
    <x v="1"/>
    <x v="2"/>
    <s v="EE_Rural"/>
    <x v="7"/>
    <x v="5"/>
    <s v="GNR_WT_WIND_ONS"/>
    <x v="0"/>
    <x v="15"/>
    <n v="109.18085482743"/>
    <n v="39851.012012011997"/>
    <n v="143463.64324324299"/>
  </r>
  <r>
    <x v="0"/>
    <x v="0"/>
    <x v="0"/>
    <x v="1"/>
    <x v="2"/>
    <s v="EE_Rural"/>
    <x v="7"/>
    <x v="5"/>
    <s v="GNR_WT_WIND_ONS"/>
    <x v="0"/>
    <x v="16"/>
    <n v="107.828769937926"/>
    <n v="39357.501027343103"/>
    <n v="141687.003698435"/>
  </r>
  <r>
    <x v="0"/>
    <x v="0"/>
    <x v="0"/>
    <x v="1"/>
    <x v="2"/>
    <s v="EE_Rural"/>
    <x v="7"/>
    <x v="5"/>
    <s v="GNR_WT_WIND_ONS"/>
    <x v="0"/>
    <x v="17"/>
    <n v="147.37725295591201"/>
    <n v="53792.697328907903"/>
    <n v="193653.71038406799"/>
  </r>
  <r>
    <x v="0"/>
    <x v="0"/>
    <x v="0"/>
    <x v="1"/>
    <x v="2"/>
    <s v="EE_Rural"/>
    <x v="7"/>
    <x v="5"/>
    <s v="GNR_WT_WIND_ONS"/>
    <x v="0"/>
    <x v="19"/>
    <n v="219.37577332198799"/>
    <n v="80072.157262525696"/>
    <n v="288259.76614509203"/>
  </r>
  <r>
    <x v="0"/>
    <x v="0"/>
    <x v="0"/>
    <x v="1"/>
    <x v="2"/>
    <s v="EE_Rural"/>
    <x v="7"/>
    <x v="5"/>
    <s v="GNR_WT_WIND_ONS"/>
    <x v="0"/>
    <x v="20"/>
    <n v="254.19195922671"/>
    <n v="92780.065117749298"/>
    <n v="334008.23442389799"/>
  </r>
  <r>
    <x v="0"/>
    <x v="0"/>
    <x v="0"/>
    <x v="1"/>
    <x v="2"/>
    <s v="EE_Rural"/>
    <x v="7"/>
    <x v="5"/>
    <s v="GNR_WT_WIND_ONS"/>
    <x v="0"/>
    <x v="21"/>
    <n v="274.13521134689103"/>
    <n v="100059.352141615"/>
    <n v="360213.66770981502"/>
  </r>
  <r>
    <x v="0"/>
    <x v="0"/>
    <x v="0"/>
    <x v="1"/>
    <x v="2"/>
    <s v="EE_Rural"/>
    <x v="7"/>
    <x v="5"/>
    <s v="GNR_WT_WIND_ONS"/>
    <x v="0"/>
    <x v="22"/>
    <n v="278.52948723777899"/>
    <n v="101663.26284178899"/>
    <n v="365987.74623044097"/>
  </r>
  <r>
    <x v="0"/>
    <x v="0"/>
    <x v="0"/>
    <x v="1"/>
    <x v="2"/>
    <s v="EE_Rural"/>
    <x v="7"/>
    <x v="5"/>
    <s v="GNR_WT_WIND_ONS"/>
    <x v="0"/>
    <x v="23"/>
    <n v="290.022208798561"/>
    <n v="105858.10621147499"/>
    <n v="381089.18236130901"/>
  </r>
  <r>
    <x v="0"/>
    <x v="0"/>
    <x v="0"/>
    <x v="1"/>
    <x v="2"/>
    <s v="EE_Rural"/>
    <x v="10"/>
    <x v="2"/>
    <s v="EBAVERE_ST_WOODWST_BP"/>
    <x v="0"/>
    <x v="0"/>
    <n v="10"/>
    <n v="3650"/>
    <n v="13140"/>
  </r>
  <r>
    <x v="0"/>
    <x v="0"/>
    <x v="0"/>
    <x v="1"/>
    <x v="2"/>
    <s v="EE_Rural"/>
    <x v="10"/>
    <x v="2"/>
    <s v="EBAVERE_ST_WOODWST_BP"/>
    <x v="0"/>
    <x v="1"/>
    <n v="10"/>
    <n v="3650"/>
    <n v="13140"/>
  </r>
  <r>
    <x v="0"/>
    <x v="0"/>
    <x v="0"/>
    <x v="1"/>
    <x v="2"/>
    <s v="EE_Rural"/>
    <x v="10"/>
    <x v="2"/>
    <s v="EBAVERE_ST_WOODWST_BP"/>
    <x v="0"/>
    <x v="18"/>
    <n v="10"/>
    <n v="3650"/>
    <n v="13140"/>
  </r>
  <r>
    <x v="0"/>
    <x v="0"/>
    <x v="0"/>
    <x v="1"/>
    <x v="2"/>
    <s v="EE_Rural"/>
    <x v="10"/>
    <x v="2"/>
    <s v="EBAVERE_ST_WOODWST_BP"/>
    <x v="0"/>
    <x v="2"/>
    <n v="10"/>
    <n v="3650"/>
    <n v="13140"/>
  </r>
  <r>
    <x v="0"/>
    <x v="0"/>
    <x v="0"/>
    <x v="1"/>
    <x v="2"/>
    <s v="EE_Rural"/>
    <x v="10"/>
    <x v="2"/>
    <s v="EBAVERE_ST_WOODWST_BP"/>
    <x v="0"/>
    <x v="3"/>
    <n v="10"/>
    <n v="3650"/>
    <n v="13140"/>
  </r>
  <r>
    <x v="0"/>
    <x v="0"/>
    <x v="0"/>
    <x v="1"/>
    <x v="2"/>
    <s v="EE_Rural"/>
    <x v="10"/>
    <x v="2"/>
    <s v="EBAVERE_ST_WOODWST_BP"/>
    <x v="0"/>
    <x v="4"/>
    <n v="10"/>
    <n v="3650"/>
    <n v="13140"/>
  </r>
  <r>
    <x v="0"/>
    <x v="0"/>
    <x v="0"/>
    <x v="1"/>
    <x v="2"/>
    <s v="EE_Rural"/>
    <x v="10"/>
    <x v="2"/>
    <s v="EBAVERE_ST_WOODWST_BP"/>
    <x v="0"/>
    <x v="5"/>
    <n v="10"/>
    <n v="3650"/>
    <n v="13140"/>
  </r>
  <r>
    <x v="0"/>
    <x v="0"/>
    <x v="0"/>
    <x v="1"/>
    <x v="2"/>
    <s v="EE_Rural"/>
    <x v="10"/>
    <x v="2"/>
    <s v="EBAVERE_ST_WOODWST_BP"/>
    <x v="0"/>
    <x v="6"/>
    <n v="10"/>
    <n v="3650"/>
    <n v="13140"/>
  </r>
  <r>
    <x v="0"/>
    <x v="0"/>
    <x v="0"/>
    <x v="1"/>
    <x v="2"/>
    <s v="EE_Rural"/>
    <x v="10"/>
    <x v="2"/>
    <s v="EBAVERE_ST_WOODWST_BP"/>
    <x v="0"/>
    <x v="7"/>
    <n v="10"/>
    <n v="3650"/>
    <n v="13140"/>
  </r>
  <r>
    <x v="0"/>
    <x v="0"/>
    <x v="0"/>
    <x v="1"/>
    <x v="2"/>
    <s v="EE_Rural"/>
    <x v="10"/>
    <x v="2"/>
    <s v="EBAVERE_ST_WOODWST_BP"/>
    <x v="0"/>
    <x v="8"/>
    <n v="10"/>
    <n v="3650"/>
    <n v="13140"/>
  </r>
  <r>
    <x v="0"/>
    <x v="0"/>
    <x v="0"/>
    <x v="1"/>
    <x v="2"/>
    <s v="EE_Rural"/>
    <x v="10"/>
    <x v="2"/>
    <s v="EBAVERE_ST_WOODWST_BP"/>
    <x v="0"/>
    <x v="9"/>
    <n v="10"/>
    <n v="3650"/>
    <n v="13140"/>
  </r>
  <r>
    <x v="0"/>
    <x v="0"/>
    <x v="0"/>
    <x v="1"/>
    <x v="2"/>
    <s v="EE_Rural"/>
    <x v="10"/>
    <x v="2"/>
    <s v="EBAVERE_ST_WOODWST_BP"/>
    <x v="0"/>
    <x v="10"/>
    <n v="10"/>
    <n v="3650"/>
    <n v="13140"/>
  </r>
  <r>
    <x v="0"/>
    <x v="0"/>
    <x v="0"/>
    <x v="1"/>
    <x v="2"/>
    <s v="EE_Rural"/>
    <x v="10"/>
    <x v="2"/>
    <s v="EBAVERE_ST_WOODWST_BP"/>
    <x v="0"/>
    <x v="11"/>
    <n v="10"/>
    <n v="3650"/>
    <n v="13140"/>
  </r>
  <r>
    <x v="0"/>
    <x v="0"/>
    <x v="0"/>
    <x v="1"/>
    <x v="2"/>
    <s v="EE_Rural"/>
    <x v="10"/>
    <x v="2"/>
    <s v="EBAVERE_ST_WOODWST_BP"/>
    <x v="0"/>
    <x v="12"/>
    <n v="10"/>
    <n v="3650"/>
    <n v="13140"/>
  </r>
  <r>
    <x v="0"/>
    <x v="0"/>
    <x v="0"/>
    <x v="1"/>
    <x v="2"/>
    <s v="EE_Rural"/>
    <x v="10"/>
    <x v="2"/>
    <s v="EBAVERE_ST_WOODWST_BP"/>
    <x v="0"/>
    <x v="13"/>
    <n v="10"/>
    <n v="3650"/>
    <n v="13140"/>
  </r>
  <r>
    <x v="0"/>
    <x v="0"/>
    <x v="0"/>
    <x v="1"/>
    <x v="2"/>
    <s v="EE_Rural"/>
    <x v="10"/>
    <x v="2"/>
    <s v="EBAVERE_ST_WOODWST_BP"/>
    <x v="0"/>
    <x v="14"/>
    <n v="10"/>
    <n v="3650"/>
    <n v="13140"/>
  </r>
  <r>
    <x v="0"/>
    <x v="0"/>
    <x v="0"/>
    <x v="1"/>
    <x v="2"/>
    <s v="EE_Rural"/>
    <x v="10"/>
    <x v="2"/>
    <s v="EBAVERE_ST_WOODWST_BP"/>
    <x v="0"/>
    <x v="15"/>
    <n v="10"/>
    <n v="3650"/>
    <n v="13140"/>
  </r>
  <r>
    <x v="0"/>
    <x v="0"/>
    <x v="0"/>
    <x v="1"/>
    <x v="2"/>
    <s v="EE_Rural"/>
    <x v="10"/>
    <x v="2"/>
    <s v="EBAVERE_ST_WOODWST_BP"/>
    <x v="0"/>
    <x v="16"/>
    <n v="10"/>
    <n v="3650"/>
    <n v="13140"/>
  </r>
  <r>
    <x v="0"/>
    <x v="0"/>
    <x v="0"/>
    <x v="1"/>
    <x v="2"/>
    <s v="EE_Rural"/>
    <x v="10"/>
    <x v="2"/>
    <s v="EBAVERE_ST_WOODWST_BP"/>
    <x v="0"/>
    <x v="17"/>
    <n v="10"/>
    <n v="3650"/>
    <n v="13140"/>
  </r>
  <r>
    <x v="0"/>
    <x v="0"/>
    <x v="0"/>
    <x v="1"/>
    <x v="2"/>
    <s v="EE_Rural"/>
    <x v="10"/>
    <x v="2"/>
    <s v="EBAVERE_ST_WOODWST_BP"/>
    <x v="0"/>
    <x v="19"/>
    <n v="10"/>
    <n v="3650"/>
    <n v="13140"/>
  </r>
  <r>
    <x v="0"/>
    <x v="0"/>
    <x v="0"/>
    <x v="1"/>
    <x v="2"/>
    <s v="EE_Rural"/>
    <x v="10"/>
    <x v="2"/>
    <s v="EBAVERE_ST_WOODWST_BP"/>
    <x v="0"/>
    <x v="20"/>
    <n v="10"/>
    <n v="3650"/>
    <n v="13140"/>
  </r>
  <r>
    <x v="0"/>
    <x v="0"/>
    <x v="0"/>
    <x v="1"/>
    <x v="2"/>
    <s v="EE_Rural"/>
    <x v="10"/>
    <x v="2"/>
    <s v="EBAVERE_ST_WOODWST_BP"/>
    <x v="0"/>
    <x v="21"/>
    <n v="10"/>
    <n v="3650"/>
    <n v="13140"/>
  </r>
  <r>
    <x v="0"/>
    <x v="0"/>
    <x v="0"/>
    <x v="1"/>
    <x v="2"/>
    <s v="EE_Rural"/>
    <x v="10"/>
    <x v="2"/>
    <s v="EBAVERE_ST_WOODWST_BP"/>
    <x v="0"/>
    <x v="22"/>
    <n v="10"/>
    <n v="3650"/>
    <n v="13140"/>
  </r>
  <r>
    <x v="0"/>
    <x v="0"/>
    <x v="0"/>
    <x v="1"/>
    <x v="2"/>
    <s v="EE_Rural"/>
    <x v="10"/>
    <x v="2"/>
    <s v="EBAVERE_ST_WOODWST_BP"/>
    <x v="0"/>
    <x v="23"/>
    <n v="10"/>
    <n v="3650"/>
    <n v="13140"/>
  </r>
  <r>
    <x v="0"/>
    <x v="0"/>
    <x v="0"/>
    <x v="1"/>
    <x v="2"/>
    <s v="EE_Tallinn"/>
    <x v="2"/>
    <x v="2"/>
    <s v="IRU_ST_MSW_BP"/>
    <x v="0"/>
    <x v="0"/>
    <n v="17"/>
    <n v="6205"/>
    <n v="22338"/>
  </r>
  <r>
    <x v="0"/>
    <x v="0"/>
    <x v="0"/>
    <x v="1"/>
    <x v="2"/>
    <s v="EE_Tallinn"/>
    <x v="2"/>
    <x v="2"/>
    <s v="IRU_ST_MSW_BP"/>
    <x v="0"/>
    <x v="1"/>
    <n v="17"/>
    <n v="6205"/>
    <n v="22338"/>
  </r>
  <r>
    <x v="0"/>
    <x v="0"/>
    <x v="0"/>
    <x v="1"/>
    <x v="2"/>
    <s v="EE_Tallinn"/>
    <x v="2"/>
    <x v="2"/>
    <s v="IRU_ST_MSW_BP"/>
    <x v="0"/>
    <x v="18"/>
    <n v="17"/>
    <n v="6205"/>
    <n v="22338"/>
  </r>
  <r>
    <x v="0"/>
    <x v="0"/>
    <x v="0"/>
    <x v="1"/>
    <x v="2"/>
    <s v="EE_Tallinn"/>
    <x v="2"/>
    <x v="2"/>
    <s v="IRU_ST_MSW_BP"/>
    <x v="0"/>
    <x v="2"/>
    <n v="17"/>
    <n v="6205"/>
    <n v="22338"/>
  </r>
  <r>
    <x v="0"/>
    <x v="0"/>
    <x v="0"/>
    <x v="1"/>
    <x v="2"/>
    <s v="EE_Tallinn"/>
    <x v="2"/>
    <x v="2"/>
    <s v="IRU_ST_MSW_BP"/>
    <x v="0"/>
    <x v="3"/>
    <n v="17"/>
    <n v="6205"/>
    <n v="22338"/>
  </r>
  <r>
    <x v="0"/>
    <x v="0"/>
    <x v="0"/>
    <x v="1"/>
    <x v="2"/>
    <s v="EE_Tallinn"/>
    <x v="2"/>
    <x v="2"/>
    <s v="IRU_ST_MSW_BP"/>
    <x v="0"/>
    <x v="4"/>
    <n v="17"/>
    <n v="6205"/>
    <n v="22338"/>
  </r>
  <r>
    <x v="0"/>
    <x v="0"/>
    <x v="0"/>
    <x v="1"/>
    <x v="2"/>
    <s v="EE_Tallinn"/>
    <x v="2"/>
    <x v="2"/>
    <s v="IRU_ST_MSW_BP"/>
    <x v="0"/>
    <x v="5"/>
    <n v="17"/>
    <n v="6205"/>
    <n v="22338"/>
  </r>
  <r>
    <x v="0"/>
    <x v="0"/>
    <x v="0"/>
    <x v="1"/>
    <x v="2"/>
    <s v="EE_Tallinn"/>
    <x v="2"/>
    <x v="2"/>
    <s v="IRU_ST_MSW_BP"/>
    <x v="0"/>
    <x v="6"/>
    <n v="17"/>
    <n v="6205"/>
    <n v="22338"/>
  </r>
  <r>
    <x v="0"/>
    <x v="0"/>
    <x v="0"/>
    <x v="1"/>
    <x v="2"/>
    <s v="EE_Tallinn"/>
    <x v="2"/>
    <x v="2"/>
    <s v="IRU_ST_MSW_BP"/>
    <x v="0"/>
    <x v="7"/>
    <n v="17"/>
    <n v="6205"/>
    <n v="22338"/>
  </r>
  <r>
    <x v="0"/>
    <x v="0"/>
    <x v="0"/>
    <x v="1"/>
    <x v="2"/>
    <s v="EE_Tallinn"/>
    <x v="2"/>
    <x v="2"/>
    <s v="IRU_ST_MSW_BP"/>
    <x v="0"/>
    <x v="8"/>
    <n v="17"/>
    <n v="6205"/>
    <n v="22338"/>
  </r>
  <r>
    <x v="0"/>
    <x v="0"/>
    <x v="0"/>
    <x v="1"/>
    <x v="2"/>
    <s v="EE_Tallinn"/>
    <x v="2"/>
    <x v="2"/>
    <s v="IRU_ST_MSW_BP"/>
    <x v="0"/>
    <x v="9"/>
    <n v="17"/>
    <n v="6205"/>
    <n v="22338"/>
  </r>
  <r>
    <x v="0"/>
    <x v="0"/>
    <x v="0"/>
    <x v="1"/>
    <x v="2"/>
    <s v="EE_Tallinn"/>
    <x v="2"/>
    <x v="2"/>
    <s v="IRU_ST_MSW_BP"/>
    <x v="0"/>
    <x v="10"/>
    <n v="17"/>
    <n v="6205"/>
    <n v="22338"/>
  </r>
  <r>
    <x v="0"/>
    <x v="0"/>
    <x v="0"/>
    <x v="1"/>
    <x v="2"/>
    <s v="EE_Tallinn"/>
    <x v="2"/>
    <x v="2"/>
    <s v="IRU_ST_MSW_BP"/>
    <x v="0"/>
    <x v="11"/>
    <n v="17"/>
    <n v="6205"/>
    <n v="22338"/>
  </r>
  <r>
    <x v="0"/>
    <x v="0"/>
    <x v="0"/>
    <x v="1"/>
    <x v="2"/>
    <s v="EE_Tallinn"/>
    <x v="2"/>
    <x v="2"/>
    <s v="IRU_ST_MSW_BP"/>
    <x v="0"/>
    <x v="12"/>
    <n v="17"/>
    <n v="6205"/>
    <n v="22338"/>
  </r>
  <r>
    <x v="0"/>
    <x v="0"/>
    <x v="0"/>
    <x v="1"/>
    <x v="2"/>
    <s v="EE_Tallinn"/>
    <x v="2"/>
    <x v="2"/>
    <s v="IRU_ST_MSW_BP"/>
    <x v="0"/>
    <x v="13"/>
    <n v="17"/>
    <n v="6205"/>
    <n v="22338"/>
  </r>
  <r>
    <x v="0"/>
    <x v="0"/>
    <x v="0"/>
    <x v="1"/>
    <x v="2"/>
    <s v="EE_Tallinn"/>
    <x v="2"/>
    <x v="2"/>
    <s v="IRU_ST_MSW_BP"/>
    <x v="0"/>
    <x v="14"/>
    <n v="17"/>
    <n v="6205"/>
    <n v="22338"/>
  </r>
  <r>
    <x v="0"/>
    <x v="0"/>
    <x v="0"/>
    <x v="1"/>
    <x v="2"/>
    <s v="EE_Tallinn"/>
    <x v="2"/>
    <x v="2"/>
    <s v="IRU_ST_MSW_BP"/>
    <x v="0"/>
    <x v="15"/>
    <n v="17"/>
    <n v="6205"/>
    <n v="22338"/>
  </r>
  <r>
    <x v="0"/>
    <x v="0"/>
    <x v="0"/>
    <x v="1"/>
    <x v="2"/>
    <s v="EE_Tallinn"/>
    <x v="2"/>
    <x v="2"/>
    <s v="IRU_ST_MSW_BP"/>
    <x v="0"/>
    <x v="16"/>
    <n v="17"/>
    <n v="6205"/>
    <n v="22338"/>
  </r>
  <r>
    <x v="0"/>
    <x v="0"/>
    <x v="0"/>
    <x v="1"/>
    <x v="2"/>
    <s v="EE_Tallinn"/>
    <x v="2"/>
    <x v="2"/>
    <s v="IRU_ST_MSW_BP"/>
    <x v="0"/>
    <x v="17"/>
    <n v="17"/>
    <n v="6205"/>
    <n v="22338"/>
  </r>
  <r>
    <x v="0"/>
    <x v="0"/>
    <x v="0"/>
    <x v="1"/>
    <x v="2"/>
    <s v="EE_Tallinn"/>
    <x v="2"/>
    <x v="2"/>
    <s v="IRU_ST_MSW_BP"/>
    <x v="0"/>
    <x v="19"/>
    <n v="17"/>
    <n v="6205"/>
    <n v="22338"/>
  </r>
  <r>
    <x v="0"/>
    <x v="0"/>
    <x v="0"/>
    <x v="1"/>
    <x v="2"/>
    <s v="EE_Tallinn"/>
    <x v="2"/>
    <x v="2"/>
    <s v="IRU_ST_MSW_BP"/>
    <x v="0"/>
    <x v="20"/>
    <n v="17"/>
    <n v="6205"/>
    <n v="22338"/>
  </r>
  <r>
    <x v="0"/>
    <x v="0"/>
    <x v="0"/>
    <x v="1"/>
    <x v="2"/>
    <s v="EE_Tallinn"/>
    <x v="2"/>
    <x v="2"/>
    <s v="IRU_ST_MSW_BP"/>
    <x v="0"/>
    <x v="21"/>
    <n v="17"/>
    <n v="6205"/>
    <n v="22338"/>
  </r>
  <r>
    <x v="0"/>
    <x v="0"/>
    <x v="0"/>
    <x v="1"/>
    <x v="2"/>
    <s v="EE_Tallinn"/>
    <x v="2"/>
    <x v="2"/>
    <s v="IRU_ST_MSW_BP"/>
    <x v="0"/>
    <x v="22"/>
    <n v="17"/>
    <n v="6205"/>
    <n v="22338"/>
  </r>
  <r>
    <x v="0"/>
    <x v="0"/>
    <x v="0"/>
    <x v="1"/>
    <x v="2"/>
    <s v="EE_Tallinn"/>
    <x v="2"/>
    <x v="2"/>
    <s v="IRU_ST_MSW_BP"/>
    <x v="0"/>
    <x v="23"/>
    <n v="17"/>
    <n v="6205"/>
    <n v="22338"/>
  </r>
  <r>
    <x v="0"/>
    <x v="0"/>
    <x v="0"/>
    <x v="1"/>
    <x v="2"/>
    <s v="EE_Tallinn"/>
    <x v="8"/>
    <x v="0"/>
    <s v="GNR_ENG_NGAS_EXT_E-44"/>
    <x v="0"/>
    <x v="0"/>
    <n v="1.5"/>
    <n v="547.5"/>
    <n v="1971"/>
  </r>
  <r>
    <x v="0"/>
    <x v="0"/>
    <x v="0"/>
    <x v="1"/>
    <x v="2"/>
    <s v="EE_Tallinn"/>
    <x v="8"/>
    <x v="0"/>
    <s v="GNR_ENG_NGAS_EXT_E-44"/>
    <x v="0"/>
    <x v="1"/>
    <n v="1.5"/>
    <n v="547.5"/>
    <n v="1971"/>
  </r>
  <r>
    <x v="0"/>
    <x v="0"/>
    <x v="0"/>
    <x v="1"/>
    <x v="2"/>
    <s v="EE_Tallinn"/>
    <x v="8"/>
    <x v="0"/>
    <s v="GNR_ENG_NGAS_EXT_E-44"/>
    <x v="0"/>
    <x v="18"/>
    <n v="1.5"/>
    <n v="547.5"/>
    <n v="1971"/>
  </r>
  <r>
    <x v="0"/>
    <x v="0"/>
    <x v="0"/>
    <x v="1"/>
    <x v="2"/>
    <s v="EE_Tallinn"/>
    <x v="8"/>
    <x v="0"/>
    <s v="GNR_ENG_NGAS_EXT_E-44"/>
    <x v="0"/>
    <x v="2"/>
    <n v="1.5"/>
    <n v="547.5"/>
    <n v="1971"/>
  </r>
  <r>
    <x v="0"/>
    <x v="0"/>
    <x v="0"/>
    <x v="1"/>
    <x v="2"/>
    <s v="EE_Tallinn"/>
    <x v="8"/>
    <x v="0"/>
    <s v="GNR_ENG_NGAS_EXT_E-44"/>
    <x v="0"/>
    <x v="3"/>
    <n v="1.5"/>
    <n v="547.5"/>
    <n v="1971"/>
  </r>
  <r>
    <x v="0"/>
    <x v="0"/>
    <x v="0"/>
    <x v="1"/>
    <x v="2"/>
    <s v="EE_Tallinn"/>
    <x v="8"/>
    <x v="0"/>
    <s v="GNR_ENG_NGAS_EXT_E-44"/>
    <x v="0"/>
    <x v="4"/>
    <n v="1.5"/>
    <n v="547.5"/>
    <n v="1971"/>
  </r>
  <r>
    <x v="0"/>
    <x v="0"/>
    <x v="0"/>
    <x v="1"/>
    <x v="2"/>
    <s v="EE_Tallinn"/>
    <x v="8"/>
    <x v="0"/>
    <s v="GNR_ENG_NGAS_EXT_E-44"/>
    <x v="0"/>
    <x v="5"/>
    <n v="1.5"/>
    <n v="547.5"/>
    <n v="1971"/>
  </r>
  <r>
    <x v="0"/>
    <x v="0"/>
    <x v="0"/>
    <x v="1"/>
    <x v="2"/>
    <s v="EE_Tallinn"/>
    <x v="8"/>
    <x v="0"/>
    <s v="GNR_ENG_NGAS_EXT_E-44"/>
    <x v="0"/>
    <x v="6"/>
    <n v="1.5"/>
    <n v="547.5"/>
    <n v="1971"/>
  </r>
  <r>
    <x v="0"/>
    <x v="0"/>
    <x v="0"/>
    <x v="1"/>
    <x v="2"/>
    <s v="EE_Tallinn"/>
    <x v="8"/>
    <x v="0"/>
    <s v="GNR_ENG_NGAS_EXT_E-44"/>
    <x v="0"/>
    <x v="7"/>
    <n v="1.5"/>
    <n v="547.5"/>
    <n v="1971"/>
  </r>
  <r>
    <x v="0"/>
    <x v="0"/>
    <x v="0"/>
    <x v="1"/>
    <x v="2"/>
    <s v="EE_Tallinn"/>
    <x v="8"/>
    <x v="0"/>
    <s v="GNR_ENG_NGAS_EXT_E-44"/>
    <x v="0"/>
    <x v="8"/>
    <n v="1.5"/>
    <n v="547.5"/>
    <n v="1971"/>
  </r>
  <r>
    <x v="0"/>
    <x v="0"/>
    <x v="0"/>
    <x v="1"/>
    <x v="2"/>
    <s v="EE_Tallinn"/>
    <x v="8"/>
    <x v="0"/>
    <s v="GNR_ENG_NGAS_EXT_E-44"/>
    <x v="0"/>
    <x v="9"/>
    <n v="1.5"/>
    <n v="547.5"/>
    <n v="1971"/>
  </r>
  <r>
    <x v="0"/>
    <x v="0"/>
    <x v="0"/>
    <x v="1"/>
    <x v="2"/>
    <s v="EE_Tallinn"/>
    <x v="8"/>
    <x v="0"/>
    <s v="GNR_ENG_NGAS_EXT_E-44"/>
    <x v="0"/>
    <x v="10"/>
    <n v="1.5"/>
    <n v="547.5"/>
    <n v="1971"/>
  </r>
  <r>
    <x v="0"/>
    <x v="0"/>
    <x v="0"/>
    <x v="1"/>
    <x v="2"/>
    <s v="EE_Tallinn"/>
    <x v="8"/>
    <x v="0"/>
    <s v="GNR_ENG_NGAS_EXT_E-44"/>
    <x v="0"/>
    <x v="11"/>
    <n v="1.5"/>
    <n v="547.5"/>
    <n v="1971"/>
  </r>
  <r>
    <x v="0"/>
    <x v="0"/>
    <x v="0"/>
    <x v="1"/>
    <x v="2"/>
    <s v="EE_Tallinn"/>
    <x v="8"/>
    <x v="0"/>
    <s v="GNR_ENG_NGAS_EXT_E-44"/>
    <x v="0"/>
    <x v="12"/>
    <n v="1.5"/>
    <n v="547.5"/>
    <n v="1971"/>
  </r>
  <r>
    <x v="0"/>
    <x v="0"/>
    <x v="0"/>
    <x v="1"/>
    <x v="2"/>
    <s v="EE_Tallinn"/>
    <x v="8"/>
    <x v="0"/>
    <s v="GNR_ENG_NGAS_EXT_E-44"/>
    <x v="0"/>
    <x v="13"/>
    <n v="1.5"/>
    <n v="547.5"/>
    <n v="1971"/>
  </r>
  <r>
    <x v="0"/>
    <x v="0"/>
    <x v="0"/>
    <x v="1"/>
    <x v="2"/>
    <s v="EE_Tallinn"/>
    <x v="8"/>
    <x v="0"/>
    <s v="GNR_ENG_NGAS_EXT_E-44"/>
    <x v="0"/>
    <x v="14"/>
    <n v="1.5"/>
    <n v="547.5"/>
    <n v="1971"/>
  </r>
  <r>
    <x v="0"/>
    <x v="0"/>
    <x v="0"/>
    <x v="1"/>
    <x v="2"/>
    <s v="EE_Tallinn"/>
    <x v="8"/>
    <x v="0"/>
    <s v="GNR_ENG_NGAS_EXT_E-44"/>
    <x v="0"/>
    <x v="15"/>
    <n v="1.5"/>
    <n v="547.5"/>
    <n v="1971"/>
  </r>
  <r>
    <x v="0"/>
    <x v="0"/>
    <x v="0"/>
    <x v="1"/>
    <x v="2"/>
    <s v="EE_Tallinn"/>
    <x v="8"/>
    <x v="0"/>
    <s v="GNR_ENG_NGAS_EXT_E-44"/>
    <x v="0"/>
    <x v="16"/>
    <n v="1.5"/>
    <n v="547.5"/>
    <n v="1971"/>
  </r>
  <r>
    <x v="0"/>
    <x v="0"/>
    <x v="0"/>
    <x v="1"/>
    <x v="2"/>
    <s v="EE_Tallinn"/>
    <x v="8"/>
    <x v="0"/>
    <s v="GNR_ENG_NGAS_EXT_E-44"/>
    <x v="0"/>
    <x v="17"/>
    <n v="1.5"/>
    <n v="547.5"/>
    <n v="1971"/>
  </r>
  <r>
    <x v="0"/>
    <x v="0"/>
    <x v="0"/>
    <x v="1"/>
    <x v="2"/>
    <s v="EE_Tallinn"/>
    <x v="8"/>
    <x v="0"/>
    <s v="GNR_ENG_NGAS_EXT_E-44"/>
    <x v="0"/>
    <x v="19"/>
    <n v="1.5"/>
    <n v="547.5"/>
    <n v="1971"/>
  </r>
  <r>
    <x v="0"/>
    <x v="0"/>
    <x v="0"/>
    <x v="1"/>
    <x v="2"/>
    <s v="EE_Tallinn"/>
    <x v="8"/>
    <x v="0"/>
    <s v="GNR_ENG_NGAS_EXT_E-44"/>
    <x v="0"/>
    <x v="20"/>
    <n v="1.5"/>
    <n v="547.5"/>
    <n v="1971"/>
  </r>
  <r>
    <x v="0"/>
    <x v="0"/>
    <x v="0"/>
    <x v="1"/>
    <x v="2"/>
    <s v="EE_Tallinn"/>
    <x v="8"/>
    <x v="0"/>
    <s v="GNR_ENG_NGAS_EXT_E-44"/>
    <x v="0"/>
    <x v="21"/>
    <n v="1.5"/>
    <n v="547.5"/>
    <n v="1971"/>
  </r>
  <r>
    <x v="0"/>
    <x v="0"/>
    <x v="0"/>
    <x v="1"/>
    <x v="2"/>
    <s v="EE_Tallinn"/>
    <x v="8"/>
    <x v="0"/>
    <s v="GNR_ENG_NGAS_EXT_E-44"/>
    <x v="0"/>
    <x v="22"/>
    <n v="1.5"/>
    <n v="547.5"/>
    <n v="1971"/>
  </r>
  <r>
    <x v="0"/>
    <x v="0"/>
    <x v="0"/>
    <x v="1"/>
    <x v="2"/>
    <s v="EE_Tallinn"/>
    <x v="8"/>
    <x v="0"/>
    <s v="GNR_ENG_NGAS_EXT_E-44"/>
    <x v="0"/>
    <x v="23"/>
    <n v="1.5"/>
    <n v="547.5"/>
    <n v="1971"/>
  </r>
  <r>
    <x v="0"/>
    <x v="0"/>
    <x v="0"/>
    <x v="1"/>
    <x v="2"/>
    <s v="EE_Tallinn"/>
    <x v="12"/>
    <x v="2"/>
    <s v="MUSTAMAE_ST_WOOD_BP"/>
    <x v="0"/>
    <x v="0"/>
    <n v="10"/>
    <n v="3650"/>
    <n v="13140"/>
  </r>
  <r>
    <x v="0"/>
    <x v="0"/>
    <x v="0"/>
    <x v="1"/>
    <x v="2"/>
    <s v="EE_Tallinn"/>
    <x v="12"/>
    <x v="2"/>
    <s v="MUSTAMAE_ST_WOOD_BP"/>
    <x v="0"/>
    <x v="1"/>
    <n v="10"/>
    <n v="3650"/>
    <n v="13140"/>
  </r>
  <r>
    <x v="0"/>
    <x v="0"/>
    <x v="0"/>
    <x v="1"/>
    <x v="2"/>
    <s v="EE_Tallinn"/>
    <x v="12"/>
    <x v="2"/>
    <s v="MUSTAMAE_ST_WOOD_BP"/>
    <x v="0"/>
    <x v="18"/>
    <n v="10"/>
    <n v="3650"/>
    <n v="13140"/>
  </r>
  <r>
    <x v="0"/>
    <x v="0"/>
    <x v="0"/>
    <x v="1"/>
    <x v="2"/>
    <s v="EE_Tallinn"/>
    <x v="12"/>
    <x v="2"/>
    <s v="MUSTAMAE_ST_WOOD_BP"/>
    <x v="0"/>
    <x v="2"/>
    <n v="10"/>
    <n v="3650"/>
    <n v="13140"/>
  </r>
  <r>
    <x v="0"/>
    <x v="0"/>
    <x v="0"/>
    <x v="1"/>
    <x v="2"/>
    <s v="EE_Tallinn"/>
    <x v="12"/>
    <x v="2"/>
    <s v="MUSTAMAE_ST_WOOD_BP"/>
    <x v="0"/>
    <x v="3"/>
    <n v="10"/>
    <n v="3650"/>
    <n v="13140"/>
  </r>
  <r>
    <x v="0"/>
    <x v="0"/>
    <x v="0"/>
    <x v="1"/>
    <x v="2"/>
    <s v="EE_Tallinn"/>
    <x v="12"/>
    <x v="2"/>
    <s v="MUSTAMAE_ST_WOOD_BP"/>
    <x v="0"/>
    <x v="4"/>
    <n v="10"/>
    <n v="3650"/>
    <n v="13140"/>
  </r>
  <r>
    <x v="0"/>
    <x v="0"/>
    <x v="0"/>
    <x v="1"/>
    <x v="2"/>
    <s v="EE_Tallinn"/>
    <x v="12"/>
    <x v="2"/>
    <s v="MUSTAMAE_ST_WOOD_BP"/>
    <x v="0"/>
    <x v="5"/>
    <n v="10"/>
    <n v="3650"/>
    <n v="13140"/>
  </r>
  <r>
    <x v="0"/>
    <x v="0"/>
    <x v="0"/>
    <x v="1"/>
    <x v="2"/>
    <s v="EE_Tallinn"/>
    <x v="12"/>
    <x v="2"/>
    <s v="MUSTAMAE_ST_WOOD_BP"/>
    <x v="0"/>
    <x v="6"/>
    <n v="10"/>
    <n v="3650"/>
    <n v="13140"/>
  </r>
  <r>
    <x v="0"/>
    <x v="0"/>
    <x v="0"/>
    <x v="1"/>
    <x v="2"/>
    <s v="EE_Tallinn"/>
    <x v="12"/>
    <x v="2"/>
    <s v="MUSTAMAE_ST_WOOD_BP"/>
    <x v="0"/>
    <x v="7"/>
    <n v="10"/>
    <n v="3650"/>
    <n v="13140"/>
  </r>
  <r>
    <x v="0"/>
    <x v="0"/>
    <x v="0"/>
    <x v="1"/>
    <x v="2"/>
    <s v="EE_Tallinn"/>
    <x v="12"/>
    <x v="2"/>
    <s v="MUSTAMAE_ST_WOOD_BP"/>
    <x v="0"/>
    <x v="8"/>
    <n v="10"/>
    <n v="3650"/>
    <n v="13140"/>
  </r>
  <r>
    <x v="0"/>
    <x v="0"/>
    <x v="0"/>
    <x v="1"/>
    <x v="2"/>
    <s v="EE_Tallinn"/>
    <x v="12"/>
    <x v="2"/>
    <s v="MUSTAMAE_ST_WOOD_BP"/>
    <x v="0"/>
    <x v="9"/>
    <n v="10"/>
    <n v="3650"/>
    <n v="13140"/>
  </r>
  <r>
    <x v="0"/>
    <x v="0"/>
    <x v="0"/>
    <x v="1"/>
    <x v="2"/>
    <s v="EE_Tallinn"/>
    <x v="12"/>
    <x v="2"/>
    <s v="MUSTAMAE_ST_WOOD_BP"/>
    <x v="0"/>
    <x v="10"/>
    <n v="10"/>
    <n v="3650"/>
    <n v="13140"/>
  </r>
  <r>
    <x v="0"/>
    <x v="0"/>
    <x v="0"/>
    <x v="1"/>
    <x v="2"/>
    <s v="EE_Tallinn"/>
    <x v="12"/>
    <x v="2"/>
    <s v="MUSTAMAE_ST_WOOD_BP"/>
    <x v="0"/>
    <x v="11"/>
    <n v="10"/>
    <n v="3650"/>
    <n v="13140"/>
  </r>
  <r>
    <x v="0"/>
    <x v="0"/>
    <x v="0"/>
    <x v="1"/>
    <x v="2"/>
    <s v="EE_Tallinn"/>
    <x v="12"/>
    <x v="2"/>
    <s v="MUSTAMAE_ST_WOOD_BP"/>
    <x v="0"/>
    <x v="12"/>
    <n v="10"/>
    <n v="3650"/>
    <n v="13140"/>
  </r>
  <r>
    <x v="0"/>
    <x v="0"/>
    <x v="0"/>
    <x v="1"/>
    <x v="2"/>
    <s v="EE_Tallinn"/>
    <x v="12"/>
    <x v="2"/>
    <s v="MUSTAMAE_ST_WOOD_BP"/>
    <x v="0"/>
    <x v="13"/>
    <n v="10"/>
    <n v="3650"/>
    <n v="13140"/>
  </r>
  <r>
    <x v="0"/>
    <x v="0"/>
    <x v="0"/>
    <x v="1"/>
    <x v="2"/>
    <s v="EE_Tallinn"/>
    <x v="12"/>
    <x v="2"/>
    <s v="MUSTAMAE_ST_WOOD_BP"/>
    <x v="0"/>
    <x v="14"/>
    <n v="10"/>
    <n v="3650"/>
    <n v="13140"/>
  </r>
  <r>
    <x v="0"/>
    <x v="0"/>
    <x v="0"/>
    <x v="1"/>
    <x v="2"/>
    <s v="EE_Tallinn"/>
    <x v="12"/>
    <x v="2"/>
    <s v="MUSTAMAE_ST_WOOD_BP"/>
    <x v="0"/>
    <x v="15"/>
    <n v="10"/>
    <n v="3650"/>
    <n v="13140"/>
  </r>
  <r>
    <x v="0"/>
    <x v="0"/>
    <x v="0"/>
    <x v="1"/>
    <x v="2"/>
    <s v="EE_Tallinn"/>
    <x v="12"/>
    <x v="2"/>
    <s v="MUSTAMAE_ST_WOOD_BP"/>
    <x v="0"/>
    <x v="16"/>
    <n v="10"/>
    <n v="3650"/>
    <n v="13140"/>
  </r>
  <r>
    <x v="0"/>
    <x v="0"/>
    <x v="0"/>
    <x v="1"/>
    <x v="2"/>
    <s v="EE_Tallinn"/>
    <x v="12"/>
    <x v="2"/>
    <s v="MUSTAMAE_ST_WOOD_BP"/>
    <x v="0"/>
    <x v="17"/>
    <n v="10"/>
    <n v="3650"/>
    <n v="13140"/>
  </r>
  <r>
    <x v="0"/>
    <x v="0"/>
    <x v="0"/>
    <x v="1"/>
    <x v="2"/>
    <s v="EE_Tallinn"/>
    <x v="12"/>
    <x v="2"/>
    <s v="MUSTAMAE_ST_WOOD_BP"/>
    <x v="0"/>
    <x v="19"/>
    <n v="10"/>
    <n v="3650"/>
    <n v="13140"/>
  </r>
  <r>
    <x v="0"/>
    <x v="0"/>
    <x v="0"/>
    <x v="1"/>
    <x v="2"/>
    <s v="EE_Tallinn"/>
    <x v="12"/>
    <x v="2"/>
    <s v="MUSTAMAE_ST_WOOD_BP"/>
    <x v="0"/>
    <x v="20"/>
    <n v="10"/>
    <n v="3650"/>
    <n v="13140"/>
  </r>
  <r>
    <x v="0"/>
    <x v="0"/>
    <x v="0"/>
    <x v="1"/>
    <x v="2"/>
    <s v="EE_Tallinn"/>
    <x v="12"/>
    <x v="2"/>
    <s v="MUSTAMAE_ST_WOOD_BP"/>
    <x v="0"/>
    <x v="21"/>
    <n v="10"/>
    <n v="3650"/>
    <n v="13140"/>
  </r>
  <r>
    <x v="0"/>
    <x v="0"/>
    <x v="0"/>
    <x v="1"/>
    <x v="2"/>
    <s v="EE_Tallinn"/>
    <x v="12"/>
    <x v="2"/>
    <s v="MUSTAMAE_ST_WOOD_BP"/>
    <x v="0"/>
    <x v="22"/>
    <n v="10"/>
    <n v="3650"/>
    <n v="13140"/>
  </r>
  <r>
    <x v="0"/>
    <x v="0"/>
    <x v="0"/>
    <x v="1"/>
    <x v="2"/>
    <s v="EE_Tallinn"/>
    <x v="12"/>
    <x v="2"/>
    <s v="MUSTAMAE_ST_WOOD_BP"/>
    <x v="0"/>
    <x v="23"/>
    <n v="10"/>
    <n v="3650"/>
    <n v="13140"/>
  </r>
  <r>
    <x v="0"/>
    <x v="0"/>
    <x v="0"/>
    <x v="1"/>
    <x v="2"/>
    <s v="EE_Tallinn"/>
    <x v="12"/>
    <x v="2"/>
    <s v="VAO-1_ST_WOOD_BP"/>
    <x v="0"/>
    <x v="0"/>
    <n v="25"/>
    <n v="9125"/>
    <n v="32850"/>
  </r>
  <r>
    <x v="0"/>
    <x v="0"/>
    <x v="0"/>
    <x v="1"/>
    <x v="2"/>
    <s v="EE_Tallinn"/>
    <x v="12"/>
    <x v="2"/>
    <s v="VAO-1_ST_WOOD_BP"/>
    <x v="0"/>
    <x v="1"/>
    <n v="25"/>
    <n v="9125"/>
    <n v="32850"/>
  </r>
  <r>
    <x v="0"/>
    <x v="0"/>
    <x v="0"/>
    <x v="1"/>
    <x v="2"/>
    <s v="EE_Tallinn"/>
    <x v="12"/>
    <x v="2"/>
    <s v="VAO-1_ST_WOOD_BP"/>
    <x v="0"/>
    <x v="18"/>
    <n v="25"/>
    <n v="9125"/>
    <n v="32850"/>
  </r>
  <r>
    <x v="0"/>
    <x v="0"/>
    <x v="0"/>
    <x v="1"/>
    <x v="2"/>
    <s v="EE_Tallinn"/>
    <x v="12"/>
    <x v="2"/>
    <s v="VAO-1_ST_WOOD_BP"/>
    <x v="0"/>
    <x v="2"/>
    <n v="25"/>
    <n v="9125"/>
    <n v="32850"/>
  </r>
  <r>
    <x v="0"/>
    <x v="0"/>
    <x v="0"/>
    <x v="1"/>
    <x v="2"/>
    <s v="EE_Tallinn"/>
    <x v="12"/>
    <x v="2"/>
    <s v="VAO-1_ST_WOOD_BP"/>
    <x v="0"/>
    <x v="3"/>
    <n v="25"/>
    <n v="9125"/>
    <n v="32850"/>
  </r>
  <r>
    <x v="0"/>
    <x v="0"/>
    <x v="0"/>
    <x v="1"/>
    <x v="2"/>
    <s v="EE_Tallinn"/>
    <x v="12"/>
    <x v="2"/>
    <s v="VAO-1_ST_WOOD_BP"/>
    <x v="0"/>
    <x v="4"/>
    <n v="25"/>
    <n v="9125"/>
    <n v="32850"/>
  </r>
  <r>
    <x v="0"/>
    <x v="0"/>
    <x v="0"/>
    <x v="1"/>
    <x v="2"/>
    <s v="EE_Tallinn"/>
    <x v="12"/>
    <x v="2"/>
    <s v="VAO-1_ST_WOOD_BP"/>
    <x v="0"/>
    <x v="5"/>
    <n v="25"/>
    <n v="9125"/>
    <n v="32850"/>
  </r>
  <r>
    <x v="0"/>
    <x v="0"/>
    <x v="0"/>
    <x v="1"/>
    <x v="2"/>
    <s v="EE_Tallinn"/>
    <x v="12"/>
    <x v="2"/>
    <s v="VAO-1_ST_WOOD_BP"/>
    <x v="0"/>
    <x v="6"/>
    <n v="25"/>
    <n v="9125"/>
    <n v="32850"/>
  </r>
  <r>
    <x v="0"/>
    <x v="0"/>
    <x v="0"/>
    <x v="1"/>
    <x v="2"/>
    <s v="EE_Tallinn"/>
    <x v="12"/>
    <x v="2"/>
    <s v="VAO-1_ST_WOOD_BP"/>
    <x v="0"/>
    <x v="7"/>
    <n v="25"/>
    <n v="9125"/>
    <n v="32850"/>
  </r>
  <r>
    <x v="0"/>
    <x v="0"/>
    <x v="0"/>
    <x v="1"/>
    <x v="2"/>
    <s v="EE_Tallinn"/>
    <x v="12"/>
    <x v="2"/>
    <s v="VAO-1_ST_WOOD_BP"/>
    <x v="0"/>
    <x v="8"/>
    <n v="25"/>
    <n v="9125"/>
    <n v="32850"/>
  </r>
  <r>
    <x v="0"/>
    <x v="0"/>
    <x v="0"/>
    <x v="1"/>
    <x v="2"/>
    <s v="EE_Tallinn"/>
    <x v="12"/>
    <x v="2"/>
    <s v="VAO-1_ST_WOOD_BP"/>
    <x v="0"/>
    <x v="9"/>
    <n v="25"/>
    <n v="9125"/>
    <n v="32850"/>
  </r>
  <r>
    <x v="0"/>
    <x v="0"/>
    <x v="0"/>
    <x v="1"/>
    <x v="2"/>
    <s v="EE_Tallinn"/>
    <x v="12"/>
    <x v="2"/>
    <s v="VAO-1_ST_WOOD_BP"/>
    <x v="0"/>
    <x v="10"/>
    <n v="25"/>
    <n v="9125"/>
    <n v="32850"/>
  </r>
  <r>
    <x v="0"/>
    <x v="0"/>
    <x v="0"/>
    <x v="1"/>
    <x v="2"/>
    <s v="EE_Tallinn"/>
    <x v="12"/>
    <x v="2"/>
    <s v="VAO-1_ST_WOOD_BP"/>
    <x v="0"/>
    <x v="11"/>
    <n v="25"/>
    <n v="9125"/>
    <n v="32850"/>
  </r>
  <r>
    <x v="0"/>
    <x v="0"/>
    <x v="0"/>
    <x v="1"/>
    <x v="2"/>
    <s v="EE_Tallinn"/>
    <x v="12"/>
    <x v="2"/>
    <s v="VAO-1_ST_WOOD_BP"/>
    <x v="0"/>
    <x v="12"/>
    <n v="25"/>
    <n v="9125"/>
    <n v="32850"/>
  </r>
  <r>
    <x v="0"/>
    <x v="0"/>
    <x v="0"/>
    <x v="1"/>
    <x v="2"/>
    <s v="EE_Tallinn"/>
    <x v="12"/>
    <x v="2"/>
    <s v="VAO-1_ST_WOOD_BP"/>
    <x v="0"/>
    <x v="13"/>
    <n v="25"/>
    <n v="9125"/>
    <n v="32850"/>
  </r>
  <r>
    <x v="0"/>
    <x v="0"/>
    <x v="0"/>
    <x v="1"/>
    <x v="2"/>
    <s v="EE_Tallinn"/>
    <x v="12"/>
    <x v="2"/>
    <s v="VAO-1_ST_WOOD_BP"/>
    <x v="0"/>
    <x v="14"/>
    <n v="25"/>
    <n v="9125"/>
    <n v="32850"/>
  </r>
  <r>
    <x v="0"/>
    <x v="0"/>
    <x v="0"/>
    <x v="1"/>
    <x v="2"/>
    <s v="EE_Tallinn"/>
    <x v="12"/>
    <x v="2"/>
    <s v="VAO-1_ST_WOOD_BP"/>
    <x v="0"/>
    <x v="15"/>
    <n v="25"/>
    <n v="9125"/>
    <n v="32850"/>
  </r>
  <r>
    <x v="0"/>
    <x v="0"/>
    <x v="0"/>
    <x v="1"/>
    <x v="2"/>
    <s v="EE_Tallinn"/>
    <x v="12"/>
    <x v="2"/>
    <s v="VAO-1_ST_WOOD_BP"/>
    <x v="0"/>
    <x v="16"/>
    <n v="25"/>
    <n v="9125"/>
    <n v="32850"/>
  </r>
  <r>
    <x v="0"/>
    <x v="0"/>
    <x v="0"/>
    <x v="1"/>
    <x v="2"/>
    <s v="EE_Tallinn"/>
    <x v="12"/>
    <x v="2"/>
    <s v="VAO-1_ST_WOOD_BP"/>
    <x v="0"/>
    <x v="17"/>
    <n v="25"/>
    <n v="9125"/>
    <n v="32850"/>
  </r>
  <r>
    <x v="0"/>
    <x v="0"/>
    <x v="0"/>
    <x v="1"/>
    <x v="2"/>
    <s v="EE_Tallinn"/>
    <x v="12"/>
    <x v="2"/>
    <s v="VAO-1_ST_WOOD_BP"/>
    <x v="0"/>
    <x v="19"/>
    <n v="25"/>
    <n v="9125"/>
    <n v="32850"/>
  </r>
  <r>
    <x v="0"/>
    <x v="0"/>
    <x v="0"/>
    <x v="1"/>
    <x v="2"/>
    <s v="EE_Tallinn"/>
    <x v="12"/>
    <x v="2"/>
    <s v="VAO-1_ST_WOOD_BP"/>
    <x v="0"/>
    <x v="20"/>
    <n v="25"/>
    <n v="9125"/>
    <n v="32850"/>
  </r>
  <r>
    <x v="0"/>
    <x v="0"/>
    <x v="0"/>
    <x v="1"/>
    <x v="2"/>
    <s v="EE_Tallinn"/>
    <x v="12"/>
    <x v="2"/>
    <s v="VAO-1_ST_WOOD_BP"/>
    <x v="0"/>
    <x v="21"/>
    <n v="25"/>
    <n v="9125"/>
    <n v="32850"/>
  </r>
  <r>
    <x v="0"/>
    <x v="0"/>
    <x v="0"/>
    <x v="1"/>
    <x v="2"/>
    <s v="EE_Tallinn"/>
    <x v="12"/>
    <x v="2"/>
    <s v="VAO-1_ST_WOOD_BP"/>
    <x v="0"/>
    <x v="22"/>
    <n v="25"/>
    <n v="9125"/>
    <n v="32850"/>
  </r>
  <r>
    <x v="0"/>
    <x v="0"/>
    <x v="0"/>
    <x v="1"/>
    <x v="2"/>
    <s v="EE_Tallinn"/>
    <x v="12"/>
    <x v="2"/>
    <s v="VAO-1_ST_WOOD_BP"/>
    <x v="0"/>
    <x v="23"/>
    <n v="25"/>
    <n v="9125"/>
    <n v="32850"/>
  </r>
  <r>
    <x v="0"/>
    <x v="0"/>
    <x v="0"/>
    <x v="1"/>
    <x v="2"/>
    <s v="EE_Tallinn"/>
    <x v="12"/>
    <x v="2"/>
    <s v="VAO-2_ST_WOOD_BP"/>
    <x v="0"/>
    <x v="0"/>
    <n v="21"/>
    <n v="7665"/>
    <n v="27594"/>
  </r>
  <r>
    <x v="0"/>
    <x v="0"/>
    <x v="0"/>
    <x v="1"/>
    <x v="2"/>
    <s v="EE_Tallinn"/>
    <x v="12"/>
    <x v="2"/>
    <s v="VAO-2_ST_WOOD_BP"/>
    <x v="0"/>
    <x v="1"/>
    <n v="21"/>
    <n v="7665"/>
    <n v="27594"/>
  </r>
  <r>
    <x v="0"/>
    <x v="0"/>
    <x v="0"/>
    <x v="1"/>
    <x v="2"/>
    <s v="EE_Tallinn"/>
    <x v="12"/>
    <x v="2"/>
    <s v="VAO-2_ST_WOOD_BP"/>
    <x v="0"/>
    <x v="18"/>
    <n v="21"/>
    <n v="7665"/>
    <n v="27594"/>
  </r>
  <r>
    <x v="0"/>
    <x v="0"/>
    <x v="0"/>
    <x v="1"/>
    <x v="2"/>
    <s v="EE_Tallinn"/>
    <x v="12"/>
    <x v="2"/>
    <s v="VAO-2_ST_WOOD_BP"/>
    <x v="0"/>
    <x v="2"/>
    <n v="21"/>
    <n v="7665"/>
    <n v="27594"/>
  </r>
  <r>
    <x v="0"/>
    <x v="0"/>
    <x v="0"/>
    <x v="1"/>
    <x v="2"/>
    <s v="EE_Tallinn"/>
    <x v="12"/>
    <x v="2"/>
    <s v="VAO-2_ST_WOOD_BP"/>
    <x v="0"/>
    <x v="3"/>
    <n v="21"/>
    <n v="7665"/>
    <n v="27594"/>
  </r>
  <r>
    <x v="0"/>
    <x v="0"/>
    <x v="0"/>
    <x v="1"/>
    <x v="2"/>
    <s v="EE_Tallinn"/>
    <x v="12"/>
    <x v="2"/>
    <s v="VAO-2_ST_WOOD_BP"/>
    <x v="0"/>
    <x v="4"/>
    <n v="21"/>
    <n v="7665"/>
    <n v="27594"/>
  </r>
  <r>
    <x v="0"/>
    <x v="0"/>
    <x v="0"/>
    <x v="1"/>
    <x v="2"/>
    <s v="EE_Tallinn"/>
    <x v="12"/>
    <x v="2"/>
    <s v="VAO-2_ST_WOOD_BP"/>
    <x v="0"/>
    <x v="5"/>
    <n v="21"/>
    <n v="7665"/>
    <n v="27594"/>
  </r>
  <r>
    <x v="0"/>
    <x v="0"/>
    <x v="0"/>
    <x v="1"/>
    <x v="2"/>
    <s v="EE_Tallinn"/>
    <x v="12"/>
    <x v="2"/>
    <s v="VAO-2_ST_WOOD_BP"/>
    <x v="0"/>
    <x v="6"/>
    <n v="21"/>
    <n v="7665"/>
    <n v="27594"/>
  </r>
  <r>
    <x v="0"/>
    <x v="0"/>
    <x v="0"/>
    <x v="1"/>
    <x v="2"/>
    <s v="EE_Tallinn"/>
    <x v="12"/>
    <x v="2"/>
    <s v="VAO-2_ST_WOOD_BP"/>
    <x v="0"/>
    <x v="7"/>
    <n v="21"/>
    <n v="7665"/>
    <n v="27594"/>
  </r>
  <r>
    <x v="0"/>
    <x v="0"/>
    <x v="0"/>
    <x v="1"/>
    <x v="2"/>
    <s v="EE_Tallinn"/>
    <x v="12"/>
    <x v="2"/>
    <s v="VAO-2_ST_WOOD_BP"/>
    <x v="0"/>
    <x v="8"/>
    <n v="21"/>
    <n v="7665"/>
    <n v="27594"/>
  </r>
  <r>
    <x v="0"/>
    <x v="0"/>
    <x v="0"/>
    <x v="1"/>
    <x v="2"/>
    <s v="EE_Tallinn"/>
    <x v="12"/>
    <x v="2"/>
    <s v="VAO-2_ST_WOOD_BP"/>
    <x v="0"/>
    <x v="9"/>
    <n v="21"/>
    <n v="7665"/>
    <n v="27594"/>
  </r>
  <r>
    <x v="0"/>
    <x v="0"/>
    <x v="0"/>
    <x v="1"/>
    <x v="2"/>
    <s v="EE_Tallinn"/>
    <x v="12"/>
    <x v="2"/>
    <s v="VAO-2_ST_WOOD_BP"/>
    <x v="0"/>
    <x v="10"/>
    <n v="21"/>
    <n v="7665"/>
    <n v="27594"/>
  </r>
  <r>
    <x v="0"/>
    <x v="0"/>
    <x v="0"/>
    <x v="1"/>
    <x v="2"/>
    <s v="EE_Tallinn"/>
    <x v="12"/>
    <x v="2"/>
    <s v="VAO-2_ST_WOOD_BP"/>
    <x v="0"/>
    <x v="11"/>
    <n v="21"/>
    <n v="7665"/>
    <n v="27594"/>
  </r>
  <r>
    <x v="0"/>
    <x v="0"/>
    <x v="0"/>
    <x v="1"/>
    <x v="2"/>
    <s v="EE_Tallinn"/>
    <x v="12"/>
    <x v="2"/>
    <s v="VAO-2_ST_WOOD_BP"/>
    <x v="0"/>
    <x v="12"/>
    <n v="21"/>
    <n v="7665"/>
    <n v="27594"/>
  </r>
  <r>
    <x v="0"/>
    <x v="0"/>
    <x v="0"/>
    <x v="1"/>
    <x v="2"/>
    <s v="EE_Tallinn"/>
    <x v="12"/>
    <x v="2"/>
    <s v="VAO-2_ST_WOOD_BP"/>
    <x v="0"/>
    <x v="13"/>
    <n v="21"/>
    <n v="7665"/>
    <n v="27594"/>
  </r>
  <r>
    <x v="0"/>
    <x v="0"/>
    <x v="0"/>
    <x v="1"/>
    <x v="2"/>
    <s v="EE_Tallinn"/>
    <x v="12"/>
    <x v="2"/>
    <s v="VAO-2_ST_WOOD_BP"/>
    <x v="0"/>
    <x v="14"/>
    <n v="21"/>
    <n v="7665"/>
    <n v="27594"/>
  </r>
  <r>
    <x v="0"/>
    <x v="0"/>
    <x v="0"/>
    <x v="1"/>
    <x v="2"/>
    <s v="EE_Tallinn"/>
    <x v="12"/>
    <x v="2"/>
    <s v="VAO-2_ST_WOOD_BP"/>
    <x v="0"/>
    <x v="15"/>
    <n v="21"/>
    <n v="7665"/>
    <n v="27594"/>
  </r>
  <r>
    <x v="0"/>
    <x v="0"/>
    <x v="0"/>
    <x v="1"/>
    <x v="2"/>
    <s v="EE_Tallinn"/>
    <x v="12"/>
    <x v="2"/>
    <s v="VAO-2_ST_WOOD_BP"/>
    <x v="0"/>
    <x v="16"/>
    <n v="21"/>
    <n v="7665"/>
    <n v="27594"/>
  </r>
  <r>
    <x v="0"/>
    <x v="0"/>
    <x v="0"/>
    <x v="1"/>
    <x v="2"/>
    <s v="EE_Tallinn"/>
    <x v="12"/>
    <x v="2"/>
    <s v="VAO-2_ST_WOOD_BP"/>
    <x v="0"/>
    <x v="17"/>
    <n v="21"/>
    <n v="7665"/>
    <n v="27594"/>
  </r>
  <r>
    <x v="0"/>
    <x v="0"/>
    <x v="0"/>
    <x v="1"/>
    <x v="2"/>
    <s v="EE_Tallinn"/>
    <x v="12"/>
    <x v="2"/>
    <s v="VAO-2_ST_WOOD_BP"/>
    <x v="0"/>
    <x v="19"/>
    <n v="21"/>
    <n v="7665"/>
    <n v="27594"/>
  </r>
  <r>
    <x v="0"/>
    <x v="0"/>
    <x v="0"/>
    <x v="1"/>
    <x v="2"/>
    <s v="EE_Tallinn"/>
    <x v="12"/>
    <x v="2"/>
    <s v="VAO-2_ST_WOOD_BP"/>
    <x v="0"/>
    <x v="20"/>
    <n v="21"/>
    <n v="7665"/>
    <n v="27594"/>
  </r>
  <r>
    <x v="0"/>
    <x v="0"/>
    <x v="0"/>
    <x v="1"/>
    <x v="2"/>
    <s v="EE_Tallinn"/>
    <x v="12"/>
    <x v="2"/>
    <s v="VAO-2_ST_WOOD_BP"/>
    <x v="0"/>
    <x v="21"/>
    <n v="21"/>
    <n v="7665"/>
    <n v="27594"/>
  </r>
  <r>
    <x v="0"/>
    <x v="0"/>
    <x v="0"/>
    <x v="1"/>
    <x v="2"/>
    <s v="EE_Tallinn"/>
    <x v="12"/>
    <x v="2"/>
    <s v="VAO-2_ST_WOOD_BP"/>
    <x v="0"/>
    <x v="22"/>
    <n v="21"/>
    <n v="7665"/>
    <n v="27594"/>
  </r>
  <r>
    <x v="0"/>
    <x v="0"/>
    <x v="0"/>
    <x v="1"/>
    <x v="2"/>
    <s v="EE_Tallinn"/>
    <x v="12"/>
    <x v="2"/>
    <s v="VAO-2_ST_WOOD_BP"/>
    <x v="0"/>
    <x v="23"/>
    <n v="21"/>
    <n v="7665"/>
    <n v="27594"/>
  </r>
  <r>
    <x v="0"/>
    <x v="0"/>
    <x v="0"/>
    <x v="1"/>
    <x v="2"/>
    <s v="EE_Tartu"/>
    <x v="12"/>
    <x v="2"/>
    <s v="TARTU-1_ST_WOOD_BP"/>
    <x v="0"/>
    <x v="0"/>
    <n v="22"/>
    <n v="8030"/>
    <n v="28908"/>
  </r>
  <r>
    <x v="0"/>
    <x v="0"/>
    <x v="0"/>
    <x v="1"/>
    <x v="2"/>
    <s v="EE_Tartu"/>
    <x v="12"/>
    <x v="2"/>
    <s v="TARTU-1_ST_WOOD_BP"/>
    <x v="0"/>
    <x v="1"/>
    <n v="22"/>
    <n v="8030"/>
    <n v="28908"/>
  </r>
  <r>
    <x v="0"/>
    <x v="0"/>
    <x v="0"/>
    <x v="1"/>
    <x v="2"/>
    <s v="EE_Tartu"/>
    <x v="12"/>
    <x v="2"/>
    <s v="TARTU-1_ST_WOOD_BP"/>
    <x v="0"/>
    <x v="18"/>
    <n v="22"/>
    <n v="8030"/>
    <n v="28908"/>
  </r>
  <r>
    <x v="0"/>
    <x v="0"/>
    <x v="0"/>
    <x v="1"/>
    <x v="2"/>
    <s v="EE_Tartu"/>
    <x v="12"/>
    <x v="2"/>
    <s v="TARTU-1_ST_WOOD_BP"/>
    <x v="0"/>
    <x v="2"/>
    <n v="22"/>
    <n v="8030"/>
    <n v="28908"/>
  </r>
  <r>
    <x v="0"/>
    <x v="0"/>
    <x v="0"/>
    <x v="1"/>
    <x v="2"/>
    <s v="EE_Tartu"/>
    <x v="12"/>
    <x v="2"/>
    <s v="TARTU-1_ST_WOOD_BP"/>
    <x v="0"/>
    <x v="3"/>
    <n v="22"/>
    <n v="8030"/>
    <n v="28908"/>
  </r>
  <r>
    <x v="0"/>
    <x v="0"/>
    <x v="0"/>
    <x v="1"/>
    <x v="2"/>
    <s v="EE_Tartu"/>
    <x v="12"/>
    <x v="2"/>
    <s v="TARTU-1_ST_WOOD_BP"/>
    <x v="0"/>
    <x v="4"/>
    <n v="22"/>
    <n v="8030"/>
    <n v="28908"/>
  </r>
  <r>
    <x v="0"/>
    <x v="0"/>
    <x v="0"/>
    <x v="1"/>
    <x v="2"/>
    <s v="EE_Tartu"/>
    <x v="12"/>
    <x v="2"/>
    <s v="TARTU-1_ST_WOOD_BP"/>
    <x v="0"/>
    <x v="5"/>
    <n v="22"/>
    <n v="8030"/>
    <n v="28908"/>
  </r>
  <r>
    <x v="0"/>
    <x v="0"/>
    <x v="0"/>
    <x v="1"/>
    <x v="2"/>
    <s v="EE_Tartu"/>
    <x v="12"/>
    <x v="2"/>
    <s v="TARTU-1_ST_WOOD_BP"/>
    <x v="0"/>
    <x v="6"/>
    <n v="22"/>
    <n v="8030"/>
    <n v="28908"/>
  </r>
  <r>
    <x v="0"/>
    <x v="0"/>
    <x v="0"/>
    <x v="1"/>
    <x v="2"/>
    <s v="EE_Tartu"/>
    <x v="12"/>
    <x v="2"/>
    <s v="TARTU-1_ST_WOOD_BP"/>
    <x v="0"/>
    <x v="7"/>
    <n v="22"/>
    <n v="8030"/>
    <n v="28908"/>
  </r>
  <r>
    <x v="0"/>
    <x v="0"/>
    <x v="0"/>
    <x v="1"/>
    <x v="2"/>
    <s v="EE_Tartu"/>
    <x v="12"/>
    <x v="2"/>
    <s v="TARTU-1_ST_WOOD_BP"/>
    <x v="0"/>
    <x v="8"/>
    <n v="22"/>
    <n v="8030"/>
    <n v="28908"/>
  </r>
  <r>
    <x v="0"/>
    <x v="0"/>
    <x v="0"/>
    <x v="1"/>
    <x v="2"/>
    <s v="EE_Tartu"/>
    <x v="12"/>
    <x v="2"/>
    <s v="TARTU-1_ST_WOOD_BP"/>
    <x v="0"/>
    <x v="9"/>
    <n v="22"/>
    <n v="8030"/>
    <n v="28908"/>
  </r>
  <r>
    <x v="0"/>
    <x v="0"/>
    <x v="0"/>
    <x v="1"/>
    <x v="2"/>
    <s v="EE_Tartu"/>
    <x v="12"/>
    <x v="2"/>
    <s v="TARTU-1_ST_WOOD_BP"/>
    <x v="0"/>
    <x v="10"/>
    <n v="22"/>
    <n v="8030"/>
    <n v="28908"/>
  </r>
  <r>
    <x v="0"/>
    <x v="0"/>
    <x v="0"/>
    <x v="1"/>
    <x v="2"/>
    <s v="EE_Tartu"/>
    <x v="12"/>
    <x v="2"/>
    <s v="TARTU-1_ST_WOOD_BP"/>
    <x v="0"/>
    <x v="11"/>
    <n v="22"/>
    <n v="8030"/>
    <n v="28908"/>
  </r>
  <r>
    <x v="0"/>
    <x v="0"/>
    <x v="0"/>
    <x v="1"/>
    <x v="2"/>
    <s v="EE_Tartu"/>
    <x v="12"/>
    <x v="2"/>
    <s v="TARTU-1_ST_WOOD_BP"/>
    <x v="0"/>
    <x v="12"/>
    <n v="22"/>
    <n v="8030"/>
    <n v="28908"/>
  </r>
  <r>
    <x v="0"/>
    <x v="0"/>
    <x v="0"/>
    <x v="1"/>
    <x v="2"/>
    <s v="EE_Tartu"/>
    <x v="12"/>
    <x v="2"/>
    <s v="TARTU-1_ST_WOOD_BP"/>
    <x v="0"/>
    <x v="13"/>
    <n v="22"/>
    <n v="8030"/>
    <n v="28908"/>
  </r>
  <r>
    <x v="0"/>
    <x v="0"/>
    <x v="0"/>
    <x v="1"/>
    <x v="2"/>
    <s v="EE_Tartu"/>
    <x v="12"/>
    <x v="2"/>
    <s v="TARTU-1_ST_WOOD_BP"/>
    <x v="0"/>
    <x v="14"/>
    <n v="22"/>
    <n v="8030"/>
    <n v="28908"/>
  </r>
  <r>
    <x v="0"/>
    <x v="0"/>
    <x v="0"/>
    <x v="1"/>
    <x v="2"/>
    <s v="EE_Tartu"/>
    <x v="12"/>
    <x v="2"/>
    <s v="TARTU-1_ST_WOOD_BP"/>
    <x v="0"/>
    <x v="15"/>
    <n v="22"/>
    <n v="8030"/>
    <n v="28908"/>
  </r>
  <r>
    <x v="0"/>
    <x v="0"/>
    <x v="0"/>
    <x v="1"/>
    <x v="2"/>
    <s v="EE_Tartu"/>
    <x v="12"/>
    <x v="2"/>
    <s v="TARTU-1_ST_WOOD_BP"/>
    <x v="0"/>
    <x v="16"/>
    <n v="22"/>
    <n v="8030"/>
    <n v="28908"/>
  </r>
  <r>
    <x v="0"/>
    <x v="0"/>
    <x v="0"/>
    <x v="1"/>
    <x v="2"/>
    <s v="EE_Tartu"/>
    <x v="12"/>
    <x v="2"/>
    <s v="TARTU-1_ST_WOOD_BP"/>
    <x v="0"/>
    <x v="17"/>
    <n v="22"/>
    <n v="8030"/>
    <n v="28908"/>
  </r>
  <r>
    <x v="0"/>
    <x v="0"/>
    <x v="0"/>
    <x v="1"/>
    <x v="2"/>
    <s v="EE_Tartu"/>
    <x v="12"/>
    <x v="2"/>
    <s v="TARTU-1_ST_WOOD_BP"/>
    <x v="0"/>
    <x v="19"/>
    <n v="22"/>
    <n v="8030"/>
    <n v="28908"/>
  </r>
  <r>
    <x v="0"/>
    <x v="0"/>
    <x v="0"/>
    <x v="1"/>
    <x v="2"/>
    <s v="EE_Tartu"/>
    <x v="12"/>
    <x v="2"/>
    <s v="TARTU-1_ST_WOOD_BP"/>
    <x v="0"/>
    <x v="20"/>
    <n v="22"/>
    <n v="8030"/>
    <n v="28908"/>
  </r>
  <r>
    <x v="0"/>
    <x v="0"/>
    <x v="0"/>
    <x v="1"/>
    <x v="2"/>
    <s v="EE_Tartu"/>
    <x v="12"/>
    <x v="2"/>
    <s v="TARTU-1_ST_WOOD_BP"/>
    <x v="0"/>
    <x v="21"/>
    <n v="22"/>
    <n v="8030"/>
    <n v="28908"/>
  </r>
  <r>
    <x v="0"/>
    <x v="0"/>
    <x v="0"/>
    <x v="1"/>
    <x v="2"/>
    <s v="EE_Tartu"/>
    <x v="12"/>
    <x v="2"/>
    <s v="TARTU-1_ST_WOOD_BP"/>
    <x v="0"/>
    <x v="22"/>
    <n v="22"/>
    <n v="8030"/>
    <n v="28908"/>
  </r>
  <r>
    <x v="0"/>
    <x v="0"/>
    <x v="0"/>
    <x v="1"/>
    <x v="2"/>
    <s v="EE_Tartu"/>
    <x v="12"/>
    <x v="2"/>
    <s v="TARTU-1_ST_WOOD_BP"/>
    <x v="0"/>
    <x v="23"/>
    <n v="22"/>
    <n v="8030"/>
    <n v="28908"/>
  </r>
  <r>
    <x v="0"/>
    <x v="0"/>
    <x v="0"/>
    <x v="2"/>
    <x v="3"/>
    <s v="FIN_EL"/>
    <x v="0"/>
    <x v="0"/>
    <s v="GEXT_COAL_KYMIJARVI"/>
    <x v="0"/>
    <x v="0"/>
    <n v="89.873835805211101"/>
    <n v="32803.950068901999"/>
    <n v="118094.220248047"/>
  </r>
  <r>
    <x v="0"/>
    <x v="0"/>
    <x v="0"/>
    <x v="2"/>
    <x v="3"/>
    <s v="FIN_EL"/>
    <x v="0"/>
    <x v="0"/>
    <s v="GEXT_COAL_KYMIJARVI"/>
    <x v="0"/>
    <x v="1"/>
    <n v="89.873835805211101"/>
    <n v="32803.950068901999"/>
    <n v="118094.220248047"/>
  </r>
  <r>
    <x v="0"/>
    <x v="0"/>
    <x v="0"/>
    <x v="2"/>
    <x v="3"/>
    <s v="FIN_EL"/>
    <x v="0"/>
    <x v="0"/>
    <s v="GEXT_COAL_KYMIJARVI"/>
    <x v="0"/>
    <x v="18"/>
    <n v="89.873835805211101"/>
    <n v="32803.950068901999"/>
    <n v="118094.220248047"/>
  </r>
  <r>
    <x v="0"/>
    <x v="0"/>
    <x v="0"/>
    <x v="2"/>
    <x v="3"/>
    <s v="FIN_EL"/>
    <x v="0"/>
    <x v="0"/>
    <s v="GEXT_COAL_KYMIJARVI"/>
    <x v="0"/>
    <x v="2"/>
    <n v="89.873835805211101"/>
    <n v="32803.950068901999"/>
    <n v="118094.220248047"/>
  </r>
  <r>
    <x v="0"/>
    <x v="0"/>
    <x v="0"/>
    <x v="2"/>
    <x v="3"/>
    <s v="FIN_EL"/>
    <x v="0"/>
    <x v="0"/>
    <s v="GEXT_COAL_KYMIJARVI"/>
    <x v="0"/>
    <x v="3"/>
    <n v="89.873835805211101"/>
    <n v="32803.950068901999"/>
    <n v="118094.220248047"/>
  </r>
  <r>
    <x v="0"/>
    <x v="0"/>
    <x v="0"/>
    <x v="2"/>
    <x v="3"/>
    <s v="FIN_EL"/>
    <x v="0"/>
    <x v="0"/>
    <s v="GEXT_COAL_KYMIJARVI"/>
    <x v="0"/>
    <x v="4"/>
    <n v="89.873835805211101"/>
    <n v="32803.950068901999"/>
    <n v="118094.220248047"/>
  </r>
  <r>
    <x v="0"/>
    <x v="0"/>
    <x v="0"/>
    <x v="2"/>
    <x v="3"/>
    <s v="FIN_EL"/>
    <x v="0"/>
    <x v="0"/>
    <s v="GEXT_COAL_KYMIJARVI"/>
    <x v="0"/>
    <x v="5"/>
    <n v="89.873835805211101"/>
    <n v="32803.950068901999"/>
    <n v="118094.220248047"/>
  </r>
  <r>
    <x v="0"/>
    <x v="0"/>
    <x v="0"/>
    <x v="2"/>
    <x v="3"/>
    <s v="FIN_EL"/>
    <x v="0"/>
    <x v="0"/>
    <s v="GEXT_COAL_KYMIJARVI"/>
    <x v="0"/>
    <x v="6"/>
    <n v="89.873835805211101"/>
    <n v="32803.950068901999"/>
    <n v="118094.220248047"/>
  </r>
  <r>
    <x v="0"/>
    <x v="0"/>
    <x v="0"/>
    <x v="2"/>
    <x v="3"/>
    <s v="FIN_EL"/>
    <x v="0"/>
    <x v="0"/>
    <s v="GEXT_COAL_KYMIJARVI"/>
    <x v="0"/>
    <x v="7"/>
    <n v="89.873835805211101"/>
    <n v="32803.950068901999"/>
    <n v="118094.220248047"/>
  </r>
  <r>
    <x v="0"/>
    <x v="0"/>
    <x v="0"/>
    <x v="2"/>
    <x v="3"/>
    <s v="FIN_EL"/>
    <x v="0"/>
    <x v="0"/>
    <s v="GEXT_COAL_KYMIJARVI"/>
    <x v="0"/>
    <x v="8"/>
    <n v="89.873835805211101"/>
    <n v="32803.950068901999"/>
    <n v="118094.220248047"/>
  </r>
  <r>
    <x v="0"/>
    <x v="0"/>
    <x v="0"/>
    <x v="2"/>
    <x v="3"/>
    <s v="FIN_EL"/>
    <x v="0"/>
    <x v="0"/>
    <s v="GEXT_COAL_KYMIJARVI"/>
    <x v="0"/>
    <x v="9"/>
    <n v="89.873835805211101"/>
    <n v="32803.950068901999"/>
    <n v="118094.220248047"/>
  </r>
  <r>
    <x v="0"/>
    <x v="0"/>
    <x v="0"/>
    <x v="2"/>
    <x v="3"/>
    <s v="FIN_EL"/>
    <x v="0"/>
    <x v="0"/>
    <s v="GEXT_COAL_KYMIJARVI"/>
    <x v="0"/>
    <x v="10"/>
    <n v="89.873835805211101"/>
    <n v="32803.950068901999"/>
    <n v="118094.220248047"/>
  </r>
  <r>
    <x v="0"/>
    <x v="0"/>
    <x v="0"/>
    <x v="2"/>
    <x v="3"/>
    <s v="FIN_EL"/>
    <x v="0"/>
    <x v="0"/>
    <s v="GEXT_COAL_KYMIJARVI"/>
    <x v="0"/>
    <x v="11"/>
    <n v="89.873835805211101"/>
    <n v="32803.950068901999"/>
    <n v="118094.220248047"/>
  </r>
  <r>
    <x v="0"/>
    <x v="0"/>
    <x v="0"/>
    <x v="2"/>
    <x v="3"/>
    <s v="FIN_EL"/>
    <x v="0"/>
    <x v="0"/>
    <s v="GEXT_COAL_KYMIJARVI"/>
    <x v="0"/>
    <x v="12"/>
    <n v="89.873835805211101"/>
    <n v="32803.950068901999"/>
    <n v="118094.220248047"/>
  </r>
  <r>
    <x v="0"/>
    <x v="0"/>
    <x v="0"/>
    <x v="2"/>
    <x v="3"/>
    <s v="FIN_EL"/>
    <x v="0"/>
    <x v="0"/>
    <s v="GEXT_COAL_KYMIJARVI"/>
    <x v="0"/>
    <x v="13"/>
    <n v="89.873835805211101"/>
    <n v="32803.950068901999"/>
    <n v="118094.220248047"/>
  </r>
  <r>
    <x v="0"/>
    <x v="0"/>
    <x v="0"/>
    <x v="2"/>
    <x v="3"/>
    <s v="FIN_EL"/>
    <x v="0"/>
    <x v="0"/>
    <s v="GEXT_COAL_KYMIJARVI"/>
    <x v="0"/>
    <x v="14"/>
    <n v="89.873835805211101"/>
    <n v="32803.950068901999"/>
    <n v="118094.220248047"/>
  </r>
  <r>
    <x v="0"/>
    <x v="0"/>
    <x v="0"/>
    <x v="2"/>
    <x v="3"/>
    <s v="FIN_EL"/>
    <x v="0"/>
    <x v="0"/>
    <s v="GEXT_COAL_KYMIJARVI"/>
    <x v="0"/>
    <x v="15"/>
    <n v="89.873835805211101"/>
    <n v="32803.950068901999"/>
    <n v="118094.220248047"/>
  </r>
  <r>
    <x v="0"/>
    <x v="0"/>
    <x v="0"/>
    <x v="2"/>
    <x v="3"/>
    <s v="FIN_EL"/>
    <x v="0"/>
    <x v="0"/>
    <s v="GEXT_COAL_KYMIJARVI"/>
    <x v="0"/>
    <x v="16"/>
    <n v="89.873835805211101"/>
    <n v="32803.950068901999"/>
    <n v="118094.220248047"/>
  </r>
  <r>
    <x v="0"/>
    <x v="0"/>
    <x v="0"/>
    <x v="2"/>
    <x v="3"/>
    <s v="FIN_EL"/>
    <x v="0"/>
    <x v="0"/>
    <s v="GEXT_COAL_KYMIJARVI"/>
    <x v="0"/>
    <x v="17"/>
    <n v="89.873835805211101"/>
    <n v="32803.950068901999"/>
    <n v="118094.220248047"/>
  </r>
  <r>
    <x v="0"/>
    <x v="0"/>
    <x v="0"/>
    <x v="2"/>
    <x v="3"/>
    <s v="FIN_EL"/>
    <x v="0"/>
    <x v="0"/>
    <s v="GEXT_COAL_KYMIJARVI"/>
    <x v="0"/>
    <x v="19"/>
    <n v="89.873835805211101"/>
    <n v="32803.950068901999"/>
    <n v="118094.220248047"/>
  </r>
  <r>
    <x v="0"/>
    <x v="0"/>
    <x v="0"/>
    <x v="2"/>
    <x v="3"/>
    <s v="FIN_EL"/>
    <x v="0"/>
    <x v="0"/>
    <s v="GEXT_COAL_KYMIJARVI"/>
    <x v="0"/>
    <x v="20"/>
    <n v="89.873835805211101"/>
    <n v="32803.950068901999"/>
    <n v="118094.220248047"/>
  </r>
  <r>
    <x v="0"/>
    <x v="0"/>
    <x v="0"/>
    <x v="2"/>
    <x v="3"/>
    <s v="FIN_EL"/>
    <x v="0"/>
    <x v="0"/>
    <s v="GEXT_COAL_KYMIJARVI"/>
    <x v="0"/>
    <x v="21"/>
    <n v="89.873835805211101"/>
    <n v="32803.950068901999"/>
    <n v="118094.220248047"/>
  </r>
  <r>
    <x v="0"/>
    <x v="0"/>
    <x v="0"/>
    <x v="2"/>
    <x v="3"/>
    <s v="FIN_EL"/>
    <x v="0"/>
    <x v="0"/>
    <s v="GEXT_COAL_KYMIJARVI"/>
    <x v="0"/>
    <x v="22"/>
    <n v="89.873835805211101"/>
    <n v="32803.950068901999"/>
    <n v="118094.220248047"/>
  </r>
  <r>
    <x v="0"/>
    <x v="0"/>
    <x v="0"/>
    <x v="2"/>
    <x v="3"/>
    <s v="FIN_EL"/>
    <x v="0"/>
    <x v="0"/>
    <s v="GEXT_COAL_KYMIJARVI"/>
    <x v="0"/>
    <x v="23"/>
    <n v="89.873835805211101"/>
    <n v="32803.950068901999"/>
    <n v="118094.220248047"/>
  </r>
  <r>
    <x v="0"/>
    <x v="0"/>
    <x v="0"/>
    <x v="2"/>
    <x v="3"/>
    <s v="FIN_EL"/>
    <x v="10"/>
    <x v="2"/>
    <s v="GBPR_WOODWASTE_FINEL"/>
    <x v="0"/>
    <x v="0"/>
    <n v="110"/>
    <n v="40150"/>
    <n v="144540"/>
  </r>
  <r>
    <x v="0"/>
    <x v="0"/>
    <x v="0"/>
    <x v="2"/>
    <x v="3"/>
    <s v="FIN_EL"/>
    <x v="10"/>
    <x v="2"/>
    <s v="GBPR_WOODWASTE_FINEL"/>
    <x v="0"/>
    <x v="1"/>
    <n v="110"/>
    <n v="40150"/>
    <n v="144540"/>
  </r>
  <r>
    <x v="0"/>
    <x v="0"/>
    <x v="0"/>
    <x v="2"/>
    <x v="3"/>
    <s v="FIN_EL"/>
    <x v="10"/>
    <x v="2"/>
    <s v="GBPR_WOODWASTE_FINEL"/>
    <x v="0"/>
    <x v="18"/>
    <n v="110"/>
    <n v="40150"/>
    <n v="144540"/>
  </r>
  <r>
    <x v="0"/>
    <x v="0"/>
    <x v="0"/>
    <x v="2"/>
    <x v="3"/>
    <s v="FIN_EL"/>
    <x v="10"/>
    <x v="2"/>
    <s v="GBPR_WOODWASTE_FINEL"/>
    <x v="0"/>
    <x v="2"/>
    <n v="110"/>
    <n v="40150"/>
    <n v="144540"/>
  </r>
  <r>
    <x v="0"/>
    <x v="0"/>
    <x v="0"/>
    <x v="2"/>
    <x v="3"/>
    <s v="FIN_EL"/>
    <x v="10"/>
    <x v="2"/>
    <s v="GBPR_WOODWASTE_FINEL"/>
    <x v="0"/>
    <x v="3"/>
    <n v="110"/>
    <n v="40150"/>
    <n v="144540"/>
  </r>
  <r>
    <x v="0"/>
    <x v="0"/>
    <x v="0"/>
    <x v="2"/>
    <x v="3"/>
    <s v="FIN_EL"/>
    <x v="10"/>
    <x v="2"/>
    <s v="GBPR_WOODWASTE_FINEL"/>
    <x v="0"/>
    <x v="4"/>
    <n v="110"/>
    <n v="40150"/>
    <n v="144540"/>
  </r>
  <r>
    <x v="0"/>
    <x v="0"/>
    <x v="0"/>
    <x v="2"/>
    <x v="3"/>
    <s v="FIN_EL"/>
    <x v="10"/>
    <x v="2"/>
    <s v="GBPR_WOODWASTE_FINEL"/>
    <x v="0"/>
    <x v="5"/>
    <n v="110"/>
    <n v="40150"/>
    <n v="144540"/>
  </r>
  <r>
    <x v="0"/>
    <x v="0"/>
    <x v="0"/>
    <x v="2"/>
    <x v="3"/>
    <s v="FIN_EL"/>
    <x v="10"/>
    <x v="2"/>
    <s v="GBPR_WOODWASTE_FINEL"/>
    <x v="0"/>
    <x v="6"/>
    <n v="110"/>
    <n v="40150"/>
    <n v="144540"/>
  </r>
  <r>
    <x v="0"/>
    <x v="0"/>
    <x v="0"/>
    <x v="2"/>
    <x v="3"/>
    <s v="FIN_EL"/>
    <x v="10"/>
    <x v="2"/>
    <s v="GBPR_WOODWASTE_FINEL"/>
    <x v="0"/>
    <x v="7"/>
    <n v="110"/>
    <n v="40150"/>
    <n v="144540"/>
  </r>
  <r>
    <x v="0"/>
    <x v="0"/>
    <x v="0"/>
    <x v="2"/>
    <x v="3"/>
    <s v="FIN_EL"/>
    <x v="10"/>
    <x v="2"/>
    <s v="GBPR_WOODWASTE_FINEL"/>
    <x v="0"/>
    <x v="8"/>
    <n v="110"/>
    <n v="40150"/>
    <n v="144540"/>
  </r>
  <r>
    <x v="0"/>
    <x v="0"/>
    <x v="0"/>
    <x v="2"/>
    <x v="3"/>
    <s v="FIN_EL"/>
    <x v="10"/>
    <x v="2"/>
    <s v="GBPR_WOODWASTE_FINEL"/>
    <x v="0"/>
    <x v="9"/>
    <n v="110"/>
    <n v="40150"/>
    <n v="144540"/>
  </r>
  <r>
    <x v="0"/>
    <x v="0"/>
    <x v="0"/>
    <x v="2"/>
    <x v="3"/>
    <s v="FIN_EL"/>
    <x v="10"/>
    <x v="2"/>
    <s v="GBPR_WOODWASTE_FINEL"/>
    <x v="0"/>
    <x v="10"/>
    <n v="110"/>
    <n v="40150"/>
    <n v="144540"/>
  </r>
  <r>
    <x v="0"/>
    <x v="0"/>
    <x v="0"/>
    <x v="2"/>
    <x v="3"/>
    <s v="FIN_EL"/>
    <x v="10"/>
    <x v="2"/>
    <s v="GBPR_WOODWASTE_FINEL"/>
    <x v="0"/>
    <x v="11"/>
    <n v="110"/>
    <n v="40150"/>
    <n v="144540"/>
  </r>
  <r>
    <x v="0"/>
    <x v="0"/>
    <x v="0"/>
    <x v="2"/>
    <x v="3"/>
    <s v="FIN_EL"/>
    <x v="10"/>
    <x v="2"/>
    <s v="GBPR_WOODWASTE_FINEL"/>
    <x v="0"/>
    <x v="12"/>
    <n v="110"/>
    <n v="40150"/>
    <n v="144540"/>
  </r>
  <r>
    <x v="0"/>
    <x v="0"/>
    <x v="0"/>
    <x v="2"/>
    <x v="3"/>
    <s v="FIN_EL"/>
    <x v="10"/>
    <x v="2"/>
    <s v="GBPR_WOODWASTE_FINEL"/>
    <x v="0"/>
    <x v="13"/>
    <n v="110"/>
    <n v="40150"/>
    <n v="144540"/>
  </r>
  <r>
    <x v="0"/>
    <x v="0"/>
    <x v="0"/>
    <x v="2"/>
    <x v="3"/>
    <s v="FIN_EL"/>
    <x v="10"/>
    <x v="2"/>
    <s v="GBPR_WOODWASTE_FINEL"/>
    <x v="0"/>
    <x v="14"/>
    <n v="110"/>
    <n v="40150"/>
    <n v="144540"/>
  </r>
  <r>
    <x v="0"/>
    <x v="0"/>
    <x v="0"/>
    <x v="2"/>
    <x v="3"/>
    <s v="FIN_EL"/>
    <x v="10"/>
    <x v="2"/>
    <s v="GBPR_WOODWASTE_FINEL"/>
    <x v="0"/>
    <x v="15"/>
    <n v="110"/>
    <n v="40150"/>
    <n v="144540"/>
  </r>
  <r>
    <x v="0"/>
    <x v="0"/>
    <x v="0"/>
    <x v="2"/>
    <x v="3"/>
    <s v="FIN_EL"/>
    <x v="10"/>
    <x v="2"/>
    <s v="GBPR_WOODWASTE_FINEL"/>
    <x v="0"/>
    <x v="16"/>
    <n v="110"/>
    <n v="40150"/>
    <n v="144540"/>
  </r>
  <r>
    <x v="0"/>
    <x v="0"/>
    <x v="0"/>
    <x v="2"/>
    <x v="3"/>
    <s v="FIN_EL"/>
    <x v="10"/>
    <x v="2"/>
    <s v="GBPR_WOODWASTE_FINEL"/>
    <x v="0"/>
    <x v="17"/>
    <n v="110"/>
    <n v="40150"/>
    <n v="144540"/>
  </r>
  <r>
    <x v="0"/>
    <x v="0"/>
    <x v="0"/>
    <x v="2"/>
    <x v="3"/>
    <s v="FIN_EL"/>
    <x v="10"/>
    <x v="2"/>
    <s v="GBPR_WOODWASTE_FINEL"/>
    <x v="0"/>
    <x v="19"/>
    <n v="110"/>
    <n v="40150"/>
    <n v="144540"/>
  </r>
  <r>
    <x v="0"/>
    <x v="0"/>
    <x v="0"/>
    <x v="2"/>
    <x v="3"/>
    <s v="FIN_EL"/>
    <x v="10"/>
    <x v="2"/>
    <s v="GBPR_WOODWASTE_FINEL"/>
    <x v="0"/>
    <x v="20"/>
    <n v="110"/>
    <n v="40150"/>
    <n v="144540"/>
  </r>
  <r>
    <x v="0"/>
    <x v="0"/>
    <x v="0"/>
    <x v="2"/>
    <x v="3"/>
    <s v="FIN_EL"/>
    <x v="10"/>
    <x v="2"/>
    <s v="GBPR_WOODWASTE_FINEL"/>
    <x v="0"/>
    <x v="21"/>
    <n v="110"/>
    <n v="40150"/>
    <n v="144540"/>
  </r>
  <r>
    <x v="0"/>
    <x v="0"/>
    <x v="0"/>
    <x v="2"/>
    <x v="3"/>
    <s v="FIN_EL"/>
    <x v="10"/>
    <x v="2"/>
    <s v="GBPR_WOODWASTE_FINEL"/>
    <x v="0"/>
    <x v="22"/>
    <n v="110"/>
    <n v="40150"/>
    <n v="144540"/>
  </r>
  <r>
    <x v="0"/>
    <x v="0"/>
    <x v="0"/>
    <x v="2"/>
    <x v="3"/>
    <s v="FIN_EL"/>
    <x v="10"/>
    <x v="2"/>
    <s v="GBPR_WOODWASTE_FINEL"/>
    <x v="0"/>
    <x v="23"/>
    <n v="110"/>
    <n v="40150"/>
    <n v="144540"/>
  </r>
  <r>
    <x v="0"/>
    <x v="0"/>
    <x v="0"/>
    <x v="2"/>
    <x v="3"/>
    <s v="FIN_ESPOO"/>
    <x v="0"/>
    <x v="2"/>
    <s v="GBPR_COAL_SUOMENOJA"/>
    <x v="0"/>
    <x v="0"/>
    <n v="58.939518711684499"/>
    <n v="21512.924329764901"/>
    <n v="77446.527587153498"/>
  </r>
  <r>
    <x v="0"/>
    <x v="0"/>
    <x v="0"/>
    <x v="2"/>
    <x v="3"/>
    <s v="FIN_ESPOO"/>
    <x v="0"/>
    <x v="2"/>
    <s v="GBPR_COAL_SUOMENOJA"/>
    <x v="0"/>
    <x v="1"/>
    <n v="58.939518711684499"/>
    <n v="21512.924329764901"/>
    <n v="77446.527587153498"/>
  </r>
  <r>
    <x v="0"/>
    <x v="0"/>
    <x v="0"/>
    <x v="2"/>
    <x v="3"/>
    <s v="FIN_ESPOO"/>
    <x v="0"/>
    <x v="2"/>
    <s v="GBPR_COAL_SUOMENOJA"/>
    <x v="0"/>
    <x v="18"/>
    <n v="58.939518711684499"/>
    <n v="21512.924329764901"/>
    <n v="77446.527587153498"/>
  </r>
  <r>
    <x v="0"/>
    <x v="0"/>
    <x v="0"/>
    <x v="2"/>
    <x v="3"/>
    <s v="FIN_ESPOO"/>
    <x v="0"/>
    <x v="2"/>
    <s v="GBPR_COAL_SUOMENOJA"/>
    <x v="0"/>
    <x v="2"/>
    <n v="58.939518711684499"/>
    <n v="21512.924329764901"/>
    <n v="77446.527587153498"/>
  </r>
  <r>
    <x v="0"/>
    <x v="0"/>
    <x v="0"/>
    <x v="2"/>
    <x v="3"/>
    <s v="FIN_ESPOO"/>
    <x v="0"/>
    <x v="2"/>
    <s v="GBPR_COAL_SUOMENOJA"/>
    <x v="0"/>
    <x v="3"/>
    <n v="58.939518711684499"/>
    <n v="21512.924329764901"/>
    <n v="77446.527587153498"/>
  </r>
  <r>
    <x v="0"/>
    <x v="0"/>
    <x v="0"/>
    <x v="2"/>
    <x v="3"/>
    <s v="FIN_ESPOO"/>
    <x v="0"/>
    <x v="2"/>
    <s v="GBPR_COAL_SUOMENOJA"/>
    <x v="0"/>
    <x v="4"/>
    <n v="58.939518711684499"/>
    <n v="21512.924329764901"/>
    <n v="77446.527587153498"/>
  </r>
  <r>
    <x v="0"/>
    <x v="0"/>
    <x v="0"/>
    <x v="2"/>
    <x v="3"/>
    <s v="FIN_ESPOO"/>
    <x v="0"/>
    <x v="2"/>
    <s v="GBPR_COAL_SUOMENOJA"/>
    <x v="0"/>
    <x v="5"/>
    <n v="58.939518711684499"/>
    <n v="21512.924329764901"/>
    <n v="77446.527587153498"/>
  </r>
  <r>
    <x v="0"/>
    <x v="0"/>
    <x v="0"/>
    <x v="2"/>
    <x v="3"/>
    <s v="FIN_ESPOO"/>
    <x v="0"/>
    <x v="2"/>
    <s v="GBPR_COAL_SUOMENOJA"/>
    <x v="0"/>
    <x v="6"/>
    <n v="58.939518711684499"/>
    <n v="21512.924329764901"/>
    <n v="77446.527587153498"/>
  </r>
  <r>
    <x v="0"/>
    <x v="0"/>
    <x v="0"/>
    <x v="2"/>
    <x v="3"/>
    <s v="FIN_ESPOO"/>
    <x v="0"/>
    <x v="2"/>
    <s v="GBPR_COAL_SUOMENOJA"/>
    <x v="0"/>
    <x v="7"/>
    <n v="58.939518711684499"/>
    <n v="21512.924329764901"/>
    <n v="77446.527587153498"/>
  </r>
  <r>
    <x v="0"/>
    <x v="0"/>
    <x v="0"/>
    <x v="2"/>
    <x v="3"/>
    <s v="FIN_ESPOO"/>
    <x v="0"/>
    <x v="2"/>
    <s v="GBPR_COAL_SUOMENOJA"/>
    <x v="0"/>
    <x v="8"/>
    <n v="58.939518711684499"/>
    <n v="21512.924329764901"/>
    <n v="77446.527587153498"/>
  </r>
  <r>
    <x v="0"/>
    <x v="0"/>
    <x v="0"/>
    <x v="2"/>
    <x v="3"/>
    <s v="FIN_ESPOO"/>
    <x v="0"/>
    <x v="2"/>
    <s v="GBPR_COAL_SUOMENOJA"/>
    <x v="0"/>
    <x v="9"/>
    <n v="58.939518711684499"/>
    <n v="21512.924329764901"/>
    <n v="77446.527587153498"/>
  </r>
  <r>
    <x v="0"/>
    <x v="0"/>
    <x v="0"/>
    <x v="2"/>
    <x v="3"/>
    <s v="FIN_ESPOO"/>
    <x v="0"/>
    <x v="2"/>
    <s v="GBPR_COAL_SUOMENOJA"/>
    <x v="0"/>
    <x v="10"/>
    <n v="58.939518711684499"/>
    <n v="21512.924329764901"/>
    <n v="77446.527587153498"/>
  </r>
  <r>
    <x v="0"/>
    <x v="0"/>
    <x v="0"/>
    <x v="2"/>
    <x v="3"/>
    <s v="FIN_ESPOO"/>
    <x v="0"/>
    <x v="2"/>
    <s v="GBPR_COAL_SUOMENOJA"/>
    <x v="0"/>
    <x v="11"/>
    <n v="58.939518711684499"/>
    <n v="21512.924329764901"/>
    <n v="77446.527587153498"/>
  </r>
  <r>
    <x v="0"/>
    <x v="0"/>
    <x v="0"/>
    <x v="2"/>
    <x v="3"/>
    <s v="FIN_ESPOO"/>
    <x v="0"/>
    <x v="2"/>
    <s v="GBPR_COAL_SUOMENOJA"/>
    <x v="0"/>
    <x v="12"/>
    <n v="58.939518711684499"/>
    <n v="21512.924329764901"/>
    <n v="77446.527587153498"/>
  </r>
  <r>
    <x v="0"/>
    <x v="0"/>
    <x v="0"/>
    <x v="2"/>
    <x v="3"/>
    <s v="FIN_ESPOO"/>
    <x v="0"/>
    <x v="2"/>
    <s v="GBPR_COAL_SUOMENOJA"/>
    <x v="0"/>
    <x v="13"/>
    <n v="58.939518711684499"/>
    <n v="21512.924329764901"/>
    <n v="77446.527587153498"/>
  </r>
  <r>
    <x v="0"/>
    <x v="0"/>
    <x v="0"/>
    <x v="2"/>
    <x v="3"/>
    <s v="FIN_ESPOO"/>
    <x v="0"/>
    <x v="2"/>
    <s v="GBPR_COAL_SUOMENOJA"/>
    <x v="0"/>
    <x v="14"/>
    <n v="58.939518711684499"/>
    <n v="21512.924329764901"/>
    <n v="77446.527587153498"/>
  </r>
  <r>
    <x v="0"/>
    <x v="0"/>
    <x v="0"/>
    <x v="2"/>
    <x v="3"/>
    <s v="FIN_ESPOO"/>
    <x v="0"/>
    <x v="2"/>
    <s v="GBPR_COAL_SUOMENOJA"/>
    <x v="0"/>
    <x v="15"/>
    <n v="58.939518711684499"/>
    <n v="21512.924329764901"/>
    <n v="77446.527587153498"/>
  </r>
  <r>
    <x v="0"/>
    <x v="0"/>
    <x v="0"/>
    <x v="2"/>
    <x v="3"/>
    <s v="FIN_ESPOO"/>
    <x v="0"/>
    <x v="2"/>
    <s v="GBPR_COAL_SUOMENOJA"/>
    <x v="0"/>
    <x v="16"/>
    <n v="58.939518711684499"/>
    <n v="21512.924329764901"/>
    <n v="77446.527587153498"/>
  </r>
  <r>
    <x v="0"/>
    <x v="0"/>
    <x v="0"/>
    <x v="2"/>
    <x v="3"/>
    <s v="FIN_ESPOO"/>
    <x v="0"/>
    <x v="2"/>
    <s v="GBPR_COAL_SUOMENOJA"/>
    <x v="0"/>
    <x v="17"/>
    <n v="58.939518711684499"/>
    <n v="21512.924329764901"/>
    <n v="77446.527587153498"/>
  </r>
  <r>
    <x v="0"/>
    <x v="0"/>
    <x v="0"/>
    <x v="2"/>
    <x v="3"/>
    <s v="FIN_ESPOO"/>
    <x v="0"/>
    <x v="2"/>
    <s v="GBPR_COAL_SUOMENOJA"/>
    <x v="0"/>
    <x v="19"/>
    <n v="58.939518711684499"/>
    <n v="21512.924329764901"/>
    <n v="77446.527587153498"/>
  </r>
  <r>
    <x v="0"/>
    <x v="0"/>
    <x v="0"/>
    <x v="2"/>
    <x v="3"/>
    <s v="FIN_ESPOO"/>
    <x v="0"/>
    <x v="2"/>
    <s v="GBPR_COAL_SUOMENOJA"/>
    <x v="0"/>
    <x v="20"/>
    <n v="58.939518711684499"/>
    <n v="21512.924329764901"/>
    <n v="77446.527587153498"/>
  </r>
  <r>
    <x v="0"/>
    <x v="0"/>
    <x v="0"/>
    <x v="2"/>
    <x v="3"/>
    <s v="FIN_ESPOO"/>
    <x v="0"/>
    <x v="2"/>
    <s v="GBPR_COAL_SUOMENOJA"/>
    <x v="0"/>
    <x v="21"/>
    <n v="58.939518711684499"/>
    <n v="21512.924329764901"/>
    <n v="77446.527587153498"/>
  </r>
  <r>
    <x v="0"/>
    <x v="0"/>
    <x v="0"/>
    <x v="2"/>
    <x v="3"/>
    <s v="FIN_ESPOO"/>
    <x v="0"/>
    <x v="2"/>
    <s v="GBPR_COAL_SUOMENOJA"/>
    <x v="0"/>
    <x v="22"/>
    <n v="58.939518711684499"/>
    <n v="21512.924329764901"/>
    <n v="77446.527587153498"/>
  </r>
  <r>
    <x v="0"/>
    <x v="0"/>
    <x v="0"/>
    <x v="2"/>
    <x v="3"/>
    <s v="FIN_ESPOO"/>
    <x v="0"/>
    <x v="2"/>
    <s v="GBPR_COAL_SUOMENOJA"/>
    <x v="0"/>
    <x v="23"/>
    <n v="58.939518711684499"/>
    <n v="21512.924329764901"/>
    <n v="77446.527587153498"/>
  </r>
  <r>
    <x v="0"/>
    <x v="0"/>
    <x v="0"/>
    <x v="2"/>
    <x v="3"/>
    <s v="FIN_ESPOO"/>
    <x v="8"/>
    <x v="2"/>
    <s v="GBPR_NATGAS_SUOMENOJA"/>
    <x v="0"/>
    <x v="6"/>
    <n v="19.211697693876499"/>
    <n v="7012.2696582649196"/>
    <n v="25244.170769753699"/>
  </r>
  <r>
    <x v="0"/>
    <x v="0"/>
    <x v="0"/>
    <x v="2"/>
    <x v="3"/>
    <s v="FIN_ESPOO"/>
    <x v="8"/>
    <x v="2"/>
    <s v="GBPR_NATGAS_SUOMENOJA"/>
    <x v="0"/>
    <x v="7"/>
    <n v="17.919277393268398"/>
    <n v="6540.5362485429696"/>
    <n v="23545.930494754699"/>
  </r>
  <r>
    <x v="0"/>
    <x v="0"/>
    <x v="0"/>
    <x v="2"/>
    <x v="3"/>
    <s v="FIN_ESPOO"/>
    <x v="8"/>
    <x v="2"/>
    <s v="GBPR_NATGAS_SUOMENOJA2"/>
    <x v="0"/>
    <x v="4"/>
    <n v="175.037323824921"/>
    <n v="63888.623196096203"/>
    <n v="229999.043505946"/>
  </r>
  <r>
    <x v="0"/>
    <x v="0"/>
    <x v="0"/>
    <x v="2"/>
    <x v="3"/>
    <s v="FIN_ESPOO"/>
    <x v="8"/>
    <x v="2"/>
    <s v="GBPR_NATGAS_SUOMENOJA2"/>
    <x v="0"/>
    <x v="5"/>
    <n v="234"/>
    <n v="85410"/>
    <n v="307476"/>
  </r>
  <r>
    <x v="0"/>
    <x v="0"/>
    <x v="0"/>
    <x v="2"/>
    <x v="3"/>
    <s v="FIN_ESPOO"/>
    <x v="8"/>
    <x v="2"/>
    <s v="GBPR_NATGAS_SUOMENOJA2"/>
    <x v="0"/>
    <x v="6"/>
    <n v="234"/>
    <n v="85410"/>
    <n v="307476"/>
  </r>
  <r>
    <x v="0"/>
    <x v="0"/>
    <x v="0"/>
    <x v="2"/>
    <x v="3"/>
    <s v="FIN_ESPOO"/>
    <x v="8"/>
    <x v="2"/>
    <s v="GBPR_NATGAS_SUOMENOJA2"/>
    <x v="0"/>
    <x v="7"/>
    <n v="234"/>
    <n v="85410"/>
    <n v="307476"/>
  </r>
  <r>
    <x v="0"/>
    <x v="0"/>
    <x v="0"/>
    <x v="2"/>
    <x v="3"/>
    <s v="FIN_ESPOO"/>
    <x v="8"/>
    <x v="2"/>
    <s v="GBPR_NATGAS_SUOMENOJA2"/>
    <x v="0"/>
    <x v="8"/>
    <n v="234"/>
    <n v="85410"/>
    <n v="307476"/>
  </r>
  <r>
    <x v="0"/>
    <x v="0"/>
    <x v="0"/>
    <x v="2"/>
    <x v="3"/>
    <s v="FIN_ESPOO"/>
    <x v="8"/>
    <x v="2"/>
    <s v="GBPR_NATGAS_SUOMENOJA2"/>
    <x v="0"/>
    <x v="9"/>
    <n v="234"/>
    <n v="85410"/>
    <n v="307476"/>
  </r>
  <r>
    <x v="0"/>
    <x v="0"/>
    <x v="0"/>
    <x v="2"/>
    <x v="3"/>
    <s v="FIN_ESPOO"/>
    <x v="8"/>
    <x v="2"/>
    <s v="GBPR_NATGAS_SUOMENOJA2"/>
    <x v="0"/>
    <x v="10"/>
    <n v="234"/>
    <n v="85410"/>
    <n v="307476"/>
  </r>
  <r>
    <x v="0"/>
    <x v="0"/>
    <x v="0"/>
    <x v="2"/>
    <x v="3"/>
    <s v="FIN_ESPOO"/>
    <x v="8"/>
    <x v="2"/>
    <s v="GBPR_NATGAS_SUOMENOJA2"/>
    <x v="0"/>
    <x v="11"/>
    <n v="234"/>
    <n v="85410"/>
    <n v="307476"/>
  </r>
  <r>
    <x v="0"/>
    <x v="0"/>
    <x v="0"/>
    <x v="2"/>
    <x v="3"/>
    <s v="FIN_ESPOO"/>
    <x v="8"/>
    <x v="2"/>
    <s v="GBPR_NATGAS_SUOMENOJA2"/>
    <x v="0"/>
    <x v="12"/>
    <n v="234"/>
    <n v="85410"/>
    <n v="307476"/>
  </r>
  <r>
    <x v="0"/>
    <x v="0"/>
    <x v="0"/>
    <x v="2"/>
    <x v="3"/>
    <s v="FIN_ESPOO"/>
    <x v="8"/>
    <x v="2"/>
    <s v="GBPR_NATGAS_SUOMENOJA2"/>
    <x v="0"/>
    <x v="13"/>
    <n v="234"/>
    <n v="85410"/>
    <n v="307476"/>
  </r>
  <r>
    <x v="0"/>
    <x v="0"/>
    <x v="0"/>
    <x v="2"/>
    <x v="3"/>
    <s v="FIN_ESPOO"/>
    <x v="8"/>
    <x v="2"/>
    <s v="GBPR_NATGAS_SUOMENOJA2"/>
    <x v="0"/>
    <x v="14"/>
    <n v="234"/>
    <n v="85410"/>
    <n v="307476"/>
  </r>
  <r>
    <x v="0"/>
    <x v="0"/>
    <x v="0"/>
    <x v="2"/>
    <x v="3"/>
    <s v="FIN_ESPOO"/>
    <x v="8"/>
    <x v="2"/>
    <s v="GBPR_NATGAS_SUOMENOJA2"/>
    <x v="0"/>
    <x v="15"/>
    <n v="234"/>
    <n v="85410"/>
    <n v="307476"/>
  </r>
  <r>
    <x v="0"/>
    <x v="0"/>
    <x v="0"/>
    <x v="2"/>
    <x v="3"/>
    <s v="FIN_ESPOO"/>
    <x v="8"/>
    <x v="2"/>
    <s v="GBPR_NATGAS_SUOMENOJA2"/>
    <x v="0"/>
    <x v="16"/>
    <n v="226.53566920242099"/>
    <n v="82685.519258883796"/>
    <n v="297667.86933198199"/>
  </r>
  <r>
    <x v="0"/>
    <x v="0"/>
    <x v="0"/>
    <x v="2"/>
    <x v="3"/>
    <s v="FIN_ESPOO"/>
    <x v="8"/>
    <x v="2"/>
    <s v="GBPR_NATGAS_SUOMENOJA2"/>
    <x v="0"/>
    <x v="17"/>
    <n v="222.39937048986201"/>
    <n v="81175.770228799694"/>
    <n v="292232.77282367903"/>
  </r>
  <r>
    <x v="0"/>
    <x v="0"/>
    <x v="0"/>
    <x v="2"/>
    <x v="3"/>
    <s v="FIN_ESPOO"/>
    <x v="8"/>
    <x v="2"/>
    <s v="GBPR_NATGAS_SUOMENOJA2"/>
    <x v="0"/>
    <x v="19"/>
    <n v="216.66564874629299"/>
    <n v="79082.961792397095"/>
    <n v="284698.66245263"/>
  </r>
  <r>
    <x v="0"/>
    <x v="0"/>
    <x v="0"/>
    <x v="2"/>
    <x v="3"/>
    <s v="FIN_ESPOO"/>
    <x v="8"/>
    <x v="2"/>
    <s v="GBPR_NATGAS_SUOMENOJA2"/>
    <x v="0"/>
    <x v="20"/>
    <n v="187.622832424873"/>
    <n v="68482.333835078796"/>
    <n v="246536.401806284"/>
  </r>
  <r>
    <x v="0"/>
    <x v="0"/>
    <x v="0"/>
    <x v="2"/>
    <x v="3"/>
    <s v="FIN_ESPOO"/>
    <x v="8"/>
    <x v="2"/>
    <s v="GBPR_NATGAS_SUOMENOJA2"/>
    <x v="0"/>
    <x v="21"/>
    <n v="177.94701443973"/>
    <n v="64950.660270501299"/>
    <n v="233822.37697380499"/>
  </r>
  <r>
    <x v="0"/>
    <x v="0"/>
    <x v="0"/>
    <x v="2"/>
    <x v="3"/>
    <s v="FIN_ESPOO"/>
    <x v="8"/>
    <x v="2"/>
    <s v="GBPR_NATGAS_SUOMENOJA2"/>
    <x v="0"/>
    <x v="22"/>
    <n v="69.481911766749803"/>
    <n v="25360.8977948637"/>
    <n v="91299.232061509203"/>
  </r>
  <r>
    <x v="0"/>
    <x v="0"/>
    <x v="0"/>
    <x v="2"/>
    <x v="3"/>
    <s v="FIN_GAS"/>
    <x v="8"/>
    <x v="2"/>
    <s v="GBPR_NATGAS_GASAREA"/>
    <x v="0"/>
    <x v="6"/>
    <n v="59"/>
    <n v="21535"/>
    <n v="77526"/>
  </r>
  <r>
    <x v="0"/>
    <x v="0"/>
    <x v="0"/>
    <x v="2"/>
    <x v="3"/>
    <s v="FIN_GAS"/>
    <x v="8"/>
    <x v="2"/>
    <s v="GBPR_NATGAS_GASAREA"/>
    <x v="0"/>
    <x v="7"/>
    <n v="59"/>
    <n v="21535"/>
    <n v="77526"/>
  </r>
  <r>
    <x v="0"/>
    <x v="0"/>
    <x v="0"/>
    <x v="2"/>
    <x v="3"/>
    <s v="FIN_GAS"/>
    <x v="8"/>
    <x v="2"/>
    <s v="GBPR_NATGAS_GASAREA"/>
    <x v="0"/>
    <x v="8"/>
    <n v="59"/>
    <n v="21535"/>
    <n v="77526"/>
  </r>
  <r>
    <x v="0"/>
    <x v="0"/>
    <x v="0"/>
    <x v="2"/>
    <x v="3"/>
    <s v="FIN_GAS"/>
    <x v="8"/>
    <x v="2"/>
    <s v="GBPR_NATGAS_GASAREA"/>
    <x v="0"/>
    <x v="17"/>
    <n v="35.802767737103302"/>
    <n v="13068.0102240427"/>
    <n v="47044.8368065537"/>
  </r>
  <r>
    <x v="0"/>
    <x v="0"/>
    <x v="0"/>
    <x v="2"/>
    <x v="3"/>
    <s v="FIN_HELS"/>
    <x v="0"/>
    <x v="2"/>
    <s v="GBPR_COAL_MARTINLAAKSO"/>
    <x v="0"/>
    <x v="0"/>
    <n v="138.62574800988199"/>
    <n v="50598.398023606896"/>
    <n v="182154.23288498499"/>
  </r>
  <r>
    <x v="0"/>
    <x v="0"/>
    <x v="0"/>
    <x v="2"/>
    <x v="3"/>
    <s v="FIN_HELS"/>
    <x v="0"/>
    <x v="2"/>
    <s v="GBPR_COAL_MARTINLAAKSO"/>
    <x v="0"/>
    <x v="1"/>
    <n v="138.62574800988199"/>
    <n v="50598.398023606896"/>
    <n v="182154.23288498499"/>
  </r>
  <r>
    <x v="0"/>
    <x v="0"/>
    <x v="0"/>
    <x v="2"/>
    <x v="3"/>
    <s v="FIN_HELS"/>
    <x v="0"/>
    <x v="2"/>
    <s v="GBPR_COAL_MARTINLAAKSO"/>
    <x v="0"/>
    <x v="18"/>
    <n v="138.62574800988199"/>
    <n v="50598.398023606896"/>
    <n v="182154.23288498499"/>
  </r>
  <r>
    <x v="0"/>
    <x v="0"/>
    <x v="0"/>
    <x v="2"/>
    <x v="3"/>
    <s v="FIN_HELS"/>
    <x v="0"/>
    <x v="2"/>
    <s v="GBPR_COAL_MARTINLAAKSO"/>
    <x v="0"/>
    <x v="2"/>
    <n v="138.62574800988199"/>
    <n v="50598.398023606896"/>
    <n v="182154.23288498499"/>
  </r>
  <r>
    <x v="0"/>
    <x v="0"/>
    <x v="0"/>
    <x v="2"/>
    <x v="3"/>
    <s v="FIN_HELS"/>
    <x v="0"/>
    <x v="2"/>
    <s v="GBPR_COAL_MARTINLAAKSO"/>
    <x v="0"/>
    <x v="3"/>
    <n v="138.62574800988199"/>
    <n v="50598.398023606896"/>
    <n v="182154.23288498499"/>
  </r>
  <r>
    <x v="0"/>
    <x v="0"/>
    <x v="0"/>
    <x v="2"/>
    <x v="3"/>
    <s v="FIN_HELS"/>
    <x v="0"/>
    <x v="2"/>
    <s v="GBPR_COAL_MARTINLAAKSO"/>
    <x v="0"/>
    <x v="4"/>
    <n v="138.62574800988199"/>
    <n v="50598.398023606896"/>
    <n v="182154.23288498499"/>
  </r>
  <r>
    <x v="0"/>
    <x v="0"/>
    <x v="0"/>
    <x v="2"/>
    <x v="3"/>
    <s v="FIN_HELS"/>
    <x v="0"/>
    <x v="2"/>
    <s v="GBPR_COAL_MARTINLAAKSO"/>
    <x v="0"/>
    <x v="5"/>
    <n v="138.62574800988199"/>
    <n v="50598.398023606896"/>
    <n v="182154.23288498499"/>
  </r>
  <r>
    <x v="0"/>
    <x v="0"/>
    <x v="0"/>
    <x v="2"/>
    <x v="3"/>
    <s v="FIN_HELS"/>
    <x v="0"/>
    <x v="2"/>
    <s v="GBPR_COAL_MARTINLAAKSO"/>
    <x v="0"/>
    <x v="6"/>
    <n v="138.62574800988199"/>
    <n v="50598.398023606896"/>
    <n v="182154.23288498499"/>
  </r>
  <r>
    <x v="0"/>
    <x v="0"/>
    <x v="0"/>
    <x v="2"/>
    <x v="3"/>
    <s v="FIN_HELS"/>
    <x v="0"/>
    <x v="2"/>
    <s v="GBPR_COAL_MARTINLAAKSO"/>
    <x v="0"/>
    <x v="7"/>
    <n v="138.62574800988199"/>
    <n v="50598.398023606896"/>
    <n v="182154.23288498499"/>
  </r>
  <r>
    <x v="0"/>
    <x v="0"/>
    <x v="0"/>
    <x v="2"/>
    <x v="3"/>
    <s v="FIN_HELS"/>
    <x v="0"/>
    <x v="2"/>
    <s v="GBPR_COAL_MARTINLAAKSO"/>
    <x v="0"/>
    <x v="8"/>
    <n v="138.62574800988199"/>
    <n v="50598.398023606896"/>
    <n v="182154.23288498499"/>
  </r>
  <r>
    <x v="0"/>
    <x v="0"/>
    <x v="0"/>
    <x v="2"/>
    <x v="3"/>
    <s v="FIN_HELS"/>
    <x v="0"/>
    <x v="2"/>
    <s v="GBPR_COAL_MARTINLAAKSO"/>
    <x v="0"/>
    <x v="9"/>
    <n v="138.62574800988199"/>
    <n v="50598.398023606896"/>
    <n v="182154.23288498499"/>
  </r>
  <r>
    <x v="0"/>
    <x v="0"/>
    <x v="0"/>
    <x v="2"/>
    <x v="3"/>
    <s v="FIN_HELS"/>
    <x v="0"/>
    <x v="2"/>
    <s v="GBPR_COAL_MARTINLAAKSO"/>
    <x v="0"/>
    <x v="10"/>
    <n v="138.62574800988199"/>
    <n v="50598.398023606896"/>
    <n v="182154.23288498499"/>
  </r>
  <r>
    <x v="0"/>
    <x v="0"/>
    <x v="0"/>
    <x v="2"/>
    <x v="3"/>
    <s v="FIN_HELS"/>
    <x v="0"/>
    <x v="2"/>
    <s v="GBPR_COAL_MARTINLAAKSO"/>
    <x v="0"/>
    <x v="11"/>
    <n v="138.62574800988199"/>
    <n v="50598.398023606896"/>
    <n v="182154.23288498499"/>
  </r>
  <r>
    <x v="0"/>
    <x v="0"/>
    <x v="0"/>
    <x v="2"/>
    <x v="3"/>
    <s v="FIN_HELS"/>
    <x v="0"/>
    <x v="2"/>
    <s v="GBPR_COAL_MARTINLAAKSO"/>
    <x v="0"/>
    <x v="12"/>
    <n v="138.62574800988199"/>
    <n v="50598.398023606896"/>
    <n v="182154.23288498499"/>
  </r>
  <r>
    <x v="0"/>
    <x v="0"/>
    <x v="0"/>
    <x v="2"/>
    <x v="3"/>
    <s v="FIN_HELS"/>
    <x v="0"/>
    <x v="2"/>
    <s v="GBPR_COAL_MARTINLAAKSO"/>
    <x v="0"/>
    <x v="13"/>
    <n v="138.62574800988199"/>
    <n v="50598.398023606896"/>
    <n v="182154.23288498499"/>
  </r>
  <r>
    <x v="0"/>
    <x v="0"/>
    <x v="0"/>
    <x v="2"/>
    <x v="3"/>
    <s v="FIN_HELS"/>
    <x v="0"/>
    <x v="2"/>
    <s v="GBPR_COAL_MARTINLAAKSO"/>
    <x v="0"/>
    <x v="14"/>
    <n v="138.62574800988199"/>
    <n v="50598.398023606896"/>
    <n v="182154.23288498499"/>
  </r>
  <r>
    <x v="0"/>
    <x v="0"/>
    <x v="0"/>
    <x v="2"/>
    <x v="3"/>
    <s v="FIN_HELS"/>
    <x v="0"/>
    <x v="2"/>
    <s v="GBPR_COAL_MARTINLAAKSO"/>
    <x v="0"/>
    <x v="15"/>
    <n v="138.62574800988199"/>
    <n v="50598.398023606896"/>
    <n v="182154.23288498499"/>
  </r>
  <r>
    <x v="0"/>
    <x v="0"/>
    <x v="0"/>
    <x v="2"/>
    <x v="3"/>
    <s v="FIN_HELS"/>
    <x v="0"/>
    <x v="2"/>
    <s v="GBPR_COAL_MARTINLAAKSO"/>
    <x v="0"/>
    <x v="16"/>
    <n v="138.62574800988199"/>
    <n v="50598.398023606896"/>
    <n v="182154.23288498499"/>
  </r>
  <r>
    <x v="0"/>
    <x v="0"/>
    <x v="0"/>
    <x v="2"/>
    <x v="3"/>
    <s v="FIN_HELS"/>
    <x v="0"/>
    <x v="2"/>
    <s v="GBPR_COAL_MARTINLAAKSO"/>
    <x v="0"/>
    <x v="17"/>
    <n v="138.62574800988199"/>
    <n v="50598.398023606896"/>
    <n v="182154.23288498499"/>
  </r>
  <r>
    <x v="0"/>
    <x v="0"/>
    <x v="0"/>
    <x v="2"/>
    <x v="3"/>
    <s v="FIN_HELS"/>
    <x v="0"/>
    <x v="2"/>
    <s v="GBPR_COAL_MARTINLAAKSO"/>
    <x v="0"/>
    <x v="19"/>
    <n v="138.62574800988199"/>
    <n v="50598.398023606896"/>
    <n v="182154.23288498499"/>
  </r>
  <r>
    <x v="0"/>
    <x v="0"/>
    <x v="0"/>
    <x v="2"/>
    <x v="3"/>
    <s v="FIN_HELS"/>
    <x v="0"/>
    <x v="2"/>
    <s v="GBPR_COAL_MARTINLAAKSO"/>
    <x v="0"/>
    <x v="20"/>
    <n v="138.62574800988199"/>
    <n v="50598.398023606896"/>
    <n v="182154.23288498499"/>
  </r>
  <r>
    <x v="0"/>
    <x v="0"/>
    <x v="0"/>
    <x v="2"/>
    <x v="3"/>
    <s v="FIN_HELS"/>
    <x v="0"/>
    <x v="2"/>
    <s v="GBPR_COAL_MARTINLAAKSO"/>
    <x v="0"/>
    <x v="21"/>
    <n v="138.62574800988199"/>
    <n v="50598.398023606896"/>
    <n v="182154.23288498499"/>
  </r>
  <r>
    <x v="0"/>
    <x v="0"/>
    <x v="0"/>
    <x v="2"/>
    <x v="3"/>
    <s v="FIN_HELS"/>
    <x v="0"/>
    <x v="2"/>
    <s v="GBPR_COAL_MARTINLAAKSO"/>
    <x v="0"/>
    <x v="22"/>
    <n v="138.62574800988199"/>
    <n v="50598.398023606896"/>
    <n v="182154.23288498499"/>
  </r>
  <r>
    <x v="0"/>
    <x v="0"/>
    <x v="0"/>
    <x v="2"/>
    <x v="3"/>
    <s v="FIN_HELS"/>
    <x v="0"/>
    <x v="2"/>
    <s v="GBPR_COAL_MARTINLAAKSO"/>
    <x v="0"/>
    <x v="23"/>
    <n v="138.62574800988199"/>
    <n v="50598.398023606896"/>
    <n v="182154.23288498499"/>
  </r>
  <r>
    <x v="0"/>
    <x v="0"/>
    <x v="0"/>
    <x v="2"/>
    <x v="3"/>
    <s v="FIN_HELS"/>
    <x v="0"/>
    <x v="2"/>
    <s v="GBPR_COAL_SALMISAARI"/>
    <x v="0"/>
    <x v="0"/>
    <n v="113.163875926434"/>
    <n v="41304.814713148502"/>
    <n v="148697.33296733501"/>
  </r>
  <r>
    <x v="0"/>
    <x v="0"/>
    <x v="0"/>
    <x v="2"/>
    <x v="3"/>
    <s v="FIN_HELS"/>
    <x v="0"/>
    <x v="2"/>
    <s v="GBPR_COAL_SALMISAARI"/>
    <x v="0"/>
    <x v="1"/>
    <n v="113.163875926434"/>
    <n v="41304.814713148502"/>
    <n v="148697.33296733501"/>
  </r>
  <r>
    <x v="0"/>
    <x v="0"/>
    <x v="0"/>
    <x v="2"/>
    <x v="3"/>
    <s v="FIN_HELS"/>
    <x v="0"/>
    <x v="2"/>
    <s v="GBPR_COAL_SALMISAARI"/>
    <x v="0"/>
    <x v="18"/>
    <n v="113.163875926434"/>
    <n v="41304.814713148502"/>
    <n v="148697.33296733501"/>
  </r>
  <r>
    <x v="0"/>
    <x v="0"/>
    <x v="0"/>
    <x v="2"/>
    <x v="3"/>
    <s v="FIN_HELS"/>
    <x v="0"/>
    <x v="2"/>
    <s v="GBPR_COAL_SALMISAARI"/>
    <x v="0"/>
    <x v="2"/>
    <n v="113.163875926434"/>
    <n v="41304.814713148502"/>
    <n v="148697.33296733501"/>
  </r>
  <r>
    <x v="0"/>
    <x v="0"/>
    <x v="0"/>
    <x v="2"/>
    <x v="3"/>
    <s v="FIN_HELS"/>
    <x v="0"/>
    <x v="2"/>
    <s v="GBPR_COAL_SALMISAARI"/>
    <x v="0"/>
    <x v="3"/>
    <n v="113.163875926434"/>
    <n v="41304.814713148502"/>
    <n v="148697.33296733501"/>
  </r>
  <r>
    <x v="0"/>
    <x v="0"/>
    <x v="0"/>
    <x v="2"/>
    <x v="3"/>
    <s v="FIN_HELS"/>
    <x v="0"/>
    <x v="2"/>
    <s v="GBPR_COAL_SALMISAARI"/>
    <x v="0"/>
    <x v="4"/>
    <n v="113.163875926434"/>
    <n v="41304.814713148502"/>
    <n v="148697.33296733501"/>
  </r>
  <r>
    <x v="0"/>
    <x v="0"/>
    <x v="0"/>
    <x v="2"/>
    <x v="3"/>
    <s v="FIN_HELS"/>
    <x v="0"/>
    <x v="2"/>
    <s v="GBPR_COAL_SALMISAARI"/>
    <x v="0"/>
    <x v="5"/>
    <n v="113.163875926434"/>
    <n v="41304.814713148502"/>
    <n v="148697.33296733501"/>
  </r>
  <r>
    <x v="0"/>
    <x v="0"/>
    <x v="0"/>
    <x v="2"/>
    <x v="3"/>
    <s v="FIN_HELS"/>
    <x v="0"/>
    <x v="2"/>
    <s v="GBPR_COAL_SALMISAARI"/>
    <x v="0"/>
    <x v="6"/>
    <n v="113.163875926434"/>
    <n v="41304.814713148502"/>
    <n v="148697.33296733501"/>
  </r>
  <r>
    <x v="0"/>
    <x v="0"/>
    <x v="0"/>
    <x v="2"/>
    <x v="3"/>
    <s v="FIN_HELS"/>
    <x v="0"/>
    <x v="2"/>
    <s v="GBPR_COAL_SALMISAARI"/>
    <x v="0"/>
    <x v="7"/>
    <n v="113.163875926434"/>
    <n v="41304.814713148502"/>
    <n v="148697.33296733501"/>
  </r>
  <r>
    <x v="0"/>
    <x v="0"/>
    <x v="0"/>
    <x v="2"/>
    <x v="3"/>
    <s v="FIN_HELS"/>
    <x v="0"/>
    <x v="2"/>
    <s v="GBPR_COAL_SALMISAARI"/>
    <x v="0"/>
    <x v="8"/>
    <n v="113.163875926434"/>
    <n v="41304.814713148502"/>
    <n v="148697.33296733501"/>
  </r>
  <r>
    <x v="0"/>
    <x v="0"/>
    <x v="0"/>
    <x v="2"/>
    <x v="3"/>
    <s v="FIN_HELS"/>
    <x v="0"/>
    <x v="2"/>
    <s v="GBPR_COAL_SALMISAARI"/>
    <x v="0"/>
    <x v="9"/>
    <n v="113.163875926434"/>
    <n v="41304.814713148502"/>
    <n v="148697.33296733501"/>
  </r>
  <r>
    <x v="0"/>
    <x v="0"/>
    <x v="0"/>
    <x v="2"/>
    <x v="3"/>
    <s v="FIN_HELS"/>
    <x v="0"/>
    <x v="2"/>
    <s v="GBPR_COAL_SALMISAARI"/>
    <x v="0"/>
    <x v="10"/>
    <n v="113.163875926434"/>
    <n v="41304.814713148502"/>
    <n v="148697.33296733501"/>
  </r>
  <r>
    <x v="0"/>
    <x v="0"/>
    <x v="0"/>
    <x v="2"/>
    <x v="3"/>
    <s v="FIN_HELS"/>
    <x v="0"/>
    <x v="2"/>
    <s v="GBPR_COAL_SALMISAARI"/>
    <x v="0"/>
    <x v="11"/>
    <n v="113.163875926434"/>
    <n v="41304.814713148502"/>
    <n v="148697.33296733501"/>
  </r>
  <r>
    <x v="0"/>
    <x v="0"/>
    <x v="0"/>
    <x v="2"/>
    <x v="3"/>
    <s v="FIN_HELS"/>
    <x v="0"/>
    <x v="2"/>
    <s v="GBPR_COAL_SALMISAARI"/>
    <x v="0"/>
    <x v="12"/>
    <n v="113.163875926434"/>
    <n v="41304.814713148502"/>
    <n v="148697.33296733501"/>
  </r>
  <r>
    <x v="0"/>
    <x v="0"/>
    <x v="0"/>
    <x v="2"/>
    <x v="3"/>
    <s v="FIN_HELS"/>
    <x v="0"/>
    <x v="2"/>
    <s v="GBPR_COAL_SALMISAARI"/>
    <x v="0"/>
    <x v="13"/>
    <n v="113.163875926434"/>
    <n v="41304.814713148502"/>
    <n v="148697.33296733501"/>
  </r>
  <r>
    <x v="0"/>
    <x v="0"/>
    <x v="0"/>
    <x v="2"/>
    <x v="3"/>
    <s v="FIN_HELS"/>
    <x v="0"/>
    <x v="2"/>
    <s v="GBPR_COAL_SALMISAARI"/>
    <x v="0"/>
    <x v="14"/>
    <n v="113.163875926434"/>
    <n v="41304.814713148502"/>
    <n v="148697.33296733501"/>
  </r>
  <r>
    <x v="0"/>
    <x v="0"/>
    <x v="0"/>
    <x v="2"/>
    <x v="3"/>
    <s v="FIN_HELS"/>
    <x v="0"/>
    <x v="2"/>
    <s v="GBPR_COAL_SALMISAARI"/>
    <x v="0"/>
    <x v="15"/>
    <n v="113.163875926434"/>
    <n v="41304.814713148502"/>
    <n v="148697.33296733501"/>
  </r>
  <r>
    <x v="0"/>
    <x v="0"/>
    <x v="0"/>
    <x v="2"/>
    <x v="3"/>
    <s v="FIN_HELS"/>
    <x v="0"/>
    <x v="2"/>
    <s v="GBPR_COAL_SALMISAARI"/>
    <x v="0"/>
    <x v="16"/>
    <n v="113.163875926434"/>
    <n v="41304.814713148502"/>
    <n v="148697.33296733501"/>
  </r>
  <r>
    <x v="0"/>
    <x v="0"/>
    <x v="0"/>
    <x v="2"/>
    <x v="3"/>
    <s v="FIN_HELS"/>
    <x v="0"/>
    <x v="2"/>
    <s v="GBPR_COAL_SALMISAARI"/>
    <x v="0"/>
    <x v="17"/>
    <n v="113.163875926434"/>
    <n v="41304.814713148502"/>
    <n v="148697.33296733501"/>
  </r>
  <r>
    <x v="0"/>
    <x v="0"/>
    <x v="0"/>
    <x v="2"/>
    <x v="3"/>
    <s v="FIN_HELS"/>
    <x v="0"/>
    <x v="2"/>
    <s v="GBPR_COAL_SALMISAARI"/>
    <x v="0"/>
    <x v="19"/>
    <n v="113.163875926434"/>
    <n v="41304.814713148502"/>
    <n v="148697.33296733501"/>
  </r>
  <r>
    <x v="0"/>
    <x v="0"/>
    <x v="0"/>
    <x v="2"/>
    <x v="3"/>
    <s v="FIN_HELS"/>
    <x v="0"/>
    <x v="2"/>
    <s v="GBPR_COAL_SALMISAARI"/>
    <x v="0"/>
    <x v="20"/>
    <n v="113.163875926434"/>
    <n v="41304.814713148502"/>
    <n v="148697.33296733501"/>
  </r>
  <r>
    <x v="0"/>
    <x v="0"/>
    <x v="0"/>
    <x v="2"/>
    <x v="3"/>
    <s v="FIN_HELS"/>
    <x v="0"/>
    <x v="2"/>
    <s v="GBPR_COAL_SALMISAARI"/>
    <x v="0"/>
    <x v="21"/>
    <n v="113.163875926434"/>
    <n v="41304.814713148502"/>
    <n v="148697.33296733501"/>
  </r>
  <r>
    <x v="0"/>
    <x v="0"/>
    <x v="0"/>
    <x v="2"/>
    <x v="3"/>
    <s v="FIN_HELS"/>
    <x v="0"/>
    <x v="2"/>
    <s v="GBPR_COAL_SALMISAARI"/>
    <x v="0"/>
    <x v="22"/>
    <n v="113.163875926434"/>
    <n v="41304.814713148502"/>
    <n v="148697.33296733501"/>
  </r>
  <r>
    <x v="0"/>
    <x v="0"/>
    <x v="0"/>
    <x v="2"/>
    <x v="3"/>
    <s v="FIN_HELS"/>
    <x v="0"/>
    <x v="2"/>
    <s v="GBPR_COAL_SALMISAARI"/>
    <x v="0"/>
    <x v="23"/>
    <n v="113.163875926434"/>
    <n v="41304.814713148502"/>
    <n v="148697.33296733501"/>
  </r>
  <r>
    <x v="0"/>
    <x v="0"/>
    <x v="0"/>
    <x v="2"/>
    <x v="3"/>
    <s v="FIN_HELS"/>
    <x v="1"/>
    <x v="1"/>
    <s v="GETOH_HEATPUMP"/>
    <x v="0"/>
    <x v="0"/>
    <n v="-11.1111111111111"/>
    <n v="-4055.5555555555602"/>
    <n v="-14600"/>
  </r>
  <r>
    <x v="0"/>
    <x v="0"/>
    <x v="0"/>
    <x v="2"/>
    <x v="3"/>
    <s v="FIN_HELS"/>
    <x v="1"/>
    <x v="1"/>
    <s v="GETOH_HEATPUMP"/>
    <x v="0"/>
    <x v="1"/>
    <n v="-11.1111111111111"/>
    <n v="-4055.5555555555602"/>
    <n v="-14600"/>
  </r>
  <r>
    <x v="0"/>
    <x v="0"/>
    <x v="0"/>
    <x v="2"/>
    <x v="3"/>
    <s v="FIN_HELS"/>
    <x v="1"/>
    <x v="1"/>
    <s v="GETOH_HEATPUMP"/>
    <x v="0"/>
    <x v="18"/>
    <n v="-11.1111111111111"/>
    <n v="-4055.5555555555602"/>
    <n v="-14600"/>
  </r>
  <r>
    <x v="0"/>
    <x v="0"/>
    <x v="0"/>
    <x v="2"/>
    <x v="3"/>
    <s v="FIN_HELS"/>
    <x v="1"/>
    <x v="1"/>
    <s v="GETOH_HEATPUMP"/>
    <x v="0"/>
    <x v="2"/>
    <n v="-11.1111111111111"/>
    <n v="-4055.5555555555602"/>
    <n v="-14600"/>
  </r>
  <r>
    <x v="0"/>
    <x v="0"/>
    <x v="0"/>
    <x v="2"/>
    <x v="3"/>
    <s v="FIN_HELS"/>
    <x v="1"/>
    <x v="1"/>
    <s v="GETOH_HEATPUMP"/>
    <x v="0"/>
    <x v="3"/>
    <n v="-11.1111111111111"/>
    <n v="-4055.5555555555602"/>
    <n v="-14600"/>
  </r>
  <r>
    <x v="0"/>
    <x v="0"/>
    <x v="0"/>
    <x v="2"/>
    <x v="3"/>
    <s v="FIN_HELS"/>
    <x v="1"/>
    <x v="1"/>
    <s v="GETOH_HEATPUMP"/>
    <x v="0"/>
    <x v="4"/>
    <n v="-11.1111111111111"/>
    <n v="-4055.5555555555602"/>
    <n v="-14600"/>
  </r>
  <r>
    <x v="0"/>
    <x v="0"/>
    <x v="0"/>
    <x v="2"/>
    <x v="3"/>
    <s v="FIN_HELS"/>
    <x v="1"/>
    <x v="1"/>
    <s v="GETOH_HEATPUMP"/>
    <x v="0"/>
    <x v="5"/>
    <n v="-11.1111111111111"/>
    <n v="-4055.5555555555602"/>
    <n v="-14600"/>
  </r>
  <r>
    <x v="0"/>
    <x v="0"/>
    <x v="0"/>
    <x v="2"/>
    <x v="3"/>
    <s v="FIN_HELS"/>
    <x v="1"/>
    <x v="1"/>
    <s v="GETOH_HEATPUMP"/>
    <x v="0"/>
    <x v="6"/>
    <n v="-11.1111111111111"/>
    <n v="-4055.5555555555602"/>
    <n v="-14600"/>
  </r>
  <r>
    <x v="0"/>
    <x v="0"/>
    <x v="0"/>
    <x v="2"/>
    <x v="3"/>
    <s v="FIN_HELS"/>
    <x v="1"/>
    <x v="1"/>
    <s v="GETOH_HEATPUMP"/>
    <x v="0"/>
    <x v="7"/>
    <n v="-11.1111111111111"/>
    <n v="-4055.5555555555602"/>
    <n v="-14600"/>
  </r>
  <r>
    <x v="0"/>
    <x v="0"/>
    <x v="0"/>
    <x v="2"/>
    <x v="3"/>
    <s v="FIN_HELS"/>
    <x v="1"/>
    <x v="1"/>
    <s v="GETOH_HEATPUMP"/>
    <x v="0"/>
    <x v="8"/>
    <n v="-11.1111111111111"/>
    <n v="-4055.5555555555602"/>
    <n v="-14600"/>
  </r>
  <r>
    <x v="0"/>
    <x v="0"/>
    <x v="0"/>
    <x v="2"/>
    <x v="3"/>
    <s v="FIN_HELS"/>
    <x v="1"/>
    <x v="1"/>
    <s v="GETOH_HEATPUMP"/>
    <x v="0"/>
    <x v="9"/>
    <n v="-11.1111111111111"/>
    <n v="-4055.5555555555602"/>
    <n v="-14600"/>
  </r>
  <r>
    <x v="0"/>
    <x v="0"/>
    <x v="0"/>
    <x v="2"/>
    <x v="3"/>
    <s v="FIN_HELS"/>
    <x v="1"/>
    <x v="1"/>
    <s v="GETOH_HEATPUMP"/>
    <x v="0"/>
    <x v="10"/>
    <n v="-11.1111111111111"/>
    <n v="-4055.5555555555602"/>
    <n v="-14600"/>
  </r>
  <r>
    <x v="0"/>
    <x v="0"/>
    <x v="0"/>
    <x v="2"/>
    <x v="3"/>
    <s v="FIN_HELS"/>
    <x v="1"/>
    <x v="1"/>
    <s v="GETOH_HEATPUMP"/>
    <x v="0"/>
    <x v="11"/>
    <n v="-11.1111111111111"/>
    <n v="-4055.5555555555602"/>
    <n v="-14600"/>
  </r>
  <r>
    <x v="0"/>
    <x v="0"/>
    <x v="0"/>
    <x v="2"/>
    <x v="3"/>
    <s v="FIN_HELS"/>
    <x v="1"/>
    <x v="1"/>
    <s v="GETOH_HEATPUMP"/>
    <x v="0"/>
    <x v="12"/>
    <n v="-11.1111111111111"/>
    <n v="-4055.5555555555602"/>
    <n v="-14600"/>
  </r>
  <r>
    <x v="0"/>
    <x v="0"/>
    <x v="0"/>
    <x v="2"/>
    <x v="3"/>
    <s v="FIN_HELS"/>
    <x v="1"/>
    <x v="1"/>
    <s v="GETOH_HEATPUMP"/>
    <x v="0"/>
    <x v="13"/>
    <n v="-11.1111111111111"/>
    <n v="-4055.5555555555602"/>
    <n v="-14600"/>
  </r>
  <r>
    <x v="0"/>
    <x v="0"/>
    <x v="0"/>
    <x v="2"/>
    <x v="3"/>
    <s v="FIN_HELS"/>
    <x v="1"/>
    <x v="1"/>
    <s v="GETOH_HEATPUMP"/>
    <x v="0"/>
    <x v="14"/>
    <n v="-11.1111111111111"/>
    <n v="-4055.5555555555602"/>
    <n v="-14600"/>
  </r>
  <r>
    <x v="0"/>
    <x v="0"/>
    <x v="0"/>
    <x v="2"/>
    <x v="3"/>
    <s v="FIN_HELS"/>
    <x v="1"/>
    <x v="1"/>
    <s v="GETOH_HEATPUMP"/>
    <x v="0"/>
    <x v="15"/>
    <n v="-11.1111111111111"/>
    <n v="-4055.5555555555602"/>
    <n v="-14600"/>
  </r>
  <r>
    <x v="0"/>
    <x v="0"/>
    <x v="0"/>
    <x v="2"/>
    <x v="3"/>
    <s v="FIN_HELS"/>
    <x v="1"/>
    <x v="1"/>
    <s v="GETOH_HEATPUMP"/>
    <x v="0"/>
    <x v="16"/>
    <n v="-11.1111111111111"/>
    <n v="-4055.5555555555602"/>
    <n v="-14600"/>
  </r>
  <r>
    <x v="0"/>
    <x v="0"/>
    <x v="0"/>
    <x v="2"/>
    <x v="3"/>
    <s v="FIN_HELS"/>
    <x v="1"/>
    <x v="1"/>
    <s v="GETOH_HEATPUMP"/>
    <x v="0"/>
    <x v="17"/>
    <n v="-11.1111111111111"/>
    <n v="-4055.5555555555602"/>
    <n v="-14600"/>
  </r>
  <r>
    <x v="0"/>
    <x v="0"/>
    <x v="0"/>
    <x v="2"/>
    <x v="3"/>
    <s v="FIN_HELS"/>
    <x v="1"/>
    <x v="1"/>
    <s v="GETOH_HEATPUMP"/>
    <x v="0"/>
    <x v="19"/>
    <n v="-11.1111111111111"/>
    <n v="-4055.5555555555602"/>
    <n v="-14600"/>
  </r>
  <r>
    <x v="0"/>
    <x v="0"/>
    <x v="0"/>
    <x v="2"/>
    <x v="3"/>
    <s v="FIN_HELS"/>
    <x v="1"/>
    <x v="1"/>
    <s v="GETOH_HEATPUMP"/>
    <x v="0"/>
    <x v="20"/>
    <n v="-11.1111111111111"/>
    <n v="-4055.5555555555602"/>
    <n v="-14600"/>
  </r>
  <r>
    <x v="0"/>
    <x v="0"/>
    <x v="0"/>
    <x v="2"/>
    <x v="3"/>
    <s v="FIN_HELS"/>
    <x v="1"/>
    <x v="1"/>
    <s v="GETOH_HEATPUMP"/>
    <x v="0"/>
    <x v="21"/>
    <n v="-11.1111111111111"/>
    <n v="-4055.5555555555602"/>
    <n v="-14600"/>
  </r>
  <r>
    <x v="0"/>
    <x v="0"/>
    <x v="0"/>
    <x v="2"/>
    <x v="3"/>
    <s v="FIN_HELS"/>
    <x v="1"/>
    <x v="1"/>
    <s v="GETOH_HEATPUMP"/>
    <x v="0"/>
    <x v="22"/>
    <n v="-11.1111111111111"/>
    <n v="-4055.5555555555602"/>
    <n v="-14600"/>
  </r>
  <r>
    <x v="0"/>
    <x v="0"/>
    <x v="0"/>
    <x v="2"/>
    <x v="3"/>
    <s v="FIN_HELS"/>
    <x v="1"/>
    <x v="1"/>
    <s v="GETOH_HEATPUMP"/>
    <x v="0"/>
    <x v="23"/>
    <n v="-11.1111111111111"/>
    <n v="-4055.5555555555602"/>
    <n v="-14600"/>
  </r>
  <r>
    <x v="0"/>
    <x v="0"/>
    <x v="0"/>
    <x v="2"/>
    <x v="3"/>
    <s v="FIN_HELS"/>
    <x v="8"/>
    <x v="2"/>
    <s v="GBPR_NATGAS_MARTINLAAKSOGT"/>
    <x v="0"/>
    <x v="6"/>
    <n v="58"/>
    <n v="21170"/>
    <n v="76212"/>
  </r>
  <r>
    <x v="0"/>
    <x v="0"/>
    <x v="0"/>
    <x v="2"/>
    <x v="3"/>
    <s v="FIN_HELS"/>
    <x v="8"/>
    <x v="2"/>
    <s v="GBPR_NATGAS_MARTINLAAKSOGT"/>
    <x v="0"/>
    <x v="7"/>
    <n v="58"/>
    <n v="21170"/>
    <n v="76212"/>
  </r>
  <r>
    <x v="0"/>
    <x v="0"/>
    <x v="0"/>
    <x v="2"/>
    <x v="3"/>
    <s v="FIN_HELS"/>
    <x v="8"/>
    <x v="2"/>
    <s v="GBPR_NATGAS_MARTINLAAKSOGT"/>
    <x v="0"/>
    <x v="8"/>
    <n v="58"/>
    <n v="21170"/>
    <n v="76212"/>
  </r>
  <r>
    <x v="0"/>
    <x v="0"/>
    <x v="0"/>
    <x v="2"/>
    <x v="3"/>
    <s v="FIN_HELS"/>
    <x v="8"/>
    <x v="2"/>
    <s v="GBPR_NATGAS_MARTINLAAKSOGT"/>
    <x v="0"/>
    <x v="9"/>
    <n v="58"/>
    <n v="21170"/>
    <n v="76212"/>
  </r>
  <r>
    <x v="0"/>
    <x v="0"/>
    <x v="0"/>
    <x v="2"/>
    <x v="3"/>
    <s v="FIN_HELS"/>
    <x v="8"/>
    <x v="2"/>
    <s v="GBPR_NATGAS_VOUSAARI"/>
    <x v="0"/>
    <x v="4"/>
    <n v="86.167282792734298"/>
    <n v="31451.058219348"/>
    <n v="113223.809589653"/>
  </r>
  <r>
    <x v="0"/>
    <x v="0"/>
    <x v="0"/>
    <x v="2"/>
    <x v="3"/>
    <s v="FIN_HELS"/>
    <x v="8"/>
    <x v="2"/>
    <s v="GBPR_NATGAS_VOUSAARI"/>
    <x v="0"/>
    <x v="5"/>
    <n v="160"/>
    <n v="58400"/>
    <n v="210240"/>
  </r>
  <r>
    <x v="0"/>
    <x v="0"/>
    <x v="0"/>
    <x v="2"/>
    <x v="3"/>
    <s v="FIN_HELS"/>
    <x v="8"/>
    <x v="2"/>
    <s v="GBPR_NATGAS_VOUSAARI"/>
    <x v="0"/>
    <x v="6"/>
    <n v="160"/>
    <n v="58400"/>
    <n v="210240"/>
  </r>
  <r>
    <x v="0"/>
    <x v="0"/>
    <x v="0"/>
    <x v="2"/>
    <x v="3"/>
    <s v="FIN_HELS"/>
    <x v="8"/>
    <x v="2"/>
    <s v="GBPR_NATGAS_VOUSAARI"/>
    <x v="0"/>
    <x v="7"/>
    <n v="160"/>
    <n v="58400"/>
    <n v="210240"/>
  </r>
  <r>
    <x v="0"/>
    <x v="0"/>
    <x v="0"/>
    <x v="2"/>
    <x v="3"/>
    <s v="FIN_HELS"/>
    <x v="8"/>
    <x v="2"/>
    <s v="GBPR_NATGAS_VOUSAARI"/>
    <x v="0"/>
    <x v="8"/>
    <n v="160"/>
    <n v="58400"/>
    <n v="210240"/>
  </r>
  <r>
    <x v="0"/>
    <x v="0"/>
    <x v="0"/>
    <x v="2"/>
    <x v="3"/>
    <s v="FIN_HELS"/>
    <x v="8"/>
    <x v="2"/>
    <s v="GBPR_NATGAS_VOUSAARI"/>
    <x v="0"/>
    <x v="9"/>
    <n v="160"/>
    <n v="58400"/>
    <n v="210240"/>
  </r>
  <r>
    <x v="0"/>
    <x v="0"/>
    <x v="0"/>
    <x v="2"/>
    <x v="3"/>
    <s v="FIN_HELS"/>
    <x v="8"/>
    <x v="2"/>
    <s v="GBPR_NATGAS_VOUSAARI"/>
    <x v="0"/>
    <x v="10"/>
    <n v="160"/>
    <n v="58400"/>
    <n v="210240"/>
  </r>
  <r>
    <x v="0"/>
    <x v="0"/>
    <x v="0"/>
    <x v="2"/>
    <x v="3"/>
    <s v="FIN_HELS"/>
    <x v="8"/>
    <x v="2"/>
    <s v="GBPR_NATGAS_VOUSAARI"/>
    <x v="0"/>
    <x v="11"/>
    <n v="160"/>
    <n v="58400"/>
    <n v="210240"/>
  </r>
  <r>
    <x v="0"/>
    <x v="0"/>
    <x v="0"/>
    <x v="2"/>
    <x v="3"/>
    <s v="FIN_HELS"/>
    <x v="8"/>
    <x v="2"/>
    <s v="GBPR_NATGAS_VOUSAARI"/>
    <x v="0"/>
    <x v="12"/>
    <n v="160"/>
    <n v="58400"/>
    <n v="210240"/>
  </r>
  <r>
    <x v="0"/>
    <x v="0"/>
    <x v="0"/>
    <x v="2"/>
    <x v="3"/>
    <s v="FIN_HELS"/>
    <x v="8"/>
    <x v="2"/>
    <s v="GBPR_NATGAS_VOUSAARI"/>
    <x v="0"/>
    <x v="13"/>
    <n v="160"/>
    <n v="58400"/>
    <n v="210240"/>
  </r>
  <r>
    <x v="0"/>
    <x v="0"/>
    <x v="0"/>
    <x v="2"/>
    <x v="3"/>
    <s v="FIN_HELS"/>
    <x v="8"/>
    <x v="2"/>
    <s v="GBPR_NATGAS_VOUSAARI"/>
    <x v="0"/>
    <x v="14"/>
    <n v="160"/>
    <n v="58400"/>
    <n v="210240"/>
  </r>
  <r>
    <x v="0"/>
    <x v="0"/>
    <x v="0"/>
    <x v="2"/>
    <x v="3"/>
    <s v="FIN_HELS"/>
    <x v="8"/>
    <x v="2"/>
    <s v="GBPR_NATGAS_VOUSAARI"/>
    <x v="0"/>
    <x v="15"/>
    <n v="160"/>
    <n v="58400"/>
    <n v="210240"/>
  </r>
  <r>
    <x v="0"/>
    <x v="0"/>
    <x v="0"/>
    <x v="2"/>
    <x v="3"/>
    <s v="FIN_HELS"/>
    <x v="8"/>
    <x v="2"/>
    <s v="GBPR_NATGAS_VOUSAARI"/>
    <x v="0"/>
    <x v="16"/>
    <n v="158.887309995831"/>
    <n v="57993.868148478199"/>
    <n v="208777.92533452201"/>
  </r>
  <r>
    <x v="0"/>
    <x v="0"/>
    <x v="0"/>
    <x v="2"/>
    <x v="3"/>
    <s v="FIN_HELS"/>
    <x v="8"/>
    <x v="2"/>
    <s v="GBPR_NATGAS_VOUSAARI"/>
    <x v="0"/>
    <x v="17"/>
    <n v="143.667979515535"/>
    <n v="52438.812523170403"/>
    <n v="188779.725083414"/>
  </r>
  <r>
    <x v="0"/>
    <x v="0"/>
    <x v="0"/>
    <x v="2"/>
    <x v="3"/>
    <s v="FIN_HELS"/>
    <x v="8"/>
    <x v="2"/>
    <s v="GBPR_NATGAS_VOUSAARI"/>
    <x v="0"/>
    <x v="19"/>
    <n v="122.13299989191999"/>
    <n v="44578.544960550702"/>
    <n v="160482.76185798299"/>
  </r>
  <r>
    <x v="0"/>
    <x v="0"/>
    <x v="0"/>
    <x v="2"/>
    <x v="3"/>
    <s v="FIN_HELS"/>
    <x v="8"/>
    <x v="2"/>
    <s v="GBPR_NATGAS_VOUSAARI"/>
    <x v="0"/>
    <x v="20"/>
    <n v="96.3402490892054"/>
    <n v="35164.190917560001"/>
    <n v="126591.087303216"/>
  </r>
  <r>
    <x v="0"/>
    <x v="0"/>
    <x v="0"/>
    <x v="2"/>
    <x v="3"/>
    <s v="FIN_HELS"/>
    <x v="8"/>
    <x v="2"/>
    <s v="GBPR_NATGAS_VOUSAARI"/>
    <x v="0"/>
    <x v="21"/>
    <n v="63.208002484166101"/>
    <n v="23070.920906720599"/>
    <n v="83055.3152641942"/>
  </r>
  <r>
    <x v="0"/>
    <x v="0"/>
    <x v="0"/>
    <x v="2"/>
    <x v="3"/>
    <s v="FIN_HELS"/>
    <x v="8"/>
    <x v="2"/>
    <s v="GBPR_NATGAS_VOUSAARI"/>
    <x v="0"/>
    <x v="22"/>
    <n v="12.6863450095624"/>
    <n v="4630.5159284902802"/>
    <n v="16669.857342564999"/>
  </r>
  <r>
    <x v="0"/>
    <x v="0"/>
    <x v="0"/>
    <x v="2"/>
    <x v="3"/>
    <s v="FIN_HELS"/>
    <x v="8"/>
    <x v="0"/>
    <s v="GEXT_NATGAS_VOUSAARI"/>
    <x v="0"/>
    <x v="0"/>
    <n v="357.21480018454099"/>
    <n v="130383.402067357"/>
    <n v="469380.24744248699"/>
  </r>
  <r>
    <x v="0"/>
    <x v="0"/>
    <x v="0"/>
    <x v="2"/>
    <x v="3"/>
    <s v="FIN_HELS"/>
    <x v="8"/>
    <x v="0"/>
    <s v="GEXT_NATGAS_VOUSAARI"/>
    <x v="0"/>
    <x v="1"/>
    <n v="343.43376466626"/>
    <n v="125353.324103185"/>
    <n v="451271.96677146503"/>
  </r>
  <r>
    <x v="0"/>
    <x v="0"/>
    <x v="0"/>
    <x v="2"/>
    <x v="3"/>
    <s v="FIN_HELS"/>
    <x v="8"/>
    <x v="0"/>
    <s v="GEXT_NATGAS_VOUSAARI"/>
    <x v="0"/>
    <x v="18"/>
    <n v="345.12663309802298"/>
    <n v="125971.221080779"/>
    <n v="453496.39589080302"/>
  </r>
  <r>
    <x v="0"/>
    <x v="0"/>
    <x v="0"/>
    <x v="2"/>
    <x v="3"/>
    <s v="FIN_HELS"/>
    <x v="8"/>
    <x v="0"/>
    <s v="GEXT_NATGAS_VOUSAARI"/>
    <x v="0"/>
    <x v="2"/>
    <n v="359.71054276519698"/>
    <n v="131294.34810929699"/>
    <n v="472659.653193468"/>
  </r>
  <r>
    <x v="0"/>
    <x v="0"/>
    <x v="0"/>
    <x v="2"/>
    <x v="3"/>
    <s v="FIN_HELS"/>
    <x v="8"/>
    <x v="0"/>
    <s v="GEXT_NATGAS_VOUSAARI"/>
    <x v="0"/>
    <x v="3"/>
    <n v="394.32198637175497"/>
    <n v="143927.52502569099"/>
    <n v="518139.09009248699"/>
  </r>
  <r>
    <x v="0"/>
    <x v="0"/>
    <x v="0"/>
    <x v="2"/>
    <x v="3"/>
    <s v="FIN_HELS"/>
    <x v="8"/>
    <x v="0"/>
    <s v="GEXT_NATGAS_VOUSAARI"/>
    <x v="0"/>
    <x v="4"/>
    <n v="396.42725598526698"/>
    <n v="144695.948434622"/>
    <n v="520905.41436464101"/>
  </r>
  <r>
    <x v="0"/>
    <x v="0"/>
    <x v="0"/>
    <x v="2"/>
    <x v="3"/>
    <s v="FIN_HELS"/>
    <x v="8"/>
    <x v="0"/>
    <s v="GEXT_NATGAS_VOUSAARI"/>
    <x v="0"/>
    <x v="5"/>
    <n v="396.42725598526698"/>
    <n v="144695.948434622"/>
    <n v="520905.41436464101"/>
  </r>
  <r>
    <x v="0"/>
    <x v="0"/>
    <x v="0"/>
    <x v="2"/>
    <x v="3"/>
    <s v="FIN_HELS"/>
    <x v="8"/>
    <x v="0"/>
    <s v="GEXT_NATGAS_VOUSAARI"/>
    <x v="0"/>
    <x v="6"/>
    <n v="396.42725598526698"/>
    <n v="144695.948434622"/>
    <n v="520905.41436464101"/>
  </r>
  <r>
    <x v="0"/>
    <x v="0"/>
    <x v="0"/>
    <x v="2"/>
    <x v="3"/>
    <s v="FIN_HELS"/>
    <x v="8"/>
    <x v="0"/>
    <s v="GEXT_NATGAS_VOUSAARI"/>
    <x v="0"/>
    <x v="7"/>
    <n v="396.42725598526698"/>
    <n v="144695.948434622"/>
    <n v="520905.41436464101"/>
  </r>
  <r>
    <x v="0"/>
    <x v="0"/>
    <x v="0"/>
    <x v="2"/>
    <x v="3"/>
    <s v="FIN_HELS"/>
    <x v="8"/>
    <x v="0"/>
    <s v="GEXT_NATGAS_VOUSAARI"/>
    <x v="0"/>
    <x v="8"/>
    <n v="396.42725598526698"/>
    <n v="144695.948434622"/>
    <n v="520905.41436464101"/>
  </r>
  <r>
    <x v="0"/>
    <x v="0"/>
    <x v="0"/>
    <x v="2"/>
    <x v="3"/>
    <s v="FIN_HELS"/>
    <x v="8"/>
    <x v="0"/>
    <s v="GEXT_NATGAS_VOUSAARI"/>
    <x v="0"/>
    <x v="9"/>
    <n v="396.42725598526698"/>
    <n v="144695.948434622"/>
    <n v="520905.41436464101"/>
  </r>
  <r>
    <x v="0"/>
    <x v="0"/>
    <x v="0"/>
    <x v="2"/>
    <x v="3"/>
    <s v="FIN_HELS"/>
    <x v="8"/>
    <x v="0"/>
    <s v="GEXT_NATGAS_VOUSAARI"/>
    <x v="0"/>
    <x v="10"/>
    <n v="396.42725598526698"/>
    <n v="144695.948434622"/>
    <n v="520905.41436464101"/>
  </r>
  <r>
    <x v="0"/>
    <x v="0"/>
    <x v="0"/>
    <x v="2"/>
    <x v="3"/>
    <s v="FIN_HELS"/>
    <x v="8"/>
    <x v="0"/>
    <s v="GEXT_NATGAS_VOUSAARI"/>
    <x v="0"/>
    <x v="11"/>
    <n v="396.42725598526698"/>
    <n v="144695.948434622"/>
    <n v="520905.41436464101"/>
  </r>
  <r>
    <x v="0"/>
    <x v="0"/>
    <x v="0"/>
    <x v="2"/>
    <x v="3"/>
    <s v="FIN_HELS"/>
    <x v="8"/>
    <x v="0"/>
    <s v="GEXT_NATGAS_VOUSAARI"/>
    <x v="0"/>
    <x v="12"/>
    <n v="396.42725598526698"/>
    <n v="144695.948434622"/>
    <n v="520905.41436464101"/>
  </r>
  <r>
    <x v="0"/>
    <x v="0"/>
    <x v="0"/>
    <x v="2"/>
    <x v="3"/>
    <s v="FIN_HELS"/>
    <x v="8"/>
    <x v="0"/>
    <s v="GEXT_NATGAS_VOUSAARI"/>
    <x v="0"/>
    <x v="13"/>
    <n v="396.42725598526698"/>
    <n v="144695.948434622"/>
    <n v="520905.41436464101"/>
  </r>
  <r>
    <x v="0"/>
    <x v="0"/>
    <x v="0"/>
    <x v="2"/>
    <x v="3"/>
    <s v="FIN_HELS"/>
    <x v="8"/>
    <x v="0"/>
    <s v="GEXT_NATGAS_VOUSAARI"/>
    <x v="0"/>
    <x v="14"/>
    <n v="396.42725598526698"/>
    <n v="144695.948434622"/>
    <n v="520905.41436464101"/>
  </r>
  <r>
    <x v="0"/>
    <x v="0"/>
    <x v="0"/>
    <x v="2"/>
    <x v="3"/>
    <s v="FIN_HELS"/>
    <x v="8"/>
    <x v="0"/>
    <s v="GEXT_NATGAS_VOUSAARI"/>
    <x v="0"/>
    <x v="15"/>
    <n v="396.42725598526698"/>
    <n v="144695.948434622"/>
    <n v="520905.41436464101"/>
  </r>
  <r>
    <x v="0"/>
    <x v="0"/>
    <x v="0"/>
    <x v="2"/>
    <x v="3"/>
    <s v="FIN_HELS"/>
    <x v="8"/>
    <x v="0"/>
    <s v="GEXT_NATGAS_VOUSAARI"/>
    <x v="0"/>
    <x v="16"/>
    <n v="396.42725598526698"/>
    <n v="144695.948434622"/>
    <n v="520905.41436464101"/>
  </r>
  <r>
    <x v="0"/>
    <x v="0"/>
    <x v="0"/>
    <x v="2"/>
    <x v="3"/>
    <s v="FIN_HELS"/>
    <x v="8"/>
    <x v="0"/>
    <s v="GEXT_NATGAS_VOUSAARI"/>
    <x v="0"/>
    <x v="17"/>
    <n v="396.42725598526698"/>
    <n v="144695.948434622"/>
    <n v="520905.41436464101"/>
  </r>
  <r>
    <x v="0"/>
    <x v="0"/>
    <x v="0"/>
    <x v="2"/>
    <x v="3"/>
    <s v="FIN_HELS"/>
    <x v="8"/>
    <x v="0"/>
    <s v="GEXT_NATGAS_VOUSAARI"/>
    <x v="0"/>
    <x v="19"/>
    <n v="396.42725598526698"/>
    <n v="144695.948434622"/>
    <n v="520905.41436464101"/>
  </r>
  <r>
    <x v="0"/>
    <x v="0"/>
    <x v="0"/>
    <x v="2"/>
    <x v="3"/>
    <s v="FIN_HELS"/>
    <x v="8"/>
    <x v="0"/>
    <s v="GEXT_NATGAS_VOUSAARI"/>
    <x v="0"/>
    <x v="20"/>
    <n v="396.42725598526698"/>
    <n v="144695.948434622"/>
    <n v="520905.41436464101"/>
  </r>
  <r>
    <x v="0"/>
    <x v="0"/>
    <x v="0"/>
    <x v="2"/>
    <x v="3"/>
    <s v="FIN_HELS"/>
    <x v="8"/>
    <x v="0"/>
    <s v="GEXT_NATGAS_VOUSAARI"/>
    <x v="0"/>
    <x v="21"/>
    <n v="396.42725598526698"/>
    <n v="144695.948434622"/>
    <n v="520905.41436464101"/>
  </r>
  <r>
    <x v="0"/>
    <x v="0"/>
    <x v="0"/>
    <x v="2"/>
    <x v="3"/>
    <s v="FIN_HELS"/>
    <x v="8"/>
    <x v="0"/>
    <s v="GEXT_NATGAS_VOUSAARI"/>
    <x v="0"/>
    <x v="22"/>
    <n v="396.42725598526698"/>
    <n v="144695.948434622"/>
    <n v="520905.41436464101"/>
  </r>
  <r>
    <x v="0"/>
    <x v="0"/>
    <x v="0"/>
    <x v="2"/>
    <x v="3"/>
    <s v="FIN_HELS"/>
    <x v="8"/>
    <x v="0"/>
    <s v="GEXT_NATGAS_VOUSAARI"/>
    <x v="0"/>
    <x v="23"/>
    <n v="352.73284233705402"/>
    <n v="128747.48745302499"/>
    <n v="463490.95483088901"/>
  </r>
  <r>
    <x v="0"/>
    <x v="0"/>
    <x v="0"/>
    <x v="2"/>
    <x v="3"/>
    <s v="FIN_HP"/>
    <x v="0"/>
    <x v="2"/>
    <s v="GBPR_COAL_NAANTALI"/>
    <x v="0"/>
    <x v="0"/>
    <n v="184.59857260499601"/>
    <n v="67378.4790008235"/>
    <n v="242562.52440296501"/>
  </r>
  <r>
    <x v="0"/>
    <x v="0"/>
    <x v="0"/>
    <x v="2"/>
    <x v="3"/>
    <s v="FIN_HP"/>
    <x v="0"/>
    <x v="2"/>
    <s v="GBPR_COAL_NAANTALI"/>
    <x v="0"/>
    <x v="1"/>
    <n v="184.59857260499601"/>
    <n v="67378.4790008235"/>
    <n v="242562.52440296501"/>
  </r>
  <r>
    <x v="0"/>
    <x v="0"/>
    <x v="0"/>
    <x v="2"/>
    <x v="3"/>
    <s v="FIN_HP"/>
    <x v="0"/>
    <x v="2"/>
    <s v="GBPR_COAL_NAANTALI"/>
    <x v="0"/>
    <x v="18"/>
    <n v="184.59857260499601"/>
    <n v="67378.4790008235"/>
    <n v="242562.52440296501"/>
  </r>
  <r>
    <x v="0"/>
    <x v="0"/>
    <x v="0"/>
    <x v="2"/>
    <x v="3"/>
    <s v="FIN_HP"/>
    <x v="0"/>
    <x v="2"/>
    <s v="GBPR_COAL_NAANTALI"/>
    <x v="0"/>
    <x v="2"/>
    <n v="184.59857260499601"/>
    <n v="67378.4790008235"/>
    <n v="242562.52440296501"/>
  </r>
  <r>
    <x v="0"/>
    <x v="0"/>
    <x v="0"/>
    <x v="2"/>
    <x v="3"/>
    <s v="FIN_HP"/>
    <x v="0"/>
    <x v="2"/>
    <s v="GBPR_COAL_NAANTALI"/>
    <x v="0"/>
    <x v="3"/>
    <n v="184.59857260499601"/>
    <n v="67378.4790008235"/>
    <n v="242562.52440296501"/>
  </r>
  <r>
    <x v="0"/>
    <x v="0"/>
    <x v="0"/>
    <x v="2"/>
    <x v="3"/>
    <s v="FIN_HP"/>
    <x v="0"/>
    <x v="2"/>
    <s v="GBPR_COAL_NAANTALI"/>
    <x v="0"/>
    <x v="4"/>
    <n v="184.59857260499601"/>
    <n v="67378.4790008235"/>
    <n v="242562.52440296501"/>
  </r>
  <r>
    <x v="0"/>
    <x v="0"/>
    <x v="0"/>
    <x v="2"/>
    <x v="3"/>
    <s v="FIN_HP"/>
    <x v="0"/>
    <x v="2"/>
    <s v="GBPR_COAL_NAANTALI"/>
    <x v="0"/>
    <x v="5"/>
    <n v="184.59857260499601"/>
    <n v="67378.4790008235"/>
    <n v="242562.52440296501"/>
  </r>
  <r>
    <x v="0"/>
    <x v="0"/>
    <x v="0"/>
    <x v="2"/>
    <x v="3"/>
    <s v="FIN_HP"/>
    <x v="0"/>
    <x v="2"/>
    <s v="GBPR_COAL_NAANTALI"/>
    <x v="0"/>
    <x v="6"/>
    <n v="184.59857260499601"/>
    <n v="67378.4790008235"/>
    <n v="242562.52440296501"/>
  </r>
  <r>
    <x v="0"/>
    <x v="0"/>
    <x v="0"/>
    <x v="2"/>
    <x v="3"/>
    <s v="FIN_HP"/>
    <x v="0"/>
    <x v="2"/>
    <s v="GBPR_COAL_NAANTALI"/>
    <x v="0"/>
    <x v="7"/>
    <n v="184.59857260499601"/>
    <n v="67378.4790008235"/>
    <n v="242562.52440296501"/>
  </r>
  <r>
    <x v="0"/>
    <x v="0"/>
    <x v="0"/>
    <x v="2"/>
    <x v="3"/>
    <s v="FIN_HP"/>
    <x v="0"/>
    <x v="2"/>
    <s v="GBPR_COAL_NAANTALI"/>
    <x v="0"/>
    <x v="8"/>
    <n v="184.59857260499601"/>
    <n v="67378.4790008235"/>
    <n v="242562.52440296501"/>
  </r>
  <r>
    <x v="0"/>
    <x v="0"/>
    <x v="0"/>
    <x v="2"/>
    <x v="3"/>
    <s v="FIN_HP"/>
    <x v="0"/>
    <x v="2"/>
    <s v="GBPR_COAL_NAANTALI"/>
    <x v="0"/>
    <x v="9"/>
    <n v="184.59857260499601"/>
    <n v="67378.4790008235"/>
    <n v="242562.52440296501"/>
  </r>
  <r>
    <x v="0"/>
    <x v="0"/>
    <x v="0"/>
    <x v="2"/>
    <x v="3"/>
    <s v="FIN_HP"/>
    <x v="0"/>
    <x v="2"/>
    <s v="GBPR_COAL_NAANTALI"/>
    <x v="0"/>
    <x v="10"/>
    <n v="184.59857260499601"/>
    <n v="67378.4790008235"/>
    <n v="242562.52440296501"/>
  </r>
  <r>
    <x v="0"/>
    <x v="0"/>
    <x v="0"/>
    <x v="2"/>
    <x v="3"/>
    <s v="FIN_HP"/>
    <x v="0"/>
    <x v="2"/>
    <s v="GBPR_COAL_NAANTALI"/>
    <x v="0"/>
    <x v="11"/>
    <n v="184.59857260499601"/>
    <n v="67378.4790008235"/>
    <n v="242562.52440296501"/>
  </r>
  <r>
    <x v="0"/>
    <x v="0"/>
    <x v="0"/>
    <x v="2"/>
    <x v="3"/>
    <s v="FIN_HP"/>
    <x v="0"/>
    <x v="2"/>
    <s v="GBPR_COAL_NAANTALI"/>
    <x v="0"/>
    <x v="12"/>
    <n v="184.59857260499601"/>
    <n v="67378.4790008235"/>
    <n v="242562.52440296501"/>
  </r>
  <r>
    <x v="0"/>
    <x v="0"/>
    <x v="0"/>
    <x v="2"/>
    <x v="3"/>
    <s v="FIN_HP"/>
    <x v="0"/>
    <x v="2"/>
    <s v="GBPR_COAL_NAANTALI"/>
    <x v="0"/>
    <x v="13"/>
    <n v="184.59857260499601"/>
    <n v="67378.4790008235"/>
    <n v="242562.52440296501"/>
  </r>
  <r>
    <x v="0"/>
    <x v="0"/>
    <x v="0"/>
    <x v="2"/>
    <x v="3"/>
    <s v="FIN_HP"/>
    <x v="0"/>
    <x v="2"/>
    <s v="GBPR_COAL_NAANTALI"/>
    <x v="0"/>
    <x v="14"/>
    <n v="184.59857260499601"/>
    <n v="67378.4790008235"/>
    <n v="242562.52440296501"/>
  </r>
  <r>
    <x v="0"/>
    <x v="0"/>
    <x v="0"/>
    <x v="2"/>
    <x v="3"/>
    <s v="FIN_HP"/>
    <x v="0"/>
    <x v="2"/>
    <s v="GBPR_COAL_NAANTALI"/>
    <x v="0"/>
    <x v="15"/>
    <n v="184.59857260499601"/>
    <n v="67378.4790008235"/>
    <n v="242562.52440296501"/>
  </r>
  <r>
    <x v="0"/>
    <x v="0"/>
    <x v="0"/>
    <x v="2"/>
    <x v="3"/>
    <s v="FIN_HP"/>
    <x v="0"/>
    <x v="2"/>
    <s v="GBPR_COAL_NAANTALI"/>
    <x v="0"/>
    <x v="16"/>
    <n v="184.59857260499601"/>
    <n v="67378.4790008235"/>
    <n v="242562.52440296501"/>
  </r>
  <r>
    <x v="0"/>
    <x v="0"/>
    <x v="0"/>
    <x v="2"/>
    <x v="3"/>
    <s v="FIN_HP"/>
    <x v="0"/>
    <x v="2"/>
    <s v="GBPR_COAL_NAANTALI"/>
    <x v="0"/>
    <x v="17"/>
    <n v="184.59857260499601"/>
    <n v="67378.4790008235"/>
    <n v="242562.52440296501"/>
  </r>
  <r>
    <x v="0"/>
    <x v="0"/>
    <x v="0"/>
    <x v="2"/>
    <x v="3"/>
    <s v="FIN_HP"/>
    <x v="0"/>
    <x v="2"/>
    <s v="GBPR_COAL_NAANTALI"/>
    <x v="0"/>
    <x v="19"/>
    <n v="184.59857260499601"/>
    <n v="67378.4790008235"/>
    <n v="242562.52440296501"/>
  </r>
  <r>
    <x v="0"/>
    <x v="0"/>
    <x v="0"/>
    <x v="2"/>
    <x v="3"/>
    <s v="FIN_HP"/>
    <x v="0"/>
    <x v="2"/>
    <s v="GBPR_COAL_NAANTALI"/>
    <x v="0"/>
    <x v="20"/>
    <n v="184.59857260499601"/>
    <n v="67378.4790008235"/>
    <n v="242562.52440296501"/>
  </r>
  <r>
    <x v="0"/>
    <x v="0"/>
    <x v="0"/>
    <x v="2"/>
    <x v="3"/>
    <s v="FIN_HP"/>
    <x v="0"/>
    <x v="2"/>
    <s v="GBPR_COAL_NAANTALI"/>
    <x v="0"/>
    <x v="21"/>
    <n v="184.59857260499601"/>
    <n v="67378.4790008235"/>
    <n v="242562.52440296501"/>
  </r>
  <r>
    <x v="0"/>
    <x v="0"/>
    <x v="0"/>
    <x v="2"/>
    <x v="3"/>
    <s v="FIN_HP"/>
    <x v="0"/>
    <x v="2"/>
    <s v="GBPR_COAL_NAANTALI"/>
    <x v="0"/>
    <x v="22"/>
    <n v="184.59857260499601"/>
    <n v="67378.4790008235"/>
    <n v="242562.52440296501"/>
  </r>
  <r>
    <x v="0"/>
    <x v="0"/>
    <x v="0"/>
    <x v="2"/>
    <x v="3"/>
    <s v="FIN_HP"/>
    <x v="0"/>
    <x v="2"/>
    <s v="GBPR_COAL_NAANTALI"/>
    <x v="0"/>
    <x v="23"/>
    <n v="184.59857260499601"/>
    <n v="67378.4790008235"/>
    <n v="242562.52440296501"/>
  </r>
  <r>
    <x v="0"/>
    <x v="0"/>
    <x v="0"/>
    <x v="2"/>
    <x v="3"/>
    <s v="FIN_HP"/>
    <x v="1"/>
    <x v="1"/>
    <s v="GETOH_HEATPUMP"/>
    <x v="0"/>
    <x v="0"/>
    <n v="-12.6666666666667"/>
    <n v="-4623.3333333333303"/>
    <n v="-16644"/>
  </r>
  <r>
    <x v="0"/>
    <x v="0"/>
    <x v="0"/>
    <x v="2"/>
    <x v="3"/>
    <s v="FIN_HP"/>
    <x v="1"/>
    <x v="1"/>
    <s v="GETOH_HEATPUMP"/>
    <x v="0"/>
    <x v="1"/>
    <n v="-12.6666666666667"/>
    <n v="-4623.3333333333303"/>
    <n v="-16644"/>
  </r>
  <r>
    <x v="0"/>
    <x v="0"/>
    <x v="0"/>
    <x v="2"/>
    <x v="3"/>
    <s v="FIN_HP"/>
    <x v="1"/>
    <x v="1"/>
    <s v="GETOH_HEATPUMP"/>
    <x v="0"/>
    <x v="18"/>
    <n v="-12.6666666666667"/>
    <n v="-4623.3333333333303"/>
    <n v="-16644"/>
  </r>
  <r>
    <x v="0"/>
    <x v="0"/>
    <x v="0"/>
    <x v="2"/>
    <x v="3"/>
    <s v="FIN_HP"/>
    <x v="1"/>
    <x v="1"/>
    <s v="GETOH_HEATPUMP"/>
    <x v="0"/>
    <x v="2"/>
    <n v="-12.6666666666667"/>
    <n v="-4623.3333333333303"/>
    <n v="-16644"/>
  </r>
  <r>
    <x v="0"/>
    <x v="0"/>
    <x v="0"/>
    <x v="2"/>
    <x v="3"/>
    <s v="FIN_HP"/>
    <x v="1"/>
    <x v="1"/>
    <s v="GETOH_HEATPUMP"/>
    <x v="0"/>
    <x v="3"/>
    <n v="-12.6666666666667"/>
    <n v="-4623.3333333333303"/>
    <n v="-16644"/>
  </r>
  <r>
    <x v="0"/>
    <x v="0"/>
    <x v="0"/>
    <x v="2"/>
    <x v="3"/>
    <s v="FIN_HP"/>
    <x v="1"/>
    <x v="1"/>
    <s v="GETOH_HEATPUMP"/>
    <x v="0"/>
    <x v="4"/>
    <n v="-12.6666666666667"/>
    <n v="-4623.3333333333303"/>
    <n v="-16644"/>
  </r>
  <r>
    <x v="0"/>
    <x v="0"/>
    <x v="0"/>
    <x v="2"/>
    <x v="3"/>
    <s v="FIN_HP"/>
    <x v="1"/>
    <x v="1"/>
    <s v="GETOH_HEATPUMP"/>
    <x v="0"/>
    <x v="5"/>
    <n v="-12.6666666666667"/>
    <n v="-4623.3333333333303"/>
    <n v="-16644"/>
  </r>
  <r>
    <x v="0"/>
    <x v="0"/>
    <x v="0"/>
    <x v="2"/>
    <x v="3"/>
    <s v="FIN_HP"/>
    <x v="1"/>
    <x v="1"/>
    <s v="GETOH_HEATPUMP"/>
    <x v="0"/>
    <x v="6"/>
    <n v="-12.6666666666667"/>
    <n v="-4623.3333333333303"/>
    <n v="-16644"/>
  </r>
  <r>
    <x v="0"/>
    <x v="0"/>
    <x v="0"/>
    <x v="2"/>
    <x v="3"/>
    <s v="FIN_HP"/>
    <x v="1"/>
    <x v="1"/>
    <s v="GETOH_HEATPUMP"/>
    <x v="0"/>
    <x v="7"/>
    <n v="-12.6666666666667"/>
    <n v="-4623.3333333333303"/>
    <n v="-16644"/>
  </r>
  <r>
    <x v="0"/>
    <x v="0"/>
    <x v="0"/>
    <x v="2"/>
    <x v="3"/>
    <s v="FIN_HP"/>
    <x v="1"/>
    <x v="1"/>
    <s v="GETOH_HEATPUMP"/>
    <x v="0"/>
    <x v="8"/>
    <n v="-12.6666666666667"/>
    <n v="-4623.3333333333303"/>
    <n v="-16644"/>
  </r>
  <r>
    <x v="0"/>
    <x v="0"/>
    <x v="0"/>
    <x v="2"/>
    <x v="3"/>
    <s v="FIN_HP"/>
    <x v="1"/>
    <x v="1"/>
    <s v="GETOH_HEATPUMP"/>
    <x v="0"/>
    <x v="9"/>
    <n v="-12.6666666666667"/>
    <n v="-4623.3333333333303"/>
    <n v="-16644"/>
  </r>
  <r>
    <x v="0"/>
    <x v="0"/>
    <x v="0"/>
    <x v="2"/>
    <x v="3"/>
    <s v="FIN_HP"/>
    <x v="1"/>
    <x v="1"/>
    <s v="GETOH_HEATPUMP"/>
    <x v="0"/>
    <x v="10"/>
    <n v="-12.6666666666667"/>
    <n v="-4623.3333333333303"/>
    <n v="-16644"/>
  </r>
  <r>
    <x v="0"/>
    <x v="0"/>
    <x v="0"/>
    <x v="2"/>
    <x v="3"/>
    <s v="FIN_HP"/>
    <x v="1"/>
    <x v="1"/>
    <s v="GETOH_HEATPUMP"/>
    <x v="0"/>
    <x v="11"/>
    <n v="-12.6666666666667"/>
    <n v="-4623.3333333333303"/>
    <n v="-16644"/>
  </r>
  <r>
    <x v="0"/>
    <x v="0"/>
    <x v="0"/>
    <x v="2"/>
    <x v="3"/>
    <s v="FIN_HP"/>
    <x v="1"/>
    <x v="1"/>
    <s v="GETOH_HEATPUMP"/>
    <x v="0"/>
    <x v="12"/>
    <n v="-12.6666666666667"/>
    <n v="-4623.3333333333303"/>
    <n v="-16644"/>
  </r>
  <r>
    <x v="0"/>
    <x v="0"/>
    <x v="0"/>
    <x v="2"/>
    <x v="3"/>
    <s v="FIN_HP"/>
    <x v="1"/>
    <x v="1"/>
    <s v="GETOH_HEATPUMP"/>
    <x v="0"/>
    <x v="13"/>
    <n v="-12.6666666666667"/>
    <n v="-4623.3333333333303"/>
    <n v="-16644"/>
  </r>
  <r>
    <x v="0"/>
    <x v="0"/>
    <x v="0"/>
    <x v="2"/>
    <x v="3"/>
    <s v="FIN_HP"/>
    <x v="1"/>
    <x v="1"/>
    <s v="GETOH_HEATPUMP"/>
    <x v="0"/>
    <x v="14"/>
    <n v="-12.6666666666667"/>
    <n v="-4623.3333333333303"/>
    <n v="-16644"/>
  </r>
  <r>
    <x v="0"/>
    <x v="0"/>
    <x v="0"/>
    <x v="2"/>
    <x v="3"/>
    <s v="FIN_HP"/>
    <x v="1"/>
    <x v="1"/>
    <s v="GETOH_HEATPUMP"/>
    <x v="0"/>
    <x v="15"/>
    <n v="-12.6666666666667"/>
    <n v="-4623.3333333333303"/>
    <n v="-16644"/>
  </r>
  <r>
    <x v="0"/>
    <x v="0"/>
    <x v="0"/>
    <x v="2"/>
    <x v="3"/>
    <s v="FIN_HP"/>
    <x v="1"/>
    <x v="1"/>
    <s v="GETOH_HEATPUMP"/>
    <x v="0"/>
    <x v="16"/>
    <n v="-12.6666666666667"/>
    <n v="-4623.3333333333303"/>
    <n v="-16644"/>
  </r>
  <r>
    <x v="0"/>
    <x v="0"/>
    <x v="0"/>
    <x v="2"/>
    <x v="3"/>
    <s v="FIN_HP"/>
    <x v="1"/>
    <x v="1"/>
    <s v="GETOH_HEATPUMP"/>
    <x v="0"/>
    <x v="17"/>
    <n v="-12.6666666666667"/>
    <n v="-4623.3333333333303"/>
    <n v="-16644"/>
  </r>
  <r>
    <x v="0"/>
    <x v="0"/>
    <x v="0"/>
    <x v="2"/>
    <x v="3"/>
    <s v="FIN_HP"/>
    <x v="1"/>
    <x v="1"/>
    <s v="GETOH_HEATPUMP"/>
    <x v="0"/>
    <x v="19"/>
    <n v="-12.6666666666667"/>
    <n v="-4623.3333333333303"/>
    <n v="-16644"/>
  </r>
  <r>
    <x v="0"/>
    <x v="0"/>
    <x v="0"/>
    <x v="2"/>
    <x v="3"/>
    <s v="FIN_HP"/>
    <x v="1"/>
    <x v="1"/>
    <s v="GETOH_HEATPUMP"/>
    <x v="0"/>
    <x v="20"/>
    <n v="-12.6666666666667"/>
    <n v="-4623.3333333333303"/>
    <n v="-16644"/>
  </r>
  <r>
    <x v="0"/>
    <x v="0"/>
    <x v="0"/>
    <x v="2"/>
    <x v="3"/>
    <s v="FIN_HP"/>
    <x v="1"/>
    <x v="1"/>
    <s v="GETOH_HEATPUMP"/>
    <x v="0"/>
    <x v="21"/>
    <n v="-12.6666666666667"/>
    <n v="-4623.3333333333303"/>
    <n v="-16644"/>
  </r>
  <r>
    <x v="0"/>
    <x v="0"/>
    <x v="0"/>
    <x v="2"/>
    <x v="3"/>
    <s v="FIN_HP"/>
    <x v="1"/>
    <x v="1"/>
    <s v="GETOH_HEATPUMP"/>
    <x v="0"/>
    <x v="22"/>
    <n v="-12.6666666666667"/>
    <n v="-4623.3333333333303"/>
    <n v="-16644"/>
  </r>
  <r>
    <x v="0"/>
    <x v="0"/>
    <x v="0"/>
    <x v="2"/>
    <x v="3"/>
    <s v="FIN_HP"/>
    <x v="1"/>
    <x v="1"/>
    <s v="GETOH_HEATPUMP"/>
    <x v="0"/>
    <x v="23"/>
    <n v="-12.6666666666667"/>
    <n v="-4623.3333333333303"/>
    <n v="-16644"/>
  </r>
  <r>
    <x v="0"/>
    <x v="0"/>
    <x v="0"/>
    <x v="2"/>
    <x v="3"/>
    <s v="FIN_OTHER"/>
    <x v="0"/>
    <x v="2"/>
    <s v="GBPR_COAL"/>
    <x v="0"/>
    <x v="0"/>
    <n v="2.2774230030194902"/>
    <n v="831.25939610211401"/>
    <n v="2992.53382596761"/>
  </r>
  <r>
    <x v="0"/>
    <x v="0"/>
    <x v="0"/>
    <x v="2"/>
    <x v="3"/>
    <s v="FIN_OTHER"/>
    <x v="0"/>
    <x v="2"/>
    <s v="GBPR_COAL"/>
    <x v="0"/>
    <x v="1"/>
    <n v="2.2774230030194902"/>
    <n v="831.25939610211401"/>
    <n v="2992.53382596761"/>
  </r>
  <r>
    <x v="0"/>
    <x v="0"/>
    <x v="0"/>
    <x v="2"/>
    <x v="3"/>
    <s v="FIN_OTHER"/>
    <x v="0"/>
    <x v="2"/>
    <s v="GBPR_COAL"/>
    <x v="0"/>
    <x v="18"/>
    <n v="2.2774230030194902"/>
    <n v="831.25939610211401"/>
    <n v="2992.53382596761"/>
  </r>
  <r>
    <x v="0"/>
    <x v="0"/>
    <x v="0"/>
    <x v="2"/>
    <x v="3"/>
    <s v="FIN_OTHER"/>
    <x v="0"/>
    <x v="2"/>
    <s v="GBPR_COAL"/>
    <x v="0"/>
    <x v="2"/>
    <n v="2.2774230030194902"/>
    <n v="831.25939610211401"/>
    <n v="2992.53382596761"/>
  </r>
  <r>
    <x v="0"/>
    <x v="0"/>
    <x v="0"/>
    <x v="2"/>
    <x v="3"/>
    <s v="FIN_OTHER"/>
    <x v="0"/>
    <x v="2"/>
    <s v="GBPR_COAL"/>
    <x v="0"/>
    <x v="3"/>
    <n v="2.2774230030194902"/>
    <n v="831.25939610211401"/>
    <n v="2992.53382596761"/>
  </r>
  <r>
    <x v="0"/>
    <x v="0"/>
    <x v="0"/>
    <x v="2"/>
    <x v="3"/>
    <s v="FIN_OTHER"/>
    <x v="0"/>
    <x v="2"/>
    <s v="GBPR_COAL"/>
    <x v="0"/>
    <x v="4"/>
    <n v="2.2774230030194902"/>
    <n v="831.25939610211401"/>
    <n v="2992.53382596761"/>
  </r>
  <r>
    <x v="0"/>
    <x v="0"/>
    <x v="0"/>
    <x v="2"/>
    <x v="3"/>
    <s v="FIN_OTHER"/>
    <x v="0"/>
    <x v="2"/>
    <s v="GBPR_COAL"/>
    <x v="0"/>
    <x v="5"/>
    <n v="2.2774230030194902"/>
    <n v="831.25939610211401"/>
    <n v="2992.53382596761"/>
  </r>
  <r>
    <x v="0"/>
    <x v="0"/>
    <x v="0"/>
    <x v="2"/>
    <x v="3"/>
    <s v="FIN_OTHER"/>
    <x v="0"/>
    <x v="2"/>
    <s v="GBPR_COAL"/>
    <x v="0"/>
    <x v="6"/>
    <n v="2.2774230030194902"/>
    <n v="831.25939610211401"/>
    <n v="2992.53382596761"/>
  </r>
  <r>
    <x v="0"/>
    <x v="0"/>
    <x v="0"/>
    <x v="2"/>
    <x v="3"/>
    <s v="FIN_OTHER"/>
    <x v="0"/>
    <x v="2"/>
    <s v="GBPR_COAL"/>
    <x v="0"/>
    <x v="7"/>
    <n v="2.2774230030194902"/>
    <n v="831.25939610211401"/>
    <n v="2992.53382596761"/>
  </r>
  <r>
    <x v="0"/>
    <x v="0"/>
    <x v="0"/>
    <x v="2"/>
    <x v="3"/>
    <s v="FIN_OTHER"/>
    <x v="0"/>
    <x v="2"/>
    <s v="GBPR_COAL"/>
    <x v="0"/>
    <x v="8"/>
    <n v="2.2774230030194902"/>
    <n v="831.25939610211401"/>
    <n v="2992.53382596761"/>
  </r>
  <r>
    <x v="0"/>
    <x v="0"/>
    <x v="0"/>
    <x v="2"/>
    <x v="3"/>
    <s v="FIN_OTHER"/>
    <x v="0"/>
    <x v="2"/>
    <s v="GBPR_COAL"/>
    <x v="0"/>
    <x v="9"/>
    <n v="2.2774230030194902"/>
    <n v="831.25939610211401"/>
    <n v="2992.53382596761"/>
  </r>
  <r>
    <x v="0"/>
    <x v="0"/>
    <x v="0"/>
    <x v="2"/>
    <x v="3"/>
    <s v="FIN_OTHER"/>
    <x v="0"/>
    <x v="2"/>
    <s v="GBPR_COAL"/>
    <x v="0"/>
    <x v="10"/>
    <n v="2.2774230030194902"/>
    <n v="831.25939610211401"/>
    <n v="2992.53382596761"/>
  </r>
  <r>
    <x v="0"/>
    <x v="0"/>
    <x v="0"/>
    <x v="2"/>
    <x v="3"/>
    <s v="FIN_OTHER"/>
    <x v="0"/>
    <x v="2"/>
    <s v="GBPR_COAL"/>
    <x v="0"/>
    <x v="11"/>
    <n v="2.2774230030194902"/>
    <n v="831.25939610211401"/>
    <n v="2992.53382596761"/>
  </r>
  <r>
    <x v="0"/>
    <x v="0"/>
    <x v="0"/>
    <x v="2"/>
    <x v="3"/>
    <s v="FIN_OTHER"/>
    <x v="0"/>
    <x v="2"/>
    <s v="GBPR_COAL"/>
    <x v="0"/>
    <x v="12"/>
    <n v="2.2774230030194902"/>
    <n v="831.25939610211401"/>
    <n v="2992.53382596761"/>
  </r>
  <r>
    <x v="0"/>
    <x v="0"/>
    <x v="0"/>
    <x v="2"/>
    <x v="3"/>
    <s v="FIN_OTHER"/>
    <x v="0"/>
    <x v="2"/>
    <s v="GBPR_COAL"/>
    <x v="0"/>
    <x v="13"/>
    <n v="2.2774230030194902"/>
    <n v="831.25939610211401"/>
    <n v="2992.53382596761"/>
  </r>
  <r>
    <x v="0"/>
    <x v="0"/>
    <x v="0"/>
    <x v="2"/>
    <x v="3"/>
    <s v="FIN_OTHER"/>
    <x v="0"/>
    <x v="2"/>
    <s v="GBPR_COAL"/>
    <x v="0"/>
    <x v="14"/>
    <n v="2.2774230030194902"/>
    <n v="831.25939610211401"/>
    <n v="2992.53382596761"/>
  </r>
  <r>
    <x v="0"/>
    <x v="0"/>
    <x v="0"/>
    <x v="2"/>
    <x v="3"/>
    <s v="FIN_OTHER"/>
    <x v="0"/>
    <x v="2"/>
    <s v="GBPR_COAL"/>
    <x v="0"/>
    <x v="15"/>
    <n v="2.2774230030194902"/>
    <n v="831.25939610211401"/>
    <n v="2992.53382596761"/>
  </r>
  <r>
    <x v="0"/>
    <x v="0"/>
    <x v="0"/>
    <x v="2"/>
    <x v="3"/>
    <s v="FIN_OTHER"/>
    <x v="0"/>
    <x v="2"/>
    <s v="GBPR_COAL"/>
    <x v="0"/>
    <x v="16"/>
    <n v="2.2774230030194902"/>
    <n v="831.25939610211401"/>
    <n v="2992.53382596761"/>
  </r>
  <r>
    <x v="0"/>
    <x v="0"/>
    <x v="0"/>
    <x v="2"/>
    <x v="3"/>
    <s v="FIN_OTHER"/>
    <x v="0"/>
    <x v="2"/>
    <s v="GBPR_COAL"/>
    <x v="0"/>
    <x v="17"/>
    <n v="2.2774230030194902"/>
    <n v="831.25939610211401"/>
    <n v="2992.53382596761"/>
  </r>
  <r>
    <x v="0"/>
    <x v="0"/>
    <x v="0"/>
    <x v="2"/>
    <x v="3"/>
    <s v="FIN_OTHER"/>
    <x v="0"/>
    <x v="2"/>
    <s v="GBPR_COAL"/>
    <x v="0"/>
    <x v="19"/>
    <n v="2.2774230030194902"/>
    <n v="831.25939610211401"/>
    <n v="2992.53382596761"/>
  </r>
  <r>
    <x v="0"/>
    <x v="0"/>
    <x v="0"/>
    <x v="2"/>
    <x v="3"/>
    <s v="FIN_OTHER"/>
    <x v="0"/>
    <x v="2"/>
    <s v="GBPR_COAL"/>
    <x v="0"/>
    <x v="20"/>
    <n v="2.2774230030194902"/>
    <n v="831.25939610211401"/>
    <n v="2992.53382596761"/>
  </r>
  <r>
    <x v="0"/>
    <x v="0"/>
    <x v="0"/>
    <x v="2"/>
    <x v="3"/>
    <s v="FIN_OTHER"/>
    <x v="0"/>
    <x v="2"/>
    <s v="GBPR_COAL"/>
    <x v="0"/>
    <x v="21"/>
    <n v="2.2774230030194902"/>
    <n v="831.25939610211401"/>
    <n v="2992.53382596761"/>
  </r>
  <r>
    <x v="0"/>
    <x v="0"/>
    <x v="0"/>
    <x v="2"/>
    <x v="3"/>
    <s v="FIN_OTHER"/>
    <x v="0"/>
    <x v="2"/>
    <s v="GBPR_COAL"/>
    <x v="0"/>
    <x v="22"/>
    <n v="2.2774230030194902"/>
    <n v="831.25939610211401"/>
    <n v="2992.53382596761"/>
  </r>
  <r>
    <x v="0"/>
    <x v="0"/>
    <x v="0"/>
    <x v="2"/>
    <x v="3"/>
    <s v="FIN_OTHER"/>
    <x v="0"/>
    <x v="2"/>
    <s v="GBPR_COAL"/>
    <x v="0"/>
    <x v="23"/>
    <n v="2.2774230030194902"/>
    <n v="831.25939610211401"/>
    <n v="2992.53382596761"/>
  </r>
  <r>
    <x v="0"/>
    <x v="0"/>
    <x v="0"/>
    <x v="2"/>
    <x v="3"/>
    <s v="FIN_OTHER"/>
    <x v="13"/>
    <x v="2"/>
    <s v="GBPR_PEAT"/>
    <x v="0"/>
    <x v="0"/>
    <n v="270.28658653647"/>
    <n v="98654.604085811603"/>
    <n v="355156.57470892201"/>
  </r>
  <r>
    <x v="0"/>
    <x v="0"/>
    <x v="0"/>
    <x v="2"/>
    <x v="3"/>
    <s v="FIN_OTHER"/>
    <x v="13"/>
    <x v="2"/>
    <s v="GBPR_PEAT"/>
    <x v="0"/>
    <x v="1"/>
    <n v="270.28658653647"/>
    <n v="98654.604085811603"/>
    <n v="355156.57470892201"/>
  </r>
  <r>
    <x v="0"/>
    <x v="0"/>
    <x v="0"/>
    <x v="2"/>
    <x v="3"/>
    <s v="FIN_OTHER"/>
    <x v="13"/>
    <x v="2"/>
    <s v="GBPR_PEAT"/>
    <x v="0"/>
    <x v="18"/>
    <n v="270.28658653647"/>
    <n v="98654.604085811603"/>
    <n v="355156.57470892201"/>
  </r>
  <r>
    <x v="0"/>
    <x v="0"/>
    <x v="0"/>
    <x v="2"/>
    <x v="3"/>
    <s v="FIN_OTHER"/>
    <x v="13"/>
    <x v="2"/>
    <s v="GBPR_PEAT"/>
    <x v="0"/>
    <x v="2"/>
    <n v="270.28658653647"/>
    <n v="98654.604085811603"/>
    <n v="355156.57470892201"/>
  </r>
  <r>
    <x v="0"/>
    <x v="0"/>
    <x v="0"/>
    <x v="2"/>
    <x v="3"/>
    <s v="FIN_OTHER"/>
    <x v="13"/>
    <x v="2"/>
    <s v="GBPR_PEAT"/>
    <x v="0"/>
    <x v="3"/>
    <n v="270.28658653647"/>
    <n v="98654.604085811603"/>
    <n v="355156.57470892201"/>
  </r>
  <r>
    <x v="0"/>
    <x v="0"/>
    <x v="0"/>
    <x v="2"/>
    <x v="3"/>
    <s v="FIN_OTHER"/>
    <x v="13"/>
    <x v="2"/>
    <s v="GBPR_PEAT"/>
    <x v="0"/>
    <x v="4"/>
    <n v="270.28658653647"/>
    <n v="98654.604085811603"/>
    <n v="355156.57470892201"/>
  </r>
  <r>
    <x v="0"/>
    <x v="0"/>
    <x v="0"/>
    <x v="2"/>
    <x v="3"/>
    <s v="FIN_OTHER"/>
    <x v="13"/>
    <x v="2"/>
    <s v="GBPR_PEAT"/>
    <x v="0"/>
    <x v="5"/>
    <n v="270.28658653647"/>
    <n v="98654.604085811603"/>
    <n v="355156.57470892201"/>
  </r>
  <r>
    <x v="0"/>
    <x v="0"/>
    <x v="0"/>
    <x v="2"/>
    <x v="3"/>
    <s v="FIN_OTHER"/>
    <x v="13"/>
    <x v="2"/>
    <s v="GBPR_PEAT"/>
    <x v="0"/>
    <x v="6"/>
    <n v="270.28658653647"/>
    <n v="98654.604085811603"/>
    <n v="355156.57470892201"/>
  </r>
  <r>
    <x v="0"/>
    <x v="0"/>
    <x v="0"/>
    <x v="2"/>
    <x v="3"/>
    <s v="FIN_OTHER"/>
    <x v="13"/>
    <x v="2"/>
    <s v="GBPR_PEAT"/>
    <x v="0"/>
    <x v="7"/>
    <n v="270.28658653647"/>
    <n v="98654.604085811603"/>
    <n v="355156.57470892201"/>
  </r>
  <r>
    <x v="0"/>
    <x v="0"/>
    <x v="0"/>
    <x v="2"/>
    <x v="3"/>
    <s v="FIN_OTHER"/>
    <x v="13"/>
    <x v="2"/>
    <s v="GBPR_PEAT"/>
    <x v="0"/>
    <x v="8"/>
    <n v="270.28658653647"/>
    <n v="98654.604085811603"/>
    <n v="355156.57470892201"/>
  </r>
  <r>
    <x v="0"/>
    <x v="0"/>
    <x v="0"/>
    <x v="2"/>
    <x v="3"/>
    <s v="FIN_OTHER"/>
    <x v="13"/>
    <x v="2"/>
    <s v="GBPR_PEAT"/>
    <x v="0"/>
    <x v="9"/>
    <n v="270.28658653647"/>
    <n v="98654.604085811603"/>
    <n v="355156.57470892201"/>
  </r>
  <r>
    <x v="0"/>
    <x v="0"/>
    <x v="0"/>
    <x v="2"/>
    <x v="3"/>
    <s v="FIN_OTHER"/>
    <x v="13"/>
    <x v="2"/>
    <s v="GBPR_PEAT"/>
    <x v="0"/>
    <x v="10"/>
    <n v="270.28658653647"/>
    <n v="98654.604085811603"/>
    <n v="355156.57470892201"/>
  </r>
  <r>
    <x v="0"/>
    <x v="0"/>
    <x v="0"/>
    <x v="2"/>
    <x v="3"/>
    <s v="FIN_OTHER"/>
    <x v="13"/>
    <x v="2"/>
    <s v="GBPR_PEAT"/>
    <x v="0"/>
    <x v="11"/>
    <n v="270.28658653647"/>
    <n v="98654.604085811603"/>
    <n v="355156.57470892201"/>
  </r>
  <r>
    <x v="0"/>
    <x v="0"/>
    <x v="0"/>
    <x v="2"/>
    <x v="3"/>
    <s v="FIN_OTHER"/>
    <x v="13"/>
    <x v="2"/>
    <s v="GBPR_PEAT"/>
    <x v="0"/>
    <x v="12"/>
    <n v="270.28658653647"/>
    <n v="98654.604085811603"/>
    <n v="355156.57470892201"/>
  </r>
  <r>
    <x v="0"/>
    <x v="0"/>
    <x v="0"/>
    <x v="2"/>
    <x v="3"/>
    <s v="FIN_OTHER"/>
    <x v="13"/>
    <x v="2"/>
    <s v="GBPR_PEAT"/>
    <x v="0"/>
    <x v="13"/>
    <n v="270.28658653647"/>
    <n v="98654.604085811603"/>
    <n v="355156.57470892201"/>
  </r>
  <r>
    <x v="0"/>
    <x v="0"/>
    <x v="0"/>
    <x v="2"/>
    <x v="3"/>
    <s v="FIN_OTHER"/>
    <x v="13"/>
    <x v="2"/>
    <s v="GBPR_PEAT"/>
    <x v="0"/>
    <x v="14"/>
    <n v="270.28658653647"/>
    <n v="98654.604085811603"/>
    <n v="355156.57470892201"/>
  </r>
  <r>
    <x v="0"/>
    <x v="0"/>
    <x v="0"/>
    <x v="2"/>
    <x v="3"/>
    <s v="FIN_OTHER"/>
    <x v="13"/>
    <x v="2"/>
    <s v="GBPR_PEAT"/>
    <x v="0"/>
    <x v="15"/>
    <n v="270.28658653647"/>
    <n v="98654.604085811603"/>
    <n v="355156.57470892201"/>
  </r>
  <r>
    <x v="0"/>
    <x v="0"/>
    <x v="0"/>
    <x v="2"/>
    <x v="3"/>
    <s v="FIN_OTHER"/>
    <x v="13"/>
    <x v="2"/>
    <s v="GBPR_PEAT"/>
    <x v="0"/>
    <x v="16"/>
    <n v="270.28658653647"/>
    <n v="98654.604085811603"/>
    <n v="355156.57470892201"/>
  </r>
  <r>
    <x v="0"/>
    <x v="0"/>
    <x v="0"/>
    <x v="2"/>
    <x v="3"/>
    <s v="FIN_OTHER"/>
    <x v="13"/>
    <x v="2"/>
    <s v="GBPR_PEAT"/>
    <x v="0"/>
    <x v="17"/>
    <n v="270.28658653647"/>
    <n v="98654.604085811603"/>
    <n v="355156.57470892201"/>
  </r>
  <r>
    <x v="0"/>
    <x v="0"/>
    <x v="0"/>
    <x v="2"/>
    <x v="3"/>
    <s v="FIN_OTHER"/>
    <x v="13"/>
    <x v="2"/>
    <s v="GBPR_PEAT"/>
    <x v="0"/>
    <x v="19"/>
    <n v="270.28658653647"/>
    <n v="98654.604085811603"/>
    <n v="355156.57470892201"/>
  </r>
  <r>
    <x v="0"/>
    <x v="0"/>
    <x v="0"/>
    <x v="2"/>
    <x v="3"/>
    <s v="FIN_OTHER"/>
    <x v="13"/>
    <x v="2"/>
    <s v="GBPR_PEAT"/>
    <x v="0"/>
    <x v="20"/>
    <n v="270.28658653647"/>
    <n v="98654.604085811603"/>
    <n v="355156.57470892201"/>
  </r>
  <r>
    <x v="0"/>
    <x v="0"/>
    <x v="0"/>
    <x v="2"/>
    <x v="3"/>
    <s v="FIN_OTHER"/>
    <x v="13"/>
    <x v="2"/>
    <s v="GBPR_PEAT"/>
    <x v="0"/>
    <x v="21"/>
    <n v="270.28658653647"/>
    <n v="98654.604085811603"/>
    <n v="355156.57470892201"/>
  </r>
  <r>
    <x v="0"/>
    <x v="0"/>
    <x v="0"/>
    <x v="2"/>
    <x v="3"/>
    <s v="FIN_OTHER"/>
    <x v="13"/>
    <x v="2"/>
    <s v="GBPR_PEAT"/>
    <x v="0"/>
    <x v="22"/>
    <n v="270.28658653647"/>
    <n v="98654.604085811603"/>
    <n v="355156.57470892201"/>
  </r>
  <r>
    <x v="0"/>
    <x v="0"/>
    <x v="0"/>
    <x v="2"/>
    <x v="3"/>
    <s v="FIN_OTHER"/>
    <x v="13"/>
    <x v="2"/>
    <s v="GBPR_PEAT"/>
    <x v="0"/>
    <x v="23"/>
    <n v="270.28658653647"/>
    <n v="98654.604085811603"/>
    <n v="355156.57470892201"/>
  </r>
  <r>
    <x v="0"/>
    <x v="0"/>
    <x v="0"/>
    <x v="2"/>
    <x v="3"/>
    <s v="FIN_OTHER"/>
    <x v="13"/>
    <x v="0"/>
    <s v="GEXT_PEAT_KELJONLAHTI"/>
    <x v="0"/>
    <x v="0"/>
    <n v="72.418557996058396"/>
    <n v="26432.773668561302"/>
    <n v="95157.985206820798"/>
  </r>
  <r>
    <x v="0"/>
    <x v="0"/>
    <x v="0"/>
    <x v="2"/>
    <x v="3"/>
    <s v="FIN_OTHER"/>
    <x v="13"/>
    <x v="0"/>
    <s v="GEXT_PEAT_KELJONLAHTI"/>
    <x v="0"/>
    <x v="1"/>
    <n v="72.418557996058396"/>
    <n v="26432.773668561302"/>
    <n v="95157.985206820798"/>
  </r>
  <r>
    <x v="0"/>
    <x v="0"/>
    <x v="0"/>
    <x v="2"/>
    <x v="3"/>
    <s v="FIN_OTHER"/>
    <x v="13"/>
    <x v="0"/>
    <s v="GEXT_PEAT_KELJONLAHTI"/>
    <x v="0"/>
    <x v="18"/>
    <n v="72.418557996058396"/>
    <n v="26432.773668561302"/>
    <n v="95157.985206820798"/>
  </r>
  <r>
    <x v="0"/>
    <x v="0"/>
    <x v="0"/>
    <x v="2"/>
    <x v="3"/>
    <s v="FIN_OTHER"/>
    <x v="13"/>
    <x v="0"/>
    <s v="GEXT_PEAT_KELJONLAHTI"/>
    <x v="0"/>
    <x v="2"/>
    <n v="72.418557996058396"/>
    <n v="26432.773668561302"/>
    <n v="95157.985206820798"/>
  </r>
  <r>
    <x v="0"/>
    <x v="0"/>
    <x v="0"/>
    <x v="2"/>
    <x v="3"/>
    <s v="FIN_OTHER"/>
    <x v="13"/>
    <x v="0"/>
    <s v="GEXT_PEAT_KELJONLAHTI"/>
    <x v="0"/>
    <x v="3"/>
    <n v="72.418557996058396"/>
    <n v="26432.773668561302"/>
    <n v="95157.985206820798"/>
  </r>
  <r>
    <x v="0"/>
    <x v="0"/>
    <x v="0"/>
    <x v="2"/>
    <x v="3"/>
    <s v="FIN_OTHER"/>
    <x v="13"/>
    <x v="0"/>
    <s v="GEXT_PEAT_KELJONLAHTI"/>
    <x v="0"/>
    <x v="4"/>
    <n v="72.418557996058396"/>
    <n v="26432.773668561302"/>
    <n v="95157.985206820798"/>
  </r>
  <r>
    <x v="0"/>
    <x v="0"/>
    <x v="0"/>
    <x v="2"/>
    <x v="3"/>
    <s v="FIN_OTHER"/>
    <x v="13"/>
    <x v="0"/>
    <s v="GEXT_PEAT_KELJONLAHTI"/>
    <x v="0"/>
    <x v="5"/>
    <n v="72.418557996058396"/>
    <n v="26432.773668561302"/>
    <n v="95157.985206820798"/>
  </r>
  <r>
    <x v="0"/>
    <x v="0"/>
    <x v="0"/>
    <x v="2"/>
    <x v="3"/>
    <s v="FIN_OTHER"/>
    <x v="13"/>
    <x v="0"/>
    <s v="GEXT_PEAT_KELJONLAHTI"/>
    <x v="0"/>
    <x v="6"/>
    <n v="72.418557996058396"/>
    <n v="26432.773668561302"/>
    <n v="95157.985206820798"/>
  </r>
  <r>
    <x v="0"/>
    <x v="0"/>
    <x v="0"/>
    <x v="2"/>
    <x v="3"/>
    <s v="FIN_OTHER"/>
    <x v="13"/>
    <x v="0"/>
    <s v="GEXT_PEAT_KELJONLAHTI"/>
    <x v="0"/>
    <x v="7"/>
    <n v="72.418557996058396"/>
    <n v="26432.773668561302"/>
    <n v="95157.985206820798"/>
  </r>
  <r>
    <x v="0"/>
    <x v="0"/>
    <x v="0"/>
    <x v="2"/>
    <x v="3"/>
    <s v="FIN_OTHER"/>
    <x v="13"/>
    <x v="0"/>
    <s v="GEXT_PEAT_KELJONLAHTI"/>
    <x v="0"/>
    <x v="8"/>
    <n v="72.418557996058396"/>
    <n v="26432.773668561302"/>
    <n v="95157.985206820798"/>
  </r>
  <r>
    <x v="0"/>
    <x v="0"/>
    <x v="0"/>
    <x v="2"/>
    <x v="3"/>
    <s v="FIN_OTHER"/>
    <x v="13"/>
    <x v="0"/>
    <s v="GEXT_PEAT_KELJONLAHTI"/>
    <x v="0"/>
    <x v="9"/>
    <n v="72.418557996058396"/>
    <n v="26432.773668561302"/>
    <n v="95157.985206820798"/>
  </r>
  <r>
    <x v="0"/>
    <x v="0"/>
    <x v="0"/>
    <x v="2"/>
    <x v="3"/>
    <s v="FIN_OTHER"/>
    <x v="13"/>
    <x v="0"/>
    <s v="GEXT_PEAT_KELJONLAHTI"/>
    <x v="0"/>
    <x v="10"/>
    <n v="72.418557996058396"/>
    <n v="26432.773668561302"/>
    <n v="95157.985206820798"/>
  </r>
  <r>
    <x v="0"/>
    <x v="0"/>
    <x v="0"/>
    <x v="2"/>
    <x v="3"/>
    <s v="FIN_OTHER"/>
    <x v="13"/>
    <x v="0"/>
    <s v="GEXT_PEAT_KELJONLAHTI"/>
    <x v="0"/>
    <x v="11"/>
    <n v="72.418557996058396"/>
    <n v="26432.773668561302"/>
    <n v="95157.985206820798"/>
  </r>
  <r>
    <x v="0"/>
    <x v="0"/>
    <x v="0"/>
    <x v="2"/>
    <x v="3"/>
    <s v="FIN_OTHER"/>
    <x v="13"/>
    <x v="0"/>
    <s v="GEXT_PEAT_KELJONLAHTI"/>
    <x v="0"/>
    <x v="12"/>
    <n v="72.418557996058396"/>
    <n v="26432.773668561302"/>
    <n v="95157.985206820798"/>
  </r>
  <r>
    <x v="0"/>
    <x v="0"/>
    <x v="0"/>
    <x v="2"/>
    <x v="3"/>
    <s v="FIN_OTHER"/>
    <x v="13"/>
    <x v="0"/>
    <s v="GEXT_PEAT_KELJONLAHTI"/>
    <x v="0"/>
    <x v="13"/>
    <n v="72.418557996058396"/>
    <n v="26432.773668561302"/>
    <n v="95157.985206820798"/>
  </r>
  <r>
    <x v="0"/>
    <x v="0"/>
    <x v="0"/>
    <x v="2"/>
    <x v="3"/>
    <s v="FIN_OTHER"/>
    <x v="13"/>
    <x v="0"/>
    <s v="GEXT_PEAT_KELJONLAHTI"/>
    <x v="0"/>
    <x v="14"/>
    <n v="72.418557996058396"/>
    <n v="26432.773668561302"/>
    <n v="95157.985206820798"/>
  </r>
  <r>
    <x v="0"/>
    <x v="0"/>
    <x v="0"/>
    <x v="2"/>
    <x v="3"/>
    <s v="FIN_OTHER"/>
    <x v="13"/>
    <x v="0"/>
    <s v="GEXT_PEAT_KELJONLAHTI"/>
    <x v="0"/>
    <x v="15"/>
    <n v="72.418557996058396"/>
    <n v="26432.773668561302"/>
    <n v="95157.985206820798"/>
  </r>
  <r>
    <x v="0"/>
    <x v="0"/>
    <x v="0"/>
    <x v="2"/>
    <x v="3"/>
    <s v="FIN_OTHER"/>
    <x v="13"/>
    <x v="0"/>
    <s v="GEXT_PEAT_KELJONLAHTI"/>
    <x v="0"/>
    <x v="16"/>
    <n v="72.418557996058396"/>
    <n v="26432.773668561302"/>
    <n v="95157.985206820798"/>
  </r>
  <r>
    <x v="0"/>
    <x v="0"/>
    <x v="0"/>
    <x v="2"/>
    <x v="3"/>
    <s v="FIN_OTHER"/>
    <x v="13"/>
    <x v="0"/>
    <s v="GEXT_PEAT_KELJONLAHTI"/>
    <x v="0"/>
    <x v="17"/>
    <n v="72.418557996058396"/>
    <n v="26432.773668561302"/>
    <n v="95157.985206820798"/>
  </r>
  <r>
    <x v="0"/>
    <x v="0"/>
    <x v="0"/>
    <x v="2"/>
    <x v="3"/>
    <s v="FIN_OTHER"/>
    <x v="13"/>
    <x v="0"/>
    <s v="GEXT_PEAT_KELJONLAHTI"/>
    <x v="0"/>
    <x v="19"/>
    <n v="72.418557996058396"/>
    <n v="26432.773668561302"/>
    <n v="95157.985206820798"/>
  </r>
  <r>
    <x v="0"/>
    <x v="0"/>
    <x v="0"/>
    <x v="2"/>
    <x v="3"/>
    <s v="FIN_OTHER"/>
    <x v="13"/>
    <x v="0"/>
    <s v="GEXT_PEAT_KELJONLAHTI"/>
    <x v="0"/>
    <x v="20"/>
    <n v="72.418557996058396"/>
    <n v="26432.773668561302"/>
    <n v="95157.985206820798"/>
  </r>
  <r>
    <x v="0"/>
    <x v="0"/>
    <x v="0"/>
    <x v="2"/>
    <x v="3"/>
    <s v="FIN_OTHER"/>
    <x v="13"/>
    <x v="0"/>
    <s v="GEXT_PEAT_KELJONLAHTI"/>
    <x v="0"/>
    <x v="21"/>
    <n v="72.418557996058396"/>
    <n v="26432.773668561302"/>
    <n v="95157.985206820798"/>
  </r>
  <r>
    <x v="0"/>
    <x v="0"/>
    <x v="0"/>
    <x v="2"/>
    <x v="3"/>
    <s v="FIN_OTHER"/>
    <x v="13"/>
    <x v="0"/>
    <s v="GEXT_PEAT_KELJONLAHTI"/>
    <x v="0"/>
    <x v="22"/>
    <n v="72.418557996058396"/>
    <n v="26432.773668561302"/>
    <n v="95157.985206820798"/>
  </r>
  <r>
    <x v="0"/>
    <x v="0"/>
    <x v="0"/>
    <x v="2"/>
    <x v="3"/>
    <s v="FIN_OTHER"/>
    <x v="13"/>
    <x v="0"/>
    <s v="GEXT_PEAT_KELJONLAHTI"/>
    <x v="0"/>
    <x v="23"/>
    <n v="72.418557996058396"/>
    <n v="26432.773668561302"/>
    <n v="95157.985206820798"/>
  </r>
  <r>
    <x v="0"/>
    <x v="0"/>
    <x v="0"/>
    <x v="2"/>
    <x v="3"/>
    <s v="FIN_OTHER"/>
    <x v="13"/>
    <x v="0"/>
    <s v="GEXT_PEAT_SEVO"/>
    <x v="0"/>
    <x v="0"/>
    <n v="71.848333129947804"/>
    <n v="26224.6415924309"/>
    <n v="94408.709732751406"/>
  </r>
  <r>
    <x v="0"/>
    <x v="0"/>
    <x v="0"/>
    <x v="2"/>
    <x v="3"/>
    <s v="FIN_OTHER"/>
    <x v="13"/>
    <x v="0"/>
    <s v="GEXT_PEAT_SEVO"/>
    <x v="0"/>
    <x v="1"/>
    <n v="71.848333129947804"/>
    <n v="26224.6415924309"/>
    <n v="94408.709732751406"/>
  </r>
  <r>
    <x v="0"/>
    <x v="0"/>
    <x v="0"/>
    <x v="2"/>
    <x v="3"/>
    <s v="FIN_OTHER"/>
    <x v="13"/>
    <x v="0"/>
    <s v="GEXT_PEAT_SEVO"/>
    <x v="0"/>
    <x v="18"/>
    <n v="71.848333129947804"/>
    <n v="26224.6415924309"/>
    <n v="94408.709732751406"/>
  </r>
  <r>
    <x v="0"/>
    <x v="0"/>
    <x v="0"/>
    <x v="2"/>
    <x v="3"/>
    <s v="FIN_OTHER"/>
    <x v="13"/>
    <x v="0"/>
    <s v="GEXT_PEAT_SEVO"/>
    <x v="0"/>
    <x v="2"/>
    <n v="71.848333129947804"/>
    <n v="26224.6415924309"/>
    <n v="94408.709732751406"/>
  </r>
  <r>
    <x v="0"/>
    <x v="0"/>
    <x v="0"/>
    <x v="2"/>
    <x v="3"/>
    <s v="FIN_OTHER"/>
    <x v="13"/>
    <x v="0"/>
    <s v="GEXT_PEAT_SEVO"/>
    <x v="0"/>
    <x v="3"/>
    <n v="71.848333129947804"/>
    <n v="26224.6415924309"/>
    <n v="94408.709732751406"/>
  </r>
  <r>
    <x v="0"/>
    <x v="0"/>
    <x v="0"/>
    <x v="2"/>
    <x v="3"/>
    <s v="FIN_OTHER"/>
    <x v="13"/>
    <x v="0"/>
    <s v="GEXT_PEAT_SEVO"/>
    <x v="0"/>
    <x v="4"/>
    <n v="71.848333129947804"/>
    <n v="26224.6415924309"/>
    <n v="94408.709732751406"/>
  </r>
  <r>
    <x v="0"/>
    <x v="0"/>
    <x v="0"/>
    <x v="2"/>
    <x v="3"/>
    <s v="FIN_OTHER"/>
    <x v="13"/>
    <x v="0"/>
    <s v="GEXT_PEAT_SEVO"/>
    <x v="0"/>
    <x v="5"/>
    <n v="71.848333129947804"/>
    <n v="26224.6415924309"/>
    <n v="94408.709732751406"/>
  </r>
  <r>
    <x v="0"/>
    <x v="0"/>
    <x v="0"/>
    <x v="2"/>
    <x v="3"/>
    <s v="FIN_OTHER"/>
    <x v="13"/>
    <x v="0"/>
    <s v="GEXT_PEAT_SEVO"/>
    <x v="0"/>
    <x v="6"/>
    <n v="71.848333129947804"/>
    <n v="26224.6415924309"/>
    <n v="94408.709732751406"/>
  </r>
  <r>
    <x v="0"/>
    <x v="0"/>
    <x v="0"/>
    <x v="2"/>
    <x v="3"/>
    <s v="FIN_OTHER"/>
    <x v="13"/>
    <x v="0"/>
    <s v="GEXT_PEAT_SEVO"/>
    <x v="0"/>
    <x v="7"/>
    <n v="71.848333129947804"/>
    <n v="26224.6415924309"/>
    <n v="94408.709732751406"/>
  </r>
  <r>
    <x v="0"/>
    <x v="0"/>
    <x v="0"/>
    <x v="2"/>
    <x v="3"/>
    <s v="FIN_OTHER"/>
    <x v="13"/>
    <x v="0"/>
    <s v="GEXT_PEAT_SEVO"/>
    <x v="0"/>
    <x v="8"/>
    <n v="71.848333129947804"/>
    <n v="26224.6415924309"/>
    <n v="94408.709732751406"/>
  </r>
  <r>
    <x v="0"/>
    <x v="0"/>
    <x v="0"/>
    <x v="2"/>
    <x v="3"/>
    <s v="FIN_OTHER"/>
    <x v="13"/>
    <x v="0"/>
    <s v="GEXT_PEAT_SEVO"/>
    <x v="0"/>
    <x v="9"/>
    <n v="71.848333129947804"/>
    <n v="26224.6415924309"/>
    <n v="94408.709732751406"/>
  </r>
  <r>
    <x v="0"/>
    <x v="0"/>
    <x v="0"/>
    <x v="2"/>
    <x v="3"/>
    <s v="FIN_OTHER"/>
    <x v="13"/>
    <x v="0"/>
    <s v="GEXT_PEAT_SEVO"/>
    <x v="0"/>
    <x v="10"/>
    <n v="71.848333129947804"/>
    <n v="26224.6415924309"/>
    <n v="94408.709732751406"/>
  </r>
  <r>
    <x v="0"/>
    <x v="0"/>
    <x v="0"/>
    <x v="2"/>
    <x v="3"/>
    <s v="FIN_OTHER"/>
    <x v="13"/>
    <x v="0"/>
    <s v="GEXT_PEAT_SEVO"/>
    <x v="0"/>
    <x v="11"/>
    <n v="71.848333129947804"/>
    <n v="26224.6415924309"/>
    <n v="94408.709732751406"/>
  </r>
  <r>
    <x v="0"/>
    <x v="0"/>
    <x v="0"/>
    <x v="2"/>
    <x v="3"/>
    <s v="FIN_OTHER"/>
    <x v="13"/>
    <x v="0"/>
    <s v="GEXT_PEAT_SEVO"/>
    <x v="0"/>
    <x v="12"/>
    <n v="71.848333129947804"/>
    <n v="26224.6415924309"/>
    <n v="94408.709732751406"/>
  </r>
  <r>
    <x v="0"/>
    <x v="0"/>
    <x v="0"/>
    <x v="2"/>
    <x v="3"/>
    <s v="FIN_OTHER"/>
    <x v="13"/>
    <x v="0"/>
    <s v="GEXT_PEAT_SEVO"/>
    <x v="0"/>
    <x v="13"/>
    <n v="71.848333129947804"/>
    <n v="26224.6415924309"/>
    <n v="94408.709732751406"/>
  </r>
  <r>
    <x v="0"/>
    <x v="0"/>
    <x v="0"/>
    <x v="2"/>
    <x v="3"/>
    <s v="FIN_OTHER"/>
    <x v="13"/>
    <x v="0"/>
    <s v="GEXT_PEAT_SEVO"/>
    <x v="0"/>
    <x v="14"/>
    <n v="71.848333129947804"/>
    <n v="26224.6415924309"/>
    <n v="94408.709732751406"/>
  </r>
  <r>
    <x v="0"/>
    <x v="0"/>
    <x v="0"/>
    <x v="2"/>
    <x v="3"/>
    <s v="FIN_OTHER"/>
    <x v="13"/>
    <x v="0"/>
    <s v="GEXT_PEAT_SEVO"/>
    <x v="0"/>
    <x v="15"/>
    <n v="71.848333129947804"/>
    <n v="26224.6415924309"/>
    <n v="94408.709732751406"/>
  </r>
  <r>
    <x v="0"/>
    <x v="0"/>
    <x v="0"/>
    <x v="2"/>
    <x v="3"/>
    <s v="FIN_OTHER"/>
    <x v="13"/>
    <x v="0"/>
    <s v="GEXT_PEAT_SEVO"/>
    <x v="0"/>
    <x v="16"/>
    <n v="71.848333129947804"/>
    <n v="26224.6415924309"/>
    <n v="94408.709732751406"/>
  </r>
  <r>
    <x v="0"/>
    <x v="0"/>
    <x v="0"/>
    <x v="2"/>
    <x v="3"/>
    <s v="FIN_OTHER"/>
    <x v="13"/>
    <x v="0"/>
    <s v="GEXT_PEAT_SEVO"/>
    <x v="0"/>
    <x v="17"/>
    <n v="71.848333129947804"/>
    <n v="26224.6415924309"/>
    <n v="94408.709732751406"/>
  </r>
  <r>
    <x v="0"/>
    <x v="0"/>
    <x v="0"/>
    <x v="2"/>
    <x v="3"/>
    <s v="FIN_OTHER"/>
    <x v="13"/>
    <x v="0"/>
    <s v="GEXT_PEAT_SEVO"/>
    <x v="0"/>
    <x v="19"/>
    <n v="71.848333129947804"/>
    <n v="26224.6415924309"/>
    <n v="94408.709732751406"/>
  </r>
  <r>
    <x v="0"/>
    <x v="0"/>
    <x v="0"/>
    <x v="2"/>
    <x v="3"/>
    <s v="FIN_OTHER"/>
    <x v="13"/>
    <x v="0"/>
    <s v="GEXT_PEAT_SEVO"/>
    <x v="0"/>
    <x v="20"/>
    <n v="71.848333129947804"/>
    <n v="26224.6415924309"/>
    <n v="94408.709732751406"/>
  </r>
  <r>
    <x v="0"/>
    <x v="0"/>
    <x v="0"/>
    <x v="2"/>
    <x v="3"/>
    <s v="FIN_OTHER"/>
    <x v="13"/>
    <x v="0"/>
    <s v="GEXT_PEAT_SEVO"/>
    <x v="0"/>
    <x v="21"/>
    <n v="71.848333129947804"/>
    <n v="26224.6415924309"/>
    <n v="94408.709732751406"/>
  </r>
  <r>
    <x v="0"/>
    <x v="0"/>
    <x v="0"/>
    <x v="2"/>
    <x v="3"/>
    <s v="FIN_OTHER"/>
    <x v="13"/>
    <x v="0"/>
    <s v="GEXT_PEAT_SEVO"/>
    <x v="0"/>
    <x v="22"/>
    <n v="71.848333129947804"/>
    <n v="26224.6415924309"/>
    <n v="94408.709732751406"/>
  </r>
  <r>
    <x v="0"/>
    <x v="0"/>
    <x v="0"/>
    <x v="2"/>
    <x v="3"/>
    <s v="FIN_OTHER"/>
    <x v="13"/>
    <x v="0"/>
    <s v="GEXT_PEAT_SEVO"/>
    <x v="0"/>
    <x v="23"/>
    <n v="71.848333129947804"/>
    <n v="26224.6415924309"/>
    <n v="94408.709732751406"/>
  </r>
  <r>
    <x v="0"/>
    <x v="0"/>
    <x v="0"/>
    <x v="2"/>
    <x v="3"/>
    <s v="FIN_OTHER"/>
    <x v="13"/>
    <x v="0"/>
    <s v="GEXT_PEAT_TOPPILA"/>
    <x v="0"/>
    <x v="0"/>
    <n v="40.433497378177698"/>
    <n v="14758.2265430349"/>
    <n v="53129.615554925498"/>
  </r>
  <r>
    <x v="0"/>
    <x v="0"/>
    <x v="0"/>
    <x v="2"/>
    <x v="3"/>
    <s v="FIN_OTHER"/>
    <x v="13"/>
    <x v="0"/>
    <s v="GEXT_PEAT_TOPPILA"/>
    <x v="0"/>
    <x v="1"/>
    <n v="40.433497378177698"/>
    <n v="14758.2265430349"/>
    <n v="53129.615554925498"/>
  </r>
  <r>
    <x v="0"/>
    <x v="0"/>
    <x v="0"/>
    <x v="2"/>
    <x v="3"/>
    <s v="FIN_OTHER"/>
    <x v="13"/>
    <x v="0"/>
    <s v="GEXT_PEAT_TOPPILA"/>
    <x v="0"/>
    <x v="18"/>
    <n v="40.433497378177698"/>
    <n v="14758.2265430349"/>
    <n v="53129.615554925498"/>
  </r>
  <r>
    <x v="0"/>
    <x v="0"/>
    <x v="0"/>
    <x v="2"/>
    <x v="3"/>
    <s v="FIN_OTHER"/>
    <x v="13"/>
    <x v="0"/>
    <s v="GEXT_PEAT_TOPPILA"/>
    <x v="0"/>
    <x v="2"/>
    <n v="40.433497378177698"/>
    <n v="14758.2265430349"/>
    <n v="53129.615554925498"/>
  </r>
  <r>
    <x v="0"/>
    <x v="0"/>
    <x v="0"/>
    <x v="2"/>
    <x v="3"/>
    <s v="FIN_OTHER"/>
    <x v="13"/>
    <x v="0"/>
    <s v="GEXT_PEAT_TOPPILA"/>
    <x v="0"/>
    <x v="3"/>
    <n v="40.433497378177698"/>
    <n v="14758.2265430349"/>
    <n v="53129.615554925498"/>
  </r>
  <r>
    <x v="0"/>
    <x v="0"/>
    <x v="0"/>
    <x v="2"/>
    <x v="3"/>
    <s v="FIN_OTHER"/>
    <x v="13"/>
    <x v="0"/>
    <s v="GEXT_PEAT_TOPPILA"/>
    <x v="0"/>
    <x v="4"/>
    <n v="40.433497378177698"/>
    <n v="14758.2265430349"/>
    <n v="53129.615554925498"/>
  </r>
  <r>
    <x v="0"/>
    <x v="0"/>
    <x v="0"/>
    <x v="2"/>
    <x v="3"/>
    <s v="FIN_OTHER"/>
    <x v="13"/>
    <x v="0"/>
    <s v="GEXT_PEAT_TOPPILA"/>
    <x v="0"/>
    <x v="5"/>
    <n v="40.433497378177698"/>
    <n v="14758.2265430349"/>
    <n v="53129.615554925498"/>
  </r>
  <r>
    <x v="0"/>
    <x v="0"/>
    <x v="0"/>
    <x v="2"/>
    <x v="3"/>
    <s v="FIN_OTHER"/>
    <x v="13"/>
    <x v="0"/>
    <s v="GEXT_PEAT_TOPPILA"/>
    <x v="0"/>
    <x v="6"/>
    <n v="40.433497378177698"/>
    <n v="14758.2265430349"/>
    <n v="53129.615554925498"/>
  </r>
  <r>
    <x v="0"/>
    <x v="0"/>
    <x v="0"/>
    <x v="2"/>
    <x v="3"/>
    <s v="FIN_OTHER"/>
    <x v="13"/>
    <x v="0"/>
    <s v="GEXT_PEAT_TOPPILA"/>
    <x v="0"/>
    <x v="7"/>
    <n v="40.433497378177698"/>
    <n v="14758.2265430349"/>
    <n v="53129.615554925498"/>
  </r>
  <r>
    <x v="0"/>
    <x v="0"/>
    <x v="0"/>
    <x v="2"/>
    <x v="3"/>
    <s v="FIN_OTHER"/>
    <x v="13"/>
    <x v="0"/>
    <s v="GEXT_PEAT_TOPPILA"/>
    <x v="0"/>
    <x v="8"/>
    <n v="40.433497378177698"/>
    <n v="14758.2265430349"/>
    <n v="53129.615554925498"/>
  </r>
  <r>
    <x v="0"/>
    <x v="0"/>
    <x v="0"/>
    <x v="2"/>
    <x v="3"/>
    <s v="FIN_OTHER"/>
    <x v="13"/>
    <x v="0"/>
    <s v="GEXT_PEAT_TOPPILA"/>
    <x v="0"/>
    <x v="9"/>
    <n v="40.433497378177698"/>
    <n v="14758.2265430349"/>
    <n v="53129.615554925498"/>
  </r>
  <r>
    <x v="0"/>
    <x v="0"/>
    <x v="0"/>
    <x v="2"/>
    <x v="3"/>
    <s v="FIN_OTHER"/>
    <x v="13"/>
    <x v="0"/>
    <s v="GEXT_PEAT_TOPPILA"/>
    <x v="0"/>
    <x v="10"/>
    <n v="40.433497378177698"/>
    <n v="14758.2265430349"/>
    <n v="53129.615554925498"/>
  </r>
  <r>
    <x v="0"/>
    <x v="0"/>
    <x v="0"/>
    <x v="2"/>
    <x v="3"/>
    <s v="FIN_OTHER"/>
    <x v="13"/>
    <x v="0"/>
    <s v="GEXT_PEAT_TOPPILA"/>
    <x v="0"/>
    <x v="11"/>
    <n v="40.433497378177698"/>
    <n v="14758.2265430349"/>
    <n v="53129.615554925498"/>
  </r>
  <r>
    <x v="0"/>
    <x v="0"/>
    <x v="0"/>
    <x v="2"/>
    <x v="3"/>
    <s v="FIN_OTHER"/>
    <x v="13"/>
    <x v="0"/>
    <s v="GEXT_PEAT_TOPPILA"/>
    <x v="0"/>
    <x v="12"/>
    <n v="40.433497378177698"/>
    <n v="14758.2265430349"/>
    <n v="53129.615554925498"/>
  </r>
  <r>
    <x v="0"/>
    <x v="0"/>
    <x v="0"/>
    <x v="2"/>
    <x v="3"/>
    <s v="FIN_OTHER"/>
    <x v="13"/>
    <x v="0"/>
    <s v="GEXT_PEAT_TOPPILA"/>
    <x v="0"/>
    <x v="13"/>
    <n v="40.433497378177698"/>
    <n v="14758.2265430349"/>
    <n v="53129.615554925498"/>
  </r>
  <r>
    <x v="0"/>
    <x v="0"/>
    <x v="0"/>
    <x v="2"/>
    <x v="3"/>
    <s v="FIN_OTHER"/>
    <x v="13"/>
    <x v="0"/>
    <s v="GEXT_PEAT_TOPPILA"/>
    <x v="0"/>
    <x v="14"/>
    <n v="40.433497378177698"/>
    <n v="14758.2265430349"/>
    <n v="53129.615554925498"/>
  </r>
  <r>
    <x v="0"/>
    <x v="0"/>
    <x v="0"/>
    <x v="2"/>
    <x v="3"/>
    <s v="FIN_OTHER"/>
    <x v="13"/>
    <x v="0"/>
    <s v="GEXT_PEAT_TOPPILA"/>
    <x v="0"/>
    <x v="15"/>
    <n v="40.433497378177698"/>
    <n v="14758.2265430349"/>
    <n v="53129.615554925498"/>
  </r>
  <r>
    <x v="0"/>
    <x v="0"/>
    <x v="0"/>
    <x v="2"/>
    <x v="3"/>
    <s v="FIN_OTHER"/>
    <x v="13"/>
    <x v="0"/>
    <s v="GEXT_PEAT_TOPPILA"/>
    <x v="0"/>
    <x v="16"/>
    <n v="40.433497378177698"/>
    <n v="14758.2265430349"/>
    <n v="53129.615554925498"/>
  </r>
  <r>
    <x v="0"/>
    <x v="0"/>
    <x v="0"/>
    <x v="2"/>
    <x v="3"/>
    <s v="FIN_OTHER"/>
    <x v="13"/>
    <x v="0"/>
    <s v="GEXT_PEAT_TOPPILA"/>
    <x v="0"/>
    <x v="17"/>
    <n v="40.433497378177698"/>
    <n v="14758.2265430349"/>
    <n v="53129.615554925498"/>
  </r>
  <r>
    <x v="0"/>
    <x v="0"/>
    <x v="0"/>
    <x v="2"/>
    <x v="3"/>
    <s v="FIN_OTHER"/>
    <x v="13"/>
    <x v="0"/>
    <s v="GEXT_PEAT_TOPPILA"/>
    <x v="0"/>
    <x v="19"/>
    <n v="40.433497378177698"/>
    <n v="14758.2265430349"/>
    <n v="53129.615554925498"/>
  </r>
  <r>
    <x v="0"/>
    <x v="0"/>
    <x v="0"/>
    <x v="2"/>
    <x v="3"/>
    <s v="FIN_OTHER"/>
    <x v="13"/>
    <x v="0"/>
    <s v="GEXT_PEAT_TOPPILA"/>
    <x v="0"/>
    <x v="20"/>
    <n v="40.433497378177698"/>
    <n v="14758.2265430349"/>
    <n v="53129.615554925498"/>
  </r>
  <r>
    <x v="0"/>
    <x v="0"/>
    <x v="0"/>
    <x v="2"/>
    <x v="3"/>
    <s v="FIN_OTHER"/>
    <x v="13"/>
    <x v="0"/>
    <s v="GEXT_PEAT_TOPPILA"/>
    <x v="0"/>
    <x v="21"/>
    <n v="40.433497378177698"/>
    <n v="14758.2265430349"/>
    <n v="53129.615554925498"/>
  </r>
  <r>
    <x v="0"/>
    <x v="0"/>
    <x v="0"/>
    <x v="2"/>
    <x v="3"/>
    <s v="FIN_OTHER"/>
    <x v="13"/>
    <x v="0"/>
    <s v="GEXT_PEAT_TOPPILA"/>
    <x v="0"/>
    <x v="22"/>
    <n v="40.433497378177698"/>
    <n v="14758.2265430349"/>
    <n v="53129.615554925498"/>
  </r>
  <r>
    <x v="0"/>
    <x v="0"/>
    <x v="0"/>
    <x v="2"/>
    <x v="3"/>
    <s v="FIN_OTHER"/>
    <x v="13"/>
    <x v="0"/>
    <s v="GEXT_PEAT_TOPPILA"/>
    <x v="0"/>
    <x v="23"/>
    <n v="40.433497378177698"/>
    <n v="14758.2265430349"/>
    <n v="53129.615554925498"/>
  </r>
  <r>
    <x v="0"/>
    <x v="0"/>
    <x v="0"/>
    <x v="2"/>
    <x v="3"/>
    <s v="FIN_OTHER"/>
    <x v="4"/>
    <x v="2"/>
    <s v="GBPR_WOODCHIPS_FINOTHER"/>
    <x v="0"/>
    <x v="5"/>
    <n v="55.0232058481268"/>
    <n v="20083.470134566302"/>
    <n v="72300.492484438597"/>
  </r>
  <r>
    <x v="0"/>
    <x v="0"/>
    <x v="0"/>
    <x v="2"/>
    <x v="3"/>
    <s v="FIN_OTHER"/>
    <x v="4"/>
    <x v="2"/>
    <s v="GBPR_WOODCHIPS_FINOTHER"/>
    <x v="0"/>
    <x v="6"/>
    <n v="140.606241662385"/>
    <n v="51321.278206770497"/>
    <n v="184756.60154437399"/>
  </r>
  <r>
    <x v="0"/>
    <x v="0"/>
    <x v="0"/>
    <x v="2"/>
    <x v="3"/>
    <s v="FIN_OTHER"/>
    <x v="4"/>
    <x v="2"/>
    <s v="GBPR_WOODCHIPS_FINOTHER"/>
    <x v="0"/>
    <x v="7"/>
    <n v="141.97746482638701"/>
    <n v="51821.774661631302"/>
    <n v="186558.38878187301"/>
  </r>
  <r>
    <x v="0"/>
    <x v="0"/>
    <x v="0"/>
    <x v="2"/>
    <x v="3"/>
    <s v="FIN_OTHER"/>
    <x v="4"/>
    <x v="2"/>
    <s v="GBPR_WOODCHIPS_FINOTHER"/>
    <x v="0"/>
    <x v="8"/>
    <n v="119.510248796705"/>
    <n v="43621.240810797397"/>
    <n v="157036.46691887101"/>
  </r>
  <r>
    <x v="0"/>
    <x v="0"/>
    <x v="0"/>
    <x v="2"/>
    <x v="3"/>
    <s v="FIN_OTHER"/>
    <x v="4"/>
    <x v="2"/>
    <s v="GBPR_WOODCHIPS_FINOTHER"/>
    <x v="0"/>
    <x v="9"/>
    <n v="83.163020572099498"/>
    <n v="30354.502508816298"/>
    <n v="109276.209031739"/>
  </r>
  <r>
    <x v="0"/>
    <x v="0"/>
    <x v="0"/>
    <x v="2"/>
    <x v="3"/>
    <s v="FIN_OTHER"/>
    <x v="4"/>
    <x v="2"/>
    <s v="GBPR_WOODCHIPS_FINOTHER"/>
    <x v="0"/>
    <x v="10"/>
    <n v="56.903289334284501"/>
    <n v="20769.7006070139"/>
    <n v="74770.922185249903"/>
  </r>
  <r>
    <x v="0"/>
    <x v="0"/>
    <x v="0"/>
    <x v="2"/>
    <x v="3"/>
    <s v="FIN_OTHER"/>
    <x v="4"/>
    <x v="2"/>
    <s v="GBPR_WOODCHIPS_FINOTHER"/>
    <x v="0"/>
    <x v="11"/>
    <n v="32.799600975870703"/>
    <n v="11971.8543561928"/>
    <n v="43098.675682294102"/>
  </r>
  <r>
    <x v="0"/>
    <x v="0"/>
    <x v="0"/>
    <x v="2"/>
    <x v="3"/>
    <s v="FIN_OTHER"/>
    <x v="4"/>
    <x v="2"/>
    <s v="GBPR_WOODCHIPS_FINOTHER"/>
    <x v="0"/>
    <x v="12"/>
    <n v="24.0091431507308"/>
    <n v="8763.3372500167407"/>
    <n v="31548.0141000603"/>
  </r>
  <r>
    <x v="0"/>
    <x v="0"/>
    <x v="0"/>
    <x v="2"/>
    <x v="3"/>
    <s v="FIN_OTHER"/>
    <x v="4"/>
    <x v="2"/>
    <s v="GBPR_WOODCHIPS_FINOTHER"/>
    <x v="0"/>
    <x v="13"/>
    <n v="6.7387602897814798"/>
    <n v="2459.6475057702401"/>
    <n v="8854.7310207728606"/>
  </r>
  <r>
    <x v="0"/>
    <x v="0"/>
    <x v="0"/>
    <x v="2"/>
    <x v="3"/>
    <s v="FIN_OTHER"/>
    <x v="4"/>
    <x v="2"/>
    <s v="GBPR_WOODCHIPS_FINOTHER"/>
    <x v="0"/>
    <x v="14"/>
    <n v="18.2085686515159"/>
    <n v="6646.1275578033001"/>
    <n v="23926.059208091901"/>
  </r>
  <r>
    <x v="0"/>
    <x v="0"/>
    <x v="0"/>
    <x v="2"/>
    <x v="3"/>
    <s v="FIN_OTHER"/>
    <x v="10"/>
    <x v="2"/>
    <s v="GBPR_WOODWASTE_FINOTHER"/>
    <x v="0"/>
    <x v="0"/>
    <n v="74.099999999999994"/>
    <n v="27046.5"/>
    <n v="97367.4"/>
  </r>
  <r>
    <x v="0"/>
    <x v="0"/>
    <x v="0"/>
    <x v="2"/>
    <x v="3"/>
    <s v="FIN_OTHER"/>
    <x v="10"/>
    <x v="2"/>
    <s v="GBPR_WOODWASTE_FINOTHER"/>
    <x v="0"/>
    <x v="1"/>
    <n v="74.099999999999994"/>
    <n v="27046.5"/>
    <n v="97367.4"/>
  </r>
  <r>
    <x v="0"/>
    <x v="0"/>
    <x v="0"/>
    <x v="2"/>
    <x v="3"/>
    <s v="FIN_OTHER"/>
    <x v="10"/>
    <x v="2"/>
    <s v="GBPR_WOODWASTE_FINOTHER"/>
    <x v="0"/>
    <x v="18"/>
    <n v="74.099999999999994"/>
    <n v="27046.5"/>
    <n v="97367.4"/>
  </r>
  <r>
    <x v="0"/>
    <x v="0"/>
    <x v="0"/>
    <x v="2"/>
    <x v="3"/>
    <s v="FIN_OTHER"/>
    <x v="10"/>
    <x v="2"/>
    <s v="GBPR_WOODWASTE_FINOTHER"/>
    <x v="0"/>
    <x v="2"/>
    <n v="74.099999999999994"/>
    <n v="27046.5"/>
    <n v="97367.4"/>
  </r>
  <r>
    <x v="0"/>
    <x v="0"/>
    <x v="0"/>
    <x v="2"/>
    <x v="3"/>
    <s v="FIN_OTHER"/>
    <x v="10"/>
    <x v="2"/>
    <s v="GBPR_WOODWASTE_FINOTHER"/>
    <x v="0"/>
    <x v="3"/>
    <n v="74.099999999999994"/>
    <n v="27046.5"/>
    <n v="97367.4"/>
  </r>
  <r>
    <x v="0"/>
    <x v="0"/>
    <x v="0"/>
    <x v="2"/>
    <x v="3"/>
    <s v="FIN_OTHER"/>
    <x v="10"/>
    <x v="2"/>
    <s v="GBPR_WOODWASTE_FINOTHER"/>
    <x v="0"/>
    <x v="4"/>
    <n v="74.099999999999994"/>
    <n v="27046.5"/>
    <n v="97367.4"/>
  </r>
  <r>
    <x v="0"/>
    <x v="0"/>
    <x v="0"/>
    <x v="2"/>
    <x v="3"/>
    <s v="FIN_OTHER"/>
    <x v="10"/>
    <x v="2"/>
    <s v="GBPR_WOODWASTE_FINOTHER"/>
    <x v="0"/>
    <x v="5"/>
    <n v="74.099999999999994"/>
    <n v="27046.5"/>
    <n v="97367.4"/>
  </r>
  <r>
    <x v="0"/>
    <x v="0"/>
    <x v="0"/>
    <x v="2"/>
    <x v="3"/>
    <s v="FIN_OTHER"/>
    <x v="10"/>
    <x v="2"/>
    <s v="GBPR_WOODWASTE_FINOTHER"/>
    <x v="0"/>
    <x v="6"/>
    <n v="74.099999999999994"/>
    <n v="27046.5"/>
    <n v="97367.4"/>
  </r>
  <r>
    <x v="0"/>
    <x v="0"/>
    <x v="0"/>
    <x v="2"/>
    <x v="3"/>
    <s v="FIN_OTHER"/>
    <x v="10"/>
    <x v="2"/>
    <s v="GBPR_WOODWASTE_FINOTHER"/>
    <x v="0"/>
    <x v="7"/>
    <n v="74.099999999999994"/>
    <n v="27046.5"/>
    <n v="97367.4"/>
  </r>
  <r>
    <x v="0"/>
    <x v="0"/>
    <x v="0"/>
    <x v="2"/>
    <x v="3"/>
    <s v="FIN_OTHER"/>
    <x v="10"/>
    <x v="2"/>
    <s v="GBPR_WOODWASTE_FINOTHER"/>
    <x v="0"/>
    <x v="8"/>
    <n v="74.099999999999994"/>
    <n v="27046.5"/>
    <n v="97367.4"/>
  </r>
  <r>
    <x v="0"/>
    <x v="0"/>
    <x v="0"/>
    <x v="2"/>
    <x v="3"/>
    <s v="FIN_OTHER"/>
    <x v="10"/>
    <x v="2"/>
    <s v="GBPR_WOODWASTE_FINOTHER"/>
    <x v="0"/>
    <x v="9"/>
    <n v="74.099999999999994"/>
    <n v="27046.5"/>
    <n v="97367.4"/>
  </r>
  <r>
    <x v="0"/>
    <x v="0"/>
    <x v="0"/>
    <x v="2"/>
    <x v="3"/>
    <s v="FIN_OTHER"/>
    <x v="10"/>
    <x v="2"/>
    <s v="GBPR_WOODWASTE_FINOTHER"/>
    <x v="0"/>
    <x v="10"/>
    <n v="74.099999999999994"/>
    <n v="27046.5"/>
    <n v="97367.4"/>
  </r>
  <r>
    <x v="0"/>
    <x v="0"/>
    <x v="0"/>
    <x v="2"/>
    <x v="3"/>
    <s v="FIN_OTHER"/>
    <x v="10"/>
    <x v="2"/>
    <s v="GBPR_WOODWASTE_FINOTHER"/>
    <x v="0"/>
    <x v="11"/>
    <n v="74.099999999999994"/>
    <n v="27046.5"/>
    <n v="97367.4"/>
  </r>
  <r>
    <x v="0"/>
    <x v="0"/>
    <x v="0"/>
    <x v="2"/>
    <x v="3"/>
    <s v="FIN_OTHER"/>
    <x v="10"/>
    <x v="2"/>
    <s v="GBPR_WOODWASTE_FINOTHER"/>
    <x v="0"/>
    <x v="12"/>
    <n v="74.099999999999994"/>
    <n v="27046.5"/>
    <n v="97367.4"/>
  </r>
  <r>
    <x v="0"/>
    <x v="0"/>
    <x v="0"/>
    <x v="2"/>
    <x v="3"/>
    <s v="FIN_OTHER"/>
    <x v="10"/>
    <x v="2"/>
    <s v="GBPR_WOODWASTE_FINOTHER"/>
    <x v="0"/>
    <x v="13"/>
    <n v="74.099999999999994"/>
    <n v="27046.5"/>
    <n v="97367.4"/>
  </r>
  <r>
    <x v="0"/>
    <x v="0"/>
    <x v="0"/>
    <x v="2"/>
    <x v="3"/>
    <s v="FIN_OTHER"/>
    <x v="10"/>
    <x v="2"/>
    <s v="GBPR_WOODWASTE_FINOTHER"/>
    <x v="0"/>
    <x v="14"/>
    <n v="74.099999999999994"/>
    <n v="27046.5"/>
    <n v="97367.4"/>
  </r>
  <r>
    <x v="0"/>
    <x v="0"/>
    <x v="0"/>
    <x v="2"/>
    <x v="3"/>
    <s v="FIN_OTHER"/>
    <x v="10"/>
    <x v="2"/>
    <s v="GBPR_WOODWASTE_FINOTHER"/>
    <x v="0"/>
    <x v="15"/>
    <n v="74.099999999999994"/>
    <n v="27046.5"/>
    <n v="97367.4"/>
  </r>
  <r>
    <x v="0"/>
    <x v="0"/>
    <x v="0"/>
    <x v="2"/>
    <x v="3"/>
    <s v="FIN_OTHER"/>
    <x v="10"/>
    <x v="2"/>
    <s v="GBPR_WOODWASTE_FINOTHER"/>
    <x v="0"/>
    <x v="16"/>
    <n v="74.099999999999994"/>
    <n v="27046.5"/>
    <n v="97367.4"/>
  </r>
  <r>
    <x v="0"/>
    <x v="0"/>
    <x v="0"/>
    <x v="2"/>
    <x v="3"/>
    <s v="FIN_OTHER"/>
    <x v="10"/>
    <x v="2"/>
    <s v="GBPR_WOODWASTE_FINOTHER"/>
    <x v="0"/>
    <x v="17"/>
    <n v="74.099999999999994"/>
    <n v="27046.5"/>
    <n v="97367.4"/>
  </r>
  <r>
    <x v="0"/>
    <x v="0"/>
    <x v="0"/>
    <x v="2"/>
    <x v="3"/>
    <s v="FIN_OTHER"/>
    <x v="10"/>
    <x v="2"/>
    <s v="GBPR_WOODWASTE_FINOTHER"/>
    <x v="0"/>
    <x v="19"/>
    <n v="74.099999999999994"/>
    <n v="27046.5"/>
    <n v="97367.4"/>
  </r>
  <r>
    <x v="0"/>
    <x v="0"/>
    <x v="0"/>
    <x v="2"/>
    <x v="3"/>
    <s v="FIN_OTHER"/>
    <x v="10"/>
    <x v="2"/>
    <s v="GBPR_WOODWASTE_FINOTHER"/>
    <x v="0"/>
    <x v="20"/>
    <n v="74.099999999999994"/>
    <n v="27046.5"/>
    <n v="97367.4"/>
  </r>
  <r>
    <x v="0"/>
    <x v="0"/>
    <x v="0"/>
    <x v="2"/>
    <x v="3"/>
    <s v="FIN_OTHER"/>
    <x v="10"/>
    <x v="2"/>
    <s v="GBPR_WOODWASTE_FINOTHER"/>
    <x v="0"/>
    <x v="21"/>
    <n v="74.099999999999994"/>
    <n v="27046.5"/>
    <n v="97367.4"/>
  </r>
  <r>
    <x v="0"/>
    <x v="0"/>
    <x v="0"/>
    <x v="2"/>
    <x v="3"/>
    <s v="FIN_OTHER"/>
    <x v="10"/>
    <x v="2"/>
    <s v="GBPR_WOODWASTE_FINOTHER"/>
    <x v="0"/>
    <x v="22"/>
    <n v="74.099999999999994"/>
    <n v="27046.5"/>
    <n v="97367.4"/>
  </r>
  <r>
    <x v="0"/>
    <x v="0"/>
    <x v="0"/>
    <x v="2"/>
    <x v="3"/>
    <s v="FIN_OTHER"/>
    <x v="10"/>
    <x v="2"/>
    <s v="GBPR_WOODWASTE_FINOTHER"/>
    <x v="0"/>
    <x v="23"/>
    <n v="74.099999999999994"/>
    <n v="27046.5"/>
    <n v="97367.4"/>
  </r>
  <r>
    <x v="0"/>
    <x v="0"/>
    <x v="0"/>
    <x v="2"/>
    <x v="3"/>
    <s v="FIN_TAMP"/>
    <x v="1"/>
    <x v="1"/>
    <s v="GETOH_ELECTRICBOILER"/>
    <x v="0"/>
    <x v="1"/>
    <n v="-20.408163265306101"/>
    <n v="-7448.9795918367299"/>
    <n v="-26816.326530612201"/>
  </r>
  <r>
    <x v="0"/>
    <x v="0"/>
    <x v="0"/>
    <x v="2"/>
    <x v="3"/>
    <s v="FIN_TAMP"/>
    <x v="1"/>
    <x v="1"/>
    <s v="GETOH_ELECTRICBOILER"/>
    <x v="0"/>
    <x v="18"/>
    <n v="-20.408163265306101"/>
    <n v="-7448.9795918367299"/>
    <n v="-26816.326530612201"/>
  </r>
  <r>
    <x v="0"/>
    <x v="0"/>
    <x v="0"/>
    <x v="2"/>
    <x v="3"/>
    <s v="FIN_TAMP"/>
    <x v="8"/>
    <x v="0"/>
    <s v="GEXT_NATGAS_TAMPERE"/>
    <x v="0"/>
    <x v="0"/>
    <n v="155.158436482962"/>
    <n v="56632.829316281001"/>
    <n v="203878.185538611"/>
  </r>
  <r>
    <x v="0"/>
    <x v="0"/>
    <x v="0"/>
    <x v="2"/>
    <x v="3"/>
    <s v="FIN_TAMP"/>
    <x v="8"/>
    <x v="0"/>
    <s v="GEXT_NATGAS_TAMPERE"/>
    <x v="0"/>
    <x v="1"/>
    <n v="141.031398349179"/>
    <n v="51476.460397450399"/>
    <n v="185315.25743082099"/>
  </r>
  <r>
    <x v="0"/>
    <x v="0"/>
    <x v="0"/>
    <x v="2"/>
    <x v="3"/>
    <s v="FIN_TAMP"/>
    <x v="8"/>
    <x v="0"/>
    <s v="GEXT_NATGAS_TAMPERE"/>
    <x v="0"/>
    <x v="18"/>
    <n v="142.06679065531699"/>
    <n v="51854.378589190499"/>
    <n v="186675.76292108599"/>
  </r>
  <r>
    <x v="0"/>
    <x v="0"/>
    <x v="0"/>
    <x v="2"/>
    <x v="3"/>
    <s v="FIN_TAMP"/>
    <x v="8"/>
    <x v="0"/>
    <s v="GEXT_NATGAS_TAMPERE"/>
    <x v="0"/>
    <x v="2"/>
    <n v="158.53585453000599"/>
    <n v="57865.586903452"/>
    <n v="208316.112852427"/>
  </r>
  <r>
    <x v="0"/>
    <x v="0"/>
    <x v="0"/>
    <x v="2"/>
    <x v="3"/>
    <s v="FIN_TAMP"/>
    <x v="8"/>
    <x v="0"/>
    <s v="GEXT_NATGAS_TAMPERE"/>
    <x v="0"/>
    <x v="3"/>
    <n v="167.93539188829899"/>
    <n v="61296.418039229"/>
    <n v="220667.10494122401"/>
  </r>
  <r>
    <x v="0"/>
    <x v="0"/>
    <x v="0"/>
    <x v="2"/>
    <x v="3"/>
    <s v="FIN_TAMP"/>
    <x v="8"/>
    <x v="0"/>
    <s v="GEXT_NATGAS_TAMPERE"/>
    <x v="0"/>
    <x v="4"/>
    <n v="183.50890949936399"/>
    <n v="66980.751967267701"/>
    <n v="241130.70708216401"/>
  </r>
  <r>
    <x v="0"/>
    <x v="0"/>
    <x v="0"/>
    <x v="2"/>
    <x v="3"/>
    <s v="FIN_TAMP"/>
    <x v="8"/>
    <x v="0"/>
    <s v="GEXT_NATGAS_TAMPERE"/>
    <x v="0"/>
    <x v="5"/>
    <n v="216.314001053179"/>
    <n v="78954.610384410305"/>
    <n v="284236.59738387697"/>
  </r>
  <r>
    <x v="0"/>
    <x v="0"/>
    <x v="0"/>
    <x v="2"/>
    <x v="3"/>
    <s v="FIN_TAMP"/>
    <x v="8"/>
    <x v="0"/>
    <s v="GEXT_NATGAS_TAMPERE"/>
    <x v="0"/>
    <x v="6"/>
    <n v="235.51632932428299"/>
    <n v="85963.4602033634"/>
    <n v="309468.45673210802"/>
  </r>
  <r>
    <x v="0"/>
    <x v="0"/>
    <x v="0"/>
    <x v="2"/>
    <x v="3"/>
    <s v="FIN_TAMP"/>
    <x v="8"/>
    <x v="0"/>
    <s v="GEXT_NATGAS_TAMPERE"/>
    <x v="0"/>
    <x v="7"/>
    <n v="239.33594475545499"/>
    <n v="87357.619835741207"/>
    <n v="314487.431408668"/>
  </r>
  <r>
    <x v="0"/>
    <x v="0"/>
    <x v="0"/>
    <x v="2"/>
    <x v="3"/>
    <s v="FIN_TAMP"/>
    <x v="8"/>
    <x v="0"/>
    <s v="GEXT_NATGAS_TAMPERE"/>
    <x v="0"/>
    <x v="8"/>
    <n v="240.725734034575"/>
    <n v="87864.892922619896"/>
    <n v="316313.61452143203"/>
  </r>
  <r>
    <x v="0"/>
    <x v="0"/>
    <x v="0"/>
    <x v="2"/>
    <x v="3"/>
    <s v="FIN_TAMP"/>
    <x v="8"/>
    <x v="0"/>
    <s v="GEXT_NATGAS_TAMPERE"/>
    <x v="0"/>
    <x v="9"/>
    <n v="233.68644304073001"/>
    <n v="85295.551709866399"/>
    <n v="307063.98615551897"/>
  </r>
  <r>
    <x v="0"/>
    <x v="0"/>
    <x v="0"/>
    <x v="2"/>
    <x v="3"/>
    <s v="FIN_TAMP"/>
    <x v="8"/>
    <x v="0"/>
    <s v="GEXT_NATGAS_TAMPERE"/>
    <x v="0"/>
    <x v="10"/>
    <n v="229.52015379290299"/>
    <n v="83774.856134409405"/>
    <n v="301589.482083874"/>
  </r>
  <r>
    <x v="0"/>
    <x v="0"/>
    <x v="0"/>
    <x v="2"/>
    <x v="3"/>
    <s v="FIN_TAMP"/>
    <x v="8"/>
    <x v="0"/>
    <s v="GEXT_NATGAS_TAMPERE"/>
    <x v="0"/>
    <x v="11"/>
    <n v="227.857938399191"/>
    <n v="83168.147515704797"/>
    <n v="299405.33105653699"/>
  </r>
  <r>
    <x v="0"/>
    <x v="0"/>
    <x v="0"/>
    <x v="2"/>
    <x v="3"/>
    <s v="FIN_TAMP"/>
    <x v="8"/>
    <x v="0"/>
    <s v="GEXT_NATGAS_TAMPERE"/>
    <x v="0"/>
    <x v="12"/>
    <n v="227.45456627582001"/>
    <n v="83020.916690674305"/>
    <n v="298875.30008642701"/>
  </r>
  <r>
    <x v="0"/>
    <x v="0"/>
    <x v="0"/>
    <x v="2"/>
    <x v="3"/>
    <s v="FIN_TAMP"/>
    <x v="8"/>
    <x v="0"/>
    <s v="GEXT_NATGAS_TAMPERE"/>
    <x v="0"/>
    <x v="13"/>
    <n v="228.669194153435"/>
    <n v="83464.255866003907"/>
    <n v="300471.32111761399"/>
  </r>
  <r>
    <x v="0"/>
    <x v="0"/>
    <x v="0"/>
    <x v="2"/>
    <x v="3"/>
    <s v="FIN_TAMP"/>
    <x v="8"/>
    <x v="0"/>
    <s v="GEXT_NATGAS_TAMPERE"/>
    <x v="0"/>
    <x v="14"/>
    <n v="236.49291079035501"/>
    <n v="86319.912438479398"/>
    <n v="310751.68477852602"/>
  </r>
  <r>
    <x v="0"/>
    <x v="0"/>
    <x v="0"/>
    <x v="2"/>
    <x v="3"/>
    <s v="FIN_TAMP"/>
    <x v="8"/>
    <x v="0"/>
    <s v="GEXT_NATGAS_TAMPERE"/>
    <x v="0"/>
    <x v="15"/>
    <n v="228.503964148047"/>
    <n v="83403.946914037195"/>
    <n v="300254.20889053401"/>
  </r>
  <r>
    <x v="0"/>
    <x v="0"/>
    <x v="0"/>
    <x v="2"/>
    <x v="3"/>
    <s v="FIN_TAMP"/>
    <x v="8"/>
    <x v="0"/>
    <s v="GEXT_NATGAS_TAMPERE"/>
    <x v="0"/>
    <x v="16"/>
    <n v="223.10731608072399"/>
    <n v="81434.170369464206"/>
    <n v="293163.013330071"/>
  </r>
  <r>
    <x v="0"/>
    <x v="0"/>
    <x v="0"/>
    <x v="2"/>
    <x v="3"/>
    <s v="FIN_TAMP"/>
    <x v="8"/>
    <x v="0"/>
    <s v="GEXT_NATGAS_TAMPERE"/>
    <x v="0"/>
    <x v="17"/>
    <n v="224.30421281814401"/>
    <n v="81871.037678622699"/>
    <n v="294735.73564304202"/>
  </r>
  <r>
    <x v="0"/>
    <x v="0"/>
    <x v="0"/>
    <x v="2"/>
    <x v="3"/>
    <s v="FIN_TAMP"/>
    <x v="8"/>
    <x v="0"/>
    <s v="GEXT_NATGAS_TAMPERE"/>
    <x v="0"/>
    <x v="19"/>
    <n v="220.73583396892801"/>
    <n v="80568.579398658796"/>
    <n v="290046.88583517203"/>
  </r>
  <r>
    <x v="0"/>
    <x v="0"/>
    <x v="0"/>
    <x v="2"/>
    <x v="3"/>
    <s v="FIN_TAMP"/>
    <x v="8"/>
    <x v="0"/>
    <s v="GEXT_NATGAS_TAMPERE"/>
    <x v="0"/>
    <x v="20"/>
    <n v="215.81585421934"/>
    <n v="78772.786790059006"/>
    <n v="283582.032444212"/>
  </r>
  <r>
    <x v="0"/>
    <x v="0"/>
    <x v="0"/>
    <x v="2"/>
    <x v="3"/>
    <s v="FIN_TAMP"/>
    <x v="8"/>
    <x v="0"/>
    <s v="GEXT_NATGAS_TAMPERE"/>
    <x v="0"/>
    <x v="21"/>
    <n v="212.415714964975"/>
    <n v="77531.735962215898"/>
    <n v="279114.249463977"/>
  </r>
  <r>
    <x v="0"/>
    <x v="0"/>
    <x v="0"/>
    <x v="2"/>
    <x v="3"/>
    <s v="FIN_TAMP"/>
    <x v="8"/>
    <x v="0"/>
    <s v="GEXT_NATGAS_TAMPERE"/>
    <x v="0"/>
    <x v="22"/>
    <n v="201.42511339289501"/>
    <n v="73520.166388406593"/>
    <n v="264672.598998264"/>
  </r>
  <r>
    <x v="0"/>
    <x v="0"/>
    <x v="0"/>
    <x v="2"/>
    <x v="3"/>
    <s v="FIN_TAMP"/>
    <x v="8"/>
    <x v="0"/>
    <s v="GEXT_NATGAS_TAMPERE"/>
    <x v="0"/>
    <x v="23"/>
    <n v="191.14428379285499"/>
    <n v="69767.663584391994"/>
    <n v="251163.588903811"/>
  </r>
  <r>
    <x v="0"/>
    <x v="0"/>
    <x v="0"/>
    <x v="2"/>
    <x v="3"/>
    <s v="FinA"/>
    <x v="0"/>
    <x v="6"/>
    <s v="GCND_COAL3"/>
    <x v="0"/>
    <x v="0"/>
    <n v="21.2344600992102"/>
    <n v="7750.57793621172"/>
    <n v="27902.080570362199"/>
  </r>
  <r>
    <x v="0"/>
    <x v="0"/>
    <x v="0"/>
    <x v="2"/>
    <x v="3"/>
    <s v="FinA"/>
    <x v="0"/>
    <x v="6"/>
    <s v="GCND_COAL3"/>
    <x v="0"/>
    <x v="2"/>
    <n v="79.629438411367701"/>
    <n v="29064.745020149199"/>
    <n v="104633.082072537"/>
  </r>
  <r>
    <x v="0"/>
    <x v="0"/>
    <x v="0"/>
    <x v="2"/>
    <x v="3"/>
    <s v="FinA"/>
    <x v="0"/>
    <x v="6"/>
    <s v="GCND_COAL3"/>
    <x v="0"/>
    <x v="3"/>
    <n v="565"/>
    <n v="206225"/>
    <n v="742410"/>
  </r>
  <r>
    <x v="0"/>
    <x v="0"/>
    <x v="0"/>
    <x v="2"/>
    <x v="3"/>
    <s v="FinA"/>
    <x v="0"/>
    <x v="6"/>
    <s v="GCND_COAL3"/>
    <x v="0"/>
    <x v="4"/>
    <n v="565"/>
    <n v="206225"/>
    <n v="742410"/>
  </r>
  <r>
    <x v="0"/>
    <x v="0"/>
    <x v="0"/>
    <x v="2"/>
    <x v="3"/>
    <s v="FinA"/>
    <x v="0"/>
    <x v="6"/>
    <s v="GCND_COAL3"/>
    <x v="0"/>
    <x v="5"/>
    <n v="565"/>
    <n v="206225"/>
    <n v="742410"/>
  </r>
  <r>
    <x v="0"/>
    <x v="0"/>
    <x v="0"/>
    <x v="2"/>
    <x v="3"/>
    <s v="FinA"/>
    <x v="0"/>
    <x v="6"/>
    <s v="GCND_COAL3"/>
    <x v="0"/>
    <x v="6"/>
    <n v="565"/>
    <n v="206225"/>
    <n v="742410"/>
  </r>
  <r>
    <x v="0"/>
    <x v="0"/>
    <x v="0"/>
    <x v="2"/>
    <x v="3"/>
    <s v="FinA"/>
    <x v="0"/>
    <x v="6"/>
    <s v="GCND_COAL3"/>
    <x v="0"/>
    <x v="7"/>
    <n v="565"/>
    <n v="206225"/>
    <n v="742410"/>
  </r>
  <r>
    <x v="0"/>
    <x v="0"/>
    <x v="0"/>
    <x v="2"/>
    <x v="3"/>
    <s v="FinA"/>
    <x v="0"/>
    <x v="6"/>
    <s v="GCND_COAL3"/>
    <x v="0"/>
    <x v="8"/>
    <n v="565"/>
    <n v="206225"/>
    <n v="742410"/>
  </r>
  <r>
    <x v="0"/>
    <x v="0"/>
    <x v="0"/>
    <x v="2"/>
    <x v="3"/>
    <s v="FinA"/>
    <x v="0"/>
    <x v="6"/>
    <s v="GCND_COAL3"/>
    <x v="0"/>
    <x v="9"/>
    <n v="565"/>
    <n v="206225"/>
    <n v="742410"/>
  </r>
  <r>
    <x v="0"/>
    <x v="0"/>
    <x v="0"/>
    <x v="2"/>
    <x v="3"/>
    <s v="FinA"/>
    <x v="0"/>
    <x v="6"/>
    <s v="GCND_COAL3"/>
    <x v="0"/>
    <x v="10"/>
    <n v="565"/>
    <n v="206225"/>
    <n v="742410"/>
  </r>
  <r>
    <x v="0"/>
    <x v="0"/>
    <x v="0"/>
    <x v="2"/>
    <x v="3"/>
    <s v="FinA"/>
    <x v="0"/>
    <x v="6"/>
    <s v="GCND_COAL3"/>
    <x v="0"/>
    <x v="11"/>
    <n v="565"/>
    <n v="206225"/>
    <n v="742410"/>
  </r>
  <r>
    <x v="0"/>
    <x v="0"/>
    <x v="0"/>
    <x v="2"/>
    <x v="3"/>
    <s v="FinA"/>
    <x v="0"/>
    <x v="6"/>
    <s v="GCND_COAL3"/>
    <x v="0"/>
    <x v="12"/>
    <n v="565"/>
    <n v="206225"/>
    <n v="742410"/>
  </r>
  <r>
    <x v="0"/>
    <x v="0"/>
    <x v="0"/>
    <x v="2"/>
    <x v="3"/>
    <s v="FinA"/>
    <x v="0"/>
    <x v="6"/>
    <s v="GCND_COAL3"/>
    <x v="0"/>
    <x v="13"/>
    <n v="565"/>
    <n v="206225"/>
    <n v="742410"/>
  </r>
  <r>
    <x v="0"/>
    <x v="0"/>
    <x v="0"/>
    <x v="2"/>
    <x v="3"/>
    <s v="FinA"/>
    <x v="0"/>
    <x v="6"/>
    <s v="GCND_COAL3"/>
    <x v="0"/>
    <x v="14"/>
    <n v="565"/>
    <n v="206225"/>
    <n v="742410"/>
  </r>
  <r>
    <x v="0"/>
    <x v="0"/>
    <x v="0"/>
    <x v="2"/>
    <x v="3"/>
    <s v="FinA"/>
    <x v="0"/>
    <x v="6"/>
    <s v="GCND_COAL3"/>
    <x v="0"/>
    <x v="15"/>
    <n v="565"/>
    <n v="206225"/>
    <n v="742410"/>
  </r>
  <r>
    <x v="0"/>
    <x v="0"/>
    <x v="0"/>
    <x v="2"/>
    <x v="3"/>
    <s v="FinA"/>
    <x v="0"/>
    <x v="6"/>
    <s v="GCND_COAL3"/>
    <x v="0"/>
    <x v="16"/>
    <n v="565"/>
    <n v="206225"/>
    <n v="742410"/>
  </r>
  <r>
    <x v="0"/>
    <x v="0"/>
    <x v="0"/>
    <x v="2"/>
    <x v="3"/>
    <s v="FinA"/>
    <x v="0"/>
    <x v="6"/>
    <s v="GCND_COAL3"/>
    <x v="0"/>
    <x v="17"/>
    <n v="565"/>
    <n v="206225"/>
    <n v="742410"/>
  </r>
  <r>
    <x v="0"/>
    <x v="0"/>
    <x v="0"/>
    <x v="2"/>
    <x v="3"/>
    <s v="FinA"/>
    <x v="0"/>
    <x v="6"/>
    <s v="GCND_COAL3"/>
    <x v="0"/>
    <x v="19"/>
    <n v="565"/>
    <n v="206225"/>
    <n v="742410"/>
  </r>
  <r>
    <x v="0"/>
    <x v="0"/>
    <x v="0"/>
    <x v="2"/>
    <x v="3"/>
    <s v="FinA"/>
    <x v="0"/>
    <x v="6"/>
    <s v="GCND_COAL3"/>
    <x v="0"/>
    <x v="20"/>
    <n v="565"/>
    <n v="206225"/>
    <n v="742410"/>
  </r>
  <r>
    <x v="0"/>
    <x v="0"/>
    <x v="0"/>
    <x v="2"/>
    <x v="3"/>
    <s v="FinA"/>
    <x v="0"/>
    <x v="6"/>
    <s v="GCND_COAL3"/>
    <x v="0"/>
    <x v="21"/>
    <n v="565"/>
    <n v="206225"/>
    <n v="742410"/>
  </r>
  <r>
    <x v="0"/>
    <x v="0"/>
    <x v="0"/>
    <x v="2"/>
    <x v="3"/>
    <s v="FinA"/>
    <x v="0"/>
    <x v="6"/>
    <s v="GCND_COAL3"/>
    <x v="0"/>
    <x v="22"/>
    <n v="565"/>
    <n v="206225"/>
    <n v="742410"/>
  </r>
  <r>
    <x v="0"/>
    <x v="0"/>
    <x v="0"/>
    <x v="2"/>
    <x v="3"/>
    <s v="FinA"/>
    <x v="0"/>
    <x v="6"/>
    <s v="GCND_COAL3"/>
    <x v="0"/>
    <x v="23"/>
    <n v="565"/>
    <n v="206225"/>
    <n v="742410"/>
  </r>
  <r>
    <x v="0"/>
    <x v="0"/>
    <x v="0"/>
    <x v="2"/>
    <x v="3"/>
    <s v="FinA"/>
    <x v="14"/>
    <x v="6"/>
    <s v="GCND_NUCLEAR"/>
    <x v="0"/>
    <x v="0"/>
    <n v="2899.7136"/>
    <n v="1058395.4639999999"/>
    <n v="3810223.6704000002"/>
  </r>
  <r>
    <x v="0"/>
    <x v="0"/>
    <x v="0"/>
    <x v="2"/>
    <x v="3"/>
    <s v="FinA"/>
    <x v="14"/>
    <x v="6"/>
    <s v="GCND_NUCLEAR"/>
    <x v="0"/>
    <x v="1"/>
    <n v="2899.7136"/>
    <n v="1058395.4639999999"/>
    <n v="3810223.6704000002"/>
  </r>
  <r>
    <x v="0"/>
    <x v="0"/>
    <x v="0"/>
    <x v="2"/>
    <x v="3"/>
    <s v="FinA"/>
    <x v="14"/>
    <x v="6"/>
    <s v="GCND_NUCLEAR"/>
    <x v="0"/>
    <x v="18"/>
    <n v="2899.7136"/>
    <n v="1058395.4639999999"/>
    <n v="3810223.6704000002"/>
  </r>
  <r>
    <x v="0"/>
    <x v="0"/>
    <x v="0"/>
    <x v="2"/>
    <x v="3"/>
    <s v="FinA"/>
    <x v="14"/>
    <x v="6"/>
    <s v="GCND_NUCLEAR"/>
    <x v="0"/>
    <x v="2"/>
    <n v="2899.7136"/>
    <n v="1058395.4639999999"/>
    <n v="3810223.6704000002"/>
  </r>
  <r>
    <x v="0"/>
    <x v="0"/>
    <x v="0"/>
    <x v="2"/>
    <x v="3"/>
    <s v="FinA"/>
    <x v="14"/>
    <x v="6"/>
    <s v="GCND_NUCLEAR"/>
    <x v="0"/>
    <x v="3"/>
    <n v="2899.7136"/>
    <n v="1058395.4639999999"/>
    <n v="3810223.6704000002"/>
  </r>
  <r>
    <x v="0"/>
    <x v="0"/>
    <x v="0"/>
    <x v="2"/>
    <x v="3"/>
    <s v="FinA"/>
    <x v="14"/>
    <x v="6"/>
    <s v="GCND_NUCLEAR"/>
    <x v="0"/>
    <x v="4"/>
    <n v="2899.7136"/>
    <n v="1058395.4639999999"/>
    <n v="3810223.6704000002"/>
  </r>
  <r>
    <x v="0"/>
    <x v="0"/>
    <x v="0"/>
    <x v="2"/>
    <x v="3"/>
    <s v="FinA"/>
    <x v="14"/>
    <x v="6"/>
    <s v="GCND_NUCLEAR"/>
    <x v="0"/>
    <x v="5"/>
    <n v="2899.7136"/>
    <n v="1058395.4639999999"/>
    <n v="3810223.6704000002"/>
  </r>
  <r>
    <x v="0"/>
    <x v="0"/>
    <x v="0"/>
    <x v="2"/>
    <x v="3"/>
    <s v="FinA"/>
    <x v="14"/>
    <x v="6"/>
    <s v="GCND_NUCLEAR"/>
    <x v="0"/>
    <x v="6"/>
    <n v="2899.7136"/>
    <n v="1058395.4639999999"/>
    <n v="3810223.6704000002"/>
  </r>
  <r>
    <x v="0"/>
    <x v="0"/>
    <x v="0"/>
    <x v="2"/>
    <x v="3"/>
    <s v="FinA"/>
    <x v="14"/>
    <x v="6"/>
    <s v="GCND_NUCLEAR"/>
    <x v="0"/>
    <x v="7"/>
    <n v="2899.7136"/>
    <n v="1058395.4639999999"/>
    <n v="3810223.6704000002"/>
  </r>
  <r>
    <x v="0"/>
    <x v="0"/>
    <x v="0"/>
    <x v="2"/>
    <x v="3"/>
    <s v="FinA"/>
    <x v="14"/>
    <x v="6"/>
    <s v="GCND_NUCLEAR"/>
    <x v="0"/>
    <x v="8"/>
    <n v="2899.7136"/>
    <n v="1058395.4639999999"/>
    <n v="3810223.6704000002"/>
  </r>
  <r>
    <x v="0"/>
    <x v="0"/>
    <x v="0"/>
    <x v="2"/>
    <x v="3"/>
    <s v="FinA"/>
    <x v="14"/>
    <x v="6"/>
    <s v="GCND_NUCLEAR"/>
    <x v="0"/>
    <x v="9"/>
    <n v="2899.7136"/>
    <n v="1058395.4639999999"/>
    <n v="3810223.6704000002"/>
  </r>
  <r>
    <x v="0"/>
    <x v="0"/>
    <x v="0"/>
    <x v="2"/>
    <x v="3"/>
    <s v="FinA"/>
    <x v="14"/>
    <x v="6"/>
    <s v="GCND_NUCLEAR"/>
    <x v="0"/>
    <x v="10"/>
    <n v="2899.7136"/>
    <n v="1058395.4639999999"/>
    <n v="3810223.6704000002"/>
  </r>
  <r>
    <x v="0"/>
    <x v="0"/>
    <x v="0"/>
    <x v="2"/>
    <x v="3"/>
    <s v="FinA"/>
    <x v="14"/>
    <x v="6"/>
    <s v="GCND_NUCLEAR"/>
    <x v="0"/>
    <x v="11"/>
    <n v="2899.7136"/>
    <n v="1058395.4639999999"/>
    <n v="3810223.6704000002"/>
  </r>
  <r>
    <x v="0"/>
    <x v="0"/>
    <x v="0"/>
    <x v="2"/>
    <x v="3"/>
    <s v="FinA"/>
    <x v="14"/>
    <x v="6"/>
    <s v="GCND_NUCLEAR"/>
    <x v="0"/>
    <x v="12"/>
    <n v="2899.7136"/>
    <n v="1058395.4639999999"/>
    <n v="3810223.6704000002"/>
  </r>
  <r>
    <x v="0"/>
    <x v="0"/>
    <x v="0"/>
    <x v="2"/>
    <x v="3"/>
    <s v="FinA"/>
    <x v="14"/>
    <x v="6"/>
    <s v="GCND_NUCLEAR"/>
    <x v="0"/>
    <x v="13"/>
    <n v="2899.7136"/>
    <n v="1058395.4639999999"/>
    <n v="3810223.6704000002"/>
  </r>
  <r>
    <x v="0"/>
    <x v="0"/>
    <x v="0"/>
    <x v="2"/>
    <x v="3"/>
    <s v="FinA"/>
    <x v="14"/>
    <x v="6"/>
    <s v="GCND_NUCLEAR"/>
    <x v="0"/>
    <x v="14"/>
    <n v="2899.7136"/>
    <n v="1058395.4639999999"/>
    <n v="3810223.6704000002"/>
  </r>
  <r>
    <x v="0"/>
    <x v="0"/>
    <x v="0"/>
    <x v="2"/>
    <x v="3"/>
    <s v="FinA"/>
    <x v="14"/>
    <x v="6"/>
    <s v="GCND_NUCLEAR"/>
    <x v="0"/>
    <x v="15"/>
    <n v="2899.7136"/>
    <n v="1058395.4639999999"/>
    <n v="3810223.6704000002"/>
  </r>
  <r>
    <x v="0"/>
    <x v="0"/>
    <x v="0"/>
    <x v="2"/>
    <x v="3"/>
    <s v="FinA"/>
    <x v="14"/>
    <x v="6"/>
    <s v="GCND_NUCLEAR"/>
    <x v="0"/>
    <x v="16"/>
    <n v="2899.7136"/>
    <n v="1058395.4639999999"/>
    <n v="3810223.6704000002"/>
  </r>
  <r>
    <x v="0"/>
    <x v="0"/>
    <x v="0"/>
    <x v="2"/>
    <x v="3"/>
    <s v="FinA"/>
    <x v="14"/>
    <x v="6"/>
    <s v="GCND_NUCLEAR"/>
    <x v="0"/>
    <x v="17"/>
    <n v="2899.7136"/>
    <n v="1058395.4639999999"/>
    <n v="3810223.6704000002"/>
  </r>
  <r>
    <x v="0"/>
    <x v="0"/>
    <x v="0"/>
    <x v="2"/>
    <x v="3"/>
    <s v="FinA"/>
    <x v="14"/>
    <x v="6"/>
    <s v="GCND_NUCLEAR"/>
    <x v="0"/>
    <x v="19"/>
    <n v="2899.7136"/>
    <n v="1058395.4639999999"/>
    <n v="3810223.6704000002"/>
  </r>
  <r>
    <x v="0"/>
    <x v="0"/>
    <x v="0"/>
    <x v="2"/>
    <x v="3"/>
    <s v="FinA"/>
    <x v="14"/>
    <x v="6"/>
    <s v="GCND_NUCLEAR"/>
    <x v="0"/>
    <x v="20"/>
    <n v="2899.7136"/>
    <n v="1058395.4639999999"/>
    <n v="3810223.6704000002"/>
  </r>
  <r>
    <x v="0"/>
    <x v="0"/>
    <x v="0"/>
    <x v="2"/>
    <x v="3"/>
    <s v="FinA"/>
    <x v="14"/>
    <x v="6"/>
    <s v="GCND_NUCLEAR"/>
    <x v="0"/>
    <x v="21"/>
    <n v="2899.7136"/>
    <n v="1058395.4639999999"/>
    <n v="3810223.6704000002"/>
  </r>
  <r>
    <x v="0"/>
    <x v="0"/>
    <x v="0"/>
    <x v="2"/>
    <x v="3"/>
    <s v="FinA"/>
    <x v="14"/>
    <x v="6"/>
    <s v="GCND_NUCLEAR"/>
    <x v="0"/>
    <x v="22"/>
    <n v="2899.7136"/>
    <n v="1058395.4639999999"/>
    <n v="3810223.6704000002"/>
  </r>
  <r>
    <x v="0"/>
    <x v="0"/>
    <x v="0"/>
    <x v="2"/>
    <x v="3"/>
    <s v="FinA"/>
    <x v="14"/>
    <x v="6"/>
    <s v="GCND_NUCLEAR"/>
    <x v="0"/>
    <x v="23"/>
    <n v="2899.7136"/>
    <n v="1058395.4639999999"/>
    <n v="3810223.6704000002"/>
  </r>
  <r>
    <x v="0"/>
    <x v="0"/>
    <x v="0"/>
    <x v="2"/>
    <x v="3"/>
    <s v="FinA"/>
    <x v="13"/>
    <x v="2"/>
    <s v="GBPR_PEAT_IND"/>
    <x v="0"/>
    <x v="0"/>
    <n v="634"/>
    <n v="231410"/>
    <n v="833076"/>
  </r>
  <r>
    <x v="0"/>
    <x v="0"/>
    <x v="0"/>
    <x v="2"/>
    <x v="3"/>
    <s v="FinA"/>
    <x v="13"/>
    <x v="2"/>
    <s v="GBPR_PEAT_IND"/>
    <x v="0"/>
    <x v="1"/>
    <n v="634"/>
    <n v="231410"/>
    <n v="833076"/>
  </r>
  <r>
    <x v="0"/>
    <x v="0"/>
    <x v="0"/>
    <x v="2"/>
    <x v="3"/>
    <s v="FinA"/>
    <x v="13"/>
    <x v="2"/>
    <s v="GBPR_PEAT_IND"/>
    <x v="0"/>
    <x v="18"/>
    <n v="634"/>
    <n v="231410"/>
    <n v="833076"/>
  </r>
  <r>
    <x v="0"/>
    <x v="0"/>
    <x v="0"/>
    <x v="2"/>
    <x v="3"/>
    <s v="FinA"/>
    <x v="13"/>
    <x v="2"/>
    <s v="GBPR_PEAT_IND"/>
    <x v="0"/>
    <x v="2"/>
    <n v="634"/>
    <n v="231410"/>
    <n v="833076"/>
  </r>
  <r>
    <x v="0"/>
    <x v="0"/>
    <x v="0"/>
    <x v="2"/>
    <x v="3"/>
    <s v="FinA"/>
    <x v="13"/>
    <x v="2"/>
    <s v="GBPR_PEAT_IND"/>
    <x v="0"/>
    <x v="3"/>
    <n v="634"/>
    <n v="231410"/>
    <n v="833076"/>
  </r>
  <r>
    <x v="0"/>
    <x v="0"/>
    <x v="0"/>
    <x v="2"/>
    <x v="3"/>
    <s v="FinA"/>
    <x v="13"/>
    <x v="2"/>
    <s v="GBPR_PEAT_IND"/>
    <x v="0"/>
    <x v="4"/>
    <n v="634"/>
    <n v="231410"/>
    <n v="833076"/>
  </r>
  <r>
    <x v="0"/>
    <x v="0"/>
    <x v="0"/>
    <x v="2"/>
    <x v="3"/>
    <s v="FinA"/>
    <x v="13"/>
    <x v="2"/>
    <s v="GBPR_PEAT_IND"/>
    <x v="0"/>
    <x v="5"/>
    <n v="634"/>
    <n v="231410"/>
    <n v="833076"/>
  </r>
  <r>
    <x v="0"/>
    <x v="0"/>
    <x v="0"/>
    <x v="2"/>
    <x v="3"/>
    <s v="FinA"/>
    <x v="13"/>
    <x v="2"/>
    <s v="GBPR_PEAT_IND"/>
    <x v="0"/>
    <x v="6"/>
    <n v="634"/>
    <n v="231410"/>
    <n v="833076"/>
  </r>
  <r>
    <x v="0"/>
    <x v="0"/>
    <x v="0"/>
    <x v="2"/>
    <x v="3"/>
    <s v="FinA"/>
    <x v="13"/>
    <x v="2"/>
    <s v="GBPR_PEAT_IND"/>
    <x v="0"/>
    <x v="7"/>
    <n v="634"/>
    <n v="231410"/>
    <n v="833076"/>
  </r>
  <r>
    <x v="0"/>
    <x v="0"/>
    <x v="0"/>
    <x v="2"/>
    <x v="3"/>
    <s v="FinA"/>
    <x v="13"/>
    <x v="2"/>
    <s v="GBPR_PEAT_IND"/>
    <x v="0"/>
    <x v="8"/>
    <n v="634"/>
    <n v="231410"/>
    <n v="833076"/>
  </r>
  <r>
    <x v="0"/>
    <x v="0"/>
    <x v="0"/>
    <x v="2"/>
    <x v="3"/>
    <s v="FinA"/>
    <x v="13"/>
    <x v="2"/>
    <s v="GBPR_PEAT_IND"/>
    <x v="0"/>
    <x v="9"/>
    <n v="634"/>
    <n v="231410"/>
    <n v="833076"/>
  </r>
  <r>
    <x v="0"/>
    <x v="0"/>
    <x v="0"/>
    <x v="2"/>
    <x v="3"/>
    <s v="FinA"/>
    <x v="13"/>
    <x v="2"/>
    <s v="GBPR_PEAT_IND"/>
    <x v="0"/>
    <x v="10"/>
    <n v="634"/>
    <n v="231410"/>
    <n v="833076"/>
  </r>
  <r>
    <x v="0"/>
    <x v="0"/>
    <x v="0"/>
    <x v="2"/>
    <x v="3"/>
    <s v="FinA"/>
    <x v="13"/>
    <x v="2"/>
    <s v="GBPR_PEAT_IND"/>
    <x v="0"/>
    <x v="11"/>
    <n v="634"/>
    <n v="231410"/>
    <n v="833076"/>
  </r>
  <r>
    <x v="0"/>
    <x v="0"/>
    <x v="0"/>
    <x v="2"/>
    <x v="3"/>
    <s v="FinA"/>
    <x v="13"/>
    <x v="2"/>
    <s v="GBPR_PEAT_IND"/>
    <x v="0"/>
    <x v="12"/>
    <n v="634"/>
    <n v="231410"/>
    <n v="833076"/>
  </r>
  <r>
    <x v="0"/>
    <x v="0"/>
    <x v="0"/>
    <x v="2"/>
    <x v="3"/>
    <s v="FinA"/>
    <x v="13"/>
    <x v="2"/>
    <s v="GBPR_PEAT_IND"/>
    <x v="0"/>
    <x v="13"/>
    <n v="634"/>
    <n v="231410"/>
    <n v="833076"/>
  </r>
  <r>
    <x v="0"/>
    <x v="0"/>
    <x v="0"/>
    <x v="2"/>
    <x v="3"/>
    <s v="FinA"/>
    <x v="13"/>
    <x v="2"/>
    <s v="GBPR_PEAT_IND"/>
    <x v="0"/>
    <x v="14"/>
    <n v="634"/>
    <n v="231410"/>
    <n v="833076"/>
  </r>
  <r>
    <x v="0"/>
    <x v="0"/>
    <x v="0"/>
    <x v="2"/>
    <x v="3"/>
    <s v="FinA"/>
    <x v="13"/>
    <x v="2"/>
    <s v="GBPR_PEAT_IND"/>
    <x v="0"/>
    <x v="15"/>
    <n v="634"/>
    <n v="231410"/>
    <n v="833076"/>
  </r>
  <r>
    <x v="0"/>
    <x v="0"/>
    <x v="0"/>
    <x v="2"/>
    <x v="3"/>
    <s v="FinA"/>
    <x v="13"/>
    <x v="2"/>
    <s v="GBPR_PEAT_IND"/>
    <x v="0"/>
    <x v="16"/>
    <n v="634"/>
    <n v="231410"/>
    <n v="833076"/>
  </r>
  <r>
    <x v="0"/>
    <x v="0"/>
    <x v="0"/>
    <x v="2"/>
    <x v="3"/>
    <s v="FinA"/>
    <x v="13"/>
    <x v="2"/>
    <s v="GBPR_PEAT_IND"/>
    <x v="0"/>
    <x v="17"/>
    <n v="634"/>
    <n v="231410"/>
    <n v="833076"/>
  </r>
  <r>
    <x v="0"/>
    <x v="0"/>
    <x v="0"/>
    <x v="2"/>
    <x v="3"/>
    <s v="FinA"/>
    <x v="13"/>
    <x v="2"/>
    <s v="GBPR_PEAT_IND"/>
    <x v="0"/>
    <x v="19"/>
    <n v="634"/>
    <n v="231410"/>
    <n v="833076"/>
  </r>
  <r>
    <x v="0"/>
    <x v="0"/>
    <x v="0"/>
    <x v="2"/>
    <x v="3"/>
    <s v="FinA"/>
    <x v="13"/>
    <x v="2"/>
    <s v="GBPR_PEAT_IND"/>
    <x v="0"/>
    <x v="20"/>
    <n v="634"/>
    <n v="231410"/>
    <n v="833076"/>
  </r>
  <r>
    <x v="0"/>
    <x v="0"/>
    <x v="0"/>
    <x v="2"/>
    <x v="3"/>
    <s v="FinA"/>
    <x v="13"/>
    <x v="2"/>
    <s v="GBPR_PEAT_IND"/>
    <x v="0"/>
    <x v="21"/>
    <n v="634"/>
    <n v="231410"/>
    <n v="833076"/>
  </r>
  <r>
    <x v="0"/>
    <x v="0"/>
    <x v="0"/>
    <x v="2"/>
    <x v="3"/>
    <s v="FinA"/>
    <x v="13"/>
    <x v="2"/>
    <s v="GBPR_PEAT_IND"/>
    <x v="0"/>
    <x v="22"/>
    <n v="634"/>
    <n v="231410"/>
    <n v="833076"/>
  </r>
  <r>
    <x v="0"/>
    <x v="0"/>
    <x v="0"/>
    <x v="2"/>
    <x v="3"/>
    <s v="FinA"/>
    <x v="13"/>
    <x v="2"/>
    <s v="GBPR_PEAT_IND"/>
    <x v="0"/>
    <x v="23"/>
    <n v="634"/>
    <n v="231410"/>
    <n v="833076"/>
  </r>
  <r>
    <x v="0"/>
    <x v="0"/>
    <x v="0"/>
    <x v="2"/>
    <x v="3"/>
    <s v="FinA"/>
    <x v="6"/>
    <x v="7"/>
    <s v="GNR_RES_WTR_NOPMP_MC-01"/>
    <x v="0"/>
    <x v="0"/>
    <n v="156.94999999999999"/>
    <n v="57286.75"/>
    <n v="206232.3"/>
  </r>
  <r>
    <x v="0"/>
    <x v="0"/>
    <x v="0"/>
    <x v="2"/>
    <x v="3"/>
    <s v="FinA"/>
    <x v="6"/>
    <x v="7"/>
    <s v="GNR_RES_WTR_NOPMP_MC-01"/>
    <x v="0"/>
    <x v="1"/>
    <n v="156.94999999999999"/>
    <n v="57286.75"/>
    <n v="206232.3"/>
  </r>
  <r>
    <x v="0"/>
    <x v="0"/>
    <x v="0"/>
    <x v="2"/>
    <x v="3"/>
    <s v="FinA"/>
    <x v="6"/>
    <x v="7"/>
    <s v="GNR_RES_WTR_NOPMP_MC-01"/>
    <x v="0"/>
    <x v="18"/>
    <n v="156.94999999999999"/>
    <n v="57286.75"/>
    <n v="206232.3"/>
  </r>
  <r>
    <x v="0"/>
    <x v="0"/>
    <x v="0"/>
    <x v="2"/>
    <x v="3"/>
    <s v="FinA"/>
    <x v="6"/>
    <x v="7"/>
    <s v="GNR_RES_WTR_NOPMP_MC-01"/>
    <x v="0"/>
    <x v="2"/>
    <n v="156.94999999999999"/>
    <n v="57286.75"/>
    <n v="206232.3"/>
  </r>
  <r>
    <x v="0"/>
    <x v="0"/>
    <x v="0"/>
    <x v="2"/>
    <x v="3"/>
    <s v="FinA"/>
    <x v="6"/>
    <x v="7"/>
    <s v="GNR_RES_WTR_NOPMP_MC-01"/>
    <x v="0"/>
    <x v="3"/>
    <n v="156.94999999999999"/>
    <n v="57286.75"/>
    <n v="206232.3"/>
  </r>
  <r>
    <x v="0"/>
    <x v="0"/>
    <x v="0"/>
    <x v="2"/>
    <x v="3"/>
    <s v="FinA"/>
    <x v="6"/>
    <x v="7"/>
    <s v="GNR_RES_WTR_NOPMP_MC-01"/>
    <x v="0"/>
    <x v="4"/>
    <n v="156.94999999999999"/>
    <n v="57286.75"/>
    <n v="206232.3"/>
  </r>
  <r>
    <x v="0"/>
    <x v="0"/>
    <x v="0"/>
    <x v="2"/>
    <x v="3"/>
    <s v="FinA"/>
    <x v="6"/>
    <x v="7"/>
    <s v="GNR_RES_WTR_NOPMP_MC-01"/>
    <x v="0"/>
    <x v="5"/>
    <n v="156.94999999999999"/>
    <n v="57286.75"/>
    <n v="206232.3"/>
  </r>
  <r>
    <x v="0"/>
    <x v="0"/>
    <x v="0"/>
    <x v="2"/>
    <x v="3"/>
    <s v="FinA"/>
    <x v="6"/>
    <x v="7"/>
    <s v="GNR_RES_WTR_NOPMP_MC-01"/>
    <x v="0"/>
    <x v="6"/>
    <n v="156.94999999999999"/>
    <n v="57286.75"/>
    <n v="206232.3"/>
  </r>
  <r>
    <x v="0"/>
    <x v="0"/>
    <x v="0"/>
    <x v="2"/>
    <x v="3"/>
    <s v="FinA"/>
    <x v="6"/>
    <x v="7"/>
    <s v="GNR_RES_WTR_NOPMP_MC-01"/>
    <x v="0"/>
    <x v="7"/>
    <n v="156.94999999999999"/>
    <n v="57286.75"/>
    <n v="206232.3"/>
  </r>
  <r>
    <x v="0"/>
    <x v="0"/>
    <x v="0"/>
    <x v="2"/>
    <x v="3"/>
    <s v="FinA"/>
    <x v="6"/>
    <x v="7"/>
    <s v="GNR_RES_WTR_NOPMP_MC-01"/>
    <x v="0"/>
    <x v="8"/>
    <n v="156.94999999999999"/>
    <n v="57286.75"/>
    <n v="206232.3"/>
  </r>
  <r>
    <x v="0"/>
    <x v="0"/>
    <x v="0"/>
    <x v="2"/>
    <x v="3"/>
    <s v="FinA"/>
    <x v="6"/>
    <x v="7"/>
    <s v="GNR_RES_WTR_NOPMP_MC-01"/>
    <x v="0"/>
    <x v="9"/>
    <n v="156.94999999999999"/>
    <n v="57286.75"/>
    <n v="206232.3"/>
  </r>
  <r>
    <x v="0"/>
    <x v="0"/>
    <x v="0"/>
    <x v="2"/>
    <x v="3"/>
    <s v="FinA"/>
    <x v="6"/>
    <x v="7"/>
    <s v="GNR_RES_WTR_NOPMP_MC-01"/>
    <x v="0"/>
    <x v="10"/>
    <n v="156.94999999999999"/>
    <n v="57286.75"/>
    <n v="206232.3"/>
  </r>
  <r>
    <x v="0"/>
    <x v="0"/>
    <x v="0"/>
    <x v="2"/>
    <x v="3"/>
    <s v="FinA"/>
    <x v="6"/>
    <x v="7"/>
    <s v="GNR_RES_WTR_NOPMP_MC-01"/>
    <x v="0"/>
    <x v="11"/>
    <n v="156.94999999999999"/>
    <n v="57286.75"/>
    <n v="206232.3"/>
  </r>
  <r>
    <x v="0"/>
    <x v="0"/>
    <x v="0"/>
    <x v="2"/>
    <x v="3"/>
    <s v="FinA"/>
    <x v="6"/>
    <x v="7"/>
    <s v="GNR_RES_WTR_NOPMP_MC-01"/>
    <x v="0"/>
    <x v="12"/>
    <n v="156.94999999999999"/>
    <n v="57286.75"/>
    <n v="206232.3"/>
  </r>
  <r>
    <x v="0"/>
    <x v="0"/>
    <x v="0"/>
    <x v="2"/>
    <x v="3"/>
    <s v="FinA"/>
    <x v="6"/>
    <x v="7"/>
    <s v="GNR_RES_WTR_NOPMP_MC-01"/>
    <x v="0"/>
    <x v="13"/>
    <n v="156.94999999999999"/>
    <n v="57286.75"/>
    <n v="206232.3"/>
  </r>
  <r>
    <x v="0"/>
    <x v="0"/>
    <x v="0"/>
    <x v="2"/>
    <x v="3"/>
    <s v="FinA"/>
    <x v="6"/>
    <x v="7"/>
    <s v="GNR_RES_WTR_NOPMP_MC-01"/>
    <x v="0"/>
    <x v="14"/>
    <n v="156.94999999999999"/>
    <n v="57286.75"/>
    <n v="206232.3"/>
  </r>
  <r>
    <x v="0"/>
    <x v="0"/>
    <x v="0"/>
    <x v="2"/>
    <x v="3"/>
    <s v="FinA"/>
    <x v="6"/>
    <x v="7"/>
    <s v="GNR_RES_WTR_NOPMP_MC-01"/>
    <x v="0"/>
    <x v="15"/>
    <n v="156.94999999999999"/>
    <n v="57286.75"/>
    <n v="206232.3"/>
  </r>
  <r>
    <x v="0"/>
    <x v="0"/>
    <x v="0"/>
    <x v="2"/>
    <x v="3"/>
    <s v="FinA"/>
    <x v="6"/>
    <x v="7"/>
    <s v="GNR_RES_WTR_NOPMP_MC-01"/>
    <x v="0"/>
    <x v="16"/>
    <n v="156.94999999999999"/>
    <n v="57286.75"/>
    <n v="206232.3"/>
  </r>
  <r>
    <x v="0"/>
    <x v="0"/>
    <x v="0"/>
    <x v="2"/>
    <x v="3"/>
    <s v="FinA"/>
    <x v="6"/>
    <x v="7"/>
    <s v="GNR_RES_WTR_NOPMP_MC-01"/>
    <x v="0"/>
    <x v="17"/>
    <n v="156.94999999999999"/>
    <n v="57286.75"/>
    <n v="206232.3"/>
  </r>
  <r>
    <x v="0"/>
    <x v="0"/>
    <x v="0"/>
    <x v="2"/>
    <x v="3"/>
    <s v="FinA"/>
    <x v="6"/>
    <x v="7"/>
    <s v="GNR_RES_WTR_NOPMP_MC-01"/>
    <x v="0"/>
    <x v="19"/>
    <n v="156.94999999999999"/>
    <n v="57286.75"/>
    <n v="206232.3"/>
  </r>
  <r>
    <x v="0"/>
    <x v="0"/>
    <x v="0"/>
    <x v="2"/>
    <x v="3"/>
    <s v="FinA"/>
    <x v="6"/>
    <x v="7"/>
    <s v="GNR_RES_WTR_NOPMP_MC-01"/>
    <x v="0"/>
    <x v="20"/>
    <n v="156.94999999999999"/>
    <n v="57286.75"/>
    <n v="206232.3"/>
  </r>
  <r>
    <x v="0"/>
    <x v="0"/>
    <x v="0"/>
    <x v="2"/>
    <x v="3"/>
    <s v="FinA"/>
    <x v="6"/>
    <x v="7"/>
    <s v="GNR_RES_WTR_NOPMP_MC-01"/>
    <x v="0"/>
    <x v="21"/>
    <n v="156.94999999999999"/>
    <n v="57286.75"/>
    <n v="206232.3"/>
  </r>
  <r>
    <x v="0"/>
    <x v="0"/>
    <x v="0"/>
    <x v="2"/>
    <x v="3"/>
    <s v="FinA"/>
    <x v="6"/>
    <x v="7"/>
    <s v="GNR_RES_WTR_NOPMP_MC-01"/>
    <x v="0"/>
    <x v="22"/>
    <n v="156.94999999999999"/>
    <n v="57286.75"/>
    <n v="206232.3"/>
  </r>
  <r>
    <x v="0"/>
    <x v="0"/>
    <x v="0"/>
    <x v="2"/>
    <x v="3"/>
    <s v="FinA"/>
    <x v="6"/>
    <x v="7"/>
    <s v="GNR_RES_WTR_NOPMP_MC-01"/>
    <x v="0"/>
    <x v="23"/>
    <n v="156.94999999999999"/>
    <n v="57286.75"/>
    <n v="206232.3"/>
  </r>
  <r>
    <x v="0"/>
    <x v="0"/>
    <x v="0"/>
    <x v="2"/>
    <x v="3"/>
    <s v="FinA"/>
    <x v="6"/>
    <x v="7"/>
    <s v="GNR_RES_WTR_NOPMP_MC-02"/>
    <x v="0"/>
    <x v="0"/>
    <n v="156.94999999999999"/>
    <n v="57286.75"/>
    <n v="206232.3"/>
  </r>
  <r>
    <x v="0"/>
    <x v="0"/>
    <x v="0"/>
    <x v="2"/>
    <x v="3"/>
    <s v="FinA"/>
    <x v="6"/>
    <x v="7"/>
    <s v="GNR_RES_WTR_NOPMP_MC-02"/>
    <x v="0"/>
    <x v="1"/>
    <n v="156.94999999999999"/>
    <n v="57286.75"/>
    <n v="206232.3"/>
  </r>
  <r>
    <x v="0"/>
    <x v="0"/>
    <x v="0"/>
    <x v="2"/>
    <x v="3"/>
    <s v="FinA"/>
    <x v="6"/>
    <x v="7"/>
    <s v="GNR_RES_WTR_NOPMP_MC-02"/>
    <x v="0"/>
    <x v="18"/>
    <n v="156.94999999999999"/>
    <n v="57286.75"/>
    <n v="206232.3"/>
  </r>
  <r>
    <x v="0"/>
    <x v="0"/>
    <x v="0"/>
    <x v="2"/>
    <x v="3"/>
    <s v="FinA"/>
    <x v="6"/>
    <x v="7"/>
    <s v="GNR_RES_WTR_NOPMP_MC-02"/>
    <x v="0"/>
    <x v="2"/>
    <n v="156.94999999999999"/>
    <n v="57286.75"/>
    <n v="206232.3"/>
  </r>
  <r>
    <x v="0"/>
    <x v="0"/>
    <x v="0"/>
    <x v="2"/>
    <x v="3"/>
    <s v="FinA"/>
    <x v="6"/>
    <x v="7"/>
    <s v="GNR_RES_WTR_NOPMP_MC-02"/>
    <x v="0"/>
    <x v="3"/>
    <n v="156.94999999999999"/>
    <n v="57286.75"/>
    <n v="206232.3"/>
  </r>
  <r>
    <x v="0"/>
    <x v="0"/>
    <x v="0"/>
    <x v="2"/>
    <x v="3"/>
    <s v="FinA"/>
    <x v="6"/>
    <x v="7"/>
    <s v="GNR_RES_WTR_NOPMP_MC-02"/>
    <x v="0"/>
    <x v="4"/>
    <n v="156.94999999999999"/>
    <n v="57286.75"/>
    <n v="206232.3"/>
  </r>
  <r>
    <x v="0"/>
    <x v="0"/>
    <x v="0"/>
    <x v="2"/>
    <x v="3"/>
    <s v="FinA"/>
    <x v="6"/>
    <x v="7"/>
    <s v="GNR_RES_WTR_NOPMP_MC-02"/>
    <x v="0"/>
    <x v="5"/>
    <n v="156.94999999999999"/>
    <n v="57286.75"/>
    <n v="206232.3"/>
  </r>
  <r>
    <x v="0"/>
    <x v="0"/>
    <x v="0"/>
    <x v="2"/>
    <x v="3"/>
    <s v="FinA"/>
    <x v="6"/>
    <x v="7"/>
    <s v="GNR_RES_WTR_NOPMP_MC-02"/>
    <x v="0"/>
    <x v="6"/>
    <n v="156.94999999999999"/>
    <n v="57286.75"/>
    <n v="206232.3"/>
  </r>
  <r>
    <x v="0"/>
    <x v="0"/>
    <x v="0"/>
    <x v="2"/>
    <x v="3"/>
    <s v="FinA"/>
    <x v="6"/>
    <x v="7"/>
    <s v="GNR_RES_WTR_NOPMP_MC-02"/>
    <x v="0"/>
    <x v="7"/>
    <n v="156.94999999999999"/>
    <n v="57286.75"/>
    <n v="206232.3"/>
  </r>
  <r>
    <x v="0"/>
    <x v="0"/>
    <x v="0"/>
    <x v="2"/>
    <x v="3"/>
    <s v="FinA"/>
    <x v="6"/>
    <x v="7"/>
    <s v="GNR_RES_WTR_NOPMP_MC-02"/>
    <x v="0"/>
    <x v="8"/>
    <n v="156.94999999999999"/>
    <n v="57286.75"/>
    <n v="206232.3"/>
  </r>
  <r>
    <x v="0"/>
    <x v="0"/>
    <x v="0"/>
    <x v="2"/>
    <x v="3"/>
    <s v="FinA"/>
    <x v="6"/>
    <x v="7"/>
    <s v="GNR_RES_WTR_NOPMP_MC-02"/>
    <x v="0"/>
    <x v="9"/>
    <n v="156.94999999999999"/>
    <n v="57286.75"/>
    <n v="206232.3"/>
  </r>
  <r>
    <x v="0"/>
    <x v="0"/>
    <x v="0"/>
    <x v="2"/>
    <x v="3"/>
    <s v="FinA"/>
    <x v="6"/>
    <x v="7"/>
    <s v="GNR_RES_WTR_NOPMP_MC-02"/>
    <x v="0"/>
    <x v="10"/>
    <n v="156.94999999999999"/>
    <n v="57286.75"/>
    <n v="206232.3"/>
  </r>
  <r>
    <x v="0"/>
    <x v="0"/>
    <x v="0"/>
    <x v="2"/>
    <x v="3"/>
    <s v="FinA"/>
    <x v="6"/>
    <x v="7"/>
    <s v="GNR_RES_WTR_NOPMP_MC-02"/>
    <x v="0"/>
    <x v="11"/>
    <n v="156.94999999999999"/>
    <n v="57286.75"/>
    <n v="206232.3"/>
  </r>
  <r>
    <x v="0"/>
    <x v="0"/>
    <x v="0"/>
    <x v="2"/>
    <x v="3"/>
    <s v="FinA"/>
    <x v="6"/>
    <x v="7"/>
    <s v="GNR_RES_WTR_NOPMP_MC-02"/>
    <x v="0"/>
    <x v="12"/>
    <n v="156.94999999999999"/>
    <n v="57286.75"/>
    <n v="206232.3"/>
  </r>
  <r>
    <x v="0"/>
    <x v="0"/>
    <x v="0"/>
    <x v="2"/>
    <x v="3"/>
    <s v="FinA"/>
    <x v="6"/>
    <x v="7"/>
    <s v="GNR_RES_WTR_NOPMP_MC-02"/>
    <x v="0"/>
    <x v="13"/>
    <n v="156.94999999999999"/>
    <n v="57286.75"/>
    <n v="206232.3"/>
  </r>
  <r>
    <x v="0"/>
    <x v="0"/>
    <x v="0"/>
    <x v="2"/>
    <x v="3"/>
    <s v="FinA"/>
    <x v="6"/>
    <x v="7"/>
    <s v="GNR_RES_WTR_NOPMP_MC-02"/>
    <x v="0"/>
    <x v="14"/>
    <n v="156.94999999999999"/>
    <n v="57286.75"/>
    <n v="206232.3"/>
  </r>
  <r>
    <x v="0"/>
    <x v="0"/>
    <x v="0"/>
    <x v="2"/>
    <x v="3"/>
    <s v="FinA"/>
    <x v="6"/>
    <x v="7"/>
    <s v="GNR_RES_WTR_NOPMP_MC-02"/>
    <x v="0"/>
    <x v="15"/>
    <n v="156.94999999999999"/>
    <n v="57286.75"/>
    <n v="206232.3"/>
  </r>
  <r>
    <x v="0"/>
    <x v="0"/>
    <x v="0"/>
    <x v="2"/>
    <x v="3"/>
    <s v="FinA"/>
    <x v="6"/>
    <x v="7"/>
    <s v="GNR_RES_WTR_NOPMP_MC-02"/>
    <x v="0"/>
    <x v="16"/>
    <n v="156.94999999999999"/>
    <n v="57286.75"/>
    <n v="206232.3"/>
  </r>
  <r>
    <x v="0"/>
    <x v="0"/>
    <x v="0"/>
    <x v="2"/>
    <x v="3"/>
    <s v="FinA"/>
    <x v="6"/>
    <x v="7"/>
    <s v="GNR_RES_WTR_NOPMP_MC-02"/>
    <x v="0"/>
    <x v="17"/>
    <n v="156.94999999999999"/>
    <n v="57286.75"/>
    <n v="206232.3"/>
  </r>
  <r>
    <x v="0"/>
    <x v="0"/>
    <x v="0"/>
    <x v="2"/>
    <x v="3"/>
    <s v="FinA"/>
    <x v="6"/>
    <x v="7"/>
    <s v="GNR_RES_WTR_NOPMP_MC-02"/>
    <x v="0"/>
    <x v="19"/>
    <n v="156.94999999999999"/>
    <n v="57286.75"/>
    <n v="206232.3"/>
  </r>
  <r>
    <x v="0"/>
    <x v="0"/>
    <x v="0"/>
    <x v="2"/>
    <x v="3"/>
    <s v="FinA"/>
    <x v="6"/>
    <x v="7"/>
    <s v="GNR_RES_WTR_NOPMP_MC-02"/>
    <x v="0"/>
    <x v="20"/>
    <n v="156.94999999999999"/>
    <n v="57286.75"/>
    <n v="206232.3"/>
  </r>
  <r>
    <x v="0"/>
    <x v="0"/>
    <x v="0"/>
    <x v="2"/>
    <x v="3"/>
    <s v="FinA"/>
    <x v="6"/>
    <x v="7"/>
    <s v="GNR_RES_WTR_NOPMP_MC-02"/>
    <x v="0"/>
    <x v="21"/>
    <n v="156.94999999999999"/>
    <n v="57286.75"/>
    <n v="206232.3"/>
  </r>
  <r>
    <x v="0"/>
    <x v="0"/>
    <x v="0"/>
    <x v="2"/>
    <x v="3"/>
    <s v="FinA"/>
    <x v="6"/>
    <x v="7"/>
    <s v="GNR_RES_WTR_NOPMP_MC-02"/>
    <x v="0"/>
    <x v="22"/>
    <n v="156.94999999999999"/>
    <n v="57286.75"/>
    <n v="206232.3"/>
  </r>
  <r>
    <x v="0"/>
    <x v="0"/>
    <x v="0"/>
    <x v="2"/>
    <x v="3"/>
    <s v="FinA"/>
    <x v="6"/>
    <x v="7"/>
    <s v="GNR_RES_WTR_NOPMP_MC-02"/>
    <x v="0"/>
    <x v="23"/>
    <n v="156.94999999999999"/>
    <n v="57286.75"/>
    <n v="206232.3"/>
  </r>
  <r>
    <x v="0"/>
    <x v="0"/>
    <x v="0"/>
    <x v="2"/>
    <x v="3"/>
    <s v="FinA"/>
    <x v="6"/>
    <x v="7"/>
    <s v="GNR_RES_WTR_NOPMP_MC-03"/>
    <x v="0"/>
    <x v="0"/>
    <n v="156.94999999999999"/>
    <n v="57286.75"/>
    <n v="206232.3"/>
  </r>
  <r>
    <x v="0"/>
    <x v="0"/>
    <x v="0"/>
    <x v="2"/>
    <x v="3"/>
    <s v="FinA"/>
    <x v="6"/>
    <x v="7"/>
    <s v="GNR_RES_WTR_NOPMP_MC-03"/>
    <x v="0"/>
    <x v="1"/>
    <n v="156.94999999999999"/>
    <n v="57286.75"/>
    <n v="206232.3"/>
  </r>
  <r>
    <x v="0"/>
    <x v="0"/>
    <x v="0"/>
    <x v="2"/>
    <x v="3"/>
    <s v="FinA"/>
    <x v="6"/>
    <x v="7"/>
    <s v="GNR_RES_WTR_NOPMP_MC-03"/>
    <x v="0"/>
    <x v="18"/>
    <n v="156.94999999999999"/>
    <n v="57286.75"/>
    <n v="206232.3"/>
  </r>
  <r>
    <x v="0"/>
    <x v="0"/>
    <x v="0"/>
    <x v="2"/>
    <x v="3"/>
    <s v="FinA"/>
    <x v="6"/>
    <x v="7"/>
    <s v="GNR_RES_WTR_NOPMP_MC-03"/>
    <x v="0"/>
    <x v="2"/>
    <n v="156.94999999999999"/>
    <n v="57286.75"/>
    <n v="206232.3"/>
  </r>
  <r>
    <x v="0"/>
    <x v="0"/>
    <x v="0"/>
    <x v="2"/>
    <x v="3"/>
    <s v="FinA"/>
    <x v="6"/>
    <x v="7"/>
    <s v="GNR_RES_WTR_NOPMP_MC-03"/>
    <x v="0"/>
    <x v="3"/>
    <n v="156.94999999999999"/>
    <n v="57286.75"/>
    <n v="206232.3"/>
  </r>
  <r>
    <x v="0"/>
    <x v="0"/>
    <x v="0"/>
    <x v="2"/>
    <x v="3"/>
    <s v="FinA"/>
    <x v="6"/>
    <x v="7"/>
    <s v="GNR_RES_WTR_NOPMP_MC-03"/>
    <x v="0"/>
    <x v="4"/>
    <n v="156.94999999999999"/>
    <n v="57286.75"/>
    <n v="206232.3"/>
  </r>
  <r>
    <x v="0"/>
    <x v="0"/>
    <x v="0"/>
    <x v="2"/>
    <x v="3"/>
    <s v="FinA"/>
    <x v="6"/>
    <x v="7"/>
    <s v="GNR_RES_WTR_NOPMP_MC-03"/>
    <x v="0"/>
    <x v="5"/>
    <n v="156.94999999999999"/>
    <n v="57286.75"/>
    <n v="206232.3"/>
  </r>
  <r>
    <x v="0"/>
    <x v="0"/>
    <x v="0"/>
    <x v="2"/>
    <x v="3"/>
    <s v="FinA"/>
    <x v="6"/>
    <x v="7"/>
    <s v="GNR_RES_WTR_NOPMP_MC-03"/>
    <x v="0"/>
    <x v="6"/>
    <n v="156.94999999999999"/>
    <n v="57286.75"/>
    <n v="206232.3"/>
  </r>
  <r>
    <x v="0"/>
    <x v="0"/>
    <x v="0"/>
    <x v="2"/>
    <x v="3"/>
    <s v="FinA"/>
    <x v="6"/>
    <x v="7"/>
    <s v="GNR_RES_WTR_NOPMP_MC-03"/>
    <x v="0"/>
    <x v="7"/>
    <n v="156.94999999999999"/>
    <n v="57286.75"/>
    <n v="206232.3"/>
  </r>
  <r>
    <x v="0"/>
    <x v="0"/>
    <x v="0"/>
    <x v="2"/>
    <x v="3"/>
    <s v="FinA"/>
    <x v="6"/>
    <x v="7"/>
    <s v="GNR_RES_WTR_NOPMP_MC-03"/>
    <x v="0"/>
    <x v="8"/>
    <n v="156.94999999999999"/>
    <n v="57286.75"/>
    <n v="206232.3"/>
  </r>
  <r>
    <x v="0"/>
    <x v="0"/>
    <x v="0"/>
    <x v="2"/>
    <x v="3"/>
    <s v="FinA"/>
    <x v="6"/>
    <x v="7"/>
    <s v="GNR_RES_WTR_NOPMP_MC-03"/>
    <x v="0"/>
    <x v="9"/>
    <n v="156.94999999999999"/>
    <n v="57286.75"/>
    <n v="206232.3"/>
  </r>
  <r>
    <x v="0"/>
    <x v="0"/>
    <x v="0"/>
    <x v="2"/>
    <x v="3"/>
    <s v="FinA"/>
    <x v="6"/>
    <x v="7"/>
    <s v="GNR_RES_WTR_NOPMP_MC-03"/>
    <x v="0"/>
    <x v="10"/>
    <n v="156.94999999999999"/>
    <n v="57286.75"/>
    <n v="206232.3"/>
  </r>
  <r>
    <x v="0"/>
    <x v="0"/>
    <x v="0"/>
    <x v="2"/>
    <x v="3"/>
    <s v="FinA"/>
    <x v="6"/>
    <x v="7"/>
    <s v="GNR_RES_WTR_NOPMP_MC-03"/>
    <x v="0"/>
    <x v="11"/>
    <n v="156.94999999999999"/>
    <n v="57286.75"/>
    <n v="206232.3"/>
  </r>
  <r>
    <x v="0"/>
    <x v="0"/>
    <x v="0"/>
    <x v="2"/>
    <x v="3"/>
    <s v="FinA"/>
    <x v="6"/>
    <x v="7"/>
    <s v="GNR_RES_WTR_NOPMP_MC-03"/>
    <x v="0"/>
    <x v="12"/>
    <n v="156.94999999999999"/>
    <n v="57286.75"/>
    <n v="206232.3"/>
  </r>
  <r>
    <x v="0"/>
    <x v="0"/>
    <x v="0"/>
    <x v="2"/>
    <x v="3"/>
    <s v="FinA"/>
    <x v="6"/>
    <x v="7"/>
    <s v="GNR_RES_WTR_NOPMP_MC-03"/>
    <x v="0"/>
    <x v="13"/>
    <n v="156.94999999999999"/>
    <n v="57286.75"/>
    <n v="206232.3"/>
  </r>
  <r>
    <x v="0"/>
    <x v="0"/>
    <x v="0"/>
    <x v="2"/>
    <x v="3"/>
    <s v="FinA"/>
    <x v="6"/>
    <x v="7"/>
    <s v="GNR_RES_WTR_NOPMP_MC-03"/>
    <x v="0"/>
    <x v="14"/>
    <n v="156.94999999999999"/>
    <n v="57286.75"/>
    <n v="206232.3"/>
  </r>
  <r>
    <x v="0"/>
    <x v="0"/>
    <x v="0"/>
    <x v="2"/>
    <x v="3"/>
    <s v="FinA"/>
    <x v="6"/>
    <x v="7"/>
    <s v="GNR_RES_WTR_NOPMP_MC-03"/>
    <x v="0"/>
    <x v="15"/>
    <n v="156.94999999999999"/>
    <n v="57286.75"/>
    <n v="206232.3"/>
  </r>
  <r>
    <x v="0"/>
    <x v="0"/>
    <x v="0"/>
    <x v="2"/>
    <x v="3"/>
    <s v="FinA"/>
    <x v="6"/>
    <x v="7"/>
    <s v="GNR_RES_WTR_NOPMP_MC-03"/>
    <x v="0"/>
    <x v="16"/>
    <n v="156.94999999999999"/>
    <n v="57286.75"/>
    <n v="206232.3"/>
  </r>
  <r>
    <x v="0"/>
    <x v="0"/>
    <x v="0"/>
    <x v="2"/>
    <x v="3"/>
    <s v="FinA"/>
    <x v="6"/>
    <x v="7"/>
    <s v="GNR_RES_WTR_NOPMP_MC-03"/>
    <x v="0"/>
    <x v="17"/>
    <n v="156.94999999999999"/>
    <n v="57286.75"/>
    <n v="206232.3"/>
  </r>
  <r>
    <x v="0"/>
    <x v="0"/>
    <x v="0"/>
    <x v="2"/>
    <x v="3"/>
    <s v="FinA"/>
    <x v="6"/>
    <x v="7"/>
    <s v="GNR_RES_WTR_NOPMP_MC-03"/>
    <x v="0"/>
    <x v="19"/>
    <n v="156.94999999999999"/>
    <n v="57286.75"/>
    <n v="206232.3"/>
  </r>
  <r>
    <x v="0"/>
    <x v="0"/>
    <x v="0"/>
    <x v="2"/>
    <x v="3"/>
    <s v="FinA"/>
    <x v="6"/>
    <x v="7"/>
    <s v="GNR_RES_WTR_NOPMP_MC-03"/>
    <x v="0"/>
    <x v="20"/>
    <n v="156.94999999999999"/>
    <n v="57286.75"/>
    <n v="206232.3"/>
  </r>
  <r>
    <x v="0"/>
    <x v="0"/>
    <x v="0"/>
    <x v="2"/>
    <x v="3"/>
    <s v="FinA"/>
    <x v="6"/>
    <x v="7"/>
    <s v="GNR_RES_WTR_NOPMP_MC-03"/>
    <x v="0"/>
    <x v="21"/>
    <n v="156.94999999999999"/>
    <n v="57286.75"/>
    <n v="206232.3"/>
  </r>
  <r>
    <x v="0"/>
    <x v="0"/>
    <x v="0"/>
    <x v="2"/>
    <x v="3"/>
    <s v="FinA"/>
    <x v="6"/>
    <x v="7"/>
    <s v="GNR_RES_WTR_NOPMP_MC-03"/>
    <x v="0"/>
    <x v="22"/>
    <n v="156.94999999999999"/>
    <n v="57286.75"/>
    <n v="206232.3"/>
  </r>
  <r>
    <x v="0"/>
    <x v="0"/>
    <x v="0"/>
    <x v="2"/>
    <x v="3"/>
    <s v="FinA"/>
    <x v="6"/>
    <x v="7"/>
    <s v="GNR_RES_WTR_NOPMP_MC-03"/>
    <x v="0"/>
    <x v="23"/>
    <n v="156.94999999999999"/>
    <n v="57286.75"/>
    <n v="206232.3"/>
  </r>
  <r>
    <x v="0"/>
    <x v="0"/>
    <x v="0"/>
    <x v="2"/>
    <x v="3"/>
    <s v="FinA"/>
    <x v="6"/>
    <x v="7"/>
    <s v="GNR_RES_WTR_NOPMP_MC-04"/>
    <x v="0"/>
    <x v="0"/>
    <n v="156.94999999999999"/>
    <n v="57286.75"/>
    <n v="206232.3"/>
  </r>
  <r>
    <x v="0"/>
    <x v="0"/>
    <x v="0"/>
    <x v="2"/>
    <x v="3"/>
    <s v="FinA"/>
    <x v="6"/>
    <x v="7"/>
    <s v="GNR_RES_WTR_NOPMP_MC-04"/>
    <x v="0"/>
    <x v="1"/>
    <n v="37.554924990187097"/>
    <n v="13707.5476214183"/>
    <n v="49347.171437105797"/>
  </r>
  <r>
    <x v="0"/>
    <x v="0"/>
    <x v="0"/>
    <x v="2"/>
    <x v="3"/>
    <s v="FinA"/>
    <x v="6"/>
    <x v="7"/>
    <s v="GNR_RES_WTR_NOPMP_MC-04"/>
    <x v="0"/>
    <x v="18"/>
    <n v="104.50754396728"/>
    <n v="38145.253548057102"/>
    <n v="137322.91277300499"/>
  </r>
  <r>
    <x v="0"/>
    <x v="0"/>
    <x v="0"/>
    <x v="2"/>
    <x v="3"/>
    <s v="FinA"/>
    <x v="6"/>
    <x v="7"/>
    <s v="GNR_RES_WTR_NOPMP_MC-04"/>
    <x v="0"/>
    <x v="2"/>
    <n v="156.94999999999999"/>
    <n v="57286.75"/>
    <n v="206232.3"/>
  </r>
  <r>
    <x v="0"/>
    <x v="0"/>
    <x v="0"/>
    <x v="2"/>
    <x v="3"/>
    <s v="FinA"/>
    <x v="6"/>
    <x v="7"/>
    <s v="GNR_RES_WTR_NOPMP_MC-04"/>
    <x v="0"/>
    <x v="3"/>
    <n v="156.94999999999999"/>
    <n v="57286.75"/>
    <n v="206232.3"/>
  </r>
  <r>
    <x v="0"/>
    <x v="0"/>
    <x v="0"/>
    <x v="2"/>
    <x v="3"/>
    <s v="FinA"/>
    <x v="6"/>
    <x v="7"/>
    <s v="GNR_RES_WTR_NOPMP_MC-04"/>
    <x v="0"/>
    <x v="4"/>
    <n v="156.94999999999999"/>
    <n v="57286.75"/>
    <n v="206232.3"/>
  </r>
  <r>
    <x v="0"/>
    <x v="0"/>
    <x v="0"/>
    <x v="2"/>
    <x v="3"/>
    <s v="FinA"/>
    <x v="6"/>
    <x v="7"/>
    <s v="GNR_RES_WTR_NOPMP_MC-04"/>
    <x v="0"/>
    <x v="5"/>
    <n v="156.94999999999999"/>
    <n v="57286.75"/>
    <n v="206232.3"/>
  </r>
  <r>
    <x v="0"/>
    <x v="0"/>
    <x v="0"/>
    <x v="2"/>
    <x v="3"/>
    <s v="FinA"/>
    <x v="6"/>
    <x v="7"/>
    <s v="GNR_RES_WTR_NOPMP_MC-04"/>
    <x v="0"/>
    <x v="6"/>
    <n v="156.94999999999999"/>
    <n v="57286.75"/>
    <n v="206232.3"/>
  </r>
  <r>
    <x v="0"/>
    <x v="0"/>
    <x v="0"/>
    <x v="2"/>
    <x v="3"/>
    <s v="FinA"/>
    <x v="6"/>
    <x v="7"/>
    <s v="GNR_RES_WTR_NOPMP_MC-04"/>
    <x v="0"/>
    <x v="7"/>
    <n v="156.94999999999999"/>
    <n v="57286.75"/>
    <n v="206232.3"/>
  </r>
  <r>
    <x v="0"/>
    <x v="0"/>
    <x v="0"/>
    <x v="2"/>
    <x v="3"/>
    <s v="FinA"/>
    <x v="6"/>
    <x v="7"/>
    <s v="GNR_RES_WTR_NOPMP_MC-04"/>
    <x v="0"/>
    <x v="8"/>
    <n v="156.94999999999999"/>
    <n v="57286.75"/>
    <n v="206232.3"/>
  </r>
  <r>
    <x v="0"/>
    <x v="0"/>
    <x v="0"/>
    <x v="2"/>
    <x v="3"/>
    <s v="FinA"/>
    <x v="6"/>
    <x v="7"/>
    <s v="GNR_RES_WTR_NOPMP_MC-04"/>
    <x v="0"/>
    <x v="9"/>
    <n v="156.94999999999999"/>
    <n v="57286.75"/>
    <n v="206232.3"/>
  </r>
  <r>
    <x v="0"/>
    <x v="0"/>
    <x v="0"/>
    <x v="2"/>
    <x v="3"/>
    <s v="FinA"/>
    <x v="6"/>
    <x v="7"/>
    <s v="GNR_RES_WTR_NOPMP_MC-04"/>
    <x v="0"/>
    <x v="10"/>
    <n v="156.94999999999999"/>
    <n v="57286.75"/>
    <n v="206232.3"/>
  </r>
  <r>
    <x v="0"/>
    <x v="0"/>
    <x v="0"/>
    <x v="2"/>
    <x v="3"/>
    <s v="FinA"/>
    <x v="6"/>
    <x v="7"/>
    <s v="GNR_RES_WTR_NOPMP_MC-04"/>
    <x v="0"/>
    <x v="11"/>
    <n v="156.94999999999999"/>
    <n v="57286.75"/>
    <n v="206232.3"/>
  </r>
  <r>
    <x v="0"/>
    <x v="0"/>
    <x v="0"/>
    <x v="2"/>
    <x v="3"/>
    <s v="FinA"/>
    <x v="6"/>
    <x v="7"/>
    <s v="GNR_RES_WTR_NOPMP_MC-04"/>
    <x v="0"/>
    <x v="12"/>
    <n v="156.94999999999999"/>
    <n v="57286.75"/>
    <n v="206232.3"/>
  </r>
  <r>
    <x v="0"/>
    <x v="0"/>
    <x v="0"/>
    <x v="2"/>
    <x v="3"/>
    <s v="FinA"/>
    <x v="6"/>
    <x v="7"/>
    <s v="GNR_RES_WTR_NOPMP_MC-04"/>
    <x v="0"/>
    <x v="13"/>
    <n v="156.94999999999999"/>
    <n v="57286.75"/>
    <n v="206232.3"/>
  </r>
  <r>
    <x v="0"/>
    <x v="0"/>
    <x v="0"/>
    <x v="2"/>
    <x v="3"/>
    <s v="FinA"/>
    <x v="6"/>
    <x v="7"/>
    <s v="GNR_RES_WTR_NOPMP_MC-04"/>
    <x v="0"/>
    <x v="14"/>
    <n v="156.94999999999999"/>
    <n v="57286.75"/>
    <n v="206232.3"/>
  </r>
  <r>
    <x v="0"/>
    <x v="0"/>
    <x v="0"/>
    <x v="2"/>
    <x v="3"/>
    <s v="FinA"/>
    <x v="6"/>
    <x v="7"/>
    <s v="GNR_RES_WTR_NOPMP_MC-04"/>
    <x v="0"/>
    <x v="15"/>
    <n v="156.94999999999999"/>
    <n v="57286.75"/>
    <n v="206232.3"/>
  </r>
  <r>
    <x v="0"/>
    <x v="0"/>
    <x v="0"/>
    <x v="2"/>
    <x v="3"/>
    <s v="FinA"/>
    <x v="6"/>
    <x v="7"/>
    <s v="GNR_RES_WTR_NOPMP_MC-04"/>
    <x v="0"/>
    <x v="16"/>
    <n v="156.94999999999999"/>
    <n v="57286.75"/>
    <n v="206232.3"/>
  </r>
  <r>
    <x v="0"/>
    <x v="0"/>
    <x v="0"/>
    <x v="2"/>
    <x v="3"/>
    <s v="FinA"/>
    <x v="6"/>
    <x v="7"/>
    <s v="GNR_RES_WTR_NOPMP_MC-04"/>
    <x v="0"/>
    <x v="17"/>
    <n v="156.94999999999999"/>
    <n v="57286.75"/>
    <n v="206232.3"/>
  </r>
  <r>
    <x v="0"/>
    <x v="0"/>
    <x v="0"/>
    <x v="2"/>
    <x v="3"/>
    <s v="FinA"/>
    <x v="6"/>
    <x v="7"/>
    <s v="GNR_RES_WTR_NOPMP_MC-04"/>
    <x v="0"/>
    <x v="19"/>
    <n v="156.94999999999999"/>
    <n v="57286.75"/>
    <n v="206232.3"/>
  </r>
  <r>
    <x v="0"/>
    <x v="0"/>
    <x v="0"/>
    <x v="2"/>
    <x v="3"/>
    <s v="FinA"/>
    <x v="6"/>
    <x v="7"/>
    <s v="GNR_RES_WTR_NOPMP_MC-04"/>
    <x v="0"/>
    <x v="20"/>
    <n v="156.94999999999999"/>
    <n v="57286.75"/>
    <n v="206232.3"/>
  </r>
  <r>
    <x v="0"/>
    <x v="0"/>
    <x v="0"/>
    <x v="2"/>
    <x v="3"/>
    <s v="FinA"/>
    <x v="6"/>
    <x v="7"/>
    <s v="GNR_RES_WTR_NOPMP_MC-04"/>
    <x v="0"/>
    <x v="21"/>
    <n v="156.94999999999999"/>
    <n v="57286.75"/>
    <n v="206232.3"/>
  </r>
  <r>
    <x v="0"/>
    <x v="0"/>
    <x v="0"/>
    <x v="2"/>
    <x v="3"/>
    <s v="FinA"/>
    <x v="6"/>
    <x v="7"/>
    <s v="GNR_RES_WTR_NOPMP_MC-04"/>
    <x v="0"/>
    <x v="22"/>
    <n v="156.94999999999999"/>
    <n v="57286.75"/>
    <n v="206232.3"/>
  </r>
  <r>
    <x v="0"/>
    <x v="0"/>
    <x v="0"/>
    <x v="2"/>
    <x v="3"/>
    <s v="FinA"/>
    <x v="6"/>
    <x v="7"/>
    <s v="GNR_RES_WTR_NOPMP_MC-04"/>
    <x v="0"/>
    <x v="23"/>
    <n v="156.94999999999999"/>
    <n v="57286.75"/>
    <n v="206232.3"/>
  </r>
  <r>
    <x v="0"/>
    <x v="0"/>
    <x v="0"/>
    <x v="2"/>
    <x v="3"/>
    <s v="FinA"/>
    <x v="6"/>
    <x v="7"/>
    <s v="GNR_RES_WTR_NOPMP_MC-05"/>
    <x v="0"/>
    <x v="3"/>
    <n v="156.94999999999999"/>
    <n v="57286.75"/>
    <n v="206232.3"/>
  </r>
  <r>
    <x v="0"/>
    <x v="0"/>
    <x v="0"/>
    <x v="2"/>
    <x v="3"/>
    <s v="FinA"/>
    <x v="6"/>
    <x v="7"/>
    <s v="GNR_RES_WTR_NOPMP_MC-05"/>
    <x v="0"/>
    <x v="4"/>
    <n v="156.94999999999999"/>
    <n v="57286.75"/>
    <n v="206232.3"/>
  </r>
  <r>
    <x v="0"/>
    <x v="0"/>
    <x v="0"/>
    <x v="2"/>
    <x v="3"/>
    <s v="FinA"/>
    <x v="6"/>
    <x v="7"/>
    <s v="GNR_RES_WTR_NOPMP_MC-05"/>
    <x v="0"/>
    <x v="5"/>
    <n v="156.94999999999999"/>
    <n v="57286.75"/>
    <n v="206232.3"/>
  </r>
  <r>
    <x v="0"/>
    <x v="0"/>
    <x v="0"/>
    <x v="2"/>
    <x v="3"/>
    <s v="FinA"/>
    <x v="6"/>
    <x v="7"/>
    <s v="GNR_RES_WTR_NOPMP_MC-05"/>
    <x v="0"/>
    <x v="6"/>
    <n v="156.94999999999999"/>
    <n v="57286.75"/>
    <n v="206232.3"/>
  </r>
  <r>
    <x v="0"/>
    <x v="0"/>
    <x v="0"/>
    <x v="2"/>
    <x v="3"/>
    <s v="FinA"/>
    <x v="6"/>
    <x v="7"/>
    <s v="GNR_RES_WTR_NOPMP_MC-05"/>
    <x v="0"/>
    <x v="7"/>
    <n v="156.94999999999999"/>
    <n v="57286.75"/>
    <n v="206232.3"/>
  </r>
  <r>
    <x v="0"/>
    <x v="0"/>
    <x v="0"/>
    <x v="2"/>
    <x v="3"/>
    <s v="FinA"/>
    <x v="6"/>
    <x v="7"/>
    <s v="GNR_RES_WTR_NOPMP_MC-05"/>
    <x v="0"/>
    <x v="8"/>
    <n v="156.94999999999999"/>
    <n v="57286.75"/>
    <n v="206232.3"/>
  </r>
  <r>
    <x v="0"/>
    <x v="0"/>
    <x v="0"/>
    <x v="2"/>
    <x v="3"/>
    <s v="FinA"/>
    <x v="6"/>
    <x v="7"/>
    <s v="GNR_RES_WTR_NOPMP_MC-05"/>
    <x v="0"/>
    <x v="9"/>
    <n v="156.94999999999999"/>
    <n v="57286.75"/>
    <n v="206232.3"/>
  </r>
  <r>
    <x v="0"/>
    <x v="0"/>
    <x v="0"/>
    <x v="2"/>
    <x v="3"/>
    <s v="FinA"/>
    <x v="6"/>
    <x v="7"/>
    <s v="GNR_RES_WTR_NOPMP_MC-05"/>
    <x v="0"/>
    <x v="10"/>
    <n v="156.94999999999999"/>
    <n v="57286.75"/>
    <n v="206232.3"/>
  </r>
  <r>
    <x v="0"/>
    <x v="0"/>
    <x v="0"/>
    <x v="2"/>
    <x v="3"/>
    <s v="FinA"/>
    <x v="6"/>
    <x v="7"/>
    <s v="GNR_RES_WTR_NOPMP_MC-05"/>
    <x v="0"/>
    <x v="11"/>
    <n v="156.94999999999999"/>
    <n v="57286.75"/>
    <n v="206232.3"/>
  </r>
  <r>
    <x v="0"/>
    <x v="0"/>
    <x v="0"/>
    <x v="2"/>
    <x v="3"/>
    <s v="FinA"/>
    <x v="6"/>
    <x v="7"/>
    <s v="GNR_RES_WTR_NOPMP_MC-05"/>
    <x v="0"/>
    <x v="12"/>
    <n v="156.94999999999999"/>
    <n v="57286.75"/>
    <n v="206232.3"/>
  </r>
  <r>
    <x v="0"/>
    <x v="0"/>
    <x v="0"/>
    <x v="2"/>
    <x v="3"/>
    <s v="FinA"/>
    <x v="6"/>
    <x v="7"/>
    <s v="GNR_RES_WTR_NOPMP_MC-05"/>
    <x v="0"/>
    <x v="13"/>
    <n v="156.94999999999999"/>
    <n v="57286.75"/>
    <n v="206232.3"/>
  </r>
  <r>
    <x v="0"/>
    <x v="0"/>
    <x v="0"/>
    <x v="2"/>
    <x v="3"/>
    <s v="FinA"/>
    <x v="6"/>
    <x v="7"/>
    <s v="GNR_RES_WTR_NOPMP_MC-05"/>
    <x v="0"/>
    <x v="14"/>
    <n v="156.94999999999999"/>
    <n v="57286.75"/>
    <n v="206232.3"/>
  </r>
  <r>
    <x v="0"/>
    <x v="0"/>
    <x v="0"/>
    <x v="2"/>
    <x v="3"/>
    <s v="FinA"/>
    <x v="6"/>
    <x v="7"/>
    <s v="GNR_RES_WTR_NOPMP_MC-05"/>
    <x v="0"/>
    <x v="15"/>
    <n v="156.94999999999999"/>
    <n v="57286.75"/>
    <n v="206232.3"/>
  </r>
  <r>
    <x v="0"/>
    <x v="0"/>
    <x v="0"/>
    <x v="2"/>
    <x v="3"/>
    <s v="FinA"/>
    <x v="6"/>
    <x v="7"/>
    <s v="GNR_RES_WTR_NOPMP_MC-05"/>
    <x v="0"/>
    <x v="16"/>
    <n v="156.94999999999999"/>
    <n v="57286.75"/>
    <n v="206232.3"/>
  </r>
  <r>
    <x v="0"/>
    <x v="0"/>
    <x v="0"/>
    <x v="2"/>
    <x v="3"/>
    <s v="FinA"/>
    <x v="6"/>
    <x v="7"/>
    <s v="GNR_RES_WTR_NOPMP_MC-05"/>
    <x v="0"/>
    <x v="17"/>
    <n v="156.94999999999999"/>
    <n v="57286.75"/>
    <n v="206232.3"/>
  </r>
  <r>
    <x v="0"/>
    <x v="0"/>
    <x v="0"/>
    <x v="2"/>
    <x v="3"/>
    <s v="FinA"/>
    <x v="6"/>
    <x v="7"/>
    <s v="GNR_RES_WTR_NOPMP_MC-05"/>
    <x v="0"/>
    <x v="19"/>
    <n v="156.94999999999999"/>
    <n v="57286.75"/>
    <n v="206232.3"/>
  </r>
  <r>
    <x v="0"/>
    <x v="0"/>
    <x v="0"/>
    <x v="2"/>
    <x v="3"/>
    <s v="FinA"/>
    <x v="6"/>
    <x v="7"/>
    <s v="GNR_RES_WTR_NOPMP_MC-05"/>
    <x v="0"/>
    <x v="20"/>
    <n v="156.94999999999999"/>
    <n v="57286.75"/>
    <n v="206232.3"/>
  </r>
  <r>
    <x v="0"/>
    <x v="0"/>
    <x v="0"/>
    <x v="2"/>
    <x v="3"/>
    <s v="FinA"/>
    <x v="6"/>
    <x v="7"/>
    <s v="GNR_RES_WTR_NOPMP_MC-05"/>
    <x v="0"/>
    <x v="21"/>
    <n v="156.94999999999999"/>
    <n v="57286.75"/>
    <n v="206232.3"/>
  </r>
  <r>
    <x v="0"/>
    <x v="0"/>
    <x v="0"/>
    <x v="2"/>
    <x v="3"/>
    <s v="FinA"/>
    <x v="6"/>
    <x v="7"/>
    <s v="GNR_RES_WTR_NOPMP_MC-05"/>
    <x v="0"/>
    <x v="22"/>
    <n v="156.94999999999999"/>
    <n v="57286.75"/>
    <n v="206232.3"/>
  </r>
  <r>
    <x v="0"/>
    <x v="0"/>
    <x v="0"/>
    <x v="2"/>
    <x v="3"/>
    <s v="FinA"/>
    <x v="6"/>
    <x v="7"/>
    <s v="GNR_RES_WTR_NOPMP_MC-05"/>
    <x v="0"/>
    <x v="23"/>
    <n v="44.150420685412001"/>
    <n v="16114.903550175401"/>
    <n v="58013.652780631302"/>
  </r>
  <r>
    <x v="0"/>
    <x v="0"/>
    <x v="0"/>
    <x v="2"/>
    <x v="3"/>
    <s v="FinA"/>
    <x v="6"/>
    <x v="7"/>
    <s v="GNR_RES_WTR_NOPMP_MC-06"/>
    <x v="0"/>
    <x v="4"/>
    <n v="156.94999999999999"/>
    <n v="57286.75"/>
    <n v="206232.3"/>
  </r>
  <r>
    <x v="0"/>
    <x v="0"/>
    <x v="0"/>
    <x v="2"/>
    <x v="3"/>
    <s v="FinA"/>
    <x v="6"/>
    <x v="7"/>
    <s v="GNR_RES_WTR_NOPMP_MC-06"/>
    <x v="0"/>
    <x v="5"/>
    <n v="156.94999999999999"/>
    <n v="57286.75"/>
    <n v="206232.3"/>
  </r>
  <r>
    <x v="0"/>
    <x v="0"/>
    <x v="0"/>
    <x v="2"/>
    <x v="3"/>
    <s v="FinA"/>
    <x v="6"/>
    <x v="7"/>
    <s v="GNR_RES_WTR_NOPMP_MC-06"/>
    <x v="0"/>
    <x v="6"/>
    <n v="156.94999999999999"/>
    <n v="57286.75"/>
    <n v="206232.3"/>
  </r>
  <r>
    <x v="0"/>
    <x v="0"/>
    <x v="0"/>
    <x v="2"/>
    <x v="3"/>
    <s v="FinA"/>
    <x v="6"/>
    <x v="7"/>
    <s v="GNR_RES_WTR_NOPMP_MC-06"/>
    <x v="0"/>
    <x v="7"/>
    <n v="156.94999999999999"/>
    <n v="57286.75"/>
    <n v="206232.3"/>
  </r>
  <r>
    <x v="0"/>
    <x v="0"/>
    <x v="0"/>
    <x v="2"/>
    <x v="3"/>
    <s v="FinA"/>
    <x v="6"/>
    <x v="7"/>
    <s v="GNR_RES_WTR_NOPMP_MC-06"/>
    <x v="0"/>
    <x v="8"/>
    <n v="156.94999999999999"/>
    <n v="57286.75"/>
    <n v="206232.3"/>
  </r>
  <r>
    <x v="0"/>
    <x v="0"/>
    <x v="0"/>
    <x v="2"/>
    <x v="3"/>
    <s v="FinA"/>
    <x v="6"/>
    <x v="7"/>
    <s v="GNR_RES_WTR_NOPMP_MC-06"/>
    <x v="0"/>
    <x v="9"/>
    <n v="156.94999999999999"/>
    <n v="57286.75"/>
    <n v="206232.3"/>
  </r>
  <r>
    <x v="0"/>
    <x v="0"/>
    <x v="0"/>
    <x v="2"/>
    <x v="3"/>
    <s v="FinA"/>
    <x v="6"/>
    <x v="7"/>
    <s v="GNR_RES_WTR_NOPMP_MC-06"/>
    <x v="0"/>
    <x v="10"/>
    <n v="156.94999999999999"/>
    <n v="57286.75"/>
    <n v="206232.3"/>
  </r>
  <r>
    <x v="0"/>
    <x v="0"/>
    <x v="0"/>
    <x v="2"/>
    <x v="3"/>
    <s v="FinA"/>
    <x v="6"/>
    <x v="7"/>
    <s v="GNR_RES_WTR_NOPMP_MC-06"/>
    <x v="0"/>
    <x v="11"/>
    <n v="156.94999999999999"/>
    <n v="57286.75"/>
    <n v="206232.3"/>
  </r>
  <r>
    <x v="0"/>
    <x v="0"/>
    <x v="0"/>
    <x v="2"/>
    <x v="3"/>
    <s v="FinA"/>
    <x v="6"/>
    <x v="7"/>
    <s v="GNR_RES_WTR_NOPMP_MC-06"/>
    <x v="0"/>
    <x v="12"/>
    <n v="156.94999999999999"/>
    <n v="57286.75"/>
    <n v="206232.3"/>
  </r>
  <r>
    <x v="0"/>
    <x v="0"/>
    <x v="0"/>
    <x v="2"/>
    <x v="3"/>
    <s v="FinA"/>
    <x v="6"/>
    <x v="7"/>
    <s v="GNR_RES_WTR_NOPMP_MC-06"/>
    <x v="0"/>
    <x v="13"/>
    <n v="156.94999999999999"/>
    <n v="57286.75"/>
    <n v="206232.3"/>
  </r>
  <r>
    <x v="0"/>
    <x v="0"/>
    <x v="0"/>
    <x v="2"/>
    <x v="3"/>
    <s v="FinA"/>
    <x v="6"/>
    <x v="7"/>
    <s v="GNR_RES_WTR_NOPMP_MC-06"/>
    <x v="0"/>
    <x v="14"/>
    <n v="156.94999999999999"/>
    <n v="57286.75"/>
    <n v="206232.3"/>
  </r>
  <r>
    <x v="0"/>
    <x v="0"/>
    <x v="0"/>
    <x v="2"/>
    <x v="3"/>
    <s v="FinA"/>
    <x v="6"/>
    <x v="7"/>
    <s v="GNR_RES_WTR_NOPMP_MC-06"/>
    <x v="0"/>
    <x v="15"/>
    <n v="156.94999999999999"/>
    <n v="57286.75"/>
    <n v="206232.3"/>
  </r>
  <r>
    <x v="0"/>
    <x v="0"/>
    <x v="0"/>
    <x v="2"/>
    <x v="3"/>
    <s v="FinA"/>
    <x v="6"/>
    <x v="7"/>
    <s v="GNR_RES_WTR_NOPMP_MC-06"/>
    <x v="0"/>
    <x v="16"/>
    <n v="156.94999999999999"/>
    <n v="57286.75"/>
    <n v="206232.3"/>
  </r>
  <r>
    <x v="0"/>
    <x v="0"/>
    <x v="0"/>
    <x v="2"/>
    <x v="3"/>
    <s v="FinA"/>
    <x v="6"/>
    <x v="7"/>
    <s v="GNR_RES_WTR_NOPMP_MC-06"/>
    <x v="0"/>
    <x v="17"/>
    <n v="156.94999999999999"/>
    <n v="57286.75"/>
    <n v="206232.3"/>
  </r>
  <r>
    <x v="0"/>
    <x v="0"/>
    <x v="0"/>
    <x v="2"/>
    <x v="3"/>
    <s v="FinA"/>
    <x v="6"/>
    <x v="7"/>
    <s v="GNR_RES_WTR_NOPMP_MC-06"/>
    <x v="0"/>
    <x v="19"/>
    <n v="156.94999999999999"/>
    <n v="57286.75"/>
    <n v="206232.3"/>
  </r>
  <r>
    <x v="0"/>
    <x v="0"/>
    <x v="0"/>
    <x v="2"/>
    <x v="3"/>
    <s v="FinA"/>
    <x v="6"/>
    <x v="7"/>
    <s v="GNR_RES_WTR_NOPMP_MC-06"/>
    <x v="0"/>
    <x v="20"/>
    <n v="156.94999999999999"/>
    <n v="57286.75"/>
    <n v="206232.3"/>
  </r>
  <r>
    <x v="0"/>
    <x v="0"/>
    <x v="0"/>
    <x v="2"/>
    <x v="3"/>
    <s v="FinA"/>
    <x v="6"/>
    <x v="7"/>
    <s v="GNR_RES_WTR_NOPMP_MC-06"/>
    <x v="0"/>
    <x v="21"/>
    <n v="156.94999999999999"/>
    <n v="57286.75"/>
    <n v="206232.3"/>
  </r>
  <r>
    <x v="0"/>
    <x v="0"/>
    <x v="0"/>
    <x v="2"/>
    <x v="3"/>
    <s v="FinA"/>
    <x v="6"/>
    <x v="7"/>
    <s v="GNR_RES_WTR_NOPMP_MC-06"/>
    <x v="0"/>
    <x v="22"/>
    <n v="156.94999999999999"/>
    <n v="57286.75"/>
    <n v="206232.3"/>
  </r>
  <r>
    <x v="0"/>
    <x v="0"/>
    <x v="0"/>
    <x v="2"/>
    <x v="3"/>
    <s v="FinA"/>
    <x v="6"/>
    <x v="7"/>
    <s v="GNR_RES_WTR_NOPMP_MC-07"/>
    <x v="0"/>
    <x v="5"/>
    <n v="156.94999999999999"/>
    <n v="57286.75"/>
    <n v="206232.3"/>
  </r>
  <r>
    <x v="0"/>
    <x v="0"/>
    <x v="0"/>
    <x v="2"/>
    <x v="3"/>
    <s v="FinA"/>
    <x v="6"/>
    <x v="7"/>
    <s v="GNR_RES_WTR_NOPMP_MC-07"/>
    <x v="0"/>
    <x v="6"/>
    <n v="156.94999999999999"/>
    <n v="57286.75"/>
    <n v="206232.3"/>
  </r>
  <r>
    <x v="0"/>
    <x v="0"/>
    <x v="0"/>
    <x v="2"/>
    <x v="3"/>
    <s v="FinA"/>
    <x v="6"/>
    <x v="7"/>
    <s v="GNR_RES_WTR_NOPMP_MC-07"/>
    <x v="0"/>
    <x v="7"/>
    <n v="156.94999999999999"/>
    <n v="57286.75"/>
    <n v="206232.3"/>
  </r>
  <r>
    <x v="0"/>
    <x v="0"/>
    <x v="0"/>
    <x v="2"/>
    <x v="3"/>
    <s v="FinA"/>
    <x v="6"/>
    <x v="7"/>
    <s v="GNR_RES_WTR_NOPMP_MC-07"/>
    <x v="0"/>
    <x v="8"/>
    <n v="156.94999999999999"/>
    <n v="57286.75"/>
    <n v="206232.3"/>
  </r>
  <r>
    <x v="0"/>
    <x v="0"/>
    <x v="0"/>
    <x v="2"/>
    <x v="3"/>
    <s v="FinA"/>
    <x v="6"/>
    <x v="7"/>
    <s v="GNR_RES_WTR_NOPMP_MC-07"/>
    <x v="0"/>
    <x v="9"/>
    <n v="156.94999999999999"/>
    <n v="57286.75"/>
    <n v="206232.3"/>
  </r>
  <r>
    <x v="0"/>
    <x v="0"/>
    <x v="0"/>
    <x v="2"/>
    <x v="3"/>
    <s v="FinA"/>
    <x v="6"/>
    <x v="7"/>
    <s v="GNR_RES_WTR_NOPMP_MC-07"/>
    <x v="0"/>
    <x v="10"/>
    <n v="156.94999999999999"/>
    <n v="57286.75"/>
    <n v="206232.3"/>
  </r>
  <r>
    <x v="0"/>
    <x v="0"/>
    <x v="0"/>
    <x v="2"/>
    <x v="3"/>
    <s v="FinA"/>
    <x v="6"/>
    <x v="7"/>
    <s v="GNR_RES_WTR_NOPMP_MC-07"/>
    <x v="0"/>
    <x v="11"/>
    <n v="156.94999999999999"/>
    <n v="57286.75"/>
    <n v="206232.3"/>
  </r>
  <r>
    <x v="0"/>
    <x v="0"/>
    <x v="0"/>
    <x v="2"/>
    <x v="3"/>
    <s v="FinA"/>
    <x v="6"/>
    <x v="7"/>
    <s v="GNR_RES_WTR_NOPMP_MC-07"/>
    <x v="0"/>
    <x v="12"/>
    <n v="156.94999999999999"/>
    <n v="57286.75"/>
    <n v="206232.3"/>
  </r>
  <r>
    <x v="0"/>
    <x v="0"/>
    <x v="0"/>
    <x v="2"/>
    <x v="3"/>
    <s v="FinA"/>
    <x v="6"/>
    <x v="7"/>
    <s v="GNR_RES_WTR_NOPMP_MC-07"/>
    <x v="0"/>
    <x v="13"/>
    <n v="156.94999999999999"/>
    <n v="57286.75"/>
    <n v="206232.3"/>
  </r>
  <r>
    <x v="0"/>
    <x v="0"/>
    <x v="0"/>
    <x v="2"/>
    <x v="3"/>
    <s v="FinA"/>
    <x v="6"/>
    <x v="7"/>
    <s v="GNR_RES_WTR_NOPMP_MC-07"/>
    <x v="0"/>
    <x v="14"/>
    <n v="156.94999999999999"/>
    <n v="57286.75"/>
    <n v="206232.3"/>
  </r>
  <r>
    <x v="0"/>
    <x v="0"/>
    <x v="0"/>
    <x v="2"/>
    <x v="3"/>
    <s v="FinA"/>
    <x v="6"/>
    <x v="7"/>
    <s v="GNR_RES_WTR_NOPMP_MC-07"/>
    <x v="0"/>
    <x v="15"/>
    <n v="156.94999999999999"/>
    <n v="57286.75"/>
    <n v="206232.3"/>
  </r>
  <r>
    <x v="0"/>
    <x v="0"/>
    <x v="0"/>
    <x v="2"/>
    <x v="3"/>
    <s v="FinA"/>
    <x v="6"/>
    <x v="7"/>
    <s v="GNR_RES_WTR_NOPMP_MC-07"/>
    <x v="0"/>
    <x v="16"/>
    <n v="156.94999999999999"/>
    <n v="57286.75"/>
    <n v="206232.3"/>
  </r>
  <r>
    <x v="0"/>
    <x v="0"/>
    <x v="0"/>
    <x v="2"/>
    <x v="3"/>
    <s v="FinA"/>
    <x v="6"/>
    <x v="7"/>
    <s v="GNR_RES_WTR_NOPMP_MC-07"/>
    <x v="0"/>
    <x v="17"/>
    <n v="156.94999999999999"/>
    <n v="57286.75"/>
    <n v="206232.3"/>
  </r>
  <r>
    <x v="0"/>
    <x v="0"/>
    <x v="0"/>
    <x v="2"/>
    <x v="3"/>
    <s v="FinA"/>
    <x v="6"/>
    <x v="7"/>
    <s v="GNR_RES_WTR_NOPMP_MC-07"/>
    <x v="0"/>
    <x v="19"/>
    <n v="156.94999999999999"/>
    <n v="57286.75"/>
    <n v="206232.3"/>
  </r>
  <r>
    <x v="0"/>
    <x v="0"/>
    <x v="0"/>
    <x v="2"/>
    <x v="3"/>
    <s v="FinA"/>
    <x v="6"/>
    <x v="7"/>
    <s v="GNR_RES_WTR_NOPMP_MC-07"/>
    <x v="0"/>
    <x v="20"/>
    <n v="5.3590165174214199"/>
    <n v="1956.04102885882"/>
    <n v="7041.7477038917496"/>
  </r>
  <r>
    <x v="0"/>
    <x v="0"/>
    <x v="0"/>
    <x v="2"/>
    <x v="3"/>
    <s v="FinA"/>
    <x v="6"/>
    <x v="7"/>
    <s v="GNR_RES_WTR_NOPMP_MC-07"/>
    <x v="0"/>
    <x v="21"/>
    <n v="156.94999999999999"/>
    <n v="57286.75"/>
    <n v="206232.3"/>
  </r>
  <r>
    <x v="0"/>
    <x v="0"/>
    <x v="0"/>
    <x v="2"/>
    <x v="3"/>
    <s v="FinA"/>
    <x v="6"/>
    <x v="7"/>
    <s v="GNR_RES_WTR_NOPMP_MC-08"/>
    <x v="0"/>
    <x v="6"/>
    <n v="156.94999999999999"/>
    <n v="57286.75"/>
    <n v="206232.3"/>
  </r>
  <r>
    <x v="0"/>
    <x v="0"/>
    <x v="0"/>
    <x v="2"/>
    <x v="3"/>
    <s v="FinA"/>
    <x v="6"/>
    <x v="7"/>
    <s v="GNR_RES_WTR_NOPMP_MC-08"/>
    <x v="0"/>
    <x v="7"/>
    <n v="156.94999999999999"/>
    <n v="57286.75"/>
    <n v="206232.3"/>
  </r>
  <r>
    <x v="0"/>
    <x v="0"/>
    <x v="0"/>
    <x v="2"/>
    <x v="3"/>
    <s v="FinA"/>
    <x v="6"/>
    <x v="7"/>
    <s v="GNR_RES_WTR_NOPMP_MC-08"/>
    <x v="0"/>
    <x v="8"/>
    <n v="156.94999999999999"/>
    <n v="57286.75"/>
    <n v="206232.3"/>
  </r>
  <r>
    <x v="0"/>
    <x v="0"/>
    <x v="0"/>
    <x v="2"/>
    <x v="3"/>
    <s v="FinA"/>
    <x v="6"/>
    <x v="7"/>
    <s v="GNR_RES_WTR_NOPMP_MC-08"/>
    <x v="0"/>
    <x v="9"/>
    <n v="156.94999999999999"/>
    <n v="57286.75"/>
    <n v="206232.3"/>
  </r>
  <r>
    <x v="0"/>
    <x v="0"/>
    <x v="0"/>
    <x v="2"/>
    <x v="3"/>
    <s v="FinA"/>
    <x v="6"/>
    <x v="7"/>
    <s v="GNR_RES_WTR_NOPMP_MC-08"/>
    <x v="0"/>
    <x v="10"/>
    <n v="156.94999999999999"/>
    <n v="57286.75"/>
    <n v="206232.3"/>
  </r>
  <r>
    <x v="0"/>
    <x v="0"/>
    <x v="0"/>
    <x v="2"/>
    <x v="3"/>
    <s v="FinA"/>
    <x v="6"/>
    <x v="7"/>
    <s v="GNR_RES_WTR_NOPMP_MC-08"/>
    <x v="0"/>
    <x v="14"/>
    <n v="72.174875139626295"/>
    <n v="26343.829425963599"/>
    <n v="94837.785933469"/>
  </r>
  <r>
    <x v="0"/>
    <x v="0"/>
    <x v="0"/>
    <x v="2"/>
    <x v="3"/>
    <s v="FinA"/>
    <x v="6"/>
    <x v="7"/>
    <s v="GNR_RES_WTR_NOPMP_MC-08"/>
    <x v="0"/>
    <x v="15"/>
    <n v="142.25733470138701"/>
    <n v="51923.927166006397"/>
    <n v="186926.137797623"/>
  </r>
  <r>
    <x v="0"/>
    <x v="0"/>
    <x v="0"/>
    <x v="2"/>
    <x v="3"/>
    <s v="FinA"/>
    <x v="6"/>
    <x v="7"/>
    <s v="GNR_RES_WTR_NOPMP_MC-08"/>
    <x v="0"/>
    <x v="16"/>
    <n v="106.19779997809501"/>
    <n v="38762.196992004501"/>
    <n v="139543.90917121599"/>
  </r>
  <r>
    <x v="0"/>
    <x v="0"/>
    <x v="0"/>
    <x v="2"/>
    <x v="3"/>
    <s v="FinA"/>
    <x v="6"/>
    <x v="7"/>
    <s v="GNR_RES_WTR_NOPMP_MC-08"/>
    <x v="0"/>
    <x v="17"/>
    <n v="156.94999999999999"/>
    <n v="57286.75"/>
    <n v="206232.3"/>
  </r>
  <r>
    <x v="0"/>
    <x v="0"/>
    <x v="0"/>
    <x v="2"/>
    <x v="3"/>
    <s v="FinA"/>
    <x v="6"/>
    <x v="7"/>
    <s v="GNR_RES_WTR_NOPMP_MC-08"/>
    <x v="0"/>
    <x v="19"/>
    <n v="100.548084020597"/>
    <n v="36700.050667517797"/>
    <n v="132120.18240306401"/>
  </r>
  <r>
    <x v="0"/>
    <x v="0"/>
    <x v="0"/>
    <x v="2"/>
    <x v="3"/>
    <s v="FinA"/>
    <x v="6"/>
    <x v="7"/>
    <s v="GNR_RES_WTR_NOPMP_MC-09"/>
    <x v="0"/>
    <x v="6"/>
    <n v="156.94999999999999"/>
    <n v="57286.75"/>
    <n v="206232.3"/>
  </r>
  <r>
    <x v="0"/>
    <x v="0"/>
    <x v="0"/>
    <x v="2"/>
    <x v="3"/>
    <s v="FinA"/>
    <x v="6"/>
    <x v="7"/>
    <s v="GNR_RES_WTR_NOPMP_MC-09"/>
    <x v="0"/>
    <x v="7"/>
    <n v="156.94999999999999"/>
    <n v="57286.75"/>
    <n v="206232.3"/>
  </r>
  <r>
    <x v="0"/>
    <x v="0"/>
    <x v="0"/>
    <x v="2"/>
    <x v="3"/>
    <s v="FinA"/>
    <x v="6"/>
    <x v="7"/>
    <s v="GNR_RES_WTR_NOPMP_MC-09"/>
    <x v="0"/>
    <x v="8"/>
    <n v="156.94999999999999"/>
    <n v="57286.75"/>
    <n v="206232.3"/>
  </r>
  <r>
    <x v="0"/>
    <x v="0"/>
    <x v="0"/>
    <x v="2"/>
    <x v="3"/>
    <s v="FinA"/>
    <x v="6"/>
    <x v="4"/>
    <s v="GNR_ROR_WTR"/>
    <x v="0"/>
    <x v="0"/>
    <n v="920.44758476060997"/>
    <n v="335963.36843762302"/>
    <n v="1209468.12637544"/>
  </r>
  <r>
    <x v="0"/>
    <x v="0"/>
    <x v="0"/>
    <x v="2"/>
    <x v="3"/>
    <s v="FinA"/>
    <x v="6"/>
    <x v="4"/>
    <s v="GNR_ROR_WTR"/>
    <x v="0"/>
    <x v="1"/>
    <n v="920.44758476060997"/>
    <n v="335963.36843762302"/>
    <n v="1209468.12637544"/>
  </r>
  <r>
    <x v="0"/>
    <x v="0"/>
    <x v="0"/>
    <x v="2"/>
    <x v="3"/>
    <s v="FinA"/>
    <x v="6"/>
    <x v="4"/>
    <s v="GNR_ROR_WTR"/>
    <x v="0"/>
    <x v="18"/>
    <n v="920.44758476060997"/>
    <n v="335963.36843762302"/>
    <n v="1209468.12637544"/>
  </r>
  <r>
    <x v="0"/>
    <x v="0"/>
    <x v="0"/>
    <x v="2"/>
    <x v="3"/>
    <s v="FinA"/>
    <x v="6"/>
    <x v="4"/>
    <s v="GNR_ROR_WTR"/>
    <x v="0"/>
    <x v="2"/>
    <n v="920.44758476060997"/>
    <n v="335963.36843762302"/>
    <n v="1209468.12637544"/>
  </r>
  <r>
    <x v="0"/>
    <x v="0"/>
    <x v="0"/>
    <x v="2"/>
    <x v="3"/>
    <s v="FinA"/>
    <x v="6"/>
    <x v="4"/>
    <s v="GNR_ROR_WTR"/>
    <x v="0"/>
    <x v="3"/>
    <n v="920.44758476060997"/>
    <n v="335963.36843762302"/>
    <n v="1209468.12637544"/>
  </r>
  <r>
    <x v="0"/>
    <x v="0"/>
    <x v="0"/>
    <x v="2"/>
    <x v="3"/>
    <s v="FinA"/>
    <x v="6"/>
    <x v="4"/>
    <s v="GNR_ROR_WTR"/>
    <x v="0"/>
    <x v="4"/>
    <n v="920.44758476060997"/>
    <n v="335963.36843762302"/>
    <n v="1209468.12637544"/>
  </r>
  <r>
    <x v="0"/>
    <x v="0"/>
    <x v="0"/>
    <x v="2"/>
    <x v="3"/>
    <s v="FinA"/>
    <x v="6"/>
    <x v="4"/>
    <s v="GNR_ROR_WTR"/>
    <x v="0"/>
    <x v="5"/>
    <n v="920.44758476060997"/>
    <n v="335963.36843762302"/>
    <n v="1209468.12637544"/>
  </r>
  <r>
    <x v="0"/>
    <x v="0"/>
    <x v="0"/>
    <x v="2"/>
    <x v="3"/>
    <s v="FinA"/>
    <x v="6"/>
    <x v="4"/>
    <s v="GNR_ROR_WTR"/>
    <x v="0"/>
    <x v="6"/>
    <n v="920.44758476060997"/>
    <n v="335963.36843762302"/>
    <n v="1209468.12637544"/>
  </r>
  <r>
    <x v="0"/>
    <x v="0"/>
    <x v="0"/>
    <x v="2"/>
    <x v="3"/>
    <s v="FinA"/>
    <x v="6"/>
    <x v="4"/>
    <s v="GNR_ROR_WTR"/>
    <x v="0"/>
    <x v="7"/>
    <n v="920.44758476060997"/>
    <n v="335963.36843762302"/>
    <n v="1209468.12637544"/>
  </r>
  <r>
    <x v="0"/>
    <x v="0"/>
    <x v="0"/>
    <x v="2"/>
    <x v="3"/>
    <s v="FinA"/>
    <x v="6"/>
    <x v="4"/>
    <s v="GNR_ROR_WTR"/>
    <x v="0"/>
    <x v="8"/>
    <n v="920.44758476060997"/>
    <n v="335963.36843762302"/>
    <n v="1209468.12637544"/>
  </r>
  <r>
    <x v="0"/>
    <x v="0"/>
    <x v="0"/>
    <x v="2"/>
    <x v="3"/>
    <s v="FinA"/>
    <x v="6"/>
    <x v="4"/>
    <s v="GNR_ROR_WTR"/>
    <x v="0"/>
    <x v="9"/>
    <n v="920.44758476060997"/>
    <n v="335963.36843762302"/>
    <n v="1209468.12637544"/>
  </r>
  <r>
    <x v="0"/>
    <x v="0"/>
    <x v="0"/>
    <x v="2"/>
    <x v="3"/>
    <s v="FinA"/>
    <x v="6"/>
    <x v="4"/>
    <s v="GNR_ROR_WTR"/>
    <x v="0"/>
    <x v="10"/>
    <n v="920.44758476060997"/>
    <n v="335963.36843762302"/>
    <n v="1209468.12637544"/>
  </r>
  <r>
    <x v="0"/>
    <x v="0"/>
    <x v="0"/>
    <x v="2"/>
    <x v="3"/>
    <s v="FinA"/>
    <x v="6"/>
    <x v="4"/>
    <s v="GNR_ROR_WTR"/>
    <x v="0"/>
    <x v="11"/>
    <n v="920.44758476060997"/>
    <n v="335963.36843762302"/>
    <n v="1209468.12637544"/>
  </r>
  <r>
    <x v="0"/>
    <x v="0"/>
    <x v="0"/>
    <x v="2"/>
    <x v="3"/>
    <s v="FinA"/>
    <x v="6"/>
    <x v="4"/>
    <s v="GNR_ROR_WTR"/>
    <x v="0"/>
    <x v="12"/>
    <n v="920.44758476060997"/>
    <n v="335963.36843762302"/>
    <n v="1209468.12637544"/>
  </r>
  <r>
    <x v="0"/>
    <x v="0"/>
    <x v="0"/>
    <x v="2"/>
    <x v="3"/>
    <s v="FinA"/>
    <x v="6"/>
    <x v="4"/>
    <s v="GNR_ROR_WTR"/>
    <x v="0"/>
    <x v="13"/>
    <n v="920.44758476060997"/>
    <n v="335963.36843762302"/>
    <n v="1209468.12637544"/>
  </r>
  <r>
    <x v="0"/>
    <x v="0"/>
    <x v="0"/>
    <x v="2"/>
    <x v="3"/>
    <s v="FinA"/>
    <x v="6"/>
    <x v="4"/>
    <s v="GNR_ROR_WTR"/>
    <x v="0"/>
    <x v="14"/>
    <n v="920.44758476060997"/>
    <n v="335963.36843762302"/>
    <n v="1209468.12637544"/>
  </r>
  <r>
    <x v="0"/>
    <x v="0"/>
    <x v="0"/>
    <x v="2"/>
    <x v="3"/>
    <s v="FinA"/>
    <x v="6"/>
    <x v="4"/>
    <s v="GNR_ROR_WTR"/>
    <x v="0"/>
    <x v="15"/>
    <n v="920.44758476060997"/>
    <n v="335963.36843762302"/>
    <n v="1209468.12637544"/>
  </r>
  <r>
    <x v="0"/>
    <x v="0"/>
    <x v="0"/>
    <x v="2"/>
    <x v="3"/>
    <s v="FinA"/>
    <x v="6"/>
    <x v="4"/>
    <s v="GNR_ROR_WTR"/>
    <x v="0"/>
    <x v="16"/>
    <n v="920.44758476060997"/>
    <n v="335963.36843762302"/>
    <n v="1209468.12637544"/>
  </r>
  <r>
    <x v="0"/>
    <x v="0"/>
    <x v="0"/>
    <x v="2"/>
    <x v="3"/>
    <s v="FinA"/>
    <x v="6"/>
    <x v="4"/>
    <s v="GNR_ROR_WTR"/>
    <x v="0"/>
    <x v="17"/>
    <n v="920.44758476060997"/>
    <n v="335963.36843762302"/>
    <n v="1209468.12637544"/>
  </r>
  <r>
    <x v="0"/>
    <x v="0"/>
    <x v="0"/>
    <x v="2"/>
    <x v="3"/>
    <s v="FinA"/>
    <x v="6"/>
    <x v="4"/>
    <s v="GNR_ROR_WTR"/>
    <x v="0"/>
    <x v="19"/>
    <n v="920.44758476060997"/>
    <n v="335963.36843762302"/>
    <n v="1209468.12637544"/>
  </r>
  <r>
    <x v="0"/>
    <x v="0"/>
    <x v="0"/>
    <x v="2"/>
    <x v="3"/>
    <s v="FinA"/>
    <x v="6"/>
    <x v="4"/>
    <s v="GNR_ROR_WTR"/>
    <x v="0"/>
    <x v="20"/>
    <n v="920.44758476060997"/>
    <n v="335963.36843762302"/>
    <n v="1209468.12637544"/>
  </r>
  <r>
    <x v="0"/>
    <x v="0"/>
    <x v="0"/>
    <x v="2"/>
    <x v="3"/>
    <s v="FinA"/>
    <x v="6"/>
    <x v="4"/>
    <s v="GNR_ROR_WTR"/>
    <x v="0"/>
    <x v="21"/>
    <n v="920.44758476060997"/>
    <n v="335963.36843762302"/>
    <n v="1209468.12637544"/>
  </r>
  <r>
    <x v="0"/>
    <x v="0"/>
    <x v="0"/>
    <x v="2"/>
    <x v="3"/>
    <s v="FinA"/>
    <x v="6"/>
    <x v="4"/>
    <s v="GNR_ROR_WTR"/>
    <x v="0"/>
    <x v="22"/>
    <n v="920.44758476060997"/>
    <n v="335963.36843762302"/>
    <n v="1209468.12637544"/>
  </r>
  <r>
    <x v="0"/>
    <x v="0"/>
    <x v="0"/>
    <x v="2"/>
    <x v="3"/>
    <s v="FinA"/>
    <x v="6"/>
    <x v="4"/>
    <s v="GNR_ROR_WTR"/>
    <x v="0"/>
    <x v="23"/>
    <n v="920.44758476060997"/>
    <n v="335963.36843762302"/>
    <n v="1209468.12637544"/>
  </r>
  <r>
    <x v="0"/>
    <x v="0"/>
    <x v="0"/>
    <x v="2"/>
    <x v="3"/>
    <s v="FinA"/>
    <x v="7"/>
    <x v="5"/>
    <s v="GNR_WT_WIND_ONS"/>
    <x v="0"/>
    <x v="0"/>
    <n v="411.74149233805298"/>
    <n v="150285.644703389"/>
    <n v="541028.32093220204"/>
  </r>
  <r>
    <x v="0"/>
    <x v="0"/>
    <x v="0"/>
    <x v="2"/>
    <x v="3"/>
    <s v="FinA"/>
    <x v="7"/>
    <x v="5"/>
    <s v="GNR_WT_WIND_ONS"/>
    <x v="0"/>
    <x v="1"/>
    <n v="380.51871296754302"/>
    <n v="138889.33023315301"/>
    <n v="500001.58883935102"/>
  </r>
  <r>
    <x v="0"/>
    <x v="0"/>
    <x v="0"/>
    <x v="2"/>
    <x v="3"/>
    <s v="FinA"/>
    <x v="7"/>
    <x v="5"/>
    <s v="GNR_WT_WIND_ONS"/>
    <x v="0"/>
    <x v="18"/>
    <n v="389.78574794052503"/>
    <n v="142271.79799829199"/>
    <n v="512178.47279385"/>
  </r>
  <r>
    <x v="0"/>
    <x v="0"/>
    <x v="0"/>
    <x v="2"/>
    <x v="3"/>
    <s v="FinA"/>
    <x v="7"/>
    <x v="5"/>
    <s v="GNR_WT_WIND_ONS"/>
    <x v="0"/>
    <x v="2"/>
    <n v="289.82397289129898"/>
    <n v="105785.750105324"/>
    <n v="380828.70037916698"/>
  </r>
  <r>
    <x v="0"/>
    <x v="0"/>
    <x v="0"/>
    <x v="2"/>
    <x v="3"/>
    <s v="FinA"/>
    <x v="7"/>
    <x v="5"/>
    <s v="GNR_WT_WIND_ONS"/>
    <x v="0"/>
    <x v="3"/>
    <n v="286.89110907567402"/>
    <n v="104715.254812621"/>
    <n v="376974.91732543497"/>
  </r>
  <r>
    <x v="0"/>
    <x v="0"/>
    <x v="0"/>
    <x v="2"/>
    <x v="3"/>
    <s v="FinA"/>
    <x v="7"/>
    <x v="5"/>
    <s v="GNR_WT_WIND_ONS"/>
    <x v="0"/>
    <x v="4"/>
    <n v="334.46867764026098"/>
    <n v="122081.06733869499"/>
    <n v="439491.84241930197"/>
  </r>
  <r>
    <x v="0"/>
    <x v="0"/>
    <x v="0"/>
    <x v="2"/>
    <x v="3"/>
    <s v="FinA"/>
    <x v="7"/>
    <x v="5"/>
    <s v="GNR_WT_WIND_ONS"/>
    <x v="0"/>
    <x v="5"/>
    <n v="380.84458672483402"/>
    <n v="139008.27415456501"/>
    <n v="500429.78695643198"/>
  </r>
  <r>
    <x v="0"/>
    <x v="0"/>
    <x v="0"/>
    <x v="2"/>
    <x v="3"/>
    <s v="FinA"/>
    <x v="7"/>
    <x v="5"/>
    <s v="GNR_WT_WIND_ONS"/>
    <x v="0"/>
    <x v="6"/>
    <n v="371.74048863049802"/>
    <n v="135685.27835013199"/>
    <n v="488467.00206047401"/>
  </r>
  <r>
    <x v="0"/>
    <x v="0"/>
    <x v="0"/>
    <x v="2"/>
    <x v="3"/>
    <s v="FinA"/>
    <x v="7"/>
    <x v="5"/>
    <s v="GNR_WT_WIND_ONS"/>
    <x v="0"/>
    <x v="7"/>
    <n v="366.03769787789298"/>
    <n v="133603.75972543101"/>
    <n v="480973.53501155198"/>
  </r>
  <r>
    <x v="0"/>
    <x v="0"/>
    <x v="0"/>
    <x v="2"/>
    <x v="3"/>
    <s v="FinA"/>
    <x v="7"/>
    <x v="5"/>
    <s v="GNR_WT_WIND_ONS"/>
    <x v="0"/>
    <x v="8"/>
    <n v="345.263245850548"/>
    <n v="126021.08473545"/>
    <n v="453675.90504762001"/>
  </r>
  <r>
    <x v="0"/>
    <x v="0"/>
    <x v="0"/>
    <x v="2"/>
    <x v="3"/>
    <s v="FinA"/>
    <x v="7"/>
    <x v="5"/>
    <s v="GNR_WT_WIND_ONS"/>
    <x v="0"/>
    <x v="9"/>
    <n v="291.43297456792601"/>
    <n v="106373.03571729299"/>
    <n v="382942.92858225497"/>
  </r>
  <r>
    <x v="0"/>
    <x v="0"/>
    <x v="0"/>
    <x v="2"/>
    <x v="3"/>
    <s v="FinA"/>
    <x v="7"/>
    <x v="5"/>
    <s v="GNR_WT_WIND_ONS"/>
    <x v="0"/>
    <x v="10"/>
    <n v="377.97282423870098"/>
    <n v="137960.080847126"/>
    <n v="496656.29104965401"/>
  </r>
  <r>
    <x v="0"/>
    <x v="0"/>
    <x v="0"/>
    <x v="2"/>
    <x v="3"/>
    <s v="FinA"/>
    <x v="7"/>
    <x v="5"/>
    <s v="GNR_WT_WIND_ONS"/>
    <x v="0"/>
    <x v="11"/>
    <n v="353.02311469605598"/>
    <n v="128853.436864061"/>
    <n v="463872.37271061802"/>
  </r>
  <r>
    <x v="0"/>
    <x v="0"/>
    <x v="0"/>
    <x v="2"/>
    <x v="3"/>
    <s v="FinA"/>
    <x v="7"/>
    <x v="5"/>
    <s v="GNR_WT_WIND_ONS"/>
    <x v="0"/>
    <x v="12"/>
    <n v="344.08195348036497"/>
    <n v="125589.913020333"/>
    <n v="452123.6868732"/>
  </r>
  <r>
    <x v="0"/>
    <x v="0"/>
    <x v="0"/>
    <x v="2"/>
    <x v="3"/>
    <s v="FinA"/>
    <x v="7"/>
    <x v="5"/>
    <s v="GNR_WT_WIND_ONS"/>
    <x v="0"/>
    <x v="13"/>
    <n v="335.71107133993502"/>
    <n v="122534.54103907599"/>
    <n v="441124.34774067497"/>
  </r>
  <r>
    <x v="0"/>
    <x v="0"/>
    <x v="0"/>
    <x v="2"/>
    <x v="3"/>
    <s v="FinA"/>
    <x v="7"/>
    <x v="5"/>
    <s v="GNR_WT_WIND_ONS"/>
    <x v="0"/>
    <x v="14"/>
    <n v="351.49558145875102"/>
    <n v="128295.887232444"/>
    <n v="461865.19403679902"/>
  </r>
  <r>
    <x v="0"/>
    <x v="0"/>
    <x v="0"/>
    <x v="2"/>
    <x v="3"/>
    <s v="FinA"/>
    <x v="7"/>
    <x v="5"/>
    <s v="GNR_WT_WIND_ONS"/>
    <x v="0"/>
    <x v="15"/>
    <n v="393.73696724768701"/>
    <n v="143713.99304540601"/>
    <n v="517370.37496346101"/>
  </r>
  <r>
    <x v="0"/>
    <x v="0"/>
    <x v="0"/>
    <x v="2"/>
    <x v="3"/>
    <s v="FinA"/>
    <x v="7"/>
    <x v="5"/>
    <s v="GNR_WT_WIND_ONS"/>
    <x v="0"/>
    <x v="16"/>
    <n v="421.25293262900402"/>
    <n v="153757.320409587"/>
    <n v="553526.353474512"/>
  </r>
  <r>
    <x v="0"/>
    <x v="0"/>
    <x v="0"/>
    <x v="2"/>
    <x v="3"/>
    <s v="FinA"/>
    <x v="7"/>
    <x v="5"/>
    <s v="GNR_WT_WIND_ONS"/>
    <x v="0"/>
    <x v="17"/>
    <n v="373.06435076949498"/>
    <n v="136168.48803086599"/>
    <n v="490206.55691111699"/>
  </r>
  <r>
    <x v="0"/>
    <x v="0"/>
    <x v="0"/>
    <x v="2"/>
    <x v="3"/>
    <s v="FinA"/>
    <x v="7"/>
    <x v="5"/>
    <s v="GNR_WT_WIND_ONS"/>
    <x v="0"/>
    <x v="19"/>
    <n v="267.236848089018"/>
    <n v="97541.4495524917"/>
    <n v="351149.21838897001"/>
  </r>
  <r>
    <x v="0"/>
    <x v="0"/>
    <x v="0"/>
    <x v="2"/>
    <x v="3"/>
    <s v="FinA"/>
    <x v="7"/>
    <x v="5"/>
    <s v="GNR_WT_WIND_ONS"/>
    <x v="0"/>
    <x v="20"/>
    <n v="294.91575034898102"/>
    <n v="107644.24887737801"/>
    <n v="387519.295958562"/>
  </r>
  <r>
    <x v="0"/>
    <x v="0"/>
    <x v="0"/>
    <x v="2"/>
    <x v="3"/>
    <s v="FinA"/>
    <x v="7"/>
    <x v="5"/>
    <s v="GNR_WT_WIND_ONS"/>
    <x v="0"/>
    <x v="21"/>
    <n v="285.38394294819898"/>
    <n v="104165.139176093"/>
    <n v="374994.50103393401"/>
  </r>
  <r>
    <x v="0"/>
    <x v="0"/>
    <x v="0"/>
    <x v="2"/>
    <x v="3"/>
    <s v="FinA"/>
    <x v="7"/>
    <x v="5"/>
    <s v="GNR_WT_WIND_ONS"/>
    <x v="0"/>
    <x v="22"/>
    <n v="257.92907889637399"/>
    <n v="94144.1137971766"/>
    <n v="338918.80966983602"/>
  </r>
  <r>
    <x v="0"/>
    <x v="0"/>
    <x v="0"/>
    <x v="2"/>
    <x v="3"/>
    <s v="FinA"/>
    <x v="7"/>
    <x v="5"/>
    <s v="GNR_WT_WIND_ONS"/>
    <x v="0"/>
    <x v="23"/>
    <n v="227.093274612648"/>
    <n v="82889.045233616504"/>
    <n v="298400.56284101901"/>
  </r>
  <r>
    <x v="0"/>
    <x v="0"/>
    <x v="0"/>
    <x v="3"/>
    <x v="4"/>
    <s v="DE4-E_A"/>
    <x v="1"/>
    <x v="8"/>
    <s v="AGG-DE4-E_RES_WTR_PMP"/>
    <x v="0"/>
    <x v="0"/>
    <n v="302.36734122340602"/>
    <n v="110364.079546543"/>
    <n v="397310.68636755599"/>
  </r>
  <r>
    <x v="0"/>
    <x v="0"/>
    <x v="0"/>
    <x v="3"/>
    <x v="4"/>
    <s v="DE4-E_A"/>
    <x v="1"/>
    <x v="8"/>
    <s v="AGG-DE4-E_RES_WTR_PMP"/>
    <x v="0"/>
    <x v="1"/>
    <n v="1921.4049777610901"/>
    <n v="701312.81688279903"/>
    <n v="2524726.1407780801"/>
  </r>
  <r>
    <x v="0"/>
    <x v="0"/>
    <x v="0"/>
    <x v="3"/>
    <x v="4"/>
    <s v="DE4-E_A"/>
    <x v="1"/>
    <x v="8"/>
    <s v="AGG-DE4-E_RES_WTR_PMP"/>
    <x v="0"/>
    <x v="6"/>
    <n v="2415"/>
    <n v="881475"/>
    <n v="3173310"/>
  </r>
  <r>
    <x v="0"/>
    <x v="0"/>
    <x v="0"/>
    <x v="3"/>
    <x v="4"/>
    <s v="DE4-E_A"/>
    <x v="1"/>
    <x v="8"/>
    <s v="AGG-DE4-E_RES_WTR_PMP"/>
    <x v="0"/>
    <x v="7"/>
    <n v="337.43835616438298"/>
    <n v="123165"/>
    <n v="443394"/>
  </r>
  <r>
    <x v="0"/>
    <x v="0"/>
    <x v="0"/>
    <x v="3"/>
    <x v="4"/>
    <s v="DE4-E_A"/>
    <x v="1"/>
    <x v="8"/>
    <s v="AGG-DE4-E_RES_WTR_PMP"/>
    <x v="0"/>
    <x v="15"/>
    <n v="337.438356164384"/>
    <n v="123165"/>
    <n v="443394"/>
  </r>
  <r>
    <x v="0"/>
    <x v="0"/>
    <x v="0"/>
    <x v="3"/>
    <x v="4"/>
    <s v="DE4-E_A"/>
    <x v="1"/>
    <x v="8"/>
    <s v="AGG-DE4-E_RES_WTR_PMP"/>
    <x v="0"/>
    <x v="16"/>
    <n v="2415"/>
    <n v="881475"/>
    <n v="3173310"/>
  </r>
  <r>
    <x v="0"/>
    <x v="0"/>
    <x v="0"/>
    <x v="3"/>
    <x v="4"/>
    <s v="DE4-E_A"/>
    <x v="15"/>
    <x v="2"/>
    <s v="GNR_ST_LIGN_BP_E-28"/>
    <x v="0"/>
    <x v="6"/>
    <n v="127"/>
    <n v="46355"/>
    <n v="166878"/>
  </r>
  <r>
    <x v="0"/>
    <x v="0"/>
    <x v="0"/>
    <x v="3"/>
    <x v="4"/>
    <s v="DE4-E_A"/>
    <x v="15"/>
    <x v="2"/>
    <s v="GNR_ST_LIGN_BP_E-28"/>
    <x v="0"/>
    <x v="7"/>
    <n v="127"/>
    <n v="46355"/>
    <n v="166878"/>
  </r>
  <r>
    <x v="0"/>
    <x v="0"/>
    <x v="0"/>
    <x v="3"/>
    <x v="4"/>
    <s v="DE4-E_A"/>
    <x v="15"/>
    <x v="2"/>
    <s v="GNR_ST_LIGN_BP_E-28"/>
    <x v="0"/>
    <x v="8"/>
    <n v="127"/>
    <n v="46355"/>
    <n v="166878"/>
  </r>
  <r>
    <x v="0"/>
    <x v="0"/>
    <x v="0"/>
    <x v="3"/>
    <x v="4"/>
    <s v="DE4-E_A"/>
    <x v="15"/>
    <x v="2"/>
    <s v="GNR_ST_LIGN_BP_E-39"/>
    <x v="0"/>
    <x v="0"/>
    <n v="9321.4"/>
    <n v="3402311"/>
    <n v="12248319.6"/>
  </r>
  <r>
    <x v="0"/>
    <x v="0"/>
    <x v="0"/>
    <x v="3"/>
    <x v="4"/>
    <s v="DE4-E_A"/>
    <x v="15"/>
    <x v="2"/>
    <s v="GNR_ST_LIGN_BP_E-39"/>
    <x v="0"/>
    <x v="1"/>
    <n v="5229.7421089132904"/>
    <n v="1908855.86975335"/>
    <n v="6871881.1311120698"/>
  </r>
  <r>
    <x v="0"/>
    <x v="0"/>
    <x v="0"/>
    <x v="3"/>
    <x v="4"/>
    <s v="DE4-E_A"/>
    <x v="15"/>
    <x v="2"/>
    <s v="GNR_ST_LIGN_BP_E-39"/>
    <x v="0"/>
    <x v="18"/>
    <n v="9321.4"/>
    <n v="3402311"/>
    <n v="12248319.6"/>
  </r>
  <r>
    <x v="0"/>
    <x v="0"/>
    <x v="0"/>
    <x v="3"/>
    <x v="4"/>
    <s v="DE4-E_A"/>
    <x v="15"/>
    <x v="2"/>
    <s v="GNR_ST_LIGN_BP_E-39"/>
    <x v="0"/>
    <x v="2"/>
    <n v="8752.3796381948396"/>
    <n v="3194618.5679411199"/>
    <n v="11500626.844588"/>
  </r>
  <r>
    <x v="0"/>
    <x v="0"/>
    <x v="0"/>
    <x v="3"/>
    <x v="4"/>
    <s v="DE4-E_A"/>
    <x v="15"/>
    <x v="2"/>
    <s v="GNR_ST_LIGN_BP_E-39"/>
    <x v="0"/>
    <x v="3"/>
    <n v="9321.4"/>
    <n v="3402311"/>
    <n v="12248319.6"/>
  </r>
  <r>
    <x v="0"/>
    <x v="0"/>
    <x v="0"/>
    <x v="3"/>
    <x v="4"/>
    <s v="DE4-E_A"/>
    <x v="15"/>
    <x v="2"/>
    <s v="GNR_ST_LIGN_BP_E-39"/>
    <x v="0"/>
    <x v="4"/>
    <n v="9321.4"/>
    <n v="3402311"/>
    <n v="12248319.6"/>
  </r>
  <r>
    <x v="0"/>
    <x v="0"/>
    <x v="0"/>
    <x v="3"/>
    <x v="4"/>
    <s v="DE4-E_A"/>
    <x v="15"/>
    <x v="2"/>
    <s v="GNR_ST_LIGN_BP_E-39"/>
    <x v="0"/>
    <x v="5"/>
    <n v="9321.4"/>
    <n v="3402311"/>
    <n v="12248319.6"/>
  </r>
  <r>
    <x v="0"/>
    <x v="0"/>
    <x v="0"/>
    <x v="3"/>
    <x v="4"/>
    <s v="DE4-E_A"/>
    <x v="15"/>
    <x v="2"/>
    <s v="GNR_ST_LIGN_BP_E-39"/>
    <x v="0"/>
    <x v="6"/>
    <n v="9321.4"/>
    <n v="3402311"/>
    <n v="12248319.6"/>
  </r>
  <r>
    <x v="0"/>
    <x v="0"/>
    <x v="0"/>
    <x v="3"/>
    <x v="4"/>
    <s v="DE4-E_A"/>
    <x v="15"/>
    <x v="2"/>
    <s v="GNR_ST_LIGN_BP_E-39"/>
    <x v="0"/>
    <x v="7"/>
    <n v="9321.4"/>
    <n v="3402311"/>
    <n v="12248319.6"/>
  </r>
  <r>
    <x v="0"/>
    <x v="0"/>
    <x v="0"/>
    <x v="3"/>
    <x v="4"/>
    <s v="DE4-E_A"/>
    <x v="15"/>
    <x v="2"/>
    <s v="GNR_ST_LIGN_BP_E-39"/>
    <x v="0"/>
    <x v="8"/>
    <n v="9321.4"/>
    <n v="3402311"/>
    <n v="12248319.6"/>
  </r>
  <r>
    <x v="0"/>
    <x v="0"/>
    <x v="0"/>
    <x v="3"/>
    <x v="4"/>
    <s v="DE4-E_A"/>
    <x v="15"/>
    <x v="2"/>
    <s v="GNR_ST_LIGN_BP_E-39"/>
    <x v="0"/>
    <x v="9"/>
    <n v="9321.4"/>
    <n v="3402311"/>
    <n v="12248319.6"/>
  </r>
  <r>
    <x v="0"/>
    <x v="0"/>
    <x v="0"/>
    <x v="3"/>
    <x v="4"/>
    <s v="DE4-E_A"/>
    <x v="15"/>
    <x v="2"/>
    <s v="GNR_ST_LIGN_BP_E-39"/>
    <x v="0"/>
    <x v="10"/>
    <n v="9321.4"/>
    <n v="3402311"/>
    <n v="12248319.6"/>
  </r>
  <r>
    <x v="0"/>
    <x v="0"/>
    <x v="0"/>
    <x v="3"/>
    <x v="4"/>
    <s v="DE4-E_A"/>
    <x v="15"/>
    <x v="2"/>
    <s v="GNR_ST_LIGN_BP_E-39"/>
    <x v="0"/>
    <x v="11"/>
    <n v="9321.4"/>
    <n v="3402311"/>
    <n v="12248319.6"/>
  </r>
  <r>
    <x v="0"/>
    <x v="0"/>
    <x v="0"/>
    <x v="3"/>
    <x v="4"/>
    <s v="DE4-E_A"/>
    <x v="15"/>
    <x v="2"/>
    <s v="GNR_ST_LIGN_BP_E-39"/>
    <x v="0"/>
    <x v="12"/>
    <n v="9321.4"/>
    <n v="3402311"/>
    <n v="12248319.6"/>
  </r>
  <r>
    <x v="0"/>
    <x v="0"/>
    <x v="0"/>
    <x v="3"/>
    <x v="4"/>
    <s v="DE4-E_A"/>
    <x v="15"/>
    <x v="2"/>
    <s v="GNR_ST_LIGN_BP_E-39"/>
    <x v="0"/>
    <x v="13"/>
    <n v="9321.4"/>
    <n v="3402311"/>
    <n v="12248319.6"/>
  </r>
  <r>
    <x v="0"/>
    <x v="0"/>
    <x v="0"/>
    <x v="3"/>
    <x v="4"/>
    <s v="DE4-E_A"/>
    <x v="15"/>
    <x v="2"/>
    <s v="GNR_ST_LIGN_BP_E-39"/>
    <x v="0"/>
    <x v="14"/>
    <n v="9321.4"/>
    <n v="3402311"/>
    <n v="12248319.6"/>
  </r>
  <r>
    <x v="0"/>
    <x v="0"/>
    <x v="0"/>
    <x v="3"/>
    <x v="4"/>
    <s v="DE4-E_A"/>
    <x v="15"/>
    <x v="2"/>
    <s v="GNR_ST_LIGN_BP_E-39"/>
    <x v="0"/>
    <x v="15"/>
    <n v="9321.4"/>
    <n v="3402311"/>
    <n v="12248319.6"/>
  </r>
  <r>
    <x v="0"/>
    <x v="0"/>
    <x v="0"/>
    <x v="3"/>
    <x v="4"/>
    <s v="DE4-E_A"/>
    <x v="15"/>
    <x v="2"/>
    <s v="GNR_ST_LIGN_BP_E-39"/>
    <x v="0"/>
    <x v="16"/>
    <n v="9321.4"/>
    <n v="3402311"/>
    <n v="12248319.6"/>
  </r>
  <r>
    <x v="0"/>
    <x v="0"/>
    <x v="0"/>
    <x v="3"/>
    <x v="4"/>
    <s v="DE4-E_A"/>
    <x v="15"/>
    <x v="2"/>
    <s v="GNR_ST_LIGN_BP_E-39"/>
    <x v="0"/>
    <x v="17"/>
    <n v="9321.4"/>
    <n v="3402311"/>
    <n v="12248319.6"/>
  </r>
  <r>
    <x v="0"/>
    <x v="0"/>
    <x v="0"/>
    <x v="3"/>
    <x v="4"/>
    <s v="DE4-E_A"/>
    <x v="15"/>
    <x v="2"/>
    <s v="GNR_ST_LIGN_BP_E-39"/>
    <x v="0"/>
    <x v="19"/>
    <n v="9321.4"/>
    <n v="3402311"/>
    <n v="12248319.6"/>
  </r>
  <r>
    <x v="0"/>
    <x v="0"/>
    <x v="0"/>
    <x v="3"/>
    <x v="4"/>
    <s v="DE4-E_A"/>
    <x v="15"/>
    <x v="2"/>
    <s v="GNR_ST_LIGN_BP_E-39"/>
    <x v="0"/>
    <x v="20"/>
    <n v="9321.4"/>
    <n v="3402311"/>
    <n v="12248319.6"/>
  </r>
  <r>
    <x v="0"/>
    <x v="0"/>
    <x v="0"/>
    <x v="3"/>
    <x v="4"/>
    <s v="DE4-E_A"/>
    <x v="15"/>
    <x v="2"/>
    <s v="GNR_ST_LIGN_BP_E-39"/>
    <x v="0"/>
    <x v="21"/>
    <n v="8105.15756492736"/>
    <n v="2958382.5111984899"/>
    <n v="10650177.040314499"/>
  </r>
  <r>
    <x v="0"/>
    <x v="0"/>
    <x v="0"/>
    <x v="3"/>
    <x v="4"/>
    <s v="DE4-E_A"/>
    <x v="15"/>
    <x v="2"/>
    <s v="GNR_ST_LIGN_BP_E-39"/>
    <x v="0"/>
    <x v="22"/>
    <n v="2796.5156618784099"/>
    <n v="1020728.21658562"/>
    <n v="3674621.5797082302"/>
  </r>
  <r>
    <x v="0"/>
    <x v="0"/>
    <x v="0"/>
    <x v="3"/>
    <x v="4"/>
    <s v="DE4-E_A"/>
    <x v="15"/>
    <x v="2"/>
    <s v="GNR_ST_LIGN_BP_E-39"/>
    <x v="0"/>
    <x v="23"/>
    <n v="2224.13644727164"/>
    <n v="811809.80325414799"/>
    <n v="2922515.29171493"/>
  </r>
  <r>
    <x v="0"/>
    <x v="0"/>
    <x v="0"/>
    <x v="3"/>
    <x v="4"/>
    <s v="DE4-E_A"/>
    <x v="15"/>
    <x v="6"/>
    <s v="GNR_ST_LIGN_CND_E-43"/>
    <x v="0"/>
    <x v="0"/>
    <n v="640"/>
    <n v="233600"/>
    <n v="840960"/>
  </r>
  <r>
    <x v="0"/>
    <x v="0"/>
    <x v="0"/>
    <x v="3"/>
    <x v="4"/>
    <s v="DE4-E_A"/>
    <x v="15"/>
    <x v="6"/>
    <s v="GNR_ST_LIGN_CND_E-43"/>
    <x v="0"/>
    <x v="1"/>
    <n v="640"/>
    <n v="233600"/>
    <n v="840960"/>
  </r>
  <r>
    <x v="0"/>
    <x v="0"/>
    <x v="0"/>
    <x v="3"/>
    <x v="4"/>
    <s v="DE4-E_A"/>
    <x v="15"/>
    <x v="6"/>
    <s v="GNR_ST_LIGN_CND_E-43"/>
    <x v="0"/>
    <x v="18"/>
    <n v="640"/>
    <n v="233600"/>
    <n v="840960"/>
  </r>
  <r>
    <x v="0"/>
    <x v="0"/>
    <x v="0"/>
    <x v="3"/>
    <x v="4"/>
    <s v="DE4-E_A"/>
    <x v="15"/>
    <x v="6"/>
    <s v="GNR_ST_LIGN_CND_E-43"/>
    <x v="0"/>
    <x v="2"/>
    <n v="640"/>
    <n v="233600"/>
    <n v="840960"/>
  </r>
  <r>
    <x v="0"/>
    <x v="0"/>
    <x v="0"/>
    <x v="3"/>
    <x v="4"/>
    <s v="DE4-E_A"/>
    <x v="15"/>
    <x v="6"/>
    <s v="GNR_ST_LIGN_CND_E-43"/>
    <x v="0"/>
    <x v="3"/>
    <n v="640"/>
    <n v="233600"/>
    <n v="840960"/>
  </r>
  <r>
    <x v="0"/>
    <x v="0"/>
    <x v="0"/>
    <x v="3"/>
    <x v="4"/>
    <s v="DE4-E_A"/>
    <x v="15"/>
    <x v="6"/>
    <s v="GNR_ST_LIGN_CND_E-43"/>
    <x v="0"/>
    <x v="4"/>
    <n v="640"/>
    <n v="233600"/>
    <n v="840960"/>
  </r>
  <r>
    <x v="0"/>
    <x v="0"/>
    <x v="0"/>
    <x v="3"/>
    <x v="4"/>
    <s v="DE4-E_A"/>
    <x v="15"/>
    <x v="6"/>
    <s v="GNR_ST_LIGN_CND_E-43"/>
    <x v="0"/>
    <x v="5"/>
    <n v="640"/>
    <n v="233600"/>
    <n v="840960"/>
  </r>
  <r>
    <x v="0"/>
    <x v="0"/>
    <x v="0"/>
    <x v="3"/>
    <x v="4"/>
    <s v="DE4-E_A"/>
    <x v="15"/>
    <x v="6"/>
    <s v="GNR_ST_LIGN_CND_E-43"/>
    <x v="0"/>
    <x v="6"/>
    <n v="640"/>
    <n v="233600"/>
    <n v="840960"/>
  </r>
  <r>
    <x v="0"/>
    <x v="0"/>
    <x v="0"/>
    <x v="3"/>
    <x v="4"/>
    <s v="DE4-E_A"/>
    <x v="15"/>
    <x v="6"/>
    <s v="GNR_ST_LIGN_CND_E-43"/>
    <x v="0"/>
    <x v="7"/>
    <n v="640"/>
    <n v="233600"/>
    <n v="840960"/>
  </r>
  <r>
    <x v="0"/>
    <x v="0"/>
    <x v="0"/>
    <x v="3"/>
    <x v="4"/>
    <s v="DE4-E_A"/>
    <x v="15"/>
    <x v="6"/>
    <s v="GNR_ST_LIGN_CND_E-43"/>
    <x v="0"/>
    <x v="8"/>
    <n v="640"/>
    <n v="233600"/>
    <n v="840960"/>
  </r>
  <r>
    <x v="0"/>
    <x v="0"/>
    <x v="0"/>
    <x v="3"/>
    <x v="4"/>
    <s v="DE4-E_A"/>
    <x v="15"/>
    <x v="6"/>
    <s v="GNR_ST_LIGN_CND_E-43"/>
    <x v="0"/>
    <x v="9"/>
    <n v="640"/>
    <n v="233600"/>
    <n v="840960"/>
  </r>
  <r>
    <x v="0"/>
    <x v="0"/>
    <x v="0"/>
    <x v="3"/>
    <x v="4"/>
    <s v="DE4-E_A"/>
    <x v="15"/>
    <x v="6"/>
    <s v="GNR_ST_LIGN_CND_E-43"/>
    <x v="0"/>
    <x v="10"/>
    <n v="640"/>
    <n v="233600"/>
    <n v="840960"/>
  </r>
  <r>
    <x v="0"/>
    <x v="0"/>
    <x v="0"/>
    <x v="3"/>
    <x v="4"/>
    <s v="DE4-E_A"/>
    <x v="15"/>
    <x v="6"/>
    <s v="GNR_ST_LIGN_CND_E-43"/>
    <x v="0"/>
    <x v="11"/>
    <n v="640"/>
    <n v="233600"/>
    <n v="840960"/>
  </r>
  <r>
    <x v="0"/>
    <x v="0"/>
    <x v="0"/>
    <x v="3"/>
    <x v="4"/>
    <s v="DE4-E_A"/>
    <x v="15"/>
    <x v="6"/>
    <s v="GNR_ST_LIGN_CND_E-43"/>
    <x v="0"/>
    <x v="12"/>
    <n v="640"/>
    <n v="233600"/>
    <n v="840960"/>
  </r>
  <r>
    <x v="0"/>
    <x v="0"/>
    <x v="0"/>
    <x v="3"/>
    <x v="4"/>
    <s v="DE4-E_A"/>
    <x v="15"/>
    <x v="6"/>
    <s v="GNR_ST_LIGN_CND_E-43"/>
    <x v="0"/>
    <x v="13"/>
    <n v="640"/>
    <n v="233600"/>
    <n v="840960"/>
  </r>
  <r>
    <x v="0"/>
    <x v="0"/>
    <x v="0"/>
    <x v="3"/>
    <x v="4"/>
    <s v="DE4-E_A"/>
    <x v="15"/>
    <x v="6"/>
    <s v="GNR_ST_LIGN_CND_E-43"/>
    <x v="0"/>
    <x v="14"/>
    <n v="640"/>
    <n v="233600"/>
    <n v="840960"/>
  </r>
  <r>
    <x v="0"/>
    <x v="0"/>
    <x v="0"/>
    <x v="3"/>
    <x v="4"/>
    <s v="DE4-E_A"/>
    <x v="15"/>
    <x v="6"/>
    <s v="GNR_ST_LIGN_CND_E-43"/>
    <x v="0"/>
    <x v="15"/>
    <n v="640"/>
    <n v="233600"/>
    <n v="840960"/>
  </r>
  <r>
    <x v="0"/>
    <x v="0"/>
    <x v="0"/>
    <x v="3"/>
    <x v="4"/>
    <s v="DE4-E_A"/>
    <x v="15"/>
    <x v="6"/>
    <s v="GNR_ST_LIGN_CND_E-43"/>
    <x v="0"/>
    <x v="16"/>
    <n v="640"/>
    <n v="233600"/>
    <n v="840960"/>
  </r>
  <r>
    <x v="0"/>
    <x v="0"/>
    <x v="0"/>
    <x v="3"/>
    <x v="4"/>
    <s v="DE4-E_A"/>
    <x v="15"/>
    <x v="6"/>
    <s v="GNR_ST_LIGN_CND_E-43"/>
    <x v="0"/>
    <x v="17"/>
    <n v="640"/>
    <n v="233600"/>
    <n v="840960"/>
  </r>
  <r>
    <x v="0"/>
    <x v="0"/>
    <x v="0"/>
    <x v="3"/>
    <x v="4"/>
    <s v="DE4-E_A"/>
    <x v="15"/>
    <x v="6"/>
    <s v="GNR_ST_LIGN_CND_E-43"/>
    <x v="0"/>
    <x v="19"/>
    <n v="640"/>
    <n v="233600"/>
    <n v="840960"/>
  </r>
  <r>
    <x v="0"/>
    <x v="0"/>
    <x v="0"/>
    <x v="3"/>
    <x v="4"/>
    <s v="DE4-E_A"/>
    <x v="15"/>
    <x v="6"/>
    <s v="GNR_ST_LIGN_CND_E-43"/>
    <x v="0"/>
    <x v="20"/>
    <n v="640"/>
    <n v="233600"/>
    <n v="840960"/>
  </r>
  <r>
    <x v="0"/>
    <x v="0"/>
    <x v="0"/>
    <x v="3"/>
    <x v="4"/>
    <s v="DE4-E_A"/>
    <x v="15"/>
    <x v="6"/>
    <s v="GNR_ST_LIGN_CND_E-43"/>
    <x v="0"/>
    <x v="21"/>
    <n v="640"/>
    <n v="233600"/>
    <n v="840960"/>
  </r>
  <r>
    <x v="0"/>
    <x v="0"/>
    <x v="0"/>
    <x v="3"/>
    <x v="4"/>
    <s v="DE4-E_A"/>
    <x v="15"/>
    <x v="6"/>
    <s v="GNR_ST_LIGN_CND_E-43"/>
    <x v="0"/>
    <x v="22"/>
    <n v="640"/>
    <n v="233600"/>
    <n v="840960"/>
  </r>
  <r>
    <x v="0"/>
    <x v="0"/>
    <x v="0"/>
    <x v="3"/>
    <x v="4"/>
    <s v="DE4-E_A"/>
    <x v="15"/>
    <x v="6"/>
    <s v="GNR_ST_LIGN_CND_E-43"/>
    <x v="0"/>
    <x v="23"/>
    <n v="640"/>
    <n v="233600"/>
    <n v="840960"/>
  </r>
  <r>
    <x v="0"/>
    <x v="0"/>
    <x v="0"/>
    <x v="3"/>
    <x v="4"/>
    <s v="DE4-E_A"/>
    <x v="2"/>
    <x v="6"/>
    <s v="GNR_ST_MSW_CND_E-33"/>
    <x v="0"/>
    <x v="0"/>
    <n v="65.099999999999994"/>
    <n v="23761.5"/>
    <n v="85541.4"/>
  </r>
  <r>
    <x v="0"/>
    <x v="0"/>
    <x v="0"/>
    <x v="3"/>
    <x v="4"/>
    <s v="DE4-E_A"/>
    <x v="2"/>
    <x v="6"/>
    <s v="GNR_ST_MSW_CND_E-33"/>
    <x v="0"/>
    <x v="1"/>
    <n v="65.099999999999994"/>
    <n v="23761.5"/>
    <n v="85541.4"/>
  </r>
  <r>
    <x v="0"/>
    <x v="0"/>
    <x v="0"/>
    <x v="3"/>
    <x v="4"/>
    <s v="DE4-E_A"/>
    <x v="2"/>
    <x v="6"/>
    <s v="GNR_ST_MSW_CND_E-33"/>
    <x v="0"/>
    <x v="18"/>
    <n v="65.099999999999994"/>
    <n v="23761.5"/>
    <n v="85541.4"/>
  </r>
  <r>
    <x v="0"/>
    <x v="0"/>
    <x v="0"/>
    <x v="3"/>
    <x v="4"/>
    <s v="DE4-E_A"/>
    <x v="2"/>
    <x v="6"/>
    <s v="GNR_ST_MSW_CND_E-33"/>
    <x v="0"/>
    <x v="2"/>
    <n v="65.099999999999994"/>
    <n v="23761.5"/>
    <n v="85541.4"/>
  </r>
  <r>
    <x v="0"/>
    <x v="0"/>
    <x v="0"/>
    <x v="3"/>
    <x v="4"/>
    <s v="DE4-E_A"/>
    <x v="2"/>
    <x v="6"/>
    <s v="GNR_ST_MSW_CND_E-33"/>
    <x v="0"/>
    <x v="3"/>
    <n v="65.099999999999994"/>
    <n v="23761.5"/>
    <n v="85541.4"/>
  </r>
  <r>
    <x v="0"/>
    <x v="0"/>
    <x v="0"/>
    <x v="3"/>
    <x v="4"/>
    <s v="DE4-E_A"/>
    <x v="2"/>
    <x v="6"/>
    <s v="GNR_ST_MSW_CND_E-33"/>
    <x v="0"/>
    <x v="4"/>
    <n v="65.099999999999994"/>
    <n v="23761.5"/>
    <n v="85541.4"/>
  </r>
  <r>
    <x v="0"/>
    <x v="0"/>
    <x v="0"/>
    <x v="3"/>
    <x v="4"/>
    <s v="DE4-E_A"/>
    <x v="2"/>
    <x v="6"/>
    <s v="GNR_ST_MSW_CND_E-33"/>
    <x v="0"/>
    <x v="5"/>
    <n v="65.099999999999994"/>
    <n v="23761.5"/>
    <n v="85541.4"/>
  </r>
  <r>
    <x v="0"/>
    <x v="0"/>
    <x v="0"/>
    <x v="3"/>
    <x v="4"/>
    <s v="DE4-E_A"/>
    <x v="2"/>
    <x v="6"/>
    <s v="GNR_ST_MSW_CND_E-33"/>
    <x v="0"/>
    <x v="6"/>
    <n v="65.099999999999994"/>
    <n v="23761.5"/>
    <n v="85541.4"/>
  </r>
  <r>
    <x v="0"/>
    <x v="0"/>
    <x v="0"/>
    <x v="3"/>
    <x v="4"/>
    <s v="DE4-E_A"/>
    <x v="2"/>
    <x v="6"/>
    <s v="GNR_ST_MSW_CND_E-33"/>
    <x v="0"/>
    <x v="7"/>
    <n v="65.099999999999994"/>
    <n v="23761.5"/>
    <n v="85541.4"/>
  </r>
  <r>
    <x v="0"/>
    <x v="0"/>
    <x v="0"/>
    <x v="3"/>
    <x v="4"/>
    <s v="DE4-E_A"/>
    <x v="2"/>
    <x v="6"/>
    <s v="GNR_ST_MSW_CND_E-33"/>
    <x v="0"/>
    <x v="8"/>
    <n v="65.099999999999994"/>
    <n v="23761.5"/>
    <n v="85541.4"/>
  </r>
  <r>
    <x v="0"/>
    <x v="0"/>
    <x v="0"/>
    <x v="3"/>
    <x v="4"/>
    <s v="DE4-E_A"/>
    <x v="2"/>
    <x v="6"/>
    <s v="GNR_ST_MSW_CND_E-33"/>
    <x v="0"/>
    <x v="9"/>
    <n v="65.099999999999994"/>
    <n v="23761.5"/>
    <n v="85541.4"/>
  </r>
  <r>
    <x v="0"/>
    <x v="0"/>
    <x v="0"/>
    <x v="3"/>
    <x v="4"/>
    <s v="DE4-E_A"/>
    <x v="2"/>
    <x v="6"/>
    <s v="GNR_ST_MSW_CND_E-33"/>
    <x v="0"/>
    <x v="10"/>
    <n v="65.099999999999994"/>
    <n v="23761.5"/>
    <n v="85541.4"/>
  </r>
  <r>
    <x v="0"/>
    <x v="0"/>
    <x v="0"/>
    <x v="3"/>
    <x v="4"/>
    <s v="DE4-E_A"/>
    <x v="2"/>
    <x v="6"/>
    <s v="GNR_ST_MSW_CND_E-33"/>
    <x v="0"/>
    <x v="11"/>
    <n v="65.099999999999994"/>
    <n v="23761.5"/>
    <n v="85541.4"/>
  </r>
  <r>
    <x v="0"/>
    <x v="0"/>
    <x v="0"/>
    <x v="3"/>
    <x v="4"/>
    <s v="DE4-E_A"/>
    <x v="2"/>
    <x v="6"/>
    <s v="GNR_ST_MSW_CND_E-33"/>
    <x v="0"/>
    <x v="12"/>
    <n v="65.099999999999994"/>
    <n v="23761.5"/>
    <n v="85541.4"/>
  </r>
  <r>
    <x v="0"/>
    <x v="0"/>
    <x v="0"/>
    <x v="3"/>
    <x v="4"/>
    <s v="DE4-E_A"/>
    <x v="2"/>
    <x v="6"/>
    <s v="GNR_ST_MSW_CND_E-33"/>
    <x v="0"/>
    <x v="13"/>
    <n v="65.099999999999994"/>
    <n v="23761.5"/>
    <n v="85541.4"/>
  </r>
  <r>
    <x v="0"/>
    <x v="0"/>
    <x v="0"/>
    <x v="3"/>
    <x v="4"/>
    <s v="DE4-E_A"/>
    <x v="2"/>
    <x v="6"/>
    <s v="GNR_ST_MSW_CND_E-33"/>
    <x v="0"/>
    <x v="14"/>
    <n v="65.099999999999994"/>
    <n v="23761.5"/>
    <n v="85541.4"/>
  </r>
  <r>
    <x v="0"/>
    <x v="0"/>
    <x v="0"/>
    <x v="3"/>
    <x v="4"/>
    <s v="DE4-E_A"/>
    <x v="2"/>
    <x v="6"/>
    <s v="GNR_ST_MSW_CND_E-33"/>
    <x v="0"/>
    <x v="15"/>
    <n v="65.099999999999994"/>
    <n v="23761.5"/>
    <n v="85541.4"/>
  </r>
  <r>
    <x v="0"/>
    <x v="0"/>
    <x v="0"/>
    <x v="3"/>
    <x v="4"/>
    <s v="DE4-E_A"/>
    <x v="2"/>
    <x v="6"/>
    <s v="GNR_ST_MSW_CND_E-33"/>
    <x v="0"/>
    <x v="16"/>
    <n v="65.099999999999994"/>
    <n v="23761.5"/>
    <n v="85541.4"/>
  </r>
  <r>
    <x v="0"/>
    <x v="0"/>
    <x v="0"/>
    <x v="3"/>
    <x v="4"/>
    <s v="DE4-E_A"/>
    <x v="2"/>
    <x v="6"/>
    <s v="GNR_ST_MSW_CND_E-33"/>
    <x v="0"/>
    <x v="17"/>
    <n v="65.099999999999994"/>
    <n v="23761.5"/>
    <n v="85541.4"/>
  </r>
  <r>
    <x v="0"/>
    <x v="0"/>
    <x v="0"/>
    <x v="3"/>
    <x v="4"/>
    <s v="DE4-E_A"/>
    <x v="2"/>
    <x v="6"/>
    <s v="GNR_ST_MSW_CND_E-33"/>
    <x v="0"/>
    <x v="19"/>
    <n v="65.099999999999994"/>
    <n v="23761.5"/>
    <n v="85541.4"/>
  </r>
  <r>
    <x v="0"/>
    <x v="0"/>
    <x v="0"/>
    <x v="3"/>
    <x v="4"/>
    <s v="DE4-E_A"/>
    <x v="2"/>
    <x v="6"/>
    <s v="GNR_ST_MSW_CND_E-33"/>
    <x v="0"/>
    <x v="20"/>
    <n v="65.099999999999994"/>
    <n v="23761.5"/>
    <n v="85541.4"/>
  </r>
  <r>
    <x v="0"/>
    <x v="0"/>
    <x v="0"/>
    <x v="3"/>
    <x v="4"/>
    <s v="DE4-E_A"/>
    <x v="2"/>
    <x v="6"/>
    <s v="GNR_ST_MSW_CND_E-33"/>
    <x v="0"/>
    <x v="21"/>
    <n v="65.099999999999994"/>
    <n v="23761.5"/>
    <n v="85541.4"/>
  </r>
  <r>
    <x v="0"/>
    <x v="0"/>
    <x v="0"/>
    <x v="3"/>
    <x v="4"/>
    <s v="DE4-E_A"/>
    <x v="2"/>
    <x v="6"/>
    <s v="GNR_ST_MSW_CND_E-33"/>
    <x v="0"/>
    <x v="22"/>
    <n v="65.099999999999994"/>
    <n v="23761.5"/>
    <n v="85541.4"/>
  </r>
  <r>
    <x v="0"/>
    <x v="0"/>
    <x v="0"/>
    <x v="3"/>
    <x v="4"/>
    <s v="DE4-E_A"/>
    <x v="2"/>
    <x v="6"/>
    <s v="GNR_ST_MSW_CND_E-33"/>
    <x v="0"/>
    <x v="23"/>
    <n v="65.099999999999994"/>
    <n v="23761.5"/>
    <n v="85541.4"/>
  </r>
  <r>
    <x v="0"/>
    <x v="0"/>
    <x v="0"/>
    <x v="3"/>
    <x v="4"/>
    <s v="DE4-E_A"/>
    <x v="5"/>
    <x v="3"/>
    <s v="GNR_PV_SUN"/>
    <x v="0"/>
    <x v="7"/>
    <n v="231.322785698838"/>
    <n v="84432.816780075897"/>
    <n v="303958.14040827297"/>
  </r>
  <r>
    <x v="0"/>
    <x v="0"/>
    <x v="0"/>
    <x v="3"/>
    <x v="4"/>
    <s v="DE4-E_A"/>
    <x v="5"/>
    <x v="3"/>
    <s v="GNR_PV_SUN"/>
    <x v="0"/>
    <x v="8"/>
    <n v="1741.44538156869"/>
    <n v="635627.56427257101"/>
    <n v="2288259.2313812599"/>
  </r>
  <r>
    <x v="0"/>
    <x v="0"/>
    <x v="0"/>
    <x v="3"/>
    <x v="4"/>
    <s v="DE4-E_A"/>
    <x v="5"/>
    <x v="3"/>
    <s v="GNR_PV_SUN"/>
    <x v="0"/>
    <x v="9"/>
    <n v="4022.6439297679999"/>
    <n v="1468265.0343653201"/>
    <n v="5285754.1237151502"/>
  </r>
  <r>
    <x v="0"/>
    <x v="0"/>
    <x v="0"/>
    <x v="3"/>
    <x v="4"/>
    <s v="DE4-E_A"/>
    <x v="5"/>
    <x v="3"/>
    <s v="GNR_PV_SUN"/>
    <x v="0"/>
    <x v="10"/>
    <n v="6125.9018735835898"/>
    <n v="2235954.18385801"/>
    <n v="8049435.06188884"/>
  </r>
  <r>
    <x v="0"/>
    <x v="0"/>
    <x v="0"/>
    <x v="3"/>
    <x v="4"/>
    <s v="DE4-E_A"/>
    <x v="5"/>
    <x v="3"/>
    <s v="GNR_PV_SUN"/>
    <x v="0"/>
    <x v="11"/>
    <n v="6964.5952555788699"/>
    <n v="2542077.2682862901"/>
    <n v="9151478.1658306308"/>
  </r>
  <r>
    <x v="0"/>
    <x v="0"/>
    <x v="0"/>
    <x v="3"/>
    <x v="4"/>
    <s v="DE4-E_A"/>
    <x v="5"/>
    <x v="3"/>
    <s v="GNR_PV_SUN"/>
    <x v="0"/>
    <x v="12"/>
    <n v="6055.9119025259897"/>
    <n v="2210407.8444219902"/>
    <n v="7957468.2399191502"/>
  </r>
  <r>
    <x v="0"/>
    <x v="0"/>
    <x v="0"/>
    <x v="3"/>
    <x v="4"/>
    <s v="DE4-E_A"/>
    <x v="5"/>
    <x v="3"/>
    <s v="GNR_PV_SUN"/>
    <x v="0"/>
    <x v="13"/>
    <n v="3940.7912517514901"/>
    <n v="1438388.80688929"/>
    <n v="5178199.7048014598"/>
  </r>
  <r>
    <x v="0"/>
    <x v="0"/>
    <x v="0"/>
    <x v="3"/>
    <x v="4"/>
    <s v="DE4-E_A"/>
    <x v="5"/>
    <x v="3"/>
    <s v="GNR_PV_SUN"/>
    <x v="0"/>
    <x v="14"/>
    <n v="1995.30731048947"/>
    <n v="728287.16832865495"/>
    <n v="2621833.8059831602"/>
  </r>
  <r>
    <x v="0"/>
    <x v="0"/>
    <x v="0"/>
    <x v="3"/>
    <x v="4"/>
    <s v="DE4-E_A"/>
    <x v="5"/>
    <x v="3"/>
    <s v="GNR_PV_SUN"/>
    <x v="0"/>
    <x v="15"/>
    <n v="259.79328240023398"/>
    <n v="94824.548076085295"/>
    <n v="341368.37307390699"/>
  </r>
  <r>
    <x v="0"/>
    <x v="0"/>
    <x v="0"/>
    <x v="3"/>
    <x v="4"/>
    <s v="DE4-E_A"/>
    <x v="16"/>
    <x v="6"/>
    <s v="GNR_GEO_HEAT_EO"/>
    <x v="0"/>
    <x v="0"/>
    <n v="0.22"/>
    <n v="80.3"/>
    <n v="289.08"/>
  </r>
  <r>
    <x v="0"/>
    <x v="0"/>
    <x v="0"/>
    <x v="3"/>
    <x v="4"/>
    <s v="DE4-E_A"/>
    <x v="16"/>
    <x v="6"/>
    <s v="GNR_GEO_HEAT_EO"/>
    <x v="0"/>
    <x v="1"/>
    <n v="0.22"/>
    <n v="80.3"/>
    <n v="289.08"/>
  </r>
  <r>
    <x v="0"/>
    <x v="0"/>
    <x v="0"/>
    <x v="3"/>
    <x v="4"/>
    <s v="DE4-E_A"/>
    <x v="16"/>
    <x v="6"/>
    <s v="GNR_GEO_HEAT_EO"/>
    <x v="0"/>
    <x v="18"/>
    <n v="0.22"/>
    <n v="80.3"/>
    <n v="289.08"/>
  </r>
  <r>
    <x v="0"/>
    <x v="0"/>
    <x v="0"/>
    <x v="3"/>
    <x v="4"/>
    <s v="DE4-E_A"/>
    <x v="16"/>
    <x v="6"/>
    <s v="GNR_GEO_HEAT_EO"/>
    <x v="0"/>
    <x v="2"/>
    <n v="0.22"/>
    <n v="80.3"/>
    <n v="289.08"/>
  </r>
  <r>
    <x v="0"/>
    <x v="0"/>
    <x v="0"/>
    <x v="3"/>
    <x v="4"/>
    <s v="DE4-E_A"/>
    <x v="16"/>
    <x v="6"/>
    <s v="GNR_GEO_HEAT_EO"/>
    <x v="0"/>
    <x v="3"/>
    <n v="0.22"/>
    <n v="80.3"/>
    <n v="289.08"/>
  </r>
  <r>
    <x v="0"/>
    <x v="0"/>
    <x v="0"/>
    <x v="3"/>
    <x v="4"/>
    <s v="DE4-E_A"/>
    <x v="16"/>
    <x v="6"/>
    <s v="GNR_GEO_HEAT_EO"/>
    <x v="0"/>
    <x v="4"/>
    <n v="0.22"/>
    <n v="80.3"/>
    <n v="289.08"/>
  </r>
  <r>
    <x v="0"/>
    <x v="0"/>
    <x v="0"/>
    <x v="3"/>
    <x v="4"/>
    <s v="DE4-E_A"/>
    <x v="16"/>
    <x v="6"/>
    <s v="GNR_GEO_HEAT_EO"/>
    <x v="0"/>
    <x v="5"/>
    <n v="0.22"/>
    <n v="80.3"/>
    <n v="289.08"/>
  </r>
  <r>
    <x v="0"/>
    <x v="0"/>
    <x v="0"/>
    <x v="3"/>
    <x v="4"/>
    <s v="DE4-E_A"/>
    <x v="16"/>
    <x v="6"/>
    <s v="GNR_GEO_HEAT_EO"/>
    <x v="0"/>
    <x v="6"/>
    <n v="0.22"/>
    <n v="80.3"/>
    <n v="289.08"/>
  </r>
  <r>
    <x v="0"/>
    <x v="0"/>
    <x v="0"/>
    <x v="3"/>
    <x v="4"/>
    <s v="DE4-E_A"/>
    <x v="16"/>
    <x v="6"/>
    <s v="GNR_GEO_HEAT_EO"/>
    <x v="0"/>
    <x v="7"/>
    <n v="0.22"/>
    <n v="80.3"/>
    <n v="289.08"/>
  </r>
  <r>
    <x v="0"/>
    <x v="0"/>
    <x v="0"/>
    <x v="3"/>
    <x v="4"/>
    <s v="DE4-E_A"/>
    <x v="16"/>
    <x v="6"/>
    <s v="GNR_GEO_HEAT_EO"/>
    <x v="0"/>
    <x v="8"/>
    <n v="0.22"/>
    <n v="80.3"/>
    <n v="289.08"/>
  </r>
  <r>
    <x v="0"/>
    <x v="0"/>
    <x v="0"/>
    <x v="3"/>
    <x v="4"/>
    <s v="DE4-E_A"/>
    <x v="16"/>
    <x v="6"/>
    <s v="GNR_GEO_HEAT_EO"/>
    <x v="0"/>
    <x v="9"/>
    <n v="0.22"/>
    <n v="80.3"/>
    <n v="289.08"/>
  </r>
  <r>
    <x v="0"/>
    <x v="0"/>
    <x v="0"/>
    <x v="3"/>
    <x v="4"/>
    <s v="DE4-E_A"/>
    <x v="16"/>
    <x v="6"/>
    <s v="GNR_GEO_HEAT_EO"/>
    <x v="0"/>
    <x v="10"/>
    <n v="0.22"/>
    <n v="80.3"/>
    <n v="289.08"/>
  </r>
  <r>
    <x v="0"/>
    <x v="0"/>
    <x v="0"/>
    <x v="3"/>
    <x v="4"/>
    <s v="DE4-E_A"/>
    <x v="16"/>
    <x v="6"/>
    <s v="GNR_GEO_HEAT_EO"/>
    <x v="0"/>
    <x v="11"/>
    <n v="0.22"/>
    <n v="80.3"/>
    <n v="289.08"/>
  </r>
  <r>
    <x v="0"/>
    <x v="0"/>
    <x v="0"/>
    <x v="3"/>
    <x v="4"/>
    <s v="DE4-E_A"/>
    <x v="16"/>
    <x v="6"/>
    <s v="GNR_GEO_HEAT_EO"/>
    <x v="0"/>
    <x v="12"/>
    <n v="0.22"/>
    <n v="80.3"/>
    <n v="289.08"/>
  </r>
  <r>
    <x v="0"/>
    <x v="0"/>
    <x v="0"/>
    <x v="3"/>
    <x v="4"/>
    <s v="DE4-E_A"/>
    <x v="16"/>
    <x v="6"/>
    <s v="GNR_GEO_HEAT_EO"/>
    <x v="0"/>
    <x v="13"/>
    <n v="0.22"/>
    <n v="80.3"/>
    <n v="289.08"/>
  </r>
  <r>
    <x v="0"/>
    <x v="0"/>
    <x v="0"/>
    <x v="3"/>
    <x v="4"/>
    <s v="DE4-E_A"/>
    <x v="16"/>
    <x v="6"/>
    <s v="GNR_GEO_HEAT_EO"/>
    <x v="0"/>
    <x v="14"/>
    <n v="0.22"/>
    <n v="80.3"/>
    <n v="289.08"/>
  </r>
  <r>
    <x v="0"/>
    <x v="0"/>
    <x v="0"/>
    <x v="3"/>
    <x v="4"/>
    <s v="DE4-E_A"/>
    <x v="16"/>
    <x v="6"/>
    <s v="GNR_GEO_HEAT_EO"/>
    <x v="0"/>
    <x v="15"/>
    <n v="0.22"/>
    <n v="80.3"/>
    <n v="289.08"/>
  </r>
  <r>
    <x v="0"/>
    <x v="0"/>
    <x v="0"/>
    <x v="3"/>
    <x v="4"/>
    <s v="DE4-E_A"/>
    <x v="16"/>
    <x v="6"/>
    <s v="GNR_GEO_HEAT_EO"/>
    <x v="0"/>
    <x v="16"/>
    <n v="0.22"/>
    <n v="80.3"/>
    <n v="289.08"/>
  </r>
  <r>
    <x v="0"/>
    <x v="0"/>
    <x v="0"/>
    <x v="3"/>
    <x v="4"/>
    <s v="DE4-E_A"/>
    <x v="16"/>
    <x v="6"/>
    <s v="GNR_GEO_HEAT_EO"/>
    <x v="0"/>
    <x v="17"/>
    <n v="0.22"/>
    <n v="80.3"/>
    <n v="289.08"/>
  </r>
  <r>
    <x v="0"/>
    <x v="0"/>
    <x v="0"/>
    <x v="3"/>
    <x v="4"/>
    <s v="DE4-E_A"/>
    <x v="16"/>
    <x v="6"/>
    <s v="GNR_GEO_HEAT_EO"/>
    <x v="0"/>
    <x v="19"/>
    <n v="0.22"/>
    <n v="80.3"/>
    <n v="289.08"/>
  </r>
  <r>
    <x v="0"/>
    <x v="0"/>
    <x v="0"/>
    <x v="3"/>
    <x v="4"/>
    <s v="DE4-E_A"/>
    <x v="16"/>
    <x v="6"/>
    <s v="GNR_GEO_HEAT_EO"/>
    <x v="0"/>
    <x v="20"/>
    <n v="0.22"/>
    <n v="80.3"/>
    <n v="289.08"/>
  </r>
  <r>
    <x v="0"/>
    <x v="0"/>
    <x v="0"/>
    <x v="3"/>
    <x v="4"/>
    <s v="DE4-E_A"/>
    <x v="16"/>
    <x v="6"/>
    <s v="GNR_GEO_HEAT_EO"/>
    <x v="0"/>
    <x v="21"/>
    <n v="0.22"/>
    <n v="80.3"/>
    <n v="289.08"/>
  </r>
  <r>
    <x v="0"/>
    <x v="0"/>
    <x v="0"/>
    <x v="3"/>
    <x v="4"/>
    <s v="DE4-E_A"/>
    <x v="16"/>
    <x v="6"/>
    <s v="GNR_GEO_HEAT_EO"/>
    <x v="0"/>
    <x v="22"/>
    <n v="0.22"/>
    <n v="80.3"/>
    <n v="289.08"/>
  </r>
  <r>
    <x v="0"/>
    <x v="0"/>
    <x v="0"/>
    <x v="3"/>
    <x v="4"/>
    <s v="DE4-E_A"/>
    <x v="16"/>
    <x v="6"/>
    <s v="GNR_GEO_HEAT_EO"/>
    <x v="0"/>
    <x v="23"/>
    <n v="0.22"/>
    <n v="80.3"/>
    <n v="289.08"/>
  </r>
  <r>
    <x v="0"/>
    <x v="0"/>
    <x v="0"/>
    <x v="3"/>
    <x v="4"/>
    <s v="DE4-E_A"/>
    <x v="6"/>
    <x v="4"/>
    <s v="GNR_ROR_WTR"/>
    <x v="0"/>
    <x v="0"/>
    <n v="302.85891450546501"/>
    <n v="110543.503794495"/>
    <n v="397956.613660181"/>
  </r>
  <r>
    <x v="0"/>
    <x v="0"/>
    <x v="0"/>
    <x v="3"/>
    <x v="4"/>
    <s v="DE4-E_A"/>
    <x v="6"/>
    <x v="4"/>
    <s v="GNR_ROR_WTR"/>
    <x v="0"/>
    <x v="1"/>
    <n v="302.85891450546501"/>
    <n v="110543.503794495"/>
    <n v="397956.613660181"/>
  </r>
  <r>
    <x v="0"/>
    <x v="0"/>
    <x v="0"/>
    <x v="3"/>
    <x v="4"/>
    <s v="DE4-E_A"/>
    <x v="6"/>
    <x v="4"/>
    <s v="GNR_ROR_WTR"/>
    <x v="0"/>
    <x v="18"/>
    <n v="302.85891450546501"/>
    <n v="110543.503794495"/>
    <n v="397956.613660181"/>
  </r>
  <r>
    <x v="0"/>
    <x v="0"/>
    <x v="0"/>
    <x v="3"/>
    <x v="4"/>
    <s v="DE4-E_A"/>
    <x v="6"/>
    <x v="4"/>
    <s v="GNR_ROR_WTR"/>
    <x v="0"/>
    <x v="2"/>
    <n v="302.85891450546501"/>
    <n v="110543.503794495"/>
    <n v="397956.613660181"/>
  </r>
  <r>
    <x v="0"/>
    <x v="0"/>
    <x v="0"/>
    <x v="3"/>
    <x v="4"/>
    <s v="DE4-E_A"/>
    <x v="6"/>
    <x v="4"/>
    <s v="GNR_ROR_WTR"/>
    <x v="0"/>
    <x v="3"/>
    <n v="302.85891450546501"/>
    <n v="110543.503794495"/>
    <n v="397956.613660181"/>
  </r>
  <r>
    <x v="0"/>
    <x v="0"/>
    <x v="0"/>
    <x v="3"/>
    <x v="4"/>
    <s v="DE4-E_A"/>
    <x v="6"/>
    <x v="4"/>
    <s v="GNR_ROR_WTR"/>
    <x v="0"/>
    <x v="4"/>
    <n v="302.85891450546501"/>
    <n v="110543.503794495"/>
    <n v="397956.613660181"/>
  </r>
  <r>
    <x v="0"/>
    <x v="0"/>
    <x v="0"/>
    <x v="3"/>
    <x v="4"/>
    <s v="DE4-E_A"/>
    <x v="6"/>
    <x v="4"/>
    <s v="GNR_ROR_WTR"/>
    <x v="0"/>
    <x v="5"/>
    <n v="302.85891450546501"/>
    <n v="110543.503794495"/>
    <n v="397956.613660181"/>
  </r>
  <r>
    <x v="0"/>
    <x v="0"/>
    <x v="0"/>
    <x v="3"/>
    <x v="4"/>
    <s v="DE4-E_A"/>
    <x v="6"/>
    <x v="4"/>
    <s v="GNR_ROR_WTR"/>
    <x v="0"/>
    <x v="6"/>
    <n v="302.85891450546501"/>
    <n v="110543.503794495"/>
    <n v="397956.613660181"/>
  </r>
  <r>
    <x v="0"/>
    <x v="0"/>
    <x v="0"/>
    <x v="3"/>
    <x v="4"/>
    <s v="DE4-E_A"/>
    <x v="6"/>
    <x v="4"/>
    <s v="GNR_ROR_WTR"/>
    <x v="0"/>
    <x v="7"/>
    <n v="302.85891450546501"/>
    <n v="110543.503794495"/>
    <n v="397956.613660181"/>
  </r>
  <r>
    <x v="0"/>
    <x v="0"/>
    <x v="0"/>
    <x v="3"/>
    <x v="4"/>
    <s v="DE4-E_A"/>
    <x v="6"/>
    <x v="4"/>
    <s v="GNR_ROR_WTR"/>
    <x v="0"/>
    <x v="8"/>
    <n v="302.85891450546501"/>
    <n v="110543.503794495"/>
    <n v="397956.613660181"/>
  </r>
  <r>
    <x v="0"/>
    <x v="0"/>
    <x v="0"/>
    <x v="3"/>
    <x v="4"/>
    <s v="DE4-E_A"/>
    <x v="6"/>
    <x v="4"/>
    <s v="GNR_ROR_WTR"/>
    <x v="0"/>
    <x v="9"/>
    <n v="302.85891450546501"/>
    <n v="110543.503794495"/>
    <n v="397956.613660181"/>
  </r>
  <r>
    <x v="0"/>
    <x v="0"/>
    <x v="0"/>
    <x v="3"/>
    <x v="4"/>
    <s v="DE4-E_A"/>
    <x v="6"/>
    <x v="4"/>
    <s v="GNR_ROR_WTR"/>
    <x v="0"/>
    <x v="10"/>
    <n v="302.85891450546501"/>
    <n v="110543.503794495"/>
    <n v="397956.613660181"/>
  </r>
  <r>
    <x v="0"/>
    <x v="0"/>
    <x v="0"/>
    <x v="3"/>
    <x v="4"/>
    <s v="DE4-E_A"/>
    <x v="6"/>
    <x v="4"/>
    <s v="GNR_ROR_WTR"/>
    <x v="0"/>
    <x v="11"/>
    <n v="302.85891450546501"/>
    <n v="110543.503794495"/>
    <n v="397956.613660181"/>
  </r>
  <r>
    <x v="0"/>
    <x v="0"/>
    <x v="0"/>
    <x v="3"/>
    <x v="4"/>
    <s v="DE4-E_A"/>
    <x v="6"/>
    <x v="4"/>
    <s v="GNR_ROR_WTR"/>
    <x v="0"/>
    <x v="12"/>
    <n v="302.85891450546501"/>
    <n v="110543.503794495"/>
    <n v="397956.613660181"/>
  </r>
  <r>
    <x v="0"/>
    <x v="0"/>
    <x v="0"/>
    <x v="3"/>
    <x v="4"/>
    <s v="DE4-E_A"/>
    <x v="6"/>
    <x v="4"/>
    <s v="GNR_ROR_WTR"/>
    <x v="0"/>
    <x v="13"/>
    <n v="302.85891450546501"/>
    <n v="110543.503794495"/>
    <n v="397956.613660181"/>
  </r>
  <r>
    <x v="0"/>
    <x v="0"/>
    <x v="0"/>
    <x v="3"/>
    <x v="4"/>
    <s v="DE4-E_A"/>
    <x v="6"/>
    <x v="4"/>
    <s v="GNR_ROR_WTR"/>
    <x v="0"/>
    <x v="14"/>
    <n v="302.85891450546501"/>
    <n v="110543.503794495"/>
    <n v="397956.613660181"/>
  </r>
  <r>
    <x v="0"/>
    <x v="0"/>
    <x v="0"/>
    <x v="3"/>
    <x v="4"/>
    <s v="DE4-E_A"/>
    <x v="6"/>
    <x v="4"/>
    <s v="GNR_ROR_WTR"/>
    <x v="0"/>
    <x v="15"/>
    <n v="302.85891450546501"/>
    <n v="110543.503794495"/>
    <n v="397956.613660181"/>
  </r>
  <r>
    <x v="0"/>
    <x v="0"/>
    <x v="0"/>
    <x v="3"/>
    <x v="4"/>
    <s v="DE4-E_A"/>
    <x v="6"/>
    <x v="4"/>
    <s v="GNR_ROR_WTR"/>
    <x v="0"/>
    <x v="16"/>
    <n v="302.85891450546501"/>
    <n v="110543.503794495"/>
    <n v="397956.613660181"/>
  </r>
  <r>
    <x v="0"/>
    <x v="0"/>
    <x v="0"/>
    <x v="3"/>
    <x v="4"/>
    <s v="DE4-E_A"/>
    <x v="6"/>
    <x v="4"/>
    <s v="GNR_ROR_WTR"/>
    <x v="0"/>
    <x v="17"/>
    <n v="302.85891450546501"/>
    <n v="110543.503794495"/>
    <n v="397956.613660181"/>
  </r>
  <r>
    <x v="0"/>
    <x v="0"/>
    <x v="0"/>
    <x v="3"/>
    <x v="4"/>
    <s v="DE4-E_A"/>
    <x v="6"/>
    <x v="4"/>
    <s v="GNR_ROR_WTR"/>
    <x v="0"/>
    <x v="19"/>
    <n v="302.85891450546501"/>
    <n v="110543.503794495"/>
    <n v="397956.613660181"/>
  </r>
  <r>
    <x v="0"/>
    <x v="0"/>
    <x v="0"/>
    <x v="3"/>
    <x v="4"/>
    <s v="DE4-E_A"/>
    <x v="6"/>
    <x v="4"/>
    <s v="GNR_ROR_WTR"/>
    <x v="0"/>
    <x v="20"/>
    <n v="302.85891450546501"/>
    <n v="110543.503794495"/>
    <n v="397956.613660181"/>
  </r>
  <r>
    <x v="0"/>
    <x v="0"/>
    <x v="0"/>
    <x v="3"/>
    <x v="4"/>
    <s v="DE4-E_A"/>
    <x v="6"/>
    <x v="4"/>
    <s v="GNR_ROR_WTR"/>
    <x v="0"/>
    <x v="21"/>
    <n v="302.85891450546501"/>
    <n v="110543.503794495"/>
    <n v="397956.613660181"/>
  </r>
  <r>
    <x v="0"/>
    <x v="0"/>
    <x v="0"/>
    <x v="3"/>
    <x v="4"/>
    <s v="DE4-E_A"/>
    <x v="6"/>
    <x v="4"/>
    <s v="GNR_ROR_WTR"/>
    <x v="0"/>
    <x v="22"/>
    <n v="302.85891450546501"/>
    <n v="110543.503794495"/>
    <n v="397956.613660181"/>
  </r>
  <r>
    <x v="0"/>
    <x v="0"/>
    <x v="0"/>
    <x v="3"/>
    <x v="4"/>
    <s v="DE4-E_A"/>
    <x v="6"/>
    <x v="4"/>
    <s v="GNR_ROR_WTR"/>
    <x v="0"/>
    <x v="23"/>
    <n v="302.85891450546501"/>
    <n v="110543.503794495"/>
    <n v="397956.613660181"/>
  </r>
  <r>
    <x v="0"/>
    <x v="0"/>
    <x v="0"/>
    <x v="3"/>
    <x v="4"/>
    <s v="DE4-E_A"/>
    <x v="7"/>
    <x v="5"/>
    <s v="GNR_WT_WIND_ONS"/>
    <x v="0"/>
    <x v="0"/>
    <n v="2948.4392652654901"/>
    <n v="1076180.3318219001"/>
    <n v="3874249.1945588598"/>
  </r>
  <r>
    <x v="0"/>
    <x v="0"/>
    <x v="0"/>
    <x v="3"/>
    <x v="4"/>
    <s v="DE4-E_A"/>
    <x v="7"/>
    <x v="5"/>
    <s v="GNR_WT_WIND_ONS"/>
    <x v="0"/>
    <x v="1"/>
    <n v="2852.88526764892"/>
    <n v="1041303.1226918499"/>
    <n v="3748691.2416906701"/>
  </r>
  <r>
    <x v="0"/>
    <x v="0"/>
    <x v="0"/>
    <x v="3"/>
    <x v="4"/>
    <s v="DE4-E_A"/>
    <x v="7"/>
    <x v="5"/>
    <s v="GNR_WT_WIND_ONS"/>
    <x v="0"/>
    <x v="18"/>
    <n v="2771.4583497621002"/>
    <n v="1011582.29766317"/>
    <n v="3641696.2715874002"/>
  </r>
  <r>
    <x v="0"/>
    <x v="0"/>
    <x v="0"/>
    <x v="3"/>
    <x v="4"/>
    <s v="DE4-E_A"/>
    <x v="7"/>
    <x v="5"/>
    <s v="GNR_WT_WIND_ONS"/>
    <x v="0"/>
    <x v="2"/>
    <n v="2631.7572279900201"/>
    <n v="960591.38821635698"/>
    <n v="3458128.9975788901"/>
  </r>
  <r>
    <x v="0"/>
    <x v="0"/>
    <x v="0"/>
    <x v="3"/>
    <x v="4"/>
    <s v="DE4-E_A"/>
    <x v="7"/>
    <x v="5"/>
    <s v="GNR_WT_WIND_ONS"/>
    <x v="0"/>
    <x v="3"/>
    <n v="2397.28694636413"/>
    <n v="875009.73542290705"/>
    <n v="3150035.0475224699"/>
  </r>
  <r>
    <x v="0"/>
    <x v="0"/>
    <x v="0"/>
    <x v="3"/>
    <x v="4"/>
    <s v="DE4-E_A"/>
    <x v="7"/>
    <x v="5"/>
    <s v="GNR_WT_WIND_ONS"/>
    <x v="0"/>
    <x v="4"/>
    <n v="2187.5390542653199"/>
    <n v="798451.75480684196"/>
    <n v="2874426.3173046298"/>
  </r>
  <r>
    <x v="0"/>
    <x v="0"/>
    <x v="0"/>
    <x v="3"/>
    <x v="4"/>
    <s v="DE4-E_A"/>
    <x v="7"/>
    <x v="5"/>
    <s v="GNR_WT_WIND_ONS"/>
    <x v="0"/>
    <x v="5"/>
    <n v="1803.1647599514099"/>
    <n v="658155.13738226495"/>
    <n v="2369358.4945761599"/>
  </r>
  <r>
    <x v="0"/>
    <x v="0"/>
    <x v="0"/>
    <x v="3"/>
    <x v="4"/>
    <s v="DE4-E_A"/>
    <x v="7"/>
    <x v="5"/>
    <s v="GNR_WT_WIND_ONS"/>
    <x v="0"/>
    <x v="6"/>
    <n v="1743.7132994220001"/>
    <n v="636455.35428903101"/>
    <n v="2291239.2754405099"/>
  </r>
  <r>
    <x v="0"/>
    <x v="0"/>
    <x v="0"/>
    <x v="3"/>
    <x v="4"/>
    <s v="DE4-E_A"/>
    <x v="7"/>
    <x v="5"/>
    <s v="GNR_WT_WIND_ONS"/>
    <x v="0"/>
    <x v="7"/>
    <n v="1874.5849963629801"/>
    <n v="684223.52367248805"/>
    <n v="2463204.6852209601"/>
  </r>
  <r>
    <x v="0"/>
    <x v="0"/>
    <x v="0"/>
    <x v="3"/>
    <x v="4"/>
    <s v="DE4-E_A"/>
    <x v="7"/>
    <x v="5"/>
    <s v="GNR_WT_WIND_ONS"/>
    <x v="0"/>
    <x v="8"/>
    <n v="2021.9382863220101"/>
    <n v="738007.47450753499"/>
    <n v="2656826.9082271298"/>
  </r>
  <r>
    <x v="0"/>
    <x v="0"/>
    <x v="0"/>
    <x v="3"/>
    <x v="4"/>
    <s v="DE4-E_A"/>
    <x v="7"/>
    <x v="5"/>
    <s v="GNR_WT_WIND_ONS"/>
    <x v="0"/>
    <x v="9"/>
    <n v="2332.9302498174402"/>
    <n v="851519.54118336597"/>
    <n v="3065470.34826012"/>
  </r>
  <r>
    <x v="0"/>
    <x v="0"/>
    <x v="0"/>
    <x v="3"/>
    <x v="4"/>
    <s v="DE4-E_A"/>
    <x v="7"/>
    <x v="5"/>
    <s v="GNR_WT_WIND_ONS"/>
    <x v="0"/>
    <x v="10"/>
    <n v="2569.9512541723202"/>
    <n v="938032.20777289604"/>
    <n v="3376915.9479824202"/>
  </r>
  <r>
    <x v="0"/>
    <x v="0"/>
    <x v="0"/>
    <x v="3"/>
    <x v="4"/>
    <s v="DE4-E_A"/>
    <x v="7"/>
    <x v="5"/>
    <s v="GNR_WT_WIND_ONS"/>
    <x v="0"/>
    <x v="11"/>
    <n v="3162.50376505951"/>
    <n v="1154313.87424672"/>
    <n v="4155529.94728819"/>
  </r>
  <r>
    <x v="0"/>
    <x v="0"/>
    <x v="0"/>
    <x v="3"/>
    <x v="4"/>
    <s v="DE4-E_A"/>
    <x v="7"/>
    <x v="5"/>
    <s v="GNR_WT_WIND_ONS"/>
    <x v="0"/>
    <x v="12"/>
    <n v="3695.60481541728"/>
    <n v="1348895.75762731"/>
    <n v="4856024.7274583103"/>
  </r>
  <r>
    <x v="0"/>
    <x v="0"/>
    <x v="0"/>
    <x v="3"/>
    <x v="4"/>
    <s v="DE4-E_A"/>
    <x v="7"/>
    <x v="5"/>
    <s v="GNR_WT_WIND_ONS"/>
    <x v="0"/>
    <x v="13"/>
    <n v="4303.0692437970001"/>
    <n v="1570620.2739859"/>
    <n v="5654232.9863492604"/>
  </r>
  <r>
    <x v="0"/>
    <x v="0"/>
    <x v="0"/>
    <x v="3"/>
    <x v="4"/>
    <s v="DE4-E_A"/>
    <x v="7"/>
    <x v="5"/>
    <s v="GNR_WT_WIND_ONS"/>
    <x v="0"/>
    <x v="14"/>
    <n v="4902.68529454907"/>
    <n v="1789480.1325104099"/>
    <n v="6442128.4770374699"/>
  </r>
  <r>
    <x v="0"/>
    <x v="0"/>
    <x v="0"/>
    <x v="3"/>
    <x v="4"/>
    <s v="DE4-E_A"/>
    <x v="7"/>
    <x v="5"/>
    <s v="GNR_WT_WIND_ONS"/>
    <x v="0"/>
    <x v="15"/>
    <n v="5703.2198125688501"/>
    <n v="2081675.23158763"/>
    <n v="7494030.8337154603"/>
  </r>
  <r>
    <x v="0"/>
    <x v="0"/>
    <x v="0"/>
    <x v="3"/>
    <x v="4"/>
    <s v="DE4-E_A"/>
    <x v="7"/>
    <x v="5"/>
    <s v="GNR_WT_WIND_ONS"/>
    <x v="0"/>
    <x v="16"/>
    <n v="6434.4923980246604"/>
    <n v="2348589.7252790001"/>
    <n v="8454923.0110043995"/>
  </r>
  <r>
    <x v="0"/>
    <x v="0"/>
    <x v="0"/>
    <x v="3"/>
    <x v="4"/>
    <s v="DE4-E_A"/>
    <x v="7"/>
    <x v="5"/>
    <s v="GNR_WT_WIND_ONS"/>
    <x v="0"/>
    <x v="17"/>
    <n v="7218.1529041450003"/>
    <n v="2634625.8100129198"/>
    <n v="9484652.91604653"/>
  </r>
  <r>
    <x v="0"/>
    <x v="0"/>
    <x v="0"/>
    <x v="3"/>
    <x v="4"/>
    <s v="DE4-E_A"/>
    <x v="7"/>
    <x v="5"/>
    <s v="GNR_WT_WIND_ONS"/>
    <x v="0"/>
    <x v="19"/>
    <n v="8005.7375990791597"/>
    <n v="2922094.2236638898"/>
    <n v="10519539.205189999"/>
  </r>
  <r>
    <x v="0"/>
    <x v="0"/>
    <x v="0"/>
    <x v="3"/>
    <x v="4"/>
    <s v="DE4-E_A"/>
    <x v="7"/>
    <x v="5"/>
    <s v="GNR_WT_WIND_ONS"/>
    <x v="0"/>
    <x v="20"/>
    <n v="8678.3435617683299"/>
    <n v="3167595.4000454401"/>
    <n v="11403343.440163599"/>
  </r>
  <r>
    <x v="0"/>
    <x v="0"/>
    <x v="0"/>
    <x v="3"/>
    <x v="4"/>
    <s v="DE4-E_A"/>
    <x v="7"/>
    <x v="5"/>
    <s v="GNR_WT_WIND_ONS"/>
    <x v="0"/>
    <x v="21"/>
    <n v="9418.2493626145497"/>
    <n v="3437661.01735431"/>
    <n v="12375579.6624755"/>
  </r>
  <r>
    <x v="0"/>
    <x v="0"/>
    <x v="0"/>
    <x v="3"/>
    <x v="4"/>
    <s v="DE4-E_A"/>
    <x v="7"/>
    <x v="5"/>
    <s v="GNR_WT_WIND_ONS"/>
    <x v="0"/>
    <x v="22"/>
    <n v="10352.0100908636"/>
    <n v="3778483.6831652098"/>
    <n v="13602541.2593948"/>
  </r>
  <r>
    <x v="0"/>
    <x v="0"/>
    <x v="0"/>
    <x v="3"/>
    <x v="4"/>
    <s v="DE4-E_A"/>
    <x v="7"/>
    <x v="5"/>
    <s v="GNR_WT_WIND_ONS"/>
    <x v="0"/>
    <x v="23"/>
    <n v="10961.0441947688"/>
    <n v="4000781.1310906298"/>
    <n v="14402812.071926299"/>
  </r>
  <r>
    <x v="0"/>
    <x v="0"/>
    <x v="0"/>
    <x v="3"/>
    <x v="4"/>
    <s v="DE4-E_Offshore_A"/>
    <x v="7"/>
    <x v="5"/>
    <s v="GNR_WT_WIND_OFF"/>
    <x v="0"/>
    <x v="0"/>
    <n v="107.223932542749"/>
    <n v="39136.735378103302"/>
    <n v="140892.24736117199"/>
  </r>
  <r>
    <x v="0"/>
    <x v="0"/>
    <x v="0"/>
    <x v="3"/>
    <x v="4"/>
    <s v="DE4-E_Offshore_A"/>
    <x v="7"/>
    <x v="5"/>
    <s v="GNR_WT_WIND_OFF"/>
    <x v="0"/>
    <x v="1"/>
    <n v="103.748983773978"/>
    <n v="37868.379077501901"/>
    <n v="136326.16467900699"/>
  </r>
  <r>
    <x v="0"/>
    <x v="0"/>
    <x v="0"/>
    <x v="3"/>
    <x v="4"/>
    <s v="DE4-E_Offshore_A"/>
    <x v="7"/>
    <x v="5"/>
    <s v="GNR_WT_WIND_OFF"/>
    <x v="0"/>
    <x v="18"/>
    <n v="100.787785131186"/>
    <n v="36787.541572882699"/>
    <n v="132435.14966237801"/>
  </r>
  <r>
    <x v="0"/>
    <x v="0"/>
    <x v="0"/>
    <x v="3"/>
    <x v="4"/>
    <s v="DE4-E_Offshore_A"/>
    <x v="7"/>
    <x v="5"/>
    <s v="GNR_WT_WIND_OFF"/>
    <x v="0"/>
    <x v="2"/>
    <n v="95.707367218732202"/>
    <n v="34933.189034837204"/>
    <n v="125759.48052541399"/>
  </r>
  <r>
    <x v="0"/>
    <x v="0"/>
    <x v="0"/>
    <x v="3"/>
    <x v="4"/>
    <s v="DE4-E_Offshore_A"/>
    <x v="7"/>
    <x v="5"/>
    <s v="GNR_WT_WIND_OFF"/>
    <x v="0"/>
    <x v="3"/>
    <n v="87.180542211173403"/>
    <n v="31820.897907078299"/>
    <n v="114555.232465482"/>
  </r>
  <r>
    <x v="0"/>
    <x v="0"/>
    <x v="0"/>
    <x v="3"/>
    <x v="4"/>
    <s v="DE4-E_Offshore_A"/>
    <x v="7"/>
    <x v="5"/>
    <s v="GNR_WT_WIND_OFF"/>
    <x v="0"/>
    <x v="4"/>
    <n v="79.552779924077001"/>
    <n v="29036.7646722881"/>
    <n v="104532.35282023701"/>
  </r>
  <r>
    <x v="0"/>
    <x v="0"/>
    <x v="0"/>
    <x v="3"/>
    <x v="4"/>
    <s v="DE4-E_Offshore_A"/>
    <x v="7"/>
    <x v="5"/>
    <s v="GNR_WT_WIND_OFF"/>
    <x v="0"/>
    <x v="5"/>
    <n v="65.574495246413804"/>
    <n v="23934.690764940999"/>
    <n v="86164.886753787796"/>
  </r>
  <r>
    <x v="0"/>
    <x v="0"/>
    <x v="0"/>
    <x v="3"/>
    <x v="4"/>
    <s v="DE4-E_Offshore_A"/>
    <x v="7"/>
    <x v="5"/>
    <s v="GNR_WT_WIND_OFF"/>
    <x v="0"/>
    <x v="6"/>
    <n v="63.4124634662546"/>
    <n v="23145.5491651829"/>
    <n v="83323.9769946585"/>
  </r>
  <r>
    <x v="0"/>
    <x v="0"/>
    <x v="0"/>
    <x v="3"/>
    <x v="4"/>
    <s v="DE4-E_Offshore_A"/>
    <x v="7"/>
    <x v="5"/>
    <s v="GNR_WT_WIND_OFF"/>
    <x v="0"/>
    <x v="7"/>
    <n v="68.171787549971398"/>
    <n v="24882.7024557396"/>
    <n v="89577.728840662501"/>
  </r>
  <r>
    <x v="0"/>
    <x v="0"/>
    <x v="0"/>
    <x v="3"/>
    <x v="4"/>
    <s v="DE4-E_Offshore_A"/>
    <x v="7"/>
    <x v="5"/>
    <s v="GNR_WT_WIND_OFF"/>
    <x v="0"/>
    <x v="8"/>
    <n v="73.530486780663196"/>
    <n v="26838.627674942101"/>
    <n v="96619.059629791402"/>
  </r>
  <r>
    <x v="0"/>
    <x v="0"/>
    <x v="0"/>
    <x v="3"/>
    <x v="4"/>
    <s v="DE4-E_Offshore_A"/>
    <x v="7"/>
    <x v="5"/>
    <s v="GNR_WT_WIND_OFF"/>
    <x v="0"/>
    <x v="9"/>
    <n v="84.840124970605004"/>
    <n v="30966.645614270801"/>
    <n v="111479.92421137499"/>
  </r>
  <r>
    <x v="0"/>
    <x v="0"/>
    <x v="0"/>
    <x v="3"/>
    <x v="4"/>
    <s v="DE4-E_Offshore_A"/>
    <x v="7"/>
    <x v="5"/>
    <s v="GNR_WT_WIND_OFF"/>
    <x v="0"/>
    <x v="10"/>
    <n v="93.459710417576503"/>
    <n v="34112.794302415401"/>
    <n v="122806.059488696"/>
  </r>
  <r>
    <x v="0"/>
    <x v="0"/>
    <x v="0"/>
    <x v="3"/>
    <x v="4"/>
    <s v="DE4-E_Offshore_A"/>
    <x v="7"/>
    <x v="5"/>
    <s v="GNR_WT_WIND_OFF"/>
    <x v="0"/>
    <x v="11"/>
    <n v="115.008674035005"/>
    <n v="41978.166022776903"/>
    <n v="151121.39768199701"/>
  </r>
  <r>
    <x v="0"/>
    <x v="0"/>
    <x v="0"/>
    <x v="3"/>
    <x v="4"/>
    <s v="DE4-E_Offshore_A"/>
    <x v="7"/>
    <x v="5"/>
    <s v="GNR_WT_WIND_OFF"/>
    <x v="0"/>
    <x v="12"/>
    <n v="134.39560587227501"/>
    <n v="49054.396143380298"/>
    <n v="176595.82611616899"/>
  </r>
  <r>
    <x v="0"/>
    <x v="0"/>
    <x v="0"/>
    <x v="3"/>
    <x v="4"/>
    <s v="DE4-E_Offshore_A"/>
    <x v="7"/>
    <x v="5"/>
    <s v="GNR_WT_WIND_OFF"/>
    <x v="0"/>
    <x v="13"/>
    <n v="156.48686128934699"/>
    <n v="57117.704370611798"/>
    <n v="205623.735734202"/>
  </r>
  <r>
    <x v="0"/>
    <x v="0"/>
    <x v="0"/>
    <x v="3"/>
    <x v="4"/>
    <s v="DE4-E_Offshore_A"/>
    <x v="7"/>
    <x v="5"/>
    <s v="GNR_WT_WIND_OFF"/>
    <x v="0"/>
    <x v="14"/>
    <n v="178.29269996976501"/>
    <n v="65076.835488964301"/>
    <n v="234276.607760271"/>
  </r>
  <r>
    <x v="0"/>
    <x v="0"/>
    <x v="0"/>
    <x v="3"/>
    <x v="4"/>
    <s v="DE4-E_Offshore_A"/>
    <x v="7"/>
    <x v="5"/>
    <s v="GNR_WT_WIND_OFF"/>
    <x v="0"/>
    <x v="15"/>
    <n v="207.40520710854301"/>
    <n v="75702.900594618201"/>
    <n v="272530.44214062602"/>
  </r>
  <r>
    <x v="0"/>
    <x v="0"/>
    <x v="0"/>
    <x v="3"/>
    <x v="4"/>
    <s v="DE4-E_Offshore_A"/>
    <x v="7"/>
    <x v="5"/>
    <s v="GNR_WT_WIND_OFF"/>
    <x v="0"/>
    <x v="16"/>
    <n v="233.99891154634301"/>
    <n v="85409.602714415305"/>
    <n v="307474.56977189501"/>
  </r>
  <r>
    <x v="0"/>
    <x v="0"/>
    <x v="0"/>
    <x v="3"/>
    <x v="4"/>
    <s v="DE4-E_Offshore_A"/>
    <x v="7"/>
    <x v="5"/>
    <s v="GNR_WT_WIND_OFF"/>
    <x v="0"/>
    <x v="17"/>
    <n v="262.49777270131398"/>
    <n v="95811.687035979397"/>
    <n v="344922.073329526"/>
  </r>
  <r>
    <x v="0"/>
    <x v="0"/>
    <x v="0"/>
    <x v="3"/>
    <x v="4"/>
    <s v="DE4-E_Offshore_A"/>
    <x v="7"/>
    <x v="5"/>
    <s v="GNR_WT_WIND_OFF"/>
    <x v="0"/>
    <x v="19"/>
    <n v="291.13934222461103"/>
    <n v="106265.859911983"/>
    <n v="382557.09568313899"/>
  </r>
  <r>
    <x v="0"/>
    <x v="0"/>
    <x v="0"/>
    <x v="3"/>
    <x v="4"/>
    <s v="DE4-E_Offshore_A"/>
    <x v="7"/>
    <x v="5"/>
    <s v="GNR_WT_WIND_OFF"/>
    <x v="0"/>
    <x v="20"/>
    <n v="315.59955655591801"/>
    <n v="115193.83814291"/>
    <n v="414697.81731447601"/>
  </r>
  <r>
    <x v="0"/>
    <x v="0"/>
    <x v="0"/>
    <x v="3"/>
    <x v="4"/>
    <s v="DE4-E_Offshore_A"/>
    <x v="7"/>
    <x v="5"/>
    <s v="GNR_WT_WIND_OFF"/>
    <x v="0"/>
    <x v="21"/>
    <n v="342.50721940403798"/>
    <n v="125015.13508247399"/>
    <n v="450054.48629690602"/>
  </r>
  <r>
    <x v="0"/>
    <x v="0"/>
    <x v="0"/>
    <x v="3"/>
    <x v="4"/>
    <s v="DE4-E_Offshore_A"/>
    <x v="7"/>
    <x v="5"/>
    <s v="GNR_WT_WIND_OFF"/>
    <x v="0"/>
    <x v="22"/>
    <n v="376.46467564752902"/>
    <n v="137409.60661134799"/>
    <n v="494674.583800853"/>
  </r>
  <r>
    <x v="0"/>
    <x v="0"/>
    <x v="0"/>
    <x v="3"/>
    <x v="4"/>
    <s v="DE4-E_Offshore_A"/>
    <x v="7"/>
    <x v="5"/>
    <s v="GNR_WT_WIND_OFF"/>
    <x v="0"/>
    <x v="23"/>
    <n v="398.61301441193302"/>
    <n v="145493.75026035501"/>
    <n v="523777.50093727902"/>
  </r>
  <r>
    <x v="0"/>
    <x v="0"/>
    <x v="0"/>
    <x v="3"/>
    <x v="5"/>
    <s v="DE4-N_A"/>
    <x v="0"/>
    <x v="2"/>
    <s v="GNR_ST_COAL_BP_E-40"/>
    <x v="0"/>
    <x v="0"/>
    <n v="924"/>
    <n v="337260"/>
    <n v="1214136"/>
  </r>
  <r>
    <x v="0"/>
    <x v="0"/>
    <x v="0"/>
    <x v="3"/>
    <x v="5"/>
    <s v="DE4-N_A"/>
    <x v="0"/>
    <x v="2"/>
    <s v="GNR_ST_COAL_BP_E-40"/>
    <x v="0"/>
    <x v="1"/>
    <n v="924"/>
    <n v="337260"/>
    <n v="1214136"/>
  </r>
  <r>
    <x v="0"/>
    <x v="0"/>
    <x v="0"/>
    <x v="3"/>
    <x v="5"/>
    <s v="DE4-N_A"/>
    <x v="0"/>
    <x v="2"/>
    <s v="GNR_ST_COAL_BP_E-40"/>
    <x v="0"/>
    <x v="18"/>
    <n v="924"/>
    <n v="337260"/>
    <n v="1214136"/>
  </r>
  <r>
    <x v="0"/>
    <x v="0"/>
    <x v="0"/>
    <x v="3"/>
    <x v="5"/>
    <s v="DE4-N_A"/>
    <x v="0"/>
    <x v="2"/>
    <s v="GNR_ST_COAL_BP_E-40"/>
    <x v="0"/>
    <x v="2"/>
    <n v="924"/>
    <n v="337260"/>
    <n v="1214136"/>
  </r>
  <r>
    <x v="0"/>
    <x v="0"/>
    <x v="0"/>
    <x v="3"/>
    <x v="5"/>
    <s v="DE4-N_A"/>
    <x v="0"/>
    <x v="2"/>
    <s v="GNR_ST_COAL_BP_E-40"/>
    <x v="0"/>
    <x v="3"/>
    <n v="924"/>
    <n v="337260"/>
    <n v="1214136"/>
  </r>
  <r>
    <x v="0"/>
    <x v="0"/>
    <x v="0"/>
    <x v="3"/>
    <x v="5"/>
    <s v="DE4-N_A"/>
    <x v="0"/>
    <x v="2"/>
    <s v="GNR_ST_COAL_BP_E-40"/>
    <x v="0"/>
    <x v="4"/>
    <n v="924"/>
    <n v="337260"/>
    <n v="1214136"/>
  </r>
  <r>
    <x v="0"/>
    <x v="0"/>
    <x v="0"/>
    <x v="3"/>
    <x v="5"/>
    <s v="DE4-N_A"/>
    <x v="0"/>
    <x v="2"/>
    <s v="GNR_ST_COAL_BP_E-40"/>
    <x v="0"/>
    <x v="5"/>
    <n v="924"/>
    <n v="337260"/>
    <n v="1214136"/>
  </r>
  <r>
    <x v="0"/>
    <x v="0"/>
    <x v="0"/>
    <x v="3"/>
    <x v="5"/>
    <s v="DE4-N_A"/>
    <x v="0"/>
    <x v="2"/>
    <s v="GNR_ST_COAL_BP_E-40"/>
    <x v="0"/>
    <x v="6"/>
    <n v="924"/>
    <n v="337260"/>
    <n v="1214136"/>
  </r>
  <r>
    <x v="0"/>
    <x v="0"/>
    <x v="0"/>
    <x v="3"/>
    <x v="5"/>
    <s v="DE4-N_A"/>
    <x v="0"/>
    <x v="2"/>
    <s v="GNR_ST_COAL_BP_E-40"/>
    <x v="0"/>
    <x v="7"/>
    <n v="924"/>
    <n v="337260"/>
    <n v="1214136"/>
  </r>
  <r>
    <x v="0"/>
    <x v="0"/>
    <x v="0"/>
    <x v="3"/>
    <x v="5"/>
    <s v="DE4-N_A"/>
    <x v="0"/>
    <x v="2"/>
    <s v="GNR_ST_COAL_BP_E-40"/>
    <x v="0"/>
    <x v="8"/>
    <n v="924"/>
    <n v="337260"/>
    <n v="1214136"/>
  </r>
  <r>
    <x v="0"/>
    <x v="0"/>
    <x v="0"/>
    <x v="3"/>
    <x v="5"/>
    <s v="DE4-N_A"/>
    <x v="0"/>
    <x v="2"/>
    <s v="GNR_ST_COAL_BP_E-40"/>
    <x v="0"/>
    <x v="9"/>
    <n v="924"/>
    <n v="337260"/>
    <n v="1214136"/>
  </r>
  <r>
    <x v="0"/>
    <x v="0"/>
    <x v="0"/>
    <x v="3"/>
    <x v="5"/>
    <s v="DE4-N_A"/>
    <x v="0"/>
    <x v="2"/>
    <s v="GNR_ST_COAL_BP_E-40"/>
    <x v="0"/>
    <x v="10"/>
    <n v="924"/>
    <n v="337260"/>
    <n v="1214136"/>
  </r>
  <r>
    <x v="0"/>
    <x v="0"/>
    <x v="0"/>
    <x v="3"/>
    <x v="5"/>
    <s v="DE4-N_A"/>
    <x v="0"/>
    <x v="2"/>
    <s v="GNR_ST_COAL_BP_E-40"/>
    <x v="0"/>
    <x v="11"/>
    <n v="924"/>
    <n v="337260"/>
    <n v="1214136"/>
  </r>
  <r>
    <x v="0"/>
    <x v="0"/>
    <x v="0"/>
    <x v="3"/>
    <x v="5"/>
    <s v="DE4-N_A"/>
    <x v="0"/>
    <x v="2"/>
    <s v="GNR_ST_COAL_BP_E-40"/>
    <x v="0"/>
    <x v="12"/>
    <n v="924"/>
    <n v="337260"/>
    <n v="1214136"/>
  </r>
  <r>
    <x v="0"/>
    <x v="0"/>
    <x v="0"/>
    <x v="3"/>
    <x v="5"/>
    <s v="DE4-N_A"/>
    <x v="0"/>
    <x v="2"/>
    <s v="GNR_ST_COAL_BP_E-40"/>
    <x v="0"/>
    <x v="13"/>
    <n v="924"/>
    <n v="337260"/>
    <n v="1214136"/>
  </r>
  <r>
    <x v="0"/>
    <x v="0"/>
    <x v="0"/>
    <x v="3"/>
    <x v="5"/>
    <s v="DE4-N_A"/>
    <x v="0"/>
    <x v="2"/>
    <s v="GNR_ST_COAL_BP_E-40"/>
    <x v="0"/>
    <x v="14"/>
    <n v="924"/>
    <n v="337260"/>
    <n v="1214136"/>
  </r>
  <r>
    <x v="0"/>
    <x v="0"/>
    <x v="0"/>
    <x v="3"/>
    <x v="5"/>
    <s v="DE4-N_A"/>
    <x v="0"/>
    <x v="2"/>
    <s v="GNR_ST_COAL_BP_E-40"/>
    <x v="0"/>
    <x v="15"/>
    <n v="924"/>
    <n v="337260"/>
    <n v="1214136"/>
  </r>
  <r>
    <x v="0"/>
    <x v="0"/>
    <x v="0"/>
    <x v="3"/>
    <x v="5"/>
    <s v="DE4-N_A"/>
    <x v="0"/>
    <x v="2"/>
    <s v="GNR_ST_COAL_BP_E-40"/>
    <x v="0"/>
    <x v="16"/>
    <n v="924"/>
    <n v="337260"/>
    <n v="1214136"/>
  </r>
  <r>
    <x v="0"/>
    <x v="0"/>
    <x v="0"/>
    <x v="3"/>
    <x v="5"/>
    <s v="DE4-N_A"/>
    <x v="0"/>
    <x v="2"/>
    <s v="GNR_ST_COAL_BP_E-40"/>
    <x v="0"/>
    <x v="17"/>
    <n v="924"/>
    <n v="337260"/>
    <n v="1214136"/>
  </r>
  <r>
    <x v="0"/>
    <x v="0"/>
    <x v="0"/>
    <x v="3"/>
    <x v="5"/>
    <s v="DE4-N_A"/>
    <x v="0"/>
    <x v="2"/>
    <s v="GNR_ST_COAL_BP_E-40"/>
    <x v="0"/>
    <x v="19"/>
    <n v="924"/>
    <n v="337260"/>
    <n v="1214136"/>
  </r>
  <r>
    <x v="0"/>
    <x v="0"/>
    <x v="0"/>
    <x v="3"/>
    <x v="5"/>
    <s v="DE4-N_A"/>
    <x v="0"/>
    <x v="2"/>
    <s v="GNR_ST_COAL_BP_E-40"/>
    <x v="0"/>
    <x v="20"/>
    <n v="924"/>
    <n v="337260"/>
    <n v="1214136"/>
  </r>
  <r>
    <x v="0"/>
    <x v="0"/>
    <x v="0"/>
    <x v="3"/>
    <x v="5"/>
    <s v="DE4-N_A"/>
    <x v="0"/>
    <x v="2"/>
    <s v="GNR_ST_COAL_BP_E-40"/>
    <x v="0"/>
    <x v="21"/>
    <n v="924"/>
    <n v="337260"/>
    <n v="1214136"/>
  </r>
  <r>
    <x v="0"/>
    <x v="0"/>
    <x v="0"/>
    <x v="3"/>
    <x v="5"/>
    <s v="DE4-N_A"/>
    <x v="0"/>
    <x v="2"/>
    <s v="GNR_ST_COAL_BP_E-40"/>
    <x v="0"/>
    <x v="22"/>
    <n v="924"/>
    <n v="337260"/>
    <n v="1214136"/>
  </r>
  <r>
    <x v="0"/>
    <x v="0"/>
    <x v="0"/>
    <x v="3"/>
    <x v="5"/>
    <s v="DE4-N_A"/>
    <x v="0"/>
    <x v="2"/>
    <s v="GNR_ST_COAL_BP_E-40"/>
    <x v="0"/>
    <x v="23"/>
    <n v="924"/>
    <n v="337260"/>
    <n v="1214136"/>
  </r>
  <r>
    <x v="0"/>
    <x v="0"/>
    <x v="0"/>
    <x v="3"/>
    <x v="5"/>
    <s v="DE4-N_A"/>
    <x v="0"/>
    <x v="6"/>
    <s v="GNR_ST_COAL_CND_E-46"/>
    <x v="0"/>
    <x v="0"/>
    <n v="1600"/>
    <n v="584000"/>
    <n v="2102400"/>
  </r>
  <r>
    <x v="0"/>
    <x v="0"/>
    <x v="0"/>
    <x v="3"/>
    <x v="5"/>
    <s v="DE4-N_A"/>
    <x v="0"/>
    <x v="6"/>
    <s v="GNR_ST_COAL_CND_E-46"/>
    <x v="0"/>
    <x v="1"/>
    <n v="1600"/>
    <n v="584000"/>
    <n v="2102400"/>
  </r>
  <r>
    <x v="0"/>
    <x v="0"/>
    <x v="0"/>
    <x v="3"/>
    <x v="5"/>
    <s v="DE4-N_A"/>
    <x v="0"/>
    <x v="6"/>
    <s v="GNR_ST_COAL_CND_E-46"/>
    <x v="0"/>
    <x v="18"/>
    <n v="1600"/>
    <n v="584000"/>
    <n v="2102400"/>
  </r>
  <r>
    <x v="0"/>
    <x v="0"/>
    <x v="0"/>
    <x v="3"/>
    <x v="5"/>
    <s v="DE4-N_A"/>
    <x v="0"/>
    <x v="6"/>
    <s v="GNR_ST_COAL_CND_E-46"/>
    <x v="0"/>
    <x v="2"/>
    <n v="1600"/>
    <n v="584000"/>
    <n v="2102400"/>
  </r>
  <r>
    <x v="0"/>
    <x v="0"/>
    <x v="0"/>
    <x v="3"/>
    <x v="5"/>
    <s v="DE4-N_A"/>
    <x v="0"/>
    <x v="6"/>
    <s v="GNR_ST_COAL_CND_E-46"/>
    <x v="0"/>
    <x v="3"/>
    <n v="1600"/>
    <n v="584000"/>
    <n v="2102400"/>
  </r>
  <r>
    <x v="0"/>
    <x v="0"/>
    <x v="0"/>
    <x v="3"/>
    <x v="5"/>
    <s v="DE4-N_A"/>
    <x v="0"/>
    <x v="6"/>
    <s v="GNR_ST_COAL_CND_E-46"/>
    <x v="0"/>
    <x v="4"/>
    <n v="1600"/>
    <n v="584000"/>
    <n v="2102400"/>
  </r>
  <r>
    <x v="0"/>
    <x v="0"/>
    <x v="0"/>
    <x v="3"/>
    <x v="5"/>
    <s v="DE4-N_A"/>
    <x v="0"/>
    <x v="6"/>
    <s v="GNR_ST_COAL_CND_E-46"/>
    <x v="0"/>
    <x v="5"/>
    <n v="1600"/>
    <n v="584000"/>
    <n v="2102400"/>
  </r>
  <r>
    <x v="0"/>
    <x v="0"/>
    <x v="0"/>
    <x v="3"/>
    <x v="5"/>
    <s v="DE4-N_A"/>
    <x v="0"/>
    <x v="6"/>
    <s v="GNR_ST_COAL_CND_E-46"/>
    <x v="0"/>
    <x v="6"/>
    <n v="1600"/>
    <n v="584000"/>
    <n v="2102400"/>
  </r>
  <r>
    <x v="0"/>
    <x v="0"/>
    <x v="0"/>
    <x v="3"/>
    <x v="5"/>
    <s v="DE4-N_A"/>
    <x v="0"/>
    <x v="6"/>
    <s v="GNR_ST_COAL_CND_E-46"/>
    <x v="0"/>
    <x v="7"/>
    <n v="1600"/>
    <n v="584000"/>
    <n v="2102400"/>
  </r>
  <r>
    <x v="0"/>
    <x v="0"/>
    <x v="0"/>
    <x v="3"/>
    <x v="5"/>
    <s v="DE4-N_A"/>
    <x v="0"/>
    <x v="6"/>
    <s v="GNR_ST_COAL_CND_E-46"/>
    <x v="0"/>
    <x v="8"/>
    <n v="1600"/>
    <n v="584000"/>
    <n v="2102400"/>
  </r>
  <r>
    <x v="0"/>
    <x v="0"/>
    <x v="0"/>
    <x v="3"/>
    <x v="5"/>
    <s v="DE4-N_A"/>
    <x v="0"/>
    <x v="6"/>
    <s v="GNR_ST_COAL_CND_E-46"/>
    <x v="0"/>
    <x v="9"/>
    <n v="1600"/>
    <n v="584000"/>
    <n v="2102400"/>
  </r>
  <r>
    <x v="0"/>
    <x v="0"/>
    <x v="0"/>
    <x v="3"/>
    <x v="5"/>
    <s v="DE4-N_A"/>
    <x v="0"/>
    <x v="6"/>
    <s v="GNR_ST_COAL_CND_E-46"/>
    <x v="0"/>
    <x v="10"/>
    <n v="1600"/>
    <n v="584000"/>
    <n v="2102400"/>
  </r>
  <r>
    <x v="0"/>
    <x v="0"/>
    <x v="0"/>
    <x v="3"/>
    <x v="5"/>
    <s v="DE4-N_A"/>
    <x v="0"/>
    <x v="6"/>
    <s v="GNR_ST_COAL_CND_E-46"/>
    <x v="0"/>
    <x v="11"/>
    <n v="1600"/>
    <n v="584000"/>
    <n v="2102400"/>
  </r>
  <r>
    <x v="0"/>
    <x v="0"/>
    <x v="0"/>
    <x v="3"/>
    <x v="5"/>
    <s v="DE4-N_A"/>
    <x v="0"/>
    <x v="6"/>
    <s v="GNR_ST_COAL_CND_E-46"/>
    <x v="0"/>
    <x v="12"/>
    <n v="1600"/>
    <n v="584000"/>
    <n v="2102400"/>
  </r>
  <r>
    <x v="0"/>
    <x v="0"/>
    <x v="0"/>
    <x v="3"/>
    <x v="5"/>
    <s v="DE4-N_A"/>
    <x v="0"/>
    <x v="6"/>
    <s v="GNR_ST_COAL_CND_E-46"/>
    <x v="0"/>
    <x v="13"/>
    <n v="1600"/>
    <n v="584000"/>
    <n v="2102400"/>
  </r>
  <r>
    <x v="0"/>
    <x v="0"/>
    <x v="0"/>
    <x v="3"/>
    <x v="5"/>
    <s v="DE4-N_A"/>
    <x v="0"/>
    <x v="6"/>
    <s v="GNR_ST_COAL_CND_E-46"/>
    <x v="0"/>
    <x v="14"/>
    <n v="1600"/>
    <n v="584000"/>
    <n v="2102400"/>
  </r>
  <r>
    <x v="0"/>
    <x v="0"/>
    <x v="0"/>
    <x v="3"/>
    <x v="5"/>
    <s v="DE4-N_A"/>
    <x v="0"/>
    <x v="6"/>
    <s v="GNR_ST_COAL_CND_E-46"/>
    <x v="0"/>
    <x v="15"/>
    <n v="1600"/>
    <n v="584000"/>
    <n v="2102400"/>
  </r>
  <r>
    <x v="0"/>
    <x v="0"/>
    <x v="0"/>
    <x v="3"/>
    <x v="5"/>
    <s v="DE4-N_A"/>
    <x v="0"/>
    <x v="6"/>
    <s v="GNR_ST_COAL_CND_E-46"/>
    <x v="0"/>
    <x v="16"/>
    <n v="1600"/>
    <n v="584000"/>
    <n v="2102400"/>
  </r>
  <r>
    <x v="0"/>
    <x v="0"/>
    <x v="0"/>
    <x v="3"/>
    <x v="5"/>
    <s v="DE4-N_A"/>
    <x v="0"/>
    <x v="6"/>
    <s v="GNR_ST_COAL_CND_E-46"/>
    <x v="0"/>
    <x v="17"/>
    <n v="1600"/>
    <n v="584000"/>
    <n v="2102400"/>
  </r>
  <r>
    <x v="0"/>
    <x v="0"/>
    <x v="0"/>
    <x v="3"/>
    <x v="5"/>
    <s v="DE4-N_A"/>
    <x v="0"/>
    <x v="6"/>
    <s v="GNR_ST_COAL_CND_E-46"/>
    <x v="0"/>
    <x v="19"/>
    <n v="1600"/>
    <n v="584000"/>
    <n v="2102400"/>
  </r>
  <r>
    <x v="0"/>
    <x v="0"/>
    <x v="0"/>
    <x v="3"/>
    <x v="5"/>
    <s v="DE4-N_A"/>
    <x v="0"/>
    <x v="6"/>
    <s v="GNR_ST_COAL_CND_E-46"/>
    <x v="0"/>
    <x v="20"/>
    <n v="1600"/>
    <n v="584000"/>
    <n v="2102400"/>
  </r>
  <r>
    <x v="0"/>
    <x v="0"/>
    <x v="0"/>
    <x v="3"/>
    <x v="5"/>
    <s v="DE4-N_A"/>
    <x v="0"/>
    <x v="6"/>
    <s v="GNR_ST_COAL_CND_E-46"/>
    <x v="0"/>
    <x v="21"/>
    <n v="1600"/>
    <n v="584000"/>
    <n v="2102400"/>
  </r>
  <r>
    <x v="0"/>
    <x v="0"/>
    <x v="0"/>
    <x v="3"/>
    <x v="5"/>
    <s v="DE4-N_A"/>
    <x v="0"/>
    <x v="6"/>
    <s v="GNR_ST_COAL_CND_E-46"/>
    <x v="0"/>
    <x v="22"/>
    <n v="1600"/>
    <n v="584000"/>
    <n v="2102400"/>
  </r>
  <r>
    <x v="0"/>
    <x v="0"/>
    <x v="0"/>
    <x v="3"/>
    <x v="5"/>
    <s v="DE4-N_A"/>
    <x v="0"/>
    <x v="6"/>
    <s v="GNR_ST_COAL_CND_E-46"/>
    <x v="0"/>
    <x v="23"/>
    <n v="1600"/>
    <n v="584000"/>
    <n v="2102400"/>
  </r>
  <r>
    <x v="0"/>
    <x v="0"/>
    <x v="0"/>
    <x v="3"/>
    <x v="5"/>
    <s v="DE4-N_A"/>
    <x v="1"/>
    <x v="8"/>
    <s v="AGG-DE4-N_RES_WTR_PMP"/>
    <x v="0"/>
    <x v="0"/>
    <n v="119.1"/>
    <n v="43471.5"/>
    <n v="156497.4"/>
  </r>
  <r>
    <x v="0"/>
    <x v="0"/>
    <x v="0"/>
    <x v="3"/>
    <x v="5"/>
    <s v="DE4-N_A"/>
    <x v="1"/>
    <x v="8"/>
    <s v="AGG-DE4-N_RES_WTR_PMP"/>
    <x v="0"/>
    <x v="6"/>
    <n v="119.1"/>
    <n v="43471.5"/>
    <n v="156497.4"/>
  </r>
  <r>
    <x v="0"/>
    <x v="0"/>
    <x v="0"/>
    <x v="3"/>
    <x v="5"/>
    <s v="DE4-N_A"/>
    <x v="1"/>
    <x v="8"/>
    <s v="AGG-DE4-N_RES_WTR_PMP"/>
    <x v="0"/>
    <x v="7"/>
    <n v="16.641369863013701"/>
    <n v="6074.1"/>
    <n v="21866.76"/>
  </r>
  <r>
    <x v="0"/>
    <x v="0"/>
    <x v="0"/>
    <x v="3"/>
    <x v="5"/>
    <s v="DE4-N_A"/>
    <x v="1"/>
    <x v="8"/>
    <s v="AGG-DE4-N_RES_WTR_PMP"/>
    <x v="0"/>
    <x v="15"/>
    <n v="119.1"/>
    <n v="43471.5"/>
    <n v="156497.4"/>
  </r>
  <r>
    <x v="0"/>
    <x v="0"/>
    <x v="0"/>
    <x v="3"/>
    <x v="5"/>
    <s v="DE4-N_A"/>
    <x v="1"/>
    <x v="8"/>
    <s v="AGG-DE4-N_RES_WTR_PMP"/>
    <x v="0"/>
    <x v="16"/>
    <n v="16.641369863013701"/>
    <n v="6074.1"/>
    <n v="21866.76"/>
  </r>
  <r>
    <x v="0"/>
    <x v="0"/>
    <x v="0"/>
    <x v="3"/>
    <x v="5"/>
    <s v="DE4-N_A"/>
    <x v="2"/>
    <x v="2"/>
    <s v="GNR_ST_MSW_BP_E-33"/>
    <x v="0"/>
    <x v="5"/>
    <n v="41"/>
    <n v="14965"/>
    <n v="53874"/>
  </r>
  <r>
    <x v="0"/>
    <x v="0"/>
    <x v="0"/>
    <x v="3"/>
    <x v="5"/>
    <s v="DE4-N_A"/>
    <x v="2"/>
    <x v="2"/>
    <s v="GNR_ST_MSW_BP_E-33"/>
    <x v="0"/>
    <x v="6"/>
    <n v="41"/>
    <n v="14965"/>
    <n v="53874"/>
  </r>
  <r>
    <x v="0"/>
    <x v="0"/>
    <x v="0"/>
    <x v="3"/>
    <x v="5"/>
    <s v="DE4-N_A"/>
    <x v="2"/>
    <x v="2"/>
    <s v="GNR_ST_MSW_BP_E-33"/>
    <x v="0"/>
    <x v="7"/>
    <n v="41"/>
    <n v="14965"/>
    <n v="53874"/>
  </r>
  <r>
    <x v="0"/>
    <x v="0"/>
    <x v="0"/>
    <x v="3"/>
    <x v="5"/>
    <s v="DE4-N_A"/>
    <x v="2"/>
    <x v="2"/>
    <s v="GNR_ST_MSW_BP_E-33"/>
    <x v="0"/>
    <x v="8"/>
    <n v="41"/>
    <n v="14965"/>
    <n v="53874"/>
  </r>
  <r>
    <x v="0"/>
    <x v="0"/>
    <x v="0"/>
    <x v="3"/>
    <x v="5"/>
    <s v="DE4-N_A"/>
    <x v="2"/>
    <x v="2"/>
    <s v="GNR_ST_MSW_BP_E-33"/>
    <x v="0"/>
    <x v="9"/>
    <n v="41"/>
    <n v="14965"/>
    <n v="53874"/>
  </r>
  <r>
    <x v="0"/>
    <x v="0"/>
    <x v="0"/>
    <x v="3"/>
    <x v="5"/>
    <s v="DE4-N_A"/>
    <x v="2"/>
    <x v="2"/>
    <s v="GNR_ST_MSW_BP_E-33"/>
    <x v="0"/>
    <x v="10"/>
    <n v="41"/>
    <n v="14965"/>
    <n v="53874"/>
  </r>
  <r>
    <x v="0"/>
    <x v="0"/>
    <x v="0"/>
    <x v="3"/>
    <x v="5"/>
    <s v="DE4-N_A"/>
    <x v="2"/>
    <x v="2"/>
    <s v="GNR_ST_MSW_BP_E-33"/>
    <x v="0"/>
    <x v="11"/>
    <n v="41"/>
    <n v="14965"/>
    <n v="53874"/>
  </r>
  <r>
    <x v="0"/>
    <x v="0"/>
    <x v="0"/>
    <x v="3"/>
    <x v="5"/>
    <s v="DE4-N_A"/>
    <x v="2"/>
    <x v="2"/>
    <s v="GNR_ST_MSW_BP_E-33"/>
    <x v="0"/>
    <x v="12"/>
    <n v="41"/>
    <n v="14965"/>
    <n v="53874"/>
  </r>
  <r>
    <x v="0"/>
    <x v="0"/>
    <x v="0"/>
    <x v="3"/>
    <x v="5"/>
    <s v="DE4-N_A"/>
    <x v="2"/>
    <x v="2"/>
    <s v="GNR_ST_MSW_BP_E-33"/>
    <x v="0"/>
    <x v="13"/>
    <n v="41"/>
    <n v="14965"/>
    <n v="53874"/>
  </r>
  <r>
    <x v="0"/>
    <x v="0"/>
    <x v="0"/>
    <x v="3"/>
    <x v="5"/>
    <s v="DE4-N_A"/>
    <x v="2"/>
    <x v="2"/>
    <s v="GNR_ST_MSW_BP_E-33"/>
    <x v="0"/>
    <x v="14"/>
    <n v="41"/>
    <n v="14965"/>
    <n v="53874"/>
  </r>
  <r>
    <x v="0"/>
    <x v="0"/>
    <x v="0"/>
    <x v="3"/>
    <x v="5"/>
    <s v="DE4-N_A"/>
    <x v="2"/>
    <x v="2"/>
    <s v="GNR_ST_MSW_BP_E-33"/>
    <x v="0"/>
    <x v="15"/>
    <n v="41"/>
    <n v="14965"/>
    <n v="53874"/>
  </r>
  <r>
    <x v="0"/>
    <x v="0"/>
    <x v="0"/>
    <x v="3"/>
    <x v="5"/>
    <s v="DE4-N_A"/>
    <x v="2"/>
    <x v="2"/>
    <s v="GNR_ST_MSW_BP_E-33"/>
    <x v="0"/>
    <x v="16"/>
    <n v="41"/>
    <n v="14965"/>
    <n v="53874"/>
  </r>
  <r>
    <x v="0"/>
    <x v="0"/>
    <x v="0"/>
    <x v="3"/>
    <x v="5"/>
    <s v="DE4-N_A"/>
    <x v="2"/>
    <x v="2"/>
    <s v="GNR_ST_MSW_BP_E-33"/>
    <x v="0"/>
    <x v="17"/>
    <n v="41"/>
    <n v="14965"/>
    <n v="53874"/>
  </r>
  <r>
    <x v="0"/>
    <x v="0"/>
    <x v="0"/>
    <x v="3"/>
    <x v="5"/>
    <s v="DE4-N_A"/>
    <x v="2"/>
    <x v="2"/>
    <s v="GNR_ST_MSW_BP_E-33"/>
    <x v="0"/>
    <x v="19"/>
    <n v="41"/>
    <n v="14965"/>
    <n v="53874"/>
  </r>
  <r>
    <x v="0"/>
    <x v="0"/>
    <x v="0"/>
    <x v="3"/>
    <x v="5"/>
    <s v="DE4-N_A"/>
    <x v="2"/>
    <x v="2"/>
    <s v="GNR_ST_MSW_BP_E-33"/>
    <x v="0"/>
    <x v="20"/>
    <n v="41"/>
    <n v="14965"/>
    <n v="53874"/>
  </r>
  <r>
    <x v="0"/>
    <x v="0"/>
    <x v="0"/>
    <x v="3"/>
    <x v="5"/>
    <s v="DE4-N_A"/>
    <x v="2"/>
    <x v="2"/>
    <s v="GNR_ST_MSW_BP_E-33"/>
    <x v="0"/>
    <x v="21"/>
    <n v="19.513083636363199"/>
    <n v="7122.2755272725599"/>
    <n v="25640.191898181201"/>
  </r>
  <r>
    <x v="0"/>
    <x v="0"/>
    <x v="0"/>
    <x v="3"/>
    <x v="5"/>
    <s v="DE4-N_A"/>
    <x v="8"/>
    <x v="2"/>
    <s v="GNR_CC_NGAS_BP_E-57"/>
    <x v="0"/>
    <x v="6"/>
    <n v="127"/>
    <n v="46355"/>
    <n v="166878"/>
  </r>
  <r>
    <x v="0"/>
    <x v="0"/>
    <x v="0"/>
    <x v="3"/>
    <x v="5"/>
    <s v="DE4-N_A"/>
    <x v="8"/>
    <x v="2"/>
    <s v="GNR_CC_NGAS_BP_E-57"/>
    <x v="0"/>
    <x v="7"/>
    <n v="127"/>
    <n v="46355"/>
    <n v="166878"/>
  </r>
  <r>
    <x v="0"/>
    <x v="0"/>
    <x v="0"/>
    <x v="3"/>
    <x v="5"/>
    <s v="DE4-N_A"/>
    <x v="8"/>
    <x v="2"/>
    <s v="GNR_CC_NGAS_BP_E-57"/>
    <x v="0"/>
    <x v="8"/>
    <n v="127"/>
    <n v="46355"/>
    <n v="166878"/>
  </r>
  <r>
    <x v="0"/>
    <x v="0"/>
    <x v="0"/>
    <x v="3"/>
    <x v="5"/>
    <s v="DE4-N_A"/>
    <x v="8"/>
    <x v="2"/>
    <s v="GNR_CC_NGAS_BP_E-57"/>
    <x v="0"/>
    <x v="9"/>
    <n v="127"/>
    <n v="46355"/>
    <n v="166878"/>
  </r>
  <r>
    <x v="0"/>
    <x v="0"/>
    <x v="0"/>
    <x v="3"/>
    <x v="5"/>
    <s v="DE4-N_A"/>
    <x v="8"/>
    <x v="2"/>
    <s v="GNR_CC_NGAS_BP_E-57"/>
    <x v="0"/>
    <x v="13"/>
    <n v="24.972810605356901"/>
    <n v="9115.0758709552792"/>
    <n v="32814.273135438998"/>
  </r>
  <r>
    <x v="0"/>
    <x v="0"/>
    <x v="0"/>
    <x v="3"/>
    <x v="5"/>
    <s v="DE4-N_A"/>
    <x v="8"/>
    <x v="2"/>
    <s v="GNR_CC_NGAS_BP_E-57"/>
    <x v="0"/>
    <x v="14"/>
    <n v="127"/>
    <n v="46355"/>
    <n v="166878"/>
  </r>
  <r>
    <x v="0"/>
    <x v="0"/>
    <x v="0"/>
    <x v="3"/>
    <x v="5"/>
    <s v="DE4-N_A"/>
    <x v="8"/>
    <x v="2"/>
    <s v="GNR_CC_NGAS_BP_E-57"/>
    <x v="0"/>
    <x v="15"/>
    <n v="127"/>
    <n v="46355"/>
    <n v="166878"/>
  </r>
  <r>
    <x v="0"/>
    <x v="0"/>
    <x v="0"/>
    <x v="3"/>
    <x v="5"/>
    <s v="DE4-N_A"/>
    <x v="8"/>
    <x v="2"/>
    <s v="GNR_CC_NGAS_BP_E-57"/>
    <x v="0"/>
    <x v="16"/>
    <n v="127"/>
    <n v="46355"/>
    <n v="166878"/>
  </r>
  <r>
    <x v="0"/>
    <x v="0"/>
    <x v="0"/>
    <x v="3"/>
    <x v="5"/>
    <s v="DE4-N_A"/>
    <x v="8"/>
    <x v="2"/>
    <s v="GNR_CC_NGAS_BP_E-57"/>
    <x v="0"/>
    <x v="17"/>
    <n v="127"/>
    <n v="46355"/>
    <n v="166878"/>
  </r>
  <r>
    <x v="0"/>
    <x v="0"/>
    <x v="0"/>
    <x v="3"/>
    <x v="5"/>
    <s v="DE4-N_A"/>
    <x v="8"/>
    <x v="2"/>
    <s v="GNR_ST_NGAS_BP_E-39"/>
    <x v="0"/>
    <x v="5"/>
    <n v="94.890089704725199"/>
    <n v="34634.882742224698"/>
    <n v="124685.577872009"/>
  </r>
  <r>
    <x v="0"/>
    <x v="0"/>
    <x v="0"/>
    <x v="3"/>
    <x v="5"/>
    <s v="DE4-N_A"/>
    <x v="8"/>
    <x v="2"/>
    <s v="GNR_ST_NGAS_BP_E-39"/>
    <x v="0"/>
    <x v="6"/>
    <n v="128.5"/>
    <n v="46902.5"/>
    <n v="168849"/>
  </r>
  <r>
    <x v="0"/>
    <x v="0"/>
    <x v="0"/>
    <x v="3"/>
    <x v="5"/>
    <s v="DE4-N_A"/>
    <x v="8"/>
    <x v="2"/>
    <s v="GNR_ST_NGAS_BP_E-39"/>
    <x v="0"/>
    <x v="7"/>
    <n v="128.5"/>
    <n v="46902.5"/>
    <n v="168849"/>
  </r>
  <r>
    <x v="0"/>
    <x v="0"/>
    <x v="0"/>
    <x v="3"/>
    <x v="5"/>
    <s v="DE4-N_A"/>
    <x v="8"/>
    <x v="2"/>
    <s v="GNR_ST_NGAS_BP_E-39"/>
    <x v="0"/>
    <x v="8"/>
    <n v="128.5"/>
    <n v="46902.5"/>
    <n v="168849"/>
  </r>
  <r>
    <x v="0"/>
    <x v="0"/>
    <x v="0"/>
    <x v="3"/>
    <x v="5"/>
    <s v="DE4-N_A"/>
    <x v="8"/>
    <x v="2"/>
    <s v="GNR_ST_NGAS_BP_E-39"/>
    <x v="0"/>
    <x v="9"/>
    <n v="128.5"/>
    <n v="46902.5"/>
    <n v="168849"/>
  </r>
  <r>
    <x v="0"/>
    <x v="0"/>
    <x v="0"/>
    <x v="3"/>
    <x v="5"/>
    <s v="DE4-N_A"/>
    <x v="8"/>
    <x v="2"/>
    <s v="GNR_ST_NGAS_BP_E-39"/>
    <x v="0"/>
    <x v="10"/>
    <n v="128.5"/>
    <n v="46902.5"/>
    <n v="168849"/>
  </r>
  <r>
    <x v="0"/>
    <x v="0"/>
    <x v="0"/>
    <x v="3"/>
    <x v="5"/>
    <s v="DE4-N_A"/>
    <x v="8"/>
    <x v="2"/>
    <s v="GNR_ST_NGAS_BP_E-39"/>
    <x v="0"/>
    <x v="11"/>
    <n v="128.5"/>
    <n v="46902.5"/>
    <n v="168849"/>
  </r>
  <r>
    <x v="0"/>
    <x v="0"/>
    <x v="0"/>
    <x v="3"/>
    <x v="5"/>
    <s v="DE4-N_A"/>
    <x v="8"/>
    <x v="2"/>
    <s v="GNR_ST_NGAS_BP_E-39"/>
    <x v="0"/>
    <x v="12"/>
    <n v="128.5"/>
    <n v="46902.5"/>
    <n v="168849"/>
  </r>
  <r>
    <x v="0"/>
    <x v="0"/>
    <x v="0"/>
    <x v="3"/>
    <x v="5"/>
    <s v="DE4-N_A"/>
    <x v="8"/>
    <x v="2"/>
    <s v="GNR_ST_NGAS_BP_E-39"/>
    <x v="0"/>
    <x v="13"/>
    <n v="128.5"/>
    <n v="46902.5"/>
    <n v="168849"/>
  </r>
  <r>
    <x v="0"/>
    <x v="0"/>
    <x v="0"/>
    <x v="3"/>
    <x v="5"/>
    <s v="DE4-N_A"/>
    <x v="8"/>
    <x v="2"/>
    <s v="GNR_ST_NGAS_BP_E-39"/>
    <x v="0"/>
    <x v="14"/>
    <n v="128.5"/>
    <n v="46902.5"/>
    <n v="168849"/>
  </r>
  <r>
    <x v="0"/>
    <x v="0"/>
    <x v="0"/>
    <x v="3"/>
    <x v="5"/>
    <s v="DE4-N_A"/>
    <x v="8"/>
    <x v="2"/>
    <s v="GNR_ST_NGAS_BP_E-39"/>
    <x v="0"/>
    <x v="15"/>
    <n v="128.5"/>
    <n v="46902.5"/>
    <n v="168849"/>
  </r>
  <r>
    <x v="0"/>
    <x v="0"/>
    <x v="0"/>
    <x v="3"/>
    <x v="5"/>
    <s v="DE4-N_A"/>
    <x v="8"/>
    <x v="2"/>
    <s v="GNR_ST_NGAS_BP_E-39"/>
    <x v="0"/>
    <x v="16"/>
    <n v="128.5"/>
    <n v="46902.5"/>
    <n v="168849"/>
  </r>
  <r>
    <x v="0"/>
    <x v="0"/>
    <x v="0"/>
    <x v="3"/>
    <x v="5"/>
    <s v="DE4-N_A"/>
    <x v="8"/>
    <x v="2"/>
    <s v="GNR_ST_NGAS_BP_E-39"/>
    <x v="0"/>
    <x v="17"/>
    <n v="128.5"/>
    <n v="46902.5"/>
    <n v="168849"/>
  </r>
  <r>
    <x v="0"/>
    <x v="0"/>
    <x v="0"/>
    <x v="3"/>
    <x v="5"/>
    <s v="DE4-N_A"/>
    <x v="8"/>
    <x v="2"/>
    <s v="GNR_ST_NGAS_BP_E-39"/>
    <x v="0"/>
    <x v="19"/>
    <n v="128.5"/>
    <n v="46902.5"/>
    <n v="168849"/>
  </r>
  <r>
    <x v="0"/>
    <x v="0"/>
    <x v="0"/>
    <x v="3"/>
    <x v="5"/>
    <s v="DE4-N_A"/>
    <x v="8"/>
    <x v="2"/>
    <s v="GNR_ST_NGAS_BP_E-39"/>
    <x v="0"/>
    <x v="20"/>
    <n v="128.5"/>
    <n v="46902.5"/>
    <n v="168849"/>
  </r>
  <r>
    <x v="0"/>
    <x v="0"/>
    <x v="0"/>
    <x v="3"/>
    <x v="5"/>
    <s v="DE4-N_A"/>
    <x v="14"/>
    <x v="6"/>
    <s v="GNR_ST_NUCL_CND_E-33"/>
    <x v="0"/>
    <x v="0"/>
    <n v="1410"/>
    <n v="514650"/>
    <n v="1852740"/>
  </r>
  <r>
    <x v="0"/>
    <x v="0"/>
    <x v="0"/>
    <x v="3"/>
    <x v="5"/>
    <s v="DE4-N_A"/>
    <x v="14"/>
    <x v="6"/>
    <s v="GNR_ST_NUCL_CND_E-33"/>
    <x v="0"/>
    <x v="1"/>
    <n v="1410"/>
    <n v="514650"/>
    <n v="1852740"/>
  </r>
  <r>
    <x v="0"/>
    <x v="0"/>
    <x v="0"/>
    <x v="3"/>
    <x v="5"/>
    <s v="DE4-N_A"/>
    <x v="14"/>
    <x v="6"/>
    <s v="GNR_ST_NUCL_CND_E-33"/>
    <x v="0"/>
    <x v="18"/>
    <n v="1410"/>
    <n v="514650"/>
    <n v="1852740"/>
  </r>
  <r>
    <x v="0"/>
    <x v="0"/>
    <x v="0"/>
    <x v="3"/>
    <x v="5"/>
    <s v="DE4-N_A"/>
    <x v="14"/>
    <x v="6"/>
    <s v="GNR_ST_NUCL_CND_E-33"/>
    <x v="0"/>
    <x v="2"/>
    <n v="1410"/>
    <n v="514650"/>
    <n v="1852740"/>
  </r>
  <r>
    <x v="0"/>
    <x v="0"/>
    <x v="0"/>
    <x v="3"/>
    <x v="5"/>
    <s v="DE4-N_A"/>
    <x v="14"/>
    <x v="6"/>
    <s v="GNR_ST_NUCL_CND_E-33"/>
    <x v="0"/>
    <x v="3"/>
    <n v="1410"/>
    <n v="514650"/>
    <n v="1852740"/>
  </r>
  <r>
    <x v="0"/>
    <x v="0"/>
    <x v="0"/>
    <x v="3"/>
    <x v="5"/>
    <s v="DE4-N_A"/>
    <x v="14"/>
    <x v="6"/>
    <s v="GNR_ST_NUCL_CND_E-33"/>
    <x v="0"/>
    <x v="4"/>
    <n v="1410"/>
    <n v="514650"/>
    <n v="1852740"/>
  </r>
  <r>
    <x v="0"/>
    <x v="0"/>
    <x v="0"/>
    <x v="3"/>
    <x v="5"/>
    <s v="DE4-N_A"/>
    <x v="14"/>
    <x v="6"/>
    <s v="GNR_ST_NUCL_CND_E-33"/>
    <x v="0"/>
    <x v="5"/>
    <n v="1410"/>
    <n v="514650"/>
    <n v="1852740"/>
  </r>
  <r>
    <x v="0"/>
    <x v="0"/>
    <x v="0"/>
    <x v="3"/>
    <x v="5"/>
    <s v="DE4-N_A"/>
    <x v="14"/>
    <x v="6"/>
    <s v="GNR_ST_NUCL_CND_E-33"/>
    <x v="0"/>
    <x v="6"/>
    <n v="1410"/>
    <n v="514650"/>
    <n v="1852740"/>
  </r>
  <r>
    <x v="0"/>
    <x v="0"/>
    <x v="0"/>
    <x v="3"/>
    <x v="5"/>
    <s v="DE4-N_A"/>
    <x v="14"/>
    <x v="6"/>
    <s v="GNR_ST_NUCL_CND_E-33"/>
    <x v="0"/>
    <x v="7"/>
    <n v="1410"/>
    <n v="514650"/>
    <n v="1852740"/>
  </r>
  <r>
    <x v="0"/>
    <x v="0"/>
    <x v="0"/>
    <x v="3"/>
    <x v="5"/>
    <s v="DE4-N_A"/>
    <x v="14"/>
    <x v="6"/>
    <s v="GNR_ST_NUCL_CND_E-33"/>
    <x v="0"/>
    <x v="8"/>
    <n v="1410"/>
    <n v="514650"/>
    <n v="1852740"/>
  </r>
  <r>
    <x v="0"/>
    <x v="0"/>
    <x v="0"/>
    <x v="3"/>
    <x v="5"/>
    <s v="DE4-N_A"/>
    <x v="14"/>
    <x v="6"/>
    <s v="GNR_ST_NUCL_CND_E-33"/>
    <x v="0"/>
    <x v="9"/>
    <n v="1410"/>
    <n v="514650"/>
    <n v="1852740"/>
  </r>
  <r>
    <x v="0"/>
    <x v="0"/>
    <x v="0"/>
    <x v="3"/>
    <x v="5"/>
    <s v="DE4-N_A"/>
    <x v="14"/>
    <x v="6"/>
    <s v="GNR_ST_NUCL_CND_E-33"/>
    <x v="0"/>
    <x v="10"/>
    <n v="1410"/>
    <n v="514650"/>
    <n v="1852740"/>
  </r>
  <r>
    <x v="0"/>
    <x v="0"/>
    <x v="0"/>
    <x v="3"/>
    <x v="5"/>
    <s v="DE4-N_A"/>
    <x v="14"/>
    <x v="6"/>
    <s v="GNR_ST_NUCL_CND_E-33"/>
    <x v="0"/>
    <x v="11"/>
    <n v="1410"/>
    <n v="514650"/>
    <n v="1852740"/>
  </r>
  <r>
    <x v="0"/>
    <x v="0"/>
    <x v="0"/>
    <x v="3"/>
    <x v="5"/>
    <s v="DE4-N_A"/>
    <x v="14"/>
    <x v="6"/>
    <s v="GNR_ST_NUCL_CND_E-33"/>
    <x v="0"/>
    <x v="12"/>
    <n v="1410"/>
    <n v="514650"/>
    <n v="1852740"/>
  </r>
  <r>
    <x v="0"/>
    <x v="0"/>
    <x v="0"/>
    <x v="3"/>
    <x v="5"/>
    <s v="DE4-N_A"/>
    <x v="14"/>
    <x v="6"/>
    <s v="GNR_ST_NUCL_CND_E-33"/>
    <x v="0"/>
    <x v="13"/>
    <n v="1410"/>
    <n v="514650"/>
    <n v="1852740"/>
  </r>
  <r>
    <x v="0"/>
    <x v="0"/>
    <x v="0"/>
    <x v="3"/>
    <x v="5"/>
    <s v="DE4-N_A"/>
    <x v="14"/>
    <x v="6"/>
    <s v="GNR_ST_NUCL_CND_E-33"/>
    <x v="0"/>
    <x v="14"/>
    <n v="1410"/>
    <n v="514650"/>
    <n v="1852740"/>
  </r>
  <r>
    <x v="0"/>
    <x v="0"/>
    <x v="0"/>
    <x v="3"/>
    <x v="5"/>
    <s v="DE4-N_A"/>
    <x v="14"/>
    <x v="6"/>
    <s v="GNR_ST_NUCL_CND_E-33"/>
    <x v="0"/>
    <x v="15"/>
    <n v="1410"/>
    <n v="514650"/>
    <n v="1852740"/>
  </r>
  <r>
    <x v="0"/>
    <x v="0"/>
    <x v="0"/>
    <x v="3"/>
    <x v="5"/>
    <s v="DE4-N_A"/>
    <x v="14"/>
    <x v="6"/>
    <s v="GNR_ST_NUCL_CND_E-33"/>
    <x v="0"/>
    <x v="16"/>
    <n v="1410"/>
    <n v="514650"/>
    <n v="1852740"/>
  </r>
  <r>
    <x v="0"/>
    <x v="0"/>
    <x v="0"/>
    <x v="3"/>
    <x v="5"/>
    <s v="DE4-N_A"/>
    <x v="14"/>
    <x v="6"/>
    <s v="GNR_ST_NUCL_CND_E-33"/>
    <x v="0"/>
    <x v="17"/>
    <n v="1410"/>
    <n v="514650"/>
    <n v="1852740"/>
  </r>
  <r>
    <x v="0"/>
    <x v="0"/>
    <x v="0"/>
    <x v="3"/>
    <x v="5"/>
    <s v="DE4-N_A"/>
    <x v="14"/>
    <x v="6"/>
    <s v="GNR_ST_NUCL_CND_E-33"/>
    <x v="0"/>
    <x v="19"/>
    <n v="1410"/>
    <n v="514650"/>
    <n v="1852740"/>
  </r>
  <r>
    <x v="0"/>
    <x v="0"/>
    <x v="0"/>
    <x v="3"/>
    <x v="5"/>
    <s v="DE4-N_A"/>
    <x v="14"/>
    <x v="6"/>
    <s v="GNR_ST_NUCL_CND_E-33"/>
    <x v="0"/>
    <x v="20"/>
    <n v="1410"/>
    <n v="514650"/>
    <n v="1852740"/>
  </r>
  <r>
    <x v="0"/>
    <x v="0"/>
    <x v="0"/>
    <x v="3"/>
    <x v="5"/>
    <s v="DE4-N_A"/>
    <x v="14"/>
    <x v="6"/>
    <s v="GNR_ST_NUCL_CND_E-33"/>
    <x v="0"/>
    <x v="21"/>
    <n v="1410"/>
    <n v="514650"/>
    <n v="1852740"/>
  </r>
  <r>
    <x v="0"/>
    <x v="0"/>
    <x v="0"/>
    <x v="3"/>
    <x v="5"/>
    <s v="DE4-N_A"/>
    <x v="14"/>
    <x v="6"/>
    <s v="GNR_ST_NUCL_CND_E-33"/>
    <x v="0"/>
    <x v="22"/>
    <n v="1410"/>
    <n v="514650"/>
    <n v="1852740"/>
  </r>
  <r>
    <x v="0"/>
    <x v="0"/>
    <x v="0"/>
    <x v="3"/>
    <x v="5"/>
    <s v="DE4-N_A"/>
    <x v="14"/>
    <x v="6"/>
    <s v="GNR_ST_NUCL_CND_E-33"/>
    <x v="0"/>
    <x v="23"/>
    <n v="1410"/>
    <n v="514650"/>
    <n v="1852740"/>
  </r>
  <r>
    <x v="0"/>
    <x v="0"/>
    <x v="0"/>
    <x v="3"/>
    <x v="5"/>
    <s v="DE4-N_A"/>
    <x v="5"/>
    <x v="3"/>
    <s v="GNR_PV_SUN"/>
    <x v="0"/>
    <x v="7"/>
    <n v="33.982254946418202"/>
    <n v="12403.5230554426"/>
    <n v="44652.682999593497"/>
  </r>
  <r>
    <x v="0"/>
    <x v="0"/>
    <x v="0"/>
    <x v="3"/>
    <x v="5"/>
    <s v="DE4-N_A"/>
    <x v="5"/>
    <x v="3"/>
    <s v="GNR_PV_SUN"/>
    <x v="0"/>
    <x v="8"/>
    <n v="255.82538595560001"/>
    <n v="93376.265873793804"/>
    <n v="336154.55714565801"/>
  </r>
  <r>
    <x v="0"/>
    <x v="0"/>
    <x v="0"/>
    <x v="3"/>
    <x v="5"/>
    <s v="DE4-N_A"/>
    <x v="5"/>
    <x v="3"/>
    <s v="GNR_PV_SUN"/>
    <x v="0"/>
    <x v="9"/>
    <n v="590.942700119508"/>
    <n v="215694.08554361999"/>
    <n v="776498.707957034"/>
  </r>
  <r>
    <x v="0"/>
    <x v="0"/>
    <x v="0"/>
    <x v="3"/>
    <x v="5"/>
    <s v="DE4-N_A"/>
    <x v="5"/>
    <x v="3"/>
    <s v="GNR_PV_SUN"/>
    <x v="0"/>
    <x v="10"/>
    <n v="899.91981817078704"/>
    <n v="328470.73363233701"/>
    <n v="1182494.64107641"/>
  </r>
  <r>
    <x v="0"/>
    <x v="0"/>
    <x v="0"/>
    <x v="3"/>
    <x v="5"/>
    <s v="DE4-N_A"/>
    <x v="5"/>
    <x v="3"/>
    <s v="GNR_PV_SUN"/>
    <x v="0"/>
    <x v="11"/>
    <n v="1023.12727584831"/>
    <n v="373441.45568463497"/>
    <n v="1344389.2404646799"/>
  </r>
  <r>
    <x v="0"/>
    <x v="0"/>
    <x v="0"/>
    <x v="3"/>
    <x v="5"/>
    <s v="DE4-N_A"/>
    <x v="5"/>
    <x v="3"/>
    <s v="GNR_PV_SUN"/>
    <x v="0"/>
    <x v="12"/>
    <n v="889.63800769982004"/>
    <n v="324717.87281043403"/>
    <n v="1168984.3421175601"/>
  </r>
  <r>
    <x v="0"/>
    <x v="0"/>
    <x v="0"/>
    <x v="3"/>
    <x v="5"/>
    <s v="DE4-N_A"/>
    <x v="5"/>
    <x v="3"/>
    <s v="GNR_PV_SUN"/>
    <x v="0"/>
    <x v="13"/>
    <n v="578.91820990769895"/>
    <n v="211305.14661631"/>
    <n v="760698.52781871601"/>
  </r>
  <r>
    <x v="0"/>
    <x v="0"/>
    <x v="0"/>
    <x v="3"/>
    <x v="5"/>
    <s v="DE4-N_A"/>
    <x v="5"/>
    <x v="3"/>
    <s v="GNR_PV_SUN"/>
    <x v="0"/>
    <x v="14"/>
    <n v="293.118732409617"/>
    <n v="106988.33732951"/>
    <n v="385158.01438623702"/>
  </r>
  <r>
    <x v="0"/>
    <x v="0"/>
    <x v="0"/>
    <x v="3"/>
    <x v="5"/>
    <s v="DE4-N_A"/>
    <x v="5"/>
    <x v="3"/>
    <s v="GNR_PV_SUN"/>
    <x v="0"/>
    <x v="15"/>
    <n v="38.164686324438897"/>
    <n v="13930.110508420201"/>
    <n v="50148.397830312701"/>
  </r>
  <r>
    <x v="0"/>
    <x v="0"/>
    <x v="0"/>
    <x v="3"/>
    <x v="5"/>
    <s v="DE4-N_A"/>
    <x v="6"/>
    <x v="4"/>
    <s v="GNR_ROR_WTR"/>
    <x v="0"/>
    <x v="0"/>
    <n v="2.66860730593607"/>
    <n v="974.04166666666595"/>
    <n v="3506.55"/>
  </r>
  <r>
    <x v="0"/>
    <x v="0"/>
    <x v="0"/>
    <x v="3"/>
    <x v="5"/>
    <s v="DE4-N_A"/>
    <x v="6"/>
    <x v="4"/>
    <s v="GNR_ROR_WTR"/>
    <x v="0"/>
    <x v="1"/>
    <n v="2.66860730593607"/>
    <n v="974.04166666666595"/>
    <n v="3506.55"/>
  </r>
  <r>
    <x v="0"/>
    <x v="0"/>
    <x v="0"/>
    <x v="3"/>
    <x v="5"/>
    <s v="DE4-N_A"/>
    <x v="6"/>
    <x v="4"/>
    <s v="GNR_ROR_WTR"/>
    <x v="0"/>
    <x v="18"/>
    <n v="2.66860730593607"/>
    <n v="974.04166666666595"/>
    <n v="3506.55"/>
  </r>
  <r>
    <x v="0"/>
    <x v="0"/>
    <x v="0"/>
    <x v="3"/>
    <x v="5"/>
    <s v="DE4-N_A"/>
    <x v="6"/>
    <x v="4"/>
    <s v="GNR_ROR_WTR"/>
    <x v="0"/>
    <x v="2"/>
    <n v="2.66860730593607"/>
    <n v="974.04166666666595"/>
    <n v="3506.55"/>
  </r>
  <r>
    <x v="0"/>
    <x v="0"/>
    <x v="0"/>
    <x v="3"/>
    <x v="5"/>
    <s v="DE4-N_A"/>
    <x v="6"/>
    <x v="4"/>
    <s v="GNR_ROR_WTR"/>
    <x v="0"/>
    <x v="3"/>
    <n v="2.66860730593607"/>
    <n v="974.04166666666595"/>
    <n v="3506.55"/>
  </r>
  <r>
    <x v="0"/>
    <x v="0"/>
    <x v="0"/>
    <x v="3"/>
    <x v="5"/>
    <s v="DE4-N_A"/>
    <x v="6"/>
    <x v="4"/>
    <s v="GNR_ROR_WTR"/>
    <x v="0"/>
    <x v="4"/>
    <n v="2.66860730593607"/>
    <n v="974.04166666666595"/>
    <n v="3506.55"/>
  </r>
  <r>
    <x v="0"/>
    <x v="0"/>
    <x v="0"/>
    <x v="3"/>
    <x v="5"/>
    <s v="DE4-N_A"/>
    <x v="6"/>
    <x v="4"/>
    <s v="GNR_ROR_WTR"/>
    <x v="0"/>
    <x v="5"/>
    <n v="2.66860730593607"/>
    <n v="974.04166666666595"/>
    <n v="3506.55"/>
  </r>
  <r>
    <x v="0"/>
    <x v="0"/>
    <x v="0"/>
    <x v="3"/>
    <x v="5"/>
    <s v="DE4-N_A"/>
    <x v="6"/>
    <x v="4"/>
    <s v="GNR_ROR_WTR"/>
    <x v="0"/>
    <x v="6"/>
    <n v="2.66860730593607"/>
    <n v="974.04166666666595"/>
    <n v="3506.55"/>
  </r>
  <r>
    <x v="0"/>
    <x v="0"/>
    <x v="0"/>
    <x v="3"/>
    <x v="5"/>
    <s v="DE4-N_A"/>
    <x v="6"/>
    <x v="4"/>
    <s v="GNR_ROR_WTR"/>
    <x v="0"/>
    <x v="7"/>
    <n v="2.66860730593607"/>
    <n v="974.04166666666595"/>
    <n v="3506.55"/>
  </r>
  <r>
    <x v="0"/>
    <x v="0"/>
    <x v="0"/>
    <x v="3"/>
    <x v="5"/>
    <s v="DE4-N_A"/>
    <x v="6"/>
    <x v="4"/>
    <s v="GNR_ROR_WTR"/>
    <x v="0"/>
    <x v="8"/>
    <n v="2.66860730593607"/>
    <n v="974.04166666666595"/>
    <n v="3506.55"/>
  </r>
  <r>
    <x v="0"/>
    <x v="0"/>
    <x v="0"/>
    <x v="3"/>
    <x v="5"/>
    <s v="DE4-N_A"/>
    <x v="6"/>
    <x v="4"/>
    <s v="GNR_ROR_WTR"/>
    <x v="0"/>
    <x v="9"/>
    <n v="2.66860730593607"/>
    <n v="974.04166666666595"/>
    <n v="3506.55"/>
  </r>
  <r>
    <x v="0"/>
    <x v="0"/>
    <x v="0"/>
    <x v="3"/>
    <x v="5"/>
    <s v="DE4-N_A"/>
    <x v="6"/>
    <x v="4"/>
    <s v="GNR_ROR_WTR"/>
    <x v="0"/>
    <x v="10"/>
    <n v="2.66860730593607"/>
    <n v="974.04166666666595"/>
    <n v="3506.55"/>
  </r>
  <r>
    <x v="0"/>
    <x v="0"/>
    <x v="0"/>
    <x v="3"/>
    <x v="5"/>
    <s v="DE4-N_A"/>
    <x v="6"/>
    <x v="4"/>
    <s v="GNR_ROR_WTR"/>
    <x v="0"/>
    <x v="11"/>
    <n v="2.66860730593607"/>
    <n v="974.04166666666595"/>
    <n v="3506.55"/>
  </r>
  <r>
    <x v="0"/>
    <x v="0"/>
    <x v="0"/>
    <x v="3"/>
    <x v="5"/>
    <s v="DE4-N_A"/>
    <x v="6"/>
    <x v="4"/>
    <s v="GNR_ROR_WTR"/>
    <x v="0"/>
    <x v="12"/>
    <n v="2.66860730593607"/>
    <n v="974.04166666666595"/>
    <n v="3506.55"/>
  </r>
  <r>
    <x v="0"/>
    <x v="0"/>
    <x v="0"/>
    <x v="3"/>
    <x v="5"/>
    <s v="DE4-N_A"/>
    <x v="6"/>
    <x v="4"/>
    <s v="GNR_ROR_WTR"/>
    <x v="0"/>
    <x v="13"/>
    <n v="2.66860730593607"/>
    <n v="974.04166666666595"/>
    <n v="3506.55"/>
  </r>
  <r>
    <x v="0"/>
    <x v="0"/>
    <x v="0"/>
    <x v="3"/>
    <x v="5"/>
    <s v="DE4-N_A"/>
    <x v="6"/>
    <x v="4"/>
    <s v="GNR_ROR_WTR"/>
    <x v="0"/>
    <x v="14"/>
    <n v="2.66860730593607"/>
    <n v="974.04166666666595"/>
    <n v="3506.55"/>
  </r>
  <r>
    <x v="0"/>
    <x v="0"/>
    <x v="0"/>
    <x v="3"/>
    <x v="5"/>
    <s v="DE4-N_A"/>
    <x v="6"/>
    <x v="4"/>
    <s v="GNR_ROR_WTR"/>
    <x v="0"/>
    <x v="15"/>
    <n v="2.66860730593607"/>
    <n v="974.04166666666595"/>
    <n v="3506.55"/>
  </r>
  <r>
    <x v="0"/>
    <x v="0"/>
    <x v="0"/>
    <x v="3"/>
    <x v="5"/>
    <s v="DE4-N_A"/>
    <x v="6"/>
    <x v="4"/>
    <s v="GNR_ROR_WTR"/>
    <x v="0"/>
    <x v="16"/>
    <n v="2.66860730593607"/>
    <n v="974.04166666666595"/>
    <n v="3506.55"/>
  </r>
  <r>
    <x v="0"/>
    <x v="0"/>
    <x v="0"/>
    <x v="3"/>
    <x v="5"/>
    <s v="DE4-N_A"/>
    <x v="6"/>
    <x v="4"/>
    <s v="GNR_ROR_WTR"/>
    <x v="0"/>
    <x v="17"/>
    <n v="2.66860730593607"/>
    <n v="974.04166666666595"/>
    <n v="3506.55"/>
  </r>
  <r>
    <x v="0"/>
    <x v="0"/>
    <x v="0"/>
    <x v="3"/>
    <x v="5"/>
    <s v="DE4-N_A"/>
    <x v="6"/>
    <x v="4"/>
    <s v="GNR_ROR_WTR"/>
    <x v="0"/>
    <x v="19"/>
    <n v="2.66860730593607"/>
    <n v="974.04166666666595"/>
    <n v="3506.55"/>
  </r>
  <r>
    <x v="0"/>
    <x v="0"/>
    <x v="0"/>
    <x v="3"/>
    <x v="5"/>
    <s v="DE4-N_A"/>
    <x v="6"/>
    <x v="4"/>
    <s v="GNR_ROR_WTR"/>
    <x v="0"/>
    <x v="20"/>
    <n v="2.66860730593607"/>
    <n v="974.04166666666595"/>
    <n v="3506.55"/>
  </r>
  <r>
    <x v="0"/>
    <x v="0"/>
    <x v="0"/>
    <x v="3"/>
    <x v="5"/>
    <s v="DE4-N_A"/>
    <x v="6"/>
    <x v="4"/>
    <s v="GNR_ROR_WTR"/>
    <x v="0"/>
    <x v="21"/>
    <n v="2.66860730593607"/>
    <n v="974.04166666666595"/>
    <n v="3506.55"/>
  </r>
  <r>
    <x v="0"/>
    <x v="0"/>
    <x v="0"/>
    <x v="3"/>
    <x v="5"/>
    <s v="DE4-N_A"/>
    <x v="6"/>
    <x v="4"/>
    <s v="GNR_ROR_WTR"/>
    <x v="0"/>
    <x v="22"/>
    <n v="2.66860730593607"/>
    <n v="974.04166666666595"/>
    <n v="3506.55"/>
  </r>
  <r>
    <x v="0"/>
    <x v="0"/>
    <x v="0"/>
    <x v="3"/>
    <x v="5"/>
    <s v="DE4-N_A"/>
    <x v="6"/>
    <x v="4"/>
    <s v="GNR_ROR_WTR"/>
    <x v="0"/>
    <x v="23"/>
    <n v="2.66860730593607"/>
    <n v="974.04166666666595"/>
    <n v="3506.55"/>
  </r>
  <r>
    <x v="0"/>
    <x v="0"/>
    <x v="0"/>
    <x v="3"/>
    <x v="5"/>
    <s v="DE4-N_A"/>
    <x v="7"/>
    <x v="5"/>
    <s v="GNR_WT_WIND_ONS"/>
    <x v="0"/>
    <x v="0"/>
    <n v="1247.1653136443599"/>
    <n v="455215.339480191"/>
    <n v="1638775.22212869"/>
  </r>
  <r>
    <x v="0"/>
    <x v="0"/>
    <x v="0"/>
    <x v="3"/>
    <x v="5"/>
    <s v="DE4-N_A"/>
    <x v="7"/>
    <x v="5"/>
    <s v="GNR_WT_WIND_ONS"/>
    <x v="0"/>
    <x v="1"/>
    <n v="1206.74676651287"/>
    <n v="440462.56977719901"/>
    <n v="1585665.2511979199"/>
  </r>
  <r>
    <x v="0"/>
    <x v="0"/>
    <x v="0"/>
    <x v="3"/>
    <x v="5"/>
    <s v="DE4-N_A"/>
    <x v="7"/>
    <x v="5"/>
    <s v="GNR_WT_WIND_ONS"/>
    <x v="0"/>
    <x v="18"/>
    <n v="1172.30385673964"/>
    <n v="427890.90770996897"/>
    <n v="1540407.26775589"/>
  </r>
  <r>
    <x v="0"/>
    <x v="0"/>
    <x v="0"/>
    <x v="3"/>
    <x v="5"/>
    <s v="DE4-N_A"/>
    <x v="7"/>
    <x v="5"/>
    <s v="GNR_WT_WIND_ONS"/>
    <x v="0"/>
    <x v="2"/>
    <n v="1113.2114428636301"/>
    <n v="406322.17664522497"/>
    <n v="1462759.83592281"/>
  </r>
  <r>
    <x v="0"/>
    <x v="0"/>
    <x v="0"/>
    <x v="3"/>
    <x v="5"/>
    <s v="DE4-N_A"/>
    <x v="7"/>
    <x v="5"/>
    <s v="GNR_WT_WIND_ONS"/>
    <x v="0"/>
    <x v="3"/>
    <n v="1014.03246170937"/>
    <n v="370121.84852392197"/>
    <n v="1332438.6546861201"/>
  </r>
  <r>
    <x v="0"/>
    <x v="0"/>
    <x v="0"/>
    <x v="3"/>
    <x v="5"/>
    <s v="DE4-N_A"/>
    <x v="7"/>
    <x v="5"/>
    <s v="GNR_WT_WIND_ONS"/>
    <x v="0"/>
    <x v="4"/>
    <n v="925.31084593205298"/>
    <n v="337738.458765199"/>
    <n v="1215858.4515547201"/>
  </r>
  <r>
    <x v="0"/>
    <x v="0"/>
    <x v="0"/>
    <x v="3"/>
    <x v="5"/>
    <s v="DE4-N_A"/>
    <x v="7"/>
    <x v="5"/>
    <s v="GNR_WT_WIND_ONS"/>
    <x v="0"/>
    <x v="5"/>
    <n v="762.72371280972004"/>
    <n v="278394.15517554799"/>
    <n v="1002218.95863197"/>
  </r>
  <r>
    <x v="0"/>
    <x v="0"/>
    <x v="0"/>
    <x v="3"/>
    <x v="5"/>
    <s v="DE4-N_A"/>
    <x v="7"/>
    <x v="5"/>
    <s v="GNR_WT_WIND_ONS"/>
    <x v="0"/>
    <x v="6"/>
    <n v="737.57623892709205"/>
    <n v="269215.327208389"/>
    <n v="969175.17795019899"/>
  </r>
  <r>
    <x v="0"/>
    <x v="0"/>
    <x v="0"/>
    <x v="3"/>
    <x v="5"/>
    <s v="DE4-N_A"/>
    <x v="7"/>
    <x v="5"/>
    <s v="GNR_WT_WIND_ONS"/>
    <x v="0"/>
    <x v="7"/>
    <n v="792.93387945419602"/>
    <n v="289420.86600078101"/>
    <n v="1041915.11760281"/>
  </r>
  <r>
    <x v="0"/>
    <x v="0"/>
    <x v="0"/>
    <x v="3"/>
    <x v="5"/>
    <s v="DE4-N_A"/>
    <x v="7"/>
    <x v="5"/>
    <s v="GNR_WT_WIND_ONS"/>
    <x v="0"/>
    <x v="8"/>
    <n v="855.26309689925597"/>
    <n v="312171.03036822798"/>
    <n v="1123815.70932562"/>
  </r>
  <r>
    <x v="0"/>
    <x v="0"/>
    <x v="0"/>
    <x v="3"/>
    <x v="5"/>
    <s v="DE4-N_A"/>
    <x v="7"/>
    <x v="5"/>
    <s v="GNR_WT_WIND_ONS"/>
    <x v="0"/>
    <x v="9"/>
    <n v="986.81011374402203"/>
    <n v="360185.69151656801"/>
    <n v="1296668.4894596499"/>
  </r>
  <r>
    <x v="0"/>
    <x v="0"/>
    <x v="0"/>
    <x v="3"/>
    <x v="5"/>
    <s v="DE4-N_A"/>
    <x v="7"/>
    <x v="5"/>
    <s v="GNR_WT_WIND_ONS"/>
    <x v="0"/>
    <x v="10"/>
    <n v="1087.0680294213"/>
    <n v="396779.83073877299"/>
    <n v="1428407.39065958"/>
  </r>
  <r>
    <x v="0"/>
    <x v="0"/>
    <x v="0"/>
    <x v="3"/>
    <x v="5"/>
    <s v="DE4-N_A"/>
    <x v="7"/>
    <x v="5"/>
    <s v="GNR_WT_WIND_ONS"/>
    <x v="0"/>
    <x v="11"/>
    <n v="1337.7128186144801"/>
    <n v="488265.17879428499"/>
    <n v="1757754.6436594201"/>
  </r>
  <r>
    <x v="0"/>
    <x v="0"/>
    <x v="0"/>
    <x v="3"/>
    <x v="5"/>
    <s v="DE4-N_A"/>
    <x v="7"/>
    <x v="5"/>
    <s v="GNR_WT_WIND_ONS"/>
    <x v="0"/>
    <x v="12"/>
    <n v="1563.21013392503"/>
    <n v="570571.69888263801"/>
    <n v="2054058.1159775001"/>
  </r>
  <r>
    <x v="0"/>
    <x v="0"/>
    <x v="0"/>
    <x v="3"/>
    <x v="5"/>
    <s v="DE4-N_A"/>
    <x v="7"/>
    <x v="5"/>
    <s v="GNR_WT_WIND_ONS"/>
    <x v="0"/>
    <x v="13"/>
    <n v="1820.1625403297001"/>
    <n v="664359.32722034096"/>
    <n v="2391693.57799323"/>
  </r>
  <r>
    <x v="0"/>
    <x v="0"/>
    <x v="0"/>
    <x v="3"/>
    <x v="5"/>
    <s v="DE4-N_A"/>
    <x v="7"/>
    <x v="5"/>
    <s v="GNR_WT_WIND_ONS"/>
    <x v="0"/>
    <x v="14"/>
    <n v="2073.7951482020098"/>
    <n v="756935.22909373301"/>
    <n v="2724966.8247374399"/>
  </r>
  <r>
    <x v="0"/>
    <x v="0"/>
    <x v="0"/>
    <x v="3"/>
    <x v="5"/>
    <s v="DE4-N_A"/>
    <x v="7"/>
    <x v="5"/>
    <s v="GNR_WT_WIND_ONS"/>
    <x v="0"/>
    <x v="15"/>
    <n v="2412.4145985027299"/>
    <n v="880531.32845349796"/>
    <n v="3169912.7824325901"/>
  </r>
  <r>
    <x v="0"/>
    <x v="0"/>
    <x v="0"/>
    <x v="3"/>
    <x v="5"/>
    <s v="DE4-N_A"/>
    <x v="7"/>
    <x v="5"/>
    <s v="GNR_WT_WIND_ONS"/>
    <x v="0"/>
    <x v="16"/>
    <n v="2721.7368267553802"/>
    <n v="993433.94176571397"/>
    <n v="3576362.1903565698"/>
  </r>
  <r>
    <x v="0"/>
    <x v="0"/>
    <x v="0"/>
    <x v="3"/>
    <x v="5"/>
    <s v="DE4-N_A"/>
    <x v="7"/>
    <x v="5"/>
    <s v="GNR_WT_WIND_ONS"/>
    <x v="0"/>
    <x v="17"/>
    <n v="3053.2187102115299"/>
    <n v="1114424.82922721"/>
    <n v="4011929.3852179502"/>
  </r>
  <r>
    <x v="0"/>
    <x v="0"/>
    <x v="0"/>
    <x v="3"/>
    <x v="5"/>
    <s v="DE4-N_A"/>
    <x v="7"/>
    <x v="5"/>
    <s v="GNR_WT_WIND_ONS"/>
    <x v="0"/>
    <x v="19"/>
    <n v="3386.3604929338599"/>
    <n v="1236021.57992086"/>
    <n v="4449677.6877150899"/>
  </r>
  <r>
    <x v="0"/>
    <x v="0"/>
    <x v="0"/>
    <x v="3"/>
    <x v="5"/>
    <s v="DE4-N_A"/>
    <x v="7"/>
    <x v="5"/>
    <s v="GNR_WT_WIND_ONS"/>
    <x v="0"/>
    <x v="20"/>
    <n v="3670.8672271571199"/>
    <n v="1339866.5379123499"/>
    <n v="4823519.5364844501"/>
  </r>
  <r>
    <x v="0"/>
    <x v="0"/>
    <x v="0"/>
    <x v="3"/>
    <x v="5"/>
    <s v="DE4-N_A"/>
    <x v="7"/>
    <x v="5"/>
    <s v="GNR_WT_WIND_ONS"/>
    <x v="0"/>
    <x v="21"/>
    <n v="3983.84123379536"/>
    <n v="1454102.0503353099"/>
    <n v="5234767.3812071001"/>
  </r>
  <r>
    <x v="0"/>
    <x v="0"/>
    <x v="0"/>
    <x v="3"/>
    <x v="5"/>
    <s v="DE4-N_A"/>
    <x v="7"/>
    <x v="5"/>
    <s v="GNR_WT_WIND_ONS"/>
    <x v="0"/>
    <x v="22"/>
    <n v="4378.8142641828899"/>
    <n v="1598267.2064267599"/>
    <n v="5753761.9431363204"/>
  </r>
  <r>
    <x v="0"/>
    <x v="0"/>
    <x v="0"/>
    <x v="3"/>
    <x v="5"/>
    <s v="DE4-N_A"/>
    <x v="7"/>
    <x v="5"/>
    <s v="GNR_WT_WIND_ONS"/>
    <x v="0"/>
    <x v="23"/>
    <n v="4636.4306302940304"/>
    <n v="1692297.18005732"/>
    <n v="6092269.8482063599"/>
  </r>
  <r>
    <x v="0"/>
    <x v="0"/>
    <x v="0"/>
    <x v="3"/>
    <x v="5"/>
    <s v="DE4-N_Offshore_A"/>
    <x v="7"/>
    <x v="5"/>
    <s v="GNR_WT_WIND_OFF"/>
    <x v="0"/>
    <x v="0"/>
    <n v="293.30560164840898"/>
    <n v="107056.544601669"/>
    <n v="385403.56056601001"/>
  </r>
  <r>
    <x v="0"/>
    <x v="0"/>
    <x v="0"/>
    <x v="3"/>
    <x v="5"/>
    <s v="DE4-N_Offshore_A"/>
    <x v="7"/>
    <x v="5"/>
    <s v="GNR_WT_WIND_OFF"/>
    <x v="0"/>
    <x v="1"/>
    <n v="283.800056429618"/>
    <n v="103587.02059681099"/>
    <n v="372913.27414851799"/>
  </r>
  <r>
    <x v="0"/>
    <x v="0"/>
    <x v="0"/>
    <x v="3"/>
    <x v="5"/>
    <s v="DE4-N_Offshore_A"/>
    <x v="7"/>
    <x v="5"/>
    <s v="GNR_WT_WIND_OFF"/>
    <x v="0"/>
    <x v="18"/>
    <n v="275.69984849163399"/>
    <n v="100630.444699446"/>
    <n v="362269.60091800703"/>
  </r>
  <r>
    <x v="0"/>
    <x v="0"/>
    <x v="0"/>
    <x v="3"/>
    <x v="5"/>
    <s v="DE4-N_Offshore_A"/>
    <x v="7"/>
    <x v="5"/>
    <s v="GNR_WT_WIND_OFF"/>
    <x v="0"/>
    <x v="2"/>
    <n v="261.80262427032102"/>
    <n v="95557.9578586672"/>
    <n v="344008.64829120197"/>
  </r>
  <r>
    <x v="0"/>
    <x v="0"/>
    <x v="0"/>
    <x v="3"/>
    <x v="5"/>
    <s v="DE4-N_Offshore_A"/>
    <x v="7"/>
    <x v="5"/>
    <s v="GNR_WT_WIND_OFF"/>
    <x v="0"/>
    <x v="3"/>
    <n v="238.477929123595"/>
    <n v="87044.444130112301"/>
    <n v="313359.99886840401"/>
  </r>
  <r>
    <x v="0"/>
    <x v="0"/>
    <x v="0"/>
    <x v="3"/>
    <x v="5"/>
    <s v="DE4-N_Offshore_A"/>
    <x v="7"/>
    <x v="5"/>
    <s v="GNR_WT_WIND_OFF"/>
    <x v="0"/>
    <x v="4"/>
    <n v="217.61257421828199"/>
    <n v="79428.589589672803"/>
    <n v="285942.92252282199"/>
  </r>
  <r>
    <x v="0"/>
    <x v="0"/>
    <x v="0"/>
    <x v="3"/>
    <x v="5"/>
    <s v="DE4-N_Offshore_A"/>
    <x v="7"/>
    <x v="5"/>
    <s v="GNR_WT_WIND_OFF"/>
    <x v="0"/>
    <x v="5"/>
    <n v="179.375689036327"/>
    <n v="65472.126498259298"/>
    <n v="235699.655393733"/>
  </r>
  <r>
    <x v="0"/>
    <x v="0"/>
    <x v="0"/>
    <x v="3"/>
    <x v="5"/>
    <s v="DE4-N_Offshore_A"/>
    <x v="7"/>
    <x v="5"/>
    <s v="GNR_WT_WIND_OFF"/>
    <x v="0"/>
    <x v="6"/>
    <n v="173.461561312931"/>
    <n v="63313.469879219803"/>
    <n v="227928.49156519101"/>
  </r>
  <r>
    <x v="0"/>
    <x v="0"/>
    <x v="0"/>
    <x v="3"/>
    <x v="5"/>
    <s v="DE4-N_Offshore_A"/>
    <x v="7"/>
    <x v="5"/>
    <s v="GNR_WT_WIND_OFF"/>
    <x v="0"/>
    <x v="7"/>
    <n v="186.48044973373999"/>
    <n v="68065.364152814902"/>
    <n v="245035.31095013401"/>
  </r>
  <r>
    <x v="0"/>
    <x v="0"/>
    <x v="0"/>
    <x v="3"/>
    <x v="5"/>
    <s v="DE4-N_Offshore_A"/>
    <x v="7"/>
    <x v="5"/>
    <s v="GNR_WT_WIND_OFF"/>
    <x v="0"/>
    <x v="8"/>
    <n v="201.138898315489"/>
    <n v="73415.697885153597"/>
    <n v="264296.51238655299"/>
  </r>
  <r>
    <x v="0"/>
    <x v="0"/>
    <x v="0"/>
    <x v="3"/>
    <x v="5"/>
    <s v="DE4-N_Offshore_A"/>
    <x v="7"/>
    <x v="5"/>
    <s v="GNR_WT_WIND_OFF"/>
    <x v="0"/>
    <x v="9"/>
    <n v="232.07583706658599"/>
    <n v="84707.680529303907"/>
    <n v="304947.64990549401"/>
  </r>
  <r>
    <x v="0"/>
    <x v="0"/>
    <x v="0"/>
    <x v="3"/>
    <x v="5"/>
    <s v="DE4-N_Offshore_A"/>
    <x v="7"/>
    <x v="5"/>
    <s v="GNR_WT_WIND_OFF"/>
    <x v="0"/>
    <x v="10"/>
    <n v="255.654273666791"/>
    <n v="93313.809888378702"/>
    <n v="335929.71559816302"/>
  </r>
  <r>
    <x v="0"/>
    <x v="0"/>
    <x v="0"/>
    <x v="3"/>
    <x v="5"/>
    <s v="DE4-N_Offshore_A"/>
    <x v="7"/>
    <x v="5"/>
    <s v="GNR_WT_WIND_OFF"/>
    <x v="0"/>
    <x v="11"/>
    <n v="314.60036516730298"/>
    <n v="114829.133286066"/>
    <n v="413384.87982983602"/>
  </r>
  <r>
    <x v="0"/>
    <x v="0"/>
    <x v="0"/>
    <x v="3"/>
    <x v="5"/>
    <s v="DE4-N_Offshore_A"/>
    <x v="7"/>
    <x v="5"/>
    <s v="GNR_WT_WIND_OFF"/>
    <x v="0"/>
    <x v="12"/>
    <n v="367.63232894442001"/>
    <n v="134185.800064713"/>
    <n v="483068.88023296703"/>
  </r>
  <r>
    <x v="0"/>
    <x v="0"/>
    <x v="0"/>
    <x v="3"/>
    <x v="5"/>
    <s v="DE4-N_Offshore_A"/>
    <x v="7"/>
    <x v="5"/>
    <s v="GNR_WT_WIND_OFF"/>
    <x v="0"/>
    <x v="13"/>
    <n v="428.06183201911699"/>
    <n v="156242.56868697799"/>
    <n v="562473.24727311998"/>
  </r>
  <r>
    <x v="0"/>
    <x v="0"/>
    <x v="0"/>
    <x v="3"/>
    <x v="5"/>
    <s v="DE4-N_Offshore_A"/>
    <x v="7"/>
    <x v="5"/>
    <s v="GNR_WT_WIND_OFF"/>
    <x v="0"/>
    <x v="14"/>
    <n v="487.71059216003198"/>
    <n v="178014.36613841201"/>
    <n v="640851.71809828305"/>
  </r>
  <r>
    <x v="0"/>
    <x v="0"/>
    <x v="0"/>
    <x v="3"/>
    <x v="5"/>
    <s v="DE4-N_Offshore_A"/>
    <x v="7"/>
    <x v="5"/>
    <s v="GNR_WT_WIND_OFF"/>
    <x v="0"/>
    <x v="15"/>
    <n v="567.34637140575796"/>
    <n v="207081.42556310099"/>
    <n v="745493.13202716503"/>
  </r>
  <r>
    <x v="0"/>
    <x v="0"/>
    <x v="0"/>
    <x v="3"/>
    <x v="5"/>
    <s v="DE4-N_Offshore_A"/>
    <x v="7"/>
    <x v="5"/>
    <s v="GNR_WT_WIND_OFF"/>
    <x v="0"/>
    <x v="16"/>
    <n v="640.09209426085999"/>
    <n v="233633.614405214"/>
    <n v="841081.01185877004"/>
  </r>
  <r>
    <x v="0"/>
    <x v="0"/>
    <x v="0"/>
    <x v="3"/>
    <x v="5"/>
    <s v="DE4-N_Offshore_A"/>
    <x v="7"/>
    <x v="5"/>
    <s v="GNR_WT_WIND_OFF"/>
    <x v="0"/>
    <x v="17"/>
    <n v="718.04927619895398"/>
    <n v="262087.98581261799"/>
    <n v="943516.74892542604"/>
  </r>
  <r>
    <x v="0"/>
    <x v="0"/>
    <x v="0"/>
    <x v="3"/>
    <x v="5"/>
    <s v="DE4-N_Offshore_A"/>
    <x v="7"/>
    <x v="5"/>
    <s v="GNR_WT_WIND_OFF"/>
    <x v="0"/>
    <x v="19"/>
    <n v="796.39682960393998"/>
    <n v="290684.84280543798"/>
    <n v="1046465.43409958"/>
  </r>
  <r>
    <x v="0"/>
    <x v="0"/>
    <x v="0"/>
    <x v="3"/>
    <x v="5"/>
    <s v="DE4-N_Offshore_A"/>
    <x v="7"/>
    <x v="5"/>
    <s v="GNR_WT_WIND_OFF"/>
    <x v="0"/>
    <x v="20"/>
    <n v="863.30649902902496"/>
    <n v="315106.87214559398"/>
    <n v="1134384.7397241399"/>
  </r>
  <r>
    <x v="0"/>
    <x v="0"/>
    <x v="0"/>
    <x v="3"/>
    <x v="5"/>
    <s v="DE4-N_Offshore_A"/>
    <x v="7"/>
    <x v="5"/>
    <s v="GNR_WT_WIND_OFF"/>
    <x v="0"/>
    <x v="21"/>
    <n v="936.91103911128698"/>
    <n v="341972.52927562001"/>
    <n v="1231101.10539223"/>
  </r>
  <r>
    <x v="0"/>
    <x v="0"/>
    <x v="0"/>
    <x v="3"/>
    <x v="5"/>
    <s v="DE4-N_Offshore_A"/>
    <x v="7"/>
    <x v="5"/>
    <s v="GNR_WT_WIND_OFF"/>
    <x v="0"/>
    <x v="22"/>
    <n v="1029.7999296579501"/>
    <n v="375876.97432515299"/>
    <n v="1353157.1075705499"/>
  </r>
  <r>
    <x v="0"/>
    <x v="0"/>
    <x v="0"/>
    <x v="3"/>
    <x v="5"/>
    <s v="DE4-N_Offshore_A"/>
    <x v="7"/>
    <x v="5"/>
    <s v="GNR_WT_WIND_OFF"/>
    <x v="0"/>
    <x v="23"/>
    <n v="1090.38558131941"/>
    <n v="397990.737181584"/>
    <n v="1432766.6538537"/>
  </r>
  <r>
    <x v="0"/>
    <x v="0"/>
    <x v="0"/>
    <x v="3"/>
    <x v="6"/>
    <s v="DE4-S_A"/>
    <x v="0"/>
    <x v="2"/>
    <s v="GNR_ST_COAL_BP_E-43"/>
    <x v="0"/>
    <x v="4"/>
    <n v="2483.0766085283899"/>
    <n v="906322.96211286401"/>
    <n v="3262762.6636063098"/>
  </r>
  <r>
    <x v="0"/>
    <x v="0"/>
    <x v="0"/>
    <x v="3"/>
    <x v="6"/>
    <s v="DE4-S_A"/>
    <x v="0"/>
    <x v="2"/>
    <s v="GNR_ST_COAL_BP_E-43"/>
    <x v="0"/>
    <x v="5"/>
    <n v="5988.7618622951404"/>
    <n v="2185898.0797377299"/>
    <n v="7869233.08705582"/>
  </r>
  <r>
    <x v="0"/>
    <x v="0"/>
    <x v="0"/>
    <x v="3"/>
    <x v="6"/>
    <s v="DE4-S_A"/>
    <x v="0"/>
    <x v="2"/>
    <s v="GNR_ST_COAL_BP_E-43"/>
    <x v="0"/>
    <x v="6"/>
    <n v="7583.8"/>
    <n v="2768087"/>
    <n v="9965113.1999999993"/>
  </r>
  <r>
    <x v="0"/>
    <x v="0"/>
    <x v="0"/>
    <x v="3"/>
    <x v="6"/>
    <s v="DE4-S_A"/>
    <x v="0"/>
    <x v="2"/>
    <s v="GNR_ST_COAL_BP_E-43"/>
    <x v="0"/>
    <x v="7"/>
    <n v="7583.8"/>
    <n v="2768087"/>
    <n v="9965113.1999999993"/>
  </r>
  <r>
    <x v="0"/>
    <x v="0"/>
    <x v="0"/>
    <x v="3"/>
    <x v="6"/>
    <s v="DE4-S_A"/>
    <x v="0"/>
    <x v="2"/>
    <s v="GNR_ST_COAL_BP_E-43"/>
    <x v="0"/>
    <x v="8"/>
    <n v="7583.8"/>
    <n v="2768087"/>
    <n v="9965113.1999999993"/>
  </r>
  <r>
    <x v="0"/>
    <x v="0"/>
    <x v="0"/>
    <x v="3"/>
    <x v="6"/>
    <s v="DE4-S_A"/>
    <x v="0"/>
    <x v="2"/>
    <s v="GNR_ST_COAL_BP_E-43"/>
    <x v="0"/>
    <x v="9"/>
    <n v="5963.58549034936"/>
    <n v="2176708.7039775099"/>
    <n v="7836151.3343190504"/>
  </r>
  <r>
    <x v="0"/>
    <x v="0"/>
    <x v="0"/>
    <x v="3"/>
    <x v="6"/>
    <s v="DE4-S_A"/>
    <x v="0"/>
    <x v="2"/>
    <s v="GNR_ST_COAL_BP_E-43"/>
    <x v="0"/>
    <x v="10"/>
    <n v="2233.2022366281299"/>
    <n v="815118.81636926695"/>
    <n v="2934427.7389293602"/>
  </r>
  <r>
    <x v="0"/>
    <x v="0"/>
    <x v="0"/>
    <x v="3"/>
    <x v="6"/>
    <s v="DE4-S_A"/>
    <x v="0"/>
    <x v="2"/>
    <s v="GNR_ST_COAL_BP_E-43"/>
    <x v="0"/>
    <x v="13"/>
    <n v="208.087816416534"/>
    <n v="75952.052992034995"/>
    <n v="273427.39077132603"/>
  </r>
  <r>
    <x v="0"/>
    <x v="0"/>
    <x v="0"/>
    <x v="3"/>
    <x v="6"/>
    <s v="DE4-S_A"/>
    <x v="0"/>
    <x v="2"/>
    <s v="GNR_ST_COAL_BP_E-43"/>
    <x v="0"/>
    <x v="14"/>
    <n v="5072.6943456170302"/>
    <n v="1851533.43615022"/>
    <n v="6665520.3701407798"/>
  </r>
  <r>
    <x v="0"/>
    <x v="0"/>
    <x v="0"/>
    <x v="3"/>
    <x v="6"/>
    <s v="DE4-S_A"/>
    <x v="0"/>
    <x v="2"/>
    <s v="GNR_ST_COAL_BP_E-43"/>
    <x v="0"/>
    <x v="15"/>
    <n v="7583.8"/>
    <n v="2768087"/>
    <n v="9965113.1999999993"/>
  </r>
  <r>
    <x v="0"/>
    <x v="0"/>
    <x v="0"/>
    <x v="3"/>
    <x v="6"/>
    <s v="DE4-S_A"/>
    <x v="0"/>
    <x v="2"/>
    <s v="GNR_ST_COAL_BP_E-43"/>
    <x v="0"/>
    <x v="16"/>
    <n v="5031.1884069901098"/>
    <n v="1836383.7685513899"/>
    <n v="6610981.5667850003"/>
  </r>
  <r>
    <x v="0"/>
    <x v="0"/>
    <x v="0"/>
    <x v="3"/>
    <x v="6"/>
    <s v="DE4-S_A"/>
    <x v="0"/>
    <x v="2"/>
    <s v="GNR_ST_COAL_BP_E-43"/>
    <x v="0"/>
    <x v="17"/>
    <n v="6993.9581366111397"/>
    <n v="2552794.7198630702"/>
    <n v="9190060.9915070403"/>
  </r>
  <r>
    <x v="0"/>
    <x v="0"/>
    <x v="0"/>
    <x v="3"/>
    <x v="6"/>
    <s v="DE4-S_A"/>
    <x v="0"/>
    <x v="2"/>
    <s v="GNR_ST_COAL_BP_E-43"/>
    <x v="0"/>
    <x v="19"/>
    <n v="3409.8810236316299"/>
    <n v="1244606.5736255499"/>
    <n v="4480583.6650519697"/>
  </r>
  <r>
    <x v="0"/>
    <x v="0"/>
    <x v="0"/>
    <x v="3"/>
    <x v="6"/>
    <s v="DE4-S_A"/>
    <x v="0"/>
    <x v="2"/>
    <s v="GNR_ST_COAL_BP_E-43"/>
    <x v="0"/>
    <x v="20"/>
    <n v="3301.7538418695899"/>
    <n v="1205140.1522824001"/>
    <n v="4338504.54821664"/>
  </r>
  <r>
    <x v="0"/>
    <x v="0"/>
    <x v="0"/>
    <x v="3"/>
    <x v="6"/>
    <s v="DE4-S_A"/>
    <x v="0"/>
    <x v="2"/>
    <s v="GNR_ST_COAL_BP_E-43"/>
    <x v="0"/>
    <x v="21"/>
    <n v="906.31355026633196"/>
    <n v="330804.445847211"/>
    <n v="1190896.00504996"/>
  </r>
  <r>
    <x v="0"/>
    <x v="0"/>
    <x v="0"/>
    <x v="3"/>
    <x v="6"/>
    <s v="DE4-S_A"/>
    <x v="0"/>
    <x v="6"/>
    <s v="GNR_ST_COAL_CND_E-38"/>
    <x v="0"/>
    <x v="4"/>
    <n v="726"/>
    <n v="264990"/>
    <n v="953964"/>
  </r>
  <r>
    <x v="0"/>
    <x v="0"/>
    <x v="0"/>
    <x v="3"/>
    <x v="6"/>
    <s v="DE4-S_A"/>
    <x v="0"/>
    <x v="6"/>
    <s v="GNR_ST_COAL_CND_E-38"/>
    <x v="0"/>
    <x v="5"/>
    <n v="726"/>
    <n v="264990"/>
    <n v="953964"/>
  </r>
  <r>
    <x v="0"/>
    <x v="0"/>
    <x v="0"/>
    <x v="3"/>
    <x v="6"/>
    <s v="DE4-S_A"/>
    <x v="0"/>
    <x v="6"/>
    <s v="GNR_ST_COAL_CND_E-38"/>
    <x v="0"/>
    <x v="6"/>
    <n v="726"/>
    <n v="264990"/>
    <n v="953964"/>
  </r>
  <r>
    <x v="0"/>
    <x v="0"/>
    <x v="0"/>
    <x v="3"/>
    <x v="6"/>
    <s v="DE4-S_A"/>
    <x v="0"/>
    <x v="6"/>
    <s v="GNR_ST_COAL_CND_E-38"/>
    <x v="0"/>
    <x v="7"/>
    <n v="726"/>
    <n v="264990"/>
    <n v="953964"/>
  </r>
  <r>
    <x v="0"/>
    <x v="0"/>
    <x v="0"/>
    <x v="3"/>
    <x v="6"/>
    <s v="DE4-S_A"/>
    <x v="0"/>
    <x v="6"/>
    <s v="GNR_ST_COAL_CND_E-38"/>
    <x v="0"/>
    <x v="8"/>
    <n v="726"/>
    <n v="264990"/>
    <n v="953964"/>
  </r>
  <r>
    <x v="0"/>
    <x v="0"/>
    <x v="0"/>
    <x v="3"/>
    <x v="6"/>
    <s v="DE4-S_A"/>
    <x v="0"/>
    <x v="6"/>
    <s v="GNR_ST_COAL_CND_E-38"/>
    <x v="0"/>
    <x v="9"/>
    <n v="726"/>
    <n v="264990"/>
    <n v="953964"/>
  </r>
  <r>
    <x v="0"/>
    <x v="0"/>
    <x v="0"/>
    <x v="3"/>
    <x v="6"/>
    <s v="DE4-S_A"/>
    <x v="0"/>
    <x v="6"/>
    <s v="GNR_ST_COAL_CND_E-38"/>
    <x v="0"/>
    <x v="10"/>
    <n v="726"/>
    <n v="264990"/>
    <n v="953964"/>
  </r>
  <r>
    <x v="0"/>
    <x v="0"/>
    <x v="0"/>
    <x v="3"/>
    <x v="6"/>
    <s v="DE4-S_A"/>
    <x v="0"/>
    <x v="6"/>
    <s v="GNR_ST_COAL_CND_E-38"/>
    <x v="0"/>
    <x v="11"/>
    <n v="726"/>
    <n v="264990"/>
    <n v="953964"/>
  </r>
  <r>
    <x v="0"/>
    <x v="0"/>
    <x v="0"/>
    <x v="3"/>
    <x v="6"/>
    <s v="DE4-S_A"/>
    <x v="0"/>
    <x v="6"/>
    <s v="GNR_ST_COAL_CND_E-38"/>
    <x v="0"/>
    <x v="12"/>
    <n v="726"/>
    <n v="264990"/>
    <n v="953964"/>
  </r>
  <r>
    <x v="0"/>
    <x v="0"/>
    <x v="0"/>
    <x v="3"/>
    <x v="6"/>
    <s v="DE4-S_A"/>
    <x v="0"/>
    <x v="6"/>
    <s v="GNR_ST_COAL_CND_E-38"/>
    <x v="0"/>
    <x v="13"/>
    <n v="726"/>
    <n v="264990"/>
    <n v="953964"/>
  </r>
  <r>
    <x v="0"/>
    <x v="0"/>
    <x v="0"/>
    <x v="3"/>
    <x v="6"/>
    <s v="DE4-S_A"/>
    <x v="0"/>
    <x v="6"/>
    <s v="GNR_ST_COAL_CND_E-38"/>
    <x v="0"/>
    <x v="14"/>
    <n v="726"/>
    <n v="264990"/>
    <n v="953964"/>
  </r>
  <r>
    <x v="0"/>
    <x v="0"/>
    <x v="0"/>
    <x v="3"/>
    <x v="6"/>
    <s v="DE4-S_A"/>
    <x v="0"/>
    <x v="6"/>
    <s v="GNR_ST_COAL_CND_E-38"/>
    <x v="0"/>
    <x v="15"/>
    <n v="726"/>
    <n v="264990"/>
    <n v="953964"/>
  </r>
  <r>
    <x v="0"/>
    <x v="0"/>
    <x v="0"/>
    <x v="3"/>
    <x v="6"/>
    <s v="DE4-S_A"/>
    <x v="0"/>
    <x v="6"/>
    <s v="GNR_ST_COAL_CND_E-38"/>
    <x v="0"/>
    <x v="16"/>
    <n v="726"/>
    <n v="264990"/>
    <n v="953964"/>
  </r>
  <r>
    <x v="0"/>
    <x v="0"/>
    <x v="0"/>
    <x v="3"/>
    <x v="6"/>
    <s v="DE4-S_A"/>
    <x v="0"/>
    <x v="6"/>
    <s v="GNR_ST_COAL_CND_E-38"/>
    <x v="0"/>
    <x v="17"/>
    <n v="726"/>
    <n v="264990"/>
    <n v="953964"/>
  </r>
  <r>
    <x v="0"/>
    <x v="0"/>
    <x v="0"/>
    <x v="3"/>
    <x v="6"/>
    <s v="DE4-S_A"/>
    <x v="0"/>
    <x v="6"/>
    <s v="GNR_ST_COAL_CND_E-38"/>
    <x v="0"/>
    <x v="19"/>
    <n v="726"/>
    <n v="264990"/>
    <n v="953964"/>
  </r>
  <r>
    <x v="0"/>
    <x v="0"/>
    <x v="0"/>
    <x v="3"/>
    <x v="6"/>
    <s v="DE4-S_A"/>
    <x v="0"/>
    <x v="6"/>
    <s v="GNR_ST_COAL_CND_E-38"/>
    <x v="0"/>
    <x v="20"/>
    <n v="726"/>
    <n v="264990"/>
    <n v="953964"/>
  </r>
  <r>
    <x v="0"/>
    <x v="0"/>
    <x v="0"/>
    <x v="3"/>
    <x v="6"/>
    <s v="DE4-S_A"/>
    <x v="0"/>
    <x v="6"/>
    <s v="GNR_ST_COAL_CND_E-44"/>
    <x v="0"/>
    <x v="0"/>
    <n v="527"/>
    <n v="192355"/>
    <n v="692478"/>
  </r>
  <r>
    <x v="0"/>
    <x v="0"/>
    <x v="0"/>
    <x v="3"/>
    <x v="6"/>
    <s v="DE4-S_A"/>
    <x v="0"/>
    <x v="6"/>
    <s v="GNR_ST_COAL_CND_E-44"/>
    <x v="0"/>
    <x v="1"/>
    <n v="527"/>
    <n v="192355"/>
    <n v="692478"/>
  </r>
  <r>
    <x v="0"/>
    <x v="0"/>
    <x v="0"/>
    <x v="3"/>
    <x v="6"/>
    <s v="DE4-S_A"/>
    <x v="0"/>
    <x v="6"/>
    <s v="GNR_ST_COAL_CND_E-44"/>
    <x v="0"/>
    <x v="18"/>
    <n v="527"/>
    <n v="192355"/>
    <n v="692478"/>
  </r>
  <r>
    <x v="0"/>
    <x v="0"/>
    <x v="0"/>
    <x v="3"/>
    <x v="6"/>
    <s v="DE4-S_A"/>
    <x v="0"/>
    <x v="6"/>
    <s v="GNR_ST_COAL_CND_E-44"/>
    <x v="0"/>
    <x v="2"/>
    <n v="527"/>
    <n v="192355"/>
    <n v="692478"/>
  </r>
  <r>
    <x v="0"/>
    <x v="0"/>
    <x v="0"/>
    <x v="3"/>
    <x v="6"/>
    <s v="DE4-S_A"/>
    <x v="0"/>
    <x v="6"/>
    <s v="GNR_ST_COAL_CND_E-44"/>
    <x v="0"/>
    <x v="3"/>
    <n v="527"/>
    <n v="192355"/>
    <n v="692478"/>
  </r>
  <r>
    <x v="0"/>
    <x v="0"/>
    <x v="0"/>
    <x v="3"/>
    <x v="6"/>
    <s v="DE4-S_A"/>
    <x v="0"/>
    <x v="6"/>
    <s v="GNR_ST_COAL_CND_E-44"/>
    <x v="0"/>
    <x v="4"/>
    <n v="527"/>
    <n v="192355"/>
    <n v="692478"/>
  </r>
  <r>
    <x v="0"/>
    <x v="0"/>
    <x v="0"/>
    <x v="3"/>
    <x v="6"/>
    <s v="DE4-S_A"/>
    <x v="0"/>
    <x v="6"/>
    <s v="GNR_ST_COAL_CND_E-44"/>
    <x v="0"/>
    <x v="5"/>
    <n v="527"/>
    <n v="192355"/>
    <n v="692478"/>
  </r>
  <r>
    <x v="0"/>
    <x v="0"/>
    <x v="0"/>
    <x v="3"/>
    <x v="6"/>
    <s v="DE4-S_A"/>
    <x v="0"/>
    <x v="6"/>
    <s v="GNR_ST_COAL_CND_E-44"/>
    <x v="0"/>
    <x v="6"/>
    <n v="527"/>
    <n v="192355"/>
    <n v="692478"/>
  </r>
  <r>
    <x v="0"/>
    <x v="0"/>
    <x v="0"/>
    <x v="3"/>
    <x v="6"/>
    <s v="DE4-S_A"/>
    <x v="0"/>
    <x v="6"/>
    <s v="GNR_ST_COAL_CND_E-44"/>
    <x v="0"/>
    <x v="7"/>
    <n v="527"/>
    <n v="192355"/>
    <n v="692478"/>
  </r>
  <r>
    <x v="0"/>
    <x v="0"/>
    <x v="0"/>
    <x v="3"/>
    <x v="6"/>
    <s v="DE4-S_A"/>
    <x v="0"/>
    <x v="6"/>
    <s v="GNR_ST_COAL_CND_E-44"/>
    <x v="0"/>
    <x v="8"/>
    <n v="527"/>
    <n v="192355"/>
    <n v="692478"/>
  </r>
  <r>
    <x v="0"/>
    <x v="0"/>
    <x v="0"/>
    <x v="3"/>
    <x v="6"/>
    <s v="DE4-S_A"/>
    <x v="0"/>
    <x v="6"/>
    <s v="GNR_ST_COAL_CND_E-44"/>
    <x v="0"/>
    <x v="9"/>
    <n v="527"/>
    <n v="192355"/>
    <n v="692478"/>
  </r>
  <r>
    <x v="0"/>
    <x v="0"/>
    <x v="0"/>
    <x v="3"/>
    <x v="6"/>
    <s v="DE4-S_A"/>
    <x v="0"/>
    <x v="6"/>
    <s v="GNR_ST_COAL_CND_E-44"/>
    <x v="0"/>
    <x v="10"/>
    <n v="527"/>
    <n v="192355"/>
    <n v="692478"/>
  </r>
  <r>
    <x v="0"/>
    <x v="0"/>
    <x v="0"/>
    <x v="3"/>
    <x v="6"/>
    <s v="DE4-S_A"/>
    <x v="0"/>
    <x v="6"/>
    <s v="GNR_ST_COAL_CND_E-44"/>
    <x v="0"/>
    <x v="11"/>
    <n v="527"/>
    <n v="192355"/>
    <n v="692478"/>
  </r>
  <r>
    <x v="0"/>
    <x v="0"/>
    <x v="0"/>
    <x v="3"/>
    <x v="6"/>
    <s v="DE4-S_A"/>
    <x v="0"/>
    <x v="6"/>
    <s v="GNR_ST_COAL_CND_E-44"/>
    <x v="0"/>
    <x v="12"/>
    <n v="527"/>
    <n v="192355"/>
    <n v="692478"/>
  </r>
  <r>
    <x v="0"/>
    <x v="0"/>
    <x v="0"/>
    <x v="3"/>
    <x v="6"/>
    <s v="DE4-S_A"/>
    <x v="0"/>
    <x v="6"/>
    <s v="GNR_ST_COAL_CND_E-44"/>
    <x v="0"/>
    <x v="13"/>
    <n v="527"/>
    <n v="192355"/>
    <n v="692478"/>
  </r>
  <r>
    <x v="0"/>
    <x v="0"/>
    <x v="0"/>
    <x v="3"/>
    <x v="6"/>
    <s v="DE4-S_A"/>
    <x v="0"/>
    <x v="6"/>
    <s v="GNR_ST_COAL_CND_E-44"/>
    <x v="0"/>
    <x v="14"/>
    <n v="527"/>
    <n v="192355"/>
    <n v="692478"/>
  </r>
  <r>
    <x v="0"/>
    <x v="0"/>
    <x v="0"/>
    <x v="3"/>
    <x v="6"/>
    <s v="DE4-S_A"/>
    <x v="0"/>
    <x v="6"/>
    <s v="GNR_ST_COAL_CND_E-44"/>
    <x v="0"/>
    <x v="15"/>
    <n v="527"/>
    <n v="192355"/>
    <n v="692478"/>
  </r>
  <r>
    <x v="0"/>
    <x v="0"/>
    <x v="0"/>
    <x v="3"/>
    <x v="6"/>
    <s v="DE4-S_A"/>
    <x v="0"/>
    <x v="6"/>
    <s v="GNR_ST_COAL_CND_E-44"/>
    <x v="0"/>
    <x v="16"/>
    <n v="527"/>
    <n v="192355"/>
    <n v="692478"/>
  </r>
  <r>
    <x v="0"/>
    <x v="0"/>
    <x v="0"/>
    <x v="3"/>
    <x v="6"/>
    <s v="DE4-S_A"/>
    <x v="0"/>
    <x v="6"/>
    <s v="GNR_ST_COAL_CND_E-44"/>
    <x v="0"/>
    <x v="17"/>
    <n v="527"/>
    <n v="192355"/>
    <n v="692478"/>
  </r>
  <r>
    <x v="0"/>
    <x v="0"/>
    <x v="0"/>
    <x v="3"/>
    <x v="6"/>
    <s v="DE4-S_A"/>
    <x v="0"/>
    <x v="6"/>
    <s v="GNR_ST_COAL_CND_E-44"/>
    <x v="0"/>
    <x v="19"/>
    <n v="527"/>
    <n v="192355"/>
    <n v="692478"/>
  </r>
  <r>
    <x v="0"/>
    <x v="0"/>
    <x v="0"/>
    <x v="3"/>
    <x v="6"/>
    <s v="DE4-S_A"/>
    <x v="0"/>
    <x v="6"/>
    <s v="GNR_ST_COAL_CND_E-44"/>
    <x v="0"/>
    <x v="20"/>
    <n v="527"/>
    <n v="192355"/>
    <n v="692478"/>
  </r>
  <r>
    <x v="0"/>
    <x v="0"/>
    <x v="0"/>
    <x v="3"/>
    <x v="6"/>
    <s v="DE4-S_A"/>
    <x v="0"/>
    <x v="6"/>
    <s v="GNR_ST_COAL_CND_E-44"/>
    <x v="0"/>
    <x v="21"/>
    <n v="527"/>
    <n v="192355"/>
    <n v="692478"/>
  </r>
  <r>
    <x v="0"/>
    <x v="0"/>
    <x v="0"/>
    <x v="3"/>
    <x v="6"/>
    <s v="DE4-S_A"/>
    <x v="0"/>
    <x v="6"/>
    <s v="GNR_ST_COAL_CND_E-44"/>
    <x v="0"/>
    <x v="22"/>
    <n v="527"/>
    <n v="192355"/>
    <n v="692478"/>
  </r>
  <r>
    <x v="0"/>
    <x v="0"/>
    <x v="0"/>
    <x v="3"/>
    <x v="6"/>
    <s v="DE4-S_A"/>
    <x v="0"/>
    <x v="6"/>
    <s v="GNR_ST_COAL_CND_E-44"/>
    <x v="0"/>
    <x v="23"/>
    <n v="527"/>
    <n v="192355"/>
    <n v="692478"/>
  </r>
  <r>
    <x v="0"/>
    <x v="0"/>
    <x v="0"/>
    <x v="3"/>
    <x v="6"/>
    <s v="DE4-S_A"/>
    <x v="1"/>
    <x v="8"/>
    <s v="AGG-DE4-S_RES_WTR_PMP"/>
    <x v="0"/>
    <x v="0"/>
    <n v="83.845659377270707"/>
    <n v="30603.665672703799"/>
    <n v="110173.196421734"/>
  </r>
  <r>
    <x v="0"/>
    <x v="0"/>
    <x v="0"/>
    <x v="3"/>
    <x v="6"/>
    <s v="DE4-S_A"/>
    <x v="1"/>
    <x v="8"/>
    <s v="AGG-DE4-S_RES_WTR_PMP"/>
    <x v="0"/>
    <x v="18"/>
    <n v="674.61766444961995"/>
    <n v="246235.44752411099"/>
    <n v="886447.6110868"/>
  </r>
  <r>
    <x v="0"/>
    <x v="0"/>
    <x v="0"/>
    <x v="3"/>
    <x v="6"/>
    <s v="DE4-S_A"/>
    <x v="1"/>
    <x v="8"/>
    <s v="AGG-DE4-S_RES_WTR_PMP"/>
    <x v="0"/>
    <x v="6"/>
    <n v="822.62097477673103"/>
    <n v="300256.655793507"/>
    <n v="1080923.96085662"/>
  </r>
  <r>
    <x v="0"/>
    <x v="0"/>
    <x v="0"/>
    <x v="3"/>
    <x v="6"/>
    <s v="DE4-S_A"/>
    <x v="1"/>
    <x v="8"/>
    <s v="AGG-DE4-S_RES_WTR_PMP"/>
    <x v="0"/>
    <x v="7"/>
    <n v="1642.60642248354"/>
    <n v="599551.344206493"/>
    <n v="2158384.8391433801"/>
  </r>
  <r>
    <x v="0"/>
    <x v="0"/>
    <x v="0"/>
    <x v="3"/>
    <x v="6"/>
    <s v="DE4-S_A"/>
    <x v="1"/>
    <x v="8"/>
    <s v="AGG-DE4-S_RES_WTR_PMP"/>
    <x v="0"/>
    <x v="15"/>
    <n v="1031.63200827113"/>
    <n v="376545.68301896303"/>
    <n v="1355564.45886827"/>
  </r>
  <r>
    <x v="0"/>
    <x v="0"/>
    <x v="0"/>
    <x v="3"/>
    <x v="6"/>
    <s v="DE4-S_A"/>
    <x v="1"/>
    <x v="8"/>
    <s v="AGG-DE4-S_RES_WTR_PMP"/>
    <x v="0"/>
    <x v="16"/>
    <n v="1433.59538898914"/>
    <n v="523262.31698103598"/>
    <n v="1883744.34113173"/>
  </r>
  <r>
    <x v="0"/>
    <x v="0"/>
    <x v="0"/>
    <x v="3"/>
    <x v="6"/>
    <s v="DE4-S_A"/>
    <x v="2"/>
    <x v="6"/>
    <s v="GNR_ST_MSW_CND_E-33"/>
    <x v="0"/>
    <x v="0"/>
    <n v="40"/>
    <n v="14600"/>
    <n v="52560"/>
  </r>
  <r>
    <x v="0"/>
    <x v="0"/>
    <x v="0"/>
    <x v="3"/>
    <x v="6"/>
    <s v="DE4-S_A"/>
    <x v="2"/>
    <x v="6"/>
    <s v="GNR_ST_MSW_CND_E-33"/>
    <x v="0"/>
    <x v="1"/>
    <n v="40"/>
    <n v="14600"/>
    <n v="52560"/>
  </r>
  <r>
    <x v="0"/>
    <x v="0"/>
    <x v="0"/>
    <x v="3"/>
    <x v="6"/>
    <s v="DE4-S_A"/>
    <x v="2"/>
    <x v="6"/>
    <s v="GNR_ST_MSW_CND_E-33"/>
    <x v="0"/>
    <x v="18"/>
    <n v="40"/>
    <n v="14600"/>
    <n v="52560"/>
  </r>
  <r>
    <x v="0"/>
    <x v="0"/>
    <x v="0"/>
    <x v="3"/>
    <x v="6"/>
    <s v="DE4-S_A"/>
    <x v="2"/>
    <x v="6"/>
    <s v="GNR_ST_MSW_CND_E-33"/>
    <x v="0"/>
    <x v="2"/>
    <n v="40"/>
    <n v="14600"/>
    <n v="52560"/>
  </r>
  <r>
    <x v="0"/>
    <x v="0"/>
    <x v="0"/>
    <x v="3"/>
    <x v="6"/>
    <s v="DE4-S_A"/>
    <x v="2"/>
    <x v="6"/>
    <s v="GNR_ST_MSW_CND_E-33"/>
    <x v="0"/>
    <x v="3"/>
    <n v="40"/>
    <n v="14600"/>
    <n v="52560"/>
  </r>
  <r>
    <x v="0"/>
    <x v="0"/>
    <x v="0"/>
    <x v="3"/>
    <x v="6"/>
    <s v="DE4-S_A"/>
    <x v="2"/>
    <x v="6"/>
    <s v="GNR_ST_MSW_CND_E-33"/>
    <x v="0"/>
    <x v="4"/>
    <n v="40"/>
    <n v="14600"/>
    <n v="52560"/>
  </r>
  <r>
    <x v="0"/>
    <x v="0"/>
    <x v="0"/>
    <x v="3"/>
    <x v="6"/>
    <s v="DE4-S_A"/>
    <x v="2"/>
    <x v="6"/>
    <s v="GNR_ST_MSW_CND_E-33"/>
    <x v="0"/>
    <x v="5"/>
    <n v="40"/>
    <n v="14600"/>
    <n v="52560"/>
  </r>
  <r>
    <x v="0"/>
    <x v="0"/>
    <x v="0"/>
    <x v="3"/>
    <x v="6"/>
    <s v="DE4-S_A"/>
    <x v="2"/>
    <x v="6"/>
    <s v="GNR_ST_MSW_CND_E-33"/>
    <x v="0"/>
    <x v="6"/>
    <n v="40"/>
    <n v="14600"/>
    <n v="52560"/>
  </r>
  <r>
    <x v="0"/>
    <x v="0"/>
    <x v="0"/>
    <x v="3"/>
    <x v="6"/>
    <s v="DE4-S_A"/>
    <x v="2"/>
    <x v="6"/>
    <s v="GNR_ST_MSW_CND_E-33"/>
    <x v="0"/>
    <x v="7"/>
    <n v="40"/>
    <n v="14600"/>
    <n v="52560"/>
  </r>
  <r>
    <x v="0"/>
    <x v="0"/>
    <x v="0"/>
    <x v="3"/>
    <x v="6"/>
    <s v="DE4-S_A"/>
    <x v="2"/>
    <x v="6"/>
    <s v="GNR_ST_MSW_CND_E-33"/>
    <x v="0"/>
    <x v="8"/>
    <n v="40"/>
    <n v="14600"/>
    <n v="52560"/>
  </r>
  <r>
    <x v="0"/>
    <x v="0"/>
    <x v="0"/>
    <x v="3"/>
    <x v="6"/>
    <s v="DE4-S_A"/>
    <x v="2"/>
    <x v="6"/>
    <s v="GNR_ST_MSW_CND_E-33"/>
    <x v="0"/>
    <x v="9"/>
    <n v="40"/>
    <n v="14600"/>
    <n v="52560"/>
  </r>
  <r>
    <x v="0"/>
    <x v="0"/>
    <x v="0"/>
    <x v="3"/>
    <x v="6"/>
    <s v="DE4-S_A"/>
    <x v="2"/>
    <x v="6"/>
    <s v="GNR_ST_MSW_CND_E-33"/>
    <x v="0"/>
    <x v="10"/>
    <n v="40"/>
    <n v="14600"/>
    <n v="52560"/>
  </r>
  <r>
    <x v="0"/>
    <x v="0"/>
    <x v="0"/>
    <x v="3"/>
    <x v="6"/>
    <s v="DE4-S_A"/>
    <x v="2"/>
    <x v="6"/>
    <s v="GNR_ST_MSW_CND_E-33"/>
    <x v="0"/>
    <x v="11"/>
    <n v="40"/>
    <n v="14600"/>
    <n v="52560"/>
  </r>
  <r>
    <x v="0"/>
    <x v="0"/>
    <x v="0"/>
    <x v="3"/>
    <x v="6"/>
    <s v="DE4-S_A"/>
    <x v="2"/>
    <x v="6"/>
    <s v="GNR_ST_MSW_CND_E-33"/>
    <x v="0"/>
    <x v="12"/>
    <n v="40"/>
    <n v="14600"/>
    <n v="52560"/>
  </r>
  <r>
    <x v="0"/>
    <x v="0"/>
    <x v="0"/>
    <x v="3"/>
    <x v="6"/>
    <s v="DE4-S_A"/>
    <x v="2"/>
    <x v="6"/>
    <s v="GNR_ST_MSW_CND_E-33"/>
    <x v="0"/>
    <x v="13"/>
    <n v="40"/>
    <n v="14600"/>
    <n v="52560"/>
  </r>
  <r>
    <x v="0"/>
    <x v="0"/>
    <x v="0"/>
    <x v="3"/>
    <x v="6"/>
    <s v="DE4-S_A"/>
    <x v="2"/>
    <x v="6"/>
    <s v="GNR_ST_MSW_CND_E-33"/>
    <x v="0"/>
    <x v="14"/>
    <n v="40"/>
    <n v="14600"/>
    <n v="52560"/>
  </r>
  <r>
    <x v="0"/>
    <x v="0"/>
    <x v="0"/>
    <x v="3"/>
    <x v="6"/>
    <s v="DE4-S_A"/>
    <x v="2"/>
    <x v="6"/>
    <s v="GNR_ST_MSW_CND_E-33"/>
    <x v="0"/>
    <x v="15"/>
    <n v="40"/>
    <n v="14600"/>
    <n v="52560"/>
  </r>
  <r>
    <x v="0"/>
    <x v="0"/>
    <x v="0"/>
    <x v="3"/>
    <x v="6"/>
    <s v="DE4-S_A"/>
    <x v="2"/>
    <x v="6"/>
    <s v="GNR_ST_MSW_CND_E-33"/>
    <x v="0"/>
    <x v="16"/>
    <n v="40"/>
    <n v="14600"/>
    <n v="52560"/>
  </r>
  <r>
    <x v="0"/>
    <x v="0"/>
    <x v="0"/>
    <x v="3"/>
    <x v="6"/>
    <s v="DE4-S_A"/>
    <x v="2"/>
    <x v="6"/>
    <s v="GNR_ST_MSW_CND_E-33"/>
    <x v="0"/>
    <x v="17"/>
    <n v="40"/>
    <n v="14600"/>
    <n v="52560"/>
  </r>
  <r>
    <x v="0"/>
    <x v="0"/>
    <x v="0"/>
    <x v="3"/>
    <x v="6"/>
    <s v="DE4-S_A"/>
    <x v="2"/>
    <x v="6"/>
    <s v="GNR_ST_MSW_CND_E-33"/>
    <x v="0"/>
    <x v="19"/>
    <n v="40"/>
    <n v="14600"/>
    <n v="52560"/>
  </r>
  <r>
    <x v="0"/>
    <x v="0"/>
    <x v="0"/>
    <x v="3"/>
    <x v="6"/>
    <s v="DE4-S_A"/>
    <x v="2"/>
    <x v="6"/>
    <s v="GNR_ST_MSW_CND_E-33"/>
    <x v="0"/>
    <x v="20"/>
    <n v="40"/>
    <n v="14600"/>
    <n v="52560"/>
  </r>
  <r>
    <x v="0"/>
    <x v="0"/>
    <x v="0"/>
    <x v="3"/>
    <x v="6"/>
    <s v="DE4-S_A"/>
    <x v="2"/>
    <x v="6"/>
    <s v="GNR_ST_MSW_CND_E-33"/>
    <x v="0"/>
    <x v="21"/>
    <n v="40"/>
    <n v="14600"/>
    <n v="52560"/>
  </r>
  <r>
    <x v="0"/>
    <x v="0"/>
    <x v="0"/>
    <x v="3"/>
    <x v="6"/>
    <s v="DE4-S_A"/>
    <x v="2"/>
    <x v="6"/>
    <s v="GNR_ST_MSW_CND_E-33"/>
    <x v="0"/>
    <x v="22"/>
    <n v="40"/>
    <n v="14600"/>
    <n v="52560"/>
  </r>
  <r>
    <x v="0"/>
    <x v="0"/>
    <x v="0"/>
    <x v="3"/>
    <x v="6"/>
    <s v="DE4-S_A"/>
    <x v="2"/>
    <x v="6"/>
    <s v="GNR_ST_MSW_CND_E-33"/>
    <x v="0"/>
    <x v="23"/>
    <n v="40"/>
    <n v="14600"/>
    <n v="52560"/>
  </r>
  <r>
    <x v="0"/>
    <x v="0"/>
    <x v="0"/>
    <x v="3"/>
    <x v="6"/>
    <s v="DE4-S_A"/>
    <x v="14"/>
    <x v="6"/>
    <s v="GNR_ST_NUCL_CND_E-33"/>
    <x v="0"/>
    <x v="0"/>
    <n v="6694"/>
    <n v="2443310"/>
    <n v="8795916"/>
  </r>
  <r>
    <x v="0"/>
    <x v="0"/>
    <x v="0"/>
    <x v="3"/>
    <x v="6"/>
    <s v="DE4-S_A"/>
    <x v="14"/>
    <x v="6"/>
    <s v="GNR_ST_NUCL_CND_E-33"/>
    <x v="0"/>
    <x v="1"/>
    <n v="6694"/>
    <n v="2443310"/>
    <n v="8795916"/>
  </r>
  <r>
    <x v="0"/>
    <x v="0"/>
    <x v="0"/>
    <x v="3"/>
    <x v="6"/>
    <s v="DE4-S_A"/>
    <x v="14"/>
    <x v="6"/>
    <s v="GNR_ST_NUCL_CND_E-33"/>
    <x v="0"/>
    <x v="18"/>
    <n v="6694"/>
    <n v="2443310"/>
    <n v="8795916"/>
  </r>
  <r>
    <x v="0"/>
    <x v="0"/>
    <x v="0"/>
    <x v="3"/>
    <x v="6"/>
    <s v="DE4-S_A"/>
    <x v="14"/>
    <x v="6"/>
    <s v="GNR_ST_NUCL_CND_E-33"/>
    <x v="0"/>
    <x v="2"/>
    <n v="6694"/>
    <n v="2443310"/>
    <n v="8795916"/>
  </r>
  <r>
    <x v="0"/>
    <x v="0"/>
    <x v="0"/>
    <x v="3"/>
    <x v="6"/>
    <s v="DE4-S_A"/>
    <x v="14"/>
    <x v="6"/>
    <s v="GNR_ST_NUCL_CND_E-33"/>
    <x v="0"/>
    <x v="3"/>
    <n v="6694"/>
    <n v="2443310"/>
    <n v="8795916"/>
  </r>
  <r>
    <x v="0"/>
    <x v="0"/>
    <x v="0"/>
    <x v="3"/>
    <x v="6"/>
    <s v="DE4-S_A"/>
    <x v="14"/>
    <x v="6"/>
    <s v="GNR_ST_NUCL_CND_E-33"/>
    <x v="0"/>
    <x v="4"/>
    <n v="6694"/>
    <n v="2443310"/>
    <n v="8795916"/>
  </r>
  <r>
    <x v="0"/>
    <x v="0"/>
    <x v="0"/>
    <x v="3"/>
    <x v="6"/>
    <s v="DE4-S_A"/>
    <x v="14"/>
    <x v="6"/>
    <s v="GNR_ST_NUCL_CND_E-33"/>
    <x v="0"/>
    <x v="5"/>
    <n v="6694"/>
    <n v="2443310"/>
    <n v="8795916"/>
  </r>
  <r>
    <x v="0"/>
    <x v="0"/>
    <x v="0"/>
    <x v="3"/>
    <x v="6"/>
    <s v="DE4-S_A"/>
    <x v="14"/>
    <x v="6"/>
    <s v="GNR_ST_NUCL_CND_E-33"/>
    <x v="0"/>
    <x v="6"/>
    <n v="6694"/>
    <n v="2443310"/>
    <n v="8795916"/>
  </r>
  <r>
    <x v="0"/>
    <x v="0"/>
    <x v="0"/>
    <x v="3"/>
    <x v="6"/>
    <s v="DE4-S_A"/>
    <x v="14"/>
    <x v="6"/>
    <s v="GNR_ST_NUCL_CND_E-33"/>
    <x v="0"/>
    <x v="7"/>
    <n v="6694"/>
    <n v="2443310"/>
    <n v="8795916"/>
  </r>
  <r>
    <x v="0"/>
    <x v="0"/>
    <x v="0"/>
    <x v="3"/>
    <x v="6"/>
    <s v="DE4-S_A"/>
    <x v="14"/>
    <x v="6"/>
    <s v="GNR_ST_NUCL_CND_E-33"/>
    <x v="0"/>
    <x v="8"/>
    <n v="6694"/>
    <n v="2443310"/>
    <n v="8795916"/>
  </r>
  <r>
    <x v="0"/>
    <x v="0"/>
    <x v="0"/>
    <x v="3"/>
    <x v="6"/>
    <s v="DE4-S_A"/>
    <x v="14"/>
    <x v="6"/>
    <s v="GNR_ST_NUCL_CND_E-33"/>
    <x v="0"/>
    <x v="9"/>
    <n v="6694"/>
    <n v="2443310"/>
    <n v="8795916"/>
  </r>
  <r>
    <x v="0"/>
    <x v="0"/>
    <x v="0"/>
    <x v="3"/>
    <x v="6"/>
    <s v="DE4-S_A"/>
    <x v="14"/>
    <x v="6"/>
    <s v="GNR_ST_NUCL_CND_E-33"/>
    <x v="0"/>
    <x v="10"/>
    <n v="6694"/>
    <n v="2443310"/>
    <n v="8795916"/>
  </r>
  <r>
    <x v="0"/>
    <x v="0"/>
    <x v="0"/>
    <x v="3"/>
    <x v="6"/>
    <s v="DE4-S_A"/>
    <x v="14"/>
    <x v="6"/>
    <s v="GNR_ST_NUCL_CND_E-33"/>
    <x v="0"/>
    <x v="11"/>
    <n v="6694"/>
    <n v="2443310"/>
    <n v="8795916"/>
  </r>
  <r>
    <x v="0"/>
    <x v="0"/>
    <x v="0"/>
    <x v="3"/>
    <x v="6"/>
    <s v="DE4-S_A"/>
    <x v="14"/>
    <x v="6"/>
    <s v="GNR_ST_NUCL_CND_E-33"/>
    <x v="0"/>
    <x v="12"/>
    <n v="6694"/>
    <n v="2443310"/>
    <n v="8795916"/>
  </r>
  <r>
    <x v="0"/>
    <x v="0"/>
    <x v="0"/>
    <x v="3"/>
    <x v="6"/>
    <s v="DE4-S_A"/>
    <x v="14"/>
    <x v="6"/>
    <s v="GNR_ST_NUCL_CND_E-33"/>
    <x v="0"/>
    <x v="13"/>
    <n v="6694"/>
    <n v="2443310"/>
    <n v="8795916"/>
  </r>
  <r>
    <x v="0"/>
    <x v="0"/>
    <x v="0"/>
    <x v="3"/>
    <x v="6"/>
    <s v="DE4-S_A"/>
    <x v="14"/>
    <x v="6"/>
    <s v="GNR_ST_NUCL_CND_E-33"/>
    <x v="0"/>
    <x v="14"/>
    <n v="6694"/>
    <n v="2443310"/>
    <n v="8795916"/>
  </r>
  <r>
    <x v="0"/>
    <x v="0"/>
    <x v="0"/>
    <x v="3"/>
    <x v="6"/>
    <s v="DE4-S_A"/>
    <x v="14"/>
    <x v="6"/>
    <s v="GNR_ST_NUCL_CND_E-33"/>
    <x v="0"/>
    <x v="15"/>
    <n v="6694"/>
    <n v="2443310"/>
    <n v="8795916"/>
  </r>
  <r>
    <x v="0"/>
    <x v="0"/>
    <x v="0"/>
    <x v="3"/>
    <x v="6"/>
    <s v="DE4-S_A"/>
    <x v="14"/>
    <x v="6"/>
    <s v="GNR_ST_NUCL_CND_E-33"/>
    <x v="0"/>
    <x v="16"/>
    <n v="6694"/>
    <n v="2443310"/>
    <n v="8795916"/>
  </r>
  <r>
    <x v="0"/>
    <x v="0"/>
    <x v="0"/>
    <x v="3"/>
    <x v="6"/>
    <s v="DE4-S_A"/>
    <x v="14"/>
    <x v="6"/>
    <s v="GNR_ST_NUCL_CND_E-33"/>
    <x v="0"/>
    <x v="17"/>
    <n v="6694"/>
    <n v="2443310"/>
    <n v="8795916"/>
  </r>
  <r>
    <x v="0"/>
    <x v="0"/>
    <x v="0"/>
    <x v="3"/>
    <x v="6"/>
    <s v="DE4-S_A"/>
    <x v="14"/>
    <x v="6"/>
    <s v="GNR_ST_NUCL_CND_E-33"/>
    <x v="0"/>
    <x v="19"/>
    <n v="6694"/>
    <n v="2443310"/>
    <n v="8795916"/>
  </r>
  <r>
    <x v="0"/>
    <x v="0"/>
    <x v="0"/>
    <x v="3"/>
    <x v="6"/>
    <s v="DE4-S_A"/>
    <x v="14"/>
    <x v="6"/>
    <s v="GNR_ST_NUCL_CND_E-33"/>
    <x v="0"/>
    <x v="20"/>
    <n v="6694"/>
    <n v="2443310"/>
    <n v="8795916"/>
  </r>
  <r>
    <x v="0"/>
    <x v="0"/>
    <x v="0"/>
    <x v="3"/>
    <x v="6"/>
    <s v="DE4-S_A"/>
    <x v="14"/>
    <x v="6"/>
    <s v="GNR_ST_NUCL_CND_E-33"/>
    <x v="0"/>
    <x v="21"/>
    <n v="6694"/>
    <n v="2443310"/>
    <n v="8795916"/>
  </r>
  <r>
    <x v="0"/>
    <x v="0"/>
    <x v="0"/>
    <x v="3"/>
    <x v="6"/>
    <s v="DE4-S_A"/>
    <x v="14"/>
    <x v="6"/>
    <s v="GNR_ST_NUCL_CND_E-33"/>
    <x v="0"/>
    <x v="22"/>
    <n v="6694"/>
    <n v="2443310"/>
    <n v="8795916"/>
  </r>
  <r>
    <x v="0"/>
    <x v="0"/>
    <x v="0"/>
    <x v="3"/>
    <x v="6"/>
    <s v="DE4-S_A"/>
    <x v="14"/>
    <x v="6"/>
    <s v="GNR_ST_NUCL_CND_E-33"/>
    <x v="0"/>
    <x v="23"/>
    <n v="6694"/>
    <n v="2443310"/>
    <n v="8795916"/>
  </r>
  <r>
    <x v="0"/>
    <x v="0"/>
    <x v="0"/>
    <x v="3"/>
    <x v="6"/>
    <s v="DE4-S_A"/>
    <x v="5"/>
    <x v="3"/>
    <s v="GNR_PV_SUN"/>
    <x v="0"/>
    <x v="7"/>
    <n v="439.20802308583097"/>
    <n v="160310.928426328"/>
    <n v="577119.34233478201"/>
  </r>
  <r>
    <x v="0"/>
    <x v="0"/>
    <x v="0"/>
    <x v="3"/>
    <x v="6"/>
    <s v="DE4-S_A"/>
    <x v="5"/>
    <x v="3"/>
    <s v="GNR_PV_SUN"/>
    <x v="0"/>
    <x v="8"/>
    <n v="3306.4480917435899"/>
    <n v="1206853.5534864101"/>
    <n v="4344672.7925510705"/>
  </r>
  <r>
    <x v="0"/>
    <x v="0"/>
    <x v="0"/>
    <x v="3"/>
    <x v="6"/>
    <s v="DE4-S_A"/>
    <x v="5"/>
    <x v="3"/>
    <s v="GNR_PV_SUN"/>
    <x v="0"/>
    <x v="9"/>
    <n v="7637.7149040207796"/>
    <n v="2787765.9399675801"/>
    <n v="10035957.383883299"/>
  </r>
  <r>
    <x v="0"/>
    <x v="0"/>
    <x v="0"/>
    <x v="3"/>
    <x v="6"/>
    <s v="DE4-S_A"/>
    <x v="5"/>
    <x v="3"/>
    <s v="GNR_PV_SUN"/>
    <x v="0"/>
    <x v="10"/>
    <n v="11631.1293908473"/>
    <n v="4245362.2276592804"/>
    <n v="15283304.0195734"/>
  </r>
  <r>
    <x v="0"/>
    <x v="0"/>
    <x v="0"/>
    <x v="3"/>
    <x v="6"/>
    <s v="DE4-S_A"/>
    <x v="5"/>
    <x v="3"/>
    <s v="GNR_PV_SUN"/>
    <x v="0"/>
    <x v="11"/>
    <n v="13223.540018137999"/>
    <n v="4826592.1066203704"/>
    <n v="17375731.5838333"/>
  </r>
  <r>
    <x v="0"/>
    <x v="0"/>
    <x v="0"/>
    <x v="3"/>
    <x v="6"/>
    <s v="DE4-S_A"/>
    <x v="5"/>
    <x v="3"/>
    <s v="GNR_PV_SUN"/>
    <x v="0"/>
    <x v="12"/>
    <n v="11498.240809503401"/>
    <n v="4196857.89546875"/>
    <n v="15108688.423687501"/>
  </r>
  <r>
    <x v="0"/>
    <x v="0"/>
    <x v="0"/>
    <x v="3"/>
    <x v="6"/>
    <s v="DE4-S_A"/>
    <x v="5"/>
    <x v="3"/>
    <s v="GNR_PV_SUN"/>
    <x v="0"/>
    <x v="13"/>
    <n v="7482.3028343134902"/>
    <n v="2731040.5345244198"/>
    <n v="9831745.9242879208"/>
  </r>
  <r>
    <x v="0"/>
    <x v="0"/>
    <x v="0"/>
    <x v="3"/>
    <x v="6"/>
    <s v="DE4-S_A"/>
    <x v="5"/>
    <x v="3"/>
    <s v="GNR_PV_SUN"/>
    <x v="0"/>
    <x v="14"/>
    <n v="3788.45074271983"/>
    <n v="1382784.5210927399"/>
    <n v="4978024.2759338599"/>
  </r>
  <r>
    <x v="0"/>
    <x v="0"/>
    <x v="0"/>
    <x v="3"/>
    <x v="6"/>
    <s v="DE4-S_A"/>
    <x v="5"/>
    <x v="3"/>
    <s v="GNR_PV_SUN"/>
    <x v="0"/>
    <x v="15"/>
    <n v="493.264395157933"/>
    <n v="180041.504232646"/>
    <n v="648149.41523752396"/>
  </r>
  <r>
    <x v="0"/>
    <x v="0"/>
    <x v="0"/>
    <x v="3"/>
    <x v="6"/>
    <s v="DE4-S_A"/>
    <x v="16"/>
    <x v="6"/>
    <s v="GNR_GEO_HEAT_EO"/>
    <x v="0"/>
    <x v="0"/>
    <n v="44.76"/>
    <n v="16337.4"/>
    <n v="58814.64"/>
  </r>
  <r>
    <x v="0"/>
    <x v="0"/>
    <x v="0"/>
    <x v="3"/>
    <x v="6"/>
    <s v="DE4-S_A"/>
    <x v="16"/>
    <x v="6"/>
    <s v="GNR_GEO_HEAT_EO"/>
    <x v="0"/>
    <x v="1"/>
    <n v="44.76"/>
    <n v="16337.4"/>
    <n v="58814.64"/>
  </r>
  <r>
    <x v="0"/>
    <x v="0"/>
    <x v="0"/>
    <x v="3"/>
    <x v="6"/>
    <s v="DE4-S_A"/>
    <x v="16"/>
    <x v="6"/>
    <s v="GNR_GEO_HEAT_EO"/>
    <x v="0"/>
    <x v="18"/>
    <n v="44.76"/>
    <n v="16337.4"/>
    <n v="58814.64"/>
  </r>
  <r>
    <x v="0"/>
    <x v="0"/>
    <x v="0"/>
    <x v="3"/>
    <x v="6"/>
    <s v="DE4-S_A"/>
    <x v="16"/>
    <x v="6"/>
    <s v="GNR_GEO_HEAT_EO"/>
    <x v="0"/>
    <x v="2"/>
    <n v="44.76"/>
    <n v="16337.4"/>
    <n v="58814.64"/>
  </r>
  <r>
    <x v="0"/>
    <x v="0"/>
    <x v="0"/>
    <x v="3"/>
    <x v="6"/>
    <s v="DE4-S_A"/>
    <x v="16"/>
    <x v="6"/>
    <s v="GNR_GEO_HEAT_EO"/>
    <x v="0"/>
    <x v="3"/>
    <n v="44.76"/>
    <n v="16337.4"/>
    <n v="58814.64"/>
  </r>
  <r>
    <x v="0"/>
    <x v="0"/>
    <x v="0"/>
    <x v="3"/>
    <x v="6"/>
    <s v="DE4-S_A"/>
    <x v="16"/>
    <x v="6"/>
    <s v="GNR_GEO_HEAT_EO"/>
    <x v="0"/>
    <x v="4"/>
    <n v="44.76"/>
    <n v="16337.4"/>
    <n v="58814.64"/>
  </r>
  <r>
    <x v="0"/>
    <x v="0"/>
    <x v="0"/>
    <x v="3"/>
    <x v="6"/>
    <s v="DE4-S_A"/>
    <x v="16"/>
    <x v="6"/>
    <s v="GNR_GEO_HEAT_EO"/>
    <x v="0"/>
    <x v="5"/>
    <n v="44.76"/>
    <n v="16337.4"/>
    <n v="58814.64"/>
  </r>
  <r>
    <x v="0"/>
    <x v="0"/>
    <x v="0"/>
    <x v="3"/>
    <x v="6"/>
    <s v="DE4-S_A"/>
    <x v="16"/>
    <x v="6"/>
    <s v="GNR_GEO_HEAT_EO"/>
    <x v="0"/>
    <x v="6"/>
    <n v="44.76"/>
    <n v="16337.4"/>
    <n v="58814.64"/>
  </r>
  <r>
    <x v="0"/>
    <x v="0"/>
    <x v="0"/>
    <x v="3"/>
    <x v="6"/>
    <s v="DE4-S_A"/>
    <x v="16"/>
    <x v="6"/>
    <s v="GNR_GEO_HEAT_EO"/>
    <x v="0"/>
    <x v="7"/>
    <n v="44.76"/>
    <n v="16337.4"/>
    <n v="58814.64"/>
  </r>
  <r>
    <x v="0"/>
    <x v="0"/>
    <x v="0"/>
    <x v="3"/>
    <x v="6"/>
    <s v="DE4-S_A"/>
    <x v="16"/>
    <x v="6"/>
    <s v="GNR_GEO_HEAT_EO"/>
    <x v="0"/>
    <x v="8"/>
    <n v="44.76"/>
    <n v="16337.4"/>
    <n v="58814.64"/>
  </r>
  <r>
    <x v="0"/>
    <x v="0"/>
    <x v="0"/>
    <x v="3"/>
    <x v="6"/>
    <s v="DE4-S_A"/>
    <x v="16"/>
    <x v="6"/>
    <s v="GNR_GEO_HEAT_EO"/>
    <x v="0"/>
    <x v="9"/>
    <n v="44.76"/>
    <n v="16337.4"/>
    <n v="58814.64"/>
  </r>
  <r>
    <x v="0"/>
    <x v="0"/>
    <x v="0"/>
    <x v="3"/>
    <x v="6"/>
    <s v="DE4-S_A"/>
    <x v="16"/>
    <x v="6"/>
    <s v="GNR_GEO_HEAT_EO"/>
    <x v="0"/>
    <x v="10"/>
    <n v="44.76"/>
    <n v="16337.4"/>
    <n v="58814.64"/>
  </r>
  <r>
    <x v="0"/>
    <x v="0"/>
    <x v="0"/>
    <x v="3"/>
    <x v="6"/>
    <s v="DE4-S_A"/>
    <x v="16"/>
    <x v="6"/>
    <s v="GNR_GEO_HEAT_EO"/>
    <x v="0"/>
    <x v="11"/>
    <n v="44.76"/>
    <n v="16337.4"/>
    <n v="58814.64"/>
  </r>
  <r>
    <x v="0"/>
    <x v="0"/>
    <x v="0"/>
    <x v="3"/>
    <x v="6"/>
    <s v="DE4-S_A"/>
    <x v="16"/>
    <x v="6"/>
    <s v="GNR_GEO_HEAT_EO"/>
    <x v="0"/>
    <x v="12"/>
    <n v="44.76"/>
    <n v="16337.4"/>
    <n v="58814.64"/>
  </r>
  <r>
    <x v="0"/>
    <x v="0"/>
    <x v="0"/>
    <x v="3"/>
    <x v="6"/>
    <s v="DE4-S_A"/>
    <x v="16"/>
    <x v="6"/>
    <s v="GNR_GEO_HEAT_EO"/>
    <x v="0"/>
    <x v="13"/>
    <n v="44.76"/>
    <n v="16337.4"/>
    <n v="58814.64"/>
  </r>
  <r>
    <x v="0"/>
    <x v="0"/>
    <x v="0"/>
    <x v="3"/>
    <x v="6"/>
    <s v="DE4-S_A"/>
    <x v="16"/>
    <x v="6"/>
    <s v="GNR_GEO_HEAT_EO"/>
    <x v="0"/>
    <x v="14"/>
    <n v="44.76"/>
    <n v="16337.4"/>
    <n v="58814.64"/>
  </r>
  <r>
    <x v="0"/>
    <x v="0"/>
    <x v="0"/>
    <x v="3"/>
    <x v="6"/>
    <s v="DE4-S_A"/>
    <x v="16"/>
    <x v="6"/>
    <s v="GNR_GEO_HEAT_EO"/>
    <x v="0"/>
    <x v="15"/>
    <n v="44.76"/>
    <n v="16337.4"/>
    <n v="58814.64"/>
  </r>
  <r>
    <x v="0"/>
    <x v="0"/>
    <x v="0"/>
    <x v="3"/>
    <x v="6"/>
    <s v="DE4-S_A"/>
    <x v="16"/>
    <x v="6"/>
    <s v="GNR_GEO_HEAT_EO"/>
    <x v="0"/>
    <x v="16"/>
    <n v="44.76"/>
    <n v="16337.4"/>
    <n v="58814.64"/>
  </r>
  <r>
    <x v="0"/>
    <x v="0"/>
    <x v="0"/>
    <x v="3"/>
    <x v="6"/>
    <s v="DE4-S_A"/>
    <x v="16"/>
    <x v="6"/>
    <s v="GNR_GEO_HEAT_EO"/>
    <x v="0"/>
    <x v="17"/>
    <n v="44.76"/>
    <n v="16337.4"/>
    <n v="58814.64"/>
  </r>
  <r>
    <x v="0"/>
    <x v="0"/>
    <x v="0"/>
    <x v="3"/>
    <x v="6"/>
    <s v="DE4-S_A"/>
    <x v="16"/>
    <x v="6"/>
    <s v="GNR_GEO_HEAT_EO"/>
    <x v="0"/>
    <x v="19"/>
    <n v="44.76"/>
    <n v="16337.4"/>
    <n v="58814.64"/>
  </r>
  <r>
    <x v="0"/>
    <x v="0"/>
    <x v="0"/>
    <x v="3"/>
    <x v="6"/>
    <s v="DE4-S_A"/>
    <x v="16"/>
    <x v="6"/>
    <s v="GNR_GEO_HEAT_EO"/>
    <x v="0"/>
    <x v="20"/>
    <n v="44.76"/>
    <n v="16337.4"/>
    <n v="58814.64"/>
  </r>
  <r>
    <x v="0"/>
    <x v="0"/>
    <x v="0"/>
    <x v="3"/>
    <x v="6"/>
    <s v="DE4-S_A"/>
    <x v="16"/>
    <x v="6"/>
    <s v="GNR_GEO_HEAT_EO"/>
    <x v="0"/>
    <x v="21"/>
    <n v="44.76"/>
    <n v="16337.4"/>
    <n v="58814.64"/>
  </r>
  <r>
    <x v="0"/>
    <x v="0"/>
    <x v="0"/>
    <x v="3"/>
    <x v="6"/>
    <s v="DE4-S_A"/>
    <x v="16"/>
    <x v="6"/>
    <s v="GNR_GEO_HEAT_EO"/>
    <x v="0"/>
    <x v="22"/>
    <n v="44.76"/>
    <n v="16337.4"/>
    <n v="58814.64"/>
  </r>
  <r>
    <x v="0"/>
    <x v="0"/>
    <x v="0"/>
    <x v="3"/>
    <x v="6"/>
    <s v="DE4-S_A"/>
    <x v="16"/>
    <x v="6"/>
    <s v="GNR_GEO_HEAT_EO"/>
    <x v="0"/>
    <x v="23"/>
    <n v="44.76"/>
    <n v="16337.4"/>
    <n v="58814.64"/>
  </r>
  <r>
    <x v="0"/>
    <x v="0"/>
    <x v="0"/>
    <x v="3"/>
    <x v="6"/>
    <s v="DE4-S_A"/>
    <x v="6"/>
    <x v="7"/>
    <s v="GNR_RES_WTR_NOPMP"/>
    <x v="0"/>
    <x v="5"/>
    <n v="124"/>
    <n v="45260"/>
    <n v="162936"/>
  </r>
  <r>
    <x v="0"/>
    <x v="0"/>
    <x v="0"/>
    <x v="3"/>
    <x v="6"/>
    <s v="DE4-S_A"/>
    <x v="6"/>
    <x v="7"/>
    <s v="GNR_RES_WTR_NOPMP"/>
    <x v="0"/>
    <x v="6"/>
    <n v="124"/>
    <n v="45260"/>
    <n v="162936"/>
  </r>
  <r>
    <x v="0"/>
    <x v="0"/>
    <x v="0"/>
    <x v="3"/>
    <x v="6"/>
    <s v="DE4-S_A"/>
    <x v="6"/>
    <x v="7"/>
    <s v="GNR_RES_WTR_NOPMP"/>
    <x v="0"/>
    <x v="7"/>
    <n v="124"/>
    <n v="45260"/>
    <n v="162936"/>
  </r>
  <r>
    <x v="0"/>
    <x v="0"/>
    <x v="0"/>
    <x v="3"/>
    <x v="6"/>
    <s v="DE4-S_A"/>
    <x v="6"/>
    <x v="7"/>
    <s v="GNR_RES_WTR_NOPMP"/>
    <x v="0"/>
    <x v="8"/>
    <n v="124"/>
    <n v="45260"/>
    <n v="162936"/>
  </r>
  <r>
    <x v="0"/>
    <x v="0"/>
    <x v="0"/>
    <x v="3"/>
    <x v="6"/>
    <s v="DE4-S_A"/>
    <x v="6"/>
    <x v="7"/>
    <s v="GNR_RES_WTR_NOPMP"/>
    <x v="0"/>
    <x v="9"/>
    <n v="124"/>
    <n v="45260"/>
    <n v="162936"/>
  </r>
  <r>
    <x v="0"/>
    <x v="0"/>
    <x v="0"/>
    <x v="3"/>
    <x v="6"/>
    <s v="DE4-S_A"/>
    <x v="6"/>
    <x v="7"/>
    <s v="GNR_RES_WTR_NOPMP"/>
    <x v="0"/>
    <x v="10"/>
    <n v="124"/>
    <n v="45260"/>
    <n v="162936"/>
  </r>
  <r>
    <x v="0"/>
    <x v="0"/>
    <x v="0"/>
    <x v="3"/>
    <x v="6"/>
    <s v="DE4-S_A"/>
    <x v="6"/>
    <x v="7"/>
    <s v="GNR_RES_WTR_NOPMP"/>
    <x v="0"/>
    <x v="12"/>
    <n v="124"/>
    <n v="45260"/>
    <n v="162936"/>
  </r>
  <r>
    <x v="0"/>
    <x v="0"/>
    <x v="0"/>
    <x v="3"/>
    <x v="6"/>
    <s v="DE4-S_A"/>
    <x v="6"/>
    <x v="7"/>
    <s v="GNR_RES_WTR_NOPMP"/>
    <x v="0"/>
    <x v="13"/>
    <n v="124"/>
    <n v="45260"/>
    <n v="162936"/>
  </r>
  <r>
    <x v="0"/>
    <x v="0"/>
    <x v="0"/>
    <x v="3"/>
    <x v="6"/>
    <s v="DE4-S_A"/>
    <x v="6"/>
    <x v="7"/>
    <s v="GNR_RES_WTR_NOPMP"/>
    <x v="0"/>
    <x v="14"/>
    <n v="124"/>
    <n v="45260"/>
    <n v="162936"/>
  </r>
  <r>
    <x v="0"/>
    <x v="0"/>
    <x v="0"/>
    <x v="3"/>
    <x v="6"/>
    <s v="DE4-S_A"/>
    <x v="6"/>
    <x v="7"/>
    <s v="GNR_RES_WTR_NOPMP"/>
    <x v="0"/>
    <x v="15"/>
    <n v="124"/>
    <n v="45260"/>
    <n v="162936"/>
  </r>
  <r>
    <x v="0"/>
    <x v="0"/>
    <x v="0"/>
    <x v="3"/>
    <x v="6"/>
    <s v="DE4-S_A"/>
    <x v="6"/>
    <x v="7"/>
    <s v="GNR_RES_WTR_NOPMP"/>
    <x v="0"/>
    <x v="16"/>
    <n v="124"/>
    <n v="45260"/>
    <n v="162936"/>
  </r>
  <r>
    <x v="0"/>
    <x v="0"/>
    <x v="0"/>
    <x v="3"/>
    <x v="6"/>
    <s v="DE4-S_A"/>
    <x v="6"/>
    <x v="7"/>
    <s v="GNR_RES_WTR_NOPMP"/>
    <x v="0"/>
    <x v="17"/>
    <n v="124"/>
    <n v="45260"/>
    <n v="162936"/>
  </r>
  <r>
    <x v="0"/>
    <x v="0"/>
    <x v="0"/>
    <x v="3"/>
    <x v="6"/>
    <s v="DE4-S_A"/>
    <x v="6"/>
    <x v="7"/>
    <s v="GNR_RES_WTR_NOPMP"/>
    <x v="0"/>
    <x v="19"/>
    <n v="124"/>
    <n v="45260"/>
    <n v="162936"/>
  </r>
  <r>
    <x v="0"/>
    <x v="0"/>
    <x v="0"/>
    <x v="3"/>
    <x v="6"/>
    <s v="DE4-S_A"/>
    <x v="6"/>
    <x v="7"/>
    <s v="GNR_RES_WTR_NOPMP"/>
    <x v="0"/>
    <x v="20"/>
    <n v="25.432108074022501"/>
    <n v="9282.7194470182294"/>
    <n v="33417.790009265598"/>
  </r>
  <r>
    <x v="0"/>
    <x v="0"/>
    <x v="0"/>
    <x v="3"/>
    <x v="6"/>
    <s v="DE4-S_A"/>
    <x v="6"/>
    <x v="4"/>
    <s v="GNR_ROR_WTR"/>
    <x v="0"/>
    <x v="0"/>
    <n v="4361.5442694063904"/>
    <n v="1591963.6583333299"/>
    <n v="5731069.1699999999"/>
  </r>
  <r>
    <x v="0"/>
    <x v="0"/>
    <x v="0"/>
    <x v="3"/>
    <x v="6"/>
    <s v="DE4-S_A"/>
    <x v="6"/>
    <x v="4"/>
    <s v="GNR_ROR_WTR"/>
    <x v="0"/>
    <x v="1"/>
    <n v="4361.5442694063904"/>
    <n v="1591963.6583333299"/>
    <n v="5731069.1699999999"/>
  </r>
  <r>
    <x v="0"/>
    <x v="0"/>
    <x v="0"/>
    <x v="3"/>
    <x v="6"/>
    <s v="DE4-S_A"/>
    <x v="6"/>
    <x v="4"/>
    <s v="GNR_ROR_WTR"/>
    <x v="0"/>
    <x v="18"/>
    <n v="4361.5442694063904"/>
    <n v="1591963.6583333299"/>
    <n v="5731069.1699999999"/>
  </r>
  <r>
    <x v="0"/>
    <x v="0"/>
    <x v="0"/>
    <x v="3"/>
    <x v="6"/>
    <s v="DE4-S_A"/>
    <x v="6"/>
    <x v="4"/>
    <s v="GNR_ROR_WTR"/>
    <x v="0"/>
    <x v="2"/>
    <n v="4361.5442694063904"/>
    <n v="1591963.6583333299"/>
    <n v="5731069.1699999999"/>
  </r>
  <r>
    <x v="0"/>
    <x v="0"/>
    <x v="0"/>
    <x v="3"/>
    <x v="6"/>
    <s v="DE4-S_A"/>
    <x v="6"/>
    <x v="4"/>
    <s v="GNR_ROR_WTR"/>
    <x v="0"/>
    <x v="3"/>
    <n v="4361.5442694063904"/>
    <n v="1591963.6583333299"/>
    <n v="5731069.1699999999"/>
  </r>
  <r>
    <x v="0"/>
    <x v="0"/>
    <x v="0"/>
    <x v="3"/>
    <x v="6"/>
    <s v="DE4-S_A"/>
    <x v="6"/>
    <x v="4"/>
    <s v="GNR_ROR_WTR"/>
    <x v="0"/>
    <x v="4"/>
    <n v="4361.5442694063904"/>
    <n v="1591963.6583333299"/>
    <n v="5731069.1699999999"/>
  </r>
  <r>
    <x v="0"/>
    <x v="0"/>
    <x v="0"/>
    <x v="3"/>
    <x v="6"/>
    <s v="DE4-S_A"/>
    <x v="6"/>
    <x v="4"/>
    <s v="GNR_ROR_WTR"/>
    <x v="0"/>
    <x v="5"/>
    <n v="4361.5442694063904"/>
    <n v="1591963.6583333299"/>
    <n v="5731069.1699999999"/>
  </r>
  <r>
    <x v="0"/>
    <x v="0"/>
    <x v="0"/>
    <x v="3"/>
    <x v="6"/>
    <s v="DE4-S_A"/>
    <x v="6"/>
    <x v="4"/>
    <s v="GNR_ROR_WTR"/>
    <x v="0"/>
    <x v="6"/>
    <n v="4361.5442694063904"/>
    <n v="1591963.6583333299"/>
    <n v="5731069.1699999999"/>
  </r>
  <r>
    <x v="0"/>
    <x v="0"/>
    <x v="0"/>
    <x v="3"/>
    <x v="6"/>
    <s v="DE4-S_A"/>
    <x v="6"/>
    <x v="4"/>
    <s v="GNR_ROR_WTR"/>
    <x v="0"/>
    <x v="7"/>
    <n v="4361.5442694063904"/>
    <n v="1591963.6583333299"/>
    <n v="5731069.1699999999"/>
  </r>
  <r>
    <x v="0"/>
    <x v="0"/>
    <x v="0"/>
    <x v="3"/>
    <x v="6"/>
    <s v="DE4-S_A"/>
    <x v="6"/>
    <x v="4"/>
    <s v="GNR_ROR_WTR"/>
    <x v="0"/>
    <x v="8"/>
    <n v="4361.5442694063904"/>
    <n v="1591963.6583333299"/>
    <n v="5731069.1699999999"/>
  </r>
  <r>
    <x v="0"/>
    <x v="0"/>
    <x v="0"/>
    <x v="3"/>
    <x v="6"/>
    <s v="DE4-S_A"/>
    <x v="6"/>
    <x v="4"/>
    <s v="GNR_ROR_WTR"/>
    <x v="0"/>
    <x v="9"/>
    <n v="4361.5442694063904"/>
    <n v="1591963.6583333299"/>
    <n v="5731069.1699999999"/>
  </r>
  <r>
    <x v="0"/>
    <x v="0"/>
    <x v="0"/>
    <x v="3"/>
    <x v="6"/>
    <s v="DE4-S_A"/>
    <x v="6"/>
    <x v="4"/>
    <s v="GNR_ROR_WTR"/>
    <x v="0"/>
    <x v="10"/>
    <n v="4361.5442694063904"/>
    <n v="1591963.6583333299"/>
    <n v="5731069.1699999999"/>
  </r>
  <r>
    <x v="0"/>
    <x v="0"/>
    <x v="0"/>
    <x v="3"/>
    <x v="6"/>
    <s v="DE4-S_A"/>
    <x v="6"/>
    <x v="4"/>
    <s v="GNR_ROR_WTR"/>
    <x v="0"/>
    <x v="11"/>
    <n v="4361.5442694063904"/>
    <n v="1591963.6583333299"/>
    <n v="5731069.1699999999"/>
  </r>
  <r>
    <x v="0"/>
    <x v="0"/>
    <x v="0"/>
    <x v="3"/>
    <x v="6"/>
    <s v="DE4-S_A"/>
    <x v="6"/>
    <x v="4"/>
    <s v="GNR_ROR_WTR"/>
    <x v="0"/>
    <x v="12"/>
    <n v="4361.5442694063904"/>
    <n v="1591963.6583333299"/>
    <n v="5731069.1699999999"/>
  </r>
  <r>
    <x v="0"/>
    <x v="0"/>
    <x v="0"/>
    <x v="3"/>
    <x v="6"/>
    <s v="DE4-S_A"/>
    <x v="6"/>
    <x v="4"/>
    <s v="GNR_ROR_WTR"/>
    <x v="0"/>
    <x v="13"/>
    <n v="4361.5442694063904"/>
    <n v="1591963.6583333299"/>
    <n v="5731069.1699999999"/>
  </r>
  <r>
    <x v="0"/>
    <x v="0"/>
    <x v="0"/>
    <x v="3"/>
    <x v="6"/>
    <s v="DE4-S_A"/>
    <x v="6"/>
    <x v="4"/>
    <s v="GNR_ROR_WTR"/>
    <x v="0"/>
    <x v="14"/>
    <n v="4361.5442694063904"/>
    <n v="1591963.6583333299"/>
    <n v="5731069.1699999999"/>
  </r>
  <r>
    <x v="0"/>
    <x v="0"/>
    <x v="0"/>
    <x v="3"/>
    <x v="6"/>
    <s v="DE4-S_A"/>
    <x v="6"/>
    <x v="4"/>
    <s v="GNR_ROR_WTR"/>
    <x v="0"/>
    <x v="15"/>
    <n v="4361.5442694063904"/>
    <n v="1591963.6583333299"/>
    <n v="5731069.1699999999"/>
  </r>
  <r>
    <x v="0"/>
    <x v="0"/>
    <x v="0"/>
    <x v="3"/>
    <x v="6"/>
    <s v="DE4-S_A"/>
    <x v="6"/>
    <x v="4"/>
    <s v="GNR_ROR_WTR"/>
    <x v="0"/>
    <x v="16"/>
    <n v="4361.5442694063904"/>
    <n v="1591963.6583333299"/>
    <n v="5731069.1699999999"/>
  </r>
  <r>
    <x v="0"/>
    <x v="0"/>
    <x v="0"/>
    <x v="3"/>
    <x v="6"/>
    <s v="DE4-S_A"/>
    <x v="6"/>
    <x v="4"/>
    <s v="GNR_ROR_WTR"/>
    <x v="0"/>
    <x v="17"/>
    <n v="4361.5442694063904"/>
    <n v="1591963.6583333299"/>
    <n v="5731069.1699999999"/>
  </r>
  <r>
    <x v="0"/>
    <x v="0"/>
    <x v="0"/>
    <x v="3"/>
    <x v="6"/>
    <s v="DE4-S_A"/>
    <x v="6"/>
    <x v="4"/>
    <s v="GNR_ROR_WTR"/>
    <x v="0"/>
    <x v="19"/>
    <n v="4361.5442694063904"/>
    <n v="1591963.6583333299"/>
    <n v="5731069.1699999999"/>
  </r>
  <r>
    <x v="0"/>
    <x v="0"/>
    <x v="0"/>
    <x v="3"/>
    <x v="6"/>
    <s v="DE4-S_A"/>
    <x v="6"/>
    <x v="4"/>
    <s v="GNR_ROR_WTR"/>
    <x v="0"/>
    <x v="20"/>
    <n v="4361.5442694063904"/>
    <n v="1591963.6583333299"/>
    <n v="5731069.1699999999"/>
  </r>
  <r>
    <x v="0"/>
    <x v="0"/>
    <x v="0"/>
    <x v="3"/>
    <x v="6"/>
    <s v="DE4-S_A"/>
    <x v="6"/>
    <x v="4"/>
    <s v="GNR_ROR_WTR"/>
    <x v="0"/>
    <x v="21"/>
    <n v="4361.5442694063904"/>
    <n v="1591963.6583333299"/>
    <n v="5731069.1699999999"/>
  </r>
  <r>
    <x v="0"/>
    <x v="0"/>
    <x v="0"/>
    <x v="3"/>
    <x v="6"/>
    <s v="DE4-S_A"/>
    <x v="6"/>
    <x v="4"/>
    <s v="GNR_ROR_WTR"/>
    <x v="0"/>
    <x v="22"/>
    <n v="4361.5442694063904"/>
    <n v="1591963.6583333299"/>
    <n v="5731069.1699999999"/>
  </r>
  <r>
    <x v="0"/>
    <x v="0"/>
    <x v="0"/>
    <x v="3"/>
    <x v="6"/>
    <s v="DE4-S_A"/>
    <x v="6"/>
    <x v="4"/>
    <s v="GNR_ROR_WTR"/>
    <x v="0"/>
    <x v="23"/>
    <n v="4361.5442694063904"/>
    <n v="1591963.6583333299"/>
    <n v="5731069.1699999999"/>
  </r>
  <r>
    <x v="0"/>
    <x v="0"/>
    <x v="0"/>
    <x v="3"/>
    <x v="6"/>
    <s v="DE4-S_A"/>
    <x v="7"/>
    <x v="5"/>
    <s v="GNR_WT_WIND_ONS"/>
    <x v="0"/>
    <x v="0"/>
    <n v="1017.02860886909"/>
    <n v="371215.44223721803"/>
    <n v="1336375.5920539801"/>
  </r>
  <r>
    <x v="0"/>
    <x v="0"/>
    <x v="0"/>
    <x v="3"/>
    <x v="6"/>
    <s v="DE4-S_A"/>
    <x v="7"/>
    <x v="5"/>
    <s v="GNR_WT_WIND_ONS"/>
    <x v="0"/>
    <x v="1"/>
    <n v="984.06840839532595"/>
    <n v="359184.96906429401"/>
    <n v="1293065.88863146"/>
  </r>
  <r>
    <x v="0"/>
    <x v="0"/>
    <x v="0"/>
    <x v="3"/>
    <x v="6"/>
    <s v="DE4-S_A"/>
    <x v="7"/>
    <x v="5"/>
    <s v="GNR_WT_WIND_ONS"/>
    <x v="0"/>
    <x v="18"/>
    <n v="955.98117390536299"/>
    <n v="348933.12847545801"/>
    <n v="1256159.2625116501"/>
  </r>
  <r>
    <x v="0"/>
    <x v="0"/>
    <x v="0"/>
    <x v="3"/>
    <x v="6"/>
    <s v="DE4-S_A"/>
    <x v="7"/>
    <x v="5"/>
    <s v="GNR_WT_WIND_ONS"/>
    <x v="0"/>
    <x v="2"/>
    <n v="907.79295473222203"/>
    <n v="331344.42847726098"/>
    <n v="1192839.94251814"/>
  </r>
  <r>
    <x v="0"/>
    <x v="0"/>
    <x v="0"/>
    <x v="3"/>
    <x v="6"/>
    <s v="DE4-S_A"/>
    <x v="7"/>
    <x v="5"/>
    <s v="GNR_WT_WIND_ONS"/>
    <x v="0"/>
    <x v="3"/>
    <n v="826.91525541775104"/>
    <n v="301824.068227479"/>
    <n v="1086566.64561892"/>
  </r>
  <r>
    <x v="0"/>
    <x v="0"/>
    <x v="0"/>
    <x v="3"/>
    <x v="6"/>
    <s v="DE4-S_A"/>
    <x v="7"/>
    <x v="5"/>
    <s v="GNR_WT_WIND_ONS"/>
    <x v="0"/>
    <x v="4"/>
    <n v="754.56524657493105"/>
    <n v="275416.31499985"/>
    <n v="991498.73399945896"/>
  </r>
  <r>
    <x v="0"/>
    <x v="0"/>
    <x v="0"/>
    <x v="3"/>
    <x v="6"/>
    <s v="DE4-S_A"/>
    <x v="7"/>
    <x v="5"/>
    <s v="GNR_WT_WIND_ONS"/>
    <x v="0"/>
    <x v="5"/>
    <n v="621.97996376568403"/>
    <n v="227022.68677447501"/>
    <n v="817281.67238810903"/>
  </r>
  <r>
    <x v="0"/>
    <x v="0"/>
    <x v="0"/>
    <x v="3"/>
    <x v="6"/>
    <s v="DE4-S_A"/>
    <x v="7"/>
    <x v="5"/>
    <s v="GNR_WT_WIND_ONS"/>
    <x v="0"/>
    <x v="6"/>
    <n v="601.47289858385602"/>
    <n v="219537.60798310701"/>
    <n v="790335.38873918704"/>
  </r>
  <r>
    <x v="0"/>
    <x v="0"/>
    <x v="0"/>
    <x v="3"/>
    <x v="6"/>
    <s v="DE4-S_A"/>
    <x v="7"/>
    <x v="5"/>
    <s v="GNR_WT_WIND_ONS"/>
    <x v="0"/>
    <x v="7"/>
    <n v="646.615514017122"/>
    <n v="236014.662616249"/>
    <n v="849652.78541849798"/>
  </r>
  <r>
    <x v="0"/>
    <x v="0"/>
    <x v="0"/>
    <x v="3"/>
    <x v="6"/>
    <s v="DE4-S_A"/>
    <x v="7"/>
    <x v="5"/>
    <s v="GNR_WT_WIND_ONS"/>
    <x v="0"/>
    <x v="8"/>
    <n v="697.44325643148795"/>
    <n v="254566.788597493"/>
    <n v="916440.43895097601"/>
  </r>
  <r>
    <x v="0"/>
    <x v="0"/>
    <x v="0"/>
    <x v="3"/>
    <x v="6"/>
    <s v="DE4-S_A"/>
    <x v="7"/>
    <x v="5"/>
    <s v="GNR_WT_WIND_ONS"/>
    <x v="0"/>
    <x v="9"/>
    <n v="804.71618815821398"/>
    <n v="293721.408677748"/>
    <n v="1057397.0712398901"/>
  </r>
  <r>
    <x v="0"/>
    <x v="0"/>
    <x v="0"/>
    <x v="3"/>
    <x v="6"/>
    <s v="DE4-S_A"/>
    <x v="7"/>
    <x v="5"/>
    <s v="GNR_WT_WIND_ONS"/>
    <x v="0"/>
    <x v="10"/>
    <n v="886.47372855309402"/>
    <n v="323562.910921879"/>
    <n v="1164826.4793187701"/>
  </r>
  <r>
    <x v="0"/>
    <x v="0"/>
    <x v="0"/>
    <x v="3"/>
    <x v="6"/>
    <s v="DE4-S_A"/>
    <x v="7"/>
    <x v="5"/>
    <s v="GNR_WT_WIND_ONS"/>
    <x v="0"/>
    <x v="11"/>
    <n v="1090.8675795402901"/>
    <n v="398166.66653220699"/>
    <n v="1433399.99951595"/>
  </r>
  <r>
    <x v="0"/>
    <x v="0"/>
    <x v="0"/>
    <x v="3"/>
    <x v="6"/>
    <s v="DE4-S_A"/>
    <x v="7"/>
    <x v="5"/>
    <s v="GNR_WT_WIND_ONS"/>
    <x v="0"/>
    <x v="12"/>
    <n v="1274.7543653456701"/>
    <n v="465285.34335116798"/>
    <n v="1675027.2360642001"/>
  </r>
  <r>
    <x v="0"/>
    <x v="0"/>
    <x v="0"/>
    <x v="3"/>
    <x v="6"/>
    <s v="DE4-S_A"/>
    <x v="7"/>
    <x v="5"/>
    <s v="GNR_WT_WIND_ONS"/>
    <x v="0"/>
    <x v="13"/>
    <n v="1484.2919026490999"/>
    <n v="541766.54446692101"/>
    <n v="1950359.5600809201"/>
  </r>
  <r>
    <x v="0"/>
    <x v="0"/>
    <x v="0"/>
    <x v="3"/>
    <x v="6"/>
    <s v="DE4-S_A"/>
    <x v="7"/>
    <x v="5"/>
    <s v="GNR_WT_WIND_ONS"/>
    <x v="0"/>
    <x v="14"/>
    <n v="1691.1222366282"/>
    <n v="617259.61636929295"/>
    <n v="2222134.6189294499"/>
  </r>
  <r>
    <x v="0"/>
    <x v="0"/>
    <x v="0"/>
    <x v="3"/>
    <x v="6"/>
    <s v="DE4-S_A"/>
    <x v="7"/>
    <x v="5"/>
    <s v="GNR_WT_WIND_ONS"/>
    <x v="0"/>
    <x v="15"/>
    <n v="1967.2569757102401"/>
    <n v="718048.79613423895"/>
    <n v="2584975.66608326"/>
  </r>
  <r>
    <x v="0"/>
    <x v="0"/>
    <x v="0"/>
    <x v="3"/>
    <x v="6"/>
    <s v="DE4-S_A"/>
    <x v="7"/>
    <x v="5"/>
    <s v="GNR_WT_WIND_ONS"/>
    <x v="0"/>
    <x v="16"/>
    <n v="2219.5006454550398"/>
    <n v="810117.73559109098"/>
    <n v="2916423.84812793"/>
  </r>
  <r>
    <x v="0"/>
    <x v="0"/>
    <x v="0"/>
    <x v="3"/>
    <x v="6"/>
    <s v="DE4-S_A"/>
    <x v="7"/>
    <x v="5"/>
    <s v="GNR_WT_WIND_ONS"/>
    <x v="0"/>
    <x v="17"/>
    <n v="2489.8148973897701"/>
    <n v="908782.43754726602"/>
    <n v="3271616.77517016"/>
  </r>
  <r>
    <x v="0"/>
    <x v="0"/>
    <x v="0"/>
    <x v="3"/>
    <x v="6"/>
    <s v="DE4-S_A"/>
    <x v="7"/>
    <x v="5"/>
    <s v="GNR_WT_WIND_ONS"/>
    <x v="0"/>
    <x v="19"/>
    <n v="2761.48275098666"/>
    <n v="1007941.20411013"/>
    <n v="3628588.3347964799"/>
  </r>
  <r>
    <x v="0"/>
    <x v="0"/>
    <x v="0"/>
    <x v="3"/>
    <x v="6"/>
    <s v="DE4-S_A"/>
    <x v="7"/>
    <x v="5"/>
    <s v="GNR_WT_WIND_ONS"/>
    <x v="0"/>
    <x v="20"/>
    <n v="2993.49007588207"/>
    <n v="1092623.87769696"/>
    <n v="3933445.9597090399"/>
  </r>
  <r>
    <x v="0"/>
    <x v="0"/>
    <x v="0"/>
    <x v="3"/>
    <x v="6"/>
    <s v="DE4-S_A"/>
    <x v="7"/>
    <x v="5"/>
    <s v="GNR_WT_WIND_ONS"/>
    <x v="0"/>
    <x v="21"/>
    <n v="3248.7116692836398"/>
    <n v="1185779.7592885301"/>
    <n v="4268807.1334386999"/>
  </r>
  <r>
    <x v="0"/>
    <x v="0"/>
    <x v="0"/>
    <x v="3"/>
    <x v="6"/>
    <s v="DE4-S_A"/>
    <x v="7"/>
    <x v="5"/>
    <s v="GNR_WT_WIND_ONS"/>
    <x v="0"/>
    <x v="22"/>
    <n v="3570.8011847962498"/>
    <n v="1303342.43245063"/>
    <n v="4692032.7568222703"/>
  </r>
  <r>
    <x v="0"/>
    <x v="0"/>
    <x v="0"/>
    <x v="3"/>
    <x v="6"/>
    <s v="DE4-S_A"/>
    <x v="7"/>
    <x v="5"/>
    <s v="GNR_WT_WIND_ONS"/>
    <x v="0"/>
    <x v="23"/>
    <n v="3780.8801627645498"/>
    <n v="1380021.25940906"/>
    <n v="4968076.53387261"/>
  </r>
  <r>
    <x v="0"/>
    <x v="0"/>
    <x v="0"/>
    <x v="3"/>
    <x v="7"/>
    <s v="DE4-W_A"/>
    <x v="0"/>
    <x v="2"/>
    <s v="GNR_ST_COAL_BP_E-41"/>
    <x v="0"/>
    <x v="6"/>
    <n v="3246.43815586959"/>
    <n v="1184949.9268924"/>
    <n v="4265819.73681264"/>
  </r>
  <r>
    <x v="0"/>
    <x v="0"/>
    <x v="0"/>
    <x v="3"/>
    <x v="7"/>
    <s v="DE4-W_A"/>
    <x v="0"/>
    <x v="2"/>
    <s v="GNR_ST_COAL_BP_E-41"/>
    <x v="0"/>
    <x v="7"/>
    <n v="7679.5"/>
    <n v="2803017.5"/>
    <n v="10090863"/>
  </r>
  <r>
    <x v="0"/>
    <x v="0"/>
    <x v="0"/>
    <x v="3"/>
    <x v="7"/>
    <s v="DE4-W_A"/>
    <x v="0"/>
    <x v="2"/>
    <s v="GNR_ST_COAL_BP_E-41"/>
    <x v="0"/>
    <x v="8"/>
    <n v="3342.80868029164"/>
    <n v="1220125.1683064499"/>
    <n v="4392450.6059032101"/>
  </r>
  <r>
    <x v="0"/>
    <x v="0"/>
    <x v="0"/>
    <x v="3"/>
    <x v="7"/>
    <s v="DE4-W_A"/>
    <x v="0"/>
    <x v="6"/>
    <s v="GNR_ST_COAL_CND_E-37"/>
    <x v="0"/>
    <x v="5"/>
    <n v="7106"/>
    <n v="2593690"/>
    <n v="9337284"/>
  </r>
  <r>
    <x v="0"/>
    <x v="0"/>
    <x v="0"/>
    <x v="3"/>
    <x v="7"/>
    <s v="DE4-W_A"/>
    <x v="0"/>
    <x v="6"/>
    <s v="GNR_ST_COAL_CND_E-37"/>
    <x v="0"/>
    <x v="6"/>
    <n v="7106"/>
    <n v="2593690"/>
    <n v="9337284"/>
  </r>
  <r>
    <x v="0"/>
    <x v="0"/>
    <x v="0"/>
    <x v="3"/>
    <x v="7"/>
    <s v="DE4-W_A"/>
    <x v="0"/>
    <x v="6"/>
    <s v="GNR_ST_COAL_CND_E-37"/>
    <x v="0"/>
    <x v="7"/>
    <n v="7106"/>
    <n v="2593690"/>
    <n v="9337284"/>
  </r>
  <r>
    <x v="0"/>
    <x v="0"/>
    <x v="0"/>
    <x v="3"/>
    <x v="7"/>
    <s v="DE4-W_A"/>
    <x v="0"/>
    <x v="6"/>
    <s v="GNR_ST_COAL_CND_E-37"/>
    <x v="0"/>
    <x v="8"/>
    <n v="7106"/>
    <n v="2593690"/>
    <n v="9337284"/>
  </r>
  <r>
    <x v="0"/>
    <x v="0"/>
    <x v="0"/>
    <x v="3"/>
    <x v="7"/>
    <s v="DE4-W_A"/>
    <x v="0"/>
    <x v="6"/>
    <s v="GNR_ST_COAL_CND_E-37"/>
    <x v="0"/>
    <x v="9"/>
    <n v="7106"/>
    <n v="2593690"/>
    <n v="9337284"/>
  </r>
  <r>
    <x v="0"/>
    <x v="0"/>
    <x v="0"/>
    <x v="3"/>
    <x v="7"/>
    <s v="DE4-W_A"/>
    <x v="0"/>
    <x v="6"/>
    <s v="GNR_ST_COAL_CND_E-37"/>
    <x v="0"/>
    <x v="10"/>
    <n v="3084.9405318290801"/>
    <n v="1126003.29411761"/>
    <n v="4053611.8588234"/>
  </r>
  <r>
    <x v="0"/>
    <x v="0"/>
    <x v="0"/>
    <x v="3"/>
    <x v="7"/>
    <s v="DE4-W_A"/>
    <x v="0"/>
    <x v="6"/>
    <s v="GNR_ST_COAL_CND_E-37"/>
    <x v="0"/>
    <x v="11"/>
    <n v="4017.82495746312"/>
    <n v="1466506.1094740401"/>
    <n v="5279421.9941065405"/>
  </r>
  <r>
    <x v="0"/>
    <x v="0"/>
    <x v="0"/>
    <x v="3"/>
    <x v="7"/>
    <s v="DE4-W_A"/>
    <x v="0"/>
    <x v="6"/>
    <s v="GNR_ST_COAL_CND_E-37"/>
    <x v="0"/>
    <x v="12"/>
    <n v="4239.7840220451099"/>
    <n v="1547521.16804647"/>
    <n v="5571076.2049672697"/>
  </r>
  <r>
    <x v="0"/>
    <x v="0"/>
    <x v="0"/>
    <x v="3"/>
    <x v="7"/>
    <s v="DE4-W_A"/>
    <x v="0"/>
    <x v="6"/>
    <s v="GNR_ST_COAL_CND_E-37"/>
    <x v="0"/>
    <x v="13"/>
    <n v="7106"/>
    <n v="2593690"/>
    <n v="9337284"/>
  </r>
  <r>
    <x v="0"/>
    <x v="0"/>
    <x v="0"/>
    <x v="3"/>
    <x v="7"/>
    <s v="DE4-W_A"/>
    <x v="0"/>
    <x v="6"/>
    <s v="GNR_ST_COAL_CND_E-37"/>
    <x v="0"/>
    <x v="14"/>
    <n v="7106"/>
    <n v="2593690"/>
    <n v="9337284"/>
  </r>
  <r>
    <x v="0"/>
    <x v="0"/>
    <x v="0"/>
    <x v="3"/>
    <x v="7"/>
    <s v="DE4-W_A"/>
    <x v="0"/>
    <x v="6"/>
    <s v="GNR_ST_COAL_CND_E-37"/>
    <x v="0"/>
    <x v="15"/>
    <n v="7106"/>
    <n v="2593690"/>
    <n v="9337284"/>
  </r>
  <r>
    <x v="0"/>
    <x v="0"/>
    <x v="0"/>
    <x v="3"/>
    <x v="7"/>
    <s v="DE4-W_A"/>
    <x v="0"/>
    <x v="6"/>
    <s v="GNR_ST_COAL_CND_E-37"/>
    <x v="0"/>
    <x v="16"/>
    <n v="7106"/>
    <n v="2593690"/>
    <n v="9337284"/>
  </r>
  <r>
    <x v="0"/>
    <x v="0"/>
    <x v="0"/>
    <x v="3"/>
    <x v="7"/>
    <s v="DE4-W_A"/>
    <x v="0"/>
    <x v="6"/>
    <s v="GNR_ST_COAL_CND_E-37"/>
    <x v="0"/>
    <x v="17"/>
    <n v="7106"/>
    <n v="2593690"/>
    <n v="9337284"/>
  </r>
  <r>
    <x v="0"/>
    <x v="0"/>
    <x v="0"/>
    <x v="3"/>
    <x v="7"/>
    <s v="DE4-W_A"/>
    <x v="0"/>
    <x v="6"/>
    <s v="GNR_ST_COAL_CND_E-37"/>
    <x v="0"/>
    <x v="19"/>
    <n v="6499.5537793813501"/>
    <n v="2372337.1294741901"/>
    <n v="8540413.6661070995"/>
  </r>
  <r>
    <x v="0"/>
    <x v="0"/>
    <x v="0"/>
    <x v="3"/>
    <x v="7"/>
    <s v="DE4-W_A"/>
    <x v="0"/>
    <x v="6"/>
    <s v="GNR_ST_COAL_CND_E-37"/>
    <x v="0"/>
    <x v="20"/>
    <n v="545.14470519149097"/>
    <n v="198977.81739489399"/>
    <n v="716320.14262161904"/>
  </r>
  <r>
    <x v="0"/>
    <x v="0"/>
    <x v="0"/>
    <x v="3"/>
    <x v="7"/>
    <s v="DE4-W_A"/>
    <x v="0"/>
    <x v="6"/>
    <s v="GNR_ST_COAL_CND_E-45"/>
    <x v="0"/>
    <x v="0"/>
    <n v="3449"/>
    <n v="1258885"/>
    <n v="4531986"/>
  </r>
  <r>
    <x v="0"/>
    <x v="0"/>
    <x v="0"/>
    <x v="3"/>
    <x v="7"/>
    <s v="DE4-W_A"/>
    <x v="0"/>
    <x v="6"/>
    <s v="GNR_ST_COAL_CND_E-45"/>
    <x v="0"/>
    <x v="1"/>
    <n v="3449"/>
    <n v="1258885"/>
    <n v="4531986"/>
  </r>
  <r>
    <x v="0"/>
    <x v="0"/>
    <x v="0"/>
    <x v="3"/>
    <x v="7"/>
    <s v="DE4-W_A"/>
    <x v="0"/>
    <x v="6"/>
    <s v="GNR_ST_COAL_CND_E-45"/>
    <x v="0"/>
    <x v="18"/>
    <n v="3449"/>
    <n v="1258885"/>
    <n v="4531986"/>
  </r>
  <r>
    <x v="0"/>
    <x v="0"/>
    <x v="0"/>
    <x v="3"/>
    <x v="7"/>
    <s v="DE4-W_A"/>
    <x v="0"/>
    <x v="6"/>
    <s v="GNR_ST_COAL_CND_E-45"/>
    <x v="0"/>
    <x v="2"/>
    <n v="3449"/>
    <n v="1258885"/>
    <n v="4531986"/>
  </r>
  <r>
    <x v="0"/>
    <x v="0"/>
    <x v="0"/>
    <x v="3"/>
    <x v="7"/>
    <s v="DE4-W_A"/>
    <x v="0"/>
    <x v="6"/>
    <s v="GNR_ST_COAL_CND_E-45"/>
    <x v="0"/>
    <x v="3"/>
    <n v="3449"/>
    <n v="1258885"/>
    <n v="4531986"/>
  </r>
  <r>
    <x v="0"/>
    <x v="0"/>
    <x v="0"/>
    <x v="3"/>
    <x v="7"/>
    <s v="DE4-W_A"/>
    <x v="0"/>
    <x v="6"/>
    <s v="GNR_ST_COAL_CND_E-45"/>
    <x v="0"/>
    <x v="4"/>
    <n v="3449"/>
    <n v="1258885"/>
    <n v="4531986"/>
  </r>
  <r>
    <x v="0"/>
    <x v="0"/>
    <x v="0"/>
    <x v="3"/>
    <x v="7"/>
    <s v="DE4-W_A"/>
    <x v="0"/>
    <x v="6"/>
    <s v="GNR_ST_COAL_CND_E-45"/>
    <x v="0"/>
    <x v="5"/>
    <n v="3449"/>
    <n v="1258885"/>
    <n v="4531986"/>
  </r>
  <r>
    <x v="0"/>
    <x v="0"/>
    <x v="0"/>
    <x v="3"/>
    <x v="7"/>
    <s v="DE4-W_A"/>
    <x v="0"/>
    <x v="6"/>
    <s v="GNR_ST_COAL_CND_E-45"/>
    <x v="0"/>
    <x v="6"/>
    <n v="3449"/>
    <n v="1258885"/>
    <n v="4531986"/>
  </r>
  <r>
    <x v="0"/>
    <x v="0"/>
    <x v="0"/>
    <x v="3"/>
    <x v="7"/>
    <s v="DE4-W_A"/>
    <x v="0"/>
    <x v="6"/>
    <s v="GNR_ST_COAL_CND_E-45"/>
    <x v="0"/>
    <x v="7"/>
    <n v="3449"/>
    <n v="1258885"/>
    <n v="4531986"/>
  </r>
  <r>
    <x v="0"/>
    <x v="0"/>
    <x v="0"/>
    <x v="3"/>
    <x v="7"/>
    <s v="DE4-W_A"/>
    <x v="0"/>
    <x v="6"/>
    <s v="GNR_ST_COAL_CND_E-45"/>
    <x v="0"/>
    <x v="8"/>
    <n v="3449"/>
    <n v="1258885"/>
    <n v="4531986"/>
  </r>
  <r>
    <x v="0"/>
    <x v="0"/>
    <x v="0"/>
    <x v="3"/>
    <x v="7"/>
    <s v="DE4-W_A"/>
    <x v="0"/>
    <x v="6"/>
    <s v="GNR_ST_COAL_CND_E-45"/>
    <x v="0"/>
    <x v="9"/>
    <n v="3449"/>
    <n v="1258885"/>
    <n v="4531986"/>
  </r>
  <r>
    <x v="0"/>
    <x v="0"/>
    <x v="0"/>
    <x v="3"/>
    <x v="7"/>
    <s v="DE4-W_A"/>
    <x v="0"/>
    <x v="6"/>
    <s v="GNR_ST_COAL_CND_E-45"/>
    <x v="0"/>
    <x v="10"/>
    <n v="3449"/>
    <n v="1258885"/>
    <n v="4531986"/>
  </r>
  <r>
    <x v="0"/>
    <x v="0"/>
    <x v="0"/>
    <x v="3"/>
    <x v="7"/>
    <s v="DE4-W_A"/>
    <x v="0"/>
    <x v="6"/>
    <s v="GNR_ST_COAL_CND_E-45"/>
    <x v="0"/>
    <x v="11"/>
    <n v="3449"/>
    <n v="1258885"/>
    <n v="4531986"/>
  </r>
  <r>
    <x v="0"/>
    <x v="0"/>
    <x v="0"/>
    <x v="3"/>
    <x v="7"/>
    <s v="DE4-W_A"/>
    <x v="0"/>
    <x v="6"/>
    <s v="GNR_ST_COAL_CND_E-45"/>
    <x v="0"/>
    <x v="12"/>
    <n v="3449"/>
    <n v="1258885"/>
    <n v="4531986"/>
  </r>
  <r>
    <x v="0"/>
    <x v="0"/>
    <x v="0"/>
    <x v="3"/>
    <x v="7"/>
    <s v="DE4-W_A"/>
    <x v="0"/>
    <x v="6"/>
    <s v="GNR_ST_COAL_CND_E-45"/>
    <x v="0"/>
    <x v="13"/>
    <n v="3449"/>
    <n v="1258885"/>
    <n v="4531986"/>
  </r>
  <r>
    <x v="0"/>
    <x v="0"/>
    <x v="0"/>
    <x v="3"/>
    <x v="7"/>
    <s v="DE4-W_A"/>
    <x v="0"/>
    <x v="6"/>
    <s v="GNR_ST_COAL_CND_E-45"/>
    <x v="0"/>
    <x v="14"/>
    <n v="3449"/>
    <n v="1258885"/>
    <n v="4531986"/>
  </r>
  <r>
    <x v="0"/>
    <x v="0"/>
    <x v="0"/>
    <x v="3"/>
    <x v="7"/>
    <s v="DE4-W_A"/>
    <x v="0"/>
    <x v="6"/>
    <s v="GNR_ST_COAL_CND_E-45"/>
    <x v="0"/>
    <x v="15"/>
    <n v="3449"/>
    <n v="1258885"/>
    <n v="4531986"/>
  </r>
  <r>
    <x v="0"/>
    <x v="0"/>
    <x v="0"/>
    <x v="3"/>
    <x v="7"/>
    <s v="DE4-W_A"/>
    <x v="0"/>
    <x v="6"/>
    <s v="GNR_ST_COAL_CND_E-45"/>
    <x v="0"/>
    <x v="16"/>
    <n v="3449"/>
    <n v="1258885"/>
    <n v="4531986"/>
  </r>
  <r>
    <x v="0"/>
    <x v="0"/>
    <x v="0"/>
    <x v="3"/>
    <x v="7"/>
    <s v="DE4-W_A"/>
    <x v="0"/>
    <x v="6"/>
    <s v="GNR_ST_COAL_CND_E-45"/>
    <x v="0"/>
    <x v="17"/>
    <n v="3449"/>
    <n v="1258885"/>
    <n v="4531986"/>
  </r>
  <r>
    <x v="0"/>
    <x v="0"/>
    <x v="0"/>
    <x v="3"/>
    <x v="7"/>
    <s v="DE4-W_A"/>
    <x v="0"/>
    <x v="6"/>
    <s v="GNR_ST_COAL_CND_E-45"/>
    <x v="0"/>
    <x v="19"/>
    <n v="3449"/>
    <n v="1258885"/>
    <n v="4531986"/>
  </r>
  <r>
    <x v="0"/>
    <x v="0"/>
    <x v="0"/>
    <x v="3"/>
    <x v="7"/>
    <s v="DE4-W_A"/>
    <x v="0"/>
    <x v="6"/>
    <s v="GNR_ST_COAL_CND_E-45"/>
    <x v="0"/>
    <x v="20"/>
    <n v="3449"/>
    <n v="1258885"/>
    <n v="4531986"/>
  </r>
  <r>
    <x v="0"/>
    <x v="0"/>
    <x v="0"/>
    <x v="3"/>
    <x v="7"/>
    <s v="DE4-W_A"/>
    <x v="0"/>
    <x v="6"/>
    <s v="GNR_ST_COAL_CND_E-45"/>
    <x v="0"/>
    <x v="21"/>
    <n v="3449"/>
    <n v="1258885"/>
    <n v="4531986"/>
  </r>
  <r>
    <x v="0"/>
    <x v="0"/>
    <x v="0"/>
    <x v="3"/>
    <x v="7"/>
    <s v="DE4-W_A"/>
    <x v="0"/>
    <x v="6"/>
    <s v="GNR_ST_COAL_CND_E-45"/>
    <x v="0"/>
    <x v="22"/>
    <n v="3449"/>
    <n v="1258885"/>
    <n v="4531986"/>
  </r>
  <r>
    <x v="0"/>
    <x v="0"/>
    <x v="0"/>
    <x v="3"/>
    <x v="7"/>
    <s v="DE4-W_A"/>
    <x v="0"/>
    <x v="6"/>
    <s v="GNR_ST_COAL_CND_E-45"/>
    <x v="0"/>
    <x v="23"/>
    <n v="3449"/>
    <n v="1258885"/>
    <n v="4531986"/>
  </r>
  <r>
    <x v="0"/>
    <x v="0"/>
    <x v="0"/>
    <x v="3"/>
    <x v="7"/>
    <s v="DE4-W_A"/>
    <x v="1"/>
    <x v="8"/>
    <s v="AGG-DE4-W_RES_WTR_PMP"/>
    <x v="0"/>
    <x v="1"/>
    <n v="836.47979728155701"/>
    <n v="305315.12600776798"/>
    <n v="1099134.4536279701"/>
  </r>
  <r>
    <x v="0"/>
    <x v="0"/>
    <x v="0"/>
    <x v="3"/>
    <x v="7"/>
    <s v="DE4-W_A"/>
    <x v="1"/>
    <x v="8"/>
    <s v="AGG-DE4-W_RES_WTR_PMP"/>
    <x v="0"/>
    <x v="6"/>
    <n v="1146"/>
    <n v="418290"/>
    <n v="1505844"/>
  </r>
  <r>
    <x v="0"/>
    <x v="0"/>
    <x v="0"/>
    <x v="3"/>
    <x v="7"/>
    <s v="DE4-W_A"/>
    <x v="1"/>
    <x v="8"/>
    <s v="AGG-DE4-W_RES_WTR_PMP"/>
    <x v="0"/>
    <x v="7"/>
    <n v="160.12602739726"/>
    <n v="58445.999999999898"/>
    <n v="210405.6"/>
  </r>
  <r>
    <x v="0"/>
    <x v="0"/>
    <x v="0"/>
    <x v="3"/>
    <x v="7"/>
    <s v="DE4-W_A"/>
    <x v="1"/>
    <x v="8"/>
    <s v="AGG-DE4-W_RES_WTR_PMP"/>
    <x v="0"/>
    <x v="15"/>
    <n v="160.12602739726"/>
    <n v="58445.999999999898"/>
    <n v="210405.6"/>
  </r>
  <r>
    <x v="0"/>
    <x v="0"/>
    <x v="0"/>
    <x v="3"/>
    <x v="7"/>
    <s v="DE4-W_A"/>
    <x v="1"/>
    <x v="8"/>
    <s v="AGG-DE4-W_RES_WTR_PMP"/>
    <x v="0"/>
    <x v="16"/>
    <n v="1146"/>
    <n v="418290"/>
    <n v="1505844"/>
  </r>
  <r>
    <x v="0"/>
    <x v="0"/>
    <x v="0"/>
    <x v="3"/>
    <x v="7"/>
    <s v="DE4-W_A"/>
    <x v="15"/>
    <x v="2"/>
    <s v="GNR_ST_LIGN_BP_E-33"/>
    <x v="0"/>
    <x v="4"/>
    <n v="786.5"/>
    <n v="287072.5"/>
    <n v="1033461"/>
  </r>
  <r>
    <x v="0"/>
    <x v="0"/>
    <x v="0"/>
    <x v="3"/>
    <x v="7"/>
    <s v="DE4-W_A"/>
    <x v="15"/>
    <x v="2"/>
    <s v="GNR_ST_LIGN_BP_E-33"/>
    <x v="0"/>
    <x v="5"/>
    <n v="786.5"/>
    <n v="287072.5"/>
    <n v="1033461"/>
  </r>
  <r>
    <x v="0"/>
    <x v="0"/>
    <x v="0"/>
    <x v="3"/>
    <x v="7"/>
    <s v="DE4-W_A"/>
    <x v="15"/>
    <x v="2"/>
    <s v="GNR_ST_LIGN_BP_E-33"/>
    <x v="0"/>
    <x v="6"/>
    <n v="786.5"/>
    <n v="287072.5"/>
    <n v="1033461"/>
  </r>
  <r>
    <x v="0"/>
    <x v="0"/>
    <x v="0"/>
    <x v="3"/>
    <x v="7"/>
    <s v="DE4-W_A"/>
    <x v="15"/>
    <x v="2"/>
    <s v="GNR_ST_LIGN_BP_E-33"/>
    <x v="0"/>
    <x v="7"/>
    <n v="786.5"/>
    <n v="287072.5"/>
    <n v="1033461"/>
  </r>
  <r>
    <x v="0"/>
    <x v="0"/>
    <x v="0"/>
    <x v="3"/>
    <x v="7"/>
    <s v="DE4-W_A"/>
    <x v="15"/>
    <x v="2"/>
    <s v="GNR_ST_LIGN_BP_E-33"/>
    <x v="0"/>
    <x v="8"/>
    <n v="786.5"/>
    <n v="287072.5"/>
    <n v="1033461"/>
  </r>
  <r>
    <x v="0"/>
    <x v="0"/>
    <x v="0"/>
    <x v="3"/>
    <x v="7"/>
    <s v="DE4-W_A"/>
    <x v="15"/>
    <x v="2"/>
    <s v="GNR_ST_LIGN_BP_E-33"/>
    <x v="0"/>
    <x v="9"/>
    <n v="786.5"/>
    <n v="287072.5"/>
    <n v="1033461"/>
  </r>
  <r>
    <x v="0"/>
    <x v="0"/>
    <x v="0"/>
    <x v="3"/>
    <x v="7"/>
    <s v="DE4-W_A"/>
    <x v="15"/>
    <x v="2"/>
    <s v="GNR_ST_LIGN_BP_E-33"/>
    <x v="0"/>
    <x v="10"/>
    <n v="786.5"/>
    <n v="287072.5"/>
    <n v="1033461"/>
  </r>
  <r>
    <x v="0"/>
    <x v="0"/>
    <x v="0"/>
    <x v="3"/>
    <x v="7"/>
    <s v="DE4-W_A"/>
    <x v="15"/>
    <x v="2"/>
    <s v="GNR_ST_LIGN_BP_E-33"/>
    <x v="0"/>
    <x v="11"/>
    <n v="786.5"/>
    <n v="287072.5"/>
    <n v="1033461"/>
  </r>
  <r>
    <x v="0"/>
    <x v="0"/>
    <x v="0"/>
    <x v="3"/>
    <x v="7"/>
    <s v="DE4-W_A"/>
    <x v="15"/>
    <x v="2"/>
    <s v="GNR_ST_LIGN_BP_E-33"/>
    <x v="0"/>
    <x v="12"/>
    <n v="786.5"/>
    <n v="287072.5"/>
    <n v="1033461"/>
  </r>
  <r>
    <x v="0"/>
    <x v="0"/>
    <x v="0"/>
    <x v="3"/>
    <x v="7"/>
    <s v="DE4-W_A"/>
    <x v="15"/>
    <x v="2"/>
    <s v="GNR_ST_LIGN_BP_E-33"/>
    <x v="0"/>
    <x v="13"/>
    <n v="786.5"/>
    <n v="287072.5"/>
    <n v="1033461"/>
  </r>
  <r>
    <x v="0"/>
    <x v="0"/>
    <x v="0"/>
    <x v="3"/>
    <x v="7"/>
    <s v="DE4-W_A"/>
    <x v="15"/>
    <x v="2"/>
    <s v="GNR_ST_LIGN_BP_E-33"/>
    <x v="0"/>
    <x v="14"/>
    <n v="786.5"/>
    <n v="287072.5"/>
    <n v="1033461"/>
  </r>
  <r>
    <x v="0"/>
    <x v="0"/>
    <x v="0"/>
    <x v="3"/>
    <x v="7"/>
    <s v="DE4-W_A"/>
    <x v="15"/>
    <x v="2"/>
    <s v="GNR_ST_LIGN_BP_E-33"/>
    <x v="0"/>
    <x v="15"/>
    <n v="786.5"/>
    <n v="287072.5"/>
    <n v="1033461"/>
  </r>
  <r>
    <x v="0"/>
    <x v="0"/>
    <x v="0"/>
    <x v="3"/>
    <x v="7"/>
    <s v="DE4-W_A"/>
    <x v="15"/>
    <x v="2"/>
    <s v="GNR_ST_LIGN_BP_E-33"/>
    <x v="0"/>
    <x v="16"/>
    <n v="786.5"/>
    <n v="287072.5"/>
    <n v="1033461"/>
  </r>
  <r>
    <x v="0"/>
    <x v="0"/>
    <x v="0"/>
    <x v="3"/>
    <x v="7"/>
    <s v="DE4-W_A"/>
    <x v="15"/>
    <x v="2"/>
    <s v="GNR_ST_LIGN_BP_E-33"/>
    <x v="0"/>
    <x v="17"/>
    <n v="786.5"/>
    <n v="287072.5"/>
    <n v="1033461"/>
  </r>
  <r>
    <x v="0"/>
    <x v="0"/>
    <x v="0"/>
    <x v="3"/>
    <x v="7"/>
    <s v="DE4-W_A"/>
    <x v="15"/>
    <x v="2"/>
    <s v="GNR_ST_LIGN_BP_E-33"/>
    <x v="0"/>
    <x v="19"/>
    <n v="786.5"/>
    <n v="287072.5"/>
    <n v="1033461"/>
  </r>
  <r>
    <x v="0"/>
    <x v="0"/>
    <x v="0"/>
    <x v="3"/>
    <x v="7"/>
    <s v="DE4-W_A"/>
    <x v="15"/>
    <x v="2"/>
    <s v="GNR_ST_LIGN_BP_E-33"/>
    <x v="0"/>
    <x v="20"/>
    <n v="786.5"/>
    <n v="287072.5"/>
    <n v="1033461"/>
  </r>
  <r>
    <x v="0"/>
    <x v="0"/>
    <x v="0"/>
    <x v="3"/>
    <x v="7"/>
    <s v="DE4-W_A"/>
    <x v="15"/>
    <x v="2"/>
    <s v="GNR_ST_LIGN_BP_E-37"/>
    <x v="0"/>
    <x v="0"/>
    <n v="3286.7"/>
    <n v="1199645.5"/>
    <n v="4318723.8"/>
  </r>
  <r>
    <x v="0"/>
    <x v="0"/>
    <x v="0"/>
    <x v="3"/>
    <x v="7"/>
    <s v="DE4-W_A"/>
    <x v="15"/>
    <x v="2"/>
    <s v="GNR_ST_LIGN_BP_E-37"/>
    <x v="0"/>
    <x v="1"/>
    <n v="3286.7"/>
    <n v="1199645.5"/>
    <n v="4318723.8"/>
  </r>
  <r>
    <x v="0"/>
    <x v="0"/>
    <x v="0"/>
    <x v="3"/>
    <x v="7"/>
    <s v="DE4-W_A"/>
    <x v="15"/>
    <x v="2"/>
    <s v="GNR_ST_LIGN_BP_E-37"/>
    <x v="0"/>
    <x v="18"/>
    <n v="3286.7"/>
    <n v="1199645.5"/>
    <n v="4318723.8"/>
  </r>
  <r>
    <x v="0"/>
    <x v="0"/>
    <x v="0"/>
    <x v="3"/>
    <x v="7"/>
    <s v="DE4-W_A"/>
    <x v="15"/>
    <x v="2"/>
    <s v="GNR_ST_LIGN_BP_E-37"/>
    <x v="0"/>
    <x v="2"/>
    <n v="3286.7"/>
    <n v="1199645.5"/>
    <n v="4318723.8"/>
  </r>
  <r>
    <x v="0"/>
    <x v="0"/>
    <x v="0"/>
    <x v="3"/>
    <x v="7"/>
    <s v="DE4-W_A"/>
    <x v="15"/>
    <x v="2"/>
    <s v="GNR_ST_LIGN_BP_E-37"/>
    <x v="0"/>
    <x v="3"/>
    <n v="3286.7"/>
    <n v="1199645.5"/>
    <n v="4318723.8"/>
  </r>
  <r>
    <x v="0"/>
    <x v="0"/>
    <x v="0"/>
    <x v="3"/>
    <x v="7"/>
    <s v="DE4-W_A"/>
    <x v="15"/>
    <x v="2"/>
    <s v="GNR_ST_LIGN_BP_E-37"/>
    <x v="0"/>
    <x v="4"/>
    <n v="3286.7"/>
    <n v="1199645.5"/>
    <n v="4318723.8"/>
  </r>
  <r>
    <x v="0"/>
    <x v="0"/>
    <x v="0"/>
    <x v="3"/>
    <x v="7"/>
    <s v="DE4-W_A"/>
    <x v="15"/>
    <x v="2"/>
    <s v="GNR_ST_LIGN_BP_E-37"/>
    <x v="0"/>
    <x v="5"/>
    <n v="3286.7"/>
    <n v="1199645.5"/>
    <n v="4318723.8"/>
  </r>
  <r>
    <x v="0"/>
    <x v="0"/>
    <x v="0"/>
    <x v="3"/>
    <x v="7"/>
    <s v="DE4-W_A"/>
    <x v="15"/>
    <x v="2"/>
    <s v="GNR_ST_LIGN_BP_E-37"/>
    <x v="0"/>
    <x v="6"/>
    <n v="3286.7"/>
    <n v="1199645.5"/>
    <n v="4318723.8"/>
  </r>
  <r>
    <x v="0"/>
    <x v="0"/>
    <x v="0"/>
    <x v="3"/>
    <x v="7"/>
    <s v="DE4-W_A"/>
    <x v="15"/>
    <x v="2"/>
    <s v="GNR_ST_LIGN_BP_E-37"/>
    <x v="0"/>
    <x v="7"/>
    <n v="3286.7"/>
    <n v="1199645.5"/>
    <n v="4318723.8"/>
  </r>
  <r>
    <x v="0"/>
    <x v="0"/>
    <x v="0"/>
    <x v="3"/>
    <x v="7"/>
    <s v="DE4-W_A"/>
    <x v="15"/>
    <x v="2"/>
    <s v="GNR_ST_LIGN_BP_E-37"/>
    <x v="0"/>
    <x v="8"/>
    <n v="3286.7"/>
    <n v="1199645.5"/>
    <n v="4318723.8"/>
  </r>
  <r>
    <x v="0"/>
    <x v="0"/>
    <x v="0"/>
    <x v="3"/>
    <x v="7"/>
    <s v="DE4-W_A"/>
    <x v="15"/>
    <x v="2"/>
    <s v="GNR_ST_LIGN_BP_E-37"/>
    <x v="0"/>
    <x v="9"/>
    <n v="3286.7"/>
    <n v="1199645.5"/>
    <n v="4318723.8"/>
  </r>
  <r>
    <x v="0"/>
    <x v="0"/>
    <x v="0"/>
    <x v="3"/>
    <x v="7"/>
    <s v="DE4-W_A"/>
    <x v="15"/>
    <x v="2"/>
    <s v="GNR_ST_LIGN_BP_E-37"/>
    <x v="0"/>
    <x v="10"/>
    <n v="3286.7"/>
    <n v="1199645.5"/>
    <n v="4318723.8"/>
  </r>
  <r>
    <x v="0"/>
    <x v="0"/>
    <x v="0"/>
    <x v="3"/>
    <x v="7"/>
    <s v="DE4-W_A"/>
    <x v="15"/>
    <x v="2"/>
    <s v="GNR_ST_LIGN_BP_E-37"/>
    <x v="0"/>
    <x v="11"/>
    <n v="3286.7"/>
    <n v="1199645.5"/>
    <n v="4318723.8"/>
  </r>
  <r>
    <x v="0"/>
    <x v="0"/>
    <x v="0"/>
    <x v="3"/>
    <x v="7"/>
    <s v="DE4-W_A"/>
    <x v="15"/>
    <x v="2"/>
    <s v="GNR_ST_LIGN_BP_E-37"/>
    <x v="0"/>
    <x v="12"/>
    <n v="3286.7"/>
    <n v="1199645.5"/>
    <n v="4318723.8"/>
  </r>
  <r>
    <x v="0"/>
    <x v="0"/>
    <x v="0"/>
    <x v="3"/>
    <x v="7"/>
    <s v="DE4-W_A"/>
    <x v="15"/>
    <x v="2"/>
    <s v="GNR_ST_LIGN_BP_E-37"/>
    <x v="0"/>
    <x v="13"/>
    <n v="3286.7"/>
    <n v="1199645.5"/>
    <n v="4318723.8"/>
  </r>
  <r>
    <x v="0"/>
    <x v="0"/>
    <x v="0"/>
    <x v="3"/>
    <x v="7"/>
    <s v="DE4-W_A"/>
    <x v="15"/>
    <x v="2"/>
    <s v="GNR_ST_LIGN_BP_E-37"/>
    <x v="0"/>
    <x v="14"/>
    <n v="3286.7"/>
    <n v="1199645.5"/>
    <n v="4318723.8"/>
  </r>
  <r>
    <x v="0"/>
    <x v="0"/>
    <x v="0"/>
    <x v="3"/>
    <x v="7"/>
    <s v="DE4-W_A"/>
    <x v="15"/>
    <x v="2"/>
    <s v="GNR_ST_LIGN_BP_E-37"/>
    <x v="0"/>
    <x v="15"/>
    <n v="3286.7"/>
    <n v="1199645.5"/>
    <n v="4318723.8"/>
  </r>
  <r>
    <x v="0"/>
    <x v="0"/>
    <x v="0"/>
    <x v="3"/>
    <x v="7"/>
    <s v="DE4-W_A"/>
    <x v="15"/>
    <x v="2"/>
    <s v="GNR_ST_LIGN_BP_E-37"/>
    <x v="0"/>
    <x v="16"/>
    <n v="3286.7"/>
    <n v="1199645.5"/>
    <n v="4318723.8"/>
  </r>
  <r>
    <x v="0"/>
    <x v="0"/>
    <x v="0"/>
    <x v="3"/>
    <x v="7"/>
    <s v="DE4-W_A"/>
    <x v="15"/>
    <x v="2"/>
    <s v="GNR_ST_LIGN_BP_E-37"/>
    <x v="0"/>
    <x v="17"/>
    <n v="3286.7"/>
    <n v="1199645.5"/>
    <n v="4318723.8"/>
  </r>
  <r>
    <x v="0"/>
    <x v="0"/>
    <x v="0"/>
    <x v="3"/>
    <x v="7"/>
    <s v="DE4-W_A"/>
    <x v="15"/>
    <x v="2"/>
    <s v="GNR_ST_LIGN_BP_E-37"/>
    <x v="0"/>
    <x v="19"/>
    <n v="3286.7"/>
    <n v="1199645.5"/>
    <n v="4318723.8"/>
  </r>
  <r>
    <x v="0"/>
    <x v="0"/>
    <x v="0"/>
    <x v="3"/>
    <x v="7"/>
    <s v="DE4-W_A"/>
    <x v="15"/>
    <x v="2"/>
    <s v="GNR_ST_LIGN_BP_E-37"/>
    <x v="0"/>
    <x v="20"/>
    <n v="3286.7"/>
    <n v="1199645.5"/>
    <n v="4318723.8"/>
  </r>
  <r>
    <x v="0"/>
    <x v="0"/>
    <x v="0"/>
    <x v="3"/>
    <x v="7"/>
    <s v="DE4-W_A"/>
    <x v="15"/>
    <x v="2"/>
    <s v="GNR_ST_LIGN_BP_E-37"/>
    <x v="0"/>
    <x v="21"/>
    <n v="3286.7"/>
    <n v="1199645.5"/>
    <n v="4318723.8"/>
  </r>
  <r>
    <x v="0"/>
    <x v="0"/>
    <x v="0"/>
    <x v="3"/>
    <x v="7"/>
    <s v="DE4-W_A"/>
    <x v="15"/>
    <x v="2"/>
    <s v="GNR_ST_LIGN_BP_E-37"/>
    <x v="0"/>
    <x v="22"/>
    <n v="3286.7"/>
    <n v="1199645.5"/>
    <n v="4318723.8"/>
  </r>
  <r>
    <x v="0"/>
    <x v="0"/>
    <x v="0"/>
    <x v="3"/>
    <x v="7"/>
    <s v="DE4-W_A"/>
    <x v="15"/>
    <x v="2"/>
    <s v="GNR_ST_LIGN_BP_E-37"/>
    <x v="0"/>
    <x v="23"/>
    <n v="1476.3078863937601"/>
    <n v="538852.37853372202"/>
    <n v="1939868.5627214001"/>
  </r>
  <r>
    <x v="0"/>
    <x v="0"/>
    <x v="0"/>
    <x v="3"/>
    <x v="7"/>
    <s v="DE4-W_A"/>
    <x v="15"/>
    <x v="6"/>
    <s v="GNR_ST_LIGN_CND_E-32"/>
    <x v="0"/>
    <x v="0"/>
    <n v="4539"/>
    <n v="1656735"/>
    <n v="5964246"/>
  </r>
  <r>
    <x v="0"/>
    <x v="0"/>
    <x v="0"/>
    <x v="3"/>
    <x v="7"/>
    <s v="DE4-W_A"/>
    <x v="15"/>
    <x v="6"/>
    <s v="GNR_ST_LIGN_CND_E-32"/>
    <x v="0"/>
    <x v="1"/>
    <n v="4539"/>
    <n v="1656735"/>
    <n v="5964246"/>
  </r>
  <r>
    <x v="0"/>
    <x v="0"/>
    <x v="0"/>
    <x v="3"/>
    <x v="7"/>
    <s v="DE4-W_A"/>
    <x v="15"/>
    <x v="6"/>
    <s v="GNR_ST_LIGN_CND_E-32"/>
    <x v="0"/>
    <x v="18"/>
    <n v="4539"/>
    <n v="1656735"/>
    <n v="5964246"/>
  </r>
  <r>
    <x v="0"/>
    <x v="0"/>
    <x v="0"/>
    <x v="3"/>
    <x v="7"/>
    <s v="DE4-W_A"/>
    <x v="15"/>
    <x v="6"/>
    <s v="GNR_ST_LIGN_CND_E-32"/>
    <x v="0"/>
    <x v="2"/>
    <n v="4539"/>
    <n v="1656735"/>
    <n v="5964246"/>
  </r>
  <r>
    <x v="0"/>
    <x v="0"/>
    <x v="0"/>
    <x v="3"/>
    <x v="7"/>
    <s v="DE4-W_A"/>
    <x v="15"/>
    <x v="6"/>
    <s v="GNR_ST_LIGN_CND_E-32"/>
    <x v="0"/>
    <x v="3"/>
    <n v="4539"/>
    <n v="1656735"/>
    <n v="5964246"/>
  </r>
  <r>
    <x v="0"/>
    <x v="0"/>
    <x v="0"/>
    <x v="3"/>
    <x v="7"/>
    <s v="DE4-W_A"/>
    <x v="15"/>
    <x v="6"/>
    <s v="GNR_ST_LIGN_CND_E-32"/>
    <x v="0"/>
    <x v="4"/>
    <n v="4539"/>
    <n v="1656735"/>
    <n v="5964246"/>
  </r>
  <r>
    <x v="0"/>
    <x v="0"/>
    <x v="0"/>
    <x v="3"/>
    <x v="7"/>
    <s v="DE4-W_A"/>
    <x v="15"/>
    <x v="6"/>
    <s v="GNR_ST_LIGN_CND_E-32"/>
    <x v="0"/>
    <x v="5"/>
    <n v="4539"/>
    <n v="1656735"/>
    <n v="5964246"/>
  </r>
  <r>
    <x v="0"/>
    <x v="0"/>
    <x v="0"/>
    <x v="3"/>
    <x v="7"/>
    <s v="DE4-W_A"/>
    <x v="15"/>
    <x v="6"/>
    <s v="GNR_ST_LIGN_CND_E-32"/>
    <x v="0"/>
    <x v="6"/>
    <n v="4539"/>
    <n v="1656735"/>
    <n v="5964246"/>
  </r>
  <r>
    <x v="0"/>
    <x v="0"/>
    <x v="0"/>
    <x v="3"/>
    <x v="7"/>
    <s v="DE4-W_A"/>
    <x v="15"/>
    <x v="6"/>
    <s v="GNR_ST_LIGN_CND_E-32"/>
    <x v="0"/>
    <x v="7"/>
    <n v="4539"/>
    <n v="1656735"/>
    <n v="5964246"/>
  </r>
  <r>
    <x v="0"/>
    <x v="0"/>
    <x v="0"/>
    <x v="3"/>
    <x v="7"/>
    <s v="DE4-W_A"/>
    <x v="15"/>
    <x v="6"/>
    <s v="GNR_ST_LIGN_CND_E-32"/>
    <x v="0"/>
    <x v="8"/>
    <n v="4539"/>
    <n v="1656735"/>
    <n v="5964246"/>
  </r>
  <r>
    <x v="0"/>
    <x v="0"/>
    <x v="0"/>
    <x v="3"/>
    <x v="7"/>
    <s v="DE4-W_A"/>
    <x v="15"/>
    <x v="6"/>
    <s v="GNR_ST_LIGN_CND_E-32"/>
    <x v="0"/>
    <x v="9"/>
    <n v="4539"/>
    <n v="1656735"/>
    <n v="5964246"/>
  </r>
  <r>
    <x v="0"/>
    <x v="0"/>
    <x v="0"/>
    <x v="3"/>
    <x v="7"/>
    <s v="DE4-W_A"/>
    <x v="15"/>
    <x v="6"/>
    <s v="GNR_ST_LIGN_CND_E-32"/>
    <x v="0"/>
    <x v="10"/>
    <n v="4539"/>
    <n v="1656735"/>
    <n v="5964246"/>
  </r>
  <r>
    <x v="0"/>
    <x v="0"/>
    <x v="0"/>
    <x v="3"/>
    <x v="7"/>
    <s v="DE4-W_A"/>
    <x v="15"/>
    <x v="6"/>
    <s v="GNR_ST_LIGN_CND_E-32"/>
    <x v="0"/>
    <x v="11"/>
    <n v="4539"/>
    <n v="1656735"/>
    <n v="5964246"/>
  </r>
  <r>
    <x v="0"/>
    <x v="0"/>
    <x v="0"/>
    <x v="3"/>
    <x v="7"/>
    <s v="DE4-W_A"/>
    <x v="15"/>
    <x v="6"/>
    <s v="GNR_ST_LIGN_CND_E-32"/>
    <x v="0"/>
    <x v="12"/>
    <n v="4539"/>
    <n v="1656735"/>
    <n v="5964246"/>
  </r>
  <r>
    <x v="0"/>
    <x v="0"/>
    <x v="0"/>
    <x v="3"/>
    <x v="7"/>
    <s v="DE4-W_A"/>
    <x v="15"/>
    <x v="6"/>
    <s v="GNR_ST_LIGN_CND_E-32"/>
    <x v="0"/>
    <x v="13"/>
    <n v="4539"/>
    <n v="1656735"/>
    <n v="5964246"/>
  </r>
  <r>
    <x v="0"/>
    <x v="0"/>
    <x v="0"/>
    <x v="3"/>
    <x v="7"/>
    <s v="DE4-W_A"/>
    <x v="15"/>
    <x v="6"/>
    <s v="GNR_ST_LIGN_CND_E-32"/>
    <x v="0"/>
    <x v="14"/>
    <n v="4539"/>
    <n v="1656735"/>
    <n v="5964246"/>
  </r>
  <r>
    <x v="0"/>
    <x v="0"/>
    <x v="0"/>
    <x v="3"/>
    <x v="7"/>
    <s v="DE4-W_A"/>
    <x v="15"/>
    <x v="6"/>
    <s v="GNR_ST_LIGN_CND_E-32"/>
    <x v="0"/>
    <x v="15"/>
    <n v="4539"/>
    <n v="1656735"/>
    <n v="5964246"/>
  </r>
  <r>
    <x v="0"/>
    <x v="0"/>
    <x v="0"/>
    <x v="3"/>
    <x v="7"/>
    <s v="DE4-W_A"/>
    <x v="15"/>
    <x v="6"/>
    <s v="GNR_ST_LIGN_CND_E-32"/>
    <x v="0"/>
    <x v="16"/>
    <n v="4539"/>
    <n v="1656735"/>
    <n v="5964246"/>
  </r>
  <r>
    <x v="0"/>
    <x v="0"/>
    <x v="0"/>
    <x v="3"/>
    <x v="7"/>
    <s v="DE4-W_A"/>
    <x v="15"/>
    <x v="6"/>
    <s v="GNR_ST_LIGN_CND_E-32"/>
    <x v="0"/>
    <x v="17"/>
    <n v="4539"/>
    <n v="1656735"/>
    <n v="5964246"/>
  </r>
  <r>
    <x v="0"/>
    <x v="0"/>
    <x v="0"/>
    <x v="3"/>
    <x v="7"/>
    <s v="DE4-W_A"/>
    <x v="15"/>
    <x v="6"/>
    <s v="GNR_ST_LIGN_CND_E-32"/>
    <x v="0"/>
    <x v="19"/>
    <n v="4539"/>
    <n v="1656735"/>
    <n v="5964246"/>
  </r>
  <r>
    <x v="0"/>
    <x v="0"/>
    <x v="0"/>
    <x v="3"/>
    <x v="7"/>
    <s v="DE4-W_A"/>
    <x v="15"/>
    <x v="6"/>
    <s v="GNR_ST_LIGN_CND_E-32"/>
    <x v="0"/>
    <x v="20"/>
    <n v="4539"/>
    <n v="1656735"/>
    <n v="5964246"/>
  </r>
  <r>
    <x v="0"/>
    <x v="0"/>
    <x v="0"/>
    <x v="3"/>
    <x v="7"/>
    <s v="DE4-W_A"/>
    <x v="15"/>
    <x v="6"/>
    <s v="GNR_ST_LIGN_CND_E-32"/>
    <x v="0"/>
    <x v="21"/>
    <n v="4539"/>
    <n v="1656735"/>
    <n v="5964246"/>
  </r>
  <r>
    <x v="0"/>
    <x v="0"/>
    <x v="0"/>
    <x v="3"/>
    <x v="7"/>
    <s v="DE4-W_A"/>
    <x v="15"/>
    <x v="6"/>
    <s v="GNR_ST_LIGN_CND_E-32"/>
    <x v="0"/>
    <x v="22"/>
    <n v="4539"/>
    <n v="1656735"/>
    <n v="5964246"/>
  </r>
  <r>
    <x v="0"/>
    <x v="0"/>
    <x v="0"/>
    <x v="3"/>
    <x v="7"/>
    <s v="DE4-W_A"/>
    <x v="15"/>
    <x v="6"/>
    <s v="GNR_ST_LIGN_CND_E-32"/>
    <x v="0"/>
    <x v="23"/>
    <n v="4539"/>
    <n v="1656735"/>
    <n v="5964246"/>
  </r>
  <r>
    <x v="0"/>
    <x v="0"/>
    <x v="0"/>
    <x v="3"/>
    <x v="7"/>
    <s v="DE4-W_A"/>
    <x v="15"/>
    <x v="6"/>
    <s v="GNR_ST_LIGN_CND_E-41"/>
    <x v="0"/>
    <x v="0"/>
    <n v="4030"/>
    <n v="1470950"/>
    <n v="5295420"/>
  </r>
  <r>
    <x v="0"/>
    <x v="0"/>
    <x v="0"/>
    <x v="3"/>
    <x v="7"/>
    <s v="DE4-W_A"/>
    <x v="15"/>
    <x v="6"/>
    <s v="GNR_ST_LIGN_CND_E-41"/>
    <x v="0"/>
    <x v="1"/>
    <n v="4030"/>
    <n v="1470950"/>
    <n v="5295420"/>
  </r>
  <r>
    <x v="0"/>
    <x v="0"/>
    <x v="0"/>
    <x v="3"/>
    <x v="7"/>
    <s v="DE4-W_A"/>
    <x v="15"/>
    <x v="6"/>
    <s v="GNR_ST_LIGN_CND_E-41"/>
    <x v="0"/>
    <x v="18"/>
    <n v="4030"/>
    <n v="1470950"/>
    <n v="5295420"/>
  </r>
  <r>
    <x v="0"/>
    <x v="0"/>
    <x v="0"/>
    <x v="3"/>
    <x v="7"/>
    <s v="DE4-W_A"/>
    <x v="15"/>
    <x v="6"/>
    <s v="GNR_ST_LIGN_CND_E-41"/>
    <x v="0"/>
    <x v="2"/>
    <n v="4030"/>
    <n v="1470950"/>
    <n v="5295420"/>
  </r>
  <r>
    <x v="0"/>
    <x v="0"/>
    <x v="0"/>
    <x v="3"/>
    <x v="7"/>
    <s v="DE4-W_A"/>
    <x v="15"/>
    <x v="6"/>
    <s v="GNR_ST_LIGN_CND_E-41"/>
    <x v="0"/>
    <x v="3"/>
    <n v="4030"/>
    <n v="1470950"/>
    <n v="5295420"/>
  </r>
  <r>
    <x v="0"/>
    <x v="0"/>
    <x v="0"/>
    <x v="3"/>
    <x v="7"/>
    <s v="DE4-W_A"/>
    <x v="15"/>
    <x v="6"/>
    <s v="GNR_ST_LIGN_CND_E-41"/>
    <x v="0"/>
    <x v="4"/>
    <n v="4030"/>
    <n v="1470950"/>
    <n v="5295420"/>
  </r>
  <r>
    <x v="0"/>
    <x v="0"/>
    <x v="0"/>
    <x v="3"/>
    <x v="7"/>
    <s v="DE4-W_A"/>
    <x v="15"/>
    <x v="6"/>
    <s v="GNR_ST_LIGN_CND_E-41"/>
    <x v="0"/>
    <x v="5"/>
    <n v="4030"/>
    <n v="1470950"/>
    <n v="5295420"/>
  </r>
  <r>
    <x v="0"/>
    <x v="0"/>
    <x v="0"/>
    <x v="3"/>
    <x v="7"/>
    <s v="DE4-W_A"/>
    <x v="15"/>
    <x v="6"/>
    <s v="GNR_ST_LIGN_CND_E-41"/>
    <x v="0"/>
    <x v="6"/>
    <n v="4030"/>
    <n v="1470950"/>
    <n v="5295420"/>
  </r>
  <r>
    <x v="0"/>
    <x v="0"/>
    <x v="0"/>
    <x v="3"/>
    <x v="7"/>
    <s v="DE4-W_A"/>
    <x v="15"/>
    <x v="6"/>
    <s v="GNR_ST_LIGN_CND_E-41"/>
    <x v="0"/>
    <x v="7"/>
    <n v="4030"/>
    <n v="1470950"/>
    <n v="5295420"/>
  </r>
  <r>
    <x v="0"/>
    <x v="0"/>
    <x v="0"/>
    <x v="3"/>
    <x v="7"/>
    <s v="DE4-W_A"/>
    <x v="15"/>
    <x v="6"/>
    <s v="GNR_ST_LIGN_CND_E-41"/>
    <x v="0"/>
    <x v="8"/>
    <n v="4030"/>
    <n v="1470950"/>
    <n v="5295420"/>
  </r>
  <r>
    <x v="0"/>
    <x v="0"/>
    <x v="0"/>
    <x v="3"/>
    <x v="7"/>
    <s v="DE4-W_A"/>
    <x v="15"/>
    <x v="6"/>
    <s v="GNR_ST_LIGN_CND_E-41"/>
    <x v="0"/>
    <x v="9"/>
    <n v="4030"/>
    <n v="1470950"/>
    <n v="5295420"/>
  </r>
  <r>
    <x v="0"/>
    <x v="0"/>
    <x v="0"/>
    <x v="3"/>
    <x v="7"/>
    <s v="DE4-W_A"/>
    <x v="15"/>
    <x v="6"/>
    <s v="GNR_ST_LIGN_CND_E-41"/>
    <x v="0"/>
    <x v="10"/>
    <n v="4030"/>
    <n v="1470950"/>
    <n v="5295420"/>
  </r>
  <r>
    <x v="0"/>
    <x v="0"/>
    <x v="0"/>
    <x v="3"/>
    <x v="7"/>
    <s v="DE4-W_A"/>
    <x v="15"/>
    <x v="6"/>
    <s v="GNR_ST_LIGN_CND_E-41"/>
    <x v="0"/>
    <x v="11"/>
    <n v="4030"/>
    <n v="1470950"/>
    <n v="5295420"/>
  </r>
  <r>
    <x v="0"/>
    <x v="0"/>
    <x v="0"/>
    <x v="3"/>
    <x v="7"/>
    <s v="DE4-W_A"/>
    <x v="15"/>
    <x v="6"/>
    <s v="GNR_ST_LIGN_CND_E-41"/>
    <x v="0"/>
    <x v="12"/>
    <n v="4030"/>
    <n v="1470950"/>
    <n v="5295420"/>
  </r>
  <r>
    <x v="0"/>
    <x v="0"/>
    <x v="0"/>
    <x v="3"/>
    <x v="7"/>
    <s v="DE4-W_A"/>
    <x v="15"/>
    <x v="6"/>
    <s v="GNR_ST_LIGN_CND_E-41"/>
    <x v="0"/>
    <x v="13"/>
    <n v="4030"/>
    <n v="1470950"/>
    <n v="5295420"/>
  </r>
  <r>
    <x v="0"/>
    <x v="0"/>
    <x v="0"/>
    <x v="3"/>
    <x v="7"/>
    <s v="DE4-W_A"/>
    <x v="15"/>
    <x v="6"/>
    <s v="GNR_ST_LIGN_CND_E-41"/>
    <x v="0"/>
    <x v="14"/>
    <n v="4030"/>
    <n v="1470950"/>
    <n v="5295420"/>
  </r>
  <r>
    <x v="0"/>
    <x v="0"/>
    <x v="0"/>
    <x v="3"/>
    <x v="7"/>
    <s v="DE4-W_A"/>
    <x v="15"/>
    <x v="6"/>
    <s v="GNR_ST_LIGN_CND_E-41"/>
    <x v="0"/>
    <x v="15"/>
    <n v="4030"/>
    <n v="1470950"/>
    <n v="5295420"/>
  </r>
  <r>
    <x v="0"/>
    <x v="0"/>
    <x v="0"/>
    <x v="3"/>
    <x v="7"/>
    <s v="DE4-W_A"/>
    <x v="15"/>
    <x v="6"/>
    <s v="GNR_ST_LIGN_CND_E-41"/>
    <x v="0"/>
    <x v="16"/>
    <n v="4030"/>
    <n v="1470950"/>
    <n v="5295420"/>
  </r>
  <r>
    <x v="0"/>
    <x v="0"/>
    <x v="0"/>
    <x v="3"/>
    <x v="7"/>
    <s v="DE4-W_A"/>
    <x v="15"/>
    <x v="6"/>
    <s v="GNR_ST_LIGN_CND_E-41"/>
    <x v="0"/>
    <x v="17"/>
    <n v="4030"/>
    <n v="1470950"/>
    <n v="5295420"/>
  </r>
  <r>
    <x v="0"/>
    <x v="0"/>
    <x v="0"/>
    <x v="3"/>
    <x v="7"/>
    <s v="DE4-W_A"/>
    <x v="15"/>
    <x v="6"/>
    <s v="GNR_ST_LIGN_CND_E-41"/>
    <x v="0"/>
    <x v="19"/>
    <n v="4030"/>
    <n v="1470950"/>
    <n v="5295420"/>
  </r>
  <r>
    <x v="0"/>
    <x v="0"/>
    <x v="0"/>
    <x v="3"/>
    <x v="7"/>
    <s v="DE4-W_A"/>
    <x v="15"/>
    <x v="6"/>
    <s v="GNR_ST_LIGN_CND_E-41"/>
    <x v="0"/>
    <x v="20"/>
    <n v="4030"/>
    <n v="1470950"/>
    <n v="5295420"/>
  </r>
  <r>
    <x v="0"/>
    <x v="0"/>
    <x v="0"/>
    <x v="3"/>
    <x v="7"/>
    <s v="DE4-W_A"/>
    <x v="15"/>
    <x v="6"/>
    <s v="GNR_ST_LIGN_CND_E-41"/>
    <x v="0"/>
    <x v="21"/>
    <n v="4030"/>
    <n v="1470950"/>
    <n v="5295420"/>
  </r>
  <r>
    <x v="0"/>
    <x v="0"/>
    <x v="0"/>
    <x v="3"/>
    <x v="7"/>
    <s v="DE4-W_A"/>
    <x v="15"/>
    <x v="6"/>
    <s v="GNR_ST_LIGN_CND_E-41"/>
    <x v="0"/>
    <x v="22"/>
    <n v="4030"/>
    <n v="1470950"/>
    <n v="5295420"/>
  </r>
  <r>
    <x v="0"/>
    <x v="0"/>
    <x v="0"/>
    <x v="3"/>
    <x v="7"/>
    <s v="DE4-W_A"/>
    <x v="15"/>
    <x v="6"/>
    <s v="GNR_ST_LIGN_CND_E-41"/>
    <x v="0"/>
    <x v="23"/>
    <n v="4030"/>
    <n v="1470950"/>
    <n v="5295420"/>
  </r>
  <r>
    <x v="0"/>
    <x v="0"/>
    <x v="0"/>
    <x v="3"/>
    <x v="7"/>
    <s v="DE4-W_A"/>
    <x v="2"/>
    <x v="6"/>
    <s v="GNR_ST_MSW_CND_E-33"/>
    <x v="0"/>
    <x v="0"/>
    <n v="172.8"/>
    <n v="63072"/>
    <n v="227059.20000000001"/>
  </r>
  <r>
    <x v="0"/>
    <x v="0"/>
    <x v="0"/>
    <x v="3"/>
    <x v="7"/>
    <s v="DE4-W_A"/>
    <x v="2"/>
    <x v="6"/>
    <s v="GNR_ST_MSW_CND_E-33"/>
    <x v="0"/>
    <x v="1"/>
    <n v="172.8"/>
    <n v="63072"/>
    <n v="227059.20000000001"/>
  </r>
  <r>
    <x v="0"/>
    <x v="0"/>
    <x v="0"/>
    <x v="3"/>
    <x v="7"/>
    <s v="DE4-W_A"/>
    <x v="2"/>
    <x v="6"/>
    <s v="GNR_ST_MSW_CND_E-33"/>
    <x v="0"/>
    <x v="18"/>
    <n v="172.8"/>
    <n v="63072"/>
    <n v="227059.20000000001"/>
  </r>
  <r>
    <x v="0"/>
    <x v="0"/>
    <x v="0"/>
    <x v="3"/>
    <x v="7"/>
    <s v="DE4-W_A"/>
    <x v="2"/>
    <x v="6"/>
    <s v="GNR_ST_MSW_CND_E-33"/>
    <x v="0"/>
    <x v="2"/>
    <n v="172.8"/>
    <n v="63072"/>
    <n v="227059.20000000001"/>
  </r>
  <r>
    <x v="0"/>
    <x v="0"/>
    <x v="0"/>
    <x v="3"/>
    <x v="7"/>
    <s v="DE4-W_A"/>
    <x v="2"/>
    <x v="6"/>
    <s v="GNR_ST_MSW_CND_E-33"/>
    <x v="0"/>
    <x v="3"/>
    <n v="172.8"/>
    <n v="63072"/>
    <n v="227059.20000000001"/>
  </r>
  <r>
    <x v="0"/>
    <x v="0"/>
    <x v="0"/>
    <x v="3"/>
    <x v="7"/>
    <s v="DE4-W_A"/>
    <x v="2"/>
    <x v="6"/>
    <s v="GNR_ST_MSW_CND_E-33"/>
    <x v="0"/>
    <x v="4"/>
    <n v="172.8"/>
    <n v="63072"/>
    <n v="227059.20000000001"/>
  </r>
  <r>
    <x v="0"/>
    <x v="0"/>
    <x v="0"/>
    <x v="3"/>
    <x v="7"/>
    <s v="DE4-W_A"/>
    <x v="2"/>
    <x v="6"/>
    <s v="GNR_ST_MSW_CND_E-33"/>
    <x v="0"/>
    <x v="5"/>
    <n v="172.8"/>
    <n v="63072"/>
    <n v="227059.20000000001"/>
  </r>
  <r>
    <x v="0"/>
    <x v="0"/>
    <x v="0"/>
    <x v="3"/>
    <x v="7"/>
    <s v="DE4-W_A"/>
    <x v="2"/>
    <x v="6"/>
    <s v="GNR_ST_MSW_CND_E-33"/>
    <x v="0"/>
    <x v="6"/>
    <n v="172.8"/>
    <n v="63072"/>
    <n v="227059.20000000001"/>
  </r>
  <r>
    <x v="0"/>
    <x v="0"/>
    <x v="0"/>
    <x v="3"/>
    <x v="7"/>
    <s v="DE4-W_A"/>
    <x v="2"/>
    <x v="6"/>
    <s v="GNR_ST_MSW_CND_E-33"/>
    <x v="0"/>
    <x v="7"/>
    <n v="172.8"/>
    <n v="63072"/>
    <n v="227059.20000000001"/>
  </r>
  <r>
    <x v="0"/>
    <x v="0"/>
    <x v="0"/>
    <x v="3"/>
    <x v="7"/>
    <s v="DE4-W_A"/>
    <x v="2"/>
    <x v="6"/>
    <s v="GNR_ST_MSW_CND_E-33"/>
    <x v="0"/>
    <x v="8"/>
    <n v="172.8"/>
    <n v="63072"/>
    <n v="227059.20000000001"/>
  </r>
  <r>
    <x v="0"/>
    <x v="0"/>
    <x v="0"/>
    <x v="3"/>
    <x v="7"/>
    <s v="DE4-W_A"/>
    <x v="2"/>
    <x v="6"/>
    <s v="GNR_ST_MSW_CND_E-33"/>
    <x v="0"/>
    <x v="9"/>
    <n v="172.8"/>
    <n v="63072"/>
    <n v="227059.20000000001"/>
  </r>
  <r>
    <x v="0"/>
    <x v="0"/>
    <x v="0"/>
    <x v="3"/>
    <x v="7"/>
    <s v="DE4-W_A"/>
    <x v="2"/>
    <x v="6"/>
    <s v="GNR_ST_MSW_CND_E-33"/>
    <x v="0"/>
    <x v="10"/>
    <n v="172.8"/>
    <n v="63072"/>
    <n v="227059.20000000001"/>
  </r>
  <r>
    <x v="0"/>
    <x v="0"/>
    <x v="0"/>
    <x v="3"/>
    <x v="7"/>
    <s v="DE4-W_A"/>
    <x v="2"/>
    <x v="6"/>
    <s v="GNR_ST_MSW_CND_E-33"/>
    <x v="0"/>
    <x v="11"/>
    <n v="172.8"/>
    <n v="63072"/>
    <n v="227059.20000000001"/>
  </r>
  <r>
    <x v="0"/>
    <x v="0"/>
    <x v="0"/>
    <x v="3"/>
    <x v="7"/>
    <s v="DE4-W_A"/>
    <x v="2"/>
    <x v="6"/>
    <s v="GNR_ST_MSW_CND_E-33"/>
    <x v="0"/>
    <x v="12"/>
    <n v="172.8"/>
    <n v="63072"/>
    <n v="227059.20000000001"/>
  </r>
  <r>
    <x v="0"/>
    <x v="0"/>
    <x v="0"/>
    <x v="3"/>
    <x v="7"/>
    <s v="DE4-W_A"/>
    <x v="2"/>
    <x v="6"/>
    <s v="GNR_ST_MSW_CND_E-33"/>
    <x v="0"/>
    <x v="13"/>
    <n v="172.8"/>
    <n v="63072"/>
    <n v="227059.20000000001"/>
  </r>
  <r>
    <x v="0"/>
    <x v="0"/>
    <x v="0"/>
    <x v="3"/>
    <x v="7"/>
    <s v="DE4-W_A"/>
    <x v="2"/>
    <x v="6"/>
    <s v="GNR_ST_MSW_CND_E-33"/>
    <x v="0"/>
    <x v="14"/>
    <n v="172.8"/>
    <n v="63072"/>
    <n v="227059.20000000001"/>
  </r>
  <r>
    <x v="0"/>
    <x v="0"/>
    <x v="0"/>
    <x v="3"/>
    <x v="7"/>
    <s v="DE4-W_A"/>
    <x v="2"/>
    <x v="6"/>
    <s v="GNR_ST_MSW_CND_E-33"/>
    <x v="0"/>
    <x v="15"/>
    <n v="172.8"/>
    <n v="63072"/>
    <n v="227059.20000000001"/>
  </r>
  <r>
    <x v="0"/>
    <x v="0"/>
    <x v="0"/>
    <x v="3"/>
    <x v="7"/>
    <s v="DE4-W_A"/>
    <x v="2"/>
    <x v="6"/>
    <s v="GNR_ST_MSW_CND_E-33"/>
    <x v="0"/>
    <x v="16"/>
    <n v="172.8"/>
    <n v="63072"/>
    <n v="227059.20000000001"/>
  </r>
  <r>
    <x v="0"/>
    <x v="0"/>
    <x v="0"/>
    <x v="3"/>
    <x v="7"/>
    <s v="DE4-W_A"/>
    <x v="2"/>
    <x v="6"/>
    <s v="GNR_ST_MSW_CND_E-33"/>
    <x v="0"/>
    <x v="17"/>
    <n v="172.8"/>
    <n v="63072"/>
    <n v="227059.20000000001"/>
  </r>
  <r>
    <x v="0"/>
    <x v="0"/>
    <x v="0"/>
    <x v="3"/>
    <x v="7"/>
    <s v="DE4-W_A"/>
    <x v="2"/>
    <x v="6"/>
    <s v="GNR_ST_MSW_CND_E-33"/>
    <x v="0"/>
    <x v="19"/>
    <n v="172.8"/>
    <n v="63072"/>
    <n v="227059.20000000001"/>
  </r>
  <r>
    <x v="0"/>
    <x v="0"/>
    <x v="0"/>
    <x v="3"/>
    <x v="7"/>
    <s v="DE4-W_A"/>
    <x v="2"/>
    <x v="6"/>
    <s v="GNR_ST_MSW_CND_E-33"/>
    <x v="0"/>
    <x v="20"/>
    <n v="172.8"/>
    <n v="63072"/>
    <n v="227059.20000000001"/>
  </r>
  <r>
    <x v="0"/>
    <x v="0"/>
    <x v="0"/>
    <x v="3"/>
    <x v="7"/>
    <s v="DE4-W_A"/>
    <x v="2"/>
    <x v="6"/>
    <s v="GNR_ST_MSW_CND_E-33"/>
    <x v="0"/>
    <x v="21"/>
    <n v="172.8"/>
    <n v="63072"/>
    <n v="227059.20000000001"/>
  </r>
  <r>
    <x v="0"/>
    <x v="0"/>
    <x v="0"/>
    <x v="3"/>
    <x v="7"/>
    <s v="DE4-W_A"/>
    <x v="2"/>
    <x v="6"/>
    <s v="GNR_ST_MSW_CND_E-33"/>
    <x v="0"/>
    <x v="22"/>
    <n v="172.8"/>
    <n v="63072"/>
    <n v="227059.20000000001"/>
  </r>
  <r>
    <x v="0"/>
    <x v="0"/>
    <x v="0"/>
    <x v="3"/>
    <x v="7"/>
    <s v="DE4-W_A"/>
    <x v="2"/>
    <x v="6"/>
    <s v="GNR_ST_MSW_CND_E-33"/>
    <x v="0"/>
    <x v="23"/>
    <n v="172.8"/>
    <n v="63072"/>
    <n v="227059.20000000001"/>
  </r>
  <r>
    <x v="0"/>
    <x v="0"/>
    <x v="0"/>
    <x v="3"/>
    <x v="7"/>
    <s v="DE4-W_A"/>
    <x v="14"/>
    <x v="6"/>
    <s v="GNR_ST_NUCL_CND_E-33"/>
    <x v="0"/>
    <x v="0"/>
    <n v="2696"/>
    <n v="984040"/>
    <n v="3542544"/>
  </r>
  <r>
    <x v="0"/>
    <x v="0"/>
    <x v="0"/>
    <x v="3"/>
    <x v="7"/>
    <s v="DE4-W_A"/>
    <x v="14"/>
    <x v="6"/>
    <s v="GNR_ST_NUCL_CND_E-33"/>
    <x v="0"/>
    <x v="1"/>
    <n v="2696"/>
    <n v="984040"/>
    <n v="3542544"/>
  </r>
  <r>
    <x v="0"/>
    <x v="0"/>
    <x v="0"/>
    <x v="3"/>
    <x v="7"/>
    <s v="DE4-W_A"/>
    <x v="14"/>
    <x v="6"/>
    <s v="GNR_ST_NUCL_CND_E-33"/>
    <x v="0"/>
    <x v="18"/>
    <n v="2696"/>
    <n v="984040"/>
    <n v="3542544"/>
  </r>
  <r>
    <x v="0"/>
    <x v="0"/>
    <x v="0"/>
    <x v="3"/>
    <x v="7"/>
    <s v="DE4-W_A"/>
    <x v="14"/>
    <x v="6"/>
    <s v="GNR_ST_NUCL_CND_E-33"/>
    <x v="0"/>
    <x v="2"/>
    <n v="2696"/>
    <n v="984040"/>
    <n v="3542544"/>
  </r>
  <r>
    <x v="0"/>
    <x v="0"/>
    <x v="0"/>
    <x v="3"/>
    <x v="7"/>
    <s v="DE4-W_A"/>
    <x v="14"/>
    <x v="6"/>
    <s v="GNR_ST_NUCL_CND_E-33"/>
    <x v="0"/>
    <x v="3"/>
    <n v="2696"/>
    <n v="984040"/>
    <n v="3542544"/>
  </r>
  <r>
    <x v="0"/>
    <x v="0"/>
    <x v="0"/>
    <x v="3"/>
    <x v="7"/>
    <s v="DE4-W_A"/>
    <x v="14"/>
    <x v="6"/>
    <s v="GNR_ST_NUCL_CND_E-33"/>
    <x v="0"/>
    <x v="4"/>
    <n v="2696"/>
    <n v="984040"/>
    <n v="3542544"/>
  </r>
  <r>
    <x v="0"/>
    <x v="0"/>
    <x v="0"/>
    <x v="3"/>
    <x v="7"/>
    <s v="DE4-W_A"/>
    <x v="14"/>
    <x v="6"/>
    <s v="GNR_ST_NUCL_CND_E-33"/>
    <x v="0"/>
    <x v="5"/>
    <n v="2696"/>
    <n v="984040"/>
    <n v="3542544"/>
  </r>
  <r>
    <x v="0"/>
    <x v="0"/>
    <x v="0"/>
    <x v="3"/>
    <x v="7"/>
    <s v="DE4-W_A"/>
    <x v="14"/>
    <x v="6"/>
    <s v="GNR_ST_NUCL_CND_E-33"/>
    <x v="0"/>
    <x v="6"/>
    <n v="2696"/>
    <n v="984040"/>
    <n v="3542544"/>
  </r>
  <r>
    <x v="0"/>
    <x v="0"/>
    <x v="0"/>
    <x v="3"/>
    <x v="7"/>
    <s v="DE4-W_A"/>
    <x v="14"/>
    <x v="6"/>
    <s v="GNR_ST_NUCL_CND_E-33"/>
    <x v="0"/>
    <x v="7"/>
    <n v="2696"/>
    <n v="984040"/>
    <n v="3542544"/>
  </r>
  <r>
    <x v="0"/>
    <x v="0"/>
    <x v="0"/>
    <x v="3"/>
    <x v="7"/>
    <s v="DE4-W_A"/>
    <x v="14"/>
    <x v="6"/>
    <s v="GNR_ST_NUCL_CND_E-33"/>
    <x v="0"/>
    <x v="8"/>
    <n v="2696"/>
    <n v="984040"/>
    <n v="3542544"/>
  </r>
  <r>
    <x v="0"/>
    <x v="0"/>
    <x v="0"/>
    <x v="3"/>
    <x v="7"/>
    <s v="DE4-W_A"/>
    <x v="14"/>
    <x v="6"/>
    <s v="GNR_ST_NUCL_CND_E-33"/>
    <x v="0"/>
    <x v="9"/>
    <n v="2696"/>
    <n v="984040"/>
    <n v="3542544"/>
  </r>
  <r>
    <x v="0"/>
    <x v="0"/>
    <x v="0"/>
    <x v="3"/>
    <x v="7"/>
    <s v="DE4-W_A"/>
    <x v="14"/>
    <x v="6"/>
    <s v="GNR_ST_NUCL_CND_E-33"/>
    <x v="0"/>
    <x v="10"/>
    <n v="2696"/>
    <n v="984040"/>
    <n v="3542544"/>
  </r>
  <r>
    <x v="0"/>
    <x v="0"/>
    <x v="0"/>
    <x v="3"/>
    <x v="7"/>
    <s v="DE4-W_A"/>
    <x v="14"/>
    <x v="6"/>
    <s v="GNR_ST_NUCL_CND_E-33"/>
    <x v="0"/>
    <x v="11"/>
    <n v="2696"/>
    <n v="984040"/>
    <n v="3542544"/>
  </r>
  <r>
    <x v="0"/>
    <x v="0"/>
    <x v="0"/>
    <x v="3"/>
    <x v="7"/>
    <s v="DE4-W_A"/>
    <x v="14"/>
    <x v="6"/>
    <s v="GNR_ST_NUCL_CND_E-33"/>
    <x v="0"/>
    <x v="12"/>
    <n v="2696"/>
    <n v="984040"/>
    <n v="3542544"/>
  </r>
  <r>
    <x v="0"/>
    <x v="0"/>
    <x v="0"/>
    <x v="3"/>
    <x v="7"/>
    <s v="DE4-W_A"/>
    <x v="14"/>
    <x v="6"/>
    <s v="GNR_ST_NUCL_CND_E-33"/>
    <x v="0"/>
    <x v="13"/>
    <n v="2696"/>
    <n v="984040"/>
    <n v="3542544"/>
  </r>
  <r>
    <x v="0"/>
    <x v="0"/>
    <x v="0"/>
    <x v="3"/>
    <x v="7"/>
    <s v="DE4-W_A"/>
    <x v="14"/>
    <x v="6"/>
    <s v="GNR_ST_NUCL_CND_E-33"/>
    <x v="0"/>
    <x v="14"/>
    <n v="2696"/>
    <n v="984040"/>
    <n v="3542544"/>
  </r>
  <r>
    <x v="0"/>
    <x v="0"/>
    <x v="0"/>
    <x v="3"/>
    <x v="7"/>
    <s v="DE4-W_A"/>
    <x v="14"/>
    <x v="6"/>
    <s v="GNR_ST_NUCL_CND_E-33"/>
    <x v="0"/>
    <x v="15"/>
    <n v="2696"/>
    <n v="984040"/>
    <n v="3542544"/>
  </r>
  <r>
    <x v="0"/>
    <x v="0"/>
    <x v="0"/>
    <x v="3"/>
    <x v="7"/>
    <s v="DE4-W_A"/>
    <x v="14"/>
    <x v="6"/>
    <s v="GNR_ST_NUCL_CND_E-33"/>
    <x v="0"/>
    <x v="16"/>
    <n v="2696"/>
    <n v="984040"/>
    <n v="3542544"/>
  </r>
  <r>
    <x v="0"/>
    <x v="0"/>
    <x v="0"/>
    <x v="3"/>
    <x v="7"/>
    <s v="DE4-W_A"/>
    <x v="14"/>
    <x v="6"/>
    <s v="GNR_ST_NUCL_CND_E-33"/>
    <x v="0"/>
    <x v="17"/>
    <n v="2696"/>
    <n v="984040"/>
    <n v="3542544"/>
  </r>
  <r>
    <x v="0"/>
    <x v="0"/>
    <x v="0"/>
    <x v="3"/>
    <x v="7"/>
    <s v="DE4-W_A"/>
    <x v="14"/>
    <x v="6"/>
    <s v="GNR_ST_NUCL_CND_E-33"/>
    <x v="0"/>
    <x v="19"/>
    <n v="2696"/>
    <n v="984040"/>
    <n v="3542544"/>
  </r>
  <r>
    <x v="0"/>
    <x v="0"/>
    <x v="0"/>
    <x v="3"/>
    <x v="7"/>
    <s v="DE4-W_A"/>
    <x v="14"/>
    <x v="6"/>
    <s v="GNR_ST_NUCL_CND_E-33"/>
    <x v="0"/>
    <x v="20"/>
    <n v="2696"/>
    <n v="984040"/>
    <n v="3542544"/>
  </r>
  <r>
    <x v="0"/>
    <x v="0"/>
    <x v="0"/>
    <x v="3"/>
    <x v="7"/>
    <s v="DE4-W_A"/>
    <x v="14"/>
    <x v="6"/>
    <s v="GNR_ST_NUCL_CND_E-33"/>
    <x v="0"/>
    <x v="21"/>
    <n v="2696"/>
    <n v="984040"/>
    <n v="3542544"/>
  </r>
  <r>
    <x v="0"/>
    <x v="0"/>
    <x v="0"/>
    <x v="3"/>
    <x v="7"/>
    <s v="DE4-W_A"/>
    <x v="14"/>
    <x v="6"/>
    <s v="GNR_ST_NUCL_CND_E-33"/>
    <x v="0"/>
    <x v="22"/>
    <n v="2696"/>
    <n v="984040"/>
    <n v="3542544"/>
  </r>
  <r>
    <x v="0"/>
    <x v="0"/>
    <x v="0"/>
    <x v="3"/>
    <x v="7"/>
    <s v="DE4-W_A"/>
    <x v="14"/>
    <x v="6"/>
    <s v="GNR_ST_NUCL_CND_E-33"/>
    <x v="0"/>
    <x v="23"/>
    <n v="2696"/>
    <n v="984040"/>
    <n v="3542544"/>
  </r>
  <r>
    <x v="0"/>
    <x v="0"/>
    <x v="0"/>
    <x v="3"/>
    <x v="7"/>
    <s v="DE4-W_A"/>
    <x v="5"/>
    <x v="3"/>
    <s v="GNR_PV_SUN"/>
    <x v="0"/>
    <x v="7"/>
    <n v="214.82182741120599"/>
    <n v="78409.967005090104"/>
    <n v="282275.88121832401"/>
  </r>
  <r>
    <x v="0"/>
    <x v="0"/>
    <x v="0"/>
    <x v="3"/>
    <x v="7"/>
    <s v="DE4-W_A"/>
    <x v="5"/>
    <x v="3"/>
    <s v="GNR_PV_SUN"/>
    <x v="0"/>
    <x v="8"/>
    <n v="1617.2227827674401"/>
    <n v="590286.31571011397"/>
    <n v="2125030.7365564099"/>
  </r>
  <r>
    <x v="0"/>
    <x v="0"/>
    <x v="0"/>
    <x v="3"/>
    <x v="7"/>
    <s v="DE4-W_A"/>
    <x v="5"/>
    <x v="3"/>
    <s v="GNR_PV_SUN"/>
    <x v="0"/>
    <x v="9"/>
    <n v="3735.6964961610201"/>
    <n v="1363529.2210987699"/>
    <n v="4908705.1959555801"/>
  </r>
  <r>
    <x v="0"/>
    <x v="0"/>
    <x v="0"/>
    <x v="3"/>
    <x v="7"/>
    <s v="DE4-W_A"/>
    <x v="5"/>
    <x v="3"/>
    <s v="GNR_PV_SUN"/>
    <x v="0"/>
    <x v="10"/>
    <n v="5688.9226500075201"/>
    <n v="2076456.76725274"/>
    <n v="7475244.36210988"/>
  </r>
  <r>
    <x v="0"/>
    <x v="0"/>
    <x v="0"/>
    <x v="3"/>
    <x v="7"/>
    <s v="DE4-W_A"/>
    <x v="5"/>
    <x v="3"/>
    <s v="GNR_PV_SUN"/>
    <x v="0"/>
    <x v="11"/>
    <n v="6467.78948067276"/>
    <n v="2360743.1604455598"/>
    <n v="8498675.3776040096"/>
  </r>
  <r>
    <x v="0"/>
    <x v="0"/>
    <x v="0"/>
    <x v="3"/>
    <x v="7"/>
    <s v="DE4-W_A"/>
    <x v="5"/>
    <x v="3"/>
    <s v="GNR_PV_SUN"/>
    <x v="0"/>
    <x v="12"/>
    <n v="5623.92527658567"/>
    <n v="2052732.7259537701"/>
    <n v="7389837.8134335699"/>
  </r>
  <r>
    <x v="0"/>
    <x v="0"/>
    <x v="0"/>
    <x v="3"/>
    <x v="7"/>
    <s v="DE4-W_A"/>
    <x v="5"/>
    <x v="3"/>
    <s v="GNR_PV_SUN"/>
    <x v="0"/>
    <x v="13"/>
    <n v="3659.68261876936"/>
    <n v="1335784.15585082"/>
    <n v="4808822.9610629398"/>
  </r>
  <r>
    <x v="0"/>
    <x v="0"/>
    <x v="0"/>
    <x v="3"/>
    <x v="7"/>
    <s v="DE4-W_A"/>
    <x v="5"/>
    <x v="3"/>
    <s v="GNR_PV_SUN"/>
    <x v="0"/>
    <x v="14"/>
    <n v="1852.9759677212701"/>
    <n v="676336.22821826395"/>
    <n v="2434810.4215857498"/>
  </r>
  <r>
    <x v="0"/>
    <x v="0"/>
    <x v="0"/>
    <x v="3"/>
    <x v="7"/>
    <s v="DE4-W_A"/>
    <x v="5"/>
    <x v="3"/>
    <s v="GNR_PV_SUN"/>
    <x v="0"/>
    <x v="15"/>
    <n v="241.261436938739"/>
    <n v="88060.424482639603"/>
    <n v="317017.52813750302"/>
  </r>
  <r>
    <x v="0"/>
    <x v="0"/>
    <x v="0"/>
    <x v="3"/>
    <x v="7"/>
    <s v="DE4-W_A"/>
    <x v="6"/>
    <x v="4"/>
    <s v="GNR_ROR_WTR"/>
    <x v="0"/>
    <x v="0"/>
    <n v="198.90753424657501"/>
    <n v="72601.25"/>
    <n v="261364.5"/>
  </r>
  <r>
    <x v="0"/>
    <x v="0"/>
    <x v="0"/>
    <x v="3"/>
    <x v="7"/>
    <s v="DE4-W_A"/>
    <x v="6"/>
    <x v="4"/>
    <s v="GNR_ROR_WTR"/>
    <x v="0"/>
    <x v="1"/>
    <n v="198.90753424657501"/>
    <n v="72601.25"/>
    <n v="261364.5"/>
  </r>
  <r>
    <x v="0"/>
    <x v="0"/>
    <x v="0"/>
    <x v="3"/>
    <x v="7"/>
    <s v="DE4-W_A"/>
    <x v="6"/>
    <x v="4"/>
    <s v="GNR_ROR_WTR"/>
    <x v="0"/>
    <x v="18"/>
    <n v="198.90753424657501"/>
    <n v="72601.25"/>
    <n v="261364.5"/>
  </r>
  <r>
    <x v="0"/>
    <x v="0"/>
    <x v="0"/>
    <x v="3"/>
    <x v="7"/>
    <s v="DE4-W_A"/>
    <x v="6"/>
    <x v="4"/>
    <s v="GNR_ROR_WTR"/>
    <x v="0"/>
    <x v="2"/>
    <n v="198.90753424657501"/>
    <n v="72601.25"/>
    <n v="261364.5"/>
  </r>
  <r>
    <x v="0"/>
    <x v="0"/>
    <x v="0"/>
    <x v="3"/>
    <x v="7"/>
    <s v="DE4-W_A"/>
    <x v="6"/>
    <x v="4"/>
    <s v="GNR_ROR_WTR"/>
    <x v="0"/>
    <x v="3"/>
    <n v="198.90753424657501"/>
    <n v="72601.25"/>
    <n v="261364.5"/>
  </r>
  <r>
    <x v="0"/>
    <x v="0"/>
    <x v="0"/>
    <x v="3"/>
    <x v="7"/>
    <s v="DE4-W_A"/>
    <x v="6"/>
    <x v="4"/>
    <s v="GNR_ROR_WTR"/>
    <x v="0"/>
    <x v="4"/>
    <n v="198.90753424657501"/>
    <n v="72601.25"/>
    <n v="261364.5"/>
  </r>
  <r>
    <x v="0"/>
    <x v="0"/>
    <x v="0"/>
    <x v="3"/>
    <x v="7"/>
    <s v="DE4-W_A"/>
    <x v="6"/>
    <x v="4"/>
    <s v="GNR_ROR_WTR"/>
    <x v="0"/>
    <x v="5"/>
    <n v="198.90753424657501"/>
    <n v="72601.25"/>
    <n v="261364.5"/>
  </r>
  <r>
    <x v="0"/>
    <x v="0"/>
    <x v="0"/>
    <x v="3"/>
    <x v="7"/>
    <s v="DE4-W_A"/>
    <x v="6"/>
    <x v="4"/>
    <s v="GNR_ROR_WTR"/>
    <x v="0"/>
    <x v="6"/>
    <n v="198.90753424657501"/>
    <n v="72601.25"/>
    <n v="261364.5"/>
  </r>
  <r>
    <x v="0"/>
    <x v="0"/>
    <x v="0"/>
    <x v="3"/>
    <x v="7"/>
    <s v="DE4-W_A"/>
    <x v="6"/>
    <x v="4"/>
    <s v="GNR_ROR_WTR"/>
    <x v="0"/>
    <x v="7"/>
    <n v="198.90753424657501"/>
    <n v="72601.25"/>
    <n v="261364.5"/>
  </r>
  <r>
    <x v="0"/>
    <x v="0"/>
    <x v="0"/>
    <x v="3"/>
    <x v="7"/>
    <s v="DE4-W_A"/>
    <x v="6"/>
    <x v="4"/>
    <s v="GNR_ROR_WTR"/>
    <x v="0"/>
    <x v="8"/>
    <n v="198.90753424657501"/>
    <n v="72601.25"/>
    <n v="261364.5"/>
  </r>
  <r>
    <x v="0"/>
    <x v="0"/>
    <x v="0"/>
    <x v="3"/>
    <x v="7"/>
    <s v="DE4-W_A"/>
    <x v="6"/>
    <x v="4"/>
    <s v="GNR_ROR_WTR"/>
    <x v="0"/>
    <x v="9"/>
    <n v="198.90753424657501"/>
    <n v="72601.25"/>
    <n v="261364.5"/>
  </r>
  <r>
    <x v="0"/>
    <x v="0"/>
    <x v="0"/>
    <x v="3"/>
    <x v="7"/>
    <s v="DE4-W_A"/>
    <x v="6"/>
    <x v="4"/>
    <s v="GNR_ROR_WTR"/>
    <x v="0"/>
    <x v="10"/>
    <n v="198.90753424657501"/>
    <n v="72601.25"/>
    <n v="261364.5"/>
  </r>
  <r>
    <x v="0"/>
    <x v="0"/>
    <x v="0"/>
    <x v="3"/>
    <x v="7"/>
    <s v="DE4-W_A"/>
    <x v="6"/>
    <x v="4"/>
    <s v="GNR_ROR_WTR"/>
    <x v="0"/>
    <x v="11"/>
    <n v="198.90753424657501"/>
    <n v="72601.25"/>
    <n v="261364.5"/>
  </r>
  <r>
    <x v="0"/>
    <x v="0"/>
    <x v="0"/>
    <x v="3"/>
    <x v="7"/>
    <s v="DE4-W_A"/>
    <x v="6"/>
    <x v="4"/>
    <s v="GNR_ROR_WTR"/>
    <x v="0"/>
    <x v="12"/>
    <n v="198.90753424657501"/>
    <n v="72601.25"/>
    <n v="261364.5"/>
  </r>
  <r>
    <x v="0"/>
    <x v="0"/>
    <x v="0"/>
    <x v="3"/>
    <x v="7"/>
    <s v="DE4-W_A"/>
    <x v="6"/>
    <x v="4"/>
    <s v="GNR_ROR_WTR"/>
    <x v="0"/>
    <x v="13"/>
    <n v="198.90753424657501"/>
    <n v="72601.25"/>
    <n v="261364.5"/>
  </r>
  <r>
    <x v="0"/>
    <x v="0"/>
    <x v="0"/>
    <x v="3"/>
    <x v="7"/>
    <s v="DE4-W_A"/>
    <x v="6"/>
    <x v="4"/>
    <s v="GNR_ROR_WTR"/>
    <x v="0"/>
    <x v="14"/>
    <n v="198.90753424657501"/>
    <n v="72601.25"/>
    <n v="261364.5"/>
  </r>
  <r>
    <x v="0"/>
    <x v="0"/>
    <x v="0"/>
    <x v="3"/>
    <x v="7"/>
    <s v="DE4-W_A"/>
    <x v="6"/>
    <x v="4"/>
    <s v="GNR_ROR_WTR"/>
    <x v="0"/>
    <x v="15"/>
    <n v="198.90753424657501"/>
    <n v="72601.25"/>
    <n v="261364.5"/>
  </r>
  <r>
    <x v="0"/>
    <x v="0"/>
    <x v="0"/>
    <x v="3"/>
    <x v="7"/>
    <s v="DE4-W_A"/>
    <x v="6"/>
    <x v="4"/>
    <s v="GNR_ROR_WTR"/>
    <x v="0"/>
    <x v="16"/>
    <n v="198.90753424657501"/>
    <n v="72601.25"/>
    <n v="261364.5"/>
  </r>
  <r>
    <x v="0"/>
    <x v="0"/>
    <x v="0"/>
    <x v="3"/>
    <x v="7"/>
    <s v="DE4-W_A"/>
    <x v="6"/>
    <x v="4"/>
    <s v="GNR_ROR_WTR"/>
    <x v="0"/>
    <x v="17"/>
    <n v="198.90753424657501"/>
    <n v="72601.25"/>
    <n v="261364.5"/>
  </r>
  <r>
    <x v="0"/>
    <x v="0"/>
    <x v="0"/>
    <x v="3"/>
    <x v="7"/>
    <s v="DE4-W_A"/>
    <x v="6"/>
    <x v="4"/>
    <s v="GNR_ROR_WTR"/>
    <x v="0"/>
    <x v="19"/>
    <n v="198.90753424657501"/>
    <n v="72601.25"/>
    <n v="261364.5"/>
  </r>
  <r>
    <x v="0"/>
    <x v="0"/>
    <x v="0"/>
    <x v="3"/>
    <x v="7"/>
    <s v="DE4-W_A"/>
    <x v="6"/>
    <x v="4"/>
    <s v="GNR_ROR_WTR"/>
    <x v="0"/>
    <x v="20"/>
    <n v="198.90753424657501"/>
    <n v="72601.25"/>
    <n v="261364.5"/>
  </r>
  <r>
    <x v="0"/>
    <x v="0"/>
    <x v="0"/>
    <x v="3"/>
    <x v="7"/>
    <s v="DE4-W_A"/>
    <x v="6"/>
    <x v="4"/>
    <s v="GNR_ROR_WTR"/>
    <x v="0"/>
    <x v="21"/>
    <n v="198.90753424657501"/>
    <n v="72601.25"/>
    <n v="261364.5"/>
  </r>
  <r>
    <x v="0"/>
    <x v="0"/>
    <x v="0"/>
    <x v="3"/>
    <x v="7"/>
    <s v="DE4-W_A"/>
    <x v="6"/>
    <x v="4"/>
    <s v="GNR_ROR_WTR"/>
    <x v="0"/>
    <x v="22"/>
    <n v="198.90753424657501"/>
    <n v="72601.25"/>
    <n v="261364.5"/>
  </r>
  <r>
    <x v="0"/>
    <x v="0"/>
    <x v="0"/>
    <x v="3"/>
    <x v="7"/>
    <s v="DE4-W_A"/>
    <x v="6"/>
    <x v="4"/>
    <s v="GNR_ROR_WTR"/>
    <x v="0"/>
    <x v="23"/>
    <n v="198.90753424657501"/>
    <n v="72601.25"/>
    <n v="261364.5"/>
  </r>
  <r>
    <x v="0"/>
    <x v="0"/>
    <x v="0"/>
    <x v="3"/>
    <x v="7"/>
    <s v="DE4-W_A"/>
    <x v="7"/>
    <x v="5"/>
    <s v="GNR_WT_WIND_ONS"/>
    <x v="0"/>
    <x v="0"/>
    <n v="2767.70001359974"/>
    <n v="1010210.5049639"/>
    <n v="3636757.8178700502"/>
  </r>
  <r>
    <x v="0"/>
    <x v="0"/>
    <x v="0"/>
    <x v="3"/>
    <x v="7"/>
    <s v="DE4-W_A"/>
    <x v="7"/>
    <x v="5"/>
    <s v="GNR_WT_WIND_ONS"/>
    <x v="0"/>
    <x v="1"/>
    <n v="2678.0034735968702"/>
    <n v="977471.26786285802"/>
    <n v="3518896.5643062899"/>
  </r>
  <r>
    <x v="0"/>
    <x v="0"/>
    <x v="0"/>
    <x v="3"/>
    <x v="7"/>
    <s v="DE4-W_A"/>
    <x v="7"/>
    <x v="5"/>
    <s v="GNR_WT_WIND_ONS"/>
    <x v="0"/>
    <x v="18"/>
    <n v="2601.5680236971002"/>
    <n v="949572.32864943997"/>
    <n v="3418460.3831379898"/>
  </r>
  <r>
    <x v="0"/>
    <x v="0"/>
    <x v="0"/>
    <x v="3"/>
    <x v="7"/>
    <s v="DE4-W_A"/>
    <x v="7"/>
    <x v="5"/>
    <s v="GNR_WT_WIND_ONS"/>
    <x v="0"/>
    <x v="2"/>
    <n v="2470.4305771220702"/>
    <n v="901707.16064955399"/>
    <n v="3246145.7783383899"/>
  </r>
  <r>
    <x v="0"/>
    <x v="0"/>
    <x v="0"/>
    <x v="3"/>
    <x v="7"/>
    <s v="DE4-W_A"/>
    <x v="7"/>
    <x v="5"/>
    <s v="GNR_WT_WIND_ONS"/>
    <x v="0"/>
    <x v="3"/>
    <n v="2250.3333177721202"/>
    <n v="821371.66098682198"/>
    <n v="2956937.97955256"/>
  </r>
  <r>
    <x v="0"/>
    <x v="0"/>
    <x v="0"/>
    <x v="3"/>
    <x v="7"/>
    <s v="DE4-W_A"/>
    <x v="7"/>
    <x v="5"/>
    <s v="GNR_WT_WIND_ONS"/>
    <x v="0"/>
    <x v="4"/>
    <n v="2053.4429661025802"/>
    <n v="749506.68262744194"/>
    <n v="2698224.05745879"/>
  </r>
  <r>
    <x v="0"/>
    <x v="0"/>
    <x v="0"/>
    <x v="3"/>
    <x v="7"/>
    <s v="DE4-W_A"/>
    <x v="7"/>
    <x v="5"/>
    <s v="GNR_WT_WIND_ONS"/>
    <x v="0"/>
    <x v="5"/>
    <n v="1692.63080621425"/>
    <n v="617810.24426820199"/>
    <n v="2224116.8793655299"/>
  </r>
  <r>
    <x v="0"/>
    <x v="0"/>
    <x v="0"/>
    <x v="3"/>
    <x v="7"/>
    <s v="DE4-W_A"/>
    <x v="7"/>
    <x v="5"/>
    <s v="GNR_WT_WIND_ONS"/>
    <x v="0"/>
    <x v="6"/>
    <n v="1636.82371869707"/>
    <n v="597440.65732442995"/>
    <n v="2150786.3663679501"/>
  </r>
  <r>
    <x v="0"/>
    <x v="0"/>
    <x v="0"/>
    <x v="3"/>
    <x v="7"/>
    <s v="DE4-W_A"/>
    <x v="7"/>
    <x v="5"/>
    <s v="GNR_WT_WIND_ONS"/>
    <x v="0"/>
    <x v="7"/>
    <n v="1759.6729839576701"/>
    <n v="642280.63914454903"/>
    <n v="2312210.3009203798"/>
  </r>
  <r>
    <x v="0"/>
    <x v="0"/>
    <x v="0"/>
    <x v="3"/>
    <x v="7"/>
    <s v="DE4-W_A"/>
    <x v="7"/>
    <x v="5"/>
    <s v="GNR_WT_WIND_ONS"/>
    <x v="0"/>
    <x v="8"/>
    <n v="1897.9935210052099"/>
    <n v="692767.63516690198"/>
    <n v="2493963.4866008498"/>
  </r>
  <r>
    <x v="0"/>
    <x v="0"/>
    <x v="0"/>
    <x v="3"/>
    <x v="7"/>
    <s v="DE4-W_A"/>
    <x v="7"/>
    <x v="5"/>
    <s v="GNR_WT_WIND_ONS"/>
    <x v="0"/>
    <x v="9"/>
    <n v="2189.92168508025"/>
    <n v="799321.41505428997"/>
    <n v="2877557.0941954399"/>
  </r>
  <r>
    <x v="0"/>
    <x v="0"/>
    <x v="0"/>
    <x v="3"/>
    <x v="7"/>
    <s v="DE4-W_A"/>
    <x v="7"/>
    <x v="5"/>
    <s v="GNR_WT_WIND_ONS"/>
    <x v="0"/>
    <x v="10"/>
    <n v="2412.4133079210301"/>
    <n v="880530.85739117698"/>
    <n v="3169911.0866082399"/>
  </r>
  <r>
    <x v="0"/>
    <x v="0"/>
    <x v="0"/>
    <x v="3"/>
    <x v="7"/>
    <s v="DE4-W_A"/>
    <x v="7"/>
    <x v="5"/>
    <s v="GNR_WT_WIND_ONS"/>
    <x v="0"/>
    <x v="11"/>
    <n v="2968.6423650229999"/>
    <n v="1083554.4632333899"/>
    <n v="3900796.0676402198"/>
  </r>
  <r>
    <x v="0"/>
    <x v="0"/>
    <x v="0"/>
    <x v="3"/>
    <x v="7"/>
    <s v="DE4-W_A"/>
    <x v="7"/>
    <x v="5"/>
    <s v="GNR_WT_WIND_ONS"/>
    <x v="0"/>
    <x v="12"/>
    <n v="3469.06433460778"/>
    <n v="1266208.48213184"/>
    <n v="4558350.5356746204"/>
  </r>
  <r>
    <x v="0"/>
    <x v="0"/>
    <x v="0"/>
    <x v="3"/>
    <x v="7"/>
    <s v="DE4-W_A"/>
    <x v="7"/>
    <x v="5"/>
    <s v="GNR_WT_WIND_ONS"/>
    <x v="0"/>
    <x v="13"/>
    <n v="4039.2912090407799"/>
    <n v="1474341.29129989"/>
    <n v="5307628.6486795899"/>
  </r>
  <r>
    <x v="0"/>
    <x v="0"/>
    <x v="0"/>
    <x v="3"/>
    <x v="7"/>
    <s v="DE4-W_A"/>
    <x v="7"/>
    <x v="5"/>
    <s v="GNR_WT_WIND_ONS"/>
    <x v="0"/>
    <x v="14"/>
    <n v="4602.1508111942903"/>
    <n v="1679785.04608592"/>
    <n v="6047226.1659092996"/>
  </r>
  <r>
    <x v="0"/>
    <x v="0"/>
    <x v="0"/>
    <x v="3"/>
    <x v="7"/>
    <s v="DE4-W_A"/>
    <x v="7"/>
    <x v="5"/>
    <s v="GNR_WT_WIND_ONS"/>
    <x v="0"/>
    <x v="15"/>
    <n v="5353.6125837029003"/>
    <n v="1954068.59305156"/>
    <n v="7034646.93498562"/>
  </r>
  <r>
    <x v="0"/>
    <x v="0"/>
    <x v="0"/>
    <x v="3"/>
    <x v="7"/>
    <s v="DE4-W_A"/>
    <x v="7"/>
    <x v="5"/>
    <s v="GNR_WT_WIND_ONS"/>
    <x v="0"/>
    <x v="16"/>
    <n v="6040.0581783449597"/>
    <n v="2204621.2350959098"/>
    <n v="7936636.4463452799"/>
  </r>
  <r>
    <x v="0"/>
    <x v="0"/>
    <x v="0"/>
    <x v="3"/>
    <x v="7"/>
    <s v="DE4-W_A"/>
    <x v="7"/>
    <x v="5"/>
    <s v="GNR_WT_WIND_ONS"/>
    <x v="0"/>
    <x v="17"/>
    <n v="6775.6803154526597"/>
    <n v="2473123.3151402199"/>
    <n v="8903243.9345047995"/>
  </r>
  <r>
    <x v="0"/>
    <x v="0"/>
    <x v="0"/>
    <x v="3"/>
    <x v="7"/>
    <s v="DE4-W_A"/>
    <x v="7"/>
    <x v="5"/>
    <s v="GNR_WT_WIND_ONS"/>
    <x v="0"/>
    <x v="19"/>
    <n v="7514.9860887000996"/>
    <n v="2742969.9223755398"/>
    <n v="9874691.7205519397"/>
  </r>
  <r>
    <x v="0"/>
    <x v="0"/>
    <x v="0"/>
    <x v="3"/>
    <x v="7"/>
    <s v="DE4-W_A"/>
    <x v="7"/>
    <x v="5"/>
    <s v="GNR_WT_WIND_ONS"/>
    <x v="0"/>
    <x v="20"/>
    <n v="8146.3613230529299"/>
    <n v="2973421.8829143201"/>
    <n v="10704318.778491501"/>
  </r>
  <r>
    <x v="0"/>
    <x v="0"/>
    <x v="0"/>
    <x v="3"/>
    <x v="7"/>
    <s v="DE4-W_A"/>
    <x v="7"/>
    <x v="5"/>
    <s v="GNR_WT_WIND_ONS"/>
    <x v="0"/>
    <x v="21"/>
    <n v="8840.9109172024291"/>
    <n v="3226932.4847788899"/>
    <n v="11616956.945204001"/>
  </r>
  <r>
    <x v="0"/>
    <x v="0"/>
    <x v="0"/>
    <x v="3"/>
    <x v="7"/>
    <s v="DE4-W_A"/>
    <x v="7"/>
    <x v="5"/>
    <s v="GNR_WT_WIND_ONS"/>
    <x v="0"/>
    <x v="22"/>
    <n v="9717.4321366554905"/>
    <n v="3546862.7298792601"/>
    <n v="12768705.827565299"/>
  </r>
  <r>
    <x v="0"/>
    <x v="0"/>
    <x v="0"/>
    <x v="3"/>
    <x v="7"/>
    <s v="DE4-W_A"/>
    <x v="7"/>
    <x v="5"/>
    <s v="GNR_WT_WIND_ONS"/>
    <x v="0"/>
    <x v="23"/>
    <n v="10289.1324655444"/>
    <n v="3755533.3499237099"/>
    <n v="13519920.059725299"/>
  </r>
  <r>
    <x v="0"/>
    <x v="0"/>
    <x v="0"/>
    <x v="3"/>
    <x v="7"/>
    <s v="DE4-W_Offshore_A"/>
    <x v="7"/>
    <x v="5"/>
    <s v="GNR_WT_WIND_OFF"/>
    <x v="0"/>
    <x v="0"/>
    <n v="36.174357536637203"/>
    <n v="13203.6405008726"/>
    <n v="47533.105803141203"/>
  </r>
  <r>
    <x v="0"/>
    <x v="0"/>
    <x v="0"/>
    <x v="3"/>
    <x v="7"/>
    <s v="DE4-W_Offshore_A"/>
    <x v="7"/>
    <x v="5"/>
    <s v="GNR_WT_WIND_OFF"/>
    <x v="0"/>
    <x v="1"/>
    <n v="35.002006959652903"/>
    <n v="12775.7325402733"/>
    <n v="45992.637144983899"/>
  </r>
  <r>
    <x v="0"/>
    <x v="0"/>
    <x v="0"/>
    <x v="3"/>
    <x v="7"/>
    <s v="DE4-W_Offshore_A"/>
    <x v="7"/>
    <x v="5"/>
    <s v="GNR_WT_WIND_OFF"/>
    <x v="0"/>
    <x v="18"/>
    <n v="34.002981313968199"/>
    <n v="12411.088179598401"/>
    <n v="44679.917446554202"/>
  </r>
  <r>
    <x v="0"/>
    <x v="0"/>
    <x v="0"/>
    <x v="3"/>
    <x v="7"/>
    <s v="DE4-W_Offshore_A"/>
    <x v="7"/>
    <x v="5"/>
    <s v="GNR_WT_WIND_OFF"/>
    <x v="0"/>
    <x v="2"/>
    <n v="32.288990326672902"/>
    <n v="11785.481469235599"/>
    <n v="42427.733289248303"/>
  </r>
  <r>
    <x v="0"/>
    <x v="0"/>
    <x v="0"/>
    <x v="3"/>
    <x v="7"/>
    <s v="DE4-W_Offshore_A"/>
    <x v="7"/>
    <x v="5"/>
    <s v="GNR_WT_WIND_OFF"/>
    <x v="0"/>
    <x v="3"/>
    <n v="29.412277925243401"/>
    <n v="10735.481442713801"/>
    <n v="38647.733193769898"/>
  </r>
  <r>
    <x v="0"/>
    <x v="0"/>
    <x v="0"/>
    <x v="3"/>
    <x v="7"/>
    <s v="DE4-W_Offshore_A"/>
    <x v="7"/>
    <x v="5"/>
    <s v="GNR_WT_WIND_OFF"/>
    <x v="0"/>
    <x v="4"/>
    <n v="26.838884153588101"/>
    <n v="9796.1927160596406"/>
    <n v="35266.293777814702"/>
  </r>
  <r>
    <x v="0"/>
    <x v="0"/>
    <x v="0"/>
    <x v="3"/>
    <x v="7"/>
    <s v="DE4-W_Offshore_A"/>
    <x v="7"/>
    <x v="5"/>
    <s v="GNR_WT_WIND_OFF"/>
    <x v="0"/>
    <x v="5"/>
    <n v="22.123001647813599"/>
    <n v="8074.8956014519799"/>
    <n v="29069.624165227098"/>
  </r>
  <r>
    <x v="0"/>
    <x v="0"/>
    <x v="0"/>
    <x v="3"/>
    <x v="7"/>
    <s v="DE4-W_Offshore_A"/>
    <x v="7"/>
    <x v="5"/>
    <s v="GNR_WT_WIND_OFF"/>
    <x v="0"/>
    <x v="6"/>
    <n v="21.393592561928202"/>
    <n v="7808.6612851037798"/>
    <n v="28111.1806263736"/>
  </r>
  <r>
    <x v="0"/>
    <x v="0"/>
    <x v="0"/>
    <x v="3"/>
    <x v="7"/>
    <s v="DE4-W_Offshore_A"/>
    <x v="7"/>
    <x v="5"/>
    <s v="GNR_WT_WIND_OFF"/>
    <x v="0"/>
    <x v="7"/>
    <n v="22.999255467161198"/>
    <n v="8394.7282455138393"/>
    <n v="30221.021683849802"/>
  </r>
  <r>
    <x v="0"/>
    <x v="0"/>
    <x v="0"/>
    <x v="3"/>
    <x v="7"/>
    <s v="DE4-W_Offshore_A"/>
    <x v="7"/>
    <x v="5"/>
    <s v="GNR_WT_WIND_OFF"/>
    <x v="0"/>
    <x v="8"/>
    <n v="24.807130792243701"/>
    <n v="9054.6027391689495"/>
    <n v="32596.5698610082"/>
  </r>
  <r>
    <x v="0"/>
    <x v="0"/>
    <x v="0"/>
    <x v="3"/>
    <x v="7"/>
    <s v="DE4-W_Offshore_A"/>
    <x v="7"/>
    <x v="5"/>
    <s v="GNR_WT_WIND_OFF"/>
    <x v="0"/>
    <x v="9"/>
    <n v="28.6226865715456"/>
    <n v="10447.280598614099"/>
    <n v="37610.2101550109"/>
  </r>
  <r>
    <x v="0"/>
    <x v="0"/>
    <x v="0"/>
    <x v="3"/>
    <x v="7"/>
    <s v="DE4-W_Offshore_A"/>
    <x v="7"/>
    <x v="5"/>
    <s v="GNR_WT_WIND_OFF"/>
    <x v="0"/>
    <x v="10"/>
    <n v="31.5306937522375"/>
    <n v="11508.7032195667"/>
    <n v="41431.331590440102"/>
  </r>
  <r>
    <x v="0"/>
    <x v="0"/>
    <x v="0"/>
    <x v="3"/>
    <x v="7"/>
    <s v="DE4-W_Offshore_A"/>
    <x v="7"/>
    <x v="5"/>
    <s v="GNR_WT_WIND_OFF"/>
    <x v="0"/>
    <x v="11"/>
    <n v="38.800711703967401"/>
    <n v="14162.2597719481"/>
    <n v="50984.135179013101"/>
  </r>
  <r>
    <x v="0"/>
    <x v="0"/>
    <x v="0"/>
    <x v="3"/>
    <x v="7"/>
    <s v="DE4-W_Offshore_A"/>
    <x v="7"/>
    <x v="5"/>
    <s v="GNR_WT_WIND_OFF"/>
    <x v="0"/>
    <x v="12"/>
    <n v="45.3413205698117"/>
    <n v="16549.582007981298"/>
    <n v="59578.495228732601"/>
  </r>
  <r>
    <x v="0"/>
    <x v="0"/>
    <x v="0"/>
    <x v="3"/>
    <x v="7"/>
    <s v="DE4-W_Offshore_A"/>
    <x v="7"/>
    <x v="5"/>
    <s v="GNR_WT_WIND_OFF"/>
    <x v="0"/>
    <x v="13"/>
    <n v="52.794292615691099"/>
    <n v="19269.9168047272"/>
    <n v="69371.700497018101"/>
  </r>
  <r>
    <x v="0"/>
    <x v="0"/>
    <x v="0"/>
    <x v="3"/>
    <x v="7"/>
    <s v="DE4-W_Offshore_A"/>
    <x v="7"/>
    <x v="5"/>
    <s v="GNR_WT_WIND_OFF"/>
    <x v="0"/>
    <x v="14"/>
    <n v="60.150973033070699"/>
    <n v="21955.1051570708"/>
    <n v="79038.378565454899"/>
  </r>
  <r>
    <x v="0"/>
    <x v="0"/>
    <x v="0"/>
    <x v="3"/>
    <x v="7"/>
    <s v="DE4-W_Offshore_A"/>
    <x v="7"/>
    <x v="5"/>
    <s v="GNR_WT_WIND_OFF"/>
    <x v="0"/>
    <x v="15"/>
    <n v="69.972719140043395"/>
    <n v="25540.042486115799"/>
    <n v="91944.152950017102"/>
  </r>
  <r>
    <x v="0"/>
    <x v="0"/>
    <x v="0"/>
    <x v="3"/>
    <x v="7"/>
    <s v="DE4-W_Offshore_A"/>
    <x v="7"/>
    <x v="5"/>
    <s v="GNR_WT_WIND_OFF"/>
    <x v="0"/>
    <x v="16"/>
    <n v="78.944691625505996"/>
    <n v="28814.8124433097"/>
    <n v="103733.324795915"/>
  </r>
  <r>
    <x v="0"/>
    <x v="0"/>
    <x v="0"/>
    <x v="3"/>
    <x v="7"/>
    <s v="DE4-W_Offshore_A"/>
    <x v="7"/>
    <x v="5"/>
    <s v="GNR_WT_WIND_OFF"/>
    <x v="0"/>
    <x v="17"/>
    <n v="88.559410731204395"/>
    <n v="32324.184916889601"/>
    <n v="116367.065700803"/>
  </r>
  <r>
    <x v="0"/>
    <x v="0"/>
    <x v="0"/>
    <x v="3"/>
    <x v="7"/>
    <s v="DE4-W_Offshore_A"/>
    <x v="7"/>
    <x v="5"/>
    <s v="GNR_WT_WIND_OFF"/>
    <x v="0"/>
    <x v="19"/>
    <n v="98.2222756511526"/>
    <n v="35851.130612670699"/>
    <n v="129064.070205614"/>
  </r>
  <r>
    <x v="0"/>
    <x v="0"/>
    <x v="0"/>
    <x v="3"/>
    <x v="7"/>
    <s v="DE4-W_Offshore_A"/>
    <x v="7"/>
    <x v="5"/>
    <s v="GNR_WT_WIND_OFF"/>
    <x v="0"/>
    <x v="20"/>
    <n v="106.47446821358"/>
    <n v="38863.180897956598"/>
    <n v="139907.451232644"/>
  </r>
  <r>
    <x v="0"/>
    <x v="0"/>
    <x v="0"/>
    <x v="3"/>
    <x v="7"/>
    <s v="DE4-W_Offshore_A"/>
    <x v="7"/>
    <x v="5"/>
    <s v="GNR_WT_WIND_OFF"/>
    <x v="0"/>
    <x v="21"/>
    <n v="115.552361490392"/>
    <n v="42176.611943993099"/>
    <n v="151835.802998375"/>
  </r>
  <r>
    <x v="0"/>
    <x v="0"/>
    <x v="0"/>
    <x v="3"/>
    <x v="7"/>
    <s v="DE4-W_Offshore_A"/>
    <x v="7"/>
    <x v="5"/>
    <s v="GNR_WT_WIND_OFF"/>
    <x v="0"/>
    <x v="22"/>
    <n v="127.008657991148"/>
    <n v="46358.160166768903"/>
    <n v="166889.37660036801"/>
  </r>
  <r>
    <x v="0"/>
    <x v="0"/>
    <x v="0"/>
    <x v="3"/>
    <x v="7"/>
    <s v="DE4-W_Offshore_A"/>
    <x v="7"/>
    <x v="5"/>
    <s v="GNR_WT_WIND_OFF"/>
    <x v="0"/>
    <x v="23"/>
    <n v="134.480888362727"/>
    <n v="49085.5242523954"/>
    <n v="176707.887308623"/>
  </r>
  <r>
    <x v="0"/>
    <x v="0"/>
    <x v="0"/>
    <x v="4"/>
    <x v="8"/>
    <s v="LV_RigaR"/>
    <x v="8"/>
    <x v="0"/>
    <s v="RIGA-TEC2_CC_NGAS_EXT"/>
    <x v="0"/>
    <x v="6"/>
    <n v="84.342588552330099"/>
    <n v="30785.044821600499"/>
    <n v="110826.161357762"/>
  </r>
  <r>
    <x v="0"/>
    <x v="0"/>
    <x v="0"/>
    <x v="4"/>
    <x v="8"/>
    <s v="LV_RigaR"/>
    <x v="8"/>
    <x v="0"/>
    <s v="RIGA-TEC2_CC_NGAS_EXT"/>
    <x v="0"/>
    <x v="7"/>
    <n v="394.05706661468503"/>
    <n v="143830.82931435999"/>
    <n v="517790.985531696"/>
  </r>
  <r>
    <x v="0"/>
    <x v="0"/>
    <x v="0"/>
    <x v="4"/>
    <x v="8"/>
    <s v="LV_RigaR"/>
    <x v="8"/>
    <x v="0"/>
    <s v="RIGA-TEC2_CC_NGAS_EXT"/>
    <x v="0"/>
    <x v="8"/>
    <n v="429.27203280851398"/>
    <n v="156684.291975108"/>
    <n v="564063.45111038804"/>
  </r>
  <r>
    <x v="0"/>
    <x v="0"/>
    <x v="0"/>
    <x v="4"/>
    <x v="8"/>
    <s v="LV_RigaR"/>
    <x v="8"/>
    <x v="0"/>
    <s v="RIGA-TEC2_CC_NGAS_EXT"/>
    <x v="0"/>
    <x v="9"/>
    <n v="440.51370276630001"/>
    <n v="160787.50150969901"/>
    <n v="578835.00543491798"/>
  </r>
  <r>
    <x v="0"/>
    <x v="0"/>
    <x v="0"/>
    <x v="4"/>
    <x v="8"/>
    <s v="LV_RigaR"/>
    <x v="8"/>
    <x v="0"/>
    <s v="RIGA-TEC2_CC_NGAS_EXT"/>
    <x v="0"/>
    <x v="10"/>
    <n v="417.254874838837"/>
    <n v="152298.02931617599"/>
    <n v="548272.90553823195"/>
  </r>
  <r>
    <x v="0"/>
    <x v="0"/>
    <x v="0"/>
    <x v="4"/>
    <x v="8"/>
    <s v="LV_RigaR"/>
    <x v="8"/>
    <x v="0"/>
    <s v="RIGA-TEC2_CC_NGAS_EXT"/>
    <x v="0"/>
    <x v="11"/>
    <n v="412.45411362129698"/>
    <n v="150545.75147177401"/>
    <n v="541964.705298385"/>
  </r>
  <r>
    <x v="0"/>
    <x v="0"/>
    <x v="0"/>
    <x v="4"/>
    <x v="8"/>
    <s v="LV_RigaR"/>
    <x v="8"/>
    <x v="0"/>
    <s v="RIGA-TEC2_CC_NGAS_EXT"/>
    <x v="0"/>
    <x v="12"/>
    <n v="403.74700168116101"/>
    <n v="147367.655613624"/>
    <n v="530523.560209046"/>
  </r>
  <r>
    <x v="0"/>
    <x v="0"/>
    <x v="0"/>
    <x v="4"/>
    <x v="8"/>
    <s v="LV_RigaR"/>
    <x v="8"/>
    <x v="0"/>
    <s v="RIGA-TEC2_CC_NGAS_EXT"/>
    <x v="0"/>
    <x v="13"/>
    <n v="410.48645577727501"/>
    <n v="149827.55635870501"/>
    <n v="539379.20289133897"/>
  </r>
  <r>
    <x v="0"/>
    <x v="0"/>
    <x v="0"/>
    <x v="4"/>
    <x v="8"/>
    <s v="LV_RigaR"/>
    <x v="8"/>
    <x v="0"/>
    <s v="RIGA-TEC2_CC_NGAS_EXT"/>
    <x v="0"/>
    <x v="14"/>
    <n v="413.54563197281999"/>
    <n v="150944.155670079"/>
    <n v="543398.96041228599"/>
  </r>
  <r>
    <x v="0"/>
    <x v="0"/>
    <x v="0"/>
    <x v="4"/>
    <x v="8"/>
    <s v="LV_RigaR"/>
    <x v="8"/>
    <x v="0"/>
    <s v="RIGA-TEC2_CC_NGAS_EXT"/>
    <x v="0"/>
    <x v="15"/>
    <n v="443.89538811479298"/>
    <n v="162021.81666189901"/>
    <n v="583278.53998283797"/>
  </r>
  <r>
    <x v="0"/>
    <x v="0"/>
    <x v="0"/>
    <x v="4"/>
    <x v="8"/>
    <s v="LV_RigaR"/>
    <x v="8"/>
    <x v="0"/>
    <s v="RIGA-TEC2_CC_NGAS_EXT"/>
    <x v="0"/>
    <x v="16"/>
    <n v="447.55773437151402"/>
    <n v="163358.573045603"/>
    <n v="588090.86296416901"/>
  </r>
  <r>
    <x v="0"/>
    <x v="0"/>
    <x v="0"/>
    <x v="4"/>
    <x v="8"/>
    <s v="LV_RigaR"/>
    <x v="8"/>
    <x v="0"/>
    <s v="RIGA-TEC2_CC_NGAS_EXT"/>
    <x v="0"/>
    <x v="17"/>
    <n v="410.90473132752402"/>
    <n v="149980.22693454599"/>
    <n v="539928.81696436601"/>
  </r>
  <r>
    <x v="0"/>
    <x v="0"/>
    <x v="0"/>
    <x v="4"/>
    <x v="8"/>
    <s v="LV_RigaR"/>
    <x v="8"/>
    <x v="0"/>
    <s v="RIGA-TEC2_CC_NGAS_EXT"/>
    <x v="0"/>
    <x v="19"/>
    <n v="236.84485146250901"/>
    <n v="86448.370783815699"/>
    <n v="311214.13482173701"/>
  </r>
  <r>
    <x v="0"/>
    <x v="0"/>
    <x v="0"/>
    <x v="4"/>
    <x v="8"/>
    <s v="LV_RigaR"/>
    <x v="8"/>
    <x v="0"/>
    <s v="RIGA-TEC2_CC_NGAS_EXT"/>
    <x v="0"/>
    <x v="20"/>
    <n v="114.60053165682299"/>
    <n v="41829.194054740197"/>
    <n v="150585.09859706499"/>
  </r>
  <r>
    <x v="0"/>
    <x v="0"/>
    <x v="0"/>
    <x v="4"/>
    <x v="8"/>
    <s v="LV_RigaR"/>
    <x v="6"/>
    <x v="7"/>
    <s v="GNR_RES_WTR_NOPMP"/>
    <x v="0"/>
    <x v="15"/>
    <n v="1.1013698630137001"/>
    <n v="402"/>
    <n v="1447.2"/>
  </r>
  <r>
    <x v="0"/>
    <x v="0"/>
    <x v="0"/>
    <x v="4"/>
    <x v="8"/>
    <s v="LV_Rural"/>
    <x v="7"/>
    <x v="5"/>
    <s v="GNR_WT_WIND_ONS"/>
    <x v="0"/>
    <x v="0"/>
    <n v="3.5228018212877599"/>
    <n v="1285.8226647700301"/>
    <n v="4628.96159317212"/>
  </r>
  <r>
    <x v="0"/>
    <x v="0"/>
    <x v="0"/>
    <x v="4"/>
    <x v="8"/>
    <s v="LV_Rural"/>
    <x v="7"/>
    <x v="5"/>
    <s v="GNR_WT_WIND_ONS"/>
    <x v="0"/>
    <x v="1"/>
    <n v="4.2273621855453101"/>
    <n v="1542.98719772404"/>
    <n v="5554.7539118065397"/>
  </r>
  <r>
    <x v="0"/>
    <x v="0"/>
    <x v="0"/>
    <x v="4"/>
    <x v="8"/>
    <s v="LV_Rural"/>
    <x v="7"/>
    <x v="5"/>
    <s v="GNR_WT_WIND_ONS"/>
    <x v="0"/>
    <x v="18"/>
    <n v="4.1267107049370901"/>
    <n v="1506.24940730204"/>
    <n v="5422.49786628734"/>
  </r>
  <r>
    <x v="0"/>
    <x v="0"/>
    <x v="0"/>
    <x v="4"/>
    <x v="8"/>
    <s v="LV_Rural"/>
    <x v="7"/>
    <x v="5"/>
    <s v="GNR_WT_WIND_ONS"/>
    <x v="0"/>
    <x v="2"/>
    <n v="3.8750820034165399"/>
    <n v="1414.4049312470399"/>
    <n v="5091.8577524893299"/>
  </r>
  <r>
    <x v="0"/>
    <x v="0"/>
    <x v="0"/>
    <x v="4"/>
    <x v="8"/>
    <s v="LV_Rural"/>
    <x v="7"/>
    <x v="5"/>
    <s v="GNR_WT_WIND_ONS"/>
    <x v="0"/>
    <x v="3"/>
    <n v="2.8685671973343201"/>
    <n v="1047.02702702703"/>
    <n v="3769.2972972972998"/>
  </r>
  <r>
    <x v="0"/>
    <x v="0"/>
    <x v="0"/>
    <x v="4"/>
    <x v="8"/>
    <s v="LV_Rural"/>
    <x v="7"/>
    <x v="5"/>
    <s v="GNR_WT_WIND_ONS"/>
    <x v="0"/>
    <x v="4"/>
    <n v="1.66074943003566"/>
    <n v="606.17354196301596"/>
    <n v="2182.2247510668599"/>
  </r>
  <r>
    <x v="0"/>
    <x v="0"/>
    <x v="0"/>
    <x v="4"/>
    <x v="8"/>
    <s v="LV_Rural"/>
    <x v="7"/>
    <x v="5"/>
    <s v="GNR_WT_WIND_ONS"/>
    <x v="0"/>
    <x v="5"/>
    <n v="0.35228018212877599"/>
    <n v="128.582266477003"/>
    <n v="462.89615931721198"/>
  </r>
  <r>
    <x v="0"/>
    <x v="0"/>
    <x v="0"/>
    <x v="4"/>
    <x v="8"/>
    <s v="LV_Rural"/>
    <x v="7"/>
    <x v="5"/>
    <s v="GNR_WT_WIND_ONS"/>
    <x v="0"/>
    <x v="6"/>
    <n v="0.251628701520554"/>
    <n v="91.844476055002403"/>
    <n v="330.640113798009"/>
  </r>
  <r>
    <x v="0"/>
    <x v="0"/>
    <x v="0"/>
    <x v="4"/>
    <x v="8"/>
    <s v="LV_Rural"/>
    <x v="7"/>
    <x v="5"/>
    <s v="GNR_WT_WIND_ONS"/>
    <x v="0"/>
    <x v="7"/>
    <n v="0.35228018212877599"/>
    <n v="128.582266477003"/>
    <n v="462.89615931721198"/>
  </r>
  <r>
    <x v="0"/>
    <x v="0"/>
    <x v="0"/>
    <x v="4"/>
    <x v="8"/>
    <s v="LV_Rural"/>
    <x v="7"/>
    <x v="5"/>
    <s v="GNR_WT_WIND_ONS"/>
    <x v="0"/>
    <x v="8"/>
    <n v="1.66074943003566"/>
    <n v="606.17354196301596"/>
    <n v="2182.2247510668599"/>
  </r>
  <r>
    <x v="0"/>
    <x v="0"/>
    <x v="0"/>
    <x v="4"/>
    <x v="8"/>
    <s v="LV_Rural"/>
    <x v="7"/>
    <x v="5"/>
    <s v="GNR_WT_WIND_ONS"/>
    <x v="0"/>
    <x v="9"/>
    <n v="3.8750820034165399"/>
    <n v="1414.4049312470399"/>
    <n v="5091.8577524893299"/>
  </r>
  <r>
    <x v="0"/>
    <x v="0"/>
    <x v="0"/>
    <x v="4"/>
    <x v="8"/>
    <s v="LV_Rural"/>
    <x v="7"/>
    <x v="5"/>
    <s v="GNR_WT_WIND_ONS"/>
    <x v="0"/>
    <x v="10"/>
    <n v="5.9887630961892002"/>
    <n v="2185.8985301090602"/>
    <n v="7869.2347083925997"/>
  </r>
  <r>
    <x v="0"/>
    <x v="0"/>
    <x v="0"/>
    <x v="4"/>
    <x v="8"/>
    <s v="LV_Rural"/>
    <x v="7"/>
    <x v="5"/>
    <s v="GNR_WT_WIND_ONS"/>
    <x v="0"/>
    <x v="11"/>
    <n v="6.9449521619672998"/>
    <n v="2534.90753911807"/>
    <n v="9125.6671408250295"/>
  </r>
  <r>
    <x v="0"/>
    <x v="0"/>
    <x v="0"/>
    <x v="4"/>
    <x v="8"/>
    <s v="LV_Rural"/>
    <x v="7"/>
    <x v="5"/>
    <s v="GNR_WT_WIND_ONS"/>
    <x v="0"/>
    <x v="12"/>
    <n v="7.9514669680495196"/>
    <n v="2902.2854433380699"/>
    <n v="10448.227596017099"/>
  </r>
  <r>
    <x v="0"/>
    <x v="0"/>
    <x v="0"/>
    <x v="4"/>
    <x v="8"/>
    <s v="LV_Rural"/>
    <x v="7"/>
    <x v="5"/>
    <s v="GNR_WT_WIND_ONS"/>
    <x v="0"/>
    <x v="13"/>
    <n v="7.9514669680495196"/>
    <n v="2902.2854433380699"/>
    <n v="10448.227596017099"/>
  </r>
  <r>
    <x v="0"/>
    <x v="0"/>
    <x v="0"/>
    <x v="4"/>
    <x v="8"/>
    <s v="LV_Rural"/>
    <x v="7"/>
    <x v="5"/>
    <s v="GNR_WT_WIND_ONS"/>
    <x v="0"/>
    <x v="14"/>
    <n v="12.581435076027701"/>
    <n v="4592.2238027501198"/>
    <n v="16532.005689900401"/>
  </r>
  <r>
    <x v="0"/>
    <x v="0"/>
    <x v="0"/>
    <x v="4"/>
    <x v="8"/>
    <s v="LV_Rural"/>
    <x v="7"/>
    <x v="5"/>
    <s v="GNR_WT_WIND_ONS"/>
    <x v="0"/>
    <x v="15"/>
    <n v="16.255214118227801"/>
    <n v="5933.15315315315"/>
    <n v="21359.351351351299"/>
  </r>
  <r>
    <x v="0"/>
    <x v="0"/>
    <x v="0"/>
    <x v="4"/>
    <x v="8"/>
    <s v="LV_Rural"/>
    <x v="7"/>
    <x v="5"/>
    <s v="GNR_WT_WIND_ONS"/>
    <x v="0"/>
    <x v="16"/>
    <n v="16.053911157011399"/>
    <n v="5859.6775723091496"/>
    <n v="21094.8392603129"/>
  </r>
  <r>
    <x v="0"/>
    <x v="0"/>
    <x v="0"/>
    <x v="4"/>
    <x v="8"/>
    <s v="LV_Rural"/>
    <x v="7"/>
    <x v="5"/>
    <s v="GNR_WT_WIND_ONS"/>
    <x v="0"/>
    <x v="17"/>
    <n v="21.942022772592299"/>
    <n v="8008.83831199621"/>
    <n v="28831.8179231863"/>
  </r>
  <r>
    <x v="0"/>
    <x v="0"/>
    <x v="0"/>
    <x v="4"/>
    <x v="8"/>
    <s v="LV_Rural"/>
    <x v="7"/>
    <x v="5"/>
    <s v="GNR_WT_WIND_ONS"/>
    <x v="0"/>
    <x v="19"/>
    <n v="32.661405457367998"/>
    <n v="11921.4129919393"/>
    <n v="42917.086770981499"/>
  </r>
  <r>
    <x v="0"/>
    <x v="0"/>
    <x v="0"/>
    <x v="4"/>
    <x v="8"/>
    <s v="LV_Rural"/>
    <x v="7"/>
    <x v="5"/>
    <s v="GNR_WT_WIND_ONS"/>
    <x v="0"/>
    <x v="20"/>
    <n v="37.844956708691399"/>
    <n v="13813.4091986724"/>
    <n v="49728.273115220501"/>
  </r>
  <r>
    <x v="0"/>
    <x v="0"/>
    <x v="0"/>
    <x v="4"/>
    <x v="8"/>
    <s v="LV_Rural"/>
    <x v="7"/>
    <x v="5"/>
    <s v="GNR_WT_WIND_ONS"/>
    <x v="0"/>
    <x v="21"/>
    <n v="40.814175386633899"/>
    <n v="14897.1740161214"/>
    <n v="53629.826458037001"/>
  </r>
  <r>
    <x v="0"/>
    <x v="0"/>
    <x v="0"/>
    <x v="4"/>
    <x v="8"/>
    <s v="LV_Rural"/>
    <x v="7"/>
    <x v="5"/>
    <s v="GNR_WT_WIND_ONS"/>
    <x v="0"/>
    <x v="22"/>
    <n v="41.468410010587398"/>
    <n v="15135.9696538644"/>
    <n v="54489.490753911799"/>
  </r>
  <r>
    <x v="0"/>
    <x v="0"/>
    <x v="0"/>
    <x v="4"/>
    <x v="8"/>
    <s v="LV_Rural"/>
    <x v="7"/>
    <x v="5"/>
    <s v="GNR_WT_WIND_ONS"/>
    <x v="0"/>
    <x v="23"/>
    <n v="43.179485180927102"/>
    <n v="15760.512091038399"/>
    <n v="56737.843527738303"/>
  </r>
  <r>
    <x v="0"/>
    <x v="0"/>
    <x v="0"/>
    <x v="5"/>
    <x v="9"/>
    <s v="LT_KauU"/>
    <x v="2"/>
    <x v="2"/>
    <s v="KAUNAS_ST_MSW_BP"/>
    <x v="0"/>
    <x v="0"/>
    <n v="24"/>
    <n v="8760"/>
    <n v="31536"/>
  </r>
  <r>
    <x v="0"/>
    <x v="0"/>
    <x v="0"/>
    <x v="5"/>
    <x v="9"/>
    <s v="LT_KauU"/>
    <x v="2"/>
    <x v="2"/>
    <s v="KAUNAS_ST_MSW_BP"/>
    <x v="0"/>
    <x v="1"/>
    <n v="24"/>
    <n v="8760"/>
    <n v="31536"/>
  </r>
  <r>
    <x v="0"/>
    <x v="0"/>
    <x v="0"/>
    <x v="5"/>
    <x v="9"/>
    <s v="LT_KauU"/>
    <x v="2"/>
    <x v="2"/>
    <s v="KAUNAS_ST_MSW_BP"/>
    <x v="0"/>
    <x v="18"/>
    <n v="24"/>
    <n v="8760"/>
    <n v="31536"/>
  </r>
  <r>
    <x v="0"/>
    <x v="0"/>
    <x v="0"/>
    <x v="5"/>
    <x v="9"/>
    <s v="LT_KauU"/>
    <x v="2"/>
    <x v="2"/>
    <s v="KAUNAS_ST_MSW_BP"/>
    <x v="0"/>
    <x v="2"/>
    <n v="24"/>
    <n v="8760"/>
    <n v="31536"/>
  </r>
  <r>
    <x v="0"/>
    <x v="0"/>
    <x v="0"/>
    <x v="5"/>
    <x v="9"/>
    <s v="LT_KauU"/>
    <x v="2"/>
    <x v="2"/>
    <s v="KAUNAS_ST_MSW_BP"/>
    <x v="0"/>
    <x v="3"/>
    <n v="24"/>
    <n v="8760"/>
    <n v="31536"/>
  </r>
  <r>
    <x v="0"/>
    <x v="0"/>
    <x v="0"/>
    <x v="5"/>
    <x v="9"/>
    <s v="LT_KauU"/>
    <x v="2"/>
    <x v="2"/>
    <s v="KAUNAS_ST_MSW_BP"/>
    <x v="0"/>
    <x v="4"/>
    <n v="24"/>
    <n v="8760"/>
    <n v="31536"/>
  </r>
  <r>
    <x v="0"/>
    <x v="0"/>
    <x v="0"/>
    <x v="5"/>
    <x v="9"/>
    <s v="LT_KauU"/>
    <x v="2"/>
    <x v="2"/>
    <s v="KAUNAS_ST_MSW_BP"/>
    <x v="0"/>
    <x v="5"/>
    <n v="24"/>
    <n v="8760"/>
    <n v="31536"/>
  </r>
  <r>
    <x v="0"/>
    <x v="0"/>
    <x v="0"/>
    <x v="5"/>
    <x v="9"/>
    <s v="LT_KauU"/>
    <x v="2"/>
    <x v="2"/>
    <s v="KAUNAS_ST_MSW_BP"/>
    <x v="0"/>
    <x v="6"/>
    <n v="24"/>
    <n v="8760"/>
    <n v="31536"/>
  </r>
  <r>
    <x v="0"/>
    <x v="0"/>
    <x v="0"/>
    <x v="5"/>
    <x v="9"/>
    <s v="LT_KauU"/>
    <x v="2"/>
    <x v="2"/>
    <s v="KAUNAS_ST_MSW_BP"/>
    <x v="0"/>
    <x v="7"/>
    <n v="24"/>
    <n v="8760"/>
    <n v="31536"/>
  </r>
  <r>
    <x v="0"/>
    <x v="0"/>
    <x v="0"/>
    <x v="5"/>
    <x v="9"/>
    <s v="LT_KauU"/>
    <x v="2"/>
    <x v="2"/>
    <s v="KAUNAS_ST_MSW_BP"/>
    <x v="0"/>
    <x v="8"/>
    <n v="24"/>
    <n v="8760"/>
    <n v="31536"/>
  </r>
  <r>
    <x v="0"/>
    <x v="0"/>
    <x v="0"/>
    <x v="5"/>
    <x v="9"/>
    <s v="LT_KauU"/>
    <x v="2"/>
    <x v="2"/>
    <s v="KAUNAS_ST_MSW_BP"/>
    <x v="0"/>
    <x v="9"/>
    <n v="24"/>
    <n v="8760"/>
    <n v="31536"/>
  </r>
  <r>
    <x v="0"/>
    <x v="0"/>
    <x v="0"/>
    <x v="5"/>
    <x v="9"/>
    <s v="LT_KauU"/>
    <x v="2"/>
    <x v="2"/>
    <s v="KAUNAS_ST_MSW_BP"/>
    <x v="0"/>
    <x v="10"/>
    <n v="24"/>
    <n v="8760"/>
    <n v="31536"/>
  </r>
  <r>
    <x v="0"/>
    <x v="0"/>
    <x v="0"/>
    <x v="5"/>
    <x v="9"/>
    <s v="LT_KauU"/>
    <x v="2"/>
    <x v="2"/>
    <s v="KAUNAS_ST_MSW_BP"/>
    <x v="0"/>
    <x v="11"/>
    <n v="24"/>
    <n v="8760"/>
    <n v="31536"/>
  </r>
  <r>
    <x v="0"/>
    <x v="0"/>
    <x v="0"/>
    <x v="5"/>
    <x v="9"/>
    <s v="LT_KauU"/>
    <x v="2"/>
    <x v="2"/>
    <s v="KAUNAS_ST_MSW_BP"/>
    <x v="0"/>
    <x v="12"/>
    <n v="24"/>
    <n v="8760"/>
    <n v="31536"/>
  </r>
  <r>
    <x v="0"/>
    <x v="0"/>
    <x v="0"/>
    <x v="5"/>
    <x v="9"/>
    <s v="LT_KauU"/>
    <x v="2"/>
    <x v="2"/>
    <s v="KAUNAS_ST_MSW_BP"/>
    <x v="0"/>
    <x v="13"/>
    <n v="24"/>
    <n v="8760"/>
    <n v="31536"/>
  </r>
  <r>
    <x v="0"/>
    <x v="0"/>
    <x v="0"/>
    <x v="5"/>
    <x v="9"/>
    <s v="LT_KauU"/>
    <x v="2"/>
    <x v="2"/>
    <s v="KAUNAS_ST_MSW_BP"/>
    <x v="0"/>
    <x v="14"/>
    <n v="24"/>
    <n v="8760"/>
    <n v="31536"/>
  </r>
  <r>
    <x v="0"/>
    <x v="0"/>
    <x v="0"/>
    <x v="5"/>
    <x v="9"/>
    <s v="LT_KauU"/>
    <x v="2"/>
    <x v="2"/>
    <s v="KAUNAS_ST_MSW_BP"/>
    <x v="0"/>
    <x v="15"/>
    <n v="24"/>
    <n v="8760"/>
    <n v="31536"/>
  </r>
  <r>
    <x v="0"/>
    <x v="0"/>
    <x v="0"/>
    <x v="5"/>
    <x v="9"/>
    <s v="LT_KauU"/>
    <x v="2"/>
    <x v="2"/>
    <s v="KAUNAS_ST_MSW_BP"/>
    <x v="0"/>
    <x v="16"/>
    <n v="24"/>
    <n v="8760"/>
    <n v="31536"/>
  </r>
  <r>
    <x v="0"/>
    <x v="0"/>
    <x v="0"/>
    <x v="5"/>
    <x v="9"/>
    <s v="LT_KauU"/>
    <x v="2"/>
    <x v="2"/>
    <s v="KAUNAS_ST_MSW_BP"/>
    <x v="0"/>
    <x v="17"/>
    <n v="24"/>
    <n v="8760"/>
    <n v="31536"/>
  </r>
  <r>
    <x v="0"/>
    <x v="0"/>
    <x v="0"/>
    <x v="5"/>
    <x v="9"/>
    <s v="LT_KauU"/>
    <x v="2"/>
    <x v="2"/>
    <s v="KAUNAS_ST_MSW_BP"/>
    <x v="0"/>
    <x v="19"/>
    <n v="24"/>
    <n v="8760"/>
    <n v="31536"/>
  </r>
  <r>
    <x v="0"/>
    <x v="0"/>
    <x v="0"/>
    <x v="5"/>
    <x v="9"/>
    <s v="LT_KauU"/>
    <x v="2"/>
    <x v="2"/>
    <s v="KAUNAS_ST_MSW_BP"/>
    <x v="0"/>
    <x v="20"/>
    <n v="24"/>
    <n v="8760"/>
    <n v="31536"/>
  </r>
  <r>
    <x v="0"/>
    <x v="0"/>
    <x v="0"/>
    <x v="5"/>
    <x v="9"/>
    <s v="LT_KauU"/>
    <x v="2"/>
    <x v="2"/>
    <s v="KAUNAS_ST_MSW_BP"/>
    <x v="0"/>
    <x v="21"/>
    <n v="24"/>
    <n v="8760"/>
    <n v="31536"/>
  </r>
  <r>
    <x v="0"/>
    <x v="0"/>
    <x v="0"/>
    <x v="5"/>
    <x v="9"/>
    <s v="LT_KauU"/>
    <x v="2"/>
    <x v="2"/>
    <s v="KAUNAS_ST_MSW_BP"/>
    <x v="0"/>
    <x v="22"/>
    <n v="24"/>
    <n v="8760"/>
    <n v="31536"/>
  </r>
  <r>
    <x v="0"/>
    <x v="0"/>
    <x v="0"/>
    <x v="5"/>
    <x v="9"/>
    <s v="LT_KauU"/>
    <x v="2"/>
    <x v="2"/>
    <s v="KAUNAS_ST_MSW_BP"/>
    <x v="0"/>
    <x v="23"/>
    <n v="24"/>
    <n v="8760"/>
    <n v="31536"/>
  </r>
  <r>
    <x v="0"/>
    <x v="0"/>
    <x v="0"/>
    <x v="5"/>
    <x v="9"/>
    <s v="LT_KauU"/>
    <x v="6"/>
    <x v="4"/>
    <s v="GNR_ROR_WTR"/>
    <x v="0"/>
    <x v="0"/>
    <n v="70.027397260273901"/>
    <n v="25560"/>
    <n v="92016"/>
  </r>
  <r>
    <x v="0"/>
    <x v="0"/>
    <x v="0"/>
    <x v="5"/>
    <x v="9"/>
    <s v="LT_KauU"/>
    <x v="6"/>
    <x v="4"/>
    <s v="GNR_ROR_WTR"/>
    <x v="0"/>
    <x v="1"/>
    <n v="70.027397260273901"/>
    <n v="25560"/>
    <n v="92016"/>
  </r>
  <r>
    <x v="0"/>
    <x v="0"/>
    <x v="0"/>
    <x v="5"/>
    <x v="9"/>
    <s v="LT_KauU"/>
    <x v="6"/>
    <x v="4"/>
    <s v="GNR_ROR_WTR"/>
    <x v="0"/>
    <x v="18"/>
    <n v="70.027397260273901"/>
    <n v="25560"/>
    <n v="92016"/>
  </r>
  <r>
    <x v="0"/>
    <x v="0"/>
    <x v="0"/>
    <x v="5"/>
    <x v="9"/>
    <s v="LT_KauU"/>
    <x v="6"/>
    <x v="4"/>
    <s v="GNR_ROR_WTR"/>
    <x v="0"/>
    <x v="2"/>
    <n v="70.027397260273901"/>
    <n v="25560"/>
    <n v="92016"/>
  </r>
  <r>
    <x v="0"/>
    <x v="0"/>
    <x v="0"/>
    <x v="5"/>
    <x v="9"/>
    <s v="LT_KauU"/>
    <x v="6"/>
    <x v="4"/>
    <s v="GNR_ROR_WTR"/>
    <x v="0"/>
    <x v="3"/>
    <n v="70.027397260273901"/>
    <n v="25560"/>
    <n v="92016"/>
  </r>
  <r>
    <x v="0"/>
    <x v="0"/>
    <x v="0"/>
    <x v="5"/>
    <x v="9"/>
    <s v="LT_KauU"/>
    <x v="6"/>
    <x v="4"/>
    <s v="GNR_ROR_WTR"/>
    <x v="0"/>
    <x v="4"/>
    <n v="70.027397260273901"/>
    <n v="25560"/>
    <n v="92016"/>
  </r>
  <r>
    <x v="0"/>
    <x v="0"/>
    <x v="0"/>
    <x v="5"/>
    <x v="9"/>
    <s v="LT_KauU"/>
    <x v="6"/>
    <x v="4"/>
    <s v="GNR_ROR_WTR"/>
    <x v="0"/>
    <x v="5"/>
    <n v="70.027397260273901"/>
    <n v="25560"/>
    <n v="92016"/>
  </r>
  <r>
    <x v="0"/>
    <x v="0"/>
    <x v="0"/>
    <x v="5"/>
    <x v="9"/>
    <s v="LT_KauU"/>
    <x v="6"/>
    <x v="4"/>
    <s v="GNR_ROR_WTR"/>
    <x v="0"/>
    <x v="6"/>
    <n v="70.027397260273901"/>
    <n v="25560"/>
    <n v="92016"/>
  </r>
  <r>
    <x v="0"/>
    <x v="0"/>
    <x v="0"/>
    <x v="5"/>
    <x v="9"/>
    <s v="LT_KauU"/>
    <x v="6"/>
    <x v="4"/>
    <s v="GNR_ROR_WTR"/>
    <x v="0"/>
    <x v="7"/>
    <n v="70.027397260273901"/>
    <n v="25560"/>
    <n v="92016"/>
  </r>
  <r>
    <x v="0"/>
    <x v="0"/>
    <x v="0"/>
    <x v="5"/>
    <x v="9"/>
    <s v="LT_KauU"/>
    <x v="6"/>
    <x v="4"/>
    <s v="GNR_ROR_WTR"/>
    <x v="0"/>
    <x v="8"/>
    <n v="70.027397260273901"/>
    <n v="25560"/>
    <n v="92016"/>
  </r>
  <r>
    <x v="0"/>
    <x v="0"/>
    <x v="0"/>
    <x v="5"/>
    <x v="9"/>
    <s v="LT_KauU"/>
    <x v="6"/>
    <x v="4"/>
    <s v="GNR_ROR_WTR"/>
    <x v="0"/>
    <x v="9"/>
    <n v="70.027397260273901"/>
    <n v="25560"/>
    <n v="92016"/>
  </r>
  <r>
    <x v="0"/>
    <x v="0"/>
    <x v="0"/>
    <x v="5"/>
    <x v="9"/>
    <s v="LT_KauU"/>
    <x v="6"/>
    <x v="4"/>
    <s v="GNR_ROR_WTR"/>
    <x v="0"/>
    <x v="10"/>
    <n v="70.027397260273901"/>
    <n v="25560"/>
    <n v="92016"/>
  </r>
  <r>
    <x v="0"/>
    <x v="0"/>
    <x v="0"/>
    <x v="5"/>
    <x v="9"/>
    <s v="LT_KauU"/>
    <x v="6"/>
    <x v="4"/>
    <s v="GNR_ROR_WTR"/>
    <x v="0"/>
    <x v="11"/>
    <n v="70.027397260273901"/>
    <n v="25560"/>
    <n v="92016"/>
  </r>
  <r>
    <x v="0"/>
    <x v="0"/>
    <x v="0"/>
    <x v="5"/>
    <x v="9"/>
    <s v="LT_KauU"/>
    <x v="6"/>
    <x v="4"/>
    <s v="GNR_ROR_WTR"/>
    <x v="0"/>
    <x v="12"/>
    <n v="70.027397260273901"/>
    <n v="25560"/>
    <n v="92016"/>
  </r>
  <r>
    <x v="0"/>
    <x v="0"/>
    <x v="0"/>
    <x v="5"/>
    <x v="9"/>
    <s v="LT_KauU"/>
    <x v="6"/>
    <x v="4"/>
    <s v="GNR_ROR_WTR"/>
    <x v="0"/>
    <x v="13"/>
    <n v="70.027397260273901"/>
    <n v="25560"/>
    <n v="92016"/>
  </r>
  <r>
    <x v="0"/>
    <x v="0"/>
    <x v="0"/>
    <x v="5"/>
    <x v="9"/>
    <s v="LT_KauU"/>
    <x v="6"/>
    <x v="4"/>
    <s v="GNR_ROR_WTR"/>
    <x v="0"/>
    <x v="14"/>
    <n v="70.027397260273901"/>
    <n v="25560"/>
    <n v="92016"/>
  </r>
  <r>
    <x v="0"/>
    <x v="0"/>
    <x v="0"/>
    <x v="5"/>
    <x v="9"/>
    <s v="LT_KauU"/>
    <x v="6"/>
    <x v="4"/>
    <s v="GNR_ROR_WTR"/>
    <x v="0"/>
    <x v="15"/>
    <n v="70.027397260273901"/>
    <n v="25560"/>
    <n v="92016"/>
  </r>
  <r>
    <x v="0"/>
    <x v="0"/>
    <x v="0"/>
    <x v="5"/>
    <x v="9"/>
    <s v="LT_KauU"/>
    <x v="6"/>
    <x v="4"/>
    <s v="GNR_ROR_WTR"/>
    <x v="0"/>
    <x v="16"/>
    <n v="70.027397260273901"/>
    <n v="25560"/>
    <n v="92016"/>
  </r>
  <r>
    <x v="0"/>
    <x v="0"/>
    <x v="0"/>
    <x v="5"/>
    <x v="9"/>
    <s v="LT_KauU"/>
    <x v="6"/>
    <x v="4"/>
    <s v="GNR_ROR_WTR"/>
    <x v="0"/>
    <x v="17"/>
    <n v="70.027397260273901"/>
    <n v="25560"/>
    <n v="92016"/>
  </r>
  <r>
    <x v="0"/>
    <x v="0"/>
    <x v="0"/>
    <x v="5"/>
    <x v="9"/>
    <s v="LT_KauU"/>
    <x v="6"/>
    <x v="4"/>
    <s v="GNR_ROR_WTR"/>
    <x v="0"/>
    <x v="19"/>
    <n v="70.027397260273901"/>
    <n v="25560"/>
    <n v="92016"/>
  </r>
  <r>
    <x v="0"/>
    <x v="0"/>
    <x v="0"/>
    <x v="5"/>
    <x v="9"/>
    <s v="LT_KauU"/>
    <x v="6"/>
    <x v="4"/>
    <s v="GNR_ROR_WTR"/>
    <x v="0"/>
    <x v="20"/>
    <n v="70.027397260273901"/>
    <n v="25560"/>
    <n v="92016"/>
  </r>
  <r>
    <x v="0"/>
    <x v="0"/>
    <x v="0"/>
    <x v="5"/>
    <x v="9"/>
    <s v="LT_KauU"/>
    <x v="6"/>
    <x v="4"/>
    <s v="GNR_ROR_WTR"/>
    <x v="0"/>
    <x v="21"/>
    <n v="70.027397260273901"/>
    <n v="25560"/>
    <n v="92016"/>
  </r>
  <r>
    <x v="0"/>
    <x v="0"/>
    <x v="0"/>
    <x v="5"/>
    <x v="9"/>
    <s v="LT_KauU"/>
    <x v="6"/>
    <x v="4"/>
    <s v="GNR_ROR_WTR"/>
    <x v="0"/>
    <x v="22"/>
    <n v="70.027397260273901"/>
    <n v="25560"/>
    <n v="92016"/>
  </r>
  <r>
    <x v="0"/>
    <x v="0"/>
    <x v="0"/>
    <x v="5"/>
    <x v="9"/>
    <s v="LT_KauU"/>
    <x v="6"/>
    <x v="4"/>
    <s v="GNR_ROR_WTR"/>
    <x v="0"/>
    <x v="23"/>
    <n v="70.027397260273901"/>
    <n v="25560"/>
    <n v="92016"/>
  </r>
  <r>
    <x v="0"/>
    <x v="0"/>
    <x v="0"/>
    <x v="5"/>
    <x v="9"/>
    <s v="LT_KlaU"/>
    <x v="5"/>
    <x v="3"/>
    <s v="GNR_PV_SUN"/>
    <x v="0"/>
    <x v="7"/>
    <n v="1.7762462043374301"/>
    <n v="648.32986458316304"/>
    <n v="2333.98751249939"/>
  </r>
  <r>
    <x v="0"/>
    <x v="0"/>
    <x v="0"/>
    <x v="5"/>
    <x v="9"/>
    <s v="LT_KlaU"/>
    <x v="5"/>
    <x v="3"/>
    <s v="GNR_PV_SUN"/>
    <x v="0"/>
    <x v="8"/>
    <n v="13.371945784448"/>
    <n v="4880.7602113234998"/>
    <n v="17570.736760764601"/>
  </r>
  <r>
    <x v="0"/>
    <x v="0"/>
    <x v="0"/>
    <x v="5"/>
    <x v="9"/>
    <s v="LT_KlaU"/>
    <x v="5"/>
    <x v="3"/>
    <s v="GNR_PV_SUN"/>
    <x v="0"/>
    <x v="9"/>
    <n v="30.888466045683298"/>
    <n v="11274.2901066744"/>
    <n v="40587.444384027804"/>
  </r>
  <r>
    <x v="0"/>
    <x v="0"/>
    <x v="0"/>
    <x v="5"/>
    <x v="9"/>
    <s v="LT_KlaU"/>
    <x v="5"/>
    <x v="3"/>
    <s v="GNR_PV_SUN"/>
    <x v="0"/>
    <x v="10"/>
    <n v="47.038643072812803"/>
    <n v="17169.104721576699"/>
    <n v="61808.776997676097"/>
  </r>
  <r>
    <x v="0"/>
    <x v="0"/>
    <x v="0"/>
    <x v="5"/>
    <x v="9"/>
    <s v="LT_KlaU"/>
    <x v="5"/>
    <x v="3"/>
    <s v="GNR_PV_SUN"/>
    <x v="0"/>
    <x v="11"/>
    <n v="53.478674182897798"/>
    <n v="19519.716076757701"/>
    <n v="70270.977876327699"/>
  </r>
  <r>
    <x v="0"/>
    <x v="0"/>
    <x v="0"/>
    <x v="5"/>
    <x v="9"/>
    <s v="LT_KlaU"/>
    <x v="5"/>
    <x v="3"/>
    <s v="GNR_PV_SUN"/>
    <x v="0"/>
    <x v="12"/>
    <n v="46.501214734064597"/>
    <n v="16972.9433779336"/>
    <n v="61102.596160560897"/>
  </r>
  <r>
    <x v="0"/>
    <x v="0"/>
    <x v="0"/>
    <x v="5"/>
    <x v="9"/>
    <s v="LT_KlaU"/>
    <x v="5"/>
    <x v="3"/>
    <s v="GNR_PV_SUN"/>
    <x v="0"/>
    <x v="13"/>
    <n v="30.2599481579946"/>
    <n v="11044.881077668"/>
    <n v="39761.571879604897"/>
  </r>
  <r>
    <x v="0"/>
    <x v="0"/>
    <x v="0"/>
    <x v="5"/>
    <x v="9"/>
    <s v="LT_KlaU"/>
    <x v="5"/>
    <x v="3"/>
    <s v="GNR_PV_SUN"/>
    <x v="0"/>
    <x v="14"/>
    <n v="15.3212621317721"/>
    <n v="5592.2606780968199"/>
    <n v="20132.1384411486"/>
  </r>
  <r>
    <x v="0"/>
    <x v="0"/>
    <x v="0"/>
    <x v="5"/>
    <x v="9"/>
    <s v="LT_KlaU"/>
    <x v="5"/>
    <x v="3"/>
    <s v="GNR_PV_SUN"/>
    <x v="0"/>
    <x v="15"/>
    <n v="1.9948611217943499"/>
    <n v="728.12430945493702"/>
    <n v="2621.2475140377701"/>
  </r>
  <r>
    <x v="0"/>
    <x v="0"/>
    <x v="0"/>
    <x v="5"/>
    <x v="9"/>
    <s v="LT_Other_DH"/>
    <x v="17"/>
    <x v="2"/>
    <s v="LIFOSA_ST_HEAT_BP"/>
    <x v="0"/>
    <x v="0"/>
    <n v="37"/>
    <n v="13505"/>
    <n v="48618"/>
  </r>
  <r>
    <x v="0"/>
    <x v="0"/>
    <x v="0"/>
    <x v="5"/>
    <x v="9"/>
    <s v="LT_Other_DH"/>
    <x v="17"/>
    <x v="2"/>
    <s v="LIFOSA_ST_HEAT_BP"/>
    <x v="0"/>
    <x v="1"/>
    <n v="37"/>
    <n v="13505"/>
    <n v="48618"/>
  </r>
  <r>
    <x v="0"/>
    <x v="0"/>
    <x v="0"/>
    <x v="5"/>
    <x v="9"/>
    <s v="LT_Other_DH"/>
    <x v="17"/>
    <x v="2"/>
    <s v="LIFOSA_ST_HEAT_BP"/>
    <x v="0"/>
    <x v="18"/>
    <n v="37"/>
    <n v="13505"/>
    <n v="48618"/>
  </r>
  <r>
    <x v="0"/>
    <x v="0"/>
    <x v="0"/>
    <x v="5"/>
    <x v="9"/>
    <s v="LT_Other_DH"/>
    <x v="17"/>
    <x v="2"/>
    <s v="LIFOSA_ST_HEAT_BP"/>
    <x v="0"/>
    <x v="2"/>
    <n v="37"/>
    <n v="13505"/>
    <n v="48618"/>
  </r>
  <r>
    <x v="0"/>
    <x v="0"/>
    <x v="0"/>
    <x v="5"/>
    <x v="9"/>
    <s v="LT_Other_DH"/>
    <x v="17"/>
    <x v="2"/>
    <s v="LIFOSA_ST_HEAT_BP"/>
    <x v="0"/>
    <x v="3"/>
    <n v="37"/>
    <n v="13505"/>
    <n v="48618"/>
  </r>
  <r>
    <x v="0"/>
    <x v="0"/>
    <x v="0"/>
    <x v="5"/>
    <x v="9"/>
    <s v="LT_Other_DH"/>
    <x v="17"/>
    <x v="2"/>
    <s v="LIFOSA_ST_HEAT_BP"/>
    <x v="0"/>
    <x v="4"/>
    <n v="37"/>
    <n v="13505"/>
    <n v="48618"/>
  </r>
  <r>
    <x v="0"/>
    <x v="0"/>
    <x v="0"/>
    <x v="5"/>
    <x v="9"/>
    <s v="LT_Other_DH"/>
    <x v="17"/>
    <x v="2"/>
    <s v="LIFOSA_ST_HEAT_BP"/>
    <x v="0"/>
    <x v="5"/>
    <n v="37"/>
    <n v="13505"/>
    <n v="48618"/>
  </r>
  <r>
    <x v="0"/>
    <x v="0"/>
    <x v="0"/>
    <x v="5"/>
    <x v="9"/>
    <s v="LT_Other_DH"/>
    <x v="17"/>
    <x v="2"/>
    <s v="LIFOSA_ST_HEAT_BP"/>
    <x v="0"/>
    <x v="6"/>
    <n v="37"/>
    <n v="13505"/>
    <n v="48618"/>
  </r>
  <r>
    <x v="0"/>
    <x v="0"/>
    <x v="0"/>
    <x v="5"/>
    <x v="9"/>
    <s v="LT_Other_DH"/>
    <x v="17"/>
    <x v="2"/>
    <s v="LIFOSA_ST_HEAT_BP"/>
    <x v="0"/>
    <x v="7"/>
    <n v="37"/>
    <n v="13505"/>
    <n v="48618"/>
  </r>
  <r>
    <x v="0"/>
    <x v="0"/>
    <x v="0"/>
    <x v="5"/>
    <x v="9"/>
    <s v="LT_Other_DH"/>
    <x v="17"/>
    <x v="2"/>
    <s v="LIFOSA_ST_HEAT_BP"/>
    <x v="0"/>
    <x v="8"/>
    <n v="37"/>
    <n v="13505"/>
    <n v="48618"/>
  </r>
  <r>
    <x v="0"/>
    <x v="0"/>
    <x v="0"/>
    <x v="5"/>
    <x v="9"/>
    <s v="LT_Other_DH"/>
    <x v="17"/>
    <x v="2"/>
    <s v="LIFOSA_ST_HEAT_BP"/>
    <x v="0"/>
    <x v="9"/>
    <n v="37"/>
    <n v="13505"/>
    <n v="48618"/>
  </r>
  <r>
    <x v="0"/>
    <x v="0"/>
    <x v="0"/>
    <x v="5"/>
    <x v="9"/>
    <s v="LT_Other_DH"/>
    <x v="17"/>
    <x v="2"/>
    <s v="LIFOSA_ST_HEAT_BP"/>
    <x v="0"/>
    <x v="10"/>
    <n v="37"/>
    <n v="13505"/>
    <n v="48618"/>
  </r>
  <r>
    <x v="0"/>
    <x v="0"/>
    <x v="0"/>
    <x v="5"/>
    <x v="9"/>
    <s v="LT_Other_DH"/>
    <x v="17"/>
    <x v="2"/>
    <s v="LIFOSA_ST_HEAT_BP"/>
    <x v="0"/>
    <x v="11"/>
    <n v="37"/>
    <n v="13505"/>
    <n v="48618"/>
  </r>
  <r>
    <x v="0"/>
    <x v="0"/>
    <x v="0"/>
    <x v="5"/>
    <x v="9"/>
    <s v="LT_Other_DH"/>
    <x v="17"/>
    <x v="2"/>
    <s v="LIFOSA_ST_HEAT_BP"/>
    <x v="0"/>
    <x v="12"/>
    <n v="37"/>
    <n v="13505"/>
    <n v="48618"/>
  </r>
  <r>
    <x v="0"/>
    <x v="0"/>
    <x v="0"/>
    <x v="5"/>
    <x v="9"/>
    <s v="LT_Other_DH"/>
    <x v="17"/>
    <x v="2"/>
    <s v="LIFOSA_ST_HEAT_BP"/>
    <x v="0"/>
    <x v="13"/>
    <n v="37"/>
    <n v="13505"/>
    <n v="48618"/>
  </r>
  <r>
    <x v="0"/>
    <x v="0"/>
    <x v="0"/>
    <x v="5"/>
    <x v="9"/>
    <s v="LT_Other_DH"/>
    <x v="17"/>
    <x v="2"/>
    <s v="LIFOSA_ST_HEAT_BP"/>
    <x v="0"/>
    <x v="14"/>
    <n v="37"/>
    <n v="13505"/>
    <n v="48618"/>
  </r>
  <r>
    <x v="0"/>
    <x v="0"/>
    <x v="0"/>
    <x v="5"/>
    <x v="9"/>
    <s v="LT_Other_DH"/>
    <x v="17"/>
    <x v="2"/>
    <s v="LIFOSA_ST_HEAT_BP"/>
    <x v="0"/>
    <x v="15"/>
    <n v="37"/>
    <n v="13505"/>
    <n v="48618"/>
  </r>
  <r>
    <x v="0"/>
    <x v="0"/>
    <x v="0"/>
    <x v="5"/>
    <x v="9"/>
    <s v="LT_Other_DH"/>
    <x v="17"/>
    <x v="2"/>
    <s v="LIFOSA_ST_HEAT_BP"/>
    <x v="0"/>
    <x v="16"/>
    <n v="37"/>
    <n v="13505"/>
    <n v="48618"/>
  </r>
  <r>
    <x v="0"/>
    <x v="0"/>
    <x v="0"/>
    <x v="5"/>
    <x v="9"/>
    <s v="LT_Other_DH"/>
    <x v="17"/>
    <x v="2"/>
    <s v="LIFOSA_ST_HEAT_BP"/>
    <x v="0"/>
    <x v="17"/>
    <n v="37"/>
    <n v="13505"/>
    <n v="48618"/>
  </r>
  <r>
    <x v="0"/>
    <x v="0"/>
    <x v="0"/>
    <x v="5"/>
    <x v="9"/>
    <s v="LT_Other_DH"/>
    <x v="17"/>
    <x v="2"/>
    <s v="LIFOSA_ST_HEAT_BP"/>
    <x v="0"/>
    <x v="19"/>
    <n v="37"/>
    <n v="13505"/>
    <n v="48618"/>
  </r>
  <r>
    <x v="0"/>
    <x v="0"/>
    <x v="0"/>
    <x v="5"/>
    <x v="9"/>
    <s v="LT_Other_DH"/>
    <x v="17"/>
    <x v="2"/>
    <s v="LIFOSA_ST_HEAT_BP"/>
    <x v="0"/>
    <x v="20"/>
    <n v="37"/>
    <n v="13505"/>
    <n v="48618"/>
  </r>
  <r>
    <x v="0"/>
    <x v="0"/>
    <x v="0"/>
    <x v="5"/>
    <x v="9"/>
    <s v="LT_Other_DH"/>
    <x v="17"/>
    <x v="2"/>
    <s v="LIFOSA_ST_HEAT_BP"/>
    <x v="0"/>
    <x v="21"/>
    <n v="37"/>
    <n v="13505"/>
    <n v="48618"/>
  </r>
  <r>
    <x v="0"/>
    <x v="0"/>
    <x v="0"/>
    <x v="5"/>
    <x v="9"/>
    <s v="LT_Other_DH"/>
    <x v="17"/>
    <x v="2"/>
    <s v="LIFOSA_ST_HEAT_BP"/>
    <x v="0"/>
    <x v="22"/>
    <n v="37"/>
    <n v="13505"/>
    <n v="48618"/>
  </r>
  <r>
    <x v="0"/>
    <x v="0"/>
    <x v="0"/>
    <x v="5"/>
    <x v="9"/>
    <s v="LT_Other_DH"/>
    <x v="17"/>
    <x v="2"/>
    <s v="LIFOSA_ST_HEAT_BP"/>
    <x v="0"/>
    <x v="23"/>
    <n v="37"/>
    <n v="13505"/>
    <n v="48618"/>
  </r>
  <r>
    <x v="0"/>
    <x v="0"/>
    <x v="0"/>
    <x v="5"/>
    <x v="9"/>
    <s v="LT_Other_DH"/>
    <x v="10"/>
    <x v="2"/>
    <s v="EBAVERE_ST_WOODWST_BP"/>
    <x v="0"/>
    <x v="0"/>
    <n v="10.4"/>
    <n v="3796"/>
    <n v="13665.6"/>
  </r>
  <r>
    <x v="0"/>
    <x v="0"/>
    <x v="0"/>
    <x v="5"/>
    <x v="9"/>
    <s v="LT_Other_DH"/>
    <x v="10"/>
    <x v="2"/>
    <s v="EBAVERE_ST_WOODWST_BP"/>
    <x v="0"/>
    <x v="1"/>
    <n v="10.4"/>
    <n v="3796"/>
    <n v="13665.6"/>
  </r>
  <r>
    <x v="0"/>
    <x v="0"/>
    <x v="0"/>
    <x v="5"/>
    <x v="9"/>
    <s v="LT_Other_DH"/>
    <x v="10"/>
    <x v="2"/>
    <s v="EBAVERE_ST_WOODWST_BP"/>
    <x v="0"/>
    <x v="18"/>
    <n v="10.4"/>
    <n v="3796"/>
    <n v="13665.6"/>
  </r>
  <r>
    <x v="0"/>
    <x v="0"/>
    <x v="0"/>
    <x v="5"/>
    <x v="9"/>
    <s v="LT_Other_DH"/>
    <x v="10"/>
    <x v="2"/>
    <s v="EBAVERE_ST_WOODWST_BP"/>
    <x v="0"/>
    <x v="2"/>
    <n v="10.4"/>
    <n v="3796"/>
    <n v="13665.6"/>
  </r>
  <r>
    <x v="0"/>
    <x v="0"/>
    <x v="0"/>
    <x v="5"/>
    <x v="9"/>
    <s v="LT_Other_DH"/>
    <x v="10"/>
    <x v="2"/>
    <s v="EBAVERE_ST_WOODWST_BP"/>
    <x v="0"/>
    <x v="3"/>
    <n v="10.4"/>
    <n v="3796"/>
    <n v="13665.6"/>
  </r>
  <r>
    <x v="0"/>
    <x v="0"/>
    <x v="0"/>
    <x v="5"/>
    <x v="9"/>
    <s v="LT_Other_DH"/>
    <x v="10"/>
    <x v="2"/>
    <s v="EBAVERE_ST_WOODWST_BP"/>
    <x v="0"/>
    <x v="4"/>
    <n v="10.4"/>
    <n v="3796"/>
    <n v="13665.6"/>
  </r>
  <r>
    <x v="0"/>
    <x v="0"/>
    <x v="0"/>
    <x v="5"/>
    <x v="9"/>
    <s v="LT_Other_DH"/>
    <x v="10"/>
    <x v="2"/>
    <s v="EBAVERE_ST_WOODWST_BP"/>
    <x v="0"/>
    <x v="5"/>
    <n v="10.4"/>
    <n v="3796"/>
    <n v="13665.6"/>
  </r>
  <r>
    <x v="0"/>
    <x v="0"/>
    <x v="0"/>
    <x v="5"/>
    <x v="9"/>
    <s v="LT_Other_DH"/>
    <x v="10"/>
    <x v="2"/>
    <s v="EBAVERE_ST_WOODWST_BP"/>
    <x v="0"/>
    <x v="6"/>
    <n v="10.4"/>
    <n v="3796"/>
    <n v="13665.6"/>
  </r>
  <r>
    <x v="0"/>
    <x v="0"/>
    <x v="0"/>
    <x v="5"/>
    <x v="9"/>
    <s v="LT_Other_DH"/>
    <x v="10"/>
    <x v="2"/>
    <s v="EBAVERE_ST_WOODWST_BP"/>
    <x v="0"/>
    <x v="7"/>
    <n v="10.4"/>
    <n v="3796"/>
    <n v="13665.6"/>
  </r>
  <r>
    <x v="0"/>
    <x v="0"/>
    <x v="0"/>
    <x v="5"/>
    <x v="9"/>
    <s v="LT_Other_DH"/>
    <x v="10"/>
    <x v="2"/>
    <s v="EBAVERE_ST_WOODWST_BP"/>
    <x v="0"/>
    <x v="8"/>
    <n v="10.4"/>
    <n v="3796"/>
    <n v="13665.6"/>
  </r>
  <r>
    <x v="0"/>
    <x v="0"/>
    <x v="0"/>
    <x v="5"/>
    <x v="9"/>
    <s v="LT_Other_DH"/>
    <x v="10"/>
    <x v="2"/>
    <s v="EBAVERE_ST_WOODWST_BP"/>
    <x v="0"/>
    <x v="9"/>
    <n v="10.4"/>
    <n v="3796"/>
    <n v="13665.6"/>
  </r>
  <r>
    <x v="0"/>
    <x v="0"/>
    <x v="0"/>
    <x v="5"/>
    <x v="9"/>
    <s v="LT_Other_DH"/>
    <x v="10"/>
    <x v="2"/>
    <s v="EBAVERE_ST_WOODWST_BP"/>
    <x v="0"/>
    <x v="10"/>
    <n v="10.4"/>
    <n v="3796"/>
    <n v="13665.6"/>
  </r>
  <r>
    <x v="0"/>
    <x v="0"/>
    <x v="0"/>
    <x v="5"/>
    <x v="9"/>
    <s v="LT_Other_DH"/>
    <x v="10"/>
    <x v="2"/>
    <s v="EBAVERE_ST_WOODWST_BP"/>
    <x v="0"/>
    <x v="11"/>
    <n v="10.4"/>
    <n v="3796"/>
    <n v="13665.6"/>
  </r>
  <r>
    <x v="0"/>
    <x v="0"/>
    <x v="0"/>
    <x v="5"/>
    <x v="9"/>
    <s v="LT_Other_DH"/>
    <x v="10"/>
    <x v="2"/>
    <s v="EBAVERE_ST_WOODWST_BP"/>
    <x v="0"/>
    <x v="12"/>
    <n v="10.4"/>
    <n v="3796"/>
    <n v="13665.6"/>
  </r>
  <r>
    <x v="0"/>
    <x v="0"/>
    <x v="0"/>
    <x v="5"/>
    <x v="9"/>
    <s v="LT_Other_DH"/>
    <x v="10"/>
    <x v="2"/>
    <s v="EBAVERE_ST_WOODWST_BP"/>
    <x v="0"/>
    <x v="13"/>
    <n v="10.4"/>
    <n v="3796"/>
    <n v="13665.6"/>
  </r>
  <r>
    <x v="0"/>
    <x v="0"/>
    <x v="0"/>
    <x v="5"/>
    <x v="9"/>
    <s v="LT_Other_DH"/>
    <x v="10"/>
    <x v="2"/>
    <s v="EBAVERE_ST_WOODWST_BP"/>
    <x v="0"/>
    <x v="14"/>
    <n v="10.4"/>
    <n v="3796"/>
    <n v="13665.6"/>
  </r>
  <r>
    <x v="0"/>
    <x v="0"/>
    <x v="0"/>
    <x v="5"/>
    <x v="9"/>
    <s v="LT_Other_DH"/>
    <x v="10"/>
    <x v="2"/>
    <s v="EBAVERE_ST_WOODWST_BP"/>
    <x v="0"/>
    <x v="15"/>
    <n v="10.4"/>
    <n v="3796"/>
    <n v="13665.6"/>
  </r>
  <r>
    <x v="0"/>
    <x v="0"/>
    <x v="0"/>
    <x v="5"/>
    <x v="9"/>
    <s v="LT_Other_DH"/>
    <x v="10"/>
    <x v="2"/>
    <s v="EBAVERE_ST_WOODWST_BP"/>
    <x v="0"/>
    <x v="16"/>
    <n v="10.4"/>
    <n v="3796"/>
    <n v="13665.6"/>
  </r>
  <r>
    <x v="0"/>
    <x v="0"/>
    <x v="0"/>
    <x v="5"/>
    <x v="9"/>
    <s v="LT_Other_DH"/>
    <x v="10"/>
    <x v="2"/>
    <s v="EBAVERE_ST_WOODWST_BP"/>
    <x v="0"/>
    <x v="17"/>
    <n v="10.4"/>
    <n v="3796"/>
    <n v="13665.6"/>
  </r>
  <r>
    <x v="0"/>
    <x v="0"/>
    <x v="0"/>
    <x v="5"/>
    <x v="9"/>
    <s v="LT_Other_DH"/>
    <x v="10"/>
    <x v="2"/>
    <s v="EBAVERE_ST_WOODWST_BP"/>
    <x v="0"/>
    <x v="19"/>
    <n v="10.4"/>
    <n v="3796"/>
    <n v="13665.6"/>
  </r>
  <r>
    <x v="0"/>
    <x v="0"/>
    <x v="0"/>
    <x v="5"/>
    <x v="9"/>
    <s v="LT_Other_DH"/>
    <x v="10"/>
    <x v="2"/>
    <s v="EBAVERE_ST_WOODWST_BP"/>
    <x v="0"/>
    <x v="20"/>
    <n v="10.4"/>
    <n v="3796"/>
    <n v="13665.6"/>
  </r>
  <r>
    <x v="0"/>
    <x v="0"/>
    <x v="0"/>
    <x v="5"/>
    <x v="9"/>
    <s v="LT_Other_DH"/>
    <x v="10"/>
    <x v="2"/>
    <s v="EBAVERE_ST_WOODWST_BP"/>
    <x v="0"/>
    <x v="21"/>
    <n v="10.4"/>
    <n v="3796"/>
    <n v="13665.6"/>
  </r>
  <r>
    <x v="0"/>
    <x v="0"/>
    <x v="0"/>
    <x v="5"/>
    <x v="9"/>
    <s v="LT_Other_DH"/>
    <x v="10"/>
    <x v="2"/>
    <s v="EBAVERE_ST_WOODWST_BP"/>
    <x v="0"/>
    <x v="22"/>
    <n v="10.4"/>
    <n v="3796"/>
    <n v="13665.6"/>
  </r>
  <r>
    <x v="0"/>
    <x v="0"/>
    <x v="0"/>
    <x v="5"/>
    <x v="9"/>
    <s v="LT_Other_DH"/>
    <x v="10"/>
    <x v="2"/>
    <s v="EBAVERE_ST_WOODWST_BP"/>
    <x v="0"/>
    <x v="23"/>
    <n v="10.4"/>
    <n v="3796"/>
    <n v="13665.6"/>
  </r>
  <r>
    <x v="0"/>
    <x v="0"/>
    <x v="0"/>
    <x v="5"/>
    <x v="9"/>
    <s v="LT_Rural"/>
    <x v="7"/>
    <x v="5"/>
    <s v="GNR_WT_WIND_ONS"/>
    <x v="0"/>
    <x v="0"/>
    <n v="29.885102117257802"/>
    <n v="10908.062272799099"/>
    <n v="39269.024182076799"/>
  </r>
  <r>
    <x v="0"/>
    <x v="0"/>
    <x v="0"/>
    <x v="5"/>
    <x v="9"/>
    <s v="LT_Rural"/>
    <x v="7"/>
    <x v="5"/>
    <s v="GNR_WT_WIND_ONS"/>
    <x v="0"/>
    <x v="1"/>
    <n v="35.8621225407094"/>
    <n v="13089.674727358901"/>
    <n v="47122.829018492201"/>
  </r>
  <r>
    <x v="0"/>
    <x v="0"/>
    <x v="0"/>
    <x v="5"/>
    <x v="9"/>
    <s v="LT_Rural"/>
    <x v="7"/>
    <x v="5"/>
    <s v="GNR_WT_WIND_ONS"/>
    <x v="0"/>
    <x v="18"/>
    <n v="35.008262480216302"/>
    <n v="12778.015805278999"/>
    <n v="46000.856899004299"/>
  </r>
  <r>
    <x v="0"/>
    <x v="0"/>
    <x v="0"/>
    <x v="5"/>
    <x v="9"/>
    <s v="LT_Rural"/>
    <x v="7"/>
    <x v="5"/>
    <s v="GNR_WT_WIND_ONS"/>
    <x v="0"/>
    <x v="2"/>
    <n v="32.873612328983597"/>
    <n v="11998.868500078999"/>
    <n v="43195.926600284503"/>
  </r>
  <r>
    <x v="0"/>
    <x v="0"/>
    <x v="0"/>
    <x v="5"/>
    <x v="9"/>
    <s v="LT_Rural"/>
    <x v="7"/>
    <x v="5"/>
    <s v="GNR_WT_WIND_ONS"/>
    <x v="0"/>
    <x v="3"/>
    <n v="24.335011724052801"/>
    <n v="8882.2792792792807"/>
    <n v="31976.205405405399"/>
  </r>
  <r>
    <x v="0"/>
    <x v="0"/>
    <x v="0"/>
    <x v="5"/>
    <x v="9"/>
    <s v="LT_Rural"/>
    <x v="7"/>
    <x v="5"/>
    <s v="GNR_WT_WIND_ONS"/>
    <x v="0"/>
    <x v="4"/>
    <n v="14.0886909981358"/>
    <n v="5142.3722143195801"/>
    <n v="18512.539971550501"/>
  </r>
  <r>
    <x v="0"/>
    <x v="0"/>
    <x v="0"/>
    <x v="5"/>
    <x v="9"/>
    <s v="LT_Rural"/>
    <x v="7"/>
    <x v="5"/>
    <s v="GNR_WT_WIND_ONS"/>
    <x v="0"/>
    <x v="5"/>
    <n v="2.98851021172579"/>
    <n v="1090.80622727991"/>
    <n v="3926.9024182076801"/>
  </r>
  <r>
    <x v="0"/>
    <x v="0"/>
    <x v="0"/>
    <x v="5"/>
    <x v="9"/>
    <s v="LT_Rural"/>
    <x v="7"/>
    <x v="5"/>
    <s v="GNR_WT_WIND_ONS"/>
    <x v="0"/>
    <x v="6"/>
    <n v="2.1346501512326999"/>
    <n v="779.14730519993702"/>
    <n v="2804.9302987197698"/>
  </r>
  <r>
    <x v="0"/>
    <x v="0"/>
    <x v="0"/>
    <x v="5"/>
    <x v="9"/>
    <s v="LT_Rural"/>
    <x v="7"/>
    <x v="5"/>
    <s v="GNR_WT_WIND_ONS"/>
    <x v="0"/>
    <x v="7"/>
    <n v="2.98851021172579"/>
    <n v="1090.80622727991"/>
    <n v="3926.9024182076801"/>
  </r>
  <r>
    <x v="0"/>
    <x v="0"/>
    <x v="0"/>
    <x v="5"/>
    <x v="9"/>
    <s v="LT_Rural"/>
    <x v="7"/>
    <x v="5"/>
    <s v="GNR_WT_WIND_ONS"/>
    <x v="0"/>
    <x v="8"/>
    <n v="14.0886909981358"/>
    <n v="5142.3722143195801"/>
    <n v="18512.539971550501"/>
  </r>
  <r>
    <x v="0"/>
    <x v="0"/>
    <x v="0"/>
    <x v="5"/>
    <x v="9"/>
    <s v="LT_Rural"/>
    <x v="7"/>
    <x v="5"/>
    <s v="GNR_WT_WIND_ONS"/>
    <x v="0"/>
    <x v="9"/>
    <n v="32.873612328983597"/>
    <n v="11998.868500078999"/>
    <n v="43195.926600284503"/>
  </r>
  <r>
    <x v="0"/>
    <x v="0"/>
    <x v="0"/>
    <x v="5"/>
    <x v="9"/>
    <s v="LT_Rural"/>
    <x v="7"/>
    <x v="5"/>
    <s v="GNR_WT_WIND_ONS"/>
    <x v="0"/>
    <x v="10"/>
    <n v="50.804673599338301"/>
    <n v="18543.7058637585"/>
    <n v="66757.341109530593"/>
  </r>
  <r>
    <x v="0"/>
    <x v="0"/>
    <x v="0"/>
    <x v="5"/>
    <x v="9"/>
    <s v="LT_Rural"/>
    <x v="7"/>
    <x v="5"/>
    <s v="GNR_WT_WIND_ONS"/>
    <x v="0"/>
    <x v="11"/>
    <n v="58.916344174022598"/>
    <n v="21504.465623518299"/>
    <n v="77416.076244665703"/>
  </r>
  <r>
    <x v="0"/>
    <x v="0"/>
    <x v="0"/>
    <x v="5"/>
    <x v="9"/>
    <s v="LT_Rural"/>
    <x v="7"/>
    <x v="5"/>
    <s v="GNR_WT_WIND_ONS"/>
    <x v="0"/>
    <x v="12"/>
    <n v="67.454944778953404"/>
    <n v="24621.054844318001"/>
    <n v="88635.797439544796"/>
  </r>
  <r>
    <x v="0"/>
    <x v="0"/>
    <x v="0"/>
    <x v="5"/>
    <x v="9"/>
    <s v="LT_Rural"/>
    <x v="7"/>
    <x v="5"/>
    <s v="GNR_WT_WIND_ONS"/>
    <x v="0"/>
    <x v="13"/>
    <n v="67.454944778953404"/>
    <n v="24621.054844318001"/>
    <n v="88635.797439544796"/>
  </r>
  <r>
    <x v="0"/>
    <x v="0"/>
    <x v="0"/>
    <x v="5"/>
    <x v="9"/>
    <s v="LT_Rural"/>
    <x v="7"/>
    <x v="5"/>
    <s v="GNR_WT_WIND_ONS"/>
    <x v="0"/>
    <x v="14"/>
    <n v="106.732507561635"/>
    <n v="38957.365259996797"/>
    <n v="140246.51493598899"/>
  </r>
  <r>
    <x v="0"/>
    <x v="0"/>
    <x v="0"/>
    <x v="5"/>
    <x v="9"/>
    <s v="LT_Rural"/>
    <x v="7"/>
    <x v="5"/>
    <s v="GNR_WT_WIND_ONS"/>
    <x v="0"/>
    <x v="15"/>
    <n v="137.89839976963299"/>
    <n v="50332.915915915903"/>
    <n v="181198.497297297"/>
  </r>
  <r>
    <x v="0"/>
    <x v="0"/>
    <x v="0"/>
    <x v="5"/>
    <x v="9"/>
    <s v="LT_Rural"/>
    <x v="7"/>
    <x v="5"/>
    <s v="GNR_WT_WIND_ONS"/>
    <x v="0"/>
    <x v="16"/>
    <n v="136.19067964864601"/>
    <n v="49709.598071756001"/>
    <n v="178954.553058322"/>
  </r>
  <r>
    <x v="0"/>
    <x v="0"/>
    <x v="0"/>
    <x v="5"/>
    <x v="9"/>
    <s v="LT_Rural"/>
    <x v="7"/>
    <x v="5"/>
    <s v="GNR_WT_WIND_ONS"/>
    <x v="0"/>
    <x v="17"/>
    <n v="186.14149318749199"/>
    <n v="67941.645013434507"/>
    <n v="244589.92204836401"/>
  </r>
  <r>
    <x v="0"/>
    <x v="0"/>
    <x v="0"/>
    <x v="5"/>
    <x v="9"/>
    <s v="LT_Rural"/>
    <x v="7"/>
    <x v="5"/>
    <s v="GNR_WT_WIND_ONS"/>
    <x v="0"/>
    <x v="19"/>
    <n v="277.07758963000498"/>
    <n v="101133.32021495199"/>
    <n v="364079.95277382602"/>
  </r>
  <r>
    <x v="0"/>
    <x v="0"/>
    <x v="0"/>
    <x v="5"/>
    <x v="9"/>
    <s v="LT_Rural"/>
    <x v="7"/>
    <x v="5"/>
    <s v="GNR_WT_WIND_ONS"/>
    <x v="0"/>
    <x v="20"/>
    <n v="321.051382745399"/>
    <n v="117183.75470207"/>
    <n v="421861.51692745398"/>
  </r>
  <r>
    <x v="0"/>
    <x v="0"/>
    <x v="0"/>
    <x v="5"/>
    <x v="9"/>
    <s v="LT_Rural"/>
    <x v="7"/>
    <x v="5"/>
    <s v="GNR_WT_WIND_ONS"/>
    <x v="0"/>
    <x v="21"/>
    <n v="346.24025452994499"/>
    <n v="126377.69290343"/>
    <n v="454959.694452347"/>
  </r>
  <r>
    <x v="0"/>
    <x v="0"/>
    <x v="0"/>
    <x v="5"/>
    <x v="9"/>
    <s v="LT_Rural"/>
    <x v="7"/>
    <x v="5"/>
    <s v="GNR_WT_WIND_ONS"/>
    <x v="0"/>
    <x v="22"/>
    <n v="351.79034492314997"/>
    <n v="128403.47589695"/>
    <n v="462252.51322901802"/>
  </r>
  <r>
    <x v="0"/>
    <x v="0"/>
    <x v="0"/>
    <x v="5"/>
    <x v="9"/>
    <s v="LT_Rural"/>
    <x v="7"/>
    <x v="5"/>
    <s v="GNR_WT_WIND_ONS"/>
    <x v="0"/>
    <x v="23"/>
    <n v="366.30596595153202"/>
    <n v="133701.67757230901"/>
    <n v="481326.03926031297"/>
  </r>
  <r>
    <x v="0"/>
    <x v="0"/>
    <x v="0"/>
    <x v="5"/>
    <x v="9"/>
    <s v="LT_VilU"/>
    <x v="2"/>
    <x v="2"/>
    <s v="VILNIUS_ST_MSW_BP"/>
    <x v="0"/>
    <x v="0"/>
    <n v="92"/>
    <n v="33580"/>
    <n v="120888"/>
  </r>
  <r>
    <x v="0"/>
    <x v="0"/>
    <x v="0"/>
    <x v="5"/>
    <x v="9"/>
    <s v="LT_VilU"/>
    <x v="2"/>
    <x v="2"/>
    <s v="VILNIUS_ST_MSW_BP"/>
    <x v="0"/>
    <x v="1"/>
    <n v="92"/>
    <n v="33580"/>
    <n v="120888"/>
  </r>
  <r>
    <x v="0"/>
    <x v="0"/>
    <x v="0"/>
    <x v="5"/>
    <x v="9"/>
    <s v="LT_VilU"/>
    <x v="2"/>
    <x v="2"/>
    <s v="VILNIUS_ST_MSW_BP"/>
    <x v="0"/>
    <x v="18"/>
    <n v="92"/>
    <n v="33580"/>
    <n v="120888"/>
  </r>
  <r>
    <x v="0"/>
    <x v="0"/>
    <x v="0"/>
    <x v="5"/>
    <x v="9"/>
    <s v="LT_VilU"/>
    <x v="2"/>
    <x v="2"/>
    <s v="VILNIUS_ST_MSW_BP"/>
    <x v="0"/>
    <x v="2"/>
    <n v="92"/>
    <n v="33580"/>
    <n v="120888"/>
  </r>
  <r>
    <x v="0"/>
    <x v="0"/>
    <x v="0"/>
    <x v="5"/>
    <x v="9"/>
    <s v="LT_VilU"/>
    <x v="2"/>
    <x v="2"/>
    <s v="VILNIUS_ST_MSW_BP"/>
    <x v="0"/>
    <x v="3"/>
    <n v="92"/>
    <n v="33580"/>
    <n v="120888"/>
  </r>
  <r>
    <x v="0"/>
    <x v="0"/>
    <x v="0"/>
    <x v="5"/>
    <x v="9"/>
    <s v="LT_VilU"/>
    <x v="2"/>
    <x v="2"/>
    <s v="VILNIUS_ST_MSW_BP"/>
    <x v="0"/>
    <x v="4"/>
    <n v="92"/>
    <n v="33580"/>
    <n v="120888"/>
  </r>
  <r>
    <x v="0"/>
    <x v="0"/>
    <x v="0"/>
    <x v="5"/>
    <x v="9"/>
    <s v="LT_VilU"/>
    <x v="2"/>
    <x v="2"/>
    <s v="VILNIUS_ST_MSW_BP"/>
    <x v="0"/>
    <x v="5"/>
    <n v="92"/>
    <n v="33580"/>
    <n v="120888"/>
  </r>
  <r>
    <x v="0"/>
    <x v="0"/>
    <x v="0"/>
    <x v="5"/>
    <x v="9"/>
    <s v="LT_VilU"/>
    <x v="2"/>
    <x v="2"/>
    <s v="VILNIUS_ST_MSW_BP"/>
    <x v="0"/>
    <x v="6"/>
    <n v="92"/>
    <n v="33580"/>
    <n v="120888"/>
  </r>
  <r>
    <x v="0"/>
    <x v="0"/>
    <x v="0"/>
    <x v="5"/>
    <x v="9"/>
    <s v="LT_VilU"/>
    <x v="2"/>
    <x v="2"/>
    <s v="VILNIUS_ST_MSW_BP"/>
    <x v="0"/>
    <x v="7"/>
    <n v="92"/>
    <n v="33580"/>
    <n v="120888"/>
  </r>
  <r>
    <x v="0"/>
    <x v="0"/>
    <x v="0"/>
    <x v="5"/>
    <x v="9"/>
    <s v="LT_VilU"/>
    <x v="2"/>
    <x v="2"/>
    <s v="VILNIUS_ST_MSW_BP"/>
    <x v="0"/>
    <x v="8"/>
    <n v="92"/>
    <n v="33580"/>
    <n v="120888"/>
  </r>
  <r>
    <x v="0"/>
    <x v="0"/>
    <x v="0"/>
    <x v="5"/>
    <x v="9"/>
    <s v="LT_VilU"/>
    <x v="2"/>
    <x v="2"/>
    <s v="VILNIUS_ST_MSW_BP"/>
    <x v="0"/>
    <x v="9"/>
    <n v="92"/>
    <n v="33580"/>
    <n v="120888"/>
  </r>
  <r>
    <x v="0"/>
    <x v="0"/>
    <x v="0"/>
    <x v="5"/>
    <x v="9"/>
    <s v="LT_VilU"/>
    <x v="2"/>
    <x v="2"/>
    <s v="VILNIUS_ST_MSW_BP"/>
    <x v="0"/>
    <x v="10"/>
    <n v="92"/>
    <n v="33580"/>
    <n v="120888"/>
  </r>
  <r>
    <x v="0"/>
    <x v="0"/>
    <x v="0"/>
    <x v="5"/>
    <x v="9"/>
    <s v="LT_VilU"/>
    <x v="2"/>
    <x v="2"/>
    <s v="VILNIUS_ST_MSW_BP"/>
    <x v="0"/>
    <x v="11"/>
    <n v="92"/>
    <n v="33580"/>
    <n v="120888"/>
  </r>
  <r>
    <x v="0"/>
    <x v="0"/>
    <x v="0"/>
    <x v="5"/>
    <x v="9"/>
    <s v="LT_VilU"/>
    <x v="2"/>
    <x v="2"/>
    <s v="VILNIUS_ST_MSW_BP"/>
    <x v="0"/>
    <x v="12"/>
    <n v="92"/>
    <n v="33580"/>
    <n v="120888"/>
  </r>
  <r>
    <x v="0"/>
    <x v="0"/>
    <x v="0"/>
    <x v="5"/>
    <x v="9"/>
    <s v="LT_VilU"/>
    <x v="2"/>
    <x v="2"/>
    <s v="VILNIUS_ST_MSW_BP"/>
    <x v="0"/>
    <x v="13"/>
    <n v="92"/>
    <n v="33580"/>
    <n v="120888"/>
  </r>
  <r>
    <x v="0"/>
    <x v="0"/>
    <x v="0"/>
    <x v="5"/>
    <x v="9"/>
    <s v="LT_VilU"/>
    <x v="2"/>
    <x v="2"/>
    <s v="VILNIUS_ST_MSW_BP"/>
    <x v="0"/>
    <x v="14"/>
    <n v="92"/>
    <n v="33580"/>
    <n v="120888"/>
  </r>
  <r>
    <x v="0"/>
    <x v="0"/>
    <x v="0"/>
    <x v="5"/>
    <x v="9"/>
    <s v="LT_VilU"/>
    <x v="2"/>
    <x v="2"/>
    <s v="VILNIUS_ST_MSW_BP"/>
    <x v="0"/>
    <x v="15"/>
    <n v="92"/>
    <n v="33580"/>
    <n v="120888"/>
  </r>
  <r>
    <x v="0"/>
    <x v="0"/>
    <x v="0"/>
    <x v="5"/>
    <x v="9"/>
    <s v="LT_VilU"/>
    <x v="2"/>
    <x v="2"/>
    <s v="VILNIUS_ST_MSW_BP"/>
    <x v="0"/>
    <x v="16"/>
    <n v="92"/>
    <n v="33580"/>
    <n v="120888"/>
  </r>
  <r>
    <x v="0"/>
    <x v="0"/>
    <x v="0"/>
    <x v="5"/>
    <x v="9"/>
    <s v="LT_VilU"/>
    <x v="2"/>
    <x v="2"/>
    <s v="VILNIUS_ST_MSW_BP"/>
    <x v="0"/>
    <x v="17"/>
    <n v="92"/>
    <n v="33580"/>
    <n v="120888"/>
  </r>
  <r>
    <x v="0"/>
    <x v="0"/>
    <x v="0"/>
    <x v="5"/>
    <x v="9"/>
    <s v="LT_VilU"/>
    <x v="2"/>
    <x v="2"/>
    <s v="VILNIUS_ST_MSW_BP"/>
    <x v="0"/>
    <x v="19"/>
    <n v="92"/>
    <n v="33580"/>
    <n v="120888"/>
  </r>
  <r>
    <x v="0"/>
    <x v="0"/>
    <x v="0"/>
    <x v="5"/>
    <x v="9"/>
    <s v="LT_VilU"/>
    <x v="2"/>
    <x v="2"/>
    <s v="VILNIUS_ST_MSW_BP"/>
    <x v="0"/>
    <x v="20"/>
    <n v="92"/>
    <n v="33580"/>
    <n v="120888"/>
  </r>
  <r>
    <x v="0"/>
    <x v="0"/>
    <x v="0"/>
    <x v="5"/>
    <x v="9"/>
    <s v="LT_VilU"/>
    <x v="2"/>
    <x v="2"/>
    <s v="VILNIUS_ST_MSW_BP"/>
    <x v="0"/>
    <x v="21"/>
    <n v="92"/>
    <n v="33580"/>
    <n v="120888"/>
  </r>
  <r>
    <x v="0"/>
    <x v="0"/>
    <x v="0"/>
    <x v="5"/>
    <x v="9"/>
    <s v="LT_VilU"/>
    <x v="2"/>
    <x v="2"/>
    <s v="VILNIUS_ST_MSW_BP"/>
    <x v="0"/>
    <x v="22"/>
    <n v="92"/>
    <n v="33580"/>
    <n v="120888"/>
  </r>
  <r>
    <x v="0"/>
    <x v="0"/>
    <x v="0"/>
    <x v="5"/>
    <x v="9"/>
    <s v="LT_VilU"/>
    <x v="2"/>
    <x v="2"/>
    <s v="VILNIUS_ST_MSW_BP"/>
    <x v="0"/>
    <x v="23"/>
    <n v="92"/>
    <n v="33580"/>
    <n v="120888"/>
  </r>
  <r>
    <x v="0"/>
    <x v="0"/>
    <x v="0"/>
    <x v="5"/>
    <x v="9"/>
    <s v="LT_VilU"/>
    <x v="8"/>
    <x v="6"/>
    <s v="GNR_CC_NGAS_CND_E-58"/>
    <x v="0"/>
    <x v="7"/>
    <n v="12.184564161446501"/>
    <n v="4447.3659189279797"/>
    <n v="16010.517308140699"/>
  </r>
  <r>
    <x v="0"/>
    <x v="0"/>
    <x v="0"/>
    <x v="5"/>
    <x v="9"/>
    <s v="LT_VilU"/>
    <x v="8"/>
    <x v="6"/>
    <s v="GNR_CC_NGAS_CND_E-58"/>
    <x v="0"/>
    <x v="8"/>
    <n v="1.5178897272227101"/>
    <n v="554.02975043628896"/>
    <n v="1994.5071015706401"/>
  </r>
  <r>
    <x v="0"/>
    <x v="0"/>
    <x v="0"/>
    <x v="5"/>
    <x v="9"/>
    <s v="LT_VilU"/>
    <x v="8"/>
    <x v="6"/>
    <s v="GNR_CC_NGAS_CND_E-58"/>
    <x v="0"/>
    <x v="9"/>
    <n v="70.460612568621102"/>
    <n v="25718.123587546699"/>
    <n v="92585.244915168194"/>
  </r>
  <r>
    <x v="0"/>
    <x v="0"/>
    <x v="0"/>
    <x v="5"/>
    <x v="9"/>
    <s v="LT_VilU"/>
    <x v="8"/>
    <x v="6"/>
    <s v="GNR_CC_NGAS_CND_E-58"/>
    <x v="0"/>
    <x v="10"/>
    <n v="37.2111003021"/>
    <n v="13582.051610266501"/>
    <n v="48895.385796959403"/>
  </r>
  <r>
    <x v="0"/>
    <x v="0"/>
    <x v="0"/>
    <x v="5"/>
    <x v="9"/>
    <s v="LT_VilU"/>
    <x v="8"/>
    <x v="6"/>
    <s v="GNR_CC_NGAS_CND_E-58"/>
    <x v="0"/>
    <x v="11"/>
    <n v="22.659398617330901"/>
    <n v="8270.6804953257597"/>
    <n v="29774.449783172699"/>
  </r>
  <r>
    <x v="0"/>
    <x v="0"/>
    <x v="0"/>
    <x v="5"/>
    <x v="9"/>
    <s v="LT_VilU"/>
    <x v="8"/>
    <x v="6"/>
    <s v="GNR_CC_NGAS_CND_E-58"/>
    <x v="0"/>
    <x v="13"/>
    <n v="31.5174418205624"/>
    <n v="11503.866264505299"/>
    <n v="41413.918552219002"/>
  </r>
  <r>
    <x v="0"/>
    <x v="0"/>
    <x v="0"/>
    <x v="5"/>
    <x v="9"/>
    <s v="LT_VilU"/>
    <x v="8"/>
    <x v="6"/>
    <s v="GNR_CC_NGAS_CND_E-58"/>
    <x v="0"/>
    <x v="14"/>
    <n v="6.3468390331401601"/>
    <n v="2316.5962470961599"/>
    <n v="8339.7464895461708"/>
  </r>
  <r>
    <x v="0"/>
    <x v="0"/>
    <x v="0"/>
    <x v="5"/>
    <x v="9"/>
    <s v="LT_VilU"/>
    <x v="8"/>
    <x v="6"/>
    <s v="GNR_CC_NGAS_CND_E-58"/>
    <x v="0"/>
    <x v="16"/>
    <n v="22.983792223530799"/>
    <n v="8389.0841615887293"/>
    <n v="30200.702981719402"/>
  </r>
  <r>
    <x v="0"/>
    <x v="0"/>
    <x v="0"/>
    <x v="5"/>
    <x v="9"/>
    <s v="LT_VilU"/>
    <x v="6"/>
    <x v="8"/>
    <s v="GNR_ES_WTR_PMP"/>
    <x v="0"/>
    <x v="8"/>
    <n v="93.6"/>
    <n v="34164"/>
    <n v="122990.39999999999"/>
  </r>
  <r>
    <x v="0"/>
    <x v="0"/>
    <x v="0"/>
    <x v="6"/>
    <x v="10"/>
    <s v="NL_A"/>
    <x v="0"/>
    <x v="6"/>
    <s v="GNR_ST_COAL_CND_E-40"/>
    <x v="0"/>
    <x v="0"/>
    <n v="4637.08133357928"/>
    <n v="1692534.68675644"/>
    <n v="6093124.8723231703"/>
  </r>
  <r>
    <x v="0"/>
    <x v="0"/>
    <x v="0"/>
    <x v="6"/>
    <x v="10"/>
    <s v="NL_A"/>
    <x v="0"/>
    <x v="6"/>
    <s v="GNR_ST_COAL_CND_E-40"/>
    <x v="0"/>
    <x v="1"/>
    <n v="4020.9234656140802"/>
    <n v="1467637.06494914"/>
    <n v="5283493.4338168995"/>
  </r>
  <r>
    <x v="0"/>
    <x v="0"/>
    <x v="0"/>
    <x v="6"/>
    <x v="10"/>
    <s v="NL_A"/>
    <x v="0"/>
    <x v="6"/>
    <s v="GNR_ST_COAL_CND_E-40"/>
    <x v="0"/>
    <x v="18"/>
    <n v="3841.9463552116199"/>
    <n v="1402310.4196522399"/>
    <n v="5048317.5107480697"/>
  </r>
  <r>
    <x v="0"/>
    <x v="0"/>
    <x v="0"/>
    <x v="6"/>
    <x v="10"/>
    <s v="NL_A"/>
    <x v="0"/>
    <x v="6"/>
    <s v="GNR_ST_COAL_CND_E-40"/>
    <x v="0"/>
    <x v="2"/>
    <n v="3751.4130448338601"/>
    <n v="1369265.7613643601"/>
    <n v="4929356.7409116998"/>
  </r>
  <r>
    <x v="0"/>
    <x v="0"/>
    <x v="0"/>
    <x v="6"/>
    <x v="10"/>
    <s v="NL_A"/>
    <x v="0"/>
    <x v="6"/>
    <s v="GNR_ST_COAL_CND_E-40"/>
    <x v="0"/>
    <x v="3"/>
    <n v="4875"/>
    <n v="1779375"/>
    <n v="6405750"/>
  </r>
  <r>
    <x v="0"/>
    <x v="0"/>
    <x v="0"/>
    <x v="6"/>
    <x v="10"/>
    <s v="NL_A"/>
    <x v="0"/>
    <x v="6"/>
    <s v="GNR_ST_COAL_CND_E-40"/>
    <x v="0"/>
    <x v="4"/>
    <n v="4875"/>
    <n v="1779375"/>
    <n v="6405750"/>
  </r>
  <r>
    <x v="0"/>
    <x v="0"/>
    <x v="0"/>
    <x v="6"/>
    <x v="10"/>
    <s v="NL_A"/>
    <x v="0"/>
    <x v="6"/>
    <s v="GNR_ST_COAL_CND_E-40"/>
    <x v="0"/>
    <x v="5"/>
    <n v="4875"/>
    <n v="1779375"/>
    <n v="6405750"/>
  </r>
  <r>
    <x v="0"/>
    <x v="0"/>
    <x v="0"/>
    <x v="6"/>
    <x v="10"/>
    <s v="NL_A"/>
    <x v="0"/>
    <x v="6"/>
    <s v="GNR_ST_COAL_CND_E-40"/>
    <x v="0"/>
    <x v="6"/>
    <n v="4875"/>
    <n v="1779375"/>
    <n v="6405750"/>
  </r>
  <r>
    <x v="0"/>
    <x v="0"/>
    <x v="0"/>
    <x v="6"/>
    <x v="10"/>
    <s v="NL_A"/>
    <x v="0"/>
    <x v="6"/>
    <s v="GNR_ST_COAL_CND_E-40"/>
    <x v="0"/>
    <x v="7"/>
    <n v="4875"/>
    <n v="1779375"/>
    <n v="6405750"/>
  </r>
  <r>
    <x v="0"/>
    <x v="0"/>
    <x v="0"/>
    <x v="6"/>
    <x v="10"/>
    <s v="NL_A"/>
    <x v="0"/>
    <x v="6"/>
    <s v="GNR_ST_COAL_CND_E-40"/>
    <x v="0"/>
    <x v="8"/>
    <n v="4875"/>
    <n v="1779375"/>
    <n v="6405750"/>
  </r>
  <r>
    <x v="0"/>
    <x v="0"/>
    <x v="0"/>
    <x v="6"/>
    <x v="10"/>
    <s v="NL_A"/>
    <x v="0"/>
    <x v="6"/>
    <s v="GNR_ST_COAL_CND_E-40"/>
    <x v="0"/>
    <x v="9"/>
    <n v="4875"/>
    <n v="1779375"/>
    <n v="6405750"/>
  </r>
  <r>
    <x v="0"/>
    <x v="0"/>
    <x v="0"/>
    <x v="6"/>
    <x v="10"/>
    <s v="NL_A"/>
    <x v="0"/>
    <x v="6"/>
    <s v="GNR_ST_COAL_CND_E-40"/>
    <x v="0"/>
    <x v="10"/>
    <n v="4875"/>
    <n v="1779375"/>
    <n v="6405750"/>
  </r>
  <r>
    <x v="0"/>
    <x v="0"/>
    <x v="0"/>
    <x v="6"/>
    <x v="10"/>
    <s v="NL_A"/>
    <x v="0"/>
    <x v="6"/>
    <s v="GNR_ST_COAL_CND_E-40"/>
    <x v="0"/>
    <x v="11"/>
    <n v="4875"/>
    <n v="1779375"/>
    <n v="6405750"/>
  </r>
  <r>
    <x v="0"/>
    <x v="0"/>
    <x v="0"/>
    <x v="6"/>
    <x v="10"/>
    <s v="NL_A"/>
    <x v="0"/>
    <x v="6"/>
    <s v="GNR_ST_COAL_CND_E-40"/>
    <x v="0"/>
    <x v="12"/>
    <n v="4875"/>
    <n v="1779375"/>
    <n v="6405750"/>
  </r>
  <r>
    <x v="0"/>
    <x v="0"/>
    <x v="0"/>
    <x v="6"/>
    <x v="10"/>
    <s v="NL_A"/>
    <x v="0"/>
    <x v="6"/>
    <s v="GNR_ST_COAL_CND_E-40"/>
    <x v="0"/>
    <x v="13"/>
    <n v="4875"/>
    <n v="1779375"/>
    <n v="6405750"/>
  </r>
  <r>
    <x v="0"/>
    <x v="0"/>
    <x v="0"/>
    <x v="6"/>
    <x v="10"/>
    <s v="NL_A"/>
    <x v="0"/>
    <x v="6"/>
    <s v="GNR_ST_COAL_CND_E-40"/>
    <x v="0"/>
    <x v="14"/>
    <n v="4875"/>
    <n v="1779375"/>
    <n v="6405750"/>
  </r>
  <r>
    <x v="0"/>
    <x v="0"/>
    <x v="0"/>
    <x v="6"/>
    <x v="10"/>
    <s v="NL_A"/>
    <x v="0"/>
    <x v="6"/>
    <s v="GNR_ST_COAL_CND_E-40"/>
    <x v="0"/>
    <x v="15"/>
    <n v="4875"/>
    <n v="1779375"/>
    <n v="6405750"/>
  </r>
  <r>
    <x v="0"/>
    <x v="0"/>
    <x v="0"/>
    <x v="6"/>
    <x v="10"/>
    <s v="NL_A"/>
    <x v="0"/>
    <x v="6"/>
    <s v="GNR_ST_COAL_CND_E-40"/>
    <x v="0"/>
    <x v="16"/>
    <n v="4875"/>
    <n v="1779375"/>
    <n v="6405750"/>
  </r>
  <r>
    <x v="0"/>
    <x v="0"/>
    <x v="0"/>
    <x v="6"/>
    <x v="10"/>
    <s v="NL_A"/>
    <x v="0"/>
    <x v="6"/>
    <s v="GNR_ST_COAL_CND_E-40"/>
    <x v="0"/>
    <x v="17"/>
    <n v="4875"/>
    <n v="1779375"/>
    <n v="6405750"/>
  </r>
  <r>
    <x v="0"/>
    <x v="0"/>
    <x v="0"/>
    <x v="6"/>
    <x v="10"/>
    <s v="NL_A"/>
    <x v="0"/>
    <x v="6"/>
    <s v="GNR_ST_COAL_CND_E-40"/>
    <x v="0"/>
    <x v="19"/>
    <n v="4875"/>
    <n v="1779375"/>
    <n v="6405750"/>
  </r>
  <r>
    <x v="0"/>
    <x v="0"/>
    <x v="0"/>
    <x v="6"/>
    <x v="10"/>
    <s v="NL_A"/>
    <x v="0"/>
    <x v="6"/>
    <s v="GNR_ST_COAL_CND_E-40"/>
    <x v="0"/>
    <x v="20"/>
    <n v="4875"/>
    <n v="1779375"/>
    <n v="6405750"/>
  </r>
  <r>
    <x v="0"/>
    <x v="0"/>
    <x v="0"/>
    <x v="6"/>
    <x v="10"/>
    <s v="NL_A"/>
    <x v="0"/>
    <x v="6"/>
    <s v="GNR_ST_COAL_CND_E-40"/>
    <x v="0"/>
    <x v="21"/>
    <n v="4875"/>
    <n v="1779375"/>
    <n v="6405750"/>
  </r>
  <r>
    <x v="0"/>
    <x v="0"/>
    <x v="0"/>
    <x v="6"/>
    <x v="10"/>
    <s v="NL_A"/>
    <x v="0"/>
    <x v="6"/>
    <s v="GNR_ST_COAL_CND_E-40"/>
    <x v="0"/>
    <x v="22"/>
    <n v="4875"/>
    <n v="1779375"/>
    <n v="6405750"/>
  </r>
  <r>
    <x v="0"/>
    <x v="0"/>
    <x v="0"/>
    <x v="6"/>
    <x v="10"/>
    <s v="NL_A"/>
    <x v="0"/>
    <x v="6"/>
    <s v="GNR_ST_COAL_CND_E-40"/>
    <x v="0"/>
    <x v="23"/>
    <n v="4875"/>
    <n v="1779375"/>
    <n v="6405750"/>
  </r>
  <r>
    <x v="0"/>
    <x v="0"/>
    <x v="0"/>
    <x v="6"/>
    <x v="10"/>
    <s v="NL_A"/>
    <x v="2"/>
    <x v="6"/>
    <s v="GNR_ST_MSW_CND_E-40"/>
    <x v="0"/>
    <x v="0"/>
    <n v="684"/>
    <n v="249660"/>
    <n v="898776"/>
  </r>
  <r>
    <x v="0"/>
    <x v="0"/>
    <x v="0"/>
    <x v="6"/>
    <x v="10"/>
    <s v="NL_A"/>
    <x v="2"/>
    <x v="6"/>
    <s v="GNR_ST_MSW_CND_E-40"/>
    <x v="0"/>
    <x v="1"/>
    <n v="684"/>
    <n v="249660"/>
    <n v="898776"/>
  </r>
  <r>
    <x v="0"/>
    <x v="0"/>
    <x v="0"/>
    <x v="6"/>
    <x v="10"/>
    <s v="NL_A"/>
    <x v="2"/>
    <x v="6"/>
    <s v="GNR_ST_MSW_CND_E-40"/>
    <x v="0"/>
    <x v="18"/>
    <n v="684"/>
    <n v="249660"/>
    <n v="898776"/>
  </r>
  <r>
    <x v="0"/>
    <x v="0"/>
    <x v="0"/>
    <x v="6"/>
    <x v="10"/>
    <s v="NL_A"/>
    <x v="2"/>
    <x v="6"/>
    <s v="GNR_ST_MSW_CND_E-40"/>
    <x v="0"/>
    <x v="2"/>
    <n v="684"/>
    <n v="249660"/>
    <n v="898776"/>
  </r>
  <r>
    <x v="0"/>
    <x v="0"/>
    <x v="0"/>
    <x v="6"/>
    <x v="10"/>
    <s v="NL_A"/>
    <x v="2"/>
    <x v="6"/>
    <s v="GNR_ST_MSW_CND_E-40"/>
    <x v="0"/>
    <x v="3"/>
    <n v="684"/>
    <n v="249660"/>
    <n v="898776"/>
  </r>
  <r>
    <x v="0"/>
    <x v="0"/>
    <x v="0"/>
    <x v="6"/>
    <x v="10"/>
    <s v="NL_A"/>
    <x v="2"/>
    <x v="6"/>
    <s v="GNR_ST_MSW_CND_E-40"/>
    <x v="0"/>
    <x v="4"/>
    <n v="684"/>
    <n v="249660"/>
    <n v="898776"/>
  </r>
  <r>
    <x v="0"/>
    <x v="0"/>
    <x v="0"/>
    <x v="6"/>
    <x v="10"/>
    <s v="NL_A"/>
    <x v="2"/>
    <x v="6"/>
    <s v="GNR_ST_MSW_CND_E-40"/>
    <x v="0"/>
    <x v="5"/>
    <n v="684"/>
    <n v="249660"/>
    <n v="898776"/>
  </r>
  <r>
    <x v="0"/>
    <x v="0"/>
    <x v="0"/>
    <x v="6"/>
    <x v="10"/>
    <s v="NL_A"/>
    <x v="2"/>
    <x v="6"/>
    <s v="GNR_ST_MSW_CND_E-40"/>
    <x v="0"/>
    <x v="6"/>
    <n v="684"/>
    <n v="249660"/>
    <n v="898776"/>
  </r>
  <r>
    <x v="0"/>
    <x v="0"/>
    <x v="0"/>
    <x v="6"/>
    <x v="10"/>
    <s v="NL_A"/>
    <x v="2"/>
    <x v="6"/>
    <s v="GNR_ST_MSW_CND_E-40"/>
    <x v="0"/>
    <x v="7"/>
    <n v="684"/>
    <n v="249660"/>
    <n v="898776"/>
  </r>
  <r>
    <x v="0"/>
    <x v="0"/>
    <x v="0"/>
    <x v="6"/>
    <x v="10"/>
    <s v="NL_A"/>
    <x v="2"/>
    <x v="6"/>
    <s v="GNR_ST_MSW_CND_E-40"/>
    <x v="0"/>
    <x v="8"/>
    <n v="684"/>
    <n v="249660"/>
    <n v="898776"/>
  </r>
  <r>
    <x v="0"/>
    <x v="0"/>
    <x v="0"/>
    <x v="6"/>
    <x v="10"/>
    <s v="NL_A"/>
    <x v="2"/>
    <x v="6"/>
    <s v="GNR_ST_MSW_CND_E-40"/>
    <x v="0"/>
    <x v="9"/>
    <n v="684"/>
    <n v="249660"/>
    <n v="898776"/>
  </r>
  <r>
    <x v="0"/>
    <x v="0"/>
    <x v="0"/>
    <x v="6"/>
    <x v="10"/>
    <s v="NL_A"/>
    <x v="2"/>
    <x v="6"/>
    <s v="GNR_ST_MSW_CND_E-40"/>
    <x v="0"/>
    <x v="10"/>
    <n v="684"/>
    <n v="249660"/>
    <n v="898776"/>
  </r>
  <r>
    <x v="0"/>
    <x v="0"/>
    <x v="0"/>
    <x v="6"/>
    <x v="10"/>
    <s v="NL_A"/>
    <x v="2"/>
    <x v="6"/>
    <s v="GNR_ST_MSW_CND_E-40"/>
    <x v="0"/>
    <x v="11"/>
    <n v="684"/>
    <n v="249660"/>
    <n v="898776"/>
  </r>
  <r>
    <x v="0"/>
    <x v="0"/>
    <x v="0"/>
    <x v="6"/>
    <x v="10"/>
    <s v="NL_A"/>
    <x v="2"/>
    <x v="6"/>
    <s v="GNR_ST_MSW_CND_E-40"/>
    <x v="0"/>
    <x v="12"/>
    <n v="684"/>
    <n v="249660"/>
    <n v="898776"/>
  </r>
  <r>
    <x v="0"/>
    <x v="0"/>
    <x v="0"/>
    <x v="6"/>
    <x v="10"/>
    <s v="NL_A"/>
    <x v="2"/>
    <x v="6"/>
    <s v="GNR_ST_MSW_CND_E-40"/>
    <x v="0"/>
    <x v="13"/>
    <n v="684"/>
    <n v="249660"/>
    <n v="898776"/>
  </r>
  <r>
    <x v="0"/>
    <x v="0"/>
    <x v="0"/>
    <x v="6"/>
    <x v="10"/>
    <s v="NL_A"/>
    <x v="2"/>
    <x v="6"/>
    <s v="GNR_ST_MSW_CND_E-40"/>
    <x v="0"/>
    <x v="14"/>
    <n v="684"/>
    <n v="249660"/>
    <n v="898776"/>
  </r>
  <r>
    <x v="0"/>
    <x v="0"/>
    <x v="0"/>
    <x v="6"/>
    <x v="10"/>
    <s v="NL_A"/>
    <x v="2"/>
    <x v="6"/>
    <s v="GNR_ST_MSW_CND_E-40"/>
    <x v="0"/>
    <x v="15"/>
    <n v="684"/>
    <n v="249660"/>
    <n v="898776"/>
  </r>
  <r>
    <x v="0"/>
    <x v="0"/>
    <x v="0"/>
    <x v="6"/>
    <x v="10"/>
    <s v="NL_A"/>
    <x v="2"/>
    <x v="6"/>
    <s v="GNR_ST_MSW_CND_E-40"/>
    <x v="0"/>
    <x v="16"/>
    <n v="684"/>
    <n v="249660"/>
    <n v="898776"/>
  </r>
  <r>
    <x v="0"/>
    <x v="0"/>
    <x v="0"/>
    <x v="6"/>
    <x v="10"/>
    <s v="NL_A"/>
    <x v="2"/>
    <x v="6"/>
    <s v="GNR_ST_MSW_CND_E-40"/>
    <x v="0"/>
    <x v="17"/>
    <n v="684"/>
    <n v="249660"/>
    <n v="898776"/>
  </r>
  <r>
    <x v="0"/>
    <x v="0"/>
    <x v="0"/>
    <x v="6"/>
    <x v="10"/>
    <s v="NL_A"/>
    <x v="2"/>
    <x v="6"/>
    <s v="GNR_ST_MSW_CND_E-40"/>
    <x v="0"/>
    <x v="19"/>
    <n v="684"/>
    <n v="249660"/>
    <n v="898776"/>
  </r>
  <r>
    <x v="0"/>
    <x v="0"/>
    <x v="0"/>
    <x v="6"/>
    <x v="10"/>
    <s v="NL_A"/>
    <x v="2"/>
    <x v="6"/>
    <s v="GNR_ST_MSW_CND_E-40"/>
    <x v="0"/>
    <x v="20"/>
    <n v="684"/>
    <n v="249660"/>
    <n v="898776"/>
  </r>
  <r>
    <x v="0"/>
    <x v="0"/>
    <x v="0"/>
    <x v="6"/>
    <x v="10"/>
    <s v="NL_A"/>
    <x v="2"/>
    <x v="6"/>
    <s v="GNR_ST_MSW_CND_E-40"/>
    <x v="0"/>
    <x v="21"/>
    <n v="684"/>
    <n v="249660"/>
    <n v="898776"/>
  </r>
  <r>
    <x v="0"/>
    <x v="0"/>
    <x v="0"/>
    <x v="6"/>
    <x v="10"/>
    <s v="NL_A"/>
    <x v="2"/>
    <x v="6"/>
    <s v="GNR_ST_MSW_CND_E-40"/>
    <x v="0"/>
    <x v="22"/>
    <n v="684"/>
    <n v="249660"/>
    <n v="898776"/>
  </r>
  <r>
    <x v="0"/>
    <x v="0"/>
    <x v="0"/>
    <x v="6"/>
    <x v="10"/>
    <s v="NL_A"/>
    <x v="2"/>
    <x v="6"/>
    <s v="GNR_ST_MSW_CND_E-40"/>
    <x v="0"/>
    <x v="23"/>
    <n v="684"/>
    <n v="249660"/>
    <n v="898776"/>
  </r>
  <r>
    <x v="0"/>
    <x v="0"/>
    <x v="0"/>
    <x v="6"/>
    <x v="10"/>
    <s v="NL_A"/>
    <x v="8"/>
    <x v="6"/>
    <s v="GNR_CC_NGAS_CND_E-38"/>
    <x v="0"/>
    <x v="16"/>
    <n v="699.11921115203199"/>
    <n v="255178.512070492"/>
    <n v="918642.64345376997"/>
  </r>
  <r>
    <x v="0"/>
    <x v="0"/>
    <x v="0"/>
    <x v="6"/>
    <x v="10"/>
    <s v="NL_A"/>
    <x v="14"/>
    <x v="6"/>
    <s v="GNR_ST_NUCL_CND_E-33"/>
    <x v="0"/>
    <x v="0"/>
    <n v="515"/>
    <n v="187975"/>
    <n v="676710"/>
  </r>
  <r>
    <x v="0"/>
    <x v="0"/>
    <x v="0"/>
    <x v="6"/>
    <x v="10"/>
    <s v="NL_A"/>
    <x v="14"/>
    <x v="6"/>
    <s v="GNR_ST_NUCL_CND_E-33"/>
    <x v="0"/>
    <x v="1"/>
    <n v="515"/>
    <n v="187975"/>
    <n v="676710"/>
  </r>
  <r>
    <x v="0"/>
    <x v="0"/>
    <x v="0"/>
    <x v="6"/>
    <x v="10"/>
    <s v="NL_A"/>
    <x v="14"/>
    <x v="6"/>
    <s v="GNR_ST_NUCL_CND_E-33"/>
    <x v="0"/>
    <x v="18"/>
    <n v="515"/>
    <n v="187975"/>
    <n v="676710"/>
  </r>
  <r>
    <x v="0"/>
    <x v="0"/>
    <x v="0"/>
    <x v="6"/>
    <x v="10"/>
    <s v="NL_A"/>
    <x v="14"/>
    <x v="6"/>
    <s v="GNR_ST_NUCL_CND_E-33"/>
    <x v="0"/>
    <x v="2"/>
    <n v="515"/>
    <n v="187975"/>
    <n v="676710"/>
  </r>
  <r>
    <x v="0"/>
    <x v="0"/>
    <x v="0"/>
    <x v="6"/>
    <x v="10"/>
    <s v="NL_A"/>
    <x v="14"/>
    <x v="6"/>
    <s v="GNR_ST_NUCL_CND_E-33"/>
    <x v="0"/>
    <x v="3"/>
    <n v="515"/>
    <n v="187975"/>
    <n v="676710"/>
  </r>
  <r>
    <x v="0"/>
    <x v="0"/>
    <x v="0"/>
    <x v="6"/>
    <x v="10"/>
    <s v="NL_A"/>
    <x v="14"/>
    <x v="6"/>
    <s v="GNR_ST_NUCL_CND_E-33"/>
    <x v="0"/>
    <x v="4"/>
    <n v="515"/>
    <n v="187975"/>
    <n v="676710"/>
  </r>
  <r>
    <x v="0"/>
    <x v="0"/>
    <x v="0"/>
    <x v="6"/>
    <x v="10"/>
    <s v="NL_A"/>
    <x v="14"/>
    <x v="6"/>
    <s v="GNR_ST_NUCL_CND_E-33"/>
    <x v="0"/>
    <x v="5"/>
    <n v="515"/>
    <n v="187975"/>
    <n v="676710"/>
  </r>
  <r>
    <x v="0"/>
    <x v="0"/>
    <x v="0"/>
    <x v="6"/>
    <x v="10"/>
    <s v="NL_A"/>
    <x v="14"/>
    <x v="6"/>
    <s v="GNR_ST_NUCL_CND_E-33"/>
    <x v="0"/>
    <x v="6"/>
    <n v="515"/>
    <n v="187975"/>
    <n v="676710"/>
  </r>
  <r>
    <x v="0"/>
    <x v="0"/>
    <x v="0"/>
    <x v="6"/>
    <x v="10"/>
    <s v="NL_A"/>
    <x v="14"/>
    <x v="6"/>
    <s v="GNR_ST_NUCL_CND_E-33"/>
    <x v="0"/>
    <x v="7"/>
    <n v="515"/>
    <n v="187975"/>
    <n v="676710"/>
  </r>
  <r>
    <x v="0"/>
    <x v="0"/>
    <x v="0"/>
    <x v="6"/>
    <x v="10"/>
    <s v="NL_A"/>
    <x v="14"/>
    <x v="6"/>
    <s v="GNR_ST_NUCL_CND_E-33"/>
    <x v="0"/>
    <x v="8"/>
    <n v="515"/>
    <n v="187975"/>
    <n v="676710"/>
  </r>
  <r>
    <x v="0"/>
    <x v="0"/>
    <x v="0"/>
    <x v="6"/>
    <x v="10"/>
    <s v="NL_A"/>
    <x v="14"/>
    <x v="6"/>
    <s v="GNR_ST_NUCL_CND_E-33"/>
    <x v="0"/>
    <x v="9"/>
    <n v="515"/>
    <n v="187975"/>
    <n v="676710"/>
  </r>
  <r>
    <x v="0"/>
    <x v="0"/>
    <x v="0"/>
    <x v="6"/>
    <x v="10"/>
    <s v="NL_A"/>
    <x v="14"/>
    <x v="6"/>
    <s v="GNR_ST_NUCL_CND_E-33"/>
    <x v="0"/>
    <x v="10"/>
    <n v="515"/>
    <n v="187975"/>
    <n v="676710"/>
  </r>
  <r>
    <x v="0"/>
    <x v="0"/>
    <x v="0"/>
    <x v="6"/>
    <x v="10"/>
    <s v="NL_A"/>
    <x v="14"/>
    <x v="6"/>
    <s v="GNR_ST_NUCL_CND_E-33"/>
    <x v="0"/>
    <x v="11"/>
    <n v="515"/>
    <n v="187975"/>
    <n v="676710"/>
  </r>
  <r>
    <x v="0"/>
    <x v="0"/>
    <x v="0"/>
    <x v="6"/>
    <x v="10"/>
    <s v="NL_A"/>
    <x v="14"/>
    <x v="6"/>
    <s v="GNR_ST_NUCL_CND_E-33"/>
    <x v="0"/>
    <x v="12"/>
    <n v="515"/>
    <n v="187975"/>
    <n v="676710"/>
  </r>
  <r>
    <x v="0"/>
    <x v="0"/>
    <x v="0"/>
    <x v="6"/>
    <x v="10"/>
    <s v="NL_A"/>
    <x v="14"/>
    <x v="6"/>
    <s v="GNR_ST_NUCL_CND_E-33"/>
    <x v="0"/>
    <x v="13"/>
    <n v="515"/>
    <n v="187975"/>
    <n v="676710"/>
  </r>
  <r>
    <x v="0"/>
    <x v="0"/>
    <x v="0"/>
    <x v="6"/>
    <x v="10"/>
    <s v="NL_A"/>
    <x v="14"/>
    <x v="6"/>
    <s v="GNR_ST_NUCL_CND_E-33"/>
    <x v="0"/>
    <x v="14"/>
    <n v="515"/>
    <n v="187975"/>
    <n v="676710"/>
  </r>
  <r>
    <x v="0"/>
    <x v="0"/>
    <x v="0"/>
    <x v="6"/>
    <x v="10"/>
    <s v="NL_A"/>
    <x v="14"/>
    <x v="6"/>
    <s v="GNR_ST_NUCL_CND_E-33"/>
    <x v="0"/>
    <x v="15"/>
    <n v="515"/>
    <n v="187975"/>
    <n v="676710"/>
  </r>
  <r>
    <x v="0"/>
    <x v="0"/>
    <x v="0"/>
    <x v="6"/>
    <x v="10"/>
    <s v="NL_A"/>
    <x v="14"/>
    <x v="6"/>
    <s v="GNR_ST_NUCL_CND_E-33"/>
    <x v="0"/>
    <x v="16"/>
    <n v="515"/>
    <n v="187975"/>
    <n v="676710"/>
  </r>
  <r>
    <x v="0"/>
    <x v="0"/>
    <x v="0"/>
    <x v="6"/>
    <x v="10"/>
    <s v="NL_A"/>
    <x v="14"/>
    <x v="6"/>
    <s v="GNR_ST_NUCL_CND_E-33"/>
    <x v="0"/>
    <x v="17"/>
    <n v="515"/>
    <n v="187975"/>
    <n v="676710"/>
  </r>
  <r>
    <x v="0"/>
    <x v="0"/>
    <x v="0"/>
    <x v="6"/>
    <x v="10"/>
    <s v="NL_A"/>
    <x v="14"/>
    <x v="6"/>
    <s v="GNR_ST_NUCL_CND_E-33"/>
    <x v="0"/>
    <x v="19"/>
    <n v="515"/>
    <n v="187975"/>
    <n v="676710"/>
  </r>
  <r>
    <x v="0"/>
    <x v="0"/>
    <x v="0"/>
    <x v="6"/>
    <x v="10"/>
    <s v="NL_A"/>
    <x v="14"/>
    <x v="6"/>
    <s v="GNR_ST_NUCL_CND_E-33"/>
    <x v="0"/>
    <x v="20"/>
    <n v="515"/>
    <n v="187975"/>
    <n v="676710"/>
  </r>
  <r>
    <x v="0"/>
    <x v="0"/>
    <x v="0"/>
    <x v="6"/>
    <x v="10"/>
    <s v="NL_A"/>
    <x v="14"/>
    <x v="6"/>
    <s v="GNR_ST_NUCL_CND_E-33"/>
    <x v="0"/>
    <x v="21"/>
    <n v="515"/>
    <n v="187975"/>
    <n v="676710"/>
  </r>
  <r>
    <x v="0"/>
    <x v="0"/>
    <x v="0"/>
    <x v="6"/>
    <x v="10"/>
    <s v="NL_A"/>
    <x v="14"/>
    <x v="6"/>
    <s v="GNR_ST_NUCL_CND_E-33"/>
    <x v="0"/>
    <x v="22"/>
    <n v="515"/>
    <n v="187975"/>
    <n v="676710"/>
  </r>
  <r>
    <x v="0"/>
    <x v="0"/>
    <x v="0"/>
    <x v="6"/>
    <x v="10"/>
    <s v="NL_A"/>
    <x v="14"/>
    <x v="6"/>
    <s v="GNR_ST_NUCL_CND_E-33"/>
    <x v="0"/>
    <x v="23"/>
    <n v="515"/>
    <n v="187975"/>
    <n v="676710"/>
  </r>
  <r>
    <x v="0"/>
    <x v="0"/>
    <x v="0"/>
    <x v="6"/>
    <x v="10"/>
    <s v="NL_A"/>
    <x v="5"/>
    <x v="3"/>
    <s v="GNR_PV_SUN"/>
    <x v="0"/>
    <x v="7"/>
    <n v="16.883927773781998"/>
    <n v="6162.6336374304401"/>
    <n v="22185.481094749601"/>
  </r>
  <r>
    <x v="0"/>
    <x v="0"/>
    <x v="0"/>
    <x v="6"/>
    <x v="10"/>
    <s v="NL_A"/>
    <x v="5"/>
    <x v="3"/>
    <s v="GNR_PV_SUN"/>
    <x v="0"/>
    <x v="8"/>
    <n v="127.105671650831"/>
    <n v="46393.5701525533"/>
    <n v="167016.852549192"/>
  </r>
  <r>
    <x v="0"/>
    <x v="0"/>
    <x v="0"/>
    <x v="6"/>
    <x v="10"/>
    <s v="NL_A"/>
    <x v="5"/>
    <x v="3"/>
    <s v="GNR_PV_SUN"/>
    <x v="0"/>
    <x v="9"/>
    <n v="293.60717477382002"/>
    <n v="107166.618792444"/>
    <n v="385799.82765279902"/>
  </r>
  <r>
    <x v="0"/>
    <x v="0"/>
    <x v="0"/>
    <x v="6"/>
    <x v="10"/>
    <s v="NL_A"/>
    <x v="5"/>
    <x v="3"/>
    <s v="GNR_PV_SUN"/>
    <x v="0"/>
    <x v="10"/>
    <n v="447.12104114774598"/>
    <n v="163199.180018927"/>
    <n v="587517.04806813796"/>
  </r>
  <r>
    <x v="0"/>
    <x v="0"/>
    <x v="0"/>
    <x v="6"/>
    <x v="10"/>
    <s v="NL_A"/>
    <x v="5"/>
    <x v="3"/>
    <s v="GNR_PV_SUN"/>
    <x v="0"/>
    <x v="11"/>
    <n v="508.33610235832998"/>
    <n v="185542.67736079"/>
    <n v="667953.63849884504"/>
  </r>
  <r>
    <x v="0"/>
    <x v="0"/>
    <x v="0"/>
    <x v="6"/>
    <x v="10"/>
    <s v="NL_A"/>
    <x v="5"/>
    <x v="3"/>
    <s v="GNR_PV_SUN"/>
    <x v="0"/>
    <x v="12"/>
    <n v="442.01257069311401"/>
    <n v="161334.58830298699"/>
    <n v="580804.51789075194"/>
  </r>
  <r>
    <x v="0"/>
    <x v="0"/>
    <x v="0"/>
    <x v="6"/>
    <x v="10"/>
    <s v="NL_A"/>
    <x v="5"/>
    <x v="3"/>
    <s v="GNR_PV_SUN"/>
    <x v="0"/>
    <x v="13"/>
    <n v="287.63286186925097"/>
    <n v="104985.994582277"/>
    <n v="377949.58049619599"/>
  </r>
  <r>
    <x v="0"/>
    <x v="0"/>
    <x v="0"/>
    <x v="6"/>
    <x v="10"/>
    <s v="NL_A"/>
    <x v="5"/>
    <x v="3"/>
    <s v="GNR_PV_SUN"/>
    <x v="0"/>
    <x v="14"/>
    <n v="145.634700079494"/>
    <n v="53156.665529015401"/>
    <n v="191363.99590445499"/>
  </r>
  <r>
    <x v="0"/>
    <x v="0"/>
    <x v="0"/>
    <x v="6"/>
    <x v="10"/>
    <s v="NL_A"/>
    <x v="5"/>
    <x v="3"/>
    <s v="GNR_PV_SUN"/>
    <x v="0"/>
    <x v="15"/>
    <n v="18.9619496536321"/>
    <n v="6921.1116235757299"/>
    <n v="24916.0018448726"/>
  </r>
  <r>
    <x v="0"/>
    <x v="0"/>
    <x v="0"/>
    <x v="6"/>
    <x v="10"/>
    <s v="NL_A"/>
    <x v="6"/>
    <x v="4"/>
    <s v="GNR_ROR_WTR"/>
    <x v="0"/>
    <x v="0"/>
    <n v="18.219178082191799"/>
    <n v="6650"/>
    <n v="23940"/>
  </r>
  <r>
    <x v="0"/>
    <x v="0"/>
    <x v="0"/>
    <x v="6"/>
    <x v="10"/>
    <s v="NL_A"/>
    <x v="6"/>
    <x v="4"/>
    <s v="GNR_ROR_WTR"/>
    <x v="0"/>
    <x v="1"/>
    <n v="18.219178082191799"/>
    <n v="6650"/>
    <n v="23940"/>
  </r>
  <r>
    <x v="0"/>
    <x v="0"/>
    <x v="0"/>
    <x v="6"/>
    <x v="10"/>
    <s v="NL_A"/>
    <x v="6"/>
    <x v="4"/>
    <s v="GNR_ROR_WTR"/>
    <x v="0"/>
    <x v="18"/>
    <n v="18.219178082191799"/>
    <n v="6650"/>
    <n v="23940"/>
  </r>
  <r>
    <x v="0"/>
    <x v="0"/>
    <x v="0"/>
    <x v="6"/>
    <x v="10"/>
    <s v="NL_A"/>
    <x v="6"/>
    <x v="4"/>
    <s v="GNR_ROR_WTR"/>
    <x v="0"/>
    <x v="2"/>
    <n v="18.219178082191799"/>
    <n v="6650"/>
    <n v="23940"/>
  </r>
  <r>
    <x v="0"/>
    <x v="0"/>
    <x v="0"/>
    <x v="6"/>
    <x v="10"/>
    <s v="NL_A"/>
    <x v="6"/>
    <x v="4"/>
    <s v="GNR_ROR_WTR"/>
    <x v="0"/>
    <x v="3"/>
    <n v="18.219178082191799"/>
    <n v="6650"/>
    <n v="23940"/>
  </r>
  <r>
    <x v="0"/>
    <x v="0"/>
    <x v="0"/>
    <x v="6"/>
    <x v="10"/>
    <s v="NL_A"/>
    <x v="6"/>
    <x v="4"/>
    <s v="GNR_ROR_WTR"/>
    <x v="0"/>
    <x v="4"/>
    <n v="18.219178082191799"/>
    <n v="6650"/>
    <n v="23940"/>
  </r>
  <r>
    <x v="0"/>
    <x v="0"/>
    <x v="0"/>
    <x v="6"/>
    <x v="10"/>
    <s v="NL_A"/>
    <x v="6"/>
    <x v="4"/>
    <s v="GNR_ROR_WTR"/>
    <x v="0"/>
    <x v="5"/>
    <n v="18.219178082191799"/>
    <n v="6650"/>
    <n v="23940"/>
  </r>
  <r>
    <x v="0"/>
    <x v="0"/>
    <x v="0"/>
    <x v="6"/>
    <x v="10"/>
    <s v="NL_A"/>
    <x v="6"/>
    <x v="4"/>
    <s v="GNR_ROR_WTR"/>
    <x v="0"/>
    <x v="6"/>
    <n v="18.219178082191799"/>
    <n v="6650"/>
    <n v="23940"/>
  </r>
  <r>
    <x v="0"/>
    <x v="0"/>
    <x v="0"/>
    <x v="6"/>
    <x v="10"/>
    <s v="NL_A"/>
    <x v="6"/>
    <x v="4"/>
    <s v="GNR_ROR_WTR"/>
    <x v="0"/>
    <x v="7"/>
    <n v="18.219178082191799"/>
    <n v="6650"/>
    <n v="23940"/>
  </r>
  <r>
    <x v="0"/>
    <x v="0"/>
    <x v="0"/>
    <x v="6"/>
    <x v="10"/>
    <s v="NL_A"/>
    <x v="6"/>
    <x v="4"/>
    <s v="GNR_ROR_WTR"/>
    <x v="0"/>
    <x v="8"/>
    <n v="18.219178082191799"/>
    <n v="6650"/>
    <n v="23940"/>
  </r>
  <r>
    <x v="0"/>
    <x v="0"/>
    <x v="0"/>
    <x v="6"/>
    <x v="10"/>
    <s v="NL_A"/>
    <x v="6"/>
    <x v="4"/>
    <s v="GNR_ROR_WTR"/>
    <x v="0"/>
    <x v="9"/>
    <n v="18.219178082191799"/>
    <n v="6650"/>
    <n v="23940"/>
  </r>
  <r>
    <x v="0"/>
    <x v="0"/>
    <x v="0"/>
    <x v="6"/>
    <x v="10"/>
    <s v="NL_A"/>
    <x v="6"/>
    <x v="4"/>
    <s v="GNR_ROR_WTR"/>
    <x v="0"/>
    <x v="10"/>
    <n v="18.219178082191799"/>
    <n v="6650"/>
    <n v="23940"/>
  </r>
  <r>
    <x v="0"/>
    <x v="0"/>
    <x v="0"/>
    <x v="6"/>
    <x v="10"/>
    <s v="NL_A"/>
    <x v="6"/>
    <x v="4"/>
    <s v="GNR_ROR_WTR"/>
    <x v="0"/>
    <x v="11"/>
    <n v="18.219178082191799"/>
    <n v="6650"/>
    <n v="23940"/>
  </r>
  <r>
    <x v="0"/>
    <x v="0"/>
    <x v="0"/>
    <x v="6"/>
    <x v="10"/>
    <s v="NL_A"/>
    <x v="6"/>
    <x v="4"/>
    <s v="GNR_ROR_WTR"/>
    <x v="0"/>
    <x v="12"/>
    <n v="18.219178082191799"/>
    <n v="6650"/>
    <n v="23940"/>
  </r>
  <r>
    <x v="0"/>
    <x v="0"/>
    <x v="0"/>
    <x v="6"/>
    <x v="10"/>
    <s v="NL_A"/>
    <x v="6"/>
    <x v="4"/>
    <s v="GNR_ROR_WTR"/>
    <x v="0"/>
    <x v="13"/>
    <n v="18.219178082191799"/>
    <n v="6650"/>
    <n v="23940"/>
  </r>
  <r>
    <x v="0"/>
    <x v="0"/>
    <x v="0"/>
    <x v="6"/>
    <x v="10"/>
    <s v="NL_A"/>
    <x v="6"/>
    <x v="4"/>
    <s v="GNR_ROR_WTR"/>
    <x v="0"/>
    <x v="14"/>
    <n v="18.219178082191799"/>
    <n v="6650"/>
    <n v="23940"/>
  </r>
  <r>
    <x v="0"/>
    <x v="0"/>
    <x v="0"/>
    <x v="6"/>
    <x v="10"/>
    <s v="NL_A"/>
    <x v="6"/>
    <x v="4"/>
    <s v="GNR_ROR_WTR"/>
    <x v="0"/>
    <x v="15"/>
    <n v="18.219178082191799"/>
    <n v="6650"/>
    <n v="23940"/>
  </r>
  <r>
    <x v="0"/>
    <x v="0"/>
    <x v="0"/>
    <x v="6"/>
    <x v="10"/>
    <s v="NL_A"/>
    <x v="6"/>
    <x v="4"/>
    <s v="GNR_ROR_WTR"/>
    <x v="0"/>
    <x v="16"/>
    <n v="18.219178082191799"/>
    <n v="6650"/>
    <n v="23940"/>
  </r>
  <r>
    <x v="0"/>
    <x v="0"/>
    <x v="0"/>
    <x v="6"/>
    <x v="10"/>
    <s v="NL_A"/>
    <x v="6"/>
    <x v="4"/>
    <s v="GNR_ROR_WTR"/>
    <x v="0"/>
    <x v="17"/>
    <n v="18.219178082191799"/>
    <n v="6650"/>
    <n v="23940"/>
  </r>
  <r>
    <x v="0"/>
    <x v="0"/>
    <x v="0"/>
    <x v="6"/>
    <x v="10"/>
    <s v="NL_A"/>
    <x v="6"/>
    <x v="4"/>
    <s v="GNR_ROR_WTR"/>
    <x v="0"/>
    <x v="19"/>
    <n v="18.219178082191799"/>
    <n v="6650"/>
    <n v="23940"/>
  </r>
  <r>
    <x v="0"/>
    <x v="0"/>
    <x v="0"/>
    <x v="6"/>
    <x v="10"/>
    <s v="NL_A"/>
    <x v="6"/>
    <x v="4"/>
    <s v="GNR_ROR_WTR"/>
    <x v="0"/>
    <x v="20"/>
    <n v="18.219178082191799"/>
    <n v="6650"/>
    <n v="23940"/>
  </r>
  <r>
    <x v="0"/>
    <x v="0"/>
    <x v="0"/>
    <x v="6"/>
    <x v="10"/>
    <s v="NL_A"/>
    <x v="6"/>
    <x v="4"/>
    <s v="GNR_ROR_WTR"/>
    <x v="0"/>
    <x v="21"/>
    <n v="18.219178082191799"/>
    <n v="6650"/>
    <n v="23940"/>
  </r>
  <r>
    <x v="0"/>
    <x v="0"/>
    <x v="0"/>
    <x v="6"/>
    <x v="10"/>
    <s v="NL_A"/>
    <x v="6"/>
    <x v="4"/>
    <s v="GNR_ROR_WTR"/>
    <x v="0"/>
    <x v="22"/>
    <n v="18.219178082191799"/>
    <n v="6650"/>
    <n v="23940"/>
  </r>
  <r>
    <x v="0"/>
    <x v="0"/>
    <x v="0"/>
    <x v="6"/>
    <x v="10"/>
    <s v="NL_A"/>
    <x v="6"/>
    <x v="4"/>
    <s v="GNR_ROR_WTR"/>
    <x v="0"/>
    <x v="23"/>
    <n v="18.219178082191799"/>
    <n v="6650"/>
    <n v="23940"/>
  </r>
  <r>
    <x v="0"/>
    <x v="0"/>
    <x v="0"/>
    <x v="6"/>
    <x v="10"/>
    <s v="NL_A"/>
    <x v="7"/>
    <x v="5"/>
    <s v="GNR_WT_WIND_OFF"/>
    <x v="0"/>
    <x v="0"/>
    <n v="55.210607732886402"/>
    <n v="20151.871822503501"/>
    <n v="72546.738561012695"/>
  </r>
  <r>
    <x v="0"/>
    <x v="0"/>
    <x v="0"/>
    <x v="6"/>
    <x v="10"/>
    <s v="NL_A"/>
    <x v="7"/>
    <x v="5"/>
    <s v="GNR_WT_WIND_OFF"/>
    <x v="0"/>
    <x v="1"/>
    <n v="65.846739402838594"/>
    <n v="24034.059882036101"/>
    <n v="86522.615575329895"/>
  </r>
  <r>
    <x v="0"/>
    <x v="0"/>
    <x v="0"/>
    <x v="6"/>
    <x v="10"/>
    <s v="NL_A"/>
    <x v="7"/>
    <x v="5"/>
    <s v="GNR_WT_WIND_OFF"/>
    <x v="0"/>
    <x v="18"/>
    <n v="62.482647804815798"/>
    <n v="22806.166448757798"/>
    <n v="82102.1992155279"/>
  </r>
  <r>
    <x v="0"/>
    <x v="0"/>
    <x v="0"/>
    <x v="6"/>
    <x v="10"/>
    <s v="NL_A"/>
    <x v="7"/>
    <x v="5"/>
    <s v="GNR_WT_WIND_OFF"/>
    <x v="0"/>
    <x v="2"/>
    <n v="65.283828522886694"/>
    <n v="23828.597410853701"/>
    <n v="85782.950679073198"/>
  </r>
  <r>
    <x v="0"/>
    <x v="0"/>
    <x v="0"/>
    <x v="6"/>
    <x v="10"/>
    <s v="NL_A"/>
    <x v="7"/>
    <x v="5"/>
    <s v="GNR_WT_WIND_OFF"/>
    <x v="0"/>
    <x v="3"/>
    <n v="66.024935285789894"/>
    <n v="24099.101379313299"/>
    <n v="86756.764965527997"/>
  </r>
  <r>
    <x v="0"/>
    <x v="0"/>
    <x v="0"/>
    <x v="6"/>
    <x v="10"/>
    <s v="NL_A"/>
    <x v="7"/>
    <x v="5"/>
    <s v="GNR_WT_WIND_OFF"/>
    <x v="0"/>
    <x v="4"/>
    <n v="72.629332161629904"/>
    <n v="26509.706238994899"/>
    <n v="95434.942460381702"/>
  </r>
  <r>
    <x v="0"/>
    <x v="0"/>
    <x v="0"/>
    <x v="6"/>
    <x v="10"/>
    <s v="NL_A"/>
    <x v="7"/>
    <x v="5"/>
    <s v="GNR_WT_WIND_OFF"/>
    <x v="0"/>
    <x v="5"/>
    <n v="73.046463281610897"/>
    <n v="26661.959097788"/>
    <n v="95983.052752036703"/>
  </r>
  <r>
    <x v="0"/>
    <x v="0"/>
    <x v="0"/>
    <x v="6"/>
    <x v="10"/>
    <s v="NL_A"/>
    <x v="7"/>
    <x v="5"/>
    <s v="GNR_WT_WIND_OFF"/>
    <x v="0"/>
    <x v="6"/>
    <n v="69.881411624717998"/>
    <n v="25506.715243022099"/>
    <n v="91824.174874879405"/>
  </r>
  <r>
    <x v="0"/>
    <x v="0"/>
    <x v="0"/>
    <x v="6"/>
    <x v="10"/>
    <s v="NL_A"/>
    <x v="7"/>
    <x v="5"/>
    <s v="GNR_WT_WIND_OFF"/>
    <x v="0"/>
    <x v="7"/>
    <n v="67.221960515529702"/>
    <n v="24536.015588168299"/>
    <n v="88329.656117406004"/>
  </r>
  <r>
    <x v="0"/>
    <x v="0"/>
    <x v="0"/>
    <x v="6"/>
    <x v="10"/>
    <s v="NL_A"/>
    <x v="7"/>
    <x v="5"/>
    <s v="GNR_WT_WIND_OFF"/>
    <x v="0"/>
    <x v="8"/>
    <n v="69.778271541859795"/>
    <n v="25469.069112778801"/>
    <n v="91688.648806003694"/>
  </r>
  <r>
    <x v="0"/>
    <x v="0"/>
    <x v="0"/>
    <x v="6"/>
    <x v="10"/>
    <s v="NL_A"/>
    <x v="7"/>
    <x v="5"/>
    <s v="GNR_WT_WIND_OFF"/>
    <x v="0"/>
    <x v="9"/>
    <n v="77.2823203335453"/>
    <n v="28208.046921744"/>
    <n v="101548.968918278"/>
  </r>
  <r>
    <x v="0"/>
    <x v="0"/>
    <x v="0"/>
    <x v="6"/>
    <x v="10"/>
    <s v="NL_A"/>
    <x v="7"/>
    <x v="5"/>
    <s v="GNR_WT_WIND_OFF"/>
    <x v="0"/>
    <x v="10"/>
    <n v="83.1641453175679"/>
    <n v="30354.913040912299"/>
    <n v="109277.686947284"/>
  </r>
  <r>
    <x v="0"/>
    <x v="0"/>
    <x v="0"/>
    <x v="6"/>
    <x v="10"/>
    <s v="NL_A"/>
    <x v="7"/>
    <x v="5"/>
    <s v="GNR_WT_WIND_OFF"/>
    <x v="0"/>
    <x v="11"/>
    <n v="96.015989647794797"/>
    <n v="35045.836221445097"/>
    <n v="126165.010397202"/>
  </r>
  <r>
    <x v="0"/>
    <x v="0"/>
    <x v="0"/>
    <x v="6"/>
    <x v="10"/>
    <s v="NL_A"/>
    <x v="7"/>
    <x v="5"/>
    <s v="GNR_WT_WIND_OFF"/>
    <x v="0"/>
    <x v="12"/>
    <n v="107.03100511983401"/>
    <n v="39066.316868739297"/>
    <n v="140638.74072746199"/>
  </r>
  <r>
    <x v="0"/>
    <x v="0"/>
    <x v="0"/>
    <x v="6"/>
    <x v="10"/>
    <s v="NL_A"/>
    <x v="7"/>
    <x v="5"/>
    <s v="GNR_WT_WIND_OFF"/>
    <x v="0"/>
    <x v="13"/>
    <n v="125.81943584469499"/>
    <n v="45924.094083313801"/>
    <n v="165326.73869992999"/>
  </r>
  <r>
    <x v="0"/>
    <x v="0"/>
    <x v="0"/>
    <x v="6"/>
    <x v="10"/>
    <s v="NL_A"/>
    <x v="7"/>
    <x v="5"/>
    <s v="GNR_WT_WIND_OFF"/>
    <x v="0"/>
    <x v="14"/>
    <n v="124.939008092262"/>
    <n v="45602.737953675503"/>
    <n v="164169.856633232"/>
  </r>
  <r>
    <x v="0"/>
    <x v="0"/>
    <x v="0"/>
    <x v="6"/>
    <x v="10"/>
    <s v="NL_A"/>
    <x v="7"/>
    <x v="5"/>
    <s v="GNR_WT_WIND_OFF"/>
    <x v="0"/>
    <x v="15"/>
    <n v="114.15703361553901"/>
    <n v="41667.317269671701"/>
    <n v="150002.34217081801"/>
  </r>
  <r>
    <x v="0"/>
    <x v="0"/>
    <x v="0"/>
    <x v="6"/>
    <x v="10"/>
    <s v="NL_A"/>
    <x v="7"/>
    <x v="5"/>
    <s v="GNR_WT_WIND_OFF"/>
    <x v="0"/>
    <x v="16"/>
    <n v="104.019552043614"/>
    <n v="37967.136495919302"/>
    <n v="136681.69138530901"/>
  </r>
  <r>
    <x v="0"/>
    <x v="0"/>
    <x v="0"/>
    <x v="6"/>
    <x v="10"/>
    <s v="NL_A"/>
    <x v="7"/>
    <x v="5"/>
    <s v="GNR_WT_WIND_OFF"/>
    <x v="0"/>
    <x v="17"/>
    <n v="101.145821755729"/>
    <n v="36918.224940841101"/>
    <n v="132905.60978702799"/>
  </r>
  <r>
    <x v="0"/>
    <x v="0"/>
    <x v="0"/>
    <x v="6"/>
    <x v="10"/>
    <s v="NL_A"/>
    <x v="7"/>
    <x v="5"/>
    <s v="GNR_WT_WIND_OFF"/>
    <x v="0"/>
    <x v="19"/>
    <n v="91.281462727270196"/>
    <n v="33317.733895453603"/>
    <n v="119943.842023633"/>
  </r>
  <r>
    <x v="0"/>
    <x v="0"/>
    <x v="0"/>
    <x v="6"/>
    <x v="10"/>
    <s v="NL_A"/>
    <x v="7"/>
    <x v="5"/>
    <s v="GNR_WT_WIND_OFF"/>
    <x v="0"/>
    <x v="20"/>
    <n v="68.345742304648397"/>
    <n v="24946.1959411967"/>
    <n v="89806.305388307999"/>
  </r>
  <r>
    <x v="0"/>
    <x v="0"/>
    <x v="0"/>
    <x v="6"/>
    <x v="10"/>
    <s v="NL_A"/>
    <x v="7"/>
    <x v="5"/>
    <s v="GNR_WT_WIND_OFF"/>
    <x v="0"/>
    <x v="21"/>
    <n v="67.417655454694994"/>
    <n v="24607.444240963701"/>
    <n v="88586.799267469207"/>
  </r>
  <r>
    <x v="0"/>
    <x v="0"/>
    <x v="0"/>
    <x v="6"/>
    <x v="10"/>
    <s v="NL_A"/>
    <x v="7"/>
    <x v="5"/>
    <s v="GNR_WT_WIND_OFF"/>
    <x v="0"/>
    <x v="22"/>
    <n v="55.770778636800898"/>
    <n v="20356.334202432299"/>
    <n v="73282.803128756394"/>
  </r>
  <r>
    <x v="0"/>
    <x v="0"/>
    <x v="0"/>
    <x v="6"/>
    <x v="10"/>
    <s v="NL_A"/>
    <x v="7"/>
    <x v="5"/>
    <s v="GNR_WT_WIND_OFF"/>
    <x v="0"/>
    <x v="23"/>
    <n v="51.601111505412099"/>
    <n v="18834.405699475399"/>
    <n v="67803.860518111498"/>
  </r>
  <r>
    <x v="0"/>
    <x v="0"/>
    <x v="0"/>
    <x v="6"/>
    <x v="10"/>
    <s v="NL_A"/>
    <x v="7"/>
    <x v="5"/>
    <s v="GNR_WT_WIND_ONS"/>
    <x v="0"/>
    <x v="0"/>
    <n v="551.21197841821004"/>
    <n v="201192.37212264701"/>
    <n v="724292.53964152804"/>
  </r>
  <r>
    <x v="0"/>
    <x v="0"/>
    <x v="0"/>
    <x v="6"/>
    <x v="10"/>
    <s v="NL_A"/>
    <x v="7"/>
    <x v="5"/>
    <s v="GNR_WT_WIND_ONS"/>
    <x v="0"/>
    <x v="1"/>
    <n v="657.40105007044497"/>
    <n v="239951.383275712"/>
    <n v="863824.97979256499"/>
  </r>
  <r>
    <x v="0"/>
    <x v="0"/>
    <x v="0"/>
    <x v="6"/>
    <x v="10"/>
    <s v="NL_A"/>
    <x v="7"/>
    <x v="5"/>
    <s v="GNR_WT_WIND_ONS"/>
    <x v="0"/>
    <x v="18"/>
    <n v="623.81461330637899"/>
    <n v="227692.33385682901"/>
    <n v="819692.40188458306"/>
  </r>
  <r>
    <x v="0"/>
    <x v="0"/>
    <x v="0"/>
    <x v="6"/>
    <x v="10"/>
    <s v="NL_A"/>
    <x v="7"/>
    <x v="5"/>
    <s v="GNR_WT_WIND_ONS"/>
    <x v="0"/>
    <x v="2"/>
    <n v="651.78105723659405"/>
    <n v="237900.08589135701"/>
    <n v="856440.30920888402"/>
  </r>
  <r>
    <x v="0"/>
    <x v="0"/>
    <x v="0"/>
    <x v="6"/>
    <x v="10"/>
    <s v="NL_A"/>
    <x v="7"/>
    <x v="5"/>
    <s v="GNR_WT_WIND_ONS"/>
    <x v="0"/>
    <x v="3"/>
    <n v="659.18012313667202"/>
    <n v="240600.74494488499"/>
    <n v="866162.68180158699"/>
  </r>
  <r>
    <x v="0"/>
    <x v="0"/>
    <x v="0"/>
    <x v="6"/>
    <x v="10"/>
    <s v="NL_A"/>
    <x v="7"/>
    <x v="5"/>
    <s v="GNR_WT_WIND_ONS"/>
    <x v="0"/>
    <x v="4"/>
    <n v="725.11713809951095"/>
    <n v="264667.75540632202"/>
    <n v="952803.919462758"/>
  </r>
  <r>
    <x v="0"/>
    <x v="0"/>
    <x v="0"/>
    <x v="6"/>
    <x v="10"/>
    <s v="NL_A"/>
    <x v="7"/>
    <x v="5"/>
    <s v="GNR_WT_WIND_ONS"/>
    <x v="0"/>
    <x v="5"/>
    <n v="729.28169413948297"/>
    <n v="266187.81836091098"/>
    <n v="958276.14609928103"/>
  </r>
  <r>
    <x v="0"/>
    <x v="0"/>
    <x v="0"/>
    <x v="6"/>
    <x v="10"/>
    <s v="NL_A"/>
    <x v="7"/>
    <x v="5"/>
    <s v="GNR_WT_WIND_ONS"/>
    <x v="0"/>
    <x v="6"/>
    <n v="697.68243346783197"/>
    <n v="254654.08821575899"/>
    <n v="916754.71757673204"/>
  </r>
  <r>
    <x v="0"/>
    <x v="0"/>
    <x v="0"/>
    <x v="6"/>
    <x v="10"/>
    <s v="NL_A"/>
    <x v="7"/>
    <x v="5"/>
    <s v="GNR_WT_WIND_ONS"/>
    <x v="0"/>
    <x v="7"/>
    <n v="671.13099041010605"/>
    <n v="244962.81149968901"/>
    <n v="881866.12139887898"/>
  </r>
  <r>
    <x v="0"/>
    <x v="0"/>
    <x v="0"/>
    <x v="6"/>
    <x v="10"/>
    <s v="NL_A"/>
    <x v="7"/>
    <x v="5"/>
    <s v="GNR_WT_WIND_ONS"/>
    <x v="0"/>
    <x v="8"/>
    <n v="696.65270292399202"/>
    <n v="254278.236567257"/>
    <n v="915401.65164212603"/>
  </r>
  <r>
    <x v="0"/>
    <x v="0"/>
    <x v="0"/>
    <x v="6"/>
    <x v="10"/>
    <s v="NL_A"/>
    <x v="7"/>
    <x v="5"/>
    <s v="GNR_WT_WIND_ONS"/>
    <x v="0"/>
    <x v="9"/>
    <n v="771.57166778349199"/>
    <n v="281623.65874097502"/>
    <n v="1013845.1714675101"/>
  </r>
  <r>
    <x v="0"/>
    <x v="0"/>
    <x v="0"/>
    <x v="6"/>
    <x v="10"/>
    <s v="NL_A"/>
    <x v="7"/>
    <x v="5"/>
    <s v="GNR_WT_WIND_ONS"/>
    <x v="0"/>
    <x v="10"/>
    <n v="830.29466539725695"/>
    <n v="303057.55286999902"/>
    <n v="1091007.1903319999"/>
  </r>
  <r>
    <x v="0"/>
    <x v="0"/>
    <x v="0"/>
    <x v="6"/>
    <x v="10"/>
    <s v="NL_A"/>
    <x v="7"/>
    <x v="5"/>
    <s v="GNR_WT_WIND_ONS"/>
    <x v="0"/>
    <x v="11"/>
    <n v="958.60498166583704"/>
    <n v="349890.81830803101"/>
    <n v="1259606.9459089099"/>
  </r>
  <r>
    <x v="0"/>
    <x v="0"/>
    <x v="0"/>
    <x v="6"/>
    <x v="10"/>
    <s v="NL_A"/>
    <x v="7"/>
    <x v="5"/>
    <s v="GNR_WT_WIND_ONS"/>
    <x v="0"/>
    <x v="12"/>
    <n v="1068.5767555688701"/>
    <n v="390030.51578263601"/>
    <n v="1404109.85681749"/>
  </r>
  <r>
    <x v="0"/>
    <x v="0"/>
    <x v="0"/>
    <x v="6"/>
    <x v="10"/>
    <s v="NL_A"/>
    <x v="7"/>
    <x v="5"/>
    <s v="GNR_WT_WIND_ONS"/>
    <x v="0"/>
    <x v="13"/>
    <n v="1256.1567967328699"/>
    <n v="458497.23080749699"/>
    <n v="1650590.0309069899"/>
  </r>
  <r>
    <x v="0"/>
    <x v="0"/>
    <x v="0"/>
    <x v="6"/>
    <x v="10"/>
    <s v="NL_A"/>
    <x v="7"/>
    <x v="5"/>
    <s v="GNR_WT_WIND_ONS"/>
    <x v="0"/>
    <x v="14"/>
    <n v="1247.3667771478399"/>
    <n v="455288.87365896202"/>
    <n v="1639039.94517226"/>
  </r>
  <r>
    <x v="0"/>
    <x v="0"/>
    <x v="0"/>
    <x v="6"/>
    <x v="10"/>
    <s v="NL_A"/>
    <x v="7"/>
    <x v="5"/>
    <s v="GNR_WT_WIND_ONS"/>
    <x v="0"/>
    <x v="15"/>
    <n v="1139.72163925473"/>
    <n v="415998.39832797699"/>
    <n v="1497594.2339807199"/>
  </r>
  <r>
    <x v="0"/>
    <x v="0"/>
    <x v="0"/>
    <x v="6"/>
    <x v="10"/>
    <s v="NL_A"/>
    <x v="7"/>
    <x v="5"/>
    <s v="GNR_WT_WIND_ONS"/>
    <x v="0"/>
    <x v="16"/>
    <n v="1038.5109932775399"/>
    <n v="379056.51254630298"/>
    <n v="1364603.44516669"/>
  </r>
  <r>
    <x v="0"/>
    <x v="0"/>
    <x v="0"/>
    <x v="6"/>
    <x v="10"/>
    <s v="NL_A"/>
    <x v="7"/>
    <x v="5"/>
    <s v="GNR_WT_WIND_ONS"/>
    <x v="0"/>
    <x v="17"/>
    <n v="1009.820228541"/>
    <n v="368584.38341746602"/>
    <n v="1326903.7803028801"/>
  </r>
  <r>
    <x v="0"/>
    <x v="0"/>
    <x v="0"/>
    <x v="6"/>
    <x v="10"/>
    <s v="NL_A"/>
    <x v="7"/>
    <x v="5"/>
    <s v="GNR_WT_WIND_ONS"/>
    <x v="0"/>
    <x v="19"/>
    <n v="911.33638496132903"/>
    <n v="332637.780510885"/>
    <n v="1197496.0098391899"/>
  </r>
  <r>
    <x v="0"/>
    <x v="0"/>
    <x v="0"/>
    <x v="6"/>
    <x v="10"/>
    <s v="NL_A"/>
    <x v="7"/>
    <x v="5"/>
    <s v="GNR_WT_WIND_ONS"/>
    <x v="0"/>
    <x v="20"/>
    <n v="682.35060940592302"/>
    <n v="249057.97243316201"/>
    <n v="896608.70075938199"/>
  </r>
  <r>
    <x v="0"/>
    <x v="0"/>
    <x v="0"/>
    <x v="6"/>
    <x v="10"/>
    <s v="NL_A"/>
    <x v="7"/>
    <x v="5"/>
    <s v="GNR_WT_WIND_ONS"/>
    <x v="0"/>
    <x v="21"/>
    <n v="673.08477065294699"/>
    <n v="245675.94128832599"/>
    <n v="884433.38863797195"/>
  </r>
  <r>
    <x v="0"/>
    <x v="0"/>
    <x v="0"/>
    <x v="6"/>
    <x v="10"/>
    <s v="NL_A"/>
    <x v="7"/>
    <x v="5"/>
    <s v="GNR_WT_WIND_ONS"/>
    <x v="0"/>
    <x v="22"/>
    <n v="556.80461586376896"/>
    <n v="203233.68479027599"/>
    <n v="731641.26524499303"/>
  </r>
  <r>
    <x v="0"/>
    <x v="0"/>
    <x v="0"/>
    <x v="6"/>
    <x v="10"/>
    <s v="NL_A"/>
    <x v="7"/>
    <x v="5"/>
    <s v="GNR_WT_WIND_ONS"/>
    <x v="0"/>
    <x v="23"/>
    <n v="515.17546952366899"/>
    <n v="188039.04637613901"/>
    <n v="676940.56695410097"/>
  </r>
  <r>
    <x v="0"/>
    <x v="0"/>
    <x v="0"/>
    <x v="6"/>
    <x v="10"/>
    <s v="NL_A"/>
    <x v="12"/>
    <x v="6"/>
    <s v="GNR_ST_WOOD_CND_E-50"/>
    <x v="0"/>
    <x v="6"/>
    <n v="232.57822213810201"/>
    <n v="84891.051080407298"/>
    <n v="305607.78388946602"/>
  </r>
  <r>
    <x v="0"/>
    <x v="0"/>
    <x v="0"/>
    <x v="6"/>
    <x v="10"/>
    <s v="NL_A"/>
    <x v="12"/>
    <x v="6"/>
    <s v="GNR_ST_WOOD_CND_E-50"/>
    <x v="0"/>
    <x v="7"/>
    <n v="400"/>
    <n v="146000"/>
    <n v="525600"/>
  </r>
  <r>
    <x v="0"/>
    <x v="0"/>
    <x v="0"/>
    <x v="6"/>
    <x v="10"/>
    <s v="NL_A"/>
    <x v="12"/>
    <x v="6"/>
    <s v="GNR_ST_WOOD_CND_E-50"/>
    <x v="0"/>
    <x v="8"/>
    <n v="400"/>
    <n v="146000"/>
    <n v="525600"/>
  </r>
  <r>
    <x v="0"/>
    <x v="0"/>
    <x v="0"/>
    <x v="6"/>
    <x v="10"/>
    <s v="NL_A"/>
    <x v="12"/>
    <x v="6"/>
    <s v="GNR_ST_WOOD_CND_E-50"/>
    <x v="0"/>
    <x v="9"/>
    <n v="400"/>
    <n v="146000"/>
    <n v="525600"/>
  </r>
  <r>
    <x v="0"/>
    <x v="0"/>
    <x v="0"/>
    <x v="6"/>
    <x v="10"/>
    <s v="NL_A"/>
    <x v="12"/>
    <x v="6"/>
    <s v="GNR_ST_WOOD_CND_E-50"/>
    <x v="0"/>
    <x v="10"/>
    <n v="400"/>
    <n v="146000"/>
    <n v="525600"/>
  </r>
  <r>
    <x v="0"/>
    <x v="0"/>
    <x v="0"/>
    <x v="6"/>
    <x v="10"/>
    <s v="NL_A"/>
    <x v="12"/>
    <x v="6"/>
    <s v="GNR_ST_WOOD_CND_E-50"/>
    <x v="0"/>
    <x v="11"/>
    <n v="400"/>
    <n v="146000"/>
    <n v="525600"/>
  </r>
  <r>
    <x v="0"/>
    <x v="0"/>
    <x v="0"/>
    <x v="6"/>
    <x v="10"/>
    <s v="NL_A"/>
    <x v="12"/>
    <x v="6"/>
    <s v="GNR_ST_WOOD_CND_E-50"/>
    <x v="0"/>
    <x v="12"/>
    <n v="400"/>
    <n v="146000"/>
    <n v="525600"/>
  </r>
  <r>
    <x v="0"/>
    <x v="0"/>
    <x v="0"/>
    <x v="6"/>
    <x v="10"/>
    <s v="NL_A"/>
    <x v="12"/>
    <x v="6"/>
    <s v="GNR_ST_WOOD_CND_E-50"/>
    <x v="0"/>
    <x v="13"/>
    <n v="400"/>
    <n v="146000"/>
    <n v="525600"/>
  </r>
  <r>
    <x v="0"/>
    <x v="0"/>
    <x v="0"/>
    <x v="6"/>
    <x v="10"/>
    <s v="NL_A"/>
    <x v="12"/>
    <x v="6"/>
    <s v="GNR_ST_WOOD_CND_E-50"/>
    <x v="0"/>
    <x v="14"/>
    <n v="400"/>
    <n v="146000"/>
    <n v="525600"/>
  </r>
  <r>
    <x v="0"/>
    <x v="0"/>
    <x v="0"/>
    <x v="6"/>
    <x v="10"/>
    <s v="NL_A"/>
    <x v="12"/>
    <x v="6"/>
    <s v="GNR_ST_WOOD_CND_E-50"/>
    <x v="0"/>
    <x v="15"/>
    <n v="400"/>
    <n v="146000"/>
    <n v="525600"/>
  </r>
  <r>
    <x v="0"/>
    <x v="0"/>
    <x v="0"/>
    <x v="6"/>
    <x v="10"/>
    <s v="NL_A"/>
    <x v="12"/>
    <x v="6"/>
    <s v="GNR_ST_WOOD_CND_E-50"/>
    <x v="0"/>
    <x v="16"/>
    <n v="400"/>
    <n v="146000"/>
    <n v="525600"/>
  </r>
  <r>
    <x v="0"/>
    <x v="0"/>
    <x v="0"/>
    <x v="6"/>
    <x v="10"/>
    <s v="NL_A"/>
    <x v="12"/>
    <x v="6"/>
    <s v="GNR_ST_WOOD_CND_E-50"/>
    <x v="0"/>
    <x v="17"/>
    <n v="400"/>
    <n v="146000"/>
    <n v="525600"/>
  </r>
  <r>
    <x v="0"/>
    <x v="0"/>
    <x v="0"/>
    <x v="6"/>
    <x v="10"/>
    <s v="NL_A"/>
    <x v="12"/>
    <x v="6"/>
    <s v="GNR_ST_WOOD_CND_E-50"/>
    <x v="0"/>
    <x v="19"/>
    <n v="400"/>
    <n v="146000"/>
    <n v="525600"/>
  </r>
  <r>
    <x v="0"/>
    <x v="0"/>
    <x v="0"/>
    <x v="6"/>
    <x v="10"/>
    <s v="NL_A"/>
    <x v="12"/>
    <x v="6"/>
    <s v="GNR_ST_WOOD_CND_E-50"/>
    <x v="0"/>
    <x v="20"/>
    <n v="400"/>
    <n v="146000"/>
    <n v="525600"/>
  </r>
  <r>
    <x v="0"/>
    <x v="0"/>
    <x v="0"/>
    <x v="6"/>
    <x v="10"/>
    <s v="NL_A"/>
    <x v="12"/>
    <x v="6"/>
    <s v="GNR_ST_WOOD_CND_E-50"/>
    <x v="0"/>
    <x v="21"/>
    <n v="400"/>
    <n v="146000"/>
    <n v="525600"/>
  </r>
  <r>
    <x v="0"/>
    <x v="0"/>
    <x v="0"/>
    <x v="7"/>
    <x v="11"/>
    <s v="NO1_A1"/>
    <x v="2"/>
    <x v="2"/>
    <s v="GBPR_MUNIWASTE"/>
    <x v="0"/>
    <x v="0"/>
    <n v="8.1999999999999993"/>
    <n v="2993"/>
    <n v="10774.8"/>
  </r>
  <r>
    <x v="0"/>
    <x v="0"/>
    <x v="0"/>
    <x v="7"/>
    <x v="11"/>
    <s v="NO1_A1"/>
    <x v="2"/>
    <x v="2"/>
    <s v="GBPR_MUNIWASTE"/>
    <x v="0"/>
    <x v="1"/>
    <n v="8.1999999999999993"/>
    <n v="2993"/>
    <n v="10774.8"/>
  </r>
  <r>
    <x v="0"/>
    <x v="0"/>
    <x v="0"/>
    <x v="7"/>
    <x v="11"/>
    <s v="NO1_A1"/>
    <x v="2"/>
    <x v="2"/>
    <s v="GBPR_MUNIWASTE"/>
    <x v="0"/>
    <x v="18"/>
    <n v="8.1999999999999993"/>
    <n v="2993"/>
    <n v="10774.8"/>
  </r>
  <r>
    <x v="0"/>
    <x v="0"/>
    <x v="0"/>
    <x v="7"/>
    <x v="11"/>
    <s v="NO1_A1"/>
    <x v="2"/>
    <x v="2"/>
    <s v="GBPR_MUNIWASTE"/>
    <x v="0"/>
    <x v="2"/>
    <n v="8.1999999999999993"/>
    <n v="2993"/>
    <n v="10774.8"/>
  </r>
  <r>
    <x v="0"/>
    <x v="0"/>
    <x v="0"/>
    <x v="7"/>
    <x v="11"/>
    <s v="NO1_A1"/>
    <x v="2"/>
    <x v="2"/>
    <s v="GBPR_MUNIWASTE"/>
    <x v="0"/>
    <x v="3"/>
    <n v="8.1999999999999993"/>
    <n v="2993"/>
    <n v="10774.8"/>
  </r>
  <r>
    <x v="0"/>
    <x v="0"/>
    <x v="0"/>
    <x v="7"/>
    <x v="11"/>
    <s v="NO1_A1"/>
    <x v="2"/>
    <x v="2"/>
    <s v="GBPR_MUNIWASTE"/>
    <x v="0"/>
    <x v="4"/>
    <n v="8.1999999999999993"/>
    <n v="2993"/>
    <n v="10774.8"/>
  </r>
  <r>
    <x v="0"/>
    <x v="0"/>
    <x v="0"/>
    <x v="7"/>
    <x v="11"/>
    <s v="NO1_A1"/>
    <x v="2"/>
    <x v="2"/>
    <s v="GBPR_MUNIWASTE"/>
    <x v="0"/>
    <x v="5"/>
    <n v="8.1999999999999993"/>
    <n v="2993"/>
    <n v="10774.8"/>
  </r>
  <r>
    <x v="0"/>
    <x v="0"/>
    <x v="0"/>
    <x v="7"/>
    <x v="11"/>
    <s v="NO1_A1"/>
    <x v="2"/>
    <x v="2"/>
    <s v="GBPR_MUNIWASTE"/>
    <x v="0"/>
    <x v="6"/>
    <n v="8.1999999999999993"/>
    <n v="2993"/>
    <n v="10774.8"/>
  </r>
  <r>
    <x v="0"/>
    <x v="0"/>
    <x v="0"/>
    <x v="7"/>
    <x v="11"/>
    <s v="NO1_A1"/>
    <x v="2"/>
    <x v="2"/>
    <s v="GBPR_MUNIWASTE"/>
    <x v="0"/>
    <x v="7"/>
    <n v="8.1999999999999993"/>
    <n v="2993"/>
    <n v="10774.8"/>
  </r>
  <r>
    <x v="0"/>
    <x v="0"/>
    <x v="0"/>
    <x v="7"/>
    <x v="11"/>
    <s v="NO1_A1"/>
    <x v="2"/>
    <x v="2"/>
    <s v="GBPR_MUNIWASTE"/>
    <x v="0"/>
    <x v="8"/>
    <n v="8.1999999999999993"/>
    <n v="2993"/>
    <n v="10774.8"/>
  </r>
  <r>
    <x v="0"/>
    <x v="0"/>
    <x v="0"/>
    <x v="7"/>
    <x v="11"/>
    <s v="NO1_A1"/>
    <x v="2"/>
    <x v="2"/>
    <s v="GBPR_MUNIWASTE"/>
    <x v="0"/>
    <x v="9"/>
    <n v="8.1999999999999993"/>
    <n v="2993"/>
    <n v="10774.8"/>
  </r>
  <r>
    <x v="0"/>
    <x v="0"/>
    <x v="0"/>
    <x v="7"/>
    <x v="11"/>
    <s v="NO1_A1"/>
    <x v="2"/>
    <x v="2"/>
    <s v="GBPR_MUNIWASTE"/>
    <x v="0"/>
    <x v="10"/>
    <n v="8.1999999999999993"/>
    <n v="2993"/>
    <n v="10774.8"/>
  </r>
  <r>
    <x v="0"/>
    <x v="0"/>
    <x v="0"/>
    <x v="7"/>
    <x v="11"/>
    <s v="NO1_A1"/>
    <x v="2"/>
    <x v="2"/>
    <s v="GBPR_MUNIWASTE"/>
    <x v="0"/>
    <x v="11"/>
    <n v="8.1999999999999993"/>
    <n v="2993"/>
    <n v="10774.8"/>
  </r>
  <r>
    <x v="0"/>
    <x v="0"/>
    <x v="0"/>
    <x v="7"/>
    <x v="11"/>
    <s v="NO1_A1"/>
    <x v="2"/>
    <x v="2"/>
    <s v="GBPR_MUNIWASTE"/>
    <x v="0"/>
    <x v="12"/>
    <n v="8.1999999999999993"/>
    <n v="2993"/>
    <n v="10774.8"/>
  </r>
  <r>
    <x v="0"/>
    <x v="0"/>
    <x v="0"/>
    <x v="7"/>
    <x v="11"/>
    <s v="NO1_A1"/>
    <x v="2"/>
    <x v="2"/>
    <s v="GBPR_MUNIWASTE"/>
    <x v="0"/>
    <x v="13"/>
    <n v="8.1999999999999993"/>
    <n v="2993"/>
    <n v="10774.8"/>
  </r>
  <r>
    <x v="0"/>
    <x v="0"/>
    <x v="0"/>
    <x v="7"/>
    <x v="11"/>
    <s v="NO1_A1"/>
    <x v="2"/>
    <x v="2"/>
    <s v="GBPR_MUNIWASTE"/>
    <x v="0"/>
    <x v="14"/>
    <n v="8.1999999999999993"/>
    <n v="2993"/>
    <n v="10774.8"/>
  </r>
  <r>
    <x v="0"/>
    <x v="0"/>
    <x v="0"/>
    <x v="7"/>
    <x v="11"/>
    <s v="NO1_A1"/>
    <x v="2"/>
    <x v="2"/>
    <s v="GBPR_MUNIWASTE"/>
    <x v="0"/>
    <x v="15"/>
    <n v="8.1999999999999993"/>
    <n v="2993"/>
    <n v="10774.8"/>
  </r>
  <r>
    <x v="0"/>
    <x v="0"/>
    <x v="0"/>
    <x v="7"/>
    <x v="11"/>
    <s v="NO1_A1"/>
    <x v="2"/>
    <x v="2"/>
    <s v="GBPR_MUNIWASTE"/>
    <x v="0"/>
    <x v="16"/>
    <n v="8.1999999999999993"/>
    <n v="2993"/>
    <n v="10774.8"/>
  </r>
  <r>
    <x v="0"/>
    <x v="0"/>
    <x v="0"/>
    <x v="7"/>
    <x v="11"/>
    <s v="NO1_A1"/>
    <x v="2"/>
    <x v="2"/>
    <s v="GBPR_MUNIWASTE"/>
    <x v="0"/>
    <x v="17"/>
    <n v="8.1999999999999993"/>
    <n v="2993"/>
    <n v="10774.8"/>
  </r>
  <r>
    <x v="0"/>
    <x v="0"/>
    <x v="0"/>
    <x v="7"/>
    <x v="11"/>
    <s v="NO1_A1"/>
    <x v="2"/>
    <x v="2"/>
    <s v="GBPR_MUNIWASTE"/>
    <x v="0"/>
    <x v="19"/>
    <n v="8.1999999999999993"/>
    <n v="2993"/>
    <n v="10774.8"/>
  </r>
  <r>
    <x v="0"/>
    <x v="0"/>
    <x v="0"/>
    <x v="7"/>
    <x v="11"/>
    <s v="NO1_A1"/>
    <x v="2"/>
    <x v="2"/>
    <s v="GBPR_MUNIWASTE"/>
    <x v="0"/>
    <x v="20"/>
    <n v="8.1999999999999993"/>
    <n v="2993"/>
    <n v="10774.8"/>
  </r>
  <r>
    <x v="0"/>
    <x v="0"/>
    <x v="0"/>
    <x v="7"/>
    <x v="11"/>
    <s v="NO1_A1"/>
    <x v="2"/>
    <x v="2"/>
    <s v="GBPR_MUNIWASTE"/>
    <x v="0"/>
    <x v="21"/>
    <n v="8.1999999999999993"/>
    <n v="2993"/>
    <n v="10774.8"/>
  </r>
  <r>
    <x v="0"/>
    <x v="0"/>
    <x v="0"/>
    <x v="7"/>
    <x v="11"/>
    <s v="NO1_A1"/>
    <x v="2"/>
    <x v="2"/>
    <s v="GBPR_MUNIWASTE"/>
    <x v="0"/>
    <x v="22"/>
    <n v="8.1999999999999993"/>
    <n v="2993"/>
    <n v="10774.8"/>
  </r>
  <r>
    <x v="0"/>
    <x v="0"/>
    <x v="0"/>
    <x v="7"/>
    <x v="11"/>
    <s v="NO1_A1"/>
    <x v="2"/>
    <x v="2"/>
    <s v="GBPR_MUNIWASTE"/>
    <x v="0"/>
    <x v="23"/>
    <n v="8.1999999999999993"/>
    <n v="2993"/>
    <n v="10774.8"/>
  </r>
  <r>
    <x v="0"/>
    <x v="0"/>
    <x v="0"/>
    <x v="7"/>
    <x v="11"/>
    <s v="NO1_A1"/>
    <x v="6"/>
    <x v="7"/>
    <s v="GNR_RES_WTR_NOPMP_MC-01"/>
    <x v="0"/>
    <x v="0"/>
    <n v="160"/>
    <n v="58400"/>
    <n v="210240"/>
  </r>
  <r>
    <x v="0"/>
    <x v="0"/>
    <x v="0"/>
    <x v="7"/>
    <x v="11"/>
    <s v="NO1_A1"/>
    <x v="6"/>
    <x v="7"/>
    <s v="GNR_RES_WTR_NOPMP_MC-01"/>
    <x v="0"/>
    <x v="1"/>
    <n v="160"/>
    <n v="58400"/>
    <n v="210240"/>
  </r>
  <r>
    <x v="0"/>
    <x v="0"/>
    <x v="0"/>
    <x v="7"/>
    <x v="11"/>
    <s v="NO1_A1"/>
    <x v="6"/>
    <x v="7"/>
    <s v="GNR_RES_WTR_NOPMP_MC-01"/>
    <x v="0"/>
    <x v="18"/>
    <n v="160"/>
    <n v="58400"/>
    <n v="210240"/>
  </r>
  <r>
    <x v="0"/>
    <x v="0"/>
    <x v="0"/>
    <x v="7"/>
    <x v="11"/>
    <s v="NO1_A1"/>
    <x v="6"/>
    <x v="7"/>
    <s v="GNR_RES_WTR_NOPMP_MC-01"/>
    <x v="0"/>
    <x v="2"/>
    <n v="160"/>
    <n v="58400"/>
    <n v="210240"/>
  </r>
  <r>
    <x v="0"/>
    <x v="0"/>
    <x v="0"/>
    <x v="7"/>
    <x v="11"/>
    <s v="NO1_A1"/>
    <x v="6"/>
    <x v="7"/>
    <s v="GNR_RES_WTR_NOPMP_MC-01"/>
    <x v="0"/>
    <x v="3"/>
    <n v="160"/>
    <n v="58400"/>
    <n v="210240"/>
  </r>
  <r>
    <x v="0"/>
    <x v="0"/>
    <x v="0"/>
    <x v="7"/>
    <x v="11"/>
    <s v="NO1_A1"/>
    <x v="6"/>
    <x v="7"/>
    <s v="GNR_RES_WTR_NOPMP_MC-01"/>
    <x v="0"/>
    <x v="4"/>
    <n v="160"/>
    <n v="58400"/>
    <n v="210240"/>
  </r>
  <r>
    <x v="0"/>
    <x v="0"/>
    <x v="0"/>
    <x v="7"/>
    <x v="11"/>
    <s v="NO1_A1"/>
    <x v="6"/>
    <x v="7"/>
    <s v="GNR_RES_WTR_NOPMP_MC-01"/>
    <x v="0"/>
    <x v="5"/>
    <n v="160"/>
    <n v="58400"/>
    <n v="210240"/>
  </r>
  <r>
    <x v="0"/>
    <x v="0"/>
    <x v="0"/>
    <x v="7"/>
    <x v="11"/>
    <s v="NO1_A1"/>
    <x v="6"/>
    <x v="7"/>
    <s v="GNR_RES_WTR_NOPMP_MC-01"/>
    <x v="0"/>
    <x v="6"/>
    <n v="160"/>
    <n v="58400"/>
    <n v="210240"/>
  </r>
  <r>
    <x v="0"/>
    <x v="0"/>
    <x v="0"/>
    <x v="7"/>
    <x v="11"/>
    <s v="NO1_A1"/>
    <x v="6"/>
    <x v="7"/>
    <s v="GNR_RES_WTR_NOPMP_MC-01"/>
    <x v="0"/>
    <x v="7"/>
    <n v="160"/>
    <n v="58400"/>
    <n v="210240"/>
  </r>
  <r>
    <x v="0"/>
    <x v="0"/>
    <x v="0"/>
    <x v="7"/>
    <x v="11"/>
    <s v="NO1_A1"/>
    <x v="6"/>
    <x v="7"/>
    <s v="GNR_RES_WTR_NOPMP_MC-01"/>
    <x v="0"/>
    <x v="8"/>
    <n v="160"/>
    <n v="58400"/>
    <n v="210240"/>
  </r>
  <r>
    <x v="0"/>
    <x v="0"/>
    <x v="0"/>
    <x v="7"/>
    <x v="11"/>
    <s v="NO1_A1"/>
    <x v="6"/>
    <x v="7"/>
    <s v="GNR_RES_WTR_NOPMP_MC-01"/>
    <x v="0"/>
    <x v="9"/>
    <n v="160"/>
    <n v="58400"/>
    <n v="210240"/>
  </r>
  <r>
    <x v="0"/>
    <x v="0"/>
    <x v="0"/>
    <x v="7"/>
    <x v="11"/>
    <s v="NO1_A1"/>
    <x v="6"/>
    <x v="7"/>
    <s v="GNR_RES_WTR_NOPMP_MC-01"/>
    <x v="0"/>
    <x v="10"/>
    <n v="160"/>
    <n v="58400"/>
    <n v="210240"/>
  </r>
  <r>
    <x v="0"/>
    <x v="0"/>
    <x v="0"/>
    <x v="7"/>
    <x v="11"/>
    <s v="NO1_A1"/>
    <x v="6"/>
    <x v="7"/>
    <s v="GNR_RES_WTR_NOPMP_MC-01"/>
    <x v="0"/>
    <x v="11"/>
    <n v="160"/>
    <n v="58400"/>
    <n v="210240"/>
  </r>
  <r>
    <x v="0"/>
    <x v="0"/>
    <x v="0"/>
    <x v="7"/>
    <x v="11"/>
    <s v="NO1_A1"/>
    <x v="6"/>
    <x v="7"/>
    <s v="GNR_RES_WTR_NOPMP_MC-01"/>
    <x v="0"/>
    <x v="12"/>
    <n v="160"/>
    <n v="58400"/>
    <n v="210240"/>
  </r>
  <r>
    <x v="0"/>
    <x v="0"/>
    <x v="0"/>
    <x v="7"/>
    <x v="11"/>
    <s v="NO1_A1"/>
    <x v="6"/>
    <x v="7"/>
    <s v="GNR_RES_WTR_NOPMP_MC-01"/>
    <x v="0"/>
    <x v="13"/>
    <n v="160"/>
    <n v="58400"/>
    <n v="210240"/>
  </r>
  <r>
    <x v="0"/>
    <x v="0"/>
    <x v="0"/>
    <x v="7"/>
    <x v="11"/>
    <s v="NO1_A1"/>
    <x v="6"/>
    <x v="7"/>
    <s v="GNR_RES_WTR_NOPMP_MC-01"/>
    <x v="0"/>
    <x v="14"/>
    <n v="160"/>
    <n v="58400"/>
    <n v="210240"/>
  </r>
  <r>
    <x v="0"/>
    <x v="0"/>
    <x v="0"/>
    <x v="7"/>
    <x v="11"/>
    <s v="NO1_A1"/>
    <x v="6"/>
    <x v="7"/>
    <s v="GNR_RES_WTR_NOPMP_MC-01"/>
    <x v="0"/>
    <x v="15"/>
    <n v="160"/>
    <n v="58400"/>
    <n v="210240"/>
  </r>
  <r>
    <x v="0"/>
    <x v="0"/>
    <x v="0"/>
    <x v="7"/>
    <x v="11"/>
    <s v="NO1_A1"/>
    <x v="6"/>
    <x v="7"/>
    <s v="GNR_RES_WTR_NOPMP_MC-01"/>
    <x v="0"/>
    <x v="16"/>
    <n v="160"/>
    <n v="58400"/>
    <n v="210240"/>
  </r>
  <r>
    <x v="0"/>
    <x v="0"/>
    <x v="0"/>
    <x v="7"/>
    <x v="11"/>
    <s v="NO1_A1"/>
    <x v="6"/>
    <x v="7"/>
    <s v="GNR_RES_WTR_NOPMP_MC-01"/>
    <x v="0"/>
    <x v="17"/>
    <n v="160"/>
    <n v="58400"/>
    <n v="210240"/>
  </r>
  <r>
    <x v="0"/>
    <x v="0"/>
    <x v="0"/>
    <x v="7"/>
    <x v="11"/>
    <s v="NO1_A1"/>
    <x v="6"/>
    <x v="7"/>
    <s v="GNR_RES_WTR_NOPMP_MC-01"/>
    <x v="0"/>
    <x v="19"/>
    <n v="160"/>
    <n v="58400"/>
    <n v="210240"/>
  </r>
  <r>
    <x v="0"/>
    <x v="0"/>
    <x v="0"/>
    <x v="7"/>
    <x v="11"/>
    <s v="NO1_A1"/>
    <x v="6"/>
    <x v="7"/>
    <s v="GNR_RES_WTR_NOPMP_MC-01"/>
    <x v="0"/>
    <x v="20"/>
    <n v="160"/>
    <n v="58400"/>
    <n v="210240"/>
  </r>
  <r>
    <x v="0"/>
    <x v="0"/>
    <x v="0"/>
    <x v="7"/>
    <x v="11"/>
    <s v="NO1_A1"/>
    <x v="6"/>
    <x v="7"/>
    <s v="GNR_RES_WTR_NOPMP_MC-01"/>
    <x v="0"/>
    <x v="21"/>
    <n v="160"/>
    <n v="58400"/>
    <n v="210240"/>
  </r>
  <r>
    <x v="0"/>
    <x v="0"/>
    <x v="0"/>
    <x v="7"/>
    <x v="11"/>
    <s v="NO1_A1"/>
    <x v="6"/>
    <x v="7"/>
    <s v="GNR_RES_WTR_NOPMP_MC-01"/>
    <x v="0"/>
    <x v="22"/>
    <n v="160"/>
    <n v="58400"/>
    <n v="210240"/>
  </r>
  <r>
    <x v="0"/>
    <x v="0"/>
    <x v="0"/>
    <x v="7"/>
    <x v="11"/>
    <s v="NO1_A1"/>
    <x v="6"/>
    <x v="7"/>
    <s v="GNR_RES_WTR_NOPMP_MC-01"/>
    <x v="0"/>
    <x v="23"/>
    <n v="160"/>
    <n v="58400"/>
    <n v="210240"/>
  </r>
  <r>
    <x v="0"/>
    <x v="0"/>
    <x v="0"/>
    <x v="7"/>
    <x v="11"/>
    <s v="NO1_A1"/>
    <x v="6"/>
    <x v="7"/>
    <s v="GNR_RES_WTR_NOPMP_MC-02"/>
    <x v="0"/>
    <x v="0"/>
    <n v="160"/>
    <n v="58400"/>
    <n v="210240"/>
  </r>
  <r>
    <x v="0"/>
    <x v="0"/>
    <x v="0"/>
    <x v="7"/>
    <x v="11"/>
    <s v="NO1_A1"/>
    <x v="6"/>
    <x v="7"/>
    <s v="GNR_RES_WTR_NOPMP_MC-02"/>
    <x v="0"/>
    <x v="1"/>
    <n v="160"/>
    <n v="58400"/>
    <n v="210240"/>
  </r>
  <r>
    <x v="0"/>
    <x v="0"/>
    <x v="0"/>
    <x v="7"/>
    <x v="11"/>
    <s v="NO1_A1"/>
    <x v="6"/>
    <x v="7"/>
    <s v="GNR_RES_WTR_NOPMP_MC-02"/>
    <x v="0"/>
    <x v="18"/>
    <n v="160"/>
    <n v="58400"/>
    <n v="210240"/>
  </r>
  <r>
    <x v="0"/>
    <x v="0"/>
    <x v="0"/>
    <x v="7"/>
    <x v="11"/>
    <s v="NO1_A1"/>
    <x v="6"/>
    <x v="7"/>
    <s v="GNR_RES_WTR_NOPMP_MC-02"/>
    <x v="0"/>
    <x v="2"/>
    <n v="160"/>
    <n v="58400"/>
    <n v="210240"/>
  </r>
  <r>
    <x v="0"/>
    <x v="0"/>
    <x v="0"/>
    <x v="7"/>
    <x v="11"/>
    <s v="NO1_A1"/>
    <x v="6"/>
    <x v="7"/>
    <s v="GNR_RES_WTR_NOPMP_MC-02"/>
    <x v="0"/>
    <x v="3"/>
    <n v="160"/>
    <n v="58400"/>
    <n v="210240"/>
  </r>
  <r>
    <x v="0"/>
    <x v="0"/>
    <x v="0"/>
    <x v="7"/>
    <x v="11"/>
    <s v="NO1_A1"/>
    <x v="6"/>
    <x v="7"/>
    <s v="GNR_RES_WTR_NOPMP_MC-02"/>
    <x v="0"/>
    <x v="4"/>
    <n v="160"/>
    <n v="58400"/>
    <n v="210240"/>
  </r>
  <r>
    <x v="0"/>
    <x v="0"/>
    <x v="0"/>
    <x v="7"/>
    <x v="11"/>
    <s v="NO1_A1"/>
    <x v="6"/>
    <x v="7"/>
    <s v="GNR_RES_WTR_NOPMP_MC-02"/>
    <x v="0"/>
    <x v="5"/>
    <n v="160"/>
    <n v="58400"/>
    <n v="210240"/>
  </r>
  <r>
    <x v="0"/>
    <x v="0"/>
    <x v="0"/>
    <x v="7"/>
    <x v="11"/>
    <s v="NO1_A1"/>
    <x v="6"/>
    <x v="7"/>
    <s v="GNR_RES_WTR_NOPMP_MC-02"/>
    <x v="0"/>
    <x v="6"/>
    <n v="160"/>
    <n v="58400"/>
    <n v="210240"/>
  </r>
  <r>
    <x v="0"/>
    <x v="0"/>
    <x v="0"/>
    <x v="7"/>
    <x v="11"/>
    <s v="NO1_A1"/>
    <x v="6"/>
    <x v="7"/>
    <s v="GNR_RES_WTR_NOPMP_MC-02"/>
    <x v="0"/>
    <x v="7"/>
    <n v="160"/>
    <n v="58400"/>
    <n v="210240"/>
  </r>
  <r>
    <x v="0"/>
    <x v="0"/>
    <x v="0"/>
    <x v="7"/>
    <x v="11"/>
    <s v="NO1_A1"/>
    <x v="6"/>
    <x v="7"/>
    <s v="GNR_RES_WTR_NOPMP_MC-02"/>
    <x v="0"/>
    <x v="8"/>
    <n v="160"/>
    <n v="58400"/>
    <n v="210240"/>
  </r>
  <r>
    <x v="0"/>
    <x v="0"/>
    <x v="0"/>
    <x v="7"/>
    <x v="11"/>
    <s v="NO1_A1"/>
    <x v="6"/>
    <x v="7"/>
    <s v="GNR_RES_WTR_NOPMP_MC-02"/>
    <x v="0"/>
    <x v="9"/>
    <n v="160"/>
    <n v="58400"/>
    <n v="210240"/>
  </r>
  <r>
    <x v="0"/>
    <x v="0"/>
    <x v="0"/>
    <x v="7"/>
    <x v="11"/>
    <s v="NO1_A1"/>
    <x v="6"/>
    <x v="7"/>
    <s v="GNR_RES_WTR_NOPMP_MC-02"/>
    <x v="0"/>
    <x v="10"/>
    <n v="160"/>
    <n v="58400"/>
    <n v="210240"/>
  </r>
  <r>
    <x v="0"/>
    <x v="0"/>
    <x v="0"/>
    <x v="7"/>
    <x v="11"/>
    <s v="NO1_A1"/>
    <x v="6"/>
    <x v="7"/>
    <s v="GNR_RES_WTR_NOPMP_MC-02"/>
    <x v="0"/>
    <x v="11"/>
    <n v="160"/>
    <n v="58400"/>
    <n v="210240"/>
  </r>
  <r>
    <x v="0"/>
    <x v="0"/>
    <x v="0"/>
    <x v="7"/>
    <x v="11"/>
    <s v="NO1_A1"/>
    <x v="6"/>
    <x v="7"/>
    <s v="GNR_RES_WTR_NOPMP_MC-02"/>
    <x v="0"/>
    <x v="12"/>
    <n v="160"/>
    <n v="58400"/>
    <n v="210240"/>
  </r>
  <r>
    <x v="0"/>
    <x v="0"/>
    <x v="0"/>
    <x v="7"/>
    <x v="11"/>
    <s v="NO1_A1"/>
    <x v="6"/>
    <x v="7"/>
    <s v="GNR_RES_WTR_NOPMP_MC-02"/>
    <x v="0"/>
    <x v="13"/>
    <n v="160"/>
    <n v="58400"/>
    <n v="210240"/>
  </r>
  <r>
    <x v="0"/>
    <x v="0"/>
    <x v="0"/>
    <x v="7"/>
    <x v="11"/>
    <s v="NO1_A1"/>
    <x v="6"/>
    <x v="7"/>
    <s v="GNR_RES_WTR_NOPMP_MC-02"/>
    <x v="0"/>
    <x v="14"/>
    <n v="160"/>
    <n v="58400"/>
    <n v="210240"/>
  </r>
  <r>
    <x v="0"/>
    <x v="0"/>
    <x v="0"/>
    <x v="7"/>
    <x v="11"/>
    <s v="NO1_A1"/>
    <x v="6"/>
    <x v="7"/>
    <s v="GNR_RES_WTR_NOPMP_MC-02"/>
    <x v="0"/>
    <x v="15"/>
    <n v="160"/>
    <n v="58400"/>
    <n v="210240"/>
  </r>
  <r>
    <x v="0"/>
    <x v="0"/>
    <x v="0"/>
    <x v="7"/>
    <x v="11"/>
    <s v="NO1_A1"/>
    <x v="6"/>
    <x v="7"/>
    <s v="GNR_RES_WTR_NOPMP_MC-02"/>
    <x v="0"/>
    <x v="16"/>
    <n v="160"/>
    <n v="58400"/>
    <n v="210240"/>
  </r>
  <r>
    <x v="0"/>
    <x v="0"/>
    <x v="0"/>
    <x v="7"/>
    <x v="11"/>
    <s v="NO1_A1"/>
    <x v="6"/>
    <x v="7"/>
    <s v="GNR_RES_WTR_NOPMP_MC-02"/>
    <x v="0"/>
    <x v="17"/>
    <n v="160"/>
    <n v="58400"/>
    <n v="210240"/>
  </r>
  <r>
    <x v="0"/>
    <x v="0"/>
    <x v="0"/>
    <x v="7"/>
    <x v="11"/>
    <s v="NO1_A1"/>
    <x v="6"/>
    <x v="7"/>
    <s v="GNR_RES_WTR_NOPMP_MC-02"/>
    <x v="0"/>
    <x v="19"/>
    <n v="160"/>
    <n v="58400"/>
    <n v="210240"/>
  </r>
  <r>
    <x v="0"/>
    <x v="0"/>
    <x v="0"/>
    <x v="7"/>
    <x v="11"/>
    <s v="NO1_A1"/>
    <x v="6"/>
    <x v="7"/>
    <s v="GNR_RES_WTR_NOPMP_MC-02"/>
    <x v="0"/>
    <x v="20"/>
    <n v="160"/>
    <n v="58400"/>
    <n v="210240"/>
  </r>
  <r>
    <x v="0"/>
    <x v="0"/>
    <x v="0"/>
    <x v="7"/>
    <x v="11"/>
    <s v="NO1_A1"/>
    <x v="6"/>
    <x v="7"/>
    <s v="GNR_RES_WTR_NOPMP_MC-02"/>
    <x v="0"/>
    <x v="21"/>
    <n v="160"/>
    <n v="58400"/>
    <n v="210240"/>
  </r>
  <r>
    <x v="0"/>
    <x v="0"/>
    <x v="0"/>
    <x v="7"/>
    <x v="11"/>
    <s v="NO1_A1"/>
    <x v="6"/>
    <x v="7"/>
    <s v="GNR_RES_WTR_NOPMP_MC-02"/>
    <x v="0"/>
    <x v="22"/>
    <n v="160"/>
    <n v="58400"/>
    <n v="210240"/>
  </r>
  <r>
    <x v="0"/>
    <x v="0"/>
    <x v="0"/>
    <x v="7"/>
    <x v="11"/>
    <s v="NO1_A1"/>
    <x v="6"/>
    <x v="7"/>
    <s v="GNR_RES_WTR_NOPMP_MC-02"/>
    <x v="0"/>
    <x v="23"/>
    <n v="160"/>
    <n v="58400"/>
    <n v="210240"/>
  </r>
  <r>
    <x v="0"/>
    <x v="0"/>
    <x v="0"/>
    <x v="7"/>
    <x v="11"/>
    <s v="NO1_A1"/>
    <x v="6"/>
    <x v="7"/>
    <s v="GNR_RES_WTR_NOPMP_MC-03"/>
    <x v="0"/>
    <x v="4"/>
    <n v="160"/>
    <n v="58400"/>
    <n v="210240"/>
  </r>
  <r>
    <x v="0"/>
    <x v="0"/>
    <x v="0"/>
    <x v="7"/>
    <x v="11"/>
    <s v="NO1_A1"/>
    <x v="6"/>
    <x v="7"/>
    <s v="GNR_RES_WTR_NOPMP_MC-03"/>
    <x v="0"/>
    <x v="5"/>
    <n v="160"/>
    <n v="58400"/>
    <n v="210240"/>
  </r>
  <r>
    <x v="0"/>
    <x v="0"/>
    <x v="0"/>
    <x v="7"/>
    <x v="11"/>
    <s v="NO1_A1"/>
    <x v="6"/>
    <x v="7"/>
    <s v="GNR_RES_WTR_NOPMP_MC-03"/>
    <x v="0"/>
    <x v="6"/>
    <n v="160"/>
    <n v="58400"/>
    <n v="210240"/>
  </r>
  <r>
    <x v="0"/>
    <x v="0"/>
    <x v="0"/>
    <x v="7"/>
    <x v="11"/>
    <s v="NO1_A1"/>
    <x v="6"/>
    <x v="7"/>
    <s v="GNR_RES_WTR_NOPMP_MC-03"/>
    <x v="0"/>
    <x v="7"/>
    <n v="160"/>
    <n v="58400"/>
    <n v="210240"/>
  </r>
  <r>
    <x v="0"/>
    <x v="0"/>
    <x v="0"/>
    <x v="7"/>
    <x v="11"/>
    <s v="NO1_A1"/>
    <x v="6"/>
    <x v="7"/>
    <s v="GNR_RES_WTR_NOPMP_MC-03"/>
    <x v="0"/>
    <x v="8"/>
    <n v="160"/>
    <n v="58400"/>
    <n v="210240"/>
  </r>
  <r>
    <x v="0"/>
    <x v="0"/>
    <x v="0"/>
    <x v="7"/>
    <x v="11"/>
    <s v="NO1_A1"/>
    <x v="6"/>
    <x v="7"/>
    <s v="GNR_RES_WTR_NOPMP_MC-03"/>
    <x v="0"/>
    <x v="9"/>
    <n v="160"/>
    <n v="58400"/>
    <n v="210240"/>
  </r>
  <r>
    <x v="0"/>
    <x v="0"/>
    <x v="0"/>
    <x v="7"/>
    <x v="11"/>
    <s v="NO1_A1"/>
    <x v="6"/>
    <x v="7"/>
    <s v="GNR_RES_WTR_NOPMP_MC-03"/>
    <x v="0"/>
    <x v="10"/>
    <n v="160"/>
    <n v="58400"/>
    <n v="210240"/>
  </r>
  <r>
    <x v="0"/>
    <x v="0"/>
    <x v="0"/>
    <x v="7"/>
    <x v="11"/>
    <s v="NO1_A1"/>
    <x v="6"/>
    <x v="7"/>
    <s v="GNR_RES_WTR_NOPMP_MC-03"/>
    <x v="0"/>
    <x v="11"/>
    <n v="160"/>
    <n v="58400"/>
    <n v="210240"/>
  </r>
  <r>
    <x v="0"/>
    <x v="0"/>
    <x v="0"/>
    <x v="7"/>
    <x v="11"/>
    <s v="NO1_A1"/>
    <x v="6"/>
    <x v="7"/>
    <s v="GNR_RES_WTR_NOPMP_MC-03"/>
    <x v="0"/>
    <x v="12"/>
    <n v="160"/>
    <n v="58400"/>
    <n v="210240"/>
  </r>
  <r>
    <x v="0"/>
    <x v="0"/>
    <x v="0"/>
    <x v="7"/>
    <x v="11"/>
    <s v="NO1_A1"/>
    <x v="6"/>
    <x v="7"/>
    <s v="GNR_RES_WTR_NOPMP_MC-03"/>
    <x v="0"/>
    <x v="13"/>
    <n v="160"/>
    <n v="58400"/>
    <n v="210240"/>
  </r>
  <r>
    <x v="0"/>
    <x v="0"/>
    <x v="0"/>
    <x v="7"/>
    <x v="11"/>
    <s v="NO1_A1"/>
    <x v="6"/>
    <x v="7"/>
    <s v="GNR_RES_WTR_NOPMP_MC-03"/>
    <x v="0"/>
    <x v="14"/>
    <n v="160"/>
    <n v="58400"/>
    <n v="210240"/>
  </r>
  <r>
    <x v="0"/>
    <x v="0"/>
    <x v="0"/>
    <x v="7"/>
    <x v="11"/>
    <s v="NO1_A1"/>
    <x v="6"/>
    <x v="7"/>
    <s v="GNR_RES_WTR_NOPMP_MC-03"/>
    <x v="0"/>
    <x v="15"/>
    <n v="160"/>
    <n v="58400"/>
    <n v="210240"/>
  </r>
  <r>
    <x v="0"/>
    <x v="0"/>
    <x v="0"/>
    <x v="7"/>
    <x v="11"/>
    <s v="NO1_A1"/>
    <x v="6"/>
    <x v="7"/>
    <s v="GNR_RES_WTR_NOPMP_MC-03"/>
    <x v="0"/>
    <x v="16"/>
    <n v="160"/>
    <n v="58400"/>
    <n v="210240"/>
  </r>
  <r>
    <x v="0"/>
    <x v="0"/>
    <x v="0"/>
    <x v="7"/>
    <x v="11"/>
    <s v="NO1_A1"/>
    <x v="6"/>
    <x v="7"/>
    <s v="GNR_RES_WTR_NOPMP_MC-03"/>
    <x v="0"/>
    <x v="17"/>
    <n v="160"/>
    <n v="58400"/>
    <n v="210240"/>
  </r>
  <r>
    <x v="0"/>
    <x v="0"/>
    <x v="0"/>
    <x v="7"/>
    <x v="11"/>
    <s v="NO1_A1"/>
    <x v="6"/>
    <x v="7"/>
    <s v="GNR_RES_WTR_NOPMP_MC-03"/>
    <x v="0"/>
    <x v="19"/>
    <n v="160"/>
    <n v="58400"/>
    <n v="210240"/>
  </r>
  <r>
    <x v="0"/>
    <x v="0"/>
    <x v="0"/>
    <x v="7"/>
    <x v="11"/>
    <s v="NO1_A1"/>
    <x v="6"/>
    <x v="7"/>
    <s v="GNR_RES_WTR_NOPMP_MC-03"/>
    <x v="0"/>
    <x v="20"/>
    <n v="160"/>
    <n v="58400"/>
    <n v="210240"/>
  </r>
  <r>
    <x v="0"/>
    <x v="0"/>
    <x v="0"/>
    <x v="7"/>
    <x v="11"/>
    <s v="NO1_A1"/>
    <x v="6"/>
    <x v="7"/>
    <s v="GNR_RES_WTR_NOPMP_MC-03"/>
    <x v="0"/>
    <x v="21"/>
    <n v="160"/>
    <n v="58400"/>
    <n v="210240"/>
  </r>
  <r>
    <x v="0"/>
    <x v="0"/>
    <x v="0"/>
    <x v="7"/>
    <x v="11"/>
    <s v="NO1_A1"/>
    <x v="6"/>
    <x v="7"/>
    <s v="GNR_RES_WTR_NOPMP_MC-04"/>
    <x v="0"/>
    <x v="5"/>
    <n v="160"/>
    <n v="58400"/>
    <n v="210240"/>
  </r>
  <r>
    <x v="0"/>
    <x v="0"/>
    <x v="0"/>
    <x v="7"/>
    <x v="11"/>
    <s v="NO1_A1"/>
    <x v="6"/>
    <x v="7"/>
    <s v="GNR_RES_WTR_NOPMP_MC-04"/>
    <x v="0"/>
    <x v="6"/>
    <n v="160"/>
    <n v="58400"/>
    <n v="210240"/>
  </r>
  <r>
    <x v="0"/>
    <x v="0"/>
    <x v="0"/>
    <x v="7"/>
    <x v="11"/>
    <s v="NO1_A1"/>
    <x v="6"/>
    <x v="7"/>
    <s v="GNR_RES_WTR_NOPMP_MC-04"/>
    <x v="0"/>
    <x v="7"/>
    <n v="160"/>
    <n v="58400"/>
    <n v="210240"/>
  </r>
  <r>
    <x v="0"/>
    <x v="0"/>
    <x v="0"/>
    <x v="7"/>
    <x v="11"/>
    <s v="NO1_A1"/>
    <x v="6"/>
    <x v="7"/>
    <s v="GNR_RES_WTR_NOPMP_MC-04"/>
    <x v="0"/>
    <x v="8"/>
    <n v="160"/>
    <n v="58400"/>
    <n v="210240"/>
  </r>
  <r>
    <x v="0"/>
    <x v="0"/>
    <x v="0"/>
    <x v="7"/>
    <x v="11"/>
    <s v="NO1_A1"/>
    <x v="6"/>
    <x v="7"/>
    <s v="GNR_RES_WTR_NOPMP_MC-04"/>
    <x v="0"/>
    <x v="9"/>
    <n v="160"/>
    <n v="58400"/>
    <n v="210240"/>
  </r>
  <r>
    <x v="0"/>
    <x v="0"/>
    <x v="0"/>
    <x v="7"/>
    <x v="11"/>
    <s v="NO1_A1"/>
    <x v="6"/>
    <x v="7"/>
    <s v="GNR_RES_WTR_NOPMP_MC-04"/>
    <x v="0"/>
    <x v="10"/>
    <n v="160"/>
    <n v="58400"/>
    <n v="210240"/>
  </r>
  <r>
    <x v="0"/>
    <x v="0"/>
    <x v="0"/>
    <x v="7"/>
    <x v="11"/>
    <s v="NO1_A1"/>
    <x v="6"/>
    <x v="7"/>
    <s v="GNR_RES_WTR_NOPMP_MC-04"/>
    <x v="0"/>
    <x v="11"/>
    <n v="160"/>
    <n v="58400"/>
    <n v="210240"/>
  </r>
  <r>
    <x v="0"/>
    <x v="0"/>
    <x v="0"/>
    <x v="7"/>
    <x v="11"/>
    <s v="NO1_A1"/>
    <x v="6"/>
    <x v="7"/>
    <s v="GNR_RES_WTR_NOPMP_MC-04"/>
    <x v="0"/>
    <x v="12"/>
    <n v="160"/>
    <n v="58400"/>
    <n v="210240"/>
  </r>
  <r>
    <x v="0"/>
    <x v="0"/>
    <x v="0"/>
    <x v="7"/>
    <x v="11"/>
    <s v="NO1_A1"/>
    <x v="6"/>
    <x v="7"/>
    <s v="GNR_RES_WTR_NOPMP_MC-04"/>
    <x v="0"/>
    <x v="13"/>
    <n v="160"/>
    <n v="58400"/>
    <n v="210240"/>
  </r>
  <r>
    <x v="0"/>
    <x v="0"/>
    <x v="0"/>
    <x v="7"/>
    <x v="11"/>
    <s v="NO1_A1"/>
    <x v="6"/>
    <x v="7"/>
    <s v="GNR_RES_WTR_NOPMP_MC-04"/>
    <x v="0"/>
    <x v="14"/>
    <n v="160"/>
    <n v="58400"/>
    <n v="210240"/>
  </r>
  <r>
    <x v="0"/>
    <x v="0"/>
    <x v="0"/>
    <x v="7"/>
    <x v="11"/>
    <s v="NO1_A1"/>
    <x v="6"/>
    <x v="7"/>
    <s v="GNR_RES_WTR_NOPMP_MC-04"/>
    <x v="0"/>
    <x v="15"/>
    <n v="160"/>
    <n v="58400"/>
    <n v="210240"/>
  </r>
  <r>
    <x v="0"/>
    <x v="0"/>
    <x v="0"/>
    <x v="7"/>
    <x v="11"/>
    <s v="NO1_A1"/>
    <x v="6"/>
    <x v="7"/>
    <s v="GNR_RES_WTR_NOPMP_MC-04"/>
    <x v="0"/>
    <x v="16"/>
    <n v="160"/>
    <n v="58400"/>
    <n v="210240"/>
  </r>
  <r>
    <x v="0"/>
    <x v="0"/>
    <x v="0"/>
    <x v="7"/>
    <x v="11"/>
    <s v="NO1_A1"/>
    <x v="6"/>
    <x v="7"/>
    <s v="GNR_RES_WTR_NOPMP_MC-04"/>
    <x v="0"/>
    <x v="17"/>
    <n v="160"/>
    <n v="58400"/>
    <n v="210240"/>
  </r>
  <r>
    <x v="0"/>
    <x v="0"/>
    <x v="0"/>
    <x v="7"/>
    <x v="11"/>
    <s v="NO1_A1"/>
    <x v="6"/>
    <x v="7"/>
    <s v="GNR_RES_WTR_NOPMP_MC-05"/>
    <x v="0"/>
    <x v="6"/>
    <n v="160"/>
    <n v="58400"/>
    <n v="210240"/>
  </r>
  <r>
    <x v="0"/>
    <x v="0"/>
    <x v="0"/>
    <x v="7"/>
    <x v="11"/>
    <s v="NO1_A1"/>
    <x v="6"/>
    <x v="7"/>
    <s v="GNR_RES_WTR_NOPMP_MC-05"/>
    <x v="0"/>
    <x v="7"/>
    <n v="160"/>
    <n v="58400"/>
    <n v="210240"/>
  </r>
  <r>
    <x v="0"/>
    <x v="0"/>
    <x v="0"/>
    <x v="7"/>
    <x v="11"/>
    <s v="NO1_A1"/>
    <x v="6"/>
    <x v="7"/>
    <s v="GNR_RES_WTR_NOPMP_MC-05"/>
    <x v="0"/>
    <x v="8"/>
    <n v="160"/>
    <n v="58400"/>
    <n v="210240"/>
  </r>
  <r>
    <x v="0"/>
    <x v="0"/>
    <x v="0"/>
    <x v="7"/>
    <x v="11"/>
    <s v="NO1_A1"/>
    <x v="6"/>
    <x v="7"/>
    <s v="GNR_RES_WTR_NOPMP_MC-06"/>
    <x v="0"/>
    <x v="7"/>
    <n v="160"/>
    <n v="58400"/>
    <n v="210240"/>
  </r>
  <r>
    <x v="0"/>
    <x v="0"/>
    <x v="0"/>
    <x v="7"/>
    <x v="11"/>
    <s v="NO1_A1"/>
    <x v="6"/>
    <x v="7"/>
    <s v="GNR_RES_WTR_NOPMP_MC-06"/>
    <x v="0"/>
    <x v="8"/>
    <n v="108.651056388207"/>
    <n v="39657.635581695497"/>
    <n v="142767.48809410399"/>
  </r>
  <r>
    <x v="0"/>
    <x v="0"/>
    <x v="0"/>
    <x v="7"/>
    <x v="11"/>
    <s v="NO1_A1"/>
    <x v="6"/>
    <x v="4"/>
    <s v="GNR_ROR_WTR"/>
    <x v="0"/>
    <x v="0"/>
    <n v="938.44564324685803"/>
    <n v="342532.65978510299"/>
    <n v="1233117.57522637"/>
  </r>
  <r>
    <x v="0"/>
    <x v="0"/>
    <x v="0"/>
    <x v="7"/>
    <x v="11"/>
    <s v="NO1_A1"/>
    <x v="6"/>
    <x v="4"/>
    <s v="GNR_ROR_WTR"/>
    <x v="0"/>
    <x v="1"/>
    <n v="938.44564324685803"/>
    <n v="342532.65978510299"/>
    <n v="1233117.57522637"/>
  </r>
  <r>
    <x v="0"/>
    <x v="0"/>
    <x v="0"/>
    <x v="7"/>
    <x v="11"/>
    <s v="NO1_A1"/>
    <x v="6"/>
    <x v="4"/>
    <s v="GNR_ROR_WTR"/>
    <x v="0"/>
    <x v="18"/>
    <n v="938.44564324685803"/>
    <n v="342532.65978510299"/>
    <n v="1233117.57522637"/>
  </r>
  <r>
    <x v="0"/>
    <x v="0"/>
    <x v="0"/>
    <x v="7"/>
    <x v="11"/>
    <s v="NO1_A1"/>
    <x v="6"/>
    <x v="4"/>
    <s v="GNR_ROR_WTR"/>
    <x v="0"/>
    <x v="2"/>
    <n v="938.44564324685803"/>
    <n v="342532.65978510299"/>
    <n v="1233117.57522637"/>
  </r>
  <r>
    <x v="0"/>
    <x v="0"/>
    <x v="0"/>
    <x v="7"/>
    <x v="11"/>
    <s v="NO1_A1"/>
    <x v="6"/>
    <x v="4"/>
    <s v="GNR_ROR_WTR"/>
    <x v="0"/>
    <x v="3"/>
    <n v="938.44564324685803"/>
    <n v="342532.65978510299"/>
    <n v="1233117.57522637"/>
  </r>
  <r>
    <x v="0"/>
    <x v="0"/>
    <x v="0"/>
    <x v="7"/>
    <x v="11"/>
    <s v="NO1_A1"/>
    <x v="6"/>
    <x v="4"/>
    <s v="GNR_ROR_WTR"/>
    <x v="0"/>
    <x v="4"/>
    <n v="938.44564324685803"/>
    <n v="342532.65978510299"/>
    <n v="1233117.57522637"/>
  </r>
  <r>
    <x v="0"/>
    <x v="0"/>
    <x v="0"/>
    <x v="7"/>
    <x v="11"/>
    <s v="NO1_A1"/>
    <x v="6"/>
    <x v="4"/>
    <s v="GNR_ROR_WTR"/>
    <x v="0"/>
    <x v="5"/>
    <n v="938.44564324685803"/>
    <n v="342532.65978510299"/>
    <n v="1233117.57522637"/>
  </r>
  <r>
    <x v="0"/>
    <x v="0"/>
    <x v="0"/>
    <x v="7"/>
    <x v="11"/>
    <s v="NO1_A1"/>
    <x v="6"/>
    <x v="4"/>
    <s v="GNR_ROR_WTR"/>
    <x v="0"/>
    <x v="6"/>
    <n v="938.44564324685803"/>
    <n v="342532.65978510299"/>
    <n v="1233117.57522637"/>
  </r>
  <r>
    <x v="0"/>
    <x v="0"/>
    <x v="0"/>
    <x v="7"/>
    <x v="11"/>
    <s v="NO1_A1"/>
    <x v="6"/>
    <x v="4"/>
    <s v="GNR_ROR_WTR"/>
    <x v="0"/>
    <x v="7"/>
    <n v="938.44564324685803"/>
    <n v="342532.65978510299"/>
    <n v="1233117.57522637"/>
  </r>
  <r>
    <x v="0"/>
    <x v="0"/>
    <x v="0"/>
    <x v="7"/>
    <x v="11"/>
    <s v="NO1_A1"/>
    <x v="6"/>
    <x v="4"/>
    <s v="GNR_ROR_WTR"/>
    <x v="0"/>
    <x v="8"/>
    <n v="938.44564324685803"/>
    <n v="342532.65978510299"/>
    <n v="1233117.57522637"/>
  </r>
  <r>
    <x v="0"/>
    <x v="0"/>
    <x v="0"/>
    <x v="7"/>
    <x v="11"/>
    <s v="NO1_A1"/>
    <x v="6"/>
    <x v="4"/>
    <s v="GNR_ROR_WTR"/>
    <x v="0"/>
    <x v="9"/>
    <n v="938.44564324685803"/>
    <n v="342532.65978510299"/>
    <n v="1233117.57522637"/>
  </r>
  <r>
    <x v="0"/>
    <x v="0"/>
    <x v="0"/>
    <x v="7"/>
    <x v="11"/>
    <s v="NO1_A1"/>
    <x v="6"/>
    <x v="4"/>
    <s v="GNR_ROR_WTR"/>
    <x v="0"/>
    <x v="10"/>
    <n v="938.44564324685803"/>
    <n v="342532.65978510299"/>
    <n v="1233117.57522637"/>
  </r>
  <r>
    <x v="0"/>
    <x v="0"/>
    <x v="0"/>
    <x v="7"/>
    <x v="11"/>
    <s v="NO1_A1"/>
    <x v="6"/>
    <x v="4"/>
    <s v="GNR_ROR_WTR"/>
    <x v="0"/>
    <x v="11"/>
    <n v="938.44564324685803"/>
    <n v="342532.65978510299"/>
    <n v="1233117.57522637"/>
  </r>
  <r>
    <x v="0"/>
    <x v="0"/>
    <x v="0"/>
    <x v="7"/>
    <x v="11"/>
    <s v="NO1_A1"/>
    <x v="6"/>
    <x v="4"/>
    <s v="GNR_ROR_WTR"/>
    <x v="0"/>
    <x v="12"/>
    <n v="938.44564324685803"/>
    <n v="342532.65978510299"/>
    <n v="1233117.57522637"/>
  </r>
  <r>
    <x v="0"/>
    <x v="0"/>
    <x v="0"/>
    <x v="7"/>
    <x v="11"/>
    <s v="NO1_A1"/>
    <x v="6"/>
    <x v="4"/>
    <s v="GNR_ROR_WTR"/>
    <x v="0"/>
    <x v="13"/>
    <n v="938.44564324685803"/>
    <n v="342532.65978510299"/>
    <n v="1233117.57522637"/>
  </r>
  <r>
    <x v="0"/>
    <x v="0"/>
    <x v="0"/>
    <x v="7"/>
    <x v="11"/>
    <s v="NO1_A1"/>
    <x v="6"/>
    <x v="4"/>
    <s v="GNR_ROR_WTR"/>
    <x v="0"/>
    <x v="14"/>
    <n v="938.44564324685803"/>
    <n v="342532.65978510299"/>
    <n v="1233117.57522637"/>
  </r>
  <r>
    <x v="0"/>
    <x v="0"/>
    <x v="0"/>
    <x v="7"/>
    <x v="11"/>
    <s v="NO1_A1"/>
    <x v="6"/>
    <x v="4"/>
    <s v="GNR_ROR_WTR"/>
    <x v="0"/>
    <x v="15"/>
    <n v="938.44564324685803"/>
    <n v="342532.65978510299"/>
    <n v="1233117.57522637"/>
  </r>
  <r>
    <x v="0"/>
    <x v="0"/>
    <x v="0"/>
    <x v="7"/>
    <x v="11"/>
    <s v="NO1_A1"/>
    <x v="6"/>
    <x v="4"/>
    <s v="GNR_ROR_WTR"/>
    <x v="0"/>
    <x v="16"/>
    <n v="938.44564324685803"/>
    <n v="342532.65978510299"/>
    <n v="1233117.57522637"/>
  </r>
  <r>
    <x v="0"/>
    <x v="0"/>
    <x v="0"/>
    <x v="7"/>
    <x v="11"/>
    <s v="NO1_A1"/>
    <x v="6"/>
    <x v="4"/>
    <s v="GNR_ROR_WTR"/>
    <x v="0"/>
    <x v="17"/>
    <n v="938.44564324685803"/>
    <n v="342532.65978510299"/>
    <n v="1233117.57522637"/>
  </r>
  <r>
    <x v="0"/>
    <x v="0"/>
    <x v="0"/>
    <x v="7"/>
    <x v="11"/>
    <s v="NO1_A1"/>
    <x v="6"/>
    <x v="4"/>
    <s v="GNR_ROR_WTR"/>
    <x v="0"/>
    <x v="19"/>
    <n v="938.44564324685803"/>
    <n v="342532.65978510299"/>
    <n v="1233117.57522637"/>
  </r>
  <r>
    <x v="0"/>
    <x v="0"/>
    <x v="0"/>
    <x v="7"/>
    <x v="11"/>
    <s v="NO1_A1"/>
    <x v="6"/>
    <x v="4"/>
    <s v="GNR_ROR_WTR"/>
    <x v="0"/>
    <x v="20"/>
    <n v="938.44564324685803"/>
    <n v="342532.65978510299"/>
    <n v="1233117.57522637"/>
  </r>
  <r>
    <x v="0"/>
    <x v="0"/>
    <x v="0"/>
    <x v="7"/>
    <x v="11"/>
    <s v="NO1_A1"/>
    <x v="6"/>
    <x v="4"/>
    <s v="GNR_ROR_WTR"/>
    <x v="0"/>
    <x v="21"/>
    <n v="938.44564324685803"/>
    <n v="342532.65978510299"/>
    <n v="1233117.57522637"/>
  </r>
  <r>
    <x v="0"/>
    <x v="0"/>
    <x v="0"/>
    <x v="7"/>
    <x v="11"/>
    <s v="NO1_A1"/>
    <x v="6"/>
    <x v="4"/>
    <s v="GNR_ROR_WTR"/>
    <x v="0"/>
    <x v="22"/>
    <n v="938.44564324685803"/>
    <n v="342532.65978510299"/>
    <n v="1233117.57522637"/>
  </r>
  <r>
    <x v="0"/>
    <x v="0"/>
    <x v="0"/>
    <x v="7"/>
    <x v="11"/>
    <s v="NO1_A1"/>
    <x v="6"/>
    <x v="4"/>
    <s v="GNR_ROR_WTR"/>
    <x v="0"/>
    <x v="23"/>
    <n v="938.44564324685803"/>
    <n v="342532.65978510299"/>
    <n v="1233117.57522637"/>
  </r>
  <r>
    <x v="0"/>
    <x v="0"/>
    <x v="0"/>
    <x v="7"/>
    <x v="11"/>
    <s v="NO1_A2"/>
    <x v="1"/>
    <x v="1"/>
    <s v="GETOH_HEATPUMP"/>
    <x v="0"/>
    <x v="4"/>
    <n v="-3.5119013106154999"/>
    <n v="-1281.8439783746601"/>
    <n v="-4614.6383221487704"/>
  </r>
  <r>
    <x v="0"/>
    <x v="0"/>
    <x v="0"/>
    <x v="7"/>
    <x v="11"/>
    <s v="NO1_A2"/>
    <x v="1"/>
    <x v="1"/>
    <s v="GETOH_HEATPUMP"/>
    <x v="0"/>
    <x v="5"/>
    <n v="-11.1111111111111"/>
    <n v="-4055.5555555555602"/>
    <n v="-14600"/>
  </r>
  <r>
    <x v="0"/>
    <x v="0"/>
    <x v="0"/>
    <x v="7"/>
    <x v="11"/>
    <s v="NO1_A2"/>
    <x v="1"/>
    <x v="1"/>
    <s v="GETOH_HEATPUMP"/>
    <x v="0"/>
    <x v="9"/>
    <n v="-0.36868161284386503"/>
    <n v="-134.56878868801101"/>
    <n v="-484.44763927683903"/>
  </r>
  <r>
    <x v="0"/>
    <x v="0"/>
    <x v="0"/>
    <x v="7"/>
    <x v="11"/>
    <s v="NO1_A2"/>
    <x v="1"/>
    <x v="1"/>
    <s v="GETOH_HEATPUMP"/>
    <x v="0"/>
    <x v="10"/>
    <n v="-11.1111111111111"/>
    <n v="-4055.5555555555602"/>
    <n v="-14600"/>
  </r>
  <r>
    <x v="0"/>
    <x v="0"/>
    <x v="0"/>
    <x v="7"/>
    <x v="11"/>
    <s v="NO1_A2"/>
    <x v="1"/>
    <x v="1"/>
    <s v="GETOH_HEATPUMP"/>
    <x v="0"/>
    <x v="11"/>
    <n v="-11.1111111111111"/>
    <n v="-4055.5555555555602"/>
    <n v="-14600"/>
  </r>
  <r>
    <x v="0"/>
    <x v="0"/>
    <x v="0"/>
    <x v="7"/>
    <x v="11"/>
    <s v="NO1_A2"/>
    <x v="1"/>
    <x v="1"/>
    <s v="GETOH_HEATPUMP"/>
    <x v="0"/>
    <x v="12"/>
    <n v="-11.1111111111111"/>
    <n v="-4055.5555555555602"/>
    <n v="-14600"/>
  </r>
  <r>
    <x v="0"/>
    <x v="0"/>
    <x v="0"/>
    <x v="7"/>
    <x v="11"/>
    <s v="NO1_A2"/>
    <x v="1"/>
    <x v="1"/>
    <s v="GETOH_HEATPUMP"/>
    <x v="0"/>
    <x v="13"/>
    <n v="-9.9206425376254597"/>
    <n v="-3621.0345262332899"/>
    <n v="-13035.7242944399"/>
  </r>
  <r>
    <x v="0"/>
    <x v="0"/>
    <x v="0"/>
    <x v="7"/>
    <x v="11"/>
    <s v="NO1_A2"/>
    <x v="1"/>
    <x v="1"/>
    <s v="GETOH_HEATPUMP"/>
    <x v="0"/>
    <x v="14"/>
    <n v="-8.0613707991062693"/>
    <n v="-2942.4003416737901"/>
    <n v="-10592.6412300256"/>
  </r>
  <r>
    <x v="0"/>
    <x v="0"/>
    <x v="0"/>
    <x v="7"/>
    <x v="11"/>
    <s v="NO1_A2"/>
    <x v="1"/>
    <x v="1"/>
    <s v="GETOH_HEATPUMP"/>
    <x v="0"/>
    <x v="15"/>
    <n v="-2.2441324333878399"/>
    <n v="-819.10833818655999"/>
    <n v="-2948.7900174716201"/>
  </r>
  <r>
    <x v="0"/>
    <x v="0"/>
    <x v="0"/>
    <x v="7"/>
    <x v="11"/>
    <s v="NO1_A2"/>
    <x v="2"/>
    <x v="2"/>
    <s v="GBPR_MUNIWASTE"/>
    <x v="0"/>
    <x v="0"/>
    <n v="11.0933333333332"/>
    <n v="4049.0666666666202"/>
    <n v="14576.639999999799"/>
  </r>
  <r>
    <x v="0"/>
    <x v="0"/>
    <x v="0"/>
    <x v="7"/>
    <x v="11"/>
    <s v="NO1_A2"/>
    <x v="2"/>
    <x v="2"/>
    <s v="GBPR_MUNIWASTE"/>
    <x v="0"/>
    <x v="1"/>
    <n v="11.0933333333332"/>
    <n v="4049.0666666666202"/>
    <n v="14576.639999999799"/>
  </r>
  <r>
    <x v="0"/>
    <x v="0"/>
    <x v="0"/>
    <x v="7"/>
    <x v="11"/>
    <s v="NO1_A2"/>
    <x v="2"/>
    <x v="2"/>
    <s v="GBPR_MUNIWASTE"/>
    <x v="0"/>
    <x v="18"/>
    <n v="11.0933333333332"/>
    <n v="4049.0666666666202"/>
    <n v="14576.639999999799"/>
  </r>
  <r>
    <x v="0"/>
    <x v="0"/>
    <x v="0"/>
    <x v="7"/>
    <x v="11"/>
    <s v="NO1_A2"/>
    <x v="2"/>
    <x v="2"/>
    <s v="GBPR_MUNIWASTE"/>
    <x v="0"/>
    <x v="2"/>
    <n v="11.0933333333332"/>
    <n v="4049.0666666666202"/>
    <n v="14576.639999999799"/>
  </r>
  <r>
    <x v="0"/>
    <x v="0"/>
    <x v="0"/>
    <x v="7"/>
    <x v="11"/>
    <s v="NO1_A2"/>
    <x v="2"/>
    <x v="2"/>
    <s v="GBPR_MUNIWASTE"/>
    <x v="0"/>
    <x v="3"/>
    <n v="11.0933333333332"/>
    <n v="4049.0666666666202"/>
    <n v="14576.639999999799"/>
  </r>
  <r>
    <x v="0"/>
    <x v="0"/>
    <x v="0"/>
    <x v="7"/>
    <x v="11"/>
    <s v="NO1_A2"/>
    <x v="2"/>
    <x v="2"/>
    <s v="GBPR_MUNIWASTE"/>
    <x v="0"/>
    <x v="4"/>
    <n v="11.0933333333332"/>
    <n v="4049.0666666666202"/>
    <n v="14576.639999999799"/>
  </r>
  <r>
    <x v="0"/>
    <x v="0"/>
    <x v="0"/>
    <x v="7"/>
    <x v="11"/>
    <s v="NO1_A2"/>
    <x v="2"/>
    <x v="2"/>
    <s v="GBPR_MUNIWASTE"/>
    <x v="0"/>
    <x v="5"/>
    <n v="11.0933333333332"/>
    <n v="4049.0666666666202"/>
    <n v="14576.639999999799"/>
  </r>
  <r>
    <x v="0"/>
    <x v="0"/>
    <x v="0"/>
    <x v="7"/>
    <x v="11"/>
    <s v="NO1_A2"/>
    <x v="2"/>
    <x v="2"/>
    <s v="GBPR_MUNIWASTE"/>
    <x v="0"/>
    <x v="6"/>
    <n v="11.0933333333332"/>
    <n v="4049.0666666666202"/>
    <n v="14576.639999999799"/>
  </r>
  <r>
    <x v="0"/>
    <x v="0"/>
    <x v="0"/>
    <x v="7"/>
    <x v="11"/>
    <s v="NO1_A2"/>
    <x v="2"/>
    <x v="2"/>
    <s v="GBPR_MUNIWASTE"/>
    <x v="0"/>
    <x v="7"/>
    <n v="11.0933333333332"/>
    <n v="4049.0666666666202"/>
    <n v="14576.639999999799"/>
  </r>
  <r>
    <x v="0"/>
    <x v="0"/>
    <x v="0"/>
    <x v="7"/>
    <x v="11"/>
    <s v="NO1_A2"/>
    <x v="2"/>
    <x v="2"/>
    <s v="GBPR_MUNIWASTE"/>
    <x v="0"/>
    <x v="8"/>
    <n v="11.0933333333332"/>
    <n v="4049.0666666666202"/>
    <n v="14576.639999999799"/>
  </r>
  <r>
    <x v="0"/>
    <x v="0"/>
    <x v="0"/>
    <x v="7"/>
    <x v="11"/>
    <s v="NO1_A2"/>
    <x v="2"/>
    <x v="2"/>
    <s v="GBPR_MUNIWASTE"/>
    <x v="0"/>
    <x v="9"/>
    <n v="11.0933333333332"/>
    <n v="4049.0666666666202"/>
    <n v="14576.639999999799"/>
  </r>
  <r>
    <x v="0"/>
    <x v="0"/>
    <x v="0"/>
    <x v="7"/>
    <x v="11"/>
    <s v="NO1_A2"/>
    <x v="2"/>
    <x v="2"/>
    <s v="GBPR_MUNIWASTE"/>
    <x v="0"/>
    <x v="10"/>
    <n v="11.0933333333332"/>
    <n v="4049.0666666666202"/>
    <n v="14576.639999999799"/>
  </r>
  <r>
    <x v="0"/>
    <x v="0"/>
    <x v="0"/>
    <x v="7"/>
    <x v="11"/>
    <s v="NO1_A2"/>
    <x v="2"/>
    <x v="2"/>
    <s v="GBPR_MUNIWASTE"/>
    <x v="0"/>
    <x v="11"/>
    <n v="11.0933333333332"/>
    <n v="4049.0666666666202"/>
    <n v="14576.639999999799"/>
  </r>
  <r>
    <x v="0"/>
    <x v="0"/>
    <x v="0"/>
    <x v="7"/>
    <x v="11"/>
    <s v="NO1_A2"/>
    <x v="2"/>
    <x v="2"/>
    <s v="GBPR_MUNIWASTE"/>
    <x v="0"/>
    <x v="12"/>
    <n v="11.0933333333332"/>
    <n v="4049.0666666666202"/>
    <n v="14576.639999999799"/>
  </r>
  <r>
    <x v="0"/>
    <x v="0"/>
    <x v="0"/>
    <x v="7"/>
    <x v="11"/>
    <s v="NO1_A2"/>
    <x v="2"/>
    <x v="2"/>
    <s v="GBPR_MUNIWASTE"/>
    <x v="0"/>
    <x v="13"/>
    <n v="11.0933333333332"/>
    <n v="4049.0666666666202"/>
    <n v="14576.639999999799"/>
  </r>
  <r>
    <x v="0"/>
    <x v="0"/>
    <x v="0"/>
    <x v="7"/>
    <x v="11"/>
    <s v="NO1_A2"/>
    <x v="2"/>
    <x v="2"/>
    <s v="GBPR_MUNIWASTE"/>
    <x v="0"/>
    <x v="14"/>
    <n v="11.0933333333332"/>
    <n v="4049.0666666666202"/>
    <n v="14576.639999999799"/>
  </r>
  <r>
    <x v="0"/>
    <x v="0"/>
    <x v="0"/>
    <x v="7"/>
    <x v="11"/>
    <s v="NO1_A2"/>
    <x v="2"/>
    <x v="2"/>
    <s v="GBPR_MUNIWASTE"/>
    <x v="0"/>
    <x v="15"/>
    <n v="11.0933333333332"/>
    <n v="4049.0666666666202"/>
    <n v="14576.639999999799"/>
  </r>
  <r>
    <x v="0"/>
    <x v="0"/>
    <x v="0"/>
    <x v="7"/>
    <x v="11"/>
    <s v="NO1_A2"/>
    <x v="2"/>
    <x v="2"/>
    <s v="GBPR_MUNIWASTE"/>
    <x v="0"/>
    <x v="16"/>
    <n v="11.0933333333332"/>
    <n v="4049.0666666666202"/>
    <n v="14576.639999999799"/>
  </r>
  <r>
    <x v="0"/>
    <x v="0"/>
    <x v="0"/>
    <x v="7"/>
    <x v="11"/>
    <s v="NO1_A2"/>
    <x v="2"/>
    <x v="2"/>
    <s v="GBPR_MUNIWASTE"/>
    <x v="0"/>
    <x v="17"/>
    <n v="11.0933333333332"/>
    <n v="4049.0666666666202"/>
    <n v="14576.639999999799"/>
  </r>
  <r>
    <x v="0"/>
    <x v="0"/>
    <x v="0"/>
    <x v="7"/>
    <x v="11"/>
    <s v="NO1_A2"/>
    <x v="2"/>
    <x v="2"/>
    <s v="GBPR_MUNIWASTE"/>
    <x v="0"/>
    <x v="19"/>
    <n v="11.0933333333332"/>
    <n v="4049.0666666666202"/>
    <n v="14576.639999999799"/>
  </r>
  <r>
    <x v="0"/>
    <x v="0"/>
    <x v="0"/>
    <x v="7"/>
    <x v="11"/>
    <s v="NO1_A2"/>
    <x v="2"/>
    <x v="2"/>
    <s v="GBPR_MUNIWASTE"/>
    <x v="0"/>
    <x v="20"/>
    <n v="11.0933333333332"/>
    <n v="4049.0666666666202"/>
    <n v="14576.639999999799"/>
  </r>
  <r>
    <x v="0"/>
    <x v="0"/>
    <x v="0"/>
    <x v="7"/>
    <x v="11"/>
    <s v="NO1_A2"/>
    <x v="2"/>
    <x v="2"/>
    <s v="GBPR_MUNIWASTE"/>
    <x v="0"/>
    <x v="21"/>
    <n v="11.0933333333332"/>
    <n v="4049.0666666666202"/>
    <n v="14576.639999999799"/>
  </r>
  <r>
    <x v="0"/>
    <x v="0"/>
    <x v="0"/>
    <x v="7"/>
    <x v="11"/>
    <s v="NO1_A2"/>
    <x v="2"/>
    <x v="2"/>
    <s v="GBPR_MUNIWASTE"/>
    <x v="0"/>
    <x v="22"/>
    <n v="11.0933333333332"/>
    <n v="4049.0666666666202"/>
    <n v="14576.639999999799"/>
  </r>
  <r>
    <x v="0"/>
    <x v="0"/>
    <x v="0"/>
    <x v="7"/>
    <x v="11"/>
    <s v="NO1_A2"/>
    <x v="2"/>
    <x v="2"/>
    <s v="GBPR_MUNIWASTE"/>
    <x v="0"/>
    <x v="23"/>
    <n v="11.0933333333332"/>
    <n v="4049.0666666666202"/>
    <n v="14576.639999999799"/>
  </r>
  <r>
    <x v="0"/>
    <x v="0"/>
    <x v="0"/>
    <x v="7"/>
    <x v="12"/>
    <s v="NO2_A1"/>
    <x v="2"/>
    <x v="2"/>
    <s v="GBPR_MUNIWASTE"/>
    <x v="0"/>
    <x v="0"/>
    <n v="10.8"/>
    <n v="3942"/>
    <n v="14191.2"/>
  </r>
  <r>
    <x v="0"/>
    <x v="0"/>
    <x v="0"/>
    <x v="7"/>
    <x v="12"/>
    <s v="NO2_A1"/>
    <x v="2"/>
    <x v="2"/>
    <s v="GBPR_MUNIWASTE"/>
    <x v="0"/>
    <x v="1"/>
    <n v="10.8"/>
    <n v="3942"/>
    <n v="14191.2"/>
  </r>
  <r>
    <x v="0"/>
    <x v="0"/>
    <x v="0"/>
    <x v="7"/>
    <x v="12"/>
    <s v="NO2_A1"/>
    <x v="2"/>
    <x v="2"/>
    <s v="GBPR_MUNIWASTE"/>
    <x v="0"/>
    <x v="18"/>
    <n v="10.8"/>
    <n v="3942"/>
    <n v="14191.2"/>
  </r>
  <r>
    <x v="0"/>
    <x v="0"/>
    <x v="0"/>
    <x v="7"/>
    <x v="12"/>
    <s v="NO2_A1"/>
    <x v="2"/>
    <x v="2"/>
    <s v="GBPR_MUNIWASTE"/>
    <x v="0"/>
    <x v="2"/>
    <n v="10.8"/>
    <n v="3942"/>
    <n v="14191.2"/>
  </r>
  <r>
    <x v="0"/>
    <x v="0"/>
    <x v="0"/>
    <x v="7"/>
    <x v="12"/>
    <s v="NO2_A1"/>
    <x v="2"/>
    <x v="2"/>
    <s v="GBPR_MUNIWASTE"/>
    <x v="0"/>
    <x v="3"/>
    <n v="10.8"/>
    <n v="3942"/>
    <n v="14191.2"/>
  </r>
  <r>
    <x v="0"/>
    <x v="0"/>
    <x v="0"/>
    <x v="7"/>
    <x v="12"/>
    <s v="NO2_A1"/>
    <x v="2"/>
    <x v="2"/>
    <s v="GBPR_MUNIWASTE"/>
    <x v="0"/>
    <x v="4"/>
    <n v="10.8"/>
    <n v="3942"/>
    <n v="14191.2"/>
  </r>
  <r>
    <x v="0"/>
    <x v="0"/>
    <x v="0"/>
    <x v="7"/>
    <x v="12"/>
    <s v="NO2_A1"/>
    <x v="2"/>
    <x v="2"/>
    <s v="GBPR_MUNIWASTE"/>
    <x v="0"/>
    <x v="5"/>
    <n v="10.8"/>
    <n v="3942"/>
    <n v="14191.2"/>
  </r>
  <r>
    <x v="0"/>
    <x v="0"/>
    <x v="0"/>
    <x v="7"/>
    <x v="12"/>
    <s v="NO2_A1"/>
    <x v="2"/>
    <x v="2"/>
    <s v="GBPR_MUNIWASTE"/>
    <x v="0"/>
    <x v="6"/>
    <n v="10.8"/>
    <n v="3942"/>
    <n v="14191.2"/>
  </r>
  <r>
    <x v="0"/>
    <x v="0"/>
    <x v="0"/>
    <x v="7"/>
    <x v="12"/>
    <s v="NO2_A1"/>
    <x v="2"/>
    <x v="2"/>
    <s v="GBPR_MUNIWASTE"/>
    <x v="0"/>
    <x v="7"/>
    <n v="10.8"/>
    <n v="3942"/>
    <n v="14191.2"/>
  </r>
  <r>
    <x v="0"/>
    <x v="0"/>
    <x v="0"/>
    <x v="7"/>
    <x v="12"/>
    <s v="NO2_A1"/>
    <x v="2"/>
    <x v="2"/>
    <s v="GBPR_MUNIWASTE"/>
    <x v="0"/>
    <x v="8"/>
    <n v="10.8"/>
    <n v="3942"/>
    <n v="14191.2"/>
  </r>
  <r>
    <x v="0"/>
    <x v="0"/>
    <x v="0"/>
    <x v="7"/>
    <x v="12"/>
    <s v="NO2_A1"/>
    <x v="2"/>
    <x v="2"/>
    <s v="GBPR_MUNIWASTE"/>
    <x v="0"/>
    <x v="9"/>
    <n v="10.8"/>
    <n v="3942"/>
    <n v="14191.2"/>
  </r>
  <r>
    <x v="0"/>
    <x v="0"/>
    <x v="0"/>
    <x v="7"/>
    <x v="12"/>
    <s v="NO2_A1"/>
    <x v="2"/>
    <x v="2"/>
    <s v="GBPR_MUNIWASTE"/>
    <x v="0"/>
    <x v="10"/>
    <n v="10.8"/>
    <n v="3942"/>
    <n v="14191.2"/>
  </r>
  <r>
    <x v="0"/>
    <x v="0"/>
    <x v="0"/>
    <x v="7"/>
    <x v="12"/>
    <s v="NO2_A1"/>
    <x v="2"/>
    <x v="2"/>
    <s v="GBPR_MUNIWASTE"/>
    <x v="0"/>
    <x v="11"/>
    <n v="10.8"/>
    <n v="3942"/>
    <n v="14191.2"/>
  </r>
  <r>
    <x v="0"/>
    <x v="0"/>
    <x v="0"/>
    <x v="7"/>
    <x v="12"/>
    <s v="NO2_A1"/>
    <x v="2"/>
    <x v="2"/>
    <s v="GBPR_MUNIWASTE"/>
    <x v="0"/>
    <x v="12"/>
    <n v="10.8"/>
    <n v="3942"/>
    <n v="14191.2"/>
  </r>
  <r>
    <x v="0"/>
    <x v="0"/>
    <x v="0"/>
    <x v="7"/>
    <x v="12"/>
    <s v="NO2_A1"/>
    <x v="2"/>
    <x v="2"/>
    <s v="GBPR_MUNIWASTE"/>
    <x v="0"/>
    <x v="13"/>
    <n v="10.8"/>
    <n v="3942"/>
    <n v="14191.2"/>
  </r>
  <r>
    <x v="0"/>
    <x v="0"/>
    <x v="0"/>
    <x v="7"/>
    <x v="12"/>
    <s v="NO2_A1"/>
    <x v="2"/>
    <x v="2"/>
    <s v="GBPR_MUNIWASTE"/>
    <x v="0"/>
    <x v="14"/>
    <n v="10.8"/>
    <n v="3942"/>
    <n v="14191.2"/>
  </r>
  <r>
    <x v="0"/>
    <x v="0"/>
    <x v="0"/>
    <x v="7"/>
    <x v="12"/>
    <s v="NO2_A1"/>
    <x v="2"/>
    <x v="2"/>
    <s v="GBPR_MUNIWASTE"/>
    <x v="0"/>
    <x v="15"/>
    <n v="10.8"/>
    <n v="3942"/>
    <n v="14191.2"/>
  </r>
  <r>
    <x v="0"/>
    <x v="0"/>
    <x v="0"/>
    <x v="7"/>
    <x v="12"/>
    <s v="NO2_A1"/>
    <x v="2"/>
    <x v="2"/>
    <s v="GBPR_MUNIWASTE"/>
    <x v="0"/>
    <x v="16"/>
    <n v="10.8"/>
    <n v="3942"/>
    <n v="14191.2"/>
  </r>
  <r>
    <x v="0"/>
    <x v="0"/>
    <x v="0"/>
    <x v="7"/>
    <x v="12"/>
    <s v="NO2_A1"/>
    <x v="2"/>
    <x v="2"/>
    <s v="GBPR_MUNIWASTE"/>
    <x v="0"/>
    <x v="17"/>
    <n v="10.8"/>
    <n v="3942"/>
    <n v="14191.2"/>
  </r>
  <r>
    <x v="0"/>
    <x v="0"/>
    <x v="0"/>
    <x v="7"/>
    <x v="12"/>
    <s v="NO2_A1"/>
    <x v="2"/>
    <x v="2"/>
    <s v="GBPR_MUNIWASTE"/>
    <x v="0"/>
    <x v="19"/>
    <n v="10.8"/>
    <n v="3942"/>
    <n v="14191.2"/>
  </r>
  <r>
    <x v="0"/>
    <x v="0"/>
    <x v="0"/>
    <x v="7"/>
    <x v="12"/>
    <s v="NO2_A1"/>
    <x v="2"/>
    <x v="2"/>
    <s v="GBPR_MUNIWASTE"/>
    <x v="0"/>
    <x v="20"/>
    <n v="10.8"/>
    <n v="3942"/>
    <n v="14191.2"/>
  </r>
  <r>
    <x v="0"/>
    <x v="0"/>
    <x v="0"/>
    <x v="7"/>
    <x v="12"/>
    <s v="NO2_A1"/>
    <x v="2"/>
    <x v="2"/>
    <s v="GBPR_MUNIWASTE"/>
    <x v="0"/>
    <x v="21"/>
    <n v="10.8"/>
    <n v="3942"/>
    <n v="14191.2"/>
  </r>
  <r>
    <x v="0"/>
    <x v="0"/>
    <x v="0"/>
    <x v="7"/>
    <x v="12"/>
    <s v="NO2_A1"/>
    <x v="2"/>
    <x v="2"/>
    <s v="GBPR_MUNIWASTE"/>
    <x v="0"/>
    <x v="22"/>
    <n v="10.8"/>
    <n v="3942"/>
    <n v="14191.2"/>
  </r>
  <r>
    <x v="0"/>
    <x v="0"/>
    <x v="0"/>
    <x v="7"/>
    <x v="12"/>
    <s v="NO2_A1"/>
    <x v="2"/>
    <x v="2"/>
    <s v="GBPR_MUNIWASTE"/>
    <x v="0"/>
    <x v="23"/>
    <n v="10.8"/>
    <n v="3942"/>
    <n v="14191.2"/>
  </r>
  <r>
    <x v="0"/>
    <x v="0"/>
    <x v="0"/>
    <x v="7"/>
    <x v="12"/>
    <s v="NO2_A1"/>
    <x v="6"/>
    <x v="7"/>
    <s v="GNR_RES_WTR_NOPMP_MC-01"/>
    <x v="0"/>
    <x v="0"/>
    <n v="367.19205575436598"/>
    <n v="134025.100350344"/>
    <n v="482490.36126123701"/>
  </r>
  <r>
    <x v="0"/>
    <x v="0"/>
    <x v="0"/>
    <x v="7"/>
    <x v="12"/>
    <s v="NO2_A1"/>
    <x v="6"/>
    <x v="7"/>
    <s v="GNR_RES_WTR_NOPMP_MC-01"/>
    <x v="0"/>
    <x v="1"/>
    <n v="367.19205575436598"/>
    <n v="134025.100350344"/>
    <n v="482490.36126123701"/>
  </r>
  <r>
    <x v="0"/>
    <x v="0"/>
    <x v="0"/>
    <x v="7"/>
    <x v="12"/>
    <s v="NO2_A1"/>
    <x v="6"/>
    <x v="7"/>
    <s v="GNR_RES_WTR_NOPMP_MC-01"/>
    <x v="0"/>
    <x v="18"/>
    <n v="367.19205575436598"/>
    <n v="134025.100350344"/>
    <n v="482490.36126123701"/>
  </r>
  <r>
    <x v="0"/>
    <x v="0"/>
    <x v="0"/>
    <x v="7"/>
    <x v="12"/>
    <s v="NO2_A1"/>
    <x v="6"/>
    <x v="7"/>
    <s v="GNR_RES_WTR_NOPMP_MC-01"/>
    <x v="0"/>
    <x v="2"/>
    <n v="367.19205575436598"/>
    <n v="134025.100350344"/>
    <n v="482490.36126123701"/>
  </r>
  <r>
    <x v="0"/>
    <x v="0"/>
    <x v="0"/>
    <x v="7"/>
    <x v="12"/>
    <s v="NO2_A1"/>
    <x v="6"/>
    <x v="7"/>
    <s v="GNR_RES_WTR_NOPMP_MC-01"/>
    <x v="0"/>
    <x v="3"/>
    <n v="367.19205575436598"/>
    <n v="134025.100350344"/>
    <n v="482490.36126123701"/>
  </r>
  <r>
    <x v="0"/>
    <x v="0"/>
    <x v="0"/>
    <x v="7"/>
    <x v="12"/>
    <s v="NO2_A1"/>
    <x v="6"/>
    <x v="7"/>
    <s v="GNR_RES_WTR_NOPMP_MC-01"/>
    <x v="0"/>
    <x v="4"/>
    <n v="367.19205575436598"/>
    <n v="134025.100350344"/>
    <n v="482490.36126123701"/>
  </r>
  <r>
    <x v="0"/>
    <x v="0"/>
    <x v="0"/>
    <x v="7"/>
    <x v="12"/>
    <s v="NO2_A1"/>
    <x v="6"/>
    <x v="7"/>
    <s v="GNR_RES_WTR_NOPMP_MC-01"/>
    <x v="0"/>
    <x v="5"/>
    <n v="367.19205575436598"/>
    <n v="134025.100350344"/>
    <n v="482490.36126123701"/>
  </r>
  <r>
    <x v="0"/>
    <x v="0"/>
    <x v="0"/>
    <x v="7"/>
    <x v="12"/>
    <s v="NO2_A1"/>
    <x v="6"/>
    <x v="7"/>
    <s v="GNR_RES_WTR_NOPMP_MC-01"/>
    <x v="0"/>
    <x v="6"/>
    <n v="367.19205575436598"/>
    <n v="134025.100350344"/>
    <n v="482490.36126123701"/>
  </r>
  <r>
    <x v="0"/>
    <x v="0"/>
    <x v="0"/>
    <x v="7"/>
    <x v="12"/>
    <s v="NO2_A1"/>
    <x v="6"/>
    <x v="7"/>
    <s v="GNR_RES_WTR_NOPMP_MC-01"/>
    <x v="0"/>
    <x v="7"/>
    <n v="367.19205575436598"/>
    <n v="134025.100350344"/>
    <n v="482490.36126123701"/>
  </r>
  <r>
    <x v="0"/>
    <x v="0"/>
    <x v="0"/>
    <x v="7"/>
    <x v="12"/>
    <s v="NO2_A1"/>
    <x v="6"/>
    <x v="7"/>
    <s v="GNR_RES_WTR_NOPMP_MC-01"/>
    <x v="0"/>
    <x v="8"/>
    <n v="367.19205575436598"/>
    <n v="134025.100350344"/>
    <n v="482490.36126123701"/>
  </r>
  <r>
    <x v="0"/>
    <x v="0"/>
    <x v="0"/>
    <x v="7"/>
    <x v="12"/>
    <s v="NO2_A1"/>
    <x v="6"/>
    <x v="7"/>
    <s v="GNR_RES_WTR_NOPMP_MC-01"/>
    <x v="0"/>
    <x v="9"/>
    <n v="367.19205575436598"/>
    <n v="134025.100350344"/>
    <n v="482490.36126123701"/>
  </r>
  <r>
    <x v="0"/>
    <x v="0"/>
    <x v="0"/>
    <x v="7"/>
    <x v="12"/>
    <s v="NO2_A1"/>
    <x v="6"/>
    <x v="7"/>
    <s v="GNR_RES_WTR_NOPMP_MC-01"/>
    <x v="0"/>
    <x v="10"/>
    <n v="367.19205575436598"/>
    <n v="134025.100350344"/>
    <n v="482490.36126123701"/>
  </r>
  <r>
    <x v="0"/>
    <x v="0"/>
    <x v="0"/>
    <x v="7"/>
    <x v="12"/>
    <s v="NO2_A1"/>
    <x v="6"/>
    <x v="7"/>
    <s v="GNR_RES_WTR_NOPMP_MC-01"/>
    <x v="0"/>
    <x v="11"/>
    <n v="367.19205575436598"/>
    <n v="134025.100350344"/>
    <n v="482490.36126123701"/>
  </r>
  <r>
    <x v="0"/>
    <x v="0"/>
    <x v="0"/>
    <x v="7"/>
    <x v="12"/>
    <s v="NO2_A1"/>
    <x v="6"/>
    <x v="7"/>
    <s v="GNR_RES_WTR_NOPMP_MC-01"/>
    <x v="0"/>
    <x v="12"/>
    <n v="367.19205575436598"/>
    <n v="134025.100350344"/>
    <n v="482490.36126123701"/>
  </r>
  <r>
    <x v="0"/>
    <x v="0"/>
    <x v="0"/>
    <x v="7"/>
    <x v="12"/>
    <s v="NO2_A1"/>
    <x v="6"/>
    <x v="7"/>
    <s v="GNR_RES_WTR_NOPMP_MC-01"/>
    <x v="0"/>
    <x v="13"/>
    <n v="367.19205575436598"/>
    <n v="134025.100350344"/>
    <n v="482490.36126123701"/>
  </r>
  <r>
    <x v="0"/>
    <x v="0"/>
    <x v="0"/>
    <x v="7"/>
    <x v="12"/>
    <s v="NO2_A1"/>
    <x v="6"/>
    <x v="7"/>
    <s v="GNR_RES_WTR_NOPMP_MC-01"/>
    <x v="0"/>
    <x v="14"/>
    <n v="367.19205575436598"/>
    <n v="134025.100350344"/>
    <n v="482490.36126123701"/>
  </r>
  <r>
    <x v="0"/>
    <x v="0"/>
    <x v="0"/>
    <x v="7"/>
    <x v="12"/>
    <s v="NO2_A1"/>
    <x v="6"/>
    <x v="7"/>
    <s v="GNR_RES_WTR_NOPMP_MC-01"/>
    <x v="0"/>
    <x v="15"/>
    <n v="367.19205575436598"/>
    <n v="134025.100350344"/>
    <n v="482490.36126123701"/>
  </r>
  <r>
    <x v="0"/>
    <x v="0"/>
    <x v="0"/>
    <x v="7"/>
    <x v="12"/>
    <s v="NO2_A1"/>
    <x v="6"/>
    <x v="7"/>
    <s v="GNR_RES_WTR_NOPMP_MC-01"/>
    <x v="0"/>
    <x v="16"/>
    <n v="367.19205575436598"/>
    <n v="134025.100350344"/>
    <n v="482490.36126123701"/>
  </r>
  <r>
    <x v="0"/>
    <x v="0"/>
    <x v="0"/>
    <x v="7"/>
    <x v="12"/>
    <s v="NO2_A1"/>
    <x v="6"/>
    <x v="7"/>
    <s v="GNR_RES_WTR_NOPMP_MC-01"/>
    <x v="0"/>
    <x v="17"/>
    <n v="367.19205575436598"/>
    <n v="134025.100350344"/>
    <n v="482490.36126123701"/>
  </r>
  <r>
    <x v="0"/>
    <x v="0"/>
    <x v="0"/>
    <x v="7"/>
    <x v="12"/>
    <s v="NO2_A1"/>
    <x v="6"/>
    <x v="7"/>
    <s v="GNR_RES_WTR_NOPMP_MC-01"/>
    <x v="0"/>
    <x v="19"/>
    <n v="367.19205575436598"/>
    <n v="134025.100350344"/>
    <n v="482490.36126123701"/>
  </r>
  <r>
    <x v="0"/>
    <x v="0"/>
    <x v="0"/>
    <x v="7"/>
    <x v="12"/>
    <s v="NO2_A1"/>
    <x v="6"/>
    <x v="7"/>
    <s v="GNR_RES_WTR_NOPMP_MC-01"/>
    <x v="0"/>
    <x v="20"/>
    <n v="367.19205575436598"/>
    <n v="134025.100350344"/>
    <n v="482490.36126123701"/>
  </r>
  <r>
    <x v="0"/>
    <x v="0"/>
    <x v="0"/>
    <x v="7"/>
    <x v="12"/>
    <s v="NO2_A1"/>
    <x v="6"/>
    <x v="7"/>
    <s v="GNR_RES_WTR_NOPMP_MC-01"/>
    <x v="0"/>
    <x v="21"/>
    <n v="367.19205575436598"/>
    <n v="134025.100350344"/>
    <n v="482490.36126123701"/>
  </r>
  <r>
    <x v="0"/>
    <x v="0"/>
    <x v="0"/>
    <x v="7"/>
    <x v="12"/>
    <s v="NO2_A1"/>
    <x v="6"/>
    <x v="7"/>
    <s v="GNR_RES_WTR_NOPMP_MC-01"/>
    <x v="0"/>
    <x v="22"/>
    <n v="367.19205575436598"/>
    <n v="134025.100350344"/>
    <n v="482490.36126123701"/>
  </r>
  <r>
    <x v="0"/>
    <x v="0"/>
    <x v="0"/>
    <x v="7"/>
    <x v="12"/>
    <s v="NO2_A1"/>
    <x v="6"/>
    <x v="7"/>
    <s v="GNR_RES_WTR_NOPMP_MC-01"/>
    <x v="0"/>
    <x v="23"/>
    <n v="367.19205575436598"/>
    <n v="134025.100350344"/>
    <n v="482490.36126123701"/>
  </r>
  <r>
    <x v="0"/>
    <x v="0"/>
    <x v="0"/>
    <x v="7"/>
    <x v="12"/>
    <s v="NO2_A1"/>
    <x v="6"/>
    <x v="7"/>
    <s v="GNR_RES_WTR_NOPMP_MC-02"/>
    <x v="0"/>
    <x v="0"/>
    <n v="887.19205575436604"/>
    <n v="323825.10035034397"/>
    <n v="1165770.36126124"/>
  </r>
  <r>
    <x v="0"/>
    <x v="0"/>
    <x v="0"/>
    <x v="7"/>
    <x v="12"/>
    <s v="NO2_A1"/>
    <x v="6"/>
    <x v="7"/>
    <s v="GNR_RES_WTR_NOPMP_MC-02"/>
    <x v="0"/>
    <x v="1"/>
    <n v="887.19205575436604"/>
    <n v="323825.10035034397"/>
    <n v="1165770.36126124"/>
  </r>
  <r>
    <x v="0"/>
    <x v="0"/>
    <x v="0"/>
    <x v="7"/>
    <x v="12"/>
    <s v="NO2_A1"/>
    <x v="6"/>
    <x v="7"/>
    <s v="GNR_RES_WTR_NOPMP_MC-02"/>
    <x v="0"/>
    <x v="18"/>
    <n v="887.19205575436604"/>
    <n v="323825.10035034397"/>
    <n v="1165770.36126124"/>
  </r>
  <r>
    <x v="0"/>
    <x v="0"/>
    <x v="0"/>
    <x v="7"/>
    <x v="12"/>
    <s v="NO2_A1"/>
    <x v="6"/>
    <x v="7"/>
    <s v="GNR_RES_WTR_NOPMP_MC-02"/>
    <x v="0"/>
    <x v="2"/>
    <n v="887.19205575436604"/>
    <n v="323825.10035034397"/>
    <n v="1165770.36126124"/>
  </r>
  <r>
    <x v="0"/>
    <x v="0"/>
    <x v="0"/>
    <x v="7"/>
    <x v="12"/>
    <s v="NO2_A1"/>
    <x v="6"/>
    <x v="7"/>
    <s v="GNR_RES_WTR_NOPMP_MC-02"/>
    <x v="0"/>
    <x v="3"/>
    <n v="887.19205575436604"/>
    <n v="323825.10035034397"/>
    <n v="1165770.36126124"/>
  </r>
  <r>
    <x v="0"/>
    <x v="0"/>
    <x v="0"/>
    <x v="7"/>
    <x v="12"/>
    <s v="NO2_A1"/>
    <x v="6"/>
    <x v="7"/>
    <s v="GNR_RES_WTR_NOPMP_MC-02"/>
    <x v="0"/>
    <x v="4"/>
    <n v="887.19205575436604"/>
    <n v="323825.10035034397"/>
    <n v="1165770.36126124"/>
  </r>
  <r>
    <x v="0"/>
    <x v="0"/>
    <x v="0"/>
    <x v="7"/>
    <x v="12"/>
    <s v="NO2_A1"/>
    <x v="6"/>
    <x v="7"/>
    <s v="GNR_RES_WTR_NOPMP_MC-02"/>
    <x v="0"/>
    <x v="5"/>
    <n v="887.19205575436604"/>
    <n v="323825.10035034397"/>
    <n v="1165770.36126124"/>
  </r>
  <r>
    <x v="0"/>
    <x v="0"/>
    <x v="0"/>
    <x v="7"/>
    <x v="12"/>
    <s v="NO2_A1"/>
    <x v="6"/>
    <x v="7"/>
    <s v="GNR_RES_WTR_NOPMP_MC-02"/>
    <x v="0"/>
    <x v="6"/>
    <n v="887.19205575436604"/>
    <n v="323825.10035034397"/>
    <n v="1165770.36126124"/>
  </r>
  <r>
    <x v="0"/>
    <x v="0"/>
    <x v="0"/>
    <x v="7"/>
    <x v="12"/>
    <s v="NO2_A1"/>
    <x v="6"/>
    <x v="7"/>
    <s v="GNR_RES_WTR_NOPMP_MC-02"/>
    <x v="0"/>
    <x v="7"/>
    <n v="887.19205575436604"/>
    <n v="323825.10035034397"/>
    <n v="1165770.36126124"/>
  </r>
  <r>
    <x v="0"/>
    <x v="0"/>
    <x v="0"/>
    <x v="7"/>
    <x v="12"/>
    <s v="NO2_A1"/>
    <x v="6"/>
    <x v="7"/>
    <s v="GNR_RES_WTR_NOPMP_MC-02"/>
    <x v="0"/>
    <x v="8"/>
    <n v="887.19205575436604"/>
    <n v="323825.10035034397"/>
    <n v="1165770.36126124"/>
  </r>
  <r>
    <x v="0"/>
    <x v="0"/>
    <x v="0"/>
    <x v="7"/>
    <x v="12"/>
    <s v="NO2_A1"/>
    <x v="6"/>
    <x v="7"/>
    <s v="GNR_RES_WTR_NOPMP_MC-02"/>
    <x v="0"/>
    <x v="9"/>
    <n v="887.19205575436604"/>
    <n v="323825.10035034397"/>
    <n v="1165770.36126124"/>
  </r>
  <r>
    <x v="0"/>
    <x v="0"/>
    <x v="0"/>
    <x v="7"/>
    <x v="12"/>
    <s v="NO2_A1"/>
    <x v="6"/>
    <x v="7"/>
    <s v="GNR_RES_WTR_NOPMP_MC-02"/>
    <x v="0"/>
    <x v="10"/>
    <n v="887.19205575436604"/>
    <n v="323825.10035034397"/>
    <n v="1165770.36126124"/>
  </r>
  <r>
    <x v="0"/>
    <x v="0"/>
    <x v="0"/>
    <x v="7"/>
    <x v="12"/>
    <s v="NO2_A1"/>
    <x v="6"/>
    <x v="7"/>
    <s v="GNR_RES_WTR_NOPMP_MC-02"/>
    <x v="0"/>
    <x v="11"/>
    <n v="887.19205575436604"/>
    <n v="323825.10035034397"/>
    <n v="1165770.36126124"/>
  </r>
  <r>
    <x v="0"/>
    <x v="0"/>
    <x v="0"/>
    <x v="7"/>
    <x v="12"/>
    <s v="NO2_A1"/>
    <x v="6"/>
    <x v="7"/>
    <s v="GNR_RES_WTR_NOPMP_MC-02"/>
    <x v="0"/>
    <x v="12"/>
    <n v="887.19205575436604"/>
    <n v="323825.10035034397"/>
    <n v="1165770.36126124"/>
  </r>
  <r>
    <x v="0"/>
    <x v="0"/>
    <x v="0"/>
    <x v="7"/>
    <x v="12"/>
    <s v="NO2_A1"/>
    <x v="6"/>
    <x v="7"/>
    <s v="GNR_RES_WTR_NOPMP_MC-02"/>
    <x v="0"/>
    <x v="13"/>
    <n v="887.19205575436604"/>
    <n v="323825.10035034397"/>
    <n v="1165770.36126124"/>
  </r>
  <r>
    <x v="0"/>
    <x v="0"/>
    <x v="0"/>
    <x v="7"/>
    <x v="12"/>
    <s v="NO2_A1"/>
    <x v="6"/>
    <x v="7"/>
    <s v="GNR_RES_WTR_NOPMP_MC-02"/>
    <x v="0"/>
    <x v="14"/>
    <n v="887.19205575436604"/>
    <n v="323825.10035034397"/>
    <n v="1165770.36126124"/>
  </r>
  <r>
    <x v="0"/>
    <x v="0"/>
    <x v="0"/>
    <x v="7"/>
    <x v="12"/>
    <s v="NO2_A1"/>
    <x v="6"/>
    <x v="7"/>
    <s v="GNR_RES_WTR_NOPMP_MC-02"/>
    <x v="0"/>
    <x v="15"/>
    <n v="887.19205575436604"/>
    <n v="323825.10035034397"/>
    <n v="1165770.36126124"/>
  </r>
  <r>
    <x v="0"/>
    <x v="0"/>
    <x v="0"/>
    <x v="7"/>
    <x v="12"/>
    <s v="NO2_A1"/>
    <x v="6"/>
    <x v="7"/>
    <s v="GNR_RES_WTR_NOPMP_MC-02"/>
    <x v="0"/>
    <x v="16"/>
    <n v="887.19205575436604"/>
    <n v="323825.10035034397"/>
    <n v="1165770.36126124"/>
  </r>
  <r>
    <x v="0"/>
    <x v="0"/>
    <x v="0"/>
    <x v="7"/>
    <x v="12"/>
    <s v="NO2_A1"/>
    <x v="6"/>
    <x v="7"/>
    <s v="GNR_RES_WTR_NOPMP_MC-02"/>
    <x v="0"/>
    <x v="17"/>
    <n v="887.19205575436604"/>
    <n v="323825.10035034397"/>
    <n v="1165770.36126124"/>
  </r>
  <r>
    <x v="0"/>
    <x v="0"/>
    <x v="0"/>
    <x v="7"/>
    <x v="12"/>
    <s v="NO2_A1"/>
    <x v="6"/>
    <x v="7"/>
    <s v="GNR_RES_WTR_NOPMP_MC-02"/>
    <x v="0"/>
    <x v="19"/>
    <n v="887.19205575436604"/>
    <n v="323825.10035034397"/>
    <n v="1165770.36126124"/>
  </r>
  <r>
    <x v="0"/>
    <x v="0"/>
    <x v="0"/>
    <x v="7"/>
    <x v="12"/>
    <s v="NO2_A1"/>
    <x v="6"/>
    <x v="7"/>
    <s v="GNR_RES_WTR_NOPMP_MC-02"/>
    <x v="0"/>
    <x v="20"/>
    <n v="887.19205575436604"/>
    <n v="323825.10035034397"/>
    <n v="1165770.36126124"/>
  </r>
  <r>
    <x v="0"/>
    <x v="0"/>
    <x v="0"/>
    <x v="7"/>
    <x v="12"/>
    <s v="NO2_A1"/>
    <x v="6"/>
    <x v="7"/>
    <s v="GNR_RES_WTR_NOPMP_MC-02"/>
    <x v="0"/>
    <x v="21"/>
    <n v="887.19205575436604"/>
    <n v="323825.10035034397"/>
    <n v="1165770.36126124"/>
  </r>
  <r>
    <x v="0"/>
    <x v="0"/>
    <x v="0"/>
    <x v="7"/>
    <x v="12"/>
    <s v="NO2_A1"/>
    <x v="6"/>
    <x v="7"/>
    <s v="GNR_RES_WTR_NOPMP_MC-02"/>
    <x v="0"/>
    <x v="22"/>
    <n v="887.19205575436604"/>
    <n v="323825.10035034397"/>
    <n v="1165770.36126124"/>
  </r>
  <r>
    <x v="0"/>
    <x v="0"/>
    <x v="0"/>
    <x v="7"/>
    <x v="12"/>
    <s v="NO2_A1"/>
    <x v="6"/>
    <x v="7"/>
    <s v="GNR_RES_WTR_NOPMP_MC-02"/>
    <x v="0"/>
    <x v="23"/>
    <n v="887.19205575436604"/>
    <n v="323825.10035034397"/>
    <n v="1165770.36126124"/>
  </r>
  <r>
    <x v="0"/>
    <x v="0"/>
    <x v="0"/>
    <x v="7"/>
    <x v="12"/>
    <s v="NO2_A1"/>
    <x v="6"/>
    <x v="7"/>
    <s v="GNR_RES_WTR_NOPMP_MC-03"/>
    <x v="0"/>
    <x v="0"/>
    <n v="887.19205575436604"/>
    <n v="323825.10035034397"/>
    <n v="1165770.36126124"/>
  </r>
  <r>
    <x v="0"/>
    <x v="0"/>
    <x v="0"/>
    <x v="7"/>
    <x v="12"/>
    <s v="NO2_A1"/>
    <x v="6"/>
    <x v="7"/>
    <s v="GNR_RES_WTR_NOPMP_MC-03"/>
    <x v="0"/>
    <x v="1"/>
    <n v="887.19205575436604"/>
    <n v="323825.10035034397"/>
    <n v="1165770.36126124"/>
  </r>
  <r>
    <x v="0"/>
    <x v="0"/>
    <x v="0"/>
    <x v="7"/>
    <x v="12"/>
    <s v="NO2_A1"/>
    <x v="6"/>
    <x v="7"/>
    <s v="GNR_RES_WTR_NOPMP_MC-03"/>
    <x v="0"/>
    <x v="18"/>
    <n v="887.19205575436604"/>
    <n v="323825.10035034397"/>
    <n v="1165770.36126124"/>
  </r>
  <r>
    <x v="0"/>
    <x v="0"/>
    <x v="0"/>
    <x v="7"/>
    <x v="12"/>
    <s v="NO2_A1"/>
    <x v="6"/>
    <x v="7"/>
    <s v="GNR_RES_WTR_NOPMP_MC-03"/>
    <x v="0"/>
    <x v="2"/>
    <n v="887.19205575436604"/>
    <n v="323825.10035034397"/>
    <n v="1165770.36126124"/>
  </r>
  <r>
    <x v="0"/>
    <x v="0"/>
    <x v="0"/>
    <x v="7"/>
    <x v="12"/>
    <s v="NO2_A1"/>
    <x v="6"/>
    <x v="7"/>
    <s v="GNR_RES_WTR_NOPMP_MC-03"/>
    <x v="0"/>
    <x v="3"/>
    <n v="887.19205575436604"/>
    <n v="323825.10035034397"/>
    <n v="1165770.36126124"/>
  </r>
  <r>
    <x v="0"/>
    <x v="0"/>
    <x v="0"/>
    <x v="7"/>
    <x v="12"/>
    <s v="NO2_A1"/>
    <x v="6"/>
    <x v="7"/>
    <s v="GNR_RES_WTR_NOPMP_MC-03"/>
    <x v="0"/>
    <x v="4"/>
    <n v="887.19205575436604"/>
    <n v="323825.10035034397"/>
    <n v="1165770.36126124"/>
  </r>
  <r>
    <x v="0"/>
    <x v="0"/>
    <x v="0"/>
    <x v="7"/>
    <x v="12"/>
    <s v="NO2_A1"/>
    <x v="6"/>
    <x v="7"/>
    <s v="GNR_RES_WTR_NOPMP_MC-03"/>
    <x v="0"/>
    <x v="5"/>
    <n v="887.19205575436604"/>
    <n v="323825.10035034397"/>
    <n v="1165770.36126124"/>
  </r>
  <r>
    <x v="0"/>
    <x v="0"/>
    <x v="0"/>
    <x v="7"/>
    <x v="12"/>
    <s v="NO2_A1"/>
    <x v="6"/>
    <x v="7"/>
    <s v="GNR_RES_WTR_NOPMP_MC-03"/>
    <x v="0"/>
    <x v="6"/>
    <n v="887.19205575436604"/>
    <n v="323825.10035034397"/>
    <n v="1165770.36126124"/>
  </r>
  <r>
    <x v="0"/>
    <x v="0"/>
    <x v="0"/>
    <x v="7"/>
    <x v="12"/>
    <s v="NO2_A1"/>
    <x v="6"/>
    <x v="7"/>
    <s v="GNR_RES_WTR_NOPMP_MC-03"/>
    <x v="0"/>
    <x v="7"/>
    <n v="887.19205575436604"/>
    <n v="323825.10035034397"/>
    <n v="1165770.36126124"/>
  </r>
  <r>
    <x v="0"/>
    <x v="0"/>
    <x v="0"/>
    <x v="7"/>
    <x v="12"/>
    <s v="NO2_A1"/>
    <x v="6"/>
    <x v="7"/>
    <s v="GNR_RES_WTR_NOPMP_MC-03"/>
    <x v="0"/>
    <x v="8"/>
    <n v="887.19205575436604"/>
    <n v="323825.10035034397"/>
    <n v="1165770.36126124"/>
  </r>
  <r>
    <x v="0"/>
    <x v="0"/>
    <x v="0"/>
    <x v="7"/>
    <x v="12"/>
    <s v="NO2_A1"/>
    <x v="6"/>
    <x v="7"/>
    <s v="GNR_RES_WTR_NOPMP_MC-03"/>
    <x v="0"/>
    <x v="9"/>
    <n v="887.19205575436604"/>
    <n v="323825.10035034397"/>
    <n v="1165770.36126124"/>
  </r>
  <r>
    <x v="0"/>
    <x v="0"/>
    <x v="0"/>
    <x v="7"/>
    <x v="12"/>
    <s v="NO2_A1"/>
    <x v="6"/>
    <x v="7"/>
    <s v="GNR_RES_WTR_NOPMP_MC-03"/>
    <x v="0"/>
    <x v="10"/>
    <n v="887.19205575436604"/>
    <n v="323825.10035034397"/>
    <n v="1165770.36126124"/>
  </r>
  <r>
    <x v="0"/>
    <x v="0"/>
    <x v="0"/>
    <x v="7"/>
    <x v="12"/>
    <s v="NO2_A1"/>
    <x v="6"/>
    <x v="7"/>
    <s v="GNR_RES_WTR_NOPMP_MC-03"/>
    <x v="0"/>
    <x v="11"/>
    <n v="887.19205575436604"/>
    <n v="323825.10035034397"/>
    <n v="1165770.36126124"/>
  </r>
  <r>
    <x v="0"/>
    <x v="0"/>
    <x v="0"/>
    <x v="7"/>
    <x v="12"/>
    <s v="NO2_A1"/>
    <x v="6"/>
    <x v="7"/>
    <s v="GNR_RES_WTR_NOPMP_MC-03"/>
    <x v="0"/>
    <x v="12"/>
    <n v="887.19205575436604"/>
    <n v="323825.10035034397"/>
    <n v="1165770.36126124"/>
  </r>
  <r>
    <x v="0"/>
    <x v="0"/>
    <x v="0"/>
    <x v="7"/>
    <x v="12"/>
    <s v="NO2_A1"/>
    <x v="6"/>
    <x v="7"/>
    <s v="GNR_RES_WTR_NOPMP_MC-03"/>
    <x v="0"/>
    <x v="13"/>
    <n v="887.19205575436604"/>
    <n v="323825.10035034397"/>
    <n v="1165770.36126124"/>
  </r>
  <r>
    <x v="0"/>
    <x v="0"/>
    <x v="0"/>
    <x v="7"/>
    <x v="12"/>
    <s v="NO2_A1"/>
    <x v="6"/>
    <x v="7"/>
    <s v="GNR_RES_WTR_NOPMP_MC-03"/>
    <x v="0"/>
    <x v="14"/>
    <n v="887.19205575436604"/>
    <n v="323825.10035034397"/>
    <n v="1165770.36126124"/>
  </r>
  <r>
    <x v="0"/>
    <x v="0"/>
    <x v="0"/>
    <x v="7"/>
    <x v="12"/>
    <s v="NO2_A1"/>
    <x v="6"/>
    <x v="7"/>
    <s v="GNR_RES_WTR_NOPMP_MC-03"/>
    <x v="0"/>
    <x v="15"/>
    <n v="887.19205575436604"/>
    <n v="323825.10035034397"/>
    <n v="1165770.36126124"/>
  </r>
  <r>
    <x v="0"/>
    <x v="0"/>
    <x v="0"/>
    <x v="7"/>
    <x v="12"/>
    <s v="NO2_A1"/>
    <x v="6"/>
    <x v="7"/>
    <s v="GNR_RES_WTR_NOPMP_MC-03"/>
    <x v="0"/>
    <x v="16"/>
    <n v="887.19205575436604"/>
    <n v="323825.10035034397"/>
    <n v="1165770.36126124"/>
  </r>
  <r>
    <x v="0"/>
    <x v="0"/>
    <x v="0"/>
    <x v="7"/>
    <x v="12"/>
    <s v="NO2_A1"/>
    <x v="6"/>
    <x v="7"/>
    <s v="GNR_RES_WTR_NOPMP_MC-03"/>
    <x v="0"/>
    <x v="17"/>
    <n v="887.19205575436604"/>
    <n v="323825.10035034397"/>
    <n v="1165770.36126124"/>
  </r>
  <r>
    <x v="0"/>
    <x v="0"/>
    <x v="0"/>
    <x v="7"/>
    <x v="12"/>
    <s v="NO2_A1"/>
    <x v="6"/>
    <x v="7"/>
    <s v="GNR_RES_WTR_NOPMP_MC-03"/>
    <x v="0"/>
    <x v="19"/>
    <n v="887.19205575436604"/>
    <n v="323825.10035034397"/>
    <n v="1165770.36126124"/>
  </r>
  <r>
    <x v="0"/>
    <x v="0"/>
    <x v="0"/>
    <x v="7"/>
    <x v="12"/>
    <s v="NO2_A1"/>
    <x v="6"/>
    <x v="7"/>
    <s v="GNR_RES_WTR_NOPMP_MC-03"/>
    <x v="0"/>
    <x v="20"/>
    <n v="887.19205575436604"/>
    <n v="323825.10035034397"/>
    <n v="1165770.36126124"/>
  </r>
  <r>
    <x v="0"/>
    <x v="0"/>
    <x v="0"/>
    <x v="7"/>
    <x v="12"/>
    <s v="NO2_A1"/>
    <x v="6"/>
    <x v="7"/>
    <s v="GNR_RES_WTR_NOPMP_MC-03"/>
    <x v="0"/>
    <x v="21"/>
    <n v="887.19205575436604"/>
    <n v="323825.10035034397"/>
    <n v="1165770.36126124"/>
  </r>
  <r>
    <x v="0"/>
    <x v="0"/>
    <x v="0"/>
    <x v="7"/>
    <x v="12"/>
    <s v="NO2_A1"/>
    <x v="6"/>
    <x v="7"/>
    <s v="GNR_RES_WTR_NOPMP_MC-03"/>
    <x v="0"/>
    <x v="22"/>
    <n v="887.19205575436604"/>
    <n v="323825.10035034397"/>
    <n v="1165770.36126124"/>
  </r>
  <r>
    <x v="0"/>
    <x v="0"/>
    <x v="0"/>
    <x v="7"/>
    <x v="12"/>
    <s v="NO2_A1"/>
    <x v="6"/>
    <x v="7"/>
    <s v="GNR_RES_WTR_NOPMP_MC-03"/>
    <x v="0"/>
    <x v="23"/>
    <n v="887.19205575436604"/>
    <n v="323825.10035034397"/>
    <n v="1165770.36126124"/>
  </r>
  <r>
    <x v="0"/>
    <x v="0"/>
    <x v="0"/>
    <x v="7"/>
    <x v="12"/>
    <s v="NO2_A1"/>
    <x v="6"/>
    <x v="7"/>
    <s v="GNR_RES_WTR_NOPMP_MC-04"/>
    <x v="0"/>
    <x v="0"/>
    <n v="677.19663530864295"/>
    <n v="247176.77188765499"/>
    <n v="889836.37879555696"/>
  </r>
  <r>
    <x v="0"/>
    <x v="0"/>
    <x v="0"/>
    <x v="7"/>
    <x v="12"/>
    <s v="NO2_A1"/>
    <x v="6"/>
    <x v="7"/>
    <s v="GNR_RES_WTR_NOPMP_MC-04"/>
    <x v="0"/>
    <x v="1"/>
    <n v="389.00509913476702"/>
    <n v="141986.86118419"/>
    <n v="511152.70026308403"/>
  </r>
  <r>
    <x v="0"/>
    <x v="0"/>
    <x v="0"/>
    <x v="7"/>
    <x v="12"/>
    <s v="NO2_A1"/>
    <x v="6"/>
    <x v="7"/>
    <s v="GNR_RES_WTR_NOPMP_MC-04"/>
    <x v="0"/>
    <x v="18"/>
    <n v="562.12955470710403"/>
    <n v="205177.28746809301"/>
    <n v="738638.23488513404"/>
  </r>
  <r>
    <x v="0"/>
    <x v="0"/>
    <x v="0"/>
    <x v="7"/>
    <x v="12"/>
    <s v="NO2_A1"/>
    <x v="6"/>
    <x v="7"/>
    <s v="GNR_RES_WTR_NOPMP_MC-04"/>
    <x v="0"/>
    <x v="2"/>
    <n v="325.86796015489199"/>
    <n v="118941.805456535"/>
    <n v="428190.49964352697"/>
  </r>
  <r>
    <x v="0"/>
    <x v="0"/>
    <x v="0"/>
    <x v="7"/>
    <x v="12"/>
    <s v="NO2_A1"/>
    <x v="6"/>
    <x v="7"/>
    <s v="GNR_RES_WTR_NOPMP_MC-04"/>
    <x v="0"/>
    <x v="3"/>
    <n v="480.87363584642799"/>
    <n v="175518.87708394599"/>
    <n v="631867.95750220597"/>
  </r>
  <r>
    <x v="0"/>
    <x v="0"/>
    <x v="0"/>
    <x v="7"/>
    <x v="12"/>
    <s v="NO2_A1"/>
    <x v="6"/>
    <x v="7"/>
    <s v="GNR_RES_WTR_NOPMP_MC-04"/>
    <x v="0"/>
    <x v="4"/>
    <n v="887.19205575436604"/>
    <n v="323825.10035034397"/>
    <n v="1165770.36126124"/>
  </r>
  <r>
    <x v="0"/>
    <x v="0"/>
    <x v="0"/>
    <x v="7"/>
    <x v="12"/>
    <s v="NO2_A1"/>
    <x v="6"/>
    <x v="7"/>
    <s v="GNR_RES_WTR_NOPMP_MC-04"/>
    <x v="0"/>
    <x v="5"/>
    <n v="887.19205575436604"/>
    <n v="323825.10035034397"/>
    <n v="1165770.36126124"/>
  </r>
  <r>
    <x v="0"/>
    <x v="0"/>
    <x v="0"/>
    <x v="7"/>
    <x v="12"/>
    <s v="NO2_A1"/>
    <x v="6"/>
    <x v="7"/>
    <s v="GNR_RES_WTR_NOPMP_MC-04"/>
    <x v="0"/>
    <x v="6"/>
    <n v="887.19205575436604"/>
    <n v="323825.10035034397"/>
    <n v="1165770.36126124"/>
  </r>
  <r>
    <x v="0"/>
    <x v="0"/>
    <x v="0"/>
    <x v="7"/>
    <x v="12"/>
    <s v="NO2_A1"/>
    <x v="6"/>
    <x v="7"/>
    <s v="GNR_RES_WTR_NOPMP_MC-04"/>
    <x v="0"/>
    <x v="7"/>
    <n v="887.19205575436604"/>
    <n v="323825.10035034397"/>
    <n v="1165770.36126124"/>
  </r>
  <r>
    <x v="0"/>
    <x v="0"/>
    <x v="0"/>
    <x v="7"/>
    <x v="12"/>
    <s v="NO2_A1"/>
    <x v="6"/>
    <x v="7"/>
    <s v="GNR_RES_WTR_NOPMP_MC-04"/>
    <x v="0"/>
    <x v="8"/>
    <n v="887.19205575436604"/>
    <n v="323825.10035034397"/>
    <n v="1165770.36126124"/>
  </r>
  <r>
    <x v="0"/>
    <x v="0"/>
    <x v="0"/>
    <x v="7"/>
    <x v="12"/>
    <s v="NO2_A1"/>
    <x v="6"/>
    <x v="7"/>
    <s v="GNR_RES_WTR_NOPMP_MC-04"/>
    <x v="0"/>
    <x v="9"/>
    <n v="887.19205575436604"/>
    <n v="323825.10035034397"/>
    <n v="1165770.36126124"/>
  </r>
  <r>
    <x v="0"/>
    <x v="0"/>
    <x v="0"/>
    <x v="7"/>
    <x v="12"/>
    <s v="NO2_A1"/>
    <x v="6"/>
    <x v="7"/>
    <s v="GNR_RES_WTR_NOPMP_MC-04"/>
    <x v="0"/>
    <x v="10"/>
    <n v="887.19205575436604"/>
    <n v="323825.10035034397"/>
    <n v="1165770.36126124"/>
  </r>
  <r>
    <x v="0"/>
    <x v="0"/>
    <x v="0"/>
    <x v="7"/>
    <x v="12"/>
    <s v="NO2_A1"/>
    <x v="6"/>
    <x v="7"/>
    <s v="GNR_RES_WTR_NOPMP_MC-04"/>
    <x v="0"/>
    <x v="11"/>
    <n v="887.19205575436604"/>
    <n v="323825.10035034397"/>
    <n v="1165770.36126124"/>
  </r>
  <r>
    <x v="0"/>
    <x v="0"/>
    <x v="0"/>
    <x v="7"/>
    <x v="12"/>
    <s v="NO2_A1"/>
    <x v="6"/>
    <x v="7"/>
    <s v="GNR_RES_WTR_NOPMP_MC-04"/>
    <x v="0"/>
    <x v="12"/>
    <n v="887.19205575436604"/>
    <n v="323825.10035034397"/>
    <n v="1165770.36126124"/>
  </r>
  <r>
    <x v="0"/>
    <x v="0"/>
    <x v="0"/>
    <x v="7"/>
    <x v="12"/>
    <s v="NO2_A1"/>
    <x v="6"/>
    <x v="7"/>
    <s v="GNR_RES_WTR_NOPMP_MC-04"/>
    <x v="0"/>
    <x v="13"/>
    <n v="887.19205575436604"/>
    <n v="323825.10035034397"/>
    <n v="1165770.36126124"/>
  </r>
  <r>
    <x v="0"/>
    <x v="0"/>
    <x v="0"/>
    <x v="7"/>
    <x v="12"/>
    <s v="NO2_A1"/>
    <x v="6"/>
    <x v="7"/>
    <s v="GNR_RES_WTR_NOPMP_MC-04"/>
    <x v="0"/>
    <x v="14"/>
    <n v="887.19205575436604"/>
    <n v="323825.10035034397"/>
    <n v="1165770.36126124"/>
  </r>
  <r>
    <x v="0"/>
    <x v="0"/>
    <x v="0"/>
    <x v="7"/>
    <x v="12"/>
    <s v="NO2_A1"/>
    <x v="6"/>
    <x v="7"/>
    <s v="GNR_RES_WTR_NOPMP_MC-04"/>
    <x v="0"/>
    <x v="15"/>
    <n v="887.19205575436604"/>
    <n v="323825.10035034397"/>
    <n v="1165770.36126124"/>
  </r>
  <r>
    <x v="0"/>
    <x v="0"/>
    <x v="0"/>
    <x v="7"/>
    <x v="12"/>
    <s v="NO2_A1"/>
    <x v="6"/>
    <x v="7"/>
    <s v="GNR_RES_WTR_NOPMP_MC-04"/>
    <x v="0"/>
    <x v="16"/>
    <n v="887.19205575436604"/>
    <n v="323825.10035034397"/>
    <n v="1165770.36126124"/>
  </r>
  <r>
    <x v="0"/>
    <x v="0"/>
    <x v="0"/>
    <x v="7"/>
    <x v="12"/>
    <s v="NO2_A1"/>
    <x v="6"/>
    <x v="7"/>
    <s v="GNR_RES_WTR_NOPMP_MC-04"/>
    <x v="0"/>
    <x v="17"/>
    <n v="887.19205575436604"/>
    <n v="323825.10035034397"/>
    <n v="1165770.36126124"/>
  </r>
  <r>
    <x v="0"/>
    <x v="0"/>
    <x v="0"/>
    <x v="7"/>
    <x v="12"/>
    <s v="NO2_A1"/>
    <x v="6"/>
    <x v="7"/>
    <s v="GNR_RES_WTR_NOPMP_MC-04"/>
    <x v="0"/>
    <x v="19"/>
    <n v="887.19205575436604"/>
    <n v="323825.10035034397"/>
    <n v="1165770.36126124"/>
  </r>
  <r>
    <x v="0"/>
    <x v="0"/>
    <x v="0"/>
    <x v="7"/>
    <x v="12"/>
    <s v="NO2_A1"/>
    <x v="6"/>
    <x v="7"/>
    <s v="GNR_RES_WTR_NOPMP_MC-04"/>
    <x v="0"/>
    <x v="20"/>
    <n v="887.19205575436604"/>
    <n v="323825.10035034397"/>
    <n v="1165770.36126124"/>
  </r>
  <r>
    <x v="0"/>
    <x v="0"/>
    <x v="0"/>
    <x v="7"/>
    <x v="12"/>
    <s v="NO2_A1"/>
    <x v="6"/>
    <x v="7"/>
    <s v="GNR_RES_WTR_NOPMP_MC-04"/>
    <x v="0"/>
    <x v="21"/>
    <n v="887.19205575436604"/>
    <n v="323825.10035034397"/>
    <n v="1165770.36126124"/>
  </r>
  <r>
    <x v="0"/>
    <x v="0"/>
    <x v="0"/>
    <x v="7"/>
    <x v="12"/>
    <s v="NO2_A1"/>
    <x v="6"/>
    <x v="7"/>
    <s v="GNR_RES_WTR_NOPMP_MC-04"/>
    <x v="0"/>
    <x v="22"/>
    <n v="848.43419236424597"/>
    <n v="309678.48021294997"/>
    <n v="1114842.52876662"/>
  </r>
  <r>
    <x v="0"/>
    <x v="0"/>
    <x v="0"/>
    <x v="7"/>
    <x v="12"/>
    <s v="NO2_A1"/>
    <x v="6"/>
    <x v="7"/>
    <s v="GNR_RES_WTR_NOPMP_MC-05"/>
    <x v="0"/>
    <x v="5"/>
    <n v="887.19205575436604"/>
    <n v="323825.10035034397"/>
    <n v="1165770.36126124"/>
  </r>
  <r>
    <x v="0"/>
    <x v="0"/>
    <x v="0"/>
    <x v="7"/>
    <x v="12"/>
    <s v="NO2_A1"/>
    <x v="6"/>
    <x v="7"/>
    <s v="GNR_RES_WTR_NOPMP_MC-05"/>
    <x v="0"/>
    <x v="6"/>
    <n v="887.19205575436604"/>
    <n v="323825.10035034397"/>
    <n v="1165770.36126124"/>
  </r>
  <r>
    <x v="0"/>
    <x v="0"/>
    <x v="0"/>
    <x v="7"/>
    <x v="12"/>
    <s v="NO2_A1"/>
    <x v="6"/>
    <x v="7"/>
    <s v="GNR_RES_WTR_NOPMP_MC-05"/>
    <x v="0"/>
    <x v="7"/>
    <n v="887.19205575436604"/>
    <n v="323825.10035034397"/>
    <n v="1165770.36126124"/>
  </r>
  <r>
    <x v="0"/>
    <x v="0"/>
    <x v="0"/>
    <x v="7"/>
    <x v="12"/>
    <s v="NO2_A1"/>
    <x v="6"/>
    <x v="7"/>
    <s v="GNR_RES_WTR_NOPMP_MC-05"/>
    <x v="0"/>
    <x v="8"/>
    <n v="887.19205575436604"/>
    <n v="323825.10035034397"/>
    <n v="1165770.36126124"/>
  </r>
  <r>
    <x v="0"/>
    <x v="0"/>
    <x v="0"/>
    <x v="7"/>
    <x v="12"/>
    <s v="NO2_A1"/>
    <x v="6"/>
    <x v="7"/>
    <s v="GNR_RES_WTR_NOPMP_MC-05"/>
    <x v="0"/>
    <x v="9"/>
    <n v="887.19205575436604"/>
    <n v="323825.10035034397"/>
    <n v="1165770.36126124"/>
  </r>
  <r>
    <x v="0"/>
    <x v="0"/>
    <x v="0"/>
    <x v="7"/>
    <x v="12"/>
    <s v="NO2_A1"/>
    <x v="6"/>
    <x v="7"/>
    <s v="GNR_RES_WTR_NOPMP_MC-05"/>
    <x v="0"/>
    <x v="10"/>
    <n v="887.19205575436604"/>
    <n v="323825.10035034397"/>
    <n v="1165770.36126124"/>
  </r>
  <r>
    <x v="0"/>
    <x v="0"/>
    <x v="0"/>
    <x v="7"/>
    <x v="12"/>
    <s v="NO2_A1"/>
    <x v="6"/>
    <x v="7"/>
    <s v="GNR_RES_WTR_NOPMP_MC-05"/>
    <x v="0"/>
    <x v="11"/>
    <n v="887.19205575436604"/>
    <n v="323825.10035034397"/>
    <n v="1165770.36126124"/>
  </r>
  <r>
    <x v="0"/>
    <x v="0"/>
    <x v="0"/>
    <x v="7"/>
    <x v="12"/>
    <s v="NO2_A1"/>
    <x v="6"/>
    <x v="7"/>
    <s v="GNR_RES_WTR_NOPMP_MC-05"/>
    <x v="0"/>
    <x v="12"/>
    <n v="887.19205575436604"/>
    <n v="323825.10035034397"/>
    <n v="1165770.36126124"/>
  </r>
  <r>
    <x v="0"/>
    <x v="0"/>
    <x v="0"/>
    <x v="7"/>
    <x v="12"/>
    <s v="NO2_A1"/>
    <x v="6"/>
    <x v="7"/>
    <s v="GNR_RES_WTR_NOPMP_MC-05"/>
    <x v="0"/>
    <x v="13"/>
    <n v="887.19205575436604"/>
    <n v="323825.10035034397"/>
    <n v="1165770.36126124"/>
  </r>
  <r>
    <x v="0"/>
    <x v="0"/>
    <x v="0"/>
    <x v="7"/>
    <x v="12"/>
    <s v="NO2_A1"/>
    <x v="6"/>
    <x v="7"/>
    <s v="GNR_RES_WTR_NOPMP_MC-05"/>
    <x v="0"/>
    <x v="14"/>
    <n v="887.19205575436604"/>
    <n v="323825.10035034397"/>
    <n v="1165770.36126124"/>
  </r>
  <r>
    <x v="0"/>
    <x v="0"/>
    <x v="0"/>
    <x v="7"/>
    <x v="12"/>
    <s v="NO2_A1"/>
    <x v="6"/>
    <x v="7"/>
    <s v="GNR_RES_WTR_NOPMP_MC-05"/>
    <x v="0"/>
    <x v="15"/>
    <n v="887.19205575436604"/>
    <n v="323825.10035034397"/>
    <n v="1165770.36126124"/>
  </r>
  <r>
    <x v="0"/>
    <x v="0"/>
    <x v="0"/>
    <x v="7"/>
    <x v="12"/>
    <s v="NO2_A1"/>
    <x v="6"/>
    <x v="7"/>
    <s v="GNR_RES_WTR_NOPMP_MC-05"/>
    <x v="0"/>
    <x v="16"/>
    <n v="887.19205575436604"/>
    <n v="323825.10035034397"/>
    <n v="1165770.36126124"/>
  </r>
  <r>
    <x v="0"/>
    <x v="0"/>
    <x v="0"/>
    <x v="7"/>
    <x v="12"/>
    <s v="NO2_A1"/>
    <x v="6"/>
    <x v="7"/>
    <s v="GNR_RES_WTR_NOPMP_MC-05"/>
    <x v="0"/>
    <x v="17"/>
    <n v="887.19205575436604"/>
    <n v="323825.10035034397"/>
    <n v="1165770.36126124"/>
  </r>
  <r>
    <x v="0"/>
    <x v="0"/>
    <x v="0"/>
    <x v="7"/>
    <x v="12"/>
    <s v="NO2_A1"/>
    <x v="6"/>
    <x v="7"/>
    <s v="GNR_RES_WTR_NOPMP_MC-05"/>
    <x v="0"/>
    <x v="19"/>
    <n v="887.19205575436604"/>
    <n v="323825.10035034397"/>
    <n v="1165770.36126124"/>
  </r>
  <r>
    <x v="0"/>
    <x v="0"/>
    <x v="0"/>
    <x v="7"/>
    <x v="12"/>
    <s v="NO2_A1"/>
    <x v="6"/>
    <x v="7"/>
    <s v="GNR_RES_WTR_NOPMP_MC-05"/>
    <x v="0"/>
    <x v="20"/>
    <n v="650.44982253851003"/>
    <n v="237414.185226556"/>
    <n v="854691.06681560201"/>
  </r>
  <r>
    <x v="0"/>
    <x v="0"/>
    <x v="0"/>
    <x v="7"/>
    <x v="12"/>
    <s v="NO2_A1"/>
    <x v="6"/>
    <x v="7"/>
    <s v="GNR_RES_WTR_NOPMP_MC-05"/>
    <x v="0"/>
    <x v="21"/>
    <n v="647.56325566292799"/>
    <n v="236360.58831696899"/>
    <n v="850898.11794108804"/>
  </r>
  <r>
    <x v="0"/>
    <x v="0"/>
    <x v="0"/>
    <x v="7"/>
    <x v="12"/>
    <s v="NO2_A1"/>
    <x v="6"/>
    <x v="7"/>
    <s v="GNR_RES_WTR_NOPMP_MC-06"/>
    <x v="0"/>
    <x v="6"/>
    <n v="887.19205575436604"/>
    <n v="323825.10035034397"/>
    <n v="1165770.36126124"/>
  </r>
  <r>
    <x v="0"/>
    <x v="0"/>
    <x v="0"/>
    <x v="7"/>
    <x v="12"/>
    <s v="NO2_A1"/>
    <x v="6"/>
    <x v="7"/>
    <s v="GNR_RES_WTR_NOPMP_MC-06"/>
    <x v="0"/>
    <x v="7"/>
    <n v="887.19205575436604"/>
    <n v="323825.10035034397"/>
    <n v="1165770.36126124"/>
  </r>
  <r>
    <x v="0"/>
    <x v="0"/>
    <x v="0"/>
    <x v="7"/>
    <x v="12"/>
    <s v="NO2_A1"/>
    <x v="6"/>
    <x v="7"/>
    <s v="GNR_RES_WTR_NOPMP_MC-06"/>
    <x v="0"/>
    <x v="8"/>
    <n v="887.19205575436604"/>
    <n v="323825.10035034397"/>
    <n v="1165770.36126124"/>
  </r>
  <r>
    <x v="0"/>
    <x v="0"/>
    <x v="0"/>
    <x v="7"/>
    <x v="12"/>
    <s v="NO2_A1"/>
    <x v="6"/>
    <x v="7"/>
    <s v="GNR_RES_WTR_NOPMP_MC-06"/>
    <x v="0"/>
    <x v="9"/>
    <n v="545.90972922273897"/>
    <n v="199257.05116629999"/>
    <n v="717325.38419867901"/>
  </r>
  <r>
    <x v="0"/>
    <x v="0"/>
    <x v="0"/>
    <x v="7"/>
    <x v="12"/>
    <s v="NO2_A1"/>
    <x v="6"/>
    <x v="7"/>
    <s v="GNR_RES_WTR_NOPMP_MC-06"/>
    <x v="0"/>
    <x v="10"/>
    <n v="530.76058673357602"/>
    <n v="193727.61415775499"/>
    <n v="697419.41096791998"/>
  </r>
  <r>
    <x v="0"/>
    <x v="0"/>
    <x v="0"/>
    <x v="7"/>
    <x v="12"/>
    <s v="NO2_A1"/>
    <x v="6"/>
    <x v="7"/>
    <s v="GNR_RES_WTR_NOPMP_MC-06"/>
    <x v="0"/>
    <x v="11"/>
    <n v="372.168085367473"/>
    <n v="135841.35115912801"/>
    <n v="489028.864172859"/>
  </r>
  <r>
    <x v="0"/>
    <x v="0"/>
    <x v="0"/>
    <x v="7"/>
    <x v="12"/>
    <s v="NO2_A1"/>
    <x v="6"/>
    <x v="7"/>
    <s v="GNR_RES_WTR_NOPMP_MC-06"/>
    <x v="0"/>
    <x v="12"/>
    <n v="482.90141755244201"/>
    <n v="176259.01740664101"/>
    <n v="634532.46266390895"/>
  </r>
  <r>
    <x v="0"/>
    <x v="0"/>
    <x v="0"/>
    <x v="7"/>
    <x v="12"/>
    <s v="NO2_A1"/>
    <x v="6"/>
    <x v="7"/>
    <s v="GNR_RES_WTR_NOPMP_MC-06"/>
    <x v="0"/>
    <x v="13"/>
    <n v="116.58965897909501"/>
    <n v="42555.225527369803"/>
    <n v="153198.81189853101"/>
  </r>
  <r>
    <x v="0"/>
    <x v="0"/>
    <x v="0"/>
    <x v="7"/>
    <x v="12"/>
    <s v="NO2_A1"/>
    <x v="6"/>
    <x v="7"/>
    <s v="GNR_RES_WTR_NOPMP_MC-06"/>
    <x v="0"/>
    <x v="14"/>
    <n v="161.50338506080999"/>
    <n v="58948.735547195603"/>
    <n v="212215.44796990399"/>
  </r>
  <r>
    <x v="0"/>
    <x v="0"/>
    <x v="0"/>
    <x v="7"/>
    <x v="12"/>
    <s v="NO2_A1"/>
    <x v="6"/>
    <x v="7"/>
    <s v="GNR_RES_WTR_NOPMP_MC-06"/>
    <x v="0"/>
    <x v="15"/>
    <n v="271.492434133595"/>
    <n v="99094.738458762193"/>
    <n v="356741.05845154403"/>
  </r>
  <r>
    <x v="0"/>
    <x v="0"/>
    <x v="0"/>
    <x v="7"/>
    <x v="12"/>
    <s v="NO2_A1"/>
    <x v="6"/>
    <x v="7"/>
    <s v="GNR_RES_WTR_NOPMP_MC-06"/>
    <x v="0"/>
    <x v="16"/>
    <n v="14.319781372464099"/>
    <n v="5226.7202009494104"/>
    <n v="18816.192723417898"/>
  </r>
  <r>
    <x v="0"/>
    <x v="0"/>
    <x v="0"/>
    <x v="7"/>
    <x v="12"/>
    <s v="NO2_A1"/>
    <x v="6"/>
    <x v="7"/>
    <s v="GNR_RES_WTR_NOPMP_MC-07"/>
    <x v="0"/>
    <x v="6"/>
    <n v="495.32878888549402"/>
    <n v="180795.00794320501"/>
    <n v="650862.02859553904"/>
  </r>
  <r>
    <x v="0"/>
    <x v="0"/>
    <x v="0"/>
    <x v="7"/>
    <x v="12"/>
    <s v="NO2_A1"/>
    <x v="6"/>
    <x v="7"/>
    <s v="GNR_RES_WTR_NOPMP_MC-07"/>
    <x v="0"/>
    <x v="7"/>
    <n v="552.05360497974004"/>
    <n v="201499.56581760501"/>
    <n v="725398.436943379"/>
  </r>
  <r>
    <x v="0"/>
    <x v="0"/>
    <x v="0"/>
    <x v="7"/>
    <x v="12"/>
    <s v="NO2_A1"/>
    <x v="6"/>
    <x v="7"/>
    <s v="GNR_RES_WTR_NOPMP_MC-07"/>
    <x v="0"/>
    <x v="8"/>
    <n v="524.10598372263496"/>
    <n v="191298.68405876201"/>
    <n v="688675.26261154201"/>
  </r>
  <r>
    <x v="0"/>
    <x v="0"/>
    <x v="0"/>
    <x v="7"/>
    <x v="12"/>
    <s v="NO2_A1"/>
    <x v="6"/>
    <x v="7"/>
    <s v="GNR_RES_WTR_PMP_MC-01"/>
    <x v="0"/>
    <x v="0"/>
    <n v="520"/>
    <n v="189800"/>
    <n v="683280"/>
  </r>
  <r>
    <x v="0"/>
    <x v="0"/>
    <x v="0"/>
    <x v="7"/>
    <x v="12"/>
    <s v="NO2_A1"/>
    <x v="6"/>
    <x v="7"/>
    <s v="GNR_RES_WTR_PMP_MC-01"/>
    <x v="0"/>
    <x v="1"/>
    <n v="520"/>
    <n v="189800"/>
    <n v="683280"/>
  </r>
  <r>
    <x v="0"/>
    <x v="0"/>
    <x v="0"/>
    <x v="7"/>
    <x v="12"/>
    <s v="NO2_A1"/>
    <x v="6"/>
    <x v="7"/>
    <s v="GNR_RES_WTR_PMP_MC-01"/>
    <x v="0"/>
    <x v="18"/>
    <n v="520"/>
    <n v="189800"/>
    <n v="683280"/>
  </r>
  <r>
    <x v="0"/>
    <x v="0"/>
    <x v="0"/>
    <x v="7"/>
    <x v="12"/>
    <s v="NO2_A1"/>
    <x v="6"/>
    <x v="7"/>
    <s v="GNR_RES_WTR_PMP_MC-01"/>
    <x v="0"/>
    <x v="2"/>
    <n v="520"/>
    <n v="189800"/>
    <n v="683280"/>
  </r>
  <r>
    <x v="0"/>
    <x v="0"/>
    <x v="0"/>
    <x v="7"/>
    <x v="12"/>
    <s v="NO2_A1"/>
    <x v="6"/>
    <x v="7"/>
    <s v="GNR_RES_WTR_PMP_MC-01"/>
    <x v="0"/>
    <x v="3"/>
    <n v="520"/>
    <n v="189800"/>
    <n v="683280"/>
  </r>
  <r>
    <x v="0"/>
    <x v="0"/>
    <x v="0"/>
    <x v="7"/>
    <x v="12"/>
    <s v="NO2_A1"/>
    <x v="6"/>
    <x v="7"/>
    <s v="GNR_RES_WTR_PMP_MC-01"/>
    <x v="0"/>
    <x v="4"/>
    <n v="520"/>
    <n v="189800"/>
    <n v="683280"/>
  </r>
  <r>
    <x v="0"/>
    <x v="0"/>
    <x v="0"/>
    <x v="7"/>
    <x v="12"/>
    <s v="NO2_A1"/>
    <x v="6"/>
    <x v="7"/>
    <s v="GNR_RES_WTR_PMP_MC-01"/>
    <x v="0"/>
    <x v="5"/>
    <n v="520"/>
    <n v="189800"/>
    <n v="683280"/>
  </r>
  <r>
    <x v="0"/>
    <x v="0"/>
    <x v="0"/>
    <x v="7"/>
    <x v="12"/>
    <s v="NO2_A1"/>
    <x v="6"/>
    <x v="7"/>
    <s v="GNR_RES_WTR_PMP_MC-01"/>
    <x v="0"/>
    <x v="6"/>
    <n v="520"/>
    <n v="189800"/>
    <n v="683280"/>
  </r>
  <r>
    <x v="0"/>
    <x v="0"/>
    <x v="0"/>
    <x v="7"/>
    <x v="12"/>
    <s v="NO2_A1"/>
    <x v="6"/>
    <x v="7"/>
    <s v="GNR_RES_WTR_PMP_MC-01"/>
    <x v="0"/>
    <x v="7"/>
    <n v="520"/>
    <n v="189800"/>
    <n v="683280"/>
  </r>
  <r>
    <x v="0"/>
    <x v="0"/>
    <x v="0"/>
    <x v="7"/>
    <x v="12"/>
    <s v="NO2_A1"/>
    <x v="6"/>
    <x v="7"/>
    <s v="GNR_RES_WTR_PMP_MC-01"/>
    <x v="0"/>
    <x v="8"/>
    <n v="520"/>
    <n v="189800"/>
    <n v="683280"/>
  </r>
  <r>
    <x v="0"/>
    <x v="0"/>
    <x v="0"/>
    <x v="7"/>
    <x v="12"/>
    <s v="NO2_A1"/>
    <x v="6"/>
    <x v="7"/>
    <s v="GNR_RES_WTR_PMP_MC-01"/>
    <x v="0"/>
    <x v="9"/>
    <n v="520"/>
    <n v="189800"/>
    <n v="683280"/>
  </r>
  <r>
    <x v="0"/>
    <x v="0"/>
    <x v="0"/>
    <x v="7"/>
    <x v="12"/>
    <s v="NO2_A1"/>
    <x v="6"/>
    <x v="7"/>
    <s v="GNR_RES_WTR_PMP_MC-01"/>
    <x v="0"/>
    <x v="10"/>
    <n v="520"/>
    <n v="189800"/>
    <n v="683280"/>
  </r>
  <r>
    <x v="0"/>
    <x v="0"/>
    <x v="0"/>
    <x v="7"/>
    <x v="12"/>
    <s v="NO2_A1"/>
    <x v="6"/>
    <x v="7"/>
    <s v="GNR_RES_WTR_PMP_MC-01"/>
    <x v="0"/>
    <x v="11"/>
    <n v="520"/>
    <n v="189800"/>
    <n v="683280"/>
  </r>
  <r>
    <x v="0"/>
    <x v="0"/>
    <x v="0"/>
    <x v="7"/>
    <x v="12"/>
    <s v="NO2_A1"/>
    <x v="6"/>
    <x v="7"/>
    <s v="GNR_RES_WTR_PMP_MC-01"/>
    <x v="0"/>
    <x v="12"/>
    <n v="520"/>
    <n v="189800"/>
    <n v="683280"/>
  </r>
  <r>
    <x v="0"/>
    <x v="0"/>
    <x v="0"/>
    <x v="7"/>
    <x v="12"/>
    <s v="NO2_A1"/>
    <x v="6"/>
    <x v="7"/>
    <s v="GNR_RES_WTR_PMP_MC-01"/>
    <x v="0"/>
    <x v="13"/>
    <n v="520"/>
    <n v="189800"/>
    <n v="683280"/>
  </r>
  <r>
    <x v="0"/>
    <x v="0"/>
    <x v="0"/>
    <x v="7"/>
    <x v="12"/>
    <s v="NO2_A1"/>
    <x v="6"/>
    <x v="7"/>
    <s v="GNR_RES_WTR_PMP_MC-01"/>
    <x v="0"/>
    <x v="14"/>
    <n v="520"/>
    <n v="189800"/>
    <n v="683280"/>
  </r>
  <r>
    <x v="0"/>
    <x v="0"/>
    <x v="0"/>
    <x v="7"/>
    <x v="12"/>
    <s v="NO2_A1"/>
    <x v="6"/>
    <x v="7"/>
    <s v="GNR_RES_WTR_PMP_MC-01"/>
    <x v="0"/>
    <x v="15"/>
    <n v="520"/>
    <n v="189800"/>
    <n v="683280"/>
  </r>
  <r>
    <x v="0"/>
    <x v="0"/>
    <x v="0"/>
    <x v="7"/>
    <x v="12"/>
    <s v="NO2_A1"/>
    <x v="6"/>
    <x v="7"/>
    <s v="GNR_RES_WTR_PMP_MC-01"/>
    <x v="0"/>
    <x v="16"/>
    <n v="520"/>
    <n v="189800"/>
    <n v="683280"/>
  </r>
  <r>
    <x v="0"/>
    <x v="0"/>
    <x v="0"/>
    <x v="7"/>
    <x v="12"/>
    <s v="NO2_A1"/>
    <x v="6"/>
    <x v="7"/>
    <s v="GNR_RES_WTR_PMP_MC-01"/>
    <x v="0"/>
    <x v="17"/>
    <n v="520"/>
    <n v="189800"/>
    <n v="683280"/>
  </r>
  <r>
    <x v="0"/>
    <x v="0"/>
    <x v="0"/>
    <x v="7"/>
    <x v="12"/>
    <s v="NO2_A1"/>
    <x v="6"/>
    <x v="7"/>
    <s v="GNR_RES_WTR_PMP_MC-01"/>
    <x v="0"/>
    <x v="19"/>
    <n v="520"/>
    <n v="189800"/>
    <n v="683280"/>
  </r>
  <r>
    <x v="0"/>
    <x v="0"/>
    <x v="0"/>
    <x v="7"/>
    <x v="12"/>
    <s v="NO2_A1"/>
    <x v="6"/>
    <x v="7"/>
    <s v="GNR_RES_WTR_PMP_MC-01"/>
    <x v="0"/>
    <x v="20"/>
    <n v="520"/>
    <n v="189800"/>
    <n v="683280"/>
  </r>
  <r>
    <x v="0"/>
    <x v="0"/>
    <x v="0"/>
    <x v="7"/>
    <x v="12"/>
    <s v="NO2_A1"/>
    <x v="6"/>
    <x v="7"/>
    <s v="GNR_RES_WTR_PMP_MC-01"/>
    <x v="0"/>
    <x v="21"/>
    <n v="520"/>
    <n v="189800"/>
    <n v="683280"/>
  </r>
  <r>
    <x v="0"/>
    <x v="0"/>
    <x v="0"/>
    <x v="7"/>
    <x v="12"/>
    <s v="NO2_A1"/>
    <x v="6"/>
    <x v="7"/>
    <s v="GNR_RES_WTR_PMP_MC-01"/>
    <x v="0"/>
    <x v="22"/>
    <n v="520"/>
    <n v="189800"/>
    <n v="683280"/>
  </r>
  <r>
    <x v="0"/>
    <x v="0"/>
    <x v="0"/>
    <x v="7"/>
    <x v="12"/>
    <s v="NO2_A1"/>
    <x v="6"/>
    <x v="7"/>
    <s v="GNR_RES_WTR_PMP_MC-01"/>
    <x v="0"/>
    <x v="23"/>
    <n v="520"/>
    <n v="189800"/>
    <n v="683280"/>
  </r>
  <r>
    <x v="0"/>
    <x v="0"/>
    <x v="0"/>
    <x v="7"/>
    <x v="12"/>
    <s v="NO2_A1"/>
    <x v="6"/>
    <x v="4"/>
    <s v="GNR_ROR_WTR"/>
    <x v="0"/>
    <x v="0"/>
    <n v="1058.7105432231699"/>
    <n v="386429.34827645897"/>
    <n v="1391145.65379525"/>
  </r>
  <r>
    <x v="0"/>
    <x v="0"/>
    <x v="0"/>
    <x v="7"/>
    <x v="12"/>
    <s v="NO2_A1"/>
    <x v="6"/>
    <x v="4"/>
    <s v="GNR_ROR_WTR"/>
    <x v="0"/>
    <x v="1"/>
    <n v="1058.7105432231699"/>
    <n v="386429.34827645897"/>
    <n v="1391145.65379525"/>
  </r>
  <r>
    <x v="0"/>
    <x v="0"/>
    <x v="0"/>
    <x v="7"/>
    <x v="12"/>
    <s v="NO2_A1"/>
    <x v="6"/>
    <x v="4"/>
    <s v="GNR_ROR_WTR"/>
    <x v="0"/>
    <x v="18"/>
    <n v="1058.7105432231699"/>
    <n v="386429.34827645897"/>
    <n v="1391145.65379525"/>
  </r>
  <r>
    <x v="0"/>
    <x v="0"/>
    <x v="0"/>
    <x v="7"/>
    <x v="12"/>
    <s v="NO2_A1"/>
    <x v="6"/>
    <x v="4"/>
    <s v="GNR_ROR_WTR"/>
    <x v="0"/>
    <x v="2"/>
    <n v="1058.7105432231699"/>
    <n v="386429.34827645897"/>
    <n v="1391145.65379525"/>
  </r>
  <r>
    <x v="0"/>
    <x v="0"/>
    <x v="0"/>
    <x v="7"/>
    <x v="12"/>
    <s v="NO2_A1"/>
    <x v="6"/>
    <x v="4"/>
    <s v="GNR_ROR_WTR"/>
    <x v="0"/>
    <x v="3"/>
    <n v="1058.7105432231699"/>
    <n v="386429.34827645897"/>
    <n v="1391145.65379525"/>
  </r>
  <r>
    <x v="0"/>
    <x v="0"/>
    <x v="0"/>
    <x v="7"/>
    <x v="12"/>
    <s v="NO2_A1"/>
    <x v="6"/>
    <x v="4"/>
    <s v="GNR_ROR_WTR"/>
    <x v="0"/>
    <x v="4"/>
    <n v="1058.7105432231699"/>
    <n v="386429.34827645897"/>
    <n v="1391145.65379525"/>
  </r>
  <r>
    <x v="0"/>
    <x v="0"/>
    <x v="0"/>
    <x v="7"/>
    <x v="12"/>
    <s v="NO2_A1"/>
    <x v="6"/>
    <x v="4"/>
    <s v="GNR_ROR_WTR"/>
    <x v="0"/>
    <x v="5"/>
    <n v="1058.7105432231699"/>
    <n v="386429.34827645897"/>
    <n v="1391145.65379525"/>
  </r>
  <r>
    <x v="0"/>
    <x v="0"/>
    <x v="0"/>
    <x v="7"/>
    <x v="12"/>
    <s v="NO2_A1"/>
    <x v="6"/>
    <x v="4"/>
    <s v="GNR_ROR_WTR"/>
    <x v="0"/>
    <x v="6"/>
    <n v="1058.7105432231699"/>
    <n v="386429.34827645897"/>
    <n v="1391145.65379525"/>
  </r>
  <r>
    <x v="0"/>
    <x v="0"/>
    <x v="0"/>
    <x v="7"/>
    <x v="12"/>
    <s v="NO2_A1"/>
    <x v="6"/>
    <x v="4"/>
    <s v="GNR_ROR_WTR"/>
    <x v="0"/>
    <x v="7"/>
    <n v="1058.7105432231699"/>
    <n v="386429.34827645897"/>
    <n v="1391145.65379525"/>
  </r>
  <r>
    <x v="0"/>
    <x v="0"/>
    <x v="0"/>
    <x v="7"/>
    <x v="12"/>
    <s v="NO2_A1"/>
    <x v="6"/>
    <x v="4"/>
    <s v="GNR_ROR_WTR"/>
    <x v="0"/>
    <x v="8"/>
    <n v="1058.7105432231699"/>
    <n v="386429.34827645897"/>
    <n v="1391145.65379525"/>
  </r>
  <r>
    <x v="0"/>
    <x v="0"/>
    <x v="0"/>
    <x v="7"/>
    <x v="12"/>
    <s v="NO2_A1"/>
    <x v="6"/>
    <x v="4"/>
    <s v="GNR_ROR_WTR"/>
    <x v="0"/>
    <x v="9"/>
    <n v="1058.7105432231699"/>
    <n v="386429.34827645897"/>
    <n v="1391145.65379525"/>
  </r>
  <r>
    <x v="0"/>
    <x v="0"/>
    <x v="0"/>
    <x v="7"/>
    <x v="12"/>
    <s v="NO2_A1"/>
    <x v="6"/>
    <x v="4"/>
    <s v="GNR_ROR_WTR"/>
    <x v="0"/>
    <x v="10"/>
    <n v="1058.7105432231699"/>
    <n v="386429.34827645897"/>
    <n v="1391145.65379525"/>
  </r>
  <r>
    <x v="0"/>
    <x v="0"/>
    <x v="0"/>
    <x v="7"/>
    <x v="12"/>
    <s v="NO2_A1"/>
    <x v="6"/>
    <x v="4"/>
    <s v="GNR_ROR_WTR"/>
    <x v="0"/>
    <x v="11"/>
    <n v="1058.7105432231699"/>
    <n v="386429.34827645897"/>
    <n v="1391145.65379525"/>
  </r>
  <r>
    <x v="0"/>
    <x v="0"/>
    <x v="0"/>
    <x v="7"/>
    <x v="12"/>
    <s v="NO2_A1"/>
    <x v="6"/>
    <x v="4"/>
    <s v="GNR_ROR_WTR"/>
    <x v="0"/>
    <x v="12"/>
    <n v="1058.7105432231699"/>
    <n v="386429.34827645897"/>
    <n v="1391145.65379525"/>
  </r>
  <r>
    <x v="0"/>
    <x v="0"/>
    <x v="0"/>
    <x v="7"/>
    <x v="12"/>
    <s v="NO2_A1"/>
    <x v="6"/>
    <x v="4"/>
    <s v="GNR_ROR_WTR"/>
    <x v="0"/>
    <x v="13"/>
    <n v="1058.7105432231699"/>
    <n v="386429.34827645897"/>
    <n v="1391145.65379525"/>
  </r>
  <r>
    <x v="0"/>
    <x v="0"/>
    <x v="0"/>
    <x v="7"/>
    <x v="12"/>
    <s v="NO2_A1"/>
    <x v="6"/>
    <x v="4"/>
    <s v="GNR_ROR_WTR"/>
    <x v="0"/>
    <x v="14"/>
    <n v="1058.7105432231699"/>
    <n v="386429.34827645897"/>
    <n v="1391145.65379525"/>
  </r>
  <r>
    <x v="0"/>
    <x v="0"/>
    <x v="0"/>
    <x v="7"/>
    <x v="12"/>
    <s v="NO2_A1"/>
    <x v="6"/>
    <x v="4"/>
    <s v="GNR_ROR_WTR"/>
    <x v="0"/>
    <x v="15"/>
    <n v="1058.7105432231699"/>
    <n v="386429.34827645897"/>
    <n v="1391145.65379525"/>
  </r>
  <r>
    <x v="0"/>
    <x v="0"/>
    <x v="0"/>
    <x v="7"/>
    <x v="12"/>
    <s v="NO2_A1"/>
    <x v="6"/>
    <x v="4"/>
    <s v="GNR_ROR_WTR"/>
    <x v="0"/>
    <x v="16"/>
    <n v="1058.7105432231699"/>
    <n v="386429.34827645897"/>
    <n v="1391145.65379525"/>
  </r>
  <r>
    <x v="0"/>
    <x v="0"/>
    <x v="0"/>
    <x v="7"/>
    <x v="12"/>
    <s v="NO2_A1"/>
    <x v="6"/>
    <x v="4"/>
    <s v="GNR_ROR_WTR"/>
    <x v="0"/>
    <x v="17"/>
    <n v="1058.7105432231699"/>
    <n v="386429.34827645897"/>
    <n v="1391145.65379525"/>
  </r>
  <r>
    <x v="0"/>
    <x v="0"/>
    <x v="0"/>
    <x v="7"/>
    <x v="12"/>
    <s v="NO2_A1"/>
    <x v="6"/>
    <x v="4"/>
    <s v="GNR_ROR_WTR"/>
    <x v="0"/>
    <x v="19"/>
    <n v="1058.7105432231699"/>
    <n v="386429.34827645897"/>
    <n v="1391145.65379525"/>
  </r>
  <r>
    <x v="0"/>
    <x v="0"/>
    <x v="0"/>
    <x v="7"/>
    <x v="12"/>
    <s v="NO2_A1"/>
    <x v="6"/>
    <x v="4"/>
    <s v="GNR_ROR_WTR"/>
    <x v="0"/>
    <x v="20"/>
    <n v="1058.7105432231699"/>
    <n v="386429.34827645897"/>
    <n v="1391145.65379525"/>
  </r>
  <r>
    <x v="0"/>
    <x v="0"/>
    <x v="0"/>
    <x v="7"/>
    <x v="12"/>
    <s v="NO2_A1"/>
    <x v="6"/>
    <x v="4"/>
    <s v="GNR_ROR_WTR"/>
    <x v="0"/>
    <x v="21"/>
    <n v="1058.7105432231699"/>
    <n v="386429.34827645897"/>
    <n v="1391145.65379525"/>
  </r>
  <r>
    <x v="0"/>
    <x v="0"/>
    <x v="0"/>
    <x v="7"/>
    <x v="12"/>
    <s v="NO2_A1"/>
    <x v="6"/>
    <x v="4"/>
    <s v="GNR_ROR_WTR"/>
    <x v="0"/>
    <x v="22"/>
    <n v="1058.7105432231699"/>
    <n v="386429.34827645897"/>
    <n v="1391145.65379525"/>
  </r>
  <r>
    <x v="0"/>
    <x v="0"/>
    <x v="0"/>
    <x v="7"/>
    <x v="12"/>
    <s v="NO2_A1"/>
    <x v="6"/>
    <x v="4"/>
    <s v="GNR_ROR_WTR"/>
    <x v="0"/>
    <x v="23"/>
    <n v="1058.7105432231699"/>
    <n v="386429.34827645897"/>
    <n v="1391145.65379525"/>
  </r>
  <r>
    <x v="0"/>
    <x v="0"/>
    <x v="0"/>
    <x v="7"/>
    <x v="12"/>
    <s v="NO2_A1"/>
    <x v="7"/>
    <x v="5"/>
    <s v="GNR_WT_WIND_ONS"/>
    <x v="0"/>
    <x v="0"/>
    <n v="188.37834895824599"/>
    <n v="68758.097369759693"/>
    <n v="247529.150531135"/>
  </r>
  <r>
    <x v="0"/>
    <x v="0"/>
    <x v="0"/>
    <x v="7"/>
    <x v="12"/>
    <s v="NO2_A1"/>
    <x v="7"/>
    <x v="5"/>
    <s v="GNR_WT_WIND_ONS"/>
    <x v="0"/>
    <x v="1"/>
    <n v="189.76088581393799"/>
    <n v="69262.723322087404"/>
    <n v="249345.803959515"/>
  </r>
  <r>
    <x v="0"/>
    <x v="0"/>
    <x v="0"/>
    <x v="7"/>
    <x v="12"/>
    <s v="NO2_A1"/>
    <x v="7"/>
    <x v="5"/>
    <s v="GNR_WT_WIND_ONS"/>
    <x v="0"/>
    <x v="18"/>
    <n v="191.45827827411401"/>
    <n v="69882.2715700517"/>
    <n v="251576.17765218599"/>
  </r>
  <r>
    <x v="0"/>
    <x v="0"/>
    <x v="0"/>
    <x v="7"/>
    <x v="12"/>
    <s v="NO2_A1"/>
    <x v="7"/>
    <x v="5"/>
    <s v="GNR_WT_WIND_ONS"/>
    <x v="0"/>
    <x v="2"/>
    <n v="193.48464992334701"/>
    <n v="70621.897222021493"/>
    <n v="254238.82999927699"/>
  </r>
  <r>
    <x v="0"/>
    <x v="0"/>
    <x v="0"/>
    <x v="7"/>
    <x v="12"/>
    <s v="NO2_A1"/>
    <x v="7"/>
    <x v="5"/>
    <s v="GNR_WT_WIND_ONS"/>
    <x v="0"/>
    <x v="3"/>
    <n v="193.619557168331"/>
    <n v="70671.138366440704"/>
    <n v="254416.09811918699"/>
  </r>
  <r>
    <x v="0"/>
    <x v="0"/>
    <x v="0"/>
    <x v="7"/>
    <x v="12"/>
    <s v="NO2_A1"/>
    <x v="7"/>
    <x v="5"/>
    <s v="GNR_WT_WIND_ONS"/>
    <x v="0"/>
    <x v="4"/>
    <n v="194.834771994775"/>
    <n v="71114.691778092805"/>
    <n v="256012.89040113401"/>
  </r>
  <r>
    <x v="0"/>
    <x v="0"/>
    <x v="0"/>
    <x v="7"/>
    <x v="12"/>
    <s v="NO2_A1"/>
    <x v="7"/>
    <x v="5"/>
    <s v="GNR_WT_WIND_ONS"/>
    <x v="0"/>
    <x v="5"/>
    <n v="194.81754585228001"/>
    <n v="71108.404236082293"/>
    <n v="255990.255249896"/>
  </r>
  <r>
    <x v="0"/>
    <x v="0"/>
    <x v="0"/>
    <x v="7"/>
    <x v="12"/>
    <s v="NO2_A1"/>
    <x v="7"/>
    <x v="5"/>
    <s v="GNR_WT_WIND_ONS"/>
    <x v="0"/>
    <x v="6"/>
    <n v="194.86947124954901"/>
    <n v="71127.357006085396"/>
    <n v="256058.485221907"/>
  </r>
  <r>
    <x v="0"/>
    <x v="0"/>
    <x v="0"/>
    <x v="7"/>
    <x v="12"/>
    <s v="NO2_A1"/>
    <x v="7"/>
    <x v="5"/>
    <s v="GNR_WT_WIND_ONS"/>
    <x v="0"/>
    <x v="7"/>
    <n v="194.18508710445599"/>
    <n v="70877.556793126394"/>
    <n v="255159.20445525501"/>
  </r>
  <r>
    <x v="0"/>
    <x v="0"/>
    <x v="0"/>
    <x v="7"/>
    <x v="12"/>
    <s v="NO2_A1"/>
    <x v="7"/>
    <x v="5"/>
    <s v="GNR_WT_WIND_ONS"/>
    <x v="0"/>
    <x v="8"/>
    <n v="191.78633132647701"/>
    <n v="70002.010934164093"/>
    <n v="252007.23936299101"/>
  </r>
  <r>
    <x v="0"/>
    <x v="0"/>
    <x v="0"/>
    <x v="7"/>
    <x v="12"/>
    <s v="NO2_A1"/>
    <x v="7"/>
    <x v="5"/>
    <s v="GNR_WT_WIND_ONS"/>
    <x v="0"/>
    <x v="9"/>
    <n v="152.153268546509"/>
    <n v="55535.943019475897"/>
    <n v="199929.394870113"/>
  </r>
  <r>
    <x v="0"/>
    <x v="0"/>
    <x v="0"/>
    <x v="7"/>
    <x v="12"/>
    <s v="NO2_A1"/>
    <x v="7"/>
    <x v="5"/>
    <s v="GNR_WT_WIND_ONS"/>
    <x v="0"/>
    <x v="10"/>
    <n v="49.927880951551899"/>
    <n v="18223.676547316401"/>
    <n v="65605.235570339195"/>
  </r>
  <r>
    <x v="0"/>
    <x v="0"/>
    <x v="0"/>
    <x v="7"/>
    <x v="12"/>
    <s v="NO2_A1"/>
    <x v="7"/>
    <x v="5"/>
    <s v="GNR_WT_WIND_ONS"/>
    <x v="0"/>
    <x v="11"/>
    <n v="62.913133317425697"/>
    <n v="22963.2936608604"/>
    <n v="82667.857179097293"/>
  </r>
  <r>
    <x v="0"/>
    <x v="0"/>
    <x v="0"/>
    <x v="7"/>
    <x v="12"/>
    <s v="NO2_A1"/>
    <x v="7"/>
    <x v="5"/>
    <s v="GNR_WT_WIND_ONS"/>
    <x v="0"/>
    <x v="12"/>
    <n v="181.02116537385601"/>
    <n v="66072.7253614574"/>
    <n v="237861.81130124701"/>
  </r>
  <r>
    <x v="0"/>
    <x v="0"/>
    <x v="0"/>
    <x v="7"/>
    <x v="12"/>
    <s v="NO2_A1"/>
    <x v="7"/>
    <x v="5"/>
    <s v="GNR_WT_WIND_ONS"/>
    <x v="0"/>
    <x v="13"/>
    <n v="186.21294875574401"/>
    <n v="67967.726295846602"/>
    <n v="244683.814665048"/>
  </r>
  <r>
    <x v="0"/>
    <x v="0"/>
    <x v="0"/>
    <x v="7"/>
    <x v="12"/>
    <s v="NO2_A1"/>
    <x v="7"/>
    <x v="5"/>
    <s v="GNR_WT_WIND_ONS"/>
    <x v="0"/>
    <x v="14"/>
    <n v="196.419330134489"/>
    <n v="71693.055499088601"/>
    <n v="258094.999796719"/>
  </r>
  <r>
    <x v="0"/>
    <x v="0"/>
    <x v="0"/>
    <x v="7"/>
    <x v="12"/>
    <s v="NO2_A1"/>
    <x v="7"/>
    <x v="5"/>
    <s v="GNR_WT_WIND_ONS"/>
    <x v="0"/>
    <x v="15"/>
    <n v="185.04079928553699"/>
    <n v="67539.891739220795"/>
    <n v="243143.61026119499"/>
  </r>
  <r>
    <x v="0"/>
    <x v="0"/>
    <x v="0"/>
    <x v="7"/>
    <x v="12"/>
    <s v="NO2_A1"/>
    <x v="7"/>
    <x v="5"/>
    <s v="GNR_WT_WIND_ONS"/>
    <x v="0"/>
    <x v="16"/>
    <n v="193.644902442503"/>
    <n v="70680.3893915136"/>
    <n v="254449.40180944899"/>
  </r>
  <r>
    <x v="0"/>
    <x v="0"/>
    <x v="0"/>
    <x v="7"/>
    <x v="12"/>
    <s v="NO2_A1"/>
    <x v="7"/>
    <x v="5"/>
    <s v="GNR_WT_WIND_ONS"/>
    <x v="0"/>
    <x v="17"/>
    <n v="164.094319387334"/>
    <n v="59894.426576377002"/>
    <n v="215619.935674957"/>
  </r>
  <r>
    <x v="0"/>
    <x v="0"/>
    <x v="0"/>
    <x v="7"/>
    <x v="12"/>
    <s v="NO2_A1"/>
    <x v="7"/>
    <x v="5"/>
    <s v="GNR_WT_WIND_ONS"/>
    <x v="0"/>
    <x v="19"/>
    <n v="148.80232076297099"/>
    <n v="54312.847078484403"/>
    <n v="195526.24948254399"/>
  </r>
  <r>
    <x v="0"/>
    <x v="0"/>
    <x v="0"/>
    <x v="7"/>
    <x v="12"/>
    <s v="NO2_A1"/>
    <x v="7"/>
    <x v="5"/>
    <s v="GNR_WT_WIND_ONS"/>
    <x v="0"/>
    <x v="20"/>
    <n v="189.031939058288"/>
    <n v="68996.657756275104"/>
    <n v="248387.96792259"/>
  </r>
  <r>
    <x v="0"/>
    <x v="0"/>
    <x v="0"/>
    <x v="7"/>
    <x v="12"/>
    <s v="NO2_A1"/>
    <x v="7"/>
    <x v="5"/>
    <s v="GNR_WT_WIND_ONS"/>
    <x v="0"/>
    <x v="21"/>
    <n v="160.58964834832699"/>
    <n v="58615.221647139399"/>
    <n v="211014.79792970201"/>
  </r>
  <r>
    <x v="0"/>
    <x v="0"/>
    <x v="0"/>
    <x v="7"/>
    <x v="12"/>
    <s v="NO2_A1"/>
    <x v="7"/>
    <x v="5"/>
    <s v="GNR_WT_WIND_ONS"/>
    <x v="0"/>
    <x v="22"/>
    <n v="182.55481686666499"/>
    <n v="66632.508156332595"/>
    <n v="239877.02936279701"/>
  </r>
  <r>
    <x v="0"/>
    <x v="0"/>
    <x v="0"/>
    <x v="7"/>
    <x v="12"/>
    <s v="NO2_A1"/>
    <x v="7"/>
    <x v="5"/>
    <s v="GNR_WT_WIND_ONS"/>
    <x v="0"/>
    <x v="23"/>
    <n v="130.39229773342299"/>
    <n v="47593.1886726995"/>
    <n v="171335.47922171801"/>
  </r>
  <r>
    <x v="0"/>
    <x v="0"/>
    <x v="0"/>
    <x v="7"/>
    <x v="13"/>
    <s v="NO3_A1"/>
    <x v="2"/>
    <x v="2"/>
    <s v="GBPR_MUNIWASTE"/>
    <x v="0"/>
    <x v="0"/>
    <n v="4.29"/>
    <n v="1565.85"/>
    <n v="5637.06"/>
  </r>
  <r>
    <x v="0"/>
    <x v="0"/>
    <x v="0"/>
    <x v="7"/>
    <x v="13"/>
    <s v="NO3_A1"/>
    <x v="2"/>
    <x v="2"/>
    <s v="GBPR_MUNIWASTE"/>
    <x v="0"/>
    <x v="1"/>
    <n v="4.29"/>
    <n v="1565.85"/>
    <n v="5637.06"/>
  </r>
  <r>
    <x v="0"/>
    <x v="0"/>
    <x v="0"/>
    <x v="7"/>
    <x v="13"/>
    <s v="NO3_A1"/>
    <x v="2"/>
    <x v="2"/>
    <s v="GBPR_MUNIWASTE"/>
    <x v="0"/>
    <x v="18"/>
    <n v="4.29"/>
    <n v="1565.85"/>
    <n v="5637.06"/>
  </r>
  <r>
    <x v="0"/>
    <x v="0"/>
    <x v="0"/>
    <x v="7"/>
    <x v="13"/>
    <s v="NO3_A1"/>
    <x v="2"/>
    <x v="2"/>
    <s v="GBPR_MUNIWASTE"/>
    <x v="0"/>
    <x v="2"/>
    <n v="4.29"/>
    <n v="1565.85"/>
    <n v="5637.06"/>
  </r>
  <r>
    <x v="0"/>
    <x v="0"/>
    <x v="0"/>
    <x v="7"/>
    <x v="13"/>
    <s v="NO3_A1"/>
    <x v="2"/>
    <x v="2"/>
    <s v="GBPR_MUNIWASTE"/>
    <x v="0"/>
    <x v="3"/>
    <n v="4.29"/>
    <n v="1565.85"/>
    <n v="5637.06"/>
  </r>
  <r>
    <x v="0"/>
    <x v="0"/>
    <x v="0"/>
    <x v="7"/>
    <x v="13"/>
    <s v="NO3_A1"/>
    <x v="2"/>
    <x v="2"/>
    <s v="GBPR_MUNIWASTE"/>
    <x v="0"/>
    <x v="4"/>
    <n v="4.29"/>
    <n v="1565.85"/>
    <n v="5637.06"/>
  </r>
  <r>
    <x v="0"/>
    <x v="0"/>
    <x v="0"/>
    <x v="7"/>
    <x v="13"/>
    <s v="NO3_A1"/>
    <x v="2"/>
    <x v="2"/>
    <s v="GBPR_MUNIWASTE"/>
    <x v="0"/>
    <x v="5"/>
    <n v="4.29"/>
    <n v="1565.85"/>
    <n v="5637.06"/>
  </r>
  <r>
    <x v="0"/>
    <x v="0"/>
    <x v="0"/>
    <x v="7"/>
    <x v="13"/>
    <s v="NO3_A1"/>
    <x v="2"/>
    <x v="2"/>
    <s v="GBPR_MUNIWASTE"/>
    <x v="0"/>
    <x v="6"/>
    <n v="4.29"/>
    <n v="1565.85"/>
    <n v="5637.06"/>
  </r>
  <r>
    <x v="0"/>
    <x v="0"/>
    <x v="0"/>
    <x v="7"/>
    <x v="13"/>
    <s v="NO3_A1"/>
    <x v="2"/>
    <x v="2"/>
    <s v="GBPR_MUNIWASTE"/>
    <x v="0"/>
    <x v="7"/>
    <n v="4.29"/>
    <n v="1565.85"/>
    <n v="5637.06"/>
  </r>
  <r>
    <x v="0"/>
    <x v="0"/>
    <x v="0"/>
    <x v="7"/>
    <x v="13"/>
    <s v="NO3_A1"/>
    <x v="2"/>
    <x v="2"/>
    <s v="GBPR_MUNIWASTE"/>
    <x v="0"/>
    <x v="8"/>
    <n v="4.29"/>
    <n v="1565.85"/>
    <n v="5637.06"/>
  </r>
  <r>
    <x v="0"/>
    <x v="0"/>
    <x v="0"/>
    <x v="7"/>
    <x v="13"/>
    <s v="NO3_A1"/>
    <x v="2"/>
    <x v="2"/>
    <s v="GBPR_MUNIWASTE"/>
    <x v="0"/>
    <x v="9"/>
    <n v="4.29"/>
    <n v="1565.85"/>
    <n v="5637.06"/>
  </r>
  <r>
    <x v="0"/>
    <x v="0"/>
    <x v="0"/>
    <x v="7"/>
    <x v="13"/>
    <s v="NO3_A1"/>
    <x v="2"/>
    <x v="2"/>
    <s v="GBPR_MUNIWASTE"/>
    <x v="0"/>
    <x v="10"/>
    <n v="4.29"/>
    <n v="1565.85"/>
    <n v="5637.06"/>
  </r>
  <r>
    <x v="0"/>
    <x v="0"/>
    <x v="0"/>
    <x v="7"/>
    <x v="13"/>
    <s v="NO3_A1"/>
    <x v="2"/>
    <x v="2"/>
    <s v="GBPR_MUNIWASTE"/>
    <x v="0"/>
    <x v="11"/>
    <n v="4.29"/>
    <n v="1565.85"/>
    <n v="5637.06"/>
  </r>
  <r>
    <x v="0"/>
    <x v="0"/>
    <x v="0"/>
    <x v="7"/>
    <x v="13"/>
    <s v="NO3_A1"/>
    <x v="2"/>
    <x v="2"/>
    <s v="GBPR_MUNIWASTE"/>
    <x v="0"/>
    <x v="12"/>
    <n v="4.29"/>
    <n v="1565.85"/>
    <n v="5637.06"/>
  </r>
  <r>
    <x v="0"/>
    <x v="0"/>
    <x v="0"/>
    <x v="7"/>
    <x v="13"/>
    <s v="NO3_A1"/>
    <x v="2"/>
    <x v="2"/>
    <s v="GBPR_MUNIWASTE"/>
    <x v="0"/>
    <x v="13"/>
    <n v="4.29"/>
    <n v="1565.85"/>
    <n v="5637.06"/>
  </r>
  <r>
    <x v="0"/>
    <x v="0"/>
    <x v="0"/>
    <x v="7"/>
    <x v="13"/>
    <s v="NO3_A1"/>
    <x v="2"/>
    <x v="2"/>
    <s v="GBPR_MUNIWASTE"/>
    <x v="0"/>
    <x v="14"/>
    <n v="4.29"/>
    <n v="1565.85"/>
    <n v="5637.06"/>
  </r>
  <r>
    <x v="0"/>
    <x v="0"/>
    <x v="0"/>
    <x v="7"/>
    <x v="13"/>
    <s v="NO3_A1"/>
    <x v="2"/>
    <x v="2"/>
    <s v="GBPR_MUNIWASTE"/>
    <x v="0"/>
    <x v="15"/>
    <n v="4.29"/>
    <n v="1565.85"/>
    <n v="5637.06"/>
  </r>
  <r>
    <x v="0"/>
    <x v="0"/>
    <x v="0"/>
    <x v="7"/>
    <x v="13"/>
    <s v="NO3_A1"/>
    <x v="2"/>
    <x v="2"/>
    <s v="GBPR_MUNIWASTE"/>
    <x v="0"/>
    <x v="16"/>
    <n v="4.29"/>
    <n v="1565.85"/>
    <n v="5637.06"/>
  </r>
  <r>
    <x v="0"/>
    <x v="0"/>
    <x v="0"/>
    <x v="7"/>
    <x v="13"/>
    <s v="NO3_A1"/>
    <x v="2"/>
    <x v="2"/>
    <s v="GBPR_MUNIWASTE"/>
    <x v="0"/>
    <x v="17"/>
    <n v="4.29"/>
    <n v="1565.85"/>
    <n v="5637.06"/>
  </r>
  <r>
    <x v="0"/>
    <x v="0"/>
    <x v="0"/>
    <x v="7"/>
    <x v="13"/>
    <s v="NO3_A1"/>
    <x v="2"/>
    <x v="2"/>
    <s v="GBPR_MUNIWASTE"/>
    <x v="0"/>
    <x v="19"/>
    <n v="4.29"/>
    <n v="1565.85"/>
    <n v="5637.06"/>
  </r>
  <r>
    <x v="0"/>
    <x v="0"/>
    <x v="0"/>
    <x v="7"/>
    <x v="13"/>
    <s v="NO3_A1"/>
    <x v="2"/>
    <x v="2"/>
    <s v="GBPR_MUNIWASTE"/>
    <x v="0"/>
    <x v="20"/>
    <n v="4.29"/>
    <n v="1565.85"/>
    <n v="5637.06"/>
  </r>
  <r>
    <x v="0"/>
    <x v="0"/>
    <x v="0"/>
    <x v="7"/>
    <x v="13"/>
    <s v="NO3_A1"/>
    <x v="2"/>
    <x v="2"/>
    <s v="GBPR_MUNIWASTE"/>
    <x v="0"/>
    <x v="21"/>
    <n v="4.29"/>
    <n v="1565.85"/>
    <n v="5637.06"/>
  </r>
  <r>
    <x v="0"/>
    <x v="0"/>
    <x v="0"/>
    <x v="7"/>
    <x v="13"/>
    <s v="NO3_A1"/>
    <x v="2"/>
    <x v="2"/>
    <s v="GBPR_MUNIWASTE"/>
    <x v="0"/>
    <x v="22"/>
    <n v="4.29"/>
    <n v="1565.85"/>
    <n v="5637.06"/>
  </r>
  <r>
    <x v="0"/>
    <x v="0"/>
    <x v="0"/>
    <x v="7"/>
    <x v="13"/>
    <s v="NO3_A1"/>
    <x v="2"/>
    <x v="2"/>
    <s v="GBPR_MUNIWASTE"/>
    <x v="0"/>
    <x v="23"/>
    <n v="4.29"/>
    <n v="1565.85"/>
    <n v="5637.06"/>
  </r>
  <r>
    <x v="0"/>
    <x v="0"/>
    <x v="0"/>
    <x v="7"/>
    <x v="13"/>
    <s v="NO3_A1"/>
    <x v="6"/>
    <x v="7"/>
    <s v="GNR_RES_WTR_NOPMP_MC-01"/>
    <x v="0"/>
    <x v="0"/>
    <n v="221.84651366034899"/>
    <n v="80973.977486027405"/>
    <n v="291506.31894969899"/>
  </r>
  <r>
    <x v="0"/>
    <x v="0"/>
    <x v="0"/>
    <x v="7"/>
    <x v="13"/>
    <s v="NO3_A1"/>
    <x v="6"/>
    <x v="7"/>
    <s v="GNR_RES_WTR_NOPMP_MC-01"/>
    <x v="0"/>
    <x v="1"/>
    <n v="221.84651366034899"/>
    <n v="80973.977486027405"/>
    <n v="291506.31894969899"/>
  </r>
  <r>
    <x v="0"/>
    <x v="0"/>
    <x v="0"/>
    <x v="7"/>
    <x v="13"/>
    <s v="NO3_A1"/>
    <x v="6"/>
    <x v="7"/>
    <s v="GNR_RES_WTR_NOPMP_MC-01"/>
    <x v="0"/>
    <x v="18"/>
    <n v="221.84651366034899"/>
    <n v="80973.977486027405"/>
    <n v="291506.31894969899"/>
  </r>
  <r>
    <x v="0"/>
    <x v="0"/>
    <x v="0"/>
    <x v="7"/>
    <x v="13"/>
    <s v="NO3_A1"/>
    <x v="6"/>
    <x v="7"/>
    <s v="GNR_RES_WTR_NOPMP_MC-01"/>
    <x v="0"/>
    <x v="2"/>
    <n v="221.84651366034899"/>
    <n v="80973.977486027405"/>
    <n v="291506.31894969899"/>
  </r>
  <r>
    <x v="0"/>
    <x v="0"/>
    <x v="0"/>
    <x v="7"/>
    <x v="13"/>
    <s v="NO3_A1"/>
    <x v="6"/>
    <x v="7"/>
    <s v="GNR_RES_WTR_NOPMP_MC-01"/>
    <x v="0"/>
    <x v="3"/>
    <n v="221.84651366034899"/>
    <n v="80973.977486027405"/>
    <n v="291506.31894969899"/>
  </r>
  <r>
    <x v="0"/>
    <x v="0"/>
    <x v="0"/>
    <x v="7"/>
    <x v="13"/>
    <s v="NO3_A1"/>
    <x v="6"/>
    <x v="7"/>
    <s v="GNR_RES_WTR_NOPMP_MC-01"/>
    <x v="0"/>
    <x v="4"/>
    <n v="221.84651366034899"/>
    <n v="80973.977486027405"/>
    <n v="291506.31894969899"/>
  </r>
  <r>
    <x v="0"/>
    <x v="0"/>
    <x v="0"/>
    <x v="7"/>
    <x v="13"/>
    <s v="NO3_A1"/>
    <x v="6"/>
    <x v="7"/>
    <s v="GNR_RES_WTR_NOPMP_MC-01"/>
    <x v="0"/>
    <x v="5"/>
    <n v="221.84651366034899"/>
    <n v="80973.977486027405"/>
    <n v="291506.31894969899"/>
  </r>
  <r>
    <x v="0"/>
    <x v="0"/>
    <x v="0"/>
    <x v="7"/>
    <x v="13"/>
    <s v="NO3_A1"/>
    <x v="6"/>
    <x v="7"/>
    <s v="GNR_RES_WTR_NOPMP_MC-01"/>
    <x v="0"/>
    <x v="6"/>
    <n v="221.84651366034899"/>
    <n v="80973.977486027405"/>
    <n v="291506.31894969899"/>
  </r>
  <r>
    <x v="0"/>
    <x v="0"/>
    <x v="0"/>
    <x v="7"/>
    <x v="13"/>
    <s v="NO3_A1"/>
    <x v="6"/>
    <x v="7"/>
    <s v="GNR_RES_WTR_NOPMP_MC-01"/>
    <x v="0"/>
    <x v="7"/>
    <n v="221.84651366034899"/>
    <n v="80973.977486027405"/>
    <n v="291506.31894969899"/>
  </r>
  <r>
    <x v="0"/>
    <x v="0"/>
    <x v="0"/>
    <x v="7"/>
    <x v="13"/>
    <s v="NO3_A1"/>
    <x v="6"/>
    <x v="7"/>
    <s v="GNR_RES_WTR_NOPMP_MC-01"/>
    <x v="0"/>
    <x v="8"/>
    <n v="221.84651366034899"/>
    <n v="80973.977486027405"/>
    <n v="291506.31894969899"/>
  </r>
  <r>
    <x v="0"/>
    <x v="0"/>
    <x v="0"/>
    <x v="7"/>
    <x v="13"/>
    <s v="NO3_A1"/>
    <x v="6"/>
    <x v="7"/>
    <s v="GNR_RES_WTR_NOPMP_MC-01"/>
    <x v="0"/>
    <x v="9"/>
    <n v="221.84651366034899"/>
    <n v="80973.977486027405"/>
    <n v="291506.31894969899"/>
  </r>
  <r>
    <x v="0"/>
    <x v="0"/>
    <x v="0"/>
    <x v="7"/>
    <x v="13"/>
    <s v="NO3_A1"/>
    <x v="6"/>
    <x v="7"/>
    <s v="GNR_RES_WTR_NOPMP_MC-01"/>
    <x v="0"/>
    <x v="10"/>
    <n v="221.84651366034899"/>
    <n v="80973.977486027405"/>
    <n v="291506.31894969899"/>
  </r>
  <r>
    <x v="0"/>
    <x v="0"/>
    <x v="0"/>
    <x v="7"/>
    <x v="13"/>
    <s v="NO3_A1"/>
    <x v="6"/>
    <x v="7"/>
    <s v="GNR_RES_WTR_NOPMP_MC-01"/>
    <x v="0"/>
    <x v="11"/>
    <n v="221.84651366034899"/>
    <n v="80973.977486027405"/>
    <n v="291506.31894969899"/>
  </r>
  <r>
    <x v="0"/>
    <x v="0"/>
    <x v="0"/>
    <x v="7"/>
    <x v="13"/>
    <s v="NO3_A1"/>
    <x v="6"/>
    <x v="7"/>
    <s v="GNR_RES_WTR_NOPMP_MC-01"/>
    <x v="0"/>
    <x v="12"/>
    <n v="221.84651366034899"/>
    <n v="80973.977486027405"/>
    <n v="291506.31894969899"/>
  </r>
  <r>
    <x v="0"/>
    <x v="0"/>
    <x v="0"/>
    <x v="7"/>
    <x v="13"/>
    <s v="NO3_A1"/>
    <x v="6"/>
    <x v="7"/>
    <s v="GNR_RES_WTR_NOPMP_MC-01"/>
    <x v="0"/>
    <x v="13"/>
    <n v="221.84651366034899"/>
    <n v="80973.977486027405"/>
    <n v="291506.31894969899"/>
  </r>
  <r>
    <x v="0"/>
    <x v="0"/>
    <x v="0"/>
    <x v="7"/>
    <x v="13"/>
    <s v="NO3_A1"/>
    <x v="6"/>
    <x v="7"/>
    <s v="GNR_RES_WTR_NOPMP_MC-01"/>
    <x v="0"/>
    <x v="14"/>
    <n v="221.84651366034899"/>
    <n v="80973.977486027405"/>
    <n v="291506.31894969899"/>
  </r>
  <r>
    <x v="0"/>
    <x v="0"/>
    <x v="0"/>
    <x v="7"/>
    <x v="13"/>
    <s v="NO3_A1"/>
    <x v="6"/>
    <x v="7"/>
    <s v="GNR_RES_WTR_NOPMP_MC-01"/>
    <x v="0"/>
    <x v="15"/>
    <n v="221.84651366034899"/>
    <n v="80973.977486027405"/>
    <n v="291506.31894969899"/>
  </r>
  <r>
    <x v="0"/>
    <x v="0"/>
    <x v="0"/>
    <x v="7"/>
    <x v="13"/>
    <s v="NO3_A1"/>
    <x v="6"/>
    <x v="7"/>
    <s v="GNR_RES_WTR_NOPMP_MC-01"/>
    <x v="0"/>
    <x v="16"/>
    <n v="221.84651366034899"/>
    <n v="80973.977486027405"/>
    <n v="291506.31894969899"/>
  </r>
  <r>
    <x v="0"/>
    <x v="0"/>
    <x v="0"/>
    <x v="7"/>
    <x v="13"/>
    <s v="NO3_A1"/>
    <x v="6"/>
    <x v="7"/>
    <s v="GNR_RES_WTR_NOPMP_MC-01"/>
    <x v="0"/>
    <x v="17"/>
    <n v="221.84651366034899"/>
    <n v="80973.977486027405"/>
    <n v="291506.31894969899"/>
  </r>
  <r>
    <x v="0"/>
    <x v="0"/>
    <x v="0"/>
    <x v="7"/>
    <x v="13"/>
    <s v="NO3_A1"/>
    <x v="6"/>
    <x v="7"/>
    <s v="GNR_RES_WTR_NOPMP_MC-01"/>
    <x v="0"/>
    <x v="19"/>
    <n v="221.84651366034899"/>
    <n v="80973.977486027405"/>
    <n v="291506.31894969899"/>
  </r>
  <r>
    <x v="0"/>
    <x v="0"/>
    <x v="0"/>
    <x v="7"/>
    <x v="13"/>
    <s v="NO3_A1"/>
    <x v="6"/>
    <x v="7"/>
    <s v="GNR_RES_WTR_NOPMP_MC-01"/>
    <x v="0"/>
    <x v="20"/>
    <n v="221.84651366034899"/>
    <n v="80973.977486027405"/>
    <n v="291506.31894969899"/>
  </r>
  <r>
    <x v="0"/>
    <x v="0"/>
    <x v="0"/>
    <x v="7"/>
    <x v="13"/>
    <s v="NO3_A1"/>
    <x v="6"/>
    <x v="7"/>
    <s v="GNR_RES_WTR_NOPMP_MC-01"/>
    <x v="0"/>
    <x v="21"/>
    <n v="221.84651366034899"/>
    <n v="80973.977486027405"/>
    <n v="291506.31894969899"/>
  </r>
  <r>
    <x v="0"/>
    <x v="0"/>
    <x v="0"/>
    <x v="7"/>
    <x v="13"/>
    <s v="NO3_A1"/>
    <x v="6"/>
    <x v="7"/>
    <s v="GNR_RES_WTR_NOPMP_MC-01"/>
    <x v="0"/>
    <x v="22"/>
    <n v="221.84651366034899"/>
    <n v="80973.977486027405"/>
    <n v="291506.31894969899"/>
  </r>
  <r>
    <x v="0"/>
    <x v="0"/>
    <x v="0"/>
    <x v="7"/>
    <x v="13"/>
    <s v="NO3_A1"/>
    <x v="6"/>
    <x v="7"/>
    <s v="GNR_RES_WTR_NOPMP_MC-01"/>
    <x v="0"/>
    <x v="23"/>
    <n v="221.84651366034899"/>
    <n v="80973.977486027405"/>
    <n v="291506.31894969899"/>
  </r>
  <r>
    <x v="0"/>
    <x v="0"/>
    <x v="0"/>
    <x v="7"/>
    <x v="13"/>
    <s v="NO3_A1"/>
    <x v="6"/>
    <x v="7"/>
    <s v="GNR_RES_WTR_NOPMP_MC-02"/>
    <x v="0"/>
    <x v="0"/>
    <n v="282.146513660349"/>
    <n v="102983.477486027"/>
    <n v="370740.51894969901"/>
  </r>
  <r>
    <x v="0"/>
    <x v="0"/>
    <x v="0"/>
    <x v="7"/>
    <x v="13"/>
    <s v="NO3_A1"/>
    <x v="6"/>
    <x v="7"/>
    <s v="GNR_RES_WTR_NOPMP_MC-02"/>
    <x v="0"/>
    <x v="1"/>
    <n v="282.146513660349"/>
    <n v="102983.477486027"/>
    <n v="370740.51894969901"/>
  </r>
  <r>
    <x v="0"/>
    <x v="0"/>
    <x v="0"/>
    <x v="7"/>
    <x v="13"/>
    <s v="NO3_A1"/>
    <x v="6"/>
    <x v="7"/>
    <s v="GNR_RES_WTR_NOPMP_MC-02"/>
    <x v="0"/>
    <x v="18"/>
    <n v="282.146513660349"/>
    <n v="102983.477486027"/>
    <n v="370740.51894969901"/>
  </r>
  <r>
    <x v="0"/>
    <x v="0"/>
    <x v="0"/>
    <x v="7"/>
    <x v="13"/>
    <s v="NO3_A1"/>
    <x v="6"/>
    <x v="7"/>
    <s v="GNR_RES_WTR_NOPMP_MC-02"/>
    <x v="0"/>
    <x v="2"/>
    <n v="282.146513660349"/>
    <n v="102983.477486027"/>
    <n v="370740.51894969901"/>
  </r>
  <r>
    <x v="0"/>
    <x v="0"/>
    <x v="0"/>
    <x v="7"/>
    <x v="13"/>
    <s v="NO3_A1"/>
    <x v="6"/>
    <x v="7"/>
    <s v="GNR_RES_WTR_NOPMP_MC-02"/>
    <x v="0"/>
    <x v="3"/>
    <n v="282.146513660349"/>
    <n v="102983.477486027"/>
    <n v="370740.51894969901"/>
  </r>
  <r>
    <x v="0"/>
    <x v="0"/>
    <x v="0"/>
    <x v="7"/>
    <x v="13"/>
    <s v="NO3_A1"/>
    <x v="6"/>
    <x v="7"/>
    <s v="GNR_RES_WTR_NOPMP_MC-02"/>
    <x v="0"/>
    <x v="4"/>
    <n v="282.146513660349"/>
    <n v="102983.477486027"/>
    <n v="370740.51894969901"/>
  </r>
  <r>
    <x v="0"/>
    <x v="0"/>
    <x v="0"/>
    <x v="7"/>
    <x v="13"/>
    <s v="NO3_A1"/>
    <x v="6"/>
    <x v="7"/>
    <s v="GNR_RES_WTR_NOPMP_MC-02"/>
    <x v="0"/>
    <x v="5"/>
    <n v="282.146513660349"/>
    <n v="102983.477486027"/>
    <n v="370740.51894969901"/>
  </r>
  <r>
    <x v="0"/>
    <x v="0"/>
    <x v="0"/>
    <x v="7"/>
    <x v="13"/>
    <s v="NO3_A1"/>
    <x v="6"/>
    <x v="7"/>
    <s v="GNR_RES_WTR_NOPMP_MC-02"/>
    <x v="0"/>
    <x v="6"/>
    <n v="282.146513660349"/>
    <n v="102983.477486027"/>
    <n v="370740.51894969901"/>
  </r>
  <r>
    <x v="0"/>
    <x v="0"/>
    <x v="0"/>
    <x v="7"/>
    <x v="13"/>
    <s v="NO3_A1"/>
    <x v="6"/>
    <x v="7"/>
    <s v="GNR_RES_WTR_NOPMP_MC-02"/>
    <x v="0"/>
    <x v="7"/>
    <n v="282.146513660349"/>
    <n v="102983.477486027"/>
    <n v="370740.51894969901"/>
  </r>
  <r>
    <x v="0"/>
    <x v="0"/>
    <x v="0"/>
    <x v="7"/>
    <x v="13"/>
    <s v="NO3_A1"/>
    <x v="6"/>
    <x v="7"/>
    <s v="GNR_RES_WTR_NOPMP_MC-02"/>
    <x v="0"/>
    <x v="8"/>
    <n v="282.146513660349"/>
    <n v="102983.477486027"/>
    <n v="370740.51894969901"/>
  </r>
  <r>
    <x v="0"/>
    <x v="0"/>
    <x v="0"/>
    <x v="7"/>
    <x v="13"/>
    <s v="NO3_A1"/>
    <x v="6"/>
    <x v="7"/>
    <s v="GNR_RES_WTR_NOPMP_MC-02"/>
    <x v="0"/>
    <x v="9"/>
    <n v="282.146513660349"/>
    <n v="102983.477486027"/>
    <n v="370740.51894969901"/>
  </r>
  <r>
    <x v="0"/>
    <x v="0"/>
    <x v="0"/>
    <x v="7"/>
    <x v="13"/>
    <s v="NO3_A1"/>
    <x v="6"/>
    <x v="7"/>
    <s v="GNR_RES_WTR_NOPMP_MC-02"/>
    <x v="0"/>
    <x v="10"/>
    <n v="282.146513660349"/>
    <n v="102983.477486027"/>
    <n v="370740.51894969901"/>
  </r>
  <r>
    <x v="0"/>
    <x v="0"/>
    <x v="0"/>
    <x v="7"/>
    <x v="13"/>
    <s v="NO3_A1"/>
    <x v="6"/>
    <x v="7"/>
    <s v="GNR_RES_WTR_NOPMP_MC-02"/>
    <x v="0"/>
    <x v="11"/>
    <n v="282.146513660349"/>
    <n v="102983.477486027"/>
    <n v="370740.51894969901"/>
  </r>
  <r>
    <x v="0"/>
    <x v="0"/>
    <x v="0"/>
    <x v="7"/>
    <x v="13"/>
    <s v="NO3_A1"/>
    <x v="6"/>
    <x v="7"/>
    <s v="GNR_RES_WTR_NOPMP_MC-02"/>
    <x v="0"/>
    <x v="12"/>
    <n v="282.146513660349"/>
    <n v="102983.477486027"/>
    <n v="370740.51894969901"/>
  </r>
  <r>
    <x v="0"/>
    <x v="0"/>
    <x v="0"/>
    <x v="7"/>
    <x v="13"/>
    <s v="NO3_A1"/>
    <x v="6"/>
    <x v="7"/>
    <s v="GNR_RES_WTR_NOPMP_MC-02"/>
    <x v="0"/>
    <x v="13"/>
    <n v="282.146513660349"/>
    <n v="102983.477486027"/>
    <n v="370740.51894969901"/>
  </r>
  <r>
    <x v="0"/>
    <x v="0"/>
    <x v="0"/>
    <x v="7"/>
    <x v="13"/>
    <s v="NO3_A1"/>
    <x v="6"/>
    <x v="7"/>
    <s v="GNR_RES_WTR_NOPMP_MC-02"/>
    <x v="0"/>
    <x v="14"/>
    <n v="282.146513660349"/>
    <n v="102983.477486027"/>
    <n v="370740.51894969901"/>
  </r>
  <r>
    <x v="0"/>
    <x v="0"/>
    <x v="0"/>
    <x v="7"/>
    <x v="13"/>
    <s v="NO3_A1"/>
    <x v="6"/>
    <x v="7"/>
    <s v="GNR_RES_WTR_NOPMP_MC-02"/>
    <x v="0"/>
    <x v="15"/>
    <n v="282.146513660349"/>
    <n v="102983.477486027"/>
    <n v="370740.51894969901"/>
  </r>
  <r>
    <x v="0"/>
    <x v="0"/>
    <x v="0"/>
    <x v="7"/>
    <x v="13"/>
    <s v="NO3_A1"/>
    <x v="6"/>
    <x v="7"/>
    <s v="GNR_RES_WTR_NOPMP_MC-02"/>
    <x v="0"/>
    <x v="16"/>
    <n v="282.146513660349"/>
    <n v="102983.477486027"/>
    <n v="370740.51894969901"/>
  </r>
  <r>
    <x v="0"/>
    <x v="0"/>
    <x v="0"/>
    <x v="7"/>
    <x v="13"/>
    <s v="NO3_A1"/>
    <x v="6"/>
    <x v="7"/>
    <s v="GNR_RES_WTR_NOPMP_MC-02"/>
    <x v="0"/>
    <x v="17"/>
    <n v="282.146513660349"/>
    <n v="102983.477486027"/>
    <n v="370740.51894969901"/>
  </r>
  <r>
    <x v="0"/>
    <x v="0"/>
    <x v="0"/>
    <x v="7"/>
    <x v="13"/>
    <s v="NO3_A1"/>
    <x v="6"/>
    <x v="7"/>
    <s v="GNR_RES_WTR_NOPMP_MC-02"/>
    <x v="0"/>
    <x v="19"/>
    <n v="282.146513660349"/>
    <n v="102983.477486027"/>
    <n v="370740.51894969901"/>
  </r>
  <r>
    <x v="0"/>
    <x v="0"/>
    <x v="0"/>
    <x v="7"/>
    <x v="13"/>
    <s v="NO3_A1"/>
    <x v="6"/>
    <x v="7"/>
    <s v="GNR_RES_WTR_NOPMP_MC-02"/>
    <x v="0"/>
    <x v="20"/>
    <n v="282.146513660349"/>
    <n v="102983.477486027"/>
    <n v="370740.51894969901"/>
  </r>
  <r>
    <x v="0"/>
    <x v="0"/>
    <x v="0"/>
    <x v="7"/>
    <x v="13"/>
    <s v="NO3_A1"/>
    <x v="6"/>
    <x v="7"/>
    <s v="GNR_RES_WTR_NOPMP_MC-02"/>
    <x v="0"/>
    <x v="21"/>
    <n v="282.146513660349"/>
    <n v="102983.477486027"/>
    <n v="370740.51894969901"/>
  </r>
  <r>
    <x v="0"/>
    <x v="0"/>
    <x v="0"/>
    <x v="7"/>
    <x v="13"/>
    <s v="NO3_A1"/>
    <x v="6"/>
    <x v="7"/>
    <s v="GNR_RES_WTR_NOPMP_MC-02"/>
    <x v="0"/>
    <x v="22"/>
    <n v="282.146513660349"/>
    <n v="102983.477486027"/>
    <n v="370740.51894969901"/>
  </r>
  <r>
    <x v="0"/>
    <x v="0"/>
    <x v="0"/>
    <x v="7"/>
    <x v="13"/>
    <s v="NO3_A1"/>
    <x v="6"/>
    <x v="7"/>
    <s v="GNR_RES_WTR_NOPMP_MC-02"/>
    <x v="0"/>
    <x v="23"/>
    <n v="282.146513660349"/>
    <n v="102983.477486027"/>
    <n v="370740.51894969901"/>
  </r>
  <r>
    <x v="0"/>
    <x v="0"/>
    <x v="0"/>
    <x v="7"/>
    <x v="13"/>
    <s v="NO3_A1"/>
    <x v="6"/>
    <x v="7"/>
    <s v="GNR_RES_WTR_NOPMP_MC-03"/>
    <x v="0"/>
    <x v="0"/>
    <n v="282.146513660349"/>
    <n v="102983.477486027"/>
    <n v="370740.51894969901"/>
  </r>
  <r>
    <x v="0"/>
    <x v="0"/>
    <x v="0"/>
    <x v="7"/>
    <x v="13"/>
    <s v="NO3_A1"/>
    <x v="6"/>
    <x v="7"/>
    <s v="GNR_RES_WTR_NOPMP_MC-03"/>
    <x v="0"/>
    <x v="1"/>
    <n v="282.146513660349"/>
    <n v="102983.477486027"/>
    <n v="370740.51894969901"/>
  </r>
  <r>
    <x v="0"/>
    <x v="0"/>
    <x v="0"/>
    <x v="7"/>
    <x v="13"/>
    <s v="NO3_A1"/>
    <x v="6"/>
    <x v="7"/>
    <s v="GNR_RES_WTR_NOPMP_MC-03"/>
    <x v="0"/>
    <x v="18"/>
    <n v="282.146513660349"/>
    <n v="102983.477486027"/>
    <n v="370740.51894969901"/>
  </r>
  <r>
    <x v="0"/>
    <x v="0"/>
    <x v="0"/>
    <x v="7"/>
    <x v="13"/>
    <s v="NO3_A1"/>
    <x v="6"/>
    <x v="7"/>
    <s v="GNR_RES_WTR_NOPMP_MC-03"/>
    <x v="0"/>
    <x v="2"/>
    <n v="282.146513660349"/>
    <n v="102983.477486027"/>
    <n v="370740.51894969901"/>
  </r>
  <r>
    <x v="0"/>
    <x v="0"/>
    <x v="0"/>
    <x v="7"/>
    <x v="13"/>
    <s v="NO3_A1"/>
    <x v="6"/>
    <x v="7"/>
    <s v="GNR_RES_WTR_NOPMP_MC-03"/>
    <x v="0"/>
    <x v="3"/>
    <n v="282.146513660349"/>
    <n v="102983.477486027"/>
    <n v="370740.51894969901"/>
  </r>
  <r>
    <x v="0"/>
    <x v="0"/>
    <x v="0"/>
    <x v="7"/>
    <x v="13"/>
    <s v="NO3_A1"/>
    <x v="6"/>
    <x v="7"/>
    <s v="GNR_RES_WTR_NOPMP_MC-03"/>
    <x v="0"/>
    <x v="4"/>
    <n v="282.146513660349"/>
    <n v="102983.477486027"/>
    <n v="370740.51894969901"/>
  </r>
  <r>
    <x v="0"/>
    <x v="0"/>
    <x v="0"/>
    <x v="7"/>
    <x v="13"/>
    <s v="NO3_A1"/>
    <x v="6"/>
    <x v="7"/>
    <s v="GNR_RES_WTR_NOPMP_MC-03"/>
    <x v="0"/>
    <x v="5"/>
    <n v="282.146513660349"/>
    <n v="102983.477486027"/>
    <n v="370740.51894969901"/>
  </r>
  <r>
    <x v="0"/>
    <x v="0"/>
    <x v="0"/>
    <x v="7"/>
    <x v="13"/>
    <s v="NO3_A1"/>
    <x v="6"/>
    <x v="7"/>
    <s v="GNR_RES_WTR_NOPMP_MC-03"/>
    <x v="0"/>
    <x v="6"/>
    <n v="282.146513660349"/>
    <n v="102983.477486027"/>
    <n v="370740.51894969901"/>
  </r>
  <r>
    <x v="0"/>
    <x v="0"/>
    <x v="0"/>
    <x v="7"/>
    <x v="13"/>
    <s v="NO3_A1"/>
    <x v="6"/>
    <x v="7"/>
    <s v="GNR_RES_WTR_NOPMP_MC-03"/>
    <x v="0"/>
    <x v="7"/>
    <n v="282.146513660349"/>
    <n v="102983.477486027"/>
    <n v="370740.51894969901"/>
  </r>
  <r>
    <x v="0"/>
    <x v="0"/>
    <x v="0"/>
    <x v="7"/>
    <x v="13"/>
    <s v="NO3_A1"/>
    <x v="6"/>
    <x v="7"/>
    <s v="GNR_RES_WTR_NOPMP_MC-03"/>
    <x v="0"/>
    <x v="8"/>
    <n v="282.146513660349"/>
    <n v="102983.477486027"/>
    <n v="370740.51894969901"/>
  </r>
  <r>
    <x v="0"/>
    <x v="0"/>
    <x v="0"/>
    <x v="7"/>
    <x v="13"/>
    <s v="NO3_A1"/>
    <x v="6"/>
    <x v="7"/>
    <s v="GNR_RES_WTR_NOPMP_MC-03"/>
    <x v="0"/>
    <x v="9"/>
    <n v="282.146513660349"/>
    <n v="102983.477486027"/>
    <n v="370740.51894969901"/>
  </r>
  <r>
    <x v="0"/>
    <x v="0"/>
    <x v="0"/>
    <x v="7"/>
    <x v="13"/>
    <s v="NO3_A1"/>
    <x v="6"/>
    <x v="7"/>
    <s v="GNR_RES_WTR_NOPMP_MC-03"/>
    <x v="0"/>
    <x v="10"/>
    <n v="282.146513660349"/>
    <n v="102983.477486027"/>
    <n v="370740.51894969901"/>
  </r>
  <r>
    <x v="0"/>
    <x v="0"/>
    <x v="0"/>
    <x v="7"/>
    <x v="13"/>
    <s v="NO3_A1"/>
    <x v="6"/>
    <x v="7"/>
    <s v="GNR_RES_WTR_NOPMP_MC-03"/>
    <x v="0"/>
    <x v="11"/>
    <n v="282.146513660349"/>
    <n v="102983.477486027"/>
    <n v="370740.51894969901"/>
  </r>
  <r>
    <x v="0"/>
    <x v="0"/>
    <x v="0"/>
    <x v="7"/>
    <x v="13"/>
    <s v="NO3_A1"/>
    <x v="6"/>
    <x v="7"/>
    <s v="GNR_RES_WTR_NOPMP_MC-03"/>
    <x v="0"/>
    <x v="12"/>
    <n v="282.146513660349"/>
    <n v="102983.477486027"/>
    <n v="370740.51894969901"/>
  </r>
  <r>
    <x v="0"/>
    <x v="0"/>
    <x v="0"/>
    <x v="7"/>
    <x v="13"/>
    <s v="NO3_A1"/>
    <x v="6"/>
    <x v="7"/>
    <s v="GNR_RES_WTR_NOPMP_MC-03"/>
    <x v="0"/>
    <x v="13"/>
    <n v="282.146513660349"/>
    <n v="102983.477486027"/>
    <n v="370740.51894969901"/>
  </r>
  <r>
    <x v="0"/>
    <x v="0"/>
    <x v="0"/>
    <x v="7"/>
    <x v="13"/>
    <s v="NO3_A1"/>
    <x v="6"/>
    <x v="7"/>
    <s v="GNR_RES_WTR_NOPMP_MC-03"/>
    <x v="0"/>
    <x v="14"/>
    <n v="282.146513660349"/>
    <n v="102983.477486027"/>
    <n v="370740.51894969901"/>
  </r>
  <r>
    <x v="0"/>
    <x v="0"/>
    <x v="0"/>
    <x v="7"/>
    <x v="13"/>
    <s v="NO3_A1"/>
    <x v="6"/>
    <x v="7"/>
    <s v="GNR_RES_WTR_NOPMP_MC-03"/>
    <x v="0"/>
    <x v="15"/>
    <n v="282.146513660349"/>
    <n v="102983.477486027"/>
    <n v="370740.51894969901"/>
  </r>
  <r>
    <x v="0"/>
    <x v="0"/>
    <x v="0"/>
    <x v="7"/>
    <x v="13"/>
    <s v="NO3_A1"/>
    <x v="6"/>
    <x v="7"/>
    <s v="GNR_RES_WTR_NOPMP_MC-03"/>
    <x v="0"/>
    <x v="16"/>
    <n v="282.146513660349"/>
    <n v="102983.477486027"/>
    <n v="370740.51894969901"/>
  </r>
  <r>
    <x v="0"/>
    <x v="0"/>
    <x v="0"/>
    <x v="7"/>
    <x v="13"/>
    <s v="NO3_A1"/>
    <x v="6"/>
    <x v="7"/>
    <s v="GNR_RES_WTR_NOPMP_MC-03"/>
    <x v="0"/>
    <x v="17"/>
    <n v="282.146513660349"/>
    <n v="102983.477486027"/>
    <n v="370740.51894969901"/>
  </r>
  <r>
    <x v="0"/>
    <x v="0"/>
    <x v="0"/>
    <x v="7"/>
    <x v="13"/>
    <s v="NO3_A1"/>
    <x v="6"/>
    <x v="7"/>
    <s v="GNR_RES_WTR_NOPMP_MC-03"/>
    <x v="0"/>
    <x v="19"/>
    <n v="282.146513660349"/>
    <n v="102983.477486027"/>
    <n v="370740.51894969901"/>
  </r>
  <r>
    <x v="0"/>
    <x v="0"/>
    <x v="0"/>
    <x v="7"/>
    <x v="13"/>
    <s v="NO3_A1"/>
    <x v="6"/>
    <x v="7"/>
    <s v="GNR_RES_WTR_NOPMP_MC-03"/>
    <x v="0"/>
    <x v="20"/>
    <n v="282.146513660349"/>
    <n v="102983.477486027"/>
    <n v="370740.51894969901"/>
  </r>
  <r>
    <x v="0"/>
    <x v="0"/>
    <x v="0"/>
    <x v="7"/>
    <x v="13"/>
    <s v="NO3_A1"/>
    <x v="6"/>
    <x v="7"/>
    <s v="GNR_RES_WTR_NOPMP_MC-03"/>
    <x v="0"/>
    <x v="21"/>
    <n v="282.146513660349"/>
    <n v="102983.477486027"/>
    <n v="370740.51894969901"/>
  </r>
  <r>
    <x v="0"/>
    <x v="0"/>
    <x v="0"/>
    <x v="7"/>
    <x v="13"/>
    <s v="NO3_A1"/>
    <x v="6"/>
    <x v="7"/>
    <s v="GNR_RES_WTR_NOPMP_MC-03"/>
    <x v="0"/>
    <x v="22"/>
    <n v="282.146513660349"/>
    <n v="102983.477486027"/>
    <n v="370740.51894969901"/>
  </r>
  <r>
    <x v="0"/>
    <x v="0"/>
    <x v="0"/>
    <x v="7"/>
    <x v="13"/>
    <s v="NO3_A1"/>
    <x v="6"/>
    <x v="7"/>
    <s v="GNR_RES_WTR_NOPMP_MC-03"/>
    <x v="0"/>
    <x v="23"/>
    <n v="282.146513660349"/>
    <n v="102983.477486027"/>
    <n v="370740.51894969901"/>
  </r>
  <r>
    <x v="0"/>
    <x v="0"/>
    <x v="0"/>
    <x v="7"/>
    <x v="13"/>
    <s v="NO3_A1"/>
    <x v="6"/>
    <x v="7"/>
    <s v="GNR_RES_WTR_NOPMP_MC-04"/>
    <x v="0"/>
    <x v="0"/>
    <n v="282.146513660349"/>
    <n v="102983.477486027"/>
    <n v="370740.51894969901"/>
  </r>
  <r>
    <x v="0"/>
    <x v="0"/>
    <x v="0"/>
    <x v="7"/>
    <x v="13"/>
    <s v="NO3_A1"/>
    <x v="6"/>
    <x v="7"/>
    <s v="GNR_RES_WTR_NOPMP_MC-04"/>
    <x v="0"/>
    <x v="1"/>
    <n v="282.146513660349"/>
    <n v="102983.477486027"/>
    <n v="370740.51894969901"/>
  </r>
  <r>
    <x v="0"/>
    <x v="0"/>
    <x v="0"/>
    <x v="7"/>
    <x v="13"/>
    <s v="NO3_A1"/>
    <x v="6"/>
    <x v="7"/>
    <s v="GNR_RES_WTR_NOPMP_MC-04"/>
    <x v="0"/>
    <x v="18"/>
    <n v="282.146513660349"/>
    <n v="102983.477486027"/>
    <n v="370740.51894969901"/>
  </r>
  <r>
    <x v="0"/>
    <x v="0"/>
    <x v="0"/>
    <x v="7"/>
    <x v="13"/>
    <s v="NO3_A1"/>
    <x v="6"/>
    <x v="7"/>
    <s v="GNR_RES_WTR_NOPMP_MC-04"/>
    <x v="0"/>
    <x v="2"/>
    <n v="282.146513660349"/>
    <n v="102983.477486027"/>
    <n v="370740.51894969901"/>
  </r>
  <r>
    <x v="0"/>
    <x v="0"/>
    <x v="0"/>
    <x v="7"/>
    <x v="13"/>
    <s v="NO3_A1"/>
    <x v="6"/>
    <x v="7"/>
    <s v="GNR_RES_WTR_NOPMP_MC-04"/>
    <x v="0"/>
    <x v="3"/>
    <n v="282.146513660349"/>
    <n v="102983.477486027"/>
    <n v="370740.51894969901"/>
  </r>
  <r>
    <x v="0"/>
    <x v="0"/>
    <x v="0"/>
    <x v="7"/>
    <x v="13"/>
    <s v="NO3_A1"/>
    <x v="6"/>
    <x v="7"/>
    <s v="GNR_RES_WTR_NOPMP_MC-04"/>
    <x v="0"/>
    <x v="4"/>
    <n v="282.146513660349"/>
    <n v="102983.477486027"/>
    <n v="370740.51894969901"/>
  </r>
  <r>
    <x v="0"/>
    <x v="0"/>
    <x v="0"/>
    <x v="7"/>
    <x v="13"/>
    <s v="NO3_A1"/>
    <x v="6"/>
    <x v="7"/>
    <s v="GNR_RES_WTR_NOPMP_MC-04"/>
    <x v="0"/>
    <x v="5"/>
    <n v="282.146513660349"/>
    <n v="102983.477486027"/>
    <n v="370740.51894969901"/>
  </r>
  <r>
    <x v="0"/>
    <x v="0"/>
    <x v="0"/>
    <x v="7"/>
    <x v="13"/>
    <s v="NO3_A1"/>
    <x v="6"/>
    <x v="7"/>
    <s v="GNR_RES_WTR_NOPMP_MC-04"/>
    <x v="0"/>
    <x v="6"/>
    <n v="282.146513660349"/>
    <n v="102983.477486027"/>
    <n v="370740.51894969901"/>
  </r>
  <r>
    <x v="0"/>
    <x v="0"/>
    <x v="0"/>
    <x v="7"/>
    <x v="13"/>
    <s v="NO3_A1"/>
    <x v="6"/>
    <x v="7"/>
    <s v="GNR_RES_WTR_NOPMP_MC-04"/>
    <x v="0"/>
    <x v="7"/>
    <n v="282.146513660349"/>
    <n v="102983.477486027"/>
    <n v="370740.51894969901"/>
  </r>
  <r>
    <x v="0"/>
    <x v="0"/>
    <x v="0"/>
    <x v="7"/>
    <x v="13"/>
    <s v="NO3_A1"/>
    <x v="6"/>
    <x v="7"/>
    <s v="GNR_RES_WTR_NOPMP_MC-04"/>
    <x v="0"/>
    <x v="8"/>
    <n v="282.146513660349"/>
    <n v="102983.477486027"/>
    <n v="370740.51894969901"/>
  </r>
  <r>
    <x v="0"/>
    <x v="0"/>
    <x v="0"/>
    <x v="7"/>
    <x v="13"/>
    <s v="NO3_A1"/>
    <x v="6"/>
    <x v="7"/>
    <s v="GNR_RES_WTR_NOPMP_MC-04"/>
    <x v="0"/>
    <x v="9"/>
    <n v="282.146513660349"/>
    <n v="102983.477486027"/>
    <n v="370740.51894969901"/>
  </r>
  <r>
    <x v="0"/>
    <x v="0"/>
    <x v="0"/>
    <x v="7"/>
    <x v="13"/>
    <s v="NO3_A1"/>
    <x v="6"/>
    <x v="7"/>
    <s v="GNR_RES_WTR_NOPMP_MC-04"/>
    <x v="0"/>
    <x v="10"/>
    <n v="282.146513660349"/>
    <n v="102983.477486027"/>
    <n v="370740.51894969901"/>
  </r>
  <r>
    <x v="0"/>
    <x v="0"/>
    <x v="0"/>
    <x v="7"/>
    <x v="13"/>
    <s v="NO3_A1"/>
    <x v="6"/>
    <x v="7"/>
    <s v="GNR_RES_WTR_NOPMP_MC-04"/>
    <x v="0"/>
    <x v="11"/>
    <n v="282.146513660349"/>
    <n v="102983.477486027"/>
    <n v="370740.51894969901"/>
  </r>
  <r>
    <x v="0"/>
    <x v="0"/>
    <x v="0"/>
    <x v="7"/>
    <x v="13"/>
    <s v="NO3_A1"/>
    <x v="6"/>
    <x v="7"/>
    <s v="GNR_RES_WTR_NOPMP_MC-04"/>
    <x v="0"/>
    <x v="12"/>
    <n v="282.146513660349"/>
    <n v="102983.477486027"/>
    <n v="370740.51894969901"/>
  </r>
  <r>
    <x v="0"/>
    <x v="0"/>
    <x v="0"/>
    <x v="7"/>
    <x v="13"/>
    <s v="NO3_A1"/>
    <x v="6"/>
    <x v="7"/>
    <s v="GNR_RES_WTR_NOPMP_MC-04"/>
    <x v="0"/>
    <x v="13"/>
    <n v="282.146513660349"/>
    <n v="102983.477486027"/>
    <n v="370740.51894969901"/>
  </r>
  <r>
    <x v="0"/>
    <x v="0"/>
    <x v="0"/>
    <x v="7"/>
    <x v="13"/>
    <s v="NO3_A1"/>
    <x v="6"/>
    <x v="7"/>
    <s v="GNR_RES_WTR_NOPMP_MC-04"/>
    <x v="0"/>
    <x v="14"/>
    <n v="282.146513660349"/>
    <n v="102983.477486027"/>
    <n v="370740.51894969901"/>
  </r>
  <r>
    <x v="0"/>
    <x v="0"/>
    <x v="0"/>
    <x v="7"/>
    <x v="13"/>
    <s v="NO3_A1"/>
    <x v="6"/>
    <x v="7"/>
    <s v="GNR_RES_WTR_NOPMP_MC-04"/>
    <x v="0"/>
    <x v="15"/>
    <n v="282.146513660349"/>
    <n v="102983.477486027"/>
    <n v="370740.51894969901"/>
  </r>
  <r>
    <x v="0"/>
    <x v="0"/>
    <x v="0"/>
    <x v="7"/>
    <x v="13"/>
    <s v="NO3_A1"/>
    <x v="6"/>
    <x v="7"/>
    <s v="GNR_RES_WTR_NOPMP_MC-04"/>
    <x v="0"/>
    <x v="16"/>
    <n v="282.146513660349"/>
    <n v="102983.477486027"/>
    <n v="370740.51894969901"/>
  </r>
  <r>
    <x v="0"/>
    <x v="0"/>
    <x v="0"/>
    <x v="7"/>
    <x v="13"/>
    <s v="NO3_A1"/>
    <x v="6"/>
    <x v="7"/>
    <s v="GNR_RES_WTR_NOPMP_MC-04"/>
    <x v="0"/>
    <x v="17"/>
    <n v="282.146513660349"/>
    <n v="102983.477486027"/>
    <n v="370740.51894969901"/>
  </r>
  <r>
    <x v="0"/>
    <x v="0"/>
    <x v="0"/>
    <x v="7"/>
    <x v="13"/>
    <s v="NO3_A1"/>
    <x v="6"/>
    <x v="7"/>
    <s v="GNR_RES_WTR_NOPMP_MC-04"/>
    <x v="0"/>
    <x v="19"/>
    <n v="282.146513660349"/>
    <n v="102983.477486027"/>
    <n v="370740.51894969901"/>
  </r>
  <r>
    <x v="0"/>
    <x v="0"/>
    <x v="0"/>
    <x v="7"/>
    <x v="13"/>
    <s v="NO3_A1"/>
    <x v="6"/>
    <x v="7"/>
    <s v="GNR_RES_WTR_NOPMP_MC-04"/>
    <x v="0"/>
    <x v="20"/>
    <n v="282.146513660349"/>
    <n v="102983.477486027"/>
    <n v="370740.51894969901"/>
  </r>
  <r>
    <x v="0"/>
    <x v="0"/>
    <x v="0"/>
    <x v="7"/>
    <x v="13"/>
    <s v="NO3_A1"/>
    <x v="6"/>
    <x v="7"/>
    <s v="GNR_RES_WTR_NOPMP_MC-04"/>
    <x v="0"/>
    <x v="21"/>
    <n v="282.146513660349"/>
    <n v="102983.477486027"/>
    <n v="370740.51894969901"/>
  </r>
  <r>
    <x v="0"/>
    <x v="0"/>
    <x v="0"/>
    <x v="7"/>
    <x v="13"/>
    <s v="NO3_A1"/>
    <x v="6"/>
    <x v="7"/>
    <s v="GNR_RES_WTR_NOPMP_MC-04"/>
    <x v="0"/>
    <x v="22"/>
    <n v="282.146513660349"/>
    <n v="102983.477486027"/>
    <n v="370740.51894969901"/>
  </r>
  <r>
    <x v="0"/>
    <x v="0"/>
    <x v="0"/>
    <x v="7"/>
    <x v="13"/>
    <s v="NO3_A1"/>
    <x v="6"/>
    <x v="7"/>
    <s v="GNR_RES_WTR_NOPMP_MC-05"/>
    <x v="0"/>
    <x v="5"/>
    <n v="282.146513660349"/>
    <n v="102983.477486027"/>
    <n v="370740.51894969901"/>
  </r>
  <r>
    <x v="0"/>
    <x v="0"/>
    <x v="0"/>
    <x v="7"/>
    <x v="13"/>
    <s v="NO3_A1"/>
    <x v="6"/>
    <x v="7"/>
    <s v="GNR_RES_WTR_NOPMP_MC-05"/>
    <x v="0"/>
    <x v="6"/>
    <n v="282.146513660349"/>
    <n v="102983.477486027"/>
    <n v="370740.51894969901"/>
  </r>
  <r>
    <x v="0"/>
    <x v="0"/>
    <x v="0"/>
    <x v="7"/>
    <x v="13"/>
    <s v="NO3_A1"/>
    <x v="6"/>
    <x v="7"/>
    <s v="GNR_RES_WTR_NOPMP_MC-05"/>
    <x v="0"/>
    <x v="7"/>
    <n v="282.146513660349"/>
    <n v="102983.477486027"/>
    <n v="370740.51894969901"/>
  </r>
  <r>
    <x v="0"/>
    <x v="0"/>
    <x v="0"/>
    <x v="7"/>
    <x v="13"/>
    <s v="NO3_A1"/>
    <x v="6"/>
    <x v="7"/>
    <s v="GNR_RES_WTR_NOPMP_MC-05"/>
    <x v="0"/>
    <x v="8"/>
    <n v="282.146513660349"/>
    <n v="102983.477486027"/>
    <n v="370740.51894969901"/>
  </r>
  <r>
    <x v="0"/>
    <x v="0"/>
    <x v="0"/>
    <x v="7"/>
    <x v="13"/>
    <s v="NO3_A1"/>
    <x v="6"/>
    <x v="7"/>
    <s v="GNR_RES_WTR_NOPMP_MC-05"/>
    <x v="0"/>
    <x v="9"/>
    <n v="282.146513660349"/>
    <n v="102983.477486027"/>
    <n v="370740.51894969901"/>
  </r>
  <r>
    <x v="0"/>
    <x v="0"/>
    <x v="0"/>
    <x v="7"/>
    <x v="13"/>
    <s v="NO3_A1"/>
    <x v="6"/>
    <x v="7"/>
    <s v="GNR_RES_WTR_NOPMP_MC-05"/>
    <x v="0"/>
    <x v="10"/>
    <n v="282.146513660349"/>
    <n v="102983.477486027"/>
    <n v="370740.51894969901"/>
  </r>
  <r>
    <x v="0"/>
    <x v="0"/>
    <x v="0"/>
    <x v="7"/>
    <x v="13"/>
    <s v="NO3_A1"/>
    <x v="6"/>
    <x v="7"/>
    <s v="GNR_RES_WTR_NOPMP_MC-05"/>
    <x v="0"/>
    <x v="11"/>
    <n v="282.146513660349"/>
    <n v="102983.477486027"/>
    <n v="370740.51894969901"/>
  </r>
  <r>
    <x v="0"/>
    <x v="0"/>
    <x v="0"/>
    <x v="7"/>
    <x v="13"/>
    <s v="NO3_A1"/>
    <x v="6"/>
    <x v="7"/>
    <s v="GNR_RES_WTR_NOPMP_MC-05"/>
    <x v="0"/>
    <x v="12"/>
    <n v="282.146513660349"/>
    <n v="102983.477486027"/>
    <n v="370740.51894969901"/>
  </r>
  <r>
    <x v="0"/>
    <x v="0"/>
    <x v="0"/>
    <x v="7"/>
    <x v="13"/>
    <s v="NO3_A1"/>
    <x v="6"/>
    <x v="7"/>
    <s v="GNR_RES_WTR_NOPMP_MC-05"/>
    <x v="0"/>
    <x v="13"/>
    <n v="282.146513660349"/>
    <n v="102983.477486027"/>
    <n v="370740.51894969901"/>
  </r>
  <r>
    <x v="0"/>
    <x v="0"/>
    <x v="0"/>
    <x v="7"/>
    <x v="13"/>
    <s v="NO3_A1"/>
    <x v="6"/>
    <x v="7"/>
    <s v="GNR_RES_WTR_NOPMP_MC-05"/>
    <x v="0"/>
    <x v="14"/>
    <n v="282.146513660349"/>
    <n v="102983.477486027"/>
    <n v="370740.51894969901"/>
  </r>
  <r>
    <x v="0"/>
    <x v="0"/>
    <x v="0"/>
    <x v="7"/>
    <x v="13"/>
    <s v="NO3_A1"/>
    <x v="6"/>
    <x v="7"/>
    <s v="GNR_RES_WTR_NOPMP_MC-05"/>
    <x v="0"/>
    <x v="15"/>
    <n v="282.146513660349"/>
    <n v="102983.477486027"/>
    <n v="370740.51894969901"/>
  </r>
  <r>
    <x v="0"/>
    <x v="0"/>
    <x v="0"/>
    <x v="7"/>
    <x v="13"/>
    <s v="NO3_A1"/>
    <x v="6"/>
    <x v="7"/>
    <s v="GNR_RES_WTR_NOPMP_MC-05"/>
    <x v="0"/>
    <x v="16"/>
    <n v="282.146513660349"/>
    <n v="102983.477486027"/>
    <n v="370740.51894969901"/>
  </r>
  <r>
    <x v="0"/>
    <x v="0"/>
    <x v="0"/>
    <x v="7"/>
    <x v="13"/>
    <s v="NO3_A1"/>
    <x v="6"/>
    <x v="7"/>
    <s v="GNR_RES_WTR_NOPMP_MC-05"/>
    <x v="0"/>
    <x v="17"/>
    <n v="282.146513660349"/>
    <n v="102983.477486027"/>
    <n v="370740.51894969901"/>
  </r>
  <r>
    <x v="0"/>
    <x v="0"/>
    <x v="0"/>
    <x v="7"/>
    <x v="13"/>
    <s v="NO3_A1"/>
    <x v="6"/>
    <x v="7"/>
    <s v="GNR_RES_WTR_NOPMP_MC-05"/>
    <x v="0"/>
    <x v="19"/>
    <n v="246.48399608127801"/>
    <n v="89966.658569666499"/>
    <n v="323879.970850799"/>
  </r>
  <r>
    <x v="0"/>
    <x v="0"/>
    <x v="0"/>
    <x v="7"/>
    <x v="13"/>
    <s v="NO3_A1"/>
    <x v="6"/>
    <x v="7"/>
    <s v="GNR_RES_WTR_NOPMP_MC-05"/>
    <x v="0"/>
    <x v="20"/>
    <n v="282.146513660349"/>
    <n v="102983.477486027"/>
    <n v="370740.51894969901"/>
  </r>
  <r>
    <x v="0"/>
    <x v="0"/>
    <x v="0"/>
    <x v="7"/>
    <x v="13"/>
    <s v="NO3_A1"/>
    <x v="6"/>
    <x v="7"/>
    <s v="GNR_RES_WTR_NOPMP_MC-05"/>
    <x v="0"/>
    <x v="21"/>
    <n v="84.578972707350104"/>
    <n v="30871.3250381828"/>
    <n v="111136.77013745801"/>
  </r>
  <r>
    <x v="0"/>
    <x v="0"/>
    <x v="0"/>
    <x v="7"/>
    <x v="13"/>
    <s v="NO3_A1"/>
    <x v="6"/>
    <x v="7"/>
    <s v="GNR_RES_WTR_NOPMP_MC-06"/>
    <x v="0"/>
    <x v="6"/>
    <n v="282.146513660349"/>
    <n v="102983.477486027"/>
    <n v="370740.51894969901"/>
  </r>
  <r>
    <x v="0"/>
    <x v="0"/>
    <x v="0"/>
    <x v="7"/>
    <x v="13"/>
    <s v="NO3_A1"/>
    <x v="6"/>
    <x v="7"/>
    <s v="GNR_RES_WTR_NOPMP_MC-06"/>
    <x v="0"/>
    <x v="7"/>
    <n v="282.146513660349"/>
    <n v="102983.477486027"/>
    <n v="370740.51894969901"/>
  </r>
  <r>
    <x v="0"/>
    <x v="0"/>
    <x v="0"/>
    <x v="7"/>
    <x v="13"/>
    <s v="NO3_A1"/>
    <x v="6"/>
    <x v="7"/>
    <s v="GNR_RES_WTR_NOPMP_MC-06"/>
    <x v="0"/>
    <x v="8"/>
    <n v="282.146513660349"/>
    <n v="102983.477486027"/>
    <n v="370740.51894969901"/>
  </r>
  <r>
    <x v="0"/>
    <x v="0"/>
    <x v="0"/>
    <x v="7"/>
    <x v="13"/>
    <s v="NO3_A1"/>
    <x v="6"/>
    <x v="7"/>
    <s v="GNR_RES_WTR_NOPMP_MC-06"/>
    <x v="0"/>
    <x v="9"/>
    <n v="282.146513660349"/>
    <n v="102983.477486027"/>
    <n v="370740.51894969901"/>
  </r>
  <r>
    <x v="0"/>
    <x v="0"/>
    <x v="0"/>
    <x v="7"/>
    <x v="13"/>
    <s v="NO3_A1"/>
    <x v="6"/>
    <x v="7"/>
    <s v="GNR_RES_WTR_NOPMP_MC-06"/>
    <x v="0"/>
    <x v="10"/>
    <n v="282.146513660349"/>
    <n v="102983.477486027"/>
    <n v="370740.51894969901"/>
  </r>
  <r>
    <x v="0"/>
    <x v="0"/>
    <x v="0"/>
    <x v="7"/>
    <x v="13"/>
    <s v="NO3_A1"/>
    <x v="6"/>
    <x v="7"/>
    <s v="GNR_RES_WTR_NOPMP_MC-06"/>
    <x v="0"/>
    <x v="11"/>
    <n v="282.146513660349"/>
    <n v="102983.477486027"/>
    <n v="370740.51894969901"/>
  </r>
  <r>
    <x v="0"/>
    <x v="0"/>
    <x v="0"/>
    <x v="7"/>
    <x v="13"/>
    <s v="NO3_A1"/>
    <x v="6"/>
    <x v="7"/>
    <s v="GNR_RES_WTR_NOPMP_MC-06"/>
    <x v="0"/>
    <x v="13"/>
    <n v="282.146513660349"/>
    <n v="102983.477486027"/>
    <n v="370740.51894969901"/>
  </r>
  <r>
    <x v="0"/>
    <x v="0"/>
    <x v="0"/>
    <x v="7"/>
    <x v="13"/>
    <s v="NO3_A1"/>
    <x v="6"/>
    <x v="7"/>
    <s v="GNR_RES_WTR_NOPMP_MC-06"/>
    <x v="0"/>
    <x v="14"/>
    <n v="282.146513660349"/>
    <n v="102983.477486027"/>
    <n v="370740.51894969901"/>
  </r>
  <r>
    <x v="0"/>
    <x v="0"/>
    <x v="0"/>
    <x v="7"/>
    <x v="13"/>
    <s v="NO3_A1"/>
    <x v="6"/>
    <x v="7"/>
    <s v="GNR_RES_WTR_NOPMP_MC-06"/>
    <x v="0"/>
    <x v="15"/>
    <n v="282.146513660349"/>
    <n v="102983.477486027"/>
    <n v="370740.51894969901"/>
  </r>
  <r>
    <x v="0"/>
    <x v="0"/>
    <x v="0"/>
    <x v="7"/>
    <x v="13"/>
    <s v="NO3_A1"/>
    <x v="6"/>
    <x v="7"/>
    <s v="GNR_RES_WTR_NOPMP_MC-06"/>
    <x v="0"/>
    <x v="16"/>
    <n v="282.146513660349"/>
    <n v="102983.477486027"/>
    <n v="370740.51894969901"/>
  </r>
  <r>
    <x v="0"/>
    <x v="0"/>
    <x v="0"/>
    <x v="7"/>
    <x v="13"/>
    <s v="NO3_A1"/>
    <x v="6"/>
    <x v="7"/>
    <s v="GNR_RES_WTR_NOPMP_MC-07"/>
    <x v="0"/>
    <x v="6"/>
    <n v="64.161167465926496"/>
    <n v="23418.826125063199"/>
    <n v="84307.774050227395"/>
  </r>
  <r>
    <x v="0"/>
    <x v="0"/>
    <x v="0"/>
    <x v="7"/>
    <x v="13"/>
    <s v="NO3_A1"/>
    <x v="6"/>
    <x v="7"/>
    <s v="GNR_RES_WTR_NOPMP_MC-07"/>
    <x v="0"/>
    <x v="7"/>
    <n v="282.146513660349"/>
    <n v="102983.477486027"/>
    <n v="370740.51894969901"/>
  </r>
  <r>
    <x v="0"/>
    <x v="0"/>
    <x v="0"/>
    <x v="7"/>
    <x v="13"/>
    <s v="NO3_A1"/>
    <x v="6"/>
    <x v="7"/>
    <s v="GNR_RES_WTR_NOPMP_MC-07"/>
    <x v="0"/>
    <x v="8"/>
    <n v="79.287099823364898"/>
    <n v="28939.791435528201"/>
    <n v="104183.249167901"/>
  </r>
  <r>
    <x v="0"/>
    <x v="0"/>
    <x v="0"/>
    <x v="7"/>
    <x v="13"/>
    <s v="NO3_A1"/>
    <x v="6"/>
    <x v="7"/>
    <s v="GNR_RES_WTR_PMP_MC-01"/>
    <x v="0"/>
    <x v="0"/>
    <n v="60.3"/>
    <n v="22009.5"/>
    <n v="79234.2"/>
  </r>
  <r>
    <x v="0"/>
    <x v="0"/>
    <x v="0"/>
    <x v="7"/>
    <x v="13"/>
    <s v="NO3_A1"/>
    <x v="6"/>
    <x v="7"/>
    <s v="GNR_RES_WTR_PMP_MC-01"/>
    <x v="0"/>
    <x v="1"/>
    <n v="60.3"/>
    <n v="22009.5"/>
    <n v="79234.2"/>
  </r>
  <r>
    <x v="0"/>
    <x v="0"/>
    <x v="0"/>
    <x v="7"/>
    <x v="13"/>
    <s v="NO3_A1"/>
    <x v="6"/>
    <x v="7"/>
    <s v="GNR_RES_WTR_PMP_MC-01"/>
    <x v="0"/>
    <x v="18"/>
    <n v="60.3"/>
    <n v="22009.5"/>
    <n v="79234.2"/>
  </r>
  <r>
    <x v="0"/>
    <x v="0"/>
    <x v="0"/>
    <x v="7"/>
    <x v="13"/>
    <s v="NO3_A1"/>
    <x v="6"/>
    <x v="7"/>
    <s v="GNR_RES_WTR_PMP_MC-01"/>
    <x v="0"/>
    <x v="2"/>
    <n v="60.3"/>
    <n v="22009.5"/>
    <n v="79234.2"/>
  </r>
  <r>
    <x v="0"/>
    <x v="0"/>
    <x v="0"/>
    <x v="7"/>
    <x v="13"/>
    <s v="NO3_A1"/>
    <x v="6"/>
    <x v="7"/>
    <s v="GNR_RES_WTR_PMP_MC-01"/>
    <x v="0"/>
    <x v="3"/>
    <n v="60.3"/>
    <n v="22009.5"/>
    <n v="79234.2"/>
  </r>
  <r>
    <x v="0"/>
    <x v="0"/>
    <x v="0"/>
    <x v="7"/>
    <x v="13"/>
    <s v="NO3_A1"/>
    <x v="6"/>
    <x v="7"/>
    <s v="GNR_RES_WTR_PMP_MC-01"/>
    <x v="0"/>
    <x v="4"/>
    <n v="60.3"/>
    <n v="22009.5"/>
    <n v="79234.2"/>
  </r>
  <r>
    <x v="0"/>
    <x v="0"/>
    <x v="0"/>
    <x v="7"/>
    <x v="13"/>
    <s v="NO3_A1"/>
    <x v="6"/>
    <x v="7"/>
    <s v="GNR_RES_WTR_PMP_MC-01"/>
    <x v="0"/>
    <x v="5"/>
    <n v="60.3"/>
    <n v="22009.5"/>
    <n v="79234.2"/>
  </r>
  <r>
    <x v="0"/>
    <x v="0"/>
    <x v="0"/>
    <x v="7"/>
    <x v="13"/>
    <s v="NO3_A1"/>
    <x v="6"/>
    <x v="7"/>
    <s v="GNR_RES_WTR_PMP_MC-01"/>
    <x v="0"/>
    <x v="6"/>
    <n v="60.3"/>
    <n v="22009.5"/>
    <n v="79234.2"/>
  </r>
  <r>
    <x v="0"/>
    <x v="0"/>
    <x v="0"/>
    <x v="7"/>
    <x v="13"/>
    <s v="NO3_A1"/>
    <x v="6"/>
    <x v="7"/>
    <s v="GNR_RES_WTR_PMP_MC-01"/>
    <x v="0"/>
    <x v="7"/>
    <n v="60.3"/>
    <n v="22009.5"/>
    <n v="79234.2"/>
  </r>
  <r>
    <x v="0"/>
    <x v="0"/>
    <x v="0"/>
    <x v="7"/>
    <x v="13"/>
    <s v="NO3_A1"/>
    <x v="6"/>
    <x v="7"/>
    <s v="GNR_RES_WTR_PMP_MC-01"/>
    <x v="0"/>
    <x v="8"/>
    <n v="60.3"/>
    <n v="22009.5"/>
    <n v="79234.2"/>
  </r>
  <r>
    <x v="0"/>
    <x v="0"/>
    <x v="0"/>
    <x v="7"/>
    <x v="13"/>
    <s v="NO3_A1"/>
    <x v="6"/>
    <x v="7"/>
    <s v="GNR_RES_WTR_PMP_MC-01"/>
    <x v="0"/>
    <x v="9"/>
    <n v="60.3"/>
    <n v="22009.5"/>
    <n v="79234.2"/>
  </r>
  <r>
    <x v="0"/>
    <x v="0"/>
    <x v="0"/>
    <x v="7"/>
    <x v="13"/>
    <s v="NO3_A1"/>
    <x v="6"/>
    <x v="7"/>
    <s v="GNR_RES_WTR_PMP_MC-01"/>
    <x v="0"/>
    <x v="10"/>
    <n v="60.3"/>
    <n v="22009.5"/>
    <n v="79234.2"/>
  </r>
  <r>
    <x v="0"/>
    <x v="0"/>
    <x v="0"/>
    <x v="7"/>
    <x v="13"/>
    <s v="NO3_A1"/>
    <x v="6"/>
    <x v="7"/>
    <s v="GNR_RES_WTR_PMP_MC-01"/>
    <x v="0"/>
    <x v="11"/>
    <n v="60.3"/>
    <n v="22009.5"/>
    <n v="79234.2"/>
  </r>
  <r>
    <x v="0"/>
    <x v="0"/>
    <x v="0"/>
    <x v="7"/>
    <x v="13"/>
    <s v="NO3_A1"/>
    <x v="6"/>
    <x v="7"/>
    <s v="GNR_RES_WTR_PMP_MC-01"/>
    <x v="0"/>
    <x v="12"/>
    <n v="60.3"/>
    <n v="22009.5"/>
    <n v="79234.2"/>
  </r>
  <r>
    <x v="0"/>
    <x v="0"/>
    <x v="0"/>
    <x v="7"/>
    <x v="13"/>
    <s v="NO3_A1"/>
    <x v="6"/>
    <x v="7"/>
    <s v="GNR_RES_WTR_PMP_MC-01"/>
    <x v="0"/>
    <x v="13"/>
    <n v="60.3"/>
    <n v="22009.5"/>
    <n v="79234.2"/>
  </r>
  <r>
    <x v="0"/>
    <x v="0"/>
    <x v="0"/>
    <x v="7"/>
    <x v="13"/>
    <s v="NO3_A1"/>
    <x v="6"/>
    <x v="7"/>
    <s v="GNR_RES_WTR_PMP_MC-01"/>
    <x v="0"/>
    <x v="14"/>
    <n v="60.3"/>
    <n v="22009.5"/>
    <n v="79234.2"/>
  </r>
  <r>
    <x v="0"/>
    <x v="0"/>
    <x v="0"/>
    <x v="7"/>
    <x v="13"/>
    <s v="NO3_A1"/>
    <x v="6"/>
    <x v="7"/>
    <s v="GNR_RES_WTR_PMP_MC-01"/>
    <x v="0"/>
    <x v="15"/>
    <n v="60.3"/>
    <n v="22009.5"/>
    <n v="79234.2"/>
  </r>
  <r>
    <x v="0"/>
    <x v="0"/>
    <x v="0"/>
    <x v="7"/>
    <x v="13"/>
    <s v="NO3_A1"/>
    <x v="6"/>
    <x v="7"/>
    <s v="GNR_RES_WTR_PMP_MC-01"/>
    <x v="0"/>
    <x v="16"/>
    <n v="60.3"/>
    <n v="22009.5"/>
    <n v="79234.2"/>
  </r>
  <r>
    <x v="0"/>
    <x v="0"/>
    <x v="0"/>
    <x v="7"/>
    <x v="13"/>
    <s v="NO3_A1"/>
    <x v="6"/>
    <x v="7"/>
    <s v="GNR_RES_WTR_PMP_MC-01"/>
    <x v="0"/>
    <x v="17"/>
    <n v="60.3"/>
    <n v="22009.5"/>
    <n v="79234.2"/>
  </r>
  <r>
    <x v="0"/>
    <x v="0"/>
    <x v="0"/>
    <x v="7"/>
    <x v="13"/>
    <s v="NO3_A1"/>
    <x v="6"/>
    <x v="7"/>
    <s v="GNR_RES_WTR_PMP_MC-01"/>
    <x v="0"/>
    <x v="19"/>
    <n v="60.3"/>
    <n v="22009.5"/>
    <n v="79234.2"/>
  </r>
  <r>
    <x v="0"/>
    <x v="0"/>
    <x v="0"/>
    <x v="7"/>
    <x v="13"/>
    <s v="NO3_A1"/>
    <x v="6"/>
    <x v="7"/>
    <s v="GNR_RES_WTR_PMP_MC-01"/>
    <x v="0"/>
    <x v="20"/>
    <n v="60.3"/>
    <n v="22009.5"/>
    <n v="79234.2"/>
  </r>
  <r>
    <x v="0"/>
    <x v="0"/>
    <x v="0"/>
    <x v="7"/>
    <x v="13"/>
    <s v="NO3_A1"/>
    <x v="6"/>
    <x v="7"/>
    <s v="GNR_RES_WTR_PMP_MC-01"/>
    <x v="0"/>
    <x v="21"/>
    <n v="60.3"/>
    <n v="22009.5"/>
    <n v="79234.2"/>
  </r>
  <r>
    <x v="0"/>
    <x v="0"/>
    <x v="0"/>
    <x v="7"/>
    <x v="13"/>
    <s v="NO3_A1"/>
    <x v="6"/>
    <x v="7"/>
    <s v="GNR_RES_WTR_PMP_MC-01"/>
    <x v="0"/>
    <x v="22"/>
    <n v="60.3"/>
    <n v="22009.5"/>
    <n v="79234.2"/>
  </r>
  <r>
    <x v="0"/>
    <x v="0"/>
    <x v="0"/>
    <x v="7"/>
    <x v="13"/>
    <s v="NO3_A1"/>
    <x v="6"/>
    <x v="7"/>
    <s v="GNR_RES_WTR_PMP_MC-01"/>
    <x v="0"/>
    <x v="23"/>
    <n v="60.3"/>
    <n v="22009.5"/>
    <n v="79234.2"/>
  </r>
  <r>
    <x v="0"/>
    <x v="0"/>
    <x v="0"/>
    <x v="7"/>
    <x v="13"/>
    <s v="NO3_A1"/>
    <x v="6"/>
    <x v="4"/>
    <s v="GNR_ROR_WTR"/>
    <x v="0"/>
    <x v="0"/>
    <n v="688.97059999822602"/>
    <n v="251474.268999352"/>
    <n v="905307.36839766905"/>
  </r>
  <r>
    <x v="0"/>
    <x v="0"/>
    <x v="0"/>
    <x v="7"/>
    <x v="13"/>
    <s v="NO3_A1"/>
    <x v="6"/>
    <x v="4"/>
    <s v="GNR_ROR_WTR"/>
    <x v="0"/>
    <x v="1"/>
    <n v="688.97059999822602"/>
    <n v="251474.268999352"/>
    <n v="905307.36839766905"/>
  </r>
  <r>
    <x v="0"/>
    <x v="0"/>
    <x v="0"/>
    <x v="7"/>
    <x v="13"/>
    <s v="NO3_A1"/>
    <x v="6"/>
    <x v="4"/>
    <s v="GNR_ROR_WTR"/>
    <x v="0"/>
    <x v="18"/>
    <n v="688.97059999822602"/>
    <n v="251474.268999352"/>
    <n v="905307.36839766905"/>
  </r>
  <r>
    <x v="0"/>
    <x v="0"/>
    <x v="0"/>
    <x v="7"/>
    <x v="13"/>
    <s v="NO3_A1"/>
    <x v="6"/>
    <x v="4"/>
    <s v="GNR_ROR_WTR"/>
    <x v="0"/>
    <x v="2"/>
    <n v="688.97059999822602"/>
    <n v="251474.268999352"/>
    <n v="905307.36839766905"/>
  </r>
  <r>
    <x v="0"/>
    <x v="0"/>
    <x v="0"/>
    <x v="7"/>
    <x v="13"/>
    <s v="NO3_A1"/>
    <x v="6"/>
    <x v="4"/>
    <s v="GNR_ROR_WTR"/>
    <x v="0"/>
    <x v="3"/>
    <n v="688.97059999822602"/>
    <n v="251474.268999352"/>
    <n v="905307.36839766905"/>
  </r>
  <r>
    <x v="0"/>
    <x v="0"/>
    <x v="0"/>
    <x v="7"/>
    <x v="13"/>
    <s v="NO3_A1"/>
    <x v="6"/>
    <x v="4"/>
    <s v="GNR_ROR_WTR"/>
    <x v="0"/>
    <x v="4"/>
    <n v="688.97059999822602"/>
    <n v="251474.268999352"/>
    <n v="905307.36839766905"/>
  </r>
  <r>
    <x v="0"/>
    <x v="0"/>
    <x v="0"/>
    <x v="7"/>
    <x v="13"/>
    <s v="NO3_A1"/>
    <x v="6"/>
    <x v="4"/>
    <s v="GNR_ROR_WTR"/>
    <x v="0"/>
    <x v="5"/>
    <n v="688.97059999822602"/>
    <n v="251474.268999352"/>
    <n v="905307.36839766905"/>
  </r>
  <r>
    <x v="0"/>
    <x v="0"/>
    <x v="0"/>
    <x v="7"/>
    <x v="13"/>
    <s v="NO3_A1"/>
    <x v="6"/>
    <x v="4"/>
    <s v="GNR_ROR_WTR"/>
    <x v="0"/>
    <x v="6"/>
    <n v="688.97059999822602"/>
    <n v="251474.268999352"/>
    <n v="905307.36839766905"/>
  </r>
  <r>
    <x v="0"/>
    <x v="0"/>
    <x v="0"/>
    <x v="7"/>
    <x v="13"/>
    <s v="NO3_A1"/>
    <x v="6"/>
    <x v="4"/>
    <s v="GNR_ROR_WTR"/>
    <x v="0"/>
    <x v="7"/>
    <n v="688.97059999822602"/>
    <n v="251474.268999352"/>
    <n v="905307.36839766905"/>
  </r>
  <r>
    <x v="0"/>
    <x v="0"/>
    <x v="0"/>
    <x v="7"/>
    <x v="13"/>
    <s v="NO3_A1"/>
    <x v="6"/>
    <x v="4"/>
    <s v="GNR_ROR_WTR"/>
    <x v="0"/>
    <x v="8"/>
    <n v="688.97059999822602"/>
    <n v="251474.268999352"/>
    <n v="905307.36839766905"/>
  </r>
  <r>
    <x v="0"/>
    <x v="0"/>
    <x v="0"/>
    <x v="7"/>
    <x v="13"/>
    <s v="NO3_A1"/>
    <x v="6"/>
    <x v="4"/>
    <s v="GNR_ROR_WTR"/>
    <x v="0"/>
    <x v="9"/>
    <n v="688.97059999822602"/>
    <n v="251474.268999352"/>
    <n v="905307.36839766905"/>
  </r>
  <r>
    <x v="0"/>
    <x v="0"/>
    <x v="0"/>
    <x v="7"/>
    <x v="13"/>
    <s v="NO3_A1"/>
    <x v="6"/>
    <x v="4"/>
    <s v="GNR_ROR_WTR"/>
    <x v="0"/>
    <x v="10"/>
    <n v="688.97059999822602"/>
    <n v="251474.268999352"/>
    <n v="905307.36839766905"/>
  </r>
  <r>
    <x v="0"/>
    <x v="0"/>
    <x v="0"/>
    <x v="7"/>
    <x v="13"/>
    <s v="NO3_A1"/>
    <x v="6"/>
    <x v="4"/>
    <s v="GNR_ROR_WTR"/>
    <x v="0"/>
    <x v="11"/>
    <n v="688.97059999822602"/>
    <n v="251474.268999352"/>
    <n v="905307.36839766905"/>
  </r>
  <r>
    <x v="0"/>
    <x v="0"/>
    <x v="0"/>
    <x v="7"/>
    <x v="13"/>
    <s v="NO3_A1"/>
    <x v="6"/>
    <x v="4"/>
    <s v="GNR_ROR_WTR"/>
    <x v="0"/>
    <x v="12"/>
    <n v="688.97059999822602"/>
    <n v="251474.268999352"/>
    <n v="905307.36839766905"/>
  </r>
  <r>
    <x v="0"/>
    <x v="0"/>
    <x v="0"/>
    <x v="7"/>
    <x v="13"/>
    <s v="NO3_A1"/>
    <x v="6"/>
    <x v="4"/>
    <s v="GNR_ROR_WTR"/>
    <x v="0"/>
    <x v="13"/>
    <n v="688.97059999822602"/>
    <n v="251474.268999352"/>
    <n v="905307.36839766905"/>
  </r>
  <r>
    <x v="0"/>
    <x v="0"/>
    <x v="0"/>
    <x v="7"/>
    <x v="13"/>
    <s v="NO3_A1"/>
    <x v="6"/>
    <x v="4"/>
    <s v="GNR_ROR_WTR"/>
    <x v="0"/>
    <x v="14"/>
    <n v="688.97059999822602"/>
    <n v="251474.268999352"/>
    <n v="905307.36839766905"/>
  </r>
  <r>
    <x v="0"/>
    <x v="0"/>
    <x v="0"/>
    <x v="7"/>
    <x v="13"/>
    <s v="NO3_A1"/>
    <x v="6"/>
    <x v="4"/>
    <s v="GNR_ROR_WTR"/>
    <x v="0"/>
    <x v="15"/>
    <n v="688.97059999822602"/>
    <n v="251474.268999352"/>
    <n v="905307.36839766905"/>
  </r>
  <r>
    <x v="0"/>
    <x v="0"/>
    <x v="0"/>
    <x v="7"/>
    <x v="13"/>
    <s v="NO3_A1"/>
    <x v="6"/>
    <x v="4"/>
    <s v="GNR_ROR_WTR"/>
    <x v="0"/>
    <x v="16"/>
    <n v="688.97059999822602"/>
    <n v="251474.268999352"/>
    <n v="905307.36839766905"/>
  </r>
  <r>
    <x v="0"/>
    <x v="0"/>
    <x v="0"/>
    <x v="7"/>
    <x v="13"/>
    <s v="NO3_A1"/>
    <x v="6"/>
    <x v="4"/>
    <s v="GNR_ROR_WTR"/>
    <x v="0"/>
    <x v="17"/>
    <n v="688.97059999822602"/>
    <n v="251474.268999352"/>
    <n v="905307.36839766905"/>
  </r>
  <r>
    <x v="0"/>
    <x v="0"/>
    <x v="0"/>
    <x v="7"/>
    <x v="13"/>
    <s v="NO3_A1"/>
    <x v="6"/>
    <x v="4"/>
    <s v="GNR_ROR_WTR"/>
    <x v="0"/>
    <x v="19"/>
    <n v="688.97059999822602"/>
    <n v="251474.268999352"/>
    <n v="905307.36839766905"/>
  </r>
  <r>
    <x v="0"/>
    <x v="0"/>
    <x v="0"/>
    <x v="7"/>
    <x v="13"/>
    <s v="NO3_A1"/>
    <x v="6"/>
    <x v="4"/>
    <s v="GNR_ROR_WTR"/>
    <x v="0"/>
    <x v="20"/>
    <n v="688.97059999822602"/>
    <n v="251474.268999352"/>
    <n v="905307.36839766905"/>
  </r>
  <r>
    <x v="0"/>
    <x v="0"/>
    <x v="0"/>
    <x v="7"/>
    <x v="13"/>
    <s v="NO3_A1"/>
    <x v="6"/>
    <x v="4"/>
    <s v="GNR_ROR_WTR"/>
    <x v="0"/>
    <x v="21"/>
    <n v="688.97059999822602"/>
    <n v="251474.268999352"/>
    <n v="905307.36839766905"/>
  </r>
  <r>
    <x v="0"/>
    <x v="0"/>
    <x v="0"/>
    <x v="7"/>
    <x v="13"/>
    <s v="NO3_A1"/>
    <x v="6"/>
    <x v="4"/>
    <s v="GNR_ROR_WTR"/>
    <x v="0"/>
    <x v="22"/>
    <n v="688.97059999822602"/>
    <n v="251474.268999352"/>
    <n v="905307.36839766905"/>
  </r>
  <r>
    <x v="0"/>
    <x v="0"/>
    <x v="0"/>
    <x v="7"/>
    <x v="13"/>
    <s v="NO3_A1"/>
    <x v="6"/>
    <x v="4"/>
    <s v="GNR_ROR_WTR"/>
    <x v="0"/>
    <x v="23"/>
    <n v="688.97059999822602"/>
    <n v="251474.268999352"/>
    <n v="905307.36839766905"/>
  </r>
  <r>
    <x v="0"/>
    <x v="0"/>
    <x v="0"/>
    <x v="7"/>
    <x v="13"/>
    <s v="NO3_A1"/>
    <x v="7"/>
    <x v="5"/>
    <s v="GNR_WT_WIND_ONS"/>
    <x v="0"/>
    <x v="0"/>
    <n v="42.407408621679998"/>
    <n v="15478.7041469132"/>
    <n v="55723.334928887503"/>
  </r>
  <r>
    <x v="0"/>
    <x v="0"/>
    <x v="0"/>
    <x v="7"/>
    <x v="13"/>
    <s v="NO3_A1"/>
    <x v="7"/>
    <x v="5"/>
    <s v="GNR_WT_WIND_ONS"/>
    <x v="0"/>
    <x v="1"/>
    <n v="55.434883861048"/>
    <n v="20233.732609282499"/>
    <n v="72841.437393417"/>
  </r>
  <r>
    <x v="0"/>
    <x v="0"/>
    <x v="0"/>
    <x v="7"/>
    <x v="13"/>
    <s v="NO3_A1"/>
    <x v="7"/>
    <x v="5"/>
    <s v="GNR_WT_WIND_ONS"/>
    <x v="0"/>
    <x v="18"/>
    <n v="59.087856686394701"/>
    <n v="21567.067690534099"/>
    <n v="77641.443685922597"/>
  </r>
  <r>
    <x v="0"/>
    <x v="0"/>
    <x v="0"/>
    <x v="7"/>
    <x v="13"/>
    <s v="NO3_A1"/>
    <x v="7"/>
    <x v="5"/>
    <s v="GNR_WT_WIND_ONS"/>
    <x v="0"/>
    <x v="2"/>
    <n v="67.831811775635103"/>
    <n v="24758.6112981068"/>
    <n v="89131.000673184593"/>
  </r>
  <r>
    <x v="0"/>
    <x v="0"/>
    <x v="0"/>
    <x v="7"/>
    <x v="13"/>
    <s v="NO3_A1"/>
    <x v="7"/>
    <x v="5"/>
    <s v="GNR_WT_WIND_ONS"/>
    <x v="0"/>
    <x v="3"/>
    <n v="77.100974162646196"/>
    <n v="28141.8555693659"/>
    <n v="101310.680049717"/>
  </r>
  <r>
    <x v="0"/>
    <x v="0"/>
    <x v="0"/>
    <x v="7"/>
    <x v="13"/>
    <s v="NO3_A1"/>
    <x v="7"/>
    <x v="5"/>
    <s v="GNR_WT_WIND_ONS"/>
    <x v="0"/>
    <x v="4"/>
    <n v="79.251338408944804"/>
    <n v="28926.7385192648"/>
    <n v="104136.258669353"/>
  </r>
  <r>
    <x v="0"/>
    <x v="0"/>
    <x v="0"/>
    <x v="7"/>
    <x v="13"/>
    <s v="NO3_A1"/>
    <x v="7"/>
    <x v="5"/>
    <s v="GNR_WT_WIND_ONS"/>
    <x v="0"/>
    <x v="5"/>
    <n v="55.665187939682802"/>
    <n v="20317.7935979842"/>
    <n v="73144.056952743194"/>
  </r>
  <r>
    <x v="0"/>
    <x v="0"/>
    <x v="0"/>
    <x v="7"/>
    <x v="13"/>
    <s v="NO3_A1"/>
    <x v="7"/>
    <x v="5"/>
    <s v="GNR_WT_WIND_ONS"/>
    <x v="0"/>
    <x v="6"/>
    <n v="63.054053915683099"/>
    <n v="23014.7296792243"/>
    <n v="82853.026845207598"/>
  </r>
  <r>
    <x v="0"/>
    <x v="0"/>
    <x v="0"/>
    <x v="7"/>
    <x v="13"/>
    <s v="NO3_A1"/>
    <x v="7"/>
    <x v="5"/>
    <s v="GNR_WT_WIND_ONS"/>
    <x v="0"/>
    <x v="7"/>
    <n v="93.745431277653196"/>
    <n v="34217.082416343401"/>
    <n v="123181.496698836"/>
  </r>
  <r>
    <x v="0"/>
    <x v="0"/>
    <x v="0"/>
    <x v="7"/>
    <x v="13"/>
    <s v="NO3_A1"/>
    <x v="7"/>
    <x v="5"/>
    <s v="GNR_WT_WIND_ONS"/>
    <x v="0"/>
    <x v="8"/>
    <n v="96.890038724002693"/>
    <n v="35364.864134260999"/>
    <n v="127313.510883339"/>
  </r>
  <r>
    <x v="0"/>
    <x v="0"/>
    <x v="0"/>
    <x v="7"/>
    <x v="13"/>
    <s v="NO3_A1"/>
    <x v="7"/>
    <x v="5"/>
    <s v="GNR_WT_WIND_ONS"/>
    <x v="0"/>
    <x v="9"/>
    <n v="100.156923114872"/>
    <n v="36557.276936928298"/>
    <n v="131606.19697294201"/>
  </r>
  <r>
    <x v="0"/>
    <x v="0"/>
    <x v="0"/>
    <x v="7"/>
    <x v="13"/>
    <s v="NO3_A1"/>
    <x v="7"/>
    <x v="5"/>
    <s v="GNR_WT_WIND_ONS"/>
    <x v="0"/>
    <x v="10"/>
    <n v="108.674170506199"/>
    <n v="39666.072234762498"/>
    <n v="142797.860045145"/>
  </r>
  <r>
    <x v="0"/>
    <x v="0"/>
    <x v="0"/>
    <x v="7"/>
    <x v="13"/>
    <s v="NO3_A1"/>
    <x v="7"/>
    <x v="5"/>
    <s v="GNR_WT_WIND_ONS"/>
    <x v="0"/>
    <x v="11"/>
    <n v="108.618718386853"/>
    <n v="39645.832211201203"/>
    <n v="142724.99596032401"/>
  </r>
  <r>
    <x v="0"/>
    <x v="0"/>
    <x v="0"/>
    <x v="7"/>
    <x v="13"/>
    <s v="NO3_A1"/>
    <x v="7"/>
    <x v="5"/>
    <s v="GNR_WT_WIND_ONS"/>
    <x v="0"/>
    <x v="12"/>
    <n v="161.41765874800399"/>
    <n v="58917.445443021599"/>
    <n v="212102.803594878"/>
  </r>
  <r>
    <x v="0"/>
    <x v="0"/>
    <x v="0"/>
    <x v="7"/>
    <x v="13"/>
    <s v="NO3_A1"/>
    <x v="7"/>
    <x v="5"/>
    <s v="GNR_WT_WIND_ONS"/>
    <x v="0"/>
    <x v="13"/>
    <n v="181.42893892418499"/>
    <n v="66221.562707327597"/>
    <n v="238397.625746379"/>
  </r>
  <r>
    <x v="0"/>
    <x v="0"/>
    <x v="0"/>
    <x v="7"/>
    <x v="13"/>
    <s v="NO3_A1"/>
    <x v="7"/>
    <x v="5"/>
    <s v="GNR_WT_WIND_ONS"/>
    <x v="0"/>
    <x v="14"/>
    <n v="174.38951901305001"/>
    <n v="63652.174439763403"/>
    <n v="229147.82798314799"/>
  </r>
  <r>
    <x v="0"/>
    <x v="0"/>
    <x v="0"/>
    <x v="7"/>
    <x v="13"/>
    <s v="NO3_A1"/>
    <x v="7"/>
    <x v="5"/>
    <s v="GNR_WT_WIND_ONS"/>
    <x v="0"/>
    <x v="15"/>
    <n v="162.25391905003599"/>
    <n v="59222.680453263201"/>
    <n v="213201.64963174699"/>
  </r>
  <r>
    <x v="0"/>
    <x v="0"/>
    <x v="0"/>
    <x v="7"/>
    <x v="13"/>
    <s v="NO3_A1"/>
    <x v="7"/>
    <x v="5"/>
    <s v="GNR_WT_WIND_ONS"/>
    <x v="0"/>
    <x v="16"/>
    <n v="174.71358684414801"/>
    <n v="63770.459198113902"/>
    <n v="229573.65311320999"/>
  </r>
  <r>
    <x v="0"/>
    <x v="0"/>
    <x v="0"/>
    <x v="7"/>
    <x v="13"/>
    <s v="NO3_A1"/>
    <x v="7"/>
    <x v="5"/>
    <s v="GNR_WT_WIND_ONS"/>
    <x v="0"/>
    <x v="17"/>
    <n v="168.76562098251901"/>
    <n v="61599.451658619597"/>
    <n v="221758.02597103"/>
  </r>
  <r>
    <x v="0"/>
    <x v="0"/>
    <x v="0"/>
    <x v="7"/>
    <x v="13"/>
    <s v="NO3_A1"/>
    <x v="7"/>
    <x v="5"/>
    <s v="GNR_WT_WIND_ONS"/>
    <x v="0"/>
    <x v="19"/>
    <n v="147.54588902778599"/>
    <n v="53854.249495142001"/>
    <n v="193875.298182511"/>
  </r>
  <r>
    <x v="0"/>
    <x v="0"/>
    <x v="0"/>
    <x v="7"/>
    <x v="13"/>
    <s v="NO3_A1"/>
    <x v="7"/>
    <x v="5"/>
    <s v="GNR_WT_WIND_ONS"/>
    <x v="0"/>
    <x v="20"/>
    <n v="161.69797287553499"/>
    <n v="59019.7600995705"/>
    <n v="212471.13635845401"/>
  </r>
  <r>
    <x v="0"/>
    <x v="0"/>
    <x v="0"/>
    <x v="7"/>
    <x v="13"/>
    <s v="NO3_A1"/>
    <x v="7"/>
    <x v="5"/>
    <s v="GNR_WT_WIND_ONS"/>
    <x v="0"/>
    <x v="21"/>
    <n v="138.93570573012499"/>
    <n v="50711.532591495699"/>
    <n v="182561.51732938399"/>
  </r>
  <r>
    <x v="0"/>
    <x v="0"/>
    <x v="0"/>
    <x v="7"/>
    <x v="13"/>
    <s v="NO3_A1"/>
    <x v="7"/>
    <x v="5"/>
    <s v="GNR_WT_WIND_ONS"/>
    <x v="0"/>
    <x v="22"/>
    <n v="140.497849474194"/>
    <n v="51281.715058080801"/>
    <n v="184614.174209091"/>
  </r>
  <r>
    <x v="0"/>
    <x v="0"/>
    <x v="0"/>
    <x v="7"/>
    <x v="13"/>
    <s v="NO3_A1"/>
    <x v="7"/>
    <x v="5"/>
    <s v="GNR_WT_WIND_ONS"/>
    <x v="0"/>
    <x v="23"/>
    <n v="127.754815921725"/>
    <n v="46630.507811429699"/>
    <n v="167869.828121147"/>
  </r>
  <r>
    <x v="0"/>
    <x v="0"/>
    <x v="0"/>
    <x v="7"/>
    <x v="14"/>
    <s v="NO4_A1"/>
    <x v="2"/>
    <x v="2"/>
    <s v="GBPR_MUNIWASTE"/>
    <x v="0"/>
    <x v="0"/>
    <n v="0.16632"/>
    <n v="60.706800000000001"/>
    <n v="218.54447999999999"/>
  </r>
  <r>
    <x v="0"/>
    <x v="0"/>
    <x v="0"/>
    <x v="7"/>
    <x v="14"/>
    <s v="NO4_A1"/>
    <x v="2"/>
    <x v="2"/>
    <s v="GBPR_MUNIWASTE"/>
    <x v="0"/>
    <x v="1"/>
    <n v="0.16632"/>
    <n v="60.706800000000001"/>
    <n v="218.54447999999999"/>
  </r>
  <r>
    <x v="0"/>
    <x v="0"/>
    <x v="0"/>
    <x v="7"/>
    <x v="14"/>
    <s v="NO4_A1"/>
    <x v="2"/>
    <x v="2"/>
    <s v="GBPR_MUNIWASTE"/>
    <x v="0"/>
    <x v="18"/>
    <n v="0.16632"/>
    <n v="60.706800000000001"/>
    <n v="218.54447999999999"/>
  </r>
  <r>
    <x v="0"/>
    <x v="0"/>
    <x v="0"/>
    <x v="7"/>
    <x v="14"/>
    <s v="NO4_A1"/>
    <x v="2"/>
    <x v="2"/>
    <s v="GBPR_MUNIWASTE"/>
    <x v="0"/>
    <x v="2"/>
    <n v="0.16632"/>
    <n v="60.706800000000001"/>
    <n v="218.54447999999999"/>
  </r>
  <r>
    <x v="0"/>
    <x v="0"/>
    <x v="0"/>
    <x v="7"/>
    <x v="14"/>
    <s v="NO4_A1"/>
    <x v="2"/>
    <x v="2"/>
    <s v="GBPR_MUNIWASTE"/>
    <x v="0"/>
    <x v="3"/>
    <n v="0.16632"/>
    <n v="60.706800000000001"/>
    <n v="218.54447999999999"/>
  </r>
  <r>
    <x v="0"/>
    <x v="0"/>
    <x v="0"/>
    <x v="7"/>
    <x v="14"/>
    <s v="NO4_A1"/>
    <x v="2"/>
    <x v="2"/>
    <s v="GBPR_MUNIWASTE"/>
    <x v="0"/>
    <x v="4"/>
    <n v="0.16632"/>
    <n v="60.706800000000001"/>
    <n v="218.54447999999999"/>
  </r>
  <r>
    <x v="0"/>
    <x v="0"/>
    <x v="0"/>
    <x v="7"/>
    <x v="14"/>
    <s v="NO4_A1"/>
    <x v="2"/>
    <x v="2"/>
    <s v="GBPR_MUNIWASTE"/>
    <x v="0"/>
    <x v="5"/>
    <n v="0.16632"/>
    <n v="60.706800000000001"/>
    <n v="218.54447999999999"/>
  </r>
  <r>
    <x v="0"/>
    <x v="0"/>
    <x v="0"/>
    <x v="7"/>
    <x v="14"/>
    <s v="NO4_A1"/>
    <x v="2"/>
    <x v="2"/>
    <s v="GBPR_MUNIWASTE"/>
    <x v="0"/>
    <x v="6"/>
    <n v="0.16632"/>
    <n v="60.706800000000001"/>
    <n v="218.54447999999999"/>
  </r>
  <r>
    <x v="0"/>
    <x v="0"/>
    <x v="0"/>
    <x v="7"/>
    <x v="14"/>
    <s v="NO4_A1"/>
    <x v="2"/>
    <x v="2"/>
    <s v="GBPR_MUNIWASTE"/>
    <x v="0"/>
    <x v="7"/>
    <n v="0.16632"/>
    <n v="60.706800000000001"/>
    <n v="218.54447999999999"/>
  </r>
  <r>
    <x v="0"/>
    <x v="0"/>
    <x v="0"/>
    <x v="7"/>
    <x v="14"/>
    <s v="NO4_A1"/>
    <x v="2"/>
    <x v="2"/>
    <s v="GBPR_MUNIWASTE"/>
    <x v="0"/>
    <x v="8"/>
    <n v="0.16632"/>
    <n v="60.706800000000001"/>
    <n v="218.54447999999999"/>
  </r>
  <r>
    <x v="0"/>
    <x v="0"/>
    <x v="0"/>
    <x v="7"/>
    <x v="14"/>
    <s v="NO4_A1"/>
    <x v="2"/>
    <x v="2"/>
    <s v="GBPR_MUNIWASTE"/>
    <x v="0"/>
    <x v="9"/>
    <n v="0.16632"/>
    <n v="60.706800000000001"/>
    <n v="218.54447999999999"/>
  </r>
  <r>
    <x v="0"/>
    <x v="0"/>
    <x v="0"/>
    <x v="7"/>
    <x v="14"/>
    <s v="NO4_A1"/>
    <x v="2"/>
    <x v="2"/>
    <s v="GBPR_MUNIWASTE"/>
    <x v="0"/>
    <x v="10"/>
    <n v="0.16632"/>
    <n v="60.706800000000001"/>
    <n v="218.54447999999999"/>
  </r>
  <r>
    <x v="0"/>
    <x v="0"/>
    <x v="0"/>
    <x v="7"/>
    <x v="14"/>
    <s v="NO4_A1"/>
    <x v="2"/>
    <x v="2"/>
    <s v="GBPR_MUNIWASTE"/>
    <x v="0"/>
    <x v="11"/>
    <n v="0.16632"/>
    <n v="60.706800000000001"/>
    <n v="218.54447999999999"/>
  </r>
  <r>
    <x v="0"/>
    <x v="0"/>
    <x v="0"/>
    <x v="7"/>
    <x v="14"/>
    <s v="NO4_A1"/>
    <x v="2"/>
    <x v="2"/>
    <s v="GBPR_MUNIWASTE"/>
    <x v="0"/>
    <x v="12"/>
    <n v="0.16632"/>
    <n v="60.706800000000001"/>
    <n v="218.54447999999999"/>
  </r>
  <r>
    <x v="0"/>
    <x v="0"/>
    <x v="0"/>
    <x v="7"/>
    <x v="14"/>
    <s v="NO4_A1"/>
    <x v="2"/>
    <x v="2"/>
    <s v="GBPR_MUNIWASTE"/>
    <x v="0"/>
    <x v="13"/>
    <n v="0.16632"/>
    <n v="60.706800000000001"/>
    <n v="218.54447999999999"/>
  </r>
  <r>
    <x v="0"/>
    <x v="0"/>
    <x v="0"/>
    <x v="7"/>
    <x v="14"/>
    <s v="NO4_A1"/>
    <x v="2"/>
    <x v="2"/>
    <s v="GBPR_MUNIWASTE"/>
    <x v="0"/>
    <x v="14"/>
    <n v="0.16632"/>
    <n v="60.706800000000001"/>
    <n v="218.54447999999999"/>
  </r>
  <r>
    <x v="0"/>
    <x v="0"/>
    <x v="0"/>
    <x v="7"/>
    <x v="14"/>
    <s v="NO4_A1"/>
    <x v="2"/>
    <x v="2"/>
    <s v="GBPR_MUNIWASTE"/>
    <x v="0"/>
    <x v="15"/>
    <n v="0.16632"/>
    <n v="60.706800000000001"/>
    <n v="218.54447999999999"/>
  </r>
  <r>
    <x v="0"/>
    <x v="0"/>
    <x v="0"/>
    <x v="7"/>
    <x v="14"/>
    <s v="NO4_A1"/>
    <x v="2"/>
    <x v="2"/>
    <s v="GBPR_MUNIWASTE"/>
    <x v="0"/>
    <x v="16"/>
    <n v="0.16632"/>
    <n v="60.706800000000001"/>
    <n v="218.54447999999999"/>
  </r>
  <r>
    <x v="0"/>
    <x v="0"/>
    <x v="0"/>
    <x v="7"/>
    <x v="14"/>
    <s v="NO4_A1"/>
    <x v="2"/>
    <x v="2"/>
    <s v="GBPR_MUNIWASTE"/>
    <x v="0"/>
    <x v="17"/>
    <n v="0.16632"/>
    <n v="60.706800000000001"/>
    <n v="218.54447999999999"/>
  </r>
  <r>
    <x v="0"/>
    <x v="0"/>
    <x v="0"/>
    <x v="7"/>
    <x v="14"/>
    <s v="NO4_A1"/>
    <x v="2"/>
    <x v="2"/>
    <s v="GBPR_MUNIWASTE"/>
    <x v="0"/>
    <x v="19"/>
    <n v="0.16632"/>
    <n v="60.706800000000001"/>
    <n v="218.54447999999999"/>
  </r>
  <r>
    <x v="0"/>
    <x v="0"/>
    <x v="0"/>
    <x v="7"/>
    <x v="14"/>
    <s v="NO4_A1"/>
    <x v="2"/>
    <x v="2"/>
    <s v="GBPR_MUNIWASTE"/>
    <x v="0"/>
    <x v="20"/>
    <n v="0.16632"/>
    <n v="60.706800000000001"/>
    <n v="218.54447999999999"/>
  </r>
  <r>
    <x v="0"/>
    <x v="0"/>
    <x v="0"/>
    <x v="7"/>
    <x v="14"/>
    <s v="NO4_A1"/>
    <x v="2"/>
    <x v="2"/>
    <s v="GBPR_MUNIWASTE"/>
    <x v="0"/>
    <x v="21"/>
    <n v="0.16632"/>
    <n v="60.706800000000001"/>
    <n v="218.54447999999999"/>
  </r>
  <r>
    <x v="0"/>
    <x v="0"/>
    <x v="0"/>
    <x v="7"/>
    <x v="14"/>
    <s v="NO4_A1"/>
    <x v="2"/>
    <x v="2"/>
    <s v="GBPR_MUNIWASTE"/>
    <x v="0"/>
    <x v="22"/>
    <n v="0.16632"/>
    <n v="60.706800000000001"/>
    <n v="218.54447999999999"/>
  </r>
  <r>
    <x v="0"/>
    <x v="0"/>
    <x v="0"/>
    <x v="7"/>
    <x v="14"/>
    <s v="NO4_A1"/>
    <x v="2"/>
    <x v="2"/>
    <s v="GBPR_MUNIWASTE"/>
    <x v="0"/>
    <x v="23"/>
    <n v="0.16632"/>
    <n v="60.706800000000001"/>
    <n v="218.54447999999999"/>
  </r>
  <r>
    <x v="0"/>
    <x v="0"/>
    <x v="0"/>
    <x v="7"/>
    <x v="14"/>
    <s v="NO4_A1"/>
    <x v="6"/>
    <x v="7"/>
    <s v="GNR_RES_WTR_NOPMP_MC-01"/>
    <x v="0"/>
    <x v="0"/>
    <n v="419.56363678000798"/>
    <n v="153140.72742470301"/>
    <n v="551306.61872893095"/>
  </r>
  <r>
    <x v="0"/>
    <x v="0"/>
    <x v="0"/>
    <x v="7"/>
    <x v="14"/>
    <s v="NO4_A1"/>
    <x v="6"/>
    <x v="7"/>
    <s v="GNR_RES_WTR_NOPMP_MC-01"/>
    <x v="0"/>
    <x v="1"/>
    <n v="419.56363678000798"/>
    <n v="153140.72742470301"/>
    <n v="551306.61872893095"/>
  </r>
  <r>
    <x v="0"/>
    <x v="0"/>
    <x v="0"/>
    <x v="7"/>
    <x v="14"/>
    <s v="NO4_A1"/>
    <x v="6"/>
    <x v="7"/>
    <s v="GNR_RES_WTR_NOPMP_MC-01"/>
    <x v="0"/>
    <x v="18"/>
    <n v="419.56363678000798"/>
    <n v="153140.72742470301"/>
    <n v="551306.61872893095"/>
  </r>
  <r>
    <x v="0"/>
    <x v="0"/>
    <x v="0"/>
    <x v="7"/>
    <x v="14"/>
    <s v="NO4_A1"/>
    <x v="6"/>
    <x v="7"/>
    <s v="GNR_RES_WTR_NOPMP_MC-01"/>
    <x v="0"/>
    <x v="2"/>
    <n v="419.56363678000798"/>
    <n v="153140.72742470301"/>
    <n v="551306.61872893095"/>
  </r>
  <r>
    <x v="0"/>
    <x v="0"/>
    <x v="0"/>
    <x v="7"/>
    <x v="14"/>
    <s v="NO4_A1"/>
    <x v="6"/>
    <x v="7"/>
    <s v="GNR_RES_WTR_NOPMP_MC-01"/>
    <x v="0"/>
    <x v="3"/>
    <n v="419.56363678000798"/>
    <n v="153140.72742470301"/>
    <n v="551306.61872893095"/>
  </r>
  <r>
    <x v="0"/>
    <x v="0"/>
    <x v="0"/>
    <x v="7"/>
    <x v="14"/>
    <s v="NO4_A1"/>
    <x v="6"/>
    <x v="7"/>
    <s v="GNR_RES_WTR_NOPMP_MC-01"/>
    <x v="0"/>
    <x v="4"/>
    <n v="419.56363678000798"/>
    <n v="153140.72742470301"/>
    <n v="551306.61872893095"/>
  </r>
  <r>
    <x v="0"/>
    <x v="0"/>
    <x v="0"/>
    <x v="7"/>
    <x v="14"/>
    <s v="NO4_A1"/>
    <x v="6"/>
    <x v="7"/>
    <s v="GNR_RES_WTR_NOPMP_MC-01"/>
    <x v="0"/>
    <x v="5"/>
    <n v="419.56363678000798"/>
    <n v="153140.72742470301"/>
    <n v="551306.61872893095"/>
  </r>
  <r>
    <x v="0"/>
    <x v="0"/>
    <x v="0"/>
    <x v="7"/>
    <x v="14"/>
    <s v="NO4_A1"/>
    <x v="6"/>
    <x v="7"/>
    <s v="GNR_RES_WTR_NOPMP_MC-01"/>
    <x v="0"/>
    <x v="6"/>
    <n v="419.56363678000798"/>
    <n v="153140.72742470301"/>
    <n v="551306.61872893095"/>
  </r>
  <r>
    <x v="0"/>
    <x v="0"/>
    <x v="0"/>
    <x v="7"/>
    <x v="14"/>
    <s v="NO4_A1"/>
    <x v="6"/>
    <x v="7"/>
    <s v="GNR_RES_WTR_NOPMP_MC-01"/>
    <x v="0"/>
    <x v="7"/>
    <n v="419.56363678000798"/>
    <n v="153140.72742470301"/>
    <n v="551306.61872893095"/>
  </r>
  <r>
    <x v="0"/>
    <x v="0"/>
    <x v="0"/>
    <x v="7"/>
    <x v="14"/>
    <s v="NO4_A1"/>
    <x v="6"/>
    <x v="7"/>
    <s v="GNR_RES_WTR_NOPMP_MC-01"/>
    <x v="0"/>
    <x v="8"/>
    <n v="419.56363678000798"/>
    <n v="153140.72742470301"/>
    <n v="551306.61872893095"/>
  </r>
  <r>
    <x v="0"/>
    <x v="0"/>
    <x v="0"/>
    <x v="7"/>
    <x v="14"/>
    <s v="NO4_A1"/>
    <x v="6"/>
    <x v="7"/>
    <s v="GNR_RES_WTR_NOPMP_MC-01"/>
    <x v="0"/>
    <x v="9"/>
    <n v="419.56363678000798"/>
    <n v="153140.72742470301"/>
    <n v="551306.61872893095"/>
  </r>
  <r>
    <x v="0"/>
    <x v="0"/>
    <x v="0"/>
    <x v="7"/>
    <x v="14"/>
    <s v="NO4_A1"/>
    <x v="6"/>
    <x v="7"/>
    <s v="GNR_RES_WTR_NOPMP_MC-01"/>
    <x v="0"/>
    <x v="10"/>
    <n v="419.56363678000798"/>
    <n v="153140.72742470301"/>
    <n v="551306.61872893095"/>
  </r>
  <r>
    <x v="0"/>
    <x v="0"/>
    <x v="0"/>
    <x v="7"/>
    <x v="14"/>
    <s v="NO4_A1"/>
    <x v="6"/>
    <x v="7"/>
    <s v="GNR_RES_WTR_NOPMP_MC-01"/>
    <x v="0"/>
    <x v="11"/>
    <n v="419.56363678000798"/>
    <n v="153140.72742470301"/>
    <n v="551306.61872893095"/>
  </r>
  <r>
    <x v="0"/>
    <x v="0"/>
    <x v="0"/>
    <x v="7"/>
    <x v="14"/>
    <s v="NO4_A1"/>
    <x v="6"/>
    <x v="7"/>
    <s v="GNR_RES_WTR_NOPMP_MC-01"/>
    <x v="0"/>
    <x v="12"/>
    <n v="419.56363678000798"/>
    <n v="153140.72742470301"/>
    <n v="551306.61872893095"/>
  </r>
  <r>
    <x v="0"/>
    <x v="0"/>
    <x v="0"/>
    <x v="7"/>
    <x v="14"/>
    <s v="NO4_A1"/>
    <x v="6"/>
    <x v="7"/>
    <s v="GNR_RES_WTR_NOPMP_MC-01"/>
    <x v="0"/>
    <x v="13"/>
    <n v="419.56363678000798"/>
    <n v="153140.72742470301"/>
    <n v="551306.61872893095"/>
  </r>
  <r>
    <x v="0"/>
    <x v="0"/>
    <x v="0"/>
    <x v="7"/>
    <x v="14"/>
    <s v="NO4_A1"/>
    <x v="6"/>
    <x v="7"/>
    <s v="GNR_RES_WTR_NOPMP_MC-01"/>
    <x v="0"/>
    <x v="14"/>
    <n v="419.56363678000798"/>
    <n v="153140.72742470301"/>
    <n v="551306.61872893095"/>
  </r>
  <r>
    <x v="0"/>
    <x v="0"/>
    <x v="0"/>
    <x v="7"/>
    <x v="14"/>
    <s v="NO4_A1"/>
    <x v="6"/>
    <x v="7"/>
    <s v="GNR_RES_WTR_NOPMP_MC-01"/>
    <x v="0"/>
    <x v="15"/>
    <n v="419.56363678000798"/>
    <n v="153140.72742470301"/>
    <n v="551306.61872893095"/>
  </r>
  <r>
    <x v="0"/>
    <x v="0"/>
    <x v="0"/>
    <x v="7"/>
    <x v="14"/>
    <s v="NO4_A1"/>
    <x v="6"/>
    <x v="7"/>
    <s v="GNR_RES_WTR_NOPMP_MC-01"/>
    <x v="0"/>
    <x v="16"/>
    <n v="419.56363678000798"/>
    <n v="153140.72742470301"/>
    <n v="551306.61872893095"/>
  </r>
  <r>
    <x v="0"/>
    <x v="0"/>
    <x v="0"/>
    <x v="7"/>
    <x v="14"/>
    <s v="NO4_A1"/>
    <x v="6"/>
    <x v="7"/>
    <s v="GNR_RES_WTR_NOPMP_MC-01"/>
    <x v="0"/>
    <x v="17"/>
    <n v="419.56363678000798"/>
    <n v="153140.72742470301"/>
    <n v="551306.61872893095"/>
  </r>
  <r>
    <x v="0"/>
    <x v="0"/>
    <x v="0"/>
    <x v="7"/>
    <x v="14"/>
    <s v="NO4_A1"/>
    <x v="6"/>
    <x v="7"/>
    <s v="GNR_RES_WTR_NOPMP_MC-01"/>
    <x v="0"/>
    <x v="19"/>
    <n v="419.56363678000798"/>
    <n v="153140.72742470301"/>
    <n v="551306.61872893095"/>
  </r>
  <r>
    <x v="0"/>
    <x v="0"/>
    <x v="0"/>
    <x v="7"/>
    <x v="14"/>
    <s v="NO4_A1"/>
    <x v="6"/>
    <x v="7"/>
    <s v="GNR_RES_WTR_NOPMP_MC-01"/>
    <x v="0"/>
    <x v="20"/>
    <n v="419.56363678000798"/>
    <n v="153140.72742470301"/>
    <n v="551306.61872893095"/>
  </r>
  <r>
    <x v="0"/>
    <x v="0"/>
    <x v="0"/>
    <x v="7"/>
    <x v="14"/>
    <s v="NO4_A1"/>
    <x v="6"/>
    <x v="7"/>
    <s v="GNR_RES_WTR_NOPMP_MC-01"/>
    <x v="0"/>
    <x v="21"/>
    <n v="419.56363678000798"/>
    <n v="153140.72742470301"/>
    <n v="551306.61872893095"/>
  </r>
  <r>
    <x v="0"/>
    <x v="0"/>
    <x v="0"/>
    <x v="7"/>
    <x v="14"/>
    <s v="NO4_A1"/>
    <x v="6"/>
    <x v="7"/>
    <s v="GNR_RES_WTR_NOPMP_MC-01"/>
    <x v="0"/>
    <x v="22"/>
    <n v="419.56363678000798"/>
    <n v="153140.72742470301"/>
    <n v="551306.61872893095"/>
  </r>
  <r>
    <x v="0"/>
    <x v="0"/>
    <x v="0"/>
    <x v="7"/>
    <x v="14"/>
    <s v="NO4_A1"/>
    <x v="6"/>
    <x v="7"/>
    <s v="GNR_RES_WTR_NOPMP_MC-01"/>
    <x v="0"/>
    <x v="23"/>
    <n v="419.56363678000798"/>
    <n v="153140.72742470301"/>
    <n v="551306.61872893095"/>
  </r>
  <r>
    <x v="0"/>
    <x v="0"/>
    <x v="0"/>
    <x v="7"/>
    <x v="14"/>
    <s v="NO4_A1"/>
    <x v="6"/>
    <x v="7"/>
    <s v="GNR_RES_WTR_NOPMP_MC-02"/>
    <x v="0"/>
    <x v="0"/>
    <n v="419.56363678000798"/>
    <n v="153140.72742470301"/>
    <n v="551306.61872893095"/>
  </r>
  <r>
    <x v="0"/>
    <x v="0"/>
    <x v="0"/>
    <x v="7"/>
    <x v="14"/>
    <s v="NO4_A1"/>
    <x v="6"/>
    <x v="7"/>
    <s v="GNR_RES_WTR_NOPMP_MC-02"/>
    <x v="0"/>
    <x v="1"/>
    <n v="419.56363678000798"/>
    <n v="153140.72742470301"/>
    <n v="551306.61872893095"/>
  </r>
  <r>
    <x v="0"/>
    <x v="0"/>
    <x v="0"/>
    <x v="7"/>
    <x v="14"/>
    <s v="NO4_A1"/>
    <x v="6"/>
    <x v="7"/>
    <s v="GNR_RES_WTR_NOPMP_MC-02"/>
    <x v="0"/>
    <x v="18"/>
    <n v="419.56363678000798"/>
    <n v="153140.72742470301"/>
    <n v="551306.61872893095"/>
  </r>
  <r>
    <x v="0"/>
    <x v="0"/>
    <x v="0"/>
    <x v="7"/>
    <x v="14"/>
    <s v="NO4_A1"/>
    <x v="6"/>
    <x v="7"/>
    <s v="GNR_RES_WTR_NOPMP_MC-02"/>
    <x v="0"/>
    <x v="2"/>
    <n v="419.56363678000798"/>
    <n v="153140.72742470301"/>
    <n v="551306.61872893095"/>
  </r>
  <r>
    <x v="0"/>
    <x v="0"/>
    <x v="0"/>
    <x v="7"/>
    <x v="14"/>
    <s v="NO4_A1"/>
    <x v="6"/>
    <x v="7"/>
    <s v="GNR_RES_WTR_NOPMP_MC-02"/>
    <x v="0"/>
    <x v="3"/>
    <n v="419.56363678000798"/>
    <n v="153140.72742470301"/>
    <n v="551306.61872893095"/>
  </r>
  <r>
    <x v="0"/>
    <x v="0"/>
    <x v="0"/>
    <x v="7"/>
    <x v="14"/>
    <s v="NO4_A1"/>
    <x v="6"/>
    <x v="7"/>
    <s v="GNR_RES_WTR_NOPMP_MC-02"/>
    <x v="0"/>
    <x v="4"/>
    <n v="419.56363678000798"/>
    <n v="153140.72742470301"/>
    <n v="551306.61872893095"/>
  </r>
  <r>
    <x v="0"/>
    <x v="0"/>
    <x v="0"/>
    <x v="7"/>
    <x v="14"/>
    <s v="NO4_A1"/>
    <x v="6"/>
    <x v="7"/>
    <s v="GNR_RES_WTR_NOPMP_MC-02"/>
    <x v="0"/>
    <x v="5"/>
    <n v="419.56363678000798"/>
    <n v="153140.72742470301"/>
    <n v="551306.61872893095"/>
  </r>
  <r>
    <x v="0"/>
    <x v="0"/>
    <x v="0"/>
    <x v="7"/>
    <x v="14"/>
    <s v="NO4_A1"/>
    <x v="6"/>
    <x v="7"/>
    <s v="GNR_RES_WTR_NOPMP_MC-02"/>
    <x v="0"/>
    <x v="6"/>
    <n v="419.56363678000798"/>
    <n v="153140.72742470301"/>
    <n v="551306.61872893095"/>
  </r>
  <r>
    <x v="0"/>
    <x v="0"/>
    <x v="0"/>
    <x v="7"/>
    <x v="14"/>
    <s v="NO4_A1"/>
    <x v="6"/>
    <x v="7"/>
    <s v="GNR_RES_WTR_NOPMP_MC-02"/>
    <x v="0"/>
    <x v="7"/>
    <n v="419.56363678000798"/>
    <n v="153140.72742470301"/>
    <n v="551306.61872893095"/>
  </r>
  <r>
    <x v="0"/>
    <x v="0"/>
    <x v="0"/>
    <x v="7"/>
    <x v="14"/>
    <s v="NO4_A1"/>
    <x v="6"/>
    <x v="7"/>
    <s v="GNR_RES_WTR_NOPMP_MC-02"/>
    <x v="0"/>
    <x v="8"/>
    <n v="419.56363678000798"/>
    <n v="153140.72742470301"/>
    <n v="551306.61872893095"/>
  </r>
  <r>
    <x v="0"/>
    <x v="0"/>
    <x v="0"/>
    <x v="7"/>
    <x v="14"/>
    <s v="NO4_A1"/>
    <x v="6"/>
    <x v="7"/>
    <s v="GNR_RES_WTR_NOPMP_MC-02"/>
    <x v="0"/>
    <x v="9"/>
    <n v="419.56363678000798"/>
    <n v="153140.72742470301"/>
    <n v="551306.61872893095"/>
  </r>
  <r>
    <x v="0"/>
    <x v="0"/>
    <x v="0"/>
    <x v="7"/>
    <x v="14"/>
    <s v="NO4_A1"/>
    <x v="6"/>
    <x v="7"/>
    <s v="GNR_RES_WTR_NOPMP_MC-02"/>
    <x v="0"/>
    <x v="10"/>
    <n v="419.56363678000798"/>
    <n v="153140.72742470301"/>
    <n v="551306.61872893095"/>
  </r>
  <r>
    <x v="0"/>
    <x v="0"/>
    <x v="0"/>
    <x v="7"/>
    <x v="14"/>
    <s v="NO4_A1"/>
    <x v="6"/>
    <x v="7"/>
    <s v="GNR_RES_WTR_NOPMP_MC-02"/>
    <x v="0"/>
    <x v="11"/>
    <n v="419.56363678000798"/>
    <n v="153140.72742470301"/>
    <n v="551306.61872893095"/>
  </r>
  <r>
    <x v="0"/>
    <x v="0"/>
    <x v="0"/>
    <x v="7"/>
    <x v="14"/>
    <s v="NO4_A1"/>
    <x v="6"/>
    <x v="7"/>
    <s v="GNR_RES_WTR_NOPMP_MC-02"/>
    <x v="0"/>
    <x v="12"/>
    <n v="419.56363678000798"/>
    <n v="153140.72742470301"/>
    <n v="551306.61872893095"/>
  </r>
  <r>
    <x v="0"/>
    <x v="0"/>
    <x v="0"/>
    <x v="7"/>
    <x v="14"/>
    <s v="NO4_A1"/>
    <x v="6"/>
    <x v="7"/>
    <s v="GNR_RES_WTR_NOPMP_MC-02"/>
    <x v="0"/>
    <x v="13"/>
    <n v="419.56363678000798"/>
    <n v="153140.72742470301"/>
    <n v="551306.61872893095"/>
  </r>
  <r>
    <x v="0"/>
    <x v="0"/>
    <x v="0"/>
    <x v="7"/>
    <x v="14"/>
    <s v="NO4_A1"/>
    <x v="6"/>
    <x v="7"/>
    <s v="GNR_RES_WTR_NOPMP_MC-02"/>
    <x v="0"/>
    <x v="14"/>
    <n v="419.56363678000798"/>
    <n v="153140.72742470301"/>
    <n v="551306.61872893095"/>
  </r>
  <r>
    <x v="0"/>
    <x v="0"/>
    <x v="0"/>
    <x v="7"/>
    <x v="14"/>
    <s v="NO4_A1"/>
    <x v="6"/>
    <x v="7"/>
    <s v="GNR_RES_WTR_NOPMP_MC-02"/>
    <x v="0"/>
    <x v="15"/>
    <n v="419.56363678000798"/>
    <n v="153140.72742470301"/>
    <n v="551306.61872893095"/>
  </r>
  <r>
    <x v="0"/>
    <x v="0"/>
    <x v="0"/>
    <x v="7"/>
    <x v="14"/>
    <s v="NO4_A1"/>
    <x v="6"/>
    <x v="7"/>
    <s v="GNR_RES_WTR_NOPMP_MC-02"/>
    <x v="0"/>
    <x v="16"/>
    <n v="419.56363678000798"/>
    <n v="153140.72742470301"/>
    <n v="551306.61872893095"/>
  </r>
  <r>
    <x v="0"/>
    <x v="0"/>
    <x v="0"/>
    <x v="7"/>
    <x v="14"/>
    <s v="NO4_A1"/>
    <x v="6"/>
    <x v="7"/>
    <s v="GNR_RES_WTR_NOPMP_MC-02"/>
    <x v="0"/>
    <x v="17"/>
    <n v="419.56363678000798"/>
    <n v="153140.72742470301"/>
    <n v="551306.61872893095"/>
  </r>
  <r>
    <x v="0"/>
    <x v="0"/>
    <x v="0"/>
    <x v="7"/>
    <x v="14"/>
    <s v="NO4_A1"/>
    <x v="6"/>
    <x v="7"/>
    <s v="GNR_RES_WTR_NOPMP_MC-02"/>
    <x v="0"/>
    <x v="19"/>
    <n v="419.56363678000798"/>
    <n v="153140.72742470301"/>
    <n v="551306.61872893095"/>
  </r>
  <r>
    <x v="0"/>
    <x v="0"/>
    <x v="0"/>
    <x v="7"/>
    <x v="14"/>
    <s v="NO4_A1"/>
    <x v="6"/>
    <x v="7"/>
    <s v="GNR_RES_WTR_NOPMP_MC-02"/>
    <x v="0"/>
    <x v="20"/>
    <n v="419.56363678000798"/>
    <n v="153140.72742470301"/>
    <n v="551306.61872893095"/>
  </r>
  <r>
    <x v="0"/>
    <x v="0"/>
    <x v="0"/>
    <x v="7"/>
    <x v="14"/>
    <s v="NO4_A1"/>
    <x v="6"/>
    <x v="7"/>
    <s v="GNR_RES_WTR_NOPMP_MC-02"/>
    <x v="0"/>
    <x v="21"/>
    <n v="419.56363678000798"/>
    <n v="153140.72742470301"/>
    <n v="551306.61872893095"/>
  </r>
  <r>
    <x v="0"/>
    <x v="0"/>
    <x v="0"/>
    <x v="7"/>
    <x v="14"/>
    <s v="NO4_A1"/>
    <x v="6"/>
    <x v="7"/>
    <s v="GNR_RES_WTR_NOPMP_MC-02"/>
    <x v="0"/>
    <x v="22"/>
    <n v="419.56363678000798"/>
    <n v="153140.72742470301"/>
    <n v="551306.61872893095"/>
  </r>
  <r>
    <x v="0"/>
    <x v="0"/>
    <x v="0"/>
    <x v="7"/>
    <x v="14"/>
    <s v="NO4_A1"/>
    <x v="6"/>
    <x v="7"/>
    <s v="GNR_RES_WTR_NOPMP_MC-02"/>
    <x v="0"/>
    <x v="23"/>
    <n v="419.56363678000798"/>
    <n v="153140.72742470301"/>
    <n v="551306.61872893095"/>
  </r>
  <r>
    <x v="0"/>
    <x v="0"/>
    <x v="0"/>
    <x v="7"/>
    <x v="14"/>
    <s v="NO4_A1"/>
    <x v="6"/>
    <x v="7"/>
    <s v="GNR_RES_WTR_NOPMP_MC-03"/>
    <x v="0"/>
    <x v="0"/>
    <n v="419.56363678000798"/>
    <n v="153140.72742470301"/>
    <n v="551306.61872893095"/>
  </r>
  <r>
    <x v="0"/>
    <x v="0"/>
    <x v="0"/>
    <x v="7"/>
    <x v="14"/>
    <s v="NO4_A1"/>
    <x v="6"/>
    <x v="7"/>
    <s v="GNR_RES_WTR_NOPMP_MC-03"/>
    <x v="0"/>
    <x v="1"/>
    <n v="419.56363678000798"/>
    <n v="153140.72742470301"/>
    <n v="551306.61872893095"/>
  </r>
  <r>
    <x v="0"/>
    <x v="0"/>
    <x v="0"/>
    <x v="7"/>
    <x v="14"/>
    <s v="NO4_A1"/>
    <x v="6"/>
    <x v="7"/>
    <s v="GNR_RES_WTR_NOPMP_MC-03"/>
    <x v="0"/>
    <x v="18"/>
    <n v="419.56363678000798"/>
    <n v="153140.72742470301"/>
    <n v="551306.61872893095"/>
  </r>
  <r>
    <x v="0"/>
    <x v="0"/>
    <x v="0"/>
    <x v="7"/>
    <x v="14"/>
    <s v="NO4_A1"/>
    <x v="6"/>
    <x v="7"/>
    <s v="GNR_RES_WTR_NOPMP_MC-03"/>
    <x v="0"/>
    <x v="2"/>
    <n v="419.56363678000798"/>
    <n v="153140.72742470301"/>
    <n v="551306.61872893095"/>
  </r>
  <r>
    <x v="0"/>
    <x v="0"/>
    <x v="0"/>
    <x v="7"/>
    <x v="14"/>
    <s v="NO4_A1"/>
    <x v="6"/>
    <x v="7"/>
    <s v="GNR_RES_WTR_NOPMP_MC-03"/>
    <x v="0"/>
    <x v="3"/>
    <n v="419.56363678000798"/>
    <n v="153140.72742470301"/>
    <n v="551306.61872893095"/>
  </r>
  <r>
    <x v="0"/>
    <x v="0"/>
    <x v="0"/>
    <x v="7"/>
    <x v="14"/>
    <s v="NO4_A1"/>
    <x v="6"/>
    <x v="7"/>
    <s v="GNR_RES_WTR_NOPMP_MC-03"/>
    <x v="0"/>
    <x v="4"/>
    <n v="419.56363678000798"/>
    <n v="153140.72742470301"/>
    <n v="551306.61872893095"/>
  </r>
  <r>
    <x v="0"/>
    <x v="0"/>
    <x v="0"/>
    <x v="7"/>
    <x v="14"/>
    <s v="NO4_A1"/>
    <x v="6"/>
    <x v="7"/>
    <s v="GNR_RES_WTR_NOPMP_MC-03"/>
    <x v="0"/>
    <x v="5"/>
    <n v="419.56363678000798"/>
    <n v="153140.72742470301"/>
    <n v="551306.61872893095"/>
  </r>
  <r>
    <x v="0"/>
    <x v="0"/>
    <x v="0"/>
    <x v="7"/>
    <x v="14"/>
    <s v="NO4_A1"/>
    <x v="6"/>
    <x v="7"/>
    <s v="GNR_RES_WTR_NOPMP_MC-03"/>
    <x v="0"/>
    <x v="6"/>
    <n v="419.56363678000798"/>
    <n v="153140.72742470301"/>
    <n v="551306.61872893095"/>
  </r>
  <r>
    <x v="0"/>
    <x v="0"/>
    <x v="0"/>
    <x v="7"/>
    <x v="14"/>
    <s v="NO4_A1"/>
    <x v="6"/>
    <x v="7"/>
    <s v="GNR_RES_WTR_NOPMP_MC-03"/>
    <x v="0"/>
    <x v="7"/>
    <n v="419.56363678000798"/>
    <n v="153140.72742470301"/>
    <n v="551306.61872893095"/>
  </r>
  <r>
    <x v="0"/>
    <x v="0"/>
    <x v="0"/>
    <x v="7"/>
    <x v="14"/>
    <s v="NO4_A1"/>
    <x v="6"/>
    <x v="7"/>
    <s v="GNR_RES_WTR_NOPMP_MC-03"/>
    <x v="0"/>
    <x v="8"/>
    <n v="419.56363678000798"/>
    <n v="153140.72742470301"/>
    <n v="551306.61872893095"/>
  </r>
  <r>
    <x v="0"/>
    <x v="0"/>
    <x v="0"/>
    <x v="7"/>
    <x v="14"/>
    <s v="NO4_A1"/>
    <x v="6"/>
    <x v="7"/>
    <s v="GNR_RES_WTR_NOPMP_MC-03"/>
    <x v="0"/>
    <x v="9"/>
    <n v="419.56363678000798"/>
    <n v="153140.72742470301"/>
    <n v="551306.61872893095"/>
  </r>
  <r>
    <x v="0"/>
    <x v="0"/>
    <x v="0"/>
    <x v="7"/>
    <x v="14"/>
    <s v="NO4_A1"/>
    <x v="6"/>
    <x v="7"/>
    <s v="GNR_RES_WTR_NOPMP_MC-03"/>
    <x v="0"/>
    <x v="10"/>
    <n v="419.56363678000798"/>
    <n v="153140.72742470301"/>
    <n v="551306.61872893095"/>
  </r>
  <r>
    <x v="0"/>
    <x v="0"/>
    <x v="0"/>
    <x v="7"/>
    <x v="14"/>
    <s v="NO4_A1"/>
    <x v="6"/>
    <x v="7"/>
    <s v="GNR_RES_WTR_NOPMP_MC-03"/>
    <x v="0"/>
    <x v="11"/>
    <n v="419.56363678000798"/>
    <n v="153140.72742470301"/>
    <n v="551306.61872893095"/>
  </r>
  <r>
    <x v="0"/>
    <x v="0"/>
    <x v="0"/>
    <x v="7"/>
    <x v="14"/>
    <s v="NO4_A1"/>
    <x v="6"/>
    <x v="7"/>
    <s v="GNR_RES_WTR_NOPMP_MC-03"/>
    <x v="0"/>
    <x v="12"/>
    <n v="419.56363678000798"/>
    <n v="153140.72742470301"/>
    <n v="551306.61872893095"/>
  </r>
  <r>
    <x v="0"/>
    <x v="0"/>
    <x v="0"/>
    <x v="7"/>
    <x v="14"/>
    <s v="NO4_A1"/>
    <x v="6"/>
    <x v="7"/>
    <s v="GNR_RES_WTR_NOPMP_MC-03"/>
    <x v="0"/>
    <x v="13"/>
    <n v="419.56363678000798"/>
    <n v="153140.72742470301"/>
    <n v="551306.61872893095"/>
  </r>
  <r>
    <x v="0"/>
    <x v="0"/>
    <x v="0"/>
    <x v="7"/>
    <x v="14"/>
    <s v="NO4_A1"/>
    <x v="6"/>
    <x v="7"/>
    <s v="GNR_RES_WTR_NOPMP_MC-03"/>
    <x v="0"/>
    <x v="14"/>
    <n v="419.56363678000798"/>
    <n v="153140.72742470301"/>
    <n v="551306.61872893095"/>
  </r>
  <r>
    <x v="0"/>
    <x v="0"/>
    <x v="0"/>
    <x v="7"/>
    <x v="14"/>
    <s v="NO4_A1"/>
    <x v="6"/>
    <x v="7"/>
    <s v="GNR_RES_WTR_NOPMP_MC-03"/>
    <x v="0"/>
    <x v="15"/>
    <n v="419.56363678000798"/>
    <n v="153140.72742470301"/>
    <n v="551306.61872893095"/>
  </r>
  <r>
    <x v="0"/>
    <x v="0"/>
    <x v="0"/>
    <x v="7"/>
    <x v="14"/>
    <s v="NO4_A1"/>
    <x v="6"/>
    <x v="7"/>
    <s v="GNR_RES_WTR_NOPMP_MC-03"/>
    <x v="0"/>
    <x v="16"/>
    <n v="419.56363678000798"/>
    <n v="153140.72742470301"/>
    <n v="551306.61872893095"/>
  </r>
  <r>
    <x v="0"/>
    <x v="0"/>
    <x v="0"/>
    <x v="7"/>
    <x v="14"/>
    <s v="NO4_A1"/>
    <x v="6"/>
    <x v="7"/>
    <s v="GNR_RES_WTR_NOPMP_MC-03"/>
    <x v="0"/>
    <x v="17"/>
    <n v="419.56363678000798"/>
    <n v="153140.72742470301"/>
    <n v="551306.61872893095"/>
  </r>
  <r>
    <x v="0"/>
    <x v="0"/>
    <x v="0"/>
    <x v="7"/>
    <x v="14"/>
    <s v="NO4_A1"/>
    <x v="6"/>
    <x v="7"/>
    <s v="GNR_RES_WTR_NOPMP_MC-03"/>
    <x v="0"/>
    <x v="19"/>
    <n v="419.56363678000798"/>
    <n v="153140.72742470301"/>
    <n v="551306.61872893095"/>
  </r>
  <r>
    <x v="0"/>
    <x v="0"/>
    <x v="0"/>
    <x v="7"/>
    <x v="14"/>
    <s v="NO4_A1"/>
    <x v="6"/>
    <x v="7"/>
    <s v="GNR_RES_WTR_NOPMP_MC-03"/>
    <x v="0"/>
    <x v="20"/>
    <n v="419.56363678000798"/>
    <n v="153140.72742470301"/>
    <n v="551306.61872893095"/>
  </r>
  <r>
    <x v="0"/>
    <x v="0"/>
    <x v="0"/>
    <x v="7"/>
    <x v="14"/>
    <s v="NO4_A1"/>
    <x v="6"/>
    <x v="7"/>
    <s v="GNR_RES_WTR_NOPMP_MC-03"/>
    <x v="0"/>
    <x v="21"/>
    <n v="419.56363678000798"/>
    <n v="153140.72742470301"/>
    <n v="551306.61872893095"/>
  </r>
  <r>
    <x v="0"/>
    <x v="0"/>
    <x v="0"/>
    <x v="7"/>
    <x v="14"/>
    <s v="NO4_A1"/>
    <x v="6"/>
    <x v="7"/>
    <s v="GNR_RES_WTR_NOPMP_MC-03"/>
    <x v="0"/>
    <x v="22"/>
    <n v="419.56363678000798"/>
    <n v="153140.72742470301"/>
    <n v="551306.61872893095"/>
  </r>
  <r>
    <x v="0"/>
    <x v="0"/>
    <x v="0"/>
    <x v="7"/>
    <x v="14"/>
    <s v="NO4_A1"/>
    <x v="6"/>
    <x v="7"/>
    <s v="GNR_RES_WTR_NOPMP_MC-03"/>
    <x v="0"/>
    <x v="23"/>
    <n v="419.56363678000798"/>
    <n v="153140.72742470301"/>
    <n v="551306.61872893095"/>
  </r>
  <r>
    <x v="0"/>
    <x v="0"/>
    <x v="0"/>
    <x v="7"/>
    <x v="14"/>
    <s v="NO4_A1"/>
    <x v="6"/>
    <x v="7"/>
    <s v="GNR_RES_WTR_NOPMP_MC-04"/>
    <x v="0"/>
    <x v="0"/>
    <n v="419.56363678000798"/>
    <n v="153140.72742470301"/>
    <n v="551306.61872893095"/>
  </r>
  <r>
    <x v="0"/>
    <x v="0"/>
    <x v="0"/>
    <x v="7"/>
    <x v="14"/>
    <s v="NO4_A1"/>
    <x v="6"/>
    <x v="7"/>
    <s v="GNR_RES_WTR_NOPMP_MC-04"/>
    <x v="0"/>
    <x v="1"/>
    <n v="419.56363678000798"/>
    <n v="153140.72742470301"/>
    <n v="551306.61872893095"/>
  </r>
  <r>
    <x v="0"/>
    <x v="0"/>
    <x v="0"/>
    <x v="7"/>
    <x v="14"/>
    <s v="NO4_A1"/>
    <x v="6"/>
    <x v="7"/>
    <s v="GNR_RES_WTR_NOPMP_MC-04"/>
    <x v="0"/>
    <x v="18"/>
    <n v="419.56363678000798"/>
    <n v="153140.72742470301"/>
    <n v="551306.61872893095"/>
  </r>
  <r>
    <x v="0"/>
    <x v="0"/>
    <x v="0"/>
    <x v="7"/>
    <x v="14"/>
    <s v="NO4_A1"/>
    <x v="6"/>
    <x v="7"/>
    <s v="GNR_RES_WTR_NOPMP_MC-04"/>
    <x v="0"/>
    <x v="2"/>
    <n v="419.56363678000798"/>
    <n v="153140.72742470301"/>
    <n v="551306.61872893095"/>
  </r>
  <r>
    <x v="0"/>
    <x v="0"/>
    <x v="0"/>
    <x v="7"/>
    <x v="14"/>
    <s v="NO4_A1"/>
    <x v="6"/>
    <x v="7"/>
    <s v="GNR_RES_WTR_NOPMP_MC-04"/>
    <x v="0"/>
    <x v="3"/>
    <n v="419.56363678000798"/>
    <n v="153140.72742470301"/>
    <n v="551306.61872893095"/>
  </r>
  <r>
    <x v="0"/>
    <x v="0"/>
    <x v="0"/>
    <x v="7"/>
    <x v="14"/>
    <s v="NO4_A1"/>
    <x v="6"/>
    <x v="7"/>
    <s v="GNR_RES_WTR_NOPMP_MC-04"/>
    <x v="0"/>
    <x v="4"/>
    <n v="419.56363678000798"/>
    <n v="153140.72742470301"/>
    <n v="551306.61872893095"/>
  </r>
  <r>
    <x v="0"/>
    <x v="0"/>
    <x v="0"/>
    <x v="7"/>
    <x v="14"/>
    <s v="NO4_A1"/>
    <x v="6"/>
    <x v="7"/>
    <s v="GNR_RES_WTR_NOPMP_MC-04"/>
    <x v="0"/>
    <x v="5"/>
    <n v="419.56363678000798"/>
    <n v="153140.72742470301"/>
    <n v="551306.61872893095"/>
  </r>
  <r>
    <x v="0"/>
    <x v="0"/>
    <x v="0"/>
    <x v="7"/>
    <x v="14"/>
    <s v="NO4_A1"/>
    <x v="6"/>
    <x v="7"/>
    <s v="GNR_RES_WTR_NOPMP_MC-04"/>
    <x v="0"/>
    <x v="6"/>
    <n v="419.56363678000798"/>
    <n v="153140.72742470301"/>
    <n v="551306.61872893095"/>
  </r>
  <r>
    <x v="0"/>
    <x v="0"/>
    <x v="0"/>
    <x v="7"/>
    <x v="14"/>
    <s v="NO4_A1"/>
    <x v="6"/>
    <x v="7"/>
    <s v="GNR_RES_WTR_NOPMP_MC-04"/>
    <x v="0"/>
    <x v="7"/>
    <n v="419.56363678000798"/>
    <n v="153140.72742470301"/>
    <n v="551306.61872893095"/>
  </r>
  <r>
    <x v="0"/>
    <x v="0"/>
    <x v="0"/>
    <x v="7"/>
    <x v="14"/>
    <s v="NO4_A1"/>
    <x v="6"/>
    <x v="7"/>
    <s v="GNR_RES_WTR_NOPMP_MC-04"/>
    <x v="0"/>
    <x v="8"/>
    <n v="419.56363678000798"/>
    <n v="153140.72742470301"/>
    <n v="551306.61872893095"/>
  </r>
  <r>
    <x v="0"/>
    <x v="0"/>
    <x v="0"/>
    <x v="7"/>
    <x v="14"/>
    <s v="NO4_A1"/>
    <x v="6"/>
    <x v="7"/>
    <s v="GNR_RES_WTR_NOPMP_MC-04"/>
    <x v="0"/>
    <x v="9"/>
    <n v="419.56363678000798"/>
    <n v="153140.72742470301"/>
    <n v="551306.61872893095"/>
  </r>
  <r>
    <x v="0"/>
    <x v="0"/>
    <x v="0"/>
    <x v="7"/>
    <x v="14"/>
    <s v="NO4_A1"/>
    <x v="6"/>
    <x v="7"/>
    <s v="GNR_RES_WTR_NOPMP_MC-04"/>
    <x v="0"/>
    <x v="10"/>
    <n v="419.56363678000798"/>
    <n v="153140.72742470301"/>
    <n v="551306.61872893095"/>
  </r>
  <r>
    <x v="0"/>
    <x v="0"/>
    <x v="0"/>
    <x v="7"/>
    <x v="14"/>
    <s v="NO4_A1"/>
    <x v="6"/>
    <x v="7"/>
    <s v="GNR_RES_WTR_NOPMP_MC-04"/>
    <x v="0"/>
    <x v="11"/>
    <n v="419.56363678000798"/>
    <n v="153140.72742470301"/>
    <n v="551306.61872893095"/>
  </r>
  <r>
    <x v="0"/>
    <x v="0"/>
    <x v="0"/>
    <x v="7"/>
    <x v="14"/>
    <s v="NO4_A1"/>
    <x v="6"/>
    <x v="7"/>
    <s v="GNR_RES_WTR_NOPMP_MC-04"/>
    <x v="0"/>
    <x v="12"/>
    <n v="419.56363678000798"/>
    <n v="153140.72742470301"/>
    <n v="551306.61872893095"/>
  </r>
  <r>
    <x v="0"/>
    <x v="0"/>
    <x v="0"/>
    <x v="7"/>
    <x v="14"/>
    <s v="NO4_A1"/>
    <x v="6"/>
    <x v="7"/>
    <s v="GNR_RES_WTR_NOPMP_MC-04"/>
    <x v="0"/>
    <x v="13"/>
    <n v="419.56363678000798"/>
    <n v="153140.72742470301"/>
    <n v="551306.61872893095"/>
  </r>
  <r>
    <x v="0"/>
    <x v="0"/>
    <x v="0"/>
    <x v="7"/>
    <x v="14"/>
    <s v="NO4_A1"/>
    <x v="6"/>
    <x v="7"/>
    <s v="GNR_RES_WTR_NOPMP_MC-04"/>
    <x v="0"/>
    <x v="14"/>
    <n v="419.56363678000798"/>
    <n v="153140.72742470301"/>
    <n v="551306.61872893095"/>
  </r>
  <r>
    <x v="0"/>
    <x v="0"/>
    <x v="0"/>
    <x v="7"/>
    <x v="14"/>
    <s v="NO4_A1"/>
    <x v="6"/>
    <x v="7"/>
    <s v="GNR_RES_WTR_NOPMP_MC-04"/>
    <x v="0"/>
    <x v="15"/>
    <n v="419.56363678000798"/>
    <n v="153140.72742470301"/>
    <n v="551306.61872893095"/>
  </r>
  <r>
    <x v="0"/>
    <x v="0"/>
    <x v="0"/>
    <x v="7"/>
    <x v="14"/>
    <s v="NO4_A1"/>
    <x v="6"/>
    <x v="7"/>
    <s v="GNR_RES_WTR_NOPMP_MC-04"/>
    <x v="0"/>
    <x v="16"/>
    <n v="419.56363678000798"/>
    <n v="153140.72742470301"/>
    <n v="551306.61872893095"/>
  </r>
  <r>
    <x v="0"/>
    <x v="0"/>
    <x v="0"/>
    <x v="7"/>
    <x v="14"/>
    <s v="NO4_A1"/>
    <x v="6"/>
    <x v="7"/>
    <s v="GNR_RES_WTR_NOPMP_MC-04"/>
    <x v="0"/>
    <x v="17"/>
    <n v="419.56363678000798"/>
    <n v="153140.72742470301"/>
    <n v="551306.61872893095"/>
  </r>
  <r>
    <x v="0"/>
    <x v="0"/>
    <x v="0"/>
    <x v="7"/>
    <x v="14"/>
    <s v="NO4_A1"/>
    <x v="6"/>
    <x v="7"/>
    <s v="GNR_RES_WTR_NOPMP_MC-04"/>
    <x v="0"/>
    <x v="19"/>
    <n v="419.56363678000798"/>
    <n v="153140.72742470301"/>
    <n v="551306.61872893095"/>
  </r>
  <r>
    <x v="0"/>
    <x v="0"/>
    <x v="0"/>
    <x v="7"/>
    <x v="14"/>
    <s v="NO4_A1"/>
    <x v="6"/>
    <x v="7"/>
    <s v="GNR_RES_WTR_NOPMP_MC-04"/>
    <x v="0"/>
    <x v="20"/>
    <n v="419.56363678000798"/>
    <n v="153140.72742470301"/>
    <n v="551306.61872893095"/>
  </r>
  <r>
    <x v="0"/>
    <x v="0"/>
    <x v="0"/>
    <x v="7"/>
    <x v="14"/>
    <s v="NO4_A1"/>
    <x v="6"/>
    <x v="7"/>
    <s v="GNR_RES_WTR_NOPMP_MC-04"/>
    <x v="0"/>
    <x v="21"/>
    <n v="419.56363678000798"/>
    <n v="153140.72742470301"/>
    <n v="551306.61872893095"/>
  </r>
  <r>
    <x v="0"/>
    <x v="0"/>
    <x v="0"/>
    <x v="7"/>
    <x v="14"/>
    <s v="NO4_A1"/>
    <x v="6"/>
    <x v="7"/>
    <s v="GNR_RES_WTR_NOPMP_MC-04"/>
    <x v="0"/>
    <x v="22"/>
    <n v="419.56363678000798"/>
    <n v="153140.72742470301"/>
    <n v="551306.61872893095"/>
  </r>
  <r>
    <x v="0"/>
    <x v="0"/>
    <x v="0"/>
    <x v="7"/>
    <x v="14"/>
    <s v="NO4_A1"/>
    <x v="6"/>
    <x v="7"/>
    <s v="GNR_RES_WTR_NOPMP_MC-04"/>
    <x v="0"/>
    <x v="23"/>
    <n v="419.56363678000798"/>
    <n v="153140.72742470301"/>
    <n v="551306.61872893095"/>
  </r>
  <r>
    <x v="0"/>
    <x v="0"/>
    <x v="0"/>
    <x v="7"/>
    <x v="14"/>
    <s v="NO4_A1"/>
    <x v="6"/>
    <x v="7"/>
    <s v="GNR_RES_WTR_NOPMP_MC-05"/>
    <x v="0"/>
    <x v="0"/>
    <n v="419.56363678000798"/>
    <n v="153140.72742470301"/>
    <n v="551306.61872893095"/>
  </r>
  <r>
    <x v="0"/>
    <x v="0"/>
    <x v="0"/>
    <x v="7"/>
    <x v="14"/>
    <s v="NO4_A1"/>
    <x v="6"/>
    <x v="7"/>
    <s v="GNR_RES_WTR_NOPMP_MC-05"/>
    <x v="0"/>
    <x v="1"/>
    <n v="419.56363678000798"/>
    <n v="153140.72742470301"/>
    <n v="551306.61872893095"/>
  </r>
  <r>
    <x v="0"/>
    <x v="0"/>
    <x v="0"/>
    <x v="7"/>
    <x v="14"/>
    <s v="NO4_A1"/>
    <x v="6"/>
    <x v="7"/>
    <s v="GNR_RES_WTR_NOPMP_MC-05"/>
    <x v="0"/>
    <x v="18"/>
    <n v="419.56363678000798"/>
    <n v="153140.72742470301"/>
    <n v="551306.61872893095"/>
  </r>
  <r>
    <x v="0"/>
    <x v="0"/>
    <x v="0"/>
    <x v="7"/>
    <x v="14"/>
    <s v="NO4_A1"/>
    <x v="6"/>
    <x v="7"/>
    <s v="GNR_RES_WTR_NOPMP_MC-05"/>
    <x v="0"/>
    <x v="2"/>
    <n v="419.56363678000798"/>
    <n v="153140.72742470301"/>
    <n v="551306.61872893095"/>
  </r>
  <r>
    <x v="0"/>
    <x v="0"/>
    <x v="0"/>
    <x v="7"/>
    <x v="14"/>
    <s v="NO4_A1"/>
    <x v="6"/>
    <x v="7"/>
    <s v="GNR_RES_WTR_NOPMP_MC-05"/>
    <x v="0"/>
    <x v="3"/>
    <n v="419.56363678000798"/>
    <n v="153140.72742470301"/>
    <n v="551306.61872893095"/>
  </r>
  <r>
    <x v="0"/>
    <x v="0"/>
    <x v="0"/>
    <x v="7"/>
    <x v="14"/>
    <s v="NO4_A1"/>
    <x v="6"/>
    <x v="7"/>
    <s v="GNR_RES_WTR_NOPMP_MC-05"/>
    <x v="0"/>
    <x v="4"/>
    <n v="419.56363678000798"/>
    <n v="153140.72742470301"/>
    <n v="551306.61872893095"/>
  </r>
  <r>
    <x v="0"/>
    <x v="0"/>
    <x v="0"/>
    <x v="7"/>
    <x v="14"/>
    <s v="NO4_A1"/>
    <x v="6"/>
    <x v="7"/>
    <s v="GNR_RES_WTR_NOPMP_MC-05"/>
    <x v="0"/>
    <x v="5"/>
    <n v="419.56363678000798"/>
    <n v="153140.72742470301"/>
    <n v="551306.61872893095"/>
  </r>
  <r>
    <x v="0"/>
    <x v="0"/>
    <x v="0"/>
    <x v="7"/>
    <x v="14"/>
    <s v="NO4_A1"/>
    <x v="6"/>
    <x v="7"/>
    <s v="GNR_RES_WTR_NOPMP_MC-05"/>
    <x v="0"/>
    <x v="6"/>
    <n v="419.56363678000798"/>
    <n v="153140.72742470301"/>
    <n v="551306.61872893095"/>
  </r>
  <r>
    <x v="0"/>
    <x v="0"/>
    <x v="0"/>
    <x v="7"/>
    <x v="14"/>
    <s v="NO4_A1"/>
    <x v="6"/>
    <x v="7"/>
    <s v="GNR_RES_WTR_NOPMP_MC-05"/>
    <x v="0"/>
    <x v="7"/>
    <n v="419.56363678000798"/>
    <n v="153140.72742470301"/>
    <n v="551306.61872893095"/>
  </r>
  <r>
    <x v="0"/>
    <x v="0"/>
    <x v="0"/>
    <x v="7"/>
    <x v="14"/>
    <s v="NO4_A1"/>
    <x v="6"/>
    <x v="7"/>
    <s v="GNR_RES_WTR_NOPMP_MC-05"/>
    <x v="0"/>
    <x v="8"/>
    <n v="419.56363678000798"/>
    <n v="153140.72742470301"/>
    <n v="551306.61872893095"/>
  </r>
  <r>
    <x v="0"/>
    <x v="0"/>
    <x v="0"/>
    <x v="7"/>
    <x v="14"/>
    <s v="NO4_A1"/>
    <x v="6"/>
    <x v="7"/>
    <s v="GNR_RES_WTR_NOPMP_MC-05"/>
    <x v="0"/>
    <x v="9"/>
    <n v="419.56363678000798"/>
    <n v="153140.72742470301"/>
    <n v="551306.61872893095"/>
  </r>
  <r>
    <x v="0"/>
    <x v="0"/>
    <x v="0"/>
    <x v="7"/>
    <x v="14"/>
    <s v="NO4_A1"/>
    <x v="6"/>
    <x v="7"/>
    <s v="GNR_RES_WTR_NOPMP_MC-05"/>
    <x v="0"/>
    <x v="10"/>
    <n v="419.56363678000798"/>
    <n v="153140.72742470301"/>
    <n v="551306.61872893095"/>
  </r>
  <r>
    <x v="0"/>
    <x v="0"/>
    <x v="0"/>
    <x v="7"/>
    <x v="14"/>
    <s v="NO4_A1"/>
    <x v="6"/>
    <x v="7"/>
    <s v="GNR_RES_WTR_NOPMP_MC-05"/>
    <x v="0"/>
    <x v="11"/>
    <n v="419.56363678000798"/>
    <n v="153140.72742470301"/>
    <n v="551306.61872893095"/>
  </r>
  <r>
    <x v="0"/>
    <x v="0"/>
    <x v="0"/>
    <x v="7"/>
    <x v="14"/>
    <s v="NO4_A1"/>
    <x v="6"/>
    <x v="7"/>
    <s v="GNR_RES_WTR_NOPMP_MC-05"/>
    <x v="0"/>
    <x v="12"/>
    <n v="419.56363678000798"/>
    <n v="153140.72742470301"/>
    <n v="551306.61872893095"/>
  </r>
  <r>
    <x v="0"/>
    <x v="0"/>
    <x v="0"/>
    <x v="7"/>
    <x v="14"/>
    <s v="NO4_A1"/>
    <x v="6"/>
    <x v="7"/>
    <s v="GNR_RES_WTR_NOPMP_MC-05"/>
    <x v="0"/>
    <x v="13"/>
    <n v="419.56363678000798"/>
    <n v="153140.72742470301"/>
    <n v="551306.61872893095"/>
  </r>
  <r>
    <x v="0"/>
    <x v="0"/>
    <x v="0"/>
    <x v="7"/>
    <x v="14"/>
    <s v="NO4_A1"/>
    <x v="6"/>
    <x v="7"/>
    <s v="GNR_RES_WTR_NOPMP_MC-05"/>
    <x v="0"/>
    <x v="14"/>
    <n v="419.56363678000798"/>
    <n v="153140.72742470301"/>
    <n v="551306.61872893095"/>
  </r>
  <r>
    <x v="0"/>
    <x v="0"/>
    <x v="0"/>
    <x v="7"/>
    <x v="14"/>
    <s v="NO4_A1"/>
    <x v="6"/>
    <x v="7"/>
    <s v="GNR_RES_WTR_NOPMP_MC-05"/>
    <x v="0"/>
    <x v="15"/>
    <n v="419.56363678000798"/>
    <n v="153140.72742470301"/>
    <n v="551306.61872893095"/>
  </r>
  <r>
    <x v="0"/>
    <x v="0"/>
    <x v="0"/>
    <x v="7"/>
    <x v="14"/>
    <s v="NO4_A1"/>
    <x v="6"/>
    <x v="7"/>
    <s v="GNR_RES_WTR_NOPMP_MC-05"/>
    <x v="0"/>
    <x v="16"/>
    <n v="419.56363678000798"/>
    <n v="153140.72742470301"/>
    <n v="551306.61872893095"/>
  </r>
  <r>
    <x v="0"/>
    <x v="0"/>
    <x v="0"/>
    <x v="7"/>
    <x v="14"/>
    <s v="NO4_A1"/>
    <x v="6"/>
    <x v="7"/>
    <s v="GNR_RES_WTR_NOPMP_MC-05"/>
    <x v="0"/>
    <x v="17"/>
    <n v="419.56363678000798"/>
    <n v="153140.72742470301"/>
    <n v="551306.61872893095"/>
  </r>
  <r>
    <x v="0"/>
    <x v="0"/>
    <x v="0"/>
    <x v="7"/>
    <x v="14"/>
    <s v="NO4_A1"/>
    <x v="6"/>
    <x v="7"/>
    <s v="GNR_RES_WTR_NOPMP_MC-05"/>
    <x v="0"/>
    <x v="19"/>
    <n v="419.56363678000798"/>
    <n v="153140.72742470301"/>
    <n v="551306.61872893095"/>
  </r>
  <r>
    <x v="0"/>
    <x v="0"/>
    <x v="0"/>
    <x v="7"/>
    <x v="14"/>
    <s v="NO4_A1"/>
    <x v="6"/>
    <x v="7"/>
    <s v="GNR_RES_WTR_NOPMP_MC-05"/>
    <x v="0"/>
    <x v="20"/>
    <n v="419.56363678000798"/>
    <n v="153140.72742470301"/>
    <n v="551306.61872893095"/>
  </r>
  <r>
    <x v="0"/>
    <x v="0"/>
    <x v="0"/>
    <x v="7"/>
    <x v="14"/>
    <s v="NO4_A1"/>
    <x v="6"/>
    <x v="7"/>
    <s v="GNR_RES_WTR_NOPMP_MC-05"/>
    <x v="0"/>
    <x v="21"/>
    <n v="419.56363678000798"/>
    <n v="153140.72742470301"/>
    <n v="551306.61872893095"/>
  </r>
  <r>
    <x v="0"/>
    <x v="0"/>
    <x v="0"/>
    <x v="7"/>
    <x v="14"/>
    <s v="NO4_A1"/>
    <x v="6"/>
    <x v="7"/>
    <s v="GNR_RES_WTR_NOPMP_MC-05"/>
    <x v="0"/>
    <x v="22"/>
    <n v="419.56363678000798"/>
    <n v="153140.72742470301"/>
    <n v="551306.61872893095"/>
  </r>
  <r>
    <x v="0"/>
    <x v="0"/>
    <x v="0"/>
    <x v="7"/>
    <x v="14"/>
    <s v="NO4_A1"/>
    <x v="6"/>
    <x v="7"/>
    <s v="GNR_RES_WTR_NOPMP_MC-06"/>
    <x v="0"/>
    <x v="5"/>
    <n v="419.56363678000798"/>
    <n v="153140.72742470301"/>
    <n v="551306.61872893095"/>
  </r>
  <r>
    <x v="0"/>
    <x v="0"/>
    <x v="0"/>
    <x v="7"/>
    <x v="14"/>
    <s v="NO4_A1"/>
    <x v="6"/>
    <x v="7"/>
    <s v="GNR_RES_WTR_NOPMP_MC-06"/>
    <x v="0"/>
    <x v="6"/>
    <n v="419.56363678000798"/>
    <n v="153140.72742470301"/>
    <n v="551306.61872893095"/>
  </r>
  <r>
    <x v="0"/>
    <x v="0"/>
    <x v="0"/>
    <x v="7"/>
    <x v="14"/>
    <s v="NO4_A1"/>
    <x v="6"/>
    <x v="7"/>
    <s v="GNR_RES_WTR_NOPMP_MC-06"/>
    <x v="0"/>
    <x v="7"/>
    <n v="419.56363678000798"/>
    <n v="153140.72742470301"/>
    <n v="551306.61872893095"/>
  </r>
  <r>
    <x v="0"/>
    <x v="0"/>
    <x v="0"/>
    <x v="7"/>
    <x v="14"/>
    <s v="NO4_A1"/>
    <x v="6"/>
    <x v="7"/>
    <s v="GNR_RES_WTR_NOPMP_MC-06"/>
    <x v="0"/>
    <x v="8"/>
    <n v="419.56363678000798"/>
    <n v="153140.72742470301"/>
    <n v="551306.61872893095"/>
  </r>
  <r>
    <x v="0"/>
    <x v="0"/>
    <x v="0"/>
    <x v="7"/>
    <x v="14"/>
    <s v="NO4_A1"/>
    <x v="6"/>
    <x v="7"/>
    <s v="GNR_RES_WTR_NOPMP_MC-06"/>
    <x v="0"/>
    <x v="9"/>
    <n v="419.56363678000798"/>
    <n v="153140.72742470301"/>
    <n v="551306.61872893095"/>
  </r>
  <r>
    <x v="0"/>
    <x v="0"/>
    <x v="0"/>
    <x v="7"/>
    <x v="14"/>
    <s v="NO4_A1"/>
    <x v="6"/>
    <x v="7"/>
    <s v="GNR_RES_WTR_NOPMP_MC-06"/>
    <x v="0"/>
    <x v="10"/>
    <n v="419.56363678000798"/>
    <n v="153140.72742470301"/>
    <n v="551306.61872893095"/>
  </r>
  <r>
    <x v="0"/>
    <x v="0"/>
    <x v="0"/>
    <x v="7"/>
    <x v="14"/>
    <s v="NO4_A1"/>
    <x v="6"/>
    <x v="7"/>
    <s v="GNR_RES_WTR_NOPMP_MC-06"/>
    <x v="0"/>
    <x v="11"/>
    <n v="419.56363678000798"/>
    <n v="153140.72742470301"/>
    <n v="551306.61872893095"/>
  </r>
  <r>
    <x v="0"/>
    <x v="0"/>
    <x v="0"/>
    <x v="7"/>
    <x v="14"/>
    <s v="NO4_A1"/>
    <x v="6"/>
    <x v="7"/>
    <s v="GNR_RES_WTR_NOPMP_MC-06"/>
    <x v="0"/>
    <x v="12"/>
    <n v="419.56363678000798"/>
    <n v="153140.72742470301"/>
    <n v="551306.61872893095"/>
  </r>
  <r>
    <x v="0"/>
    <x v="0"/>
    <x v="0"/>
    <x v="7"/>
    <x v="14"/>
    <s v="NO4_A1"/>
    <x v="6"/>
    <x v="7"/>
    <s v="GNR_RES_WTR_NOPMP_MC-06"/>
    <x v="0"/>
    <x v="13"/>
    <n v="419.56363678000798"/>
    <n v="153140.72742470301"/>
    <n v="551306.61872893095"/>
  </r>
  <r>
    <x v="0"/>
    <x v="0"/>
    <x v="0"/>
    <x v="7"/>
    <x v="14"/>
    <s v="NO4_A1"/>
    <x v="6"/>
    <x v="7"/>
    <s v="GNR_RES_WTR_NOPMP_MC-06"/>
    <x v="0"/>
    <x v="14"/>
    <n v="419.56363678000798"/>
    <n v="153140.72742470301"/>
    <n v="551306.61872893095"/>
  </r>
  <r>
    <x v="0"/>
    <x v="0"/>
    <x v="0"/>
    <x v="7"/>
    <x v="14"/>
    <s v="NO4_A1"/>
    <x v="6"/>
    <x v="7"/>
    <s v="GNR_RES_WTR_NOPMP_MC-06"/>
    <x v="0"/>
    <x v="15"/>
    <n v="419.56363678000798"/>
    <n v="153140.72742470301"/>
    <n v="551306.61872893095"/>
  </r>
  <r>
    <x v="0"/>
    <x v="0"/>
    <x v="0"/>
    <x v="7"/>
    <x v="14"/>
    <s v="NO4_A1"/>
    <x v="6"/>
    <x v="7"/>
    <s v="GNR_RES_WTR_NOPMP_MC-06"/>
    <x v="0"/>
    <x v="16"/>
    <n v="419.56363678000798"/>
    <n v="153140.72742470301"/>
    <n v="551306.61872893095"/>
  </r>
  <r>
    <x v="0"/>
    <x v="0"/>
    <x v="0"/>
    <x v="7"/>
    <x v="14"/>
    <s v="NO4_A1"/>
    <x v="6"/>
    <x v="7"/>
    <s v="GNR_RES_WTR_NOPMP_MC-06"/>
    <x v="0"/>
    <x v="17"/>
    <n v="419.56363678000798"/>
    <n v="153140.72742470301"/>
    <n v="551306.61872893095"/>
  </r>
  <r>
    <x v="0"/>
    <x v="0"/>
    <x v="0"/>
    <x v="7"/>
    <x v="14"/>
    <s v="NO4_A1"/>
    <x v="6"/>
    <x v="7"/>
    <s v="GNR_RES_WTR_NOPMP_MC-06"/>
    <x v="0"/>
    <x v="19"/>
    <n v="419.56363678000798"/>
    <n v="153140.72742470301"/>
    <n v="551306.61872893095"/>
  </r>
  <r>
    <x v="0"/>
    <x v="0"/>
    <x v="0"/>
    <x v="7"/>
    <x v="14"/>
    <s v="NO4_A1"/>
    <x v="6"/>
    <x v="7"/>
    <s v="GNR_RES_WTR_NOPMP_MC-06"/>
    <x v="0"/>
    <x v="20"/>
    <n v="419.56363678000798"/>
    <n v="153140.72742470301"/>
    <n v="551306.61872893095"/>
  </r>
  <r>
    <x v="0"/>
    <x v="0"/>
    <x v="0"/>
    <x v="7"/>
    <x v="14"/>
    <s v="NO4_A1"/>
    <x v="6"/>
    <x v="7"/>
    <s v="GNR_RES_WTR_NOPMP_MC-06"/>
    <x v="0"/>
    <x v="21"/>
    <n v="311.84913365276202"/>
    <n v="113824.93378325801"/>
    <n v="409769.76161972998"/>
  </r>
  <r>
    <x v="0"/>
    <x v="0"/>
    <x v="0"/>
    <x v="7"/>
    <x v="14"/>
    <s v="NO4_A1"/>
    <x v="6"/>
    <x v="7"/>
    <s v="GNR_RES_WTR_NOPMP_MC-07"/>
    <x v="0"/>
    <x v="6"/>
    <n v="357.87549335501501"/>
    <n v="130624.555074581"/>
    <n v="470248.39826848998"/>
  </r>
  <r>
    <x v="0"/>
    <x v="0"/>
    <x v="0"/>
    <x v="7"/>
    <x v="14"/>
    <s v="NO4_A1"/>
    <x v="6"/>
    <x v="7"/>
    <s v="GNR_RES_WTR_NOPMP_MC-07"/>
    <x v="0"/>
    <x v="7"/>
    <n v="419.56363678000798"/>
    <n v="153140.72742470301"/>
    <n v="551306.61872893095"/>
  </r>
  <r>
    <x v="0"/>
    <x v="0"/>
    <x v="0"/>
    <x v="7"/>
    <x v="14"/>
    <s v="NO4_A1"/>
    <x v="6"/>
    <x v="7"/>
    <s v="GNR_RES_WTR_NOPMP_MC-07"/>
    <x v="0"/>
    <x v="8"/>
    <n v="419.56363678000798"/>
    <n v="153140.72742470301"/>
    <n v="551306.61872893095"/>
  </r>
  <r>
    <x v="0"/>
    <x v="0"/>
    <x v="0"/>
    <x v="7"/>
    <x v="14"/>
    <s v="NO4_A1"/>
    <x v="6"/>
    <x v="4"/>
    <s v="GNR_ROR_WTR"/>
    <x v="0"/>
    <x v="0"/>
    <n v="366.70762376241902"/>
    <n v="133848.28267328301"/>
    <n v="481853.81762381899"/>
  </r>
  <r>
    <x v="0"/>
    <x v="0"/>
    <x v="0"/>
    <x v="7"/>
    <x v="14"/>
    <s v="NO4_A1"/>
    <x v="6"/>
    <x v="4"/>
    <s v="GNR_ROR_WTR"/>
    <x v="0"/>
    <x v="1"/>
    <n v="366.70762376241902"/>
    <n v="133848.28267328301"/>
    <n v="481853.81762381899"/>
  </r>
  <r>
    <x v="0"/>
    <x v="0"/>
    <x v="0"/>
    <x v="7"/>
    <x v="14"/>
    <s v="NO4_A1"/>
    <x v="6"/>
    <x v="4"/>
    <s v="GNR_ROR_WTR"/>
    <x v="0"/>
    <x v="18"/>
    <n v="366.70762376241902"/>
    <n v="133848.28267328301"/>
    <n v="481853.81762381899"/>
  </r>
  <r>
    <x v="0"/>
    <x v="0"/>
    <x v="0"/>
    <x v="7"/>
    <x v="14"/>
    <s v="NO4_A1"/>
    <x v="6"/>
    <x v="4"/>
    <s v="GNR_ROR_WTR"/>
    <x v="0"/>
    <x v="2"/>
    <n v="366.70762376241902"/>
    <n v="133848.28267328301"/>
    <n v="481853.81762381899"/>
  </r>
  <r>
    <x v="0"/>
    <x v="0"/>
    <x v="0"/>
    <x v="7"/>
    <x v="14"/>
    <s v="NO4_A1"/>
    <x v="6"/>
    <x v="4"/>
    <s v="GNR_ROR_WTR"/>
    <x v="0"/>
    <x v="3"/>
    <n v="366.70762376241902"/>
    <n v="133848.28267328301"/>
    <n v="481853.81762381899"/>
  </r>
  <r>
    <x v="0"/>
    <x v="0"/>
    <x v="0"/>
    <x v="7"/>
    <x v="14"/>
    <s v="NO4_A1"/>
    <x v="6"/>
    <x v="4"/>
    <s v="GNR_ROR_WTR"/>
    <x v="0"/>
    <x v="4"/>
    <n v="366.70762376241902"/>
    <n v="133848.28267328301"/>
    <n v="481853.81762381899"/>
  </r>
  <r>
    <x v="0"/>
    <x v="0"/>
    <x v="0"/>
    <x v="7"/>
    <x v="14"/>
    <s v="NO4_A1"/>
    <x v="6"/>
    <x v="4"/>
    <s v="GNR_ROR_WTR"/>
    <x v="0"/>
    <x v="5"/>
    <n v="366.70762376241902"/>
    <n v="133848.28267328301"/>
    <n v="481853.81762381899"/>
  </r>
  <r>
    <x v="0"/>
    <x v="0"/>
    <x v="0"/>
    <x v="7"/>
    <x v="14"/>
    <s v="NO4_A1"/>
    <x v="6"/>
    <x v="4"/>
    <s v="GNR_ROR_WTR"/>
    <x v="0"/>
    <x v="6"/>
    <n v="366.70762376241902"/>
    <n v="133848.28267328301"/>
    <n v="481853.81762381899"/>
  </r>
  <r>
    <x v="0"/>
    <x v="0"/>
    <x v="0"/>
    <x v="7"/>
    <x v="14"/>
    <s v="NO4_A1"/>
    <x v="6"/>
    <x v="4"/>
    <s v="GNR_ROR_WTR"/>
    <x v="0"/>
    <x v="7"/>
    <n v="366.70762376241902"/>
    <n v="133848.28267328301"/>
    <n v="481853.81762381899"/>
  </r>
  <r>
    <x v="0"/>
    <x v="0"/>
    <x v="0"/>
    <x v="7"/>
    <x v="14"/>
    <s v="NO4_A1"/>
    <x v="6"/>
    <x v="4"/>
    <s v="GNR_ROR_WTR"/>
    <x v="0"/>
    <x v="8"/>
    <n v="366.70762376241902"/>
    <n v="133848.28267328301"/>
    <n v="481853.81762381899"/>
  </r>
  <r>
    <x v="0"/>
    <x v="0"/>
    <x v="0"/>
    <x v="7"/>
    <x v="14"/>
    <s v="NO4_A1"/>
    <x v="6"/>
    <x v="4"/>
    <s v="GNR_ROR_WTR"/>
    <x v="0"/>
    <x v="9"/>
    <n v="366.70762376241902"/>
    <n v="133848.28267328301"/>
    <n v="481853.81762381899"/>
  </r>
  <r>
    <x v="0"/>
    <x v="0"/>
    <x v="0"/>
    <x v="7"/>
    <x v="14"/>
    <s v="NO4_A1"/>
    <x v="6"/>
    <x v="4"/>
    <s v="GNR_ROR_WTR"/>
    <x v="0"/>
    <x v="10"/>
    <n v="366.70762376241902"/>
    <n v="133848.28267328301"/>
    <n v="481853.81762381899"/>
  </r>
  <r>
    <x v="0"/>
    <x v="0"/>
    <x v="0"/>
    <x v="7"/>
    <x v="14"/>
    <s v="NO4_A1"/>
    <x v="6"/>
    <x v="4"/>
    <s v="GNR_ROR_WTR"/>
    <x v="0"/>
    <x v="11"/>
    <n v="366.70762376241902"/>
    <n v="133848.28267328301"/>
    <n v="481853.81762381899"/>
  </r>
  <r>
    <x v="0"/>
    <x v="0"/>
    <x v="0"/>
    <x v="7"/>
    <x v="14"/>
    <s v="NO4_A1"/>
    <x v="6"/>
    <x v="4"/>
    <s v="GNR_ROR_WTR"/>
    <x v="0"/>
    <x v="12"/>
    <n v="366.70762376241902"/>
    <n v="133848.28267328301"/>
    <n v="481853.81762381899"/>
  </r>
  <r>
    <x v="0"/>
    <x v="0"/>
    <x v="0"/>
    <x v="7"/>
    <x v="14"/>
    <s v="NO4_A1"/>
    <x v="6"/>
    <x v="4"/>
    <s v="GNR_ROR_WTR"/>
    <x v="0"/>
    <x v="13"/>
    <n v="366.70762376241902"/>
    <n v="133848.28267328301"/>
    <n v="481853.81762381899"/>
  </r>
  <r>
    <x v="0"/>
    <x v="0"/>
    <x v="0"/>
    <x v="7"/>
    <x v="14"/>
    <s v="NO4_A1"/>
    <x v="6"/>
    <x v="4"/>
    <s v="GNR_ROR_WTR"/>
    <x v="0"/>
    <x v="14"/>
    <n v="366.70762376241902"/>
    <n v="133848.28267328301"/>
    <n v="481853.81762381899"/>
  </r>
  <r>
    <x v="0"/>
    <x v="0"/>
    <x v="0"/>
    <x v="7"/>
    <x v="14"/>
    <s v="NO4_A1"/>
    <x v="6"/>
    <x v="4"/>
    <s v="GNR_ROR_WTR"/>
    <x v="0"/>
    <x v="15"/>
    <n v="366.70762376241902"/>
    <n v="133848.28267328301"/>
    <n v="481853.81762381899"/>
  </r>
  <r>
    <x v="0"/>
    <x v="0"/>
    <x v="0"/>
    <x v="7"/>
    <x v="14"/>
    <s v="NO4_A1"/>
    <x v="6"/>
    <x v="4"/>
    <s v="GNR_ROR_WTR"/>
    <x v="0"/>
    <x v="16"/>
    <n v="366.70762376241902"/>
    <n v="133848.28267328301"/>
    <n v="481853.81762381899"/>
  </r>
  <r>
    <x v="0"/>
    <x v="0"/>
    <x v="0"/>
    <x v="7"/>
    <x v="14"/>
    <s v="NO4_A1"/>
    <x v="6"/>
    <x v="4"/>
    <s v="GNR_ROR_WTR"/>
    <x v="0"/>
    <x v="17"/>
    <n v="366.70762376241902"/>
    <n v="133848.28267328301"/>
    <n v="481853.81762381899"/>
  </r>
  <r>
    <x v="0"/>
    <x v="0"/>
    <x v="0"/>
    <x v="7"/>
    <x v="14"/>
    <s v="NO4_A1"/>
    <x v="6"/>
    <x v="4"/>
    <s v="GNR_ROR_WTR"/>
    <x v="0"/>
    <x v="19"/>
    <n v="366.70762376241902"/>
    <n v="133848.28267328301"/>
    <n v="481853.81762381899"/>
  </r>
  <r>
    <x v="0"/>
    <x v="0"/>
    <x v="0"/>
    <x v="7"/>
    <x v="14"/>
    <s v="NO4_A1"/>
    <x v="6"/>
    <x v="4"/>
    <s v="GNR_ROR_WTR"/>
    <x v="0"/>
    <x v="20"/>
    <n v="366.70762376241902"/>
    <n v="133848.28267328301"/>
    <n v="481853.81762381899"/>
  </r>
  <r>
    <x v="0"/>
    <x v="0"/>
    <x v="0"/>
    <x v="7"/>
    <x v="14"/>
    <s v="NO4_A1"/>
    <x v="6"/>
    <x v="4"/>
    <s v="GNR_ROR_WTR"/>
    <x v="0"/>
    <x v="21"/>
    <n v="366.70762376241902"/>
    <n v="133848.28267328301"/>
    <n v="481853.81762381899"/>
  </r>
  <r>
    <x v="0"/>
    <x v="0"/>
    <x v="0"/>
    <x v="7"/>
    <x v="14"/>
    <s v="NO4_A1"/>
    <x v="6"/>
    <x v="4"/>
    <s v="GNR_ROR_WTR"/>
    <x v="0"/>
    <x v="22"/>
    <n v="366.70762376241902"/>
    <n v="133848.28267328301"/>
    <n v="481853.81762381899"/>
  </r>
  <r>
    <x v="0"/>
    <x v="0"/>
    <x v="0"/>
    <x v="7"/>
    <x v="14"/>
    <s v="NO4_A1"/>
    <x v="6"/>
    <x v="4"/>
    <s v="GNR_ROR_WTR"/>
    <x v="0"/>
    <x v="23"/>
    <n v="366.70762376241902"/>
    <n v="133848.28267328301"/>
    <n v="481853.81762381899"/>
  </r>
  <r>
    <x v="0"/>
    <x v="0"/>
    <x v="0"/>
    <x v="7"/>
    <x v="14"/>
    <s v="NO4_A1"/>
    <x v="7"/>
    <x v="5"/>
    <s v="GNR_WT_WIND_ONS"/>
    <x v="0"/>
    <x v="0"/>
    <n v="24.637221848266801"/>
    <n v="8992.5859746173701"/>
    <n v="32373.3095086225"/>
  </r>
  <r>
    <x v="0"/>
    <x v="0"/>
    <x v="0"/>
    <x v="7"/>
    <x v="14"/>
    <s v="NO4_A1"/>
    <x v="7"/>
    <x v="5"/>
    <s v="GNR_WT_WIND_ONS"/>
    <x v="0"/>
    <x v="1"/>
    <n v="44.268222672135103"/>
    <n v="16157.901275329299"/>
    <n v="58168.4445911855"/>
  </r>
  <r>
    <x v="0"/>
    <x v="0"/>
    <x v="0"/>
    <x v="7"/>
    <x v="14"/>
    <s v="NO4_A1"/>
    <x v="7"/>
    <x v="5"/>
    <s v="GNR_WT_WIND_ONS"/>
    <x v="0"/>
    <x v="18"/>
    <n v="47.737199532540401"/>
    <n v="17424.077829377198"/>
    <n v="62726.680185758101"/>
  </r>
  <r>
    <x v="0"/>
    <x v="0"/>
    <x v="0"/>
    <x v="7"/>
    <x v="14"/>
    <s v="NO4_A1"/>
    <x v="7"/>
    <x v="5"/>
    <s v="GNR_WT_WIND_ONS"/>
    <x v="0"/>
    <x v="2"/>
    <n v="56.439331088370103"/>
    <n v="20600.355847255101"/>
    <n v="74161.281050118399"/>
  </r>
  <r>
    <x v="0"/>
    <x v="0"/>
    <x v="0"/>
    <x v="7"/>
    <x v="14"/>
    <s v="NO4_A1"/>
    <x v="7"/>
    <x v="5"/>
    <s v="GNR_WT_WIND_ONS"/>
    <x v="0"/>
    <x v="3"/>
    <n v="54.715549196856799"/>
    <n v="19971.175456852699"/>
    <n v="71896.231644669897"/>
  </r>
  <r>
    <x v="0"/>
    <x v="0"/>
    <x v="0"/>
    <x v="7"/>
    <x v="14"/>
    <s v="NO4_A1"/>
    <x v="7"/>
    <x v="5"/>
    <s v="GNR_WT_WIND_ONS"/>
    <x v="0"/>
    <x v="4"/>
    <n v="70.370703727425095"/>
    <n v="25685.306860510202"/>
    <n v="92467.104697836505"/>
  </r>
  <r>
    <x v="0"/>
    <x v="0"/>
    <x v="0"/>
    <x v="7"/>
    <x v="14"/>
    <s v="NO4_A1"/>
    <x v="7"/>
    <x v="5"/>
    <s v="GNR_WT_WIND_ONS"/>
    <x v="0"/>
    <x v="5"/>
    <n v="84.703263416542299"/>
    <n v="30916.691147037898"/>
    <n v="111300.088129337"/>
  </r>
  <r>
    <x v="0"/>
    <x v="0"/>
    <x v="0"/>
    <x v="7"/>
    <x v="14"/>
    <s v="NO4_A1"/>
    <x v="7"/>
    <x v="5"/>
    <s v="GNR_WT_WIND_ONS"/>
    <x v="0"/>
    <x v="6"/>
    <n v="107.62409051559899"/>
    <n v="39282.793038193697"/>
    <n v="141418.05493749701"/>
  </r>
  <r>
    <x v="0"/>
    <x v="0"/>
    <x v="0"/>
    <x v="7"/>
    <x v="14"/>
    <s v="NO4_A1"/>
    <x v="7"/>
    <x v="5"/>
    <s v="GNR_WT_WIND_ONS"/>
    <x v="0"/>
    <x v="7"/>
    <n v="102.941038439049"/>
    <n v="37573.479030252798"/>
    <n v="135264.52450890999"/>
  </r>
  <r>
    <x v="0"/>
    <x v="0"/>
    <x v="0"/>
    <x v="7"/>
    <x v="14"/>
    <s v="NO4_A1"/>
    <x v="7"/>
    <x v="5"/>
    <s v="GNR_WT_WIND_ONS"/>
    <x v="0"/>
    <x v="8"/>
    <n v="106.985259911851"/>
    <n v="39049.619867825597"/>
    <n v="140578.631524172"/>
  </r>
  <r>
    <x v="0"/>
    <x v="0"/>
    <x v="0"/>
    <x v="7"/>
    <x v="14"/>
    <s v="NO4_A1"/>
    <x v="7"/>
    <x v="5"/>
    <s v="GNR_WT_WIND_ONS"/>
    <x v="0"/>
    <x v="9"/>
    <n v="108.40611305461999"/>
    <n v="39568.231264936199"/>
    <n v="142445.63255377"/>
  </r>
  <r>
    <x v="0"/>
    <x v="0"/>
    <x v="0"/>
    <x v="7"/>
    <x v="14"/>
    <s v="NO4_A1"/>
    <x v="7"/>
    <x v="5"/>
    <s v="GNR_WT_WIND_ONS"/>
    <x v="0"/>
    <x v="10"/>
    <n v="99.411533765130798"/>
    <n v="36285.209824272803"/>
    <n v="130626.75536738199"/>
  </r>
  <r>
    <x v="0"/>
    <x v="0"/>
    <x v="0"/>
    <x v="7"/>
    <x v="14"/>
    <s v="NO4_A1"/>
    <x v="7"/>
    <x v="5"/>
    <s v="GNR_WT_WIND_ONS"/>
    <x v="0"/>
    <x v="11"/>
    <n v="98.957270901337296"/>
    <n v="36119.403878988101"/>
    <n v="130029.853964357"/>
  </r>
  <r>
    <x v="0"/>
    <x v="0"/>
    <x v="0"/>
    <x v="7"/>
    <x v="14"/>
    <s v="NO4_A1"/>
    <x v="7"/>
    <x v="5"/>
    <s v="GNR_WT_WIND_ONS"/>
    <x v="0"/>
    <x v="12"/>
    <n v="107.449364159128"/>
    <n v="39219.017918081801"/>
    <n v="141188.46450509501"/>
  </r>
  <r>
    <x v="0"/>
    <x v="0"/>
    <x v="0"/>
    <x v="7"/>
    <x v="14"/>
    <s v="NO4_A1"/>
    <x v="7"/>
    <x v="5"/>
    <s v="GNR_WT_WIND_ONS"/>
    <x v="0"/>
    <x v="13"/>
    <n v="123.028530844287"/>
    <n v="44905.413758164701"/>
    <n v="161659.489529393"/>
  </r>
  <r>
    <x v="0"/>
    <x v="0"/>
    <x v="0"/>
    <x v="7"/>
    <x v="14"/>
    <s v="NO4_A1"/>
    <x v="7"/>
    <x v="5"/>
    <s v="GNR_WT_WIND_ONS"/>
    <x v="0"/>
    <x v="14"/>
    <n v="126.733067109209"/>
    <n v="46257.5694948612"/>
    <n v="166527.25018150001"/>
  </r>
  <r>
    <x v="0"/>
    <x v="0"/>
    <x v="0"/>
    <x v="7"/>
    <x v="14"/>
    <s v="NO4_A1"/>
    <x v="7"/>
    <x v="5"/>
    <s v="GNR_WT_WIND_ONS"/>
    <x v="0"/>
    <x v="15"/>
    <n v="124.907200791783"/>
    <n v="45591.128289000902"/>
    <n v="164128.06184040301"/>
  </r>
  <r>
    <x v="0"/>
    <x v="0"/>
    <x v="0"/>
    <x v="7"/>
    <x v="14"/>
    <s v="NO4_A1"/>
    <x v="7"/>
    <x v="5"/>
    <s v="GNR_WT_WIND_ONS"/>
    <x v="0"/>
    <x v="16"/>
    <n v="110.23236042917"/>
    <n v="40234.811556646899"/>
    <n v="144845.32160392901"/>
  </r>
  <r>
    <x v="0"/>
    <x v="0"/>
    <x v="0"/>
    <x v="7"/>
    <x v="14"/>
    <s v="NO4_A1"/>
    <x v="7"/>
    <x v="5"/>
    <s v="GNR_WT_WIND_ONS"/>
    <x v="0"/>
    <x v="17"/>
    <n v="123.69390324323901"/>
    <n v="45148.274683782103"/>
    <n v="162533.78886161599"/>
  </r>
  <r>
    <x v="0"/>
    <x v="0"/>
    <x v="0"/>
    <x v="7"/>
    <x v="14"/>
    <s v="NO4_A1"/>
    <x v="7"/>
    <x v="5"/>
    <s v="GNR_WT_WIND_ONS"/>
    <x v="0"/>
    <x v="19"/>
    <n v="114.526154876649"/>
    <n v="41802.046529976797"/>
    <n v="150487.367507916"/>
  </r>
  <r>
    <x v="0"/>
    <x v="0"/>
    <x v="0"/>
    <x v="7"/>
    <x v="14"/>
    <s v="NO4_A1"/>
    <x v="7"/>
    <x v="5"/>
    <s v="GNR_WT_WIND_ONS"/>
    <x v="0"/>
    <x v="20"/>
    <n v="92.225904578588299"/>
    <n v="33662.455171184702"/>
    <n v="121184.838616265"/>
  </r>
  <r>
    <x v="0"/>
    <x v="0"/>
    <x v="0"/>
    <x v="7"/>
    <x v="14"/>
    <s v="NO4_A1"/>
    <x v="7"/>
    <x v="5"/>
    <s v="GNR_WT_WIND_ONS"/>
    <x v="0"/>
    <x v="21"/>
    <n v="71.814103398100301"/>
    <n v="26212.147740306598"/>
    <n v="94363.731865103706"/>
  </r>
  <r>
    <x v="0"/>
    <x v="0"/>
    <x v="0"/>
    <x v="7"/>
    <x v="14"/>
    <s v="NO4_A1"/>
    <x v="7"/>
    <x v="5"/>
    <s v="GNR_WT_WIND_ONS"/>
    <x v="0"/>
    <x v="22"/>
    <n v="130.615041846358"/>
    <n v="47674.490273920797"/>
    <n v="171628.16498611501"/>
  </r>
  <r>
    <x v="0"/>
    <x v="0"/>
    <x v="0"/>
    <x v="7"/>
    <x v="14"/>
    <s v="NO4_A1"/>
    <x v="7"/>
    <x v="5"/>
    <s v="GNR_WT_WIND_ONS"/>
    <x v="0"/>
    <x v="23"/>
    <n v="113.977570653765"/>
    <n v="41601.8132886241"/>
    <n v="149766.52783904699"/>
  </r>
  <r>
    <x v="0"/>
    <x v="0"/>
    <x v="0"/>
    <x v="7"/>
    <x v="15"/>
    <s v="NO5_A1"/>
    <x v="2"/>
    <x v="2"/>
    <s v="GBPR_MUNIWASTE"/>
    <x v="0"/>
    <x v="0"/>
    <n v="8"/>
    <n v="2920"/>
    <n v="10512"/>
  </r>
  <r>
    <x v="0"/>
    <x v="0"/>
    <x v="0"/>
    <x v="7"/>
    <x v="15"/>
    <s v="NO5_A1"/>
    <x v="2"/>
    <x v="2"/>
    <s v="GBPR_MUNIWASTE"/>
    <x v="0"/>
    <x v="1"/>
    <n v="8"/>
    <n v="2920"/>
    <n v="10512"/>
  </r>
  <r>
    <x v="0"/>
    <x v="0"/>
    <x v="0"/>
    <x v="7"/>
    <x v="15"/>
    <s v="NO5_A1"/>
    <x v="2"/>
    <x v="2"/>
    <s v="GBPR_MUNIWASTE"/>
    <x v="0"/>
    <x v="18"/>
    <n v="8"/>
    <n v="2920"/>
    <n v="10512"/>
  </r>
  <r>
    <x v="0"/>
    <x v="0"/>
    <x v="0"/>
    <x v="7"/>
    <x v="15"/>
    <s v="NO5_A1"/>
    <x v="2"/>
    <x v="2"/>
    <s v="GBPR_MUNIWASTE"/>
    <x v="0"/>
    <x v="2"/>
    <n v="8"/>
    <n v="2920"/>
    <n v="10512"/>
  </r>
  <r>
    <x v="0"/>
    <x v="0"/>
    <x v="0"/>
    <x v="7"/>
    <x v="15"/>
    <s v="NO5_A1"/>
    <x v="2"/>
    <x v="2"/>
    <s v="GBPR_MUNIWASTE"/>
    <x v="0"/>
    <x v="3"/>
    <n v="8"/>
    <n v="2920"/>
    <n v="10512"/>
  </r>
  <r>
    <x v="0"/>
    <x v="0"/>
    <x v="0"/>
    <x v="7"/>
    <x v="15"/>
    <s v="NO5_A1"/>
    <x v="2"/>
    <x v="2"/>
    <s v="GBPR_MUNIWASTE"/>
    <x v="0"/>
    <x v="4"/>
    <n v="8"/>
    <n v="2920"/>
    <n v="10512"/>
  </r>
  <r>
    <x v="0"/>
    <x v="0"/>
    <x v="0"/>
    <x v="7"/>
    <x v="15"/>
    <s v="NO5_A1"/>
    <x v="2"/>
    <x v="2"/>
    <s v="GBPR_MUNIWASTE"/>
    <x v="0"/>
    <x v="5"/>
    <n v="8"/>
    <n v="2920"/>
    <n v="10512"/>
  </r>
  <r>
    <x v="0"/>
    <x v="0"/>
    <x v="0"/>
    <x v="7"/>
    <x v="15"/>
    <s v="NO5_A1"/>
    <x v="2"/>
    <x v="2"/>
    <s v="GBPR_MUNIWASTE"/>
    <x v="0"/>
    <x v="6"/>
    <n v="8"/>
    <n v="2920"/>
    <n v="10512"/>
  </r>
  <r>
    <x v="0"/>
    <x v="0"/>
    <x v="0"/>
    <x v="7"/>
    <x v="15"/>
    <s v="NO5_A1"/>
    <x v="2"/>
    <x v="2"/>
    <s v="GBPR_MUNIWASTE"/>
    <x v="0"/>
    <x v="7"/>
    <n v="8"/>
    <n v="2920"/>
    <n v="10512"/>
  </r>
  <r>
    <x v="0"/>
    <x v="0"/>
    <x v="0"/>
    <x v="7"/>
    <x v="15"/>
    <s v="NO5_A1"/>
    <x v="2"/>
    <x v="2"/>
    <s v="GBPR_MUNIWASTE"/>
    <x v="0"/>
    <x v="8"/>
    <n v="8"/>
    <n v="2920"/>
    <n v="10512"/>
  </r>
  <r>
    <x v="0"/>
    <x v="0"/>
    <x v="0"/>
    <x v="7"/>
    <x v="15"/>
    <s v="NO5_A1"/>
    <x v="2"/>
    <x v="2"/>
    <s v="GBPR_MUNIWASTE"/>
    <x v="0"/>
    <x v="9"/>
    <n v="8"/>
    <n v="2920"/>
    <n v="10512"/>
  </r>
  <r>
    <x v="0"/>
    <x v="0"/>
    <x v="0"/>
    <x v="7"/>
    <x v="15"/>
    <s v="NO5_A1"/>
    <x v="2"/>
    <x v="2"/>
    <s v="GBPR_MUNIWASTE"/>
    <x v="0"/>
    <x v="10"/>
    <n v="8"/>
    <n v="2920"/>
    <n v="10512"/>
  </r>
  <r>
    <x v="0"/>
    <x v="0"/>
    <x v="0"/>
    <x v="7"/>
    <x v="15"/>
    <s v="NO5_A1"/>
    <x v="2"/>
    <x v="2"/>
    <s v="GBPR_MUNIWASTE"/>
    <x v="0"/>
    <x v="11"/>
    <n v="8"/>
    <n v="2920"/>
    <n v="10512"/>
  </r>
  <r>
    <x v="0"/>
    <x v="0"/>
    <x v="0"/>
    <x v="7"/>
    <x v="15"/>
    <s v="NO5_A1"/>
    <x v="2"/>
    <x v="2"/>
    <s v="GBPR_MUNIWASTE"/>
    <x v="0"/>
    <x v="12"/>
    <n v="8"/>
    <n v="2920"/>
    <n v="10512"/>
  </r>
  <r>
    <x v="0"/>
    <x v="0"/>
    <x v="0"/>
    <x v="7"/>
    <x v="15"/>
    <s v="NO5_A1"/>
    <x v="2"/>
    <x v="2"/>
    <s v="GBPR_MUNIWASTE"/>
    <x v="0"/>
    <x v="13"/>
    <n v="8"/>
    <n v="2920"/>
    <n v="10512"/>
  </r>
  <r>
    <x v="0"/>
    <x v="0"/>
    <x v="0"/>
    <x v="7"/>
    <x v="15"/>
    <s v="NO5_A1"/>
    <x v="2"/>
    <x v="2"/>
    <s v="GBPR_MUNIWASTE"/>
    <x v="0"/>
    <x v="14"/>
    <n v="8"/>
    <n v="2920"/>
    <n v="10512"/>
  </r>
  <r>
    <x v="0"/>
    <x v="0"/>
    <x v="0"/>
    <x v="7"/>
    <x v="15"/>
    <s v="NO5_A1"/>
    <x v="2"/>
    <x v="2"/>
    <s v="GBPR_MUNIWASTE"/>
    <x v="0"/>
    <x v="15"/>
    <n v="8"/>
    <n v="2920"/>
    <n v="10512"/>
  </r>
  <r>
    <x v="0"/>
    <x v="0"/>
    <x v="0"/>
    <x v="7"/>
    <x v="15"/>
    <s v="NO5_A1"/>
    <x v="2"/>
    <x v="2"/>
    <s v="GBPR_MUNIWASTE"/>
    <x v="0"/>
    <x v="16"/>
    <n v="8"/>
    <n v="2920"/>
    <n v="10512"/>
  </r>
  <r>
    <x v="0"/>
    <x v="0"/>
    <x v="0"/>
    <x v="7"/>
    <x v="15"/>
    <s v="NO5_A1"/>
    <x v="2"/>
    <x v="2"/>
    <s v="GBPR_MUNIWASTE"/>
    <x v="0"/>
    <x v="17"/>
    <n v="8"/>
    <n v="2920"/>
    <n v="10512"/>
  </r>
  <r>
    <x v="0"/>
    <x v="0"/>
    <x v="0"/>
    <x v="7"/>
    <x v="15"/>
    <s v="NO5_A1"/>
    <x v="2"/>
    <x v="2"/>
    <s v="GBPR_MUNIWASTE"/>
    <x v="0"/>
    <x v="19"/>
    <n v="8"/>
    <n v="2920"/>
    <n v="10512"/>
  </r>
  <r>
    <x v="0"/>
    <x v="0"/>
    <x v="0"/>
    <x v="7"/>
    <x v="15"/>
    <s v="NO5_A1"/>
    <x v="2"/>
    <x v="2"/>
    <s v="GBPR_MUNIWASTE"/>
    <x v="0"/>
    <x v="20"/>
    <n v="8"/>
    <n v="2920"/>
    <n v="10512"/>
  </r>
  <r>
    <x v="0"/>
    <x v="0"/>
    <x v="0"/>
    <x v="7"/>
    <x v="15"/>
    <s v="NO5_A1"/>
    <x v="2"/>
    <x v="2"/>
    <s v="GBPR_MUNIWASTE"/>
    <x v="0"/>
    <x v="21"/>
    <n v="8"/>
    <n v="2920"/>
    <n v="10512"/>
  </r>
  <r>
    <x v="0"/>
    <x v="0"/>
    <x v="0"/>
    <x v="7"/>
    <x v="15"/>
    <s v="NO5_A1"/>
    <x v="2"/>
    <x v="2"/>
    <s v="GBPR_MUNIWASTE"/>
    <x v="0"/>
    <x v="22"/>
    <n v="8"/>
    <n v="2920"/>
    <n v="10512"/>
  </r>
  <r>
    <x v="0"/>
    <x v="0"/>
    <x v="0"/>
    <x v="7"/>
    <x v="15"/>
    <s v="NO5_A1"/>
    <x v="2"/>
    <x v="2"/>
    <s v="GBPR_MUNIWASTE"/>
    <x v="0"/>
    <x v="23"/>
    <n v="8"/>
    <n v="2920"/>
    <n v="10512"/>
  </r>
  <r>
    <x v="0"/>
    <x v="0"/>
    <x v="0"/>
    <x v="7"/>
    <x v="15"/>
    <s v="NO5_A1"/>
    <x v="6"/>
    <x v="7"/>
    <s v="GNR_RES_WTR_NOPMP_MC-01"/>
    <x v="0"/>
    <x v="0"/>
    <n v="154.193241885916"/>
    <n v="56280.5332883593"/>
    <n v="202609.91983809401"/>
  </r>
  <r>
    <x v="0"/>
    <x v="0"/>
    <x v="0"/>
    <x v="7"/>
    <x v="15"/>
    <s v="NO5_A1"/>
    <x v="6"/>
    <x v="7"/>
    <s v="GNR_RES_WTR_NOPMP_MC-01"/>
    <x v="0"/>
    <x v="1"/>
    <n v="154.193241885916"/>
    <n v="56280.5332883593"/>
    <n v="202609.91983809401"/>
  </r>
  <r>
    <x v="0"/>
    <x v="0"/>
    <x v="0"/>
    <x v="7"/>
    <x v="15"/>
    <s v="NO5_A1"/>
    <x v="6"/>
    <x v="7"/>
    <s v="GNR_RES_WTR_NOPMP_MC-01"/>
    <x v="0"/>
    <x v="18"/>
    <n v="154.193241885916"/>
    <n v="56280.5332883593"/>
    <n v="202609.91983809401"/>
  </r>
  <r>
    <x v="0"/>
    <x v="0"/>
    <x v="0"/>
    <x v="7"/>
    <x v="15"/>
    <s v="NO5_A1"/>
    <x v="6"/>
    <x v="7"/>
    <s v="GNR_RES_WTR_NOPMP_MC-01"/>
    <x v="0"/>
    <x v="2"/>
    <n v="154.193241885916"/>
    <n v="56280.5332883593"/>
    <n v="202609.91983809401"/>
  </r>
  <r>
    <x v="0"/>
    <x v="0"/>
    <x v="0"/>
    <x v="7"/>
    <x v="15"/>
    <s v="NO5_A1"/>
    <x v="6"/>
    <x v="7"/>
    <s v="GNR_RES_WTR_NOPMP_MC-01"/>
    <x v="0"/>
    <x v="3"/>
    <n v="154.193241885916"/>
    <n v="56280.5332883593"/>
    <n v="202609.91983809401"/>
  </r>
  <r>
    <x v="0"/>
    <x v="0"/>
    <x v="0"/>
    <x v="7"/>
    <x v="15"/>
    <s v="NO5_A1"/>
    <x v="6"/>
    <x v="7"/>
    <s v="GNR_RES_WTR_NOPMP_MC-01"/>
    <x v="0"/>
    <x v="4"/>
    <n v="154.193241885916"/>
    <n v="56280.5332883593"/>
    <n v="202609.91983809401"/>
  </r>
  <r>
    <x v="0"/>
    <x v="0"/>
    <x v="0"/>
    <x v="7"/>
    <x v="15"/>
    <s v="NO5_A1"/>
    <x v="6"/>
    <x v="7"/>
    <s v="GNR_RES_WTR_NOPMP_MC-01"/>
    <x v="0"/>
    <x v="5"/>
    <n v="154.193241885916"/>
    <n v="56280.5332883593"/>
    <n v="202609.91983809401"/>
  </r>
  <r>
    <x v="0"/>
    <x v="0"/>
    <x v="0"/>
    <x v="7"/>
    <x v="15"/>
    <s v="NO5_A1"/>
    <x v="6"/>
    <x v="7"/>
    <s v="GNR_RES_WTR_NOPMP_MC-01"/>
    <x v="0"/>
    <x v="6"/>
    <n v="154.193241885916"/>
    <n v="56280.5332883593"/>
    <n v="202609.91983809401"/>
  </r>
  <r>
    <x v="0"/>
    <x v="0"/>
    <x v="0"/>
    <x v="7"/>
    <x v="15"/>
    <s v="NO5_A1"/>
    <x v="6"/>
    <x v="7"/>
    <s v="GNR_RES_WTR_NOPMP_MC-01"/>
    <x v="0"/>
    <x v="7"/>
    <n v="154.193241885916"/>
    <n v="56280.5332883593"/>
    <n v="202609.91983809401"/>
  </r>
  <r>
    <x v="0"/>
    <x v="0"/>
    <x v="0"/>
    <x v="7"/>
    <x v="15"/>
    <s v="NO5_A1"/>
    <x v="6"/>
    <x v="7"/>
    <s v="GNR_RES_WTR_NOPMP_MC-01"/>
    <x v="0"/>
    <x v="8"/>
    <n v="154.193241885916"/>
    <n v="56280.5332883593"/>
    <n v="202609.91983809401"/>
  </r>
  <r>
    <x v="0"/>
    <x v="0"/>
    <x v="0"/>
    <x v="7"/>
    <x v="15"/>
    <s v="NO5_A1"/>
    <x v="6"/>
    <x v="7"/>
    <s v="GNR_RES_WTR_NOPMP_MC-01"/>
    <x v="0"/>
    <x v="9"/>
    <n v="154.193241885916"/>
    <n v="56280.5332883593"/>
    <n v="202609.91983809401"/>
  </r>
  <r>
    <x v="0"/>
    <x v="0"/>
    <x v="0"/>
    <x v="7"/>
    <x v="15"/>
    <s v="NO5_A1"/>
    <x v="6"/>
    <x v="7"/>
    <s v="GNR_RES_WTR_NOPMP_MC-01"/>
    <x v="0"/>
    <x v="10"/>
    <n v="154.193241885916"/>
    <n v="56280.5332883593"/>
    <n v="202609.91983809401"/>
  </r>
  <r>
    <x v="0"/>
    <x v="0"/>
    <x v="0"/>
    <x v="7"/>
    <x v="15"/>
    <s v="NO5_A1"/>
    <x v="6"/>
    <x v="7"/>
    <s v="GNR_RES_WTR_NOPMP_MC-01"/>
    <x v="0"/>
    <x v="11"/>
    <n v="154.193241885916"/>
    <n v="56280.5332883593"/>
    <n v="202609.91983809401"/>
  </r>
  <r>
    <x v="0"/>
    <x v="0"/>
    <x v="0"/>
    <x v="7"/>
    <x v="15"/>
    <s v="NO5_A1"/>
    <x v="6"/>
    <x v="7"/>
    <s v="GNR_RES_WTR_NOPMP_MC-01"/>
    <x v="0"/>
    <x v="12"/>
    <n v="154.193241885916"/>
    <n v="56280.5332883593"/>
    <n v="202609.91983809401"/>
  </r>
  <r>
    <x v="0"/>
    <x v="0"/>
    <x v="0"/>
    <x v="7"/>
    <x v="15"/>
    <s v="NO5_A1"/>
    <x v="6"/>
    <x v="7"/>
    <s v="GNR_RES_WTR_NOPMP_MC-01"/>
    <x v="0"/>
    <x v="13"/>
    <n v="154.193241885916"/>
    <n v="56280.5332883593"/>
    <n v="202609.91983809401"/>
  </r>
  <r>
    <x v="0"/>
    <x v="0"/>
    <x v="0"/>
    <x v="7"/>
    <x v="15"/>
    <s v="NO5_A1"/>
    <x v="6"/>
    <x v="7"/>
    <s v="GNR_RES_WTR_NOPMP_MC-01"/>
    <x v="0"/>
    <x v="14"/>
    <n v="154.193241885916"/>
    <n v="56280.5332883593"/>
    <n v="202609.91983809401"/>
  </r>
  <r>
    <x v="0"/>
    <x v="0"/>
    <x v="0"/>
    <x v="7"/>
    <x v="15"/>
    <s v="NO5_A1"/>
    <x v="6"/>
    <x v="7"/>
    <s v="GNR_RES_WTR_NOPMP_MC-01"/>
    <x v="0"/>
    <x v="15"/>
    <n v="154.193241885916"/>
    <n v="56280.5332883593"/>
    <n v="202609.91983809401"/>
  </r>
  <r>
    <x v="0"/>
    <x v="0"/>
    <x v="0"/>
    <x v="7"/>
    <x v="15"/>
    <s v="NO5_A1"/>
    <x v="6"/>
    <x v="7"/>
    <s v="GNR_RES_WTR_NOPMP_MC-01"/>
    <x v="0"/>
    <x v="16"/>
    <n v="154.193241885916"/>
    <n v="56280.5332883593"/>
    <n v="202609.91983809401"/>
  </r>
  <r>
    <x v="0"/>
    <x v="0"/>
    <x v="0"/>
    <x v="7"/>
    <x v="15"/>
    <s v="NO5_A1"/>
    <x v="6"/>
    <x v="7"/>
    <s v="GNR_RES_WTR_NOPMP_MC-01"/>
    <x v="0"/>
    <x v="17"/>
    <n v="154.193241885916"/>
    <n v="56280.5332883593"/>
    <n v="202609.91983809401"/>
  </r>
  <r>
    <x v="0"/>
    <x v="0"/>
    <x v="0"/>
    <x v="7"/>
    <x v="15"/>
    <s v="NO5_A1"/>
    <x v="6"/>
    <x v="7"/>
    <s v="GNR_RES_WTR_NOPMP_MC-01"/>
    <x v="0"/>
    <x v="19"/>
    <n v="154.193241885916"/>
    <n v="56280.5332883593"/>
    <n v="202609.91983809401"/>
  </r>
  <r>
    <x v="0"/>
    <x v="0"/>
    <x v="0"/>
    <x v="7"/>
    <x v="15"/>
    <s v="NO5_A1"/>
    <x v="6"/>
    <x v="7"/>
    <s v="GNR_RES_WTR_NOPMP_MC-01"/>
    <x v="0"/>
    <x v="20"/>
    <n v="154.193241885916"/>
    <n v="56280.5332883593"/>
    <n v="202609.91983809401"/>
  </r>
  <r>
    <x v="0"/>
    <x v="0"/>
    <x v="0"/>
    <x v="7"/>
    <x v="15"/>
    <s v="NO5_A1"/>
    <x v="6"/>
    <x v="7"/>
    <s v="GNR_RES_WTR_NOPMP_MC-01"/>
    <x v="0"/>
    <x v="21"/>
    <n v="154.193241885916"/>
    <n v="56280.5332883593"/>
    <n v="202609.91983809401"/>
  </r>
  <r>
    <x v="0"/>
    <x v="0"/>
    <x v="0"/>
    <x v="7"/>
    <x v="15"/>
    <s v="NO5_A1"/>
    <x v="6"/>
    <x v="7"/>
    <s v="GNR_RES_WTR_NOPMP_MC-01"/>
    <x v="0"/>
    <x v="22"/>
    <n v="154.193241885916"/>
    <n v="56280.5332883593"/>
    <n v="202609.91983809401"/>
  </r>
  <r>
    <x v="0"/>
    <x v="0"/>
    <x v="0"/>
    <x v="7"/>
    <x v="15"/>
    <s v="NO5_A1"/>
    <x v="6"/>
    <x v="7"/>
    <s v="GNR_RES_WTR_NOPMP_MC-01"/>
    <x v="0"/>
    <x v="23"/>
    <n v="154.193241885916"/>
    <n v="56280.5332883593"/>
    <n v="202609.91983809401"/>
  </r>
  <r>
    <x v="0"/>
    <x v="0"/>
    <x v="0"/>
    <x v="7"/>
    <x v="15"/>
    <s v="NO5_A1"/>
    <x v="6"/>
    <x v="7"/>
    <s v="GNR_RES_WTR_NOPMP_MC-02"/>
    <x v="0"/>
    <x v="0"/>
    <n v="598.193241885916"/>
    <n v="218340.533288359"/>
    <n v="786025.91983809404"/>
  </r>
  <r>
    <x v="0"/>
    <x v="0"/>
    <x v="0"/>
    <x v="7"/>
    <x v="15"/>
    <s v="NO5_A1"/>
    <x v="6"/>
    <x v="7"/>
    <s v="GNR_RES_WTR_NOPMP_MC-02"/>
    <x v="0"/>
    <x v="1"/>
    <n v="598.193241885916"/>
    <n v="218340.533288359"/>
    <n v="786025.91983809404"/>
  </r>
  <r>
    <x v="0"/>
    <x v="0"/>
    <x v="0"/>
    <x v="7"/>
    <x v="15"/>
    <s v="NO5_A1"/>
    <x v="6"/>
    <x v="7"/>
    <s v="GNR_RES_WTR_NOPMP_MC-02"/>
    <x v="0"/>
    <x v="18"/>
    <n v="598.193241885916"/>
    <n v="218340.533288359"/>
    <n v="786025.91983809404"/>
  </r>
  <r>
    <x v="0"/>
    <x v="0"/>
    <x v="0"/>
    <x v="7"/>
    <x v="15"/>
    <s v="NO5_A1"/>
    <x v="6"/>
    <x v="7"/>
    <s v="GNR_RES_WTR_NOPMP_MC-02"/>
    <x v="0"/>
    <x v="2"/>
    <n v="598.193241885916"/>
    <n v="218340.533288359"/>
    <n v="786025.91983809404"/>
  </r>
  <r>
    <x v="0"/>
    <x v="0"/>
    <x v="0"/>
    <x v="7"/>
    <x v="15"/>
    <s v="NO5_A1"/>
    <x v="6"/>
    <x v="7"/>
    <s v="GNR_RES_WTR_NOPMP_MC-02"/>
    <x v="0"/>
    <x v="3"/>
    <n v="598.193241885916"/>
    <n v="218340.533288359"/>
    <n v="786025.91983809404"/>
  </r>
  <r>
    <x v="0"/>
    <x v="0"/>
    <x v="0"/>
    <x v="7"/>
    <x v="15"/>
    <s v="NO5_A1"/>
    <x v="6"/>
    <x v="7"/>
    <s v="GNR_RES_WTR_NOPMP_MC-02"/>
    <x v="0"/>
    <x v="4"/>
    <n v="598.193241885916"/>
    <n v="218340.533288359"/>
    <n v="786025.91983809404"/>
  </r>
  <r>
    <x v="0"/>
    <x v="0"/>
    <x v="0"/>
    <x v="7"/>
    <x v="15"/>
    <s v="NO5_A1"/>
    <x v="6"/>
    <x v="7"/>
    <s v="GNR_RES_WTR_NOPMP_MC-02"/>
    <x v="0"/>
    <x v="5"/>
    <n v="598.193241885916"/>
    <n v="218340.533288359"/>
    <n v="786025.91983809404"/>
  </r>
  <r>
    <x v="0"/>
    <x v="0"/>
    <x v="0"/>
    <x v="7"/>
    <x v="15"/>
    <s v="NO5_A1"/>
    <x v="6"/>
    <x v="7"/>
    <s v="GNR_RES_WTR_NOPMP_MC-02"/>
    <x v="0"/>
    <x v="6"/>
    <n v="598.193241885916"/>
    <n v="218340.533288359"/>
    <n v="786025.91983809404"/>
  </r>
  <r>
    <x v="0"/>
    <x v="0"/>
    <x v="0"/>
    <x v="7"/>
    <x v="15"/>
    <s v="NO5_A1"/>
    <x v="6"/>
    <x v="7"/>
    <s v="GNR_RES_WTR_NOPMP_MC-02"/>
    <x v="0"/>
    <x v="7"/>
    <n v="598.193241885916"/>
    <n v="218340.533288359"/>
    <n v="786025.91983809404"/>
  </r>
  <r>
    <x v="0"/>
    <x v="0"/>
    <x v="0"/>
    <x v="7"/>
    <x v="15"/>
    <s v="NO5_A1"/>
    <x v="6"/>
    <x v="7"/>
    <s v="GNR_RES_WTR_NOPMP_MC-02"/>
    <x v="0"/>
    <x v="8"/>
    <n v="598.193241885916"/>
    <n v="218340.533288359"/>
    <n v="786025.91983809404"/>
  </r>
  <r>
    <x v="0"/>
    <x v="0"/>
    <x v="0"/>
    <x v="7"/>
    <x v="15"/>
    <s v="NO5_A1"/>
    <x v="6"/>
    <x v="7"/>
    <s v="GNR_RES_WTR_NOPMP_MC-02"/>
    <x v="0"/>
    <x v="9"/>
    <n v="598.193241885916"/>
    <n v="218340.533288359"/>
    <n v="786025.91983809404"/>
  </r>
  <r>
    <x v="0"/>
    <x v="0"/>
    <x v="0"/>
    <x v="7"/>
    <x v="15"/>
    <s v="NO5_A1"/>
    <x v="6"/>
    <x v="7"/>
    <s v="GNR_RES_WTR_NOPMP_MC-02"/>
    <x v="0"/>
    <x v="10"/>
    <n v="598.193241885916"/>
    <n v="218340.533288359"/>
    <n v="786025.91983809404"/>
  </r>
  <r>
    <x v="0"/>
    <x v="0"/>
    <x v="0"/>
    <x v="7"/>
    <x v="15"/>
    <s v="NO5_A1"/>
    <x v="6"/>
    <x v="7"/>
    <s v="GNR_RES_WTR_NOPMP_MC-02"/>
    <x v="0"/>
    <x v="11"/>
    <n v="598.193241885916"/>
    <n v="218340.533288359"/>
    <n v="786025.91983809404"/>
  </r>
  <r>
    <x v="0"/>
    <x v="0"/>
    <x v="0"/>
    <x v="7"/>
    <x v="15"/>
    <s v="NO5_A1"/>
    <x v="6"/>
    <x v="7"/>
    <s v="GNR_RES_WTR_NOPMP_MC-02"/>
    <x v="0"/>
    <x v="12"/>
    <n v="598.193241885916"/>
    <n v="218340.533288359"/>
    <n v="786025.91983809404"/>
  </r>
  <r>
    <x v="0"/>
    <x v="0"/>
    <x v="0"/>
    <x v="7"/>
    <x v="15"/>
    <s v="NO5_A1"/>
    <x v="6"/>
    <x v="7"/>
    <s v="GNR_RES_WTR_NOPMP_MC-02"/>
    <x v="0"/>
    <x v="13"/>
    <n v="598.193241885916"/>
    <n v="218340.533288359"/>
    <n v="786025.91983809404"/>
  </r>
  <r>
    <x v="0"/>
    <x v="0"/>
    <x v="0"/>
    <x v="7"/>
    <x v="15"/>
    <s v="NO5_A1"/>
    <x v="6"/>
    <x v="7"/>
    <s v="GNR_RES_WTR_NOPMP_MC-02"/>
    <x v="0"/>
    <x v="14"/>
    <n v="598.193241885916"/>
    <n v="218340.533288359"/>
    <n v="786025.91983809404"/>
  </r>
  <r>
    <x v="0"/>
    <x v="0"/>
    <x v="0"/>
    <x v="7"/>
    <x v="15"/>
    <s v="NO5_A1"/>
    <x v="6"/>
    <x v="7"/>
    <s v="GNR_RES_WTR_NOPMP_MC-02"/>
    <x v="0"/>
    <x v="15"/>
    <n v="598.193241885916"/>
    <n v="218340.533288359"/>
    <n v="786025.91983809404"/>
  </r>
  <r>
    <x v="0"/>
    <x v="0"/>
    <x v="0"/>
    <x v="7"/>
    <x v="15"/>
    <s v="NO5_A1"/>
    <x v="6"/>
    <x v="7"/>
    <s v="GNR_RES_WTR_NOPMP_MC-02"/>
    <x v="0"/>
    <x v="16"/>
    <n v="598.193241885916"/>
    <n v="218340.533288359"/>
    <n v="786025.91983809404"/>
  </r>
  <r>
    <x v="0"/>
    <x v="0"/>
    <x v="0"/>
    <x v="7"/>
    <x v="15"/>
    <s v="NO5_A1"/>
    <x v="6"/>
    <x v="7"/>
    <s v="GNR_RES_WTR_NOPMP_MC-02"/>
    <x v="0"/>
    <x v="17"/>
    <n v="598.193241885916"/>
    <n v="218340.533288359"/>
    <n v="786025.91983809404"/>
  </r>
  <r>
    <x v="0"/>
    <x v="0"/>
    <x v="0"/>
    <x v="7"/>
    <x v="15"/>
    <s v="NO5_A1"/>
    <x v="6"/>
    <x v="7"/>
    <s v="GNR_RES_WTR_NOPMP_MC-02"/>
    <x v="0"/>
    <x v="19"/>
    <n v="598.193241885916"/>
    <n v="218340.533288359"/>
    <n v="786025.91983809404"/>
  </r>
  <r>
    <x v="0"/>
    <x v="0"/>
    <x v="0"/>
    <x v="7"/>
    <x v="15"/>
    <s v="NO5_A1"/>
    <x v="6"/>
    <x v="7"/>
    <s v="GNR_RES_WTR_NOPMP_MC-02"/>
    <x v="0"/>
    <x v="20"/>
    <n v="598.193241885916"/>
    <n v="218340.533288359"/>
    <n v="786025.91983809404"/>
  </r>
  <r>
    <x v="0"/>
    <x v="0"/>
    <x v="0"/>
    <x v="7"/>
    <x v="15"/>
    <s v="NO5_A1"/>
    <x v="6"/>
    <x v="7"/>
    <s v="GNR_RES_WTR_NOPMP_MC-02"/>
    <x v="0"/>
    <x v="21"/>
    <n v="598.193241885916"/>
    <n v="218340.533288359"/>
    <n v="786025.91983809404"/>
  </r>
  <r>
    <x v="0"/>
    <x v="0"/>
    <x v="0"/>
    <x v="7"/>
    <x v="15"/>
    <s v="NO5_A1"/>
    <x v="6"/>
    <x v="7"/>
    <s v="GNR_RES_WTR_NOPMP_MC-02"/>
    <x v="0"/>
    <x v="22"/>
    <n v="598.193241885916"/>
    <n v="218340.533288359"/>
    <n v="786025.91983809404"/>
  </r>
  <r>
    <x v="0"/>
    <x v="0"/>
    <x v="0"/>
    <x v="7"/>
    <x v="15"/>
    <s v="NO5_A1"/>
    <x v="6"/>
    <x v="7"/>
    <s v="GNR_RES_WTR_NOPMP_MC-02"/>
    <x v="0"/>
    <x v="23"/>
    <n v="598.193241885916"/>
    <n v="218340.533288359"/>
    <n v="786025.91983809404"/>
  </r>
  <r>
    <x v="0"/>
    <x v="0"/>
    <x v="0"/>
    <x v="7"/>
    <x v="15"/>
    <s v="NO5_A1"/>
    <x v="6"/>
    <x v="7"/>
    <s v="GNR_RES_WTR_NOPMP_MC-03"/>
    <x v="0"/>
    <x v="0"/>
    <n v="598.193241885916"/>
    <n v="218340.533288359"/>
    <n v="786025.91983809404"/>
  </r>
  <r>
    <x v="0"/>
    <x v="0"/>
    <x v="0"/>
    <x v="7"/>
    <x v="15"/>
    <s v="NO5_A1"/>
    <x v="6"/>
    <x v="7"/>
    <s v="GNR_RES_WTR_NOPMP_MC-03"/>
    <x v="0"/>
    <x v="1"/>
    <n v="598.193241885916"/>
    <n v="218340.533288359"/>
    <n v="786025.91983809404"/>
  </r>
  <r>
    <x v="0"/>
    <x v="0"/>
    <x v="0"/>
    <x v="7"/>
    <x v="15"/>
    <s v="NO5_A1"/>
    <x v="6"/>
    <x v="7"/>
    <s v="GNR_RES_WTR_NOPMP_MC-03"/>
    <x v="0"/>
    <x v="18"/>
    <n v="598.193241885916"/>
    <n v="218340.533288359"/>
    <n v="786025.91983809404"/>
  </r>
  <r>
    <x v="0"/>
    <x v="0"/>
    <x v="0"/>
    <x v="7"/>
    <x v="15"/>
    <s v="NO5_A1"/>
    <x v="6"/>
    <x v="7"/>
    <s v="GNR_RES_WTR_NOPMP_MC-03"/>
    <x v="0"/>
    <x v="2"/>
    <n v="598.193241885916"/>
    <n v="218340.533288359"/>
    <n v="786025.91983809404"/>
  </r>
  <r>
    <x v="0"/>
    <x v="0"/>
    <x v="0"/>
    <x v="7"/>
    <x v="15"/>
    <s v="NO5_A1"/>
    <x v="6"/>
    <x v="7"/>
    <s v="GNR_RES_WTR_NOPMP_MC-03"/>
    <x v="0"/>
    <x v="3"/>
    <n v="598.193241885916"/>
    <n v="218340.533288359"/>
    <n v="786025.91983809404"/>
  </r>
  <r>
    <x v="0"/>
    <x v="0"/>
    <x v="0"/>
    <x v="7"/>
    <x v="15"/>
    <s v="NO5_A1"/>
    <x v="6"/>
    <x v="7"/>
    <s v="GNR_RES_WTR_NOPMP_MC-03"/>
    <x v="0"/>
    <x v="4"/>
    <n v="598.193241885916"/>
    <n v="218340.533288359"/>
    <n v="786025.91983809404"/>
  </r>
  <r>
    <x v="0"/>
    <x v="0"/>
    <x v="0"/>
    <x v="7"/>
    <x v="15"/>
    <s v="NO5_A1"/>
    <x v="6"/>
    <x v="7"/>
    <s v="GNR_RES_WTR_NOPMP_MC-03"/>
    <x v="0"/>
    <x v="5"/>
    <n v="598.193241885916"/>
    <n v="218340.533288359"/>
    <n v="786025.91983809404"/>
  </r>
  <r>
    <x v="0"/>
    <x v="0"/>
    <x v="0"/>
    <x v="7"/>
    <x v="15"/>
    <s v="NO5_A1"/>
    <x v="6"/>
    <x v="7"/>
    <s v="GNR_RES_WTR_NOPMP_MC-03"/>
    <x v="0"/>
    <x v="6"/>
    <n v="598.193241885916"/>
    <n v="218340.533288359"/>
    <n v="786025.91983809404"/>
  </r>
  <r>
    <x v="0"/>
    <x v="0"/>
    <x v="0"/>
    <x v="7"/>
    <x v="15"/>
    <s v="NO5_A1"/>
    <x v="6"/>
    <x v="7"/>
    <s v="GNR_RES_WTR_NOPMP_MC-03"/>
    <x v="0"/>
    <x v="7"/>
    <n v="598.193241885916"/>
    <n v="218340.533288359"/>
    <n v="786025.91983809404"/>
  </r>
  <r>
    <x v="0"/>
    <x v="0"/>
    <x v="0"/>
    <x v="7"/>
    <x v="15"/>
    <s v="NO5_A1"/>
    <x v="6"/>
    <x v="7"/>
    <s v="GNR_RES_WTR_NOPMP_MC-03"/>
    <x v="0"/>
    <x v="8"/>
    <n v="598.193241885916"/>
    <n v="218340.533288359"/>
    <n v="786025.91983809404"/>
  </r>
  <r>
    <x v="0"/>
    <x v="0"/>
    <x v="0"/>
    <x v="7"/>
    <x v="15"/>
    <s v="NO5_A1"/>
    <x v="6"/>
    <x v="7"/>
    <s v="GNR_RES_WTR_NOPMP_MC-03"/>
    <x v="0"/>
    <x v="9"/>
    <n v="598.193241885916"/>
    <n v="218340.533288359"/>
    <n v="786025.91983809404"/>
  </r>
  <r>
    <x v="0"/>
    <x v="0"/>
    <x v="0"/>
    <x v="7"/>
    <x v="15"/>
    <s v="NO5_A1"/>
    <x v="6"/>
    <x v="7"/>
    <s v="GNR_RES_WTR_NOPMP_MC-03"/>
    <x v="0"/>
    <x v="10"/>
    <n v="598.193241885916"/>
    <n v="218340.533288359"/>
    <n v="786025.91983809404"/>
  </r>
  <r>
    <x v="0"/>
    <x v="0"/>
    <x v="0"/>
    <x v="7"/>
    <x v="15"/>
    <s v="NO5_A1"/>
    <x v="6"/>
    <x v="7"/>
    <s v="GNR_RES_WTR_NOPMP_MC-03"/>
    <x v="0"/>
    <x v="11"/>
    <n v="598.193241885916"/>
    <n v="218340.533288359"/>
    <n v="786025.91983809404"/>
  </r>
  <r>
    <x v="0"/>
    <x v="0"/>
    <x v="0"/>
    <x v="7"/>
    <x v="15"/>
    <s v="NO5_A1"/>
    <x v="6"/>
    <x v="7"/>
    <s v="GNR_RES_WTR_NOPMP_MC-03"/>
    <x v="0"/>
    <x v="12"/>
    <n v="598.193241885916"/>
    <n v="218340.533288359"/>
    <n v="786025.91983809404"/>
  </r>
  <r>
    <x v="0"/>
    <x v="0"/>
    <x v="0"/>
    <x v="7"/>
    <x v="15"/>
    <s v="NO5_A1"/>
    <x v="6"/>
    <x v="7"/>
    <s v="GNR_RES_WTR_NOPMP_MC-03"/>
    <x v="0"/>
    <x v="13"/>
    <n v="598.193241885916"/>
    <n v="218340.533288359"/>
    <n v="786025.91983809404"/>
  </r>
  <r>
    <x v="0"/>
    <x v="0"/>
    <x v="0"/>
    <x v="7"/>
    <x v="15"/>
    <s v="NO5_A1"/>
    <x v="6"/>
    <x v="7"/>
    <s v="GNR_RES_WTR_NOPMP_MC-03"/>
    <x v="0"/>
    <x v="14"/>
    <n v="598.193241885916"/>
    <n v="218340.533288359"/>
    <n v="786025.91983809404"/>
  </r>
  <r>
    <x v="0"/>
    <x v="0"/>
    <x v="0"/>
    <x v="7"/>
    <x v="15"/>
    <s v="NO5_A1"/>
    <x v="6"/>
    <x v="7"/>
    <s v="GNR_RES_WTR_NOPMP_MC-03"/>
    <x v="0"/>
    <x v="15"/>
    <n v="598.193241885916"/>
    <n v="218340.533288359"/>
    <n v="786025.91983809404"/>
  </r>
  <r>
    <x v="0"/>
    <x v="0"/>
    <x v="0"/>
    <x v="7"/>
    <x v="15"/>
    <s v="NO5_A1"/>
    <x v="6"/>
    <x v="7"/>
    <s v="GNR_RES_WTR_NOPMP_MC-03"/>
    <x v="0"/>
    <x v="16"/>
    <n v="598.193241885916"/>
    <n v="218340.533288359"/>
    <n v="786025.91983809404"/>
  </r>
  <r>
    <x v="0"/>
    <x v="0"/>
    <x v="0"/>
    <x v="7"/>
    <x v="15"/>
    <s v="NO5_A1"/>
    <x v="6"/>
    <x v="7"/>
    <s v="GNR_RES_WTR_NOPMP_MC-03"/>
    <x v="0"/>
    <x v="17"/>
    <n v="598.193241885916"/>
    <n v="218340.533288359"/>
    <n v="786025.91983809404"/>
  </r>
  <r>
    <x v="0"/>
    <x v="0"/>
    <x v="0"/>
    <x v="7"/>
    <x v="15"/>
    <s v="NO5_A1"/>
    <x v="6"/>
    <x v="7"/>
    <s v="GNR_RES_WTR_NOPMP_MC-03"/>
    <x v="0"/>
    <x v="19"/>
    <n v="598.193241885916"/>
    <n v="218340.533288359"/>
    <n v="786025.91983809404"/>
  </r>
  <r>
    <x v="0"/>
    <x v="0"/>
    <x v="0"/>
    <x v="7"/>
    <x v="15"/>
    <s v="NO5_A1"/>
    <x v="6"/>
    <x v="7"/>
    <s v="GNR_RES_WTR_NOPMP_MC-03"/>
    <x v="0"/>
    <x v="20"/>
    <n v="598.193241885916"/>
    <n v="218340.533288359"/>
    <n v="786025.91983809404"/>
  </r>
  <r>
    <x v="0"/>
    <x v="0"/>
    <x v="0"/>
    <x v="7"/>
    <x v="15"/>
    <s v="NO5_A1"/>
    <x v="6"/>
    <x v="7"/>
    <s v="GNR_RES_WTR_NOPMP_MC-03"/>
    <x v="0"/>
    <x v="21"/>
    <n v="598.193241885916"/>
    <n v="218340.533288359"/>
    <n v="786025.91983809404"/>
  </r>
  <r>
    <x v="0"/>
    <x v="0"/>
    <x v="0"/>
    <x v="7"/>
    <x v="15"/>
    <s v="NO5_A1"/>
    <x v="6"/>
    <x v="7"/>
    <s v="GNR_RES_WTR_NOPMP_MC-03"/>
    <x v="0"/>
    <x v="22"/>
    <n v="598.193241885916"/>
    <n v="218340.533288359"/>
    <n v="786025.91983809404"/>
  </r>
  <r>
    <x v="0"/>
    <x v="0"/>
    <x v="0"/>
    <x v="7"/>
    <x v="15"/>
    <s v="NO5_A1"/>
    <x v="6"/>
    <x v="7"/>
    <s v="GNR_RES_WTR_NOPMP_MC-03"/>
    <x v="0"/>
    <x v="23"/>
    <n v="598.193241885916"/>
    <n v="218340.533288359"/>
    <n v="786025.91983809404"/>
  </r>
  <r>
    <x v="0"/>
    <x v="0"/>
    <x v="0"/>
    <x v="7"/>
    <x v="15"/>
    <s v="NO5_A1"/>
    <x v="6"/>
    <x v="7"/>
    <s v="GNR_RES_WTR_NOPMP_MC-04"/>
    <x v="0"/>
    <x v="0"/>
    <n v="598.193241885916"/>
    <n v="218340.533288359"/>
    <n v="786025.91983809404"/>
  </r>
  <r>
    <x v="0"/>
    <x v="0"/>
    <x v="0"/>
    <x v="7"/>
    <x v="15"/>
    <s v="NO5_A1"/>
    <x v="6"/>
    <x v="7"/>
    <s v="GNR_RES_WTR_NOPMP_MC-04"/>
    <x v="0"/>
    <x v="1"/>
    <n v="598.193241885916"/>
    <n v="218340.533288359"/>
    <n v="786025.91983809404"/>
  </r>
  <r>
    <x v="0"/>
    <x v="0"/>
    <x v="0"/>
    <x v="7"/>
    <x v="15"/>
    <s v="NO5_A1"/>
    <x v="6"/>
    <x v="7"/>
    <s v="GNR_RES_WTR_NOPMP_MC-04"/>
    <x v="0"/>
    <x v="18"/>
    <n v="598.193241885916"/>
    <n v="218340.533288359"/>
    <n v="786025.91983809404"/>
  </r>
  <r>
    <x v="0"/>
    <x v="0"/>
    <x v="0"/>
    <x v="7"/>
    <x v="15"/>
    <s v="NO5_A1"/>
    <x v="6"/>
    <x v="7"/>
    <s v="GNR_RES_WTR_NOPMP_MC-04"/>
    <x v="0"/>
    <x v="2"/>
    <n v="598.193241885916"/>
    <n v="218340.533288359"/>
    <n v="786025.91983809404"/>
  </r>
  <r>
    <x v="0"/>
    <x v="0"/>
    <x v="0"/>
    <x v="7"/>
    <x v="15"/>
    <s v="NO5_A1"/>
    <x v="6"/>
    <x v="7"/>
    <s v="GNR_RES_WTR_NOPMP_MC-04"/>
    <x v="0"/>
    <x v="3"/>
    <n v="598.193241885916"/>
    <n v="218340.533288359"/>
    <n v="786025.91983809404"/>
  </r>
  <r>
    <x v="0"/>
    <x v="0"/>
    <x v="0"/>
    <x v="7"/>
    <x v="15"/>
    <s v="NO5_A1"/>
    <x v="6"/>
    <x v="7"/>
    <s v="GNR_RES_WTR_NOPMP_MC-04"/>
    <x v="0"/>
    <x v="4"/>
    <n v="598.193241885916"/>
    <n v="218340.533288359"/>
    <n v="786025.91983809404"/>
  </r>
  <r>
    <x v="0"/>
    <x v="0"/>
    <x v="0"/>
    <x v="7"/>
    <x v="15"/>
    <s v="NO5_A1"/>
    <x v="6"/>
    <x v="7"/>
    <s v="GNR_RES_WTR_NOPMP_MC-04"/>
    <x v="0"/>
    <x v="5"/>
    <n v="598.193241885916"/>
    <n v="218340.533288359"/>
    <n v="786025.91983809404"/>
  </r>
  <r>
    <x v="0"/>
    <x v="0"/>
    <x v="0"/>
    <x v="7"/>
    <x v="15"/>
    <s v="NO5_A1"/>
    <x v="6"/>
    <x v="7"/>
    <s v="GNR_RES_WTR_NOPMP_MC-04"/>
    <x v="0"/>
    <x v="6"/>
    <n v="598.193241885916"/>
    <n v="218340.533288359"/>
    <n v="786025.91983809404"/>
  </r>
  <r>
    <x v="0"/>
    <x v="0"/>
    <x v="0"/>
    <x v="7"/>
    <x v="15"/>
    <s v="NO5_A1"/>
    <x v="6"/>
    <x v="7"/>
    <s v="GNR_RES_WTR_NOPMP_MC-04"/>
    <x v="0"/>
    <x v="7"/>
    <n v="598.193241885916"/>
    <n v="218340.533288359"/>
    <n v="786025.91983809404"/>
  </r>
  <r>
    <x v="0"/>
    <x v="0"/>
    <x v="0"/>
    <x v="7"/>
    <x v="15"/>
    <s v="NO5_A1"/>
    <x v="6"/>
    <x v="7"/>
    <s v="GNR_RES_WTR_NOPMP_MC-04"/>
    <x v="0"/>
    <x v="8"/>
    <n v="598.193241885916"/>
    <n v="218340.533288359"/>
    <n v="786025.91983809404"/>
  </r>
  <r>
    <x v="0"/>
    <x v="0"/>
    <x v="0"/>
    <x v="7"/>
    <x v="15"/>
    <s v="NO5_A1"/>
    <x v="6"/>
    <x v="7"/>
    <s v="GNR_RES_WTR_NOPMP_MC-04"/>
    <x v="0"/>
    <x v="9"/>
    <n v="598.193241885916"/>
    <n v="218340.533288359"/>
    <n v="786025.91983809404"/>
  </r>
  <r>
    <x v="0"/>
    <x v="0"/>
    <x v="0"/>
    <x v="7"/>
    <x v="15"/>
    <s v="NO5_A1"/>
    <x v="6"/>
    <x v="7"/>
    <s v="GNR_RES_WTR_NOPMP_MC-04"/>
    <x v="0"/>
    <x v="10"/>
    <n v="598.193241885916"/>
    <n v="218340.533288359"/>
    <n v="786025.91983809404"/>
  </r>
  <r>
    <x v="0"/>
    <x v="0"/>
    <x v="0"/>
    <x v="7"/>
    <x v="15"/>
    <s v="NO5_A1"/>
    <x v="6"/>
    <x v="7"/>
    <s v="GNR_RES_WTR_NOPMP_MC-04"/>
    <x v="0"/>
    <x v="11"/>
    <n v="598.193241885916"/>
    <n v="218340.533288359"/>
    <n v="786025.91983809404"/>
  </r>
  <r>
    <x v="0"/>
    <x v="0"/>
    <x v="0"/>
    <x v="7"/>
    <x v="15"/>
    <s v="NO5_A1"/>
    <x v="6"/>
    <x v="7"/>
    <s v="GNR_RES_WTR_NOPMP_MC-04"/>
    <x v="0"/>
    <x v="12"/>
    <n v="598.193241885916"/>
    <n v="218340.533288359"/>
    <n v="786025.91983809404"/>
  </r>
  <r>
    <x v="0"/>
    <x v="0"/>
    <x v="0"/>
    <x v="7"/>
    <x v="15"/>
    <s v="NO5_A1"/>
    <x v="6"/>
    <x v="7"/>
    <s v="GNR_RES_WTR_NOPMP_MC-04"/>
    <x v="0"/>
    <x v="13"/>
    <n v="598.193241885916"/>
    <n v="218340.533288359"/>
    <n v="786025.91983809404"/>
  </r>
  <r>
    <x v="0"/>
    <x v="0"/>
    <x v="0"/>
    <x v="7"/>
    <x v="15"/>
    <s v="NO5_A1"/>
    <x v="6"/>
    <x v="7"/>
    <s v="GNR_RES_WTR_NOPMP_MC-04"/>
    <x v="0"/>
    <x v="14"/>
    <n v="598.193241885916"/>
    <n v="218340.533288359"/>
    <n v="786025.91983809404"/>
  </r>
  <r>
    <x v="0"/>
    <x v="0"/>
    <x v="0"/>
    <x v="7"/>
    <x v="15"/>
    <s v="NO5_A1"/>
    <x v="6"/>
    <x v="7"/>
    <s v="GNR_RES_WTR_NOPMP_MC-04"/>
    <x v="0"/>
    <x v="15"/>
    <n v="598.193241885916"/>
    <n v="218340.533288359"/>
    <n v="786025.91983809404"/>
  </r>
  <r>
    <x v="0"/>
    <x v="0"/>
    <x v="0"/>
    <x v="7"/>
    <x v="15"/>
    <s v="NO5_A1"/>
    <x v="6"/>
    <x v="7"/>
    <s v="GNR_RES_WTR_NOPMP_MC-04"/>
    <x v="0"/>
    <x v="16"/>
    <n v="598.193241885916"/>
    <n v="218340.533288359"/>
    <n v="786025.91983809404"/>
  </r>
  <r>
    <x v="0"/>
    <x v="0"/>
    <x v="0"/>
    <x v="7"/>
    <x v="15"/>
    <s v="NO5_A1"/>
    <x v="6"/>
    <x v="7"/>
    <s v="GNR_RES_WTR_NOPMP_MC-04"/>
    <x v="0"/>
    <x v="17"/>
    <n v="598.193241885916"/>
    <n v="218340.533288359"/>
    <n v="786025.91983809404"/>
  </r>
  <r>
    <x v="0"/>
    <x v="0"/>
    <x v="0"/>
    <x v="7"/>
    <x v="15"/>
    <s v="NO5_A1"/>
    <x v="6"/>
    <x v="7"/>
    <s v="GNR_RES_WTR_NOPMP_MC-04"/>
    <x v="0"/>
    <x v="19"/>
    <n v="598.193241885916"/>
    <n v="218340.533288359"/>
    <n v="786025.91983809404"/>
  </r>
  <r>
    <x v="0"/>
    <x v="0"/>
    <x v="0"/>
    <x v="7"/>
    <x v="15"/>
    <s v="NO5_A1"/>
    <x v="6"/>
    <x v="7"/>
    <s v="GNR_RES_WTR_NOPMP_MC-04"/>
    <x v="0"/>
    <x v="20"/>
    <n v="598.193241885916"/>
    <n v="218340.533288359"/>
    <n v="786025.91983809404"/>
  </r>
  <r>
    <x v="0"/>
    <x v="0"/>
    <x v="0"/>
    <x v="7"/>
    <x v="15"/>
    <s v="NO5_A1"/>
    <x v="6"/>
    <x v="7"/>
    <s v="GNR_RES_WTR_NOPMP_MC-04"/>
    <x v="0"/>
    <x v="21"/>
    <n v="598.193241885916"/>
    <n v="218340.533288359"/>
    <n v="786025.91983809404"/>
  </r>
  <r>
    <x v="0"/>
    <x v="0"/>
    <x v="0"/>
    <x v="7"/>
    <x v="15"/>
    <s v="NO5_A1"/>
    <x v="6"/>
    <x v="7"/>
    <s v="GNR_RES_WTR_NOPMP_MC-04"/>
    <x v="0"/>
    <x v="22"/>
    <n v="598.193241885916"/>
    <n v="218340.533288359"/>
    <n v="786025.91983809404"/>
  </r>
  <r>
    <x v="0"/>
    <x v="0"/>
    <x v="0"/>
    <x v="7"/>
    <x v="15"/>
    <s v="NO5_A1"/>
    <x v="6"/>
    <x v="7"/>
    <s v="GNR_RES_WTR_NOPMP_MC-04"/>
    <x v="0"/>
    <x v="23"/>
    <n v="598.193241885916"/>
    <n v="218340.533288359"/>
    <n v="786025.91983809404"/>
  </r>
  <r>
    <x v="0"/>
    <x v="0"/>
    <x v="0"/>
    <x v="7"/>
    <x v="15"/>
    <s v="NO5_A1"/>
    <x v="6"/>
    <x v="7"/>
    <s v="GNR_RES_WTR_NOPMP_MC-05"/>
    <x v="0"/>
    <x v="0"/>
    <n v="317.036705651104"/>
    <n v="115718.397562653"/>
    <n v="416586.23122555"/>
  </r>
  <r>
    <x v="0"/>
    <x v="0"/>
    <x v="0"/>
    <x v="7"/>
    <x v="15"/>
    <s v="NO5_A1"/>
    <x v="6"/>
    <x v="7"/>
    <s v="GNR_RES_WTR_NOPMP_MC-05"/>
    <x v="0"/>
    <x v="1"/>
    <n v="274.29378355475302"/>
    <n v="100117.23099748501"/>
    <n v="360422.03159094602"/>
  </r>
  <r>
    <x v="0"/>
    <x v="0"/>
    <x v="0"/>
    <x v="7"/>
    <x v="15"/>
    <s v="NO5_A1"/>
    <x v="6"/>
    <x v="7"/>
    <s v="GNR_RES_WTR_NOPMP_MC-05"/>
    <x v="0"/>
    <x v="18"/>
    <n v="258.21711652673798"/>
    <n v="94249.247532259207"/>
    <n v="339297.29111613298"/>
  </r>
  <r>
    <x v="0"/>
    <x v="0"/>
    <x v="0"/>
    <x v="7"/>
    <x v="15"/>
    <s v="NO5_A1"/>
    <x v="6"/>
    <x v="7"/>
    <s v="GNR_RES_WTR_NOPMP_MC-05"/>
    <x v="0"/>
    <x v="2"/>
    <n v="272.42827262900499"/>
    <n v="99436.319509586901"/>
    <n v="357970.75023451302"/>
  </r>
  <r>
    <x v="0"/>
    <x v="0"/>
    <x v="0"/>
    <x v="7"/>
    <x v="15"/>
    <s v="NO5_A1"/>
    <x v="6"/>
    <x v="7"/>
    <s v="GNR_RES_WTR_NOPMP_MC-05"/>
    <x v="0"/>
    <x v="3"/>
    <n v="302.669204429334"/>
    <n v="110474.259616707"/>
    <n v="397707.33462014497"/>
  </r>
  <r>
    <x v="0"/>
    <x v="0"/>
    <x v="0"/>
    <x v="7"/>
    <x v="15"/>
    <s v="NO5_A1"/>
    <x v="6"/>
    <x v="7"/>
    <s v="GNR_RES_WTR_NOPMP_MC-05"/>
    <x v="0"/>
    <x v="4"/>
    <n v="364.813342506303"/>
    <n v="133156.87001480101"/>
    <n v="479364.73205328197"/>
  </r>
  <r>
    <x v="0"/>
    <x v="0"/>
    <x v="0"/>
    <x v="7"/>
    <x v="15"/>
    <s v="NO5_A1"/>
    <x v="6"/>
    <x v="7"/>
    <s v="GNR_RES_WTR_NOPMP_MC-05"/>
    <x v="0"/>
    <x v="5"/>
    <n v="475.88260353387199"/>
    <n v="173697.150289863"/>
    <n v="625309.74104350701"/>
  </r>
  <r>
    <x v="0"/>
    <x v="0"/>
    <x v="0"/>
    <x v="7"/>
    <x v="15"/>
    <s v="NO5_A1"/>
    <x v="6"/>
    <x v="7"/>
    <s v="GNR_RES_WTR_NOPMP_MC-05"/>
    <x v="0"/>
    <x v="6"/>
    <n v="598.193241885916"/>
    <n v="218340.533288359"/>
    <n v="786025.91983809404"/>
  </r>
  <r>
    <x v="0"/>
    <x v="0"/>
    <x v="0"/>
    <x v="7"/>
    <x v="15"/>
    <s v="NO5_A1"/>
    <x v="6"/>
    <x v="7"/>
    <s v="GNR_RES_WTR_NOPMP_MC-05"/>
    <x v="0"/>
    <x v="7"/>
    <n v="598.193241885916"/>
    <n v="218340.533288359"/>
    <n v="786025.91983809404"/>
  </r>
  <r>
    <x v="0"/>
    <x v="0"/>
    <x v="0"/>
    <x v="7"/>
    <x v="15"/>
    <s v="NO5_A1"/>
    <x v="6"/>
    <x v="7"/>
    <s v="GNR_RES_WTR_NOPMP_MC-05"/>
    <x v="0"/>
    <x v="8"/>
    <n v="598.193241885916"/>
    <n v="218340.533288359"/>
    <n v="786025.91983809404"/>
  </r>
  <r>
    <x v="0"/>
    <x v="0"/>
    <x v="0"/>
    <x v="7"/>
    <x v="15"/>
    <s v="NO5_A1"/>
    <x v="6"/>
    <x v="7"/>
    <s v="GNR_RES_WTR_NOPMP_MC-05"/>
    <x v="0"/>
    <x v="9"/>
    <n v="598.193241885916"/>
    <n v="218340.533288359"/>
    <n v="786025.91983809404"/>
  </r>
  <r>
    <x v="0"/>
    <x v="0"/>
    <x v="0"/>
    <x v="7"/>
    <x v="15"/>
    <s v="NO5_A1"/>
    <x v="6"/>
    <x v="7"/>
    <s v="GNR_RES_WTR_NOPMP_MC-05"/>
    <x v="0"/>
    <x v="10"/>
    <n v="598.193241885916"/>
    <n v="218340.533288359"/>
    <n v="786025.91983809404"/>
  </r>
  <r>
    <x v="0"/>
    <x v="0"/>
    <x v="0"/>
    <x v="7"/>
    <x v="15"/>
    <s v="NO5_A1"/>
    <x v="6"/>
    <x v="7"/>
    <s v="GNR_RES_WTR_NOPMP_MC-05"/>
    <x v="0"/>
    <x v="11"/>
    <n v="598.193241885916"/>
    <n v="218340.533288359"/>
    <n v="786025.91983809404"/>
  </r>
  <r>
    <x v="0"/>
    <x v="0"/>
    <x v="0"/>
    <x v="7"/>
    <x v="15"/>
    <s v="NO5_A1"/>
    <x v="6"/>
    <x v="7"/>
    <s v="GNR_RES_WTR_NOPMP_MC-05"/>
    <x v="0"/>
    <x v="12"/>
    <n v="598.193241885916"/>
    <n v="218340.533288359"/>
    <n v="786025.91983809404"/>
  </r>
  <r>
    <x v="0"/>
    <x v="0"/>
    <x v="0"/>
    <x v="7"/>
    <x v="15"/>
    <s v="NO5_A1"/>
    <x v="6"/>
    <x v="7"/>
    <s v="GNR_RES_WTR_NOPMP_MC-05"/>
    <x v="0"/>
    <x v="13"/>
    <n v="598.193241885916"/>
    <n v="218340.533288359"/>
    <n v="786025.91983809404"/>
  </r>
  <r>
    <x v="0"/>
    <x v="0"/>
    <x v="0"/>
    <x v="7"/>
    <x v="15"/>
    <s v="NO5_A1"/>
    <x v="6"/>
    <x v="7"/>
    <s v="GNR_RES_WTR_NOPMP_MC-05"/>
    <x v="0"/>
    <x v="14"/>
    <n v="598.193241885916"/>
    <n v="218340.533288359"/>
    <n v="786025.91983809404"/>
  </r>
  <r>
    <x v="0"/>
    <x v="0"/>
    <x v="0"/>
    <x v="7"/>
    <x v="15"/>
    <s v="NO5_A1"/>
    <x v="6"/>
    <x v="7"/>
    <s v="GNR_RES_WTR_NOPMP_MC-05"/>
    <x v="0"/>
    <x v="15"/>
    <n v="598.193241885916"/>
    <n v="218340.533288359"/>
    <n v="786025.91983809404"/>
  </r>
  <r>
    <x v="0"/>
    <x v="0"/>
    <x v="0"/>
    <x v="7"/>
    <x v="15"/>
    <s v="NO5_A1"/>
    <x v="6"/>
    <x v="7"/>
    <s v="GNR_RES_WTR_NOPMP_MC-05"/>
    <x v="0"/>
    <x v="16"/>
    <n v="585.74295431398605"/>
    <n v="213796.17832460499"/>
    <n v="769666.24196857796"/>
  </r>
  <r>
    <x v="0"/>
    <x v="0"/>
    <x v="0"/>
    <x v="7"/>
    <x v="15"/>
    <s v="NO5_A1"/>
    <x v="6"/>
    <x v="7"/>
    <s v="GNR_RES_WTR_NOPMP_MC-05"/>
    <x v="0"/>
    <x v="17"/>
    <n v="567.87894891996496"/>
    <n v="207275.81635578701"/>
    <n v="746192.93888083403"/>
  </r>
  <r>
    <x v="0"/>
    <x v="0"/>
    <x v="0"/>
    <x v="7"/>
    <x v="15"/>
    <s v="NO5_A1"/>
    <x v="6"/>
    <x v="7"/>
    <s v="GNR_RES_WTR_NOPMP_MC-05"/>
    <x v="0"/>
    <x v="19"/>
    <n v="560.46801213251604"/>
    <n v="204570.82442836801"/>
    <n v="736454.96794212598"/>
  </r>
  <r>
    <x v="0"/>
    <x v="0"/>
    <x v="0"/>
    <x v="7"/>
    <x v="15"/>
    <s v="NO5_A1"/>
    <x v="6"/>
    <x v="7"/>
    <s v="GNR_RES_WTR_NOPMP_MC-05"/>
    <x v="0"/>
    <x v="20"/>
    <n v="537.852709113125"/>
    <n v="196316.238826291"/>
    <n v="706738.45977464598"/>
  </r>
  <r>
    <x v="0"/>
    <x v="0"/>
    <x v="0"/>
    <x v="7"/>
    <x v="15"/>
    <s v="NO5_A1"/>
    <x v="6"/>
    <x v="7"/>
    <s v="GNR_RES_WTR_NOPMP_MC-05"/>
    <x v="0"/>
    <x v="21"/>
    <n v="478.618337977637"/>
    <n v="174695.693361838"/>
    <n v="628904.49610261503"/>
  </r>
  <r>
    <x v="0"/>
    <x v="0"/>
    <x v="0"/>
    <x v="7"/>
    <x v="15"/>
    <s v="NO5_A1"/>
    <x v="6"/>
    <x v="7"/>
    <s v="GNR_RES_WTR_NOPMP_MC-05"/>
    <x v="0"/>
    <x v="22"/>
    <n v="435.882716869224"/>
    <n v="159097.19165726699"/>
    <n v="572749.88996615994"/>
  </r>
  <r>
    <x v="0"/>
    <x v="0"/>
    <x v="0"/>
    <x v="7"/>
    <x v="15"/>
    <s v="NO5_A1"/>
    <x v="6"/>
    <x v="7"/>
    <s v="GNR_RES_WTR_NOPMP_MC-05"/>
    <x v="0"/>
    <x v="23"/>
    <n v="362.43926690953498"/>
    <n v="132290.33242198001"/>
    <n v="476245.19671912899"/>
  </r>
  <r>
    <x v="0"/>
    <x v="0"/>
    <x v="0"/>
    <x v="7"/>
    <x v="15"/>
    <s v="NO5_A1"/>
    <x v="6"/>
    <x v="7"/>
    <s v="GNR_RES_WTR_NOPMP_MC-06"/>
    <x v="0"/>
    <x v="6"/>
    <n v="33.753702910762001"/>
    <n v="12320.101562428101"/>
    <n v="44352.3656247412"/>
  </r>
  <r>
    <x v="0"/>
    <x v="0"/>
    <x v="0"/>
    <x v="7"/>
    <x v="15"/>
    <s v="NO5_A1"/>
    <x v="6"/>
    <x v="7"/>
    <s v="GNR_RES_WTR_NOPMP_MC-06"/>
    <x v="0"/>
    <x v="7"/>
    <n v="98.463697489903495"/>
    <n v="35939.249583814802"/>
    <n v="129381.29850173301"/>
  </r>
  <r>
    <x v="0"/>
    <x v="0"/>
    <x v="0"/>
    <x v="7"/>
    <x v="15"/>
    <s v="NO5_A1"/>
    <x v="6"/>
    <x v="7"/>
    <s v="GNR_RES_WTR_NOPMP_MC-06"/>
    <x v="0"/>
    <x v="8"/>
    <n v="76.317368799525298"/>
    <n v="27855.839611826701"/>
    <n v="100281.02260257601"/>
  </r>
  <r>
    <x v="0"/>
    <x v="0"/>
    <x v="0"/>
    <x v="7"/>
    <x v="15"/>
    <s v="NO5_A1"/>
    <x v="6"/>
    <x v="7"/>
    <s v="GNR_RES_WTR_NOPMP_MC-06"/>
    <x v="0"/>
    <x v="9"/>
    <n v="56.805690905076901"/>
    <n v="20734.077180353099"/>
    <n v="74642.677849271"/>
  </r>
  <r>
    <x v="0"/>
    <x v="0"/>
    <x v="0"/>
    <x v="7"/>
    <x v="15"/>
    <s v="NO5_A1"/>
    <x v="6"/>
    <x v="7"/>
    <s v="GNR_RES_WTR_NOPMP_MC-06"/>
    <x v="0"/>
    <x v="10"/>
    <n v="45.211437191041497"/>
    <n v="16502.174574730099"/>
    <n v="59407.8284690285"/>
  </r>
  <r>
    <x v="0"/>
    <x v="0"/>
    <x v="0"/>
    <x v="7"/>
    <x v="15"/>
    <s v="NO5_A1"/>
    <x v="6"/>
    <x v="7"/>
    <s v="GNR_RES_WTR_NOPMP_MC-06"/>
    <x v="0"/>
    <x v="11"/>
    <n v="19.6676106981899"/>
    <n v="7178.6779048393"/>
    <n v="25843.2404574215"/>
  </r>
  <r>
    <x v="0"/>
    <x v="0"/>
    <x v="0"/>
    <x v="7"/>
    <x v="15"/>
    <s v="NO5_A1"/>
    <x v="6"/>
    <x v="7"/>
    <s v="GNR_RES_WTR_NOPMP_MC-06"/>
    <x v="0"/>
    <x v="12"/>
    <n v="20.0188221254352"/>
    <n v="7306.8700757838296"/>
    <n v="26304.732272821799"/>
  </r>
  <r>
    <x v="0"/>
    <x v="0"/>
    <x v="0"/>
    <x v="7"/>
    <x v="15"/>
    <s v="NO5_A1"/>
    <x v="6"/>
    <x v="7"/>
    <s v="GNR_RES_WTR_NOPMP_MC-06"/>
    <x v="0"/>
    <x v="13"/>
    <n v="12.834032875527001"/>
    <n v="4684.4219995673602"/>
    <n v="16863.919198442502"/>
  </r>
  <r>
    <x v="0"/>
    <x v="0"/>
    <x v="0"/>
    <x v="7"/>
    <x v="15"/>
    <s v="NO5_A1"/>
    <x v="6"/>
    <x v="7"/>
    <s v="GNR_RES_WTR_NOPMP_MC-06"/>
    <x v="0"/>
    <x v="14"/>
    <n v="6.6184735134233099"/>
    <n v="2415.74283239951"/>
    <n v="8696.6741966382306"/>
  </r>
  <r>
    <x v="0"/>
    <x v="0"/>
    <x v="0"/>
    <x v="7"/>
    <x v="15"/>
    <s v="NO5_A1"/>
    <x v="6"/>
    <x v="7"/>
    <s v="GNR_RES_WTR_NOPMP_MC-06"/>
    <x v="0"/>
    <x v="15"/>
    <n v="23.279800494161801"/>
    <n v="8497.1271803690706"/>
    <n v="30589.6578493286"/>
  </r>
  <r>
    <x v="0"/>
    <x v="0"/>
    <x v="0"/>
    <x v="7"/>
    <x v="15"/>
    <s v="NO5_A1"/>
    <x v="6"/>
    <x v="7"/>
    <s v="GNR_RES_WTR_PMP_MC-01"/>
    <x v="0"/>
    <x v="0"/>
    <n v="444"/>
    <n v="162060"/>
    <n v="583416"/>
  </r>
  <r>
    <x v="0"/>
    <x v="0"/>
    <x v="0"/>
    <x v="7"/>
    <x v="15"/>
    <s v="NO5_A1"/>
    <x v="6"/>
    <x v="7"/>
    <s v="GNR_RES_WTR_PMP_MC-01"/>
    <x v="0"/>
    <x v="1"/>
    <n v="444"/>
    <n v="162060"/>
    <n v="583416"/>
  </r>
  <r>
    <x v="0"/>
    <x v="0"/>
    <x v="0"/>
    <x v="7"/>
    <x v="15"/>
    <s v="NO5_A1"/>
    <x v="6"/>
    <x v="7"/>
    <s v="GNR_RES_WTR_PMP_MC-01"/>
    <x v="0"/>
    <x v="18"/>
    <n v="444"/>
    <n v="162060"/>
    <n v="583416"/>
  </r>
  <r>
    <x v="0"/>
    <x v="0"/>
    <x v="0"/>
    <x v="7"/>
    <x v="15"/>
    <s v="NO5_A1"/>
    <x v="6"/>
    <x v="7"/>
    <s v="GNR_RES_WTR_PMP_MC-01"/>
    <x v="0"/>
    <x v="2"/>
    <n v="444"/>
    <n v="162060"/>
    <n v="583416"/>
  </r>
  <r>
    <x v="0"/>
    <x v="0"/>
    <x v="0"/>
    <x v="7"/>
    <x v="15"/>
    <s v="NO5_A1"/>
    <x v="6"/>
    <x v="7"/>
    <s v="GNR_RES_WTR_PMP_MC-01"/>
    <x v="0"/>
    <x v="3"/>
    <n v="444"/>
    <n v="162060"/>
    <n v="583416"/>
  </r>
  <r>
    <x v="0"/>
    <x v="0"/>
    <x v="0"/>
    <x v="7"/>
    <x v="15"/>
    <s v="NO5_A1"/>
    <x v="6"/>
    <x v="7"/>
    <s v="GNR_RES_WTR_PMP_MC-01"/>
    <x v="0"/>
    <x v="4"/>
    <n v="444"/>
    <n v="162060"/>
    <n v="583416"/>
  </r>
  <r>
    <x v="0"/>
    <x v="0"/>
    <x v="0"/>
    <x v="7"/>
    <x v="15"/>
    <s v="NO5_A1"/>
    <x v="6"/>
    <x v="7"/>
    <s v="GNR_RES_WTR_PMP_MC-01"/>
    <x v="0"/>
    <x v="5"/>
    <n v="444"/>
    <n v="162060"/>
    <n v="583416"/>
  </r>
  <r>
    <x v="0"/>
    <x v="0"/>
    <x v="0"/>
    <x v="7"/>
    <x v="15"/>
    <s v="NO5_A1"/>
    <x v="6"/>
    <x v="7"/>
    <s v="GNR_RES_WTR_PMP_MC-01"/>
    <x v="0"/>
    <x v="6"/>
    <n v="444"/>
    <n v="162060"/>
    <n v="583416"/>
  </r>
  <r>
    <x v="0"/>
    <x v="0"/>
    <x v="0"/>
    <x v="7"/>
    <x v="15"/>
    <s v="NO5_A1"/>
    <x v="6"/>
    <x v="7"/>
    <s v="GNR_RES_WTR_PMP_MC-01"/>
    <x v="0"/>
    <x v="7"/>
    <n v="444"/>
    <n v="162060"/>
    <n v="583416"/>
  </r>
  <r>
    <x v="0"/>
    <x v="0"/>
    <x v="0"/>
    <x v="7"/>
    <x v="15"/>
    <s v="NO5_A1"/>
    <x v="6"/>
    <x v="7"/>
    <s v="GNR_RES_WTR_PMP_MC-01"/>
    <x v="0"/>
    <x v="8"/>
    <n v="444"/>
    <n v="162060"/>
    <n v="583416"/>
  </r>
  <r>
    <x v="0"/>
    <x v="0"/>
    <x v="0"/>
    <x v="7"/>
    <x v="15"/>
    <s v="NO5_A1"/>
    <x v="6"/>
    <x v="7"/>
    <s v="GNR_RES_WTR_PMP_MC-01"/>
    <x v="0"/>
    <x v="9"/>
    <n v="444"/>
    <n v="162060"/>
    <n v="583416"/>
  </r>
  <r>
    <x v="0"/>
    <x v="0"/>
    <x v="0"/>
    <x v="7"/>
    <x v="15"/>
    <s v="NO5_A1"/>
    <x v="6"/>
    <x v="7"/>
    <s v="GNR_RES_WTR_PMP_MC-01"/>
    <x v="0"/>
    <x v="10"/>
    <n v="444"/>
    <n v="162060"/>
    <n v="583416"/>
  </r>
  <r>
    <x v="0"/>
    <x v="0"/>
    <x v="0"/>
    <x v="7"/>
    <x v="15"/>
    <s v="NO5_A1"/>
    <x v="6"/>
    <x v="7"/>
    <s v="GNR_RES_WTR_PMP_MC-01"/>
    <x v="0"/>
    <x v="11"/>
    <n v="444"/>
    <n v="162060"/>
    <n v="583416"/>
  </r>
  <r>
    <x v="0"/>
    <x v="0"/>
    <x v="0"/>
    <x v="7"/>
    <x v="15"/>
    <s v="NO5_A1"/>
    <x v="6"/>
    <x v="7"/>
    <s v="GNR_RES_WTR_PMP_MC-01"/>
    <x v="0"/>
    <x v="12"/>
    <n v="444"/>
    <n v="162060"/>
    <n v="583416"/>
  </r>
  <r>
    <x v="0"/>
    <x v="0"/>
    <x v="0"/>
    <x v="7"/>
    <x v="15"/>
    <s v="NO5_A1"/>
    <x v="6"/>
    <x v="7"/>
    <s v="GNR_RES_WTR_PMP_MC-01"/>
    <x v="0"/>
    <x v="13"/>
    <n v="444"/>
    <n v="162060"/>
    <n v="583416"/>
  </r>
  <r>
    <x v="0"/>
    <x v="0"/>
    <x v="0"/>
    <x v="7"/>
    <x v="15"/>
    <s v="NO5_A1"/>
    <x v="6"/>
    <x v="7"/>
    <s v="GNR_RES_WTR_PMP_MC-01"/>
    <x v="0"/>
    <x v="14"/>
    <n v="444"/>
    <n v="162060"/>
    <n v="583416"/>
  </r>
  <r>
    <x v="0"/>
    <x v="0"/>
    <x v="0"/>
    <x v="7"/>
    <x v="15"/>
    <s v="NO5_A1"/>
    <x v="6"/>
    <x v="7"/>
    <s v="GNR_RES_WTR_PMP_MC-01"/>
    <x v="0"/>
    <x v="15"/>
    <n v="444"/>
    <n v="162060"/>
    <n v="583416"/>
  </r>
  <r>
    <x v="0"/>
    <x v="0"/>
    <x v="0"/>
    <x v="7"/>
    <x v="15"/>
    <s v="NO5_A1"/>
    <x v="6"/>
    <x v="7"/>
    <s v="GNR_RES_WTR_PMP_MC-01"/>
    <x v="0"/>
    <x v="16"/>
    <n v="444"/>
    <n v="162060"/>
    <n v="583416"/>
  </r>
  <r>
    <x v="0"/>
    <x v="0"/>
    <x v="0"/>
    <x v="7"/>
    <x v="15"/>
    <s v="NO5_A1"/>
    <x v="6"/>
    <x v="7"/>
    <s v="GNR_RES_WTR_PMP_MC-01"/>
    <x v="0"/>
    <x v="17"/>
    <n v="444"/>
    <n v="162060"/>
    <n v="583416"/>
  </r>
  <r>
    <x v="0"/>
    <x v="0"/>
    <x v="0"/>
    <x v="7"/>
    <x v="15"/>
    <s v="NO5_A1"/>
    <x v="6"/>
    <x v="7"/>
    <s v="GNR_RES_WTR_PMP_MC-01"/>
    <x v="0"/>
    <x v="19"/>
    <n v="444"/>
    <n v="162060"/>
    <n v="583416"/>
  </r>
  <r>
    <x v="0"/>
    <x v="0"/>
    <x v="0"/>
    <x v="7"/>
    <x v="15"/>
    <s v="NO5_A1"/>
    <x v="6"/>
    <x v="7"/>
    <s v="GNR_RES_WTR_PMP_MC-01"/>
    <x v="0"/>
    <x v="20"/>
    <n v="444"/>
    <n v="162060"/>
    <n v="583416"/>
  </r>
  <r>
    <x v="0"/>
    <x v="0"/>
    <x v="0"/>
    <x v="7"/>
    <x v="15"/>
    <s v="NO5_A1"/>
    <x v="6"/>
    <x v="7"/>
    <s v="GNR_RES_WTR_PMP_MC-01"/>
    <x v="0"/>
    <x v="21"/>
    <n v="444"/>
    <n v="162060"/>
    <n v="583416"/>
  </r>
  <r>
    <x v="0"/>
    <x v="0"/>
    <x v="0"/>
    <x v="7"/>
    <x v="15"/>
    <s v="NO5_A1"/>
    <x v="6"/>
    <x v="7"/>
    <s v="GNR_RES_WTR_PMP_MC-01"/>
    <x v="0"/>
    <x v="22"/>
    <n v="444"/>
    <n v="162060"/>
    <n v="583416"/>
  </r>
  <r>
    <x v="0"/>
    <x v="0"/>
    <x v="0"/>
    <x v="7"/>
    <x v="15"/>
    <s v="NO5_A1"/>
    <x v="6"/>
    <x v="7"/>
    <s v="GNR_RES_WTR_PMP_MC-01"/>
    <x v="0"/>
    <x v="23"/>
    <n v="444"/>
    <n v="162060"/>
    <n v="583416"/>
  </r>
  <r>
    <x v="0"/>
    <x v="0"/>
    <x v="0"/>
    <x v="7"/>
    <x v="15"/>
    <s v="NO5_A1"/>
    <x v="6"/>
    <x v="4"/>
    <s v="GNR_ROR_WTR"/>
    <x v="0"/>
    <x v="0"/>
    <n v="1077.1597801871801"/>
    <n v="393163.31976832001"/>
    <n v="1415387.9511659499"/>
  </r>
  <r>
    <x v="0"/>
    <x v="0"/>
    <x v="0"/>
    <x v="7"/>
    <x v="15"/>
    <s v="NO5_A1"/>
    <x v="6"/>
    <x v="4"/>
    <s v="GNR_ROR_WTR"/>
    <x v="0"/>
    <x v="1"/>
    <n v="1077.1597801871801"/>
    <n v="393163.31976832001"/>
    <n v="1415387.9511659499"/>
  </r>
  <r>
    <x v="0"/>
    <x v="0"/>
    <x v="0"/>
    <x v="7"/>
    <x v="15"/>
    <s v="NO5_A1"/>
    <x v="6"/>
    <x v="4"/>
    <s v="GNR_ROR_WTR"/>
    <x v="0"/>
    <x v="18"/>
    <n v="1077.1597801871801"/>
    <n v="393163.31976832001"/>
    <n v="1415387.9511659499"/>
  </r>
  <r>
    <x v="0"/>
    <x v="0"/>
    <x v="0"/>
    <x v="7"/>
    <x v="15"/>
    <s v="NO5_A1"/>
    <x v="6"/>
    <x v="4"/>
    <s v="GNR_ROR_WTR"/>
    <x v="0"/>
    <x v="2"/>
    <n v="1077.1597801871801"/>
    <n v="393163.31976832001"/>
    <n v="1415387.9511659499"/>
  </r>
  <r>
    <x v="0"/>
    <x v="0"/>
    <x v="0"/>
    <x v="7"/>
    <x v="15"/>
    <s v="NO5_A1"/>
    <x v="6"/>
    <x v="4"/>
    <s v="GNR_ROR_WTR"/>
    <x v="0"/>
    <x v="3"/>
    <n v="1077.1597801871801"/>
    <n v="393163.31976832001"/>
    <n v="1415387.9511659499"/>
  </r>
  <r>
    <x v="0"/>
    <x v="0"/>
    <x v="0"/>
    <x v="7"/>
    <x v="15"/>
    <s v="NO5_A1"/>
    <x v="6"/>
    <x v="4"/>
    <s v="GNR_ROR_WTR"/>
    <x v="0"/>
    <x v="4"/>
    <n v="1077.1597801871801"/>
    <n v="393163.31976832001"/>
    <n v="1415387.9511659499"/>
  </r>
  <r>
    <x v="0"/>
    <x v="0"/>
    <x v="0"/>
    <x v="7"/>
    <x v="15"/>
    <s v="NO5_A1"/>
    <x v="6"/>
    <x v="4"/>
    <s v="GNR_ROR_WTR"/>
    <x v="0"/>
    <x v="5"/>
    <n v="1077.1597801871801"/>
    <n v="393163.31976832001"/>
    <n v="1415387.9511659499"/>
  </r>
  <r>
    <x v="0"/>
    <x v="0"/>
    <x v="0"/>
    <x v="7"/>
    <x v="15"/>
    <s v="NO5_A1"/>
    <x v="6"/>
    <x v="4"/>
    <s v="GNR_ROR_WTR"/>
    <x v="0"/>
    <x v="6"/>
    <n v="1077.1597801871801"/>
    <n v="393163.31976832001"/>
    <n v="1415387.9511659499"/>
  </r>
  <r>
    <x v="0"/>
    <x v="0"/>
    <x v="0"/>
    <x v="7"/>
    <x v="15"/>
    <s v="NO5_A1"/>
    <x v="6"/>
    <x v="4"/>
    <s v="GNR_ROR_WTR"/>
    <x v="0"/>
    <x v="7"/>
    <n v="1077.1597801871801"/>
    <n v="393163.31976832001"/>
    <n v="1415387.9511659499"/>
  </r>
  <r>
    <x v="0"/>
    <x v="0"/>
    <x v="0"/>
    <x v="7"/>
    <x v="15"/>
    <s v="NO5_A1"/>
    <x v="6"/>
    <x v="4"/>
    <s v="GNR_ROR_WTR"/>
    <x v="0"/>
    <x v="8"/>
    <n v="1077.1597801871801"/>
    <n v="393163.31976832001"/>
    <n v="1415387.9511659499"/>
  </r>
  <r>
    <x v="0"/>
    <x v="0"/>
    <x v="0"/>
    <x v="7"/>
    <x v="15"/>
    <s v="NO5_A1"/>
    <x v="6"/>
    <x v="4"/>
    <s v="GNR_ROR_WTR"/>
    <x v="0"/>
    <x v="9"/>
    <n v="1077.1597801871801"/>
    <n v="393163.31976832001"/>
    <n v="1415387.9511659499"/>
  </r>
  <r>
    <x v="0"/>
    <x v="0"/>
    <x v="0"/>
    <x v="7"/>
    <x v="15"/>
    <s v="NO5_A1"/>
    <x v="6"/>
    <x v="4"/>
    <s v="GNR_ROR_WTR"/>
    <x v="0"/>
    <x v="10"/>
    <n v="1077.1597801871801"/>
    <n v="393163.31976832001"/>
    <n v="1415387.9511659499"/>
  </r>
  <r>
    <x v="0"/>
    <x v="0"/>
    <x v="0"/>
    <x v="7"/>
    <x v="15"/>
    <s v="NO5_A1"/>
    <x v="6"/>
    <x v="4"/>
    <s v="GNR_ROR_WTR"/>
    <x v="0"/>
    <x v="11"/>
    <n v="1077.1597801871801"/>
    <n v="393163.31976832001"/>
    <n v="1415387.9511659499"/>
  </r>
  <r>
    <x v="0"/>
    <x v="0"/>
    <x v="0"/>
    <x v="7"/>
    <x v="15"/>
    <s v="NO5_A1"/>
    <x v="6"/>
    <x v="4"/>
    <s v="GNR_ROR_WTR"/>
    <x v="0"/>
    <x v="12"/>
    <n v="1077.1597801871801"/>
    <n v="393163.31976832001"/>
    <n v="1415387.9511659499"/>
  </r>
  <r>
    <x v="0"/>
    <x v="0"/>
    <x v="0"/>
    <x v="7"/>
    <x v="15"/>
    <s v="NO5_A1"/>
    <x v="6"/>
    <x v="4"/>
    <s v="GNR_ROR_WTR"/>
    <x v="0"/>
    <x v="13"/>
    <n v="1077.1597801871801"/>
    <n v="393163.31976832001"/>
    <n v="1415387.9511659499"/>
  </r>
  <r>
    <x v="0"/>
    <x v="0"/>
    <x v="0"/>
    <x v="7"/>
    <x v="15"/>
    <s v="NO5_A1"/>
    <x v="6"/>
    <x v="4"/>
    <s v="GNR_ROR_WTR"/>
    <x v="0"/>
    <x v="14"/>
    <n v="1077.1597801871801"/>
    <n v="393163.31976832001"/>
    <n v="1415387.9511659499"/>
  </r>
  <r>
    <x v="0"/>
    <x v="0"/>
    <x v="0"/>
    <x v="7"/>
    <x v="15"/>
    <s v="NO5_A1"/>
    <x v="6"/>
    <x v="4"/>
    <s v="GNR_ROR_WTR"/>
    <x v="0"/>
    <x v="15"/>
    <n v="1077.1597801871801"/>
    <n v="393163.31976832001"/>
    <n v="1415387.9511659499"/>
  </r>
  <r>
    <x v="0"/>
    <x v="0"/>
    <x v="0"/>
    <x v="7"/>
    <x v="15"/>
    <s v="NO5_A1"/>
    <x v="6"/>
    <x v="4"/>
    <s v="GNR_ROR_WTR"/>
    <x v="0"/>
    <x v="16"/>
    <n v="1077.1597801871801"/>
    <n v="393163.31976832001"/>
    <n v="1415387.9511659499"/>
  </r>
  <r>
    <x v="0"/>
    <x v="0"/>
    <x v="0"/>
    <x v="7"/>
    <x v="15"/>
    <s v="NO5_A1"/>
    <x v="6"/>
    <x v="4"/>
    <s v="GNR_ROR_WTR"/>
    <x v="0"/>
    <x v="17"/>
    <n v="1077.1597801871801"/>
    <n v="393163.31976832001"/>
    <n v="1415387.9511659499"/>
  </r>
  <r>
    <x v="0"/>
    <x v="0"/>
    <x v="0"/>
    <x v="7"/>
    <x v="15"/>
    <s v="NO5_A1"/>
    <x v="6"/>
    <x v="4"/>
    <s v="GNR_ROR_WTR"/>
    <x v="0"/>
    <x v="19"/>
    <n v="1077.1597801871801"/>
    <n v="393163.31976832001"/>
    <n v="1415387.9511659499"/>
  </r>
  <r>
    <x v="0"/>
    <x v="0"/>
    <x v="0"/>
    <x v="7"/>
    <x v="15"/>
    <s v="NO5_A1"/>
    <x v="6"/>
    <x v="4"/>
    <s v="GNR_ROR_WTR"/>
    <x v="0"/>
    <x v="20"/>
    <n v="1077.1597801871801"/>
    <n v="393163.31976832001"/>
    <n v="1415387.9511659499"/>
  </r>
  <r>
    <x v="0"/>
    <x v="0"/>
    <x v="0"/>
    <x v="7"/>
    <x v="15"/>
    <s v="NO5_A1"/>
    <x v="6"/>
    <x v="4"/>
    <s v="GNR_ROR_WTR"/>
    <x v="0"/>
    <x v="21"/>
    <n v="1077.1597801871801"/>
    <n v="393163.31976832001"/>
    <n v="1415387.9511659499"/>
  </r>
  <r>
    <x v="0"/>
    <x v="0"/>
    <x v="0"/>
    <x v="7"/>
    <x v="15"/>
    <s v="NO5_A1"/>
    <x v="6"/>
    <x v="4"/>
    <s v="GNR_ROR_WTR"/>
    <x v="0"/>
    <x v="22"/>
    <n v="1077.1597801871801"/>
    <n v="393163.31976832001"/>
    <n v="1415387.9511659499"/>
  </r>
  <r>
    <x v="0"/>
    <x v="0"/>
    <x v="0"/>
    <x v="7"/>
    <x v="15"/>
    <s v="NO5_A1"/>
    <x v="6"/>
    <x v="4"/>
    <s v="GNR_ROR_WTR"/>
    <x v="0"/>
    <x v="23"/>
    <n v="1077.1597801871801"/>
    <n v="393163.31976832001"/>
    <n v="1415387.9511659499"/>
  </r>
  <r>
    <x v="0"/>
    <x v="0"/>
    <x v="0"/>
    <x v="8"/>
    <x v="16"/>
    <s v="PL_A"/>
    <x v="0"/>
    <x v="6"/>
    <s v="BIAL-4_ST_COAL_CND"/>
    <x v="0"/>
    <x v="0"/>
    <n v="21"/>
    <n v="7665"/>
    <n v="27594"/>
  </r>
  <r>
    <x v="0"/>
    <x v="0"/>
    <x v="0"/>
    <x v="8"/>
    <x v="16"/>
    <s v="PL_A"/>
    <x v="0"/>
    <x v="6"/>
    <s v="BIAL-4_ST_COAL_CND"/>
    <x v="0"/>
    <x v="1"/>
    <n v="21"/>
    <n v="7665"/>
    <n v="27594"/>
  </r>
  <r>
    <x v="0"/>
    <x v="0"/>
    <x v="0"/>
    <x v="8"/>
    <x v="16"/>
    <s v="PL_A"/>
    <x v="0"/>
    <x v="6"/>
    <s v="BIAL-4_ST_COAL_CND"/>
    <x v="0"/>
    <x v="18"/>
    <n v="21"/>
    <n v="7665"/>
    <n v="27594"/>
  </r>
  <r>
    <x v="0"/>
    <x v="0"/>
    <x v="0"/>
    <x v="8"/>
    <x v="16"/>
    <s v="PL_A"/>
    <x v="0"/>
    <x v="6"/>
    <s v="BIAL-4_ST_COAL_CND"/>
    <x v="0"/>
    <x v="2"/>
    <n v="21"/>
    <n v="7665"/>
    <n v="27594"/>
  </r>
  <r>
    <x v="0"/>
    <x v="0"/>
    <x v="0"/>
    <x v="8"/>
    <x v="16"/>
    <s v="PL_A"/>
    <x v="0"/>
    <x v="6"/>
    <s v="BIAL-4_ST_COAL_CND"/>
    <x v="0"/>
    <x v="3"/>
    <n v="21"/>
    <n v="7665"/>
    <n v="27594"/>
  </r>
  <r>
    <x v="0"/>
    <x v="0"/>
    <x v="0"/>
    <x v="8"/>
    <x v="16"/>
    <s v="PL_A"/>
    <x v="0"/>
    <x v="6"/>
    <s v="BIAL-4_ST_COAL_CND"/>
    <x v="0"/>
    <x v="4"/>
    <n v="21"/>
    <n v="7665"/>
    <n v="27594"/>
  </r>
  <r>
    <x v="0"/>
    <x v="0"/>
    <x v="0"/>
    <x v="8"/>
    <x v="16"/>
    <s v="PL_A"/>
    <x v="0"/>
    <x v="6"/>
    <s v="BIAL-4_ST_COAL_CND"/>
    <x v="0"/>
    <x v="5"/>
    <n v="21"/>
    <n v="7665"/>
    <n v="27594"/>
  </r>
  <r>
    <x v="0"/>
    <x v="0"/>
    <x v="0"/>
    <x v="8"/>
    <x v="16"/>
    <s v="PL_A"/>
    <x v="0"/>
    <x v="6"/>
    <s v="BIAL-4_ST_COAL_CND"/>
    <x v="0"/>
    <x v="6"/>
    <n v="21"/>
    <n v="7665"/>
    <n v="27594"/>
  </r>
  <r>
    <x v="0"/>
    <x v="0"/>
    <x v="0"/>
    <x v="8"/>
    <x v="16"/>
    <s v="PL_A"/>
    <x v="0"/>
    <x v="6"/>
    <s v="BIAL-4_ST_COAL_CND"/>
    <x v="0"/>
    <x v="7"/>
    <n v="21"/>
    <n v="7665"/>
    <n v="27594"/>
  </r>
  <r>
    <x v="0"/>
    <x v="0"/>
    <x v="0"/>
    <x v="8"/>
    <x v="16"/>
    <s v="PL_A"/>
    <x v="0"/>
    <x v="6"/>
    <s v="BIAL-4_ST_COAL_CND"/>
    <x v="0"/>
    <x v="8"/>
    <n v="21"/>
    <n v="7665"/>
    <n v="27594"/>
  </r>
  <r>
    <x v="0"/>
    <x v="0"/>
    <x v="0"/>
    <x v="8"/>
    <x v="16"/>
    <s v="PL_A"/>
    <x v="0"/>
    <x v="6"/>
    <s v="BIAL-4_ST_COAL_CND"/>
    <x v="0"/>
    <x v="9"/>
    <n v="21"/>
    <n v="7665"/>
    <n v="27594"/>
  </r>
  <r>
    <x v="0"/>
    <x v="0"/>
    <x v="0"/>
    <x v="8"/>
    <x v="16"/>
    <s v="PL_A"/>
    <x v="0"/>
    <x v="6"/>
    <s v="BIAL-4_ST_COAL_CND"/>
    <x v="0"/>
    <x v="10"/>
    <n v="21"/>
    <n v="7665"/>
    <n v="27594"/>
  </r>
  <r>
    <x v="0"/>
    <x v="0"/>
    <x v="0"/>
    <x v="8"/>
    <x v="16"/>
    <s v="PL_A"/>
    <x v="0"/>
    <x v="6"/>
    <s v="BIAL-4_ST_COAL_CND"/>
    <x v="0"/>
    <x v="11"/>
    <n v="21"/>
    <n v="7665"/>
    <n v="27594"/>
  </r>
  <r>
    <x v="0"/>
    <x v="0"/>
    <x v="0"/>
    <x v="8"/>
    <x v="16"/>
    <s v="PL_A"/>
    <x v="0"/>
    <x v="6"/>
    <s v="BIAL-4_ST_COAL_CND"/>
    <x v="0"/>
    <x v="12"/>
    <n v="21"/>
    <n v="7665"/>
    <n v="27594"/>
  </r>
  <r>
    <x v="0"/>
    <x v="0"/>
    <x v="0"/>
    <x v="8"/>
    <x v="16"/>
    <s v="PL_A"/>
    <x v="0"/>
    <x v="6"/>
    <s v="BIAL-4_ST_COAL_CND"/>
    <x v="0"/>
    <x v="13"/>
    <n v="21"/>
    <n v="7665"/>
    <n v="27594"/>
  </r>
  <r>
    <x v="0"/>
    <x v="0"/>
    <x v="0"/>
    <x v="8"/>
    <x v="16"/>
    <s v="PL_A"/>
    <x v="0"/>
    <x v="6"/>
    <s v="BIAL-4_ST_COAL_CND"/>
    <x v="0"/>
    <x v="14"/>
    <n v="21"/>
    <n v="7665"/>
    <n v="27594"/>
  </r>
  <r>
    <x v="0"/>
    <x v="0"/>
    <x v="0"/>
    <x v="8"/>
    <x v="16"/>
    <s v="PL_A"/>
    <x v="0"/>
    <x v="6"/>
    <s v="BIAL-4_ST_COAL_CND"/>
    <x v="0"/>
    <x v="15"/>
    <n v="21"/>
    <n v="7665"/>
    <n v="27594"/>
  </r>
  <r>
    <x v="0"/>
    <x v="0"/>
    <x v="0"/>
    <x v="8"/>
    <x v="16"/>
    <s v="PL_A"/>
    <x v="0"/>
    <x v="6"/>
    <s v="BIAL-4_ST_COAL_CND"/>
    <x v="0"/>
    <x v="16"/>
    <n v="21"/>
    <n v="7665"/>
    <n v="27594"/>
  </r>
  <r>
    <x v="0"/>
    <x v="0"/>
    <x v="0"/>
    <x v="8"/>
    <x v="16"/>
    <s v="PL_A"/>
    <x v="0"/>
    <x v="6"/>
    <s v="BIAL-4_ST_COAL_CND"/>
    <x v="0"/>
    <x v="17"/>
    <n v="21"/>
    <n v="7665"/>
    <n v="27594"/>
  </r>
  <r>
    <x v="0"/>
    <x v="0"/>
    <x v="0"/>
    <x v="8"/>
    <x v="16"/>
    <s v="PL_A"/>
    <x v="0"/>
    <x v="6"/>
    <s v="BIAL-4_ST_COAL_CND"/>
    <x v="0"/>
    <x v="19"/>
    <n v="21"/>
    <n v="7665"/>
    <n v="27594"/>
  </r>
  <r>
    <x v="0"/>
    <x v="0"/>
    <x v="0"/>
    <x v="8"/>
    <x v="16"/>
    <s v="PL_A"/>
    <x v="0"/>
    <x v="6"/>
    <s v="BIAL-4_ST_COAL_CND"/>
    <x v="0"/>
    <x v="20"/>
    <n v="21"/>
    <n v="7665"/>
    <n v="27594"/>
  </r>
  <r>
    <x v="0"/>
    <x v="0"/>
    <x v="0"/>
    <x v="8"/>
    <x v="16"/>
    <s v="PL_A"/>
    <x v="0"/>
    <x v="6"/>
    <s v="BIAL-4_ST_COAL_CND"/>
    <x v="0"/>
    <x v="21"/>
    <n v="21"/>
    <n v="7665"/>
    <n v="27594"/>
  </r>
  <r>
    <x v="0"/>
    <x v="0"/>
    <x v="0"/>
    <x v="8"/>
    <x v="16"/>
    <s v="PL_A"/>
    <x v="0"/>
    <x v="6"/>
    <s v="BIAL-4_ST_COAL_CND"/>
    <x v="0"/>
    <x v="22"/>
    <n v="21"/>
    <n v="7665"/>
    <n v="27594"/>
  </r>
  <r>
    <x v="0"/>
    <x v="0"/>
    <x v="0"/>
    <x v="8"/>
    <x v="16"/>
    <s v="PL_A"/>
    <x v="0"/>
    <x v="6"/>
    <s v="BIAL-4_ST_COAL_CND"/>
    <x v="0"/>
    <x v="23"/>
    <n v="21"/>
    <n v="7665"/>
    <n v="27594"/>
  </r>
  <r>
    <x v="0"/>
    <x v="0"/>
    <x v="0"/>
    <x v="8"/>
    <x v="16"/>
    <s v="PL_A"/>
    <x v="0"/>
    <x v="2"/>
    <s v="BIEL-4_ST_COAL_BP"/>
    <x v="0"/>
    <x v="1"/>
    <n v="48"/>
    <n v="17520"/>
    <n v="63072"/>
  </r>
  <r>
    <x v="0"/>
    <x v="0"/>
    <x v="0"/>
    <x v="8"/>
    <x v="16"/>
    <s v="PL_A"/>
    <x v="0"/>
    <x v="2"/>
    <s v="BIEL-4_ST_COAL_BP"/>
    <x v="0"/>
    <x v="18"/>
    <n v="48"/>
    <n v="17520"/>
    <n v="63072"/>
  </r>
  <r>
    <x v="0"/>
    <x v="0"/>
    <x v="0"/>
    <x v="8"/>
    <x v="16"/>
    <s v="PL_A"/>
    <x v="0"/>
    <x v="2"/>
    <s v="BIEL-4_ST_COAL_BP"/>
    <x v="0"/>
    <x v="2"/>
    <n v="48"/>
    <n v="17520"/>
    <n v="63072"/>
  </r>
  <r>
    <x v="0"/>
    <x v="0"/>
    <x v="0"/>
    <x v="8"/>
    <x v="16"/>
    <s v="PL_A"/>
    <x v="0"/>
    <x v="2"/>
    <s v="BIEL-4_ST_COAL_BP"/>
    <x v="0"/>
    <x v="3"/>
    <n v="48"/>
    <n v="17520"/>
    <n v="63072"/>
  </r>
  <r>
    <x v="0"/>
    <x v="0"/>
    <x v="0"/>
    <x v="8"/>
    <x v="16"/>
    <s v="PL_A"/>
    <x v="0"/>
    <x v="2"/>
    <s v="BIEL-4_ST_COAL_BP"/>
    <x v="0"/>
    <x v="4"/>
    <n v="48"/>
    <n v="17520"/>
    <n v="63072"/>
  </r>
  <r>
    <x v="0"/>
    <x v="0"/>
    <x v="0"/>
    <x v="8"/>
    <x v="16"/>
    <s v="PL_A"/>
    <x v="0"/>
    <x v="2"/>
    <s v="BIEL-4_ST_COAL_BP"/>
    <x v="0"/>
    <x v="5"/>
    <n v="48"/>
    <n v="17520"/>
    <n v="63072"/>
  </r>
  <r>
    <x v="0"/>
    <x v="0"/>
    <x v="0"/>
    <x v="8"/>
    <x v="16"/>
    <s v="PL_A"/>
    <x v="0"/>
    <x v="2"/>
    <s v="BIEL-4_ST_COAL_BP"/>
    <x v="0"/>
    <x v="6"/>
    <n v="48"/>
    <n v="17520"/>
    <n v="63072"/>
  </r>
  <r>
    <x v="0"/>
    <x v="0"/>
    <x v="0"/>
    <x v="8"/>
    <x v="16"/>
    <s v="PL_A"/>
    <x v="0"/>
    <x v="2"/>
    <s v="BIEL-4_ST_COAL_BP"/>
    <x v="0"/>
    <x v="8"/>
    <n v="48"/>
    <n v="17520"/>
    <n v="63072"/>
  </r>
  <r>
    <x v="0"/>
    <x v="0"/>
    <x v="0"/>
    <x v="8"/>
    <x v="16"/>
    <s v="PL_A"/>
    <x v="0"/>
    <x v="2"/>
    <s v="BIEL-4_ST_COAL_BP"/>
    <x v="0"/>
    <x v="9"/>
    <n v="48"/>
    <n v="17520"/>
    <n v="63072"/>
  </r>
  <r>
    <x v="0"/>
    <x v="0"/>
    <x v="0"/>
    <x v="8"/>
    <x v="16"/>
    <s v="PL_A"/>
    <x v="0"/>
    <x v="2"/>
    <s v="BIEL-4_ST_COAL_BP"/>
    <x v="0"/>
    <x v="10"/>
    <n v="37.1824971428873"/>
    <n v="13571.6114571539"/>
    <n v="48857.801245754003"/>
  </r>
  <r>
    <x v="0"/>
    <x v="0"/>
    <x v="0"/>
    <x v="8"/>
    <x v="16"/>
    <s v="PL_A"/>
    <x v="0"/>
    <x v="2"/>
    <s v="CHOR2-1_ST_COAL_BP"/>
    <x v="0"/>
    <x v="0"/>
    <n v="272"/>
    <n v="99280"/>
    <n v="357408"/>
  </r>
  <r>
    <x v="0"/>
    <x v="0"/>
    <x v="0"/>
    <x v="8"/>
    <x v="16"/>
    <s v="PL_A"/>
    <x v="0"/>
    <x v="2"/>
    <s v="CHOR2-1_ST_COAL_BP"/>
    <x v="0"/>
    <x v="1"/>
    <n v="272"/>
    <n v="99280"/>
    <n v="357408"/>
  </r>
  <r>
    <x v="0"/>
    <x v="0"/>
    <x v="0"/>
    <x v="8"/>
    <x v="16"/>
    <s v="PL_A"/>
    <x v="0"/>
    <x v="2"/>
    <s v="CHOR2-1_ST_COAL_BP"/>
    <x v="0"/>
    <x v="18"/>
    <n v="272"/>
    <n v="99280"/>
    <n v="357408"/>
  </r>
  <r>
    <x v="0"/>
    <x v="0"/>
    <x v="0"/>
    <x v="8"/>
    <x v="16"/>
    <s v="PL_A"/>
    <x v="0"/>
    <x v="2"/>
    <s v="CHOR2-1_ST_COAL_BP"/>
    <x v="0"/>
    <x v="2"/>
    <n v="272"/>
    <n v="99280"/>
    <n v="357408"/>
  </r>
  <r>
    <x v="0"/>
    <x v="0"/>
    <x v="0"/>
    <x v="8"/>
    <x v="16"/>
    <s v="PL_A"/>
    <x v="0"/>
    <x v="2"/>
    <s v="CHOR2-1_ST_COAL_BP"/>
    <x v="0"/>
    <x v="3"/>
    <n v="272"/>
    <n v="99280"/>
    <n v="357408"/>
  </r>
  <r>
    <x v="0"/>
    <x v="0"/>
    <x v="0"/>
    <x v="8"/>
    <x v="16"/>
    <s v="PL_A"/>
    <x v="0"/>
    <x v="2"/>
    <s v="CHOR2-1_ST_COAL_BP"/>
    <x v="0"/>
    <x v="4"/>
    <n v="272"/>
    <n v="99280"/>
    <n v="357408"/>
  </r>
  <r>
    <x v="0"/>
    <x v="0"/>
    <x v="0"/>
    <x v="8"/>
    <x v="16"/>
    <s v="PL_A"/>
    <x v="0"/>
    <x v="2"/>
    <s v="CHOR2-1_ST_COAL_BP"/>
    <x v="0"/>
    <x v="5"/>
    <n v="272"/>
    <n v="99280"/>
    <n v="357408"/>
  </r>
  <r>
    <x v="0"/>
    <x v="0"/>
    <x v="0"/>
    <x v="8"/>
    <x v="16"/>
    <s v="PL_A"/>
    <x v="0"/>
    <x v="2"/>
    <s v="CHOR2-1_ST_COAL_BP"/>
    <x v="0"/>
    <x v="6"/>
    <n v="272"/>
    <n v="99280"/>
    <n v="357408"/>
  </r>
  <r>
    <x v="0"/>
    <x v="0"/>
    <x v="0"/>
    <x v="8"/>
    <x v="16"/>
    <s v="PL_A"/>
    <x v="0"/>
    <x v="2"/>
    <s v="CHOR2-1_ST_COAL_BP"/>
    <x v="0"/>
    <x v="7"/>
    <n v="272"/>
    <n v="99280"/>
    <n v="357408"/>
  </r>
  <r>
    <x v="0"/>
    <x v="0"/>
    <x v="0"/>
    <x v="8"/>
    <x v="16"/>
    <s v="PL_A"/>
    <x v="0"/>
    <x v="2"/>
    <s v="CHOR2-1_ST_COAL_BP"/>
    <x v="0"/>
    <x v="8"/>
    <n v="272"/>
    <n v="99280"/>
    <n v="357408"/>
  </r>
  <r>
    <x v="0"/>
    <x v="0"/>
    <x v="0"/>
    <x v="8"/>
    <x v="16"/>
    <s v="PL_A"/>
    <x v="0"/>
    <x v="2"/>
    <s v="CHOR2-1_ST_COAL_BP"/>
    <x v="0"/>
    <x v="9"/>
    <n v="272"/>
    <n v="99280"/>
    <n v="357408"/>
  </r>
  <r>
    <x v="0"/>
    <x v="0"/>
    <x v="0"/>
    <x v="8"/>
    <x v="16"/>
    <s v="PL_A"/>
    <x v="0"/>
    <x v="2"/>
    <s v="CHOR2-1_ST_COAL_BP"/>
    <x v="0"/>
    <x v="10"/>
    <n v="272"/>
    <n v="99280"/>
    <n v="357408"/>
  </r>
  <r>
    <x v="0"/>
    <x v="0"/>
    <x v="0"/>
    <x v="8"/>
    <x v="16"/>
    <s v="PL_A"/>
    <x v="0"/>
    <x v="2"/>
    <s v="CHOR2-1_ST_COAL_BP"/>
    <x v="0"/>
    <x v="11"/>
    <n v="272"/>
    <n v="99280"/>
    <n v="357408"/>
  </r>
  <r>
    <x v="0"/>
    <x v="0"/>
    <x v="0"/>
    <x v="8"/>
    <x v="16"/>
    <s v="PL_A"/>
    <x v="0"/>
    <x v="2"/>
    <s v="CHOR2-1_ST_COAL_BP"/>
    <x v="0"/>
    <x v="12"/>
    <n v="272"/>
    <n v="99280"/>
    <n v="357408"/>
  </r>
  <r>
    <x v="0"/>
    <x v="0"/>
    <x v="0"/>
    <x v="8"/>
    <x v="16"/>
    <s v="PL_A"/>
    <x v="0"/>
    <x v="2"/>
    <s v="CHOR2-1_ST_COAL_BP"/>
    <x v="0"/>
    <x v="13"/>
    <n v="272"/>
    <n v="99280"/>
    <n v="357408"/>
  </r>
  <r>
    <x v="0"/>
    <x v="0"/>
    <x v="0"/>
    <x v="8"/>
    <x v="16"/>
    <s v="PL_A"/>
    <x v="0"/>
    <x v="2"/>
    <s v="CHOR2-1_ST_COAL_BP"/>
    <x v="0"/>
    <x v="14"/>
    <n v="272"/>
    <n v="99280"/>
    <n v="357408"/>
  </r>
  <r>
    <x v="0"/>
    <x v="0"/>
    <x v="0"/>
    <x v="8"/>
    <x v="16"/>
    <s v="PL_A"/>
    <x v="0"/>
    <x v="2"/>
    <s v="CHOR2-1_ST_COAL_BP"/>
    <x v="0"/>
    <x v="15"/>
    <n v="272"/>
    <n v="99280"/>
    <n v="357408"/>
  </r>
  <r>
    <x v="0"/>
    <x v="0"/>
    <x v="0"/>
    <x v="8"/>
    <x v="16"/>
    <s v="PL_A"/>
    <x v="0"/>
    <x v="2"/>
    <s v="CHOR2-1_ST_COAL_BP"/>
    <x v="0"/>
    <x v="16"/>
    <n v="272"/>
    <n v="99280"/>
    <n v="357408"/>
  </r>
  <r>
    <x v="0"/>
    <x v="0"/>
    <x v="0"/>
    <x v="8"/>
    <x v="16"/>
    <s v="PL_A"/>
    <x v="0"/>
    <x v="2"/>
    <s v="CHOR2-1_ST_COAL_BP"/>
    <x v="0"/>
    <x v="17"/>
    <n v="272"/>
    <n v="99280"/>
    <n v="357408"/>
  </r>
  <r>
    <x v="0"/>
    <x v="0"/>
    <x v="0"/>
    <x v="8"/>
    <x v="16"/>
    <s v="PL_A"/>
    <x v="0"/>
    <x v="2"/>
    <s v="CHOR2-1_ST_COAL_BP"/>
    <x v="0"/>
    <x v="19"/>
    <n v="272"/>
    <n v="99280"/>
    <n v="357408"/>
  </r>
  <r>
    <x v="0"/>
    <x v="0"/>
    <x v="0"/>
    <x v="8"/>
    <x v="16"/>
    <s v="PL_A"/>
    <x v="0"/>
    <x v="2"/>
    <s v="CHOR2-1_ST_COAL_BP"/>
    <x v="0"/>
    <x v="20"/>
    <n v="272"/>
    <n v="99280"/>
    <n v="357408"/>
  </r>
  <r>
    <x v="0"/>
    <x v="0"/>
    <x v="0"/>
    <x v="8"/>
    <x v="16"/>
    <s v="PL_A"/>
    <x v="0"/>
    <x v="2"/>
    <s v="CHOR2-1_ST_COAL_BP"/>
    <x v="0"/>
    <x v="21"/>
    <n v="272"/>
    <n v="99280"/>
    <n v="357408"/>
  </r>
  <r>
    <x v="0"/>
    <x v="0"/>
    <x v="0"/>
    <x v="8"/>
    <x v="16"/>
    <s v="PL_A"/>
    <x v="0"/>
    <x v="2"/>
    <s v="CHOR2-1_ST_COAL_BP"/>
    <x v="0"/>
    <x v="22"/>
    <n v="272"/>
    <n v="99280"/>
    <n v="357408"/>
  </r>
  <r>
    <x v="0"/>
    <x v="0"/>
    <x v="0"/>
    <x v="8"/>
    <x v="16"/>
    <s v="PL_A"/>
    <x v="0"/>
    <x v="2"/>
    <s v="CHOR2-1_ST_COAL_BP"/>
    <x v="0"/>
    <x v="23"/>
    <n v="272"/>
    <n v="99280"/>
    <n v="357408"/>
  </r>
  <r>
    <x v="0"/>
    <x v="0"/>
    <x v="0"/>
    <x v="8"/>
    <x v="16"/>
    <s v="PL_A"/>
    <x v="0"/>
    <x v="0"/>
    <s v="DOLN-1_ST_COAL_EXT"/>
    <x v="0"/>
    <x v="0"/>
    <n v="191.25"/>
    <n v="69806.25"/>
    <n v="251302.5"/>
  </r>
  <r>
    <x v="0"/>
    <x v="0"/>
    <x v="0"/>
    <x v="8"/>
    <x v="16"/>
    <s v="PL_A"/>
    <x v="0"/>
    <x v="0"/>
    <s v="DOLN-1_ST_COAL_EXT"/>
    <x v="0"/>
    <x v="1"/>
    <n v="143.52852475883799"/>
    <n v="52387.911536975902"/>
    <n v="188596.48153311299"/>
  </r>
  <r>
    <x v="0"/>
    <x v="0"/>
    <x v="0"/>
    <x v="8"/>
    <x v="16"/>
    <s v="PL_A"/>
    <x v="0"/>
    <x v="0"/>
    <s v="DOLN-1_ST_COAL_EXT"/>
    <x v="0"/>
    <x v="18"/>
    <n v="26.5294745316267"/>
    <n v="9683.2582040437592"/>
    <n v="34859.729534557497"/>
  </r>
  <r>
    <x v="0"/>
    <x v="0"/>
    <x v="0"/>
    <x v="8"/>
    <x v="16"/>
    <s v="PL_A"/>
    <x v="0"/>
    <x v="0"/>
    <s v="DOLN-1_ST_COAL_EXT"/>
    <x v="0"/>
    <x v="2"/>
    <n v="191.25"/>
    <n v="69806.25"/>
    <n v="251302.5"/>
  </r>
  <r>
    <x v="0"/>
    <x v="0"/>
    <x v="0"/>
    <x v="8"/>
    <x v="16"/>
    <s v="PL_A"/>
    <x v="0"/>
    <x v="0"/>
    <s v="DOLN-1_ST_COAL_EXT"/>
    <x v="0"/>
    <x v="3"/>
    <n v="191.25"/>
    <n v="69806.25"/>
    <n v="251302.5"/>
  </r>
  <r>
    <x v="0"/>
    <x v="0"/>
    <x v="0"/>
    <x v="8"/>
    <x v="16"/>
    <s v="PL_A"/>
    <x v="0"/>
    <x v="0"/>
    <s v="DOLN-1_ST_COAL_EXT"/>
    <x v="0"/>
    <x v="4"/>
    <n v="204"/>
    <n v="74460"/>
    <n v="268056"/>
  </r>
  <r>
    <x v="0"/>
    <x v="0"/>
    <x v="0"/>
    <x v="8"/>
    <x v="16"/>
    <s v="PL_A"/>
    <x v="0"/>
    <x v="0"/>
    <s v="DOLN-1_ST_COAL_EXT"/>
    <x v="0"/>
    <x v="5"/>
    <n v="204"/>
    <n v="74460"/>
    <n v="268056"/>
  </r>
  <r>
    <x v="0"/>
    <x v="0"/>
    <x v="0"/>
    <x v="8"/>
    <x v="16"/>
    <s v="PL_A"/>
    <x v="0"/>
    <x v="0"/>
    <s v="DOLN-1_ST_COAL_EXT"/>
    <x v="0"/>
    <x v="6"/>
    <n v="204"/>
    <n v="74460"/>
    <n v="268056"/>
  </r>
  <r>
    <x v="0"/>
    <x v="0"/>
    <x v="0"/>
    <x v="8"/>
    <x v="16"/>
    <s v="PL_A"/>
    <x v="0"/>
    <x v="0"/>
    <s v="DOLN-1_ST_COAL_EXT"/>
    <x v="0"/>
    <x v="7"/>
    <n v="204"/>
    <n v="74460"/>
    <n v="268056"/>
  </r>
  <r>
    <x v="0"/>
    <x v="0"/>
    <x v="0"/>
    <x v="8"/>
    <x v="16"/>
    <s v="PL_A"/>
    <x v="0"/>
    <x v="0"/>
    <s v="DOLN-1_ST_COAL_EXT"/>
    <x v="0"/>
    <x v="8"/>
    <n v="204"/>
    <n v="74460"/>
    <n v="268056"/>
  </r>
  <r>
    <x v="0"/>
    <x v="0"/>
    <x v="0"/>
    <x v="8"/>
    <x v="16"/>
    <s v="PL_A"/>
    <x v="0"/>
    <x v="0"/>
    <s v="DOLN-1_ST_COAL_EXT"/>
    <x v="0"/>
    <x v="9"/>
    <n v="204"/>
    <n v="74460"/>
    <n v="268056"/>
  </r>
  <r>
    <x v="0"/>
    <x v="0"/>
    <x v="0"/>
    <x v="8"/>
    <x v="16"/>
    <s v="PL_A"/>
    <x v="0"/>
    <x v="0"/>
    <s v="DOLN-1_ST_COAL_EXT"/>
    <x v="0"/>
    <x v="10"/>
    <n v="204"/>
    <n v="74460"/>
    <n v="268056"/>
  </r>
  <r>
    <x v="0"/>
    <x v="0"/>
    <x v="0"/>
    <x v="8"/>
    <x v="16"/>
    <s v="PL_A"/>
    <x v="0"/>
    <x v="0"/>
    <s v="DOLN-1_ST_COAL_EXT"/>
    <x v="0"/>
    <x v="11"/>
    <n v="204"/>
    <n v="74460"/>
    <n v="268056"/>
  </r>
  <r>
    <x v="0"/>
    <x v="0"/>
    <x v="0"/>
    <x v="8"/>
    <x v="16"/>
    <s v="PL_A"/>
    <x v="0"/>
    <x v="0"/>
    <s v="DOLN-1_ST_COAL_EXT"/>
    <x v="0"/>
    <x v="12"/>
    <n v="204"/>
    <n v="74460"/>
    <n v="268056"/>
  </r>
  <r>
    <x v="0"/>
    <x v="0"/>
    <x v="0"/>
    <x v="8"/>
    <x v="16"/>
    <s v="PL_A"/>
    <x v="0"/>
    <x v="0"/>
    <s v="DOLN-1_ST_COAL_EXT"/>
    <x v="0"/>
    <x v="13"/>
    <n v="204"/>
    <n v="74460"/>
    <n v="268056"/>
  </r>
  <r>
    <x v="0"/>
    <x v="0"/>
    <x v="0"/>
    <x v="8"/>
    <x v="16"/>
    <s v="PL_A"/>
    <x v="0"/>
    <x v="0"/>
    <s v="DOLN-1_ST_COAL_EXT"/>
    <x v="0"/>
    <x v="14"/>
    <n v="204"/>
    <n v="74460"/>
    <n v="268056"/>
  </r>
  <r>
    <x v="0"/>
    <x v="0"/>
    <x v="0"/>
    <x v="8"/>
    <x v="16"/>
    <s v="PL_A"/>
    <x v="0"/>
    <x v="0"/>
    <s v="DOLN-1_ST_COAL_EXT"/>
    <x v="0"/>
    <x v="15"/>
    <n v="204"/>
    <n v="74460"/>
    <n v="268056"/>
  </r>
  <r>
    <x v="0"/>
    <x v="0"/>
    <x v="0"/>
    <x v="8"/>
    <x v="16"/>
    <s v="PL_A"/>
    <x v="0"/>
    <x v="0"/>
    <s v="DOLN-1_ST_COAL_EXT"/>
    <x v="0"/>
    <x v="16"/>
    <n v="204"/>
    <n v="74460"/>
    <n v="268056"/>
  </r>
  <r>
    <x v="0"/>
    <x v="0"/>
    <x v="0"/>
    <x v="8"/>
    <x v="16"/>
    <s v="PL_A"/>
    <x v="0"/>
    <x v="0"/>
    <s v="DOLN-1_ST_COAL_EXT"/>
    <x v="0"/>
    <x v="17"/>
    <n v="204"/>
    <n v="74460"/>
    <n v="268056"/>
  </r>
  <r>
    <x v="0"/>
    <x v="0"/>
    <x v="0"/>
    <x v="8"/>
    <x v="16"/>
    <s v="PL_A"/>
    <x v="0"/>
    <x v="0"/>
    <s v="DOLN-1_ST_COAL_EXT"/>
    <x v="0"/>
    <x v="19"/>
    <n v="204"/>
    <n v="74460"/>
    <n v="268056"/>
  </r>
  <r>
    <x v="0"/>
    <x v="0"/>
    <x v="0"/>
    <x v="8"/>
    <x v="16"/>
    <s v="PL_A"/>
    <x v="0"/>
    <x v="0"/>
    <s v="DOLN-1_ST_COAL_EXT"/>
    <x v="0"/>
    <x v="20"/>
    <n v="204"/>
    <n v="74460"/>
    <n v="268056"/>
  </r>
  <r>
    <x v="0"/>
    <x v="0"/>
    <x v="0"/>
    <x v="8"/>
    <x v="16"/>
    <s v="PL_A"/>
    <x v="0"/>
    <x v="0"/>
    <s v="DOLN-1_ST_COAL_EXT"/>
    <x v="0"/>
    <x v="21"/>
    <n v="204"/>
    <n v="74460"/>
    <n v="268056"/>
  </r>
  <r>
    <x v="0"/>
    <x v="0"/>
    <x v="0"/>
    <x v="8"/>
    <x v="16"/>
    <s v="PL_A"/>
    <x v="0"/>
    <x v="0"/>
    <s v="DOLN-1_ST_COAL_EXT"/>
    <x v="0"/>
    <x v="22"/>
    <n v="204"/>
    <n v="74460"/>
    <n v="268056"/>
  </r>
  <r>
    <x v="0"/>
    <x v="0"/>
    <x v="0"/>
    <x v="8"/>
    <x v="16"/>
    <s v="PL_A"/>
    <x v="0"/>
    <x v="0"/>
    <s v="DOLN-1_ST_COAL_EXT"/>
    <x v="0"/>
    <x v="23"/>
    <n v="204"/>
    <n v="74460"/>
    <n v="268056"/>
  </r>
  <r>
    <x v="0"/>
    <x v="0"/>
    <x v="0"/>
    <x v="8"/>
    <x v="16"/>
    <s v="PL_A"/>
    <x v="0"/>
    <x v="2"/>
    <s v="GDAN2-1_ST_COAL_BP"/>
    <x v="0"/>
    <x v="0"/>
    <n v="214.363096115492"/>
    <n v="78242.530082154597"/>
    <n v="281673.10829575697"/>
  </r>
  <r>
    <x v="0"/>
    <x v="0"/>
    <x v="0"/>
    <x v="8"/>
    <x v="16"/>
    <s v="PL_A"/>
    <x v="0"/>
    <x v="2"/>
    <s v="GDAN2-1_ST_COAL_BP"/>
    <x v="0"/>
    <x v="1"/>
    <n v="196.77651989756299"/>
    <n v="71823.429762610394"/>
    <n v="258564.34714539701"/>
  </r>
  <r>
    <x v="0"/>
    <x v="0"/>
    <x v="0"/>
    <x v="8"/>
    <x v="16"/>
    <s v="PL_A"/>
    <x v="0"/>
    <x v="2"/>
    <s v="GDAN2-1_ST_COAL_BP"/>
    <x v="0"/>
    <x v="18"/>
    <n v="221.59362821161"/>
    <n v="80881.674297237798"/>
    <n v="291174.02747005603"/>
  </r>
  <r>
    <x v="0"/>
    <x v="0"/>
    <x v="0"/>
    <x v="8"/>
    <x v="16"/>
    <s v="PL_A"/>
    <x v="0"/>
    <x v="2"/>
    <s v="GDAN2-1_ST_COAL_BP"/>
    <x v="0"/>
    <x v="2"/>
    <n v="175.08379705145501"/>
    <n v="63905.585923781196"/>
    <n v="230060.10932561199"/>
  </r>
  <r>
    <x v="0"/>
    <x v="0"/>
    <x v="0"/>
    <x v="8"/>
    <x v="16"/>
    <s v="PL_A"/>
    <x v="0"/>
    <x v="2"/>
    <s v="GDAN2-1_ST_COAL_BP"/>
    <x v="0"/>
    <x v="4"/>
    <n v="508.06420283254499"/>
    <n v="185443.43403387899"/>
    <n v="667596.36252196401"/>
  </r>
  <r>
    <x v="0"/>
    <x v="0"/>
    <x v="0"/>
    <x v="8"/>
    <x v="16"/>
    <s v="PL_A"/>
    <x v="0"/>
    <x v="2"/>
    <s v="GDAN2-1_ST_COAL_BP"/>
    <x v="0"/>
    <x v="5"/>
    <n v="419.40374331695301"/>
    <n v="153082.366310688"/>
    <n v="551096.51871847606"/>
  </r>
  <r>
    <x v="0"/>
    <x v="0"/>
    <x v="0"/>
    <x v="8"/>
    <x v="16"/>
    <s v="PL_A"/>
    <x v="0"/>
    <x v="2"/>
    <s v="GDAN2-1_ST_COAL_BP"/>
    <x v="0"/>
    <x v="6"/>
    <n v="310.39498161743899"/>
    <n v="113294.16829036501"/>
    <n v="407859.005845315"/>
  </r>
  <r>
    <x v="0"/>
    <x v="0"/>
    <x v="0"/>
    <x v="8"/>
    <x v="16"/>
    <s v="PL_A"/>
    <x v="0"/>
    <x v="2"/>
    <s v="GDAN2-1_ST_COAL_BP"/>
    <x v="0"/>
    <x v="7"/>
    <n v="263.92072147786803"/>
    <n v="96331.0633394217"/>
    <n v="346791.82802191802"/>
  </r>
  <r>
    <x v="0"/>
    <x v="0"/>
    <x v="0"/>
    <x v="8"/>
    <x v="16"/>
    <s v="PL_A"/>
    <x v="0"/>
    <x v="2"/>
    <s v="GDAN2-1_ST_COAL_BP"/>
    <x v="0"/>
    <x v="8"/>
    <n v="130.16716227425101"/>
    <n v="47511.0142301015"/>
    <n v="171039.65122836601"/>
  </r>
  <r>
    <x v="0"/>
    <x v="0"/>
    <x v="0"/>
    <x v="8"/>
    <x v="16"/>
    <s v="PL_A"/>
    <x v="0"/>
    <x v="2"/>
    <s v="GDAN2-1_ST_COAL_BP"/>
    <x v="0"/>
    <x v="9"/>
    <n v="53.1343040065967"/>
    <n v="19394.020962407802"/>
    <n v="69818.475464667994"/>
  </r>
  <r>
    <x v="0"/>
    <x v="0"/>
    <x v="0"/>
    <x v="8"/>
    <x v="16"/>
    <s v="PL_A"/>
    <x v="0"/>
    <x v="2"/>
    <s v="JAWO2-1_ST_COAL_BP"/>
    <x v="0"/>
    <x v="0"/>
    <n v="2171"/>
    <n v="792415"/>
    <n v="2852694"/>
  </r>
  <r>
    <x v="0"/>
    <x v="0"/>
    <x v="0"/>
    <x v="8"/>
    <x v="16"/>
    <s v="PL_A"/>
    <x v="0"/>
    <x v="2"/>
    <s v="JAWO2-1_ST_COAL_BP"/>
    <x v="0"/>
    <x v="1"/>
    <n v="2171"/>
    <n v="792415"/>
    <n v="2852694"/>
  </r>
  <r>
    <x v="0"/>
    <x v="0"/>
    <x v="0"/>
    <x v="8"/>
    <x v="16"/>
    <s v="PL_A"/>
    <x v="0"/>
    <x v="2"/>
    <s v="JAWO2-1_ST_COAL_BP"/>
    <x v="0"/>
    <x v="18"/>
    <n v="2171"/>
    <n v="792415"/>
    <n v="2852694"/>
  </r>
  <r>
    <x v="0"/>
    <x v="0"/>
    <x v="0"/>
    <x v="8"/>
    <x v="16"/>
    <s v="PL_A"/>
    <x v="0"/>
    <x v="2"/>
    <s v="JAWO2-1_ST_COAL_BP"/>
    <x v="0"/>
    <x v="2"/>
    <n v="2171"/>
    <n v="792415"/>
    <n v="2852694"/>
  </r>
  <r>
    <x v="0"/>
    <x v="0"/>
    <x v="0"/>
    <x v="8"/>
    <x v="16"/>
    <s v="PL_A"/>
    <x v="0"/>
    <x v="2"/>
    <s v="JAWO2-1_ST_COAL_BP"/>
    <x v="0"/>
    <x v="3"/>
    <n v="2171"/>
    <n v="792415"/>
    <n v="2852694"/>
  </r>
  <r>
    <x v="0"/>
    <x v="0"/>
    <x v="0"/>
    <x v="8"/>
    <x v="16"/>
    <s v="PL_A"/>
    <x v="0"/>
    <x v="2"/>
    <s v="JAWO2-1_ST_COAL_BP"/>
    <x v="0"/>
    <x v="4"/>
    <n v="2171"/>
    <n v="792415"/>
    <n v="2852694"/>
  </r>
  <r>
    <x v="0"/>
    <x v="0"/>
    <x v="0"/>
    <x v="8"/>
    <x v="16"/>
    <s v="PL_A"/>
    <x v="0"/>
    <x v="2"/>
    <s v="JAWO2-1_ST_COAL_BP"/>
    <x v="0"/>
    <x v="5"/>
    <n v="2171"/>
    <n v="792415"/>
    <n v="2852694"/>
  </r>
  <r>
    <x v="0"/>
    <x v="0"/>
    <x v="0"/>
    <x v="8"/>
    <x v="16"/>
    <s v="PL_A"/>
    <x v="0"/>
    <x v="2"/>
    <s v="JAWO2-1_ST_COAL_BP"/>
    <x v="0"/>
    <x v="6"/>
    <n v="2171"/>
    <n v="792415"/>
    <n v="2852694"/>
  </r>
  <r>
    <x v="0"/>
    <x v="0"/>
    <x v="0"/>
    <x v="8"/>
    <x v="16"/>
    <s v="PL_A"/>
    <x v="0"/>
    <x v="2"/>
    <s v="JAWO2-1_ST_COAL_BP"/>
    <x v="0"/>
    <x v="7"/>
    <n v="2171"/>
    <n v="792415"/>
    <n v="2852694"/>
  </r>
  <r>
    <x v="0"/>
    <x v="0"/>
    <x v="0"/>
    <x v="8"/>
    <x v="16"/>
    <s v="PL_A"/>
    <x v="0"/>
    <x v="2"/>
    <s v="JAWO2-1_ST_COAL_BP"/>
    <x v="0"/>
    <x v="8"/>
    <n v="2171"/>
    <n v="792415"/>
    <n v="2852694"/>
  </r>
  <r>
    <x v="0"/>
    <x v="0"/>
    <x v="0"/>
    <x v="8"/>
    <x v="16"/>
    <s v="PL_A"/>
    <x v="0"/>
    <x v="2"/>
    <s v="JAWO2-1_ST_COAL_BP"/>
    <x v="0"/>
    <x v="9"/>
    <n v="2171"/>
    <n v="792415"/>
    <n v="2852694"/>
  </r>
  <r>
    <x v="0"/>
    <x v="0"/>
    <x v="0"/>
    <x v="8"/>
    <x v="16"/>
    <s v="PL_A"/>
    <x v="0"/>
    <x v="2"/>
    <s v="JAWO2-1_ST_COAL_BP"/>
    <x v="0"/>
    <x v="10"/>
    <n v="2171"/>
    <n v="792415"/>
    <n v="2852694"/>
  </r>
  <r>
    <x v="0"/>
    <x v="0"/>
    <x v="0"/>
    <x v="8"/>
    <x v="16"/>
    <s v="PL_A"/>
    <x v="0"/>
    <x v="2"/>
    <s v="JAWO2-1_ST_COAL_BP"/>
    <x v="0"/>
    <x v="11"/>
    <n v="2171"/>
    <n v="792415"/>
    <n v="2852694"/>
  </r>
  <r>
    <x v="0"/>
    <x v="0"/>
    <x v="0"/>
    <x v="8"/>
    <x v="16"/>
    <s v="PL_A"/>
    <x v="0"/>
    <x v="2"/>
    <s v="JAWO2-1_ST_COAL_BP"/>
    <x v="0"/>
    <x v="12"/>
    <n v="2171"/>
    <n v="792415"/>
    <n v="2852694"/>
  </r>
  <r>
    <x v="0"/>
    <x v="0"/>
    <x v="0"/>
    <x v="8"/>
    <x v="16"/>
    <s v="PL_A"/>
    <x v="0"/>
    <x v="2"/>
    <s v="JAWO2-1_ST_COAL_BP"/>
    <x v="0"/>
    <x v="13"/>
    <n v="2070.19875935052"/>
    <n v="755622.54716294003"/>
    <n v="2720241.1697865902"/>
  </r>
  <r>
    <x v="0"/>
    <x v="0"/>
    <x v="0"/>
    <x v="8"/>
    <x v="16"/>
    <s v="PL_A"/>
    <x v="0"/>
    <x v="2"/>
    <s v="JAWO2-1_ST_COAL_BP"/>
    <x v="0"/>
    <x v="14"/>
    <n v="2171"/>
    <n v="792415"/>
    <n v="2852694"/>
  </r>
  <r>
    <x v="0"/>
    <x v="0"/>
    <x v="0"/>
    <x v="8"/>
    <x v="16"/>
    <s v="PL_A"/>
    <x v="0"/>
    <x v="2"/>
    <s v="JAWO2-1_ST_COAL_BP"/>
    <x v="0"/>
    <x v="15"/>
    <n v="2028.21019928848"/>
    <n v="740296.72274029499"/>
    <n v="2665068.2018650598"/>
  </r>
  <r>
    <x v="0"/>
    <x v="0"/>
    <x v="0"/>
    <x v="8"/>
    <x v="16"/>
    <s v="PL_A"/>
    <x v="0"/>
    <x v="2"/>
    <s v="JAWO2-1_ST_COAL_BP"/>
    <x v="0"/>
    <x v="16"/>
    <n v="2171"/>
    <n v="792415"/>
    <n v="2852694"/>
  </r>
  <r>
    <x v="0"/>
    <x v="0"/>
    <x v="0"/>
    <x v="8"/>
    <x v="16"/>
    <s v="PL_A"/>
    <x v="0"/>
    <x v="2"/>
    <s v="JAWO2-1_ST_COAL_BP"/>
    <x v="0"/>
    <x v="17"/>
    <n v="2171"/>
    <n v="792415"/>
    <n v="2852694"/>
  </r>
  <r>
    <x v="0"/>
    <x v="0"/>
    <x v="0"/>
    <x v="8"/>
    <x v="16"/>
    <s v="PL_A"/>
    <x v="0"/>
    <x v="2"/>
    <s v="JAWO2-1_ST_COAL_BP"/>
    <x v="0"/>
    <x v="19"/>
    <n v="2166.4572484309801"/>
    <n v="790756.89567730797"/>
    <n v="2846724.8244383102"/>
  </r>
  <r>
    <x v="0"/>
    <x v="0"/>
    <x v="0"/>
    <x v="8"/>
    <x v="16"/>
    <s v="PL_A"/>
    <x v="0"/>
    <x v="2"/>
    <s v="JAWO2-1_ST_COAL_BP"/>
    <x v="0"/>
    <x v="20"/>
    <n v="2147.0779130177302"/>
    <n v="783683.43825147103"/>
    <n v="2821260.3777053002"/>
  </r>
  <r>
    <x v="0"/>
    <x v="0"/>
    <x v="0"/>
    <x v="8"/>
    <x v="16"/>
    <s v="PL_A"/>
    <x v="0"/>
    <x v="2"/>
    <s v="JAWO2-1_ST_COAL_BP"/>
    <x v="0"/>
    <x v="21"/>
    <n v="2127.6985776044899"/>
    <n v="776609.98082563805"/>
    <n v="2795795.9309723"/>
  </r>
  <r>
    <x v="0"/>
    <x v="0"/>
    <x v="0"/>
    <x v="8"/>
    <x v="16"/>
    <s v="PL_A"/>
    <x v="0"/>
    <x v="2"/>
    <s v="JAWO2-1_ST_COAL_BP"/>
    <x v="0"/>
    <x v="22"/>
    <n v="1951.16407604455"/>
    <n v="712174.88775626"/>
    <n v="2563829.5959225399"/>
  </r>
  <r>
    <x v="0"/>
    <x v="0"/>
    <x v="0"/>
    <x v="8"/>
    <x v="16"/>
    <s v="PL_A"/>
    <x v="0"/>
    <x v="2"/>
    <s v="JAWO2-1_ST_COAL_BP"/>
    <x v="0"/>
    <x v="23"/>
    <n v="1920.4071542791501"/>
    <n v="700948.61131188902"/>
    <n v="2523415.0007227999"/>
  </r>
  <r>
    <x v="0"/>
    <x v="0"/>
    <x v="0"/>
    <x v="8"/>
    <x v="16"/>
    <s v="PL_A"/>
    <x v="0"/>
    <x v="2"/>
    <s v="KARO-2_ST_COAL_BP"/>
    <x v="0"/>
    <x v="0"/>
    <n v="198"/>
    <n v="72270"/>
    <n v="260172"/>
  </r>
  <r>
    <x v="0"/>
    <x v="0"/>
    <x v="0"/>
    <x v="8"/>
    <x v="16"/>
    <s v="PL_A"/>
    <x v="0"/>
    <x v="2"/>
    <s v="KARO-2_ST_COAL_BP"/>
    <x v="0"/>
    <x v="1"/>
    <n v="198"/>
    <n v="72270"/>
    <n v="260172"/>
  </r>
  <r>
    <x v="0"/>
    <x v="0"/>
    <x v="0"/>
    <x v="8"/>
    <x v="16"/>
    <s v="PL_A"/>
    <x v="0"/>
    <x v="2"/>
    <s v="KARO-2_ST_COAL_BP"/>
    <x v="0"/>
    <x v="18"/>
    <n v="198"/>
    <n v="72270"/>
    <n v="260172"/>
  </r>
  <r>
    <x v="0"/>
    <x v="0"/>
    <x v="0"/>
    <x v="8"/>
    <x v="16"/>
    <s v="PL_A"/>
    <x v="0"/>
    <x v="2"/>
    <s v="KARO-2_ST_COAL_BP"/>
    <x v="0"/>
    <x v="2"/>
    <n v="198"/>
    <n v="72270"/>
    <n v="260172"/>
  </r>
  <r>
    <x v="0"/>
    <x v="0"/>
    <x v="0"/>
    <x v="8"/>
    <x v="16"/>
    <s v="PL_A"/>
    <x v="0"/>
    <x v="2"/>
    <s v="KARO-2_ST_COAL_BP"/>
    <x v="0"/>
    <x v="3"/>
    <n v="198"/>
    <n v="72270"/>
    <n v="260172"/>
  </r>
  <r>
    <x v="0"/>
    <x v="0"/>
    <x v="0"/>
    <x v="8"/>
    <x v="16"/>
    <s v="PL_A"/>
    <x v="0"/>
    <x v="2"/>
    <s v="KARO-2_ST_COAL_BP"/>
    <x v="0"/>
    <x v="4"/>
    <n v="198"/>
    <n v="72270"/>
    <n v="260172"/>
  </r>
  <r>
    <x v="0"/>
    <x v="0"/>
    <x v="0"/>
    <x v="8"/>
    <x v="16"/>
    <s v="PL_A"/>
    <x v="0"/>
    <x v="2"/>
    <s v="KARO-2_ST_COAL_BP"/>
    <x v="0"/>
    <x v="5"/>
    <n v="198"/>
    <n v="72270"/>
    <n v="260172"/>
  </r>
  <r>
    <x v="0"/>
    <x v="0"/>
    <x v="0"/>
    <x v="8"/>
    <x v="16"/>
    <s v="PL_A"/>
    <x v="0"/>
    <x v="2"/>
    <s v="KARO-2_ST_COAL_BP"/>
    <x v="0"/>
    <x v="6"/>
    <n v="198"/>
    <n v="72270"/>
    <n v="260172"/>
  </r>
  <r>
    <x v="0"/>
    <x v="0"/>
    <x v="0"/>
    <x v="8"/>
    <x v="16"/>
    <s v="PL_A"/>
    <x v="0"/>
    <x v="2"/>
    <s v="KARO-2_ST_COAL_BP"/>
    <x v="0"/>
    <x v="7"/>
    <n v="198"/>
    <n v="72270"/>
    <n v="260172"/>
  </r>
  <r>
    <x v="0"/>
    <x v="0"/>
    <x v="0"/>
    <x v="8"/>
    <x v="16"/>
    <s v="PL_A"/>
    <x v="0"/>
    <x v="2"/>
    <s v="KARO-2_ST_COAL_BP"/>
    <x v="0"/>
    <x v="8"/>
    <n v="198"/>
    <n v="72270"/>
    <n v="260172"/>
  </r>
  <r>
    <x v="0"/>
    <x v="0"/>
    <x v="0"/>
    <x v="8"/>
    <x v="16"/>
    <s v="PL_A"/>
    <x v="0"/>
    <x v="2"/>
    <s v="KARO-2_ST_COAL_BP"/>
    <x v="0"/>
    <x v="9"/>
    <n v="198"/>
    <n v="72270"/>
    <n v="260172"/>
  </r>
  <r>
    <x v="0"/>
    <x v="0"/>
    <x v="0"/>
    <x v="8"/>
    <x v="16"/>
    <s v="PL_A"/>
    <x v="0"/>
    <x v="2"/>
    <s v="KARO-2_ST_COAL_BP"/>
    <x v="0"/>
    <x v="10"/>
    <n v="198"/>
    <n v="72270"/>
    <n v="260172"/>
  </r>
  <r>
    <x v="0"/>
    <x v="0"/>
    <x v="0"/>
    <x v="8"/>
    <x v="16"/>
    <s v="PL_A"/>
    <x v="0"/>
    <x v="2"/>
    <s v="KARO-2_ST_COAL_BP"/>
    <x v="0"/>
    <x v="11"/>
    <n v="177.94599023904601"/>
    <n v="64950.2864372517"/>
    <n v="233821.031174106"/>
  </r>
  <r>
    <x v="0"/>
    <x v="0"/>
    <x v="0"/>
    <x v="8"/>
    <x v="16"/>
    <s v="PL_A"/>
    <x v="0"/>
    <x v="2"/>
    <s v="KARO-2_ST_COAL_BP"/>
    <x v="0"/>
    <x v="12"/>
    <n v="127.882707088153"/>
    <n v="46677.188087175797"/>
    <n v="168037.877113833"/>
  </r>
  <r>
    <x v="0"/>
    <x v="0"/>
    <x v="0"/>
    <x v="8"/>
    <x v="16"/>
    <s v="PL_A"/>
    <x v="0"/>
    <x v="2"/>
    <s v="KARO-2_ST_COAL_BP"/>
    <x v="0"/>
    <x v="13"/>
    <n v="198"/>
    <n v="72270"/>
    <n v="260172"/>
  </r>
  <r>
    <x v="0"/>
    <x v="0"/>
    <x v="0"/>
    <x v="8"/>
    <x v="16"/>
    <s v="PL_A"/>
    <x v="0"/>
    <x v="2"/>
    <s v="KARO-2_ST_COAL_BP"/>
    <x v="0"/>
    <x v="14"/>
    <n v="74.589534701731097"/>
    <n v="27225.1801661319"/>
    <n v="98010.648598074695"/>
  </r>
  <r>
    <x v="0"/>
    <x v="0"/>
    <x v="0"/>
    <x v="8"/>
    <x v="16"/>
    <s v="PL_A"/>
    <x v="0"/>
    <x v="2"/>
    <s v="KARO-2_ST_COAL_BP"/>
    <x v="0"/>
    <x v="15"/>
    <n v="198"/>
    <n v="72270"/>
    <n v="260172"/>
  </r>
  <r>
    <x v="0"/>
    <x v="0"/>
    <x v="0"/>
    <x v="8"/>
    <x v="16"/>
    <s v="PL_A"/>
    <x v="0"/>
    <x v="2"/>
    <s v="KARO-2_ST_COAL_BP"/>
    <x v="0"/>
    <x v="16"/>
    <n v="37.445808493012301"/>
    <n v="13667.7200999495"/>
    <n v="49203.792359818202"/>
  </r>
  <r>
    <x v="0"/>
    <x v="0"/>
    <x v="0"/>
    <x v="8"/>
    <x v="16"/>
    <s v="PL_A"/>
    <x v="0"/>
    <x v="2"/>
    <s v="KARO-2_ST_COAL_BP"/>
    <x v="0"/>
    <x v="17"/>
    <n v="18.066473079760598"/>
    <n v="6594.2626741125996"/>
    <n v="23739.3456268054"/>
  </r>
  <r>
    <x v="0"/>
    <x v="0"/>
    <x v="0"/>
    <x v="8"/>
    <x v="16"/>
    <s v="PL_A"/>
    <x v="0"/>
    <x v="2"/>
    <s v="KARO-2_ST_COAL_BP"/>
    <x v="0"/>
    <x v="22"/>
    <n v="198"/>
    <n v="72270"/>
    <n v="260172"/>
  </r>
  <r>
    <x v="0"/>
    <x v="0"/>
    <x v="0"/>
    <x v="8"/>
    <x v="16"/>
    <s v="PL_A"/>
    <x v="0"/>
    <x v="2"/>
    <s v="KATO_ST_COAL_BP"/>
    <x v="0"/>
    <x v="0"/>
    <n v="123"/>
    <n v="44895"/>
    <n v="161622"/>
  </r>
  <r>
    <x v="0"/>
    <x v="0"/>
    <x v="0"/>
    <x v="8"/>
    <x v="16"/>
    <s v="PL_A"/>
    <x v="0"/>
    <x v="2"/>
    <s v="KATO_ST_COAL_BP"/>
    <x v="0"/>
    <x v="1"/>
    <n v="123"/>
    <n v="44895"/>
    <n v="161622"/>
  </r>
  <r>
    <x v="0"/>
    <x v="0"/>
    <x v="0"/>
    <x v="8"/>
    <x v="16"/>
    <s v="PL_A"/>
    <x v="0"/>
    <x v="2"/>
    <s v="KATO_ST_COAL_BP"/>
    <x v="0"/>
    <x v="18"/>
    <n v="123"/>
    <n v="44895"/>
    <n v="161622"/>
  </r>
  <r>
    <x v="0"/>
    <x v="0"/>
    <x v="0"/>
    <x v="8"/>
    <x v="16"/>
    <s v="PL_A"/>
    <x v="0"/>
    <x v="2"/>
    <s v="KATO_ST_COAL_BP"/>
    <x v="0"/>
    <x v="2"/>
    <n v="123"/>
    <n v="44895"/>
    <n v="161622"/>
  </r>
  <r>
    <x v="0"/>
    <x v="0"/>
    <x v="0"/>
    <x v="8"/>
    <x v="16"/>
    <s v="PL_A"/>
    <x v="0"/>
    <x v="2"/>
    <s v="KATO_ST_COAL_BP"/>
    <x v="0"/>
    <x v="3"/>
    <n v="123"/>
    <n v="44895"/>
    <n v="161622"/>
  </r>
  <r>
    <x v="0"/>
    <x v="0"/>
    <x v="0"/>
    <x v="8"/>
    <x v="16"/>
    <s v="PL_A"/>
    <x v="0"/>
    <x v="2"/>
    <s v="KATO_ST_COAL_BP"/>
    <x v="0"/>
    <x v="4"/>
    <n v="123"/>
    <n v="44895"/>
    <n v="161622"/>
  </r>
  <r>
    <x v="0"/>
    <x v="0"/>
    <x v="0"/>
    <x v="8"/>
    <x v="16"/>
    <s v="PL_A"/>
    <x v="0"/>
    <x v="2"/>
    <s v="KATO_ST_COAL_BP"/>
    <x v="0"/>
    <x v="5"/>
    <n v="123"/>
    <n v="44895"/>
    <n v="161622"/>
  </r>
  <r>
    <x v="0"/>
    <x v="0"/>
    <x v="0"/>
    <x v="8"/>
    <x v="16"/>
    <s v="PL_A"/>
    <x v="0"/>
    <x v="2"/>
    <s v="KATO_ST_COAL_BP"/>
    <x v="0"/>
    <x v="6"/>
    <n v="123"/>
    <n v="44895"/>
    <n v="161622"/>
  </r>
  <r>
    <x v="0"/>
    <x v="0"/>
    <x v="0"/>
    <x v="8"/>
    <x v="16"/>
    <s v="PL_A"/>
    <x v="0"/>
    <x v="2"/>
    <s v="KATO_ST_COAL_BP"/>
    <x v="0"/>
    <x v="7"/>
    <n v="123"/>
    <n v="44895"/>
    <n v="161622"/>
  </r>
  <r>
    <x v="0"/>
    <x v="0"/>
    <x v="0"/>
    <x v="8"/>
    <x v="16"/>
    <s v="PL_A"/>
    <x v="0"/>
    <x v="2"/>
    <s v="KATO_ST_COAL_BP"/>
    <x v="0"/>
    <x v="8"/>
    <n v="123"/>
    <n v="44895"/>
    <n v="161622"/>
  </r>
  <r>
    <x v="0"/>
    <x v="0"/>
    <x v="0"/>
    <x v="8"/>
    <x v="16"/>
    <s v="PL_A"/>
    <x v="0"/>
    <x v="2"/>
    <s v="KATO_ST_COAL_BP"/>
    <x v="0"/>
    <x v="9"/>
    <n v="123"/>
    <n v="44895"/>
    <n v="161622"/>
  </r>
  <r>
    <x v="0"/>
    <x v="0"/>
    <x v="0"/>
    <x v="8"/>
    <x v="16"/>
    <s v="PL_A"/>
    <x v="0"/>
    <x v="2"/>
    <s v="KATO_ST_COAL_BP"/>
    <x v="0"/>
    <x v="10"/>
    <n v="123"/>
    <n v="44895"/>
    <n v="161622"/>
  </r>
  <r>
    <x v="0"/>
    <x v="0"/>
    <x v="0"/>
    <x v="8"/>
    <x v="16"/>
    <s v="PL_A"/>
    <x v="0"/>
    <x v="2"/>
    <s v="KATO_ST_COAL_BP"/>
    <x v="0"/>
    <x v="11"/>
    <n v="123"/>
    <n v="44895"/>
    <n v="161622"/>
  </r>
  <r>
    <x v="0"/>
    <x v="0"/>
    <x v="0"/>
    <x v="8"/>
    <x v="16"/>
    <s v="PL_A"/>
    <x v="0"/>
    <x v="2"/>
    <s v="KATO_ST_COAL_BP"/>
    <x v="0"/>
    <x v="12"/>
    <n v="123"/>
    <n v="44895"/>
    <n v="161622"/>
  </r>
  <r>
    <x v="0"/>
    <x v="0"/>
    <x v="0"/>
    <x v="8"/>
    <x v="16"/>
    <s v="PL_A"/>
    <x v="0"/>
    <x v="2"/>
    <s v="KATO_ST_COAL_BP"/>
    <x v="0"/>
    <x v="13"/>
    <n v="123"/>
    <n v="44895"/>
    <n v="161622"/>
  </r>
  <r>
    <x v="0"/>
    <x v="0"/>
    <x v="0"/>
    <x v="8"/>
    <x v="16"/>
    <s v="PL_A"/>
    <x v="0"/>
    <x v="2"/>
    <s v="KATO_ST_COAL_BP"/>
    <x v="0"/>
    <x v="14"/>
    <n v="123"/>
    <n v="44895"/>
    <n v="161622"/>
  </r>
  <r>
    <x v="0"/>
    <x v="0"/>
    <x v="0"/>
    <x v="8"/>
    <x v="16"/>
    <s v="PL_A"/>
    <x v="0"/>
    <x v="2"/>
    <s v="KATO_ST_COAL_BP"/>
    <x v="0"/>
    <x v="15"/>
    <n v="123"/>
    <n v="44895"/>
    <n v="161622"/>
  </r>
  <r>
    <x v="0"/>
    <x v="0"/>
    <x v="0"/>
    <x v="8"/>
    <x v="16"/>
    <s v="PL_A"/>
    <x v="0"/>
    <x v="2"/>
    <s v="KATO_ST_COAL_BP"/>
    <x v="0"/>
    <x v="16"/>
    <n v="123"/>
    <n v="44895"/>
    <n v="161622"/>
  </r>
  <r>
    <x v="0"/>
    <x v="0"/>
    <x v="0"/>
    <x v="8"/>
    <x v="16"/>
    <s v="PL_A"/>
    <x v="0"/>
    <x v="2"/>
    <s v="KATO_ST_COAL_BP"/>
    <x v="0"/>
    <x v="17"/>
    <n v="123"/>
    <n v="44895"/>
    <n v="161622"/>
  </r>
  <r>
    <x v="0"/>
    <x v="0"/>
    <x v="0"/>
    <x v="8"/>
    <x v="16"/>
    <s v="PL_A"/>
    <x v="0"/>
    <x v="2"/>
    <s v="KATO_ST_COAL_BP"/>
    <x v="0"/>
    <x v="19"/>
    <n v="123"/>
    <n v="44895"/>
    <n v="161622"/>
  </r>
  <r>
    <x v="0"/>
    <x v="0"/>
    <x v="0"/>
    <x v="8"/>
    <x v="16"/>
    <s v="PL_A"/>
    <x v="0"/>
    <x v="2"/>
    <s v="KATO_ST_COAL_BP"/>
    <x v="0"/>
    <x v="20"/>
    <n v="123"/>
    <n v="44895"/>
    <n v="161622"/>
  </r>
  <r>
    <x v="0"/>
    <x v="0"/>
    <x v="0"/>
    <x v="8"/>
    <x v="16"/>
    <s v="PL_A"/>
    <x v="0"/>
    <x v="2"/>
    <s v="KATO_ST_COAL_BP"/>
    <x v="0"/>
    <x v="21"/>
    <n v="123"/>
    <n v="44895"/>
    <n v="161622"/>
  </r>
  <r>
    <x v="0"/>
    <x v="0"/>
    <x v="0"/>
    <x v="8"/>
    <x v="16"/>
    <s v="PL_A"/>
    <x v="0"/>
    <x v="2"/>
    <s v="KATO_ST_COAL_BP"/>
    <x v="0"/>
    <x v="22"/>
    <n v="123"/>
    <n v="44895"/>
    <n v="161622"/>
  </r>
  <r>
    <x v="0"/>
    <x v="0"/>
    <x v="0"/>
    <x v="8"/>
    <x v="16"/>
    <s v="PL_A"/>
    <x v="0"/>
    <x v="2"/>
    <s v="KATO_ST_COAL_BP"/>
    <x v="0"/>
    <x v="23"/>
    <n v="123"/>
    <n v="44895"/>
    <n v="161622"/>
  </r>
  <r>
    <x v="0"/>
    <x v="0"/>
    <x v="0"/>
    <x v="8"/>
    <x v="16"/>
    <s v="PL_A"/>
    <x v="0"/>
    <x v="0"/>
    <s v="KOZI-1_ST_COAL_EXT"/>
    <x v="0"/>
    <x v="0"/>
    <n v="146.666666666667"/>
    <n v="53533.333333333299"/>
    <n v="192720"/>
  </r>
  <r>
    <x v="0"/>
    <x v="0"/>
    <x v="0"/>
    <x v="8"/>
    <x v="16"/>
    <s v="PL_A"/>
    <x v="0"/>
    <x v="0"/>
    <s v="KOZI-1_ST_COAL_EXT"/>
    <x v="0"/>
    <x v="1"/>
    <n v="146.666666666667"/>
    <n v="53533.333333333299"/>
    <n v="192720"/>
  </r>
  <r>
    <x v="0"/>
    <x v="0"/>
    <x v="0"/>
    <x v="8"/>
    <x v="16"/>
    <s v="PL_A"/>
    <x v="0"/>
    <x v="0"/>
    <s v="KOZI-1_ST_COAL_EXT"/>
    <x v="0"/>
    <x v="18"/>
    <n v="146.666666666667"/>
    <n v="53533.333333333299"/>
    <n v="192720"/>
  </r>
  <r>
    <x v="0"/>
    <x v="0"/>
    <x v="0"/>
    <x v="8"/>
    <x v="16"/>
    <s v="PL_A"/>
    <x v="0"/>
    <x v="0"/>
    <s v="KOZI-1_ST_COAL_EXT"/>
    <x v="0"/>
    <x v="2"/>
    <n v="146.666666666667"/>
    <n v="53533.333333333299"/>
    <n v="192720"/>
  </r>
  <r>
    <x v="0"/>
    <x v="0"/>
    <x v="0"/>
    <x v="8"/>
    <x v="16"/>
    <s v="PL_A"/>
    <x v="0"/>
    <x v="0"/>
    <s v="KOZI-1_ST_COAL_EXT"/>
    <x v="0"/>
    <x v="3"/>
    <n v="146.666666666667"/>
    <n v="53533.333333333299"/>
    <n v="192720"/>
  </r>
  <r>
    <x v="0"/>
    <x v="0"/>
    <x v="0"/>
    <x v="8"/>
    <x v="16"/>
    <s v="PL_A"/>
    <x v="0"/>
    <x v="0"/>
    <s v="KOZI-1_ST_COAL_EXT"/>
    <x v="0"/>
    <x v="4"/>
    <n v="200"/>
    <n v="73000"/>
    <n v="262800"/>
  </r>
  <r>
    <x v="0"/>
    <x v="0"/>
    <x v="0"/>
    <x v="8"/>
    <x v="16"/>
    <s v="PL_A"/>
    <x v="0"/>
    <x v="0"/>
    <s v="KOZI-1_ST_COAL_EXT"/>
    <x v="0"/>
    <x v="5"/>
    <n v="200"/>
    <n v="73000"/>
    <n v="262800"/>
  </r>
  <r>
    <x v="0"/>
    <x v="0"/>
    <x v="0"/>
    <x v="8"/>
    <x v="16"/>
    <s v="PL_A"/>
    <x v="0"/>
    <x v="0"/>
    <s v="KOZI-1_ST_COAL_EXT"/>
    <x v="0"/>
    <x v="6"/>
    <n v="200"/>
    <n v="73000"/>
    <n v="262800"/>
  </r>
  <r>
    <x v="0"/>
    <x v="0"/>
    <x v="0"/>
    <x v="8"/>
    <x v="16"/>
    <s v="PL_A"/>
    <x v="0"/>
    <x v="0"/>
    <s v="KOZI-1_ST_COAL_EXT"/>
    <x v="0"/>
    <x v="7"/>
    <n v="200"/>
    <n v="73000"/>
    <n v="262800"/>
  </r>
  <r>
    <x v="0"/>
    <x v="0"/>
    <x v="0"/>
    <x v="8"/>
    <x v="16"/>
    <s v="PL_A"/>
    <x v="0"/>
    <x v="0"/>
    <s v="KOZI-1_ST_COAL_EXT"/>
    <x v="0"/>
    <x v="8"/>
    <n v="200"/>
    <n v="73000"/>
    <n v="262800"/>
  </r>
  <r>
    <x v="0"/>
    <x v="0"/>
    <x v="0"/>
    <x v="8"/>
    <x v="16"/>
    <s v="PL_A"/>
    <x v="0"/>
    <x v="0"/>
    <s v="KOZI-1_ST_COAL_EXT"/>
    <x v="0"/>
    <x v="9"/>
    <n v="200"/>
    <n v="73000"/>
    <n v="262800"/>
  </r>
  <r>
    <x v="0"/>
    <x v="0"/>
    <x v="0"/>
    <x v="8"/>
    <x v="16"/>
    <s v="PL_A"/>
    <x v="0"/>
    <x v="0"/>
    <s v="KOZI-1_ST_COAL_EXT"/>
    <x v="0"/>
    <x v="10"/>
    <n v="200"/>
    <n v="73000"/>
    <n v="262800"/>
  </r>
  <r>
    <x v="0"/>
    <x v="0"/>
    <x v="0"/>
    <x v="8"/>
    <x v="16"/>
    <s v="PL_A"/>
    <x v="0"/>
    <x v="0"/>
    <s v="KOZI-1_ST_COAL_EXT"/>
    <x v="0"/>
    <x v="11"/>
    <n v="200"/>
    <n v="73000"/>
    <n v="262800"/>
  </r>
  <r>
    <x v="0"/>
    <x v="0"/>
    <x v="0"/>
    <x v="8"/>
    <x v="16"/>
    <s v="PL_A"/>
    <x v="0"/>
    <x v="0"/>
    <s v="KOZI-1_ST_COAL_EXT"/>
    <x v="0"/>
    <x v="12"/>
    <n v="200"/>
    <n v="73000"/>
    <n v="262800"/>
  </r>
  <r>
    <x v="0"/>
    <x v="0"/>
    <x v="0"/>
    <x v="8"/>
    <x v="16"/>
    <s v="PL_A"/>
    <x v="0"/>
    <x v="0"/>
    <s v="KOZI-1_ST_COAL_EXT"/>
    <x v="0"/>
    <x v="13"/>
    <n v="200"/>
    <n v="73000"/>
    <n v="262800"/>
  </r>
  <r>
    <x v="0"/>
    <x v="0"/>
    <x v="0"/>
    <x v="8"/>
    <x v="16"/>
    <s v="PL_A"/>
    <x v="0"/>
    <x v="0"/>
    <s v="KOZI-1_ST_COAL_EXT"/>
    <x v="0"/>
    <x v="14"/>
    <n v="200"/>
    <n v="73000"/>
    <n v="262800"/>
  </r>
  <r>
    <x v="0"/>
    <x v="0"/>
    <x v="0"/>
    <x v="8"/>
    <x v="16"/>
    <s v="PL_A"/>
    <x v="0"/>
    <x v="0"/>
    <s v="KOZI-1_ST_COAL_EXT"/>
    <x v="0"/>
    <x v="15"/>
    <n v="200"/>
    <n v="73000"/>
    <n v="262800"/>
  </r>
  <r>
    <x v="0"/>
    <x v="0"/>
    <x v="0"/>
    <x v="8"/>
    <x v="16"/>
    <s v="PL_A"/>
    <x v="0"/>
    <x v="0"/>
    <s v="KOZI-1_ST_COAL_EXT"/>
    <x v="0"/>
    <x v="16"/>
    <n v="200"/>
    <n v="73000"/>
    <n v="262800"/>
  </r>
  <r>
    <x v="0"/>
    <x v="0"/>
    <x v="0"/>
    <x v="8"/>
    <x v="16"/>
    <s v="PL_A"/>
    <x v="0"/>
    <x v="0"/>
    <s v="KOZI-1_ST_COAL_EXT"/>
    <x v="0"/>
    <x v="17"/>
    <n v="200"/>
    <n v="73000"/>
    <n v="262800"/>
  </r>
  <r>
    <x v="0"/>
    <x v="0"/>
    <x v="0"/>
    <x v="8"/>
    <x v="16"/>
    <s v="PL_A"/>
    <x v="0"/>
    <x v="0"/>
    <s v="KOZI-1_ST_COAL_EXT"/>
    <x v="0"/>
    <x v="19"/>
    <n v="200"/>
    <n v="73000"/>
    <n v="262800"/>
  </r>
  <r>
    <x v="0"/>
    <x v="0"/>
    <x v="0"/>
    <x v="8"/>
    <x v="16"/>
    <s v="PL_A"/>
    <x v="0"/>
    <x v="0"/>
    <s v="KOZI-1_ST_COAL_EXT"/>
    <x v="0"/>
    <x v="20"/>
    <n v="200"/>
    <n v="73000"/>
    <n v="262800"/>
  </r>
  <r>
    <x v="0"/>
    <x v="0"/>
    <x v="0"/>
    <x v="8"/>
    <x v="16"/>
    <s v="PL_A"/>
    <x v="0"/>
    <x v="0"/>
    <s v="KOZI-1_ST_COAL_EXT"/>
    <x v="0"/>
    <x v="21"/>
    <n v="200"/>
    <n v="73000"/>
    <n v="262800"/>
  </r>
  <r>
    <x v="0"/>
    <x v="0"/>
    <x v="0"/>
    <x v="8"/>
    <x v="16"/>
    <s v="PL_A"/>
    <x v="0"/>
    <x v="0"/>
    <s v="KOZI-1_ST_COAL_EXT"/>
    <x v="0"/>
    <x v="22"/>
    <n v="200"/>
    <n v="73000"/>
    <n v="262800"/>
  </r>
  <r>
    <x v="0"/>
    <x v="0"/>
    <x v="0"/>
    <x v="8"/>
    <x v="16"/>
    <s v="PL_A"/>
    <x v="0"/>
    <x v="0"/>
    <s v="KOZI-1_ST_COAL_EXT"/>
    <x v="0"/>
    <x v="23"/>
    <n v="200"/>
    <n v="73000"/>
    <n v="262800"/>
  </r>
  <r>
    <x v="0"/>
    <x v="0"/>
    <x v="0"/>
    <x v="8"/>
    <x v="16"/>
    <s v="PL_A"/>
    <x v="0"/>
    <x v="2"/>
    <s v="KRLEG-1_ST_COAL_BP"/>
    <x v="0"/>
    <x v="0"/>
    <n v="215"/>
    <n v="78475"/>
    <n v="282510"/>
  </r>
  <r>
    <x v="0"/>
    <x v="0"/>
    <x v="0"/>
    <x v="8"/>
    <x v="16"/>
    <s v="PL_A"/>
    <x v="0"/>
    <x v="2"/>
    <s v="KRLEG-1_ST_COAL_BP"/>
    <x v="0"/>
    <x v="1"/>
    <n v="215"/>
    <n v="78475"/>
    <n v="282510"/>
  </r>
  <r>
    <x v="0"/>
    <x v="0"/>
    <x v="0"/>
    <x v="8"/>
    <x v="16"/>
    <s v="PL_A"/>
    <x v="0"/>
    <x v="2"/>
    <s v="KRLEG-1_ST_COAL_BP"/>
    <x v="0"/>
    <x v="18"/>
    <n v="215"/>
    <n v="78475"/>
    <n v="282510"/>
  </r>
  <r>
    <x v="0"/>
    <x v="0"/>
    <x v="0"/>
    <x v="8"/>
    <x v="16"/>
    <s v="PL_A"/>
    <x v="0"/>
    <x v="2"/>
    <s v="KRLEG-1_ST_COAL_BP"/>
    <x v="0"/>
    <x v="2"/>
    <n v="215"/>
    <n v="78475"/>
    <n v="282510"/>
  </r>
  <r>
    <x v="0"/>
    <x v="0"/>
    <x v="0"/>
    <x v="8"/>
    <x v="16"/>
    <s v="PL_A"/>
    <x v="0"/>
    <x v="2"/>
    <s v="KRLEG-1_ST_COAL_BP"/>
    <x v="0"/>
    <x v="3"/>
    <n v="215"/>
    <n v="78475"/>
    <n v="282510"/>
  </r>
  <r>
    <x v="0"/>
    <x v="0"/>
    <x v="0"/>
    <x v="8"/>
    <x v="16"/>
    <s v="PL_A"/>
    <x v="0"/>
    <x v="2"/>
    <s v="KRLEG-1_ST_COAL_BP"/>
    <x v="0"/>
    <x v="4"/>
    <n v="215"/>
    <n v="78475"/>
    <n v="282510"/>
  </r>
  <r>
    <x v="0"/>
    <x v="0"/>
    <x v="0"/>
    <x v="8"/>
    <x v="16"/>
    <s v="PL_A"/>
    <x v="0"/>
    <x v="2"/>
    <s v="KRLEG-1_ST_COAL_BP"/>
    <x v="0"/>
    <x v="5"/>
    <n v="215"/>
    <n v="78475"/>
    <n v="282510"/>
  </r>
  <r>
    <x v="0"/>
    <x v="0"/>
    <x v="0"/>
    <x v="8"/>
    <x v="16"/>
    <s v="PL_A"/>
    <x v="0"/>
    <x v="2"/>
    <s v="KRLEG-1_ST_COAL_BP"/>
    <x v="0"/>
    <x v="6"/>
    <n v="215"/>
    <n v="78475"/>
    <n v="282510"/>
  </r>
  <r>
    <x v="0"/>
    <x v="0"/>
    <x v="0"/>
    <x v="8"/>
    <x v="16"/>
    <s v="PL_A"/>
    <x v="0"/>
    <x v="2"/>
    <s v="KRLEG-1_ST_COAL_BP"/>
    <x v="0"/>
    <x v="7"/>
    <n v="215"/>
    <n v="78475"/>
    <n v="282510"/>
  </r>
  <r>
    <x v="0"/>
    <x v="0"/>
    <x v="0"/>
    <x v="8"/>
    <x v="16"/>
    <s v="PL_A"/>
    <x v="0"/>
    <x v="2"/>
    <s v="KRLEG-1_ST_COAL_BP"/>
    <x v="0"/>
    <x v="8"/>
    <n v="215"/>
    <n v="78475"/>
    <n v="282510"/>
  </r>
  <r>
    <x v="0"/>
    <x v="0"/>
    <x v="0"/>
    <x v="8"/>
    <x v="16"/>
    <s v="PL_A"/>
    <x v="0"/>
    <x v="2"/>
    <s v="KRLEG-1_ST_COAL_BP"/>
    <x v="0"/>
    <x v="9"/>
    <n v="215"/>
    <n v="78475"/>
    <n v="282510"/>
  </r>
  <r>
    <x v="0"/>
    <x v="0"/>
    <x v="0"/>
    <x v="8"/>
    <x v="16"/>
    <s v="PL_A"/>
    <x v="0"/>
    <x v="2"/>
    <s v="KRLEG-1_ST_COAL_BP"/>
    <x v="0"/>
    <x v="10"/>
    <n v="215"/>
    <n v="78475"/>
    <n v="282510"/>
  </r>
  <r>
    <x v="0"/>
    <x v="0"/>
    <x v="0"/>
    <x v="8"/>
    <x v="16"/>
    <s v="PL_A"/>
    <x v="0"/>
    <x v="2"/>
    <s v="KRLEG-1_ST_COAL_BP"/>
    <x v="0"/>
    <x v="11"/>
    <n v="215"/>
    <n v="78475"/>
    <n v="282510"/>
  </r>
  <r>
    <x v="0"/>
    <x v="0"/>
    <x v="0"/>
    <x v="8"/>
    <x v="16"/>
    <s v="PL_A"/>
    <x v="0"/>
    <x v="2"/>
    <s v="KRLEG-1_ST_COAL_BP"/>
    <x v="0"/>
    <x v="12"/>
    <n v="215"/>
    <n v="78475"/>
    <n v="282510"/>
  </r>
  <r>
    <x v="0"/>
    <x v="0"/>
    <x v="0"/>
    <x v="8"/>
    <x v="16"/>
    <s v="PL_A"/>
    <x v="0"/>
    <x v="2"/>
    <s v="KRLEG-1_ST_COAL_BP"/>
    <x v="0"/>
    <x v="13"/>
    <n v="215"/>
    <n v="78475"/>
    <n v="282510"/>
  </r>
  <r>
    <x v="0"/>
    <x v="0"/>
    <x v="0"/>
    <x v="8"/>
    <x v="16"/>
    <s v="PL_A"/>
    <x v="0"/>
    <x v="2"/>
    <s v="KRLEG-1_ST_COAL_BP"/>
    <x v="0"/>
    <x v="14"/>
    <n v="215"/>
    <n v="78475"/>
    <n v="282510"/>
  </r>
  <r>
    <x v="0"/>
    <x v="0"/>
    <x v="0"/>
    <x v="8"/>
    <x v="16"/>
    <s v="PL_A"/>
    <x v="0"/>
    <x v="2"/>
    <s v="KRLEG-1_ST_COAL_BP"/>
    <x v="0"/>
    <x v="15"/>
    <n v="215"/>
    <n v="78475"/>
    <n v="282510"/>
  </r>
  <r>
    <x v="0"/>
    <x v="0"/>
    <x v="0"/>
    <x v="8"/>
    <x v="16"/>
    <s v="PL_A"/>
    <x v="0"/>
    <x v="2"/>
    <s v="KRLEG-1_ST_COAL_BP"/>
    <x v="0"/>
    <x v="16"/>
    <n v="215"/>
    <n v="78475"/>
    <n v="282510"/>
  </r>
  <r>
    <x v="0"/>
    <x v="0"/>
    <x v="0"/>
    <x v="8"/>
    <x v="16"/>
    <s v="PL_A"/>
    <x v="0"/>
    <x v="2"/>
    <s v="KRLEG-1_ST_COAL_BP"/>
    <x v="0"/>
    <x v="17"/>
    <n v="215"/>
    <n v="78475"/>
    <n v="282510"/>
  </r>
  <r>
    <x v="0"/>
    <x v="0"/>
    <x v="0"/>
    <x v="8"/>
    <x v="16"/>
    <s v="PL_A"/>
    <x v="0"/>
    <x v="2"/>
    <s v="KRLEG-1_ST_COAL_BP"/>
    <x v="0"/>
    <x v="19"/>
    <n v="215"/>
    <n v="78475"/>
    <n v="282510"/>
  </r>
  <r>
    <x v="0"/>
    <x v="0"/>
    <x v="0"/>
    <x v="8"/>
    <x v="16"/>
    <s v="PL_A"/>
    <x v="0"/>
    <x v="2"/>
    <s v="KRLEG-1_ST_COAL_BP"/>
    <x v="0"/>
    <x v="20"/>
    <n v="215"/>
    <n v="78475"/>
    <n v="282510"/>
  </r>
  <r>
    <x v="0"/>
    <x v="0"/>
    <x v="0"/>
    <x v="8"/>
    <x v="16"/>
    <s v="PL_A"/>
    <x v="0"/>
    <x v="2"/>
    <s v="KRLEG-1_ST_COAL_BP"/>
    <x v="0"/>
    <x v="21"/>
    <n v="215"/>
    <n v="78475"/>
    <n v="282510"/>
  </r>
  <r>
    <x v="0"/>
    <x v="0"/>
    <x v="0"/>
    <x v="8"/>
    <x v="16"/>
    <s v="PL_A"/>
    <x v="0"/>
    <x v="2"/>
    <s v="KRLEG-1_ST_COAL_BP"/>
    <x v="0"/>
    <x v="22"/>
    <n v="215"/>
    <n v="78475"/>
    <n v="282510"/>
  </r>
  <r>
    <x v="0"/>
    <x v="0"/>
    <x v="0"/>
    <x v="8"/>
    <x v="16"/>
    <s v="PL_A"/>
    <x v="0"/>
    <x v="2"/>
    <s v="KRLEG-1_ST_COAL_BP"/>
    <x v="0"/>
    <x v="23"/>
    <n v="215"/>
    <n v="78475"/>
    <n v="282510"/>
  </r>
  <r>
    <x v="0"/>
    <x v="0"/>
    <x v="0"/>
    <x v="8"/>
    <x v="16"/>
    <s v="PL_A"/>
    <x v="0"/>
    <x v="0"/>
    <s v="LAZI-1_ST_COAL_EXT"/>
    <x v="0"/>
    <x v="0"/>
    <n v="75.750853242320801"/>
    <n v="27649.061433447099"/>
    <n v="99536.621160409602"/>
  </r>
  <r>
    <x v="0"/>
    <x v="0"/>
    <x v="0"/>
    <x v="8"/>
    <x v="16"/>
    <s v="PL_A"/>
    <x v="0"/>
    <x v="0"/>
    <s v="LAZI-1_ST_COAL_EXT"/>
    <x v="0"/>
    <x v="1"/>
    <n v="75.750853242320801"/>
    <n v="27649.061433447099"/>
    <n v="99536.621160409602"/>
  </r>
  <r>
    <x v="0"/>
    <x v="0"/>
    <x v="0"/>
    <x v="8"/>
    <x v="16"/>
    <s v="PL_A"/>
    <x v="0"/>
    <x v="0"/>
    <s v="LAZI-1_ST_COAL_EXT"/>
    <x v="0"/>
    <x v="18"/>
    <n v="75.750853242320801"/>
    <n v="27649.061433447099"/>
    <n v="99536.621160409602"/>
  </r>
  <r>
    <x v="0"/>
    <x v="0"/>
    <x v="0"/>
    <x v="8"/>
    <x v="16"/>
    <s v="PL_A"/>
    <x v="0"/>
    <x v="0"/>
    <s v="LAZI-1_ST_COAL_EXT"/>
    <x v="0"/>
    <x v="2"/>
    <n v="75.750853242320801"/>
    <n v="27649.061433447099"/>
    <n v="99536.621160409602"/>
  </r>
  <r>
    <x v="0"/>
    <x v="0"/>
    <x v="0"/>
    <x v="8"/>
    <x v="16"/>
    <s v="PL_A"/>
    <x v="0"/>
    <x v="0"/>
    <s v="LAZI-1_ST_COAL_EXT"/>
    <x v="0"/>
    <x v="3"/>
    <n v="75.750853242320801"/>
    <n v="27649.061433447099"/>
    <n v="99536.621160409602"/>
  </r>
  <r>
    <x v="0"/>
    <x v="0"/>
    <x v="0"/>
    <x v="8"/>
    <x v="16"/>
    <s v="PL_A"/>
    <x v="0"/>
    <x v="0"/>
    <s v="LAZI-1_ST_COAL_EXT"/>
    <x v="0"/>
    <x v="4"/>
    <n v="115"/>
    <n v="41975"/>
    <n v="151110"/>
  </r>
  <r>
    <x v="0"/>
    <x v="0"/>
    <x v="0"/>
    <x v="8"/>
    <x v="16"/>
    <s v="PL_A"/>
    <x v="0"/>
    <x v="0"/>
    <s v="LAZI-1_ST_COAL_EXT"/>
    <x v="0"/>
    <x v="5"/>
    <n v="115"/>
    <n v="41975"/>
    <n v="151110"/>
  </r>
  <r>
    <x v="0"/>
    <x v="0"/>
    <x v="0"/>
    <x v="8"/>
    <x v="16"/>
    <s v="PL_A"/>
    <x v="0"/>
    <x v="0"/>
    <s v="LAZI-1_ST_COAL_EXT"/>
    <x v="0"/>
    <x v="6"/>
    <n v="115"/>
    <n v="41975"/>
    <n v="151110"/>
  </r>
  <r>
    <x v="0"/>
    <x v="0"/>
    <x v="0"/>
    <x v="8"/>
    <x v="16"/>
    <s v="PL_A"/>
    <x v="0"/>
    <x v="0"/>
    <s v="LAZI-1_ST_COAL_EXT"/>
    <x v="0"/>
    <x v="7"/>
    <n v="115"/>
    <n v="41975"/>
    <n v="151110"/>
  </r>
  <r>
    <x v="0"/>
    <x v="0"/>
    <x v="0"/>
    <x v="8"/>
    <x v="16"/>
    <s v="PL_A"/>
    <x v="0"/>
    <x v="0"/>
    <s v="LAZI-1_ST_COAL_EXT"/>
    <x v="0"/>
    <x v="8"/>
    <n v="115"/>
    <n v="41975"/>
    <n v="151110"/>
  </r>
  <r>
    <x v="0"/>
    <x v="0"/>
    <x v="0"/>
    <x v="8"/>
    <x v="16"/>
    <s v="PL_A"/>
    <x v="0"/>
    <x v="0"/>
    <s v="LAZI-1_ST_COAL_EXT"/>
    <x v="0"/>
    <x v="9"/>
    <n v="115"/>
    <n v="41975"/>
    <n v="151110"/>
  </r>
  <r>
    <x v="0"/>
    <x v="0"/>
    <x v="0"/>
    <x v="8"/>
    <x v="16"/>
    <s v="PL_A"/>
    <x v="0"/>
    <x v="0"/>
    <s v="LAZI-1_ST_COAL_EXT"/>
    <x v="0"/>
    <x v="10"/>
    <n v="115"/>
    <n v="41975"/>
    <n v="151110"/>
  </r>
  <r>
    <x v="0"/>
    <x v="0"/>
    <x v="0"/>
    <x v="8"/>
    <x v="16"/>
    <s v="PL_A"/>
    <x v="0"/>
    <x v="0"/>
    <s v="LAZI-1_ST_COAL_EXT"/>
    <x v="0"/>
    <x v="11"/>
    <n v="115"/>
    <n v="41975"/>
    <n v="151110"/>
  </r>
  <r>
    <x v="0"/>
    <x v="0"/>
    <x v="0"/>
    <x v="8"/>
    <x v="16"/>
    <s v="PL_A"/>
    <x v="0"/>
    <x v="0"/>
    <s v="LAZI-1_ST_COAL_EXT"/>
    <x v="0"/>
    <x v="12"/>
    <n v="115"/>
    <n v="41975"/>
    <n v="151110"/>
  </r>
  <r>
    <x v="0"/>
    <x v="0"/>
    <x v="0"/>
    <x v="8"/>
    <x v="16"/>
    <s v="PL_A"/>
    <x v="0"/>
    <x v="0"/>
    <s v="LAZI-1_ST_COAL_EXT"/>
    <x v="0"/>
    <x v="13"/>
    <n v="115"/>
    <n v="41975"/>
    <n v="151110"/>
  </r>
  <r>
    <x v="0"/>
    <x v="0"/>
    <x v="0"/>
    <x v="8"/>
    <x v="16"/>
    <s v="PL_A"/>
    <x v="0"/>
    <x v="0"/>
    <s v="LAZI-1_ST_COAL_EXT"/>
    <x v="0"/>
    <x v="14"/>
    <n v="115"/>
    <n v="41975"/>
    <n v="151110"/>
  </r>
  <r>
    <x v="0"/>
    <x v="0"/>
    <x v="0"/>
    <x v="8"/>
    <x v="16"/>
    <s v="PL_A"/>
    <x v="0"/>
    <x v="0"/>
    <s v="LAZI-1_ST_COAL_EXT"/>
    <x v="0"/>
    <x v="15"/>
    <n v="115"/>
    <n v="41975"/>
    <n v="151110"/>
  </r>
  <r>
    <x v="0"/>
    <x v="0"/>
    <x v="0"/>
    <x v="8"/>
    <x v="16"/>
    <s v="PL_A"/>
    <x v="0"/>
    <x v="0"/>
    <s v="LAZI-1_ST_COAL_EXT"/>
    <x v="0"/>
    <x v="16"/>
    <n v="115"/>
    <n v="41975"/>
    <n v="151110"/>
  </r>
  <r>
    <x v="0"/>
    <x v="0"/>
    <x v="0"/>
    <x v="8"/>
    <x v="16"/>
    <s v="PL_A"/>
    <x v="0"/>
    <x v="0"/>
    <s v="LAZI-1_ST_COAL_EXT"/>
    <x v="0"/>
    <x v="17"/>
    <n v="115"/>
    <n v="41975"/>
    <n v="151110"/>
  </r>
  <r>
    <x v="0"/>
    <x v="0"/>
    <x v="0"/>
    <x v="8"/>
    <x v="16"/>
    <s v="PL_A"/>
    <x v="0"/>
    <x v="0"/>
    <s v="LAZI-1_ST_COAL_EXT"/>
    <x v="0"/>
    <x v="19"/>
    <n v="115"/>
    <n v="41975"/>
    <n v="151110"/>
  </r>
  <r>
    <x v="0"/>
    <x v="0"/>
    <x v="0"/>
    <x v="8"/>
    <x v="16"/>
    <s v="PL_A"/>
    <x v="0"/>
    <x v="0"/>
    <s v="LAZI-1_ST_COAL_EXT"/>
    <x v="0"/>
    <x v="20"/>
    <n v="115"/>
    <n v="41975"/>
    <n v="151110"/>
  </r>
  <r>
    <x v="0"/>
    <x v="0"/>
    <x v="0"/>
    <x v="8"/>
    <x v="16"/>
    <s v="PL_A"/>
    <x v="0"/>
    <x v="0"/>
    <s v="LAZI-1_ST_COAL_EXT"/>
    <x v="0"/>
    <x v="21"/>
    <n v="115"/>
    <n v="41975"/>
    <n v="151110"/>
  </r>
  <r>
    <x v="0"/>
    <x v="0"/>
    <x v="0"/>
    <x v="8"/>
    <x v="16"/>
    <s v="PL_A"/>
    <x v="0"/>
    <x v="0"/>
    <s v="LAZI-1_ST_COAL_EXT"/>
    <x v="0"/>
    <x v="22"/>
    <n v="115"/>
    <n v="41975"/>
    <n v="151110"/>
  </r>
  <r>
    <x v="0"/>
    <x v="0"/>
    <x v="0"/>
    <x v="8"/>
    <x v="16"/>
    <s v="PL_A"/>
    <x v="0"/>
    <x v="0"/>
    <s v="LAZI-1_ST_COAL_EXT"/>
    <x v="0"/>
    <x v="23"/>
    <n v="115"/>
    <n v="41975"/>
    <n v="151110"/>
  </r>
  <r>
    <x v="0"/>
    <x v="0"/>
    <x v="0"/>
    <x v="8"/>
    <x v="16"/>
    <s v="PL_A"/>
    <x v="0"/>
    <x v="2"/>
    <s v="SIEK-1_ST_COAL_BP"/>
    <x v="0"/>
    <x v="3"/>
    <n v="127.119941903667"/>
    <n v="46398.778794838297"/>
    <n v="167035.60366141799"/>
  </r>
  <r>
    <x v="0"/>
    <x v="0"/>
    <x v="0"/>
    <x v="8"/>
    <x v="16"/>
    <s v="PL_A"/>
    <x v="0"/>
    <x v="2"/>
    <s v="SIER-1_ST_COAL_BP"/>
    <x v="0"/>
    <x v="0"/>
    <n v="623"/>
    <n v="227395"/>
    <n v="818622"/>
  </r>
  <r>
    <x v="0"/>
    <x v="0"/>
    <x v="0"/>
    <x v="8"/>
    <x v="16"/>
    <s v="PL_A"/>
    <x v="0"/>
    <x v="2"/>
    <s v="SIER-1_ST_COAL_BP"/>
    <x v="0"/>
    <x v="1"/>
    <n v="623"/>
    <n v="227395"/>
    <n v="818622"/>
  </r>
  <r>
    <x v="0"/>
    <x v="0"/>
    <x v="0"/>
    <x v="8"/>
    <x v="16"/>
    <s v="PL_A"/>
    <x v="0"/>
    <x v="2"/>
    <s v="SIER-1_ST_COAL_BP"/>
    <x v="0"/>
    <x v="18"/>
    <n v="623"/>
    <n v="227395"/>
    <n v="818622"/>
  </r>
  <r>
    <x v="0"/>
    <x v="0"/>
    <x v="0"/>
    <x v="8"/>
    <x v="16"/>
    <s v="PL_A"/>
    <x v="0"/>
    <x v="2"/>
    <s v="SIER-1_ST_COAL_BP"/>
    <x v="0"/>
    <x v="2"/>
    <n v="623"/>
    <n v="227395"/>
    <n v="818622"/>
  </r>
  <r>
    <x v="0"/>
    <x v="0"/>
    <x v="0"/>
    <x v="8"/>
    <x v="16"/>
    <s v="PL_A"/>
    <x v="0"/>
    <x v="2"/>
    <s v="SIER-1_ST_COAL_BP"/>
    <x v="0"/>
    <x v="3"/>
    <n v="623"/>
    <n v="227395"/>
    <n v="818622"/>
  </r>
  <r>
    <x v="0"/>
    <x v="0"/>
    <x v="0"/>
    <x v="8"/>
    <x v="16"/>
    <s v="PL_A"/>
    <x v="0"/>
    <x v="2"/>
    <s v="SIER-1_ST_COAL_BP"/>
    <x v="0"/>
    <x v="4"/>
    <n v="623"/>
    <n v="227395"/>
    <n v="818622"/>
  </r>
  <r>
    <x v="0"/>
    <x v="0"/>
    <x v="0"/>
    <x v="8"/>
    <x v="16"/>
    <s v="PL_A"/>
    <x v="0"/>
    <x v="2"/>
    <s v="SIER-1_ST_COAL_BP"/>
    <x v="0"/>
    <x v="5"/>
    <n v="623"/>
    <n v="227395"/>
    <n v="818622"/>
  </r>
  <r>
    <x v="0"/>
    <x v="0"/>
    <x v="0"/>
    <x v="8"/>
    <x v="16"/>
    <s v="PL_A"/>
    <x v="0"/>
    <x v="2"/>
    <s v="SIER-1_ST_COAL_BP"/>
    <x v="0"/>
    <x v="6"/>
    <n v="623"/>
    <n v="227395"/>
    <n v="818622"/>
  </r>
  <r>
    <x v="0"/>
    <x v="0"/>
    <x v="0"/>
    <x v="8"/>
    <x v="16"/>
    <s v="PL_A"/>
    <x v="0"/>
    <x v="2"/>
    <s v="SIER-1_ST_COAL_BP"/>
    <x v="0"/>
    <x v="7"/>
    <n v="623"/>
    <n v="227395"/>
    <n v="818622"/>
  </r>
  <r>
    <x v="0"/>
    <x v="0"/>
    <x v="0"/>
    <x v="8"/>
    <x v="16"/>
    <s v="PL_A"/>
    <x v="0"/>
    <x v="2"/>
    <s v="SIER-1_ST_COAL_BP"/>
    <x v="0"/>
    <x v="8"/>
    <n v="623"/>
    <n v="227395"/>
    <n v="818622"/>
  </r>
  <r>
    <x v="0"/>
    <x v="0"/>
    <x v="0"/>
    <x v="8"/>
    <x v="16"/>
    <s v="PL_A"/>
    <x v="0"/>
    <x v="2"/>
    <s v="SIER-1_ST_COAL_BP"/>
    <x v="0"/>
    <x v="9"/>
    <n v="623"/>
    <n v="227395"/>
    <n v="818622"/>
  </r>
  <r>
    <x v="0"/>
    <x v="0"/>
    <x v="0"/>
    <x v="8"/>
    <x v="16"/>
    <s v="PL_A"/>
    <x v="0"/>
    <x v="2"/>
    <s v="SIER-1_ST_COAL_BP"/>
    <x v="0"/>
    <x v="10"/>
    <n v="623"/>
    <n v="227395"/>
    <n v="818622"/>
  </r>
  <r>
    <x v="0"/>
    <x v="0"/>
    <x v="0"/>
    <x v="8"/>
    <x v="16"/>
    <s v="PL_A"/>
    <x v="0"/>
    <x v="2"/>
    <s v="SIER-1_ST_COAL_BP"/>
    <x v="0"/>
    <x v="11"/>
    <n v="623"/>
    <n v="227395"/>
    <n v="818622"/>
  </r>
  <r>
    <x v="0"/>
    <x v="0"/>
    <x v="0"/>
    <x v="8"/>
    <x v="16"/>
    <s v="PL_A"/>
    <x v="0"/>
    <x v="2"/>
    <s v="SIER-1_ST_COAL_BP"/>
    <x v="0"/>
    <x v="12"/>
    <n v="623"/>
    <n v="227395"/>
    <n v="818622"/>
  </r>
  <r>
    <x v="0"/>
    <x v="0"/>
    <x v="0"/>
    <x v="8"/>
    <x v="16"/>
    <s v="PL_A"/>
    <x v="0"/>
    <x v="2"/>
    <s v="SIER-1_ST_COAL_BP"/>
    <x v="0"/>
    <x v="13"/>
    <n v="623"/>
    <n v="227395"/>
    <n v="818622"/>
  </r>
  <r>
    <x v="0"/>
    <x v="0"/>
    <x v="0"/>
    <x v="8"/>
    <x v="16"/>
    <s v="PL_A"/>
    <x v="0"/>
    <x v="2"/>
    <s v="SIER-1_ST_COAL_BP"/>
    <x v="0"/>
    <x v="14"/>
    <n v="623"/>
    <n v="227395"/>
    <n v="818622"/>
  </r>
  <r>
    <x v="0"/>
    <x v="0"/>
    <x v="0"/>
    <x v="8"/>
    <x v="16"/>
    <s v="PL_A"/>
    <x v="0"/>
    <x v="2"/>
    <s v="SIER-1_ST_COAL_BP"/>
    <x v="0"/>
    <x v="15"/>
    <n v="623"/>
    <n v="227395"/>
    <n v="818622"/>
  </r>
  <r>
    <x v="0"/>
    <x v="0"/>
    <x v="0"/>
    <x v="8"/>
    <x v="16"/>
    <s v="PL_A"/>
    <x v="0"/>
    <x v="2"/>
    <s v="SIER-1_ST_COAL_BP"/>
    <x v="0"/>
    <x v="16"/>
    <n v="623"/>
    <n v="227395"/>
    <n v="818622"/>
  </r>
  <r>
    <x v="0"/>
    <x v="0"/>
    <x v="0"/>
    <x v="8"/>
    <x v="16"/>
    <s v="PL_A"/>
    <x v="0"/>
    <x v="2"/>
    <s v="SIER-1_ST_COAL_BP"/>
    <x v="0"/>
    <x v="17"/>
    <n v="623"/>
    <n v="227395"/>
    <n v="818622"/>
  </r>
  <r>
    <x v="0"/>
    <x v="0"/>
    <x v="0"/>
    <x v="8"/>
    <x v="16"/>
    <s v="PL_A"/>
    <x v="0"/>
    <x v="2"/>
    <s v="SIER-1_ST_COAL_BP"/>
    <x v="0"/>
    <x v="19"/>
    <n v="623"/>
    <n v="227395"/>
    <n v="818622"/>
  </r>
  <r>
    <x v="0"/>
    <x v="0"/>
    <x v="0"/>
    <x v="8"/>
    <x v="16"/>
    <s v="PL_A"/>
    <x v="0"/>
    <x v="2"/>
    <s v="SIER-1_ST_COAL_BP"/>
    <x v="0"/>
    <x v="20"/>
    <n v="623"/>
    <n v="227395"/>
    <n v="818622"/>
  </r>
  <r>
    <x v="0"/>
    <x v="0"/>
    <x v="0"/>
    <x v="8"/>
    <x v="16"/>
    <s v="PL_A"/>
    <x v="0"/>
    <x v="2"/>
    <s v="SIER-1_ST_COAL_BP"/>
    <x v="0"/>
    <x v="21"/>
    <n v="623"/>
    <n v="227395"/>
    <n v="818622"/>
  </r>
  <r>
    <x v="0"/>
    <x v="0"/>
    <x v="0"/>
    <x v="8"/>
    <x v="16"/>
    <s v="PL_A"/>
    <x v="0"/>
    <x v="2"/>
    <s v="SIER-1_ST_COAL_BP"/>
    <x v="0"/>
    <x v="22"/>
    <n v="623"/>
    <n v="227395"/>
    <n v="818622"/>
  </r>
  <r>
    <x v="0"/>
    <x v="0"/>
    <x v="0"/>
    <x v="8"/>
    <x v="16"/>
    <s v="PL_A"/>
    <x v="0"/>
    <x v="2"/>
    <s v="SIER-1_ST_COAL_BP"/>
    <x v="0"/>
    <x v="23"/>
    <n v="623"/>
    <n v="227395"/>
    <n v="818622"/>
  </r>
  <r>
    <x v="0"/>
    <x v="0"/>
    <x v="0"/>
    <x v="8"/>
    <x v="16"/>
    <s v="PL_A"/>
    <x v="0"/>
    <x v="2"/>
    <s v="TYCH_ST_COAL_BP"/>
    <x v="0"/>
    <x v="0"/>
    <n v="36"/>
    <n v="13140"/>
    <n v="47304"/>
  </r>
  <r>
    <x v="0"/>
    <x v="0"/>
    <x v="0"/>
    <x v="8"/>
    <x v="16"/>
    <s v="PL_A"/>
    <x v="0"/>
    <x v="2"/>
    <s v="TYCH_ST_COAL_BP"/>
    <x v="0"/>
    <x v="1"/>
    <n v="36"/>
    <n v="13140"/>
    <n v="47304"/>
  </r>
  <r>
    <x v="0"/>
    <x v="0"/>
    <x v="0"/>
    <x v="8"/>
    <x v="16"/>
    <s v="PL_A"/>
    <x v="0"/>
    <x v="2"/>
    <s v="TYCH_ST_COAL_BP"/>
    <x v="0"/>
    <x v="18"/>
    <n v="36"/>
    <n v="13140"/>
    <n v="47304"/>
  </r>
  <r>
    <x v="0"/>
    <x v="0"/>
    <x v="0"/>
    <x v="8"/>
    <x v="16"/>
    <s v="PL_A"/>
    <x v="0"/>
    <x v="2"/>
    <s v="TYCH_ST_COAL_BP"/>
    <x v="0"/>
    <x v="2"/>
    <n v="36"/>
    <n v="13140"/>
    <n v="47304"/>
  </r>
  <r>
    <x v="0"/>
    <x v="0"/>
    <x v="0"/>
    <x v="8"/>
    <x v="16"/>
    <s v="PL_A"/>
    <x v="0"/>
    <x v="2"/>
    <s v="TYCH_ST_COAL_BP"/>
    <x v="0"/>
    <x v="3"/>
    <n v="36"/>
    <n v="13140"/>
    <n v="47304"/>
  </r>
  <r>
    <x v="0"/>
    <x v="0"/>
    <x v="0"/>
    <x v="8"/>
    <x v="16"/>
    <s v="PL_A"/>
    <x v="0"/>
    <x v="2"/>
    <s v="TYCH_ST_COAL_BP"/>
    <x v="0"/>
    <x v="4"/>
    <n v="36"/>
    <n v="13140"/>
    <n v="47304"/>
  </r>
  <r>
    <x v="0"/>
    <x v="0"/>
    <x v="0"/>
    <x v="8"/>
    <x v="16"/>
    <s v="PL_A"/>
    <x v="0"/>
    <x v="2"/>
    <s v="TYCH_ST_COAL_BP"/>
    <x v="0"/>
    <x v="5"/>
    <n v="36"/>
    <n v="13140"/>
    <n v="47304"/>
  </r>
  <r>
    <x v="0"/>
    <x v="0"/>
    <x v="0"/>
    <x v="8"/>
    <x v="16"/>
    <s v="PL_A"/>
    <x v="0"/>
    <x v="2"/>
    <s v="TYCH_ST_COAL_BP"/>
    <x v="0"/>
    <x v="6"/>
    <n v="36"/>
    <n v="13140"/>
    <n v="47304"/>
  </r>
  <r>
    <x v="0"/>
    <x v="0"/>
    <x v="0"/>
    <x v="8"/>
    <x v="16"/>
    <s v="PL_A"/>
    <x v="0"/>
    <x v="2"/>
    <s v="TYCH_ST_COAL_BP"/>
    <x v="0"/>
    <x v="7"/>
    <n v="36"/>
    <n v="13140"/>
    <n v="47304"/>
  </r>
  <r>
    <x v="0"/>
    <x v="0"/>
    <x v="0"/>
    <x v="8"/>
    <x v="16"/>
    <s v="PL_A"/>
    <x v="0"/>
    <x v="2"/>
    <s v="TYCH_ST_COAL_BP"/>
    <x v="0"/>
    <x v="8"/>
    <n v="36"/>
    <n v="13140"/>
    <n v="47304"/>
  </r>
  <r>
    <x v="0"/>
    <x v="0"/>
    <x v="0"/>
    <x v="8"/>
    <x v="16"/>
    <s v="PL_A"/>
    <x v="0"/>
    <x v="2"/>
    <s v="TYCH_ST_COAL_BP"/>
    <x v="0"/>
    <x v="9"/>
    <n v="36"/>
    <n v="13140"/>
    <n v="47304"/>
  </r>
  <r>
    <x v="0"/>
    <x v="0"/>
    <x v="0"/>
    <x v="8"/>
    <x v="16"/>
    <s v="PL_A"/>
    <x v="0"/>
    <x v="2"/>
    <s v="TYCH_ST_COAL_BP"/>
    <x v="0"/>
    <x v="10"/>
    <n v="36"/>
    <n v="13140"/>
    <n v="47304"/>
  </r>
  <r>
    <x v="0"/>
    <x v="0"/>
    <x v="0"/>
    <x v="8"/>
    <x v="16"/>
    <s v="PL_A"/>
    <x v="0"/>
    <x v="2"/>
    <s v="TYCH_ST_COAL_BP"/>
    <x v="0"/>
    <x v="11"/>
    <n v="36"/>
    <n v="13140"/>
    <n v="47304"/>
  </r>
  <r>
    <x v="0"/>
    <x v="0"/>
    <x v="0"/>
    <x v="8"/>
    <x v="16"/>
    <s v="PL_A"/>
    <x v="0"/>
    <x v="2"/>
    <s v="TYCH_ST_COAL_BP"/>
    <x v="0"/>
    <x v="12"/>
    <n v="36"/>
    <n v="13140"/>
    <n v="47304"/>
  </r>
  <r>
    <x v="0"/>
    <x v="0"/>
    <x v="0"/>
    <x v="8"/>
    <x v="16"/>
    <s v="PL_A"/>
    <x v="0"/>
    <x v="2"/>
    <s v="TYCH_ST_COAL_BP"/>
    <x v="0"/>
    <x v="13"/>
    <n v="36"/>
    <n v="13140"/>
    <n v="47304"/>
  </r>
  <r>
    <x v="0"/>
    <x v="0"/>
    <x v="0"/>
    <x v="8"/>
    <x v="16"/>
    <s v="PL_A"/>
    <x v="0"/>
    <x v="2"/>
    <s v="TYCH_ST_COAL_BP"/>
    <x v="0"/>
    <x v="14"/>
    <n v="36"/>
    <n v="13140"/>
    <n v="47304"/>
  </r>
  <r>
    <x v="0"/>
    <x v="0"/>
    <x v="0"/>
    <x v="8"/>
    <x v="16"/>
    <s v="PL_A"/>
    <x v="0"/>
    <x v="2"/>
    <s v="TYCH_ST_COAL_BP"/>
    <x v="0"/>
    <x v="15"/>
    <n v="36"/>
    <n v="13140"/>
    <n v="47304"/>
  </r>
  <r>
    <x v="0"/>
    <x v="0"/>
    <x v="0"/>
    <x v="8"/>
    <x v="16"/>
    <s v="PL_A"/>
    <x v="0"/>
    <x v="2"/>
    <s v="TYCH_ST_COAL_BP"/>
    <x v="0"/>
    <x v="16"/>
    <n v="36"/>
    <n v="13140"/>
    <n v="47304"/>
  </r>
  <r>
    <x v="0"/>
    <x v="0"/>
    <x v="0"/>
    <x v="8"/>
    <x v="16"/>
    <s v="PL_A"/>
    <x v="0"/>
    <x v="2"/>
    <s v="TYCH_ST_COAL_BP"/>
    <x v="0"/>
    <x v="17"/>
    <n v="36"/>
    <n v="13140"/>
    <n v="47304"/>
  </r>
  <r>
    <x v="0"/>
    <x v="0"/>
    <x v="0"/>
    <x v="8"/>
    <x v="16"/>
    <s v="PL_A"/>
    <x v="0"/>
    <x v="2"/>
    <s v="TYCH_ST_COAL_BP"/>
    <x v="0"/>
    <x v="19"/>
    <n v="36"/>
    <n v="13140"/>
    <n v="47304"/>
  </r>
  <r>
    <x v="0"/>
    <x v="0"/>
    <x v="0"/>
    <x v="8"/>
    <x v="16"/>
    <s v="PL_A"/>
    <x v="0"/>
    <x v="2"/>
    <s v="TYCH_ST_COAL_BP"/>
    <x v="0"/>
    <x v="20"/>
    <n v="36"/>
    <n v="13140"/>
    <n v="47304"/>
  </r>
  <r>
    <x v="0"/>
    <x v="0"/>
    <x v="0"/>
    <x v="8"/>
    <x v="16"/>
    <s v="PL_A"/>
    <x v="0"/>
    <x v="2"/>
    <s v="TYCH_ST_COAL_BP"/>
    <x v="0"/>
    <x v="21"/>
    <n v="36"/>
    <n v="13140"/>
    <n v="47304"/>
  </r>
  <r>
    <x v="0"/>
    <x v="0"/>
    <x v="0"/>
    <x v="8"/>
    <x v="16"/>
    <s v="PL_A"/>
    <x v="0"/>
    <x v="2"/>
    <s v="TYCH_ST_COAL_BP"/>
    <x v="0"/>
    <x v="23"/>
    <n v="36"/>
    <n v="13140"/>
    <n v="47304"/>
  </r>
  <r>
    <x v="0"/>
    <x v="0"/>
    <x v="0"/>
    <x v="8"/>
    <x v="16"/>
    <s v="PL_A"/>
    <x v="0"/>
    <x v="2"/>
    <s v="ZIEL-2_ST_COAL_BP"/>
    <x v="0"/>
    <x v="0"/>
    <n v="11"/>
    <n v="4015"/>
    <n v="14454"/>
  </r>
  <r>
    <x v="0"/>
    <x v="0"/>
    <x v="0"/>
    <x v="8"/>
    <x v="16"/>
    <s v="PL_A"/>
    <x v="0"/>
    <x v="2"/>
    <s v="ZIEL-2_ST_COAL_BP"/>
    <x v="0"/>
    <x v="1"/>
    <n v="11"/>
    <n v="4015"/>
    <n v="14454"/>
  </r>
  <r>
    <x v="0"/>
    <x v="0"/>
    <x v="0"/>
    <x v="8"/>
    <x v="16"/>
    <s v="PL_A"/>
    <x v="0"/>
    <x v="2"/>
    <s v="ZIEL-2_ST_COAL_BP"/>
    <x v="0"/>
    <x v="18"/>
    <n v="11"/>
    <n v="4015"/>
    <n v="14454"/>
  </r>
  <r>
    <x v="0"/>
    <x v="0"/>
    <x v="0"/>
    <x v="8"/>
    <x v="16"/>
    <s v="PL_A"/>
    <x v="0"/>
    <x v="2"/>
    <s v="ZIEL-2_ST_COAL_BP"/>
    <x v="0"/>
    <x v="2"/>
    <n v="11"/>
    <n v="4015"/>
    <n v="14454"/>
  </r>
  <r>
    <x v="0"/>
    <x v="0"/>
    <x v="0"/>
    <x v="8"/>
    <x v="16"/>
    <s v="PL_A"/>
    <x v="0"/>
    <x v="2"/>
    <s v="ZIEL-2_ST_COAL_BP"/>
    <x v="0"/>
    <x v="3"/>
    <n v="11"/>
    <n v="4015"/>
    <n v="14454"/>
  </r>
  <r>
    <x v="0"/>
    <x v="0"/>
    <x v="0"/>
    <x v="8"/>
    <x v="16"/>
    <s v="PL_A"/>
    <x v="0"/>
    <x v="2"/>
    <s v="ZIEL-2_ST_COAL_BP"/>
    <x v="0"/>
    <x v="4"/>
    <n v="11"/>
    <n v="4015"/>
    <n v="14454"/>
  </r>
  <r>
    <x v="0"/>
    <x v="0"/>
    <x v="0"/>
    <x v="8"/>
    <x v="16"/>
    <s v="PL_A"/>
    <x v="0"/>
    <x v="2"/>
    <s v="ZIEL-2_ST_COAL_BP"/>
    <x v="0"/>
    <x v="5"/>
    <n v="11"/>
    <n v="4015"/>
    <n v="14454"/>
  </r>
  <r>
    <x v="0"/>
    <x v="0"/>
    <x v="0"/>
    <x v="8"/>
    <x v="16"/>
    <s v="PL_A"/>
    <x v="0"/>
    <x v="2"/>
    <s v="ZIEL-2_ST_COAL_BP"/>
    <x v="0"/>
    <x v="6"/>
    <n v="11"/>
    <n v="4015"/>
    <n v="14454"/>
  </r>
  <r>
    <x v="0"/>
    <x v="0"/>
    <x v="0"/>
    <x v="8"/>
    <x v="16"/>
    <s v="PL_A"/>
    <x v="0"/>
    <x v="2"/>
    <s v="ZIEL-2_ST_COAL_BP"/>
    <x v="0"/>
    <x v="7"/>
    <n v="11"/>
    <n v="4015"/>
    <n v="14454"/>
  </r>
  <r>
    <x v="0"/>
    <x v="0"/>
    <x v="0"/>
    <x v="8"/>
    <x v="16"/>
    <s v="PL_A"/>
    <x v="0"/>
    <x v="2"/>
    <s v="ZIEL-2_ST_COAL_BP"/>
    <x v="0"/>
    <x v="8"/>
    <n v="11"/>
    <n v="4015"/>
    <n v="14454"/>
  </r>
  <r>
    <x v="0"/>
    <x v="0"/>
    <x v="0"/>
    <x v="8"/>
    <x v="16"/>
    <s v="PL_A"/>
    <x v="0"/>
    <x v="2"/>
    <s v="ZIEL-2_ST_COAL_BP"/>
    <x v="0"/>
    <x v="9"/>
    <n v="11"/>
    <n v="4015"/>
    <n v="14454"/>
  </r>
  <r>
    <x v="0"/>
    <x v="0"/>
    <x v="0"/>
    <x v="8"/>
    <x v="16"/>
    <s v="PL_A"/>
    <x v="0"/>
    <x v="2"/>
    <s v="ZIEL-2_ST_COAL_BP"/>
    <x v="0"/>
    <x v="10"/>
    <n v="11"/>
    <n v="4015"/>
    <n v="14454"/>
  </r>
  <r>
    <x v="0"/>
    <x v="0"/>
    <x v="0"/>
    <x v="8"/>
    <x v="16"/>
    <s v="PL_A"/>
    <x v="0"/>
    <x v="2"/>
    <s v="ZIEL-2_ST_COAL_BP"/>
    <x v="0"/>
    <x v="11"/>
    <n v="11"/>
    <n v="4015"/>
    <n v="14454"/>
  </r>
  <r>
    <x v="0"/>
    <x v="0"/>
    <x v="0"/>
    <x v="8"/>
    <x v="16"/>
    <s v="PL_A"/>
    <x v="0"/>
    <x v="2"/>
    <s v="ZIEL-2_ST_COAL_BP"/>
    <x v="0"/>
    <x v="12"/>
    <n v="11"/>
    <n v="4015"/>
    <n v="14454"/>
  </r>
  <r>
    <x v="0"/>
    <x v="0"/>
    <x v="0"/>
    <x v="8"/>
    <x v="16"/>
    <s v="PL_A"/>
    <x v="0"/>
    <x v="2"/>
    <s v="ZIEL-2_ST_COAL_BP"/>
    <x v="0"/>
    <x v="13"/>
    <n v="11"/>
    <n v="4015"/>
    <n v="14454"/>
  </r>
  <r>
    <x v="0"/>
    <x v="0"/>
    <x v="0"/>
    <x v="8"/>
    <x v="16"/>
    <s v="PL_A"/>
    <x v="0"/>
    <x v="2"/>
    <s v="ZIEL-2_ST_COAL_BP"/>
    <x v="0"/>
    <x v="14"/>
    <n v="11"/>
    <n v="4015"/>
    <n v="14454"/>
  </r>
  <r>
    <x v="0"/>
    <x v="0"/>
    <x v="0"/>
    <x v="8"/>
    <x v="16"/>
    <s v="PL_A"/>
    <x v="0"/>
    <x v="2"/>
    <s v="ZIEL-2_ST_COAL_BP"/>
    <x v="0"/>
    <x v="15"/>
    <n v="11"/>
    <n v="4015"/>
    <n v="14454"/>
  </r>
  <r>
    <x v="0"/>
    <x v="0"/>
    <x v="0"/>
    <x v="8"/>
    <x v="16"/>
    <s v="PL_A"/>
    <x v="0"/>
    <x v="2"/>
    <s v="ZIEL-2_ST_COAL_BP"/>
    <x v="0"/>
    <x v="16"/>
    <n v="11"/>
    <n v="4015"/>
    <n v="14454"/>
  </r>
  <r>
    <x v="0"/>
    <x v="0"/>
    <x v="0"/>
    <x v="8"/>
    <x v="16"/>
    <s v="PL_A"/>
    <x v="0"/>
    <x v="2"/>
    <s v="ZIEL-2_ST_COAL_BP"/>
    <x v="0"/>
    <x v="17"/>
    <n v="11"/>
    <n v="4015"/>
    <n v="14454"/>
  </r>
  <r>
    <x v="0"/>
    <x v="0"/>
    <x v="0"/>
    <x v="8"/>
    <x v="16"/>
    <s v="PL_A"/>
    <x v="0"/>
    <x v="2"/>
    <s v="ZIEL-2_ST_COAL_BP"/>
    <x v="0"/>
    <x v="19"/>
    <n v="11"/>
    <n v="4015"/>
    <n v="14454"/>
  </r>
  <r>
    <x v="0"/>
    <x v="0"/>
    <x v="0"/>
    <x v="8"/>
    <x v="16"/>
    <s v="PL_A"/>
    <x v="0"/>
    <x v="2"/>
    <s v="ZIEL-2_ST_COAL_BP"/>
    <x v="0"/>
    <x v="20"/>
    <n v="11"/>
    <n v="4015"/>
    <n v="14454"/>
  </r>
  <r>
    <x v="0"/>
    <x v="0"/>
    <x v="0"/>
    <x v="8"/>
    <x v="16"/>
    <s v="PL_A"/>
    <x v="0"/>
    <x v="2"/>
    <s v="ZIEL-2_ST_COAL_BP"/>
    <x v="0"/>
    <x v="21"/>
    <n v="11"/>
    <n v="4015"/>
    <n v="14454"/>
  </r>
  <r>
    <x v="0"/>
    <x v="0"/>
    <x v="0"/>
    <x v="8"/>
    <x v="16"/>
    <s v="PL_A"/>
    <x v="0"/>
    <x v="2"/>
    <s v="ZIEL-2_ST_COAL_BP"/>
    <x v="0"/>
    <x v="22"/>
    <n v="11"/>
    <n v="4015"/>
    <n v="14454"/>
  </r>
  <r>
    <x v="0"/>
    <x v="0"/>
    <x v="0"/>
    <x v="8"/>
    <x v="16"/>
    <s v="PL_A"/>
    <x v="0"/>
    <x v="2"/>
    <s v="ZIEL-2_ST_COAL_BP"/>
    <x v="0"/>
    <x v="23"/>
    <n v="11"/>
    <n v="4015"/>
    <n v="14454"/>
  </r>
  <r>
    <x v="0"/>
    <x v="0"/>
    <x v="0"/>
    <x v="8"/>
    <x v="16"/>
    <s v="PL_A"/>
    <x v="0"/>
    <x v="2"/>
    <s v="ZIEL-4_ST_COAL_BP"/>
    <x v="0"/>
    <x v="0"/>
    <n v="60"/>
    <n v="21900"/>
    <n v="78840"/>
  </r>
  <r>
    <x v="0"/>
    <x v="0"/>
    <x v="0"/>
    <x v="8"/>
    <x v="16"/>
    <s v="PL_A"/>
    <x v="0"/>
    <x v="2"/>
    <s v="ZIEL-4_ST_COAL_BP"/>
    <x v="0"/>
    <x v="1"/>
    <n v="60"/>
    <n v="21900"/>
    <n v="78840"/>
  </r>
  <r>
    <x v="0"/>
    <x v="0"/>
    <x v="0"/>
    <x v="8"/>
    <x v="16"/>
    <s v="PL_A"/>
    <x v="0"/>
    <x v="2"/>
    <s v="ZIEL-4_ST_COAL_BP"/>
    <x v="0"/>
    <x v="18"/>
    <n v="60"/>
    <n v="21900"/>
    <n v="78840"/>
  </r>
  <r>
    <x v="0"/>
    <x v="0"/>
    <x v="0"/>
    <x v="8"/>
    <x v="16"/>
    <s v="PL_A"/>
    <x v="0"/>
    <x v="2"/>
    <s v="ZIEL-4_ST_COAL_BP"/>
    <x v="0"/>
    <x v="2"/>
    <n v="60"/>
    <n v="21900"/>
    <n v="78840"/>
  </r>
  <r>
    <x v="0"/>
    <x v="0"/>
    <x v="0"/>
    <x v="8"/>
    <x v="16"/>
    <s v="PL_A"/>
    <x v="0"/>
    <x v="2"/>
    <s v="ZIEL-4_ST_COAL_BP"/>
    <x v="0"/>
    <x v="3"/>
    <n v="60"/>
    <n v="21900"/>
    <n v="78840"/>
  </r>
  <r>
    <x v="0"/>
    <x v="0"/>
    <x v="0"/>
    <x v="8"/>
    <x v="16"/>
    <s v="PL_A"/>
    <x v="0"/>
    <x v="2"/>
    <s v="ZIEL-4_ST_COAL_BP"/>
    <x v="0"/>
    <x v="4"/>
    <n v="60"/>
    <n v="21900"/>
    <n v="78840"/>
  </r>
  <r>
    <x v="0"/>
    <x v="0"/>
    <x v="0"/>
    <x v="8"/>
    <x v="16"/>
    <s v="PL_A"/>
    <x v="0"/>
    <x v="2"/>
    <s v="ZIEL-4_ST_COAL_BP"/>
    <x v="0"/>
    <x v="5"/>
    <n v="60"/>
    <n v="21900"/>
    <n v="78840"/>
  </r>
  <r>
    <x v="0"/>
    <x v="0"/>
    <x v="0"/>
    <x v="8"/>
    <x v="16"/>
    <s v="PL_A"/>
    <x v="0"/>
    <x v="2"/>
    <s v="ZIEL-4_ST_COAL_BP"/>
    <x v="0"/>
    <x v="6"/>
    <n v="60"/>
    <n v="21900"/>
    <n v="78840"/>
  </r>
  <r>
    <x v="0"/>
    <x v="0"/>
    <x v="0"/>
    <x v="8"/>
    <x v="16"/>
    <s v="PL_A"/>
    <x v="0"/>
    <x v="2"/>
    <s v="ZIEL-4_ST_COAL_BP"/>
    <x v="0"/>
    <x v="7"/>
    <n v="60"/>
    <n v="21900"/>
    <n v="78840"/>
  </r>
  <r>
    <x v="0"/>
    <x v="0"/>
    <x v="0"/>
    <x v="8"/>
    <x v="16"/>
    <s v="PL_A"/>
    <x v="0"/>
    <x v="2"/>
    <s v="ZIEL-4_ST_COAL_BP"/>
    <x v="0"/>
    <x v="8"/>
    <n v="60"/>
    <n v="21900"/>
    <n v="78840"/>
  </r>
  <r>
    <x v="0"/>
    <x v="0"/>
    <x v="0"/>
    <x v="8"/>
    <x v="16"/>
    <s v="PL_A"/>
    <x v="0"/>
    <x v="2"/>
    <s v="ZIEL-4_ST_COAL_BP"/>
    <x v="0"/>
    <x v="9"/>
    <n v="60"/>
    <n v="21900"/>
    <n v="78840"/>
  </r>
  <r>
    <x v="0"/>
    <x v="0"/>
    <x v="0"/>
    <x v="8"/>
    <x v="16"/>
    <s v="PL_A"/>
    <x v="0"/>
    <x v="2"/>
    <s v="ZIEL-4_ST_COAL_BP"/>
    <x v="0"/>
    <x v="10"/>
    <n v="60"/>
    <n v="21900"/>
    <n v="78840"/>
  </r>
  <r>
    <x v="0"/>
    <x v="0"/>
    <x v="0"/>
    <x v="8"/>
    <x v="16"/>
    <s v="PL_A"/>
    <x v="0"/>
    <x v="2"/>
    <s v="ZIEL-4_ST_COAL_BP"/>
    <x v="0"/>
    <x v="11"/>
    <n v="60"/>
    <n v="21900"/>
    <n v="78840"/>
  </r>
  <r>
    <x v="0"/>
    <x v="0"/>
    <x v="0"/>
    <x v="8"/>
    <x v="16"/>
    <s v="PL_A"/>
    <x v="0"/>
    <x v="2"/>
    <s v="ZIEL-4_ST_COAL_BP"/>
    <x v="0"/>
    <x v="12"/>
    <n v="60"/>
    <n v="21900"/>
    <n v="78840"/>
  </r>
  <r>
    <x v="0"/>
    <x v="0"/>
    <x v="0"/>
    <x v="8"/>
    <x v="16"/>
    <s v="PL_A"/>
    <x v="0"/>
    <x v="2"/>
    <s v="ZIEL-4_ST_COAL_BP"/>
    <x v="0"/>
    <x v="13"/>
    <n v="60"/>
    <n v="21900"/>
    <n v="78840"/>
  </r>
  <r>
    <x v="0"/>
    <x v="0"/>
    <x v="0"/>
    <x v="8"/>
    <x v="16"/>
    <s v="PL_A"/>
    <x v="0"/>
    <x v="2"/>
    <s v="ZIEL-4_ST_COAL_BP"/>
    <x v="0"/>
    <x v="14"/>
    <n v="60"/>
    <n v="21900"/>
    <n v="78840"/>
  </r>
  <r>
    <x v="0"/>
    <x v="0"/>
    <x v="0"/>
    <x v="8"/>
    <x v="16"/>
    <s v="PL_A"/>
    <x v="0"/>
    <x v="2"/>
    <s v="ZIEL-4_ST_COAL_BP"/>
    <x v="0"/>
    <x v="15"/>
    <n v="60"/>
    <n v="21900"/>
    <n v="78840"/>
  </r>
  <r>
    <x v="0"/>
    <x v="0"/>
    <x v="0"/>
    <x v="8"/>
    <x v="16"/>
    <s v="PL_A"/>
    <x v="0"/>
    <x v="2"/>
    <s v="ZIEL-4_ST_COAL_BP"/>
    <x v="0"/>
    <x v="16"/>
    <n v="60"/>
    <n v="21900"/>
    <n v="78840"/>
  </r>
  <r>
    <x v="0"/>
    <x v="0"/>
    <x v="0"/>
    <x v="8"/>
    <x v="16"/>
    <s v="PL_A"/>
    <x v="0"/>
    <x v="2"/>
    <s v="ZIEL-4_ST_COAL_BP"/>
    <x v="0"/>
    <x v="17"/>
    <n v="60"/>
    <n v="21900"/>
    <n v="78840"/>
  </r>
  <r>
    <x v="0"/>
    <x v="0"/>
    <x v="0"/>
    <x v="8"/>
    <x v="16"/>
    <s v="PL_A"/>
    <x v="0"/>
    <x v="2"/>
    <s v="ZIEL-4_ST_COAL_BP"/>
    <x v="0"/>
    <x v="19"/>
    <n v="60"/>
    <n v="21900"/>
    <n v="78840"/>
  </r>
  <r>
    <x v="0"/>
    <x v="0"/>
    <x v="0"/>
    <x v="8"/>
    <x v="16"/>
    <s v="PL_A"/>
    <x v="0"/>
    <x v="2"/>
    <s v="ZIEL-4_ST_COAL_BP"/>
    <x v="0"/>
    <x v="20"/>
    <n v="60"/>
    <n v="21900"/>
    <n v="78840"/>
  </r>
  <r>
    <x v="0"/>
    <x v="0"/>
    <x v="0"/>
    <x v="8"/>
    <x v="16"/>
    <s v="PL_A"/>
    <x v="0"/>
    <x v="2"/>
    <s v="ZIEL-4_ST_COAL_BP"/>
    <x v="0"/>
    <x v="21"/>
    <n v="60"/>
    <n v="21900"/>
    <n v="78840"/>
  </r>
  <r>
    <x v="0"/>
    <x v="0"/>
    <x v="0"/>
    <x v="8"/>
    <x v="16"/>
    <s v="PL_A"/>
    <x v="0"/>
    <x v="2"/>
    <s v="ZIEL-4_ST_COAL_BP"/>
    <x v="0"/>
    <x v="22"/>
    <n v="60"/>
    <n v="21900"/>
    <n v="78840"/>
  </r>
  <r>
    <x v="0"/>
    <x v="0"/>
    <x v="0"/>
    <x v="8"/>
    <x v="16"/>
    <s v="PL_A"/>
    <x v="0"/>
    <x v="2"/>
    <s v="ZIEL-4_ST_COAL_BP"/>
    <x v="0"/>
    <x v="23"/>
    <n v="60"/>
    <n v="21900"/>
    <n v="78840"/>
  </r>
  <r>
    <x v="0"/>
    <x v="0"/>
    <x v="0"/>
    <x v="8"/>
    <x v="16"/>
    <s v="PL_A"/>
    <x v="15"/>
    <x v="0"/>
    <s v="ADAM-1_ST_LIGNITE_EXT"/>
    <x v="0"/>
    <x v="0"/>
    <n v="89.181818181818201"/>
    <n v="32551.3636363636"/>
    <n v="117184.909090909"/>
  </r>
  <r>
    <x v="0"/>
    <x v="0"/>
    <x v="0"/>
    <x v="8"/>
    <x v="16"/>
    <s v="PL_A"/>
    <x v="15"/>
    <x v="0"/>
    <s v="ADAM-1_ST_LIGNITE_EXT"/>
    <x v="0"/>
    <x v="1"/>
    <n v="89.181818181818201"/>
    <n v="32551.3636363636"/>
    <n v="117184.909090909"/>
  </r>
  <r>
    <x v="0"/>
    <x v="0"/>
    <x v="0"/>
    <x v="8"/>
    <x v="16"/>
    <s v="PL_A"/>
    <x v="15"/>
    <x v="0"/>
    <s v="ADAM-1_ST_LIGNITE_EXT"/>
    <x v="0"/>
    <x v="18"/>
    <n v="89.181818181818201"/>
    <n v="32551.3636363636"/>
    <n v="117184.909090909"/>
  </r>
  <r>
    <x v="0"/>
    <x v="0"/>
    <x v="0"/>
    <x v="8"/>
    <x v="16"/>
    <s v="PL_A"/>
    <x v="15"/>
    <x v="0"/>
    <s v="ADAM-1_ST_LIGNITE_EXT"/>
    <x v="0"/>
    <x v="2"/>
    <n v="89.181818181818201"/>
    <n v="32551.3636363636"/>
    <n v="117184.909090909"/>
  </r>
  <r>
    <x v="0"/>
    <x v="0"/>
    <x v="0"/>
    <x v="8"/>
    <x v="16"/>
    <s v="PL_A"/>
    <x v="15"/>
    <x v="0"/>
    <s v="ADAM-1_ST_LIGNITE_EXT"/>
    <x v="0"/>
    <x v="3"/>
    <n v="89.181818181818201"/>
    <n v="32551.3636363636"/>
    <n v="117184.909090909"/>
  </r>
  <r>
    <x v="0"/>
    <x v="0"/>
    <x v="0"/>
    <x v="8"/>
    <x v="16"/>
    <s v="PL_A"/>
    <x v="15"/>
    <x v="0"/>
    <s v="ADAM-1_ST_LIGNITE_EXT"/>
    <x v="0"/>
    <x v="4"/>
    <n v="109"/>
    <n v="39785"/>
    <n v="143226"/>
  </r>
  <r>
    <x v="0"/>
    <x v="0"/>
    <x v="0"/>
    <x v="8"/>
    <x v="16"/>
    <s v="PL_A"/>
    <x v="15"/>
    <x v="0"/>
    <s v="ADAM-1_ST_LIGNITE_EXT"/>
    <x v="0"/>
    <x v="5"/>
    <n v="109"/>
    <n v="39785"/>
    <n v="143226"/>
  </r>
  <r>
    <x v="0"/>
    <x v="0"/>
    <x v="0"/>
    <x v="8"/>
    <x v="16"/>
    <s v="PL_A"/>
    <x v="15"/>
    <x v="0"/>
    <s v="ADAM-1_ST_LIGNITE_EXT"/>
    <x v="0"/>
    <x v="6"/>
    <n v="109"/>
    <n v="39785"/>
    <n v="143226"/>
  </r>
  <r>
    <x v="0"/>
    <x v="0"/>
    <x v="0"/>
    <x v="8"/>
    <x v="16"/>
    <s v="PL_A"/>
    <x v="15"/>
    <x v="0"/>
    <s v="ADAM-1_ST_LIGNITE_EXT"/>
    <x v="0"/>
    <x v="7"/>
    <n v="109"/>
    <n v="39785"/>
    <n v="143226"/>
  </r>
  <r>
    <x v="0"/>
    <x v="0"/>
    <x v="0"/>
    <x v="8"/>
    <x v="16"/>
    <s v="PL_A"/>
    <x v="15"/>
    <x v="0"/>
    <s v="ADAM-1_ST_LIGNITE_EXT"/>
    <x v="0"/>
    <x v="8"/>
    <n v="109"/>
    <n v="39785"/>
    <n v="143226"/>
  </r>
  <r>
    <x v="0"/>
    <x v="0"/>
    <x v="0"/>
    <x v="8"/>
    <x v="16"/>
    <s v="PL_A"/>
    <x v="15"/>
    <x v="0"/>
    <s v="ADAM-1_ST_LIGNITE_EXT"/>
    <x v="0"/>
    <x v="9"/>
    <n v="109"/>
    <n v="39785"/>
    <n v="143226"/>
  </r>
  <r>
    <x v="0"/>
    <x v="0"/>
    <x v="0"/>
    <x v="8"/>
    <x v="16"/>
    <s v="PL_A"/>
    <x v="15"/>
    <x v="0"/>
    <s v="ADAM-1_ST_LIGNITE_EXT"/>
    <x v="0"/>
    <x v="10"/>
    <n v="109"/>
    <n v="39785"/>
    <n v="143226"/>
  </r>
  <r>
    <x v="0"/>
    <x v="0"/>
    <x v="0"/>
    <x v="8"/>
    <x v="16"/>
    <s v="PL_A"/>
    <x v="15"/>
    <x v="0"/>
    <s v="ADAM-1_ST_LIGNITE_EXT"/>
    <x v="0"/>
    <x v="11"/>
    <n v="109"/>
    <n v="39785"/>
    <n v="143226"/>
  </r>
  <r>
    <x v="0"/>
    <x v="0"/>
    <x v="0"/>
    <x v="8"/>
    <x v="16"/>
    <s v="PL_A"/>
    <x v="15"/>
    <x v="0"/>
    <s v="ADAM-1_ST_LIGNITE_EXT"/>
    <x v="0"/>
    <x v="12"/>
    <n v="109"/>
    <n v="39785"/>
    <n v="143226"/>
  </r>
  <r>
    <x v="0"/>
    <x v="0"/>
    <x v="0"/>
    <x v="8"/>
    <x v="16"/>
    <s v="PL_A"/>
    <x v="15"/>
    <x v="0"/>
    <s v="ADAM-1_ST_LIGNITE_EXT"/>
    <x v="0"/>
    <x v="13"/>
    <n v="109"/>
    <n v="39785"/>
    <n v="143226"/>
  </r>
  <r>
    <x v="0"/>
    <x v="0"/>
    <x v="0"/>
    <x v="8"/>
    <x v="16"/>
    <s v="PL_A"/>
    <x v="15"/>
    <x v="0"/>
    <s v="ADAM-1_ST_LIGNITE_EXT"/>
    <x v="0"/>
    <x v="14"/>
    <n v="109"/>
    <n v="39785"/>
    <n v="143226"/>
  </r>
  <r>
    <x v="0"/>
    <x v="0"/>
    <x v="0"/>
    <x v="8"/>
    <x v="16"/>
    <s v="PL_A"/>
    <x v="15"/>
    <x v="0"/>
    <s v="ADAM-1_ST_LIGNITE_EXT"/>
    <x v="0"/>
    <x v="15"/>
    <n v="109"/>
    <n v="39785"/>
    <n v="143226"/>
  </r>
  <r>
    <x v="0"/>
    <x v="0"/>
    <x v="0"/>
    <x v="8"/>
    <x v="16"/>
    <s v="PL_A"/>
    <x v="15"/>
    <x v="0"/>
    <s v="ADAM-1_ST_LIGNITE_EXT"/>
    <x v="0"/>
    <x v="16"/>
    <n v="109"/>
    <n v="39785"/>
    <n v="143226"/>
  </r>
  <r>
    <x v="0"/>
    <x v="0"/>
    <x v="0"/>
    <x v="8"/>
    <x v="16"/>
    <s v="PL_A"/>
    <x v="15"/>
    <x v="0"/>
    <s v="ADAM-1_ST_LIGNITE_EXT"/>
    <x v="0"/>
    <x v="17"/>
    <n v="109"/>
    <n v="39785"/>
    <n v="143226"/>
  </r>
  <r>
    <x v="0"/>
    <x v="0"/>
    <x v="0"/>
    <x v="8"/>
    <x v="16"/>
    <s v="PL_A"/>
    <x v="15"/>
    <x v="0"/>
    <s v="ADAM-1_ST_LIGNITE_EXT"/>
    <x v="0"/>
    <x v="19"/>
    <n v="109"/>
    <n v="39785"/>
    <n v="143226"/>
  </r>
  <r>
    <x v="0"/>
    <x v="0"/>
    <x v="0"/>
    <x v="8"/>
    <x v="16"/>
    <s v="PL_A"/>
    <x v="15"/>
    <x v="0"/>
    <s v="ADAM-1_ST_LIGNITE_EXT"/>
    <x v="0"/>
    <x v="20"/>
    <n v="109"/>
    <n v="39785"/>
    <n v="143226"/>
  </r>
  <r>
    <x v="0"/>
    <x v="0"/>
    <x v="0"/>
    <x v="8"/>
    <x v="16"/>
    <s v="PL_A"/>
    <x v="15"/>
    <x v="0"/>
    <s v="ADAM-1_ST_LIGNITE_EXT"/>
    <x v="0"/>
    <x v="21"/>
    <n v="109"/>
    <n v="39785"/>
    <n v="143226"/>
  </r>
  <r>
    <x v="0"/>
    <x v="0"/>
    <x v="0"/>
    <x v="8"/>
    <x v="16"/>
    <s v="PL_A"/>
    <x v="15"/>
    <x v="0"/>
    <s v="ADAM-1_ST_LIGNITE_EXT"/>
    <x v="0"/>
    <x v="22"/>
    <n v="109"/>
    <n v="39785"/>
    <n v="143226"/>
  </r>
  <r>
    <x v="0"/>
    <x v="0"/>
    <x v="0"/>
    <x v="8"/>
    <x v="16"/>
    <s v="PL_A"/>
    <x v="15"/>
    <x v="0"/>
    <s v="ADAM-1_ST_LIGNITE_EXT"/>
    <x v="0"/>
    <x v="23"/>
    <n v="109"/>
    <n v="39785"/>
    <n v="143226"/>
  </r>
  <r>
    <x v="0"/>
    <x v="0"/>
    <x v="0"/>
    <x v="8"/>
    <x v="16"/>
    <s v="PL_A"/>
    <x v="15"/>
    <x v="0"/>
    <s v="BELC-1_ST_LIGNITE_EXT"/>
    <x v="0"/>
    <x v="0"/>
    <n v="274.35164835164801"/>
    <n v="100138.35164835201"/>
    <n v="360498.06593406602"/>
  </r>
  <r>
    <x v="0"/>
    <x v="0"/>
    <x v="0"/>
    <x v="8"/>
    <x v="16"/>
    <s v="PL_A"/>
    <x v="15"/>
    <x v="0"/>
    <s v="BELC-1_ST_LIGNITE_EXT"/>
    <x v="0"/>
    <x v="1"/>
    <n v="274.35164835164801"/>
    <n v="100138.35164835201"/>
    <n v="360498.06593406602"/>
  </r>
  <r>
    <x v="0"/>
    <x v="0"/>
    <x v="0"/>
    <x v="8"/>
    <x v="16"/>
    <s v="PL_A"/>
    <x v="15"/>
    <x v="0"/>
    <s v="BELC-1_ST_LIGNITE_EXT"/>
    <x v="0"/>
    <x v="18"/>
    <n v="274.35164835164801"/>
    <n v="100138.35164835201"/>
    <n v="360498.06593406602"/>
  </r>
  <r>
    <x v="0"/>
    <x v="0"/>
    <x v="0"/>
    <x v="8"/>
    <x v="16"/>
    <s v="PL_A"/>
    <x v="15"/>
    <x v="0"/>
    <s v="BELC-1_ST_LIGNITE_EXT"/>
    <x v="0"/>
    <x v="2"/>
    <n v="274.35164835164801"/>
    <n v="100138.35164835201"/>
    <n v="360498.06593406602"/>
  </r>
  <r>
    <x v="0"/>
    <x v="0"/>
    <x v="0"/>
    <x v="8"/>
    <x v="16"/>
    <s v="PL_A"/>
    <x v="15"/>
    <x v="0"/>
    <s v="BELC-1_ST_LIGNITE_EXT"/>
    <x v="0"/>
    <x v="3"/>
    <n v="274.35164835164801"/>
    <n v="100138.35164835201"/>
    <n v="360498.06593406602"/>
  </r>
  <r>
    <x v="0"/>
    <x v="0"/>
    <x v="0"/>
    <x v="8"/>
    <x v="16"/>
    <s v="PL_A"/>
    <x v="15"/>
    <x v="0"/>
    <s v="BELC-1_ST_LIGNITE_EXT"/>
    <x v="0"/>
    <x v="4"/>
    <n v="342"/>
    <n v="124830"/>
    <n v="449388"/>
  </r>
  <r>
    <x v="0"/>
    <x v="0"/>
    <x v="0"/>
    <x v="8"/>
    <x v="16"/>
    <s v="PL_A"/>
    <x v="15"/>
    <x v="0"/>
    <s v="BELC-1_ST_LIGNITE_EXT"/>
    <x v="0"/>
    <x v="5"/>
    <n v="342"/>
    <n v="124830"/>
    <n v="449388"/>
  </r>
  <r>
    <x v="0"/>
    <x v="0"/>
    <x v="0"/>
    <x v="8"/>
    <x v="16"/>
    <s v="PL_A"/>
    <x v="15"/>
    <x v="0"/>
    <s v="BELC-1_ST_LIGNITE_EXT"/>
    <x v="0"/>
    <x v="6"/>
    <n v="342"/>
    <n v="124830"/>
    <n v="449388"/>
  </r>
  <r>
    <x v="0"/>
    <x v="0"/>
    <x v="0"/>
    <x v="8"/>
    <x v="16"/>
    <s v="PL_A"/>
    <x v="15"/>
    <x v="0"/>
    <s v="BELC-1_ST_LIGNITE_EXT"/>
    <x v="0"/>
    <x v="7"/>
    <n v="342"/>
    <n v="124830"/>
    <n v="449388"/>
  </r>
  <r>
    <x v="0"/>
    <x v="0"/>
    <x v="0"/>
    <x v="8"/>
    <x v="16"/>
    <s v="PL_A"/>
    <x v="15"/>
    <x v="0"/>
    <s v="BELC-1_ST_LIGNITE_EXT"/>
    <x v="0"/>
    <x v="8"/>
    <n v="342"/>
    <n v="124830"/>
    <n v="449388"/>
  </r>
  <r>
    <x v="0"/>
    <x v="0"/>
    <x v="0"/>
    <x v="8"/>
    <x v="16"/>
    <s v="PL_A"/>
    <x v="15"/>
    <x v="0"/>
    <s v="BELC-1_ST_LIGNITE_EXT"/>
    <x v="0"/>
    <x v="9"/>
    <n v="342"/>
    <n v="124830"/>
    <n v="449388"/>
  </r>
  <r>
    <x v="0"/>
    <x v="0"/>
    <x v="0"/>
    <x v="8"/>
    <x v="16"/>
    <s v="PL_A"/>
    <x v="15"/>
    <x v="0"/>
    <s v="BELC-1_ST_LIGNITE_EXT"/>
    <x v="0"/>
    <x v="10"/>
    <n v="342"/>
    <n v="124830"/>
    <n v="449388"/>
  </r>
  <r>
    <x v="0"/>
    <x v="0"/>
    <x v="0"/>
    <x v="8"/>
    <x v="16"/>
    <s v="PL_A"/>
    <x v="15"/>
    <x v="0"/>
    <s v="BELC-1_ST_LIGNITE_EXT"/>
    <x v="0"/>
    <x v="11"/>
    <n v="342"/>
    <n v="124830"/>
    <n v="449388"/>
  </r>
  <r>
    <x v="0"/>
    <x v="0"/>
    <x v="0"/>
    <x v="8"/>
    <x v="16"/>
    <s v="PL_A"/>
    <x v="15"/>
    <x v="0"/>
    <s v="BELC-1_ST_LIGNITE_EXT"/>
    <x v="0"/>
    <x v="12"/>
    <n v="342"/>
    <n v="124830"/>
    <n v="449388"/>
  </r>
  <r>
    <x v="0"/>
    <x v="0"/>
    <x v="0"/>
    <x v="8"/>
    <x v="16"/>
    <s v="PL_A"/>
    <x v="15"/>
    <x v="0"/>
    <s v="BELC-1_ST_LIGNITE_EXT"/>
    <x v="0"/>
    <x v="13"/>
    <n v="342"/>
    <n v="124830"/>
    <n v="449388"/>
  </r>
  <r>
    <x v="0"/>
    <x v="0"/>
    <x v="0"/>
    <x v="8"/>
    <x v="16"/>
    <s v="PL_A"/>
    <x v="15"/>
    <x v="0"/>
    <s v="BELC-1_ST_LIGNITE_EXT"/>
    <x v="0"/>
    <x v="14"/>
    <n v="342"/>
    <n v="124830"/>
    <n v="449388"/>
  </r>
  <r>
    <x v="0"/>
    <x v="0"/>
    <x v="0"/>
    <x v="8"/>
    <x v="16"/>
    <s v="PL_A"/>
    <x v="15"/>
    <x v="0"/>
    <s v="BELC-1_ST_LIGNITE_EXT"/>
    <x v="0"/>
    <x v="15"/>
    <n v="342"/>
    <n v="124830"/>
    <n v="449388"/>
  </r>
  <r>
    <x v="0"/>
    <x v="0"/>
    <x v="0"/>
    <x v="8"/>
    <x v="16"/>
    <s v="PL_A"/>
    <x v="15"/>
    <x v="0"/>
    <s v="BELC-1_ST_LIGNITE_EXT"/>
    <x v="0"/>
    <x v="16"/>
    <n v="342"/>
    <n v="124830"/>
    <n v="449388"/>
  </r>
  <r>
    <x v="0"/>
    <x v="0"/>
    <x v="0"/>
    <x v="8"/>
    <x v="16"/>
    <s v="PL_A"/>
    <x v="15"/>
    <x v="0"/>
    <s v="BELC-1_ST_LIGNITE_EXT"/>
    <x v="0"/>
    <x v="17"/>
    <n v="342"/>
    <n v="124830"/>
    <n v="449388"/>
  </r>
  <r>
    <x v="0"/>
    <x v="0"/>
    <x v="0"/>
    <x v="8"/>
    <x v="16"/>
    <s v="PL_A"/>
    <x v="15"/>
    <x v="0"/>
    <s v="BELC-1_ST_LIGNITE_EXT"/>
    <x v="0"/>
    <x v="19"/>
    <n v="342"/>
    <n v="124830"/>
    <n v="449388"/>
  </r>
  <r>
    <x v="0"/>
    <x v="0"/>
    <x v="0"/>
    <x v="8"/>
    <x v="16"/>
    <s v="PL_A"/>
    <x v="15"/>
    <x v="0"/>
    <s v="BELC-1_ST_LIGNITE_EXT"/>
    <x v="0"/>
    <x v="20"/>
    <n v="342"/>
    <n v="124830"/>
    <n v="449388"/>
  </r>
  <r>
    <x v="0"/>
    <x v="0"/>
    <x v="0"/>
    <x v="8"/>
    <x v="16"/>
    <s v="PL_A"/>
    <x v="15"/>
    <x v="0"/>
    <s v="BELC-1_ST_LIGNITE_EXT"/>
    <x v="0"/>
    <x v="21"/>
    <n v="342"/>
    <n v="124830"/>
    <n v="449388"/>
  </r>
  <r>
    <x v="0"/>
    <x v="0"/>
    <x v="0"/>
    <x v="8"/>
    <x v="16"/>
    <s v="PL_A"/>
    <x v="15"/>
    <x v="0"/>
    <s v="BELC-1_ST_LIGNITE_EXT"/>
    <x v="0"/>
    <x v="22"/>
    <n v="342"/>
    <n v="124830"/>
    <n v="449388"/>
  </r>
  <r>
    <x v="0"/>
    <x v="0"/>
    <x v="0"/>
    <x v="8"/>
    <x v="16"/>
    <s v="PL_A"/>
    <x v="15"/>
    <x v="0"/>
    <s v="BELC-1_ST_LIGNITE_EXT"/>
    <x v="0"/>
    <x v="23"/>
    <n v="274.35164835164801"/>
    <n v="100138.35164835201"/>
    <n v="360498.06593406602"/>
  </r>
  <r>
    <x v="0"/>
    <x v="0"/>
    <x v="0"/>
    <x v="8"/>
    <x v="16"/>
    <s v="PL_A"/>
    <x v="2"/>
    <x v="0"/>
    <s v="GNR_ST_MSW_BP_E-15"/>
    <x v="0"/>
    <x v="0"/>
    <n v="34"/>
    <n v="12410"/>
    <n v="44676"/>
  </r>
  <r>
    <x v="0"/>
    <x v="0"/>
    <x v="0"/>
    <x v="8"/>
    <x v="16"/>
    <s v="PL_A"/>
    <x v="2"/>
    <x v="0"/>
    <s v="GNR_ST_MSW_BP_E-15"/>
    <x v="0"/>
    <x v="1"/>
    <n v="34"/>
    <n v="12410"/>
    <n v="44676"/>
  </r>
  <r>
    <x v="0"/>
    <x v="0"/>
    <x v="0"/>
    <x v="8"/>
    <x v="16"/>
    <s v="PL_A"/>
    <x v="2"/>
    <x v="0"/>
    <s v="GNR_ST_MSW_BP_E-15"/>
    <x v="0"/>
    <x v="18"/>
    <n v="34"/>
    <n v="12410"/>
    <n v="44676"/>
  </r>
  <r>
    <x v="0"/>
    <x v="0"/>
    <x v="0"/>
    <x v="8"/>
    <x v="16"/>
    <s v="PL_A"/>
    <x v="2"/>
    <x v="0"/>
    <s v="GNR_ST_MSW_BP_E-15"/>
    <x v="0"/>
    <x v="2"/>
    <n v="34"/>
    <n v="12410"/>
    <n v="44676"/>
  </r>
  <r>
    <x v="0"/>
    <x v="0"/>
    <x v="0"/>
    <x v="8"/>
    <x v="16"/>
    <s v="PL_A"/>
    <x v="2"/>
    <x v="0"/>
    <s v="GNR_ST_MSW_BP_E-15"/>
    <x v="0"/>
    <x v="3"/>
    <n v="34"/>
    <n v="12410"/>
    <n v="44676"/>
  </r>
  <r>
    <x v="0"/>
    <x v="0"/>
    <x v="0"/>
    <x v="8"/>
    <x v="16"/>
    <s v="PL_A"/>
    <x v="2"/>
    <x v="0"/>
    <s v="GNR_ST_MSW_BP_E-15"/>
    <x v="0"/>
    <x v="4"/>
    <n v="34"/>
    <n v="12410"/>
    <n v="44676"/>
  </r>
  <r>
    <x v="0"/>
    <x v="0"/>
    <x v="0"/>
    <x v="8"/>
    <x v="16"/>
    <s v="PL_A"/>
    <x v="2"/>
    <x v="0"/>
    <s v="GNR_ST_MSW_BP_E-15"/>
    <x v="0"/>
    <x v="5"/>
    <n v="34"/>
    <n v="12410"/>
    <n v="44676"/>
  </r>
  <r>
    <x v="0"/>
    <x v="0"/>
    <x v="0"/>
    <x v="8"/>
    <x v="16"/>
    <s v="PL_A"/>
    <x v="2"/>
    <x v="0"/>
    <s v="GNR_ST_MSW_BP_E-15"/>
    <x v="0"/>
    <x v="6"/>
    <n v="34"/>
    <n v="12410"/>
    <n v="44676"/>
  </r>
  <r>
    <x v="0"/>
    <x v="0"/>
    <x v="0"/>
    <x v="8"/>
    <x v="16"/>
    <s v="PL_A"/>
    <x v="2"/>
    <x v="0"/>
    <s v="GNR_ST_MSW_BP_E-15"/>
    <x v="0"/>
    <x v="7"/>
    <n v="34"/>
    <n v="12410"/>
    <n v="44676"/>
  </r>
  <r>
    <x v="0"/>
    <x v="0"/>
    <x v="0"/>
    <x v="8"/>
    <x v="16"/>
    <s v="PL_A"/>
    <x v="2"/>
    <x v="0"/>
    <s v="GNR_ST_MSW_BP_E-15"/>
    <x v="0"/>
    <x v="8"/>
    <n v="34"/>
    <n v="12410"/>
    <n v="44676"/>
  </r>
  <r>
    <x v="0"/>
    <x v="0"/>
    <x v="0"/>
    <x v="8"/>
    <x v="16"/>
    <s v="PL_A"/>
    <x v="2"/>
    <x v="0"/>
    <s v="GNR_ST_MSW_BP_E-15"/>
    <x v="0"/>
    <x v="9"/>
    <n v="34"/>
    <n v="12410"/>
    <n v="44676"/>
  </r>
  <r>
    <x v="0"/>
    <x v="0"/>
    <x v="0"/>
    <x v="8"/>
    <x v="16"/>
    <s v="PL_A"/>
    <x v="2"/>
    <x v="0"/>
    <s v="GNR_ST_MSW_BP_E-15"/>
    <x v="0"/>
    <x v="10"/>
    <n v="34"/>
    <n v="12410"/>
    <n v="44676"/>
  </r>
  <r>
    <x v="0"/>
    <x v="0"/>
    <x v="0"/>
    <x v="8"/>
    <x v="16"/>
    <s v="PL_A"/>
    <x v="2"/>
    <x v="0"/>
    <s v="GNR_ST_MSW_BP_E-15"/>
    <x v="0"/>
    <x v="11"/>
    <n v="34"/>
    <n v="12410"/>
    <n v="44676"/>
  </r>
  <r>
    <x v="0"/>
    <x v="0"/>
    <x v="0"/>
    <x v="8"/>
    <x v="16"/>
    <s v="PL_A"/>
    <x v="2"/>
    <x v="0"/>
    <s v="GNR_ST_MSW_BP_E-15"/>
    <x v="0"/>
    <x v="12"/>
    <n v="34"/>
    <n v="12410"/>
    <n v="44676"/>
  </r>
  <r>
    <x v="0"/>
    <x v="0"/>
    <x v="0"/>
    <x v="8"/>
    <x v="16"/>
    <s v="PL_A"/>
    <x v="2"/>
    <x v="0"/>
    <s v="GNR_ST_MSW_BP_E-15"/>
    <x v="0"/>
    <x v="13"/>
    <n v="34"/>
    <n v="12410"/>
    <n v="44676"/>
  </r>
  <r>
    <x v="0"/>
    <x v="0"/>
    <x v="0"/>
    <x v="8"/>
    <x v="16"/>
    <s v="PL_A"/>
    <x v="2"/>
    <x v="0"/>
    <s v="GNR_ST_MSW_BP_E-15"/>
    <x v="0"/>
    <x v="14"/>
    <n v="34"/>
    <n v="12410"/>
    <n v="44676"/>
  </r>
  <r>
    <x v="0"/>
    <x v="0"/>
    <x v="0"/>
    <x v="8"/>
    <x v="16"/>
    <s v="PL_A"/>
    <x v="2"/>
    <x v="0"/>
    <s v="GNR_ST_MSW_BP_E-15"/>
    <x v="0"/>
    <x v="15"/>
    <n v="34"/>
    <n v="12410"/>
    <n v="44676"/>
  </r>
  <r>
    <x v="0"/>
    <x v="0"/>
    <x v="0"/>
    <x v="8"/>
    <x v="16"/>
    <s v="PL_A"/>
    <x v="2"/>
    <x v="0"/>
    <s v="GNR_ST_MSW_BP_E-15"/>
    <x v="0"/>
    <x v="16"/>
    <n v="34"/>
    <n v="12410"/>
    <n v="44676"/>
  </r>
  <r>
    <x v="0"/>
    <x v="0"/>
    <x v="0"/>
    <x v="8"/>
    <x v="16"/>
    <s v="PL_A"/>
    <x v="2"/>
    <x v="0"/>
    <s v="GNR_ST_MSW_BP_E-15"/>
    <x v="0"/>
    <x v="17"/>
    <n v="34"/>
    <n v="12410"/>
    <n v="44676"/>
  </r>
  <r>
    <x v="0"/>
    <x v="0"/>
    <x v="0"/>
    <x v="8"/>
    <x v="16"/>
    <s v="PL_A"/>
    <x v="2"/>
    <x v="0"/>
    <s v="GNR_ST_MSW_BP_E-15"/>
    <x v="0"/>
    <x v="19"/>
    <n v="34"/>
    <n v="12410"/>
    <n v="44676"/>
  </r>
  <r>
    <x v="0"/>
    <x v="0"/>
    <x v="0"/>
    <x v="8"/>
    <x v="16"/>
    <s v="PL_A"/>
    <x v="2"/>
    <x v="0"/>
    <s v="GNR_ST_MSW_BP_E-15"/>
    <x v="0"/>
    <x v="20"/>
    <n v="34"/>
    <n v="12410"/>
    <n v="44676"/>
  </r>
  <r>
    <x v="0"/>
    <x v="0"/>
    <x v="0"/>
    <x v="8"/>
    <x v="16"/>
    <s v="PL_A"/>
    <x v="2"/>
    <x v="0"/>
    <s v="GNR_ST_MSW_BP_E-15"/>
    <x v="0"/>
    <x v="21"/>
    <n v="34"/>
    <n v="12410"/>
    <n v="44676"/>
  </r>
  <r>
    <x v="0"/>
    <x v="0"/>
    <x v="0"/>
    <x v="8"/>
    <x v="16"/>
    <s v="PL_A"/>
    <x v="2"/>
    <x v="0"/>
    <s v="GNR_ST_MSW_BP_E-15"/>
    <x v="0"/>
    <x v="22"/>
    <n v="34"/>
    <n v="12410"/>
    <n v="44676"/>
  </r>
  <r>
    <x v="0"/>
    <x v="0"/>
    <x v="0"/>
    <x v="8"/>
    <x v="16"/>
    <s v="PL_A"/>
    <x v="2"/>
    <x v="0"/>
    <s v="GNR_ST_MSW_BP_E-15"/>
    <x v="0"/>
    <x v="23"/>
    <n v="34"/>
    <n v="12410"/>
    <n v="44676"/>
  </r>
  <r>
    <x v="0"/>
    <x v="0"/>
    <x v="0"/>
    <x v="8"/>
    <x v="16"/>
    <s v="PL_A"/>
    <x v="5"/>
    <x v="3"/>
    <s v="GNR_PV_SUN"/>
    <x v="0"/>
    <x v="7"/>
    <n v="2.2203077554217899E-2"/>
    <n v="8.1041233072895391"/>
    <n v="29.174843906242302"/>
  </r>
  <r>
    <x v="0"/>
    <x v="0"/>
    <x v="0"/>
    <x v="8"/>
    <x v="16"/>
    <s v="PL_A"/>
    <x v="5"/>
    <x v="3"/>
    <s v="GNR_PV_SUN"/>
    <x v="0"/>
    <x v="8"/>
    <n v="0.16714932230559901"/>
    <n v="61.009502641543797"/>
    <n v="219.63420950955799"/>
  </r>
  <r>
    <x v="0"/>
    <x v="0"/>
    <x v="0"/>
    <x v="8"/>
    <x v="16"/>
    <s v="PL_A"/>
    <x v="5"/>
    <x v="3"/>
    <s v="GNR_PV_SUN"/>
    <x v="0"/>
    <x v="9"/>
    <n v="0.38610582557104101"/>
    <n v="140.92862633343"/>
    <n v="507.34305480034698"/>
  </r>
  <r>
    <x v="0"/>
    <x v="0"/>
    <x v="0"/>
    <x v="8"/>
    <x v="16"/>
    <s v="PL_A"/>
    <x v="5"/>
    <x v="3"/>
    <s v="GNR_PV_SUN"/>
    <x v="0"/>
    <x v="10"/>
    <n v="0.58798303841015997"/>
    <n v="214.61380901970901"/>
    <n v="772.60971247095097"/>
  </r>
  <r>
    <x v="0"/>
    <x v="0"/>
    <x v="0"/>
    <x v="8"/>
    <x v="16"/>
    <s v="PL_A"/>
    <x v="5"/>
    <x v="3"/>
    <s v="GNR_PV_SUN"/>
    <x v="0"/>
    <x v="11"/>
    <n v="0.66848342728622201"/>
    <n v="243.99645095947099"/>
    <n v="878.38722345409599"/>
  </r>
  <r>
    <x v="0"/>
    <x v="0"/>
    <x v="0"/>
    <x v="8"/>
    <x v="16"/>
    <s v="PL_A"/>
    <x v="5"/>
    <x v="3"/>
    <s v="GNR_PV_SUN"/>
    <x v="0"/>
    <x v="12"/>
    <n v="0.58126518417580697"/>
    <n v="212.16179222417"/>
    <n v="763.78245200701099"/>
  </r>
  <r>
    <x v="0"/>
    <x v="0"/>
    <x v="0"/>
    <x v="8"/>
    <x v="16"/>
    <s v="PL_A"/>
    <x v="5"/>
    <x v="3"/>
    <s v="GNR_PV_SUN"/>
    <x v="0"/>
    <x v="13"/>
    <n v="0.37824935197493298"/>
    <n v="138.06101347085001"/>
    <n v="497.01964849506197"/>
  </r>
  <r>
    <x v="0"/>
    <x v="0"/>
    <x v="0"/>
    <x v="8"/>
    <x v="16"/>
    <s v="PL_A"/>
    <x v="5"/>
    <x v="3"/>
    <s v="GNR_PV_SUN"/>
    <x v="0"/>
    <x v="14"/>
    <n v="0.191515776647151"/>
    <n v="69.903258476210297"/>
    <n v="251.65173051435701"/>
  </r>
  <r>
    <x v="0"/>
    <x v="0"/>
    <x v="0"/>
    <x v="8"/>
    <x v="16"/>
    <s v="PL_A"/>
    <x v="5"/>
    <x v="3"/>
    <s v="GNR_PV_SUN"/>
    <x v="0"/>
    <x v="15"/>
    <n v="2.4935764022429301E-2"/>
    <n v="9.1015538681867092"/>
    <n v="32.765593925472203"/>
  </r>
  <r>
    <x v="0"/>
    <x v="0"/>
    <x v="0"/>
    <x v="8"/>
    <x v="16"/>
    <s v="PL_A"/>
    <x v="7"/>
    <x v="5"/>
    <s v="GNR_WT_WIND_ONS"/>
    <x v="0"/>
    <x v="0"/>
    <n v="209.95498743155599"/>
    <n v="76633.570412517802"/>
    <n v="275880.853485064"/>
  </r>
  <r>
    <x v="0"/>
    <x v="0"/>
    <x v="0"/>
    <x v="8"/>
    <x v="16"/>
    <s v="PL_A"/>
    <x v="7"/>
    <x v="5"/>
    <s v="GNR_WT_WIND_ONS"/>
    <x v="0"/>
    <x v="1"/>
    <n v="251.94598491786701"/>
    <n v="91960.284495021304"/>
    <n v="331057.02418207697"/>
  </r>
  <r>
    <x v="0"/>
    <x v="0"/>
    <x v="0"/>
    <x v="8"/>
    <x v="16"/>
    <s v="PL_A"/>
    <x v="7"/>
    <x v="5"/>
    <s v="GNR_WT_WIND_ONS"/>
    <x v="0"/>
    <x v="18"/>
    <n v="245.947270991251"/>
    <n v="89770.753911806503"/>
    <n v="323174.71408250398"/>
  </r>
  <r>
    <x v="0"/>
    <x v="0"/>
    <x v="0"/>
    <x v="8"/>
    <x v="16"/>
    <s v="PL_A"/>
    <x v="7"/>
    <x v="5"/>
    <s v="GNR_WT_WIND_ONS"/>
    <x v="0"/>
    <x v="2"/>
    <n v="230.95048617471099"/>
    <n v="84296.927453769604"/>
    <n v="303468.93883356999"/>
  </r>
  <r>
    <x v="0"/>
    <x v="0"/>
    <x v="0"/>
    <x v="8"/>
    <x v="16"/>
    <s v="PL_A"/>
    <x v="7"/>
    <x v="5"/>
    <s v="GNR_WT_WIND_ONS"/>
    <x v="0"/>
    <x v="3"/>
    <n v="170.96334690855201"/>
    <n v="62401.621621621598"/>
    <n v="224645.83783783799"/>
  </r>
  <r>
    <x v="0"/>
    <x v="0"/>
    <x v="0"/>
    <x v="8"/>
    <x v="16"/>
    <s v="PL_A"/>
    <x v="7"/>
    <x v="5"/>
    <s v="GNR_WT_WIND_ONS"/>
    <x v="0"/>
    <x v="4"/>
    <n v="98.978779789161905"/>
    <n v="36127.2546230441"/>
    <n v="130058.11664295899"/>
  </r>
  <r>
    <x v="0"/>
    <x v="0"/>
    <x v="0"/>
    <x v="8"/>
    <x v="16"/>
    <s v="PL_A"/>
    <x v="7"/>
    <x v="5"/>
    <s v="GNR_WT_WIND_ONS"/>
    <x v="0"/>
    <x v="5"/>
    <n v="20.995498743155601"/>
    <n v="7663.3570412517802"/>
    <n v="27588.0853485064"/>
  </r>
  <r>
    <x v="0"/>
    <x v="0"/>
    <x v="0"/>
    <x v="8"/>
    <x v="16"/>
    <s v="PL_A"/>
    <x v="7"/>
    <x v="5"/>
    <s v="GNR_WT_WIND_ONS"/>
    <x v="0"/>
    <x v="6"/>
    <n v="14.9967848165397"/>
    <n v="5473.8264580369796"/>
    <n v="19705.7752489331"/>
  </r>
  <r>
    <x v="0"/>
    <x v="0"/>
    <x v="0"/>
    <x v="8"/>
    <x v="16"/>
    <s v="PL_A"/>
    <x v="7"/>
    <x v="5"/>
    <s v="GNR_WT_WIND_ONS"/>
    <x v="0"/>
    <x v="7"/>
    <n v="20.995498743155601"/>
    <n v="7663.3570412517802"/>
    <n v="27588.0853485064"/>
  </r>
  <r>
    <x v="0"/>
    <x v="0"/>
    <x v="0"/>
    <x v="8"/>
    <x v="16"/>
    <s v="PL_A"/>
    <x v="7"/>
    <x v="5"/>
    <s v="GNR_WT_WIND_ONS"/>
    <x v="0"/>
    <x v="8"/>
    <n v="98.978779789161905"/>
    <n v="36127.2546230441"/>
    <n v="130058.11664295899"/>
  </r>
  <r>
    <x v="0"/>
    <x v="0"/>
    <x v="0"/>
    <x v="8"/>
    <x v="16"/>
    <s v="PL_A"/>
    <x v="7"/>
    <x v="5"/>
    <s v="GNR_WT_WIND_ONS"/>
    <x v="0"/>
    <x v="9"/>
    <n v="230.95048617471099"/>
    <n v="84296.927453769604"/>
    <n v="303468.93883356999"/>
  </r>
  <r>
    <x v="0"/>
    <x v="0"/>
    <x v="0"/>
    <x v="8"/>
    <x v="16"/>
    <s v="PL_A"/>
    <x v="7"/>
    <x v="5"/>
    <s v="GNR_WT_WIND_ONS"/>
    <x v="0"/>
    <x v="10"/>
    <n v="356.92347863364398"/>
    <n v="130277.06970127999"/>
    <n v="468997.45092460897"/>
  </r>
  <r>
    <x v="0"/>
    <x v="0"/>
    <x v="0"/>
    <x v="8"/>
    <x v="16"/>
    <s v="PL_A"/>
    <x v="7"/>
    <x v="5"/>
    <s v="GNR_WT_WIND_ONS"/>
    <x v="0"/>
    <x v="11"/>
    <n v="413.91126093649501"/>
    <n v="151077.61024182101"/>
    <n v="543879.39687055501"/>
  </r>
  <r>
    <x v="0"/>
    <x v="0"/>
    <x v="0"/>
    <x v="8"/>
    <x v="16"/>
    <s v="PL_A"/>
    <x v="7"/>
    <x v="5"/>
    <s v="GNR_WT_WIND_ONS"/>
    <x v="0"/>
    <x v="12"/>
    <n v="473.89840020265399"/>
    <n v="172972.91607396901"/>
    <n v="622702.49786628701"/>
  </r>
  <r>
    <x v="0"/>
    <x v="0"/>
    <x v="0"/>
    <x v="8"/>
    <x v="16"/>
    <s v="PL_A"/>
    <x v="7"/>
    <x v="5"/>
    <s v="GNR_WT_WIND_ONS"/>
    <x v="0"/>
    <x v="13"/>
    <n v="473.89840020265399"/>
    <n v="172972.91607396901"/>
    <n v="622702.49786628701"/>
  </r>
  <r>
    <x v="0"/>
    <x v="0"/>
    <x v="0"/>
    <x v="8"/>
    <x v="16"/>
    <s v="PL_A"/>
    <x v="7"/>
    <x v="5"/>
    <s v="GNR_WT_WIND_ONS"/>
    <x v="0"/>
    <x v="14"/>
    <n v="749.839240826984"/>
    <n v="273691.32290184899"/>
    <n v="985288.76244665706"/>
  </r>
  <r>
    <x v="0"/>
    <x v="0"/>
    <x v="0"/>
    <x v="8"/>
    <x v="16"/>
    <s v="PL_A"/>
    <x v="7"/>
    <x v="5"/>
    <s v="GNR_WT_WIND_ONS"/>
    <x v="0"/>
    <x v="15"/>
    <n v="968.79229914846303"/>
    <n v="353609.189189189"/>
    <n v="1272993.08108108"/>
  </r>
  <r>
    <x v="0"/>
    <x v="0"/>
    <x v="0"/>
    <x v="8"/>
    <x v="16"/>
    <s v="PL_A"/>
    <x v="7"/>
    <x v="5"/>
    <s v="GNR_WT_WIND_ONS"/>
    <x v="0"/>
    <x v="16"/>
    <n v="956.79487129523204"/>
    <n v="349230.12802275998"/>
    <n v="1257228.4608819301"/>
  </r>
  <r>
    <x v="0"/>
    <x v="0"/>
    <x v="0"/>
    <x v="8"/>
    <x v="16"/>
    <s v="PL_A"/>
    <x v="7"/>
    <x v="5"/>
    <s v="GNR_WT_WIND_ONS"/>
    <x v="0"/>
    <x v="17"/>
    <n v="1307.7196360022599"/>
    <n v="477317.66714082501"/>
    <n v="1718343.60170697"/>
  </r>
  <r>
    <x v="0"/>
    <x v="0"/>
    <x v="0"/>
    <x v="8"/>
    <x v="16"/>
    <s v="PL_A"/>
    <x v="7"/>
    <x v="5"/>
    <s v="GNR_WT_WIND_ONS"/>
    <x v="0"/>
    <x v="19"/>
    <n v="1946.5826691868499"/>
    <n v="710502.674253201"/>
    <n v="2557809.6273115198"/>
  </r>
  <r>
    <x v="0"/>
    <x v="0"/>
    <x v="0"/>
    <x v="8"/>
    <x v="16"/>
    <s v="PL_A"/>
    <x v="7"/>
    <x v="5"/>
    <s v="GNR_WT_WIND_ONS"/>
    <x v="0"/>
    <x v="20"/>
    <n v="2255.5164364075699"/>
    <n v="823263.49928876304"/>
    <n v="2963748.5974395499"/>
  </r>
  <r>
    <x v="0"/>
    <x v="0"/>
    <x v="0"/>
    <x v="8"/>
    <x v="16"/>
    <s v="PL_A"/>
    <x v="7"/>
    <x v="5"/>
    <s v="GNR_WT_WIND_ONS"/>
    <x v="0"/>
    <x v="21"/>
    <n v="2432.4784972427401"/>
    <n v="887854.65149359906"/>
    <n v="3196276.7453769599"/>
  </r>
  <r>
    <x v="0"/>
    <x v="0"/>
    <x v="0"/>
    <x v="8"/>
    <x v="16"/>
    <s v="PL_A"/>
    <x v="7"/>
    <x v="5"/>
    <s v="GNR_WT_WIND_ONS"/>
    <x v="0"/>
    <x v="22"/>
    <n v="2471.4701377657402"/>
    <n v="902086.60028449504"/>
    <n v="3247511.7610241799"/>
  </r>
  <r>
    <x v="0"/>
    <x v="0"/>
    <x v="0"/>
    <x v="8"/>
    <x v="16"/>
    <s v="PL_A"/>
    <x v="7"/>
    <x v="5"/>
    <s v="GNR_WT_WIND_ONS"/>
    <x v="0"/>
    <x v="23"/>
    <n v="2573.4482745182099"/>
    <n v="939308.62019914598"/>
    <n v="3381511.0327169299"/>
  </r>
  <r>
    <x v="0"/>
    <x v="0"/>
    <x v="0"/>
    <x v="8"/>
    <x v="16"/>
    <s v="PL_Rural"/>
    <x v="0"/>
    <x v="6"/>
    <s v="DOLN-2_ST_COAL_CND"/>
    <x v="0"/>
    <x v="4"/>
    <n v="33.793095714849201"/>
    <n v="12334.479935920001"/>
    <n v="44404.127769311897"/>
  </r>
  <r>
    <x v="0"/>
    <x v="0"/>
    <x v="0"/>
    <x v="8"/>
    <x v="16"/>
    <s v="PL_Rural"/>
    <x v="0"/>
    <x v="6"/>
    <s v="DOLN-2_ST_COAL_CND"/>
    <x v="0"/>
    <x v="5"/>
    <n v="1425"/>
    <n v="520125"/>
    <n v="1872450"/>
  </r>
  <r>
    <x v="0"/>
    <x v="0"/>
    <x v="0"/>
    <x v="8"/>
    <x v="16"/>
    <s v="PL_Rural"/>
    <x v="0"/>
    <x v="6"/>
    <s v="DOLN-2_ST_COAL_CND"/>
    <x v="0"/>
    <x v="6"/>
    <n v="1425"/>
    <n v="520125"/>
    <n v="1872450"/>
  </r>
  <r>
    <x v="0"/>
    <x v="0"/>
    <x v="0"/>
    <x v="8"/>
    <x v="16"/>
    <s v="PL_Rural"/>
    <x v="0"/>
    <x v="6"/>
    <s v="DOLN-2_ST_COAL_CND"/>
    <x v="0"/>
    <x v="7"/>
    <n v="1425"/>
    <n v="520125"/>
    <n v="1872450"/>
  </r>
  <r>
    <x v="0"/>
    <x v="0"/>
    <x v="0"/>
    <x v="8"/>
    <x v="16"/>
    <s v="PL_Rural"/>
    <x v="0"/>
    <x v="6"/>
    <s v="DOLN-2_ST_COAL_CND"/>
    <x v="0"/>
    <x v="8"/>
    <n v="1425"/>
    <n v="520125"/>
    <n v="1872450"/>
  </r>
  <r>
    <x v="0"/>
    <x v="0"/>
    <x v="0"/>
    <x v="8"/>
    <x v="16"/>
    <s v="PL_Rural"/>
    <x v="0"/>
    <x v="6"/>
    <s v="DOLN-2_ST_COAL_CND"/>
    <x v="0"/>
    <x v="9"/>
    <n v="1425"/>
    <n v="520125"/>
    <n v="1872450"/>
  </r>
  <r>
    <x v="0"/>
    <x v="0"/>
    <x v="0"/>
    <x v="8"/>
    <x v="16"/>
    <s v="PL_Rural"/>
    <x v="0"/>
    <x v="6"/>
    <s v="DOLN-2_ST_COAL_CND"/>
    <x v="0"/>
    <x v="10"/>
    <n v="1425"/>
    <n v="520125"/>
    <n v="1872450"/>
  </r>
  <r>
    <x v="0"/>
    <x v="0"/>
    <x v="0"/>
    <x v="8"/>
    <x v="16"/>
    <s v="PL_Rural"/>
    <x v="0"/>
    <x v="6"/>
    <s v="DOLN-2_ST_COAL_CND"/>
    <x v="0"/>
    <x v="11"/>
    <n v="1425"/>
    <n v="520125"/>
    <n v="1872450"/>
  </r>
  <r>
    <x v="0"/>
    <x v="0"/>
    <x v="0"/>
    <x v="8"/>
    <x v="16"/>
    <s v="PL_Rural"/>
    <x v="0"/>
    <x v="6"/>
    <s v="DOLN-2_ST_COAL_CND"/>
    <x v="0"/>
    <x v="12"/>
    <n v="1320.8432735659701"/>
    <n v="482107.79485158098"/>
    <n v="1735588.0614656899"/>
  </r>
  <r>
    <x v="0"/>
    <x v="0"/>
    <x v="0"/>
    <x v="8"/>
    <x v="16"/>
    <s v="PL_Rural"/>
    <x v="0"/>
    <x v="6"/>
    <s v="DOLN-2_ST_COAL_CND"/>
    <x v="0"/>
    <x v="14"/>
    <n v="612.612155724476"/>
    <n v="223603.436839434"/>
    <n v="804972.37262196199"/>
  </r>
  <r>
    <x v="0"/>
    <x v="0"/>
    <x v="0"/>
    <x v="8"/>
    <x v="16"/>
    <s v="PL_Rural"/>
    <x v="0"/>
    <x v="6"/>
    <s v="DOLN-2_ST_COAL_CND"/>
    <x v="0"/>
    <x v="15"/>
    <n v="1425"/>
    <n v="520125"/>
    <n v="1872450"/>
  </r>
  <r>
    <x v="0"/>
    <x v="0"/>
    <x v="0"/>
    <x v="8"/>
    <x v="16"/>
    <s v="PL_Rural"/>
    <x v="0"/>
    <x v="6"/>
    <s v="DOLN-2_ST_COAL_CND"/>
    <x v="0"/>
    <x v="16"/>
    <n v="1425"/>
    <n v="520125"/>
    <n v="1872450"/>
  </r>
  <r>
    <x v="0"/>
    <x v="0"/>
    <x v="0"/>
    <x v="8"/>
    <x v="16"/>
    <s v="PL_Rural"/>
    <x v="0"/>
    <x v="6"/>
    <s v="DOLN-2_ST_COAL_CND"/>
    <x v="0"/>
    <x v="17"/>
    <n v="1208.5685578172499"/>
    <n v="441127.52360329701"/>
    <n v="1588059.0849718701"/>
  </r>
  <r>
    <x v="0"/>
    <x v="0"/>
    <x v="0"/>
    <x v="8"/>
    <x v="16"/>
    <s v="PL_Rural"/>
    <x v="0"/>
    <x v="6"/>
    <s v="DOLN-2_ST_COAL_CND"/>
    <x v="0"/>
    <x v="19"/>
    <n v="1425"/>
    <n v="520125"/>
    <n v="1872450"/>
  </r>
  <r>
    <x v="0"/>
    <x v="0"/>
    <x v="0"/>
    <x v="8"/>
    <x v="16"/>
    <s v="PL_Rural"/>
    <x v="0"/>
    <x v="6"/>
    <s v="DOLN-2_ST_COAL_CND"/>
    <x v="0"/>
    <x v="21"/>
    <n v="1412.9663425035101"/>
    <n v="515732.71501378203"/>
    <n v="1856637.7740496099"/>
  </r>
  <r>
    <x v="0"/>
    <x v="0"/>
    <x v="0"/>
    <x v="8"/>
    <x v="16"/>
    <s v="PL_Rural"/>
    <x v="0"/>
    <x v="6"/>
    <s v="KOZI-2_ST_COAL_CND"/>
    <x v="0"/>
    <x v="6"/>
    <n v="2475"/>
    <n v="903375"/>
    <n v="3252150"/>
  </r>
  <r>
    <x v="0"/>
    <x v="0"/>
    <x v="0"/>
    <x v="8"/>
    <x v="16"/>
    <s v="PL_Rural"/>
    <x v="0"/>
    <x v="6"/>
    <s v="KOZI-2_ST_COAL_CND"/>
    <x v="0"/>
    <x v="7"/>
    <n v="2102.07253088585"/>
    <n v="767256.47377333697"/>
    <n v="2762123.3055840102"/>
  </r>
  <r>
    <x v="0"/>
    <x v="0"/>
    <x v="0"/>
    <x v="8"/>
    <x v="16"/>
    <s v="PL_Rural"/>
    <x v="0"/>
    <x v="6"/>
    <s v="KOZI-2_ST_COAL_CND"/>
    <x v="0"/>
    <x v="8"/>
    <n v="2141.8933229754698"/>
    <n v="781791.06288604799"/>
    <n v="2814447.82638977"/>
  </r>
  <r>
    <x v="0"/>
    <x v="0"/>
    <x v="0"/>
    <x v="8"/>
    <x v="16"/>
    <s v="PL_Rural"/>
    <x v="0"/>
    <x v="6"/>
    <s v="KOZI-2_ST_COAL_CND"/>
    <x v="0"/>
    <x v="9"/>
    <n v="2475"/>
    <n v="903375"/>
    <n v="3252150"/>
  </r>
  <r>
    <x v="0"/>
    <x v="0"/>
    <x v="0"/>
    <x v="8"/>
    <x v="16"/>
    <s v="PL_Rural"/>
    <x v="0"/>
    <x v="6"/>
    <s v="KOZI-2_ST_COAL_CND"/>
    <x v="0"/>
    <x v="10"/>
    <n v="2475"/>
    <n v="903375"/>
    <n v="3252150"/>
  </r>
  <r>
    <x v="0"/>
    <x v="0"/>
    <x v="0"/>
    <x v="8"/>
    <x v="16"/>
    <s v="PL_Rural"/>
    <x v="0"/>
    <x v="6"/>
    <s v="KOZI-2_ST_COAL_CND"/>
    <x v="0"/>
    <x v="11"/>
    <n v="2475"/>
    <n v="903375"/>
    <n v="3252150"/>
  </r>
  <r>
    <x v="0"/>
    <x v="0"/>
    <x v="0"/>
    <x v="8"/>
    <x v="16"/>
    <s v="PL_Rural"/>
    <x v="0"/>
    <x v="6"/>
    <s v="KOZI-2_ST_COAL_CND"/>
    <x v="0"/>
    <x v="13"/>
    <n v="2475"/>
    <n v="903375"/>
    <n v="3252150"/>
  </r>
  <r>
    <x v="0"/>
    <x v="0"/>
    <x v="0"/>
    <x v="8"/>
    <x v="16"/>
    <s v="PL_Rural"/>
    <x v="0"/>
    <x v="6"/>
    <s v="KOZI-2_ST_COAL_CND"/>
    <x v="0"/>
    <x v="14"/>
    <n v="2475"/>
    <n v="903375"/>
    <n v="3252150"/>
  </r>
  <r>
    <x v="0"/>
    <x v="0"/>
    <x v="0"/>
    <x v="8"/>
    <x v="16"/>
    <s v="PL_Rural"/>
    <x v="0"/>
    <x v="6"/>
    <s v="KOZI-2_ST_COAL_CND"/>
    <x v="0"/>
    <x v="15"/>
    <n v="2219.0475730633598"/>
    <n v="809952.364168128"/>
    <n v="2915828.5110052601"/>
  </r>
  <r>
    <x v="0"/>
    <x v="0"/>
    <x v="0"/>
    <x v="8"/>
    <x v="16"/>
    <s v="PL_Rural"/>
    <x v="0"/>
    <x v="6"/>
    <s v="KOZI-2_ST_COAL_CND"/>
    <x v="0"/>
    <x v="16"/>
    <n v="2475"/>
    <n v="903375"/>
    <n v="3252150"/>
  </r>
  <r>
    <x v="0"/>
    <x v="0"/>
    <x v="0"/>
    <x v="8"/>
    <x v="16"/>
    <s v="PL_Rural"/>
    <x v="0"/>
    <x v="6"/>
    <s v="KOZI-2_ST_COAL_CND"/>
    <x v="0"/>
    <x v="17"/>
    <n v="2475"/>
    <n v="903375"/>
    <n v="3252150"/>
  </r>
  <r>
    <x v="0"/>
    <x v="0"/>
    <x v="0"/>
    <x v="8"/>
    <x v="16"/>
    <s v="PL_Rural"/>
    <x v="0"/>
    <x v="6"/>
    <s v="KOZI-2_ST_COAL_CND"/>
    <x v="0"/>
    <x v="19"/>
    <n v="2475"/>
    <n v="903375"/>
    <n v="3252150"/>
  </r>
  <r>
    <x v="0"/>
    <x v="0"/>
    <x v="0"/>
    <x v="8"/>
    <x v="16"/>
    <s v="PL_Rural"/>
    <x v="0"/>
    <x v="6"/>
    <s v="KOZI-2_ST_COAL_CND"/>
    <x v="0"/>
    <x v="20"/>
    <n v="2475"/>
    <n v="903375"/>
    <n v="3252150"/>
  </r>
  <r>
    <x v="0"/>
    <x v="0"/>
    <x v="0"/>
    <x v="8"/>
    <x v="16"/>
    <s v="PL_Rural"/>
    <x v="0"/>
    <x v="6"/>
    <s v="LAGI-6_ST_COAL_CND"/>
    <x v="0"/>
    <x v="0"/>
    <n v="427"/>
    <n v="155855"/>
    <n v="561078"/>
  </r>
  <r>
    <x v="0"/>
    <x v="0"/>
    <x v="0"/>
    <x v="8"/>
    <x v="16"/>
    <s v="PL_Rural"/>
    <x v="0"/>
    <x v="6"/>
    <s v="LAGI-6_ST_COAL_CND"/>
    <x v="0"/>
    <x v="1"/>
    <n v="427"/>
    <n v="155855"/>
    <n v="561078"/>
  </r>
  <r>
    <x v="0"/>
    <x v="0"/>
    <x v="0"/>
    <x v="8"/>
    <x v="16"/>
    <s v="PL_Rural"/>
    <x v="0"/>
    <x v="6"/>
    <s v="LAGI-6_ST_COAL_CND"/>
    <x v="0"/>
    <x v="18"/>
    <n v="427"/>
    <n v="155855"/>
    <n v="561078"/>
  </r>
  <r>
    <x v="0"/>
    <x v="0"/>
    <x v="0"/>
    <x v="8"/>
    <x v="16"/>
    <s v="PL_Rural"/>
    <x v="0"/>
    <x v="6"/>
    <s v="LAGI-6_ST_COAL_CND"/>
    <x v="0"/>
    <x v="2"/>
    <n v="427"/>
    <n v="155855"/>
    <n v="561078"/>
  </r>
  <r>
    <x v="0"/>
    <x v="0"/>
    <x v="0"/>
    <x v="8"/>
    <x v="16"/>
    <s v="PL_Rural"/>
    <x v="0"/>
    <x v="6"/>
    <s v="LAGI-6_ST_COAL_CND"/>
    <x v="0"/>
    <x v="3"/>
    <n v="427"/>
    <n v="155855"/>
    <n v="561078"/>
  </r>
  <r>
    <x v="0"/>
    <x v="0"/>
    <x v="0"/>
    <x v="8"/>
    <x v="16"/>
    <s v="PL_Rural"/>
    <x v="0"/>
    <x v="6"/>
    <s v="LAGI-6_ST_COAL_CND"/>
    <x v="0"/>
    <x v="4"/>
    <n v="427"/>
    <n v="155855"/>
    <n v="561078"/>
  </r>
  <r>
    <x v="0"/>
    <x v="0"/>
    <x v="0"/>
    <x v="8"/>
    <x v="16"/>
    <s v="PL_Rural"/>
    <x v="0"/>
    <x v="6"/>
    <s v="LAGI-6_ST_COAL_CND"/>
    <x v="0"/>
    <x v="5"/>
    <n v="427"/>
    <n v="155855"/>
    <n v="561078"/>
  </r>
  <r>
    <x v="0"/>
    <x v="0"/>
    <x v="0"/>
    <x v="8"/>
    <x v="16"/>
    <s v="PL_Rural"/>
    <x v="0"/>
    <x v="6"/>
    <s v="LAGI-6_ST_COAL_CND"/>
    <x v="0"/>
    <x v="6"/>
    <n v="427"/>
    <n v="155855"/>
    <n v="561078"/>
  </r>
  <r>
    <x v="0"/>
    <x v="0"/>
    <x v="0"/>
    <x v="8"/>
    <x v="16"/>
    <s v="PL_Rural"/>
    <x v="0"/>
    <x v="6"/>
    <s v="LAGI-6_ST_COAL_CND"/>
    <x v="0"/>
    <x v="7"/>
    <n v="427"/>
    <n v="155855"/>
    <n v="561078"/>
  </r>
  <r>
    <x v="0"/>
    <x v="0"/>
    <x v="0"/>
    <x v="8"/>
    <x v="16"/>
    <s v="PL_Rural"/>
    <x v="0"/>
    <x v="6"/>
    <s v="LAGI-6_ST_COAL_CND"/>
    <x v="0"/>
    <x v="8"/>
    <n v="427"/>
    <n v="155855"/>
    <n v="561078"/>
  </r>
  <r>
    <x v="0"/>
    <x v="0"/>
    <x v="0"/>
    <x v="8"/>
    <x v="16"/>
    <s v="PL_Rural"/>
    <x v="0"/>
    <x v="6"/>
    <s v="LAGI-6_ST_COAL_CND"/>
    <x v="0"/>
    <x v="9"/>
    <n v="427"/>
    <n v="155855"/>
    <n v="561078"/>
  </r>
  <r>
    <x v="0"/>
    <x v="0"/>
    <x v="0"/>
    <x v="8"/>
    <x v="16"/>
    <s v="PL_Rural"/>
    <x v="0"/>
    <x v="6"/>
    <s v="LAGI-6_ST_COAL_CND"/>
    <x v="0"/>
    <x v="10"/>
    <n v="427"/>
    <n v="155855"/>
    <n v="561078"/>
  </r>
  <r>
    <x v="0"/>
    <x v="0"/>
    <x v="0"/>
    <x v="8"/>
    <x v="16"/>
    <s v="PL_Rural"/>
    <x v="0"/>
    <x v="6"/>
    <s v="LAGI-6_ST_COAL_CND"/>
    <x v="0"/>
    <x v="11"/>
    <n v="427"/>
    <n v="155855"/>
    <n v="561078"/>
  </r>
  <r>
    <x v="0"/>
    <x v="0"/>
    <x v="0"/>
    <x v="8"/>
    <x v="16"/>
    <s v="PL_Rural"/>
    <x v="0"/>
    <x v="6"/>
    <s v="LAGI-6_ST_COAL_CND"/>
    <x v="0"/>
    <x v="12"/>
    <n v="427"/>
    <n v="155855"/>
    <n v="561078"/>
  </r>
  <r>
    <x v="0"/>
    <x v="0"/>
    <x v="0"/>
    <x v="8"/>
    <x v="16"/>
    <s v="PL_Rural"/>
    <x v="0"/>
    <x v="6"/>
    <s v="LAGI-6_ST_COAL_CND"/>
    <x v="0"/>
    <x v="13"/>
    <n v="427"/>
    <n v="155855"/>
    <n v="561078"/>
  </r>
  <r>
    <x v="0"/>
    <x v="0"/>
    <x v="0"/>
    <x v="8"/>
    <x v="16"/>
    <s v="PL_Rural"/>
    <x v="0"/>
    <x v="6"/>
    <s v="LAGI-6_ST_COAL_CND"/>
    <x v="0"/>
    <x v="14"/>
    <n v="427"/>
    <n v="155855"/>
    <n v="561078"/>
  </r>
  <r>
    <x v="0"/>
    <x v="0"/>
    <x v="0"/>
    <x v="8"/>
    <x v="16"/>
    <s v="PL_Rural"/>
    <x v="0"/>
    <x v="6"/>
    <s v="LAGI-6_ST_COAL_CND"/>
    <x v="0"/>
    <x v="15"/>
    <n v="427"/>
    <n v="155855"/>
    <n v="561078"/>
  </r>
  <r>
    <x v="0"/>
    <x v="0"/>
    <x v="0"/>
    <x v="8"/>
    <x v="16"/>
    <s v="PL_Rural"/>
    <x v="0"/>
    <x v="6"/>
    <s v="LAGI-6_ST_COAL_CND"/>
    <x v="0"/>
    <x v="16"/>
    <n v="427"/>
    <n v="155855"/>
    <n v="561078"/>
  </r>
  <r>
    <x v="0"/>
    <x v="0"/>
    <x v="0"/>
    <x v="8"/>
    <x v="16"/>
    <s v="PL_Rural"/>
    <x v="0"/>
    <x v="6"/>
    <s v="LAGI-6_ST_COAL_CND"/>
    <x v="0"/>
    <x v="17"/>
    <n v="427"/>
    <n v="155855"/>
    <n v="561078"/>
  </r>
  <r>
    <x v="0"/>
    <x v="0"/>
    <x v="0"/>
    <x v="8"/>
    <x v="16"/>
    <s v="PL_Rural"/>
    <x v="0"/>
    <x v="6"/>
    <s v="LAGI-6_ST_COAL_CND"/>
    <x v="0"/>
    <x v="19"/>
    <n v="427"/>
    <n v="155855"/>
    <n v="561078"/>
  </r>
  <r>
    <x v="0"/>
    <x v="0"/>
    <x v="0"/>
    <x v="8"/>
    <x v="16"/>
    <s v="PL_Rural"/>
    <x v="0"/>
    <x v="6"/>
    <s v="LAGI-6_ST_COAL_CND"/>
    <x v="0"/>
    <x v="20"/>
    <n v="427"/>
    <n v="155855"/>
    <n v="561078"/>
  </r>
  <r>
    <x v="0"/>
    <x v="0"/>
    <x v="0"/>
    <x v="8"/>
    <x v="16"/>
    <s v="PL_Rural"/>
    <x v="0"/>
    <x v="6"/>
    <s v="LAGI-6_ST_COAL_CND"/>
    <x v="0"/>
    <x v="21"/>
    <n v="427"/>
    <n v="155855"/>
    <n v="561078"/>
  </r>
  <r>
    <x v="0"/>
    <x v="0"/>
    <x v="0"/>
    <x v="8"/>
    <x v="16"/>
    <s v="PL_Rural"/>
    <x v="0"/>
    <x v="6"/>
    <s v="LAGI-6_ST_COAL_CND"/>
    <x v="0"/>
    <x v="22"/>
    <n v="427"/>
    <n v="155855"/>
    <n v="561078"/>
  </r>
  <r>
    <x v="0"/>
    <x v="0"/>
    <x v="0"/>
    <x v="8"/>
    <x v="16"/>
    <s v="PL_Rural"/>
    <x v="0"/>
    <x v="6"/>
    <s v="LAGI-6_ST_COAL_CND"/>
    <x v="0"/>
    <x v="23"/>
    <n v="427"/>
    <n v="155855"/>
    <n v="561078"/>
  </r>
  <r>
    <x v="0"/>
    <x v="0"/>
    <x v="0"/>
    <x v="8"/>
    <x v="16"/>
    <s v="PL_Rural"/>
    <x v="0"/>
    <x v="6"/>
    <s v="OPOL-1_ST_COAL_CND"/>
    <x v="0"/>
    <x v="0"/>
    <n v="1420"/>
    <n v="518300"/>
    <n v="1865880"/>
  </r>
  <r>
    <x v="0"/>
    <x v="0"/>
    <x v="0"/>
    <x v="8"/>
    <x v="16"/>
    <s v="PL_Rural"/>
    <x v="0"/>
    <x v="6"/>
    <s v="OPOL-1_ST_COAL_CND"/>
    <x v="0"/>
    <x v="1"/>
    <n v="1420"/>
    <n v="518300"/>
    <n v="1865880"/>
  </r>
  <r>
    <x v="0"/>
    <x v="0"/>
    <x v="0"/>
    <x v="8"/>
    <x v="16"/>
    <s v="PL_Rural"/>
    <x v="0"/>
    <x v="6"/>
    <s v="OPOL-1_ST_COAL_CND"/>
    <x v="0"/>
    <x v="18"/>
    <n v="1420"/>
    <n v="518300"/>
    <n v="1865880"/>
  </r>
  <r>
    <x v="0"/>
    <x v="0"/>
    <x v="0"/>
    <x v="8"/>
    <x v="16"/>
    <s v="PL_Rural"/>
    <x v="0"/>
    <x v="6"/>
    <s v="OPOL-1_ST_COAL_CND"/>
    <x v="0"/>
    <x v="2"/>
    <n v="1420"/>
    <n v="518300"/>
    <n v="1865880"/>
  </r>
  <r>
    <x v="0"/>
    <x v="0"/>
    <x v="0"/>
    <x v="8"/>
    <x v="16"/>
    <s v="PL_Rural"/>
    <x v="0"/>
    <x v="6"/>
    <s v="OPOL-1_ST_COAL_CND"/>
    <x v="0"/>
    <x v="3"/>
    <n v="1420"/>
    <n v="518300"/>
    <n v="1865880"/>
  </r>
  <r>
    <x v="0"/>
    <x v="0"/>
    <x v="0"/>
    <x v="8"/>
    <x v="16"/>
    <s v="PL_Rural"/>
    <x v="0"/>
    <x v="6"/>
    <s v="OPOL-1_ST_COAL_CND"/>
    <x v="0"/>
    <x v="4"/>
    <n v="1420"/>
    <n v="518300"/>
    <n v="1865880"/>
  </r>
  <r>
    <x v="0"/>
    <x v="0"/>
    <x v="0"/>
    <x v="8"/>
    <x v="16"/>
    <s v="PL_Rural"/>
    <x v="0"/>
    <x v="6"/>
    <s v="OPOL-1_ST_COAL_CND"/>
    <x v="0"/>
    <x v="5"/>
    <n v="1420"/>
    <n v="518300"/>
    <n v="1865880"/>
  </r>
  <r>
    <x v="0"/>
    <x v="0"/>
    <x v="0"/>
    <x v="8"/>
    <x v="16"/>
    <s v="PL_Rural"/>
    <x v="0"/>
    <x v="6"/>
    <s v="OPOL-1_ST_COAL_CND"/>
    <x v="0"/>
    <x v="6"/>
    <n v="1420"/>
    <n v="518300"/>
    <n v="1865880"/>
  </r>
  <r>
    <x v="0"/>
    <x v="0"/>
    <x v="0"/>
    <x v="8"/>
    <x v="16"/>
    <s v="PL_Rural"/>
    <x v="0"/>
    <x v="6"/>
    <s v="OPOL-1_ST_COAL_CND"/>
    <x v="0"/>
    <x v="7"/>
    <n v="1420"/>
    <n v="518300"/>
    <n v="1865880"/>
  </r>
  <r>
    <x v="0"/>
    <x v="0"/>
    <x v="0"/>
    <x v="8"/>
    <x v="16"/>
    <s v="PL_Rural"/>
    <x v="0"/>
    <x v="6"/>
    <s v="OPOL-1_ST_COAL_CND"/>
    <x v="0"/>
    <x v="8"/>
    <n v="1420"/>
    <n v="518300"/>
    <n v="1865880"/>
  </r>
  <r>
    <x v="0"/>
    <x v="0"/>
    <x v="0"/>
    <x v="8"/>
    <x v="16"/>
    <s v="PL_Rural"/>
    <x v="0"/>
    <x v="6"/>
    <s v="OPOL-1_ST_COAL_CND"/>
    <x v="0"/>
    <x v="9"/>
    <n v="1420"/>
    <n v="518300"/>
    <n v="1865880"/>
  </r>
  <r>
    <x v="0"/>
    <x v="0"/>
    <x v="0"/>
    <x v="8"/>
    <x v="16"/>
    <s v="PL_Rural"/>
    <x v="0"/>
    <x v="6"/>
    <s v="OPOL-1_ST_COAL_CND"/>
    <x v="0"/>
    <x v="10"/>
    <n v="1420"/>
    <n v="518300"/>
    <n v="1865880"/>
  </r>
  <r>
    <x v="0"/>
    <x v="0"/>
    <x v="0"/>
    <x v="8"/>
    <x v="16"/>
    <s v="PL_Rural"/>
    <x v="0"/>
    <x v="6"/>
    <s v="OPOL-1_ST_COAL_CND"/>
    <x v="0"/>
    <x v="11"/>
    <n v="1420"/>
    <n v="518300"/>
    <n v="1865880"/>
  </r>
  <r>
    <x v="0"/>
    <x v="0"/>
    <x v="0"/>
    <x v="8"/>
    <x v="16"/>
    <s v="PL_Rural"/>
    <x v="0"/>
    <x v="6"/>
    <s v="OPOL-1_ST_COAL_CND"/>
    <x v="0"/>
    <x v="12"/>
    <n v="1420"/>
    <n v="518300"/>
    <n v="1865880"/>
  </r>
  <r>
    <x v="0"/>
    <x v="0"/>
    <x v="0"/>
    <x v="8"/>
    <x v="16"/>
    <s v="PL_Rural"/>
    <x v="0"/>
    <x v="6"/>
    <s v="OPOL-1_ST_COAL_CND"/>
    <x v="0"/>
    <x v="13"/>
    <n v="1420"/>
    <n v="518300"/>
    <n v="1865880"/>
  </r>
  <r>
    <x v="0"/>
    <x v="0"/>
    <x v="0"/>
    <x v="8"/>
    <x v="16"/>
    <s v="PL_Rural"/>
    <x v="0"/>
    <x v="6"/>
    <s v="OPOL-1_ST_COAL_CND"/>
    <x v="0"/>
    <x v="14"/>
    <n v="1420"/>
    <n v="518300"/>
    <n v="1865880"/>
  </r>
  <r>
    <x v="0"/>
    <x v="0"/>
    <x v="0"/>
    <x v="8"/>
    <x v="16"/>
    <s v="PL_Rural"/>
    <x v="0"/>
    <x v="6"/>
    <s v="OPOL-1_ST_COAL_CND"/>
    <x v="0"/>
    <x v="15"/>
    <n v="1420"/>
    <n v="518300"/>
    <n v="1865880"/>
  </r>
  <r>
    <x v="0"/>
    <x v="0"/>
    <x v="0"/>
    <x v="8"/>
    <x v="16"/>
    <s v="PL_Rural"/>
    <x v="0"/>
    <x v="6"/>
    <s v="OPOL-1_ST_COAL_CND"/>
    <x v="0"/>
    <x v="16"/>
    <n v="1420"/>
    <n v="518300"/>
    <n v="1865880"/>
  </r>
  <r>
    <x v="0"/>
    <x v="0"/>
    <x v="0"/>
    <x v="8"/>
    <x v="16"/>
    <s v="PL_Rural"/>
    <x v="0"/>
    <x v="6"/>
    <s v="OPOL-1_ST_COAL_CND"/>
    <x v="0"/>
    <x v="17"/>
    <n v="1420"/>
    <n v="518300"/>
    <n v="1865880"/>
  </r>
  <r>
    <x v="0"/>
    <x v="0"/>
    <x v="0"/>
    <x v="8"/>
    <x v="16"/>
    <s v="PL_Rural"/>
    <x v="0"/>
    <x v="6"/>
    <s v="OPOL-1_ST_COAL_CND"/>
    <x v="0"/>
    <x v="19"/>
    <n v="1420"/>
    <n v="518300"/>
    <n v="1865880"/>
  </r>
  <r>
    <x v="0"/>
    <x v="0"/>
    <x v="0"/>
    <x v="8"/>
    <x v="16"/>
    <s v="PL_Rural"/>
    <x v="0"/>
    <x v="6"/>
    <s v="OPOL-1_ST_COAL_CND"/>
    <x v="0"/>
    <x v="20"/>
    <n v="1420"/>
    <n v="518300"/>
    <n v="1865880"/>
  </r>
  <r>
    <x v="0"/>
    <x v="0"/>
    <x v="0"/>
    <x v="8"/>
    <x v="16"/>
    <s v="PL_Rural"/>
    <x v="0"/>
    <x v="6"/>
    <s v="OPOL-1_ST_COAL_CND"/>
    <x v="0"/>
    <x v="21"/>
    <n v="1420"/>
    <n v="518300"/>
    <n v="1865880"/>
  </r>
  <r>
    <x v="0"/>
    <x v="0"/>
    <x v="0"/>
    <x v="8"/>
    <x v="16"/>
    <s v="PL_Rural"/>
    <x v="0"/>
    <x v="6"/>
    <s v="OPOL-1_ST_COAL_CND"/>
    <x v="0"/>
    <x v="22"/>
    <n v="1420"/>
    <n v="518300"/>
    <n v="1865880"/>
  </r>
  <r>
    <x v="0"/>
    <x v="0"/>
    <x v="0"/>
    <x v="8"/>
    <x v="16"/>
    <s v="PL_Rural"/>
    <x v="0"/>
    <x v="6"/>
    <s v="OPOL-1_ST_COAL_CND"/>
    <x v="0"/>
    <x v="23"/>
    <n v="1420"/>
    <n v="518300"/>
    <n v="1865880"/>
  </r>
  <r>
    <x v="0"/>
    <x v="0"/>
    <x v="0"/>
    <x v="8"/>
    <x v="16"/>
    <s v="PL_Rural"/>
    <x v="0"/>
    <x v="6"/>
    <s v="OSTRB-1_ST_COAL_CND"/>
    <x v="0"/>
    <x v="5"/>
    <n v="688"/>
    <n v="251120"/>
    <n v="904032"/>
  </r>
  <r>
    <x v="0"/>
    <x v="0"/>
    <x v="0"/>
    <x v="8"/>
    <x v="16"/>
    <s v="PL_Rural"/>
    <x v="0"/>
    <x v="6"/>
    <s v="OSTRB-1_ST_COAL_CND"/>
    <x v="0"/>
    <x v="6"/>
    <n v="688"/>
    <n v="251120"/>
    <n v="904032"/>
  </r>
  <r>
    <x v="0"/>
    <x v="0"/>
    <x v="0"/>
    <x v="8"/>
    <x v="16"/>
    <s v="PL_Rural"/>
    <x v="0"/>
    <x v="6"/>
    <s v="OSTRB-1_ST_COAL_CND"/>
    <x v="0"/>
    <x v="7"/>
    <n v="688"/>
    <n v="251120"/>
    <n v="904032"/>
  </r>
  <r>
    <x v="0"/>
    <x v="0"/>
    <x v="0"/>
    <x v="8"/>
    <x v="16"/>
    <s v="PL_Rural"/>
    <x v="0"/>
    <x v="6"/>
    <s v="OSTRB-1_ST_COAL_CND"/>
    <x v="0"/>
    <x v="8"/>
    <n v="688"/>
    <n v="251120"/>
    <n v="904032"/>
  </r>
  <r>
    <x v="0"/>
    <x v="0"/>
    <x v="0"/>
    <x v="8"/>
    <x v="16"/>
    <s v="PL_Rural"/>
    <x v="0"/>
    <x v="6"/>
    <s v="OSTRB-1_ST_COAL_CND"/>
    <x v="0"/>
    <x v="9"/>
    <n v="688"/>
    <n v="251120"/>
    <n v="904032"/>
  </r>
  <r>
    <x v="0"/>
    <x v="0"/>
    <x v="0"/>
    <x v="8"/>
    <x v="16"/>
    <s v="PL_Rural"/>
    <x v="0"/>
    <x v="6"/>
    <s v="OSTRB-1_ST_COAL_CND"/>
    <x v="0"/>
    <x v="10"/>
    <n v="688"/>
    <n v="251120"/>
    <n v="904032"/>
  </r>
  <r>
    <x v="0"/>
    <x v="0"/>
    <x v="0"/>
    <x v="8"/>
    <x v="16"/>
    <s v="PL_Rural"/>
    <x v="0"/>
    <x v="6"/>
    <s v="OSTRB-1_ST_COAL_CND"/>
    <x v="0"/>
    <x v="11"/>
    <n v="688"/>
    <n v="251120"/>
    <n v="904032"/>
  </r>
  <r>
    <x v="0"/>
    <x v="0"/>
    <x v="0"/>
    <x v="8"/>
    <x v="16"/>
    <s v="PL_Rural"/>
    <x v="0"/>
    <x v="6"/>
    <s v="OSTRB-1_ST_COAL_CND"/>
    <x v="0"/>
    <x v="12"/>
    <n v="688"/>
    <n v="251120"/>
    <n v="904032"/>
  </r>
  <r>
    <x v="0"/>
    <x v="0"/>
    <x v="0"/>
    <x v="8"/>
    <x v="16"/>
    <s v="PL_Rural"/>
    <x v="0"/>
    <x v="6"/>
    <s v="OSTRB-1_ST_COAL_CND"/>
    <x v="0"/>
    <x v="13"/>
    <n v="688"/>
    <n v="251120"/>
    <n v="904032"/>
  </r>
  <r>
    <x v="0"/>
    <x v="0"/>
    <x v="0"/>
    <x v="8"/>
    <x v="16"/>
    <s v="PL_Rural"/>
    <x v="0"/>
    <x v="6"/>
    <s v="OSTRB-1_ST_COAL_CND"/>
    <x v="0"/>
    <x v="15"/>
    <n v="688"/>
    <n v="251120"/>
    <n v="904032"/>
  </r>
  <r>
    <x v="0"/>
    <x v="0"/>
    <x v="0"/>
    <x v="8"/>
    <x v="16"/>
    <s v="PL_Rural"/>
    <x v="0"/>
    <x v="6"/>
    <s v="OSTRB-1_ST_COAL_CND"/>
    <x v="0"/>
    <x v="16"/>
    <n v="688"/>
    <n v="251120"/>
    <n v="904032"/>
  </r>
  <r>
    <x v="0"/>
    <x v="0"/>
    <x v="0"/>
    <x v="8"/>
    <x v="16"/>
    <s v="PL_Rural"/>
    <x v="0"/>
    <x v="6"/>
    <s v="OSTRB-1_ST_COAL_CND"/>
    <x v="0"/>
    <x v="19"/>
    <n v="688"/>
    <n v="251120"/>
    <n v="904032"/>
  </r>
  <r>
    <x v="0"/>
    <x v="0"/>
    <x v="0"/>
    <x v="8"/>
    <x v="16"/>
    <s v="PL_Rural"/>
    <x v="0"/>
    <x v="6"/>
    <s v="OSTRB-1_ST_COAL_CND"/>
    <x v="0"/>
    <x v="20"/>
    <n v="688"/>
    <n v="251120"/>
    <n v="904032"/>
  </r>
  <r>
    <x v="0"/>
    <x v="0"/>
    <x v="0"/>
    <x v="8"/>
    <x v="16"/>
    <s v="PL_Rural"/>
    <x v="0"/>
    <x v="6"/>
    <s v="OSTRB-1_ST_COAL_CND"/>
    <x v="0"/>
    <x v="21"/>
    <n v="688"/>
    <n v="251120"/>
    <n v="904032"/>
  </r>
  <r>
    <x v="0"/>
    <x v="0"/>
    <x v="0"/>
    <x v="8"/>
    <x v="16"/>
    <s v="PL_Rural"/>
    <x v="0"/>
    <x v="6"/>
    <s v="POLA-2_ST_COAL_CND"/>
    <x v="0"/>
    <x v="0"/>
    <n v="505.02500515303899"/>
    <n v="184334.126880859"/>
    <n v="663602.85677109403"/>
  </r>
  <r>
    <x v="0"/>
    <x v="0"/>
    <x v="0"/>
    <x v="8"/>
    <x v="16"/>
    <s v="PL_Rural"/>
    <x v="0"/>
    <x v="6"/>
    <s v="POLA-2_ST_COAL_CND"/>
    <x v="0"/>
    <x v="2"/>
    <n v="81.703605369686898"/>
    <n v="29821.815959935699"/>
    <n v="107358.53745576899"/>
  </r>
  <r>
    <x v="0"/>
    <x v="0"/>
    <x v="0"/>
    <x v="8"/>
    <x v="16"/>
    <s v="PL_Rural"/>
    <x v="0"/>
    <x v="6"/>
    <s v="POLA-2_ST_COAL_CND"/>
    <x v="0"/>
    <x v="3"/>
    <n v="694.05014255280196"/>
    <n v="253328.302031773"/>
    <n v="911981.88731438096"/>
  </r>
  <r>
    <x v="0"/>
    <x v="0"/>
    <x v="0"/>
    <x v="8"/>
    <x v="16"/>
    <s v="PL_Rural"/>
    <x v="0"/>
    <x v="6"/>
    <s v="POLA-2_ST_COAL_CND"/>
    <x v="0"/>
    <x v="4"/>
    <n v="1656"/>
    <n v="604440"/>
    <n v="2175984"/>
  </r>
  <r>
    <x v="0"/>
    <x v="0"/>
    <x v="0"/>
    <x v="8"/>
    <x v="16"/>
    <s v="PL_Rural"/>
    <x v="0"/>
    <x v="6"/>
    <s v="POLA-2_ST_COAL_CND"/>
    <x v="0"/>
    <x v="5"/>
    <n v="1656"/>
    <n v="604440"/>
    <n v="2175984"/>
  </r>
  <r>
    <x v="0"/>
    <x v="0"/>
    <x v="0"/>
    <x v="8"/>
    <x v="16"/>
    <s v="PL_Rural"/>
    <x v="0"/>
    <x v="6"/>
    <s v="POLA-2_ST_COAL_CND"/>
    <x v="0"/>
    <x v="6"/>
    <n v="1656"/>
    <n v="604440"/>
    <n v="2175984"/>
  </r>
  <r>
    <x v="0"/>
    <x v="0"/>
    <x v="0"/>
    <x v="8"/>
    <x v="16"/>
    <s v="PL_Rural"/>
    <x v="0"/>
    <x v="6"/>
    <s v="POLA-2_ST_COAL_CND"/>
    <x v="0"/>
    <x v="7"/>
    <n v="1656"/>
    <n v="604440"/>
    <n v="2175984"/>
  </r>
  <r>
    <x v="0"/>
    <x v="0"/>
    <x v="0"/>
    <x v="8"/>
    <x v="16"/>
    <s v="PL_Rural"/>
    <x v="0"/>
    <x v="6"/>
    <s v="POLA-2_ST_COAL_CND"/>
    <x v="0"/>
    <x v="8"/>
    <n v="1656"/>
    <n v="604440"/>
    <n v="2175984"/>
  </r>
  <r>
    <x v="0"/>
    <x v="0"/>
    <x v="0"/>
    <x v="8"/>
    <x v="16"/>
    <s v="PL_Rural"/>
    <x v="0"/>
    <x v="6"/>
    <s v="POLA-2_ST_COAL_CND"/>
    <x v="0"/>
    <x v="9"/>
    <n v="1656"/>
    <n v="604440"/>
    <n v="2175984"/>
  </r>
  <r>
    <x v="0"/>
    <x v="0"/>
    <x v="0"/>
    <x v="8"/>
    <x v="16"/>
    <s v="PL_Rural"/>
    <x v="0"/>
    <x v="6"/>
    <s v="POLA-2_ST_COAL_CND"/>
    <x v="0"/>
    <x v="10"/>
    <n v="1656"/>
    <n v="604440"/>
    <n v="2175984"/>
  </r>
  <r>
    <x v="0"/>
    <x v="0"/>
    <x v="0"/>
    <x v="8"/>
    <x v="16"/>
    <s v="PL_Rural"/>
    <x v="0"/>
    <x v="6"/>
    <s v="POLA-2_ST_COAL_CND"/>
    <x v="0"/>
    <x v="11"/>
    <n v="1656"/>
    <n v="604440"/>
    <n v="2175984"/>
  </r>
  <r>
    <x v="0"/>
    <x v="0"/>
    <x v="0"/>
    <x v="8"/>
    <x v="16"/>
    <s v="PL_Rural"/>
    <x v="0"/>
    <x v="6"/>
    <s v="POLA-2_ST_COAL_CND"/>
    <x v="0"/>
    <x v="12"/>
    <n v="1656"/>
    <n v="604440"/>
    <n v="2175984"/>
  </r>
  <r>
    <x v="0"/>
    <x v="0"/>
    <x v="0"/>
    <x v="8"/>
    <x v="16"/>
    <s v="PL_Rural"/>
    <x v="0"/>
    <x v="6"/>
    <s v="POLA-2_ST_COAL_CND"/>
    <x v="0"/>
    <x v="13"/>
    <n v="1656"/>
    <n v="604440"/>
    <n v="2175984"/>
  </r>
  <r>
    <x v="0"/>
    <x v="0"/>
    <x v="0"/>
    <x v="8"/>
    <x v="16"/>
    <s v="PL_Rural"/>
    <x v="0"/>
    <x v="6"/>
    <s v="POLA-2_ST_COAL_CND"/>
    <x v="0"/>
    <x v="14"/>
    <n v="1656"/>
    <n v="604440"/>
    <n v="2175984"/>
  </r>
  <r>
    <x v="0"/>
    <x v="0"/>
    <x v="0"/>
    <x v="8"/>
    <x v="16"/>
    <s v="PL_Rural"/>
    <x v="0"/>
    <x v="6"/>
    <s v="POLA-2_ST_COAL_CND"/>
    <x v="0"/>
    <x v="15"/>
    <n v="1656"/>
    <n v="604440"/>
    <n v="2175984"/>
  </r>
  <r>
    <x v="0"/>
    <x v="0"/>
    <x v="0"/>
    <x v="8"/>
    <x v="16"/>
    <s v="PL_Rural"/>
    <x v="0"/>
    <x v="6"/>
    <s v="POLA-2_ST_COAL_CND"/>
    <x v="0"/>
    <x v="16"/>
    <n v="1656"/>
    <n v="604440"/>
    <n v="2175984"/>
  </r>
  <r>
    <x v="0"/>
    <x v="0"/>
    <x v="0"/>
    <x v="8"/>
    <x v="16"/>
    <s v="PL_Rural"/>
    <x v="0"/>
    <x v="6"/>
    <s v="POLA-2_ST_COAL_CND"/>
    <x v="0"/>
    <x v="17"/>
    <n v="1656"/>
    <n v="604440"/>
    <n v="2175984"/>
  </r>
  <r>
    <x v="0"/>
    <x v="0"/>
    <x v="0"/>
    <x v="8"/>
    <x v="16"/>
    <s v="PL_Rural"/>
    <x v="0"/>
    <x v="6"/>
    <s v="POLA-2_ST_COAL_CND"/>
    <x v="0"/>
    <x v="19"/>
    <n v="1656"/>
    <n v="604440"/>
    <n v="2175984"/>
  </r>
  <r>
    <x v="0"/>
    <x v="0"/>
    <x v="0"/>
    <x v="8"/>
    <x v="16"/>
    <s v="PL_Rural"/>
    <x v="0"/>
    <x v="6"/>
    <s v="POLA-2_ST_COAL_CND"/>
    <x v="0"/>
    <x v="20"/>
    <n v="1656"/>
    <n v="604440"/>
    <n v="2175984"/>
  </r>
  <r>
    <x v="0"/>
    <x v="0"/>
    <x v="0"/>
    <x v="8"/>
    <x v="16"/>
    <s v="PL_Rural"/>
    <x v="0"/>
    <x v="6"/>
    <s v="POLA-2_ST_COAL_CND"/>
    <x v="0"/>
    <x v="21"/>
    <n v="1656"/>
    <n v="604440"/>
    <n v="2175984"/>
  </r>
  <r>
    <x v="0"/>
    <x v="0"/>
    <x v="0"/>
    <x v="8"/>
    <x v="16"/>
    <s v="PL_Rural"/>
    <x v="0"/>
    <x v="6"/>
    <s v="POLA-2_ST_COAL_CND"/>
    <x v="0"/>
    <x v="22"/>
    <n v="1656"/>
    <n v="604440"/>
    <n v="2175984"/>
  </r>
  <r>
    <x v="0"/>
    <x v="0"/>
    <x v="0"/>
    <x v="8"/>
    <x v="16"/>
    <s v="PL_Rural"/>
    <x v="0"/>
    <x v="6"/>
    <s v="POLA-2_ST_COAL_CND"/>
    <x v="0"/>
    <x v="23"/>
    <n v="997.58017431600103"/>
    <n v="364116.76362534001"/>
    <n v="1310820.3490512299"/>
  </r>
  <r>
    <x v="0"/>
    <x v="0"/>
    <x v="0"/>
    <x v="8"/>
    <x v="16"/>
    <s v="PL_Rural"/>
    <x v="0"/>
    <x v="6"/>
    <s v="RYBN-2_ST_COAL_CND"/>
    <x v="0"/>
    <x v="5"/>
    <n v="1955.4767993750199"/>
    <n v="713749.03177188104"/>
    <n v="2569496.5143787698"/>
  </r>
  <r>
    <x v="0"/>
    <x v="0"/>
    <x v="0"/>
    <x v="8"/>
    <x v="16"/>
    <s v="PL_Rural"/>
    <x v="0"/>
    <x v="6"/>
    <s v="RYBN-2_ST_COAL_CND"/>
    <x v="0"/>
    <x v="6"/>
    <n v="1766.12505773314"/>
    <n v="644635.64607259503"/>
    <n v="2320688.3258613399"/>
  </r>
  <r>
    <x v="0"/>
    <x v="0"/>
    <x v="0"/>
    <x v="8"/>
    <x v="16"/>
    <s v="PL_Rural"/>
    <x v="0"/>
    <x v="6"/>
    <s v="RYBN-2_ST_COAL_CND"/>
    <x v="0"/>
    <x v="7"/>
    <n v="2651"/>
    <n v="967615"/>
    <n v="3483414"/>
  </r>
  <r>
    <x v="0"/>
    <x v="0"/>
    <x v="0"/>
    <x v="8"/>
    <x v="16"/>
    <s v="PL_Rural"/>
    <x v="0"/>
    <x v="6"/>
    <s v="RYBN-2_ST_COAL_CND"/>
    <x v="0"/>
    <x v="8"/>
    <n v="2651"/>
    <n v="967615"/>
    <n v="3483414"/>
  </r>
  <r>
    <x v="0"/>
    <x v="0"/>
    <x v="0"/>
    <x v="8"/>
    <x v="16"/>
    <s v="PL_Rural"/>
    <x v="0"/>
    <x v="6"/>
    <s v="RYBN-2_ST_COAL_CND"/>
    <x v="0"/>
    <x v="9"/>
    <n v="772.78451041068195"/>
    <n v="282066.34629989899"/>
    <n v="1015438.84667964"/>
  </r>
  <r>
    <x v="0"/>
    <x v="0"/>
    <x v="0"/>
    <x v="8"/>
    <x v="16"/>
    <s v="PL_Rural"/>
    <x v="0"/>
    <x v="6"/>
    <s v="RYBN-2_ST_COAL_CND"/>
    <x v="0"/>
    <x v="10"/>
    <n v="618.92821479185397"/>
    <n v="225908.798399027"/>
    <n v="813271.67423649598"/>
  </r>
  <r>
    <x v="0"/>
    <x v="0"/>
    <x v="0"/>
    <x v="8"/>
    <x v="16"/>
    <s v="PL_Rural"/>
    <x v="0"/>
    <x v="6"/>
    <s v="RYBN-2_ST_COAL_CND"/>
    <x v="0"/>
    <x v="11"/>
    <n v="677.70868701806103"/>
    <n v="247363.67076159199"/>
    <n v="890509.21474173304"/>
  </r>
  <r>
    <x v="0"/>
    <x v="0"/>
    <x v="0"/>
    <x v="8"/>
    <x v="16"/>
    <s v="PL_Rural"/>
    <x v="0"/>
    <x v="6"/>
    <s v="RYBN-2_ST_COAL_CND"/>
    <x v="0"/>
    <x v="12"/>
    <n v="2651"/>
    <n v="967615"/>
    <n v="3483414"/>
  </r>
  <r>
    <x v="0"/>
    <x v="0"/>
    <x v="0"/>
    <x v="8"/>
    <x v="16"/>
    <s v="PL_Rural"/>
    <x v="0"/>
    <x v="6"/>
    <s v="RYBN-2_ST_COAL_CND"/>
    <x v="0"/>
    <x v="13"/>
    <n v="1807.5830832875999"/>
    <n v="659767.82539997401"/>
    <n v="2375164.1714399098"/>
  </r>
  <r>
    <x v="0"/>
    <x v="0"/>
    <x v="0"/>
    <x v="8"/>
    <x v="16"/>
    <s v="PL_Rural"/>
    <x v="0"/>
    <x v="6"/>
    <s v="RYBN-2_ST_COAL_CND"/>
    <x v="0"/>
    <x v="14"/>
    <n v="2651"/>
    <n v="967615"/>
    <n v="3483414"/>
  </r>
  <r>
    <x v="0"/>
    <x v="0"/>
    <x v="0"/>
    <x v="8"/>
    <x v="16"/>
    <s v="PL_Rural"/>
    <x v="0"/>
    <x v="6"/>
    <s v="RYBN-2_ST_COAL_CND"/>
    <x v="0"/>
    <x v="15"/>
    <n v="2651"/>
    <n v="967615"/>
    <n v="3483414"/>
  </r>
  <r>
    <x v="0"/>
    <x v="0"/>
    <x v="0"/>
    <x v="8"/>
    <x v="16"/>
    <s v="PL_Rural"/>
    <x v="0"/>
    <x v="6"/>
    <s v="RYBN-2_ST_COAL_CND"/>
    <x v="0"/>
    <x v="16"/>
    <n v="1940.25137558492"/>
    <n v="708191.75208849704"/>
    <n v="2549490.3075185898"/>
  </r>
  <r>
    <x v="0"/>
    <x v="0"/>
    <x v="0"/>
    <x v="8"/>
    <x v="16"/>
    <s v="PL_Rural"/>
    <x v="0"/>
    <x v="6"/>
    <s v="RYBN-2_ST_COAL_CND"/>
    <x v="0"/>
    <x v="17"/>
    <n v="2651"/>
    <n v="967615"/>
    <n v="3483414"/>
  </r>
  <r>
    <x v="0"/>
    <x v="0"/>
    <x v="0"/>
    <x v="8"/>
    <x v="16"/>
    <s v="PL_Rural"/>
    <x v="0"/>
    <x v="6"/>
    <s v="RYBN-2_ST_COAL_CND"/>
    <x v="0"/>
    <x v="19"/>
    <n v="766.25839189812996"/>
    <n v="279684.313042817"/>
    <n v="1006863.52695414"/>
  </r>
  <r>
    <x v="0"/>
    <x v="0"/>
    <x v="0"/>
    <x v="8"/>
    <x v="16"/>
    <s v="PL_Rural"/>
    <x v="0"/>
    <x v="6"/>
    <s v="RYBN-2_ST_COAL_CND"/>
    <x v="0"/>
    <x v="20"/>
    <n v="1192.57831158213"/>
    <n v="435291.083727477"/>
    <n v="1567047.9014189199"/>
  </r>
  <r>
    <x v="0"/>
    <x v="0"/>
    <x v="0"/>
    <x v="8"/>
    <x v="16"/>
    <s v="PL_Rural"/>
    <x v="0"/>
    <x v="6"/>
    <s v="RYBN-2_ST_COAL_CND"/>
    <x v="0"/>
    <x v="22"/>
    <n v="768.01614311259698"/>
    <n v="280325.89223609801"/>
    <n v="1009173.21204995"/>
  </r>
  <r>
    <x v="0"/>
    <x v="0"/>
    <x v="0"/>
    <x v="8"/>
    <x v="16"/>
    <s v="PL_Rural"/>
    <x v="15"/>
    <x v="6"/>
    <s v="ADAM-2_ST_LIGNITE_CON"/>
    <x v="0"/>
    <x v="0"/>
    <n v="610"/>
    <n v="222650"/>
    <n v="801540"/>
  </r>
  <r>
    <x v="0"/>
    <x v="0"/>
    <x v="0"/>
    <x v="8"/>
    <x v="16"/>
    <s v="PL_Rural"/>
    <x v="15"/>
    <x v="6"/>
    <s v="ADAM-2_ST_LIGNITE_CON"/>
    <x v="0"/>
    <x v="1"/>
    <n v="610"/>
    <n v="222650"/>
    <n v="801540"/>
  </r>
  <r>
    <x v="0"/>
    <x v="0"/>
    <x v="0"/>
    <x v="8"/>
    <x v="16"/>
    <s v="PL_Rural"/>
    <x v="15"/>
    <x v="6"/>
    <s v="ADAM-2_ST_LIGNITE_CON"/>
    <x v="0"/>
    <x v="18"/>
    <n v="610"/>
    <n v="222650"/>
    <n v="801540"/>
  </r>
  <r>
    <x v="0"/>
    <x v="0"/>
    <x v="0"/>
    <x v="8"/>
    <x v="16"/>
    <s v="PL_Rural"/>
    <x v="15"/>
    <x v="6"/>
    <s v="ADAM-2_ST_LIGNITE_CON"/>
    <x v="0"/>
    <x v="2"/>
    <n v="610"/>
    <n v="222650"/>
    <n v="801540"/>
  </r>
  <r>
    <x v="0"/>
    <x v="0"/>
    <x v="0"/>
    <x v="8"/>
    <x v="16"/>
    <s v="PL_Rural"/>
    <x v="15"/>
    <x v="6"/>
    <s v="ADAM-2_ST_LIGNITE_CON"/>
    <x v="0"/>
    <x v="3"/>
    <n v="610"/>
    <n v="222650"/>
    <n v="801540"/>
  </r>
  <r>
    <x v="0"/>
    <x v="0"/>
    <x v="0"/>
    <x v="8"/>
    <x v="16"/>
    <s v="PL_Rural"/>
    <x v="15"/>
    <x v="6"/>
    <s v="ADAM-2_ST_LIGNITE_CON"/>
    <x v="0"/>
    <x v="4"/>
    <n v="610"/>
    <n v="222650"/>
    <n v="801540"/>
  </r>
  <r>
    <x v="0"/>
    <x v="0"/>
    <x v="0"/>
    <x v="8"/>
    <x v="16"/>
    <s v="PL_Rural"/>
    <x v="15"/>
    <x v="6"/>
    <s v="ADAM-2_ST_LIGNITE_CON"/>
    <x v="0"/>
    <x v="5"/>
    <n v="610"/>
    <n v="222650"/>
    <n v="801540"/>
  </r>
  <r>
    <x v="0"/>
    <x v="0"/>
    <x v="0"/>
    <x v="8"/>
    <x v="16"/>
    <s v="PL_Rural"/>
    <x v="15"/>
    <x v="6"/>
    <s v="ADAM-2_ST_LIGNITE_CON"/>
    <x v="0"/>
    <x v="6"/>
    <n v="610"/>
    <n v="222650"/>
    <n v="801540"/>
  </r>
  <r>
    <x v="0"/>
    <x v="0"/>
    <x v="0"/>
    <x v="8"/>
    <x v="16"/>
    <s v="PL_Rural"/>
    <x v="15"/>
    <x v="6"/>
    <s v="ADAM-2_ST_LIGNITE_CON"/>
    <x v="0"/>
    <x v="7"/>
    <n v="610"/>
    <n v="222650"/>
    <n v="801540"/>
  </r>
  <r>
    <x v="0"/>
    <x v="0"/>
    <x v="0"/>
    <x v="8"/>
    <x v="16"/>
    <s v="PL_Rural"/>
    <x v="15"/>
    <x v="6"/>
    <s v="ADAM-2_ST_LIGNITE_CON"/>
    <x v="0"/>
    <x v="8"/>
    <n v="610"/>
    <n v="222650"/>
    <n v="801540"/>
  </r>
  <r>
    <x v="0"/>
    <x v="0"/>
    <x v="0"/>
    <x v="8"/>
    <x v="16"/>
    <s v="PL_Rural"/>
    <x v="15"/>
    <x v="6"/>
    <s v="ADAM-2_ST_LIGNITE_CON"/>
    <x v="0"/>
    <x v="9"/>
    <n v="610"/>
    <n v="222650"/>
    <n v="801540"/>
  </r>
  <r>
    <x v="0"/>
    <x v="0"/>
    <x v="0"/>
    <x v="8"/>
    <x v="16"/>
    <s v="PL_Rural"/>
    <x v="15"/>
    <x v="6"/>
    <s v="ADAM-2_ST_LIGNITE_CON"/>
    <x v="0"/>
    <x v="10"/>
    <n v="610"/>
    <n v="222650"/>
    <n v="801540"/>
  </r>
  <r>
    <x v="0"/>
    <x v="0"/>
    <x v="0"/>
    <x v="8"/>
    <x v="16"/>
    <s v="PL_Rural"/>
    <x v="15"/>
    <x v="6"/>
    <s v="ADAM-2_ST_LIGNITE_CON"/>
    <x v="0"/>
    <x v="11"/>
    <n v="610"/>
    <n v="222650"/>
    <n v="801540"/>
  </r>
  <r>
    <x v="0"/>
    <x v="0"/>
    <x v="0"/>
    <x v="8"/>
    <x v="16"/>
    <s v="PL_Rural"/>
    <x v="15"/>
    <x v="6"/>
    <s v="ADAM-2_ST_LIGNITE_CON"/>
    <x v="0"/>
    <x v="12"/>
    <n v="610"/>
    <n v="222650"/>
    <n v="801540"/>
  </r>
  <r>
    <x v="0"/>
    <x v="0"/>
    <x v="0"/>
    <x v="8"/>
    <x v="16"/>
    <s v="PL_Rural"/>
    <x v="15"/>
    <x v="6"/>
    <s v="ADAM-2_ST_LIGNITE_CON"/>
    <x v="0"/>
    <x v="13"/>
    <n v="610"/>
    <n v="222650"/>
    <n v="801540"/>
  </r>
  <r>
    <x v="0"/>
    <x v="0"/>
    <x v="0"/>
    <x v="8"/>
    <x v="16"/>
    <s v="PL_Rural"/>
    <x v="15"/>
    <x v="6"/>
    <s v="ADAM-2_ST_LIGNITE_CON"/>
    <x v="0"/>
    <x v="14"/>
    <n v="610"/>
    <n v="222650"/>
    <n v="801540"/>
  </r>
  <r>
    <x v="0"/>
    <x v="0"/>
    <x v="0"/>
    <x v="8"/>
    <x v="16"/>
    <s v="PL_Rural"/>
    <x v="15"/>
    <x v="6"/>
    <s v="ADAM-2_ST_LIGNITE_CON"/>
    <x v="0"/>
    <x v="15"/>
    <n v="610"/>
    <n v="222650"/>
    <n v="801540"/>
  </r>
  <r>
    <x v="0"/>
    <x v="0"/>
    <x v="0"/>
    <x v="8"/>
    <x v="16"/>
    <s v="PL_Rural"/>
    <x v="15"/>
    <x v="6"/>
    <s v="ADAM-2_ST_LIGNITE_CON"/>
    <x v="0"/>
    <x v="16"/>
    <n v="610"/>
    <n v="222650"/>
    <n v="801540"/>
  </r>
  <r>
    <x v="0"/>
    <x v="0"/>
    <x v="0"/>
    <x v="8"/>
    <x v="16"/>
    <s v="PL_Rural"/>
    <x v="15"/>
    <x v="6"/>
    <s v="ADAM-2_ST_LIGNITE_CON"/>
    <x v="0"/>
    <x v="17"/>
    <n v="610"/>
    <n v="222650"/>
    <n v="801540"/>
  </r>
  <r>
    <x v="0"/>
    <x v="0"/>
    <x v="0"/>
    <x v="8"/>
    <x v="16"/>
    <s v="PL_Rural"/>
    <x v="15"/>
    <x v="6"/>
    <s v="ADAM-2_ST_LIGNITE_CON"/>
    <x v="0"/>
    <x v="19"/>
    <n v="610"/>
    <n v="222650"/>
    <n v="801540"/>
  </r>
  <r>
    <x v="0"/>
    <x v="0"/>
    <x v="0"/>
    <x v="8"/>
    <x v="16"/>
    <s v="PL_Rural"/>
    <x v="15"/>
    <x v="6"/>
    <s v="ADAM-2_ST_LIGNITE_CON"/>
    <x v="0"/>
    <x v="20"/>
    <n v="610"/>
    <n v="222650"/>
    <n v="801540"/>
  </r>
  <r>
    <x v="0"/>
    <x v="0"/>
    <x v="0"/>
    <x v="8"/>
    <x v="16"/>
    <s v="PL_Rural"/>
    <x v="15"/>
    <x v="6"/>
    <s v="ADAM-2_ST_LIGNITE_CON"/>
    <x v="0"/>
    <x v="21"/>
    <n v="610"/>
    <n v="222650"/>
    <n v="801540"/>
  </r>
  <r>
    <x v="0"/>
    <x v="0"/>
    <x v="0"/>
    <x v="8"/>
    <x v="16"/>
    <s v="PL_Rural"/>
    <x v="15"/>
    <x v="6"/>
    <s v="ADAM-2_ST_LIGNITE_CON"/>
    <x v="0"/>
    <x v="22"/>
    <n v="610"/>
    <n v="222650"/>
    <n v="801540"/>
  </r>
  <r>
    <x v="0"/>
    <x v="0"/>
    <x v="0"/>
    <x v="8"/>
    <x v="16"/>
    <s v="PL_Rural"/>
    <x v="15"/>
    <x v="6"/>
    <s v="ADAM-2_ST_LIGNITE_CON"/>
    <x v="0"/>
    <x v="23"/>
    <n v="610"/>
    <n v="222650"/>
    <n v="801540"/>
  </r>
  <r>
    <x v="0"/>
    <x v="0"/>
    <x v="0"/>
    <x v="8"/>
    <x v="16"/>
    <s v="PL_Rural"/>
    <x v="15"/>
    <x v="6"/>
    <s v="BELC-2_ST_LIGNITE_CON"/>
    <x v="0"/>
    <x v="0"/>
    <n v="3852"/>
    <n v="1405980"/>
    <n v="5061528"/>
  </r>
  <r>
    <x v="0"/>
    <x v="0"/>
    <x v="0"/>
    <x v="8"/>
    <x v="16"/>
    <s v="PL_Rural"/>
    <x v="15"/>
    <x v="6"/>
    <s v="BELC-2_ST_LIGNITE_CON"/>
    <x v="0"/>
    <x v="1"/>
    <n v="3852"/>
    <n v="1405980"/>
    <n v="5061528"/>
  </r>
  <r>
    <x v="0"/>
    <x v="0"/>
    <x v="0"/>
    <x v="8"/>
    <x v="16"/>
    <s v="PL_Rural"/>
    <x v="15"/>
    <x v="6"/>
    <s v="BELC-2_ST_LIGNITE_CON"/>
    <x v="0"/>
    <x v="18"/>
    <n v="3852"/>
    <n v="1405980"/>
    <n v="5061528"/>
  </r>
  <r>
    <x v="0"/>
    <x v="0"/>
    <x v="0"/>
    <x v="8"/>
    <x v="16"/>
    <s v="PL_Rural"/>
    <x v="15"/>
    <x v="6"/>
    <s v="BELC-2_ST_LIGNITE_CON"/>
    <x v="0"/>
    <x v="2"/>
    <n v="3852"/>
    <n v="1405980"/>
    <n v="5061528"/>
  </r>
  <r>
    <x v="0"/>
    <x v="0"/>
    <x v="0"/>
    <x v="8"/>
    <x v="16"/>
    <s v="PL_Rural"/>
    <x v="15"/>
    <x v="6"/>
    <s v="BELC-2_ST_LIGNITE_CON"/>
    <x v="0"/>
    <x v="3"/>
    <n v="3852"/>
    <n v="1405980"/>
    <n v="5061528"/>
  </r>
  <r>
    <x v="0"/>
    <x v="0"/>
    <x v="0"/>
    <x v="8"/>
    <x v="16"/>
    <s v="PL_Rural"/>
    <x v="15"/>
    <x v="6"/>
    <s v="BELC-2_ST_LIGNITE_CON"/>
    <x v="0"/>
    <x v="4"/>
    <n v="3852"/>
    <n v="1405980"/>
    <n v="5061528"/>
  </r>
  <r>
    <x v="0"/>
    <x v="0"/>
    <x v="0"/>
    <x v="8"/>
    <x v="16"/>
    <s v="PL_Rural"/>
    <x v="15"/>
    <x v="6"/>
    <s v="BELC-2_ST_LIGNITE_CON"/>
    <x v="0"/>
    <x v="5"/>
    <n v="3852"/>
    <n v="1405980"/>
    <n v="5061528"/>
  </r>
  <r>
    <x v="0"/>
    <x v="0"/>
    <x v="0"/>
    <x v="8"/>
    <x v="16"/>
    <s v="PL_Rural"/>
    <x v="15"/>
    <x v="6"/>
    <s v="BELC-2_ST_LIGNITE_CON"/>
    <x v="0"/>
    <x v="6"/>
    <n v="3852"/>
    <n v="1405980"/>
    <n v="5061528"/>
  </r>
  <r>
    <x v="0"/>
    <x v="0"/>
    <x v="0"/>
    <x v="8"/>
    <x v="16"/>
    <s v="PL_Rural"/>
    <x v="15"/>
    <x v="6"/>
    <s v="BELC-2_ST_LIGNITE_CON"/>
    <x v="0"/>
    <x v="7"/>
    <n v="3852"/>
    <n v="1405980"/>
    <n v="5061528"/>
  </r>
  <r>
    <x v="0"/>
    <x v="0"/>
    <x v="0"/>
    <x v="8"/>
    <x v="16"/>
    <s v="PL_Rural"/>
    <x v="15"/>
    <x v="6"/>
    <s v="BELC-2_ST_LIGNITE_CON"/>
    <x v="0"/>
    <x v="8"/>
    <n v="3852"/>
    <n v="1405980"/>
    <n v="5061528"/>
  </r>
  <r>
    <x v="0"/>
    <x v="0"/>
    <x v="0"/>
    <x v="8"/>
    <x v="16"/>
    <s v="PL_Rural"/>
    <x v="15"/>
    <x v="6"/>
    <s v="BELC-2_ST_LIGNITE_CON"/>
    <x v="0"/>
    <x v="9"/>
    <n v="3852"/>
    <n v="1405980"/>
    <n v="5061528"/>
  </r>
  <r>
    <x v="0"/>
    <x v="0"/>
    <x v="0"/>
    <x v="8"/>
    <x v="16"/>
    <s v="PL_Rural"/>
    <x v="15"/>
    <x v="6"/>
    <s v="BELC-2_ST_LIGNITE_CON"/>
    <x v="0"/>
    <x v="10"/>
    <n v="3852"/>
    <n v="1405980"/>
    <n v="5061528"/>
  </r>
  <r>
    <x v="0"/>
    <x v="0"/>
    <x v="0"/>
    <x v="8"/>
    <x v="16"/>
    <s v="PL_Rural"/>
    <x v="15"/>
    <x v="6"/>
    <s v="BELC-2_ST_LIGNITE_CON"/>
    <x v="0"/>
    <x v="11"/>
    <n v="3852"/>
    <n v="1405980"/>
    <n v="5061528"/>
  </r>
  <r>
    <x v="0"/>
    <x v="0"/>
    <x v="0"/>
    <x v="8"/>
    <x v="16"/>
    <s v="PL_Rural"/>
    <x v="15"/>
    <x v="6"/>
    <s v="BELC-2_ST_LIGNITE_CON"/>
    <x v="0"/>
    <x v="12"/>
    <n v="3852"/>
    <n v="1405980"/>
    <n v="5061528"/>
  </r>
  <r>
    <x v="0"/>
    <x v="0"/>
    <x v="0"/>
    <x v="8"/>
    <x v="16"/>
    <s v="PL_Rural"/>
    <x v="15"/>
    <x v="6"/>
    <s v="BELC-2_ST_LIGNITE_CON"/>
    <x v="0"/>
    <x v="13"/>
    <n v="3852"/>
    <n v="1405980"/>
    <n v="5061528"/>
  </r>
  <r>
    <x v="0"/>
    <x v="0"/>
    <x v="0"/>
    <x v="8"/>
    <x v="16"/>
    <s v="PL_Rural"/>
    <x v="15"/>
    <x v="6"/>
    <s v="BELC-2_ST_LIGNITE_CON"/>
    <x v="0"/>
    <x v="14"/>
    <n v="3852"/>
    <n v="1405980"/>
    <n v="5061528"/>
  </r>
  <r>
    <x v="0"/>
    <x v="0"/>
    <x v="0"/>
    <x v="8"/>
    <x v="16"/>
    <s v="PL_Rural"/>
    <x v="15"/>
    <x v="6"/>
    <s v="BELC-2_ST_LIGNITE_CON"/>
    <x v="0"/>
    <x v="15"/>
    <n v="3852"/>
    <n v="1405980"/>
    <n v="5061528"/>
  </r>
  <r>
    <x v="0"/>
    <x v="0"/>
    <x v="0"/>
    <x v="8"/>
    <x v="16"/>
    <s v="PL_Rural"/>
    <x v="15"/>
    <x v="6"/>
    <s v="BELC-2_ST_LIGNITE_CON"/>
    <x v="0"/>
    <x v="16"/>
    <n v="3852"/>
    <n v="1405980"/>
    <n v="5061528"/>
  </r>
  <r>
    <x v="0"/>
    <x v="0"/>
    <x v="0"/>
    <x v="8"/>
    <x v="16"/>
    <s v="PL_Rural"/>
    <x v="15"/>
    <x v="6"/>
    <s v="BELC-2_ST_LIGNITE_CON"/>
    <x v="0"/>
    <x v="17"/>
    <n v="3852"/>
    <n v="1405980"/>
    <n v="5061528"/>
  </r>
  <r>
    <x v="0"/>
    <x v="0"/>
    <x v="0"/>
    <x v="8"/>
    <x v="16"/>
    <s v="PL_Rural"/>
    <x v="15"/>
    <x v="6"/>
    <s v="BELC-2_ST_LIGNITE_CON"/>
    <x v="0"/>
    <x v="19"/>
    <n v="3852"/>
    <n v="1405980"/>
    <n v="5061528"/>
  </r>
  <r>
    <x v="0"/>
    <x v="0"/>
    <x v="0"/>
    <x v="8"/>
    <x v="16"/>
    <s v="PL_Rural"/>
    <x v="15"/>
    <x v="6"/>
    <s v="BELC-2_ST_LIGNITE_CON"/>
    <x v="0"/>
    <x v="20"/>
    <n v="3852"/>
    <n v="1405980"/>
    <n v="5061528"/>
  </r>
  <r>
    <x v="0"/>
    <x v="0"/>
    <x v="0"/>
    <x v="8"/>
    <x v="16"/>
    <s v="PL_Rural"/>
    <x v="15"/>
    <x v="6"/>
    <s v="BELC-2_ST_LIGNITE_CON"/>
    <x v="0"/>
    <x v="21"/>
    <n v="3852"/>
    <n v="1405980"/>
    <n v="5061528"/>
  </r>
  <r>
    <x v="0"/>
    <x v="0"/>
    <x v="0"/>
    <x v="8"/>
    <x v="16"/>
    <s v="PL_Rural"/>
    <x v="15"/>
    <x v="6"/>
    <s v="BELC-2_ST_LIGNITE_CON"/>
    <x v="0"/>
    <x v="22"/>
    <n v="3852"/>
    <n v="1405980"/>
    <n v="5061528"/>
  </r>
  <r>
    <x v="0"/>
    <x v="0"/>
    <x v="0"/>
    <x v="8"/>
    <x v="16"/>
    <s v="PL_Rural"/>
    <x v="15"/>
    <x v="6"/>
    <s v="BELC-2_ST_LIGNITE_CON"/>
    <x v="0"/>
    <x v="23"/>
    <n v="3852"/>
    <n v="1405980"/>
    <n v="5061528"/>
  </r>
  <r>
    <x v="0"/>
    <x v="0"/>
    <x v="0"/>
    <x v="8"/>
    <x v="16"/>
    <s v="PL_Rural"/>
    <x v="15"/>
    <x v="6"/>
    <s v="PATN2-1_ST_LIGNITE_CON"/>
    <x v="0"/>
    <x v="0"/>
    <n v="441"/>
    <n v="160965"/>
    <n v="579474"/>
  </r>
  <r>
    <x v="0"/>
    <x v="0"/>
    <x v="0"/>
    <x v="8"/>
    <x v="16"/>
    <s v="PL_Rural"/>
    <x v="15"/>
    <x v="6"/>
    <s v="PATN2-1_ST_LIGNITE_CON"/>
    <x v="0"/>
    <x v="1"/>
    <n v="441"/>
    <n v="160965"/>
    <n v="579474"/>
  </r>
  <r>
    <x v="0"/>
    <x v="0"/>
    <x v="0"/>
    <x v="8"/>
    <x v="16"/>
    <s v="PL_Rural"/>
    <x v="15"/>
    <x v="6"/>
    <s v="PATN2-1_ST_LIGNITE_CON"/>
    <x v="0"/>
    <x v="18"/>
    <n v="441"/>
    <n v="160965"/>
    <n v="579474"/>
  </r>
  <r>
    <x v="0"/>
    <x v="0"/>
    <x v="0"/>
    <x v="8"/>
    <x v="16"/>
    <s v="PL_Rural"/>
    <x v="15"/>
    <x v="6"/>
    <s v="PATN2-1_ST_LIGNITE_CON"/>
    <x v="0"/>
    <x v="2"/>
    <n v="441"/>
    <n v="160965"/>
    <n v="579474"/>
  </r>
  <r>
    <x v="0"/>
    <x v="0"/>
    <x v="0"/>
    <x v="8"/>
    <x v="16"/>
    <s v="PL_Rural"/>
    <x v="15"/>
    <x v="6"/>
    <s v="PATN2-1_ST_LIGNITE_CON"/>
    <x v="0"/>
    <x v="3"/>
    <n v="441"/>
    <n v="160965"/>
    <n v="579474"/>
  </r>
  <r>
    <x v="0"/>
    <x v="0"/>
    <x v="0"/>
    <x v="8"/>
    <x v="16"/>
    <s v="PL_Rural"/>
    <x v="15"/>
    <x v="6"/>
    <s v="PATN2-1_ST_LIGNITE_CON"/>
    <x v="0"/>
    <x v="4"/>
    <n v="441"/>
    <n v="160965"/>
    <n v="579474"/>
  </r>
  <r>
    <x v="0"/>
    <x v="0"/>
    <x v="0"/>
    <x v="8"/>
    <x v="16"/>
    <s v="PL_Rural"/>
    <x v="15"/>
    <x v="6"/>
    <s v="PATN2-1_ST_LIGNITE_CON"/>
    <x v="0"/>
    <x v="5"/>
    <n v="441"/>
    <n v="160965"/>
    <n v="579474"/>
  </r>
  <r>
    <x v="0"/>
    <x v="0"/>
    <x v="0"/>
    <x v="8"/>
    <x v="16"/>
    <s v="PL_Rural"/>
    <x v="15"/>
    <x v="6"/>
    <s v="PATN2-1_ST_LIGNITE_CON"/>
    <x v="0"/>
    <x v="6"/>
    <n v="441"/>
    <n v="160965"/>
    <n v="579474"/>
  </r>
  <r>
    <x v="0"/>
    <x v="0"/>
    <x v="0"/>
    <x v="8"/>
    <x v="16"/>
    <s v="PL_Rural"/>
    <x v="15"/>
    <x v="6"/>
    <s v="PATN2-1_ST_LIGNITE_CON"/>
    <x v="0"/>
    <x v="7"/>
    <n v="441"/>
    <n v="160965"/>
    <n v="579474"/>
  </r>
  <r>
    <x v="0"/>
    <x v="0"/>
    <x v="0"/>
    <x v="8"/>
    <x v="16"/>
    <s v="PL_Rural"/>
    <x v="15"/>
    <x v="6"/>
    <s v="PATN2-1_ST_LIGNITE_CON"/>
    <x v="0"/>
    <x v="8"/>
    <n v="441"/>
    <n v="160965"/>
    <n v="579474"/>
  </r>
  <r>
    <x v="0"/>
    <x v="0"/>
    <x v="0"/>
    <x v="8"/>
    <x v="16"/>
    <s v="PL_Rural"/>
    <x v="15"/>
    <x v="6"/>
    <s v="PATN2-1_ST_LIGNITE_CON"/>
    <x v="0"/>
    <x v="9"/>
    <n v="441"/>
    <n v="160965"/>
    <n v="579474"/>
  </r>
  <r>
    <x v="0"/>
    <x v="0"/>
    <x v="0"/>
    <x v="8"/>
    <x v="16"/>
    <s v="PL_Rural"/>
    <x v="15"/>
    <x v="6"/>
    <s v="PATN2-1_ST_LIGNITE_CON"/>
    <x v="0"/>
    <x v="10"/>
    <n v="441"/>
    <n v="160965"/>
    <n v="579474"/>
  </r>
  <r>
    <x v="0"/>
    <x v="0"/>
    <x v="0"/>
    <x v="8"/>
    <x v="16"/>
    <s v="PL_Rural"/>
    <x v="15"/>
    <x v="6"/>
    <s v="PATN2-1_ST_LIGNITE_CON"/>
    <x v="0"/>
    <x v="11"/>
    <n v="441"/>
    <n v="160965"/>
    <n v="579474"/>
  </r>
  <r>
    <x v="0"/>
    <x v="0"/>
    <x v="0"/>
    <x v="8"/>
    <x v="16"/>
    <s v="PL_Rural"/>
    <x v="15"/>
    <x v="6"/>
    <s v="PATN2-1_ST_LIGNITE_CON"/>
    <x v="0"/>
    <x v="12"/>
    <n v="441"/>
    <n v="160965"/>
    <n v="579474"/>
  </r>
  <r>
    <x v="0"/>
    <x v="0"/>
    <x v="0"/>
    <x v="8"/>
    <x v="16"/>
    <s v="PL_Rural"/>
    <x v="15"/>
    <x v="6"/>
    <s v="PATN2-1_ST_LIGNITE_CON"/>
    <x v="0"/>
    <x v="13"/>
    <n v="441"/>
    <n v="160965"/>
    <n v="579474"/>
  </r>
  <r>
    <x v="0"/>
    <x v="0"/>
    <x v="0"/>
    <x v="8"/>
    <x v="16"/>
    <s v="PL_Rural"/>
    <x v="15"/>
    <x v="6"/>
    <s v="PATN2-1_ST_LIGNITE_CON"/>
    <x v="0"/>
    <x v="14"/>
    <n v="441"/>
    <n v="160965"/>
    <n v="579474"/>
  </r>
  <r>
    <x v="0"/>
    <x v="0"/>
    <x v="0"/>
    <x v="8"/>
    <x v="16"/>
    <s v="PL_Rural"/>
    <x v="15"/>
    <x v="6"/>
    <s v="PATN2-1_ST_LIGNITE_CON"/>
    <x v="0"/>
    <x v="15"/>
    <n v="441"/>
    <n v="160965"/>
    <n v="579474"/>
  </r>
  <r>
    <x v="0"/>
    <x v="0"/>
    <x v="0"/>
    <x v="8"/>
    <x v="16"/>
    <s v="PL_Rural"/>
    <x v="15"/>
    <x v="6"/>
    <s v="PATN2-1_ST_LIGNITE_CON"/>
    <x v="0"/>
    <x v="16"/>
    <n v="441"/>
    <n v="160965"/>
    <n v="579474"/>
  </r>
  <r>
    <x v="0"/>
    <x v="0"/>
    <x v="0"/>
    <x v="8"/>
    <x v="16"/>
    <s v="PL_Rural"/>
    <x v="15"/>
    <x v="6"/>
    <s v="PATN2-1_ST_LIGNITE_CON"/>
    <x v="0"/>
    <x v="17"/>
    <n v="441"/>
    <n v="160965"/>
    <n v="579474"/>
  </r>
  <r>
    <x v="0"/>
    <x v="0"/>
    <x v="0"/>
    <x v="8"/>
    <x v="16"/>
    <s v="PL_Rural"/>
    <x v="15"/>
    <x v="6"/>
    <s v="PATN2-1_ST_LIGNITE_CON"/>
    <x v="0"/>
    <x v="19"/>
    <n v="441"/>
    <n v="160965"/>
    <n v="579474"/>
  </r>
  <r>
    <x v="0"/>
    <x v="0"/>
    <x v="0"/>
    <x v="8"/>
    <x v="16"/>
    <s v="PL_Rural"/>
    <x v="15"/>
    <x v="6"/>
    <s v="PATN2-1_ST_LIGNITE_CON"/>
    <x v="0"/>
    <x v="20"/>
    <n v="441"/>
    <n v="160965"/>
    <n v="579474"/>
  </r>
  <r>
    <x v="0"/>
    <x v="0"/>
    <x v="0"/>
    <x v="8"/>
    <x v="16"/>
    <s v="PL_Rural"/>
    <x v="15"/>
    <x v="6"/>
    <s v="PATN2-1_ST_LIGNITE_CON"/>
    <x v="0"/>
    <x v="21"/>
    <n v="441"/>
    <n v="160965"/>
    <n v="579474"/>
  </r>
  <r>
    <x v="0"/>
    <x v="0"/>
    <x v="0"/>
    <x v="8"/>
    <x v="16"/>
    <s v="PL_Rural"/>
    <x v="15"/>
    <x v="6"/>
    <s v="PATN2-1_ST_LIGNITE_CON"/>
    <x v="0"/>
    <x v="22"/>
    <n v="441"/>
    <n v="160965"/>
    <n v="579474"/>
  </r>
  <r>
    <x v="0"/>
    <x v="0"/>
    <x v="0"/>
    <x v="8"/>
    <x v="16"/>
    <s v="PL_Rural"/>
    <x v="15"/>
    <x v="6"/>
    <s v="PATN2-1_ST_LIGNITE_CON"/>
    <x v="0"/>
    <x v="23"/>
    <n v="441"/>
    <n v="160965"/>
    <n v="579474"/>
  </r>
  <r>
    <x v="0"/>
    <x v="0"/>
    <x v="0"/>
    <x v="8"/>
    <x v="16"/>
    <s v="PL_Rural"/>
    <x v="6"/>
    <x v="4"/>
    <s v="GNR_ROR_WTR"/>
    <x v="0"/>
    <x v="0"/>
    <n v="263.81563926940601"/>
    <n v="96292.708333333299"/>
    <n v="346653.75"/>
  </r>
  <r>
    <x v="0"/>
    <x v="0"/>
    <x v="0"/>
    <x v="8"/>
    <x v="16"/>
    <s v="PL_Rural"/>
    <x v="6"/>
    <x v="4"/>
    <s v="GNR_ROR_WTR"/>
    <x v="0"/>
    <x v="1"/>
    <n v="263.81563926940601"/>
    <n v="96292.708333333299"/>
    <n v="346653.75"/>
  </r>
  <r>
    <x v="0"/>
    <x v="0"/>
    <x v="0"/>
    <x v="8"/>
    <x v="16"/>
    <s v="PL_Rural"/>
    <x v="6"/>
    <x v="4"/>
    <s v="GNR_ROR_WTR"/>
    <x v="0"/>
    <x v="18"/>
    <n v="263.81563926940601"/>
    <n v="96292.708333333299"/>
    <n v="346653.75"/>
  </r>
  <r>
    <x v="0"/>
    <x v="0"/>
    <x v="0"/>
    <x v="8"/>
    <x v="16"/>
    <s v="PL_Rural"/>
    <x v="6"/>
    <x v="4"/>
    <s v="GNR_ROR_WTR"/>
    <x v="0"/>
    <x v="2"/>
    <n v="263.81563926940601"/>
    <n v="96292.708333333299"/>
    <n v="346653.75"/>
  </r>
  <r>
    <x v="0"/>
    <x v="0"/>
    <x v="0"/>
    <x v="8"/>
    <x v="16"/>
    <s v="PL_Rural"/>
    <x v="6"/>
    <x v="4"/>
    <s v="GNR_ROR_WTR"/>
    <x v="0"/>
    <x v="3"/>
    <n v="263.81563926940601"/>
    <n v="96292.708333333299"/>
    <n v="346653.75"/>
  </r>
  <r>
    <x v="0"/>
    <x v="0"/>
    <x v="0"/>
    <x v="8"/>
    <x v="16"/>
    <s v="PL_Rural"/>
    <x v="6"/>
    <x v="4"/>
    <s v="GNR_ROR_WTR"/>
    <x v="0"/>
    <x v="4"/>
    <n v="263.81563926940601"/>
    <n v="96292.708333333299"/>
    <n v="346653.75"/>
  </r>
  <r>
    <x v="0"/>
    <x v="0"/>
    <x v="0"/>
    <x v="8"/>
    <x v="16"/>
    <s v="PL_Rural"/>
    <x v="6"/>
    <x v="4"/>
    <s v="GNR_ROR_WTR"/>
    <x v="0"/>
    <x v="5"/>
    <n v="263.81563926940601"/>
    <n v="96292.708333333299"/>
    <n v="346653.75"/>
  </r>
  <r>
    <x v="0"/>
    <x v="0"/>
    <x v="0"/>
    <x v="8"/>
    <x v="16"/>
    <s v="PL_Rural"/>
    <x v="6"/>
    <x v="4"/>
    <s v="GNR_ROR_WTR"/>
    <x v="0"/>
    <x v="6"/>
    <n v="263.81563926940601"/>
    <n v="96292.708333333299"/>
    <n v="346653.75"/>
  </r>
  <r>
    <x v="0"/>
    <x v="0"/>
    <x v="0"/>
    <x v="8"/>
    <x v="16"/>
    <s v="PL_Rural"/>
    <x v="6"/>
    <x v="4"/>
    <s v="GNR_ROR_WTR"/>
    <x v="0"/>
    <x v="7"/>
    <n v="263.81563926940601"/>
    <n v="96292.708333333299"/>
    <n v="346653.75"/>
  </r>
  <r>
    <x v="0"/>
    <x v="0"/>
    <x v="0"/>
    <x v="8"/>
    <x v="16"/>
    <s v="PL_Rural"/>
    <x v="6"/>
    <x v="4"/>
    <s v="GNR_ROR_WTR"/>
    <x v="0"/>
    <x v="8"/>
    <n v="263.81563926940601"/>
    <n v="96292.708333333299"/>
    <n v="346653.75"/>
  </r>
  <r>
    <x v="0"/>
    <x v="0"/>
    <x v="0"/>
    <x v="8"/>
    <x v="16"/>
    <s v="PL_Rural"/>
    <x v="6"/>
    <x v="4"/>
    <s v="GNR_ROR_WTR"/>
    <x v="0"/>
    <x v="9"/>
    <n v="263.81563926940601"/>
    <n v="96292.708333333299"/>
    <n v="346653.75"/>
  </r>
  <r>
    <x v="0"/>
    <x v="0"/>
    <x v="0"/>
    <x v="8"/>
    <x v="16"/>
    <s v="PL_Rural"/>
    <x v="6"/>
    <x v="4"/>
    <s v="GNR_ROR_WTR"/>
    <x v="0"/>
    <x v="10"/>
    <n v="263.81563926940601"/>
    <n v="96292.708333333299"/>
    <n v="346653.75"/>
  </r>
  <r>
    <x v="0"/>
    <x v="0"/>
    <x v="0"/>
    <x v="8"/>
    <x v="16"/>
    <s v="PL_Rural"/>
    <x v="6"/>
    <x v="4"/>
    <s v="GNR_ROR_WTR"/>
    <x v="0"/>
    <x v="11"/>
    <n v="263.81563926940601"/>
    <n v="96292.708333333299"/>
    <n v="346653.75"/>
  </r>
  <r>
    <x v="0"/>
    <x v="0"/>
    <x v="0"/>
    <x v="8"/>
    <x v="16"/>
    <s v="PL_Rural"/>
    <x v="6"/>
    <x v="4"/>
    <s v="GNR_ROR_WTR"/>
    <x v="0"/>
    <x v="12"/>
    <n v="263.81563926940601"/>
    <n v="96292.708333333299"/>
    <n v="346653.75"/>
  </r>
  <r>
    <x v="0"/>
    <x v="0"/>
    <x v="0"/>
    <x v="8"/>
    <x v="16"/>
    <s v="PL_Rural"/>
    <x v="6"/>
    <x v="4"/>
    <s v="GNR_ROR_WTR"/>
    <x v="0"/>
    <x v="13"/>
    <n v="263.81563926940601"/>
    <n v="96292.708333333299"/>
    <n v="346653.75"/>
  </r>
  <r>
    <x v="0"/>
    <x v="0"/>
    <x v="0"/>
    <x v="8"/>
    <x v="16"/>
    <s v="PL_Rural"/>
    <x v="6"/>
    <x v="4"/>
    <s v="GNR_ROR_WTR"/>
    <x v="0"/>
    <x v="14"/>
    <n v="263.81563926940601"/>
    <n v="96292.708333333299"/>
    <n v="346653.75"/>
  </r>
  <r>
    <x v="0"/>
    <x v="0"/>
    <x v="0"/>
    <x v="8"/>
    <x v="16"/>
    <s v="PL_Rural"/>
    <x v="6"/>
    <x v="4"/>
    <s v="GNR_ROR_WTR"/>
    <x v="0"/>
    <x v="15"/>
    <n v="263.81563926940601"/>
    <n v="96292.708333333299"/>
    <n v="346653.75"/>
  </r>
  <r>
    <x v="0"/>
    <x v="0"/>
    <x v="0"/>
    <x v="8"/>
    <x v="16"/>
    <s v="PL_Rural"/>
    <x v="6"/>
    <x v="4"/>
    <s v="GNR_ROR_WTR"/>
    <x v="0"/>
    <x v="16"/>
    <n v="263.81563926940601"/>
    <n v="96292.708333333299"/>
    <n v="346653.75"/>
  </r>
  <r>
    <x v="0"/>
    <x v="0"/>
    <x v="0"/>
    <x v="8"/>
    <x v="16"/>
    <s v="PL_Rural"/>
    <x v="6"/>
    <x v="4"/>
    <s v="GNR_ROR_WTR"/>
    <x v="0"/>
    <x v="17"/>
    <n v="263.81563926940601"/>
    <n v="96292.708333333299"/>
    <n v="346653.75"/>
  </r>
  <r>
    <x v="0"/>
    <x v="0"/>
    <x v="0"/>
    <x v="8"/>
    <x v="16"/>
    <s v="PL_Rural"/>
    <x v="6"/>
    <x v="4"/>
    <s v="GNR_ROR_WTR"/>
    <x v="0"/>
    <x v="19"/>
    <n v="263.81563926940601"/>
    <n v="96292.708333333299"/>
    <n v="346653.75"/>
  </r>
  <r>
    <x v="0"/>
    <x v="0"/>
    <x v="0"/>
    <x v="8"/>
    <x v="16"/>
    <s v="PL_Rural"/>
    <x v="6"/>
    <x v="4"/>
    <s v="GNR_ROR_WTR"/>
    <x v="0"/>
    <x v="20"/>
    <n v="263.81563926940601"/>
    <n v="96292.708333333299"/>
    <n v="346653.75"/>
  </r>
  <r>
    <x v="0"/>
    <x v="0"/>
    <x v="0"/>
    <x v="8"/>
    <x v="16"/>
    <s v="PL_Rural"/>
    <x v="6"/>
    <x v="4"/>
    <s v="GNR_ROR_WTR"/>
    <x v="0"/>
    <x v="21"/>
    <n v="263.81563926940601"/>
    <n v="96292.708333333299"/>
    <n v="346653.75"/>
  </r>
  <r>
    <x v="0"/>
    <x v="0"/>
    <x v="0"/>
    <x v="8"/>
    <x v="16"/>
    <s v="PL_Rural"/>
    <x v="6"/>
    <x v="4"/>
    <s v="GNR_ROR_WTR"/>
    <x v="0"/>
    <x v="22"/>
    <n v="263.81563926940601"/>
    <n v="96292.708333333299"/>
    <n v="346653.75"/>
  </r>
  <r>
    <x v="0"/>
    <x v="0"/>
    <x v="0"/>
    <x v="8"/>
    <x v="16"/>
    <s v="PL_Rural"/>
    <x v="6"/>
    <x v="4"/>
    <s v="GNR_ROR_WTR"/>
    <x v="0"/>
    <x v="23"/>
    <n v="263.81563926940601"/>
    <n v="96292.708333333299"/>
    <n v="346653.75"/>
  </r>
  <r>
    <x v="0"/>
    <x v="0"/>
    <x v="0"/>
    <x v="9"/>
    <x v="17"/>
    <s v="SE1A"/>
    <x v="6"/>
    <x v="7"/>
    <s v="GNR_RES_WTR_NOPMP_MC-01"/>
    <x v="0"/>
    <x v="0"/>
    <n v="405.5"/>
    <n v="148007.5"/>
    <n v="532827"/>
  </r>
  <r>
    <x v="0"/>
    <x v="0"/>
    <x v="0"/>
    <x v="9"/>
    <x v="17"/>
    <s v="SE1A"/>
    <x v="6"/>
    <x v="7"/>
    <s v="GNR_RES_WTR_NOPMP_MC-01"/>
    <x v="0"/>
    <x v="1"/>
    <n v="405.5"/>
    <n v="148007.5"/>
    <n v="532827"/>
  </r>
  <r>
    <x v="0"/>
    <x v="0"/>
    <x v="0"/>
    <x v="9"/>
    <x v="17"/>
    <s v="SE1A"/>
    <x v="6"/>
    <x v="7"/>
    <s v="GNR_RES_WTR_NOPMP_MC-01"/>
    <x v="0"/>
    <x v="18"/>
    <n v="405.5"/>
    <n v="148007.5"/>
    <n v="532827"/>
  </r>
  <r>
    <x v="0"/>
    <x v="0"/>
    <x v="0"/>
    <x v="9"/>
    <x v="17"/>
    <s v="SE1A"/>
    <x v="6"/>
    <x v="7"/>
    <s v="GNR_RES_WTR_NOPMP_MC-01"/>
    <x v="0"/>
    <x v="2"/>
    <n v="405.5"/>
    <n v="148007.5"/>
    <n v="532827"/>
  </r>
  <r>
    <x v="0"/>
    <x v="0"/>
    <x v="0"/>
    <x v="9"/>
    <x v="17"/>
    <s v="SE1A"/>
    <x v="6"/>
    <x v="7"/>
    <s v="GNR_RES_WTR_NOPMP_MC-01"/>
    <x v="0"/>
    <x v="3"/>
    <n v="405.5"/>
    <n v="148007.5"/>
    <n v="532827"/>
  </r>
  <r>
    <x v="0"/>
    <x v="0"/>
    <x v="0"/>
    <x v="9"/>
    <x v="17"/>
    <s v="SE1A"/>
    <x v="6"/>
    <x v="7"/>
    <s v="GNR_RES_WTR_NOPMP_MC-01"/>
    <x v="0"/>
    <x v="4"/>
    <n v="405.5"/>
    <n v="148007.5"/>
    <n v="532827"/>
  </r>
  <r>
    <x v="0"/>
    <x v="0"/>
    <x v="0"/>
    <x v="9"/>
    <x v="17"/>
    <s v="SE1A"/>
    <x v="6"/>
    <x v="7"/>
    <s v="GNR_RES_WTR_NOPMP_MC-01"/>
    <x v="0"/>
    <x v="5"/>
    <n v="405.5"/>
    <n v="148007.5"/>
    <n v="532827"/>
  </r>
  <r>
    <x v="0"/>
    <x v="0"/>
    <x v="0"/>
    <x v="9"/>
    <x v="17"/>
    <s v="SE1A"/>
    <x v="6"/>
    <x v="7"/>
    <s v="GNR_RES_WTR_NOPMP_MC-01"/>
    <x v="0"/>
    <x v="6"/>
    <n v="405.5"/>
    <n v="148007.5"/>
    <n v="532827"/>
  </r>
  <r>
    <x v="0"/>
    <x v="0"/>
    <x v="0"/>
    <x v="9"/>
    <x v="17"/>
    <s v="SE1A"/>
    <x v="6"/>
    <x v="7"/>
    <s v="GNR_RES_WTR_NOPMP_MC-01"/>
    <x v="0"/>
    <x v="7"/>
    <n v="405.5"/>
    <n v="148007.5"/>
    <n v="532827"/>
  </r>
  <r>
    <x v="0"/>
    <x v="0"/>
    <x v="0"/>
    <x v="9"/>
    <x v="17"/>
    <s v="SE1A"/>
    <x v="6"/>
    <x v="7"/>
    <s v="GNR_RES_WTR_NOPMP_MC-01"/>
    <x v="0"/>
    <x v="8"/>
    <n v="405.5"/>
    <n v="148007.5"/>
    <n v="532827"/>
  </r>
  <r>
    <x v="0"/>
    <x v="0"/>
    <x v="0"/>
    <x v="9"/>
    <x v="17"/>
    <s v="SE1A"/>
    <x v="6"/>
    <x v="7"/>
    <s v="GNR_RES_WTR_NOPMP_MC-01"/>
    <x v="0"/>
    <x v="9"/>
    <n v="405.5"/>
    <n v="148007.5"/>
    <n v="532827"/>
  </r>
  <r>
    <x v="0"/>
    <x v="0"/>
    <x v="0"/>
    <x v="9"/>
    <x v="17"/>
    <s v="SE1A"/>
    <x v="6"/>
    <x v="7"/>
    <s v="GNR_RES_WTR_NOPMP_MC-01"/>
    <x v="0"/>
    <x v="10"/>
    <n v="405.5"/>
    <n v="148007.5"/>
    <n v="532827"/>
  </r>
  <r>
    <x v="0"/>
    <x v="0"/>
    <x v="0"/>
    <x v="9"/>
    <x v="17"/>
    <s v="SE1A"/>
    <x v="6"/>
    <x v="7"/>
    <s v="GNR_RES_WTR_NOPMP_MC-01"/>
    <x v="0"/>
    <x v="11"/>
    <n v="405.5"/>
    <n v="148007.5"/>
    <n v="532827"/>
  </r>
  <r>
    <x v="0"/>
    <x v="0"/>
    <x v="0"/>
    <x v="9"/>
    <x v="17"/>
    <s v="SE1A"/>
    <x v="6"/>
    <x v="7"/>
    <s v="GNR_RES_WTR_NOPMP_MC-01"/>
    <x v="0"/>
    <x v="12"/>
    <n v="405.5"/>
    <n v="148007.5"/>
    <n v="532827"/>
  </r>
  <r>
    <x v="0"/>
    <x v="0"/>
    <x v="0"/>
    <x v="9"/>
    <x v="17"/>
    <s v="SE1A"/>
    <x v="6"/>
    <x v="7"/>
    <s v="GNR_RES_WTR_NOPMP_MC-01"/>
    <x v="0"/>
    <x v="13"/>
    <n v="405.5"/>
    <n v="148007.5"/>
    <n v="532827"/>
  </r>
  <r>
    <x v="0"/>
    <x v="0"/>
    <x v="0"/>
    <x v="9"/>
    <x v="17"/>
    <s v="SE1A"/>
    <x v="6"/>
    <x v="7"/>
    <s v="GNR_RES_WTR_NOPMP_MC-01"/>
    <x v="0"/>
    <x v="14"/>
    <n v="405.5"/>
    <n v="148007.5"/>
    <n v="532827"/>
  </r>
  <r>
    <x v="0"/>
    <x v="0"/>
    <x v="0"/>
    <x v="9"/>
    <x v="17"/>
    <s v="SE1A"/>
    <x v="6"/>
    <x v="7"/>
    <s v="GNR_RES_WTR_NOPMP_MC-01"/>
    <x v="0"/>
    <x v="15"/>
    <n v="405.5"/>
    <n v="148007.5"/>
    <n v="532827"/>
  </r>
  <r>
    <x v="0"/>
    <x v="0"/>
    <x v="0"/>
    <x v="9"/>
    <x v="17"/>
    <s v="SE1A"/>
    <x v="6"/>
    <x v="7"/>
    <s v="GNR_RES_WTR_NOPMP_MC-01"/>
    <x v="0"/>
    <x v="16"/>
    <n v="405.5"/>
    <n v="148007.5"/>
    <n v="532827"/>
  </r>
  <r>
    <x v="0"/>
    <x v="0"/>
    <x v="0"/>
    <x v="9"/>
    <x v="17"/>
    <s v="SE1A"/>
    <x v="6"/>
    <x v="7"/>
    <s v="GNR_RES_WTR_NOPMP_MC-01"/>
    <x v="0"/>
    <x v="17"/>
    <n v="405.5"/>
    <n v="148007.5"/>
    <n v="532827"/>
  </r>
  <r>
    <x v="0"/>
    <x v="0"/>
    <x v="0"/>
    <x v="9"/>
    <x v="17"/>
    <s v="SE1A"/>
    <x v="6"/>
    <x v="7"/>
    <s v="GNR_RES_WTR_NOPMP_MC-01"/>
    <x v="0"/>
    <x v="19"/>
    <n v="405.5"/>
    <n v="148007.5"/>
    <n v="532827"/>
  </r>
  <r>
    <x v="0"/>
    <x v="0"/>
    <x v="0"/>
    <x v="9"/>
    <x v="17"/>
    <s v="SE1A"/>
    <x v="6"/>
    <x v="7"/>
    <s v="GNR_RES_WTR_NOPMP_MC-01"/>
    <x v="0"/>
    <x v="20"/>
    <n v="405.5"/>
    <n v="148007.5"/>
    <n v="532827"/>
  </r>
  <r>
    <x v="0"/>
    <x v="0"/>
    <x v="0"/>
    <x v="9"/>
    <x v="17"/>
    <s v="SE1A"/>
    <x v="6"/>
    <x v="7"/>
    <s v="GNR_RES_WTR_NOPMP_MC-01"/>
    <x v="0"/>
    <x v="21"/>
    <n v="405.5"/>
    <n v="148007.5"/>
    <n v="532827"/>
  </r>
  <r>
    <x v="0"/>
    <x v="0"/>
    <x v="0"/>
    <x v="9"/>
    <x v="17"/>
    <s v="SE1A"/>
    <x v="6"/>
    <x v="7"/>
    <s v="GNR_RES_WTR_NOPMP_MC-01"/>
    <x v="0"/>
    <x v="22"/>
    <n v="405.5"/>
    <n v="148007.5"/>
    <n v="532827"/>
  </r>
  <r>
    <x v="0"/>
    <x v="0"/>
    <x v="0"/>
    <x v="9"/>
    <x v="17"/>
    <s v="SE1A"/>
    <x v="6"/>
    <x v="7"/>
    <s v="GNR_RES_WTR_NOPMP_MC-01"/>
    <x v="0"/>
    <x v="23"/>
    <n v="405.5"/>
    <n v="148007.5"/>
    <n v="532827"/>
  </r>
  <r>
    <x v="0"/>
    <x v="0"/>
    <x v="0"/>
    <x v="9"/>
    <x v="17"/>
    <s v="SE1A"/>
    <x v="6"/>
    <x v="7"/>
    <s v="GNR_RES_WTR_NOPMP_MC-02"/>
    <x v="0"/>
    <x v="0"/>
    <n v="405.5"/>
    <n v="148007.5"/>
    <n v="532827"/>
  </r>
  <r>
    <x v="0"/>
    <x v="0"/>
    <x v="0"/>
    <x v="9"/>
    <x v="17"/>
    <s v="SE1A"/>
    <x v="6"/>
    <x v="7"/>
    <s v="GNR_RES_WTR_NOPMP_MC-02"/>
    <x v="0"/>
    <x v="1"/>
    <n v="405.5"/>
    <n v="148007.5"/>
    <n v="532827"/>
  </r>
  <r>
    <x v="0"/>
    <x v="0"/>
    <x v="0"/>
    <x v="9"/>
    <x v="17"/>
    <s v="SE1A"/>
    <x v="6"/>
    <x v="7"/>
    <s v="GNR_RES_WTR_NOPMP_MC-02"/>
    <x v="0"/>
    <x v="18"/>
    <n v="405.5"/>
    <n v="148007.5"/>
    <n v="532827"/>
  </r>
  <r>
    <x v="0"/>
    <x v="0"/>
    <x v="0"/>
    <x v="9"/>
    <x v="17"/>
    <s v="SE1A"/>
    <x v="6"/>
    <x v="7"/>
    <s v="GNR_RES_WTR_NOPMP_MC-02"/>
    <x v="0"/>
    <x v="2"/>
    <n v="405.5"/>
    <n v="148007.5"/>
    <n v="532827"/>
  </r>
  <r>
    <x v="0"/>
    <x v="0"/>
    <x v="0"/>
    <x v="9"/>
    <x v="17"/>
    <s v="SE1A"/>
    <x v="6"/>
    <x v="7"/>
    <s v="GNR_RES_WTR_NOPMP_MC-02"/>
    <x v="0"/>
    <x v="3"/>
    <n v="405.5"/>
    <n v="148007.5"/>
    <n v="532827"/>
  </r>
  <r>
    <x v="0"/>
    <x v="0"/>
    <x v="0"/>
    <x v="9"/>
    <x v="17"/>
    <s v="SE1A"/>
    <x v="6"/>
    <x v="7"/>
    <s v="GNR_RES_WTR_NOPMP_MC-02"/>
    <x v="0"/>
    <x v="4"/>
    <n v="405.5"/>
    <n v="148007.5"/>
    <n v="532827"/>
  </r>
  <r>
    <x v="0"/>
    <x v="0"/>
    <x v="0"/>
    <x v="9"/>
    <x v="17"/>
    <s v="SE1A"/>
    <x v="6"/>
    <x v="7"/>
    <s v="GNR_RES_WTR_NOPMP_MC-02"/>
    <x v="0"/>
    <x v="5"/>
    <n v="405.5"/>
    <n v="148007.5"/>
    <n v="532827"/>
  </r>
  <r>
    <x v="0"/>
    <x v="0"/>
    <x v="0"/>
    <x v="9"/>
    <x v="17"/>
    <s v="SE1A"/>
    <x v="6"/>
    <x v="7"/>
    <s v="GNR_RES_WTR_NOPMP_MC-02"/>
    <x v="0"/>
    <x v="6"/>
    <n v="405.5"/>
    <n v="148007.5"/>
    <n v="532827"/>
  </r>
  <r>
    <x v="0"/>
    <x v="0"/>
    <x v="0"/>
    <x v="9"/>
    <x v="17"/>
    <s v="SE1A"/>
    <x v="6"/>
    <x v="7"/>
    <s v="GNR_RES_WTR_NOPMP_MC-02"/>
    <x v="0"/>
    <x v="7"/>
    <n v="405.5"/>
    <n v="148007.5"/>
    <n v="532827"/>
  </r>
  <r>
    <x v="0"/>
    <x v="0"/>
    <x v="0"/>
    <x v="9"/>
    <x v="17"/>
    <s v="SE1A"/>
    <x v="6"/>
    <x v="7"/>
    <s v="GNR_RES_WTR_NOPMP_MC-02"/>
    <x v="0"/>
    <x v="8"/>
    <n v="405.5"/>
    <n v="148007.5"/>
    <n v="532827"/>
  </r>
  <r>
    <x v="0"/>
    <x v="0"/>
    <x v="0"/>
    <x v="9"/>
    <x v="17"/>
    <s v="SE1A"/>
    <x v="6"/>
    <x v="7"/>
    <s v="GNR_RES_WTR_NOPMP_MC-02"/>
    <x v="0"/>
    <x v="9"/>
    <n v="405.5"/>
    <n v="148007.5"/>
    <n v="532827"/>
  </r>
  <r>
    <x v="0"/>
    <x v="0"/>
    <x v="0"/>
    <x v="9"/>
    <x v="17"/>
    <s v="SE1A"/>
    <x v="6"/>
    <x v="7"/>
    <s v="GNR_RES_WTR_NOPMP_MC-02"/>
    <x v="0"/>
    <x v="10"/>
    <n v="405.5"/>
    <n v="148007.5"/>
    <n v="532827"/>
  </r>
  <r>
    <x v="0"/>
    <x v="0"/>
    <x v="0"/>
    <x v="9"/>
    <x v="17"/>
    <s v="SE1A"/>
    <x v="6"/>
    <x v="7"/>
    <s v="GNR_RES_WTR_NOPMP_MC-02"/>
    <x v="0"/>
    <x v="11"/>
    <n v="405.5"/>
    <n v="148007.5"/>
    <n v="532827"/>
  </r>
  <r>
    <x v="0"/>
    <x v="0"/>
    <x v="0"/>
    <x v="9"/>
    <x v="17"/>
    <s v="SE1A"/>
    <x v="6"/>
    <x v="7"/>
    <s v="GNR_RES_WTR_NOPMP_MC-02"/>
    <x v="0"/>
    <x v="12"/>
    <n v="405.5"/>
    <n v="148007.5"/>
    <n v="532827"/>
  </r>
  <r>
    <x v="0"/>
    <x v="0"/>
    <x v="0"/>
    <x v="9"/>
    <x v="17"/>
    <s v="SE1A"/>
    <x v="6"/>
    <x v="7"/>
    <s v="GNR_RES_WTR_NOPMP_MC-02"/>
    <x v="0"/>
    <x v="13"/>
    <n v="405.5"/>
    <n v="148007.5"/>
    <n v="532827"/>
  </r>
  <r>
    <x v="0"/>
    <x v="0"/>
    <x v="0"/>
    <x v="9"/>
    <x v="17"/>
    <s v="SE1A"/>
    <x v="6"/>
    <x v="7"/>
    <s v="GNR_RES_WTR_NOPMP_MC-02"/>
    <x v="0"/>
    <x v="14"/>
    <n v="405.5"/>
    <n v="148007.5"/>
    <n v="532827"/>
  </r>
  <r>
    <x v="0"/>
    <x v="0"/>
    <x v="0"/>
    <x v="9"/>
    <x v="17"/>
    <s v="SE1A"/>
    <x v="6"/>
    <x v="7"/>
    <s v="GNR_RES_WTR_NOPMP_MC-02"/>
    <x v="0"/>
    <x v="15"/>
    <n v="405.5"/>
    <n v="148007.5"/>
    <n v="532827"/>
  </r>
  <r>
    <x v="0"/>
    <x v="0"/>
    <x v="0"/>
    <x v="9"/>
    <x v="17"/>
    <s v="SE1A"/>
    <x v="6"/>
    <x v="7"/>
    <s v="GNR_RES_WTR_NOPMP_MC-02"/>
    <x v="0"/>
    <x v="16"/>
    <n v="405.5"/>
    <n v="148007.5"/>
    <n v="532827"/>
  </r>
  <r>
    <x v="0"/>
    <x v="0"/>
    <x v="0"/>
    <x v="9"/>
    <x v="17"/>
    <s v="SE1A"/>
    <x v="6"/>
    <x v="7"/>
    <s v="GNR_RES_WTR_NOPMP_MC-02"/>
    <x v="0"/>
    <x v="17"/>
    <n v="405.5"/>
    <n v="148007.5"/>
    <n v="532827"/>
  </r>
  <r>
    <x v="0"/>
    <x v="0"/>
    <x v="0"/>
    <x v="9"/>
    <x v="17"/>
    <s v="SE1A"/>
    <x v="6"/>
    <x v="7"/>
    <s v="GNR_RES_WTR_NOPMP_MC-02"/>
    <x v="0"/>
    <x v="19"/>
    <n v="405.5"/>
    <n v="148007.5"/>
    <n v="532827"/>
  </r>
  <r>
    <x v="0"/>
    <x v="0"/>
    <x v="0"/>
    <x v="9"/>
    <x v="17"/>
    <s v="SE1A"/>
    <x v="6"/>
    <x v="7"/>
    <s v="GNR_RES_WTR_NOPMP_MC-02"/>
    <x v="0"/>
    <x v="20"/>
    <n v="405.5"/>
    <n v="148007.5"/>
    <n v="532827"/>
  </r>
  <r>
    <x v="0"/>
    <x v="0"/>
    <x v="0"/>
    <x v="9"/>
    <x v="17"/>
    <s v="SE1A"/>
    <x v="6"/>
    <x v="7"/>
    <s v="GNR_RES_WTR_NOPMP_MC-02"/>
    <x v="0"/>
    <x v="21"/>
    <n v="405.5"/>
    <n v="148007.5"/>
    <n v="532827"/>
  </r>
  <r>
    <x v="0"/>
    <x v="0"/>
    <x v="0"/>
    <x v="9"/>
    <x v="17"/>
    <s v="SE1A"/>
    <x v="6"/>
    <x v="7"/>
    <s v="GNR_RES_WTR_NOPMP_MC-02"/>
    <x v="0"/>
    <x v="22"/>
    <n v="405.5"/>
    <n v="148007.5"/>
    <n v="532827"/>
  </r>
  <r>
    <x v="0"/>
    <x v="0"/>
    <x v="0"/>
    <x v="9"/>
    <x v="17"/>
    <s v="SE1A"/>
    <x v="6"/>
    <x v="7"/>
    <s v="GNR_RES_WTR_NOPMP_MC-02"/>
    <x v="0"/>
    <x v="23"/>
    <n v="405.5"/>
    <n v="148007.5"/>
    <n v="532827"/>
  </r>
  <r>
    <x v="0"/>
    <x v="0"/>
    <x v="0"/>
    <x v="9"/>
    <x v="17"/>
    <s v="SE1A"/>
    <x v="6"/>
    <x v="7"/>
    <s v="GNR_RES_WTR_NOPMP_MC-03"/>
    <x v="0"/>
    <x v="0"/>
    <n v="405.5"/>
    <n v="148007.5"/>
    <n v="532827"/>
  </r>
  <r>
    <x v="0"/>
    <x v="0"/>
    <x v="0"/>
    <x v="9"/>
    <x v="17"/>
    <s v="SE1A"/>
    <x v="6"/>
    <x v="7"/>
    <s v="GNR_RES_WTR_NOPMP_MC-03"/>
    <x v="0"/>
    <x v="1"/>
    <n v="405.5"/>
    <n v="148007.5"/>
    <n v="532827"/>
  </r>
  <r>
    <x v="0"/>
    <x v="0"/>
    <x v="0"/>
    <x v="9"/>
    <x v="17"/>
    <s v="SE1A"/>
    <x v="6"/>
    <x v="7"/>
    <s v="GNR_RES_WTR_NOPMP_MC-03"/>
    <x v="0"/>
    <x v="18"/>
    <n v="405.5"/>
    <n v="148007.5"/>
    <n v="532827"/>
  </r>
  <r>
    <x v="0"/>
    <x v="0"/>
    <x v="0"/>
    <x v="9"/>
    <x v="17"/>
    <s v="SE1A"/>
    <x v="6"/>
    <x v="7"/>
    <s v="GNR_RES_WTR_NOPMP_MC-03"/>
    <x v="0"/>
    <x v="2"/>
    <n v="405.5"/>
    <n v="148007.5"/>
    <n v="532827"/>
  </r>
  <r>
    <x v="0"/>
    <x v="0"/>
    <x v="0"/>
    <x v="9"/>
    <x v="17"/>
    <s v="SE1A"/>
    <x v="6"/>
    <x v="7"/>
    <s v="GNR_RES_WTR_NOPMP_MC-03"/>
    <x v="0"/>
    <x v="3"/>
    <n v="405.5"/>
    <n v="148007.5"/>
    <n v="532827"/>
  </r>
  <r>
    <x v="0"/>
    <x v="0"/>
    <x v="0"/>
    <x v="9"/>
    <x v="17"/>
    <s v="SE1A"/>
    <x v="6"/>
    <x v="7"/>
    <s v="GNR_RES_WTR_NOPMP_MC-03"/>
    <x v="0"/>
    <x v="4"/>
    <n v="405.5"/>
    <n v="148007.5"/>
    <n v="532827"/>
  </r>
  <r>
    <x v="0"/>
    <x v="0"/>
    <x v="0"/>
    <x v="9"/>
    <x v="17"/>
    <s v="SE1A"/>
    <x v="6"/>
    <x v="7"/>
    <s v="GNR_RES_WTR_NOPMP_MC-03"/>
    <x v="0"/>
    <x v="5"/>
    <n v="405.5"/>
    <n v="148007.5"/>
    <n v="532827"/>
  </r>
  <r>
    <x v="0"/>
    <x v="0"/>
    <x v="0"/>
    <x v="9"/>
    <x v="17"/>
    <s v="SE1A"/>
    <x v="6"/>
    <x v="7"/>
    <s v="GNR_RES_WTR_NOPMP_MC-03"/>
    <x v="0"/>
    <x v="6"/>
    <n v="405.5"/>
    <n v="148007.5"/>
    <n v="532827"/>
  </r>
  <r>
    <x v="0"/>
    <x v="0"/>
    <x v="0"/>
    <x v="9"/>
    <x v="17"/>
    <s v="SE1A"/>
    <x v="6"/>
    <x v="7"/>
    <s v="GNR_RES_WTR_NOPMP_MC-03"/>
    <x v="0"/>
    <x v="7"/>
    <n v="405.5"/>
    <n v="148007.5"/>
    <n v="532827"/>
  </r>
  <r>
    <x v="0"/>
    <x v="0"/>
    <x v="0"/>
    <x v="9"/>
    <x v="17"/>
    <s v="SE1A"/>
    <x v="6"/>
    <x v="7"/>
    <s v="GNR_RES_WTR_NOPMP_MC-03"/>
    <x v="0"/>
    <x v="8"/>
    <n v="405.5"/>
    <n v="148007.5"/>
    <n v="532827"/>
  </r>
  <r>
    <x v="0"/>
    <x v="0"/>
    <x v="0"/>
    <x v="9"/>
    <x v="17"/>
    <s v="SE1A"/>
    <x v="6"/>
    <x v="7"/>
    <s v="GNR_RES_WTR_NOPMP_MC-03"/>
    <x v="0"/>
    <x v="9"/>
    <n v="405.5"/>
    <n v="148007.5"/>
    <n v="532827"/>
  </r>
  <r>
    <x v="0"/>
    <x v="0"/>
    <x v="0"/>
    <x v="9"/>
    <x v="17"/>
    <s v="SE1A"/>
    <x v="6"/>
    <x v="7"/>
    <s v="GNR_RES_WTR_NOPMP_MC-03"/>
    <x v="0"/>
    <x v="10"/>
    <n v="405.5"/>
    <n v="148007.5"/>
    <n v="532827"/>
  </r>
  <r>
    <x v="0"/>
    <x v="0"/>
    <x v="0"/>
    <x v="9"/>
    <x v="17"/>
    <s v="SE1A"/>
    <x v="6"/>
    <x v="7"/>
    <s v="GNR_RES_WTR_NOPMP_MC-03"/>
    <x v="0"/>
    <x v="11"/>
    <n v="405.5"/>
    <n v="148007.5"/>
    <n v="532827"/>
  </r>
  <r>
    <x v="0"/>
    <x v="0"/>
    <x v="0"/>
    <x v="9"/>
    <x v="17"/>
    <s v="SE1A"/>
    <x v="6"/>
    <x v="7"/>
    <s v="GNR_RES_WTR_NOPMP_MC-03"/>
    <x v="0"/>
    <x v="12"/>
    <n v="405.5"/>
    <n v="148007.5"/>
    <n v="532827"/>
  </r>
  <r>
    <x v="0"/>
    <x v="0"/>
    <x v="0"/>
    <x v="9"/>
    <x v="17"/>
    <s v="SE1A"/>
    <x v="6"/>
    <x v="7"/>
    <s v="GNR_RES_WTR_NOPMP_MC-03"/>
    <x v="0"/>
    <x v="13"/>
    <n v="405.5"/>
    <n v="148007.5"/>
    <n v="532827"/>
  </r>
  <r>
    <x v="0"/>
    <x v="0"/>
    <x v="0"/>
    <x v="9"/>
    <x v="17"/>
    <s v="SE1A"/>
    <x v="6"/>
    <x v="7"/>
    <s v="GNR_RES_WTR_NOPMP_MC-03"/>
    <x v="0"/>
    <x v="14"/>
    <n v="405.5"/>
    <n v="148007.5"/>
    <n v="532827"/>
  </r>
  <r>
    <x v="0"/>
    <x v="0"/>
    <x v="0"/>
    <x v="9"/>
    <x v="17"/>
    <s v="SE1A"/>
    <x v="6"/>
    <x v="7"/>
    <s v="GNR_RES_WTR_NOPMP_MC-03"/>
    <x v="0"/>
    <x v="15"/>
    <n v="405.5"/>
    <n v="148007.5"/>
    <n v="532827"/>
  </r>
  <r>
    <x v="0"/>
    <x v="0"/>
    <x v="0"/>
    <x v="9"/>
    <x v="17"/>
    <s v="SE1A"/>
    <x v="6"/>
    <x v="7"/>
    <s v="GNR_RES_WTR_NOPMP_MC-03"/>
    <x v="0"/>
    <x v="16"/>
    <n v="405.5"/>
    <n v="148007.5"/>
    <n v="532827"/>
  </r>
  <r>
    <x v="0"/>
    <x v="0"/>
    <x v="0"/>
    <x v="9"/>
    <x v="17"/>
    <s v="SE1A"/>
    <x v="6"/>
    <x v="7"/>
    <s v="GNR_RES_WTR_NOPMP_MC-03"/>
    <x v="0"/>
    <x v="17"/>
    <n v="405.5"/>
    <n v="148007.5"/>
    <n v="532827"/>
  </r>
  <r>
    <x v="0"/>
    <x v="0"/>
    <x v="0"/>
    <x v="9"/>
    <x v="17"/>
    <s v="SE1A"/>
    <x v="6"/>
    <x v="7"/>
    <s v="GNR_RES_WTR_NOPMP_MC-03"/>
    <x v="0"/>
    <x v="19"/>
    <n v="405.5"/>
    <n v="148007.5"/>
    <n v="532827"/>
  </r>
  <r>
    <x v="0"/>
    <x v="0"/>
    <x v="0"/>
    <x v="9"/>
    <x v="17"/>
    <s v="SE1A"/>
    <x v="6"/>
    <x v="7"/>
    <s v="GNR_RES_WTR_NOPMP_MC-03"/>
    <x v="0"/>
    <x v="20"/>
    <n v="405.5"/>
    <n v="148007.5"/>
    <n v="532827"/>
  </r>
  <r>
    <x v="0"/>
    <x v="0"/>
    <x v="0"/>
    <x v="9"/>
    <x v="17"/>
    <s v="SE1A"/>
    <x v="6"/>
    <x v="7"/>
    <s v="GNR_RES_WTR_NOPMP_MC-03"/>
    <x v="0"/>
    <x v="21"/>
    <n v="405.5"/>
    <n v="148007.5"/>
    <n v="532827"/>
  </r>
  <r>
    <x v="0"/>
    <x v="0"/>
    <x v="0"/>
    <x v="9"/>
    <x v="17"/>
    <s v="SE1A"/>
    <x v="6"/>
    <x v="7"/>
    <s v="GNR_RES_WTR_NOPMP_MC-03"/>
    <x v="0"/>
    <x v="22"/>
    <n v="113.919670679801"/>
    <n v="41580.679798127298"/>
    <n v="149690.447273258"/>
  </r>
  <r>
    <x v="0"/>
    <x v="0"/>
    <x v="0"/>
    <x v="9"/>
    <x v="17"/>
    <s v="SE1A"/>
    <x v="6"/>
    <x v="7"/>
    <s v="GNR_RES_WTR_NOPMP_MC-04"/>
    <x v="0"/>
    <x v="4"/>
    <n v="223.47549679007301"/>
    <n v="81568.556328376493"/>
    <n v="293646.80278215499"/>
  </r>
  <r>
    <x v="0"/>
    <x v="0"/>
    <x v="0"/>
    <x v="9"/>
    <x v="17"/>
    <s v="SE1A"/>
    <x v="6"/>
    <x v="7"/>
    <s v="GNR_RES_WTR_NOPMP_MC-04"/>
    <x v="0"/>
    <x v="5"/>
    <n v="405.5"/>
    <n v="148007.5"/>
    <n v="532827"/>
  </r>
  <r>
    <x v="0"/>
    <x v="0"/>
    <x v="0"/>
    <x v="9"/>
    <x v="17"/>
    <s v="SE1A"/>
    <x v="6"/>
    <x v="7"/>
    <s v="GNR_RES_WTR_NOPMP_MC-04"/>
    <x v="0"/>
    <x v="6"/>
    <n v="405.5"/>
    <n v="148007.5"/>
    <n v="532827"/>
  </r>
  <r>
    <x v="0"/>
    <x v="0"/>
    <x v="0"/>
    <x v="9"/>
    <x v="17"/>
    <s v="SE1A"/>
    <x v="6"/>
    <x v="7"/>
    <s v="GNR_RES_WTR_NOPMP_MC-04"/>
    <x v="0"/>
    <x v="7"/>
    <n v="405.5"/>
    <n v="148007.5"/>
    <n v="532827"/>
  </r>
  <r>
    <x v="0"/>
    <x v="0"/>
    <x v="0"/>
    <x v="9"/>
    <x v="17"/>
    <s v="SE1A"/>
    <x v="6"/>
    <x v="7"/>
    <s v="GNR_RES_WTR_NOPMP_MC-04"/>
    <x v="0"/>
    <x v="8"/>
    <n v="405.5"/>
    <n v="148007.5"/>
    <n v="532827"/>
  </r>
  <r>
    <x v="0"/>
    <x v="0"/>
    <x v="0"/>
    <x v="9"/>
    <x v="17"/>
    <s v="SE1A"/>
    <x v="6"/>
    <x v="7"/>
    <s v="GNR_RES_WTR_NOPMP_MC-04"/>
    <x v="0"/>
    <x v="9"/>
    <n v="405.5"/>
    <n v="148007.5"/>
    <n v="532827"/>
  </r>
  <r>
    <x v="0"/>
    <x v="0"/>
    <x v="0"/>
    <x v="9"/>
    <x v="17"/>
    <s v="SE1A"/>
    <x v="6"/>
    <x v="7"/>
    <s v="GNR_RES_WTR_NOPMP_MC-04"/>
    <x v="0"/>
    <x v="10"/>
    <n v="405.5"/>
    <n v="148007.5"/>
    <n v="532827"/>
  </r>
  <r>
    <x v="0"/>
    <x v="0"/>
    <x v="0"/>
    <x v="9"/>
    <x v="17"/>
    <s v="SE1A"/>
    <x v="6"/>
    <x v="7"/>
    <s v="GNR_RES_WTR_NOPMP_MC-04"/>
    <x v="0"/>
    <x v="11"/>
    <n v="405.5"/>
    <n v="148007.5"/>
    <n v="532827"/>
  </r>
  <r>
    <x v="0"/>
    <x v="0"/>
    <x v="0"/>
    <x v="9"/>
    <x v="17"/>
    <s v="SE1A"/>
    <x v="6"/>
    <x v="7"/>
    <s v="GNR_RES_WTR_NOPMP_MC-04"/>
    <x v="0"/>
    <x v="12"/>
    <n v="405.5"/>
    <n v="148007.5"/>
    <n v="532827"/>
  </r>
  <r>
    <x v="0"/>
    <x v="0"/>
    <x v="0"/>
    <x v="9"/>
    <x v="17"/>
    <s v="SE1A"/>
    <x v="6"/>
    <x v="7"/>
    <s v="GNR_RES_WTR_NOPMP_MC-04"/>
    <x v="0"/>
    <x v="13"/>
    <n v="405.5"/>
    <n v="148007.5"/>
    <n v="532827"/>
  </r>
  <r>
    <x v="0"/>
    <x v="0"/>
    <x v="0"/>
    <x v="9"/>
    <x v="17"/>
    <s v="SE1A"/>
    <x v="6"/>
    <x v="7"/>
    <s v="GNR_RES_WTR_NOPMP_MC-04"/>
    <x v="0"/>
    <x v="14"/>
    <n v="405.5"/>
    <n v="148007.5"/>
    <n v="532827"/>
  </r>
  <r>
    <x v="0"/>
    <x v="0"/>
    <x v="0"/>
    <x v="9"/>
    <x v="17"/>
    <s v="SE1A"/>
    <x v="6"/>
    <x v="7"/>
    <s v="GNR_RES_WTR_NOPMP_MC-04"/>
    <x v="0"/>
    <x v="15"/>
    <n v="405.5"/>
    <n v="148007.5"/>
    <n v="532827"/>
  </r>
  <r>
    <x v="0"/>
    <x v="0"/>
    <x v="0"/>
    <x v="9"/>
    <x v="17"/>
    <s v="SE1A"/>
    <x v="6"/>
    <x v="7"/>
    <s v="GNR_RES_WTR_NOPMP_MC-04"/>
    <x v="0"/>
    <x v="16"/>
    <n v="405.5"/>
    <n v="148007.5"/>
    <n v="532827"/>
  </r>
  <r>
    <x v="0"/>
    <x v="0"/>
    <x v="0"/>
    <x v="9"/>
    <x v="17"/>
    <s v="SE1A"/>
    <x v="6"/>
    <x v="7"/>
    <s v="GNR_RES_WTR_NOPMP_MC-04"/>
    <x v="0"/>
    <x v="17"/>
    <n v="31.782769177515299"/>
    <n v="11600.710749793099"/>
    <n v="41762.558699255103"/>
  </r>
  <r>
    <x v="0"/>
    <x v="0"/>
    <x v="0"/>
    <x v="9"/>
    <x v="17"/>
    <s v="SE1A"/>
    <x v="6"/>
    <x v="7"/>
    <s v="GNR_RES_WTR_NOPMP_MC-04"/>
    <x v="0"/>
    <x v="19"/>
    <n v="198.53699655544801"/>
    <n v="72466.0037427387"/>
    <n v="260877.613473859"/>
  </r>
  <r>
    <x v="0"/>
    <x v="0"/>
    <x v="0"/>
    <x v="9"/>
    <x v="17"/>
    <s v="SE1A"/>
    <x v="6"/>
    <x v="7"/>
    <s v="GNR_RES_WTR_NOPMP_MC-04"/>
    <x v="0"/>
    <x v="20"/>
    <n v="186.816406900213"/>
    <n v="68187.988518577695"/>
    <n v="245476.75866687999"/>
  </r>
  <r>
    <x v="0"/>
    <x v="0"/>
    <x v="0"/>
    <x v="9"/>
    <x v="17"/>
    <s v="SE1A"/>
    <x v="6"/>
    <x v="7"/>
    <s v="GNR_RES_WTR_NOPMP_MC-04"/>
    <x v="0"/>
    <x v="21"/>
    <n v="94.183983434451605"/>
    <n v="34377.153953574903"/>
    <n v="123757.754232869"/>
  </r>
  <r>
    <x v="0"/>
    <x v="0"/>
    <x v="0"/>
    <x v="9"/>
    <x v="17"/>
    <s v="SE1A"/>
    <x v="6"/>
    <x v="7"/>
    <s v="GNR_RES_WTR_NOPMP_MC-05"/>
    <x v="0"/>
    <x v="5"/>
    <n v="28.728521285499699"/>
    <n v="10485.910269207399"/>
    <n v="37749.276969146602"/>
  </r>
  <r>
    <x v="0"/>
    <x v="0"/>
    <x v="0"/>
    <x v="9"/>
    <x v="17"/>
    <s v="SE1A"/>
    <x v="6"/>
    <x v="7"/>
    <s v="GNR_RES_WTR_NOPMP_MC-05"/>
    <x v="0"/>
    <x v="6"/>
    <n v="405.5"/>
    <n v="148007.5"/>
    <n v="532827"/>
  </r>
  <r>
    <x v="0"/>
    <x v="0"/>
    <x v="0"/>
    <x v="9"/>
    <x v="17"/>
    <s v="SE1A"/>
    <x v="6"/>
    <x v="7"/>
    <s v="GNR_RES_WTR_NOPMP_MC-05"/>
    <x v="0"/>
    <x v="7"/>
    <n v="405.5"/>
    <n v="148007.5"/>
    <n v="532827"/>
  </r>
  <r>
    <x v="0"/>
    <x v="0"/>
    <x v="0"/>
    <x v="9"/>
    <x v="17"/>
    <s v="SE1A"/>
    <x v="6"/>
    <x v="7"/>
    <s v="GNR_RES_WTR_NOPMP_MC-05"/>
    <x v="0"/>
    <x v="8"/>
    <n v="405.5"/>
    <n v="148007.5"/>
    <n v="532827"/>
  </r>
  <r>
    <x v="0"/>
    <x v="0"/>
    <x v="0"/>
    <x v="9"/>
    <x v="17"/>
    <s v="SE1A"/>
    <x v="6"/>
    <x v="7"/>
    <s v="GNR_RES_WTR_NOPMP_MC-05"/>
    <x v="0"/>
    <x v="9"/>
    <n v="405.5"/>
    <n v="148007.5"/>
    <n v="532827"/>
  </r>
  <r>
    <x v="0"/>
    <x v="0"/>
    <x v="0"/>
    <x v="9"/>
    <x v="17"/>
    <s v="SE1A"/>
    <x v="6"/>
    <x v="7"/>
    <s v="GNR_RES_WTR_NOPMP_MC-05"/>
    <x v="0"/>
    <x v="10"/>
    <n v="58.923275131581001"/>
    <n v="21506.9954230271"/>
    <n v="77425.183522897496"/>
  </r>
  <r>
    <x v="0"/>
    <x v="0"/>
    <x v="0"/>
    <x v="9"/>
    <x v="17"/>
    <s v="SE1A"/>
    <x v="6"/>
    <x v="7"/>
    <s v="GNR_RES_WTR_NOPMP_MC-05"/>
    <x v="0"/>
    <x v="11"/>
    <n v="137.392228022989"/>
    <n v="50148.163228391197"/>
    <n v="180533.38762220801"/>
  </r>
  <r>
    <x v="0"/>
    <x v="0"/>
    <x v="0"/>
    <x v="9"/>
    <x v="17"/>
    <s v="SE1A"/>
    <x v="6"/>
    <x v="7"/>
    <s v="GNR_RES_WTR_NOPMP_MC-05"/>
    <x v="0"/>
    <x v="12"/>
    <n v="78.274619345968404"/>
    <n v="28570.236061278501"/>
    <n v="102852.849820602"/>
  </r>
  <r>
    <x v="0"/>
    <x v="0"/>
    <x v="0"/>
    <x v="9"/>
    <x v="17"/>
    <s v="SE1A"/>
    <x v="6"/>
    <x v="7"/>
    <s v="GNR_RES_WTR_NOPMP_MC-05"/>
    <x v="0"/>
    <x v="13"/>
    <n v="143.56395504067899"/>
    <n v="52400.843589847696"/>
    <n v="188643.03692345199"/>
  </r>
  <r>
    <x v="0"/>
    <x v="0"/>
    <x v="0"/>
    <x v="9"/>
    <x v="17"/>
    <s v="SE1A"/>
    <x v="6"/>
    <x v="7"/>
    <s v="GNR_RES_WTR_NOPMP_MC-05"/>
    <x v="0"/>
    <x v="14"/>
    <n v="42.2892448394566"/>
    <n v="15435.574366401601"/>
    <n v="55568.067719045903"/>
  </r>
  <r>
    <x v="0"/>
    <x v="0"/>
    <x v="0"/>
    <x v="9"/>
    <x v="17"/>
    <s v="SE1A"/>
    <x v="6"/>
    <x v="7"/>
    <s v="GNR_RES_WTR_NOPMP_MC-06"/>
    <x v="0"/>
    <x v="7"/>
    <n v="233.970952203585"/>
    <n v="85399.397554308496"/>
    <n v="307437.83119551098"/>
  </r>
  <r>
    <x v="0"/>
    <x v="0"/>
    <x v="0"/>
    <x v="9"/>
    <x v="17"/>
    <s v="SE1A"/>
    <x v="6"/>
    <x v="4"/>
    <s v="GNR_ROR_WTR"/>
    <x v="0"/>
    <x v="0"/>
    <n v="564.07145309684904"/>
    <n v="205886.08038035"/>
    <n v="741189.88936926005"/>
  </r>
  <r>
    <x v="0"/>
    <x v="0"/>
    <x v="0"/>
    <x v="9"/>
    <x v="17"/>
    <s v="SE1A"/>
    <x v="6"/>
    <x v="4"/>
    <s v="GNR_ROR_WTR"/>
    <x v="0"/>
    <x v="1"/>
    <n v="564.07145309684904"/>
    <n v="205886.08038035"/>
    <n v="741189.88936926005"/>
  </r>
  <r>
    <x v="0"/>
    <x v="0"/>
    <x v="0"/>
    <x v="9"/>
    <x v="17"/>
    <s v="SE1A"/>
    <x v="6"/>
    <x v="4"/>
    <s v="GNR_ROR_WTR"/>
    <x v="0"/>
    <x v="18"/>
    <n v="564.07145309684904"/>
    <n v="205886.08038035"/>
    <n v="741189.88936926005"/>
  </r>
  <r>
    <x v="0"/>
    <x v="0"/>
    <x v="0"/>
    <x v="9"/>
    <x v="17"/>
    <s v="SE1A"/>
    <x v="6"/>
    <x v="4"/>
    <s v="GNR_ROR_WTR"/>
    <x v="0"/>
    <x v="2"/>
    <n v="564.07145309684904"/>
    <n v="205886.08038035"/>
    <n v="741189.88936926005"/>
  </r>
  <r>
    <x v="0"/>
    <x v="0"/>
    <x v="0"/>
    <x v="9"/>
    <x v="17"/>
    <s v="SE1A"/>
    <x v="6"/>
    <x v="4"/>
    <s v="GNR_ROR_WTR"/>
    <x v="0"/>
    <x v="3"/>
    <n v="564.07145309684904"/>
    <n v="205886.08038035"/>
    <n v="741189.88936926005"/>
  </r>
  <r>
    <x v="0"/>
    <x v="0"/>
    <x v="0"/>
    <x v="9"/>
    <x v="17"/>
    <s v="SE1A"/>
    <x v="6"/>
    <x v="4"/>
    <s v="GNR_ROR_WTR"/>
    <x v="0"/>
    <x v="4"/>
    <n v="564.07145309684904"/>
    <n v="205886.08038035"/>
    <n v="741189.88936926005"/>
  </r>
  <r>
    <x v="0"/>
    <x v="0"/>
    <x v="0"/>
    <x v="9"/>
    <x v="17"/>
    <s v="SE1A"/>
    <x v="6"/>
    <x v="4"/>
    <s v="GNR_ROR_WTR"/>
    <x v="0"/>
    <x v="5"/>
    <n v="564.07145309684904"/>
    <n v="205886.08038035"/>
    <n v="741189.88936926005"/>
  </r>
  <r>
    <x v="0"/>
    <x v="0"/>
    <x v="0"/>
    <x v="9"/>
    <x v="17"/>
    <s v="SE1A"/>
    <x v="6"/>
    <x v="4"/>
    <s v="GNR_ROR_WTR"/>
    <x v="0"/>
    <x v="6"/>
    <n v="564.07145309684904"/>
    <n v="205886.08038035"/>
    <n v="741189.88936926005"/>
  </r>
  <r>
    <x v="0"/>
    <x v="0"/>
    <x v="0"/>
    <x v="9"/>
    <x v="17"/>
    <s v="SE1A"/>
    <x v="6"/>
    <x v="4"/>
    <s v="GNR_ROR_WTR"/>
    <x v="0"/>
    <x v="7"/>
    <n v="564.07145309684904"/>
    <n v="205886.08038035"/>
    <n v="741189.88936926005"/>
  </r>
  <r>
    <x v="0"/>
    <x v="0"/>
    <x v="0"/>
    <x v="9"/>
    <x v="17"/>
    <s v="SE1A"/>
    <x v="6"/>
    <x v="4"/>
    <s v="GNR_ROR_WTR"/>
    <x v="0"/>
    <x v="8"/>
    <n v="564.07145309684904"/>
    <n v="205886.08038035"/>
    <n v="741189.88936926005"/>
  </r>
  <r>
    <x v="0"/>
    <x v="0"/>
    <x v="0"/>
    <x v="9"/>
    <x v="17"/>
    <s v="SE1A"/>
    <x v="6"/>
    <x v="4"/>
    <s v="GNR_ROR_WTR"/>
    <x v="0"/>
    <x v="9"/>
    <n v="564.07145309684904"/>
    <n v="205886.08038035"/>
    <n v="741189.88936926005"/>
  </r>
  <r>
    <x v="0"/>
    <x v="0"/>
    <x v="0"/>
    <x v="9"/>
    <x v="17"/>
    <s v="SE1A"/>
    <x v="6"/>
    <x v="4"/>
    <s v="GNR_ROR_WTR"/>
    <x v="0"/>
    <x v="10"/>
    <n v="564.07145309684904"/>
    <n v="205886.08038035"/>
    <n v="741189.88936926005"/>
  </r>
  <r>
    <x v="0"/>
    <x v="0"/>
    <x v="0"/>
    <x v="9"/>
    <x v="17"/>
    <s v="SE1A"/>
    <x v="6"/>
    <x v="4"/>
    <s v="GNR_ROR_WTR"/>
    <x v="0"/>
    <x v="11"/>
    <n v="564.07145309684904"/>
    <n v="205886.08038035"/>
    <n v="741189.88936926005"/>
  </r>
  <r>
    <x v="0"/>
    <x v="0"/>
    <x v="0"/>
    <x v="9"/>
    <x v="17"/>
    <s v="SE1A"/>
    <x v="6"/>
    <x v="4"/>
    <s v="GNR_ROR_WTR"/>
    <x v="0"/>
    <x v="12"/>
    <n v="564.07145309684904"/>
    <n v="205886.08038035"/>
    <n v="741189.88936926005"/>
  </r>
  <r>
    <x v="0"/>
    <x v="0"/>
    <x v="0"/>
    <x v="9"/>
    <x v="17"/>
    <s v="SE1A"/>
    <x v="6"/>
    <x v="4"/>
    <s v="GNR_ROR_WTR"/>
    <x v="0"/>
    <x v="13"/>
    <n v="564.07145309684904"/>
    <n v="205886.08038035"/>
    <n v="741189.88936926005"/>
  </r>
  <r>
    <x v="0"/>
    <x v="0"/>
    <x v="0"/>
    <x v="9"/>
    <x v="17"/>
    <s v="SE1A"/>
    <x v="6"/>
    <x v="4"/>
    <s v="GNR_ROR_WTR"/>
    <x v="0"/>
    <x v="14"/>
    <n v="564.07145309684904"/>
    <n v="205886.08038035"/>
    <n v="741189.88936926005"/>
  </r>
  <r>
    <x v="0"/>
    <x v="0"/>
    <x v="0"/>
    <x v="9"/>
    <x v="17"/>
    <s v="SE1A"/>
    <x v="6"/>
    <x v="4"/>
    <s v="GNR_ROR_WTR"/>
    <x v="0"/>
    <x v="15"/>
    <n v="564.07145309684904"/>
    <n v="205886.08038035"/>
    <n v="741189.88936926005"/>
  </r>
  <r>
    <x v="0"/>
    <x v="0"/>
    <x v="0"/>
    <x v="9"/>
    <x v="17"/>
    <s v="SE1A"/>
    <x v="6"/>
    <x v="4"/>
    <s v="GNR_ROR_WTR"/>
    <x v="0"/>
    <x v="16"/>
    <n v="564.07145309684904"/>
    <n v="205886.08038035"/>
    <n v="741189.88936926005"/>
  </r>
  <r>
    <x v="0"/>
    <x v="0"/>
    <x v="0"/>
    <x v="9"/>
    <x v="17"/>
    <s v="SE1A"/>
    <x v="6"/>
    <x v="4"/>
    <s v="GNR_ROR_WTR"/>
    <x v="0"/>
    <x v="17"/>
    <n v="564.07145309684904"/>
    <n v="205886.08038035"/>
    <n v="741189.88936926005"/>
  </r>
  <r>
    <x v="0"/>
    <x v="0"/>
    <x v="0"/>
    <x v="9"/>
    <x v="17"/>
    <s v="SE1A"/>
    <x v="6"/>
    <x v="4"/>
    <s v="GNR_ROR_WTR"/>
    <x v="0"/>
    <x v="19"/>
    <n v="564.07145309684904"/>
    <n v="205886.08038035"/>
    <n v="741189.88936926005"/>
  </r>
  <r>
    <x v="0"/>
    <x v="0"/>
    <x v="0"/>
    <x v="9"/>
    <x v="17"/>
    <s v="SE1A"/>
    <x v="6"/>
    <x v="4"/>
    <s v="GNR_ROR_WTR"/>
    <x v="0"/>
    <x v="20"/>
    <n v="564.07145309684904"/>
    <n v="205886.08038035"/>
    <n v="741189.88936926005"/>
  </r>
  <r>
    <x v="0"/>
    <x v="0"/>
    <x v="0"/>
    <x v="9"/>
    <x v="17"/>
    <s v="SE1A"/>
    <x v="6"/>
    <x v="4"/>
    <s v="GNR_ROR_WTR"/>
    <x v="0"/>
    <x v="21"/>
    <n v="564.07145309684904"/>
    <n v="205886.08038035"/>
    <n v="741189.88936926005"/>
  </r>
  <r>
    <x v="0"/>
    <x v="0"/>
    <x v="0"/>
    <x v="9"/>
    <x v="17"/>
    <s v="SE1A"/>
    <x v="6"/>
    <x v="4"/>
    <s v="GNR_ROR_WTR"/>
    <x v="0"/>
    <x v="22"/>
    <n v="564.07145309684904"/>
    <n v="205886.08038035"/>
    <n v="741189.88936926005"/>
  </r>
  <r>
    <x v="0"/>
    <x v="0"/>
    <x v="0"/>
    <x v="9"/>
    <x v="17"/>
    <s v="SE1A"/>
    <x v="6"/>
    <x v="4"/>
    <s v="GNR_ROR_WTR"/>
    <x v="0"/>
    <x v="23"/>
    <n v="564.07145309684904"/>
    <n v="205886.08038035"/>
    <n v="741189.88936926005"/>
  </r>
  <r>
    <x v="0"/>
    <x v="0"/>
    <x v="0"/>
    <x v="9"/>
    <x v="17"/>
    <s v="SE1A"/>
    <x v="7"/>
    <x v="5"/>
    <s v="GNR_WT_WIND_ONS"/>
    <x v="0"/>
    <x v="0"/>
    <n v="12.6986819604206"/>
    <n v="4635.0189155535099"/>
    <n v="16686.068095992599"/>
  </r>
  <r>
    <x v="0"/>
    <x v="0"/>
    <x v="0"/>
    <x v="9"/>
    <x v="17"/>
    <s v="SE1A"/>
    <x v="7"/>
    <x v="5"/>
    <s v="GNR_WT_WIND_ONS"/>
    <x v="0"/>
    <x v="1"/>
    <n v="13.0260041018901"/>
    <n v="4754.4914971898697"/>
    <n v="17116.1693898835"/>
  </r>
  <r>
    <x v="0"/>
    <x v="0"/>
    <x v="0"/>
    <x v="9"/>
    <x v="17"/>
    <s v="SE1A"/>
    <x v="7"/>
    <x v="5"/>
    <s v="GNR_WT_WIND_ONS"/>
    <x v="0"/>
    <x v="18"/>
    <n v="17.789426711495501"/>
    <n v="6493.14074969585"/>
    <n v="23375.3066989051"/>
  </r>
  <r>
    <x v="0"/>
    <x v="0"/>
    <x v="0"/>
    <x v="9"/>
    <x v="17"/>
    <s v="SE1A"/>
    <x v="7"/>
    <x v="5"/>
    <s v="GNR_WT_WIND_ONS"/>
    <x v="0"/>
    <x v="2"/>
    <n v="29.958494981496301"/>
    <n v="10934.850668246099"/>
    <n v="39365.462405686099"/>
  </r>
  <r>
    <x v="0"/>
    <x v="0"/>
    <x v="0"/>
    <x v="9"/>
    <x v="17"/>
    <s v="SE1A"/>
    <x v="7"/>
    <x v="5"/>
    <s v="GNR_WT_WIND_ONS"/>
    <x v="0"/>
    <x v="3"/>
    <n v="14.519702371670601"/>
    <n v="5299.6913656597799"/>
    <n v="19078.888916375199"/>
  </r>
  <r>
    <x v="0"/>
    <x v="0"/>
    <x v="0"/>
    <x v="9"/>
    <x v="17"/>
    <s v="SE1A"/>
    <x v="7"/>
    <x v="5"/>
    <s v="GNR_WT_WIND_ONS"/>
    <x v="0"/>
    <x v="4"/>
    <n v="37.7820817525226"/>
    <n v="13790.459839670701"/>
    <n v="49645.655422814598"/>
  </r>
  <r>
    <x v="0"/>
    <x v="0"/>
    <x v="0"/>
    <x v="9"/>
    <x v="17"/>
    <s v="SE1A"/>
    <x v="7"/>
    <x v="5"/>
    <s v="GNR_WT_WIND_ONS"/>
    <x v="0"/>
    <x v="5"/>
    <n v="44.3437226253156"/>
    <n v="16185.4587582402"/>
    <n v="58267.651529664603"/>
  </r>
  <r>
    <x v="0"/>
    <x v="0"/>
    <x v="0"/>
    <x v="9"/>
    <x v="17"/>
    <s v="SE1A"/>
    <x v="7"/>
    <x v="5"/>
    <s v="GNR_WT_WIND_ONS"/>
    <x v="0"/>
    <x v="6"/>
    <n v="25.170287870340999"/>
    <n v="9187.1550726744608"/>
    <n v="33073.7582616281"/>
  </r>
  <r>
    <x v="0"/>
    <x v="0"/>
    <x v="0"/>
    <x v="9"/>
    <x v="17"/>
    <s v="SE1A"/>
    <x v="7"/>
    <x v="5"/>
    <s v="GNR_WT_WIND_ONS"/>
    <x v="0"/>
    <x v="7"/>
    <n v="19.993122673131801"/>
    <n v="7297.4897756930995"/>
    <n v="26270.963192495201"/>
  </r>
  <r>
    <x v="0"/>
    <x v="0"/>
    <x v="0"/>
    <x v="9"/>
    <x v="17"/>
    <s v="SE1A"/>
    <x v="7"/>
    <x v="5"/>
    <s v="GNR_WT_WIND_ONS"/>
    <x v="0"/>
    <x v="8"/>
    <n v="15.610637242392899"/>
    <n v="5697.8825934734105"/>
    <n v="20512.377336504302"/>
  </r>
  <r>
    <x v="0"/>
    <x v="0"/>
    <x v="0"/>
    <x v="9"/>
    <x v="17"/>
    <s v="SE1A"/>
    <x v="7"/>
    <x v="5"/>
    <s v="GNR_WT_WIND_ONS"/>
    <x v="0"/>
    <x v="9"/>
    <n v="11.7664268619263"/>
    <n v="4294.7458046031097"/>
    <n v="15461.084896571199"/>
  </r>
  <r>
    <x v="0"/>
    <x v="0"/>
    <x v="0"/>
    <x v="9"/>
    <x v="17"/>
    <s v="SE1A"/>
    <x v="7"/>
    <x v="5"/>
    <s v="GNR_WT_WIND_ONS"/>
    <x v="0"/>
    <x v="10"/>
    <n v="9.3043743283505993"/>
    <n v="3396.0966298479698"/>
    <n v="12225.9478674527"/>
  </r>
  <r>
    <x v="0"/>
    <x v="0"/>
    <x v="0"/>
    <x v="9"/>
    <x v="17"/>
    <s v="SE1A"/>
    <x v="7"/>
    <x v="5"/>
    <s v="GNR_WT_WIND_ONS"/>
    <x v="0"/>
    <x v="11"/>
    <n v="17.041611814649801"/>
    <n v="6220.1883123471798"/>
    <n v="22392.677924449799"/>
  </r>
  <r>
    <x v="0"/>
    <x v="0"/>
    <x v="0"/>
    <x v="9"/>
    <x v="17"/>
    <s v="SE1A"/>
    <x v="7"/>
    <x v="5"/>
    <s v="GNR_WT_WIND_ONS"/>
    <x v="0"/>
    <x v="12"/>
    <n v="62.621946877221497"/>
    <n v="22857.0106101858"/>
    <n v="82285.238196669001"/>
  </r>
  <r>
    <x v="0"/>
    <x v="0"/>
    <x v="0"/>
    <x v="9"/>
    <x v="17"/>
    <s v="SE1A"/>
    <x v="7"/>
    <x v="5"/>
    <s v="GNR_WT_WIND_ONS"/>
    <x v="0"/>
    <x v="13"/>
    <n v="134.95257670098101"/>
    <n v="49257.690495857903"/>
    <n v="177327.68578508799"/>
  </r>
  <r>
    <x v="0"/>
    <x v="0"/>
    <x v="0"/>
    <x v="9"/>
    <x v="17"/>
    <s v="SE1A"/>
    <x v="7"/>
    <x v="5"/>
    <s v="GNR_WT_WIND_ONS"/>
    <x v="0"/>
    <x v="14"/>
    <n v="194.051708610573"/>
    <n v="70828.873642859297"/>
    <n v="254983.94511429299"/>
  </r>
  <r>
    <x v="0"/>
    <x v="0"/>
    <x v="0"/>
    <x v="9"/>
    <x v="17"/>
    <s v="SE1A"/>
    <x v="7"/>
    <x v="5"/>
    <s v="GNR_WT_WIND_ONS"/>
    <x v="0"/>
    <x v="15"/>
    <n v="209.42188129198999"/>
    <n v="76438.986671576306"/>
    <n v="275180.352017675"/>
  </r>
  <r>
    <x v="0"/>
    <x v="0"/>
    <x v="0"/>
    <x v="9"/>
    <x v="17"/>
    <s v="SE1A"/>
    <x v="7"/>
    <x v="5"/>
    <s v="GNR_WT_WIND_ONS"/>
    <x v="0"/>
    <x v="16"/>
    <n v="392.28236069535097"/>
    <n v="143183.06165380299"/>
    <n v="515459.02195369097"/>
  </r>
  <r>
    <x v="0"/>
    <x v="0"/>
    <x v="0"/>
    <x v="9"/>
    <x v="17"/>
    <s v="SE1A"/>
    <x v="7"/>
    <x v="5"/>
    <s v="GNR_WT_WIND_ONS"/>
    <x v="0"/>
    <x v="17"/>
    <n v="557.52306218207502"/>
    <n v="203495.91769645701"/>
    <n v="732585.30370724702"/>
  </r>
  <r>
    <x v="0"/>
    <x v="0"/>
    <x v="0"/>
    <x v="9"/>
    <x v="17"/>
    <s v="SE1A"/>
    <x v="7"/>
    <x v="5"/>
    <s v="GNR_WT_WIND_ONS"/>
    <x v="0"/>
    <x v="19"/>
    <n v="417.068061823226"/>
    <n v="152229.84256547701"/>
    <n v="548027.43323571899"/>
  </r>
  <r>
    <x v="0"/>
    <x v="0"/>
    <x v="0"/>
    <x v="9"/>
    <x v="17"/>
    <s v="SE1A"/>
    <x v="7"/>
    <x v="5"/>
    <s v="GNR_WT_WIND_ONS"/>
    <x v="0"/>
    <x v="20"/>
    <n v="364.42475377386103"/>
    <n v="133015.03512745901"/>
    <n v="478854.12645885401"/>
  </r>
  <r>
    <x v="0"/>
    <x v="0"/>
    <x v="0"/>
    <x v="9"/>
    <x v="17"/>
    <s v="SE1A"/>
    <x v="7"/>
    <x v="5"/>
    <s v="GNR_WT_WIND_ONS"/>
    <x v="0"/>
    <x v="21"/>
    <n v="363.62571282971902"/>
    <n v="132723.38518284701"/>
    <n v="477804.18665824999"/>
  </r>
  <r>
    <x v="0"/>
    <x v="0"/>
    <x v="0"/>
    <x v="9"/>
    <x v="17"/>
    <s v="SE1A"/>
    <x v="7"/>
    <x v="5"/>
    <s v="GNR_WT_WIND_ONS"/>
    <x v="0"/>
    <x v="22"/>
    <n v="334.80177466158199"/>
    <n v="122202.647751478"/>
    <n v="439929.53190531902"/>
  </r>
  <r>
    <x v="0"/>
    <x v="0"/>
    <x v="0"/>
    <x v="9"/>
    <x v="17"/>
    <s v="SE1A"/>
    <x v="7"/>
    <x v="5"/>
    <s v="GNR_WT_WIND_ONS"/>
    <x v="0"/>
    <x v="23"/>
    <n v="336.63802361398098"/>
    <n v="122872.87861910299"/>
    <n v="442342.363028772"/>
  </r>
  <r>
    <x v="0"/>
    <x v="0"/>
    <x v="0"/>
    <x v="9"/>
    <x v="17"/>
    <s v="SE1_EL"/>
    <x v="2"/>
    <x v="2"/>
    <s v="GBPR_MUNIWASTE"/>
    <x v="0"/>
    <x v="0"/>
    <n v="3.93475156792227"/>
    <n v="1436.18432229163"/>
    <n v="5170.2635602498704"/>
  </r>
  <r>
    <x v="0"/>
    <x v="0"/>
    <x v="0"/>
    <x v="9"/>
    <x v="17"/>
    <s v="SE1_EL"/>
    <x v="2"/>
    <x v="2"/>
    <s v="GBPR_MUNIWASTE"/>
    <x v="0"/>
    <x v="1"/>
    <n v="3.93475156792227"/>
    <n v="1436.18432229163"/>
    <n v="5170.2635602498704"/>
  </r>
  <r>
    <x v="0"/>
    <x v="0"/>
    <x v="0"/>
    <x v="9"/>
    <x v="17"/>
    <s v="SE1_EL"/>
    <x v="2"/>
    <x v="2"/>
    <s v="GBPR_MUNIWASTE"/>
    <x v="0"/>
    <x v="18"/>
    <n v="3.93475156792227"/>
    <n v="1436.18432229163"/>
    <n v="5170.2635602498704"/>
  </r>
  <r>
    <x v="0"/>
    <x v="0"/>
    <x v="0"/>
    <x v="9"/>
    <x v="17"/>
    <s v="SE1_EL"/>
    <x v="2"/>
    <x v="2"/>
    <s v="GBPR_MUNIWASTE"/>
    <x v="0"/>
    <x v="2"/>
    <n v="3.93475156792227"/>
    <n v="1436.18432229163"/>
    <n v="5170.2635602498704"/>
  </r>
  <r>
    <x v="0"/>
    <x v="0"/>
    <x v="0"/>
    <x v="9"/>
    <x v="17"/>
    <s v="SE1_EL"/>
    <x v="2"/>
    <x v="2"/>
    <s v="GBPR_MUNIWASTE"/>
    <x v="0"/>
    <x v="3"/>
    <n v="3.93475156792227"/>
    <n v="1436.18432229163"/>
    <n v="5170.2635602498704"/>
  </r>
  <r>
    <x v="0"/>
    <x v="0"/>
    <x v="0"/>
    <x v="9"/>
    <x v="17"/>
    <s v="SE1_EL"/>
    <x v="2"/>
    <x v="2"/>
    <s v="GBPR_MUNIWASTE"/>
    <x v="0"/>
    <x v="4"/>
    <n v="3.93475156792227"/>
    <n v="1436.18432229163"/>
    <n v="5170.2635602498704"/>
  </r>
  <r>
    <x v="0"/>
    <x v="0"/>
    <x v="0"/>
    <x v="9"/>
    <x v="17"/>
    <s v="SE1_EL"/>
    <x v="2"/>
    <x v="2"/>
    <s v="GBPR_MUNIWASTE"/>
    <x v="0"/>
    <x v="5"/>
    <n v="3.93475156792227"/>
    <n v="1436.18432229163"/>
    <n v="5170.2635602498704"/>
  </r>
  <r>
    <x v="0"/>
    <x v="0"/>
    <x v="0"/>
    <x v="9"/>
    <x v="17"/>
    <s v="SE1_EL"/>
    <x v="2"/>
    <x v="2"/>
    <s v="GBPR_MUNIWASTE"/>
    <x v="0"/>
    <x v="6"/>
    <n v="3.93475156792227"/>
    <n v="1436.18432229163"/>
    <n v="5170.2635602498704"/>
  </r>
  <r>
    <x v="0"/>
    <x v="0"/>
    <x v="0"/>
    <x v="9"/>
    <x v="17"/>
    <s v="SE1_EL"/>
    <x v="2"/>
    <x v="2"/>
    <s v="GBPR_MUNIWASTE"/>
    <x v="0"/>
    <x v="7"/>
    <n v="3.93475156792227"/>
    <n v="1436.18432229163"/>
    <n v="5170.2635602498704"/>
  </r>
  <r>
    <x v="0"/>
    <x v="0"/>
    <x v="0"/>
    <x v="9"/>
    <x v="17"/>
    <s v="SE1_EL"/>
    <x v="2"/>
    <x v="2"/>
    <s v="GBPR_MUNIWASTE"/>
    <x v="0"/>
    <x v="8"/>
    <n v="3.93475156792227"/>
    <n v="1436.18432229163"/>
    <n v="5170.2635602498704"/>
  </r>
  <r>
    <x v="0"/>
    <x v="0"/>
    <x v="0"/>
    <x v="9"/>
    <x v="17"/>
    <s v="SE1_EL"/>
    <x v="2"/>
    <x v="2"/>
    <s v="GBPR_MUNIWASTE"/>
    <x v="0"/>
    <x v="9"/>
    <n v="3.93475156792227"/>
    <n v="1436.18432229163"/>
    <n v="5170.2635602498704"/>
  </r>
  <r>
    <x v="0"/>
    <x v="0"/>
    <x v="0"/>
    <x v="9"/>
    <x v="17"/>
    <s v="SE1_EL"/>
    <x v="2"/>
    <x v="2"/>
    <s v="GBPR_MUNIWASTE"/>
    <x v="0"/>
    <x v="10"/>
    <n v="3.93475156792227"/>
    <n v="1436.18432229163"/>
    <n v="5170.2635602498704"/>
  </r>
  <r>
    <x v="0"/>
    <x v="0"/>
    <x v="0"/>
    <x v="9"/>
    <x v="17"/>
    <s v="SE1_EL"/>
    <x v="2"/>
    <x v="2"/>
    <s v="GBPR_MUNIWASTE"/>
    <x v="0"/>
    <x v="11"/>
    <n v="3.93475156792227"/>
    <n v="1436.18432229163"/>
    <n v="5170.2635602498704"/>
  </r>
  <r>
    <x v="0"/>
    <x v="0"/>
    <x v="0"/>
    <x v="9"/>
    <x v="17"/>
    <s v="SE1_EL"/>
    <x v="2"/>
    <x v="2"/>
    <s v="GBPR_MUNIWASTE"/>
    <x v="0"/>
    <x v="12"/>
    <n v="3.93475156792227"/>
    <n v="1436.18432229163"/>
    <n v="5170.2635602498704"/>
  </r>
  <r>
    <x v="0"/>
    <x v="0"/>
    <x v="0"/>
    <x v="9"/>
    <x v="17"/>
    <s v="SE1_EL"/>
    <x v="2"/>
    <x v="2"/>
    <s v="GBPR_MUNIWASTE"/>
    <x v="0"/>
    <x v="13"/>
    <n v="3.93475156792227"/>
    <n v="1436.18432229163"/>
    <n v="5170.2635602498704"/>
  </r>
  <r>
    <x v="0"/>
    <x v="0"/>
    <x v="0"/>
    <x v="9"/>
    <x v="17"/>
    <s v="SE1_EL"/>
    <x v="2"/>
    <x v="2"/>
    <s v="GBPR_MUNIWASTE"/>
    <x v="0"/>
    <x v="14"/>
    <n v="3.93475156792227"/>
    <n v="1436.18432229163"/>
    <n v="5170.2635602498704"/>
  </r>
  <r>
    <x v="0"/>
    <x v="0"/>
    <x v="0"/>
    <x v="9"/>
    <x v="17"/>
    <s v="SE1_EL"/>
    <x v="2"/>
    <x v="2"/>
    <s v="GBPR_MUNIWASTE"/>
    <x v="0"/>
    <x v="15"/>
    <n v="3.93475156792227"/>
    <n v="1436.18432229163"/>
    <n v="5170.2635602498704"/>
  </r>
  <r>
    <x v="0"/>
    <x v="0"/>
    <x v="0"/>
    <x v="9"/>
    <x v="17"/>
    <s v="SE1_EL"/>
    <x v="2"/>
    <x v="2"/>
    <s v="GBPR_MUNIWASTE"/>
    <x v="0"/>
    <x v="16"/>
    <n v="3.93475156792227"/>
    <n v="1436.18432229163"/>
    <n v="5170.2635602498704"/>
  </r>
  <r>
    <x v="0"/>
    <x v="0"/>
    <x v="0"/>
    <x v="9"/>
    <x v="17"/>
    <s v="SE1_EL"/>
    <x v="2"/>
    <x v="2"/>
    <s v="GBPR_MUNIWASTE"/>
    <x v="0"/>
    <x v="17"/>
    <n v="3.93475156792227"/>
    <n v="1436.18432229163"/>
    <n v="5170.2635602498704"/>
  </r>
  <r>
    <x v="0"/>
    <x v="0"/>
    <x v="0"/>
    <x v="9"/>
    <x v="17"/>
    <s v="SE1_EL"/>
    <x v="2"/>
    <x v="2"/>
    <s v="GBPR_MUNIWASTE"/>
    <x v="0"/>
    <x v="19"/>
    <n v="3.93475156792227"/>
    <n v="1436.18432229163"/>
    <n v="5170.2635602498704"/>
  </r>
  <r>
    <x v="0"/>
    <x v="0"/>
    <x v="0"/>
    <x v="9"/>
    <x v="17"/>
    <s v="SE1_EL"/>
    <x v="2"/>
    <x v="2"/>
    <s v="GBPR_MUNIWASTE"/>
    <x v="0"/>
    <x v="20"/>
    <n v="3.93475156792227"/>
    <n v="1436.18432229163"/>
    <n v="5170.2635602498704"/>
  </r>
  <r>
    <x v="0"/>
    <x v="0"/>
    <x v="0"/>
    <x v="9"/>
    <x v="17"/>
    <s v="SE1_EL"/>
    <x v="2"/>
    <x v="2"/>
    <s v="GBPR_MUNIWASTE"/>
    <x v="0"/>
    <x v="21"/>
    <n v="3.93475156792227"/>
    <n v="1436.18432229163"/>
    <n v="5170.2635602498704"/>
  </r>
  <r>
    <x v="0"/>
    <x v="0"/>
    <x v="0"/>
    <x v="9"/>
    <x v="17"/>
    <s v="SE1_EL"/>
    <x v="2"/>
    <x v="2"/>
    <s v="GBPR_MUNIWASTE"/>
    <x v="0"/>
    <x v="22"/>
    <n v="3.93475156792227"/>
    <n v="1436.18432229163"/>
    <n v="5170.2635602498704"/>
  </r>
  <r>
    <x v="0"/>
    <x v="0"/>
    <x v="0"/>
    <x v="9"/>
    <x v="17"/>
    <s v="SE1_EL"/>
    <x v="2"/>
    <x v="2"/>
    <s v="GBPR_MUNIWASTE"/>
    <x v="0"/>
    <x v="23"/>
    <n v="3.93475156792227"/>
    <n v="1436.18432229163"/>
    <n v="5170.2635602498704"/>
  </r>
  <r>
    <x v="0"/>
    <x v="0"/>
    <x v="0"/>
    <x v="9"/>
    <x v="17"/>
    <s v="SE1_OTHER"/>
    <x v="13"/>
    <x v="2"/>
    <s v="GBPR_PEAT_38"/>
    <x v="0"/>
    <x v="6"/>
    <n v="8.1954170032937697"/>
    <n v="2991.3272062022202"/>
    <n v="10768.777942328001"/>
  </r>
  <r>
    <x v="0"/>
    <x v="0"/>
    <x v="0"/>
    <x v="9"/>
    <x v="17"/>
    <s v="SE1_OTHER"/>
    <x v="13"/>
    <x v="2"/>
    <s v="GBPR_PEAT_38"/>
    <x v="0"/>
    <x v="7"/>
    <n v="8.1954170032937697"/>
    <n v="2991.3272062022202"/>
    <n v="10768.777942328001"/>
  </r>
  <r>
    <x v="0"/>
    <x v="0"/>
    <x v="0"/>
    <x v="9"/>
    <x v="17"/>
    <s v="SE1_OTHER"/>
    <x v="13"/>
    <x v="2"/>
    <s v="GBPR_PEAT_38"/>
    <x v="0"/>
    <x v="8"/>
    <n v="8.1954170032937697"/>
    <n v="2991.3272062022202"/>
    <n v="10768.777942328001"/>
  </r>
  <r>
    <x v="0"/>
    <x v="0"/>
    <x v="0"/>
    <x v="9"/>
    <x v="17"/>
    <s v="SE1_OTHER"/>
    <x v="13"/>
    <x v="2"/>
    <s v="GBPR_PEAT_38"/>
    <x v="0"/>
    <x v="9"/>
    <n v="8.1954170032937697"/>
    <n v="2991.3272062022202"/>
    <n v="10768.777942328001"/>
  </r>
  <r>
    <x v="0"/>
    <x v="0"/>
    <x v="0"/>
    <x v="9"/>
    <x v="17"/>
    <s v="SE1_OTHER"/>
    <x v="13"/>
    <x v="2"/>
    <s v="GBPR_PEAT_38"/>
    <x v="0"/>
    <x v="11"/>
    <n v="1.6885946597575201"/>
    <n v="616.33705081149503"/>
    <n v="2218.8133829213798"/>
  </r>
  <r>
    <x v="0"/>
    <x v="0"/>
    <x v="0"/>
    <x v="9"/>
    <x v="17"/>
    <s v="SE1_OTHER"/>
    <x v="13"/>
    <x v="2"/>
    <s v="GBPR_PEAT_38"/>
    <x v="0"/>
    <x v="13"/>
    <n v="5.64161324338325"/>
    <n v="2059.1888338348899"/>
    <n v="7413.0798018055903"/>
  </r>
  <r>
    <x v="0"/>
    <x v="0"/>
    <x v="0"/>
    <x v="9"/>
    <x v="17"/>
    <s v="SE1_OTHER"/>
    <x v="13"/>
    <x v="2"/>
    <s v="GBPR_PEAT_38"/>
    <x v="0"/>
    <x v="14"/>
    <n v="4.9079263986123403"/>
    <n v="1791.3931354935"/>
    <n v="6449.0152877766104"/>
  </r>
  <r>
    <x v="0"/>
    <x v="0"/>
    <x v="0"/>
    <x v="9"/>
    <x v="17"/>
    <s v="SE1_OTHER"/>
    <x v="10"/>
    <x v="2"/>
    <s v="GBPR_WOODWASTE"/>
    <x v="0"/>
    <x v="0"/>
    <n v="28.099124343257401"/>
    <n v="10256.180385289001"/>
    <n v="36922.249387040298"/>
  </r>
  <r>
    <x v="0"/>
    <x v="0"/>
    <x v="0"/>
    <x v="9"/>
    <x v="17"/>
    <s v="SE1_OTHER"/>
    <x v="10"/>
    <x v="2"/>
    <s v="GBPR_WOODWASTE"/>
    <x v="0"/>
    <x v="1"/>
    <n v="28.099124343257401"/>
    <n v="10256.180385289001"/>
    <n v="36922.249387040298"/>
  </r>
  <r>
    <x v="0"/>
    <x v="0"/>
    <x v="0"/>
    <x v="9"/>
    <x v="17"/>
    <s v="SE1_OTHER"/>
    <x v="10"/>
    <x v="2"/>
    <s v="GBPR_WOODWASTE"/>
    <x v="0"/>
    <x v="18"/>
    <n v="28.099124343257401"/>
    <n v="10256.180385289001"/>
    <n v="36922.249387040298"/>
  </r>
  <r>
    <x v="0"/>
    <x v="0"/>
    <x v="0"/>
    <x v="9"/>
    <x v="17"/>
    <s v="SE1_OTHER"/>
    <x v="10"/>
    <x v="2"/>
    <s v="GBPR_WOODWASTE"/>
    <x v="0"/>
    <x v="2"/>
    <n v="28.099124343257401"/>
    <n v="10256.180385289001"/>
    <n v="36922.249387040298"/>
  </r>
  <r>
    <x v="0"/>
    <x v="0"/>
    <x v="0"/>
    <x v="9"/>
    <x v="17"/>
    <s v="SE1_OTHER"/>
    <x v="10"/>
    <x v="2"/>
    <s v="GBPR_WOODWASTE"/>
    <x v="0"/>
    <x v="3"/>
    <n v="28.099124343257401"/>
    <n v="10256.180385289001"/>
    <n v="36922.249387040298"/>
  </r>
  <r>
    <x v="0"/>
    <x v="0"/>
    <x v="0"/>
    <x v="9"/>
    <x v="17"/>
    <s v="SE1_OTHER"/>
    <x v="10"/>
    <x v="2"/>
    <s v="GBPR_WOODWASTE"/>
    <x v="0"/>
    <x v="4"/>
    <n v="28.099124343257401"/>
    <n v="10256.180385289001"/>
    <n v="36922.249387040298"/>
  </r>
  <r>
    <x v="0"/>
    <x v="0"/>
    <x v="0"/>
    <x v="9"/>
    <x v="17"/>
    <s v="SE1_OTHER"/>
    <x v="10"/>
    <x v="2"/>
    <s v="GBPR_WOODWASTE"/>
    <x v="0"/>
    <x v="5"/>
    <n v="28.099124343257401"/>
    <n v="10256.180385289001"/>
    <n v="36922.249387040298"/>
  </r>
  <r>
    <x v="0"/>
    <x v="0"/>
    <x v="0"/>
    <x v="9"/>
    <x v="17"/>
    <s v="SE1_OTHER"/>
    <x v="10"/>
    <x v="2"/>
    <s v="GBPR_WOODWASTE"/>
    <x v="0"/>
    <x v="6"/>
    <n v="28.099124343257401"/>
    <n v="10256.180385289001"/>
    <n v="36922.249387040298"/>
  </r>
  <r>
    <x v="0"/>
    <x v="0"/>
    <x v="0"/>
    <x v="9"/>
    <x v="17"/>
    <s v="SE1_OTHER"/>
    <x v="10"/>
    <x v="2"/>
    <s v="GBPR_WOODWASTE"/>
    <x v="0"/>
    <x v="7"/>
    <n v="28.099124343257401"/>
    <n v="10256.180385289001"/>
    <n v="36922.249387040298"/>
  </r>
  <r>
    <x v="0"/>
    <x v="0"/>
    <x v="0"/>
    <x v="9"/>
    <x v="17"/>
    <s v="SE1_OTHER"/>
    <x v="10"/>
    <x v="2"/>
    <s v="GBPR_WOODWASTE"/>
    <x v="0"/>
    <x v="8"/>
    <n v="28.099124343257401"/>
    <n v="10256.180385289001"/>
    <n v="36922.249387040298"/>
  </r>
  <r>
    <x v="0"/>
    <x v="0"/>
    <x v="0"/>
    <x v="9"/>
    <x v="17"/>
    <s v="SE1_OTHER"/>
    <x v="10"/>
    <x v="2"/>
    <s v="GBPR_WOODWASTE"/>
    <x v="0"/>
    <x v="9"/>
    <n v="28.099124343257401"/>
    <n v="10256.180385289001"/>
    <n v="36922.249387040298"/>
  </r>
  <r>
    <x v="0"/>
    <x v="0"/>
    <x v="0"/>
    <x v="9"/>
    <x v="17"/>
    <s v="SE1_OTHER"/>
    <x v="10"/>
    <x v="2"/>
    <s v="GBPR_WOODWASTE"/>
    <x v="0"/>
    <x v="10"/>
    <n v="28.099124343257401"/>
    <n v="10256.180385289001"/>
    <n v="36922.249387040298"/>
  </r>
  <r>
    <x v="0"/>
    <x v="0"/>
    <x v="0"/>
    <x v="9"/>
    <x v="17"/>
    <s v="SE1_OTHER"/>
    <x v="10"/>
    <x v="2"/>
    <s v="GBPR_WOODWASTE"/>
    <x v="0"/>
    <x v="11"/>
    <n v="28.099124343257401"/>
    <n v="10256.180385289001"/>
    <n v="36922.249387040298"/>
  </r>
  <r>
    <x v="0"/>
    <x v="0"/>
    <x v="0"/>
    <x v="9"/>
    <x v="17"/>
    <s v="SE1_OTHER"/>
    <x v="10"/>
    <x v="2"/>
    <s v="GBPR_WOODWASTE"/>
    <x v="0"/>
    <x v="12"/>
    <n v="28.099124343257401"/>
    <n v="10256.180385289001"/>
    <n v="36922.249387040298"/>
  </r>
  <r>
    <x v="0"/>
    <x v="0"/>
    <x v="0"/>
    <x v="9"/>
    <x v="17"/>
    <s v="SE1_OTHER"/>
    <x v="10"/>
    <x v="2"/>
    <s v="GBPR_WOODWASTE"/>
    <x v="0"/>
    <x v="13"/>
    <n v="28.099124343257401"/>
    <n v="10256.180385289001"/>
    <n v="36922.249387040298"/>
  </r>
  <r>
    <x v="0"/>
    <x v="0"/>
    <x v="0"/>
    <x v="9"/>
    <x v="17"/>
    <s v="SE1_OTHER"/>
    <x v="10"/>
    <x v="2"/>
    <s v="GBPR_WOODWASTE"/>
    <x v="0"/>
    <x v="14"/>
    <n v="28.099124343257401"/>
    <n v="10256.180385289001"/>
    <n v="36922.249387040298"/>
  </r>
  <r>
    <x v="0"/>
    <x v="0"/>
    <x v="0"/>
    <x v="9"/>
    <x v="17"/>
    <s v="SE1_OTHER"/>
    <x v="10"/>
    <x v="2"/>
    <s v="GBPR_WOODWASTE"/>
    <x v="0"/>
    <x v="15"/>
    <n v="28.099124343257401"/>
    <n v="10256.180385289001"/>
    <n v="36922.249387040298"/>
  </r>
  <r>
    <x v="0"/>
    <x v="0"/>
    <x v="0"/>
    <x v="9"/>
    <x v="17"/>
    <s v="SE1_OTHER"/>
    <x v="10"/>
    <x v="2"/>
    <s v="GBPR_WOODWASTE"/>
    <x v="0"/>
    <x v="16"/>
    <n v="28.099124343257401"/>
    <n v="10256.180385289001"/>
    <n v="36922.249387040298"/>
  </r>
  <r>
    <x v="0"/>
    <x v="0"/>
    <x v="0"/>
    <x v="9"/>
    <x v="17"/>
    <s v="SE1_OTHER"/>
    <x v="10"/>
    <x v="2"/>
    <s v="GBPR_WOODWASTE"/>
    <x v="0"/>
    <x v="17"/>
    <n v="28.099124343257401"/>
    <n v="10256.180385289001"/>
    <n v="36922.249387040298"/>
  </r>
  <r>
    <x v="0"/>
    <x v="0"/>
    <x v="0"/>
    <x v="9"/>
    <x v="17"/>
    <s v="SE1_OTHER"/>
    <x v="10"/>
    <x v="2"/>
    <s v="GBPR_WOODWASTE"/>
    <x v="0"/>
    <x v="19"/>
    <n v="28.099124343257401"/>
    <n v="10256.180385289001"/>
    <n v="36922.249387040298"/>
  </r>
  <r>
    <x v="0"/>
    <x v="0"/>
    <x v="0"/>
    <x v="9"/>
    <x v="17"/>
    <s v="SE1_OTHER"/>
    <x v="10"/>
    <x v="2"/>
    <s v="GBPR_WOODWASTE"/>
    <x v="0"/>
    <x v="20"/>
    <n v="28.099124343257401"/>
    <n v="10256.180385289001"/>
    <n v="36922.249387040298"/>
  </r>
  <r>
    <x v="0"/>
    <x v="0"/>
    <x v="0"/>
    <x v="9"/>
    <x v="17"/>
    <s v="SE1_OTHER"/>
    <x v="10"/>
    <x v="2"/>
    <s v="GBPR_WOODWASTE"/>
    <x v="0"/>
    <x v="21"/>
    <n v="28.099124343257401"/>
    <n v="10256.180385289001"/>
    <n v="36922.249387040298"/>
  </r>
  <r>
    <x v="0"/>
    <x v="0"/>
    <x v="0"/>
    <x v="9"/>
    <x v="17"/>
    <s v="SE1_OTHER"/>
    <x v="10"/>
    <x v="2"/>
    <s v="GBPR_WOODWASTE"/>
    <x v="0"/>
    <x v="22"/>
    <n v="28.099124343257401"/>
    <n v="10256.180385289001"/>
    <n v="36922.249387040298"/>
  </r>
  <r>
    <x v="0"/>
    <x v="0"/>
    <x v="0"/>
    <x v="9"/>
    <x v="17"/>
    <s v="SE1_OTHER"/>
    <x v="10"/>
    <x v="2"/>
    <s v="GBPR_WOODWASTE"/>
    <x v="0"/>
    <x v="23"/>
    <n v="28.099124343257401"/>
    <n v="10256.180385289001"/>
    <n v="36922.249387040298"/>
  </r>
  <r>
    <x v="0"/>
    <x v="0"/>
    <x v="0"/>
    <x v="9"/>
    <x v="18"/>
    <s v="SE2A"/>
    <x v="6"/>
    <x v="7"/>
    <s v="GNR_RES_WTR_NOPMP_MC-01"/>
    <x v="0"/>
    <x v="0"/>
    <n v="407.485221835787"/>
    <n v="148732.105970062"/>
    <n v="535435.58149222401"/>
  </r>
  <r>
    <x v="0"/>
    <x v="0"/>
    <x v="0"/>
    <x v="9"/>
    <x v="18"/>
    <s v="SE2A"/>
    <x v="6"/>
    <x v="7"/>
    <s v="GNR_RES_WTR_NOPMP_MC-01"/>
    <x v="0"/>
    <x v="1"/>
    <n v="407.485221835787"/>
    <n v="148732.105970062"/>
    <n v="535435.58149222401"/>
  </r>
  <r>
    <x v="0"/>
    <x v="0"/>
    <x v="0"/>
    <x v="9"/>
    <x v="18"/>
    <s v="SE2A"/>
    <x v="6"/>
    <x v="7"/>
    <s v="GNR_RES_WTR_NOPMP_MC-01"/>
    <x v="0"/>
    <x v="18"/>
    <n v="407.485221835787"/>
    <n v="148732.105970062"/>
    <n v="535435.58149222401"/>
  </r>
  <r>
    <x v="0"/>
    <x v="0"/>
    <x v="0"/>
    <x v="9"/>
    <x v="18"/>
    <s v="SE2A"/>
    <x v="6"/>
    <x v="7"/>
    <s v="GNR_RES_WTR_NOPMP_MC-01"/>
    <x v="0"/>
    <x v="2"/>
    <n v="407.485221835787"/>
    <n v="148732.105970062"/>
    <n v="535435.58149222401"/>
  </r>
  <r>
    <x v="0"/>
    <x v="0"/>
    <x v="0"/>
    <x v="9"/>
    <x v="18"/>
    <s v="SE2A"/>
    <x v="6"/>
    <x v="7"/>
    <s v="GNR_RES_WTR_NOPMP_MC-01"/>
    <x v="0"/>
    <x v="3"/>
    <n v="407.485221835787"/>
    <n v="148732.105970062"/>
    <n v="535435.58149222401"/>
  </r>
  <r>
    <x v="0"/>
    <x v="0"/>
    <x v="0"/>
    <x v="9"/>
    <x v="18"/>
    <s v="SE2A"/>
    <x v="6"/>
    <x v="7"/>
    <s v="GNR_RES_WTR_NOPMP_MC-01"/>
    <x v="0"/>
    <x v="4"/>
    <n v="407.485221835787"/>
    <n v="148732.105970062"/>
    <n v="535435.58149222401"/>
  </r>
  <r>
    <x v="0"/>
    <x v="0"/>
    <x v="0"/>
    <x v="9"/>
    <x v="18"/>
    <s v="SE2A"/>
    <x v="6"/>
    <x v="7"/>
    <s v="GNR_RES_WTR_NOPMP_MC-01"/>
    <x v="0"/>
    <x v="5"/>
    <n v="407.485221835787"/>
    <n v="148732.105970062"/>
    <n v="535435.58149222401"/>
  </r>
  <r>
    <x v="0"/>
    <x v="0"/>
    <x v="0"/>
    <x v="9"/>
    <x v="18"/>
    <s v="SE2A"/>
    <x v="6"/>
    <x v="7"/>
    <s v="GNR_RES_WTR_NOPMP_MC-01"/>
    <x v="0"/>
    <x v="6"/>
    <n v="407.485221835787"/>
    <n v="148732.105970062"/>
    <n v="535435.58149222401"/>
  </r>
  <r>
    <x v="0"/>
    <x v="0"/>
    <x v="0"/>
    <x v="9"/>
    <x v="18"/>
    <s v="SE2A"/>
    <x v="6"/>
    <x v="7"/>
    <s v="GNR_RES_WTR_NOPMP_MC-01"/>
    <x v="0"/>
    <x v="7"/>
    <n v="407.485221835787"/>
    <n v="148732.105970062"/>
    <n v="535435.58149222401"/>
  </r>
  <r>
    <x v="0"/>
    <x v="0"/>
    <x v="0"/>
    <x v="9"/>
    <x v="18"/>
    <s v="SE2A"/>
    <x v="6"/>
    <x v="7"/>
    <s v="GNR_RES_WTR_NOPMP_MC-01"/>
    <x v="0"/>
    <x v="8"/>
    <n v="407.485221835787"/>
    <n v="148732.105970062"/>
    <n v="535435.58149222401"/>
  </r>
  <r>
    <x v="0"/>
    <x v="0"/>
    <x v="0"/>
    <x v="9"/>
    <x v="18"/>
    <s v="SE2A"/>
    <x v="6"/>
    <x v="7"/>
    <s v="GNR_RES_WTR_NOPMP_MC-01"/>
    <x v="0"/>
    <x v="9"/>
    <n v="407.485221835787"/>
    <n v="148732.105970062"/>
    <n v="535435.58149222401"/>
  </r>
  <r>
    <x v="0"/>
    <x v="0"/>
    <x v="0"/>
    <x v="9"/>
    <x v="18"/>
    <s v="SE2A"/>
    <x v="6"/>
    <x v="7"/>
    <s v="GNR_RES_WTR_NOPMP_MC-01"/>
    <x v="0"/>
    <x v="10"/>
    <n v="407.485221835787"/>
    <n v="148732.105970062"/>
    <n v="535435.58149222401"/>
  </r>
  <r>
    <x v="0"/>
    <x v="0"/>
    <x v="0"/>
    <x v="9"/>
    <x v="18"/>
    <s v="SE2A"/>
    <x v="6"/>
    <x v="7"/>
    <s v="GNR_RES_WTR_NOPMP_MC-01"/>
    <x v="0"/>
    <x v="11"/>
    <n v="407.485221835787"/>
    <n v="148732.105970062"/>
    <n v="535435.58149222401"/>
  </r>
  <r>
    <x v="0"/>
    <x v="0"/>
    <x v="0"/>
    <x v="9"/>
    <x v="18"/>
    <s v="SE2A"/>
    <x v="6"/>
    <x v="7"/>
    <s v="GNR_RES_WTR_NOPMP_MC-01"/>
    <x v="0"/>
    <x v="12"/>
    <n v="407.485221835787"/>
    <n v="148732.105970062"/>
    <n v="535435.58149222401"/>
  </r>
  <r>
    <x v="0"/>
    <x v="0"/>
    <x v="0"/>
    <x v="9"/>
    <x v="18"/>
    <s v="SE2A"/>
    <x v="6"/>
    <x v="7"/>
    <s v="GNR_RES_WTR_NOPMP_MC-01"/>
    <x v="0"/>
    <x v="13"/>
    <n v="407.485221835787"/>
    <n v="148732.105970062"/>
    <n v="535435.58149222401"/>
  </r>
  <r>
    <x v="0"/>
    <x v="0"/>
    <x v="0"/>
    <x v="9"/>
    <x v="18"/>
    <s v="SE2A"/>
    <x v="6"/>
    <x v="7"/>
    <s v="GNR_RES_WTR_NOPMP_MC-01"/>
    <x v="0"/>
    <x v="14"/>
    <n v="407.485221835787"/>
    <n v="148732.105970062"/>
    <n v="535435.58149222401"/>
  </r>
  <r>
    <x v="0"/>
    <x v="0"/>
    <x v="0"/>
    <x v="9"/>
    <x v="18"/>
    <s v="SE2A"/>
    <x v="6"/>
    <x v="7"/>
    <s v="GNR_RES_WTR_NOPMP_MC-01"/>
    <x v="0"/>
    <x v="15"/>
    <n v="407.485221835787"/>
    <n v="148732.105970062"/>
    <n v="535435.58149222401"/>
  </r>
  <r>
    <x v="0"/>
    <x v="0"/>
    <x v="0"/>
    <x v="9"/>
    <x v="18"/>
    <s v="SE2A"/>
    <x v="6"/>
    <x v="7"/>
    <s v="GNR_RES_WTR_NOPMP_MC-01"/>
    <x v="0"/>
    <x v="16"/>
    <n v="407.485221835787"/>
    <n v="148732.105970062"/>
    <n v="535435.58149222401"/>
  </r>
  <r>
    <x v="0"/>
    <x v="0"/>
    <x v="0"/>
    <x v="9"/>
    <x v="18"/>
    <s v="SE2A"/>
    <x v="6"/>
    <x v="7"/>
    <s v="GNR_RES_WTR_NOPMP_MC-01"/>
    <x v="0"/>
    <x v="17"/>
    <n v="407.485221835787"/>
    <n v="148732.105970062"/>
    <n v="535435.58149222401"/>
  </r>
  <r>
    <x v="0"/>
    <x v="0"/>
    <x v="0"/>
    <x v="9"/>
    <x v="18"/>
    <s v="SE2A"/>
    <x v="6"/>
    <x v="7"/>
    <s v="GNR_RES_WTR_NOPMP_MC-01"/>
    <x v="0"/>
    <x v="19"/>
    <n v="407.485221835787"/>
    <n v="148732.105970062"/>
    <n v="535435.58149222401"/>
  </r>
  <r>
    <x v="0"/>
    <x v="0"/>
    <x v="0"/>
    <x v="9"/>
    <x v="18"/>
    <s v="SE2A"/>
    <x v="6"/>
    <x v="7"/>
    <s v="GNR_RES_WTR_NOPMP_MC-01"/>
    <x v="0"/>
    <x v="20"/>
    <n v="407.485221835787"/>
    <n v="148732.105970062"/>
    <n v="535435.58149222401"/>
  </r>
  <r>
    <x v="0"/>
    <x v="0"/>
    <x v="0"/>
    <x v="9"/>
    <x v="18"/>
    <s v="SE2A"/>
    <x v="6"/>
    <x v="7"/>
    <s v="GNR_RES_WTR_NOPMP_MC-01"/>
    <x v="0"/>
    <x v="21"/>
    <n v="407.485221835787"/>
    <n v="148732.105970062"/>
    <n v="535435.58149222401"/>
  </r>
  <r>
    <x v="0"/>
    <x v="0"/>
    <x v="0"/>
    <x v="9"/>
    <x v="18"/>
    <s v="SE2A"/>
    <x v="6"/>
    <x v="7"/>
    <s v="GNR_RES_WTR_NOPMP_MC-01"/>
    <x v="0"/>
    <x v="22"/>
    <n v="407.485221835787"/>
    <n v="148732.105970062"/>
    <n v="535435.58149222401"/>
  </r>
  <r>
    <x v="0"/>
    <x v="0"/>
    <x v="0"/>
    <x v="9"/>
    <x v="18"/>
    <s v="SE2A"/>
    <x v="6"/>
    <x v="7"/>
    <s v="GNR_RES_WTR_NOPMP_MC-01"/>
    <x v="0"/>
    <x v="23"/>
    <n v="407.485221835787"/>
    <n v="148732.105970062"/>
    <n v="535435.58149222401"/>
  </r>
  <r>
    <x v="0"/>
    <x v="0"/>
    <x v="0"/>
    <x v="9"/>
    <x v="18"/>
    <s v="SE2A"/>
    <x v="6"/>
    <x v="7"/>
    <s v="GNR_RES_WTR_NOPMP_MC-02"/>
    <x v="0"/>
    <x v="0"/>
    <n v="515.485221835787"/>
    <n v="188152.105970062"/>
    <n v="677347.58149222401"/>
  </r>
  <r>
    <x v="0"/>
    <x v="0"/>
    <x v="0"/>
    <x v="9"/>
    <x v="18"/>
    <s v="SE2A"/>
    <x v="6"/>
    <x v="7"/>
    <s v="GNR_RES_WTR_NOPMP_MC-02"/>
    <x v="0"/>
    <x v="1"/>
    <n v="515.485221835787"/>
    <n v="188152.105970062"/>
    <n v="677347.58149222401"/>
  </r>
  <r>
    <x v="0"/>
    <x v="0"/>
    <x v="0"/>
    <x v="9"/>
    <x v="18"/>
    <s v="SE2A"/>
    <x v="6"/>
    <x v="7"/>
    <s v="GNR_RES_WTR_NOPMP_MC-02"/>
    <x v="0"/>
    <x v="18"/>
    <n v="515.485221835787"/>
    <n v="188152.105970062"/>
    <n v="677347.58149222401"/>
  </r>
  <r>
    <x v="0"/>
    <x v="0"/>
    <x v="0"/>
    <x v="9"/>
    <x v="18"/>
    <s v="SE2A"/>
    <x v="6"/>
    <x v="7"/>
    <s v="GNR_RES_WTR_NOPMP_MC-02"/>
    <x v="0"/>
    <x v="2"/>
    <n v="515.485221835787"/>
    <n v="188152.105970062"/>
    <n v="677347.58149222401"/>
  </r>
  <r>
    <x v="0"/>
    <x v="0"/>
    <x v="0"/>
    <x v="9"/>
    <x v="18"/>
    <s v="SE2A"/>
    <x v="6"/>
    <x v="7"/>
    <s v="GNR_RES_WTR_NOPMP_MC-02"/>
    <x v="0"/>
    <x v="3"/>
    <n v="515.485221835787"/>
    <n v="188152.105970062"/>
    <n v="677347.58149222401"/>
  </r>
  <r>
    <x v="0"/>
    <x v="0"/>
    <x v="0"/>
    <x v="9"/>
    <x v="18"/>
    <s v="SE2A"/>
    <x v="6"/>
    <x v="7"/>
    <s v="GNR_RES_WTR_NOPMP_MC-02"/>
    <x v="0"/>
    <x v="4"/>
    <n v="515.485221835787"/>
    <n v="188152.105970062"/>
    <n v="677347.58149222401"/>
  </r>
  <r>
    <x v="0"/>
    <x v="0"/>
    <x v="0"/>
    <x v="9"/>
    <x v="18"/>
    <s v="SE2A"/>
    <x v="6"/>
    <x v="7"/>
    <s v="GNR_RES_WTR_NOPMP_MC-02"/>
    <x v="0"/>
    <x v="5"/>
    <n v="515.485221835787"/>
    <n v="188152.105970062"/>
    <n v="677347.58149222401"/>
  </r>
  <r>
    <x v="0"/>
    <x v="0"/>
    <x v="0"/>
    <x v="9"/>
    <x v="18"/>
    <s v="SE2A"/>
    <x v="6"/>
    <x v="7"/>
    <s v="GNR_RES_WTR_NOPMP_MC-02"/>
    <x v="0"/>
    <x v="6"/>
    <n v="515.485221835787"/>
    <n v="188152.105970062"/>
    <n v="677347.58149222401"/>
  </r>
  <r>
    <x v="0"/>
    <x v="0"/>
    <x v="0"/>
    <x v="9"/>
    <x v="18"/>
    <s v="SE2A"/>
    <x v="6"/>
    <x v="7"/>
    <s v="GNR_RES_WTR_NOPMP_MC-02"/>
    <x v="0"/>
    <x v="7"/>
    <n v="515.485221835787"/>
    <n v="188152.105970062"/>
    <n v="677347.58149222401"/>
  </r>
  <r>
    <x v="0"/>
    <x v="0"/>
    <x v="0"/>
    <x v="9"/>
    <x v="18"/>
    <s v="SE2A"/>
    <x v="6"/>
    <x v="7"/>
    <s v="GNR_RES_WTR_NOPMP_MC-02"/>
    <x v="0"/>
    <x v="8"/>
    <n v="515.485221835787"/>
    <n v="188152.105970062"/>
    <n v="677347.58149222401"/>
  </r>
  <r>
    <x v="0"/>
    <x v="0"/>
    <x v="0"/>
    <x v="9"/>
    <x v="18"/>
    <s v="SE2A"/>
    <x v="6"/>
    <x v="7"/>
    <s v="GNR_RES_WTR_NOPMP_MC-02"/>
    <x v="0"/>
    <x v="9"/>
    <n v="515.485221835787"/>
    <n v="188152.105970062"/>
    <n v="677347.58149222401"/>
  </r>
  <r>
    <x v="0"/>
    <x v="0"/>
    <x v="0"/>
    <x v="9"/>
    <x v="18"/>
    <s v="SE2A"/>
    <x v="6"/>
    <x v="7"/>
    <s v="GNR_RES_WTR_NOPMP_MC-02"/>
    <x v="0"/>
    <x v="10"/>
    <n v="515.485221835787"/>
    <n v="188152.105970062"/>
    <n v="677347.58149222401"/>
  </r>
  <r>
    <x v="0"/>
    <x v="0"/>
    <x v="0"/>
    <x v="9"/>
    <x v="18"/>
    <s v="SE2A"/>
    <x v="6"/>
    <x v="7"/>
    <s v="GNR_RES_WTR_NOPMP_MC-02"/>
    <x v="0"/>
    <x v="11"/>
    <n v="515.485221835787"/>
    <n v="188152.105970062"/>
    <n v="677347.58149222401"/>
  </r>
  <r>
    <x v="0"/>
    <x v="0"/>
    <x v="0"/>
    <x v="9"/>
    <x v="18"/>
    <s v="SE2A"/>
    <x v="6"/>
    <x v="7"/>
    <s v="GNR_RES_WTR_NOPMP_MC-02"/>
    <x v="0"/>
    <x v="12"/>
    <n v="515.485221835787"/>
    <n v="188152.105970062"/>
    <n v="677347.58149222401"/>
  </r>
  <r>
    <x v="0"/>
    <x v="0"/>
    <x v="0"/>
    <x v="9"/>
    <x v="18"/>
    <s v="SE2A"/>
    <x v="6"/>
    <x v="7"/>
    <s v="GNR_RES_WTR_NOPMP_MC-02"/>
    <x v="0"/>
    <x v="13"/>
    <n v="515.485221835787"/>
    <n v="188152.105970062"/>
    <n v="677347.58149222401"/>
  </r>
  <r>
    <x v="0"/>
    <x v="0"/>
    <x v="0"/>
    <x v="9"/>
    <x v="18"/>
    <s v="SE2A"/>
    <x v="6"/>
    <x v="7"/>
    <s v="GNR_RES_WTR_NOPMP_MC-02"/>
    <x v="0"/>
    <x v="14"/>
    <n v="515.485221835787"/>
    <n v="188152.105970062"/>
    <n v="677347.58149222401"/>
  </r>
  <r>
    <x v="0"/>
    <x v="0"/>
    <x v="0"/>
    <x v="9"/>
    <x v="18"/>
    <s v="SE2A"/>
    <x v="6"/>
    <x v="7"/>
    <s v="GNR_RES_WTR_NOPMP_MC-02"/>
    <x v="0"/>
    <x v="15"/>
    <n v="515.485221835787"/>
    <n v="188152.105970062"/>
    <n v="677347.58149222401"/>
  </r>
  <r>
    <x v="0"/>
    <x v="0"/>
    <x v="0"/>
    <x v="9"/>
    <x v="18"/>
    <s v="SE2A"/>
    <x v="6"/>
    <x v="7"/>
    <s v="GNR_RES_WTR_NOPMP_MC-02"/>
    <x v="0"/>
    <x v="16"/>
    <n v="515.485221835787"/>
    <n v="188152.105970062"/>
    <n v="677347.58149222401"/>
  </r>
  <r>
    <x v="0"/>
    <x v="0"/>
    <x v="0"/>
    <x v="9"/>
    <x v="18"/>
    <s v="SE2A"/>
    <x v="6"/>
    <x v="7"/>
    <s v="GNR_RES_WTR_NOPMP_MC-02"/>
    <x v="0"/>
    <x v="17"/>
    <n v="515.485221835787"/>
    <n v="188152.105970062"/>
    <n v="677347.58149222401"/>
  </r>
  <r>
    <x v="0"/>
    <x v="0"/>
    <x v="0"/>
    <x v="9"/>
    <x v="18"/>
    <s v="SE2A"/>
    <x v="6"/>
    <x v="7"/>
    <s v="GNR_RES_WTR_NOPMP_MC-02"/>
    <x v="0"/>
    <x v="19"/>
    <n v="515.485221835787"/>
    <n v="188152.105970062"/>
    <n v="677347.58149222401"/>
  </r>
  <r>
    <x v="0"/>
    <x v="0"/>
    <x v="0"/>
    <x v="9"/>
    <x v="18"/>
    <s v="SE2A"/>
    <x v="6"/>
    <x v="7"/>
    <s v="GNR_RES_WTR_NOPMP_MC-02"/>
    <x v="0"/>
    <x v="20"/>
    <n v="515.485221835787"/>
    <n v="188152.105970062"/>
    <n v="677347.58149222401"/>
  </r>
  <r>
    <x v="0"/>
    <x v="0"/>
    <x v="0"/>
    <x v="9"/>
    <x v="18"/>
    <s v="SE2A"/>
    <x v="6"/>
    <x v="7"/>
    <s v="GNR_RES_WTR_NOPMP_MC-02"/>
    <x v="0"/>
    <x v="21"/>
    <n v="515.485221835787"/>
    <n v="188152.105970062"/>
    <n v="677347.58149222401"/>
  </r>
  <r>
    <x v="0"/>
    <x v="0"/>
    <x v="0"/>
    <x v="9"/>
    <x v="18"/>
    <s v="SE2A"/>
    <x v="6"/>
    <x v="7"/>
    <s v="GNR_RES_WTR_NOPMP_MC-02"/>
    <x v="0"/>
    <x v="22"/>
    <n v="515.485221835787"/>
    <n v="188152.105970062"/>
    <n v="677347.58149222401"/>
  </r>
  <r>
    <x v="0"/>
    <x v="0"/>
    <x v="0"/>
    <x v="9"/>
    <x v="18"/>
    <s v="SE2A"/>
    <x v="6"/>
    <x v="7"/>
    <s v="GNR_RES_WTR_NOPMP_MC-02"/>
    <x v="0"/>
    <x v="23"/>
    <n v="515.485221835787"/>
    <n v="188152.105970062"/>
    <n v="677347.58149222401"/>
  </r>
  <r>
    <x v="0"/>
    <x v="0"/>
    <x v="0"/>
    <x v="9"/>
    <x v="18"/>
    <s v="SE2A"/>
    <x v="6"/>
    <x v="7"/>
    <s v="GNR_RES_WTR_NOPMP_MC-03"/>
    <x v="0"/>
    <x v="0"/>
    <n v="515.485221835787"/>
    <n v="188152.105970062"/>
    <n v="677347.58149222401"/>
  </r>
  <r>
    <x v="0"/>
    <x v="0"/>
    <x v="0"/>
    <x v="9"/>
    <x v="18"/>
    <s v="SE2A"/>
    <x v="6"/>
    <x v="7"/>
    <s v="GNR_RES_WTR_NOPMP_MC-03"/>
    <x v="0"/>
    <x v="1"/>
    <n v="515.485221835787"/>
    <n v="188152.105970062"/>
    <n v="677347.58149222401"/>
  </r>
  <r>
    <x v="0"/>
    <x v="0"/>
    <x v="0"/>
    <x v="9"/>
    <x v="18"/>
    <s v="SE2A"/>
    <x v="6"/>
    <x v="7"/>
    <s v="GNR_RES_WTR_NOPMP_MC-03"/>
    <x v="0"/>
    <x v="18"/>
    <n v="515.485221835787"/>
    <n v="188152.105970062"/>
    <n v="677347.58149222401"/>
  </r>
  <r>
    <x v="0"/>
    <x v="0"/>
    <x v="0"/>
    <x v="9"/>
    <x v="18"/>
    <s v="SE2A"/>
    <x v="6"/>
    <x v="7"/>
    <s v="GNR_RES_WTR_NOPMP_MC-03"/>
    <x v="0"/>
    <x v="2"/>
    <n v="515.485221835787"/>
    <n v="188152.105970062"/>
    <n v="677347.58149222401"/>
  </r>
  <r>
    <x v="0"/>
    <x v="0"/>
    <x v="0"/>
    <x v="9"/>
    <x v="18"/>
    <s v="SE2A"/>
    <x v="6"/>
    <x v="7"/>
    <s v="GNR_RES_WTR_NOPMP_MC-03"/>
    <x v="0"/>
    <x v="3"/>
    <n v="515.485221835787"/>
    <n v="188152.105970062"/>
    <n v="677347.58149222401"/>
  </r>
  <r>
    <x v="0"/>
    <x v="0"/>
    <x v="0"/>
    <x v="9"/>
    <x v="18"/>
    <s v="SE2A"/>
    <x v="6"/>
    <x v="7"/>
    <s v="GNR_RES_WTR_NOPMP_MC-03"/>
    <x v="0"/>
    <x v="4"/>
    <n v="515.485221835787"/>
    <n v="188152.105970062"/>
    <n v="677347.58149222401"/>
  </r>
  <r>
    <x v="0"/>
    <x v="0"/>
    <x v="0"/>
    <x v="9"/>
    <x v="18"/>
    <s v="SE2A"/>
    <x v="6"/>
    <x v="7"/>
    <s v="GNR_RES_WTR_NOPMP_MC-03"/>
    <x v="0"/>
    <x v="5"/>
    <n v="515.485221835787"/>
    <n v="188152.105970062"/>
    <n v="677347.58149222401"/>
  </r>
  <r>
    <x v="0"/>
    <x v="0"/>
    <x v="0"/>
    <x v="9"/>
    <x v="18"/>
    <s v="SE2A"/>
    <x v="6"/>
    <x v="7"/>
    <s v="GNR_RES_WTR_NOPMP_MC-03"/>
    <x v="0"/>
    <x v="6"/>
    <n v="515.485221835787"/>
    <n v="188152.105970062"/>
    <n v="677347.58149222401"/>
  </r>
  <r>
    <x v="0"/>
    <x v="0"/>
    <x v="0"/>
    <x v="9"/>
    <x v="18"/>
    <s v="SE2A"/>
    <x v="6"/>
    <x v="7"/>
    <s v="GNR_RES_WTR_NOPMP_MC-03"/>
    <x v="0"/>
    <x v="7"/>
    <n v="515.485221835787"/>
    <n v="188152.105970062"/>
    <n v="677347.58149222401"/>
  </r>
  <r>
    <x v="0"/>
    <x v="0"/>
    <x v="0"/>
    <x v="9"/>
    <x v="18"/>
    <s v="SE2A"/>
    <x v="6"/>
    <x v="7"/>
    <s v="GNR_RES_WTR_NOPMP_MC-03"/>
    <x v="0"/>
    <x v="8"/>
    <n v="515.485221835787"/>
    <n v="188152.105970062"/>
    <n v="677347.58149222401"/>
  </r>
  <r>
    <x v="0"/>
    <x v="0"/>
    <x v="0"/>
    <x v="9"/>
    <x v="18"/>
    <s v="SE2A"/>
    <x v="6"/>
    <x v="7"/>
    <s v="GNR_RES_WTR_NOPMP_MC-03"/>
    <x v="0"/>
    <x v="9"/>
    <n v="515.485221835787"/>
    <n v="188152.105970062"/>
    <n v="677347.58149222401"/>
  </r>
  <r>
    <x v="0"/>
    <x v="0"/>
    <x v="0"/>
    <x v="9"/>
    <x v="18"/>
    <s v="SE2A"/>
    <x v="6"/>
    <x v="7"/>
    <s v="GNR_RES_WTR_NOPMP_MC-03"/>
    <x v="0"/>
    <x v="10"/>
    <n v="515.485221835787"/>
    <n v="188152.105970062"/>
    <n v="677347.58149222401"/>
  </r>
  <r>
    <x v="0"/>
    <x v="0"/>
    <x v="0"/>
    <x v="9"/>
    <x v="18"/>
    <s v="SE2A"/>
    <x v="6"/>
    <x v="7"/>
    <s v="GNR_RES_WTR_NOPMP_MC-03"/>
    <x v="0"/>
    <x v="11"/>
    <n v="515.485221835787"/>
    <n v="188152.105970062"/>
    <n v="677347.58149222401"/>
  </r>
  <r>
    <x v="0"/>
    <x v="0"/>
    <x v="0"/>
    <x v="9"/>
    <x v="18"/>
    <s v="SE2A"/>
    <x v="6"/>
    <x v="7"/>
    <s v="GNR_RES_WTR_NOPMP_MC-03"/>
    <x v="0"/>
    <x v="12"/>
    <n v="515.485221835787"/>
    <n v="188152.105970062"/>
    <n v="677347.58149222401"/>
  </r>
  <r>
    <x v="0"/>
    <x v="0"/>
    <x v="0"/>
    <x v="9"/>
    <x v="18"/>
    <s v="SE2A"/>
    <x v="6"/>
    <x v="7"/>
    <s v="GNR_RES_WTR_NOPMP_MC-03"/>
    <x v="0"/>
    <x v="13"/>
    <n v="515.485221835787"/>
    <n v="188152.105970062"/>
    <n v="677347.58149222401"/>
  </r>
  <r>
    <x v="0"/>
    <x v="0"/>
    <x v="0"/>
    <x v="9"/>
    <x v="18"/>
    <s v="SE2A"/>
    <x v="6"/>
    <x v="7"/>
    <s v="GNR_RES_WTR_NOPMP_MC-03"/>
    <x v="0"/>
    <x v="14"/>
    <n v="515.485221835787"/>
    <n v="188152.105970062"/>
    <n v="677347.58149222401"/>
  </r>
  <r>
    <x v="0"/>
    <x v="0"/>
    <x v="0"/>
    <x v="9"/>
    <x v="18"/>
    <s v="SE2A"/>
    <x v="6"/>
    <x v="7"/>
    <s v="GNR_RES_WTR_NOPMP_MC-03"/>
    <x v="0"/>
    <x v="15"/>
    <n v="515.485221835787"/>
    <n v="188152.105970062"/>
    <n v="677347.58149222401"/>
  </r>
  <r>
    <x v="0"/>
    <x v="0"/>
    <x v="0"/>
    <x v="9"/>
    <x v="18"/>
    <s v="SE2A"/>
    <x v="6"/>
    <x v="7"/>
    <s v="GNR_RES_WTR_NOPMP_MC-03"/>
    <x v="0"/>
    <x v="16"/>
    <n v="515.485221835787"/>
    <n v="188152.105970062"/>
    <n v="677347.58149222401"/>
  </r>
  <r>
    <x v="0"/>
    <x v="0"/>
    <x v="0"/>
    <x v="9"/>
    <x v="18"/>
    <s v="SE2A"/>
    <x v="6"/>
    <x v="7"/>
    <s v="GNR_RES_WTR_NOPMP_MC-03"/>
    <x v="0"/>
    <x v="17"/>
    <n v="515.485221835787"/>
    <n v="188152.105970062"/>
    <n v="677347.58149222401"/>
  </r>
  <r>
    <x v="0"/>
    <x v="0"/>
    <x v="0"/>
    <x v="9"/>
    <x v="18"/>
    <s v="SE2A"/>
    <x v="6"/>
    <x v="7"/>
    <s v="GNR_RES_WTR_NOPMP_MC-03"/>
    <x v="0"/>
    <x v="19"/>
    <n v="515.485221835787"/>
    <n v="188152.105970062"/>
    <n v="677347.58149222401"/>
  </r>
  <r>
    <x v="0"/>
    <x v="0"/>
    <x v="0"/>
    <x v="9"/>
    <x v="18"/>
    <s v="SE2A"/>
    <x v="6"/>
    <x v="7"/>
    <s v="GNR_RES_WTR_NOPMP_MC-03"/>
    <x v="0"/>
    <x v="20"/>
    <n v="515.485221835787"/>
    <n v="188152.105970062"/>
    <n v="677347.58149222401"/>
  </r>
  <r>
    <x v="0"/>
    <x v="0"/>
    <x v="0"/>
    <x v="9"/>
    <x v="18"/>
    <s v="SE2A"/>
    <x v="6"/>
    <x v="7"/>
    <s v="GNR_RES_WTR_NOPMP_MC-03"/>
    <x v="0"/>
    <x v="21"/>
    <n v="515.485221835787"/>
    <n v="188152.105970062"/>
    <n v="677347.58149222401"/>
  </r>
  <r>
    <x v="0"/>
    <x v="0"/>
    <x v="0"/>
    <x v="9"/>
    <x v="18"/>
    <s v="SE2A"/>
    <x v="6"/>
    <x v="7"/>
    <s v="GNR_RES_WTR_NOPMP_MC-03"/>
    <x v="0"/>
    <x v="22"/>
    <n v="515.485221835787"/>
    <n v="188152.105970062"/>
    <n v="677347.58149222401"/>
  </r>
  <r>
    <x v="0"/>
    <x v="0"/>
    <x v="0"/>
    <x v="9"/>
    <x v="18"/>
    <s v="SE2A"/>
    <x v="6"/>
    <x v="7"/>
    <s v="GNR_RES_WTR_NOPMP_MC-04"/>
    <x v="0"/>
    <x v="3"/>
    <n v="13.6864008863352"/>
    <n v="4995.5363235123295"/>
    <n v="17983.930764644399"/>
  </r>
  <r>
    <x v="0"/>
    <x v="0"/>
    <x v="0"/>
    <x v="9"/>
    <x v="18"/>
    <s v="SE2A"/>
    <x v="6"/>
    <x v="7"/>
    <s v="GNR_RES_WTR_NOPMP_MC-04"/>
    <x v="0"/>
    <x v="4"/>
    <n v="515.485221835787"/>
    <n v="188152.105970062"/>
    <n v="677347.58149222401"/>
  </r>
  <r>
    <x v="0"/>
    <x v="0"/>
    <x v="0"/>
    <x v="9"/>
    <x v="18"/>
    <s v="SE2A"/>
    <x v="6"/>
    <x v="7"/>
    <s v="GNR_RES_WTR_NOPMP_MC-04"/>
    <x v="0"/>
    <x v="5"/>
    <n v="515.485221835787"/>
    <n v="188152.105970062"/>
    <n v="677347.58149222401"/>
  </r>
  <r>
    <x v="0"/>
    <x v="0"/>
    <x v="0"/>
    <x v="9"/>
    <x v="18"/>
    <s v="SE2A"/>
    <x v="6"/>
    <x v="7"/>
    <s v="GNR_RES_WTR_NOPMP_MC-04"/>
    <x v="0"/>
    <x v="6"/>
    <n v="515.485221835787"/>
    <n v="188152.105970062"/>
    <n v="677347.58149222401"/>
  </r>
  <r>
    <x v="0"/>
    <x v="0"/>
    <x v="0"/>
    <x v="9"/>
    <x v="18"/>
    <s v="SE2A"/>
    <x v="6"/>
    <x v="7"/>
    <s v="GNR_RES_WTR_NOPMP_MC-04"/>
    <x v="0"/>
    <x v="7"/>
    <n v="515.485221835787"/>
    <n v="188152.105970062"/>
    <n v="677347.58149222401"/>
  </r>
  <r>
    <x v="0"/>
    <x v="0"/>
    <x v="0"/>
    <x v="9"/>
    <x v="18"/>
    <s v="SE2A"/>
    <x v="6"/>
    <x v="7"/>
    <s v="GNR_RES_WTR_NOPMP_MC-04"/>
    <x v="0"/>
    <x v="8"/>
    <n v="515.485221835787"/>
    <n v="188152.105970062"/>
    <n v="677347.58149222401"/>
  </r>
  <r>
    <x v="0"/>
    <x v="0"/>
    <x v="0"/>
    <x v="9"/>
    <x v="18"/>
    <s v="SE2A"/>
    <x v="6"/>
    <x v="7"/>
    <s v="GNR_RES_WTR_NOPMP_MC-04"/>
    <x v="0"/>
    <x v="9"/>
    <n v="515.485221835787"/>
    <n v="188152.105970062"/>
    <n v="677347.58149222401"/>
  </r>
  <r>
    <x v="0"/>
    <x v="0"/>
    <x v="0"/>
    <x v="9"/>
    <x v="18"/>
    <s v="SE2A"/>
    <x v="6"/>
    <x v="7"/>
    <s v="GNR_RES_WTR_NOPMP_MC-04"/>
    <x v="0"/>
    <x v="10"/>
    <n v="515.485221835787"/>
    <n v="188152.105970062"/>
    <n v="677347.58149222401"/>
  </r>
  <r>
    <x v="0"/>
    <x v="0"/>
    <x v="0"/>
    <x v="9"/>
    <x v="18"/>
    <s v="SE2A"/>
    <x v="6"/>
    <x v="7"/>
    <s v="GNR_RES_WTR_NOPMP_MC-04"/>
    <x v="0"/>
    <x v="11"/>
    <n v="515.485221835787"/>
    <n v="188152.105970062"/>
    <n v="677347.58149222401"/>
  </r>
  <r>
    <x v="0"/>
    <x v="0"/>
    <x v="0"/>
    <x v="9"/>
    <x v="18"/>
    <s v="SE2A"/>
    <x v="6"/>
    <x v="7"/>
    <s v="GNR_RES_WTR_NOPMP_MC-04"/>
    <x v="0"/>
    <x v="12"/>
    <n v="515.485221835787"/>
    <n v="188152.105970062"/>
    <n v="677347.58149222401"/>
  </r>
  <r>
    <x v="0"/>
    <x v="0"/>
    <x v="0"/>
    <x v="9"/>
    <x v="18"/>
    <s v="SE2A"/>
    <x v="6"/>
    <x v="7"/>
    <s v="GNR_RES_WTR_NOPMP_MC-04"/>
    <x v="0"/>
    <x v="13"/>
    <n v="515.485221835787"/>
    <n v="188152.105970062"/>
    <n v="677347.58149222401"/>
  </r>
  <r>
    <x v="0"/>
    <x v="0"/>
    <x v="0"/>
    <x v="9"/>
    <x v="18"/>
    <s v="SE2A"/>
    <x v="6"/>
    <x v="7"/>
    <s v="GNR_RES_WTR_NOPMP_MC-04"/>
    <x v="0"/>
    <x v="14"/>
    <n v="515.485221835787"/>
    <n v="188152.105970062"/>
    <n v="677347.58149222401"/>
  </r>
  <r>
    <x v="0"/>
    <x v="0"/>
    <x v="0"/>
    <x v="9"/>
    <x v="18"/>
    <s v="SE2A"/>
    <x v="6"/>
    <x v="7"/>
    <s v="GNR_RES_WTR_NOPMP_MC-04"/>
    <x v="0"/>
    <x v="15"/>
    <n v="515.485221835787"/>
    <n v="188152.105970062"/>
    <n v="677347.58149222401"/>
  </r>
  <r>
    <x v="0"/>
    <x v="0"/>
    <x v="0"/>
    <x v="9"/>
    <x v="18"/>
    <s v="SE2A"/>
    <x v="6"/>
    <x v="7"/>
    <s v="GNR_RES_WTR_NOPMP_MC-04"/>
    <x v="0"/>
    <x v="16"/>
    <n v="515.485221835787"/>
    <n v="188152.105970062"/>
    <n v="677347.58149222401"/>
  </r>
  <r>
    <x v="0"/>
    <x v="0"/>
    <x v="0"/>
    <x v="9"/>
    <x v="18"/>
    <s v="SE2A"/>
    <x v="6"/>
    <x v="7"/>
    <s v="GNR_RES_WTR_NOPMP_MC-04"/>
    <x v="0"/>
    <x v="17"/>
    <n v="515.485221835787"/>
    <n v="188152.105970062"/>
    <n v="677347.58149222401"/>
  </r>
  <r>
    <x v="0"/>
    <x v="0"/>
    <x v="0"/>
    <x v="9"/>
    <x v="18"/>
    <s v="SE2A"/>
    <x v="6"/>
    <x v="7"/>
    <s v="GNR_RES_WTR_NOPMP_MC-04"/>
    <x v="0"/>
    <x v="19"/>
    <n v="515.485221835787"/>
    <n v="188152.105970062"/>
    <n v="677347.58149222401"/>
  </r>
  <r>
    <x v="0"/>
    <x v="0"/>
    <x v="0"/>
    <x v="9"/>
    <x v="18"/>
    <s v="SE2A"/>
    <x v="6"/>
    <x v="7"/>
    <s v="GNR_RES_WTR_NOPMP_MC-04"/>
    <x v="0"/>
    <x v="20"/>
    <n v="515.485221835787"/>
    <n v="188152.105970062"/>
    <n v="677347.58149222401"/>
  </r>
  <r>
    <x v="0"/>
    <x v="0"/>
    <x v="0"/>
    <x v="9"/>
    <x v="18"/>
    <s v="SE2A"/>
    <x v="6"/>
    <x v="7"/>
    <s v="GNR_RES_WTR_NOPMP_MC-04"/>
    <x v="0"/>
    <x v="21"/>
    <n v="205.96696271522001"/>
    <n v="75177.941391055399"/>
    <n v="270640.58900779998"/>
  </r>
  <r>
    <x v="0"/>
    <x v="0"/>
    <x v="0"/>
    <x v="9"/>
    <x v="18"/>
    <s v="SE2A"/>
    <x v="6"/>
    <x v="7"/>
    <s v="GNR_RES_WTR_NOPMP_MC-05"/>
    <x v="0"/>
    <x v="4"/>
    <n v="515.485221835787"/>
    <n v="188152.105970062"/>
    <n v="677347.58149222401"/>
  </r>
  <r>
    <x v="0"/>
    <x v="0"/>
    <x v="0"/>
    <x v="9"/>
    <x v="18"/>
    <s v="SE2A"/>
    <x v="6"/>
    <x v="7"/>
    <s v="GNR_RES_WTR_NOPMP_MC-05"/>
    <x v="0"/>
    <x v="5"/>
    <n v="515.485221835787"/>
    <n v="188152.105970062"/>
    <n v="677347.58149222401"/>
  </r>
  <r>
    <x v="0"/>
    <x v="0"/>
    <x v="0"/>
    <x v="9"/>
    <x v="18"/>
    <s v="SE2A"/>
    <x v="6"/>
    <x v="7"/>
    <s v="GNR_RES_WTR_NOPMP_MC-05"/>
    <x v="0"/>
    <x v="6"/>
    <n v="515.485221835787"/>
    <n v="188152.105970062"/>
    <n v="677347.58149222401"/>
  </r>
  <r>
    <x v="0"/>
    <x v="0"/>
    <x v="0"/>
    <x v="9"/>
    <x v="18"/>
    <s v="SE2A"/>
    <x v="6"/>
    <x v="7"/>
    <s v="GNR_RES_WTR_NOPMP_MC-05"/>
    <x v="0"/>
    <x v="7"/>
    <n v="515.485221835787"/>
    <n v="188152.105970062"/>
    <n v="677347.58149222401"/>
  </r>
  <r>
    <x v="0"/>
    <x v="0"/>
    <x v="0"/>
    <x v="9"/>
    <x v="18"/>
    <s v="SE2A"/>
    <x v="6"/>
    <x v="7"/>
    <s v="GNR_RES_WTR_NOPMP_MC-05"/>
    <x v="0"/>
    <x v="8"/>
    <n v="515.485221835787"/>
    <n v="188152.105970062"/>
    <n v="677347.58149222401"/>
  </r>
  <r>
    <x v="0"/>
    <x v="0"/>
    <x v="0"/>
    <x v="9"/>
    <x v="18"/>
    <s v="SE2A"/>
    <x v="6"/>
    <x v="7"/>
    <s v="GNR_RES_WTR_NOPMP_MC-05"/>
    <x v="0"/>
    <x v="9"/>
    <n v="515.485221835787"/>
    <n v="188152.105970062"/>
    <n v="677347.58149222401"/>
  </r>
  <r>
    <x v="0"/>
    <x v="0"/>
    <x v="0"/>
    <x v="9"/>
    <x v="18"/>
    <s v="SE2A"/>
    <x v="6"/>
    <x v="7"/>
    <s v="GNR_RES_WTR_NOPMP_MC-05"/>
    <x v="0"/>
    <x v="10"/>
    <n v="515.485221835787"/>
    <n v="188152.105970062"/>
    <n v="677347.58149222401"/>
  </r>
  <r>
    <x v="0"/>
    <x v="0"/>
    <x v="0"/>
    <x v="9"/>
    <x v="18"/>
    <s v="SE2A"/>
    <x v="6"/>
    <x v="7"/>
    <s v="GNR_RES_WTR_NOPMP_MC-05"/>
    <x v="0"/>
    <x v="11"/>
    <n v="515.485221835787"/>
    <n v="188152.105970062"/>
    <n v="677347.58149222401"/>
  </r>
  <r>
    <x v="0"/>
    <x v="0"/>
    <x v="0"/>
    <x v="9"/>
    <x v="18"/>
    <s v="SE2A"/>
    <x v="6"/>
    <x v="7"/>
    <s v="GNR_RES_WTR_NOPMP_MC-05"/>
    <x v="0"/>
    <x v="12"/>
    <n v="515.485221835787"/>
    <n v="188152.105970062"/>
    <n v="677347.58149222401"/>
  </r>
  <r>
    <x v="0"/>
    <x v="0"/>
    <x v="0"/>
    <x v="9"/>
    <x v="18"/>
    <s v="SE2A"/>
    <x v="6"/>
    <x v="7"/>
    <s v="GNR_RES_WTR_NOPMP_MC-05"/>
    <x v="0"/>
    <x v="13"/>
    <n v="515.485221835787"/>
    <n v="188152.105970062"/>
    <n v="677347.58149222401"/>
  </r>
  <r>
    <x v="0"/>
    <x v="0"/>
    <x v="0"/>
    <x v="9"/>
    <x v="18"/>
    <s v="SE2A"/>
    <x v="6"/>
    <x v="7"/>
    <s v="GNR_RES_WTR_NOPMP_MC-05"/>
    <x v="0"/>
    <x v="14"/>
    <n v="515.485221835787"/>
    <n v="188152.105970062"/>
    <n v="677347.58149222401"/>
  </r>
  <r>
    <x v="0"/>
    <x v="0"/>
    <x v="0"/>
    <x v="9"/>
    <x v="18"/>
    <s v="SE2A"/>
    <x v="6"/>
    <x v="7"/>
    <s v="GNR_RES_WTR_NOPMP_MC-05"/>
    <x v="0"/>
    <x v="15"/>
    <n v="515.485221835787"/>
    <n v="188152.105970062"/>
    <n v="677347.58149222401"/>
  </r>
  <r>
    <x v="0"/>
    <x v="0"/>
    <x v="0"/>
    <x v="9"/>
    <x v="18"/>
    <s v="SE2A"/>
    <x v="6"/>
    <x v="7"/>
    <s v="GNR_RES_WTR_NOPMP_MC-05"/>
    <x v="0"/>
    <x v="16"/>
    <n v="515.485221835787"/>
    <n v="188152.105970062"/>
    <n v="677347.58149222401"/>
  </r>
  <r>
    <x v="0"/>
    <x v="0"/>
    <x v="0"/>
    <x v="9"/>
    <x v="18"/>
    <s v="SE2A"/>
    <x v="6"/>
    <x v="7"/>
    <s v="GNR_RES_WTR_NOPMP_MC-05"/>
    <x v="0"/>
    <x v="17"/>
    <n v="515.485221835787"/>
    <n v="188152.105970062"/>
    <n v="677347.58149222401"/>
  </r>
  <r>
    <x v="0"/>
    <x v="0"/>
    <x v="0"/>
    <x v="9"/>
    <x v="18"/>
    <s v="SE2A"/>
    <x v="6"/>
    <x v="7"/>
    <s v="GNR_RES_WTR_NOPMP_MC-05"/>
    <x v="0"/>
    <x v="19"/>
    <n v="515.485221835787"/>
    <n v="188152.105970062"/>
    <n v="677347.58149222401"/>
  </r>
  <r>
    <x v="0"/>
    <x v="0"/>
    <x v="0"/>
    <x v="9"/>
    <x v="18"/>
    <s v="SE2A"/>
    <x v="6"/>
    <x v="7"/>
    <s v="GNR_RES_WTR_NOPMP_MC-06"/>
    <x v="0"/>
    <x v="5"/>
    <n v="515.485221835787"/>
    <n v="188152.105970062"/>
    <n v="677347.58149222401"/>
  </r>
  <r>
    <x v="0"/>
    <x v="0"/>
    <x v="0"/>
    <x v="9"/>
    <x v="18"/>
    <s v="SE2A"/>
    <x v="6"/>
    <x v="7"/>
    <s v="GNR_RES_WTR_NOPMP_MC-06"/>
    <x v="0"/>
    <x v="6"/>
    <n v="515.485221835787"/>
    <n v="188152.105970062"/>
    <n v="677347.58149222401"/>
  </r>
  <r>
    <x v="0"/>
    <x v="0"/>
    <x v="0"/>
    <x v="9"/>
    <x v="18"/>
    <s v="SE2A"/>
    <x v="6"/>
    <x v="7"/>
    <s v="GNR_RES_WTR_NOPMP_MC-06"/>
    <x v="0"/>
    <x v="7"/>
    <n v="515.485221835787"/>
    <n v="188152.105970062"/>
    <n v="677347.58149222401"/>
  </r>
  <r>
    <x v="0"/>
    <x v="0"/>
    <x v="0"/>
    <x v="9"/>
    <x v="18"/>
    <s v="SE2A"/>
    <x v="6"/>
    <x v="7"/>
    <s v="GNR_RES_WTR_NOPMP_MC-06"/>
    <x v="0"/>
    <x v="8"/>
    <n v="515.485221835787"/>
    <n v="188152.105970062"/>
    <n v="677347.58149222401"/>
  </r>
  <r>
    <x v="0"/>
    <x v="0"/>
    <x v="0"/>
    <x v="9"/>
    <x v="18"/>
    <s v="SE2A"/>
    <x v="6"/>
    <x v="7"/>
    <s v="GNR_RES_WTR_NOPMP_MC-06"/>
    <x v="0"/>
    <x v="9"/>
    <n v="515.485221835787"/>
    <n v="188152.105970062"/>
    <n v="677347.58149222401"/>
  </r>
  <r>
    <x v="0"/>
    <x v="0"/>
    <x v="0"/>
    <x v="9"/>
    <x v="18"/>
    <s v="SE2A"/>
    <x v="6"/>
    <x v="7"/>
    <s v="GNR_RES_WTR_NOPMP_MC-06"/>
    <x v="0"/>
    <x v="10"/>
    <n v="515.485221835787"/>
    <n v="188152.105970062"/>
    <n v="677347.58149222401"/>
  </r>
  <r>
    <x v="0"/>
    <x v="0"/>
    <x v="0"/>
    <x v="9"/>
    <x v="18"/>
    <s v="SE2A"/>
    <x v="6"/>
    <x v="7"/>
    <s v="GNR_RES_WTR_NOPMP_MC-06"/>
    <x v="0"/>
    <x v="11"/>
    <n v="515.485221835787"/>
    <n v="188152.105970062"/>
    <n v="677347.58149222401"/>
  </r>
  <r>
    <x v="0"/>
    <x v="0"/>
    <x v="0"/>
    <x v="9"/>
    <x v="18"/>
    <s v="SE2A"/>
    <x v="6"/>
    <x v="7"/>
    <s v="GNR_RES_WTR_NOPMP_MC-06"/>
    <x v="0"/>
    <x v="12"/>
    <n v="515.485221835787"/>
    <n v="188152.105970062"/>
    <n v="677347.58149222401"/>
  </r>
  <r>
    <x v="0"/>
    <x v="0"/>
    <x v="0"/>
    <x v="9"/>
    <x v="18"/>
    <s v="SE2A"/>
    <x v="6"/>
    <x v="7"/>
    <s v="GNR_RES_WTR_NOPMP_MC-06"/>
    <x v="0"/>
    <x v="13"/>
    <n v="515.485221835787"/>
    <n v="188152.105970062"/>
    <n v="677347.58149222401"/>
  </r>
  <r>
    <x v="0"/>
    <x v="0"/>
    <x v="0"/>
    <x v="9"/>
    <x v="18"/>
    <s v="SE2A"/>
    <x v="6"/>
    <x v="7"/>
    <s v="GNR_RES_WTR_NOPMP_MC-06"/>
    <x v="0"/>
    <x v="14"/>
    <n v="515.485221835787"/>
    <n v="188152.105970062"/>
    <n v="677347.58149222401"/>
  </r>
  <r>
    <x v="0"/>
    <x v="0"/>
    <x v="0"/>
    <x v="9"/>
    <x v="18"/>
    <s v="SE2A"/>
    <x v="6"/>
    <x v="7"/>
    <s v="GNR_RES_WTR_NOPMP_MC-06"/>
    <x v="0"/>
    <x v="15"/>
    <n v="515.485221835787"/>
    <n v="188152.105970062"/>
    <n v="677347.58149222401"/>
  </r>
  <r>
    <x v="0"/>
    <x v="0"/>
    <x v="0"/>
    <x v="9"/>
    <x v="18"/>
    <s v="SE2A"/>
    <x v="6"/>
    <x v="7"/>
    <s v="GNR_RES_WTR_NOPMP_MC-06"/>
    <x v="0"/>
    <x v="16"/>
    <n v="515.485221835787"/>
    <n v="188152.105970062"/>
    <n v="677347.58149222401"/>
  </r>
  <r>
    <x v="0"/>
    <x v="0"/>
    <x v="0"/>
    <x v="9"/>
    <x v="18"/>
    <s v="SE2A"/>
    <x v="6"/>
    <x v="7"/>
    <s v="GNR_RES_WTR_NOPMP_MC-07"/>
    <x v="0"/>
    <x v="6"/>
    <n v="515.485221835787"/>
    <n v="188152.105970062"/>
    <n v="677347.58149222401"/>
  </r>
  <r>
    <x v="0"/>
    <x v="0"/>
    <x v="0"/>
    <x v="9"/>
    <x v="18"/>
    <s v="SE2A"/>
    <x v="6"/>
    <x v="7"/>
    <s v="GNR_RES_WTR_NOPMP_MC-07"/>
    <x v="0"/>
    <x v="7"/>
    <n v="515.485221835787"/>
    <n v="188152.105970062"/>
    <n v="677347.58149222401"/>
  </r>
  <r>
    <x v="0"/>
    <x v="0"/>
    <x v="0"/>
    <x v="9"/>
    <x v="18"/>
    <s v="SE2A"/>
    <x v="6"/>
    <x v="7"/>
    <s v="GNR_RES_WTR_NOPMP_MC-07"/>
    <x v="0"/>
    <x v="8"/>
    <n v="515.485221835787"/>
    <n v="188152.105970062"/>
    <n v="677347.58149222401"/>
  </r>
  <r>
    <x v="0"/>
    <x v="0"/>
    <x v="0"/>
    <x v="9"/>
    <x v="18"/>
    <s v="SE2A"/>
    <x v="6"/>
    <x v="7"/>
    <s v="GNR_RES_WTR_NOPMP_MC-07"/>
    <x v="0"/>
    <x v="9"/>
    <n v="515.485221835787"/>
    <n v="188152.105970062"/>
    <n v="677347.58149222401"/>
  </r>
  <r>
    <x v="0"/>
    <x v="0"/>
    <x v="0"/>
    <x v="9"/>
    <x v="18"/>
    <s v="SE2A"/>
    <x v="6"/>
    <x v="7"/>
    <s v="GNR_RES_WTR_NOPMP_MC-07"/>
    <x v="0"/>
    <x v="10"/>
    <n v="131.79939873229901"/>
    <n v="48106.780537289298"/>
    <n v="173184.409934241"/>
  </r>
  <r>
    <x v="0"/>
    <x v="0"/>
    <x v="0"/>
    <x v="9"/>
    <x v="18"/>
    <s v="SE2A"/>
    <x v="6"/>
    <x v="7"/>
    <s v="GNR_RES_WTR_NOPMP_MC-08"/>
    <x v="0"/>
    <x v="6"/>
    <n v="515.485221835787"/>
    <n v="188152.105970062"/>
    <n v="677347.58149222401"/>
  </r>
  <r>
    <x v="0"/>
    <x v="0"/>
    <x v="0"/>
    <x v="9"/>
    <x v="18"/>
    <s v="SE2A"/>
    <x v="6"/>
    <x v="7"/>
    <s v="GNR_RES_WTR_NOPMP_MC-08"/>
    <x v="0"/>
    <x v="7"/>
    <n v="515.485221835787"/>
    <n v="188152.105970062"/>
    <n v="677347.58149222401"/>
  </r>
  <r>
    <x v="0"/>
    <x v="0"/>
    <x v="0"/>
    <x v="9"/>
    <x v="18"/>
    <s v="SE2A"/>
    <x v="6"/>
    <x v="7"/>
    <s v="GNR_RES_WTR_NOPMP_MC-08"/>
    <x v="0"/>
    <x v="8"/>
    <n v="515.485221835787"/>
    <n v="188152.105970062"/>
    <n v="677347.58149222401"/>
  </r>
  <r>
    <x v="0"/>
    <x v="0"/>
    <x v="0"/>
    <x v="9"/>
    <x v="18"/>
    <s v="SE2A"/>
    <x v="6"/>
    <x v="7"/>
    <s v="GNR_RES_WTR_PMP_MC-01"/>
    <x v="0"/>
    <x v="0"/>
    <n v="108"/>
    <n v="39420"/>
    <n v="141912"/>
  </r>
  <r>
    <x v="0"/>
    <x v="0"/>
    <x v="0"/>
    <x v="9"/>
    <x v="18"/>
    <s v="SE2A"/>
    <x v="6"/>
    <x v="7"/>
    <s v="GNR_RES_WTR_PMP_MC-01"/>
    <x v="0"/>
    <x v="1"/>
    <n v="108"/>
    <n v="39420"/>
    <n v="141912"/>
  </r>
  <r>
    <x v="0"/>
    <x v="0"/>
    <x v="0"/>
    <x v="9"/>
    <x v="18"/>
    <s v="SE2A"/>
    <x v="6"/>
    <x v="7"/>
    <s v="GNR_RES_WTR_PMP_MC-01"/>
    <x v="0"/>
    <x v="18"/>
    <n v="108"/>
    <n v="39420"/>
    <n v="141912"/>
  </r>
  <r>
    <x v="0"/>
    <x v="0"/>
    <x v="0"/>
    <x v="9"/>
    <x v="18"/>
    <s v="SE2A"/>
    <x v="6"/>
    <x v="7"/>
    <s v="GNR_RES_WTR_PMP_MC-01"/>
    <x v="0"/>
    <x v="2"/>
    <n v="108"/>
    <n v="39420"/>
    <n v="141912"/>
  </r>
  <r>
    <x v="0"/>
    <x v="0"/>
    <x v="0"/>
    <x v="9"/>
    <x v="18"/>
    <s v="SE2A"/>
    <x v="6"/>
    <x v="7"/>
    <s v="GNR_RES_WTR_PMP_MC-01"/>
    <x v="0"/>
    <x v="3"/>
    <n v="108"/>
    <n v="39420"/>
    <n v="141912"/>
  </r>
  <r>
    <x v="0"/>
    <x v="0"/>
    <x v="0"/>
    <x v="9"/>
    <x v="18"/>
    <s v="SE2A"/>
    <x v="6"/>
    <x v="7"/>
    <s v="GNR_RES_WTR_PMP_MC-01"/>
    <x v="0"/>
    <x v="4"/>
    <n v="108"/>
    <n v="39420"/>
    <n v="141912"/>
  </r>
  <r>
    <x v="0"/>
    <x v="0"/>
    <x v="0"/>
    <x v="9"/>
    <x v="18"/>
    <s v="SE2A"/>
    <x v="6"/>
    <x v="7"/>
    <s v="GNR_RES_WTR_PMP_MC-01"/>
    <x v="0"/>
    <x v="5"/>
    <n v="108"/>
    <n v="39420"/>
    <n v="141912"/>
  </r>
  <r>
    <x v="0"/>
    <x v="0"/>
    <x v="0"/>
    <x v="9"/>
    <x v="18"/>
    <s v="SE2A"/>
    <x v="6"/>
    <x v="7"/>
    <s v="GNR_RES_WTR_PMP_MC-01"/>
    <x v="0"/>
    <x v="6"/>
    <n v="108"/>
    <n v="39420"/>
    <n v="141912"/>
  </r>
  <r>
    <x v="0"/>
    <x v="0"/>
    <x v="0"/>
    <x v="9"/>
    <x v="18"/>
    <s v="SE2A"/>
    <x v="6"/>
    <x v="7"/>
    <s v="GNR_RES_WTR_PMP_MC-01"/>
    <x v="0"/>
    <x v="7"/>
    <n v="108"/>
    <n v="39420"/>
    <n v="141912"/>
  </r>
  <r>
    <x v="0"/>
    <x v="0"/>
    <x v="0"/>
    <x v="9"/>
    <x v="18"/>
    <s v="SE2A"/>
    <x v="6"/>
    <x v="7"/>
    <s v="GNR_RES_WTR_PMP_MC-01"/>
    <x v="0"/>
    <x v="8"/>
    <n v="108"/>
    <n v="39420"/>
    <n v="141912"/>
  </r>
  <r>
    <x v="0"/>
    <x v="0"/>
    <x v="0"/>
    <x v="9"/>
    <x v="18"/>
    <s v="SE2A"/>
    <x v="6"/>
    <x v="7"/>
    <s v="GNR_RES_WTR_PMP_MC-01"/>
    <x v="0"/>
    <x v="9"/>
    <n v="108"/>
    <n v="39420"/>
    <n v="141912"/>
  </r>
  <r>
    <x v="0"/>
    <x v="0"/>
    <x v="0"/>
    <x v="9"/>
    <x v="18"/>
    <s v="SE2A"/>
    <x v="6"/>
    <x v="7"/>
    <s v="GNR_RES_WTR_PMP_MC-01"/>
    <x v="0"/>
    <x v="10"/>
    <n v="108"/>
    <n v="39420"/>
    <n v="141912"/>
  </r>
  <r>
    <x v="0"/>
    <x v="0"/>
    <x v="0"/>
    <x v="9"/>
    <x v="18"/>
    <s v="SE2A"/>
    <x v="6"/>
    <x v="7"/>
    <s v="GNR_RES_WTR_PMP_MC-01"/>
    <x v="0"/>
    <x v="11"/>
    <n v="108"/>
    <n v="39420"/>
    <n v="141912"/>
  </r>
  <r>
    <x v="0"/>
    <x v="0"/>
    <x v="0"/>
    <x v="9"/>
    <x v="18"/>
    <s v="SE2A"/>
    <x v="6"/>
    <x v="7"/>
    <s v="GNR_RES_WTR_PMP_MC-01"/>
    <x v="0"/>
    <x v="12"/>
    <n v="108"/>
    <n v="39420"/>
    <n v="141912"/>
  </r>
  <r>
    <x v="0"/>
    <x v="0"/>
    <x v="0"/>
    <x v="9"/>
    <x v="18"/>
    <s v="SE2A"/>
    <x v="6"/>
    <x v="7"/>
    <s v="GNR_RES_WTR_PMP_MC-01"/>
    <x v="0"/>
    <x v="13"/>
    <n v="108"/>
    <n v="39420"/>
    <n v="141912"/>
  </r>
  <r>
    <x v="0"/>
    <x v="0"/>
    <x v="0"/>
    <x v="9"/>
    <x v="18"/>
    <s v="SE2A"/>
    <x v="6"/>
    <x v="7"/>
    <s v="GNR_RES_WTR_PMP_MC-01"/>
    <x v="0"/>
    <x v="14"/>
    <n v="108"/>
    <n v="39420"/>
    <n v="141912"/>
  </r>
  <r>
    <x v="0"/>
    <x v="0"/>
    <x v="0"/>
    <x v="9"/>
    <x v="18"/>
    <s v="SE2A"/>
    <x v="6"/>
    <x v="7"/>
    <s v="GNR_RES_WTR_PMP_MC-01"/>
    <x v="0"/>
    <x v="15"/>
    <n v="108"/>
    <n v="39420"/>
    <n v="141912"/>
  </r>
  <r>
    <x v="0"/>
    <x v="0"/>
    <x v="0"/>
    <x v="9"/>
    <x v="18"/>
    <s v="SE2A"/>
    <x v="6"/>
    <x v="7"/>
    <s v="GNR_RES_WTR_PMP_MC-01"/>
    <x v="0"/>
    <x v="16"/>
    <n v="108"/>
    <n v="39420"/>
    <n v="141912"/>
  </r>
  <r>
    <x v="0"/>
    <x v="0"/>
    <x v="0"/>
    <x v="9"/>
    <x v="18"/>
    <s v="SE2A"/>
    <x v="6"/>
    <x v="7"/>
    <s v="GNR_RES_WTR_PMP_MC-01"/>
    <x v="0"/>
    <x v="17"/>
    <n v="108"/>
    <n v="39420"/>
    <n v="141912"/>
  </r>
  <r>
    <x v="0"/>
    <x v="0"/>
    <x v="0"/>
    <x v="9"/>
    <x v="18"/>
    <s v="SE2A"/>
    <x v="6"/>
    <x v="7"/>
    <s v="GNR_RES_WTR_PMP_MC-01"/>
    <x v="0"/>
    <x v="19"/>
    <n v="108"/>
    <n v="39420"/>
    <n v="141912"/>
  </r>
  <r>
    <x v="0"/>
    <x v="0"/>
    <x v="0"/>
    <x v="9"/>
    <x v="18"/>
    <s v="SE2A"/>
    <x v="6"/>
    <x v="7"/>
    <s v="GNR_RES_WTR_PMP_MC-01"/>
    <x v="0"/>
    <x v="20"/>
    <n v="108"/>
    <n v="39420"/>
    <n v="141912"/>
  </r>
  <r>
    <x v="0"/>
    <x v="0"/>
    <x v="0"/>
    <x v="9"/>
    <x v="18"/>
    <s v="SE2A"/>
    <x v="6"/>
    <x v="7"/>
    <s v="GNR_RES_WTR_PMP_MC-01"/>
    <x v="0"/>
    <x v="21"/>
    <n v="108"/>
    <n v="39420"/>
    <n v="141912"/>
  </r>
  <r>
    <x v="0"/>
    <x v="0"/>
    <x v="0"/>
    <x v="9"/>
    <x v="18"/>
    <s v="SE2A"/>
    <x v="6"/>
    <x v="7"/>
    <s v="GNR_RES_WTR_PMP_MC-01"/>
    <x v="0"/>
    <x v="22"/>
    <n v="108"/>
    <n v="39420"/>
    <n v="141912"/>
  </r>
  <r>
    <x v="0"/>
    <x v="0"/>
    <x v="0"/>
    <x v="9"/>
    <x v="18"/>
    <s v="SE2A"/>
    <x v="6"/>
    <x v="7"/>
    <s v="GNR_RES_WTR_PMP_MC-01"/>
    <x v="0"/>
    <x v="23"/>
    <n v="108"/>
    <n v="39420"/>
    <n v="141912"/>
  </r>
  <r>
    <x v="0"/>
    <x v="0"/>
    <x v="0"/>
    <x v="9"/>
    <x v="18"/>
    <s v="SE2A"/>
    <x v="6"/>
    <x v="4"/>
    <s v="GNR_ROR_WTR"/>
    <x v="0"/>
    <x v="0"/>
    <n v="1671.24697052902"/>
    <n v="610005.14424309297"/>
    <n v="2196018.5192751298"/>
  </r>
  <r>
    <x v="0"/>
    <x v="0"/>
    <x v="0"/>
    <x v="9"/>
    <x v="18"/>
    <s v="SE2A"/>
    <x v="6"/>
    <x v="4"/>
    <s v="GNR_ROR_WTR"/>
    <x v="0"/>
    <x v="1"/>
    <n v="1671.24697052902"/>
    <n v="610005.14424309297"/>
    <n v="2196018.5192751298"/>
  </r>
  <r>
    <x v="0"/>
    <x v="0"/>
    <x v="0"/>
    <x v="9"/>
    <x v="18"/>
    <s v="SE2A"/>
    <x v="6"/>
    <x v="4"/>
    <s v="GNR_ROR_WTR"/>
    <x v="0"/>
    <x v="18"/>
    <n v="1671.24697052902"/>
    <n v="610005.14424309297"/>
    <n v="2196018.5192751298"/>
  </r>
  <r>
    <x v="0"/>
    <x v="0"/>
    <x v="0"/>
    <x v="9"/>
    <x v="18"/>
    <s v="SE2A"/>
    <x v="6"/>
    <x v="4"/>
    <s v="GNR_ROR_WTR"/>
    <x v="0"/>
    <x v="2"/>
    <n v="1671.24697052902"/>
    <n v="610005.14424309297"/>
    <n v="2196018.5192751298"/>
  </r>
  <r>
    <x v="0"/>
    <x v="0"/>
    <x v="0"/>
    <x v="9"/>
    <x v="18"/>
    <s v="SE2A"/>
    <x v="6"/>
    <x v="4"/>
    <s v="GNR_ROR_WTR"/>
    <x v="0"/>
    <x v="3"/>
    <n v="1671.24697052902"/>
    <n v="610005.14424309297"/>
    <n v="2196018.5192751298"/>
  </r>
  <r>
    <x v="0"/>
    <x v="0"/>
    <x v="0"/>
    <x v="9"/>
    <x v="18"/>
    <s v="SE2A"/>
    <x v="6"/>
    <x v="4"/>
    <s v="GNR_ROR_WTR"/>
    <x v="0"/>
    <x v="4"/>
    <n v="1671.24697052902"/>
    <n v="610005.14424309297"/>
    <n v="2196018.5192751298"/>
  </r>
  <r>
    <x v="0"/>
    <x v="0"/>
    <x v="0"/>
    <x v="9"/>
    <x v="18"/>
    <s v="SE2A"/>
    <x v="6"/>
    <x v="4"/>
    <s v="GNR_ROR_WTR"/>
    <x v="0"/>
    <x v="5"/>
    <n v="1671.24697052902"/>
    <n v="610005.14424309297"/>
    <n v="2196018.5192751298"/>
  </r>
  <r>
    <x v="0"/>
    <x v="0"/>
    <x v="0"/>
    <x v="9"/>
    <x v="18"/>
    <s v="SE2A"/>
    <x v="6"/>
    <x v="4"/>
    <s v="GNR_ROR_WTR"/>
    <x v="0"/>
    <x v="6"/>
    <n v="1671.24697052902"/>
    <n v="610005.14424309297"/>
    <n v="2196018.5192751298"/>
  </r>
  <r>
    <x v="0"/>
    <x v="0"/>
    <x v="0"/>
    <x v="9"/>
    <x v="18"/>
    <s v="SE2A"/>
    <x v="6"/>
    <x v="4"/>
    <s v="GNR_ROR_WTR"/>
    <x v="0"/>
    <x v="7"/>
    <n v="1671.24697052902"/>
    <n v="610005.14424309297"/>
    <n v="2196018.5192751298"/>
  </r>
  <r>
    <x v="0"/>
    <x v="0"/>
    <x v="0"/>
    <x v="9"/>
    <x v="18"/>
    <s v="SE2A"/>
    <x v="6"/>
    <x v="4"/>
    <s v="GNR_ROR_WTR"/>
    <x v="0"/>
    <x v="8"/>
    <n v="1671.24697052902"/>
    <n v="610005.14424309297"/>
    <n v="2196018.5192751298"/>
  </r>
  <r>
    <x v="0"/>
    <x v="0"/>
    <x v="0"/>
    <x v="9"/>
    <x v="18"/>
    <s v="SE2A"/>
    <x v="6"/>
    <x v="4"/>
    <s v="GNR_ROR_WTR"/>
    <x v="0"/>
    <x v="9"/>
    <n v="1671.24697052902"/>
    <n v="610005.14424309297"/>
    <n v="2196018.5192751298"/>
  </r>
  <r>
    <x v="0"/>
    <x v="0"/>
    <x v="0"/>
    <x v="9"/>
    <x v="18"/>
    <s v="SE2A"/>
    <x v="6"/>
    <x v="4"/>
    <s v="GNR_ROR_WTR"/>
    <x v="0"/>
    <x v="10"/>
    <n v="1671.24697052902"/>
    <n v="610005.14424309297"/>
    <n v="2196018.5192751298"/>
  </r>
  <r>
    <x v="0"/>
    <x v="0"/>
    <x v="0"/>
    <x v="9"/>
    <x v="18"/>
    <s v="SE2A"/>
    <x v="6"/>
    <x v="4"/>
    <s v="GNR_ROR_WTR"/>
    <x v="0"/>
    <x v="11"/>
    <n v="1671.24697052902"/>
    <n v="610005.14424309297"/>
    <n v="2196018.5192751298"/>
  </r>
  <r>
    <x v="0"/>
    <x v="0"/>
    <x v="0"/>
    <x v="9"/>
    <x v="18"/>
    <s v="SE2A"/>
    <x v="6"/>
    <x v="4"/>
    <s v="GNR_ROR_WTR"/>
    <x v="0"/>
    <x v="12"/>
    <n v="1671.24697052902"/>
    <n v="610005.14424309297"/>
    <n v="2196018.5192751298"/>
  </r>
  <r>
    <x v="0"/>
    <x v="0"/>
    <x v="0"/>
    <x v="9"/>
    <x v="18"/>
    <s v="SE2A"/>
    <x v="6"/>
    <x v="4"/>
    <s v="GNR_ROR_WTR"/>
    <x v="0"/>
    <x v="13"/>
    <n v="1671.24697052902"/>
    <n v="610005.14424309297"/>
    <n v="2196018.5192751298"/>
  </r>
  <r>
    <x v="0"/>
    <x v="0"/>
    <x v="0"/>
    <x v="9"/>
    <x v="18"/>
    <s v="SE2A"/>
    <x v="6"/>
    <x v="4"/>
    <s v="GNR_ROR_WTR"/>
    <x v="0"/>
    <x v="14"/>
    <n v="1671.24697052902"/>
    <n v="610005.14424309297"/>
    <n v="2196018.5192751298"/>
  </r>
  <r>
    <x v="0"/>
    <x v="0"/>
    <x v="0"/>
    <x v="9"/>
    <x v="18"/>
    <s v="SE2A"/>
    <x v="6"/>
    <x v="4"/>
    <s v="GNR_ROR_WTR"/>
    <x v="0"/>
    <x v="15"/>
    <n v="1671.24697052902"/>
    <n v="610005.14424309297"/>
    <n v="2196018.5192751298"/>
  </r>
  <r>
    <x v="0"/>
    <x v="0"/>
    <x v="0"/>
    <x v="9"/>
    <x v="18"/>
    <s v="SE2A"/>
    <x v="6"/>
    <x v="4"/>
    <s v="GNR_ROR_WTR"/>
    <x v="0"/>
    <x v="16"/>
    <n v="1671.24697052902"/>
    <n v="610005.14424309297"/>
    <n v="2196018.5192751298"/>
  </r>
  <r>
    <x v="0"/>
    <x v="0"/>
    <x v="0"/>
    <x v="9"/>
    <x v="18"/>
    <s v="SE2A"/>
    <x v="6"/>
    <x v="4"/>
    <s v="GNR_ROR_WTR"/>
    <x v="0"/>
    <x v="17"/>
    <n v="1671.24697052902"/>
    <n v="610005.14424309297"/>
    <n v="2196018.5192751298"/>
  </r>
  <r>
    <x v="0"/>
    <x v="0"/>
    <x v="0"/>
    <x v="9"/>
    <x v="18"/>
    <s v="SE2A"/>
    <x v="6"/>
    <x v="4"/>
    <s v="GNR_ROR_WTR"/>
    <x v="0"/>
    <x v="19"/>
    <n v="1671.24697052902"/>
    <n v="610005.14424309297"/>
    <n v="2196018.5192751298"/>
  </r>
  <r>
    <x v="0"/>
    <x v="0"/>
    <x v="0"/>
    <x v="9"/>
    <x v="18"/>
    <s v="SE2A"/>
    <x v="6"/>
    <x v="4"/>
    <s v="GNR_ROR_WTR"/>
    <x v="0"/>
    <x v="20"/>
    <n v="1671.24697052902"/>
    <n v="610005.14424309297"/>
    <n v="2196018.5192751298"/>
  </r>
  <r>
    <x v="0"/>
    <x v="0"/>
    <x v="0"/>
    <x v="9"/>
    <x v="18"/>
    <s v="SE2A"/>
    <x v="6"/>
    <x v="4"/>
    <s v="GNR_ROR_WTR"/>
    <x v="0"/>
    <x v="21"/>
    <n v="1671.24697052902"/>
    <n v="610005.14424309297"/>
    <n v="2196018.5192751298"/>
  </r>
  <r>
    <x v="0"/>
    <x v="0"/>
    <x v="0"/>
    <x v="9"/>
    <x v="18"/>
    <s v="SE2A"/>
    <x v="6"/>
    <x v="4"/>
    <s v="GNR_ROR_WTR"/>
    <x v="0"/>
    <x v="22"/>
    <n v="1671.24697052902"/>
    <n v="610005.14424309297"/>
    <n v="2196018.5192751298"/>
  </r>
  <r>
    <x v="0"/>
    <x v="0"/>
    <x v="0"/>
    <x v="9"/>
    <x v="18"/>
    <s v="SE2A"/>
    <x v="6"/>
    <x v="4"/>
    <s v="GNR_ROR_WTR"/>
    <x v="0"/>
    <x v="23"/>
    <n v="1671.24697052902"/>
    <n v="610005.14424309297"/>
    <n v="2196018.5192751298"/>
  </r>
  <r>
    <x v="0"/>
    <x v="0"/>
    <x v="0"/>
    <x v="9"/>
    <x v="18"/>
    <s v="SE2A"/>
    <x v="7"/>
    <x v="5"/>
    <s v="GNR_WT_WIND_ONS"/>
    <x v="0"/>
    <x v="0"/>
    <n v="323.22607996570002"/>
    <n v="117977.519187481"/>
    <n v="424719.06907492998"/>
  </r>
  <r>
    <x v="0"/>
    <x v="0"/>
    <x v="0"/>
    <x v="9"/>
    <x v="18"/>
    <s v="SE2A"/>
    <x v="7"/>
    <x v="5"/>
    <s v="GNR_WT_WIND_ONS"/>
    <x v="0"/>
    <x v="1"/>
    <n v="212.283689093021"/>
    <n v="77483.546518952702"/>
    <n v="278940.76746822998"/>
  </r>
  <r>
    <x v="0"/>
    <x v="0"/>
    <x v="0"/>
    <x v="9"/>
    <x v="18"/>
    <s v="SE2A"/>
    <x v="7"/>
    <x v="5"/>
    <s v="GNR_WT_WIND_ONS"/>
    <x v="0"/>
    <x v="18"/>
    <n v="208.699441105483"/>
    <n v="76175.296003501193"/>
    <n v="274231.06561260403"/>
  </r>
  <r>
    <x v="0"/>
    <x v="0"/>
    <x v="0"/>
    <x v="9"/>
    <x v="18"/>
    <s v="SE2A"/>
    <x v="7"/>
    <x v="5"/>
    <s v="GNR_WT_WIND_ONS"/>
    <x v="0"/>
    <x v="2"/>
    <n v="157.28210947579001"/>
    <n v="57407.969958663198"/>
    <n v="206668.69185118799"/>
  </r>
  <r>
    <x v="0"/>
    <x v="0"/>
    <x v="0"/>
    <x v="9"/>
    <x v="18"/>
    <s v="SE2A"/>
    <x v="7"/>
    <x v="5"/>
    <s v="GNR_WT_WIND_ONS"/>
    <x v="0"/>
    <x v="3"/>
    <n v="148.10720142365801"/>
    <n v="54059.128519635102"/>
    <n v="194612.86267068601"/>
  </r>
  <r>
    <x v="0"/>
    <x v="0"/>
    <x v="0"/>
    <x v="9"/>
    <x v="18"/>
    <s v="SE2A"/>
    <x v="7"/>
    <x v="5"/>
    <s v="GNR_WT_WIND_ONS"/>
    <x v="0"/>
    <x v="4"/>
    <n v="127.512722785104"/>
    <n v="46542.143816563097"/>
    <n v="167551.717739627"/>
  </r>
  <r>
    <x v="0"/>
    <x v="0"/>
    <x v="0"/>
    <x v="9"/>
    <x v="18"/>
    <s v="SE2A"/>
    <x v="7"/>
    <x v="5"/>
    <s v="GNR_WT_WIND_ONS"/>
    <x v="0"/>
    <x v="5"/>
    <n v="128.02462075021299"/>
    <n v="46728.986573827598"/>
    <n v="168224.35166577899"/>
  </r>
  <r>
    <x v="0"/>
    <x v="0"/>
    <x v="0"/>
    <x v="9"/>
    <x v="18"/>
    <s v="SE2A"/>
    <x v="7"/>
    <x v="5"/>
    <s v="GNR_WT_WIND_ONS"/>
    <x v="0"/>
    <x v="6"/>
    <n v="200.083841953269"/>
    <n v="73030.602312943302"/>
    <n v="262910.16832659597"/>
  </r>
  <r>
    <x v="0"/>
    <x v="0"/>
    <x v="0"/>
    <x v="9"/>
    <x v="18"/>
    <s v="SE2A"/>
    <x v="7"/>
    <x v="5"/>
    <s v="GNR_WT_WIND_ONS"/>
    <x v="0"/>
    <x v="7"/>
    <n v="309.96910443949503"/>
    <n v="113138.72312041601"/>
    <n v="407299.40323349601"/>
  </r>
  <r>
    <x v="0"/>
    <x v="0"/>
    <x v="0"/>
    <x v="9"/>
    <x v="18"/>
    <s v="SE2A"/>
    <x v="7"/>
    <x v="5"/>
    <s v="GNR_WT_WIND_ONS"/>
    <x v="0"/>
    <x v="8"/>
    <n v="416.58278821446999"/>
    <n v="152052.71769828201"/>
    <n v="547389.78371381399"/>
  </r>
  <r>
    <x v="0"/>
    <x v="0"/>
    <x v="0"/>
    <x v="9"/>
    <x v="18"/>
    <s v="SE2A"/>
    <x v="7"/>
    <x v="5"/>
    <s v="GNR_WT_WIND_ONS"/>
    <x v="0"/>
    <x v="9"/>
    <n v="596.65293781612502"/>
    <n v="217778.32230288599"/>
    <n v="784001.96029038797"/>
  </r>
  <r>
    <x v="0"/>
    <x v="0"/>
    <x v="0"/>
    <x v="9"/>
    <x v="18"/>
    <s v="SE2A"/>
    <x v="7"/>
    <x v="5"/>
    <s v="GNR_WT_WIND_ONS"/>
    <x v="0"/>
    <x v="10"/>
    <n v="865.62731566730895"/>
    <n v="315953.97021856799"/>
    <n v="1137434.2927868399"/>
  </r>
  <r>
    <x v="0"/>
    <x v="0"/>
    <x v="0"/>
    <x v="9"/>
    <x v="18"/>
    <s v="SE2A"/>
    <x v="7"/>
    <x v="5"/>
    <s v="GNR_WT_WIND_ONS"/>
    <x v="0"/>
    <x v="11"/>
    <n v="1025.00206439814"/>
    <n v="374125.75350532198"/>
    <n v="1346852.7126191601"/>
  </r>
  <r>
    <x v="0"/>
    <x v="0"/>
    <x v="0"/>
    <x v="9"/>
    <x v="18"/>
    <s v="SE2A"/>
    <x v="7"/>
    <x v="5"/>
    <s v="GNR_WT_WIND_ONS"/>
    <x v="0"/>
    <x v="12"/>
    <n v="1075.28886710645"/>
    <n v="392480.43649385299"/>
    <n v="1412929.5713778699"/>
  </r>
  <r>
    <x v="0"/>
    <x v="0"/>
    <x v="0"/>
    <x v="9"/>
    <x v="18"/>
    <s v="SE2A"/>
    <x v="7"/>
    <x v="5"/>
    <s v="GNR_WT_WIND_ONS"/>
    <x v="0"/>
    <x v="13"/>
    <n v="1142.3571975898799"/>
    <n v="416960.377120308"/>
    <n v="1501057.3576331099"/>
  </r>
  <r>
    <x v="0"/>
    <x v="0"/>
    <x v="0"/>
    <x v="9"/>
    <x v="18"/>
    <s v="SE2A"/>
    <x v="7"/>
    <x v="5"/>
    <s v="GNR_WT_WIND_ONS"/>
    <x v="0"/>
    <x v="14"/>
    <n v="1252.24679479015"/>
    <n v="457070.08009840501"/>
    <n v="1645452.2883542599"/>
  </r>
  <r>
    <x v="0"/>
    <x v="0"/>
    <x v="0"/>
    <x v="9"/>
    <x v="18"/>
    <s v="SE2A"/>
    <x v="7"/>
    <x v="5"/>
    <s v="GNR_WT_WIND_ONS"/>
    <x v="0"/>
    <x v="15"/>
    <n v="1284.8997659173001"/>
    <n v="468988.41455981397"/>
    <n v="1688358.29241533"/>
  </r>
  <r>
    <x v="0"/>
    <x v="0"/>
    <x v="0"/>
    <x v="9"/>
    <x v="18"/>
    <s v="SE2A"/>
    <x v="7"/>
    <x v="5"/>
    <s v="GNR_WT_WIND_ONS"/>
    <x v="0"/>
    <x v="16"/>
    <n v="1073.6338564703501"/>
    <n v="391876.35761167901"/>
    <n v="1410754.88740204"/>
  </r>
  <r>
    <x v="0"/>
    <x v="0"/>
    <x v="0"/>
    <x v="9"/>
    <x v="18"/>
    <s v="SE2A"/>
    <x v="7"/>
    <x v="5"/>
    <s v="GNR_WT_WIND_ONS"/>
    <x v="0"/>
    <x v="17"/>
    <n v="1043.26696121227"/>
    <n v="380792.44084247999"/>
    <n v="1370852.7870329299"/>
  </r>
  <r>
    <x v="0"/>
    <x v="0"/>
    <x v="0"/>
    <x v="9"/>
    <x v="18"/>
    <s v="SE2A"/>
    <x v="7"/>
    <x v="5"/>
    <s v="GNR_WT_WIND_ONS"/>
    <x v="0"/>
    <x v="19"/>
    <n v="989.72014525819804"/>
    <n v="361247.853019242"/>
    <n v="1300492.27086927"/>
  </r>
  <r>
    <x v="0"/>
    <x v="0"/>
    <x v="0"/>
    <x v="9"/>
    <x v="18"/>
    <s v="SE2A"/>
    <x v="7"/>
    <x v="5"/>
    <s v="GNR_WT_WIND_ONS"/>
    <x v="0"/>
    <x v="20"/>
    <n v="966.27444306558095"/>
    <n v="352690.171718937"/>
    <n v="1269684.61818817"/>
  </r>
  <r>
    <x v="0"/>
    <x v="0"/>
    <x v="0"/>
    <x v="9"/>
    <x v="18"/>
    <s v="SE2A"/>
    <x v="7"/>
    <x v="5"/>
    <s v="GNR_WT_WIND_ONS"/>
    <x v="0"/>
    <x v="21"/>
    <n v="871.23493156376003"/>
    <n v="318000.75002077298"/>
    <n v="1144802.70007478"/>
  </r>
  <r>
    <x v="0"/>
    <x v="0"/>
    <x v="0"/>
    <x v="9"/>
    <x v="18"/>
    <s v="SE2A"/>
    <x v="7"/>
    <x v="5"/>
    <s v="GNR_WT_WIND_ONS"/>
    <x v="0"/>
    <x v="22"/>
    <n v="808.84275792924996"/>
    <n v="295227.606644176"/>
    <n v="1062819.38391903"/>
  </r>
  <r>
    <x v="0"/>
    <x v="0"/>
    <x v="0"/>
    <x v="9"/>
    <x v="18"/>
    <s v="SE2A"/>
    <x v="7"/>
    <x v="5"/>
    <s v="GNR_WT_WIND_ONS"/>
    <x v="0"/>
    <x v="23"/>
    <n v="658.21323872135304"/>
    <n v="240247.832133294"/>
    <n v="864892.19567985798"/>
  </r>
  <r>
    <x v="0"/>
    <x v="0"/>
    <x v="0"/>
    <x v="9"/>
    <x v="18"/>
    <s v="SE2_EL"/>
    <x v="2"/>
    <x v="2"/>
    <s v="GBPR_MUNIWASTE_24"/>
    <x v="0"/>
    <x v="0"/>
    <n v="41.725879512812497"/>
    <n v="15229.9460221766"/>
    <n v="54827.805679835597"/>
  </r>
  <r>
    <x v="0"/>
    <x v="0"/>
    <x v="0"/>
    <x v="9"/>
    <x v="18"/>
    <s v="SE2_EL"/>
    <x v="2"/>
    <x v="2"/>
    <s v="GBPR_MUNIWASTE_24"/>
    <x v="0"/>
    <x v="1"/>
    <n v="41.725879512812497"/>
    <n v="15229.9460221766"/>
    <n v="54827.805679835597"/>
  </r>
  <r>
    <x v="0"/>
    <x v="0"/>
    <x v="0"/>
    <x v="9"/>
    <x v="18"/>
    <s v="SE2_EL"/>
    <x v="2"/>
    <x v="2"/>
    <s v="GBPR_MUNIWASTE_24"/>
    <x v="0"/>
    <x v="18"/>
    <n v="41.725879512812497"/>
    <n v="15229.9460221766"/>
    <n v="54827.805679835597"/>
  </r>
  <r>
    <x v="0"/>
    <x v="0"/>
    <x v="0"/>
    <x v="9"/>
    <x v="18"/>
    <s v="SE2_EL"/>
    <x v="2"/>
    <x v="2"/>
    <s v="GBPR_MUNIWASTE_24"/>
    <x v="0"/>
    <x v="2"/>
    <n v="41.725879512812497"/>
    <n v="15229.9460221766"/>
    <n v="54827.805679835597"/>
  </r>
  <r>
    <x v="0"/>
    <x v="0"/>
    <x v="0"/>
    <x v="9"/>
    <x v="18"/>
    <s v="SE2_EL"/>
    <x v="2"/>
    <x v="2"/>
    <s v="GBPR_MUNIWASTE_24"/>
    <x v="0"/>
    <x v="3"/>
    <n v="41.725879512812497"/>
    <n v="15229.9460221766"/>
    <n v="54827.805679835597"/>
  </r>
  <r>
    <x v="0"/>
    <x v="0"/>
    <x v="0"/>
    <x v="9"/>
    <x v="18"/>
    <s v="SE2_EL"/>
    <x v="2"/>
    <x v="2"/>
    <s v="GBPR_MUNIWASTE_24"/>
    <x v="0"/>
    <x v="4"/>
    <n v="41.725879512812497"/>
    <n v="15229.9460221766"/>
    <n v="54827.805679835597"/>
  </r>
  <r>
    <x v="0"/>
    <x v="0"/>
    <x v="0"/>
    <x v="9"/>
    <x v="18"/>
    <s v="SE2_EL"/>
    <x v="2"/>
    <x v="2"/>
    <s v="GBPR_MUNIWASTE_24"/>
    <x v="0"/>
    <x v="5"/>
    <n v="41.725879512812497"/>
    <n v="15229.9460221766"/>
    <n v="54827.805679835597"/>
  </r>
  <r>
    <x v="0"/>
    <x v="0"/>
    <x v="0"/>
    <x v="9"/>
    <x v="18"/>
    <s v="SE2_EL"/>
    <x v="2"/>
    <x v="2"/>
    <s v="GBPR_MUNIWASTE_24"/>
    <x v="0"/>
    <x v="6"/>
    <n v="41.725879512812497"/>
    <n v="15229.9460221766"/>
    <n v="54827.805679835597"/>
  </r>
  <r>
    <x v="0"/>
    <x v="0"/>
    <x v="0"/>
    <x v="9"/>
    <x v="18"/>
    <s v="SE2_EL"/>
    <x v="2"/>
    <x v="2"/>
    <s v="GBPR_MUNIWASTE_24"/>
    <x v="0"/>
    <x v="7"/>
    <n v="41.725879512812497"/>
    <n v="15229.9460221766"/>
    <n v="54827.805679835597"/>
  </r>
  <r>
    <x v="0"/>
    <x v="0"/>
    <x v="0"/>
    <x v="9"/>
    <x v="18"/>
    <s v="SE2_EL"/>
    <x v="2"/>
    <x v="2"/>
    <s v="GBPR_MUNIWASTE_24"/>
    <x v="0"/>
    <x v="8"/>
    <n v="41.725879512812497"/>
    <n v="15229.9460221766"/>
    <n v="54827.805679835597"/>
  </r>
  <r>
    <x v="0"/>
    <x v="0"/>
    <x v="0"/>
    <x v="9"/>
    <x v="18"/>
    <s v="SE2_EL"/>
    <x v="2"/>
    <x v="2"/>
    <s v="GBPR_MUNIWASTE_24"/>
    <x v="0"/>
    <x v="9"/>
    <n v="41.725879512812497"/>
    <n v="15229.9460221766"/>
    <n v="54827.805679835597"/>
  </r>
  <r>
    <x v="0"/>
    <x v="0"/>
    <x v="0"/>
    <x v="9"/>
    <x v="18"/>
    <s v="SE2_EL"/>
    <x v="2"/>
    <x v="2"/>
    <s v="GBPR_MUNIWASTE_24"/>
    <x v="0"/>
    <x v="10"/>
    <n v="41.725879512812497"/>
    <n v="15229.9460221766"/>
    <n v="54827.805679835597"/>
  </r>
  <r>
    <x v="0"/>
    <x v="0"/>
    <x v="0"/>
    <x v="9"/>
    <x v="18"/>
    <s v="SE2_EL"/>
    <x v="2"/>
    <x v="2"/>
    <s v="GBPR_MUNIWASTE_24"/>
    <x v="0"/>
    <x v="11"/>
    <n v="41.725879512812497"/>
    <n v="15229.9460221766"/>
    <n v="54827.805679835597"/>
  </r>
  <r>
    <x v="0"/>
    <x v="0"/>
    <x v="0"/>
    <x v="9"/>
    <x v="18"/>
    <s v="SE2_EL"/>
    <x v="2"/>
    <x v="2"/>
    <s v="GBPR_MUNIWASTE_24"/>
    <x v="0"/>
    <x v="12"/>
    <n v="41.725879512812497"/>
    <n v="15229.9460221766"/>
    <n v="54827.805679835597"/>
  </r>
  <r>
    <x v="0"/>
    <x v="0"/>
    <x v="0"/>
    <x v="9"/>
    <x v="18"/>
    <s v="SE2_EL"/>
    <x v="2"/>
    <x v="2"/>
    <s v="GBPR_MUNIWASTE_24"/>
    <x v="0"/>
    <x v="13"/>
    <n v="41.725879512812497"/>
    <n v="15229.9460221766"/>
    <n v="54827.805679835597"/>
  </r>
  <r>
    <x v="0"/>
    <x v="0"/>
    <x v="0"/>
    <x v="9"/>
    <x v="18"/>
    <s v="SE2_EL"/>
    <x v="2"/>
    <x v="2"/>
    <s v="GBPR_MUNIWASTE_24"/>
    <x v="0"/>
    <x v="14"/>
    <n v="41.725879512812497"/>
    <n v="15229.9460221766"/>
    <n v="54827.805679835597"/>
  </r>
  <r>
    <x v="0"/>
    <x v="0"/>
    <x v="0"/>
    <x v="9"/>
    <x v="18"/>
    <s v="SE2_EL"/>
    <x v="2"/>
    <x v="2"/>
    <s v="GBPR_MUNIWASTE_24"/>
    <x v="0"/>
    <x v="15"/>
    <n v="41.725879512812497"/>
    <n v="15229.9460221766"/>
    <n v="54827.805679835597"/>
  </r>
  <r>
    <x v="0"/>
    <x v="0"/>
    <x v="0"/>
    <x v="9"/>
    <x v="18"/>
    <s v="SE2_EL"/>
    <x v="2"/>
    <x v="2"/>
    <s v="GBPR_MUNIWASTE_24"/>
    <x v="0"/>
    <x v="16"/>
    <n v="41.725879512812497"/>
    <n v="15229.9460221766"/>
    <n v="54827.805679835597"/>
  </r>
  <r>
    <x v="0"/>
    <x v="0"/>
    <x v="0"/>
    <x v="9"/>
    <x v="18"/>
    <s v="SE2_EL"/>
    <x v="2"/>
    <x v="2"/>
    <s v="GBPR_MUNIWASTE_24"/>
    <x v="0"/>
    <x v="17"/>
    <n v="41.725879512812497"/>
    <n v="15229.9460221766"/>
    <n v="54827.805679835597"/>
  </r>
  <r>
    <x v="0"/>
    <x v="0"/>
    <x v="0"/>
    <x v="9"/>
    <x v="18"/>
    <s v="SE2_EL"/>
    <x v="2"/>
    <x v="2"/>
    <s v="GBPR_MUNIWASTE_24"/>
    <x v="0"/>
    <x v="19"/>
    <n v="41.725879512812497"/>
    <n v="15229.9460221766"/>
    <n v="54827.805679835597"/>
  </r>
  <r>
    <x v="0"/>
    <x v="0"/>
    <x v="0"/>
    <x v="9"/>
    <x v="18"/>
    <s v="SE2_EL"/>
    <x v="2"/>
    <x v="2"/>
    <s v="GBPR_MUNIWASTE_24"/>
    <x v="0"/>
    <x v="20"/>
    <n v="41.725879512812497"/>
    <n v="15229.9460221766"/>
    <n v="54827.805679835597"/>
  </r>
  <r>
    <x v="0"/>
    <x v="0"/>
    <x v="0"/>
    <x v="9"/>
    <x v="18"/>
    <s v="SE2_EL"/>
    <x v="2"/>
    <x v="2"/>
    <s v="GBPR_MUNIWASTE_24"/>
    <x v="0"/>
    <x v="21"/>
    <n v="41.725879512812497"/>
    <n v="15229.9460221766"/>
    <n v="54827.805679835597"/>
  </r>
  <r>
    <x v="0"/>
    <x v="0"/>
    <x v="0"/>
    <x v="9"/>
    <x v="18"/>
    <s v="SE2_EL"/>
    <x v="2"/>
    <x v="2"/>
    <s v="GBPR_MUNIWASTE_24"/>
    <x v="0"/>
    <x v="22"/>
    <n v="41.725879512812497"/>
    <n v="15229.9460221766"/>
    <n v="54827.805679835597"/>
  </r>
  <r>
    <x v="0"/>
    <x v="0"/>
    <x v="0"/>
    <x v="9"/>
    <x v="18"/>
    <s v="SE2_EL"/>
    <x v="2"/>
    <x v="2"/>
    <s v="GBPR_MUNIWASTE_24"/>
    <x v="0"/>
    <x v="23"/>
    <n v="41.725879512812497"/>
    <n v="15229.9460221766"/>
    <n v="54827.805679835597"/>
  </r>
  <r>
    <x v="0"/>
    <x v="0"/>
    <x v="0"/>
    <x v="9"/>
    <x v="18"/>
    <s v="SE2_EL"/>
    <x v="10"/>
    <x v="2"/>
    <s v="GBPR_WOODWASTE_25"/>
    <x v="0"/>
    <x v="0"/>
    <n v="11.1719286338285"/>
    <n v="4077.7539513474098"/>
    <n v="14679.9142248507"/>
  </r>
  <r>
    <x v="0"/>
    <x v="0"/>
    <x v="0"/>
    <x v="9"/>
    <x v="18"/>
    <s v="SE2_EL"/>
    <x v="10"/>
    <x v="2"/>
    <s v="GBPR_WOODWASTE_25"/>
    <x v="0"/>
    <x v="1"/>
    <n v="10.994982264010901"/>
    <n v="4013.1685263639902"/>
    <n v="14447.4066949104"/>
  </r>
  <r>
    <x v="0"/>
    <x v="0"/>
    <x v="0"/>
    <x v="9"/>
    <x v="18"/>
    <s v="SE2_EL"/>
    <x v="10"/>
    <x v="2"/>
    <s v="GBPR_WOODWASTE_25"/>
    <x v="0"/>
    <x v="18"/>
    <n v="11.860534243578799"/>
    <n v="4329.0949989062701"/>
    <n v="15584.741996062599"/>
  </r>
  <r>
    <x v="0"/>
    <x v="0"/>
    <x v="0"/>
    <x v="9"/>
    <x v="18"/>
    <s v="SE2_EL"/>
    <x v="10"/>
    <x v="2"/>
    <s v="GBPR_WOODWASTE_25"/>
    <x v="0"/>
    <x v="2"/>
    <n v="15.167412693719101"/>
    <n v="5536.1056332074604"/>
    <n v="19929.9802795469"/>
  </r>
  <r>
    <x v="0"/>
    <x v="0"/>
    <x v="0"/>
    <x v="9"/>
    <x v="18"/>
    <s v="SE2_EL"/>
    <x v="10"/>
    <x v="2"/>
    <s v="GBPR_WOODWASTE_25"/>
    <x v="0"/>
    <x v="3"/>
    <n v="19.771933457833899"/>
    <n v="7216.7557121093796"/>
    <n v="25980.320563593799"/>
  </r>
  <r>
    <x v="0"/>
    <x v="0"/>
    <x v="0"/>
    <x v="9"/>
    <x v="18"/>
    <s v="SE2_EL"/>
    <x v="10"/>
    <x v="2"/>
    <s v="GBPR_WOODWASTE_25"/>
    <x v="0"/>
    <x v="4"/>
    <n v="23.381526784013701"/>
    <n v="8534.2572761650099"/>
    <n v="30723.326194194098"/>
  </r>
  <r>
    <x v="0"/>
    <x v="0"/>
    <x v="0"/>
    <x v="9"/>
    <x v="18"/>
    <s v="SE2_EL"/>
    <x v="10"/>
    <x v="2"/>
    <s v="GBPR_WOODWASTE_25"/>
    <x v="0"/>
    <x v="5"/>
    <n v="35.179439130863798"/>
    <n v="12840.4952827653"/>
    <n v="46225.783017955"/>
  </r>
  <r>
    <x v="0"/>
    <x v="0"/>
    <x v="0"/>
    <x v="9"/>
    <x v="18"/>
    <s v="SE2_EL"/>
    <x v="10"/>
    <x v="2"/>
    <s v="GBPR_WOODWASTE_25"/>
    <x v="0"/>
    <x v="6"/>
    <n v="41.699525481917199"/>
    <n v="15220.3268008998"/>
    <n v="54793.1764832392"/>
  </r>
  <r>
    <x v="0"/>
    <x v="0"/>
    <x v="0"/>
    <x v="9"/>
    <x v="18"/>
    <s v="SE2_EL"/>
    <x v="10"/>
    <x v="2"/>
    <s v="GBPR_WOODWASTE_25"/>
    <x v="0"/>
    <x v="7"/>
    <n v="40.605572396746197"/>
    <n v="14821.0339248124"/>
    <n v="53355.722129324502"/>
  </r>
  <r>
    <x v="0"/>
    <x v="0"/>
    <x v="0"/>
    <x v="9"/>
    <x v="18"/>
    <s v="SE2_EL"/>
    <x v="10"/>
    <x v="2"/>
    <s v="GBPR_WOODWASTE_25"/>
    <x v="0"/>
    <x v="8"/>
    <n v="40.840018941625097"/>
    <n v="14906.6069136932"/>
    <n v="53663.784889295399"/>
  </r>
  <r>
    <x v="0"/>
    <x v="0"/>
    <x v="0"/>
    <x v="9"/>
    <x v="18"/>
    <s v="SE2_EL"/>
    <x v="10"/>
    <x v="2"/>
    <s v="GBPR_WOODWASTE_25"/>
    <x v="0"/>
    <x v="9"/>
    <n v="36.970165438544697"/>
    <n v="13494.1103850688"/>
    <n v="48578.797386247803"/>
  </r>
  <r>
    <x v="0"/>
    <x v="0"/>
    <x v="0"/>
    <x v="9"/>
    <x v="18"/>
    <s v="SE2_EL"/>
    <x v="10"/>
    <x v="2"/>
    <s v="GBPR_WOODWASTE_25"/>
    <x v="0"/>
    <x v="10"/>
    <n v="35.443217387256503"/>
    <n v="12936.7743463486"/>
    <n v="46572.387646855001"/>
  </r>
  <r>
    <x v="0"/>
    <x v="0"/>
    <x v="0"/>
    <x v="9"/>
    <x v="18"/>
    <s v="SE2_EL"/>
    <x v="10"/>
    <x v="2"/>
    <s v="GBPR_WOODWASTE_25"/>
    <x v="0"/>
    <x v="11"/>
    <n v="35.074175184143797"/>
    <n v="12802.073942212501"/>
    <n v="46087.466191965003"/>
  </r>
  <r>
    <x v="0"/>
    <x v="0"/>
    <x v="0"/>
    <x v="9"/>
    <x v="18"/>
    <s v="SE2_EL"/>
    <x v="10"/>
    <x v="2"/>
    <s v="GBPR_WOODWASTE_25"/>
    <x v="0"/>
    <x v="12"/>
    <n v="34.848439861516198"/>
    <n v="12719.6805494534"/>
    <n v="45790.849978032304"/>
  </r>
  <r>
    <x v="0"/>
    <x v="0"/>
    <x v="0"/>
    <x v="9"/>
    <x v="18"/>
    <s v="SE2_EL"/>
    <x v="10"/>
    <x v="2"/>
    <s v="GBPR_WOODWASTE_25"/>
    <x v="0"/>
    <x v="13"/>
    <n v="34.062737400021298"/>
    <n v="12432.899151007799"/>
    <n v="44758.436943627901"/>
  </r>
  <r>
    <x v="0"/>
    <x v="0"/>
    <x v="0"/>
    <x v="9"/>
    <x v="18"/>
    <s v="SE2_EL"/>
    <x v="10"/>
    <x v="2"/>
    <s v="GBPR_WOODWASTE_25"/>
    <x v="0"/>
    <x v="14"/>
    <n v="35.429144271363398"/>
    <n v="12931.637659047599"/>
    <n v="46553.895572571499"/>
  </r>
  <r>
    <x v="0"/>
    <x v="0"/>
    <x v="0"/>
    <x v="9"/>
    <x v="18"/>
    <s v="SE2_EL"/>
    <x v="10"/>
    <x v="2"/>
    <s v="GBPR_WOODWASTE_25"/>
    <x v="0"/>
    <x v="15"/>
    <n v="28.160176111072801"/>
    <n v="10278.464280541601"/>
    <n v="37002.471409949598"/>
  </r>
  <r>
    <x v="0"/>
    <x v="0"/>
    <x v="0"/>
    <x v="9"/>
    <x v="18"/>
    <s v="SE2_EL"/>
    <x v="10"/>
    <x v="2"/>
    <s v="GBPR_WOODWASTE_25"/>
    <x v="0"/>
    <x v="16"/>
    <n v="24.1123807467456"/>
    <n v="8801.0189725621494"/>
    <n v="31683.668301223701"/>
  </r>
  <r>
    <x v="0"/>
    <x v="0"/>
    <x v="0"/>
    <x v="9"/>
    <x v="18"/>
    <s v="SE2_EL"/>
    <x v="10"/>
    <x v="2"/>
    <s v="GBPR_WOODWASTE_25"/>
    <x v="0"/>
    <x v="17"/>
    <n v="21.307587655184001"/>
    <n v="7777.2694941421496"/>
    <n v="27998.1701789117"/>
  </r>
  <r>
    <x v="0"/>
    <x v="0"/>
    <x v="0"/>
    <x v="9"/>
    <x v="18"/>
    <s v="SE2_EL"/>
    <x v="10"/>
    <x v="2"/>
    <s v="GBPR_WOODWASTE_25"/>
    <x v="0"/>
    <x v="19"/>
    <n v="18.1443331015724"/>
    <n v="6622.6815820739403"/>
    <n v="23841.653695466201"/>
  </r>
  <r>
    <x v="0"/>
    <x v="0"/>
    <x v="0"/>
    <x v="9"/>
    <x v="18"/>
    <s v="SE2_EL"/>
    <x v="10"/>
    <x v="2"/>
    <s v="GBPR_WOODWASTE_25"/>
    <x v="0"/>
    <x v="20"/>
    <n v="15.3829598906076"/>
    <n v="5614.7803600717798"/>
    <n v="20213.209296258399"/>
  </r>
  <r>
    <x v="0"/>
    <x v="0"/>
    <x v="0"/>
    <x v="9"/>
    <x v="18"/>
    <s v="SE2_EL"/>
    <x v="10"/>
    <x v="2"/>
    <s v="GBPR_WOODWASTE_25"/>
    <x v="0"/>
    <x v="21"/>
    <n v="13.561996427631399"/>
    <n v="4950.1286960854504"/>
    <n v="17820.4633059076"/>
  </r>
  <r>
    <x v="0"/>
    <x v="0"/>
    <x v="0"/>
    <x v="9"/>
    <x v="18"/>
    <s v="SE2_EL"/>
    <x v="10"/>
    <x v="2"/>
    <s v="GBPR_WOODWASTE_25"/>
    <x v="0"/>
    <x v="22"/>
    <n v="9.8979428253982498"/>
    <n v="3612.7491312703601"/>
    <n v="13005.896872573299"/>
  </r>
  <r>
    <x v="0"/>
    <x v="0"/>
    <x v="0"/>
    <x v="9"/>
    <x v="18"/>
    <s v="SE2_EL"/>
    <x v="10"/>
    <x v="2"/>
    <s v="GBPR_WOODWASTE_25"/>
    <x v="0"/>
    <x v="23"/>
    <n v="5.2302002307418602"/>
    <n v="1909.02308422078"/>
    <n v="6872.4831031948097"/>
  </r>
  <r>
    <x v="0"/>
    <x v="0"/>
    <x v="0"/>
    <x v="9"/>
    <x v="18"/>
    <s v="SE2_EL"/>
    <x v="10"/>
    <x v="0"/>
    <s v="GEXT_WOODWASTE_HORNEBORG"/>
    <x v="0"/>
    <x v="0"/>
    <n v="33.884238178634"/>
    <n v="12367.7469352014"/>
    <n v="44523.888966724997"/>
  </r>
  <r>
    <x v="0"/>
    <x v="0"/>
    <x v="0"/>
    <x v="9"/>
    <x v="18"/>
    <s v="SE2_EL"/>
    <x v="10"/>
    <x v="0"/>
    <s v="GEXT_WOODWASTE_HORNEBORG"/>
    <x v="0"/>
    <x v="1"/>
    <n v="33.884238178634"/>
    <n v="12367.7469352014"/>
    <n v="44523.888966724997"/>
  </r>
  <r>
    <x v="0"/>
    <x v="0"/>
    <x v="0"/>
    <x v="9"/>
    <x v="18"/>
    <s v="SE2_EL"/>
    <x v="10"/>
    <x v="0"/>
    <s v="GEXT_WOODWASTE_HORNEBORG"/>
    <x v="0"/>
    <x v="18"/>
    <n v="33.884238178634"/>
    <n v="12367.7469352014"/>
    <n v="44523.888966724997"/>
  </r>
  <r>
    <x v="0"/>
    <x v="0"/>
    <x v="0"/>
    <x v="9"/>
    <x v="18"/>
    <s v="SE2_EL"/>
    <x v="10"/>
    <x v="0"/>
    <s v="GEXT_WOODWASTE_HORNEBORG"/>
    <x v="0"/>
    <x v="2"/>
    <n v="33.884238178634"/>
    <n v="12367.7469352014"/>
    <n v="44523.888966724997"/>
  </r>
  <r>
    <x v="0"/>
    <x v="0"/>
    <x v="0"/>
    <x v="9"/>
    <x v="18"/>
    <s v="SE2_EL"/>
    <x v="10"/>
    <x v="0"/>
    <s v="GEXT_WOODWASTE_HORNEBORG"/>
    <x v="0"/>
    <x v="3"/>
    <n v="33.884238178634"/>
    <n v="12367.7469352014"/>
    <n v="44523.888966724997"/>
  </r>
  <r>
    <x v="0"/>
    <x v="0"/>
    <x v="0"/>
    <x v="9"/>
    <x v="18"/>
    <s v="SE2_EL"/>
    <x v="10"/>
    <x v="0"/>
    <s v="GEXT_WOODWASTE_HORNEBORG"/>
    <x v="0"/>
    <x v="4"/>
    <n v="33.884238178634"/>
    <n v="12367.7469352014"/>
    <n v="44523.888966724997"/>
  </r>
  <r>
    <x v="0"/>
    <x v="0"/>
    <x v="0"/>
    <x v="9"/>
    <x v="18"/>
    <s v="SE2_EL"/>
    <x v="10"/>
    <x v="0"/>
    <s v="GEXT_WOODWASTE_HORNEBORG"/>
    <x v="0"/>
    <x v="5"/>
    <n v="33.884238178634"/>
    <n v="12367.7469352014"/>
    <n v="44523.888966724997"/>
  </r>
  <r>
    <x v="0"/>
    <x v="0"/>
    <x v="0"/>
    <x v="9"/>
    <x v="18"/>
    <s v="SE2_EL"/>
    <x v="10"/>
    <x v="0"/>
    <s v="GEXT_WOODWASTE_HORNEBORG"/>
    <x v="0"/>
    <x v="6"/>
    <n v="33.884238178634"/>
    <n v="12367.7469352014"/>
    <n v="44523.888966724997"/>
  </r>
  <r>
    <x v="0"/>
    <x v="0"/>
    <x v="0"/>
    <x v="9"/>
    <x v="18"/>
    <s v="SE2_EL"/>
    <x v="10"/>
    <x v="0"/>
    <s v="GEXT_WOODWASTE_HORNEBORG"/>
    <x v="0"/>
    <x v="7"/>
    <n v="33.884238178634"/>
    <n v="12367.7469352014"/>
    <n v="44523.888966724997"/>
  </r>
  <r>
    <x v="0"/>
    <x v="0"/>
    <x v="0"/>
    <x v="9"/>
    <x v="18"/>
    <s v="SE2_EL"/>
    <x v="10"/>
    <x v="0"/>
    <s v="GEXT_WOODWASTE_HORNEBORG"/>
    <x v="0"/>
    <x v="8"/>
    <n v="33.884238178634"/>
    <n v="12367.7469352014"/>
    <n v="44523.888966724997"/>
  </r>
  <r>
    <x v="0"/>
    <x v="0"/>
    <x v="0"/>
    <x v="9"/>
    <x v="18"/>
    <s v="SE2_EL"/>
    <x v="10"/>
    <x v="0"/>
    <s v="GEXT_WOODWASTE_HORNEBORG"/>
    <x v="0"/>
    <x v="9"/>
    <n v="33.884238178634"/>
    <n v="12367.7469352014"/>
    <n v="44523.888966724997"/>
  </r>
  <r>
    <x v="0"/>
    <x v="0"/>
    <x v="0"/>
    <x v="9"/>
    <x v="18"/>
    <s v="SE2_EL"/>
    <x v="10"/>
    <x v="0"/>
    <s v="GEXT_WOODWASTE_HORNEBORG"/>
    <x v="0"/>
    <x v="10"/>
    <n v="33.884238178634"/>
    <n v="12367.7469352014"/>
    <n v="44523.888966724997"/>
  </r>
  <r>
    <x v="0"/>
    <x v="0"/>
    <x v="0"/>
    <x v="9"/>
    <x v="18"/>
    <s v="SE2_EL"/>
    <x v="10"/>
    <x v="0"/>
    <s v="GEXT_WOODWASTE_HORNEBORG"/>
    <x v="0"/>
    <x v="11"/>
    <n v="33.884238178634"/>
    <n v="12367.7469352014"/>
    <n v="44523.888966724997"/>
  </r>
  <r>
    <x v="0"/>
    <x v="0"/>
    <x v="0"/>
    <x v="9"/>
    <x v="18"/>
    <s v="SE2_EL"/>
    <x v="10"/>
    <x v="0"/>
    <s v="GEXT_WOODWASTE_HORNEBORG"/>
    <x v="0"/>
    <x v="12"/>
    <n v="33.884238178634"/>
    <n v="12367.7469352014"/>
    <n v="44523.888966724997"/>
  </r>
  <r>
    <x v="0"/>
    <x v="0"/>
    <x v="0"/>
    <x v="9"/>
    <x v="18"/>
    <s v="SE2_EL"/>
    <x v="10"/>
    <x v="0"/>
    <s v="GEXT_WOODWASTE_HORNEBORG"/>
    <x v="0"/>
    <x v="13"/>
    <n v="33.884238178634"/>
    <n v="12367.7469352014"/>
    <n v="44523.888966724997"/>
  </r>
  <r>
    <x v="0"/>
    <x v="0"/>
    <x v="0"/>
    <x v="9"/>
    <x v="18"/>
    <s v="SE2_EL"/>
    <x v="10"/>
    <x v="0"/>
    <s v="GEXT_WOODWASTE_HORNEBORG"/>
    <x v="0"/>
    <x v="14"/>
    <n v="33.884238178634"/>
    <n v="12367.7469352014"/>
    <n v="44523.888966724997"/>
  </r>
  <r>
    <x v="0"/>
    <x v="0"/>
    <x v="0"/>
    <x v="9"/>
    <x v="18"/>
    <s v="SE2_EL"/>
    <x v="10"/>
    <x v="0"/>
    <s v="GEXT_WOODWASTE_HORNEBORG"/>
    <x v="0"/>
    <x v="15"/>
    <n v="33.884238178634"/>
    <n v="12367.7469352014"/>
    <n v="44523.888966724997"/>
  </r>
  <r>
    <x v="0"/>
    <x v="0"/>
    <x v="0"/>
    <x v="9"/>
    <x v="18"/>
    <s v="SE2_EL"/>
    <x v="10"/>
    <x v="0"/>
    <s v="GEXT_WOODWASTE_HORNEBORG"/>
    <x v="0"/>
    <x v="16"/>
    <n v="33.884238178634"/>
    <n v="12367.7469352014"/>
    <n v="44523.888966724997"/>
  </r>
  <r>
    <x v="0"/>
    <x v="0"/>
    <x v="0"/>
    <x v="9"/>
    <x v="18"/>
    <s v="SE2_EL"/>
    <x v="10"/>
    <x v="0"/>
    <s v="GEXT_WOODWASTE_HORNEBORG"/>
    <x v="0"/>
    <x v="17"/>
    <n v="33.884238178634"/>
    <n v="12367.7469352014"/>
    <n v="44523.888966724997"/>
  </r>
  <r>
    <x v="0"/>
    <x v="0"/>
    <x v="0"/>
    <x v="9"/>
    <x v="18"/>
    <s v="SE2_EL"/>
    <x v="10"/>
    <x v="0"/>
    <s v="GEXT_WOODWASTE_HORNEBORG"/>
    <x v="0"/>
    <x v="19"/>
    <n v="33.884238178634"/>
    <n v="12367.7469352014"/>
    <n v="44523.888966724997"/>
  </r>
  <r>
    <x v="0"/>
    <x v="0"/>
    <x v="0"/>
    <x v="9"/>
    <x v="18"/>
    <s v="SE2_EL"/>
    <x v="10"/>
    <x v="0"/>
    <s v="GEXT_WOODWASTE_HORNEBORG"/>
    <x v="0"/>
    <x v="20"/>
    <n v="33.884238178634"/>
    <n v="12367.7469352014"/>
    <n v="44523.888966724997"/>
  </r>
  <r>
    <x v="0"/>
    <x v="0"/>
    <x v="0"/>
    <x v="9"/>
    <x v="18"/>
    <s v="SE2_EL"/>
    <x v="10"/>
    <x v="0"/>
    <s v="GEXT_WOODWASTE_HORNEBORG"/>
    <x v="0"/>
    <x v="21"/>
    <n v="33.884238178634"/>
    <n v="12367.7469352014"/>
    <n v="44523.888966724997"/>
  </r>
  <r>
    <x v="0"/>
    <x v="0"/>
    <x v="0"/>
    <x v="9"/>
    <x v="18"/>
    <s v="SE2_EL"/>
    <x v="10"/>
    <x v="0"/>
    <s v="GEXT_WOODWASTE_HORNEBORG"/>
    <x v="0"/>
    <x v="22"/>
    <n v="33.884238178634"/>
    <n v="12367.7469352014"/>
    <n v="44523.888966724997"/>
  </r>
  <r>
    <x v="0"/>
    <x v="0"/>
    <x v="0"/>
    <x v="9"/>
    <x v="18"/>
    <s v="SE2_EL"/>
    <x v="10"/>
    <x v="0"/>
    <s v="GEXT_WOODWASTE_HORNEBORG"/>
    <x v="0"/>
    <x v="23"/>
    <n v="33.884238178634"/>
    <n v="12367.7469352014"/>
    <n v="44523.888966724997"/>
  </r>
  <r>
    <x v="0"/>
    <x v="0"/>
    <x v="0"/>
    <x v="9"/>
    <x v="18"/>
    <s v="SE2_OTHER"/>
    <x v="2"/>
    <x v="2"/>
    <s v="GBPR_MUNIWASTE_24"/>
    <x v="0"/>
    <x v="0"/>
    <n v="3.1627952466180802"/>
    <n v="1154.4202650156001"/>
    <n v="4155.9129540561598"/>
  </r>
  <r>
    <x v="0"/>
    <x v="0"/>
    <x v="0"/>
    <x v="9"/>
    <x v="18"/>
    <s v="SE2_OTHER"/>
    <x v="2"/>
    <x v="2"/>
    <s v="GBPR_MUNIWASTE_24"/>
    <x v="0"/>
    <x v="1"/>
    <n v="3.1627952466180802"/>
    <n v="1154.4202650156001"/>
    <n v="4155.9129540561598"/>
  </r>
  <r>
    <x v="0"/>
    <x v="0"/>
    <x v="0"/>
    <x v="9"/>
    <x v="18"/>
    <s v="SE2_OTHER"/>
    <x v="2"/>
    <x v="2"/>
    <s v="GBPR_MUNIWASTE_24"/>
    <x v="0"/>
    <x v="18"/>
    <n v="3.1627952466180802"/>
    <n v="1154.4202650156001"/>
    <n v="4155.9129540561598"/>
  </r>
  <r>
    <x v="0"/>
    <x v="0"/>
    <x v="0"/>
    <x v="9"/>
    <x v="18"/>
    <s v="SE2_OTHER"/>
    <x v="2"/>
    <x v="2"/>
    <s v="GBPR_MUNIWASTE_24"/>
    <x v="0"/>
    <x v="2"/>
    <n v="3.1627952466180802"/>
    <n v="1154.4202650156001"/>
    <n v="4155.9129540561598"/>
  </r>
  <r>
    <x v="0"/>
    <x v="0"/>
    <x v="0"/>
    <x v="9"/>
    <x v="18"/>
    <s v="SE2_OTHER"/>
    <x v="2"/>
    <x v="2"/>
    <s v="GBPR_MUNIWASTE_24"/>
    <x v="0"/>
    <x v="3"/>
    <n v="3.1627952466180802"/>
    <n v="1154.4202650156001"/>
    <n v="4155.9129540561598"/>
  </r>
  <r>
    <x v="0"/>
    <x v="0"/>
    <x v="0"/>
    <x v="9"/>
    <x v="18"/>
    <s v="SE2_OTHER"/>
    <x v="2"/>
    <x v="2"/>
    <s v="GBPR_MUNIWASTE_24"/>
    <x v="0"/>
    <x v="4"/>
    <n v="3.1627952466180802"/>
    <n v="1154.4202650156001"/>
    <n v="4155.9129540561598"/>
  </r>
  <r>
    <x v="0"/>
    <x v="0"/>
    <x v="0"/>
    <x v="9"/>
    <x v="18"/>
    <s v="SE2_OTHER"/>
    <x v="2"/>
    <x v="2"/>
    <s v="GBPR_MUNIWASTE_24"/>
    <x v="0"/>
    <x v="5"/>
    <n v="3.1627952466180802"/>
    <n v="1154.4202650156001"/>
    <n v="4155.9129540561598"/>
  </r>
  <r>
    <x v="0"/>
    <x v="0"/>
    <x v="0"/>
    <x v="9"/>
    <x v="18"/>
    <s v="SE2_OTHER"/>
    <x v="2"/>
    <x v="2"/>
    <s v="GBPR_MUNIWASTE_24"/>
    <x v="0"/>
    <x v="6"/>
    <n v="3.1627952466180802"/>
    <n v="1154.4202650156001"/>
    <n v="4155.9129540561598"/>
  </r>
  <r>
    <x v="0"/>
    <x v="0"/>
    <x v="0"/>
    <x v="9"/>
    <x v="18"/>
    <s v="SE2_OTHER"/>
    <x v="2"/>
    <x v="2"/>
    <s v="GBPR_MUNIWASTE_24"/>
    <x v="0"/>
    <x v="7"/>
    <n v="3.1627952466180802"/>
    <n v="1154.4202650156001"/>
    <n v="4155.9129540561598"/>
  </r>
  <r>
    <x v="0"/>
    <x v="0"/>
    <x v="0"/>
    <x v="9"/>
    <x v="18"/>
    <s v="SE2_OTHER"/>
    <x v="2"/>
    <x v="2"/>
    <s v="GBPR_MUNIWASTE_24"/>
    <x v="0"/>
    <x v="8"/>
    <n v="3.1627952466180802"/>
    <n v="1154.4202650156001"/>
    <n v="4155.9129540561598"/>
  </r>
  <r>
    <x v="0"/>
    <x v="0"/>
    <x v="0"/>
    <x v="9"/>
    <x v="18"/>
    <s v="SE2_OTHER"/>
    <x v="2"/>
    <x v="2"/>
    <s v="GBPR_MUNIWASTE_24"/>
    <x v="0"/>
    <x v="9"/>
    <n v="3.1627952466180802"/>
    <n v="1154.4202650156001"/>
    <n v="4155.9129540561598"/>
  </r>
  <r>
    <x v="0"/>
    <x v="0"/>
    <x v="0"/>
    <x v="9"/>
    <x v="18"/>
    <s v="SE2_OTHER"/>
    <x v="2"/>
    <x v="2"/>
    <s v="GBPR_MUNIWASTE_24"/>
    <x v="0"/>
    <x v="10"/>
    <n v="3.1627952466180802"/>
    <n v="1154.4202650156001"/>
    <n v="4155.9129540561598"/>
  </r>
  <r>
    <x v="0"/>
    <x v="0"/>
    <x v="0"/>
    <x v="9"/>
    <x v="18"/>
    <s v="SE2_OTHER"/>
    <x v="2"/>
    <x v="2"/>
    <s v="GBPR_MUNIWASTE_24"/>
    <x v="0"/>
    <x v="11"/>
    <n v="3.1627952466180802"/>
    <n v="1154.4202650156001"/>
    <n v="4155.9129540561598"/>
  </r>
  <r>
    <x v="0"/>
    <x v="0"/>
    <x v="0"/>
    <x v="9"/>
    <x v="18"/>
    <s v="SE2_OTHER"/>
    <x v="2"/>
    <x v="2"/>
    <s v="GBPR_MUNIWASTE_24"/>
    <x v="0"/>
    <x v="12"/>
    <n v="3.1627952466180802"/>
    <n v="1154.4202650156001"/>
    <n v="4155.9129540561598"/>
  </r>
  <r>
    <x v="0"/>
    <x v="0"/>
    <x v="0"/>
    <x v="9"/>
    <x v="18"/>
    <s v="SE2_OTHER"/>
    <x v="2"/>
    <x v="2"/>
    <s v="GBPR_MUNIWASTE_24"/>
    <x v="0"/>
    <x v="13"/>
    <n v="3.1627952466180802"/>
    <n v="1154.4202650156001"/>
    <n v="4155.9129540561598"/>
  </r>
  <r>
    <x v="0"/>
    <x v="0"/>
    <x v="0"/>
    <x v="9"/>
    <x v="18"/>
    <s v="SE2_OTHER"/>
    <x v="2"/>
    <x v="2"/>
    <s v="GBPR_MUNIWASTE_24"/>
    <x v="0"/>
    <x v="14"/>
    <n v="3.1627952466180802"/>
    <n v="1154.4202650156001"/>
    <n v="4155.9129540561598"/>
  </r>
  <r>
    <x v="0"/>
    <x v="0"/>
    <x v="0"/>
    <x v="9"/>
    <x v="18"/>
    <s v="SE2_OTHER"/>
    <x v="2"/>
    <x v="2"/>
    <s v="GBPR_MUNIWASTE_24"/>
    <x v="0"/>
    <x v="15"/>
    <n v="3.1627952466180802"/>
    <n v="1154.4202650156001"/>
    <n v="4155.9129540561598"/>
  </r>
  <r>
    <x v="0"/>
    <x v="0"/>
    <x v="0"/>
    <x v="9"/>
    <x v="18"/>
    <s v="SE2_OTHER"/>
    <x v="2"/>
    <x v="2"/>
    <s v="GBPR_MUNIWASTE_24"/>
    <x v="0"/>
    <x v="16"/>
    <n v="3.1627952466180802"/>
    <n v="1154.4202650156001"/>
    <n v="4155.9129540561598"/>
  </r>
  <r>
    <x v="0"/>
    <x v="0"/>
    <x v="0"/>
    <x v="9"/>
    <x v="18"/>
    <s v="SE2_OTHER"/>
    <x v="2"/>
    <x v="2"/>
    <s v="GBPR_MUNIWASTE_24"/>
    <x v="0"/>
    <x v="17"/>
    <n v="3.1627952466180802"/>
    <n v="1154.4202650156001"/>
    <n v="4155.9129540561598"/>
  </r>
  <r>
    <x v="0"/>
    <x v="0"/>
    <x v="0"/>
    <x v="9"/>
    <x v="18"/>
    <s v="SE2_OTHER"/>
    <x v="2"/>
    <x v="2"/>
    <s v="GBPR_MUNIWASTE_24"/>
    <x v="0"/>
    <x v="19"/>
    <n v="3.1627952466180802"/>
    <n v="1154.4202650156001"/>
    <n v="4155.9129540561598"/>
  </r>
  <r>
    <x v="0"/>
    <x v="0"/>
    <x v="0"/>
    <x v="9"/>
    <x v="18"/>
    <s v="SE2_OTHER"/>
    <x v="2"/>
    <x v="2"/>
    <s v="GBPR_MUNIWASTE_24"/>
    <x v="0"/>
    <x v="20"/>
    <n v="3.1627952466180802"/>
    <n v="1154.4202650156001"/>
    <n v="4155.9129540561598"/>
  </r>
  <r>
    <x v="0"/>
    <x v="0"/>
    <x v="0"/>
    <x v="9"/>
    <x v="18"/>
    <s v="SE2_OTHER"/>
    <x v="2"/>
    <x v="2"/>
    <s v="GBPR_MUNIWASTE_24"/>
    <x v="0"/>
    <x v="21"/>
    <n v="3.1627952466180802"/>
    <n v="1154.4202650156001"/>
    <n v="4155.9129540561598"/>
  </r>
  <r>
    <x v="0"/>
    <x v="0"/>
    <x v="0"/>
    <x v="9"/>
    <x v="18"/>
    <s v="SE2_OTHER"/>
    <x v="2"/>
    <x v="2"/>
    <s v="GBPR_MUNIWASTE_24"/>
    <x v="0"/>
    <x v="22"/>
    <n v="3.1627952466180802"/>
    <n v="1154.4202650156001"/>
    <n v="4155.9129540561598"/>
  </r>
  <r>
    <x v="0"/>
    <x v="0"/>
    <x v="0"/>
    <x v="9"/>
    <x v="18"/>
    <s v="SE2_OTHER"/>
    <x v="2"/>
    <x v="2"/>
    <s v="GBPR_MUNIWASTE_24"/>
    <x v="0"/>
    <x v="23"/>
    <n v="3.1627952466180802"/>
    <n v="1154.4202650156001"/>
    <n v="4155.9129540561598"/>
  </r>
  <r>
    <x v="0"/>
    <x v="0"/>
    <x v="0"/>
    <x v="9"/>
    <x v="18"/>
    <s v="SE2_OTHER"/>
    <x v="10"/>
    <x v="2"/>
    <s v="GBPR_WOODWASTE_36"/>
    <x v="0"/>
    <x v="0"/>
    <n v="43.576919441298401"/>
    <n v="15905.575596073901"/>
    <n v="57260.072145866099"/>
  </r>
  <r>
    <x v="0"/>
    <x v="0"/>
    <x v="0"/>
    <x v="9"/>
    <x v="18"/>
    <s v="SE2_OTHER"/>
    <x v="10"/>
    <x v="2"/>
    <s v="GBPR_WOODWASTE_36"/>
    <x v="0"/>
    <x v="1"/>
    <n v="43.576919441298401"/>
    <n v="15905.575596073901"/>
    <n v="57260.072145866099"/>
  </r>
  <r>
    <x v="0"/>
    <x v="0"/>
    <x v="0"/>
    <x v="9"/>
    <x v="18"/>
    <s v="SE2_OTHER"/>
    <x v="10"/>
    <x v="2"/>
    <s v="GBPR_WOODWASTE_36"/>
    <x v="0"/>
    <x v="18"/>
    <n v="43.576919441298401"/>
    <n v="15905.575596073901"/>
    <n v="57260.072145866099"/>
  </r>
  <r>
    <x v="0"/>
    <x v="0"/>
    <x v="0"/>
    <x v="9"/>
    <x v="18"/>
    <s v="SE2_OTHER"/>
    <x v="10"/>
    <x v="2"/>
    <s v="GBPR_WOODWASTE_36"/>
    <x v="0"/>
    <x v="2"/>
    <n v="43.576919441298401"/>
    <n v="15905.575596073901"/>
    <n v="57260.072145866099"/>
  </r>
  <r>
    <x v="0"/>
    <x v="0"/>
    <x v="0"/>
    <x v="9"/>
    <x v="18"/>
    <s v="SE2_OTHER"/>
    <x v="10"/>
    <x v="2"/>
    <s v="GBPR_WOODWASTE_36"/>
    <x v="0"/>
    <x v="3"/>
    <n v="43.576919441298401"/>
    <n v="15905.575596073901"/>
    <n v="57260.072145866099"/>
  </r>
  <r>
    <x v="0"/>
    <x v="0"/>
    <x v="0"/>
    <x v="9"/>
    <x v="18"/>
    <s v="SE2_OTHER"/>
    <x v="10"/>
    <x v="2"/>
    <s v="GBPR_WOODWASTE_36"/>
    <x v="0"/>
    <x v="4"/>
    <n v="43.576919441298401"/>
    <n v="15905.575596073901"/>
    <n v="57260.072145866099"/>
  </r>
  <r>
    <x v="0"/>
    <x v="0"/>
    <x v="0"/>
    <x v="9"/>
    <x v="18"/>
    <s v="SE2_OTHER"/>
    <x v="10"/>
    <x v="2"/>
    <s v="GBPR_WOODWASTE_36"/>
    <x v="0"/>
    <x v="5"/>
    <n v="43.576919441298401"/>
    <n v="15905.575596073901"/>
    <n v="57260.072145866099"/>
  </r>
  <r>
    <x v="0"/>
    <x v="0"/>
    <x v="0"/>
    <x v="9"/>
    <x v="18"/>
    <s v="SE2_OTHER"/>
    <x v="10"/>
    <x v="2"/>
    <s v="GBPR_WOODWASTE_36"/>
    <x v="0"/>
    <x v="6"/>
    <n v="43.576919441298401"/>
    <n v="15905.575596073901"/>
    <n v="57260.072145866099"/>
  </r>
  <r>
    <x v="0"/>
    <x v="0"/>
    <x v="0"/>
    <x v="9"/>
    <x v="18"/>
    <s v="SE2_OTHER"/>
    <x v="10"/>
    <x v="2"/>
    <s v="GBPR_WOODWASTE_36"/>
    <x v="0"/>
    <x v="7"/>
    <n v="43.576919441298401"/>
    <n v="15905.575596073901"/>
    <n v="57260.072145866099"/>
  </r>
  <r>
    <x v="0"/>
    <x v="0"/>
    <x v="0"/>
    <x v="9"/>
    <x v="18"/>
    <s v="SE2_OTHER"/>
    <x v="10"/>
    <x v="2"/>
    <s v="GBPR_WOODWASTE_36"/>
    <x v="0"/>
    <x v="8"/>
    <n v="43.576919441298401"/>
    <n v="15905.575596073901"/>
    <n v="57260.072145866099"/>
  </r>
  <r>
    <x v="0"/>
    <x v="0"/>
    <x v="0"/>
    <x v="9"/>
    <x v="18"/>
    <s v="SE2_OTHER"/>
    <x v="10"/>
    <x v="2"/>
    <s v="GBPR_WOODWASTE_36"/>
    <x v="0"/>
    <x v="9"/>
    <n v="43.576919441298401"/>
    <n v="15905.575596073901"/>
    <n v="57260.072145866099"/>
  </r>
  <r>
    <x v="0"/>
    <x v="0"/>
    <x v="0"/>
    <x v="9"/>
    <x v="18"/>
    <s v="SE2_OTHER"/>
    <x v="10"/>
    <x v="2"/>
    <s v="GBPR_WOODWASTE_36"/>
    <x v="0"/>
    <x v="10"/>
    <n v="43.576919441298401"/>
    <n v="15905.575596073901"/>
    <n v="57260.072145866099"/>
  </r>
  <r>
    <x v="0"/>
    <x v="0"/>
    <x v="0"/>
    <x v="9"/>
    <x v="18"/>
    <s v="SE2_OTHER"/>
    <x v="10"/>
    <x v="2"/>
    <s v="GBPR_WOODWASTE_36"/>
    <x v="0"/>
    <x v="11"/>
    <n v="43.576919441298401"/>
    <n v="15905.575596073901"/>
    <n v="57260.072145866099"/>
  </r>
  <r>
    <x v="0"/>
    <x v="0"/>
    <x v="0"/>
    <x v="9"/>
    <x v="18"/>
    <s v="SE2_OTHER"/>
    <x v="10"/>
    <x v="2"/>
    <s v="GBPR_WOODWASTE_36"/>
    <x v="0"/>
    <x v="12"/>
    <n v="43.576919441298401"/>
    <n v="15905.575596073901"/>
    <n v="57260.072145866099"/>
  </r>
  <r>
    <x v="0"/>
    <x v="0"/>
    <x v="0"/>
    <x v="9"/>
    <x v="18"/>
    <s v="SE2_OTHER"/>
    <x v="10"/>
    <x v="2"/>
    <s v="GBPR_WOODWASTE_36"/>
    <x v="0"/>
    <x v="13"/>
    <n v="43.576919441298401"/>
    <n v="15905.575596073901"/>
    <n v="57260.072145866099"/>
  </r>
  <r>
    <x v="0"/>
    <x v="0"/>
    <x v="0"/>
    <x v="9"/>
    <x v="18"/>
    <s v="SE2_OTHER"/>
    <x v="10"/>
    <x v="2"/>
    <s v="GBPR_WOODWASTE_36"/>
    <x v="0"/>
    <x v="14"/>
    <n v="43.576919441298401"/>
    <n v="15905.575596073901"/>
    <n v="57260.072145866099"/>
  </r>
  <r>
    <x v="0"/>
    <x v="0"/>
    <x v="0"/>
    <x v="9"/>
    <x v="18"/>
    <s v="SE2_OTHER"/>
    <x v="10"/>
    <x v="2"/>
    <s v="GBPR_WOODWASTE_36"/>
    <x v="0"/>
    <x v="15"/>
    <n v="43.576919441298401"/>
    <n v="15905.575596073901"/>
    <n v="57260.072145866099"/>
  </r>
  <r>
    <x v="0"/>
    <x v="0"/>
    <x v="0"/>
    <x v="9"/>
    <x v="18"/>
    <s v="SE2_OTHER"/>
    <x v="10"/>
    <x v="2"/>
    <s v="GBPR_WOODWASTE_36"/>
    <x v="0"/>
    <x v="16"/>
    <n v="43.576919441298401"/>
    <n v="15905.575596073901"/>
    <n v="57260.072145866099"/>
  </r>
  <r>
    <x v="0"/>
    <x v="0"/>
    <x v="0"/>
    <x v="9"/>
    <x v="18"/>
    <s v="SE2_OTHER"/>
    <x v="10"/>
    <x v="2"/>
    <s v="GBPR_WOODWASTE_36"/>
    <x v="0"/>
    <x v="17"/>
    <n v="43.576919441298401"/>
    <n v="15905.575596073901"/>
    <n v="57260.072145866099"/>
  </r>
  <r>
    <x v="0"/>
    <x v="0"/>
    <x v="0"/>
    <x v="9"/>
    <x v="18"/>
    <s v="SE2_OTHER"/>
    <x v="10"/>
    <x v="2"/>
    <s v="GBPR_WOODWASTE_36"/>
    <x v="0"/>
    <x v="19"/>
    <n v="43.576919441298401"/>
    <n v="15905.575596073901"/>
    <n v="57260.072145866099"/>
  </r>
  <r>
    <x v="0"/>
    <x v="0"/>
    <x v="0"/>
    <x v="9"/>
    <x v="18"/>
    <s v="SE2_OTHER"/>
    <x v="10"/>
    <x v="2"/>
    <s v="GBPR_WOODWASTE_36"/>
    <x v="0"/>
    <x v="20"/>
    <n v="43.576919441298401"/>
    <n v="15905.575596073901"/>
    <n v="57260.072145866099"/>
  </r>
  <r>
    <x v="0"/>
    <x v="0"/>
    <x v="0"/>
    <x v="9"/>
    <x v="18"/>
    <s v="SE2_OTHER"/>
    <x v="10"/>
    <x v="2"/>
    <s v="GBPR_WOODWASTE_36"/>
    <x v="0"/>
    <x v="21"/>
    <n v="43.576919441298401"/>
    <n v="15905.575596073901"/>
    <n v="57260.072145866099"/>
  </r>
  <r>
    <x v="0"/>
    <x v="0"/>
    <x v="0"/>
    <x v="9"/>
    <x v="18"/>
    <s v="SE2_OTHER"/>
    <x v="10"/>
    <x v="2"/>
    <s v="GBPR_WOODWASTE_36"/>
    <x v="0"/>
    <x v="22"/>
    <n v="43.576919441298401"/>
    <n v="15905.575596073901"/>
    <n v="57260.072145866099"/>
  </r>
  <r>
    <x v="0"/>
    <x v="0"/>
    <x v="0"/>
    <x v="9"/>
    <x v="18"/>
    <s v="SE2_OTHER"/>
    <x v="10"/>
    <x v="2"/>
    <s v="GBPR_WOODWASTE_36"/>
    <x v="0"/>
    <x v="23"/>
    <n v="43.576919441298401"/>
    <n v="15905.575596073901"/>
    <n v="57260.072145866099"/>
  </r>
  <r>
    <x v="0"/>
    <x v="0"/>
    <x v="0"/>
    <x v="9"/>
    <x v="19"/>
    <s v="SE3A"/>
    <x v="14"/>
    <x v="6"/>
    <s v="GCND_NUCLEAR"/>
    <x v="0"/>
    <x v="0"/>
    <n v="7274.4849626155001"/>
    <n v="2655187.0113546601"/>
    <n v="9558673.2408767603"/>
  </r>
  <r>
    <x v="0"/>
    <x v="0"/>
    <x v="0"/>
    <x v="9"/>
    <x v="19"/>
    <s v="SE3A"/>
    <x v="14"/>
    <x v="6"/>
    <s v="GCND_NUCLEAR"/>
    <x v="0"/>
    <x v="1"/>
    <n v="7274.4849626155001"/>
    <n v="2655187.0113546601"/>
    <n v="9558673.2408767603"/>
  </r>
  <r>
    <x v="0"/>
    <x v="0"/>
    <x v="0"/>
    <x v="9"/>
    <x v="19"/>
    <s v="SE3A"/>
    <x v="14"/>
    <x v="6"/>
    <s v="GCND_NUCLEAR"/>
    <x v="0"/>
    <x v="18"/>
    <n v="7274.4849626155001"/>
    <n v="2655187.0113546601"/>
    <n v="9558673.2408767603"/>
  </r>
  <r>
    <x v="0"/>
    <x v="0"/>
    <x v="0"/>
    <x v="9"/>
    <x v="19"/>
    <s v="SE3A"/>
    <x v="14"/>
    <x v="6"/>
    <s v="GCND_NUCLEAR"/>
    <x v="0"/>
    <x v="2"/>
    <n v="7274.4849626155001"/>
    <n v="2655187.0113546601"/>
    <n v="9558673.2408767603"/>
  </r>
  <r>
    <x v="0"/>
    <x v="0"/>
    <x v="0"/>
    <x v="9"/>
    <x v="19"/>
    <s v="SE3A"/>
    <x v="14"/>
    <x v="6"/>
    <s v="GCND_NUCLEAR"/>
    <x v="0"/>
    <x v="3"/>
    <n v="7274.4849626155001"/>
    <n v="2655187.0113546601"/>
    <n v="9558673.2408767603"/>
  </r>
  <r>
    <x v="0"/>
    <x v="0"/>
    <x v="0"/>
    <x v="9"/>
    <x v="19"/>
    <s v="SE3A"/>
    <x v="14"/>
    <x v="6"/>
    <s v="GCND_NUCLEAR"/>
    <x v="0"/>
    <x v="4"/>
    <n v="7274.4849626155001"/>
    <n v="2655187.0113546601"/>
    <n v="9558673.2408767603"/>
  </r>
  <r>
    <x v="0"/>
    <x v="0"/>
    <x v="0"/>
    <x v="9"/>
    <x v="19"/>
    <s v="SE3A"/>
    <x v="14"/>
    <x v="6"/>
    <s v="GCND_NUCLEAR"/>
    <x v="0"/>
    <x v="5"/>
    <n v="7274.4849626155001"/>
    <n v="2655187.0113546601"/>
    <n v="9558673.2408767603"/>
  </r>
  <r>
    <x v="0"/>
    <x v="0"/>
    <x v="0"/>
    <x v="9"/>
    <x v="19"/>
    <s v="SE3A"/>
    <x v="14"/>
    <x v="6"/>
    <s v="GCND_NUCLEAR"/>
    <x v="0"/>
    <x v="6"/>
    <n v="7274.4849626155001"/>
    <n v="2655187.0113546601"/>
    <n v="9558673.2408767603"/>
  </r>
  <r>
    <x v="0"/>
    <x v="0"/>
    <x v="0"/>
    <x v="9"/>
    <x v="19"/>
    <s v="SE3A"/>
    <x v="14"/>
    <x v="6"/>
    <s v="GCND_NUCLEAR"/>
    <x v="0"/>
    <x v="7"/>
    <n v="7274.4849626155001"/>
    <n v="2655187.0113546601"/>
    <n v="9558673.2408767603"/>
  </r>
  <r>
    <x v="0"/>
    <x v="0"/>
    <x v="0"/>
    <x v="9"/>
    <x v="19"/>
    <s v="SE3A"/>
    <x v="14"/>
    <x v="6"/>
    <s v="GCND_NUCLEAR"/>
    <x v="0"/>
    <x v="8"/>
    <n v="7274.4849626155001"/>
    <n v="2655187.0113546601"/>
    <n v="9558673.2408767603"/>
  </r>
  <r>
    <x v="0"/>
    <x v="0"/>
    <x v="0"/>
    <x v="9"/>
    <x v="19"/>
    <s v="SE3A"/>
    <x v="14"/>
    <x v="6"/>
    <s v="GCND_NUCLEAR"/>
    <x v="0"/>
    <x v="9"/>
    <n v="7274.4849626155001"/>
    <n v="2655187.0113546601"/>
    <n v="9558673.2408767603"/>
  </r>
  <r>
    <x v="0"/>
    <x v="0"/>
    <x v="0"/>
    <x v="9"/>
    <x v="19"/>
    <s v="SE3A"/>
    <x v="14"/>
    <x v="6"/>
    <s v="GCND_NUCLEAR"/>
    <x v="0"/>
    <x v="10"/>
    <n v="7274.4849626155001"/>
    <n v="2655187.0113546601"/>
    <n v="9558673.2408767603"/>
  </r>
  <r>
    <x v="0"/>
    <x v="0"/>
    <x v="0"/>
    <x v="9"/>
    <x v="19"/>
    <s v="SE3A"/>
    <x v="14"/>
    <x v="6"/>
    <s v="GCND_NUCLEAR"/>
    <x v="0"/>
    <x v="11"/>
    <n v="7274.4849626155001"/>
    <n v="2655187.0113546601"/>
    <n v="9558673.2408767603"/>
  </r>
  <r>
    <x v="0"/>
    <x v="0"/>
    <x v="0"/>
    <x v="9"/>
    <x v="19"/>
    <s v="SE3A"/>
    <x v="14"/>
    <x v="6"/>
    <s v="GCND_NUCLEAR"/>
    <x v="0"/>
    <x v="12"/>
    <n v="7274.4849626155001"/>
    <n v="2655187.0113546601"/>
    <n v="9558673.2408767603"/>
  </r>
  <r>
    <x v="0"/>
    <x v="0"/>
    <x v="0"/>
    <x v="9"/>
    <x v="19"/>
    <s v="SE3A"/>
    <x v="14"/>
    <x v="6"/>
    <s v="GCND_NUCLEAR"/>
    <x v="0"/>
    <x v="13"/>
    <n v="7274.4849626155001"/>
    <n v="2655187.0113546601"/>
    <n v="9558673.2408767603"/>
  </r>
  <r>
    <x v="0"/>
    <x v="0"/>
    <x v="0"/>
    <x v="9"/>
    <x v="19"/>
    <s v="SE3A"/>
    <x v="14"/>
    <x v="6"/>
    <s v="GCND_NUCLEAR"/>
    <x v="0"/>
    <x v="14"/>
    <n v="7274.4849626155001"/>
    <n v="2655187.0113546601"/>
    <n v="9558673.2408767603"/>
  </r>
  <r>
    <x v="0"/>
    <x v="0"/>
    <x v="0"/>
    <x v="9"/>
    <x v="19"/>
    <s v="SE3A"/>
    <x v="14"/>
    <x v="6"/>
    <s v="GCND_NUCLEAR"/>
    <x v="0"/>
    <x v="15"/>
    <n v="7274.4849626155001"/>
    <n v="2655187.0113546601"/>
    <n v="9558673.2408767603"/>
  </r>
  <r>
    <x v="0"/>
    <x v="0"/>
    <x v="0"/>
    <x v="9"/>
    <x v="19"/>
    <s v="SE3A"/>
    <x v="14"/>
    <x v="6"/>
    <s v="GCND_NUCLEAR"/>
    <x v="0"/>
    <x v="16"/>
    <n v="7274.4849626155001"/>
    <n v="2655187.0113546601"/>
    <n v="9558673.2408767603"/>
  </r>
  <r>
    <x v="0"/>
    <x v="0"/>
    <x v="0"/>
    <x v="9"/>
    <x v="19"/>
    <s v="SE3A"/>
    <x v="14"/>
    <x v="6"/>
    <s v="GCND_NUCLEAR"/>
    <x v="0"/>
    <x v="17"/>
    <n v="7274.4849626155001"/>
    <n v="2655187.0113546601"/>
    <n v="9558673.2408767603"/>
  </r>
  <r>
    <x v="0"/>
    <x v="0"/>
    <x v="0"/>
    <x v="9"/>
    <x v="19"/>
    <s v="SE3A"/>
    <x v="14"/>
    <x v="6"/>
    <s v="GCND_NUCLEAR"/>
    <x v="0"/>
    <x v="19"/>
    <n v="7274.4849626155001"/>
    <n v="2655187.0113546601"/>
    <n v="9558673.2408767603"/>
  </r>
  <r>
    <x v="0"/>
    <x v="0"/>
    <x v="0"/>
    <x v="9"/>
    <x v="19"/>
    <s v="SE3A"/>
    <x v="14"/>
    <x v="6"/>
    <s v="GCND_NUCLEAR"/>
    <x v="0"/>
    <x v="20"/>
    <n v="7274.4849626155001"/>
    <n v="2655187.0113546601"/>
    <n v="9558673.2408767603"/>
  </r>
  <r>
    <x v="0"/>
    <x v="0"/>
    <x v="0"/>
    <x v="9"/>
    <x v="19"/>
    <s v="SE3A"/>
    <x v="14"/>
    <x v="6"/>
    <s v="GCND_NUCLEAR"/>
    <x v="0"/>
    <x v="21"/>
    <n v="7274.4849626155001"/>
    <n v="2655187.0113546601"/>
    <n v="9558673.2408767603"/>
  </r>
  <r>
    <x v="0"/>
    <x v="0"/>
    <x v="0"/>
    <x v="9"/>
    <x v="19"/>
    <s v="SE3A"/>
    <x v="14"/>
    <x v="6"/>
    <s v="GCND_NUCLEAR"/>
    <x v="0"/>
    <x v="22"/>
    <n v="7274.4849626155001"/>
    <n v="2655187.0113546601"/>
    <n v="9558673.2408767603"/>
  </r>
  <r>
    <x v="0"/>
    <x v="0"/>
    <x v="0"/>
    <x v="9"/>
    <x v="19"/>
    <s v="SE3A"/>
    <x v="14"/>
    <x v="6"/>
    <s v="GCND_NUCLEAR"/>
    <x v="0"/>
    <x v="23"/>
    <n v="7274.4849626155001"/>
    <n v="2655187.0113546601"/>
    <n v="9558673.2408767603"/>
  </r>
  <r>
    <x v="0"/>
    <x v="0"/>
    <x v="0"/>
    <x v="9"/>
    <x v="19"/>
    <s v="SE3A"/>
    <x v="6"/>
    <x v="7"/>
    <s v="GNR_RES_WTR_NOPMP_MC-01"/>
    <x v="0"/>
    <x v="0"/>
    <n v="131.6"/>
    <n v="48034"/>
    <n v="172922.4"/>
  </r>
  <r>
    <x v="0"/>
    <x v="0"/>
    <x v="0"/>
    <x v="9"/>
    <x v="19"/>
    <s v="SE3A"/>
    <x v="6"/>
    <x v="7"/>
    <s v="GNR_RES_WTR_NOPMP_MC-01"/>
    <x v="0"/>
    <x v="1"/>
    <n v="131.6"/>
    <n v="48034"/>
    <n v="172922.4"/>
  </r>
  <r>
    <x v="0"/>
    <x v="0"/>
    <x v="0"/>
    <x v="9"/>
    <x v="19"/>
    <s v="SE3A"/>
    <x v="6"/>
    <x v="7"/>
    <s v="GNR_RES_WTR_NOPMP_MC-01"/>
    <x v="0"/>
    <x v="18"/>
    <n v="131.6"/>
    <n v="48034"/>
    <n v="172922.4"/>
  </r>
  <r>
    <x v="0"/>
    <x v="0"/>
    <x v="0"/>
    <x v="9"/>
    <x v="19"/>
    <s v="SE3A"/>
    <x v="6"/>
    <x v="7"/>
    <s v="GNR_RES_WTR_NOPMP_MC-01"/>
    <x v="0"/>
    <x v="2"/>
    <n v="131.6"/>
    <n v="48034"/>
    <n v="172922.4"/>
  </r>
  <r>
    <x v="0"/>
    <x v="0"/>
    <x v="0"/>
    <x v="9"/>
    <x v="19"/>
    <s v="SE3A"/>
    <x v="6"/>
    <x v="7"/>
    <s v="GNR_RES_WTR_NOPMP_MC-01"/>
    <x v="0"/>
    <x v="3"/>
    <n v="131.6"/>
    <n v="48034"/>
    <n v="172922.4"/>
  </r>
  <r>
    <x v="0"/>
    <x v="0"/>
    <x v="0"/>
    <x v="9"/>
    <x v="19"/>
    <s v="SE3A"/>
    <x v="6"/>
    <x v="7"/>
    <s v="GNR_RES_WTR_NOPMP_MC-01"/>
    <x v="0"/>
    <x v="4"/>
    <n v="131.6"/>
    <n v="48034"/>
    <n v="172922.4"/>
  </r>
  <r>
    <x v="0"/>
    <x v="0"/>
    <x v="0"/>
    <x v="9"/>
    <x v="19"/>
    <s v="SE3A"/>
    <x v="6"/>
    <x v="7"/>
    <s v="GNR_RES_WTR_NOPMP_MC-01"/>
    <x v="0"/>
    <x v="5"/>
    <n v="131.6"/>
    <n v="48034"/>
    <n v="172922.4"/>
  </r>
  <r>
    <x v="0"/>
    <x v="0"/>
    <x v="0"/>
    <x v="9"/>
    <x v="19"/>
    <s v="SE3A"/>
    <x v="6"/>
    <x v="7"/>
    <s v="GNR_RES_WTR_NOPMP_MC-01"/>
    <x v="0"/>
    <x v="6"/>
    <n v="131.6"/>
    <n v="48034"/>
    <n v="172922.4"/>
  </r>
  <r>
    <x v="0"/>
    <x v="0"/>
    <x v="0"/>
    <x v="9"/>
    <x v="19"/>
    <s v="SE3A"/>
    <x v="6"/>
    <x v="7"/>
    <s v="GNR_RES_WTR_NOPMP_MC-01"/>
    <x v="0"/>
    <x v="7"/>
    <n v="131.6"/>
    <n v="48034"/>
    <n v="172922.4"/>
  </r>
  <r>
    <x v="0"/>
    <x v="0"/>
    <x v="0"/>
    <x v="9"/>
    <x v="19"/>
    <s v="SE3A"/>
    <x v="6"/>
    <x v="7"/>
    <s v="GNR_RES_WTR_NOPMP_MC-01"/>
    <x v="0"/>
    <x v="8"/>
    <n v="131.6"/>
    <n v="48034"/>
    <n v="172922.4"/>
  </r>
  <r>
    <x v="0"/>
    <x v="0"/>
    <x v="0"/>
    <x v="9"/>
    <x v="19"/>
    <s v="SE3A"/>
    <x v="6"/>
    <x v="7"/>
    <s v="GNR_RES_WTR_NOPMP_MC-01"/>
    <x v="0"/>
    <x v="9"/>
    <n v="131.6"/>
    <n v="48034"/>
    <n v="172922.4"/>
  </r>
  <r>
    <x v="0"/>
    <x v="0"/>
    <x v="0"/>
    <x v="9"/>
    <x v="19"/>
    <s v="SE3A"/>
    <x v="6"/>
    <x v="7"/>
    <s v="GNR_RES_WTR_NOPMP_MC-01"/>
    <x v="0"/>
    <x v="10"/>
    <n v="131.6"/>
    <n v="48034"/>
    <n v="172922.4"/>
  </r>
  <r>
    <x v="0"/>
    <x v="0"/>
    <x v="0"/>
    <x v="9"/>
    <x v="19"/>
    <s v="SE3A"/>
    <x v="6"/>
    <x v="7"/>
    <s v="GNR_RES_WTR_NOPMP_MC-01"/>
    <x v="0"/>
    <x v="11"/>
    <n v="131.6"/>
    <n v="48034"/>
    <n v="172922.4"/>
  </r>
  <r>
    <x v="0"/>
    <x v="0"/>
    <x v="0"/>
    <x v="9"/>
    <x v="19"/>
    <s v="SE3A"/>
    <x v="6"/>
    <x v="7"/>
    <s v="GNR_RES_WTR_NOPMP_MC-01"/>
    <x v="0"/>
    <x v="12"/>
    <n v="131.6"/>
    <n v="48034"/>
    <n v="172922.4"/>
  </r>
  <r>
    <x v="0"/>
    <x v="0"/>
    <x v="0"/>
    <x v="9"/>
    <x v="19"/>
    <s v="SE3A"/>
    <x v="6"/>
    <x v="7"/>
    <s v="GNR_RES_WTR_NOPMP_MC-01"/>
    <x v="0"/>
    <x v="13"/>
    <n v="131.6"/>
    <n v="48034"/>
    <n v="172922.4"/>
  </r>
  <r>
    <x v="0"/>
    <x v="0"/>
    <x v="0"/>
    <x v="9"/>
    <x v="19"/>
    <s v="SE3A"/>
    <x v="6"/>
    <x v="7"/>
    <s v="GNR_RES_WTR_NOPMP_MC-01"/>
    <x v="0"/>
    <x v="14"/>
    <n v="131.6"/>
    <n v="48034"/>
    <n v="172922.4"/>
  </r>
  <r>
    <x v="0"/>
    <x v="0"/>
    <x v="0"/>
    <x v="9"/>
    <x v="19"/>
    <s v="SE3A"/>
    <x v="6"/>
    <x v="7"/>
    <s v="GNR_RES_WTR_NOPMP_MC-01"/>
    <x v="0"/>
    <x v="15"/>
    <n v="131.6"/>
    <n v="48034"/>
    <n v="172922.4"/>
  </r>
  <r>
    <x v="0"/>
    <x v="0"/>
    <x v="0"/>
    <x v="9"/>
    <x v="19"/>
    <s v="SE3A"/>
    <x v="6"/>
    <x v="7"/>
    <s v="GNR_RES_WTR_NOPMP_MC-01"/>
    <x v="0"/>
    <x v="16"/>
    <n v="131.6"/>
    <n v="48034"/>
    <n v="172922.4"/>
  </r>
  <r>
    <x v="0"/>
    <x v="0"/>
    <x v="0"/>
    <x v="9"/>
    <x v="19"/>
    <s v="SE3A"/>
    <x v="6"/>
    <x v="7"/>
    <s v="GNR_RES_WTR_NOPMP_MC-01"/>
    <x v="0"/>
    <x v="17"/>
    <n v="131.6"/>
    <n v="48034"/>
    <n v="172922.4"/>
  </r>
  <r>
    <x v="0"/>
    <x v="0"/>
    <x v="0"/>
    <x v="9"/>
    <x v="19"/>
    <s v="SE3A"/>
    <x v="6"/>
    <x v="7"/>
    <s v="GNR_RES_WTR_NOPMP_MC-01"/>
    <x v="0"/>
    <x v="19"/>
    <n v="131.6"/>
    <n v="48034"/>
    <n v="172922.4"/>
  </r>
  <r>
    <x v="0"/>
    <x v="0"/>
    <x v="0"/>
    <x v="9"/>
    <x v="19"/>
    <s v="SE3A"/>
    <x v="6"/>
    <x v="7"/>
    <s v="GNR_RES_WTR_NOPMP_MC-01"/>
    <x v="0"/>
    <x v="20"/>
    <n v="131.6"/>
    <n v="48034"/>
    <n v="172922.4"/>
  </r>
  <r>
    <x v="0"/>
    <x v="0"/>
    <x v="0"/>
    <x v="9"/>
    <x v="19"/>
    <s v="SE3A"/>
    <x v="6"/>
    <x v="7"/>
    <s v="GNR_RES_WTR_NOPMP_MC-01"/>
    <x v="0"/>
    <x v="21"/>
    <n v="131.6"/>
    <n v="48034"/>
    <n v="172922.4"/>
  </r>
  <r>
    <x v="0"/>
    <x v="0"/>
    <x v="0"/>
    <x v="9"/>
    <x v="19"/>
    <s v="SE3A"/>
    <x v="6"/>
    <x v="7"/>
    <s v="GNR_RES_WTR_NOPMP_MC-01"/>
    <x v="0"/>
    <x v="22"/>
    <n v="131.6"/>
    <n v="48034"/>
    <n v="172922.4"/>
  </r>
  <r>
    <x v="0"/>
    <x v="0"/>
    <x v="0"/>
    <x v="9"/>
    <x v="19"/>
    <s v="SE3A"/>
    <x v="6"/>
    <x v="7"/>
    <s v="GNR_RES_WTR_NOPMP_MC-01"/>
    <x v="0"/>
    <x v="23"/>
    <n v="131.6"/>
    <n v="48034"/>
    <n v="172922.4"/>
  </r>
  <r>
    <x v="0"/>
    <x v="0"/>
    <x v="0"/>
    <x v="9"/>
    <x v="19"/>
    <s v="SE3A"/>
    <x v="6"/>
    <x v="7"/>
    <s v="GNR_RES_WTR_NOPMP_MC-02"/>
    <x v="0"/>
    <x v="0"/>
    <n v="131.6"/>
    <n v="48034"/>
    <n v="172922.4"/>
  </r>
  <r>
    <x v="0"/>
    <x v="0"/>
    <x v="0"/>
    <x v="9"/>
    <x v="19"/>
    <s v="SE3A"/>
    <x v="6"/>
    <x v="7"/>
    <s v="GNR_RES_WTR_NOPMP_MC-02"/>
    <x v="0"/>
    <x v="1"/>
    <n v="131.6"/>
    <n v="48034"/>
    <n v="172922.4"/>
  </r>
  <r>
    <x v="0"/>
    <x v="0"/>
    <x v="0"/>
    <x v="9"/>
    <x v="19"/>
    <s v="SE3A"/>
    <x v="6"/>
    <x v="7"/>
    <s v="GNR_RES_WTR_NOPMP_MC-02"/>
    <x v="0"/>
    <x v="18"/>
    <n v="131.6"/>
    <n v="48034"/>
    <n v="172922.4"/>
  </r>
  <r>
    <x v="0"/>
    <x v="0"/>
    <x v="0"/>
    <x v="9"/>
    <x v="19"/>
    <s v="SE3A"/>
    <x v="6"/>
    <x v="7"/>
    <s v="GNR_RES_WTR_NOPMP_MC-02"/>
    <x v="0"/>
    <x v="2"/>
    <n v="131.6"/>
    <n v="48034"/>
    <n v="172922.4"/>
  </r>
  <r>
    <x v="0"/>
    <x v="0"/>
    <x v="0"/>
    <x v="9"/>
    <x v="19"/>
    <s v="SE3A"/>
    <x v="6"/>
    <x v="7"/>
    <s v="GNR_RES_WTR_NOPMP_MC-02"/>
    <x v="0"/>
    <x v="3"/>
    <n v="131.6"/>
    <n v="48034"/>
    <n v="172922.4"/>
  </r>
  <r>
    <x v="0"/>
    <x v="0"/>
    <x v="0"/>
    <x v="9"/>
    <x v="19"/>
    <s v="SE3A"/>
    <x v="6"/>
    <x v="7"/>
    <s v="GNR_RES_WTR_NOPMP_MC-02"/>
    <x v="0"/>
    <x v="4"/>
    <n v="131.6"/>
    <n v="48034"/>
    <n v="172922.4"/>
  </r>
  <r>
    <x v="0"/>
    <x v="0"/>
    <x v="0"/>
    <x v="9"/>
    <x v="19"/>
    <s v="SE3A"/>
    <x v="6"/>
    <x v="7"/>
    <s v="GNR_RES_WTR_NOPMP_MC-02"/>
    <x v="0"/>
    <x v="5"/>
    <n v="131.6"/>
    <n v="48034"/>
    <n v="172922.4"/>
  </r>
  <r>
    <x v="0"/>
    <x v="0"/>
    <x v="0"/>
    <x v="9"/>
    <x v="19"/>
    <s v="SE3A"/>
    <x v="6"/>
    <x v="7"/>
    <s v="GNR_RES_WTR_NOPMP_MC-02"/>
    <x v="0"/>
    <x v="6"/>
    <n v="131.6"/>
    <n v="48034"/>
    <n v="172922.4"/>
  </r>
  <r>
    <x v="0"/>
    <x v="0"/>
    <x v="0"/>
    <x v="9"/>
    <x v="19"/>
    <s v="SE3A"/>
    <x v="6"/>
    <x v="7"/>
    <s v="GNR_RES_WTR_NOPMP_MC-02"/>
    <x v="0"/>
    <x v="7"/>
    <n v="131.6"/>
    <n v="48034"/>
    <n v="172922.4"/>
  </r>
  <r>
    <x v="0"/>
    <x v="0"/>
    <x v="0"/>
    <x v="9"/>
    <x v="19"/>
    <s v="SE3A"/>
    <x v="6"/>
    <x v="7"/>
    <s v="GNR_RES_WTR_NOPMP_MC-02"/>
    <x v="0"/>
    <x v="8"/>
    <n v="131.6"/>
    <n v="48034"/>
    <n v="172922.4"/>
  </r>
  <r>
    <x v="0"/>
    <x v="0"/>
    <x v="0"/>
    <x v="9"/>
    <x v="19"/>
    <s v="SE3A"/>
    <x v="6"/>
    <x v="7"/>
    <s v="GNR_RES_WTR_NOPMP_MC-02"/>
    <x v="0"/>
    <x v="9"/>
    <n v="131.6"/>
    <n v="48034"/>
    <n v="172922.4"/>
  </r>
  <r>
    <x v="0"/>
    <x v="0"/>
    <x v="0"/>
    <x v="9"/>
    <x v="19"/>
    <s v="SE3A"/>
    <x v="6"/>
    <x v="7"/>
    <s v="GNR_RES_WTR_NOPMP_MC-02"/>
    <x v="0"/>
    <x v="10"/>
    <n v="131.6"/>
    <n v="48034"/>
    <n v="172922.4"/>
  </r>
  <r>
    <x v="0"/>
    <x v="0"/>
    <x v="0"/>
    <x v="9"/>
    <x v="19"/>
    <s v="SE3A"/>
    <x v="6"/>
    <x v="7"/>
    <s v="GNR_RES_WTR_NOPMP_MC-02"/>
    <x v="0"/>
    <x v="11"/>
    <n v="131.6"/>
    <n v="48034"/>
    <n v="172922.4"/>
  </r>
  <r>
    <x v="0"/>
    <x v="0"/>
    <x v="0"/>
    <x v="9"/>
    <x v="19"/>
    <s v="SE3A"/>
    <x v="6"/>
    <x v="7"/>
    <s v="GNR_RES_WTR_NOPMP_MC-02"/>
    <x v="0"/>
    <x v="12"/>
    <n v="131.6"/>
    <n v="48034"/>
    <n v="172922.4"/>
  </r>
  <r>
    <x v="0"/>
    <x v="0"/>
    <x v="0"/>
    <x v="9"/>
    <x v="19"/>
    <s v="SE3A"/>
    <x v="6"/>
    <x v="7"/>
    <s v="GNR_RES_WTR_NOPMP_MC-02"/>
    <x v="0"/>
    <x v="13"/>
    <n v="131.6"/>
    <n v="48034"/>
    <n v="172922.4"/>
  </r>
  <r>
    <x v="0"/>
    <x v="0"/>
    <x v="0"/>
    <x v="9"/>
    <x v="19"/>
    <s v="SE3A"/>
    <x v="6"/>
    <x v="7"/>
    <s v="GNR_RES_WTR_NOPMP_MC-02"/>
    <x v="0"/>
    <x v="14"/>
    <n v="131.6"/>
    <n v="48034"/>
    <n v="172922.4"/>
  </r>
  <r>
    <x v="0"/>
    <x v="0"/>
    <x v="0"/>
    <x v="9"/>
    <x v="19"/>
    <s v="SE3A"/>
    <x v="6"/>
    <x v="7"/>
    <s v="GNR_RES_WTR_NOPMP_MC-02"/>
    <x v="0"/>
    <x v="15"/>
    <n v="131.6"/>
    <n v="48034"/>
    <n v="172922.4"/>
  </r>
  <r>
    <x v="0"/>
    <x v="0"/>
    <x v="0"/>
    <x v="9"/>
    <x v="19"/>
    <s v="SE3A"/>
    <x v="6"/>
    <x v="7"/>
    <s v="GNR_RES_WTR_NOPMP_MC-02"/>
    <x v="0"/>
    <x v="16"/>
    <n v="131.6"/>
    <n v="48034"/>
    <n v="172922.4"/>
  </r>
  <r>
    <x v="0"/>
    <x v="0"/>
    <x v="0"/>
    <x v="9"/>
    <x v="19"/>
    <s v="SE3A"/>
    <x v="6"/>
    <x v="7"/>
    <s v="GNR_RES_WTR_NOPMP_MC-02"/>
    <x v="0"/>
    <x v="17"/>
    <n v="131.6"/>
    <n v="48034"/>
    <n v="172922.4"/>
  </r>
  <r>
    <x v="0"/>
    <x v="0"/>
    <x v="0"/>
    <x v="9"/>
    <x v="19"/>
    <s v="SE3A"/>
    <x v="6"/>
    <x v="7"/>
    <s v="GNR_RES_WTR_NOPMP_MC-02"/>
    <x v="0"/>
    <x v="19"/>
    <n v="131.6"/>
    <n v="48034"/>
    <n v="172922.4"/>
  </r>
  <r>
    <x v="0"/>
    <x v="0"/>
    <x v="0"/>
    <x v="9"/>
    <x v="19"/>
    <s v="SE3A"/>
    <x v="6"/>
    <x v="7"/>
    <s v="GNR_RES_WTR_NOPMP_MC-02"/>
    <x v="0"/>
    <x v="20"/>
    <n v="131.6"/>
    <n v="48034"/>
    <n v="172922.4"/>
  </r>
  <r>
    <x v="0"/>
    <x v="0"/>
    <x v="0"/>
    <x v="9"/>
    <x v="19"/>
    <s v="SE3A"/>
    <x v="6"/>
    <x v="7"/>
    <s v="GNR_RES_WTR_NOPMP_MC-02"/>
    <x v="0"/>
    <x v="21"/>
    <n v="131.6"/>
    <n v="48034"/>
    <n v="172922.4"/>
  </r>
  <r>
    <x v="0"/>
    <x v="0"/>
    <x v="0"/>
    <x v="9"/>
    <x v="19"/>
    <s v="SE3A"/>
    <x v="6"/>
    <x v="7"/>
    <s v="GNR_RES_WTR_NOPMP_MC-02"/>
    <x v="0"/>
    <x v="22"/>
    <n v="131.6"/>
    <n v="48034"/>
    <n v="172922.4"/>
  </r>
  <r>
    <x v="0"/>
    <x v="0"/>
    <x v="0"/>
    <x v="9"/>
    <x v="19"/>
    <s v="SE3A"/>
    <x v="6"/>
    <x v="7"/>
    <s v="GNR_RES_WTR_NOPMP_MC-02"/>
    <x v="0"/>
    <x v="23"/>
    <n v="131.6"/>
    <n v="48034"/>
    <n v="172922.4"/>
  </r>
  <r>
    <x v="0"/>
    <x v="0"/>
    <x v="0"/>
    <x v="9"/>
    <x v="19"/>
    <s v="SE3A"/>
    <x v="6"/>
    <x v="7"/>
    <s v="GNR_RES_WTR_NOPMP_MC-03"/>
    <x v="0"/>
    <x v="2"/>
    <n v="131.6"/>
    <n v="48034"/>
    <n v="172922.4"/>
  </r>
  <r>
    <x v="0"/>
    <x v="0"/>
    <x v="0"/>
    <x v="9"/>
    <x v="19"/>
    <s v="SE3A"/>
    <x v="6"/>
    <x v="7"/>
    <s v="GNR_RES_WTR_NOPMP_MC-03"/>
    <x v="0"/>
    <x v="3"/>
    <n v="131.6"/>
    <n v="48034"/>
    <n v="172922.4"/>
  </r>
  <r>
    <x v="0"/>
    <x v="0"/>
    <x v="0"/>
    <x v="9"/>
    <x v="19"/>
    <s v="SE3A"/>
    <x v="6"/>
    <x v="7"/>
    <s v="GNR_RES_WTR_NOPMP_MC-03"/>
    <x v="0"/>
    <x v="4"/>
    <n v="131.6"/>
    <n v="48034"/>
    <n v="172922.4"/>
  </r>
  <r>
    <x v="0"/>
    <x v="0"/>
    <x v="0"/>
    <x v="9"/>
    <x v="19"/>
    <s v="SE3A"/>
    <x v="6"/>
    <x v="7"/>
    <s v="GNR_RES_WTR_NOPMP_MC-03"/>
    <x v="0"/>
    <x v="5"/>
    <n v="131.6"/>
    <n v="48034"/>
    <n v="172922.4"/>
  </r>
  <r>
    <x v="0"/>
    <x v="0"/>
    <x v="0"/>
    <x v="9"/>
    <x v="19"/>
    <s v="SE3A"/>
    <x v="6"/>
    <x v="7"/>
    <s v="GNR_RES_WTR_NOPMP_MC-03"/>
    <x v="0"/>
    <x v="6"/>
    <n v="131.6"/>
    <n v="48034"/>
    <n v="172922.4"/>
  </r>
  <r>
    <x v="0"/>
    <x v="0"/>
    <x v="0"/>
    <x v="9"/>
    <x v="19"/>
    <s v="SE3A"/>
    <x v="6"/>
    <x v="7"/>
    <s v="GNR_RES_WTR_NOPMP_MC-03"/>
    <x v="0"/>
    <x v="7"/>
    <n v="131.6"/>
    <n v="48034"/>
    <n v="172922.4"/>
  </r>
  <r>
    <x v="0"/>
    <x v="0"/>
    <x v="0"/>
    <x v="9"/>
    <x v="19"/>
    <s v="SE3A"/>
    <x v="6"/>
    <x v="7"/>
    <s v="GNR_RES_WTR_NOPMP_MC-03"/>
    <x v="0"/>
    <x v="8"/>
    <n v="131.6"/>
    <n v="48034"/>
    <n v="172922.4"/>
  </r>
  <r>
    <x v="0"/>
    <x v="0"/>
    <x v="0"/>
    <x v="9"/>
    <x v="19"/>
    <s v="SE3A"/>
    <x v="6"/>
    <x v="7"/>
    <s v="GNR_RES_WTR_NOPMP_MC-03"/>
    <x v="0"/>
    <x v="9"/>
    <n v="131.6"/>
    <n v="48034"/>
    <n v="172922.4"/>
  </r>
  <r>
    <x v="0"/>
    <x v="0"/>
    <x v="0"/>
    <x v="9"/>
    <x v="19"/>
    <s v="SE3A"/>
    <x v="6"/>
    <x v="7"/>
    <s v="GNR_RES_WTR_NOPMP_MC-03"/>
    <x v="0"/>
    <x v="10"/>
    <n v="131.6"/>
    <n v="48034"/>
    <n v="172922.4"/>
  </r>
  <r>
    <x v="0"/>
    <x v="0"/>
    <x v="0"/>
    <x v="9"/>
    <x v="19"/>
    <s v="SE3A"/>
    <x v="6"/>
    <x v="7"/>
    <s v="GNR_RES_WTR_NOPMP_MC-03"/>
    <x v="0"/>
    <x v="11"/>
    <n v="131.6"/>
    <n v="48034"/>
    <n v="172922.4"/>
  </r>
  <r>
    <x v="0"/>
    <x v="0"/>
    <x v="0"/>
    <x v="9"/>
    <x v="19"/>
    <s v="SE3A"/>
    <x v="6"/>
    <x v="7"/>
    <s v="GNR_RES_WTR_NOPMP_MC-03"/>
    <x v="0"/>
    <x v="12"/>
    <n v="131.6"/>
    <n v="48034"/>
    <n v="172922.4"/>
  </r>
  <r>
    <x v="0"/>
    <x v="0"/>
    <x v="0"/>
    <x v="9"/>
    <x v="19"/>
    <s v="SE3A"/>
    <x v="6"/>
    <x v="7"/>
    <s v="GNR_RES_WTR_NOPMP_MC-03"/>
    <x v="0"/>
    <x v="13"/>
    <n v="131.6"/>
    <n v="48034"/>
    <n v="172922.4"/>
  </r>
  <r>
    <x v="0"/>
    <x v="0"/>
    <x v="0"/>
    <x v="9"/>
    <x v="19"/>
    <s v="SE3A"/>
    <x v="6"/>
    <x v="7"/>
    <s v="GNR_RES_WTR_NOPMP_MC-03"/>
    <x v="0"/>
    <x v="14"/>
    <n v="131.6"/>
    <n v="48034"/>
    <n v="172922.4"/>
  </r>
  <r>
    <x v="0"/>
    <x v="0"/>
    <x v="0"/>
    <x v="9"/>
    <x v="19"/>
    <s v="SE3A"/>
    <x v="6"/>
    <x v="7"/>
    <s v="GNR_RES_WTR_NOPMP_MC-03"/>
    <x v="0"/>
    <x v="15"/>
    <n v="131.6"/>
    <n v="48034"/>
    <n v="172922.4"/>
  </r>
  <r>
    <x v="0"/>
    <x v="0"/>
    <x v="0"/>
    <x v="9"/>
    <x v="19"/>
    <s v="SE3A"/>
    <x v="6"/>
    <x v="7"/>
    <s v="GNR_RES_WTR_NOPMP_MC-03"/>
    <x v="0"/>
    <x v="16"/>
    <n v="131.6"/>
    <n v="48034"/>
    <n v="172922.4"/>
  </r>
  <r>
    <x v="0"/>
    <x v="0"/>
    <x v="0"/>
    <x v="9"/>
    <x v="19"/>
    <s v="SE3A"/>
    <x v="6"/>
    <x v="7"/>
    <s v="GNR_RES_WTR_NOPMP_MC-03"/>
    <x v="0"/>
    <x v="17"/>
    <n v="131.6"/>
    <n v="48034"/>
    <n v="172922.4"/>
  </r>
  <r>
    <x v="0"/>
    <x v="0"/>
    <x v="0"/>
    <x v="9"/>
    <x v="19"/>
    <s v="SE3A"/>
    <x v="6"/>
    <x v="7"/>
    <s v="GNR_RES_WTR_NOPMP_MC-03"/>
    <x v="0"/>
    <x v="19"/>
    <n v="131.6"/>
    <n v="48034"/>
    <n v="172922.4"/>
  </r>
  <r>
    <x v="0"/>
    <x v="0"/>
    <x v="0"/>
    <x v="9"/>
    <x v="19"/>
    <s v="SE3A"/>
    <x v="6"/>
    <x v="7"/>
    <s v="GNR_RES_WTR_NOPMP_MC-03"/>
    <x v="0"/>
    <x v="20"/>
    <n v="131.6"/>
    <n v="48034"/>
    <n v="172922.4"/>
  </r>
  <r>
    <x v="0"/>
    <x v="0"/>
    <x v="0"/>
    <x v="9"/>
    <x v="19"/>
    <s v="SE3A"/>
    <x v="6"/>
    <x v="7"/>
    <s v="GNR_RES_WTR_NOPMP_MC-03"/>
    <x v="0"/>
    <x v="21"/>
    <n v="131.6"/>
    <n v="48034"/>
    <n v="172922.4"/>
  </r>
  <r>
    <x v="0"/>
    <x v="0"/>
    <x v="0"/>
    <x v="9"/>
    <x v="19"/>
    <s v="SE3A"/>
    <x v="6"/>
    <x v="7"/>
    <s v="GNR_RES_WTR_NOPMP_MC-04"/>
    <x v="0"/>
    <x v="4"/>
    <n v="131.6"/>
    <n v="48034"/>
    <n v="172922.4"/>
  </r>
  <r>
    <x v="0"/>
    <x v="0"/>
    <x v="0"/>
    <x v="9"/>
    <x v="19"/>
    <s v="SE3A"/>
    <x v="6"/>
    <x v="7"/>
    <s v="GNR_RES_WTR_NOPMP_MC-04"/>
    <x v="0"/>
    <x v="5"/>
    <n v="131.6"/>
    <n v="48034"/>
    <n v="172922.4"/>
  </r>
  <r>
    <x v="0"/>
    <x v="0"/>
    <x v="0"/>
    <x v="9"/>
    <x v="19"/>
    <s v="SE3A"/>
    <x v="6"/>
    <x v="7"/>
    <s v="GNR_RES_WTR_NOPMP_MC-04"/>
    <x v="0"/>
    <x v="6"/>
    <n v="131.6"/>
    <n v="48034"/>
    <n v="172922.4"/>
  </r>
  <r>
    <x v="0"/>
    <x v="0"/>
    <x v="0"/>
    <x v="9"/>
    <x v="19"/>
    <s v="SE3A"/>
    <x v="6"/>
    <x v="7"/>
    <s v="GNR_RES_WTR_NOPMP_MC-04"/>
    <x v="0"/>
    <x v="7"/>
    <n v="131.6"/>
    <n v="48034"/>
    <n v="172922.4"/>
  </r>
  <r>
    <x v="0"/>
    <x v="0"/>
    <x v="0"/>
    <x v="9"/>
    <x v="19"/>
    <s v="SE3A"/>
    <x v="6"/>
    <x v="7"/>
    <s v="GNR_RES_WTR_NOPMP_MC-04"/>
    <x v="0"/>
    <x v="8"/>
    <n v="131.6"/>
    <n v="48034"/>
    <n v="172922.4"/>
  </r>
  <r>
    <x v="0"/>
    <x v="0"/>
    <x v="0"/>
    <x v="9"/>
    <x v="19"/>
    <s v="SE3A"/>
    <x v="6"/>
    <x v="7"/>
    <s v="GNR_RES_WTR_NOPMP_MC-04"/>
    <x v="0"/>
    <x v="9"/>
    <n v="131.6"/>
    <n v="48034"/>
    <n v="172922.4"/>
  </r>
  <r>
    <x v="0"/>
    <x v="0"/>
    <x v="0"/>
    <x v="9"/>
    <x v="19"/>
    <s v="SE3A"/>
    <x v="6"/>
    <x v="7"/>
    <s v="GNR_RES_WTR_NOPMP_MC-04"/>
    <x v="0"/>
    <x v="10"/>
    <n v="131.6"/>
    <n v="48034"/>
    <n v="172922.4"/>
  </r>
  <r>
    <x v="0"/>
    <x v="0"/>
    <x v="0"/>
    <x v="9"/>
    <x v="19"/>
    <s v="SE3A"/>
    <x v="6"/>
    <x v="7"/>
    <s v="GNR_RES_WTR_NOPMP_MC-04"/>
    <x v="0"/>
    <x v="11"/>
    <n v="131.6"/>
    <n v="48034"/>
    <n v="172922.4"/>
  </r>
  <r>
    <x v="0"/>
    <x v="0"/>
    <x v="0"/>
    <x v="9"/>
    <x v="19"/>
    <s v="SE3A"/>
    <x v="6"/>
    <x v="7"/>
    <s v="GNR_RES_WTR_NOPMP_MC-04"/>
    <x v="0"/>
    <x v="12"/>
    <n v="131.6"/>
    <n v="48034"/>
    <n v="172922.4"/>
  </r>
  <r>
    <x v="0"/>
    <x v="0"/>
    <x v="0"/>
    <x v="9"/>
    <x v="19"/>
    <s v="SE3A"/>
    <x v="6"/>
    <x v="7"/>
    <s v="GNR_RES_WTR_NOPMP_MC-04"/>
    <x v="0"/>
    <x v="13"/>
    <n v="131.6"/>
    <n v="48034"/>
    <n v="172922.4"/>
  </r>
  <r>
    <x v="0"/>
    <x v="0"/>
    <x v="0"/>
    <x v="9"/>
    <x v="19"/>
    <s v="SE3A"/>
    <x v="6"/>
    <x v="7"/>
    <s v="GNR_RES_WTR_NOPMP_MC-04"/>
    <x v="0"/>
    <x v="14"/>
    <n v="131.6"/>
    <n v="48034"/>
    <n v="172922.4"/>
  </r>
  <r>
    <x v="0"/>
    <x v="0"/>
    <x v="0"/>
    <x v="9"/>
    <x v="19"/>
    <s v="SE3A"/>
    <x v="6"/>
    <x v="7"/>
    <s v="GNR_RES_WTR_NOPMP_MC-04"/>
    <x v="0"/>
    <x v="15"/>
    <n v="131.6"/>
    <n v="48034"/>
    <n v="172922.4"/>
  </r>
  <r>
    <x v="0"/>
    <x v="0"/>
    <x v="0"/>
    <x v="9"/>
    <x v="19"/>
    <s v="SE3A"/>
    <x v="6"/>
    <x v="7"/>
    <s v="GNR_RES_WTR_NOPMP_MC-04"/>
    <x v="0"/>
    <x v="16"/>
    <n v="131.6"/>
    <n v="48034"/>
    <n v="172922.4"/>
  </r>
  <r>
    <x v="0"/>
    <x v="0"/>
    <x v="0"/>
    <x v="9"/>
    <x v="19"/>
    <s v="SE3A"/>
    <x v="6"/>
    <x v="7"/>
    <s v="GNR_RES_WTR_NOPMP_MC-04"/>
    <x v="0"/>
    <x v="17"/>
    <n v="131.6"/>
    <n v="48034"/>
    <n v="172922.4"/>
  </r>
  <r>
    <x v="0"/>
    <x v="0"/>
    <x v="0"/>
    <x v="9"/>
    <x v="19"/>
    <s v="SE3A"/>
    <x v="6"/>
    <x v="7"/>
    <s v="GNR_RES_WTR_NOPMP_MC-04"/>
    <x v="0"/>
    <x v="19"/>
    <n v="131.6"/>
    <n v="48034"/>
    <n v="172922.4"/>
  </r>
  <r>
    <x v="0"/>
    <x v="0"/>
    <x v="0"/>
    <x v="9"/>
    <x v="19"/>
    <s v="SE3A"/>
    <x v="6"/>
    <x v="7"/>
    <s v="GNR_RES_WTR_NOPMP_MC-04"/>
    <x v="0"/>
    <x v="20"/>
    <n v="131.6"/>
    <n v="48034"/>
    <n v="172922.4"/>
  </r>
  <r>
    <x v="0"/>
    <x v="0"/>
    <x v="0"/>
    <x v="9"/>
    <x v="19"/>
    <s v="SE3A"/>
    <x v="6"/>
    <x v="7"/>
    <s v="GNR_RES_WTR_NOPMP_MC-05"/>
    <x v="0"/>
    <x v="5"/>
    <n v="131.6"/>
    <n v="48034"/>
    <n v="172922.4"/>
  </r>
  <r>
    <x v="0"/>
    <x v="0"/>
    <x v="0"/>
    <x v="9"/>
    <x v="19"/>
    <s v="SE3A"/>
    <x v="6"/>
    <x v="7"/>
    <s v="GNR_RES_WTR_NOPMP_MC-05"/>
    <x v="0"/>
    <x v="6"/>
    <n v="131.6"/>
    <n v="48034"/>
    <n v="172922.4"/>
  </r>
  <r>
    <x v="0"/>
    <x v="0"/>
    <x v="0"/>
    <x v="9"/>
    <x v="19"/>
    <s v="SE3A"/>
    <x v="6"/>
    <x v="7"/>
    <s v="GNR_RES_WTR_NOPMP_MC-05"/>
    <x v="0"/>
    <x v="7"/>
    <n v="131.6"/>
    <n v="48034"/>
    <n v="172922.4"/>
  </r>
  <r>
    <x v="0"/>
    <x v="0"/>
    <x v="0"/>
    <x v="9"/>
    <x v="19"/>
    <s v="SE3A"/>
    <x v="6"/>
    <x v="7"/>
    <s v="GNR_RES_WTR_NOPMP_MC-05"/>
    <x v="0"/>
    <x v="8"/>
    <n v="131.6"/>
    <n v="48034"/>
    <n v="172922.4"/>
  </r>
  <r>
    <x v="0"/>
    <x v="0"/>
    <x v="0"/>
    <x v="9"/>
    <x v="19"/>
    <s v="SE3A"/>
    <x v="6"/>
    <x v="7"/>
    <s v="GNR_RES_WTR_NOPMP_MC-05"/>
    <x v="0"/>
    <x v="9"/>
    <n v="131.6"/>
    <n v="48034"/>
    <n v="172922.4"/>
  </r>
  <r>
    <x v="0"/>
    <x v="0"/>
    <x v="0"/>
    <x v="9"/>
    <x v="19"/>
    <s v="SE3A"/>
    <x v="6"/>
    <x v="7"/>
    <s v="GNR_RES_WTR_NOPMP_MC-05"/>
    <x v="0"/>
    <x v="10"/>
    <n v="131.6"/>
    <n v="48034"/>
    <n v="172922.4"/>
  </r>
  <r>
    <x v="0"/>
    <x v="0"/>
    <x v="0"/>
    <x v="9"/>
    <x v="19"/>
    <s v="SE3A"/>
    <x v="6"/>
    <x v="7"/>
    <s v="GNR_RES_WTR_NOPMP_MC-05"/>
    <x v="0"/>
    <x v="11"/>
    <n v="131.6"/>
    <n v="48034"/>
    <n v="172922.4"/>
  </r>
  <r>
    <x v="0"/>
    <x v="0"/>
    <x v="0"/>
    <x v="9"/>
    <x v="19"/>
    <s v="SE3A"/>
    <x v="6"/>
    <x v="7"/>
    <s v="GNR_RES_WTR_NOPMP_MC-05"/>
    <x v="0"/>
    <x v="12"/>
    <n v="131.6"/>
    <n v="48034"/>
    <n v="172922.4"/>
  </r>
  <r>
    <x v="0"/>
    <x v="0"/>
    <x v="0"/>
    <x v="9"/>
    <x v="19"/>
    <s v="SE3A"/>
    <x v="6"/>
    <x v="7"/>
    <s v="GNR_RES_WTR_NOPMP_MC-05"/>
    <x v="0"/>
    <x v="13"/>
    <n v="131.6"/>
    <n v="48034"/>
    <n v="172922.4"/>
  </r>
  <r>
    <x v="0"/>
    <x v="0"/>
    <x v="0"/>
    <x v="9"/>
    <x v="19"/>
    <s v="SE3A"/>
    <x v="6"/>
    <x v="7"/>
    <s v="GNR_RES_WTR_NOPMP_MC-05"/>
    <x v="0"/>
    <x v="14"/>
    <n v="131.6"/>
    <n v="48034"/>
    <n v="172922.4"/>
  </r>
  <r>
    <x v="0"/>
    <x v="0"/>
    <x v="0"/>
    <x v="9"/>
    <x v="19"/>
    <s v="SE3A"/>
    <x v="6"/>
    <x v="7"/>
    <s v="GNR_RES_WTR_NOPMP_MC-05"/>
    <x v="0"/>
    <x v="15"/>
    <n v="131.6"/>
    <n v="48034"/>
    <n v="172922.4"/>
  </r>
  <r>
    <x v="0"/>
    <x v="0"/>
    <x v="0"/>
    <x v="9"/>
    <x v="19"/>
    <s v="SE3A"/>
    <x v="6"/>
    <x v="7"/>
    <s v="GNR_RES_WTR_NOPMP_MC-05"/>
    <x v="0"/>
    <x v="16"/>
    <n v="131.6"/>
    <n v="48034"/>
    <n v="172922.4"/>
  </r>
  <r>
    <x v="0"/>
    <x v="0"/>
    <x v="0"/>
    <x v="9"/>
    <x v="19"/>
    <s v="SE3A"/>
    <x v="6"/>
    <x v="7"/>
    <s v="GNR_RES_WTR_NOPMP_MC-05"/>
    <x v="0"/>
    <x v="17"/>
    <n v="131.6"/>
    <n v="48034"/>
    <n v="172922.4"/>
  </r>
  <r>
    <x v="0"/>
    <x v="0"/>
    <x v="0"/>
    <x v="9"/>
    <x v="19"/>
    <s v="SE3A"/>
    <x v="6"/>
    <x v="7"/>
    <s v="GNR_RES_WTR_NOPMP_MC-06"/>
    <x v="0"/>
    <x v="5"/>
    <n v="131.6"/>
    <n v="48034"/>
    <n v="172922.4"/>
  </r>
  <r>
    <x v="0"/>
    <x v="0"/>
    <x v="0"/>
    <x v="9"/>
    <x v="19"/>
    <s v="SE3A"/>
    <x v="6"/>
    <x v="7"/>
    <s v="GNR_RES_WTR_NOPMP_MC-06"/>
    <x v="0"/>
    <x v="6"/>
    <n v="131.6"/>
    <n v="48034"/>
    <n v="172922.4"/>
  </r>
  <r>
    <x v="0"/>
    <x v="0"/>
    <x v="0"/>
    <x v="9"/>
    <x v="19"/>
    <s v="SE3A"/>
    <x v="6"/>
    <x v="7"/>
    <s v="GNR_RES_WTR_NOPMP_MC-06"/>
    <x v="0"/>
    <x v="7"/>
    <n v="131.6"/>
    <n v="48034"/>
    <n v="172922.4"/>
  </r>
  <r>
    <x v="0"/>
    <x v="0"/>
    <x v="0"/>
    <x v="9"/>
    <x v="19"/>
    <s v="SE3A"/>
    <x v="6"/>
    <x v="7"/>
    <s v="GNR_RES_WTR_NOPMP_MC-06"/>
    <x v="0"/>
    <x v="8"/>
    <n v="131.6"/>
    <n v="48034"/>
    <n v="172922.4"/>
  </r>
  <r>
    <x v="0"/>
    <x v="0"/>
    <x v="0"/>
    <x v="9"/>
    <x v="19"/>
    <s v="SE3A"/>
    <x v="6"/>
    <x v="7"/>
    <s v="GNR_RES_WTR_NOPMP_MC-06"/>
    <x v="0"/>
    <x v="9"/>
    <n v="131.6"/>
    <n v="48034"/>
    <n v="172922.4"/>
  </r>
  <r>
    <x v="0"/>
    <x v="0"/>
    <x v="0"/>
    <x v="9"/>
    <x v="19"/>
    <s v="SE3A"/>
    <x v="6"/>
    <x v="7"/>
    <s v="GNR_RES_WTR_NOPMP_MC-06"/>
    <x v="0"/>
    <x v="10"/>
    <n v="131.6"/>
    <n v="48034"/>
    <n v="172922.4"/>
  </r>
  <r>
    <x v="0"/>
    <x v="0"/>
    <x v="0"/>
    <x v="9"/>
    <x v="19"/>
    <s v="SE3A"/>
    <x v="6"/>
    <x v="7"/>
    <s v="GNR_RES_WTR_NOPMP_MC-06"/>
    <x v="0"/>
    <x v="11"/>
    <n v="4.87517093676664"/>
    <n v="1779.4373919198199"/>
    <n v="6405.9746109113603"/>
  </r>
  <r>
    <x v="0"/>
    <x v="0"/>
    <x v="0"/>
    <x v="9"/>
    <x v="19"/>
    <s v="SE3A"/>
    <x v="6"/>
    <x v="7"/>
    <s v="GNR_RES_WTR_NOPMP_MC-06"/>
    <x v="0"/>
    <x v="14"/>
    <n v="131.6"/>
    <n v="48034"/>
    <n v="172922.4"/>
  </r>
  <r>
    <x v="0"/>
    <x v="0"/>
    <x v="0"/>
    <x v="9"/>
    <x v="19"/>
    <s v="SE3A"/>
    <x v="6"/>
    <x v="7"/>
    <s v="GNR_RES_WTR_NOPMP_MC-06"/>
    <x v="0"/>
    <x v="15"/>
    <n v="131.6"/>
    <n v="48034"/>
    <n v="172922.4"/>
  </r>
  <r>
    <x v="0"/>
    <x v="0"/>
    <x v="0"/>
    <x v="9"/>
    <x v="19"/>
    <s v="SE3A"/>
    <x v="6"/>
    <x v="7"/>
    <s v="GNR_RES_WTR_NOPMP_MC-06"/>
    <x v="0"/>
    <x v="16"/>
    <n v="131.6"/>
    <n v="48034"/>
    <n v="172922.4"/>
  </r>
  <r>
    <x v="0"/>
    <x v="0"/>
    <x v="0"/>
    <x v="9"/>
    <x v="19"/>
    <s v="SE3A"/>
    <x v="6"/>
    <x v="7"/>
    <s v="GNR_RES_WTR_NOPMP_MC-07"/>
    <x v="0"/>
    <x v="6"/>
    <n v="131.6"/>
    <n v="48034"/>
    <n v="172922.4"/>
  </r>
  <r>
    <x v="0"/>
    <x v="0"/>
    <x v="0"/>
    <x v="9"/>
    <x v="19"/>
    <s v="SE3A"/>
    <x v="6"/>
    <x v="7"/>
    <s v="GNR_RES_WTR_NOPMP_MC-07"/>
    <x v="0"/>
    <x v="7"/>
    <n v="131.6"/>
    <n v="48034"/>
    <n v="172922.4"/>
  </r>
  <r>
    <x v="0"/>
    <x v="0"/>
    <x v="0"/>
    <x v="9"/>
    <x v="19"/>
    <s v="SE3A"/>
    <x v="6"/>
    <x v="7"/>
    <s v="GNR_RES_WTR_NOPMP_MC-07"/>
    <x v="0"/>
    <x v="8"/>
    <n v="131.6"/>
    <n v="48034"/>
    <n v="172922.4"/>
  </r>
  <r>
    <x v="0"/>
    <x v="0"/>
    <x v="0"/>
    <x v="9"/>
    <x v="19"/>
    <s v="SE3A"/>
    <x v="6"/>
    <x v="7"/>
    <s v="GNR_RES_WTR_NOPMP_MC-07"/>
    <x v="0"/>
    <x v="9"/>
    <n v="131.6"/>
    <n v="48034"/>
    <n v="172922.4"/>
  </r>
  <r>
    <x v="0"/>
    <x v="0"/>
    <x v="0"/>
    <x v="9"/>
    <x v="19"/>
    <s v="SE3A"/>
    <x v="6"/>
    <x v="7"/>
    <s v="GNR_RES_WTR_NOPMP_MC-08"/>
    <x v="0"/>
    <x v="6"/>
    <n v="131.6"/>
    <n v="48034"/>
    <n v="172922.4"/>
  </r>
  <r>
    <x v="0"/>
    <x v="0"/>
    <x v="0"/>
    <x v="9"/>
    <x v="19"/>
    <s v="SE3A"/>
    <x v="6"/>
    <x v="7"/>
    <s v="GNR_RES_WTR_NOPMP_MC-08"/>
    <x v="0"/>
    <x v="7"/>
    <n v="131.6"/>
    <n v="48034"/>
    <n v="172922.4"/>
  </r>
  <r>
    <x v="0"/>
    <x v="0"/>
    <x v="0"/>
    <x v="9"/>
    <x v="19"/>
    <s v="SE3A"/>
    <x v="6"/>
    <x v="7"/>
    <s v="GNR_RES_WTR_NOPMP_MC-08"/>
    <x v="0"/>
    <x v="8"/>
    <n v="90.696540695281399"/>
    <n v="33104.237353777702"/>
    <n v="119175.2544736"/>
  </r>
  <r>
    <x v="0"/>
    <x v="0"/>
    <x v="0"/>
    <x v="9"/>
    <x v="19"/>
    <s v="SE3A"/>
    <x v="6"/>
    <x v="4"/>
    <s v="GNR_ROR_WTR"/>
    <x v="0"/>
    <x v="0"/>
    <n v="612.63215465133601"/>
    <n v="223610.73644773799"/>
    <n v="804998.651211855"/>
  </r>
  <r>
    <x v="0"/>
    <x v="0"/>
    <x v="0"/>
    <x v="9"/>
    <x v="19"/>
    <s v="SE3A"/>
    <x v="6"/>
    <x v="4"/>
    <s v="GNR_ROR_WTR"/>
    <x v="0"/>
    <x v="1"/>
    <n v="612.63215465133601"/>
    <n v="223610.73644773799"/>
    <n v="804998.651211855"/>
  </r>
  <r>
    <x v="0"/>
    <x v="0"/>
    <x v="0"/>
    <x v="9"/>
    <x v="19"/>
    <s v="SE3A"/>
    <x v="6"/>
    <x v="4"/>
    <s v="GNR_ROR_WTR"/>
    <x v="0"/>
    <x v="18"/>
    <n v="612.63215465133601"/>
    <n v="223610.73644773799"/>
    <n v="804998.651211855"/>
  </r>
  <r>
    <x v="0"/>
    <x v="0"/>
    <x v="0"/>
    <x v="9"/>
    <x v="19"/>
    <s v="SE3A"/>
    <x v="6"/>
    <x v="4"/>
    <s v="GNR_ROR_WTR"/>
    <x v="0"/>
    <x v="2"/>
    <n v="612.63215465133601"/>
    <n v="223610.73644773799"/>
    <n v="804998.651211855"/>
  </r>
  <r>
    <x v="0"/>
    <x v="0"/>
    <x v="0"/>
    <x v="9"/>
    <x v="19"/>
    <s v="SE3A"/>
    <x v="6"/>
    <x v="4"/>
    <s v="GNR_ROR_WTR"/>
    <x v="0"/>
    <x v="3"/>
    <n v="612.63215465133601"/>
    <n v="223610.73644773799"/>
    <n v="804998.651211855"/>
  </r>
  <r>
    <x v="0"/>
    <x v="0"/>
    <x v="0"/>
    <x v="9"/>
    <x v="19"/>
    <s v="SE3A"/>
    <x v="6"/>
    <x v="4"/>
    <s v="GNR_ROR_WTR"/>
    <x v="0"/>
    <x v="4"/>
    <n v="612.63215465133601"/>
    <n v="223610.73644773799"/>
    <n v="804998.651211855"/>
  </r>
  <r>
    <x v="0"/>
    <x v="0"/>
    <x v="0"/>
    <x v="9"/>
    <x v="19"/>
    <s v="SE3A"/>
    <x v="6"/>
    <x v="4"/>
    <s v="GNR_ROR_WTR"/>
    <x v="0"/>
    <x v="5"/>
    <n v="612.63215465133601"/>
    <n v="223610.73644773799"/>
    <n v="804998.651211855"/>
  </r>
  <r>
    <x v="0"/>
    <x v="0"/>
    <x v="0"/>
    <x v="9"/>
    <x v="19"/>
    <s v="SE3A"/>
    <x v="6"/>
    <x v="4"/>
    <s v="GNR_ROR_WTR"/>
    <x v="0"/>
    <x v="6"/>
    <n v="612.63215465133601"/>
    <n v="223610.73644773799"/>
    <n v="804998.651211855"/>
  </r>
  <r>
    <x v="0"/>
    <x v="0"/>
    <x v="0"/>
    <x v="9"/>
    <x v="19"/>
    <s v="SE3A"/>
    <x v="6"/>
    <x v="4"/>
    <s v="GNR_ROR_WTR"/>
    <x v="0"/>
    <x v="7"/>
    <n v="612.63215465133601"/>
    <n v="223610.73644773799"/>
    <n v="804998.651211855"/>
  </r>
  <r>
    <x v="0"/>
    <x v="0"/>
    <x v="0"/>
    <x v="9"/>
    <x v="19"/>
    <s v="SE3A"/>
    <x v="6"/>
    <x v="4"/>
    <s v="GNR_ROR_WTR"/>
    <x v="0"/>
    <x v="8"/>
    <n v="612.63215465133601"/>
    <n v="223610.73644773799"/>
    <n v="804998.651211855"/>
  </r>
  <r>
    <x v="0"/>
    <x v="0"/>
    <x v="0"/>
    <x v="9"/>
    <x v="19"/>
    <s v="SE3A"/>
    <x v="6"/>
    <x v="4"/>
    <s v="GNR_ROR_WTR"/>
    <x v="0"/>
    <x v="9"/>
    <n v="612.63215465133601"/>
    <n v="223610.73644773799"/>
    <n v="804998.651211855"/>
  </r>
  <r>
    <x v="0"/>
    <x v="0"/>
    <x v="0"/>
    <x v="9"/>
    <x v="19"/>
    <s v="SE3A"/>
    <x v="6"/>
    <x v="4"/>
    <s v="GNR_ROR_WTR"/>
    <x v="0"/>
    <x v="10"/>
    <n v="612.63215465133601"/>
    <n v="223610.73644773799"/>
    <n v="804998.651211855"/>
  </r>
  <r>
    <x v="0"/>
    <x v="0"/>
    <x v="0"/>
    <x v="9"/>
    <x v="19"/>
    <s v="SE3A"/>
    <x v="6"/>
    <x v="4"/>
    <s v="GNR_ROR_WTR"/>
    <x v="0"/>
    <x v="11"/>
    <n v="612.63215465133601"/>
    <n v="223610.73644773799"/>
    <n v="804998.651211855"/>
  </r>
  <r>
    <x v="0"/>
    <x v="0"/>
    <x v="0"/>
    <x v="9"/>
    <x v="19"/>
    <s v="SE3A"/>
    <x v="6"/>
    <x v="4"/>
    <s v="GNR_ROR_WTR"/>
    <x v="0"/>
    <x v="12"/>
    <n v="612.63215465133601"/>
    <n v="223610.73644773799"/>
    <n v="804998.651211855"/>
  </r>
  <r>
    <x v="0"/>
    <x v="0"/>
    <x v="0"/>
    <x v="9"/>
    <x v="19"/>
    <s v="SE3A"/>
    <x v="6"/>
    <x v="4"/>
    <s v="GNR_ROR_WTR"/>
    <x v="0"/>
    <x v="13"/>
    <n v="612.63215465133601"/>
    <n v="223610.73644773799"/>
    <n v="804998.651211855"/>
  </r>
  <r>
    <x v="0"/>
    <x v="0"/>
    <x v="0"/>
    <x v="9"/>
    <x v="19"/>
    <s v="SE3A"/>
    <x v="6"/>
    <x v="4"/>
    <s v="GNR_ROR_WTR"/>
    <x v="0"/>
    <x v="14"/>
    <n v="612.63215465133601"/>
    <n v="223610.73644773799"/>
    <n v="804998.651211855"/>
  </r>
  <r>
    <x v="0"/>
    <x v="0"/>
    <x v="0"/>
    <x v="9"/>
    <x v="19"/>
    <s v="SE3A"/>
    <x v="6"/>
    <x v="4"/>
    <s v="GNR_ROR_WTR"/>
    <x v="0"/>
    <x v="15"/>
    <n v="612.63215465133601"/>
    <n v="223610.73644773799"/>
    <n v="804998.651211855"/>
  </r>
  <r>
    <x v="0"/>
    <x v="0"/>
    <x v="0"/>
    <x v="9"/>
    <x v="19"/>
    <s v="SE3A"/>
    <x v="6"/>
    <x v="4"/>
    <s v="GNR_ROR_WTR"/>
    <x v="0"/>
    <x v="16"/>
    <n v="612.63215465133601"/>
    <n v="223610.73644773799"/>
    <n v="804998.651211855"/>
  </r>
  <r>
    <x v="0"/>
    <x v="0"/>
    <x v="0"/>
    <x v="9"/>
    <x v="19"/>
    <s v="SE3A"/>
    <x v="6"/>
    <x v="4"/>
    <s v="GNR_ROR_WTR"/>
    <x v="0"/>
    <x v="17"/>
    <n v="612.63215465133601"/>
    <n v="223610.73644773799"/>
    <n v="804998.651211855"/>
  </r>
  <r>
    <x v="0"/>
    <x v="0"/>
    <x v="0"/>
    <x v="9"/>
    <x v="19"/>
    <s v="SE3A"/>
    <x v="6"/>
    <x v="4"/>
    <s v="GNR_ROR_WTR"/>
    <x v="0"/>
    <x v="19"/>
    <n v="612.63215465133601"/>
    <n v="223610.73644773799"/>
    <n v="804998.651211855"/>
  </r>
  <r>
    <x v="0"/>
    <x v="0"/>
    <x v="0"/>
    <x v="9"/>
    <x v="19"/>
    <s v="SE3A"/>
    <x v="6"/>
    <x v="4"/>
    <s v="GNR_ROR_WTR"/>
    <x v="0"/>
    <x v="20"/>
    <n v="612.63215465133601"/>
    <n v="223610.73644773799"/>
    <n v="804998.651211855"/>
  </r>
  <r>
    <x v="0"/>
    <x v="0"/>
    <x v="0"/>
    <x v="9"/>
    <x v="19"/>
    <s v="SE3A"/>
    <x v="6"/>
    <x v="4"/>
    <s v="GNR_ROR_WTR"/>
    <x v="0"/>
    <x v="21"/>
    <n v="612.63215465133601"/>
    <n v="223610.73644773799"/>
    <n v="804998.651211855"/>
  </r>
  <r>
    <x v="0"/>
    <x v="0"/>
    <x v="0"/>
    <x v="9"/>
    <x v="19"/>
    <s v="SE3A"/>
    <x v="6"/>
    <x v="4"/>
    <s v="GNR_ROR_WTR"/>
    <x v="0"/>
    <x v="22"/>
    <n v="612.63215465133601"/>
    <n v="223610.73644773799"/>
    <n v="804998.651211855"/>
  </r>
  <r>
    <x v="0"/>
    <x v="0"/>
    <x v="0"/>
    <x v="9"/>
    <x v="19"/>
    <s v="SE3A"/>
    <x v="6"/>
    <x v="4"/>
    <s v="GNR_ROR_WTR"/>
    <x v="0"/>
    <x v="23"/>
    <n v="612.63215465133601"/>
    <n v="223610.73644773799"/>
    <n v="804998.651211855"/>
  </r>
  <r>
    <x v="0"/>
    <x v="0"/>
    <x v="0"/>
    <x v="9"/>
    <x v="19"/>
    <s v="SE3A"/>
    <x v="7"/>
    <x v="5"/>
    <s v="GNR_WT_WIND_ONS"/>
    <x v="0"/>
    <x v="0"/>
    <n v="630.20853809515404"/>
    <n v="230026.116404731"/>
    <n v="828094.019057033"/>
  </r>
  <r>
    <x v="0"/>
    <x v="0"/>
    <x v="0"/>
    <x v="9"/>
    <x v="19"/>
    <s v="SE3A"/>
    <x v="7"/>
    <x v="5"/>
    <s v="GNR_WT_WIND_ONS"/>
    <x v="0"/>
    <x v="1"/>
    <n v="579.90689185148904"/>
    <n v="211666.01552579299"/>
    <n v="761997.65589285595"/>
  </r>
  <r>
    <x v="0"/>
    <x v="0"/>
    <x v="0"/>
    <x v="9"/>
    <x v="19"/>
    <s v="SE3A"/>
    <x v="7"/>
    <x v="5"/>
    <s v="GNR_WT_WIND_ONS"/>
    <x v="0"/>
    <x v="18"/>
    <n v="484.39772577407001"/>
    <n v="176805.16990753499"/>
    <n v="636498.611667127"/>
  </r>
  <r>
    <x v="0"/>
    <x v="0"/>
    <x v="0"/>
    <x v="9"/>
    <x v="19"/>
    <s v="SE3A"/>
    <x v="7"/>
    <x v="5"/>
    <s v="GNR_WT_WIND_ONS"/>
    <x v="0"/>
    <x v="2"/>
    <n v="326.61875594709801"/>
    <n v="119215.845920691"/>
    <n v="429177.04531448701"/>
  </r>
  <r>
    <x v="0"/>
    <x v="0"/>
    <x v="0"/>
    <x v="9"/>
    <x v="19"/>
    <s v="SE3A"/>
    <x v="7"/>
    <x v="5"/>
    <s v="GNR_WT_WIND_ONS"/>
    <x v="0"/>
    <x v="3"/>
    <n v="314.45614213319999"/>
    <n v="114776.49187861801"/>
    <n v="413195.37076302402"/>
  </r>
  <r>
    <x v="0"/>
    <x v="0"/>
    <x v="0"/>
    <x v="9"/>
    <x v="19"/>
    <s v="SE3A"/>
    <x v="7"/>
    <x v="5"/>
    <s v="GNR_WT_WIND_ONS"/>
    <x v="0"/>
    <x v="4"/>
    <n v="253.32181962193101"/>
    <n v="92462.464162004995"/>
    <n v="332864.87098321802"/>
  </r>
  <r>
    <x v="0"/>
    <x v="0"/>
    <x v="0"/>
    <x v="9"/>
    <x v="19"/>
    <s v="SE3A"/>
    <x v="7"/>
    <x v="5"/>
    <s v="GNR_WT_WIND_ONS"/>
    <x v="0"/>
    <x v="5"/>
    <n v="229.02111023963499"/>
    <n v="83592.705237466696"/>
    <n v="300933.73885487998"/>
  </r>
  <r>
    <x v="0"/>
    <x v="0"/>
    <x v="0"/>
    <x v="9"/>
    <x v="19"/>
    <s v="SE3A"/>
    <x v="7"/>
    <x v="5"/>
    <s v="GNR_WT_WIND_ONS"/>
    <x v="0"/>
    <x v="6"/>
    <n v="290.23404835149501"/>
    <n v="105935.427648296"/>
    <n v="381367.539533865"/>
  </r>
  <r>
    <x v="0"/>
    <x v="0"/>
    <x v="0"/>
    <x v="9"/>
    <x v="19"/>
    <s v="SE3A"/>
    <x v="7"/>
    <x v="5"/>
    <s v="GNR_WT_WIND_ONS"/>
    <x v="0"/>
    <x v="7"/>
    <n v="341.828714981524"/>
    <n v="124767.480968256"/>
    <n v="449162.93148572301"/>
  </r>
  <r>
    <x v="0"/>
    <x v="0"/>
    <x v="0"/>
    <x v="9"/>
    <x v="19"/>
    <s v="SE3A"/>
    <x v="7"/>
    <x v="5"/>
    <s v="GNR_WT_WIND_ONS"/>
    <x v="0"/>
    <x v="8"/>
    <n v="366.085104322625"/>
    <n v="133621.06307775801"/>
    <n v="481035.82707992999"/>
  </r>
  <r>
    <x v="0"/>
    <x v="0"/>
    <x v="0"/>
    <x v="9"/>
    <x v="19"/>
    <s v="SE3A"/>
    <x v="7"/>
    <x v="5"/>
    <s v="GNR_WT_WIND_ONS"/>
    <x v="0"/>
    <x v="9"/>
    <n v="466.50690668697302"/>
    <n v="170275.02094074499"/>
    <n v="612990.07538668194"/>
  </r>
  <r>
    <x v="0"/>
    <x v="0"/>
    <x v="0"/>
    <x v="9"/>
    <x v="19"/>
    <s v="SE3A"/>
    <x v="7"/>
    <x v="5"/>
    <s v="GNR_WT_WIND_ONS"/>
    <x v="0"/>
    <x v="10"/>
    <n v="484.76302372561099"/>
    <n v="176938.50365984801"/>
    <n v="636978.61317545304"/>
  </r>
  <r>
    <x v="0"/>
    <x v="0"/>
    <x v="0"/>
    <x v="9"/>
    <x v="19"/>
    <s v="SE3A"/>
    <x v="7"/>
    <x v="5"/>
    <s v="GNR_WT_WIND_ONS"/>
    <x v="0"/>
    <x v="11"/>
    <n v="538.46831379855098"/>
    <n v="196540.934536471"/>
    <n v="707547.36433129502"/>
  </r>
  <r>
    <x v="0"/>
    <x v="0"/>
    <x v="0"/>
    <x v="9"/>
    <x v="19"/>
    <s v="SE3A"/>
    <x v="7"/>
    <x v="5"/>
    <s v="GNR_WT_WIND_ONS"/>
    <x v="0"/>
    <x v="12"/>
    <n v="656.69087293918301"/>
    <n v="239692.16862280201"/>
    <n v="862891.80704208696"/>
  </r>
  <r>
    <x v="0"/>
    <x v="0"/>
    <x v="0"/>
    <x v="9"/>
    <x v="19"/>
    <s v="SE3A"/>
    <x v="7"/>
    <x v="5"/>
    <s v="GNR_WT_WIND_ONS"/>
    <x v="0"/>
    <x v="13"/>
    <n v="735.71913857775405"/>
    <n v="268537.48558088002"/>
    <n v="966734.94809116796"/>
  </r>
  <r>
    <x v="0"/>
    <x v="0"/>
    <x v="0"/>
    <x v="9"/>
    <x v="19"/>
    <s v="SE3A"/>
    <x v="7"/>
    <x v="5"/>
    <s v="GNR_WT_WIND_ONS"/>
    <x v="0"/>
    <x v="14"/>
    <n v="790.35722815734005"/>
    <n v="288480.38827742898"/>
    <n v="1038529.39779875"/>
  </r>
  <r>
    <x v="0"/>
    <x v="0"/>
    <x v="0"/>
    <x v="9"/>
    <x v="19"/>
    <s v="SE3A"/>
    <x v="7"/>
    <x v="5"/>
    <s v="GNR_WT_WIND_ONS"/>
    <x v="0"/>
    <x v="15"/>
    <n v="802.40127836496401"/>
    <n v="292876.466603212"/>
    <n v="1054355.2797715601"/>
  </r>
  <r>
    <x v="0"/>
    <x v="0"/>
    <x v="0"/>
    <x v="9"/>
    <x v="19"/>
    <s v="SE3A"/>
    <x v="7"/>
    <x v="5"/>
    <s v="GNR_WT_WIND_ONS"/>
    <x v="0"/>
    <x v="16"/>
    <n v="849.83711408234603"/>
    <n v="310190.54664005601"/>
    <n v="1116685.9679042001"/>
  </r>
  <r>
    <x v="0"/>
    <x v="0"/>
    <x v="0"/>
    <x v="9"/>
    <x v="19"/>
    <s v="SE3A"/>
    <x v="7"/>
    <x v="5"/>
    <s v="GNR_WT_WIND_ONS"/>
    <x v="0"/>
    <x v="17"/>
    <n v="808.02531654920199"/>
    <n v="294929.240540459"/>
    <n v="1061745.2659456499"/>
  </r>
  <r>
    <x v="0"/>
    <x v="0"/>
    <x v="0"/>
    <x v="9"/>
    <x v="19"/>
    <s v="SE3A"/>
    <x v="7"/>
    <x v="5"/>
    <s v="GNR_WT_WIND_ONS"/>
    <x v="0"/>
    <x v="19"/>
    <n v="720.59362992718195"/>
    <n v="263016.674923421"/>
    <n v="946860.02972431702"/>
  </r>
  <r>
    <x v="0"/>
    <x v="0"/>
    <x v="0"/>
    <x v="9"/>
    <x v="19"/>
    <s v="SE3A"/>
    <x v="7"/>
    <x v="5"/>
    <s v="GNR_WT_WIND_ONS"/>
    <x v="0"/>
    <x v="20"/>
    <n v="606.34139768049897"/>
    <n v="221314.610153382"/>
    <n v="796732.59655217605"/>
  </r>
  <r>
    <x v="0"/>
    <x v="0"/>
    <x v="0"/>
    <x v="9"/>
    <x v="19"/>
    <s v="SE3A"/>
    <x v="7"/>
    <x v="5"/>
    <s v="GNR_WT_WIND_ONS"/>
    <x v="0"/>
    <x v="21"/>
    <n v="491.218348343532"/>
    <n v="179294.69714538899"/>
    <n v="645460.90972340095"/>
  </r>
  <r>
    <x v="0"/>
    <x v="0"/>
    <x v="0"/>
    <x v="9"/>
    <x v="19"/>
    <s v="SE3A"/>
    <x v="7"/>
    <x v="5"/>
    <s v="GNR_WT_WIND_ONS"/>
    <x v="0"/>
    <x v="22"/>
    <n v="460.57818341426201"/>
    <n v="168111.036946206"/>
    <n v="605199.73300634103"/>
  </r>
  <r>
    <x v="0"/>
    <x v="0"/>
    <x v="0"/>
    <x v="9"/>
    <x v="19"/>
    <s v="SE3A"/>
    <x v="7"/>
    <x v="5"/>
    <s v="GNR_WT_WIND_ONS"/>
    <x v="0"/>
    <x v="23"/>
    <n v="486.87519095492598"/>
    <n v="177709.444698548"/>
    <n v="639754.00091477297"/>
  </r>
  <r>
    <x v="0"/>
    <x v="0"/>
    <x v="0"/>
    <x v="9"/>
    <x v="19"/>
    <s v="SE3_EL"/>
    <x v="0"/>
    <x v="0"/>
    <s v="GEXT_COAL_LINK"/>
    <x v="0"/>
    <x v="2"/>
    <n v="3.8262249738229999"/>
    <n v="1396.57211544539"/>
    <n v="5027.6596156034202"/>
  </r>
  <r>
    <x v="0"/>
    <x v="0"/>
    <x v="0"/>
    <x v="9"/>
    <x v="19"/>
    <s v="SE3_EL"/>
    <x v="0"/>
    <x v="0"/>
    <s v="GEXT_COAL_LINK"/>
    <x v="0"/>
    <x v="3"/>
    <n v="10.1341372733398"/>
    <n v="3698.9601047690398"/>
    <n v="13316.2563771685"/>
  </r>
  <r>
    <x v="0"/>
    <x v="0"/>
    <x v="0"/>
    <x v="9"/>
    <x v="19"/>
    <s v="SE3_EL"/>
    <x v="0"/>
    <x v="0"/>
    <s v="GEXT_COAL_LINK"/>
    <x v="0"/>
    <x v="4"/>
    <n v="10.1341372733398"/>
    <n v="3698.9601047690398"/>
    <n v="13316.2563771685"/>
  </r>
  <r>
    <x v="0"/>
    <x v="0"/>
    <x v="0"/>
    <x v="9"/>
    <x v="19"/>
    <s v="SE3_EL"/>
    <x v="0"/>
    <x v="0"/>
    <s v="GEXT_COAL_LINK"/>
    <x v="0"/>
    <x v="5"/>
    <n v="10.1341372733398"/>
    <n v="3698.9601047690398"/>
    <n v="13316.2563771685"/>
  </r>
  <r>
    <x v="0"/>
    <x v="0"/>
    <x v="0"/>
    <x v="9"/>
    <x v="19"/>
    <s v="SE3_EL"/>
    <x v="0"/>
    <x v="0"/>
    <s v="GEXT_COAL_LINK"/>
    <x v="0"/>
    <x v="6"/>
    <n v="10.1341372733398"/>
    <n v="3698.9601047690398"/>
    <n v="13316.2563771685"/>
  </r>
  <r>
    <x v="0"/>
    <x v="0"/>
    <x v="0"/>
    <x v="9"/>
    <x v="19"/>
    <s v="SE3_EL"/>
    <x v="0"/>
    <x v="0"/>
    <s v="GEXT_COAL_LINK"/>
    <x v="0"/>
    <x v="7"/>
    <n v="10.1341372733398"/>
    <n v="3698.9601047690398"/>
    <n v="13316.2563771685"/>
  </r>
  <r>
    <x v="0"/>
    <x v="0"/>
    <x v="0"/>
    <x v="9"/>
    <x v="19"/>
    <s v="SE3_EL"/>
    <x v="0"/>
    <x v="0"/>
    <s v="GEXT_COAL_LINK"/>
    <x v="0"/>
    <x v="8"/>
    <n v="10.1341372733398"/>
    <n v="3698.9601047690398"/>
    <n v="13316.2563771685"/>
  </r>
  <r>
    <x v="0"/>
    <x v="0"/>
    <x v="0"/>
    <x v="9"/>
    <x v="19"/>
    <s v="SE3_EL"/>
    <x v="0"/>
    <x v="0"/>
    <s v="GEXT_COAL_LINK"/>
    <x v="0"/>
    <x v="9"/>
    <n v="10.1341372733398"/>
    <n v="3698.9601047690398"/>
    <n v="13316.2563771685"/>
  </r>
  <r>
    <x v="0"/>
    <x v="0"/>
    <x v="0"/>
    <x v="9"/>
    <x v="19"/>
    <s v="SE3_EL"/>
    <x v="0"/>
    <x v="0"/>
    <s v="GEXT_COAL_LINK"/>
    <x v="0"/>
    <x v="10"/>
    <n v="10.1341372733398"/>
    <n v="3698.9601047690398"/>
    <n v="13316.2563771685"/>
  </r>
  <r>
    <x v="0"/>
    <x v="0"/>
    <x v="0"/>
    <x v="9"/>
    <x v="19"/>
    <s v="SE3_EL"/>
    <x v="0"/>
    <x v="0"/>
    <s v="GEXT_COAL_LINK"/>
    <x v="0"/>
    <x v="11"/>
    <n v="10.1341372733398"/>
    <n v="3698.9601047690398"/>
    <n v="13316.2563771685"/>
  </r>
  <r>
    <x v="0"/>
    <x v="0"/>
    <x v="0"/>
    <x v="9"/>
    <x v="19"/>
    <s v="SE3_EL"/>
    <x v="0"/>
    <x v="0"/>
    <s v="GEXT_COAL_LINK"/>
    <x v="0"/>
    <x v="12"/>
    <n v="10.1341372733398"/>
    <n v="3698.9601047690398"/>
    <n v="13316.2563771685"/>
  </r>
  <r>
    <x v="0"/>
    <x v="0"/>
    <x v="0"/>
    <x v="9"/>
    <x v="19"/>
    <s v="SE3_EL"/>
    <x v="0"/>
    <x v="0"/>
    <s v="GEXT_COAL_LINK"/>
    <x v="0"/>
    <x v="13"/>
    <n v="10.1341372733398"/>
    <n v="3698.9601047690398"/>
    <n v="13316.2563771685"/>
  </r>
  <r>
    <x v="0"/>
    <x v="0"/>
    <x v="0"/>
    <x v="9"/>
    <x v="19"/>
    <s v="SE3_EL"/>
    <x v="0"/>
    <x v="0"/>
    <s v="GEXT_COAL_LINK"/>
    <x v="0"/>
    <x v="14"/>
    <n v="10.1341372733398"/>
    <n v="3698.9601047690398"/>
    <n v="13316.2563771685"/>
  </r>
  <r>
    <x v="0"/>
    <x v="0"/>
    <x v="0"/>
    <x v="9"/>
    <x v="19"/>
    <s v="SE3_EL"/>
    <x v="0"/>
    <x v="0"/>
    <s v="GEXT_COAL_LINK"/>
    <x v="0"/>
    <x v="15"/>
    <n v="10.1341372733398"/>
    <n v="3698.9601047690398"/>
    <n v="13316.2563771685"/>
  </r>
  <r>
    <x v="0"/>
    <x v="0"/>
    <x v="0"/>
    <x v="9"/>
    <x v="19"/>
    <s v="SE3_EL"/>
    <x v="0"/>
    <x v="0"/>
    <s v="GEXT_COAL_LINK"/>
    <x v="0"/>
    <x v="16"/>
    <n v="10.1341372733398"/>
    <n v="3698.9601047690398"/>
    <n v="13316.2563771685"/>
  </r>
  <r>
    <x v="0"/>
    <x v="0"/>
    <x v="0"/>
    <x v="9"/>
    <x v="19"/>
    <s v="SE3_EL"/>
    <x v="0"/>
    <x v="0"/>
    <s v="GEXT_COAL_LINK"/>
    <x v="0"/>
    <x v="17"/>
    <n v="10.1341372733398"/>
    <n v="3698.9601047690398"/>
    <n v="13316.2563771685"/>
  </r>
  <r>
    <x v="0"/>
    <x v="0"/>
    <x v="0"/>
    <x v="9"/>
    <x v="19"/>
    <s v="SE3_EL"/>
    <x v="0"/>
    <x v="0"/>
    <s v="GEXT_COAL_LINK"/>
    <x v="0"/>
    <x v="19"/>
    <n v="10.1341372733398"/>
    <n v="3698.9601047690398"/>
    <n v="13316.2563771685"/>
  </r>
  <r>
    <x v="0"/>
    <x v="0"/>
    <x v="0"/>
    <x v="9"/>
    <x v="19"/>
    <s v="SE3_EL"/>
    <x v="0"/>
    <x v="0"/>
    <s v="GEXT_COAL_LINK"/>
    <x v="0"/>
    <x v="20"/>
    <n v="10.1341372733398"/>
    <n v="3698.9601047690398"/>
    <n v="13316.2563771685"/>
  </r>
  <r>
    <x v="0"/>
    <x v="0"/>
    <x v="0"/>
    <x v="9"/>
    <x v="19"/>
    <s v="SE3_EL"/>
    <x v="0"/>
    <x v="0"/>
    <s v="GEXT_COAL_LINK"/>
    <x v="0"/>
    <x v="21"/>
    <n v="9.5332153007820999"/>
    <n v="3479.62358478547"/>
    <n v="12526.6449052277"/>
  </r>
  <r>
    <x v="0"/>
    <x v="0"/>
    <x v="0"/>
    <x v="9"/>
    <x v="19"/>
    <s v="SE3_EL"/>
    <x v="1"/>
    <x v="1"/>
    <s v="GETOH_HEATPUMP33"/>
    <x v="0"/>
    <x v="6"/>
    <n v="-11.3149903961269"/>
    <n v="-4129.9714945863298"/>
    <n v="-14867.8973805108"/>
  </r>
  <r>
    <x v="0"/>
    <x v="0"/>
    <x v="0"/>
    <x v="9"/>
    <x v="19"/>
    <s v="SE3_EL"/>
    <x v="1"/>
    <x v="1"/>
    <s v="GETOH_HEATPUMP33"/>
    <x v="0"/>
    <x v="8"/>
    <n v="-16.436363636363598"/>
    <n v="-5999.2727272727298"/>
    <n v="-21597.381818181799"/>
  </r>
  <r>
    <x v="0"/>
    <x v="0"/>
    <x v="0"/>
    <x v="9"/>
    <x v="19"/>
    <s v="SE3_EL"/>
    <x v="1"/>
    <x v="1"/>
    <s v="GETOH_HEATPUMP33"/>
    <x v="0"/>
    <x v="9"/>
    <n v="-6.0029791401987103"/>
    <n v="-2191.0873861725299"/>
    <n v="-7887.9145902211003"/>
  </r>
  <r>
    <x v="0"/>
    <x v="0"/>
    <x v="0"/>
    <x v="9"/>
    <x v="19"/>
    <s v="SE3_EL"/>
    <x v="2"/>
    <x v="2"/>
    <s v="GBPR_MUNIWASTE_24"/>
    <x v="0"/>
    <x v="0"/>
    <n v="46.222048776481302"/>
    <n v="16871.047803415699"/>
    <n v="60735.7720922964"/>
  </r>
  <r>
    <x v="0"/>
    <x v="0"/>
    <x v="0"/>
    <x v="9"/>
    <x v="19"/>
    <s v="SE3_EL"/>
    <x v="2"/>
    <x v="2"/>
    <s v="GBPR_MUNIWASTE_24"/>
    <x v="0"/>
    <x v="1"/>
    <n v="46.222048776481302"/>
    <n v="16871.047803415699"/>
    <n v="60735.7720922964"/>
  </r>
  <r>
    <x v="0"/>
    <x v="0"/>
    <x v="0"/>
    <x v="9"/>
    <x v="19"/>
    <s v="SE3_EL"/>
    <x v="2"/>
    <x v="2"/>
    <s v="GBPR_MUNIWASTE_24"/>
    <x v="0"/>
    <x v="18"/>
    <n v="46.222048776481302"/>
    <n v="16871.047803415699"/>
    <n v="60735.7720922964"/>
  </r>
  <r>
    <x v="0"/>
    <x v="0"/>
    <x v="0"/>
    <x v="9"/>
    <x v="19"/>
    <s v="SE3_EL"/>
    <x v="2"/>
    <x v="2"/>
    <s v="GBPR_MUNIWASTE_24"/>
    <x v="0"/>
    <x v="2"/>
    <n v="46.222048776481302"/>
    <n v="16871.047803415699"/>
    <n v="60735.7720922964"/>
  </r>
  <r>
    <x v="0"/>
    <x v="0"/>
    <x v="0"/>
    <x v="9"/>
    <x v="19"/>
    <s v="SE3_EL"/>
    <x v="2"/>
    <x v="2"/>
    <s v="GBPR_MUNIWASTE_24"/>
    <x v="0"/>
    <x v="3"/>
    <n v="46.222048776481302"/>
    <n v="16871.047803415699"/>
    <n v="60735.7720922964"/>
  </r>
  <r>
    <x v="0"/>
    <x v="0"/>
    <x v="0"/>
    <x v="9"/>
    <x v="19"/>
    <s v="SE3_EL"/>
    <x v="2"/>
    <x v="2"/>
    <s v="GBPR_MUNIWASTE_24"/>
    <x v="0"/>
    <x v="4"/>
    <n v="46.222048776481302"/>
    <n v="16871.047803415699"/>
    <n v="60735.7720922964"/>
  </r>
  <r>
    <x v="0"/>
    <x v="0"/>
    <x v="0"/>
    <x v="9"/>
    <x v="19"/>
    <s v="SE3_EL"/>
    <x v="2"/>
    <x v="2"/>
    <s v="GBPR_MUNIWASTE_24"/>
    <x v="0"/>
    <x v="5"/>
    <n v="46.222048776481302"/>
    <n v="16871.047803415699"/>
    <n v="60735.7720922964"/>
  </r>
  <r>
    <x v="0"/>
    <x v="0"/>
    <x v="0"/>
    <x v="9"/>
    <x v="19"/>
    <s v="SE3_EL"/>
    <x v="2"/>
    <x v="2"/>
    <s v="GBPR_MUNIWASTE_24"/>
    <x v="0"/>
    <x v="6"/>
    <n v="46.222048776481302"/>
    <n v="16871.047803415699"/>
    <n v="60735.7720922964"/>
  </r>
  <r>
    <x v="0"/>
    <x v="0"/>
    <x v="0"/>
    <x v="9"/>
    <x v="19"/>
    <s v="SE3_EL"/>
    <x v="2"/>
    <x v="2"/>
    <s v="GBPR_MUNIWASTE_24"/>
    <x v="0"/>
    <x v="7"/>
    <n v="46.222048776481302"/>
    <n v="16871.047803415699"/>
    <n v="60735.7720922964"/>
  </r>
  <r>
    <x v="0"/>
    <x v="0"/>
    <x v="0"/>
    <x v="9"/>
    <x v="19"/>
    <s v="SE3_EL"/>
    <x v="2"/>
    <x v="2"/>
    <s v="GBPR_MUNIWASTE_24"/>
    <x v="0"/>
    <x v="8"/>
    <n v="46.222048776481302"/>
    <n v="16871.047803415699"/>
    <n v="60735.7720922964"/>
  </r>
  <r>
    <x v="0"/>
    <x v="0"/>
    <x v="0"/>
    <x v="9"/>
    <x v="19"/>
    <s v="SE3_EL"/>
    <x v="2"/>
    <x v="2"/>
    <s v="GBPR_MUNIWASTE_24"/>
    <x v="0"/>
    <x v="9"/>
    <n v="46.222048776481302"/>
    <n v="16871.047803415699"/>
    <n v="60735.7720922964"/>
  </r>
  <r>
    <x v="0"/>
    <x v="0"/>
    <x v="0"/>
    <x v="9"/>
    <x v="19"/>
    <s v="SE3_EL"/>
    <x v="2"/>
    <x v="2"/>
    <s v="GBPR_MUNIWASTE_24"/>
    <x v="0"/>
    <x v="10"/>
    <n v="46.222048776481302"/>
    <n v="16871.047803415699"/>
    <n v="60735.7720922964"/>
  </r>
  <r>
    <x v="0"/>
    <x v="0"/>
    <x v="0"/>
    <x v="9"/>
    <x v="19"/>
    <s v="SE3_EL"/>
    <x v="2"/>
    <x v="2"/>
    <s v="GBPR_MUNIWASTE_24"/>
    <x v="0"/>
    <x v="11"/>
    <n v="46.222048776481302"/>
    <n v="16871.047803415699"/>
    <n v="60735.7720922964"/>
  </r>
  <r>
    <x v="0"/>
    <x v="0"/>
    <x v="0"/>
    <x v="9"/>
    <x v="19"/>
    <s v="SE3_EL"/>
    <x v="2"/>
    <x v="2"/>
    <s v="GBPR_MUNIWASTE_24"/>
    <x v="0"/>
    <x v="12"/>
    <n v="46.222048776481302"/>
    <n v="16871.047803415699"/>
    <n v="60735.7720922964"/>
  </r>
  <r>
    <x v="0"/>
    <x v="0"/>
    <x v="0"/>
    <x v="9"/>
    <x v="19"/>
    <s v="SE3_EL"/>
    <x v="2"/>
    <x v="2"/>
    <s v="GBPR_MUNIWASTE_24"/>
    <x v="0"/>
    <x v="13"/>
    <n v="46.222048776481302"/>
    <n v="16871.047803415699"/>
    <n v="60735.7720922964"/>
  </r>
  <r>
    <x v="0"/>
    <x v="0"/>
    <x v="0"/>
    <x v="9"/>
    <x v="19"/>
    <s v="SE3_EL"/>
    <x v="2"/>
    <x v="2"/>
    <s v="GBPR_MUNIWASTE_24"/>
    <x v="0"/>
    <x v="14"/>
    <n v="46.222048776481302"/>
    <n v="16871.047803415699"/>
    <n v="60735.7720922964"/>
  </r>
  <r>
    <x v="0"/>
    <x v="0"/>
    <x v="0"/>
    <x v="9"/>
    <x v="19"/>
    <s v="SE3_EL"/>
    <x v="2"/>
    <x v="2"/>
    <s v="GBPR_MUNIWASTE_24"/>
    <x v="0"/>
    <x v="15"/>
    <n v="46.222048776481302"/>
    <n v="16871.047803415699"/>
    <n v="60735.7720922964"/>
  </r>
  <r>
    <x v="0"/>
    <x v="0"/>
    <x v="0"/>
    <x v="9"/>
    <x v="19"/>
    <s v="SE3_EL"/>
    <x v="2"/>
    <x v="2"/>
    <s v="GBPR_MUNIWASTE_24"/>
    <x v="0"/>
    <x v="16"/>
    <n v="46.222048776481302"/>
    <n v="16871.047803415699"/>
    <n v="60735.7720922964"/>
  </r>
  <r>
    <x v="0"/>
    <x v="0"/>
    <x v="0"/>
    <x v="9"/>
    <x v="19"/>
    <s v="SE3_EL"/>
    <x v="2"/>
    <x v="2"/>
    <s v="GBPR_MUNIWASTE_24"/>
    <x v="0"/>
    <x v="17"/>
    <n v="46.222048776481302"/>
    <n v="16871.047803415699"/>
    <n v="60735.7720922964"/>
  </r>
  <r>
    <x v="0"/>
    <x v="0"/>
    <x v="0"/>
    <x v="9"/>
    <x v="19"/>
    <s v="SE3_EL"/>
    <x v="2"/>
    <x v="2"/>
    <s v="GBPR_MUNIWASTE_24"/>
    <x v="0"/>
    <x v="19"/>
    <n v="46.222048776481302"/>
    <n v="16871.047803415699"/>
    <n v="60735.7720922964"/>
  </r>
  <r>
    <x v="0"/>
    <x v="0"/>
    <x v="0"/>
    <x v="9"/>
    <x v="19"/>
    <s v="SE3_EL"/>
    <x v="2"/>
    <x v="2"/>
    <s v="GBPR_MUNIWASTE_24"/>
    <x v="0"/>
    <x v="20"/>
    <n v="46.222048776481302"/>
    <n v="16871.047803415699"/>
    <n v="60735.7720922964"/>
  </r>
  <r>
    <x v="0"/>
    <x v="0"/>
    <x v="0"/>
    <x v="9"/>
    <x v="19"/>
    <s v="SE3_EL"/>
    <x v="2"/>
    <x v="2"/>
    <s v="GBPR_MUNIWASTE_24"/>
    <x v="0"/>
    <x v="21"/>
    <n v="46.222048776481302"/>
    <n v="16871.047803415699"/>
    <n v="60735.7720922964"/>
  </r>
  <r>
    <x v="0"/>
    <x v="0"/>
    <x v="0"/>
    <x v="9"/>
    <x v="19"/>
    <s v="SE3_EL"/>
    <x v="2"/>
    <x v="2"/>
    <s v="GBPR_MUNIWASTE_24"/>
    <x v="0"/>
    <x v="22"/>
    <n v="46.222048776481302"/>
    <n v="16871.047803415699"/>
    <n v="60735.7720922964"/>
  </r>
  <r>
    <x v="0"/>
    <x v="0"/>
    <x v="0"/>
    <x v="9"/>
    <x v="19"/>
    <s v="SE3_EL"/>
    <x v="2"/>
    <x v="2"/>
    <s v="GBPR_MUNIWASTE_24"/>
    <x v="0"/>
    <x v="23"/>
    <n v="46.222048776481302"/>
    <n v="16871.047803415699"/>
    <n v="60735.7720922964"/>
  </r>
  <r>
    <x v="0"/>
    <x v="0"/>
    <x v="0"/>
    <x v="9"/>
    <x v="19"/>
    <s v="SE3_EL"/>
    <x v="2"/>
    <x v="2"/>
    <s v="GBPR_MUNIWASTE_LINK"/>
    <x v="0"/>
    <x v="0"/>
    <n v="28.242772365308799"/>
    <n v="10308.6119133377"/>
    <n v="37111.002888015697"/>
  </r>
  <r>
    <x v="0"/>
    <x v="0"/>
    <x v="0"/>
    <x v="9"/>
    <x v="19"/>
    <s v="SE3_EL"/>
    <x v="2"/>
    <x v="2"/>
    <s v="GBPR_MUNIWASTE_LINK"/>
    <x v="0"/>
    <x v="1"/>
    <n v="28.242772365308799"/>
    <n v="10308.6119133377"/>
    <n v="37111.002888015697"/>
  </r>
  <r>
    <x v="0"/>
    <x v="0"/>
    <x v="0"/>
    <x v="9"/>
    <x v="19"/>
    <s v="SE3_EL"/>
    <x v="2"/>
    <x v="2"/>
    <s v="GBPR_MUNIWASTE_LINK"/>
    <x v="0"/>
    <x v="18"/>
    <n v="28.242772365308799"/>
    <n v="10308.6119133377"/>
    <n v="37111.002888015697"/>
  </r>
  <r>
    <x v="0"/>
    <x v="0"/>
    <x v="0"/>
    <x v="9"/>
    <x v="19"/>
    <s v="SE3_EL"/>
    <x v="2"/>
    <x v="2"/>
    <s v="GBPR_MUNIWASTE_LINK"/>
    <x v="0"/>
    <x v="2"/>
    <n v="28.242772365308799"/>
    <n v="10308.6119133377"/>
    <n v="37111.002888015697"/>
  </r>
  <r>
    <x v="0"/>
    <x v="0"/>
    <x v="0"/>
    <x v="9"/>
    <x v="19"/>
    <s v="SE3_EL"/>
    <x v="2"/>
    <x v="2"/>
    <s v="GBPR_MUNIWASTE_LINK"/>
    <x v="0"/>
    <x v="3"/>
    <n v="28.242772365308799"/>
    <n v="10308.6119133377"/>
    <n v="37111.002888015697"/>
  </r>
  <r>
    <x v="0"/>
    <x v="0"/>
    <x v="0"/>
    <x v="9"/>
    <x v="19"/>
    <s v="SE3_EL"/>
    <x v="2"/>
    <x v="2"/>
    <s v="GBPR_MUNIWASTE_LINK"/>
    <x v="0"/>
    <x v="4"/>
    <n v="28.242772365308799"/>
    <n v="10308.6119133377"/>
    <n v="37111.002888015697"/>
  </r>
  <r>
    <x v="0"/>
    <x v="0"/>
    <x v="0"/>
    <x v="9"/>
    <x v="19"/>
    <s v="SE3_EL"/>
    <x v="2"/>
    <x v="2"/>
    <s v="GBPR_MUNIWASTE_LINK"/>
    <x v="0"/>
    <x v="5"/>
    <n v="28.242772365308799"/>
    <n v="10308.6119133377"/>
    <n v="37111.002888015697"/>
  </r>
  <r>
    <x v="0"/>
    <x v="0"/>
    <x v="0"/>
    <x v="9"/>
    <x v="19"/>
    <s v="SE3_EL"/>
    <x v="2"/>
    <x v="2"/>
    <s v="GBPR_MUNIWASTE_LINK"/>
    <x v="0"/>
    <x v="6"/>
    <n v="28.242772365308799"/>
    <n v="10308.6119133377"/>
    <n v="37111.002888015697"/>
  </r>
  <r>
    <x v="0"/>
    <x v="0"/>
    <x v="0"/>
    <x v="9"/>
    <x v="19"/>
    <s v="SE3_EL"/>
    <x v="2"/>
    <x v="2"/>
    <s v="GBPR_MUNIWASTE_LINK"/>
    <x v="0"/>
    <x v="7"/>
    <n v="28.242772365308799"/>
    <n v="10308.6119133377"/>
    <n v="37111.002888015697"/>
  </r>
  <r>
    <x v="0"/>
    <x v="0"/>
    <x v="0"/>
    <x v="9"/>
    <x v="19"/>
    <s v="SE3_EL"/>
    <x v="2"/>
    <x v="2"/>
    <s v="GBPR_MUNIWASTE_LINK"/>
    <x v="0"/>
    <x v="8"/>
    <n v="28.242772365308799"/>
    <n v="10308.6119133377"/>
    <n v="37111.002888015697"/>
  </r>
  <r>
    <x v="0"/>
    <x v="0"/>
    <x v="0"/>
    <x v="9"/>
    <x v="19"/>
    <s v="SE3_EL"/>
    <x v="2"/>
    <x v="2"/>
    <s v="GBPR_MUNIWASTE_LINK"/>
    <x v="0"/>
    <x v="9"/>
    <n v="28.242772365308799"/>
    <n v="10308.6119133377"/>
    <n v="37111.002888015697"/>
  </r>
  <r>
    <x v="0"/>
    <x v="0"/>
    <x v="0"/>
    <x v="9"/>
    <x v="19"/>
    <s v="SE3_EL"/>
    <x v="2"/>
    <x v="2"/>
    <s v="GBPR_MUNIWASTE_LINK"/>
    <x v="0"/>
    <x v="10"/>
    <n v="28.242772365308799"/>
    <n v="10308.6119133377"/>
    <n v="37111.002888015697"/>
  </r>
  <r>
    <x v="0"/>
    <x v="0"/>
    <x v="0"/>
    <x v="9"/>
    <x v="19"/>
    <s v="SE3_EL"/>
    <x v="2"/>
    <x v="2"/>
    <s v="GBPR_MUNIWASTE_LINK"/>
    <x v="0"/>
    <x v="11"/>
    <n v="28.242772365308799"/>
    <n v="10308.6119133377"/>
    <n v="37111.002888015697"/>
  </r>
  <r>
    <x v="0"/>
    <x v="0"/>
    <x v="0"/>
    <x v="9"/>
    <x v="19"/>
    <s v="SE3_EL"/>
    <x v="2"/>
    <x v="2"/>
    <s v="GBPR_MUNIWASTE_LINK"/>
    <x v="0"/>
    <x v="12"/>
    <n v="28.242772365308799"/>
    <n v="10308.6119133377"/>
    <n v="37111.002888015697"/>
  </r>
  <r>
    <x v="0"/>
    <x v="0"/>
    <x v="0"/>
    <x v="9"/>
    <x v="19"/>
    <s v="SE3_EL"/>
    <x v="2"/>
    <x v="2"/>
    <s v="GBPR_MUNIWASTE_LINK"/>
    <x v="0"/>
    <x v="13"/>
    <n v="28.242772365308799"/>
    <n v="10308.6119133377"/>
    <n v="37111.002888015697"/>
  </r>
  <r>
    <x v="0"/>
    <x v="0"/>
    <x v="0"/>
    <x v="9"/>
    <x v="19"/>
    <s v="SE3_EL"/>
    <x v="2"/>
    <x v="2"/>
    <s v="GBPR_MUNIWASTE_LINK"/>
    <x v="0"/>
    <x v="14"/>
    <n v="28.242772365308799"/>
    <n v="10308.6119133377"/>
    <n v="37111.002888015697"/>
  </r>
  <r>
    <x v="0"/>
    <x v="0"/>
    <x v="0"/>
    <x v="9"/>
    <x v="19"/>
    <s v="SE3_EL"/>
    <x v="2"/>
    <x v="2"/>
    <s v="GBPR_MUNIWASTE_LINK"/>
    <x v="0"/>
    <x v="15"/>
    <n v="28.242772365308799"/>
    <n v="10308.6119133377"/>
    <n v="37111.002888015697"/>
  </r>
  <r>
    <x v="0"/>
    <x v="0"/>
    <x v="0"/>
    <x v="9"/>
    <x v="19"/>
    <s v="SE3_EL"/>
    <x v="2"/>
    <x v="2"/>
    <s v="GBPR_MUNIWASTE_LINK"/>
    <x v="0"/>
    <x v="16"/>
    <n v="28.242772365308799"/>
    <n v="10308.6119133377"/>
    <n v="37111.002888015697"/>
  </r>
  <r>
    <x v="0"/>
    <x v="0"/>
    <x v="0"/>
    <x v="9"/>
    <x v="19"/>
    <s v="SE3_EL"/>
    <x v="2"/>
    <x v="2"/>
    <s v="GBPR_MUNIWASTE_LINK"/>
    <x v="0"/>
    <x v="17"/>
    <n v="28.242772365308799"/>
    <n v="10308.6119133377"/>
    <n v="37111.002888015697"/>
  </r>
  <r>
    <x v="0"/>
    <x v="0"/>
    <x v="0"/>
    <x v="9"/>
    <x v="19"/>
    <s v="SE3_EL"/>
    <x v="2"/>
    <x v="2"/>
    <s v="GBPR_MUNIWASTE_LINK"/>
    <x v="0"/>
    <x v="19"/>
    <n v="28.242772365308799"/>
    <n v="10308.6119133377"/>
    <n v="37111.002888015697"/>
  </r>
  <r>
    <x v="0"/>
    <x v="0"/>
    <x v="0"/>
    <x v="9"/>
    <x v="19"/>
    <s v="SE3_EL"/>
    <x v="2"/>
    <x v="2"/>
    <s v="GBPR_MUNIWASTE_LINK"/>
    <x v="0"/>
    <x v="20"/>
    <n v="28.242772365308799"/>
    <n v="10308.6119133377"/>
    <n v="37111.002888015697"/>
  </r>
  <r>
    <x v="0"/>
    <x v="0"/>
    <x v="0"/>
    <x v="9"/>
    <x v="19"/>
    <s v="SE3_EL"/>
    <x v="2"/>
    <x v="2"/>
    <s v="GBPR_MUNIWASTE_LINK"/>
    <x v="0"/>
    <x v="21"/>
    <n v="28.242772365308799"/>
    <n v="10308.6119133377"/>
    <n v="37111.002888015697"/>
  </r>
  <r>
    <x v="0"/>
    <x v="0"/>
    <x v="0"/>
    <x v="9"/>
    <x v="19"/>
    <s v="SE3_EL"/>
    <x v="2"/>
    <x v="2"/>
    <s v="GBPR_MUNIWASTE_LINK"/>
    <x v="0"/>
    <x v="22"/>
    <n v="28.242772365308799"/>
    <n v="10308.6119133377"/>
    <n v="37111.002888015697"/>
  </r>
  <r>
    <x v="0"/>
    <x v="0"/>
    <x v="0"/>
    <x v="9"/>
    <x v="19"/>
    <s v="SE3_EL"/>
    <x v="2"/>
    <x v="2"/>
    <s v="GBPR_MUNIWASTE_LINK"/>
    <x v="0"/>
    <x v="23"/>
    <n v="28.242772365308799"/>
    <n v="10308.6119133377"/>
    <n v="37111.002888015697"/>
  </r>
  <r>
    <x v="0"/>
    <x v="0"/>
    <x v="0"/>
    <x v="9"/>
    <x v="19"/>
    <s v="SE3_EL"/>
    <x v="13"/>
    <x v="2"/>
    <s v="GBPR_PEAT_38"/>
    <x v="0"/>
    <x v="5"/>
    <n v="19.5977363122242"/>
    <n v="7153.1737539618398"/>
    <n v="25751.425514262599"/>
  </r>
  <r>
    <x v="0"/>
    <x v="0"/>
    <x v="0"/>
    <x v="9"/>
    <x v="19"/>
    <s v="SE3_EL"/>
    <x v="13"/>
    <x v="2"/>
    <s v="GBPR_PEAT_38"/>
    <x v="0"/>
    <x v="6"/>
    <n v="19.5977363122242"/>
    <n v="7153.1737539618398"/>
    <n v="25751.425514262599"/>
  </r>
  <r>
    <x v="0"/>
    <x v="0"/>
    <x v="0"/>
    <x v="9"/>
    <x v="19"/>
    <s v="SE3_EL"/>
    <x v="13"/>
    <x v="2"/>
    <s v="GBPR_PEAT_38"/>
    <x v="0"/>
    <x v="7"/>
    <n v="19.5977363122242"/>
    <n v="7153.1737539618398"/>
    <n v="25751.425514262599"/>
  </r>
  <r>
    <x v="0"/>
    <x v="0"/>
    <x v="0"/>
    <x v="9"/>
    <x v="19"/>
    <s v="SE3_EL"/>
    <x v="13"/>
    <x v="2"/>
    <s v="GBPR_PEAT_38"/>
    <x v="0"/>
    <x v="8"/>
    <n v="19.5977363122242"/>
    <n v="7153.1737539618398"/>
    <n v="25751.425514262599"/>
  </r>
  <r>
    <x v="0"/>
    <x v="0"/>
    <x v="0"/>
    <x v="9"/>
    <x v="19"/>
    <s v="SE3_EL"/>
    <x v="13"/>
    <x v="2"/>
    <s v="GBPR_PEAT_38"/>
    <x v="0"/>
    <x v="9"/>
    <n v="19.5977363122242"/>
    <n v="7153.1737539618398"/>
    <n v="25751.425514262599"/>
  </r>
  <r>
    <x v="0"/>
    <x v="0"/>
    <x v="0"/>
    <x v="9"/>
    <x v="19"/>
    <s v="SE3_EL"/>
    <x v="13"/>
    <x v="2"/>
    <s v="GBPR_PEAT_38"/>
    <x v="0"/>
    <x v="10"/>
    <n v="7.3641593235018101"/>
    <n v="2687.9181530781598"/>
    <n v="9676.5053510813796"/>
  </r>
  <r>
    <x v="0"/>
    <x v="0"/>
    <x v="0"/>
    <x v="9"/>
    <x v="19"/>
    <s v="SE3_EL"/>
    <x v="13"/>
    <x v="0"/>
    <s v="GEXT_PEAT"/>
    <x v="0"/>
    <x v="3"/>
    <n v="5.0788572656467297"/>
    <n v="1853.7829019610599"/>
    <n v="6673.6184470598"/>
  </r>
  <r>
    <x v="0"/>
    <x v="0"/>
    <x v="0"/>
    <x v="9"/>
    <x v="19"/>
    <s v="SE3_EL"/>
    <x v="13"/>
    <x v="0"/>
    <s v="GEXT_PEAT"/>
    <x v="0"/>
    <x v="4"/>
    <n v="46.858975908519497"/>
    <n v="17103.5262066096"/>
    <n v="61572.694343794697"/>
  </r>
  <r>
    <x v="0"/>
    <x v="0"/>
    <x v="0"/>
    <x v="9"/>
    <x v="19"/>
    <s v="SE3_EL"/>
    <x v="13"/>
    <x v="0"/>
    <s v="GEXT_PEAT"/>
    <x v="0"/>
    <x v="5"/>
    <n v="59.295623631222398"/>
    <n v="21642.9026253962"/>
    <n v="77914.449451426306"/>
  </r>
  <r>
    <x v="0"/>
    <x v="0"/>
    <x v="0"/>
    <x v="9"/>
    <x v="19"/>
    <s v="SE3_EL"/>
    <x v="13"/>
    <x v="0"/>
    <s v="GEXT_PEAT"/>
    <x v="0"/>
    <x v="6"/>
    <n v="59.295623631222398"/>
    <n v="21642.9026253962"/>
    <n v="77914.449451426306"/>
  </r>
  <r>
    <x v="0"/>
    <x v="0"/>
    <x v="0"/>
    <x v="9"/>
    <x v="19"/>
    <s v="SE3_EL"/>
    <x v="13"/>
    <x v="0"/>
    <s v="GEXT_PEAT"/>
    <x v="0"/>
    <x v="7"/>
    <n v="59.295623631222398"/>
    <n v="21642.9026253962"/>
    <n v="77914.449451426306"/>
  </r>
  <r>
    <x v="0"/>
    <x v="0"/>
    <x v="0"/>
    <x v="9"/>
    <x v="19"/>
    <s v="SE3_EL"/>
    <x v="13"/>
    <x v="0"/>
    <s v="GEXT_PEAT"/>
    <x v="0"/>
    <x v="8"/>
    <n v="59.295623631222398"/>
    <n v="21642.9026253962"/>
    <n v="77914.449451426306"/>
  </r>
  <r>
    <x v="0"/>
    <x v="0"/>
    <x v="0"/>
    <x v="9"/>
    <x v="19"/>
    <s v="SE3_EL"/>
    <x v="13"/>
    <x v="0"/>
    <s v="GEXT_PEAT"/>
    <x v="0"/>
    <x v="9"/>
    <n v="59.295623631222398"/>
    <n v="21642.9026253962"/>
    <n v="77914.449451426306"/>
  </r>
  <r>
    <x v="0"/>
    <x v="0"/>
    <x v="0"/>
    <x v="9"/>
    <x v="19"/>
    <s v="SE3_EL"/>
    <x v="13"/>
    <x v="0"/>
    <s v="GEXT_PEAT"/>
    <x v="0"/>
    <x v="10"/>
    <n v="59.295623631222398"/>
    <n v="21642.9026253962"/>
    <n v="77914.449451426306"/>
  </r>
  <r>
    <x v="0"/>
    <x v="0"/>
    <x v="0"/>
    <x v="9"/>
    <x v="19"/>
    <s v="SE3_EL"/>
    <x v="13"/>
    <x v="0"/>
    <s v="GEXT_PEAT"/>
    <x v="0"/>
    <x v="11"/>
    <n v="53.505410623409603"/>
    <n v="19529.4748775445"/>
    <n v="70306.109559160206"/>
  </r>
  <r>
    <x v="0"/>
    <x v="0"/>
    <x v="0"/>
    <x v="9"/>
    <x v="19"/>
    <s v="SE3_EL"/>
    <x v="13"/>
    <x v="0"/>
    <s v="GEXT_PEAT"/>
    <x v="0"/>
    <x v="12"/>
    <n v="43.807523982451798"/>
    <n v="15989.7462535949"/>
    <n v="57563.0865129417"/>
  </r>
  <r>
    <x v="0"/>
    <x v="0"/>
    <x v="0"/>
    <x v="9"/>
    <x v="19"/>
    <s v="SE3_EL"/>
    <x v="13"/>
    <x v="0"/>
    <s v="GEXT_PEAT"/>
    <x v="0"/>
    <x v="13"/>
    <n v="35.642207239687899"/>
    <n v="13009.405642486099"/>
    <n v="46833.860312949902"/>
  </r>
  <r>
    <x v="0"/>
    <x v="0"/>
    <x v="0"/>
    <x v="9"/>
    <x v="19"/>
    <s v="SE3_EL"/>
    <x v="13"/>
    <x v="0"/>
    <s v="GEXT_PEAT"/>
    <x v="0"/>
    <x v="14"/>
    <n v="31.890223307446899"/>
    <n v="11639.9315072181"/>
    <n v="41903.753425985298"/>
  </r>
  <r>
    <x v="0"/>
    <x v="0"/>
    <x v="0"/>
    <x v="9"/>
    <x v="19"/>
    <s v="SE3_EL"/>
    <x v="13"/>
    <x v="0"/>
    <s v="GEXT_PEAT"/>
    <x v="0"/>
    <x v="15"/>
    <n v="15.739384050740099"/>
    <n v="5744.8751785201403"/>
    <n v="20681.550642672501"/>
  </r>
  <r>
    <x v="0"/>
    <x v="0"/>
    <x v="0"/>
    <x v="9"/>
    <x v="19"/>
    <s v="SE3_EL"/>
    <x v="13"/>
    <x v="0"/>
    <s v="GEXT_PEAT"/>
    <x v="0"/>
    <x v="16"/>
    <n v="28.436746853505401"/>
    <n v="10379.412601529501"/>
    <n v="37365.885365506103"/>
  </r>
  <r>
    <x v="0"/>
    <x v="0"/>
    <x v="0"/>
    <x v="9"/>
    <x v="19"/>
    <s v="SE3_EL"/>
    <x v="18"/>
    <x v="2"/>
    <s v="GBPR_RECYCLEDWOOD_SE3EL"/>
    <x v="0"/>
    <x v="5"/>
    <n v="63.7184429500698"/>
    <n v="23257.2316767755"/>
    <n v="83726.034036391793"/>
  </r>
  <r>
    <x v="0"/>
    <x v="0"/>
    <x v="0"/>
    <x v="9"/>
    <x v="19"/>
    <s v="SE3_EL"/>
    <x v="18"/>
    <x v="2"/>
    <s v="GBPR_RECYCLEDWOOD_SE3EL"/>
    <x v="0"/>
    <x v="6"/>
    <n v="63.7184429500698"/>
    <n v="23257.2316767755"/>
    <n v="83726.034036391793"/>
  </r>
  <r>
    <x v="0"/>
    <x v="0"/>
    <x v="0"/>
    <x v="9"/>
    <x v="19"/>
    <s v="SE3_EL"/>
    <x v="18"/>
    <x v="2"/>
    <s v="GBPR_RECYCLEDWOOD_SE3EL"/>
    <x v="0"/>
    <x v="7"/>
    <n v="63.7184429500698"/>
    <n v="23257.2316767755"/>
    <n v="83726.034036391793"/>
  </r>
  <r>
    <x v="0"/>
    <x v="0"/>
    <x v="0"/>
    <x v="9"/>
    <x v="19"/>
    <s v="SE3_EL"/>
    <x v="18"/>
    <x v="2"/>
    <s v="GBPR_RECYCLEDWOOD_SE3EL"/>
    <x v="0"/>
    <x v="8"/>
    <n v="63.7184429500698"/>
    <n v="23257.2316767755"/>
    <n v="83726.034036391793"/>
  </r>
  <r>
    <x v="0"/>
    <x v="0"/>
    <x v="0"/>
    <x v="9"/>
    <x v="19"/>
    <s v="SE3_EL"/>
    <x v="18"/>
    <x v="2"/>
    <s v="GBPR_RECYCLEDWOOD_SE3EL"/>
    <x v="0"/>
    <x v="9"/>
    <n v="63.7184429500698"/>
    <n v="23257.2316767755"/>
    <n v="83726.034036391793"/>
  </r>
  <r>
    <x v="0"/>
    <x v="0"/>
    <x v="0"/>
    <x v="9"/>
    <x v="19"/>
    <s v="SE3_EL"/>
    <x v="18"/>
    <x v="2"/>
    <s v="GBPR_RECYCLEDWOOD_SE3EL"/>
    <x v="0"/>
    <x v="10"/>
    <n v="63.7184429500698"/>
    <n v="23257.2316767755"/>
    <n v="83726.034036391793"/>
  </r>
  <r>
    <x v="0"/>
    <x v="0"/>
    <x v="0"/>
    <x v="9"/>
    <x v="19"/>
    <s v="SE3_EL"/>
    <x v="18"/>
    <x v="2"/>
    <s v="GBPR_RECYCLEDWOOD_SE3EL"/>
    <x v="0"/>
    <x v="11"/>
    <n v="63.7184429500698"/>
    <n v="23257.2316767755"/>
    <n v="83726.034036391793"/>
  </r>
  <r>
    <x v="0"/>
    <x v="0"/>
    <x v="0"/>
    <x v="9"/>
    <x v="19"/>
    <s v="SE3_EL"/>
    <x v="18"/>
    <x v="2"/>
    <s v="GBPR_RECYCLEDWOOD_SE3EL"/>
    <x v="0"/>
    <x v="12"/>
    <n v="63.7184429500698"/>
    <n v="23257.2316767755"/>
    <n v="83726.034036391793"/>
  </r>
  <r>
    <x v="0"/>
    <x v="0"/>
    <x v="0"/>
    <x v="9"/>
    <x v="19"/>
    <s v="SE3_EL"/>
    <x v="18"/>
    <x v="2"/>
    <s v="GBPR_RECYCLEDWOOD_SE3EL"/>
    <x v="0"/>
    <x v="13"/>
    <n v="63.7184429500698"/>
    <n v="23257.2316767755"/>
    <n v="83726.034036391793"/>
  </r>
  <r>
    <x v="0"/>
    <x v="0"/>
    <x v="0"/>
    <x v="9"/>
    <x v="19"/>
    <s v="SE3_EL"/>
    <x v="18"/>
    <x v="2"/>
    <s v="GBPR_RECYCLEDWOOD_SE3EL"/>
    <x v="0"/>
    <x v="14"/>
    <n v="63.7184429500698"/>
    <n v="23257.2316767755"/>
    <n v="83726.034036391793"/>
  </r>
  <r>
    <x v="0"/>
    <x v="0"/>
    <x v="0"/>
    <x v="9"/>
    <x v="19"/>
    <s v="SE3_EL"/>
    <x v="18"/>
    <x v="2"/>
    <s v="GBPR_RECYCLEDWOOD_SE3EL"/>
    <x v="0"/>
    <x v="15"/>
    <n v="63.7184429500698"/>
    <n v="23257.2316767755"/>
    <n v="83726.034036391793"/>
  </r>
  <r>
    <x v="0"/>
    <x v="0"/>
    <x v="0"/>
    <x v="9"/>
    <x v="19"/>
    <s v="SE3_EL"/>
    <x v="18"/>
    <x v="2"/>
    <s v="GBPR_RECYCLEDWOOD_SE3EL"/>
    <x v="0"/>
    <x v="16"/>
    <n v="63.7184429500698"/>
    <n v="23257.2316767755"/>
    <n v="83726.034036391793"/>
  </r>
  <r>
    <x v="0"/>
    <x v="0"/>
    <x v="0"/>
    <x v="9"/>
    <x v="19"/>
    <s v="SE3_EL"/>
    <x v="18"/>
    <x v="2"/>
    <s v="GBPR_RECYCLEDWOOD_SE3EL"/>
    <x v="0"/>
    <x v="17"/>
    <n v="44.4306954491271"/>
    <n v="16217.2038389314"/>
    <n v="58381.933820153099"/>
  </r>
  <r>
    <x v="0"/>
    <x v="0"/>
    <x v="0"/>
    <x v="9"/>
    <x v="19"/>
    <s v="SE3_EL"/>
    <x v="10"/>
    <x v="2"/>
    <s v="GBPR_WOODWASTE_25"/>
    <x v="0"/>
    <x v="0"/>
    <n v="54.082549912434303"/>
    <n v="19740.130718038501"/>
    <n v="71064.470584938696"/>
  </r>
  <r>
    <x v="0"/>
    <x v="0"/>
    <x v="0"/>
    <x v="9"/>
    <x v="19"/>
    <s v="SE3_EL"/>
    <x v="10"/>
    <x v="2"/>
    <s v="GBPR_WOODWASTE_25"/>
    <x v="0"/>
    <x v="1"/>
    <n v="54.082549912434303"/>
    <n v="19740.130718038501"/>
    <n v="71064.470584938696"/>
  </r>
  <r>
    <x v="0"/>
    <x v="0"/>
    <x v="0"/>
    <x v="9"/>
    <x v="19"/>
    <s v="SE3_EL"/>
    <x v="10"/>
    <x v="2"/>
    <s v="GBPR_WOODWASTE_25"/>
    <x v="0"/>
    <x v="18"/>
    <n v="54.082549912434303"/>
    <n v="19740.130718038501"/>
    <n v="71064.470584938696"/>
  </r>
  <r>
    <x v="0"/>
    <x v="0"/>
    <x v="0"/>
    <x v="9"/>
    <x v="19"/>
    <s v="SE3_EL"/>
    <x v="10"/>
    <x v="2"/>
    <s v="GBPR_WOODWASTE_25"/>
    <x v="0"/>
    <x v="2"/>
    <n v="54.082549912434303"/>
    <n v="19740.130718038501"/>
    <n v="71064.470584938696"/>
  </r>
  <r>
    <x v="0"/>
    <x v="0"/>
    <x v="0"/>
    <x v="9"/>
    <x v="19"/>
    <s v="SE3_EL"/>
    <x v="10"/>
    <x v="2"/>
    <s v="GBPR_WOODWASTE_25"/>
    <x v="0"/>
    <x v="3"/>
    <n v="54.082549912434303"/>
    <n v="19740.130718038501"/>
    <n v="71064.470584938696"/>
  </r>
  <r>
    <x v="0"/>
    <x v="0"/>
    <x v="0"/>
    <x v="9"/>
    <x v="19"/>
    <s v="SE3_EL"/>
    <x v="10"/>
    <x v="2"/>
    <s v="GBPR_WOODWASTE_25"/>
    <x v="0"/>
    <x v="4"/>
    <n v="54.082549912434303"/>
    <n v="19740.130718038501"/>
    <n v="71064.470584938696"/>
  </r>
  <r>
    <x v="0"/>
    <x v="0"/>
    <x v="0"/>
    <x v="9"/>
    <x v="19"/>
    <s v="SE3_EL"/>
    <x v="10"/>
    <x v="2"/>
    <s v="GBPR_WOODWASTE_25"/>
    <x v="0"/>
    <x v="5"/>
    <n v="54.082549912434303"/>
    <n v="19740.130718038501"/>
    <n v="71064.470584938696"/>
  </r>
  <r>
    <x v="0"/>
    <x v="0"/>
    <x v="0"/>
    <x v="9"/>
    <x v="19"/>
    <s v="SE3_EL"/>
    <x v="10"/>
    <x v="2"/>
    <s v="GBPR_WOODWASTE_25"/>
    <x v="0"/>
    <x v="6"/>
    <n v="54.082549912434303"/>
    <n v="19740.130718038501"/>
    <n v="71064.470584938696"/>
  </r>
  <r>
    <x v="0"/>
    <x v="0"/>
    <x v="0"/>
    <x v="9"/>
    <x v="19"/>
    <s v="SE3_EL"/>
    <x v="10"/>
    <x v="2"/>
    <s v="GBPR_WOODWASTE_25"/>
    <x v="0"/>
    <x v="7"/>
    <n v="54.082549912434303"/>
    <n v="19740.130718038501"/>
    <n v="71064.470584938696"/>
  </r>
  <r>
    <x v="0"/>
    <x v="0"/>
    <x v="0"/>
    <x v="9"/>
    <x v="19"/>
    <s v="SE3_EL"/>
    <x v="10"/>
    <x v="2"/>
    <s v="GBPR_WOODWASTE_25"/>
    <x v="0"/>
    <x v="8"/>
    <n v="54.082549912434303"/>
    <n v="19740.130718038501"/>
    <n v="71064.470584938696"/>
  </r>
  <r>
    <x v="0"/>
    <x v="0"/>
    <x v="0"/>
    <x v="9"/>
    <x v="19"/>
    <s v="SE3_EL"/>
    <x v="10"/>
    <x v="2"/>
    <s v="GBPR_WOODWASTE_25"/>
    <x v="0"/>
    <x v="9"/>
    <n v="54.082549912434303"/>
    <n v="19740.130718038501"/>
    <n v="71064.470584938696"/>
  </r>
  <r>
    <x v="0"/>
    <x v="0"/>
    <x v="0"/>
    <x v="9"/>
    <x v="19"/>
    <s v="SE3_EL"/>
    <x v="10"/>
    <x v="2"/>
    <s v="GBPR_WOODWASTE_25"/>
    <x v="0"/>
    <x v="10"/>
    <n v="54.082549912434303"/>
    <n v="19740.130718038501"/>
    <n v="71064.470584938696"/>
  </r>
  <r>
    <x v="0"/>
    <x v="0"/>
    <x v="0"/>
    <x v="9"/>
    <x v="19"/>
    <s v="SE3_EL"/>
    <x v="10"/>
    <x v="2"/>
    <s v="GBPR_WOODWASTE_25"/>
    <x v="0"/>
    <x v="11"/>
    <n v="54.082549912434303"/>
    <n v="19740.130718038501"/>
    <n v="71064.470584938696"/>
  </r>
  <r>
    <x v="0"/>
    <x v="0"/>
    <x v="0"/>
    <x v="9"/>
    <x v="19"/>
    <s v="SE3_EL"/>
    <x v="10"/>
    <x v="2"/>
    <s v="GBPR_WOODWASTE_25"/>
    <x v="0"/>
    <x v="12"/>
    <n v="54.082549912434303"/>
    <n v="19740.130718038501"/>
    <n v="71064.470584938696"/>
  </r>
  <r>
    <x v="0"/>
    <x v="0"/>
    <x v="0"/>
    <x v="9"/>
    <x v="19"/>
    <s v="SE3_EL"/>
    <x v="10"/>
    <x v="2"/>
    <s v="GBPR_WOODWASTE_25"/>
    <x v="0"/>
    <x v="13"/>
    <n v="54.082549912434303"/>
    <n v="19740.130718038501"/>
    <n v="71064.470584938696"/>
  </r>
  <r>
    <x v="0"/>
    <x v="0"/>
    <x v="0"/>
    <x v="9"/>
    <x v="19"/>
    <s v="SE3_EL"/>
    <x v="10"/>
    <x v="2"/>
    <s v="GBPR_WOODWASTE_25"/>
    <x v="0"/>
    <x v="14"/>
    <n v="54.082549912434303"/>
    <n v="19740.130718038501"/>
    <n v="71064.470584938696"/>
  </r>
  <r>
    <x v="0"/>
    <x v="0"/>
    <x v="0"/>
    <x v="9"/>
    <x v="19"/>
    <s v="SE3_EL"/>
    <x v="10"/>
    <x v="2"/>
    <s v="GBPR_WOODWASTE_25"/>
    <x v="0"/>
    <x v="15"/>
    <n v="54.082549912434303"/>
    <n v="19740.130718038501"/>
    <n v="71064.470584938696"/>
  </r>
  <r>
    <x v="0"/>
    <x v="0"/>
    <x v="0"/>
    <x v="9"/>
    <x v="19"/>
    <s v="SE3_EL"/>
    <x v="10"/>
    <x v="2"/>
    <s v="GBPR_WOODWASTE_25"/>
    <x v="0"/>
    <x v="16"/>
    <n v="54.082549912434303"/>
    <n v="19740.130718038501"/>
    <n v="71064.470584938696"/>
  </r>
  <r>
    <x v="0"/>
    <x v="0"/>
    <x v="0"/>
    <x v="9"/>
    <x v="19"/>
    <s v="SE3_EL"/>
    <x v="10"/>
    <x v="2"/>
    <s v="GBPR_WOODWASTE_25"/>
    <x v="0"/>
    <x v="17"/>
    <n v="54.082549912434303"/>
    <n v="19740.130718038501"/>
    <n v="71064.470584938696"/>
  </r>
  <r>
    <x v="0"/>
    <x v="0"/>
    <x v="0"/>
    <x v="9"/>
    <x v="19"/>
    <s v="SE3_EL"/>
    <x v="10"/>
    <x v="2"/>
    <s v="GBPR_WOODWASTE_25"/>
    <x v="0"/>
    <x v="19"/>
    <n v="54.082549912434303"/>
    <n v="19740.130718038501"/>
    <n v="71064.470584938696"/>
  </r>
  <r>
    <x v="0"/>
    <x v="0"/>
    <x v="0"/>
    <x v="9"/>
    <x v="19"/>
    <s v="SE3_EL"/>
    <x v="10"/>
    <x v="2"/>
    <s v="GBPR_WOODWASTE_25"/>
    <x v="0"/>
    <x v="20"/>
    <n v="54.082549912434303"/>
    <n v="19740.130718038501"/>
    <n v="71064.470584938696"/>
  </r>
  <r>
    <x v="0"/>
    <x v="0"/>
    <x v="0"/>
    <x v="9"/>
    <x v="19"/>
    <s v="SE3_EL"/>
    <x v="10"/>
    <x v="2"/>
    <s v="GBPR_WOODWASTE_25"/>
    <x v="0"/>
    <x v="21"/>
    <n v="54.082549912434303"/>
    <n v="19740.130718038501"/>
    <n v="71064.470584938696"/>
  </r>
  <r>
    <x v="0"/>
    <x v="0"/>
    <x v="0"/>
    <x v="9"/>
    <x v="19"/>
    <s v="SE3_EL"/>
    <x v="10"/>
    <x v="2"/>
    <s v="GBPR_WOODWASTE_25"/>
    <x v="0"/>
    <x v="22"/>
    <n v="54.082549912434303"/>
    <n v="19740.130718038501"/>
    <n v="71064.470584938696"/>
  </r>
  <r>
    <x v="0"/>
    <x v="0"/>
    <x v="0"/>
    <x v="9"/>
    <x v="19"/>
    <s v="SE3_EL"/>
    <x v="10"/>
    <x v="2"/>
    <s v="GBPR_WOODWASTE_25"/>
    <x v="0"/>
    <x v="23"/>
    <n v="54.082549912434303"/>
    <n v="19740.130718038501"/>
    <n v="71064.470584938696"/>
  </r>
  <r>
    <x v="0"/>
    <x v="0"/>
    <x v="0"/>
    <x v="9"/>
    <x v="19"/>
    <s v="SE3_EL"/>
    <x v="10"/>
    <x v="2"/>
    <s v="GBPR_WOODWASTE_ABY"/>
    <x v="0"/>
    <x v="0"/>
    <n v="101.938213660245"/>
    <n v="37207.4479859895"/>
    <n v="133946.812749562"/>
  </r>
  <r>
    <x v="0"/>
    <x v="0"/>
    <x v="0"/>
    <x v="9"/>
    <x v="19"/>
    <s v="SE3_EL"/>
    <x v="10"/>
    <x v="2"/>
    <s v="GBPR_WOODWASTE_ABY"/>
    <x v="0"/>
    <x v="1"/>
    <n v="101.938213660245"/>
    <n v="37207.4479859895"/>
    <n v="133946.812749562"/>
  </r>
  <r>
    <x v="0"/>
    <x v="0"/>
    <x v="0"/>
    <x v="9"/>
    <x v="19"/>
    <s v="SE3_EL"/>
    <x v="10"/>
    <x v="2"/>
    <s v="GBPR_WOODWASTE_ABY"/>
    <x v="0"/>
    <x v="18"/>
    <n v="101.938213660245"/>
    <n v="37207.4479859895"/>
    <n v="133946.812749562"/>
  </r>
  <r>
    <x v="0"/>
    <x v="0"/>
    <x v="0"/>
    <x v="9"/>
    <x v="19"/>
    <s v="SE3_EL"/>
    <x v="10"/>
    <x v="2"/>
    <s v="GBPR_WOODWASTE_ABY"/>
    <x v="0"/>
    <x v="2"/>
    <n v="101.938213660245"/>
    <n v="37207.4479859895"/>
    <n v="133946.812749562"/>
  </r>
  <r>
    <x v="0"/>
    <x v="0"/>
    <x v="0"/>
    <x v="9"/>
    <x v="19"/>
    <s v="SE3_EL"/>
    <x v="10"/>
    <x v="2"/>
    <s v="GBPR_WOODWASTE_ABY"/>
    <x v="0"/>
    <x v="3"/>
    <n v="101.938213660245"/>
    <n v="37207.4479859895"/>
    <n v="133946.812749562"/>
  </r>
  <r>
    <x v="0"/>
    <x v="0"/>
    <x v="0"/>
    <x v="9"/>
    <x v="19"/>
    <s v="SE3_EL"/>
    <x v="10"/>
    <x v="2"/>
    <s v="GBPR_WOODWASTE_ABY"/>
    <x v="0"/>
    <x v="4"/>
    <n v="101.938213660245"/>
    <n v="37207.4479859895"/>
    <n v="133946.812749562"/>
  </r>
  <r>
    <x v="0"/>
    <x v="0"/>
    <x v="0"/>
    <x v="9"/>
    <x v="19"/>
    <s v="SE3_EL"/>
    <x v="10"/>
    <x v="2"/>
    <s v="GBPR_WOODWASTE_ABY"/>
    <x v="0"/>
    <x v="5"/>
    <n v="101.938213660245"/>
    <n v="37207.4479859895"/>
    <n v="133946.812749562"/>
  </r>
  <r>
    <x v="0"/>
    <x v="0"/>
    <x v="0"/>
    <x v="9"/>
    <x v="19"/>
    <s v="SE3_EL"/>
    <x v="10"/>
    <x v="2"/>
    <s v="GBPR_WOODWASTE_ABY"/>
    <x v="0"/>
    <x v="6"/>
    <n v="101.938213660245"/>
    <n v="37207.4479859895"/>
    <n v="133946.812749562"/>
  </r>
  <r>
    <x v="0"/>
    <x v="0"/>
    <x v="0"/>
    <x v="9"/>
    <x v="19"/>
    <s v="SE3_EL"/>
    <x v="10"/>
    <x v="2"/>
    <s v="GBPR_WOODWASTE_ABY"/>
    <x v="0"/>
    <x v="7"/>
    <n v="101.938213660245"/>
    <n v="37207.4479859895"/>
    <n v="133946.812749562"/>
  </r>
  <r>
    <x v="0"/>
    <x v="0"/>
    <x v="0"/>
    <x v="9"/>
    <x v="19"/>
    <s v="SE3_EL"/>
    <x v="10"/>
    <x v="2"/>
    <s v="GBPR_WOODWASTE_ABY"/>
    <x v="0"/>
    <x v="8"/>
    <n v="101.938213660245"/>
    <n v="37207.4479859895"/>
    <n v="133946.812749562"/>
  </r>
  <r>
    <x v="0"/>
    <x v="0"/>
    <x v="0"/>
    <x v="9"/>
    <x v="19"/>
    <s v="SE3_EL"/>
    <x v="10"/>
    <x v="2"/>
    <s v="GBPR_WOODWASTE_ABY"/>
    <x v="0"/>
    <x v="9"/>
    <n v="101.938213660245"/>
    <n v="37207.4479859895"/>
    <n v="133946.812749562"/>
  </r>
  <r>
    <x v="0"/>
    <x v="0"/>
    <x v="0"/>
    <x v="9"/>
    <x v="19"/>
    <s v="SE3_EL"/>
    <x v="10"/>
    <x v="2"/>
    <s v="GBPR_WOODWASTE_ABY"/>
    <x v="0"/>
    <x v="10"/>
    <n v="101.938213660245"/>
    <n v="37207.4479859895"/>
    <n v="133946.812749562"/>
  </r>
  <r>
    <x v="0"/>
    <x v="0"/>
    <x v="0"/>
    <x v="9"/>
    <x v="19"/>
    <s v="SE3_EL"/>
    <x v="10"/>
    <x v="2"/>
    <s v="GBPR_WOODWASTE_ABY"/>
    <x v="0"/>
    <x v="11"/>
    <n v="101.938213660245"/>
    <n v="37207.4479859895"/>
    <n v="133946.812749562"/>
  </r>
  <r>
    <x v="0"/>
    <x v="0"/>
    <x v="0"/>
    <x v="9"/>
    <x v="19"/>
    <s v="SE3_EL"/>
    <x v="10"/>
    <x v="2"/>
    <s v="GBPR_WOODWASTE_ABY"/>
    <x v="0"/>
    <x v="12"/>
    <n v="101.938213660245"/>
    <n v="37207.4479859895"/>
    <n v="133946.812749562"/>
  </r>
  <r>
    <x v="0"/>
    <x v="0"/>
    <x v="0"/>
    <x v="9"/>
    <x v="19"/>
    <s v="SE3_EL"/>
    <x v="10"/>
    <x v="2"/>
    <s v="GBPR_WOODWASTE_ABY"/>
    <x v="0"/>
    <x v="13"/>
    <n v="101.938213660245"/>
    <n v="37207.4479859895"/>
    <n v="133946.812749562"/>
  </r>
  <r>
    <x v="0"/>
    <x v="0"/>
    <x v="0"/>
    <x v="9"/>
    <x v="19"/>
    <s v="SE3_EL"/>
    <x v="10"/>
    <x v="2"/>
    <s v="GBPR_WOODWASTE_ABY"/>
    <x v="0"/>
    <x v="14"/>
    <n v="101.938213660245"/>
    <n v="37207.4479859895"/>
    <n v="133946.812749562"/>
  </r>
  <r>
    <x v="0"/>
    <x v="0"/>
    <x v="0"/>
    <x v="9"/>
    <x v="19"/>
    <s v="SE3_EL"/>
    <x v="10"/>
    <x v="2"/>
    <s v="GBPR_WOODWASTE_ABY"/>
    <x v="0"/>
    <x v="15"/>
    <n v="101.938213660245"/>
    <n v="37207.4479859895"/>
    <n v="133946.812749562"/>
  </r>
  <r>
    <x v="0"/>
    <x v="0"/>
    <x v="0"/>
    <x v="9"/>
    <x v="19"/>
    <s v="SE3_EL"/>
    <x v="10"/>
    <x v="2"/>
    <s v="GBPR_WOODWASTE_ABY"/>
    <x v="0"/>
    <x v="16"/>
    <n v="101.938213660245"/>
    <n v="37207.4479859895"/>
    <n v="133946.812749562"/>
  </r>
  <r>
    <x v="0"/>
    <x v="0"/>
    <x v="0"/>
    <x v="9"/>
    <x v="19"/>
    <s v="SE3_EL"/>
    <x v="10"/>
    <x v="2"/>
    <s v="GBPR_WOODWASTE_ABY"/>
    <x v="0"/>
    <x v="17"/>
    <n v="101.938213660245"/>
    <n v="37207.4479859895"/>
    <n v="133946.812749562"/>
  </r>
  <r>
    <x v="0"/>
    <x v="0"/>
    <x v="0"/>
    <x v="9"/>
    <x v="19"/>
    <s v="SE3_EL"/>
    <x v="10"/>
    <x v="2"/>
    <s v="GBPR_WOODWASTE_ABY"/>
    <x v="0"/>
    <x v="19"/>
    <n v="101.938213660245"/>
    <n v="37207.4479859895"/>
    <n v="133946.812749562"/>
  </r>
  <r>
    <x v="0"/>
    <x v="0"/>
    <x v="0"/>
    <x v="9"/>
    <x v="19"/>
    <s v="SE3_EL"/>
    <x v="10"/>
    <x v="2"/>
    <s v="GBPR_WOODWASTE_ABY"/>
    <x v="0"/>
    <x v="20"/>
    <n v="101.938213660245"/>
    <n v="37207.4479859895"/>
    <n v="133946.812749562"/>
  </r>
  <r>
    <x v="0"/>
    <x v="0"/>
    <x v="0"/>
    <x v="9"/>
    <x v="19"/>
    <s v="SE3_EL"/>
    <x v="10"/>
    <x v="2"/>
    <s v="GBPR_WOODWASTE_ABY"/>
    <x v="0"/>
    <x v="21"/>
    <n v="101.938213660245"/>
    <n v="37207.4479859895"/>
    <n v="133946.812749562"/>
  </r>
  <r>
    <x v="0"/>
    <x v="0"/>
    <x v="0"/>
    <x v="9"/>
    <x v="19"/>
    <s v="SE3_EL"/>
    <x v="10"/>
    <x v="2"/>
    <s v="GBPR_WOODWASTE_ABY"/>
    <x v="0"/>
    <x v="22"/>
    <n v="101.938213660245"/>
    <n v="37207.4479859895"/>
    <n v="133946.812749562"/>
  </r>
  <r>
    <x v="0"/>
    <x v="0"/>
    <x v="0"/>
    <x v="9"/>
    <x v="19"/>
    <s v="SE3_EL"/>
    <x v="10"/>
    <x v="2"/>
    <s v="GBPR_WOODWASTE_ABY"/>
    <x v="0"/>
    <x v="23"/>
    <n v="101.938213660245"/>
    <n v="37207.4479859895"/>
    <n v="133946.812749562"/>
  </r>
  <r>
    <x v="0"/>
    <x v="0"/>
    <x v="0"/>
    <x v="9"/>
    <x v="19"/>
    <s v="SE3_GOT"/>
    <x v="1"/>
    <x v="1"/>
    <s v="GETOH_HEATPUMP33"/>
    <x v="0"/>
    <x v="0"/>
    <n v="-4.03559504815055"/>
    <n v="-1472.99219257495"/>
    <n v="-5302.7718932698299"/>
  </r>
  <r>
    <x v="0"/>
    <x v="0"/>
    <x v="0"/>
    <x v="9"/>
    <x v="19"/>
    <s v="SE3_GOT"/>
    <x v="1"/>
    <x v="1"/>
    <s v="GETOH_HEATPUMP33"/>
    <x v="0"/>
    <x v="1"/>
    <n v="-3.74151702495949"/>
    <n v="-1365.6537141102201"/>
    <n v="-4916.3533707967699"/>
  </r>
  <r>
    <x v="0"/>
    <x v="0"/>
    <x v="0"/>
    <x v="9"/>
    <x v="19"/>
    <s v="SE3_GOT"/>
    <x v="1"/>
    <x v="1"/>
    <s v="GETOH_HEATPUMP33"/>
    <x v="0"/>
    <x v="18"/>
    <n v="-4.1847428452263804"/>
    <n v="-1527.4311385076301"/>
    <n v="-5498.7520986274603"/>
  </r>
  <r>
    <x v="0"/>
    <x v="0"/>
    <x v="0"/>
    <x v="9"/>
    <x v="19"/>
    <s v="SE3_GOT"/>
    <x v="1"/>
    <x v="1"/>
    <s v="GETOH_HEATPUMP33"/>
    <x v="0"/>
    <x v="2"/>
    <n v="-8.2987363275157993"/>
    <n v="-3029.0387595432699"/>
    <n v="-10904.539534355799"/>
  </r>
  <r>
    <x v="0"/>
    <x v="0"/>
    <x v="0"/>
    <x v="9"/>
    <x v="19"/>
    <s v="SE3_GOT"/>
    <x v="1"/>
    <x v="1"/>
    <s v="GETOH_HEATPUMP33"/>
    <x v="0"/>
    <x v="3"/>
    <n v="-15.244468403080001"/>
    <n v="-5564.2309671241901"/>
    <n v="-20031.231481647101"/>
  </r>
  <r>
    <x v="0"/>
    <x v="0"/>
    <x v="0"/>
    <x v="9"/>
    <x v="19"/>
    <s v="SE3_GOT"/>
    <x v="1"/>
    <x v="1"/>
    <s v="GETOH_HEATPUMP33"/>
    <x v="0"/>
    <x v="4"/>
    <n v="-29.691928182156701"/>
    <n v="-10837.5537864872"/>
    <n v="-39015.193631353897"/>
  </r>
  <r>
    <x v="0"/>
    <x v="0"/>
    <x v="0"/>
    <x v="9"/>
    <x v="19"/>
    <s v="SE3_GOT"/>
    <x v="1"/>
    <x v="1"/>
    <s v="GETOH_HEATPUMP33"/>
    <x v="0"/>
    <x v="5"/>
    <n v="-48.484848484848499"/>
    <n v="-17696.9696969697"/>
    <n v="-63709.090909090897"/>
  </r>
  <r>
    <x v="0"/>
    <x v="0"/>
    <x v="0"/>
    <x v="9"/>
    <x v="19"/>
    <s v="SE3_GOT"/>
    <x v="1"/>
    <x v="1"/>
    <s v="GETOH_HEATPUMP33"/>
    <x v="0"/>
    <x v="6"/>
    <n v="-48.484848484848499"/>
    <n v="-17696.9696969697"/>
    <n v="-63709.090909090897"/>
  </r>
  <r>
    <x v="0"/>
    <x v="0"/>
    <x v="0"/>
    <x v="9"/>
    <x v="19"/>
    <s v="SE3_GOT"/>
    <x v="1"/>
    <x v="1"/>
    <s v="GETOH_HEATPUMP33"/>
    <x v="0"/>
    <x v="7"/>
    <n v="-48.484848484848499"/>
    <n v="-17696.9696969697"/>
    <n v="-63709.090909090897"/>
  </r>
  <r>
    <x v="0"/>
    <x v="0"/>
    <x v="0"/>
    <x v="9"/>
    <x v="19"/>
    <s v="SE3_GOT"/>
    <x v="1"/>
    <x v="1"/>
    <s v="GETOH_HEATPUMP33"/>
    <x v="0"/>
    <x v="8"/>
    <n v="-48.484848484848499"/>
    <n v="-17696.9696969697"/>
    <n v="-63709.090909090897"/>
  </r>
  <r>
    <x v="0"/>
    <x v="0"/>
    <x v="0"/>
    <x v="9"/>
    <x v="19"/>
    <s v="SE3_GOT"/>
    <x v="1"/>
    <x v="1"/>
    <s v="GETOH_HEATPUMP33"/>
    <x v="0"/>
    <x v="9"/>
    <n v="-48.484848484848499"/>
    <n v="-17696.9696969697"/>
    <n v="-63709.090909090897"/>
  </r>
  <r>
    <x v="0"/>
    <x v="0"/>
    <x v="0"/>
    <x v="9"/>
    <x v="19"/>
    <s v="SE3_GOT"/>
    <x v="1"/>
    <x v="1"/>
    <s v="GETOH_HEATPUMP33"/>
    <x v="0"/>
    <x v="10"/>
    <n v="-48.484848484848499"/>
    <n v="-17696.9696969697"/>
    <n v="-63709.090909090897"/>
  </r>
  <r>
    <x v="0"/>
    <x v="0"/>
    <x v="0"/>
    <x v="9"/>
    <x v="19"/>
    <s v="SE3_GOT"/>
    <x v="1"/>
    <x v="1"/>
    <s v="GETOH_HEATPUMP33"/>
    <x v="0"/>
    <x v="11"/>
    <n v="-44.894563306225798"/>
    <n v="-16386.515606772398"/>
    <n v="-58991.456184380702"/>
  </r>
  <r>
    <x v="0"/>
    <x v="0"/>
    <x v="0"/>
    <x v="9"/>
    <x v="19"/>
    <s v="SE3_GOT"/>
    <x v="1"/>
    <x v="1"/>
    <s v="GETOH_HEATPUMP33"/>
    <x v="0"/>
    <x v="12"/>
    <n v="-44.345927829226198"/>
    <n v="-16186.2636576675"/>
    <n v="-58270.549167603203"/>
  </r>
  <r>
    <x v="0"/>
    <x v="0"/>
    <x v="0"/>
    <x v="9"/>
    <x v="19"/>
    <s v="SE3_GOT"/>
    <x v="1"/>
    <x v="1"/>
    <s v="GETOH_HEATPUMP33"/>
    <x v="0"/>
    <x v="13"/>
    <n v="-41.837340932110301"/>
    <n v="-15270.6294402203"/>
    <n v="-54974.265984792903"/>
  </r>
  <r>
    <x v="0"/>
    <x v="0"/>
    <x v="0"/>
    <x v="9"/>
    <x v="19"/>
    <s v="SE3_GOT"/>
    <x v="1"/>
    <x v="1"/>
    <s v="GETOH_HEATPUMP33"/>
    <x v="0"/>
    <x v="14"/>
    <n v="-40.242928845937499"/>
    <n v="-14688.669028767201"/>
    <n v="-52879.208503561902"/>
  </r>
  <r>
    <x v="0"/>
    <x v="0"/>
    <x v="0"/>
    <x v="9"/>
    <x v="19"/>
    <s v="SE3_GOT"/>
    <x v="1"/>
    <x v="1"/>
    <s v="GETOH_HEATPUMP33"/>
    <x v="0"/>
    <x v="15"/>
    <n v="-37.3882085536004"/>
    <n v="-13646.696122064201"/>
    <n v="-49128.106039430997"/>
  </r>
  <r>
    <x v="0"/>
    <x v="0"/>
    <x v="0"/>
    <x v="9"/>
    <x v="19"/>
    <s v="SE3_GOT"/>
    <x v="1"/>
    <x v="1"/>
    <s v="GETOH_HEATPUMP33"/>
    <x v="0"/>
    <x v="16"/>
    <n v="-30.9219799380765"/>
    <n v="-11286.522677397899"/>
    <n v="-40631.481638632496"/>
  </r>
  <r>
    <x v="0"/>
    <x v="0"/>
    <x v="0"/>
    <x v="9"/>
    <x v="19"/>
    <s v="SE3_GOT"/>
    <x v="1"/>
    <x v="1"/>
    <s v="GETOH_HEATPUMP33"/>
    <x v="0"/>
    <x v="17"/>
    <n v="-25.5695506747895"/>
    <n v="-9332.8859962981805"/>
    <n v="-33598.389586673497"/>
  </r>
  <r>
    <x v="0"/>
    <x v="0"/>
    <x v="0"/>
    <x v="9"/>
    <x v="19"/>
    <s v="SE3_GOT"/>
    <x v="1"/>
    <x v="1"/>
    <s v="GETOH_HEATPUMP33"/>
    <x v="0"/>
    <x v="19"/>
    <n v="-21.392004110187099"/>
    <n v="-7808.0815002182799"/>
    <n v="-28109.093400785801"/>
  </r>
  <r>
    <x v="0"/>
    <x v="0"/>
    <x v="0"/>
    <x v="9"/>
    <x v="19"/>
    <s v="SE3_GOT"/>
    <x v="1"/>
    <x v="1"/>
    <s v="GETOH_HEATPUMP33"/>
    <x v="0"/>
    <x v="20"/>
    <n v="-17.647961638603199"/>
    <n v="-6441.5059980901497"/>
    <n v="-23189.421593124502"/>
  </r>
  <r>
    <x v="0"/>
    <x v="0"/>
    <x v="0"/>
    <x v="9"/>
    <x v="19"/>
    <s v="SE3_GOT"/>
    <x v="1"/>
    <x v="1"/>
    <s v="GETOH_HEATPUMP33"/>
    <x v="0"/>
    <x v="21"/>
    <n v="-12.3445501277424"/>
    <n v="-4505.7607966259702"/>
    <n v="-16220.738867853501"/>
  </r>
  <r>
    <x v="0"/>
    <x v="0"/>
    <x v="0"/>
    <x v="9"/>
    <x v="19"/>
    <s v="SE3_GOT"/>
    <x v="1"/>
    <x v="1"/>
    <s v="GETOH_HEATPUMP33"/>
    <x v="0"/>
    <x v="22"/>
    <n v="-20.7427271352466"/>
    <n v="-7571.0954043649899"/>
    <n v="-27255.943455714001"/>
  </r>
  <r>
    <x v="0"/>
    <x v="0"/>
    <x v="0"/>
    <x v="9"/>
    <x v="19"/>
    <s v="SE3_GOT"/>
    <x v="1"/>
    <x v="1"/>
    <s v="GETOH_HEATPUMP33"/>
    <x v="0"/>
    <x v="23"/>
    <n v="-48.484848484848499"/>
    <n v="-17696.9696969697"/>
    <n v="-63709.090909090897"/>
  </r>
  <r>
    <x v="0"/>
    <x v="0"/>
    <x v="0"/>
    <x v="9"/>
    <x v="19"/>
    <s v="SE3_GOT"/>
    <x v="2"/>
    <x v="2"/>
    <s v="GBPR_MUNIWASTE_24"/>
    <x v="0"/>
    <x v="0"/>
    <n v="40.6"/>
    <n v="14819"/>
    <n v="53348.4"/>
  </r>
  <r>
    <x v="0"/>
    <x v="0"/>
    <x v="0"/>
    <x v="9"/>
    <x v="19"/>
    <s v="SE3_GOT"/>
    <x v="2"/>
    <x v="2"/>
    <s v="GBPR_MUNIWASTE_24"/>
    <x v="0"/>
    <x v="1"/>
    <n v="40.6"/>
    <n v="14819"/>
    <n v="53348.4"/>
  </r>
  <r>
    <x v="0"/>
    <x v="0"/>
    <x v="0"/>
    <x v="9"/>
    <x v="19"/>
    <s v="SE3_GOT"/>
    <x v="2"/>
    <x v="2"/>
    <s v="GBPR_MUNIWASTE_24"/>
    <x v="0"/>
    <x v="18"/>
    <n v="40.6"/>
    <n v="14819"/>
    <n v="53348.4"/>
  </r>
  <r>
    <x v="0"/>
    <x v="0"/>
    <x v="0"/>
    <x v="9"/>
    <x v="19"/>
    <s v="SE3_GOT"/>
    <x v="2"/>
    <x v="2"/>
    <s v="GBPR_MUNIWASTE_24"/>
    <x v="0"/>
    <x v="2"/>
    <n v="40.6"/>
    <n v="14819"/>
    <n v="53348.4"/>
  </r>
  <r>
    <x v="0"/>
    <x v="0"/>
    <x v="0"/>
    <x v="9"/>
    <x v="19"/>
    <s v="SE3_GOT"/>
    <x v="2"/>
    <x v="2"/>
    <s v="GBPR_MUNIWASTE_24"/>
    <x v="0"/>
    <x v="3"/>
    <n v="40.6"/>
    <n v="14819"/>
    <n v="53348.4"/>
  </r>
  <r>
    <x v="0"/>
    <x v="0"/>
    <x v="0"/>
    <x v="9"/>
    <x v="19"/>
    <s v="SE3_GOT"/>
    <x v="2"/>
    <x v="2"/>
    <s v="GBPR_MUNIWASTE_24"/>
    <x v="0"/>
    <x v="4"/>
    <n v="40.6"/>
    <n v="14819"/>
    <n v="53348.4"/>
  </r>
  <r>
    <x v="0"/>
    <x v="0"/>
    <x v="0"/>
    <x v="9"/>
    <x v="19"/>
    <s v="SE3_GOT"/>
    <x v="2"/>
    <x v="2"/>
    <s v="GBPR_MUNIWASTE_24"/>
    <x v="0"/>
    <x v="5"/>
    <n v="40.6"/>
    <n v="14819"/>
    <n v="53348.4"/>
  </r>
  <r>
    <x v="0"/>
    <x v="0"/>
    <x v="0"/>
    <x v="9"/>
    <x v="19"/>
    <s v="SE3_GOT"/>
    <x v="2"/>
    <x v="2"/>
    <s v="GBPR_MUNIWASTE_24"/>
    <x v="0"/>
    <x v="6"/>
    <n v="40.6"/>
    <n v="14819"/>
    <n v="53348.4"/>
  </r>
  <r>
    <x v="0"/>
    <x v="0"/>
    <x v="0"/>
    <x v="9"/>
    <x v="19"/>
    <s v="SE3_GOT"/>
    <x v="2"/>
    <x v="2"/>
    <s v="GBPR_MUNIWASTE_24"/>
    <x v="0"/>
    <x v="7"/>
    <n v="40.6"/>
    <n v="14819"/>
    <n v="53348.4"/>
  </r>
  <r>
    <x v="0"/>
    <x v="0"/>
    <x v="0"/>
    <x v="9"/>
    <x v="19"/>
    <s v="SE3_GOT"/>
    <x v="2"/>
    <x v="2"/>
    <s v="GBPR_MUNIWASTE_24"/>
    <x v="0"/>
    <x v="8"/>
    <n v="40.6"/>
    <n v="14819"/>
    <n v="53348.4"/>
  </r>
  <r>
    <x v="0"/>
    <x v="0"/>
    <x v="0"/>
    <x v="9"/>
    <x v="19"/>
    <s v="SE3_GOT"/>
    <x v="2"/>
    <x v="2"/>
    <s v="GBPR_MUNIWASTE_24"/>
    <x v="0"/>
    <x v="9"/>
    <n v="40.6"/>
    <n v="14819"/>
    <n v="53348.4"/>
  </r>
  <r>
    <x v="0"/>
    <x v="0"/>
    <x v="0"/>
    <x v="9"/>
    <x v="19"/>
    <s v="SE3_GOT"/>
    <x v="2"/>
    <x v="2"/>
    <s v="GBPR_MUNIWASTE_24"/>
    <x v="0"/>
    <x v="10"/>
    <n v="40.6"/>
    <n v="14819"/>
    <n v="53348.4"/>
  </r>
  <r>
    <x v="0"/>
    <x v="0"/>
    <x v="0"/>
    <x v="9"/>
    <x v="19"/>
    <s v="SE3_GOT"/>
    <x v="2"/>
    <x v="2"/>
    <s v="GBPR_MUNIWASTE_24"/>
    <x v="0"/>
    <x v="11"/>
    <n v="40.6"/>
    <n v="14819"/>
    <n v="53348.4"/>
  </r>
  <r>
    <x v="0"/>
    <x v="0"/>
    <x v="0"/>
    <x v="9"/>
    <x v="19"/>
    <s v="SE3_GOT"/>
    <x v="2"/>
    <x v="2"/>
    <s v="GBPR_MUNIWASTE_24"/>
    <x v="0"/>
    <x v="12"/>
    <n v="40.6"/>
    <n v="14819"/>
    <n v="53348.4"/>
  </r>
  <r>
    <x v="0"/>
    <x v="0"/>
    <x v="0"/>
    <x v="9"/>
    <x v="19"/>
    <s v="SE3_GOT"/>
    <x v="2"/>
    <x v="2"/>
    <s v="GBPR_MUNIWASTE_24"/>
    <x v="0"/>
    <x v="13"/>
    <n v="40.6"/>
    <n v="14819"/>
    <n v="53348.4"/>
  </r>
  <r>
    <x v="0"/>
    <x v="0"/>
    <x v="0"/>
    <x v="9"/>
    <x v="19"/>
    <s v="SE3_GOT"/>
    <x v="2"/>
    <x v="2"/>
    <s v="GBPR_MUNIWASTE_24"/>
    <x v="0"/>
    <x v="14"/>
    <n v="40.6"/>
    <n v="14819"/>
    <n v="53348.4"/>
  </r>
  <r>
    <x v="0"/>
    <x v="0"/>
    <x v="0"/>
    <x v="9"/>
    <x v="19"/>
    <s v="SE3_GOT"/>
    <x v="2"/>
    <x v="2"/>
    <s v="GBPR_MUNIWASTE_24"/>
    <x v="0"/>
    <x v="15"/>
    <n v="40.6"/>
    <n v="14819"/>
    <n v="53348.4"/>
  </r>
  <r>
    <x v="0"/>
    <x v="0"/>
    <x v="0"/>
    <x v="9"/>
    <x v="19"/>
    <s v="SE3_GOT"/>
    <x v="2"/>
    <x v="2"/>
    <s v="GBPR_MUNIWASTE_24"/>
    <x v="0"/>
    <x v="16"/>
    <n v="40.6"/>
    <n v="14819"/>
    <n v="53348.4"/>
  </r>
  <r>
    <x v="0"/>
    <x v="0"/>
    <x v="0"/>
    <x v="9"/>
    <x v="19"/>
    <s v="SE3_GOT"/>
    <x v="2"/>
    <x v="2"/>
    <s v="GBPR_MUNIWASTE_24"/>
    <x v="0"/>
    <x v="17"/>
    <n v="40.6"/>
    <n v="14819"/>
    <n v="53348.4"/>
  </r>
  <r>
    <x v="0"/>
    <x v="0"/>
    <x v="0"/>
    <x v="9"/>
    <x v="19"/>
    <s v="SE3_GOT"/>
    <x v="2"/>
    <x v="2"/>
    <s v="GBPR_MUNIWASTE_24"/>
    <x v="0"/>
    <x v="19"/>
    <n v="40.6"/>
    <n v="14819"/>
    <n v="53348.4"/>
  </r>
  <r>
    <x v="0"/>
    <x v="0"/>
    <x v="0"/>
    <x v="9"/>
    <x v="19"/>
    <s v="SE3_GOT"/>
    <x v="2"/>
    <x v="2"/>
    <s v="GBPR_MUNIWASTE_24"/>
    <x v="0"/>
    <x v="20"/>
    <n v="40.6"/>
    <n v="14819"/>
    <n v="53348.4"/>
  </r>
  <r>
    <x v="0"/>
    <x v="0"/>
    <x v="0"/>
    <x v="9"/>
    <x v="19"/>
    <s v="SE3_GOT"/>
    <x v="2"/>
    <x v="2"/>
    <s v="GBPR_MUNIWASTE_24"/>
    <x v="0"/>
    <x v="21"/>
    <n v="40.6"/>
    <n v="14819"/>
    <n v="53348.4"/>
  </r>
  <r>
    <x v="0"/>
    <x v="0"/>
    <x v="0"/>
    <x v="9"/>
    <x v="19"/>
    <s v="SE3_GOT"/>
    <x v="2"/>
    <x v="2"/>
    <s v="GBPR_MUNIWASTE_24"/>
    <x v="0"/>
    <x v="22"/>
    <n v="40.6"/>
    <n v="14819"/>
    <n v="53348.4"/>
  </r>
  <r>
    <x v="0"/>
    <x v="0"/>
    <x v="0"/>
    <x v="9"/>
    <x v="19"/>
    <s v="SE3_GOT"/>
    <x v="2"/>
    <x v="2"/>
    <s v="GBPR_MUNIWASTE_24"/>
    <x v="0"/>
    <x v="23"/>
    <n v="40.6"/>
    <n v="14819"/>
    <n v="53348.4"/>
  </r>
  <r>
    <x v="0"/>
    <x v="0"/>
    <x v="0"/>
    <x v="9"/>
    <x v="19"/>
    <s v="SE3_GOT"/>
    <x v="10"/>
    <x v="2"/>
    <s v="GBPR_WOODWASTE_GOT"/>
    <x v="0"/>
    <x v="0"/>
    <n v="10.743782837127799"/>
    <n v="3921.48073555166"/>
    <n v="14117.330647986"/>
  </r>
  <r>
    <x v="0"/>
    <x v="0"/>
    <x v="0"/>
    <x v="9"/>
    <x v="19"/>
    <s v="SE3_GOT"/>
    <x v="10"/>
    <x v="2"/>
    <s v="GBPR_WOODWASTE_GOT"/>
    <x v="0"/>
    <x v="1"/>
    <n v="10.743782837127799"/>
    <n v="3921.48073555166"/>
    <n v="14117.330647986"/>
  </r>
  <r>
    <x v="0"/>
    <x v="0"/>
    <x v="0"/>
    <x v="9"/>
    <x v="19"/>
    <s v="SE3_GOT"/>
    <x v="10"/>
    <x v="2"/>
    <s v="GBPR_WOODWASTE_GOT"/>
    <x v="0"/>
    <x v="18"/>
    <n v="10.743782837127799"/>
    <n v="3921.48073555166"/>
    <n v="14117.330647986"/>
  </r>
  <r>
    <x v="0"/>
    <x v="0"/>
    <x v="0"/>
    <x v="9"/>
    <x v="19"/>
    <s v="SE3_GOT"/>
    <x v="10"/>
    <x v="2"/>
    <s v="GBPR_WOODWASTE_GOT"/>
    <x v="0"/>
    <x v="2"/>
    <n v="10.743782837127799"/>
    <n v="3921.48073555166"/>
    <n v="14117.330647986"/>
  </r>
  <r>
    <x v="0"/>
    <x v="0"/>
    <x v="0"/>
    <x v="9"/>
    <x v="19"/>
    <s v="SE3_GOT"/>
    <x v="10"/>
    <x v="2"/>
    <s v="GBPR_WOODWASTE_GOT"/>
    <x v="0"/>
    <x v="3"/>
    <n v="10.743782837127799"/>
    <n v="3921.48073555166"/>
    <n v="14117.330647986"/>
  </r>
  <r>
    <x v="0"/>
    <x v="0"/>
    <x v="0"/>
    <x v="9"/>
    <x v="19"/>
    <s v="SE3_GOT"/>
    <x v="10"/>
    <x v="2"/>
    <s v="GBPR_WOODWASTE_GOT"/>
    <x v="0"/>
    <x v="4"/>
    <n v="10.743782837127799"/>
    <n v="3921.48073555166"/>
    <n v="14117.330647986"/>
  </r>
  <r>
    <x v="0"/>
    <x v="0"/>
    <x v="0"/>
    <x v="9"/>
    <x v="19"/>
    <s v="SE3_GOT"/>
    <x v="10"/>
    <x v="2"/>
    <s v="GBPR_WOODWASTE_GOT"/>
    <x v="0"/>
    <x v="5"/>
    <n v="10.743782837127799"/>
    <n v="3921.48073555166"/>
    <n v="14117.330647986"/>
  </r>
  <r>
    <x v="0"/>
    <x v="0"/>
    <x v="0"/>
    <x v="9"/>
    <x v="19"/>
    <s v="SE3_GOT"/>
    <x v="10"/>
    <x v="2"/>
    <s v="GBPR_WOODWASTE_GOT"/>
    <x v="0"/>
    <x v="6"/>
    <n v="10.743782837127799"/>
    <n v="3921.48073555166"/>
    <n v="14117.330647986"/>
  </r>
  <r>
    <x v="0"/>
    <x v="0"/>
    <x v="0"/>
    <x v="9"/>
    <x v="19"/>
    <s v="SE3_GOT"/>
    <x v="10"/>
    <x v="2"/>
    <s v="GBPR_WOODWASTE_GOT"/>
    <x v="0"/>
    <x v="7"/>
    <n v="10.743782837127799"/>
    <n v="3921.48073555166"/>
    <n v="14117.330647986"/>
  </r>
  <r>
    <x v="0"/>
    <x v="0"/>
    <x v="0"/>
    <x v="9"/>
    <x v="19"/>
    <s v="SE3_GOT"/>
    <x v="10"/>
    <x v="2"/>
    <s v="GBPR_WOODWASTE_GOT"/>
    <x v="0"/>
    <x v="8"/>
    <n v="10.743782837127799"/>
    <n v="3921.48073555166"/>
    <n v="14117.330647986"/>
  </r>
  <r>
    <x v="0"/>
    <x v="0"/>
    <x v="0"/>
    <x v="9"/>
    <x v="19"/>
    <s v="SE3_GOT"/>
    <x v="10"/>
    <x v="2"/>
    <s v="GBPR_WOODWASTE_GOT"/>
    <x v="0"/>
    <x v="9"/>
    <n v="10.743782837127799"/>
    <n v="3921.48073555166"/>
    <n v="14117.330647986"/>
  </r>
  <r>
    <x v="0"/>
    <x v="0"/>
    <x v="0"/>
    <x v="9"/>
    <x v="19"/>
    <s v="SE3_GOT"/>
    <x v="10"/>
    <x v="2"/>
    <s v="GBPR_WOODWASTE_GOT"/>
    <x v="0"/>
    <x v="10"/>
    <n v="10.743782837127799"/>
    <n v="3921.48073555166"/>
    <n v="14117.330647986"/>
  </r>
  <r>
    <x v="0"/>
    <x v="0"/>
    <x v="0"/>
    <x v="9"/>
    <x v="19"/>
    <s v="SE3_GOT"/>
    <x v="10"/>
    <x v="2"/>
    <s v="GBPR_WOODWASTE_GOT"/>
    <x v="0"/>
    <x v="11"/>
    <n v="10.743782837127799"/>
    <n v="3921.48073555166"/>
    <n v="14117.330647986"/>
  </r>
  <r>
    <x v="0"/>
    <x v="0"/>
    <x v="0"/>
    <x v="9"/>
    <x v="19"/>
    <s v="SE3_GOT"/>
    <x v="10"/>
    <x v="2"/>
    <s v="GBPR_WOODWASTE_GOT"/>
    <x v="0"/>
    <x v="12"/>
    <n v="10.743782837127799"/>
    <n v="3921.48073555166"/>
    <n v="14117.330647986"/>
  </r>
  <r>
    <x v="0"/>
    <x v="0"/>
    <x v="0"/>
    <x v="9"/>
    <x v="19"/>
    <s v="SE3_GOT"/>
    <x v="10"/>
    <x v="2"/>
    <s v="GBPR_WOODWASTE_GOT"/>
    <x v="0"/>
    <x v="13"/>
    <n v="10.743782837127799"/>
    <n v="3921.48073555166"/>
    <n v="14117.330647986"/>
  </r>
  <r>
    <x v="0"/>
    <x v="0"/>
    <x v="0"/>
    <x v="9"/>
    <x v="19"/>
    <s v="SE3_GOT"/>
    <x v="10"/>
    <x v="2"/>
    <s v="GBPR_WOODWASTE_GOT"/>
    <x v="0"/>
    <x v="14"/>
    <n v="10.743782837127799"/>
    <n v="3921.48073555166"/>
    <n v="14117.330647986"/>
  </r>
  <r>
    <x v="0"/>
    <x v="0"/>
    <x v="0"/>
    <x v="9"/>
    <x v="19"/>
    <s v="SE3_GOT"/>
    <x v="10"/>
    <x v="2"/>
    <s v="GBPR_WOODWASTE_GOT"/>
    <x v="0"/>
    <x v="15"/>
    <n v="10.743782837127799"/>
    <n v="3921.48073555166"/>
    <n v="14117.330647986"/>
  </r>
  <r>
    <x v="0"/>
    <x v="0"/>
    <x v="0"/>
    <x v="9"/>
    <x v="19"/>
    <s v="SE3_GOT"/>
    <x v="10"/>
    <x v="2"/>
    <s v="GBPR_WOODWASTE_GOT"/>
    <x v="0"/>
    <x v="16"/>
    <n v="10.743782837127799"/>
    <n v="3921.48073555166"/>
    <n v="14117.330647986"/>
  </r>
  <r>
    <x v="0"/>
    <x v="0"/>
    <x v="0"/>
    <x v="9"/>
    <x v="19"/>
    <s v="SE3_GOT"/>
    <x v="10"/>
    <x v="2"/>
    <s v="GBPR_WOODWASTE_GOT"/>
    <x v="0"/>
    <x v="17"/>
    <n v="10.743782837127799"/>
    <n v="3921.48073555166"/>
    <n v="14117.330647986"/>
  </r>
  <r>
    <x v="0"/>
    <x v="0"/>
    <x v="0"/>
    <x v="9"/>
    <x v="19"/>
    <s v="SE3_GOT"/>
    <x v="10"/>
    <x v="2"/>
    <s v="GBPR_WOODWASTE_GOT"/>
    <x v="0"/>
    <x v="19"/>
    <n v="10.743782837127799"/>
    <n v="3921.48073555166"/>
    <n v="14117.330647986"/>
  </r>
  <r>
    <x v="0"/>
    <x v="0"/>
    <x v="0"/>
    <x v="9"/>
    <x v="19"/>
    <s v="SE3_GOT"/>
    <x v="10"/>
    <x v="2"/>
    <s v="GBPR_WOODWASTE_GOT"/>
    <x v="0"/>
    <x v="20"/>
    <n v="10.743782837127799"/>
    <n v="3921.48073555166"/>
    <n v="14117.330647986"/>
  </r>
  <r>
    <x v="0"/>
    <x v="0"/>
    <x v="0"/>
    <x v="9"/>
    <x v="19"/>
    <s v="SE3_GOT"/>
    <x v="10"/>
    <x v="2"/>
    <s v="GBPR_WOODWASTE_GOT"/>
    <x v="0"/>
    <x v="21"/>
    <n v="10.743782837127799"/>
    <n v="3921.48073555166"/>
    <n v="14117.330647986"/>
  </r>
  <r>
    <x v="0"/>
    <x v="0"/>
    <x v="0"/>
    <x v="9"/>
    <x v="19"/>
    <s v="SE3_GOT"/>
    <x v="10"/>
    <x v="2"/>
    <s v="GBPR_WOODWASTE_GOT"/>
    <x v="0"/>
    <x v="22"/>
    <n v="10.743782837127799"/>
    <n v="3921.48073555166"/>
    <n v="14117.330647986"/>
  </r>
  <r>
    <x v="0"/>
    <x v="0"/>
    <x v="0"/>
    <x v="9"/>
    <x v="19"/>
    <s v="SE3_GOT"/>
    <x v="10"/>
    <x v="2"/>
    <s v="GBPR_WOODWASTE_GOT"/>
    <x v="0"/>
    <x v="23"/>
    <n v="10.743782837127799"/>
    <n v="3921.48073555166"/>
    <n v="14117.330647986"/>
  </r>
  <r>
    <x v="0"/>
    <x v="0"/>
    <x v="0"/>
    <x v="9"/>
    <x v="19"/>
    <s v="SE3_HP"/>
    <x v="2"/>
    <x v="2"/>
    <s v="GBPR_MUNIWASTE_24"/>
    <x v="0"/>
    <x v="0"/>
    <n v="33.168980159344798"/>
    <n v="12106.6777581608"/>
    <n v="43584.039929379003"/>
  </r>
  <r>
    <x v="0"/>
    <x v="0"/>
    <x v="0"/>
    <x v="9"/>
    <x v="19"/>
    <s v="SE3_HP"/>
    <x v="2"/>
    <x v="2"/>
    <s v="GBPR_MUNIWASTE_24"/>
    <x v="0"/>
    <x v="1"/>
    <n v="33.168980159344798"/>
    <n v="12106.6777581608"/>
    <n v="43584.039929379003"/>
  </r>
  <r>
    <x v="0"/>
    <x v="0"/>
    <x v="0"/>
    <x v="9"/>
    <x v="19"/>
    <s v="SE3_HP"/>
    <x v="2"/>
    <x v="2"/>
    <s v="GBPR_MUNIWASTE_24"/>
    <x v="0"/>
    <x v="18"/>
    <n v="33.168980159344798"/>
    <n v="12106.6777581608"/>
    <n v="43584.039929379003"/>
  </r>
  <r>
    <x v="0"/>
    <x v="0"/>
    <x v="0"/>
    <x v="9"/>
    <x v="19"/>
    <s v="SE3_HP"/>
    <x v="2"/>
    <x v="2"/>
    <s v="GBPR_MUNIWASTE_24"/>
    <x v="0"/>
    <x v="2"/>
    <n v="33.168980159344798"/>
    <n v="12106.6777581608"/>
    <n v="43584.039929379003"/>
  </r>
  <r>
    <x v="0"/>
    <x v="0"/>
    <x v="0"/>
    <x v="9"/>
    <x v="19"/>
    <s v="SE3_HP"/>
    <x v="2"/>
    <x v="2"/>
    <s v="GBPR_MUNIWASTE_24"/>
    <x v="0"/>
    <x v="3"/>
    <n v="33.168980159344798"/>
    <n v="12106.6777581608"/>
    <n v="43584.039929379003"/>
  </r>
  <r>
    <x v="0"/>
    <x v="0"/>
    <x v="0"/>
    <x v="9"/>
    <x v="19"/>
    <s v="SE3_HP"/>
    <x v="2"/>
    <x v="2"/>
    <s v="GBPR_MUNIWASTE_24"/>
    <x v="0"/>
    <x v="4"/>
    <n v="33.168980159344798"/>
    <n v="12106.6777581608"/>
    <n v="43584.039929379003"/>
  </r>
  <r>
    <x v="0"/>
    <x v="0"/>
    <x v="0"/>
    <x v="9"/>
    <x v="19"/>
    <s v="SE3_HP"/>
    <x v="2"/>
    <x v="2"/>
    <s v="GBPR_MUNIWASTE_24"/>
    <x v="0"/>
    <x v="5"/>
    <n v="33.168980159344798"/>
    <n v="12106.6777581608"/>
    <n v="43584.039929379003"/>
  </r>
  <r>
    <x v="0"/>
    <x v="0"/>
    <x v="0"/>
    <x v="9"/>
    <x v="19"/>
    <s v="SE3_HP"/>
    <x v="2"/>
    <x v="2"/>
    <s v="GBPR_MUNIWASTE_24"/>
    <x v="0"/>
    <x v="6"/>
    <n v="33.168980159344798"/>
    <n v="12106.6777581608"/>
    <n v="43584.039929379003"/>
  </r>
  <r>
    <x v="0"/>
    <x v="0"/>
    <x v="0"/>
    <x v="9"/>
    <x v="19"/>
    <s v="SE3_HP"/>
    <x v="2"/>
    <x v="2"/>
    <s v="GBPR_MUNIWASTE_24"/>
    <x v="0"/>
    <x v="7"/>
    <n v="33.168980159344798"/>
    <n v="12106.6777581608"/>
    <n v="43584.039929379003"/>
  </r>
  <r>
    <x v="0"/>
    <x v="0"/>
    <x v="0"/>
    <x v="9"/>
    <x v="19"/>
    <s v="SE3_HP"/>
    <x v="2"/>
    <x v="2"/>
    <s v="GBPR_MUNIWASTE_24"/>
    <x v="0"/>
    <x v="8"/>
    <n v="33.168980159344798"/>
    <n v="12106.6777581608"/>
    <n v="43584.039929379003"/>
  </r>
  <r>
    <x v="0"/>
    <x v="0"/>
    <x v="0"/>
    <x v="9"/>
    <x v="19"/>
    <s v="SE3_HP"/>
    <x v="2"/>
    <x v="2"/>
    <s v="GBPR_MUNIWASTE_24"/>
    <x v="0"/>
    <x v="9"/>
    <n v="33.168980159344798"/>
    <n v="12106.6777581608"/>
    <n v="43584.039929379003"/>
  </r>
  <r>
    <x v="0"/>
    <x v="0"/>
    <x v="0"/>
    <x v="9"/>
    <x v="19"/>
    <s v="SE3_HP"/>
    <x v="2"/>
    <x v="2"/>
    <s v="GBPR_MUNIWASTE_24"/>
    <x v="0"/>
    <x v="10"/>
    <n v="33.168980159344798"/>
    <n v="12106.6777581608"/>
    <n v="43584.039929379003"/>
  </r>
  <r>
    <x v="0"/>
    <x v="0"/>
    <x v="0"/>
    <x v="9"/>
    <x v="19"/>
    <s v="SE3_HP"/>
    <x v="2"/>
    <x v="2"/>
    <s v="GBPR_MUNIWASTE_24"/>
    <x v="0"/>
    <x v="11"/>
    <n v="33.168980159344798"/>
    <n v="12106.6777581608"/>
    <n v="43584.039929379003"/>
  </r>
  <r>
    <x v="0"/>
    <x v="0"/>
    <x v="0"/>
    <x v="9"/>
    <x v="19"/>
    <s v="SE3_HP"/>
    <x v="2"/>
    <x v="2"/>
    <s v="GBPR_MUNIWASTE_24"/>
    <x v="0"/>
    <x v="12"/>
    <n v="33.168980159344798"/>
    <n v="12106.6777581608"/>
    <n v="43584.039929379003"/>
  </r>
  <r>
    <x v="0"/>
    <x v="0"/>
    <x v="0"/>
    <x v="9"/>
    <x v="19"/>
    <s v="SE3_HP"/>
    <x v="2"/>
    <x v="2"/>
    <s v="GBPR_MUNIWASTE_24"/>
    <x v="0"/>
    <x v="13"/>
    <n v="33.168980159344798"/>
    <n v="12106.6777581608"/>
    <n v="43584.039929379003"/>
  </r>
  <r>
    <x v="0"/>
    <x v="0"/>
    <x v="0"/>
    <x v="9"/>
    <x v="19"/>
    <s v="SE3_HP"/>
    <x v="2"/>
    <x v="2"/>
    <s v="GBPR_MUNIWASTE_24"/>
    <x v="0"/>
    <x v="14"/>
    <n v="33.168980159344798"/>
    <n v="12106.6777581608"/>
    <n v="43584.039929379003"/>
  </r>
  <r>
    <x v="0"/>
    <x v="0"/>
    <x v="0"/>
    <x v="9"/>
    <x v="19"/>
    <s v="SE3_HP"/>
    <x v="2"/>
    <x v="2"/>
    <s v="GBPR_MUNIWASTE_24"/>
    <x v="0"/>
    <x v="15"/>
    <n v="33.168980159344798"/>
    <n v="12106.6777581608"/>
    <n v="43584.039929379003"/>
  </r>
  <r>
    <x v="0"/>
    <x v="0"/>
    <x v="0"/>
    <x v="9"/>
    <x v="19"/>
    <s v="SE3_HP"/>
    <x v="2"/>
    <x v="2"/>
    <s v="GBPR_MUNIWASTE_24"/>
    <x v="0"/>
    <x v="16"/>
    <n v="33.168980159344798"/>
    <n v="12106.6777581608"/>
    <n v="43584.039929379003"/>
  </r>
  <r>
    <x v="0"/>
    <x v="0"/>
    <x v="0"/>
    <x v="9"/>
    <x v="19"/>
    <s v="SE3_HP"/>
    <x v="2"/>
    <x v="2"/>
    <s v="GBPR_MUNIWASTE_24"/>
    <x v="0"/>
    <x v="17"/>
    <n v="33.168980159344798"/>
    <n v="12106.6777581608"/>
    <n v="43584.039929379003"/>
  </r>
  <r>
    <x v="0"/>
    <x v="0"/>
    <x v="0"/>
    <x v="9"/>
    <x v="19"/>
    <s v="SE3_HP"/>
    <x v="2"/>
    <x v="2"/>
    <s v="GBPR_MUNIWASTE_24"/>
    <x v="0"/>
    <x v="19"/>
    <n v="33.168980159344798"/>
    <n v="12106.6777581608"/>
    <n v="43584.039929379003"/>
  </r>
  <r>
    <x v="0"/>
    <x v="0"/>
    <x v="0"/>
    <x v="9"/>
    <x v="19"/>
    <s v="SE3_HP"/>
    <x v="2"/>
    <x v="2"/>
    <s v="GBPR_MUNIWASTE_24"/>
    <x v="0"/>
    <x v="20"/>
    <n v="33.168980159344798"/>
    <n v="12106.6777581608"/>
    <n v="43584.039929379003"/>
  </r>
  <r>
    <x v="0"/>
    <x v="0"/>
    <x v="0"/>
    <x v="9"/>
    <x v="19"/>
    <s v="SE3_HP"/>
    <x v="2"/>
    <x v="2"/>
    <s v="GBPR_MUNIWASTE_24"/>
    <x v="0"/>
    <x v="21"/>
    <n v="33.168980159344798"/>
    <n v="12106.6777581608"/>
    <n v="43584.039929379003"/>
  </r>
  <r>
    <x v="0"/>
    <x v="0"/>
    <x v="0"/>
    <x v="9"/>
    <x v="19"/>
    <s v="SE3_HP"/>
    <x v="2"/>
    <x v="2"/>
    <s v="GBPR_MUNIWASTE_24"/>
    <x v="0"/>
    <x v="22"/>
    <n v="33.168980159344798"/>
    <n v="12106.6777581608"/>
    <n v="43584.039929379003"/>
  </r>
  <r>
    <x v="0"/>
    <x v="0"/>
    <x v="0"/>
    <x v="9"/>
    <x v="19"/>
    <s v="SE3_HP"/>
    <x v="2"/>
    <x v="2"/>
    <s v="GBPR_MUNIWASTE_24"/>
    <x v="0"/>
    <x v="23"/>
    <n v="33.168980159344798"/>
    <n v="12106.6777581608"/>
    <n v="43584.039929379003"/>
  </r>
  <r>
    <x v="0"/>
    <x v="0"/>
    <x v="0"/>
    <x v="9"/>
    <x v="19"/>
    <s v="SE3_HP"/>
    <x v="10"/>
    <x v="2"/>
    <s v="GBPR_WOODWASTE_36"/>
    <x v="0"/>
    <x v="0"/>
    <n v="24.793345008756599"/>
    <n v="9049.5709281961499"/>
    <n v="32578.455341506098"/>
  </r>
  <r>
    <x v="0"/>
    <x v="0"/>
    <x v="0"/>
    <x v="9"/>
    <x v="19"/>
    <s v="SE3_HP"/>
    <x v="10"/>
    <x v="2"/>
    <s v="GBPR_WOODWASTE_36"/>
    <x v="0"/>
    <x v="1"/>
    <n v="24.793345008756599"/>
    <n v="9049.5709281961499"/>
    <n v="32578.455341506098"/>
  </r>
  <r>
    <x v="0"/>
    <x v="0"/>
    <x v="0"/>
    <x v="9"/>
    <x v="19"/>
    <s v="SE3_HP"/>
    <x v="10"/>
    <x v="2"/>
    <s v="GBPR_WOODWASTE_36"/>
    <x v="0"/>
    <x v="18"/>
    <n v="24.793345008756599"/>
    <n v="9049.5709281961499"/>
    <n v="32578.455341506098"/>
  </r>
  <r>
    <x v="0"/>
    <x v="0"/>
    <x v="0"/>
    <x v="9"/>
    <x v="19"/>
    <s v="SE3_HP"/>
    <x v="10"/>
    <x v="2"/>
    <s v="GBPR_WOODWASTE_36"/>
    <x v="0"/>
    <x v="2"/>
    <n v="24.793345008756599"/>
    <n v="9049.5709281961499"/>
    <n v="32578.455341506098"/>
  </r>
  <r>
    <x v="0"/>
    <x v="0"/>
    <x v="0"/>
    <x v="9"/>
    <x v="19"/>
    <s v="SE3_HP"/>
    <x v="10"/>
    <x v="2"/>
    <s v="GBPR_WOODWASTE_36"/>
    <x v="0"/>
    <x v="3"/>
    <n v="24.793345008756599"/>
    <n v="9049.5709281961499"/>
    <n v="32578.455341506098"/>
  </r>
  <r>
    <x v="0"/>
    <x v="0"/>
    <x v="0"/>
    <x v="9"/>
    <x v="19"/>
    <s v="SE3_HP"/>
    <x v="10"/>
    <x v="2"/>
    <s v="GBPR_WOODWASTE_36"/>
    <x v="0"/>
    <x v="4"/>
    <n v="24.793345008756599"/>
    <n v="9049.5709281961499"/>
    <n v="32578.455341506098"/>
  </r>
  <r>
    <x v="0"/>
    <x v="0"/>
    <x v="0"/>
    <x v="9"/>
    <x v="19"/>
    <s v="SE3_HP"/>
    <x v="10"/>
    <x v="2"/>
    <s v="GBPR_WOODWASTE_36"/>
    <x v="0"/>
    <x v="5"/>
    <n v="24.793345008756599"/>
    <n v="9049.5709281961499"/>
    <n v="32578.455341506098"/>
  </r>
  <r>
    <x v="0"/>
    <x v="0"/>
    <x v="0"/>
    <x v="9"/>
    <x v="19"/>
    <s v="SE3_HP"/>
    <x v="10"/>
    <x v="2"/>
    <s v="GBPR_WOODWASTE_36"/>
    <x v="0"/>
    <x v="6"/>
    <n v="24.793345008756599"/>
    <n v="9049.5709281961499"/>
    <n v="32578.455341506098"/>
  </r>
  <r>
    <x v="0"/>
    <x v="0"/>
    <x v="0"/>
    <x v="9"/>
    <x v="19"/>
    <s v="SE3_HP"/>
    <x v="10"/>
    <x v="2"/>
    <s v="GBPR_WOODWASTE_36"/>
    <x v="0"/>
    <x v="7"/>
    <n v="24.793345008756599"/>
    <n v="9049.5709281961499"/>
    <n v="32578.455341506098"/>
  </r>
  <r>
    <x v="0"/>
    <x v="0"/>
    <x v="0"/>
    <x v="9"/>
    <x v="19"/>
    <s v="SE3_HP"/>
    <x v="10"/>
    <x v="2"/>
    <s v="GBPR_WOODWASTE_36"/>
    <x v="0"/>
    <x v="8"/>
    <n v="24.793345008756599"/>
    <n v="9049.5709281961499"/>
    <n v="32578.455341506098"/>
  </r>
  <r>
    <x v="0"/>
    <x v="0"/>
    <x v="0"/>
    <x v="9"/>
    <x v="19"/>
    <s v="SE3_HP"/>
    <x v="10"/>
    <x v="2"/>
    <s v="GBPR_WOODWASTE_36"/>
    <x v="0"/>
    <x v="9"/>
    <n v="24.793345008756599"/>
    <n v="9049.5709281961499"/>
    <n v="32578.455341506098"/>
  </r>
  <r>
    <x v="0"/>
    <x v="0"/>
    <x v="0"/>
    <x v="9"/>
    <x v="19"/>
    <s v="SE3_HP"/>
    <x v="10"/>
    <x v="2"/>
    <s v="GBPR_WOODWASTE_36"/>
    <x v="0"/>
    <x v="10"/>
    <n v="24.793345008756599"/>
    <n v="9049.5709281961499"/>
    <n v="32578.455341506098"/>
  </r>
  <r>
    <x v="0"/>
    <x v="0"/>
    <x v="0"/>
    <x v="9"/>
    <x v="19"/>
    <s v="SE3_HP"/>
    <x v="10"/>
    <x v="2"/>
    <s v="GBPR_WOODWASTE_36"/>
    <x v="0"/>
    <x v="11"/>
    <n v="24.793345008756599"/>
    <n v="9049.5709281961499"/>
    <n v="32578.455341506098"/>
  </r>
  <r>
    <x v="0"/>
    <x v="0"/>
    <x v="0"/>
    <x v="9"/>
    <x v="19"/>
    <s v="SE3_HP"/>
    <x v="10"/>
    <x v="2"/>
    <s v="GBPR_WOODWASTE_36"/>
    <x v="0"/>
    <x v="12"/>
    <n v="24.793345008756599"/>
    <n v="9049.5709281961499"/>
    <n v="32578.455341506098"/>
  </r>
  <r>
    <x v="0"/>
    <x v="0"/>
    <x v="0"/>
    <x v="9"/>
    <x v="19"/>
    <s v="SE3_HP"/>
    <x v="10"/>
    <x v="2"/>
    <s v="GBPR_WOODWASTE_36"/>
    <x v="0"/>
    <x v="13"/>
    <n v="24.793345008756599"/>
    <n v="9049.5709281961499"/>
    <n v="32578.455341506098"/>
  </r>
  <r>
    <x v="0"/>
    <x v="0"/>
    <x v="0"/>
    <x v="9"/>
    <x v="19"/>
    <s v="SE3_HP"/>
    <x v="10"/>
    <x v="2"/>
    <s v="GBPR_WOODWASTE_36"/>
    <x v="0"/>
    <x v="14"/>
    <n v="24.793345008756599"/>
    <n v="9049.5709281961499"/>
    <n v="32578.455341506098"/>
  </r>
  <r>
    <x v="0"/>
    <x v="0"/>
    <x v="0"/>
    <x v="9"/>
    <x v="19"/>
    <s v="SE3_HP"/>
    <x v="10"/>
    <x v="2"/>
    <s v="GBPR_WOODWASTE_36"/>
    <x v="0"/>
    <x v="15"/>
    <n v="24.793345008756599"/>
    <n v="9049.5709281961499"/>
    <n v="32578.455341506098"/>
  </r>
  <r>
    <x v="0"/>
    <x v="0"/>
    <x v="0"/>
    <x v="9"/>
    <x v="19"/>
    <s v="SE3_HP"/>
    <x v="10"/>
    <x v="2"/>
    <s v="GBPR_WOODWASTE_36"/>
    <x v="0"/>
    <x v="16"/>
    <n v="24.793345008756599"/>
    <n v="9049.5709281961499"/>
    <n v="32578.455341506098"/>
  </r>
  <r>
    <x v="0"/>
    <x v="0"/>
    <x v="0"/>
    <x v="9"/>
    <x v="19"/>
    <s v="SE3_HP"/>
    <x v="10"/>
    <x v="2"/>
    <s v="GBPR_WOODWASTE_36"/>
    <x v="0"/>
    <x v="17"/>
    <n v="24.793345008756599"/>
    <n v="9049.5709281961499"/>
    <n v="32578.455341506098"/>
  </r>
  <r>
    <x v="0"/>
    <x v="0"/>
    <x v="0"/>
    <x v="9"/>
    <x v="19"/>
    <s v="SE3_HP"/>
    <x v="10"/>
    <x v="2"/>
    <s v="GBPR_WOODWASTE_36"/>
    <x v="0"/>
    <x v="19"/>
    <n v="24.793345008756599"/>
    <n v="9049.5709281961499"/>
    <n v="32578.455341506098"/>
  </r>
  <r>
    <x v="0"/>
    <x v="0"/>
    <x v="0"/>
    <x v="9"/>
    <x v="19"/>
    <s v="SE3_HP"/>
    <x v="10"/>
    <x v="2"/>
    <s v="GBPR_WOODWASTE_36"/>
    <x v="0"/>
    <x v="20"/>
    <n v="24.793345008756599"/>
    <n v="9049.5709281961499"/>
    <n v="32578.455341506098"/>
  </r>
  <r>
    <x v="0"/>
    <x v="0"/>
    <x v="0"/>
    <x v="9"/>
    <x v="19"/>
    <s v="SE3_HP"/>
    <x v="10"/>
    <x v="2"/>
    <s v="GBPR_WOODWASTE_36"/>
    <x v="0"/>
    <x v="21"/>
    <n v="24.793345008756599"/>
    <n v="9049.5709281961499"/>
    <n v="32578.455341506098"/>
  </r>
  <r>
    <x v="0"/>
    <x v="0"/>
    <x v="0"/>
    <x v="9"/>
    <x v="19"/>
    <s v="SE3_HP"/>
    <x v="10"/>
    <x v="2"/>
    <s v="GBPR_WOODWASTE_36"/>
    <x v="0"/>
    <x v="22"/>
    <n v="24.793345008756599"/>
    <n v="9049.5709281961499"/>
    <n v="32578.455341506098"/>
  </r>
  <r>
    <x v="0"/>
    <x v="0"/>
    <x v="0"/>
    <x v="9"/>
    <x v="19"/>
    <s v="SE3_HP"/>
    <x v="10"/>
    <x v="2"/>
    <s v="GBPR_WOODWASTE_36"/>
    <x v="0"/>
    <x v="23"/>
    <n v="24.793345008756599"/>
    <n v="9049.5709281961499"/>
    <n v="32578.455341506098"/>
  </r>
  <r>
    <x v="0"/>
    <x v="0"/>
    <x v="0"/>
    <x v="9"/>
    <x v="19"/>
    <s v="SE3_HP"/>
    <x v="10"/>
    <x v="0"/>
    <s v="GEXT_WOODWASTE"/>
    <x v="0"/>
    <x v="0"/>
    <n v="143.39126124749899"/>
    <n v="52337.810355337198"/>
    <n v="188416.117279214"/>
  </r>
  <r>
    <x v="0"/>
    <x v="0"/>
    <x v="0"/>
    <x v="9"/>
    <x v="19"/>
    <s v="SE3_HP"/>
    <x v="10"/>
    <x v="0"/>
    <s v="GEXT_WOODWASTE"/>
    <x v="0"/>
    <x v="1"/>
    <n v="143.96147806603901"/>
    <n v="52545.939494104103"/>
    <n v="189165.38217877501"/>
  </r>
  <r>
    <x v="0"/>
    <x v="0"/>
    <x v="0"/>
    <x v="9"/>
    <x v="19"/>
    <s v="SE3_HP"/>
    <x v="10"/>
    <x v="0"/>
    <s v="GEXT_WOODWASTE"/>
    <x v="0"/>
    <x v="18"/>
    <n v="143.94172890354301"/>
    <n v="52538.731049793001"/>
    <n v="189139.43177925501"/>
  </r>
  <r>
    <x v="0"/>
    <x v="0"/>
    <x v="0"/>
    <x v="9"/>
    <x v="19"/>
    <s v="SE3_HP"/>
    <x v="10"/>
    <x v="0"/>
    <s v="GEXT_WOODWASTE"/>
    <x v="0"/>
    <x v="2"/>
    <n v="142.707319387979"/>
    <n v="52088.171576612403"/>
    <n v="187517.417675804"/>
  </r>
  <r>
    <x v="0"/>
    <x v="0"/>
    <x v="0"/>
    <x v="9"/>
    <x v="19"/>
    <s v="SE3_HP"/>
    <x v="10"/>
    <x v="0"/>
    <s v="GEXT_WOODWASTE"/>
    <x v="0"/>
    <x v="3"/>
    <n v="138.96772211594501"/>
    <n v="50723.218572319798"/>
    <n v="182603.586860351"/>
  </r>
  <r>
    <x v="0"/>
    <x v="0"/>
    <x v="0"/>
    <x v="9"/>
    <x v="19"/>
    <s v="SE3_HP"/>
    <x v="10"/>
    <x v="0"/>
    <s v="GEXT_WOODWASTE"/>
    <x v="0"/>
    <x v="4"/>
    <n v="131.310145795777"/>
    <n v="47928.203215458598"/>
    <n v="172541.531575651"/>
  </r>
  <r>
    <x v="0"/>
    <x v="0"/>
    <x v="0"/>
    <x v="9"/>
    <x v="19"/>
    <s v="SE3_HP"/>
    <x v="10"/>
    <x v="0"/>
    <s v="GEXT_WOODWASTE"/>
    <x v="0"/>
    <x v="5"/>
    <n v="115.926780850922"/>
    <n v="42313.275010586403"/>
    <n v="152327.79003811101"/>
  </r>
  <r>
    <x v="0"/>
    <x v="0"/>
    <x v="0"/>
    <x v="9"/>
    <x v="19"/>
    <s v="SE3_HP"/>
    <x v="10"/>
    <x v="0"/>
    <s v="GEXT_WOODWASTE"/>
    <x v="0"/>
    <x v="6"/>
    <n v="107.82503697455201"/>
    <n v="39356.138495711602"/>
    <n v="141682.09858456199"/>
  </r>
  <r>
    <x v="0"/>
    <x v="0"/>
    <x v="0"/>
    <x v="9"/>
    <x v="19"/>
    <s v="SE3_HP"/>
    <x v="10"/>
    <x v="0"/>
    <s v="GEXT_WOODWASTE"/>
    <x v="0"/>
    <x v="7"/>
    <n v="107.360275463421"/>
    <n v="39186.500544148803"/>
    <n v="141071.40195893601"/>
  </r>
  <r>
    <x v="0"/>
    <x v="0"/>
    <x v="0"/>
    <x v="9"/>
    <x v="19"/>
    <s v="SE3_HP"/>
    <x v="10"/>
    <x v="0"/>
    <s v="GEXT_WOODWASTE"/>
    <x v="0"/>
    <x v="8"/>
    <n v="108.46122791358"/>
    <n v="39588.348188456599"/>
    <n v="142518.053478444"/>
  </r>
  <r>
    <x v="0"/>
    <x v="0"/>
    <x v="0"/>
    <x v="9"/>
    <x v="19"/>
    <s v="SE3_HP"/>
    <x v="10"/>
    <x v="0"/>
    <s v="GEXT_WOODWASTE"/>
    <x v="0"/>
    <x v="9"/>
    <n v="111.022490829025"/>
    <n v="40523.209152594201"/>
    <n v="145883.55294933901"/>
  </r>
  <r>
    <x v="0"/>
    <x v="0"/>
    <x v="0"/>
    <x v="9"/>
    <x v="19"/>
    <s v="SE3_HP"/>
    <x v="10"/>
    <x v="0"/>
    <s v="GEXT_WOODWASTE"/>
    <x v="0"/>
    <x v="10"/>
    <n v="112.497001915187"/>
    <n v="41061.405699043396"/>
    <n v="147821.060516556"/>
  </r>
  <r>
    <x v="0"/>
    <x v="0"/>
    <x v="0"/>
    <x v="9"/>
    <x v="19"/>
    <s v="SE3_HP"/>
    <x v="10"/>
    <x v="0"/>
    <s v="GEXT_WOODWASTE"/>
    <x v="0"/>
    <x v="11"/>
    <n v="112.965439145399"/>
    <n v="41232.385288070604"/>
    <n v="148436.58703705401"/>
  </r>
  <r>
    <x v="0"/>
    <x v="0"/>
    <x v="0"/>
    <x v="9"/>
    <x v="19"/>
    <s v="SE3_HP"/>
    <x v="10"/>
    <x v="0"/>
    <s v="GEXT_WOODWASTE"/>
    <x v="0"/>
    <x v="12"/>
    <n v="112.726336506959"/>
    <n v="41145.112825039898"/>
    <n v="148122.40617014401"/>
  </r>
  <r>
    <x v="0"/>
    <x v="0"/>
    <x v="0"/>
    <x v="9"/>
    <x v="19"/>
    <s v="SE3_HP"/>
    <x v="10"/>
    <x v="0"/>
    <s v="GEXT_WOODWASTE"/>
    <x v="0"/>
    <x v="13"/>
    <n v="113.189232061493"/>
    <n v="41314.069702444802"/>
    <n v="148730.65092880101"/>
  </r>
  <r>
    <x v="0"/>
    <x v="0"/>
    <x v="0"/>
    <x v="9"/>
    <x v="19"/>
    <s v="SE3_HP"/>
    <x v="10"/>
    <x v="0"/>
    <s v="GEXT_WOODWASTE"/>
    <x v="0"/>
    <x v="14"/>
    <n v="112.14587648258301"/>
    <n v="40933.244916142998"/>
    <n v="147359.68169811499"/>
  </r>
  <r>
    <x v="0"/>
    <x v="0"/>
    <x v="0"/>
    <x v="9"/>
    <x v="19"/>
    <s v="SE3_HP"/>
    <x v="10"/>
    <x v="0"/>
    <s v="GEXT_WOODWASTE"/>
    <x v="0"/>
    <x v="15"/>
    <n v="115.300358338686"/>
    <n v="42084.630793620403"/>
    <n v="151504.67085703401"/>
  </r>
  <r>
    <x v="0"/>
    <x v="0"/>
    <x v="0"/>
    <x v="9"/>
    <x v="19"/>
    <s v="SE3_HP"/>
    <x v="10"/>
    <x v="0"/>
    <s v="GEXT_WOODWASTE"/>
    <x v="0"/>
    <x v="16"/>
    <n v="118.515716772589"/>
    <n v="43258.2366219951"/>
    <n v="155729.65183918201"/>
  </r>
  <r>
    <x v="0"/>
    <x v="0"/>
    <x v="0"/>
    <x v="9"/>
    <x v="19"/>
    <s v="SE3_HP"/>
    <x v="10"/>
    <x v="0"/>
    <s v="GEXT_WOODWASTE"/>
    <x v="0"/>
    <x v="17"/>
    <n v="120.394577519793"/>
    <n v="43944.020794724398"/>
    <n v="158198.474861008"/>
  </r>
  <r>
    <x v="0"/>
    <x v="0"/>
    <x v="0"/>
    <x v="9"/>
    <x v="19"/>
    <s v="SE3_HP"/>
    <x v="10"/>
    <x v="0"/>
    <s v="GEXT_WOODWASTE"/>
    <x v="0"/>
    <x v="19"/>
    <n v="123.435150036064"/>
    <n v="45053.8297631635"/>
    <n v="162193.787147389"/>
  </r>
  <r>
    <x v="0"/>
    <x v="0"/>
    <x v="0"/>
    <x v="9"/>
    <x v="19"/>
    <s v="SE3_HP"/>
    <x v="10"/>
    <x v="0"/>
    <s v="GEXT_WOODWASTE"/>
    <x v="0"/>
    <x v="20"/>
    <n v="126.840576590157"/>
    <n v="46296.810455407198"/>
    <n v="166668.51763946601"/>
  </r>
  <r>
    <x v="0"/>
    <x v="0"/>
    <x v="0"/>
    <x v="9"/>
    <x v="19"/>
    <s v="SE3_HP"/>
    <x v="10"/>
    <x v="0"/>
    <s v="GEXT_WOODWASTE"/>
    <x v="0"/>
    <x v="21"/>
    <n v="129.750849688247"/>
    <n v="47359.060136210297"/>
    <n v="170492.616490357"/>
  </r>
  <r>
    <x v="0"/>
    <x v="0"/>
    <x v="0"/>
    <x v="9"/>
    <x v="19"/>
    <s v="SE3_HP"/>
    <x v="10"/>
    <x v="0"/>
    <s v="GEXT_WOODWASTE"/>
    <x v="0"/>
    <x v="22"/>
    <n v="134.258705617217"/>
    <n v="49004.427550284097"/>
    <n v="176415.93918102299"/>
  </r>
  <r>
    <x v="0"/>
    <x v="0"/>
    <x v="0"/>
    <x v="9"/>
    <x v="19"/>
    <s v="SE3_HP"/>
    <x v="10"/>
    <x v="0"/>
    <s v="GEXT_WOODWASTE"/>
    <x v="0"/>
    <x v="23"/>
    <n v="141.33780445807901"/>
    <n v="51588.298627198703"/>
    <n v="185717.87505791499"/>
  </r>
  <r>
    <x v="0"/>
    <x v="0"/>
    <x v="0"/>
    <x v="9"/>
    <x v="19"/>
    <s v="SE3_OTHER"/>
    <x v="2"/>
    <x v="2"/>
    <s v="GBPR_MUNIWASTE_24"/>
    <x v="0"/>
    <x v="0"/>
    <n v="28.917506225872899"/>
    <n v="10554.889772443599"/>
    <n v="37997.603180796898"/>
  </r>
  <r>
    <x v="0"/>
    <x v="0"/>
    <x v="0"/>
    <x v="9"/>
    <x v="19"/>
    <s v="SE3_OTHER"/>
    <x v="2"/>
    <x v="2"/>
    <s v="GBPR_MUNIWASTE_24"/>
    <x v="0"/>
    <x v="1"/>
    <n v="28.917506225872899"/>
    <n v="10554.889772443599"/>
    <n v="37997.603180796898"/>
  </r>
  <r>
    <x v="0"/>
    <x v="0"/>
    <x v="0"/>
    <x v="9"/>
    <x v="19"/>
    <s v="SE3_OTHER"/>
    <x v="2"/>
    <x v="2"/>
    <s v="GBPR_MUNIWASTE_24"/>
    <x v="0"/>
    <x v="18"/>
    <n v="28.917506225872899"/>
    <n v="10554.889772443599"/>
    <n v="37997.603180796898"/>
  </r>
  <r>
    <x v="0"/>
    <x v="0"/>
    <x v="0"/>
    <x v="9"/>
    <x v="19"/>
    <s v="SE3_OTHER"/>
    <x v="2"/>
    <x v="2"/>
    <s v="GBPR_MUNIWASTE_24"/>
    <x v="0"/>
    <x v="2"/>
    <n v="28.917506225872899"/>
    <n v="10554.889772443599"/>
    <n v="37997.603180796898"/>
  </r>
  <r>
    <x v="0"/>
    <x v="0"/>
    <x v="0"/>
    <x v="9"/>
    <x v="19"/>
    <s v="SE3_OTHER"/>
    <x v="2"/>
    <x v="2"/>
    <s v="GBPR_MUNIWASTE_24"/>
    <x v="0"/>
    <x v="3"/>
    <n v="28.917506225872899"/>
    <n v="10554.889772443599"/>
    <n v="37997.603180796898"/>
  </r>
  <r>
    <x v="0"/>
    <x v="0"/>
    <x v="0"/>
    <x v="9"/>
    <x v="19"/>
    <s v="SE3_OTHER"/>
    <x v="2"/>
    <x v="2"/>
    <s v="GBPR_MUNIWASTE_24"/>
    <x v="0"/>
    <x v="4"/>
    <n v="28.917506225872899"/>
    <n v="10554.889772443599"/>
    <n v="37997.603180796898"/>
  </r>
  <r>
    <x v="0"/>
    <x v="0"/>
    <x v="0"/>
    <x v="9"/>
    <x v="19"/>
    <s v="SE3_OTHER"/>
    <x v="2"/>
    <x v="2"/>
    <s v="GBPR_MUNIWASTE_24"/>
    <x v="0"/>
    <x v="5"/>
    <n v="28.917506225872899"/>
    <n v="10554.889772443599"/>
    <n v="37997.603180796898"/>
  </r>
  <r>
    <x v="0"/>
    <x v="0"/>
    <x v="0"/>
    <x v="9"/>
    <x v="19"/>
    <s v="SE3_OTHER"/>
    <x v="2"/>
    <x v="2"/>
    <s v="GBPR_MUNIWASTE_24"/>
    <x v="0"/>
    <x v="6"/>
    <n v="28.917506225872899"/>
    <n v="10554.889772443599"/>
    <n v="37997.603180796898"/>
  </r>
  <r>
    <x v="0"/>
    <x v="0"/>
    <x v="0"/>
    <x v="9"/>
    <x v="19"/>
    <s v="SE3_OTHER"/>
    <x v="2"/>
    <x v="2"/>
    <s v="GBPR_MUNIWASTE_24"/>
    <x v="0"/>
    <x v="7"/>
    <n v="28.917506225872899"/>
    <n v="10554.889772443599"/>
    <n v="37997.603180796898"/>
  </r>
  <r>
    <x v="0"/>
    <x v="0"/>
    <x v="0"/>
    <x v="9"/>
    <x v="19"/>
    <s v="SE3_OTHER"/>
    <x v="2"/>
    <x v="2"/>
    <s v="GBPR_MUNIWASTE_24"/>
    <x v="0"/>
    <x v="8"/>
    <n v="28.917506225872899"/>
    <n v="10554.889772443599"/>
    <n v="37997.603180796898"/>
  </r>
  <r>
    <x v="0"/>
    <x v="0"/>
    <x v="0"/>
    <x v="9"/>
    <x v="19"/>
    <s v="SE3_OTHER"/>
    <x v="2"/>
    <x v="2"/>
    <s v="GBPR_MUNIWASTE_24"/>
    <x v="0"/>
    <x v="9"/>
    <n v="28.917506225872899"/>
    <n v="10554.889772443599"/>
    <n v="37997.603180796898"/>
  </r>
  <r>
    <x v="0"/>
    <x v="0"/>
    <x v="0"/>
    <x v="9"/>
    <x v="19"/>
    <s v="SE3_OTHER"/>
    <x v="2"/>
    <x v="2"/>
    <s v="GBPR_MUNIWASTE_24"/>
    <x v="0"/>
    <x v="10"/>
    <n v="28.917506225872899"/>
    <n v="10554.889772443599"/>
    <n v="37997.603180796898"/>
  </r>
  <r>
    <x v="0"/>
    <x v="0"/>
    <x v="0"/>
    <x v="9"/>
    <x v="19"/>
    <s v="SE3_OTHER"/>
    <x v="2"/>
    <x v="2"/>
    <s v="GBPR_MUNIWASTE_24"/>
    <x v="0"/>
    <x v="11"/>
    <n v="28.917506225872899"/>
    <n v="10554.889772443599"/>
    <n v="37997.603180796898"/>
  </r>
  <r>
    <x v="0"/>
    <x v="0"/>
    <x v="0"/>
    <x v="9"/>
    <x v="19"/>
    <s v="SE3_OTHER"/>
    <x v="2"/>
    <x v="2"/>
    <s v="GBPR_MUNIWASTE_24"/>
    <x v="0"/>
    <x v="12"/>
    <n v="28.917506225872899"/>
    <n v="10554.889772443599"/>
    <n v="37997.603180796898"/>
  </r>
  <r>
    <x v="0"/>
    <x v="0"/>
    <x v="0"/>
    <x v="9"/>
    <x v="19"/>
    <s v="SE3_OTHER"/>
    <x v="2"/>
    <x v="2"/>
    <s v="GBPR_MUNIWASTE_24"/>
    <x v="0"/>
    <x v="13"/>
    <n v="28.917506225872899"/>
    <n v="10554.889772443599"/>
    <n v="37997.603180796898"/>
  </r>
  <r>
    <x v="0"/>
    <x v="0"/>
    <x v="0"/>
    <x v="9"/>
    <x v="19"/>
    <s v="SE3_OTHER"/>
    <x v="2"/>
    <x v="2"/>
    <s v="GBPR_MUNIWASTE_24"/>
    <x v="0"/>
    <x v="14"/>
    <n v="28.917506225872899"/>
    <n v="10554.889772443599"/>
    <n v="37997.603180796898"/>
  </r>
  <r>
    <x v="0"/>
    <x v="0"/>
    <x v="0"/>
    <x v="9"/>
    <x v="19"/>
    <s v="SE3_OTHER"/>
    <x v="2"/>
    <x v="2"/>
    <s v="GBPR_MUNIWASTE_24"/>
    <x v="0"/>
    <x v="15"/>
    <n v="28.917506225872899"/>
    <n v="10554.889772443599"/>
    <n v="37997.603180796898"/>
  </r>
  <r>
    <x v="0"/>
    <x v="0"/>
    <x v="0"/>
    <x v="9"/>
    <x v="19"/>
    <s v="SE3_OTHER"/>
    <x v="2"/>
    <x v="2"/>
    <s v="GBPR_MUNIWASTE_24"/>
    <x v="0"/>
    <x v="16"/>
    <n v="28.917506225872899"/>
    <n v="10554.889772443599"/>
    <n v="37997.603180796898"/>
  </r>
  <r>
    <x v="0"/>
    <x v="0"/>
    <x v="0"/>
    <x v="9"/>
    <x v="19"/>
    <s v="SE3_OTHER"/>
    <x v="2"/>
    <x v="2"/>
    <s v="GBPR_MUNIWASTE_24"/>
    <x v="0"/>
    <x v="17"/>
    <n v="28.917506225872899"/>
    <n v="10554.889772443599"/>
    <n v="37997.603180796898"/>
  </r>
  <r>
    <x v="0"/>
    <x v="0"/>
    <x v="0"/>
    <x v="9"/>
    <x v="19"/>
    <s v="SE3_OTHER"/>
    <x v="2"/>
    <x v="2"/>
    <s v="GBPR_MUNIWASTE_24"/>
    <x v="0"/>
    <x v="19"/>
    <n v="28.917506225872899"/>
    <n v="10554.889772443599"/>
    <n v="37997.603180796898"/>
  </r>
  <r>
    <x v="0"/>
    <x v="0"/>
    <x v="0"/>
    <x v="9"/>
    <x v="19"/>
    <s v="SE3_OTHER"/>
    <x v="2"/>
    <x v="2"/>
    <s v="GBPR_MUNIWASTE_24"/>
    <x v="0"/>
    <x v="20"/>
    <n v="28.917506225872899"/>
    <n v="10554.889772443599"/>
    <n v="37997.603180796898"/>
  </r>
  <r>
    <x v="0"/>
    <x v="0"/>
    <x v="0"/>
    <x v="9"/>
    <x v="19"/>
    <s v="SE3_OTHER"/>
    <x v="2"/>
    <x v="2"/>
    <s v="GBPR_MUNIWASTE_24"/>
    <x v="0"/>
    <x v="21"/>
    <n v="28.917506225872899"/>
    <n v="10554.889772443599"/>
    <n v="37997.603180796898"/>
  </r>
  <r>
    <x v="0"/>
    <x v="0"/>
    <x v="0"/>
    <x v="9"/>
    <x v="19"/>
    <s v="SE3_OTHER"/>
    <x v="2"/>
    <x v="2"/>
    <s v="GBPR_MUNIWASTE_24"/>
    <x v="0"/>
    <x v="22"/>
    <n v="28.917506225872899"/>
    <n v="10554.889772443599"/>
    <n v="37997.603180796898"/>
  </r>
  <r>
    <x v="0"/>
    <x v="0"/>
    <x v="0"/>
    <x v="9"/>
    <x v="19"/>
    <s v="SE3_OTHER"/>
    <x v="2"/>
    <x v="2"/>
    <s v="GBPR_MUNIWASTE_24"/>
    <x v="0"/>
    <x v="23"/>
    <n v="28.917506225872899"/>
    <n v="10554.889772443599"/>
    <n v="37997.603180796898"/>
  </r>
  <r>
    <x v="0"/>
    <x v="0"/>
    <x v="0"/>
    <x v="9"/>
    <x v="19"/>
    <s v="SE3_OTHER"/>
    <x v="10"/>
    <x v="2"/>
    <s v="GBPR_WOODWASTE_25"/>
    <x v="0"/>
    <x v="0"/>
    <n v="149.360812802102"/>
    <n v="54516.696672767102"/>
    <n v="196260.10802196199"/>
  </r>
  <r>
    <x v="0"/>
    <x v="0"/>
    <x v="0"/>
    <x v="9"/>
    <x v="19"/>
    <s v="SE3_OTHER"/>
    <x v="10"/>
    <x v="2"/>
    <s v="GBPR_WOODWASTE_25"/>
    <x v="0"/>
    <x v="1"/>
    <n v="149.360812802102"/>
    <n v="54516.696672767102"/>
    <n v="196260.10802196199"/>
  </r>
  <r>
    <x v="0"/>
    <x v="0"/>
    <x v="0"/>
    <x v="9"/>
    <x v="19"/>
    <s v="SE3_OTHER"/>
    <x v="10"/>
    <x v="2"/>
    <s v="GBPR_WOODWASTE_25"/>
    <x v="0"/>
    <x v="18"/>
    <n v="149.360812802102"/>
    <n v="54516.696672767102"/>
    <n v="196260.10802196199"/>
  </r>
  <r>
    <x v="0"/>
    <x v="0"/>
    <x v="0"/>
    <x v="9"/>
    <x v="19"/>
    <s v="SE3_OTHER"/>
    <x v="10"/>
    <x v="2"/>
    <s v="GBPR_WOODWASTE_25"/>
    <x v="0"/>
    <x v="2"/>
    <n v="149.360812802102"/>
    <n v="54516.696672767102"/>
    <n v="196260.10802196199"/>
  </r>
  <r>
    <x v="0"/>
    <x v="0"/>
    <x v="0"/>
    <x v="9"/>
    <x v="19"/>
    <s v="SE3_OTHER"/>
    <x v="10"/>
    <x v="2"/>
    <s v="GBPR_WOODWASTE_25"/>
    <x v="0"/>
    <x v="3"/>
    <n v="149.360812802102"/>
    <n v="54516.696672767102"/>
    <n v="196260.10802196199"/>
  </r>
  <r>
    <x v="0"/>
    <x v="0"/>
    <x v="0"/>
    <x v="9"/>
    <x v="19"/>
    <s v="SE3_OTHER"/>
    <x v="10"/>
    <x v="2"/>
    <s v="GBPR_WOODWASTE_25"/>
    <x v="0"/>
    <x v="4"/>
    <n v="149.360812802102"/>
    <n v="54516.696672767102"/>
    <n v="196260.10802196199"/>
  </r>
  <r>
    <x v="0"/>
    <x v="0"/>
    <x v="0"/>
    <x v="9"/>
    <x v="19"/>
    <s v="SE3_OTHER"/>
    <x v="10"/>
    <x v="2"/>
    <s v="GBPR_WOODWASTE_25"/>
    <x v="0"/>
    <x v="5"/>
    <n v="149.360812802102"/>
    <n v="54516.696672767102"/>
    <n v="196260.10802196199"/>
  </r>
  <r>
    <x v="0"/>
    <x v="0"/>
    <x v="0"/>
    <x v="9"/>
    <x v="19"/>
    <s v="SE3_OTHER"/>
    <x v="10"/>
    <x v="2"/>
    <s v="GBPR_WOODWASTE_25"/>
    <x v="0"/>
    <x v="6"/>
    <n v="149.360812802102"/>
    <n v="54516.696672767102"/>
    <n v="196260.10802196199"/>
  </r>
  <r>
    <x v="0"/>
    <x v="0"/>
    <x v="0"/>
    <x v="9"/>
    <x v="19"/>
    <s v="SE3_OTHER"/>
    <x v="10"/>
    <x v="2"/>
    <s v="GBPR_WOODWASTE_25"/>
    <x v="0"/>
    <x v="7"/>
    <n v="149.360812802102"/>
    <n v="54516.696672767102"/>
    <n v="196260.10802196199"/>
  </r>
  <r>
    <x v="0"/>
    <x v="0"/>
    <x v="0"/>
    <x v="9"/>
    <x v="19"/>
    <s v="SE3_OTHER"/>
    <x v="10"/>
    <x v="2"/>
    <s v="GBPR_WOODWASTE_25"/>
    <x v="0"/>
    <x v="8"/>
    <n v="149.360812802102"/>
    <n v="54516.696672767102"/>
    <n v="196260.10802196199"/>
  </r>
  <r>
    <x v="0"/>
    <x v="0"/>
    <x v="0"/>
    <x v="9"/>
    <x v="19"/>
    <s v="SE3_OTHER"/>
    <x v="10"/>
    <x v="2"/>
    <s v="GBPR_WOODWASTE_25"/>
    <x v="0"/>
    <x v="9"/>
    <n v="149.360812802102"/>
    <n v="54516.696672767102"/>
    <n v="196260.10802196199"/>
  </r>
  <r>
    <x v="0"/>
    <x v="0"/>
    <x v="0"/>
    <x v="9"/>
    <x v="19"/>
    <s v="SE3_OTHER"/>
    <x v="10"/>
    <x v="2"/>
    <s v="GBPR_WOODWASTE_25"/>
    <x v="0"/>
    <x v="10"/>
    <n v="149.360812802102"/>
    <n v="54516.696672767102"/>
    <n v="196260.10802196199"/>
  </r>
  <r>
    <x v="0"/>
    <x v="0"/>
    <x v="0"/>
    <x v="9"/>
    <x v="19"/>
    <s v="SE3_OTHER"/>
    <x v="10"/>
    <x v="2"/>
    <s v="GBPR_WOODWASTE_25"/>
    <x v="0"/>
    <x v="11"/>
    <n v="149.360812802102"/>
    <n v="54516.696672767102"/>
    <n v="196260.10802196199"/>
  </r>
  <r>
    <x v="0"/>
    <x v="0"/>
    <x v="0"/>
    <x v="9"/>
    <x v="19"/>
    <s v="SE3_OTHER"/>
    <x v="10"/>
    <x v="2"/>
    <s v="GBPR_WOODWASTE_25"/>
    <x v="0"/>
    <x v="12"/>
    <n v="149.360812802102"/>
    <n v="54516.696672767102"/>
    <n v="196260.10802196199"/>
  </r>
  <r>
    <x v="0"/>
    <x v="0"/>
    <x v="0"/>
    <x v="9"/>
    <x v="19"/>
    <s v="SE3_OTHER"/>
    <x v="10"/>
    <x v="2"/>
    <s v="GBPR_WOODWASTE_25"/>
    <x v="0"/>
    <x v="13"/>
    <n v="149.360812802102"/>
    <n v="54516.696672767102"/>
    <n v="196260.10802196199"/>
  </r>
  <r>
    <x v="0"/>
    <x v="0"/>
    <x v="0"/>
    <x v="9"/>
    <x v="19"/>
    <s v="SE3_OTHER"/>
    <x v="10"/>
    <x v="2"/>
    <s v="GBPR_WOODWASTE_25"/>
    <x v="0"/>
    <x v="14"/>
    <n v="149.360812802102"/>
    <n v="54516.696672767102"/>
    <n v="196260.10802196199"/>
  </r>
  <r>
    <x v="0"/>
    <x v="0"/>
    <x v="0"/>
    <x v="9"/>
    <x v="19"/>
    <s v="SE3_OTHER"/>
    <x v="10"/>
    <x v="2"/>
    <s v="GBPR_WOODWASTE_25"/>
    <x v="0"/>
    <x v="15"/>
    <n v="149.360812802102"/>
    <n v="54516.696672767102"/>
    <n v="196260.10802196199"/>
  </r>
  <r>
    <x v="0"/>
    <x v="0"/>
    <x v="0"/>
    <x v="9"/>
    <x v="19"/>
    <s v="SE3_OTHER"/>
    <x v="10"/>
    <x v="2"/>
    <s v="GBPR_WOODWASTE_25"/>
    <x v="0"/>
    <x v="16"/>
    <n v="149.360812802102"/>
    <n v="54516.696672767102"/>
    <n v="196260.10802196199"/>
  </r>
  <r>
    <x v="0"/>
    <x v="0"/>
    <x v="0"/>
    <x v="9"/>
    <x v="19"/>
    <s v="SE3_OTHER"/>
    <x v="10"/>
    <x v="2"/>
    <s v="GBPR_WOODWASTE_25"/>
    <x v="0"/>
    <x v="17"/>
    <n v="149.360812802102"/>
    <n v="54516.696672767102"/>
    <n v="196260.10802196199"/>
  </r>
  <r>
    <x v="0"/>
    <x v="0"/>
    <x v="0"/>
    <x v="9"/>
    <x v="19"/>
    <s v="SE3_OTHER"/>
    <x v="10"/>
    <x v="2"/>
    <s v="GBPR_WOODWASTE_25"/>
    <x v="0"/>
    <x v="19"/>
    <n v="149.360812802102"/>
    <n v="54516.696672767102"/>
    <n v="196260.10802196199"/>
  </r>
  <r>
    <x v="0"/>
    <x v="0"/>
    <x v="0"/>
    <x v="9"/>
    <x v="19"/>
    <s v="SE3_OTHER"/>
    <x v="10"/>
    <x v="2"/>
    <s v="GBPR_WOODWASTE_25"/>
    <x v="0"/>
    <x v="20"/>
    <n v="149.360812802102"/>
    <n v="54516.696672767102"/>
    <n v="196260.10802196199"/>
  </r>
  <r>
    <x v="0"/>
    <x v="0"/>
    <x v="0"/>
    <x v="9"/>
    <x v="19"/>
    <s v="SE3_OTHER"/>
    <x v="10"/>
    <x v="2"/>
    <s v="GBPR_WOODWASTE_25"/>
    <x v="0"/>
    <x v="21"/>
    <n v="149.360812802102"/>
    <n v="54516.696672767102"/>
    <n v="196260.10802196199"/>
  </r>
  <r>
    <x v="0"/>
    <x v="0"/>
    <x v="0"/>
    <x v="9"/>
    <x v="19"/>
    <s v="SE3_OTHER"/>
    <x v="10"/>
    <x v="2"/>
    <s v="GBPR_WOODWASTE_25"/>
    <x v="0"/>
    <x v="22"/>
    <n v="149.360812802102"/>
    <n v="54516.696672767102"/>
    <n v="196260.10802196199"/>
  </r>
  <r>
    <x v="0"/>
    <x v="0"/>
    <x v="0"/>
    <x v="9"/>
    <x v="19"/>
    <s v="SE3_OTHER"/>
    <x v="10"/>
    <x v="2"/>
    <s v="GBPR_WOODWASTE_25"/>
    <x v="0"/>
    <x v="23"/>
    <n v="149.360812802102"/>
    <n v="54516.696672767102"/>
    <n v="196260.10802196199"/>
  </r>
  <r>
    <x v="0"/>
    <x v="0"/>
    <x v="0"/>
    <x v="9"/>
    <x v="19"/>
    <s v="SE3_STO"/>
    <x v="0"/>
    <x v="2"/>
    <s v="GBPR_COAL_VARTAN"/>
    <x v="0"/>
    <x v="0"/>
    <n v="70.619798994696694"/>
    <n v="25776.2266330643"/>
    <n v="92794.415879031498"/>
  </r>
  <r>
    <x v="0"/>
    <x v="0"/>
    <x v="0"/>
    <x v="9"/>
    <x v="19"/>
    <s v="SE3_STO"/>
    <x v="0"/>
    <x v="2"/>
    <s v="GBPR_COAL_VARTAN"/>
    <x v="0"/>
    <x v="1"/>
    <n v="67.513391922384102"/>
    <n v="24642.388051670201"/>
    <n v="88712.596986012795"/>
  </r>
  <r>
    <x v="0"/>
    <x v="0"/>
    <x v="0"/>
    <x v="9"/>
    <x v="19"/>
    <s v="SE3_STO"/>
    <x v="0"/>
    <x v="2"/>
    <s v="GBPR_COAL_VARTAN"/>
    <x v="0"/>
    <x v="18"/>
    <n v="66.690045531920006"/>
    <n v="24341.866619150798"/>
    <n v="87630.719828942907"/>
  </r>
  <r>
    <x v="0"/>
    <x v="0"/>
    <x v="0"/>
    <x v="9"/>
    <x v="19"/>
    <s v="SE3_STO"/>
    <x v="0"/>
    <x v="2"/>
    <s v="GBPR_COAL_VARTAN"/>
    <x v="0"/>
    <x v="2"/>
    <n v="69.297488693698696"/>
    <n v="25293.583373199999"/>
    <n v="91056.900143520106"/>
  </r>
  <r>
    <x v="0"/>
    <x v="0"/>
    <x v="0"/>
    <x v="9"/>
    <x v="19"/>
    <s v="SE3_STO"/>
    <x v="0"/>
    <x v="2"/>
    <s v="GBPR_COAL_VARTAN"/>
    <x v="0"/>
    <x v="3"/>
    <n v="81.818490389482506"/>
    <n v="29863.748992161101"/>
    <n v="107509.49637178"/>
  </r>
  <r>
    <x v="0"/>
    <x v="0"/>
    <x v="0"/>
    <x v="9"/>
    <x v="19"/>
    <s v="SE3_STO"/>
    <x v="0"/>
    <x v="2"/>
    <s v="GBPR_COAL_VARTAN"/>
    <x v="0"/>
    <x v="4"/>
    <n v="92.7705368218258"/>
    <n v="33861.2459399664"/>
    <n v="121900.485383879"/>
  </r>
  <r>
    <x v="0"/>
    <x v="0"/>
    <x v="0"/>
    <x v="9"/>
    <x v="19"/>
    <s v="SE3_STO"/>
    <x v="0"/>
    <x v="2"/>
    <s v="GBPR_COAL_VARTAN"/>
    <x v="0"/>
    <x v="5"/>
    <n v="92.7705368218258"/>
    <n v="33861.2459399664"/>
    <n v="121900.485383879"/>
  </r>
  <r>
    <x v="0"/>
    <x v="0"/>
    <x v="0"/>
    <x v="9"/>
    <x v="19"/>
    <s v="SE3_STO"/>
    <x v="0"/>
    <x v="2"/>
    <s v="GBPR_COAL_VARTAN"/>
    <x v="0"/>
    <x v="6"/>
    <n v="92.7705368218258"/>
    <n v="33861.2459399664"/>
    <n v="121900.485383879"/>
  </r>
  <r>
    <x v="0"/>
    <x v="0"/>
    <x v="0"/>
    <x v="9"/>
    <x v="19"/>
    <s v="SE3_STO"/>
    <x v="0"/>
    <x v="2"/>
    <s v="GBPR_COAL_VARTAN"/>
    <x v="0"/>
    <x v="7"/>
    <n v="92.7705368218258"/>
    <n v="33861.2459399664"/>
    <n v="121900.485383879"/>
  </r>
  <r>
    <x v="0"/>
    <x v="0"/>
    <x v="0"/>
    <x v="9"/>
    <x v="19"/>
    <s v="SE3_STO"/>
    <x v="0"/>
    <x v="2"/>
    <s v="GBPR_COAL_VARTAN"/>
    <x v="0"/>
    <x v="8"/>
    <n v="92.7705368218258"/>
    <n v="33861.2459399664"/>
    <n v="121900.485383879"/>
  </r>
  <r>
    <x v="0"/>
    <x v="0"/>
    <x v="0"/>
    <x v="9"/>
    <x v="19"/>
    <s v="SE3_STO"/>
    <x v="0"/>
    <x v="2"/>
    <s v="GBPR_COAL_VARTAN"/>
    <x v="0"/>
    <x v="9"/>
    <n v="92.7705368218258"/>
    <n v="33861.2459399664"/>
    <n v="121900.485383879"/>
  </r>
  <r>
    <x v="0"/>
    <x v="0"/>
    <x v="0"/>
    <x v="9"/>
    <x v="19"/>
    <s v="SE3_STO"/>
    <x v="0"/>
    <x v="2"/>
    <s v="GBPR_COAL_VARTAN"/>
    <x v="0"/>
    <x v="10"/>
    <n v="92.7705368218258"/>
    <n v="33861.2459399664"/>
    <n v="121900.485383879"/>
  </r>
  <r>
    <x v="0"/>
    <x v="0"/>
    <x v="0"/>
    <x v="9"/>
    <x v="19"/>
    <s v="SE3_STO"/>
    <x v="0"/>
    <x v="2"/>
    <s v="GBPR_COAL_VARTAN"/>
    <x v="0"/>
    <x v="11"/>
    <n v="92.7705368218258"/>
    <n v="33861.2459399664"/>
    <n v="121900.485383879"/>
  </r>
  <r>
    <x v="0"/>
    <x v="0"/>
    <x v="0"/>
    <x v="9"/>
    <x v="19"/>
    <s v="SE3_STO"/>
    <x v="0"/>
    <x v="2"/>
    <s v="GBPR_COAL_VARTAN"/>
    <x v="0"/>
    <x v="12"/>
    <n v="92.7705368218258"/>
    <n v="33861.2459399664"/>
    <n v="121900.485383879"/>
  </r>
  <r>
    <x v="0"/>
    <x v="0"/>
    <x v="0"/>
    <x v="9"/>
    <x v="19"/>
    <s v="SE3_STO"/>
    <x v="0"/>
    <x v="2"/>
    <s v="GBPR_COAL_VARTAN"/>
    <x v="0"/>
    <x v="13"/>
    <n v="92.7705368218258"/>
    <n v="33861.2459399664"/>
    <n v="121900.485383879"/>
  </r>
  <r>
    <x v="0"/>
    <x v="0"/>
    <x v="0"/>
    <x v="9"/>
    <x v="19"/>
    <s v="SE3_STO"/>
    <x v="0"/>
    <x v="2"/>
    <s v="GBPR_COAL_VARTAN"/>
    <x v="0"/>
    <x v="14"/>
    <n v="92.7705368218258"/>
    <n v="33861.2459399664"/>
    <n v="121900.485383879"/>
  </r>
  <r>
    <x v="0"/>
    <x v="0"/>
    <x v="0"/>
    <x v="9"/>
    <x v="19"/>
    <s v="SE3_STO"/>
    <x v="0"/>
    <x v="2"/>
    <s v="GBPR_COAL_VARTAN"/>
    <x v="0"/>
    <x v="15"/>
    <n v="92.7705368218258"/>
    <n v="33861.2459399664"/>
    <n v="121900.485383879"/>
  </r>
  <r>
    <x v="0"/>
    <x v="0"/>
    <x v="0"/>
    <x v="9"/>
    <x v="19"/>
    <s v="SE3_STO"/>
    <x v="0"/>
    <x v="2"/>
    <s v="GBPR_COAL_VARTAN"/>
    <x v="0"/>
    <x v="16"/>
    <n v="92.7705368218258"/>
    <n v="33861.2459399664"/>
    <n v="121900.485383879"/>
  </r>
  <r>
    <x v="0"/>
    <x v="0"/>
    <x v="0"/>
    <x v="9"/>
    <x v="19"/>
    <s v="SE3_STO"/>
    <x v="0"/>
    <x v="2"/>
    <s v="GBPR_COAL_VARTAN"/>
    <x v="0"/>
    <x v="17"/>
    <n v="92.7705368218258"/>
    <n v="33861.2459399664"/>
    <n v="121900.485383879"/>
  </r>
  <r>
    <x v="0"/>
    <x v="0"/>
    <x v="0"/>
    <x v="9"/>
    <x v="19"/>
    <s v="SE3_STO"/>
    <x v="0"/>
    <x v="2"/>
    <s v="GBPR_COAL_VARTAN"/>
    <x v="0"/>
    <x v="19"/>
    <n v="92.7705368218258"/>
    <n v="33861.2459399664"/>
    <n v="121900.485383879"/>
  </r>
  <r>
    <x v="0"/>
    <x v="0"/>
    <x v="0"/>
    <x v="9"/>
    <x v="19"/>
    <s v="SE3_STO"/>
    <x v="0"/>
    <x v="2"/>
    <s v="GBPR_COAL_VARTAN"/>
    <x v="0"/>
    <x v="20"/>
    <n v="92.7705368218258"/>
    <n v="33861.2459399664"/>
    <n v="121900.485383879"/>
  </r>
  <r>
    <x v="0"/>
    <x v="0"/>
    <x v="0"/>
    <x v="9"/>
    <x v="19"/>
    <s v="SE3_STO"/>
    <x v="0"/>
    <x v="2"/>
    <s v="GBPR_COAL_VARTAN"/>
    <x v="0"/>
    <x v="21"/>
    <n v="92.7705368218258"/>
    <n v="33861.2459399664"/>
    <n v="121900.485383879"/>
  </r>
  <r>
    <x v="0"/>
    <x v="0"/>
    <x v="0"/>
    <x v="9"/>
    <x v="19"/>
    <s v="SE3_STO"/>
    <x v="0"/>
    <x v="2"/>
    <s v="GBPR_COAL_VARTAN"/>
    <x v="0"/>
    <x v="22"/>
    <n v="92.7705368218258"/>
    <n v="33861.2459399664"/>
    <n v="121900.485383879"/>
  </r>
  <r>
    <x v="0"/>
    <x v="0"/>
    <x v="0"/>
    <x v="9"/>
    <x v="19"/>
    <s v="SE3_STO"/>
    <x v="1"/>
    <x v="1"/>
    <s v="GETOH_HEATPUMP33"/>
    <x v="0"/>
    <x v="4"/>
    <n v="-16.252331595581499"/>
    <n v="-5932.1010323872497"/>
    <n v="-21355.563716594101"/>
  </r>
  <r>
    <x v="0"/>
    <x v="0"/>
    <x v="0"/>
    <x v="9"/>
    <x v="19"/>
    <s v="SE3_STO"/>
    <x v="1"/>
    <x v="1"/>
    <s v="GETOH_HEATPUMP33"/>
    <x v="0"/>
    <x v="5"/>
    <n v="-60.671322145612599"/>
    <n v="-22145.032583148601"/>
    <n v="-79722.117299335005"/>
  </r>
  <r>
    <x v="0"/>
    <x v="0"/>
    <x v="0"/>
    <x v="9"/>
    <x v="19"/>
    <s v="SE3_STO"/>
    <x v="1"/>
    <x v="1"/>
    <s v="GETOH_HEATPUMP33"/>
    <x v="0"/>
    <x v="6"/>
    <n v="-81.650037212275905"/>
    <n v="-29802.2635824807"/>
    <n v="-107288.148896931"/>
  </r>
  <r>
    <x v="0"/>
    <x v="0"/>
    <x v="0"/>
    <x v="9"/>
    <x v="19"/>
    <s v="SE3_STO"/>
    <x v="1"/>
    <x v="1"/>
    <s v="GETOH_HEATPUMP33"/>
    <x v="0"/>
    <x v="7"/>
    <n v="-81.767737158283097"/>
    <n v="-29845.224062773301"/>
    <n v="-107442.806625984"/>
  </r>
  <r>
    <x v="0"/>
    <x v="0"/>
    <x v="0"/>
    <x v="9"/>
    <x v="19"/>
    <s v="SE3_STO"/>
    <x v="1"/>
    <x v="1"/>
    <s v="GETOH_HEATPUMP33"/>
    <x v="0"/>
    <x v="8"/>
    <n v="-78.389314034075198"/>
    <n v="-28612.099622437399"/>
    <n v="-103003.55864077499"/>
  </r>
  <r>
    <x v="0"/>
    <x v="0"/>
    <x v="0"/>
    <x v="9"/>
    <x v="19"/>
    <s v="SE3_STO"/>
    <x v="1"/>
    <x v="1"/>
    <s v="GETOH_HEATPUMP33"/>
    <x v="0"/>
    <x v="9"/>
    <n v="-71.252271676969798"/>
    <n v="-26007.079162094"/>
    <n v="-93625.484983538307"/>
  </r>
  <r>
    <x v="0"/>
    <x v="0"/>
    <x v="0"/>
    <x v="9"/>
    <x v="19"/>
    <s v="SE3_STO"/>
    <x v="1"/>
    <x v="1"/>
    <s v="GETOH_HEATPUMP33"/>
    <x v="0"/>
    <x v="10"/>
    <n v="-65.290903071737503"/>
    <n v="-23831.179621184201"/>
    <n v="-85792.246636263095"/>
  </r>
  <r>
    <x v="0"/>
    <x v="0"/>
    <x v="0"/>
    <x v="9"/>
    <x v="19"/>
    <s v="SE3_STO"/>
    <x v="1"/>
    <x v="1"/>
    <s v="GETOH_HEATPUMP33"/>
    <x v="0"/>
    <x v="11"/>
    <n v="-63.958832715490303"/>
    <n v="-23344.973941153999"/>
    <n v="-84041.906188154302"/>
  </r>
  <r>
    <x v="0"/>
    <x v="0"/>
    <x v="0"/>
    <x v="9"/>
    <x v="19"/>
    <s v="SE3_STO"/>
    <x v="1"/>
    <x v="1"/>
    <s v="GETOH_HEATPUMP33"/>
    <x v="0"/>
    <x v="12"/>
    <n v="-64.908164808387696"/>
    <n v="-23691.480155061501"/>
    <n v="-85289.328558221401"/>
  </r>
  <r>
    <x v="0"/>
    <x v="0"/>
    <x v="0"/>
    <x v="9"/>
    <x v="19"/>
    <s v="SE3_STO"/>
    <x v="1"/>
    <x v="1"/>
    <s v="GETOH_HEATPUMP33"/>
    <x v="0"/>
    <x v="13"/>
    <n v="-65.029436350245007"/>
    <n v="-23735.7442678394"/>
    <n v="-85448.679364221898"/>
  </r>
  <r>
    <x v="0"/>
    <x v="0"/>
    <x v="0"/>
    <x v="9"/>
    <x v="19"/>
    <s v="SE3_STO"/>
    <x v="1"/>
    <x v="1"/>
    <s v="GETOH_HEATPUMP33"/>
    <x v="0"/>
    <x v="14"/>
    <n v="-68.435473277861306"/>
    <n v="-24978.947746419399"/>
    <n v="-89924.211887109806"/>
  </r>
  <r>
    <x v="0"/>
    <x v="0"/>
    <x v="0"/>
    <x v="9"/>
    <x v="19"/>
    <s v="SE3_STO"/>
    <x v="1"/>
    <x v="1"/>
    <s v="GETOH_HEATPUMP33"/>
    <x v="0"/>
    <x v="15"/>
    <n v="-66.597589764246607"/>
    <n v="-24308.120263950001"/>
    <n v="-87509.232950220001"/>
  </r>
  <r>
    <x v="0"/>
    <x v="0"/>
    <x v="0"/>
    <x v="9"/>
    <x v="19"/>
    <s v="SE3_STO"/>
    <x v="1"/>
    <x v="1"/>
    <s v="GETOH_HEATPUMP33"/>
    <x v="0"/>
    <x v="16"/>
    <n v="-60.669816028403702"/>
    <n v="-22144.4828503674"/>
    <n v="-79720.1382613225"/>
  </r>
  <r>
    <x v="0"/>
    <x v="0"/>
    <x v="0"/>
    <x v="9"/>
    <x v="19"/>
    <s v="SE3_STO"/>
    <x v="1"/>
    <x v="1"/>
    <s v="GETOH_HEATPUMP33"/>
    <x v="0"/>
    <x v="17"/>
    <n v="-55.980879725904401"/>
    <n v="-20433.021099955102"/>
    <n v="-73558.875959838406"/>
  </r>
  <r>
    <x v="0"/>
    <x v="0"/>
    <x v="0"/>
    <x v="9"/>
    <x v="19"/>
    <s v="SE3_STO"/>
    <x v="1"/>
    <x v="1"/>
    <s v="GETOH_HEATPUMP33"/>
    <x v="0"/>
    <x v="19"/>
    <n v="-48.728980520192302"/>
    <n v="-17786.077889870201"/>
    <n v="-64029.880403532698"/>
  </r>
  <r>
    <x v="0"/>
    <x v="0"/>
    <x v="0"/>
    <x v="9"/>
    <x v="19"/>
    <s v="SE3_STO"/>
    <x v="1"/>
    <x v="1"/>
    <s v="GETOH_HEATPUMP33"/>
    <x v="0"/>
    <x v="20"/>
    <n v="-38.627340503473597"/>
    <n v="-14098.9792837679"/>
    <n v="-50756.325421564303"/>
  </r>
  <r>
    <x v="0"/>
    <x v="0"/>
    <x v="0"/>
    <x v="9"/>
    <x v="19"/>
    <s v="SE3_STO"/>
    <x v="1"/>
    <x v="1"/>
    <s v="GETOH_HEATPUMP33"/>
    <x v="0"/>
    <x v="21"/>
    <n v="-30.151614867475299"/>
    <n v="-11005.339426628499"/>
    <n v="-39619.221935862603"/>
  </r>
  <r>
    <x v="0"/>
    <x v="0"/>
    <x v="0"/>
    <x v="9"/>
    <x v="19"/>
    <s v="SE3_STO"/>
    <x v="1"/>
    <x v="1"/>
    <s v="GETOH_HEATPUMP33"/>
    <x v="0"/>
    <x v="22"/>
    <n v="-16.5141815745062"/>
    <n v="-6027.6762746947497"/>
    <n v="-21699.634588901099"/>
  </r>
  <r>
    <x v="0"/>
    <x v="0"/>
    <x v="0"/>
    <x v="9"/>
    <x v="19"/>
    <s v="SE3_STO"/>
    <x v="1"/>
    <x v="1"/>
    <s v="GETOH_HEATPUMP33"/>
    <x v="0"/>
    <x v="23"/>
    <n v="-53.720423266051299"/>
    <n v="-19607.9544921087"/>
    <n v="-70588.636171591497"/>
  </r>
  <r>
    <x v="0"/>
    <x v="0"/>
    <x v="0"/>
    <x v="9"/>
    <x v="19"/>
    <s v="SE3_STO"/>
    <x v="2"/>
    <x v="2"/>
    <s v="GBPR_MUNIWASTE_HOGDALEN"/>
    <x v="0"/>
    <x v="0"/>
    <n v="50.189942221941898"/>
    <n v="18319.328911008801"/>
    <n v="65949.584079631706"/>
  </r>
  <r>
    <x v="0"/>
    <x v="0"/>
    <x v="0"/>
    <x v="9"/>
    <x v="19"/>
    <s v="SE3_STO"/>
    <x v="2"/>
    <x v="2"/>
    <s v="GBPR_MUNIWASTE_HOGDALEN"/>
    <x v="0"/>
    <x v="1"/>
    <n v="50.189942221941898"/>
    <n v="18319.328911008801"/>
    <n v="65949.584079631706"/>
  </r>
  <r>
    <x v="0"/>
    <x v="0"/>
    <x v="0"/>
    <x v="9"/>
    <x v="19"/>
    <s v="SE3_STO"/>
    <x v="2"/>
    <x v="2"/>
    <s v="GBPR_MUNIWASTE_HOGDALEN"/>
    <x v="0"/>
    <x v="18"/>
    <n v="50.189942221941898"/>
    <n v="18319.328911008801"/>
    <n v="65949.584079631706"/>
  </r>
  <r>
    <x v="0"/>
    <x v="0"/>
    <x v="0"/>
    <x v="9"/>
    <x v="19"/>
    <s v="SE3_STO"/>
    <x v="2"/>
    <x v="2"/>
    <s v="GBPR_MUNIWASTE_HOGDALEN"/>
    <x v="0"/>
    <x v="2"/>
    <n v="50.189942221941898"/>
    <n v="18319.328911008801"/>
    <n v="65949.584079631706"/>
  </r>
  <r>
    <x v="0"/>
    <x v="0"/>
    <x v="0"/>
    <x v="9"/>
    <x v="19"/>
    <s v="SE3_STO"/>
    <x v="2"/>
    <x v="2"/>
    <s v="GBPR_MUNIWASTE_HOGDALEN"/>
    <x v="0"/>
    <x v="3"/>
    <n v="50.189942221941898"/>
    <n v="18319.328911008801"/>
    <n v="65949.584079631706"/>
  </r>
  <r>
    <x v="0"/>
    <x v="0"/>
    <x v="0"/>
    <x v="9"/>
    <x v="19"/>
    <s v="SE3_STO"/>
    <x v="2"/>
    <x v="2"/>
    <s v="GBPR_MUNIWASTE_HOGDALEN"/>
    <x v="0"/>
    <x v="4"/>
    <n v="50.189942221941898"/>
    <n v="18319.328911008801"/>
    <n v="65949.584079631706"/>
  </r>
  <r>
    <x v="0"/>
    <x v="0"/>
    <x v="0"/>
    <x v="9"/>
    <x v="19"/>
    <s v="SE3_STO"/>
    <x v="2"/>
    <x v="2"/>
    <s v="GBPR_MUNIWASTE_HOGDALEN"/>
    <x v="0"/>
    <x v="5"/>
    <n v="50.189942221941898"/>
    <n v="18319.328911008801"/>
    <n v="65949.584079631706"/>
  </r>
  <r>
    <x v="0"/>
    <x v="0"/>
    <x v="0"/>
    <x v="9"/>
    <x v="19"/>
    <s v="SE3_STO"/>
    <x v="2"/>
    <x v="2"/>
    <s v="GBPR_MUNIWASTE_HOGDALEN"/>
    <x v="0"/>
    <x v="6"/>
    <n v="50.189942221941898"/>
    <n v="18319.328911008801"/>
    <n v="65949.584079631706"/>
  </r>
  <r>
    <x v="0"/>
    <x v="0"/>
    <x v="0"/>
    <x v="9"/>
    <x v="19"/>
    <s v="SE3_STO"/>
    <x v="2"/>
    <x v="2"/>
    <s v="GBPR_MUNIWASTE_HOGDALEN"/>
    <x v="0"/>
    <x v="7"/>
    <n v="50.189942221941898"/>
    <n v="18319.328911008801"/>
    <n v="65949.584079631706"/>
  </r>
  <r>
    <x v="0"/>
    <x v="0"/>
    <x v="0"/>
    <x v="9"/>
    <x v="19"/>
    <s v="SE3_STO"/>
    <x v="2"/>
    <x v="2"/>
    <s v="GBPR_MUNIWASTE_HOGDALEN"/>
    <x v="0"/>
    <x v="8"/>
    <n v="50.189942221941898"/>
    <n v="18319.328911008801"/>
    <n v="65949.584079631706"/>
  </r>
  <r>
    <x v="0"/>
    <x v="0"/>
    <x v="0"/>
    <x v="9"/>
    <x v="19"/>
    <s v="SE3_STO"/>
    <x v="2"/>
    <x v="2"/>
    <s v="GBPR_MUNIWASTE_HOGDALEN"/>
    <x v="0"/>
    <x v="9"/>
    <n v="50.189942221941898"/>
    <n v="18319.328911008801"/>
    <n v="65949.584079631706"/>
  </r>
  <r>
    <x v="0"/>
    <x v="0"/>
    <x v="0"/>
    <x v="9"/>
    <x v="19"/>
    <s v="SE3_STO"/>
    <x v="2"/>
    <x v="2"/>
    <s v="GBPR_MUNIWASTE_HOGDALEN"/>
    <x v="0"/>
    <x v="10"/>
    <n v="50.189942221941898"/>
    <n v="18319.328911008801"/>
    <n v="65949.584079631706"/>
  </r>
  <r>
    <x v="0"/>
    <x v="0"/>
    <x v="0"/>
    <x v="9"/>
    <x v="19"/>
    <s v="SE3_STO"/>
    <x v="2"/>
    <x v="2"/>
    <s v="GBPR_MUNIWASTE_HOGDALEN"/>
    <x v="0"/>
    <x v="11"/>
    <n v="50.189942221941898"/>
    <n v="18319.328911008801"/>
    <n v="65949.584079631706"/>
  </r>
  <r>
    <x v="0"/>
    <x v="0"/>
    <x v="0"/>
    <x v="9"/>
    <x v="19"/>
    <s v="SE3_STO"/>
    <x v="2"/>
    <x v="2"/>
    <s v="GBPR_MUNIWASTE_HOGDALEN"/>
    <x v="0"/>
    <x v="12"/>
    <n v="50.189942221941898"/>
    <n v="18319.328911008801"/>
    <n v="65949.584079631706"/>
  </r>
  <r>
    <x v="0"/>
    <x v="0"/>
    <x v="0"/>
    <x v="9"/>
    <x v="19"/>
    <s v="SE3_STO"/>
    <x v="2"/>
    <x v="2"/>
    <s v="GBPR_MUNIWASTE_HOGDALEN"/>
    <x v="0"/>
    <x v="13"/>
    <n v="50.189942221941898"/>
    <n v="18319.328911008801"/>
    <n v="65949.584079631706"/>
  </r>
  <r>
    <x v="0"/>
    <x v="0"/>
    <x v="0"/>
    <x v="9"/>
    <x v="19"/>
    <s v="SE3_STO"/>
    <x v="2"/>
    <x v="2"/>
    <s v="GBPR_MUNIWASTE_HOGDALEN"/>
    <x v="0"/>
    <x v="14"/>
    <n v="50.189942221941898"/>
    <n v="18319.328911008801"/>
    <n v="65949.584079631706"/>
  </r>
  <r>
    <x v="0"/>
    <x v="0"/>
    <x v="0"/>
    <x v="9"/>
    <x v="19"/>
    <s v="SE3_STO"/>
    <x v="2"/>
    <x v="2"/>
    <s v="GBPR_MUNIWASTE_HOGDALEN"/>
    <x v="0"/>
    <x v="15"/>
    <n v="50.189942221941898"/>
    <n v="18319.328911008801"/>
    <n v="65949.584079631706"/>
  </r>
  <r>
    <x v="0"/>
    <x v="0"/>
    <x v="0"/>
    <x v="9"/>
    <x v="19"/>
    <s v="SE3_STO"/>
    <x v="2"/>
    <x v="2"/>
    <s v="GBPR_MUNIWASTE_HOGDALEN"/>
    <x v="0"/>
    <x v="16"/>
    <n v="50.189942221941898"/>
    <n v="18319.328911008801"/>
    <n v="65949.584079631706"/>
  </r>
  <r>
    <x v="0"/>
    <x v="0"/>
    <x v="0"/>
    <x v="9"/>
    <x v="19"/>
    <s v="SE3_STO"/>
    <x v="2"/>
    <x v="2"/>
    <s v="GBPR_MUNIWASTE_HOGDALEN"/>
    <x v="0"/>
    <x v="17"/>
    <n v="50.189942221941898"/>
    <n v="18319.328911008801"/>
    <n v="65949.584079631706"/>
  </r>
  <r>
    <x v="0"/>
    <x v="0"/>
    <x v="0"/>
    <x v="9"/>
    <x v="19"/>
    <s v="SE3_STO"/>
    <x v="2"/>
    <x v="2"/>
    <s v="GBPR_MUNIWASTE_HOGDALEN"/>
    <x v="0"/>
    <x v="19"/>
    <n v="50.189942221941898"/>
    <n v="18319.328911008801"/>
    <n v="65949.584079631706"/>
  </r>
  <r>
    <x v="0"/>
    <x v="0"/>
    <x v="0"/>
    <x v="9"/>
    <x v="19"/>
    <s v="SE3_STO"/>
    <x v="2"/>
    <x v="2"/>
    <s v="GBPR_MUNIWASTE_HOGDALEN"/>
    <x v="0"/>
    <x v="20"/>
    <n v="50.189942221941898"/>
    <n v="18319.328911008801"/>
    <n v="65949.584079631706"/>
  </r>
  <r>
    <x v="0"/>
    <x v="0"/>
    <x v="0"/>
    <x v="9"/>
    <x v="19"/>
    <s v="SE3_STO"/>
    <x v="2"/>
    <x v="2"/>
    <s v="GBPR_MUNIWASTE_HOGDALEN"/>
    <x v="0"/>
    <x v="21"/>
    <n v="50.189942221941898"/>
    <n v="18319.328911008801"/>
    <n v="65949.584079631706"/>
  </r>
  <r>
    <x v="0"/>
    <x v="0"/>
    <x v="0"/>
    <x v="9"/>
    <x v="19"/>
    <s v="SE3_STO"/>
    <x v="2"/>
    <x v="2"/>
    <s v="GBPR_MUNIWASTE_HOGDALEN"/>
    <x v="0"/>
    <x v="22"/>
    <n v="50.189942221941898"/>
    <n v="18319.328911008801"/>
    <n v="65949.584079631706"/>
  </r>
  <r>
    <x v="0"/>
    <x v="0"/>
    <x v="0"/>
    <x v="9"/>
    <x v="19"/>
    <s v="SE3_STO"/>
    <x v="2"/>
    <x v="2"/>
    <s v="GBPR_MUNIWASTE_HOGDALEN"/>
    <x v="0"/>
    <x v="23"/>
    <n v="50.189942221941898"/>
    <n v="18319.328911008801"/>
    <n v="65949.584079631706"/>
  </r>
  <r>
    <x v="0"/>
    <x v="0"/>
    <x v="0"/>
    <x v="9"/>
    <x v="19"/>
    <s v="SE3_STO"/>
    <x v="10"/>
    <x v="2"/>
    <s v="GBPR_WOODWASTE"/>
    <x v="0"/>
    <x v="0"/>
    <n v="96.694045534150604"/>
    <n v="35293.326619965002"/>
    <n v="127055.97583187401"/>
  </r>
  <r>
    <x v="0"/>
    <x v="0"/>
    <x v="0"/>
    <x v="9"/>
    <x v="19"/>
    <s v="SE3_STO"/>
    <x v="10"/>
    <x v="2"/>
    <s v="GBPR_WOODWASTE"/>
    <x v="0"/>
    <x v="1"/>
    <n v="96.694045534150604"/>
    <n v="35293.326619965002"/>
    <n v="127055.97583187401"/>
  </r>
  <r>
    <x v="0"/>
    <x v="0"/>
    <x v="0"/>
    <x v="9"/>
    <x v="19"/>
    <s v="SE3_STO"/>
    <x v="10"/>
    <x v="2"/>
    <s v="GBPR_WOODWASTE"/>
    <x v="0"/>
    <x v="18"/>
    <n v="96.694045534150604"/>
    <n v="35293.326619965002"/>
    <n v="127055.97583187401"/>
  </r>
  <r>
    <x v="0"/>
    <x v="0"/>
    <x v="0"/>
    <x v="9"/>
    <x v="19"/>
    <s v="SE3_STO"/>
    <x v="10"/>
    <x v="2"/>
    <s v="GBPR_WOODWASTE"/>
    <x v="0"/>
    <x v="2"/>
    <n v="96.694045534150604"/>
    <n v="35293.326619965002"/>
    <n v="127055.97583187401"/>
  </r>
  <r>
    <x v="0"/>
    <x v="0"/>
    <x v="0"/>
    <x v="9"/>
    <x v="19"/>
    <s v="SE3_STO"/>
    <x v="10"/>
    <x v="2"/>
    <s v="GBPR_WOODWASTE"/>
    <x v="0"/>
    <x v="3"/>
    <n v="96.694045534150604"/>
    <n v="35293.326619965002"/>
    <n v="127055.97583187401"/>
  </r>
  <r>
    <x v="0"/>
    <x v="0"/>
    <x v="0"/>
    <x v="9"/>
    <x v="19"/>
    <s v="SE3_STO"/>
    <x v="10"/>
    <x v="2"/>
    <s v="GBPR_WOODWASTE"/>
    <x v="0"/>
    <x v="4"/>
    <n v="96.694045534150604"/>
    <n v="35293.326619965002"/>
    <n v="127055.97583187401"/>
  </r>
  <r>
    <x v="0"/>
    <x v="0"/>
    <x v="0"/>
    <x v="9"/>
    <x v="19"/>
    <s v="SE3_STO"/>
    <x v="10"/>
    <x v="2"/>
    <s v="GBPR_WOODWASTE"/>
    <x v="0"/>
    <x v="5"/>
    <n v="96.694045534150604"/>
    <n v="35293.326619965002"/>
    <n v="127055.97583187401"/>
  </r>
  <r>
    <x v="0"/>
    <x v="0"/>
    <x v="0"/>
    <x v="9"/>
    <x v="19"/>
    <s v="SE3_STO"/>
    <x v="10"/>
    <x v="2"/>
    <s v="GBPR_WOODWASTE"/>
    <x v="0"/>
    <x v="6"/>
    <n v="96.694045534150604"/>
    <n v="35293.326619965002"/>
    <n v="127055.97583187401"/>
  </r>
  <r>
    <x v="0"/>
    <x v="0"/>
    <x v="0"/>
    <x v="9"/>
    <x v="19"/>
    <s v="SE3_STO"/>
    <x v="10"/>
    <x v="2"/>
    <s v="GBPR_WOODWASTE"/>
    <x v="0"/>
    <x v="7"/>
    <n v="96.694045534150604"/>
    <n v="35293.326619965002"/>
    <n v="127055.97583187401"/>
  </r>
  <r>
    <x v="0"/>
    <x v="0"/>
    <x v="0"/>
    <x v="9"/>
    <x v="19"/>
    <s v="SE3_STO"/>
    <x v="10"/>
    <x v="2"/>
    <s v="GBPR_WOODWASTE"/>
    <x v="0"/>
    <x v="8"/>
    <n v="96.694045534150604"/>
    <n v="35293.326619965002"/>
    <n v="127055.97583187401"/>
  </r>
  <r>
    <x v="0"/>
    <x v="0"/>
    <x v="0"/>
    <x v="9"/>
    <x v="19"/>
    <s v="SE3_STO"/>
    <x v="10"/>
    <x v="2"/>
    <s v="GBPR_WOODWASTE"/>
    <x v="0"/>
    <x v="9"/>
    <n v="96.694045534150604"/>
    <n v="35293.326619965002"/>
    <n v="127055.97583187401"/>
  </r>
  <r>
    <x v="0"/>
    <x v="0"/>
    <x v="0"/>
    <x v="9"/>
    <x v="19"/>
    <s v="SE3_STO"/>
    <x v="10"/>
    <x v="2"/>
    <s v="GBPR_WOODWASTE"/>
    <x v="0"/>
    <x v="10"/>
    <n v="96.694045534150604"/>
    <n v="35293.326619965002"/>
    <n v="127055.97583187401"/>
  </r>
  <r>
    <x v="0"/>
    <x v="0"/>
    <x v="0"/>
    <x v="9"/>
    <x v="19"/>
    <s v="SE3_STO"/>
    <x v="10"/>
    <x v="2"/>
    <s v="GBPR_WOODWASTE"/>
    <x v="0"/>
    <x v="11"/>
    <n v="96.694045534150604"/>
    <n v="35293.326619965002"/>
    <n v="127055.97583187401"/>
  </r>
  <r>
    <x v="0"/>
    <x v="0"/>
    <x v="0"/>
    <x v="9"/>
    <x v="19"/>
    <s v="SE3_STO"/>
    <x v="10"/>
    <x v="2"/>
    <s v="GBPR_WOODWASTE"/>
    <x v="0"/>
    <x v="12"/>
    <n v="96.694045534150604"/>
    <n v="35293.326619965002"/>
    <n v="127055.97583187401"/>
  </r>
  <r>
    <x v="0"/>
    <x v="0"/>
    <x v="0"/>
    <x v="9"/>
    <x v="19"/>
    <s v="SE3_STO"/>
    <x v="10"/>
    <x v="2"/>
    <s v="GBPR_WOODWASTE"/>
    <x v="0"/>
    <x v="13"/>
    <n v="96.694045534150604"/>
    <n v="35293.326619965002"/>
    <n v="127055.97583187401"/>
  </r>
  <r>
    <x v="0"/>
    <x v="0"/>
    <x v="0"/>
    <x v="9"/>
    <x v="19"/>
    <s v="SE3_STO"/>
    <x v="10"/>
    <x v="2"/>
    <s v="GBPR_WOODWASTE"/>
    <x v="0"/>
    <x v="14"/>
    <n v="96.694045534150604"/>
    <n v="35293.326619965002"/>
    <n v="127055.97583187401"/>
  </r>
  <r>
    <x v="0"/>
    <x v="0"/>
    <x v="0"/>
    <x v="9"/>
    <x v="19"/>
    <s v="SE3_STO"/>
    <x v="10"/>
    <x v="2"/>
    <s v="GBPR_WOODWASTE"/>
    <x v="0"/>
    <x v="15"/>
    <n v="96.694045534150604"/>
    <n v="35293.326619965002"/>
    <n v="127055.97583187401"/>
  </r>
  <r>
    <x v="0"/>
    <x v="0"/>
    <x v="0"/>
    <x v="9"/>
    <x v="19"/>
    <s v="SE3_STO"/>
    <x v="10"/>
    <x v="2"/>
    <s v="GBPR_WOODWASTE"/>
    <x v="0"/>
    <x v="16"/>
    <n v="96.694045534150604"/>
    <n v="35293.326619965002"/>
    <n v="127055.97583187401"/>
  </r>
  <r>
    <x v="0"/>
    <x v="0"/>
    <x v="0"/>
    <x v="9"/>
    <x v="19"/>
    <s v="SE3_STO"/>
    <x v="10"/>
    <x v="2"/>
    <s v="GBPR_WOODWASTE"/>
    <x v="0"/>
    <x v="17"/>
    <n v="96.694045534150604"/>
    <n v="35293.326619965002"/>
    <n v="127055.97583187401"/>
  </r>
  <r>
    <x v="0"/>
    <x v="0"/>
    <x v="0"/>
    <x v="9"/>
    <x v="19"/>
    <s v="SE3_STO"/>
    <x v="10"/>
    <x v="2"/>
    <s v="GBPR_WOODWASTE"/>
    <x v="0"/>
    <x v="19"/>
    <n v="96.694045534150604"/>
    <n v="35293.326619965002"/>
    <n v="127055.97583187401"/>
  </r>
  <r>
    <x v="0"/>
    <x v="0"/>
    <x v="0"/>
    <x v="9"/>
    <x v="19"/>
    <s v="SE3_STO"/>
    <x v="10"/>
    <x v="2"/>
    <s v="GBPR_WOODWASTE"/>
    <x v="0"/>
    <x v="20"/>
    <n v="96.694045534150604"/>
    <n v="35293.326619965002"/>
    <n v="127055.97583187401"/>
  </r>
  <r>
    <x v="0"/>
    <x v="0"/>
    <x v="0"/>
    <x v="9"/>
    <x v="19"/>
    <s v="SE3_STO"/>
    <x v="10"/>
    <x v="2"/>
    <s v="GBPR_WOODWASTE"/>
    <x v="0"/>
    <x v="21"/>
    <n v="96.694045534150604"/>
    <n v="35293.326619965002"/>
    <n v="127055.97583187401"/>
  </r>
  <r>
    <x v="0"/>
    <x v="0"/>
    <x v="0"/>
    <x v="9"/>
    <x v="19"/>
    <s v="SE3_STO"/>
    <x v="10"/>
    <x v="2"/>
    <s v="GBPR_WOODWASTE"/>
    <x v="0"/>
    <x v="22"/>
    <n v="96.694045534150604"/>
    <n v="35293.326619965002"/>
    <n v="127055.97583187401"/>
  </r>
  <r>
    <x v="0"/>
    <x v="0"/>
    <x v="0"/>
    <x v="9"/>
    <x v="19"/>
    <s v="SE3_STO"/>
    <x v="10"/>
    <x v="2"/>
    <s v="GBPR_WOODWASTE"/>
    <x v="0"/>
    <x v="23"/>
    <n v="96.694045534150604"/>
    <n v="35293.326619965002"/>
    <n v="127055.97583187401"/>
  </r>
  <r>
    <x v="0"/>
    <x v="0"/>
    <x v="0"/>
    <x v="9"/>
    <x v="19"/>
    <s v="SE3_STO"/>
    <x v="10"/>
    <x v="2"/>
    <s v="GBPR_WOODWASTE_BRISTA"/>
    <x v="0"/>
    <x v="0"/>
    <n v="40.390612959719803"/>
    <n v="14742.5737302977"/>
    <n v="53073.265429071798"/>
  </r>
  <r>
    <x v="0"/>
    <x v="0"/>
    <x v="0"/>
    <x v="9"/>
    <x v="19"/>
    <s v="SE3_STO"/>
    <x v="10"/>
    <x v="2"/>
    <s v="GBPR_WOODWASTE_BRISTA"/>
    <x v="0"/>
    <x v="1"/>
    <n v="40.390612959719803"/>
    <n v="14742.5737302977"/>
    <n v="53073.265429071798"/>
  </r>
  <r>
    <x v="0"/>
    <x v="0"/>
    <x v="0"/>
    <x v="9"/>
    <x v="19"/>
    <s v="SE3_STO"/>
    <x v="10"/>
    <x v="2"/>
    <s v="GBPR_WOODWASTE_BRISTA"/>
    <x v="0"/>
    <x v="18"/>
    <n v="40.390612959719803"/>
    <n v="14742.5737302977"/>
    <n v="53073.265429071798"/>
  </r>
  <r>
    <x v="0"/>
    <x v="0"/>
    <x v="0"/>
    <x v="9"/>
    <x v="19"/>
    <s v="SE3_STO"/>
    <x v="10"/>
    <x v="2"/>
    <s v="GBPR_WOODWASTE_BRISTA"/>
    <x v="0"/>
    <x v="2"/>
    <n v="40.390612959719803"/>
    <n v="14742.5737302977"/>
    <n v="53073.265429071798"/>
  </r>
  <r>
    <x v="0"/>
    <x v="0"/>
    <x v="0"/>
    <x v="9"/>
    <x v="19"/>
    <s v="SE3_STO"/>
    <x v="10"/>
    <x v="2"/>
    <s v="GBPR_WOODWASTE_BRISTA"/>
    <x v="0"/>
    <x v="3"/>
    <n v="40.390612959719803"/>
    <n v="14742.5737302977"/>
    <n v="53073.265429071798"/>
  </r>
  <r>
    <x v="0"/>
    <x v="0"/>
    <x v="0"/>
    <x v="9"/>
    <x v="19"/>
    <s v="SE3_STO"/>
    <x v="10"/>
    <x v="2"/>
    <s v="GBPR_WOODWASTE_BRISTA"/>
    <x v="0"/>
    <x v="4"/>
    <n v="40.390612959719803"/>
    <n v="14742.5737302977"/>
    <n v="53073.265429071798"/>
  </r>
  <r>
    <x v="0"/>
    <x v="0"/>
    <x v="0"/>
    <x v="9"/>
    <x v="19"/>
    <s v="SE3_STO"/>
    <x v="10"/>
    <x v="2"/>
    <s v="GBPR_WOODWASTE_BRISTA"/>
    <x v="0"/>
    <x v="5"/>
    <n v="40.390612959719803"/>
    <n v="14742.5737302977"/>
    <n v="53073.265429071798"/>
  </r>
  <r>
    <x v="0"/>
    <x v="0"/>
    <x v="0"/>
    <x v="9"/>
    <x v="19"/>
    <s v="SE3_STO"/>
    <x v="10"/>
    <x v="2"/>
    <s v="GBPR_WOODWASTE_BRISTA"/>
    <x v="0"/>
    <x v="6"/>
    <n v="40.390612959719803"/>
    <n v="14742.5737302977"/>
    <n v="53073.265429071798"/>
  </r>
  <r>
    <x v="0"/>
    <x v="0"/>
    <x v="0"/>
    <x v="9"/>
    <x v="19"/>
    <s v="SE3_STO"/>
    <x v="10"/>
    <x v="2"/>
    <s v="GBPR_WOODWASTE_BRISTA"/>
    <x v="0"/>
    <x v="7"/>
    <n v="40.390612959719803"/>
    <n v="14742.5737302977"/>
    <n v="53073.265429071798"/>
  </r>
  <r>
    <x v="0"/>
    <x v="0"/>
    <x v="0"/>
    <x v="9"/>
    <x v="19"/>
    <s v="SE3_STO"/>
    <x v="10"/>
    <x v="2"/>
    <s v="GBPR_WOODWASTE_BRISTA"/>
    <x v="0"/>
    <x v="8"/>
    <n v="40.390612959719803"/>
    <n v="14742.5737302977"/>
    <n v="53073.265429071798"/>
  </r>
  <r>
    <x v="0"/>
    <x v="0"/>
    <x v="0"/>
    <x v="9"/>
    <x v="19"/>
    <s v="SE3_STO"/>
    <x v="10"/>
    <x v="2"/>
    <s v="GBPR_WOODWASTE_BRISTA"/>
    <x v="0"/>
    <x v="9"/>
    <n v="40.390612959719803"/>
    <n v="14742.5737302977"/>
    <n v="53073.265429071798"/>
  </r>
  <r>
    <x v="0"/>
    <x v="0"/>
    <x v="0"/>
    <x v="9"/>
    <x v="19"/>
    <s v="SE3_STO"/>
    <x v="10"/>
    <x v="2"/>
    <s v="GBPR_WOODWASTE_BRISTA"/>
    <x v="0"/>
    <x v="10"/>
    <n v="40.390612959719803"/>
    <n v="14742.5737302977"/>
    <n v="53073.265429071798"/>
  </r>
  <r>
    <x v="0"/>
    <x v="0"/>
    <x v="0"/>
    <x v="9"/>
    <x v="19"/>
    <s v="SE3_STO"/>
    <x v="10"/>
    <x v="2"/>
    <s v="GBPR_WOODWASTE_BRISTA"/>
    <x v="0"/>
    <x v="11"/>
    <n v="40.390612959719803"/>
    <n v="14742.5737302977"/>
    <n v="53073.265429071798"/>
  </r>
  <r>
    <x v="0"/>
    <x v="0"/>
    <x v="0"/>
    <x v="9"/>
    <x v="19"/>
    <s v="SE3_STO"/>
    <x v="10"/>
    <x v="2"/>
    <s v="GBPR_WOODWASTE_BRISTA"/>
    <x v="0"/>
    <x v="12"/>
    <n v="40.390612959719803"/>
    <n v="14742.5737302977"/>
    <n v="53073.265429071798"/>
  </r>
  <r>
    <x v="0"/>
    <x v="0"/>
    <x v="0"/>
    <x v="9"/>
    <x v="19"/>
    <s v="SE3_STO"/>
    <x v="10"/>
    <x v="2"/>
    <s v="GBPR_WOODWASTE_BRISTA"/>
    <x v="0"/>
    <x v="13"/>
    <n v="40.390612959719803"/>
    <n v="14742.5737302977"/>
    <n v="53073.265429071798"/>
  </r>
  <r>
    <x v="0"/>
    <x v="0"/>
    <x v="0"/>
    <x v="9"/>
    <x v="19"/>
    <s v="SE3_STO"/>
    <x v="10"/>
    <x v="2"/>
    <s v="GBPR_WOODWASTE_BRISTA"/>
    <x v="0"/>
    <x v="14"/>
    <n v="40.390612959719803"/>
    <n v="14742.5737302977"/>
    <n v="53073.265429071798"/>
  </r>
  <r>
    <x v="0"/>
    <x v="0"/>
    <x v="0"/>
    <x v="9"/>
    <x v="19"/>
    <s v="SE3_STO"/>
    <x v="10"/>
    <x v="2"/>
    <s v="GBPR_WOODWASTE_BRISTA"/>
    <x v="0"/>
    <x v="15"/>
    <n v="40.390612959719803"/>
    <n v="14742.5737302977"/>
    <n v="53073.265429071798"/>
  </r>
  <r>
    <x v="0"/>
    <x v="0"/>
    <x v="0"/>
    <x v="9"/>
    <x v="19"/>
    <s v="SE3_STO"/>
    <x v="10"/>
    <x v="2"/>
    <s v="GBPR_WOODWASTE_BRISTA"/>
    <x v="0"/>
    <x v="16"/>
    <n v="40.390612959719803"/>
    <n v="14742.5737302977"/>
    <n v="53073.265429071798"/>
  </r>
  <r>
    <x v="0"/>
    <x v="0"/>
    <x v="0"/>
    <x v="9"/>
    <x v="19"/>
    <s v="SE3_STO"/>
    <x v="10"/>
    <x v="2"/>
    <s v="GBPR_WOODWASTE_BRISTA"/>
    <x v="0"/>
    <x v="17"/>
    <n v="40.390612959719803"/>
    <n v="14742.5737302977"/>
    <n v="53073.265429071798"/>
  </r>
  <r>
    <x v="0"/>
    <x v="0"/>
    <x v="0"/>
    <x v="9"/>
    <x v="19"/>
    <s v="SE3_STO"/>
    <x v="10"/>
    <x v="2"/>
    <s v="GBPR_WOODWASTE_BRISTA"/>
    <x v="0"/>
    <x v="19"/>
    <n v="40.390612959719803"/>
    <n v="14742.5737302977"/>
    <n v="53073.265429071798"/>
  </r>
  <r>
    <x v="0"/>
    <x v="0"/>
    <x v="0"/>
    <x v="9"/>
    <x v="19"/>
    <s v="SE3_STO"/>
    <x v="10"/>
    <x v="2"/>
    <s v="GBPR_WOODWASTE_BRISTA"/>
    <x v="0"/>
    <x v="20"/>
    <n v="40.390612959719803"/>
    <n v="14742.5737302977"/>
    <n v="53073.265429071798"/>
  </r>
  <r>
    <x v="0"/>
    <x v="0"/>
    <x v="0"/>
    <x v="9"/>
    <x v="19"/>
    <s v="SE3_STO"/>
    <x v="10"/>
    <x v="2"/>
    <s v="GBPR_WOODWASTE_BRISTA"/>
    <x v="0"/>
    <x v="21"/>
    <n v="40.390612959719803"/>
    <n v="14742.5737302977"/>
    <n v="53073.265429071798"/>
  </r>
  <r>
    <x v="0"/>
    <x v="0"/>
    <x v="0"/>
    <x v="9"/>
    <x v="19"/>
    <s v="SE3_STO"/>
    <x v="10"/>
    <x v="2"/>
    <s v="GBPR_WOODWASTE_BRISTA"/>
    <x v="0"/>
    <x v="22"/>
    <n v="40.390612959719803"/>
    <n v="14742.5737302977"/>
    <n v="53073.265429071798"/>
  </r>
  <r>
    <x v="0"/>
    <x v="0"/>
    <x v="0"/>
    <x v="9"/>
    <x v="19"/>
    <s v="SE3_STO"/>
    <x v="10"/>
    <x v="2"/>
    <s v="GBPR_WOODWASTE_BRISTA"/>
    <x v="0"/>
    <x v="23"/>
    <n v="40.390612959719803"/>
    <n v="14742.5737302977"/>
    <n v="53073.265429071798"/>
  </r>
  <r>
    <x v="0"/>
    <x v="0"/>
    <x v="0"/>
    <x v="9"/>
    <x v="20"/>
    <s v="SE4A"/>
    <x v="6"/>
    <x v="7"/>
    <s v="GNR_RES_WTR_NOPMP_MC-01"/>
    <x v="0"/>
    <x v="0"/>
    <n v="15.287300663378099"/>
    <n v="5579.8647421330097"/>
    <n v="20087.513071678801"/>
  </r>
  <r>
    <x v="0"/>
    <x v="0"/>
    <x v="0"/>
    <x v="9"/>
    <x v="20"/>
    <s v="SE4A"/>
    <x v="6"/>
    <x v="7"/>
    <s v="GNR_RES_WTR_NOPMP_MC-01"/>
    <x v="0"/>
    <x v="1"/>
    <n v="15.287300663378099"/>
    <n v="5579.8647421330097"/>
    <n v="20087.513071678801"/>
  </r>
  <r>
    <x v="0"/>
    <x v="0"/>
    <x v="0"/>
    <x v="9"/>
    <x v="20"/>
    <s v="SE4A"/>
    <x v="6"/>
    <x v="7"/>
    <s v="GNR_RES_WTR_NOPMP_MC-01"/>
    <x v="0"/>
    <x v="18"/>
    <n v="15.287300663378099"/>
    <n v="5579.8647421330097"/>
    <n v="20087.513071678801"/>
  </r>
  <r>
    <x v="0"/>
    <x v="0"/>
    <x v="0"/>
    <x v="9"/>
    <x v="20"/>
    <s v="SE4A"/>
    <x v="6"/>
    <x v="7"/>
    <s v="GNR_RES_WTR_NOPMP_MC-01"/>
    <x v="0"/>
    <x v="2"/>
    <n v="15.287300663378099"/>
    <n v="5579.8647421330097"/>
    <n v="20087.513071678801"/>
  </r>
  <r>
    <x v="0"/>
    <x v="0"/>
    <x v="0"/>
    <x v="9"/>
    <x v="20"/>
    <s v="SE4A"/>
    <x v="6"/>
    <x v="7"/>
    <s v="GNR_RES_WTR_NOPMP_MC-01"/>
    <x v="0"/>
    <x v="3"/>
    <n v="15.287300663378099"/>
    <n v="5579.8647421330097"/>
    <n v="20087.513071678801"/>
  </r>
  <r>
    <x v="0"/>
    <x v="0"/>
    <x v="0"/>
    <x v="9"/>
    <x v="20"/>
    <s v="SE4A"/>
    <x v="6"/>
    <x v="7"/>
    <s v="GNR_RES_WTR_NOPMP_MC-01"/>
    <x v="0"/>
    <x v="4"/>
    <n v="15.287300663378099"/>
    <n v="5579.8647421330097"/>
    <n v="20087.513071678801"/>
  </r>
  <r>
    <x v="0"/>
    <x v="0"/>
    <x v="0"/>
    <x v="9"/>
    <x v="20"/>
    <s v="SE4A"/>
    <x v="6"/>
    <x v="7"/>
    <s v="GNR_RES_WTR_NOPMP_MC-01"/>
    <x v="0"/>
    <x v="5"/>
    <n v="15.287300663378099"/>
    <n v="5579.8647421330097"/>
    <n v="20087.513071678801"/>
  </r>
  <r>
    <x v="0"/>
    <x v="0"/>
    <x v="0"/>
    <x v="9"/>
    <x v="20"/>
    <s v="SE4A"/>
    <x v="6"/>
    <x v="7"/>
    <s v="GNR_RES_WTR_NOPMP_MC-01"/>
    <x v="0"/>
    <x v="6"/>
    <n v="15.287300663378099"/>
    <n v="5579.8647421330097"/>
    <n v="20087.513071678801"/>
  </r>
  <r>
    <x v="0"/>
    <x v="0"/>
    <x v="0"/>
    <x v="9"/>
    <x v="20"/>
    <s v="SE4A"/>
    <x v="6"/>
    <x v="7"/>
    <s v="GNR_RES_WTR_NOPMP_MC-01"/>
    <x v="0"/>
    <x v="7"/>
    <n v="15.287300663378099"/>
    <n v="5579.8647421330097"/>
    <n v="20087.513071678801"/>
  </r>
  <r>
    <x v="0"/>
    <x v="0"/>
    <x v="0"/>
    <x v="9"/>
    <x v="20"/>
    <s v="SE4A"/>
    <x v="6"/>
    <x v="7"/>
    <s v="GNR_RES_WTR_NOPMP_MC-01"/>
    <x v="0"/>
    <x v="8"/>
    <n v="15.287300663378099"/>
    <n v="5579.8647421330097"/>
    <n v="20087.513071678801"/>
  </r>
  <r>
    <x v="0"/>
    <x v="0"/>
    <x v="0"/>
    <x v="9"/>
    <x v="20"/>
    <s v="SE4A"/>
    <x v="6"/>
    <x v="7"/>
    <s v="GNR_RES_WTR_NOPMP_MC-01"/>
    <x v="0"/>
    <x v="9"/>
    <n v="15.287300663378099"/>
    <n v="5579.8647421330097"/>
    <n v="20087.513071678801"/>
  </r>
  <r>
    <x v="0"/>
    <x v="0"/>
    <x v="0"/>
    <x v="9"/>
    <x v="20"/>
    <s v="SE4A"/>
    <x v="6"/>
    <x v="7"/>
    <s v="GNR_RES_WTR_NOPMP_MC-01"/>
    <x v="0"/>
    <x v="10"/>
    <n v="15.287300663378099"/>
    <n v="5579.8647421330097"/>
    <n v="20087.513071678801"/>
  </r>
  <r>
    <x v="0"/>
    <x v="0"/>
    <x v="0"/>
    <x v="9"/>
    <x v="20"/>
    <s v="SE4A"/>
    <x v="6"/>
    <x v="7"/>
    <s v="GNR_RES_WTR_NOPMP_MC-01"/>
    <x v="0"/>
    <x v="11"/>
    <n v="15.287300663378099"/>
    <n v="5579.8647421330097"/>
    <n v="20087.513071678801"/>
  </r>
  <r>
    <x v="0"/>
    <x v="0"/>
    <x v="0"/>
    <x v="9"/>
    <x v="20"/>
    <s v="SE4A"/>
    <x v="6"/>
    <x v="7"/>
    <s v="GNR_RES_WTR_NOPMP_MC-01"/>
    <x v="0"/>
    <x v="12"/>
    <n v="15.287300663378099"/>
    <n v="5579.8647421330097"/>
    <n v="20087.513071678801"/>
  </r>
  <r>
    <x v="0"/>
    <x v="0"/>
    <x v="0"/>
    <x v="9"/>
    <x v="20"/>
    <s v="SE4A"/>
    <x v="6"/>
    <x v="7"/>
    <s v="GNR_RES_WTR_NOPMP_MC-01"/>
    <x v="0"/>
    <x v="13"/>
    <n v="15.287300663378099"/>
    <n v="5579.8647421330097"/>
    <n v="20087.513071678801"/>
  </r>
  <r>
    <x v="0"/>
    <x v="0"/>
    <x v="0"/>
    <x v="9"/>
    <x v="20"/>
    <s v="SE4A"/>
    <x v="6"/>
    <x v="7"/>
    <s v="GNR_RES_WTR_NOPMP_MC-01"/>
    <x v="0"/>
    <x v="14"/>
    <n v="15.287300663378099"/>
    <n v="5579.8647421330097"/>
    <n v="20087.513071678801"/>
  </r>
  <r>
    <x v="0"/>
    <x v="0"/>
    <x v="0"/>
    <x v="9"/>
    <x v="20"/>
    <s v="SE4A"/>
    <x v="6"/>
    <x v="7"/>
    <s v="GNR_RES_WTR_NOPMP_MC-01"/>
    <x v="0"/>
    <x v="15"/>
    <n v="15.287300663378099"/>
    <n v="5579.8647421330097"/>
    <n v="20087.513071678801"/>
  </r>
  <r>
    <x v="0"/>
    <x v="0"/>
    <x v="0"/>
    <x v="9"/>
    <x v="20"/>
    <s v="SE4A"/>
    <x v="6"/>
    <x v="7"/>
    <s v="GNR_RES_WTR_NOPMP_MC-01"/>
    <x v="0"/>
    <x v="16"/>
    <n v="15.287300663378099"/>
    <n v="5579.8647421330097"/>
    <n v="20087.513071678801"/>
  </r>
  <r>
    <x v="0"/>
    <x v="0"/>
    <x v="0"/>
    <x v="9"/>
    <x v="20"/>
    <s v="SE4A"/>
    <x v="6"/>
    <x v="7"/>
    <s v="GNR_RES_WTR_NOPMP_MC-01"/>
    <x v="0"/>
    <x v="17"/>
    <n v="15.287300663378099"/>
    <n v="5579.8647421330097"/>
    <n v="20087.513071678801"/>
  </r>
  <r>
    <x v="0"/>
    <x v="0"/>
    <x v="0"/>
    <x v="9"/>
    <x v="20"/>
    <s v="SE4A"/>
    <x v="6"/>
    <x v="7"/>
    <s v="GNR_RES_WTR_NOPMP_MC-01"/>
    <x v="0"/>
    <x v="19"/>
    <n v="15.287300663378099"/>
    <n v="5579.8647421330097"/>
    <n v="20087.513071678801"/>
  </r>
  <r>
    <x v="0"/>
    <x v="0"/>
    <x v="0"/>
    <x v="9"/>
    <x v="20"/>
    <s v="SE4A"/>
    <x v="6"/>
    <x v="7"/>
    <s v="GNR_RES_WTR_NOPMP_MC-01"/>
    <x v="0"/>
    <x v="20"/>
    <n v="15.287300663378099"/>
    <n v="5579.8647421330097"/>
    <n v="20087.513071678801"/>
  </r>
  <r>
    <x v="0"/>
    <x v="0"/>
    <x v="0"/>
    <x v="9"/>
    <x v="20"/>
    <s v="SE4A"/>
    <x v="6"/>
    <x v="7"/>
    <s v="GNR_RES_WTR_NOPMP_MC-01"/>
    <x v="0"/>
    <x v="21"/>
    <n v="15.287300663378099"/>
    <n v="5579.8647421330097"/>
    <n v="20087.513071678801"/>
  </r>
  <r>
    <x v="0"/>
    <x v="0"/>
    <x v="0"/>
    <x v="9"/>
    <x v="20"/>
    <s v="SE4A"/>
    <x v="6"/>
    <x v="7"/>
    <s v="GNR_RES_WTR_NOPMP_MC-01"/>
    <x v="0"/>
    <x v="22"/>
    <n v="15.287300663378099"/>
    <n v="5579.8647421330097"/>
    <n v="20087.513071678801"/>
  </r>
  <r>
    <x v="0"/>
    <x v="0"/>
    <x v="0"/>
    <x v="9"/>
    <x v="20"/>
    <s v="SE4A"/>
    <x v="6"/>
    <x v="7"/>
    <s v="GNR_RES_WTR_NOPMP_MC-01"/>
    <x v="0"/>
    <x v="23"/>
    <n v="15.287300663378099"/>
    <n v="5579.8647421330097"/>
    <n v="20087.513071678801"/>
  </r>
  <r>
    <x v="0"/>
    <x v="0"/>
    <x v="0"/>
    <x v="9"/>
    <x v="20"/>
    <s v="SE4A"/>
    <x v="6"/>
    <x v="7"/>
    <s v="GNR_RES_WTR_NOPMP_MC-02"/>
    <x v="0"/>
    <x v="0"/>
    <n v="15.287300663378099"/>
    <n v="5579.8647421330097"/>
    <n v="20087.513071678801"/>
  </r>
  <r>
    <x v="0"/>
    <x v="0"/>
    <x v="0"/>
    <x v="9"/>
    <x v="20"/>
    <s v="SE4A"/>
    <x v="6"/>
    <x v="7"/>
    <s v="GNR_RES_WTR_NOPMP_MC-02"/>
    <x v="0"/>
    <x v="1"/>
    <n v="15.287300663378099"/>
    <n v="5579.8647421330097"/>
    <n v="20087.513071678801"/>
  </r>
  <r>
    <x v="0"/>
    <x v="0"/>
    <x v="0"/>
    <x v="9"/>
    <x v="20"/>
    <s v="SE4A"/>
    <x v="6"/>
    <x v="7"/>
    <s v="GNR_RES_WTR_NOPMP_MC-02"/>
    <x v="0"/>
    <x v="18"/>
    <n v="15.287300663378099"/>
    <n v="5579.8647421330097"/>
    <n v="20087.513071678801"/>
  </r>
  <r>
    <x v="0"/>
    <x v="0"/>
    <x v="0"/>
    <x v="9"/>
    <x v="20"/>
    <s v="SE4A"/>
    <x v="6"/>
    <x v="7"/>
    <s v="GNR_RES_WTR_NOPMP_MC-02"/>
    <x v="0"/>
    <x v="2"/>
    <n v="15.287300663378099"/>
    <n v="5579.8647421330097"/>
    <n v="20087.513071678801"/>
  </r>
  <r>
    <x v="0"/>
    <x v="0"/>
    <x v="0"/>
    <x v="9"/>
    <x v="20"/>
    <s v="SE4A"/>
    <x v="6"/>
    <x v="7"/>
    <s v="GNR_RES_WTR_NOPMP_MC-02"/>
    <x v="0"/>
    <x v="3"/>
    <n v="15.287300663378099"/>
    <n v="5579.8647421330097"/>
    <n v="20087.513071678801"/>
  </r>
  <r>
    <x v="0"/>
    <x v="0"/>
    <x v="0"/>
    <x v="9"/>
    <x v="20"/>
    <s v="SE4A"/>
    <x v="6"/>
    <x v="7"/>
    <s v="GNR_RES_WTR_NOPMP_MC-02"/>
    <x v="0"/>
    <x v="4"/>
    <n v="15.287300663378099"/>
    <n v="5579.8647421330097"/>
    <n v="20087.513071678801"/>
  </r>
  <r>
    <x v="0"/>
    <x v="0"/>
    <x v="0"/>
    <x v="9"/>
    <x v="20"/>
    <s v="SE4A"/>
    <x v="6"/>
    <x v="7"/>
    <s v="GNR_RES_WTR_NOPMP_MC-02"/>
    <x v="0"/>
    <x v="5"/>
    <n v="15.287300663378099"/>
    <n v="5579.8647421330097"/>
    <n v="20087.513071678801"/>
  </r>
  <r>
    <x v="0"/>
    <x v="0"/>
    <x v="0"/>
    <x v="9"/>
    <x v="20"/>
    <s v="SE4A"/>
    <x v="6"/>
    <x v="7"/>
    <s v="GNR_RES_WTR_NOPMP_MC-02"/>
    <x v="0"/>
    <x v="6"/>
    <n v="15.287300663378099"/>
    <n v="5579.8647421330097"/>
    <n v="20087.513071678801"/>
  </r>
  <r>
    <x v="0"/>
    <x v="0"/>
    <x v="0"/>
    <x v="9"/>
    <x v="20"/>
    <s v="SE4A"/>
    <x v="6"/>
    <x v="7"/>
    <s v="GNR_RES_WTR_NOPMP_MC-02"/>
    <x v="0"/>
    <x v="7"/>
    <n v="15.287300663378099"/>
    <n v="5579.8647421330097"/>
    <n v="20087.513071678801"/>
  </r>
  <r>
    <x v="0"/>
    <x v="0"/>
    <x v="0"/>
    <x v="9"/>
    <x v="20"/>
    <s v="SE4A"/>
    <x v="6"/>
    <x v="7"/>
    <s v="GNR_RES_WTR_NOPMP_MC-02"/>
    <x v="0"/>
    <x v="8"/>
    <n v="15.287300663378099"/>
    <n v="5579.8647421330097"/>
    <n v="20087.513071678801"/>
  </r>
  <r>
    <x v="0"/>
    <x v="0"/>
    <x v="0"/>
    <x v="9"/>
    <x v="20"/>
    <s v="SE4A"/>
    <x v="6"/>
    <x v="7"/>
    <s v="GNR_RES_WTR_NOPMP_MC-02"/>
    <x v="0"/>
    <x v="9"/>
    <n v="15.287300663378099"/>
    <n v="5579.8647421330097"/>
    <n v="20087.513071678801"/>
  </r>
  <r>
    <x v="0"/>
    <x v="0"/>
    <x v="0"/>
    <x v="9"/>
    <x v="20"/>
    <s v="SE4A"/>
    <x v="6"/>
    <x v="7"/>
    <s v="GNR_RES_WTR_NOPMP_MC-02"/>
    <x v="0"/>
    <x v="10"/>
    <n v="15.287300663378099"/>
    <n v="5579.8647421330097"/>
    <n v="20087.513071678801"/>
  </r>
  <r>
    <x v="0"/>
    <x v="0"/>
    <x v="0"/>
    <x v="9"/>
    <x v="20"/>
    <s v="SE4A"/>
    <x v="6"/>
    <x v="7"/>
    <s v="GNR_RES_WTR_NOPMP_MC-02"/>
    <x v="0"/>
    <x v="11"/>
    <n v="15.287300663378099"/>
    <n v="5579.8647421330097"/>
    <n v="20087.513071678801"/>
  </r>
  <r>
    <x v="0"/>
    <x v="0"/>
    <x v="0"/>
    <x v="9"/>
    <x v="20"/>
    <s v="SE4A"/>
    <x v="6"/>
    <x v="7"/>
    <s v="GNR_RES_WTR_NOPMP_MC-02"/>
    <x v="0"/>
    <x v="12"/>
    <n v="15.287300663378099"/>
    <n v="5579.8647421330097"/>
    <n v="20087.513071678801"/>
  </r>
  <r>
    <x v="0"/>
    <x v="0"/>
    <x v="0"/>
    <x v="9"/>
    <x v="20"/>
    <s v="SE4A"/>
    <x v="6"/>
    <x v="7"/>
    <s v="GNR_RES_WTR_NOPMP_MC-02"/>
    <x v="0"/>
    <x v="13"/>
    <n v="15.287300663378099"/>
    <n v="5579.8647421330097"/>
    <n v="20087.513071678801"/>
  </r>
  <r>
    <x v="0"/>
    <x v="0"/>
    <x v="0"/>
    <x v="9"/>
    <x v="20"/>
    <s v="SE4A"/>
    <x v="6"/>
    <x v="7"/>
    <s v="GNR_RES_WTR_NOPMP_MC-02"/>
    <x v="0"/>
    <x v="14"/>
    <n v="15.287300663378099"/>
    <n v="5579.8647421330097"/>
    <n v="20087.513071678801"/>
  </r>
  <r>
    <x v="0"/>
    <x v="0"/>
    <x v="0"/>
    <x v="9"/>
    <x v="20"/>
    <s v="SE4A"/>
    <x v="6"/>
    <x v="7"/>
    <s v="GNR_RES_WTR_NOPMP_MC-02"/>
    <x v="0"/>
    <x v="15"/>
    <n v="15.287300663378099"/>
    <n v="5579.8647421330097"/>
    <n v="20087.513071678801"/>
  </r>
  <r>
    <x v="0"/>
    <x v="0"/>
    <x v="0"/>
    <x v="9"/>
    <x v="20"/>
    <s v="SE4A"/>
    <x v="6"/>
    <x v="7"/>
    <s v="GNR_RES_WTR_NOPMP_MC-02"/>
    <x v="0"/>
    <x v="16"/>
    <n v="15.287300663378099"/>
    <n v="5579.8647421330097"/>
    <n v="20087.513071678801"/>
  </r>
  <r>
    <x v="0"/>
    <x v="0"/>
    <x v="0"/>
    <x v="9"/>
    <x v="20"/>
    <s v="SE4A"/>
    <x v="6"/>
    <x v="7"/>
    <s v="GNR_RES_WTR_NOPMP_MC-02"/>
    <x v="0"/>
    <x v="17"/>
    <n v="15.287300663378099"/>
    <n v="5579.8647421330097"/>
    <n v="20087.513071678801"/>
  </r>
  <r>
    <x v="0"/>
    <x v="0"/>
    <x v="0"/>
    <x v="9"/>
    <x v="20"/>
    <s v="SE4A"/>
    <x v="6"/>
    <x v="7"/>
    <s v="GNR_RES_WTR_NOPMP_MC-02"/>
    <x v="0"/>
    <x v="19"/>
    <n v="15.287300663378099"/>
    <n v="5579.8647421330097"/>
    <n v="20087.513071678801"/>
  </r>
  <r>
    <x v="0"/>
    <x v="0"/>
    <x v="0"/>
    <x v="9"/>
    <x v="20"/>
    <s v="SE4A"/>
    <x v="6"/>
    <x v="7"/>
    <s v="GNR_RES_WTR_NOPMP_MC-02"/>
    <x v="0"/>
    <x v="20"/>
    <n v="15.287300663378099"/>
    <n v="5579.8647421330097"/>
    <n v="20087.513071678801"/>
  </r>
  <r>
    <x v="0"/>
    <x v="0"/>
    <x v="0"/>
    <x v="9"/>
    <x v="20"/>
    <s v="SE4A"/>
    <x v="6"/>
    <x v="7"/>
    <s v="GNR_RES_WTR_NOPMP_MC-02"/>
    <x v="0"/>
    <x v="21"/>
    <n v="15.287300663378099"/>
    <n v="5579.8647421330097"/>
    <n v="20087.513071678801"/>
  </r>
  <r>
    <x v="0"/>
    <x v="0"/>
    <x v="0"/>
    <x v="9"/>
    <x v="20"/>
    <s v="SE4A"/>
    <x v="6"/>
    <x v="7"/>
    <s v="GNR_RES_WTR_NOPMP_MC-02"/>
    <x v="0"/>
    <x v="22"/>
    <n v="15.287300663378099"/>
    <n v="5579.8647421330097"/>
    <n v="20087.513071678801"/>
  </r>
  <r>
    <x v="0"/>
    <x v="0"/>
    <x v="0"/>
    <x v="9"/>
    <x v="20"/>
    <s v="SE4A"/>
    <x v="6"/>
    <x v="7"/>
    <s v="GNR_RES_WTR_NOPMP_MC-02"/>
    <x v="0"/>
    <x v="23"/>
    <n v="15.287300663378099"/>
    <n v="5579.8647421330097"/>
    <n v="20087.513071678801"/>
  </r>
  <r>
    <x v="0"/>
    <x v="0"/>
    <x v="0"/>
    <x v="9"/>
    <x v="20"/>
    <s v="SE4A"/>
    <x v="6"/>
    <x v="7"/>
    <s v="GNR_RES_WTR_NOPMP_MC-03"/>
    <x v="0"/>
    <x v="0"/>
    <n v="15.287300663378099"/>
    <n v="5579.8647421330097"/>
    <n v="20087.513071678801"/>
  </r>
  <r>
    <x v="0"/>
    <x v="0"/>
    <x v="0"/>
    <x v="9"/>
    <x v="20"/>
    <s v="SE4A"/>
    <x v="6"/>
    <x v="7"/>
    <s v="GNR_RES_WTR_NOPMP_MC-03"/>
    <x v="0"/>
    <x v="1"/>
    <n v="15.287300663378099"/>
    <n v="5579.8647421330097"/>
    <n v="20087.513071678801"/>
  </r>
  <r>
    <x v="0"/>
    <x v="0"/>
    <x v="0"/>
    <x v="9"/>
    <x v="20"/>
    <s v="SE4A"/>
    <x v="6"/>
    <x v="7"/>
    <s v="GNR_RES_WTR_NOPMP_MC-03"/>
    <x v="0"/>
    <x v="18"/>
    <n v="15.287300663378099"/>
    <n v="5579.8647421330097"/>
    <n v="20087.513071678801"/>
  </r>
  <r>
    <x v="0"/>
    <x v="0"/>
    <x v="0"/>
    <x v="9"/>
    <x v="20"/>
    <s v="SE4A"/>
    <x v="6"/>
    <x v="7"/>
    <s v="GNR_RES_WTR_NOPMP_MC-03"/>
    <x v="0"/>
    <x v="2"/>
    <n v="15.287300663378099"/>
    <n v="5579.8647421330097"/>
    <n v="20087.513071678801"/>
  </r>
  <r>
    <x v="0"/>
    <x v="0"/>
    <x v="0"/>
    <x v="9"/>
    <x v="20"/>
    <s v="SE4A"/>
    <x v="6"/>
    <x v="7"/>
    <s v="GNR_RES_WTR_NOPMP_MC-03"/>
    <x v="0"/>
    <x v="3"/>
    <n v="15.287300663378099"/>
    <n v="5579.8647421330097"/>
    <n v="20087.513071678801"/>
  </r>
  <r>
    <x v="0"/>
    <x v="0"/>
    <x v="0"/>
    <x v="9"/>
    <x v="20"/>
    <s v="SE4A"/>
    <x v="6"/>
    <x v="7"/>
    <s v="GNR_RES_WTR_NOPMP_MC-03"/>
    <x v="0"/>
    <x v="4"/>
    <n v="15.287300663378099"/>
    <n v="5579.8647421330097"/>
    <n v="20087.513071678801"/>
  </r>
  <r>
    <x v="0"/>
    <x v="0"/>
    <x v="0"/>
    <x v="9"/>
    <x v="20"/>
    <s v="SE4A"/>
    <x v="6"/>
    <x v="7"/>
    <s v="GNR_RES_WTR_NOPMP_MC-03"/>
    <x v="0"/>
    <x v="5"/>
    <n v="15.287300663378099"/>
    <n v="5579.8647421330097"/>
    <n v="20087.513071678801"/>
  </r>
  <r>
    <x v="0"/>
    <x v="0"/>
    <x v="0"/>
    <x v="9"/>
    <x v="20"/>
    <s v="SE4A"/>
    <x v="6"/>
    <x v="7"/>
    <s v="GNR_RES_WTR_NOPMP_MC-03"/>
    <x v="0"/>
    <x v="6"/>
    <n v="15.287300663378099"/>
    <n v="5579.8647421330097"/>
    <n v="20087.513071678801"/>
  </r>
  <r>
    <x v="0"/>
    <x v="0"/>
    <x v="0"/>
    <x v="9"/>
    <x v="20"/>
    <s v="SE4A"/>
    <x v="6"/>
    <x v="7"/>
    <s v="GNR_RES_WTR_NOPMP_MC-03"/>
    <x v="0"/>
    <x v="7"/>
    <n v="15.287300663378099"/>
    <n v="5579.8647421330097"/>
    <n v="20087.513071678801"/>
  </r>
  <r>
    <x v="0"/>
    <x v="0"/>
    <x v="0"/>
    <x v="9"/>
    <x v="20"/>
    <s v="SE4A"/>
    <x v="6"/>
    <x v="7"/>
    <s v="GNR_RES_WTR_NOPMP_MC-03"/>
    <x v="0"/>
    <x v="8"/>
    <n v="15.287300663378099"/>
    <n v="5579.8647421330097"/>
    <n v="20087.513071678801"/>
  </r>
  <r>
    <x v="0"/>
    <x v="0"/>
    <x v="0"/>
    <x v="9"/>
    <x v="20"/>
    <s v="SE4A"/>
    <x v="6"/>
    <x v="7"/>
    <s v="GNR_RES_WTR_NOPMP_MC-03"/>
    <x v="0"/>
    <x v="9"/>
    <n v="15.287300663378099"/>
    <n v="5579.8647421330097"/>
    <n v="20087.513071678801"/>
  </r>
  <r>
    <x v="0"/>
    <x v="0"/>
    <x v="0"/>
    <x v="9"/>
    <x v="20"/>
    <s v="SE4A"/>
    <x v="6"/>
    <x v="7"/>
    <s v="GNR_RES_WTR_NOPMP_MC-03"/>
    <x v="0"/>
    <x v="10"/>
    <n v="15.287300663378099"/>
    <n v="5579.8647421330097"/>
    <n v="20087.513071678801"/>
  </r>
  <r>
    <x v="0"/>
    <x v="0"/>
    <x v="0"/>
    <x v="9"/>
    <x v="20"/>
    <s v="SE4A"/>
    <x v="6"/>
    <x v="7"/>
    <s v="GNR_RES_WTR_NOPMP_MC-03"/>
    <x v="0"/>
    <x v="11"/>
    <n v="15.287300663378099"/>
    <n v="5579.8647421330097"/>
    <n v="20087.513071678801"/>
  </r>
  <r>
    <x v="0"/>
    <x v="0"/>
    <x v="0"/>
    <x v="9"/>
    <x v="20"/>
    <s v="SE4A"/>
    <x v="6"/>
    <x v="7"/>
    <s v="GNR_RES_WTR_NOPMP_MC-03"/>
    <x v="0"/>
    <x v="12"/>
    <n v="15.287300663378099"/>
    <n v="5579.8647421330097"/>
    <n v="20087.513071678801"/>
  </r>
  <r>
    <x v="0"/>
    <x v="0"/>
    <x v="0"/>
    <x v="9"/>
    <x v="20"/>
    <s v="SE4A"/>
    <x v="6"/>
    <x v="7"/>
    <s v="GNR_RES_WTR_NOPMP_MC-03"/>
    <x v="0"/>
    <x v="13"/>
    <n v="15.287300663378099"/>
    <n v="5579.8647421330097"/>
    <n v="20087.513071678801"/>
  </r>
  <r>
    <x v="0"/>
    <x v="0"/>
    <x v="0"/>
    <x v="9"/>
    <x v="20"/>
    <s v="SE4A"/>
    <x v="6"/>
    <x v="7"/>
    <s v="GNR_RES_WTR_NOPMP_MC-03"/>
    <x v="0"/>
    <x v="14"/>
    <n v="15.287300663378099"/>
    <n v="5579.8647421330097"/>
    <n v="20087.513071678801"/>
  </r>
  <r>
    <x v="0"/>
    <x v="0"/>
    <x v="0"/>
    <x v="9"/>
    <x v="20"/>
    <s v="SE4A"/>
    <x v="6"/>
    <x v="7"/>
    <s v="GNR_RES_WTR_NOPMP_MC-03"/>
    <x v="0"/>
    <x v="15"/>
    <n v="15.287300663378099"/>
    <n v="5579.8647421330097"/>
    <n v="20087.513071678801"/>
  </r>
  <r>
    <x v="0"/>
    <x v="0"/>
    <x v="0"/>
    <x v="9"/>
    <x v="20"/>
    <s v="SE4A"/>
    <x v="6"/>
    <x v="7"/>
    <s v="GNR_RES_WTR_NOPMP_MC-03"/>
    <x v="0"/>
    <x v="16"/>
    <n v="15.287300663378099"/>
    <n v="5579.8647421330097"/>
    <n v="20087.513071678801"/>
  </r>
  <r>
    <x v="0"/>
    <x v="0"/>
    <x v="0"/>
    <x v="9"/>
    <x v="20"/>
    <s v="SE4A"/>
    <x v="6"/>
    <x v="7"/>
    <s v="GNR_RES_WTR_NOPMP_MC-03"/>
    <x v="0"/>
    <x v="17"/>
    <n v="15.287300663378099"/>
    <n v="5579.8647421330097"/>
    <n v="20087.513071678801"/>
  </r>
  <r>
    <x v="0"/>
    <x v="0"/>
    <x v="0"/>
    <x v="9"/>
    <x v="20"/>
    <s v="SE4A"/>
    <x v="6"/>
    <x v="7"/>
    <s v="GNR_RES_WTR_NOPMP_MC-03"/>
    <x v="0"/>
    <x v="19"/>
    <n v="15.287300663378099"/>
    <n v="5579.8647421330097"/>
    <n v="20087.513071678801"/>
  </r>
  <r>
    <x v="0"/>
    <x v="0"/>
    <x v="0"/>
    <x v="9"/>
    <x v="20"/>
    <s v="SE4A"/>
    <x v="6"/>
    <x v="7"/>
    <s v="GNR_RES_WTR_NOPMP_MC-03"/>
    <x v="0"/>
    <x v="20"/>
    <n v="15.287300663378099"/>
    <n v="5579.8647421330097"/>
    <n v="20087.513071678801"/>
  </r>
  <r>
    <x v="0"/>
    <x v="0"/>
    <x v="0"/>
    <x v="9"/>
    <x v="20"/>
    <s v="SE4A"/>
    <x v="6"/>
    <x v="7"/>
    <s v="GNR_RES_WTR_NOPMP_MC-03"/>
    <x v="0"/>
    <x v="21"/>
    <n v="15.287300663378099"/>
    <n v="5579.8647421330097"/>
    <n v="20087.513071678801"/>
  </r>
  <r>
    <x v="0"/>
    <x v="0"/>
    <x v="0"/>
    <x v="9"/>
    <x v="20"/>
    <s v="SE4A"/>
    <x v="6"/>
    <x v="7"/>
    <s v="GNR_RES_WTR_NOPMP_MC-03"/>
    <x v="0"/>
    <x v="22"/>
    <n v="4.3977166291945604"/>
    <n v="1605.1665696560201"/>
    <n v="5778.5996507616601"/>
  </r>
  <r>
    <x v="0"/>
    <x v="0"/>
    <x v="0"/>
    <x v="9"/>
    <x v="20"/>
    <s v="SE4A"/>
    <x v="6"/>
    <x v="7"/>
    <s v="GNR_RES_WTR_NOPMP_MC-04"/>
    <x v="0"/>
    <x v="3"/>
    <n v="15.287300663378099"/>
    <n v="5579.8647421330097"/>
    <n v="20087.513071678801"/>
  </r>
  <r>
    <x v="0"/>
    <x v="0"/>
    <x v="0"/>
    <x v="9"/>
    <x v="20"/>
    <s v="SE4A"/>
    <x v="6"/>
    <x v="7"/>
    <s v="GNR_RES_WTR_NOPMP_MC-04"/>
    <x v="0"/>
    <x v="4"/>
    <n v="15.287300663378099"/>
    <n v="5579.8647421330097"/>
    <n v="20087.513071678801"/>
  </r>
  <r>
    <x v="0"/>
    <x v="0"/>
    <x v="0"/>
    <x v="9"/>
    <x v="20"/>
    <s v="SE4A"/>
    <x v="6"/>
    <x v="7"/>
    <s v="GNR_RES_WTR_NOPMP_MC-04"/>
    <x v="0"/>
    <x v="5"/>
    <n v="15.287300663378099"/>
    <n v="5579.8647421330097"/>
    <n v="20087.513071678801"/>
  </r>
  <r>
    <x v="0"/>
    <x v="0"/>
    <x v="0"/>
    <x v="9"/>
    <x v="20"/>
    <s v="SE4A"/>
    <x v="6"/>
    <x v="7"/>
    <s v="GNR_RES_WTR_NOPMP_MC-04"/>
    <x v="0"/>
    <x v="6"/>
    <n v="15.287300663378099"/>
    <n v="5579.8647421330097"/>
    <n v="20087.513071678801"/>
  </r>
  <r>
    <x v="0"/>
    <x v="0"/>
    <x v="0"/>
    <x v="9"/>
    <x v="20"/>
    <s v="SE4A"/>
    <x v="6"/>
    <x v="7"/>
    <s v="GNR_RES_WTR_NOPMP_MC-04"/>
    <x v="0"/>
    <x v="7"/>
    <n v="15.287300663378099"/>
    <n v="5579.8647421330097"/>
    <n v="20087.513071678801"/>
  </r>
  <r>
    <x v="0"/>
    <x v="0"/>
    <x v="0"/>
    <x v="9"/>
    <x v="20"/>
    <s v="SE4A"/>
    <x v="6"/>
    <x v="7"/>
    <s v="GNR_RES_WTR_NOPMP_MC-04"/>
    <x v="0"/>
    <x v="8"/>
    <n v="15.287300663378099"/>
    <n v="5579.8647421330097"/>
    <n v="20087.513071678801"/>
  </r>
  <r>
    <x v="0"/>
    <x v="0"/>
    <x v="0"/>
    <x v="9"/>
    <x v="20"/>
    <s v="SE4A"/>
    <x v="6"/>
    <x v="7"/>
    <s v="GNR_RES_WTR_NOPMP_MC-04"/>
    <x v="0"/>
    <x v="9"/>
    <n v="15.287300663378099"/>
    <n v="5579.8647421330097"/>
    <n v="20087.513071678801"/>
  </r>
  <r>
    <x v="0"/>
    <x v="0"/>
    <x v="0"/>
    <x v="9"/>
    <x v="20"/>
    <s v="SE4A"/>
    <x v="6"/>
    <x v="7"/>
    <s v="GNR_RES_WTR_NOPMP_MC-04"/>
    <x v="0"/>
    <x v="10"/>
    <n v="15.287300663378099"/>
    <n v="5579.8647421330097"/>
    <n v="20087.513071678801"/>
  </r>
  <r>
    <x v="0"/>
    <x v="0"/>
    <x v="0"/>
    <x v="9"/>
    <x v="20"/>
    <s v="SE4A"/>
    <x v="6"/>
    <x v="7"/>
    <s v="GNR_RES_WTR_NOPMP_MC-04"/>
    <x v="0"/>
    <x v="11"/>
    <n v="15.287300663378099"/>
    <n v="5579.8647421330097"/>
    <n v="20087.513071678801"/>
  </r>
  <r>
    <x v="0"/>
    <x v="0"/>
    <x v="0"/>
    <x v="9"/>
    <x v="20"/>
    <s v="SE4A"/>
    <x v="6"/>
    <x v="7"/>
    <s v="GNR_RES_WTR_NOPMP_MC-04"/>
    <x v="0"/>
    <x v="12"/>
    <n v="15.287300663378099"/>
    <n v="5579.8647421330097"/>
    <n v="20087.513071678801"/>
  </r>
  <r>
    <x v="0"/>
    <x v="0"/>
    <x v="0"/>
    <x v="9"/>
    <x v="20"/>
    <s v="SE4A"/>
    <x v="6"/>
    <x v="7"/>
    <s v="GNR_RES_WTR_NOPMP_MC-04"/>
    <x v="0"/>
    <x v="13"/>
    <n v="15.287300663378099"/>
    <n v="5579.8647421330097"/>
    <n v="20087.513071678801"/>
  </r>
  <r>
    <x v="0"/>
    <x v="0"/>
    <x v="0"/>
    <x v="9"/>
    <x v="20"/>
    <s v="SE4A"/>
    <x v="6"/>
    <x v="7"/>
    <s v="GNR_RES_WTR_NOPMP_MC-04"/>
    <x v="0"/>
    <x v="14"/>
    <n v="15.287300663378099"/>
    <n v="5579.8647421330097"/>
    <n v="20087.513071678801"/>
  </r>
  <r>
    <x v="0"/>
    <x v="0"/>
    <x v="0"/>
    <x v="9"/>
    <x v="20"/>
    <s v="SE4A"/>
    <x v="6"/>
    <x v="7"/>
    <s v="GNR_RES_WTR_NOPMP_MC-04"/>
    <x v="0"/>
    <x v="15"/>
    <n v="15.287300663378099"/>
    <n v="5579.8647421330097"/>
    <n v="20087.513071678801"/>
  </r>
  <r>
    <x v="0"/>
    <x v="0"/>
    <x v="0"/>
    <x v="9"/>
    <x v="20"/>
    <s v="SE4A"/>
    <x v="6"/>
    <x v="7"/>
    <s v="GNR_RES_WTR_NOPMP_MC-04"/>
    <x v="0"/>
    <x v="16"/>
    <n v="15.287300663378099"/>
    <n v="5579.8647421330097"/>
    <n v="20087.513071678801"/>
  </r>
  <r>
    <x v="0"/>
    <x v="0"/>
    <x v="0"/>
    <x v="9"/>
    <x v="20"/>
    <s v="SE4A"/>
    <x v="6"/>
    <x v="7"/>
    <s v="GNR_RES_WTR_NOPMP_MC-04"/>
    <x v="0"/>
    <x v="17"/>
    <n v="15.287300663378099"/>
    <n v="5579.8647421330097"/>
    <n v="20087.513071678801"/>
  </r>
  <r>
    <x v="0"/>
    <x v="0"/>
    <x v="0"/>
    <x v="9"/>
    <x v="20"/>
    <s v="SE4A"/>
    <x v="6"/>
    <x v="7"/>
    <s v="GNR_RES_WTR_NOPMP_MC-04"/>
    <x v="0"/>
    <x v="19"/>
    <n v="15.287300663378099"/>
    <n v="5579.8647421330097"/>
    <n v="20087.513071678801"/>
  </r>
  <r>
    <x v="0"/>
    <x v="0"/>
    <x v="0"/>
    <x v="9"/>
    <x v="20"/>
    <s v="SE4A"/>
    <x v="6"/>
    <x v="7"/>
    <s v="GNR_RES_WTR_NOPMP_MC-04"/>
    <x v="0"/>
    <x v="20"/>
    <n v="15.287300663378099"/>
    <n v="5579.8647421330097"/>
    <n v="20087.513071678801"/>
  </r>
  <r>
    <x v="0"/>
    <x v="0"/>
    <x v="0"/>
    <x v="9"/>
    <x v="20"/>
    <s v="SE4A"/>
    <x v="6"/>
    <x v="7"/>
    <s v="GNR_RES_WTR_NOPMP_MC-04"/>
    <x v="0"/>
    <x v="21"/>
    <n v="15.287300663378099"/>
    <n v="5579.8647421330097"/>
    <n v="20087.513071678801"/>
  </r>
  <r>
    <x v="0"/>
    <x v="0"/>
    <x v="0"/>
    <x v="9"/>
    <x v="20"/>
    <s v="SE4A"/>
    <x v="6"/>
    <x v="7"/>
    <s v="GNR_RES_WTR_NOPMP_MC-05"/>
    <x v="0"/>
    <x v="4"/>
    <n v="15.287300663378099"/>
    <n v="5579.8647421330097"/>
    <n v="20087.513071678801"/>
  </r>
  <r>
    <x v="0"/>
    <x v="0"/>
    <x v="0"/>
    <x v="9"/>
    <x v="20"/>
    <s v="SE4A"/>
    <x v="6"/>
    <x v="7"/>
    <s v="GNR_RES_WTR_NOPMP_MC-05"/>
    <x v="0"/>
    <x v="5"/>
    <n v="15.287300663378099"/>
    <n v="5579.8647421330097"/>
    <n v="20087.513071678801"/>
  </r>
  <r>
    <x v="0"/>
    <x v="0"/>
    <x v="0"/>
    <x v="9"/>
    <x v="20"/>
    <s v="SE4A"/>
    <x v="6"/>
    <x v="7"/>
    <s v="GNR_RES_WTR_NOPMP_MC-05"/>
    <x v="0"/>
    <x v="6"/>
    <n v="15.287300663378099"/>
    <n v="5579.8647421330097"/>
    <n v="20087.513071678801"/>
  </r>
  <r>
    <x v="0"/>
    <x v="0"/>
    <x v="0"/>
    <x v="9"/>
    <x v="20"/>
    <s v="SE4A"/>
    <x v="6"/>
    <x v="7"/>
    <s v="GNR_RES_WTR_NOPMP_MC-05"/>
    <x v="0"/>
    <x v="7"/>
    <n v="15.287300663378099"/>
    <n v="5579.8647421330097"/>
    <n v="20087.513071678801"/>
  </r>
  <r>
    <x v="0"/>
    <x v="0"/>
    <x v="0"/>
    <x v="9"/>
    <x v="20"/>
    <s v="SE4A"/>
    <x v="6"/>
    <x v="7"/>
    <s v="GNR_RES_WTR_NOPMP_MC-05"/>
    <x v="0"/>
    <x v="8"/>
    <n v="15.287300663378099"/>
    <n v="5579.8647421330097"/>
    <n v="20087.513071678801"/>
  </r>
  <r>
    <x v="0"/>
    <x v="0"/>
    <x v="0"/>
    <x v="9"/>
    <x v="20"/>
    <s v="SE4A"/>
    <x v="6"/>
    <x v="7"/>
    <s v="GNR_RES_WTR_NOPMP_MC-05"/>
    <x v="0"/>
    <x v="9"/>
    <n v="15.287300663378099"/>
    <n v="5579.8647421330097"/>
    <n v="20087.513071678801"/>
  </r>
  <r>
    <x v="0"/>
    <x v="0"/>
    <x v="0"/>
    <x v="9"/>
    <x v="20"/>
    <s v="SE4A"/>
    <x v="6"/>
    <x v="7"/>
    <s v="GNR_RES_WTR_NOPMP_MC-05"/>
    <x v="0"/>
    <x v="10"/>
    <n v="15.287300663378099"/>
    <n v="5579.8647421330097"/>
    <n v="20087.513071678801"/>
  </r>
  <r>
    <x v="0"/>
    <x v="0"/>
    <x v="0"/>
    <x v="9"/>
    <x v="20"/>
    <s v="SE4A"/>
    <x v="6"/>
    <x v="7"/>
    <s v="GNR_RES_WTR_NOPMP_MC-05"/>
    <x v="0"/>
    <x v="11"/>
    <n v="15.287300663378099"/>
    <n v="5579.8647421330097"/>
    <n v="20087.513071678801"/>
  </r>
  <r>
    <x v="0"/>
    <x v="0"/>
    <x v="0"/>
    <x v="9"/>
    <x v="20"/>
    <s v="SE4A"/>
    <x v="6"/>
    <x v="7"/>
    <s v="GNR_RES_WTR_NOPMP_MC-05"/>
    <x v="0"/>
    <x v="12"/>
    <n v="15.287300663378099"/>
    <n v="5579.8647421330097"/>
    <n v="20087.513071678801"/>
  </r>
  <r>
    <x v="0"/>
    <x v="0"/>
    <x v="0"/>
    <x v="9"/>
    <x v="20"/>
    <s v="SE4A"/>
    <x v="6"/>
    <x v="7"/>
    <s v="GNR_RES_WTR_NOPMP_MC-05"/>
    <x v="0"/>
    <x v="13"/>
    <n v="15.287300663378099"/>
    <n v="5579.8647421330097"/>
    <n v="20087.513071678801"/>
  </r>
  <r>
    <x v="0"/>
    <x v="0"/>
    <x v="0"/>
    <x v="9"/>
    <x v="20"/>
    <s v="SE4A"/>
    <x v="6"/>
    <x v="7"/>
    <s v="GNR_RES_WTR_NOPMP_MC-05"/>
    <x v="0"/>
    <x v="14"/>
    <n v="15.287300663378099"/>
    <n v="5579.8647421330097"/>
    <n v="20087.513071678801"/>
  </r>
  <r>
    <x v="0"/>
    <x v="0"/>
    <x v="0"/>
    <x v="9"/>
    <x v="20"/>
    <s v="SE4A"/>
    <x v="6"/>
    <x v="7"/>
    <s v="GNR_RES_WTR_NOPMP_MC-05"/>
    <x v="0"/>
    <x v="15"/>
    <n v="15.287300663378099"/>
    <n v="5579.8647421330097"/>
    <n v="20087.513071678801"/>
  </r>
  <r>
    <x v="0"/>
    <x v="0"/>
    <x v="0"/>
    <x v="9"/>
    <x v="20"/>
    <s v="SE4A"/>
    <x v="6"/>
    <x v="7"/>
    <s v="GNR_RES_WTR_NOPMP_MC-05"/>
    <x v="0"/>
    <x v="16"/>
    <n v="15.287300663378099"/>
    <n v="5579.8647421330097"/>
    <n v="20087.513071678801"/>
  </r>
  <r>
    <x v="0"/>
    <x v="0"/>
    <x v="0"/>
    <x v="9"/>
    <x v="20"/>
    <s v="SE4A"/>
    <x v="6"/>
    <x v="7"/>
    <s v="GNR_RES_WTR_NOPMP_MC-05"/>
    <x v="0"/>
    <x v="17"/>
    <n v="15.287300663378099"/>
    <n v="5579.8647421330097"/>
    <n v="20087.513071678801"/>
  </r>
  <r>
    <x v="0"/>
    <x v="0"/>
    <x v="0"/>
    <x v="9"/>
    <x v="20"/>
    <s v="SE4A"/>
    <x v="6"/>
    <x v="7"/>
    <s v="GNR_RES_WTR_NOPMP_MC-05"/>
    <x v="0"/>
    <x v="19"/>
    <n v="15.287300663378099"/>
    <n v="5579.8647421330097"/>
    <n v="20087.513071678801"/>
  </r>
  <r>
    <x v="0"/>
    <x v="0"/>
    <x v="0"/>
    <x v="9"/>
    <x v="20"/>
    <s v="SE4A"/>
    <x v="6"/>
    <x v="7"/>
    <s v="GNR_RES_WTR_NOPMP_MC-06"/>
    <x v="0"/>
    <x v="5"/>
    <n v="15.287300663378099"/>
    <n v="5579.8647421330097"/>
    <n v="20087.513071678801"/>
  </r>
  <r>
    <x v="0"/>
    <x v="0"/>
    <x v="0"/>
    <x v="9"/>
    <x v="20"/>
    <s v="SE4A"/>
    <x v="6"/>
    <x v="7"/>
    <s v="GNR_RES_WTR_NOPMP_MC-06"/>
    <x v="0"/>
    <x v="6"/>
    <n v="15.287300663378099"/>
    <n v="5579.8647421330097"/>
    <n v="20087.513071678801"/>
  </r>
  <r>
    <x v="0"/>
    <x v="0"/>
    <x v="0"/>
    <x v="9"/>
    <x v="20"/>
    <s v="SE4A"/>
    <x v="6"/>
    <x v="7"/>
    <s v="GNR_RES_WTR_NOPMP_MC-06"/>
    <x v="0"/>
    <x v="7"/>
    <n v="15.287300663378099"/>
    <n v="5579.8647421330097"/>
    <n v="20087.513071678801"/>
  </r>
  <r>
    <x v="0"/>
    <x v="0"/>
    <x v="0"/>
    <x v="9"/>
    <x v="20"/>
    <s v="SE4A"/>
    <x v="6"/>
    <x v="7"/>
    <s v="GNR_RES_WTR_NOPMP_MC-06"/>
    <x v="0"/>
    <x v="8"/>
    <n v="15.287300663378099"/>
    <n v="5579.8647421330097"/>
    <n v="20087.513071678801"/>
  </r>
  <r>
    <x v="0"/>
    <x v="0"/>
    <x v="0"/>
    <x v="9"/>
    <x v="20"/>
    <s v="SE4A"/>
    <x v="6"/>
    <x v="7"/>
    <s v="GNR_RES_WTR_NOPMP_MC-06"/>
    <x v="0"/>
    <x v="9"/>
    <n v="15.287300663378099"/>
    <n v="5579.8647421330097"/>
    <n v="20087.513071678801"/>
  </r>
  <r>
    <x v="0"/>
    <x v="0"/>
    <x v="0"/>
    <x v="9"/>
    <x v="20"/>
    <s v="SE4A"/>
    <x v="6"/>
    <x v="7"/>
    <s v="GNR_RES_WTR_NOPMP_MC-06"/>
    <x v="0"/>
    <x v="10"/>
    <n v="15.287300663378099"/>
    <n v="5579.8647421330097"/>
    <n v="20087.513071678801"/>
  </r>
  <r>
    <x v="0"/>
    <x v="0"/>
    <x v="0"/>
    <x v="9"/>
    <x v="20"/>
    <s v="SE4A"/>
    <x v="6"/>
    <x v="7"/>
    <s v="GNR_RES_WTR_NOPMP_MC-06"/>
    <x v="0"/>
    <x v="11"/>
    <n v="15.287300663378099"/>
    <n v="5579.8647421330097"/>
    <n v="20087.513071678801"/>
  </r>
  <r>
    <x v="0"/>
    <x v="0"/>
    <x v="0"/>
    <x v="9"/>
    <x v="20"/>
    <s v="SE4A"/>
    <x v="6"/>
    <x v="7"/>
    <s v="GNR_RES_WTR_NOPMP_MC-06"/>
    <x v="0"/>
    <x v="12"/>
    <n v="15.287300663378099"/>
    <n v="5579.8647421330097"/>
    <n v="20087.513071678801"/>
  </r>
  <r>
    <x v="0"/>
    <x v="0"/>
    <x v="0"/>
    <x v="9"/>
    <x v="20"/>
    <s v="SE4A"/>
    <x v="6"/>
    <x v="7"/>
    <s v="GNR_RES_WTR_NOPMP_MC-06"/>
    <x v="0"/>
    <x v="13"/>
    <n v="15.287300663378099"/>
    <n v="5579.8647421330097"/>
    <n v="20087.513071678801"/>
  </r>
  <r>
    <x v="0"/>
    <x v="0"/>
    <x v="0"/>
    <x v="9"/>
    <x v="20"/>
    <s v="SE4A"/>
    <x v="6"/>
    <x v="7"/>
    <s v="GNR_RES_WTR_NOPMP_MC-06"/>
    <x v="0"/>
    <x v="14"/>
    <n v="15.287300663378099"/>
    <n v="5579.8647421330097"/>
    <n v="20087.513071678801"/>
  </r>
  <r>
    <x v="0"/>
    <x v="0"/>
    <x v="0"/>
    <x v="9"/>
    <x v="20"/>
    <s v="SE4A"/>
    <x v="6"/>
    <x v="7"/>
    <s v="GNR_RES_WTR_NOPMP_MC-06"/>
    <x v="0"/>
    <x v="15"/>
    <n v="15.287300663378099"/>
    <n v="5579.8647421330097"/>
    <n v="20087.513071678801"/>
  </r>
  <r>
    <x v="0"/>
    <x v="0"/>
    <x v="0"/>
    <x v="9"/>
    <x v="20"/>
    <s v="SE4A"/>
    <x v="6"/>
    <x v="7"/>
    <s v="GNR_RES_WTR_NOPMP_MC-06"/>
    <x v="0"/>
    <x v="16"/>
    <n v="15.287300663378099"/>
    <n v="5579.8647421330097"/>
    <n v="20087.513071678801"/>
  </r>
  <r>
    <x v="0"/>
    <x v="0"/>
    <x v="0"/>
    <x v="9"/>
    <x v="20"/>
    <s v="SE4A"/>
    <x v="6"/>
    <x v="7"/>
    <s v="GNR_RES_WTR_NOPMP_MC-07"/>
    <x v="0"/>
    <x v="6"/>
    <n v="15.287300663378099"/>
    <n v="5579.8647421330097"/>
    <n v="20087.513071678801"/>
  </r>
  <r>
    <x v="0"/>
    <x v="0"/>
    <x v="0"/>
    <x v="9"/>
    <x v="20"/>
    <s v="SE4A"/>
    <x v="6"/>
    <x v="7"/>
    <s v="GNR_RES_WTR_NOPMP_MC-07"/>
    <x v="0"/>
    <x v="7"/>
    <n v="15.287300663378099"/>
    <n v="5579.8647421330097"/>
    <n v="20087.513071678801"/>
  </r>
  <r>
    <x v="0"/>
    <x v="0"/>
    <x v="0"/>
    <x v="9"/>
    <x v="20"/>
    <s v="SE4A"/>
    <x v="6"/>
    <x v="7"/>
    <s v="GNR_RES_WTR_NOPMP_MC-07"/>
    <x v="0"/>
    <x v="8"/>
    <n v="15.287300663378099"/>
    <n v="5579.8647421330097"/>
    <n v="20087.513071678801"/>
  </r>
  <r>
    <x v="0"/>
    <x v="0"/>
    <x v="0"/>
    <x v="9"/>
    <x v="20"/>
    <s v="SE4A"/>
    <x v="6"/>
    <x v="7"/>
    <s v="GNR_RES_WTR_NOPMP_MC-07"/>
    <x v="0"/>
    <x v="9"/>
    <n v="15.287300663378099"/>
    <n v="5579.8647421330097"/>
    <n v="20087.513071678801"/>
  </r>
  <r>
    <x v="0"/>
    <x v="0"/>
    <x v="0"/>
    <x v="9"/>
    <x v="20"/>
    <s v="SE4A"/>
    <x v="6"/>
    <x v="7"/>
    <s v="GNR_RES_WTR_NOPMP_MC-07"/>
    <x v="0"/>
    <x v="10"/>
    <n v="15.287300663378099"/>
    <n v="5579.8647421330097"/>
    <n v="20087.513071678801"/>
  </r>
  <r>
    <x v="0"/>
    <x v="0"/>
    <x v="0"/>
    <x v="9"/>
    <x v="20"/>
    <s v="SE4A"/>
    <x v="6"/>
    <x v="7"/>
    <s v="GNR_RES_WTR_NOPMP_MC-08"/>
    <x v="0"/>
    <x v="6"/>
    <n v="15.287300663378099"/>
    <n v="5579.8647421330097"/>
    <n v="20087.513071678801"/>
  </r>
  <r>
    <x v="0"/>
    <x v="0"/>
    <x v="0"/>
    <x v="9"/>
    <x v="20"/>
    <s v="SE4A"/>
    <x v="6"/>
    <x v="7"/>
    <s v="GNR_RES_WTR_NOPMP_MC-08"/>
    <x v="0"/>
    <x v="7"/>
    <n v="15.287300663378099"/>
    <n v="5579.8647421330097"/>
    <n v="20087.513071678801"/>
  </r>
  <r>
    <x v="0"/>
    <x v="0"/>
    <x v="0"/>
    <x v="9"/>
    <x v="20"/>
    <s v="SE4A"/>
    <x v="6"/>
    <x v="7"/>
    <s v="GNR_RES_WTR_NOPMP_MC-08"/>
    <x v="0"/>
    <x v="8"/>
    <n v="15.287300663378099"/>
    <n v="5579.8647421330097"/>
    <n v="20087.513071678801"/>
  </r>
  <r>
    <x v="0"/>
    <x v="0"/>
    <x v="0"/>
    <x v="9"/>
    <x v="20"/>
    <s v="SE4A"/>
    <x v="6"/>
    <x v="4"/>
    <s v="GNR_ROR_WTR"/>
    <x v="0"/>
    <x v="0"/>
    <n v="102.50081849851099"/>
    <n v="37412.798751956601"/>
    <n v="134686.07550704401"/>
  </r>
  <r>
    <x v="0"/>
    <x v="0"/>
    <x v="0"/>
    <x v="9"/>
    <x v="20"/>
    <s v="SE4A"/>
    <x v="6"/>
    <x v="4"/>
    <s v="GNR_ROR_WTR"/>
    <x v="0"/>
    <x v="1"/>
    <n v="102.50081849851099"/>
    <n v="37412.798751956601"/>
    <n v="134686.07550704401"/>
  </r>
  <r>
    <x v="0"/>
    <x v="0"/>
    <x v="0"/>
    <x v="9"/>
    <x v="20"/>
    <s v="SE4A"/>
    <x v="6"/>
    <x v="4"/>
    <s v="GNR_ROR_WTR"/>
    <x v="0"/>
    <x v="18"/>
    <n v="102.50081849851099"/>
    <n v="37412.798751956601"/>
    <n v="134686.07550704401"/>
  </r>
  <r>
    <x v="0"/>
    <x v="0"/>
    <x v="0"/>
    <x v="9"/>
    <x v="20"/>
    <s v="SE4A"/>
    <x v="6"/>
    <x v="4"/>
    <s v="GNR_ROR_WTR"/>
    <x v="0"/>
    <x v="2"/>
    <n v="102.50081849851099"/>
    <n v="37412.798751956601"/>
    <n v="134686.07550704401"/>
  </r>
  <r>
    <x v="0"/>
    <x v="0"/>
    <x v="0"/>
    <x v="9"/>
    <x v="20"/>
    <s v="SE4A"/>
    <x v="6"/>
    <x v="4"/>
    <s v="GNR_ROR_WTR"/>
    <x v="0"/>
    <x v="3"/>
    <n v="102.50081849851099"/>
    <n v="37412.798751956601"/>
    <n v="134686.07550704401"/>
  </r>
  <r>
    <x v="0"/>
    <x v="0"/>
    <x v="0"/>
    <x v="9"/>
    <x v="20"/>
    <s v="SE4A"/>
    <x v="6"/>
    <x v="4"/>
    <s v="GNR_ROR_WTR"/>
    <x v="0"/>
    <x v="4"/>
    <n v="102.50081849851099"/>
    <n v="37412.798751956601"/>
    <n v="134686.07550704401"/>
  </r>
  <r>
    <x v="0"/>
    <x v="0"/>
    <x v="0"/>
    <x v="9"/>
    <x v="20"/>
    <s v="SE4A"/>
    <x v="6"/>
    <x v="4"/>
    <s v="GNR_ROR_WTR"/>
    <x v="0"/>
    <x v="5"/>
    <n v="102.50081849851099"/>
    <n v="37412.798751956601"/>
    <n v="134686.07550704401"/>
  </r>
  <r>
    <x v="0"/>
    <x v="0"/>
    <x v="0"/>
    <x v="9"/>
    <x v="20"/>
    <s v="SE4A"/>
    <x v="6"/>
    <x v="4"/>
    <s v="GNR_ROR_WTR"/>
    <x v="0"/>
    <x v="6"/>
    <n v="102.50081849851099"/>
    <n v="37412.798751956601"/>
    <n v="134686.07550704401"/>
  </r>
  <r>
    <x v="0"/>
    <x v="0"/>
    <x v="0"/>
    <x v="9"/>
    <x v="20"/>
    <s v="SE4A"/>
    <x v="6"/>
    <x v="4"/>
    <s v="GNR_ROR_WTR"/>
    <x v="0"/>
    <x v="7"/>
    <n v="102.50081849851099"/>
    <n v="37412.798751956601"/>
    <n v="134686.07550704401"/>
  </r>
  <r>
    <x v="0"/>
    <x v="0"/>
    <x v="0"/>
    <x v="9"/>
    <x v="20"/>
    <s v="SE4A"/>
    <x v="6"/>
    <x v="4"/>
    <s v="GNR_ROR_WTR"/>
    <x v="0"/>
    <x v="8"/>
    <n v="102.50081849851099"/>
    <n v="37412.798751956601"/>
    <n v="134686.07550704401"/>
  </r>
  <r>
    <x v="0"/>
    <x v="0"/>
    <x v="0"/>
    <x v="9"/>
    <x v="20"/>
    <s v="SE4A"/>
    <x v="6"/>
    <x v="4"/>
    <s v="GNR_ROR_WTR"/>
    <x v="0"/>
    <x v="9"/>
    <n v="102.50081849851099"/>
    <n v="37412.798751956601"/>
    <n v="134686.07550704401"/>
  </r>
  <r>
    <x v="0"/>
    <x v="0"/>
    <x v="0"/>
    <x v="9"/>
    <x v="20"/>
    <s v="SE4A"/>
    <x v="6"/>
    <x v="4"/>
    <s v="GNR_ROR_WTR"/>
    <x v="0"/>
    <x v="10"/>
    <n v="102.50081849851099"/>
    <n v="37412.798751956601"/>
    <n v="134686.07550704401"/>
  </r>
  <r>
    <x v="0"/>
    <x v="0"/>
    <x v="0"/>
    <x v="9"/>
    <x v="20"/>
    <s v="SE4A"/>
    <x v="6"/>
    <x v="4"/>
    <s v="GNR_ROR_WTR"/>
    <x v="0"/>
    <x v="11"/>
    <n v="102.50081849851099"/>
    <n v="37412.798751956601"/>
    <n v="134686.07550704401"/>
  </r>
  <r>
    <x v="0"/>
    <x v="0"/>
    <x v="0"/>
    <x v="9"/>
    <x v="20"/>
    <s v="SE4A"/>
    <x v="6"/>
    <x v="4"/>
    <s v="GNR_ROR_WTR"/>
    <x v="0"/>
    <x v="12"/>
    <n v="102.50081849851099"/>
    <n v="37412.798751956601"/>
    <n v="134686.07550704401"/>
  </r>
  <r>
    <x v="0"/>
    <x v="0"/>
    <x v="0"/>
    <x v="9"/>
    <x v="20"/>
    <s v="SE4A"/>
    <x v="6"/>
    <x v="4"/>
    <s v="GNR_ROR_WTR"/>
    <x v="0"/>
    <x v="13"/>
    <n v="102.50081849851099"/>
    <n v="37412.798751956601"/>
    <n v="134686.07550704401"/>
  </r>
  <r>
    <x v="0"/>
    <x v="0"/>
    <x v="0"/>
    <x v="9"/>
    <x v="20"/>
    <s v="SE4A"/>
    <x v="6"/>
    <x v="4"/>
    <s v="GNR_ROR_WTR"/>
    <x v="0"/>
    <x v="14"/>
    <n v="102.50081849851099"/>
    <n v="37412.798751956601"/>
    <n v="134686.07550704401"/>
  </r>
  <r>
    <x v="0"/>
    <x v="0"/>
    <x v="0"/>
    <x v="9"/>
    <x v="20"/>
    <s v="SE4A"/>
    <x v="6"/>
    <x v="4"/>
    <s v="GNR_ROR_WTR"/>
    <x v="0"/>
    <x v="15"/>
    <n v="102.50081849851099"/>
    <n v="37412.798751956601"/>
    <n v="134686.07550704401"/>
  </r>
  <r>
    <x v="0"/>
    <x v="0"/>
    <x v="0"/>
    <x v="9"/>
    <x v="20"/>
    <s v="SE4A"/>
    <x v="6"/>
    <x v="4"/>
    <s v="GNR_ROR_WTR"/>
    <x v="0"/>
    <x v="16"/>
    <n v="102.50081849851099"/>
    <n v="37412.798751956601"/>
    <n v="134686.07550704401"/>
  </r>
  <r>
    <x v="0"/>
    <x v="0"/>
    <x v="0"/>
    <x v="9"/>
    <x v="20"/>
    <s v="SE4A"/>
    <x v="6"/>
    <x v="4"/>
    <s v="GNR_ROR_WTR"/>
    <x v="0"/>
    <x v="17"/>
    <n v="102.50081849851099"/>
    <n v="37412.798751956601"/>
    <n v="134686.07550704401"/>
  </r>
  <r>
    <x v="0"/>
    <x v="0"/>
    <x v="0"/>
    <x v="9"/>
    <x v="20"/>
    <s v="SE4A"/>
    <x v="6"/>
    <x v="4"/>
    <s v="GNR_ROR_WTR"/>
    <x v="0"/>
    <x v="19"/>
    <n v="102.50081849851099"/>
    <n v="37412.798751956601"/>
    <n v="134686.07550704401"/>
  </r>
  <r>
    <x v="0"/>
    <x v="0"/>
    <x v="0"/>
    <x v="9"/>
    <x v="20"/>
    <s v="SE4A"/>
    <x v="6"/>
    <x v="4"/>
    <s v="GNR_ROR_WTR"/>
    <x v="0"/>
    <x v="20"/>
    <n v="102.50081849851099"/>
    <n v="37412.798751956601"/>
    <n v="134686.07550704401"/>
  </r>
  <r>
    <x v="0"/>
    <x v="0"/>
    <x v="0"/>
    <x v="9"/>
    <x v="20"/>
    <s v="SE4A"/>
    <x v="6"/>
    <x v="4"/>
    <s v="GNR_ROR_WTR"/>
    <x v="0"/>
    <x v="21"/>
    <n v="102.50081849851099"/>
    <n v="37412.798751956601"/>
    <n v="134686.07550704401"/>
  </r>
  <r>
    <x v="0"/>
    <x v="0"/>
    <x v="0"/>
    <x v="9"/>
    <x v="20"/>
    <s v="SE4A"/>
    <x v="6"/>
    <x v="4"/>
    <s v="GNR_ROR_WTR"/>
    <x v="0"/>
    <x v="22"/>
    <n v="102.50081849851099"/>
    <n v="37412.798751956601"/>
    <n v="134686.07550704401"/>
  </r>
  <r>
    <x v="0"/>
    <x v="0"/>
    <x v="0"/>
    <x v="9"/>
    <x v="20"/>
    <s v="SE4A"/>
    <x v="6"/>
    <x v="4"/>
    <s v="GNR_ROR_WTR"/>
    <x v="0"/>
    <x v="23"/>
    <n v="102.50081849851099"/>
    <n v="37412.798751956601"/>
    <n v="134686.07550704401"/>
  </r>
  <r>
    <x v="0"/>
    <x v="0"/>
    <x v="0"/>
    <x v="9"/>
    <x v="20"/>
    <s v="SE4A"/>
    <x v="7"/>
    <x v="5"/>
    <s v="GNR_WT_WIND_ONS"/>
    <x v="0"/>
    <x v="0"/>
    <n v="210.00501244287699"/>
    <n v="76651.829541650193"/>
    <n v="275946.58634994098"/>
  </r>
  <r>
    <x v="0"/>
    <x v="0"/>
    <x v="0"/>
    <x v="9"/>
    <x v="20"/>
    <s v="SE4A"/>
    <x v="7"/>
    <x v="5"/>
    <s v="GNR_WT_WIND_ONS"/>
    <x v="0"/>
    <x v="1"/>
    <n v="199.311168280972"/>
    <n v="72748.576422554805"/>
    <n v="261894.87512119699"/>
  </r>
  <r>
    <x v="0"/>
    <x v="0"/>
    <x v="0"/>
    <x v="9"/>
    <x v="20"/>
    <s v="SE4A"/>
    <x v="7"/>
    <x v="5"/>
    <s v="GNR_WT_WIND_ONS"/>
    <x v="0"/>
    <x v="18"/>
    <n v="189.13801045626099"/>
    <n v="69035.373816535197"/>
    <n v="248527.34573952699"/>
  </r>
  <r>
    <x v="0"/>
    <x v="0"/>
    <x v="0"/>
    <x v="9"/>
    <x v="20"/>
    <s v="SE4A"/>
    <x v="7"/>
    <x v="5"/>
    <s v="GNR_WT_WIND_ONS"/>
    <x v="0"/>
    <x v="2"/>
    <n v="179.12441692860301"/>
    <n v="65380.412178940198"/>
    <n v="235369.48384418499"/>
  </r>
  <r>
    <x v="0"/>
    <x v="0"/>
    <x v="0"/>
    <x v="9"/>
    <x v="20"/>
    <s v="SE4A"/>
    <x v="7"/>
    <x v="5"/>
    <s v="GNR_WT_WIND_ONS"/>
    <x v="0"/>
    <x v="3"/>
    <n v="147.713738355864"/>
    <n v="53915.514499890203"/>
    <n v="194095.852199605"/>
  </r>
  <r>
    <x v="0"/>
    <x v="0"/>
    <x v="0"/>
    <x v="9"/>
    <x v="20"/>
    <s v="SE4A"/>
    <x v="7"/>
    <x v="5"/>
    <s v="GNR_WT_WIND_ONS"/>
    <x v="0"/>
    <x v="4"/>
    <n v="136.203412954111"/>
    <n v="49714.245728250498"/>
    <n v="178971.28462170201"/>
  </r>
  <r>
    <x v="0"/>
    <x v="0"/>
    <x v="0"/>
    <x v="9"/>
    <x v="20"/>
    <s v="SE4A"/>
    <x v="7"/>
    <x v="5"/>
    <s v="GNR_WT_WIND_ONS"/>
    <x v="0"/>
    <x v="5"/>
    <n v="112.8691610396"/>
    <n v="41197.2437794539"/>
    <n v="148310.077606034"/>
  </r>
  <r>
    <x v="0"/>
    <x v="0"/>
    <x v="0"/>
    <x v="9"/>
    <x v="20"/>
    <s v="SE4A"/>
    <x v="7"/>
    <x v="5"/>
    <s v="GNR_WT_WIND_ONS"/>
    <x v="0"/>
    <x v="6"/>
    <n v="80.358898968112399"/>
    <n v="29330.998123361001"/>
    <n v="105591.5932441"/>
  </r>
  <r>
    <x v="0"/>
    <x v="0"/>
    <x v="0"/>
    <x v="9"/>
    <x v="20"/>
    <s v="SE4A"/>
    <x v="7"/>
    <x v="5"/>
    <s v="GNR_WT_WIND_ONS"/>
    <x v="0"/>
    <x v="7"/>
    <n v="64.708133936406199"/>
    <n v="23618.468886788301"/>
    <n v="85026.487992437804"/>
  </r>
  <r>
    <x v="0"/>
    <x v="0"/>
    <x v="0"/>
    <x v="9"/>
    <x v="20"/>
    <s v="SE4A"/>
    <x v="7"/>
    <x v="5"/>
    <s v="GNR_WT_WIND_ONS"/>
    <x v="0"/>
    <x v="8"/>
    <n v="68.032344276904695"/>
    <n v="24831.805661070201"/>
    <n v="89394.500379852805"/>
  </r>
  <r>
    <x v="0"/>
    <x v="0"/>
    <x v="0"/>
    <x v="9"/>
    <x v="20"/>
    <s v="SE4A"/>
    <x v="7"/>
    <x v="5"/>
    <s v="GNR_WT_WIND_ONS"/>
    <x v="0"/>
    <x v="9"/>
    <n v="63.623292106542898"/>
    <n v="23222.501618888102"/>
    <n v="83601.005827997302"/>
  </r>
  <r>
    <x v="0"/>
    <x v="0"/>
    <x v="0"/>
    <x v="9"/>
    <x v="20"/>
    <s v="SE4A"/>
    <x v="7"/>
    <x v="5"/>
    <s v="GNR_WT_WIND_ONS"/>
    <x v="0"/>
    <x v="10"/>
    <n v="66.379611404164706"/>
    <n v="24228.558162520101"/>
    <n v="87222.809385072396"/>
  </r>
  <r>
    <x v="0"/>
    <x v="0"/>
    <x v="0"/>
    <x v="9"/>
    <x v="20"/>
    <s v="SE4A"/>
    <x v="7"/>
    <x v="5"/>
    <s v="GNR_WT_WIND_ONS"/>
    <x v="0"/>
    <x v="11"/>
    <n v="74.687189692910806"/>
    <n v="27260.824237912399"/>
    <n v="98138.967256484801"/>
  </r>
  <r>
    <x v="0"/>
    <x v="0"/>
    <x v="0"/>
    <x v="9"/>
    <x v="20"/>
    <s v="SE4A"/>
    <x v="7"/>
    <x v="5"/>
    <s v="GNR_WT_WIND_ONS"/>
    <x v="0"/>
    <x v="12"/>
    <n v="87.505343305589193"/>
    <n v="31939.450306539999"/>
    <n v="114982.021103544"/>
  </r>
  <r>
    <x v="0"/>
    <x v="0"/>
    <x v="0"/>
    <x v="9"/>
    <x v="20"/>
    <s v="SE4A"/>
    <x v="7"/>
    <x v="5"/>
    <s v="GNR_WT_WIND_ONS"/>
    <x v="0"/>
    <x v="13"/>
    <n v="135.468231992451"/>
    <n v="49445.904677244704"/>
    <n v="178005.256838081"/>
  </r>
  <r>
    <x v="0"/>
    <x v="0"/>
    <x v="0"/>
    <x v="9"/>
    <x v="20"/>
    <s v="SE4A"/>
    <x v="7"/>
    <x v="5"/>
    <s v="GNR_WT_WIND_ONS"/>
    <x v="0"/>
    <x v="14"/>
    <n v="209.91291686164701"/>
    <n v="76618.214654501193"/>
    <n v="275825.572756204"/>
  </r>
  <r>
    <x v="0"/>
    <x v="0"/>
    <x v="0"/>
    <x v="9"/>
    <x v="20"/>
    <s v="SE4A"/>
    <x v="7"/>
    <x v="5"/>
    <s v="GNR_WT_WIND_ONS"/>
    <x v="0"/>
    <x v="15"/>
    <n v="322.23606026591602"/>
    <n v="117616.161997059"/>
    <n v="423418.18318941299"/>
  </r>
  <r>
    <x v="0"/>
    <x v="0"/>
    <x v="0"/>
    <x v="9"/>
    <x v="20"/>
    <s v="SE4A"/>
    <x v="7"/>
    <x v="5"/>
    <s v="GNR_WT_WIND_ONS"/>
    <x v="0"/>
    <x v="16"/>
    <n v="519.72459112731201"/>
    <n v="189699.47576146899"/>
    <n v="682918.11274128803"/>
  </r>
  <r>
    <x v="0"/>
    <x v="0"/>
    <x v="0"/>
    <x v="9"/>
    <x v="20"/>
    <s v="SE4A"/>
    <x v="7"/>
    <x v="5"/>
    <s v="GNR_WT_WIND_ONS"/>
    <x v="0"/>
    <x v="17"/>
    <n v="759.10603981563395"/>
    <n v="277073.704532706"/>
    <n v="997465.33631774294"/>
  </r>
  <r>
    <x v="0"/>
    <x v="0"/>
    <x v="0"/>
    <x v="9"/>
    <x v="20"/>
    <s v="SE4A"/>
    <x v="7"/>
    <x v="5"/>
    <s v="GNR_WT_WIND_ONS"/>
    <x v="0"/>
    <x v="19"/>
    <n v="845.481321337748"/>
    <n v="308600.68228827801"/>
    <n v="1110962.4562378"/>
  </r>
  <r>
    <x v="0"/>
    <x v="0"/>
    <x v="0"/>
    <x v="9"/>
    <x v="20"/>
    <s v="SE4A"/>
    <x v="7"/>
    <x v="5"/>
    <s v="GNR_WT_WIND_ONS"/>
    <x v="0"/>
    <x v="20"/>
    <n v="785.97916637598598"/>
    <n v="286882.39572723501"/>
    <n v="1032776.6246180499"/>
  </r>
  <r>
    <x v="0"/>
    <x v="0"/>
    <x v="0"/>
    <x v="9"/>
    <x v="20"/>
    <s v="SE4A"/>
    <x v="7"/>
    <x v="5"/>
    <s v="GNR_WT_WIND_ONS"/>
    <x v="0"/>
    <x v="21"/>
    <n v="745.56027660768302"/>
    <n v="272129.50096180401"/>
    <n v="979666.203462495"/>
  </r>
  <r>
    <x v="0"/>
    <x v="0"/>
    <x v="0"/>
    <x v="9"/>
    <x v="20"/>
    <s v="SE4A"/>
    <x v="7"/>
    <x v="5"/>
    <s v="GNR_WT_WIND_ONS"/>
    <x v="0"/>
    <x v="22"/>
    <n v="866.13156628821105"/>
    <n v="316138.02169519698"/>
    <n v="1138096.87810271"/>
  </r>
  <r>
    <x v="0"/>
    <x v="0"/>
    <x v="0"/>
    <x v="9"/>
    <x v="20"/>
    <s v="SE4A"/>
    <x v="7"/>
    <x v="5"/>
    <s v="GNR_WT_WIND_ONS"/>
    <x v="0"/>
    <x v="23"/>
    <n v="1053.33461572644"/>
    <n v="384467.13474015001"/>
    <n v="1384081.68506454"/>
  </r>
  <r>
    <x v="0"/>
    <x v="0"/>
    <x v="0"/>
    <x v="9"/>
    <x v="20"/>
    <s v="SE4_EL"/>
    <x v="1"/>
    <x v="1"/>
    <s v="GETOH_HEATPUMP1"/>
    <x v="0"/>
    <x v="3"/>
    <n v="-1.0605760543104501"/>
    <n v="-387.110259823315"/>
    <n v="-1393.59693536394"/>
  </r>
  <r>
    <x v="0"/>
    <x v="0"/>
    <x v="0"/>
    <x v="9"/>
    <x v="20"/>
    <s v="SE4_EL"/>
    <x v="1"/>
    <x v="1"/>
    <s v="GETOH_HEATPUMP1"/>
    <x v="0"/>
    <x v="4"/>
    <n v="-2.2247793713108801"/>
    <n v="-812.04447052846899"/>
    <n v="-2923.36009390249"/>
  </r>
  <r>
    <x v="0"/>
    <x v="0"/>
    <x v="0"/>
    <x v="9"/>
    <x v="20"/>
    <s v="SE4_EL"/>
    <x v="1"/>
    <x v="1"/>
    <s v="GETOH_HEATPUMP1"/>
    <x v="0"/>
    <x v="5"/>
    <n v="-9.5271244298021909"/>
    <n v="-3477.4004168778001"/>
    <n v="-12518.641500760101"/>
  </r>
  <r>
    <x v="0"/>
    <x v="0"/>
    <x v="0"/>
    <x v="9"/>
    <x v="20"/>
    <s v="SE4_EL"/>
    <x v="1"/>
    <x v="1"/>
    <s v="GETOH_HEATPUMP1"/>
    <x v="0"/>
    <x v="6"/>
    <n v="-12.2656513443502"/>
    <n v="-4476.9627406878299"/>
    <n v="-16117.0658664762"/>
  </r>
  <r>
    <x v="0"/>
    <x v="0"/>
    <x v="0"/>
    <x v="9"/>
    <x v="20"/>
    <s v="SE4_EL"/>
    <x v="1"/>
    <x v="1"/>
    <s v="GETOH_HEATPUMP1"/>
    <x v="0"/>
    <x v="7"/>
    <n v="-12.0781677742279"/>
    <n v="-4408.5312375931699"/>
    <n v="-15870.712455335401"/>
  </r>
  <r>
    <x v="0"/>
    <x v="0"/>
    <x v="0"/>
    <x v="9"/>
    <x v="20"/>
    <s v="SE4_EL"/>
    <x v="1"/>
    <x v="1"/>
    <s v="GETOH_HEATPUMP1"/>
    <x v="0"/>
    <x v="8"/>
    <n v="-10.432606377166101"/>
    <n v="-3807.9013276656301"/>
    <n v="-13708.444779596301"/>
  </r>
  <r>
    <x v="0"/>
    <x v="0"/>
    <x v="0"/>
    <x v="9"/>
    <x v="20"/>
    <s v="SE4_EL"/>
    <x v="1"/>
    <x v="1"/>
    <s v="GETOH_HEATPUMP1"/>
    <x v="0"/>
    <x v="9"/>
    <n v="-9.5624669842525591"/>
    <n v="-3490.30044925219"/>
    <n v="-12565.0816173079"/>
  </r>
  <r>
    <x v="0"/>
    <x v="0"/>
    <x v="0"/>
    <x v="9"/>
    <x v="20"/>
    <s v="SE4_EL"/>
    <x v="1"/>
    <x v="1"/>
    <s v="GETOH_HEATPUMP1"/>
    <x v="0"/>
    <x v="10"/>
    <n v="-7.51579879585932"/>
    <n v="-2743.2665604886502"/>
    <n v="-9875.7596177591495"/>
  </r>
  <r>
    <x v="0"/>
    <x v="0"/>
    <x v="0"/>
    <x v="9"/>
    <x v="20"/>
    <s v="SE4_EL"/>
    <x v="1"/>
    <x v="1"/>
    <s v="GETOH_HEATPUMP1"/>
    <x v="0"/>
    <x v="11"/>
    <n v="-5.9906380572911599"/>
    <n v="-2186.5828909112702"/>
    <n v="-7871.6984072805899"/>
  </r>
  <r>
    <x v="0"/>
    <x v="0"/>
    <x v="0"/>
    <x v="9"/>
    <x v="20"/>
    <s v="SE4_EL"/>
    <x v="1"/>
    <x v="1"/>
    <s v="GETOH_HEATPUMP1"/>
    <x v="0"/>
    <x v="12"/>
    <n v="-5.2094470154391201"/>
    <n v="-1901.4481606352799"/>
    <n v="-6845.2133782869996"/>
  </r>
  <r>
    <x v="0"/>
    <x v="0"/>
    <x v="0"/>
    <x v="9"/>
    <x v="20"/>
    <s v="SE4_EL"/>
    <x v="1"/>
    <x v="1"/>
    <s v="GETOH_HEATPUMP1"/>
    <x v="0"/>
    <x v="13"/>
    <n v="-4.6700697591893103"/>
    <n v="-1704.5754621041001"/>
    <n v="-6136.47166357476"/>
  </r>
  <r>
    <x v="0"/>
    <x v="0"/>
    <x v="0"/>
    <x v="9"/>
    <x v="20"/>
    <s v="SE4_EL"/>
    <x v="1"/>
    <x v="1"/>
    <s v="GETOH_HEATPUMP1"/>
    <x v="0"/>
    <x v="14"/>
    <n v="-4.6713596576046204"/>
    <n v="-1705.04627502569"/>
    <n v="-6138.16659009247"/>
  </r>
  <r>
    <x v="0"/>
    <x v="0"/>
    <x v="0"/>
    <x v="9"/>
    <x v="20"/>
    <s v="SE4_EL"/>
    <x v="1"/>
    <x v="1"/>
    <s v="GETOH_HEATPUMP1"/>
    <x v="0"/>
    <x v="15"/>
    <n v="-3.6144646173075099"/>
    <n v="-1319.2795853172399"/>
    <n v="-4749.40650714207"/>
  </r>
  <r>
    <x v="0"/>
    <x v="0"/>
    <x v="0"/>
    <x v="9"/>
    <x v="20"/>
    <s v="SE4_EL"/>
    <x v="1"/>
    <x v="1"/>
    <s v="GETOH_HEATPUMP1"/>
    <x v="0"/>
    <x v="16"/>
    <n v="-1.97294407727636"/>
    <n v="-720.12458820587005"/>
    <n v="-2592.4485175411301"/>
  </r>
  <r>
    <x v="0"/>
    <x v="0"/>
    <x v="0"/>
    <x v="9"/>
    <x v="20"/>
    <s v="SE4_EL"/>
    <x v="1"/>
    <x v="1"/>
    <s v="GETOH_HEATPUMP1"/>
    <x v="0"/>
    <x v="17"/>
    <n v="-0.904992334768289"/>
    <n v="-330.32220219042603"/>
    <n v="-1189.1599278855299"/>
  </r>
  <r>
    <x v="0"/>
    <x v="0"/>
    <x v="0"/>
    <x v="9"/>
    <x v="20"/>
    <s v="SE4_EL"/>
    <x v="18"/>
    <x v="2"/>
    <s v="GBPR_RECYCLEDWOOD"/>
    <x v="0"/>
    <x v="0"/>
    <n v="20.425824462146199"/>
    <n v="7455.4259286833503"/>
    <n v="26839.5333432601"/>
  </r>
  <r>
    <x v="0"/>
    <x v="0"/>
    <x v="0"/>
    <x v="9"/>
    <x v="20"/>
    <s v="SE4_EL"/>
    <x v="18"/>
    <x v="2"/>
    <s v="GBPR_RECYCLEDWOOD"/>
    <x v="0"/>
    <x v="1"/>
    <n v="20.373384704950301"/>
    <n v="7436.2854173068499"/>
    <n v="26770.627502304698"/>
  </r>
  <r>
    <x v="0"/>
    <x v="0"/>
    <x v="0"/>
    <x v="9"/>
    <x v="20"/>
    <s v="SE4_EL"/>
    <x v="18"/>
    <x v="2"/>
    <s v="GBPR_RECYCLEDWOOD"/>
    <x v="0"/>
    <x v="18"/>
    <n v="20.836846364708698"/>
    <n v="7605.4489231186699"/>
    <n v="27379.616123227199"/>
  </r>
  <r>
    <x v="0"/>
    <x v="0"/>
    <x v="0"/>
    <x v="9"/>
    <x v="20"/>
    <s v="SE4_EL"/>
    <x v="18"/>
    <x v="2"/>
    <s v="GBPR_RECYCLEDWOOD"/>
    <x v="0"/>
    <x v="2"/>
    <n v="22.2682139748655"/>
    <n v="8127.8981008259198"/>
    <n v="29260.433162973299"/>
  </r>
  <r>
    <x v="0"/>
    <x v="0"/>
    <x v="0"/>
    <x v="9"/>
    <x v="20"/>
    <s v="SE4_EL"/>
    <x v="18"/>
    <x v="2"/>
    <s v="GBPR_RECYCLEDWOOD"/>
    <x v="0"/>
    <x v="3"/>
    <n v="24.0457040261917"/>
    <n v="8776.6819695599697"/>
    <n v="31596.055090415899"/>
  </r>
  <r>
    <x v="0"/>
    <x v="0"/>
    <x v="0"/>
    <x v="9"/>
    <x v="20"/>
    <s v="SE4_EL"/>
    <x v="18"/>
    <x v="2"/>
    <s v="GBPR_RECYCLEDWOOD"/>
    <x v="0"/>
    <x v="4"/>
    <n v="24.0457040261917"/>
    <n v="8776.6819695599697"/>
    <n v="31596.055090415899"/>
  </r>
  <r>
    <x v="0"/>
    <x v="0"/>
    <x v="0"/>
    <x v="9"/>
    <x v="20"/>
    <s v="SE4_EL"/>
    <x v="18"/>
    <x v="2"/>
    <s v="GBPR_RECYCLEDWOOD"/>
    <x v="0"/>
    <x v="5"/>
    <n v="24.0457040261917"/>
    <n v="8776.6819695599697"/>
    <n v="31596.055090415899"/>
  </r>
  <r>
    <x v="0"/>
    <x v="0"/>
    <x v="0"/>
    <x v="9"/>
    <x v="20"/>
    <s v="SE4_EL"/>
    <x v="18"/>
    <x v="2"/>
    <s v="GBPR_RECYCLEDWOOD"/>
    <x v="0"/>
    <x v="6"/>
    <n v="24.0457040261917"/>
    <n v="8776.6819695599697"/>
    <n v="31596.055090415899"/>
  </r>
  <r>
    <x v="0"/>
    <x v="0"/>
    <x v="0"/>
    <x v="9"/>
    <x v="20"/>
    <s v="SE4_EL"/>
    <x v="18"/>
    <x v="2"/>
    <s v="GBPR_RECYCLEDWOOD"/>
    <x v="0"/>
    <x v="7"/>
    <n v="24.0457040261917"/>
    <n v="8776.6819695599697"/>
    <n v="31596.055090415899"/>
  </r>
  <r>
    <x v="0"/>
    <x v="0"/>
    <x v="0"/>
    <x v="9"/>
    <x v="20"/>
    <s v="SE4_EL"/>
    <x v="18"/>
    <x v="2"/>
    <s v="GBPR_RECYCLEDWOOD"/>
    <x v="0"/>
    <x v="8"/>
    <n v="24.0457040261917"/>
    <n v="8776.6819695599697"/>
    <n v="31596.055090415899"/>
  </r>
  <r>
    <x v="0"/>
    <x v="0"/>
    <x v="0"/>
    <x v="9"/>
    <x v="20"/>
    <s v="SE4_EL"/>
    <x v="18"/>
    <x v="2"/>
    <s v="GBPR_RECYCLEDWOOD"/>
    <x v="0"/>
    <x v="9"/>
    <n v="24.0457040261917"/>
    <n v="8776.6819695599697"/>
    <n v="31596.055090415899"/>
  </r>
  <r>
    <x v="0"/>
    <x v="0"/>
    <x v="0"/>
    <x v="9"/>
    <x v="20"/>
    <s v="SE4_EL"/>
    <x v="18"/>
    <x v="2"/>
    <s v="GBPR_RECYCLEDWOOD"/>
    <x v="0"/>
    <x v="10"/>
    <n v="24.0457040261917"/>
    <n v="8776.6819695599697"/>
    <n v="31596.055090415899"/>
  </r>
  <r>
    <x v="0"/>
    <x v="0"/>
    <x v="0"/>
    <x v="9"/>
    <x v="20"/>
    <s v="SE4_EL"/>
    <x v="18"/>
    <x v="2"/>
    <s v="GBPR_RECYCLEDWOOD"/>
    <x v="0"/>
    <x v="11"/>
    <n v="24.0457040261917"/>
    <n v="8776.6819695599697"/>
    <n v="31596.055090415899"/>
  </r>
  <r>
    <x v="0"/>
    <x v="0"/>
    <x v="0"/>
    <x v="9"/>
    <x v="20"/>
    <s v="SE4_EL"/>
    <x v="18"/>
    <x v="2"/>
    <s v="GBPR_RECYCLEDWOOD"/>
    <x v="0"/>
    <x v="12"/>
    <n v="24.0457040261917"/>
    <n v="8776.6819695599697"/>
    <n v="31596.055090415899"/>
  </r>
  <r>
    <x v="0"/>
    <x v="0"/>
    <x v="0"/>
    <x v="9"/>
    <x v="20"/>
    <s v="SE4_EL"/>
    <x v="18"/>
    <x v="2"/>
    <s v="GBPR_RECYCLEDWOOD"/>
    <x v="0"/>
    <x v="13"/>
    <n v="24.0457040261917"/>
    <n v="8776.6819695599697"/>
    <n v="31596.055090415899"/>
  </r>
  <r>
    <x v="0"/>
    <x v="0"/>
    <x v="0"/>
    <x v="9"/>
    <x v="20"/>
    <s v="SE4_EL"/>
    <x v="18"/>
    <x v="2"/>
    <s v="GBPR_RECYCLEDWOOD"/>
    <x v="0"/>
    <x v="14"/>
    <n v="24.0457040261917"/>
    <n v="8776.6819695599697"/>
    <n v="31596.055090415899"/>
  </r>
  <r>
    <x v="0"/>
    <x v="0"/>
    <x v="0"/>
    <x v="9"/>
    <x v="20"/>
    <s v="SE4_EL"/>
    <x v="18"/>
    <x v="2"/>
    <s v="GBPR_RECYCLEDWOOD"/>
    <x v="0"/>
    <x v="15"/>
    <n v="24.0457040261917"/>
    <n v="8776.6819695599697"/>
    <n v="31596.055090415899"/>
  </r>
  <r>
    <x v="0"/>
    <x v="0"/>
    <x v="0"/>
    <x v="9"/>
    <x v="20"/>
    <s v="SE4_EL"/>
    <x v="18"/>
    <x v="2"/>
    <s v="GBPR_RECYCLEDWOOD"/>
    <x v="0"/>
    <x v="16"/>
    <n v="24.0457040261917"/>
    <n v="8776.6819695599697"/>
    <n v="31596.055090415899"/>
  </r>
  <r>
    <x v="0"/>
    <x v="0"/>
    <x v="0"/>
    <x v="9"/>
    <x v="20"/>
    <s v="SE4_EL"/>
    <x v="18"/>
    <x v="2"/>
    <s v="GBPR_RECYCLEDWOOD"/>
    <x v="0"/>
    <x v="17"/>
    <n v="24.0457040261917"/>
    <n v="8776.6819695599697"/>
    <n v="31596.055090415899"/>
  </r>
  <r>
    <x v="0"/>
    <x v="0"/>
    <x v="0"/>
    <x v="9"/>
    <x v="20"/>
    <s v="SE4_EL"/>
    <x v="18"/>
    <x v="2"/>
    <s v="GBPR_RECYCLEDWOOD"/>
    <x v="0"/>
    <x v="19"/>
    <n v="24.0457040261917"/>
    <n v="8776.6819695599697"/>
    <n v="31596.055090415899"/>
  </r>
  <r>
    <x v="0"/>
    <x v="0"/>
    <x v="0"/>
    <x v="9"/>
    <x v="20"/>
    <s v="SE4_EL"/>
    <x v="18"/>
    <x v="2"/>
    <s v="GBPR_RECYCLEDWOOD"/>
    <x v="0"/>
    <x v="20"/>
    <n v="24.0457040261917"/>
    <n v="8776.6819695599697"/>
    <n v="31596.055090415899"/>
  </r>
  <r>
    <x v="0"/>
    <x v="0"/>
    <x v="0"/>
    <x v="9"/>
    <x v="20"/>
    <s v="SE4_EL"/>
    <x v="18"/>
    <x v="2"/>
    <s v="GBPR_RECYCLEDWOOD"/>
    <x v="0"/>
    <x v="21"/>
    <n v="21.972081427338601"/>
    <n v="8019.8097209786001"/>
    <n v="28871.314995523"/>
  </r>
  <r>
    <x v="0"/>
    <x v="0"/>
    <x v="0"/>
    <x v="9"/>
    <x v="20"/>
    <s v="SE4_EL"/>
    <x v="18"/>
    <x v="2"/>
    <s v="GBPR_RECYCLEDWOOD"/>
    <x v="0"/>
    <x v="22"/>
    <n v="19.420106061132898"/>
    <n v="7088.3387123134899"/>
    <n v="25518.0193643286"/>
  </r>
  <r>
    <x v="0"/>
    <x v="0"/>
    <x v="0"/>
    <x v="9"/>
    <x v="20"/>
    <s v="SE4_EL"/>
    <x v="18"/>
    <x v="2"/>
    <s v="GBPR_RECYCLEDWOOD"/>
    <x v="0"/>
    <x v="23"/>
    <n v="14.6885519983972"/>
    <n v="5361.3214794149699"/>
    <n v="19300.757325893901"/>
  </r>
  <r>
    <x v="0"/>
    <x v="0"/>
    <x v="0"/>
    <x v="9"/>
    <x v="20"/>
    <s v="SE4_EL"/>
    <x v="18"/>
    <x v="2"/>
    <s v="GBPR_RECYCLEDWOOD_SE4EL"/>
    <x v="0"/>
    <x v="4"/>
    <n v="2.4982549637601799"/>
    <n v="911.86306177246399"/>
    <n v="3282.7070223808701"/>
  </r>
  <r>
    <x v="0"/>
    <x v="0"/>
    <x v="0"/>
    <x v="9"/>
    <x v="20"/>
    <s v="SE4_EL"/>
    <x v="18"/>
    <x v="2"/>
    <s v="GBPR_RECYCLEDWOOD_SE4EL"/>
    <x v="0"/>
    <x v="5"/>
    <n v="2.4982549637601799"/>
    <n v="911.86306177246399"/>
    <n v="3282.7070223808701"/>
  </r>
  <r>
    <x v="0"/>
    <x v="0"/>
    <x v="0"/>
    <x v="9"/>
    <x v="20"/>
    <s v="SE4_EL"/>
    <x v="18"/>
    <x v="2"/>
    <s v="GBPR_RECYCLEDWOOD_SE4EL"/>
    <x v="0"/>
    <x v="6"/>
    <n v="2.4982549637601799"/>
    <n v="911.86306177246399"/>
    <n v="3282.7070223808701"/>
  </r>
  <r>
    <x v="0"/>
    <x v="0"/>
    <x v="0"/>
    <x v="9"/>
    <x v="20"/>
    <s v="SE4_EL"/>
    <x v="18"/>
    <x v="2"/>
    <s v="GBPR_RECYCLEDWOOD_SE4EL"/>
    <x v="0"/>
    <x v="7"/>
    <n v="2.4982549637601799"/>
    <n v="911.86306177246399"/>
    <n v="3282.7070223808701"/>
  </r>
  <r>
    <x v="0"/>
    <x v="0"/>
    <x v="0"/>
    <x v="9"/>
    <x v="20"/>
    <s v="SE4_EL"/>
    <x v="18"/>
    <x v="2"/>
    <s v="GBPR_RECYCLEDWOOD_SE4EL"/>
    <x v="0"/>
    <x v="8"/>
    <n v="2.4982549637601799"/>
    <n v="911.86306177246399"/>
    <n v="3282.7070223808701"/>
  </r>
  <r>
    <x v="0"/>
    <x v="0"/>
    <x v="0"/>
    <x v="9"/>
    <x v="20"/>
    <s v="SE4_EL"/>
    <x v="18"/>
    <x v="2"/>
    <s v="GBPR_RECYCLEDWOOD_SE4EL"/>
    <x v="0"/>
    <x v="9"/>
    <n v="2.4982549637601799"/>
    <n v="911.86306177246399"/>
    <n v="3282.7070223808701"/>
  </r>
  <r>
    <x v="0"/>
    <x v="0"/>
    <x v="0"/>
    <x v="9"/>
    <x v="20"/>
    <s v="SE4_EL"/>
    <x v="18"/>
    <x v="2"/>
    <s v="GBPR_RECYCLEDWOOD_SE4EL"/>
    <x v="0"/>
    <x v="10"/>
    <n v="2.4982549637601799"/>
    <n v="911.86306177246399"/>
    <n v="3282.7070223808701"/>
  </r>
  <r>
    <x v="0"/>
    <x v="0"/>
    <x v="0"/>
    <x v="9"/>
    <x v="20"/>
    <s v="SE4_EL"/>
    <x v="18"/>
    <x v="2"/>
    <s v="GBPR_RECYCLEDWOOD_SE4EL"/>
    <x v="0"/>
    <x v="11"/>
    <n v="2.4982549637601799"/>
    <n v="911.86306177246399"/>
    <n v="3282.7070223808701"/>
  </r>
  <r>
    <x v="0"/>
    <x v="0"/>
    <x v="0"/>
    <x v="9"/>
    <x v="20"/>
    <s v="SE4_EL"/>
    <x v="18"/>
    <x v="2"/>
    <s v="GBPR_RECYCLEDWOOD_SE4EL"/>
    <x v="0"/>
    <x v="12"/>
    <n v="2.4982549637601799"/>
    <n v="911.86306177246399"/>
    <n v="3282.7070223808701"/>
  </r>
  <r>
    <x v="0"/>
    <x v="0"/>
    <x v="0"/>
    <x v="9"/>
    <x v="20"/>
    <s v="SE4_EL"/>
    <x v="18"/>
    <x v="2"/>
    <s v="GBPR_RECYCLEDWOOD_SE4EL"/>
    <x v="0"/>
    <x v="13"/>
    <n v="2.4982549637601799"/>
    <n v="911.86306177246399"/>
    <n v="3282.7070223808701"/>
  </r>
  <r>
    <x v="0"/>
    <x v="0"/>
    <x v="0"/>
    <x v="9"/>
    <x v="20"/>
    <s v="SE4_EL"/>
    <x v="18"/>
    <x v="2"/>
    <s v="GBPR_RECYCLEDWOOD_SE4EL"/>
    <x v="0"/>
    <x v="14"/>
    <n v="2.4982549637601799"/>
    <n v="911.86306177246399"/>
    <n v="3282.7070223808701"/>
  </r>
  <r>
    <x v="0"/>
    <x v="0"/>
    <x v="0"/>
    <x v="9"/>
    <x v="20"/>
    <s v="SE4_EL"/>
    <x v="18"/>
    <x v="2"/>
    <s v="GBPR_RECYCLEDWOOD_SE4EL"/>
    <x v="0"/>
    <x v="15"/>
    <n v="2.4982549637601799"/>
    <n v="911.86306177246399"/>
    <n v="3282.7070223808701"/>
  </r>
  <r>
    <x v="0"/>
    <x v="0"/>
    <x v="0"/>
    <x v="9"/>
    <x v="20"/>
    <s v="SE4_EL"/>
    <x v="18"/>
    <x v="2"/>
    <s v="GBPR_RECYCLEDWOOD_SE4EL"/>
    <x v="0"/>
    <x v="16"/>
    <n v="2.4982549637601799"/>
    <n v="911.86306177246399"/>
    <n v="3282.7070223808701"/>
  </r>
  <r>
    <x v="0"/>
    <x v="0"/>
    <x v="0"/>
    <x v="9"/>
    <x v="20"/>
    <s v="SE4_EL"/>
    <x v="18"/>
    <x v="2"/>
    <s v="GBPR_RECYCLEDWOOD_SE4EL"/>
    <x v="0"/>
    <x v="17"/>
    <n v="2.4982549637601799"/>
    <n v="911.86306177246399"/>
    <n v="3282.7070223808701"/>
  </r>
  <r>
    <x v="0"/>
    <x v="0"/>
    <x v="0"/>
    <x v="9"/>
    <x v="20"/>
    <s v="SE4_EL"/>
    <x v="18"/>
    <x v="2"/>
    <s v="GBPR_RECYCLEDWOOD_SE4EL"/>
    <x v="0"/>
    <x v="19"/>
    <n v="2.01588365632779"/>
    <n v="735.79753455964203"/>
    <n v="2648.8711244147098"/>
  </r>
  <r>
    <x v="0"/>
    <x v="0"/>
    <x v="0"/>
    <x v="9"/>
    <x v="20"/>
    <s v="SE4_EL"/>
    <x v="18"/>
    <x v="2"/>
    <s v="GBPR_RECYCLEDWOOD_SE4EL"/>
    <x v="0"/>
    <x v="20"/>
    <n v="0.26989649105679903"/>
    <n v="98.512219235731493"/>
    <n v="354.64398924863298"/>
  </r>
  <r>
    <x v="0"/>
    <x v="0"/>
    <x v="0"/>
    <x v="9"/>
    <x v="20"/>
    <s v="SE4_HP"/>
    <x v="1"/>
    <x v="1"/>
    <s v="GETOH_HEATPUMP1"/>
    <x v="0"/>
    <x v="0"/>
    <n v="-8.1419354838709701"/>
    <n v="-2971.8064516129002"/>
    <n v="-10698.5032258065"/>
  </r>
  <r>
    <x v="0"/>
    <x v="0"/>
    <x v="0"/>
    <x v="9"/>
    <x v="20"/>
    <s v="SE4_HP"/>
    <x v="1"/>
    <x v="1"/>
    <s v="GETOH_HEATPUMP1"/>
    <x v="0"/>
    <x v="1"/>
    <n v="-8.1419354838709701"/>
    <n v="-2971.8064516129002"/>
    <n v="-10698.5032258065"/>
  </r>
  <r>
    <x v="0"/>
    <x v="0"/>
    <x v="0"/>
    <x v="9"/>
    <x v="20"/>
    <s v="SE4_HP"/>
    <x v="1"/>
    <x v="1"/>
    <s v="GETOH_HEATPUMP1"/>
    <x v="0"/>
    <x v="18"/>
    <n v="-8.1419354838709701"/>
    <n v="-2971.8064516129002"/>
    <n v="-10698.5032258065"/>
  </r>
  <r>
    <x v="0"/>
    <x v="0"/>
    <x v="0"/>
    <x v="9"/>
    <x v="20"/>
    <s v="SE4_HP"/>
    <x v="1"/>
    <x v="1"/>
    <s v="GETOH_HEATPUMP1"/>
    <x v="0"/>
    <x v="2"/>
    <n v="-8.1419354838709701"/>
    <n v="-2971.8064516129002"/>
    <n v="-10698.5032258065"/>
  </r>
  <r>
    <x v="0"/>
    <x v="0"/>
    <x v="0"/>
    <x v="9"/>
    <x v="20"/>
    <s v="SE4_HP"/>
    <x v="1"/>
    <x v="1"/>
    <s v="GETOH_HEATPUMP1"/>
    <x v="0"/>
    <x v="3"/>
    <n v="-8.1419354838709701"/>
    <n v="-2971.8064516129002"/>
    <n v="-10698.5032258065"/>
  </r>
  <r>
    <x v="0"/>
    <x v="0"/>
    <x v="0"/>
    <x v="9"/>
    <x v="20"/>
    <s v="SE4_HP"/>
    <x v="1"/>
    <x v="1"/>
    <s v="GETOH_HEATPUMP1"/>
    <x v="0"/>
    <x v="4"/>
    <n v="-8.1419354838709701"/>
    <n v="-2971.8064516129002"/>
    <n v="-10698.5032258065"/>
  </r>
  <r>
    <x v="0"/>
    <x v="0"/>
    <x v="0"/>
    <x v="9"/>
    <x v="20"/>
    <s v="SE4_HP"/>
    <x v="1"/>
    <x v="1"/>
    <s v="GETOH_HEATPUMP1"/>
    <x v="0"/>
    <x v="5"/>
    <n v="-8.1419354838709701"/>
    <n v="-2971.8064516129002"/>
    <n v="-10698.5032258065"/>
  </r>
  <r>
    <x v="0"/>
    <x v="0"/>
    <x v="0"/>
    <x v="9"/>
    <x v="20"/>
    <s v="SE4_HP"/>
    <x v="1"/>
    <x v="1"/>
    <s v="GETOH_HEATPUMP1"/>
    <x v="0"/>
    <x v="6"/>
    <n v="-8.1419354838709701"/>
    <n v="-2971.8064516129002"/>
    <n v="-10698.5032258065"/>
  </r>
  <r>
    <x v="0"/>
    <x v="0"/>
    <x v="0"/>
    <x v="9"/>
    <x v="20"/>
    <s v="SE4_HP"/>
    <x v="1"/>
    <x v="1"/>
    <s v="GETOH_HEATPUMP1"/>
    <x v="0"/>
    <x v="7"/>
    <n v="-8.1419354838709701"/>
    <n v="-2971.8064516129002"/>
    <n v="-10698.5032258065"/>
  </r>
  <r>
    <x v="0"/>
    <x v="0"/>
    <x v="0"/>
    <x v="9"/>
    <x v="20"/>
    <s v="SE4_HP"/>
    <x v="1"/>
    <x v="1"/>
    <s v="GETOH_HEATPUMP1"/>
    <x v="0"/>
    <x v="8"/>
    <n v="-8.1419354838709701"/>
    <n v="-2971.8064516129002"/>
    <n v="-10698.5032258065"/>
  </r>
  <r>
    <x v="0"/>
    <x v="0"/>
    <x v="0"/>
    <x v="9"/>
    <x v="20"/>
    <s v="SE4_HP"/>
    <x v="1"/>
    <x v="1"/>
    <s v="GETOH_HEATPUMP1"/>
    <x v="0"/>
    <x v="9"/>
    <n v="-8.1419354838709701"/>
    <n v="-2971.8064516129002"/>
    <n v="-10698.5032258065"/>
  </r>
  <r>
    <x v="0"/>
    <x v="0"/>
    <x v="0"/>
    <x v="9"/>
    <x v="20"/>
    <s v="SE4_HP"/>
    <x v="1"/>
    <x v="1"/>
    <s v="GETOH_HEATPUMP1"/>
    <x v="0"/>
    <x v="10"/>
    <n v="-8.1419354838709701"/>
    <n v="-2971.8064516129002"/>
    <n v="-10698.5032258065"/>
  </r>
  <r>
    <x v="0"/>
    <x v="0"/>
    <x v="0"/>
    <x v="9"/>
    <x v="20"/>
    <s v="SE4_HP"/>
    <x v="1"/>
    <x v="1"/>
    <s v="GETOH_HEATPUMP1"/>
    <x v="0"/>
    <x v="11"/>
    <n v="-8.1419354838709701"/>
    <n v="-2971.8064516129002"/>
    <n v="-10698.5032258065"/>
  </r>
  <r>
    <x v="0"/>
    <x v="0"/>
    <x v="0"/>
    <x v="9"/>
    <x v="20"/>
    <s v="SE4_HP"/>
    <x v="1"/>
    <x v="1"/>
    <s v="GETOH_HEATPUMP1"/>
    <x v="0"/>
    <x v="12"/>
    <n v="-8.1419354838709701"/>
    <n v="-2971.8064516129002"/>
    <n v="-10698.5032258065"/>
  </r>
  <r>
    <x v="0"/>
    <x v="0"/>
    <x v="0"/>
    <x v="9"/>
    <x v="20"/>
    <s v="SE4_HP"/>
    <x v="1"/>
    <x v="1"/>
    <s v="GETOH_HEATPUMP1"/>
    <x v="0"/>
    <x v="13"/>
    <n v="-8.1419354838709701"/>
    <n v="-2971.8064516129002"/>
    <n v="-10698.5032258065"/>
  </r>
  <r>
    <x v="0"/>
    <x v="0"/>
    <x v="0"/>
    <x v="9"/>
    <x v="20"/>
    <s v="SE4_HP"/>
    <x v="1"/>
    <x v="1"/>
    <s v="GETOH_HEATPUMP1"/>
    <x v="0"/>
    <x v="14"/>
    <n v="-8.1419354838709701"/>
    <n v="-2971.8064516129002"/>
    <n v="-10698.5032258065"/>
  </r>
  <r>
    <x v="0"/>
    <x v="0"/>
    <x v="0"/>
    <x v="9"/>
    <x v="20"/>
    <s v="SE4_HP"/>
    <x v="1"/>
    <x v="1"/>
    <s v="GETOH_HEATPUMP1"/>
    <x v="0"/>
    <x v="15"/>
    <n v="-8.1419354838709701"/>
    <n v="-2971.8064516129002"/>
    <n v="-10698.5032258065"/>
  </r>
  <r>
    <x v="0"/>
    <x v="0"/>
    <x v="0"/>
    <x v="9"/>
    <x v="20"/>
    <s v="SE4_HP"/>
    <x v="1"/>
    <x v="1"/>
    <s v="GETOH_HEATPUMP1"/>
    <x v="0"/>
    <x v="16"/>
    <n v="-8.1419354838709701"/>
    <n v="-2971.8064516129002"/>
    <n v="-10698.5032258065"/>
  </r>
  <r>
    <x v="0"/>
    <x v="0"/>
    <x v="0"/>
    <x v="9"/>
    <x v="20"/>
    <s v="SE4_HP"/>
    <x v="1"/>
    <x v="1"/>
    <s v="GETOH_HEATPUMP1"/>
    <x v="0"/>
    <x v="17"/>
    <n v="-8.1419354838709701"/>
    <n v="-2971.8064516129002"/>
    <n v="-10698.5032258065"/>
  </r>
  <r>
    <x v="0"/>
    <x v="0"/>
    <x v="0"/>
    <x v="9"/>
    <x v="20"/>
    <s v="SE4_HP"/>
    <x v="1"/>
    <x v="1"/>
    <s v="GETOH_HEATPUMP1"/>
    <x v="0"/>
    <x v="19"/>
    <n v="-8.1419354838709701"/>
    <n v="-2971.8064516129002"/>
    <n v="-10698.5032258065"/>
  </r>
  <r>
    <x v="0"/>
    <x v="0"/>
    <x v="0"/>
    <x v="9"/>
    <x v="20"/>
    <s v="SE4_HP"/>
    <x v="1"/>
    <x v="1"/>
    <s v="GETOH_HEATPUMP1"/>
    <x v="0"/>
    <x v="20"/>
    <n v="-8.1419354838709701"/>
    <n v="-2971.8064516129002"/>
    <n v="-10698.5032258065"/>
  </r>
  <r>
    <x v="0"/>
    <x v="0"/>
    <x v="0"/>
    <x v="9"/>
    <x v="20"/>
    <s v="SE4_HP"/>
    <x v="1"/>
    <x v="1"/>
    <s v="GETOH_HEATPUMP1"/>
    <x v="0"/>
    <x v="21"/>
    <n v="-8.1419354838709701"/>
    <n v="-2971.8064516129002"/>
    <n v="-10698.5032258065"/>
  </r>
  <r>
    <x v="0"/>
    <x v="0"/>
    <x v="0"/>
    <x v="9"/>
    <x v="20"/>
    <s v="SE4_HP"/>
    <x v="1"/>
    <x v="1"/>
    <s v="GETOH_HEATPUMP1"/>
    <x v="0"/>
    <x v="22"/>
    <n v="-8.1419354838709701"/>
    <n v="-2971.8064516129002"/>
    <n v="-10698.5032258065"/>
  </r>
  <r>
    <x v="0"/>
    <x v="0"/>
    <x v="0"/>
    <x v="9"/>
    <x v="20"/>
    <s v="SE4_HP"/>
    <x v="1"/>
    <x v="1"/>
    <s v="GETOH_HEATPUMP1"/>
    <x v="0"/>
    <x v="23"/>
    <n v="-8.1419354838709701"/>
    <n v="-2971.8064516129002"/>
    <n v="-10698.5032258065"/>
  </r>
  <r>
    <x v="0"/>
    <x v="0"/>
    <x v="0"/>
    <x v="9"/>
    <x v="20"/>
    <s v="SE4_HP"/>
    <x v="2"/>
    <x v="2"/>
    <s v="GBPR_MUNIWASTE_65"/>
    <x v="0"/>
    <x v="0"/>
    <n v="18"/>
    <n v="6570"/>
    <n v="23652"/>
  </r>
  <r>
    <x v="0"/>
    <x v="0"/>
    <x v="0"/>
    <x v="9"/>
    <x v="20"/>
    <s v="SE4_HP"/>
    <x v="2"/>
    <x v="2"/>
    <s v="GBPR_MUNIWASTE_65"/>
    <x v="0"/>
    <x v="1"/>
    <n v="18"/>
    <n v="6570"/>
    <n v="23652"/>
  </r>
  <r>
    <x v="0"/>
    <x v="0"/>
    <x v="0"/>
    <x v="9"/>
    <x v="20"/>
    <s v="SE4_HP"/>
    <x v="2"/>
    <x v="2"/>
    <s v="GBPR_MUNIWASTE_65"/>
    <x v="0"/>
    <x v="18"/>
    <n v="18"/>
    <n v="6570"/>
    <n v="23652"/>
  </r>
  <r>
    <x v="0"/>
    <x v="0"/>
    <x v="0"/>
    <x v="9"/>
    <x v="20"/>
    <s v="SE4_HP"/>
    <x v="2"/>
    <x v="2"/>
    <s v="GBPR_MUNIWASTE_65"/>
    <x v="0"/>
    <x v="2"/>
    <n v="18"/>
    <n v="6570"/>
    <n v="23652"/>
  </r>
  <r>
    <x v="0"/>
    <x v="0"/>
    <x v="0"/>
    <x v="9"/>
    <x v="20"/>
    <s v="SE4_HP"/>
    <x v="2"/>
    <x v="2"/>
    <s v="GBPR_MUNIWASTE_65"/>
    <x v="0"/>
    <x v="3"/>
    <n v="18"/>
    <n v="6570"/>
    <n v="23652"/>
  </r>
  <r>
    <x v="0"/>
    <x v="0"/>
    <x v="0"/>
    <x v="9"/>
    <x v="20"/>
    <s v="SE4_HP"/>
    <x v="2"/>
    <x v="2"/>
    <s v="GBPR_MUNIWASTE_65"/>
    <x v="0"/>
    <x v="4"/>
    <n v="18"/>
    <n v="6570"/>
    <n v="23652"/>
  </r>
  <r>
    <x v="0"/>
    <x v="0"/>
    <x v="0"/>
    <x v="9"/>
    <x v="20"/>
    <s v="SE4_HP"/>
    <x v="2"/>
    <x v="2"/>
    <s v="GBPR_MUNIWASTE_65"/>
    <x v="0"/>
    <x v="5"/>
    <n v="18"/>
    <n v="6570"/>
    <n v="23652"/>
  </r>
  <r>
    <x v="0"/>
    <x v="0"/>
    <x v="0"/>
    <x v="9"/>
    <x v="20"/>
    <s v="SE4_HP"/>
    <x v="2"/>
    <x v="2"/>
    <s v="GBPR_MUNIWASTE_65"/>
    <x v="0"/>
    <x v="6"/>
    <n v="18"/>
    <n v="6570"/>
    <n v="23652"/>
  </r>
  <r>
    <x v="0"/>
    <x v="0"/>
    <x v="0"/>
    <x v="9"/>
    <x v="20"/>
    <s v="SE4_HP"/>
    <x v="2"/>
    <x v="2"/>
    <s v="GBPR_MUNIWASTE_65"/>
    <x v="0"/>
    <x v="7"/>
    <n v="18"/>
    <n v="6570"/>
    <n v="23652"/>
  </r>
  <r>
    <x v="0"/>
    <x v="0"/>
    <x v="0"/>
    <x v="9"/>
    <x v="20"/>
    <s v="SE4_HP"/>
    <x v="2"/>
    <x v="2"/>
    <s v="GBPR_MUNIWASTE_65"/>
    <x v="0"/>
    <x v="8"/>
    <n v="18"/>
    <n v="6570"/>
    <n v="23652"/>
  </r>
  <r>
    <x v="0"/>
    <x v="0"/>
    <x v="0"/>
    <x v="9"/>
    <x v="20"/>
    <s v="SE4_HP"/>
    <x v="2"/>
    <x v="2"/>
    <s v="GBPR_MUNIWASTE_65"/>
    <x v="0"/>
    <x v="9"/>
    <n v="18"/>
    <n v="6570"/>
    <n v="23652"/>
  </r>
  <r>
    <x v="0"/>
    <x v="0"/>
    <x v="0"/>
    <x v="9"/>
    <x v="20"/>
    <s v="SE4_HP"/>
    <x v="2"/>
    <x v="2"/>
    <s v="GBPR_MUNIWASTE_65"/>
    <x v="0"/>
    <x v="10"/>
    <n v="18"/>
    <n v="6570"/>
    <n v="23652"/>
  </r>
  <r>
    <x v="0"/>
    <x v="0"/>
    <x v="0"/>
    <x v="9"/>
    <x v="20"/>
    <s v="SE4_HP"/>
    <x v="2"/>
    <x v="2"/>
    <s v="GBPR_MUNIWASTE_65"/>
    <x v="0"/>
    <x v="11"/>
    <n v="18"/>
    <n v="6570"/>
    <n v="23652"/>
  </r>
  <r>
    <x v="0"/>
    <x v="0"/>
    <x v="0"/>
    <x v="9"/>
    <x v="20"/>
    <s v="SE4_HP"/>
    <x v="2"/>
    <x v="2"/>
    <s v="GBPR_MUNIWASTE_65"/>
    <x v="0"/>
    <x v="12"/>
    <n v="18"/>
    <n v="6570"/>
    <n v="23652"/>
  </r>
  <r>
    <x v="0"/>
    <x v="0"/>
    <x v="0"/>
    <x v="9"/>
    <x v="20"/>
    <s v="SE4_HP"/>
    <x v="2"/>
    <x v="2"/>
    <s v="GBPR_MUNIWASTE_65"/>
    <x v="0"/>
    <x v="13"/>
    <n v="18"/>
    <n v="6570"/>
    <n v="23652"/>
  </r>
  <r>
    <x v="0"/>
    <x v="0"/>
    <x v="0"/>
    <x v="9"/>
    <x v="20"/>
    <s v="SE4_HP"/>
    <x v="2"/>
    <x v="2"/>
    <s v="GBPR_MUNIWASTE_65"/>
    <x v="0"/>
    <x v="14"/>
    <n v="18"/>
    <n v="6570"/>
    <n v="23652"/>
  </r>
  <r>
    <x v="0"/>
    <x v="0"/>
    <x v="0"/>
    <x v="9"/>
    <x v="20"/>
    <s v="SE4_HP"/>
    <x v="2"/>
    <x v="2"/>
    <s v="GBPR_MUNIWASTE_65"/>
    <x v="0"/>
    <x v="15"/>
    <n v="18"/>
    <n v="6570"/>
    <n v="23652"/>
  </r>
  <r>
    <x v="0"/>
    <x v="0"/>
    <x v="0"/>
    <x v="9"/>
    <x v="20"/>
    <s v="SE4_HP"/>
    <x v="2"/>
    <x v="2"/>
    <s v="GBPR_MUNIWASTE_65"/>
    <x v="0"/>
    <x v="16"/>
    <n v="18"/>
    <n v="6570"/>
    <n v="23652"/>
  </r>
  <r>
    <x v="0"/>
    <x v="0"/>
    <x v="0"/>
    <x v="9"/>
    <x v="20"/>
    <s v="SE4_HP"/>
    <x v="2"/>
    <x v="2"/>
    <s v="GBPR_MUNIWASTE_65"/>
    <x v="0"/>
    <x v="17"/>
    <n v="18"/>
    <n v="6570"/>
    <n v="23652"/>
  </r>
  <r>
    <x v="0"/>
    <x v="0"/>
    <x v="0"/>
    <x v="9"/>
    <x v="20"/>
    <s v="SE4_HP"/>
    <x v="2"/>
    <x v="2"/>
    <s v="GBPR_MUNIWASTE_65"/>
    <x v="0"/>
    <x v="19"/>
    <n v="18"/>
    <n v="6570"/>
    <n v="23652"/>
  </r>
  <r>
    <x v="0"/>
    <x v="0"/>
    <x v="0"/>
    <x v="9"/>
    <x v="20"/>
    <s v="SE4_HP"/>
    <x v="2"/>
    <x v="2"/>
    <s v="GBPR_MUNIWASTE_65"/>
    <x v="0"/>
    <x v="20"/>
    <n v="18"/>
    <n v="6570"/>
    <n v="23652"/>
  </r>
  <r>
    <x v="0"/>
    <x v="0"/>
    <x v="0"/>
    <x v="9"/>
    <x v="20"/>
    <s v="SE4_HP"/>
    <x v="2"/>
    <x v="2"/>
    <s v="GBPR_MUNIWASTE_65"/>
    <x v="0"/>
    <x v="21"/>
    <n v="18"/>
    <n v="6570"/>
    <n v="23652"/>
  </r>
  <r>
    <x v="0"/>
    <x v="0"/>
    <x v="0"/>
    <x v="9"/>
    <x v="20"/>
    <s v="SE4_HP"/>
    <x v="2"/>
    <x v="2"/>
    <s v="GBPR_MUNIWASTE_65"/>
    <x v="0"/>
    <x v="22"/>
    <n v="18"/>
    <n v="6570"/>
    <n v="23652"/>
  </r>
  <r>
    <x v="0"/>
    <x v="0"/>
    <x v="0"/>
    <x v="9"/>
    <x v="20"/>
    <s v="SE4_HP"/>
    <x v="2"/>
    <x v="2"/>
    <s v="GBPR_MUNIWASTE_65"/>
    <x v="0"/>
    <x v="23"/>
    <n v="18"/>
    <n v="6570"/>
    <n v="23652"/>
  </r>
  <r>
    <x v="0"/>
    <x v="0"/>
    <x v="0"/>
    <x v="9"/>
    <x v="20"/>
    <s v="SE4_HP"/>
    <x v="8"/>
    <x v="2"/>
    <s v="GBPR_NATGAS_100"/>
    <x v="0"/>
    <x v="4"/>
    <n v="9.2979685422873395"/>
    <n v="3393.7585179348798"/>
    <n v="12217.5306645656"/>
  </r>
  <r>
    <x v="0"/>
    <x v="0"/>
    <x v="0"/>
    <x v="9"/>
    <x v="20"/>
    <s v="SE4_HP"/>
    <x v="8"/>
    <x v="2"/>
    <s v="GBPR_NATGAS_100"/>
    <x v="0"/>
    <x v="5"/>
    <n v="39.706919775537401"/>
    <n v="14493.0257180711"/>
    <n v="52174.892585056099"/>
  </r>
  <r>
    <x v="0"/>
    <x v="0"/>
    <x v="0"/>
    <x v="9"/>
    <x v="20"/>
    <s v="SE4_HP"/>
    <x v="8"/>
    <x v="2"/>
    <s v="GBPR_NATGAS_100"/>
    <x v="0"/>
    <x v="6"/>
    <n v="54"/>
    <n v="19710"/>
    <n v="70956"/>
  </r>
  <r>
    <x v="0"/>
    <x v="0"/>
    <x v="0"/>
    <x v="9"/>
    <x v="20"/>
    <s v="SE4_HP"/>
    <x v="8"/>
    <x v="2"/>
    <s v="GBPR_NATGAS_100"/>
    <x v="0"/>
    <x v="7"/>
    <n v="54"/>
    <n v="19710"/>
    <n v="70956"/>
  </r>
  <r>
    <x v="0"/>
    <x v="0"/>
    <x v="0"/>
    <x v="9"/>
    <x v="20"/>
    <s v="SE4_HP"/>
    <x v="8"/>
    <x v="2"/>
    <s v="GBPR_NATGAS_100"/>
    <x v="0"/>
    <x v="8"/>
    <n v="49.117643612292802"/>
    <n v="17927.9399184869"/>
    <n v="64540.583706552701"/>
  </r>
  <r>
    <x v="0"/>
    <x v="0"/>
    <x v="0"/>
    <x v="9"/>
    <x v="20"/>
    <s v="SE4_HP"/>
    <x v="8"/>
    <x v="2"/>
    <s v="GBPR_NATGAS_100"/>
    <x v="0"/>
    <x v="9"/>
    <n v="39.840891185001396"/>
    <n v="14541.925282525501"/>
    <n v="52350.931017091898"/>
  </r>
  <r>
    <x v="0"/>
    <x v="0"/>
    <x v="0"/>
    <x v="9"/>
    <x v="20"/>
    <s v="SE4_HP"/>
    <x v="8"/>
    <x v="2"/>
    <s v="GBPR_NATGAS_100"/>
    <x v="0"/>
    <x v="10"/>
    <n v="34.886961588741997"/>
    <n v="12733.740979890799"/>
    <n v="45841.467527606997"/>
  </r>
  <r>
    <x v="0"/>
    <x v="0"/>
    <x v="0"/>
    <x v="9"/>
    <x v="20"/>
    <s v="SE4_HP"/>
    <x v="8"/>
    <x v="2"/>
    <s v="GBPR_NATGAS_100"/>
    <x v="0"/>
    <x v="11"/>
    <n v="29.788076719143199"/>
    <n v="10872.6480024873"/>
    <n v="39141.532808954202"/>
  </r>
  <r>
    <x v="0"/>
    <x v="0"/>
    <x v="0"/>
    <x v="9"/>
    <x v="20"/>
    <s v="SE4_HP"/>
    <x v="8"/>
    <x v="2"/>
    <s v="GBPR_NATGAS_100"/>
    <x v="0"/>
    <x v="12"/>
    <n v="29.2524647736209"/>
    <n v="10677.1496423716"/>
    <n v="38437.738712537903"/>
  </r>
  <r>
    <x v="0"/>
    <x v="0"/>
    <x v="0"/>
    <x v="9"/>
    <x v="20"/>
    <s v="SE4_HP"/>
    <x v="8"/>
    <x v="2"/>
    <s v="GBPR_NATGAS_100"/>
    <x v="0"/>
    <x v="13"/>
    <n v="27.852364094235799"/>
    <n v="10166.112894396099"/>
    <n v="36598.006419825797"/>
  </r>
  <r>
    <x v="0"/>
    <x v="0"/>
    <x v="0"/>
    <x v="9"/>
    <x v="20"/>
    <s v="SE4_HP"/>
    <x v="8"/>
    <x v="2"/>
    <s v="GBPR_NATGAS_100"/>
    <x v="0"/>
    <x v="14"/>
    <n v="27.848793424094001"/>
    <n v="10164.8095997943"/>
    <n v="36593.314559259503"/>
  </r>
  <r>
    <x v="0"/>
    <x v="0"/>
    <x v="0"/>
    <x v="9"/>
    <x v="20"/>
    <s v="SE4_HP"/>
    <x v="8"/>
    <x v="2"/>
    <s v="GBPR_NATGAS_100"/>
    <x v="0"/>
    <x v="15"/>
    <n v="27.187442719118401"/>
    <n v="9923.4165924782301"/>
    <n v="35724.299732921601"/>
  </r>
  <r>
    <x v="0"/>
    <x v="0"/>
    <x v="0"/>
    <x v="9"/>
    <x v="20"/>
    <s v="SE4_HP"/>
    <x v="8"/>
    <x v="2"/>
    <s v="GBPR_NATGAS_100"/>
    <x v="0"/>
    <x v="16"/>
    <n v="22.021423006719999"/>
    <n v="8037.8193974528203"/>
    <n v="28936.149830830102"/>
  </r>
  <r>
    <x v="0"/>
    <x v="0"/>
    <x v="0"/>
    <x v="9"/>
    <x v="20"/>
    <s v="SE4_HP"/>
    <x v="8"/>
    <x v="2"/>
    <s v="GBPR_NATGAS_100"/>
    <x v="0"/>
    <x v="17"/>
    <n v="18.3006381587482"/>
    <n v="6679.7329279430896"/>
    <n v="24047.038540595098"/>
  </r>
  <r>
    <x v="0"/>
    <x v="0"/>
    <x v="0"/>
    <x v="9"/>
    <x v="20"/>
    <s v="SE4_MAL"/>
    <x v="1"/>
    <x v="1"/>
    <s v="GETOH_HEATPUMP33"/>
    <x v="0"/>
    <x v="0"/>
    <n v="-0.33333333333333298"/>
    <n v="-121.666666666667"/>
    <n v="-438"/>
  </r>
  <r>
    <x v="0"/>
    <x v="0"/>
    <x v="0"/>
    <x v="9"/>
    <x v="20"/>
    <s v="SE4_MAL"/>
    <x v="1"/>
    <x v="1"/>
    <s v="GETOH_HEATPUMP33"/>
    <x v="0"/>
    <x v="1"/>
    <n v="-0.33333333333333298"/>
    <n v="-121.666666666667"/>
    <n v="-438"/>
  </r>
  <r>
    <x v="0"/>
    <x v="0"/>
    <x v="0"/>
    <x v="9"/>
    <x v="20"/>
    <s v="SE4_MAL"/>
    <x v="1"/>
    <x v="1"/>
    <s v="GETOH_HEATPUMP33"/>
    <x v="0"/>
    <x v="18"/>
    <n v="-0.33333333333333298"/>
    <n v="-121.666666666667"/>
    <n v="-438"/>
  </r>
  <r>
    <x v="0"/>
    <x v="0"/>
    <x v="0"/>
    <x v="9"/>
    <x v="20"/>
    <s v="SE4_MAL"/>
    <x v="1"/>
    <x v="1"/>
    <s v="GETOH_HEATPUMP33"/>
    <x v="0"/>
    <x v="2"/>
    <n v="-0.33333333333333298"/>
    <n v="-121.666666666667"/>
    <n v="-438"/>
  </r>
  <r>
    <x v="0"/>
    <x v="0"/>
    <x v="0"/>
    <x v="9"/>
    <x v="20"/>
    <s v="SE4_MAL"/>
    <x v="1"/>
    <x v="1"/>
    <s v="GETOH_HEATPUMP33"/>
    <x v="0"/>
    <x v="3"/>
    <n v="-0.33333333333333298"/>
    <n v="-121.666666666667"/>
    <n v="-438"/>
  </r>
  <r>
    <x v="0"/>
    <x v="0"/>
    <x v="0"/>
    <x v="9"/>
    <x v="20"/>
    <s v="SE4_MAL"/>
    <x v="1"/>
    <x v="1"/>
    <s v="GETOH_HEATPUMP33"/>
    <x v="0"/>
    <x v="4"/>
    <n v="-0.33333333333333298"/>
    <n v="-121.666666666667"/>
    <n v="-438"/>
  </r>
  <r>
    <x v="0"/>
    <x v="0"/>
    <x v="0"/>
    <x v="9"/>
    <x v="20"/>
    <s v="SE4_MAL"/>
    <x v="1"/>
    <x v="1"/>
    <s v="GETOH_HEATPUMP33"/>
    <x v="0"/>
    <x v="5"/>
    <n v="-0.33333333333333298"/>
    <n v="-121.666666666667"/>
    <n v="-438"/>
  </r>
  <r>
    <x v="0"/>
    <x v="0"/>
    <x v="0"/>
    <x v="9"/>
    <x v="20"/>
    <s v="SE4_MAL"/>
    <x v="1"/>
    <x v="1"/>
    <s v="GETOH_HEATPUMP33"/>
    <x v="0"/>
    <x v="6"/>
    <n v="-0.33333333333333298"/>
    <n v="-121.666666666667"/>
    <n v="-438"/>
  </r>
  <r>
    <x v="0"/>
    <x v="0"/>
    <x v="0"/>
    <x v="9"/>
    <x v="20"/>
    <s v="SE4_MAL"/>
    <x v="1"/>
    <x v="1"/>
    <s v="GETOH_HEATPUMP33"/>
    <x v="0"/>
    <x v="7"/>
    <n v="-0.33333333333333298"/>
    <n v="-121.666666666667"/>
    <n v="-438"/>
  </r>
  <r>
    <x v="0"/>
    <x v="0"/>
    <x v="0"/>
    <x v="9"/>
    <x v="20"/>
    <s v="SE4_MAL"/>
    <x v="1"/>
    <x v="1"/>
    <s v="GETOH_HEATPUMP33"/>
    <x v="0"/>
    <x v="8"/>
    <n v="-0.33333333333333298"/>
    <n v="-121.666666666667"/>
    <n v="-438"/>
  </r>
  <r>
    <x v="0"/>
    <x v="0"/>
    <x v="0"/>
    <x v="9"/>
    <x v="20"/>
    <s v="SE4_MAL"/>
    <x v="1"/>
    <x v="1"/>
    <s v="GETOH_HEATPUMP33"/>
    <x v="0"/>
    <x v="9"/>
    <n v="-0.33333333333333298"/>
    <n v="-121.666666666667"/>
    <n v="-438"/>
  </r>
  <r>
    <x v="0"/>
    <x v="0"/>
    <x v="0"/>
    <x v="9"/>
    <x v="20"/>
    <s v="SE4_MAL"/>
    <x v="1"/>
    <x v="1"/>
    <s v="GETOH_HEATPUMP33"/>
    <x v="0"/>
    <x v="10"/>
    <n v="-0.33333333333333298"/>
    <n v="-121.666666666667"/>
    <n v="-438"/>
  </r>
  <r>
    <x v="0"/>
    <x v="0"/>
    <x v="0"/>
    <x v="9"/>
    <x v="20"/>
    <s v="SE4_MAL"/>
    <x v="1"/>
    <x v="1"/>
    <s v="GETOH_HEATPUMP33"/>
    <x v="0"/>
    <x v="11"/>
    <n v="-0.33333333333333298"/>
    <n v="-121.666666666667"/>
    <n v="-438"/>
  </r>
  <r>
    <x v="0"/>
    <x v="0"/>
    <x v="0"/>
    <x v="9"/>
    <x v="20"/>
    <s v="SE4_MAL"/>
    <x v="1"/>
    <x v="1"/>
    <s v="GETOH_HEATPUMP33"/>
    <x v="0"/>
    <x v="12"/>
    <n v="-0.33333333333333298"/>
    <n v="-121.666666666667"/>
    <n v="-438"/>
  </r>
  <r>
    <x v="0"/>
    <x v="0"/>
    <x v="0"/>
    <x v="9"/>
    <x v="20"/>
    <s v="SE4_MAL"/>
    <x v="1"/>
    <x v="1"/>
    <s v="GETOH_HEATPUMP33"/>
    <x v="0"/>
    <x v="13"/>
    <n v="-0.33333333333333298"/>
    <n v="-121.666666666667"/>
    <n v="-438"/>
  </r>
  <r>
    <x v="0"/>
    <x v="0"/>
    <x v="0"/>
    <x v="9"/>
    <x v="20"/>
    <s v="SE4_MAL"/>
    <x v="1"/>
    <x v="1"/>
    <s v="GETOH_HEATPUMP33"/>
    <x v="0"/>
    <x v="14"/>
    <n v="-0.33333333333333298"/>
    <n v="-121.666666666667"/>
    <n v="-438"/>
  </r>
  <r>
    <x v="0"/>
    <x v="0"/>
    <x v="0"/>
    <x v="9"/>
    <x v="20"/>
    <s v="SE4_MAL"/>
    <x v="1"/>
    <x v="1"/>
    <s v="GETOH_HEATPUMP33"/>
    <x v="0"/>
    <x v="15"/>
    <n v="-0.33333333333333298"/>
    <n v="-121.666666666667"/>
    <n v="-438"/>
  </r>
  <r>
    <x v="0"/>
    <x v="0"/>
    <x v="0"/>
    <x v="9"/>
    <x v="20"/>
    <s v="SE4_MAL"/>
    <x v="1"/>
    <x v="1"/>
    <s v="GETOH_HEATPUMP33"/>
    <x v="0"/>
    <x v="16"/>
    <n v="-0.33333333333333298"/>
    <n v="-121.666666666667"/>
    <n v="-438"/>
  </r>
  <r>
    <x v="0"/>
    <x v="0"/>
    <x v="0"/>
    <x v="9"/>
    <x v="20"/>
    <s v="SE4_MAL"/>
    <x v="1"/>
    <x v="1"/>
    <s v="GETOH_HEATPUMP33"/>
    <x v="0"/>
    <x v="17"/>
    <n v="-0.33333333333333298"/>
    <n v="-121.666666666667"/>
    <n v="-438"/>
  </r>
  <r>
    <x v="0"/>
    <x v="0"/>
    <x v="0"/>
    <x v="9"/>
    <x v="20"/>
    <s v="SE4_MAL"/>
    <x v="1"/>
    <x v="1"/>
    <s v="GETOH_HEATPUMP33"/>
    <x v="0"/>
    <x v="19"/>
    <n v="-0.33333333333333298"/>
    <n v="-121.666666666667"/>
    <n v="-438"/>
  </r>
  <r>
    <x v="0"/>
    <x v="0"/>
    <x v="0"/>
    <x v="9"/>
    <x v="20"/>
    <s v="SE4_MAL"/>
    <x v="1"/>
    <x v="1"/>
    <s v="GETOH_HEATPUMP33"/>
    <x v="0"/>
    <x v="20"/>
    <n v="-0.33333333333333298"/>
    <n v="-121.666666666667"/>
    <n v="-438"/>
  </r>
  <r>
    <x v="0"/>
    <x v="0"/>
    <x v="0"/>
    <x v="9"/>
    <x v="20"/>
    <s v="SE4_MAL"/>
    <x v="1"/>
    <x v="1"/>
    <s v="GETOH_HEATPUMP33"/>
    <x v="0"/>
    <x v="21"/>
    <n v="-0.33333333333333298"/>
    <n v="-121.666666666667"/>
    <n v="-438"/>
  </r>
  <r>
    <x v="0"/>
    <x v="0"/>
    <x v="0"/>
    <x v="9"/>
    <x v="20"/>
    <s v="SE4_MAL"/>
    <x v="1"/>
    <x v="1"/>
    <s v="GETOH_HEATPUMP33"/>
    <x v="0"/>
    <x v="22"/>
    <n v="-0.33333333333333298"/>
    <n v="-121.666666666667"/>
    <n v="-438"/>
  </r>
  <r>
    <x v="0"/>
    <x v="0"/>
    <x v="0"/>
    <x v="9"/>
    <x v="20"/>
    <s v="SE4_MAL"/>
    <x v="1"/>
    <x v="1"/>
    <s v="GETOH_HEATPUMP33"/>
    <x v="0"/>
    <x v="23"/>
    <n v="-0.33333333333333298"/>
    <n v="-121.666666666667"/>
    <n v="-438"/>
  </r>
  <r>
    <x v="0"/>
    <x v="0"/>
    <x v="0"/>
    <x v="9"/>
    <x v="20"/>
    <s v="SE4_MAL"/>
    <x v="2"/>
    <x v="2"/>
    <s v="GBPR_MUNIWASTE_24"/>
    <x v="0"/>
    <x v="0"/>
    <n v="25.331143353475198"/>
    <n v="9245.8673240184598"/>
    <n v="33285.122366466501"/>
  </r>
  <r>
    <x v="0"/>
    <x v="0"/>
    <x v="0"/>
    <x v="9"/>
    <x v="20"/>
    <s v="SE4_MAL"/>
    <x v="2"/>
    <x v="2"/>
    <s v="GBPR_MUNIWASTE_24"/>
    <x v="0"/>
    <x v="1"/>
    <n v="25.331143353475198"/>
    <n v="9245.8673240184598"/>
    <n v="33285.122366466501"/>
  </r>
  <r>
    <x v="0"/>
    <x v="0"/>
    <x v="0"/>
    <x v="9"/>
    <x v="20"/>
    <s v="SE4_MAL"/>
    <x v="2"/>
    <x v="2"/>
    <s v="GBPR_MUNIWASTE_24"/>
    <x v="0"/>
    <x v="18"/>
    <n v="25.331143353475198"/>
    <n v="9245.8673240184598"/>
    <n v="33285.122366466501"/>
  </r>
  <r>
    <x v="0"/>
    <x v="0"/>
    <x v="0"/>
    <x v="9"/>
    <x v="20"/>
    <s v="SE4_MAL"/>
    <x v="2"/>
    <x v="2"/>
    <s v="GBPR_MUNIWASTE_24"/>
    <x v="0"/>
    <x v="2"/>
    <n v="25.331143353475198"/>
    <n v="9245.8673240184598"/>
    <n v="33285.122366466501"/>
  </r>
  <r>
    <x v="0"/>
    <x v="0"/>
    <x v="0"/>
    <x v="9"/>
    <x v="20"/>
    <s v="SE4_MAL"/>
    <x v="2"/>
    <x v="2"/>
    <s v="GBPR_MUNIWASTE_24"/>
    <x v="0"/>
    <x v="3"/>
    <n v="25.331143353475198"/>
    <n v="9245.8673240184598"/>
    <n v="33285.122366466501"/>
  </r>
  <r>
    <x v="0"/>
    <x v="0"/>
    <x v="0"/>
    <x v="9"/>
    <x v="20"/>
    <s v="SE4_MAL"/>
    <x v="2"/>
    <x v="2"/>
    <s v="GBPR_MUNIWASTE_24"/>
    <x v="0"/>
    <x v="4"/>
    <n v="25.331143353475198"/>
    <n v="9245.8673240184598"/>
    <n v="33285.122366466501"/>
  </r>
  <r>
    <x v="0"/>
    <x v="0"/>
    <x v="0"/>
    <x v="9"/>
    <x v="20"/>
    <s v="SE4_MAL"/>
    <x v="2"/>
    <x v="2"/>
    <s v="GBPR_MUNIWASTE_24"/>
    <x v="0"/>
    <x v="5"/>
    <n v="25.331143353475198"/>
    <n v="9245.8673240184598"/>
    <n v="33285.122366466501"/>
  </r>
  <r>
    <x v="0"/>
    <x v="0"/>
    <x v="0"/>
    <x v="9"/>
    <x v="20"/>
    <s v="SE4_MAL"/>
    <x v="2"/>
    <x v="2"/>
    <s v="GBPR_MUNIWASTE_24"/>
    <x v="0"/>
    <x v="6"/>
    <n v="25.331143353475198"/>
    <n v="9245.8673240184598"/>
    <n v="33285.122366466501"/>
  </r>
  <r>
    <x v="0"/>
    <x v="0"/>
    <x v="0"/>
    <x v="9"/>
    <x v="20"/>
    <s v="SE4_MAL"/>
    <x v="2"/>
    <x v="2"/>
    <s v="GBPR_MUNIWASTE_24"/>
    <x v="0"/>
    <x v="7"/>
    <n v="25.331143353475198"/>
    <n v="9245.8673240184598"/>
    <n v="33285.122366466501"/>
  </r>
  <r>
    <x v="0"/>
    <x v="0"/>
    <x v="0"/>
    <x v="9"/>
    <x v="20"/>
    <s v="SE4_MAL"/>
    <x v="2"/>
    <x v="2"/>
    <s v="GBPR_MUNIWASTE_24"/>
    <x v="0"/>
    <x v="8"/>
    <n v="25.331143353475198"/>
    <n v="9245.8673240184598"/>
    <n v="33285.122366466501"/>
  </r>
  <r>
    <x v="0"/>
    <x v="0"/>
    <x v="0"/>
    <x v="9"/>
    <x v="20"/>
    <s v="SE4_MAL"/>
    <x v="2"/>
    <x v="2"/>
    <s v="GBPR_MUNIWASTE_24"/>
    <x v="0"/>
    <x v="9"/>
    <n v="25.331143353475198"/>
    <n v="9245.8673240184598"/>
    <n v="33285.122366466501"/>
  </r>
  <r>
    <x v="0"/>
    <x v="0"/>
    <x v="0"/>
    <x v="9"/>
    <x v="20"/>
    <s v="SE4_MAL"/>
    <x v="2"/>
    <x v="2"/>
    <s v="GBPR_MUNIWASTE_24"/>
    <x v="0"/>
    <x v="10"/>
    <n v="25.331143353475198"/>
    <n v="9245.8673240184598"/>
    <n v="33285.122366466501"/>
  </r>
  <r>
    <x v="0"/>
    <x v="0"/>
    <x v="0"/>
    <x v="9"/>
    <x v="20"/>
    <s v="SE4_MAL"/>
    <x v="2"/>
    <x v="2"/>
    <s v="GBPR_MUNIWASTE_24"/>
    <x v="0"/>
    <x v="11"/>
    <n v="25.331143353475198"/>
    <n v="9245.8673240184598"/>
    <n v="33285.122366466501"/>
  </r>
  <r>
    <x v="0"/>
    <x v="0"/>
    <x v="0"/>
    <x v="9"/>
    <x v="20"/>
    <s v="SE4_MAL"/>
    <x v="2"/>
    <x v="2"/>
    <s v="GBPR_MUNIWASTE_24"/>
    <x v="0"/>
    <x v="12"/>
    <n v="25.331143353475198"/>
    <n v="9245.8673240184598"/>
    <n v="33285.122366466501"/>
  </r>
  <r>
    <x v="0"/>
    <x v="0"/>
    <x v="0"/>
    <x v="9"/>
    <x v="20"/>
    <s v="SE4_MAL"/>
    <x v="2"/>
    <x v="2"/>
    <s v="GBPR_MUNIWASTE_24"/>
    <x v="0"/>
    <x v="13"/>
    <n v="25.331143353475198"/>
    <n v="9245.8673240184598"/>
    <n v="33285.122366466501"/>
  </r>
  <r>
    <x v="0"/>
    <x v="0"/>
    <x v="0"/>
    <x v="9"/>
    <x v="20"/>
    <s v="SE4_MAL"/>
    <x v="2"/>
    <x v="2"/>
    <s v="GBPR_MUNIWASTE_24"/>
    <x v="0"/>
    <x v="14"/>
    <n v="25.331143353475198"/>
    <n v="9245.8673240184598"/>
    <n v="33285.122366466501"/>
  </r>
  <r>
    <x v="0"/>
    <x v="0"/>
    <x v="0"/>
    <x v="9"/>
    <x v="20"/>
    <s v="SE4_MAL"/>
    <x v="2"/>
    <x v="2"/>
    <s v="GBPR_MUNIWASTE_24"/>
    <x v="0"/>
    <x v="15"/>
    <n v="25.331143353475198"/>
    <n v="9245.8673240184598"/>
    <n v="33285.122366466501"/>
  </r>
  <r>
    <x v="0"/>
    <x v="0"/>
    <x v="0"/>
    <x v="9"/>
    <x v="20"/>
    <s v="SE4_MAL"/>
    <x v="2"/>
    <x v="2"/>
    <s v="GBPR_MUNIWASTE_24"/>
    <x v="0"/>
    <x v="16"/>
    <n v="25.331143353475198"/>
    <n v="9245.8673240184598"/>
    <n v="33285.122366466501"/>
  </r>
  <r>
    <x v="0"/>
    <x v="0"/>
    <x v="0"/>
    <x v="9"/>
    <x v="20"/>
    <s v="SE4_MAL"/>
    <x v="2"/>
    <x v="2"/>
    <s v="GBPR_MUNIWASTE_24"/>
    <x v="0"/>
    <x v="17"/>
    <n v="25.331143353475198"/>
    <n v="9245.8673240184598"/>
    <n v="33285.122366466501"/>
  </r>
  <r>
    <x v="0"/>
    <x v="0"/>
    <x v="0"/>
    <x v="9"/>
    <x v="20"/>
    <s v="SE4_MAL"/>
    <x v="2"/>
    <x v="2"/>
    <s v="GBPR_MUNIWASTE_24"/>
    <x v="0"/>
    <x v="19"/>
    <n v="25.331143353475198"/>
    <n v="9245.8673240184598"/>
    <n v="33285.122366466501"/>
  </r>
  <r>
    <x v="0"/>
    <x v="0"/>
    <x v="0"/>
    <x v="9"/>
    <x v="20"/>
    <s v="SE4_MAL"/>
    <x v="2"/>
    <x v="2"/>
    <s v="GBPR_MUNIWASTE_24"/>
    <x v="0"/>
    <x v="20"/>
    <n v="25.331143353475198"/>
    <n v="9245.8673240184598"/>
    <n v="33285.122366466501"/>
  </r>
  <r>
    <x v="0"/>
    <x v="0"/>
    <x v="0"/>
    <x v="9"/>
    <x v="20"/>
    <s v="SE4_MAL"/>
    <x v="2"/>
    <x v="2"/>
    <s v="GBPR_MUNIWASTE_24"/>
    <x v="0"/>
    <x v="21"/>
    <n v="25.331143353475198"/>
    <n v="9245.8673240184598"/>
    <n v="33285.122366466501"/>
  </r>
  <r>
    <x v="0"/>
    <x v="0"/>
    <x v="0"/>
    <x v="9"/>
    <x v="20"/>
    <s v="SE4_MAL"/>
    <x v="2"/>
    <x v="2"/>
    <s v="GBPR_MUNIWASTE_24"/>
    <x v="0"/>
    <x v="22"/>
    <n v="25.331143353475198"/>
    <n v="9245.8673240184598"/>
    <n v="33285.122366466501"/>
  </r>
  <r>
    <x v="0"/>
    <x v="0"/>
    <x v="0"/>
    <x v="9"/>
    <x v="20"/>
    <s v="SE4_MAL"/>
    <x v="2"/>
    <x v="2"/>
    <s v="GBPR_MUNIWASTE_24"/>
    <x v="0"/>
    <x v="23"/>
    <n v="25.331143353475198"/>
    <n v="9245.8673240184598"/>
    <n v="33285.122366466501"/>
  </r>
  <r>
    <x v="0"/>
    <x v="0"/>
    <x v="0"/>
    <x v="9"/>
    <x v="20"/>
    <s v="SE4_MAL"/>
    <x v="8"/>
    <x v="2"/>
    <s v="GBPR_NATGAS_MAL"/>
    <x v="0"/>
    <x v="5"/>
    <n v="18.934493145038001"/>
    <n v="6911.0899979388896"/>
    <n v="24879.923992579999"/>
  </r>
  <r>
    <x v="0"/>
    <x v="0"/>
    <x v="0"/>
    <x v="9"/>
    <x v="20"/>
    <s v="SE4_MAL"/>
    <x v="8"/>
    <x v="2"/>
    <s v="GBPR_NATGAS_MAL"/>
    <x v="0"/>
    <x v="6"/>
    <n v="26.012330728147099"/>
    <n v="9494.5007157737"/>
    <n v="34180.202576785297"/>
  </r>
  <r>
    <x v="0"/>
    <x v="0"/>
    <x v="0"/>
    <x v="9"/>
    <x v="20"/>
    <s v="SE4_MAL"/>
    <x v="8"/>
    <x v="2"/>
    <s v="GBPR_NATGAS_MAL"/>
    <x v="0"/>
    <x v="7"/>
    <n v="23.987250663436299"/>
    <n v="8755.34649215426"/>
    <n v="31519.2473717553"/>
  </r>
  <r>
    <x v="0"/>
    <x v="0"/>
    <x v="0"/>
    <x v="9"/>
    <x v="20"/>
    <s v="SE4_MAL"/>
    <x v="8"/>
    <x v="2"/>
    <s v="GBPR_NATGAS_MAL"/>
    <x v="0"/>
    <x v="8"/>
    <n v="21.395100036385301"/>
    <n v="7809.2115132806202"/>
    <n v="28113.161447810198"/>
  </r>
  <r>
    <x v="0"/>
    <x v="0"/>
    <x v="0"/>
    <x v="9"/>
    <x v="20"/>
    <s v="SE4_MAL"/>
    <x v="8"/>
    <x v="2"/>
    <s v="GBPR_NATGAS_MAL"/>
    <x v="0"/>
    <x v="9"/>
    <n v="18.4228660818635"/>
    <n v="6724.3461198801597"/>
    <n v="24207.646031568602"/>
  </r>
  <r>
    <x v="0"/>
    <x v="0"/>
    <x v="0"/>
    <x v="9"/>
    <x v="20"/>
    <s v="SE4_MAL"/>
    <x v="8"/>
    <x v="2"/>
    <s v="GBPR_NATGAS_MAL"/>
    <x v="0"/>
    <x v="10"/>
    <n v="14.164430687784201"/>
    <n v="5170.0172010412198"/>
    <n v="18612.061923748399"/>
  </r>
  <r>
    <x v="0"/>
    <x v="0"/>
    <x v="0"/>
    <x v="9"/>
    <x v="20"/>
    <s v="SE4_MAL"/>
    <x v="8"/>
    <x v="2"/>
    <s v="GBPR_NATGAS_MAL"/>
    <x v="0"/>
    <x v="11"/>
    <n v="9.98263378294007"/>
    <n v="3643.66133077313"/>
    <n v="13117.180790783301"/>
  </r>
  <r>
    <x v="0"/>
    <x v="0"/>
    <x v="0"/>
    <x v="9"/>
    <x v="20"/>
    <s v="SE4_MAL"/>
    <x v="8"/>
    <x v="2"/>
    <s v="GBPR_NATGAS_MAL"/>
    <x v="0"/>
    <x v="12"/>
    <n v="9.2702948541165693"/>
    <n v="3383.6576217525499"/>
    <n v="12181.167438309199"/>
  </r>
  <r>
    <x v="0"/>
    <x v="0"/>
    <x v="0"/>
    <x v="9"/>
    <x v="20"/>
    <s v="SE4_MAL"/>
    <x v="8"/>
    <x v="2"/>
    <s v="GBPR_NATGAS_MAL"/>
    <x v="0"/>
    <x v="13"/>
    <n v="9.0405773051197595"/>
    <n v="3299.81071636871"/>
    <n v="11879.318578927399"/>
  </r>
  <r>
    <x v="0"/>
    <x v="0"/>
    <x v="0"/>
    <x v="9"/>
    <x v="20"/>
    <s v="SE4_MAL"/>
    <x v="8"/>
    <x v="2"/>
    <s v="GBPR_NATGAS_MAL"/>
    <x v="0"/>
    <x v="14"/>
    <n v="10.193089239819001"/>
    <n v="3720.47757253394"/>
    <n v="13393.7192611222"/>
  </r>
  <r>
    <x v="0"/>
    <x v="0"/>
    <x v="0"/>
    <x v="9"/>
    <x v="20"/>
    <s v="SE4_MAL"/>
    <x v="8"/>
    <x v="2"/>
    <s v="GBPR_NATGAS_MAL"/>
    <x v="0"/>
    <x v="15"/>
    <n v="10.391724203078899"/>
    <n v="3792.9793341237901"/>
    <n v="13654.725602845599"/>
  </r>
  <r>
    <x v="0"/>
    <x v="0"/>
    <x v="0"/>
    <x v="9"/>
    <x v="20"/>
    <s v="SE4_MAL"/>
    <x v="8"/>
    <x v="2"/>
    <s v="GBPR_NATGAS_MAL"/>
    <x v="0"/>
    <x v="16"/>
    <n v="7.9042009396068904"/>
    <n v="2885.0333429565198"/>
    <n v="10386.1200346435"/>
  </r>
  <r>
    <x v="0"/>
    <x v="0"/>
    <x v="0"/>
    <x v="9"/>
    <x v="20"/>
    <s v="SE4_OTHER"/>
    <x v="2"/>
    <x v="2"/>
    <s v="GBPR_MUNIWASTE_19"/>
    <x v="0"/>
    <x v="0"/>
    <n v="11.5403463801819"/>
    <n v="4212.2264287664102"/>
    <n v="15164.0151435591"/>
  </r>
  <r>
    <x v="0"/>
    <x v="0"/>
    <x v="0"/>
    <x v="9"/>
    <x v="20"/>
    <s v="SE4_OTHER"/>
    <x v="2"/>
    <x v="2"/>
    <s v="GBPR_MUNIWASTE_19"/>
    <x v="0"/>
    <x v="1"/>
    <n v="11.5403463801819"/>
    <n v="4212.2264287664102"/>
    <n v="15164.0151435591"/>
  </r>
  <r>
    <x v="0"/>
    <x v="0"/>
    <x v="0"/>
    <x v="9"/>
    <x v="20"/>
    <s v="SE4_OTHER"/>
    <x v="2"/>
    <x v="2"/>
    <s v="GBPR_MUNIWASTE_19"/>
    <x v="0"/>
    <x v="18"/>
    <n v="11.5403463801819"/>
    <n v="4212.2264287664102"/>
    <n v="15164.0151435591"/>
  </r>
  <r>
    <x v="0"/>
    <x v="0"/>
    <x v="0"/>
    <x v="9"/>
    <x v="20"/>
    <s v="SE4_OTHER"/>
    <x v="2"/>
    <x v="2"/>
    <s v="GBPR_MUNIWASTE_19"/>
    <x v="0"/>
    <x v="2"/>
    <n v="11.5403463801819"/>
    <n v="4212.2264287664102"/>
    <n v="15164.0151435591"/>
  </r>
  <r>
    <x v="0"/>
    <x v="0"/>
    <x v="0"/>
    <x v="9"/>
    <x v="20"/>
    <s v="SE4_OTHER"/>
    <x v="2"/>
    <x v="2"/>
    <s v="GBPR_MUNIWASTE_19"/>
    <x v="0"/>
    <x v="3"/>
    <n v="11.5403463801819"/>
    <n v="4212.2264287664102"/>
    <n v="15164.0151435591"/>
  </r>
  <r>
    <x v="0"/>
    <x v="0"/>
    <x v="0"/>
    <x v="9"/>
    <x v="20"/>
    <s v="SE4_OTHER"/>
    <x v="2"/>
    <x v="2"/>
    <s v="GBPR_MUNIWASTE_19"/>
    <x v="0"/>
    <x v="4"/>
    <n v="11.5403463801819"/>
    <n v="4212.2264287664102"/>
    <n v="15164.0151435591"/>
  </r>
  <r>
    <x v="0"/>
    <x v="0"/>
    <x v="0"/>
    <x v="9"/>
    <x v="20"/>
    <s v="SE4_OTHER"/>
    <x v="2"/>
    <x v="2"/>
    <s v="GBPR_MUNIWASTE_19"/>
    <x v="0"/>
    <x v="5"/>
    <n v="11.5403463801819"/>
    <n v="4212.2264287664102"/>
    <n v="15164.0151435591"/>
  </r>
  <r>
    <x v="0"/>
    <x v="0"/>
    <x v="0"/>
    <x v="9"/>
    <x v="20"/>
    <s v="SE4_OTHER"/>
    <x v="2"/>
    <x v="2"/>
    <s v="GBPR_MUNIWASTE_19"/>
    <x v="0"/>
    <x v="6"/>
    <n v="11.5403463801819"/>
    <n v="4212.2264287664102"/>
    <n v="15164.0151435591"/>
  </r>
  <r>
    <x v="0"/>
    <x v="0"/>
    <x v="0"/>
    <x v="9"/>
    <x v="20"/>
    <s v="SE4_OTHER"/>
    <x v="2"/>
    <x v="2"/>
    <s v="GBPR_MUNIWASTE_19"/>
    <x v="0"/>
    <x v="7"/>
    <n v="11.5403463801819"/>
    <n v="4212.2264287664102"/>
    <n v="15164.0151435591"/>
  </r>
  <r>
    <x v="0"/>
    <x v="0"/>
    <x v="0"/>
    <x v="9"/>
    <x v="20"/>
    <s v="SE4_OTHER"/>
    <x v="2"/>
    <x v="2"/>
    <s v="GBPR_MUNIWASTE_19"/>
    <x v="0"/>
    <x v="8"/>
    <n v="11.5403463801819"/>
    <n v="4212.2264287664102"/>
    <n v="15164.0151435591"/>
  </r>
  <r>
    <x v="0"/>
    <x v="0"/>
    <x v="0"/>
    <x v="9"/>
    <x v="20"/>
    <s v="SE4_OTHER"/>
    <x v="2"/>
    <x v="2"/>
    <s v="GBPR_MUNIWASTE_19"/>
    <x v="0"/>
    <x v="9"/>
    <n v="11.5403463801819"/>
    <n v="4212.2264287664102"/>
    <n v="15164.0151435591"/>
  </r>
  <r>
    <x v="0"/>
    <x v="0"/>
    <x v="0"/>
    <x v="9"/>
    <x v="20"/>
    <s v="SE4_OTHER"/>
    <x v="2"/>
    <x v="2"/>
    <s v="GBPR_MUNIWASTE_19"/>
    <x v="0"/>
    <x v="10"/>
    <n v="11.5403463801819"/>
    <n v="4212.2264287664102"/>
    <n v="15164.0151435591"/>
  </r>
  <r>
    <x v="0"/>
    <x v="0"/>
    <x v="0"/>
    <x v="9"/>
    <x v="20"/>
    <s v="SE4_OTHER"/>
    <x v="2"/>
    <x v="2"/>
    <s v="GBPR_MUNIWASTE_19"/>
    <x v="0"/>
    <x v="11"/>
    <n v="11.5403463801819"/>
    <n v="4212.2264287664102"/>
    <n v="15164.0151435591"/>
  </r>
  <r>
    <x v="0"/>
    <x v="0"/>
    <x v="0"/>
    <x v="9"/>
    <x v="20"/>
    <s v="SE4_OTHER"/>
    <x v="2"/>
    <x v="2"/>
    <s v="GBPR_MUNIWASTE_19"/>
    <x v="0"/>
    <x v="12"/>
    <n v="11.5403463801819"/>
    <n v="4212.2264287664102"/>
    <n v="15164.0151435591"/>
  </r>
  <r>
    <x v="0"/>
    <x v="0"/>
    <x v="0"/>
    <x v="9"/>
    <x v="20"/>
    <s v="SE4_OTHER"/>
    <x v="2"/>
    <x v="2"/>
    <s v="GBPR_MUNIWASTE_19"/>
    <x v="0"/>
    <x v="13"/>
    <n v="11.5403463801819"/>
    <n v="4212.2264287664102"/>
    <n v="15164.0151435591"/>
  </r>
  <r>
    <x v="0"/>
    <x v="0"/>
    <x v="0"/>
    <x v="9"/>
    <x v="20"/>
    <s v="SE4_OTHER"/>
    <x v="2"/>
    <x v="2"/>
    <s v="GBPR_MUNIWASTE_19"/>
    <x v="0"/>
    <x v="14"/>
    <n v="11.5403463801819"/>
    <n v="4212.2264287664102"/>
    <n v="15164.0151435591"/>
  </r>
  <r>
    <x v="0"/>
    <x v="0"/>
    <x v="0"/>
    <x v="9"/>
    <x v="20"/>
    <s v="SE4_OTHER"/>
    <x v="2"/>
    <x v="2"/>
    <s v="GBPR_MUNIWASTE_19"/>
    <x v="0"/>
    <x v="15"/>
    <n v="11.5403463801819"/>
    <n v="4212.2264287664102"/>
    <n v="15164.0151435591"/>
  </r>
  <r>
    <x v="0"/>
    <x v="0"/>
    <x v="0"/>
    <x v="9"/>
    <x v="20"/>
    <s v="SE4_OTHER"/>
    <x v="2"/>
    <x v="2"/>
    <s v="GBPR_MUNIWASTE_19"/>
    <x v="0"/>
    <x v="16"/>
    <n v="11.5403463801819"/>
    <n v="4212.2264287664102"/>
    <n v="15164.0151435591"/>
  </r>
  <r>
    <x v="0"/>
    <x v="0"/>
    <x v="0"/>
    <x v="9"/>
    <x v="20"/>
    <s v="SE4_OTHER"/>
    <x v="2"/>
    <x v="2"/>
    <s v="GBPR_MUNIWASTE_19"/>
    <x v="0"/>
    <x v="17"/>
    <n v="11.5403463801819"/>
    <n v="4212.2264287664102"/>
    <n v="15164.0151435591"/>
  </r>
  <r>
    <x v="0"/>
    <x v="0"/>
    <x v="0"/>
    <x v="9"/>
    <x v="20"/>
    <s v="SE4_OTHER"/>
    <x v="2"/>
    <x v="2"/>
    <s v="GBPR_MUNIWASTE_19"/>
    <x v="0"/>
    <x v="19"/>
    <n v="11.5403463801819"/>
    <n v="4212.2264287664102"/>
    <n v="15164.0151435591"/>
  </r>
  <r>
    <x v="0"/>
    <x v="0"/>
    <x v="0"/>
    <x v="9"/>
    <x v="20"/>
    <s v="SE4_OTHER"/>
    <x v="2"/>
    <x v="2"/>
    <s v="GBPR_MUNIWASTE_19"/>
    <x v="0"/>
    <x v="20"/>
    <n v="11.5403463801819"/>
    <n v="4212.2264287664102"/>
    <n v="15164.0151435591"/>
  </r>
  <r>
    <x v="0"/>
    <x v="0"/>
    <x v="0"/>
    <x v="9"/>
    <x v="20"/>
    <s v="SE4_OTHER"/>
    <x v="2"/>
    <x v="2"/>
    <s v="GBPR_MUNIWASTE_19"/>
    <x v="0"/>
    <x v="21"/>
    <n v="11.5403463801819"/>
    <n v="4212.2264287664102"/>
    <n v="15164.0151435591"/>
  </r>
  <r>
    <x v="0"/>
    <x v="0"/>
    <x v="0"/>
    <x v="9"/>
    <x v="20"/>
    <s v="SE4_OTHER"/>
    <x v="2"/>
    <x v="2"/>
    <s v="GBPR_MUNIWASTE_19"/>
    <x v="0"/>
    <x v="22"/>
    <n v="11.5403463801819"/>
    <n v="4212.2264287664102"/>
    <n v="15164.0151435591"/>
  </r>
  <r>
    <x v="0"/>
    <x v="0"/>
    <x v="0"/>
    <x v="9"/>
    <x v="20"/>
    <s v="SE4_OTHER"/>
    <x v="2"/>
    <x v="2"/>
    <s v="GBPR_MUNIWASTE_19"/>
    <x v="0"/>
    <x v="23"/>
    <n v="11.5403463801819"/>
    <n v="4212.2264287664102"/>
    <n v="15164.0151435591"/>
  </r>
  <r>
    <x v="0"/>
    <x v="0"/>
    <x v="0"/>
    <x v="9"/>
    <x v="20"/>
    <s v="SE4_OTHER"/>
    <x v="10"/>
    <x v="2"/>
    <s v="GBPR_WOODWASTE_36"/>
    <x v="0"/>
    <x v="0"/>
    <n v="69.950290718038502"/>
    <n v="25531.8561120841"/>
    <n v="91914.682003502603"/>
  </r>
  <r>
    <x v="0"/>
    <x v="0"/>
    <x v="0"/>
    <x v="9"/>
    <x v="20"/>
    <s v="SE4_OTHER"/>
    <x v="10"/>
    <x v="2"/>
    <s v="GBPR_WOODWASTE_36"/>
    <x v="0"/>
    <x v="1"/>
    <n v="69.950290718038502"/>
    <n v="25531.8561120841"/>
    <n v="91914.682003502603"/>
  </r>
  <r>
    <x v="0"/>
    <x v="0"/>
    <x v="0"/>
    <x v="9"/>
    <x v="20"/>
    <s v="SE4_OTHER"/>
    <x v="10"/>
    <x v="2"/>
    <s v="GBPR_WOODWASTE_36"/>
    <x v="0"/>
    <x v="18"/>
    <n v="69.950290718038502"/>
    <n v="25531.8561120841"/>
    <n v="91914.682003502603"/>
  </r>
  <r>
    <x v="0"/>
    <x v="0"/>
    <x v="0"/>
    <x v="9"/>
    <x v="20"/>
    <s v="SE4_OTHER"/>
    <x v="10"/>
    <x v="2"/>
    <s v="GBPR_WOODWASTE_36"/>
    <x v="0"/>
    <x v="2"/>
    <n v="69.950290718038502"/>
    <n v="25531.8561120841"/>
    <n v="91914.682003502603"/>
  </r>
  <r>
    <x v="0"/>
    <x v="0"/>
    <x v="0"/>
    <x v="9"/>
    <x v="20"/>
    <s v="SE4_OTHER"/>
    <x v="10"/>
    <x v="2"/>
    <s v="GBPR_WOODWASTE_36"/>
    <x v="0"/>
    <x v="3"/>
    <n v="69.950290718038502"/>
    <n v="25531.8561120841"/>
    <n v="91914.682003502603"/>
  </r>
  <r>
    <x v="0"/>
    <x v="0"/>
    <x v="0"/>
    <x v="9"/>
    <x v="20"/>
    <s v="SE4_OTHER"/>
    <x v="10"/>
    <x v="2"/>
    <s v="GBPR_WOODWASTE_36"/>
    <x v="0"/>
    <x v="4"/>
    <n v="69.950290718038502"/>
    <n v="25531.8561120841"/>
    <n v="91914.682003502603"/>
  </r>
  <r>
    <x v="0"/>
    <x v="0"/>
    <x v="0"/>
    <x v="9"/>
    <x v="20"/>
    <s v="SE4_OTHER"/>
    <x v="10"/>
    <x v="2"/>
    <s v="GBPR_WOODWASTE_36"/>
    <x v="0"/>
    <x v="5"/>
    <n v="69.950290718038502"/>
    <n v="25531.8561120841"/>
    <n v="91914.682003502603"/>
  </r>
  <r>
    <x v="0"/>
    <x v="0"/>
    <x v="0"/>
    <x v="9"/>
    <x v="20"/>
    <s v="SE4_OTHER"/>
    <x v="10"/>
    <x v="2"/>
    <s v="GBPR_WOODWASTE_36"/>
    <x v="0"/>
    <x v="6"/>
    <n v="69.950290718038502"/>
    <n v="25531.8561120841"/>
    <n v="91914.682003502603"/>
  </r>
  <r>
    <x v="0"/>
    <x v="0"/>
    <x v="0"/>
    <x v="9"/>
    <x v="20"/>
    <s v="SE4_OTHER"/>
    <x v="10"/>
    <x v="2"/>
    <s v="GBPR_WOODWASTE_36"/>
    <x v="0"/>
    <x v="7"/>
    <n v="69.950290718038502"/>
    <n v="25531.8561120841"/>
    <n v="91914.682003502603"/>
  </r>
  <r>
    <x v="0"/>
    <x v="0"/>
    <x v="0"/>
    <x v="9"/>
    <x v="20"/>
    <s v="SE4_OTHER"/>
    <x v="10"/>
    <x v="2"/>
    <s v="GBPR_WOODWASTE_36"/>
    <x v="0"/>
    <x v="8"/>
    <n v="69.950290718038502"/>
    <n v="25531.8561120841"/>
    <n v="91914.682003502603"/>
  </r>
  <r>
    <x v="0"/>
    <x v="0"/>
    <x v="0"/>
    <x v="9"/>
    <x v="20"/>
    <s v="SE4_OTHER"/>
    <x v="10"/>
    <x v="2"/>
    <s v="GBPR_WOODWASTE_36"/>
    <x v="0"/>
    <x v="9"/>
    <n v="69.950290718038502"/>
    <n v="25531.8561120841"/>
    <n v="91914.682003502603"/>
  </r>
  <r>
    <x v="0"/>
    <x v="0"/>
    <x v="0"/>
    <x v="9"/>
    <x v="20"/>
    <s v="SE4_OTHER"/>
    <x v="10"/>
    <x v="2"/>
    <s v="GBPR_WOODWASTE_36"/>
    <x v="0"/>
    <x v="10"/>
    <n v="69.950290718038502"/>
    <n v="25531.8561120841"/>
    <n v="91914.682003502603"/>
  </r>
  <r>
    <x v="0"/>
    <x v="0"/>
    <x v="0"/>
    <x v="9"/>
    <x v="20"/>
    <s v="SE4_OTHER"/>
    <x v="10"/>
    <x v="2"/>
    <s v="GBPR_WOODWASTE_36"/>
    <x v="0"/>
    <x v="11"/>
    <n v="69.950290718038502"/>
    <n v="25531.8561120841"/>
    <n v="91914.682003502603"/>
  </r>
  <r>
    <x v="0"/>
    <x v="0"/>
    <x v="0"/>
    <x v="9"/>
    <x v="20"/>
    <s v="SE4_OTHER"/>
    <x v="10"/>
    <x v="2"/>
    <s v="GBPR_WOODWASTE_36"/>
    <x v="0"/>
    <x v="12"/>
    <n v="69.950290718038502"/>
    <n v="25531.8561120841"/>
    <n v="91914.682003502603"/>
  </r>
  <r>
    <x v="0"/>
    <x v="0"/>
    <x v="0"/>
    <x v="9"/>
    <x v="20"/>
    <s v="SE4_OTHER"/>
    <x v="10"/>
    <x v="2"/>
    <s v="GBPR_WOODWASTE_36"/>
    <x v="0"/>
    <x v="13"/>
    <n v="69.950290718038502"/>
    <n v="25531.8561120841"/>
    <n v="91914.682003502603"/>
  </r>
  <r>
    <x v="0"/>
    <x v="0"/>
    <x v="0"/>
    <x v="9"/>
    <x v="20"/>
    <s v="SE4_OTHER"/>
    <x v="10"/>
    <x v="2"/>
    <s v="GBPR_WOODWASTE_36"/>
    <x v="0"/>
    <x v="14"/>
    <n v="69.950290718038502"/>
    <n v="25531.8561120841"/>
    <n v="91914.682003502603"/>
  </r>
  <r>
    <x v="0"/>
    <x v="0"/>
    <x v="0"/>
    <x v="9"/>
    <x v="20"/>
    <s v="SE4_OTHER"/>
    <x v="10"/>
    <x v="2"/>
    <s v="GBPR_WOODWASTE_36"/>
    <x v="0"/>
    <x v="15"/>
    <n v="69.950290718038502"/>
    <n v="25531.8561120841"/>
    <n v="91914.682003502603"/>
  </r>
  <r>
    <x v="0"/>
    <x v="0"/>
    <x v="0"/>
    <x v="9"/>
    <x v="20"/>
    <s v="SE4_OTHER"/>
    <x v="10"/>
    <x v="2"/>
    <s v="GBPR_WOODWASTE_36"/>
    <x v="0"/>
    <x v="16"/>
    <n v="69.950290718038502"/>
    <n v="25531.8561120841"/>
    <n v="91914.682003502603"/>
  </r>
  <r>
    <x v="0"/>
    <x v="0"/>
    <x v="0"/>
    <x v="9"/>
    <x v="20"/>
    <s v="SE4_OTHER"/>
    <x v="10"/>
    <x v="2"/>
    <s v="GBPR_WOODWASTE_36"/>
    <x v="0"/>
    <x v="17"/>
    <n v="69.950290718038502"/>
    <n v="25531.8561120841"/>
    <n v="91914.682003502603"/>
  </r>
  <r>
    <x v="0"/>
    <x v="0"/>
    <x v="0"/>
    <x v="9"/>
    <x v="20"/>
    <s v="SE4_OTHER"/>
    <x v="10"/>
    <x v="2"/>
    <s v="GBPR_WOODWASTE_36"/>
    <x v="0"/>
    <x v="19"/>
    <n v="69.950290718038502"/>
    <n v="25531.8561120841"/>
    <n v="91914.682003502603"/>
  </r>
  <r>
    <x v="0"/>
    <x v="0"/>
    <x v="0"/>
    <x v="9"/>
    <x v="20"/>
    <s v="SE4_OTHER"/>
    <x v="10"/>
    <x v="2"/>
    <s v="GBPR_WOODWASTE_36"/>
    <x v="0"/>
    <x v="20"/>
    <n v="69.950290718038502"/>
    <n v="25531.8561120841"/>
    <n v="91914.682003502603"/>
  </r>
  <r>
    <x v="0"/>
    <x v="0"/>
    <x v="0"/>
    <x v="9"/>
    <x v="20"/>
    <s v="SE4_OTHER"/>
    <x v="10"/>
    <x v="2"/>
    <s v="GBPR_WOODWASTE_36"/>
    <x v="0"/>
    <x v="21"/>
    <n v="69.950290718038502"/>
    <n v="25531.8561120841"/>
    <n v="91914.682003502603"/>
  </r>
  <r>
    <x v="0"/>
    <x v="0"/>
    <x v="0"/>
    <x v="9"/>
    <x v="20"/>
    <s v="SE4_OTHER"/>
    <x v="10"/>
    <x v="2"/>
    <s v="GBPR_WOODWASTE_36"/>
    <x v="0"/>
    <x v="22"/>
    <n v="69.950290718038502"/>
    <n v="25531.8561120841"/>
    <n v="91914.682003502603"/>
  </r>
  <r>
    <x v="0"/>
    <x v="0"/>
    <x v="0"/>
    <x v="9"/>
    <x v="20"/>
    <s v="SE4_OTHER"/>
    <x v="10"/>
    <x v="2"/>
    <s v="GBPR_WOODWASTE_36"/>
    <x v="0"/>
    <x v="23"/>
    <n v="69.950290718038502"/>
    <n v="25531.8561120841"/>
    <n v="91914.682003502603"/>
  </r>
  <r>
    <x v="0"/>
    <x v="0"/>
    <x v="0"/>
    <x v="10"/>
    <x v="21"/>
    <s v="UK_A"/>
    <x v="0"/>
    <x v="6"/>
    <s v="GNR_ST_COAL_CND_E-33"/>
    <x v="0"/>
    <x v="0"/>
    <n v="1048.00906761635"/>
    <n v="382523.30967996799"/>
    <n v="1377083.9148478799"/>
  </r>
  <r>
    <x v="0"/>
    <x v="0"/>
    <x v="0"/>
    <x v="10"/>
    <x v="21"/>
    <s v="UK_A"/>
    <x v="0"/>
    <x v="6"/>
    <s v="GNR_ST_COAL_CND_E-33"/>
    <x v="0"/>
    <x v="1"/>
    <n v="109.244160186999"/>
    <n v="39874.118468254499"/>
    <n v="143546.82648571601"/>
  </r>
  <r>
    <x v="0"/>
    <x v="0"/>
    <x v="0"/>
    <x v="10"/>
    <x v="21"/>
    <s v="UK_A"/>
    <x v="0"/>
    <x v="6"/>
    <s v="GNR_ST_COAL_CND_E-33"/>
    <x v="0"/>
    <x v="5"/>
    <n v="4441.6458540355397"/>
    <n v="1621200.7367229699"/>
    <n v="5836322.6522027003"/>
  </r>
  <r>
    <x v="0"/>
    <x v="0"/>
    <x v="0"/>
    <x v="10"/>
    <x v="21"/>
    <s v="UK_A"/>
    <x v="0"/>
    <x v="6"/>
    <s v="GNR_ST_COAL_CND_E-33"/>
    <x v="0"/>
    <x v="6"/>
    <n v="8995"/>
    <n v="3283175"/>
    <n v="11819430"/>
  </r>
  <r>
    <x v="0"/>
    <x v="0"/>
    <x v="0"/>
    <x v="10"/>
    <x v="21"/>
    <s v="UK_A"/>
    <x v="0"/>
    <x v="6"/>
    <s v="GNR_ST_COAL_CND_E-33"/>
    <x v="0"/>
    <x v="7"/>
    <n v="8995"/>
    <n v="3283175"/>
    <n v="11819430"/>
  </r>
  <r>
    <x v="0"/>
    <x v="0"/>
    <x v="0"/>
    <x v="10"/>
    <x v="21"/>
    <s v="UK_A"/>
    <x v="0"/>
    <x v="6"/>
    <s v="GNR_ST_COAL_CND_E-33"/>
    <x v="0"/>
    <x v="8"/>
    <n v="8995"/>
    <n v="3283175"/>
    <n v="11819430"/>
  </r>
  <r>
    <x v="0"/>
    <x v="0"/>
    <x v="0"/>
    <x v="10"/>
    <x v="21"/>
    <s v="UK_A"/>
    <x v="0"/>
    <x v="6"/>
    <s v="GNR_ST_COAL_CND_E-33"/>
    <x v="0"/>
    <x v="9"/>
    <n v="8995"/>
    <n v="3283175"/>
    <n v="11819430"/>
  </r>
  <r>
    <x v="0"/>
    <x v="0"/>
    <x v="0"/>
    <x v="10"/>
    <x v="21"/>
    <s v="UK_A"/>
    <x v="0"/>
    <x v="6"/>
    <s v="GNR_ST_COAL_CND_E-33"/>
    <x v="0"/>
    <x v="10"/>
    <n v="8995"/>
    <n v="3283175"/>
    <n v="11819430"/>
  </r>
  <r>
    <x v="0"/>
    <x v="0"/>
    <x v="0"/>
    <x v="10"/>
    <x v="21"/>
    <s v="UK_A"/>
    <x v="0"/>
    <x v="6"/>
    <s v="GNR_ST_COAL_CND_E-33"/>
    <x v="0"/>
    <x v="11"/>
    <n v="8995"/>
    <n v="3283175"/>
    <n v="11819430"/>
  </r>
  <r>
    <x v="0"/>
    <x v="0"/>
    <x v="0"/>
    <x v="10"/>
    <x v="21"/>
    <s v="UK_A"/>
    <x v="0"/>
    <x v="6"/>
    <s v="GNR_ST_COAL_CND_E-33"/>
    <x v="0"/>
    <x v="12"/>
    <n v="8995"/>
    <n v="3283175"/>
    <n v="11819430"/>
  </r>
  <r>
    <x v="0"/>
    <x v="0"/>
    <x v="0"/>
    <x v="10"/>
    <x v="21"/>
    <s v="UK_A"/>
    <x v="0"/>
    <x v="6"/>
    <s v="GNR_ST_COAL_CND_E-33"/>
    <x v="0"/>
    <x v="13"/>
    <n v="8995"/>
    <n v="3283175"/>
    <n v="11819430"/>
  </r>
  <r>
    <x v="0"/>
    <x v="0"/>
    <x v="0"/>
    <x v="10"/>
    <x v="21"/>
    <s v="UK_A"/>
    <x v="0"/>
    <x v="6"/>
    <s v="GNR_ST_COAL_CND_E-33"/>
    <x v="0"/>
    <x v="14"/>
    <n v="8995"/>
    <n v="3283175"/>
    <n v="11819430"/>
  </r>
  <r>
    <x v="0"/>
    <x v="0"/>
    <x v="0"/>
    <x v="10"/>
    <x v="21"/>
    <s v="UK_A"/>
    <x v="0"/>
    <x v="6"/>
    <s v="GNR_ST_COAL_CND_E-33"/>
    <x v="0"/>
    <x v="15"/>
    <n v="8995"/>
    <n v="3283175"/>
    <n v="11819430"/>
  </r>
  <r>
    <x v="0"/>
    <x v="0"/>
    <x v="0"/>
    <x v="10"/>
    <x v="21"/>
    <s v="UK_A"/>
    <x v="0"/>
    <x v="6"/>
    <s v="GNR_ST_COAL_CND_E-33"/>
    <x v="0"/>
    <x v="16"/>
    <n v="8995"/>
    <n v="3283175"/>
    <n v="11819430"/>
  </r>
  <r>
    <x v="0"/>
    <x v="0"/>
    <x v="0"/>
    <x v="10"/>
    <x v="21"/>
    <s v="UK_A"/>
    <x v="0"/>
    <x v="6"/>
    <s v="GNR_ST_COAL_CND_E-33"/>
    <x v="0"/>
    <x v="17"/>
    <n v="8995"/>
    <n v="3283175"/>
    <n v="11819430"/>
  </r>
  <r>
    <x v="0"/>
    <x v="0"/>
    <x v="0"/>
    <x v="10"/>
    <x v="21"/>
    <s v="UK_A"/>
    <x v="0"/>
    <x v="6"/>
    <s v="GNR_ST_COAL_CND_E-33"/>
    <x v="0"/>
    <x v="19"/>
    <n v="8995"/>
    <n v="3283175"/>
    <n v="11819430"/>
  </r>
  <r>
    <x v="0"/>
    <x v="0"/>
    <x v="0"/>
    <x v="10"/>
    <x v="21"/>
    <s v="UK_A"/>
    <x v="0"/>
    <x v="6"/>
    <s v="GNR_ST_COAL_CND_E-33"/>
    <x v="0"/>
    <x v="20"/>
    <n v="8995"/>
    <n v="3283175"/>
    <n v="11819430"/>
  </r>
  <r>
    <x v="0"/>
    <x v="0"/>
    <x v="0"/>
    <x v="10"/>
    <x v="21"/>
    <s v="UK_A"/>
    <x v="0"/>
    <x v="6"/>
    <s v="GNR_ST_COAL_CND_E-33"/>
    <x v="0"/>
    <x v="21"/>
    <n v="8995"/>
    <n v="3283175"/>
    <n v="11819430"/>
  </r>
  <r>
    <x v="0"/>
    <x v="0"/>
    <x v="0"/>
    <x v="10"/>
    <x v="21"/>
    <s v="UK_A"/>
    <x v="0"/>
    <x v="6"/>
    <s v="GNR_ST_COAL_CND_E-33"/>
    <x v="0"/>
    <x v="22"/>
    <n v="8995"/>
    <n v="3283175"/>
    <n v="11819430"/>
  </r>
  <r>
    <x v="0"/>
    <x v="0"/>
    <x v="0"/>
    <x v="10"/>
    <x v="21"/>
    <s v="UK_A"/>
    <x v="0"/>
    <x v="6"/>
    <s v="GNR_ST_COAL_CND_E-33"/>
    <x v="0"/>
    <x v="23"/>
    <n v="7335.6296136853398"/>
    <n v="2677504.80899515"/>
    <n v="9639017.3123825304"/>
  </r>
  <r>
    <x v="0"/>
    <x v="0"/>
    <x v="0"/>
    <x v="10"/>
    <x v="21"/>
    <s v="UK_A"/>
    <x v="0"/>
    <x v="6"/>
    <s v="GNR_ST_COAL_CND_E-35"/>
    <x v="0"/>
    <x v="0"/>
    <n v="11623"/>
    <n v="4242395"/>
    <n v="15272622"/>
  </r>
  <r>
    <x v="0"/>
    <x v="0"/>
    <x v="0"/>
    <x v="10"/>
    <x v="21"/>
    <s v="UK_A"/>
    <x v="0"/>
    <x v="6"/>
    <s v="GNR_ST_COAL_CND_E-35"/>
    <x v="0"/>
    <x v="1"/>
    <n v="11623"/>
    <n v="4242395"/>
    <n v="15272622"/>
  </r>
  <r>
    <x v="0"/>
    <x v="0"/>
    <x v="0"/>
    <x v="10"/>
    <x v="21"/>
    <s v="UK_A"/>
    <x v="0"/>
    <x v="6"/>
    <s v="GNR_ST_COAL_CND_E-35"/>
    <x v="0"/>
    <x v="18"/>
    <n v="10522.3743536153"/>
    <n v="3840666.6390695898"/>
    <n v="13826399.900650499"/>
  </r>
  <r>
    <x v="0"/>
    <x v="0"/>
    <x v="0"/>
    <x v="10"/>
    <x v="21"/>
    <s v="UK_A"/>
    <x v="0"/>
    <x v="6"/>
    <s v="GNR_ST_COAL_CND_E-35"/>
    <x v="0"/>
    <x v="2"/>
    <n v="9170.2482055266391"/>
    <n v="3347140.5950172199"/>
    <n v="12049706.142062001"/>
  </r>
  <r>
    <x v="0"/>
    <x v="0"/>
    <x v="0"/>
    <x v="10"/>
    <x v="21"/>
    <s v="UK_A"/>
    <x v="0"/>
    <x v="6"/>
    <s v="GNR_ST_COAL_CND_E-35"/>
    <x v="0"/>
    <x v="3"/>
    <n v="8302.6064671867298"/>
    <n v="3030451.3605231601"/>
    <n v="10909624.8978834"/>
  </r>
  <r>
    <x v="0"/>
    <x v="0"/>
    <x v="0"/>
    <x v="10"/>
    <x v="21"/>
    <s v="UK_A"/>
    <x v="0"/>
    <x v="6"/>
    <s v="GNR_ST_COAL_CND_E-35"/>
    <x v="0"/>
    <x v="4"/>
    <n v="9857.5482937449106"/>
    <n v="3598005.12721689"/>
    <n v="12952818.4579808"/>
  </r>
  <r>
    <x v="0"/>
    <x v="0"/>
    <x v="0"/>
    <x v="10"/>
    <x v="21"/>
    <s v="UK_A"/>
    <x v="0"/>
    <x v="6"/>
    <s v="GNR_ST_COAL_CND_E-35"/>
    <x v="0"/>
    <x v="5"/>
    <n v="11623"/>
    <n v="4242395"/>
    <n v="15272622"/>
  </r>
  <r>
    <x v="0"/>
    <x v="0"/>
    <x v="0"/>
    <x v="10"/>
    <x v="21"/>
    <s v="UK_A"/>
    <x v="0"/>
    <x v="6"/>
    <s v="GNR_ST_COAL_CND_E-35"/>
    <x v="0"/>
    <x v="6"/>
    <n v="11623"/>
    <n v="4242395"/>
    <n v="15272622"/>
  </r>
  <r>
    <x v="0"/>
    <x v="0"/>
    <x v="0"/>
    <x v="10"/>
    <x v="21"/>
    <s v="UK_A"/>
    <x v="0"/>
    <x v="6"/>
    <s v="GNR_ST_COAL_CND_E-35"/>
    <x v="0"/>
    <x v="7"/>
    <n v="11623"/>
    <n v="4242395"/>
    <n v="15272622"/>
  </r>
  <r>
    <x v="0"/>
    <x v="0"/>
    <x v="0"/>
    <x v="10"/>
    <x v="21"/>
    <s v="UK_A"/>
    <x v="0"/>
    <x v="6"/>
    <s v="GNR_ST_COAL_CND_E-35"/>
    <x v="0"/>
    <x v="8"/>
    <n v="11623"/>
    <n v="4242395"/>
    <n v="15272622"/>
  </r>
  <r>
    <x v="0"/>
    <x v="0"/>
    <x v="0"/>
    <x v="10"/>
    <x v="21"/>
    <s v="UK_A"/>
    <x v="0"/>
    <x v="6"/>
    <s v="GNR_ST_COAL_CND_E-35"/>
    <x v="0"/>
    <x v="9"/>
    <n v="11623"/>
    <n v="4242395"/>
    <n v="15272622"/>
  </r>
  <r>
    <x v="0"/>
    <x v="0"/>
    <x v="0"/>
    <x v="10"/>
    <x v="21"/>
    <s v="UK_A"/>
    <x v="0"/>
    <x v="6"/>
    <s v="GNR_ST_COAL_CND_E-35"/>
    <x v="0"/>
    <x v="10"/>
    <n v="11623"/>
    <n v="4242395"/>
    <n v="15272622"/>
  </r>
  <r>
    <x v="0"/>
    <x v="0"/>
    <x v="0"/>
    <x v="10"/>
    <x v="21"/>
    <s v="UK_A"/>
    <x v="0"/>
    <x v="6"/>
    <s v="GNR_ST_COAL_CND_E-35"/>
    <x v="0"/>
    <x v="11"/>
    <n v="11623"/>
    <n v="4242395"/>
    <n v="15272622"/>
  </r>
  <r>
    <x v="0"/>
    <x v="0"/>
    <x v="0"/>
    <x v="10"/>
    <x v="21"/>
    <s v="UK_A"/>
    <x v="0"/>
    <x v="6"/>
    <s v="GNR_ST_COAL_CND_E-35"/>
    <x v="0"/>
    <x v="12"/>
    <n v="11623"/>
    <n v="4242395"/>
    <n v="15272622"/>
  </r>
  <r>
    <x v="0"/>
    <x v="0"/>
    <x v="0"/>
    <x v="10"/>
    <x v="21"/>
    <s v="UK_A"/>
    <x v="0"/>
    <x v="6"/>
    <s v="GNR_ST_COAL_CND_E-35"/>
    <x v="0"/>
    <x v="13"/>
    <n v="11623"/>
    <n v="4242395"/>
    <n v="15272622"/>
  </r>
  <r>
    <x v="0"/>
    <x v="0"/>
    <x v="0"/>
    <x v="10"/>
    <x v="21"/>
    <s v="UK_A"/>
    <x v="0"/>
    <x v="6"/>
    <s v="GNR_ST_COAL_CND_E-35"/>
    <x v="0"/>
    <x v="14"/>
    <n v="11623"/>
    <n v="4242395"/>
    <n v="15272622"/>
  </r>
  <r>
    <x v="0"/>
    <x v="0"/>
    <x v="0"/>
    <x v="10"/>
    <x v="21"/>
    <s v="UK_A"/>
    <x v="0"/>
    <x v="6"/>
    <s v="GNR_ST_COAL_CND_E-35"/>
    <x v="0"/>
    <x v="15"/>
    <n v="11623"/>
    <n v="4242395"/>
    <n v="15272622"/>
  </r>
  <r>
    <x v="0"/>
    <x v="0"/>
    <x v="0"/>
    <x v="10"/>
    <x v="21"/>
    <s v="UK_A"/>
    <x v="0"/>
    <x v="6"/>
    <s v="GNR_ST_COAL_CND_E-35"/>
    <x v="0"/>
    <x v="16"/>
    <n v="11623"/>
    <n v="4242395"/>
    <n v="15272622"/>
  </r>
  <r>
    <x v="0"/>
    <x v="0"/>
    <x v="0"/>
    <x v="10"/>
    <x v="21"/>
    <s v="UK_A"/>
    <x v="0"/>
    <x v="6"/>
    <s v="GNR_ST_COAL_CND_E-35"/>
    <x v="0"/>
    <x v="17"/>
    <n v="11623"/>
    <n v="4242395"/>
    <n v="15272622"/>
  </r>
  <r>
    <x v="0"/>
    <x v="0"/>
    <x v="0"/>
    <x v="10"/>
    <x v="21"/>
    <s v="UK_A"/>
    <x v="0"/>
    <x v="6"/>
    <s v="GNR_ST_COAL_CND_E-35"/>
    <x v="0"/>
    <x v="19"/>
    <n v="11623"/>
    <n v="4242395"/>
    <n v="15272622"/>
  </r>
  <r>
    <x v="0"/>
    <x v="0"/>
    <x v="0"/>
    <x v="10"/>
    <x v="21"/>
    <s v="UK_A"/>
    <x v="0"/>
    <x v="6"/>
    <s v="GNR_ST_COAL_CND_E-35"/>
    <x v="0"/>
    <x v="20"/>
    <n v="11623"/>
    <n v="4242395"/>
    <n v="15272622"/>
  </r>
  <r>
    <x v="0"/>
    <x v="0"/>
    <x v="0"/>
    <x v="10"/>
    <x v="21"/>
    <s v="UK_A"/>
    <x v="0"/>
    <x v="6"/>
    <s v="GNR_ST_COAL_CND_E-35"/>
    <x v="0"/>
    <x v="21"/>
    <n v="11623"/>
    <n v="4242395"/>
    <n v="15272622"/>
  </r>
  <r>
    <x v="0"/>
    <x v="0"/>
    <x v="0"/>
    <x v="10"/>
    <x v="21"/>
    <s v="UK_A"/>
    <x v="0"/>
    <x v="6"/>
    <s v="GNR_ST_COAL_CND_E-35"/>
    <x v="0"/>
    <x v="22"/>
    <n v="11623"/>
    <n v="4242395"/>
    <n v="15272622"/>
  </r>
  <r>
    <x v="0"/>
    <x v="0"/>
    <x v="0"/>
    <x v="10"/>
    <x v="21"/>
    <s v="UK_A"/>
    <x v="0"/>
    <x v="6"/>
    <s v="GNR_ST_COAL_CND_E-35"/>
    <x v="0"/>
    <x v="23"/>
    <n v="11623"/>
    <n v="4242395"/>
    <n v="15272622"/>
  </r>
  <r>
    <x v="0"/>
    <x v="0"/>
    <x v="0"/>
    <x v="10"/>
    <x v="21"/>
    <s v="UK_A"/>
    <x v="2"/>
    <x v="6"/>
    <s v="GNR_ST_MSW_CND_E-40"/>
    <x v="0"/>
    <x v="0"/>
    <n v="806"/>
    <n v="294190"/>
    <n v="1059084"/>
  </r>
  <r>
    <x v="0"/>
    <x v="0"/>
    <x v="0"/>
    <x v="10"/>
    <x v="21"/>
    <s v="UK_A"/>
    <x v="2"/>
    <x v="6"/>
    <s v="GNR_ST_MSW_CND_E-40"/>
    <x v="0"/>
    <x v="1"/>
    <n v="806"/>
    <n v="294190"/>
    <n v="1059084"/>
  </r>
  <r>
    <x v="0"/>
    <x v="0"/>
    <x v="0"/>
    <x v="10"/>
    <x v="21"/>
    <s v="UK_A"/>
    <x v="2"/>
    <x v="6"/>
    <s v="GNR_ST_MSW_CND_E-40"/>
    <x v="0"/>
    <x v="18"/>
    <n v="806"/>
    <n v="294190"/>
    <n v="1059084"/>
  </r>
  <r>
    <x v="0"/>
    <x v="0"/>
    <x v="0"/>
    <x v="10"/>
    <x v="21"/>
    <s v="UK_A"/>
    <x v="2"/>
    <x v="6"/>
    <s v="GNR_ST_MSW_CND_E-40"/>
    <x v="0"/>
    <x v="2"/>
    <n v="806"/>
    <n v="294190"/>
    <n v="1059084"/>
  </r>
  <r>
    <x v="0"/>
    <x v="0"/>
    <x v="0"/>
    <x v="10"/>
    <x v="21"/>
    <s v="UK_A"/>
    <x v="2"/>
    <x v="6"/>
    <s v="GNR_ST_MSW_CND_E-40"/>
    <x v="0"/>
    <x v="3"/>
    <n v="806"/>
    <n v="294190"/>
    <n v="1059084"/>
  </r>
  <r>
    <x v="0"/>
    <x v="0"/>
    <x v="0"/>
    <x v="10"/>
    <x v="21"/>
    <s v="UK_A"/>
    <x v="2"/>
    <x v="6"/>
    <s v="GNR_ST_MSW_CND_E-40"/>
    <x v="0"/>
    <x v="4"/>
    <n v="806"/>
    <n v="294190"/>
    <n v="1059084"/>
  </r>
  <r>
    <x v="0"/>
    <x v="0"/>
    <x v="0"/>
    <x v="10"/>
    <x v="21"/>
    <s v="UK_A"/>
    <x v="2"/>
    <x v="6"/>
    <s v="GNR_ST_MSW_CND_E-40"/>
    <x v="0"/>
    <x v="5"/>
    <n v="806"/>
    <n v="294190"/>
    <n v="1059084"/>
  </r>
  <r>
    <x v="0"/>
    <x v="0"/>
    <x v="0"/>
    <x v="10"/>
    <x v="21"/>
    <s v="UK_A"/>
    <x v="2"/>
    <x v="6"/>
    <s v="GNR_ST_MSW_CND_E-40"/>
    <x v="0"/>
    <x v="6"/>
    <n v="806"/>
    <n v="294190"/>
    <n v="1059084"/>
  </r>
  <r>
    <x v="0"/>
    <x v="0"/>
    <x v="0"/>
    <x v="10"/>
    <x v="21"/>
    <s v="UK_A"/>
    <x v="2"/>
    <x v="6"/>
    <s v="GNR_ST_MSW_CND_E-40"/>
    <x v="0"/>
    <x v="7"/>
    <n v="806"/>
    <n v="294190"/>
    <n v="1059084"/>
  </r>
  <r>
    <x v="0"/>
    <x v="0"/>
    <x v="0"/>
    <x v="10"/>
    <x v="21"/>
    <s v="UK_A"/>
    <x v="2"/>
    <x v="6"/>
    <s v="GNR_ST_MSW_CND_E-40"/>
    <x v="0"/>
    <x v="8"/>
    <n v="806"/>
    <n v="294190"/>
    <n v="1059084"/>
  </r>
  <r>
    <x v="0"/>
    <x v="0"/>
    <x v="0"/>
    <x v="10"/>
    <x v="21"/>
    <s v="UK_A"/>
    <x v="2"/>
    <x v="6"/>
    <s v="GNR_ST_MSW_CND_E-40"/>
    <x v="0"/>
    <x v="9"/>
    <n v="806"/>
    <n v="294190"/>
    <n v="1059084"/>
  </r>
  <r>
    <x v="0"/>
    <x v="0"/>
    <x v="0"/>
    <x v="10"/>
    <x v="21"/>
    <s v="UK_A"/>
    <x v="2"/>
    <x v="6"/>
    <s v="GNR_ST_MSW_CND_E-40"/>
    <x v="0"/>
    <x v="10"/>
    <n v="806"/>
    <n v="294190"/>
    <n v="1059084"/>
  </r>
  <r>
    <x v="0"/>
    <x v="0"/>
    <x v="0"/>
    <x v="10"/>
    <x v="21"/>
    <s v="UK_A"/>
    <x v="2"/>
    <x v="6"/>
    <s v="GNR_ST_MSW_CND_E-40"/>
    <x v="0"/>
    <x v="11"/>
    <n v="806"/>
    <n v="294190"/>
    <n v="1059084"/>
  </r>
  <r>
    <x v="0"/>
    <x v="0"/>
    <x v="0"/>
    <x v="10"/>
    <x v="21"/>
    <s v="UK_A"/>
    <x v="2"/>
    <x v="6"/>
    <s v="GNR_ST_MSW_CND_E-40"/>
    <x v="0"/>
    <x v="12"/>
    <n v="806"/>
    <n v="294190"/>
    <n v="1059084"/>
  </r>
  <r>
    <x v="0"/>
    <x v="0"/>
    <x v="0"/>
    <x v="10"/>
    <x v="21"/>
    <s v="UK_A"/>
    <x v="2"/>
    <x v="6"/>
    <s v="GNR_ST_MSW_CND_E-40"/>
    <x v="0"/>
    <x v="13"/>
    <n v="806"/>
    <n v="294190"/>
    <n v="1059084"/>
  </r>
  <r>
    <x v="0"/>
    <x v="0"/>
    <x v="0"/>
    <x v="10"/>
    <x v="21"/>
    <s v="UK_A"/>
    <x v="2"/>
    <x v="6"/>
    <s v="GNR_ST_MSW_CND_E-40"/>
    <x v="0"/>
    <x v="14"/>
    <n v="806"/>
    <n v="294190"/>
    <n v="1059084"/>
  </r>
  <r>
    <x v="0"/>
    <x v="0"/>
    <x v="0"/>
    <x v="10"/>
    <x v="21"/>
    <s v="UK_A"/>
    <x v="2"/>
    <x v="6"/>
    <s v="GNR_ST_MSW_CND_E-40"/>
    <x v="0"/>
    <x v="15"/>
    <n v="806"/>
    <n v="294190"/>
    <n v="1059084"/>
  </r>
  <r>
    <x v="0"/>
    <x v="0"/>
    <x v="0"/>
    <x v="10"/>
    <x v="21"/>
    <s v="UK_A"/>
    <x v="2"/>
    <x v="6"/>
    <s v="GNR_ST_MSW_CND_E-40"/>
    <x v="0"/>
    <x v="16"/>
    <n v="806"/>
    <n v="294190"/>
    <n v="1059084"/>
  </r>
  <r>
    <x v="0"/>
    <x v="0"/>
    <x v="0"/>
    <x v="10"/>
    <x v="21"/>
    <s v="UK_A"/>
    <x v="2"/>
    <x v="6"/>
    <s v="GNR_ST_MSW_CND_E-40"/>
    <x v="0"/>
    <x v="17"/>
    <n v="806"/>
    <n v="294190"/>
    <n v="1059084"/>
  </r>
  <r>
    <x v="0"/>
    <x v="0"/>
    <x v="0"/>
    <x v="10"/>
    <x v="21"/>
    <s v="UK_A"/>
    <x v="2"/>
    <x v="6"/>
    <s v="GNR_ST_MSW_CND_E-40"/>
    <x v="0"/>
    <x v="19"/>
    <n v="806"/>
    <n v="294190"/>
    <n v="1059084"/>
  </r>
  <r>
    <x v="0"/>
    <x v="0"/>
    <x v="0"/>
    <x v="10"/>
    <x v="21"/>
    <s v="UK_A"/>
    <x v="2"/>
    <x v="6"/>
    <s v="GNR_ST_MSW_CND_E-40"/>
    <x v="0"/>
    <x v="20"/>
    <n v="806"/>
    <n v="294190"/>
    <n v="1059084"/>
  </r>
  <r>
    <x v="0"/>
    <x v="0"/>
    <x v="0"/>
    <x v="10"/>
    <x v="21"/>
    <s v="UK_A"/>
    <x v="2"/>
    <x v="6"/>
    <s v="GNR_ST_MSW_CND_E-40"/>
    <x v="0"/>
    <x v="21"/>
    <n v="806"/>
    <n v="294190"/>
    <n v="1059084"/>
  </r>
  <r>
    <x v="0"/>
    <x v="0"/>
    <x v="0"/>
    <x v="10"/>
    <x v="21"/>
    <s v="UK_A"/>
    <x v="2"/>
    <x v="6"/>
    <s v="GNR_ST_MSW_CND_E-40"/>
    <x v="0"/>
    <x v="22"/>
    <n v="806"/>
    <n v="294190"/>
    <n v="1059084"/>
  </r>
  <r>
    <x v="0"/>
    <x v="0"/>
    <x v="0"/>
    <x v="10"/>
    <x v="21"/>
    <s v="UK_A"/>
    <x v="2"/>
    <x v="6"/>
    <s v="GNR_ST_MSW_CND_E-40"/>
    <x v="0"/>
    <x v="23"/>
    <n v="806"/>
    <n v="294190"/>
    <n v="1059084"/>
  </r>
  <r>
    <x v="0"/>
    <x v="0"/>
    <x v="0"/>
    <x v="10"/>
    <x v="21"/>
    <s v="UK_A"/>
    <x v="8"/>
    <x v="6"/>
    <s v="GNR_CC_NGAS_CND_E-47"/>
    <x v="0"/>
    <x v="15"/>
    <n v="349.48709194963197"/>
    <n v="127562.78856161601"/>
    <n v="459226.03882181598"/>
  </r>
  <r>
    <x v="0"/>
    <x v="0"/>
    <x v="0"/>
    <x v="10"/>
    <x v="21"/>
    <s v="UK_A"/>
    <x v="8"/>
    <x v="6"/>
    <s v="GNR_CC_NGAS_CND_E-47"/>
    <x v="0"/>
    <x v="16"/>
    <n v="3738.8404699345301"/>
    <n v="1364676.7715261001"/>
    <n v="4912836.3774939803"/>
  </r>
  <r>
    <x v="0"/>
    <x v="0"/>
    <x v="0"/>
    <x v="10"/>
    <x v="21"/>
    <s v="UK_A"/>
    <x v="8"/>
    <x v="6"/>
    <s v="GNR_CC_NGAS_CND_E-47"/>
    <x v="0"/>
    <x v="17"/>
    <n v="2660.0201961058301"/>
    <n v="970907.37157862901"/>
    <n v="3495266.5376830599"/>
  </r>
  <r>
    <x v="0"/>
    <x v="0"/>
    <x v="0"/>
    <x v="10"/>
    <x v="21"/>
    <s v="UK_A"/>
    <x v="8"/>
    <x v="6"/>
    <s v="GNR_CC_NGAS_CND_E-52"/>
    <x v="0"/>
    <x v="14"/>
    <n v="1179.1664200600101"/>
    <n v="430395.74332190299"/>
    <n v="1549424.67595885"/>
  </r>
  <r>
    <x v="0"/>
    <x v="0"/>
    <x v="0"/>
    <x v="10"/>
    <x v="21"/>
    <s v="UK_A"/>
    <x v="8"/>
    <x v="6"/>
    <s v="GNR_CC_NGAS_CND_E-52"/>
    <x v="0"/>
    <x v="15"/>
    <n v="6950"/>
    <n v="2536750"/>
    <n v="9132300"/>
  </r>
  <r>
    <x v="0"/>
    <x v="0"/>
    <x v="0"/>
    <x v="10"/>
    <x v="21"/>
    <s v="UK_A"/>
    <x v="8"/>
    <x v="6"/>
    <s v="GNR_CC_NGAS_CND_E-52"/>
    <x v="0"/>
    <x v="16"/>
    <n v="6950"/>
    <n v="2536750"/>
    <n v="9132300"/>
  </r>
  <r>
    <x v="0"/>
    <x v="0"/>
    <x v="0"/>
    <x v="10"/>
    <x v="21"/>
    <s v="UK_A"/>
    <x v="8"/>
    <x v="6"/>
    <s v="GNR_CC_NGAS_CND_E-52"/>
    <x v="0"/>
    <x v="17"/>
    <n v="6950"/>
    <n v="2536750"/>
    <n v="9132300"/>
  </r>
  <r>
    <x v="0"/>
    <x v="0"/>
    <x v="0"/>
    <x v="10"/>
    <x v="21"/>
    <s v="UK_A"/>
    <x v="8"/>
    <x v="6"/>
    <s v="GNR_CC_NGAS_CND_E-52"/>
    <x v="0"/>
    <x v="19"/>
    <n v="6716.1713864581398"/>
    <n v="2451402.5560572199"/>
    <n v="8825049.2018059995"/>
  </r>
  <r>
    <x v="0"/>
    <x v="0"/>
    <x v="0"/>
    <x v="10"/>
    <x v="21"/>
    <s v="UK_A"/>
    <x v="8"/>
    <x v="6"/>
    <s v="GNR_CC_NGAS_CND_E-52"/>
    <x v="0"/>
    <x v="20"/>
    <n v="2909.2050565367699"/>
    <n v="1061859.8456359201"/>
    <n v="3822695.4442893099"/>
  </r>
  <r>
    <x v="0"/>
    <x v="0"/>
    <x v="0"/>
    <x v="10"/>
    <x v="21"/>
    <s v="UK_A"/>
    <x v="8"/>
    <x v="6"/>
    <s v="GNR_CC_NGAS_CND_E-56"/>
    <x v="0"/>
    <x v="6"/>
    <n v="1955.91518004614"/>
    <n v="713909.04071684298"/>
    <n v="2570072.5465806401"/>
  </r>
  <r>
    <x v="0"/>
    <x v="0"/>
    <x v="0"/>
    <x v="10"/>
    <x v="21"/>
    <s v="UK_A"/>
    <x v="8"/>
    <x v="6"/>
    <s v="GNR_CC_NGAS_CND_E-56"/>
    <x v="0"/>
    <x v="7"/>
    <n v="5326.7429593489096"/>
    <n v="1944261.1801623499"/>
    <n v="6999340.2485844698"/>
  </r>
  <r>
    <x v="0"/>
    <x v="0"/>
    <x v="0"/>
    <x v="10"/>
    <x v="21"/>
    <s v="UK_A"/>
    <x v="8"/>
    <x v="6"/>
    <s v="GNR_CC_NGAS_CND_E-56"/>
    <x v="0"/>
    <x v="8"/>
    <n v="5964.5278079604604"/>
    <n v="2177052.6499055699"/>
    <n v="7837389.5396600496"/>
  </r>
  <r>
    <x v="0"/>
    <x v="0"/>
    <x v="0"/>
    <x v="10"/>
    <x v="21"/>
    <s v="UK_A"/>
    <x v="8"/>
    <x v="6"/>
    <s v="GNR_CC_NGAS_CND_E-56"/>
    <x v="0"/>
    <x v="9"/>
    <n v="5684.7271853958"/>
    <n v="2074925.4226694701"/>
    <n v="7469731.5216100803"/>
  </r>
  <r>
    <x v="0"/>
    <x v="0"/>
    <x v="0"/>
    <x v="10"/>
    <x v="21"/>
    <s v="UK_A"/>
    <x v="8"/>
    <x v="6"/>
    <s v="GNR_CC_NGAS_CND_E-56"/>
    <x v="0"/>
    <x v="10"/>
    <n v="5604.2642540606903"/>
    <n v="2045556.45273215"/>
    <n v="7364003.2298357496"/>
  </r>
  <r>
    <x v="0"/>
    <x v="0"/>
    <x v="0"/>
    <x v="10"/>
    <x v="21"/>
    <s v="UK_A"/>
    <x v="8"/>
    <x v="6"/>
    <s v="GNR_CC_NGAS_CND_E-56"/>
    <x v="0"/>
    <x v="11"/>
    <n v="4901.2205819031797"/>
    <n v="1788945.5123946599"/>
    <n v="6440203.8446207801"/>
  </r>
  <r>
    <x v="0"/>
    <x v="0"/>
    <x v="0"/>
    <x v="10"/>
    <x v="21"/>
    <s v="UK_A"/>
    <x v="8"/>
    <x v="6"/>
    <s v="GNR_CC_NGAS_CND_E-56"/>
    <x v="0"/>
    <x v="12"/>
    <n v="5705.4784226437896"/>
    <n v="2082499.62426498"/>
    <n v="7496998.6473539397"/>
  </r>
  <r>
    <x v="0"/>
    <x v="0"/>
    <x v="0"/>
    <x v="10"/>
    <x v="21"/>
    <s v="UK_A"/>
    <x v="8"/>
    <x v="6"/>
    <s v="GNR_CC_NGAS_CND_E-56"/>
    <x v="0"/>
    <x v="13"/>
    <n v="7831.8036250674704"/>
    <n v="2858608.3231496299"/>
    <n v="10290989.963338699"/>
  </r>
  <r>
    <x v="0"/>
    <x v="0"/>
    <x v="0"/>
    <x v="10"/>
    <x v="21"/>
    <s v="UK_A"/>
    <x v="8"/>
    <x v="6"/>
    <s v="GNR_CC_NGAS_CND_E-56"/>
    <x v="0"/>
    <x v="14"/>
    <n v="9060"/>
    <n v="3306900"/>
    <n v="11904840"/>
  </r>
  <r>
    <x v="0"/>
    <x v="0"/>
    <x v="0"/>
    <x v="10"/>
    <x v="21"/>
    <s v="UK_A"/>
    <x v="8"/>
    <x v="6"/>
    <s v="GNR_CC_NGAS_CND_E-56"/>
    <x v="0"/>
    <x v="15"/>
    <n v="9060"/>
    <n v="3306900"/>
    <n v="11904840"/>
  </r>
  <r>
    <x v="0"/>
    <x v="0"/>
    <x v="0"/>
    <x v="10"/>
    <x v="21"/>
    <s v="UK_A"/>
    <x v="8"/>
    <x v="6"/>
    <s v="GNR_CC_NGAS_CND_E-56"/>
    <x v="0"/>
    <x v="16"/>
    <n v="9060"/>
    <n v="3306900"/>
    <n v="11904840"/>
  </r>
  <r>
    <x v="0"/>
    <x v="0"/>
    <x v="0"/>
    <x v="10"/>
    <x v="21"/>
    <s v="UK_A"/>
    <x v="8"/>
    <x v="6"/>
    <s v="GNR_CC_NGAS_CND_E-56"/>
    <x v="0"/>
    <x v="17"/>
    <n v="9060"/>
    <n v="3306900"/>
    <n v="11904840"/>
  </r>
  <r>
    <x v="0"/>
    <x v="0"/>
    <x v="0"/>
    <x v="10"/>
    <x v="21"/>
    <s v="UK_A"/>
    <x v="8"/>
    <x v="6"/>
    <s v="GNR_CC_NGAS_CND_E-56"/>
    <x v="0"/>
    <x v="19"/>
    <n v="9060"/>
    <n v="3306900"/>
    <n v="11904840"/>
  </r>
  <r>
    <x v="0"/>
    <x v="0"/>
    <x v="0"/>
    <x v="10"/>
    <x v="21"/>
    <s v="UK_A"/>
    <x v="8"/>
    <x v="6"/>
    <s v="GNR_CC_NGAS_CND_E-56"/>
    <x v="0"/>
    <x v="20"/>
    <n v="9060"/>
    <n v="3306900"/>
    <n v="11904840"/>
  </r>
  <r>
    <x v="0"/>
    <x v="0"/>
    <x v="0"/>
    <x v="10"/>
    <x v="21"/>
    <s v="UK_A"/>
    <x v="8"/>
    <x v="6"/>
    <s v="GNR_CC_NGAS_CND_E-56"/>
    <x v="0"/>
    <x v="21"/>
    <n v="7182.0318377367303"/>
    <n v="2621441.6207739101"/>
    <n v="9437189.8347860593"/>
  </r>
  <r>
    <x v="0"/>
    <x v="0"/>
    <x v="0"/>
    <x v="10"/>
    <x v="21"/>
    <s v="UK_A"/>
    <x v="8"/>
    <x v="6"/>
    <s v="GNR_CC_NGAS_CND_E-56"/>
    <x v="0"/>
    <x v="22"/>
    <n v="2363.2048177913898"/>
    <n v="862569.75849385594"/>
    <n v="3105251.13057788"/>
  </r>
  <r>
    <x v="0"/>
    <x v="0"/>
    <x v="0"/>
    <x v="10"/>
    <x v="21"/>
    <s v="UK_A"/>
    <x v="14"/>
    <x v="6"/>
    <s v="GNR_ST_NUCL_CND_E-33"/>
    <x v="0"/>
    <x v="0"/>
    <n v="9401"/>
    <n v="3431365"/>
    <n v="12352914"/>
  </r>
  <r>
    <x v="0"/>
    <x v="0"/>
    <x v="0"/>
    <x v="10"/>
    <x v="21"/>
    <s v="UK_A"/>
    <x v="14"/>
    <x v="6"/>
    <s v="GNR_ST_NUCL_CND_E-33"/>
    <x v="0"/>
    <x v="1"/>
    <n v="9401"/>
    <n v="3431365"/>
    <n v="12352914"/>
  </r>
  <r>
    <x v="0"/>
    <x v="0"/>
    <x v="0"/>
    <x v="10"/>
    <x v="21"/>
    <s v="UK_A"/>
    <x v="14"/>
    <x v="6"/>
    <s v="GNR_ST_NUCL_CND_E-33"/>
    <x v="0"/>
    <x v="18"/>
    <n v="9401"/>
    <n v="3431365"/>
    <n v="12352914"/>
  </r>
  <r>
    <x v="0"/>
    <x v="0"/>
    <x v="0"/>
    <x v="10"/>
    <x v="21"/>
    <s v="UK_A"/>
    <x v="14"/>
    <x v="6"/>
    <s v="GNR_ST_NUCL_CND_E-33"/>
    <x v="0"/>
    <x v="2"/>
    <n v="9401"/>
    <n v="3431365"/>
    <n v="12352914"/>
  </r>
  <r>
    <x v="0"/>
    <x v="0"/>
    <x v="0"/>
    <x v="10"/>
    <x v="21"/>
    <s v="UK_A"/>
    <x v="14"/>
    <x v="6"/>
    <s v="GNR_ST_NUCL_CND_E-33"/>
    <x v="0"/>
    <x v="3"/>
    <n v="9401"/>
    <n v="3431365"/>
    <n v="12352914"/>
  </r>
  <r>
    <x v="0"/>
    <x v="0"/>
    <x v="0"/>
    <x v="10"/>
    <x v="21"/>
    <s v="UK_A"/>
    <x v="14"/>
    <x v="6"/>
    <s v="GNR_ST_NUCL_CND_E-33"/>
    <x v="0"/>
    <x v="4"/>
    <n v="9401"/>
    <n v="3431365"/>
    <n v="12352914"/>
  </r>
  <r>
    <x v="0"/>
    <x v="0"/>
    <x v="0"/>
    <x v="10"/>
    <x v="21"/>
    <s v="UK_A"/>
    <x v="14"/>
    <x v="6"/>
    <s v="GNR_ST_NUCL_CND_E-33"/>
    <x v="0"/>
    <x v="5"/>
    <n v="9401"/>
    <n v="3431365"/>
    <n v="12352914"/>
  </r>
  <r>
    <x v="0"/>
    <x v="0"/>
    <x v="0"/>
    <x v="10"/>
    <x v="21"/>
    <s v="UK_A"/>
    <x v="14"/>
    <x v="6"/>
    <s v="GNR_ST_NUCL_CND_E-33"/>
    <x v="0"/>
    <x v="6"/>
    <n v="9401"/>
    <n v="3431365"/>
    <n v="12352914"/>
  </r>
  <r>
    <x v="0"/>
    <x v="0"/>
    <x v="0"/>
    <x v="10"/>
    <x v="21"/>
    <s v="UK_A"/>
    <x v="14"/>
    <x v="6"/>
    <s v="GNR_ST_NUCL_CND_E-33"/>
    <x v="0"/>
    <x v="7"/>
    <n v="9401"/>
    <n v="3431365"/>
    <n v="12352914"/>
  </r>
  <r>
    <x v="0"/>
    <x v="0"/>
    <x v="0"/>
    <x v="10"/>
    <x v="21"/>
    <s v="UK_A"/>
    <x v="14"/>
    <x v="6"/>
    <s v="GNR_ST_NUCL_CND_E-33"/>
    <x v="0"/>
    <x v="8"/>
    <n v="9401"/>
    <n v="3431365"/>
    <n v="12352914"/>
  </r>
  <r>
    <x v="0"/>
    <x v="0"/>
    <x v="0"/>
    <x v="10"/>
    <x v="21"/>
    <s v="UK_A"/>
    <x v="14"/>
    <x v="6"/>
    <s v="GNR_ST_NUCL_CND_E-33"/>
    <x v="0"/>
    <x v="9"/>
    <n v="9401"/>
    <n v="3431365"/>
    <n v="12352914"/>
  </r>
  <r>
    <x v="0"/>
    <x v="0"/>
    <x v="0"/>
    <x v="10"/>
    <x v="21"/>
    <s v="UK_A"/>
    <x v="14"/>
    <x v="6"/>
    <s v="GNR_ST_NUCL_CND_E-33"/>
    <x v="0"/>
    <x v="10"/>
    <n v="9401"/>
    <n v="3431365"/>
    <n v="12352914"/>
  </r>
  <r>
    <x v="0"/>
    <x v="0"/>
    <x v="0"/>
    <x v="10"/>
    <x v="21"/>
    <s v="UK_A"/>
    <x v="14"/>
    <x v="6"/>
    <s v="GNR_ST_NUCL_CND_E-33"/>
    <x v="0"/>
    <x v="11"/>
    <n v="9401"/>
    <n v="3431365"/>
    <n v="12352914"/>
  </r>
  <r>
    <x v="0"/>
    <x v="0"/>
    <x v="0"/>
    <x v="10"/>
    <x v="21"/>
    <s v="UK_A"/>
    <x v="14"/>
    <x v="6"/>
    <s v="GNR_ST_NUCL_CND_E-33"/>
    <x v="0"/>
    <x v="12"/>
    <n v="9401"/>
    <n v="3431365"/>
    <n v="12352914"/>
  </r>
  <r>
    <x v="0"/>
    <x v="0"/>
    <x v="0"/>
    <x v="10"/>
    <x v="21"/>
    <s v="UK_A"/>
    <x v="14"/>
    <x v="6"/>
    <s v="GNR_ST_NUCL_CND_E-33"/>
    <x v="0"/>
    <x v="13"/>
    <n v="9401"/>
    <n v="3431365"/>
    <n v="12352914"/>
  </r>
  <r>
    <x v="0"/>
    <x v="0"/>
    <x v="0"/>
    <x v="10"/>
    <x v="21"/>
    <s v="UK_A"/>
    <x v="14"/>
    <x v="6"/>
    <s v="GNR_ST_NUCL_CND_E-33"/>
    <x v="0"/>
    <x v="14"/>
    <n v="9401"/>
    <n v="3431365"/>
    <n v="12352914"/>
  </r>
  <r>
    <x v="0"/>
    <x v="0"/>
    <x v="0"/>
    <x v="10"/>
    <x v="21"/>
    <s v="UK_A"/>
    <x v="14"/>
    <x v="6"/>
    <s v="GNR_ST_NUCL_CND_E-33"/>
    <x v="0"/>
    <x v="15"/>
    <n v="9401"/>
    <n v="3431365"/>
    <n v="12352914"/>
  </r>
  <r>
    <x v="0"/>
    <x v="0"/>
    <x v="0"/>
    <x v="10"/>
    <x v="21"/>
    <s v="UK_A"/>
    <x v="14"/>
    <x v="6"/>
    <s v="GNR_ST_NUCL_CND_E-33"/>
    <x v="0"/>
    <x v="16"/>
    <n v="9401"/>
    <n v="3431365"/>
    <n v="12352914"/>
  </r>
  <r>
    <x v="0"/>
    <x v="0"/>
    <x v="0"/>
    <x v="10"/>
    <x v="21"/>
    <s v="UK_A"/>
    <x v="14"/>
    <x v="6"/>
    <s v="GNR_ST_NUCL_CND_E-33"/>
    <x v="0"/>
    <x v="17"/>
    <n v="9401"/>
    <n v="3431365"/>
    <n v="12352914"/>
  </r>
  <r>
    <x v="0"/>
    <x v="0"/>
    <x v="0"/>
    <x v="10"/>
    <x v="21"/>
    <s v="UK_A"/>
    <x v="14"/>
    <x v="6"/>
    <s v="GNR_ST_NUCL_CND_E-33"/>
    <x v="0"/>
    <x v="19"/>
    <n v="9401"/>
    <n v="3431365"/>
    <n v="12352914"/>
  </r>
  <r>
    <x v="0"/>
    <x v="0"/>
    <x v="0"/>
    <x v="10"/>
    <x v="21"/>
    <s v="UK_A"/>
    <x v="14"/>
    <x v="6"/>
    <s v="GNR_ST_NUCL_CND_E-33"/>
    <x v="0"/>
    <x v="20"/>
    <n v="9401"/>
    <n v="3431365"/>
    <n v="12352914"/>
  </r>
  <r>
    <x v="0"/>
    <x v="0"/>
    <x v="0"/>
    <x v="10"/>
    <x v="21"/>
    <s v="UK_A"/>
    <x v="14"/>
    <x v="6"/>
    <s v="GNR_ST_NUCL_CND_E-33"/>
    <x v="0"/>
    <x v="21"/>
    <n v="9401"/>
    <n v="3431365"/>
    <n v="12352914"/>
  </r>
  <r>
    <x v="0"/>
    <x v="0"/>
    <x v="0"/>
    <x v="10"/>
    <x v="21"/>
    <s v="UK_A"/>
    <x v="14"/>
    <x v="6"/>
    <s v="GNR_ST_NUCL_CND_E-33"/>
    <x v="0"/>
    <x v="22"/>
    <n v="9401"/>
    <n v="3431365"/>
    <n v="12352914"/>
  </r>
  <r>
    <x v="0"/>
    <x v="0"/>
    <x v="0"/>
    <x v="10"/>
    <x v="21"/>
    <s v="UK_A"/>
    <x v="14"/>
    <x v="6"/>
    <s v="GNR_ST_NUCL_CND_E-33"/>
    <x v="0"/>
    <x v="23"/>
    <n v="9401"/>
    <n v="3431365"/>
    <n v="12352914"/>
  </r>
  <r>
    <x v="0"/>
    <x v="0"/>
    <x v="0"/>
    <x v="10"/>
    <x v="21"/>
    <s v="UK_A"/>
    <x v="5"/>
    <x v="3"/>
    <s v="GNR_PV_SUN"/>
    <x v="0"/>
    <x v="4"/>
    <n v="91.934696158323504"/>
    <n v="33556.164097788103"/>
    <n v="120802.190752037"/>
  </r>
  <r>
    <x v="0"/>
    <x v="0"/>
    <x v="0"/>
    <x v="10"/>
    <x v="21"/>
    <s v="UK_A"/>
    <x v="5"/>
    <x v="3"/>
    <s v="GNR_PV_SUN"/>
    <x v="0"/>
    <x v="5"/>
    <n v="183.86939231664701"/>
    <n v="67112.328195576294"/>
    <n v="241604.38150407499"/>
  </r>
  <r>
    <x v="0"/>
    <x v="0"/>
    <x v="0"/>
    <x v="10"/>
    <x v="21"/>
    <s v="UK_A"/>
    <x v="5"/>
    <x v="3"/>
    <s v="GNR_PV_SUN"/>
    <x v="0"/>
    <x v="6"/>
    <n v="220.643270779977"/>
    <n v="80534.793834691605"/>
    <n v="289925.25780488999"/>
  </r>
  <r>
    <x v="0"/>
    <x v="0"/>
    <x v="0"/>
    <x v="10"/>
    <x v="21"/>
    <s v="UK_A"/>
    <x v="5"/>
    <x v="3"/>
    <s v="GNR_PV_SUN"/>
    <x v="0"/>
    <x v="7"/>
    <n v="220.643270779977"/>
    <n v="80534.793834691605"/>
    <n v="289925.25780488999"/>
  </r>
  <r>
    <x v="0"/>
    <x v="0"/>
    <x v="0"/>
    <x v="10"/>
    <x v="21"/>
    <s v="UK_A"/>
    <x v="5"/>
    <x v="3"/>
    <s v="GNR_PV_SUN"/>
    <x v="0"/>
    <x v="8"/>
    <n v="937.73390081489902"/>
    <n v="342272.87379743799"/>
    <n v="1232182.3456707799"/>
  </r>
  <r>
    <x v="0"/>
    <x v="0"/>
    <x v="0"/>
    <x v="10"/>
    <x v="21"/>
    <s v="UK_A"/>
    <x v="5"/>
    <x v="3"/>
    <s v="GNR_PV_SUN"/>
    <x v="0"/>
    <x v="9"/>
    <n v="1949.0155585564601"/>
    <n v="711390.678873108"/>
    <n v="2561006.4439431899"/>
  </r>
  <r>
    <x v="0"/>
    <x v="0"/>
    <x v="0"/>
    <x v="10"/>
    <x v="21"/>
    <s v="UK_A"/>
    <x v="5"/>
    <x v="3"/>
    <s v="GNR_PV_SUN"/>
    <x v="0"/>
    <x v="10"/>
    <n v="2813.2017024447"/>
    <n v="1026818.62139232"/>
    <n v="3696547.03701234"/>
  </r>
  <r>
    <x v="0"/>
    <x v="0"/>
    <x v="0"/>
    <x v="10"/>
    <x v="21"/>
    <s v="UK_A"/>
    <x v="5"/>
    <x v="3"/>
    <s v="GNR_PV_SUN"/>
    <x v="0"/>
    <x v="11"/>
    <n v="3401.5837578579799"/>
    <n v="1241578.07161816"/>
    <n v="4469681.05782538"/>
  </r>
  <r>
    <x v="0"/>
    <x v="0"/>
    <x v="0"/>
    <x v="10"/>
    <x v="21"/>
    <s v="UK_A"/>
    <x v="5"/>
    <x v="3"/>
    <s v="GNR_PV_SUN"/>
    <x v="0"/>
    <x v="12"/>
    <n v="2868.3625201396999"/>
    <n v="1046952.31985099"/>
    <n v="3769028.35146356"/>
  </r>
  <r>
    <x v="0"/>
    <x v="0"/>
    <x v="0"/>
    <x v="10"/>
    <x v="21"/>
    <s v="UK_A"/>
    <x v="5"/>
    <x v="3"/>
    <s v="GNR_PV_SUN"/>
    <x v="0"/>
    <x v="13"/>
    <n v="1930.6286193248"/>
    <n v="704679.44605355104"/>
    <n v="2536846.0057927798"/>
  </r>
  <r>
    <x v="0"/>
    <x v="0"/>
    <x v="0"/>
    <x v="10"/>
    <x v="21"/>
    <s v="UK_A"/>
    <x v="5"/>
    <x v="3"/>
    <s v="GNR_PV_SUN"/>
    <x v="0"/>
    <x v="14"/>
    <n v="900.96002235157005"/>
    <n v="328850.40815832303"/>
    <n v="1183861.46936996"/>
  </r>
  <r>
    <x v="0"/>
    <x v="0"/>
    <x v="0"/>
    <x v="10"/>
    <x v="21"/>
    <s v="UK_A"/>
    <x v="5"/>
    <x v="3"/>
    <s v="GNR_PV_SUN"/>
    <x v="0"/>
    <x v="15"/>
    <n v="183.86939231664701"/>
    <n v="67112.328195576294"/>
    <n v="241604.38150407499"/>
  </r>
  <r>
    <x v="0"/>
    <x v="0"/>
    <x v="0"/>
    <x v="10"/>
    <x v="21"/>
    <s v="UK_A"/>
    <x v="5"/>
    <x v="3"/>
    <s v="GNR_PV_SUN"/>
    <x v="0"/>
    <x v="16"/>
    <n v="36.773878463329403"/>
    <n v="13422.4656391152"/>
    <n v="48320.876300814904"/>
  </r>
  <r>
    <x v="0"/>
    <x v="0"/>
    <x v="0"/>
    <x v="10"/>
    <x v="21"/>
    <s v="UK_A"/>
    <x v="5"/>
    <x v="3"/>
    <s v="GNR_PV_SUN"/>
    <x v="0"/>
    <x v="17"/>
    <n v="36.773878463329403"/>
    <n v="13422.4656391152"/>
    <n v="48320.876300814904"/>
  </r>
  <r>
    <x v="0"/>
    <x v="0"/>
    <x v="0"/>
    <x v="10"/>
    <x v="21"/>
    <s v="UK_A"/>
    <x v="5"/>
    <x v="3"/>
    <s v="GNR_PV_SUN"/>
    <x v="0"/>
    <x v="19"/>
    <n v="18.386939231664702"/>
    <n v="6711.2328195576301"/>
    <n v="24160.438150407499"/>
  </r>
  <r>
    <x v="0"/>
    <x v="0"/>
    <x v="0"/>
    <x v="10"/>
    <x v="21"/>
    <s v="UK_A"/>
    <x v="6"/>
    <x v="8"/>
    <s v="GNR_ES_WTR_PMP"/>
    <x v="0"/>
    <x v="17"/>
    <n v="26.312000000000001"/>
    <n v="9603.8799999999992"/>
    <n v="34573.968000000001"/>
  </r>
  <r>
    <x v="0"/>
    <x v="0"/>
    <x v="0"/>
    <x v="10"/>
    <x v="21"/>
    <s v="UK_A"/>
    <x v="6"/>
    <x v="4"/>
    <s v="GNR_ROR_WTR"/>
    <x v="0"/>
    <x v="0"/>
    <n v="602.97643832497397"/>
    <n v="220086.39998861501"/>
    <n v="792311.03995901602"/>
  </r>
  <r>
    <x v="0"/>
    <x v="0"/>
    <x v="0"/>
    <x v="10"/>
    <x v="21"/>
    <s v="UK_A"/>
    <x v="6"/>
    <x v="4"/>
    <s v="GNR_ROR_WTR"/>
    <x v="0"/>
    <x v="1"/>
    <n v="602.97643832497397"/>
    <n v="220086.39998861501"/>
    <n v="792311.03995901602"/>
  </r>
  <r>
    <x v="0"/>
    <x v="0"/>
    <x v="0"/>
    <x v="10"/>
    <x v="21"/>
    <s v="UK_A"/>
    <x v="6"/>
    <x v="4"/>
    <s v="GNR_ROR_WTR"/>
    <x v="0"/>
    <x v="18"/>
    <n v="602.97643832497397"/>
    <n v="220086.39998861501"/>
    <n v="792311.03995901602"/>
  </r>
  <r>
    <x v="0"/>
    <x v="0"/>
    <x v="0"/>
    <x v="10"/>
    <x v="21"/>
    <s v="UK_A"/>
    <x v="6"/>
    <x v="4"/>
    <s v="GNR_ROR_WTR"/>
    <x v="0"/>
    <x v="2"/>
    <n v="602.97643832497397"/>
    <n v="220086.39998861501"/>
    <n v="792311.03995901602"/>
  </r>
  <r>
    <x v="0"/>
    <x v="0"/>
    <x v="0"/>
    <x v="10"/>
    <x v="21"/>
    <s v="UK_A"/>
    <x v="6"/>
    <x v="4"/>
    <s v="GNR_ROR_WTR"/>
    <x v="0"/>
    <x v="3"/>
    <n v="602.97643832497397"/>
    <n v="220086.39998861501"/>
    <n v="792311.03995901602"/>
  </r>
  <r>
    <x v="0"/>
    <x v="0"/>
    <x v="0"/>
    <x v="10"/>
    <x v="21"/>
    <s v="UK_A"/>
    <x v="6"/>
    <x v="4"/>
    <s v="GNR_ROR_WTR"/>
    <x v="0"/>
    <x v="4"/>
    <n v="602.97643832497397"/>
    <n v="220086.39998861501"/>
    <n v="792311.03995901602"/>
  </r>
  <r>
    <x v="0"/>
    <x v="0"/>
    <x v="0"/>
    <x v="10"/>
    <x v="21"/>
    <s v="UK_A"/>
    <x v="6"/>
    <x v="4"/>
    <s v="GNR_ROR_WTR"/>
    <x v="0"/>
    <x v="5"/>
    <n v="602.97643832497397"/>
    <n v="220086.39998861501"/>
    <n v="792311.03995901602"/>
  </r>
  <r>
    <x v="0"/>
    <x v="0"/>
    <x v="0"/>
    <x v="10"/>
    <x v="21"/>
    <s v="UK_A"/>
    <x v="6"/>
    <x v="4"/>
    <s v="GNR_ROR_WTR"/>
    <x v="0"/>
    <x v="6"/>
    <n v="602.97643832497397"/>
    <n v="220086.39998861501"/>
    <n v="792311.03995901602"/>
  </r>
  <r>
    <x v="0"/>
    <x v="0"/>
    <x v="0"/>
    <x v="10"/>
    <x v="21"/>
    <s v="UK_A"/>
    <x v="6"/>
    <x v="4"/>
    <s v="GNR_ROR_WTR"/>
    <x v="0"/>
    <x v="7"/>
    <n v="602.97643832497397"/>
    <n v="220086.39998861501"/>
    <n v="792311.03995901602"/>
  </r>
  <r>
    <x v="0"/>
    <x v="0"/>
    <x v="0"/>
    <x v="10"/>
    <x v="21"/>
    <s v="UK_A"/>
    <x v="6"/>
    <x v="4"/>
    <s v="GNR_ROR_WTR"/>
    <x v="0"/>
    <x v="8"/>
    <n v="602.97643832497397"/>
    <n v="220086.39998861501"/>
    <n v="792311.03995901602"/>
  </r>
  <r>
    <x v="0"/>
    <x v="0"/>
    <x v="0"/>
    <x v="10"/>
    <x v="21"/>
    <s v="UK_A"/>
    <x v="6"/>
    <x v="4"/>
    <s v="GNR_ROR_WTR"/>
    <x v="0"/>
    <x v="9"/>
    <n v="602.97643832497397"/>
    <n v="220086.39998861501"/>
    <n v="792311.03995901602"/>
  </r>
  <r>
    <x v="0"/>
    <x v="0"/>
    <x v="0"/>
    <x v="10"/>
    <x v="21"/>
    <s v="UK_A"/>
    <x v="6"/>
    <x v="4"/>
    <s v="GNR_ROR_WTR"/>
    <x v="0"/>
    <x v="10"/>
    <n v="602.97643832497397"/>
    <n v="220086.39998861501"/>
    <n v="792311.03995901602"/>
  </r>
  <r>
    <x v="0"/>
    <x v="0"/>
    <x v="0"/>
    <x v="10"/>
    <x v="21"/>
    <s v="UK_A"/>
    <x v="6"/>
    <x v="4"/>
    <s v="GNR_ROR_WTR"/>
    <x v="0"/>
    <x v="11"/>
    <n v="602.97643832497397"/>
    <n v="220086.39998861501"/>
    <n v="792311.03995901602"/>
  </r>
  <r>
    <x v="0"/>
    <x v="0"/>
    <x v="0"/>
    <x v="10"/>
    <x v="21"/>
    <s v="UK_A"/>
    <x v="6"/>
    <x v="4"/>
    <s v="GNR_ROR_WTR"/>
    <x v="0"/>
    <x v="12"/>
    <n v="602.97643832497397"/>
    <n v="220086.39998861501"/>
    <n v="792311.03995901602"/>
  </r>
  <r>
    <x v="0"/>
    <x v="0"/>
    <x v="0"/>
    <x v="10"/>
    <x v="21"/>
    <s v="UK_A"/>
    <x v="6"/>
    <x v="4"/>
    <s v="GNR_ROR_WTR"/>
    <x v="0"/>
    <x v="13"/>
    <n v="602.97643832497397"/>
    <n v="220086.39998861501"/>
    <n v="792311.03995901602"/>
  </r>
  <r>
    <x v="0"/>
    <x v="0"/>
    <x v="0"/>
    <x v="10"/>
    <x v="21"/>
    <s v="UK_A"/>
    <x v="6"/>
    <x v="4"/>
    <s v="GNR_ROR_WTR"/>
    <x v="0"/>
    <x v="14"/>
    <n v="602.97643832497397"/>
    <n v="220086.39998861501"/>
    <n v="792311.03995901602"/>
  </r>
  <r>
    <x v="0"/>
    <x v="0"/>
    <x v="0"/>
    <x v="10"/>
    <x v="21"/>
    <s v="UK_A"/>
    <x v="6"/>
    <x v="4"/>
    <s v="GNR_ROR_WTR"/>
    <x v="0"/>
    <x v="15"/>
    <n v="602.97643832497397"/>
    <n v="220086.39998861501"/>
    <n v="792311.03995901602"/>
  </r>
  <r>
    <x v="0"/>
    <x v="0"/>
    <x v="0"/>
    <x v="10"/>
    <x v="21"/>
    <s v="UK_A"/>
    <x v="6"/>
    <x v="4"/>
    <s v="GNR_ROR_WTR"/>
    <x v="0"/>
    <x v="16"/>
    <n v="602.97643832497397"/>
    <n v="220086.39998861501"/>
    <n v="792311.03995901602"/>
  </r>
  <r>
    <x v="0"/>
    <x v="0"/>
    <x v="0"/>
    <x v="10"/>
    <x v="21"/>
    <s v="UK_A"/>
    <x v="6"/>
    <x v="4"/>
    <s v="GNR_ROR_WTR"/>
    <x v="0"/>
    <x v="17"/>
    <n v="602.97643832497397"/>
    <n v="220086.39998861501"/>
    <n v="792311.03995901602"/>
  </r>
  <r>
    <x v="0"/>
    <x v="0"/>
    <x v="0"/>
    <x v="10"/>
    <x v="21"/>
    <s v="UK_A"/>
    <x v="6"/>
    <x v="4"/>
    <s v="GNR_ROR_WTR"/>
    <x v="0"/>
    <x v="19"/>
    <n v="602.97643832497397"/>
    <n v="220086.39998861501"/>
    <n v="792311.03995901602"/>
  </r>
  <r>
    <x v="0"/>
    <x v="0"/>
    <x v="0"/>
    <x v="10"/>
    <x v="21"/>
    <s v="UK_A"/>
    <x v="6"/>
    <x v="4"/>
    <s v="GNR_ROR_WTR"/>
    <x v="0"/>
    <x v="20"/>
    <n v="602.97643832497397"/>
    <n v="220086.39998861501"/>
    <n v="792311.03995901602"/>
  </r>
  <r>
    <x v="0"/>
    <x v="0"/>
    <x v="0"/>
    <x v="10"/>
    <x v="21"/>
    <s v="UK_A"/>
    <x v="6"/>
    <x v="4"/>
    <s v="GNR_ROR_WTR"/>
    <x v="0"/>
    <x v="21"/>
    <n v="602.97643832497397"/>
    <n v="220086.39998861501"/>
    <n v="792311.03995901602"/>
  </r>
  <r>
    <x v="0"/>
    <x v="0"/>
    <x v="0"/>
    <x v="10"/>
    <x v="21"/>
    <s v="UK_A"/>
    <x v="6"/>
    <x v="4"/>
    <s v="GNR_ROR_WTR"/>
    <x v="0"/>
    <x v="22"/>
    <n v="602.97643832497397"/>
    <n v="220086.39998861501"/>
    <n v="792311.03995901602"/>
  </r>
  <r>
    <x v="0"/>
    <x v="0"/>
    <x v="0"/>
    <x v="10"/>
    <x v="21"/>
    <s v="UK_A"/>
    <x v="6"/>
    <x v="4"/>
    <s v="GNR_ROR_WTR"/>
    <x v="0"/>
    <x v="23"/>
    <n v="602.97643832497397"/>
    <n v="220086.39998861501"/>
    <n v="792311.03995901602"/>
  </r>
  <r>
    <x v="0"/>
    <x v="0"/>
    <x v="0"/>
    <x v="10"/>
    <x v="21"/>
    <s v="UK_A"/>
    <x v="7"/>
    <x v="5"/>
    <s v="GNR_WT_WIND_ONS"/>
    <x v="0"/>
    <x v="0"/>
    <n v="3871.3346559148999"/>
    <n v="1413037.14940894"/>
    <n v="5086933.7378721898"/>
  </r>
  <r>
    <x v="0"/>
    <x v="0"/>
    <x v="0"/>
    <x v="10"/>
    <x v="21"/>
    <s v="UK_A"/>
    <x v="7"/>
    <x v="5"/>
    <s v="GNR_WT_WIND_ONS"/>
    <x v="0"/>
    <x v="1"/>
    <n v="4037.88959422784"/>
    <n v="1473829.7018931599"/>
    <n v="5305786.9268153803"/>
  </r>
  <r>
    <x v="0"/>
    <x v="0"/>
    <x v="0"/>
    <x v="10"/>
    <x v="21"/>
    <s v="UK_A"/>
    <x v="7"/>
    <x v="5"/>
    <s v="GNR_WT_WIND_ONS"/>
    <x v="0"/>
    <x v="18"/>
    <n v="4217.25645087255"/>
    <n v="1539298.60456848"/>
    <n v="5541474.9764465299"/>
  </r>
  <r>
    <x v="0"/>
    <x v="0"/>
    <x v="0"/>
    <x v="10"/>
    <x v="21"/>
    <s v="UK_A"/>
    <x v="7"/>
    <x v="5"/>
    <s v="GNR_WT_WIND_ONS"/>
    <x v="0"/>
    <x v="2"/>
    <n v="4407.2999061270702"/>
    <n v="1608664.4657363801"/>
    <n v="5791192.0766509697"/>
  </r>
  <r>
    <x v="0"/>
    <x v="0"/>
    <x v="0"/>
    <x v="10"/>
    <x v="21"/>
    <s v="UK_A"/>
    <x v="7"/>
    <x v="5"/>
    <s v="GNR_WT_WIND_ONS"/>
    <x v="0"/>
    <x v="3"/>
    <n v="4447.87098084432"/>
    <n v="1623472.9080081801"/>
    <n v="5844502.46882944"/>
  </r>
  <r>
    <x v="0"/>
    <x v="0"/>
    <x v="0"/>
    <x v="10"/>
    <x v="21"/>
    <s v="UK_A"/>
    <x v="7"/>
    <x v="5"/>
    <s v="GNR_WT_WIND_ONS"/>
    <x v="0"/>
    <x v="4"/>
    <n v="4407.2999061270702"/>
    <n v="1608664.4657363801"/>
    <n v="5791192.0766509697"/>
  </r>
  <r>
    <x v="0"/>
    <x v="0"/>
    <x v="0"/>
    <x v="10"/>
    <x v="21"/>
    <s v="UK_A"/>
    <x v="7"/>
    <x v="5"/>
    <s v="GNR_WT_WIND_ONS"/>
    <x v="0"/>
    <x v="5"/>
    <n v="4452.1416202882301"/>
    <n v="1625031.6914052099"/>
    <n v="5850114.0890587401"/>
  </r>
  <r>
    <x v="0"/>
    <x v="0"/>
    <x v="0"/>
    <x v="10"/>
    <x v="21"/>
    <s v="UK_A"/>
    <x v="7"/>
    <x v="5"/>
    <s v="GNR_WT_WIND_ONS"/>
    <x v="0"/>
    <x v="6"/>
    <n v="4573.8548444400003"/>
    <n v="1669457.0182206"/>
    <n v="6010045.2655941704"/>
  </r>
  <r>
    <x v="0"/>
    <x v="0"/>
    <x v="0"/>
    <x v="10"/>
    <x v="21"/>
    <s v="UK_A"/>
    <x v="7"/>
    <x v="5"/>
    <s v="GNR_WT_WIND_ONS"/>
    <x v="0"/>
    <x v="7"/>
    <n v="4699.8387080356897"/>
    <n v="1715441.1284330301"/>
    <n v="6175588.0623589"/>
  </r>
  <r>
    <x v="0"/>
    <x v="0"/>
    <x v="0"/>
    <x v="10"/>
    <x v="21"/>
    <s v="UK_A"/>
    <x v="7"/>
    <x v="5"/>
    <s v="GNR_WT_WIND_ONS"/>
    <x v="0"/>
    <x v="8"/>
    <n v="4509.7952527811904"/>
    <n v="1646075.2672651301"/>
    <n v="5925870.9621544797"/>
  </r>
  <r>
    <x v="0"/>
    <x v="0"/>
    <x v="0"/>
    <x v="10"/>
    <x v="21"/>
    <s v="UK_A"/>
    <x v="7"/>
    <x v="5"/>
    <s v="GNR_WT_WIND_ONS"/>
    <x v="0"/>
    <x v="9"/>
    <n v="4020.80703645216"/>
    <n v="1467594.56830504"/>
    <n v="5283340.4458981398"/>
  </r>
  <r>
    <x v="0"/>
    <x v="0"/>
    <x v="0"/>
    <x v="10"/>
    <x v="21"/>
    <s v="UK_A"/>
    <x v="7"/>
    <x v="5"/>
    <s v="GNR_WT_WIND_ONS"/>
    <x v="0"/>
    <x v="10"/>
    <n v="3649.2614048309802"/>
    <n v="1331980.4127633099"/>
    <n v="4795129.4859479098"/>
  </r>
  <r>
    <x v="0"/>
    <x v="0"/>
    <x v="0"/>
    <x v="10"/>
    <x v="21"/>
    <s v="UK_A"/>
    <x v="7"/>
    <x v="5"/>
    <s v="GNR_WT_WIND_ONS"/>
    <x v="0"/>
    <x v="11"/>
    <n v="3604.4196906698198"/>
    <n v="1315613.18709448"/>
    <n v="4736207.4735401403"/>
  </r>
  <r>
    <x v="0"/>
    <x v="0"/>
    <x v="0"/>
    <x v="10"/>
    <x v="21"/>
    <s v="UK_A"/>
    <x v="7"/>
    <x v="5"/>
    <s v="GNR_WT_WIND_ONS"/>
    <x v="0"/>
    <x v="12"/>
    <n v="3333.2340859808"/>
    <n v="1216630.44138299"/>
    <n v="4379869.5889787599"/>
  </r>
  <r>
    <x v="0"/>
    <x v="0"/>
    <x v="0"/>
    <x v="10"/>
    <x v="21"/>
    <s v="UK_A"/>
    <x v="7"/>
    <x v="5"/>
    <s v="GNR_WT_WIND_ONS"/>
    <x v="0"/>
    <x v="13"/>
    <n v="2498.3240746941201"/>
    <n v="911888.28726335499"/>
    <n v="3282797.8341480801"/>
  </r>
  <r>
    <x v="0"/>
    <x v="0"/>
    <x v="0"/>
    <x v="10"/>
    <x v="21"/>
    <s v="UK_A"/>
    <x v="7"/>
    <x v="5"/>
    <s v="GNR_WT_WIND_ONS"/>
    <x v="0"/>
    <x v="14"/>
    <n v="1864.13411727177"/>
    <n v="680408.952804195"/>
    <n v="2449472.2300951001"/>
  </r>
  <r>
    <x v="0"/>
    <x v="0"/>
    <x v="0"/>
    <x v="10"/>
    <x v="21"/>
    <s v="UK_A"/>
    <x v="7"/>
    <x v="5"/>
    <s v="GNR_WT_WIND_ONS"/>
    <x v="0"/>
    <x v="15"/>
    <n v="1422.1229348258801"/>
    <n v="519074.87121144799"/>
    <n v="1868669.53636121"/>
  </r>
  <r>
    <x v="0"/>
    <x v="0"/>
    <x v="0"/>
    <x v="10"/>
    <x v="21"/>
    <s v="UK_A"/>
    <x v="7"/>
    <x v="5"/>
    <s v="GNR_WT_WIND_ONS"/>
    <x v="0"/>
    <x v="16"/>
    <n v="1140.26073152706"/>
    <n v="416195.16700737702"/>
    <n v="1498302.6012265601"/>
  </r>
  <r>
    <x v="0"/>
    <x v="0"/>
    <x v="0"/>
    <x v="10"/>
    <x v="21"/>
    <s v="UK_A"/>
    <x v="7"/>
    <x v="5"/>
    <s v="GNR_WT_WIND_ONS"/>
    <x v="0"/>
    <x v="17"/>
    <n v="1014.27686793137"/>
    <n v="370211.05679495097"/>
    <n v="1332759.8044618201"/>
  </r>
  <r>
    <x v="0"/>
    <x v="0"/>
    <x v="0"/>
    <x v="10"/>
    <x v="21"/>
    <s v="UK_A"/>
    <x v="7"/>
    <x v="5"/>
    <s v="GNR_WT_WIND_ONS"/>
    <x v="0"/>
    <x v="19"/>
    <n v="943.81131710666898"/>
    <n v="344491.13074393402"/>
    <n v="1240168.0706781601"/>
  </r>
  <r>
    <x v="0"/>
    <x v="0"/>
    <x v="0"/>
    <x v="10"/>
    <x v="21"/>
    <s v="UK_A"/>
    <x v="7"/>
    <x v="5"/>
    <s v="GNR_WT_WIND_ONS"/>
    <x v="0"/>
    <x v="20"/>
    <n v="999.32962987764802"/>
    <n v="364755.31490534201"/>
    <n v="1313119.1336592301"/>
  </r>
  <r>
    <x v="0"/>
    <x v="0"/>
    <x v="0"/>
    <x v="10"/>
    <x v="21"/>
    <s v="UK_A"/>
    <x v="7"/>
    <x v="5"/>
    <s v="GNR_WT_WIND_ONS"/>
    <x v="0"/>
    <x v="21"/>
    <n v="1157.34328930275"/>
    <n v="422430.30059550202"/>
    <n v="1520749.0821438101"/>
  </r>
  <r>
    <x v="0"/>
    <x v="0"/>
    <x v="0"/>
    <x v="10"/>
    <x v="21"/>
    <s v="UK_A"/>
    <x v="7"/>
    <x v="5"/>
    <s v="GNR_WT_WIND_ONS"/>
    <x v="0"/>
    <x v="22"/>
    <n v="1362.33398261098"/>
    <n v="497251.90365300898"/>
    <n v="1790106.8531508299"/>
  </r>
  <r>
    <x v="0"/>
    <x v="0"/>
    <x v="0"/>
    <x v="10"/>
    <x v="21"/>
    <s v="UK_A"/>
    <x v="7"/>
    <x v="5"/>
    <s v="GNR_WT_WIND_ONS"/>
    <x v="0"/>
    <x v="23"/>
    <n v="1439.2054926015701"/>
    <n v="525310.00479957403"/>
    <n v="1891116.0172784701"/>
  </r>
  <r>
    <x v="0"/>
    <x v="0"/>
    <x v="0"/>
    <x v="10"/>
    <x v="21"/>
    <s v="UK_Offshore"/>
    <x v="7"/>
    <x v="5"/>
    <s v="GNR_WT_WIND_OFF"/>
    <x v="0"/>
    <x v="0"/>
    <n v="2148.8929378575799"/>
    <n v="784345.92231801595"/>
    <n v="2823645.3203448602"/>
  </r>
  <r>
    <x v="0"/>
    <x v="0"/>
    <x v="0"/>
    <x v="10"/>
    <x v="21"/>
    <s v="UK_Offshore"/>
    <x v="7"/>
    <x v="5"/>
    <s v="GNR_WT_WIND_OFF"/>
    <x v="0"/>
    <x v="1"/>
    <n v="2241.3439302198999"/>
    <n v="818090.534530262"/>
    <n v="2945125.9243089398"/>
  </r>
  <r>
    <x v="0"/>
    <x v="0"/>
    <x v="0"/>
    <x v="10"/>
    <x v="21"/>
    <s v="UK_Offshore"/>
    <x v="7"/>
    <x v="5"/>
    <s v="GNR_WT_WIND_OFF"/>
    <x v="0"/>
    <x v="18"/>
    <n v="2340.9065373793201"/>
    <n v="854430.88614345202"/>
    <n v="3075951.1901164302"/>
  </r>
  <r>
    <x v="0"/>
    <x v="0"/>
    <x v="0"/>
    <x v="10"/>
    <x v="21"/>
    <s v="UK_Offshore"/>
    <x v="7"/>
    <x v="5"/>
    <s v="GNR_WT_WIND_OFF"/>
    <x v="0"/>
    <x v="2"/>
    <n v="2446.395490203"/>
    <n v="892934.35392409598"/>
    <n v="3214563.6741267499"/>
  </r>
  <r>
    <x v="0"/>
    <x v="0"/>
    <x v="0"/>
    <x v="10"/>
    <x v="21"/>
    <s v="UK_Offshore"/>
    <x v="7"/>
    <x v="5"/>
    <s v="GNR_WT_WIND_OFF"/>
    <x v="0"/>
    <x v="3"/>
    <n v="2468.91560372716"/>
    <n v="901154.19536041201"/>
    <n v="3244155.1032974799"/>
  </r>
  <r>
    <x v="0"/>
    <x v="0"/>
    <x v="0"/>
    <x v="10"/>
    <x v="21"/>
    <s v="UK_Offshore"/>
    <x v="7"/>
    <x v="5"/>
    <s v="GNR_WT_WIND_OFF"/>
    <x v="0"/>
    <x v="4"/>
    <n v="2446.395490203"/>
    <n v="892934.35392409598"/>
    <n v="3214563.6741267499"/>
  </r>
  <r>
    <x v="0"/>
    <x v="0"/>
    <x v="0"/>
    <x v="10"/>
    <x v="21"/>
    <s v="UK_Offshore"/>
    <x v="7"/>
    <x v="5"/>
    <s v="GNR_WT_WIND_OFF"/>
    <x v="0"/>
    <x v="5"/>
    <n v="2471.2861419928499"/>
    <n v="902019.44182739197"/>
    <n v="3247269.99057861"/>
  </r>
  <r>
    <x v="0"/>
    <x v="0"/>
    <x v="0"/>
    <x v="10"/>
    <x v="21"/>
    <s v="UK_Offshore"/>
    <x v="7"/>
    <x v="5"/>
    <s v="GNR_WT_WIND_OFF"/>
    <x v="0"/>
    <x v="6"/>
    <n v="2538.84648256532"/>
    <n v="926678.96613634296"/>
    <n v="3336044.27809083"/>
  </r>
  <r>
    <x v="0"/>
    <x v="0"/>
    <x v="0"/>
    <x v="10"/>
    <x v="21"/>
    <s v="UK_Offshore"/>
    <x v="7"/>
    <x v="5"/>
    <s v="GNR_WT_WIND_OFF"/>
    <x v="0"/>
    <x v="7"/>
    <n v="2608.77736140349"/>
    <n v="952203.73691227403"/>
    <n v="3427933.4528841898"/>
  </r>
  <r>
    <x v="0"/>
    <x v="0"/>
    <x v="0"/>
    <x v="10"/>
    <x v="21"/>
    <s v="UK_Offshore"/>
    <x v="7"/>
    <x v="5"/>
    <s v="GNR_WT_WIND_OFF"/>
    <x v="0"/>
    <x v="8"/>
    <n v="2503.28840857982"/>
    <n v="913700.26913163404"/>
    <n v="3289320.9688738799"/>
  </r>
  <r>
    <x v="0"/>
    <x v="0"/>
    <x v="0"/>
    <x v="10"/>
    <x v="21"/>
    <s v="UK_Offshore"/>
    <x v="7"/>
    <x v="5"/>
    <s v="GNR_WT_WIND_OFF"/>
    <x v="0"/>
    <x v="9"/>
    <n v="2231.8617771570998"/>
    <n v="814629.54866234004"/>
    <n v="2932666.37518442"/>
  </r>
  <r>
    <x v="0"/>
    <x v="0"/>
    <x v="0"/>
    <x v="10"/>
    <x v="21"/>
    <s v="UK_Offshore"/>
    <x v="7"/>
    <x v="5"/>
    <s v="GNR_WT_WIND_OFF"/>
    <x v="0"/>
    <x v="10"/>
    <n v="2025.62494804115"/>
    <n v="739353.10603501904"/>
    <n v="2661671.1817260701"/>
  </r>
  <r>
    <x v="0"/>
    <x v="0"/>
    <x v="0"/>
    <x v="10"/>
    <x v="21"/>
    <s v="UK_Offshore"/>
    <x v="7"/>
    <x v="5"/>
    <s v="GNR_WT_WIND_OFF"/>
    <x v="0"/>
    <x v="11"/>
    <n v="2000.7342962513001"/>
    <n v="730268.01813172305"/>
    <n v="2628964.8652742002"/>
  </r>
  <r>
    <x v="0"/>
    <x v="0"/>
    <x v="0"/>
    <x v="10"/>
    <x v="21"/>
    <s v="UK_Offshore"/>
    <x v="7"/>
    <x v="5"/>
    <s v="GNR_WT_WIND_OFF"/>
    <x v="0"/>
    <x v="12"/>
    <n v="1850.2051163793101"/>
    <n v="675324.86747844703"/>
    <n v="2431169.5229224102"/>
  </r>
  <r>
    <x v="0"/>
    <x v="0"/>
    <x v="0"/>
    <x v="10"/>
    <x v="21"/>
    <s v="UK_Offshore"/>
    <x v="7"/>
    <x v="5"/>
    <s v="GNR_WT_WIND_OFF"/>
    <x v="0"/>
    <x v="13"/>
    <n v="1386.7648854348399"/>
    <n v="506169.18318371801"/>
    <n v="1822209.0594613799"/>
  </r>
  <r>
    <x v="0"/>
    <x v="0"/>
    <x v="0"/>
    <x v="10"/>
    <x v="21"/>
    <s v="UK_Offshore"/>
    <x v="7"/>
    <x v="5"/>
    <s v="GNR_WT_WIND_OFF"/>
    <x v="0"/>
    <x v="14"/>
    <n v="1034.7399529782999"/>
    <n v="377680.08283708099"/>
    <n v="1359648.2982134901"/>
  </r>
  <r>
    <x v="0"/>
    <x v="0"/>
    <x v="0"/>
    <x v="10"/>
    <x v="21"/>
    <s v="UK_Offshore"/>
    <x v="7"/>
    <x v="5"/>
    <s v="GNR_WT_WIND_OFF"/>
    <x v="0"/>
    <x v="15"/>
    <n v="789.38924247829402"/>
    <n v="288127.07350457698"/>
    <n v="1037257.4646164801"/>
  </r>
  <r>
    <x v="0"/>
    <x v="0"/>
    <x v="0"/>
    <x v="10"/>
    <x v="21"/>
    <s v="UK_Offshore"/>
    <x v="7"/>
    <x v="5"/>
    <s v="GNR_WT_WIND_OFF"/>
    <x v="0"/>
    <x v="16"/>
    <n v="632.93371694205598"/>
    <n v="231020.806683851"/>
    <n v="831674.90406186203"/>
  </r>
  <r>
    <x v="0"/>
    <x v="0"/>
    <x v="0"/>
    <x v="10"/>
    <x v="21"/>
    <s v="UK_Offshore"/>
    <x v="7"/>
    <x v="5"/>
    <s v="GNR_WT_WIND_OFF"/>
    <x v="0"/>
    <x v="17"/>
    <n v="563.00283810388805"/>
    <n v="205496.03590791899"/>
    <n v="739785.72926850896"/>
  </r>
  <r>
    <x v="0"/>
    <x v="0"/>
    <x v="0"/>
    <x v="10"/>
    <x v="21"/>
    <s v="UK_Offshore"/>
    <x v="7"/>
    <x v="5"/>
    <s v="GNR_WT_WIND_OFF"/>
    <x v="0"/>
    <x v="19"/>
    <n v="523.88895671982903"/>
    <n v="191219.46920273799"/>
    <n v="688390.08912985597"/>
  </r>
  <r>
    <x v="0"/>
    <x v="0"/>
    <x v="0"/>
    <x v="10"/>
    <x v="21"/>
    <s v="UK_Offshore"/>
    <x v="7"/>
    <x v="5"/>
    <s v="GNR_WT_WIND_OFF"/>
    <x v="0"/>
    <x v="20"/>
    <n v="554.70595417393599"/>
    <n v="202467.67327348699"/>
    <n v="728883.62378455198"/>
  </r>
  <r>
    <x v="0"/>
    <x v="0"/>
    <x v="0"/>
    <x v="10"/>
    <x v="21"/>
    <s v="UK_Offshore"/>
    <x v="7"/>
    <x v="5"/>
    <s v="GNR_WT_WIND_OFF"/>
    <x v="0"/>
    <x v="21"/>
    <n v="642.41587000485799"/>
    <n v="234481.79255177299"/>
    <n v="844134.45318638301"/>
  </r>
  <r>
    <x v="0"/>
    <x v="0"/>
    <x v="0"/>
    <x v="10"/>
    <x v="21"/>
    <s v="UK_Offshore"/>
    <x v="7"/>
    <x v="5"/>
    <s v="GNR_WT_WIND_OFF"/>
    <x v="0"/>
    <x v="22"/>
    <n v="756.20170675848601"/>
    <n v="276013.62296684802"/>
    <n v="993649.04268065095"/>
  </r>
  <r>
    <x v="0"/>
    <x v="0"/>
    <x v="0"/>
    <x v="10"/>
    <x v="21"/>
    <s v="UK_Offshore"/>
    <x v="7"/>
    <x v="5"/>
    <s v="GNR_WT_WIND_OFF"/>
    <x v="0"/>
    <x v="23"/>
    <n v="798.87139554109694"/>
    <n v="291588.05937249999"/>
    <n v="1049717.0137410001"/>
  </r>
  <r>
    <x v="0"/>
    <x v="1"/>
    <x v="1"/>
    <x v="0"/>
    <x v="0"/>
    <s v="DK1_Large"/>
    <x v="0"/>
    <x v="0"/>
    <s v="GNR_ST_COAL_EXT_E-42"/>
    <x v="0"/>
    <x v="0"/>
    <n v="714"/>
    <n v="260610"/>
    <n v="938196"/>
  </r>
  <r>
    <x v="0"/>
    <x v="1"/>
    <x v="1"/>
    <x v="0"/>
    <x v="0"/>
    <s v="DK1_Large"/>
    <x v="0"/>
    <x v="0"/>
    <s v="GNR_ST_COAL_EXT_E-42"/>
    <x v="0"/>
    <x v="1"/>
    <n v="714"/>
    <n v="260610"/>
    <n v="938196"/>
  </r>
  <r>
    <x v="0"/>
    <x v="1"/>
    <x v="1"/>
    <x v="0"/>
    <x v="0"/>
    <s v="DK1_Large"/>
    <x v="0"/>
    <x v="0"/>
    <s v="GNR_ST_COAL_EXT_E-42"/>
    <x v="0"/>
    <x v="18"/>
    <n v="714"/>
    <n v="260610"/>
    <n v="938196"/>
  </r>
  <r>
    <x v="0"/>
    <x v="1"/>
    <x v="1"/>
    <x v="0"/>
    <x v="0"/>
    <s v="DK1_Large"/>
    <x v="0"/>
    <x v="0"/>
    <s v="GNR_ST_COAL_EXT_E-42"/>
    <x v="0"/>
    <x v="2"/>
    <n v="714"/>
    <n v="260610"/>
    <n v="938196"/>
  </r>
  <r>
    <x v="0"/>
    <x v="1"/>
    <x v="1"/>
    <x v="0"/>
    <x v="0"/>
    <s v="DK1_Large"/>
    <x v="0"/>
    <x v="0"/>
    <s v="GNR_ST_COAL_EXT_E-42"/>
    <x v="0"/>
    <x v="3"/>
    <n v="714"/>
    <n v="260610"/>
    <n v="938196"/>
  </r>
  <r>
    <x v="0"/>
    <x v="1"/>
    <x v="1"/>
    <x v="0"/>
    <x v="0"/>
    <s v="DK1_Large"/>
    <x v="0"/>
    <x v="0"/>
    <s v="GNR_ST_COAL_EXT_E-42"/>
    <x v="0"/>
    <x v="4"/>
    <n v="714"/>
    <n v="260610"/>
    <n v="938196"/>
  </r>
  <r>
    <x v="0"/>
    <x v="1"/>
    <x v="1"/>
    <x v="0"/>
    <x v="0"/>
    <s v="DK1_Large"/>
    <x v="0"/>
    <x v="0"/>
    <s v="GNR_ST_COAL_EXT_E-42"/>
    <x v="0"/>
    <x v="5"/>
    <n v="714"/>
    <n v="260610"/>
    <n v="938196"/>
  </r>
  <r>
    <x v="0"/>
    <x v="1"/>
    <x v="1"/>
    <x v="0"/>
    <x v="0"/>
    <s v="DK1_Large"/>
    <x v="0"/>
    <x v="0"/>
    <s v="GNR_ST_COAL_EXT_E-42"/>
    <x v="0"/>
    <x v="6"/>
    <n v="714"/>
    <n v="260610"/>
    <n v="938196"/>
  </r>
  <r>
    <x v="0"/>
    <x v="1"/>
    <x v="1"/>
    <x v="0"/>
    <x v="0"/>
    <s v="DK1_Large"/>
    <x v="0"/>
    <x v="0"/>
    <s v="GNR_ST_COAL_EXT_E-42"/>
    <x v="0"/>
    <x v="7"/>
    <n v="714"/>
    <n v="260610"/>
    <n v="938196"/>
  </r>
  <r>
    <x v="0"/>
    <x v="1"/>
    <x v="1"/>
    <x v="0"/>
    <x v="0"/>
    <s v="DK1_Large"/>
    <x v="0"/>
    <x v="0"/>
    <s v="GNR_ST_COAL_EXT_E-42"/>
    <x v="0"/>
    <x v="8"/>
    <n v="714"/>
    <n v="260610"/>
    <n v="938196"/>
  </r>
  <r>
    <x v="0"/>
    <x v="1"/>
    <x v="1"/>
    <x v="0"/>
    <x v="0"/>
    <s v="DK1_Large"/>
    <x v="0"/>
    <x v="0"/>
    <s v="GNR_ST_COAL_EXT_E-42"/>
    <x v="0"/>
    <x v="9"/>
    <n v="714"/>
    <n v="260610"/>
    <n v="938196"/>
  </r>
  <r>
    <x v="0"/>
    <x v="1"/>
    <x v="1"/>
    <x v="0"/>
    <x v="0"/>
    <s v="DK1_Large"/>
    <x v="0"/>
    <x v="0"/>
    <s v="GNR_ST_COAL_EXT_E-42"/>
    <x v="0"/>
    <x v="10"/>
    <n v="714"/>
    <n v="260610"/>
    <n v="938196"/>
  </r>
  <r>
    <x v="0"/>
    <x v="1"/>
    <x v="1"/>
    <x v="0"/>
    <x v="0"/>
    <s v="DK1_Large"/>
    <x v="0"/>
    <x v="0"/>
    <s v="GNR_ST_COAL_EXT_E-42"/>
    <x v="0"/>
    <x v="11"/>
    <n v="714"/>
    <n v="260610"/>
    <n v="938196"/>
  </r>
  <r>
    <x v="0"/>
    <x v="1"/>
    <x v="1"/>
    <x v="0"/>
    <x v="0"/>
    <s v="DK1_Large"/>
    <x v="0"/>
    <x v="0"/>
    <s v="GNR_ST_COAL_EXT_E-42"/>
    <x v="0"/>
    <x v="12"/>
    <n v="714"/>
    <n v="260610"/>
    <n v="938196"/>
  </r>
  <r>
    <x v="0"/>
    <x v="1"/>
    <x v="1"/>
    <x v="0"/>
    <x v="0"/>
    <s v="DK1_Large"/>
    <x v="0"/>
    <x v="0"/>
    <s v="GNR_ST_COAL_EXT_E-42"/>
    <x v="0"/>
    <x v="13"/>
    <n v="714"/>
    <n v="260610"/>
    <n v="938196"/>
  </r>
  <r>
    <x v="0"/>
    <x v="1"/>
    <x v="1"/>
    <x v="0"/>
    <x v="0"/>
    <s v="DK1_Large"/>
    <x v="0"/>
    <x v="0"/>
    <s v="GNR_ST_COAL_EXT_E-42"/>
    <x v="0"/>
    <x v="14"/>
    <n v="714"/>
    <n v="260610"/>
    <n v="938196"/>
  </r>
  <r>
    <x v="0"/>
    <x v="1"/>
    <x v="1"/>
    <x v="0"/>
    <x v="0"/>
    <s v="DK1_Large"/>
    <x v="0"/>
    <x v="0"/>
    <s v="GNR_ST_COAL_EXT_E-42"/>
    <x v="0"/>
    <x v="15"/>
    <n v="714"/>
    <n v="260610"/>
    <n v="938196"/>
  </r>
  <r>
    <x v="0"/>
    <x v="1"/>
    <x v="1"/>
    <x v="0"/>
    <x v="0"/>
    <s v="DK1_Large"/>
    <x v="0"/>
    <x v="0"/>
    <s v="GNR_ST_COAL_EXT_E-42"/>
    <x v="0"/>
    <x v="16"/>
    <n v="714"/>
    <n v="260610"/>
    <n v="938196"/>
  </r>
  <r>
    <x v="0"/>
    <x v="1"/>
    <x v="1"/>
    <x v="0"/>
    <x v="0"/>
    <s v="DK1_Large"/>
    <x v="0"/>
    <x v="0"/>
    <s v="GNR_ST_COAL_EXT_E-42"/>
    <x v="0"/>
    <x v="17"/>
    <n v="714"/>
    <n v="260610"/>
    <n v="938196"/>
  </r>
  <r>
    <x v="0"/>
    <x v="1"/>
    <x v="1"/>
    <x v="0"/>
    <x v="0"/>
    <s v="DK1_Large"/>
    <x v="0"/>
    <x v="0"/>
    <s v="GNR_ST_COAL_EXT_E-42"/>
    <x v="0"/>
    <x v="19"/>
    <n v="714"/>
    <n v="260610"/>
    <n v="938196"/>
  </r>
  <r>
    <x v="0"/>
    <x v="1"/>
    <x v="1"/>
    <x v="0"/>
    <x v="0"/>
    <s v="DK1_Large"/>
    <x v="0"/>
    <x v="0"/>
    <s v="GNR_ST_COAL_EXT_E-42"/>
    <x v="0"/>
    <x v="20"/>
    <n v="714"/>
    <n v="260610"/>
    <n v="938196"/>
  </r>
  <r>
    <x v="0"/>
    <x v="1"/>
    <x v="1"/>
    <x v="0"/>
    <x v="0"/>
    <s v="DK1_Large"/>
    <x v="0"/>
    <x v="0"/>
    <s v="GNR_ST_COAL_EXT_E-43"/>
    <x v="0"/>
    <x v="0"/>
    <n v="745"/>
    <n v="271925"/>
    <n v="978930"/>
  </r>
  <r>
    <x v="0"/>
    <x v="1"/>
    <x v="1"/>
    <x v="0"/>
    <x v="0"/>
    <s v="DK1_Large"/>
    <x v="0"/>
    <x v="0"/>
    <s v="GNR_ST_COAL_EXT_E-43"/>
    <x v="0"/>
    <x v="1"/>
    <n v="745"/>
    <n v="271925"/>
    <n v="978930"/>
  </r>
  <r>
    <x v="0"/>
    <x v="1"/>
    <x v="1"/>
    <x v="0"/>
    <x v="0"/>
    <s v="DK1_Large"/>
    <x v="0"/>
    <x v="0"/>
    <s v="GNR_ST_COAL_EXT_E-43"/>
    <x v="0"/>
    <x v="18"/>
    <n v="745"/>
    <n v="271925"/>
    <n v="978930"/>
  </r>
  <r>
    <x v="0"/>
    <x v="1"/>
    <x v="1"/>
    <x v="0"/>
    <x v="0"/>
    <s v="DK1_Large"/>
    <x v="0"/>
    <x v="0"/>
    <s v="GNR_ST_COAL_EXT_E-43"/>
    <x v="0"/>
    <x v="2"/>
    <n v="745"/>
    <n v="271925"/>
    <n v="978930"/>
  </r>
  <r>
    <x v="0"/>
    <x v="1"/>
    <x v="1"/>
    <x v="0"/>
    <x v="0"/>
    <s v="DK1_Large"/>
    <x v="0"/>
    <x v="0"/>
    <s v="GNR_ST_COAL_EXT_E-43"/>
    <x v="0"/>
    <x v="3"/>
    <n v="745"/>
    <n v="271925"/>
    <n v="978930"/>
  </r>
  <r>
    <x v="0"/>
    <x v="1"/>
    <x v="1"/>
    <x v="0"/>
    <x v="0"/>
    <s v="DK1_Large"/>
    <x v="0"/>
    <x v="0"/>
    <s v="GNR_ST_COAL_EXT_E-43"/>
    <x v="0"/>
    <x v="4"/>
    <n v="745"/>
    <n v="271925"/>
    <n v="978930"/>
  </r>
  <r>
    <x v="0"/>
    <x v="1"/>
    <x v="1"/>
    <x v="0"/>
    <x v="0"/>
    <s v="DK1_Large"/>
    <x v="0"/>
    <x v="0"/>
    <s v="GNR_ST_COAL_EXT_E-43"/>
    <x v="0"/>
    <x v="5"/>
    <n v="745"/>
    <n v="271925"/>
    <n v="978930"/>
  </r>
  <r>
    <x v="0"/>
    <x v="1"/>
    <x v="1"/>
    <x v="0"/>
    <x v="0"/>
    <s v="DK1_Large"/>
    <x v="0"/>
    <x v="0"/>
    <s v="GNR_ST_COAL_EXT_E-43"/>
    <x v="0"/>
    <x v="6"/>
    <n v="745"/>
    <n v="271925"/>
    <n v="978930"/>
  </r>
  <r>
    <x v="0"/>
    <x v="1"/>
    <x v="1"/>
    <x v="0"/>
    <x v="0"/>
    <s v="DK1_Large"/>
    <x v="0"/>
    <x v="0"/>
    <s v="GNR_ST_COAL_EXT_E-43"/>
    <x v="0"/>
    <x v="7"/>
    <n v="745"/>
    <n v="271925"/>
    <n v="978930"/>
  </r>
  <r>
    <x v="0"/>
    <x v="1"/>
    <x v="1"/>
    <x v="0"/>
    <x v="0"/>
    <s v="DK1_Large"/>
    <x v="0"/>
    <x v="0"/>
    <s v="GNR_ST_COAL_EXT_E-43"/>
    <x v="0"/>
    <x v="8"/>
    <n v="745"/>
    <n v="271925"/>
    <n v="978930"/>
  </r>
  <r>
    <x v="0"/>
    <x v="1"/>
    <x v="1"/>
    <x v="0"/>
    <x v="0"/>
    <s v="DK1_Large"/>
    <x v="0"/>
    <x v="0"/>
    <s v="GNR_ST_COAL_EXT_E-43"/>
    <x v="0"/>
    <x v="9"/>
    <n v="745"/>
    <n v="271925"/>
    <n v="978930"/>
  </r>
  <r>
    <x v="0"/>
    <x v="1"/>
    <x v="1"/>
    <x v="0"/>
    <x v="0"/>
    <s v="DK1_Large"/>
    <x v="0"/>
    <x v="0"/>
    <s v="GNR_ST_COAL_EXT_E-43"/>
    <x v="0"/>
    <x v="10"/>
    <n v="745"/>
    <n v="271925"/>
    <n v="978930"/>
  </r>
  <r>
    <x v="0"/>
    <x v="1"/>
    <x v="1"/>
    <x v="0"/>
    <x v="0"/>
    <s v="DK1_Large"/>
    <x v="0"/>
    <x v="0"/>
    <s v="GNR_ST_COAL_EXT_E-43"/>
    <x v="0"/>
    <x v="11"/>
    <n v="745"/>
    <n v="271925"/>
    <n v="978930"/>
  </r>
  <r>
    <x v="0"/>
    <x v="1"/>
    <x v="1"/>
    <x v="0"/>
    <x v="0"/>
    <s v="DK1_Large"/>
    <x v="0"/>
    <x v="0"/>
    <s v="GNR_ST_COAL_EXT_E-43"/>
    <x v="0"/>
    <x v="12"/>
    <n v="745"/>
    <n v="271925"/>
    <n v="978930"/>
  </r>
  <r>
    <x v="0"/>
    <x v="1"/>
    <x v="1"/>
    <x v="0"/>
    <x v="0"/>
    <s v="DK1_Large"/>
    <x v="0"/>
    <x v="0"/>
    <s v="GNR_ST_COAL_EXT_E-43"/>
    <x v="0"/>
    <x v="13"/>
    <n v="745"/>
    <n v="271925"/>
    <n v="978930"/>
  </r>
  <r>
    <x v="0"/>
    <x v="1"/>
    <x v="1"/>
    <x v="0"/>
    <x v="0"/>
    <s v="DK1_Large"/>
    <x v="0"/>
    <x v="0"/>
    <s v="GNR_ST_COAL_EXT_E-43"/>
    <x v="0"/>
    <x v="14"/>
    <n v="745"/>
    <n v="271925"/>
    <n v="978930"/>
  </r>
  <r>
    <x v="0"/>
    <x v="1"/>
    <x v="1"/>
    <x v="0"/>
    <x v="0"/>
    <s v="DK1_Large"/>
    <x v="0"/>
    <x v="0"/>
    <s v="GNR_ST_COAL_EXT_E-43"/>
    <x v="0"/>
    <x v="15"/>
    <n v="745"/>
    <n v="271925"/>
    <n v="978930"/>
  </r>
  <r>
    <x v="0"/>
    <x v="1"/>
    <x v="1"/>
    <x v="0"/>
    <x v="0"/>
    <s v="DK1_Large"/>
    <x v="0"/>
    <x v="0"/>
    <s v="GNR_ST_COAL_EXT_E-43"/>
    <x v="0"/>
    <x v="16"/>
    <n v="745"/>
    <n v="271925"/>
    <n v="978930"/>
  </r>
  <r>
    <x v="0"/>
    <x v="1"/>
    <x v="1"/>
    <x v="0"/>
    <x v="0"/>
    <s v="DK1_Large"/>
    <x v="0"/>
    <x v="0"/>
    <s v="GNR_ST_COAL_EXT_E-43"/>
    <x v="0"/>
    <x v="17"/>
    <n v="745"/>
    <n v="271925"/>
    <n v="978930"/>
  </r>
  <r>
    <x v="0"/>
    <x v="1"/>
    <x v="1"/>
    <x v="0"/>
    <x v="0"/>
    <s v="DK1_Large"/>
    <x v="0"/>
    <x v="0"/>
    <s v="GNR_ST_COAL_EXT_E-43"/>
    <x v="0"/>
    <x v="19"/>
    <n v="745"/>
    <n v="271925"/>
    <n v="978930"/>
  </r>
  <r>
    <x v="0"/>
    <x v="1"/>
    <x v="1"/>
    <x v="0"/>
    <x v="0"/>
    <s v="DK1_Large"/>
    <x v="0"/>
    <x v="0"/>
    <s v="GNR_ST_COAL_EXT_E-43"/>
    <x v="0"/>
    <x v="20"/>
    <n v="745"/>
    <n v="271925"/>
    <n v="978930"/>
  </r>
  <r>
    <x v="0"/>
    <x v="1"/>
    <x v="1"/>
    <x v="0"/>
    <x v="0"/>
    <s v="DK1_Large"/>
    <x v="0"/>
    <x v="0"/>
    <s v="GNR_ST_COAL_EXT_E-47"/>
    <x v="0"/>
    <x v="0"/>
    <n v="385"/>
    <n v="140525"/>
    <n v="505890"/>
  </r>
  <r>
    <x v="0"/>
    <x v="1"/>
    <x v="1"/>
    <x v="0"/>
    <x v="0"/>
    <s v="DK1_Large"/>
    <x v="0"/>
    <x v="0"/>
    <s v="GNR_ST_COAL_EXT_E-47"/>
    <x v="0"/>
    <x v="1"/>
    <n v="385"/>
    <n v="140525"/>
    <n v="505890"/>
  </r>
  <r>
    <x v="0"/>
    <x v="1"/>
    <x v="1"/>
    <x v="0"/>
    <x v="0"/>
    <s v="DK1_Large"/>
    <x v="0"/>
    <x v="0"/>
    <s v="GNR_ST_COAL_EXT_E-47"/>
    <x v="0"/>
    <x v="18"/>
    <n v="385"/>
    <n v="140525"/>
    <n v="505890"/>
  </r>
  <r>
    <x v="0"/>
    <x v="1"/>
    <x v="1"/>
    <x v="0"/>
    <x v="0"/>
    <s v="DK1_Large"/>
    <x v="0"/>
    <x v="0"/>
    <s v="GNR_ST_COAL_EXT_E-47"/>
    <x v="0"/>
    <x v="2"/>
    <n v="385"/>
    <n v="140525"/>
    <n v="505890"/>
  </r>
  <r>
    <x v="0"/>
    <x v="1"/>
    <x v="1"/>
    <x v="0"/>
    <x v="0"/>
    <s v="DK1_Large"/>
    <x v="0"/>
    <x v="0"/>
    <s v="GNR_ST_COAL_EXT_E-47"/>
    <x v="0"/>
    <x v="3"/>
    <n v="385"/>
    <n v="140525"/>
    <n v="505890"/>
  </r>
  <r>
    <x v="0"/>
    <x v="1"/>
    <x v="1"/>
    <x v="0"/>
    <x v="0"/>
    <s v="DK1_Large"/>
    <x v="0"/>
    <x v="0"/>
    <s v="GNR_ST_COAL_EXT_E-47"/>
    <x v="0"/>
    <x v="4"/>
    <n v="385"/>
    <n v="140525"/>
    <n v="505890"/>
  </r>
  <r>
    <x v="0"/>
    <x v="1"/>
    <x v="1"/>
    <x v="0"/>
    <x v="0"/>
    <s v="DK1_Large"/>
    <x v="0"/>
    <x v="0"/>
    <s v="GNR_ST_COAL_EXT_E-47"/>
    <x v="0"/>
    <x v="5"/>
    <n v="385"/>
    <n v="140525"/>
    <n v="505890"/>
  </r>
  <r>
    <x v="0"/>
    <x v="1"/>
    <x v="1"/>
    <x v="0"/>
    <x v="0"/>
    <s v="DK1_Large"/>
    <x v="0"/>
    <x v="0"/>
    <s v="GNR_ST_COAL_EXT_E-47"/>
    <x v="0"/>
    <x v="6"/>
    <n v="385"/>
    <n v="140525"/>
    <n v="505890"/>
  </r>
  <r>
    <x v="0"/>
    <x v="1"/>
    <x v="1"/>
    <x v="0"/>
    <x v="0"/>
    <s v="DK1_Large"/>
    <x v="0"/>
    <x v="0"/>
    <s v="GNR_ST_COAL_EXT_E-47"/>
    <x v="0"/>
    <x v="7"/>
    <n v="385"/>
    <n v="140525"/>
    <n v="505890"/>
  </r>
  <r>
    <x v="0"/>
    <x v="1"/>
    <x v="1"/>
    <x v="0"/>
    <x v="0"/>
    <s v="DK1_Large"/>
    <x v="0"/>
    <x v="0"/>
    <s v="GNR_ST_COAL_EXT_E-47"/>
    <x v="0"/>
    <x v="8"/>
    <n v="385"/>
    <n v="140525"/>
    <n v="505890"/>
  </r>
  <r>
    <x v="0"/>
    <x v="1"/>
    <x v="1"/>
    <x v="0"/>
    <x v="0"/>
    <s v="DK1_Large"/>
    <x v="0"/>
    <x v="0"/>
    <s v="GNR_ST_COAL_EXT_E-47"/>
    <x v="0"/>
    <x v="9"/>
    <n v="385"/>
    <n v="140525"/>
    <n v="505890"/>
  </r>
  <r>
    <x v="0"/>
    <x v="1"/>
    <x v="1"/>
    <x v="0"/>
    <x v="0"/>
    <s v="DK1_Large"/>
    <x v="0"/>
    <x v="0"/>
    <s v="GNR_ST_COAL_EXT_E-47"/>
    <x v="0"/>
    <x v="10"/>
    <n v="385"/>
    <n v="140525"/>
    <n v="505890"/>
  </r>
  <r>
    <x v="0"/>
    <x v="1"/>
    <x v="1"/>
    <x v="0"/>
    <x v="0"/>
    <s v="DK1_Large"/>
    <x v="0"/>
    <x v="0"/>
    <s v="GNR_ST_COAL_EXT_E-47"/>
    <x v="0"/>
    <x v="11"/>
    <n v="385"/>
    <n v="140525"/>
    <n v="505890"/>
  </r>
  <r>
    <x v="0"/>
    <x v="1"/>
    <x v="1"/>
    <x v="0"/>
    <x v="0"/>
    <s v="DK1_Large"/>
    <x v="0"/>
    <x v="0"/>
    <s v="GNR_ST_COAL_EXT_E-47"/>
    <x v="0"/>
    <x v="12"/>
    <n v="385"/>
    <n v="140525"/>
    <n v="505890"/>
  </r>
  <r>
    <x v="0"/>
    <x v="1"/>
    <x v="1"/>
    <x v="0"/>
    <x v="0"/>
    <s v="DK1_Large"/>
    <x v="0"/>
    <x v="0"/>
    <s v="GNR_ST_COAL_EXT_E-47"/>
    <x v="0"/>
    <x v="13"/>
    <n v="385"/>
    <n v="140525"/>
    <n v="505890"/>
  </r>
  <r>
    <x v="0"/>
    <x v="1"/>
    <x v="1"/>
    <x v="0"/>
    <x v="0"/>
    <s v="DK1_Large"/>
    <x v="0"/>
    <x v="0"/>
    <s v="GNR_ST_COAL_EXT_E-47"/>
    <x v="0"/>
    <x v="14"/>
    <n v="385"/>
    <n v="140525"/>
    <n v="505890"/>
  </r>
  <r>
    <x v="0"/>
    <x v="1"/>
    <x v="1"/>
    <x v="0"/>
    <x v="0"/>
    <s v="DK1_Large"/>
    <x v="0"/>
    <x v="0"/>
    <s v="GNR_ST_COAL_EXT_E-47"/>
    <x v="0"/>
    <x v="15"/>
    <n v="385"/>
    <n v="140525"/>
    <n v="505890"/>
  </r>
  <r>
    <x v="0"/>
    <x v="1"/>
    <x v="1"/>
    <x v="0"/>
    <x v="0"/>
    <s v="DK1_Large"/>
    <x v="0"/>
    <x v="0"/>
    <s v="GNR_ST_COAL_EXT_E-47"/>
    <x v="0"/>
    <x v="16"/>
    <n v="385"/>
    <n v="140525"/>
    <n v="505890"/>
  </r>
  <r>
    <x v="0"/>
    <x v="1"/>
    <x v="1"/>
    <x v="0"/>
    <x v="0"/>
    <s v="DK1_Large"/>
    <x v="0"/>
    <x v="0"/>
    <s v="GNR_ST_COAL_EXT_E-47"/>
    <x v="0"/>
    <x v="17"/>
    <n v="385"/>
    <n v="140525"/>
    <n v="505890"/>
  </r>
  <r>
    <x v="0"/>
    <x v="1"/>
    <x v="1"/>
    <x v="0"/>
    <x v="0"/>
    <s v="DK1_Large"/>
    <x v="0"/>
    <x v="0"/>
    <s v="GNR_ST_COAL_EXT_E-47"/>
    <x v="0"/>
    <x v="19"/>
    <n v="385"/>
    <n v="140525"/>
    <n v="505890"/>
  </r>
  <r>
    <x v="0"/>
    <x v="1"/>
    <x v="1"/>
    <x v="0"/>
    <x v="0"/>
    <s v="DK1_Large"/>
    <x v="0"/>
    <x v="0"/>
    <s v="GNR_ST_COAL_EXT_E-47"/>
    <x v="0"/>
    <x v="20"/>
    <n v="385"/>
    <n v="140525"/>
    <n v="505890"/>
  </r>
  <r>
    <x v="0"/>
    <x v="1"/>
    <x v="1"/>
    <x v="0"/>
    <x v="0"/>
    <s v="DK1_Large"/>
    <x v="0"/>
    <x v="0"/>
    <s v="GNR_ST_COAL_EXT_E-47"/>
    <x v="0"/>
    <x v="21"/>
    <n v="385"/>
    <n v="140525"/>
    <n v="505890"/>
  </r>
  <r>
    <x v="0"/>
    <x v="1"/>
    <x v="1"/>
    <x v="0"/>
    <x v="0"/>
    <s v="DK1_Large"/>
    <x v="0"/>
    <x v="0"/>
    <s v="GNR_ST_COAL_EXT_E-47"/>
    <x v="0"/>
    <x v="22"/>
    <n v="385"/>
    <n v="140525"/>
    <n v="505890"/>
  </r>
  <r>
    <x v="0"/>
    <x v="1"/>
    <x v="1"/>
    <x v="0"/>
    <x v="0"/>
    <s v="DK1_Large"/>
    <x v="0"/>
    <x v="0"/>
    <s v="GNR_ST_COAL_EXT_E-47"/>
    <x v="0"/>
    <x v="23"/>
    <n v="385"/>
    <n v="140525"/>
    <n v="505890"/>
  </r>
  <r>
    <x v="0"/>
    <x v="1"/>
    <x v="1"/>
    <x v="0"/>
    <x v="0"/>
    <s v="DK1_NoDH"/>
    <x v="5"/>
    <x v="3"/>
    <s v="GNR_PV_SUN"/>
    <x v="0"/>
    <x v="7"/>
    <n v="11.5255572480597"/>
    <n v="4206.8283955417901"/>
    <n v="15144.5822239504"/>
  </r>
  <r>
    <x v="0"/>
    <x v="1"/>
    <x v="1"/>
    <x v="0"/>
    <x v="0"/>
    <s v="DK1_NoDH"/>
    <x v="5"/>
    <x v="3"/>
    <s v="GNR_PV_SUN"/>
    <x v="0"/>
    <x v="8"/>
    <n v="86.766759180264799"/>
    <n v="31669.867100796699"/>
    <n v="114011.521562868"/>
  </r>
  <r>
    <x v="0"/>
    <x v="1"/>
    <x v="1"/>
    <x v="0"/>
    <x v="0"/>
    <s v="DK1_NoDH"/>
    <x v="5"/>
    <x v="3"/>
    <s v="GNR_PV_SUN"/>
    <x v="0"/>
    <x v="9"/>
    <n v="200.426485272669"/>
    <n v="73155.667124524203"/>
    <n v="263360.40164828702"/>
  </r>
  <r>
    <x v="0"/>
    <x v="1"/>
    <x v="1"/>
    <x v="0"/>
    <x v="0"/>
    <s v="DK1_NoDH"/>
    <x v="5"/>
    <x v="3"/>
    <s v="GNR_PV_SUN"/>
    <x v="0"/>
    <x v="10"/>
    <n v="305.22039809733502"/>
    <n v="111405.445305527"/>
    <n v="401059.60309989803"/>
  </r>
  <r>
    <x v="0"/>
    <x v="1"/>
    <x v="1"/>
    <x v="0"/>
    <x v="0"/>
    <s v="DK1_NoDH"/>
    <x v="5"/>
    <x v="3"/>
    <s v="GNR_PV_SUN"/>
    <x v="0"/>
    <x v="11"/>
    <n v="347.00793129927399"/>
    <n v="126657.89492423501"/>
    <n v="455968.42172724602"/>
  </r>
  <r>
    <x v="0"/>
    <x v="1"/>
    <x v="1"/>
    <x v="0"/>
    <x v="0"/>
    <s v="DK1_NoDH"/>
    <x v="5"/>
    <x v="3"/>
    <s v="GNR_PV_SUN"/>
    <x v="0"/>
    <x v="12"/>
    <n v="301.73317821202397"/>
    <n v="110132.610047389"/>
    <n v="396477.39617060003"/>
  </r>
  <r>
    <x v="0"/>
    <x v="1"/>
    <x v="1"/>
    <x v="0"/>
    <x v="0"/>
    <s v="DK1_NoDH"/>
    <x v="5"/>
    <x v="3"/>
    <s v="GNR_PV_SUN"/>
    <x v="0"/>
    <x v="13"/>
    <n v="196.348211169509"/>
    <n v="71667.097076870894"/>
    <n v="258001.549476735"/>
  </r>
  <r>
    <x v="0"/>
    <x v="1"/>
    <x v="1"/>
    <x v="0"/>
    <x v="0"/>
    <s v="DK1_NoDH"/>
    <x v="5"/>
    <x v="3"/>
    <s v="GNR_PV_SUN"/>
    <x v="0"/>
    <x v="14"/>
    <n v="99.415319442238001"/>
    <n v="36286.591596416903"/>
    <n v="130631.729747101"/>
  </r>
  <r>
    <x v="0"/>
    <x v="1"/>
    <x v="1"/>
    <x v="0"/>
    <x v="0"/>
    <s v="DK1_NoDH"/>
    <x v="5"/>
    <x v="3"/>
    <s v="GNR_PV_SUN"/>
    <x v="0"/>
    <x v="15"/>
    <n v="12.944087370897799"/>
    <n v="4724.5918903777001"/>
    <n v="17008.5308053597"/>
  </r>
  <r>
    <x v="0"/>
    <x v="1"/>
    <x v="1"/>
    <x v="0"/>
    <x v="0"/>
    <s v="DK1_NoDH"/>
    <x v="6"/>
    <x v="4"/>
    <s v="GNR_ROR_WTR"/>
    <x v="0"/>
    <x v="0"/>
    <n v="3.81847406923176"/>
    <n v="1393.7430352695901"/>
    <n v="5017.4749269705299"/>
  </r>
  <r>
    <x v="0"/>
    <x v="1"/>
    <x v="1"/>
    <x v="0"/>
    <x v="0"/>
    <s v="DK1_NoDH"/>
    <x v="6"/>
    <x v="4"/>
    <s v="GNR_ROR_WTR"/>
    <x v="0"/>
    <x v="1"/>
    <n v="3.81847406923176"/>
    <n v="1393.7430352695901"/>
    <n v="5017.4749269705299"/>
  </r>
  <r>
    <x v="0"/>
    <x v="1"/>
    <x v="1"/>
    <x v="0"/>
    <x v="0"/>
    <s v="DK1_NoDH"/>
    <x v="6"/>
    <x v="4"/>
    <s v="GNR_ROR_WTR"/>
    <x v="0"/>
    <x v="18"/>
    <n v="3.81847406923176"/>
    <n v="1393.7430352695901"/>
    <n v="5017.4749269705299"/>
  </r>
  <r>
    <x v="0"/>
    <x v="1"/>
    <x v="1"/>
    <x v="0"/>
    <x v="0"/>
    <s v="DK1_NoDH"/>
    <x v="6"/>
    <x v="4"/>
    <s v="GNR_ROR_WTR"/>
    <x v="0"/>
    <x v="2"/>
    <n v="3.81847406923176"/>
    <n v="1393.7430352695901"/>
    <n v="5017.4749269705299"/>
  </r>
  <r>
    <x v="0"/>
    <x v="1"/>
    <x v="1"/>
    <x v="0"/>
    <x v="0"/>
    <s v="DK1_NoDH"/>
    <x v="6"/>
    <x v="4"/>
    <s v="GNR_ROR_WTR"/>
    <x v="0"/>
    <x v="3"/>
    <n v="3.81847406923176"/>
    <n v="1393.7430352695901"/>
    <n v="5017.4749269705299"/>
  </r>
  <r>
    <x v="0"/>
    <x v="1"/>
    <x v="1"/>
    <x v="0"/>
    <x v="0"/>
    <s v="DK1_NoDH"/>
    <x v="6"/>
    <x v="4"/>
    <s v="GNR_ROR_WTR"/>
    <x v="0"/>
    <x v="4"/>
    <n v="3.81847406923176"/>
    <n v="1393.7430352695901"/>
    <n v="5017.4749269705299"/>
  </r>
  <r>
    <x v="0"/>
    <x v="1"/>
    <x v="1"/>
    <x v="0"/>
    <x v="0"/>
    <s v="DK1_NoDH"/>
    <x v="6"/>
    <x v="4"/>
    <s v="GNR_ROR_WTR"/>
    <x v="0"/>
    <x v="5"/>
    <n v="3.81847406923176"/>
    <n v="1393.7430352695901"/>
    <n v="5017.4749269705299"/>
  </r>
  <r>
    <x v="0"/>
    <x v="1"/>
    <x v="1"/>
    <x v="0"/>
    <x v="0"/>
    <s v="DK1_NoDH"/>
    <x v="6"/>
    <x v="4"/>
    <s v="GNR_ROR_WTR"/>
    <x v="0"/>
    <x v="6"/>
    <n v="3.81847406923176"/>
    <n v="1393.7430352695901"/>
    <n v="5017.4749269705299"/>
  </r>
  <r>
    <x v="0"/>
    <x v="1"/>
    <x v="1"/>
    <x v="0"/>
    <x v="0"/>
    <s v="DK1_NoDH"/>
    <x v="6"/>
    <x v="4"/>
    <s v="GNR_ROR_WTR"/>
    <x v="0"/>
    <x v="7"/>
    <n v="3.81847406923176"/>
    <n v="1393.7430352695901"/>
    <n v="5017.4749269705299"/>
  </r>
  <r>
    <x v="0"/>
    <x v="1"/>
    <x v="1"/>
    <x v="0"/>
    <x v="0"/>
    <s v="DK1_NoDH"/>
    <x v="6"/>
    <x v="4"/>
    <s v="GNR_ROR_WTR"/>
    <x v="0"/>
    <x v="8"/>
    <n v="3.81847406923176"/>
    <n v="1393.7430352695901"/>
    <n v="5017.4749269705299"/>
  </r>
  <r>
    <x v="0"/>
    <x v="1"/>
    <x v="1"/>
    <x v="0"/>
    <x v="0"/>
    <s v="DK1_NoDH"/>
    <x v="6"/>
    <x v="4"/>
    <s v="GNR_ROR_WTR"/>
    <x v="0"/>
    <x v="9"/>
    <n v="3.81847406923176"/>
    <n v="1393.7430352695901"/>
    <n v="5017.4749269705299"/>
  </r>
  <r>
    <x v="0"/>
    <x v="1"/>
    <x v="1"/>
    <x v="0"/>
    <x v="0"/>
    <s v="DK1_NoDH"/>
    <x v="6"/>
    <x v="4"/>
    <s v="GNR_ROR_WTR"/>
    <x v="0"/>
    <x v="10"/>
    <n v="3.81847406923176"/>
    <n v="1393.7430352695901"/>
    <n v="5017.4749269705299"/>
  </r>
  <r>
    <x v="0"/>
    <x v="1"/>
    <x v="1"/>
    <x v="0"/>
    <x v="0"/>
    <s v="DK1_NoDH"/>
    <x v="6"/>
    <x v="4"/>
    <s v="GNR_ROR_WTR"/>
    <x v="0"/>
    <x v="11"/>
    <n v="3.81847406923176"/>
    <n v="1393.7430352695901"/>
    <n v="5017.4749269705299"/>
  </r>
  <r>
    <x v="0"/>
    <x v="1"/>
    <x v="1"/>
    <x v="0"/>
    <x v="0"/>
    <s v="DK1_NoDH"/>
    <x v="6"/>
    <x v="4"/>
    <s v="GNR_ROR_WTR"/>
    <x v="0"/>
    <x v="12"/>
    <n v="3.81847406923176"/>
    <n v="1393.7430352695901"/>
    <n v="5017.4749269705299"/>
  </r>
  <r>
    <x v="0"/>
    <x v="1"/>
    <x v="1"/>
    <x v="0"/>
    <x v="0"/>
    <s v="DK1_NoDH"/>
    <x v="6"/>
    <x v="4"/>
    <s v="GNR_ROR_WTR"/>
    <x v="0"/>
    <x v="13"/>
    <n v="3.81847406923176"/>
    <n v="1393.7430352695901"/>
    <n v="5017.4749269705299"/>
  </r>
  <r>
    <x v="0"/>
    <x v="1"/>
    <x v="1"/>
    <x v="0"/>
    <x v="0"/>
    <s v="DK1_NoDH"/>
    <x v="6"/>
    <x v="4"/>
    <s v="GNR_ROR_WTR"/>
    <x v="0"/>
    <x v="14"/>
    <n v="3.81847406923176"/>
    <n v="1393.7430352695901"/>
    <n v="5017.4749269705299"/>
  </r>
  <r>
    <x v="0"/>
    <x v="1"/>
    <x v="1"/>
    <x v="0"/>
    <x v="0"/>
    <s v="DK1_NoDH"/>
    <x v="6"/>
    <x v="4"/>
    <s v="GNR_ROR_WTR"/>
    <x v="0"/>
    <x v="15"/>
    <n v="3.81847406923176"/>
    <n v="1393.7430352695901"/>
    <n v="5017.4749269705299"/>
  </r>
  <r>
    <x v="0"/>
    <x v="1"/>
    <x v="1"/>
    <x v="0"/>
    <x v="0"/>
    <s v="DK1_NoDH"/>
    <x v="6"/>
    <x v="4"/>
    <s v="GNR_ROR_WTR"/>
    <x v="0"/>
    <x v="16"/>
    <n v="3.81847406923176"/>
    <n v="1393.7430352695901"/>
    <n v="5017.4749269705299"/>
  </r>
  <r>
    <x v="0"/>
    <x v="1"/>
    <x v="1"/>
    <x v="0"/>
    <x v="0"/>
    <s v="DK1_NoDH"/>
    <x v="6"/>
    <x v="4"/>
    <s v="GNR_ROR_WTR"/>
    <x v="0"/>
    <x v="17"/>
    <n v="3.81847406923176"/>
    <n v="1393.7430352695901"/>
    <n v="5017.4749269705299"/>
  </r>
  <r>
    <x v="0"/>
    <x v="1"/>
    <x v="1"/>
    <x v="0"/>
    <x v="0"/>
    <s v="DK1_NoDH"/>
    <x v="6"/>
    <x v="4"/>
    <s v="GNR_ROR_WTR"/>
    <x v="0"/>
    <x v="19"/>
    <n v="3.81847406923176"/>
    <n v="1393.7430352695901"/>
    <n v="5017.4749269705299"/>
  </r>
  <r>
    <x v="0"/>
    <x v="1"/>
    <x v="1"/>
    <x v="0"/>
    <x v="0"/>
    <s v="DK1_NoDH"/>
    <x v="6"/>
    <x v="4"/>
    <s v="GNR_ROR_WTR"/>
    <x v="0"/>
    <x v="20"/>
    <n v="3.81847406923176"/>
    <n v="1393.7430352695901"/>
    <n v="5017.4749269705299"/>
  </r>
  <r>
    <x v="0"/>
    <x v="1"/>
    <x v="1"/>
    <x v="0"/>
    <x v="0"/>
    <s v="DK1_NoDH"/>
    <x v="6"/>
    <x v="4"/>
    <s v="GNR_ROR_WTR"/>
    <x v="0"/>
    <x v="21"/>
    <n v="3.81847406923176"/>
    <n v="1393.7430352695901"/>
    <n v="5017.4749269705299"/>
  </r>
  <r>
    <x v="0"/>
    <x v="1"/>
    <x v="1"/>
    <x v="0"/>
    <x v="0"/>
    <s v="DK1_NoDH"/>
    <x v="6"/>
    <x v="4"/>
    <s v="GNR_ROR_WTR"/>
    <x v="0"/>
    <x v="22"/>
    <n v="3.81847406923176"/>
    <n v="1393.7430352695901"/>
    <n v="5017.4749269705299"/>
  </r>
  <r>
    <x v="0"/>
    <x v="1"/>
    <x v="1"/>
    <x v="0"/>
    <x v="0"/>
    <s v="DK1_NoDH"/>
    <x v="6"/>
    <x v="4"/>
    <s v="GNR_ROR_WTR"/>
    <x v="0"/>
    <x v="23"/>
    <n v="3.81847406923176"/>
    <n v="1393.7430352695901"/>
    <n v="5017.4749269705299"/>
  </r>
  <r>
    <x v="0"/>
    <x v="1"/>
    <x v="1"/>
    <x v="0"/>
    <x v="0"/>
    <s v="DK1_NoDH"/>
    <x v="7"/>
    <x v="5"/>
    <s v="GNR_WT_WIND_ONS"/>
    <x v="0"/>
    <x v="0"/>
    <n v="30.883304118377001"/>
    <n v="11272.406003207599"/>
    <n v="40580.661611547403"/>
  </r>
  <r>
    <x v="0"/>
    <x v="1"/>
    <x v="1"/>
    <x v="0"/>
    <x v="0"/>
    <s v="DK1_NoDH"/>
    <x v="7"/>
    <x v="5"/>
    <s v="GNR_WT_WIND_ONS"/>
    <x v="0"/>
    <x v="1"/>
    <n v="28.197799412431198"/>
    <n v="10292.196785537401"/>
    <n v="37051.908427934599"/>
  </r>
  <r>
    <x v="0"/>
    <x v="1"/>
    <x v="1"/>
    <x v="0"/>
    <x v="0"/>
    <s v="DK1_NoDH"/>
    <x v="7"/>
    <x v="5"/>
    <s v="GNR_WT_WIND_ONS"/>
    <x v="0"/>
    <x v="18"/>
    <n v="13.4275235297291"/>
    <n v="4901.0460883511296"/>
    <n v="17643.765918064099"/>
  </r>
  <r>
    <x v="0"/>
    <x v="1"/>
    <x v="1"/>
    <x v="0"/>
    <x v="0"/>
    <s v="DK1_NoDH"/>
    <x v="7"/>
    <x v="5"/>
    <s v="GNR_WT_WIND_ONS"/>
    <x v="0"/>
    <x v="2"/>
    <n v="14.770275882702"/>
    <n v="5391.15069718625"/>
    <n v="19408.1425098705"/>
  </r>
  <r>
    <x v="0"/>
    <x v="1"/>
    <x v="1"/>
    <x v="0"/>
    <x v="0"/>
    <s v="DK1_NoDH"/>
    <x v="7"/>
    <x v="5"/>
    <s v="GNR_WT_WIND_ONS"/>
    <x v="0"/>
    <x v="3"/>
    <n v="26.8550470594583"/>
    <n v="9802.0921767022701"/>
    <n v="35287.531836128197"/>
  </r>
  <r>
    <x v="0"/>
    <x v="1"/>
    <x v="1"/>
    <x v="0"/>
    <x v="0"/>
    <s v="DK1_NoDH"/>
    <x v="7"/>
    <x v="5"/>
    <s v="GNR_WT_WIND_ONS"/>
    <x v="0"/>
    <x v="4"/>
    <n v="46.996332354052001"/>
    <n v="17153.661309228999"/>
    <n v="61753.180713224298"/>
  </r>
  <r>
    <x v="0"/>
    <x v="1"/>
    <x v="1"/>
    <x v="0"/>
    <x v="0"/>
    <s v="DK1_NoDH"/>
    <x v="7"/>
    <x v="5"/>
    <s v="GNR_WT_WIND_ONS"/>
    <x v="0"/>
    <x v="5"/>
    <n v="95.335417061076896"/>
    <n v="34797.427227293098"/>
    <n v="125270.738018255"/>
  </r>
  <r>
    <x v="0"/>
    <x v="1"/>
    <x v="1"/>
    <x v="0"/>
    <x v="0"/>
    <s v="DK1_NoDH"/>
    <x v="7"/>
    <x v="5"/>
    <s v="GNR_WT_WIND_ONS"/>
    <x v="0"/>
    <x v="6"/>
    <n v="198.72734823999099"/>
    <n v="72535.482107596807"/>
    <n v="261127.735587348"/>
  </r>
  <r>
    <x v="0"/>
    <x v="1"/>
    <x v="1"/>
    <x v="0"/>
    <x v="0"/>
    <s v="DK1_NoDH"/>
    <x v="7"/>
    <x v="5"/>
    <s v="GNR_WT_WIND_ONS"/>
    <x v="0"/>
    <x v="7"/>
    <n v="328.97432647836399"/>
    <n v="120075.629164603"/>
    <n v="432272.26499256998"/>
  </r>
  <r>
    <x v="0"/>
    <x v="1"/>
    <x v="1"/>
    <x v="0"/>
    <x v="0"/>
    <s v="DK1_NoDH"/>
    <x v="7"/>
    <x v="5"/>
    <s v="GNR_WT_WIND_ONS"/>
    <x v="0"/>
    <x v="8"/>
    <n v="486.076351776195"/>
    <n v="177417.86839831099"/>
    <n v="638704.32623391994"/>
  </r>
  <r>
    <x v="0"/>
    <x v="1"/>
    <x v="1"/>
    <x v="0"/>
    <x v="0"/>
    <s v="DK1_NoDH"/>
    <x v="7"/>
    <x v="5"/>
    <s v="GNR_WT_WIND_ONS"/>
    <x v="0"/>
    <x v="9"/>
    <n v="645.86388177997105"/>
    <n v="235740.31684968999"/>
    <n v="848665.14065888198"/>
  </r>
  <r>
    <x v="0"/>
    <x v="1"/>
    <x v="1"/>
    <x v="0"/>
    <x v="0"/>
    <s v="DK1_NoDH"/>
    <x v="7"/>
    <x v="5"/>
    <s v="GNR_WT_WIND_ONS"/>
    <x v="0"/>
    <x v="10"/>
    <n v="790.88113590104604"/>
    <n v="288671.61460388202"/>
    <n v="1039217.8125739699"/>
  </r>
  <r>
    <x v="0"/>
    <x v="1"/>
    <x v="1"/>
    <x v="0"/>
    <x v="0"/>
    <s v="DK1_NoDH"/>
    <x v="7"/>
    <x v="5"/>
    <s v="GNR_WT_WIND_ONS"/>
    <x v="0"/>
    <x v="11"/>
    <n v="875.47453413834"/>
    <n v="319548.20496049401"/>
    <n v="1150373.53785778"/>
  </r>
  <r>
    <x v="0"/>
    <x v="1"/>
    <x v="1"/>
    <x v="0"/>
    <x v="0"/>
    <s v="DK1_NoDH"/>
    <x v="7"/>
    <x v="5"/>
    <s v="GNR_WT_WIND_ONS"/>
    <x v="0"/>
    <x v="12"/>
    <n v="1035.2620641421199"/>
    <n v="377870.65341187199"/>
    <n v="1360334.3522827399"/>
  </r>
  <r>
    <x v="0"/>
    <x v="1"/>
    <x v="1"/>
    <x v="0"/>
    <x v="0"/>
    <s v="DK1_NoDH"/>
    <x v="7"/>
    <x v="5"/>
    <s v="GNR_WT_WIND_ONS"/>
    <x v="0"/>
    <x v="13"/>
    <n v="1177.5938135572501"/>
    <n v="429821.74194839399"/>
    <n v="1547358.2710142201"/>
  </r>
  <r>
    <x v="0"/>
    <x v="1"/>
    <x v="1"/>
    <x v="0"/>
    <x v="0"/>
    <s v="DK1_NoDH"/>
    <x v="7"/>
    <x v="5"/>
    <s v="GNR_WT_WIND_ONS"/>
    <x v="0"/>
    <x v="14"/>
    <n v="1409.88997062156"/>
    <n v="514609.83927686902"/>
    <n v="1852595.42139673"/>
  </r>
  <r>
    <x v="0"/>
    <x v="1"/>
    <x v="1"/>
    <x v="0"/>
    <x v="0"/>
    <s v="DK1_NoDH"/>
    <x v="7"/>
    <x v="5"/>
    <s v="GNR_WT_WIND_ONS"/>
    <x v="0"/>
    <x v="15"/>
    <n v="1753.6345729826201"/>
    <n v="640076.61913865805"/>
    <n v="2304275.8288991698"/>
  </r>
  <r>
    <x v="0"/>
    <x v="1"/>
    <x v="1"/>
    <x v="0"/>
    <x v="0"/>
    <s v="DK1_NoDH"/>
    <x v="7"/>
    <x v="5"/>
    <s v="GNR_WT_WIND_ONS"/>
    <x v="0"/>
    <x v="16"/>
    <n v="2210.1703729934202"/>
    <n v="806712.186142597"/>
    <n v="2904163.87011335"/>
  </r>
  <r>
    <x v="0"/>
    <x v="1"/>
    <x v="1"/>
    <x v="0"/>
    <x v="0"/>
    <s v="DK1_NoDH"/>
    <x v="7"/>
    <x v="5"/>
    <s v="GNR_WT_WIND_ONS"/>
    <x v="0"/>
    <x v="17"/>
    <n v="2731.1582859469099"/>
    <n v="996872.77437062096"/>
    <n v="3588741.9877342298"/>
  </r>
  <r>
    <x v="0"/>
    <x v="1"/>
    <x v="1"/>
    <x v="0"/>
    <x v="0"/>
    <s v="DK1_NoDH"/>
    <x v="7"/>
    <x v="5"/>
    <s v="GNR_WT_WIND_ONS"/>
    <x v="0"/>
    <x v="19"/>
    <n v="2943.31315771663"/>
    <n v="1074309.30256657"/>
    <n v="3867513.4892396498"/>
  </r>
  <r>
    <x v="0"/>
    <x v="1"/>
    <x v="1"/>
    <x v="0"/>
    <x v="0"/>
    <s v="DK1_NoDH"/>
    <x v="7"/>
    <x v="5"/>
    <s v="GNR_WT_WIND_ONS"/>
    <x v="0"/>
    <x v="20"/>
    <n v="2905.7160918333898"/>
    <n v="1060586.3735191899"/>
    <n v="3818110.9446690702"/>
  </r>
  <r>
    <x v="0"/>
    <x v="1"/>
    <x v="1"/>
    <x v="0"/>
    <x v="0"/>
    <s v="DK1_NoDH"/>
    <x v="7"/>
    <x v="5"/>
    <s v="GNR_WT_WIND_ONS"/>
    <x v="0"/>
    <x v="21"/>
    <n v="2921.8291200690601"/>
    <n v="1066467.62882521"/>
    <n v="3839283.46377075"/>
  </r>
  <r>
    <x v="0"/>
    <x v="1"/>
    <x v="1"/>
    <x v="0"/>
    <x v="0"/>
    <s v="DK1_NoDH"/>
    <x v="7"/>
    <x v="5"/>
    <s v="GNR_WT_WIND_ONS"/>
    <x v="0"/>
    <x v="22"/>
    <n v="2994.3377471295998"/>
    <n v="1092933.2777023001"/>
    <n v="3934559.7997282902"/>
  </r>
  <r>
    <x v="0"/>
    <x v="1"/>
    <x v="1"/>
    <x v="0"/>
    <x v="0"/>
    <s v="DK1_NoDH"/>
    <x v="7"/>
    <x v="5"/>
    <s v="GNR_WT_WIND_ONS"/>
    <x v="0"/>
    <x v="23"/>
    <n v="3013.13628007122"/>
    <n v="1099794.7422259899"/>
    <n v="3959261.0720135798"/>
  </r>
  <r>
    <x v="0"/>
    <x v="1"/>
    <x v="1"/>
    <x v="0"/>
    <x v="0"/>
    <s v="DK1_Offshore"/>
    <x v="7"/>
    <x v="5"/>
    <s v="GNR_WT_WIND_OFF"/>
    <x v="0"/>
    <x v="0"/>
    <n v="16.558642246272601"/>
    <n v="6043.9044198894999"/>
    <n v="21758.055911602201"/>
  </r>
  <r>
    <x v="0"/>
    <x v="1"/>
    <x v="1"/>
    <x v="0"/>
    <x v="0"/>
    <s v="DK1_Offshore"/>
    <x v="7"/>
    <x v="5"/>
    <s v="GNR_WT_WIND_OFF"/>
    <x v="0"/>
    <x v="1"/>
    <n v="15.1187603118141"/>
    <n v="5518.3475138121503"/>
    <n v="19866.051049723799"/>
  </r>
  <r>
    <x v="0"/>
    <x v="1"/>
    <x v="1"/>
    <x v="0"/>
    <x v="0"/>
    <s v="DK1_Offshore"/>
    <x v="7"/>
    <x v="5"/>
    <s v="GNR_WT_WIND_OFF"/>
    <x v="0"/>
    <x v="18"/>
    <n v="7.1994096722924397"/>
    <n v="2627.7845303867398"/>
    <n v="9460.0243093922709"/>
  </r>
  <r>
    <x v="0"/>
    <x v="1"/>
    <x v="1"/>
    <x v="0"/>
    <x v="0"/>
    <s v="DK1_Offshore"/>
    <x v="7"/>
    <x v="5"/>
    <s v="GNR_WT_WIND_OFF"/>
    <x v="0"/>
    <x v="2"/>
    <n v="7.9193506395216797"/>
    <n v="2890.56298342541"/>
    <n v="10406.026740331499"/>
  </r>
  <r>
    <x v="0"/>
    <x v="1"/>
    <x v="1"/>
    <x v="0"/>
    <x v="0"/>
    <s v="DK1_Offshore"/>
    <x v="7"/>
    <x v="5"/>
    <s v="GNR_WT_WIND_OFF"/>
    <x v="0"/>
    <x v="3"/>
    <n v="14.398819344584901"/>
    <n v="5255.5690607734796"/>
    <n v="18920.048618784502"/>
  </r>
  <r>
    <x v="0"/>
    <x v="1"/>
    <x v="1"/>
    <x v="0"/>
    <x v="0"/>
    <s v="DK1_Offshore"/>
    <x v="7"/>
    <x v="5"/>
    <s v="GNR_WT_WIND_OFF"/>
    <x v="0"/>
    <x v="4"/>
    <n v="25.1979338530235"/>
    <n v="9197.2458563535893"/>
    <n v="33110.085082872902"/>
  </r>
  <r>
    <x v="0"/>
    <x v="1"/>
    <x v="1"/>
    <x v="0"/>
    <x v="0"/>
    <s v="DK1_Offshore"/>
    <x v="7"/>
    <x v="5"/>
    <s v="GNR_WT_WIND_OFF"/>
    <x v="0"/>
    <x v="5"/>
    <n v="51.115808673276298"/>
    <n v="18657.2701657459"/>
    <n v="67166.172596685094"/>
  </r>
  <r>
    <x v="0"/>
    <x v="1"/>
    <x v="1"/>
    <x v="0"/>
    <x v="0"/>
    <s v="DK1_Offshore"/>
    <x v="7"/>
    <x v="5"/>
    <s v="GNR_WT_WIND_OFF"/>
    <x v="0"/>
    <x v="6"/>
    <n v="106.551263149928"/>
    <n v="38891.211049723803"/>
    <n v="140008.35977900599"/>
  </r>
  <r>
    <x v="0"/>
    <x v="1"/>
    <x v="1"/>
    <x v="0"/>
    <x v="0"/>
    <s v="DK1_Offshore"/>
    <x v="7"/>
    <x v="5"/>
    <s v="GNR_WT_WIND_OFF"/>
    <x v="0"/>
    <x v="7"/>
    <n v="176.38553697116501"/>
    <n v="64380.720994475101"/>
    <n v="231770.595580111"/>
  </r>
  <r>
    <x v="0"/>
    <x v="1"/>
    <x v="1"/>
    <x v="0"/>
    <x v="0"/>
    <s v="DK1_Offshore"/>
    <x v="7"/>
    <x v="5"/>
    <s v="GNR_WT_WIND_OFF"/>
    <x v="0"/>
    <x v="8"/>
    <n v="260.61863013698598"/>
    <n v="95125.8"/>
    <n v="342452.88"/>
  </r>
  <r>
    <x v="0"/>
    <x v="1"/>
    <x v="1"/>
    <x v="0"/>
    <x v="0"/>
    <s v="DK1_Offshore"/>
    <x v="7"/>
    <x v="5"/>
    <s v="GNR_WT_WIND_OFF"/>
    <x v="0"/>
    <x v="9"/>
    <n v="346.29160523726603"/>
    <n v="126396.43591160201"/>
    <n v="455027.16928176797"/>
  </r>
  <r>
    <x v="0"/>
    <x v="1"/>
    <x v="1"/>
    <x v="0"/>
    <x v="0"/>
    <s v="DK1_Offshore"/>
    <x v="7"/>
    <x v="5"/>
    <s v="GNR_WT_WIND_OFF"/>
    <x v="0"/>
    <x v="10"/>
    <n v="424.04522969802503"/>
    <n v="154776.50883977901"/>
    <n v="557195.43182320497"/>
  </r>
  <r>
    <x v="0"/>
    <x v="1"/>
    <x v="1"/>
    <x v="0"/>
    <x v="0"/>
    <s v="DK1_Offshore"/>
    <x v="7"/>
    <x v="5"/>
    <s v="GNR_WT_WIND_OFF"/>
    <x v="0"/>
    <x v="11"/>
    <n v="469.40151063346701"/>
    <n v="171331.55138121499"/>
    <n v="616793.584972376"/>
  </r>
  <r>
    <x v="0"/>
    <x v="1"/>
    <x v="1"/>
    <x v="0"/>
    <x v="0"/>
    <s v="DK1_Offshore"/>
    <x v="7"/>
    <x v="5"/>
    <s v="GNR_WT_WIND_OFF"/>
    <x v="0"/>
    <x v="12"/>
    <n v="555.074485733747"/>
    <n v="202602.18729281801"/>
    <n v="729367.87425414403"/>
  </r>
  <r>
    <x v="0"/>
    <x v="1"/>
    <x v="1"/>
    <x v="0"/>
    <x v="0"/>
    <s v="DK1_Offshore"/>
    <x v="7"/>
    <x v="5"/>
    <s v="GNR_WT_WIND_OFF"/>
    <x v="0"/>
    <x v="13"/>
    <n v="631.38822826004696"/>
    <n v="230456.70331491699"/>
    <n v="829644.13193370204"/>
  </r>
  <r>
    <x v="0"/>
    <x v="1"/>
    <x v="1"/>
    <x v="0"/>
    <x v="0"/>
    <s v="DK1_Offshore"/>
    <x v="7"/>
    <x v="5"/>
    <s v="GNR_WT_WIND_OFF"/>
    <x v="0"/>
    <x v="14"/>
    <n v="755.93801559070596"/>
    <n v="275917.37569060799"/>
    <n v="993302.55248618801"/>
  </r>
  <r>
    <x v="0"/>
    <x v="1"/>
    <x v="1"/>
    <x v="0"/>
    <x v="0"/>
    <s v="DK1_Offshore"/>
    <x v="7"/>
    <x v="5"/>
    <s v="GNR_WT_WIND_OFF"/>
    <x v="0"/>
    <x v="15"/>
    <n v="940.24290320139301"/>
    <n v="343188.65966850799"/>
    <n v="1235479.17480663"/>
  </r>
  <r>
    <x v="0"/>
    <x v="1"/>
    <x v="1"/>
    <x v="0"/>
    <x v="0"/>
    <s v="DK1_Offshore"/>
    <x v="7"/>
    <x v="5"/>
    <s v="GNR_WT_WIND_OFF"/>
    <x v="0"/>
    <x v="16"/>
    <n v="1185.0228320593401"/>
    <n v="432533.33370165701"/>
    <n v="1557120.00132597"/>
  </r>
  <r>
    <x v="0"/>
    <x v="1"/>
    <x v="1"/>
    <x v="0"/>
    <x v="0"/>
    <s v="DK1_Offshore"/>
    <x v="7"/>
    <x v="5"/>
    <s v="GNR_WT_WIND_OFF"/>
    <x v="0"/>
    <x v="17"/>
    <n v="1464.3599273442801"/>
    <n v="534491.37348066305"/>
    <n v="1924168.94453039"/>
  </r>
  <r>
    <x v="0"/>
    <x v="1"/>
    <x v="1"/>
    <x v="0"/>
    <x v="0"/>
    <s v="DK1_Offshore"/>
    <x v="7"/>
    <x v="5"/>
    <s v="GNR_WT_WIND_OFF"/>
    <x v="0"/>
    <x v="19"/>
    <n v="1578.1106001665"/>
    <n v="576010.36906077305"/>
    <n v="2073637.32861878"/>
  </r>
  <r>
    <x v="0"/>
    <x v="1"/>
    <x v="1"/>
    <x v="0"/>
    <x v="0"/>
    <s v="DK1_Offshore"/>
    <x v="7"/>
    <x v="5"/>
    <s v="GNR_WT_WIND_OFF"/>
    <x v="0"/>
    <x v="20"/>
    <n v="1557.95225308408"/>
    <n v="568652.57237569103"/>
    <n v="2047149.2605524899"/>
  </r>
  <r>
    <x v="0"/>
    <x v="1"/>
    <x v="1"/>
    <x v="0"/>
    <x v="0"/>
    <s v="DK1_Offshore"/>
    <x v="7"/>
    <x v="5"/>
    <s v="GNR_WT_WIND_OFF"/>
    <x v="0"/>
    <x v="21"/>
    <n v="1566.59154469083"/>
    <n v="571805.91381215502"/>
    <n v="2058501.28972376"/>
  </r>
  <r>
    <x v="0"/>
    <x v="1"/>
    <x v="1"/>
    <x v="0"/>
    <x v="0"/>
    <s v="DK1_Offshore"/>
    <x v="7"/>
    <x v="5"/>
    <s v="GNR_WT_WIND_OFF"/>
    <x v="0"/>
    <x v="22"/>
    <n v="1605.46835692121"/>
    <n v="585995.95027624303"/>
    <n v="2109585.4209944801"/>
  </r>
  <r>
    <x v="0"/>
    <x v="1"/>
    <x v="1"/>
    <x v="0"/>
    <x v="0"/>
    <s v="DK1_Offshore"/>
    <x v="7"/>
    <x v="5"/>
    <s v="GNR_WT_WIND_OFF"/>
    <x v="0"/>
    <x v="23"/>
    <n v="1615.5475304624199"/>
    <n v="589674.84861878504"/>
    <n v="2122829.4550276198"/>
  </r>
  <r>
    <x v="0"/>
    <x v="1"/>
    <x v="1"/>
    <x v="0"/>
    <x v="1"/>
    <s v="DK2_Large"/>
    <x v="0"/>
    <x v="0"/>
    <s v="GNR_ST_COAL_EXT_E-42"/>
    <x v="0"/>
    <x v="0"/>
    <n v="500"/>
    <n v="182500"/>
    <n v="657000"/>
  </r>
  <r>
    <x v="0"/>
    <x v="1"/>
    <x v="1"/>
    <x v="0"/>
    <x v="1"/>
    <s v="DK2_Large"/>
    <x v="0"/>
    <x v="0"/>
    <s v="GNR_ST_COAL_EXT_E-42"/>
    <x v="0"/>
    <x v="1"/>
    <n v="500"/>
    <n v="182500"/>
    <n v="657000"/>
  </r>
  <r>
    <x v="0"/>
    <x v="1"/>
    <x v="1"/>
    <x v="0"/>
    <x v="1"/>
    <s v="DK2_Large"/>
    <x v="0"/>
    <x v="0"/>
    <s v="GNR_ST_COAL_EXT_E-42"/>
    <x v="0"/>
    <x v="18"/>
    <n v="500"/>
    <n v="182500"/>
    <n v="657000"/>
  </r>
  <r>
    <x v="0"/>
    <x v="1"/>
    <x v="1"/>
    <x v="0"/>
    <x v="1"/>
    <s v="DK2_Large"/>
    <x v="0"/>
    <x v="0"/>
    <s v="GNR_ST_COAL_EXT_E-42"/>
    <x v="0"/>
    <x v="2"/>
    <n v="500"/>
    <n v="182500"/>
    <n v="657000"/>
  </r>
  <r>
    <x v="0"/>
    <x v="1"/>
    <x v="1"/>
    <x v="0"/>
    <x v="1"/>
    <s v="DK2_Large"/>
    <x v="0"/>
    <x v="0"/>
    <s v="GNR_ST_COAL_EXT_E-42"/>
    <x v="0"/>
    <x v="3"/>
    <n v="500"/>
    <n v="182500"/>
    <n v="657000"/>
  </r>
  <r>
    <x v="0"/>
    <x v="1"/>
    <x v="1"/>
    <x v="0"/>
    <x v="1"/>
    <s v="DK2_Large"/>
    <x v="0"/>
    <x v="0"/>
    <s v="GNR_ST_COAL_EXT_E-42"/>
    <x v="0"/>
    <x v="4"/>
    <n v="500"/>
    <n v="182500"/>
    <n v="657000"/>
  </r>
  <r>
    <x v="0"/>
    <x v="1"/>
    <x v="1"/>
    <x v="0"/>
    <x v="1"/>
    <s v="DK2_Large"/>
    <x v="0"/>
    <x v="0"/>
    <s v="GNR_ST_COAL_EXT_E-42"/>
    <x v="0"/>
    <x v="5"/>
    <n v="500"/>
    <n v="182500"/>
    <n v="657000"/>
  </r>
  <r>
    <x v="0"/>
    <x v="1"/>
    <x v="1"/>
    <x v="0"/>
    <x v="1"/>
    <s v="DK2_Large"/>
    <x v="0"/>
    <x v="0"/>
    <s v="GNR_ST_COAL_EXT_E-42"/>
    <x v="0"/>
    <x v="6"/>
    <n v="500"/>
    <n v="182500"/>
    <n v="657000"/>
  </r>
  <r>
    <x v="0"/>
    <x v="1"/>
    <x v="1"/>
    <x v="0"/>
    <x v="1"/>
    <s v="DK2_Large"/>
    <x v="0"/>
    <x v="0"/>
    <s v="GNR_ST_COAL_EXT_E-42"/>
    <x v="0"/>
    <x v="7"/>
    <n v="500"/>
    <n v="182500"/>
    <n v="657000"/>
  </r>
  <r>
    <x v="0"/>
    <x v="1"/>
    <x v="1"/>
    <x v="0"/>
    <x v="1"/>
    <s v="DK2_Large"/>
    <x v="0"/>
    <x v="0"/>
    <s v="GNR_ST_COAL_EXT_E-42"/>
    <x v="0"/>
    <x v="8"/>
    <n v="500"/>
    <n v="182500"/>
    <n v="657000"/>
  </r>
  <r>
    <x v="0"/>
    <x v="1"/>
    <x v="1"/>
    <x v="0"/>
    <x v="1"/>
    <s v="DK2_Large"/>
    <x v="0"/>
    <x v="0"/>
    <s v="GNR_ST_COAL_EXT_E-42"/>
    <x v="0"/>
    <x v="9"/>
    <n v="500"/>
    <n v="182500"/>
    <n v="657000"/>
  </r>
  <r>
    <x v="0"/>
    <x v="1"/>
    <x v="1"/>
    <x v="0"/>
    <x v="1"/>
    <s v="DK2_Large"/>
    <x v="0"/>
    <x v="0"/>
    <s v="GNR_ST_COAL_EXT_E-42"/>
    <x v="0"/>
    <x v="10"/>
    <n v="500"/>
    <n v="182500"/>
    <n v="657000"/>
  </r>
  <r>
    <x v="0"/>
    <x v="1"/>
    <x v="1"/>
    <x v="0"/>
    <x v="1"/>
    <s v="DK2_Large"/>
    <x v="0"/>
    <x v="0"/>
    <s v="GNR_ST_COAL_EXT_E-42"/>
    <x v="0"/>
    <x v="11"/>
    <n v="500"/>
    <n v="182500"/>
    <n v="657000"/>
  </r>
  <r>
    <x v="0"/>
    <x v="1"/>
    <x v="1"/>
    <x v="0"/>
    <x v="1"/>
    <s v="DK2_Large"/>
    <x v="0"/>
    <x v="0"/>
    <s v="GNR_ST_COAL_EXT_E-42"/>
    <x v="0"/>
    <x v="12"/>
    <n v="500"/>
    <n v="182500"/>
    <n v="657000"/>
  </r>
  <r>
    <x v="0"/>
    <x v="1"/>
    <x v="1"/>
    <x v="0"/>
    <x v="1"/>
    <s v="DK2_Large"/>
    <x v="0"/>
    <x v="0"/>
    <s v="GNR_ST_COAL_EXT_E-42"/>
    <x v="0"/>
    <x v="13"/>
    <n v="500"/>
    <n v="182500"/>
    <n v="657000"/>
  </r>
  <r>
    <x v="0"/>
    <x v="1"/>
    <x v="1"/>
    <x v="0"/>
    <x v="1"/>
    <s v="DK2_Large"/>
    <x v="0"/>
    <x v="0"/>
    <s v="GNR_ST_COAL_EXT_E-42"/>
    <x v="0"/>
    <x v="14"/>
    <n v="500"/>
    <n v="182500"/>
    <n v="657000"/>
  </r>
  <r>
    <x v="0"/>
    <x v="1"/>
    <x v="1"/>
    <x v="0"/>
    <x v="1"/>
    <s v="DK2_Large"/>
    <x v="0"/>
    <x v="0"/>
    <s v="GNR_ST_COAL_EXT_E-42"/>
    <x v="0"/>
    <x v="15"/>
    <n v="500"/>
    <n v="182500"/>
    <n v="657000"/>
  </r>
  <r>
    <x v="0"/>
    <x v="1"/>
    <x v="1"/>
    <x v="0"/>
    <x v="1"/>
    <s v="DK2_Large"/>
    <x v="0"/>
    <x v="0"/>
    <s v="GNR_ST_COAL_EXT_E-42"/>
    <x v="0"/>
    <x v="16"/>
    <n v="500"/>
    <n v="182500"/>
    <n v="657000"/>
  </r>
  <r>
    <x v="0"/>
    <x v="1"/>
    <x v="1"/>
    <x v="0"/>
    <x v="1"/>
    <s v="DK2_Large"/>
    <x v="0"/>
    <x v="0"/>
    <s v="GNR_ST_COAL_EXT_E-42"/>
    <x v="0"/>
    <x v="17"/>
    <n v="500"/>
    <n v="182500"/>
    <n v="657000"/>
  </r>
  <r>
    <x v="0"/>
    <x v="1"/>
    <x v="1"/>
    <x v="0"/>
    <x v="1"/>
    <s v="DK2_Large"/>
    <x v="0"/>
    <x v="0"/>
    <s v="GNR_ST_COAL_EXT_E-42"/>
    <x v="0"/>
    <x v="19"/>
    <n v="500"/>
    <n v="182500"/>
    <n v="657000"/>
  </r>
  <r>
    <x v="0"/>
    <x v="1"/>
    <x v="1"/>
    <x v="0"/>
    <x v="1"/>
    <s v="DK2_Large"/>
    <x v="0"/>
    <x v="0"/>
    <s v="GNR_ST_COAL_EXT_E-42"/>
    <x v="0"/>
    <x v="20"/>
    <n v="500"/>
    <n v="182500"/>
    <n v="657000"/>
  </r>
  <r>
    <x v="0"/>
    <x v="1"/>
    <x v="1"/>
    <x v="0"/>
    <x v="1"/>
    <s v="DK2_Large"/>
    <x v="0"/>
    <x v="0"/>
    <s v="GNR_ST_COAL_EXT_E-42"/>
    <x v="0"/>
    <x v="21"/>
    <n v="500"/>
    <n v="182500"/>
    <n v="657000"/>
  </r>
  <r>
    <x v="0"/>
    <x v="1"/>
    <x v="1"/>
    <x v="0"/>
    <x v="1"/>
    <s v="DK2_Large"/>
    <x v="0"/>
    <x v="0"/>
    <s v="GNR_ST_COAL_EXT_E-42"/>
    <x v="0"/>
    <x v="22"/>
    <n v="499.05225547458798"/>
    <n v="182154.073248225"/>
    <n v="655754.66369360895"/>
  </r>
  <r>
    <x v="0"/>
    <x v="1"/>
    <x v="1"/>
    <x v="0"/>
    <x v="1"/>
    <s v="DK2_Medium"/>
    <x v="0"/>
    <x v="2"/>
    <s v="GNR_ST_COAL_BP_E-38"/>
    <x v="0"/>
    <x v="5"/>
    <n v="142"/>
    <n v="51830"/>
    <n v="186588"/>
  </r>
  <r>
    <x v="0"/>
    <x v="1"/>
    <x v="1"/>
    <x v="0"/>
    <x v="1"/>
    <s v="DK2_Medium"/>
    <x v="0"/>
    <x v="2"/>
    <s v="GNR_ST_COAL_BP_E-38"/>
    <x v="0"/>
    <x v="6"/>
    <n v="142"/>
    <n v="51830"/>
    <n v="186588"/>
  </r>
  <r>
    <x v="0"/>
    <x v="1"/>
    <x v="1"/>
    <x v="0"/>
    <x v="1"/>
    <s v="DK2_Medium"/>
    <x v="0"/>
    <x v="2"/>
    <s v="GNR_ST_COAL_BP_E-38"/>
    <x v="0"/>
    <x v="7"/>
    <n v="142"/>
    <n v="51830"/>
    <n v="186588"/>
  </r>
  <r>
    <x v="0"/>
    <x v="1"/>
    <x v="1"/>
    <x v="0"/>
    <x v="1"/>
    <s v="DK2_Medium"/>
    <x v="0"/>
    <x v="2"/>
    <s v="GNR_ST_COAL_BP_E-38"/>
    <x v="0"/>
    <x v="8"/>
    <n v="142"/>
    <n v="51830"/>
    <n v="186588"/>
  </r>
  <r>
    <x v="0"/>
    <x v="1"/>
    <x v="1"/>
    <x v="0"/>
    <x v="1"/>
    <s v="DK2_Medium"/>
    <x v="0"/>
    <x v="2"/>
    <s v="GNR_ST_COAL_BP_E-38"/>
    <x v="0"/>
    <x v="9"/>
    <n v="142"/>
    <n v="51830"/>
    <n v="186588"/>
  </r>
  <r>
    <x v="0"/>
    <x v="1"/>
    <x v="1"/>
    <x v="0"/>
    <x v="1"/>
    <s v="DK2_Medium"/>
    <x v="0"/>
    <x v="2"/>
    <s v="GNR_ST_COAL_BP_E-38"/>
    <x v="0"/>
    <x v="10"/>
    <n v="142"/>
    <n v="51830"/>
    <n v="186588"/>
  </r>
  <r>
    <x v="0"/>
    <x v="1"/>
    <x v="1"/>
    <x v="0"/>
    <x v="1"/>
    <s v="DK2_Medium"/>
    <x v="0"/>
    <x v="2"/>
    <s v="GNR_ST_COAL_BP_E-38"/>
    <x v="0"/>
    <x v="11"/>
    <n v="142"/>
    <n v="51830"/>
    <n v="186588"/>
  </r>
  <r>
    <x v="0"/>
    <x v="1"/>
    <x v="1"/>
    <x v="0"/>
    <x v="1"/>
    <s v="DK2_Medium"/>
    <x v="0"/>
    <x v="0"/>
    <s v="GNR_ST_COAL_EXT_E-41"/>
    <x v="0"/>
    <x v="0"/>
    <n v="640"/>
    <n v="233600"/>
    <n v="840960"/>
  </r>
  <r>
    <x v="0"/>
    <x v="1"/>
    <x v="1"/>
    <x v="0"/>
    <x v="1"/>
    <s v="DK2_Medium"/>
    <x v="0"/>
    <x v="0"/>
    <s v="GNR_ST_COAL_EXT_E-41"/>
    <x v="0"/>
    <x v="1"/>
    <n v="640"/>
    <n v="233600"/>
    <n v="840960"/>
  </r>
  <r>
    <x v="0"/>
    <x v="1"/>
    <x v="1"/>
    <x v="0"/>
    <x v="1"/>
    <s v="DK2_Medium"/>
    <x v="0"/>
    <x v="0"/>
    <s v="GNR_ST_COAL_EXT_E-41"/>
    <x v="0"/>
    <x v="18"/>
    <n v="640"/>
    <n v="233600"/>
    <n v="840960"/>
  </r>
  <r>
    <x v="0"/>
    <x v="1"/>
    <x v="1"/>
    <x v="0"/>
    <x v="1"/>
    <s v="DK2_Medium"/>
    <x v="0"/>
    <x v="0"/>
    <s v="GNR_ST_COAL_EXT_E-41"/>
    <x v="0"/>
    <x v="2"/>
    <n v="640"/>
    <n v="233600"/>
    <n v="840960"/>
  </r>
  <r>
    <x v="0"/>
    <x v="1"/>
    <x v="1"/>
    <x v="0"/>
    <x v="1"/>
    <s v="DK2_Medium"/>
    <x v="0"/>
    <x v="0"/>
    <s v="GNR_ST_COAL_EXT_E-41"/>
    <x v="0"/>
    <x v="3"/>
    <n v="640"/>
    <n v="233600"/>
    <n v="840960"/>
  </r>
  <r>
    <x v="0"/>
    <x v="1"/>
    <x v="1"/>
    <x v="0"/>
    <x v="1"/>
    <s v="DK2_Medium"/>
    <x v="0"/>
    <x v="0"/>
    <s v="GNR_ST_COAL_EXT_E-41"/>
    <x v="0"/>
    <x v="4"/>
    <n v="640"/>
    <n v="233600"/>
    <n v="840960"/>
  </r>
  <r>
    <x v="0"/>
    <x v="1"/>
    <x v="1"/>
    <x v="0"/>
    <x v="1"/>
    <s v="DK2_Medium"/>
    <x v="0"/>
    <x v="0"/>
    <s v="GNR_ST_COAL_EXT_E-41"/>
    <x v="0"/>
    <x v="5"/>
    <n v="640"/>
    <n v="233600"/>
    <n v="840960"/>
  </r>
  <r>
    <x v="0"/>
    <x v="1"/>
    <x v="1"/>
    <x v="0"/>
    <x v="1"/>
    <s v="DK2_Medium"/>
    <x v="0"/>
    <x v="0"/>
    <s v="GNR_ST_COAL_EXT_E-41"/>
    <x v="0"/>
    <x v="6"/>
    <n v="640"/>
    <n v="233600"/>
    <n v="840960"/>
  </r>
  <r>
    <x v="0"/>
    <x v="1"/>
    <x v="1"/>
    <x v="0"/>
    <x v="1"/>
    <s v="DK2_Medium"/>
    <x v="0"/>
    <x v="0"/>
    <s v="GNR_ST_COAL_EXT_E-41"/>
    <x v="0"/>
    <x v="7"/>
    <n v="640"/>
    <n v="233600"/>
    <n v="840960"/>
  </r>
  <r>
    <x v="0"/>
    <x v="1"/>
    <x v="1"/>
    <x v="0"/>
    <x v="1"/>
    <s v="DK2_Medium"/>
    <x v="0"/>
    <x v="0"/>
    <s v="GNR_ST_COAL_EXT_E-41"/>
    <x v="0"/>
    <x v="8"/>
    <n v="640"/>
    <n v="233600"/>
    <n v="840960"/>
  </r>
  <r>
    <x v="0"/>
    <x v="1"/>
    <x v="1"/>
    <x v="0"/>
    <x v="1"/>
    <s v="DK2_Medium"/>
    <x v="0"/>
    <x v="0"/>
    <s v="GNR_ST_COAL_EXT_E-41"/>
    <x v="0"/>
    <x v="9"/>
    <n v="640"/>
    <n v="233600"/>
    <n v="840960"/>
  </r>
  <r>
    <x v="0"/>
    <x v="1"/>
    <x v="1"/>
    <x v="0"/>
    <x v="1"/>
    <s v="DK2_Medium"/>
    <x v="0"/>
    <x v="0"/>
    <s v="GNR_ST_COAL_EXT_E-41"/>
    <x v="0"/>
    <x v="10"/>
    <n v="640"/>
    <n v="233600"/>
    <n v="840960"/>
  </r>
  <r>
    <x v="0"/>
    <x v="1"/>
    <x v="1"/>
    <x v="0"/>
    <x v="1"/>
    <s v="DK2_Medium"/>
    <x v="0"/>
    <x v="0"/>
    <s v="GNR_ST_COAL_EXT_E-41"/>
    <x v="0"/>
    <x v="11"/>
    <n v="640"/>
    <n v="233600"/>
    <n v="840960"/>
  </r>
  <r>
    <x v="0"/>
    <x v="1"/>
    <x v="1"/>
    <x v="0"/>
    <x v="1"/>
    <s v="DK2_Medium"/>
    <x v="0"/>
    <x v="0"/>
    <s v="GNR_ST_COAL_EXT_E-41"/>
    <x v="0"/>
    <x v="12"/>
    <n v="640"/>
    <n v="233600"/>
    <n v="840960"/>
  </r>
  <r>
    <x v="0"/>
    <x v="1"/>
    <x v="1"/>
    <x v="0"/>
    <x v="1"/>
    <s v="DK2_Medium"/>
    <x v="0"/>
    <x v="0"/>
    <s v="GNR_ST_COAL_EXT_E-41"/>
    <x v="0"/>
    <x v="13"/>
    <n v="640"/>
    <n v="233600"/>
    <n v="840960"/>
  </r>
  <r>
    <x v="0"/>
    <x v="1"/>
    <x v="1"/>
    <x v="0"/>
    <x v="1"/>
    <s v="DK2_Medium"/>
    <x v="0"/>
    <x v="0"/>
    <s v="GNR_ST_COAL_EXT_E-41"/>
    <x v="0"/>
    <x v="14"/>
    <n v="640"/>
    <n v="233600"/>
    <n v="840960"/>
  </r>
  <r>
    <x v="0"/>
    <x v="1"/>
    <x v="1"/>
    <x v="0"/>
    <x v="1"/>
    <s v="DK2_Medium"/>
    <x v="0"/>
    <x v="0"/>
    <s v="GNR_ST_COAL_EXT_E-41"/>
    <x v="0"/>
    <x v="15"/>
    <n v="640"/>
    <n v="233600"/>
    <n v="840960"/>
  </r>
  <r>
    <x v="0"/>
    <x v="1"/>
    <x v="1"/>
    <x v="0"/>
    <x v="1"/>
    <s v="DK2_Medium"/>
    <x v="0"/>
    <x v="0"/>
    <s v="GNR_ST_COAL_EXT_E-41"/>
    <x v="0"/>
    <x v="16"/>
    <n v="640"/>
    <n v="233600"/>
    <n v="840960"/>
  </r>
  <r>
    <x v="0"/>
    <x v="1"/>
    <x v="1"/>
    <x v="0"/>
    <x v="1"/>
    <s v="DK2_Medium"/>
    <x v="0"/>
    <x v="0"/>
    <s v="GNR_ST_COAL_EXT_E-41"/>
    <x v="0"/>
    <x v="17"/>
    <n v="640"/>
    <n v="233600"/>
    <n v="840960"/>
  </r>
  <r>
    <x v="0"/>
    <x v="1"/>
    <x v="1"/>
    <x v="0"/>
    <x v="1"/>
    <s v="DK2_Medium"/>
    <x v="0"/>
    <x v="0"/>
    <s v="GNR_ST_COAL_EXT_E-41"/>
    <x v="0"/>
    <x v="19"/>
    <n v="640"/>
    <n v="233600"/>
    <n v="840960"/>
  </r>
  <r>
    <x v="0"/>
    <x v="1"/>
    <x v="1"/>
    <x v="0"/>
    <x v="1"/>
    <s v="DK2_Medium"/>
    <x v="0"/>
    <x v="0"/>
    <s v="GNR_ST_COAL_EXT_E-41"/>
    <x v="0"/>
    <x v="20"/>
    <n v="640"/>
    <n v="233600"/>
    <n v="840960"/>
  </r>
  <r>
    <x v="0"/>
    <x v="1"/>
    <x v="1"/>
    <x v="0"/>
    <x v="1"/>
    <s v="DK2_Medium"/>
    <x v="0"/>
    <x v="0"/>
    <s v="GNR_ST_COAL_EXT_E-41"/>
    <x v="0"/>
    <x v="21"/>
    <n v="471.55451775881698"/>
    <n v="172117.398981968"/>
    <n v="619622.63633508503"/>
  </r>
  <r>
    <x v="0"/>
    <x v="1"/>
    <x v="1"/>
    <x v="0"/>
    <x v="1"/>
    <s v="DK2_NoDH"/>
    <x v="5"/>
    <x v="3"/>
    <s v="GNR_PV_SUN"/>
    <x v="0"/>
    <x v="7"/>
    <n v="5.89448093338929"/>
    <n v="2151.4855406870902"/>
    <n v="7745.3479464735301"/>
  </r>
  <r>
    <x v="0"/>
    <x v="1"/>
    <x v="1"/>
    <x v="0"/>
    <x v="1"/>
    <s v="DK2_NoDH"/>
    <x v="5"/>
    <x v="3"/>
    <s v="GNR_PV_SUN"/>
    <x v="0"/>
    <x v="8"/>
    <n v="44.374861590848603"/>
    <n v="16196.824480659699"/>
    <n v="58308.568130375097"/>
  </r>
  <r>
    <x v="0"/>
    <x v="1"/>
    <x v="1"/>
    <x v="0"/>
    <x v="1"/>
    <s v="DK2_NoDH"/>
    <x v="5"/>
    <x v="3"/>
    <s v="GNR_PV_SUN"/>
    <x v="0"/>
    <x v="9"/>
    <n v="102.50351202627201"/>
    <n v="37413.781889589402"/>
    <n v="134689.614802522"/>
  </r>
  <r>
    <x v="0"/>
    <x v="1"/>
    <x v="1"/>
    <x v="0"/>
    <x v="1"/>
    <s v="DK2_NoDH"/>
    <x v="5"/>
    <x v="3"/>
    <s v="GNR_PV_SUN"/>
    <x v="0"/>
    <x v="10"/>
    <n v="156.09794635908901"/>
    <n v="56975.750421067401"/>
    <n v="205112.70151584299"/>
  </r>
  <r>
    <x v="0"/>
    <x v="1"/>
    <x v="1"/>
    <x v="0"/>
    <x v="1"/>
    <s v="DK2_NoDH"/>
    <x v="5"/>
    <x v="3"/>
    <s v="GNR_PV_SUN"/>
    <x v="0"/>
    <x v="11"/>
    <n v="177.469218256044"/>
    <n v="64776.264663456001"/>
    <n v="233194.55278844101"/>
  </r>
  <r>
    <x v="0"/>
    <x v="1"/>
    <x v="1"/>
    <x v="0"/>
    <x v="1"/>
    <s v="DK2_NoDH"/>
    <x v="5"/>
    <x v="3"/>
    <s v="GNR_PV_SUN"/>
    <x v="0"/>
    <x v="12"/>
    <n v="154.314488025397"/>
    <n v="56324.788129269698"/>
    <n v="202769.23726537099"/>
  </r>
  <r>
    <x v="0"/>
    <x v="1"/>
    <x v="1"/>
    <x v="0"/>
    <x v="1"/>
    <s v="DK2_NoDH"/>
    <x v="5"/>
    <x v="3"/>
    <s v="GNR_PV_SUN"/>
    <x v="0"/>
    <x v="13"/>
    <n v="100.41777261907301"/>
    <n v="36652.487005961601"/>
    <n v="131948.953221462"/>
  </r>
  <r>
    <x v="0"/>
    <x v="1"/>
    <x v="1"/>
    <x v="0"/>
    <x v="1"/>
    <s v="DK2_NoDH"/>
    <x v="5"/>
    <x v="3"/>
    <s v="GNR_PV_SUN"/>
    <x v="0"/>
    <x v="14"/>
    <n v="50.843676563901496"/>
    <n v="18557.941945824001"/>
    <n v="66808.591004966496"/>
  </r>
  <r>
    <x v="0"/>
    <x v="1"/>
    <x v="1"/>
    <x v="0"/>
    <x v="1"/>
    <s v="DK2_NoDH"/>
    <x v="5"/>
    <x v="3"/>
    <s v="GNR_PV_SUN"/>
    <x v="0"/>
    <x v="15"/>
    <n v="6.61995550980643"/>
    <n v="2416.2837610793499"/>
    <n v="8698.6215398856493"/>
  </r>
  <r>
    <x v="0"/>
    <x v="1"/>
    <x v="1"/>
    <x v="0"/>
    <x v="1"/>
    <s v="DK2_NoDH"/>
    <x v="6"/>
    <x v="4"/>
    <s v="GNR_ROR_WTR"/>
    <x v="0"/>
    <x v="0"/>
    <n v="8.2531860285989002E-3"/>
    <n v="3.0124129004386"/>
    <n v="10.844686441579"/>
  </r>
  <r>
    <x v="0"/>
    <x v="1"/>
    <x v="1"/>
    <x v="0"/>
    <x v="1"/>
    <s v="DK2_NoDH"/>
    <x v="6"/>
    <x v="4"/>
    <s v="GNR_ROR_WTR"/>
    <x v="0"/>
    <x v="1"/>
    <n v="8.2531860285989002E-3"/>
    <n v="3.0124129004386"/>
    <n v="10.844686441579"/>
  </r>
  <r>
    <x v="0"/>
    <x v="1"/>
    <x v="1"/>
    <x v="0"/>
    <x v="1"/>
    <s v="DK2_NoDH"/>
    <x v="6"/>
    <x v="4"/>
    <s v="GNR_ROR_WTR"/>
    <x v="0"/>
    <x v="18"/>
    <n v="8.2531860285989002E-3"/>
    <n v="3.0124129004386"/>
    <n v="10.844686441579"/>
  </r>
  <r>
    <x v="0"/>
    <x v="1"/>
    <x v="1"/>
    <x v="0"/>
    <x v="1"/>
    <s v="DK2_NoDH"/>
    <x v="6"/>
    <x v="4"/>
    <s v="GNR_ROR_WTR"/>
    <x v="0"/>
    <x v="2"/>
    <n v="8.2531860285989002E-3"/>
    <n v="3.0124129004386"/>
    <n v="10.844686441579"/>
  </r>
  <r>
    <x v="0"/>
    <x v="1"/>
    <x v="1"/>
    <x v="0"/>
    <x v="1"/>
    <s v="DK2_NoDH"/>
    <x v="6"/>
    <x v="4"/>
    <s v="GNR_ROR_WTR"/>
    <x v="0"/>
    <x v="3"/>
    <n v="8.2531860285989002E-3"/>
    <n v="3.0124129004386"/>
    <n v="10.844686441579"/>
  </r>
  <r>
    <x v="0"/>
    <x v="1"/>
    <x v="1"/>
    <x v="0"/>
    <x v="1"/>
    <s v="DK2_NoDH"/>
    <x v="6"/>
    <x v="4"/>
    <s v="GNR_ROR_WTR"/>
    <x v="0"/>
    <x v="4"/>
    <n v="8.2531860285989002E-3"/>
    <n v="3.0124129004386"/>
    <n v="10.844686441579"/>
  </r>
  <r>
    <x v="0"/>
    <x v="1"/>
    <x v="1"/>
    <x v="0"/>
    <x v="1"/>
    <s v="DK2_NoDH"/>
    <x v="6"/>
    <x v="4"/>
    <s v="GNR_ROR_WTR"/>
    <x v="0"/>
    <x v="5"/>
    <n v="8.2531860285989002E-3"/>
    <n v="3.0124129004386"/>
    <n v="10.844686441579"/>
  </r>
  <r>
    <x v="0"/>
    <x v="1"/>
    <x v="1"/>
    <x v="0"/>
    <x v="1"/>
    <s v="DK2_NoDH"/>
    <x v="6"/>
    <x v="4"/>
    <s v="GNR_ROR_WTR"/>
    <x v="0"/>
    <x v="6"/>
    <n v="8.2531860285989002E-3"/>
    <n v="3.0124129004386"/>
    <n v="10.844686441579"/>
  </r>
  <r>
    <x v="0"/>
    <x v="1"/>
    <x v="1"/>
    <x v="0"/>
    <x v="1"/>
    <s v="DK2_NoDH"/>
    <x v="6"/>
    <x v="4"/>
    <s v="GNR_ROR_WTR"/>
    <x v="0"/>
    <x v="7"/>
    <n v="8.2531860285989002E-3"/>
    <n v="3.0124129004386"/>
    <n v="10.844686441579"/>
  </r>
  <r>
    <x v="0"/>
    <x v="1"/>
    <x v="1"/>
    <x v="0"/>
    <x v="1"/>
    <s v="DK2_NoDH"/>
    <x v="6"/>
    <x v="4"/>
    <s v="GNR_ROR_WTR"/>
    <x v="0"/>
    <x v="8"/>
    <n v="8.2531860285989002E-3"/>
    <n v="3.0124129004386"/>
    <n v="10.844686441579"/>
  </r>
  <r>
    <x v="0"/>
    <x v="1"/>
    <x v="1"/>
    <x v="0"/>
    <x v="1"/>
    <s v="DK2_NoDH"/>
    <x v="6"/>
    <x v="4"/>
    <s v="GNR_ROR_WTR"/>
    <x v="0"/>
    <x v="9"/>
    <n v="8.2531860285989002E-3"/>
    <n v="3.0124129004386"/>
    <n v="10.844686441579"/>
  </r>
  <r>
    <x v="0"/>
    <x v="1"/>
    <x v="1"/>
    <x v="0"/>
    <x v="1"/>
    <s v="DK2_NoDH"/>
    <x v="6"/>
    <x v="4"/>
    <s v="GNR_ROR_WTR"/>
    <x v="0"/>
    <x v="10"/>
    <n v="8.2531860285989002E-3"/>
    <n v="3.0124129004386"/>
    <n v="10.844686441579"/>
  </r>
  <r>
    <x v="0"/>
    <x v="1"/>
    <x v="1"/>
    <x v="0"/>
    <x v="1"/>
    <s v="DK2_NoDH"/>
    <x v="6"/>
    <x v="4"/>
    <s v="GNR_ROR_WTR"/>
    <x v="0"/>
    <x v="11"/>
    <n v="8.2531860285989002E-3"/>
    <n v="3.0124129004386"/>
    <n v="10.844686441579"/>
  </r>
  <r>
    <x v="0"/>
    <x v="1"/>
    <x v="1"/>
    <x v="0"/>
    <x v="1"/>
    <s v="DK2_NoDH"/>
    <x v="6"/>
    <x v="4"/>
    <s v="GNR_ROR_WTR"/>
    <x v="0"/>
    <x v="12"/>
    <n v="8.2531860285989002E-3"/>
    <n v="3.0124129004386"/>
    <n v="10.844686441579"/>
  </r>
  <r>
    <x v="0"/>
    <x v="1"/>
    <x v="1"/>
    <x v="0"/>
    <x v="1"/>
    <s v="DK2_NoDH"/>
    <x v="6"/>
    <x v="4"/>
    <s v="GNR_ROR_WTR"/>
    <x v="0"/>
    <x v="13"/>
    <n v="8.2531860285989002E-3"/>
    <n v="3.0124129004386"/>
    <n v="10.844686441579"/>
  </r>
  <r>
    <x v="0"/>
    <x v="1"/>
    <x v="1"/>
    <x v="0"/>
    <x v="1"/>
    <s v="DK2_NoDH"/>
    <x v="6"/>
    <x v="4"/>
    <s v="GNR_ROR_WTR"/>
    <x v="0"/>
    <x v="14"/>
    <n v="8.2531860285989002E-3"/>
    <n v="3.0124129004386"/>
    <n v="10.844686441579"/>
  </r>
  <r>
    <x v="0"/>
    <x v="1"/>
    <x v="1"/>
    <x v="0"/>
    <x v="1"/>
    <s v="DK2_NoDH"/>
    <x v="6"/>
    <x v="4"/>
    <s v="GNR_ROR_WTR"/>
    <x v="0"/>
    <x v="15"/>
    <n v="8.2531860285989002E-3"/>
    <n v="3.0124129004386"/>
    <n v="10.844686441579"/>
  </r>
  <r>
    <x v="0"/>
    <x v="1"/>
    <x v="1"/>
    <x v="0"/>
    <x v="1"/>
    <s v="DK2_NoDH"/>
    <x v="6"/>
    <x v="4"/>
    <s v="GNR_ROR_WTR"/>
    <x v="0"/>
    <x v="16"/>
    <n v="8.2531860285989002E-3"/>
    <n v="3.0124129004386"/>
    <n v="10.844686441579"/>
  </r>
  <r>
    <x v="0"/>
    <x v="1"/>
    <x v="1"/>
    <x v="0"/>
    <x v="1"/>
    <s v="DK2_NoDH"/>
    <x v="6"/>
    <x v="4"/>
    <s v="GNR_ROR_WTR"/>
    <x v="0"/>
    <x v="17"/>
    <n v="8.2531860285989002E-3"/>
    <n v="3.0124129004386"/>
    <n v="10.844686441579"/>
  </r>
  <r>
    <x v="0"/>
    <x v="1"/>
    <x v="1"/>
    <x v="0"/>
    <x v="1"/>
    <s v="DK2_NoDH"/>
    <x v="6"/>
    <x v="4"/>
    <s v="GNR_ROR_WTR"/>
    <x v="0"/>
    <x v="19"/>
    <n v="8.2531860285989002E-3"/>
    <n v="3.0124129004386"/>
    <n v="10.844686441579"/>
  </r>
  <r>
    <x v="0"/>
    <x v="1"/>
    <x v="1"/>
    <x v="0"/>
    <x v="1"/>
    <s v="DK2_NoDH"/>
    <x v="6"/>
    <x v="4"/>
    <s v="GNR_ROR_WTR"/>
    <x v="0"/>
    <x v="20"/>
    <n v="8.2531860285989002E-3"/>
    <n v="3.0124129004386"/>
    <n v="10.844686441579"/>
  </r>
  <r>
    <x v="0"/>
    <x v="1"/>
    <x v="1"/>
    <x v="0"/>
    <x v="1"/>
    <s v="DK2_NoDH"/>
    <x v="6"/>
    <x v="4"/>
    <s v="GNR_ROR_WTR"/>
    <x v="0"/>
    <x v="21"/>
    <n v="8.2531860285989002E-3"/>
    <n v="3.0124129004386"/>
    <n v="10.844686441579"/>
  </r>
  <r>
    <x v="0"/>
    <x v="1"/>
    <x v="1"/>
    <x v="0"/>
    <x v="1"/>
    <s v="DK2_NoDH"/>
    <x v="6"/>
    <x v="4"/>
    <s v="GNR_ROR_WTR"/>
    <x v="0"/>
    <x v="22"/>
    <n v="8.2531860285989002E-3"/>
    <n v="3.0124129004386"/>
    <n v="10.844686441579"/>
  </r>
  <r>
    <x v="0"/>
    <x v="1"/>
    <x v="1"/>
    <x v="0"/>
    <x v="1"/>
    <s v="DK2_NoDH"/>
    <x v="6"/>
    <x v="4"/>
    <s v="GNR_ROR_WTR"/>
    <x v="0"/>
    <x v="23"/>
    <n v="8.2531860285989002E-3"/>
    <n v="3.0124129004386"/>
    <n v="10.844686441579"/>
  </r>
  <r>
    <x v="0"/>
    <x v="1"/>
    <x v="1"/>
    <x v="0"/>
    <x v="1"/>
    <s v="DK2_NoDH"/>
    <x v="7"/>
    <x v="5"/>
    <s v="GNR_WT_WIND_ONS"/>
    <x v="0"/>
    <x v="0"/>
    <n v="58.681922712185703"/>
    <n v="21418.901789947799"/>
    <n v="77108.046443811996"/>
  </r>
  <r>
    <x v="0"/>
    <x v="1"/>
    <x v="1"/>
    <x v="0"/>
    <x v="1"/>
    <s v="DK2_NoDH"/>
    <x v="7"/>
    <x v="5"/>
    <s v="GNR_WT_WIND_ONS"/>
    <x v="0"/>
    <x v="1"/>
    <n v="70.418307254622803"/>
    <n v="25702.682147937299"/>
    <n v="92529.655732574407"/>
  </r>
  <r>
    <x v="0"/>
    <x v="1"/>
    <x v="1"/>
    <x v="0"/>
    <x v="1"/>
    <s v="DK2_NoDH"/>
    <x v="7"/>
    <x v="5"/>
    <s v="GNR_WT_WIND_ONS"/>
    <x v="0"/>
    <x v="18"/>
    <n v="68.741680891417502"/>
    <n v="25090.713525367399"/>
    <n v="90326.568691322595"/>
  </r>
  <r>
    <x v="0"/>
    <x v="1"/>
    <x v="1"/>
    <x v="0"/>
    <x v="1"/>
    <s v="DK2_NoDH"/>
    <x v="7"/>
    <x v="5"/>
    <s v="GNR_WT_WIND_ONS"/>
    <x v="0"/>
    <x v="2"/>
    <n v="64.550114983404299"/>
    <n v="23560.791968942602"/>
    <n v="84818.851088193202"/>
  </r>
  <r>
    <x v="0"/>
    <x v="1"/>
    <x v="1"/>
    <x v="0"/>
    <x v="1"/>
    <s v="DK2_NoDH"/>
    <x v="7"/>
    <x v="5"/>
    <s v="GNR_WT_WIND_ONS"/>
    <x v="0"/>
    <x v="3"/>
    <n v="47.783851351351203"/>
    <n v="17441.105743243199"/>
    <n v="62787.980675675499"/>
  </r>
  <r>
    <x v="0"/>
    <x v="1"/>
    <x v="1"/>
    <x v="0"/>
    <x v="1"/>
    <s v="DK2_NoDH"/>
    <x v="7"/>
    <x v="5"/>
    <s v="GNR_WT_WIND_ONS"/>
    <x v="0"/>
    <x v="4"/>
    <n v="27.6643349928875"/>
    <n v="10097.482272404"/>
    <n v="36350.9361806542"/>
  </r>
  <r>
    <x v="0"/>
    <x v="1"/>
    <x v="1"/>
    <x v="0"/>
    <x v="1"/>
    <s v="DK2_NoDH"/>
    <x v="7"/>
    <x v="5"/>
    <s v="GNR_WT_WIND_ONS"/>
    <x v="0"/>
    <x v="5"/>
    <n v="5.8681922712185699"/>
    <n v="2141.8901789947799"/>
    <n v="7710.8046443812"/>
  </r>
  <r>
    <x v="0"/>
    <x v="1"/>
    <x v="1"/>
    <x v="0"/>
    <x v="1"/>
    <s v="DK2_NoDH"/>
    <x v="7"/>
    <x v="5"/>
    <s v="GNR_WT_WIND_ONS"/>
    <x v="0"/>
    <x v="6"/>
    <n v="4.1915659080132599"/>
    <n v="1529.92155642484"/>
    <n v="5507.7176031294302"/>
  </r>
  <r>
    <x v="0"/>
    <x v="1"/>
    <x v="1"/>
    <x v="0"/>
    <x v="1"/>
    <s v="DK2_NoDH"/>
    <x v="7"/>
    <x v="5"/>
    <s v="GNR_WT_WIND_ONS"/>
    <x v="0"/>
    <x v="7"/>
    <n v="5.8681922712185699"/>
    <n v="2141.8901789947799"/>
    <n v="7710.8046443812"/>
  </r>
  <r>
    <x v="0"/>
    <x v="1"/>
    <x v="1"/>
    <x v="0"/>
    <x v="1"/>
    <s v="DK2_NoDH"/>
    <x v="7"/>
    <x v="5"/>
    <s v="GNR_WT_WIND_ONS"/>
    <x v="0"/>
    <x v="8"/>
    <n v="27.6643349928875"/>
    <n v="10097.482272404"/>
    <n v="36350.9361806542"/>
  </r>
  <r>
    <x v="0"/>
    <x v="1"/>
    <x v="1"/>
    <x v="0"/>
    <x v="1"/>
    <s v="DK2_NoDH"/>
    <x v="7"/>
    <x v="5"/>
    <s v="GNR_WT_WIND_ONS"/>
    <x v="0"/>
    <x v="9"/>
    <n v="64.550114983404299"/>
    <n v="23560.791968942602"/>
    <n v="84818.851088193202"/>
  </r>
  <r>
    <x v="0"/>
    <x v="1"/>
    <x v="1"/>
    <x v="0"/>
    <x v="1"/>
    <s v="DK2_NoDH"/>
    <x v="7"/>
    <x v="5"/>
    <s v="GNR_WT_WIND_ONS"/>
    <x v="0"/>
    <x v="10"/>
    <n v="99.759268610715694"/>
    <n v="36412.133042911199"/>
    <n v="131083.67895448001"/>
  </r>
  <r>
    <x v="0"/>
    <x v="1"/>
    <x v="1"/>
    <x v="0"/>
    <x v="1"/>
    <s v="DK2_NoDH"/>
    <x v="7"/>
    <x v="5"/>
    <s v="GNR_WT_WIND_ONS"/>
    <x v="0"/>
    <x v="11"/>
    <n v="115.687219061166"/>
    <n v="42225.834957325598"/>
    <n v="152013.00584637199"/>
  </r>
  <r>
    <x v="0"/>
    <x v="1"/>
    <x v="1"/>
    <x v="0"/>
    <x v="1"/>
    <s v="DK2_NoDH"/>
    <x v="7"/>
    <x v="5"/>
    <s v="GNR_WT_WIND_ONS"/>
    <x v="0"/>
    <x v="12"/>
    <n v="132.453482693219"/>
    <n v="48345.521183024997"/>
    <n v="174043.87625889"/>
  </r>
  <r>
    <x v="0"/>
    <x v="1"/>
    <x v="1"/>
    <x v="0"/>
    <x v="1"/>
    <s v="DK2_NoDH"/>
    <x v="7"/>
    <x v="5"/>
    <s v="GNR_WT_WIND_ONS"/>
    <x v="0"/>
    <x v="13"/>
    <n v="132.453482693219"/>
    <n v="48345.521183024997"/>
    <n v="174043.87625889"/>
  </r>
  <r>
    <x v="0"/>
    <x v="1"/>
    <x v="1"/>
    <x v="0"/>
    <x v="1"/>
    <s v="DK2_NoDH"/>
    <x v="7"/>
    <x v="5"/>
    <s v="GNR_WT_WIND_ONS"/>
    <x v="0"/>
    <x v="14"/>
    <n v="209.578295400663"/>
    <n v="76496.077821242099"/>
    <n v="275385.88015647099"/>
  </r>
  <r>
    <x v="0"/>
    <x v="1"/>
    <x v="1"/>
    <x v="0"/>
    <x v="1"/>
    <s v="DK2_NoDH"/>
    <x v="7"/>
    <x v="5"/>
    <s v="GNR_WT_WIND_ONS"/>
    <x v="0"/>
    <x v="15"/>
    <n v="270.77515765765702"/>
    <n v="98832.932545044794"/>
    <n v="355798.55716216099"/>
  </r>
  <r>
    <x v="0"/>
    <x v="1"/>
    <x v="1"/>
    <x v="0"/>
    <x v="1"/>
    <s v="DK2_NoDH"/>
    <x v="7"/>
    <x v="5"/>
    <s v="GNR_WT_WIND_ONS"/>
    <x v="0"/>
    <x v="16"/>
    <n v="267.42190493124599"/>
    <n v="97608.995299904898"/>
    <n v="351392.38307965797"/>
  </r>
  <r>
    <x v="0"/>
    <x v="1"/>
    <x v="1"/>
    <x v="0"/>
    <x v="1"/>
    <s v="DK2_NoDH"/>
    <x v="7"/>
    <x v="5"/>
    <s v="GNR_WT_WIND_ONS"/>
    <x v="0"/>
    <x v="17"/>
    <n v="365.50454717875698"/>
    <n v="133409.15972024601"/>
    <n v="480272.97499288601"/>
  </r>
  <r>
    <x v="0"/>
    <x v="1"/>
    <x v="1"/>
    <x v="0"/>
    <x v="1"/>
    <s v="DK2_NoDH"/>
    <x v="7"/>
    <x v="5"/>
    <s v="GNR_WT_WIND_ONS"/>
    <x v="0"/>
    <x v="19"/>
    <n v="544.06525486012197"/>
    <n v="198583.81802394401"/>
    <n v="714901.74488619994"/>
  </r>
  <r>
    <x v="0"/>
    <x v="1"/>
    <x v="1"/>
    <x v="0"/>
    <x v="1"/>
    <s v="DK2_NoDH"/>
    <x v="7"/>
    <x v="5"/>
    <s v="GNR_WT_WIND_ONS"/>
    <x v="0"/>
    <x v="20"/>
    <n v="630.41151256519504"/>
    <n v="230100.20208629599"/>
    <n v="828360.72751066601"/>
  </r>
  <r>
    <x v="0"/>
    <x v="1"/>
    <x v="1"/>
    <x v="0"/>
    <x v="1"/>
    <s v="DK2_NoDH"/>
    <x v="7"/>
    <x v="5"/>
    <s v="GNR_WT_WIND_ONS"/>
    <x v="0"/>
    <x v="21"/>
    <n v="679.871990279751"/>
    <n v="248153.27645210901"/>
    <n v="893351.79522759304"/>
  </r>
  <r>
    <x v="0"/>
    <x v="1"/>
    <x v="1"/>
    <x v="0"/>
    <x v="1"/>
    <s v="DK2_NoDH"/>
    <x v="7"/>
    <x v="5"/>
    <s v="GNR_WT_WIND_ONS"/>
    <x v="0"/>
    <x v="22"/>
    <n v="690.77006164058605"/>
    <n v="252131.072498814"/>
    <n v="907671.86099573004"/>
  </r>
  <r>
    <x v="0"/>
    <x v="1"/>
    <x v="1"/>
    <x v="0"/>
    <x v="1"/>
    <s v="DK2_NoDH"/>
    <x v="7"/>
    <x v="5"/>
    <s v="GNR_WT_WIND_ONS"/>
    <x v="0"/>
    <x v="23"/>
    <n v="719.27270981507604"/>
    <n v="262534.539082503"/>
    <n v="945124.34069701005"/>
  </r>
  <r>
    <x v="0"/>
    <x v="1"/>
    <x v="1"/>
    <x v="0"/>
    <x v="1"/>
    <s v="DK2_Offshore"/>
    <x v="7"/>
    <x v="5"/>
    <s v="GNR_WT_WIND_OFF"/>
    <x v="0"/>
    <x v="0"/>
    <n v="59.000474158369002"/>
    <n v="21535.173067804699"/>
    <n v="77526.623044096894"/>
  </r>
  <r>
    <x v="0"/>
    <x v="1"/>
    <x v="1"/>
    <x v="0"/>
    <x v="1"/>
    <s v="DK2_Offshore"/>
    <x v="7"/>
    <x v="5"/>
    <s v="GNR_WT_WIND_OFF"/>
    <x v="0"/>
    <x v="1"/>
    <n v="70.800568990042805"/>
    <n v="25842.207681365599"/>
    <n v="93031.947652916293"/>
  </r>
  <r>
    <x v="0"/>
    <x v="1"/>
    <x v="1"/>
    <x v="0"/>
    <x v="1"/>
    <s v="DK2_Offshore"/>
    <x v="7"/>
    <x v="5"/>
    <s v="GNR_WT_WIND_OFF"/>
    <x v="0"/>
    <x v="18"/>
    <n v="69.114841156946596"/>
    <n v="25226.917022285499"/>
    <n v="90816.901280227801"/>
  </r>
  <r>
    <x v="0"/>
    <x v="1"/>
    <x v="1"/>
    <x v="0"/>
    <x v="1"/>
    <s v="DK2_Offshore"/>
    <x v="7"/>
    <x v="5"/>
    <s v="GNR_WT_WIND_OFF"/>
    <x v="0"/>
    <x v="2"/>
    <n v="64.900521574205897"/>
    <n v="23688.6903745852"/>
    <n v="85279.285348506601"/>
  </r>
  <r>
    <x v="0"/>
    <x v="1"/>
    <x v="1"/>
    <x v="0"/>
    <x v="1"/>
    <s v="DK2_Offshore"/>
    <x v="7"/>
    <x v="5"/>
    <s v="GNR_WT_WIND_OFF"/>
    <x v="0"/>
    <x v="3"/>
    <n v="48.043243243243403"/>
    <n v="17535.783783783801"/>
    <n v="63128.821621621799"/>
  </r>
  <r>
    <x v="0"/>
    <x v="1"/>
    <x v="1"/>
    <x v="0"/>
    <x v="1"/>
    <s v="DK2_Offshore"/>
    <x v="7"/>
    <x v="5"/>
    <s v="GNR_WT_WIND_OFF"/>
    <x v="0"/>
    <x v="4"/>
    <n v="27.814509246088299"/>
    <n v="10152.295874822201"/>
    <n v="36548.265149359999"/>
  </r>
  <r>
    <x v="0"/>
    <x v="1"/>
    <x v="1"/>
    <x v="0"/>
    <x v="1"/>
    <s v="DK2_Offshore"/>
    <x v="7"/>
    <x v="5"/>
    <s v="GNR_WT_WIND_OFF"/>
    <x v="0"/>
    <x v="5"/>
    <n v="5.9000474158368998"/>
    <n v="2153.5173067804699"/>
    <n v="7752.6623044096896"/>
  </r>
  <r>
    <x v="0"/>
    <x v="1"/>
    <x v="1"/>
    <x v="0"/>
    <x v="1"/>
    <s v="DK2_Offshore"/>
    <x v="7"/>
    <x v="5"/>
    <s v="GNR_WT_WIND_OFF"/>
    <x v="0"/>
    <x v="6"/>
    <n v="4.2143195827406403"/>
    <n v="1538.22664770034"/>
    <n v="5537.6159317212096"/>
  </r>
  <r>
    <x v="0"/>
    <x v="1"/>
    <x v="1"/>
    <x v="0"/>
    <x v="1"/>
    <s v="DK2_Offshore"/>
    <x v="7"/>
    <x v="5"/>
    <s v="GNR_WT_WIND_OFF"/>
    <x v="0"/>
    <x v="7"/>
    <n v="5.9000474158368998"/>
    <n v="2153.5173067804699"/>
    <n v="7752.6623044096896"/>
  </r>
  <r>
    <x v="0"/>
    <x v="1"/>
    <x v="1"/>
    <x v="0"/>
    <x v="1"/>
    <s v="DK2_Offshore"/>
    <x v="7"/>
    <x v="5"/>
    <s v="GNR_WT_WIND_OFF"/>
    <x v="0"/>
    <x v="8"/>
    <n v="27.814509246088299"/>
    <n v="10152.295874822201"/>
    <n v="36548.265149359999"/>
  </r>
  <r>
    <x v="0"/>
    <x v="1"/>
    <x v="1"/>
    <x v="0"/>
    <x v="1"/>
    <s v="DK2_Offshore"/>
    <x v="7"/>
    <x v="5"/>
    <s v="GNR_WT_WIND_OFF"/>
    <x v="0"/>
    <x v="9"/>
    <n v="64.900521574205897"/>
    <n v="23688.6903745852"/>
    <n v="85279.285348506601"/>
  </r>
  <r>
    <x v="0"/>
    <x v="1"/>
    <x v="1"/>
    <x v="0"/>
    <x v="1"/>
    <s v="DK2_Offshore"/>
    <x v="7"/>
    <x v="5"/>
    <s v="GNR_WT_WIND_OFF"/>
    <x v="0"/>
    <x v="10"/>
    <n v="100.30080606922699"/>
    <n v="36609.794215267997"/>
    <n v="131795.259174965"/>
  </r>
  <r>
    <x v="0"/>
    <x v="1"/>
    <x v="1"/>
    <x v="0"/>
    <x v="1"/>
    <s v="DK2_Offshore"/>
    <x v="7"/>
    <x v="5"/>
    <s v="GNR_WT_WIND_OFF"/>
    <x v="0"/>
    <x v="11"/>
    <n v="116.31522048364199"/>
    <n v="42455.055476529298"/>
    <n v="152838.199715505"/>
  </r>
  <r>
    <x v="0"/>
    <x v="1"/>
    <x v="1"/>
    <x v="0"/>
    <x v="1"/>
    <s v="DK2_Offshore"/>
    <x v="7"/>
    <x v="5"/>
    <s v="GNR_WT_WIND_OFF"/>
    <x v="0"/>
    <x v="12"/>
    <n v="133.17249881460401"/>
    <n v="48607.962067330598"/>
    <n v="174988.66344239001"/>
  </r>
  <r>
    <x v="0"/>
    <x v="1"/>
    <x v="1"/>
    <x v="0"/>
    <x v="1"/>
    <s v="DK2_Offshore"/>
    <x v="7"/>
    <x v="5"/>
    <s v="GNR_WT_WIND_OFF"/>
    <x v="0"/>
    <x v="13"/>
    <n v="133.17249881460401"/>
    <n v="48607.962067330598"/>
    <n v="174988.66344239001"/>
  </r>
  <r>
    <x v="0"/>
    <x v="1"/>
    <x v="1"/>
    <x v="0"/>
    <x v="1"/>
    <s v="DK2_Offshore"/>
    <x v="7"/>
    <x v="5"/>
    <s v="GNR_WT_WIND_OFF"/>
    <x v="0"/>
    <x v="14"/>
    <n v="210.71597913703201"/>
    <n v="76911.332385016794"/>
    <n v="276880.79658606002"/>
  </r>
  <r>
    <x v="0"/>
    <x v="1"/>
    <x v="1"/>
    <x v="0"/>
    <x v="1"/>
    <s v="DK2_Offshore"/>
    <x v="7"/>
    <x v="5"/>
    <s v="GNR_WT_WIND_OFF"/>
    <x v="0"/>
    <x v="15"/>
    <n v="272.24504504504603"/>
    <n v="99369.441441441697"/>
    <n v="357729.98918918998"/>
  </r>
  <r>
    <x v="0"/>
    <x v="1"/>
    <x v="1"/>
    <x v="0"/>
    <x v="1"/>
    <s v="DK2_Offshore"/>
    <x v="7"/>
    <x v="5"/>
    <s v="GNR_WT_WIND_OFF"/>
    <x v="0"/>
    <x v="16"/>
    <n v="268.87358937885301"/>
    <n v="98138.860123281396"/>
    <n v="353299.89644381299"/>
  </r>
  <r>
    <x v="0"/>
    <x v="1"/>
    <x v="1"/>
    <x v="0"/>
    <x v="1"/>
    <s v="DK2_Offshore"/>
    <x v="7"/>
    <x v="5"/>
    <s v="GNR_WT_WIND_OFF"/>
    <x v="0"/>
    <x v="17"/>
    <n v="367.48866761498402"/>
    <n v="134133.36367946901"/>
    <n v="482880.10924608901"/>
  </r>
  <r>
    <x v="0"/>
    <x v="1"/>
    <x v="1"/>
    <x v="0"/>
    <x v="1"/>
    <s v="DK2_Offshore"/>
    <x v="7"/>
    <x v="5"/>
    <s v="GNR_WT_WIND_OFF"/>
    <x v="0"/>
    <x v="19"/>
    <n v="547.01868183973602"/>
    <n v="199661.81887150399"/>
    <n v="718782.54793741298"/>
  </r>
  <r>
    <x v="0"/>
    <x v="1"/>
    <x v="1"/>
    <x v="0"/>
    <x v="1"/>
    <s v="DK2_Offshore"/>
    <x v="7"/>
    <x v="5"/>
    <s v="GNR_WT_WIND_OFF"/>
    <x v="0"/>
    <x v="20"/>
    <n v="633.83366524419296"/>
    <n v="231349.28781412999"/>
    <n v="832857.43613087002"/>
  </r>
  <r>
    <x v="0"/>
    <x v="1"/>
    <x v="1"/>
    <x v="0"/>
    <x v="1"/>
    <s v="DK2_Offshore"/>
    <x v="7"/>
    <x v="5"/>
    <s v="GNR_WT_WIND_OFF"/>
    <x v="0"/>
    <x v="21"/>
    <n v="683.56263632053299"/>
    <n v="249500.36225699401"/>
    <n v="898201.30412518"/>
  </r>
  <r>
    <x v="0"/>
    <x v="1"/>
    <x v="1"/>
    <x v="0"/>
    <x v="1"/>
    <s v="DK2_Offshore"/>
    <x v="7"/>
    <x v="5"/>
    <s v="GNR_WT_WIND_OFF"/>
    <x v="0"/>
    <x v="22"/>
    <n v="694.51986723565801"/>
    <n v="253499.75154101499"/>
    <n v="912599.10554765502"/>
  </r>
  <r>
    <x v="0"/>
    <x v="1"/>
    <x v="1"/>
    <x v="0"/>
    <x v="1"/>
    <s v="DK2_Offshore"/>
    <x v="7"/>
    <x v="5"/>
    <s v="GNR_WT_WIND_OFF"/>
    <x v="0"/>
    <x v="23"/>
    <n v="723.177240398295"/>
    <n v="263959.69274537801"/>
    <n v="950254.89388335904"/>
  </r>
  <r>
    <x v="0"/>
    <x v="1"/>
    <x v="1"/>
    <x v="0"/>
    <x v="1"/>
    <s v="DK2_Rural"/>
    <x v="0"/>
    <x v="2"/>
    <s v="GNR_ST_COAL_BP_E-35"/>
    <x v="0"/>
    <x v="6"/>
    <n v="37"/>
    <n v="13505"/>
    <n v="48618"/>
  </r>
  <r>
    <x v="0"/>
    <x v="1"/>
    <x v="1"/>
    <x v="0"/>
    <x v="1"/>
    <s v="DK2_Rural"/>
    <x v="0"/>
    <x v="2"/>
    <s v="GNR_ST_COAL_BP_E-35"/>
    <x v="0"/>
    <x v="7"/>
    <n v="37"/>
    <n v="13505"/>
    <n v="48618"/>
  </r>
  <r>
    <x v="0"/>
    <x v="1"/>
    <x v="1"/>
    <x v="0"/>
    <x v="1"/>
    <s v="DK2_Rural"/>
    <x v="0"/>
    <x v="2"/>
    <s v="GNR_ST_COAL_BP_E-35"/>
    <x v="0"/>
    <x v="8"/>
    <n v="37"/>
    <n v="13505"/>
    <n v="48618"/>
  </r>
  <r>
    <x v="0"/>
    <x v="1"/>
    <x v="1"/>
    <x v="1"/>
    <x v="2"/>
    <s v="EE_Enefit"/>
    <x v="9"/>
    <x v="6"/>
    <s v="ENEFIT_ST_RETORT-GAS_CND"/>
    <x v="0"/>
    <x v="0"/>
    <n v="35"/>
    <n v="12775"/>
    <n v="45990"/>
  </r>
  <r>
    <x v="0"/>
    <x v="1"/>
    <x v="1"/>
    <x v="1"/>
    <x v="2"/>
    <s v="EE_Enefit"/>
    <x v="9"/>
    <x v="6"/>
    <s v="ENEFIT_ST_RETORT-GAS_CND"/>
    <x v="0"/>
    <x v="1"/>
    <n v="35"/>
    <n v="12775"/>
    <n v="45990"/>
  </r>
  <r>
    <x v="0"/>
    <x v="1"/>
    <x v="1"/>
    <x v="1"/>
    <x v="2"/>
    <s v="EE_Enefit"/>
    <x v="9"/>
    <x v="6"/>
    <s v="ENEFIT_ST_RETORT-GAS_CND"/>
    <x v="0"/>
    <x v="18"/>
    <n v="35"/>
    <n v="12775"/>
    <n v="45990"/>
  </r>
  <r>
    <x v="0"/>
    <x v="1"/>
    <x v="1"/>
    <x v="1"/>
    <x v="2"/>
    <s v="EE_Enefit"/>
    <x v="9"/>
    <x v="6"/>
    <s v="ENEFIT_ST_RETORT-GAS_CND"/>
    <x v="0"/>
    <x v="2"/>
    <n v="35"/>
    <n v="12775"/>
    <n v="45990"/>
  </r>
  <r>
    <x v="0"/>
    <x v="1"/>
    <x v="1"/>
    <x v="1"/>
    <x v="2"/>
    <s v="EE_Enefit"/>
    <x v="9"/>
    <x v="6"/>
    <s v="ENEFIT_ST_RETORT-GAS_CND"/>
    <x v="0"/>
    <x v="3"/>
    <n v="35"/>
    <n v="12775"/>
    <n v="45990"/>
  </r>
  <r>
    <x v="0"/>
    <x v="1"/>
    <x v="1"/>
    <x v="1"/>
    <x v="2"/>
    <s v="EE_Enefit"/>
    <x v="9"/>
    <x v="6"/>
    <s v="ENEFIT_ST_RETORT-GAS_CND"/>
    <x v="0"/>
    <x v="4"/>
    <n v="35"/>
    <n v="12775"/>
    <n v="45990"/>
  </r>
  <r>
    <x v="0"/>
    <x v="1"/>
    <x v="1"/>
    <x v="1"/>
    <x v="2"/>
    <s v="EE_Enefit"/>
    <x v="9"/>
    <x v="6"/>
    <s v="ENEFIT_ST_RETORT-GAS_CND"/>
    <x v="0"/>
    <x v="5"/>
    <n v="35"/>
    <n v="12775"/>
    <n v="45990"/>
  </r>
  <r>
    <x v="0"/>
    <x v="1"/>
    <x v="1"/>
    <x v="1"/>
    <x v="2"/>
    <s v="EE_Enefit"/>
    <x v="9"/>
    <x v="6"/>
    <s v="ENEFIT_ST_RETORT-GAS_CND"/>
    <x v="0"/>
    <x v="6"/>
    <n v="35"/>
    <n v="12775"/>
    <n v="45990"/>
  </r>
  <r>
    <x v="0"/>
    <x v="1"/>
    <x v="1"/>
    <x v="1"/>
    <x v="2"/>
    <s v="EE_Enefit"/>
    <x v="9"/>
    <x v="6"/>
    <s v="ENEFIT_ST_RETORT-GAS_CND"/>
    <x v="0"/>
    <x v="7"/>
    <n v="35"/>
    <n v="12775"/>
    <n v="45990"/>
  </r>
  <r>
    <x v="0"/>
    <x v="1"/>
    <x v="1"/>
    <x v="1"/>
    <x v="2"/>
    <s v="EE_Enefit"/>
    <x v="9"/>
    <x v="6"/>
    <s v="ENEFIT_ST_RETORT-GAS_CND"/>
    <x v="0"/>
    <x v="8"/>
    <n v="35"/>
    <n v="12775"/>
    <n v="45990"/>
  </r>
  <r>
    <x v="0"/>
    <x v="1"/>
    <x v="1"/>
    <x v="1"/>
    <x v="2"/>
    <s v="EE_Enefit"/>
    <x v="9"/>
    <x v="6"/>
    <s v="ENEFIT_ST_RETORT-GAS_CND"/>
    <x v="0"/>
    <x v="9"/>
    <n v="35"/>
    <n v="12775"/>
    <n v="45990"/>
  </r>
  <r>
    <x v="0"/>
    <x v="1"/>
    <x v="1"/>
    <x v="1"/>
    <x v="2"/>
    <s v="EE_Enefit"/>
    <x v="9"/>
    <x v="6"/>
    <s v="ENEFIT_ST_RETORT-GAS_CND"/>
    <x v="0"/>
    <x v="10"/>
    <n v="35"/>
    <n v="12775"/>
    <n v="45990"/>
  </r>
  <r>
    <x v="0"/>
    <x v="1"/>
    <x v="1"/>
    <x v="1"/>
    <x v="2"/>
    <s v="EE_Enefit"/>
    <x v="9"/>
    <x v="6"/>
    <s v="ENEFIT_ST_RETORT-GAS_CND"/>
    <x v="0"/>
    <x v="11"/>
    <n v="35"/>
    <n v="12775"/>
    <n v="45990"/>
  </r>
  <r>
    <x v="0"/>
    <x v="1"/>
    <x v="1"/>
    <x v="1"/>
    <x v="2"/>
    <s v="EE_Enefit"/>
    <x v="9"/>
    <x v="6"/>
    <s v="ENEFIT_ST_RETORT-GAS_CND"/>
    <x v="0"/>
    <x v="12"/>
    <n v="35"/>
    <n v="12775"/>
    <n v="45990"/>
  </r>
  <r>
    <x v="0"/>
    <x v="1"/>
    <x v="1"/>
    <x v="1"/>
    <x v="2"/>
    <s v="EE_Enefit"/>
    <x v="9"/>
    <x v="6"/>
    <s v="ENEFIT_ST_RETORT-GAS_CND"/>
    <x v="0"/>
    <x v="13"/>
    <n v="35"/>
    <n v="12775"/>
    <n v="45990"/>
  </r>
  <r>
    <x v="0"/>
    <x v="1"/>
    <x v="1"/>
    <x v="1"/>
    <x v="2"/>
    <s v="EE_Enefit"/>
    <x v="9"/>
    <x v="6"/>
    <s v="ENEFIT_ST_RETORT-GAS_CND"/>
    <x v="0"/>
    <x v="14"/>
    <n v="35"/>
    <n v="12775"/>
    <n v="45990"/>
  </r>
  <r>
    <x v="0"/>
    <x v="1"/>
    <x v="1"/>
    <x v="1"/>
    <x v="2"/>
    <s v="EE_Enefit"/>
    <x v="9"/>
    <x v="6"/>
    <s v="ENEFIT_ST_RETORT-GAS_CND"/>
    <x v="0"/>
    <x v="15"/>
    <n v="35"/>
    <n v="12775"/>
    <n v="45990"/>
  </r>
  <r>
    <x v="0"/>
    <x v="1"/>
    <x v="1"/>
    <x v="1"/>
    <x v="2"/>
    <s v="EE_Enefit"/>
    <x v="9"/>
    <x v="6"/>
    <s v="ENEFIT_ST_RETORT-GAS_CND"/>
    <x v="0"/>
    <x v="16"/>
    <n v="35"/>
    <n v="12775"/>
    <n v="45990"/>
  </r>
  <r>
    <x v="0"/>
    <x v="1"/>
    <x v="1"/>
    <x v="1"/>
    <x v="2"/>
    <s v="EE_Enefit"/>
    <x v="9"/>
    <x v="6"/>
    <s v="ENEFIT_ST_RETORT-GAS_CND"/>
    <x v="0"/>
    <x v="17"/>
    <n v="35"/>
    <n v="12775"/>
    <n v="45990"/>
  </r>
  <r>
    <x v="0"/>
    <x v="1"/>
    <x v="1"/>
    <x v="1"/>
    <x v="2"/>
    <s v="EE_Enefit"/>
    <x v="9"/>
    <x v="6"/>
    <s v="ENEFIT_ST_RETORT-GAS_CND"/>
    <x v="0"/>
    <x v="19"/>
    <n v="35"/>
    <n v="12775"/>
    <n v="45990"/>
  </r>
  <r>
    <x v="0"/>
    <x v="1"/>
    <x v="1"/>
    <x v="1"/>
    <x v="2"/>
    <s v="EE_Enefit"/>
    <x v="9"/>
    <x v="6"/>
    <s v="ENEFIT_ST_RETORT-GAS_CND"/>
    <x v="0"/>
    <x v="20"/>
    <n v="35"/>
    <n v="12775"/>
    <n v="45990"/>
  </r>
  <r>
    <x v="0"/>
    <x v="1"/>
    <x v="1"/>
    <x v="1"/>
    <x v="2"/>
    <s v="EE_Enefit"/>
    <x v="9"/>
    <x v="6"/>
    <s v="ENEFIT_ST_RETORT-GAS_CND"/>
    <x v="0"/>
    <x v="21"/>
    <n v="35"/>
    <n v="12775"/>
    <n v="45990"/>
  </r>
  <r>
    <x v="0"/>
    <x v="1"/>
    <x v="1"/>
    <x v="1"/>
    <x v="2"/>
    <s v="EE_Enefit"/>
    <x v="9"/>
    <x v="6"/>
    <s v="ENEFIT_ST_RETORT-GAS_CND"/>
    <x v="0"/>
    <x v="22"/>
    <n v="35"/>
    <n v="12775"/>
    <n v="45990"/>
  </r>
  <r>
    <x v="0"/>
    <x v="1"/>
    <x v="1"/>
    <x v="1"/>
    <x v="2"/>
    <s v="EE_Enefit"/>
    <x v="9"/>
    <x v="6"/>
    <s v="ENEFIT_ST_RETORT-GAS_CND"/>
    <x v="0"/>
    <x v="23"/>
    <n v="35"/>
    <n v="12775"/>
    <n v="45990"/>
  </r>
  <r>
    <x v="0"/>
    <x v="1"/>
    <x v="1"/>
    <x v="1"/>
    <x v="2"/>
    <s v="EE_Industry"/>
    <x v="9"/>
    <x v="0"/>
    <s v="GNR_ENG_RETORT-GAS_E-44"/>
    <x v="0"/>
    <x v="0"/>
    <n v="95"/>
    <n v="34675"/>
    <n v="124830"/>
  </r>
  <r>
    <x v="0"/>
    <x v="1"/>
    <x v="1"/>
    <x v="1"/>
    <x v="2"/>
    <s v="EE_Industry"/>
    <x v="9"/>
    <x v="0"/>
    <s v="GNR_ENG_RETORT-GAS_E-44"/>
    <x v="0"/>
    <x v="1"/>
    <n v="95"/>
    <n v="34675"/>
    <n v="124830"/>
  </r>
  <r>
    <x v="0"/>
    <x v="1"/>
    <x v="1"/>
    <x v="1"/>
    <x v="2"/>
    <s v="EE_Industry"/>
    <x v="9"/>
    <x v="0"/>
    <s v="GNR_ENG_RETORT-GAS_E-44"/>
    <x v="0"/>
    <x v="18"/>
    <n v="95"/>
    <n v="34675"/>
    <n v="124830"/>
  </r>
  <r>
    <x v="0"/>
    <x v="1"/>
    <x v="1"/>
    <x v="1"/>
    <x v="2"/>
    <s v="EE_Industry"/>
    <x v="9"/>
    <x v="0"/>
    <s v="GNR_ENG_RETORT-GAS_E-44"/>
    <x v="0"/>
    <x v="2"/>
    <n v="95"/>
    <n v="34675"/>
    <n v="124830"/>
  </r>
  <r>
    <x v="0"/>
    <x v="1"/>
    <x v="1"/>
    <x v="1"/>
    <x v="2"/>
    <s v="EE_Industry"/>
    <x v="9"/>
    <x v="0"/>
    <s v="GNR_ENG_RETORT-GAS_E-44"/>
    <x v="0"/>
    <x v="3"/>
    <n v="95"/>
    <n v="34675"/>
    <n v="124830"/>
  </r>
  <r>
    <x v="0"/>
    <x v="1"/>
    <x v="1"/>
    <x v="1"/>
    <x v="2"/>
    <s v="EE_Industry"/>
    <x v="9"/>
    <x v="0"/>
    <s v="GNR_ENG_RETORT-GAS_E-44"/>
    <x v="0"/>
    <x v="4"/>
    <n v="95"/>
    <n v="34675"/>
    <n v="124830"/>
  </r>
  <r>
    <x v="0"/>
    <x v="1"/>
    <x v="1"/>
    <x v="1"/>
    <x v="2"/>
    <s v="EE_Industry"/>
    <x v="9"/>
    <x v="0"/>
    <s v="GNR_ENG_RETORT-GAS_E-44"/>
    <x v="0"/>
    <x v="5"/>
    <n v="95"/>
    <n v="34675"/>
    <n v="124830"/>
  </r>
  <r>
    <x v="0"/>
    <x v="1"/>
    <x v="1"/>
    <x v="1"/>
    <x v="2"/>
    <s v="EE_Industry"/>
    <x v="9"/>
    <x v="0"/>
    <s v="GNR_ENG_RETORT-GAS_E-44"/>
    <x v="0"/>
    <x v="6"/>
    <n v="95"/>
    <n v="34675"/>
    <n v="124830"/>
  </r>
  <r>
    <x v="0"/>
    <x v="1"/>
    <x v="1"/>
    <x v="1"/>
    <x v="2"/>
    <s v="EE_Industry"/>
    <x v="9"/>
    <x v="0"/>
    <s v="GNR_ENG_RETORT-GAS_E-44"/>
    <x v="0"/>
    <x v="7"/>
    <n v="95"/>
    <n v="34675"/>
    <n v="124830"/>
  </r>
  <r>
    <x v="0"/>
    <x v="1"/>
    <x v="1"/>
    <x v="1"/>
    <x v="2"/>
    <s v="EE_Industry"/>
    <x v="9"/>
    <x v="0"/>
    <s v="GNR_ENG_RETORT-GAS_E-44"/>
    <x v="0"/>
    <x v="8"/>
    <n v="95"/>
    <n v="34675"/>
    <n v="124830"/>
  </r>
  <r>
    <x v="0"/>
    <x v="1"/>
    <x v="1"/>
    <x v="1"/>
    <x v="2"/>
    <s v="EE_Industry"/>
    <x v="9"/>
    <x v="0"/>
    <s v="GNR_ENG_RETORT-GAS_E-44"/>
    <x v="0"/>
    <x v="9"/>
    <n v="95"/>
    <n v="34675"/>
    <n v="124830"/>
  </r>
  <r>
    <x v="0"/>
    <x v="1"/>
    <x v="1"/>
    <x v="1"/>
    <x v="2"/>
    <s v="EE_Industry"/>
    <x v="9"/>
    <x v="0"/>
    <s v="GNR_ENG_RETORT-GAS_E-44"/>
    <x v="0"/>
    <x v="10"/>
    <n v="95"/>
    <n v="34675"/>
    <n v="124830"/>
  </r>
  <r>
    <x v="0"/>
    <x v="1"/>
    <x v="1"/>
    <x v="1"/>
    <x v="2"/>
    <s v="EE_Industry"/>
    <x v="9"/>
    <x v="0"/>
    <s v="GNR_ENG_RETORT-GAS_E-44"/>
    <x v="0"/>
    <x v="11"/>
    <n v="95"/>
    <n v="34675"/>
    <n v="124830"/>
  </r>
  <r>
    <x v="0"/>
    <x v="1"/>
    <x v="1"/>
    <x v="1"/>
    <x v="2"/>
    <s v="EE_Industry"/>
    <x v="9"/>
    <x v="0"/>
    <s v="GNR_ENG_RETORT-GAS_E-44"/>
    <x v="0"/>
    <x v="12"/>
    <n v="95"/>
    <n v="34675"/>
    <n v="124830"/>
  </r>
  <r>
    <x v="0"/>
    <x v="1"/>
    <x v="1"/>
    <x v="1"/>
    <x v="2"/>
    <s v="EE_Industry"/>
    <x v="9"/>
    <x v="0"/>
    <s v="GNR_ENG_RETORT-GAS_E-44"/>
    <x v="0"/>
    <x v="13"/>
    <n v="95"/>
    <n v="34675"/>
    <n v="124830"/>
  </r>
  <r>
    <x v="0"/>
    <x v="1"/>
    <x v="1"/>
    <x v="1"/>
    <x v="2"/>
    <s v="EE_Industry"/>
    <x v="9"/>
    <x v="0"/>
    <s v="GNR_ENG_RETORT-GAS_E-44"/>
    <x v="0"/>
    <x v="14"/>
    <n v="95"/>
    <n v="34675"/>
    <n v="124830"/>
  </r>
  <r>
    <x v="0"/>
    <x v="1"/>
    <x v="1"/>
    <x v="1"/>
    <x v="2"/>
    <s v="EE_Industry"/>
    <x v="9"/>
    <x v="0"/>
    <s v="GNR_ENG_RETORT-GAS_E-44"/>
    <x v="0"/>
    <x v="15"/>
    <n v="95"/>
    <n v="34675"/>
    <n v="124830"/>
  </r>
  <r>
    <x v="0"/>
    <x v="1"/>
    <x v="1"/>
    <x v="1"/>
    <x v="2"/>
    <s v="EE_Industry"/>
    <x v="9"/>
    <x v="0"/>
    <s v="GNR_ENG_RETORT-GAS_E-44"/>
    <x v="0"/>
    <x v="16"/>
    <n v="95"/>
    <n v="34675"/>
    <n v="124830"/>
  </r>
  <r>
    <x v="0"/>
    <x v="1"/>
    <x v="1"/>
    <x v="1"/>
    <x v="2"/>
    <s v="EE_Industry"/>
    <x v="9"/>
    <x v="0"/>
    <s v="GNR_ENG_RETORT-GAS_E-44"/>
    <x v="0"/>
    <x v="17"/>
    <n v="95"/>
    <n v="34675"/>
    <n v="124830"/>
  </r>
  <r>
    <x v="0"/>
    <x v="1"/>
    <x v="1"/>
    <x v="1"/>
    <x v="2"/>
    <s v="EE_Industry"/>
    <x v="9"/>
    <x v="0"/>
    <s v="GNR_ENG_RETORT-GAS_E-44"/>
    <x v="0"/>
    <x v="19"/>
    <n v="95"/>
    <n v="34675"/>
    <n v="124830"/>
  </r>
  <r>
    <x v="0"/>
    <x v="1"/>
    <x v="1"/>
    <x v="1"/>
    <x v="2"/>
    <s v="EE_Industry"/>
    <x v="9"/>
    <x v="0"/>
    <s v="GNR_ENG_RETORT-GAS_E-44"/>
    <x v="0"/>
    <x v="20"/>
    <n v="95"/>
    <n v="34675"/>
    <n v="124830"/>
  </r>
  <r>
    <x v="0"/>
    <x v="1"/>
    <x v="1"/>
    <x v="1"/>
    <x v="2"/>
    <s v="EE_Industry"/>
    <x v="9"/>
    <x v="0"/>
    <s v="GNR_ENG_RETORT-GAS_E-44"/>
    <x v="0"/>
    <x v="21"/>
    <n v="95"/>
    <n v="34675"/>
    <n v="124830"/>
  </r>
  <r>
    <x v="0"/>
    <x v="1"/>
    <x v="1"/>
    <x v="1"/>
    <x v="2"/>
    <s v="EE_Industry"/>
    <x v="9"/>
    <x v="0"/>
    <s v="GNR_ENG_RETORT-GAS_E-44"/>
    <x v="0"/>
    <x v="22"/>
    <n v="95"/>
    <n v="34675"/>
    <n v="124830"/>
  </r>
  <r>
    <x v="0"/>
    <x v="1"/>
    <x v="1"/>
    <x v="1"/>
    <x v="2"/>
    <s v="EE_Industry"/>
    <x v="9"/>
    <x v="0"/>
    <s v="GNR_ENG_RETORT-GAS_E-44"/>
    <x v="0"/>
    <x v="23"/>
    <n v="95"/>
    <n v="34675"/>
    <n v="124830"/>
  </r>
  <r>
    <x v="0"/>
    <x v="1"/>
    <x v="1"/>
    <x v="1"/>
    <x v="2"/>
    <s v="EE_Narva"/>
    <x v="11"/>
    <x v="6"/>
    <s v="AUVERE_ST_SHALE_CND"/>
    <x v="0"/>
    <x v="5"/>
    <n v="94.849584152439505"/>
    <n v="34620.098215640399"/>
    <n v="124632.35357630601"/>
  </r>
  <r>
    <x v="0"/>
    <x v="1"/>
    <x v="1"/>
    <x v="1"/>
    <x v="2"/>
    <s v="EE_Narva"/>
    <x v="11"/>
    <x v="6"/>
    <s v="AUVERE_ST_SHALE_CND"/>
    <x v="0"/>
    <x v="6"/>
    <n v="274"/>
    <n v="100010"/>
    <n v="360036"/>
  </r>
  <r>
    <x v="0"/>
    <x v="1"/>
    <x v="1"/>
    <x v="1"/>
    <x v="2"/>
    <s v="EE_Narva"/>
    <x v="11"/>
    <x v="6"/>
    <s v="AUVERE_ST_SHALE_CND"/>
    <x v="0"/>
    <x v="7"/>
    <n v="274"/>
    <n v="100010"/>
    <n v="360036"/>
  </r>
  <r>
    <x v="0"/>
    <x v="1"/>
    <x v="1"/>
    <x v="1"/>
    <x v="2"/>
    <s v="EE_Narva"/>
    <x v="11"/>
    <x v="6"/>
    <s v="AUVERE_ST_SHALE_CND"/>
    <x v="0"/>
    <x v="8"/>
    <n v="274"/>
    <n v="100010"/>
    <n v="360036"/>
  </r>
  <r>
    <x v="0"/>
    <x v="1"/>
    <x v="1"/>
    <x v="1"/>
    <x v="2"/>
    <s v="EE_Narva"/>
    <x v="11"/>
    <x v="6"/>
    <s v="AUVERE_ST_SHALE_CND"/>
    <x v="0"/>
    <x v="9"/>
    <n v="274"/>
    <n v="100010"/>
    <n v="360036"/>
  </r>
  <r>
    <x v="0"/>
    <x v="1"/>
    <x v="1"/>
    <x v="1"/>
    <x v="2"/>
    <s v="EE_Narva"/>
    <x v="11"/>
    <x v="6"/>
    <s v="AUVERE_ST_SHALE_CND"/>
    <x v="0"/>
    <x v="10"/>
    <n v="274"/>
    <n v="100010"/>
    <n v="360036"/>
  </r>
  <r>
    <x v="0"/>
    <x v="1"/>
    <x v="1"/>
    <x v="1"/>
    <x v="2"/>
    <s v="EE_Narva"/>
    <x v="11"/>
    <x v="6"/>
    <s v="AUVERE_ST_SHALE_CND"/>
    <x v="0"/>
    <x v="11"/>
    <n v="274"/>
    <n v="100010"/>
    <n v="360036"/>
  </r>
  <r>
    <x v="0"/>
    <x v="1"/>
    <x v="1"/>
    <x v="1"/>
    <x v="2"/>
    <s v="EE_Narva"/>
    <x v="11"/>
    <x v="6"/>
    <s v="AUVERE_ST_SHALE_CND"/>
    <x v="0"/>
    <x v="12"/>
    <n v="274"/>
    <n v="100010"/>
    <n v="360036"/>
  </r>
  <r>
    <x v="0"/>
    <x v="1"/>
    <x v="1"/>
    <x v="1"/>
    <x v="2"/>
    <s v="EE_Narva"/>
    <x v="11"/>
    <x v="6"/>
    <s v="AUVERE_ST_SHALE_CND"/>
    <x v="0"/>
    <x v="13"/>
    <n v="274"/>
    <n v="100010"/>
    <n v="360036"/>
  </r>
  <r>
    <x v="0"/>
    <x v="1"/>
    <x v="1"/>
    <x v="1"/>
    <x v="2"/>
    <s v="EE_Narva"/>
    <x v="11"/>
    <x v="6"/>
    <s v="AUVERE_ST_SHALE_CND"/>
    <x v="0"/>
    <x v="14"/>
    <n v="274"/>
    <n v="100010"/>
    <n v="360036"/>
  </r>
  <r>
    <x v="0"/>
    <x v="1"/>
    <x v="1"/>
    <x v="1"/>
    <x v="2"/>
    <s v="EE_Narva"/>
    <x v="11"/>
    <x v="6"/>
    <s v="AUVERE_ST_SHALE_CND"/>
    <x v="0"/>
    <x v="15"/>
    <n v="274"/>
    <n v="100010"/>
    <n v="360036"/>
  </r>
  <r>
    <x v="0"/>
    <x v="1"/>
    <x v="1"/>
    <x v="1"/>
    <x v="2"/>
    <s v="EE_Narva"/>
    <x v="11"/>
    <x v="6"/>
    <s v="AUVERE_ST_SHALE_CND"/>
    <x v="0"/>
    <x v="16"/>
    <n v="274"/>
    <n v="100010"/>
    <n v="360036"/>
  </r>
  <r>
    <x v="0"/>
    <x v="1"/>
    <x v="1"/>
    <x v="1"/>
    <x v="2"/>
    <s v="EE_Narva"/>
    <x v="11"/>
    <x v="6"/>
    <s v="AUVERE_ST_SHALE_CND"/>
    <x v="0"/>
    <x v="17"/>
    <n v="274"/>
    <n v="100010"/>
    <n v="360036"/>
  </r>
  <r>
    <x v="0"/>
    <x v="1"/>
    <x v="1"/>
    <x v="1"/>
    <x v="2"/>
    <s v="EE_Narva"/>
    <x v="11"/>
    <x v="6"/>
    <s v="AUVERE_ST_SHALE_CND"/>
    <x v="0"/>
    <x v="19"/>
    <n v="274"/>
    <n v="100010"/>
    <n v="360036"/>
  </r>
  <r>
    <x v="0"/>
    <x v="1"/>
    <x v="1"/>
    <x v="1"/>
    <x v="2"/>
    <s v="EE_Narva"/>
    <x v="11"/>
    <x v="6"/>
    <s v="AUVERE_ST_SHALE_CND"/>
    <x v="0"/>
    <x v="20"/>
    <n v="274"/>
    <n v="100010"/>
    <n v="360036"/>
  </r>
  <r>
    <x v="0"/>
    <x v="1"/>
    <x v="1"/>
    <x v="1"/>
    <x v="2"/>
    <s v="EE_Narva"/>
    <x v="11"/>
    <x v="6"/>
    <s v="AUVERE_ST_SHALE_CND"/>
    <x v="0"/>
    <x v="21"/>
    <n v="274"/>
    <n v="100010"/>
    <n v="360036"/>
  </r>
  <r>
    <x v="0"/>
    <x v="1"/>
    <x v="1"/>
    <x v="1"/>
    <x v="2"/>
    <s v="EE_Narva"/>
    <x v="11"/>
    <x v="6"/>
    <s v="AUVERE_ST_SHALE_CND"/>
    <x v="0"/>
    <x v="22"/>
    <n v="70.877117761797805"/>
    <n v="25870.147983056198"/>
    <n v="93132.532739002301"/>
  </r>
  <r>
    <x v="0"/>
    <x v="1"/>
    <x v="1"/>
    <x v="1"/>
    <x v="2"/>
    <s v="EE_Rural"/>
    <x v="6"/>
    <x v="4"/>
    <s v="GNR_ROR_WTR"/>
    <x v="0"/>
    <x v="0"/>
    <n v="3.4246575342465699"/>
    <n v="1250"/>
    <n v="4500"/>
  </r>
  <r>
    <x v="0"/>
    <x v="1"/>
    <x v="1"/>
    <x v="1"/>
    <x v="2"/>
    <s v="EE_Rural"/>
    <x v="6"/>
    <x v="4"/>
    <s v="GNR_ROR_WTR"/>
    <x v="0"/>
    <x v="1"/>
    <n v="3.4246575342465699"/>
    <n v="1250"/>
    <n v="4500"/>
  </r>
  <r>
    <x v="0"/>
    <x v="1"/>
    <x v="1"/>
    <x v="1"/>
    <x v="2"/>
    <s v="EE_Rural"/>
    <x v="6"/>
    <x v="4"/>
    <s v="GNR_ROR_WTR"/>
    <x v="0"/>
    <x v="18"/>
    <n v="3.4246575342465699"/>
    <n v="1250"/>
    <n v="4500"/>
  </r>
  <r>
    <x v="0"/>
    <x v="1"/>
    <x v="1"/>
    <x v="1"/>
    <x v="2"/>
    <s v="EE_Rural"/>
    <x v="6"/>
    <x v="4"/>
    <s v="GNR_ROR_WTR"/>
    <x v="0"/>
    <x v="2"/>
    <n v="3.4246575342465699"/>
    <n v="1250"/>
    <n v="4500"/>
  </r>
  <r>
    <x v="0"/>
    <x v="1"/>
    <x v="1"/>
    <x v="1"/>
    <x v="2"/>
    <s v="EE_Rural"/>
    <x v="6"/>
    <x v="4"/>
    <s v="GNR_ROR_WTR"/>
    <x v="0"/>
    <x v="3"/>
    <n v="3.4246575342465699"/>
    <n v="1250"/>
    <n v="4500"/>
  </r>
  <r>
    <x v="0"/>
    <x v="1"/>
    <x v="1"/>
    <x v="1"/>
    <x v="2"/>
    <s v="EE_Rural"/>
    <x v="6"/>
    <x v="4"/>
    <s v="GNR_ROR_WTR"/>
    <x v="0"/>
    <x v="4"/>
    <n v="3.4246575342465699"/>
    <n v="1250"/>
    <n v="4500"/>
  </r>
  <r>
    <x v="0"/>
    <x v="1"/>
    <x v="1"/>
    <x v="1"/>
    <x v="2"/>
    <s v="EE_Rural"/>
    <x v="6"/>
    <x v="4"/>
    <s v="GNR_ROR_WTR"/>
    <x v="0"/>
    <x v="5"/>
    <n v="3.4246575342465699"/>
    <n v="1250"/>
    <n v="4500"/>
  </r>
  <r>
    <x v="0"/>
    <x v="1"/>
    <x v="1"/>
    <x v="1"/>
    <x v="2"/>
    <s v="EE_Rural"/>
    <x v="6"/>
    <x v="4"/>
    <s v="GNR_ROR_WTR"/>
    <x v="0"/>
    <x v="6"/>
    <n v="3.4246575342465699"/>
    <n v="1250"/>
    <n v="4500"/>
  </r>
  <r>
    <x v="0"/>
    <x v="1"/>
    <x v="1"/>
    <x v="1"/>
    <x v="2"/>
    <s v="EE_Rural"/>
    <x v="6"/>
    <x v="4"/>
    <s v="GNR_ROR_WTR"/>
    <x v="0"/>
    <x v="7"/>
    <n v="3.4246575342465699"/>
    <n v="1250"/>
    <n v="4500"/>
  </r>
  <r>
    <x v="0"/>
    <x v="1"/>
    <x v="1"/>
    <x v="1"/>
    <x v="2"/>
    <s v="EE_Rural"/>
    <x v="6"/>
    <x v="4"/>
    <s v="GNR_ROR_WTR"/>
    <x v="0"/>
    <x v="8"/>
    <n v="3.4246575342465699"/>
    <n v="1250"/>
    <n v="4500"/>
  </r>
  <r>
    <x v="0"/>
    <x v="1"/>
    <x v="1"/>
    <x v="1"/>
    <x v="2"/>
    <s v="EE_Rural"/>
    <x v="6"/>
    <x v="4"/>
    <s v="GNR_ROR_WTR"/>
    <x v="0"/>
    <x v="9"/>
    <n v="3.4246575342465699"/>
    <n v="1250"/>
    <n v="4500"/>
  </r>
  <r>
    <x v="0"/>
    <x v="1"/>
    <x v="1"/>
    <x v="1"/>
    <x v="2"/>
    <s v="EE_Rural"/>
    <x v="6"/>
    <x v="4"/>
    <s v="GNR_ROR_WTR"/>
    <x v="0"/>
    <x v="10"/>
    <n v="3.4246575342465699"/>
    <n v="1250"/>
    <n v="4500"/>
  </r>
  <r>
    <x v="0"/>
    <x v="1"/>
    <x v="1"/>
    <x v="1"/>
    <x v="2"/>
    <s v="EE_Rural"/>
    <x v="6"/>
    <x v="4"/>
    <s v="GNR_ROR_WTR"/>
    <x v="0"/>
    <x v="11"/>
    <n v="3.4246575342465699"/>
    <n v="1250"/>
    <n v="4500"/>
  </r>
  <r>
    <x v="0"/>
    <x v="1"/>
    <x v="1"/>
    <x v="1"/>
    <x v="2"/>
    <s v="EE_Rural"/>
    <x v="6"/>
    <x v="4"/>
    <s v="GNR_ROR_WTR"/>
    <x v="0"/>
    <x v="12"/>
    <n v="3.4246575342465699"/>
    <n v="1250"/>
    <n v="4500"/>
  </r>
  <r>
    <x v="0"/>
    <x v="1"/>
    <x v="1"/>
    <x v="1"/>
    <x v="2"/>
    <s v="EE_Rural"/>
    <x v="6"/>
    <x v="4"/>
    <s v="GNR_ROR_WTR"/>
    <x v="0"/>
    <x v="13"/>
    <n v="3.4246575342465699"/>
    <n v="1250"/>
    <n v="4500"/>
  </r>
  <r>
    <x v="0"/>
    <x v="1"/>
    <x v="1"/>
    <x v="1"/>
    <x v="2"/>
    <s v="EE_Rural"/>
    <x v="6"/>
    <x v="4"/>
    <s v="GNR_ROR_WTR"/>
    <x v="0"/>
    <x v="14"/>
    <n v="3.4246575342465699"/>
    <n v="1250"/>
    <n v="4500"/>
  </r>
  <r>
    <x v="0"/>
    <x v="1"/>
    <x v="1"/>
    <x v="1"/>
    <x v="2"/>
    <s v="EE_Rural"/>
    <x v="6"/>
    <x v="4"/>
    <s v="GNR_ROR_WTR"/>
    <x v="0"/>
    <x v="15"/>
    <n v="3.4246575342465699"/>
    <n v="1250"/>
    <n v="4500"/>
  </r>
  <r>
    <x v="0"/>
    <x v="1"/>
    <x v="1"/>
    <x v="1"/>
    <x v="2"/>
    <s v="EE_Rural"/>
    <x v="6"/>
    <x v="4"/>
    <s v="GNR_ROR_WTR"/>
    <x v="0"/>
    <x v="16"/>
    <n v="3.4246575342465699"/>
    <n v="1250"/>
    <n v="4500"/>
  </r>
  <r>
    <x v="0"/>
    <x v="1"/>
    <x v="1"/>
    <x v="1"/>
    <x v="2"/>
    <s v="EE_Rural"/>
    <x v="6"/>
    <x v="4"/>
    <s v="GNR_ROR_WTR"/>
    <x v="0"/>
    <x v="17"/>
    <n v="3.4246575342465699"/>
    <n v="1250"/>
    <n v="4500"/>
  </r>
  <r>
    <x v="0"/>
    <x v="1"/>
    <x v="1"/>
    <x v="1"/>
    <x v="2"/>
    <s v="EE_Rural"/>
    <x v="6"/>
    <x v="4"/>
    <s v="GNR_ROR_WTR"/>
    <x v="0"/>
    <x v="19"/>
    <n v="3.4246575342465699"/>
    <n v="1250"/>
    <n v="4500"/>
  </r>
  <r>
    <x v="0"/>
    <x v="1"/>
    <x v="1"/>
    <x v="1"/>
    <x v="2"/>
    <s v="EE_Rural"/>
    <x v="6"/>
    <x v="4"/>
    <s v="GNR_ROR_WTR"/>
    <x v="0"/>
    <x v="20"/>
    <n v="3.4246575342465699"/>
    <n v="1250"/>
    <n v="4500"/>
  </r>
  <r>
    <x v="0"/>
    <x v="1"/>
    <x v="1"/>
    <x v="1"/>
    <x v="2"/>
    <s v="EE_Rural"/>
    <x v="6"/>
    <x v="4"/>
    <s v="GNR_ROR_WTR"/>
    <x v="0"/>
    <x v="21"/>
    <n v="3.4246575342465699"/>
    <n v="1250"/>
    <n v="4500"/>
  </r>
  <r>
    <x v="0"/>
    <x v="1"/>
    <x v="1"/>
    <x v="1"/>
    <x v="2"/>
    <s v="EE_Rural"/>
    <x v="6"/>
    <x v="4"/>
    <s v="GNR_ROR_WTR"/>
    <x v="0"/>
    <x v="22"/>
    <n v="3.4246575342465699"/>
    <n v="1250"/>
    <n v="4500"/>
  </r>
  <r>
    <x v="0"/>
    <x v="1"/>
    <x v="1"/>
    <x v="1"/>
    <x v="2"/>
    <s v="EE_Rural"/>
    <x v="6"/>
    <x v="4"/>
    <s v="GNR_ROR_WTR"/>
    <x v="0"/>
    <x v="23"/>
    <n v="3.4246575342465699"/>
    <n v="1250"/>
    <n v="4500"/>
  </r>
  <r>
    <x v="0"/>
    <x v="1"/>
    <x v="1"/>
    <x v="1"/>
    <x v="2"/>
    <s v="EE_Rural"/>
    <x v="7"/>
    <x v="5"/>
    <s v="GNR_WT_WIND_ONS"/>
    <x v="0"/>
    <x v="0"/>
    <n v="23.661485566316099"/>
    <n v="8636.4422317053904"/>
    <n v="31091.1920341394"/>
  </r>
  <r>
    <x v="0"/>
    <x v="1"/>
    <x v="1"/>
    <x v="1"/>
    <x v="2"/>
    <s v="EE_Rural"/>
    <x v="7"/>
    <x v="5"/>
    <s v="GNR_WT_WIND_ONS"/>
    <x v="0"/>
    <x v="1"/>
    <n v="28.393782679579399"/>
    <n v="10363.730678046501"/>
    <n v="37309.430440967299"/>
  </r>
  <r>
    <x v="0"/>
    <x v="1"/>
    <x v="1"/>
    <x v="1"/>
    <x v="2"/>
    <s v="EE_Rural"/>
    <x v="7"/>
    <x v="5"/>
    <s v="GNR_WT_WIND_ONS"/>
    <x v="0"/>
    <x v="18"/>
    <n v="27.717740234827499"/>
    <n v="10116.975185712001"/>
    <n v="36421.110668563299"/>
  </r>
  <r>
    <x v="0"/>
    <x v="1"/>
    <x v="1"/>
    <x v="1"/>
    <x v="2"/>
    <s v="EE_Rural"/>
    <x v="7"/>
    <x v="5"/>
    <s v="GNR_WT_WIND_ONS"/>
    <x v="0"/>
    <x v="2"/>
    <n v="26.027634122947699"/>
    <n v="9500.0864548759291"/>
    <n v="34200.311237553302"/>
  </r>
  <r>
    <x v="0"/>
    <x v="1"/>
    <x v="1"/>
    <x v="1"/>
    <x v="2"/>
    <s v="EE_Rural"/>
    <x v="7"/>
    <x v="5"/>
    <s v="GNR_WT_WIND_ONS"/>
    <x v="0"/>
    <x v="3"/>
    <n v="19.267209675428902"/>
    <n v="7032.5315315315302"/>
    <n v="25317.113513513501"/>
  </r>
  <r>
    <x v="0"/>
    <x v="1"/>
    <x v="1"/>
    <x v="1"/>
    <x v="2"/>
    <s v="EE_Rural"/>
    <x v="7"/>
    <x v="5"/>
    <s v="GNR_WT_WIND_ONS"/>
    <x v="0"/>
    <x v="4"/>
    <n v="11.154700338406199"/>
    <n v="4071.4656235182501"/>
    <n v="14657.2762446657"/>
  </r>
  <r>
    <x v="0"/>
    <x v="1"/>
    <x v="1"/>
    <x v="1"/>
    <x v="2"/>
    <s v="EE_Rural"/>
    <x v="7"/>
    <x v="5"/>
    <s v="GNR_WT_WIND_ONS"/>
    <x v="0"/>
    <x v="5"/>
    <n v="2.3661485566316101"/>
    <n v="863.64422317053902"/>
    <n v="3109.1192034139399"/>
  </r>
  <r>
    <x v="0"/>
    <x v="1"/>
    <x v="1"/>
    <x v="1"/>
    <x v="2"/>
    <s v="EE_Rural"/>
    <x v="7"/>
    <x v="5"/>
    <s v="GNR_WT_WIND_ONS"/>
    <x v="0"/>
    <x v="6"/>
    <n v="1.69010611187972"/>
    <n v="616.88873083609894"/>
    <n v="2220.7994310099598"/>
  </r>
  <r>
    <x v="0"/>
    <x v="1"/>
    <x v="1"/>
    <x v="1"/>
    <x v="2"/>
    <s v="EE_Rural"/>
    <x v="7"/>
    <x v="5"/>
    <s v="GNR_WT_WIND_ONS"/>
    <x v="0"/>
    <x v="7"/>
    <n v="2.3661485566316101"/>
    <n v="863.64422317053902"/>
    <n v="3109.1192034139399"/>
  </r>
  <r>
    <x v="0"/>
    <x v="1"/>
    <x v="1"/>
    <x v="1"/>
    <x v="2"/>
    <s v="EE_Rural"/>
    <x v="7"/>
    <x v="5"/>
    <s v="GNR_WT_WIND_ONS"/>
    <x v="0"/>
    <x v="8"/>
    <n v="11.154700338406199"/>
    <n v="4071.4656235182501"/>
    <n v="14657.2762446657"/>
  </r>
  <r>
    <x v="0"/>
    <x v="1"/>
    <x v="1"/>
    <x v="1"/>
    <x v="2"/>
    <s v="EE_Rural"/>
    <x v="7"/>
    <x v="5"/>
    <s v="GNR_WT_WIND_ONS"/>
    <x v="0"/>
    <x v="9"/>
    <n v="26.027634122947699"/>
    <n v="9500.0864548759291"/>
    <n v="34200.311237553302"/>
  </r>
  <r>
    <x v="0"/>
    <x v="1"/>
    <x v="1"/>
    <x v="1"/>
    <x v="2"/>
    <s v="EE_Rural"/>
    <x v="7"/>
    <x v="5"/>
    <s v="GNR_WT_WIND_ONS"/>
    <x v="0"/>
    <x v="10"/>
    <n v="40.224525462737397"/>
    <n v="14681.951793899199"/>
    <n v="52855.026458036999"/>
  </r>
  <r>
    <x v="0"/>
    <x v="1"/>
    <x v="1"/>
    <x v="1"/>
    <x v="2"/>
    <s v="EE_Rural"/>
    <x v="7"/>
    <x v="5"/>
    <s v="GNR_WT_WIND_ONS"/>
    <x v="0"/>
    <x v="11"/>
    <n v="46.646928687880397"/>
    <n v="17026.128971076301"/>
    <n v="61294.064295874799"/>
  </r>
  <r>
    <x v="0"/>
    <x v="1"/>
    <x v="1"/>
    <x v="1"/>
    <x v="2"/>
    <s v="EE_Rural"/>
    <x v="7"/>
    <x v="5"/>
    <s v="GNR_WT_WIND_ONS"/>
    <x v="0"/>
    <x v="12"/>
    <n v="53.407353135399298"/>
    <n v="19493.683894420701"/>
    <n v="70177.262019914706"/>
  </r>
  <r>
    <x v="0"/>
    <x v="1"/>
    <x v="1"/>
    <x v="1"/>
    <x v="2"/>
    <s v="EE_Rural"/>
    <x v="7"/>
    <x v="5"/>
    <s v="GNR_WT_WIND_ONS"/>
    <x v="0"/>
    <x v="13"/>
    <n v="53.407353135399298"/>
    <n v="19493.683894420701"/>
    <n v="70177.262019914706"/>
  </r>
  <r>
    <x v="0"/>
    <x v="1"/>
    <x v="1"/>
    <x v="1"/>
    <x v="2"/>
    <s v="EE_Rural"/>
    <x v="7"/>
    <x v="5"/>
    <s v="GNR_WT_WIND_ONS"/>
    <x v="0"/>
    <x v="14"/>
    <n v="84.505305593986193"/>
    <n v="30844.436541805"/>
    <n v="111039.971550498"/>
  </r>
  <r>
    <x v="0"/>
    <x v="1"/>
    <x v="1"/>
    <x v="1"/>
    <x v="2"/>
    <s v="EE_Rural"/>
    <x v="7"/>
    <x v="5"/>
    <s v="GNR_WT_WIND_ONS"/>
    <x v="0"/>
    <x v="15"/>
    <n v="109.18085482743"/>
    <n v="39851.012012011997"/>
    <n v="143463.64324324299"/>
  </r>
  <r>
    <x v="0"/>
    <x v="1"/>
    <x v="1"/>
    <x v="1"/>
    <x v="2"/>
    <s v="EE_Rural"/>
    <x v="7"/>
    <x v="5"/>
    <s v="GNR_WT_WIND_ONS"/>
    <x v="0"/>
    <x v="16"/>
    <n v="107.828769937926"/>
    <n v="39357.501027343103"/>
    <n v="141687.003698435"/>
  </r>
  <r>
    <x v="0"/>
    <x v="1"/>
    <x v="1"/>
    <x v="1"/>
    <x v="2"/>
    <s v="EE_Rural"/>
    <x v="7"/>
    <x v="5"/>
    <s v="GNR_WT_WIND_ONS"/>
    <x v="0"/>
    <x v="17"/>
    <n v="147.37725295591201"/>
    <n v="53792.697328907903"/>
    <n v="193653.71038406799"/>
  </r>
  <r>
    <x v="0"/>
    <x v="1"/>
    <x v="1"/>
    <x v="1"/>
    <x v="2"/>
    <s v="EE_Rural"/>
    <x v="7"/>
    <x v="5"/>
    <s v="GNR_WT_WIND_ONS"/>
    <x v="0"/>
    <x v="19"/>
    <n v="219.37577332198799"/>
    <n v="80072.157262525696"/>
    <n v="288259.76614509203"/>
  </r>
  <r>
    <x v="0"/>
    <x v="1"/>
    <x v="1"/>
    <x v="1"/>
    <x v="2"/>
    <s v="EE_Rural"/>
    <x v="7"/>
    <x v="5"/>
    <s v="GNR_WT_WIND_ONS"/>
    <x v="0"/>
    <x v="20"/>
    <n v="254.19195922671"/>
    <n v="92780.065117749298"/>
    <n v="334008.23442389799"/>
  </r>
  <r>
    <x v="0"/>
    <x v="1"/>
    <x v="1"/>
    <x v="1"/>
    <x v="2"/>
    <s v="EE_Rural"/>
    <x v="7"/>
    <x v="5"/>
    <s v="GNR_WT_WIND_ONS"/>
    <x v="0"/>
    <x v="21"/>
    <n v="274.13521134689103"/>
    <n v="100059.352141615"/>
    <n v="360213.66770981502"/>
  </r>
  <r>
    <x v="0"/>
    <x v="1"/>
    <x v="1"/>
    <x v="1"/>
    <x v="2"/>
    <s v="EE_Rural"/>
    <x v="7"/>
    <x v="5"/>
    <s v="GNR_WT_WIND_ONS"/>
    <x v="0"/>
    <x v="22"/>
    <n v="278.52948723777899"/>
    <n v="101663.26284178899"/>
    <n v="365987.74623044097"/>
  </r>
  <r>
    <x v="0"/>
    <x v="1"/>
    <x v="1"/>
    <x v="1"/>
    <x v="2"/>
    <s v="EE_Rural"/>
    <x v="7"/>
    <x v="5"/>
    <s v="GNR_WT_WIND_ONS"/>
    <x v="0"/>
    <x v="23"/>
    <n v="290.022208798561"/>
    <n v="105858.10621147499"/>
    <n v="381089.18236130901"/>
  </r>
  <r>
    <x v="0"/>
    <x v="1"/>
    <x v="1"/>
    <x v="1"/>
    <x v="2"/>
    <s v="EE_Rural"/>
    <x v="10"/>
    <x v="2"/>
    <s v="EBAVERE_ST_WOODWST_BP"/>
    <x v="0"/>
    <x v="0"/>
    <n v="10"/>
    <n v="3650"/>
    <n v="13140"/>
  </r>
  <r>
    <x v="0"/>
    <x v="1"/>
    <x v="1"/>
    <x v="1"/>
    <x v="2"/>
    <s v="EE_Rural"/>
    <x v="10"/>
    <x v="2"/>
    <s v="EBAVERE_ST_WOODWST_BP"/>
    <x v="0"/>
    <x v="1"/>
    <n v="10"/>
    <n v="3650"/>
    <n v="13140"/>
  </r>
  <r>
    <x v="0"/>
    <x v="1"/>
    <x v="1"/>
    <x v="1"/>
    <x v="2"/>
    <s v="EE_Rural"/>
    <x v="10"/>
    <x v="2"/>
    <s v="EBAVERE_ST_WOODWST_BP"/>
    <x v="0"/>
    <x v="18"/>
    <n v="10"/>
    <n v="3650"/>
    <n v="13140"/>
  </r>
  <r>
    <x v="0"/>
    <x v="1"/>
    <x v="1"/>
    <x v="1"/>
    <x v="2"/>
    <s v="EE_Rural"/>
    <x v="10"/>
    <x v="2"/>
    <s v="EBAVERE_ST_WOODWST_BP"/>
    <x v="0"/>
    <x v="2"/>
    <n v="10"/>
    <n v="3650"/>
    <n v="13140"/>
  </r>
  <r>
    <x v="0"/>
    <x v="1"/>
    <x v="1"/>
    <x v="1"/>
    <x v="2"/>
    <s v="EE_Rural"/>
    <x v="10"/>
    <x v="2"/>
    <s v="EBAVERE_ST_WOODWST_BP"/>
    <x v="0"/>
    <x v="3"/>
    <n v="10"/>
    <n v="3650"/>
    <n v="13140"/>
  </r>
  <r>
    <x v="0"/>
    <x v="1"/>
    <x v="1"/>
    <x v="1"/>
    <x v="2"/>
    <s v="EE_Rural"/>
    <x v="10"/>
    <x v="2"/>
    <s v="EBAVERE_ST_WOODWST_BP"/>
    <x v="0"/>
    <x v="4"/>
    <n v="10"/>
    <n v="3650"/>
    <n v="13140"/>
  </r>
  <r>
    <x v="0"/>
    <x v="1"/>
    <x v="1"/>
    <x v="1"/>
    <x v="2"/>
    <s v="EE_Rural"/>
    <x v="10"/>
    <x v="2"/>
    <s v="EBAVERE_ST_WOODWST_BP"/>
    <x v="0"/>
    <x v="5"/>
    <n v="10"/>
    <n v="3650"/>
    <n v="13140"/>
  </r>
  <r>
    <x v="0"/>
    <x v="1"/>
    <x v="1"/>
    <x v="1"/>
    <x v="2"/>
    <s v="EE_Rural"/>
    <x v="10"/>
    <x v="2"/>
    <s v="EBAVERE_ST_WOODWST_BP"/>
    <x v="0"/>
    <x v="6"/>
    <n v="10"/>
    <n v="3650"/>
    <n v="13140"/>
  </r>
  <r>
    <x v="0"/>
    <x v="1"/>
    <x v="1"/>
    <x v="1"/>
    <x v="2"/>
    <s v="EE_Rural"/>
    <x v="10"/>
    <x v="2"/>
    <s v="EBAVERE_ST_WOODWST_BP"/>
    <x v="0"/>
    <x v="7"/>
    <n v="10"/>
    <n v="3650"/>
    <n v="13140"/>
  </r>
  <r>
    <x v="0"/>
    <x v="1"/>
    <x v="1"/>
    <x v="1"/>
    <x v="2"/>
    <s v="EE_Rural"/>
    <x v="10"/>
    <x v="2"/>
    <s v="EBAVERE_ST_WOODWST_BP"/>
    <x v="0"/>
    <x v="8"/>
    <n v="10"/>
    <n v="3650"/>
    <n v="13140"/>
  </r>
  <r>
    <x v="0"/>
    <x v="1"/>
    <x v="1"/>
    <x v="1"/>
    <x v="2"/>
    <s v="EE_Rural"/>
    <x v="10"/>
    <x v="2"/>
    <s v="EBAVERE_ST_WOODWST_BP"/>
    <x v="0"/>
    <x v="9"/>
    <n v="10"/>
    <n v="3650"/>
    <n v="13140"/>
  </r>
  <r>
    <x v="0"/>
    <x v="1"/>
    <x v="1"/>
    <x v="1"/>
    <x v="2"/>
    <s v="EE_Rural"/>
    <x v="10"/>
    <x v="2"/>
    <s v="EBAVERE_ST_WOODWST_BP"/>
    <x v="0"/>
    <x v="10"/>
    <n v="10"/>
    <n v="3650"/>
    <n v="13140"/>
  </r>
  <r>
    <x v="0"/>
    <x v="1"/>
    <x v="1"/>
    <x v="1"/>
    <x v="2"/>
    <s v="EE_Rural"/>
    <x v="10"/>
    <x v="2"/>
    <s v="EBAVERE_ST_WOODWST_BP"/>
    <x v="0"/>
    <x v="11"/>
    <n v="10"/>
    <n v="3650"/>
    <n v="13140"/>
  </r>
  <r>
    <x v="0"/>
    <x v="1"/>
    <x v="1"/>
    <x v="1"/>
    <x v="2"/>
    <s v="EE_Rural"/>
    <x v="10"/>
    <x v="2"/>
    <s v="EBAVERE_ST_WOODWST_BP"/>
    <x v="0"/>
    <x v="12"/>
    <n v="10"/>
    <n v="3650"/>
    <n v="13140"/>
  </r>
  <r>
    <x v="0"/>
    <x v="1"/>
    <x v="1"/>
    <x v="1"/>
    <x v="2"/>
    <s v="EE_Rural"/>
    <x v="10"/>
    <x v="2"/>
    <s v="EBAVERE_ST_WOODWST_BP"/>
    <x v="0"/>
    <x v="13"/>
    <n v="10"/>
    <n v="3650"/>
    <n v="13140"/>
  </r>
  <r>
    <x v="0"/>
    <x v="1"/>
    <x v="1"/>
    <x v="1"/>
    <x v="2"/>
    <s v="EE_Rural"/>
    <x v="10"/>
    <x v="2"/>
    <s v="EBAVERE_ST_WOODWST_BP"/>
    <x v="0"/>
    <x v="14"/>
    <n v="10"/>
    <n v="3650"/>
    <n v="13140"/>
  </r>
  <r>
    <x v="0"/>
    <x v="1"/>
    <x v="1"/>
    <x v="1"/>
    <x v="2"/>
    <s v="EE_Rural"/>
    <x v="10"/>
    <x v="2"/>
    <s v="EBAVERE_ST_WOODWST_BP"/>
    <x v="0"/>
    <x v="15"/>
    <n v="10"/>
    <n v="3650"/>
    <n v="13140"/>
  </r>
  <r>
    <x v="0"/>
    <x v="1"/>
    <x v="1"/>
    <x v="1"/>
    <x v="2"/>
    <s v="EE_Rural"/>
    <x v="10"/>
    <x v="2"/>
    <s v="EBAVERE_ST_WOODWST_BP"/>
    <x v="0"/>
    <x v="16"/>
    <n v="10"/>
    <n v="3650"/>
    <n v="13140"/>
  </r>
  <r>
    <x v="0"/>
    <x v="1"/>
    <x v="1"/>
    <x v="1"/>
    <x v="2"/>
    <s v="EE_Rural"/>
    <x v="10"/>
    <x v="2"/>
    <s v="EBAVERE_ST_WOODWST_BP"/>
    <x v="0"/>
    <x v="17"/>
    <n v="10"/>
    <n v="3650"/>
    <n v="13140"/>
  </r>
  <r>
    <x v="0"/>
    <x v="1"/>
    <x v="1"/>
    <x v="1"/>
    <x v="2"/>
    <s v="EE_Rural"/>
    <x v="10"/>
    <x v="2"/>
    <s v="EBAVERE_ST_WOODWST_BP"/>
    <x v="0"/>
    <x v="19"/>
    <n v="10"/>
    <n v="3650"/>
    <n v="13140"/>
  </r>
  <r>
    <x v="0"/>
    <x v="1"/>
    <x v="1"/>
    <x v="1"/>
    <x v="2"/>
    <s v="EE_Rural"/>
    <x v="10"/>
    <x v="2"/>
    <s v="EBAVERE_ST_WOODWST_BP"/>
    <x v="0"/>
    <x v="20"/>
    <n v="10"/>
    <n v="3650"/>
    <n v="13140"/>
  </r>
  <r>
    <x v="0"/>
    <x v="1"/>
    <x v="1"/>
    <x v="1"/>
    <x v="2"/>
    <s v="EE_Rural"/>
    <x v="10"/>
    <x v="2"/>
    <s v="EBAVERE_ST_WOODWST_BP"/>
    <x v="0"/>
    <x v="21"/>
    <n v="10"/>
    <n v="3650"/>
    <n v="13140"/>
  </r>
  <r>
    <x v="0"/>
    <x v="1"/>
    <x v="1"/>
    <x v="1"/>
    <x v="2"/>
    <s v="EE_Rural"/>
    <x v="10"/>
    <x v="2"/>
    <s v="EBAVERE_ST_WOODWST_BP"/>
    <x v="0"/>
    <x v="22"/>
    <n v="10"/>
    <n v="3650"/>
    <n v="13140"/>
  </r>
  <r>
    <x v="0"/>
    <x v="1"/>
    <x v="1"/>
    <x v="1"/>
    <x v="2"/>
    <s v="EE_Rural"/>
    <x v="10"/>
    <x v="2"/>
    <s v="EBAVERE_ST_WOODWST_BP"/>
    <x v="0"/>
    <x v="23"/>
    <n v="10"/>
    <n v="3650"/>
    <n v="13140"/>
  </r>
  <r>
    <x v="0"/>
    <x v="1"/>
    <x v="1"/>
    <x v="1"/>
    <x v="2"/>
    <s v="EE_Tallinn"/>
    <x v="2"/>
    <x v="2"/>
    <s v="IRU_ST_MSW_BP"/>
    <x v="0"/>
    <x v="0"/>
    <n v="17"/>
    <n v="6205"/>
    <n v="22338"/>
  </r>
  <r>
    <x v="0"/>
    <x v="1"/>
    <x v="1"/>
    <x v="1"/>
    <x v="2"/>
    <s v="EE_Tallinn"/>
    <x v="2"/>
    <x v="2"/>
    <s v="IRU_ST_MSW_BP"/>
    <x v="0"/>
    <x v="1"/>
    <n v="17"/>
    <n v="6205"/>
    <n v="22338"/>
  </r>
  <r>
    <x v="0"/>
    <x v="1"/>
    <x v="1"/>
    <x v="1"/>
    <x v="2"/>
    <s v="EE_Tallinn"/>
    <x v="2"/>
    <x v="2"/>
    <s v="IRU_ST_MSW_BP"/>
    <x v="0"/>
    <x v="18"/>
    <n v="17"/>
    <n v="6205"/>
    <n v="22338"/>
  </r>
  <r>
    <x v="0"/>
    <x v="1"/>
    <x v="1"/>
    <x v="1"/>
    <x v="2"/>
    <s v="EE_Tallinn"/>
    <x v="2"/>
    <x v="2"/>
    <s v="IRU_ST_MSW_BP"/>
    <x v="0"/>
    <x v="2"/>
    <n v="17"/>
    <n v="6205"/>
    <n v="22338"/>
  </r>
  <r>
    <x v="0"/>
    <x v="1"/>
    <x v="1"/>
    <x v="1"/>
    <x v="2"/>
    <s v="EE_Tallinn"/>
    <x v="2"/>
    <x v="2"/>
    <s v="IRU_ST_MSW_BP"/>
    <x v="0"/>
    <x v="3"/>
    <n v="17"/>
    <n v="6205"/>
    <n v="22338"/>
  </r>
  <r>
    <x v="0"/>
    <x v="1"/>
    <x v="1"/>
    <x v="1"/>
    <x v="2"/>
    <s v="EE_Tallinn"/>
    <x v="2"/>
    <x v="2"/>
    <s v="IRU_ST_MSW_BP"/>
    <x v="0"/>
    <x v="4"/>
    <n v="17"/>
    <n v="6205"/>
    <n v="22338"/>
  </r>
  <r>
    <x v="0"/>
    <x v="1"/>
    <x v="1"/>
    <x v="1"/>
    <x v="2"/>
    <s v="EE_Tallinn"/>
    <x v="2"/>
    <x v="2"/>
    <s v="IRU_ST_MSW_BP"/>
    <x v="0"/>
    <x v="5"/>
    <n v="17"/>
    <n v="6205"/>
    <n v="22338"/>
  </r>
  <r>
    <x v="0"/>
    <x v="1"/>
    <x v="1"/>
    <x v="1"/>
    <x v="2"/>
    <s v="EE_Tallinn"/>
    <x v="2"/>
    <x v="2"/>
    <s v="IRU_ST_MSW_BP"/>
    <x v="0"/>
    <x v="6"/>
    <n v="17"/>
    <n v="6205"/>
    <n v="22338"/>
  </r>
  <r>
    <x v="0"/>
    <x v="1"/>
    <x v="1"/>
    <x v="1"/>
    <x v="2"/>
    <s v="EE_Tallinn"/>
    <x v="2"/>
    <x v="2"/>
    <s v="IRU_ST_MSW_BP"/>
    <x v="0"/>
    <x v="7"/>
    <n v="17"/>
    <n v="6205"/>
    <n v="22338"/>
  </r>
  <r>
    <x v="0"/>
    <x v="1"/>
    <x v="1"/>
    <x v="1"/>
    <x v="2"/>
    <s v="EE_Tallinn"/>
    <x v="2"/>
    <x v="2"/>
    <s v="IRU_ST_MSW_BP"/>
    <x v="0"/>
    <x v="8"/>
    <n v="17"/>
    <n v="6205"/>
    <n v="22338"/>
  </r>
  <r>
    <x v="0"/>
    <x v="1"/>
    <x v="1"/>
    <x v="1"/>
    <x v="2"/>
    <s v="EE_Tallinn"/>
    <x v="2"/>
    <x v="2"/>
    <s v="IRU_ST_MSW_BP"/>
    <x v="0"/>
    <x v="9"/>
    <n v="17"/>
    <n v="6205"/>
    <n v="22338"/>
  </r>
  <r>
    <x v="0"/>
    <x v="1"/>
    <x v="1"/>
    <x v="1"/>
    <x v="2"/>
    <s v="EE_Tallinn"/>
    <x v="2"/>
    <x v="2"/>
    <s v="IRU_ST_MSW_BP"/>
    <x v="0"/>
    <x v="10"/>
    <n v="17"/>
    <n v="6205"/>
    <n v="22338"/>
  </r>
  <r>
    <x v="0"/>
    <x v="1"/>
    <x v="1"/>
    <x v="1"/>
    <x v="2"/>
    <s v="EE_Tallinn"/>
    <x v="2"/>
    <x v="2"/>
    <s v="IRU_ST_MSW_BP"/>
    <x v="0"/>
    <x v="11"/>
    <n v="17"/>
    <n v="6205"/>
    <n v="22338"/>
  </r>
  <r>
    <x v="0"/>
    <x v="1"/>
    <x v="1"/>
    <x v="1"/>
    <x v="2"/>
    <s v="EE_Tallinn"/>
    <x v="2"/>
    <x v="2"/>
    <s v="IRU_ST_MSW_BP"/>
    <x v="0"/>
    <x v="12"/>
    <n v="17"/>
    <n v="6205"/>
    <n v="22338"/>
  </r>
  <r>
    <x v="0"/>
    <x v="1"/>
    <x v="1"/>
    <x v="1"/>
    <x v="2"/>
    <s v="EE_Tallinn"/>
    <x v="2"/>
    <x v="2"/>
    <s v="IRU_ST_MSW_BP"/>
    <x v="0"/>
    <x v="13"/>
    <n v="17"/>
    <n v="6205"/>
    <n v="22338"/>
  </r>
  <r>
    <x v="0"/>
    <x v="1"/>
    <x v="1"/>
    <x v="1"/>
    <x v="2"/>
    <s v="EE_Tallinn"/>
    <x v="2"/>
    <x v="2"/>
    <s v="IRU_ST_MSW_BP"/>
    <x v="0"/>
    <x v="14"/>
    <n v="17"/>
    <n v="6205"/>
    <n v="22338"/>
  </r>
  <r>
    <x v="0"/>
    <x v="1"/>
    <x v="1"/>
    <x v="1"/>
    <x v="2"/>
    <s v="EE_Tallinn"/>
    <x v="2"/>
    <x v="2"/>
    <s v="IRU_ST_MSW_BP"/>
    <x v="0"/>
    <x v="15"/>
    <n v="17"/>
    <n v="6205"/>
    <n v="22338"/>
  </r>
  <r>
    <x v="0"/>
    <x v="1"/>
    <x v="1"/>
    <x v="1"/>
    <x v="2"/>
    <s v="EE_Tallinn"/>
    <x v="2"/>
    <x v="2"/>
    <s v="IRU_ST_MSW_BP"/>
    <x v="0"/>
    <x v="16"/>
    <n v="17"/>
    <n v="6205"/>
    <n v="22338"/>
  </r>
  <r>
    <x v="0"/>
    <x v="1"/>
    <x v="1"/>
    <x v="1"/>
    <x v="2"/>
    <s v="EE_Tallinn"/>
    <x v="2"/>
    <x v="2"/>
    <s v="IRU_ST_MSW_BP"/>
    <x v="0"/>
    <x v="17"/>
    <n v="17"/>
    <n v="6205"/>
    <n v="22338"/>
  </r>
  <r>
    <x v="0"/>
    <x v="1"/>
    <x v="1"/>
    <x v="1"/>
    <x v="2"/>
    <s v="EE_Tallinn"/>
    <x v="2"/>
    <x v="2"/>
    <s v="IRU_ST_MSW_BP"/>
    <x v="0"/>
    <x v="19"/>
    <n v="17"/>
    <n v="6205"/>
    <n v="22338"/>
  </r>
  <r>
    <x v="0"/>
    <x v="1"/>
    <x v="1"/>
    <x v="1"/>
    <x v="2"/>
    <s v="EE_Tallinn"/>
    <x v="2"/>
    <x v="2"/>
    <s v="IRU_ST_MSW_BP"/>
    <x v="0"/>
    <x v="20"/>
    <n v="17"/>
    <n v="6205"/>
    <n v="22338"/>
  </r>
  <r>
    <x v="0"/>
    <x v="1"/>
    <x v="1"/>
    <x v="1"/>
    <x v="2"/>
    <s v="EE_Tallinn"/>
    <x v="2"/>
    <x v="2"/>
    <s v="IRU_ST_MSW_BP"/>
    <x v="0"/>
    <x v="21"/>
    <n v="17"/>
    <n v="6205"/>
    <n v="22338"/>
  </r>
  <r>
    <x v="0"/>
    <x v="1"/>
    <x v="1"/>
    <x v="1"/>
    <x v="2"/>
    <s v="EE_Tallinn"/>
    <x v="2"/>
    <x v="2"/>
    <s v="IRU_ST_MSW_BP"/>
    <x v="0"/>
    <x v="22"/>
    <n v="17"/>
    <n v="6205"/>
    <n v="22338"/>
  </r>
  <r>
    <x v="0"/>
    <x v="1"/>
    <x v="1"/>
    <x v="1"/>
    <x v="2"/>
    <s v="EE_Tallinn"/>
    <x v="2"/>
    <x v="2"/>
    <s v="IRU_ST_MSW_BP"/>
    <x v="0"/>
    <x v="23"/>
    <n v="17"/>
    <n v="6205"/>
    <n v="22338"/>
  </r>
  <r>
    <x v="0"/>
    <x v="1"/>
    <x v="1"/>
    <x v="2"/>
    <x v="3"/>
    <s v="FIN_EL"/>
    <x v="0"/>
    <x v="0"/>
    <s v="GEXT_COAL_KYMIJARVI"/>
    <x v="0"/>
    <x v="5"/>
    <n v="116.307316924391"/>
    <n v="42452.170677402602"/>
    <n v="152827.81443865001"/>
  </r>
  <r>
    <x v="0"/>
    <x v="1"/>
    <x v="1"/>
    <x v="2"/>
    <x v="3"/>
    <s v="FIN_EL"/>
    <x v="0"/>
    <x v="0"/>
    <s v="GEXT_COAL_KYMIJARVI"/>
    <x v="0"/>
    <x v="6"/>
    <n v="116.307316924391"/>
    <n v="42452.170677402602"/>
    <n v="152827.81443865001"/>
  </r>
  <r>
    <x v="0"/>
    <x v="1"/>
    <x v="1"/>
    <x v="2"/>
    <x v="3"/>
    <s v="FIN_EL"/>
    <x v="0"/>
    <x v="0"/>
    <s v="GEXT_COAL_KYMIJARVI"/>
    <x v="0"/>
    <x v="7"/>
    <n v="116.307316924391"/>
    <n v="42452.170677402602"/>
    <n v="152827.81443865001"/>
  </r>
  <r>
    <x v="0"/>
    <x v="1"/>
    <x v="1"/>
    <x v="2"/>
    <x v="3"/>
    <s v="FIN_EL"/>
    <x v="0"/>
    <x v="0"/>
    <s v="GEXT_COAL_KYMIJARVI"/>
    <x v="0"/>
    <x v="8"/>
    <n v="116.307316924391"/>
    <n v="42452.170677402602"/>
    <n v="152827.81443865001"/>
  </r>
  <r>
    <x v="0"/>
    <x v="1"/>
    <x v="1"/>
    <x v="2"/>
    <x v="3"/>
    <s v="FIN_EL"/>
    <x v="0"/>
    <x v="0"/>
    <s v="GEXT_COAL_KYMIJARVI"/>
    <x v="0"/>
    <x v="9"/>
    <n v="116.307316924391"/>
    <n v="42452.170677402602"/>
    <n v="152827.81443865001"/>
  </r>
  <r>
    <x v="0"/>
    <x v="1"/>
    <x v="1"/>
    <x v="2"/>
    <x v="3"/>
    <s v="FIN_EL"/>
    <x v="0"/>
    <x v="0"/>
    <s v="GEXT_COAL_KYMIJARVI"/>
    <x v="0"/>
    <x v="10"/>
    <n v="116.307316924391"/>
    <n v="42452.170677402602"/>
    <n v="152827.81443865001"/>
  </r>
  <r>
    <x v="0"/>
    <x v="1"/>
    <x v="1"/>
    <x v="2"/>
    <x v="3"/>
    <s v="FIN_EL"/>
    <x v="0"/>
    <x v="0"/>
    <s v="GEXT_COAL_KYMIJARVI"/>
    <x v="0"/>
    <x v="11"/>
    <n v="116.307316924391"/>
    <n v="42452.170677402602"/>
    <n v="152827.81443865001"/>
  </r>
  <r>
    <x v="0"/>
    <x v="1"/>
    <x v="1"/>
    <x v="2"/>
    <x v="3"/>
    <s v="FIN_EL"/>
    <x v="0"/>
    <x v="0"/>
    <s v="GEXT_COAL_KYMIJARVI"/>
    <x v="0"/>
    <x v="12"/>
    <n v="66.2675488507289"/>
    <n v="24187.655330516001"/>
    <n v="87075.559189857697"/>
  </r>
  <r>
    <x v="0"/>
    <x v="1"/>
    <x v="1"/>
    <x v="2"/>
    <x v="3"/>
    <s v="FIN_EL"/>
    <x v="0"/>
    <x v="0"/>
    <s v="GEXT_COAL_KYMIJARVI"/>
    <x v="0"/>
    <x v="15"/>
    <n v="116.307316924391"/>
    <n v="42452.170677402602"/>
    <n v="152827.81443865001"/>
  </r>
  <r>
    <x v="0"/>
    <x v="1"/>
    <x v="1"/>
    <x v="2"/>
    <x v="3"/>
    <s v="FIN_EL"/>
    <x v="10"/>
    <x v="2"/>
    <s v="GBPR_WOODWASTE_FINEL"/>
    <x v="0"/>
    <x v="0"/>
    <n v="110"/>
    <n v="40150"/>
    <n v="144540"/>
  </r>
  <r>
    <x v="0"/>
    <x v="1"/>
    <x v="1"/>
    <x v="2"/>
    <x v="3"/>
    <s v="FIN_EL"/>
    <x v="10"/>
    <x v="2"/>
    <s v="GBPR_WOODWASTE_FINEL"/>
    <x v="0"/>
    <x v="1"/>
    <n v="110"/>
    <n v="40150"/>
    <n v="144540"/>
  </r>
  <r>
    <x v="0"/>
    <x v="1"/>
    <x v="1"/>
    <x v="2"/>
    <x v="3"/>
    <s v="FIN_EL"/>
    <x v="10"/>
    <x v="2"/>
    <s v="GBPR_WOODWASTE_FINEL"/>
    <x v="0"/>
    <x v="18"/>
    <n v="110"/>
    <n v="40150"/>
    <n v="144540"/>
  </r>
  <r>
    <x v="0"/>
    <x v="1"/>
    <x v="1"/>
    <x v="2"/>
    <x v="3"/>
    <s v="FIN_EL"/>
    <x v="10"/>
    <x v="2"/>
    <s v="GBPR_WOODWASTE_FINEL"/>
    <x v="0"/>
    <x v="2"/>
    <n v="110"/>
    <n v="40150"/>
    <n v="144540"/>
  </r>
  <r>
    <x v="0"/>
    <x v="1"/>
    <x v="1"/>
    <x v="2"/>
    <x v="3"/>
    <s v="FIN_EL"/>
    <x v="10"/>
    <x v="2"/>
    <s v="GBPR_WOODWASTE_FINEL"/>
    <x v="0"/>
    <x v="3"/>
    <n v="110"/>
    <n v="40150"/>
    <n v="144540"/>
  </r>
  <r>
    <x v="0"/>
    <x v="1"/>
    <x v="1"/>
    <x v="2"/>
    <x v="3"/>
    <s v="FIN_EL"/>
    <x v="10"/>
    <x v="2"/>
    <s v="GBPR_WOODWASTE_FINEL"/>
    <x v="0"/>
    <x v="4"/>
    <n v="110"/>
    <n v="40150"/>
    <n v="144540"/>
  </r>
  <r>
    <x v="0"/>
    <x v="1"/>
    <x v="1"/>
    <x v="2"/>
    <x v="3"/>
    <s v="FIN_EL"/>
    <x v="10"/>
    <x v="2"/>
    <s v="GBPR_WOODWASTE_FINEL"/>
    <x v="0"/>
    <x v="5"/>
    <n v="110"/>
    <n v="40150"/>
    <n v="144540"/>
  </r>
  <r>
    <x v="0"/>
    <x v="1"/>
    <x v="1"/>
    <x v="2"/>
    <x v="3"/>
    <s v="FIN_EL"/>
    <x v="10"/>
    <x v="2"/>
    <s v="GBPR_WOODWASTE_FINEL"/>
    <x v="0"/>
    <x v="6"/>
    <n v="110"/>
    <n v="40150"/>
    <n v="144540"/>
  </r>
  <r>
    <x v="0"/>
    <x v="1"/>
    <x v="1"/>
    <x v="2"/>
    <x v="3"/>
    <s v="FIN_EL"/>
    <x v="10"/>
    <x v="2"/>
    <s v="GBPR_WOODWASTE_FINEL"/>
    <x v="0"/>
    <x v="7"/>
    <n v="110"/>
    <n v="40150"/>
    <n v="144540"/>
  </r>
  <r>
    <x v="0"/>
    <x v="1"/>
    <x v="1"/>
    <x v="2"/>
    <x v="3"/>
    <s v="FIN_EL"/>
    <x v="10"/>
    <x v="2"/>
    <s v="GBPR_WOODWASTE_FINEL"/>
    <x v="0"/>
    <x v="8"/>
    <n v="110"/>
    <n v="40150"/>
    <n v="144540"/>
  </r>
  <r>
    <x v="0"/>
    <x v="1"/>
    <x v="1"/>
    <x v="2"/>
    <x v="3"/>
    <s v="FIN_EL"/>
    <x v="10"/>
    <x v="2"/>
    <s v="GBPR_WOODWASTE_FINEL"/>
    <x v="0"/>
    <x v="9"/>
    <n v="110"/>
    <n v="40150"/>
    <n v="144540"/>
  </r>
  <r>
    <x v="0"/>
    <x v="1"/>
    <x v="1"/>
    <x v="2"/>
    <x v="3"/>
    <s v="FIN_EL"/>
    <x v="10"/>
    <x v="2"/>
    <s v="GBPR_WOODWASTE_FINEL"/>
    <x v="0"/>
    <x v="10"/>
    <n v="110"/>
    <n v="40150"/>
    <n v="144540"/>
  </r>
  <r>
    <x v="0"/>
    <x v="1"/>
    <x v="1"/>
    <x v="2"/>
    <x v="3"/>
    <s v="FIN_EL"/>
    <x v="10"/>
    <x v="2"/>
    <s v="GBPR_WOODWASTE_FINEL"/>
    <x v="0"/>
    <x v="11"/>
    <n v="110"/>
    <n v="40150"/>
    <n v="144540"/>
  </r>
  <r>
    <x v="0"/>
    <x v="1"/>
    <x v="1"/>
    <x v="2"/>
    <x v="3"/>
    <s v="FIN_EL"/>
    <x v="10"/>
    <x v="2"/>
    <s v="GBPR_WOODWASTE_FINEL"/>
    <x v="0"/>
    <x v="12"/>
    <n v="110"/>
    <n v="40150"/>
    <n v="144540"/>
  </r>
  <r>
    <x v="0"/>
    <x v="1"/>
    <x v="1"/>
    <x v="2"/>
    <x v="3"/>
    <s v="FIN_EL"/>
    <x v="10"/>
    <x v="2"/>
    <s v="GBPR_WOODWASTE_FINEL"/>
    <x v="0"/>
    <x v="13"/>
    <n v="110"/>
    <n v="40150"/>
    <n v="144540"/>
  </r>
  <r>
    <x v="0"/>
    <x v="1"/>
    <x v="1"/>
    <x v="2"/>
    <x v="3"/>
    <s v="FIN_EL"/>
    <x v="10"/>
    <x v="2"/>
    <s v="GBPR_WOODWASTE_FINEL"/>
    <x v="0"/>
    <x v="14"/>
    <n v="110"/>
    <n v="40150"/>
    <n v="144540"/>
  </r>
  <r>
    <x v="0"/>
    <x v="1"/>
    <x v="1"/>
    <x v="2"/>
    <x v="3"/>
    <s v="FIN_EL"/>
    <x v="10"/>
    <x v="2"/>
    <s v="GBPR_WOODWASTE_FINEL"/>
    <x v="0"/>
    <x v="15"/>
    <n v="110"/>
    <n v="40150"/>
    <n v="144540"/>
  </r>
  <r>
    <x v="0"/>
    <x v="1"/>
    <x v="1"/>
    <x v="2"/>
    <x v="3"/>
    <s v="FIN_EL"/>
    <x v="10"/>
    <x v="2"/>
    <s v="GBPR_WOODWASTE_FINEL"/>
    <x v="0"/>
    <x v="16"/>
    <n v="110"/>
    <n v="40150"/>
    <n v="144540"/>
  </r>
  <r>
    <x v="0"/>
    <x v="1"/>
    <x v="1"/>
    <x v="2"/>
    <x v="3"/>
    <s v="FIN_EL"/>
    <x v="10"/>
    <x v="2"/>
    <s v="GBPR_WOODWASTE_FINEL"/>
    <x v="0"/>
    <x v="17"/>
    <n v="110"/>
    <n v="40150"/>
    <n v="144540"/>
  </r>
  <r>
    <x v="0"/>
    <x v="1"/>
    <x v="1"/>
    <x v="2"/>
    <x v="3"/>
    <s v="FIN_EL"/>
    <x v="10"/>
    <x v="2"/>
    <s v="GBPR_WOODWASTE_FINEL"/>
    <x v="0"/>
    <x v="19"/>
    <n v="110"/>
    <n v="40150"/>
    <n v="144540"/>
  </r>
  <r>
    <x v="0"/>
    <x v="1"/>
    <x v="1"/>
    <x v="2"/>
    <x v="3"/>
    <s v="FIN_EL"/>
    <x v="10"/>
    <x v="2"/>
    <s v="GBPR_WOODWASTE_FINEL"/>
    <x v="0"/>
    <x v="20"/>
    <n v="110"/>
    <n v="40150"/>
    <n v="144540"/>
  </r>
  <r>
    <x v="0"/>
    <x v="1"/>
    <x v="1"/>
    <x v="2"/>
    <x v="3"/>
    <s v="FIN_EL"/>
    <x v="10"/>
    <x v="2"/>
    <s v="GBPR_WOODWASTE_FINEL"/>
    <x v="0"/>
    <x v="21"/>
    <n v="110"/>
    <n v="40150"/>
    <n v="144540"/>
  </r>
  <r>
    <x v="0"/>
    <x v="1"/>
    <x v="1"/>
    <x v="2"/>
    <x v="3"/>
    <s v="FIN_EL"/>
    <x v="10"/>
    <x v="2"/>
    <s v="GBPR_WOODWASTE_FINEL"/>
    <x v="0"/>
    <x v="22"/>
    <n v="110"/>
    <n v="40150"/>
    <n v="144540"/>
  </r>
  <r>
    <x v="0"/>
    <x v="1"/>
    <x v="1"/>
    <x v="2"/>
    <x v="3"/>
    <s v="FIN_EL"/>
    <x v="10"/>
    <x v="2"/>
    <s v="GBPR_WOODWASTE_FINEL"/>
    <x v="0"/>
    <x v="23"/>
    <n v="110"/>
    <n v="40150"/>
    <n v="144540"/>
  </r>
  <r>
    <x v="0"/>
    <x v="1"/>
    <x v="1"/>
    <x v="2"/>
    <x v="3"/>
    <s v="FIN_OTHER"/>
    <x v="13"/>
    <x v="0"/>
    <s v="GEXT_PEAT_KELJONLAHTI"/>
    <x v="0"/>
    <x v="5"/>
    <n v="98.337870091999207"/>
    <n v="35893.322583579698"/>
    <n v="129215.96130088699"/>
  </r>
  <r>
    <x v="0"/>
    <x v="1"/>
    <x v="1"/>
    <x v="2"/>
    <x v="3"/>
    <s v="FIN_OTHER"/>
    <x v="13"/>
    <x v="0"/>
    <s v="GEXT_PEAT_KELJONLAHTI"/>
    <x v="0"/>
    <x v="6"/>
    <n v="98.337870091999207"/>
    <n v="35893.322583579698"/>
    <n v="129215.96130088699"/>
  </r>
  <r>
    <x v="0"/>
    <x v="1"/>
    <x v="1"/>
    <x v="2"/>
    <x v="3"/>
    <s v="FIN_OTHER"/>
    <x v="13"/>
    <x v="0"/>
    <s v="GEXT_PEAT_KELJONLAHTI"/>
    <x v="0"/>
    <x v="7"/>
    <n v="98.337870091999207"/>
    <n v="35893.322583579698"/>
    <n v="129215.96130088699"/>
  </r>
  <r>
    <x v="0"/>
    <x v="1"/>
    <x v="1"/>
    <x v="2"/>
    <x v="3"/>
    <s v="FIN_OTHER"/>
    <x v="13"/>
    <x v="0"/>
    <s v="GEXT_PEAT_KELJONLAHTI"/>
    <x v="0"/>
    <x v="8"/>
    <n v="98.337870091999207"/>
    <n v="35893.322583579698"/>
    <n v="129215.96130088699"/>
  </r>
  <r>
    <x v="0"/>
    <x v="1"/>
    <x v="1"/>
    <x v="2"/>
    <x v="3"/>
    <s v="FIN_OTHER"/>
    <x v="13"/>
    <x v="0"/>
    <s v="GEXT_PEAT_KELJONLAHTI"/>
    <x v="0"/>
    <x v="9"/>
    <n v="98.337870091999207"/>
    <n v="35893.322583579698"/>
    <n v="129215.96130088699"/>
  </r>
  <r>
    <x v="0"/>
    <x v="1"/>
    <x v="1"/>
    <x v="2"/>
    <x v="3"/>
    <s v="FIN_OTHER"/>
    <x v="13"/>
    <x v="0"/>
    <s v="GEXT_PEAT_KELJONLAHTI"/>
    <x v="0"/>
    <x v="10"/>
    <n v="98.337870091999207"/>
    <n v="35893.322583579698"/>
    <n v="129215.96130088699"/>
  </r>
  <r>
    <x v="0"/>
    <x v="1"/>
    <x v="1"/>
    <x v="2"/>
    <x v="3"/>
    <s v="FIN_OTHER"/>
    <x v="13"/>
    <x v="0"/>
    <s v="GEXT_PEAT_KELJONLAHTI"/>
    <x v="0"/>
    <x v="11"/>
    <n v="98.337870091999207"/>
    <n v="35893.322583579698"/>
    <n v="129215.96130088699"/>
  </r>
  <r>
    <x v="0"/>
    <x v="1"/>
    <x v="1"/>
    <x v="2"/>
    <x v="3"/>
    <s v="FIN_OTHER"/>
    <x v="13"/>
    <x v="0"/>
    <s v="GEXT_PEAT_KELJONLAHTI"/>
    <x v="0"/>
    <x v="12"/>
    <n v="98.337870091999207"/>
    <n v="35893.322583579698"/>
    <n v="129215.96130088699"/>
  </r>
  <r>
    <x v="0"/>
    <x v="1"/>
    <x v="1"/>
    <x v="2"/>
    <x v="3"/>
    <s v="FIN_OTHER"/>
    <x v="13"/>
    <x v="0"/>
    <s v="GEXT_PEAT_KELJONLAHTI"/>
    <x v="0"/>
    <x v="13"/>
    <n v="98.337870091999207"/>
    <n v="35893.322583579698"/>
    <n v="129215.96130088699"/>
  </r>
  <r>
    <x v="0"/>
    <x v="1"/>
    <x v="1"/>
    <x v="2"/>
    <x v="3"/>
    <s v="FIN_OTHER"/>
    <x v="13"/>
    <x v="0"/>
    <s v="GEXT_PEAT_KELJONLAHTI"/>
    <x v="0"/>
    <x v="14"/>
    <n v="98.337870091999207"/>
    <n v="35893.322583579698"/>
    <n v="129215.96130088699"/>
  </r>
  <r>
    <x v="0"/>
    <x v="1"/>
    <x v="1"/>
    <x v="2"/>
    <x v="3"/>
    <s v="FIN_OTHER"/>
    <x v="13"/>
    <x v="0"/>
    <s v="GEXT_PEAT_KELJONLAHTI"/>
    <x v="0"/>
    <x v="15"/>
    <n v="98.337870091999207"/>
    <n v="35893.322583579698"/>
    <n v="129215.96130088699"/>
  </r>
  <r>
    <x v="0"/>
    <x v="1"/>
    <x v="1"/>
    <x v="2"/>
    <x v="3"/>
    <s v="FIN_OTHER"/>
    <x v="13"/>
    <x v="0"/>
    <s v="GEXT_PEAT_KELJONLAHTI"/>
    <x v="0"/>
    <x v="16"/>
    <n v="98.337870091999207"/>
    <n v="35893.322583579698"/>
    <n v="129215.96130088699"/>
  </r>
  <r>
    <x v="0"/>
    <x v="1"/>
    <x v="1"/>
    <x v="2"/>
    <x v="3"/>
    <s v="FIN_OTHER"/>
    <x v="13"/>
    <x v="0"/>
    <s v="GEXT_PEAT_KELJONLAHTI"/>
    <x v="0"/>
    <x v="17"/>
    <n v="98.337870091999207"/>
    <n v="35893.322583579698"/>
    <n v="129215.96130088699"/>
  </r>
  <r>
    <x v="0"/>
    <x v="1"/>
    <x v="1"/>
    <x v="2"/>
    <x v="3"/>
    <s v="FIN_OTHER"/>
    <x v="13"/>
    <x v="0"/>
    <s v="GEXT_PEAT_KELJONLAHTI"/>
    <x v="0"/>
    <x v="19"/>
    <n v="98.337870091999207"/>
    <n v="35893.322583579698"/>
    <n v="129215.96130088699"/>
  </r>
  <r>
    <x v="0"/>
    <x v="1"/>
    <x v="1"/>
    <x v="2"/>
    <x v="3"/>
    <s v="FIN_OTHER"/>
    <x v="13"/>
    <x v="0"/>
    <s v="GEXT_PEAT_KELJONLAHTI"/>
    <x v="0"/>
    <x v="21"/>
    <n v="91.835257950474698"/>
    <n v="33519.869151923303"/>
    <n v="120671.52894692399"/>
  </r>
  <r>
    <x v="0"/>
    <x v="1"/>
    <x v="1"/>
    <x v="2"/>
    <x v="3"/>
    <s v="FIN_OTHER"/>
    <x v="13"/>
    <x v="0"/>
    <s v="GEXT_PEAT_SEVO"/>
    <x v="0"/>
    <x v="5"/>
    <n v="88.177499750390496"/>
    <n v="32184.787408892498"/>
    <n v="115865.234672013"/>
  </r>
  <r>
    <x v="0"/>
    <x v="1"/>
    <x v="1"/>
    <x v="2"/>
    <x v="3"/>
    <s v="FIN_OTHER"/>
    <x v="13"/>
    <x v="0"/>
    <s v="GEXT_PEAT_SEVO"/>
    <x v="0"/>
    <x v="6"/>
    <n v="88.177499750390496"/>
    <n v="32184.787408892498"/>
    <n v="115865.234672013"/>
  </r>
  <r>
    <x v="0"/>
    <x v="1"/>
    <x v="1"/>
    <x v="2"/>
    <x v="3"/>
    <s v="FIN_OTHER"/>
    <x v="13"/>
    <x v="0"/>
    <s v="GEXT_PEAT_SEVO"/>
    <x v="0"/>
    <x v="7"/>
    <n v="88.177499750390496"/>
    <n v="32184.787408892498"/>
    <n v="115865.234672013"/>
  </r>
  <r>
    <x v="0"/>
    <x v="1"/>
    <x v="1"/>
    <x v="2"/>
    <x v="3"/>
    <s v="FIN_OTHER"/>
    <x v="13"/>
    <x v="0"/>
    <s v="GEXT_PEAT_SEVO"/>
    <x v="0"/>
    <x v="8"/>
    <n v="88.177499750390496"/>
    <n v="32184.787408892498"/>
    <n v="115865.234672013"/>
  </r>
  <r>
    <x v="0"/>
    <x v="1"/>
    <x v="1"/>
    <x v="2"/>
    <x v="3"/>
    <s v="FIN_OTHER"/>
    <x v="13"/>
    <x v="0"/>
    <s v="GEXT_PEAT_SEVO"/>
    <x v="0"/>
    <x v="9"/>
    <n v="88.177499750390496"/>
    <n v="32184.787408892498"/>
    <n v="115865.234672013"/>
  </r>
  <r>
    <x v="0"/>
    <x v="1"/>
    <x v="1"/>
    <x v="2"/>
    <x v="3"/>
    <s v="FIN_OTHER"/>
    <x v="13"/>
    <x v="0"/>
    <s v="GEXT_PEAT_SEVO"/>
    <x v="0"/>
    <x v="10"/>
    <n v="88.177499750390496"/>
    <n v="32184.787408892498"/>
    <n v="115865.234672013"/>
  </r>
  <r>
    <x v="0"/>
    <x v="1"/>
    <x v="1"/>
    <x v="2"/>
    <x v="3"/>
    <s v="FIN_OTHER"/>
    <x v="13"/>
    <x v="0"/>
    <s v="GEXT_PEAT_SEVO"/>
    <x v="0"/>
    <x v="11"/>
    <n v="88.177499750390496"/>
    <n v="32184.787408892498"/>
    <n v="115865.234672013"/>
  </r>
  <r>
    <x v="0"/>
    <x v="1"/>
    <x v="1"/>
    <x v="2"/>
    <x v="3"/>
    <s v="FIN_OTHER"/>
    <x v="13"/>
    <x v="0"/>
    <s v="GEXT_PEAT_SEVO"/>
    <x v="0"/>
    <x v="12"/>
    <n v="88.177499750390496"/>
    <n v="32184.787408892498"/>
    <n v="115865.234672013"/>
  </r>
  <r>
    <x v="0"/>
    <x v="1"/>
    <x v="1"/>
    <x v="2"/>
    <x v="3"/>
    <s v="FIN_OTHER"/>
    <x v="13"/>
    <x v="0"/>
    <s v="GEXT_PEAT_SEVO"/>
    <x v="0"/>
    <x v="13"/>
    <n v="88.177499750390496"/>
    <n v="32184.787408892498"/>
    <n v="115865.234672013"/>
  </r>
  <r>
    <x v="0"/>
    <x v="1"/>
    <x v="1"/>
    <x v="2"/>
    <x v="3"/>
    <s v="FIN_OTHER"/>
    <x v="13"/>
    <x v="0"/>
    <s v="GEXT_PEAT_SEVO"/>
    <x v="0"/>
    <x v="14"/>
    <n v="88.177499750390496"/>
    <n v="32184.787408892498"/>
    <n v="115865.234672013"/>
  </r>
  <r>
    <x v="0"/>
    <x v="1"/>
    <x v="1"/>
    <x v="2"/>
    <x v="3"/>
    <s v="FIN_OTHER"/>
    <x v="13"/>
    <x v="0"/>
    <s v="GEXT_PEAT_SEVO"/>
    <x v="0"/>
    <x v="15"/>
    <n v="88.177499750390496"/>
    <n v="32184.787408892498"/>
    <n v="115865.234672013"/>
  </r>
  <r>
    <x v="0"/>
    <x v="1"/>
    <x v="1"/>
    <x v="2"/>
    <x v="3"/>
    <s v="FIN_OTHER"/>
    <x v="13"/>
    <x v="0"/>
    <s v="GEXT_PEAT_SEVO"/>
    <x v="0"/>
    <x v="16"/>
    <n v="88.177499750390496"/>
    <n v="32184.787408892498"/>
    <n v="115865.234672013"/>
  </r>
  <r>
    <x v="0"/>
    <x v="1"/>
    <x v="1"/>
    <x v="2"/>
    <x v="3"/>
    <s v="FIN_OTHER"/>
    <x v="13"/>
    <x v="0"/>
    <s v="GEXT_PEAT_SEVO"/>
    <x v="0"/>
    <x v="17"/>
    <n v="88.177499750390496"/>
    <n v="32184.787408892498"/>
    <n v="115865.234672013"/>
  </r>
  <r>
    <x v="0"/>
    <x v="1"/>
    <x v="1"/>
    <x v="2"/>
    <x v="3"/>
    <s v="FIN_OTHER"/>
    <x v="13"/>
    <x v="0"/>
    <s v="GEXT_PEAT_SEVO"/>
    <x v="0"/>
    <x v="19"/>
    <n v="88.177499750390496"/>
    <n v="32184.787408892498"/>
    <n v="115865.234672013"/>
  </r>
  <r>
    <x v="0"/>
    <x v="1"/>
    <x v="1"/>
    <x v="2"/>
    <x v="3"/>
    <s v="FIN_OTHER"/>
    <x v="13"/>
    <x v="0"/>
    <s v="GEXT_PEAT_TOPPILA"/>
    <x v="0"/>
    <x v="5"/>
    <n v="58.059259094907297"/>
    <n v="21191.629569641202"/>
    <n v="76289.866450708199"/>
  </r>
  <r>
    <x v="0"/>
    <x v="1"/>
    <x v="1"/>
    <x v="2"/>
    <x v="3"/>
    <s v="FIN_OTHER"/>
    <x v="13"/>
    <x v="0"/>
    <s v="GEXT_PEAT_TOPPILA"/>
    <x v="0"/>
    <x v="6"/>
    <n v="58.059259094907297"/>
    <n v="21191.629569641202"/>
    <n v="76289.866450708199"/>
  </r>
  <r>
    <x v="0"/>
    <x v="1"/>
    <x v="1"/>
    <x v="2"/>
    <x v="3"/>
    <s v="FIN_OTHER"/>
    <x v="13"/>
    <x v="0"/>
    <s v="GEXT_PEAT_TOPPILA"/>
    <x v="0"/>
    <x v="7"/>
    <n v="58.059259094907297"/>
    <n v="21191.629569641202"/>
    <n v="76289.866450708199"/>
  </r>
  <r>
    <x v="0"/>
    <x v="1"/>
    <x v="1"/>
    <x v="2"/>
    <x v="3"/>
    <s v="FIN_OTHER"/>
    <x v="13"/>
    <x v="0"/>
    <s v="GEXT_PEAT_TOPPILA"/>
    <x v="0"/>
    <x v="8"/>
    <n v="58.059259094907297"/>
    <n v="21191.629569641202"/>
    <n v="76289.866450708199"/>
  </r>
  <r>
    <x v="0"/>
    <x v="1"/>
    <x v="1"/>
    <x v="2"/>
    <x v="3"/>
    <s v="FIN_OTHER"/>
    <x v="13"/>
    <x v="0"/>
    <s v="GEXT_PEAT_TOPPILA"/>
    <x v="0"/>
    <x v="9"/>
    <n v="58.059259094907297"/>
    <n v="21191.629569641202"/>
    <n v="76289.866450708199"/>
  </r>
  <r>
    <x v="0"/>
    <x v="1"/>
    <x v="1"/>
    <x v="2"/>
    <x v="3"/>
    <s v="FIN_OTHER"/>
    <x v="13"/>
    <x v="0"/>
    <s v="GEXT_PEAT_TOPPILA"/>
    <x v="0"/>
    <x v="10"/>
    <n v="58.059259094907297"/>
    <n v="21191.629569641202"/>
    <n v="76289.866450708199"/>
  </r>
  <r>
    <x v="0"/>
    <x v="1"/>
    <x v="1"/>
    <x v="2"/>
    <x v="3"/>
    <s v="FIN_OTHER"/>
    <x v="13"/>
    <x v="0"/>
    <s v="GEXT_PEAT_TOPPILA"/>
    <x v="0"/>
    <x v="11"/>
    <n v="58.059259094907297"/>
    <n v="21191.629569641202"/>
    <n v="76289.866450708199"/>
  </r>
  <r>
    <x v="0"/>
    <x v="1"/>
    <x v="1"/>
    <x v="2"/>
    <x v="3"/>
    <s v="FIN_OTHER"/>
    <x v="13"/>
    <x v="0"/>
    <s v="GEXT_PEAT_TOPPILA"/>
    <x v="0"/>
    <x v="12"/>
    <n v="58.059259094907297"/>
    <n v="21191.629569641202"/>
    <n v="76289.866450708199"/>
  </r>
  <r>
    <x v="0"/>
    <x v="1"/>
    <x v="1"/>
    <x v="2"/>
    <x v="3"/>
    <s v="FIN_OTHER"/>
    <x v="13"/>
    <x v="0"/>
    <s v="GEXT_PEAT_TOPPILA"/>
    <x v="0"/>
    <x v="13"/>
    <n v="58.059259094907297"/>
    <n v="21191.629569641202"/>
    <n v="76289.866450708199"/>
  </r>
  <r>
    <x v="0"/>
    <x v="1"/>
    <x v="1"/>
    <x v="2"/>
    <x v="3"/>
    <s v="FIN_OTHER"/>
    <x v="13"/>
    <x v="0"/>
    <s v="GEXT_PEAT_TOPPILA"/>
    <x v="0"/>
    <x v="14"/>
    <n v="58.059259094907297"/>
    <n v="21191.629569641202"/>
    <n v="76289.866450708199"/>
  </r>
  <r>
    <x v="0"/>
    <x v="1"/>
    <x v="1"/>
    <x v="2"/>
    <x v="3"/>
    <s v="FIN_OTHER"/>
    <x v="13"/>
    <x v="0"/>
    <s v="GEXT_PEAT_TOPPILA"/>
    <x v="0"/>
    <x v="15"/>
    <n v="58.059259094907297"/>
    <n v="21191.629569641202"/>
    <n v="76289.866450708199"/>
  </r>
  <r>
    <x v="0"/>
    <x v="1"/>
    <x v="1"/>
    <x v="2"/>
    <x v="3"/>
    <s v="FIN_OTHER"/>
    <x v="13"/>
    <x v="0"/>
    <s v="GEXT_PEAT_TOPPILA"/>
    <x v="0"/>
    <x v="16"/>
    <n v="58.059259094907297"/>
    <n v="21191.629569641202"/>
    <n v="76289.866450708199"/>
  </r>
  <r>
    <x v="0"/>
    <x v="1"/>
    <x v="1"/>
    <x v="2"/>
    <x v="3"/>
    <s v="FIN_OTHER"/>
    <x v="13"/>
    <x v="0"/>
    <s v="GEXT_PEAT_TOPPILA"/>
    <x v="0"/>
    <x v="17"/>
    <n v="58.059259094907297"/>
    <n v="21191.629569641202"/>
    <n v="76289.866450708199"/>
  </r>
  <r>
    <x v="0"/>
    <x v="1"/>
    <x v="1"/>
    <x v="2"/>
    <x v="3"/>
    <s v="FIN_OTHER"/>
    <x v="13"/>
    <x v="0"/>
    <s v="GEXT_PEAT_TOPPILA"/>
    <x v="0"/>
    <x v="19"/>
    <n v="58.059259094907297"/>
    <n v="21191.629569641202"/>
    <n v="76289.866450708199"/>
  </r>
  <r>
    <x v="0"/>
    <x v="1"/>
    <x v="1"/>
    <x v="2"/>
    <x v="3"/>
    <s v="FinA"/>
    <x v="0"/>
    <x v="2"/>
    <s v="GBPR_COAL_IND"/>
    <x v="0"/>
    <x v="6"/>
    <n v="11.0689839175761"/>
    <n v="4040.1791299152901"/>
    <n v="14544.644867695"/>
  </r>
  <r>
    <x v="0"/>
    <x v="1"/>
    <x v="1"/>
    <x v="2"/>
    <x v="3"/>
    <s v="FinA"/>
    <x v="0"/>
    <x v="2"/>
    <s v="GBPR_COAL_IND"/>
    <x v="0"/>
    <x v="7"/>
    <n v="20"/>
    <n v="7300"/>
    <n v="26280"/>
  </r>
  <r>
    <x v="0"/>
    <x v="1"/>
    <x v="1"/>
    <x v="2"/>
    <x v="3"/>
    <s v="FinA"/>
    <x v="0"/>
    <x v="6"/>
    <s v="GCND_COAL3"/>
    <x v="0"/>
    <x v="0"/>
    <n v="565"/>
    <n v="206225"/>
    <n v="742410"/>
  </r>
  <r>
    <x v="0"/>
    <x v="1"/>
    <x v="1"/>
    <x v="2"/>
    <x v="3"/>
    <s v="FinA"/>
    <x v="0"/>
    <x v="6"/>
    <s v="GCND_COAL3"/>
    <x v="0"/>
    <x v="1"/>
    <n v="565"/>
    <n v="206225"/>
    <n v="742410"/>
  </r>
  <r>
    <x v="0"/>
    <x v="1"/>
    <x v="1"/>
    <x v="2"/>
    <x v="3"/>
    <s v="FinA"/>
    <x v="0"/>
    <x v="6"/>
    <s v="GCND_COAL3"/>
    <x v="0"/>
    <x v="18"/>
    <n v="565"/>
    <n v="206225"/>
    <n v="742410"/>
  </r>
  <r>
    <x v="0"/>
    <x v="1"/>
    <x v="1"/>
    <x v="2"/>
    <x v="3"/>
    <s v="FinA"/>
    <x v="0"/>
    <x v="6"/>
    <s v="GCND_COAL3"/>
    <x v="0"/>
    <x v="2"/>
    <n v="565"/>
    <n v="206225"/>
    <n v="742410"/>
  </r>
  <r>
    <x v="0"/>
    <x v="1"/>
    <x v="1"/>
    <x v="2"/>
    <x v="3"/>
    <s v="FinA"/>
    <x v="0"/>
    <x v="6"/>
    <s v="GCND_COAL3"/>
    <x v="0"/>
    <x v="3"/>
    <n v="565"/>
    <n v="206225"/>
    <n v="742410"/>
  </r>
  <r>
    <x v="0"/>
    <x v="1"/>
    <x v="1"/>
    <x v="2"/>
    <x v="3"/>
    <s v="FinA"/>
    <x v="0"/>
    <x v="6"/>
    <s v="GCND_COAL3"/>
    <x v="0"/>
    <x v="4"/>
    <n v="565"/>
    <n v="206225"/>
    <n v="742410"/>
  </r>
  <r>
    <x v="0"/>
    <x v="1"/>
    <x v="1"/>
    <x v="2"/>
    <x v="3"/>
    <s v="FinA"/>
    <x v="0"/>
    <x v="6"/>
    <s v="GCND_COAL3"/>
    <x v="0"/>
    <x v="5"/>
    <n v="565"/>
    <n v="206225"/>
    <n v="742410"/>
  </r>
  <r>
    <x v="0"/>
    <x v="1"/>
    <x v="1"/>
    <x v="2"/>
    <x v="3"/>
    <s v="FinA"/>
    <x v="0"/>
    <x v="6"/>
    <s v="GCND_COAL3"/>
    <x v="0"/>
    <x v="6"/>
    <n v="565"/>
    <n v="206225"/>
    <n v="742410"/>
  </r>
  <r>
    <x v="0"/>
    <x v="1"/>
    <x v="1"/>
    <x v="2"/>
    <x v="3"/>
    <s v="FinA"/>
    <x v="0"/>
    <x v="6"/>
    <s v="GCND_COAL3"/>
    <x v="0"/>
    <x v="7"/>
    <n v="565"/>
    <n v="206225"/>
    <n v="742410"/>
  </r>
  <r>
    <x v="0"/>
    <x v="1"/>
    <x v="1"/>
    <x v="2"/>
    <x v="3"/>
    <s v="FinA"/>
    <x v="0"/>
    <x v="6"/>
    <s v="GCND_COAL3"/>
    <x v="0"/>
    <x v="8"/>
    <n v="565"/>
    <n v="206225"/>
    <n v="742410"/>
  </r>
  <r>
    <x v="0"/>
    <x v="1"/>
    <x v="1"/>
    <x v="2"/>
    <x v="3"/>
    <s v="FinA"/>
    <x v="0"/>
    <x v="6"/>
    <s v="GCND_COAL3"/>
    <x v="0"/>
    <x v="9"/>
    <n v="565"/>
    <n v="206225"/>
    <n v="742410"/>
  </r>
  <r>
    <x v="0"/>
    <x v="1"/>
    <x v="1"/>
    <x v="2"/>
    <x v="3"/>
    <s v="FinA"/>
    <x v="0"/>
    <x v="6"/>
    <s v="GCND_COAL3"/>
    <x v="0"/>
    <x v="10"/>
    <n v="565"/>
    <n v="206225"/>
    <n v="742410"/>
  </r>
  <r>
    <x v="0"/>
    <x v="1"/>
    <x v="1"/>
    <x v="2"/>
    <x v="3"/>
    <s v="FinA"/>
    <x v="0"/>
    <x v="6"/>
    <s v="GCND_COAL3"/>
    <x v="0"/>
    <x v="11"/>
    <n v="565"/>
    <n v="206225"/>
    <n v="742410"/>
  </r>
  <r>
    <x v="0"/>
    <x v="1"/>
    <x v="1"/>
    <x v="2"/>
    <x v="3"/>
    <s v="FinA"/>
    <x v="0"/>
    <x v="6"/>
    <s v="GCND_COAL3"/>
    <x v="0"/>
    <x v="12"/>
    <n v="565"/>
    <n v="206225"/>
    <n v="742410"/>
  </r>
  <r>
    <x v="0"/>
    <x v="1"/>
    <x v="1"/>
    <x v="2"/>
    <x v="3"/>
    <s v="FinA"/>
    <x v="0"/>
    <x v="6"/>
    <s v="GCND_COAL3"/>
    <x v="0"/>
    <x v="13"/>
    <n v="565"/>
    <n v="206225"/>
    <n v="742410"/>
  </r>
  <r>
    <x v="0"/>
    <x v="1"/>
    <x v="1"/>
    <x v="2"/>
    <x v="3"/>
    <s v="FinA"/>
    <x v="0"/>
    <x v="6"/>
    <s v="GCND_COAL3"/>
    <x v="0"/>
    <x v="14"/>
    <n v="565"/>
    <n v="206225"/>
    <n v="742410"/>
  </r>
  <r>
    <x v="0"/>
    <x v="1"/>
    <x v="1"/>
    <x v="2"/>
    <x v="3"/>
    <s v="FinA"/>
    <x v="0"/>
    <x v="6"/>
    <s v="GCND_COAL3"/>
    <x v="0"/>
    <x v="15"/>
    <n v="565"/>
    <n v="206225"/>
    <n v="742410"/>
  </r>
  <r>
    <x v="0"/>
    <x v="1"/>
    <x v="1"/>
    <x v="2"/>
    <x v="3"/>
    <s v="FinA"/>
    <x v="0"/>
    <x v="6"/>
    <s v="GCND_COAL3"/>
    <x v="0"/>
    <x v="16"/>
    <n v="565"/>
    <n v="206225"/>
    <n v="742410"/>
  </r>
  <r>
    <x v="0"/>
    <x v="1"/>
    <x v="1"/>
    <x v="2"/>
    <x v="3"/>
    <s v="FinA"/>
    <x v="0"/>
    <x v="6"/>
    <s v="GCND_COAL3"/>
    <x v="0"/>
    <x v="17"/>
    <n v="565"/>
    <n v="206225"/>
    <n v="742410"/>
  </r>
  <r>
    <x v="0"/>
    <x v="1"/>
    <x v="1"/>
    <x v="2"/>
    <x v="3"/>
    <s v="FinA"/>
    <x v="0"/>
    <x v="6"/>
    <s v="GCND_COAL3"/>
    <x v="0"/>
    <x v="19"/>
    <n v="565"/>
    <n v="206225"/>
    <n v="742410"/>
  </r>
  <r>
    <x v="0"/>
    <x v="1"/>
    <x v="1"/>
    <x v="2"/>
    <x v="3"/>
    <s v="FinA"/>
    <x v="0"/>
    <x v="6"/>
    <s v="GCND_COAL3"/>
    <x v="0"/>
    <x v="20"/>
    <n v="565"/>
    <n v="206225"/>
    <n v="742410"/>
  </r>
  <r>
    <x v="0"/>
    <x v="1"/>
    <x v="1"/>
    <x v="2"/>
    <x v="3"/>
    <s v="FinA"/>
    <x v="0"/>
    <x v="6"/>
    <s v="GCND_COAL3"/>
    <x v="0"/>
    <x v="21"/>
    <n v="565"/>
    <n v="206225"/>
    <n v="742410"/>
  </r>
  <r>
    <x v="0"/>
    <x v="1"/>
    <x v="1"/>
    <x v="2"/>
    <x v="3"/>
    <s v="FinA"/>
    <x v="0"/>
    <x v="6"/>
    <s v="GCND_COAL3"/>
    <x v="0"/>
    <x v="22"/>
    <n v="565"/>
    <n v="206225"/>
    <n v="742410"/>
  </r>
  <r>
    <x v="0"/>
    <x v="1"/>
    <x v="1"/>
    <x v="2"/>
    <x v="3"/>
    <s v="FinA"/>
    <x v="0"/>
    <x v="6"/>
    <s v="GCND_COAL3"/>
    <x v="0"/>
    <x v="23"/>
    <n v="456.92736098614103"/>
    <n v="166778.48675994101"/>
    <n v="600402.55233578896"/>
  </r>
  <r>
    <x v="0"/>
    <x v="1"/>
    <x v="1"/>
    <x v="2"/>
    <x v="3"/>
    <s v="FinA"/>
    <x v="14"/>
    <x v="6"/>
    <s v="GCND_NUCLEAR"/>
    <x v="0"/>
    <x v="0"/>
    <n v="4585.5936000000002"/>
    <n v="1673741.6640000001"/>
    <n v="6025469.9903999995"/>
  </r>
  <r>
    <x v="0"/>
    <x v="1"/>
    <x v="1"/>
    <x v="2"/>
    <x v="3"/>
    <s v="FinA"/>
    <x v="14"/>
    <x v="6"/>
    <s v="GCND_NUCLEAR"/>
    <x v="0"/>
    <x v="1"/>
    <n v="4585.5936000000002"/>
    <n v="1673741.6640000001"/>
    <n v="6025469.9903999995"/>
  </r>
  <r>
    <x v="0"/>
    <x v="1"/>
    <x v="1"/>
    <x v="2"/>
    <x v="3"/>
    <s v="FinA"/>
    <x v="14"/>
    <x v="6"/>
    <s v="GCND_NUCLEAR"/>
    <x v="0"/>
    <x v="18"/>
    <n v="4585.5936000000002"/>
    <n v="1673741.6640000001"/>
    <n v="6025469.9903999995"/>
  </r>
  <r>
    <x v="0"/>
    <x v="1"/>
    <x v="1"/>
    <x v="2"/>
    <x v="3"/>
    <s v="FinA"/>
    <x v="14"/>
    <x v="6"/>
    <s v="GCND_NUCLEAR"/>
    <x v="0"/>
    <x v="2"/>
    <n v="4585.5936000000002"/>
    <n v="1673741.6640000001"/>
    <n v="6025469.9903999995"/>
  </r>
  <r>
    <x v="0"/>
    <x v="1"/>
    <x v="1"/>
    <x v="2"/>
    <x v="3"/>
    <s v="FinA"/>
    <x v="14"/>
    <x v="6"/>
    <s v="GCND_NUCLEAR"/>
    <x v="0"/>
    <x v="3"/>
    <n v="4585.5936000000002"/>
    <n v="1673741.6640000001"/>
    <n v="6025469.9903999995"/>
  </r>
  <r>
    <x v="0"/>
    <x v="1"/>
    <x v="1"/>
    <x v="2"/>
    <x v="3"/>
    <s v="FinA"/>
    <x v="14"/>
    <x v="6"/>
    <s v="GCND_NUCLEAR"/>
    <x v="0"/>
    <x v="4"/>
    <n v="4585.5936000000002"/>
    <n v="1673741.6640000001"/>
    <n v="6025469.9903999995"/>
  </r>
  <r>
    <x v="0"/>
    <x v="1"/>
    <x v="1"/>
    <x v="2"/>
    <x v="3"/>
    <s v="FinA"/>
    <x v="14"/>
    <x v="6"/>
    <s v="GCND_NUCLEAR"/>
    <x v="0"/>
    <x v="5"/>
    <n v="4585.5936000000002"/>
    <n v="1673741.6640000001"/>
    <n v="6025469.9903999995"/>
  </r>
  <r>
    <x v="0"/>
    <x v="1"/>
    <x v="1"/>
    <x v="2"/>
    <x v="3"/>
    <s v="FinA"/>
    <x v="14"/>
    <x v="6"/>
    <s v="GCND_NUCLEAR"/>
    <x v="0"/>
    <x v="6"/>
    <n v="4585.5936000000002"/>
    <n v="1673741.6640000001"/>
    <n v="6025469.9903999995"/>
  </r>
  <r>
    <x v="0"/>
    <x v="1"/>
    <x v="1"/>
    <x v="2"/>
    <x v="3"/>
    <s v="FinA"/>
    <x v="14"/>
    <x v="6"/>
    <s v="GCND_NUCLEAR"/>
    <x v="0"/>
    <x v="7"/>
    <n v="4585.5936000000002"/>
    <n v="1673741.6640000001"/>
    <n v="6025469.9903999995"/>
  </r>
  <r>
    <x v="0"/>
    <x v="1"/>
    <x v="1"/>
    <x v="2"/>
    <x v="3"/>
    <s v="FinA"/>
    <x v="14"/>
    <x v="6"/>
    <s v="GCND_NUCLEAR"/>
    <x v="0"/>
    <x v="8"/>
    <n v="4585.5936000000002"/>
    <n v="1673741.6640000001"/>
    <n v="6025469.9903999995"/>
  </r>
  <r>
    <x v="0"/>
    <x v="1"/>
    <x v="1"/>
    <x v="2"/>
    <x v="3"/>
    <s v="FinA"/>
    <x v="14"/>
    <x v="6"/>
    <s v="GCND_NUCLEAR"/>
    <x v="0"/>
    <x v="9"/>
    <n v="4585.5936000000002"/>
    <n v="1673741.6640000001"/>
    <n v="6025469.9903999995"/>
  </r>
  <r>
    <x v="0"/>
    <x v="1"/>
    <x v="1"/>
    <x v="2"/>
    <x v="3"/>
    <s v="FinA"/>
    <x v="14"/>
    <x v="6"/>
    <s v="GCND_NUCLEAR"/>
    <x v="0"/>
    <x v="10"/>
    <n v="4585.5936000000002"/>
    <n v="1673741.6640000001"/>
    <n v="6025469.9903999995"/>
  </r>
  <r>
    <x v="0"/>
    <x v="1"/>
    <x v="1"/>
    <x v="2"/>
    <x v="3"/>
    <s v="FinA"/>
    <x v="14"/>
    <x v="6"/>
    <s v="GCND_NUCLEAR"/>
    <x v="0"/>
    <x v="11"/>
    <n v="4585.5936000000002"/>
    <n v="1673741.6640000001"/>
    <n v="6025469.9903999995"/>
  </r>
  <r>
    <x v="0"/>
    <x v="1"/>
    <x v="1"/>
    <x v="2"/>
    <x v="3"/>
    <s v="FinA"/>
    <x v="14"/>
    <x v="6"/>
    <s v="GCND_NUCLEAR"/>
    <x v="0"/>
    <x v="12"/>
    <n v="4585.5936000000002"/>
    <n v="1673741.6640000001"/>
    <n v="6025469.9903999995"/>
  </r>
  <r>
    <x v="0"/>
    <x v="1"/>
    <x v="1"/>
    <x v="2"/>
    <x v="3"/>
    <s v="FinA"/>
    <x v="14"/>
    <x v="6"/>
    <s v="GCND_NUCLEAR"/>
    <x v="0"/>
    <x v="13"/>
    <n v="4585.5936000000002"/>
    <n v="1673741.6640000001"/>
    <n v="6025469.9903999995"/>
  </r>
  <r>
    <x v="0"/>
    <x v="1"/>
    <x v="1"/>
    <x v="2"/>
    <x v="3"/>
    <s v="FinA"/>
    <x v="14"/>
    <x v="6"/>
    <s v="GCND_NUCLEAR"/>
    <x v="0"/>
    <x v="14"/>
    <n v="4585.5936000000002"/>
    <n v="1673741.6640000001"/>
    <n v="6025469.9903999995"/>
  </r>
  <r>
    <x v="0"/>
    <x v="1"/>
    <x v="1"/>
    <x v="2"/>
    <x v="3"/>
    <s v="FinA"/>
    <x v="14"/>
    <x v="6"/>
    <s v="GCND_NUCLEAR"/>
    <x v="0"/>
    <x v="15"/>
    <n v="4585.5936000000002"/>
    <n v="1673741.6640000001"/>
    <n v="6025469.9903999995"/>
  </r>
  <r>
    <x v="0"/>
    <x v="1"/>
    <x v="1"/>
    <x v="2"/>
    <x v="3"/>
    <s v="FinA"/>
    <x v="14"/>
    <x v="6"/>
    <s v="GCND_NUCLEAR"/>
    <x v="0"/>
    <x v="16"/>
    <n v="4585.5936000000002"/>
    <n v="1673741.6640000001"/>
    <n v="6025469.9903999995"/>
  </r>
  <r>
    <x v="0"/>
    <x v="1"/>
    <x v="1"/>
    <x v="2"/>
    <x v="3"/>
    <s v="FinA"/>
    <x v="14"/>
    <x v="6"/>
    <s v="GCND_NUCLEAR"/>
    <x v="0"/>
    <x v="17"/>
    <n v="4585.5936000000002"/>
    <n v="1673741.6640000001"/>
    <n v="6025469.9903999995"/>
  </r>
  <r>
    <x v="0"/>
    <x v="1"/>
    <x v="1"/>
    <x v="2"/>
    <x v="3"/>
    <s v="FinA"/>
    <x v="14"/>
    <x v="6"/>
    <s v="GCND_NUCLEAR"/>
    <x v="0"/>
    <x v="19"/>
    <n v="4585.5936000000002"/>
    <n v="1673741.6640000001"/>
    <n v="6025469.9903999995"/>
  </r>
  <r>
    <x v="0"/>
    <x v="1"/>
    <x v="1"/>
    <x v="2"/>
    <x v="3"/>
    <s v="FinA"/>
    <x v="14"/>
    <x v="6"/>
    <s v="GCND_NUCLEAR"/>
    <x v="0"/>
    <x v="20"/>
    <n v="4585.5936000000002"/>
    <n v="1673741.6640000001"/>
    <n v="6025469.9903999995"/>
  </r>
  <r>
    <x v="0"/>
    <x v="1"/>
    <x v="1"/>
    <x v="2"/>
    <x v="3"/>
    <s v="FinA"/>
    <x v="14"/>
    <x v="6"/>
    <s v="GCND_NUCLEAR"/>
    <x v="0"/>
    <x v="21"/>
    <n v="4585.5936000000002"/>
    <n v="1673741.6640000001"/>
    <n v="6025469.9903999995"/>
  </r>
  <r>
    <x v="0"/>
    <x v="1"/>
    <x v="1"/>
    <x v="2"/>
    <x v="3"/>
    <s v="FinA"/>
    <x v="14"/>
    <x v="6"/>
    <s v="GCND_NUCLEAR"/>
    <x v="0"/>
    <x v="22"/>
    <n v="4585.5936000000002"/>
    <n v="1673741.6640000001"/>
    <n v="6025469.9903999995"/>
  </r>
  <r>
    <x v="0"/>
    <x v="1"/>
    <x v="1"/>
    <x v="2"/>
    <x v="3"/>
    <s v="FinA"/>
    <x v="14"/>
    <x v="6"/>
    <s v="GCND_NUCLEAR"/>
    <x v="0"/>
    <x v="23"/>
    <n v="4585.5936000000002"/>
    <n v="1673741.6640000001"/>
    <n v="6025469.9903999995"/>
  </r>
  <r>
    <x v="0"/>
    <x v="1"/>
    <x v="1"/>
    <x v="2"/>
    <x v="3"/>
    <s v="FinA"/>
    <x v="13"/>
    <x v="2"/>
    <s v="GBPR_PEAT_IND"/>
    <x v="0"/>
    <x v="0"/>
    <n v="634"/>
    <n v="231410"/>
    <n v="833076"/>
  </r>
  <r>
    <x v="0"/>
    <x v="1"/>
    <x v="1"/>
    <x v="2"/>
    <x v="3"/>
    <s v="FinA"/>
    <x v="13"/>
    <x v="2"/>
    <s v="GBPR_PEAT_IND"/>
    <x v="0"/>
    <x v="1"/>
    <n v="634"/>
    <n v="231410"/>
    <n v="833076"/>
  </r>
  <r>
    <x v="0"/>
    <x v="1"/>
    <x v="1"/>
    <x v="2"/>
    <x v="3"/>
    <s v="FinA"/>
    <x v="13"/>
    <x v="2"/>
    <s v="GBPR_PEAT_IND"/>
    <x v="0"/>
    <x v="18"/>
    <n v="634"/>
    <n v="231410"/>
    <n v="833076"/>
  </r>
  <r>
    <x v="0"/>
    <x v="1"/>
    <x v="1"/>
    <x v="2"/>
    <x v="3"/>
    <s v="FinA"/>
    <x v="13"/>
    <x v="2"/>
    <s v="GBPR_PEAT_IND"/>
    <x v="0"/>
    <x v="2"/>
    <n v="634"/>
    <n v="231410"/>
    <n v="833076"/>
  </r>
  <r>
    <x v="0"/>
    <x v="1"/>
    <x v="1"/>
    <x v="2"/>
    <x v="3"/>
    <s v="FinA"/>
    <x v="13"/>
    <x v="2"/>
    <s v="GBPR_PEAT_IND"/>
    <x v="0"/>
    <x v="3"/>
    <n v="634"/>
    <n v="231410"/>
    <n v="833076"/>
  </r>
  <r>
    <x v="0"/>
    <x v="1"/>
    <x v="1"/>
    <x v="2"/>
    <x v="3"/>
    <s v="FinA"/>
    <x v="13"/>
    <x v="2"/>
    <s v="GBPR_PEAT_IND"/>
    <x v="0"/>
    <x v="4"/>
    <n v="634"/>
    <n v="231410"/>
    <n v="833076"/>
  </r>
  <r>
    <x v="0"/>
    <x v="1"/>
    <x v="1"/>
    <x v="2"/>
    <x v="3"/>
    <s v="FinA"/>
    <x v="13"/>
    <x v="2"/>
    <s v="GBPR_PEAT_IND"/>
    <x v="0"/>
    <x v="5"/>
    <n v="634"/>
    <n v="231410"/>
    <n v="833076"/>
  </r>
  <r>
    <x v="0"/>
    <x v="1"/>
    <x v="1"/>
    <x v="2"/>
    <x v="3"/>
    <s v="FinA"/>
    <x v="13"/>
    <x v="2"/>
    <s v="GBPR_PEAT_IND"/>
    <x v="0"/>
    <x v="6"/>
    <n v="634"/>
    <n v="231410"/>
    <n v="833076"/>
  </r>
  <r>
    <x v="0"/>
    <x v="1"/>
    <x v="1"/>
    <x v="2"/>
    <x v="3"/>
    <s v="FinA"/>
    <x v="13"/>
    <x v="2"/>
    <s v="GBPR_PEAT_IND"/>
    <x v="0"/>
    <x v="7"/>
    <n v="634"/>
    <n v="231410"/>
    <n v="833076"/>
  </r>
  <r>
    <x v="0"/>
    <x v="1"/>
    <x v="1"/>
    <x v="2"/>
    <x v="3"/>
    <s v="FinA"/>
    <x v="13"/>
    <x v="2"/>
    <s v="GBPR_PEAT_IND"/>
    <x v="0"/>
    <x v="8"/>
    <n v="634"/>
    <n v="231410"/>
    <n v="833076"/>
  </r>
  <r>
    <x v="0"/>
    <x v="1"/>
    <x v="1"/>
    <x v="2"/>
    <x v="3"/>
    <s v="FinA"/>
    <x v="13"/>
    <x v="2"/>
    <s v="GBPR_PEAT_IND"/>
    <x v="0"/>
    <x v="9"/>
    <n v="634"/>
    <n v="231410"/>
    <n v="833076"/>
  </r>
  <r>
    <x v="0"/>
    <x v="1"/>
    <x v="1"/>
    <x v="2"/>
    <x v="3"/>
    <s v="FinA"/>
    <x v="13"/>
    <x v="2"/>
    <s v="GBPR_PEAT_IND"/>
    <x v="0"/>
    <x v="10"/>
    <n v="634"/>
    <n v="231410"/>
    <n v="833076"/>
  </r>
  <r>
    <x v="0"/>
    <x v="1"/>
    <x v="1"/>
    <x v="2"/>
    <x v="3"/>
    <s v="FinA"/>
    <x v="13"/>
    <x v="2"/>
    <s v="GBPR_PEAT_IND"/>
    <x v="0"/>
    <x v="11"/>
    <n v="634"/>
    <n v="231410"/>
    <n v="833076"/>
  </r>
  <r>
    <x v="0"/>
    <x v="1"/>
    <x v="1"/>
    <x v="2"/>
    <x v="3"/>
    <s v="FinA"/>
    <x v="13"/>
    <x v="2"/>
    <s v="GBPR_PEAT_IND"/>
    <x v="0"/>
    <x v="12"/>
    <n v="634"/>
    <n v="231410"/>
    <n v="833076"/>
  </r>
  <r>
    <x v="0"/>
    <x v="1"/>
    <x v="1"/>
    <x v="2"/>
    <x v="3"/>
    <s v="FinA"/>
    <x v="13"/>
    <x v="2"/>
    <s v="GBPR_PEAT_IND"/>
    <x v="0"/>
    <x v="13"/>
    <n v="634"/>
    <n v="231410"/>
    <n v="833076"/>
  </r>
  <r>
    <x v="0"/>
    <x v="1"/>
    <x v="1"/>
    <x v="2"/>
    <x v="3"/>
    <s v="FinA"/>
    <x v="13"/>
    <x v="2"/>
    <s v="GBPR_PEAT_IND"/>
    <x v="0"/>
    <x v="14"/>
    <n v="634"/>
    <n v="231410"/>
    <n v="833076"/>
  </r>
  <r>
    <x v="0"/>
    <x v="1"/>
    <x v="1"/>
    <x v="2"/>
    <x v="3"/>
    <s v="FinA"/>
    <x v="13"/>
    <x v="2"/>
    <s v="GBPR_PEAT_IND"/>
    <x v="0"/>
    <x v="15"/>
    <n v="634"/>
    <n v="231410"/>
    <n v="833076"/>
  </r>
  <r>
    <x v="0"/>
    <x v="1"/>
    <x v="1"/>
    <x v="2"/>
    <x v="3"/>
    <s v="FinA"/>
    <x v="13"/>
    <x v="2"/>
    <s v="GBPR_PEAT_IND"/>
    <x v="0"/>
    <x v="16"/>
    <n v="634"/>
    <n v="231410"/>
    <n v="833076"/>
  </r>
  <r>
    <x v="0"/>
    <x v="1"/>
    <x v="1"/>
    <x v="2"/>
    <x v="3"/>
    <s v="FinA"/>
    <x v="13"/>
    <x v="2"/>
    <s v="GBPR_PEAT_IND"/>
    <x v="0"/>
    <x v="17"/>
    <n v="634"/>
    <n v="231410"/>
    <n v="833076"/>
  </r>
  <r>
    <x v="0"/>
    <x v="1"/>
    <x v="1"/>
    <x v="2"/>
    <x v="3"/>
    <s v="FinA"/>
    <x v="13"/>
    <x v="2"/>
    <s v="GBPR_PEAT_IND"/>
    <x v="0"/>
    <x v="19"/>
    <n v="634"/>
    <n v="231410"/>
    <n v="833076"/>
  </r>
  <r>
    <x v="0"/>
    <x v="1"/>
    <x v="1"/>
    <x v="2"/>
    <x v="3"/>
    <s v="FinA"/>
    <x v="13"/>
    <x v="2"/>
    <s v="GBPR_PEAT_IND"/>
    <x v="0"/>
    <x v="20"/>
    <n v="634"/>
    <n v="231410"/>
    <n v="833076"/>
  </r>
  <r>
    <x v="0"/>
    <x v="1"/>
    <x v="1"/>
    <x v="2"/>
    <x v="3"/>
    <s v="FinA"/>
    <x v="13"/>
    <x v="2"/>
    <s v="GBPR_PEAT_IND"/>
    <x v="0"/>
    <x v="21"/>
    <n v="634"/>
    <n v="231410"/>
    <n v="833076"/>
  </r>
  <r>
    <x v="0"/>
    <x v="1"/>
    <x v="1"/>
    <x v="2"/>
    <x v="3"/>
    <s v="FinA"/>
    <x v="13"/>
    <x v="2"/>
    <s v="GBPR_PEAT_IND"/>
    <x v="0"/>
    <x v="22"/>
    <n v="634"/>
    <n v="231410"/>
    <n v="833076"/>
  </r>
  <r>
    <x v="0"/>
    <x v="1"/>
    <x v="1"/>
    <x v="2"/>
    <x v="3"/>
    <s v="FinA"/>
    <x v="13"/>
    <x v="2"/>
    <s v="GBPR_PEAT_IND"/>
    <x v="0"/>
    <x v="23"/>
    <n v="634"/>
    <n v="231410"/>
    <n v="833076"/>
  </r>
  <r>
    <x v="0"/>
    <x v="1"/>
    <x v="1"/>
    <x v="2"/>
    <x v="3"/>
    <s v="FinA"/>
    <x v="13"/>
    <x v="6"/>
    <s v="GCND_PEAT"/>
    <x v="0"/>
    <x v="5"/>
    <n v="163.99686520376201"/>
    <n v="59858.855799373101"/>
    <n v="215491.88087774301"/>
  </r>
  <r>
    <x v="0"/>
    <x v="1"/>
    <x v="1"/>
    <x v="2"/>
    <x v="3"/>
    <s v="FinA"/>
    <x v="13"/>
    <x v="6"/>
    <s v="GCND_PEAT"/>
    <x v="0"/>
    <x v="6"/>
    <n v="163.99686520376201"/>
    <n v="59858.855799373101"/>
    <n v="215491.88087774301"/>
  </r>
  <r>
    <x v="0"/>
    <x v="1"/>
    <x v="1"/>
    <x v="2"/>
    <x v="3"/>
    <s v="FinA"/>
    <x v="13"/>
    <x v="6"/>
    <s v="GCND_PEAT"/>
    <x v="0"/>
    <x v="7"/>
    <n v="163.99686520376201"/>
    <n v="59858.855799373101"/>
    <n v="215491.88087774301"/>
  </r>
  <r>
    <x v="0"/>
    <x v="1"/>
    <x v="1"/>
    <x v="2"/>
    <x v="3"/>
    <s v="FinA"/>
    <x v="13"/>
    <x v="6"/>
    <s v="GCND_PEAT"/>
    <x v="0"/>
    <x v="8"/>
    <n v="163.99686520376201"/>
    <n v="59858.855799373101"/>
    <n v="215491.88087774301"/>
  </r>
  <r>
    <x v="0"/>
    <x v="1"/>
    <x v="1"/>
    <x v="2"/>
    <x v="3"/>
    <s v="FinA"/>
    <x v="13"/>
    <x v="6"/>
    <s v="GCND_PEAT"/>
    <x v="0"/>
    <x v="9"/>
    <n v="163.99686520376201"/>
    <n v="59858.855799373101"/>
    <n v="215491.88087774301"/>
  </r>
  <r>
    <x v="0"/>
    <x v="1"/>
    <x v="1"/>
    <x v="2"/>
    <x v="3"/>
    <s v="FinA"/>
    <x v="13"/>
    <x v="6"/>
    <s v="GCND_PEAT"/>
    <x v="0"/>
    <x v="10"/>
    <n v="163.99686520376201"/>
    <n v="59858.855799373101"/>
    <n v="215491.88087774301"/>
  </r>
  <r>
    <x v="0"/>
    <x v="1"/>
    <x v="1"/>
    <x v="2"/>
    <x v="3"/>
    <s v="FinA"/>
    <x v="13"/>
    <x v="6"/>
    <s v="GCND_PEAT"/>
    <x v="0"/>
    <x v="11"/>
    <n v="163.99686520376201"/>
    <n v="59858.855799373101"/>
    <n v="215491.88087774301"/>
  </r>
  <r>
    <x v="0"/>
    <x v="1"/>
    <x v="1"/>
    <x v="2"/>
    <x v="3"/>
    <s v="FinA"/>
    <x v="13"/>
    <x v="6"/>
    <s v="GCND_PEAT"/>
    <x v="0"/>
    <x v="12"/>
    <n v="163.99686520376201"/>
    <n v="59858.855799373101"/>
    <n v="215491.88087774301"/>
  </r>
  <r>
    <x v="0"/>
    <x v="1"/>
    <x v="1"/>
    <x v="2"/>
    <x v="3"/>
    <s v="FinA"/>
    <x v="13"/>
    <x v="6"/>
    <s v="GCND_PEAT"/>
    <x v="0"/>
    <x v="13"/>
    <n v="163.99686520376201"/>
    <n v="59858.855799373101"/>
    <n v="215491.88087774301"/>
  </r>
  <r>
    <x v="0"/>
    <x v="1"/>
    <x v="1"/>
    <x v="2"/>
    <x v="3"/>
    <s v="FinA"/>
    <x v="13"/>
    <x v="6"/>
    <s v="GCND_PEAT"/>
    <x v="0"/>
    <x v="14"/>
    <n v="163.99686520376201"/>
    <n v="59858.855799373101"/>
    <n v="215491.88087774301"/>
  </r>
  <r>
    <x v="0"/>
    <x v="1"/>
    <x v="1"/>
    <x v="2"/>
    <x v="3"/>
    <s v="FinA"/>
    <x v="13"/>
    <x v="6"/>
    <s v="GCND_PEAT"/>
    <x v="0"/>
    <x v="15"/>
    <n v="163.99686520376201"/>
    <n v="59858.855799373101"/>
    <n v="215491.88087774301"/>
  </r>
  <r>
    <x v="0"/>
    <x v="1"/>
    <x v="1"/>
    <x v="2"/>
    <x v="3"/>
    <s v="FinA"/>
    <x v="13"/>
    <x v="6"/>
    <s v="GCND_PEAT"/>
    <x v="0"/>
    <x v="16"/>
    <n v="163.99686520376201"/>
    <n v="59858.855799373101"/>
    <n v="215491.88087774301"/>
  </r>
  <r>
    <x v="0"/>
    <x v="1"/>
    <x v="1"/>
    <x v="2"/>
    <x v="3"/>
    <s v="FinA"/>
    <x v="6"/>
    <x v="7"/>
    <s v="GNR_RES_WTR_NOPMP_MC-01"/>
    <x v="0"/>
    <x v="0"/>
    <n v="156.94999999999999"/>
    <n v="57286.75"/>
    <n v="206232.3"/>
  </r>
  <r>
    <x v="0"/>
    <x v="1"/>
    <x v="1"/>
    <x v="2"/>
    <x v="3"/>
    <s v="FinA"/>
    <x v="6"/>
    <x v="7"/>
    <s v="GNR_RES_WTR_NOPMP_MC-01"/>
    <x v="0"/>
    <x v="1"/>
    <n v="156.94999999999999"/>
    <n v="57286.75"/>
    <n v="206232.3"/>
  </r>
  <r>
    <x v="0"/>
    <x v="1"/>
    <x v="1"/>
    <x v="2"/>
    <x v="3"/>
    <s v="FinA"/>
    <x v="6"/>
    <x v="7"/>
    <s v="GNR_RES_WTR_NOPMP_MC-01"/>
    <x v="0"/>
    <x v="18"/>
    <n v="156.94999999999999"/>
    <n v="57286.75"/>
    <n v="206232.3"/>
  </r>
  <r>
    <x v="0"/>
    <x v="1"/>
    <x v="1"/>
    <x v="2"/>
    <x v="3"/>
    <s v="FinA"/>
    <x v="6"/>
    <x v="7"/>
    <s v="GNR_RES_WTR_NOPMP_MC-01"/>
    <x v="0"/>
    <x v="2"/>
    <n v="156.94999999999999"/>
    <n v="57286.75"/>
    <n v="206232.3"/>
  </r>
  <r>
    <x v="0"/>
    <x v="1"/>
    <x v="1"/>
    <x v="2"/>
    <x v="3"/>
    <s v="FinA"/>
    <x v="6"/>
    <x v="7"/>
    <s v="GNR_RES_WTR_NOPMP_MC-01"/>
    <x v="0"/>
    <x v="3"/>
    <n v="156.94999999999999"/>
    <n v="57286.75"/>
    <n v="206232.3"/>
  </r>
  <r>
    <x v="0"/>
    <x v="1"/>
    <x v="1"/>
    <x v="2"/>
    <x v="3"/>
    <s v="FinA"/>
    <x v="6"/>
    <x v="7"/>
    <s v="GNR_RES_WTR_NOPMP_MC-01"/>
    <x v="0"/>
    <x v="4"/>
    <n v="156.94999999999999"/>
    <n v="57286.75"/>
    <n v="206232.3"/>
  </r>
  <r>
    <x v="0"/>
    <x v="1"/>
    <x v="1"/>
    <x v="2"/>
    <x v="3"/>
    <s v="FinA"/>
    <x v="6"/>
    <x v="7"/>
    <s v="GNR_RES_WTR_NOPMP_MC-01"/>
    <x v="0"/>
    <x v="5"/>
    <n v="156.94999999999999"/>
    <n v="57286.75"/>
    <n v="206232.3"/>
  </r>
  <r>
    <x v="0"/>
    <x v="1"/>
    <x v="1"/>
    <x v="2"/>
    <x v="3"/>
    <s v="FinA"/>
    <x v="6"/>
    <x v="7"/>
    <s v="GNR_RES_WTR_NOPMP_MC-01"/>
    <x v="0"/>
    <x v="6"/>
    <n v="156.94999999999999"/>
    <n v="57286.75"/>
    <n v="206232.3"/>
  </r>
  <r>
    <x v="0"/>
    <x v="1"/>
    <x v="1"/>
    <x v="2"/>
    <x v="3"/>
    <s v="FinA"/>
    <x v="6"/>
    <x v="7"/>
    <s v="GNR_RES_WTR_NOPMP_MC-01"/>
    <x v="0"/>
    <x v="7"/>
    <n v="156.94999999999999"/>
    <n v="57286.75"/>
    <n v="206232.3"/>
  </r>
  <r>
    <x v="0"/>
    <x v="1"/>
    <x v="1"/>
    <x v="2"/>
    <x v="3"/>
    <s v="FinA"/>
    <x v="6"/>
    <x v="7"/>
    <s v="GNR_RES_WTR_NOPMP_MC-01"/>
    <x v="0"/>
    <x v="8"/>
    <n v="156.94999999999999"/>
    <n v="57286.75"/>
    <n v="206232.3"/>
  </r>
  <r>
    <x v="0"/>
    <x v="1"/>
    <x v="1"/>
    <x v="2"/>
    <x v="3"/>
    <s v="FinA"/>
    <x v="6"/>
    <x v="7"/>
    <s v="GNR_RES_WTR_NOPMP_MC-01"/>
    <x v="0"/>
    <x v="9"/>
    <n v="156.94999999999999"/>
    <n v="57286.75"/>
    <n v="206232.3"/>
  </r>
  <r>
    <x v="0"/>
    <x v="1"/>
    <x v="1"/>
    <x v="2"/>
    <x v="3"/>
    <s v="FinA"/>
    <x v="6"/>
    <x v="7"/>
    <s v="GNR_RES_WTR_NOPMP_MC-01"/>
    <x v="0"/>
    <x v="10"/>
    <n v="156.94999999999999"/>
    <n v="57286.75"/>
    <n v="206232.3"/>
  </r>
  <r>
    <x v="0"/>
    <x v="1"/>
    <x v="1"/>
    <x v="2"/>
    <x v="3"/>
    <s v="FinA"/>
    <x v="6"/>
    <x v="7"/>
    <s v="GNR_RES_WTR_NOPMP_MC-01"/>
    <x v="0"/>
    <x v="11"/>
    <n v="156.94999999999999"/>
    <n v="57286.75"/>
    <n v="206232.3"/>
  </r>
  <r>
    <x v="0"/>
    <x v="1"/>
    <x v="1"/>
    <x v="2"/>
    <x v="3"/>
    <s v="FinA"/>
    <x v="6"/>
    <x v="7"/>
    <s v="GNR_RES_WTR_NOPMP_MC-01"/>
    <x v="0"/>
    <x v="12"/>
    <n v="156.94999999999999"/>
    <n v="57286.75"/>
    <n v="206232.3"/>
  </r>
  <r>
    <x v="0"/>
    <x v="1"/>
    <x v="1"/>
    <x v="2"/>
    <x v="3"/>
    <s v="FinA"/>
    <x v="6"/>
    <x v="7"/>
    <s v="GNR_RES_WTR_NOPMP_MC-01"/>
    <x v="0"/>
    <x v="13"/>
    <n v="156.94999999999999"/>
    <n v="57286.75"/>
    <n v="206232.3"/>
  </r>
  <r>
    <x v="0"/>
    <x v="1"/>
    <x v="1"/>
    <x v="2"/>
    <x v="3"/>
    <s v="FinA"/>
    <x v="6"/>
    <x v="7"/>
    <s v="GNR_RES_WTR_NOPMP_MC-01"/>
    <x v="0"/>
    <x v="14"/>
    <n v="156.94999999999999"/>
    <n v="57286.75"/>
    <n v="206232.3"/>
  </r>
  <r>
    <x v="0"/>
    <x v="1"/>
    <x v="1"/>
    <x v="2"/>
    <x v="3"/>
    <s v="FinA"/>
    <x v="6"/>
    <x v="7"/>
    <s v="GNR_RES_WTR_NOPMP_MC-01"/>
    <x v="0"/>
    <x v="15"/>
    <n v="156.94999999999999"/>
    <n v="57286.75"/>
    <n v="206232.3"/>
  </r>
  <r>
    <x v="0"/>
    <x v="1"/>
    <x v="1"/>
    <x v="2"/>
    <x v="3"/>
    <s v="FinA"/>
    <x v="6"/>
    <x v="7"/>
    <s v="GNR_RES_WTR_NOPMP_MC-01"/>
    <x v="0"/>
    <x v="16"/>
    <n v="156.94999999999999"/>
    <n v="57286.75"/>
    <n v="206232.3"/>
  </r>
  <r>
    <x v="0"/>
    <x v="1"/>
    <x v="1"/>
    <x v="2"/>
    <x v="3"/>
    <s v="FinA"/>
    <x v="6"/>
    <x v="7"/>
    <s v="GNR_RES_WTR_NOPMP_MC-01"/>
    <x v="0"/>
    <x v="17"/>
    <n v="156.94999999999999"/>
    <n v="57286.75"/>
    <n v="206232.3"/>
  </r>
  <r>
    <x v="0"/>
    <x v="1"/>
    <x v="1"/>
    <x v="2"/>
    <x v="3"/>
    <s v="FinA"/>
    <x v="6"/>
    <x v="7"/>
    <s v="GNR_RES_WTR_NOPMP_MC-01"/>
    <x v="0"/>
    <x v="19"/>
    <n v="156.94999999999999"/>
    <n v="57286.75"/>
    <n v="206232.3"/>
  </r>
  <r>
    <x v="0"/>
    <x v="1"/>
    <x v="1"/>
    <x v="2"/>
    <x v="3"/>
    <s v="FinA"/>
    <x v="6"/>
    <x v="7"/>
    <s v="GNR_RES_WTR_NOPMP_MC-01"/>
    <x v="0"/>
    <x v="20"/>
    <n v="156.94999999999999"/>
    <n v="57286.75"/>
    <n v="206232.3"/>
  </r>
  <r>
    <x v="0"/>
    <x v="1"/>
    <x v="1"/>
    <x v="2"/>
    <x v="3"/>
    <s v="FinA"/>
    <x v="6"/>
    <x v="7"/>
    <s v="GNR_RES_WTR_NOPMP_MC-01"/>
    <x v="0"/>
    <x v="21"/>
    <n v="156.94999999999999"/>
    <n v="57286.75"/>
    <n v="206232.3"/>
  </r>
  <r>
    <x v="0"/>
    <x v="1"/>
    <x v="1"/>
    <x v="2"/>
    <x v="3"/>
    <s v="FinA"/>
    <x v="6"/>
    <x v="7"/>
    <s v="GNR_RES_WTR_NOPMP_MC-01"/>
    <x v="0"/>
    <x v="22"/>
    <n v="156.94999999999999"/>
    <n v="57286.75"/>
    <n v="206232.3"/>
  </r>
  <r>
    <x v="0"/>
    <x v="1"/>
    <x v="1"/>
    <x v="2"/>
    <x v="3"/>
    <s v="FinA"/>
    <x v="6"/>
    <x v="7"/>
    <s v="GNR_RES_WTR_NOPMP_MC-01"/>
    <x v="0"/>
    <x v="23"/>
    <n v="156.94999999999999"/>
    <n v="57286.75"/>
    <n v="206232.3"/>
  </r>
  <r>
    <x v="0"/>
    <x v="1"/>
    <x v="1"/>
    <x v="2"/>
    <x v="3"/>
    <s v="FinA"/>
    <x v="6"/>
    <x v="7"/>
    <s v="GNR_RES_WTR_NOPMP_MC-02"/>
    <x v="0"/>
    <x v="0"/>
    <n v="156.94999999999999"/>
    <n v="57286.75"/>
    <n v="206232.3"/>
  </r>
  <r>
    <x v="0"/>
    <x v="1"/>
    <x v="1"/>
    <x v="2"/>
    <x v="3"/>
    <s v="FinA"/>
    <x v="6"/>
    <x v="7"/>
    <s v="GNR_RES_WTR_NOPMP_MC-02"/>
    <x v="0"/>
    <x v="1"/>
    <n v="156.94999999999999"/>
    <n v="57286.75"/>
    <n v="206232.3"/>
  </r>
  <r>
    <x v="0"/>
    <x v="1"/>
    <x v="1"/>
    <x v="2"/>
    <x v="3"/>
    <s v="FinA"/>
    <x v="6"/>
    <x v="7"/>
    <s v="GNR_RES_WTR_NOPMP_MC-02"/>
    <x v="0"/>
    <x v="18"/>
    <n v="156.94999999999999"/>
    <n v="57286.75"/>
    <n v="206232.3"/>
  </r>
  <r>
    <x v="0"/>
    <x v="1"/>
    <x v="1"/>
    <x v="2"/>
    <x v="3"/>
    <s v="FinA"/>
    <x v="6"/>
    <x v="7"/>
    <s v="GNR_RES_WTR_NOPMP_MC-02"/>
    <x v="0"/>
    <x v="2"/>
    <n v="156.94999999999999"/>
    <n v="57286.75"/>
    <n v="206232.3"/>
  </r>
  <r>
    <x v="0"/>
    <x v="1"/>
    <x v="1"/>
    <x v="2"/>
    <x v="3"/>
    <s v="FinA"/>
    <x v="6"/>
    <x v="7"/>
    <s v="GNR_RES_WTR_NOPMP_MC-02"/>
    <x v="0"/>
    <x v="3"/>
    <n v="156.94999999999999"/>
    <n v="57286.75"/>
    <n v="206232.3"/>
  </r>
  <r>
    <x v="0"/>
    <x v="1"/>
    <x v="1"/>
    <x v="2"/>
    <x v="3"/>
    <s v="FinA"/>
    <x v="6"/>
    <x v="7"/>
    <s v="GNR_RES_WTR_NOPMP_MC-02"/>
    <x v="0"/>
    <x v="4"/>
    <n v="156.94999999999999"/>
    <n v="57286.75"/>
    <n v="206232.3"/>
  </r>
  <r>
    <x v="0"/>
    <x v="1"/>
    <x v="1"/>
    <x v="2"/>
    <x v="3"/>
    <s v="FinA"/>
    <x v="6"/>
    <x v="7"/>
    <s v="GNR_RES_WTR_NOPMP_MC-02"/>
    <x v="0"/>
    <x v="5"/>
    <n v="156.94999999999999"/>
    <n v="57286.75"/>
    <n v="206232.3"/>
  </r>
  <r>
    <x v="0"/>
    <x v="1"/>
    <x v="1"/>
    <x v="2"/>
    <x v="3"/>
    <s v="FinA"/>
    <x v="6"/>
    <x v="7"/>
    <s v="GNR_RES_WTR_NOPMP_MC-02"/>
    <x v="0"/>
    <x v="6"/>
    <n v="156.94999999999999"/>
    <n v="57286.75"/>
    <n v="206232.3"/>
  </r>
  <r>
    <x v="0"/>
    <x v="1"/>
    <x v="1"/>
    <x v="2"/>
    <x v="3"/>
    <s v="FinA"/>
    <x v="6"/>
    <x v="7"/>
    <s v="GNR_RES_WTR_NOPMP_MC-02"/>
    <x v="0"/>
    <x v="7"/>
    <n v="156.94999999999999"/>
    <n v="57286.75"/>
    <n v="206232.3"/>
  </r>
  <r>
    <x v="0"/>
    <x v="1"/>
    <x v="1"/>
    <x v="2"/>
    <x v="3"/>
    <s v="FinA"/>
    <x v="6"/>
    <x v="7"/>
    <s v="GNR_RES_WTR_NOPMP_MC-02"/>
    <x v="0"/>
    <x v="8"/>
    <n v="156.94999999999999"/>
    <n v="57286.75"/>
    <n v="206232.3"/>
  </r>
  <r>
    <x v="0"/>
    <x v="1"/>
    <x v="1"/>
    <x v="2"/>
    <x v="3"/>
    <s v="FinA"/>
    <x v="6"/>
    <x v="7"/>
    <s v="GNR_RES_WTR_NOPMP_MC-02"/>
    <x v="0"/>
    <x v="9"/>
    <n v="156.94999999999999"/>
    <n v="57286.75"/>
    <n v="206232.3"/>
  </r>
  <r>
    <x v="0"/>
    <x v="1"/>
    <x v="1"/>
    <x v="2"/>
    <x v="3"/>
    <s v="FinA"/>
    <x v="6"/>
    <x v="7"/>
    <s v="GNR_RES_WTR_NOPMP_MC-02"/>
    <x v="0"/>
    <x v="10"/>
    <n v="156.94999999999999"/>
    <n v="57286.75"/>
    <n v="206232.3"/>
  </r>
  <r>
    <x v="0"/>
    <x v="1"/>
    <x v="1"/>
    <x v="2"/>
    <x v="3"/>
    <s v="FinA"/>
    <x v="6"/>
    <x v="7"/>
    <s v="GNR_RES_WTR_NOPMP_MC-02"/>
    <x v="0"/>
    <x v="11"/>
    <n v="156.94999999999999"/>
    <n v="57286.75"/>
    <n v="206232.3"/>
  </r>
  <r>
    <x v="0"/>
    <x v="1"/>
    <x v="1"/>
    <x v="2"/>
    <x v="3"/>
    <s v="FinA"/>
    <x v="6"/>
    <x v="7"/>
    <s v="GNR_RES_WTR_NOPMP_MC-02"/>
    <x v="0"/>
    <x v="12"/>
    <n v="156.94999999999999"/>
    <n v="57286.75"/>
    <n v="206232.3"/>
  </r>
  <r>
    <x v="0"/>
    <x v="1"/>
    <x v="1"/>
    <x v="2"/>
    <x v="3"/>
    <s v="FinA"/>
    <x v="6"/>
    <x v="7"/>
    <s v="GNR_RES_WTR_NOPMP_MC-02"/>
    <x v="0"/>
    <x v="13"/>
    <n v="156.94999999999999"/>
    <n v="57286.75"/>
    <n v="206232.3"/>
  </r>
  <r>
    <x v="0"/>
    <x v="1"/>
    <x v="1"/>
    <x v="2"/>
    <x v="3"/>
    <s v="FinA"/>
    <x v="6"/>
    <x v="7"/>
    <s v="GNR_RES_WTR_NOPMP_MC-02"/>
    <x v="0"/>
    <x v="14"/>
    <n v="156.94999999999999"/>
    <n v="57286.75"/>
    <n v="206232.3"/>
  </r>
  <r>
    <x v="0"/>
    <x v="1"/>
    <x v="1"/>
    <x v="2"/>
    <x v="3"/>
    <s v="FinA"/>
    <x v="6"/>
    <x v="7"/>
    <s v="GNR_RES_WTR_NOPMP_MC-02"/>
    <x v="0"/>
    <x v="15"/>
    <n v="156.94999999999999"/>
    <n v="57286.75"/>
    <n v="206232.3"/>
  </r>
  <r>
    <x v="0"/>
    <x v="1"/>
    <x v="1"/>
    <x v="2"/>
    <x v="3"/>
    <s v="FinA"/>
    <x v="6"/>
    <x v="7"/>
    <s v="GNR_RES_WTR_NOPMP_MC-02"/>
    <x v="0"/>
    <x v="16"/>
    <n v="156.94999999999999"/>
    <n v="57286.75"/>
    <n v="206232.3"/>
  </r>
  <r>
    <x v="0"/>
    <x v="1"/>
    <x v="1"/>
    <x v="2"/>
    <x v="3"/>
    <s v="FinA"/>
    <x v="6"/>
    <x v="7"/>
    <s v="GNR_RES_WTR_NOPMP_MC-02"/>
    <x v="0"/>
    <x v="17"/>
    <n v="156.94999999999999"/>
    <n v="57286.75"/>
    <n v="206232.3"/>
  </r>
  <r>
    <x v="0"/>
    <x v="1"/>
    <x v="1"/>
    <x v="2"/>
    <x v="3"/>
    <s v="FinA"/>
    <x v="6"/>
    <x v="7"/>
    <s v="GNR_RES_WTR_NOPMP_MC-02"/>
    <x v="0"/>
    <x v="19"/>
    <n v="156.94999999999999"/>
    <n v="57286.75"/>
    <n v="206232.3"/>
  </r>
  <r>
    <x v="0"/>
    <x v="1"/>
    <x v="1"/>
    <x v="2"/>
    <x v="3"/>
    <s v="FinA"/>
    <x v="6"/>
    <x v="7"/>
    <s v="GNR_RES_WTR_NOPMP_MC-02"/>
    <x v="0"/>
    <x v="20"/>
    <n v="156.94999999999999"/>
    <n v="57286.75"/>
    <n v="206232.3"/>
  </r>
  <r>
    <x v="0"/>
    <x v="1"/>
    <x v="1"/>
    <x v="2"/>
    <x v="3"/>
    <s v="FinA"/>
    <x v="6"/>
    <x v="7"/>
    <s v="GNR_RES_WTR_NOPMP_MC-02"/>
    <x v="0"/>
    <x v="21"/>
    <n v="156.94999999999999"/>
    <n v="57286.75"/>
    <n v="206232.3"/>
  </r>
  <r>
    <x v="0"/>
    <x v="1"/>
    <x v="1"/>
    <x v="2"/>
    <x v="3"/>
    <s v="FinA"/>
    <x v="6"/>
    <x v="7"/>
    <s v="GNR_RES_WTR_NOPMP_MC-02"/>
    <x v="0"/>
    <x v="22"/>
    <n v="156.94999999999999"/>
    <n v="57286.75"/>
    <n v="206232.3"/>
  </r>
  <r>
    <x v="0"/>
    <x v="1"/>
    <x v="1"/>
    <x v="2"/>
    <x v="3"/>
    <s v="FinA"/>
    <x v="6"/>
    <x v="7"/>
    <s v="GNR_RES_WTR_NOPMP_MC-02"/>
    <x v="0"/>
    <x v="23"/>
    <n v="156.94999999999999"/>
    <n v="57286.75"/>
    <n v="206232.3"/>
  </r>
  <r>
    <x v="0"/>
    <x v="1"/>
    <x v="1"/>
    <x v="2"/>
    <x v="3"/>
    <s v="FinA"/>
    <x v="6"/>
    <x v="7"/>
    <s v="GNR_RES_WTR_NOPMP_MC-03"/>
    <x v="0"/>
    <x v="0"/>
    <n v="156.94999999999999"/>
    <n v="57286.75"/>
    <n v="206232.3"/>
  </r>
  <r>
    <x v="0"/>
    <x v="1"/>
    <x v="1"/>
    <x v="2"/>
    <x v="3"/>
    <s v="FinA"/>
    <x v="6"/>
    <x v="7"/>
    <s v="GNR_RES_WTR_NOPMP_MC-03"/>
    <x v="0"/>
    <x v="1"/>
    <n v="156.94999999999999"/>
    <n v="57286.75"/>
    <n v="206232.3"/>
  </r>
  <r>
    <x v="0"/>
    <x v="1"/>
    <x v="1"/>
    <x v="2"/>
    <x v="3"/>
    <s v="FinA"/>
    <x v="6"/>
    <x v="7"/>
    <s v="GNR_RES_WTR_NOPMP_MC-03"/>
    <x v="0"/>
    <x v="18"/>
    <n v="156.94999999999999"/>
    <n v="57286.75"/>
    <n v="206232.3"/>
  </r>
  <r>
    <x v="0"/>
    <x v="1"/>
    <x v="1"/>
    <x v="2"/>
    <x v="3"/>
    <s v="FinA"/>
    <x v="6"/>
    <x v="7"/>
    <s v="GNR_RES_WTR_NOPMP_MC-03"/>
    <x v="0"/>
    <x v="2"/>
    <n v="156.94999999999999"/>
    <n v="57286.75"/>
    <n v="206232.3"/>
  </r>
  <r>
    <x v="0"/>
    <x v="1"/>
    <x v="1"/>
    <x v="2"/>
    <x v="3"/>
    <s v="FinA"/>
    <x v="6"/>
    <x v="7"/>
    <s v="GNR_RES_WTR_NOPMP_MC-03"/>
    <x v="0"/>
    <x v="3"/>
    <n v="156.94999999999999"/>
    <n v="57286.75"/>
    <n v="206232.3"/>
  </r>
  <r>
    <x v="0"/>
    <x v="1"/>
    <x v="1"/>
    <x v="2"/>
    <x v="3"/>
    <s v="FinA"/>
    <x v="6"/>
    <x v="7"/>
    <s v="GNR_RES_WTR_NOPMP_MC-03"/>
    <x v="0"/>
    <x v="4"/>
    <n v="156.94999999999999"/>
    <n v="57286.75"/>
    <n v="206232.3"/>
  </r>
  <r>
    <x v="0"/>
    <x v="1"/>
    <x v="1"/>
    <x v="2"/>
    <x v="3"/>
    <s v="FinA"/>
    <x v="6"/>
    <x v="7"/>
    <s v="GNR_RES_WTR_NOPMP_MC-03"/>
    <x v="0"/>
    <x v="5"/>
    <n v="156.94999999999999"/>
    <n v="57286.75"/>
    <n v="206232.3"/>
  </r>
  <r>
    <x v="0"/>
    <x v="1"/>
    <x v="1"/>
    <x v="2"/>
    <x v="3"/>
    <s v="FinA"/>
    <x v="6"/>
    <x v="7"/>
    <s v="GNR_RES_WTR_NOPMP_MC-03"/>
    <x v="0"/>
    <x v="6"/>
    <n v="156.94999999999999"/>
    <n v="57286.75"/>
    <n v="206232.3"/>
  </r>
  <r>
    <x v="0"/>
    <x v="1"/>
    <x v="1"/>
    <x v="2"/>
    <x v="3"/>
    <s v="FinA"/>
    <x v="6"/>
    <x v="7"/>
    <s v="GNR_RES_WTR_NOPMP_MC-03"/>
    <x v="0"/>
    <x v="7"/>
    <n v="156.94999999999999"/>
    <n v="57286.75"/>
    <n v="206232.3"/>
  </r>
  <r>
    <x v="0"/>
    <x v="1"/>
    <x v="1"/>
    <x v="2"/>
    <x v="3"/>
    <s v="FinA"/>
    <x v="6"/>
    <x v="7"/>
    <s v="GNR_RES_WTR_NOPMP_MC-03"/>
    <x v="0"/>
    <x v="8"/>
    <n v="156.94999999999999"/>
    <n v="57286.75"/>
    <n v="206232.3"/>
  </r>
  <r>
    <x v="0"/>
    <x v="1"/>
    <x v="1"/>
    <x v="2"/>
    <x v="3"/>
    <s v="FinA"/>
    <x v="6"/>
    <x v="7"/>
    <s v="GNR_RES_WTR_NOPMP_MC-03"/>
    <x v="0"/>
    <x v="9"/>
    <n v="156.94999999999999"/>
    <n v="57286.75"/>
    <n v="206232.3"/>
  </r>
  <r>
    <x v="0"/>
    <x v="1"/>
    <x v="1"/>
    <x v="2"/>
    <x v="3"/>
    <s v="FinA"/>
    <x v="6"/>
    <x v="7"/>
    <s v="GNR_RES_WTR_NOPMP_MC-03"/>
    <x v="0"/>
    <x v="10"/>
    <n v="156.94999999999999"/>
    <n v="57286.75"/>
    <n v="206232.3"/>
  </r>
  <r>
    <x v="0"/>
    <x v="1"/>
    <x v="1"/>
    <x v="2"/>
    <x v="3"/>
    <s v="FinA"/>
    <x v="6"/>
    <x v="7"/>
    <s v="GNR_RES_WTR_NOPMP_MC-03"/>
    <x v="0"/>
    <x v="11"/>
    <n v="156.94999999999999"/>
    <n v="57286.75"/>
    <n v="206232.3"/>
  </r>
  <r>
    <x v="0"/>
    <x v="1"/>
    <x v="1"/>
    <x v="2"/>
    <x v="3"/>
    <s v="FinA"/>
    <x v="6"/>
    <x v="7"/>
    <s v="GNR_RES_WTR_NOPMP_MC-03"/>
    <x v="0"/>
    <x v="12"/>
    <n v="156.94999999999999"/>
    <n v="57286.75"/>
    <n v="206232.3"/>
  </r>
  <r>
    <x v="0"/>
    <x v="1"/>
    <x v="1"/>
    <x v="2"/>
    <x v="3"/>
    <s v="FinA"/>
    <x v="6"/>
    <x v="7"/>
    <s v="GNR_RES_WTR_NOPMP_MC-03"/>
    <x v="0"/>
    <x v="13"/>
    <n v="156.94999999999999"/>
    <n v="57286.75"/>
    <n v="206232.3"/>
  </r>
  <r>
    <x v="0"/>
    <x v="1"/>
    <x v="1"/>
    <x v="2"/>
    <x v="3"/>
    <s v="FinA"/>
    <x v="6"/>
    <x v="7"/>
    <s v="GNR_RES_WTR_NOPMP_MC-03"/>
    <x v="0"/>
    <x v="14"/>
    <n v="156.94999999999999"/>
    <n v="57286.75"/>
    <n v="206232.3"/>
  </r>
  <r>
    <x v="0"/>
    <x v="1"/>
    <x v="1"/>
    <x v="2"/>
    <x v="3"/>
    <s v="FinA"/>
    <x v="6"/>
    <x v="7"/>
    <s v="GNR_RES_WTR_NOPMP_MC-03"/>
    <x v="0"/>
    <x v="15"/>
    <n v="156.94999999999999"/>
    <n v="57286.75"/>
    <n v="206232.3"/>
  </r>
  <r>
    <x v="0"/>
    <x v="1"/>
    <x v="1"/>
    <x v="2"/>
    <x v="3"/>
    <s v="FinA"/>
    <x v="6"/>
    <x v="7"/>
    <s v="GNR_RES_WTR_NOPMP_MC-03"/>
    <x v="0"/>
    <x v="16"/>
    <n v="156.94999999999999"/>
    <n v="57286.75"/>
    <n v="206232.3"/>
  </r>
  <r>
    <x v="0"/>
    <x v="1"/>
    <x v="1"/>
    <x v="2"/>
    <x v="3"/>
    <s v="FinA"/>
    <x v="6"/>
    <x v="7"/>
    <s v="GNR_RES_WTR_NOPMP_MC-03"/>
    <x v="0"/>
    <x v="17"/>
    <n v="156.94999999999999"/>
    <n v="57286.75"/>
    <n v="206232.3"/>
  </r>
  <r>
    <x v="0"/>
    <x v="1"/>
    <x v="1"/>
    <x v="2"/>
    <x v="3"/>
    <s v="FinA"/>
    <x v="6"/>
    <x v="7"/>
    <s v="GNR_RES_WTR_NOPMP_MC-03"/>
    <x v="0"/>
    <x v="19"/>
    <n v="156.94999999999999"/>
    <n v="57286.75"/>
    <n v="206232.3"/>
  </r>
  <r>
    <x v="0"/>
    <x v="1"/>
    <x v="1"/>
    <x v="2"/>
    <x v="3"/>
    <s v="FinA"/>
    <x v="6"/>
    <x v="7"/>
    <s v="GNR_RES_WTR_NOPMP_MC-03"/>
    <x v="0"/>
    <x v="20"/>
    <n v="156.94999999999999"/>
    <n v="57286.75"/>
    <n v="206232.3"/>
  </r>
  <r>
    <x v="0"/>
    <x v="1"/>
    <x v="1"/>
    <x v="2"/>
    <x v="3"/>
    <s v="FinA"/>
    <x v="6"/>
    <x v="7"/>
    <s v="GNR_RES_WTR_NOPMP_MC-03"/>
    <x v="0"/>
    <x v="21"/>
    <n v="156.94999999999999"/>
    <n v="57286.75"/>
    <n v="206232.3"/>
  </r>
  <r>
    <x v="0"/>
    <x v="1"/>
    <x v="1"/>
    <x v="2"/>
    <x v="3"/>
    <s v="FinA"/>
    <x v="6"/>
    <x v="7"/>
    <s v="GNR_RES_WTR_NOPMP_MC-03"/>
    <x v="0"/>
    <x v="22"/>
    <n v="156.94999999999999"/>
    <n v="57286.75"/>
    <n v="206232.3"/>
  </r>
  <r>
    <x v="0"/>
    <x v="1"/>
    <x v="1"/>
    <x v="2"/>
    <x v="3"/>
    <s v="FinA"/>
    <x v="6"/>
    <x v="7"/>
    <s v="GNR_RES_WTR_NOPMP_MC-03"/>
    <x v="0"/>
    <x v="23"/>
    <n v="156.94999999999999"/>
    <n v="57286.75"/>
    <n v="206232.3"/>
  </r>
  <r>
    <x v="0"/>
    <x v="1"/>
    <x v="1"/>
    <x v="2"/>
    <x v="3"/>
    <s v="FinA"/>
    <x v="6"/>
    <x v="7"/>
    <s v="GNR_RES_WTR_NOPMP_MC-04"/>
    <x v="0"/>
    <x v="0"/>
    <n v="156.94999999999999"/>
    <n v="57286.75"/>
    <n v="206232.3"/>
  </r>
  <r>
    <x v="0"/>
    <x v="1"/>
    <x v="1"/>
    <x v="2"/>
    <x v="3"/>
    <s v="FinA"/>
    <x v="6"/>
    <x v="7"/>
    <s v="GNR_RES_WTR_NOPMP_MC-04"/>
    <x v="0"/>
    <x v="1"/>
    <n v="156.94999999999999"/>
    <n v="57286.75"/>
    <n v="206232.3"/>
  </r>
  <r>
    <x v="0"/>
    <x v="1"/>
    <x v="1"/>
    <x v="2"/>
    <x v="3"/>
    <s v="FinA"/>
    <x v="6"/>
    <x v="7"/>
    <s v="GNR_RES_WTR_NOPMP_MC-04"/>
    <x v="0"/>
    <x v="18"/>
    <n v="156.94999999999999"/>
    <n v="57286.75"/>
    <n v="206232.3"/>
  </r>
  <r>
    <x v="0"/>
    <x v="1"/>
    <x v="1"/>
    <x v="2"/>
    <x v="3"/>
    <s v="FinA"/>
    <x v="6"/>
    <x v="7"/>
    <s v="GNR_RES_WTR_NOPMP_MC-04"/>
    <x v="0"/>
    <x v="2"/>
    <n v="156.94999999999999"/>
    <n v="57286.75"/>
    <n v="206232.3"/>
  </r>
  <r>
    <x v="0"/>
    <x v="1"/>
    <x v="1"/>
    <x v="2"/>
    <x v="3"/>
    <s v="FinA"/>
    <x v="6"/>
    <x v="7"/>
    <s v="GNR_RES_WTR_NOPMP_MC-04"/>
    <x v="0"/>
    <x v="3"/>
    <n v="156.94999999999999"/>
    <n v="57286.75"/>
    <n v="206232.3"/>
  </r>
  <r>
    <x v="0"/>
    <x v="1"/>
    <x v="1"/>
    <x v="2"/>
    <x v="3"/>
    <s v="FinA"/>
    <x v="6"/>
    <x v="7"/>
    <s v="GNR_RES_WTR_NOPMP_MC-04"/>
    <x v="0"/>
    <x v="4"/>
    <n v="156.94999999999999"/>
    <n v="57286.75"/>
    <n v="206232.3"/>
  </r>
  <r>
    <x v="0"/>
    <x v="1"/>
    <x v="1"/>
    <x v="2"/>
    <x v="3"/>
    <s v="FinA"/>
    <x v="6"/>
    <x v="7"/>
    <s v="GNR_RES_WTR_NOPMP_MC-04"/>
    <x v="0"/>
    <x v="5"/>
    <n v="156.94999999999999"/>
    <n v="57286.75"/>
    <n v="206232.3"/>
  </r>
  <r>
    <x v="0"/>
    <x v="1"/>
    <x v="1"/>
    <x v="2"/>
    <x v="3"/>
    <s v="FinA"/>
    <x v="6"/>
    <x v="7"/>
    <s v="GNR_RES_WTR_NOPMP_MC-04"/>
    <x v="0"/>
    <x v="6"/>
    <n v="156.94999999999999"/>
    <n v="57286.75"/>
    <n v="206232.3"/>
  </r>
  <r>
    <x v="0"/>
    <x v="1"/>
    <x v="1"/>
    <x v="2"/>
    <x v="3"/>
    <s v="FinA"/>
    <x v="6"/>
    <x v="7"/>
    <s v="GNR_RES_WTR_NOPMP_MC-04"/>
    <x v="0"/>
    <x v="7"/>
    <n v="156.94999999999999"/>
    <n v="57286.75"/>
    <n v="206232.3"/>
  </r>
  <r>
    <x v="0"/>
    <x v="1"/>
    <x v="1"/>
    <x v="2"/>
    <x v="3"/>
    <s v="FinA"/>
    <x v="6"/>
    <x v="7"/>
    <s v="GNR_RES_WTR_NOPMP_MC-04"/>
    <x v="0"/>
    <x v="8"/>
    <n v="156.94999999999999"/>
    <n v="57286.75"/>
    <n v="206232.3"/>
  </r>
  <r>
    <x v="0"/>
    <x v="1"/>
    <x v="1"/>
    <x v="2"/>
    <x v="3"/>
    <s v="FinA"/>
    <x v="6"/>
    <x v="7"/>
    <s v="GNR_RES_WTR_NOPMP_MC-04"/>
    <x v="0"/>
    <x v="9"/>
    <n v="156.94999999999999"/>
    <n v="57286.75"/>
    <n v="206232.3"/>
  </r>
  <r>
    <x v="0"/>
    <x v="1"/>
    <x v="1"/>
    <x v="2"/>
    <x v="3"/>
    <s v="FinA"/>
    <x v="6"/>
    <x v="7"/>
    <s v="GNR_RES_WTR_NOPMP_MC-04"/>
    <x v="0"/>
    <x v="10"/>
    <n v="156.94999999999999"/>
    <n v="57286.75"/>
    <n v="206232.3"/>
  </r>
  <r>
    <x v="0"/>
    <x v="1"/>
    <x v="1"/>
    <x v="2"/>
    <x v="3"/>
    <s v="FinA"/>
    <x v="6"/>
    <x v="7"/>
    <s v="GNR_RES_WTR_NOPMP_MC-04"/>
    <x v="0"/>
    <x v="11"/>
    <n v="156.94999999999999"/>
    <n v="57286.75"/>
    <n v="206232.3"/>
  </r>
  <r>
    <x v="0"/>
    <x v="1"/>
    <x v="1"/>
    <x v="2"/>
    <x v="3"/>
    <s v="FinA"/>
    <x v="6"/>
    <x v="7"/>
    <s v="GNR_RES_WTR_NOPMP_MC-04"/>
    <x v="0"/>
    <x v="12"/>
    <n v="156.94999999999999"/>
    <n v="57286.75"/>
    <n v="206232.3"/>
  </r>
  <r>
    <x v="0"/>
    <x v="1"/>
    <x v="1"/>
    <x v="2"/>
    <x v="3"/>
    <s v="FinA"/>
    <x v="6"/>
    <x v="7"/>
    <s v="GNR_RES_WTR_NOPMP_MC-04"/>
    <x v="0"/>
    <x v="13"/>
    <n v="156.94999999999999"/>
    <n v="57286.75"/>
    <n v="206232.3"/>
  </r>
  <r>
    <x v="0"/>
    <x v="1"/>
    <x v="1"/>
    <x v="2"/>
    <x v="3"/>
    <s v="FinA"/>
    <x v="6"/>
    <x v="7"/>
    <s v="GNR_RES_WTR_NOPMP_MC-04"/>
    <x v="0"/>
    <x v="14"/>
    <n v="156.94999999999999"/>
    <n v="57286.75"/>
    <n v="206232.3"/>
  </r>
  <r>
    <x v="0"/>
    <x v="1"/>
    <x v="1"/>
    <x v="2"/>
    <x v="3"/>
    <s v="FinA"/>
    <x v="6"/>
    <x v="7"/>
    <s v="GNR_RES_WTR_NOPMP_MC-04"/>
    <x v="0"/>
    <x v="15"/>
    <n v="156.94999999999999"/>
    <n v="57286.75"/>
    <n v="206232.3"/>
  </r>
  <r>
    <x v="0"/>
    <x v="1"/>
    <x v="1"/>
    <x v="2"/>
    <x v="3"/>
    <s v="FinA"/>
    <x v="6"/>
    <x v="7"/>
    <s v="GNR_RES_WTR_NOPMP_MC-04"/>
    <x v="0"/>
    <x v="16"/>
    <n v="156.94999999999999"/>
    <n v="57286.75"/>
    <n v="206232.3"/>
  </r>
  <r>
    <x v="0"/>
    <x v="1"/>
    <x v="1"/>
    <x v="2"/>
    <x v="3"/>
    <s v="FinA"/>
    <x v="6"/>
    <x v="7"/>
    <s v="GNR_RES_WTR_NOPMP_MC-04"/>
    <x v="0"/>
    <x v="17"/>
    <n v="156.94999999999999"/>
    <n v="57286.75"/>
    <n v="206232.3"/>
  </r>
  <r>
    <x v="0"/>
    <x v="1"/>
    <x v="1"/>
    <x v="2"/>
    <x v="3"/>
    <s v="FinA"/>
    <x v="6"/>
    <x v="7"/>
    <s v="GNR_RES_WTR_NOPMP_MC-04"/>
    <x v="0"/>
    <x v="19"/>
    <n v="156.94999999999999"/>
    <n v="57286.75"/>
    <n v="206232.3"/>
  </r>
  <r>
    <x v="0"/>
    <x v="1"/>
    <x v="1"/>
    <x v="2"/>
    <x v="3"/>
    <s v="FinA"/>
    <x v="6"/>
    <x v="7"/>
    <s v="GNR_RES_WTR_NOPMP_MC-04"/>
    <x v="0"/>
    <x v="20"/>
    <n v="156.94999999999999"/>
    <n v="57286.75"/>
    <n v="206232.3"/>
  </r>
  <r>
    <x v="0"/>
    <x v="1"/>
    <x v="1"/>
    <x v="2"/>
    <x v="3"/>
    <s v="FinA"/>
    <x v="6"/>
    <x v="7"/>
    <s v="GNR_RES_WTR_NOPMP_MC-04"/>
    <x v="0"/>
    <x v="21"/>
    <n v="156.94999999999999"/>
    <n v="57286.75"/>
    <n v="206232.3"/>
  </r>
  <r>
    <x v="0"/>
    <x v="1"/>
    <x v="1"/>
    <x v="2"/>
    <x v="3"/>
    <s v="FinA"/>
    <x v="6"/>
    <x v="7"/>
    <s v="GNR_RES_WTR_NOPMP_MC-04"/>
    <x v="0"/>
    <x v="22"/>
    <n v="156.94999999999999"/>
    <n v="57286.75"/>
    <n v="206232.3"/>
  </r>
  <r>
    <x v="0"/>
    <x v="1"/>
    <x v="1"/>
    <x v="2"/>
    <x v="3"/>
    <s v="FinA"/>
    <x v="6"/>
    <x v="7"/>
    <s v="GNR_RES_WTR_NOPMP_MC-05"/>
    <x v="0"/>
    <x v="3"/>
    <n v="156.94999999999999"/>
    <n v="57286.75"/>
    <n v="206232.3"/>
  </r>
  <r>
    <x v="0"/>
    <x v="1"/>
    <x v="1"/>
    <x v="2"/>
    <x v="3"/>
    <s v="FinA"/>
    <x v="6"/>
    <x v="7"/>
    <s v="GNR_RES_WTR_NOPMP_MC-05"/>
    <x v="0"/>
    <x v="4"/>
    <n v="156.94999999999999"/>
    <n v="57286.75"/>
    <n v="206232.3"/>
  </r>
  <r>
    <x v="0"/>
    <x v="1"/>
    <x v="1"/>
    <x v="2"/>
    <x v="3"/>
    <s v="FinA"/>
    <x v="6"/>
    <x v="7"/>
    <s v="GNR_RES_WTR_NOPMP_MC-05"/>
    <x v="0"/>
    <x v="5"/>
    <n v="156.94999999999999"/>
    <n v="57286.75"/>
    <n v="206232.3"/>
  </r>
  <r>
    <x v="0"/>
    <x v="1"/>
    <x v="1"/>
    <x v="2"/>
    <x v="3"/>
    <s v="FinA"/>
    <x v="6"/>
    <x v="7"/>
    <s v="GNR_RES_WTR_NOPMP_MC-05"/>
    <x v="0"/>
    <x v="6"/>
    <n v="156.94999999999999"/>
    <n v="57286.75"/>
    <n v="206232.3"/>
  </r>
  <r>
    <x v="0"/>
    <x v="1"/>
    <x v="1"/>
    <x v="2"/>
    <x v="3"/>
    <s v="FinA"/>
    <x v="6"/>
    <x v="7"/>
    <s v="GNR_RES_WTR_NOPMP_MC-05"/>
    <x v="0"/>
    <x v="7"/>
    <n v="156.94999999999999"/>
    <n v="57286.75"/>
    <n v="206232.3"/>
  </r>
  <r>
    <x v="0"/>
    <x v="1"/>
    <x v="1"/>
    <x v="2"/>
    <x v="3"/>
    <s v="FinA"/>
    <x v="6"/>
    <x v="7"/>
    <s v="GNR_RES_WTR_NOPMP_MC-05"/>
    <x v="0"/>
    <x v="8"/>
    <n v="156.94999999999999"/>
    <n v="57286.75"/>
    <n v="206232.3"/>
  </r>
  <r>
    <x v="0"/>
    <x v="1"/>
    <x v="1"/>
    <x v="2"/>
    <x v="3"/>
    <s v="FinA"/>
    <x v="6"/>
    <x v="7"/>
    <s v="GNR_RES_WTR_NOPMP_MC-05"/>
    <x v="0"/>
    <x v="9"/>
    <n v="156.94999999999999"/>
    <n v="57286.75"/>
    <n v="206232.3"/>
  </r>
  <r>
    <x v="0"/>
    <x v="1"/>
    <x v="1"/>
    <x v="2"/>
    <x v="3"/>
    <s v="FinA"/>
    <x v="6"/>
    <x v="7"/>
    <s v="GNR_RES_WTR_NOPMP_MC-05"/>
    <x v="0"/>
    <x v="10"/>
    <n v="156.94999999999999"/>
    <n v="57286.75"/>
    <n v="206232.3"/>
  </r>
  <r>
    <x v="0"/>
    <x v="1"/>
    <x v="1"/>
    <x v="2"/>
    <x v="3"/>
    <s v="FinA"/>
    <x v="6"/>
    <x v="7"/>
    <s v="GNR_RES_WTR_NOPMP_MC-05"/>
    <x v="0"/>
    <x v="11"/>
    <n v="156.94999999999999"/>
    <n v="57286.75"/>
    <n v="206232.3"/>
  </r>
  <r>
    <x v="0"/>
    <x v="1"/>
    <x v="1"/>
    <x v="2"/>
    <x v="3"/>
    <s v="FinA"/>
    <x v="6"/>
    <x v="7"/>
    <s v="GNR_RES_WTR_NOPMP_MC-05"/>
    <x v="0"/>
    <x v="12"/>
    <n v="156.94999999999999"/>
    <n v="57286.75"/>
    <n v="206232.3"/>
  </r>
  <r>
    <x v="0"/>
    <x v="1"/>
    <x v="1"/>
    <x v="2"/>
    <x v="3"/>
    <s v="FinA"/>
    <x v="6"/>
    <x v="7"/>
    <s v="GNR_RES_WTR_NOPMP_MC-05"/>
    <x v="0"/>
    <x v="13"/>
    <n v="156.94999999999999"/>
    <n v="57286.75"/>
    <n v="206232.3"/>
  </r>
  <r>
    <x v="0"/>
    <x v="1"/>
    <x v="1"/>
    <x v="2"/>
    <x v="3"/>
    <s v="FinA"/>
    <x v="6"/>
    <x v="7"/>
    <s v="GNR_RES_WTR_NOPMP_MC-05"/>
    <x v="0"/>
    <x v="14"/>
    <n v="156.94999999999999"/>
    <n v="57286.75"/>
    <n v="206232.3"/>
  </r>
  <r>
    <x v="0"/>
    <x v="1"/>
    <x v="1"/>
    <x v="2"/>
    <x v="3"/>
    <s v="FinA"/>
    <x v="6"/>
    <x v="7"/>
    <s v="GNR_RES_WTR_NOPMP_MC-05"/>
    <x v="0"/>
    <x v="15"/>
    <n v="156.94999999999999"/>
    <n v="57286.75"/>
    <n v="206232.3"/>
  </r>
  <r>
    <x v="0"/>
    <x v="1"/>
    <x v="1"/>
    <x v="2"/>
    <x v="3"/>
    <s v="FinA"/>
    <x v="6"/>
    <x v="7"/>
    <s v="GNR_RES_WTR_NOPMP_MC-05"/>
    <x v="0"/>
    <x v="16"/>
    <n v="156.94999999999999"/>
    <n v="57286.75"/>
    <n v="206232.3"/>
  </r>
  <r>
    <x v="0"/>
    <x v="1"/>
    <x v="1"/>
    <x v="2"/>
    <x v="3"/>
    <s v="FinA"/>
    <x v="6"/>
    <x v="7"/>
    <s v="GNR_RES_WTR_NOPMP_MC-05"/>
    <x v="0"/>
    <x v="17"/>
    <n v="156.94999999999999"/>
    <n v="57286.75"/>
    <n v="206232.3"/>
  </r>
  <r>
    <x v="0"/>
    <x v="1"/>
    <x v="1"/>
    <x v="2"/>
    <x v="3"/>
    <s v="FinA"/>
    <x v="6"/>
    <x v="7"/>
    <s v="GNR_RES_WTR_NOPMP_MC-05"/>
    <x v="0"/>
    <x v="19"/>
    <n v="156.94999999999999"/>
    <n v="57286.75"/>
    <n v="206232.3"/>
  </r>
  <r>
    <x v="0"/>
    <x v="1"/>
    <x v="1"/>
    <x v="2"/>
    <x v="3"/>
    <s v="FinA"/>
    <x v="6"/>
    <x v="7"/>
    <s v="GNR_RES_WTR_NOPMP_MC-05"/>
    <x v="0"/>
    <x v="20"/>
    <n v="156.94999999999999"/>
    <n v="57286.75"/>
    <n v="206232.3"/>
  </r>
  <r>
    <x v="0"/>
    <x v="1"/>
    <x v="1"/>
    <x v="2"/>
    <x v="3"/>
    <s v="FinA"/>
    <x v="6"/>
    <x v="7"/>
    <s v="GNR_RES_WTR_NOPMP_MC-05"/>
    <x v="0"/>
    <x v="21"/>
    <n v="156.94999999999999"/>
    <n v="57286.75"/>
    <n v="206232.3"/>
  </r>
  <r>
    <x v="0"/>
    <x v="1"/>
    <x v="1"/>
    <x v="2"/>
    <x v="3"/>
    <s v="FinA"/>
    <x v="6"/>
    <x v="7"/>
    <s v="GNR_RES_WTR_NOPMP_MC-05"/>
    <x v="0"/>
    <x v="22"/>
    <n v="62.044336596616603"/>
    <n v="22646.182857765099"/>
    <n v="81526.258287954304"/>
  </r>
  <r>
    <x v="0"/>
    <x v="1"/>
    <x v="1"/>
    <x v="2"/>
    <x v="3"/>
    <s v="FinA"/>
    <x v="6"/>
    <x v="7"/>
    <s v="GNR_RES_WTR_NOPMP_MC-06"/>
    <x v="0"/>
    <x v="3"/>
    <n v="156.94999999999999"/>
    <n v="57286.75"/>
    <n v="206232.3"/>
  </r>
  <r>
    <x v="0"/>
    <x v="1"/>
    <x v="1"/>
    <x v="2"/>
    <x v="3"/>
    <s v="FinA"/>
    <x v="6"/>
    <x v="7"/>
    <s v="GNR_RES_WTR_NOPMP_MC-06"/>
    <x v="0"/>
    <x v="4"/>
    <n v="156.94999999999999"/>
    <n v="57286.75"/>
    <n v="206232.3"/>
  </r>
  <r>
    <x v="0"/>
    <x v="1"/>
    <x v="1"/>
    <x v="2"/>
    <x v="3"/>
    <s v="FinA"/>
    <x v="6"/>
    <x v="7"/>
    <s v="GNR_RES_WTR_NOPMP_MC-06"/>
    <x v="0"/>
    <x v="5"/>
    <n v="156.94999999999999"/>
    <n v="57286.75"/>
    <n v="206232.3"/>
  </r>
  <r>
    <x v="0"/>
    <x v="1"/>
    <x v="1"/>
    <x v="2"/>
    <x v="3"/>
    <s v="FinA"/>
    <x v="6"/>
    <x v="7"/>
    <s v="GNR_RES_WTR_NOPMP_MC-06"/>
    <x v="0"/>
    <x v="6"/>
    <n v="156.94999999999999"/>
    <n v="57286.75"/>
    <n v="206232.3"/>
  </r>
  <r>
    <x v="0"/>
    <x v="1"/>
    <x v="1"/>
    <x v="2"/>
    <x v="3"/>
    <s v="FinA"/>
    <x v="6"/>
    <x v="7"/>
    <s v="GNR_RES_WTR_NOPMP_MC-06"/>
    <x v="0"/>
    <x v="7"/>
    <n v="156.94999999999999"/>
    <n v="57286.75"/>
    <n v="206232.3"/>
  </r>
  <r>
    <x v="0"/>
    <x v="1"/>
    <x v="1"/>
    <x v="2"/>
    <x v="3"/>
    <s v="FinA"/>
    <x v="6"/>
    <x v="7"/>
    <s v="GNR_RES_WTR_NOPMP_MC-06"/>
    <x v="0"/>
    <x v="8"/>
    <n v="156.94999999999999"/>
    <n v="57286.75"/>
    <n v="206232.3"/>
  </r>
  <r>
    <x v="0"/>
    <x v="1"/>
    <x v="1"/>
    <x v="2"/>
    <x v="3"/>
    <s v="FinA"/>
    <x v="6"/>
    <x v="7"/>
    <s v="GNR_RES_WTR_NOPMP_MC-06"/>
    <x v="0"/>
    <x v="9"/>
    <n v="156.94999999999999"/>
    <n v="57286.75"/>
    <n v="206232.3"/>
  </r>
  <r>
    <x v="0"/>
    <x v="1"/>
    <x v="1"/>
    <x v="2"/>
    <x v="3"/>
    <s v="FinA"/>
    <x v="6"/>
    <x v="7"/>
    <s v="GNR_RES_WTR_NOPMP_MC-06"/>
    <x v="0"/>
    <x v="10"/>
    <n v="156.94999999999999"/>
    <n v="57286.75"/>
    <n v="206232.3"/>
  </r>
  <r>
    <x v="0"/>
    <x v="1"/>
    <x v="1"/>
    <x v="2"/>
    <x v="3"/>
    <s v="FinA"/>
    <x v="6"/>
    <x v="7"/>
    <s v="GNR_RES_WTR_NOPMP_MC-06"/>
    <x v="0"/>
    <x v="11"/>
    <n v="156.94999999999999"/>
    <n v="57286.75"/>
    <n v="206232.3"/>
  </r>
  <r>
    <x v="0"/>
    <x v="1"/>
    <x v="1"/>
    <x v="2"/>
    <x v="3"/>
    <s v="FinA"/>
    <x v="6"/>
    <x v="7"/>
    <s v="GNR_RES_WTR_NOPMP_MC-06"/>
    <x v="0"/>
    <x v="12"/>
    <n v="156.94999999999999"/>
    <n v="57286.75"/>
    <n v="206232.3"/>
  </r>
  <r>
    <x v="0"/>
    <x v="1"/>
    <x v="1"/>
    <x v="2"/>
    <x v="3"/>
    <s v="FinA"/>
    <x v="6"/>
    <x v="7"/>
    <s v="GNR_RES_WTR_NOPMP_MC-06"/>
    <x v="0"/>
    <x v="13"/>
    <n v="156.94999999999999"/>
    <n v="57286.75"/>
    <n v="206232.3"/>
  </r>
  <r>
    <x v="0"/>
    <x v="1"/>
    <x v="1"/>
    <x v="2"/>
    <x v="3"/>
    <s v="FinA"/>
    <x v="6"/>
    <x v="7"/>
    <s v="GNR_RES_WTR_NOPMP_MC-06"/>
    <x v="0"/>
    <x v="14"/>
    <n v="156.94999999999999"/>
    <n v="57286.75"/>
    <n v="206232.3"/>
  </r>
  <r>
    <x v="0"/>
    <x v="1"/>
    <x v="1"/>
    <x v="2"/>
    <x v="3"/>
    <s v="FinA"/>
    <x v="6"/>
    <x v="7"/>
    <s v="GNR_RES_WTR_NOPMP_MC-06"/>
    <x v="0"/>
    <x v="15"/>
    <n v="156.94999999999999"/>
    <n v="57286.75"/>
    <n v="206232.3"/>
  </r>
  <r>
    <x v="0"/>
    <x v="1"/>
    <x v="1"/>
    <x v="2"/>
    <x v="3"/>
    <s v="FinA"/>
    <x v="6"/>
    <x v="7"/>
    <s v="GNR_RES_WTR_NOPMP_MC-06"/>
    <x v="0"/>
    <x v="16"/>
    <n v="156.94999999999999"/>
    <n v="57286.75"/>
    <n v="206232.3"/>
  </r>
  <r>
    <x v="0"/>
    <x v="1"/>
    <x v="1"/>
    <x v="2"/>
    <x v="3"/>
    <s v="FinA"/>
    <x v="6"/>
    <x v="7"/>
    <s v="GNR_RES_WTR_NOPMP_MC-06"/>
    <x v="0"/>
    <x v="17"/>
    <n v="156.94999999999999"/>
    <n v="57286.75"/>
    <n v="206232.3"/>
  </r>
  <r>
    <x v="0"/>
    <x v="1"/>
    <x v="1"/>
    <x v="2"/>
    <x v="3"/>
    <s v="FinA"/>
    <x v="6"/>
    <x v="7"/>
    <s v="GNR_RES_WTR_NOPMP_MC-06"/>
    <x v="0"/>
    <x v="19"/>
    <n v="156.94999999999999"/>
    <n v="57286.75"/>
    <n v="206232.3"/>
  </r>
  <r>
    <x v="0"/>
    <x v="1"/>
    <x v="1"/>
    <x v="2"/>
    <x v="3"/>
    <s v="FinA"/>
    <x v="6"/>
    <x v="7"/>
    <s v="GNR_RES_WTR_NOPMP_MC-06"/>
    <x v="0"/>
    <x v="20"/>
    <n v="86.230704633159107"/>
    <n v="31474.207191103102"/>
    <n v="113307.145887971"/>
  </r>
  <r>
    <x v="0"/>
    <x v="1"/>
    <x v="1"/>
    <x v="2"/>
    <x v="3"/>
    <s v="FinA"/>
    <x v="6"/>
    <x v="7"/>
    <s v="GNR_RES_WTR_NOPMP_MC-06"/>
    <x v="0"/>
    <x v="21"/>
    <n v="156.94999999999999"/>
    <n v="57286.75"/>
    <n v="206232.3"/>
  </r>
  <r>
    <x v="0"/>
    <x v="1"/>
    <x v="1"/>
    <x v="2"/>
    <x v="3"/>
    <s v="FinA"/>
    <x v="6"/>
    <x v="7"/>
    <s v="GNR_RES_WTR_NOPMP_MC-07"/>
    <x v="0"/>
    <x v="5"/>
    <n v="156.94999999999999"/>
    <n v="57286.75"/>
    <n v="206232.3"/>
  </r>
  <r>
    <x v="0"/>
    <x v="1"/>
    <x v="1"/>
    <x v="2"/>
    <x v="3"/>
    <s v="FinA"/>
    <x v="6"/>
    <x v="7"/>
    <s v="GNR_RES_WTR_NOPMP_MC-07"/>
    <x v="0"/>
    <x v="6"/>
    <n v="156.94999999999999"/>
    <n v="57286.75"/>
    <n v="206232.3"/>
  </r>
  <r>
    <x v="0"/>
    <x v="1"/>
    <x v="1"/>
    <x v="2"/>
    <x v="3"/>
    <s v="FinA"/>
    <x v="6"/>
    <x v="7"/>
    <s v="GNR_RES_WTR_NOPMP_MC-07"/>
    <x v="0"/>
    <x v="7"/>
    <n v="156.94999999999999"/>
    <n v="57286.75"/>
    <n v="206232.3"/>
  </r>
  <r>
    <x v="0"/>
    <x v="1"/>
    <x v="1"/>
    <x v="2"/>
    <x v="3"/>
    <s v="FinA"/>
    <x v="6"/>
    <x v="7"/>
    <s v="GNR_RES_WTR_NOPMP_MC-07"/>
    <x v="0"/>
    <x v="8"/>
    <n v="156.94999999999999"/>
    <n v="57286.75"/>
    <n v="206232.3"/>
  </r>
  <r>
    <x v="0"/>
    <x v="1"/>
    <x v="1"/>
    <x v="2"/>
    <x v="3"/>
    <s v="FinA"/>
    <x v="6"/>
    <x v="7"/>
    <s v="GNR_RES_WTR_NOPMP_MC-07"/>
    <x v="0"/>
    <x v="9"/>
    <n v="156.94999999999999"/>
    <n v="57286.75"/>
    <n v="206232.3"/>
  </r>
  <r>
    <x v="0"/>
    <x v="1"/>
    <x v="1"/>
    <x v="2"/>
    <x v="3"/>
    <s v="FinA"/>
    <x v="6"/>
    <x v="7"/>
    <s v="GNR_RES_WTR_NOPMP_MC-07"/>
    <x v="0"/>
    <x v="10"/>
    <n v="156.94999999999999"/>
    <n v="57286.75"/>
    <n v="206232.3"/>
  </r>
  <r>
    <x v="0"/>
    <x v="1"/>
    <x v="1"/>
    <x v="2"/>
    <x v="3"/>
    <s v="FinA"/>
    <x v="6"/>
    <x v="7"/>
    <s v="GNR_RES_WTR_NOPMP_MC-07"/>
    <x v="0"/>
    <x v="11"/>
    <n v="156.94999999999999"/>
    <n v="57286.75"/>
    <n v="206232.3"/>
  </r>
  <r>
    <x v="0"/>
    <x v="1"/>
    <x v="1"/>
    <x v="2"/>
    <x v="3"/>
    <s v="FinA"/>
    <x v="6"/>
    <x v="7"/>
    <s v="GNR_RES_WTR_NOPMP_MC-07"/>
    <x v="0"/>
    <x v="12"/>
    <n v="156.94999999999999"/>
    <n v="57286.75"/>
    <n v="206232.3"/>
  </r>
  <r>
    <x v="0"/>
    <x v="1"/>
    <x v="1"/>
    <x v="2"/>
    <x v="3"/>
    <s v="FinA"/>
    <x v="6"/>
    <x v="7"/>
    <s v="GNR_RES_WTR_NOPMP_MC-07"/>
    <x v="0"/>
    <x v="13"/>
    <n v="156.94999999999999"/>
    <n v="57286.75"/>
    <n v="206232.3"/>
  </r>
  <r>
    <x v="0"/>
    <x v="1"/>
    <x v="1"/>
    <x v="2"/>
    <x v="3"/>
    <s v="FinA"/>
    <x v="6"/>
    <x v="7"/>
    <s v="GNR_RES_WTR_NOPMP_MC-07"/>
    <x v="0"/>
    <x v="14"/>
    <n v="156.94999999999999"/>
    <n v="57286.75"/>
    <n v="206232.3"/>
  </r>
  <r>
    <x v="0"/>
    <x v="1"/>
    <x v="1"/>
    <x v="2"/>
    <x v="3"/>
    <s v="FinA"/>
    <x v="6"/>
    <x v="7"/>
    <s v="GNR_RES_WTR_NOPMP_MC-07"/>
    <x v="0"/>
    <x v="15"/>
    <n v="156.94999999999999"/>
    <n v="57286.75"/>
    <n v="206232.3"/>
  </r>
  <r>
    <x v="0"/>
    <x v="1"/>
    <x v="1"/>
    <x v="2"/>
    <x v="3"/>
    <s v="FinA"/>
    <x v="6"/>
    <x v="7"/>
    <s v="GNR_RES_WTR_NOPMP_MC-07"/>
    <x v="0"/>
    <x v="16"/>
    <n v="156.94999999999999"/>
    <n v="57286.75"/>
    <n v="206232.3"/>
  </r>
  <r>
    <x v="0"/>
    <x v="1"/>
    <x v="1"/>
    <x v="2"/>
    <x v="3"/>
    <s v="FinA"/>
    <x v="6"/>
    <x v="7"/>
    <s v="GNR_RES_WTR_NOPMP_MC-07"/>
    <x v="0"/>
    <x v="17"/>
    <n v="156.52361584226099"/>
    <n v="57131.119782425201"/>
    <n v="205672.031216731"/>
  </r>
  <r>
    <x v="0"/>
    <x v="1"/>
    <x v="1"/>
    <x v="2"/>
    <x v="3"/>
    <s v="FinA"/>
    <x v="6"/>
    <x v="7"/>
    <s v="GNR_RES_WTR_NOPMP_MC-07"/>
    <x v="0"/>
    <x v="19"/>
    <n v="118.745660135129"/>
    <n v="43342.165949322"/>
    <n v="156031.79741755899"/>
  </r>
  <r>
    <x v="0"/>
    <x v="1"/>
    <x v="1"/>
    <x v="2"/>
    <x v="3"/>
    <s v="FinA"/>
    <x v="6"/>
    <x v="7"/>
    <s v="GNR_RES_WTR_NOPMP_MC-08"/>
    <x v="0"/>
    <x v="5"/>
    <n v="156.94999999999999"/>
    <n v="57286.75"/>
    <n v="206232.3"/>
  </r>
  <r>
    <x v="0"/>
    <x v="1"/>
    <x v="1"/>
    <x v="2"/>
    <x v="3"/>
    <s v="FinA"/>
    <x v="6"/>
    <x v="7"/>
    <s v="GNR_RES_WTR_NOPMP_MC-08"/>
    <x v="0"/>
    <x v="6"/>
    <n v="156.94999999999999"/>
    <n v="57286.75"/>
    <n v="206232.3"/>
  </r>
  <r>
    <x v="0"/>
    <x v="1"/>
    <x v="1"/>
    <x v="2"/>
    <x v="3"/>
    <s v="FinA"/>
    <x v="6"/>
    <x v="7"/>
    <s v="GNR_RES_WTR_NOPMP_MC-08"/>
    <x v="0"/>
    <x v="7"/>
    <n v="156.94999999999999"/>
    <n v="57286.75"/>
    <n v="206232.3"/>
  </r>
  <r>
    <x v="0"/>
    <x v="1"/>
    <x v="1"/>
    <x v="2"/>
    <x v="3"/>
    <s v="FinA"/>
    <x v="6"/>
    <x v="7"/>
    <s v="GNR_RES_WTR_NOPMP_MC-08"/>
    <x v="0"/>
    <x v="8"/>
    <n v="156.94999999999999"/>
    <n v="57286.75"/>
    <n v="206232.3"/>
  </r>
  <r>
    <x v="0"/>
    <x v="1"/>
    <x v="1"/>
    <x v="2"/>
    <x v="3"/>
    <s v="FinA"/>
    <x v="6"/>
    <x v="7"/>
    <s v="GNR_RES_WTR_NOPMP_MC-08"/>
    <x v="0"/>
    <x v="9"/>
    <n v="156.94999999999999"/>
    <n v="57286.75"/>
    <n v="206232.3"/>
  </r>
  <r>
    <x v="0"/>
    <x v="1"/>
    <x v="1"/>
    <x v="2"/>
    <x v="3"/>
    <s v="FinA"/>
    <x v="6"/>
    <x v="7"/>
    <s v="GNR_RES_WTR_NOPMP_MC-08"/>
    <x v="0"/>
    <x v="10"/>
    <n v="156.94999999999999"/>
    <n v="57286.75"/>
    <n v="206232.3"/>
  </r>
  <r>
    <x v="0"/>
    <x v="1"/>
    <x v="1"/>
    <x v="2"/>
    <x v="3"/>
    <s v="FinA"/>
    <x v="6"/>
    <x v="7"/>
    <s v="GNR_RES_WTR_NOPMP_MC-08"/>
    <x v="0"/>
    <x v="11"/>
    <n v="156.94999999999999"/>
    <n v="57286.75"/>
    <n v="206232.3"/>
  </r>
  <r>
    <x v="0"/>
    <x v="1"/>
    <x v="1"/>
    <x v="2"/>
    <x v="3"/>
    <s v="FinA"/>
    <x v="6"/>
    <x v="7"/>
    <s v="GNR_RES_WTR_NOPMP_MC-08"/>
    <x v="0"/>
    <x v="15"/>
    <n v="32.255682792839899"/>
    <n v="11773.324219386601"/>
    <n v="42383.967189791598"/>
  </r>
  <r>
    <x v="0"/>
    <x v="1"/>
    <x v="1"/>
    <x v="2"/>
    <x v="3"/>
    <s v="FinA"/>
    <x v="6"/>
    <x v="7"/>
    <s v="GNR_RES_WTR_NOPMP_MC-09"/>
    <x v="0"/>
    <x v="6"/>
    <n v="156.94999999999999"/>
    <n v="57286.75"/>
    <n v="206232.3"/>
  </r>
  <r>
    <x v="0"/>
    <x v="1"/>
    <x v="1"/>
    <x v="2"/>
    <x v="3"/>
    <s v="FinA"/>
    <x v="6"/>
    <x v="7"/>
    <s v="GNR_RES_WTR_NOPMP_MC-09"/>
    <x v="0"/>
    <x v="7"/>
    <n v="156.94999999999999"/>
    <n v="57286.75"/>
    <n v="206232.3"/>
  </r>
  <r>
    <x v="0"/>
    <x v="1"/>
    <x v="1"/>
    <x v="2"/>
    <x v="3"/>
    <s v="FinA"/>
    <x v="6"/>
    <x v="7"/>
    <s v="GNR_RES_WTR_NOPMP_MC-09"/>
    <x v="0"/>
    <x v="8"/>
    <n v="156.94999999999999"/>
    <n v="57286.75"/>
    <n v="206232.3"/>
  </r>
  <r>
    <x v="0"/>
    <x v="1"/>
    <x v="1"/>
    <x v="2"/>
    <x v="3"/>
    <s v="FinA"/>
    <x v="6"/>
    <x v="7"/>
    <s v="GNR_RES_WTR_NOPMP_MC-09"/>
    <x v="0"/>
    <x v="9"/>
    <n v="156.94999999999999"/>
    <n v="57286.75"/>
    <n v="206232.3"/>
  </r>
  <r>
    <x v="0"/>
    <x v="1"/>
    <x v="1"/>
    <x v="2"/>
    <x v="3"/>
    <s v="FinA"/>
    <x v="6"/>
    <x v="7"/>
    <s v="GNR_RES_WTR_NOPMP_MC-10"/>
    <x v="0"/>
    <x v="6"/>
    <n v="156.94999999999999"/>
    <n v="57286.75"/>
    <n v="206232.3"/>
  </r>
  <r>
    <x v="0"/>
    <x v="1"/>
    <x v="1"/>
    <x v="2"/>
    <x v="3"/>
    <s v="FinA"/>
    <x v="6"/>
    <x v="7"/>
    <s v="GNR_RES_WTR_NOPMP_MC-10"/>
    <x v="0"/>
    <x v="7"/>
    <n v="156.94999999999999"/>
    <n v="57286.75"/>
    <n v="206232.3"/>
  </r>
  <r>
    <x v="0"/>
    <x v="1"/>
    <x v="1"/>
    <x v="2"/>
    <x v="3"/>
    <s v="FinA"/>
    <x v="6"/>
    <x v="7"/>
    <s v="GNR_RES_WTR_NOPMP_MC-10"/>
    <x v="0"/>
    <x v="8"/>
    <n v="156.94999999999999"/>
    <n v="57286.75"/>
    <n v="206232.3"/>
  </r>
  <r>
    <x v="0"/>
    <x v="1"/>
    <x v="1"/>
    <x v="2"/>
    <x v="3"/>
    <s v="FinA"/>
    <x v="6"/>
    <x v="4"/>
    <s v="GNR_ROR_WTR"/>
    <x v="0"/>
    <x v="0"/>
    <n v="977.44260584793199"/>
    <n v="356766.55113449501"/>
    <n v="1284359.58408418"/>
  </r>
  <r>
    <x v="0"/>
    <x v="1"/>
    <x v="1"/>
    <x v="2"/>
    <x v="3"/>
    <s v="FinA"/>
    <x v="6"/>
    <x v="4"/>
    <s v="GNR_ROR_WTR"/>
    <x v="0"/>
    <x v="1"/>
    <n v="977.44260584793199"/>
    <n v="356766.55113449501"/>
    <n v="1284359.58408418"/>
  </r>
  <r>
    <x v="0"/>
    <x v="1"/>
    <x v="1"/>
    <x v="2"/>
    <x v="3"/>
    <s v="FinA"/>
    <x v="6"/>
    <x v="4"/>
    <s v="GNR_ROR_WTR"/>
    <x v="0"/>
    <x v="18"/>
    <n v="977.44260584793199"/>
    <n v="356766.55113449501"/>
    <n v="1284359.58408418"/>
  </r>
  <r>
    <x v="0"/>
    <x v="1"/>
    <x v="1"/>
    <x v="2"/>
    <x v="3"/>
    <s v="FinA"/>
    <x v="6"/>
    <x v="4"/>
    <s v="GNR_ROR_WTR"/>
    <x v="0"/>
    <x v="2"/>
    <n v="977.44260584793199"/>
    <n v="356766.55113449501"/>
    <n v="1284359.58408418"/>
  </r>
  <r>
    <x v="0"/>
    <x v="1"/>
    <x v="1"/>
    <x v="2"/>
    <x v="3"/>
    <s v="FinA"/>
    <x v="6"/>
    <x v="4"/>
    <s v="GNR_ROR_WTR"/>
    <x v="0"/>
    <x v="3"/>
    <n v="977.44260584793199"/>
    <n v="356766.55113449501"/>
    <n v="1284359.58408418"/>
  </r>
  <r>
    <x v="0"/>
    <x v="1"/>
    <x v="1"/>
    <x v="2"/>
    <x v="3"/>
    <s v="FinA"/>
    <x v="6"/>
    <x v="4"/>
    <s v="GNR_ROR_WTR"/>
    <x v="0"/>
    <x v="4"/>
    <n v="977.44260584793199"/>
    <n v="356766.55113449501"/>
    <n v="1284359.58408418"/>
  </r>
  <r>
    <x v="0"/>
    <x v="1"/>
    <x v="1"/>
    <x v="2"/>
    <x v="3"/>
    <s v="FinA"/>
    <x v="6"/>
    <x v="4"/>
    <s v="GNR_ROR_WTR"/>
    <x v="0"/>
    <x v="5"/>
    <n v="977.44260584793199"/>
    <n v="356766.55113449501"/>
    <n v="1284359.58408418"/>
  </r>
  <r>
    <x v="0"/>
    <x v="1"/>
    <x v="1"/>
    <x v="2"/>
    <x v="3"/>
    <s v="FinA"/>
    <x v="6"/>
    <x v="4"/>
    <s v="GNR_ROR_WTR"/>
    <x v="0"/>
    <x v="6"/>
    <n v="977.44260584793199"/>
    <n v="356766.55113449501"/>
    <n v="1284359.58408418"/>
  </r>
  <r>
    <x v="0"/>
    <x v="1"/>
    <x v="1"/>
    <x v="2"/>
    <x v="3"/>
    <s v="FinA"/>
    <x v="6"/>
    <x v="4"/>
    <s v="GNR_ROR_WTR"/>
    <x v="0"/>
    <x v="7"/>
    <n v="977.44260584793199"/>
    <n v="356766.55113449501"/>
    <n v="1284359.58408418"/>
  </r>
  <r>
    <x v="0"/>
    <x v="1"/>
    <x v="1"/>
    <x v="2"/>
    <x v="3"/>
    <s v="FinA"/>
    <x v="6"/>
    <x v="4"/>
    <s v="GNR_ROR_WTR"/>
    <x v="0"/>
    <x v="8"/>
    <n v="977.44260584793199"/>
    <n v="356766.55113449501"/>
    <n v="1284359.58408418"/>
  </r>
  <r>
    <x v="0"/>
    <x v="1"/>
    <x v="1"/>
    <x v="2"/>
    <x v="3"/>
    <s v="FinA"/>
    <x v="6"/>
    <x v="4"/>
    <s v="GNR_ROR_WTR"/>
    <x v="0"/>
    <x v="9"/>
    <n v="977.44260584793199"/>
    <n v="356766.55113449501"/>
    <n v="1284359.58408418"/>
  </r>
  <r>
    <x v="0"/>
    <x v="1"/>
    <x v="1"/>
    <x v="2"/>
    <x v="3"/>
    <s v="FinA"/>
    <x v="6"/>
    <x v="4"/>
    <s v="GNR_ROR_WTR"/>
    <x v="0"/>
    <x v="10"/>
    <n v="977.44260584793199"/>
    <n v="356766.55113449501"/>
    <n v="1284359.58408418"/>
  </r>
  <r>
    <x v="0"/>
    <x v="1"/>
    <x v="1"/>
    <x v="2"/>
    <x v="3"/>
    <s v="FinA"/>
    <x v="6"/>
    <x v="4"/>
    <s v="GNR_ROR_WTR"/>
    <x v="0"/>
    <x v="11"/>
    <n v="977.44260584793199"/>
    <n v="356766.55113449501"/>
    <n v="1284359.58408418"/>
  </r>
  <r>
    <x v="0"/>
    <x v="1"/>
    <x v="1"/>
    <x v="2"/>
    <x v="3"/>
    <s v="FinA"/>
    <x v="6"/>
    <x v="4"/>
    <s v="GNR_ROR_WTR"/>
    <x v="0"/>
    <x v="12"/>
    <n v="977.44260584793199"/>
    <n v="356766.55113449501"/>
    <n v="1284359.58408418"/>
  </r>
  <r>
    <x v="0"/>
    <x v="1"/>
    <x v="1"/>
    <x v="2"/>
    <x v="3"/>
    <s v="FinA"/>
    <x v="6"/>
    <x v="4"/>
    <s v="GNR_ROR_WTR"/>
    <x v="0"/>
    <x v="13"/>
    <n v="977.44260584793199"/>
    <n v="356766.55113449501"/>
    <n v="1284359.58408418"/>
  </r>
  <r>
    <x v="0"/>
    <x v="1"/>
    <x v="1"/>
    <x v="2"/>
    <x v="3"/>
    <s v="FinA"/>
    <x v="6"/>
    <x v="4"/>
    <s v="GNR_ROR_WTR"/>
    <x v="0"/>
    <x v="14"/>
    <n v="977.44260584793199"/>
    <n v="356766.55113449501"/>
    <n v="1284359.58408418"/>
  </r>
  <r>
    <x v="0"/>
    <x v="1"/>
    <x v="1"/>
    <x v="2"/>
    <x v="3"/>
    <s v="FinA"/>
    <x v="6"/>
    <x v="4"/>
    <s v="GNR_ROR_WTR"/>
    <x v="0"/>
    <x v="15"/>
    <n v="977.44260584793199"/>
    <n v="356766.55113449501"/>
    <n v="1284359.58408418"/>
  </r>
  <r>
    <x v="0"/>
    <x v="1"/>
    <x v="1"/>
    <x v="2"/>
    <x v="3"/>
    <s v="FinA"/>
    <x v="6"/>
    <x v="4"/>
    <s v="GNR_ROR_WTR"/>
    <x v="0"/>
    <x v="16"/>
    <n v="977.44260584793199"/>
    <n v="356766.55113449501"/>
    <n v="1284359.58408418"/>
  </r>
  <r>
    <x v="0"/>
    <x v="1"/>
    <x v="1"/>
    <x v="2"/>
    <x v="3"/>
    <s v="FinA"/>
    <x v="6"/>
    <x v="4"/>
    <s v="GNR_ROR_WTR"/>
    <x v="0"/>
    <x v="17"/>
    <n v="977.44260584793199"/>
    <n v="356766.55113449501"/>
    <n v="1284359.58408418"/>
  </r>
  <r>
    <x v="0"/>
    <x v="1"/>
    <x v="1"/>
    <x v="2"/>
    <x v="3"/>
    <s v="FinA"/>
    <x v="6"/>
    <x v="4"/>
    <s v="GNR_ROR_WTR"/>
    <x v="0"/>
    <x v="19"/>
    <n v="977.44260584793199"/>
    <n v="356766.55113449501"/>
    <n v="1284359.58408418"/>
  </r>
  <r>
    <x v="0"/>
    <x v="1"/>
    <x v="1"/>
    <x v="2"/>
    <x v="3"/>
    <s v="FinA"/>
    <x v="6"/>
    <x v="4"/>
    <s v="GNR_ROR_WTR"/>
    <x v="0"/>
    <x v="20"/>
    <n v="977.44260584793199"/>
    <n v="356766.55113449501"/>
    <n v="1284359.58408418"/>
  </r>
  <r>
    <x v="0"/>
    <x v="1"/>
    <x v="1"/>
    <x v="2"/>
    <x v="3"/>
    <s v="FinA"/>
    <x v="6"/>
    <x v="4"/>
    <s v="GNR_ROR_WTR"/>
    <x v="0"/>
    <x v="21"/>
    <n v="977.44260584793199"/>
    <n v="356766.55113449501"/>
    <n v="1284359.58408418"/>
  </r>
  <r>
    <x v="0"/>
    <x v="1"/>
    <x v="1"/>
    <x v="2"/>
    <x v="3"/>
    <s v="FinA"/>
    <x v="6"/>
    <x v="4"/>
    <s v="GNR_ROR_WTR"/>
    <x v="0"/>
    <x v="22"/>
    <n v="977.44260584793199"/>
    <n v="356766.55113449501"/>
    <n v="1284359.58408418"/>
  </r>
  <r>
    <x v="0"/>
    <x v="1"/>
    <x v="1"/>
    <x v="2"/>
    <x v="3"/>
    <s v="FinA"/>
    <x v="6"/>
    <x v="4"/>
    <s v="GNR_ROR_WTR"/>
    <x v="0"/>
    <x v="23"/>
    <n v="977.44260584793199"/>
    <n v="356766.55113449501"/>
    <n v="1284359.58408418"/>
  </r>
  <r>
    <x v="0"/>
    <x v="1"/>
    <x v="1"/>
    <x v="2"/>
    <x v="3"/>
    <s v="FinA"/>
    <x v="7"/>
    <x v="5"/>
    <s v="GNR_WT_WIND_ONS"/>
    <x v="0"/>
    <x v="0"/>
    <n v="861.57213943915599"/>
    <n v="314473.83089529199"/>
    <n v="1132105.7912230501"/>
  </r>
  <r>
    <x v="0"/>
    <x v="1"/>
    <x v="1"/>
    <x v="2"/>
    <x v="3"/>
    <s v="FinA"/>
    <x v="7"/>
    <x v="5"/>
    <s v="GNR_WT_WIND_ONS"/>
    <x v="0"/>
    <x v="1"/>
    <n v="796.23824105370795"/>
    <n v="290626.95798460301"/>
    <n v="1046257.04874457"/>
  </r>
  <r>
    <x v="0"/>
    <x v="1"/>
    <x v="1"/>
    <x v="2"/>
    <x v="3"/>
    <s v="FinA"/>
    <x v="7"/>
    <x v="5"/>
    <s v="GNR_WT_WIND_ONS"/>
    <x v="0"/>
    <x v="18"/>
    <n v="815.62958075715096"/>
    <n v="297704.79697636003"/>
    <n v="1071737.2691148999"/>
  </r>
  <r>
    <x v="0"/>
    <x v="1"/>
    <x v="1"/>
    <x v="2"/>
    <x v="3"/>
    <s v="FinA"/>
    <x v="7"/>
    <x v="5"/>
    <s v="GNR_WT_WIND_ONS"/>
    <x v="0"/>
    <x v="2"/>
    <n v="606.45882193407203"/>
    <n v="221357.47000593599"/>
    <n v="796886.89202137"/>
  </r>
  <r>
    <x v="0"/>
    <x v="1"/>
    <x v="1"/>
    <x v="2"/>
    <x v="3"/>
    <s v="FinA"/>
    <x v="7"/>
    <x v="5"/>
    <s v="GNR_WT_WIND_ONS"/>
    <x v="0"/>
    <x v="3"/>
    <n v="600.32178255539895"/>
    <n v="219117.45063272101"/>
    <n v="788822.82227779506"/>
  </r>
  <r>
    <x v="0"/>
    <x v="1"/>
    <x v="1"/>
    <x v="2"/>
    <x v="3"/>
    <s v="FinA"/>
    <x v="7"/>
    <x v="5"/>
    <s v="GNR_WT_WIND_ONS"/>
    <x v="0"/>
    <x v="4"/>
    <n v="699.87819914274905"/>
    <n v="255455.542687104"/>
    <n v="919639.95367357298"/>
  </r>
  <r>
    <x v="0"/>
    <x v="1"/>
    <x v="1"/>
    <x v="2"/>
    <x v="3"/>
    <s v="FinA"/>
    <x v="7"/>
    <x v="5"/>
    <s v="GNR_WT_WIND_ONS"/>
    <x v="0"/>
    <x v="5"/>
    <n v="796.92013431800501"/>
    <n v="290875.84902607201"/>
    <n v="1047153.05649386"/>
  </r>
  <r>
    <x v="0"/>
    <x v="1"/>
    <x v="1"/>
    <x v="2"/>
    <x v="3"/>
    <s v="FinA"/>
    <x v="7"/>
    <x v="5"/>
    <s v="GNR_WT_WIND_ONS"/>
    <x v="0"/>
    <x v="6"/>
    <n v="777.86974124670905"/>
    <n v="283922.455555049"/>
    <n v="1022120.83999818"/>
  </r>
  <r>
    <x v="0"/>
    <x v="1"/>
    <x v="1"/>
    <x v="2"/>
    <x v="3"/>
    <s v="FinA"/>
    <x v="7"/>
    <x v="5"/>
    <s v="GNR_WT_WIND_ONS"/>
    <x v="0"/>
    <x v="7"/>
    <n v="765.93660912151302"/>
    <n v="279566.86232935201"/>
    <n v="1006440.70438567"/>
  </r>
  <r>
    <x v="0"/>
    <x v="1"/>
    <x v="1"/>
    <x v="2"/>
    <x v="3"/>
    <s v="FinA"/>
    <x v="7"/>
    <x v="5"/>
    <s v="GNR_WT_WIND_ONS"/>
    <x v="0"/>
    <x v="8"/>
    <n v="722.46591352258497"/>
    <n v="263700.05843574402"/>
    <n v="949320.21036867704"/>
  </r>
  <r>
    <x v="0"/>
    <x v="1"/>
    <x v="1"/>
    <x v="2"/>
    <x v="3"/>
    <s v="FinA"/>
    <x v="7"/>
    <x v="5"/>
    <s v="GNR_WT_WIND_ONS"/>
    <x v="0"/>
    <x v="9"/>
    <n v="609.82566992653801"/>
    <n v="222586.369523186"/>
    <n v="801310.93028346996"/>
  </r>
  <r>
    <x v="0"/>
    <x v="1"/>
    <x v="1"/>
    <x v="2"/>
    <x v="3"/>
    <s v="FinA"/>
    <x v="7"/>
    <x v="5"/>
    <s v="GNR_WT_WIND_ONS"/>
    <x v="0"/>
    <x v="10"/>
    <n v="790.91094992638796"/>
    <n v="288682.49672313198"/>
    <n v="1039256.98820327"/>
  </r>
  <r>
    <x v="0"/>
    <x v="1"/>
    <x v="1"/>
    <x v="2"/>
    <x v="3"/>
    <s v="FinA"/>
    <x v="7"/>
    <x v="5"/>
    <s v="GNR_WT_WIND_ONS"/>
    <x v="0"/>
    <x v="11"/>
    <n v="738.70349687865496"/>
    <n v="269626.77636070899"/>
    <n v="970656.39489855303"/>
  </r>
  <r>
    <x v="0"/>
    <x v="1"/>
    <x v="1"/>
    <x v="2"/>
    <x v="3"/>
    <s v="FinA"/>
    <x v="7"/>
    <x v="5"/>
    <s v="GNR_WT_WIND_ONS"/>
    <x v="0"/>
    <x v="12"/>
    <n v="719.99405043950901"/>
    <n v="262797.82841042097"/>
    <n v="946072.18227751402"/>
  </r>
  <r>
    <x v="0"/>
    <x v="1"/>
    <x v="1"/>
    <x v="2"/>
    <x v="3"/>
    <s v="FinA"/>
    <x v="7"/>
    <x v="5"/>
    <s v="GNR_WT_WIND_ONS"/>
    <x v="0"/>
    <x v="13"/>
    <n v="702.47791721288104"/>
    <n v="256404.43978270199"/>
    <n v="923055.983217726"/>
  </r>
  <r>
    <x v="0"/>
    <x v="1"/>
    <x v="1"/>
    <x v="2"/>
    <x v="3"/>
    <s v="FinA"/>
    <x v="7"/>
    <x v="5"/>
    <s v="GNR_WT_WIND_ONS"/>
    <x v="0"/>
    <x v="14"/>
    <n v="735.50712220226296"/>
    <n v="268460.09960382601"/>
    <n v="966456.35857377399"/>
  </r>
  <r>
    <x v="0"/>
    <x v="1"/>
    <x v="1"/>
    <x v="2"/>
    <x v="3"/>
    <s v="FinA"/>
    <x v="7"/>
    <x v="5"/>
    <s v="GNR_WT_WIND_ONS"/>
    <x v="0"/>
    <x v="15"/>
    <n v="823.89753658675102"/>
    <n v="300722.60085416399"/>
    <n v="1082601.36307499"/>
  </r>
  <r>
    <x v="0"/>
    <x v="1"/>
    <x v="1"/>
    <x v="2"/>
    <x v="3"/>
    <s v="FinA"/>
    <x v="7"/>
    <x v="5"/>
    <s v="GNR_WT_WIND_ONS"/>
    <x v="0"/>
    <x v="16"/>
    <n v="881.47489909082196"/>
    <n v="321738.33816814999"/>
    <n v="1158258.01740534"/>
  </r>
  <r>
    <x v="0"/>
    <x v="1"/>
    <x v="1"/>
    <x v="2"/>
    <x v="3"/>
    <s v="FinA"/>
    <x v="7"/>
    <x v="5"/>
    <s v="GNR_WT_WIND_ONS"/>
    <x v="0"/>
    <x v="17"/>
    <n v="780.63993263291604"/>
    <n v="284933.57541101403"/>
    <n v="1025760.87147965"/>
  </r>
  <r>
    <x v="0"/>
    <x v="1"/>
    <x v="1"/>
    <x v="2"/>
    <x v="3"/>
    <s v="FinA"/>
    <x v="7"/>
    <x v="5"/>
    <s v="GNR_WT_WIND_ONS"/>
    <x v="0"/>
    <x v="19"/>
    <n v="559.19509505249198"/>
    <n v="204106.20969415901"/>
    <n v="734782.35489897395"/>
  </r>
  <r>
    <x v="0"/>
    <x v="1"/>
    <x v="1"/>
    <x v="2"/>
    <x v="3"/>
    <s v="FinA"/>
    <x v="7"/>
    <x v="5"/>
    <s v="GNR_WT_WIND_ONS"/>
    <x v="0"/>
    <x v="20"/>
    <n v="617.113404188711"/>
    <n v="225246.39252888001"/>
    <n v="810887.01310396602"/>
  </r>
  <r>
    <x v="0"/>
    <x v="1"/>
    <x v="1"/>
    <x v="2"/>
    <x v="3"/>
    <s v="FinA"/>
    <x v="7"/>
    <x v="5"/>
    <s v="GNR_WT_WIND_ONS"/>
    <x v="0"/>
    <x v="21"/>
    <n v="597.16802620802605"/>
    <n v="217966.32956593001"/>
    <n v="784678.78643734602"/>
  </r>
  <r>
    <x v="0"/>
    <x v="1"/>
    <x v="1"/>
    <x v="2"/>
    <x v="3"/>
    <s v="FinA"/>
    <x v="7"/>
    <x v="5"/>
    <s v="GNR_WT_WIND_ONS"/>
    <x v="0"/>
    <x v="22"/>
    <n v="539.71851869101101"/>
    <n v="196997.259322219"/>
    <n v="709190.133559988"/>
  </r>
  <r>
    <x v="0"/>
    <x v="1"/>
    <x v="1"/>
    <x v="2"/>
    <x v="3"/>
    <s v="FinA"/>
    <x v="7"/>
    <x v="5"/>
    <s v="GNR_WT_WIND_ONS"/>
    <x v="0"/>
    <x v="23"/>
    <n v="475.19436855691498"/>
    <n v="173445.944523274"/>
    <n v="624405.400283786"/>
  </r>
  <r>
    <x v="0"/>
    <x v="1"/>
    <x v="1"/>
    <x v="3"/>
    <x v="4"/>
    <s v="DE4-E_A"/>
    <x v="0"/>
    <x v="2"/>
    <s v="GNR_ST_COAL_BP_E-35"/>
    <x v="0"/>
    <x v="6"/>
    <n v="124"/>
    <n v="45260"/>
    <n v="162936"/>
  </r>
  <r>
    <x v="0"/>
    <x v="1"/>
    <x v="1"/>
    <x v="3"/>
    <x v="4"/>
    <s v="DE4-E_A"/>
    <x v="0"/>
    <x v="2"/>
    <s v="GNR_ST_COAL_BP_E-35"/>
    <x v="0"/>
    <x v="7"/>
    <n v="124"/>
    <n v="45260"/>
    <n v="162936"/>
  </r>
  <r>
    <x v="0"/>
    <x v="1"/>
    <x v="1"/>
    <x v="3"/>
    <x v="4"/>
    <s v="DE4-E_A"/>
    <x v="0"/>
    <x v="2"/>
    <s v="GNR_ST_COAL_BP_E-35"/>
    <x v="0"/>
    <x v="8"/>
    <n v="124"/>
    <n v="45260"/>
    <n v="162936"/>
  </r>
  <r>
    <x v="0"/>
    <x v="1"/>
    <x v="1"/>
    <x v="3"/>
    <x v="4"/>
    <s v="DE4-E_A"/>
    <x v="0"/>
    <x v="2"/>
    <s v="GNR_ST_COAL_BP_E-40"/>
    <x v="0"/>
    <x v="6"/>
    <n v="1167"/>
    <n v="425955"/>
    <n v="1533438"/>
  </r>
  <r>
    <x v="0"/>
    <x v="1"/>
    <x v="1"/>
    <x v="3"/>
    <x v="4"/>
    <s v="DE4-E_A"/>
    <x v="0"/>
    <x v="2"/>
    <s v="GNR_ST_COAL_BP_E-40"/>
    <x v="0"/>
    <x v="7"/>
    <n v="1167"/>
    <n v="425955"/>
    <n v="1533438"/>
  </r>
  <r>
    <x v="0"/>
    <x v="1"/>
    <x v="1"/>
    <x v="3"/>
    <x v="4"/>
    <s v="DE4-E_A"/>
    <x v="0"/>
    <x v="2"/>
    <s v="GNR_ST_COAL_BP_E-40"/>
    <x v="0"/>
    <x v="8"/>
    <n v="1167"/>
    <n v="425955"/>
    <n v="1533438"/>
  </r>
  <r>
    <x v="0"/>
    <x v="1"/>
    <x v="1"/>
    <x v="3"/>
    <x v="4"/>
    <s v="DE4-E_A"/>
    <x v="1"/>
    <x v="8"/>
    <s v="AGG-DE4-E_RES_WTR_PMP"/>
    <x v="0"/>
    <x v="0"/>
    <n v="2415"/>
    <n v="881475"/>
    <n v="3173310"/>
  </r>
  <r>
    <x v="0"/>
    <x v="1"/>
    <x v="1"/>
    <x v="3"/>
    <x v="4"/>
    <s v="DE4-E_A"/>
    <x v="1"/>
    <x v="8"/>
    <s v="AGG-DE4-E_RES_WTR_PMP"/>
    <x v="0"/>
    <x v="6"/>
    <n v="337.438356164384"/>
    <n v="123165"/>
    <n v="443394"/>
  </r>
  <r>
    <x v="0"/>
    <x v="1"/>
    <x v="1"/>
    <x v="3"/>
    <x v="4"/>
    <s v="DE4-E_A"/>
    <x v="1"/>
    <x v="8"/>
    <s v="AGG-DE4-E_RES_WTR_PMP"/>
    <x v="0"/>
    <x v="7"/>
    <n v="2415"/>
    <n v="881475"/>
    <n v="3173310"/>
  </r>
  <r>
    <x v="0"/>
    <x v="1"/>
    <x v="1"/>
    <x v="3"/>
    <x v="4"/>
    <s v="DE4-E_A"/>
    <x v="1"/>
    <x v="8"/>
    <s v="AGG-DE4-E_RES_WTR_PMP"/>
    <x v="0"/>
    <x v="15"/>
    <n v="2415"/>
    <n v="881475"/>
    <n v="3173310"/>
  </r>
  <r>
    <x v="0"/>
    <x v="1"/>
    <x v="1"/>
    <x v="3"/>
    <x v="4"/>
    <s v="DE4-E_A"/>
    <x v="1"/>
    <x v="8"/>
    <s v="AGG-DE4-E_RES_WTR_PMP"/>
    <x v="0"/>
    <x v="16"/>
    <n v="337.43835616438298"/>
    <n v="123165"/>
    <n v="443394"/>
  </r>
  <r>
    <x v="0"/>
    <x v="1"/>
    <x v="1"/>
    <x v="3"/>
    <x v="4"/>
    <s v="DE4-E_A"/>
    <x v="15"/>
    <x v="2"/>
    <s v="GNR_ST_LIGN_BP_E-28"/>
    <x v="0"/>
    <x v="5"/>
    <n v="127"/>
    <n v="46355"/>
    <n v="166878"/>
  </r>
  <r>
    <x v="0"/>
    <x v="1"/>
    <x v="1"/>
    <x v="3"/>
    <x v="4"/>
    <s v="DE4-E_A"/>
    <x v="15"/>
    <x v="2"/>
    <s v="GNR_ST_LIGN_BP_E-28"/>
    <x v="0"/>
    <x v="6"/>
    <n v="127"/>
    <n v="46355"/>
    <n v="166878"/>
  </r>
  <r>
    <x v="0"/>
    <x v="1"/>
    <x v="1"/>
    <x v="3"/>
    <x v="4"/>
    <s v="DE4-E_A"/>
    <x v="15"/>
    <x v="2"/>
    <s v="GNR_ST_LIGN_BP_E-28"/>
    <x v="0"/>
    <x v="7"/>
    <n v="127"/>
    <n v="46355"/>
    <n v="166878"/>
  </r>
  <r>
    <x v="0"/>
    <x v="1"/>
    <x v="1"/>
    <x v="3"/>
    <x v="4"/>
    <s v="DE4-E_A"/>
    <x v="15"/>
    <x v="2"/>
    <s v="GNR_ST_LIGN_BP_E-28"/>
    <x v="0"/>
    <x v="8"/>
    <n v="127"/>
    <n v="46355"/>
    <n v="166878"/>
  </r>
  <r>
    <x v="0"/>
    <x v="1"/>
    <x v="1"/>
    <x v="3"/>
    <x v="4"/>
    <s v="DE4-E_A"/>
    <x v="15"/>
    <x v="2"/>
    <s v="GNR_ST_LIGN_BP_E-28"/>
    <x v="0"/>
    <x v="9"/>
    <n v="127"/>
    <n v="46355"/>
    <n v="166878"/>
  </r>
  <r>
    <x v="0"/>
    <x v="1"/>
    <x v="1"/>
    <x v="3"/>
    <x v="4"/>
    <s v="DE4-E_A"/>
    <x v="15"/>
    <x v="2"/>
    <s v="GNR_ST_LIGN_BP_E-28"/>
    <x v="0"/>
    <x v="15"/>
    <n v="127"/>
    <n v="46355"/>
    <n v="166878"/>
  </r>
  <r>
    <x v="0"/>
    <x v="1"/>
    <x v="1"/>
    <x v="3"/>
    <x v="4"/>
    <s v="DE4-E_A"/>
    <x v="15"/>
    <x v="2"/>
    <s v="GNR_ST_LIGN_BP_E-28"/>
    <x v="0"/>
    <x v="16"/>
    <n v="127"/>
    <n v="46355"/>
    <n v="166878"/>
  </r>
  <r>
    <x v="0"/>
    <x v="1"/>
    <x v="1"/>
    <x v="3"/>
    <x v="4"/>
    <s v="DE4-E_A"/>
    <x v="15"/>
    <x v="2"/>
    <s v="GNR_ST_LIGN_BP_E-39"/>
    <x v="0"/>
    <x v="0"/>
    <n v="8811.4"/>
    <n v="3216161"/>
    <n v="11578179.6"/>
  </r>
  <r>
    <x v="0"/>
    <x v="1"/>
    <x v="1"/>
    <x v="3"/>
    <x v="4"/>
    <s v="DE4-E_A"/>
    <x v="15"/>
    <x v="2"/>
    <s v="GNR_ST_LIGN_BP_E-39"/>
    <x v="0"/>
    <x v="1"/>
    <n v="8811.4"/>
    <n v="3216161"/>
    <n v="11578179.6"/>
  </r>
  <r>
    <x v="0"/>
    <x v="1"/>
    <x v="1"/>
    <x v="3"/>
    <x v="4"/>
    <s v="DE4-E_A"/>
    <x v="15"/>
    <x v="2"/>
    <s v="GNR_ST_LIGN_BP_E-39"/>
    <x v="0"/>
    <x v="18"/>
    <n v="8811.4"/>
    <n v="3216161"/>
    <n v="11578179.6"/>
  </r>
  <r>
    <x v="0"/>
    <x v="1"/>
    <x v="1"/>
    <x v="3"/>
    <x v="4"/>
    <s v="DE4-E_A"/>
    <x v="15"/>
    <x v="2"/>
    <s v="GNR_ST_LIGN_BP_E-39"/>
    <x v="0"/>
    <x v="2"/>
    <n v="8811.4"/>
    <n v="3216161"/>
    <n v="11578179.6"/>
  </r>
  <r>
    <x v="0"/>
    <x v="1"/>
    <x v="1"/>
    <x v="3"/>
    <x v="4"/>
    <s v="DE4-E_A"/>
    <x v="15"/>
    <x v="2"/>
    <s v="GNR_ST_LIGN_BP_E-39"/>
    <x v="0"/>
    <x v="3"/>
    <n v="8811.4"/>
    <n v="3216161"/>
    <n v="11578179.6"/>
  </r>
  <r>
    <x v="0"/>
    <x v="1"/>
    <x v="1"/>
    <x v="3"/>
    <x v="4"/>
    <s v="DE4-E_A"/>
    <x v="15"/>
    <x v="2"/>
    <s v="GNR_ST_LIGN_BP_E-39"/>
    <x v="0"/>
    <x v="4"/>
    <n v="8811.4"/>
    <n v="3216161"/>
    <n v="11578179.6"/>
  </r>
  <r>
    <x v="0"/>
    <x v="1"/>
    <x v="1"/>
    <x v="3"/>
    <x v="4"/>
    <s v="DE4-E_A"/>
    <x v="15"/>
    <x v="2"/>
    <s v="GNR_ST_LIGN_BP_E-39"/>
    <x v="0"/>
    <x v="5"/>
    <n v="8811.4"/>
    <n v="3216161"/>
    <n v="11578179.6"/>
  </r>
  <r>
    <x v="0"/>
    <x v="1"/>
    <x v="1"/>
    <x v="3"/>
    <x v="4"/>
    <s v="DE4-E_A"/>
    <x v="15"/>
    <x v="2"/>
    <s v="GNR_ST_LIGN_BP_E-39"/>
    <x v="0"/>
    <x v="6"/>
    <n v="8811.4"/>
    <n v="3216161"/>
    <n v="11578179.6"/>
  </r>
  <r>
    <x v="0"/>
    <x v="1"/>
    <x v="1"/>
    <x v="3"/>
    <x v="4"/>
    <s v="DE4-E_A"/>
    <x v="15"/>
    <x v="2"/>
    <s v="GNR_ST_LIGN_BP_E-39"/>
    <x v="0"/>
    <x v="7"/>
    <n v="8811.4"/>
    <n v="3216161"/>
    <n v="11578179.6"/>
  </r>
  <r>
    <x v="0"/>
    <x v="1"/>
    <x v="1"/>
    <x v="3"/>
    <x v="4"/>
    <s v="DE4-E_A"/>
    <x v="15"/>
    <x v="2"/>
    <s v="GNR_ST_LIGN_BP_E-39"/>
    <x v="0"/>
    <x v="8"/>
    <n v="8811.4"/>
    <n v="3216161"/>
    <n v="11578179.6"/>
  </r>
  <r>
    <x v="0"/>
    <x v="1"/>
    <x v="1"/>
    <x v="3"/>
    <x v="4"/>
    <s v="DE4-E_A"/>
    <x v="15"/>
    <x v="2"/>
    <s v="GNR_ST_LIGN_BP_E-39"/>
    <x v="0"/>
    <x v="9"/>
    <n v="8811.4"/>
    <n v="3216161"/>
    <n v="11578179.6"/>
  </r>
  <r>
    <x v="0"/>
    <x v="1"/>
    <x v="1"/>
    <x v="3"/>
    <x v="4"/>
    <s v="DE4-E_A"/>
    <x v="15"/>
    <x v="2"/>
    <s v="GNR_ST_LIGN_BP_E-39"/>
    <x v="0"/>
    <x v="10"/>
    <n v="8811.4"/>
    <n v="3216161"/>
    <n v="11578179.6"/>
  </r>
  <r>
    <x v="0"/>
    <x v="1"/>
    <x v="1"/>
    <x v="3"/>
    <x v="4"/>
    <s v="DE4-E_A"/>
    <x v="15"/>
    <x v="2"/>
    <s v="GNR_ST_LIGN_BP_E-39"/>
    <x v="0"/>
    <x v="11"/>
    <n v="8811.4"/>
    <n v="3216161"/>
    <n v="11578179.6"/>
  </r>
  <r>
    <x v="0"/>
    <x v="1"/>
    <x v="1"/>
    <x v="3"/>
    <x v="4"/>
    <s v="DE4-E_A"/>
    <x v="15"/>
    <x v="2"/>
    <s v="GNR_ST_LIGN_BP_E-39"/>
    <x v="0"/>
    <x v="12"/>
    <n v="8811.4"/>
    <n v="3216161"/>
    <n v="11578179.6"/>
  </r>
  <r>
    <x v="0"/>
    <x v="1"/>
    <x v="1"/>
    <x v="3"/>
    <x v="4"/>
    <s v="DE4-E_A"/>
    <x v="15"/>
    <x v="2"/>
    <s v="GNR_ST_LIGN_BP_E-39"/>
    <x v="0"/>
    <x v="13"/>
    <n v="8811.4"/>
    <n v="3216161"/>
    <n v="11578179.6"/>
  </r>
  <r>
    <x v="0"/>
    <x v="1"/>
    <x v="1"/>
    <x v="3"/>
    <x v="4"/>
    <s v="DE4-E_A"/>
    <x v="15"/>
    <x v="2"/>
    <s v="GNR_ST_LIGN_BP_E-39"/>
    <x v="0"/>
    <x v="14"/>
    <n v="8811.4"/>
    <n v="3216161"/>
    <n v="11578179.6"/>
  </r>
  <r>
    <x v="0"/>
    <x v="1"/>
    <x v="1"/>
    <x v="3"/>
    <x v="4"/>
    <s v="DE4-E_A"/>
    <x v="15"/>
    <x v="2"/>
    <s v="GNR_ST_LIGN_BP_E-39"/>
    <x v="0"/>
    <x v="15"/>
    <n v="8811.4"/>
    <n v="3216161"/>
    <n v="11578179.6"/>
  </r>
  <r>
    <x v="0"/>
    <x v="1"/>
    <x v="1"/>
    <x v="3"/>
    <x v="4"/>
    <s v="DE4-E_A"/>
    <x v="15"/>
    <x v="2"/>
    <s v="GNR_ST_LIGN_BP_E-39"/>
    <x v="0"/>
    <x v="16"/>
    <n v="8811.4"/>
    <n v="3216161"/>
    <n v="11578179.6"/>
  </r>
  <r>
    <x v="0"/>
    <x v="1"/>
    <x v="1"/>
    <x v="3"/>
    <x v="4"/>
    <s v="DE4-E_A"/>
    <x v="15"/>
    <x v="2"/>
    <s v="GNR_ST_LIGN_BP_E-39"/>
    <x v="0"/>
    <x v="17"/>
    <n v="8811.4"/>
    <n v="3216161"/>
    <n v="11578179.6"/>
  </r>
  <r>
    <x v="0"/>
    <x v="1"/>
    <x v="1"/>
    <x v="3"/>
    <x v="4"/>
    <s v="DE4-E_A"/>
    <x v="15"/>
    <x v="2"/>
    <s v="GNR_ST_LIGN_BP_E-39"/>
    <x v="0"/>
    <x v="19"/>
    <n v="8811.4"/>
    <n v="3216161"/>
    <n v="11578179.6"/>
  </r>
  <r>
    <x v="0"/>
    <x v="1"/>
    <x v="1"/>
    <x v="3"/>
    <x v="4"/>
    <s v="DE4-E_A"/>
    <x v="15"/>
    <x v="2"/>
    <s v="GNR_ST_LIGN_BP_E-39"/>
    <x v="0"/>
    <x v="20"/>
    <n v="8811.4"/>
    <n v="3216161"/>
    <n v="11578179.6"/>
  </r>
  <r>
    <x v="0"/>
    <x v="1"/>
    <x v="1"/>
    <x v="3"/>
    <x v="4"/>
    <s v="DE4-E_A"/>
    <x v="15"/>
    <x v="2"/>
    <s v="GNR_ST_LIGN_BP_E-39"/>
    <x v="0"/>
    <x v="21"/>
    <n v="8811.4"/>
    <n v="3216161"/>
    <n v="11578179.6"/>
  </r>
  <r>
    <x v="0"/>
    <x v="1"/>
    <x v="1"/>
    <x v="3"/>
    <x v="4"/>
    <s v="DE4-E_A"/>
    <x v="15"/>
    <x v="2"/>
    <s v="GNR_ST_LIGN_BP_E-39"/>
    <x v="0"/>
    <x v="22"/>
    <n v="5055.54433746001"/>
    <n v="1845273.6831729"/>
    <n v="6642985.2594224503"/>
  </r>
  <r>
    <x v="0"/>
    <x v="1"/>
    <x v="1"/>
    <x v="3"/>
    <x v="4"/>
    <s v="DE4-E_A"/>
    <x v="15"/>
    <x v="2"/>
    <s v="GNR_ST_LIGN_BP_E-39"/>
    <x v="0"/>
    <x v="23"/>
    <n v="858.92659090746702"/>
    <n v="313508.20568122598"/>
    <n v="1128629.54045241"/>
  </r>
  <r>
    <x v="0"/>
    <x v="1"/>
    <x v="1"/>
    <x v="3"/>
    <x v="4"/>
    <s v="DE4-E_A"/>
    <x v="15"/>
    <x v="6"/>
    <s v="GNR_ST_LIGN_CND_E-43"/>
    <x v="0"/>
    <x v="0"/>
    <n v="640"/>
    <n v="233600"/>
    <n v="840960"/>
  </r>
  <r>
    <x v="0"/>
    <x v="1"/>
    <x v="1"/>
    <x v="3"/>
    <x v="4"/>
    <s v="DE4-E_A"/>
    <x v="15"/>
    <x v="6"/>
    <s v="GNR_ST_LIGN_CND_E-43"/>
    <x v="0"/>
    <x v="1"/>
    <n v="640"/>
    <n v="233600"/>
    <n v="840960"/>
  </r>
  <r>
    <x v="0"/>
    <x v="1"/>
    <x v="1"/>
    <x v="3"/>
    <x v="4"/>
    <s v="DE4-E_A"/>
    <x v="15"/>
    <x v="6"/>
    <s v="GNR_ST_LIGN_CND_E-43"/>
    <x v="0"/>
    <x v="18"/>
    <n v="640"/>
    <n v="233600"/>
    <n v="840960"/>
  </r>
  <r>
    <x v="0"/>
    <x v="1"/>
    <x v="1"/>
    <x v="3"/>
    <x v="4"/>
    <s v="DE4-E_A"/>
    <x v="15"/>
    <x v="6"/>
    <s v="GNR_ST_LIGN_CND_E-43"/>
    <x v="0"/>
    <x v="2"/>
    <n v="640"/>
    <n v="233600"/>
    <n v="840960"/>
  </r>
  <r>
    <x v="0"/>
    <x v="1"/>
    <x v="1"/>
    <x v="3"/>
    <x v="4"/>
    <s v="DE4-E_A"/>
    <x v="15"/>
    <x v="6"/>
    <s v="GNR_ST_LIGN_CND_E-43"/>
    <x v="0"/>
    <x v="3"/>
    <n v="640"/>
    <n v="233600"/>
    <n v="840960"/>
  </r>
  <r>
    <x v="0"/>
    <x v="1"/>
    <x v="1"/>
    <x v="3"/>
    <x v="4"/>
    <s v="DE4-E_A"/>
    <x v="15"/>
    <x v="6"/>
    <s v="GNR_ST_LIGN_CND_E-43"/>
    <x v="0"/>
    <x v="4"/>
    <n v="640"/>
    <n v="233600"/>
    <n v="840960"/>
  </r>
  <r>
    <x v="0"/>
    <x v="1"/>
    <x v="1"/>
    <x v="3"/>
    <x v="4"/>
    <s v="DE4-E_A"/>
    <x v="15"/>
    <x v="6"/>
    <s v="GNR_ST_LIGN_CND_E-43"/>
    <x v="0"/>
    <x v="5"/>
    <n v="640"/>
    <n v="233600"/>
    <n v="840960"/>
  </r>
  <r>
    <x v="0"/>
    <x v="1"/>
    <x v="1"/>
    <x v="3"/>
    <x v="4"/>
    <s v="DE4-E_A"/>
    <x v="15"/>
    <x v="6"/>
    <s v="GNR_ST_LIGN_CND_E-43"/>
    <x v="0"/>
    <x v="6"/>
    <n v="640"/>
    <n v="233600"/>
    <n v="840960"/>
  </r>
  <r>
    <x v="0"/>
    <x v="1"/>
    <x v="1"/>
    <x v="3"/>
    <x v="4"/>
    <s v="DE4-E_A"/>
    <x v="15"/>
    <x v="6"/>
    <s v="GNR_ST_LIGN_CND_E-43"/>
    <x v="0"/>
    <x v="7"/>
    <n v="640"/>
    <n v="233600"/>
    <n v="840960"/>
  </r>
  <r>
    <x v="0"/>
    <x v="1"/>
    <x v="1"/>
    <x v="3"/>
    <x v="4"/>
    <s v="DE4-E_A"/>
    <x v="15"/>
    <x v="6"/>
    <s v="GNR_ST_LIGN_CND_E-43"/>
    <x v="0"/>
    <x v="8"/>
    <n v="640"/>
    <n v="233600"/>
    <n v="840960"/>
  </r>
  <r>
    <x v="0"/>
    <x v="1"/>
    <x v="1"/>
    <x v="3"/>
    <x v="4"/>
    <s v="DE4-E_A"/>
    <x v="15"/>
    <x v="6"/>
    <s v="GNR_ST_LIGN_CND_E-43"/>
    <x v="0"/>
    <x v="9"/>
    <n v="640"/>
    <n v="233600"/>
    <n v="840960"/>
  </r>
  <r>
    <x v="0"/>
    <x v="1"/>
    <x v="1"/>
    <x v="3"/>
    <x v="4"/>
    <s v="DE4-E_A"/>
    <x v="15"/>
    <x v="6"/>
    <s v="GNR_ST_LIGN_CND_E-43"/>
    <x v="0"/>
    <x v="10"/>
    <n v="640"/>
    <n v="233600"/>
    <n v="840960"/>
  </r>
  <r>
    <x v="0"/>
    <x v="1"/>
    <x v="1"/>
    <x v="3"/>
    <x v="4"/>
    <s v="DE4-E_A"/>
    <x v="15"/>
    <x v="6"/>
    <s v="GNR_ST_LIGN_CND_E-43"/>
    <x v="0"/>
    <x v="11"/>
    <n v="640"/>
    <n v="233600"/>
    <n v="840960"/>
  </r>
  <r>
    <x v="0"/>
    <x v="1"/>
    <x v="1"/>
    <x v="3"/>
    <x v="4"/>
    <s v="DE4-E_A"/>
    <x v="15"/>
    <x v="6"/>
    <s v="GNR_ST_LIGN_CND_E-43"/>
    <x v="0"/>
    <x v="12"/>
    <n v="640"/>
    <n v="233600"/>
    <n v="840960"/>
  </r>
  <r>
    <x v="0"/>
    <x v="1"/>
    <x v="1"/>
    <x v="3"/>
    <x v="4"/>
    <s v="DE4-E_A"/>
    <x v="15"/>
    <x v="6"/>
    <s v="GNR_ST_LIGN_CND_E-43"/>
    <x v="0"/>
    <x v="13"/>
    <n v="640"/>
    <n v="233600"/>
    <n v="840960"/>
  </r>
  <r>
    <x v="0"/>
    <x v="1"/>
    <x v="1"/>
    <x v="3"/>
    <x v="4"/>
    <s v="DE4-E_A"/>
    <x v="15"/>
    <x v="6"/>
    <s v="GNR_ST_LIGN_CND_E-43"/>
    <x v="0"/>
    <x v="14"/>
    <n v="640"/>
    <n v="233600"/>
    <n v="840960"/>
  </r>
  <r>
    <x v="0"/>
    <x v="1"/>
    <x v="1"/>
    <x v="3"/>
    <x v="4"/>
    <s v="DE4-E_A"/>
    <x v="15"/>
    <x v="6"/>
    <s v="GNR_ST_LIGN_CND_E-43"/>
    <x v="0"/>
    <x v="15"/>
    <n v="640"/>
    <n v="233600"/>
    <n v="840960"/>
  </r>
  <r>
    <x v="0"/>
    <x v="1"/>
    <x v="1"/>
    <x v="3"/>
    <x v="4"/>
    <s v="DE4-E_A"/>
    <x v="15"/>
    <x v="6"/>
    <s v="GNR_ST_LIGN_CND_E-43"/>
    <x v="0"/>
    <x v="16"/>
    <n v="640"/>
    <n v="233600"/>
    <n v="840960"/>
  </r>
  <r>
    <x v="0"/>
    <x v="1"/>
    <x v="1"/>
    <x v="3"/>
    <x v="4"/>
    <s v="DE4-E_A"/>
    <x v="15"/>
    <x v="6"/>
    <s v="GNR_ST_LIGN_CND_E-43"/>
    <x v="0"/>
    <x v="17"/>
    <n v="640"/>
    <n v="233600"/>
    <n v="840960"/>
  </r>
  <r>
    <x v="0"/>
    <x v="1"/>
    <x v="1"/>
    <x v="3"/>
    <x v="4"/>
    <s v="DE4-E_A"/>
    <x v="15"/>
    <x v="6"/>
    <s v="GNR_ST_LIGN_CND_E-43"/>
    <x v="0"/>
    <x v="19"/>
    <n v="640"/>
    <n v="233600"/>
    <n v="840960"/>
  </r>
  <r>
    <x v="0"/>
    <x v="1"/>
    <x v="1"/>
    <x v="3"/>
    <x v="4"/>
    <s v="DE4-E_A"/>
    <x v="15"/>
    <x v="6"/>
    <s v="GNR_ST_LIGN_CND_E-43"/>
    <x v="0"/>
    <x v="20"/>
    <n v="640"/>
    <n v="233600"/>
    <n v="840960"/>
  </r>
  <r>
    <x v="0"/>
    <x v="1"/>
    <x v="1"/>
    <x v="3"/>
    <x v="4"/>
    <s v="DE4-E_A"/>
    <x v="15"/>
    <x v="6"/>
    <s v="GNR_ST_LIGN_CND_E-43"/>
    <x v="0"/>
    <x v="21"/>
    <n v="640"/>
    <n v="233600"/>
    <n v="840960"/>
  </r>
  <r>
    <x v="0"/>
    <x v="1"/>
    <x v="1"/>
    <x v="3"/>
    <x v="4"/>
    <s v="DE4-E_A"/>
    <x v="15"/>
    <x v="6"/>
    <s v="GNR_ST_LIGN_CND_E-43"/>
    <x v="0"/>
    <x v="22"/>
    <n v="640"/>
    <n v="233600"/>
    <n v="840960"/>
  </r>
  <r>
    <x v="0"/>
    <x v="1"/>
    <x v="1"/>
    <x v="3"/>
    <x v="4"/>
    <s v="DE4-E_A"/>
    <x v="15"/>
    <x v="6"/>
    <s v="GNR_ST_LIGN_CND_E-43"/>
    <x v="0"/>
    <x v="23"/>
    <n v="640"/>
    <n v="233600"/>
    <n v="840960"/>
  </r>
  <r>
    <x v="0"/>
    <x v="1"/>
    <x v="1"/>
    <x v="3"/>
    <x v="4"/>
    <s v="DE4-E_A"/>
    <x v="2"/>
    <x v="6"/>
    <s v="GNR_ST_MSW_CND_E-33"/>
    <x v="0"/>
    <x v="6"/>
    <n v="65.099999999999994"/>
    <n v="23761.5"/>
    <n v="85541.4"/>
  </r>
  <r>
    <x v="0"/>
    <x v="1"/>
    <x v="1"/>
    <x v="3"/>
    <x v="4"/>
    <s v="DE4-E_A"/>
    <x v="2"/>
    <x v="6"/>
    <s v="GNR_ST_MSW_CND_E-33"/>
    <x v="0"/>
    <x v="7"/>
    <n v="65.099999999999994"/>
    <n v="23761.5"/>
    <n v="85541.4"/>
  </r>
  <r>
    <x v="0"/>
    <x v="1"/>
    <x v="1"/>
    <x v="3"/>
    <x v="4"/>
    <s v="DE4-E_A"/>
    <x v="2"/>
    <x v="6"/>
    <s v="GNR_ST_MSW_CND_E-33"/>
    <x v="0"/>
    <x v="8"/>
    <n v="65.099999999999994"/>
    <n v="23761.5"/>
    <n v="85541.4"/>
  </r>
  <r>
    <x v="0"/>
    <x v="1"/>
    <x v="1"/>
    <x v="3"/>
    <x v="4"/>
    <s v="DE4-E_A"/>
    <x v="5"/>
    <x v="3"/>
    <s v="GNR_PV_SUN"/>
    <x v="0"/>
    <x v="7"/>
    <n v="238.37251147013799"/>
    <n v="87005.966686600295"/>
    <n v="313221.48007176101"/>
  </r>
  <r>
    <x v="0"/>
    <x v="1"/>
    <x v="1"/>
    <x v="3"/>
    <x v="4"/>
    <s v="DE4-E_A"/>
    <x v="5"/>
    <x v="3"/>
    <s v="GNR_PV_SUN"/>
    <x v="0"/>
    <x v="8"/>
    <n v="1794.5171632726299"/>
    <n v="654998.76459450903"/>
    <n v="2357995.5525402301"/>
  </r>
  <r>
    <x v="0"/>
    <x v="1"/>
    <x v="1"/>
    <x v="3"/>
    <x v="4"/>
    <s v="DE4-E_A"/>
    <x v="5"/>
    <x v="3"/>
    <s v="GNR_PV_SUN"/>
    <x v="0"/>
    <x v="9"/>
    <n v="4145.2368533089102"/>
    <n v="1513011.4514577501"/>
    <n v="5446841.2252479102"/>
  </r>
  <r>
    <x v="0"/>
    <x v="1"/>
    <x v="1"/>
    <x v="3"/>
    <x v="4"/>
    <s v="DE4-E_A"/>
    <x v="5"/>
    <x v="3"/>
    <s v="GNR_PV_SUN"/>
    <x v="0"/>
    <x v="10"/>
    <n v="6312.59307298355"/>
    <n v="2304096.4716389901"/>
    <n v="8294747.2979003796"/>
  </r>
  <r>
    <x v="0"/>
    <x v="1"/>
    <x v="1"/>
    <x v="3"/>
    <x v="4"/>
    <s v="DE4-E_A"/>
    <x v="5"/>
    <x v="3"/>
    <s v="GNR_PV_SUN"/>
    <x v="0"/>
    <x v="11"/>
    <n v="7176.84622995477"/>
    <n v="2619548.8739334899"/>
    <n v="9430375.9461605605"/>
  </r>
  <r>
    <x v="0"/>
    <x v="1"/>
    <x v="1"/>
    <x v="3"/>
    <x v="4"/>
    <s v="DE4-E_A"/>
    <x v="5"/>
    <x v="3"/>
    <s v="GNR_PV_SUN"/>
    <x v="0"/>
    <x v="12"/>
    <n v="6240.4701079746301"/>
    <n v="2277771.58941074"/>
    <n v="8199977.7218786702"/>
  </r>
  <r>
    <x v="0"/>
    <x v="1"/>
    <x v="1"/>
    <x v="3"/>
    <x v="4"/>
    <s v="DE4-E_A"/>
    <x v="5"/>
    <x v="3"/>
    <s v="GNR_PV_SUN"/>
    <x v="0"/>
    <x v="13"/>
    <n v="4060.8896569425501"/>
    <n v="1482224.7247840301"/>
    <n v="5336009.0092225103"/>
  </r>
  <r>
    <x v="0"/>
    <x v="1"/>
    <x v="1"/>
    <x v="3"/>
    <x v="4"/>
    <s v="DE4-E_A"/>
    <x v="5"/>
    <x v="3"/>
    <s v="GNR_PV_SUN"/>
    <x v="0"/>
    <x v="14"/>
    <n v="2056.1157143219102"/>
    <n v="750482.23572749598"/>
    <n v="2701736.04861899"/>
  </r>
  <r>
    <x v="0"/>
    <x v="1"/>
    <x v="1"/>
    <x v="3"/>
    <x v="4"/>
    <s v="DE4-E_A"/>
    <x v="5"/>
    <x v="3"/>
    <s v="GNR_PV_SUN"/>
    <x v="0"/>
    <x v="15"/>
    <n v="267.710666728001"/>
    <n v="97714.393355720298"/>
    <n v="351771.81608059298"/>
  </r>
  <r>
    <x v="0"/>
    <x v="1"/>
    <x v="1"/>
    <x v="3"/>
    <x v="4"/>
    <s v="DE4-E_A"/>
    <x v="16"/>
    <x v="6"/>
    <s v="GNR_GEO_HEAT_EO"/>
    <x v="0"/>
    <x v="0"/>
    <n v="0.22"/>
    <n v="80.3"/>
    <n v="289.08"/>
  </r>
  <r>
    <x v="0"/>
    <x v="1"/>
    <x v="1"/>
    <x v="3"/>
    <x v="4"/>
    <s v="DE4-E_A"/>
    <x v="16"/>
    <x v="6"/>
    <s v="GNR_GEO_HEAT_EO"/>
    <x v="0"/>
    <x v="1"/>
    <n v="0.22"/>
    <n v="80.3"/>
    <n v="289.08"/>
  </r>
  <r>
    <x v="0"/>
    <x v="1"/>
    <x v="1"/>
    <x v="3"/>
    <x v="4"/>
    <s v="DE4-E_A"/>
    <x v="16"/>
    <x v="6"/>
    <s v="GNR_GEO_HEAT_EO"/>
    <x v="0"/>
    <x v="18"/>
    <n v="0.22"/>
    <n v="80.3"/>
    <n v="289.08"/>
  </r>
  <r>
    <x v="0"/>
    <x v="1"/>
    <x v="1"/>
    <x v="3"/>
    <x v="4"/>
    <s v="DE4-E_A"/>
    <x v="16"/>
    <x v="6"/>
    <s v="GNR_GEO_HEAT_EO"/>
    <x v="0"/>
    <x v="2"/>
    <n v="0.22"/>
    <n v="80.3"/>
    <n v="289.08"/>
  </r>
  <r>
    <x v="0"/>
    <x v="1"/>
    <x v="1"/>
    <x v="3"/>
    <x v="4"/>
    <s v="DE4-E_A"/>
    <x v="16"/>
    <x v="6"/>
    <s v="GNR_GEO_HEAT_EO"/>
    <x v="0"/>
    <x v="3"/>
    <n v="0.22"/>
    <n v="80.3"/>
    <n v="289.08"/>
  </r>
  <r>
    <x v="0"/>
    <x v="1"/>
    <x v="1"/>
    <x v="3"/>
    <x v="4"/>
    <s v="DE4-E_A"/>
    <x v="16"/>
    <x v="6"/>
    <s v="GNR_GEO_HEAT_EO"/>
    <x v="0"/>
    <x v="4"/>
    <n v="0.22"/>
    <n v="80.3"/>
    <n v="289.08"/>
  </r>
  <r>
    <x v="0"/>
    <x v="1"/>
    <x v="1"/>
    <x v="3"/>
    <x v="4"/>
    <s v="DE4-E_A"/>
    <x v="16"/>
    <x v="6"/>
    <s v="GNR_GEO_HEAT_EO"/>
    <x v="0"/>
    <x v="5"/>
    <n v="0.22"/>
    <n v="80.3"/>
    <n v="289.08"/>
  </r>
  <r>
    <x v="0"/>
    <x v="1"/>
    <x v="1"/>
    <x v="3"/>
    <x v="4"/>
    <s v="DE4-E_A"/>
    <x v="16"/>
    <x v="6"/>
    <s v="GNR_GEO_HEAT_EO"/>
    <x v="0"/>
    <x v="6"/>
    <n v="0.22"/>
    <n v="80.3"/>
    <n v="289.08"/>
  </r>
  <r>
    <x v="0"/>
    <x v="1"/>
    <x v="1"/>
    <x v="3"/>
    <x v="4"/>
    <s v="DE4-E_A"/>
    <x v="16"/>
    <x v="6"/>
    <s v="GNR_GEO_HEAT_EO"/>
    <x v="0"/>
    <x v="7"/>
    <n v="0.22"/>
    <n v="80.3"/>
    <n v="289.08"/>
  </r>
  <r>
    <x v="0"/>
    <x v="1"/>
    <x v="1"/>
    <x v="3"/>
    <x v="4"/>
    <s v="DE4-E_A"/>
    <x v="16"/>
    <x v="6"/>
    <s v="GNR_GEO_HEAT_EO"/>
    <x v="0"/>
    <x v="8"/>
    <n v="0.22"/>
    <n v="80.3"/>
    <n v="289.08"/>
  </r>
  <r>
    <x v="0"/>
    <x v="1"/>
    <x v="1"/>
    <x v="3"/>
    <x v="4"/>
    <s v="DE4-E_A"/>
    <x v="16"/>
    <x v="6"/>
    <s v="GNR_GEO_HEAT_EO"/>
    <x v="0"/>
    <x v="9"/>
    <n v="0.22"/>
    <n v="80.3"/>
    <n v="289.08"/>
  </r>
  <r>
    <x v="0"/>
    <x v="1"/>
    <x v="1"/>
    <x v="3"/>
    <x v="4"/>
    <s v="DE4-E_A"/>
    <x v="16"/>
    <x v="6"/>
    <s v="GNR_GEO_HEAT_EO"/>
    <x v="0"/>
    <x v="10"/>
    <n v="0.22"/>
    <n v="80.3"/>
    <n v="289.08"/>
  </r>
  <r>
    <x v="0"/>
    <x v="1"/>
    <x v="1"/>
    <x v="3"/>
    <x v="4"/>
    <s v="DE4-E_A"/>
    <x v="16"/>
    <x v="6"/>
    <s v="GNR_GEO_HEAT_EO"/>
    <x v="0"/>
    <x v="11"/>
    <n v="0.22"/>
    <n v="80.3"/>
    <n v="289.08"/>
  </r>
  <r>
    <x v="0"/>
    <x v="1"/>
    <x v="1"/>
    <x v="3"/>
    <x v="4"/>
    <s v="DE4-E_A"/>
    <x v="16"/>
    <x v="6"/>
    <s v="GNR_GEO_HEAT_EO"/>
    <x v="0"/>
    <x v="12"/>
    <n v="0.22"/>
    <n v="80.3"/>
    <n v="289.08"/>
  </r>
  <r>
    <x v="0"/>
    <x v="1"/>
    <x v="1"/>
    <x v="3"/>
    <x v="4"/>
    <s v="DE4-E_A"/>
    <x v="16"/>
    <x v="6"/>
    <s v="GNR_GEO_HEAT_EO"/>
    <x v="0"/>
    <x v="13"/>
    <n v="0.22"/>
    <n v="80.3"/>
    <n v="289.08"/>
  </r>
  <r>
    <x v="0"/>
    <x v="1"/>
    <x v="1"/>
    <x v="3"/>
    <x v="4"/>
    <s v="DE4-E_A"/>
    <x v="16"/>
    <x v="6"/>
    <s v="GNR_GEO_HEAT_EO"/>
    <x v="0"/>
    <x v="14"/>
    <n v="0.22"/>
    <n v="80.3"/>
    <n v="289.08"/>
  </r>
  <r>
    <x v="0"/>
    <x v="1"/>
    <x v="1"/>
    <x v="3"/>
    <x v="4"/>
    <s v="DE4-E_A"/>
    <x v="16"/>
    <x v="6"/>
    <s v="GNR_GEO_HEAT_EO"/>
    <x v="0"/>
    <x v="15"/>
    <n v="0.22"/>
    <n v="80.3"/>
    <n v="289.08"/>
  </r>
  <r>
    <x v="0"/>
    <x v="1"/>
    <x v="1"/>
    <x v="3"/>
    <x v="4"/>
    <s v="DE4-E_A"/>
    <x v="16"/>
    <x v="6"/>
    <s v="GNR_GEO_HEAT_EO"/>
    <x v="0"/>
    <x v="16"/>
    <n v="0.22"/>
    <n v="80.3"/>
    <n v="289.08"/>
  </r>
  <r>
    <x v="0"/>
    <x v="1"/>
    <x v="1"/>
    <x v="3"/>
    <x v="4"/>
    <s v="DE4-E_A"/>
    <x v="16"/>
    <x v="6"/>
    <s v="GNR_GEO_HEAT_EO"/>
    <x v="0"/>
    <x v="17"/>
    <n v="0.22"/>
    <n v="80.3"/>
    <n v="289.08"/>
  </r>
  <r>
    <x v="0"/>
    <x v="1"/>
    <x v="1"/>
    <x v="3"/>
    <x v="4"/>
    <s v="DE4-E_A"/>
    <x v="16"/>
    <x v="6"/>
    <s v="GNR_GEO_HEAT_EO"/>
    <x v="0"/>
    <x v="19"/>
    <n v="0.22"/>
    <n v="80.3"/>
    <n v="289.08"/>
  </r>
  <r>
    <x v="0"/>
    <x v="1"/>
    <x v="1"/>
    <x v="3"/>
    <x v="4"/>
    <s v="DE4-E_A"/>
    <x v="16"/>
    <x v="6"/>
    <s v="GNR_GEO_HEAT_EO"/>
    <x v="0"/>
    <x v="20"/>
    <n v="0.22"/>
    <n v="80.3"/>
    <n v="289.08"/>
  </r>
  <r>
    <x v="0"/>
    <x v="1"/>
    <x v="1"/>
    <x v="3"/>
    <x v="4"/>
    <s v="DE4-E_A"/>
    <x v="16"/>
    <x v="6"/>
    <s v="GNR_GEO_HEAT_EO"/>
    <x v="0"/>
    <x v="21"/>
    <n v="0.22"/>
    <n v="80.3"/>
    <n v="289.08"/>
  </r>
  <r>
    <x v="0"/>
    <x v="1"/>
    <x v="1"/>
    <x v="3"/>
    <x v="4"/>
    <s v="DE4-E_A"/>
    <x v="16"/>
    <x v="6"/>
    <s v="GNR_GEO_HEAT_EO"/>
    <x v="0"/>
    <x v="22"/>
    <n v="0.22"/>
    <n v="80.3"/>
    <n v="289.08"/>
  </r>
  <r>
    <x v="0"/>
    <x v="1"/>
    <x v="1"/>
    <x v="3"/>
    <x v="4"/>
    <s v="DE4-E_A"/>
    <x v="16"/>
    <x v="6"/>
    <s v="GNR_GEO_HEAT_EO"/>
    <x v="0"/>
    <x v="23"/>
    <n v="0.22"/>
    <n v="80.3"/>
    <n v="289.08"/>
  </r>
  <r>
    <x v="0"/>
    <x v="1"/>
    <x v="1"/>
    <x v="3"/>
    <x v="4"/>
    <s v="DE4-E_A"/>
    <x v="6"/>
    <x v="4"/>
    <s v="GNR_ROR_WTR"/>
    <x v="0"/>
    <x v="0"/>
    <n v="302.85891450546501"/>
    <n v="110543.503794495"/>
    <n v="397956.613660181"/>
  </r>
  <r>
    <x v="0"/>
    <x v="1"/>
    <x v="1"/>
    <x v="3"/>
    <x v="4"/>
    <s v="DE4-E_A"/>
    <x v="6"/>
    <x v="4"/>
    <s v="GNR_ROR_WTR"/>
    <x v="0"/>
    <x v="1"/>
    <n v="302.85891450546501"/>
    <n v="110543.503794495"/>
    <n v="397956.613660181"/>
  </r>
  <r>
    <x v="0"/>
    <x v="1"/>
    <x v="1"/>
    <x v="3"/>
    <x v="4"/>
    <s v="DE4-E_A"/>
    <x v="6"/>
    <x v="4"/>
    <s v="GNR_ROR_WTR"/>
    <x v="0"/>
    <x v="18"/>
    <n v="302.85891450546501"/>
    <n v="110543.503794495"/>
    <n v="397956.613660181"/>
  </r>
  <r>
    <x v="0"/>
    <x v="1"/>
    <x v="1"/>
    <x v="3"/>
    <x v="4"/>
    <s v="DE4-E_A"/>
    <x v="6"/>
    <x v="4"/>
    <s v="GNR_ROR_WTR"/>
    <x v="0"/>
    <x v="2"/>
    <n v="302.85891450546501"/>
    <n v="110543.503794495"/>
    <n v="397956.613660181"/>
  </r>
  <r>
    <x v="0"/>
    <x v="1"/>
    <x v="1"/>
    <x v="3"/>
    <x v="4"/>
    <s v="DE4-E_A"/>
    <x v="6"/>
    <x v="4"/>
    <s v="GNR_ROR_WTR"/>
    <x v="0"/>
    <x v="3"/>
    <n v="302.85891450546501"/>
    <n v="110543.503794495"/>
    <n v="397956.613660181"/>
  </r>
  <r>
    <x v="0"/>
    <x v="1"/>
    <x v="1"/>
    <x v="3"/>
    <x v="4"/>
    <s v="DE4-E_A"/>
    <x v="6"/>
    <x v="4"/>
    <s v="GNR_ROR_WTR"/>
    <x v="0"/>
    <x v="4"/>
    <n v="302.85891450546501"/>
    <n v="110543.503794495"/>
    <n v="397956.613660181"/>
  </r>
  <r>
    <x v="0"/>
    <x v="1"/>
    <x v="1"/>
    <x v="3"/>
    <x v="4"/>
    <s v="DE4-E_A"/>
    <x v="6"/>
    <x v="4"/>
    <s v="GNR_ROR_WTR"/>
    <x v="0"/>
    <x v="5"/>
    <n v="302.85891450546501"/>
    <n v="110543.503794495"/>
    <n v="397956.613660181"/>
  </r>
  <r>
    <x v="0"/>
    <x v="1"/>
    <x v="1"/>
    <x v="3"/>
    <x v="4"/>
    <s v="DE4-E_A"/>
    <x v="6"/>
    <x v="4"/>
    <s v="GNR_ROR_WTR"/>
    <x v="0"/>
    <x v="6"/>
    <n v="302.85891450546501"/>
    <n v="110543.503794495"/>
    <n v="397956.613660181"/>
  </r>
  <r>
    <x v="0"/>
    <x v="1"/>
    <x v="1"/>
    <x v="3"/>
    <x v="4"/>
    <s v="DE4-E_A"/>
    <x v="6"/>
    <x v="4"/>
    <s v="GNR_ROR_WTR"/>
    <x v="0"/>
    <x v="7"/>
    <n v="302.85891450546501"/>
    <n v="110543.503794495"/>
    <n v="397956.613660181"/>
  </r>
  <r>
    <x v="0"/>
    <x v="1"/>
    <x v="1"/>
    <x v="3"/>
    <x v="4"/>
    <s v="DE4-E_A"/>
    <x v="6"/>
    <x v="4"/>
    <s v="GNR_ROR_WTR"/>
    <x v="0"/>
    <x v="8"/>
    <n v="302.85891450546501"/>
    <n v="110543.503794495"/>
    <n v="397956.613660181"/>
  </r>
  <r>
    <x v="0"/>
    <x v="1"/>
    <x v="1"/>
    <x v="3"/>
    <x v="4"/>
    <s v="DE4-E_A"/>
    <x v="6"/>
    <x v="4"/>
    <s v="GNR_ROR_WTR"/>
    <x v="0"/>
    <x v="9"/>
    <n v="302.85891450546501"/>
    <n v="110543.503794495"/>
    <n v="397956.613660181"/>
  </r>
  <r>
    <x v="0"/>
    <x v="1"/>
    <x v="1"/>
    <x v="3"/>
    <x v="4"/>
    <s v="DE4-E_A"/>
    <x v="6"/>
    <x v="4"/>
    <s v="GNR_ROR_WTR"/>
    <x v="0"/>
    <x v="10"/>
    <n v="302.85891450546501"/>
    <n v="110543.503794495"/>
    <n v="397956.613660181"/>
  </r>
  <r>
    <x v="0"/>
    <x v="1"/>
    <x v="1"/>
    <x v="3"/>
    <x v="4"/>
    <s v="DE4-E_A"/>
    <x v="6"/>
    <x v="4"/>
    <s v="GNR_ROR_WTR"/>
    <x v="0"/>
    <x v="11"/>
    <n v="302.85891450546501"/>
    <n v="110543.503794495"/>
    <n v="397956.613660181"/>
  </r>
  <r>
    <x v="0"/>
    <x v="1"/>
    <x v="1"/>
    <x v="3"/>
    <x v="4"/>
    <s v="DE4-E_A"/>
    <x v="6"/>
    <x v="4"/>
    <s v="GNR_ROR_WTR"/>
    <x v="0"/>
    <x v="12"/>
    <n v="302.85891450546501"/>
    <n v="110543.503794495"/>
    <n v="397956.613660181"/>
  </r>
  <r>
    <x v="0"/>
    <x v="1"/>
    <x v="1"/>
    <x v="3"/>
    <x v="4"/>
    <s v="DE4-E_A"/>
    <x v="6"/>
    <x v="4"/>
    <s v="GNR_ROR_WTR"/>
    <x v="0"/>
    <x v="13"/>
    <n v="302.85891450546501"/>
    <n v="110543.503794495"/>
    <n v="397956.613660181"/>
  </r>
  <r>
    <x v="0"/>
    <x v="1"/>
    <x v="1"/>
    <x v="3"/>
    <x v="4"/>
    <s v="DE4-E_A"/>
    <x v="6"/>
    <x v="4"/>
    <s v="GNR_ROR_WTR"/>
    <x v="0"/>
    <x v="14"/>
    <n v="302.85891450546501"/>
    <n v="110543.503794495"/>
    <n v="397956.613660181"/>
  </r>
  <r>
    <x v="0"/>
    <x v="1"/>
    <x v="1"/>
    <x v="3"/>
    <x v="4"/>
    <s v="DE4-E_A"/>
    <x v="6"/>
    <x v="4"/>
    <s v="GNR_ROR_WTR"/>
    <x v="0"/>
    <x v="15"/>
    <n v="302.85891450546501"/>
    <n v="110543.503794495"/>
    <n v="397956.613660181"/>
  </r>
  <r>
    <x v="0"/>
    <x v="1"/>
    <x v="1"/>
    <x v="3"/>
    <x v="4"/>
    <s v="DE4-E_A"/>
    <x v="6"/>
    <x v="4"/>
    <s v="GNR_ROR_WTR"/>
    <x v="0"/>
    <x v="16"/>
    <n v="302.85891450546501"/>
    <n v="110543.503794495"/>
    <n v="397956.613660181"/>
  </r>
  <r>
    <x v="0"/>
    <x v="1"/>
    <x v="1"/>
    <x v="3"/>
    <x v="4"/>
    <s v="DE4-E_A"/>
    <x v="6"/>
    <x v="4"/>
    <s v="GNR_ROR_WTR"/>
    <x v="0"/>
    <x v="17"/>
    <n v="302.85891450546501"/>
    <n v="110543.503794495"/>
    <n v="397956.613660181"/>
  </r>
  <r>
    <x v="0"/>
    <x v="1"/>
    <x v="1"/>
    <x v="3"/>
    <x v="4"/>
    <s v="DE4-E_A"/>
    <x v="6"/>
    <x v="4"/>
    <s v="GNR_ROR_WTR"/>
    <x v="0"/>
    <x v="19"/>
    <n v="302.85891450546501"/>
    <n v="110543.503794495"/>
    <n v="397956.613660181"/>
  </r>
  <r>
    <x v="0"/>
    <x v="1"/>
    <x v="1"/>
    <x v="3"/>
    <x v="4"/>
    <s v="DE4-E_A"/>
    <x v="6"/>
    <x v="4"/>
    <s v="GNR_ROR_WTR"/>
    <x v="0"/>
    <x v="20"/>
    <n v="302.85891450546501"/>
    <n v="110543.503794495"/>
    <n v="397956.613660181"/>
  </r>
  <r>
    <x v="0"/>
    <x v="1"/>
    <x v="1"/>
    <x v="3"/>
    <x v="4"/>
    <s v="DE4-E_A"/>
    <x v="6"/>
    <x v="4"/>
    <s v="GNR_ROR_WTR"/>
    <x v="0"/>
    <x v="21"/>
    <n v="302.85891450546501"/>
    <n v="110543.503794495"/>
    <n v="397956.613660181"/>
  </r>
  <r>
    <x v="0"/>
    <x v="1"/>
    <x v="1"/>
    <x v="3"/>
    <x v="4"/>
    <s v="DE4-E_A"/>
    <x v="6"/>
    <x v="4"/>
    <s v="GNR_ROR_WTR"/>
    <x v="0"/>
    <x v="22"/>
    <n v="302.85891450546501"/>
    <n v="110543.503794495"/>
    <n v="397956.613660181"/>
  </r>
  <r>
    <x v="0"/>
    <x v="1"/>
    <x v="1"/>
    <x v="3"/>
    <x v="4"/>
    <s v="DE4-E_A"/>
    <x v="6"/>
    <x v="4"/>
    <s v="GNR_ROR_WTR"/>
    <x v="0"/>
    <x v="23"/>
    <n v="302.85891450546501"/>
    <n v="110543.503794495"/>
    <n v="397956.613660181"/>
  </r>
  <r>
    <x v="0"/>
    <x v="1"/>
    <x v="1"/>
    <x v="3"/>
    <x v="4"/>
    <s v="DE4-E_A"/>
    <x v="7"/>
    <x v="5"/>
    <s v="GNR_WT_WIND_ONS"/>
    <x v="0"/>
    <x v="0"/>
    <n v="3088.20033149036"/>
    <n v="1127193.12099398"/>
    <n v="4057895.23557834"/>
  </r>
  <r>
    <x v="0"/>
    <x v="1"/>
    <x v="1"/>
    <x v="3"/>
    <x v="4"/>
    <s v="DE4-E_A"/>
    <x v="7"/>
    <x v="5"/>
    <s v="GNR_WT_WIND_ONS"/>
    <x v="0"/>
    <x v="1"/>
    <n v="2988.11691088507"/>
    <n v="1090662.67247305"/>
    <n v="3926385.6209029802"/>
  </r>
  <r>
    <x v="0"/>
    <x v="1"/>
    <x v="1"/>
    <x v="3"/>
    <x v="4"/>
    <s v="DE4-E_A"/>
    <x v="7"/>
    <x v="5"/>
    <s v="GNR_WT_WIND_ONS"/>
    <x v="0"/>
    <x v="18"/>
    <n v="2902.8302177614601"/>
    <n v="1059533.02948293"/>
    <n v="3814318.90613855"/>
  </r>
  <r>
    <x v="0"/>
    <x v="1"/>
    <x v="1"/>
    <x v="3"/>
    <x v="4"/>
    <s v="DE4-E_A"/>
    <x v="7"/>
    <x v="5"/>
    <s v="GNR_WT_WIND_ONS"/>
    <x v="0"/>
    <x v="2"/>
    <n v="2756.50702377589"/>
    <n v="1006125.0636782"/>
    <n v="3622050.2292415202"/>
  </r>
  <r>
    <x v="0"/>
    <x v="1"/>
    <x v="1"/>
    <x v="3"/>
    <x v="4"/>
    <s v="DE4-E_A"/>
    <x v="7"/>
    <x v="5"/>
    <s v="GNR_WT_WIND_ONS"/>
    <x v="0"/>
    <x v="3"/>
    <n v="2510.92244960067"/>
    <n v="916486.69410424505"/>
    <n v="3299352.0987752802"/>
  </r>
  <r>
    <x v="0"/>
    <x v="1"/>
    <x v="1"/>
    <x v="3"/>
    <x v="4"/>
    <s v="DE4-E_A"/>
    <x v="7"/>
    <x v="5"/>
    <s v="GNR_WT_WIND_ONS"/>
    <x v="0"/>
    <x v="4"/>
    <n v="2291.2321485184102"/>
    <n v="836299.73420921795"/>
    <n v="3010679.0431531798"/>
  </r>
  <r>
    <x v="0"/>
    <x v="1"/>
    <x v="1"/>
    <x v="3"/>
    <x v="4"/>
    <s v="DE4-E_A"/>
    <x v="7"/>
    <x v="5"/>
    <s v="GNR_WT_WIND_ONS"/>
    <x v="0"/>
    <x v="5"/>
    <n v="1888.6378549541801"/>
    <n v="689352.81705827499"/>
    <n v="2481670.1414097901"/>
  </r>
  <r>
    <x v="0"/>
    <x v="1"/>
    <x v="1"/>
    <x v="3"/>
    <x v="4"/>
    <s v="DE4-E_A"/>
    <x v="7"/>
    <x v="5"/>
    <s v="GNR_WT_WIND_ONS"/>
    <x v="0"/>
    <x v="6"/>
    <n v="1826.3682934687499"/>
    <n v="666624.42711609299"/>
    <n v="2399847.9376179301"/>
  </r>
  <r>
    <x v="0"/>
    <x v="1"/>
    <x v="1"/>
    <x v="3"/>
    <x v="4"/>
    <s v="DE4-E_A"/>
    <x v="7"/>
    <x v="5"/>
    <s v="GNR_WT_WIND_ONS"/>
    <x v="0"/>
    <x v="7"/>
    <n v="1963.4435327782601"/>
    <n v="716656.88946406601"/>
    <n v="2579964.80207064"/>
  </r>
  <r>
    <x v="0"/>
    <x v="1"/>
    <x v="1"/>
    <x v="3"/>
    <x v="4"/>
    <s v="DE4-E_A"/>
    <x v="7"/>
    <x v="5"/>
    <s v="GNR_WT_WIND_ONS"/>
    <x v="0"/>
    <x v="8"/>
    <n v="2117.7816208164099"/>
    <n v="772990.29159798997"/>
    <n v="2782765.0497527602"/>
  </r>
  <r>
    <x v="0"/>
    <x v="1"/>
    <x v="1"/>
    <x v="3"/>
    <x v="4"/>
    <s v="DE4-E_A"/>
    <x v="7"/>
    <x v="5"/>
    <s v="GNR_WT_WIND_ONS"/>
    <x v="0"/>
    <x v="9"/>
    <n v="2443.5151355174298"/>
    <n v="891883.02446386195"/>
    <n v="3210778.8880699002"/>
  </r>
  <r>
    <x v="0"/>
    <x v="1"/>
    <x v="1"/>
    <x v="3"/>
    <x v="4"/>
    <s v="DE4-E_A"/>
    <x v="7"/>
    <x v="5"/>
    <s v="GNR_WT_WIND_ONS"/>
    <x v="0"/>
    <x v="10"/>
    <n v="2691.7713410435099"/>
    <n v="982496.53948088095"/>
    <n v="3536987.5421311702"/>
  </r>
  <r>
    <x v="0"/>
    <x v="1"/>
    <x v="1"/>
    <x v="3"/>
    <x v="4"/>
    <s v="DE4-E_A"/>
    <x v="7"/>
    <x v="5"/>
    <s v="GNR_WT_WIND_ONS"/>
    <x v="0"/>
    <x v="11"/>
    <n v="3312.4118548586998"/>
    <n v="1209030.32702343"/>
    <n v="4352509.1772843301"/>
  </r>
  <r>
    <x v="0"/>
    <x v="1"/>
    <x v="1"/>
    <x v="3"/>
    <x v="4"/>
    <s v="DE4-E_A"/>
    <x v="7"/>
    <x v="5"/>
    <s v="GNR_WT_WIND_ONS"/>
    <x v="0"/>
    <x v="12"/>
    <n v="3870.7828071884601"/>
    <n v="1412835.72462379"/>
    <n v="5086208.6086456403"/>
  </r>
  <r>
    <x v="0"/>
    <x v="1"/>
    <x v="1"/>
    <x v="3"/>
    <x v="4"/>
    <s v="DE4-E_A"/>
    <x v="7"/>
    <x v="5"/>
    <s v="GNR_WT_WIND_ONS"/>
    <x v="0"/>
    <x v="13"/>
    <n v="4507.0420889009902"/>
    <n v="1645070.36244886"/>
    <n v="5922253.3048158996"/>
  </r>
  <r>
    <x v="0"/>
    <x v="1"/>
    <x v="1"/>
    <x v="3"/>
    <x v="4"/>
    <s v="DE4-E_A"/>
    <x v="7"/>
    <x v="5"/>
    <s v="GNR_WT_WIND_ONS"/>
    <x v="0"/>
    <x v="14"/>
    <n v="5135.0809664570297"/>
    <n v="1874304.5527568101"/>
    <n v="6747496.3899245299"/>
  </r>
  <r>
    <x v="0"/>
    <x v="1"/>
    <x v="1"/>
    <x v="3"/>
    <x v="4"/>
    <s v="DE4-E_A"/>
    <x v="7"/>
    <x v="5"/>
    <s v="GNR_WT_WIND_ONS"/>
    <x v="0"/>
    <x v="15"/>
    <n v="5973.5621904192703"/>
    <n v="2180350.1995030302"/>
    <n v="7849260.71821093"/>
  </r>
  <r>
    <x v="0"/>
    <x v="1"/>
    <x v="1"/>
    <x v="3"/>
    <x v="4"/>
    <s v="DE4-E_A"/>
    <x v="7"/>
    <x v="5"/>
    <s v="GNR_WT_WIND_ONS"/>
    <x v="0"/>
    <x v="16"/>
    <n v="6739.4983477004698"/>
    <n v="2459916.8969106702"/>
    <n v="8855700.8288784195"/>
  </r>
  <r>
    <x v="0"/>
    <x v="1"/>
    <x v="1"/>
    <x v="3"/>
    <x v="4"/>
    <s v="DE4-E_A"/>
    <x v="7"/>
    <x v="5"/>
    <s v="GNR_WT_WIND_ONS"/>
    <x v="0"/>
    <x v="17"/>
    <n v="7560.3057027262603"/>
    <n v="2759511.5814950899"/>
    <n v="9934241.6933823097"/>
  </r>
  <r>
    <x v="0"/>
    <x v="1"/>
    <x v="1"/>
    <x v="3"/>
    <x v="4"/>
    <s v="DE4-E_A"/>
    <x v="7"/>
    <x v="5"/>
    <s v="GNR_WT_WIND_ONS"/>
    <x v="0"/>
    <x v="19"/>
    <n v="8385.2232598302999"/>
    <n v="3060606.48983806"/>
    <n v="11018183.363417"/>
  </r>
  <r>
    <x v="0"/>
    <x v="1"/>
    <x v="1"/>
    <x v="3"/>
    <x v="4"/>
    <s v="DE4-E_A"/>
    <x v="7"/>
    <x v="5"/>
    <s v="GNR_WT_WIND_ONS"/>
    <x v="0"/>
    <x v="20"/>
    <n v="9089.7118960417101"/>
    <n v="3317744.8420552299"/>
    <n v="11943881.4313988"/>
  </r>
  <r>
    <x v="0"/>
    <x v="1"/>
    <x v="1"/>
    <x v="3"/>
    <x v="4"/>
    <s v="DE4-E_A"/>
    <x v="7"/>
    <x v="5"/>
    <s v="GNR_WT_WIND_ONS"/>
    <x v="0"/>
    <x v="21"/>
    <n v="9864.6904978950606"/>
    <n v="3600612.0317316898"/>
    <n v="12962203.3142341"/>
  </r>
  <r>
    <x v="0"/>
    <x v="1"/>
    <x v="1"/>
    <x v="3"/>
    <x v="4"/>
    <s v="DE4-E_A"/>
    <x v="7"/>
    <x v="5"/>
    <s v="GNR_WT_WIND_ONS"/>
    <x v="0"/>
    <x v="22"/>
    <n v="10842.7130824138"/>
    <n v="3957590.2750810198"/>
    <n v="14247324.9902917"/>
  </r>
  <r>
    <x v="0"/>
    <x v="1"/>
    <x v="1"/>
    <x v="3"/>
    <x v="4"/>
    <s v="DE4-E_A"/>
    <x v="7"/>
    <x v="5"/>
    <s v="GNR_WT_WIND_ONS"/>
    <x v="0"/>
    <x v="23"/>
    <n v="11480.616444957601"/>
    <n v="4190425.0024095201"/>
    <n v="15085530.008674299"/>
  </r>
  <r>
    <x v="0"/>
    <x v="1"/>
    <x v="1"/>
    <x v="3"/>
    <x v="4"/>
    <s v="DE4-E_Offshore_A"/>
    <x v="7"/>
    <x v="5"/>
    <s v="GNR_WT_WIND_OFF"/>
    <x v="0"/>
    <x v="0"/>
    <n v="665.18373614016195"/>
    <n v="242792.06369115901"/>
    <n v="874051.42928817298"/>
  </r>
  <r>
    <x v="0"/>
    <x v="1"/>
    <x v="1"/>
    <x v="3"/>
    <x v="4"/>
    <s v="DE4-E_Offshore_A"/>
    <x v="7"/>
    <x v="5"/>
    <s v="GNR_WT_WIND_OFF"/>
    <x v="0"/>
    <x v="1"/>
    <n v="643.62624099806703"/>
    <n v="234923.57796429499"/>
    <n v="845724.880671461"/>
  </r>
  <r>
    <x v="0"/>
    <x v="1"/>
    <x v="1"/>
    <x v="3"/>
    <x v="4"/>
    <s v="DE4-E_Offshore_A"/>
    <x v="7"/>
    <x v="5"/>
    <s v="GNR_WT_WIND_OFF"/>
    <x v="0"/>
    <x v="18"/>
    <n v="625.25589092831501"/>
    <n v="228218.40018883499"/>
    <n v="821586.24067980598"/>
  </r>
  <r>
    <x v="0"/>
    <x v="1"/>
    <x v="1"/>
    <x v="3"/>
    <x v="4"/>
    <s v="DE4-E_Offshore_A"/>
    <x v="7"/>
    <x v="5"/>
    <s v="GNR_WT_WIND_OFF"/>
    <x v="0"/>
    <x v="2"/>
    <n v="593.73856743515"/>
    <n v="216714.57711382999"/>
    <n v="780172.47760978702"/>
  </r>
  <r>
    <x v="0"/>
    <x v="1"/>
    <x v="1"/>
    <x v="3"/>
    <x v="4"/>
    <s v="DE4-E_Offshore_A"/>
    <x v="7"/>
    <x v="5"/>
    <s v="GNR_WT_WIND_OFF"/>
    <x v="0"/>
    <x v="3"/>
    <n v="540.84081241501997"/>
    <n v="197406.89653148199"/>
    <n v="710664.82751333597"/>
  </r>
  <r>
    <x v="0"/>
    <x v="1"/>
    <x v="1"/>
    <x v="3"/>
    <x v="4"/>
    <s v="DE4-E_Offshore_A"/>
    <x v="7"/>
    <x v="5"/>
    <s v="GNR_WT_WIND_OFF"/>
    <x v="0"/>
    <x v="4"/>
    <n v="493.52056127148899"/>
    <n v="180135.00486409399"/>
    <n v="648486.01751073694"/>
  </r>
  <r>
    <x v="0"/>
    <x v="1"/>
    <x v="1"/>
    <x v="3"/>
    <x v="4"/>
    <s v="DE4-E_Offshore_A"/>
    <x v="7"/>
    <x v="5"/>
    <s v="GNR_WT_WIND_OFF"/>
    <x v="0"/>
    <x v="5"/>
    <n v="406.803655761502"/>
    <n v="148483.334352948"/>
    <n v="534540.00367061398"/>
  </r>
  <r>
    <x v="0"/>
    <x v="1"/>
    <x v="1"/>
    <x v="3"/>
    <x v="4"/>
    <s v="DE4-E_Offshore_A"/>
    <x v="7"/>
    <x v="5"/>
    <s v="GNR_WT_WIND_OFF"/>
    <x v="0"/>
    <x v="6"/>
    <n v="393.391086915394"/>
    <n v="143587.746724119"/>
    <n v="516915.88820682699"/>
  </r>
  <r>
    <x v="0"/>
    <x v="1"/>
    <x v="1"/>
    <x v="3"/>
    <x v="4"/>
    <s v="DE4-E_Offshore_A"/>
    <x v="7"/>
    <x v="5"/>
    <s v="GNR_WT_WIND_OFF"/>
    <x v="0"/>
    <x v="7"/>
    <n v="422.91644473834498"/>
    <n v="154364.502329496"/>
    <n v="555712.208386185"/>
  </r>
  <r>
    <x v="0"/>
    <x v="1"/>
    <x v="1"/>
    <x v="3"/>
    <x v="4"/>
    <s v="DE4-E_Offshore_A"/>
    <x v="7"/>
    <x v="5"/>
    <s v="GNR_WT_WIND_OFF"/>
    <x v="0"/>
    <x v="8"/>
    <n v="456.160138479029"/>
    <n v="166498.45054484601"/>
    <n v="599394.42196144396"/>
  </r>
  <r>
    <x v="0"/>
    <x v="1"/>
    <x v="1"/>
    <x v="3"/>
    <x v="4"/>
    <s v="DE4-E_Offshore_A"/>
    <x v="7"/>
    <x v="5"/>
    <s v="GNR_WT_WIND_OFF"/>
    <x v="0"/>
    <x v="9"/>
    <n v="526.32159597434804"/>
    <n v="192107.382530637"/>
    <n v="691586.57711029402"/>
  </r>
  <r>
    <x v="0"/>
    <x v="1"/>
    <x v="1"/>
    <x v="3"/>
    <x v="4"/>
    <s v="DE4-E_Offshore_A"/>
    <x v="7"/>
    <x v="5"/>
    <s v="GNR_WT_WIND_OFF"/>
    <x v="0"/>
    <x v="10"/>
    <n v="579.79480774365095"/>
    <n v="211625.104826433"/>
    <n v="761850.37737515802"/>
  </r>
  <r>
    <x v="0"/>
    <x v="1"/>
    <x v="1"/>
    <x v="3"/>
    <x v="4"/>
    <s v="DE4-E_Offshore_A"/>
    <x v="7"/>
    <x v="5"/>
    <s v="GNR_WT_WIND_OFF"/>
    <x v="0"/>
    <x v="11"/>
    <n v="713.47783716690901"/>
    <n v="260419.41056592201"/>
    <n v="937509.87803731801"/>
  </r>
  <r>
    <x v="0"/>
    <x v="1"/>
    <x v="1"/>
    <x v="3"/>
    <x v="4"/>
    <s v="DE4-E_Offshore_A"/>
    <x v="7"/>
    <x v="5"/>
    <s v="GNR_WT_WIND_OFF"/>
    <x v="0"/>
    <x v="12"/>
    <n v="833.74829774405805"/>
    <n v="304318.12867658102"/>
    <n v="1095545.2632356901"/>
  </r>
  <r>
    <x v="0"/>
    <x v="1"/>
    <x v="1"/>
    <x v="3"/>
    <x v="4"/>
    <s v="DE4-E_Offshore_A"/>
    <x v="7"/>
    <x v="5"/>
    <s v="GNR_WT_WIND_OFF"/>
    <x v="0"/>
    <x v="13"/>
    <n v="970.795535854788"/>
    <n v="354340.370586998"/>
    <n v="1275625.33411319"/>
  </r>
  <r>
    <x v="0"/>
    <x v="1"/>
    <x v="1"/>
    <x v="3"/>
    <x v="4"/>
    <s v="DE4-E_Offshore_A"/>
    <x v="7"/>
    <x v="5"/>
    <s v="GNR_WT_WIND_OFF"/>
    <x v="0"/>
    <x v="14"/>
    <n v="1106.07213781422"/>
    <n v="403716.33030218899"/>
    <n v="1453378.7890878799"/>
  </r>
  <r>
    <x v="0"/>
    <x v="1"/>
    <x v="1"/>
    <x v="3"/>
    <x v="4"/>
    <s v="DE4-E_Offshore_A"/>
    <x v="7"/>
    <x v="5"/>
    <s v="GNR_WT_WIND_OFF"/>
    <x v="0"/>
    <x v="15"/>
    <n v="1286.6770252469601"/>
    <n v="469637.11421514099"/>
    <n v="1690693.6111745101"/>
  </r>
  <r>
    <x v="0"/>
    <x v="1"/>
    <x v="1"/>
    <x v="3"/>
    <x v="4"/>
    <s v="DE4-E_Offshore_A"/>
    <x v="7"/>
    <x v="5"/>
    <s v="GNR_WT_WIND_OFF"/>
    <x v="0"/>
    <x v="16"/>
    <n v="1451.65604864447"/>
    <n v="529854.457755232"/>
    <n v="1907476.0479188401"/>
  </r>
  <r>
    <x v="0"/>
    <x v="1"/>
    <x v="1"/>
    <x v="3"/>
    <x v="4"/>
    <s v="DE4-E_Offshore_A"/>
    <x v="7"/>
    <x v="5"/>
    <s v="GNR_WT_WIND_OFF"/>
    <x v="0"/>
    <x v="17"/>
    <n v="1628.4540683519199"/>
    <n v="594385.73494845"/>
    <n v="2139788.6458144202"/>
  </r>
  <r>
    <x v="0"/>
    <x v="1"/>
    <x v="1"/>
    <x v="3"/>
    <x v="4"/>
    <s v="DE4-E_Offshore_A"/>
    <x v="7"/>
    <x v="5"/>
    <s v="GNR_WT_WIND_OFF"/>
    <x v="0"/>
    <x v="19"/>
    <n v="1806.13740613502"/>
    <n v="659240.15323928103"/>
    <n v="2373264.5516614099"/>
  </r>
  <r>
    <x v="0"/>
    <x v="1"/>
    <x v="1"/>
    <x v="3"/>
    <x v="4"/>
    <s v="DE4-E_Offshore_A"/>
    <x v="7"/>
    <x v="5"/>
    <s v="GNR_WT_WIND_OFF"/>
    <x v="0"/>
    <x v="20"/>
    <n v="1957.8809243015501"/>
    <n v="714626.53737006499"/>
    <n v="2572655.5345322401"/>
  </r>
  <r>
    <x v="0"/>
    <x v="1"/>
    <x v="1"/>
    <x v="3"/>
    <x v="4"/>
    <s v="DE4-E_Offshore_A"/>
    <x v="7"/>
    <x v="5"/>
    <s v="GNR_WT_WIND_OFF"/>
    <x v="0"/>
    <x v="21"/>
    <n v="2124.8076474654899"/>
    <n v="775554.79132490396"/>
    <n v="2791997.24876966"/>
  </r>
  <r>
    <x v="0"/>
    <x v="1"/>
    <x v="1"/>
    <x v="3"/>
    <x v="4"/>
    <s v="DE4-E_Offshore_A"/>
    <x v="7"/>
    <x v="5"/>
    <s v="GNR_WT_WIND_OFF"/>
    <x v="0"/>
    <x v="22"/>
    <n v="2335.4690835665801"/>
    <n v="852446.21550180099"/>
    <n v="3068806.3758064802"/>
  </r>
  <r>
    <x v="0"/>
    <x v="1"/>
    <x v="1"/>
    <x v="3"/>
    <x v="4"/>
    <s v="DE4-E_Offshore_A"/>
    <x v="7"/>
    <x v="5"/>
    <s v="GNR_WT_WIND_OFF"/>
    <x v="0"/>
    <x v="23"/>
    <n v="2472.8704489075699"/>
    <n v="902597.713851262"/>
    <n v="3249351.7698645401"/>
  </r>
  <r>
    <x v="0"/>
    <x v="1"/>
    <x v="1"/>
    <x v="3"/>
    <x v="5"/>
    <s v="DE4-N_A"/>
    <x v="0"/>
    <x v="2"/>
    <s v="GNR_ST_COAL_BP_E-40"/>
    <x v="0"/>
    <x v="5"/>
    <n v="901"/>
    <n v="328865"/>
    <n v="1183914"/>
  </r>
  <r>
    <x v="0"/>
    <x v="1"/>
    <x v="1"/>
    <x v="3"/>
    <x v="5"/>
    <s v="DE4-N_A"/>
    <x v="0"/>
    <x v="2"/>
    <s v="GNR_ST_COAL_BP_E-40"/>
    <x v="0"/>
    <x v="6"/>
    <n v="901"/>
    <n v="328865"/>
    <n v="1183914"/>
  </r>
  <r>
    <x v="0"/>
    <x v="1"/>
    <x v="1"/>
    <x v="3"/>
    <x v="5"/>
    <s v="DE4-N_A"/>
    <x v="0"/>
    <x v="2"/>
    <s v="GNR_ST_COAL_BP_E-40"/>
    <x v="0"/>
    <x v="7"/>
    <n v="901"/>
    <n v="328865"/>
    <n v="1183914"/>
  </r>
  <r>
    <x v="0"/>
    <x v="1"/>
    <x v="1"/>
    <x v="3"/>
    <x v="5"/>
    <s v="DE4-N_A"/>
    <x v="0"/>
    <x v="2"/>
    <s v="GNR_ST_COAL_BP_E-40"/>
    <x v="0"/>
    <x v="8"/>
    <n v="901"/>
    <n v="328865"/>
    <n v="1183914"/>
  </r>
  <r>
    <x v="0"/>
    <x v="1"/>
    <x v="1"/>
    <x v="3"/>
    <x v="5"/>
    <s v="DE4-N_A"/>
    <x v="0"/>
    <x v="2"/>
    <s v="GNR_ST_COAL_BP_E-40"/>
    <x v="0"/>
    <x v="9"/>
    <n v="901"/>
    <n v="328865"/>
    <n v="1183914"/>
  </r>
  <r>
    <x v="0"/>
    <x v="1"/>
    <x v="1"/>
    <x v="3"/>
    <x v="5"/>
    <s v="DE4-N_A"/>
    <x v="0"/>
    <x v="2"/>
    <s v="GNR_ST_COAL_BP_E-40"/>
    <x v="0"/>
    <x v="10"/>
    <n v="901"/>
    <n v="328865"/>
    <n v="1183914"/>
  </r>
  <r>
    <x v="0"/>
    <x v="1"/>
    <x v="1"/>
    <x v="3"/>
    <x v="5"/>
    <s v="DE4-N_A"/>
    <x v="0"/>
    <x v="2"/>
    <s v="GNR_ST_COAL_BP_E-40"/>
    <x v="0"/>
    <x v="11"/>
    <n v="901"/>
    <n v="328865"/>
    <n v="1183914"/>
  </r>
  <r>
    <x v="0"/>
    <x v="1"/>
    <x v="1"/>
    <x v="3"/>
    <x v="5"/>
    <s v="DE4-N_A"/>
    <x v="0"/>
    <x v="2"/>
    <s v="GNR_ST_COAL_BP_E-40"/>
    <x v="0"/>
    <x v="12"/>
    <n v="901"/>
    <n v="328865"/>
    <n v="1183914"/>
  </r>
  <r>
    <x v="0"/>
    <x v="1"/>
    <x v="1"/>
    <x v="3"/>
    <x v="5"/>
    <s v="DE4-N_A"/>
    <x v="0"/>
    <x v="2"/>
    <s v="GNR_ST_COAL_BP_E-40"/>
    <x v="0"/>
    <x v="13"/>
    <n v="901"/>
    <n v="328865"/>
    <n v="1183914"/>
  </r>
  <r>
    <x v="0"/>
    <x v="1"/>
    <x v="1"/>
    <x v="3"/>
    <x v="5"/>
    <s v="DE4-N_A"/>
    <x v="0"/>
    <x v="2"/>
    <s v="GNR_ST_COAL_BP_E-40"/>
    <x v="0"/>
    <x v="14"/>
    <n v="901"/>
    <n v="328865"/>
    <n v="1183914"/>
  </r>
  <r>
    <x v="0"/>
    <x v="1"/>
    <x v="1"/>
    <x v="3"/>
    <x v="5"/>
    <s v="DE4-N_A"/>
    <x v="0"/>
    <x v="2"/>
    <s v="GNR_ST_COAL_BP_E-40"/>
    <x v="0"/>
    <x v="15"/>
    <n v="901"/>
    <n v="328865"/>
    <n v="1183914"/>
  </r>
  <r>
    <x v="0"/>
    <x v="1"/>
    <x v="1"/>
    <x v="3"/>
    <x v="5"/>
    <s v="DE4-N_A"/>
    <x v="0"/>
    <x v="2"/>
    <s v="GNR_ST_COAL_BP_E-40"/>
    <x v="0"/>
    <x v="16"/>
    <n v="901"/>
    <n v="328865"/>
    <n v="1183914"/>
  </r>
  <r>
    <x v="0"/>
    <x v="1"/>
    <x v="1"/>
    <x v="3"/>
    <x v="5"/>
    <s v="DE4-N_A"/>
    <x v="0"/>
    <x v="2"/>
    <s v="GNR_ST_COAL_BP_E-40"/>
    <x v="0"/>
    <x v="17"/>
    <n v="901"/>
    <n v="328865"/>
    <n v="1183914"/>
  </r>
  <r>
    <x v="0"/>
    <x v="1"/>
    <x v="1"/>
    <x v="3"/>
    <x v="5"/>
    <s v="DE4-N_A"/>
    <x v="0"/>
    <x v="6"/>
    <s v="GNR_ST_COAL_CND_E-46"/>
    <x v="0"/>
    <x v="0"/>
    <n v="1600"/>
    <n v="584000"/>
    <n v="2102400"/>
  </r>
  <r>
    <x v="0"/>
    <x v="1"/>
    <x v="1"/>
    <x v="3"/>
    <x v="5"/>
    <s v="DE4-N_A"/>
    <x v="0"/>
    <x v="6"/>
    <s v="GNR_ST_COAL_CND_E-46"/>
    <x v="0"/>
    <x v="1"/>
    <n v="1600"/>
    <n v="584000"/>
    <n v="2102400"/>
  </r>
  <r>
    <x v="0"/>
    <x v="1"/>
    <x v="1"/>
    <x v="3"/>
    <x v="5"/>
    <s v="DE4-N_A"/>
    <x v="0"/>
    <x v="6"/>
    <s v="GNR_ST_COAL_CND_E-46"/>
    <x v="0"/>
    <x v="18"/>
    <n v="1600"/>
    <n v="584000"/>
    <n v="2102400"/>
  </r>
  <r>
    <x v="0"/>
    <x v="1"/>
    <x v="1"/>
    <x v="3"/>
    <x v="5"/>
    <s v="DE4-N_A"/>
    <x v="0"/>
    <x v="6"/>
    <s v="GNR_ST_COAL_CND_E-46"/>
    <x v="0"/>
    <x v="2"/>
    <n v="1600"/>
    <n v="584000"/>
    <n v="2102400"/>
  </r>
  <r>
    <x v="0"/>
    <x v="1"/>
    <x v="1"/>
    <x v="3"/>
    <x v="5"/>
    <s v="DE4-N_A"/>
    <x v="0"/>
    <x v="6"/>
    <s v="GNR_ST_COAL_CND_E-46"/>
    <x v="0"/>
    <x v="3"/>
    <n v="1600"/>
    <n v="584000"/>
    <n v="2102400"/>
  </r>
  <r>
    <x v="0"/>
    <x v="1"/>
    <x v="1"/>
    <x v="3"/>
    <x v="5"/>
    <s v="DE4-N_A"/>
    <x v="0"/>
    <x v="6"/>
    <s v="GNR_ST_COAL_CND_E-46"/>
    <x v="0"/>
    <x v="4"/>
    <n v="1600"/>
    <n v="584000"/>
    <n v="2102400"/>
  </r>
  <r>
    <x v="0"/>
    <x v="1"/>
    <x v="1"/>
    <x v="3"/>
    <x v="5"/>
    <s v="DE4-N_A"/>
    <x v="0"/>
    <x v="6"/>
    <s v="GNR_ST_COAL_CND_E-46"/>
    <x v="0"/>
    <x v="5"/>
    <n v="1600"/>
    <n v="584000"/>
    <n v="2102400"/>
  </r>
  <r>
    <x v="0"/>
    <x v="1"/>
    <x v="1"/>
    <x v="3"/>
    <x v="5"/>
    <s v="DE4-N_A"/>
    <x v="0"/>
    <x v="6"/>
    <s v="GNR_ST_COAL_CND_E-46"/>
    <x v="0"/>
    <x v="6"/>
    <n v="1600"/>
    <n v="584000"/>
    <n v="2102400"/>
  </r>
  <r>
    <x v="0"/>
    <x v="1"/>
    <x v="1"/>
    <x v="3"/>
    <x v="5"/>
    <s v="DE4-N_A"/>
    <x v="0"/>
    <x v="6"/>
    <s v="GNR_ST_COAL_CND_E-46"/>
    <x v="0"/>
    <x v="7"/>
    <n v="1600"/>
    <n v="584000"/>
    <n v="2102400"/>
  </r>
  <r>
    <x v="0"/>
    <x v="1"/>
    <x v="1"/>
    <x v="3"/>
    <x v="5"/>
    <s v="DE4-N_A"/>
    <x v="0"/>
    <x v="6"/>
    <s v="GNR_ST_COAL_CND_E-46"/>
    <x v="0"/>
    <x v="8"/>
    <n v="1600"/>
    <n v="584000"/>
    <n v="2102400"/>
  </r>
  <r>
    <x v="0"/>
    <x v="1"/>
    <x v="1"/>
    <x v="3"/>
    <x v="5"/>
    <s v="DE4-N_A"/>
    <x v="0"/>
    <x v="6"/>
    <s v="GNR_ST_COAL_CND_E-46"/>
    <x v="0"/>
    <x v="9"/>
    <n v="1600"/>
    <n v="584000"/>
    <n v="2102400"/>
  </r>
  <r>
    <x v="0"/>
    <x v="1"/>
    <x v="1"/>
    <x v="3"/>
    <x v="5"/>
    <s v="DE4-N_A"/>
    <x v="0"/>
    <x v="6"/>
    <s v="GNR_ST_COAL_CND_E-46"/>
    <x v="0"/>
    <x v="10"/>
    <n v="1600"/>
    <n v="584000"/>
    <n v="2102400"/>
  </r>
  <r>
    <x v="0"/>
    <x v="1"/>
    <x v="1"/>
    <x v="3"/>
    <x v="5"/>
    <s v="DE4-N_A"/>
    <x v="0"/>
    <x v="6"/>
    <s v="GNR_ST_COAL_CND_E-46"/>
    <x v="0"/>
    <x v="11"/>
    <n v="1600"/>
    <n v="584000"/>
    <n v="2102400"/>
  </r>
  <r>
    <x v="0"/>
    <x v="1"/>
    <x v="1"/>
    <x v="3"/>
    <x v="5"/>
    <s v="DE4-N_A"/>
    <x v="0"/>
    <x v="6"/>
    <s v="GNR_ST_COAL_CND_E-46"/>
    <x v="0"/>
    <x v="12"/>
    <n v="1600"/>
    <n v="584000"/>
    <n v="2102400"/>
  </r>
  <r>
    <x v="0"/>
    <x v="1"/>
    <x v="1"/>
    <x v="3"/>
    <x v="5"/>
    <s v="DE4-N_A"/>
    <x v="0"/>
    <x v="6"/>
    <s v="GNR_ST_COAL_CND_E-46"/>
    <x v="0"/>
    <x v="13"/>
    <n v="1600"/>
    <n v="584000"/>
    <n v="2102400"/>
  </r>
  <r>
    <x v="0"/>
    <x v="1"/>
    <x v="1"/>
    <x v="3"/>
    <x v="5"/>
    <s v="DE4-N_A"/>
    <x v="0"/>
    <x v="6"/>
    <s v="GNR_ST_COAL_CND_E-46"/>
    <x v="0"/>
    <x v="14"/>
    <n v="1600"/>
    <n v="584000"/>
    <n v="2102400"/>
  </r>
  <r>
    <x v="0"/>
    <x v="1"/>
    <x v="1"/>
    <x v="3"/>
    <x v="5"/>
    <s v="DE4-N_A"/>
    <x v="0"/>
    <x v="6"/>
    <s v="GNR_ST_COAL_CND_E-46"/>
    <x v="0"/>
    <x v="15"/>
    <n v="1600"/>
    <n v="584000"/>
    <n v="2102400"/>
  </r>
  <r>
    <x v="0"/>
    <x v="1"/>
    <x v="1"/>
    <x v="3"/>
    <x v="5"/>
    <s v="DE4-N_A"/>
    <x v="0"/>
    <x v="6"/>
    <s v="GNR_ST_COAL_CND_E-46"/>
    <x v="0"/>
    <x v="16"/>
    <n v="1600"/>
    <n v="584000"/>
    <n v="2102400"/>
  </r>
  <r>
    <x v="0"/>
    <x v="1"/>
    <x v="1"/>
    <x v="3"/>
    <x v="5"/>
    <s v="DE4-N_A"/>
    <x v="0"/>
    <x v="6"/>
    <s v="GNR_ST_COAL_CND_E-46"/>
    <x v="0"/>
    <x v="17"/>
    <n v="1600"/>
    <n v="584000"/>
    <n v="2102400"/>
  </r>
  <r>
    <x v="0"/>
    <x v="1"/>
    <x v="1"/>
    <x v="3"/>
    <x v="5"/>
    <s v="DE4-N_A"/>
    <x v="0"/>
    <x v="6"/>
    <s v="GNR_ST_COAL_CND_E-46"/>
    <x v="0"/>
    <x v="19"/>
    <n v="1600"/>
    <n v="584000"/>
    <n v="2102400"/>
  </r>
  <r>
    <x v="0"/>
    <x v="1"/>
    <x v="1"/>
    <x v="3"/>
    <x v="5"/>
    <s v="DE4-N_A"/>
    <x v="0"/>
    <x v="6"/>
    <s v="GNR_ST_COAL_CND_E-46"/>
    <x v="0"/>
    <x v="20"/>
    <n v="1600"/>
    <n v="584000"/>
    <n v="2102400"/>
  </r>
  <r>
    <x v="0"/>
    <x v="1"/>
    <x v="1"/>
    <x v="3"/>
    <x v="5"/>
    <s v="DE4-N_A"/>
    <x v="0"/>
    <x v="6"/>
    <s v="GNR_ST_COAL_CND_E-46"/>
    <x v="0"/>
    <x v="21"/>
    <n v="1600"/>
    <n v="584000"/>
    <n v="2102400"/>
  </r>
  <r>
    <x v="0"/>
    <x v="1"/>
    <x v="1"/>
    <x v="3"/>
    <x v="5"/>
    <s v="DE4-N_A"/>
    <x v="0"/>
    <x v="6"/>
    <s v="GNR_ST_COAL_CND_E-46"/>
    <x v="0"/>
    <x v="22"/>
    <n v="1600"/>
    <n v="584000"/>
    <n v="2102400"/>
  </r>
  <r>
    <x v="0"/>
    <x v="1"/>
    <x v="1"/>
    <x v="3"/>
    <x v="5"/>
    <s v="DE4-N_A"/>
    <x v="0"/>
    <x v="6"/>
    <s v="GNR_ST_COAL_CND_E-46"/>
    <x v="0"/>
    <x v="23"/>
    <n v="1600"/>
    <n v="584000"/>
    <n v="2102400"/>
  </r>
  <r>
    <x v="0"/>
    <x v="1"/>
    <x v="1"/>
    <x v="3"/>
    <x v="5"/>
    <s v="DE4-N_A"/>
    <x v="1"/>
    <x v="8"/>
    <s v="AGG-DE4-N_RES_WTR_PMP"/>
    <x v="0"/>
    <x v="0"/>
    <n v="16.641369863013701"/>
    <n v="6074.0999999999904"/>
    <n v="21866.76"/>
  </r>
  <r>
    <x v="0"/>
    <x v="1"/>
    <x v="1"/>
    <x v="3"/>
    <x v="5"/>
    <s v="DE4-N_A"/>
    <x v="1"/>
    <x v="8"/>
    <s v="AGG-DE4-N_RES_WTR_PMP"/>
    <x v="0"/>
    <x v="1"/>
    <n v="119.1"/>
    <n v="43471.5"/>
    <n v="156497.4"/>
  </r>
  <r>
    <x v="0"/>
    <x v="1"/>
    <x v="1"/>
    <x v="3"/>
    <x v="5"/>
    <s v="DE4-N_A"/>
    <x v="1"/>
    <x v="8"/>
    <s v="AGG-DE4-N_RES_WTR_PMP"/>
    <x v="0"/>
    <x v="6"/>
    <n v="16.641369863013701"/>
    <n v="6074.0999999999904"/>
    <n v="21866.76"/>
  </r>
  <r>
    <x v="0"/>
    <x v="1"/>
    <x v="1"/>
    <x v="3"/>
    <x v="5"/>
    <s v="DE4-N_A"/>
    <x v="1"/>
    <x v="8"/>
    <s v="AGG-DE4-N_RES_WTR_PMP"/>
    <x v="0"/>
    <x v="7"/>
    <n v="119.1"/>
    <n v="43471.5"/>
    <n v="156497.4"/>
  </r>
  <r>
    <x v="0"/>
    <x v="1"/>
    <x v="1"/>
    <x v="3"/>
    <x v="5"/>
    <s v="DE4-N_A"/>
    <x v="1"/>
    <x v="8"/>
    <s v="AGG-DE4-N_RES_WTR_PMP"/>
    <x v="0"/>
    <x v="15"/>
    <n v="16.641369863013701"/>
    <n v="6074.0999999999904"/>
    <n v="21866.76"/>
  </r>
  <r>
    <x v="0"/>
    <x v="1"/>
    <x v="1"/>
    <x v="3"/>
    <x v="5"/>
    <s v="DE4-N_A"/>
    <x v="1"/>
    <x v="8"/>
    <s v="AGG-DE4-N_RES_WTR_PMP"/>
    <x v="0"/>
    <x v="16"/>
    <n v="119.1"/>
    <n v="43471.5"/>
    <n v="156497.4"/>
  </r>
  <r>
    <x v="0"/>
    <x v="1"/>
    <x v="1"/>
    <x v="3"/>
    <x v="5"/>
    <s v="DE4-N_A"/>
    <x v="14"/>
    <x v="6"/>
    <s v="GNR_ST_NUCL_CND_E-33"/>
    <x v="0"/>
    <x v="0"/>
    <n v="1410"/>
    <n v="514650"/>
    <n v="1852740"/>
  </r>
  <r>
    <x v="0"/>
    <x v="1"/>
    <x v="1"/>
    <x v="3"/>
    <x v="5"/>
    <s v="DE4-N_A"/>
    <x v="14"/>
    <x v="6"/>
    <s v="GNR_ST_NUCL_CND_E-33"/>
    <x v="0"/>
    <x v="1"/>
    <n v="1410"/>
    <n v="514650"/>
    <n v="1852740"/>
  </r>
  <r>
    <x v="0"/>
    <x v="1"/>
    <x v="1"/>
    <x v="3"/>
    <x v="5"/>
    <s v="DE4-N_A"/>
    <x v="14"/>
    <x v="6"/>
    <s v="GNR_ST_NUCL_CND_E-33"/>
    <x v="0"/>
    <x v="18"/>
    <n v="1410"/>
    <n v="514650"/>
    <n v="1852740"/>
  </r>
  <r>
    <x v="0"/>
    <x v="1"/>
    <x v="1"/>
    <x v="3"/>
    <x v="5"/>
    <s v="DE4-N_A"/>
    <x v="14"/>
    <x v="6"/>
    <s v="GNR_ST_NUCL_CND_E-33"/>
    <x v="0"/>
    <x v="2"/>
    <n v="1410"/>
    <n v="514650"/>
    <n v="1852740"/>
  </r>
  <r>
    <x v="0"/>
    <x v="1"/>
    <x v="1"/>
    <x v="3"/>
    <x v="5"/>
    <s v="DE4-N_A"/>
    <x v="14"/>
    <x v="6"/>
    <s v="GNR_ST_NUCL_CND_E-33"/>
    <x v="0"/>
    <x v="3"/>
    <n v="1410"/>
    <n v="514650"/>
    <n v="1852740"/>
  </r>
  <r>
    <x v="0"/>
    <x v="1"/>
    <x v="1"/>
    <x v="3"/>
    <x v="5"/>
    <s v="DE4-N_A"/>
    <x v="14"/>
    <x v="6"/>
    <s v="GNR_ST_NUCL_CND_E-33"/>
    <x v="0"/>
    <x v="4"/>
    <n v="1410"/>
    <n v="514650"/>
    <n v="1852740"/>
  </r>
  <r>
    <x v="0"/>
    <x v="1"/>
    <x v="1"/>
    <x v="3"/>
    <x v="5"/>
    <s v="DE4-N_A"/>
    <x v="14"/>
    <x v="6"/>
    <s v="GNR_ST_NUCL_CND_E-33"/>
    <x v="0"/>
    <x v="5"/>
    <n v="1410"/>
    <n v="514650"/>
    <n v="1852740"/>
  </r>
  <r>
    <x v="0"/>
    <x v="1"/>
    <x v="1"/>
    <x v="3"/>
    <x v="5"/>
    <s v="DE4-N_A"/>
    <x v="14"/>
    <x v="6"/>
    <s v="GNR_ST_NUCL_CND_E-33"/>
    <x v="0"/>
    <x v="6"/>
    <n v="1410"/>
    <n v="514650"/>
    <n v="1852740"/>
  </r>
  <r>
    <x v="0"/>
    <x v="1"/>
    <x v="1"/>
    <x v="3"/>
    <x v="5"/>
    <s v="DE4-N_A"/>
    <x v="14"/>
    <x v="6"/>
    <s v="GNR_ST_NUCL_CND_E-33"/>
    <x v="0"/>
    <x v="7"/>
    <n v="1410"/>
    <n v="514650"/>
    <n v="1852740"/>
  </r>
  <r>
    <x v="0"/>
    <x v="1"/>
    <x v="1"/>
    <x v="3"/>
    <x v="5"/>
    <s v="DE4-N_A"/>
    <x v="14"/>
    <x v="6"/>
    <s v="GNR_ST_NUCL_CND_E-33"/>
    <x v="0"/>
    <x v="8"/>
    <n v="1410"/>
    <n v="514650"/>
    <n v="1852740"/>
  </r>
  <r>
    <x v="0"/>
    <x v="1"/>
    <x v="1"/>
    <x v="3"/>
    <x v="5"/>
    <s v="DE4-N_A"/>
    <x v="14"/>
    <x v="6"/>
    <s v="GNR_ST_NUCL_CND_E-33"/>
    <x v="0"/>
    <x v="9"/>
    <n v="1410"/>
    <n v="514650"/>
    <n v="1852740"/>
  </r>
  <r>
    <x v="0"/>
    <x v="1"/>
    <x v="1"/>
    <x v="3"/>
    <x v="5"/>
    <s v="DE4-N_A"/>
    <x v="14"/>
    <x v="6"/>
    <s v="GNR_ST_NUCL_CND_E-33"/>
    <x v="0"/>
    <x v="10"/>
    <n v="1410"/>
    <n v="514650"/>
    <n v="1852740"/>
  </r>
  <r>
    <x v="0"/>
    <x v="1"/>
    <x v="1"/>
    <x v="3"/>
    <x v="5"/>
    <s v="DE4-N_A"/>
    <x v="14"/>
    <x v="6"/>
    <s v="GNR_ST_NUCL_CND_E-33"/>
    <x v="0"/>
    <x v="11"/>
    <n v="1410"/>
    <n v="514650"/>
    <n v="1852740"/>
  </r>
  <r>
    <x v="0"/>
    <x v="1"/>
    <x v="1"/>
    <x v="3"/>
    <x v="5"/>
    <s v="DE4-N_A"/>
    <x v="14"/>
    <x v="6"/>
    <s v="GNR_ST_NUCL_CND_E-33"/>
    <x v="0"/>
    <x v="12"/>
    <n v="1410"/>
    <n v="514650"/>
    <n v="1852740"/>
  </r>
  <r>
    <x v="0"/>
    <x v="1"/>
    <x v="1"/>
    <x v="3"/>
    <x v="5"/>
    <s v="DE4-N_A"/>
    <x v="14"/>
    <x v="6"/>
    <s v="GNR_ST_NUCL_CND_E-33"/>
    <x v="0"/>
    <x v="13"/>
    <n v="1410"/>
    <n v="514650"/>
    <n v="1852740"/>
  </r>
  <r>
    <x v="0"/>
    <x v="1"/>
    <x v="1"/>
    <x v="3"/>
    <x v="5"/>
    <s v="DE4-N_A"/>
    <x v="14"/>
    <x v="6"/>
    <s v="GNR_ST_NUCL_CND_E-33"/>
    <x v="0"/>
    <x v="14"/>
    <n v="1410"/>
    <n v="514650"/>
    <n v="1852740"/>
  </r>
  <r>
    <x v="0"/>
    <x v="1"/>
    <x v="1"/>
    <x v="3"/>
    <x v="5"/>
    <s v="DE4-N_A"/>
    <x v="14"/>
    <x v="6"/>
    <s v="GNR_ST_NUCL_CND_E-33"/>
    <x v="0"/>
    <x v="15"/>
    <n v="1410"/>
    <n v="514650"/>
    <n v="1852740"/>
  </r>
  <r>
    <x v="0"/>
    <x v="1"/>
    <x v="1"/>
    <x v="3"/>
    <x v="5"/>
    <s v="DE4-N_A"/>
    <x v="14"/>
    <x v="6"/>
    <s v="GNR_ST_NUCL_CND_E-33"/>
    <x v="0"/>
    <x v="16"/>
    <n v="1410"/>
    <n v="514650"/>
    <n v="1852740"/>
  </r>
  <r>
    <x v="0"/>
    <x v="1"/>
    <x v="1"/>
    <x v="3"/>
    <x v="5"/>
    <s v="DE4-N_A"/>
    <x v="14"/>
    <x v="6"/>
    <s v="GNR_ST_NUCL_CND_E-33"/>
    <x v="0"/>
    <x v="17"/>
    <n v="1410"/>
    <n v="514650"/>
    <n v="1852740"/>
  </r>
  <r>
    <x v="0"/>
    <x v="1"/>
    <x v="1"/>
    <x v="3"/>
    <x v="5"/>
    <s v="DE4-N_A"/>
    <x v="14"/>
    <x v="6"/>
    <s v="GNR_ST_NUCL_CND_E-33"/>
    <x v="0"/>
    <x v="19"/>
    <n v="1410"/>
    <n v="514650"/>
    <n v="1852740"/>
  </r>
  <r>
    <x v="0"/>
    <x v="1"/>
    <x v="1"/>
    <x v="3"/>
    <x v="5"/>
    <s v="DE4-N_A"/>
    <x v="14"/>
    <x v="6"/>
    <s v="GNR_ST_NUCL_CND_E-33"/>
    <x v="0"/>
    <x v="20"/>
    <n v="1410"/>
    <n v="514650"/>
    <n v="1852740"/>
  </r>
  <r>
    <x v="0"/>
    <x v="1"/>
    <x v="1"/>
    <x v="3"/>
    <x v="5"/>
    <s v="DE4-N_A"/>
    <x v="14"/>
    <x v="6"/>
    <s v="GNR_ST_NUCL_CND_E-33"/>
    <x v="0"/>
    <x v="21"/>
    <n v="1410"/>
    <n v="514650"/>
    <n v="1852740"/>
  </r>
  <r>
    <x v="0"/>
    <x v="1"/>
    <x v="1"/>
    <x v="3"/>
    <x v="5"/>
    <s v="DE4-N_A"/>
    <x v="14"/>
    <x v="6"/>
    <s v="GNR_ST_NUCL_CND_E-33"/>
    <x v="0"/>
    <x v="22"/>
    <n v="1410"/>
    <n v="514650"/>
    <n v="1852740"/>
  </r>
  <r>
    <x v="0"/>
    <x v="1"/>
    <x v="1"/>
    <x v="3"/>
    <x v="5"/>
    <s v="DE4-N_A"/>
    <x v="14"/>
    <x v="6"/>
    <s v="GNR_ST_NUCL_CND_E-33"/>
    <x v="0"/>
    <x v="23"/>
    <n v="1410"/>
    <n v="514650"/>
    <n v="1852740"/>
  </r>
  <r>
    <x v="0"/>
    <x v="1"/>
    <x v="1"/>
    <x v="3"/>
    <x v="5"/>
    <s v="DE4-N_A"/>
    <x v="5"/>
    <x v="3"/>
    <s v="GNR_PV_SUN"/>
    <x v="0"/>
    <x v="7"/>
    <n v="34.203475668542502"/>
    <n v="12484.268619017999"/>
    <n v="44943.367028464898"/>
  </r>
  <r>
    <x v="0"/>
    <x v="1"/>
    <x v="1"/>
    <x v="3"/>
    <x v="5"/>
    <s v="DE4-N_A"/>
    <x v="5"/>
    <x v="3"/>
    <s v="GNR_PV_SUN"/>
    <x v="0"/>
    <x v="8"/>
    <n v="257.49078093036098"/>
    <n v="93984.135039581801"/>
    <n v="338342.88614249398"/>
  </r>
  <r>
    <x v="0"/>
    <x v="1"/>
    <x v="1"/>
    <x v="3"/>
    <x v="5"/>
    <s v="DE4-N_A"/>
    <x v="5"/>
    <x v="3"/>
    <s v="GNR_PV_SUN"/>
    <x v="0"/>
    <x v="9"/>
    <n v="594.78967175398805"/>
    <n v="217098.230190206"/>
    <n v="781553.62868474005"/>
  </r>
  <r>
    <x v="0"/>
    <x v="1"/>
    <x v="1"/>
    <x v="3"/>
    <x v="5"/>
    <s v="DE4-N_A"/>
    <x v="5"/>
    <x v="3"/>
    <s v="GNR_PV_SUN"/>
    <x v="0"/>
    <x v="10"/>
    <n v="905.77819667873598"/>
    <n v="330609.04178773903"/>
    <n v="1190192.5504358599"/>
  </r>
  <r>
    <x v="0"/>
    <x v="1"/>
    <x v="1"/>
    <x v="3"/>
    <x v="5"/>
    <s v="DE4-N_A"/>
    <x v="5"/>
    <x v="3"/>
    <s v="GNR_PV_SUN"/>
    <x v="0"/>
    <x v="11"/>
    <n v="1029.7877212821199"/>
    <n v="375872.51826797298"/>
    <n v="1353141.0657647001"/>
  </r>
  <r>
    <x v="0"/>
    <x v="1"/>
    <x v="1"/>
    <x v="3"/>
    <x v="5"/>
    <s v="DE4-N_A"/>
    <x v="5"/>
    <x v="3"/>
    <s v="GNR_PV_SUN"/>
    <x v="0"/>
    <x v="12"/>
    <n v="895.42945275851002"/>
    <n v="326831.75025685597"/>
    <n v="1176594.30092468"/>
  </r>
  <r>
    <x v="0"/>
    <x v="1"/>
    <x v="1"/>
    <x v="3"/>
    <x v="5"/>
    <s v="DE4-N_A"/>
    <x v="5"/>
    <x v="3"/>
    <s v="GNR_PV_SUN"/>
    <x v="0"/>
    <x v="13"/>
    <n v="582.68690344050401"/>
    <n v="212680.719755784"/>
    <n v="765650.59112082201"/>
  </r>
  <r>
    <x v="0"/>
    <x v="1"/>
    <x v="1"/>
    <x v="3"/>
    <x v="5"/>
    <s v="DE4-N_A"/>
    <x v="5"/>
    <x v="3"/>
    <s v="GNR_PV_SUN"/>
    <x v="0"/>
    <x v="14"/>
    <n v="295.02690294609499"/>
    <n v="107684.819575325"/>
    <n v="387665.35047116899"/>
  </r>
  <r>
    <x v="0"/>
    <x v="1"/>
    <x v="1"/>
    <x v="3"/>
    <x v="5"/>
    <s v="DE4-N_A"/>
    <x v="5"/>
    <x v="3"/>
    <s v="GNR_PV_SUN"/>
    <x v="0"/>
    <x v="15"/>
    <n v="38.413134212363097"/>
    <n v="14020.793987512499"/>
    <n v="50474.858355045202"/>
  </r>
  <r>
    <x v="0"/>
    <x v="1"/>
    <x v="1"/>
    <x v="3"/>
    <x v="5"/>
    <s v="DE4-N_A"/>
    <x v="16"/>
    <x v="6"/>
    <s v="GNR_GEO_HEAT_EO"/>
    <x v="0"/>
    <x v="0"/>
    <n v="0.01"/>
    <n v="3.65"/>
    <n v="13.14"/>
  </r>
  <r>
    <x v="0"/>
    <x v="1"/>
    <x v="1"/>
    <x v="3"/>
    <x v="5"/>
    <s v="DE4-N_A"/>
    <x v="16"/>
    <x v="6"/>
    <s v="GNR_GEO_HEAT_EO"/>
    <x v="0"/>
    <x v="1"/>
    <n v="0.01"/>
    <n v="3.65"/>
    <n v="13.14"/>
  </r>
  <r>
    <x v="0"/>
    <x v="1"/>
    <x v="1"/>
    <x v="3"/>
    <x v="5"/>
    <s v="DE4-N_A"/>
    <x v="16"/>
    <x v="6"/>
    <s v="GNR_GEO_HEAT_EO"/>
    <x v="0"/>
    <x v="18"/>
    <n v="0.01"/>
    <n v="3.65"/>
    <n v="13.14"/>
  </r>
  <r>
    <x v="0"/>
    <x v="1"/>
    <x v="1"/>
    <x v="3"/>
    <x v="5"/>
    <s v="DE4-N_A"/>
    <x v="16"/>
    <x v="6"/>
    <s v="GNR_GEO_HEAT_EO"/>
    <x v="0"/>
    <x v="2"/>
    <n v="0.01"/>
    <n v="3.65"/>
    <n v="13.14"/>
  </r>
  <r>
    <x v="0"/>
    <x v="1"/>
    <x v="1"/>
    <x v="3"/>
    <x v="5"/>
    <s v="DE4-N_A"/>
    <x v="16"/>
    <x v="6"/>
    <s v="GNR_GEO_HEAT_EO"/>
    <x v="0"/>
    <x v="3"/>
    <n v="0.01"/>
    <n v="3.65"/>
    <n v="13.14"/>
  </r>
  <r>
    <x v="0"/>
    <x v="1"/>
    <x v="1"/>
    <x v="3"/>
    <x v="5"/>
    <s v="DE4-N_A"/>
    <x v="16"/>
    <x v="6"/>
    <s v="GNR_GEO_HEAT_EO"/>
    <x v="0"/>
    <x v="4"/>
    <n v="0.01"/>
    <n v="3.65"/>
    <n v="13.14"/>
  </r>
  <r>
    <x v="0"/>
    <x v="1"/>
    <x v="1"/>
    <x v="3"/>
    <x v="5"/>
    <s v="DE4-N_A"/>
    <x v="16"/>
    <x v="6"/>
    <s v="GNR_GEO_HEAT_EO"/>
    <x v="0"/>
    <x v="5"/>
    <n v="0.01"/>
    <n v="3.65"/>
    <n v="13.14"/>
  </r>
  <r>
    <x v="0"/>
    <x v="1"/>
    <x v="1"/>
    <x v="3"/>
    <x v="5"/>
    <s v="DE4-N_A"/>
    <x v="16"/>
    <x v="6"/>
    <s v="GNR_GEO_HEAT_EO"/>
    <x v="0"/>
    <x v="6"/>
    <n v="0.01"/>
    <n v="3.65"/>
    <n v="13.14"/>
  </r>
  <r>
    <x v="0"/>
    <x v="1"/>
    <x v="1"/>
    <x v="3"/>
    <x v="5"/>
    <s v="DE4-N_A"/>
    <x v="16"/>
    <x v="6"/>
    <s v="GNR_GEO_HEAT_EO"/>
    <x v="0"/>
    <x v="7"/>
    <n v="0.01"/>
    <n v="3.65"/>
    <n v="13.14"/>
  </r>
  <r>
    <x v="0"/>
    <x v="1"/>
    <x v="1"/>
    <x v="3"/>
    <x v="5"/>
    <s v="DE4-N_A"/>
    <x v="16"/>
    <x v="6"/>
    <s v="GNR_GEO_HEAT_EO"/>
    <x v="0"/>
    <x v="8"/>
    <n v="0.01"/>
    <n v="3.65"/>
    <n v="13.14"/>
  </r>
  <r>
    <x v="0"/>
    <x v="1"/>
    <x v="1"/>
    <x v="3"/>
    <x v="5"/>
    <s v="DE4-N_A"/>
    <x v="16"/>
    <x v="6"/>
    <s v="GNR_GEO_HEAT_EO"/>
    <x v="0"/>
    <x v="9"/>
    <n v="0.01"/>
    <n v="3.65"/>
    <n v="13.14"/>
  </r>
  <r>
    <x v="0"/>
    <x v="1"/>
    <x v="1"/>
    <x v="3"/>
    <x v="5"/>
    <s v="DE4-N_A"/>
    <x v="16"/>
    <x v="6"/>
    <s v="GNR_GEO_HEAT_EO"/>
    <x v="0"/>
    <x v="10"/>
    <n v="0.01"/>
    <n v="3.65"/>
    <n v="13.14"/>
  </r>
  <r>
    <x v="0"/>
    <x v="1"/>
    <x v="1"/>
    <x v="3"/>
    <x v="5"/>
    <s v="DE4-N_A"/>
    <x v="16"/>
    <x v="6"/>
    <s v="GNR_GEO_HEAT_EO"/>
    <x v="0"/>
    <x v="11"/>
    <n v="0.01"/>
    <n v="3.65"/>
    <n v="13.14"/>
  </r>
  <r>
    <x v="0"/>
    <x v="1"/>
    <x v="1"/>
    <x v="3"/>
    <x v="5"/>
    <s v="DE4-N_A"/>
    <x v="16"/>
    <x v="6"/>
    <s v="GNR_GEO_HEAT_EO"/>
    <x v="0"/>
    <x v="12"/>
    <n v="0.01"/>
    <n v="3.65"/>
    <n v="13.14"/>
  </r>
  <r>
    <x v="0"/>
    <x v="1"/>
    <x v="1"/>
    <x v="3"/>
    <x v="5"/>
    <s v="DE4-N_A"/>
    <x v="16"/>
    <x v="6"/>
    <s v="GNR_GEO_HEAT_EO"/>
    <x v="0"/>
    <x v="13"/>
    <n v="0.01"/>
    <n v="3.65"/>
    <n v="13.14"/>
  </r>
  <r>
    <x v="0"/>
    <x v="1"/>
    <x v="1"/>
    <x v="3"/>
    <x v="5"/>
    <s v="DE4-N_A"/>
    <x v="16"/>
    <x v="6"/>
    <s v="GNR_GEO_HEAT_EO"/>
    <x v="0"/>
    <x v="14"/>
    <n v="0.01"/>
    <n v="3.65"/>
    <n v="13.14"/>
  </r>
  <r>
    <x v="0"/>
    <x v="1"/>
    <x v="1"/>
    <x v="3"/>
    <x v="5"/>
    <s v="DE4-N_A"/>
    <x v="16"/>
    <x v="6"/>
    <s v="GNR_GEO_HEAT_EO"/>
    <x v="0"/>
    <x v="15"/>
    <n v="0.01"/>
    <n v="3.65"/>
    <n v="13.14"/>
  </r>
  <r>
    <x v="0"/>
    <x v="1"/>
    <x v="1"/>
    <x v="3"/>
    <x v="5"/>
    <s v="DE4-N_A"/>
    <x v="16"/>
    <x v="6"/>
    <s v="GNR_GEO_HEAT_EO"/>
    <x v="0"/>
    <x v="16"/>
    <n v="0.01"/>
    <n v="3.65"/>
    <n v="13.14"/>
  </r>
  <r>
    <x v="0"/>
    <x v="1"/>
    <x v="1"/>
    <x v="3"/>
    <x v="5"/>
    <s v="DE4-N_A"/>
    <x v="16"/>
    <x v="6"/>
    <s v="GNR_GEO_HEAT_EO"/>
    <x v="0"/>
    <x v="17"/>
    <n v="0.01"/>
    <n v="3.65"/>
    <n v="13.14"/>
  </r>
  <r>
    <x v="0"/>
    <x v="1"/>
    <x v="1"/>
    <x v="3"/>
    <x v="5"/>
    <s v="DE4-N_A"/>
    <x v="16"/>
    <x v="6"/>
    <s v="GNR_GEO_HEAT_EO"/>
    <x v="0"/>
    <x v="19"/>
    <n v="0.01"/>
    <n v="3.65"/>
    <n v="13.14"/>
  </r>
  <r>
    <x v="0"/>
    <x v="1"/>
    <x v="1"/>
    <x v="3"/>
    <x v="5"/>
    <s v="DE4-N_A"/>
    <x v="16"/>
    <x v="6"/>
    <s v="GNR_GEO_HEAT_EO"/>
    <x v="0"/>
    <x v="20"/>
    <n v="0.01"/>
    <n v="3.65"/>
    <n v="13.14"/>
  </r>
  <r>
    <x v="0"/>
    <x v="1"/>
    <x v="1"/>
    <x v="3"/>
    <x v="5"/>
    <s v="DE4-N_A"/>
    <x v="16"/>
    <x v="6"/>
    <s v="GNR_GEO_HEAT_EO"/>
    <x v="0"/>
    <x v="21"/>
    <n v="0.01"/>
    <n v="3.65"/>
    <n v="13.14"/>
  </r>
  <r>
    <x v="0"/>
    <x v="1"/>
    <x v="1"/>
    <x v="3"/>
    <x v="5"/>
    <s v="DE4-N_A"/>
    <x v="16"/>
    <x v="6"/>
    <s v="GNR_GEO_HEAT_EO"/>
    <x v="0"/>
    <x v="22"/>
    <n v="0.01"/>
    <n v="3.65"/>
    <n v="13.14"/>
  </r>
  <r>
    <x v="0"/>
    <x v="1"/>
    <x v="1"/>
    <x v="3"/>
    <x v="5"/>
    <s v="DE4-N_A"/>
    <x v="16"/>
    <x v="6"/>
    <s v="GNR_GEO_HEAT_EO"/>
    <x v="0"/>
    <x v="23"/>
    <n v="0.01"/>
    <n v="3.65"/>
    <n v="13.14"/>
  </r>
  <r>
    <x v="0"/>
    <x v="1"/>
    <x v="1"/>
    <x v="3"/>
    <x v="5"/>
    <s v="DE4-N_A"/>
    <x v="6"/>
    <x v="4"/>
    <s v="GNR_ROR_WTR"/>
    <x v="0"/>
    <x v="0"/>
    <n v="2.66860730593607"/>
    <n v="974.04166666666595"/>
    <n v="3506.55"/>
  </r>
  <r>
    <x v="0"/>
    <x v="1"/>
    <x v="1"/>
    <x v="3"/>
    <x v="5"/>
    <s v="DE4-N_A"/>
    <x v="6"/>
    <x v="4"/>
    <s v="GNR_ROR_WTR"/>
    <x v="0"/>
    <x v="1"/>
    <n v="2.66860730593607"/>
    <n v="974.04166666666595"/>
    <n v="3506.55"/>
  </r>
  <r>
    <x v="0"/>
    <x v="1"/>
    <x v="1"/>
    <x v="3"/>
    <x v="5"/>
    <s v="DE4-N_A"/>
    <x v="6"/>
    <x v="4"/>
    <s v="GNR_ROR_WTR"/>
    <x v="0"/>
    <x v="18"/>
    <n v="2.66860730593607"/>
    <n v="974.04166666666595"/>
    <n v="3506.55"/>
  </r>
  <r>
    <x v="0"/>
    <x v="1"/>
    <x v="1"/>
    <x v="3"/>
    <x v="5"/>
    <s v="DE4-N_A"/>
    <x v="6"/>
    <x v="4"/>
    <s v="GNR_ROR_WTR"/>
    <x v="0"/>
    <x v="2"/>
    <n v="2.66860730593607"/>
    <n v="974.04166666666595"/>
    <n v="3506.55"/>
  </r>
  <r>
    <x v="0"/>
    <x v="1"/>
    <x v="1"/>
    <x v="3"/>
    <x v="5"/>
    <s v="DE4-N_A"/>
    <x v="6"/>
    <x v="4"/>
    <s v="GNR_ROR_WTR"/>
    <x v="0"/>
    <x v="3"/>
    <n v="2.66860730593607"/>
    <n v="974.04166666666595"/>
    <n v="3506.55"/>
  </r>
  <r>
    <x v="0"/>
    <x v="1"/>
    <x v="1"/>
    <x v="3"/>
    <x v="5"/>
    <s v="DE4-N_A"/>
    <x v="6"/>
    <x v="4"/>
    <s v="GNR_ROR_WTR"/>
    <x v="0"/>
    <x v="4"/>
    <n v="2.66860730593607"/>
    <n v="974.04166666666595"/>
    <n v="3506.55"/>
  </r>
  <r>
    <x v="0"/>
    <x v="1"/>
    <x v="1"/>
    <x v="3"/>
    <x v="5"/>
    <s v="DE4-N_A"/>
    <x v="6"/>
    <x v="4"/>
    <s v="GNR_ROR_WTR"/>
    <x v="0"/>
    <x v="5"/>
    <n v="2.66860730593607"/>
    <n v="974.04166666666595"/>
    <n v="3506.55"/>
  </r>
  <r>
    <x v="0"/>
    <x v="1"/>
    <x v="1"/>
    <x v="3"/>
    <x v="5"/>
    <s v="DE4-N_A"/>
    <x v="6"/>
    <x v="4"/>
    <s v="GNR_ROR_WTR"/>
    <x v="0"/>
    <x v="6"/>
    <n v="2.66860730593607"/>
    <n v="974.04166666666595"/>
    <n v="3506.55"/>
  </r>
  <r>
    <x v="0"/>
    <x v="1"/>
    <x v="1"/>
    <x v="3"/>
    <x v="5"/>
    <s v="DE4-N_A"/>
    <x v="6"/>
    <x v="4"/>
    <s v="GNR_ROR_WTR"/>
    <x v="0"/>
    <x v="7"/>
    <n v="2.66860730593607"/>
    <n v="974.04166666666595"/>
    <n v="3506.55"/>
  </r>
  <r>
    <x v="0"/>
    <x v="1"/>
    <x v="1"/>
    <x v="3"/>
    <x v="5"/>
    <s v="DE4-N_A"/>
    <x v="6"/>
    <x v="4"/>
    <s v="GNR_ROR_WTR"/>
    <x v="0"/>
    <x v="8"/>
    <n v="2.66860730593607"/>
    <n v="974.04166666666595"/>
    <n v="3506.55"/>
  </r>
  <r>
    <x v="0"/>
    <x v="1"/>
    <x v="1"/>
    <x v="3"/>
    <x v="5"/>
    <s v="DE4-N_A"/>
    <x v="6"/>
    <x v="4"/>
    <s v="GNR_ROR_WTR"/>
    <x v="0"/>
    <x v="9"/>
    <n v="2.66860730593607"/>
    <n v="974.04166666666595"/>
    <n v="3506.55"/>
  </r>
  <r>
    <x v="0"/>
    <x v="1"/>
    <x v="1"/>
    <x v="3"/>
    <x v="5"/>
    <s v="DE4-N_A"/>
    <x v="6"/>
    <x v="4"/>
    <s v="GNR_ROR_WTR"/>
    <x v="0"/>
    <x v="10"/>
    <n v="2.66860730593607"/>
    <n v="974.04166666666595"/>
    <n v="3506.55"/>
  </r>
  <r>
    <x v="0"/>
    <x v="1"/>
    <x v="1"/>
    <x v="3"/>
    <x v="5"/>
    <s v="DE4-N_A"/>
    <x v="6"/>
    <x v="4"/>
    <s v="GNR_ROR_WTR"/>
    <x v="0"/>
    <x v="11"/>
    <n v="2.66860730593607"/>
    <n v="974.04166666666595"/>
    <n v="3506.55"/>
  </r>
  <r>
    <x v="0"/>
    <x v="1"/>
    <x v="1"/>
    <x v="3"/>
    <x v="5"/>
    <s v="DE4-N_A"/>
    <x v="6"/>
    <x v="4"/>
    <s v="GNR_ROR_WTR"/>
    <x v="0"/>
    <x v="12"/>
    <n v="2.66860730593607"/>
    <n v="974.04166666666595"/>
    <n v="3506.55"/>
  </r>
  <r>
    <x v="0"/>
    <x v="1"/>
    <x v="1"/>
    <x v="3"/>
    <x v="5"/>
    <s v="DE4-N_A"/>
    <x v="6"/>
    <x v="4"/>
    <s v="GNR_ROR_WTR"/>
    <x v="0"/>
    <x v="13"/>
    <n v="2.66860730593607"/>
    <n v="974.04166666666595"/>
    <n v="3506.55"/>
  </r>
  <r>
    <x v="0"/>
    <x v="1"/>
    <x v="1"/>
    <x v="3"/>
    <x v="5"/>
    <s v="DE4-N_A"/>
    <x v="6"/>
    <x v="4"/>
    <s v="GNR_ROR_WTR"/>
    <x v="0"/>
    <x v="14"/>
    <n v="2.66860730593607"/>
    <n v="974.04166666666595"/>
    <n v="3506.55"/>
  </r>
  <r>
    <x v="0"/>
    <x v="1"/>
    <x v="1"/>
    <x v="3"/>
    <x v="5"/>
    <s v="DE4-N_A"/>
    <x v="6"/>
    <x v="4"/>
    <s v="GNR_ROR_WTR"/>
    <x v="0"/>
    <x v="15"/>
    <n v="2.66860730593607"/>
    <n v="974.04166666666595"/>
    <n v="3506.55"/>
  </r>
  <r>
    <x v="0"/>
    <x v="1"/>
    <x v="1"/>
    <x v="3"/>
    <x v="5"/>
    <s v="DE4-N_A"/>
    <x v="6"/>
    <x v="4"/>
    <s v="GNR_ROR_WTR"/>
    <x v="0"/>
    <x v="16"/>
    <n v="2.66860730593607"/>
    <n v="974.04166666666595"/>
    <n v="3506.55"/>
  </r>
  <r>
    <x v="0"/>
    <x v="1"/>
    <x v="1"/>
    <x v="3"/>
    <x v="5"/>
    <s v="DE4-N_A"/>
    <x v="6"/>
    <x v="4"/>
    <s v="GNR_ROR_WTR"/>
    <x v="0"/>
    <x v="17"/>
    <n v="2.66860730593607"/>
    <n v="974.04166666666595"/>
    <n v="3506.55"/>
  </r>
  <r>
    <x v="0"/>
    <x v="1"/>
    <x v="1"/>
    <x v="3"/>
    <x v="5"/>
    <s v="DE4-N_A"/>
    <x v="6"/>
    <x v="4"/>
    <s v="GNR_ROR_WTR"/>
    <x v="0"/>
    <x v="19"/>
    <n v="2.66860730593607"/>
    <n v="974.04166666666595"/>
    <n v="3506.55"/>
  </r>
  <r>
    <x v="0"/>
    <x v="1"/>
    <x v="1"/>
    <x v="3"/>
    <x v="5"/>
    <s v="DE4-N_A"/>
    <x v="6"/>
    <x v="4"/>
    <s v="GNR_ROR_WTR"/>
    <x v="0"/>
    <x v="20"/>
    <n v="2.66860730593607"/>
    <n v="974.04166666666595"/>
    <n v="3506.55"/>
  </r>
  <r>
    <x v="0"/>
    <x v="1"/>
    <x v="1"/>
    <x v="3"/>
    <x v="5"/>
    <s v="DE4-N_A"/>
    <x v="6"/>
    <x v="4"/>
    <s v="GNR_ROR_WTR"/>
    <x v="0"/>
    <x v="21"/>
    <n v="2.66860730593607"/>
    <n v="974.04166666666595"/>
    <n v="3506.55"/>
  </r>
  <r>
    <x v="0"/>
    <x v="1"/>
    <x v="1"/>
    <x v="3"/>
    <x v="5"/>
    <s v="DE4-N_A"/>
    <x v="6"/>
    <x v="4"/>
    <s v="GNR_ROR_WTR"/>
    <x v="0"/>
    <x v="22"/>
    <n v="2.66860730593607"/>
    <n v="974.04166666666595"/>
    <n v="3506.55"/>
  </r>
  <r>
    <x v="0"/>
    <x v="1"/>
    <x v="1"/>
    <x v="3"/>
    <x v="5"/>
    <s v="DE4-N_A"/>
    <x v="6"/>
    <x v="4"/>
    <s v="GNR_ROR_WTR"/>
    <x v="0"/>
    <x v="23"/>
    <n v="2.66860730593607"/>
    <n v="974.04166666666595"/>
    <n v="3506.55"/>
  </r>
  <r>
    <x v="0"/>
    <x v="1"/>
    <x v="1"/>
    <x v="3"/>
    <x v="5"/>
    <s v="DE4-N_A"/>
    <x v="7"/>
    <x v="5"/>
    <s v="GNR_WT_WIND_ONS"/>
    <x v="0"/>
    <x v="0"/>
    <n v="1327.7539936558001"/>
    <n v="484630.20768436597"/>
    <n v="1744668.74766372"/>
  </r>
  <r>
    <x v="0"/>
    <x v="1"/>
    <x v="1"/>
    <x v="3"/>
    <x v="5"/>
    <s v="DE4-N_A"/>
    <x v="7"/>
    <x v="5"/>
    <s v="GNR_WT_WIND_ONS"/>
    <x v="0"/>
    <x v="1"/>
    <n v="1284.72370185368"/>
    <n v="468924.15117659402"/>
    <n v="1688126.94423574"/>
  </r>
  <r>
    <x v="0"/>
    <x v="1"/>
    <x v="1"/>
    <x v="3"/>
    <x v="5"/>
    <s v="DE4-N_A"/>
    <x v="7"/>
    <x v="5"/>
    <s v="GNR_WT_WIND_ONS"/>
    <x v="0"/>
    <x v="18"/>
    <n v="1248.05517803874"/>
    <n v="455540.13998414"/>
    <n v="1639944.5039429001"/>
  </r>
  <r>
    <x v="0"/>
    <x v="1"/>
    <x v="1"/>
    <x v="3"/>
    <x v="5"/>
    <s v="DE4-N_A"/>
    <x v="7"/>
    <x v="5"/>
    <s v="GNR_WT_WIND_ONS"/>
    <x v="0"/>
    <x v="2"/>
    <n v="1185.14436127672"/>
    <n v="432577.691866001"/>
    <n v="1557279.6907176101"/>
  </r>
  <r>
    <x v="0"/>
    <x v="1"/>
    <x v="1"/>
    <x v="3"/>
    <x v="5"/>
    <s v="DE4-N_A"/>
    <x v="7"/>
    <x v="5"/>
    <s v="GNR_WT_WIND_ONS"/>
    <x v="0"/>
    <x v="3"/>
    <n v="1079.55668426742"/>
    <n v="394038.18975760898"/>
    <n v="1418537.48312739"/>
  </r>
  <r>
    <x v="0"/>
    <x v="1"/>
    <x v="1"/>
    <x v="3"/>
    <x v="5"/>
    <s v="DE4-N_A"/>
    <x v="7"/>
    <x v="5"/>
    <s v="GNR_WT_WIND_ONS"/>
    <x v="0"/>
    <x v="4"/>
    <n v="985.10210123567504"/>
    <n v="359562.26695102098"/>
    <n v="1294424.1610236799"/>
  </r>
  <r>
    <x v="0"/>
    <x v="1"/>
    <x v="1"/>
    <x v="3"/>
    <x v="5"/>
    <s v="DE4-N_A"/>
    <x v="7"/>
    <x v="5"/>
    <s v="GNR_WT_WIND_ONS"/>
    <x v="0"/>
    <x v="5"/>
    <n v="812.00899725139902"/>
    <n v="296383.28399676102"/>
    <n v="1066979.82238834"/>
  </r>
  <r>
    <x v="0"/>
    <x v="1"/>
    <x v="1"/>
    <x v="3"/>
    <x v="5"/>
    <s v="DE4-N_A"/>
    <x v="7"/>
    <x v="5"/>
    <s v="GNR_WT_WIND_ONS"/>
    <x v="0"/>
    <x v="6"/>
    <n v="785.23655697205504"/>
    <n v="286611.34329480003"/>
    <n v="1031800.83586128"/>
  </r>
  <r>
    <x v="0"/>
    <x v="1"/>
    <x v="1"/>
    <x v="3"/>
    <x v="5"/>
    <s v="DE4-N_A"/>
    <x v="7"/>
    <x v="5"/>
    <s v="GNR_WT_WIND_ONS"/>
    <x v="0"/>
    <x v="7"/>
    <n v="844.17126874209703"/>
    <n v="308122.51309086499"/>
    <n v="1109241.04712712"/>
  </r>
  <r>
    <x v="0"/>
    <x v="1"/>
    <x v="1"/>
    <x v="3"/>
    <x v="5"/>
    <s v="DE4-N_A"/>
    <x v="7"/>
    <x v="5"/>
    <s v="GNR_WT_WIND_ONS"/>
    <x v="0"/>
    <x v="8"/>
    <n v="910.52804316383799"/>
    <n v="332342.73575480102"/>
    <n v="1196433.84871728"/>
  </r>
  <r>
    <x v="0"/>
    <x v="1"/>
    <x v="1"/>
    <x v="3"/>
    <x v="5"/>
    <s v="DE4-N_A"/>
    <x v="7"/>
    <x v="5"/>
    <s v="GNR_WT_WIND_ONS"/>
    <x v="0"/>
    <x v="9"/>
    <n v="1050.5752967703099"/>
    <n v="383459.98332116299"/>
    <n v="1380455.9399561901"/>
  </r>
  <r>
    <x v="0"/>
    <x v="1"/>
    <x v="1"/>
    <x v="3"/>
    <x v="5"/>
    <s v="DE4-N_A"/>
    <x v="7"/>
    <x v="5"/>
    <s v="GNR_WT_WIND_ONS"/>
    <x v="0"/>
    <x v="10"/>
    <n v="1157.31162633284"/>
    <n v="422418.74361148803"/>
    <n v="1520707.4770013599"/>
  </r>
  <r>
    <x v="0"/>
    <x v="1"/>
    <x v="1"/>
    <x v="3"/>
    <x v="5"/>
    <s v="DE4-N_A"/>
    <x v="7"/>
    <x v="5"/>
    <s v="GNR_WT_WIND_ONS"/>
    <x v="0"/>
    <x v="11"/>
    <n v="1424.1524502391801"/>
    <n v="519815.64433730103"/>
    <n v="1871336.31961428"/>
  </r>
  <r>
    <x v="0"/>
    <x v="1"/>
    <x v="1"/>
    <x v="3"/>
    <x v="5"/>
    <s v="DE4-N_A"/>
    <x v="7"/>
    <x v="5"/>
    <s v="GNR_WT_WIND_ONS"/>
    <x v="0"/>
    <x v="12"/>
    <n v="1664.2208338661701"/>
    <n v="607440.60436115204"/>
    <n v="2186786.17570015"/>
  </r>
  <r>
    <x v="0"/>
    <x v="1"/>
    <x v="1"/>
    <x v="3"/>
    <x v="5"/>
    <s v="DE4-N_A"/>
    <x v="7"/>
    <x v="5"/>
    <s v="GNR_WT_WIND_ONS"/>
    <x v="0"/>
    <x v="13"/>
    <n v="1937.7768573145199"/>
    <n v="707288.55291980004"/>
    <n v="2546238.7905112798"/>
  </r>
  <r>
    <x v="0"/>
    <x v="1"/>
    <x v="1"/>
    <x v="3"/>
    <x v="5"/>
    <s v="DE4-N_A"/>
    <x v="7"/>
    <x v="5"/>
    <s v="GNR_WT_WIND_ONS"/>
    <x v="0"/>
    <x v="14"/>
    <n v="2207.7985652144398"/>
    <n v="805846.47630327102"/>
    <n v="2901047.3146917801"/>
  </r>
  <r>
    <x v="0"/>
    <x v="1"/>
    <x v="1"/>
    <x v="3"/>
    <x v="5"/>
    <s v="DE4-N_A"/>
    <x v="7"/>
    <x v="5"/>
    <s v="GNR_WT_WIND_ONS"/>
    <x v="0"/>
    <x v="15"/>
    <n v="2568.2987511541301"/>
    <n v="937429.04417125601"/>
    <n v="3374744.5590165202"/>
  </r>
  <r>
    <x v="0"/>
    <x v="1"/>
    <x v="1"/>
    <x v="3"/>
    <x v="5"/>
    <s v="DE4-N_A"/>
    <x v="7"/>
    <x v="5"/>
    <s v="GNR_WT_WIND_ONS"/>
    <x v="0"/>
    <x v="16"/>
    <n v="2897.6086023789298"/>
    <n v="1057627.13986831"/>
    <n v="3807457.7035259199"/>
  </r>
  <r>
    <x v="0"/>
    <x v="1"/>
    <x v="1"/>
    <x v="3"/>
    <x v="5"/>
    <s v="DE4-N_A"/>
    <x v="7"/>
    <x v="5"/>
    <s v="GNR_WT_WIND_ONS"/>
    <x v="0"/>
    <x v="17"/>
    <n v="3250.5100098895"/>
    <n v="1186436.15360967"/>
    <n v="4271170.1529948004"/>
  </r>
  <r>
    <x v="0"/>
    <x v="1"/>
    <x v="1"/>
    <x v="3"/>
    <x v="5"/>
    <s v="DE4-N_A"/>
    <x v="7"/>
    <x v="5"/>
    <s v="GNR_WT_WIND_ONS"/>
    <x v="0"/>
    <x v="19"/>
    <n v="3605.17857517428"/>
    <n v="1315890.1799386099"/>
    <n v="4737204.647779"/>
  </r>
  <r>
    <x v="0"/>
    <x v="1"/>
    <x v="1"/>
    <x v="3"/>
    <x v="5"/>
    <s v="DE4-N_A"/>
    <x v="7"/>
    <x v="5"/>
    <s v="GNR_WT_WIND_ONS"/>
    <x v="0"/>
    <x v="20"/>
    <n v="3908.0694176745801"/>
    <n v="1426445.33745122"/>
    <n v="5135203.2148243999"/>
  </r>
  <r>
    <x v="0"/>
    <x v="1"/>
    <x v="1"/>
    <x v="3"/>
    <x v="5"/>
    <s v="DE4-N_A"/>
    <x v="7"/>
    <x v="5"/>
    <s v="GNR_WT_WIND_ONS"/>
    <x v="0"/>
    <x v="21"/>
    <n v="4241.2670160026601"/>
    <n v="1548062.46084097"/>
    <n v="5573024.85902749"/>
  </r>
  <r>
    <x v="0"/>
    <x v="1"/>
    <x v="1"/>
    <x v="3"/>
    <x v="5"/>
    <s v="DE4-N_A"/>
    <x v="7"/>
    <x v="5"/>
    <s v="GNR_WT_WIND_ONS"/>
    <x v="0"/>
    <x v="22"/>
    <n v="4661.7622083769102"/>
    <n v="1701543.2060575699"/>
    <n v="6125555.5418072604"/>
  </r>
  <r>
    <x v="0"/>
    <x v="1"/>
    <x v="1"/>
    <x v="3"/>
    <x v="5"/>
    <s v="DE4-N_A"/>
    <x v="7"/>
    <x v="5"/>
    <s v="GNR_WT_WIND_ONS"/>
    <x v="0"/>
    <x v="23"/>
    <n v="4936.0250949349502"/>
    <n v="1801649.1596512599"/>
    <n v="6485936.9747445202"/>
  </r>
  <r>
    <x v="0"/>
    <x v="1"/>
    <x v="1"/>
    <x v="3"/>
    <x v="5"/>
    <s v="DE4-N_Offshore_A"/>
    <x v="7"/>
    <x v="5"/>
    <s v="GNR_WT_WIND_OFF"/>
    <x v="0"/>
    <x v="0"/>
    <n v="293.30560164840898"/>
    <n v="107056.544601669"/>
    <n v="385403.56056601001"/>
  </r>
  <r>
    <x v="0"/>
    <x v="1"/>
    <x v="1"/>
    <x v="3"/>
    <x v="5"/>
    <s v="DE4-N_Offshore_A"/>
    <x v="7"/>
    <x v="5"/>
    <s v="GNR_WT_WIND_OFF"/>
    <x v="0"/>
    <x v="1"/>
    <n v="283.800056429618"/>
    <n v="103587.02059681099"/>
    <n v="372913.27414851799"/>
  </r>
  <r>
    <x v="0"/>
    <x v="1"/>
    <x v="1"/>
    <x v="3"/>
    <x v="5"/>
    <s v="DE4-N_Offshore_A"/>
    <x v="7"/>
    <x v="5"/>
    <s v="GNR_WT_WIND_OFF"/>
    <x v="0"/>
    <x v="18"/>
    <n v="275.69984849163399"/>
    <n v="100630.444699446"/>
    <n v="362269.60091800703"/>
  </r>
  <r>
    <x v="0"/>
    <x v="1"/>
    <x v="1"/>
    <x v="3"/>
    <x v="5"/>
    <s v="DE4-N_Offshore_A"/>
    <x v="7"/>
    <x v="5"/>
    <s v="GNR_WT_WIND_OFF"/>
    <x v="0"/>
    <x v="2"/>
    <n v="261.80262427032102"/>
    <n v="95557.9578586672"/>
    <n v="344008.64829120197"/>
  </r>
  <r>
    <x v="0"/>
    <x v="1"/>
    <x v="1"/>
    <x v="3"/>
    <x v="5"/>
    <s v="DE4-N_Offshore_A"/>
    <x v="7"/>
    <x v="5"/>
    <s v="GNR_WT_WIND_OFF"/>
    <x v="0"/>
    <x v="3"/>
    <n v="238.477929123595"/>
    <n v="87044.444130112301"/>
    <n v="313359.99886840401"/>
  </r>
  <r>
    <x v="0"/>
    <x v="1"/>
    <x v="1"/>
    <x v="3"/>
    <x v="5"/>
    <s v="DE4-N_Offshore_A"/>
    <x v="7"/>
    <x v="5"/>
    <s v="GNR_WT_WIND_OFF"/>
    <x v="0"/>
    <x v="4"/>
    <n v="217.61257421828199"/>
    <n v="79428.589589672803"/>
    <n v="285942.92252282199"/>
  </r>
  <r>
    <x v="0"/>
    <x v="1"/>
    <x v="1"/>
    <x v="3"/>
    <x v="5"/>
    <s v="DE4-N_Offshore_A"/>
    <x v="7"/>
    <x v="5"/>
    <s v="GNR_WT_WIND_OFF"/>
    <x v="0"/>
    <x v="5"/>
    <n v="179.375689036327"/>
    <n v="65472.126498259298"/>
    <n v="235699.655393733"/>
  </r>
  <r>
    <x v="0"/>
    <x v="1"/>
    <x v="1"/>
    <x v="3"/>
    <x v="5"/>
    <s v="DE4-N_Offshore_A"/>
    <x v="7"/>
    <x v="5"/>
    <s v="GNR_WT_WIND_OFF"/>
    <x v="0"/>
    <x v="6"/>
    <n v="173.461561312931"/>
    <n v="63313.469879219803"/>
    <n v="227928.49156519101"/>
  </r>
  <r>
    <x v="0"/>
    <x v="1"/>
    <x v="1"/>
    <x v="3"/>
    <x v="5"/>
    <s v="DE4-N_Offshore_A"/>
    <x v="7"/>
    <x v="5"/>
    <s v="GNR_WT_WIND_OFF"/>
    <x v="0"/>
    <x v="7"/>
    <n v="186.48044973373999"/>
    <n v="68065.364152814902"/>
    <n v="245035.31095013401"/>
  </r>
  <r>
    <x v="0"/>
    <x v="1"/>
    <x v="1"/>
    <x v="3"/>
    <x v="5"/>
    <s v="DE4-N_Offshore_A"/>
    <x v="7"/>
    <x v="5"/>
    <s v="GNR_WT_WIND_OFF"/>
    <x v="0"/>
    <x v="8"/>
    <n v="201.138898315489"/>
    <n v="73415.697885153597"/>
    <n v="264296.51238655299"/>
  </r>
  <r>
    <x v="0"/>
    <x v="1"/>
    <x v="1"/>
    <x v="3"/>
    <x v="5"/>
    <s v="DE4-N_Offshore_A"/>
    <x v="7"/>
    <x v="5"/>
    <s v="GNR_WT_WIND_OFF"/>
    <x v="0"/>
    <x v="9"/>
    <n v="232.07583706658599"/>
    <n v="84707.680529303907"/>
    <n v="304947.64990549401"/>
  </r>
  <r>
    <x v="0"/>
    <x v="1"/>
    <x v="1"/>
    <x v="3"/>
    <x v="5"/>
    <s v="DE4-N_Offshore_A"/>
    <x v="7"/>
    <x v="5"/>
    <s v="GNR_WT_WIND_OFF"/>
    <x v="0"/>
    <x v="10"/>
    <n v="255.654273666791"/>
    <n v="93313.809888378702"/>
    <n v="335929.71559816302"/>
  </r>
  <r>
    <x v="0"/>
    <x v="1"/>
    <x v="1"/>
    <x v="3"/>
    <x v="5"/>
    <s v="DE4-N_Offshore_A"/>
    <x v="7"/>
    <x v="5"/>
    <s v="GNR_WT_WIND_OFF"/>
    <x v="0"/>
    <x v="11"/>
    <n v="314.60036516730298"/>
    <n v="114829.133286066"/>
    <n v="413384.87982983602"/>
  </r>
  <r>
    <x v="0"/>
    <x v="1"/>
    <x v="1"/>
    <x v="3"/>
    <x v="5"/>
    <s v="DE4-N_Offshore_A"/>
    <x v="7"/>
    <x v="5"/>
    <s v="GNR_WT_WIND_OFF"/>
    <x v="0"/>
    <x v="12"/>
    <n v="367.63232894442001"/>
    <n v="134185.800064713"/>
    <n v="483068.88023296703"/>
  </r>
  <r>
    <x v="0"/>
    <x v="1"/>
    <x v="1"/>
    <x v="3"/>
    <x v="5"/>
    <s v="DE4-N_Offshore_A"/>
    <x v="7"/>
    <x v="5"/>
    <s v="GNR_WT_WIND_OFF"/>
    <x v="0"/>
    <x v="13"/>
    <n v="428.06183201911699"/>
    <n v="156242.56868697799"/>
    <n v="562473.24727311998"/>
  </r>
  <r>
    <x v="0"/>
    <x v="1"/>
    <x v="1"/>
    <x v="3"/>
    <x v="5"/>
    <s v="DE4-N_Offshore_A"/>
    <x v="7"/>
    <x v="5"/>
    <s v="GNR_WT_WIND_OFF"/>
    <x v="0"/>
    <x v="14"/>
    <n v="487.71059216003198"/>
    <n v="178014.36613841201"/>
    <n v="640851.71809828305"/>
  </r>
  <r>
    <x v="0"/>
    <x v="1"/>
    <x v="1"/>
    <x v="3"/>
    <x v="5"/>
    <s v="DE4-N_Offshore_A"/>
    <x v="7"/>
    <x v="5"/>
    <s v="GNR_WT_WIND_OFF"/>
    <x v="0"/>
    <x v="15"/>
    <n v="567.34637140575796"/>
    <n v="207081.42556310099"/>
    <n v="745493.13202716503"/>
  </r>
  <r>
    <x v="0"/>
    <x v="1"/>
    <x v="1"/>
    <x v="3"/>
    <x v="5"/>
    <s v="DE4-N_Offshore_A"/>
    <x v="7"/>
    <x v="5"/>
    <s v="GNR_WT_WIND_OFF"/>
    <x v="0"/>
    <x v="16"/>
    <n v="640.09209426085999"/>
    <n v="233633.614405214"/>
    <n v="841081.01185877004"/>
  </r>
  <r>
    <x v="0"/>
    <x v="1"/>
    <x v="1"/>
    <x v="3"/>
    <x v="5"/>
    <s v="DE4-N_Offshore_A"/>
    <x v="7"/>
    <x v="5"/>
    <s v="GNR_WT_WIND_OFF"/>
    <x v="0"/>
    <x v="17"/>
    <n v="718.04927619895398"/>
    <n v="262087.98581261799"/>
    <n v="943516.74892542604"/>
  </r>
  <r>
    <x v="0"/>
    <x v="1"/>
    <x v="1"/>
    <x v="3"/>
    <x v="5"/>
    <s v="DE4-N_Offshore_A"/>
    <x v="7"/>
    <x v="5"/>
    <s v="GNR_WT_WIND_OFF"/>
    <x v="0"/>
    <x v="19"/>
    <n v="796.39682960393998"/>
    <n v="290684.84280543798"/>
    <n v="1046465.43409958"/>
  </r>
  <r>
    <x v="0"/>
    <x v="1"/>
    <x v="1"/>
    <x v="3"/>
    <x v="5"/>
    <s v="DE4-N_Offshore_A"/>
    <x v="7"/>
    <x v="5"/>
    <s v="GNR_WT_WIND_OFF"/>
    <x v="0"/>
    <x v="20"/>
    <n v="863.30649902902496"/>
    <n v="315106.87214559398"/>
    <n v="1134384.7397241399"/>
  </r>
  <r>
    <x v="0"/>
    <x v="1"/>
    <x v="1"/>
    <x v="3"/>
    <x v="5"/>
    <s v="DE4-N_Offshore_A"/>
    <x v="7"/>
    <x v="5"/>
    <s v="GNR_WT_WIND_OFF"/>
    <x v="0"/>
    <x v="21"/>
    <n v="936.91103911128698"/>
    <n v="341972.52927562001"/>
    <n v="1231101.10539223"/>
  </r>
  <r>
    <x v="0"/>
    <x v="1"/>
    <x v="1"/>
    <x v="3"/>
    <x v="5"/>
    <s v="DE4-N_Offshore_A"/>
    <x v="7"/>
    <x v="5"/>
    <s v="GNR_WT_WIND_OFF"/>
    <x v="0"/>
    <x v="22"/>
    <n v="1029.7999296579501"/>
    <n v="375876.97432515299"/>
    <n v="1353157.1075705499"/>
  </r>
  <r>
    <x v="0"/>
    <x v="1"/>
    <x v="1"/>
    <x v="3"/>
    <x v="5"/>
    <s v="DE4-N_Offshore_A"/>
    <x v="7"/>
    <x v="5"/>
    <s v="GNR_WT_WIND_OFF"/>
    <x v="0"/>
    <x v="23"/>
    <n v="1090.38558131941"/>
    <n v="397990.737181584"/>
    <n v="1432766.6538537"/>
  </r>
  <r>
    <x v="0"/>
    <x v="1"/>
    <x v="1"/>
    <x v="3"/>
    <x v="6"/>
    <s v="DE4-S_A"/>
    <x v="0"/>
    <x v="2"/>
    <s v="GNR_ST_COAL_BP_E-34"/>
    <x v="0"/>
    <x v="6"/>
    <n v="227.3"/>
    <n v="82964.5"/>
    <n v="298672.2"/>
  </r>
  <r>
    <x v="0"/>
    <x v="1"/>
    <x v="1"/>
    <x v="3"/>
    <x v="6"/>
    <s v="DE4-S_A"/>
    <x v="0"/>
    <x v="2"/>
    <s v="GNR_ST_COAL_BP_E-34"/>
    <x v="0"/>
    <x v="7"/>
    <n v="227.3"/>
    <n v="82964.5"/>
    <n v="298672.2"/>
  </r>
  <r>
    <x v="0"/>
    <x v="1"/>
    <x v="1"/>
    <x v="3"/>
    <x v="6"/>
    <s v="DE4-S_A"/>
    <x v="0"/>
    <x v="2"/>
    <s v="GNR_ST_COAL_BP_E-34"/>
    <x v="0"/>
    <x v="8"/>
    <n v="227.3"/>
    <n v="82964.5"/>
    <n v="298672.2"/>
  </r>
  <r>
    <x v="0"/>
    <x v="1"/>
    <x v="1"/>
    <x v="3"/>
    <x v="6"/>
    <s v="DE4-S_A"/>
    <x v="0"/>
    <x v="2"/>
    <s v="GNR_ST_COAL_BP_E-43"/>
    <x v="0"/>
    <x v="3"/>
    <n v="523.752838682885"/>
    <n v="191169.786119253"/>
    <n v="688211.23002931103"/>
  </r>
  <r>
    <x v="0"/>
    <x v="1"/>
    <x v="1"/>
    <x v="3"/>
    <x v="6"/>
    <s v="DE4-S_A"/>
    <x v="0"/>
    <x v="2"/>
    <s v="GNR_ST_COAL_BP_E-43"/>
    <x v="0"/>
    <x v="4"/>
    <n v="1894.5296729972999"/>
    <n v="691503.33064401604"/>
    <n v="2489411.9903184599"/>
  </r>
  <r>
    <x v="0"/>
    <x v="1"/>
    <x v="1"/>
    <x v="3"/>
    <x v="6"/>
    <s v="DE4-S_A"/>
    <x v="0"/>
    <x v="2"/>
    <s v="GNR_ST_COAL_BP_E-43"/>
    <x v="0"/>
    <x v="5"/>
    <n v="6907.5"/>
    <n v="2521237.5"/>
    <n v="9076455"/>
  </r>
  <r>
    <x v="0"/>
    <x v="1"/>
    <x v="1"/>
    <x v="3"/>
    <x v="6"/>
    <s v="DE4-S_A"/>
    <x v="0"/>
    <x v="2"/>
    <s v="GNR_ST_COAL_BP_E-43"/>
    <x v="0"/>
    <x v="6"/>
    <n v="6907.5"/>
    <n v="2521237.5"/>
    <n v="9076455"/>
  </r>
  <r>
    <x v="0"/>
    <x v="1"/>
    <x v="1"/>
    <x v="3"/>
    <x v="6"/>
    <s v="DE4-S_A"/>
    <x v="0"/>
    <x v="2"/>
    <s v="GNR_ST_COAL_BP_E-43"/>
    <x v="0"/>
    <x v="7"/>
    <n v="6907.5"/>
    <n v="2521237.5"/>
    <n v="9076455"/>
  </r>
  <r>
    <x v="0"/>
    <x v="1"/>
    <x v="1"/>
    <x v="3"/>
    <x v="6"/>
    <s v="DE4-S_A"/>
    <x v="0"/>
    <x v="2"/>
    <s v="GNR_ST_COAL_BP_E-43"/>
    <x v="0"/>
    <x v="8"/>
    <n v="6907.5"/>
    <n v="2521237.5"/>
    <n v="9076455"/>
  </r>
  <r>
    <x v="0"/>
    <x v="1"/>
    <x v="1"/>
    <x v="3"/>
    <x v="6"/>
    <s v="DE4-S_A"/>
    <x v="0"/>
    <x v="2"/>
    <s v="GNR_ST_COAL_BP_E-43"/>
    <x v="0"/>
    <x v="9"/>
    <n v="6907.5"/>
    <n v="2521237.5"/>
    <n v="9076455"/>
  </r>
  <r>
    <x v="0"/>
    <x v="1"/>
    <x v="1"/>
    <x v="3"/>
    <x v="6"/>
    <s v="DE4-S_A"/>
    <x v="0"/>
    <x v="2"/>
    <s v="GNR_ST_COAL_BP_E-43"/>
    <x v="0"/>
    <x v="10"/>
    <n v="2430.3831177593602"/>
    <n v="887089.83798216505"/>
    <n v="3193523.4167357902"/>
  </r>
  <r>
    <x v="0"/>
    <x v="1"/>
    <x v="1"/>
    <x v="3"/>
    <x v="6"/>
    <s v="DE4-S_A"/>
    <x v="0"/>
    <x v="2"/>
    <s v="GNR_ST_COAL_BP_E-43"/>
    <x v="0"/>
    <x v="13"/>
    <n v="2047.2903443961"/>
    <n v="747260.97570457798"/>
    <n v="2690139.5125364801"/>
  </r>
  <r>
    <x v="0"/>
    <x v="1"/>
    <x v="1"/>
    <x v="3"/>
    <x v="6"/>
    <s v="DE4-S_A"/>
    <x v="0"/>
    <x v="2"/>
    <s v="GNR_ST_COAL_BP_E-43"/>
    <x v="0"/>
    <x v="14"/>
    <n v="6754.0657873053697"/>
    <n v="2465234.0123664602"/>
    <n v="8874842.4445192497"/>
  </r>
  <r>
    <x v="0"/>
    <x v="1"/>
    <x v="1"/>
    <x v="3"/>
    <x v="6"/>
    <s v="DE4-S_A"/>
    <x v="0"/>
    <x v="2"/>
    <s v="GNR_ST_COAL_BP_E-43"/>
    <x v="0"/>
    <x v="15"/>
    <n v="6907.5"/>
    <n v="2521237.5"/>
    <n v="9076455"/>
  </r>
  <r>
    <x v="0"/>
    <x v="1"/>
    <x v="1"/>
    <x v="3"/>
    <x v="6"/>
    <s v="DE4-S_A"/>
    <x v="0"/>
    <x v="2"/>
    <s v="GNR_ST_COAL_BP_E-43"/>
    <x v="0"/>
    <x v="16"/>
    <n v="6907.5"/>
    <n v="2521237.5"/>
    <n v="9076455"/>
  </r>
  <r>
    <x v="0"/>
    <x v="1"/>
    <x v="1"/>
    <x v="3"/>
    <x v="6"/>
    <s v="DE4-S_A"/>
    <x v="0"/>
    <x v="2"/>
    <s v="GNR_ST_COAL_BP_E-43"/>
    <x v="0"/>
    <x v="17"/>
    <n v="6907.5"/>
    <n v="2521237.5"/>
    <n v="9076455"/>
  </r>
  <r>
    <x v="0"/>
    <x v="1"/>
    <x v="1"/>
    <x v="3"/>
    <x v="6"/>
    <s v="DE4-S_A"/>
    <x v="0"/>
    <x v="2"/>
    <s v="GNR_ST_COAL_BP_E-43"/>
    <x v="0"/>
    <x v="19"/>
    <n v="3561.2350240423998"/>
    <n v="1299850.78377547"/>
    <n v="4679462.8215917097"/>
  </r>
  <r>
    <x v="0"/>
    <x v="1"/>
    <x v="1"/>
    <x v="3"/>
    <x v="6"/>
    <s v="DE4-S_A"/>
    <x v="0"/>
    <x v="2"/>
    <s v="GNR_ST_COAL_BP_E-43"/>
    <x v="0"/>
    <x v="20"/>
    <n v="2489.7336787546101"/>
    <n v="908752.79274543305"/>
    <n v="3271510.05388356"/>
  </r>
  <r>
    <x v="0"/>
    <x v="1"/>
    <x v="1"/>
    <x v="3"/>
    <x v="6"/>
    <s v="DE4-S_A"/>
    <x v="0"/>
    <x v="6"/>
    <s v="GNR_ST_COAL_CND_E-38"/>
    <x v="0"/>
    <x v="0"/>
    <n v="566.90385873880302"/>
    <n v="206919.90843966301"/>
    <n v="744911.67038278701"/>
  </r>
  <r>
    <x v="0"/>
    <x v="1"/>
    <x v="1"/>
    <x v="3"/>
    <x v="6"/>
    <s v="DE4-S_A"/>
    <x v="0"/>
    <x v="6"/>
    <s v="GNR_ST_COAL_CND_E-38"/>
    <x v="0"/>
    <x v="18"/>
    <n v="726"/>
    <n v="264990"/>
    <n v="953964"/>
  </r>
  <r>
    <x v="0"/>
    <x v="1"/>
    <x v="1"/>
    <x v="3"/>
    <x v="6"/>
    <s v="DE4-S_A"/>
    <x v="0"/>
    <x v="6"/>
    <s v="GNR_ST_COAL_CND_E-38"/>
    <x v="0"/>
    <x v="2"/>
    <n v="726"/>
    <n v="264990"/>
    <n v="953964"/>
  </r>
  <r>
    <x v="0"/>
    <x v="1"/>
    <x v="1"/>
    <x v="3"/>
    <x v="6"/>
    <s v="DE4-S_A"/>
    <x v="0"/>
    <x v="6"/>
    <s v="GNR_ST_COAL_CND_E-38"/>
    <x v="0"/>
    <x v="3"/>
    <n v="726"/>
    <n v="264990"/>
    <n v="953964"/>
  </r>
  <r>
    <x v="0"/>
    <x v="1"/>
    <x v="1"/>
    <x v="3"/>
    <x v="6"/>
    <s v="DE4-S_A"/>
    <x v="0"/>
    <x v="6"/>
    <s v="GNR_ST_COAL_CND_E-38"/>
    <x v="0"/>
    <x v="4"/>
    <n v="726"/>
    <n v="264990"/>
    <n v="953964"/>
  </r>
  <r>
    <x v="0"/>
    <x v="1"/>
    <x v="1"/>
    <x v="3"/>
    <x v="6"/>
    <s v="DE4-S_A"/>
    <x v="0"/>
    <x v="6"/>
    <s v="GNR_ST_COAL_CND_E-38"/>
    <x v="0"/>
    <x v="5"/>
    <n v="726"/>
    <n v="264990"/>
    <n v="953964"/>
  </r>
  <r>
    <x v="0"/>
    <x v="1"/>
    <x v="1"/>
    <x v="3"/>
    <x v="6"/>
    <s v="DE4-S_A"/>
    <x v="0"/>
    <x v="6"/>
    <s v="GNR_ST_COAL_CND_E-38"/>
    <x v="0"/>
    <x v="6"/>
    <n v="726"/>
    <n v="264990"/>
    <n v="953964"/>
  </r>
  <r>
    <x v="0"/>
    <x v="1"/>
    <x v="1"/>
    <x v="3"/>
    <x v="6"/>
    <s v="DE4-S_A"/>
    <x v="0"/>
    <x v="6"/>
    <s v="GNR_ST_COAL_CND_E-38"/>
    <x v="0"/>
    <x v="7"/>
    <n v="726"/>
    <n v="264990"/>
    <n v="953964"/>
  </r>
  <r>
    <x v="0"/>
    <x v="1"/>
    <x v="1"/>
    <x v="3"/>
    <x v="6"/>
    <s v="DE4-S_A"/>
    <x v="0"/>
    <x v="6"/>
    <s v="GNR_ST_COAL_CND_E-38"/>
    <x v="0"/>
    <x v="8"/>
    <n v="726"/>
    <n v="264990"/>
    <n v="953964"/>
  </r>
  <r>
    <x v="0"/>
    <x v="1"/>
    <x v="1"/>
    <x v="3"/>
    <x v="6"/>
    <s v="DE4-S_A"/>
    <x v="0"/>
    <x v="6"/>
    <s v="GNR_ST_COAL_CND_E-38"/>
    <x v="0"/>
    <x v="9"/>
    <n v="726"/>
    <n v="264990"/>
    <n v="953964"/>
  </r>
  <r>
    <x v="0"/>
    <x v="1"/>
    <x v="1"/>
    <x v="3"/>
    <x v="6"/>
    <s v="DE4-S_A"/>
    <x v="0"/>
    <x v="6"/>
    <s v="GNR_ST_COAL_CND_E-38"/>
    <x v="0"/>
    <x v="10"/>
    <n v="726"/>
    <n v="264990"/>
    <n v="953964"/>
  </r>
  <r>
    <x v="0"/>
    <x v="1"/>
    <x v="1"/>
    <x v="3"/>
    <x v="6"/>
    <s v="DE4-S_A"/>
    <x v="0"/>
    <x v="6"/>
    <s v="GNR_ST_COAL_CND_E-38"/>
    <x v="0"/>
    <x v="11"/>
    <n v="726"/>
    <n v="264990"/>
    <n v="953964"/>
  </r>
  <r>
    <x v="0"/>
    <x v="1"/>
    <x v="1"/>
    <x v="3"/>
    <x v="6"/>
    <s v="DE4-S_A"/>
    <x v="0"/>
    <x v="6"/>
    <s v="GNR_ST_COAL_CND_E-38"/>
    <x v="0"/>
    <x v="12"/>
    <n v="726"/>
    <n v="264990"/>
    <n v="953964"/>
  </r>
  <r>
    <x v="0"/>
    <x v="1"/>
    <x v="1"/>
    <x v="3"/>
    <x v="6"/>
    <s v="DE4-S_A"/>
    <x v="0"/>
    <x v="6"/>
    <s v="GNR_ST_COAL_CND_E-38"/>
    <x v="0"/>
    <x v="13"/>
    <n v="726"/>
    <n v="264990"/>
    <n v="953964"/>
  </r>
  <r>
    <x v="0"/>
    <x v="1"/>
    <x v="1"/>
    <x v="3"/>
    <x v="6"/>
    <s v="DE4-S_A"/>
    <x v="0"/>
    <x v="6"/>
    <s v="GNR_ST_COAL_CND_E-38"/>
    <x v="0"/>
    <x v="14"/>
    <n v="726"/>
    <n v="264990"/>
    <n v="953964"/>
  </r>
  <r>
    <x v="0"/>
    <x v="1"/>
    <x v="1"/>
    <x v="3"/>
    <x v="6"/>
    <s v="DE4-S_A"/>
    <x v="0"/>
    <x v="6"/>
    <s v="GNR_ST_COAL_CND_E-38"/>
    <x v="0"/>
    <x v="15"/>
    <n v="726"/>
    <n v="264990"/>
    <n v="953964"/>
  </r>
  <r>
    <x v="0"/>
    <x v="1"/>
    <x v="1"/>
    <x v="3"/>
    <x v="6"/>
    <s v="DE4-S_A"/>
    <x v="0"/>
    <x v="6"/>
    <s v="GNR_ST_COAL_CND_E-38"/>
    <x v="0"/>
    <x v="16"/>
    <n v="726"/>
    <n v="264990"/>
    <n v="953964"/>
  </r>
  <r>
    <x v="0"/>
    <x v="1"/>
    <x v="1"/>
    <x v="3"/>
    <x v="6"/>
    <s v="DE4-S_A"/>
    <x v="0"/>
    <x v="6"/>
    <s v="GNR_ST_COAL_CND_E-38"/>
    <x v="0"/>
    <x v="17"/>
    <n v="726"/>
    <n v="264990"/>
    <n v="953964"/>
  </r>
  <r>
    <x v="0"/>
    <x v="1"/>
    <x v="1"/>
    <x v="3"/>
    <x v="6"/>
    <s v="DE4-S_A"/>
    <x v="0"/>
    <x v="6"/>
    <s v="GNR_ST_COAL_CND_E-38"/>
    <x v="0"/>
    <x v="19"/>
    <n v="726"/>
    <n v="264990"/>
    <n v="953964"/>
  </r>
  <r>
    <x v="0"/>
    <x v="1"/>
    <x v="1"/>
    <x v="3"/>
    <x v="6"/>
    <s v="DE4-S_A"/>
    <x v="0"/>
    <x v="6"/>
    <s v="GNR_ST_COAL_CND_E-38"/>
    <x v="0"/>
    <x v="20"/>
    <n v="726"/>
    <n v="264990"/>
    <n v="953964"/>
  </r>
  <r>
    <x v="0"/>
    <x v="1"/>
    <x v="1"/>
    <x v="3"/>
    <x v="6"/>
    <s v="DE4-S_A"/>
    <x v="0"/>
    <x v="6"/>
    <s v="GNR_ST_COAL_CND_E-38"/>
    <x v="0"/>
    <x v="21"/>
    <n v="687.30737823032496"/>
    <n v="250867.19305406901"/>
    <n v="903121.89499464806"/>
  </r>
  <r>
    <x v="0"/>
    <x v="1"/>
    <x v="1"/>
    <x v="3"/>
    <x v="6"/>
    <s v="DE4-S_A"/>
    <x v="0"/>
    <x v="6"/>
    <s v="GNR_ST_COAL_CND_E-44"/>
    <x v="0"/>
    <x v="0"/>
    <n v="527"/>
    <n v="192355"/>
    <n v="692478"/>
  </r>
  <r>
    <x v="0"/>
    <x v="1"/>
    <x v="1"/>
    <x v="3"/>
    <x v="6"/>
    <s v="DE4-S_A"/>
    <x v="0"/>
    <x v="6"/>
    <s v="GNR_ST_COAL_CND_E-44"/>
    <x v="0"/>
    <x v="1"/>
    <n v="527"/>
    <n v="192355"/>
    <n v="692478"/>
  </r>
  <r>
    <x v="0"/>
    <x v="1"/>
    <x v="1"/>
    <x v="3"/>
    <x v="6"/>
    <s v="DE4-S_A"/>
    <x v="0"/>
    <x v="6"/>
    <s v="GNR_ST_COAL_CND_E-44"/>
    <x v="0"/>
    <x v="18"/>
    <n v="527"/>
    <n v="192355"/>
    <n v="692478"/>
  </r>
  <r>
    <x v="0"/>
    <x v="1"/>
    <x v="1"/>
    <x v="3"/>
    <x v="6"/>
    <s v="DE4-S_A"/>
    <x v="0"/>
    <x v="6"/>
    <s v="GNR_ST_COAL_CND_E-44"/>
    <x v="0"/>
    <x v="2"/>
    <n v="527"/>
    <n v="192355"/>
    <n v="692478"/>
  </r>
  <r>
    <x v="0"/>
    <x v="1"/>
    <x v="1"/>
    <x v="3"/>
    <x v="6"/>
    <s v="DE4-S_A"/>
    <x v="0"/>
    <x v="6"/>
    <s v="GNR_ST_COAL_CND_E-44"/>
    <x v="0"/>
    <x v="3"/>
    <n v="527"/>
    <n v="192355"/>
    <n v="692478"/>
  </r>
  <r>
    <x v="0"/>
    <x v="1"/>
    <x v="1"/>
    <x v="3"/>
    <x v="6"/>
    <s v="DE4-S_A"/>
    <x v="0"/>
    <x v="6"/>
    <s v="GNR_ST_COAL_CND_E-44"/>
    <x v="0"/>
    <x v="4"/>
    <n v="527"/>
    <n v="192355"/>
    <n v="692478"/>
  </r>
  <r>
    <x v="0"/>
    <x v="1"/>
    <x v="1"/>
    <x v="3"/>
    <x v="6"/>
    <s v="DE4-S_A"/>
    <x v="0"/>
    <x v="6"/>
    <s v="GNR_ST_COAL_CND_E-44"/>
    <x v="0"/>
    <x v="5"/>
    <n v="527"/>
    <n v="192355"/>
    <n v="692478"/>
  </r>
  <r>
    <x v="0"/>
    <x v="1"/>
    <x v="1"/>
    <x v="3"/>
    <x v="6"/>
    <s v="DE4-S_A"/>
    <x v="0"/>
    <x v="6"/>
    <s v="GNR_ST_COAL_CND_E-44"/>
    <x v="0"/>
    <x v="6"/>
    <n v="527"/>
    <n v="192355"/>
    <n v="692478"/>
  </r>
  <r>
    <x v="0"/>
    <x v="1"/>
    <x v="1"/>
    <x v="3"/>
    <x v="6"/>
    <s v="DE4-S_A"/>
    <x v="0"/>
    <x v="6"/>
    <s v="GNR_ST_COAL_CND_E-44"/>
    <x v="0"/>
    <x v="7"/>
    <n v="527"/>
    <n v="192355"/>
    <n v="692478"/>
  </r>
  <r>
    <x v="0"/>
    <x v="1"/>
    <x v="1"/>
    <x v="3"/>
    <x v="6"/>
    <s v="DE4-S_A"/>
    <x v="0"/>
    <x v="6"/>
    <s v="GNR_ST_COAL_CND_E-44"/>
    <x v="0"/>
    <x v="8"/>
    <n v="527"/>
    <n v="192355"/>
    <n v="692478"/>
  </r>
  <r>
    <x v="0"/>
    <x v="1"/>
    <x v="1"/>
    <x v="3"/>
    <x v="6"/>
    <s v="DE4-S_A"/>
    <x v="0"/>
    <x v="6"/>
    <s v="GNR_ST_COAL_CND_E-44"/>
    <x v="0"/>
    <x v="9"/>
    <n v="527"/>
    <n v="192355"/>
    <n v="692478"/>
  </r>
  <r>
    <x v="0"/>
    <x v="1"/>
    <x v="1"/>
    <x v="3"/>
    <x v="6"/>
    <s v="DE4-S_A"/>
    <x v="0"/>
    <x v="6"/>
    <s v="GNR_ST_COAL_CND_E-44"/>
    <x v="0"/>
    <x v="10"/>
    <n v="527"/>
    <n v="192355"/>
    <n v="692478"/>
  </r>
  <r>
    <x v="0"/>
    <x v="1"/>
    <x v="1"/>
    <x v="3"/>
    <x v="6"/>
    <s v="DE4-S_A"/>
    <x v="0"/>
    <x v="6"/>
    <s v="GNR_ST_COAL_CND_E-44"/>
    <x v="0"/>
    <x v="11"/>
    <n v="527"/>
    <n v="192355"/>
    <n v="692478"/>
  </r>
  <r>
    <x v="0"/>
    <x v="1"/>
    <x v="1"/>
    <x v="3"/>
    <x v="6"/>
    <s v="DE4-S_A"/>
    <x v="0"/>
    <x v="6"/>
    <s v="GNR_ST_COAL_CND_E-44"/>
    <x v="0"/>
    <x v="12"/>
    <n v="527"/>
    <n v="192355"/>
    <n v="692478"/>
  </r>
  <r>
    <x v="0"/>
    <x v="1"/>
    <x v="1"/>
    <x v="3"/>
    <x v="6"/>
    <s v="DE4-S_A"/>
    <x v="0"/>
    <x v="6"/>
    <s v="GNR_ST_COAL_CND_E-44"/>
    <x v="0"/>
    <x v="13"/>
    <n v="527"/>
    <n v="192355"/>
    <n v="692478"/>
  </r>
  <r>
    <x v="0"/>
    <x v="1"/>
    <x v="1"/>
    <x v="3"/>
    <x v="6"/>
    <s v="DE4-S_A"/>
    <x v="0"/>
    <x v="6"/>
    <s v="GNR_ST_COAL_CND_E-44"/>
    <x v="0"/>
    <x v="14"/>
    <n v="527"/>
    <n v="192355"/>
    <n v="692478"/>
  </r>
  <r>
    <x v="0"/>
    <x v="1"/>
    <x v="1"/>
    <x v="3"/>
    <x v="6"/>
    <s v="DE4-S_A"/>
    <x v="0"/>
    <x v="6"/>
    <s v="GNR_ST_COAL_CND_E-44"/>
    <x v="0"/>
    <x v="15"/>
    <n v="527"/>
    <n v="192355"/>
    <n v="692478"/>
  </r>
  <r>
    <x v="0"/>
    <x v="1"/>
    <x v="1"/>
    <x v="3"/>
    <x v="6"/>
    <s v="DE4-S_A"/>
    <x v="0"/>
    <x v="6"/>
    <s v="GNR_ST_COAL_CND_E-44"/>
    <x v="0"/>
    <x v="16"/>
    <n v="527"/>
    <n v="192355"/>
    <n v="692478"/>
  </r>
  <r>
    <x v="0"/>
    <x v="1"/>
    <x v="1"/>
    <x v="3"/>
    <x v="6"/>
    <s v="DE4-S_A"/>
    <x v="0"/>
    <x v="6"/>
    <s v="GNR_ST_COAL_CND_E-44"/>
    <x v="0"/>
    <x v="17"/>
    <n v="527"/>
    <n v="192355"/>
    <n v="692478"/>
  </r>
  <r>
    <x v="0"/>
    <x v="1"/>
    <x v="1"/>
    <x v="3"/>
    <x v="6"/>
    <s v="DE4-S_A"/>
    <x v="0"/>
    <x v="6"/>
    <s v="GNR_ST_COAL_CND_E-44"/>
    <x v="0"/>
    <x v="19"/>
    <n v="527"/>
    <n v="192355"/>
    <n v="692478"/>
  </r>
  <r>
    <x v="0"/>
    <x v="1"/>
    <x v="1"/>
    <x v="3"/>
    <x v="6"/>
    <s v="DE4-S_A"/>
    <x v="0"/>
    <x v="6"/>
    <s v="GNR_ST_COAL_CND_E-44"/>
    <x v="0"/>
    <x v="20"/>
    <n v="527"/>
    <n v="192355"/>
    <n v="692478"/>
  </r>
  <r>
    <x v="0"/>
    <x v="1"/>
    <x v="1"/>
    <x v="3"/>
    <x v="6"/>
    <s v="DE4-S_A"/>
    <x v="0"/>
    <x v="6"/>
    <s v="GNR_ST_COAL_CND_E-44"/>
    <x v="0"/>
    <x v="21"/>
    <n v="527"/>
    <n v="192355"/>
    <n v="692478"/>
  </r>
  <r>
    <x v="0"/>
    <x v="1"/>
    <x v="1"/>
    <x v="3"/>
    <x v="6"/>
    <s v="DE4-S_A"/>
    <x v="0"/>
    <x v="6"/>
    <s v="GNR_ST_COAL_CND_E-44"/>
    <x v="0"/>
    <x v="22"/>
    <n v="527"/>
    <n v="192355"/>
    <n v="692478"/>
  </r>
  <r>
    <x v="0"/>
    <x v="1"/>
    <x v="1"/>
    <x v="3"/>
    <x v="6"/>
    <s v="DE4-S_A"/>
    <x v="0"/>
    <x v="6"/>
    <s v="GNR_ST_COAL_CND_E-44"/>
    <x v="0"/>
    <x v="23"/>
    <n v="527"/>
    <n v="192355"/>
    <n v="692478"/>
  </r>
  <r>
    <x v="0"/>
    <x v="1"/>
    <x v="1"/>
    <x v="3"/>
    <x v="6"/>
    <s v="DE4-S_A"/>
    <x v="1"/>
    <x v="8"/>
    <s v="AGG-DE4-S_RES_WTR_PMP"/>
    <x v="0"/>
    <x v="0"/>
    <n v="476.744814109419"/>
    <n v="174011.85714993801"/>
    <n v="626442.685739776"/>
  </r>
  <r>
    <x v="0"/>
    <x v="1"/>
    <x v="1"/>
    <x v="3"/>
    <x v="6"/>
    <s v="DE4-S_A"/>
    <x v="1"/>
    <x v="8"/>
    <s v="AGG-DE4-S_RES_WTR_PMP"/>
    <x v="0"/>
    <x v="1"/>
    <n v="1686.2551858905799"/>
    <n v="615483.14285006199"/>
    <n v="2215739.3142602202"/>
  </r>
  <r>
    <x v="0"/>
    <x v="1"/>
    <x v="1"/>
    <x v="3"/>
    <x v="6"/>
    <s v="DE4-S_A"/>
    <x v="1"/>
    <x v="8"/>
    <s v="AGG-DE4-S_RES_WTR_PMP"/>
    <x v="0"/>
    <x v="6"/>
    <n v="950.57924378070697"/>
    <n v="346961.423979958"/>
    <n v="1249061.1263278499"/>
  </r>
  <r>
    <x v="0"/>
    <x v="1"/>
    <x v="1"/>
    <x v="3"/>
    <x v="6"/>
    <s v="DE4-S_A"/>
    <x v="1"/>
    <x v="8"/>
    <s v="AGG-DE4-S_RES_WTR_PMP"/>
    <x v="0"/>
    <x v="7"/>
    <n v="1122.9669250124"/>
    <n v="409882.92762952601"/>
    <n v="1475578.53946629"/>
  </r>
  <r>
    <x v="0"/>
    <x v="1"/>
    <x v="1"/>
    <x v="3"/>
    <x v="6"/>
    <s v="DE4-S_A"/>
    <x v="1"/>
    <x v="8"/>
    <s v="AGG-DE4-S_RES_WTR_PMP"/>
    <x v="0"/>
    <x v="8"/>
    <n v="391.68122846716699"/>
    <n v="142963.648390516"/>
    <n v="514669.134205857"/>
  </r>
  <r>
    <x v="0"/>
    <x v="1"/>
    <x v="1"/>
    <x v="3"/>
    <x v="6"/>
    <s v="DE4-S_A"/>
    <x v="1"/>
    <x v="8"/>
    <s v="AGG-DE4-S_RES_WTR_PMP"/>
    <x v="0"/>
    <x v="15"/>
    <n v="302.22739726027299"/>
    <n v="110313"/>
    <n v="397126.799999999"/>
  </r>
  <r>
    <x v="0"/>
    <x v="1"/>
    <x v="1"/>
    <x v="3"/>
    <x v="6"/>
    <s v="DE4-S_A"/>
    <x v="1"/>
    <x v="8"/>
    <s v="AGG-DE4-S_RES_WTR_PMP"/>
    <x v="0"/>
    <x v="16"/>
    <n v="2163"/>
    <n v="789495"/>
    <n v="2842182"/>
  </r>
  <r>
    <x v="0"/>
    <x v="1"/>
    <x v="1"/>
    <x v="3"/>
    <x v="6"/>
    <s v="DE4-S_A"/>
    <x v="2"/>
    <x v="6"/>
    <s v="GNR_ST_MSW_CND_E-33"/>
    <x v="0"/>
    <x v="5"/>
    <n v="27.5"/>
    <n v="10037.5"/>
    <n v="36135"/>
  </r>
  <r>
    <x v="0"/>
    <x v="1"/>
    <x v="1"/>
    <x v="3"/>
    <x v="6"/>
    <s v="DE4-S_A"/>
    <x v="2"/>
    <x v="6"/>
    <s v="GNR_ST_MSW_CND_E-33"/>
    <x v="0"/>
    <x v="6"/>
    <n v="27.5"/>
    <n v="10037.5"/>
    <n v="36135"/>
  </r>
  <r>
    <x v="0"/>
    <x v="1"/>
    <x v="1"/>
    <x v="3"/>
    <x v="6"/>
    <s v="DE4-S_A"/>
    <x v="2"/>
    <x v="6"/>
    <s v="GNR_ST_MSW_CND_E-33"/>
    <x v="0"/>
    <x v="7"/>
    <n v="27.5"/>
    <n v="10037.5"/>
    <n v="36135"/>
  </r>
  <r>
    <x v="0"/>
    <x v="1"/>
    <x v="1"/>
    <x v="3"/>
    <x v="6"/>
    <s v="DE4-S_A"/>
    <x v="2"/>
    <x v="6"/>
    <s v="GNR_ST_MSW_CND_E-33"/>
    <x v="0"/>
    <x v="8"/>
    <n v="27.5"/>
    <n v="10037.5"/>
    <n v="36135"/>
  </r>
  <r>
    <x v="0"/>
    <x v="1"/>
    <x v="1"/>
    <x v="3"/>
    <x v="6"/>
    <s v="DE4-S_A"/>
    <x v="2"/>
    <x v="6"/>
    <s v="GNR_ST_MSW_CND_E-33"/>
    <x v="0"/>
    <x v="9"/>
    <n v="27.5"/>
    <n v="10037.5"/>
    <n v="36135"/>
  </r>
  <r>
    <x v="0"/>
    <x v="1"/>
    <x v="1"/>
    <x v="3"/>
    <x v="6"/>
    <s v="DE4-S_A"/>
    <x v="2"/>
    <x v="6"/>
    <s v="GNR_ST_MSW_CND_E-33"/>
    <x v="0"/>
    <x v="10"/>
    <n v="27.5"/>
    <n v="10037.5"/>
    <n v="36135"/>
  </r>
  <r>
    <x v="0"/>
    <x v="1"/>
    <x v="1"/>
    <x v="3"/>
    <x v="6"/>
    <s v="DE4-S_A"/>
    <x v="2"/>
    <x v="6"/>
    <s v="GNR_ST_MSW_CND_E-33"/>
    <x v="0"/>
    <x v="11"/>
    <n v="6.3066691647327398"/>
    <n v="2301.9342451274501"/>
    <n v="8286.9632824588207"/>
  </r>
  <r>
    <x v="0"/>
    <x v="1"/>
    <x v="1"/>
    <x v="3"/>
    <x v="6"/>
    <s v="DE4-S_A"/>
    <x v="2"/>
    <x v="6"/>
    <s v="GNR_ST_MSW_CND_E-33"/>
    <x v="0"/>
    <x v="13"/>
    <n v="27.5"/>
    <n v="10037.5"/>
    <n v="36135"/>
  </r>
  <r>
    <x v="0"/>
    <x v="1"/>
    <x v="1"/>
    <x v="3"/>
    <x v="6"/>
    <s v="DE4-S_A"/>
    <x v="2"/>
    <x v="6"/>
    <s v="GNR_ST_MSW_CND_E-33"/>
    <x v="0"/>
    <x v="14"/>
    <n v="27.5"/>
    <n v="10037.5"/>
    <n v="36135"/>
  </r>
  <r>
    <x v="0"/>
    <x v="1"/>
    <x v="1"/>
    <x v="3"/>
    <x v="6"/>
    <s v="DE4-S_A"/>
    <x v="2"/>
    <x v="6"/>
    <s v="GNR_ST_MSW_CND_E-33"/>
    <x v="0"/>
    <x v="15"/>
    <n v="27.5"/>
    <n v="10037.5"/>
    <n v="36135"/>
  </r>
  <r>
    <x v="0"/>
    <x v="1"/>
    <x v="1"/>
    <x v="3"/>
    <x v="6"/>
    <s v="DE4-S_A"/>
    <x v="2"/>
    <x v="6"/>
    <s v="GNR_ST_MSW_CND_E-33"/>
    <x v="0"/>
    <x v="16"/>
    <n v="27.5"/>
    <n v="10037.5"/>
    <n v="36135"/>
  </r>
  <r>
    <x v="0"/>
    <x v="1"/>
    <x v="1"/>
    <x v="3"/>
    <x v="6"/>
    <s v="DE4-S_A"/>
    <x v="2"/>
    <x v="6"/>
    <s v="GNR_ST_MSW_CND_E-33"/>
    <x v="0"/>
    <x v="17"/>
    <n v="27.5"/>
    <n v="10037.5"/>
    <n v="36135"/>
  </r>
  <r>
    <x v="0"/>
    <x v="1"/>
    <x v="1"/>
    <x v="3"/>
    <x v="6"/>
    <s v="DE4-S_A"/>
    <x v="14"/>
    <x v="6"/>
    <s v="GNR_ST_NUCL_CND_E-33"/>
    <x v="0"/>
    <x v="0"/>
    <n v="4008"/>
    <n v="1462920"/>
    <n v="5266512"/>
  </r>
  <r>
    <x v="0"/>
    <x v="1"/>
    <x v="1"/>
    <x v="3"/>
    <x v="6"/>
    <s v="DE4-S_A"/>
    <x v="14"/>
    <x v="6"/>
    <s v="GNR_ST_NUCL_CND_E-33"/>
    <x v="0"/>
    <x v="1"/>
    <n v="4008"/>
    <n v="1462920"/>
    <n v="5266512"/>
  </r>
  <r>
    <x v="0"/>
    <x v="1"/>
    <x v="1"/>
    <x v="3"/>
    <x v="6"/>
    <s v="DE4-S_A"/>
    <x v="14"/>
    <x v="6"/>
    <s v="GNR_ST_NUCL_CND_E-33"/>
    <x v="0"/>
    <x v="18"/>
    <n v="4008"/>
    <n v="1462920"/>
    <n v="5266512"/>
  </r>
  <r>
    <x v="0"/>
    <x v="1"/>
    <x v="1"/>
    <x v="3"/>
    <x v="6"/>
    <s v="DE4-S_A"/>
    <x v="14"/>
    <x v="6"/>
    <s v="GNR_ST_NUCL_CND_E-33"/>
    <x v="0"/>
    <x v="2"/>
    <n v="4008"/>
    <n v="1462920"/>
    <n v="5266512"/>
  </r>
  <r>
    <x v="0"/>
    <x v="1"/>
    <x v="1"/>
    <x v="3"/>
    <x v="6"/>
    <s v="DE4-S_A"/>
    <x v="14"/>
    <x v="6"/>
    <s v="GNR_ST_NUCL_CND_E-33"/>
    <x v="0"/>
    <x v="3"/>
    <n v="4008"/>
    <n v="1462920"/>
    <n v="5266512"/>
  </r>
  <r>
    <x v="0"/>
    <x v="1"/>
    <x v="1"/>
    <x v="3"/>
    <x v="6"/>
    <s v="DE4-S_A"/>
    <x v="14"/>
    <x v="6"/>
    <s v="GNR_ST_NUCL_CND_E-33"/>
    <x v="0"/>
    <x v="4"/>
    <n v="4008"/>
    <n v="1462920"/>
    <n v="5266512"/>
  </r>
  <r>
    <x v="0"/>
    <x v="1"/>
    <x v="1"/>
    <x v="3"/>
    <x v="6"/>
    <s v="DE4-S_A"/>
    <x v="14"/>
    <x v="6"/>
    <s v="GNR_ST_NUCL_CND_E-33"/>
    <x v="0"/>
    <x v="5"/>
    <n v="4008"/>
    <n v="1462920"/>
    <n v="5266512"/>
  </r>
  <r>
    <x v="0"/>
    <x v="1"/>
    <x v="1"/>
    <x v="3"/>
    <x v="6"/>
    <s v="DE4-S_A"/>
    <x v="14"/>
    <x v="6"/>
    <s v="GNR_ST_NUCL_CND_E-33"/>
    <x v="0"/>
    <x v="6"/>
    <n v="4008"/>
    <n v="1462920"/>
    <n v="5266512"/>
  </r>
  <r>
    <x v="0"/>
    <x v="1"/>
    <x v="1"/>
    <x v="3"/>
    <x v="6"/>
    <s v="DE4-S_A"/>
    <x v="14"/>
    <x v="6"/>
    <s v="GNR_ST_NUCL_CND_E-33"/>
    <x v="0"/>
    <x v="7"/>
    <n v="4008"/>
    <n v="1462920"/>
    <n v="5266512"/>
  </r>
  <r>
    <x v="0"/>
    <x v="1"/>
    <x v="1"/>
    <x v="3"/>
    <x v="6"/>
    <s v="DE4-S_A"/>
    <x v="14"/>
    <x v="6"/>
    <s v="GNR_ST_NUCL_CND_E-33"/>
    <x v="0"/>
    <x v="8"/>
    <n v="4008"/>
    <n v="1462920"/>
    <n v="5266512"/>
  </r>
  <r>
    <x v="0"/>
    <x v="1"/>
    <x v="1"/>
    <x v="3"/>
    <x v="6"/>
    <s v="DE4-S_A"/>
    <x v="14"/>
    <x v="6"/>
    <s v="GNR_ST_NUCL_CND_E-33"/>
    <x v="0"/>
    <x v="9"/>
    <n v="4008"/>
    <n v="1462920"/>
    <n v="5266512"/>
  </r>
  <r>
    <x v="0"/>
    <x v="1"/>
    <x v="1"/>
    <x v="3"/>
    <x v="6"/>
    <s v="DE4-S_A"/>
    <x v="14"/>
    <x v="6"/>
    <s v="GNR_ST_NUCL_CND_E-33"/>
    <x v="0"/>
    <x v="10"/>
    <n v="4008"/>
    <n v="1462920"/>
    <n v="5266512"/>
  </r>
  <r>
    <x v="0"/>
    <x v="1"/>
    <x v="1"/>
    <x v="3"/>
    <x v="6"/>
    <s v="DE4-S_A"/>
    <x v="14"/>
    <x v="6"/>
    <s v="GNR_ST_NUCL_CND_E-33"/>
    <x v="0"/>
    <x v="11"/>
    <n v="4008"/>
    <n v="1462920"/>
    <n v="5266512"/>
  </r>
  <r>
    <x v="0"/>
    <x v="1"/>
    <x v="1"/>
    <x v="3"/>
    <x v="6"/>
    <s v="DE4-S_A"/>
    <x v="14"/>
    <x v="6"/>
    <s v="GNR_ST_NUCL_CND_E-33"/>
    <x v="0"/>
    <x v="12"/>
    <n v="4008"/>
    <n v="1462920"/>
    <n v="5266512"/>
  </r>
  <r>
    <x v="0"/>
    <x v="1"/>
    <x v="1"/>
    <x v="3"/>
    <x v="6"/>
    <s v="DE4-S_A"/>
    <x v="14"/>
    <x v="6"/>
    <s v="GNR_ST_NUCL_CND_E-33"/>
    <x v="0"/>
    <x v="13"/>
    <n v="4008"/>
    <n v="1462920"/>
    <n v="5266512"/>
  </r>
  <r>
    <x v="0"/>
    <x v="1"/>
    <x v="1"/>
    <x v="3"/>
    <x v="6"/>
    <s v="DE4-S_A"/>
    <x v="14"/>
    <x v="6"/>
    <s v="GNR_ST_NUCL_CND_E-33"/>
    <x v="0"/>
    <x v="14"/>
    <n v="4008"/>
    <n v="1462920"/>
    <n v="5266512"/>
  </r>
  <r>
    <x v="0"/>
    <x v="1"/>
    <x v="1"/>
    <x v="3"/>
    <x v="6"/>
    <s v="DE4-S_A"/>
    <x v="14"/>
    <x v="6"/>
    <s v="GNR_ST_NUCL_CND_E-33"/>
    <x v="0"/>
    <x v="15"/>
    <n v="4008"/>
    <n v="1462920"/>
    <n v="5266512"/>
  </r>
  <r>
    <x v="0"/>
    <x v="1"/>
    <x v="1"/>
    <x v="3"/>
    <x v="6"/>
    <s v="DE4-S_A"/>
    <x v="14"/>
    <x v="6"/>
    <s v="GNR_ST_NUCL_CND_E-33"/>
    <x v="0"/>
    <x v="16"/>
    <n v="4008"/>
    <n v="1462920"/>
    <n v="5266512"/>
  </r>
  <r>
    <x v="0"/>
    <x v="1"/>
    <x v="1"/>
    <x v="3"/>
    <x v="6"/>
    <s v="DE4-S_A"/>
    <x v="14"/>
    <x v="6"/>
    <s v="GNR_ST_NUCL_CND_E-33"/>
    <x v="0"/>
    <x v="17"/>
    <n v="4008"/>
    <n v="1462920"/>
    <n v="5266512"/>
  </r>
  <r>
    <x v="0"/>
    <x v="1"/>
    <x v="1"/>
    <x v="3"/>
    <x v="6"/>
    <s v="DE4-S_A"/>
    <x v="14"/>
    <x v="6"/>
    <s v="GNR_ST_NUCL_CND_E-33"/>
    <x v="0"/>
    <x v="19"/>
    <n v="4008"/>
    <n v="1462920"/>
    <n v="5266512"/>
  </r>
  <r>
    <x v="0"/>
    <x v="1"/>
    <x v="1"/>
    <x v="3"/>
    <x v="6"/>
    <s v="DE4-S_A"/>
    <x v="14"/>
    <x v="6"/>
    <s v="GNR_ST_NUCL_CND_E-33"/>
    <x v="0"/>
    <x v="20"/>
    <n v="4008"/>
    <n v="1462920"/>
    <n v="5266512"/>
  </r>
  <r>
    <x v="0"/>
    <x v="1"/>
    <x v="1"/>
    <x v="3"/>
    <x v="6"/>
    <s v="DE4-S_A"/>
    <x v="14"/>
    <x v="6"/>
    <s v="GNR_ST_NUCL_CND_E-33"/>
    <x v="0"/>
    <x v="21"/>
    <n v="4008"/>
    <n v="1462920"/>
    <n v="5266512"/>
  </r>
  <r>
    <x v="0"/>
    <x v="1"/>
    <x v="1"/>
    <x v="3"/>
    <x v="6"/>
    <s v="DE4-S_A"/>
    <x v="14"/>
    <x v="6"/>
    <s v="GNR_ST_NUCL_CND_E-33"/>
    <x v="0"/>
    <x v="22"/>
    <n v="4008"/>
    <n v="1462920"/>
    <n v="5266512"/>
  </r>
  <r>
    <x v="0"/>
    <x v="1"/>
    <x v="1"/>
    <x v="3"/>
    <x v="6"/>
    <s v="DE4-S_A"/>
    <x v="14"/>
    <x v="6"/>
    <s v="GNR_ST_NUCL_CND_E-33"/>
    <x v="0"/>
    <x v="23"/>
    <n v="4008"/>
    <n v="1462920"/>
    <n v="5266512"/>
  </r>
  <r>
    <x v="0"/>
    <x v="1"/>
    <x v="1"/>
    <x v="3"/>
    <x v="6"/>
    <s v="DE4-S_A"/>
    <x v="5"/>
    <x v="3"/>
    <s v="GNR_PV_SUN"/>
    <x v="0"/>
    <x v="7"/>
    <n v="448.63435297837799"/>
    <n v="163751.538837108"/>
    <n v="589505.53981358896"/>
  </r>
  <r>
    <x v="0"/>
    <x v="1"/>
    <x v="1"/>
    <x v="3"/>
    <x v="6"/>
    <s v="DE4-S_A"/>
    <x v="5"/>
    <x v="3"/>
    <s v="GNR_PV_SUN"/>
    <x v="0"/>
    <x v="8"/>
    <n v="3377.4114367808202"/>
    <n v="1232755.1744250001"/>
    <n v="4437918.6279299902"/>
  </r>
  <r>
    <x v="0"/>
    <x v="1"/>
    <x v="1"/>
    <x v="3"/>
    <x v="6"/>
    <s v="DE4-S_A"/>
    <x v="5"/>
    <x v="3"/>
    <s v="GNR_PV_SUN"/>
    <x v="0"/>
    <x v="9"/>
    <n v="7801.63636384452"/>
    <n v="2847597.2728032498"/>
    <n v="10251350.1820917"/>
  </r>
  <r>
    <x v="0"/>
    <x v="1"/>
    <x v="1"/>
    <x v="3"/>
    <x v="6"/>
    <s v="DE4-S_A"/>
    <x v="5"/>
    <x v="3"/>
    <s v="GNR_PV_SUN"/>
    <x v="0"/>
    <x v="10"/>
    <n v="11880.7579424633"/>
    <n v="4336476.6489991099"/>
    <n v="15611315.9363968"/>
  </r>
  <r>
    <x v="0"/>
    <x v="1"/>
    <x v="1"/>
    <x v="3"/>
    <x v="6"/>
    <s v="DE4-S_A"/>
    <x v="5"/>
    <x v="3"/>
    <s v="GNR_PV_SUN"/>
    <x v="0"/>
    <x v="11"/>
    <n v="13507.3450581336"/>
    <n v="4930180.9462187802"/>
    <n v="17748651.406387601"/>
  </r>
  <r>
    <x v="0"/>
    <x v="1"/>
    <x v="1"/>
    <x v="3"/>
    <x v="6"/>
    <s v="DE4-S_A"/>
    <x v="5"/>
    <x v="3"/>
    <s v="GNR_PV_SUN"/>
    <x v="0"/>
    <x v="12"/>
    <n v="11745.017292074999"/>
    <n v="4286931.3116073702"/>
    <n v="15432952.721786501"/>
  </r>
  <r>
    <x v="0"/>
    <x v="1"/>
    <x v="1"/>
    <x v="3"/>
    <x v="6"/>
    <s v="DE4-S_A"/>
    <x v="5"/>
    <x v="3"/>
    <s v="GNR_PV_SUN"/>
    <x v="0"/>
    <x v="13"/>
    <n v="7642.8888235598597"/>
    <n v="2789654.4205993498"/>
    <n v="10042755.9141577"/>
  </r>
  <r>
    <x v="0"/>
    <x v="1"/>
    <x v="1"/>
    <x v="3"/>
    <x v="6"/>
    <s v="DE4-S_A"/>
    <x v="5"/>
    <x v="3"/>
    <s v="GNR_PV_SUN"/>
    <x v="0"/>
    <x v="14"/>
    <n v="3869.7588805622199"/>
    <n v="1412461.99140521"/>
    <n v="5084863.1690587504"/>
  </r>
  <r>
    <x v="0"/>
    <x v="1"/>
    <x v="1"/>
    <x v="3"/>
    <x v="6"/>
    <s v="DE4-S_A"/>
    <x v="5"/>
    <x v="3"/>
    <s v="GNR_PV_SUN"/>
    <x v="0"/>
    <x v="15"/>
    <n v="503.850888729563"/>
    <n v="183905.574386291"/>
    <n v="662060.06779064599"/>
  </r>
  <r>
    <x v="0"/>
    <x v="1"/>
    <x v="1"/>
    <x v="3"/>
    <x v="6"/>
    <s v="DE4-S_A"/>
    <x v="16"/>
    <x v="6"/>
    <s v="GNR_GEO_HEAT_EO"/>
    <x v="0"/>
    <x v="0"/>
    <n v="44.76"/>
    <n v="16337.4"/>
    <n v="58814.64"/>
  </r>
  <r>
    <x v="0"/>
    <x v="1"/>
    <x v="1"/>
    <x v="3"/>
    <x v="6"/>
    <s v="DE4-S_A"/>
    <x v="16"/>
    <x v="6"/>
    <s v="GNR_GEO_HEAT_EO"/>
    <x v="0"/>
    <x v="1"/>
    <n v="44.76"/>
    <n v="16337.4"/>
    <n v="58814.64"/>
  </r>
  <r>
    <x v="0"/>
    <x v="1"/>
    <x v="1"/>
    <x v="3"/>
    <x v="6"/>
    <s v="DE4-S_A"/>
    <x v="16"/>
    <x v="6"/>
    <s v="GNR_GEO_HEAT_EO"/>
    <x v="0"/>
    <x v="18"/>
    <n v="44.76"/>
    <n v="16337.4"/>
    <n v="58814.64"/>
  </r>
  <r>
    <x v="0"/>
    <x v="1"/>
    <x v="1"/>
    <x v="3"/>
    <x v="6"/>
    <s v="DE4-S_A"/>
    <x v="16"/>
    <x v="6"/>
    <s v="GNR_GEO_HEAT_EO"/>
    <x v="0"/>
    <x v="2"/>
    <n v="44.76"/>
    <n v="16337.4"/>
    <n v="58814.64"/>
  </r>
  <r>
    <x v="0"/>
    <x v="1"/>
    <x v="1"/>
    <x v="3"/>
    <x v="6"/>
    <s v="DE4-S_A"/>
    <x v="16"/>
    <x v="6"/>
    <s v="GNR_GEO_HEAT_EO"/>
    <x v="0"/>
    <x v="3"/>
    <n v="44.76"/>
    <n v="16337.4"/>
    <n v="58814.64"/>
  </r>
  <r>
    <x v="0"/>
    <x v="1"/>
    <x v="1"/>
    <x v="3"/>
    <x v="6"/>
    <s v="DE4-S_A"/>
    <x v="16"/>
    <x v="6"/>
    <s v="GNR_GEO_HEAT_EO"/>
    <x v="0"/>
    <x v="4"/>
    <n v="44.76"/>
    <n v="16337.4"/>
    <n v="58814.64"/>
  </r>
  <r>
    <x v="0"/>
    <x v="1"/>
    <x v="1"/>
    <x v="3"/>
    <x v="6"/>
    <s v="DE4-S_A"/>
    <x v="16"/>
    <x v="6"/>
    <s v="GNR_GEO_HEAT_EO"/>
    <x v="0"/>
    <x v="5"/>
    <n v="44.76"/>
    <n v="16337.4"/>
    <n v="58814.64"/>
  </r>
  <r>
    <x v="0"/>
    <x v="1"/>
    <x v="1"/>
    <x v="3"/>
    <x v="6"/>
    <s v="DE4-S_A"/>
    <x v="16"/>
    <x v="6"/>
    <s v="GNR_GEO_HEAT_EO"/>
    <x v="0"/>
    <x v="6"/>
    <n v="44.76"/>
    <n v="16337.4"/>
    <n v="58814.64"/>
  </r>
  <r>
    <x v="0"/>
    <x v="1"/>
    <x v="1"/>
    <x v="3"/>
    <x v="6"/>
    <s v="DE4-S_A"/>
    <x v="16"/>
    <x v="6"/>
    <s v="GNR_GEO_HEAT_EO"/>
    <x v="0"/>
    <x v="7"/>
    <n v="44.76"/>
    <n v="16337.4"/>
    <n v="58814.64"/>
  </r>
  <r>
    <x v="0"/>
    <x v="1"/>
    <x v="1"/>
    <x v="3"/>
    <x v="6"/>
    <s v="DE4-S_A"/>
    <x v="16"/>
    <x v="6"/>
    <s v="GNR_GEO_HEAT_EO"/>
    <x v="0"/>
    <x v="8"/>
    <n v="44.76"/>
    <n v="16337.4"/>
    <n v="58814.64"/>
  </r>
  <r>
    <x v="0"/>
    <x v="1"/>
    <x v="1"/>
    <x v="3"/>
    <x v="6"/>
    <s v="DE4-S_A"/>
    <x v="16"/>
    <x v="6"/>
    <s v="GNR_GEO_HEAT_EO"/>
    <x v="0"/>
    <x v="9"/>
    <n v="44.76"/>
    <n v="16337.4"/>
    <n v="58814.64"/>
  </r>
  <r>
    <x v="0"/>
    <x v="1"/>
    <x v="1"/>
    <x v="3"/>
    <x v="6"/>
    <s v="DE4-S_A"/>
    <x v="16"/>
    <x v="6"/>
    <s v="GNR_GEO_HEAT_EO"/>
    <x v="0"/>
    <x v="10"/>
    <n v="44.76"/>
    <n v="16337.4"/>
    <n v="58814.64"/>
  </r>
  <r>
    <x v="0"/>
    <x v="1"/>
    <x v="1"/>
    <x v="3"/>
    <x v="6"/>
    <s v="DE4-S_A"/>
    <x v="16"/>
    <x v="6"/>
    <s v="GNR_GEO_HEAT_EO"/>
    <x v="0"/>
    <x v="11"/>
    <n v="44.76"/>
    <n v="16337.4"/>
    <n v="58814.64"/>
  </r>
  <r>
    <x v="0"/>
    <x v="1"/>
    <x v="1"/>
    <x v="3"/>
    <x v="6"/>
    <s v="DE4-S_A"/>
    <x v="16"/>
    <x v="6"/>
    <s v="GNR_GEO_HEAT_EO"/>
    <x v="0"/>
    <x v="12"/>
    <n v="44.76"/>
    <n v="16337.4"/>
    <n v="58814.64"/>
  </r>
  <r>
    <x v="0"/>
    <x v="1"/>
    <x v="1"/>
    <x v="3"/>
    <x v="6"/>
    <s v="DE4-S_A"/>
    <x v="16"/>
    <x v="6"/>
    <s v="GNR_GEO_HEAT_EO"/>
    <x v="0"/>
    <x v="13"/>
    <n v="44.76"/>
    <n v="16337.4"/>
    <n v="58814.64"/>
  </r>
  <r>
    <x v="0"/>
    <x v="1"/>
    <x v="1"/>
    <x v="3"/>
    <x v="6"/>
    <s v="DE4-S_A"/>
    <x v="16"/>
    <x v="6"/>
    <s v="GNR_GEO_HEAT_EO"/>
    <x v="0"/>
    <x v="14"/>
    <n v="44.76"/>
    <n v="16337.4"/>
    <n v="58814.64"/>
  </r>
  <r>
    <x v="0"/>
    <x v="1"/>
    <x v="1"/>
    <x v="3"/>
    <x v="6"/>
    <s v="DE4-S_A"/>
    <x v="16"/>
    <x v="6"/>
    <s v="GNR_GEO_HEAT_EO"/>
    <x v="0"/>
    <x v="15"/>
    <n v="44.76"/>
    <n v="16337.4"/>
    <n v="58814.64"/>
  </r>
  <r>
    <x v="0"/>
    <x v="1"/>
    <x v="1"/>
    <x v="3"/>
    <x v="6"/>
    <s v="DE4-S_A"/>
    <x v="16"/>
    <x v="6"/>
    <s v="GNR_GEO_HEAT_EO"/>
    <x v="0"/>
    <x v="16"/>
    <n v="44.76"/>
    <n v="16337.4"/>
    <n v="58814.64"/>
  </r>
  <r>
    <x v="0"/>
    <x v="1"/>
    <x v="1"/>
    <x v="3"/>
    <x v="6"/>
    <s v="DE4-S_A"/>
    <x v="16"/>
    <x v="6"/>
    <s v="GNR_GEO_HEAT_EO"/>
    <x v="0"/>
    <x v="17"/>
    <n v="44.76"/>
    <n v="16337.4"/>
    <n v="58814.64"/>
  </r>
  <r>
    <x v="0"/>
    <x v="1"/>
    <x v="1"/>
    <x v="3"/>
    <x v="6"/>
    <s v="DE4-S_A"/>
    <x v="16"/>
    <x v="6"/>
    <s v="GNR_GEO_HEAT_EO"/>
    <x v="0"/>
    <x v="19"/>
    <n v="44.76"/>
    <n v="16337.4"/>
    <n v="58814.64"/>
  </r>
  <r>
    <x v="0"/>
    <x v="1"/>
    <x v="1"/>
    <x v="3"/>
    <x v="6"/>
    <s v="DE4-S_A"/>
    <x v="16"/>
    <x v="6"/>
    <s v="GNR_GEO_HEAT_EO"/>
    <x v="0"/>
    <x v="20"/>
    <n v="44.76"/>
    <n v="16337.4"/>
    <n v="58814.64"/>
  </r>
  <r>
    <x v="0"/>
    <x v="1"/>
    <x v="1"/>
    <x v="3"/>
    <x v="6"/>
    <s v="DE4-S_A"/>
    <x v="16"/>
    <x v="6"/>
    <s v="GNR_GEO_HEAT_EO"/>
    <x v="0"/>
    <x v="21"/>
    <n v="44.76"/>
    <n v="16337.4"/>
    <n v="58814.64"/>
  </r>
  <r>
    <x v="0"/>
    <x v="1"/>
    <x v="1"/>
    <x v="3"/>
    <x v="6"/>
    <s v="DE4-S_A"/>
    <x v="16"/>
    <x v="6"/>
    <s v="GNR_GEO_HEAT_EO"/>
    <x v="0"/>
    <x v="22"/>
    <n v="44.76"/>
    <n v="16337.4"/>
    <n v="58814.64"/>
  </r>
  <r>
    <x v="0"/>
    <x v="1"/>
    <x v="1"/>
    <x v="3"/>
    <x v="6"/>
    <s v="DE4-S_A"/>
    <x v="16"/>
    <x v="6"/>
    <s v="GNR_GEO_HEAT_EO"/>
    <x v="0"/>
    <x v="23"/>
    <n v="44.76"/>
    <n v="16337.4"/>
    <n v="58814.64"/>
  </r>
  <r>
    <x v="0"/>
    <x v="1"/>
    <x v="1"/>
    <x v="3"/>
    <x v="6"/>
    <s v="DE4-S_A"/>
    <x v="6"/>
    <x v="7"/>
    <s v="GNR_RES_WTR_NOPMP"/>
    <x v="0"/>
    <x v="5"/>
    <n v="124"/>
    <n v="45260"/>
    <n v="162936"/>
  </r>
  <r>
    <x v="0"/>
    <x v="1"/>
    <x v="1"/>
    <x v="3"/>
    <x v="6"/>
    <s v="DE4-S_A"/>
    <x v="6"/>
    <x v="7"/>
    <s v="GNR_RES_WTR_NOPMP"/>
    <x v="0"/>
    <x v="6"/>
    <n v="124"/>
    <n v="45260"/>
    <n v="162936"/>
  </r>
  <r>
    <x v="0"/>
    <x v="1"/>
    <x v="1"/>
    <x v="3"/>
    <x v="6"/>
    <s v="DE4-S_A"/>
    <x v="6"/>
    <x v="7"/>
    <s v="GNR_RES_WTR_NOPMP"/>
    <x v="0"/>
    <x v="7"/>
    <n v="124"/>
    <n v="45260"/>
    <n v="162936"/>
  </r>
  <r>
    <x v="0"/>
    <x v="1"/>
    <x v="1"/>
    <x v="3"/>
    <x v="6"/>
    <s v="DE4-S_A"/>
    <x v="6"/>
    <x v="7"/>
    <s v="GNR_RES_WTR_NOPMP"/>
    <x v="0"/>
    <x v="8"/>
    <n v="124"/>
    <n v="45260"/>
    <n v="162936"/>
  </r>
  <r>
    <x v="0"/>
    <x v="1"/>
    <x v="1"/>
    <x v="3"/>
    <x v="6"/>
    <s v="DE4-S_A"/>
    <x v="6"/>
    <x v="7"/>
    <s v="GNR_RES_WTR_NOPMP"/>
    <x v="0"/>
    <x v="9"/>
    <n v="124"/>
    <n v="45260"/>
    <n v="162936"/>
  </r>
  <r>
    <x v="0"/>
    <x v="1"/>
    <x v="1"/>
    <x v="3"/>
    <x v="6"/>
    <s v="DE4-S_A"/>
    <x v="6"/>
    <x v="7"/>
    <s v="GNR_RES_WTR_NOPMP"/>
    <x v="0"/>
    <x v="10"/>
    <n v="124"/>
    <n v="45260"/>
    <n v="162936"/>
  </r>
  <r>
    <x v="0"/>
    <x v="1"/>
    <x v="1"/>
    <x v="3"/>
    <x v="6"/>
    <s v="DE4-S_A"/>
    <x v="6"/>
    <x v="7"/>
    <s v="GNR_RES_WTR_NOPMP"/>
    <x v="0"/>
    <x v="11"/>
    <n v="124"/>
    <n v="45260"/>
    <n v="162936"/>
  </r>
  <r>
    <x v="0"/>
    <x v="1"/>
    <x v="1"/>
    <x v="3"/>
    <x v="6"/>
    <s v="DE4-S_A"/>
    <x v="6"/>
    <x v="7"/>
    <s v="GNR_RES_WTR_NOPMP"/>
    <x v="0"/>
    <x v="12"/>
    <n v="124"/>
    <n v="45260"/>
    <n v="162936"/>
  </r>
  <r>
    <x v="0"/>
    <x v="1"/>
    <x v="1"/>
    <x v="3"/>
    <x v="6"/>
    <s v="DE4-S_A"/>
    <x v="6"/>
    <x v="7"/>
    <s v="GNR_RES_WTR_NOPMP"/>
    <x v="0"/>
    <x v="13"/>
    <n v="124"/>
    <n v="45260"/>
    <n v="162936"/>
  </r>
  <r>
    <x v="0"/>
    <x v="1"/>
    <x v="1"/>
    <x v="3"/>
    <x v="6"/>
    <s v="DE4-S_A"/>
    <x v="6"/>
    <x v="7"/>
    <s v="GNR_RES_WTR_NOPMP"/>
    <x v="0"/>
    <x v="14"/>
    <n v="124"/>
    <n v="45260"/>
    <n v="162936"/>
  </r>
  <r>
    <x v="0"/>
    <x v="1"/>
    <x v="1"/>
    <x v="3"/>
    <x v="6"/>
    <s v="DE4-S_A"/>
    <x v="6"/>
    <x v="7"/>
    <s v="GNR_RES_WTR_NOPMP"/>
    <x v="0"/>
    <x v="15"/>
    <n v="124"/>
    <n v="45260"/>
    <n v="162936"/>
  </r>
  <r>
    <x v="0"/>
    <x v="1"/>
    <x v="1"/>
    <x v="3"/>
    <x v="6"/>
    <s v="DE4-S_A"/>
    <x v="6"/>
    <x v="7"/>
    <s v="GNR_RES_WTR_NOPMP"/>
    <x v="0"/>
    <x v="16"/>
    <n v="124"/>
    <n v="45260"/>
    <n v="162936"/>
  </r>
  <r>
    <x v="0"/>
    <x v="1"/>
    <x v="1"/>
    <x v="3"/>
    <x v="6"/>
    <s v="DE4-S_A"/>
    <x v="6"/>
    <x v="7"/>
    <s v="GNR_RES_WTR_NOPMP"/>
    <x v="0"/>
    <x v="17"/>
    <n v="124"/>
    <n v="45260"/>
    <n v="162936"/>
  </r>
  <r>
    <x v="0"/>
    <x v="1"/>
    <x v="1"/>
    <x v="3"/>
    <x v="6"/>
    <s v="DE4-S_A"/>
    <x v="6"/>
    <x v="7"/>
    <s v="GNR_RES_WTR_NOPMP"/>
    <x v="0"/>
    <x v="19"/>
    <n v="25.432108074022501"/>
    <n v="9282.7194470182294"/>
    <n v="33417.790009265598"/>
  </r>
  <r>
    <x v="0"/>
    <x v="1"/>
    <x v="1"/>
    <x v="3"/>
    <x v="6"/>
    <s v="DE4-S_A"/>
    <x v="6"/>
    <x v="4"/>
    <s v="GNR_ROR_WTR"/>
    <x v="0"/>
    <x v="0"/>
    <n v="4361.5442694063904"/>
    <n v="1591963.6583333299"/>
    <n v="5731069.1699999999"/>
  </r>
  <r>
    <x v="0"/>
    <x v="1"/>
    <x v="1"/>
    <x v="3"/>
    <x v="6"/>
    <s v="DE4-S_A"/>
    <x v="6"/>
    <x v="4"/>
    <s v="GNR_ROR_WTR"/>
    <x v="0"/>
    <x v="1"/>
    <n v="4361.5442694063904"/>
    <n v="1591963.6583333299"/>
    <n v="5731069.1699999999"/>
  </r>
  <r>
    <x v="0"/>
    <x v="1"/>
    <x v="1"/>
    <x v="3"/>
    <x v="6"/>
    <s v="DE4-S_A"/>
    <x v="6"/>
    <x v="4"/>
    <s v="GNR_ROR_WTR"/>
    <x v="0"/>
    <x v="18"/>
    <n v="4361.5442694063904"/>
    <n v="1591963.6583333299"/>
    <n v="5731069.1699999999"/>
  </r>
  <r>
    <x v="0"/>
    <x v="1"/>
    <x v="1"/>
    <x v="3"/>
    <x v="6"/>
    <s v="DE4-S_A"/>
    <x v="6"/>
    <x v="4"/>
    <s v="GNR_ROR_WTR"/>
    <x v="0"/>
    <x v="2"/>
    <n v="4361.5442694063904"/>
    <n v="1591963.6583333299"/>
    <n v="5731069.1699999999"/>
  </r>
  <r>
    <x v="0"/>
    <x v="1"/>
    <x v="1"/>
    <x v="3"/>
    <x v="6"/>
    <s v="DE4-S_A"/>
    <x v="6"/>
    <x v="4"/>
    <s v="GNR_ROR_WTR"/>
    <x v="0"/>
    <x v="3"/>
    <n v="4361.5442694063904"/>
    <n v="1591963.6583333299"/>
    <n v="5731069.1699999999"/>
  </r>
  <r>
    <x v="0"/>
    <x v="1"/>
    <x v="1"/>
    <x v="3"/>
    <x v="6"/>
    <s v="DE4-S_A"/>
    <x v="6"/>
    <x v="4"/>
    <s v="GNR_ROR_WTR"/>
    <x v="0"/>
    <x v="4"/>
    <n v="4361.5442694063904"/>
    <n v="1591963.6583333299"/>
    <n v="5731069.1699999999"/>
  </r>
  <r>
    <x v="0"/>
    <x v="1"/>
    <x v="1"/>
    <x v="3"/>
    <x v="6"/>
    <s v="DE4-S_A"/>
    <x v="6"/>
    <x v="4"/>
    <s v="GNR_ROR_WTR"/>
    <x v="0"/>
    <x v="5"/>
    <n v="4361.5442694063904"/>
    <n v="1591963.6583333299"/>
    <n v="5731069.1699999999"/>
  </r>
  <r>
    <x v="0"/>
    <x v="1"/>
    <x v="1"/>
    <x v="3"/>
    <x v="6"/>
    <s v="DE4-S_A"/>
    <x v="6"/>
    <x v="4"/>
    <s v="GNR_ROR_WTR"/>
    <x v="0"/>
    <x v="6"/>
    <n v="4361.5442694063904"/>
    <n v="1591963.6583333299"/>
    <n v="5731069.1699999999"/>
  </r>
  <r>
    <x v="0"/>
    <x v="1"/>
    <x v="1"/>
    <x v="3"/>
    <x v="6"/>
    <s v="DE4-S_A"/>
    <x v="6"/>
    <x v="4"/>
    <s v="GNR_ROR_WTR"/>
    <x v="0"/>
    <x v="7"/>
    <n v="4361.5442694063904"/>
    <n v="1591963.6583333299"/>
    <n v="5731069.1699999999"/>
  </r>
  <r>
    <x v="0"/>
    <x v="1"/>
    <x v="1"/>
    <x v="3"/>
    <x v="6"/>
    <s v="DE4-S_A"/>
    <x v="6"/>
    <x v="4"/>
    <s v="GNR_ROR_WTR"/>
    <x v="0"/>
    <x v="8"/>
    <n v="4361.5442694063904"/>
    <n v="1591963.6583333299"/>
    <n v="5731069.1699999999"/>
  </r>
  <r>
    <x v="0"/>
    <x v="1"/>
    <x v="1"/>
    <x v="3"/>
    <x v="6"/>
    <s v="DE4-S_A"/>
    <x v="6"/>
    <x v="4"/>
    <s v="GNR_ROR_WTR"/>
    <x v="0"/>
    <x v="9"/>
    <n v="4361.5442694063904"/>
    <n v="1591963.6583333299"/>
    <n v="5731069.1699999999"/>
  </r>
  <r>
    <x v="0"/>
    <x v="1"/>
    <x v="1"/>
    <x v="3"/>
    <x v="6"/>
    <s v="DE4-S_A"/>
    <x v="6"/>
    <x v="4"/>
    <s v="GNR_ROR_WTR"/>
    <x v="0"/>
    <x v="10"/>
    <n v="4361.5442694063904"/>
    <n v="1591963.6583333299"/>
    <n v="5731069.1699999999"/>
  </r>
  <r>
    <x v="0"/>
    <x v="1"/>
    <x v="1"/>
    <x v="3"/>
    <x v="6"/>
    <s v="DE4-S_A"/>
    <x v="6"/>
    <x v="4"/>
    <s v="GNR_ROR_WTR"/>
    <x v="0"/>
    <x v="11"/>
    <n v="4361.5442694063904"/>
    <n v="1591963.6583333299"/>
    <n v="5731069.1699999999"/>
  </r>
  <r>
    <x v="0"/>
    <x v="1"/>
    <x v="1"/>
    <x v="3"/>
    <x v="6"/>
    <s v="DE4-S_A"/>
    <x v="6"/>
    <x v="4"/>
    <s v="GNR_ROR_WTR"/>
    <x v="0"/>
    <x v="12"/>
    <n v="4361.5442694063904"/>
    <n v="1591963.6583333299"/>
    <n v="5731069.1699999999"/>
  </r>
  <r>
    <x v="0"/>
    <x v="1"/>
    <x v="1"/>
    <x v="3"/>
    <x v="6"/>
    <s v="DE4-S_A"/>
    <x v="6"/>
    <x v="4"/>
    <s v="GNR_ROR_WTR"/>
    <x v="0"/>
    <x v="13"/>
    <n v="4361.5442694063904"/>
    <n v="1591963.6583333299"/>
    <n v="5731069.1699999999"/>
  </r>
  <r>
    <x v="0"/>
    <x v="1"/>
    <x v="1"/>
    <x v="3"/>
    <x v="6"/>
    <s v="DE4-S_A"/>
    <x v="6"/>
    <x v="4"/>
    <s v="GNR_ROR_WTR"/>
    <x v="0"/>
    <x v="14"/>
    <n v="4361.5442694063904"/>
    <n v="1591963.6583333299"/>
    <n v="5731069.1699999999"/>
  </r>
  <r>
    <x v="0"/>
    <x v="1"/>
    <x v="1"/>
    <x v="3"/>
    <x v="6"/>
    <s v="DE4-S_A"/>
    <x v="6"/>
    <x v="4"/>
    <s v="GNR_ROR_WTR"/>
    <x v="0"/>
    <x v="15"/>
    <n v="4361.5442694063904"/>
    <n v="1591963.6583333299"/>
    <n v="5731069.1699999999"/>
  </r>
  <r>
    <x v="0"/>
    <x v="1"/>
    <x v="1"/>
    <x v="3"/>
    <x v="6"/>
    <s v="DE4-S_A"/>
    <x v="6"/>
    <x v="4"/>
    <s v="GNR_ROR_WTR"/>
    <x v="0"/>
    <x v="16"/>
    <n v="4361.5442694063904"/>
    <n v="1591963.6583333299"/>
    <n v="5731069.1699999999"/>
  </r>
  <r>
    <x v="0"/>
    <x v="1"/>
    <x v="1"/>
    <x v="3"/>
    <x v="6"/>
    <s v="DE4-S_A"/>
    <x v="6"/>
    <x v="4"/>
    <s v="GNR_ROR_WTR"/>
    <x v="0"/>
    <x v="17"/>
    <n v="4361.5442694063904"/>
    <n v="1591963.6583333299"/>
    <n v="5731069.1699999999"/>
  </r>
  <r>
    <x v="0"/>
    <x v="1"/>
    <x v="1"/>
    <x v="3"/>
    <x v="6"/>
    <s v="DE4-S_A"/>
    <x v="6"/>
    <x v="4"/>
    <s v="GNR_ROR_WTR"/>
    <x v="0"/>
    <x v="19"/>
    <n v="4361.5442694063904"/>
    <n v="1591963.6583333299"/>
    <n v="5731069.1699999999"/>
  </r>
  <r>
    <x v="0"/>
    <x v="1"/>
    <x v="1"/>
    <x v="3"/>
    <x v="6"/>
    <s v="DE4-S_A"/>
    <x v="6"/>
    <x v="4"/>
    <s v="GNR_ROR_WTR"/>
    <x v="0"/>
    <x v="20"/>
    <n v="4361.5442694063904"/>
    <n v="1591963.6583333299"/>
    <n v="5731069.1699999999"/>
  </r>
  <r>
    <x v="0"/>
    <x v="1"/>
    <x v="1"/>
    <x v="3"/>
    <x v="6"/>
    <s v="DE4-S_A"/>
    <x v="6"/>
    <x v="4"/>
    <s v="GNR_ROR_WTR"/>
    <x v="0"/>
    <x v="21"/>
    <n v="4361.5442694063904"/>
    <n v="1591963.6583333299"/>
    <n v="5731069.1699999999"/>
  </r>
  <r>
    <x v="0"/>
    <x v="1"/>
    <x v="1"/>
    <x v="3"/>
    <x v="6"/>
    <s v="DE4-S_A"/>
    <x v="6"/>
    <x v="4"/>
    <s v="GNR_ROR_WTR"/>
    <x v="0"/>
    <x v="22"/>
    <n v="4361.5442694063904"/>
    <n v="1591963.6583333299"/>
    <n v="5731069.1699999999"/>
  </r>
  <r>
    <x v="0"/>
    <x v="1"/>
    <x v="1"/>
    <x v="3"/>
    <x v="6"/>
    <s v="DE4-S_A"/>
    <x v="6"/>
    <x v="4"/>
    <s v="GNR_ROR_WTR"/>
    <x v="0"/>
    <x v="23"/>
    <n v="4361.5442694063904"/>
    <n v="1591963.6583333299"/>
    <n v="5731069.1699999999"/>
  </r>
  <r>
    <x v="0"/>
    <x v="1"/>
    <x v="1"/>
    <x v="3"/>
    <x v="6"/>
    <s v="DE4-S_A"/>
    <x v="7"/>
    <x v="5"/>
    <s v="GNR_WT_WIND_ONS"/>
    <x v="0"/>
    <x v="0"/>
    <n v="1135.3731367108401"/>
    <n v="414411.19489945599"/>
    <n v="1491880.30163804"/>
  </r>
  <r>
    <x v="0"/>
    <x v="1"/>
    <x v="1"/>
    <x v="3"/>
    <x v="6"/>
    <s v="DE4-S_A"/>
    <x v="7"/>
    <x v="5"/>
    <s v="GNR_WT_WIND_ONS"/>
    <x v="0"/>
    <x v="1"/>
    <n v="1098.5775875274901"/>
    <n v="400980.81944753398"/>
    <n v="1443530.9500111199"/>
  </r>
  <r>
    <x v="0"/>
    <x v="1"/>
    <x v="1"/>
    <x v="3"/>
    <x v="6"/>
    <s v="DE4-S_A"/>
    <x v="7"/>
    <x v="5"/>
    <s v="GNR_WT_WIND_ONS"/>
    <x v="0"/>
    <x v="18"/>
    <n v="1067.2220374020501"/>
    <n v="389536.04365174798"/>
    <n v="1402329.75714629"/>
  </r>
  <r>
    <x v="0"/>
    <x v="1"/>
    <x v="1"/>
    <x v="3"/>
    <x v="6"/>
    <s v="DE4-S_A"/>
    <x v="7"/>
    <x v="5"/>
    <s v="GNR_WT_WIND_ONS"/>
    <x v="0"/>
    <x v="2"/>
    <n v="1013.42649116274"/>
    <n v="369900.66927439999"/>
    <n v="1331642.40938784"/>
  </r>
  <r>
    <x v="0"/>
    <x v="1"/>
    <x v="1"/>
    <x v="3"/>
    <x v="6"/>
    <s v="DE4-S_A"/>
    <x v="7"/>
    <x v="5"/>
    <s v="GNR_WT_WIND_ONS"/>
    <x v="0"/>
    <x v="3"/>
    <n v="923.13761790996296"/>
    <n v="336945.23053713702"/>
    <n v="1213002.8299336899"/>
  </r>
  <r>
    <x v="0"/>
    <x v="1"/>
    <x v="1"/>
    <x v="3"/>
    <x v="6"/>
    <s v="DE4-S_A"/>
    <x v="7"/>
    <x v="5"/>
    <s v="GNR_WT_WIND_ONS"/>
    <x v="0"/>
    <x v="4"/>
    <n v="842.36874300852696"/>
    <n v="307464.591198112"/>
    <n v="1106872.5283132"/>
  </r>
  <r>
    <x v="0"/>
    <x v="1"/>
    <x v="1"/>
    <x v="3"/>
    <x v="6"/>
    <s v="DE4-S_A"/>
    <x v="7"/>
    <x v="5"/>
    <s v="GNR_WT_WIND_ONS"/>
    <x v="0"/>
    <x v="5"/>
    <n v="694.35543530795303"/>
    <n v="253439.73388740301"/>
    <n v="912383.04199465003"/>
  </r>
  <r>
    <x v="0"/>
    <x v="1"/>
    <x v="1"/>
    <x v="3"/>
    <x v="6"/>
    <s v="DE4-S_A"/>
    <x v="7"/>
    <x v="5"/>
    <s v="GNR_WT_WIND_ONS"/>
    <x v="0"/>
    <x v="6"/>
    <n v="671.46210593925696"/>
    <n v="245083.66866782901"/>
    <n v="882301.20720418403"/>
  </r>
  <r>
    <x v="0"/>
    <x v="1"/>
    <x v="1"/>
    <x v="3"/>
    <x v="6"/>
    <s v="DE4-S_A"/>
    <x v="7"/>
    <x v="5"/>
    <s v="GNR_WT_WIND_ONS"/>
    <x v="0"/>
    <x v="7"/>
    <n v="721.85765276737504"/>
    <n v="263478.04326009197"/>
    <n v="948520.95573633094"/>
  </r>
  <r>
    <x v="0"/>
    <x v="1"/>
    <x v="1"/>
    <x v="3"/>
    <x v="6"/>
    <s v="DE4-S_A"/>
    <x v="7"/>
    <x v="5"/>
    <s v="GNR_WT_WIND_ONS"/>
    <x v="0"/>
    <x v="8"/>
    <n v="778.59986516305196"/>
    <n v="284188.95078451402"/>
    <n v="1023080.22282425"/>
  </r>
  <r>
    <x v="0"/>
    <x v="1"/>
    <x v="1"/>
    <x v="3"/>
    <x v="6"/>
    <s v="DE4-S_A"/>
    <x v="7"/>
    <x v="5"/>
    <s v="GNR_WT_WIND_ONS"/>
    <x v="0"/>
    <x v="9"/>
    <n v="898.35539997949502"/>
    <n v="327899.72099251603"/>
    <n v="1180438.9955730599"/>
  </r>
  <r>
    <x v="0"/>
    <x v="1"/>
    <x v="1"/>
    <x v="3"/>
    <x v="6"/>
    <s v="DE4-S_A"/>
    <x v="7"/>
    <x v="5"/>
    <s v="GNR_WT_WIND_ONS"/>
    <x v="0"/>
    <x v="10"/>
    <n v="989.62649528439204"/>
    <n v="361213.670778803"/>
    <n v="1300369.2148036901"/>
  </r>
  <r>
    <x v="0"/>
    <x v="1"/>
    <x v="1"/>
    <x v="3"/>
    <x v="6"/>
    <s v="DE4-S_A"/>
    <x v="7"/>
    <x v="5"/>
    <s v="GNR_WT_WIND_ONS"/>
    <x v="0"/>
    <x v="11"/>
    <n v="1217.80423354664"/>
    <n v="444498.54524452199"/>
    <n v="1600194.7628802799"/>
  </r>
  <r>
    <x v="0"/>
    <x v="1"/>
    <x v="1"/>
    <x v="3"/>
    <x v="6"/>
    <s v="DE4-S_A"/>
    <x v="7"/>
    <x v="5"/>
    <s v="GNR_WT_WIND_ONS"/>
    <x v="0"/>
    <x v="12"/>
    <n v="1423.0886424401799"/>
    <n v="519427.354490667"/>
    <n v="1869938.4761663999"/>
  </r>
  <r>
    <x v="0"/>
    <x v="1"/>
    <x v="1"/>
    <x v="3"/>
    <x v="6"/>
    <s v="DE4-S_A"/>
    <x v="7"/>
    <x v="5"/>
    <s v="GNR_WT_WIND_ONS"/>
    <x v="0"/>
    <x v="13"/>
    <n v="1657.00860193022"/>
    <n v="604808.13970453001"/>
    <n v="2177309.3029363099"/>
  </r>
  <r>
    <x v="0"/>
    <x v="1"/>
    <x v="1"/>
    <x v="3"/>
    <x v="6"/>
    <s v="DE4-S_A"/>
    <x v="7"/>
    <x v="5"/>
    <s v="GNR_WT_WIND_ONS"/>
    <x v="0"/>
    <x v="14"/>
    <n v="1887.90633972142"/>
    <n v="689085.813998317"/>
    <n v="2480708.9303939398"/>
  </r>
  <r>
    <x v="0"/>
    <x v="1"/>
    <x v="1"/>
    <x v="3"/>
    <x v="6"/>
    <s v="DE4-S_A"/>
    <x v="7"/>
    <x v="5"/>
    <s v="GNR_WT_WIND_ONS"/>
    <x v="0"/>
    <x v="15"/>
    <n v="2196.1729530028601"/>
    <n v="801603.12784604297"/>
    <n v="2885771.2602457502"/>
  </r>
  <r>
    <x v="0"/>
    <x v="1"/>
    <x v="1"/>
    <x v="3"/>
    <x v="6"/>
    <s v="DE4-S_A"/>
    <x v="7"/>
    <x v="5"/>
    <s v="GNR_WT_WIND_ONS"/>
    <x v="0"/>
    <x v="16"/>
    <n v="2477.7684597920602"/>
    <n v="904385.48782409995"/>
    <n v="3255787.7561667599"/>
  </r>
  <r>
    <x v="0"/>
    <x v="1"/>
    <x v="1"/>
    <x v="3"/>
    <x v="6"/>
    <s v="DE4-S_A"/>
    <x v="7"/>
    <x v="5"/>
    <s v="GNR_WT_WIND_ONS"/>
    <x v="0"/>
    <x v="17"/>
    <n v="2779.5372964210001"/>
    <n v="1014531.11319366"/>
    <n v="3652312.00749719"/>
  </r>
  <r>
    <x v="0"/>
    <x v="1"/>
    <x v="1"/>
    <x v="3"/>
    <x v="6"/>
    <s v="DE4-S_A"/>
    <x v="7"/>
    <x v="5"/>
    <s v="GNR_WT_WIND_ONS"/>
    <x v="0"/>
    <x v="19"/>
    <n v="3082.8172438993602"/>
    <n v="1125228.29402326"/>
    <n v="4050821.8584837499"/>
  </r>
  <r>
    <x v="0"/>
    <x v="1"/>
    <x v="1"/>
    <x v="3"/>
    <x v="6"/>
    <s v="DE4-S_A"/>
    <x v="7"/>
    <x v="5"/>
    <s v="GNR_WT_WIND_ONS"/>
    <x v="0"/>
    <x v="20"/>
    <n v="3341.8216434897399"/>
    <n v="1219764.8998737601"/>
    <n v="4391153.6395455198"/>
  </r>
  <r>
    <x v="0"/>
    <x v="1"/>
    <x v="1"/>
    <x v="3"/>
    <x v="6"/>
    <s v="DE4-S_A"/>
    <x v="7"/>
    <x v="5"/>
    <s v="GNR_WT_WIND_ONS"/>
    <x v="0"/>
    <x v="21"/>
    <n v="3626.7415941476602"/>
    <n v="1323760.6818639"/>
    <n v="4765538.45471003"/>
  </r>
  <r>
    <x v="0"/>
    <x v="1"/>
    <x v="1"/>
    <x v="3"/>
    <x v="6"/>
    <s v="DE4-S_A"/>
    <x v="7"/>
    <x v="5"/>
    <s v="GNR_WT_WIND_ONS"/>
    <x v="0"/>
    <x v="22"/>
    <n v="3986.3104207668698"/>
    <n v="1455003.30357991"/>
    <n v="5238011.8928876696"/>
  </r>
  <r>
    <x v="0"/>
    <x v="1"/>
    <x v="1"/>
    <x v="3"/>
    <x v="6"/>
    <s v="DE4-S_A"/>
    <x v="7"/>
    <x v="5"/>
    <s v="GNR_WT_WIND_ONS"/>
    <x v="0"/>
    <x v="23"/>
    <n v="4220.8348245966799"/>
    <n v="1540604.7109777899"/>
    <n v="5546176.9595200298"/>
  </r>
  <r>
    <x v="0"/>
    <x v="1"/>
    <x v="1"/>
    <x v="3"/>
    <x v="7"/>
    <s v="DE4-W_A"/>
    <x v="0"/>
    <x v="2"/>
    <s v="GNR_ST_COAL_BP_E-33"/>
    <x v="0"/>
    <x v="6"/>
    <n v="803.86473870433394"/>
    <n v="293410.62962708197"/>
    <n v="1056278.2666574901"/>
  </r>
  <r>
    <x v="0"/>
    <x v="1"/>
    <x v="1"/>
    <x v="3"/>
    <x v="7"/>
    <s v="DE4-W_A"/>
    <x v="0"/>
    <x v="2"/>
    <s v="GNR_ST_COAL_BP_E-33"/>
    <x v="0"/>
    <x v="7"/>
    <n v="1849.4"/>
    <n v="675031"/>
    <n v="2430111.6"/>
  </r>
  <r>
    <x v="0"/>
    <x v="1"/>
    <x v="1"/>
    <x v="3"/>
    <x v="7"/>
    <s v="DE4-W_A"/>
    <x v="0"/>
    <x v="2"/>
    <s v="GNR_ST_COAL_BP_E-41"/>
    <x v="0"/>
    <x v="5"/>
    <n v="819.12336070404103"/>
    <n v="298980.02665697498"/>
    <n v="1076328.09596511"/>
  </r>
  <r>
    <x v="0"/>
    <x v="1"/>
    <x v="1"/>
    <x v="3"/>
    <x v="7"/>
    <s v="DE4-W_A"/>
    <x v="0"/>
    <x v="2"/>
    <s v="GNR_ST_COAL_BP_E-41"/>
    <x v="0"/>
    <x v="6"/>
    <n v="7379.5"/>
    <n v="2693517.5"/>
    <n v="9696663"/>
  </r>
  <r>
    <x v="0"/>
    <x v="1"/>
    <x v="1"/>
    <x v="3"/>
    <x v="7"/>
    <s v="DE4-W_A"/>
    <x v="0"/>
    <x v="2"/>
    <s v="GNR_ST_COAL_BP_E-41"/>
    <x v="0"/>
    <x v="7"/>
    <n v="7379.5"/>
    <n v="2693517.5"/>
    <n v="9696663"/>
  </r>
  <r>
    <x v="0"/>
    <x v="1"/>
    <x v="1"/>
    <x v="3"/>
    <x v="7"/>
    <s v="DE4-W_A"/>
    <x v="0"/>
    <x v="2"/>
    <s v="GNR_ST_COAL_BP_E-41"/>
    <x v="0"/>
    <x v="8"/>
    <n v="7379.5"/>
    <n v="2693517.5"/>
    <n v="9696663"/>
  </r>
  <r>
    <x v="0"/>
    <x v="1"/>
    <x v="1"/>
    <x v="3"/>
    <x v="7"/>
    <s v="DE4-W_A"/>
    <x v="0"/>
    <x v="2"/>
    <s v="GNR_ST_COAL_BP_E-41"/>
    <x v="0"/>
    <x v="9"/>
    <n v="3948.89782309169"/>
    <n v="1441347.7054284699"/>
    <n v="5188851.7395424796"/>
  </r>
  <r>
    <x v="0"/>
    <x v="1"/>
    <x v="1"/>
    <x v="3"/>
    <x v="7"/>
    <s v="DE4-W_A"/>
    <x v="0"/>
    <x v="2"/>
    <s v="GNR_ST_COAL_BP_E-41"/>
    <x v="0"/>
    <x v="15"/>
    <n v="1199.78559850538"/>
    <n v="437921.74345446302"/>
    <n v="1576518.27643607"/>
  </r>
  <r>
    <x v="0"/>
    <x v="1"/>
    <x v="1"/>
    <x v="3"/>
    <x v="7"/>
    <s v="DE4-W_A"/>
    <x v="0"/>
    <x v="2"/>
    <s v="GNR_ST_COAL_BP_E-41"/>
    <x v="0"/>
    <x v="16"/>
    <n v="1024.7529935651301"/>
    <n v="374034.84265127301"/>
    <n v="1346525.4335445799"/>
  </r>
  <r>
    <x v="0"/>
    <x v="1"/>
    <x v="1"/>
    <x v="3"/>
    <x v="7"/>
    <s v="DE4-W_A"/>
    <x v="0"/>
    <x v="2"/>
    <s v="GNR_ST_COAL_BP_E-41"/>
    <x v="0"/>
    <x v="17"/>
    <n v="15.603283107507201"/>
    <n v="5695.19833424013"/>
    <n v="20502.7140032645"/>
  </r>
  <r>
    <x v="0"/>
    <x v="1"/>
    <x v="1"/>
    <x v="3"/>
    <x v="7"/>
    <s v="DE4-W_A"/>
    <x v="0"/>
    <x v="6"/>
    <s v="GNR_ST_COAL_CND_E-37"/>
    <x v="0"/>
    <x v="4"/>
    <n v="4078.7865910405599"/>
    <n v="1488757.1057298"/>
    <n v="5359525.5806272896"/>
  </r>
  <r>
    <x v="0"/>
    <x v="1"/>
    <x v="1"/>
    <x v="3"/>
    <x v="7"/>
    <s v="DE4-W_A"/>
    <x v="0"/>
    <x v="6"/>
    <s v="GNR_ST_COAL_CND_E-37"/>
    <x v="0"/>
    <x v="5"/>
    <n v="5673"/>
    <n v="2070645"/>
    <n v="7454322"/>
  </r>
  <r>
    <x v="0"/>
    <x v="1"/>
    <x v="1"/>
    <x v="3"/>
    <x v="7"/>
    <s v="DE4-W_A"/>
    <x v="0"/>
    <x v="6"/>
    <s v="GNR_ST_COAL_CND_E-37"/>
    <x v="0"/>
    <x v="6"/>
    <n v="5673"/>
    <n v="2070645"/>
    <n v="7454322"/>
  </r>
  <r>
    <x v="0"/>
    <x v="1"/>
    <x v="1"/>
    <x v="3"/>
    <x v="7"/>
    <s v="DE4-W_A"/>
    <x v="0"/>
    <x v="6"/>
    <s v="GNR_ST_COAL_CND_E-37"/>
    <x v="0"/>
    <x v="7"/>
    <n v="5673"/>
    <n v="2070645"/>
    <n v="7454322"/>
  </r>
  <r>
    <x v="0"/>
    <x v="1"/>
    <x v="1"/>
    <x v="3"/>
    <x v="7"/>
    <s v="DE4-W_A"/>
    <x v="0"/>
    <x v="6"/>
    <s v="GNR_ST_COAL_CND_E-37"/>
    <x v="0"/>
    <x v="8"/>
    <n v="5673"/>
    <n v="2070645"/>
    <n v="7454322"/>
  </r>
  <r>
    <x v="0"/>
    <x v="1"/>
    <x v="1"/>
    <x v="3"/>
    <x v="7"/>
    <s v="DE4-W_A"/>
    <x v="0"/>
    <x v="6"/>
    <s v="GNR_ST_COAL_CND_E-37"/>
    <x v="0"/>
    <x v="9"/>
    <n v="5673"/>
    <n v="2070645"/>
    <n v="7454322"/>
  </r>
  <r>
    <x v="0"/>
    <x v="1"/>
    <x v="1"/>
    <x v="3"/>
    <x v="7"/>
    <s v="DE4-W_A"/>
    <x v="0"/>
    <x v="6"/>
    <s v="GNR_ST_COAL_CND_E-37"/>
    <x v="0"/>
    <x v="10"/>
    <n v="5673"/>
    <n v="2070645"/>
    <n v="7454322"/>
  </r>
  <r>
    <x v="0"/>
    <x v="1"/>
    <x v="1"/>
    <x v="3"/>
    <x v="7"/>
    <s v="DE4-W_A"/>
    <x v="0"/>
    <x v="6"/>
    <s v="GNR_ST_COAL_CND_E-37"/>
    <x v="0"/>
    <x v="11"/>
    <n v="5673"/>
    <n v="2070645"/>
    <n v="7454322"/>
  </r>
  <r>
    <x v="0"/>
    <x v="1"/>
    <x v="1"/>
    <x v="3"/>
    <x v="7"/>
    <s v="DE4-W_A"/>
    <x v="0"/>
    <x v="6"/>
    <s v="GNR_ST_COAL_CND_E-37"/>
    <x v="0"/>
    <x v="12"/>
    <n v="5673"/>
    <n v="2070645"/>
    <n v="7454322"/>
  </r>
  <r>
    <x v="0"/>
    <x v="1"/>
    <x v="1"/>
    <x v="3"/>
    <x v="7"/>
    <s v="DE4-W_A"/>
    <x v="0"/>
    <x v="6"/>
    <s v="GNR_ST_COAL_CND_E-37"/>
    <x v="0"/>
    <x v="13"/>
    <n v="5673"/>
    <n v="2070645"/>
    <n v="7454322"/>
  </r>
  <r>
    <x v="0"/>
    <x v="1"/>
    <x v="1"/>
    <x v="3"/>
    <x v="7"/>
    <s v="DE4-W_A"/>
    <x v="0"/>
    <x v="6"/>
    <s v="GNR_ST_COAL_CND_E-37"/>
    <x v="0"/>
    <x v="14"/>
    <n v="5673"/>
    <n v="2070645"/>
    <n v="7454322"/>
  </r>
  <r>
    <x v="0"/>
    <x v="1"/>
    <x v="1"/>
    <x v="3"/>
    <x v="7"/>
    <s v="DE4-W_A"/>
    <x v="0"/>
    <x v="6"/>
    <s v="GNR_ST_COAL_CND_E-37"/>
    <x v="0"/>
    <x v="15"/>
    <n v="5673"/>
    <n v="2070645"/>
    <n v="7454322"/>
  </r>
  <r>
    <x v="0"/>
    <x v="1"/>
    <x v="1"/>
    <x v="3"/>
    <x v="7"/>
    <s v="DE4-W_A"/>
    <x v="0"/>
    <x v="6"/>
    <s v="GNR_ST_COAL_CND_E-37"/>
    <x v="0"/>
    <x v="16"/>
    <n v="5673"/>
    <n v="2070645"/>
    <n v="7454322"/>
  </r>
  <r>
    <x v="0"/>
    <x v="1"/>
    <x v="1"/>
    <x v="3"/>
    <x v="7"/>
    <s v="DE4-W_A"/>
    <x v="0"/>
    <x v="6"/>
    <s v="GNR_ST_COAL_CND_E-37"/>
    <x v="0"/>
    <x v="17"/>
    <n v="5673"/>
    <n v="2070645"/>
    <n v="7454322"/>
  </r>
  <r>
    <x v="0"/>
    <x v="1"/>
    <x v="1"/>
    <x v="3"/>
    <x v="7"/>
    <s v="DE4-W_A"/>
    <x v="0"/>
    <x v="6"/>
    <s v="GNR_ST_COAL_CND_E-37"/>
    <x v="0"/>
    <x v="19"/>
    <n v="5673"/>
    <n v="2070645"/>
    <n v="7454322"/>
  </r>
  <r>
    <x v="0"/>
    <x v="1"/>
    <x v="1"/>
    <x v="3"/>
    <x v="7"/>
    <s v="DE4-W_A"/>
    <x v="0"/>
    <x v="6"/>
    <s v="GNR_ST_COAL_CND_E-37"/>
    <x v="0"/>
    <x v="20"/>
    <n v="2283.3315101563799"/>
    <n v="833416.00120707694"/>
    <n v="3000297.60434548"/>
  </r>
  <r>
    <x v="0"/>
    <x v="1"/>
    <x v="1"/>
    <x v="3"/>
    <x v="7"/>
    <s v="DE4-W_A"/>
    <x v="0"/>
    <x v="6"/>
    <s v="GNR_ST_COAL_CND_E-45"/>
    <x v="0"/>
    <x v="0"/>
    <n v="2759"/>
    <n v="1007035"/>
    <n v="3625326"/>
  </r>
  <r>
    <x v="0"/>
    <x v="1"/>
    <x v="1"/>
    <x v="3"/>
    <x v="7"/>
    <s v="DE4-W_A"/>
    <x v="0"/>
    <x v="6"/>
    <s v="GNR_ST_COAL_CND_E-45"/>
    <x v="0"/>
    <x v="1"/>
    <n v="2759"/>
    <n v="1007035"/>
    <n v="3625326"/>
  </r>
  <r>
    <x v="0"/>
    <x v="1"/>
    <x v="1"/>
    <x v="3"/>
    <x v="7"/>
    <s v="DE4-W_A"/>
    <x v="0"/>
    <x v="6"/>
    <s v="GNR_ST_COAL_CND_E-45"/>
    <x v="0"/>
    <x v="18"/>
    <n v="2759"/>
    <n v="1007035"/>
    <n v="3625326"/>
  </r>
  <r>
    <x v="0"/>
    <x v="1"/>
    <x v="1"/>
    <x v="3"/>
    <x v="7"/>
    <s v="DE4-W_A"/>
    <x v="0"/>
    <x v="6"/>
    <s v="GNR_ST_COAL_CND_E-45"/>
    <x v="0"/>
    <x v="2"/>
    <n v="2759"/>
    <n v="1007035"/>
    <n v="3625326"/>
  </r>
  <r>
    <x v="0"/>
    <x v="1"/>
    <x v="1"/>
    <x v="3"/>
    <x v="7"/>
    <s v="DE4-W_A"/>
    <x v="0"/>
    <x v="6"/>
    <s v="GNR_ST_COAL_CND_E-45"/>
    <x v="0"/>
    <x v="3"/>
    <n v="2759"/>
    <n v="1007035"/>
    <n v="3625326"/>
  </r>
  <r>
    <x v="0"/>
    <x v="1"/>
    <x v="1"/>
    <x v="3"/>
    <x v="7"/>
    <s v="DE4-W_A"/>
    <x v="0"/>
    <x v="6"/>
    <s v="GNR_ST_COAL_CND_E-45"/>
    <x v="0"/>
    <x v="4"/>
    <n v="2759"/>
    <n v="1007035"/>
    <n v="3625326"/>
  </r>
  <r>
    <x v="0"/>
    <x v="1"/>
    <x v="1"/>
    <x v="3"/>
    <x v="7"/>
    <s v="DE4-W_A"/>
    <x v="0"/>
    <x v="6"/>
    <s v="GNR_ST_COAL_CND_E-45"/>
    <x v="0"/>
    <x v="5"/>
    <n v="2759"/>
    <n v="1007035"/>
    <n v="3625326"/>
  </r>
  <r>
    <x v="0"/>
    <x v="1"/>
    <x v="1"/>
    <x v="3"/>
    <x v="7"/>
    <s v="DE4-W_A"/>
    <x v="0"/>
    <x v="6"/>
    <s v="GNR_ST_COAL_CND_E-45"/>
    <x v="0"/>
    <x v="6"/>
    <n v="2759"/>
    <n v="1007035"/>
    <n v="3625326"/>
  </r>
  <r>
    <x v="0"/>
    <x v="1"/>
    <x v="1"/>
    <x v="3"/>
    <x v="7"/>
    <s v="DE4-W_A"/>
    <x v="0"/>
    <x v="6"/>
    <s v="GNR_ST_COAL_CND_E-45"/>
    <x v="0"/>
    <x v="7"/>
    <n v="2759"/>
    <n v="1007035"/>
    <n v="3625326"/>
  </r>
  <r>
    <x v="0"/>
    <x v="1"/>
    <x v="1"/>
    <x v="3"/>
    <x v="7"/>
    <s v="DE4-W_A"/>
    <x v="0"/>
    <x v="6"/>
    <s v="GNR_ST_COAL_CND_E-45"/>
    <x v="0"/>
    <x v="8"/>
    <n v="2759"/>
    <n v="1007035"/>
    <n v="3625326"/>
  </r>
  <r>
    <x v="0"/>
    <x v="1"/>
    <x v="1"/>
    <x v="3"/>
    <x v="7"/>
    <s v="DE4-W_A"/>
    <x v="0"/>
    <x v="6"/>
    <s v="GNR_ST_COAL_CND_E-45"/>
    <x v="0"/>
    <x v="9"/>
    <n v="2759"/>
    <n v="1007035"/>
    <n v="3625326"/>
  </r>
  <r>
    <x v="0"/>
    <x v="1"/>
    <x v="1"/>
    <x v="3"/>
    <x v="7"/>
    <s v="DE4-W_A"/>
    <x v="0"/>
    <x v="6"/>
    <s v="GNR_ST_COAL_CND_E-45"/>
    <x v="0"/>
    <x v="10"/>
    <n v="2759"/>
    <n v="1007035"/>
    <n v="3625326"/>
  </r>
  <r>
    <x v="0"/>
    <x v="1"/>
    <x v="1"/>
    <x v="3"/>
    <x v="7"/>
    <s v="DE4-W_A"/>
    <x v="0"/>
    <x v="6"/>
    <s v="GNR_ST_COAL_CND_E-45"/>
    <x v="0"/>
    <x v="11"/>
    <n v="2759"/>
    <n v="1007035"/>
    <n v="3625326"/>
  </r>
  <r>
    <x v="0"/>
    <x v="1"/>
    <x v="1"/>
    <x v="3"/>
    <x v="7"/>
    <s v="DE4-W_A"/>
    <x v="0"/>
    <x v="6"/>
    <s v="GNR_ST_COAL_CND_E-45"/>
    <x v="0"/>
    <x v="12"/>
    <n v="2759"/>
    <n v="1007035"/>
    <n v="3625326"/>
  </r>
  <r>
    <x v="0"/>
    <x v="1"/>
    <x v="1"/>
    <x v="3"/>
    <x v="7"/>
    <s v="DE4-W_A"/>
    <x v="0"/>
    <x v="6"/>
    <s v="GNR_ST_COAL_CND_E-45"/>
    <x v="0"/>
    <x v="13"/>
    <n v="2759"/>
    <n v="1007035"/>
    <n v="3625326"/>
  </r>
  <r>
    <x v="0"/>
    <x v="1"/>
    <x v="1"/>
    <x v="3"/>
    <x v="7"/>
    <s v="DE4-W_A"/>
    <x v="0"/>
    <x v="6"/>
    <s v="GNR_ST_COAL_CND_E-45"/>
    <x v="0"/>
    <x v="14"/>
    <n v="2759"/>
    <n v="1007035"/>
    <n v="3625326"/>
  </r>
  <r>
    <x v="0"/>
    <x v="1"/>
    <x v="1"/>
    <x v="3"/>
    <x v="7"/>
    <s v="DE4-W_A"/>
    <x v="0"/>
    <x v="6"/>
    <s v="GNR_ST_COAL_CND_E-45"/>
    <x v="0"/>
    <x v="15"/>
    <n v="2759"/>
    <n v="1007035"/>
    <n v="3625326"/>
  </r>
  <r>
    <x v="0"/>
    <x v="1"/>
    <x v="1"/>
    <x v="3"/>
    <x v="7"/>
    <s v="DE4-W_A"/>
    <x v="0"/>
    <x v="6"/>
    <s v="GNR_ST_COAL_CND_E-45"/>
    <x v="0"/>
    <x v="16"/>
    <n v="2759"/>
    <n v="1007035"/>
    <n v="3625326"/>
  </r>
  <r>
    <x v="0"/>
    <x v="1"/>
    <x v="1"/>
    <x v="3"/>
    <x v="7"/>
    <s v="DE4-W_A"/>
    <x v="0"/>
    <x v="6"/>
    <s v="GNR_ST_COAL_CND_E-45"/>
    <x v="0"/>
    <x v="17"/>
    <n v="2759"/>
    <n v="1007035"/>
    <n v="3625326"/>
  </r>
  <r>
    <x v="0"/>
    <x v="1"/>
    <x v="1"/>
    <x v="3"/>
    <x v="7"/>
    <s v="DE4-W_A"/>
    <x v="0"/>
    <x v="6"/>
    <s v="GNR_ST_COAL_CND_E-45"/>
    <x v="0"/>
    <x v="19"/>
    <n v="2759"/>
    <n v="1007035"/>
    <n v="3625326"/>
  </r>
  <r>
    <x v="0"/>
    <x v="1"/>
    <x v="1"/>
    <x v="3"/>
    <x v="7"/>
    <s v="DE4-W_A"/>
    <x v="0"/>
    <x v="6"/>
    <s v="GNR_ST_COAL_CND_E-45"/>
    <x v="0"/>
    <x v="20"/>
    <n v="2759"/>
    <n v="1007035"/>
    <n v="3625326"/>
  </r>
  <r>
    <x v="0"/>
    <x v="1"/>
    <x v="1"/>
    <x v="3"/>
    <x v="7"/>
    <s v="DE4-W_A"/>
    <x v="0"/>
    <x v="6"/>
    <s v="GNR_ST_COAL_CND_E-45"/>
    <x v="0"/>
    <x v="21"/>
    <n v="2759"/>
    <n v="1007035"/>
    <n v="3625326"/>
  </r>
  <r>
    <x v="0"/>
    <x v="1"/>
    <x v="1"/>
    <x v="3"/>
    <x v="7"/>
    <s v="DE4-W_A"/>
    <x v="0"/>
    <x v="6"/>
    <s v="GNR_ST_COAL_CND_E-45"/>
    <x v="0"/>
    <x v="22"/>
    <n v="2759"/>
    <n v="1007035"/>
    <n v="3625326"/>
  </r>
  <r>
    <x v="0"/>
    <x v="1"/>
    <x v="1"/>
    <x v="3"/>
    <x v="7"/>
    <s v="DE4-W_A"/>
    <x v="0"/>
    <x v="6"/>
    <s v="GNR_ST_COAL_CND_E-45"/>
    <x v="0"/>
    <x v="23"/>
    <n v="2759"/>
    <n v="1007035"/>
    <n v="3625326"/>
  </r>
  <r>
    <x v="0"/>
    <x v="1"/>
    <x v="1"/>
    <x v="3"/>
    <x v="7"/>
    <s v="DE4-W_A"/>
    <x v="1"/>
    <x v="8"/>
    <s v="AGG-DE4-W_RES_WTR_PMP"/>
    <x v="0"/>
    <x v="0"/>
    <n v="36.258687679351603"/>
    <n v="13234.4210029633"/>
    <n v="47643.915610668002"/>
  </r>
  <r>
    <x v="0"/>
    <x v="1"/>
    <x v="1"/>
    <x v="3"/>
    <x v="7"/>
    <s v="DE4-W_A"/>
    <x v="1"/>
    <x v="8"/>
    <s v="AGG-DE4-W_RES_WTR_PMP"/>
    <x v="0"/>
    <x v="1"/>
    <n v="1146"/>
    <n v="418290"/>
    <n v="1505844"/>
  </r>
  <r>
    <x v="0"/>
    <x v="1"/>
    <x v="1"/>
    <x v="3"/>
    <x v="7"/>
    <s v="DE4-W_A"/>
    <x v="1"/>
    <x v="8"/>
    <s v="AGG-DE4-W_RES_WTR_PMP"/>
    <x v="0"/>
    <x v="6"/>
    <n v="160.12602739726"/>
    <n v="58445.999999999898"/>
    <n v="210405.6"/>
  </r>
  <r>
    <x v="0"/>
    <x v="1"/>
    <x v="1"/>
    <x v="3"/>
    <x v="7"/>
    <s v="DE4-W_A"/>
    <x v="1"/>
    <x v="8"/>
    <s v="AGG-DE4-W_RES_WTR_PMP"/>
    <x v="0"/>
    <x v="7"/>
    <n v="1146"/>
    <n v="418290"/>
    <n v="1505844"/>
  </r>
  <r>
    <x v="0"/>
    <x v="1"/>
    <x v="1"/>
    <x v="3"/>
    <x v="7"/>
    <s v="DE4-W_A"/>
    <x v="1"/>
    <x v="8"/>
    <s v="AGG-DE4-W_RES_WTR_PMP"/>
    <x v="0"/>
    <x v="15"/>
    <n v="160.12602739726"/>
    <n v="58445.999999999898"/>
    <n v="210405.6"/>
  </r>
  <r>
    <x v="0"/>
    <x v="1"/>
    <x v="1"/>
    <x v="3"/>
    <x v="7"/>
    <s v="DE4-W_A"/>
    <x v="1"/>
    <x v="8"/>
    <s v="AGG-DE4-W_RES_WTR_PMP"/>
    <x v="0"/>
    <x v="16"/>
    <n v="1146"/>
    <n v="418290"/>
    <n v="1505844"/>
  </r>
  <r>
    <x v="0"/>
    <x v="1"/>
    <x v="1"/>
    <x v="3"/>
    <x v="7"/>
    <s v="DE4-W_A"/>
    <x v="15"/>
    <x v="2"/>
    <s v="GNR_ST_LIGN_BP_E-33"/>
    <x v="0"/>
    <x v="3"/>
    <n v="641.78395744397199"/>
    <n v="234251.14446705001"/>
    <n v="843304.12008138001"/>
  </r>
  <r>
    <x v="0"/>
    <x v="1"/>
    <x v="1"/>
    <x v="3"/>
    <x v="7"/>
    <s v="DE4-W_A"/>
    <x v="15"/>
    <x v="2"/>
    <s v="GNR_ST_LIGN_BP_E-33"/>
    <x v="0"/>
    <x v="4"/>
    <n v="786.5"/>
    <n v="287072.5"/>
    <n v="1033461"/>
  </r>
  <r>
    <x v="0"/>
    <x v="1"/>
    <x v="1"/>
    <x v="3"/>
    <x v="7"/>
    <s v="DE4-W_A"/>
    <x v="15"/>
    <x v="2"/>
    <s v="GNR_ST_LIGN_BP_E-33"/>
    <x v="0"/>
    <x v="5"/>
    <n v="786.5"/>
    <n v="287072.5"/>
    <n v="1033461"/>
  </r>
  <r>
    <x v="0"/>
    <x v="1"/>
    <x v="1"/>
    <x v="3"/>
    <x v="7"/>
    <s v="DE4-W_A"/>
    <x v="15"/>
    <x v="2"/>
    <s v="GNR_ST_LIGN_BP_E-33"/>
    <x v="0"/>
    <x v="6"/>
    <n v="786.5"/>
    <n v="287072.5"/>
    <n v="1033461"/>
  </r>
  <r>
    <x v="0"/>
    <x v="1"/>
    <x v="1"/>
    <x v="3"/>
    <x v="7"/>
    <s v="DE4-W_A"/>
    <x v="15"/>
    <x v="2"/>
    <s v="GNR_ST_LIGN_BP_E-33"/>
    <x v="0"/>
    <x v="7"/>
    <n v="786.5"/>
    <n v="287072.5"/>
    <n v="1033461"/>
  </r>
  <r>
    <x v="0"/>
    <x v="1"/>
    <x v="1"/>
    <x v="3"/>
    <x v="7"/>
    <s v="DE4-W_A"/>
    <x v="15"/>
    <x v="2"/>
    <s v="GNR_ST_LIGN_BP_E-33"/>
    <x v="0"/>
    <x v="8"/>
    <n v="786.5"/>
    <n v="287072.5"/>
    <n v="1033461"/>
  </r>
  <r>
    <x v="0"/>
    <x v="1"/>
    <x v="1"/>
    <x v="3"/>
    <x v="7"/>
    <s v="DE4-W_A"/>
    <x v="15"/>
    <x v="2"/>
    <s v="GNR_ST_LIGN_BP_E-33"/>
    <x v="0"/>
    <x v="9"/>
    <n v="786.5"/>
    <n v="287072.5"/>
    <n v="1033461"/>
  </r>
  <r>
    <x v="0"/>
    <x v="1"/>
    <x v="1"/>
    <x v="3"/>
    <x v="7"/>
    <s v="DE4-W_A"/>
    <x v="15"/>
    <x v="2"/>
    <s v="GNR_ST_LIGN_BP_E-33"/>
    <x v="0"/>
    <x v="10"/>
    <n v="786.5"/>
    <n v="287072.5"/>
    <n v="1033461"/>
  </r>
  <r>
    <x v="0"/>
    <x v="1"/>
    <x v="1"/>
    <x v="3"/>
    <x v="7"/>
    <s v="DE4-W_A"/>
    <x v="15"/>
    <x v="2"/>
    <s v="GNR_ST_LIGN_BP_E-33"/>
    <x v="0"/>
    <x v="11"/>
    <n v="786.5"/>
    <n v="287072.5"/>
    <n v="1033461"/>
  </r>
  <r>
    <x v="0"/>
    <x v="1"/>
    <x v="1"/>
    <x v="3"/>
    <x v="7"/>
    <s v="DE4-W_A"/>
    <x v="15"/>
    <x v="2"/>
    <s v="GNR_ST_LIGN_BP_E-33"/>
    <x v="0"/>
    <x v="12"/>
    <n v="786.5"/>
    <n v="287072.5"/>
    <n v="1033461"/>
  </r>
  <r>
    <x v="0"/>
    <x v="1"/>
    <x v="1"/>
    <x v="3"/>
    <x v="7"/>
    <s v="DE4-W_A"/>
    <x v="15"/>
    <x v="2"/>
    <s v="GNR_ST_LIGN_BP_E-33"/>
    <x v="0"/>
    <x v="13"/>
    <n v="786.5"/>
    <n v="287072.5"/>
    <n v="1033461"/>
  </r>
  <r>
    <x v="0"/>
    <x v="1"/>
    <x v="1"/>
    <x v="3"/>
    <x v="7"/>
    <s v="DE4-W_A"/>
    <x v="15"/>
    <x v="2"/>
    <s v="GNR_ST_LIGN_BP_E-33"/>
    <x v="0"/>
    <x v="14"/>
    <n v="786.5"/>
    <n v="287072.5"/>
    <n v="1033461"/>
  </r>
  <r>
    <x v="0"/>
    <x v="1"/>
    <x v="1"/>
    <x v="3"/>
    <x v="7"/>
    <s v="DE4-W_A"/>
    <x v="15"/>
    <x v="2"/>
    <s v="GNR_ST_LIGN_BP_E-33"/>
    <x v="0"/>
    <x v="15"/>
    <n v="786.5"/>
    <n v="287072.5"/>
    <n v="1033461"/>
  </r>
  <r>
    <x v="0"/>
    <x v="1"/>
    <x v="1"/>
    <x v="3"/>
    <x v="7"/>
    <s v="DE4-W_A"/>
    <x v="15"/>
    <x v="2"/>
    <s v="GNR_ST_LIGN_BP_E-33"/>
    <x v="0"/>
    <x v="16"/>
    <n v="786.5"/>
    <n v="287072.5"/>
    <n v="1033461"/>
  </r>
  <r>
    <x v="0"/>
    <x v="1"/>
    <x v="1"/>
    <x v="3"/>
    <x v="7"/>
    <s v="DE4-W_A"/>
    <x v="15"/>
    <x v="2"/>
    <s v="GNR_ST_LIGN_BP_E-33"/>
    <x v="0"/>
    <x v="17"/>
    <n v="786.5"/>
    <n v="287072.5"/>
    <n v="1033461"/>
  </r>
  <r>
    <x v="0"/>
    <x v="1"/>
    <x v="1"/>
    <x v="3"/>
    <x v="7"/>
    <s v="DE4-W_A"/>
    <x v="15"/>
    <x v="2"/>
    <s v="GNR_ST_LIGN_BP_E-33"/>
    <x v="0"/>
    <x v="19"/>
    <n v="786.5"/>
    <n v="287072.5"/>
    <n v="1033461"/>
  </r>
  <r>
    <x v="0"/>
    <x v="1"/>
    <x v="1"/>
    <x v="3"/>
    <x v="7"/>
    <s v="DE4-W_A"/>
    <x v="15"/>
    <x v="2"/>
    <s v="GNR_ST_LIGN_BP_E-33"/>
    <x v="0"/>
    <x v="20"/>
    <n v="786.5"/>
    <n v="287072.5"/>
    <n v="1033461"/>
  </r>
  <r>
    <x v="0"/>
    <x v="1"/>
    <x v="1"/>
    <x v="3"/>
    <x v="7"/>
    <s v="DE4-W_A"/>
    <x v="15"/>
    <x v="2"/>
    <s v="GNR_ST_LIGN_BP_E-37"/>
    <x v="0"/>
    <x v="0"/>
    <n v="2663.2"/>
    <n v="972068"/>
    <n v="3499444.8"/>
  </r>
  <r>
    <x v="0"/>
    <x v="1"/>
    <x v="1"/>
    <x v="3"/>
    <x v="7"/>
    <s v="DE4-W_A"/>
    <x v="15"/>
    <x v="2"/>
    <s v="GNR_ST_LIGN_BP_E-37"/>
    <x v="0"/>
    <x v="1"/>
    <n v="2663.2"/>
    <n v="972068"/>
    <n v="3499444.8"/>
  </r>
  <r>
    <x v="0"/>
    <x v="1"/>
    <x v="1"/>
    <x v="3"/>
    <x v="7"/>
    <s v="DE4-W_A"/>
    <x v="15"/>
    <x v="2"/>
    <s v="GNR_ST_LIGN_BP_E-37"/>
    <x v="0"/>
    <x v="18"/>
    <n v="2663.2"/>
    <n v="972068"/>
    <n v="3499444.8"/>
  </r>
  <r>
    <x v="0"/>
    <x v="1"/>
    <x v="1"/>
    <x v="3"/>
    <x v="7"/>
    <s v="DE4-W_A"/>
    <x v="15"/>
    <x v="2"/>
    <s v="GNR_ST_LIGN_BP_E-37"/>
    <x v="0"/>
    <x v="2"/>
    <n v="2663.2"/>
    <n v="972068"/>
    <n v="3499444.8"/>
  </r>
  <r>
    <x v="0"/>
    <x v="1"/>
    <x v="1"/>
    <x v="3"/>
    <x v="7"/>
    <s v="DE4-W_A"/>
    <x v="15"/>
    <x v="2"/>
    <s v="GNR_ST_LIGN_BP_E-37"/>
    <x v="0"/>
    <x v="3"/>
    <n v="2663.2"/>
    <n v="972068"/>
    <n v="3499444.8"/>
  </r>
  <r>
    <x v="0"/>
    <x v="1"/>
    <x v="1"/>
    <x v="3"/>
    <x v="7"/>
    <s v="DE4-W_A"/>
    <x v="15"/>
    <x v="2"/>
    <s v="GNR_ST_LIGN_BP_E-37"/>
    <x v="0"/>
    <x v="4"/>
    <n v="2663.2"/>
    <n v="972068"/>
    <n v="3499444.8"/>
  </r>
  <r>
    <x v="0"/>
    <x v="1"/>
    <x v="1"/>
    <x v="3"/>
    <x v="7"/>
    <s v="DE4-W_A"/>
    <x v="15"/>
    <x v="2"/>
    <s v="GNR_ST_LIGN_BP_E-37"/>
    <x v="0"/>
    <x v="5"/>
    <n v="2663.2"/>
    <n v="972068"/>
    <n v="3499444.8"/>
  </r>
  <r>
    <x v="0"/>
    <x v="1"/>
    <x v="1"/>
    <x v="3"/>
    <x v="7"/>
    <s v="DE4-W_A"/>
    <x v="15"/>
    <x v="2"/>
    <s v="GNR_ST_LIGN_BP_E-37"/>
    <x v="0"/>
    <x v="6"/>
    <n v="2663.2"/>
    <n v="972068"/>
    <n v="3499444.8"/>
  </r>
  <r>
    <x v="0"/>
    <x v="1"/>
    <x v="1"/>
    <x v="3"/>
    <x v="7"/>
    <s v="DE4-W_A"/>
    <x v="15"/>
    <x v="2"/>
    <s v="GNR_ST_LIGN_BP_E-37"/>
    <x v="0"/>
    <x v="7"/>
    <n v="2663.2"/>
    <n v="972068"/>
    <n v="3499444.8"/>
  </r>
  <r>
    <x v="0"/>
    <x v="1"/>
    <x v="1"/>
    <x v="3"/>
    <x v="7"/>
    <s v="DE4-W_A"/>
    <x v="15"/>
    <x v="2"/>
    <s v="GNR_ST_LIGN_BP_E-37"/>
    <x v="0"/>
    <x v="8"/>
    <n v="2663.2"/>
    <n v="972068"/>
    <n v="3499444.8"/>
  </r>
  <r>
    <x v="0"/>
    <x v="1"/>
    <x v="1"/>
    <x v="3"/>
    <x v="7"/>
    <s v="DE4-W_A"/>
    <x v="15"/>
    <x v="2"/>
    <s v="GNR_ST_LIGN_BP_E-37"/>
    <x v="0"/>
    <x v="9"/>
    <n v="2663.2"/>
    <n v="972068"/>
    <n v="3499444.8"/>
  </r>
  <r>
    <x v="0"/>
    <x v="1"/>
    <x v="1"/>
    <x v="3"/>
    <x v="7"/>
    <s v="DE4-W_A"/>
    <x v="15"/>
    <x v="2"/>
    <s v="GNR_ST_LIGN_BP_E-37"/>
    <x v="0"/>
    <x v="10"/>
    <n v="2663.2"/>
    <n v="972068"/>
    <n v="3499444.8"/>
  </r>
  <r>
    <x v="0"/>
    <x v="1"/>
    <x v="1"/>
    <x v="3"/>
    <x v="7"/>
    <s v="DE4-W_A"/>
    <x v="15"/>
    <x v="2"/>
    <s v="GNR_ST_LIGN_BP_E-37"/>
    <x v="0"/>
    <x v="11"/>
    <n v="2663.2"/>
    <n v="972068"/>
    <n v="3499444.8"/>
  </r>
  <r>
    <x v="0"/>
    <x v="1"/>
    <x v="1"/>
    <x v="3"/>
    <x v="7"/>
    <s v="DE4-W_A"/>
    <x v="15"/>
    <x v="2"/>
    <s v="GNR_ST_LIGN_BP_E-37"/>
    <x v="0"/>
    <x v="12"/>
    <n v="2663.2"/>
    <n v="972068"/>
    <n v="3499444.8"/>
  </r>
  <r>
    <x v="0"/>
    <x v="1"/>
    <x v="1"/>
    <x v="3"/>
    <x v="7"/>
    <s v="DE4-W_A"/>
    <x v="15"/>
    <x v="2"/>
    <s v="GNR_ST_LIGN_BP_E-37"/>
    <x v="0"/>
    <x v="13"/>
    <n v="2663.2"/>
    <n v="972068"/>
    <n v="3499444.8"/>
  </r>
  <r>
    <x v="0"/>
    <x v="1"/>
    <x v="1"/>
    <x v="3"/>
    <x v="7"/>
    <s v="DE4-W_A"/>
    <x v="15"/>
    <x v="2"/>
    <s v="GNR_ST_LIGN_BP_E-37"/>
    <x v="0"/>
    <x v="14"/>
    <n v="2663.2"/>
    <n v="972068"/>
    <n v="3499444.8"/>
  </r>
  <r>
    <x v="0"/>
    <x v="1"/>
    <x v="1"/>
    <x v="3"/>
    <x v="7"/>
    <s v="DE4-W_A"/>
    <x v="15"/>
    <x v="2"/>
    <s v="GNR_ST_LIGN_BP_E-37"/>
    <x v="0"/>
    <x v="15"/>
    <n v="2663.2"/>
    <n v="972068"/>
    <n v="3499444.8"/>
  </r>
  <r>
    <x v="0"/>
    <x v="1"/>
    <x v="1"/>
    <x v="3"/>
    <x v="7"/>
    <s v="DE4-W_A"/>
    <x v="15"/>
    <x v="2"/>
    <s v="GNR_ST_LIGN_BP_E-37"/>
    <x v="0"/>
    <x v="16"/>
    <n v="2663.2"/>
    <n v="972068"/>
    <n v="3499444.8"/>
  </r>
  <r>
    <x v="0"/>
    <x v="1"/>
    <x v="1"/>
    <x v="3"/>
    <x v="7"/>
    <s v="DE4-W_A"/>
    <x v="15"/>
    <x v="2"/>
    <s v="GNR_ST_LIGN_BP_E-37"/>
    <x v="0"/>
    <x v="17"/>
    <n v="2663.2"/>
    <n v="972068"/>
    <n v="3499444.8"/>
  </r>
  <r>
    <x v="0"/>
    <x v="1"/>
    <x v="1"/>
    <x v="3"/>
    <x v="7"/>
    <s v="DE4-W_A"/>
    <x v="15"/>
    <x v="2"/>
    <s v="GNR_ST_LIGN_BP_E-37"/>
    <x v="0"/>
    <x v="19"/>
    <n v="2663.2"/>
    <n v="972068"/>
    <n v="3499444.8"/>
  </r>
  <r>
    <x v="0"/>
    <x v="1"/>
    <x v="1"/>
    <x v="3"/>
    <x v="7"/>
    <s v="DE4-W_A"/>
    <x v="15"/>
    <x v="2"/>
    <s v="GNR_ST_LIGN_BP_E-37"/>
    <x v="0"/>
    <x v="20"/>
    <n v="2663.2"/>
    <n v="972068"/>
    <n v="3499444.8"/>
  </r>
  <r>
    <x v="0"/>
    <x v="1"/>
    <x v="1"/>
    <x v="3"/>
    <x v="7"/>
    <s v="DE4-W_A"/>
    <x v="15"/>
    <x v="2"/>
    <s v="GNR_ST_LIGN_BP_E-37"/>
    <x v="0"/>
    <x v="21"/>
    <n v="2663.2"/>
    <n v="972068"/>
    <n v="3499444.8"/>
  </r>
  <r>
    <x v="0"/>
    <x v="1"/>
    <x v="1"/>
    <x v="3"/>
    <x v="7"/>
    <s v="DE4-W_A"/>
    <x v="15"/>
    <x v="6"/>
    <s v="GNR_ST_LIGN_CND_E-32"/>
    <x v="0"/>
    <x v="0"/>
    <n v="4539"/>
    <n v="1656735"/>
    <n v="5964246"/>
  </r>
  <r>
    <x v="0"/>
    <x v="1"/>
    <x v="1"/>
    <x v="3"/>
    <x v="7"/>
    <s v="DE4-W_A"/>
    <x v="15"/>
    <x v="6"/>
    <s v="GNR_ST_LIGN_CND_E-32"/>
    <x v="0"/>
    <x v="1"/>
    <n v="4539"/>
    <n v="1656735"/>
    <n v="5964246"/>
  </r>
  <r>
    <x v="0"/>
    <x v="1"/>
    <x v="1"/>
    <x v="3"/>
    <x v="7"/>
    <s v="DE4-W_A"/>
    <x v="15"/>
    <x v="6"/>
    <s v="GNR_ST_LIGN_CND_E-32"/>
    <x v="0"/>
    <x v="18"/>
    <n v="4539"/>
    <n v="1656735"/>
    <n v="5964246"/>
  </r>
  <r>
    <x v="0"/>
    <x v="1"/>
    <x v="1"/>
    <x v="3"/>
    <x v="7"/>
    <s v="DE4-W_A"/>
    <x v="15"/>
    <x v="6"/>
    <s v="GNR_ST_LIGN_CND_E-32"/>
    <x v="0"/>
    <x v="2"/>
    <n v="4539"/>
    <n v="1656735"/>
    <n v="5964246"/>
  </r>
  <r>
    <x v="0"/>
    <x v="1"/>
    <x v="1"/>
    <x v="3"/>
    <x v="7"/>
    <s v="DE4-W_A"/>
    <x v="15"/>
    <x v="6"/>
    <s v="GNR_ST_LIGN_CND_E-32"/>
    <x v="0"/>
    <x v="3"/>
    <n v="4539"/>
    <n v="1656735"/>
    <n v="5964246"/>
  </r>
  <r>
    <x v="0"/>
    <x v="1"/>
    <x v="1"/>
    <x v="3"/>
    <x v="7"/>
    <s v="DE4-W_A"/>
    <x v="15"/>
    <x v="6"/>
    <s v="GNR_ST_LIGN_CND_E-32"/>
    <x v="0"/>
    <x v="4"/>
    <n v="4539"/>
    <n v="1656735"/>
    <n v="5964246"/>
  </r>
  <r>
    <x v="0"/>
    <x v="1"/>
    <x v="1"/>
    <x v="3"/>
    <x v="7"/>
    <s v="DE4-W_A"/>
    <x v="15"/>
    <x v="6"/>
    <s v="GNR_ST_LIGN_CND_E-32"/>
    <x v="0"/>
    <x v="5"/>
    <n v="4539"/>
    <n v="1656735"/>
    <n v="5964246"/>
  </r>
  <r>
    <x v="0"/>
    <x v="1"/>
    <x v="1"/>
    <x v="3"/>
    <x v="7"/>
    <s v="DE4-W_A"/>
    <x v="15"/>
    <x v="6"/>
    <s v="GNR_ST_LIGN_CND_E-32"/>
    <x v="0"/>
    <x v="6"/>
    <n v="4539"/>
    <n v="1656735"/>
    <n v="5964246"/>
  </r>
  <r>
    <x v="0"/>
    <x v="1"/>
    <x v="1"/>
    <x v="3"/>
    <x v="7"/>
    <s v="DE4-W_A"/>
    <x v="15"/>
    <x v="6"/>
    <s v="GNR_ST_LIGN_CND_E-32"/>
    <x v="0"/>
    <x v="7"/>
    <n v="4539"/>
    <n v="1656735"/>
    <n v="5964246"/>
  </r>
  <r>
    <x v="0"/>
    <x v="1"/>
    <x v="1"/>
    <x v="3"/>
    <x v="7"/>
    <s v="DE4-W_A"/>
    <x v="15"/>
    <x v="6"/>
    <s v="GNR_ST_LIGN_CND_E-32"/>
    <x v="0"/>
    <x v="8"/>
    <n v="4539"/>
    <n v="1656735"/>
    <n v="5964246"/>
  </r>
  <r>
    <x v="0"/>
    <x v="1"/>
    <x v="1"/>
    <x v="3"/>
    <x v="7"/>
    <s v="DE4-W_A"/>
    <x v="15"/>
    <x v="6"/>
    <s v="GNR_ST_LIGN_CND_E-32"/>
    <x v="0"/>
    <x v="9"/>
    <n v="4539"/>
    <n v="1656735"/>
    <n v="5964246"/>
  </r>
  <r>
    <x v="0"/>
    <x v="1"/>
    <x v="1"/>
    <x v="3"/>
    <x v="7"/>
    <s v="DE4-W_A"/>
    <x v="15"/>
    <x v="6"/>
    <s v="GNR_ST_LIGN_CND_E-32"/>
    <x v="0"/>
    <x v="10"/>
    <n v="4539"/>
    <n v="1656735"/>
    <n v="5964246"/>
  </r>
  <r>
    <x v="0"/>
    <x v="1"/>
    <x v="1"/>
    <x v="3"/>
    <x v="7"/>
    <s v="DE4-W_A"/>
    <x v="15"/>
    <x v="6"/>
    <s v="GNR_ST_LIGN_CND_E-32"/>
    <x v="0"/>
    <x v="11"/>
    <n v="4539"/>
    <n v="1656735"/>
    <n v="5964246"/>
  </r>
  <r>
    <x v="0"/>
    <x v="1"/>
    <x v="1"/>
    <x v="3"/>
    <x v="7"/>
    <s v="DE4-W_A"/>
    <x v="15"/>
    <x v="6"/>
    <s v="GNR_ST_LIGN_CND_E-32"/>
    <x v="0"/>
    <x v="12"/>
    <n v="4539"/>
    <n v="1656735"/>
    <n v="5964246"/>
  </r>
  <r>
    <x v="0"/>
    <x v="1"/>
    <x v="1"/>
    <x v="3"/>
    <x v="7"/>
    <s v="DE4-W_A"/>
    <x v="15"/>
    <x v="6"/>
    <s v="GNR_ST_LIGN_CND_E-32"/>
    <x v="0"/>
    <x v="13"/>
    <n v="4539"/>
    <n v="1656735"/>
    <n v="5964246"/>
  </r>
  <r>
    <x v="0"/>
    <x v="1"/>
    <x v="1"/>
    <x v="3"/>
    <x v="7"/>
    <s v="DE4-W_A"/>
    <x v="15"/>
    <x v="6"/>
    <s v="GNR_ST_LIGN_CND_E-32"/>
    <x v="0"/>
    <x v="14"/>
    <n v="4539"/>
    <n v="1656735"/>
    <n v="5964246"/>
  </r>
  <r>
    <x v="0"/>
    <x v="1"/>
    <x v="1"/>
    <x v="3"/>
    <x v="7"/>
    <s v="DE4-W_A"/>
    <x v="15"/>
    <x v="6"/>
    <s v="GNR_ST_LIGN_CND_E-32"/>
    <x v="0"/>
    <x v="15"/>
    <n v="4539"/>
    <n v="1656735"/>
    <n v="5964246"/>
  </r>
  <r>
    <x v="0"/>
    <x v="1"/>
    <x v="1"/>
    <x v="3"/>
    <x v="7"/>
    <s v="DE4-W_A"/>
    <x v="15"/>
    <x v="6"/>
    <s v="GNR_ST_LIGN_CND_E-32"/>
    <x v="0"/>
    <x v="16"/>
    <n v="4539"/>
    <n v="1656735"/>
    <n v="5964246"/>
  </r>
  <r>
    <x v="0"/>
    <x v="1"/>
    <x v="1"/>
    <x v="3"/>
    <x v="7"/>
    <s v="DE4-W_A"/>
    <x v="15"/>
    <x v="6"/>
    <s v="GNR_ST_LIGN_CND_E-32"/>
    <x v="0"/>
    <x v="17"/>
    <n v="4539"/>
    <n v="1656735"/>
    <n v="5964246"/>
  </r>
  <r>
    <x v="0"/>
    <x v="1"/>
    <x v="1"/>
    <x v="3"/>
    <x v="7"/>
    <s v="DE4-W_A"/>
    <x v="15"/>
    <x v="6"/>
    <s v="GNR_ST_LIGN_CND_E-32"/>
    <x v="0"/>
    <x v="19"/>
    <n v="4539"/>
    <n v="1656735"/>
    <n v="5964246"/>
  </r>
  <r>
    <x v="0"/>
    <x v="1"/>
    <x v="1"/>
    <x v="3"/>
    <x v="7"/>
    <s v="DE4-W_A"/>
    <x v="15"/>
    <x v="6"/>
    <s v="GNR_ST_LIGN_CND_E-32"/>
    <x v="0"/>
    <x v="20"/>
    <n v="4539"/>
    <n v="1656735"/>
    <n v="5964246"/>
  </r>
  <r>
    <x v="0"/>
    <x v="1"/>
    <x v="1"/>
    <x v="3"/>
    <x v="7"/>
    <s v="DE4-W_A"/>
    <x v="15"/>
    <x v="6"/>
    <s v="GNR_ST_LIGN_CND_E-32"/>
    <x v="0"/>
    <x v="21"/>
    <n v="4539"/>
    <n v="1656735"/>
    <n v="5964246"/>
  </r>
  <r>
    <x v="0"/>
    <x v="1"/>
    <x v="1"/>
    <x v="3"/>
    <x v="7"/>
    <s v="DE4-W_A"/>
    <x v="15"/>
    <x v="6"/>
    <s v="GNR_ST_LIGN_CND_E-32"/>
    <x v="0"/>
    <x v="22"/>
    <n v="4539"/>
    <n v="1656735"/>
    <n v="5964246"/>
  </r>
  <r>
    <x v="0"/>
    <x v="1"/>
    <x v="1"/>
    <x v="3"/>
    <x v="7"/>
    <s v="DE4-W_A"/>
    <x v="15"/>
    <x v="6"/>
    <s v="GNR_ST_LIGN_CND_E-32"/>
    <x v="0"/>
    <x v="23"/>
    <n v="4539"/>
    <n v="1656735"/>
    <n v="5964246"/>
  </r>
  <r>
    <x v="0"/>
    <x v="1"/>
    <x v="1"/>
    <x v="3"/>
    <x v="7"/>
    <s v="DE4-W_A"/>
    <x v="15"/>
    <x v="6"/>
    <s v="GNR_ST_LIGN_CND_E-41"/>
    <x v="0"/>
    <x v="0"/>
    <n v="4030"/>
    <n v="1470950"/>
    <n v="5295420"/>
  </r>
  <r>
    <x v="0"/>
    <x v="1"/>
    <x v="1"/>
    <x v="3"/>
    <x v="7"/>
    <s v="DE4-W_A"/>
    <x v="15"/>
    <x v="6"/>
    <s v="GNR_ST_LIGN_CND_E-41"/>
    <x v="0"/>
    <x v="1"/>
    <n v="4030"/>
    <n v="1470950"/>
    <n v="5295420"/>
  </r>
  <r>
    <x v="0"/>
    <x v="1"/>
    <x v="1"/>
    <x v="3"/>
    <x v="7"/>
    <s v="DE4-W_A"/>
    <x v="15"/>
    <x v="6"/>
    <s v="GNR_ST_LIGN_CND_E-41"/>
    <x v="0"/>
    <x v="18"/>
    <n v="4030"/>
    <n v="1470950"/>
    <n v="5295420"/>
  </r>
  <r>
    <x v="0"/>
    <x v="1"/>
    <x v="1"/>
    <x v="3"/>
    <x v="7"/>
    <s v="DE4-W_A"/>
    <x v="15"/>
    <x v="6"/>
    <s v="GNR_ST_LIGN_CND_E-41"/>
    <x v="0"/>
    <x v="2"/>
    <n v="4030"/>
    <n v="1470950"/>
    <n v="5295420"/>
  </r>
  <r>
    <x v="0"/>
    <x v="1"/>
    <x v="1"/>
    <x v="3"/>
    <x v="7"/>
    <s v="DE4-W_A"/>
    <x v="15"/>
    <x v="6"/>
    <s v="GNR_ST_LIGN_CND_E-41"/>
    <x v="0"/>
    <x v="3"/>
    <n v="4030"/>
    <n v="1470950"/>
    <n v="5295420"/>
  </r>
  <r>
    <x v="0"/>
    <x v="1"/>
    <x v="1"/>
    <x v="3"/>
    <x v="7"/>
    <s v="DE4-W_A"/>
    <x v="15"/>
    <x v="6"/>
    <s v="GNR_ST_LIGN_CND_E-41"/>
    <x v="0"/>
    <x v="4"/>
    <n v="4030"/>
    <n v="1470950"/>
    <n v="5295420"/>
  </r>
  <r>
    <x v="0"/>
    <x v="1"/>
    <x v="1"/>
    <x v="3"/>
    <x v="7"/>
    <s v="DE4-W_A"/>
    <x v="15"/>
    <x v="6"/>
    <s v="GNR_ST_LIGN_CND_E-41"/>
    <x v="0"/>
    <x v="5"/>
    <n v="4030"/>
    <n v="1470950"/>
    <n v="5295420"/>
  </r>
  <r>
    <x v="0"/>
    <x v="1"/>
    <x v="1"/>
    <x v="3"/>
    <x v="7"/>
    <s v="DE4-W_A"/>
    <x v="15"/>
    <x v="6"/>
    <s v="GNR_ST_LIGN_CND_E-41"/>
    <x v="0"/>
    <x v="6"/>
    <n v="4030"/>
    <n v="1470950"/>
    <n v="5295420"/>
  </r>
  <r>
    <x v="0"/>
    <x v="1"/>
    <x v="1"/>
    <x v="3"/>
    <x v="7"/>
    <s v="DE4-W_A"/>
    <x v="15"/>
    <x v="6"/>
    <s v="GNR_ST_LIGN_CND_E-41"/>
    <x v="0"/>
    <x v="7"/>
    <n v="4030"/>
    <n v="1470950"/>
    <n v="5295420"/>
  </r>
  <r>
    <x v="0"/>
    <x v="1"/>
    <x v="1"/>
    <x v="3"/>
    <x v="7"/>
    <s v="DE4-W_A"/>
    <x v="15"/>
    <x v="6"/>
    <s v="GNR_ST_LIGN_CND_E-41"/>
    <x v="0"/>
    <x v="8"/>
    <n v="4030"/>
    <n v="1470950"/>
    <n v="5295420"/>
  </r>
  <r>
    <x v="0"/>
    <x v="1"/>
    <x v="1"/>
    <x v="3"/>
    <x v="7"/>
    <s v="DE4-W_A"/>
    <x v="15"/>
    <x v="6"/>
    <s v="GNR_ST_LIGN_CND_E-41"/>
    <x v="0"/>
    <x v="9"/>
    <n v="4030"/>
    <n v="1470950"/>
    <n v="5295420"/>
  </r>
  <r>
    <x v="0"/>
    <x v="1"/>
    <x v="1"/>
    <x v="3"/>
    <x v="7"/>
    <s v="DE4-W_A"/>
    <x v="15"/>
    <x v="6"/>
    <s v="GNR_ST_LIGN_CND_E-41"/>
    <x v="0"/>
    <x v="10"/>
    <n v="4030"/>
    <n v="1470950"/>
    <n v="5295420"/>
  </r>
  <r>
    <x v="0"/>
    <x v="1"/>
    <x v="1"/>
    <x v="3"/>
    <x v="7"/>
    <s v="DE4-W_A"/>
    <x v="15"/>
    <x v="6"/>
    <s v="GNR_ST_LIGN_CND_E-41"/>
    <x v="0"/>
    <x v="11"/>
    <n v="4030"/>
    <n v="1470950"/>
    <n v="5295420"/>
  </r>
  <r>
    <x v="0"/>
    <x v="1"/>
    <x v="1"/>
    <x v="3"/>
    <x v="7"/>
    <s v="DE4-W_A"/>
    <x v="15"/>
    <x v="6"/>
    <s v="GNR_ST_LIGN_CND_E-41"/>
    <x v="0"/>
    <x v="12"/>
    <n v="4030"/>
    <n v="1470950"/>
    <n v="5295420"/>
  </r>
  <r>
    <x v="0"/>
    <x v="1"/>
    <x v="1"/>
    <x v="3"/>
    <x v="7"/>
    <s v="DE4-W_A"/>
    <x v="15"/>
    <x v="6"/>
    <s v="GNR_ST_LIGN_CND_E-41"/>
    <x v="0"/>
    <x v="13"/>
    <n v="4030"/>
    <n v="1470950"/>
    <n v="5295420"/>
  </r>
  <r>
    <x v="0"/>
    <x v="1"/>
    <x v="1"/>
    <x v="3"/>
    <x v="7"/>
    <s v="DE4-W_A"/>
    <x v="15"/>
    <x v="6"/>
    <s v="GNR_ST_LIGN_CND_E-41"/>
    <x v="0"/>
    <x v="14"/>
    <n v="4030"/>
    <n v="1470950"/>
    <n v="5295420"/>
  </r>
  <r>
    <x v="0"/>
    <x v="1"/>
    <x v="1"/>
    <x v="3"/>
    <x v="7"/>
    <s v="DE4-W_A"/>
    <x v="15"/>
    <x v="6"/>
    <s v="GNR_ST_LIGN_CND_E-41"/>
    <x v="0"/>
    <x v="15"/>
    <n v="4030"/>
    <n v="1470950"/>
    <n v="5295420"/>
  </r>
  <r>
    <x v="0"/>
    <x v="1"/>
    <x v="1"/>
    <x v="3"/>
    <x v="7"/>
    <s v="DE4-W_A"/>
    <x v="15"/>
    <x v="6"/>
    <s v="GNR_ST_LIGN_CND_E-41"/>
    <x v="0"/>
    <x v="16"/>
    <n v="4030"/>
    <n v="1470950"/>
    <n v="5295420"/>
  </r>
  <r>
    <x v="0"/>
    <x v="1"/>
    <x v="1"/>
    <x v="3"/>
    <x v="7"/>
    <s v="DE4-W_A"/>
    <x v="15"/>
    <x v="6"/>
    <s v="GNR_ST_LIGN_CND_E-41"/>
    <x v="0"/>
    <x v="17"/>
    <n v="4030"/>
    <n v="1470950"/>
    <n v="5295420"/>
  </r>
  <r>
    <x v="0"/>
    <x v="1"/>
    <x v="1"/>
    <x v="3"/>
    <x v="7"/>
    <s v="DE4-W_A"/>
    <x v="15"/>
    <x v="6"/>
    <s v="GNR_ST_LIGN_CND_E-41"/>
    <x v="0"/>
    <x v="19"/>
    <n v="4030"/>
    <n v="1470950"/>
    <n v="5295420"/>
  </r>
  <r>
    <x v="0"/>
    <x v="1"/>
    <x v="1"/>
    <x v="3"/>
    <x v="7"/>
    <s v="DE4-W_A"/>
    <x v="15"/>
    <x v="6"/>
    <s v="GNR_ST_LIGN_CND_E-41"/>
    <x v="0"/>
    <x v="20"/>
    <n v="4030"/>
    <n v="1470950"/>
    <n v="5295420"/>
  </r>
  <r>
    <x v="0"/>
    <x v="1"/>
    <x v="1"/>
    <x v="3"/>
    <x v="7"/>
    <s v="DE4-W_A"/>
    <x v="15"/>
    <x v="6"/>
    <s v="GNR_ST_LIGN_CND_E-41"/>
    <x v="0"/>
    <x v="21"/>
    <n v="4030"/>
    <n v="1470950"/>
    <n v="5295420"/>
  </r>
  <r>
    <x v="0"/>
    <x v="1"/>
    <x v="1"/>
    <x v="3"/>
    <x v="7"/>
    <s v="DE4-W_A"/>
    <x v="15"/>
    <x v="6"/>
    <s v="GNR_ST_LIGN_CND_E-41"/>
    <x v="0"/>
    <x v="22"/>
    <n v="4030"/>
    <n v="1470950"/>
    <n v="5295420"/>
  </r>
  <r>
    <x v="0"/>
    <x v="1"/>
    <x v="1"/>
    <x v="3"/>
    <x v="7"/>
    <s v="DE4-W_A"/>
    <x v="15"/>
    <x v="6"/>
    <s v="GNR_ST_LIGN_CND_E-41"/>
    <x v="0"/>
    <x v="23"/>
    <n v="4030"/>
    <n v="1470950"/>
    <n v="5295420"/>
  </r>
  <r>
    <x v="0"/>
    <x v="1"/>
    <x v="1"/>
    <x v="3"/>
    <x v="7"/>
    <s v="DE4-W_A"/>
    <x v="2"/>
    <x v="6"/>
    <s v="GNR_ST_MSW_CND_E-33"/>
    <x v="0"/>
    <x v="6"/>
    <n v="172.8"/>
    <n v="63072"/>
    <n v="227059.20000000001"/>
  </r>
  <r>
    <x v="0"/>
    <x v="1"/>
    <x v="1"/>
    <x v="3"/>
    <x v="7"/>
    <s v="DE4-W_A"/>
    <x v="2"/>
    <x v="6"/>
    <s v="GNR_ST_MSW_CND_E-33"/>
    <x v="0"/>
    <x v="7"/>
    <n v="172.8"/>
    <n v="63072"/>
    <n v="227059.20000000001"/>
  </r>
  <r>
    <x v="0"/>
    <x v="1"/>
    <x v="1"/>
    <x v="3"/>
    <x v="7"/>
    <s v="DE4-W_A"/>
    <x v="2"/>
    <x v="6"/>
    <s v="GNR_ST_MSW_CND_E-33"/>
    <x v="0"/>
    <x v="8"/>
    <n v="172.8"/>
    <n v="63072"/>
    <n v="227059.20000000001"/>
  </r>
  <r>
    <x v="0"/>
    <x v="1"/>
    <x v="1"/>
    <x v="3"/>
    <x v="7"/>
    <s v="DE4-W_A"/>
    <x v="14"/>
    <x v="6"/>
    <s v="GNR_ST_NUCL_CND_E-33"/>
    <x v="0"/>
    <x v="0"/>
    <n v="2696"/>
    <n v="984040"/>
    <n v="3542544"/>
  </r>
  <r>
    <x v="0"/>
    <x v="1"/>
    <x v="1"/>
    <x v="3"/>
    <x v="7"/>
    <s v="DE4-W_A"/>
    <x v="14"/>
    <x v="6"/>
    <s v="GNR_ST_NUCL_CND_E-33"/>
    <x v="0"/>
    <x v="1"/>
    <n v="2696"/>
    <n v="984040"/>
    <n v="3542544"/>
  </r>
  <r>
    <x v="0"/>
    <x v="1"/>
    <x v="1"/>
    <x v="3"/>
    <x v="7"/>
    <s v="DE4-W_A"/>
    <x v="14"/>
    <x v="6"/>
    <s v="GNR_ST_NUCL_CND_E-33"/>
    <x v="0"/>
    <x v="18"/>
    <n v="2696"/>
    <n v="984040"/>
    <n v="3542544"/>
  </r>
  <r>
    <x v="0"/>
    <x v="1"/>
    <x v="1"/>
    <x v="3"/>
    <x v="7"/>
    <s v="DE4-W_A"/>
    <x v="14"/>
    <x v="6"/>
    <s v="GNR_ST_NUCL_CND_E-33"/>
    <x v="0"/>
    <x v="2"/>
    <n v="2696"/>
    <n v="984040"/>
    <n v="3542544"/>
  </r>
  <r>
    <x v="0"/>
    <x v="1"/>
    <x v="1"/>
    <x v="3"/>
    <x v="7"/>
    <s v="DE4-W_A"/>
    <x v="14"/>
    <x v="6"/>
    <s v="GNR_ST_NUCL_CND_E-33"/>
    <x v="0"/>
    <x v="3"/>
    <n v="2696"/>
    <n v="984040"/>
    <n v="3542544"/>
  </r>
  <r>
    <x v="0"/>
    <x v="1"/>
    <x v="1"/>
    <x v="3"/>
    <x v="7"/>
    <s v="DE4-W_A"/>
    <x v="14"/>
    <x v="6"/>
    <s v="GNR_ST_NUCL_CND_E-33"/>
    <x v="0"/>
    <x v="4"/>
    <n v="2696"/>
    <n v="984040"/>
    <n v="3542544"/>
  </r>
  <r>
    <x v="0"/>
    <x v="1"/>
    <x v="1"/>
    <x v="3"/>
    <x v="7"/>
    <s v="DE4-W_A"/>
    <x v="14"/>
    <x v="6"/>
    <s v="GNR_ST_NUCL_CND_E-33"/>
    <x v="0"/>
    <x v="5"/>
    <n v="2696"/>
    <n v="984040"/>
    <n v="3542544"/>
  </r>
  <r>
    <x v="0"/>
    <x v="1"/>
    <x v="1"/>
    <x v="3"/>
    <x v="7"/>
    <s v="DE4-W_A"/>
    <x v="14"/>
    <x v="6"/>
    <s v="GNR_ST_NUCL_CND_E-33"/>
    <x v="0"/>
    <x v="6"/>
    <n v="2696"/>
    <n v="984040"/>
    <n v="3542544"/>
  </r>
  <r>
    <x v="0"/>
    <x v="1"/>
    <x v="1"/>
    <x v="3"/>
    <x v="7"/>
    <s v="DE4-W_A"/>
    <x v="14"/>
    <x v="6"/>
    <s v="GNR_ST_NUCL_CND_E-33"/>
    <x v="0"/>
    <x v="7"/>
    <n v="2696"/>
    <n v="984040"/>
    <n v="3542544"/>
  </r>
  <r>
    <x v="0"/>
    <x v="1"/>
    <x v="1"/>
    <x v="3"/>
    <x v="7"/>
    <s v="DE4-W_A"/>
    <x v="14"/>
    <x v="6"/>
    <s v="GNR_ST_NUCL_CND_E-33"/>
    <x v="0"/>
    <x v="8"/>
    <n v="2696"/>
    <n v="984040"/>
    <n v="3542544"/>
  </r>
  <r>
    <x v="0"/>
    <x v="1"/>
    <x v="1"/>
    <x v="3"/>
    <x v="7"/>
    <s v="DE4-W_A"/>
    <x v="14"/>
    <x v="6"/>
    <s v="GNR_ST_NUCL_CND_E-33"/>
    <x v="0"/>
    <x v="9"/>
    <n v="2696"/>
    <n v="984040"/>
    <n v="3542544"/>
  </r>
  <r>
    <x v="0"/>
    <x v="1"/>
    <x v="1"/>
    <x v="3"/>
    <x v="7"/>
    <s v="DE4-W_A"/>
    <x v="14"/>
    <x v="6"/>
    <s v="GNR_ST_NUCL_CND_E-33"/>
    <x v="0"/>
    <x v="10"/>
    <n v="2696"/>
    <n v="984040"/>
    <n v="3542544"/>
  </r>
  <r>
    <x v="0"/>
    <x v="1"/>
    <x v="1"/>
    <x v="3"/>
    <x v="7"/>
    <s v="DE4-W_A"/>
    <x v="14"/>
    <x v="6"/>
    <s v="GNR_ST_NUCL_CND_E-33"/>
    <x v="0"/>
    <x v="11"/>
    <n v="2696"/>
    <n v="984040"/>
    <n v="3542544"/>
  </r>
  <r>
    <x v="0"/>
    <x v="1"/>
    <x v="1"/>
    <x v="3"/>
    <x v="7"/>
    <s v="DE4-W_A"/>
    <x v="14"/>
    <x v="6"/>
    <s v="GNR_ST_NUCL_CND_E-33"/>
    <x v="0"/>
    <x v="12"/>
    <n v="2696"/>
    <n v="984040"/>
    <n v="3542544"/>
  </r>
  <r>
    <x v="0"/>
    <x v="1"/>
    <x v="1"/>
    <x v="3"/>
    <x v="7"/>
    <s v="DE4-W_A"/>
    <x v="14"/>
    <x v="6"/>
    <s v="GNR_ST_NUCL_CND_E-33"/>
    <x v="0"/>
    <x v="13"/>
    <n v="2696"/>
    <n v="984040"/>
    <n v="3542544"/>
  </r>
  <r>
    <x v="0"/>
    <x v="1"/>
    <x v="1"/>
    <x v="3"/>
    <x v="7"/>
    <s v="DE4-W_A"/>
    <x v="14"/>
    <x v="6"/>
    <s v="GNR_ST_NUCL_CND_E-33"/>
    <x v="0"/>
    <x v="14"/>
    <n v="2696"/>
    <n v="984040"/>
    <n v="3542544"/>
  </r>
  <r>
    <x v="0"/>
    <x v="1"/>
    <x v="1"/>
    <x v="3"/>
    <x v="7"/>
    <s v="DE4-W_A"/>
    <x v="14"/>
    <x v="6"/>
    <s v="GNR_ST_NUCL_CND_E-33"/>
    <x v="0"/>
    <x v="15"/>
    <n v="2696"/>
    <n v="984040"/>
    <n v="3542544"/>
  </r>
  <r>
    <x v="0"/>
    <x v="1"/>
    <x v="1"/>
    <x v="3"/>
    <x v="7"/>
    <s v="DE4-W_A"/>
    <x v="14"/>
    <x v="6"/>
    <s v="GNR_ST_NUCL_CND_E-33"/>
    <x v="0"/>
    <x v="16"/>
    <n v="2696"/>
    <n v="984040"/>
    <n v="3542544"/>
  </r>
  <r>
    <x v="0"/>
    <x v="1"/>
    <x v="1"/>
    <x v="3"/>
    <x v="7"/>
    <s v="DE4-W_A"/>
    <x v="14"/>
    <x v="6"/>
    <s v="GNR_ST_NUCL_CND_E-33"/>
    <x v="0"/>
    <x v="17"/>
    <n v="2696"/>
    <n v="984040"/>
    <n v="3542544"/>
  </r>
  <r>
    <x v="0"/>
    <x v="1"/>
    <x v="1"/>
    <x v="3"/>
    <x v="7"/>
    <s v="DE4-W_A"/>
    <x v="14"/>
    <x v="6"/>
    <s v="GNR_ST_NUCL_CND_E-33"/>
    <x v="0"/>
    <x v="19"/>
    <n v="2696"/>
    <n v="984040"/>
    <n v="3542544"/>
  </r>
  <r>
    <x v="0"/>
    <x v="1"/>
    <x v="1"/>
    <x v="3"/>
    <x v="7"/>
    <s v="DE4-W_A"/>
    <x v="14"/>
    <x v="6"/>
    <s v="GNR_ST_NUCL_CND_E-33"/>
    <x v="0"/>
    <x v="20"/>
    <n v="2696"/>
    <n v="984040"/>
    <n v="3542544"/>
  </r>
  <r>
    <x v="0"/>
    <x v="1"/>
    <x v="1"/>
    <x v="3"/>
    <x v="7"/>
    <s v="DE4-W_A"/>
    <x v="14"/>
    <x v="6"/>
    <s v="GNR_ST_NUCL_CND_E-33"/>
    <x v="0"/>
    <x v="21"/>
    <n v="2696"/>
    <n v="984040"/>
    <n v="3542544"/>
  </r>
  <r>
    <x v="0"/>
    <x v="1"/>
    <x v="1"/>
    <x v="3"/>
    <x v="7"/>
    <s v="DE4-W_A"/>
    <x v="14"/>
    <x v="6"/>
    <s v="GNR_ST_NUCL_CND_E-33"/>
    <x v="0"/>
    <x v="22"/>
    <n v="2696"/>
    <n v="984040"/>
    <n v="3542544"/>
  </r>
  <r>
    <x v="0"/>
    <x v="1"/>
    <x v="1"/>
    <x v="3"/>
    <x v="7"/>
    <s v="DE4-W_A"/>
    <x v="14"/>
    <x v="6"/>
    <s v="GNR_ST_NUCL_CND_E-33"/>
    <x v="0"/>
    <x v="23"/>
    <n v="2696"/>
    <n v="984040"/>
    <n v="3542544"/>
  </r>
  <r>
    <x v="0"/>
    <x v="1"/>
    <x v="1"/>
    <x v="3"/>
    <x v="7"/>
    <s v="DE4-W_A"/>
    <x v="5"/>
    <x v="3"/>
    <s v="GNR_PV_SUN"/>
    <x v="0"/>
    <x v="7"/>
    <n v="219.04600607913301"/>
    <n v="79951.792218883493"/>
    <n v="287826.45198797999"/>
  </r>
  <r>
    <x v="0"/>
    <x v="1"/>
    <x v="1"/>
    <x v="3"/>
    <x v="7"/>
    <s v="DE4-W_A"/>
    <x v="5"/>
    <x v="3"/>
    <s v="GNR_PV_SUN"/>
    <x v="0"/>
    <x v="8"/>
    <n v="1649.0232662777801"/>
    <n v="601893.49219138897"/>
    <n v="2166816.571889"/>
  </r>
  <r>
    <x v="0"/>
    <x v="1"/>
    <x v="1"/>
    <x v="3"/>
    <x v="7"/>
    <s v="DE4-W_A"/>
    <x v="5"/>
    <x v="3"/>
    <s v="GNR_PV_SUN"/>
    <x v="0"/>
    <x v="9"/>
    <n v="3809.1538800735302"/>
    <n v="1390341.1662268401"/>
    <n v="5005228.1984166196"/>
  </r>
  <r>
    <x v="0"/>
    <x v="1"/>
    <x v="1"/>
    <x v="3"/>
    <x v="7"/>
    <s v="DE4-W_A"/>
    <x v="5"/>
    <x v="3"/>
    <s v="GNR_PV_SUN"/>
    <x v="0"/>
    <x v="10"/>
    <n v="5800.7875661161097"/>
    <n v="2117287.4616323798"/>
    <n v="7622234.8618765697"/>
  </r>
  <r>
    <x v="0"/>
    <x v="1"/>
    <x v="1"/>
    <x v="3"/>
    <x v="7"/>
    <s v="DE4-W_A"/>
    <x v="5"/>
    <x v="3"/>
    <s v="GNR_PV_SUN"/>
    <x v="0"/>
    <x v="11"/>
    <n v="6594.9697522594297"/>
    <n v="2407163.9595746901"/>
    <n v="8665790.2544688899"/>
  </r>
  <r>
    <x v="0"/>
    <x v="1"/>
    <x v="1"/>
    <x v="3"/>
    <x v="7"/>
    <s v="DE4-W_A"/>
    <x v="5"/>
    <x v="3"/>
    <s v="GNR_PV_SUN"/>
    <x v="0"/>
    <x v="12"/>
    <n v="5734.5121078665297"/>
    <n v="2093096.9193712799"/>
    <n v="7535148.9097366203"/>
  </r>
  <r>
    <x v="0"/>
    <x v="1"/>
    <x v="1"/>
    <x v="3"/>
    <x v="7"/>
    <s v="DE4-W_A"/>
    <x v="5"/>
    <x v="3"/>
    <s v="GNR_PV_SUN"/>
    <x v="0"/>
    <x v="13"/>
    <n v="3731.64529330707"/>
    <n v="1362050.53205708"/>
    <n v="4903381.9154054904"/>
  </r>
  <r>
    <x v="0"/>
    <x v="1"/>
    <x v="1"/>
    <x v="3"/>
    <x v="7"/>
    <s v="DE4-W_A"/>
    <x v="5"/>
    <x v="3"/>
    <s v="GNR_PV_SUN"/>
    <x v="0"/>
    <x v="14"/>
    <n v="1889.4122165389799"/>
    <n v="689635.45903672802"/>
    <n v="2482687.6525322199"/>
  </r>
  <r>
    <x v="0"/>
    <x v="1"/>
    <x v="1"/>
    <x v="3"/>
    <x v="7"/>
    <s v="DE4-W_A"/>
    <x v="5"/>
    <x v="3"/>
    <s v="GNR_PV_SUN"/>
    <x v="0"/>
    <x v="15"/>
    <n v="246.005514519641"/>
    <n v="89792.012799669101"/>
    <n v="323251.24607880902"/>
  </r>
  <r>
    <x v="0"/>
    <x v="1"/>
    <x v="1"/>
    <x v="3"/>
    <x v="7"/>
    <s v="DE4-W_A"/>
    <x v="6"/>
    <x v="4"/>
    <s v="GNR_ROR_WTR"/>
    <x v="0"/>
    <x v="0"/>
    <n v="198.90753424657501"/>
    <n v="72601.25"/>
    <n v="261364.5"/>
  </r>
  <r>
    <x v="0"/>
    <x v="1"/>
    <x v="1"/>
    <x v="3"/>
    <x v="7"/>
    <s v="DE4-W_A"/>
    <x v="6"/>
    <x v="4"/>
    <s v="GNR_ROR_WTR"/>
    <x v="0"/>
    <x v="1"/>
    <n v="198.90753424657501"/>
    <n v="72601.25"/>
    <n v="261364.5"/>
  </r>
  <r>
    <x v="0"/>
    <x v="1"/>
    <x v="1"/>
    <x v="3"/>
    <x v="7"/>
    <s v="DE4-W_A"/>
    <x v="6"/>
    <x v="4"/>
    <s v="GNR_ROR_WTR"/>
    <x v="0"/>
    <x v="18"/>
    <n v="198.90753424657501"/>
    <n v="72601.25"/>
    <n v="261364.5"/>
  </r>
  <r>
    <x v="0"/>
    <x v="1"/>
    <x v="1"/>
    <x v="3"/>
    <x v="7"/>
    <s v="DE4-W_A"/>
    <x v="6"/>
    <x v="4"/>
    <s v="GNR_ROR_WTR"/>
    <x v="0"/>
    <x v="2"/>
    <n v="198.90753424657501"/>
    <n v="72601.25"/>
    <n v="261364.5"/>
  </r>
  <r>
    <x v="0"/>
    <x v="1"/>
    <x v="1"/>
    <x v="3"/>
    <x v="7"/>
    <s v="DE4-W_A"/>
    <x v="6"/>
    <x v="4"/>
    <s v="GNR_ROR_WTR"/>
    <x v="0"/>
    <x v="3"/>
    <n v="198.90753424657501"/>
    <n v="72601.25"/>
    <n v="261364.5"/>
  </r>
  <r>
    <x v="0"/>
    <x v="1"/>
    <x v="1"/>
    <x v="3"/>
    <x v="7"/>
    <s v="DE4-W_A"/>
    <x v="6"/>
    <x v="4"/>
    <s v="GNR_ROR_WTR"/>
    <x v="0"/>
    <x v="4"/>
    <n v="198.90753424657501"/>
    <n v="72601.25"/>
    <n v="261364.5"/>
  </r>
  <r>
    <x v="0"/>
    <x v="1"/>
    <x v="1"/>
    <x v="3"/>
    <x v="7"/>
    <s v="DE4-W_A"/>
    <x v="6"/>
    <x v="4"/>
    <s v="GNR_ROR_WTR"/>
    <x v="0"/>
    <x v="5"/>
    <n v="198.90753424657501"/>
    <n v="72601.25"/>
    <n v="261364.5"/>
  </r>
  <r>
    <x v="0"/>
    <x v="1"/>
    <x v="1"/>
    <x v="3"/>
    <x v="7"/>
    <s v="DE4-W_A"/>
    <x v="6"/>
    <x v="4"/>
    <s v="GNR_ROR_WTR"/>
    <x v="0"/>
    <x v="6"/>
    <n v="198.90753424657501"/>
    <n v="72601.25"/>
    <n v="261364.5"/>
  </r>
  <r>
    <x v="0"/>
    <x v="1"/>
    <x v="1"/>
    <x v="3"/>
    <x v="7"/>
    <s v="DE4-W_A"/>
    <x v="6"/>
    <x v="4"/>
    <s v="GNR_ROR_WTR"/>
    <x v="0"/>
    <x v="7"/>
    <n v="198.90753424657501"/>
    <n v="72601.25"/>
    <n v="261364.5"/>
  </r>
  <r>
    <x v="0"/>
    <x v="1"/>
    <x v="1"/>
    <x v="3"/>
    <x v="7"/>
    <s v="DE4-W_A"/>
    <x v="6"/>
    <x v="4"/>
    <s v="GNR_ROR_WTR"/>
    <x v="0"/>
    <x v="8"/>
    <n v="198.90753424657501"/>
    <n v="72601.25"/>
    <n v="261364.5"/>
  </r>
  <r>
    <x v="0"/>
    <x v="1"/>
    <x v="1"/>
    <x v="3"/>
    <x v="7"/>
    <s v="DE4-W_A"/>
    <x v="6"/>
    <x v="4"/>
    <s v="GNR_ROR_WTR"/>
    <x v="0"/>
    <x v="9"/>
    <n v="198.90753424657501"/>
    <n v="72601.25"/>
    <n v="261364.5"/>
  </r>
  <r>
    <x v="0"/>
    <x v="1"/>
    <x v="1"/>
    <x v="3"/>
    <x v="7"/>
    <s v="DE4-W_A"/>
    <x v="6"/>
    <x v="4"/>
    <s v="GNR_ROR_WTR"/>
    <x v="0"/>
    <x v="10"/>
    <n v="198.90753424657501"/>
    <n v="72601.25"/>
    <n v="261364.5"/>
  </r>
  <r>
    <x v="0"/>
    <x v="1"/>
    <x v="1"/>
    <x v="3"/>
    <x v="7"/>
    <s v="DE4-W_A"/>
    <x v="6"/>
    <x v="4"/>
    <s v="GNR_ROR_WTR"/>
    <x v="0"/>
    <x v="11"/>
    <n v="198.90753424657501"/>
    <n v="72601.25"/>
    <n v="261364.5"/>
  </r>
  <r>
    <x v="0"/>
    <x v="1"/>
    <x v="1"/>
    <x v="3"/>
    <x v="7"/>
    <s v="DE4-W_A"/>
    <x v="6"/>
    <x v="4"/>
    <s v="GNR_ROR_WTR"/>
    <x v="0"/>
    <x v="12"/>
    <n v="198.90753424657501"/>
    <n v="72601.25"/>
    <n v="261364.5"/>
  </r>
  <r>
    <x v="0"/>
    <x v="1"/>
    <x v="1"/>
    <x v="3"/>
    <x v="7"/>
    <s v="DE4-W_A"/>
    <x v="6"/>
    <x v="4"/>
    <s v="GNR_ROR_WTR"/>
    <x v="0"/>
    <x v="13"/>
    <n v="198.90753424657501"/>
    <n v="72601.25"/>
    <n v="261364.5"/>
  </r>
  <r>
    <x v="0"/>
    <x v="1"/>
    <x v="1"/>
    <x v="3"/>
    <x v="7"/>
    <s v="DE4-W_A"/>
    <x v="6"/>
    <x v="4"/>
    <s v="GNR_ROR_WTR"/>
    <x v="0"/>
    <x v="14"/>
    <n v="198.90753424657501"/>
    <n v="72601.25"/>
    <n v="261364.5"/>
  </r>
  <r>
    <x v="0"/>
    <x v="1"/>
    <x v="1"/>
    <x v="3"/>
    <x v="7"/>
    <s v="DE4-W_A"/>
    <x v="6"/>
    <x v="4"/>
    <s v="GNR_ROR_WTR"/>
    <x v="0"/>
    <x v="15"/>
    <n v="198.90753424657501"/>
    <n v="72601.25"/>
    <n v="261364.5"/>
  </r>
  <r>
    <x v="0"/>
    <x v="1"/>
    <x v="1"/>
    <x v="3"/>
    <x v="7"/>
    <s v="DE4-W_A"/>
    <x v="6"/>
    <x v="4"/>
    <s v="GNR_ROR_WTR"/>
    <x v="0"/>
    <x v="16"/>
    <n v="198.90753424657501"/>
    <n v="72601.25"/>
    <n v="261364.5"/>
  </r>
  <r>
    <x v="0"/>
    <x v="1"/>
    <x v="1"/>
    <x v="3"/>
    <x v="7"/>
    <s v="DE4-W_A"/>
    <x v="6"/>
    <x v="4"/>
    <s v="GNR_ROR_WTR"/>
    <x v="0"/>
    <x v="17"/>
    <n v="198.90753424657501"/>
    <n v="72601.25"/>
    <n v="261364.5"/>
  </r>
  <r>
    <x v="0"/>
    <x v="1"/>
    <x v="1"/>
    <x v="3"/>
    <x v="7"/>
    <s v="DE4-W_A"/>
    <x v="6"/>
    <x v="4"/>
    <s v="GNR_ROR_WTR"/>
    <x v="0"/>
    <x v="19"/>
    <n v="198.90753424657501"/>
    <n v="72601.25"/>
    <n v="261364.5"/>
  </r>
  <r>
    <x v="0"/>
    <x v="1"/>
    <x v="1"/>
    <x v="3"/>
    <x v="7"/>
    <s v="DE4-W_A"/>
    <x v="6"/>
    <x v="4"/>
    <s v="GNR_ROR_WTR"/>
    <x v="0"/>
    <x v="20"/>
    <n v="198.90753424657501"/>
    <n v="72601.25"/>
    <n v="261364.5"/>
  </r>
  <r>
    <x v="0"/>
    <x v="1"/>
    <x v="1"/>
    <x v="3"/>
    <x v="7"/>
    <s v="DE4-W_A"/>
    <x v="6"/>
    <x v="4"/>
    <s v="GNR_ROR_WTR"/>
    <x v="0"/>
    <x v="21"/>
    <n v="198.90753424657501"/>
    <n v="72601.25"/>
    <n v="261364.5"/>
  </r>
  <r>
    <x v="0"/>
    <x v="1"/>
    <x v="1"/>
    <x v="3"/>
    <x v="7"/>
    <s v="DE4-W_A"/>
    <x v="6"/>
    <x v="4"/>
    <s v="GNR_ROR_WTR"/>
    <x v="0"/>
    <x v="22"/>
    <n v="198.90753424657501"/>
    <n v="72601.25"/>
    <n v="261364.5"/>
  </r>
  <r>
    <x v="0"/>
    <x v="1"/>
    <x v="1"/>
    <x v="3"/>
    <x v="7"/>
    <s v="DE4-W_A"/>
    <x v="6"/>
    <x v="4"/>
    <s v="GNR_ROR_WTR"/>
    <x v="0"/>
    <x v="23"/>
    <n v="198.90753424657501"/>
    <n v="72601.25"/>
    <n v="261364.5"/>
  </r>
  <r>
    <x v="0"/>
    <x v="1"/>
    <x v="1"/>
    <x v="3"/>
    <x v="7"/>
    <s v="DE4-W_A"/>
    <x v="7"/>
    <x v="5"/>
    <s v="GNR_WT_WIND_ONS"/>
    <x v="0"/>
    <x v="0"/>
    <n v="3060.9279973252001"/>
    <n v="1117238.7190237001"/>
    <n v="4022059.3884853101"/>
  </r>
  <r>
    <x v="0"/>
    <x v="1"/>
    <x v="1"/>
    <x v="3"/>
    <x v="7"/>
    <s v="DE4-W_A"/>
    <x v="7"/>
    <x v="5"/>
    <s v="GNR_WT_WIND_ONS"/>
    <x v="0"/>
    <x v="1"/>
    <n v="2961.7284275709299"/>
    <n v="1081030.8760633899"/>
    <n v="3891711.1538282102"/>
  </r>
  <r>
    <x v="0"/>
    <x v="1"/>
    <x v="1"/>
    <x v="3"/>
    <x v="7"/>
    <s v="DE4-W_A"/>
    <x v="7"/>
    <x v="5"/>
    <s v="GNR_WT_WIND_ONS"/>
    <x v="0"/>
    <x v="18"/>
    <n v="2877.1949133039502"/>
    <n v="1050176.14335594"/>
    <n v="3780634.1160813901"/>
  </r>
  <r>
    <x v="0"/>
    <x v="1"/>
    <x v="1"/>
    <x v="3"/>
    <x v="7"/>
    <s v="DE4-W_A"/>
    <x v="7"/>
    <x v="5"/>
    <s v="GNR_WT_WIND_ONS"/>
    <x v="0"/>
    <x v="2"/>
    <n v="2732.1639201519201"/>
    <n v="997239.83085545094"/>
    <n v="3590063.39107962"/>
  </r>
  <r>
    <x v="0"/>
    <x v="1"/>
    <x v="1"/>
    <x v="3"/>
    <x v="7"/>
    <s v="DE4-W_A"/>
    <x v="7"/>
    <x v="5"/>
    <s v="GNR_WT_WIND_ONS"/>
    <x v="0"/>
    <x v="3"/>
    <n v="2488.7481381060302"/>
    <n v="908393.07040870003"/>
    <n v="3270215.0534713198"/>
  </r>
  <r>
    <x v="0"/>
    <x v="1"/>
    <x v="1"/>
    <x v="3"/>
    <x v="7"/>
    <s v="DE4-W_A"/>
    <x v="7"/>
    <x v="5"/>
    <s v="GNR_WT_WIND_ONS"/>
    <x v="0"/>
    <x v="4"/>
    <n v="2270.9979531628801"/>
    <n v="828914.25290445297"/>
    <n v="2984091.3104560301"/>
  </r>
  <r>
    <x v="0"/>
    <x v="1"/>
    <x v="1"/>
    <x v="3"/>
    <x v="7"/>
    <s v="DE4-W_A"/>
    <x v="7"/>
    <x v="5"/>
    <s v="GNR_WT_WIND_ONS"/>
    <x v="0"/>
    <x v="5"/>
    <n v="1871.9590267797"/>
    <n v="683265.04477459099"/>
    <n v="2459754.1611885298"/>
  </r>
  <r>
    <x v="0"/>
    <x v="1"/>
    <x v="1"/>
    <x v="3"/>
    <x v="7"/>
    <s v="DE4-W_A"/>
    <x v="7"/>
    <x v="5"/>
    <s v="GNR_WT_WIND_ONS"/>
    <x v="0"/>
    <x v="6"/>
    <n v="1810.23937660405"/>
    <n v="660737.37246047799"/>
    <n v="2378654.5408577202"/>
  </r>
  <r>
    <x v="0"/>
    <x v="1"/>
    <x v="1"/>
    <x v="3"/>
    <x v="7"/>
    <s v="DE4-W_A"/>
    <x v="7"/>
    <x v="5"/>
    <s v="GNR_WT_WIND_ONS"/>
    <x v="0"/>
    <x v="7"/>
    <n v="1946.1040850765301"/>
    <n v="710327.99105293199"/>
    <n v="2557180.7677905601"/>
  </r>
  <r>
    <x v="0"/>
    <x v="1"/>
    <x v="1"/>
    <x v="3"/>
    <x v="7"/>
    <s v="DE4-W_A"/>
    <x v="7"/>
    <x v="5"/>
    <s v="GNR_WT_WIND_ONS"/>
    <x v="0"/>
    <x v="8"/>
    <n v="2099.0791916174999"/>
    <n v="766163.90494038805"/>
    <n v="2758190.0577854002"/>
  </r>
  <r>
    <x v="0"/>
    <x v="1"/>
    <x v="1"/>
    <x v="3"/>
    <x v="7"/>
    <s v="DE4-W_A"/>
    <x v="7"/>
    <x v="5"/>
    <s v="GNR_WT_WIND_ONS"/>
    <x v="0"/>
    <x v="9"/>
    <n v="2421.93610755285"/>
    <n v="884006.67925678904"/>
    <n v="3182424.0453244401"/>
  </r>
  <r>
    <x v="0"/>
    <x v="1"/>
    <x v="1"/>
    <x v="3"/>
    <x v="7"/>
    <s v="DE4-W_A"/>
    <x v="7"/>
    <x v="5"/>
    <s v="GNR_WT_WIND_ONS"/>
    <x v="0"/>
    <x v="10"/>
    <n v="2667.9999273950498"/>
    <n v="973819.97349919495"/>
    <n v="3505751.9045970999"/>
  </r>
  <r>
    <x v="0"/>
    <x v="1"/>
    <x v="1"/>
    <x v="3"/>
    <x v="7"/>
    <s v="DE4-W_A"/>
    <x v="7"/>
    <x v="5"/>
    <s v="GNR_WT_WIND_ONS"/>
    <x v="0"/>
    <x v="11"/>
    <n v="3283.15947700057"/>
    <n v="1198353.2091052099"/>
    <n v="4314071.5527787497"/>
  </r>
  <r>
    <x v="0"/>
    <x v="1"/>
    <x v="1"/>
    <x v="3"/>
    <x v="7"/>
    <s v="DE4-W_A"/>
    <x v="7"/>
    <x v="5"/>
    <s v="GNR_WT_WIND_ONS"/>
    <x v="0"/>
    <x v="12"/>
    <n v="3836.5993764304299"/>
    <n v="1400358.77239711"/>
    <n v="5041291.58062959"/>
  </r>
  <r>
    <x v="0"/>
    <x v="1"/>
    <x v="1"/>
    <x v="3"/>
    <x v="7"/>
    <s v="DE4-W_A"/>
    <x v="7"/>
    <x v="5"/>
    <s v="GNR_WT_WIND_ONS"/>
    <x v="0"/>
    <x v="13"/>
    <n v="4467.2397623836396"/>
    <n v="1630542.51327003"/>
    <n v="5869953.0477721002"/>
  </r>
  <r>
    <x v="0"/>
    <x v="1"/>
    <x v="1"/>
    <x v="3"/>
    <x v="7"/>
    <s v="DE4-W_A"/>
    <x v="7"/>
    <x v="5"/>
    <s v="GNR_WT_WIND_ONS"/>
    <x v="0"/>
    <x v="14"/>
    <n v="5089.7323397328"/>
    <n v="1857752.3040024701"/>
    <n v="6687908.2944088997"/>
  </r>
  <r>
    <x v="0"/>
    <x v="1"/>
    <x v="1"/>
    <x v="3"/>
    <x v="7"/>
    <s v="DE4-W_A"/>
    <x v="7"/>
    <x v="5"/>
    <s v="GNR_WT_WIND_ONS"/>
    <x v="0"/>
    <x v="15"/>
    <n v="5920.8088173455499"/>
    <n v="2161095.2183311302"/>
    <n v="7779942.7859920496"/>
  </r>
  <r>
    <x v="0"/>
    <x v="1"/>
    <x v="1"/>
    <x v="3"/>
    <x v="7"/>
    <s v="DE4-W_A"/>
    <x v="7"/>
    <x v="5"/>
    <s v="GNR_WT_WIND_ONS"/>
    <x v="0"/>
    <x v="16"/>
    <n v="6679.98088402759"/>
    <n v="2438193.0226700702"/>
    <n v="8777494.8816122599"/>
  </r>
  <r>
    <x v="0"/>
    <x v="1"/>
    <x v="1"/>
    <x v="3"/>
    <x v="7"/>
    <s v="DE4-W_A"/>
    <x v="7"/>
    <x v="5"/>
    <s v="GNR_WT_WIND_ONS"/>
    <x v="0"/>
    <x v="17"/>
    <n v="7493.5395731416402"/>
    <n v="2735141.9441967001"/>
    <n v="9846510.9991081208"/>
  </r>
  <r>
    <x v="0"/>
    <x v="1"/>
    <x v="1"/>
    <x v="3"/>
    <x v="7"/>
    <s v="DE4-W_A"/>
    <x v="7"/>
    <x v="5"/>
    <s v="GNR_WT_WIND_ONS"/>
    <x v="0"/>
    <x v="19"/>
    <n v="8311.1721665577206"/>
    <n v="3033577.84079357"/>
    <n v="10920880.2268568"/>
  </r>
  <r>
    <x v="0"/>
    <x v="1"/>
    <x v="1"/>
    <x v="3"/>
    <x v="7"/>
    <s v="DE4-W_A"/>
    <x v="7"/>
    <x v="5"/>
    <s v="GNR_WT_WIND_ONS"/>
    <x v="0"/>
    <x v="20"/>
    <n v="9009.43936392451"/>
    <n v="3288445.3678324502"/>
    <n v="11838403.324196801"/>
  </r>
  <r>
    <x v="0"/>
    <x v="1"/>
    <x v="1"/>
    <x v="3"/>
    <x v="7"/>
    <s v="DE4-W_A"/>
    <x v="7"/>
    <x v="5"/>
    <s v="GNR_WT_WIND_ONS"/>
    <x v="0"/>
    <x v="21"/>
    <n v="9777.5740200710006"/>
    <n v="3568814.5173259201"/>
    <n v="12847732.2623733"/>
  </r>
  <r>
    <x v="0"/>
    <x v="1"/>
    <x v="1"/>
    <x v="3"/>
    <x v="7"/>
    <s v="DE4-W_A"/>
    <x v="7"/>
    <x v="5"/>
    <s v="GNR_WT_WIND_ONS"/>
    <x v="0"/>
    <x v="22"/>
    <n v="10746.959548737401"/>
    <n v="3922640.2352891699"/>
    <n v="14121504.847041"/>
  </r>
  <r>
    <x v="0"/>
    <x v="1"/>
    <x v="1"/>
    <x v="3"/>
    <x v="7"/>
    <s v="DE4-W_A"/>
    <x v="7"/>
    <x v="5"/>
    <s v="GNR_WT_WIND_ONS"/>
    <x v="0"/>
    <x v="23"/>
    <n v="11379.229496411501"/>
    <n v="4153418.7661901801"/>
    <n v="14952307.5582847"/>
  </r>
  <r>
    <x v="0"/>
    <x v="1"/>
    <x v="1"/>
    <x v="3"/>
    <x v="7"/>
    <s v="DE4-W_Offshore_A"/>
    <x v="7"/>
    <x v="5"/>
    <s v="GNR_WT_WIND_OFF"/>
    <x v="0"/>
    <x v="0"/>
    <n v="1209.39676413027"/>
    <n v="441429.81890755001"/>
    <n v="1589147.34806718"/>
  </r>
  <r>
    <x v="0"/>
    <x v="1"/>
    <x v="1"/>
    <x v="3"/>
    <x v="7"/>
    <s v="DE4-W_Offshore_A"/>
    <x v="7"/>
    <x v="5"/>
    <s v="GNR_WT_WIND_OFF"/>
    <x v="0"/>
    <x v="1"/>
    <n v="1170.20223267813"/>
    <n v="427123.81492751598"/>
    <n v="1537645.7337390599"/>
  </r>
  <r>
    <x v="0"/>
    <x v="1"/>
    <x v="1"/>
    <x v="3"/>
    <x v="7"/>
    <s v="DE4-W_Offshore_A"/>
    <x v="7"/>
    <x v="5"/>
    <s v="GNR_WT_WIND_OFF"/>
    <x v="0"/>
    <x v="18"/>
    <n v="1136.8023752805"/>
    <n v="414932.86697738402"/>
    <n v="1493758.3211185799"/>
  </r>
  <r>
    <x v="0"/>
    <x v="1"/>
    <x v="1"/>
    <x v="3"/>
    <x v="7"/>
    <s v="DE4-W_Offshore_A"/>
    <x v="7"/>
    <x v="5"/>
    <s v="GNR_WT_WIND_OFF"/>
    <x v="0"/>
    <x v="2"/>
    <n v="1079.49948740796"/>
    <n v="394017.31290390401"/>
    <n v="1418462.3264540599"/>
  </r>
  <r>
    <x v="0"/>
    <x v="1"/>
    <x v="1"/>
    <x v="3"/>
    <x v="7"/>
    <s v="DE4-W_Offshore_A"/>
    <x v="7"/>
    <x v="5"/>
    <s v="GNR_WT_WIND_OFF"/>
    <x v="0"/>
    <x v="3"/>
    <n v="983.32399441962502"/>
    <n v="358913.25796316302"/>
    <n v="1292087.7286673901"/>
  </r>
  <r>
    <x v="0"/>
    <x v="1"/>
    <x v="1"/>
    <x v="3"/>
    <x v="7"/>
    <s v="DE4-W_Offshore_A"/>
    <x v="7"/>
    <x v="5"/>
    <s v="GNR_WT_WIND_OFF"/>
    <x v="0"/>
    <x v="4"/>
    <n v="897.289181026714"/>
    <n v="327510.55107475101"/>
    <n v="1179037.9838691"/>
  </r>
  <r>
    <x v="0"/>
    <x v="1"/>
    <x v="1"/>
    <x v="3"/>
    <x v="7"/>
    <s v="DE4-W_Offshore_A"/>
    <x v="7"/>
    <x v="5"/>
    <s v="GNR_WT_WIND_OFF"/>
    <x v="0"/>
    <x v="5"/>
    <n v="739.62575779312101"/>
    <n v="269963.401594489"/>
    <n v="971868.24574016104"/>
  </r>
  <r>
    <x v="0"/>
    <x v="1"/>
    <x v="1"/>
    <x v="3"/>
    <x v="7"/>
    <s v="DE4-W_Offshore_A"/>
    <x v="7"/>
    <x v="5"/>
    <s v="GNR_WT_WIND_OFF"/>
    <x v="0"/>
    <x v="6"/>
    <n v="715.239837813652"/>
    <n v="261062.54080198301"/>
    <n v="939825.14688713895"/>
  </r>
  <r>
    <x v="0"/>
    <x v="1"/>
    <x v="1"/>
    <x v="3"/>
    <x v="7"/>
    <s v="DE4-W_Offshore_A"/>
    <x v="7"/>
    <x v="5"/>
    <s v="GNR_WT_WIND_OFF"/>
    <x v="0"/>
    <x v="7"/>
    <n v="768.92105440211901"/>
    <n v="280656.18485677399"/>
    <n v="1010362.26548438"/>
  </r>
  <r>
    <x v="0"/>
    <x v="1"/>
    <x v="1"/>
    <x v="3"/>
    <x v="7"/>
    <s v="DE4-W_Offshore_A"/>
    <x v="7"/>
    <x v="5"/>
    <s v="GNR_WT_WIND_OFF"/>
    <x v="0"/>
    <x v="8"/>
    <n v="829.36272405420095"/>
    <n v="302717.394279784"/>
    <n v="1089782.61940722"/>
  </r>
  <r>
    <x v="0"/>
    <x v="1"/>
    <x v="1"/>
    <x v="3"/>
    <x v="7"/>
    <s v="DE4-W_Offshore_A"/>
    <x v="7"/>
    <x v="5"/>
    <s v="GNR_WT_WIND_OFF"/>
    <x v="0"/>
    <x v="9"/>
    <n v="956.92603483789003"/>
    <n v="349278.00271582999"/>
    <n v="1257400.80977699"/>
  </r>
  <r>
    <x v="0"/>
    <x v="1"/>
    <x v="1"/>
    <x v="3"/>
    <x v="7"/>
    <s v="DE4-W_Offshore_A"/>
    <x v="7"/>
    <x v="5"/>
    <s v="GNR_WT_WIND_OFF"/>
    <x v="0"/>
    <x v="10"/>
    <n v="1054.1477884194001"/>
    <n v="384763.94277308101"/>
    <n v="1385150.1939830901"/>
  </r>
  <r>
    <x v="0"/>
    <x v="1"/>
    <x v="1"/>
    <x v="3"/>
    <x v="7"/>
    <s v="DE4-W_Offshore_A"/>
    <x v="7"/>
    <x v="5"/>
    <s v="GNR_WT_WIND_OFF"/>
    <x v="0"/>
    <x v="11"/>
    <n v="1297.20217237318"/>
    <n v="473478.79291621101"/>
    <n v="1704523.6544983599"/>
  </r>
  <r>
    <x v="0"/>
    <x v="1"/>
    <x v="1"/>
    <x v="3"/>
    <x v="7"/>
    <s v="DE4-W_Offshore_A"/>
    <x v="7"/>
    <x v="5"/>
    <s v="GNR_WT_WIND_OFF"/>
    <x v="0"/>
    <x v="12"/>
    <n v="1515.8706363474901"/>
    <n v="553292.78226683405"/>
    <n v="1991854.0161605999"/>
  </r>
  <r>
    <x v="0"/>
    <x v="1"/>
    <x v="1"/>
    <x v="3"/>
    <x v="7"/>
    <s v="DE4-W_Offshore_A"/>
    <x v="7"/>
    <x v="5"/>
    <s v="GNR_WT_WIND_OFF"/>
    <x v="0"/>
    <x v="13"/>
    <n v="1765.04162069216"/>
    <n v="644240.19155263796"/>
    <n v="2319264.6895895"/>
  </r>
  <r>
    <x v="0"/>
    <x v="1"/>
    <x v="1"/>
    <x v="3"/>
    <x v="7"/>
    <s v="DE4-W_Offshore_A"/>
    <x v="7"/>
    <x v="5"/>
    <s v="GNR_WT_WIND_OFF"/>
    <x v="0"/>
    <x v="14"/>
    <n v="2010.9933416731999"/>
    <n v="734012.569710718"/>
    <n v="2642445.2509585898"/>
  </r>
  <r>
    <x v="0"/>
    <x v="1"/>
    <x v="1"/>
    <x v="3"/>
    <x v="7"/>
    <s v="DE4-W_Offshore_A"/>
    <x v="7"/>
    <x v="5"/>
    <s v="GNR_WT_WIND_OFF"/>
    <x v="0"/>
    <x v="15"/>
    <n v="2339.3582047630698"/>
    <n v="853865.74473852199"/>
    <n v="3073916.6810586802"/>
  </r>
  <r>
    <x v="0"/>
    <x v="1"/>
    <x v="1"/>
    <x v="3"/>
    <x v="7"/>
    <s v="DE4-W_Offshore_A"/>
    <x v="7"/>
    <x v="5"/>
    <s v="GNR_WT_WIND_OFF"/>
    <x v="0"/>
    <x v="16"/>
    <n v="2639.3130686689501"/>
    <n v="963349.270064165"/>
    <n v="3468057.3722309899"/>
  </r>
  <r>
    <x v="0"/>
    <x v="1"/>
    <x v="1"/>
    <x v="3"/>
    <x v="7"/>
    <s v="DE4-W_Offshore_A"/>
    <x v="7"/>
    <x v="5"/>
    <s v="GNR_WT_WIND_OFF"/>
    <x v="0"/>
    <x v="17"/>
    <n v="2960.7565155270199"/>
    <n v="1080676.1281673601"/>
    <n v="3890434.0614025099"/>
  </r>
  <r>
    <x v="0"/>
    <x v="1"/>
    <x v="1"/>
    <x v="3"/>
    <x v="7"/>
    <s v="DE4-W_Offshore_A"/>
    <x v="7"/>
    <x v="5"/>
    <s v="GNR_WT_WIND_OFF"/>
    <x v="0"/>
    <x v="19"/>
    <n v="3283.80959406691"/>
    <n v="1198590.50183442"/>
    <n v="4314925.8066039197"/>
  </r>
  <r>
    <x v="0"/>
    <x v="1"/>
    <x v="1"/>
    <x v="3"/>
    <x v="7"/>
    <s v="DE4-W_Offshore_A"/>
    <x v="7"/>
    <x v="5"/>
    <s v="GNR_WT_WIND_OFF"/>
    <x v="0"/>
    <x v="20"/>
    <n v="3559.70046432968"/>
    <n v="1299290.6694803301"/>
    <n v="4677446.4101291997"/>
  </r>
  <r>
    <x v="0"/>
    <x v="1"/>
    <x v="1"/>
    <x v="3"/>
    <x v="7"/>
    <s v="DE4-W_Offshore_A"/>
    <x v="7"/>
    <x v="5"/>
    <s v="GNR_WT_WIND_OFF"/>
    <x v="0"/>
    <x v="21"/>
    <n v="3863.1965179355402"/>
    <n v="1410066.72904647"/>
    <n v="5076240.2245672997"/>
  </r>
  <r>
    <x v="0"/>
    <x v="1"/>
    <x v="1"/>
    <x v="3"/>
    <x v="7"/>
    <s v="DE4-W_Offshore_A"/>
    <x v="7"/>
    <x v="5"/>
    <s v="GNR_WT_WIND_OFF"/>
    <x v="0"/>
    <x v="22"/>
    <n v="4246.2083766229698"/>
    <n v="1549866.0574673801"/>
    <n v="5579517.8068825798"/>
  </r>
  <r>
    <x v="0"/>
    <x v="1"/>
    <x v="1"/>
    <x v="3"/>
    <x v="7"/>
    <s v="DE4-W_Offshore_A"/>
    <x v="7"/>
    <x v="5"/>
    <s v="GNR_WT_WIND_OFF"/>
    <x v="0"/>
    <x v="23"/>
    <n v="4496.0232136403602"/>
    <n v="1641048.47297873"/>
    <n v="5907774.5027234303"/>
  </r>
  <r>
    <x v="0"/>
    <x v="1"/>
    <x v="1"/>
    <x v="4"/>
    <x v="8"/>
    <s v="LV_RigaR"/>
    <x v="8"/>
    <x v="0"/>
    <s v="RIGA-TEC2_CC_NGAS_EXT"/>
    <x v="0"/>
    <x v="6"/>
    <n v="166.007558819276"/>
    <n v="60592.758969035604"/>
    <n v="218133.93228852801"/>
  </r>
  <r>
    <x v="0"/>
    <x v="1"/>
    <x v="1"/>
    <x v="4"/>
    <x v="8"/>
    <s v="LV_RigaR"/>
    <x v="8"/>
    <x v="0"/>
    <s v="RIGA-TEC2_CC_NGAS_EXT"/>
    <x v="0"/>
    <x v="7"/>
    <n v="559.63213076426803"/>
    <n v="204265.72772895801"/>
    <n v="735356.61982424802"/>
  </r>
  <r>
    <x v="0"/>
    <x v="1"/>
    <x v="1"/>
    <x v="4"/>
    <x v="8"/>
    <s v="LV_RigaR"/>
    <x v="8"/>
    <x v="0"/>
    <s v="RIGA-TEC2_CC_NGAS_EXT"/>
    <x v="0"/>
    <x v="8"/>
    <n v="718.47573581170695"/>
    <n v="262243.64357127302"/>
    <n v="944077.11685658304"/>
  </r>
  <r>
    <x v="0"/>
    <x v="1"/>
    <x v="1"/>
    <x v="4"/>
    <x v="8"/>
    <s v="LV_RigaR"/>
    <x v="8"/>
    <x v="0"/>
    <s v="RIGA-TEC2_CC_NGAS_EXT"/>
    <x v="0"/>
    <x v="9"/>
    <n v="739.59875871373197"/>
    <n v="269953.54693051201"/>
    <n v="971832.76894984394"/>
  </r>
  <r>
    <x v="0"/>
    <x v="1"/>
    <x v="1"/>
    <x v="4"/>
    <x v="8"/>
    <s v="LV_RigaR"/>
    <x v="8"/>
    <x v="0"/>
    <s v="RIGA-TEC2_CC_NGAS_EXT"/>
    <x v="0"/>
    <x v="10"/>
    <n v="690.00881971368995"/>
    <n v="251853.21919549699"/>
    <n v="906671.58910378802"/>
  </r>
  <r>
    <x v="0"/>
    <x v="1"/>
    <x v="1"/>
    <x v="4"/>
    <x v="8"/>
    <s v="LV_RigaR"/>
    <x v="8"/>
    <x v="0"/>
    <s v="RIGA-TEC2_CC_NGAS_EXT"/>
    <x v="0"/>
    <x v="11"/>
    <n v="668.19015757785598"/>
    <n v="243889.407515917"/>
    <n v="878001.86705730297"/>
  </r>
  <r>
    <x v="0"/>
    <x v="1"/>
    <x v="1"/>
    <x v="4"/>
    <x v="8"/>
    <s v="LV_RigaR"/>
    <x v="8"/>
    <x v="0"/>
    <s v="RIGA-TEC2_CC_NGAS_EXT"/>
    <x v="0"/>
    <x v="12"/>
    <n v="633.42049251312596"/>
    <n v="231198.47976729099"/>
    <n v="832314.52716224699"/>
  </r>
  <r>
    <x v="0"/>
    <x v="1"/>
    <x v="1"/>
    <x v="4"/>
    <x v="8"/>
    <s v="LV_RigaR"/>
    <x v="8"/>
    <x v="0"/>
    <s v="RIGA-TEC2_CC_NGAS_EXT"/>
    <x v="0"/>
    <x v="13"/>
    <n v="670.851699820357"/>
    <n v="244860.87043442999"/>
    <n v="881499.13356394903"/>
  </r>
  <r>
    <x v="0"/>
    <x v="1"/>
    <x v="1"/>
    <x v="4"/>
    <x v="8"/>
    <s v="LV_RigaR"/>
    <x v="8"/>
    <x v="0"/>
    <s v="RIGA-TEC2_CC_NGAS_EXT"/>
    <x v="0"/>
    <x v="14"/>
    <n v="636.66339972820094"/>
    <n v="232382.14090079299"/>
    <n v="836575.70724285697"/>
  </r>
  <r>
    <x v="0"/>
    <x v="1"/>
    <x v="1"/>
    <x v="4"/>
    <x v="8"/>
    <s v="LV_RigaR"/>
    <x v="8"/>
    <x v="0"/>
    <s v="RIGA-TEC2_CC_NGAS_EXT"/>
    <x v="0"/>
    <x v="15"/>
    <n v="712.89538849186795"/>
    <n v="260206.81679953201"/>
    <n v="936744.54047831404"/>
  </r>
  <r>
    <x v="0"/>
    <x v="1"/>
    <x v="1"/>
    <x v="4"/>
    <x v="8"/>
    <s v="LV_RigaR"/>
    <x v="8"/>
    <x v="0"/>
    <s v="RIGA-TEC2_CC_NGAS_EXT"/>
    <x v="0"/>
    <x v="16"/>
    <n v="692.20201174623799"/>
    <n v="252653.73428737701"/>
    <n v="909553.44343455601"/>
  </r>
  <r>
    <x v="0"/>
    <x v="1"/>
    <x v="1"/>
    <x v="4"/>
    <x v="8"/>
    <s v="LV_RigaR"/>
    <x v="8"/>
    <x v="0"/>
    <s v="RIGA-TEC2_CC_NGAS_EXT"/>
    <x v="0"/>
    <x v="17"/>
    <n v="658.085940291925"/>
    <n v="240201.36820655299"/>
    <n v="864724.92554358905"/>
  </r>
  <r>
    <x v="0"/>
    <x v="1"/>
    <x v="1"/>
    <x v="4"/>
    <x v="8"/>
    <s v="LV_RigaR"/>
    <x v="8"/>
    <x v="0"/>
    <s v="RIGA-TEC2_CC_NGAS_EXT"/>
    <x v="0"/>
    <x v="19"/>
    <n v="395.62759874645502"/>
    <n v="144404.073542456"/>
    <n v="519854.66475284199"/>
  </r>
  <r>
    <x v="0"/>
    <x v="1"/>
    <x v="1"/>
    <x v="4"/>
    <x v="8"/>
    <s v="LV_RigaR"/>
    <x v="8"/>
    <x v="0"/>
    <s v="RIGA-TEC2_CC_NGAS_EXT"/>
    <x v="0"/>
    <x v="20"/>
    <n v="207.10844774362201"/>
    <n v="75594.583426422003"/>
    <n v="272140.50033511902"/>
  </r>
  <r>
    <x v="0"/>
    <x v="1"/>
    <x v="1"/>
    <x v="4"/>
    <x v="8"/>
    <s v="LV_RigaR"/>
    <x v="8"/>
    <x v="0"/>
    <s v="RIGA-TEC2_CC_NGAS_EXT"/>
    <x v="0"/>
    <x v="21"/>
    <n v="5.1291910572756496"/>
    <n v="1872.1547359056101"/>
    <n v="6739.7570492601999"/>
  </r>
  <r>
    <x v="0"/>
    <x v="1"/>
    <x v="1"/>
    <x v="4"/>
    <x v="8"/>
    <s v="LV_RigaR"/>
    <x v="6"/>
    <x v="7"/>
    <s v="GNR_RES_WTR_NOPMP"/>
    <x v="0"/>
    <x v="10"/>
    <n v="1.1013698630137001"/>
    <n v="402"/>
    <n v="1447.2"/>
  </r>
  <r>
    <x v="0"/>
    <x v="1"/>
    <x v="1"/>
    <x v="4"/>
    <x v="8"/>
    <s v="LV_Rural"/>
    <x v="7"/>
    <x v="5"/>
    <s v="GNR_WT_WIND_ONS"/>
    <x v="0"/>
    <x v="0"/>
    <n v="3.5228018212877599"/>
    <n v="1285.8226647700301"/>
    <n v="4628.96159317212"/>
  </r>
  <r>
    <x v="0"/>
    <x v="1"/>
    <x v="1"/>
    <x v="4"/>
    <x v="8"/>
    <s v="LV_Rural"/>
    <x v="7"/>
    <x v="5"/>
    <s v="GNR_WT_WIND_ONS"/>
    <x v="0"/>
    <x v="1"/>
    <n v="4.2273621855453101"/>
    <n v="1542.98719772404"/>
    <n v="5554.7539118065397"/>
  </r>
  <r>
    <x v="0"/>
    <x v="1"/>
    <x v="1"/>
    <x v="4"/>
    <x v="8"/>
    <s v="LV_Rural"/>
    <x v="7"/>
    <x v="5"/>
    <s v="GNR_WT_WIND_ONS"/>
    <x v="0"/>
    <x v="18"/>
    <n v="4.1267107049370901"/>
    <n v="1506.24940730204"/>
    <n v="5422.49786628734"/>
  </r>
  <r>
    <x v="0"/>
    <x v="1"/>
    <x v="1"/>
    <x v="4"/>
    <x v="8"/>
    <s v="LV_Rural"/>
    <x v="7"/>
    <x v="5"/>
    <s v="GNR_WT_WIND_ONS"/>
    <x v="0"/>
    <x v="2"/>
    <n v="3.8750820034165399"/>
    <n v="1414.4049312470399"/>
    <n v="5091.8577524893299"/>
  </r>
  <r>
    <x v="0"/>
    <x v="1"/>
    <x v="1"/>
    <x v="4"/>
    <x v="8"/>
    <s v="LV_Rural"/>
    <x v="7"/>
    <x v="5"/>
    <s v="GNR_WT_WIND_ONS"/>
    <x v="0"/>
    <x v="3"/>
    <n v="2.8685671973343201"/>
    <n v="1047.02702702703"/>
    <n v="3769.2972972972998"/>
  </r>
  <r>
    <x v="0"/>
    <x v="1"/>
    <x v="1"/>
    <x v="4"/>
    <x v="8"/>
    <s v="LV_Rural"/>
    <x v="7"/>
    <x v="5"/>
    <s v="GNR_WT_WIND_ONS"/>
    <x v="0"/>
    <x v="4"/>
    <n v="1.66074943003566"/>
    <n v="606.17354196301596"/>
    <n v="2182.2247510668599"/>
  </r>
  <r>
    <x v="0"/>
    <x v="1"/>
    <x v="1"/>
    <x v="4"/>
    <x v="8"/>
    <s v="LV_Rural"/>
    <x v="7"/>
    <x v="5"/>
    <s v="GNR_WT_WIND_ONS"/>
    <x v="0"/>
    <x v="5"/>
    <n v="0.35228018212877599"/>
    <n v="128.582266477003"/>
    <n v="462.89615931721198"/>
  </r>
  <r>
    <x v="0"/>
    <x v="1"/>
    <x v="1"/>
    <x v="4"/>
    <x v="8"/>
    <s v="LV_Rural"/>
    <x v="7"/>
    <x v="5"/>
    <s v="GNR_WT_WIND_ONS"/>
    <x v="0"/>
    <x v="6"/>
    <n v="0.251628701520554"/>
    <n v="91.844476055002403"/>
    <n v="330.640113798009"/>
  </r>
  <r>
    <x v="0"/>
    <x v="1"/>
    <x v="1"/>
    <x v="4"/>
    <x v="8"/>
    <s v="LV_Rural"/>
    <x v="7"/>
    <x v="5"/>
    <s v="GNR_WT_WIND_ONS"/>
    <x v="0"/>
    <x v="7"/>
    <n v="0.35228018212877599"/>
    <n v="128.582266477003"/>
    <n v="462.89615931721198"/>
  </r>
  <r>
    <x v="0"/>
    <x v="1"/>
    <x v="1"/>
    <x v="4"/>
    <x v="8"/>
    <s v="LV_Rural"/>
    <x v="7"/>
    <x v="5"/>
    <s v="GNR_WT_WIND_ONS"/>
    <x v="0"/>
    <x v="8"/>
    <n v="1.66074943003566"/>
    <n v="606.17354196301596"/>
    <n v="2182.2247510668599"/>
  </r>
  <r>
    <x v="0"/>
    <x v="1"/>
    <x v="1"/>
    <x v="4"/>
    <x v="8"/>
    <s v="LV_Rural"/>
    <x v="7"/>
    <x v="5"/>
    <s v="GNR_WT_WIND_ONS"/>
    <x v="0"/>
    <x v="9"/>
    <n v="3.8750820034165399"/>
    <n v="1414.4049312470399"/>
    <n v="5091.8577524893299"/>
  </r>
  <r>
    <x v="0"/>
    <x v="1"/>
    <x v="1"/>
    <x v="4"/>
    <x v="8"/>
    <s v="LV_Rural"/>
    <x v="7"/>
    <x v="5"/>
    <s v="GNR_WT_WIND_ONS"/>
    <x v="0"/>
    <x v="10"/>
    <n v="5.9887630961892002"/>
    <n v="2185.8985301090602"/>
    <n v="7869.2347083925997"/>
  </r>
  <r>
    <x v="0"/>
    <x v="1"/>
    <x v="1"/>
    <x v="4"/>
    <x v="8"/>
    <s v="LV_Rural"/>
    <x v="7"/>
    <x v="5"/>
    <s v="GNR_WT_WIND_ONS"/>
    <x v="0"/>
    <x v="11"/>
    <n v="6.9449521619672998"/>
    <n v="2534.90753911807"/>
    <n v="9125.6671408250295"/>
  </r>
  <r>
    <x v="0"/>
    <x v="1"/>
    <x v="1"/>
    <x v="4"/>
    <x v="8"/>
    <s v="LV_Rural"/>
    <x v="7"/>
    <x v="5"/>
    <s v="GNR_WT_WIND_ONS"/>
    <x v="0"/>
    <x v="12"/>
    <n v="7.9514669680495196"/>
    <n v="2902.2854433380699"/>
    <n v="10448.227596017099"/>
  </r>
  <r>
    <x v="0"/>
    <x v="1"/>
    <x v="1"/>
    <x v="4"/>
    <x v="8"/>
    <s v="LV_Rural"/>
    <x v="7"/>
    <x v="5"/>
    <s v="GNR_WT_WIND_ONS"/>
    <x v="0"/>
    <x v="13"/>
    <n v="7.9514669680495196"/>
    <n v="2902.2854433380699"/>
    <n v="10448.227596017099"/>
  </r>
  <r>
    <x v="0"/>
    <x v="1"/>
    <x v="1"/>
    <x v="4"/>
    <x v="8"/>
    <s v="LV_Rural"/>
    <x v="7"/>
    <x v="5"/>
    <s v="GNR_WT_WIND_ONS"/>
    <x v="0"/>
    <x v="14"/>
    <n v="12.581435076027701"/>
    <n v="4592.2238027501198"/>
    <n v="16532.005689900401"/>
  </r>
  <r>
    <x v="0"/>
    <x v="1"/>
    <x v="1"/>
    <x v="4"/>
    <x v="8"/>
    <s v="LV_Rural"/>
    <x v="7"/>
    <x v="5"/>
    <s v="GNR_WT_WIND_ONS"/>
    <x v="0"/>
    <x v="15"/>
    <n v="16.255214118227801"/>
    <n v="5933.15315315315"/>
    <n v="21359.351351351299"/>
  </r>
  <r>
    <x v="0"/>
    <x v="1"/>
    <x v="1"/>
    <x v="4"/>
    <x v="8"/>
    <s v="LV_Rural"/>
    <x v="7"/>
    <x v="5"/>
    <s v="GNR_WT_WIND_ONS"/>
    <x v="0"/>
    <x v="16"/>
    <n v="16.053911157011399"/>
    <n v="5859.6775723091496"/>
    <n v="21094.8392603129"/>
  </r>
  <r>
    <x v="0"/>
    <x v="1"/>
    <x v="1"/>
    <x v="4"/>
    <x v="8"/>
    <s v="LV_Rural"/>
    <x v="7"/>
    <x v="5"/>
    <s v="GNR_WT_WIND_ONS"/>
    <x v="0"/>
    <x v="17"/>
    <n v="21.942022772592299"/>
    <n v="8008.83831199621"/>
    <n v="28831.8179231863"/>
  </r>
  <r>
    <x v="0"/>
    <x v="1"/>
    <x v="1"/>
    <x v="4"/>
    <x v="8"/>
    <s v="LV_Rural"/>
    <x v="7"/>
    <x v="5"/>
    <s v="GNR_WT_WIND_ONS"/>
    <x v="0"/>
    <x v="19"/>
    <n v="32.661405457367998"/>
    <n v="11921.4129919393"/>
    <n v="42917.086770981499"/>
  </r>
  <r>
    <x v="0"/>
    <x v="1"/>
    <x v="1"/>
    <x v="4"/>
    <x v="8"/>
    <s v="LV_Rural"/>
    <x v="7"/>
    <x v="5"/>
    <s v="GNR_WT_WIND_ONS"/>
    <x v="0"/>
    <x v="20"/>
    <n v="37.844956708691399"/>
    <n v="13813.4091986724"/>
    <n v="49728.273115220501"/>
  </r>
  <r>
    <x v="0"/>
    <x v="1"/>
    <x v="1"/>
    <x v="4"/>
    <x v="8"/>
    <s v="LV_Rural"/>
    <x v="7"/>
    <x v="5"/>
    <s v="GNR_WT_WIND_ONS"/>
    <x v="0"/>
    <x v="21"/>
    <n v="40.814175386633899"/>
    <n v="14897.1740161214"/>
    <n v="53629.826458037001"/>
  </r>
  <r>
    <x v="0"/>
    <x v="1"/>
    <x v="1"/>
    <x v="4"/>
    <x v="8"/>
    <s v="LV_Rural"/>
    <x v="7"/>
    <x v="5"/>
    <s v="GNR_WT_WIND_ONS"/>
    <x v="0"/>
    <x v="22"/>
    <n v="41.468410010587398"/>
    <n v="15135.9696538644"/>
    <n v="54489.490753911799"/>
  </r>
  <r>
    <x v="0"/>
    <x v="1"/>
    <x v="1"/>
    <x v="4"/>
    <x v="8"/>
    <s v="LV_Rural"/>
    <x v="7"/>
    <x v="5"/>
    <s v="GNR_WT_WIND_ONS"/>
    <x v="0"/>
    <x v="23"/>
    <n v="43.179485180927102"/>
    <n v="15760.512091038399"/>
    <n v="56737.843527738303"/>
  </r>
  <r>
    <x v="0"/>
    <x v="1"/>
    <x v="1"/>
    <x v="5"/>
    <x v="9"/>
    <s v="LT_KauU"/>
    <x v="2"/>
    <x v="2"/>
    <s v="KAUNAS_ST_MSW_BP"/>
    <x v="0"/>
    <x v="0"/>
    <n v="24"/>
    <n v="8760"/>
    <n v="31536"/>
  </r>
  <r>
    <x v="0"/>
    <x v="1"/>
    <x v="1"/>
    <x v="5"/>
    <x v="9"/>
    <s v="LT_KauU"/>
    <x v="2"/>
    <x v="2"/>
    <s v="KAUNAS_ST_MSW_BP"/>
    <x v="0"/>
    <x v="1"/>
    <n v="24"/>
    <n v="8760"/>
    <n v="31536"/>
  </r>
  <r>
    <x v="0"/>
    <x v="1"/>
    <x v="1"/>
    <x v="5"/>
    <x v="9"/>
    <s v="LT_KauU"/>
    <x v="2"/>
    <x v="2"/>
    <s v="KAUNAS_ST_MSW_BP"/>
    <x v="0"/>
    <x v="18"/>
    <n v="24"/>
    <n v="8760"/>
    <n v="31536"/>
  </r>
  <r>
    <x v="0"/>
    <x v="1"/>
    <x v="1"/>
    <x v="5"/>
    <x v="9"/>
    <s v="LT_KauU"/>
    <x v="2"/>
    <x v="2"/>
    <s v="KAUNAS_ST_MSW_BP"/>
    <x v="0"/>
    <x v="2"/>
    <n v="24"/>
    <n v="8760"/>
    <n v="31536"/>
  </r>
  <r>
    <x v="0"/>
    <x v="1"/>
    <x v="1"/>
    <x v="5"/>
    <x v="9"/>
    <s v="LT_KauU"/>
    <x v="2"/>
    <x v="2"/>
    <s v="KAUNAS_ST_MSW_BP"/>
    <x v="0"/>
    <x v="3"/>
    <n v="24"/>
    <n v="8760"/>
    <n v="31536"/>
  </r>
  <r>
    <x v="0"/>
    <x v="1"/>
    <x v="1"/>
    <x v="5"/>
    <x v="9"/>
    <s v="LT_KauU"/>
    <x v="2"/>
    <x v="2"/>
    <s v="KAUNAS_ST_MSW_BP"/>
    <x v="0"/>
    <x v="4"/>
    <n v="24"/>
    <n v="8760"/>
    <n v="31536"/>
  </r>
  <r>
    <x v="0"/>
    <x v="1"/>
    <x v="1"/>
    <x v="5"/>
    <x v="9"/>
    <s v="LT_KauU"/>
    <x v="2"/>
    <x v="2"/>
    <s v="KAUNAS_ST_MSW_BP"/>
    <x v="0"/>
    <x v="5"/>
    <n v="24"/>
    <n v="8760"/>
    <n v="31536"/>
  </r>
  <r>
    <x v="0"/>
    <x v="1"/>
    <x v="1"/>
    <x v="5"/>
    <x v="9"/>
    <s v="LT_KauU"/>
    <x v="2"/>
    <x v="2"/>
    <s v="KAUNAS_ST_MSW_BP"/>
    <x v="0"/>
    <x v="6"/>
    <n v="24"/>
    <n v="8760"/>
    <n v="31536"/>
  </r>
  <r>
    <x v="0"/>
    <x v="1"/>
    <x v="1"/>
    <x v="5"/>
    <x v="9"/>
    <s v="LT_KauU"/>
    <x v="2"/>
    <x v="2"/>
    <s v="KAUNAS_ST_MSW_BP"/>
    <x v="0"/>
    <x v="7"/>
    <n v="24"/>
    <n v="8760"/>
    <n v="31536"/>
  </r>
  <r>
    <x v="0"/>
    <x v="1"/>
    <x v="1"/>
    <x v="5"/>
    <x v="9"/>
    <s v="LT_KauU"/>
    <x v="2"/>
    <x v="2"/>
    <s v="KAUNAS_ST_MSW_BP"/>
    <x v="0"/>
    <x v="8"/>
    <n v="24"/>
    <n v="8760"/>
    <n v="31536"/>
  </r>
  <r>
    <x v="0"/>
    <x v="1"/>
    <x v="1"/>
    <x v="5"/>
    <x v="9"/>
    <s v="LT_KauU"/>
    <x v="2"/>
    <x v="2"/>
    <s v="KAUNAS_ST_MSW_BP"/>
    <x v="0"/>
    <x v="9"/>
    <n v="24"/>
    <n v="8760"/>
    <n v="31536"/>
  </r>
  <r>
    <x v="0"/>
    <x v="1"/>
    <x v="1"/>
    <x v="5"/>
    <x v="9"/>
    <s v="LT_KauU"/>
    <x v="2"/>
    <x v="2"/>
    <s v="KAUNAS_ST_MSW_BP"/>
    <x v="0"/>
    <x v="10"/>
    <n v="24"/>
    <n v="8760"/>
    <n v="31536"/>
  </r>
  <r>
    <x v="0"/>
    <x v="1"/>
    <x v="1"/>
    <x v="5"/>
    <x v="9"/>
    <s v="LT_KauU"/>
    <x v="2"/>
    <x v="2"/>
    <s v="KAUNAS_ST_MSW_BP"/>
    <x v="0"/>
    <x v="11"/>
    <n v="24"/>
    <n v="8760"/>
    <n v="31536"/>
  </r>
  <r>
    <x v="0"/>
    <x v="1"/>
    <x v="1"/>
    <x v="5"/>
    <x v="9"/>
    <s v="LT_KauU"/>
    <x v="2"/>
    <x v="2"/>
    <s v="KAUNAS_ST_MSW_BP"/>
    <x v="0"/>
    <x v="12"/>
    <n v="24"/>
    <n v="8760"/>
    <n v="31536"/>
  </r>
  <r>
    <x v="0"/>
    <x v="1"/>
    <x v="1"/>
    <x v="5"/>
    <x v="9"/>
    <s v="LT_KauU"/>
    <x v="2"/>
    <x v="2"/>
    <s v="KAUNAS_ST_MSW_BP"/>
    <x v="0"/>
    <x v="13"/>
    <n v="24"/>
    <n v="8760"/>
    <n v="31536"/>
  </r>
  <r>
    <x v="0"/>
    <x v="1"/>
    <x v="1"/>
    <x v="5"/>
    <x v="9"/>
    <s v="LT_KauU"/>
    <x v="2"/>
    <x v="2"/>
    <s v="KAUNAS_ST_MSW_BP"/>
    <x v="0"/>
    <x v="14"/>
    <n v="24"/>
    <n v="8760"/>
    <n v="31536"/>
  </r>
  <r>
    <x v="0"/>
    <x v="1"/>
    <x v="1"/>
    <x v="5"/>
    <x v="9"/>
    <s v="LT_KauU"/>
    <x v="2"/>
    <x v="2"/>
    <s v="KAUNAS_ST_MSW_BP"/>
    <x v="0"/>
    <x v="15"/>
    <n v="24"/>
    <n v="8760"/>
    <n v="31536"/>
  </r>
  <r>
    <x v="0"/>
    <x v="1"/>
    <x v="1"/>
    <x v="5"/>
    <x v="9"/>
    <s v="LT_KauU"/>
    <x v="2"/>
    <x v="2"/>
    <s v="KAUNAS_ST_MSW_BP"/>
    <x v="0"/>
    <x v="16"/>
    <n v="24"/>
    <n v="8760"/>
    <n v="31536"/>
  </r>
  <r>
    <x v="0"/>
    <x v="1"/>
    <x v="1"/>
    <x v="5"/>
    <x v="9"/>
    <s v="LT_KauU"/>
    <x v="2"/>
    <x v="2"/>
    <s v="KAUNAS_ST_MSW_BP"/>
    <x v="0"/>
    <x v="17"/>
    <n v="24"/>
    <n v="8760"/>
    <n v="31536"/>
  </r>
  <r>
    <x v="0"/>
    <x v="1"/>
    <x v="1"/>
    <x v="5"/>
    <x v="9"/>
    <s v="LT_KauU"/>
    <x v="2"/>
    <x v="2"/>
    <s v="KAUNAS_ST_MSW_BP"/>
    <x v="0"/>
    <x v="19"/>
    <n v="24"/>
    <n v="8760"/>
    <n v="31536"/>
  </r>
  <r>
    <x v="0"/>
    <x v="1"/>
    <x v="1"/>
    <x v="5"/>
    <x v="9"/>
    <s v="LT_KauU"/>
    <x v="2"/>
    <x v="2"/>
    <s v="KAUNAS_ST_MSW_BP"/>
    <x v="0"/>
    <x v="20"/>
    <n v="24"/>
    <n v="8760"/>
    <n v="31536"/>
  </r>
  <r>
    <x v="0"/>
    <x v="1"/>
    <x v="1"/>
    <x v="5"/>
    <x v="9"/>
    <s v="LT_KauU"/>
    <x v="2"/>
    <x v="2"/>
    <s v="KAUNAS_ST_MSW_BP"/>
    <x v="0"/>
    <x v="21"/>
    <n v="24"/>
    <n v="8760"/>
    <n v="31536"/>
  </r>
  <r>
    <x v="0"/>
    <x v="1"/>
    <x v="1"/>
    <x v="5"/>
    <x v="9"/>
    <s v="LT_KauU"/>
    <x v="2"/>
    <x v="2"/>
    <s v="KAUNAS_ST_MSW_BP"/>
    <x v="0"/>
    <x v="22"/>
    <n v="24"/>
    <n v="8760"/>
    <n v="31536"/>
  </r>
  <r>
    <x v="0"/>
    <x v="1"/>
    <x v="1"/>
    <x v="5"/>
    <x v="9"/>
    <s v="LT_KauU"/>
    <x v="2"/>
    <x v="2"/>
    <s v="KAUNAS_ST_MSW_BP"/>
    <x v="0"/>
    <x v="23"/>
    <n v="24"/>
    <n v="8760"/>
    <n v="31536"/>
  </r>
  <r>
    <x v="0"/>
    <x v="1"/>
    <x v="1"/>
    <x v="5"/>
    <x v="9"/>
    <s v="LT_KauU"/>
    <x v="6"/>
    <x v="4"/>
    <s v="GNR_ROR_WTR"/>
    <x v="0"/>
    <x v="0"/>
    <n v="70.027397260273901"/>
    <n v="25560"/>
    <n v="92016"/>
  </r>
  <r>
    <x v="0"/>
    <x v="1"/>
    <x v="1"/>
    <x v="5"/>
    <x v="9"/>
    <s v="LT_KauU"/>
    <x v="6"/>
    <x v="4"/>
    <s v="GNR_ROR_WTR"/>
    <x v="0"/>
    <x v="1"/>
    <n v="70.027397260273901"/>
    <n v="25560"/>
    <n v="92016"/>
  </r>
  <r>
    <x v="0"/>
    <x v="1"/>
    <x v="1"/>
    <x v="5"/>
    <x v="9"/>
    <s v="LT_KauU"/>
    <x v="6"/>
    <x v="4"/>
    <s v="GNR_ROR_WTR"/>
    <x v="0"/>
    <x v="18"/>
    <n v="70.027397260273901"/>
    <n v="25560"/>
    <n v="92016"/>
  </r>
  <r>
    <x v="0"/>
    <x v="1"/>
    <x v="1"/>
    <x v="5"/>
    <x v="9"/>
    <s v="LT_KauU"/>
    <x v="6"/>
    <x v="4"/>
    <s v="GNR_ROR_WTR"/>
    <x v="0"/>
    <x v="2"/>
    <n v="70.027397260273901"/>
    <n v="25560"/>
    <n v="92016"/>
  </r>
  <r>
    <x v="0"/>
    <x v="1"/>
    <x v="1"/>
    <x v="5"/>
    <x v="9"/>
    <s v="LT_KauU"/>
    <x v="6"/>
    <x v="4"/>
    <s v="GNR_ROR_WTR"/>
    <x v="0"/>
    <x v="3"/>
    <n v="70.027397260273901"/>
    <n v="25560"/>
    <n v="92016"/>
  </r>
  <r>
    <x v="0"/>
    <x v="1"/>
    <x v="1"/>
    <x v="5"/>
    <x v="9"/>
    <s v="LT_KauU"/>
    <x v="6"/>
    <x v="4"/>
    <s v="GNR_ROR_WTR"/>
    <x v="0"/>
    <x v="4"/>
    <n v="70.027397260273901"/>
    <n v="25560"/>
    <n v="92016"/>
  </r>
  <r>
    <x v="0"/>
    <x v="1"/>
    <x v="1"/>
    <x v="5"/>
    <x v="9"/>
    <s v="LT_KauU"/>
    <x v="6"/>
    <x v="4"/>
    <s v="GNR_ROR_WTR"/>
    <x v="0"/>
    <x v="5"/>
    <n v="70.027397260273901"/>
    <n v="25560"/>
    <n v="92016"/>
  </r>
  <r>
    <x v="0"/>
    <x v="1"/>
    <x v="1"/>
    <x v="5"/>
    <x v="9"/>
    <s v="LT_KauU"/>
    <x v="6"/>
    <x v="4"/>
    <s v="GNR_ROR_WTR"/>
    <x v="0"/>
    <x v="6"/>
    <n v="70.027397260273901"/>
    <n v="25560"/>
    <n v="92016"/>
  </r>
  <r>
    <x v="0"/>
    <x v="1"/>
    <x v="1"/>
    <x v="5"/>
    <x v="9"/>
    <s v="LT_KauU"/>
    <x v="6"/>
    <x v="4"/>
    <s v="GNR_ROR_WTR"/>
    <x v="0"/>
    <x v="7"/>
    <n v="70.027397260273901"/>
    <n v="25560"/>
    <n v="92016"/>
  </r>
  <r>
    <x v="0"/>
    <x v="1"/>
    <x v="1"/>
    <x v="5"/>
    <x v="9"/>
    <s v="LT_KauU"/>
    <x v="6"/>
    <x v="4"/>
    <s v="GNR_ROR_WTR"/>
    <x v="0"/>
    <x v="8"/>
    <n v="70.027397260273901"/>
    <n v="25560"/>
    <n v="92016"/>
  </r>
  <r>
    <x v="0"/>
    <x v="1"/>
    <x v="1"/>
    <x v="5"/>
    <x v="9"/>
    <s v="LT_KauU"/>
    <x v="6"/>
    <x v="4"/>
    <s v="GNR_ROR_WTR"/>
    <x v="0"/>
    <x v="9"/>
    <n v="70.027397260273901"/>
    <n v="25560"/>
    <n v="92016"/>
  </r>
  <r>
    <x v="0"/>
    <x v="1"/>
    <x v="1"/>
    <x v="5"/>
    <x v="9"/>
    <s v="LT_KauU"/>
    <x v="6"/>
    <x v="4"/>
    <s v="GNR_ROR_WTR"/>
    <x v="0"/>
    <x v="10"/>
    <n v="70.027397260273901"/>
    <n v="25560"/>
    <n v="92016"/>
  </r>
  <r>
    <x v="0"/>
    <x v="1"/>
    <x v="1"/>
    <x v="5"/>
    <x v="9"/>
    <s v="LT_KauU"/>
    <x v="6"/>
    <x v="4"/>
    <s v="GNR_ROR_WTR"/>
    <x v="0"/>
    <x v="11"/>
    <n v="70.027397260273901"/>
    <n v="25560"/>
    <n v="92016"/>
  </r>
  <r>
    <x v="0"/>
    <x v="1"/>
    <x v="1"/>
    <x v="5"/>
    <x v="9"/>
    <s v="LT_KauU"/>
    <x v="6"/>
    <x v="4"/>
    <s v="GNR_ROR_WTR"/>
    <x v="0"/>
    <x v="12"/>
    <n v="70.027397260273901"/>
    <n v="25560"/>
    <n v="92016"/>
  </r>
  <r>
    <x v="0"/>
    <x v="1"/>
    <x v="1"/>
    <x v="5"/>
    <x v="9"/>
    <s v="LT_KauU"/>
    <x v="6"/>
    <x v="4"/>
    <s v="GNR_ROR_WTR"/>
    <x v="0"/>
    <x v="13"/>
    <n v="70.027397260273901"/>
    <n v="25560"/>
    <n v="92016"/>
  </r>
  <r>
    <x v="0"/>
    <x v="1"/>
    <x v="1"/>
    <x v="5"/>
    <x v="9"/>
    <s v="LT_KauU"/>
    <x v="6"/>
    <x v="4"/>
    <s v="GNR_ROR_WTR"/>
    <x v="0"/>
    <x v="14"/>
    <n v="70.027397260273901"/>
    <n v="25560"/>
    <n v="92016"/>
  </r>
  <r>
    <x v="0"/>
    <x v="1"/>
    <x v="1"/>
    <x v="5"/>
    <x v="9"/>
    <s v="LT_KauU"/>
    <x v="6"/>
    <x v="4"/>
    <s v="GNR_ROR_WTR"/>
    <x v="0"/>
    <x v="15"/>
    <n v="70.027397260273901"/>
    <n v="25560"/>
    <n v="92016"/>
  </r>
  <r>
    <x v="0"/>
    <x v="1"/>
    <x v="1"/>
    <x v="5"/>
    <x v="9"/>
    <s v="LT_KauU"/>
    <x v="6"/>
    <x v="4"/>
    <s v="GNR_ROR_WTR"/>
    <x v="0"/>
    <x v="16"/>
    <n v="70.027397260273901"/>
    <n v="25560"/>
    <n v="92016"/>
  </r>
  <r>
    <x v="0"/>
    <x v="1"/>
    <x v="1"/>
    <x v="5"/>
    <x v="9"/>
    <s v="LT_KauU"/>
    <x v="6"/>
    <x v="4"/>
    <s v="GNR_ROR_WTR"/>
    <x v="0"/>
    <x v="17"/>
    <n v="70.027397260273901"/>
    <n v="25560"/>
    <n v="92016"/>
  </r>
  <r>
    <x v="0"/>
    <x v="1"/>
    <x v="1"/>
    <x v="5"/>
    <x v="9"/>
    <s v="LT_KauU"/>
    <x v="6"/>
    <x v="4"/>
    <s v="GNR_ROR_WTR"/>
    <x v="0"/>
    <x v="19"/>
    <n v="70.027397260273901"/>
    <n v="25560"/>
    <n v="92016"/>
  </r>
  <r>
    <x v="0"/>
    <x v="1"/>
    <x v="1"/>
    <x v="5"/>
    <x v="9"/>
    <s v="LT_KauU"/>
    <x v="6"/>
    <x v="4"/>
    <s v="GNR_ROR_WTR"/>
    <x v="0"/>
    <x v="20"/>
    <n v="70.027397260273901"/>
    <n v="25560"/>
    <n v="92016"/>
  </r>
  <r>
    <x v="0"/>
    <x v="1"/>
    <x v="1"/>
    <x v="5"/>
    <x v="9"/>
    <s v="LT_KauU"/>
    <x v="6"/>
    <x v="4"/>
    <s v="GNR_ROR_WTR"/>
    <x v="0"/>
    <x v="21"/>
    <n v="70.027397260273901"/>
    <n v="25560"/>
    <n v="92016"/>
  </r>
  <r>
    <x v="0"/>
    <x v="1"/>
    <x v="1"/>
    <x v="5"/>
    <x v="9"/>
    <s v="LT_KauU"/>
    <x v="6"/>
    <x v="4"/>
    <s v="GNR_ROR_WTR"/>
    <x v="0"/>
    <x v="22"/>
    <n v="70.027397260273901"/>
    <n v="25560"/>
    <n v="92016"/>
  </r>
  <r>
    <x v="0"/>
    <x v="1"/>
    <x v="1"/>
    <x v="5"/>
    <x v="9"/>
    <s v="LT_KauU"/>
    <x v="6"/>
    <x v="4"/>
    <s v="GNR_ROR_WTR"/>
    <x v="0"/>
    <x v="23"/>
    <n v="70.027397260273901"/>
    <n v="25560"/>
    <n v="92016"/>
  </r>
  <r>
    <x v="0"/>
    <x v="1"/>
    <x v="1"/>
    <x v="5"/>
    <x v="9"/>
    <s v="LT_KlaU"/>
    <x v="5"/>
    <x v="3"/>
    <s v="GNR_PV_SUN"/>
    <x v="0"/>
    <x v="7"/>
    <n v="1.7762462043374301"/>
    <n v="648.32986458316304"/>
    <n v="2333.98751249939"/>
  </r>
  <r>
    <x v="0"/>
    <x v="1"/>
    <x v="1"/>
    <x v="5"/>
    <x v="9"/>
    <s v="LT_KlaU"/>
    <x v="5"/>
    <x v="3"/>
    <s v="GNR_PV_SUN"/>
    <x v="0"/>
    <x v="8"/>
    <n v="13.371945784448"/>
    <n v="4880.7602113234998"/>
    <n v="17570.736760764601"/>
  </r>
  <r>
    <x v="0"/>
    <x v="1"/>
    <x v="1"/>
    <x v="5"/>
    <x v="9"/>
    <s v="LT_KlaU"/>
    <x v="5"/>
    <x v="3"/>
    <s v="GNR_PV_SUN"/>
    <x v="0"/>
    <x v="9"/>
    <n v="30.888466045683298"/>
    <n v="11274.2901066744"/>
    <n v="40587.444384027804"/>
  </r>
  <r>
    <x v="0"/>
    <x v="1"/>
    <x v="1"/>
    <x v="5"/>
    <x v="9"/>
    <s v="LT_KlaU"/>
    <x v="5"/>
    <x v="3"/>
    <s v="GNR_PV_SUN"/>
    <x v="0"/>
    <x v="10"/>
    <n v="47.038643072812803"/>
    <n v="17169.104721576699"/>
    <n v="61808.776997676097"/>
  </r>
  <r>
    <x v="0"/>
    <x v="1"/>
    <x v="1"/>
    <x v="5"/>
    <x v="9"/>
    <s v="LT_KlaU"/>
    <x v="5"/>
    <x v="3"/>
    <s v="GNR_PV_SUN"/>
    <x v="0"/>
    <x v="11"/>
    <n v="53.478674182897798"/>
    <n v="19519.716076757701"/>
    <n v="70270.977876327699"/>
  </r>
  <r>
    <x v="0"/>
    <x v="1"/>
    <x v="1"/>
    <x v="5"/>
    <x v="9"/>
    <s v="LT_KlaU"/>
    <x v="5"/>
    <x v="3"/>
    <s v="GNR_PV_SUN"/>
    <x v="0"/>
    <x v="12"/>
    <n v="46.501214734064597"/>
    <n v="16972.9433779336"/>
    <n v="61102.596160560897"/>
  </r>
  <r>
    <x v="0"/>
    <x v="1"/>
    <x v="1"/>
    <x v="5"/>
    <x v="9"/>
    <s v="LT_KlaU"/>
    <x v="5"/>
    <x v="3"/>
    <s v="GNR_PV_SUN"/>
    <x v="0"/>
    <x v="13"/>
    <n v="30.2599481579946"/>
    <n v="11044.881077668"/>
    <n v="39761.571879604897"/>
  </r>
  <r>
    <x v="0"/>
    <x v="1"/>
    <x v="1"/>
    <x v="5"/>
    <x v="9"/>
    <s v="LT_KlaU"/>
    <x v="5"/>
    <x v="3"/>
    <s v="GNR_PV_SUN"/>
    <x v="0"/>
    <x v="14"/>
    <n v="15.3212621317721"/>
    <n v="5592.2606780968199"/>
    <n v="20132.1384411486"/>
  </r>
  <r>
    <x v="0"/>
    <x v="1"/>
    <x v="1"/>
    <x v="5"/>
    <x v="9"/>
    <s v="LT_KlaU"/>
    <x v="5"/>
    <x v="3"/>
    <s v="GNR_PV_SUN"/>
    <x v="0"/>
    <x v="15"/>
    <n v="1.9948611217943499"/>
    <n v="728.12430945493702"/>
    <n v="2621.2475140377701"/>
  </r>
  <r>
    <x v="0"/>
    <x v="1"/>
    <x v="1"/>
    <x v="5"/>
    <x v="9"/>
    <s v="LT_Other_DH"/>
    <x v="17"/>
    <x v="2"/>
    <s v="LIFOSA_ST_HEAT_BP"/>
    <x v="0"/>
    <x v="0"/>
    <n v="37"/>
    <n v="13505"/>
    <n v="48618"/>
  </r>
  <r>
    <x v="0"/>
    <x v="1"/>
    <x v="1"/>
    <x v="5"/>
    <x v="9"/>
    <s v="LT_Other_DH"/>
    <x v="17"/>
    <x v="2"/>
    <s v="LIFOSA_ST_HEAT_BP"/>
    <x v="0"/>
    <x v="1"/>
    <n v="37"/>
    <n v="13505"/>
    <n v="48618"/>
  </r>
  <r>
    <x v="0"/>
    <x v="1"/>
    <x v="1"/>
    <x v="5"/>
    <x v="9"/>
    <s v="LT_Other_DH"/>
    <x v="17"/>
    <x v="2"/>
    <s v="LIFOSA_ST_HEAT_BP"/>
    <x v="0"/>
    <x v="18"/>
    <n v="37"/>
    <n v="13505"/>
    <n v="48618"/>
  </r>
  <r>
    <x v="0"/>
    <x v="1"/>
    <x v="1"/>
    <x v="5"/>
    <x v="9"/>
    <s v="LT_Other_DH"/>
    <x v="17"/>
    <x v="2"/>
    <s v="LIFOSA_ST_HEAT_BP"/>
    <x v="0"/>
    <x v="2"/>
    <n v="37"/>
    <n v="13505"/>
    <n v="48618"/>
  </r>
  <r>
    <x v="0"/>
    <x v="1"/>
    <x v="1"/>
    <x v="5"/>
    <x v="9"/>
    <s v="LT_Other_DH"/>
    <x v="17"/>
    <x v="2"/>
    <s v="LIFOSA_ST_HEAT_BP"/>
    <x v="0"/>
    <x v="3"/>
    <n v="37"/>
    <n v="13505"/>
    <n v="48618"/>
  </r>
  <r>
    <x v="0"/>
    <x v="1"/>
    <x v="1"/>
    <x v="5"/>
    <x v="9"/>
    <s v="LT_Other_DH"/>
    <x v="17"/>
    <x v="2"/>
    <s v="LIFOSA_ST_HEAT_BP"/>
    <x v="0"/>
    <x v="4"/>
    <n v="37"/>
    <n v="13505"/>
    <n v="48618"/>
  </r>
  <r>
    <x v="0"/>
    <x v="1"/>
    <x v="1"/>
    <x v="5"/>
    <x v="9"/>
    <s v="LT_Other_DH"/>
    <x v="17"/>
    <x v="2"/>
    <s v="LIFOSA_ST_HEAT_BP"/>
    <x v="0"/>
    <x v="5"/>
    <n v="37"/>
    <n v="13505"/>
    <n v="48618"/>
  </r>
  <r>
    <x v="0"/>
    <x v="1"/>
    <x v="1"/>
    <x v="5"/>
    <x v="9"/>
    <s v="LT_Other_DH"/>
    <x v="17"/>
    <x v="2"/>
    <s v="LIFOSA_ST_HEAT_BP"/>
    <x v="0"/>
    <x v="6"/>
    <n v="37"/>
    <n v="13505"/>
    <n v="48618"/>
  </r>
  <r>
    <x v="0"/>
    <x v="1"/>
    <x v="1"/>
    <x v="5"/>
    <x v="9"/>
    <s v="LT_Other_DH"/>
    <x v="17"/>
    <x v="2"/>
    <s v="LIFOSA_ST_HEAT_BP"/>
    <x v="0"/>
    <x v="7"/>
    <n v="37"/>
    <n v="13505"/>
    <n v="48618"/>
  </r>
  <r>
    <x v="0"/>
    <x v="1"/>
    <x v="1"/>
    <x v="5"/>
    <x v="9"/>
    <s v="LT_Other_DH"/>
    <x v="17"/>
    <x v="2"/>
    <s v="LIFOSA_ST_HEAT_BP"/>
    <x v="0"/>
    <x v="8"/>
    <n v="37"/>
    <n v="13505"/>
    <n v="48618"/>
  </r>
  <r>
    <x v="0"/>
    <x v="1"/>
    <x v="1"/>
    <x v="5"/>
    <x v="9"/>
    <s v="LT_Other_DH"/>
    <x v="17"/>
    <x v="2"/>
    <s v="LIFOSA_ST_HEAT_BP"/>
    <x v="0"/>
    <x v="9"/>
    <n v="37"/>
    <n v="13505"/>
    <n v="48618"/>
  </r>
  <r>
    <x v="0"/>
    <x v="1"/>
    <x v="1"/>
    <x v="5"/>
    <x v="9"/>
    <s v="LT_Other_DH"/>
    <x v="17"/>
    <x v="2"/>
    <s v="LIFOSA_ST_HEAT_BP"/>
    <x v="0"/>
    <x v="10"/>
    <n v="37"/>
    <n v="13505"/>
    <n v="48618"/>
  </r>
  <r>
    <x v="0"/>
    <x v="1"/>
    <x v="1"/>
    <x v="5"/>
    <x v="9"/>
    <s v="LT_Other_DH"/>
    <x v="17"/>
    <x v="2"/>
    <s v="LIFOSA_ST_HEAT_BP"/>
    <x v="0"/>
    <x v="11"/>
    <n v="37"/>
    <n v="13505"/>
    <n v="48618"/>
  </r>
  <r>
    <x v="0"/>
    <x v="1"/>
    <x v="1"/>
    <x v="5"/>
    <x v="9"/>
    <s v="LT_Other_DH"/>
    <x v="17"/>
    <x v="2"/>
    <s v="LIFOSA_ST_HEAT_BP"/>
    <x v="0"/>
    <x v="12"/>
    <n v="37"/>
    <n v="13505"/>
    <n v="48618"/>
  </r>
  <r>
    <x v="0"/>
    <x v="1"/>
    <x v="1"/>
    <x v="5"/>
    <x v="9"/>
    <s v="LT_Other_DH"/>
    <x v="17"/>
    <x v="2"/>
    <s v="LIFOSA_ST_HEAT_BP"/>
    <x v="0"/>
    <x v="13"/>
    <n v="37"/>
    <n v="13505"/>
    <n v="48618"/>
  </r>
  <r>
    <x v="0"/>
    <x v="1"/>
    <x v="1"/>
    <x v="5"/>
    <x v="9"/>
    <s v="LT_Other_DH"/>
    <x v="17"/>
    <x v="2"/>
    <s v="LIFOSA_ST_HEAT_BP"/>
    <x v="0"/>
    <x v="14"/>
    <n v="37"/>
    <n v="13505"/>
    <n v="48618"/>
  </r>
  <r>
    <x v="0"/>
    <x v="1"/>
    <x v="1"/>
    <x v="5"/>
    <x v="9"/>
    <s v="LT_Other_DH"/>
    <x v="17"/>
    <x v="2"/>
    <s v="LIFOSA_ST_HEAT_BP"/>
    <x v="0"/>
    <x v="15"/>
    <n v="37"/>
    <n v="13505"/>
    <n v="48618"/>
  </r>
  <r>
    <x v="0"/>
    <x v="1"/>
    <x v="1"/>
    <x v="5"/>
    <x v="9"/>
    <s v="LT_Other_DH"/>
    <x v="17"/>
    <x v="2"/>
    <s v="LIFOSA_ST_HEAT_BP"/>
    <x v="0"/>
    <x v="16"/>
    <n v="37"/>
    <n v="13505"/>
    <n v="48618"/>
  </r>
  <r>
    <x v="0"/>
    <x v="1"/>
    <x v="1"/>
    <x v="5"/>
    <x v="9"/>
    <s v="LT_Other_DH"/>
    <x v="17"/>
    <x v="2"/>
    <s v="LIFOSA_ST_HEAT_BP"/>
    <x v="0"/>
    <x v="17"/>
    <n v="37"/>
    <n v="13505"/>
    <n v="48618"/>
  </r>
  <r>
    <x v="0"/>
    <x v="1"/>
    <x v="1"/>
    <x v="5"/>
    <x v="9"/>
    <s v="LT_Other_DH"/>
    <x v="17"/>
    <x v="2"/>
    <s v="LIFOSA_ST_HEAT_BP"/>
    <x v="0"/>
    <x v="19"/>
    <n v="37"/>
    <n v="13505"/>
    <n v="48618"/>
  </r>
  <r>
    <x v="0"/>
    <x v="1"/>
    <x v="1"/>
    <x v="5"/>
    <x v="9"/>
    <s v="LT_Other_DH"/>
    <x v="17"/>
    <x v="2"/>
    <s v="LIFOSA_ST_HEAT_BP"/>
    <x v="0"/>
    <x v="20"/>
    <n v="37"/>
    <n v="13505"/>
    <n v="48618"/>
  </r>
  <r>
    <x v="0"/>
    <x v="1"/>
    <x v="1"/>
    <x v="5"/>
    <x v="9"/>
    <s v="LT_Other_DH"/>
    <x v="17"/>
    <x v="2"/>
    <s v="LIFOSA_ST_HEAT_BP"/>
    <x v="0"/>
    <x v="21"/>
    <n v="37"/>
    <n v="13505"/>
    <n v="48618"/>
  </r>
  <r>
    <x v="0"/>
    <x v="1"/>
    <x v="1"/>
    <x v="5"/>
    <x v="9"/>
    <s v="LT_Other_DH"/>
    <x v="17"/>
    <x v="2"/>
    <s v="LIFOSA_ST_HEAT_BP"/>
    <x v="0"/>
    <x v="22"/>
    <n v="37"/>
    <n v="13505"/>
    <n v="48618"/>
  </r>
  <r>
    <x v="0"/>
    <x v="1"/>
    <x v="1"/>
    <x v="5"/>
    <x v="9"/>
    <s v="LT_Other_DH"/>
    <x v="17"/>
    <x v="2"/>
    <s v="LIFOSA_ST_HEAT_BP"/>
    <x v="0"/>
    <x v="23"/>
    <n v="37"/>
    <n v="13505"/>
    <n v="48618"/>
  </r>
  <r>
    <x v="0"/>
    <x v="1"/>
    <x v="1"/>
    <x v="5"/>
    <x v="9"/>
    <s v="LT_Other_DH"/>
    <x v="10"/>
    <x v="2"/>
    <s v="EBAVERE_ST_WOODWST_BP"/>
    <x v="0"/>
    <x v="0"/>
    <n v="10.4"/>
    <n v="3796"/>
    <n v="13665.6"/>
  </r>
  <r>
    <x v="0"/>
    <x v="1"/>
    <x v="1"/>
    <x v="5"/>
    <x v="9"/>
    <s v="LT_Other_DH"/>
    <x v="10"/>
    <x v="2"/>
    <s v="EBAVERE_ST_WOODWST_BP"/>
    <x v="0"/>
    <x v="1"/>
    <n v="10.4"/>
    <n v="3796"/>
    <n v="13665.6"/>
  </r>
  <r>
    <x v="0"/>
    <x v="1"/>
    <x v="1"/>
    <x v="5"/>
    <x v="9"/>
    <s v="LT_Other_DH"/>
    <x v="10"/>
    <x v="2"/>
    <s v="EBAVERE_ST_WOODWST_BP"/>
    <x v="0"/>
    <x v="18"/>
    <n v="10.4"/>
    <n v="3796"/>
    <n v="13665.6"/>
  </r>
  <r>
    <x v="0"/>
    <x v="1"/>
    <x v="1"/>
    <x v="5"/>
    <x v="9"/>
    <s v="LT_Other_DH"/>
    <x v="10"/>
    <x v="2"/>
    <s v="EBAVERE_ST_WOODWST_BP"/>
    <x v="0"/>
    <x v="2"/>
    <n v="10.4"/>
    <n v="3796"/>
    <n v="13665.6"/>
  </r>
  <r>
    <x v="0"/>
    <x v="1"/>
    <x v="1"/>
    <x v="5"/>
    <x v="9"/>
    <s v="LT_Other_DH"/>
    <x v="10"/>
    <x v="2"/>
    <s v="EBAVERE_ST_WOODWST_BP"/>
    <x v="0"/>
    <x v="3"/>
    <n v="10.4"/>
    <n v="3796"/>
    <n v="13665.6"/>
  </r>
  <r>
    <x v="0"/>
    <x v="1"/>
    <x v="1"/>
    <x v="5"/>
    <x v="9"/>
    <s v="LT_Other_DH"/>
    <x v="10"/>
    <x v="2"/>
    <s v="EBAVERE_ST_WOODWST_BP"/>
    <x v="0"/>
    <x v="4"/>
    <n v="10.4"/>
    <n v="3796"/>
    <n v="13665.6"/>
  </r>
  <r>
    <x v="0"/>
    <x v="1"/>
    <x v="1"/>
    <x v="5"/>
    <x v="9"/>
    <s v="LT_Other_DH"/>
    <x v="10"/>
    <x v="2"/>
    <s v="EBAVERE_ST_WOODWST_BP"/>
    <x v="0"/>
    <x v="5"/>
    <n v="10.4"/>
    <n v="3796"/>
    <n v="13665.6"/>
  </r>
  <r>
    <x v="0"/>
    <x v="1"/>
    <x v="1"/>
    <x v="5"/>
    <x v="9"/>
    <s v="LT_Other_DH"/>
    <x v="10"/>
    <x v="2"/>
    <s v="EBAVERE_ST_WOODWST_BP"/>
    <x v="0"/>
    <x v="6"/>
    <n v="10.4"/>
    <n v="3796"/>
    <n v="13665.6"/>
  </r>
  <r>
    <x v="0"/>
    <x v="1"/>
    <x v="1"/>
    <x v="5"/>
    <x v="9"/>
    <s v="LT_Other_DH"/>
    <x v="10"/>
    <x v="2"/>
    <s v="EBAVERE_ST_WOODWST_BP"/>
    <x v="0"/>
    <x v="7"/>
    <n v="10.4"/>
    <n v="3796"/>
    <n v="13665.6"/>
  </r>
  <r>
    <x v="0"/>
    <x v="1"/>
    <x v="1"/>
    <x v="5"/>
    <x v="9"/>
    <s v="LT_Other_DH"/>
    <x v="10"/>
    <x v="2"/>
    <s v="EBAVERE_ST_WOODWST_BP"/>
    <x v="0"/>
    <x v="8"/>
    <n v="10.4"/>
    <n v="3796"/>
    <n v="13665.6"/>
  </r>
  <r>
    <x v="0"/>
    <x v="1"/>
    <x v="1"/>
    <x v="5"/>
    <x v="9"/>
    <s v="LT_Other_DH"/>
    <x v="10"/>
    <x v="2"/>
    <s v="EBAVERE_ST_WOODWST_BP"/>
    <x v="0"/>
    <x v="9"/>
    <n v="10.4"/>
    <n v="3796"/>
    <n v="13665.6"/>
  </r>
  <r>
    <x v="0"/>
    <x v="1"/>
    <x v="1"/>
    <x v="5"/>
    <x v="9"/>
    <s v="LT_Other_DH"/>
    <x v="10"/>
    <x v="2"/>
    <s v="EBAVERE_ST_WOODWST_BP"/>
    <x v="0"/>
    <x v="10"/>
    <n v="10.4"/>
    <n v="3796"/>
    <n v="13665.6"/>
  </r>
  <r>
    <x v="0"/>
    <x v="1"/>
    <x v="1"/>
    <x v="5"/>
    <x v="9"/>
    <s v="LT_Other_DH"/>
    <x v="10"/>
    <x v="2"/>
    <s v="EBAVERE_ST_WOODWST_BP"/>
    <x v="0"/>
    <x v="11"/>
    <n v="10.4"/>
    <n v="3796"/>
    <n v="13665.6"/>
  </r>
  <r>
    <x v="0"/>
    <x v="1"/>
    <x v="1"/>
    <x v="5"/>
    <x v="9"/>
    <s v="LT_Other_DH"/>
    <x v="10"/>
    <x v="2"/>
    <s v="EBAVERE_ST_WOODWST_BP"/>
    <x v="0"/>
    <x v="12"/>
    <n v="10.4"/>
    <n v="3796"/>
    <n v="13665.6"/>
  </r>
  <r>
    <x v="0"/>
    <x v="1"/>
    <x v="1"/>
    <x v="5"/>
    <x v="9"/>
    <s v="LT_Other_DH"/>
    <x v="10"/>
    <x v="2"/>
    <s v="EBAVERE_ST_WOODWST_BP"/>
    <x v="0"/>
    <x v="13"/>
    <n v="10.4"/>
    <n v="3796"/>
    <n v="13665.6"/>
  </r>
  <r>
    <x v="0"/>
    <x v="1"/>
    <x v="1"/>
    <x v="5"/>
    <x v="9"/>
    <s v="LT_Other_DH"/>
    <x v="10"/>
    <x v="2"/>
    <s v="EBAVERE_ST_WOODWST_BP"/>
    <x v="0"/>
    <x v="14"/>
    <n v="10.4"/>
    <n v="3796"/>
    <n v="13665.6"/>
  </r>
  <r>
    <x v="0"/>
    <x v="1"/>
    <x v="1"/>
    <x v="5"/>
    <x v="9"/>
    <s v="LT_Other_DH"/>
    <x v="10"/>
    <x v="2"/>
    <s v="EBAVERE_ST_WOODWST_BP"/>
    <x v="0"/>
    <x v="15"/>
    <n v="10.4"/>
    <n v="3796"/>
    <n v="13665.6"/>
  </r>
  <r>
    <x v="0"/>
    <x v="1"/>
    <x v="1"/>
    <x v="5"/>
    <x v="9"/>
    <s v="LT_Other_DH"/>
    <x v="10"/>
    <x v="2"/>
    <s v="EBAVERE_ST_WOODWST_BP"/>
    <x v="0"/>
    <x v="16"/>
    <n v="10.4"/>
    <n v="3796"/>
    <n v="13665.6"/>
  </r>
  <r>
    <x v="0"/>
    <x v="1"/>
    <x v="1"/>
    <x v="5"/>
    <x v="9"/>
    <s v="LT_Other_DH"/>
    <x v="10"/>
    <x v="2"/>
    <s v="EBAVERE_ST_WOODWST_BP"/>
    <x v="0"/>
    <x v="17"/>
    <n v="10.4"/>
    <n v="3796"/>
    <n v="13665.6"/>
  </r>
  <r>
    <x v="0"/>
    <x v="1"/>
    <x v="1"/>
    <x v="5"/>
    <x v="9"/>
    <s v="LT_Other_DH"/>
    <x v="10"/>
    <x v="2"/>
    <s v="EBAVERE_ST_WOODWST_BP"/>
    <x v="0"/>
    <x v="19"/>
    <n v="10.4"/>
    <n v="3796"/>
    <n v="13665.6"/>
  </r>
  <r>
    <x v="0"/>
    <x v="1"/>
    <x v="1"/>
    <x v="5"/>
    <x v="9"/>
    <s v="LT_Other_DH"/>
    <x v="10"/>
    <x v="2"/>
    <s v="EBAVERE_ST_WOODWST_BP"/>
    <x v="0"/>
    <x v="20"/>
    <n v="10.4"/>
    <n v="3796"/>
    <n v="13665.6"/>
  </r>
  <r>
    <x v="0"/>
    <x v="1"/>
    <x v="1"/>
    <x v="5"/>
    <x v="9"/>
    <s v="LT_Other_DH"/>
    <x v="10"/>
    <x v="2"/>
    <s v="EBAVERE_ST_WOODWST_BP"/>
    <x v="0"/>
    <x v="21"/>
    <n v="10.4"/>
    <n v="3796"/>
    <n v="13665.6"/>
  </r>
  <r>
    <x v="0"/>
    <x v="1"/>
    <x v="1"/>
    <x v="5"/>
    <x v="9"/>
    <s v="LT_Other_DH"/>
    <x v="10"/>
    <x v="2"/>
    <s v="EBAVERE_ST_WOODWST_BP"/>
    <x v="0"/>
    <x v="22"/>
    <n v="10.4"/>
    <n v="3796"/>
    <n v="13665.6"/>
  </r>
  <r>
    <x v="0"/>
    <x v="1"/>
    <x v="1"/>
    <x v="5"/>
    <x v="9"/>
    <s v="LT_Other_DH"/>
    <x v="10"/>
    <x v="2"/>
    <s v="EBAVERE_ST_WOODWST_BP"/>
    <x v="0"/>
    <x v="23"/>
    <n v="10.4"/>
    <n v="3796"/>
    <n v="13665.6"/>
  </r>
  <r>
    <x v="0"/>
    <x v="1"/>
    <x v="1"/>
    <x v="5"/>
    <x v="9"/>
    <s v="LT_Rural"/>
    <x v="7"/>
    <x v="5"/>
    <s v="GNR_WT_WIND_ONS"/>
    <x v="0"/>
    <x v="0"/>
    <n v="29.885102117257802"/>
    <n v="10908.062272799099"/>
    <n v="39269.024182076799"/>
  </r>
  <r>
    <x v="0"/>
    <x v="1"/>
    <x v="1"/>
    <x v="5"/>
    <x v="9"/>
    <s v="LT_Rural"/>
    <x v="7"/>
    <x v="5"/>
    <s v="GNR_WT_WIND_ONS"/>
    <x v="0"/>
    <x v="1"/>
    <n v="35.8621225407094"/>
    <n v="13089.674727358901"/>
    <n v="47122.829018492201"/>
  </r>
  <r>
    <x v="0"/>
    <x v="1"/>
    <x v="1"/>
    <x v="5"/>
    <x v="9"/>
    <s v="LT_Rural"/>
    <x v="7"/>
    <x v="5"/>
    <s v="GNR_WT_WIND_ONS"/>
    <x v="0"/>
    <x v="18"/>
    <n v="35.008262480216302"/>
    <n v="12778.015805278999"/>
    <n v="46000.856899004299"/>
  </r>
  <r>
    <x v="0"/>
    <x v="1"/>
    <x v="1"/>
    <x v="5"/>
    <x v="9"/>
    <s v="LT_Rural"/>
    <x v="7"/>
    <x v="5"/>
    <s v="GNR_WT_WIND_ONS"/>
    <x v="0"/>
    <x v="2"/>
    <n v="32.873612328983597"/>
    <n v="11998.868500078999"/>
    <n v="43195.926600284503"/>
  </r>
  <r>
    <x v="0"/>
    <x v="1"/>
    <x v="1"/>
    <x v="5"/>
    <x v="9"/>
    <s v="LT_Rural"/>
    <x v="7"/>
    <x v="5"/>
    <s v="GNR_WT_WIND_ONS"/>
    <x v="0"/>
    <x v="3"/>
    <n v="24.335011724052801"/>
    <n v="8882.2792792792807"/>
    <n v="31976.205405405399"/>
  </r>
  <r>
    <x v="0"/>
    <x v="1"/>
    <x v="1"/>
    <x v="5"/>
    <x v="9"/>
    <s v="LT_Rural"/>
    <x v="7"/>
    <x v="5"/>
    <s v="GNR_WT_WIND_ONS"/>
    <x v="0"/>
    <x v="4"/>
    <n v="14.0886909981358"/>
    <n v="5142.3722143195801"/>
    <n v="18512.539971550501"/>
  </r>
  <r>
    <x v="0"/>
    <x v="1"/>
    <x v="1"/>
    <x v="5"/>
    <x v="9"/>
    <s v="LT_Rural"/>
    <x v="7"/>
    <x v="5"/>
    <s v="GNR_WT_WIND_ONS"/>
    <x v="0"/>
    <x v="5"/>
    <n v="2.98851021172579"/>
    <n v="1090.80622727991"/>
    <n v="3926.9024182076801"/>
  </r>
  <r>
    <x v="0"/>
    <x v="1"/>
    <x v="1"/>
    <x v="5"/>
    <x v="9"/>
    <s v="LT_Rural"/>
    <x v="7"/>
    <x v="5"/>
    <s v="GNR_WT_WIND_ONS"/>
    <x v="0"/>
    <x v="6"/>
    <n v="2.1346501512326999"/>
    <n v="779.14730519993702"/>
    <n v="2804.9302987197698"/>
  </r>
  <r>
    <x v="0"/>
    <x v="1"/>
    <x v="1"/>
    <x v="5"/>
    <x v="9"/>
    <s v="LT_Rural"/>
    <x v="7"/>
    <x v="5"/>
    <s v="GNR_WT_WIND_ONS"/>
    <x v="0"/>
    <x v="7"/>
    <n v="2.98851021172579"/>
    <n v="1090.80622727991"/>
    <n v="3926.9024182076801"/>
  </r>
  <r>
    <x v="0"/>
    <x v="1"/>
    <x v="1"/>
    <x v="5"/>
    <x v="9"/>
    <s v="LT_Rural"/>
    <x v="7"/>
    <x v="5"/>
    <s v="GNR_WT_WIND_ONS"/>
    <x v="0"/>
    <x v="8"/>
    <n v="14.0886909981358"/>
    <n v="5142.3722143195801"/>
    <n v="18512.539971550501"/>
  </r>
  <r>
    <x v="0"/>
    <x v="1"/>
    <x v="1"/>
    <x v="5"/>
    <x v="9"/>
    <s v="LT_Rural"/>
    <x v="7"/>
    <x v="5"/>
    <s v="GNR_WT_WIND_ONS"/>
    <x v="0"/>
    <x v="9"/>
    <n v="32.873612328983597"/>
    <n v="11998.868500078999"/>
    <n v="43195.926600284503"/>
  </r>
  <r>
    <x v="0"/>
    <x v="1"/>
    <x v="1"/>
    <x v="5"/>
    <x v="9"/>
    <s v="LT_Rural"/>
    <x v="7"/>
    <x v="5"/>
    <s v="GNR_WT_WIND_ONS"/>
    <x v="0"/>
    <x v="10"/>
    <n v="50.804673599338301"/>
    <n v="18543.7058637585"/>
    <n v="66757.341109530593"/>
  </r>
  <r>
    <x v="0"/>
    <x v="1"/>
    <x v="1"/>
    <x v="5"/>
    <x v="9"/>
    <s v="LT_Rural"/>
    <x v="7"/>
    <x v="5"/>
    <s v="GNR_WT_WIND_ONS"/>
    <x v="0"/>
    <x v="11"/>
    <n v="58.916344174022598"/>
    <n v="21504.465623518299"/>
    <n v="77416.076244665703"/>
  </r>
  <r>
    <x v="0"/>
    <x v="1"/>
    <x v="1"/>
    <x v="5"/>
    <x v="9"/>
    <s v="LT_Rural"/>
    <x v="7"/>
    <x v="5"/>
    <s v="GNR_WT_WIND_ONS"/>
    <x v="0"/>
    <x v="12"/>
    <n v="67.454944778953404"/>
    <n v="24621.054844318001"/>
    <n v="88635.797439544796"/>
  </r>
  <r>
    <x v="0"/>
    <x v="1"/>
    <x v="1"/>
    <x v="5"/>
    <x v="9"/>
    <s v="LT_Rural"/>
    <x v="7"/>
    <x v="5"/>
    <s v="GNR_WT_WIND_ONS"/>
    <x v="0"/>
    <x v="13"/>
    <n v="67.454944778953404"/>
    <n v="24621.054844318001"/>
    <n v="88635.797439544796"/>
  </r>
  <r>
    <x v="0"/>
    <x v="1"/>
    <x v="1"/>
    <x v="5"/>
    <x v="9"/>
    <s v="LT_Rural"/>
    <x v="7"/>
    <x v="5"/>
    <s v="GNR_WT_WIND_ONS"/>
    <x v="0"/>
    <x v="14"/>
    <n v="106.732507561635"/>
    <n v="38957.365259996797"/>
    <n v="140246.51493598899"/>
  </r>
  <r>
    <x v="0"/>
    <x v="1"/>
    <x v="1"/>
    <x v="5"/>
    <x v="9"/>
    <s v="LT_Rural"/>
    <x v="7"/>
    <x v="5"/>
    <s v="GNR_WT_WIND_ONS"/>
    <x v="0"/>
    <x v="15"/>
    <n v="137.89839976963299"/>
    <n v="50332.915915915903"/>
    <n v="181198.497297297"/>
  </r>
  <r>
    <x v="0"/>
    <x v="1"/>
    <x v="1"/>
    <x v="5"/>
    <x v="9"/>
    <s v="LT_Rural"/>
    <x v="7"/>
    <x v="5"/>
    <s v="GNR_WT_WIND_ONS"/>
    <x v="0"/>
    <x v="16"/>
    <n v="136.19067964864601"/>
    <n v="49709.598071756001"/>
    <n v="178954.553058322"/>
  </r>
  <r>
    <x v="0"/>
    <x v="1"/>
    <x v="1"/>
    <x v="5"/>
    <x v="9"/>
    <s v="LT_Rural"/>
    <x v="7"/>
    <x v="5"/>
    <s v="GNR_WT_WIND_ONS"/>
    <x v="0"/>
    <x v="17"/>
    <n v="186.14149318749199"/>
    <n v="67941.645013434507"/>
    <n v="244589.92204836401"/>
  </r>
  <r>
    <x v="0"/>
    <x v="1"/>
    <x v="1"/>
    <x v="5"/>
    <x v="9"/>
    <s v="LT_Rural"/>
    <x v="7"/>
    <x v="5"/>
    <s v="GNR_WT_WIND_ONS"/>
    <x v="0"/>
    <x v="19"/>
    <n v="277.07758963000498"/>
    <n v="101133.32021495199"/>
    <n v="364079.95277382602"/>
  </r>
  <r>
    <x v="0"/>
    <x v="1"/>
    <x v="1"/>
    <x v="5"/>
    <x v="9"/>
    <s v="LT_Rural"/>
    <x v="7"/>
    <x v="5"/>
    <s v="GNR_WT_WIND_ONS"/>
    <x v="0"/>
    <x v="20"/>
    <n v="321.051382745399"/>
    <n v="117183.75470207"/>
    <n v="421861.51692745398"/>
  </r>
  <r>
    <x v="0"/>
    <x v="1"/>
    <x v="1"/>
    <x v="5"/>
    <x v="9"/>
    <s v="LT_Rural"/>
    <x v="7"/>
    <x v="5"/>
    <s v="GNR_WT_WIND_ONS"/>
    <x v="0"/>
    <x v="21"/>
    <n v="346.24025452994499"/>
    <n v="126377.69290343"/>
    <n v="454959.694452347"/>
  </r>
  <r>
    <x v="0"/>
    <x v="1"/>
    <x v="1"/>
    <x v="5"/>
    <x v="9"/>
    <s v="LT_Rural"/>
    <x v="7"/>
    <x v="5"/>
    <s v="GNR_WT_WIND_ONS"/>
    <x v="0"/>
    <x v="22"/>
    <n v="351.79034492314997"/>
    <n v="128403.47589695"/>
    <n v="462252.51322901802"/>
  </r>
  <r>
    <x v="0"/>
    <x v="1"/>
    <x v="1"/>
    <x v="5"/>
    <x v="9"/>
    <s v="LT_Rural"/>
    <x v="7"/>
    <x v="5"/>
    <s v="GNR_WT_WIND_ONS"/>
    <x v="0"/>
    <x v="23"/>
    <n v="366.30596595153202"/>
    <n v="133701.67757230901"/>
    <n v="481326.03926031297"/>
  </r>
  <r>
    <x v="0"/>
    <x v="1"/>
    <x v="1"/>
    <x v="5"/>
    <x v="9"/>
    <s v="LT_VilU"/>
    <x v="2"/>
    <x v="2"/>
    <s v="VILNIUS_ST_MSW_BP"/>
    <x v="0"/>
    <x v="0"/>
    <n v="92"/>
    <n v="33580"/>
    <n v="120888"/>
  </r>
  <r>
    <x v="0"/>
    <x v="1"/>
    <x v="1"/>
    <x v="5"/>
    <x v="9"/>
    <s v="LT_VilU"/>
    <x v="2"/>
    <x v="2"/>
    <s v="VILNIUS_ST_MSW_BP"/>
    <x v="0"/>
    <x v="1"/>
    <n v="92"/>
    <n v="33580"/>
    <n v="120888"/>
  </r>
  <r>
    <x v="0"/>
    <x v="1"/>
    <x v="1"/>
    <x v="5"/>
    <x v="9"/>
    <s v="LT_VilU"/>
    <x v="2"/>
    <x v="2"/>
    <s v="VILNIUS_ST_MSW_BP"/>
    <x v="0"/>
    <x v="18"/>
    <n v="92"/>
    <n v="33580"/>
    <n v="120888"/>
  </r>
  <r>
    <x v="0"/>
    <x v="1"/>
    <x v="1"/>
    <x v="5"/>
    <x v="9"/>
    <s v="LT_VilU"/>
    <x v="2"/>
    <x v="2"/>
    <s v="VILNIUS_ST_MSW_BP"/>
    <x v="0"/>
    <x v="2"/>
    <n v="92"/>
    <n v="33580"/>
    <n v="120888"/>
  </r>
  <r>
    <x v="0"/>
    <x v="1"/>
    <x v="1"/>
    <x v="5"/>
    <x v="9"/>
    <s v="LT_VilU"/>
    <x v="2"/>
    <x v="2"/>
    <s v="VILNIUS_ST_MSW_BP"/>
    <x v="0"/>
    <x v="3"/>
    <n v="92"/>
    <n v="33580"/>
    <n v="120888"/>
  </r>
  <r>
    <x v="0"/>
    <x v="1"/>
    <x v="1"/>
    <x v="5"/>
    <x v="9"/>
    <s v="LT_VilU"/>
    <x v="2"/>
    <x v="2"/>
    <s v="VILNIUS_ST_MSW_BP"/>
    <x v="0"/>
    <x v="4"/>
    <n v="92"/>
    <n v="33580"/>
    <n v="120888"/>
  </r>
  <r>
    <x v="0"/>
    <x v="1"/>
    <x v="1"/>
    <x v="5"/>
    <x v="9"/>
    <s v="LT_VilU"/>
    <x v="2"/>
    <x v="2"/>
    <s v="VILNIUS_ST_MSW_BP"/>
    <x v="0"/>
    <x v="5"/>
    <n v="92"/>
    <n v="33580"/>
    <n v="120888"/>
  </r>
  <r>
    <x v="0"/>
    <x v="1"/>
    <x v="1"/>
    <x v="5"/>
    <x v="9"/>
    <s v="LT_VilU"/>
    <x v="2"/>
    <x v="2"/>
    <s v="VILNIUS_ST_MSW_BP"/>
    <x v="0"/>
    <x v="6"/>
    <n v="92"/>
    <n v="33580"/>
    <n v="120888"/>
  </r>
  <r>
    <x v="0"/>
    <x v="1"/>
    <x v="1"/>
    <x v="5"/>
    <x v="9"/>
    <s v="LT_VilU"/>
    <x v="2"/>
    <x v="2"/>
    <s v="VILNIUS_ST_MSW_BP"/>
    <x v="0"/>
    <x v="7"/>
    <n v="92"/>
    <n v="33580"/>
    <n v="120888"/>
  </r>
  <r>
    <x v="0"/>
    <x v="1"/>
    <x v="1"/>
    <x v="5"/>
    <x v="9"/>
    <s v="LT_VilU"/>
    <x v="2"/>
    <x v="2"/>
    <s v="VILNIUS_ST_MSW_BP"/>
    <x v="0"/>
    <x v="8"/>
    <n v="92"/>
    <n v="33580"/>
    <n v="120888"/>
  </r>
  <r>
    <x v="0"/>
    <x v="1"/>
    <x v="1"/>
    <x v="5"/>
    <x v="9"/>
    <s v="LT_VilU"/>
    <x v="2"/>
    <x v="2"/>
    <s v="VILNIUS_ST_MSW_BP"/>
    <x v="0"/>
    <x v="9"/>
    <n v="92"/>
    <n v="33580"/>
    <n v="120888"/>
  </r>
  <r>
    <x v="0"/>
    <x v="1"/>
    <x v="1"/>
    <x v="5"/>
    <x v="9"/>
    <s v="LT_VilU"/>
    <x v="2"/>
    <x v="2"/>
    <s v="VILNIUS_ST_MSW_BP"/>
    <x v="0"/>
    <x v="10"/>
    <n v="92"/>
    <n v="33580"/>
    <n v="120888"/>
  </r>
  <r>
    <x v="0"/>
    <x v="1"/>
    <x v="1"/>
    <x v="5"/>
    <x v="9"/>
    <s v="LT_VilU"/>
    <x v="2"/>
    <x v="2"/>
    <s v="VILNIUS_ST_MSW_BP"/>
    <x v="0"/>
    <x v="11"/>
    <n v="92"/>
    <n v="33580"/>
    <n v="120888"/>
  </r>
  <r>
    <x v="0"/>
    <x v="1"/>
    <x v="1"/>
    <x v="5"/>
    <x v="9"/>
    <s v="LT_VilU"/>
    <x v="2"/>
    <x v="2"/>
    <s v="VILNIUS_ST_MSW_BP"/>
    <x v="0"/>
    <x v="12"/>
    <n v="92"/>
    <n v="33580"/>
    <n v="120888"/>
  </r>
  <r>
    <x v="0"/>
    <x v="1"/>
    <x v="1"/>
    <x v="5"/>
    <x v="9"/>
    <s v="LT_VilU"/>
    <x v="2"/>
    <x v="2"/>
    <s v="VILNIUS_ST_MSW_BP"/>
    <x v="0"/>
    <x v="13"/>
    <n v="92"/>
    <n v="33580"/>
    <n v="120888"/>
  </r>
  <r>
    <x v="0"/>
    <x v="1"/>
    <x v="1"/>
    <x v="5"/>
    <x v="9"/>
    <s v="LT_VilU"/>
    <x v="2"/>
    <x v="2"/>
    <s v="VILNIUS_ST_MSW_BP"/>
    <x v="0"/>
    <x v="14"/>
    <n v="92"/>
    <n v="33580"/>
    <n v="120888"/>
  </r>
  <r>
    <x v="0"/>
    <x v="1"/>
    <x v="1"/>
    <x v="5"/>
    <x v="9"/>
    <s v="LT_VilU"/>
    <x v="2"/>
    <x v="2"/>
    <s v="VILNIUS_ST_MSW_BP"/>
    <x v="0"/>
    <x v="15"/>
    <n v="92"/>
    <n v="33580"/>
    <n v="120888"/>
  </r>
  <r>
    <x v="0"/>
    <x v="1"/>
    <x v="1"/>
    <x v="5"/>
    <x v="9"/>
    <s v="LT_VilU"/>
    <x v="2"/>
    <x v="2"/>
    <s v="VILNIUS_ST_MSW_BP"/>
    <x v="0"/>
    <x v="16"/>
    <n v="92"/>
    <n v="33580"/>
    <n v="120888"/>
  </r>
  <r>
    <x v="0"/>
    <x v="1"/>
    <x v="1"/>
    <x v="5"/>
    <x v="9"/>
    <s v="LT_VilU"/>
    <x v="2"/>
    <x v="2"/>
    <s v="VILNIUS_ST_MSW_BP"/>
    <x v="0"/>
    <x v="17"/>
    <n v="92"/>
    <n v="33580"/>
    <n v="120888"/>
  </r>
  <r>
    <x v="0"/>
    <x v="1"/>
    <x v="1"/>
    <x v="5"/>
    <x v="9"/>
    <s v="LT_VilU"/>
    <x v="2"/>
    <x v="2"/>
    <s v="VILNIUS_ST_MSW_BP"/>
    <x v="0"/>
    <x v="19"/>
    <n v="92"/>
    <n v="33580"/>
    <n v="120888"/>
  </r>
  <r>
    <x v="0"/>
    <x v="1"/>
    <x v="1"/>
    <x v="5"/>
    <x v="9"/>
    <s v="LT_VilU"/>
    <x v="2"/>
    <x v="2"/>
    <s v="VILNIUS_ST_MSW_BP"/>
    <x v="0"/>
    <x v="20"/>
    <n v="92"/>
    <n v="33580"/>
    <n v="120888"/>
  </r>
  <r>
    <x v="0"/>
    <x v="1"/>
    <x v="1"/>
    <x v="5"/>
    <x v="9"/>
    <s v="LT_VilU"/>
    <x v="2"/>
    <x v="2"/>
    <s v="VILNIUS_ST_MSW_BP"/>
    <x v="0"/>
    <x v="21"/>
    <n v="92"/>
    <n v="33580"/>
    <n v="120888"/>
  </r>
  <r>
    <x v="0"/>
    <x v="1"/>
    <x v="1"/>
    <x v="5"/>
    <x v="9"/>
    <s v="LT_VilU"/>
    <x v="2"/>
    <x v="2"/>
    <s v="VILNIUS_ST_MSW_BP"/>
    <x v="0"/>
    <x v="22"/>
    <n v="92"/>
    <n v="33580"/>
    <n v="120888"/>
  </r>
  <r>
    <x v="0"/>
    <x v="1"/>
    <x v="1"/>
    <x v="5"/>
    <x v="9"/>
    <s v="LT_VilU"/>
    <x v="2"/>
    <x v="2"/>
    <s v="VILNIUS_ST_MSW_BP"/>
    <x v="0"/>
    <x v="23"/>
    <n v="92"/>
    <n v="33580"/>
    <n v="120888"/>
  </r>
  <r>
    <x v="0"/>
    <x v="1"/>
    <x v="1"/>
    <x v="5"/>
    <x v="9"/>
    <s v="LT_VilU"/>
    <x v="6"/>
    <x v="8"/>
    <s v="GNR_ES_WTR_PMP"/>
    <x v="0"/>
    <x v="16"/>
    <n v="73.572228443449006"/>
    <n v="26853.863381858901"/>
    <n v="96673.9081746921"/>
  </r>
  <r>
    <x v="0"/>
    <x v="1"/>
    <x v="1"/>
    <x v="6"/>
    <x v="10"/>
    <s v="NL_A"/>
    <x v="0"/>
    <x v="6"/>
    <s v="GNR_ST_COAL_CND_E-40"/>
    <x v="0"/>
    <x v="0"/>
    <n v="4875"/>
    <n v="1779375"/>
    <n v="6405750"/>
  </r>
  <r>
    <x v="0"/>
    <x v="1"/>
    <x v="1"/>
    <x v="6"/>
    <x v="10"/>
    <s v="NL_A"/>
    <x v="0"/>
    <x v="6"/>
    <s v="GNR_ST_COAL_CND_E-40"/>
    <x v="0"/>
    <x v="1"/>
    <n v="4875"/>
    <n v="1779375"/>
    <n v="6405750"/>
  </r>
  <r>
    <x v="0"/>
    <x v="1"/>
    <x v="1"/>
    <x v="6"/>
    <x v="10"/>
    <s v="NL_A"/>
    <x v="0"/>
    <x v="6"/>
    <s v="GNR_ST_COAL_CND_E-40"/>
    <x v="0"/>
    <x v="18"/>
    <n v="4875"/>
    <n v="1779375"/>
    <n v="6405750"/>
  </r>
  <r>
    <x v="0"/>
    <x v="1"/>
    <x v="1"/>
    <x v="6"/>
    <x v="10"/>
    <s v="NL_A"/>
    <x v="0"/>
    <x v="6"/>
    <s v="GNR_ST_COAL_CND_E-40"/>
    <x v="0"/>
    <x v="2"/>
    <n v="4875"/>
    <n v="1779375"/>
    <n v="6405750"/>
  </r>
  <r>
    <x v="0"/>
    <x v="1"/>
    <x v="1"/>
    <x v="6"/>
    <x v="10"/>
    <s v="NL_A"/>
    <x v="0"/>
    <x v="6"/>
    <s v="GNR_ST_COAL_CND_E-40"/>
    <x v="0"/>
    <x v="3"/>
    <n v="4875"/>
    <n v="1779375"/>
    <n v="6405750"/>
  </r>
  <r>
    <x v="0"/>
    <x v="1"/>
    <x v="1"/>
    <x v="6"/>
    <x v="10"/>
    <s v="NL_A"/>
    <x v="0"/>
    <x v="6"/>
    <s v="GNR_ST_COAL_CND_E-40"/>
    <x v="0"/>
    <x v="4"/>
    <n v="4875"/>
    <n v="1779375"/>
    <n v="6405750"/>
  </r>
  <r>
    <x v="0"/>
    <x v="1"/>
    <x v="1"/>
    <x v="6"/>
    <x v="10"/>
    <s v="NL_A"/>
    <x v="0"/>
    <x v="6"/>
    <s v="GNR_ST_COAL_CND_E-40"/>
    <x v="0"/>
    <x v="5"/>
    <n v="4875"/>
    <n v="1779375"/>
    <n v="6405750"/>
  </r>
  <r>
    <x v="0"/>
    <x v="1"/>
    <x v="1"/>
    <x v="6"/>
    <x v="10"/>
    <s v="NL_A"/>
    <x v="0"/>
    <x v="6"/>
    <s v="GNR_ST_COAL_CND_E-40"/>
    <x v="0"/>
    <x v="6"/>
    <n v="4875"/>
    <n v="1779375"/>
    <n v="6405750"/>
  </r>
  <r>
    <x v="0"/>
    <x v="1"/>
    <x v="1"/>
    <x v="6"/>
    <x v="10"/>
    <s v="NL_A"/>
    <x v="0"/>
    <x v="6"/>
    <s v="GNR_ST_COAL_CND_E-40"/>
    <x v="0"/>
    <x v="7"/>
    <n v="4875"/>
    <n v="1779375"/>
    <n v="6405750"/>
  </r>
  <r>
    <x v="0"/>
    <x v="1"/>
    <x v="1"/>
    <x v="6"/>
    <x v="10"/>
    <s v="NL_A"/>
    <x v="0"/>
    <x v="6"/>
    <s v="GNR_ST_COAL_CND_E-40"/>
    <x v="0"/>
    <x v="8"/>
    <n v="4875"/>
    <n v="1779375"/>
    <n v="6405750"/>
  </r>
  <r>
    <x v="0"/>
    <x v="1"/>
    <x v="1"/>
    <x v="6"/>
    <x v="10"/>
    <s v="NL_A"/>
    <x v="0"/>
    <x v="6"/>
    <s v="GNR_ST_COAL_CND_E-40"/>
    <x v="0"/>
    <x v="9"/>
    <n v="4875"/>
    <n v="1779375"/>
    <n v="6405750"/>
  </r>
  <r>
    <x v="0"/>
    <x v="1"/>
    <x v="1"/>
    <x v="6"/>
    <x v="10"/>
    <s v="NL_A"/>
    <x v="0"/>
    <x v="6"/>
    <s v="GNR_ST_COAL_CND_E-40"/>
    <x v="0"/>
    <x v="10"/>
    <n v="4875"/>
    <n v="1779375"/>
    <n v="6405750"/>
  </r>
  <r>
    <x v="0"/>
    <x v="1"/>
    <x v="1"/>
    <x v="6"/>
    <x v="10"/>
    <s v="NL_A"/>
    <x v="0"/>
    <x v="6"/>
    <s v="GNR_ST_COAL_CND_E-40"/>
    <x v="0"/>
    <x v="11"/>
    <n v="4875"/>
    <n v="1779375"/>
    <n v="6405750"/>
  </r>
  <r>
    <x v="0"/>
    <x v="1"/>
    <x v="1"/>
    <x v="6"/>
    <x v="10"/>
    <s v="NL_A"/>
    <x v="0"/>
    <x v="6"/>
    <s v="GNR_ST_COAL_CND_E-40"/>
    <x v="0"/>
    <x v="12"/>
    <n v="4875"/>
    <n v="1779375"/>
    <n v="6405750"/>
  </r>
  <r>
    <x v="0"/>
    <x v="1"/>
    <x v="1"/>
    <x v="6"/>
    <x v="10"/>
    <s v="NL_A"/>
    <x v="0"/>
    <x v="6"/>
    <s v="GNR_ST_COAL_CND_E-40"/>
    <x v="0"/>
    <x v="13"/>
    <n v="4875"/>
    <n v="1779375"/>
    <n v="6405750"/>
  </r>
  <r>
    <x v="0"/>
    <x v="1"/>
    <x v="1"/>
    <x v="6"/>
    <x v="10"/>
    <s v="NL_A"/>
    <x v="0"/>
    <x v="6"/>
    <s v="GNR_ST_COAL_CND_E-40"/>
    <x v="0"/>
    <x v="14"/>
    <n v="4875"/>
    <n v="1779375"/>
    <n v="6405750"/>
  </r>
  <r>
    <x v="0"/>
    <x v="1"/>
    <x v="1"/>
    <x v="6"/>
    <x v="10"/>
    <s v="NL_A"/>
    <x v="0"/>
    <x v="6"/>
    <s v="GNR_ST_COAL_CND_E-40"/>
    <x v="0"/>
    <x v="15"/>
    <n v="4875"/>
    <n v="1779375"/>
    <n v="6405750"/>
  </r>
  <r>
    <x v="0"/>
    <x v="1"/>
    <x v="1"/>
    <x v="6"/>
    <x v="10"/>
    <s v="NL_A"/>
    <x v="0"/>
    <x v="6"/>
    <s v="GNR_ST_COAL_CND_E-40"/>
    <x v="0"/>
    <x v="16"/>
    <n v="4875"/>
    <n v="1779375"/>
    <n v="6405750"/>
  </r>
  <r>
    <x v="0"/>
    <x v="1"/>
    <x v="1"/>
    <x v="6"/>
    <x v="10"/>
    <s v="NL_A"/>
    <x v="0"/>
    <x v="6"/>
    <s v="GNR_ST_COAL_CND_E-40"/>
    <x v="0"/>
    <x v="17"/>
    <n v="4875"/>
    <n v="1779375"/>
    <n v="6405750"/>
  </r>
  <r>
    <x v="0"/>
    <x v="1"/>
    <x v="1"/>
    <x v="6"/>
    <x v="10"/>
    <s v="NL_A"/>
    <x v="0"/>
    <x v="6"/>
    <s v="GNR_ST_COAL_CND_E-40"/>
    <x v="0"/>
    <x v="19"/>
    <n v="4875"/>
    <n v="1779375"/>
    <n v="6405750"/>
  </r>
  <r>
    <x v="0"/>
    <x v="1"/>
    <x v="1"/>
    <x v="6"/>
    <x v="10"/>
    <s v="NL_A"/>
    <x v="0"/>
    <x v="6"/>
    <s v="GNR_ST_COAL_CND_E-40"/>
    <x v="0"/>
    <x v="20"/>
    <n v="4875"/>
    <n v="1779375"/>
    <n v="6405750"/>
  </r>
  <r>
    <x v="0"/>
    <x v="1"/>
    <x v="1"/>
    <x v="6"/>
    <x v="10"/>
    <s v="NL_A"/>
    <x v="0"/>
    <x v="6"/>
    <s v="GNR_ST_COAL_CND_E-40"/>
    <x v="0"/>
    <x v="21"/>
    <n v="4875"/>
    <n v="1779375"/>
    <n v="6405750"/>
  </r>
  <r>
    <x v="0"/>
    <x v="1"/>
    <x v="1"/>
    <x v="6"/>
    <x v="10"/>
    <s v="NL_A"/>
    <x v="0"/>
    <x v="6"/>
    <s v="GNR_ST_COAL_CND_E-40"/>
    <x v="0"/>
    <x v="22"/>
    <n v="4875"/>
    <n v="1779375"/>
    <n v="6405750"/>
  </r>
  <r>
    <x v="0"/>
    <x v="1"/>
    <x v="1"/>
    <x v="6"/>
    <x v="10"/>
    <s v="NL_A"/>
    <x v="0"/>
    <x v="6"/>
    <s v="GNR_ST_COAL_CND_E-40"/>
    <x v="0"/>
    <x v="23"/>
    <n v="4657.0327607301597"/>
    <n v="1699816.95766651"/>
    <n v="6119341.04759942"/>
  </r>
  <r>
    <x v="0"/>
    <x v="1"/>
    <x v="1"/>
    <x v="6"/>
    <x v="10"/>
    <s v="NL_A"/>
    <x v="2"/>
    <x v="6"/>
    <s v="GNR_ST_MSW_CND_E-40"/>
    <x v="0"/>
    <x v="5"/>
    <n v="684"/>
    <n v="249660"/>
    <n v="898776"/>
  </r>
  <r>
    <x v="0"/>
    <x v="1"/>
    <x v="1"/>
    <x v="6"/>
    <x v="10"/>
    <s v="NL_A"/>
    <x v="2"/>
    <x v="6"/>
    <s v="GNR_ST_MSW_CND_E-40"/>
    <x v="0"/>
    <x v="6"/>
    <n v="684"/>
    <n v="249660"/>
    <n v="898776"/>
  </r>
  <r>
    <x v="0"/>
    <x v="1"/>
    <x v="1"/>
    <x v="6"/>
    <x v="10"/>
    <s v="NL_A"/>
    <x v="2"/>
    <x v="6"/>
    <s v="GNR_ST_MSW_CND_E-40"/>
    <x v="0"/>
    <x v="7"/>
    <n v="684"/>
    <n v="249660"/>
    <n v="898776"/>
  </r>
  <r>
    <x v="0"/>
    <x v="1"/>
    <x v="1"/>
    <x v="6"/>
    <x v="10"/>
    <s v="NL_A"/>
    <x v="2"/>
    <x v="6"/>
    <s v="GNR_ST_MSW_CND_E-40"/>
    <x v="0"/>
    <x v="8"/>
    <n v="684"/>
    <n v="249660"/>
    <n v="898776"/>
  </r>
  <r>
    <x v="0"/>
    <x v="1"/>
    <x v="1"/>
    <x v="6"/>
    <x v="10"/>
    <s v="NL_A"/>
    <x v="2"/>
    <x v="6"/>
    <s v="GNR_ST_MSW_CND_E-40"/>
    <x v="0"/>
    <x v="9"/>
    <n v="684"/>
    <n v="249660"/>
    <n v="898776"/>
  </r>
  <r>
    <x v="0"/>
    <x v="1"/>
    <x v="1"/>
    <x v="6"/>
    <x v="10"/>
    <s v="NL_A"/>
    <x v="2"/>
    <x v="6"/>
    <s v="GNR_ST_MSW_CND_E-40"/>
    <x v="0"/>
    <x v="10"/>
    <n v="684"/>
    <n v="249660"/>
    <n v="898776"/>
  </r>
  <r>
    <x v="0"/>
    <x v="1"/>
    <x v="1"/>
    <x v="6"/>
    <x v="10"/>
    <s v="NL_A"/>
    <x v="2"/>
    <x v="6"/>
    <s v="GNR_ST_MSW_CND_E-40"/>
    <x v="0"/>
    <x v="11"/>
    <n v="684"/>
    <n v="249660"/>
    <n v="898776"/>
  </r>
  <r>
    <x v="0"/>
    <x v="1"/>
    <x v="1"/>
    <x v="6"/>
    <x v="10"/>
    <s v="NL_A"/>
    <x v="2"/>
    <x v="6"/>
    <s v="GNR_ST_MSW_CND_E-40"/>
    <x v="0"/>
    <x v="12"/>
    <n v="684"/>
    <n v="249660"/>
    <n v="898776"/>
  </r>
  <r>
    <x v="0"/>
    <x v="1"/>
    <x v="1"/>
    <x v="6"/>
    <x v="10"/>
    <s v="NL_A"/>
    <x v="2"/>
    <x v="6"/>
    <s v="GNR_ST_MSW_CND_E-40"/>
    <x v="0"/>
    <x v="13"/>
    <n v="684"/>
    <n v="249660"/>
    <n v="898776"/>
  </r>
  <r>
    <x v="0"/>
    <x v="1"/>
    <x v="1"/>
    <x v="6"/>
    <x v="10"/>
    <s v="NL_A"/>
    <x v="2"/>
    <x v="6"/>
    <s v="GNR_ST_MSW_CND_E-40"/>
    <x v="0"/>
    <x v="14"/>
    <n v="684"/>
    <n v="249660"/>
    <n v="898776"/>
  </r>
  <r>
    <x v="0"/>
    <x v="1"/>
    <x v="1"/>
    <x v="6"/>
    <x v="10"/>
    <s v="NL_A"/>
    <x v="2"/>
    <x v="6"/>
    <s v="GNR_ST_MSW_CND_E-40"/>
    <x v="0"/>
    <x v="15"/>
    <n v="684"/>
    <n v="249660"/>
    <n v="898776"/>
  </r>
  <r>
    <x v="0"/>
    <x v="1"/>
    <x v="1"/>
    <x v="6"/>
    <x v="10"/>
    <s v="NL_A"/>
    <x v="2"/>
    <x v="6"/>
    <s v="GNR_ST_MSW_CND_E-40"/>
    <x v="0"/>
    <x v="16"/>
    <n v="684"/>
    <n v="249660"/>
    <n v="898776"/>
  </r>
  <r>
    <x v="0"/>
    <x v="1"/>
    <x v="1"/>
    <x v="6"/>
    <x v="10"/>
    <s v="NL_A"/>
    <x v="2"/>
    <x v="6"/>
    <s v="GNR_ST_MSW_CND_E-40"/>
    <x v="0"/>
    <x v="17"/>
    <n v="684"/>
    <n v="249660"/>
    <n v="898776"/>
  </r>
  <r>
    <x v="0"/>
    <x v="1"/>
    <x v="1"/>
    <x v="6"/>
    <x v="10"/>
    <s v="NL_A"/>
    <x v="2"/>
    <x v="6"/>
    <s v="GNR_ST_MSW_CND_E-40"/>
    <x v="0"/>
    <x v="19"/>
    <n v="684"/>
    <n v="249660"/>
    <n v="898776"/>
  </r>
  <r>
    <x v="0"/>
    <x v="1"/>
    <x v="1"/>
    <x v="6"/>
    <x v="10"/>
    <s v="NL_A"/>
    <x v="14"/>
    <x v="6"/>
    <s v="GNR_ST_NUCL_CND_E-33"/>
    <x v="0"/>
    <x v="0"/>
    <n v="515"/>
    <n v="187975"/>
    <n v="676710"/>
  </r>
  <r>
    <x v="0"/>
    <x v="1"/>
    <x v="1"/>
    <x v="6"/>
    <x v="10"/>
    <s v="NL_A"/>
    <x v="14"/>
    <x v="6"/>
    <s v="GNR_ST_NUCL_CND_E-33"/>
    <x v="0"/>
    <x v="1"/>
    <n v="515"/>
    <n v="187975"/>
    <n v="676710"/>
  </r>
  <r>
    <x v="0"/>
    <x v="1"/>
    <x v="1"/>
    <x v="6"/>
    <x v="10"/>
    <s v="NL_A"/>
    <x v="14"/>
    <x v="6"/>
    <s v="GNR_ST_NUCL_CND_E-33"/>
    <x v="0"/>
    <x v="18"/>
    <n v="515"/>
    <n v="187975"/>
    <n v="676710"/>
  </r>
  <r>
    <x v="0"/>
    <x v="1"/>
    <x v="1"/>
    <x v="6"/>
    <x v="10"/>
    <s v="NL_A"/>
    <x v="14"/>
    <x v="6"/>
    <s v="GNR_ST_NUCL_CND_E-33"/>
    <x v="0"/>
    <x v="2"/>
    <n v="515"/>
    <n v="187975"/>
    <n v="676710"/>
  </r>
  <r>
    <x v="0"/>
    <x v="1"/>
    <x v="1"/>
    <x v="6"/>
    <x v="10"/>
    <s v="NL_A"/>
    <x v="14"/>
    <x v="6"/>
    <s v="GNR_ST_NUCL_CND_E-33"/>
    <x v="0"/>
    <x v="3"/>
    <n v="515"/>
    <n v="187975"/>
    <n v="676710"/>
  </r>
  <r>
    <x v="0"/>
    <x v="1"/>
    <x v="1"/>
    <x v="6"/>
    <x v="10"/>
    <s v="NL_A"/>
    <x v="14"/>
    <x v="6"/>
    <s v="GNR_ST_NUCL_CND_E-33"/>
    <x v="0"/>
    <x v="4"/>
    <n v="515"/>
    <n v="187975"/>
    <n v="676710"/>
  </r>
  <r>
    <x v="0"/>
    <x v="1"/>
    <x v="1"/>
    <x v="6"/>
    <x v="10"/>
    <s v="NL_A"/>
    <x v="14"/>
    <x v="6"/>
    <s v="GNR_ST_NUCL_CND_E-33"/>
    <x v="0"/>
    <x v="5"/>
    <n v="515"/>
    <n v="187975"/>
    <n v="676710"/>
  </r>
  <r>
    <x v="0"/>
    <x v="1"/>
    <x v="1"/>
    <x v="6"/>
    <x v="10"/>
    <s v="NL_A"/>
    <x v="14"/>
    <x v="6"/>
    <s v="GNR_ST_NUCL_CND_E-33"/>
    <x v="0"/>
    <x v="6"/>
    <n v="515"/>
    <n v="187975"/>
    <n v="676710"/>
  </r>
  <r>
    <x v="0"/>
    <x v="1"/>
    <x v="1"/>
    <x v="6"/>
    <x v="10"/>
    <s v="NL_A"/>
    <x v="14"/>
    <x v="6"/>
    <s v="GNR_ST_NUCL_CND_E-33"/>
    <x v="0"/>
    <x v="7"/>
    <n v="515"/>
    <n v="187975"/>
    <n v="676710"/>
  </r>
  <r>
    <x v="0"/>
    <x v="1"/>
    <x v="1"/>
    <x v="6"/>
    <x v="10"/>
    <s v="NL_A"/>
    <x v="14"/>
    <x v="6"/>
    <s v="GNR_ST_NUCL_CND_E-33"/>
    <x v="0"/>
    <x v="8"/>
    <n v="515"/>
    <n v="187975"/>
    <n v="676710"/>
  </r>
  <r>
    <x v="0"/>
    <x v="1"/>
    <x v="1"/>
    <x v="6"/>
    <x v="10"/>
    <s v="NL_A"/>
    <x v="14"/>
    <x v="6"/>
    <s v="GNR_ST_NUCL_CND_E-33"/>
    <x v="0"/>
    <x v="9"/>
    <n v="515"/>
    <n v="187975"/>
    <n v="676710"/>
  </r>
  <r>
    <x v="0"/>
    <x v="1"/>
    <x v="1"/>
    <x v="6"/>
    <x v="10"/>
    <s v="NL_A"/>
    <x v="14"/>
    <x v="6"/>
    <s v="GNR_ST_NUCL_CND_E-33"/>
    <x v="0"/>
    <x v="10"/>
    <n v="515"/>
    <n v="187975"/>
    <n v="676710"/>
  </r>
  <r>
    <x v="0"/>
    <x v="1"/>
    <x v="1"/>
    <x v="6"/>
    <x v="10"/>
    <s v="NL_A"/>
    <x v="14"/>
    <x v="6"/>
    <s v="GNR_ST_NUCL_CND_E-33"/>
    <x v="0"/>
    <x v="11"/>
    <n v="515"/>
    <n v="187975"/>
    <n v="676710"/>
  </r>
  <r>
    <x v="0"/>
    <x v="1"/>
    <x v="1"/>
    <x v="6"/>
    <x v="10"/>
    <s v="NL_A"/>
    <x v="14"/>
    <x v="6"/>
    <s v="GNR_ST_NUCL_CND_E-33"/>
    <x v="0"/>
    <x v="12"/>
    <n v="515"/>
    <n v="187975"/>
    <n v="676710"/>
  </r>
  <r>
    <x v="0"/>
    <x v="1"/>
    <x v="1"/>
    <x v="6"/>
    <x v="10"/>
    <s v="NL_A"/>
    <x v="14"/>
    <x v="6"/>
    <s v="GNR_ST_NUCL_CND_E-33"/>
    <x v="0"/>
    <x v="13"/>
    <n v="515"/>
    <n v="187975"/>
    <n v="676710"/>
  </r>
  <r>
    <x v="0"/>
    <x v="1"/>
    <x v="1"/>
    <x v="6"/>
    <x v="10"/>
    <s v="NL_A"/>
    <x v="14"/>
    <x v="6"/>
    <s v="GNR_ST_NUCL_CND_E-33"/>
    <x v="0"/>
    <x v="14"/>
    <n v="515"/>
    <n v="187975"/>
    <n v="676710"/>
  </r>
  <r>
    <x v="0"/>
    <x v="1"/>
    <x v="1"/>
    <x v="6"/>
    <x v="10"/>
    <s v="NL_A"/>
    <x v="14"/>
    <x v="6"/>
    <s v="GNR_ST_NUCL_CND_E-33"/>
    <x v="0"/>
    <x v="15"/>
    <n v="515"/>
    <n v="187975"/>
    <n v="676710"/>
  </r>
  <r>
    <x v="0"/>
    <x v="1"/>
    <x v="1"/>
    <x v="6"/>
    <x v="10"/>
    <s v="NL_A"/>
    <x v="14"/>
    <x v="6"/>
    <s v="GNR_ST_NUCL_CND_E-33"/>
    <x v="0"/>
    <x v="16"/>
    <n v="515"/>
    <n v="187975"/>
    <n v="676710"/>
  </r>
  <r>
    <x v="0"/>
    <x v="1"/>
    <x v="1"/>
    <x v="6"/>
    <x v="10"/>
    <s v="NL_A"/>
    <x v="14"/>
    <x v="6"/>
    <s v="GNR_ST_NUCL_CND_E-33"/>
    <x v="0"/>
    <x v="17"/>
    <n v="515"/>
    <n v="187975"/>
    <n v="676710"/>
  </r>
  <r>
    <x v="0"/>
    <x v="1"/>
    <x v="1"/>
    <x v="6"/>
    <x v="10"/>
    <s v="NL_A"/>
    <x v="14"/>
    <x v="6"/>
    <s v="GNR_ST_NUCL_CND_E-33"/>
    <x v="0"/>
    <x v="19"/>
    <n v="515"/>
    <n v="187975"/>
    <n v="676710"/>
  </r>
  <r>
    <x v="0"/>
    <x v="1"/>
    <x v="1"/>
    <x v="6"/>
    <x v="10"/>
    <s v="NL_A"/>
    <x v="14"/>
    <x v="6"/>
    <s v="GNR_ST_NUCL_CND_E-33"/>
    <x v="0"/>
    <x v="20"/>
    <n v="515"/>
    <n v="187975"/>
    <n v="676710"/>
  </r>
  <r>
    <x v="0"/>
    <x v="1"/>
    <x v="1"/>
    <x v="6"/>
    <x v="10"/>
    <s v="NL_A"/>
    <x v="14"/>
    <x v="6"/>
    <s v="GNR_ST_NUCL_CND_E-33"/>
    <x v="0"/>
    <x v="21"/>
    <n v="515"/>
    <n v="187975"/>
    <n v="676710"/>
  </r>
  <r>
    <x v="0"/>
    <x v="1"/>
    <x v="1"/>
    <x v="6"/>
    <x v="10"/>
    <s v="NL_A"/>
    <x v="14"/>
    <x v="6"/>
    <s v="GNR_ST_NUCL_CND_E-33"/>
    <x v="0"/>
    <x v="22"/>
    <n v="515"/>
    <n v="187975"/>
    <n v="676710"/>
  </r>
  <r>
    <x v="0"/>
    <x v="1"/>
    <x v="1"/>
    <x v="6"/>
    <x v="10"/>
    <s v="NL_A"/>
    <x v="14"/>
    <x v="6"/>
    <s v="GNR_ST_NUCL_CND_E-33"/>
    <x v="0"/>
    <x v="23"/>
    <n v="515"/>
    <n v="187975"/>
    <n v="676710"/>
  </r>
  <r>
    <x v="0"/>
    <x v="1"/>
    <x v="1"/>
    <x v="6"/>
    <x v="10"/>
    <s v="NL_A"/>
    <x v="5"/>
    <x v="3"/>
    <s v="GNR_PV_SUN"/>
    <x v="0"/>
    <x v="7"/>
    <n v="16.883927773781998"/>
    <n v="6162.6336374304401"/>
    <n v="22185.481094749601"/>
  </r>
  <r>
    <x v="0"/>
    <x v="1"/>
    <x v="1"/>
    <x v="6"/>
    <x v="10"/>
    <s v="NL_A"/>
    <x v="5"/>
    <x v="3"/>
    <s v="GNR_PV_SUN"/>
    <x v="0"/>
    <x v="8"/>
    <n v="127.105671650831"/>
    <n v="46393.5701525533"/>
    <n v="167016.852549192"/>
  </r>
  <r>
    <x v="0"/>
    <x v="1"/>
    <x v="1"/>
    <x v="6"/>
    <x v="10"/>
    <s v="NL_A"/>
    <x v="5"/>
    <x v="3"/>
    <s v="GNR_PV_SUN"/>
    <x v="0"/>
    <x v="9"/>
    <n v="293.60717477382002"/>
    <n v="107166.618792444"/>
    <n v="385799.82765279902"/>
  </r>
  <r>
    <x v="0"/>
    <x v="1"/>
    <x v="1"/>
    <x v="6"/>
    <x v="10"/>
    <s v="NL_A"/>
    <x v="5"/>
    <x v="3"/>
    <s v="GNR_PV_SUN"/>
    <x v="0"/>
    <x v="10"/>
    <n v="447.12104114774598"/>
    <n v="163199.180018927"/>
    <n v="587517.04806813796"/>
  </r>
  <r>
    <x v="0"/>
    <x v="1"/>
    <x v="1"/>
    <x v="6"/>
    <x v="10"/>
    <s v="NL_A"/>
    <x v="5"/>
    <x v="3"/>
    <s v="GNR_PV_SUN"/>
    <x v="0"/>
    <x v="11"/>
    <n v="508.33610235832998"/>
    <n v="185542.67736079"/>
    <n v="667953.63849884504"/>
  </r>
  <r>
    <x v="0"/>
    <x v="1"/>
    <x v="1"/>
    <x v="6"/>
    <x v="10"/>
    <s v="NL_A"/>
    <x v="5"/>
    <x v="3"/>
    <s v="GNR_PV_SUN"/>
    <x v="0"/>
    <x v="12"/>
    <n v="442.01257069311401"/>
    <n v="161334.58830298699"/>
    <n v="580804.51789075194"/>
  </r>
  <r>
    <x v="0"/>
    <x v="1"/>
    <x v="1"/>
    <x v="6"/>
    <x v="10"/>
    <s v="NL_A"/>
    <x v="5"/>
    <x v="3"/>
    <s v="GNR_PV_SUN"/>
    <x v="0"/>
    <x v="13"/>
    <n v="287.63286186925097"/>
    <n v="104985.994582277"/>
    <n v="377949.58049619599"/>
  </r>
  <r>
    <x v="0"/>
    <x v="1"/>
    <x v="1"/>
    <x v="6"/>
    <x v="10"/>
    <s v="NL_A"/>
    <x v="5"/>
    <x v="3"/>
    <s v="GNR_PV_SUN"/>
    <x v="0"/>
    <x v="14"/>
    <n v="145.634700079494"/>
    <n v="53156.665529015401"/>
    <n v="191363.99590445499"/>
  </r>
  <r>
    <x v="0"/>
    <x v="1"/>
    <x v="1"/>
    <x v="6"/>
    <x v="10"/>
    <s v="NL_A"/>
    <x v="5"/>
    <x v="3"/>
    <s v="GNR_PV_SUN"/>
    <x v="0"/>
    <x v="15"/>
    <n v="18.9619496536321"/>
    <n v="6921.1116235757299"/>
    <n v="24916.0018448726"/>
  </r>
  <r>
    <x v="0"/>
    <x v="1"/>
    <x v="1"/>
    <x v="6"/>
    <x v="10"/>
    <s v="NL_A"/>
    <x v="6"/>
    <x v="4"/>
    <s v="GNR_ROR_WTR"/>
    <x v="0"/>
    <x v="0"/>
    <n v="18.219178082191799"/>
    <n v="6650"/>
    <n v="23940"/>
  </r>
  <r>
    <x v="0"/>
    <x v="1"/>
    <x v="1"/>
    <x v="6"/>
    <x v="10"/>
    <s v="NL_A"/>
    <x v="6"/>
    <x v="4"/>
    <s v="GNR_ROR_WTR"/>
    <x v="0"/>
    <x v="1"/>
    <n v="18.219178082191799"/>
    <n v="6650"/>
    <n v="23940"/>
  </r>
  <r>
    <x v="0"/>
    <x v="1"/>
    <x v="1"/>
    <x v="6"/>
    <x v="10"/>
    <s v="NL_A"/>
    <x v="6"/>
    <x v="4"/>
    <s v="GNR_ROR_WTR"/>
    <x v="0"/>
    <x v="18"/>
    <n v="18.219178082191799"/>
    <n v="6650"/>
    <n v="23940"/>
  </r>
  <r>
    <x v="0"/>
    <x v="1"/>
    <x v="1"/>
    <x v="6"/>
    <x v="10"/>
    <s v="NL_A"/>
    <x v="6"/>
    <x v="4"/>
    <s v="GNR_ROR_WTR"/>
    <x v="0"/>
    <x v="2"/>
    <n v="18.219178082191799"/>
    <n v="6650"/>
    <n v="23940"/>
  </r>
  <r>
    <x v="0"/>
    <x v="1"/>
    <x v="1"/>
    <x v="6"/>
    <x v="10"/>
    <s v="NL_A"/>
    <x v="6"/>
    <x v="4"/>
    <s v="GNR_ROR_WTR"/>
    <x v="0"/>
    <x v="3"/>
    <n v="18.219178082191799"/>
    <n v="6650"/>
    <n v="23940"/>
  </r>
  <r>
    <x v="0"/>
    <x v="1"/>
    <x v="1"/>
    <x v="6"/>
    <x v="10"/>
    <s v="NL_A"/>
    <x v="6"/>
    <x v="4"/>
    <s v="GNR_ROR_WTR"/>
    <x v="0"/>
    <x v="4"/>
    <n v="18.219178082191799"/>
    <n v="6650"/>
    <n v="23940"/>
  </r>
  <r>
    <x v="0"/>
    <x v="1"/>
    <x v="1"/>
    <x v="6"/>
    <x v="10"/>
    <s v="NL_A"/>
    <x v="6"/>
    <x v="4"/>
    <s v="GNR_ROR_WTR"/>
    <x v="0"/>
    <x v="5"/>
    <n v="18.219178082191799"/>
    <n v="6650"/>
    <n v="23940"/>
  </r>
  <r>
    <x v="0"/>
    <x v="1"/>
    <x v="1"/>
    <x v="6"/>
    <x v="10"/>
    <s v="NL_A"/>
    <x v="6"/>
    <x v="4"/>
    <s v="GNR_ROR_WTR"/>
    <x v="0"/>
    <x v="6"/>
    <n v="18.219178082191799"/>
    <n v="6650"/>
    <n v="23940"/>
  </r>
  <r>
    <x v="0"/>
    <x v="1"/>
    <x v="1"/>
    <x v="6"/>
    <x v="10"/>
    <s v="NL_A"/>
    <x v="6"/>
    <x v="4"/>
    <s v="GNR_ROR_WTR"/>
    <x v="0"/>
    <x v="7"/>
    <n v="18.219178082191799"/>
    <n v="6650"/>
    <n v="23940"/>
  </r>
  <r>
    <x v="0"/>
    <x v="1"/>
    <x v="1"/>
    <x v="6"/>
    <x v="10"/>
    <s v="NL_A"/>
    <x v="6"/>
    <x v="4"/>
    <s v="GNR_ROR_WTR"/>
    <x v="0"/>
    <x v="8"/>
    <n v="18.219178082191799"/>
    <n v="6650"/>
    <n v="23940"/>
  </r>
  <r>
    <x v="0"/>
    <x v="1"/>
    <x v="1"/>
    <x v="6"/>
    <x v="10"/>
    <s v="NL_A"/>
    <x v="6"/>
    <x v="4"/>
    <s v="GNR_ROR_WTR"/>
    <x v="0"/>
    <x v="9"/>
    <n v="18.219178082191799"/>
    <n v="6650"/>
    <n v="23940"/>
  </r>
  <r>
    <x v="0"/>
    <x v="1"/>
    <x v="1"/>
    <x v="6"/>
    <x v="10"/>
    <s v="NL_A"/>
    <x v="6"/>
    <x v="4"/>
    <s v="GNR_ROR_WTR"/>
    <x v="0"/>
    <x v="10"/>
    <n v="18.219178082191799"/>
    <n v="6650"/>
    <n v="23940"/>
  </r>
  <r>
    <x v="0"/>
    <x v="1"/>
    <x v="1"/>
    <x v="6"/>
    <x v="10"/>
    <s v="NL_A"/>
    <x v="6"/>
    <x v="4"/>
    <s v="GNR_ROR_WTR"/>
    <x v="0"/>
    <x v="11"/>
    <n v="18.219178082191799"/>
    <n v="6650"/>
    <n v="23940"/>
  </r>
  <r>
    <x v="0"/>
    <x v="1"/>
    <x v="1"/>
    <x v="6"/>
    <x v="10"/>
    <s v="NL_A"/>
    <x v="6"/>
    <x v="4"/>
    <s v="GNR_ROR_WTR"/>
    <x v="0"/>
    <x v="12"/>
    <n v="18.219178082191799"/>
    <n v="6650"/>
    <n v="23940"/>
  </r>
  <r>
    <x v="0"/>
    <x v="1"/>
    <x v="1"/>
    <x v="6"/>
    <x v="10"/>
    <s v="NL_A"/>
    <x v="6"/>
    <x v="4"/>
    <s v="GNR_ROR_WTR"/>
    <x v="0"/>
    <x v="13"/>
    <n v="18.219178082191799"/>
    <n v="6650"/>
    <n v="23940"/>
  </r>
  <r>
    <x v="0"/>
    <x v="1"/>
    <x v="1"/>
    <x v="6"/>
    <x v="10"/>
    <s v="NL_A"/>
    <x v="6"/>
    <x v="4"/>
    <s v="GNR_ROR_WTR"/>
    <x v="0"/>
    <x v="14"/>
    <n v="18.219178082191799"/>
    <n v="6650"/>
    <n v="23940"/>
  </r>
  <r>
    <x v="0"/>
    <x v="1"/>
    <x v="1"/>
    <x v="6"/>
    <x v="10"/>
    <s v="NL_A"/>
    <x v="6"/>
    <x v="4"/>
    <s v="GNR_ROR_WTR"/>
    <x v="0"/>
    <x v="15"/>
    <n v="18.219178082191799"/>
    <n v="6650"/>
    <n v="23940"/>
  </r>
  <r>
    <x v="0"/>
    <x v="1"/>
    <x v="1"/>
    <x v="6"/>
    <x v="10"/>
    <s v="NL_A"/>
    <x v="6"/>
    <x v="4"/>
    <s v="GNR_ROR_WTR"/>
    <x v="0"/>
    <x v="16"/>
    <n v="18.219178082191799"/>
    <n v="6650"/>
    <n v="23940"/>
  </r>
  <r>
    <x v="0"/>
    <x v="1"/>
    <x v="1"/>
    <x v="6"/>
    <x v="10"/>
    <s v="NL_A"/>
    <x v="6"/>
    <x v="4"/>
    <s v="GNR_ROR_WTR"/>
    <x v="0"/>
    <x v="17"/>
    <n v="18.219178082191799"/>
    <n v="6650"/>
    <n v="23940"/>
  </r>
  <r>
    <x v="0"/>
    <x v="1"/>
    <x v="1"/>
    <x v="6"/>
    <x v="10"/>
    <s v="NL_A"/>
    <x v="6"/>
    <x v="4"/>
    <s v="GNR_ROR_WTR"/>
    <x v="0"/>
    <x v="19"/>
    <n v="18.219178082191799"/>
    <n v="6650"/>
    <n v="23940"/>
  </r>
  <r>
    <x v="0"/>
    <x v="1"/>
    <x v="1"/>
    <x v="6"/>
    <x v="10"/>
    <s v="NL_A"/>
    <x v="6"/>
    <x v="4"/>
    <s v="GNR_ROR_WTR"/>
    <x v="0"/>
    <x v="20"/>
    <n v="18.219178082191799"/>
    <n v="6650"/>
    <n v="23940"/>
  </r>
  <r>
    <x v="0"/>
    <x v="1"/>
    <x v="1"/>
    <x v="6"/>
    <x v="10"/>
    <s v="NL_A"/>
    <x v="6"/>
    <x v="4"/>
    <s v="GNR_ROR_WTR"/>
    <x v="0"/>
    <x v="21"/>
    <n v="18.219178082191799"/>
    <n v="6650"/>
    <n v="23940"/>
  </r>
  <r>
    <x v="0"/>
    <x v="1"/>
    <x v="1"/>
    <x v="6"/>
    <x v="10"/>
    <s v="NL_A"/>
    <x v="6"/>
    <x v="4"/>
    <s v="GNR_ROR_WTR"/>
    <x v="0"/>
    <x v="22"/>
    <n v="18.219178082191799"/>
    <n v="6650"/>
    <n v="23940"/>
  </r>
  <r>
    <x v="0"/>
    <x v="1"/>
    <x v="1"/>
    <x v="6"/>
    <x v="10"/>
    <s v="NL_A"/>
    <x v="6"/>
    <x v="4"/>
    <s v="GNR_ROR_WTR"/>
    <x v="0"/>
    <x v="23"/>
    <n v="18.219178082191799"/>
    <n v="6650"/>
    <n v="23940"/>
  </r>
  <r>
    <x v="0"/>
    <x v="1"/>
    <x v="1"/>
    <x v="6"/>
    <x v="10"/>
    <s v="NL_A"/>
    <x v="7"/>
    <x v="5"/>
    <s v="GNR_WT_WIND_OFF"/>
    <x v="0"/>
    <x v="0"/>
    <n v="189.32544433099099"/>
    <n v="69103.787180811705"/>
    <n v="248773.63385092199"/>
  </r>
  <r>
    <x v="0"/>
    <x v="1"/>
    <x v="1"/>
    <x v="6"/>
    <x v="10"/>
    <s v="NL_A"/>
    <x v="7"/>
    <x v="5"/>
    <s v="GNR_WT_WIND_OFF"/>
    <x v="0"/>
    <x v="1"/>
    <n v="225.798333093944"/>
    <n v="82416.391579289702"/>
    <n v="296699.00968544302"/>
  </r>
  <r>
    <x v="0"/>
    <x v="1"/>
    <x v="1"/>
    <x v="6"/>
    <x v="10"/>
    <s v="NL_A"/>
    <x v="7"/>
    <x v="5"/>
    <s v="GNR_WT_WIND_OFF"/>
    <x v="0"/>
    <x v="18"/>
    <n v="214.26235907157499"/>
    <n v="78205.761061124795"/>
    <n v="281540.73982004903"/>
  </r>
  <r>
    <x v="0"/>
    <x v="1"/>
    <x v="1"/>
    <x v="6"/>
    <x v="10"/>
    <s v="NL_A"/>
    <x v="7"/>
    <x v="5"/>
    <s v="GNR_WT_WIND_OFF"/>
    <x v="0"/>
    <x v="2"/>
    <n v="223.868027363907"/>
    <n v="81711.829987826102"/>
    <n v="294162.58795617399"/>
  </r>
  <r>
    <x v="0"/>
    <x v="1"/>
    <x v="1"/>
    <x v="6"/>
    <x v="10"/>
    <s v="NL_A"/>
    <x v="7"/>
    <x v="5"/>
    <s v="GNR_WT_WIND_OFF"/>
    <x v="0"/>
    <x v="3"/>
    <n v="226.40939346989501"/>
    <n v="82639.428616511694"/>
    <n v="297501.94301944203"/>
  </r>
  <r>
    <x v="0"/>
    <x v="1"/>
    <x v="1"/>
    <x v="6"/>
    <x v="10"/>
    <s v="NL_A"/>
    <x v="7"/>
    <x v="5"/>
    <s v="GNR_WT_WIND_OFF"/>
    <x v="0"/>
    <x v="4"/>
    <n v="249.05685967975899"/>
    <n v="90905.753783112101"/>
    <n v="327260.71361920401"/>
  </r>
  <r>
    <x v="0"/>
    <x v="1"/>
    <x v="1"/>
    <x v="6"/>
    <x v="10"/>
    <s v="NL_A"/>
    <x v="7"/>
    <x v="5"/>
    <s v="GNR_WT_WIND_OFF"/>
    <x v="0"/>
    <x v="5"/>
    <n v="250.487264775402"/>
    <n v="91427.851643021902"/>
    <n v="329140.26591487898"/>
  </r>
  <r>
    <x v="0"/>
    <x v="1"/>
    <x v="1"/>
    <x v="6"/>
    <x v="10"/>
    <s v="NL_A"/>
    <x v="7"/>
    <x v="5"/>
    <s v="GNR_WT_WIND_OFF"/>
    <x v="0"/>
    <x v="6"/>
    <n v="239.63382852686701"/>
    <n v="87466.347412306495"/>
    <n v="314878.85068430298"/>
  </r>
  <r>
    <x v="0"/>
    <x v="1"/>
    <x v="1"/>
    <x v="6"/>
    <x v="10"/>
    <s v="NL_A"/>
    <x v="7"/>
    <x v="5"/>
    <s v="GNR_WT_WIND_OFF"/>
    <x v="0"/>
    <x v="7"/>
    <n v="230.514172294144"/>
    <n v="84137.6728873627"/>
    <n v="302895.622394506"/>
  </r>
  <r>
    <x v="0"/>
    <x v="1"/>
    <x v="1"/>
    <x v="6"/>
    <x v="10"/>
    <s v="NL_A"/>
    <x v="7"/>
    <x v="5"/>
    <s v="GNR_WT_WIND_OFF"/>
    <x v="0"/>
    <x v="8"/>
    <n v="239.280145732612"/>
    <n v="87337.253192403397"/>
    <n v="314414.11149265198"/>
  </r>
  <r>
    <x v="0"/>
    <x v="1"/>
    <x v="1"/>
    <x v="6"/>
    <x v="10"/>
    <s v="NL_A"/>
    <x v="7"/>
    <x v="5"/>
    <s v="GNR_WT_WIND_OFF"/>
    <x v="0"/>
    <x v="9"/>
    <n v="265.01265312758198"/>
    <n v="96729.618391567594"/>
    <n v="348226.62620964297"/>
  </r>
  <r>
    <x v="0"/>
    <x v="1"/>
    <x v="1"/>
    <x v="6"/>
    <x v="10"/>
    <s v="NL_A"/>
    <x v="7"/>
    <x v="5"/>
    <s v="GNR_WT_WIND_OFF"/>
    <x v="0"/>
    <x v="10"/>
    <n v="285.18231208089099"/>
    <n v="104091.543909525"/>
    <n v="374729.55807429098"/>
  </r>
  <r>
    <x v="0"/>
    <x v="1"/>
    <x v="1"/>
    <x v="6"/>
    <x v="10"/>
    <s v="NL_A"/>
    <x v="7"/>
    <x v="5"/>
    <s v="GNR_WT_WIND_OFF"/>
    <x v="0"/>
    <x v="11"/>
    <n v="329.25321146430002"/>
    <n v="120177.42218446999"/>
    <n v="432638.71986408997"/>
  </r>
  <r>
    <x v="0"/>
    <x v="1"/>
    <x v="1"/>
    <x v="6"/>
    <x v="10"/>
    <s v="NL_A"/>
    <x v="7"/>
    <x v="5"/>
    <s v="GNR_WT_WIND_OFF"/>
    <x v="0"/>
    <x v="12"/>
    <n v="367.02534954048201"/>
    <n v="133964.25258227601"/>
    <n v="482271.309296194"/>
  </r>
  <r>
    <x v="0"/>
    <x v="1"/>
    <x v="1"/>
    <x v="6"/>
    <x v="10"/>
    <s v="NL_A"/>
    <x v="7"/>
    <x v="5"/>
    <s v="GNR_WT_WIND_OFF"/>
    <x v="0"/>
    <x v="13"/>
    <n v="431.45369295731598"/>
    <n v="157480.59792942001"/>
    <n v="566930.15254591301"/>
  </r>
  <r>
    <x v="0"/>
    <x v="1"/>
    <x v="1"/>
    <x v="6"/>
    <x v="10"/>
    <s v="NL_A"/>
    <x v="7"/>
    <x v="5"/>
    <s v="GNR_WT_WIND_OFF"/>
    <x v="0"/>
    <x v="14"/>
    <n v="428.43457430828198"/>
    <n v="156378.61962252299"/>
    <n v="562963.03064108198"/>
  </r>
  <r>
    <x v="0"/>
    <x v="1"/>
    <x v="1"/>
    <x v="6"/>
    <x v="10"/>
    <s v="NL_A"/>
    <x v="7"/>
    <x v="5"/>
    <s v="GNR_WT_WIND_OFF"/>
    <x v="0"/>
    <x v="15"/>
    <n v="391.46156871401399"/>
    <n v="142883.47258061499"/>
    <n v="514380.50129021402"/>
  </r>
  <r>
    <x v="0"/>
    <x v="1"/>
    <x v="1"/>
    <x v="6"/>
    <x v="10"/>
    <s v="NL_A"/>
    <x v="7"/>
    <x v="5"/>
    <s v="GNR_WT_WIND_OFF"/>
    <x v="0"/>
    <x v="16"/>
    <n v="356.69862583377102"/>
    <n v="130194.99842932601"/>
    <n v="468701.99434557499"/>
  </r>
  <r>
    <x v="0"/>
    <x v="1"/>
    <x v="1"/>
    <x v="6"/>
    <x v="10"/>
    <s v="NL_A"/>
    <x v="7"/>
    <x v="5"/>
    <s v="GNR_WT_WIND_OFF"/>
    <x v="0"/>
    <x v="17"/>
    <n v="346.84417419879497"/>
    <n v="126598.12358256"/>
    <n v="455753.24489721702"/>
  </r>
  <r>
    <x v="0"/>
    <x v="1"/>
    <x v="1"/>
    <x v="6"/>
    <x v="10"/>
    <s v="NL_A"/>
    <x v="7"/>
    <x v="5"/>
    <s v="GNR_WT_WIND_OFF"/>
    <x v="0"/>
    <x v="19"/>
    <n v="313.01780943319"/>
    <n v="114251.500443114"/>
    <n v="411305.40159521101"/>
  </r>
  <r>
    <x v="0"/>
    <x v="1"/>
    <x v="1"/>
    <x v="6"/>
    <x v="10"/>
    <s v="NL_A"/>
    <x v="7"/>
    <x v="5"/>
    <s v="GNR_WT_WIND_OFF"/>
    <x v="0"/>
    <x v="20"/>
    <n v="234.36778838881401"/>
    <n v="85544.242761917296"/>
    <n v="307959.27394290199"/>
  </r>
  <r>
    <x v="0"/>
    <x v="1"/>
    <x v="1"/>
    <x v="6"/>
    <x v="10"/>
    <s v="NL_A"/>
    <x v="7"/>
    <x v="5"/>
    <s v="GNR_WT_WIND_OFF"/>
    <x v="0"/>
    <x v="21"/>
    <n v="231.18523955516901"/>
    <n v="84382.612437636504"/>
    <n v="303777.40477549197"/>
  </r>
  <r>
    <x v="0"/>
    <x v="1"/>
    <x v="1"/>
    <x v="6"/>
    <x v="10"/>
    <s v="NL_A"/>
    <x v="7"/>
    <x v="5"/>
    <s v="GNR_WT_WIND_OFF"/>
    <x v="0"/>
    <x v="22"/>
    <n v="191.24635427275501"/>
    <n v="69804.919309555393"/>
    <n v="251297.709514399"/>
  </r>
  <r>
    <x v="0"/>
    <x v="1"/>
    <x v="1"/>
    <x v="6"/>
    <x v="10"/>
    <s v="NL_A"/>
    <x v="7"/>
    <x v="5"/>
    <s v="GNR_WT_WIND_OFF"/>
    <x v="0"/>
    <x v="23"/>
    <n v="176.94794107321499"/>
    <n v="64585.998491723403"/>
    <n v="232509.594570204"/>
  </r>
  <r>
    <x v="0"/>
    <x v="1"/>
    <x v="1"/>
    <x v="6"/>
    <x v="10"/>
    <s v="NL_A"/>
    <x v="7"/>
    <x v="5"/>
    <s v="GNR_WT_WIND_ONS"/>
    <x v="0"/>
    <x v="0"/>
    <n v="551.21197841821004"/>
    <n v="201192.37212264701"/>
    <n v="724292.53964152804"/>
  </r>
  <r>
    <x v="0"/>
    <x v="1"/>
    <x v="1"/>
    <x v="6"/>
    <x v="10"/>
    <s v="NL_A"/>
    <x v="7"/>
    <x v="5"/>
    <s v="GNR_WT_WIND_ONS"/>
    <x v="0"/>
    <x v="1"/>
    <n v="657.40105007044497"/>
    <n v="239951.383275712"/>
    <n v="863824.97979256499"/>
  </r>
  <r>
    <x v="0"/>
    <x v="1"/>
    <x v="1"/>
    <x v="6"/>
    <x v="10"/>
    <s v="NL_A"/>
    <x v="7"/>
    <x v="5"/>
    <s v="GNR_WT_WIND_ONS"/>
    <x v="0"/>
    <x v="18"/>
    <n v="623.81461330637899"/>
    <n v="227692.33385682901"/>
    <n v="819692.40188458306"/>
  </r>
  <r>
    <x v="0"/>
    <x v="1"/>
    <x v="1"/>
    <x v="6"/>
    <x v="10"/>
    <s v="NL_A"/>
    <x v="7"/>
    <x v="5"/>
    <s v="GNR_WT_WIND_ONS"/>
    <x v="0"/>
    <x v="2"/>
    <n v="651.78105723659405"/>
    <n v="237900.08589135701"/>
    <n v="856440.30920888402"/>
  </r>
  <r>
    <x v="0"/>
    <x v="1"/>
    <x v="1"/>
    <x v="6"/>
    <x v="10"/>
    <s v="NL_A"/>
    <x v="7"/>
    <x v="5"/>
    <s v="GNR_WT_WIND_ONS"/>
    <x v="0"/>
    <x v="3"/>
    <n v="659.18012313667202"/>
    <n v="240600.74494488499"/>
    <n v="866162.68180158699"/>
  </r>
  <r>
    <x v="0"/>
    <x v="1"/>
    <x v="1"/>
    <x v="6"/>
    <x v="10"/>
    <s v="NL_A"/>
    <x v="7"/>
    <x v="5"/>
    <s v="GNR_WT_WIND_ONS"/>
    <x v="0"/>
    <x v="4"/>
    <n v="725.11713809951095"/>
    <n v="264667.75540632202"/>
    <n v="952803.919462758"/>
  </r>
  <r>
    <x v="0"/>
    <x v="1"/>
    <x v="1"/>
    <x v="6"/>
    <x v="10"/>
    <s v="NL_A"/>
    <x v="7"/>
    <x v="5"/>
    <s v="GNR_WT_WIND_ONS"/>
    <x v="0"/>
    <x v="5"/>
    <n v="729.28169413948297"/>
    <n v="266187.81836091098"/>
    <n v="958276.14609928103"/>
  </r>
  <r>
    <x v="0"/>
    <x v="1"/>
    <x v="1"/>
    <x v="6"/>
    <x v="10"/>
    <s v="NL_A"/>
    <x v="7"/>
    <x v="5"/>
    <s v="GNR_WT_WIND_ONS"/>
    <x v="0"/>
    <x v="6"/>
    <n v="697.68243346783197"/>
    <n v="254654.08821575899"/>
    <n v="916754.71757673204"/>
  </r>
  <r>
    <x v="0"/>
    <x v="1"/>
    <x v="1"/>
    <x v="6"/>
    <x v="10"/>
    <s v="NL_A"/>
    <x v="7"/>
    <x v="5"/>
    <s v="GNR_WT_WIND_ONS"/>
    <x v="0"/>
    <x v="7"/>
    <n v="671.13099041010605"/>
    <n v="244962.81149968901"/>
    <n v="881866.12139887898"/>
  </r>
  <r>
    <x v="0"/>
    <x v="1"/>
    <x v="1"/>
    <x v="6"/>
    <x v="10"/>
    <s v="NL_A"/>
    <x v="7"/>
    <x v="5"/>
    <s v="GNR_WT_WIND_ONS"/>
    <x v="0"/>
    <x v="8"/>
    <n v="696.65270292399202"/>
    <n v="254278.236567257"/>
    <n v="915401.65164212603"/>
  </r>
  <r>
    <x v="0"/>
    <x v="1"/>
    <x v="1"/>
    <x v="6"/>
    <x v="10"/>
    <s v="NL_A"/>
    <x v="7"/>
    <x v="5"/>
    <s v="GNR_WT_WIND_ONS"/>
    <x v="0"/>
    <x v="9"/>
    <n v="771.57166778349199"/>
    <n v="281623.65874097502"/>
    <n v="1013845.1714675101"/>
  </r>
  <r>
    <x v="0"/>
    <x v="1"/>
    <x v="1"/>
    <x v="6"/>
    <x v="10"/>
    <s v="NL_A"/>
    <x v="7"/>
    <x v="5"/>
    <s v="GNR_WT_WIND_ONS"/>
    <x v="0"/>
    <x v="10"/>
    <n v="830.29466539725695"/>
    <n v="303057.55286999902"/>
    <n v="1091007.1903319999"/>
  </r>
  <r>
    <x v="0"/>
    <x v="1"/>
    <x v="1"/>
    <x v="6"/>
    <x v="10"/>
    <s v="NL_A"/>
    <x v="7"/>
    <x v="5"/>
    <s v="GNR_WT_WIND_ONS"/>
    <x v="0"/>
    <x v="11"/>
    <n v="958.60498166583704"/>
    <n v="349890.81830803101"/>
    <n v="1259606.9459089099"/>
  </r>
  <r>
    <x v="0"/>
    <x v="1"/>
    <x v="1"/>
    <x v="6"/>
    <x v="10"/>
    <s v="NL_A"/>
    <x v="7"/>
    <x v="5"/>
    <s v="GNR_WT_WIND_ONS"/>
    <x v="0"/>
    <x v="12"/>
    <n v="1068.5767555688701"/>
    <n v="390030.51578263601"/>
    <n v="1404109.85681749"/>
  </r>
  <r>
    <x v="0"/>
    <x v="1"/>
    <x v="1"/>
    <x v="6"/>
    <x v="10"/>
    <s v="NL_A"/>
    <x v="7"/>
    <x v="5"/>
    <s v="GNR_WT_WIND_ONS"/>
    <x v="0"/>
    <x v="13"/>
    <n v="1256.1567967328699"/>
    <n v="458497.23080749699"/>
    <n v="1650590.0309069899"/>
  </r>
  <r>
    <x v="0"/>
    <x v="1"/>
    <x v="1"/>
    <x v="6"/>
    <x v="10"/>
    <s v="NL_A"/>
    <x v="7"/>
    <x v="5"/>
    <s v="GNR_WT_WIND_ONS"/>
    <x v="0"/>
    <x v="14"/>
    <n v="1247.3667771478399"/>
    <n v="455288.87365896202"/>
    <n v="1639039.94517226"/>
  </r>
  <r>
    <x v="0"/>
    <x v="1"/>
    <x v="1"/>
    <x v="6"/>
    <x v="10"/>
    <s v="NL_A"/>
    <x v="7"/>
    <x v="5"/>
    <s v="GNR_WT_WIND_ONS"/>
    <x v="0"/>
    <x v="15"/>
    <n v="1139.72163925473"/>
    <n v="415998.39832797699"/>
    <n v="1497594.2339807199"/>
  </r>
  <r>
    <x v="0"/>
    <x v="1"/>
    <x v="1"/>
    <x v="6"/>
    <x v="10"/>
    <s v="NL_A"/>
    <x v="7"/>
    <x v="5"/>
    <s v="GNR_WT_WIND_ONS"/>
    <x v="0"/>
    <x v="16"/>
    <n v="1038.5109932775399"/>
    <n v="379056.51254630298"/>
    <n v="1364603.44516669"/>
  </r>
  <r>
    <x v="0"/>
    <x v="1"/>
    <x v="1"/>
    <x v="6"/>
    <x v="10"/>
    <s v="NL_A"/>
    <x v="7"/>
    <x v="5"/>
    <s v="GNR_WT_WIND_ONS"/>
    <x v="0"/>
    <x v="17"/>
    <n v="1009.820228541"/>
    <n v="368584.38341746602"/>
    <n v="1326903.7803028801"/>
  </r>
  <r>
    <x v="0"/>
    <x v="1"/>
    <x v="1"/>
    <x v="6"/>
    <x v="10"/>
    <s v="NL_A"/>
    <x v="7"/>
    <x v="5"/>
    <s v="GNR_WT_WIND_ONS"/>
    <x v="0"/>
    <x v="19"/>
    <n v="911.33638496132903"/>
    <n v="332637.780510885"/>
    <n v="1197496.0098391899"/>
  </r>
  <r>
    <x v="0"/>
    <x v="1"/>
    <x v="1"/>
    <x v="6"/>
    <x v="10"/>
    <s v="NL_A"/>
    <x v="7"/>
    <x v="5"/>
    <s v="GNR_WT_WIND_ONS"/>
    <x v="0"/>
    <x v="20"/>
    <n v="682.35060940592302"/>
    <n v="249057.97243316201"/>
    <n v="896608.70075938199"/>
  </r>
  <r>
    <x v="0"/>
    <x v="1"/>
    <x v="1"/>
    <x v="6"/>
    <x v="10"/>
    <s v="NL_A"/>
    <x v="7"/>
    <x v="5"/>
    <s v="GNR_WT_WIND_ONS"/>
    <x v="0"/>
    <x v="21"/>
    <n v="673.08477065294699"/>
    <n v="245675.94128832599"/>
    <n v="884433.38863797195"/>
  </r>
  <r>
    <x v="0"/>
    <x v="1"/>
    <x v="1"/>
    <x v="6"/>
    <x v="10"/>
    <s v="NL_A"/>
    <x v="7"/>
    <x v="5"/>
    <s v="GNR_WT_WIND_ONS"/>
    <x v="0"/>
    <x v="22"/>
    <n v="556.80461586376896"/>
    <n v="203233.68479027599"/>
    <n v="731641.26524499303"/>
  </r>
  <r>
    <x v="0"/>
    <x v="1"/>
    <x v="1"/>
    <x v="6"/>
    <x v="10"/>
    <s v="NL_A"/>
    <x v="7"/>
    <x v="5"/>
    <s v="GNR_WT_WIND_ONS"/>
    <x v="0"/>
    <x v="23"/>
    <n v="515.17546952366899"/>
    <n v="188039.04637613901"/>
    <n v="676940.56695410097"/>
  </r>
  <r>
    <x v="0"/>
    <x v="1"/>
    <x v="1"/>
    <x v="7"/>
    <x v="11"/>
    <s v="NO1_A1"/>
    <x v="2"/>
    <x v="2"/>
    <s v="GBPR_MUNIWASTE"/>
    <x v="0"/>
    <x v="0"/>
    <n v="8.1999999999999993"/>
    <n v="2993"/>
    <n v="10774.8"/>
  </r>
  <r>
    <x v="0"/>
    <x v="1"/>
    <x v="1"/>
    <x v="7"/>
    <x v="11"/>
    <s v="NO1_A1"/>
    <x v="2"/>
    <x v="2"/>
    <s v="GBPR_MUNIWASTE"/>
    <x v="0"/>
    <x v="1"/>
    <n v="8.1999999999999993"/>
    <n v="2993"/>
    <n v="10774.8"/>
  </r>
  <r>
    <x v="0"/>
    <x v="1"/>
    <x v="1"/>
    <x v="7"/>
    <x v="11"/>
    <s v="NO1_A1"/>
    <x v="2"/>
    <x v="2"/>
    <s v="GBPR_MUNIWASTE"/>
    <x v="0"/>
    <x v="18"/>
    <n v="8.1999999999999993"/>
    <n v="2993"/>
    <n v="10774.8"/>
  </r>
  <r>
    <x v="0"/>
    <x v="1"/>
    <x v="1"/>
    <x v="7"/>
    <x v="11"/>
    <s v="NO1_A1"/>
    <x v="2"/>
    <x v="2"/>
    <s v="GBPR_MUNIWASTE"/>
    <x v="0"/>
    <x v="2"/>
    <n v="8.1999999999999993"/>
    <n v="2993"/>
    <n v="10774.8"/>
  </r>
  <r>
    <x v="0"/>
    <x v="1"/>
    <x v="1"/>
    <x v="7"/>
    <x v="11"/>
    <s v="NO1_A1"/>
    <x v="2"/>
    <x v="2"/>
    <s v="GBPR_MUNIWASTE"/>
    <x v="0"/>
    <x v="3"/>
    <n v="8.1999999999999993"/>
    <n v="2993"/>
    <n v="10774.8"/>
  </r>
  <r>
    <x v="0"/>
    <x v="1"/>
    <x v="1"/>
    <x v="7"/>
    <x v="11"/>
    <s v="NO1_A1"/>
    <x v="2"/>
    <x v="2"/>
    <s v="GBPR_MUNIWASTE"/>
    <x v="0"/>
    <x v="4"/>
    <n v="8.1999999999999993"/>
    <n v="2993"/>
    <n v="10774.8"/>
  </r>
  <r>
    <x v="0"/>
    <x v="1"/>
    <x v="1"/>
    <x v="7"/>
    <x v="11"/>
    <s v="NO1_A1"/>
    <x v="2"/>
    <x v="2"/>
    <s v="GBPR_MUNIWASTE"/>
    <x v="0"/>
    <x v="5"/>
    <n v="8.1999999999999993"/>
    <n v="2993"/>
    <n v="10774.8"/>
  </r>
  <r>
    <x v="0"/>
    <x v="1"/>
    <x v="1"/>
    <x v="7"/>
    <x v="11"/>
    <s v="NO1_A1"/>
    <x v="2"/>
    <x v="2"/>
    <s v="GBPR_MUNIWASTE"/>
    <x v="0"/>
    <x v="6"/>
    <n v="8.1999999999999993"/>
    <n v="2993"/>
    <n v="10774.8"/>
  </r>
  <r>
    <x v="0"/>
    <x v="1"/>
    <x v="1"/>
    <x v="7"/>
    <x v="11"/>
    <s v="NO1_A1"/>
    <x v="2"/>
    <x v="2"/>
    <s v="GBPR_MUNIWASTE"/>
    <x v="0"/>
    <x v="7"/>
    <n v="8.1999999999999993"/>
    <n v="2993"/>
    <n v="10774.8"/>
  </r>
  <r>
    <x v="0"/>
    <x v="1"/>
    <x v="1"/>
    <x v="7"/>
    <x v="11"/>
    <s v="NO1_A1"/>
    <x v="2"/>
    <x v="2"/>
    <s v="GBPR_MUNIWASTE"/>
    <x v="0"/>
    <x v="8"/>
    <n v="8.1999999999999993"/>
    <n v="2993"/>
    <n v="10774.8"/>
  </r>
  <r>
    <x v="0"/>
    <x v="1"/>
    <x v="1"/>
    <x v="7"/>
    <x v="11"/>
    <s v="NO1_A1"/>
    <x v="2"/>
    <x v="2"/>
    <s v="GBPR_MUNIWASTE"/>
    <x v="0"/>
    <x v="9"/>
    <n v="8.1999999999999993"/>
    <n v="2993"/>
    <n v="10774.8"/>
  </r>
  <r>
    <x v="0"/>
    <x v="1"/>
    <x v="1"/>
    <x v="7"/>
    <x v="11"/>
    <s v="NO1_A1"/>
    <x v="2"/>
    <x v="2"/>
    <s v="GBPR_MUNIWASTE"/>
    <x v="0"/>
    <x v="10"/>
    <n v="8.1999999999999993"/>
    <n v="2993"/>
    <n v="10774.8"/>
  </r>
  <r>
    <x v="0"/>
    <x v="1"/>
    <x v="1"/>
    <x v="7"/>
    <x v="11"/>
    <s v="NO1_A1"/>
    <x v="2"/>
    <x v="2"/>
    <s v="GBPR_MUNIWASTE"/>
    <x v="0"/>
    <x v="11"/>
    <n v="8.1999999999999993"/>
    <n v="2993"/>
    <n v="10774.8"/>
  </r>
  <r>
    <x v="0"/>
    <x v="1"/>
    <x v="1"/>
    <x v="7"/>
    <x v="11"/>
    <s v="NO1_A1"/>
    <x v="2"/>
    <x v="2"/>
    <s v="GBPR_MUNIWASTE"/>
    <x v="0"/>
    <x v="12"/>
    <n v="8.1999999999999993"/>
    <n v="2993"/>
    <n v="10774.8"/>
  </r>
  <r>
    <x v="0"/>
    <x v="1"/>
    <x v="1"/>
    <x v="7"/>
    <x v="11"/>
    <s v="NO1_A1"/>
    <x v="2"/>
    <x v="2"/>
    <s v="GBPR_MUNIWASTE"/>
    <x v="0"/>
    <x v="13"/>
    <n v="8.1999999999999993"/>
    <n v="2993"/>
    <n v="10774.8"/>
  </r>
  <r>
    <x v="0"/>
    <x v="1"/>
    <x v="1"/>
    <x v="7"/>
    <x v="11"/>
    <s v="NO1_A1"/>
    <x v="2"/>
    <x v="2"/>
    <s v="GBPR_MUNIWASTE"/>
    <x v="0"/>
    <x v="14"/>
    <n v="8.1999999999999993"/>
    <n v="2993"/>
    <n v="10774.8"/>
  </r>
  <r>
    <x v="0"/>
    <x v="1"/>
    <x v="1"/>
    <x v="7"/>
    <x v="11"/>
    <s v="NO1_A1"/>
    <x v="2"/>
    <x v="2"/>
    <s v="GBPR_MUNIWASTE"/>
    <x v="0"/>
    <x v="15"/>
    <n v="8.1999999999999993"/>
    <n v="2993"/>
    <n v="10774.8"/>
  </r>
  <r>
    <x v="0"/>
    <x v="1"/>
    <x v="1"/>
    <x v="7"/>
    <x v="11"/>
    <s v="NO1_A1"/>
    <x v="2"/>
    <x v="2"/>
    <s v="GBPR_MUNIWASTE"/>
    <x v="0"/>
    <x v="16"/>
    <n v="8.1999999999999993"/>
    <n v="2993"/>
    <n v="10774.8"/>
  </r>
  <r>
    <x v="0"/>
    <x v="1"/>
    <x v="1"/>
    <x v="7"/>
    <x v="11"/>
    <s v="NO1_A1"/>
    <x v="2"/>
    <x v="2"/>
    <s v="GBPR_MUNIWASTE"/>
    <x v="0"/>
    <x v="17"/>
    <n v="8.1999999999999993"/>
    <n v="2993"/>
    <n v="10774.8"/>
  </r>
  <r>
    <x v="0"/>
    <x v="1"/>
    <x v="1"/>
    <x v="7"/>
    <x v="11"/>
    <s v="NO1_A1"/>
    <x v="2"/>
    <x v="2"/>
    <s v="GBPR_MUNIWASTE"/>
    <x v="0"/>
    <x v="19"/>
    <n v="8.1999999999999993"/>
    <n v="2993"/>
    <n v="10774.8"/>
  </r>
  <r>
    <x v="0"/>
    <x v="1"/>
    <x v="1"/>
    <x v="7"/>
    <x v="11"/>
    <s v="NO1_A1"/>
    <x v="2"/>
    <x v="2"/>
    <s v="GBPR_MUNIWASTE"/>
    <x v="0"/>
    <x v="20"/>
    <n v="8.1999999999999993"/>
    <n v="2993"/>
    <n v="10774.8"/>
  </r>
  <r>
    <x v="0"/>
    <x v="1"/>
    <x v="1"/>
    <x v="7"/>
    <x v="11"/>
    <s v="NO1_A1"/>
    <x v="2"/>
    <x v="2"/>
    <s v="GBPR_MUNIWASTE"/>
    <x v="0"/>
    <x v="21"/>
    <n v="8.1999999999999993"/>
    <n v="2993"/>
    <n v="10774.8"/>
  </r>
  <r>
    <x v="0"/>
    <x v="1"/>
    <x v="1"/>
    <x v="7"/>
    <x v="11"/>
    <s v="NO1_A1"/>
    <x v="2"/>
    <x v="2"/>
    <s v="GBPR_MUNIWASTE"/>
    <x v="0"/>
    <x v="22"/>
    <n v="8.1999999999999993"/>
    <n v="2993"/>
    <n v="10774.8"/>
  </r>
  <r>
    <x v="0"/>
    <x v="1"/>
    <x v="1"/>
    <x v="7"/>
    <x v="11"/>
    <s v="NO1_A1"/>
    <x v="2"/>
    <x v="2"/>
    <s v="GBPR_MUNIWASTE"/>
    <x v="0"/>
    <x v="23"/>
    <n v="8.1999999999999993"/>
    <n v="2993"/>
    <n v="10774.8"/>
  </r>
  <r>
    <x v="0"/>
    <x v="1"/>
    <x v="1"/>
    <x v="7"/>
    <x v="11"/>
    <s v="NO1_A1"/>
    <x v="6"/>
    <x v="7"/>
    <s v="GNR_RES_WTR_NOPMP_MC-01"/>
    <x v="0"/>
    <x v="0"/>
    <n v="160"/>
    <n v="58400"/>
    <n v="210240"/>
  </r>
  <r>
    <x v="0"/>
    <x v="1"/>
    <x v="1"/>
    <x v="7"/>
    <x v="11"/>
    <s v="NO1_A1"/>
    <x v="6"/>
    <x v="7"/>
    <s v="GNR_RES_WTR_NOPMP_MC-01"/>
    <x v="0"/>
    <x v="1"/>
    <n v="160"/>
    <n v="58400"/>
    <n v="210240"/>
  </r>
  <r>
    <x v="0"/>
    <x v="1"/>
    <x v="1"/>
    <x v="7"/>
    <x v="11"/>
    <s v="NO1_A1"/>
    <x v="6"/>
    <x v="7"/>
    <s v="GNR_RES_WTR_NOPMP_MC-01"/>
    <x v="0"/>
    <x v="18"/>
    <n v="160"/>
    <n v="58400"/>
    <n v="210240"/>
  </r>
  <r>
    <x v="0"/>
    <x v="1"/>
    <x v="1"/>
    <x v="7"/>
    <x v="11"/>
    <s v="NO1_A1"/>
    <x v="6"/>
    <x v="7"/>
    <s v="GNR_RES_WTR_NOPMP_MC-01"/>
    <x v="0"/>
    <x v="2"/>
    <n v="160"/>
    <n v="58400"/>
    <n v="210240"/>
  </r>
  <r>
    <x v="0"/>
    <x v="1"/>
    <x v="1"/>
    <x v="7"/>
    <x v="11"/>
    <s v="NO1_A1"/>
    <x v="6"/>
    <x v="7"/>
    <s v="GNR_RES_WTR_NOPMP_MC-01"/>
    <x v="0"/>
    <x v="3"/>
    <n v="160"/>
    <n v="58400"/>
    <n v="210240"/>
  </r>
  <r>
    <x v="0"/>
    <x v="1"/>
    <x v="1"/>
    <x v="7"/>
    <x v="11"/>
    <s v="NO1_A1"/>
    <x v="6"/>
    <x v="7"/>
    <s v="GNR_RES_WTR_NOPMP_MC-01"/>
    <x v="0"/>
    <x v="4"/>
    <n v="160"/>
    <n v="58400"/>
    <n v="210240"/>
  </r>
  <r>
    <x v="0"/>
    <x v="1"/>
    <x v="1"/>
    <x v="7"/>
    <x v="11"/>
    <s v="NO1_A1"/>
    <x v="6"/>
    <x v="7"/>
    <s v="GNR_RES_WTR_NOPMP_MC-01"/>
    <x v="0"/>
    <x v="5"/>
    <n v="160"/>
    <n v="58400"/>
    <n v="210240"/>
  </r>
  <r>
    <x v="0"/>
    <x v="1"/>
    <x v="1"/>
    <x v="7"/>
    <x v="11"/>
    <s v="NO1_A1"/>
    <x v="6"/>
    <x v="7"/>
    <s v="GNR_RES_WTR_NOPMP_MC-01"/>
    <x v="0"/>
    <x v="6"/>
    <n v="160"/>
    <n v="58400"/>
    <n v="210240"/>
  </r>
  <r>
    <x v="0"/>
    <x v="1"/>
    <x v="1"/>
    <x v="7"/>
    <x v="11"/>
    <s v="NO1_A1"/>
    <x v="6"/>
    <x v="7"/>
    <s v="GNR_RES_WTR_NOPMP_MC-01"/>
    <x v="0"/>
    <x v="7"/>
    <n v="160"/>
    <n v="58400"/>
    <n v="210240"/>
  </r>
  <r>
    <x v="0"/>
    <x v="1"/>
    <x v="1"/>
    <x v="7"/>
    <x v="11"/>
    <s v="NO1_A1"/>
    <x v="6"/>
    <x v="7"/>
    <s v="GNR_RES_WTR_NOPMP_MC-01"/>
    <x v="0"/>
    <x v="8"/>
    <n v="160"/>
    <n v="58400"/>
    <n v="210240"/>
  </r>
  <r>
    <x v="0"/>
    <x v="1"/>
    <x v="1"/>
    <x v="7"/>
    <x v="11"/>
    <s v="NO1_A1"/>
    <x v="6"/>
    <x v="7"/>
    <s v="GNR_RES_WTR_NOPMP_MC-01"/>
    <x v="0"/>
    <x v="9"/>
    <n v="160"/>
    <n v="58400"/>
    <n v="210240"/>
  </r>
  <r>
    <x v="0"/>
    <x v="1"/>
    <x v="1"/>
    <x v="7"/>
    <x v="11"/>
    <s v="NO1_A1"/>
    <x v="6"/>
    <x v="7"/>
    <s v="GNR_RES_WTR_NOPMP_MC-01"/>
    <x v="0"/>
    <x v="10"/>
    <n v="160"/>
    <n v="58400"/>
    <n v="210240"/>
  </r>
  <r>
    <x v="0"/>
    <x v="1"/>
    <x v="1"/>
    <x v="7"/>
    <x v="11"/>
    <s v="NO1_A1"/>
    <x v="6"/>
    <x v="7"/>
    <s v="GNR_RES_WTR_NOPMP_MC-01"/>
    <x v="0"/>
    <x v="11"/>
    <n v="160"/>
    <n v="58400"/>
    <n v="210240"/>
  </r>
  <r>
    <x v="0"/>
    <x v="1"/>
    <x v="1"/>
    <x v="7"/>
    <x v="11"/>
    <s v="NO1_A1"/>
    <x v="6"/>
    <x v="7"/>
    <s v="GNR_RES_WTR_NOPMP_MC-01"/>
    <x v="0"/>
    <x v="12"/>
    <n v="160"/>
    <n v="58400"/>
    <n v="210240"/>
  </r>
  <r>
    <x v="0"/>
    <x v="1"/>
    <x v="1"/>
    <x v="7"/>
    <x v="11"/>
    <s v="NO1_A1"/>
    <x v="6"/>
    <x v="7"/>
    <s v="GNR_RES_WTR_NOPMP_MC-01"/>
    <x v="0"/>
    <x v="13"/>
    <n v="160"/>
    <n v="58400"/>
    <n v="210240"/>
  </r>
  <r>
    <x v="0"/>
    <x v="1"/>
    <x v="1"/>
    <x v="7"/>
    <x v="11"/>
    <s v="NO1_A1"/>
    <x v="6"/>
    <x v="7"/>
    <s v="GNR_RES_WTR_NOPMP_MC-01"/>
    <x v="0"/>
    <x v="14"/>
    <n v="160"/>
    <n v="58400"/>
    <n v="210240"/>
  </r>
  <r>
    <x v="0"/>
    <x v="1"/>
    <x v="1"/>
    <x v="7"/>
    <x v="11"/>
    <s v="NO1_A1"/>
    <x v="6"/>
    <x v="7"/>
    <s v="GNR_RES_WTR_NOPMP_MC-01"/>
    <x v="0"/>
    <x v="15"/>
    <n v="160"/>
    <n v="58400"/>
    <n v="210240"/>
  </r>
  <r>
    <x v="0"/>
    <x v="1"/>
    <x v="1"/>
    <x v="7"/>
    <x v="11"/>
    <s v="NO1_A1"/>
    <x v="6"/>
    <x v="7"/>
    <s v="GNR_RES_WTR_NOPMP_MC-01"/>
    <x v="0"/>
    <x v="16"/>
    <n v="160"/>
    <n v="58400"/>
    <n v="210240"/>
  </r>
  <r>
    <x v="0"/>
    <x v="1"/>
    <x v="1"/>
    <x v="7"/>
    <x v="11"/>
    <s v="NO1_A1"/>
    <x v="6"/>
    <x v="7"/>
    <s v="GNR_RES_WTR_NOPMP_MC-01"/>
    <x v="0"/>
    <x v="17"/>
    <n v="160"/>
    <n v="58400"/>
    <n v="210240"/>
  </r>
  <r>
    <x v="0"/>
    <x v="1"/>
    <x v="1"/>
    <x v="7"/>
    <x v="11"/>
    <s v="NO1_A1"/>
    <x v="6"/>
    <x v="7"/>
    <s v="GNR_RES_WTR_NOPMP_MC-01"/>
    <x v="0"/>
    <x v="19"/>
    <n v="160"/>
    <n v="58400"/>
    <n v="210240"/>
  </r>
  <r>
    <x v="0"/>
    <x v="1"/>
    <x v="1"/>
    <x v="7"/>
    <x v="11"/>
    <s v="NO1_A1"/>
    <x v="6"/>
    <x v="7"/>
    <s v="GNR_RES_WTR_NOPMP_MC-01"/>
    <x v="0"/>
    <x v="20"/>
    <n v="160"/>
    <n v="58400"/>
    <n v="210240"/>
  </r>
  <r>
    <x v="0"/>
    <x v="1"/>
    <x v="1"/>
    <x v="7"/>
    <x v="11"/>
    <s v="NO1_A1"/>
    <x v="6"/>
    <x v="7"/>
    <s v="GNR_RES_WTR_NOPMP_MC-01"/>
    <x v="0"/>
    <x v="21"/>
    <n v="160"/>
    <n v="58400"/>
    <n v="210240"/>
  </r>
  <r>
    <x v="0"/>
    <x v="1"/>
    <x v="1"/>
    <x v="7"/>
    <x v="11"/>
    <s v="NO1_A1"/>
    <x v="6"/>
    <x v="7"/>
    <s v="GNR_RES_WTR_NOPMP_MC-01"/>
    <x v="0"/>
    <x v="22"/>
    <n v="160"/>
    <n v="58400"/>
    <n v="210240"/>
  </r>
  <r>
    <x v="0"/>
    <x v="1"/>
    <x v="1"/>
    <x v="7"/>
    <x v="11"/>
    <s v="NO1_A1"/>
    <x v="6"/>
    <x v="7"/>
    <s v="GNR_RES_WTR_NOPMP_MC-01"/>
    <x v="0"/>
    <x v="23"/>
    <n v="160"/>
    <n v="58400"/>
    <n v="210240"/>
  </r>
  <r>
    <x v="0"/>
    <x v="1"/>
    <x v="1"/>
    <x v="7"/>
    <x v="11"/>
    <s v="NO1_A1"/>
    <x v="6"/>
    <x v="7"/>
    <s v="GNR_RES_WTR_NOPMP_MC-02"/>
    <x v="0"/>
    <x v="0"/>
    <n v="160"/>
    <n v="58400"/>
    <n v="210240"/>
  </r>
  <r>
    <x v="0"/>
    <x v="1"/>
    <x v="1"/>
    <x v="7"/>
    <x v="11"/>
    <s v="NO1_A1"/>
    <x v="6"/>
    <x v="7"/>
    <s v="GNR_RES_WTR_NOPMP_MC-02"/>
    <x v="0"/>
    <x v="1"/>
    <n v="41.991202257618497"/>
    <n v="15326.7888240308"/>
    <n v="55176.439766510703"/>
  </r>
  <r>
    <x v="0"/>
    <x v="1"/>
    <x v="1"/>
    <x v="7"/>
    <x v="11"/>
    <s v="NO1_A1"/>
    <x v="6"/>
    <x v="7"/>
    <s v="GNR_RES_WTR_NOPMP_MC-02"/>
    <x v="0"/>
    <x v="18"/>
    <n v="160"/>
    <n v="58400"/>
    <n v="210240"/>
  </r>
  <r>
    <x v="0"/>
    <x v="1"/>
    <x v="1"/>
    <x v="7"/>
    <x v="11"/>
    <s v="NO1_A1"/>
    <x v="6"/>
    <x v="7"/>
    <s v="GNR_RES_WTR_NOPMP_MC-02"/>
    <x v="0"/>
    <x v="2"/>
    <n v="67.813810769470905"/>
    <n v="24752.0409308569"/>
    <n v="89107.347351084798"/>
  </r>
  <r>
    <x v="0"/>
    <x v="1"/>
    <x v="1"/>
    <x v="7"/>
    <x v="11"/>
    <s v="NO1_A1"/>
    <x v="6"/>
    <x v="7"/>
    <s v="GNR_RES_WTR_NOPMP_MC-02"/>
    <x v="0"/>
    <x v="3"/>
    <n v="160"/>
    <n v="58400"/>
    <n v="210240"/>
  </r>
  <r>
    <x v="0"/>
    <x v="1"/>
    <x v="1"/>
    <x v="7"/>
    <x v="11"/>
    <s v="NO1_A1"/>
    <x v="6"/>
    <x v="7"/>
    <s v="GNR_RES_WTR_NOPMP_MC-02"/>
    <x v="0"/>
    <x v="4"/>
    <n v="160"/>
    <n v="58400"/>
    <n v="210240"/>
  </r>
  <r>
    <x v="0"/>
    <x v="1"/>
    <x v="1"/>
    <x v="7"/>
    <x v="11"/>
    <s v="NO1_A1"/>
    <x v="6"/>
    <x v="7"/>
    <s v="GNR_RES_WTR_NOPMP_MC-02"/>
    <x v="0"/>
    <x v="5"/>
    <n v="160"/>
    <n v="58400"/>
    <n v="210240"/>
  </r>
  <r>
    <x v="0"/>
    <x v="1"/>
    <x v="1"/>
    <x v="7"/>
    <x v="11"/>
    <s v="NO1_A1"/>
    <x v="6"/>
    <x v="7"/>
    <s v="GNR_RES_WTR_NOPMP_MC-02"/>
    <x v="0"/>
    <x v="6"/>
    <n v="160"/>
    <n v="58400"/>
    <n v="210240"/>
  </r>
  <r>
    <x v="0"/>
    <x v="1"/>
    <x v="1"/>
    <x v="7"/>
    <x v="11"/>
    <s v="NO1_A1"/>
    <x v="6"/>
    <x v="7"/>
    <s v="GNR_RES_WTR_NOPMP_MC-02"/>
    <x v="0"/>
    <x v="7"/>
    <n v="160"/>
    <n v="58400"/>
    <n v="210240"/>
  </r>
  <r>
    <x v="0"/>
    <x v="1"/>
    <x v="1"/>
    <x v="7"/>
    <x v="11"/>
    <s v="NO1_A1"/>
    <x v="6"/>
    <x v="7"/>
    <s v="GNR_RES_WTR_NOPMP_MC-02"/>
    <x v="0"/>
    <x v="8"/>
    <n v="160"/>
    <n v="58400"/>
    <n v="210240"/>
  </r>
  <r>
    <x v="0"/>
    <x v="1"/>
    <x v="1"/>
    <x v="7"/>
    <x v="11"/>
    <s v="NO1_A1"/>
    <x v="6"/>
    <x v="7"/>
    <s v="GNR_RES_WTR_NOPMP_MC-02"/>
    <x v="0"/>
    <x v="9"/>
    <n v="160"/>
    <n v="58400"/>
    <n v="210240"/>
  </r>
  <r>
    <x v="0"/>
    <x v="1"/>
    <x v="1"/>
    <x v="7"/>
    <x v="11"/>
    <s v="NO1_A1"/>
    <x v="6"/>
    <x v="7"/>
    <s v="GNR_RES_WTR_NOPMP_MC-02"/>
    <x v="0"/>
    <x v="10"/>
    <n v="160"/>
    <n v="58400"/>
    <n v="210240"/>
  </r>
  <r>
    <x v="0"/>
    <x v="1"/>
    <x v="1"/>
    <x v="7"/>
    <x v="11"/>
    <s v="NO1_A1"/>
    <x v="6"/>
    <x v="7"/>
    <s v="GNR_RES_WTR_NOPMP_MC-02"/>
    <x v="0"/>
    <x v="11"/>
    <n v="160"/>
    <n v="58400"/>
    <n v="210240"/>
  </r>
  <r>
    <x v="0"/>
    <x v="1"/>
    <x v="1"/>
    <x v="7"/>
    <x v="11"/>
    <s v="NO1_A1"/>
    <x v="6"/>
    <x v="7"/>
    <s v="GNR_RES_WTR_NOPMP_MC-02"/>
    <x v="0"/>
    <x v="12"/>
    <n v="160"/>
    <n v="58400"/>
    <n v="210240"/>
  </r>
  <r>
    <x v="0"/>
    <x v="1"/>
    <x v="1"/>
    <x v="7"/>
    <x v="11"/>
    <s v="NO1_A1"/>
    <x v="6"/>
    <x v="7"/>
    <s v="GNR_RES_WTR_NOPMP_MC-02"/>
    <x v="0"/>
    <x v="13"/>
    <n v="160"/>
    <n v="58400"/>
    <n v="210240"/>
  </r>
  <r>
    <x v="0"/>
    <x v="1"/>
    <x v="1"/>
    <x v="7"/>
    <x v="11"/>
    <s v="NO1_A1"/>
    <x v="6"/>
    <x v="7"/>
    <s v="GNR_RES_WTR_NOPMP_MC-02"/>
    <x v="0"/>
    <x v="14"/>
    <n v="160"/>
    <n v="58400"/>
    <n v="210240"/>
  </r>
  <r>
    <x v="0"/>
    <x v="1"/>
    <x v="1"/>
    <x v="7"/>
    <x v="11"/>
    <s v="NO1_A1"/>
    <x v="6"/>
    <x v="7"/>
    <s v="GNR_RES_WTR_NOPMP_MC-02"/>
    <x v="0"/>
    <x v="15"/>
    <n v="160"/>
    <n v="58400"/>
    <n v="210240"/>
  </r>
  <r>
    <x v="0"/>
    <x v="1"/>
    <x v="1"/>
    <x v="7"/>
    <x v="11"/>
    <s v="NO1_A1"/>
    <x v="6"/>
    <x v="7"/>
    <s v="GNR_RES_WTR_NOPMP_MC-02"/>
    <x v="0"/>
    <x v="16"/>
    <n v="160"/>
    <n v="58400"/>
    <n v="210240"/>
  </r>
  <r>
    <x v="0"/>
    <x v="1"/>
    <x v="1"/>
    <x v="7"/>
    <x v="11"/>
    <s v="NO1_A1"/>
    <x v="6"/>
    <x v="7"/>
    <s v="GNR_RES_WTR_NOPMP_MC-02"/>
    <x v="0"/>
    <x v="17"/>
    <n v="160"/>
    <n v="58400"/>
    <n v="210240"/>
  </r>
  <r>
    <x v="0"/>
    <x v="1"/>
    <x v="1"/>
    <x v="7"/>
    <x v="11"/>
    <s v="NO1_A1"/>
    <x v="6"/>
    <x v="7"/>
    <s v="GNR_RES_WTR_NOPMP_MC-02"/>
    <x v="0"/>
    <x v="19"/>
    <n v="160"/>
    <n v="58400"/>
    <n v="210240"/>
  </r>
  <r>
    <x v="0"/>
    <x v="1"/>
    <x v="1"/>
    <x v="7"/>
    <x v="11"/>
    <s v="NO1_A1"/>
    <x v="6"/>
    <x v="7"/>
    <s v="GNR_RES_WTR_NOPMP_MC-02"/>
    <x v="0"/>
    <x v="20"/>
    <n v="160"/>
    <n v="58400"/>
    <n v="210240"/>
  </r>
  <r>
    <x v="0"/>
    <x v="1"/>
    <x v="1"/>
    <x v="7"/>
    <x v="11"/>
    <s v="NO1_A1"/>
    <x v="6"/>
    <x v="7"/>
    <s v="GNR_RES_WTR_NOPMP_MC-02"/>
    <x v="0"/>
    <x v="21"/>
    <n v="160"/>
    <n v="58400"/>
    <n v="210240"/>
  </r>
  <r>
    <x v="0"/>
    <x v="1"/>
    <x v="1"/>
    <x v="7"/>
    <x v="11"/>
    <s v="NO1_A1"/>
    <x v="6"/>
    <x v="7"/>
    <s v="GNR_RES_WTR_NOPMP_MC-03"/>
    <x v="0"/>
    <x v="5"/>
    <n v="160"/>
    <n v="58400"/>
    <n v="210240"/>
  </r>
  <r>
    <x v="0"/>
    <x v="1"/>
    <x v="1"/>
    <x v="7"/>
    <x v="11"/>
    <s v="NO1_A1"/>
    <x v="6"/>
    <x v="7"/>
    <s v="GNR_RES_WTR_NOPMP_MC-03"/>
    <x v="0"/>
    <x v="6"/>
    <n v="160"/>
    <n v="58400"/>
    <n v="210240"/>
  </r>
  <r>
    <x v="0"/>
    <x v="1"/>
    <x v="1"/>
    <x v="7"/>
    <x v="11"/>
    <s v="NO1_A1"/>
    <x v="6"/>
    <x v="7"/>
    <s v="GNR_RES_WTR_NOPMP_MC-03"/>
    <x v="0"/>
    <x v="7"/>
    <n v="160"/>
    <n v="58400"/>
    <n v="210240"/>
  </r>
  <r>
    <x v="0"/>
    <x v="1"/>
    <x v="1"/>
    <x v="7"/>
    <x v="11"/>
    <s v="NO1_A1"/>
    <x v="6"/>
    <x v="7"/>
    <s v="GNR_RES_WTR_NOPMP_MC-03"/>
    <x v="0"/>
    <x v="8"/>
    <n v="160"/>
    <n v="58400"/>
    <n v="210240"/>
  </r>
  <r>
    <x v="0"/>
    <x v="1"/>
    <x v="1"/>
    <x v="7"/>
    <x v="11"/>
    <s v="NO1_A1"/>
    <x v="6"/>
    <x v="7"/>
    <s v="GNR_RES_WTR_NOPMP_MC-03"/>
    <x v="0"/>
    <x v="9"/>
    <n v="160"/>
    <n v="58400"/>
    <n v="210240"/>
  </r>
  <r>
    <x v="0"/>
    <x v="1"/>
    <x v="1"/>
    <x v="7"/>
    <x v="11"/>
    <s v="NO1_A1"/>
    <x v="6"/>
    <x v="7"/>
    <s v="GNR_RES_WTR_NOPMP_MC-03"/>
    <x v="0"/>
    <x v="10"/>
    <n v="160"/>
    <n v="58400"/>
    <n v="210240"/>
  </r>
  <r>
    <x v="0"/>
    <x v="1"/>
    <x v="1"/>
    <x v="7"/>
    <x v="11"/>
    <s v="NO1_A1"/>
    <x v="6"/>
    <x v="7"/>
    <s v="GNR_RES_WTR_NOPMP_MC-03"/>
    <x v="0"/>
    <x v="11"/>
    <n v="160"/>
    <n v="58400"/>
    <n v="210240"/>
  </r>
  <r>
    <x v="0"/>
    <x v="1"/>
    <x v="1"/>
    <x v="7"/>
    <x v="11"/>
    <s v="NO1_A1"/>
    <x v="6"/>
    <x v="7"/>
    <s v="GNR_RES_WTR_NOPMP_MC-03"/>
    <x v="0"/>
    <x v="12"/>
    <n v="160"/>
    <n v="58400"/>
    <n v="210240"/>
  </r>
  <r>
    <x v="0"/>
    <x v="1"/>
    <x v="1"/>
    <x v="7"/>
    <x v="11"/>
    <s v="NO1_A1"/>
    <x v="6"/>
    <x v="7"/>
    <s v="GNR_RES_WTR_NOPMP_MC-03"/>
    <x v="0"/>
    <x v="13"/>
    <n v="160"/>
    <n v="58400"/>
    <n v="210240"/>
  </r>
  <r>
    <x v="0"/>
    <x v="1"/>
    <x v="1"/>
    <x v="7"/>
    <x v="11"/>
    <s v="NO1_A1"/>
    <x v="6"/>
    <x v="7"/>
    <s v="GNR_RES_WTR_NOPMP_MC-03"/>
    <x v="0"/>
    <x v="14"/>
    <n v="160"/>
    <n v="58400"/>
    <n v="210240"/>
  </r>
  <r>
    <x v="0"/>
    <x v="1"/>
    <x v="1"/>
    <x v="7"/>
    <x v="11"/>
    <s v="NO1_A1"/>
    <x v="6"/>
    <x v="7"/>
    <s v="GNR_RES_WTR_NOPMP_MC-03"/>
    <x v="0"/>
    <x v="15"/>
    <n v="160"/>
    <n v="58400"/>
    <n v="210240"/>
  </r>
  <r>
    <x v="0"/>
    <x v="1"/>
    <x v="1"/>
    <x v="7"/>
    <x v="11"/>
    <s v="NO1_A1"/>
    <x v="6"/>
    <x v="7"/>
    <s v="GNR_RES_WTR_NOPMP_MC-03"/>
    <x v="0"/>
    <x v="16"/>
    <n v="160"/>
    <n v="58400"/>
    <n v="210240"/>
  </r>
  <r>
    <x v="0"/>
    <x v="1"/>
    <x v="1"/>
    <x v="7"/>
    <x v="11"/>
    <s v="NO1_A1"/>
    <x v="6"/>
    <x v="7"/>
    <s v="GNR_RES_WTR_NOPMP_MC-03"/>
    <x v="0"/>
    <x v="17"/>
    <n v="160"/>
    <n v="58400"/>
    <n v="210240"/>
  </r>
  <r>
    <x v="0"/>
    <x v="1"/>
    <x v="1"/>
    <x v="7"/>
    <x v="11"/>
    <s v="NO1_A1"/>
    <x v="6"/>
    <x v="7"/>
    <s v="GNR_RES_WTR_NOPMP_MC-03"/>
    <x v="0"/>
    <x v="19"/>
    <n v="160"/>
    <n v="58400"/>
    <n v="210240"/>
  </r>
  <r>
    <x v="0"/>
    <x v="1"/>
    <x v="1"/>
    <x v="7"/>
    <x v="11"/>
    <s v="NO1_A1"/>
    <x v="6"/>
    <x v="7"/>
    <s v="GNR_RES_WTR_NOPMP_MC-03"/>
    <x v="0"/>
    <x v="20"/>
    <n v="160"/>
    <n v="58400"/>
    <n v="210240"/>
  </r>
  <r>
    <x v="0"/>
    <x v="1"/>
    <x v="1"/>
    <x v="7"/>
    <x v="11"/>
    <s v="NO1_A1"/>
    <x v="6"/>
    <x v="7"/>
    <s v="GNR_RES_WTR_NOPMP_MC-04"/>
    <x v="0"/>
    <x v="5"/>
    <n v="160"/>
    <n v="58400"/>
    <n v="210240"/>
  </r>
  <r>
    <x v="0"/>
    <x v="1"/>
    <x v="1"/>
    <x v="7"/>
    <x v="11"/>
    <s v="NO1_A1"/>
    <x v="6"/>
    <x v="7"/>
    <s v="GNR_RES_WTR_NOPMP_MC-04"/>
    <x v="0"/>
    <x v="6"/>
    <n v="160"/>
    <n v="58400"/>
    <n v="210240"/>
  </r>
  <r>
    <x v="0"/>
    <x v="1"/>
    <x v="1"/>
    <x v="7"/>
    <x v="11"/>
    <s v="NO1_A1"/>
    <x v="6"/>
    <x v="7"/>
    <s v="GNR_RES_WTR_NOPMP_MC-04"/>
    <x v="0"/>
    <x v="7"/>
    <n v="160"/>
    <n v="58400"/>
    <n v="210240"/>
  </r>
  <r>
    <x v="0"/>
    <x v="1"/>
    <x v="1"/>
    <x v="7"/>
    <x v="11"/>
    <s v="NO1_A1"/>
    <x v="6"/>
    <x v="7"/>
    <s v="GNR_RES_WTR_NOPMP_MC-04"/>
    <x v="0"/>
    <x v="8"/>
    <n v="160"/>
    <n v="58400"/>
    <n v="210240"/>
  </r>
  <r>
    <x v="0"/>
    <x v="1"/>
    <x v="1"/>
    <x v="7"/>
    <x v="11"/>
    <s v="NO1_A1"/>
    <x v="6"/>
    <x v="7"/>
    <s v="GNR_RES_WTR_NOPMP_MC-04"/>
    <x v="0"/>
    <x v="9"/>
    <n v="160"/>
    <n v="58400"/>
    <n v="210240"/>
  </r>
  <r>
    <x v="0"/>
    <x v="1"/>
    <x v="1"/>
    <x v="7"/>
    <x v="11"/>
    <s v="NO1_A1"/>
    <x v="6"/>
    <x v="7"/>
    <s v="GNR_RES_WTR_NOPMP_MC-04"/>
    <x v="0"/>
    <x v="10"/>
    <n v="160"/>
    <n v="58400"/>
    <n v="210240"/>
  </r>
  <r>
    <x v="0"/>
    <x v="1"/>
    <x v="1"/>
    <x v="7"/>
    <x v="11"/>
    <s v="NO1_A1"/>
    <x v="6"/>
    <x v="7"/>
    <s v="GNR_RES_WTR_NOPMP_MC-04"/>
    <x v="0"/>
    <x v="11"/>
    <n v="160"/>
    <n v="58400"/>
    <n v="210240"/>
  </r>
  <r>
    <x v="0"/>
    <x v="1"/>
    <x v="1"/>
    <x v="7"/>
    <x v="11"/>
    <s v="NO1_A1"/>
    <x v="6"/>
    <x v="7"/>
    <s v="GNR_RES_WTR_NOPMP_MC-04"/>
    <x v="0"/>
    <x v="12"/>
    <n v="160"/>
    <n v="58400"/>
    <n v="210240"/>
  </r>
  <r>
    <x v="0"/>
    <x v="1"/>
    <x v="1"/>
    <x v="7"/>
    <x v="11"/>
    <s v="NO1_A1"/>
    <x v="6"/>
    <x v="7"/>
    <s v="GNR_RES_WTR_NOPMP_MC-04"/>
    <x v="0"/>
    <x v="13"/>
    <n v="160"/>
    <n v="58400"/>
    <n v="210240"/>
  </r>
  <r>
    <x v="0"/>
    <x v="1"/>
    <x v="1"/>
    <x v="7"/>
    <x v="11"/>
    <s v="NO1_A1"/>
    <x v="6"/>
    <x v="7"/>
    <s v="GNR_RES_WTR_NOPMP_MC-04"/>
    <x v="0"/>
    <x v="14"/>
    <n v="160"/>
    <n v="58400"/>
    <n v="210240"/>
  </r>
  <r>
    <x v="0"/>
    <x v="1"/>
    <x v="1"/>
    <x v="7"/>
    <x v="11"/>
    <s v="NO1_A1"/>
    <x v="6"/>
    <x v="7"/>
    <s v="GNR_RES_WTR_NOPMP_MC-04"/>
    <x v="0"/>
    <x v="15"/>
    <n v="160"/>
    <n v="58400"/>
    <n v="210240"/>
  </r>
  <r>
    <x v="0"/>
    <x v="1"/>
    <x v="1"/>
    <x v="7"/>
    <x v="11"/>
    <s v="NO1_A1"/>
    <x v="6"/>
    <x v="7"/>
    <s v="GNR_RES_WTR_NOPMP_MC-04"/>
    <x v="0"/>
    <x v="16"/>
    <n v="160"/>
    <n v="58400"/>
    <n v="210240"/>
  </r>
  <r>
    <x v="0"/>
    <x v="1"/>
    <x v="1"/>
    <x v="7"/>
    <x v="11"/>
    <s v="NO1_A1"/>
    <x v="6"/>
    <x v="7"/>
    <s v="GNR_RES_WTR_NOPMP_MC-04"/>
    <x v="0"/>
    <x v="17"/>
    <n v="160"/>
    <n v="58400"/>
    <n v="210240"/>
  </r>
  <r>
    <x v="0"/>
    <x v="1"/>
    <x v="1"/>
    <x v="7"/>
    <x v="11"/>
    <s v="NO1_A1"/>
    <x v="6"/>
    <x v="7"/>
    <s v="GNR_RES_WTR_NOPMP_MC-04"/>
    <x v="0"/>
    <x v="19"/>
    <n v="96.794992358257105"/>
    <n v="35330.172210763798"/>
    <n v="127188.61995875"/>
  </r>
  <r>
    <x v="0"/>
    <x v="1"/>
    <x v="1"/>
    <x v="7"/>
    <x v="11"/>
    <s v="NO1_A1"/>
    <x v="6"/>
    <x v="7"/>
    <s v="GNR_RES_WTR_NOPMP_MC-05"/>
    <x v="0"/>
    <x v="6"/>
    <n v="160"/>
    <n v="58400"/>
    <n v="210240"/>
  </r>
  <r>
    <x v="0"/>
    <x v="1"/>
    <x v="1"/>
    <x v="7"/>
    <x v="11"/>
    <s v="NO1_A1"/>
    <x v="6"/>
    <x v="7"/>
    <s v="GNR_RES_WTR_NOPMP_MC-05"/>
    <x v="0"/>
    <x v="7"/>
    <n v="160"/>
    <n v="58400"/>
    <n v="210240"/>
  </r>
  <r>
    <x v="0"/>
    <x v="1"/>
    <x v="1"/>
    <x v="7"/>
    <x v="11"/>
    <s v="NO1_A1"/>
    <x v="6"/>
    <x v="7"/>
    <s v="GNR_RES_WTR_NOPMP_MC-05"/>
    <x v="0"/>
    <x v="8"/>
    <n v="160"/>
    <n v="58400"/>
    <n v="210240"/>
  </r>
  <r>
    <x v="0"/>
    <x v="1"/>
    <x v="1"/>
    <x v="7"/>
    <x v="11"/>
    <s v="NO1_A1"/>
    <x v="6"/>
    <x v="7"/>
    <s v="GNR_RES_WTR_NOPMP_MC-05"/>
    <x v="0"/>
    <x v="9"/>
    <n v="160"/>
    <n v="58400"/>
    <n v="210240"/>
  </r>
  <r>
    <x v="0"/>
    <x v="1"/>
    <x v="1"/>
    <x v="7"/>
    <x v="11"/>
    <s v="NO1_A1"/>
    <x v="6"/>
    <x v="7"/>
    <s v="GNR_RES_WTR_NOPMP_MC-06"/>
    <x v="0"/>
    <x v="6"/>
    <n v="160"/>
    <n v="58400"/>
    <n v="210240"/>
  </r>
  <r>
    <x v="0"/>
    <x v="1"/>
    <x v="1"/>
    <x v="7"/>
    <x v="11"/>
    <s v="NO1_A1"/>
    <x v="6"/>
    <x v="7"/>
    <s v="GNR_RES_WTR_NOPMP_MC-06"/>
    <x v="0"/>
    <x v="7"/>
    <n v="160"/>
    <n v="58400"/>
    <n v="210240"/>
  </r>
  <r>
    <x v="0"/>
    <x v="1"/>
    <x v="1"/>
    <x v="7"/>
    <x v="11"/>
    <s v="NO1_A1"/>
    <x v="6"/>
    <x v="7"/>
    <s v="GNR_RES_WTR_NOPMP_MC-06"/>
    <x v="0"/>
    <x v="8"/>
    <n v="160"/>
    <n v="58400"/>
    <n v="210240"/>
  </r>
  <r>
    <x v="0"/>
    <x v="1"/>
    <x v="1"/>
    <x v="7"/>
    <x v="11"/>
    <s v="NO1_A1"/>
    <x v="6"/>
    <x v="7"/>
    <s v="GNR_RES_WTR_NOPMP_MC-07"/>
    <x v="0"/>
    <x v="6"/>
    <n v="160"/>
    <n v="58400"/>
    <n v="210240"/>
  </r>
  <r>
    <x v="0"/>
    <x v="1"/>
    <x v="1"/>
    <x v="7"/>
    <x v="11"/>
    <s v="NO1_A1"/>
    <x v="6"/>
    <x v="7"/>
    <s v="GNR_RES_WTR_NOPMP_MC-07"/>
    <x v="0"/>
    <x v="7"/>
    <n v="160"/>
    <n v="58400"/>
    <n v="210240"/>
  </r>
  <r>
    <x v="0"/>
    <x v="1"/>
    <x v="1"/>
    <x v="7"/>
    <x v="11"/>
    <s v="NO1_A1"/>
    <x v="6"/>
    <x v="7"/>
    <s v="GNR_RES_WTR_NOPMP_MC-07"/>
    <x v="0"/>
    <x v="8"/>
    <n v="62.051051002860198"/>
    <n v="22648.633616044001"/>
    <n v="81535.081017758304"/>
  </r>
  <r>
    <x v="0"/>
    <x v="1"/>
    <x v="1"/>
    <x v="7"/>
    <x v="11"/>
    <s v="NO1_A1"/>
    <x v="6"/>
    <x v="4"/>
    <s v="GNR_ROR_WTR"/>
    <x v="0"/>
    <x v="0"/>
    <n v="962.60204349563003"/>
    <n v="351349.74587590498"/>
    <n v="1264859.08515326"/>
  </r>
  <r>
    <x v="0"/>
    <x v="1"/>
    <x v="1"/>
    <x v="7"/>
    <x v="11"/>
    <s v="NO1_A1"/>
    <x v="6"/>
    <x v="4"/>
    <s v="GNR_ROR_WTR"/>
    <x v="0"/>
    <x v="1"/>
    <n v="962.60204349563003"/>
    <n v="351349.74587590498"/>
    <n v="1264859.08515326"/>
  </r>
  <r>
    <x v="0"/>
    <x v="1"/>
    <x v="1"/>
    <x v="7"/>
    <x v="11"/>
    <s v="NO1_A1"/>
    <x v="6"/>
    <x v="4"/>
    <s v="GNR_ROR_WTR"/>
    <x v="0"/>
    <x v="18"/>
    <n v="962.60204349563003"/>
    <n v="351349.74587590498"/>
    <n v="1264859.08515326"/>
  </r>
  <r>
    <x v="0"/>
    <x v="1"/>
    <x v="1"/>
    <x v="7"/>
    <x v="11"/>
    <s v="NO1_A1"/>
    <x v="6"/>
    <x v="4"/>
    <s v="GNR_ROR_WTR"/>
    <x v="0"/>
    <x v="2"/>
    <n v="962.60204349563003"/>
    <n v="351349.74587590498"/>
    <n v="1264859.08515326"/>
  </r>
  <r>
    <x v="0"/>
    <x v="1"/>
    <x v="1"/>
    <x v="7"/>
    <x v="11"/>
    <s v="NO1_A1"/>
    <x v="6"/>
    <x v="4"/>
    <s v="GNR_ROR_WTR"/>
    <x v="0"/>
    <x v="3"/>
    <n v="962.60204349563003"/>
    <n v="351349.74587590498"/>
    <n v="1264859.08515326"/>
  </r>
  <r>
    <x v="0"/>
    <x v="1"/>
    <x v="1"/>
    <x v="7"/>
    <x v="11"/>
    <s v="NO1_A1"/>
    <x v="6"/>
    <x v="4"/>
    <s v="GNR_ROR_WTR"/>
    <x v="0"/>
    <x v="4"/>
    <n v="962.60204349563003"/>
    <n v="351349.74587590498"/>
    <n v="1264859.08515326"/>
  </r>
  <r>
    <x v="0"/>
    <x v="1"/>
    <x v="1"/>
    <x v="7"/>
    <x v="11"/>
    <s v="NO1_A1"/>
    <x v="6"/>
    <x v="4"/>
    <s v="GNR_ROR_WTR"/>
    <x v="0"/>
    <x v="5"/>
    <n v="962.60204349563003"/>
    <n v="351349.74587590498"/>
    <n v="1264859.08515326"/>
  </r>
  <r>
    <x v="0"/>
    <x v="1"/>
    <x v="1"/>
    <x v="7"/>
    <x v="11"/>
    <s v="NO1_A1"/>
    <x v="6"/>
    <x v="4"/>
    <s v="GNR_ROR_WTR"/>
    <x v="0"/>
    <x v="6"/>
    <n v="962.60204349563003"/>
    <n v="351349.74587590498"/>
    <n v="1264859.08515326"/>
  </r>
  <r>
    <x v="0"/>
    <x v="1"/>
    <x v="1"/>
    <x v="7"/>
    <x v="11"/>
    <s v="NO1_A1"/>
    <x v="6"/>
    <x v="4"/>
    <s v="GNR_ROR_WTR"/>
    <x v="0"/>
    <x v="7"/>
    <n v="962.60204349563003"/>
    <n v="351349.74587590498"/>
    <n v="1264859.08515326"/>
  </r>
  <r>
    <x v="0"/>
    <x v="1"/>
    <x v="1"/>
    <x v="7"/>
    <x v="11"/>
    <s v="NO1_A1"/>
    <x v="6"/>
    <x v="4"/>
    <s v="GNR_ROR_WTR"/>
    <x v="0"/>
    <x v="8"/>
    <n v="962.60204349563003"/>
    <n v="351349.74587590498"/>
    <n v="1264859.08515326"/>
  </r>
  <r>
    <x v="0"/>
    <x v="1"/>
    <x v="1"/>
    <x v="7"/>
    <x v="11"/>
    <s v="NO1_A1"/>
    <x v="6"/>
    <x v="4"/>
    <s v="GNR_ROR_WTR"/>
    <x v="0"/>
    <x v="9"/>
    <n v="962.60204349563003"/>
    <n v="351349.74587590498"/>
    <n v="1264859.08515326"/>
  </r>
  <r>
    <x v="0"/>
    <x v="1"/>
    <x v="1"/>
    <x v="7"/>
    <x v="11"/>
    <s v="NO1_A1"/>
    <x v="6"/>
    <x v="4"/>
    <s v="GNR_ROR_WTR"/>
    <x v="0"/>
    <x v="10"/>
    <n v="962.60204349563003"/>
    <n v="351349.74587590498"/>
    <n v="1264859.08515326"/>
  </r>
  <r>
    <x v="0"/>
    <x v="1"/>
    <x v="1"/>
    <x v="7"/>
    <x v="11"/>
    <s v="NO1_A1"/>
    <x v="6"/>
    <x v="4"/>
    <s v="GNR_ROR_WTR"/>
    <x v="0"/>
    <x v="11"/>
    <n v="962.60204349563003"/>
    <n v="351349.74587590498"/>
    <n v="1264859.08515326"/>
  </r>
  <r>
    <x v="0"/>
    <x v="1"/>
    <x v="1"/>
    <x v="7"/>
    <x v="11"/>
    <s v="NO1_A1"/>
    <x v="6"/>
    <x v="4"/>
    <s v="GNR_ROR_WTR"/>
    <x v="0"/>
    <x v="12"/>
    <n v="962.60204349563003"/>
    <n v="351349.74587590498"/>
    <n v="1264859.08515326"/>
  </r>
  <r>
    <x v="0"/>
    <x v="1"/>
    <x v="1"/>
    <x v="7"/>
    <x v="11"/>
    <s v="NO1_A1"/>
    <x v="6"/>
    <x v="4"/>
    <s v="GNR_ROR_WTR"/>
    <x v="0"/>
    <x v="13"/>
    <n v="962.60204349563003"/>
    <n v="351349.74587590498"/>
    <n v="1264859.08515326"/>
  </r>
  <r>
    <x v="0"/>
    <x v="1"/>
    <x v="1"/>
    <x v="7"/>
    <x v="11"/>
    <s v="NO1_A1"/>
    <x v="6"/>
    <x v="4"/>
    <s v="GNR_ROR_WTR"/>
    <x v="0"/>
    <x v="14"/>
    <n v="962.60204349563003"/>
    <n v="351349.74587590498"/>
    <n v="1264859.08515326"/>
  </r>
  <r>
    <x v="0"/>
    <x v="1"/>
    <x v="1"/>
    <x v="7"/>
    <x v="11"/>
    <s v="NO1_A1"/>
    <x v="6"/>
    <x v="4"/>
    <s v="GNR_ROR_WTR"/>
    <x v="0"/>
    <x v="15"/>
    <n v="962.60204349563003"/>
    <n v="351349.74587590498"/>
    <n v="1264859.08515326"/>
  </r>
  <r>
    <x v="0"/>
    <x v="1"/>
    <x v="1"/>
    <x v="7"/>
    <x v="11"/>
    <s v="NO1_A1"/>
    <x v="6"/>
    <x v="4"/>
    <s v="GNR_ROR_WTR"/>
    <x v="0"/>
    <x v="16"/>
    <n v="962.60204349563003"/>
    <n v="351349.74587590498"/>
    <n v="1264859.08515326"/>
  </r>
  <r>
    <x v="0"/>
    <x v="1"/>
    <x v="1"/>
    <x v="7"/>
    <x v="11"/>
    <s v="NO1_A1"/>
    <x v="6"/>
    <x v="4"/>
    <s v="GNR_ROR_WTR"/>
    <x v="0"/>
    <x v="17"/>
    <n v="962.60204349563003"/>
    <n v="351349.74587590498"/>
    <n v="1264859.08515326"/>
  </r>
  <r>
    <x v="0"/>
    <x v="1"/>
    <x v="1"/>
    <x v="7"/>
    <x v="11"/>
    <s v="NO1_A1"/>
    <x v="6"/>
    <x v="4"/>
    <s v="GNR_ROR_WTR"/>
    <x v="0"/>
    <x v="19"/>
    <n v="962.60204349563003"/>
    <n v="351349.74587590498"/>
    <n v="1264859.08515326"/>
  </r>
  <r>
    <x v="0"/>
    <x v="1"/>
    <x v="1"/>
    <x v="7"/>
    <x v="11"/>
    <s v="NO1_A1"/>
    <x v="6"/>
    <x v="4"/>
    <s v="GNR_ROR_WTR"/>
    <x v="0"/>
    <x v="20"/>
    <n v="962.60204349563003"/>
    <n v="351349.74587590498"/>
    <n v="1264859.08515326"/>
  </r>
  <r>
    <x v="0"/>
    <x v="1"/>
    <x v="1"/>
    <x v="7"/>
    <x v="11"/>
    <s v="NO1_A1"/>
    <x v="6"/>
    <x v="4"/>
    <s v="GNR_ROR_WTR"/>
    <x v="0"/>
    <x v="21"/>
    <n v="962.60204349563003"/>
    <n v="351349.74587590498"/>
    <n v="1264859.08515326"/>
  </r>
  <r>
    <x v="0"/>
    <x v="1"/>
    <x v="1"/>
    <x v="7"/>
    <x v="11"/>
    <s v="NO1_A1"/>
    <x v="6"/>
    <x v="4"/>
    <s v="GNR_ROR_WTR"/>
    <x v="0"/>
    <x v="22"/>
    <n v="962.60204349563003"/>
    <n v="351349.74587590498"/>
    <n v="1264859.08515326"/>
  </r>
  <r>
    <x v="0"/>
    <x v="1"/>
    <x v="1"/>
    <x v="7"/>
    <x v="11"/>
    <s v="NO1_A1"/>
    <x v="6"/>
    <x v="4"/>
    <s v="GNR_ROR_WTR"/>
    <x v="0"/>
    <x v="23"/>
    <n v="962.60204349563003"/>
    <n v="351349.74587590498"/>
    <n v="1264859.08515326"/>
  </r>
  <r>
    <x v="0"/>
    <x v="1"/>
    <x v="1"/>
    <x v="7"/>
    <x v="11"/>
    <s v="NO1_A1"/>
    <x v="7"/>
    <x v="5"/>
    <s v="GNR_WT_WIND_ONS"/>
    <x v="0"/>
    <x v="0"/>
    <n v="91.950459150581906"/>
    <n v="33561.917589962402"/>
    <n v="120822.903323865"/>
  </r>
  <r>
    <x v="0"/>
    <x v="1"/>
    <x v="1"/>
    <x v="7"/>
    <x v="11"/>
    <s v="NO1_A1"/>
    <x v="7"/>
    <x v="5"/>
    <s v="GNR_WT_WIND_ONS"/>
    <x v="0"/>
    <x v="1"/>
    <n v="92.632699630027901"/>
    <n v="33810.935364960198"/>
    <n v="121719.367313857"/>
  </r>
  <r>
    <x v="0"/>
    <x v="1"/>
    <x v="1"/>
    <x v="7"/>
    <x v="11"/>
    <s v="NO1_A1"/>
    <x v="7"/>
    <x v="5"/>
    <s v="GNR_WT_WIND_ONS"/>
    <x v="0"/>
    <x v="18"/>
    <n v="93.472521621745997"/>
    <n v="34117.470391937299"/>
    <n v="122822.89341097399"/>
  </r>
  <r>
    <x v="0"/>
    <x v="1"/>
    <x v="1"/>
    <x v="7"/>
    <x v="11"/>
    <s v="NO1_A1"/>
    <x v="7"/>
    <x v="5"/>
    <s v="GNR_WT_WIND_ONS"/>
    <x v="0"/>
    <x v="2"/>
    <n v="94.476542722052102"/>
    <n v="34483.938093548997"/>
    <n v="124142.177136777"/>
  </r>
  <r>
    <x v="0"/>
    <x v="1"/>
    <x v="1"/>
    <x v="7"/>
    <x v="11"/>
    <s v="NO1_A1"/>
    <x v="7"/>
    <x v="5"/>
    <s v="GNR_WT_WIND_ONS"/>
    <x v="0"/>
    <x v="3"/>
    <n v="94.543484610710493"/>
    <n v="34508.371882909298"/>
    <n v="124230.13877847401"/>
  </r>
  <r>
    <x v="0"/>
    <x v="1"/>
    <x v="1"/>
    <x v="7"/>
    <x v="11"/>
    <s v="NO1_A1"/>
    <x v="7"/>
    <x v="5"/>
    <s v="GNR_WT_WIND_ONS"/>
    <x v="0"/>
    <x v="4"/>
    <n v="95.146482437975905"/>
    <n v="34728.466089861198"/>
    <n v="125022.4779235"/>
  </r>
  <r>
    <x v="0"/>
    <x v="1"/>
    <x v="1"/>
    <x v="7"/>
    <x v="11"/>
    <s v="NO1_A1"/>
    <x v="7"/>
    <x v="5"/>
    <s v="GNR_WT_WIND_ONS"/>
    <x v="0"/>
    <x v="5"/>
    <n v="95.137934709401193"/>
    <n v="34725.346168931399"/>
    <n v="125011.246208153"/>
  </r>
  <r>
    <x v="0"/>
    <x v="1"/>
    <x v="1"/>
    <x v="7"/>
    <x v="11"/>
    <s v="NO1_A1"/>
    <x v="7"/>
    <x v="5"/>
    <s v="GNR_WT_WIND_ONS"/>
    <x v="0"/>
    <x v="6"/>
    <n v="95.163700443205101"/>
    <n v="34734.750661769896"/>
    <n v="125045.102382372"/>
  </r>
  <r>
    <x v="0"/>
    <x v="1"/>
    <x v="1"/>
    <x v="7"/>
    <x v="11"/>
    <s v="NO1_A1"/>
    <x v="7"/>
    <x v="5"/>
    <s v="GNR_WT_WIND_ONS"/>
    <x v="0"/>
    <x v="7"/>
    <n v="94.825942616425095"/>
    <n v="34611.469054995097"/>
    <n v="124601.288597983"/>
  </r>
  <r>
    <x v="0"/>
    <x v="1"/>
    <x v="1"/>
    <x v="7"/>
    <x v="11"/>
    <s v="NO1_A1"/>
    <x v="7"/>
    <x v="5"/>
    <s v="GNR_WT_WIND_ONS"/>
    <x v="0"/>
    <x v="8"/>
    <n v="93.674465538950599"/>
    <n v="34191.179921716997"/>
    <n v="123088.247718181"/>
  </r>
  <r>
    <x v="0"/>
    <x v="1"/>
    <x v="1"/>
    <x v="7"/>
    <x v="11"/>
    <s v="NO1_A1"/>
    <x v="7"/>
    <x v="5"/>
    <s v="GNR_WT_WIND_ONS"/>
    <x v="0"/>
    <x v="9"/>
    <n v="73.995710183289006"/>
    <n v="27008.434216900499"/>
    <n v="97230.363180841698"/>
  </r>
  <r>
    <x v="0"/>
    <x v="1"/>
    <x v="1"/>
    <x v="7"/>
    <x v="11"/>
    <s v="NO1_A1"/>
    <x v="7"/>
    <x v="5"/>
    <s v="GNR_WT_WIND_ONS"/>
    <x v="0"/>
    <x v="10"/>
    <n v="23.4507806601647"/>
    <n v="8559.5349409601004"/>
    <n v="30814.325787456401"/>
  </r>
  <r>
    <x v="0"/>
    <x v="1"/>
    <x v="1"/>
    <x v="7"/>
    <x v="11"/>
    <s v="NO1_A1"/>
    <x v="7"/>
    <x v="5"/>
    <s v="GNR_WT_WIND_ONS"/>
    <x v="0"/>
    <x v="11"/>
    <n v="29.711692057883401"/>
    <n v="10844.7676011274"/>
    <n v="39041.163364058797"/>
  </r>
  <r>
    <x v="0"/>
    <x v="1"/>
    <x v="1"/>
    <x v="7"/>
    <x v="11"/>
    <s v="NO1_A1"/>
    <x v="7"/>
    <x v="5"/>
    <s v="GNR_WT_WIND_ONS"/>
    <x v="0"/>
    <x v="12"/>
    <n v="88.326314145973896"/>
    <n v="32239.104663280501"/>
    <n v="116060.77678781"/>
  </r>
  <r>
    <x v="0"/>
    <x v="1"/>
    <x v="1"/>
    <x v="7"/>
    <x v="11"/>
    <s v="NO1_A1"/>
    <x v="7"/>
    <x v="5"/>
    <s v="GNR_WT_WIND_ONS"/>
    <x v="0"/>
    <x v="13"/>
    <n v="91.013778220193899"/>
    <n v="33220.029050370802"/>
    <n v="119592.10458133501"/>
  </r>
  <r>
    <x v="0"/>
    <x v="1"/>
    <x v="1"/>
    <x v="7"/>
    <x v="11"/>
    <s v="NO1_A1"/>
    <x v="7"/>
    <x v="5"/>
    <s v="GNR_WT_WIND_ONS"/>
    <x v="0"/>
    <x v="14"/>
    <n v="96.691338852005899"/>
    <n v="35292.338680982102"/>
    <n v="127052.419251536"/>
  </r>
  <r>
    <x v="0"/>
    <x v="1"/>
    <x v="1"/>
    <x v="7"/>
    <x v="11"/>
    <s v="NO1_A1"/>
    <x v="7"/>
    <x v="5"/>
    <s v="GNR_WT_WIND_ONS"/>
    <x v="0"/>
    <x v="15"/>
    <n v="90.922924137440404"/>
    <n v="33186.867310165697"/>
    <n v="119472.72231659701"/>
  </r>
  <r>
    <x v="0"/>
    <x v="1"/>
    <x v="1"/>
    <x v="7"/>
    <x v="11"/>
    <s v="NO1_A1"/>
    <x v="7"/>
    <x v="5"/>
    <s v="GNR_WT_WIND_ONS"/>
    <x v="0"/>
    <x v="16"/>
    <n v="94.977396724700895"/>
    <n v="34666.749804515799"/>
    <n v="124800.299296257"/>
  </r>
  <r>
    <x v="0"/>
    <x v="1"/>
    <x v="1"/>
    <x v="7"/>
    <x v="11"/>
    <s v="NO1_A1"/>
    <x v="7"/>
    <x v="5"/>
    <s v="GNR_WT_WIND_ONS"/>
    <x v="0"/>
    <x v="17"/>
    <n v="80.2351537615518"/>
    <n v="29285.8311229664"/>
    <n v="105428.992042679"/>
  </r>
  <r>
    <x v="0"/>
    <x v="1"/>
    <x v="1"/>
    <x v="7"/>
    <x v="11"/>
    <s v="NO1_A1"/>
    <x v="7"/>
    <x v="5"/>
    <s v="GNR_WT_WIND_ONS"/>
    <x v="0"/>
    <x v="19"/>
    <n v="72.598708027687096"/>
    <n v="26498.528430105802"/>
    <n v="95394.702348380801"/>
  </r>
  <r>
    <x v="0"/>
    <x v="1"/>
    <x v="1"/>
    <x v="7"/>
    <x v="11"/>
    <s v="NO1_A1"/>
    <x v="7"/>
    <x v="5"/>
    <s v="GNR_WT_WIND_ONS"/>
    <x v="0"/>
    <x v="20"/>
    <n v="92.706994403481701"/>
    <n v="33838.052957270796"/>
    <n v="121816.99064617501"/>
  </r>
  <r>
    <x v="0"/>
    <x v="1"/>
    <x v="1"/>
    <x v="7"/>
    <x v="11"/>
    <s v="NO1_A1"/>
    <x v="7"/>
    <x v="5"/>
    <s v="GNR_WT_WIND_ONS"/>
    <x v="0"/>
    <x v="21"/>
    <n v="78.9477402264218"/>
    <n v="28815.925182644001"/>
    <n v="103737.330657518"/>
  </r>
  <r>
    <x v="0"/>
    <x v="1"/>
    <x v="1"/>
    <x v="7"/>
    <x v="11"/>
    <s v="NO1_A1"/>
    <x v="7"/>
    <x v="5"/>
    <s v="GNR_WT_WIND_ONS"/>
    <x v="0"/>
    <x v="22"/>
    <n v="89.885738463004898"/>
    <n v="32808.294538996801"/>
    <n v="118109.860340388"/>
  </r>
  <r>
    <x v="0"/>
    <x v="1"/>
    <x v="1"/>
    <x v="7"/>
    <x v="11"/>
    <s v="NO1_A1"/>
    <x v="7"/>
    <x v="5"/>
    <s v="GNR_WT_WIND_ONS"/>
    <x v="0"/>
    <x v="23"/>
    <n v="63.938893915398303"/>
    <n v="23337.696279120399"/>
    <n v="84015.706604833395"/>
  </r>
  <r>
    <x v="0"/>
    <x v="1"/>
    <x v="1"/>
    <x v="7"/>
    <x v="11"/>
    <s v="NO1_A2"/>
    <x v="2"/>
    <x v="2"/>
    <s v="GBPR_MUNIWASTE"/>
    <x v="0"/>
    <x v="0"/>
    <n v="11.0933333333332"/>
    <n v="4049.0666666666202"/>
    <n v="14576.639999999799"/>
  </r>
  <r>
    <x v="0"/>
    <x v="1"/>
    <x v="1"/>
    <x v="7"/>
    <x v="11"/>
    <s v="NO1_A2"/>
    <x v="2"/>
    <x v="2"/>
    <s v="GBPR_MUNIWASTE"/>
    <x v="0"/>
    <x v="1"/>
    <n v="11.0933333333332"/>
    <n v="4049.0666666666202"/>
    <n v="14576.639999999799"/>
  </r>
  <r>
    <x v="0"/>
    <x v="1"/>
    <x v="1"/>
    <x v="7"/>
    <x v="11"/>
    <s v="NO1_A2"/>
    <x v="2"/>
    <x v="2"/>
    <s v="GBPR_MUNIWASTE"/>
    <x v="0"/>
    <x v="18"/>
    <n v="11.0933333333332"/>
    <n v="4049.0666666666202"/>
    <n v="14576.639999999799"/>
  </r>
  <r>
    <x v="0"/>
    <x v="1"/>
    <x v="1"/>
    <x v="7"/>
    <x v="11"/>
    <s v="NO1_A2"/>
    <x v="2"/>
    <x v="2"/>
    <s v="GBPR_MUNIWASTE"/>
    <x v="0"/>
    <x v="2"/>
    <n v="11.0933333333332"/>
    <n v="4049.0666666666202"/>
    <n v="14576.639999999799"/>
  </r>
  <r>
    <x v="0"/>
    <x v="1"/>
    <x v="1"/>
    <x v="7"/>
    <x v="11"/>
    <s v="NO1_A2"/>
    <x v="2"/>
    <x v="2"/>
    <s v="GBPR_MUNIWASTE"/>
    <x v="0"/>
    <x v="3"/>
    <n v="11.0933333333332"/>
    <n v="4049.0666666666202"/>
    <n v="14576.639999999799"/>
  </r>
  <r>
    <x v="0"/>
    <x v="1"/>
    <x v="1"/>
    <x v="7"/>
    <x v="11"/>
    <s v="NO1_A2"/>
    <x v="2"/>
    <x v="2"/>
    <s v="GBPR_MUNIWASTE"/>
    <x v="0"/>
    <x v="4"/>
    <n v="11.0933333333332"/>
    <n v="4049.0666666666202"/>
    <n v="14576.639999999799"/>
  </r>
  <r>
    <x v="0"/>
    <x v="1"/>
    <x v="1"/>
    <x v="7"/>
    <x v="11"/>
    <s v="NO1_A2"/>
    <x v="2"/>
    <x v="2"/>
    <s v="GBPR_MUNIWASTE"/>
    <x v="0"/>
    <x v="5"/>
    <n v="11.0933333333332"/>
    <n v="4049.0666666666202"/>
    <n v="14576.639999999799"/>
  </r>
  <r>
    <x v="0"/>
    <x v="1"/>
    <x v="1"/>
    <x v="7"/>
    <x v="11"/>
    <s v="NO1_A2"/>
    <x v="2"/>
    <x v="2"/>
    <s v="GBPR_MUNIWASTE"/>
    <x v="0"/>
    <x v="6"/>
    <n v="11.0933333333332"/>
    <n v="4049.0666666666202"/>
    <n v="14576.639999999799"/>
  </r>
  <r>
    <x v="0"/>
    <x v="1"/>
    <x v="1"/>
    <x v="7"/>
    <x v="11"/>
    <s v="NO1_A2"/>
    <x v="2"/>
    <x v="2"/>
    <s v="GBPR_MUNIWASTE"/>
    <x v="0"/>
    <x v="7"/>
    <n v="11.0933333333332"/>
    <n v="4049.0666666666202"/>
    <n v="14576.639999999799"/>
  </r>
  <r>
    <x v="0"/>
    <x v="1"/>
    <x v="1"/>
    <x v="7"/>
    <x v="11"/>
    <s v="NO1_A2"/>
    <x v="2"/>
    <x v="2"/>
    <s v="GBPR_MUNIWASTE"/>
    <x v="0"/>
    <x v="8"/>
    <n v="11.0933333333332"/>
    <n v="4049.0666666666202"/>
    <n v="14576.639999999799"/>
  </r>
  <r>
    <x v="0"/>
    <x v="1"/>
    <x v="1"/>
    <x v="7"/>
    <x v="11"/>
    <s v="NO1_A2"/>
    <x v="2"/>
    <x v="2"/>
    <s v="GBPR_MUNIWASTE"/>
    <x v="0"/>
    <x v="9"/>
    <n v="11.0933333333332"/>
    <n v="4049.0666666666202"/>
    <n v="14576.639999999799"/>
  </r>
  <r>
    <x v="0"/>
    <x v="1"/>
    <x v="1"/>
    <x v="7"/>
    <x v="11"/>
    <s v="NO1_A2"/>
    <x v="2"/>
    <x v="2"/>
    <s v="GBPR_MUNIWASTE"/>
    <x v="0"/>
    <x v="10"/>
    <n v="11.0933333333332"/>
    <n v="4049.0666666666202"/>
    <n v="14576.639999999799"/>
  </r>
  <r>
    <x v="0"/>
    <x v="1"/>
    <x v="1"/>
    <x v="7"/>
    <x v="11"/>
    <s v="NO1_A2"/>
    <x v="2"/>
    <x v="2"/>
    <s v="GBPR_MUNIWASTE"/>
    <x v="0"/>
    <x v="11"/>
    <n v="11.0933333333332"/>
    <n v="4049.0666666666202"/>
    <n v="14576.639999999799"/>
  </r>
  <r>
    <x v="0"/>
    <x v="1"/>
    <x v="1"/>
    <x v="7"/>
    <x v="11"/>
    <s v="NO1_A2"/>
    <x v="2"/>
    <x v="2"/>
    <s v="GBPR_MUNIWASTE"/>
    <x v="0"/>
    <x v="12"/>
    <n v="11.0933333333332"/>
    <n v="4049.0666666666202"/>
    <n v="14576.639999999799"/>
  </r>
  <r>
    <x v="0"/>
    <x v="1"/>
    <x v="1"/>
    <x v="7"/>
    <x v="11"/>
    <s v="NO1_A2"/>
    <x v="2"/>
    <x v="2"/>
    <s v="GBPR_MUNIWASTE"/>
    <x v="0"/>
    <x v="13"/>
    <n v="11.0933333333332"/>
    <n v="4049.0666666666202"/>
    <n v="14576.639999999799"/>
  </r>
  <r>
    <x v="0"/>
    <x v="1"/>
    <x v="1"/>
    <x v="7"/>
    <x v="11"/>
    <s v="NO1_A2"/>
    <x v="2"/>
    <x v="2"/>
    <s v="GBPR_MUNIWASTE"/>
    <x v="0"/>
    <x v="14"/>
    <n v="11.0933333333332"/>
    <n v="4049.0666666666202"/>
    <n v="14576.639999999799"/>
  </r>
  <r>
    <x v="0"/>
    <x v="1"/>
    <x v="1"/>
    <x v="7"/>
    <x v="11"/>
    <s v="NO1_A2"/>
    <x v="2"/>
    <x v="2"/>
    <s v="GBPR_MUNIWASTE"/>
    <x v="0"/>
    <x v="15"/>
    <n v="11.0933333333332"/>
    <n v="4049.0666666666202"/>
    <n v="14576.639999999799"/>
  </r>
  <r>
    <x v="0"/>
    <x v="1"/>
    <x v="1"/>
    <x v="7"/>
    <x v="11"/>
    <s v="NO1_A2"/>
    <x v="2"/>
    <x v="2"/>
    <s v="GBPR_MUNIWASTE"/>
    <x v="0"/>
    <x v="16"/>
    <n v="11.0933333333332"/>
    <n v="4049.0666666666202"/>
    <n v="14576.639999999799"/>
  </r>
  <r>
    <x v="0"/>
    <x v="1"/>
    <x v="1"/>
    <x v="7"/>
    <x v="11"/>
    <s v="NO1_A2"/>
    <x v="2"/>
    <x v="2"/>
    <s v="GBPR_MUNIWASTE"/>
    <x v="0"/>
    <x v="17"/>
    <n v="11.0933333333332"/>
    <n v="4049.0666666666202"/>
    <n v="14576.639999999799"/>
  </r>
  <r>
    <x v="0"/>
    <x v="1"/>
    <x v="1"/>
    <x v="7"/>
    <x v="11"/>
    <s v="NO1_A2"/>
    <x v="2"/>
    <x v="2"/>
    <s v="GBPR_MUNIWASTE"/>
    <x v="0"/>
    <x v="19"/>
    <n v="11.0933333333332"/>
    <n v="4049.0666666666202"/>
    <n v="14576.639999999799"/>
  </r>
  <r>
    <x v="0"/>
    <x v="1"/>
    <x v="1"/>
    <x v="7"/>
    <x v="11"/>
    <s v="NO1_A2"/>
    <x v="2"/>
    <x v="2"/>
    <s v="GBPR_MUNIWASTE"/>
    <x v="0"/>
    <x v="20"/>
    <n v="11.0933333333332"/>
    <n v="4049.0666666666202"/>
    <n v="14576.639999999799"/>
  </r>
  <r>
    <x v="0"/>
    <x v="1"/>
    <x v="1"/>
    <x v="7"/>
    <x v="11"/>
    <s v="NO1_A2"/>
    <x v="2"/>
    <x v="2"/>
    <s v="GBPR_MUNIWASTE"/>
    <x v="0"/>
    <x v="21"/>
    <n v="11.0933333333332"/>
    <n v="4049.0666666666202"/>
    <n v="14576.639999999799"/>
  </r>
  <r>
    <x v="0"/>
    <x v="1"/>
    <x v="1"/>
    <x v="7"/>
    <x v="11"/>
    <s v="NO1_A2"/>
    <x v="2"/>
    <x v="2"/>
    <s v="GBPR_MUNIWASTE"/>
    <x v="0"/>
    <x v="22"/>
    <n v="11.0933333333332"/>
    <n v="4049.0666666666202"/>
    <n v="14576.639999999799"/>
  </r>
  <r>
    <x v="0"/>
    <x v="1"/>
    <x v="1"/>
    <x v="7"/>
    <x v="11"/>
    <s v="NO1_A2"/>
    <x v="2"/>
    <x v="2"/>
    <s v="GBPR_MUNIWASTE"/>
    <x v="0"/>
    <x v="23"/>
    <n v="11.0933333333332"/>
    <n v="4049.0666666666202"/>
    <n v="14576.639999999799"/>
  </r>
  <r>
    <x v="0"/>
    <x v="1"/>
    <x v="1"/>
    <x v="7"/>
    <x v="12"/>
    <s v="NO2_A1"/>
    <x v="2"/>
    <x v="2"/>
    <s v="GBPR_MUNIWASTE"/>
    <x v="0"/>
    <x v="0"/>
    <n v="10.8"/>
    <n v="3942"/>
    <n v="14191.2"/>
  </r>
  <r>
    <x v="0"/>
    <x v="1"/>
    <x v="1"/>
    <x v="7"/>
    <x v="12"/>
    <s v="NO2_A1"/>
    <x v="2"/>
    <x v="2"/>
    <s v="GBPR_MUNIWASTE"/>
    <x v="0"/>
    <x v="1"/>
    <n v="10.8"/>
    <n v="3942"/>
    <n v="14191.2"/>
  </r>
  <r>
    <x v="0"/>
    <x v="1"/>
    <x v="1"/>
    <x v="7"/>
    <x v="12"/>
    <s v="NO2_A1"/>
    <x v="2"/>
    <x v="2"/>
    <s v="GBPR_MUNIWASTE"/>
    <x v="0"/>
    <x v="18"/>
    <n v="10.8"/>
    <n v="3942"/>
    <n v="14191.2"/>
  </r>
  <r>
    <x v="0"/>
    <x v="1"/>
    <x v="1"/>
    <x v="7"/>
    <x v="12"/>
    <s v="NO2_A1"/>
    <x v="2"/>
    <x v="2"/>
    <s v="GBPR_MUNIWASTE"/>
    <x v="0"/>
    <x v="2"/>
    <n v="10.8"/>
    <n v="3942"/>
    <n v="14191.2"/>
  </r>
  <r>
    <x v="0"/>
    <x v="1"/>
    <x v="1"/>
    <x v="7"/>
    <x v="12"/>
    <s v="NO2_A1"/>
    <x v="2"/>
    <x v="2"/>
    <s v="GBPR_MUNIWASTE"/>
    <x v="0"/>
    <x v="3"/>
    <n v="10.8"/>
    <n v="3942"/>
    <n v="14191.2"/>
  </r>
  <r>
    <x v="0"/>
    <x v="1"/>
    <x v="1"/>
    <x v="7"/>
    <x v="12"/>
    <s v="NO2_A1"/>
    <x v="2"/>
    <x v="2"/>
    <s v="GBPR_MUNIWASTE"/>
    <x v="0"/>
    <x v="4"/>
    <n v="10.8"/>
    <n v="3942"/>
    <n v="14191.2"/>
  </r>
  <r>
    <x v="0"/>
    <x v="1"/>
    <x v="1"/>
    <x v="7"/>
    <x v="12"/>
    <s v="NO2_A1"/>
    <x v="2"/>
    <x v="2"/>
    <s v="GBPR_MUNIWASTE"/>
    <x v="0"/>
    <x v="5"/>
    <n v="10.8"/>
    <n v="3942"/>
    <n v="14191.2"/>
  </r>
  <r>
    <x v="0"/>
    <x v="1"/>
    <x v="1"/>
    <x v="7"/>
    <x v="12"/>
    <s v="NO2_A1"/>
    <x v="2"/>
    <x v="2"/>
    <s v="GBPR_MUNIWASTE"/>
    <x v="0"/>
    <x v="6"/>
    <n v="10.8"/>
    <n v="3942"/>
    <n v="14191.2"/>
  </r>
  <r>
    <x v="0"/>
    <x v="1"/>
    <x v="1"/>
    <x v="7"/>
    <x v="12"/>
    <s v="NO2_A1"/>
    <x v="2"/>
    <x v="2"/>
    <s v="GBPR_MUNIWASTE"/>
    <x v="0"/>
    <x v="7"/>
    <n v="10.8"/>
    <n v="3942"/>
    <n v="14191.2"/>
  </r>
  <r>
    <x v="0"/>
    <x v="1"/>
    <x v="1"/>
    <x v="7"/>
    <x v="12"/>
    <s v="NO2_A1"/>
    <x v="2"/>
    <x v="2"/>
    <s v="GBPR_MUNIWASTE"/>
    <x v="0"/>
    <x v="8"/>
    <n v="10.8"/>
    <n v="3942"/>
    <n v="14191.2"/>
  </r>
  <r>
    <x v="0"/>
    <x v="1"/>
    <x v="1"/>
    <x v="7"/>
    <x v="12"/>
    <s v="NO2_A1"/>
    <x v="2"/>
    <x v="2"/>
    <s v="GBPR_MUNIWASTE"/>
    <x v="0"/>
    <x v="9"/>
    <n v="10.8"/>
    <n v="3942"/>
    <n v="14191.2"/>
  </r>
  <r>
    <x v="0"/>
    <x v="1"/>
    <x v="1"/>
    <x v="7"/>
    <x v="12"/>
    <s v="NO2_A1"/>
    <x v="2"/>
    <x v="2"/>
    <s v="GBPR_MUNIWASTE"/>
    <x v="0"/>
    <x v="10"/>
    <n v="10.8"/>
    <n v="3942"/>
    <n v="14191.2"/>
  </r>
  <r>
    <x v="0"/>
    <x v="1"/>
    <x v="1"/>
    <x v="7"/>
    <x v="12"/>
    <s v="NO2_A1"/>
    <x v="2"/>
    <x v="2"/>
    <s v="GBPR_MUNIWASTE"/>
    <x v="0"/>
    <x v="11"/>
    <n v="10.8"/>
    <n v="3942"/>
    <n v="14191.2"/>
  </r>
  <r>
    <x v="0"/>
    <x v="1"/>
    <x v="1"/>
    <x v="7"/>
    <x v="12"/>
    <s v="NO2_A1"/>
    <x v="2"/>
    <x v="2"/>
    <s v="GBPR_MUNIWASTE"/>
    <x v="0"/>
    <x v="12"/>
    <n v="10.8"/>
    <n v="3942"/>
    <n v="14191.2"/>
  </r>
  <r>
    <x v="0"/>
    <x v="1"/>
    <x v="1"/>
    <x v="7"/>
    <x v="12"/>
    <s v="NO2_A1"/>
    <x v="2"/>
    <x v="2"/>
    <s v="GBPR_MUNIWASTE"/>
    <x v="0"/>
    <x v="13"/>
    <n v="10.8"/>
    <n v="3942"/>
    <n v="14191.2"/>
  </r>
  <r>
    <x v="0"/>
    <x v="1"/>
    <x v="1"/>
    <x v="7"/>
    <x v="12"/>
    <s v="NO2_A1"/>
    <x v="2"/>
    <x v="2"/>
    <s v="GBPR_MUNIWASTE"/>
    <x v="0"/>
    <x v="14"/>
    <n v="10.8"/>
    <n v="3942"/>
    <n v="14191.2"/>
  </r>
  <r>
    <x v="0"/>
    <x v="1"/>
    <x v="1"/>
    <x v="7"/>
    <x v="12"/>
    <s v="NO2_A1"/>
    <x v="2"/>
    <x v="2"/>
    <s v="GBPR_MUNIWASTE"/>
    <x v="0"/>
    <x v="15"/>
    <n v="10.8"/>
    <n v="3942"/>
    <n v="14191.2"/>
  </r>
  <r>
    <x v="0"/>
    <x v="1"/>
    <x v="1"/>
    <x v="7"/>
    <x v="12"/>
    <s v="NO2_A1"/>
    <x v="2"/>
    <x v="2"/>
    <s v="GBPR_MUNIWASTE"/>
    <x v="0"/>
    <x v="16"/>
    <n v="10.8"/>
    <n v="3942"/>
    <n v="14191.2"/>
  </r>
  <r>
    <x v="0"/>
    <x v="1"/>
    <x v="1"/>
    <x v="7"/>
    <x v="12"/>
    <s v="NO2_A1"/>
    <x v="2"/>
    <x v="2"/>
    <s v="GBPR_MUNIWASTE"/>
    <x v="0"/>
    <x v="17"/>
    <n v="10.8"/>
    <n v="3942"/>
    <n v="14191.2"/>
  </r>
  <r>
    <x v="0"/>
    <x v="1"/>
    <x v="1"/>
    <x v="7"/>
    <x v="12"/>
    <s v="NO2_A1"/>
    <x v="2"/>
    <x v="2"/>
    <s v="GBPR_MUNIWASTE"/>
    <x v="0"/>
    <x v="19"/>
    <n v="10.8"/>
    <n v="3942"/>
    <n v="14191.2"/>
  </r>
  <r>
    <x v="0"/>
    <x v="1"/>
    <x v="1"/>
    <x v="7"/>
    <x v="12"/>
    <s v="NO2_A1"/>
    <x v="2"/>
    <x v="2"/>
    <s v="GBPR_MUNIWASTE"/>
    <x v="0"/>
    <x v="20"/>
    <n v="10.8"/>
    <n v="3942"/>
    <n v="14191.2"/>
  </r>
  <r>
    <x v="0"/>
    <x v="1"/>
    <x v="1"/>
    <x v="7"/>
    <x v="12"/>
    <s v="NO2_A1"/>
    <x v="2"/>
    <x v="2"/>
    <s v="GBPR_MUNIWASTE"/>
    <x v="0"/>
    <x v="21"/>
    <n v="10.8"/>
    <n v="3942"/>
    <n v="14191.2"/>
  </r>
  <r>
    <x v="0"/>
    <x v="1"/>
    <x v="1"/>
    <x v="7"/>
    <x v="12"/>
    <s v="NO2_A1"/>
    <x v="2"/>
    <x v="2"/>
    <s v="GBPR_MUNIWASTE"/>
    <x v="0"/>
    <x v="22"/>
    <n v="10.8"/>
    <n v="3942"/>
    <n v="14191.2"/>
  </r>
  <r>
    <x v="0"/>
    <x v="1"/>
    <x v="1"/>
    <x v="7"/>
    <x v="12"/>
    <s v="NO2_A1"/>
    <x v="2"/>
    <x v="2"/>
    <s v="GBPR_MUNIWASTE"/>
    <x v="0"/>
    <x v="23"/>
    <n v="10.8"/>
    <n v="3942"/>
    <n v="14191.2"/>
  </r>
  <r>
    <x v="0"/>
    <x v="1"/>
    <x v="1"/>
    <x v="7"/>
    <x v="12"/>
    <s v="NO2_A1"/>
    <x v="6"/>
    <x v="7"/>
    <s v="GNR_RES_WTR_NOPMP_MC-01"/>
    <x v="0"/>
    <x v="0"/>
    <n v="367.19205575436598"/>
    <n v="134025.100350344"/>
    <n v="482490.36126123701"/>
  </r>
  <r>
    <x v="0"/>
    <x v="1"/>
    <x v="1"/>
    <x v="7"/>
    <x v="12"/>
    <s v="NO2_A1"/>
    <x v="6"/>
    <x v="7"/>
    <s v="GNR_RES_WTR_NOPMP_MC-01"/>
    <x v="0"/>
    <x v="1"/>
    <n v="367.19205575436598"/>
    <n v="134025.100350344"/>
    <n v="482490.36126123701"/>
  </r>
  <r>
    <x v="0"/>
    <x v="1"/>
    <x v="1"/>
    <x v="7"/>
    <x v="12"/>
    <s v="NO2_A1"/>
    <x v="6"/>
    <x v="7"/>
    <s v="GNR_RES_WTR_NOPMP_MC-01"/>
    <x v="0"/>
    <x v="18"/>
    <n v="367.19205575436598"/>
    <n v="134025.100350344"/>
    <n v="482490.36126123701"/>
  </r>
  <r>
    <x v="0"/>
    <x v="1"/>
    <x v="1"/>
    <x v="7"/>
    <x v="12"/>
    <s v="NO2_A1"/>
    <x v="6"/>
    <x v="7"/>
    <s v="GNR_RES_WTR_NOPMP_MC-01"/>
    <x v="0"/>
    <x v="2"/>
    <n v="367.19205575436598"/>
    <n v="134025.100350344"/>
    <n v="482490.36126123701"/>
  </r>
  <r>
    <x v="0"/>
    <x v="1"/>
    <x v="1"/>
    <x v="7"/>
    <x v="12"/>
    <s v="NO2_A1"/>
    <x v="6"/>
    <x v="7"/>
    <s v="GNR_RES_WTR_NOPMP_MC-01"/>
    <x v="0"/>
    <x v="3"/>
    <n v="367.19205575436598"/>
    <n v="134025.100350344"/>
    <n v="482490.36126123701"/>
  </r>
  <r>
    <x v="0"/>
    <x v="1"/>
    <x v="1"/>
    <x v="7"/>
    <x v="12"/>
    <s v="NO2_A1"/>
    <x v="6"/>
    <x v="7"/>
    <s v="GNR_RES_WTR_NOPMP_MC-01"/>
    <x v="0"/>
    <x v="4"/>
    <n v="367.19205575436598"/>
    <n v="134025.100350344"/>
    <n v="482490.36126123701"/>
  </r>
  <r>
    <x v="0"/>
    <x v="1"/>
    <x v="1"/>
    <x v="7"/>
    <x v="12"/>
    <s v="NO2_A1"/>
    <x v="6"/>
    <x v="7"/>
    <s v="GNR_RES_WTR_NOPMP_MC-01"/>
    <x v="0"/>
    <x v="5"/>
    <n v="367.19205575436598"/>
    <n v="134025.100350344"/>
    <n v="482490.36126123701"/>
  </r>
  <r>
    <x v="0"/>
    <x v="1"/>
    <x v="1"/>
    <x v="7"/>
    <x v="12"/>
    <s v="NO2_A1"/>
    <x v="6"/>
    <x v="7"/>
    <s v="GNR_RES_WTR_NOPMP_MC-01"/>
    <x v="0"/>
    <x v="6"/>
    <n v="367.19205575436598"/>
    <n v="134025.100350344"/>
    <n v="482490.36126123701"/>
  </r>
  <r>
    <x v="0"/>
    <x v="1"/>
    <x v="1"/>
    <x v="7"/>
    <x v="12"/>
    <s v="NO2_A1"/>
    <x v="6"/>
    <x v="7"/>
    <s v="GNR_RES_WTR_NOPMP_MC-01"/>
    <x v="0"/>
    <x v="7"/>
    <n v="367.19205575436598"/>
    <n v="134025.100350344"/>
    <n v="482490.36126123701"/>
  </r>
  <r>
    <x v="0"/>
    <x v="1"/>
    <x v="1"/>
    <x v="7"/>
    <x v="12"/>
    <s v="NO2_A1"/>
    <x v="6"/>
    <x v="7"/>
    <s v="GNR_RES_WTR_NOPMP_MC-01"/>
    <x v="0"/>
    <x v="8"/>
    <n v="367.19205575436598"/>
    <n v="134025.100350344"/>
    <n v="482490.36126123701"/>
  </r>
  <r>
    <x v="0"/>
    <x v="1"/>
    <x v="1"/>
    <x v="7"/>
    <x v="12"/>
    <s v="NO2_A1"/>
    <x v="6"/>
    <x v="7"/>
    <s v="GNR_RES_WTR_NOPMP_MC-01"/>
    <x v="0"/>
    <x v="9"/>
    <n v="367.19205575436598"/>
    <n v="134025.100350344"/>
    <n v="482490.36126123701"/>
  </r>
  <r>
    <x v="0"/>
    <x v="1"/>
    <x v="1"/>
    <x v="7"/>
    <x v="12"/>
    <s v="NO2_A1"/>
    <x v="6"/>
    <x v="7"/>
    <s v="GNR_RES_WTR_NOPMP_MC-01"/>
    <x v="0"/>
    <x v="10"/>
    <n v="367.19205575436598"/>
    <n v="134025.100350344"/>
    <n v="482490.36126123701"/>
  </r>
  <r>
    <x v="0"/>
    <x v="1"/>
    <x v="1"/>
    <x v="7"/>
    <x v="12"/>
    <s v="NO2_A1"/>
    <x v="6"/>
    <x v="7"/>
    <s v="GNR_RES_WTR_NOPMP_MC-01"/>
    <x v="0"/>
    <x v="11"/>
    <n v="367.19205575436598"/>
    <n v="134025.100350344"/>
    <n v="482490.36126123701"/>
  </r>
  <r>
    <x v="0"/>
    <x v="1"/>
    <x v="1"/>
    <x v="7"/>
    <x v="12"/>
    <s v="NO2_A1"/>
    <x v="6"/>
    <x v="7"/>
    <s v="GNR_RES_WTR_NOPMP_MC-01"/>
    <x v="0"/>
    <x v="12"/>
    <n v="367.19205575436598"/>
    <n v="134025.100350344"/>
    <n v="482490.36126123701"/>
  </r>
  <r>
    <x v="0"/>
    <x v="1"/>
    <x v="1"/>
    <x v="7"/>
    <x v="12"/>
    <s v="NO2_A1"/>
    <x v="6"/>
    <x v="7"/>
    <s v="GNR_RES_WTR_NOPMP_MC-01"/>
    <x v="0"/>
    <x v="13"/>
    <n v="367.19205575436598"/>
    <n v="134025.100350344"/>
    <n v="482490.36126123701"/>
  </r>
  <r>
    <x v="0"/>
    <x v="1"/>
    <x v="1"/>
    <x v="7"/>
    <x v="12"/>
    <s v="NO2_A1"/>
    <x v="6"/>
    <x v="7"/>
    <s v="GNR_RES_WTR_NOPMP_MC-01"/>
    <x v="0"/>
    <x v="14"/>
    <n v="367.19205575436598"/>
    <n v="134025.100350344"/>
    <n v="482490.36126123701"/>
  </r>
  <r>
    <x v="0"/>
    <x v="1"/>
    <x v="1"/>
    <x v="7"/>
    <x v="12"/>
    <s v="NO2_A1"/>
    <x v="6"/>
    <x v="7"/>
    <s v="GNR_RES_WTR_NOPMP_MC-01"/>
    <x v="0"/>
    <x v="15"/>
    <n v="367.19205575436598"/>
    <n v="134025.100350344"/>
    <n v="482490.36126123701"/>
  </r>
  <r>
    <x v="0"/>
    <x v="1"/>
    <x v="1"/>
    <x v="7"/>
    <x v="12"/>
    <s v="NO2_A1"/>
    <x v="6"/>
    <x v="7"/>
    <s v="GNR_RES_WTR_NOPMP_MC-01"/>
    <x v="0"/>
    <x v="16"/>
    <n v="367.19205575436598"/>
    <n v="134025.100350344"/>
    <n v="482490.36126123701"/>
  </r>
  <r>
    <x v="0"/>
    <x v="1"/>
    <x v="1"/>
    <x v="7"/>
    <x v="12"/>
    <s v="NO2_A1"/>
    <x v="6"/>
    <x v="7"/>
    <s v="GNR_RES_WTR_NOPMP_MC-01"/>
    <x v="0"/>
    <x v="17"/>
    <n v="367.19205575436598"/>
    <n v="134025.100350344"/>
    <n v="482490.36126123701"/>
  </r>
  <r>
    <x v="0"/>
    <x v="1"/>
    <x v="1"/>
    <x v="7"/>
    <x v="12"/>
    <s v="NO2_A1"/>
    <x v="6"/>
    <x v="7"/>
    <s v="GNR_RES_WTR_NOPMP_MC-01"/>
    <x v="0"/>
    <x v="19"/>
    <n v="367.19205575436598"/>
    <n v="134025.100350344"/>
    <n v="482490.36126123701"/>
  </r>
  <r>
    <x v="0"/>
    <x v="1"/>
    <x v="1"/>
    <x v="7"/>
    <x v="12"/>
    <s v="NO2_A1"/>
    <x v="6"/>
    <x v="7"/>
    <s v="GNR_RES_WTR_NOPMP_MC-01"/>
    <x v="0"/>
    <x v="20"/>
    <n v="367.19205575436598"/>
    <n v="134025.100350344"/>
    <n v="482490.36126123701"/>
  </r>
  <r>
    <x v="0"/>
    <x v="1"/>
    <x v="1"/>
    <x v="7"/>
    <x v="12"/>
    <s v="NO2_A1"/>
    <x v="6"/>
    <x v="7"/>
    <s v="GNR_RES_WTR_NOPMP_MC-01"/>
    <x v="0"/>
    <x v="21"/>
    <n v="367.19205575436598"/>
    <n v="134025.100350344"/>
    <n v="482490.36126123701"/>
  </r>
  <r>
    <x v="0"/>
    <x v="1"/>
    <x v="1"/>
    <x v="7"/>
    <x v="12"/>
    <s v="NO2_A1"/>
    <x v="6"/>
    <x v="7"/>
    <s v="GNR_RES_WTR_NOPMP_MC-01"/>
    <x v="0"/>
    <x v="22"/>
    <n v="367.19205575436598"/>
    <n v="134025.100350344"/>
    <n v="482490.36126123701"/>
  </r>
  <r>
    <x v="0"/>
    <x v="1"/>
    <x v="1"/>
    <x v="7"/>
    <x v="12"/>
    <s v="NO2_A1"/>
    <x v="6"/>
    <x v="7"/>
    <s v="GNR_RES_WTR_NOPMP_MC-01"/>
    <x v="0"/>
    <x v="23"/>
    <n v="367.19205575436598"/>
    <n v="134025.100350344"/>
    <n v="482490.36126123701"/>
  </r>
  <r>
    <x v="0"/>
    <x v="1"/>
    <x v="1"/>
    <x v="7"/>
    <x v="12"/>
    <s v="NO2_A1"/>
    <x v="6"/>
    <x v="7"/>
    <s v="GNR_RES_WTR_NOPMP_MC-02"/>
    <x v="0"/>
    <x v="0"/>
    <n v="887.19205575436604"/>
    <n v="323825.10035034397"/>
    <n v="1165770.36126124"/>
  </r>
  <r>
    <x v="0"/>
    <x v="1"/>
    <x v="1"/>
    <x v="7"/>
    <x v="12"/>
    <s v="NO2_A1"/>
    <x v="6"/>
    <x v="7"/>
    <s v="GNR_RES_WTR_NOPMP_MC-02"/>
    <x v="0"/>
    <x v="1"/>
    <n v="887.19205575436604"/>
    <n v="323825.10035034397"/>
    <n v="1165770.36126124"/>
  </r>
  <r>
    <x v="0"/>
    <x v="1"/>
    <x v="1"/>
    <x v="7"/>
    <x v="12"/>
    <s v="NO2_A1"/>
    <x v="6"/>
    <x v="7"/>
    <s v="GNR_RES_WTR_NOPMP_MC-02"/>
    <x v="0"/>
    <x v="18"/>
    <n v="887.19205575436604"/>
    <n v="323825.10035034397"/>
    <n v="1165770.36126124"/>
  </r>
  <r>
    <x v="0"/>
    <x v="1"/>
    <x v="1"/>
    <x v="7"/>
    <x v="12"/>
    <s v="NO2_A1"/>
    <x v="6"/>
    <x v="7"/>
    <s v="GNR_RES_WTR_NOPMP_MC-02"/>
    <x v="0"/>
    <x v="2"/>
    <n v="887.19205575436604"/>
    <n v="323825.10035034397"/>
    <n v="1165770.36126124"/>
  </r>
  <r>
    <x v="0"/>
    <x v="1"/>
    <x v="1"/>
    <x v="7"/>
    <x v="12"/>
    <s v="NO2_A1"/>
    <x v="6"/>
    <x v="7"/>
    <s v="GNR_RES_WTR_NOPMP_MC-02"/>
    <x v="0"/>
    <x v="3"/>
    <n v="887.19205575436604"/>
    <n v="323825.10035034397"/>
    <n v="1165770.36126124"/>
  </r>
  <r>
    <x v="0"/>
    <x v="1"/>
    <x v="1"/>
    <x v="7"/>
    <x v="12"/>
    <s v="NO2_A1"/>
    <x v="6"/>
    <x v="7"/>
    <s v="GNR_RES_WTR_NOPMP_MC-02"/>
    <x v="0"/>
    <x v="4"/>
    <n v="887.19205575436604"/>
    <n v="323825.10035034397"/>
    <n v="1165770.36126124"/>
  </r>
  <r>
    <x v="0"/>
    <x v="1"/>
    <x v="1"/>
    <x v="7"/>
    <x v="12"/>
    <s v="NO2_A1"/>
    <x v="6"/>
    <x v="7"/>
    <s v="GNR_RES_WTR_NOPMP_MC-02"/>
    <x v="0"/>
    <x v="5"/>
    <n v="887.19205575436604"/>
    <n v="323825.10035034397"/>
    <n v="1165770.36126124"/>
  </r>
  <r>
    <x v="0"/>
    <x v="1"/>
    <x v="1"/>
    <x v="7"/>
    <x v="12"/>
    <s v="NO2_A1"/>
    <x v="6"/>
    <x v="7"/>
    <s v="GNR_RES_WTR_NOPMP_MC-02"/>
    <x v="0"/>
    <x v="6"/>
    <n v="887.19205575436604"/>
    <n v="323825.10035034397"/>
    <n v="1165770.36126124"/>
  </r>
  <r>
    <x v="0"/>
    <x v="1"/>
    <x v="1"/>
    <x v="7"/>
    <x v="12"/>
    <s v="NO2_A1"/>
    <x v="6"/>
    <x v="7"/>
    <s v="GNR_RES_WTR_NOPMP_MC-02"/>
    <x v="0"/>
    <x v="7"/>
    <n v="887.19205575436604"/>
    <n v="323825.10035034397"/>
    <n v="1165770.36126124"/>
  </r>
  <r>
    <x v="0"/>
    <x v="1"/>
    <x v="1"/>
    <x v="7"/>
    <x v="12"/>
    <s v="NO2_A1"/>
    <x v="6"/>
    <x v="7"/>
    <s v="GNR_RES_WTR_NOPMP_MC-02"/>
    <x v="0"/>
    <x v="8"/>
    <n v="887.19205575436604"/>
    <n v="323825.10035034397"/>
    <n v="1165770.36126124"/>
  </r>
  <r>
    <x v="0"/>
    <x v="1"/>
    <x v="1"/>
    <x v="7"/>
    <x v="12"/>
    <s v="NO2_A1"/>
    <x v="6"/>
    <x v="7"/>
    <s v="GNR_RES_WTR_NOPMP_MC-02"/>
    <x v="0"/>
    <x v="9"/>
    <n v="887.19205575436604"/>
    <n v="323825.10035034397"/>
    <n v="1165770.36126124"/>
  </r>
  <r>
    <x v="0"/>
    <x v="1"/>
    <x v="1"/>
    <x v="7"/>
    <x v="12"/>
    <s v="NO2_A1"/>
    <x v="6"/>
    <x v="7"/>
    <s v="GNR_RES_WTR_NOPMP_MC-02"/>
    <x v="0"/>
    <x v="10"/>
    <n v="887.19205575436604"/>
    <n v="323825.10035034397"/>
    <n v="1165770.36126124"/>
  </r>
  <r>
    <x v="0"/>
    <x v="1"/>
    <x v="1"/>
    <x v="7"/>
    <x v="12"/>
    <s v="NO2_A1"/>
    <x v="6"/>
    <x v="7"/>
    <s v="GNR_RES_WTR_NOPMP_MC-02"/>
    <x v="0"/>
    <x v="11"/>
    <n v="887.19205575436604"/>
    <n v="323825.10035034397"/>
    <n v="1165770.36126124"/>
  </r>
  <r>
    <x v="0"/>
    <x v="1"/>
    <x v="1"/>
    <x v="7"/>
    <x v="12"/>
    <s v="NO2_A1"/>
    <x v="6"/>
    <x v="7"/>
    <s v="GNR_RES_WTR_NOPMP_MC-02"/>
    <x v="0"/>
    <x v="12"/>
    <n v="887.19205575436604"/>
    <n v="323825.10035034397"/>
    <n v="1165770.36126124"/>
  </r>
  <r>
    <x v="0"/>
    <x v="1"/>
    <x v="1"/>
    <x v="7"/>
    <x v="12"/>
    <s v="NO2_A1"/>
    <x v="6"/>
    <x v="7"/>
    <s v="GNR_RES_WTR_NOPMP_MC-02"/>
    <x v="0"/>
    <x v="13"/>
    <n v="887.19205575436604"/>
    <n v="323825.10035034397"/>
    <n v="1165770.36126124"/>
  </r>
  <r>
    <x v="0"/>
    <x v="1"/>
    <x v="1"/>
    <x v="7"/>
    <x v="12"/>
    <s v="NO2_A1"/>
    <x v="6"/>
    <x v="7"/>
    <s v="GNR_RES_WTR_NOPMP_MC-02"/>
    <x v="0"/>
    <x v="14"/>
    <n v="887.19205575436604"/>
    <n v="323825.10035034397"/>
    <n v="1165770.36126124"/>
  </r>
  <r>
    <x v="0"/>
    <x v="1"/>
    <x v="1"/>
    <x v="7"/>
    <x v="12"/>
    <s v="NO2_A1"/>
    <x v="6"/>
    <x v="7"/>
    <s v="GNR_RES_WTR_NOPMP_MC-02"/>
    <x v="0"/>
    <x v="15"/>
    <n v="887.19205575436604"/>
    <n v="323825.10035034397"/>
    <n v="1165770.36126124"/>
  </r>
  <r>
    <x v="0"/>
    <x v="1"/>
    <x v="1"/>
    <x v="7"/>
    <x v="12"/>
    <s v="NO2_A1"/>
    <x v="6"/>
    <x v="7"/>
    <s v="GNR_RES_WTR_NOPMP_MC-02"/>
    <x v="0"/>
    <x v="16"/>
    <n v="887.19205575436604"/>
    <n v="323825.10035034397"/>
    <n v="1165770.36126124"/>
  </r>
  <r>
    <x v="0"/>
    <x v="1"/>
    <x v="1"/>
    <x v="7"/>
    <x v="12"/>
    <s v="NO2_A1"/>
    <x v="6"/>
    <x v="7"/>
    <s v="GNR_RES_WTR_NOPMP_MC-02"/>
    <x v="0"/>
    <x v="17"/>
    <n v="887.19205575436604"/>
    <n v="323825.10035034397"/>
    <n v="1165770.36126124"/>
  </r>
  <r>
    <x v="0"/>
    <x v="1"/>
    <x v="1"/>
    <x v="7"/>
    <x v="12"/>
    <s v="NO2_A1"/>
    <x v="6"/>
    <x v="7"/>
    <s v="GNR_RES_WTR_NOPMP_MC-02"/>
    <x v="0"/>
    <x v="19"/>
    <n v="887.19205575436604"/>
    <n v="323825.10035034397"/>
    <n v="1165770.36126124"/>
  </r>
  <r>
    <x v="0"/>
    <x v="1"/>
    <x v="1"/>
    <x v="7"/>
    <x v="12"/>
    <s v="NO2_A1"/>
    <x v="6"/>
    <x v="7"/>
    <s v="GNR_RES_WTR_NOPMP_MC-02"/>
    <x v="0"/>
    <x v="20"/>
    <n v="887.19205575436604"/>
    <n v="323825.10035034397"/>
    <n v="1165770.36126124"/>
  </r>
  <r>
    <x v="0"/>
    <x v="1"/>
    <x v="1"/>
    <x v="7"/>
    <x v="12"/>
    <s v="NO2_A1"/>
    <x v="6"/>
    <x v="7"/>
    <s v="GNR_RES_WTR_NOPMP_MC-02"/>
    <x v="0"/>
    <x v="21"/>
    <n v="887.19205575436604"/>
    <n v="323825.10035034397"/>
    <n v="1165770.36126124"/>
  </r>
  <r>
    <x v="0"/>
    <x v="1"/>
    <x v="1"/>
    <x v="7"/>
    <x v="12"/>
    <s v="NO2_A1"/>
    <x v="6"/>
    <x v="7"/>
    <s v="GNR_RES_WTR_NOPMP_MC-02"/>
    <x v="0"/>
    <x v="22"/>
    <n v="887.19205575436604"/>
    <n v="323825.10035034397"/>
    <n v="1165770.36126124"/>
  </r>
  <r>
    <x v="0"/>
    <x v="1"/>
    <x v="1"/>
    <x v="7"/>
    <x v="12"/>
    <s v="NO2_A1"/>
    <x v="6"/>
    <x v="7"/>
    <s v="GNR_RES_WTR_NOPMP_MC-02"/>
    <x v="0"/>
    <x v="23"/>
    <n v="887.19205575436604"/>
    <n v="323825.10035034397"/>
    <n v="1165770.36126124"/>
  </r>
  <r>
    <x v="0"/>
    <x v="1"/>
    <x v="1"/>
    <x v="7"/>
    <x v="12"/>
    <s v="NO2_A1"/>
    <x v="6"/>
    <x v="7"/>
    <s v="GNR_RES_WTR_NOPMP_MC-03"/>
    <x v="0"/>
    <x v="0"/>
    <n v="887.19205575436604"/>
    <n v="323825.10035034397"/>
    <n v="1165770.36126124"/>
  </r>
  <r>
    <x v="0"/>
    <x v="1"/>
    <x v="1"/>
    <x v="7"/>
    <x v="12"/>
    <s v="NO2_A1"/>
    <x v="6"/>
    <x v="7"/>
    <s v="GNR_RES_WTR_NOPMP_MC-03"/>
    <x v="0"/>
    <x v="1"/>
    <n v="887.19205575436604"/>
    <n v="323825.10035034397"/>
    <n v="1165770.36126124"/>
  </r>
  <r>
    <x v="0"/>
    <x v="1"/>
    <x v="1"/>
    <x v="7"/>
    <x v="12"/>
    <s v="NO2_A1"/>
    <x v="6"/>
    <x v="7"/>
    <s v="GNR_RES_WTR_NOPMP_MC-03"/>
    <x v="0"/>
    <x v="18"/>
    <n v="887.19205575436604"/>
    <n v="323825.10035034397"/>
    <n v="1165770.36126124"/>
  </r>
  <r>
    <x v="0"/>
    <x v="1"/>
    <x v="1"/>
    <x v="7"/>
    <x v="12"/>
    <s v="NO2_A1"/>
    <x v="6"/>
    <x v="7"/>
    <s v="GNR_RES_WTR_NOPMP_MC-03"/>
    <x v="0"/>
    <x v="2"/>
    <n v="887.19205575436604"/>
    <n v="323825.10035034397"/>
    <n v="1165770.36126124"/>
  </r>
  <r>
    <x v="0"/>
    <x v="1"/>
    <x v="1"/>
    <x v="7"/>
    <x v="12"/>
    <s v="NO2_A1"/>
    <x v="6"/>
    <x v="7"/>
    <s v="GNR_RES_WTR_NOPMP_MC-03"/>
    <x v="0"/>
    <x v="3"/>
    <n v="887.19205575436604"/>
    <n v="323825.10035034397"/>
    <n v="1165770.36126124"/>
  </r>
  <r>
    <x v="0"/>
    <x v="1"/>
    <x v="1"/>
    <x v="7"/>
    <x v="12"/>
    <s v="NO2_A1"/>
    <x v="6"/>
    <x v="7"/>
    <s v="GNR_RES_WTR_NOPMP_MC-03"/>
    <x v="0"/>
    <x v="4"/>
    <n v="887.19205575436604"/>
    <n v="323825.10035034397"/>
    <n v="1165770.36126124"/>
  </r>
  <r>
    <x v="0"/>
    <x v="1"/>
    <x v="1"/>
    <x v="7"/>
    <x v="12"/>
    <s v="NO2_A1"/>
    <x v="6"/>
    <x v="7"/>
    <s v="GNR_RES_WTR_NOPMP_MC-03"/>
    <x v="0"/>
    <x v="5"/>
    <n v="887.19205575436604"/>
    <n v="323825.10035034397"/>
    <n v="1165770.36126124"/>
  </r>
  <r>
    <x v="0"/>
    <x v="1"/>
    <x v="1"/>
    <x v="7"/>
    <x v="12"/>
    <s v="NO2_A1"/>
    <x v="6"/>
    <x v="7"/>
    <s v="GNR_RES_WTR_NOPMP_MC-03"/>
    <x v="0"/>
    <x v="6"/>
    <n v="887.19205575436604"/>
    <n v="323825.10035034397"/>
    <n v="1165770.36126124"/>
  </r>
  <r>
    <x v="0"/>
    <x v="1"/>
    <x v="1"/>
    <x v="7"/>
    <x v="12"/>
    <s v="NO2_A1"/>
    <x v="6"/>
    <x v="7"/>
    <s v="GNR_RES_WTR_NOPMP_MC-03"/>
    <x v="0"/>
    <x v="7"/>
    <n v="887.19205575436604"/>
    <n v="323825.10035034397"/>
    <n v="1165770.36126124"/>
  </r>
  <r>
    <x v="0"/>
    <x v="1"/>
    <x v="1"/>
    <x v="7"/>
    <x v="12"/>
    <s v="NO2_A1"/>
    <x v="6"/>
    <x v="7"/>
    <s v="GNR_RES_WTR_NOPMP_MC-03"/>
    <x v="0"/>
    <x v="8"/>
    <n v="887.19205575436604"/>
    <n v="323825.10035034397"/>
    <n v="1165770.36126124"/>
  </r>
  <r>
    <x v="0"/>
    <x v="1"/>
    <x v="1"/>
    <x v="7"/>
    <x v="12"/>
    <s v="NO2_A1"/>
    <x v="6"/>
    <x v="7"/>
    <s v="GNR_RES_WTR_NOPMP_MC-03"/>
    <x v="0"/>
    <x v="9"/>
    <n v="887.19205575436604"/>
    <n v="323825.10035034397"/>
    <n v="1165770.36126124"/>
  </r>
  <r>
    <x v="0"/>
    <x v="1"/>
    <x v="1"/>
    <x v="7"/>
    <x v="12"/>
    <s v="NO2_A1"/>
    <x v="6"/>
    <x v="7"/>
    <s v="GNR_RES_WTR_NOPMP_MC-03"/>
    <x v="0"/>
    <x v="10"/>
    <n v="887.19205575436604"/>
    <n v="323825.10035034397"/>
    <n v="1165770.36126124"/>
  </r>
  <r>
    <x v="0"/>
    <x v="1"/>
    <x v="1"/>
    <x v="7"/>
    <x v="12"/>
    <s v="NO2_A1"/>
    <x v="6"/>
    <x v="7"/>
    <s v="GNR_RES_WTR_NOPMP_MC-03"/>
    <x v="0"/>
    <x v="11"/>
    <n v="887.19205575436604"/>
    <n v="323825.10035034397"/>
    <n v="1165770.36126124"/>
  </r>
  <r>
    <x v="0"/>
    <x v="1"/>
    <x v="1"/>
    <x v="7"/>
    <x v="12"/>
    <s v="NO2_A1"/>
    <x v="6"/>
    <x v="7"/>
    <s v="GNR_RES_WTR_NOPMP_MC-03"/>
    <x v="0"/>
    <x v="12"/>
    <n v="887.19205575436604"/>
    <n v="323825.10035034397"/>
    <n v="1165770.36126124"/>
  </r>
  <r>
    <x v="0"/>
    <x v="1"/>
    <x v="1"/>
    <x v="7"/>
    <x v="12"/>
    <s v="NO2_A1"/>
    <x v="6"/>
    <x v="7"/>
    <s v="GNR_RES_WTR_NOPMP_MC-03"/>
    <x v="0"/>
    <x v="13"/>
    <n v="887.19205575436604"/>
    <n v="323825.10035034397"/>
    <n v="1165770.36126124"/>
  </r>
  <r>
    <x v="0"/>
    <x v="1"/>
    <x v="1"/>
    <x v="7"/>
    <x v="12"/>
    <s v="NO2_A1"/>
    <x v="6"/>
    <x v="7"/>
    <s v="GNR_RES_WTR_NOPMP_MC-03"/>
    <x v="0"/>
    <x v="14"/>
    <n v="887.19205575436604"/>
    <n v="323825.10035034397"/>
    <n v="1165770.36126124"/>
  </r>
  <r>
    <x v="0"/>
    <x v="1"/>
    <x v="1"/>
    <x v="7"/>
    <x v="12"/>
    <s v="NO2_A1"/>
    <x v="6"/>
    <x v="7"/>
    <s v="GNR_RES_WTR_NOPMP_MC-03"/>
    <x v="0"/>
    <x v="15"/>
    <n v="887.19205575436604"/>
    <n v="323825.10035034397"/>
    <n v="1165770.36126124"/>
  </r>
  <r>
    <x v="0"/>
    <x v="1"/>
    <x v="1"/>
    <x v="7"/>
    <x v="12"/>
    <s v="NO2_A1"/>
    <x v="6"/>
    <x v="7"/>
    <s v="GNR_RES_WTR_NOPMP_MC-03"/>
    <x v="0"/>
    <x v="16"/>
    <n v="887.19205575436604"/>
    <n v="323825.10035034397"/>
    <n v="1165770.36126124"/>
  </r>
  <r>
    <x v="0"/>
    <x v="1"/>
    <x v="1"/>
    <x v="7"/>
    <x v="12"/>
    <s v="NO2_A1"/>
    <x v="6"/>
    <x v="7"/>
    <s v="GNR_RES_WTR_NOPMP_MC-03"/>
    <x v="0"/>
    <x v="17"/>
    <n v="887.19205575436604"/>
    <n v="323825.10035034397"/>
    <n v="1165770.36126124"/>
  </r>
  <r>
    <x v="0"/>
    <x v="1"/>
    <x v="1"/>
    <x v="7"/>
    <x v="12"/>
    <s v="NO2_A1"/>
    <x v="6"/>
    <x v="7"/>
    <s v="GNR_RES_WTR_NOPMP_MC-03"/>
    <x v="0"/>
    <x v="19"/>
    <n v="887.19205575436604"/>
    <n v="323825.10035034397"/>
    <n v="1165770.36126124"/>
  </r>
  <r>
    <x v="0"/>
    <x v="1"/>
    <x v="1"/>
    <x v="7"/>
    <x v="12"/>
    <s v="NO2_A1"/>
    <x v="6"/>
    <x v="7"/>
    <s v="GNR_RES_WTR_NOPMP_MC-03"/>
    <x v="0"/>
    <x v="20"/>
    <n v="887.19205575436604"/>
    <n v="323825.10035034397"/>
    <n v="1165770.36126124"/>
  </r>
  <r>
    <x v="0"/>
    <x v="1"/>
    <x v="1"/>
    <x v="7"/>
    <x v="12"/>
    <s v="NO2_A1"/>
    <x v="6"/>
    <x v="7"/>
    <s v="GNR_RES_WTR_NOPMP_MC-03"/>
    <x v="0"/>
    <x v="21"/>
    <n v="887.19205575436604"/>
    <n v="323825.10035034397"/>
    <n v="1165770.36126124"/>
  </r>
  <r>
    <x v="0"/>
    <x v="1"/>
    <x v="1"/>
    <x v="7"/>
    <x v="12"/>
    <s v="NO2_A1"/>
    <x v="6"/>
    <x v="7"/>
    <s v="GNR_RES_WTR_NOPMP_MC-03"/>
    <x v="0"/>
    <x v="22"/>
    <n v="887.19205575436604"/>
    <n v="323825.10035034397"/>
    <n v="1165770.36126124"/>
  </r>
  <r>
    <x v="0"/>
    <x v="1"/>
    <x v="1"/>
    <x v="7"/>
    <x v="12"/>
    <s v="NO2_A1"/>
    <x v="6"/>
    <x v="7"/>
    <s v="GNR_RES_WTR_NOPMP_MC-03"/>
    <x v="0"/>
    <x v="23"/>
    <n v="538.64848341268498"/>
    <n v="196606.69644562999"/>
    <n v="707784.10720426904"/>
  </r>
  <r>
    <x v="0"/>
    <x v="1"/>
    <x v="1"/>
    <x v="7"/>
    <x v="12"/>
    <s v="NO2_A1"/>
    <x v="6"/>
    <x v="7"/>
    <s v="GNR_RES_WTR_NOPMP_MC-04"/>
    <x v="0"/>
    <x v="0"/>
    <n v="6.4826072622895499"/>
    <n v="2366.1516507356901"/>
    <n v="8518.1459426484707"/>
  </r>
  <r>
    <x v="0"/>
    <x v="1"/>
    <x v="1"/>
    <x v="7"/>
    <x v="12"/>
    <s v="NO2_A1"/>
    <x v="6"/>
    <x v="7"/>
    <s v="GNR_RES_WTR_NOPMP_MC-04"/>
    <x v="0"/>
    <x v="3"/>
    <n v="14.408397698656"/>
    <n v="5259.0651600094498"/>
    <n v="18932.634576034001"/>
  </r>
  <r>
    <x v="0"/>
    <x v="1"/>
    <x v="1"/>
    <x v="7"/>
    <x v="12"/>
    <s v="NO2_A1"/>
    <x v="6"/>
    <x v="7"/>
    <s v="GNR_RES_WTR_NOPMP_MC-04"/>
    <x v="0"/>
    <x v="4"/>
    <n v="887.19205575436604"/>
    <n v="323825.10035034397"/>
    <n v="1165770.36126124"/>
  </r>
  <r>
    <x v="0"/>
    <x v="1"/>
    <x v="1"/>
    <x v="7"/>
    <x v="12"/>
    <s v="NO2_A1"/>
    <x v="6"/>
    <x v="7"/>
    <s v="GNR_RES_WTR_NOPMP_MC-04"/>
    <x v="0"/>
    <x v="5"/>
    <n v="887.19205575436604"/>
    <n v="323825.10035034397"/>
    <n v="1165770.36126124"/>
  </r>
  <r>
    <x v="0"/>
    <x v="1"/>
    <x v="1"/>
    <x v="7"/>
    <x v="12"/>
    <s v="NO2_A1"/>
    <x v="6"/>
    <x v="7"/>
    <s v="GNR_RES_WTR_NOPMP_MC-04"/>
    <x v="0"/>
    <x v="6"/>
    <n v="887.19205575436604"/>
    <n v="323825.10035034397"/>
    <n v="1165770.36126124"/>
  </r>
  <r>
    <x v="0"/>
    <x v="1"/>
    <x v="1"/>
    <x v="7"/>
    <x v="12"/>
    <s v="NO2_A1"/>
    <x v="6"/>
    <x v="7"/>
    <s v="GNR_RES_WTR_NOPMP_MC-04"/>
    <x v="0"/>
    <x v="7"/>
    <n v="887.19205575436604"/>
    <n v="323825.10035034397"/>
    <n v="1165770.36126124"/>
  </r>
  <r>
    <x v="0"/>
    <x v="1"/>
    <x v="1"/>
    <x v="7"/>
    <x v="12"/>
    <s v="NO2_A1"/>
    <x v="6"/>
    <x v="7"/>
    <s v="GNR_RES_WTR_NOPMP_MC-04"/>
    <x v="0"/>
    <x v="8"/>
    <n v="887.19205575436604"/>
    <n v="323825.10035034397"/>
    <n v="1165770.36126124"/>
  </r>
  <r>
    <x v="0"/>
    <x v="1"/>
    <x v="1"/>
    <x v="7"/>
    <x v="12"/>
    <s v="NO2_A1"/>
    <x v="6"/>
    <x v="7"/>
    <s v="GNR_RES_WTR_NOPMP_MC-04"/>
    <x v="0"/>
    <x v="9"/>
    <n v="887.19205575436604"/>
    <n v="323825.10035034397"/>
    <n v="1165770.36126124"/>
  </r>
  <r>
    <x v="0"/>
    <x v="1"/>
    <x v="1"/>
    <x v="7"/>
    <x v="12"/>
    <s v="NO2_A1"/>
    <x v="6"/>
    <x v="7"/>
    <s v="GNR_RES_WTR_NOPMP_MC-04"/>
    <x v="0"/>
    <x v="10"/>
    <n v="887.19205575436604"/>
    <n v="323825.10035034397"/>
    <n v="1165770.36126124"/>
  </r>
  <r>
    <x v="0"/>
    <x v="1"/>
    <x v="1"/>
    <x v="7"/>
    <x v="12"/>
    <s v="NO2_A1"/>
    <x v="6"/>
    <x v="7"/>
    <s v="GNR_RES_WTR_NOPMP_MC-04"/>
    <x v="0"/>
    <x v="11"/>
    <n v="887.19205575436604"/>
    <n v="323825.10035034397"/>
    <n v="1165770.36126124"/>
  </r>
  <r>
    <x v="0"/>
    <x v="1"/>
    <x v="1"/>
    <x v="7"/>
    <x v="12"/>
    <s v="NO2_A1"/>
    <x v="6"/>
    <x v="7"/>
    <s v="GNR_RES_WTR_NOPMP_MC-04"/>
    <x v="0"/>
    <x v="12"/>
    <n v="887.19205575436604"/>
    <n v="323825.10035034397"/>
    <n v="1165770.36126124"/>
  </r>
  <r>
    <x v="0"/>
    <x v="1"/>
    <x v="1"/>
    <x v="7"/>
    <x v="12"/>
    <s v="NO2_A1"/>
    <x v="6"/>
    <x v="7"/>
    <s v="GNR_RES_WTR_NOPMP_MC-04"/>
    <x v="0"/>
    <x v="13"/>
    <n v="887.19205575436604"/>
    <n v="323825.10035034397"/>
    <n v="1165770.36126124"/>
  </r>
  <r>
    <x v="0"/>
    <x v="1"/>
    <x v="1"/>
    <x v="7"/>
    <x v="12"/>
    <s v="NO2_A1"/>
    <x v="6"/>
    <x v="7"/>
    <s v="GNR_RES_WTR_NOPMP_MC-04"/>
    <x v="0"/>
    <x v="14"/>
    <n v="887.19205575436604"/>
    <n v="323825.10035034397"/>
    <n v="1165770.36126124"/>
  </r>
  <r>
    <x v="0"/>
    <x v="1"/>
    <x v="1"/>
    <x v="7"/>
    <x v="12"/>
    <s v="NO2_A1"/>
    <x v="6"/>
    <x v="7"/>
    <s v="GNR_RES_WTR_NOPMP_MC-04"/>
    <x v="0"/>
    <x v="15"/>
    <n v="887.19205575436604"/>
    <n v="323825.10035034397"/>
    <n v="1165770.36126124"/>
  </r>
  <r>
    <x v="0"/>
    <x v="1"/>
    <x v="1"/>
    <x v="7"/>
    <x v="12"/>
    <s v="NO2_A1"/>
    <x v="6"/>
    <x v="7"/>
    <s v="GNR_RES_WTR_NOPMP_MC-04"/>
    <x v="0"/>
    <x v="16"/>
    <n v="887.19205575436604"/>
    <n v="323825.10035034397"/>
    <n v="1165770.36126124"/>
  </r>
  <r>
    <x v="0"/>
    <x v="1"/>
    <x v="1"/>
    <x v="7"/>
    <x v="12"/>
    <s v="NO2_A1"/>
    <x v="6"/>
    <x v="7"/>
    <s v="GNR_RES_WTR_NOPMP_MC-04"/>
    <x v="0"/>
    <x v="17"/>
    <n v="887.19205575436604"/>
    <n v="323825.10035034397"/>
    <n v="1165770.36126124"/>
  </r>
  <r>
    <x v="0"/>
    <x v="1"/>
    <x v="1"/>
    <x v="7"/>
    <x v="12"/>
    <s v="NO2_A1"/>
    <x v="6"/>
    <x v="7"/>
    <s v="GNR_RES_WTR_NOPMP_MC-04"/>
    <x v="0"/>
    <x v="19"/>
    <n v="887.19205575436604"/>
    <n v="323825.10035034397"/>
    <n v="1165770.36126124"/>
  </r>
  <r>
    <x v="0"/>
    <x v="1"/>
    <x v="1"/>
    <x v="7"/>
    <x v="12"/>
    <s v="NO2_A1"/>
    <x v="6"/>
    <x v="7"/>
    <s v="GNR_RES_WTR_NOPMP_MC-04"/>
    <x v="0"/>
    <x v="20"/>
    <n v="887.19205575436604"/>
    <n v="323825.10035034397"/>
    <n v="1165770.36126124"/>
  </r>
  <r>
    <x v="0"/>
    <x v="1"/>
    <x v="1"/>
    <x v="7"/>
    <x v="12"/>
    <s v="NO2_A1"/>
    <x v="6"/>
    <x v="7"/>
    <s v="GNR_RES_WTR_NOPMP_MC-05"/>
    <x v="0"/>
    <x v="5"/>
    <n v="887.19205575436604"/>
    <n v="323825.10035034397"/>
    <n v="1165770.36126124"/>
  </r>
  <r>
    <x v="0"/>
    <x v="1"/>
    <x v="1"/>
    <x v="7"/>
    <x v="12"/>
    <s v="NO2_A1"/>
    <x v="6"/>
    <x v="7"/>
    <s v="GNR_RES_WTR_NOPMP_MC-05"/>
    <x v="0"/>
    <x v="6"/>
    <n v="887.19205575436604"/>
    <n v="323825.10035034397"/>
    <n v="1165770.36126124"/>
  </r>
  <r>
    <x v="0"/>
    <x v="1"/>
    <x v="1"/>
    <x v="7"/>
    <x v="12"/>
    <s v="NO2_A1"/>
    <x v="6"/>
    <x v="7"/>
    <s v="GNR_RES_WTR_NOPMP_MC-05"/>
    <x v="0"/>
    <x v="7"/>
    <n v="887.19205575436604"/>
    <n v="323825.10035034397"/>
    <n v="1165770.36126124"/>
  </r>
  <r>
    <x v="0"/>
    <x v="1"/>
    <x v="1"/>
    <x v="7"/>
    <x v="12"/>
    <s v="NO2_A1"/>
    <x v="6"/>
    <x v="7"/>
    <s v="GNR_RES_WTR_NOPMP_MC-05"/>
    <x v="0"/>
    <x v="8"/>
    <n v="887.19205575436604"/>
    <n v="323825.10035034397"/>
    <n v="1165770.36126124"/>
  </r>
  <r>
    <x v="0"/>
    <x v="1"/>
    <x v="1"/>
    <x v="7"/>
    <x v="12"/>
    <s v="NO2_A1"/>
    <x v="6"/>
    <x v="7"/>
    <s v="GNR_RES_WTR_NOPMP_MC-05"/>
    <x v="0"/>
    <x v="9"/>
    <n v="887.19205575436604"/>
    <n v="323825.10035034397"/>
    <n v="1165770.36126124"/>
  </r>
  <r>
    <x v="0"/>
    <x v="1"/>
    <x v="1"/>
    <x v="7"/>
    <x v="12"/>
    <s v="NO2_A1"/>
    <x v="6"/>
    <x v="7"/>
    <s v="GNR_RES_WTR_NOPMP_MC-05"/>
    <x v="0"/>
    <x v="10"/>
    <n v="887.19205575436604"/>
    <n v="323825.10035034397"/>
    <n v="1165770.36126124"/>
  </r>
  <r>
    <x v="0"/>
    <x v="1"/>
    <x v="1"/>
    <x v="7"/>
    <x v="12"/>
    <s v="NO2_A1"/>
    <x v="6"/>
    <x v="7"/>
    <s v="GNR_RES_WTR_NOPMP_MC-05"/>
    <x v="0"/>
    <x v="11"/>
    <n v="887.19205575436604"/>
    <n v="323825.10035034397"/>
    <n v="1165770.36126124"/>
  </r>
  <r>
    <x v="0"/>
    <x v="1"/>
    <x v="1"/>
    <x v="7"/>
    <x v="12"/>
    <s v="NO2_A1"/>
    <x v="6"/>
    <x v="7"/>
    <s v="GNR_RES_WTR_NOPMP_MC-05"/>
    <x v="0"/>
    <x v="12"/>
    <n v="887.19205575436604"/>
    <n v="323825.10035034397"/>
    <n v="1165770.36126124"/>
  </r>
  <r>
    <x v="0"/>
    <x v="1"/>
    <x v="1"/>
    <x v="7"/>
    <x v="12"/>
    <s v="NO2_A1"/>
    <x v="6"/>
    <x v="7"/>
    <s v="GNR_RES_WTR_NOPMP_MC-05"/>
    <x v="0"/>
    <x v="13"/>
    <n v="887.19205575436604"/>
    <n v="323825.10035034397"/>
    <n v="1165770.36126124"/>
  </r>
  <r>
    <x v="0"/>
    <x v="1"/>
    <x v="1"/>
    <x v="7"/>
    <x v="12"/>
    <s v="NO2_A1"/>
    <x v="6"/>
    <x v="7"/>
    <s v="GNR_RES_WTR_NOPMP_MC-05"/>
    <x v="0"/>
    <x v="14"/>
    <n v="887.19205575436604"/>
    <n v="323825.10035034397"/>
    <n v="1165770.36126124"/>
  </r>
  <r>
    <x v="0"/>
    <x v="1"/>
    <x v="1"/>
    <x v="7"/>
    <x v="12"/>
    <s v="NO2_A1"/>
    <x v="6"/>
    <x v="7"/>
    <s v="GNR_RES_WTR_NOPMP_MC-05"/>
    <x v="0"/>
    <x v="15"/>
    <n v="887.19205575436604"/>
    <n v="323825.10035034397"/>
    <n v="1165770.36126124"/>
  </r>
  <r>
    <x v="0"/>
    <x v="1"/>
    <x v="1"/>
    <x v="7"/>
    <x v="12"/>
    <s v="NO2_A1"/>
    <x v="6"/>
    <x v="7"/>
    <s v="GNR_RES_WTR_NOPMP_MC-05"/>
    <x v="0"/>
    <x v="16"/>
    <n v="887.19205575436604"/>
    <n v="323825.10035034397"/>
    <n v="1165770.36126124"/>
  </r>
  <r>
    <x v="0"/>
    <x v="1"/>
    <x v="1"/>
    <x v="7"/>
    <x v="12"/>
    <s v="NO2_A1"/>
    <x v="6"/>
    <x v="7"/>
    <s v="GNR_RES_WTR_NOPMP_MC-05"/>
    <x v="0"/>
    <x v="17"/>
    <n v="887.19205575436604"/>
    <n v="323825.10035034397"/>
    <n v="1165770.36126124"/>
  </r>
  <r>
    <x v="0"/>
    <x v="1"/>
    <x v="1"/>
    <x v="7"/>
    <x v="12"/>
    <s v="NO2_A1"/>
    <x v="6"/>
    <x v="7"/>
    <s v="GNR_RES_WTR_NOPMP_MC-05"/>
    <x v="0"/>
    <x v="19"/>
    <n v="887.19205575436604"/>
    <n v="323825.10035034397"/>
    <n v="1165770.36126124"/>
  </r>
  <r>
    <x v="0"/>
    <x v="1"/>
    <x v="1"/>
    <x v="7"/>
    <x v="12"/>
    <s v="NO2_A1"/>
    <x v="6"/>
    <x v="7"/>
    <s v="GNR_RES_WTR_NOPMP_MC-06"/>
    <x v="0"/>
    <x v="5"/>
    <n v="887.19205575436604"/>
    <n v="323825.10035034397"/>
    <n v="1165770.36126124"/>
  </r>
  <r>
    <x v="0"/>
    <x v="1"/>
    <x v="1"/>
    <x v="7"/>
    <x v="12"/>
    <s v="NO2_A1"/>
    <x v="6"/>
    <x v="7"/>
    <s v="GNR_RES_WTR_NOPMP_MC-06"/>
    <x v="0"/>
    <x v="6"/>
    <n v="887.19205575436604"/>
    <n v="323825.10035034397"/>
    <n v="1165770.36126124"/>
  </r>
  <r>
    <x v="0"/>
    <x v="1"/>
    <x v="1"/>
    <x v="7"/>
    <x v="12"/>
    <s v="NO2_A1"/>
    <x v="6"/>
    <x v="7"/>
    <s v="GNR_RES_WTR_NOPMP_MC-06"/>
    <x v="0"/>
    <x v="7"/>
    <n v="887.19205575436604"/>
    <n v="323825.10035034397"/>
    <n v="1165770.36126124"/>
  </r>
  <r>
    <x v="0"/>
    <x v="1"/>
    <x v="1"/>
    <x v="7"/>
    <x v="12"/>
    <s v="NO2_A1"/>
    <x v="6"/>
    <x v="7"/>
    <s v="GNR_RES_WTR_NOPMP_MC-06"/>
    <x v="0"/>
    <x v="8"/>
    <n v="887.19205575436604"/>
    <n v="323825.10035034397"/>
    <n v="1165770.36126124"/>
  </r>
  <r>
    <x v="0"/>
    <x v="1"/>
    <x v="1"/>
    <x v="7"/>
    <x v="12"/>
    <s v="NO2_A1"/>
    <x v="6"/>
    <x v="7"/>
    <s v="GNR_RES_WTR_NOPMP_MC-06"/>
    <x v="0"/>
    <x v="9"/>
    <n v="887.19205575436604"/>
    <n v="323825.10035034397"/>
    <n v="1165770.36126124"/>
  </r>
  <r>
    <x v="0"/>
    <x v="1"/>
    <x v="1"/>
    <x v="7"/>
    <x v="12"/>
    <s v="NO2_A1"/>
    <x v="6"/>
    <x v="7"/>
    <s v="GNR_RES_WTR_NOPMP_MC-06"/>
    <x v="0"/>
    <x v="10"/>
    <n v="887.19205575436604"/>
    <n v="323825.10035034397"/>
    <n v="1165770.36126124"/>
  </r>
  <r>
    <x v="0"/>
    <x v="1"/>
    <x v="1"/>
    <x v="7"/>
    <x v="12"/>
    <s v="NO2_A1"/>
    <x v="6"/>
    <x v="7"/>
    <s v="GNR_RES_WTR_NOPMP_MC-06"/>
    <x v="0"/>
    <x v="11"/>
    <n v="326.43401647694299"/>
    <n v="119148.416014084"/>
    <n v="428934.297650703"/>
  </r>
  <r>
    <x v="0"/>
    <x v="1"/>
    <x v="1"/>
    <x v="7"/>
    <x v="12"/>
    <s v="NO2_A1"/>
    <x v="6"/>
    <x v="7"/>
    <s v="GNR_RES_WTR_NOPMP_MC-06"/>
    <x v="0"/>
    <x v="13"/>
    <n v="746.81563418470796"/>
    <n v="272587.70647741802"/>
    <n v="981315.74331870605"/>
  </r>
  <r>
    <x v="0"/>
    <x v="1"/>
    <x v="1"/>
    <x v="7"/>
    <x v="12"/>
    <s v="NO2_A1"/>
    <x v="6"/>
    <x v="7"/>
    <s v="GNR_RES_WTR_NOPMP_MC-06"/>
    <x v="0"/>
    <x v="14"/>
    <n v="717.64227272789606"/>
    <n v="261939.42954568201"/>
    <n v="942981.94636445504"/>
  </r>
  <r>
    <x v="0"/>
    <x v="1"/>
    <x v="1"/>
    <x v="7"/>
    <x v="12"/>
    <s v="NO2_A1"/>
    <x v="6"/>
    <x v="7"/>
    <s v="GNR_RES_WTR_NOPMP_MC-06"/>
    <x v="0"/>
    <x v="15"/>
    <n v="882.318216640478"/>
    <n v="322046.149073774"/>
    <n v="1159366.1366655901"/>
  </r>
  <r>
    <x v="0"/>
    <x v="1"/>
    <x v="1"/>
    <x v="7"/>
    <x v="12"/>
    <s v="NO2_A1"/>
    <x v="6"/>
    <x v="7"/>
    <s v="GNR_RES_WTR_NOPMP_MC-06"/>
    <x v="0"/>
    <x v="16"/>
    <n v="688.34409486999698"/>
    <n v="251245.594627549"/>
    <n v="904484.14065917605"/>
  </r>
  <r>
    <x v="0"/>
    <x v="1"/>
    <x v="1"/>
    <x v="7"/>
    <x v="12"/>
    <s v="NO2_A1"/>
    <x v="6"/>
    <x v="7"/>
    <s v="GNR_RES_WTR_NOPMP_MC-06"/>
    <x v="0"/>
    <x v="17"/>
    <n v="393.07273657304"/>
    <n v="143471.54884916"/>
    <n v="516497.57585697499"/>
  </r>
  <r>
    <x v="0"/>
    <x v="1"/>
    <x v="1"/>
    <x v="7"/>
    <x v="12"/>
    <s v="NO2_A1"/>
    <x v="6"/>
    <x v="7"/>
    <s v="GNR_RES_WTR_NOPMP_MC-07"/>
    <x v="0"/>
    <x v="6"/>
    <n v="887.19205575436604"/>
    <n v="323825.10035034397"/>
    <n v="1165770.36126124"/>
  </r>
  <r>
    <x v="0"/>
    <x v="1"/>
    <x v="1"/>
    <x v="7"/>
    <x v="12"/>
    <s v="NO2_A1"/>
    <x v="6"/>
    <x v="7"/>
    <s v="GNR_RES_WTR_NOPMP_MC-07"/>
    <x v="0"/>
    <x v="7"/>
    <n v="887.19205575436604"/>
    <n v="323825.10035034397"/>
    <n v="1165770.36126124"/>
  </r>
  <r>
    <x v="0"/>
    <x v="1"/>
    <x v="1"/>
    <x v="7"/>
    <x v="12"/>
    <s v="NO2_A1"/>
    <x v="6"/>
    <x v="7"/>
    <s v="GNR_RES_WTR_NOPMP_MC-07"/>
    <x v="0"/>
    <x v="8"/>
    <n v="887.19205575436604"/>
    <n v="323825.10035034397"/>
    <n v="1165770.36126124"/>
  </r>
  <r>
    <x v="0"/>
    <x v="1"/>
    <x v="1"/>
    <x v="7"/>
    <x v="12"/>
    <s v="NO2_A1"/>
    <x v="6"/>
    <x v="7"/>
    <s v="GNR_RES_WTR_NOPMP_MC-08"/>
    <x v="0"/>
    <x v="6"/>
    <n v="103.886300883202"/>
    <n v="37918.499822368598"/>
    <n v="136506.59936052701"/>
  </r>
  <r>
    <x v="0"/>
    <x v="1"/>
    <x v="1"/>
    <x v="7"/>
    <x v="12"/>
    <s v="NO2_A1"/>
    <x v="6"/>
    <x v="7"/>
    <s v="GNR_RES_WTR_NOPMP_MC-08"/>
    <x v="0"/>
    <x v="7"/>
    <n v="328.70103867242102"/>
    <n v="119975.879115434"/>
    <n v="431913.16481556202"/>
  </r>
  <r>
    <x v="0"/>
    <x v="1"/>
    <x v="1"/>
    <x v="7"/>
    <x v="12"/>
    <s v="NO2_A1"/>
    <x v="6"/>
    <x v="7"/>
    <s v="GNR_RES_WTR_NOPMP_MC-08"/>
    <x v="0"/>
    <x v="8"/>
    <n v="353.13158930780202"/>
    <n v="128893.030097348"/>
    <n v="464014.90835045202"/>
  </r>
  <r>
    <x v="0"/>
    <x v="1"/>
    <x v="1"/>
    <x v="7"/>
    <x v="12"/>
    <s v="NO2_A1"/>
    <x v="6"/>
    <x v="7"/>
    <s v="GNR_RES_WTR_PMP_MC-01"/>
    <x v="0"/>
    <x v="0"/>
    <n v="520"/>
    <n v="189800"/>
    <n v="683280"/>
  </r>
  <r>
    <x v="0"/>
    <x v="1"/>
    <x v="1"/>
    <x v="7"/>
    <x v="12"/>
    <s v="NO2_A1"/>
    <x v="6"/>
    <x v="7"/>
    <s v="GNR_RES_WTR_PMP_MC-01"/>
    <x v="0"/>
    <x v="1"/>
    <n v="520"/>
    <n v="189800"/>
    <n v="683280"/>
  </r>
  <r>
    <x v="0"/>
    <x v="1"/>
    <x v="1"/>
    <x v="7"/>
    <x v="12"/>
    <s v="NO2_A1"/>
    <x v="6"/>
    <x v="7"/>
    <s v="GNR_RES_WTR_PMP_MC-01"/>
    <x v="0"/>
    <x v="18"/>
    <n v="520"/>
    <n v="189800"/>
    <n v="683280"/>
  </r>
  <r>
    <x v="0"/>
    <x v="1"/>
    <x v="1"/>
    <x v="7"/>
    <x v="12"/>
    <s v="NO2_A1"/>
    <x v="6"/>
    <x v="7"/>
    <s v="GNR_RES_WTR_PMP_MC-01"/>
    <x v="0"/>
    <x v="2"/>
    <n v="520"/>
    <n v="189800"/>
    <n v="683280"/>
  </r>
  <r>
    <x v="0"/>
    <x v="1"/>
    <x v="1"/>
    <x v="7"/>
    <x v="12"/>
    <s v="NO2_A1"/>
    <x v="6"/>
    <x v="7"/>
    <s v="GNR_RES_WTR_PMP_MC-01"/>
    <x v="0"/>
    <x v="3"/>
    <n v="520"/>
    <n v="189800"/>
    <n v="683280"/>
  </r>
  <r>
    <x v="0"/>
    <x v="1"/>
    <x v="1"/>
    <x v="7"/>
    <x v="12"/>
    <s v="NO2_A1"/>
    <x v="6"/>
    <x v="7"/>
    <s v="GNR_RES_WTR_PMP_MC-01"/>
    <x v="0"/>
    <x v="4"/>
    <n v="520"/>
    <n v="189800"/>
    <n v="683280"/>
  </r>
  <r>
    <x v="0"/>
    <x v="1"/>
    <x v="1"/>
    <x v="7"/>
    <x v="12"/>
    <s v="NO2_A1"/>
    <x v="6"/>
    <x v="7"/>
    <s v="GNR_RES_WTR_PMP_MC-01"/>
    <x v="0"/>
    <x v="5"/>
    <n v="520"/>
    <n v="189800"/>
    <n v="683280"/>
  </r>
  <r>
    <x v="0"/>
    <x v="1"/>
    <x v="1"/>
    <x v="7"/>
    <x v="12"/>
    <s v="NO2_A1"/>
    <x v="6"/>
    <x v="7"/>
    <s v="GNR_RES_WTR_PMP_MC-01"/>
    <x v="0"/>
    <x v="6"/>
    <n v="520"/>
    <n v="189800"/>
    <n v="683280"/>
  </r>
  <r>
    <x v="0"/>
    <x v="1"/>
    <x v="1"/>
    <x v="7"/>
    <x v="12"/>
    <s v="NO2_A1"/>
    <x v="6"/>
    <x v="7"/>
    <s v="GNR_RES_WTR_PMP_MC-01"/>
    <x v="0"/>
    <x v="7"/>
    <n v="520"/>
    <n v="189800"/>
    <n v="683280"/>
  </r>
  <r>
    <x v="0"/>
    <x v="1"/>
    <x v="1"/>
    <x v="7"/>
    <x v="12"/>
    <s v="NO2_A1"/>
    <x v="6"/>
    <x v="7"/>
    <s v="GNR_RES_WTR_PMP_MC-01"/>
    <x v="0"/>
    <x v="8"/>
    <n v="520"/>
    <n v="189800"/>
    <n v="683280"/>
  </r>
  <r>
    <x v="0"/>
    <x v="1"/>
    <x v="1"/>
    <x v="7"/>
    <x v="12"/>
    <s v="NO2_A1"/>
    <x v="6"/>
    <x v="7"/>
    <s v="GNR_RES_WTR_PMP_MC-01"/>
    <x v="0"/>
    <x v="9"/>
    <n v="520"/>
    <n v="189800"/>
    <n v="683280"/>
  </r>
  <r>
    <x v="0"/>
    <x v="1"/>
    <x v="1"/>
    <x v="7"/>
    <x v="12"/>
    <s v="NO2_A1"/>
    <x v="6"/>
    <x v="7"/>
    <s v="GNR_RES_WTR_PMP_MC-01"/>
    <x v="0"/>
    <x v="10"/>
    <n v="520"/>
    <n v="189800"/>
    <n v="683280"/>
  </r>
  <r>
    <x v="0"/>
    <x v="1"/>
    <x v="1"/>
    <x v="7"/>
    <x v="12"/>
    <s v="NO2_A1"/>
    <x v="6"/>
    <x v="7"/>
    <s v="GNR_RES_WTR_PMP_MC-01"/>
    <x v="0"/>
    <x v="11"/>
    <n v="520"/>
    <n v="189800"/>
    <n v="683280"/>
  </r>
  <r>
    <x v="0"/>
    <x v="1"/>
    <x v="1"/>
    <x v="7"/>
    <x v="12"/>
    <s v="NO2_A1"/>
    <x v="6"/>
    <x v="7"/>
    <s v="GNR_RES_WTR_PMP_MC-01"/>
    <x v="0"/>
    <x v="12"/>
    <n v="520"/>
    <n v="189800"/>
    <n v="683280"/>
  </r>
  <r>
    <x v="0"/>
    <x v="1"/>
    <x v="1"/>
    <x v="7"/>
    <x v="12"/>
    <s v="NO2_A1"/>
    <x v="6"/>
    <x v="7"/>
    <s v="GNR_RES_WTR_PMP_MC-01"/>
    <x v="0"/>
    <x v="13"/>
    <n v="520"/>
    <n v="189800"/>
    <n v="683280"/>
  </r>
  <r>
    <x v="0"/>
    <x v="1"/>
    <x v="1"/>
    <x v="7"/>
    <x v="12"/>
    <s v="NO2_A1"/>
    <x v="6"/>
    <x v="7"/>
    <s v="GNR_RES_WTR_PMP_MC-01"/>
    <x v="0"/>
    <x v="14"/>
    <n v="520"/>
    <n v="189800"/>
    <n v="683280"/>
  </r>
  <r>
    <x v="0"/>
    <x v="1"/>
    <x v="1"/>
    <x v="7"/>
    <x v="12"/>
    <s v="NO2_A1"/>
    <x v="6"/>
    <x v="7"/>
    <s v="GNR_RES_WTR_PMP_MC-01"/>
    <x v="0"/>
    <x v="15"/>
    <n v="520"/>
    <n v="189800"/>
    <n v="683280"/>
  </r>
  <r>
    <x v="0"/>
    <x v="1"/>
    <x v="1"/>
    <x v="7"/>
    <x v="12"/>
    <s v="NO2_A1"/>
    <x v="6"/>
    <x v="7"/>
    <s v="GNR_RES_WTR_PMP_MC-01"/>
    <x v="0"/>
    <x v="16"/>
    <n v="520"/>
    <n v="189800"/>
    <n v="683280"/>
  </r>
  <r>
    <x v="0"/>
    <x v="1"/>
    <x v="1"/>
    <x v="7"/>
    <x v="12"/>
    <s v="NO2_A1"/>
    <x v="6"/>
    <x v="7"/>
    <s v="GNR_RES_WTR_PMP_MC-01"/>
    <x v="0"/>
    <x v="17"/>
    <n v="520"/>
    <n v="189800"/>
    <n v="683280"/>
  </r>
  <r>
    <x v="0"/>
    <x v="1"/>
    <x v="1"/>
    <x v="7"/>
    <x v="12"/>
    <s v="NO2_A1"/>
    <x v="6"/>
    <x v="7"/>
    <s v="GNR_RES_WTR_PMP_MC-01"/>
    <x v="0"/>
    <x v="19"/>
    <n v="520"/>
    <n v="189800"/>
    <n v="683280"/>
  </r>
  <r>
    <x v="0"/>
    <x v="1"/>
    <x v="1"/>
    <x v="7"/>
    <x v="12"/>
    <s v="NO2_A1"/>
    <x v="6"/>
    <x v="7"/>
    <s v="GNR_RES_WTR_PMP_MC-01"/>
    <x v="0"/>
    <x v="20"/>
    <n v="520"/>
    <n v="189800"/>
    <n v="683280"/>
  </r>
  <r>
    <x v="0"/>
    <x v="1"/>
    <x v="1"/>
    <x v="7"/>
    <x v="12"/>
    <s v="NO2_A1"/>
    <x v="6"/>
    <x v="7"/>
    <s v="GNR_RES_WTR_PMP_MC-01"/>
    <x v="0"/>
    <x v="21"/>
    <n v="520"/>
    <n v="189800"/>
    <n v="683280"/>
  </r>
  <r>
    <x v="0"/>
    <x v="1"/>
    <x v="1"/>
    <x v="7"/>
    <x v="12"/>
    <s v="NO2_A1"/>
    <x v="6"/>
    <x v="7"/>
    <s v="GNR_RES_WTR_PMP_MC-01"/>
    <x v="0"/>
    <x v="22"/>
    <n v="520"/>
    <n v="189800"/>
    <n v="683280"/>
  </r>
  <r>
    <x v="0"/>
    <x v="1"/>
    <x v="1"/>
    <x v="7"/>
    <x v="12"/>
    <s v="NO2_A1"/>
    <x v="6"/>
    <x v="7"/>
    <s v="GNR_RES_WTR_PMP_MC-01"/>
    <x v="0"/>
    <x v="23"/>
    <n v="520"/>
    <n v="189800"/>
    <n v="683280"/>
  </r>
  <r>
    <x v="0"/>
    <x v="1"/>
    <x v="1"/>
    <x v="7"/>
    <x v="12"/>
    <s v="NO2_A1"/>
    <x v="6"/>
    <x v="4"/>
    <s v="GNR_ROR_WTR"/>
    <x v="0"/>
    <x v="0"/>
    <n v="1138.3462112227101"/>
    <n v="415496.367096289"/>
    <n v="1495786.9215466401"/>
  </r>
  <r>
    <x v="0"/>
    <x v="1"/>
    <x v="1"/>
    <x v="7"/>
    <x v="12"/>
    <s v="NO2_A1"/>
    <x v="6"/>
    <x v="4"/>
    <s v="GNR_ROR_WTR"/>
    <x v="0"/>
    <x v="1"/>
    <n v="1138.3462112227101"/>
    <n v="415496.367096289"/>
    <n v="1495786.9215466401"/>
  </r>
  <r>
    <x v="0"/>
    <x v="1"/>
    <x v="1"/>
    <x v="7"/>
    <x v="12"/>
    <s v="NO2_A1"/>
    <x v="6"/>
    <x v="4"/>
    <s v="GNR_ROR_WTR"/>
    <x v="0"/>
    <x v="18"/>
    <n v="1138.3462112227101"/>
    <n v="415496.367096289"/>
    <n v="1495786.9215466401"/>
  </r>
  <r>
    <x v="0"/>
    <x v="1"/>
    <x v="1"/>
    <x v="7"/>
    <x v="12"/>
    <s v="NO2_A1"/>
    <x v="6"/>
    <x v="4"/>
    <s v="GNR_ROR_WTR"/>
    <x v="0"/>
    <x v="2"/>
    <n v="1138.3462112227101"/>
    <n v="415496.367096289"/>
    <n v="1495786.9215466401"/>
  </r>
  <r>
    <x v="0"/>
    <x v="1"/>
    <x v="1"/>
    <x v="7"/>
    <x v="12"/>
    <s v="NO2_A1"/>
    <x v="6"/>
    <x v="4"/>
    <s v="GNR_ROR_WTR"/>
    <x v="0"/>
    <x v="3"/>
    <n v="1138.3462112227101"/>
    <n v="415496.367096289"/>
    <n v="1495786.9215466401"/>
  </r>
  <r>
    <x v="0"/>
    <x v="1"/>
    <x v="1"/>
    <x v="7"/>
    <x v="12"/>
    <s v="NO2_A1"/>
    <x v="6"/>
    <x v="4"/>
    <s v="GNR_ROR_WTR"/>
    <x v="0"/>
    <x v="4"/>
    <n v="1138.3462112227101"/>
    <n v="415496.367096289"/>
    <n v="1495786.9215466401"/>
  </r>
  <r>
    <x v="0"/>
    <x v="1"/>
    <x v="1"/>
    <x v="7"/>
    <x v="12"/>
    <s v="NO2_A1"/>
    <x v="6"/>
    <x v="4"/>
    <s v="GNR_ROR_WTR"/>
    <x v="0"/>
    <x v="5"/>
    <n v="1138.3462112227101"/>
    <n v="415496.367096289"/>
    <n v="1495786.9215466401"/>
  </r>
  <r>
    <x v="0"/>
    <x v="1"/>
    <x v="1"/>
    <x v="7"/>
    <x v="12"/>
    <s v="NO2_A1"/>
    <x v="6"/>
    <x v="4"/>
    <s v="GNR_ROR_WTR"/>
    <x v="0"/>
    <x v="6"/>
    <n v="1138.3462112227101"/>
    <n v="415496.367096289"/>
    <n v="1495786.9215466401"/>
  </r>
  <r>
    <x v="0"/>
    <x v="1"/>
    <x v="1"/>
    <x v="7"/>
    <x v="12"/>
    <s v="NO2_A1"/>
    <x v="6"/>
    <x v="4"/>
    <s v="GNR_ROR_WTR"/>
    <x v="0"/>
    <x v="7"/>
    <n v="1138.3462112227101"/>
    <n v="415496.367096289"/>
    <n v="1495786.9215466401"/>
  </r>
  <r>
    <x v="0"/>
    <x v="1"/>
    <x v="1"/>
    <x v="7"/>
    <x v="12"/>
    <s v="NO2_A1"/>
    <x v="6"/>
    <x v="4"/>
    <s v="GNR_ROR_WTR"/>
    <x v="0"/>
    <x v="8"/>
    <n v="1138.3462112227101"/>
    <n v="415496.367096289"/>
    <n v="1495786.9215466401"/>
  </r>
  <r>
    <x v="0"/>
    <x v="1"/>
    <x v="1"/>
    <x v="7"/>
    <x v="12"/>
    <s v="NO2_A1"/>
    <x v="6"/>
    <x v="4"/>
    <s v="GNR_ROR_WTR"/>
    <x v="0"/>
    <x v="9"/>
    <n v="1138.3462112227101"/>
    <n v="415496.367096289"/>
    <n v="1495786.9215466401"/>
  </r>
  <r>
    <x v="0"/>
    <x v="1"/>
    <x v="1"/>
    <x v="7"/>
    <x v="12"/>
    <s v="NO2_A1"/>
    <x v="6"/>
    <x v="4"/>
    <s v="GNR_ROR_WTR"/>
    <x v="0"/>
    <x v="10"/>
    <n v="1138.3462112227101"/>
    <n v="415496.367096289"/>
    <n v="1495786.9215466401"/>
  </r>
  <r>
    <x v="0"/>
    <x v="1"/>
    <x v="1"/>
    <x v="7"/>
    <x v="12"/>
    <s v="NO2_A1"/>
    <x v="6"/>
    <x v="4"/>
    <s v="GNR_ROR_WTR"/>
    <x v="0"/>
    <x v="11"/>
    <n v="1138.3462112227101"/>
    <n v="415496.367096289"/>
    <n v="1495786.9215466401"/>
  </r>
  <r>
    <x v="0"/>
    <x v="1"/>
    <x v="1"/>
    <x v="7"/>
    <x v="12"/>
    <s v="NO2_A1"/>
    <x v="6"/>
    <x v="4"/>
    <s v="GNR_ROR_WTR"/>
    <x v="0"/>
    <x v="12"/>
    <n v="1138.3462112227101"/>
    <n v="415496.367096289"/>
    <n v="1495786.9215466401"/>
  </r>
  <r>
    <x v="0"/>
    <x v="1"/>
    <x v="1"/>
    <x v="7"/>
    <x v="12"/>
    <s v="NO2_A1"/>
    <x v="6"/>
    <x v="4"/>
    <s v="GNR_ROR_WTR"/>
    <x v="0"/>
    <x v="13"/>
    <n v="1138.3462112227101"/>
    <n v="415496.367096289"/>
    <n v="1495786.9215466401"/>
  </r>
  <r>
    <x v="0"/>
    <x v="1"/>
    <x v="1"/>
    <x v="7"/>
    <x v="12"/>
    <s v="NO2_A1"/>
    <x v="6"/>
    <x v="4"/>
    <s v="GNR_ROR_WTR"/>
    <x v="0"/>
    <x v="14"/>
    <n v="1138.3462112227101"/>
    <n v="415496.367096289"/>
    <n v="1495786.9215466401"/>
  </r>
  <r>
    <x v="0"/>
    <x v="1"/>
    <x v="1"/>
    <x v="7"/>
    <x v="12"/>
    <s v="NO2_A1"/>
    <x v="6"/>
    <x v="4"/>
    <s v="GNR_ROR_WTR"/>
    <x v="0"/>
    <x v="15"/>
    <n v="1138.3462112227101"/>
    <n v="415496.367096289"/>
    <n v="1495786.9215466401"/>
  </r>
  <r>
    <x v="0"/>
    <x v="1"/>
    <x v="1"/>
    <x v="7"/>
    <x v="12"/>
    <s v="NO2_A1"/>
    <x v="6"/>
    <x v="4"/>
    <s v="GNR_ROR_WTR"/>
    <x v="0"/>
    <x v="16"/>
    <n v="1138.3462112227101"/>
    <n v="415496.367096289"/>
    <n v="1495786.9215466401"/>
  </r>
  <r>
    <x v="0"/>
    <x v="1"/>
    <x v="1"/>
    <x v="7"/>
    <x v="12"/>
    <s v="NO2_A1"/>
    <x v="6"/>
    <x v="4"/>
    <s v="GNR_ROR_WTR"/>
    <x v="0"/>
    <x v="17"/>
    <n v="1138.3462112227101"/>
    <n v="415496.367096289"/>
    <n v="1495786.9215466401"/>
  </r>
  <r>
    <x v="0"/>
    <x v="1"/>
    <x v="1"/>
    <x v="7"/>
    <x v="12"/>
    <s v="NO2_A1"/>
    <x v="6"/>
    <x v="4"/>
    <s v="GNR_ROR_WTR"/>
    <x v="0"/>
    <x v="19"/>
    <n v="1138.3462112227101"/>
    <n v="415496.367096289"/>
    <n v="1495786.9215466401"/>
  </r>
  <r>
    <x v="0"/>
    <x v="1"/>
    <x v="1"/>
    <x v="7"/>
    <x v="12"/>
    <s v="NO2_A1"/>
    <x v="6"/>
    <x v="4"/>
    <s v="GNR_ROR_WTR"/>
    <x v="0"/>
    <x v="20"/>
    <n v="1138.3462112227101"/>
    <n v="415496.367096289"/>
    <n v="1495786.9215466401"/>
  </r>
  <r>
    <x v="0"/>
    <x v="1"/>
    <x v="1"/>
    <x v="7"/>
    <x v="12"/>
    <s v="NO2_A1"/>
    <x v="6"/>
    <x v="4"/>
    <s v="GNR_ROR_WTR"/>
    <x v="0"/>
    <x v="21"/>
    <n v="1138.3462112227101"/>
    <n v="415496.367096289"/>
    <n v="1495786.9215466401"/>
  </r>
  <r>
    <x v="0"/>
    <x v="1"/>
    <x v="1"/>
    <x v="7"/>
    <x v="12"/>
    <s v="NO2_A1"/>
    <x v="6"/>
    <x v="4"/>
    <s v="GNR_ROR_WTR"/>
    <x v="0"/>
    <x v="22"/>
    <n v="1138.3462112227101"/>
    <n v="415496.367096289"/>
    <n v="1495786.9215466401"/>
  </r>
  <r>
    <x v="0"/>
    <x v="1"/>
    <x v="1"/>
    <x v="7"/>
    <x v="12"/>
    <s v="NO2_A1"/>
    <x v="6"/>
    <x v="4"/>
    <s v="GNR_ROR_WTR"/>
    <x v="0"/>
    <x v="23"/>
    <n v="1138.3462112227101"/>
    <n v="415496.367096289"/>
    <n v="1495786.9215466401"/>
  </r>
  <r>
    <x v="0"/>
    <x v="1"/>
    <x v="1"/>
    <x v="7"/>
    <x v="12"/>
    <s v="NO2_A1"/>
    <x v="7"/>
    <x v="5"/>
    <s v="GNR_WT_WIND_ONS"/>
    <x v="0"/>
    <x v="0"/>
    <n v="387.31488011586703"/>
    <n v="141369.93124229199"/>
    <n v="508931.75247224898"/>
  </r>
  <r>
    <x v="0"/>
    <x v="1"/>
    <x v="1"/>
    <x v="7"/>
    <x v="12"/>
    <s v="NO2_A1"/>
    <x v="7"/>
    <x v="5"/>
    <s v="GNR_WT_WIND_ONS"/>
    <x v="0"/>
    <x v="1"/>
    <n v="390.15744190430797"/>
    <n v="142407.46629507199"/>
    <n v="512666.87866226002"/>
  </r>
  <r>
    <x v="0"/>
    <x v="1"/>
    <x v="1"/>
    <x v="7"/>
    <x v="12"/>
    <s v="NO2_A1"/>
    <x v="7"/>
    <x v="5"/>
    <s v="GNR_WT_WIND_ONS"/>
    <x v="0"/>
    <x v="18"/>
    <n v="393.64736184923999"/>
    <n v="143681.287074972"/>
    <n v="517252.63346990099"/>
  </r>
  <r>
    <x v="0"/>
    <x v="1"/>
    <x v="1"/>
    <x v="7"/>
    <x v="12"/>
    <s v="NO2_A1"/>
    <x v="7"/>
    <x v="5"/>
    <s v="GNR_WT_WIND_ONS"/>
    <x v="0"/>
    <x v="2"/>
    <n v="397.81367871491398"/>
    <n v="145201.99273094401"/>
    <n v="522727.17383139703"/>
  </r>
  <r>
    <x v="0"/>
    <x v="1"/>
    <x v="1"/>
    <x v="7"/>
    <x v="12"/>
    <s v="NO2_A1"/>
    <x v="7"/>
    <x v="5"/>
    <s v="GNR_WT_WIND_ONS"/>
    <x v="0"/>
    <x v="3"/>
    <n v="398.09105445212998"/>
    <n v="145303.234875027"/>
    <n v="523091.64555009903"/>
  </r>
  <r>
    <x v="0"/>
    <x v="1"/>
    <x v="1"/>
    <x v="7"/>
    <x v="12"/>
    <s v="NO2_A1"/>
    <x v="7"/>
    <x v="5"/>
    <s v="GNR_WT_WIND_ONS"/>
    <x v="0"/>
    <x v="4"/>
    <n v="400.58959415917201"/>
    <n v="146215.201868098"/>
    <n v="526374.726725152"/>
  </r>
  <r>
    <x v="0"/>
    <x v="1"/>
    <x v="1"/>
    <x v="7"/>
    <x v="12"/>
    <s v="NO2_A1"/>
    <x v="7"/>
    <x v="5"/>
    <s v="GNR_WT_WIND_ONS"/>
    <x v="0"/>
    <x v="5"/>
    <n v="400.554176387692"/>
    <n v="146202.274381508"/>
    <n v="526328.18777342804"/>
  </r>
  <r>
    <x v="0"/>
    <x v="1"/>
    <x v="1"/>
    <x v="7"/>
    <x v="12"/>
    <s v="NO2_A1"/>
    <x v="7"/>
    <x v="5"/>
    <s v="GNR_WT_WIND_ONS"/>
    <x v="0"/>
    <x v="6"/>
    <n v="400.660937483802"/>
    <n v="146241.24218158799"/>
    <n v="526468.47185371502"/>
  </r>
  <r>
    <x v="0"/>
    <x v="1"/>
    <x v="1"/>
    <x v="7"/>
    <x v="12"/>
    <s v="NO2_A1"/>
    <x v="7"/>
    <x v="5"/>
    <s v="GNR_WT_WIND_ONS"/>
    <x v="0"/>
    <x v="7"/>
    <n v="399.25381100363097"/>
    <n v="145727.64101632501"/>
    <n v="524619.50765877205"/>
  </r>
  <r>
    <x v="0"/>
    <x v="1"/>
    <x v="1"/>
    <x v="7"/>
    <x v="12"/>
    <s v="NO2_A1"/>
    <x v="7"/>
    <x v="5"/>
    <s v="GNR_WT_WIND_ONS"/>
    <x v="0"/>
    <x v="8"/>
    <n v="394.32185458871999"/>
    <n v="143927.476924883"/>
    <n v="518138.916929578"/>
  </r>
  <r>
    <x v="0"/>
    <x v="1"/>
    <x v="1"/>
    <x v="7"/>
    <x v="12"/>
    <s v="NO2_A1"/>
    <x v="7"/>
    <x v="5"/>
    <s v="GNR_WT_WIND_ONS"/>
    <x v="0"/>
    <x v="9"/>
    <n v="312.83438512029198"/>
    <n v="114184.550568907"/>
    <n v="411064.38204806403"/>
  </r>
  <r>
    <x v="0"/>
    <x v="1"/>
    <x v="1"/>
    <x v="7"/>
    <x v="12"/>
    <s v="NO2_A1"/>
    <x v="7"/>
    <x v="5"/>
    <s v="GNR_WT_WIND_ONS"/>
    <x v="0"/>
    <x v="10"/>
    <n v="102.65410718445099"/>
    <n v="37468.749122324502"/>
    <n v="134887.496840368"/>
  </r>
  <r>
    <x v="0"/>
    <x v="1"/>
    <x v="1"/>
    <x v="7"/>
    <x v="12"/>
    <s v="NO2_A1"/>
    <x v="7"/>
    <x v="5"/>
    <s v="GNR_WT_WIND_ONS"/>
    <x v="0"/>
    <x v="11"/>
    <n v="129.352406066333"/>
    <n v="47213.6282142114"/>
    <n v="169969.061571161"/>
  </r>
  <r>
    <x v="0"/>
    <x v="1"/>
    <x v="1"/>
    <x v="7"/>
    <x v="12"/>
    <s v="NO2_A1"/>
    <x v="7"/>
    <x v="5"/>
    <s v="GNR_WT_WIND_ONS"/>
    <x v="0"/>
    <x v="12"/>
    <n v="372.18815937679801"/>
    <n v="135848.67817253101"/>
    <n v="489055.24142111198"/>
  </r>
  <r>
    <x v="0"/>
    <x v="1"/>
    <x v="1"/>
    <x v="7"/>
    <x v="12"/>
    <s v="NO2_A1"/>
    <x v="7"/>
    <x v="5"/>
    <s v="GNR_WT_WIND_ONS"/>
    <x v="0"/>
    <x v="13"/>
    <n v="382.86271390635898"/>
    <n v="139744.89057582099"/>
    <n v="503081.606072956"/>
  </r>
  <r>
    <x v="0"/>
    <x v="1"/>
    <x v="1"/>
    <x v="7"/>
    <x v="12"/>
    <s v="NO2_A1"/>
    <x v="7"/>
    <x v="5"/>
    <s v="GNR_WT_WIND_ONS"/>
    <x v="0"/>
    <x v="14"/>
    <n v="403.84752135364101"/>
    <n v="147404.34529407899"/>
    <n v="530655.64305868396"/>
  </r>
  <r>
    <x v="0"/>
    <x v="1"/>
    <x v="1"/>
    <x v="7"/>
    <x v="12"/>
    <s v="NO2_A1"/>
    <x v="7"/>
    <x v="5"/>
    <s v="GNR_WT_WIND_ONS"/>
    <x v="0"/>
    <x v="15"/>
    <n v="380.45271862801701"/>
    <n v="138865.242299226"/>
    <n v="499914.87227721402"/>
  </r>
  <r>
    <x v="0"/>
    <x v="1"/>
    <x v="1"/>
    <x v="7"/>
    <x v="12"/>
    <s v="NO2_A1"/>
    <x v="7"/>
    <x v="5"/>
    <s v="GNR_WT_WIND_ONS"/>
    <x v="0"/>
    <x v="16"/>
    <n v="398.14316554600998"/>
    <n v="145322.25542429299"/>
    <n v="523160.11952745699"/>
  </r>
  <r>
    <x v="0"/>
    <x v="1"/>
    <x v="1"/>
    <x v="7"/>
    <x v="12"/>
    <s v="NO2_A1"/>
    <x v="7"/>
    <x v="5"/>
    <s v="GNR_WT_WIND_ONS"/>
    <x v="0"/>
    <x v="17"/>
    <n v="337.38575580831503"/>
    <n v="123145.800870035"/>
    <n v="443324.88313212601"/>
  </r>
  <r>
    <x v="0"/>
    <x v="1"/>
    <x v="1"/>
    <x v="7"/>
    <x v="12"/>
    <s v="NO2_A1"/>
    <x v="7"/>
    <x v="5"/>
    <s v="GNR_WT_WIND_ONS"/>
    <x v="0"/>
    <x v="19"/>
    <n v="305.94467647684598"/>
    <n v="111669.806914049"/>
    <n v="402011.30489057599"/>
  </r>
  <r>
    <x v="0"/>
    <x v="1"/>
    <x v="1"/>
    <x v="7"/>
    <x v="12"/>
    <s v="NO2_A1"/>
    <x v="7"/>
    <x v="5"/>
    <s v="GNR_WT_WIND_ONS"/>
    <x v="0"/>
    <x v="20"/>
    <n v="388.65869256906399"/>
    <n v="141860.422787708"/>
    <n v="510697.52203574998"/>
  </r>
  <r>
    <x v="0"/>
    <x v="1"/>
    <x v="1"/>
    <x v="7"/>
    <x v="12"/>
    <s v="NO2_A1"/>
    <x v="7"/>
    <x v="5"/>
    <s v="GNR_WT_WIND_ONS"/>
    <x v="0"/>
    <x v="21"/>
    <n v="330.17998481167302"/>
    <n v="120515.694456261"/>
    <n v="433856.50004253798"/>
  </r>
  <r>
    <x v="0"/>
    <x v="1"/>
    <x v="1"/>
    <x v="7"/>
    <x v="12"/>
    <s v="NO2_A1"/>
    <x v="7"/>
    <x v="5"/>
    <s v="GNR_WT_WIND_ONS"/>
    <x v="0"/>
    <x v="22"/>
    <n v="375.34142007454602"/>
    <n v="136999.618327209"/>
    <n v="493198.62597795302"/>
  </r>
  <r>
    <x v="0"/>
    <x v="1"/>
    <x v="1"/>
    <x v="7"/>
    <x v="12"/>
    <s v="NO2_A1"/>
    <x v="7"/>
    <x v="5"/>
    <s v="GNR_WT_WIND_ONS"/>
    <x v="0"/>
    <x v="23"/>
    <n v="268.092790089414"/>
    <n v="97853.868382636007"/>
    <n v="352273.92617748998"/>
  </r>
  <r>
    <x v="0"/>
    <x v="1"/>
    <x v="1"/>
    <x v="7"/>
    <x v="13"/>
    <s v="NO3_A1"/>
    <x v="2"/>
    <x v="2"/>
    <s v="GBPR_MUNIWASTE"/>
    <x v="0"/>
    <x v="0"/>
    <n v="4.29"/>
    <n v="1565.85"/>
    <n v="5637.06"/>
  </r>
  <r>
    <x v="0"/>
    <x v="1"/>
    <x v="1"/>
    <x v="7"/>
    <x v="13"/>
    <s v="NO3_A1"/>
    <x v="2"/>
    <x v="2"/>
    <s v="GBPR_MUNIWASTE"/>
    <x v="0"/>
    <x v="1"/>
    <n v="4.29"/>
    <n v="1565.85"/>
    <n v="5637.06"/>
  </r>
  <r>
    <x v="0"/>
    <x v="1"/>
    <x v="1"/>
    <x v="7"/>
    <x v="13"/>
    <s v="NO3_A1"/>
    <x v="2"/>
    <x v="2"/>
    <s v="GBPR_MUNIWASTE"/>
    <x v="0"/>
    <x v="18"/>
    <n v="4.29"/>
    <n v="1565.85"/>
    <n v="5637.06"/>
  </r>
  <r>
    <x v="0"/>
    <x v="1"/>
    <x v="1"/>
    <x v="7"/>
    <x v="13"/>
    <s v="NO3_A1"/>
    <x v="2"/>
    <x v="2"/>
    <s v="GBPR_MUNIWASTE"/>
    <x v="0"/>
    <x v="2"/>
    <n v="4.29"/>
    <n v="1565.85"/>
    <n v="5637.06"/>
  </r>
  <r>
    <x v="0"/>
    <x v="1"/>
    <x v="1"/>
    <x v="7"/>
    <x v="13"/>
    <s v="NO3_A1"/>
    <x v="2"/>
    <x v="2"/>
    <s v="GBPR_MUNIWASTE"/>
    <x v="0"/>
    <x v="3"/>
    <n v="4.29"/>
    <n v="1565.85"/>
    <n v="5637.06"/>
  </r>
  <r>
    <x v="0"/>
    <x v="1"/>
    <x v="1"/>
    <x v="7"/>
    <x v="13"/>
    <s v="NO3_A1"/>
    <x v="2"/>
    <x v="2"/>
    <s v="GBPR_MUNIWASTE"/>
    <x v="0"/>
    <x v="4"/>
    <n v="4.29"/>
    <n v="1565.85"/>
    <n v="5637.06"/>
  </r>
  <r>
    <x v="0"/>
    <x v="1"/>
    <x v="1"/>
    <x v="7"/>
    <x v="13"/>
    <s v="NO3_A1"/>
    <x v="2"/>
    <x v="2"/>
    <s v="GBPR_MUNIWASTE"/>
    <x v="0"/>
    <x v="5"/>
    <n v="4.29"/>
    <n v="1565.85"/>
    <n v="5637.06"/>
  </r>
  <r>
    <x v="0"/>
    <x v="1"/>
    <x v="1"/>
    <x v="7"/>
    <x v="13"/>
    <s v="NO3_A1"/>
    <x v="2"/>
    <x v="2"/>
    <s v="GBPR_MUNIWASTE"/>
    <x v="0"/>
    <x v="6"/>
    <n v="4.29"/>
    <n v="1565.85"/>
    <n v="5637.06"/>
  </r>
  <r>
    <x v="0"/>
    <x v="1"/>
    <x v="1"/>
    <x v="7"/>
    <x v="13"/>
    <s v="NO3_A1"/>
    <x v="2"/>
    <x v="2"/>
    <s v="GBPR_MUNIWASTE"/>
    <x v="0"/>
    <x v="7"/>
    <n v="4.29"/>
    <n v="1565.85"/>
    <n v="5637.06"/>
  </r>
  <r>
    <x v="0"/>
    <x v="1"/>
    <x v="1"/>
    <x v="7"/>
    <x v="13"/>
    <s v="NO3_A1"/>
    <x v="2"/>
    <x v="2"/>
    <s v="GBPR_MUNIWASTE"/>
    <x v="0"/>
    <x v="8"/>
    <n v="4.29"/>
    <n v="1565.85"/>
    <n v="5637.06"/>
  </r>
  <r>
    <x v="0"/>
    <x v="1"/>
    <x v="1"/>
    <x v="7"/>
    <x v="13"/>
    <s v="NO3_A1"/>
    <x v="2"/>
    <x v="2"/>
    <s v="GBPR_MUNIWASTE"/>
    <x v="0"/>
    <x v="9"/>
    <n v="4.29"/>
    <n v="1565.85"/>
    <n v="5637.06"/>
  </r>
  <r>
    <x v="0"/>
    <x v="1"/>
    <x v="1"/>
    <x v="7"/>
    <x v="13"/>
    <s v="NO3_A1"/>
    <x v="2"/>
    <x v="2"/>
    <s v="GBPR_MUNIWASTE"/>
    <x v="0"/>
    <x v="10"/>
    <n v="4.29"/>
    <n v="1565.85"/>
    <n v="5637.06"/>
  </r>
  <r>
    <x v="0"/>
    <x v="1"/>
    <x v="1"/>
    <x v="7"/>
    <x v="13"/>
    <s v="NO3_A1"/>
    <x v="2"/>
    <x v="2"/>
    <s v="GBPR_MUNIWASTE"/>
    <x v="0"/>
    <x v="11"/>
    <n v="4.29"/>
    <n v="1565.85"/>
    <n v="5637.06"/>
  </r>
  <r>
    <x v="0"/>
    <x v="1"/>
    <x v="1"/>
    <x v="7"/>
    <x v="13"/>
    <s v="NO3_A1"/>
    <x v="2"/>
    <x v="2"/>
    <s v="GBPR_MUNIWASTE"/>
    <x v="0"/>
    <x v="12"/>
    <n v="4.29"/>
    <n v="1565.85"/>
    <n v="5637.06"/>
  </r>
  <r>
    <x v="0"/>
    <x v="1"/>
    <x v="1"/>
    <x v="7"/>
    <x v="13"/>
    <s v="NO3_A1"/>
    <x v="2"/>
    <x v="2"/>
    <s v="GBPR_MUNIWASTE"/>
    <x v="0"/>
    <x v="13"/>
    <n v="4.29"/>
    <n v="1565.85"/>
    <n v="5637.06"/>
  </r>
  <r>
    <x v="0"/>
    <x v="1"/>
    <x v="1"/>
    <x v="7"/>
    <x v="13"/>
    <s v="NO3_A1"/>
    <x v="2"/>
    <x v="2"/>
    <s v="GBPR_MUNIWASTE"/>
    <x v="0"/>
    <x v="14"/>
    <n v="4.29"/>
    <n v="1565.85"/>
    <n v="5637.06"/>
  </r>
  <r>
    <x v="0"/>
    <x v="1"/>
    <x v="1"/>
    <x v="7"/>
    <x v="13"/>
    <s v="NO3_A1"/>
    <x v="2"/>
    <x v="2"/>
    <s v="GBPR_MUNIWASTE"/>
    <x v="0"/>
    <x v="15"/>
    <n v="4.29"/>
    <n v="1565.85"/>
    <n v="5637.06"/>
  </r>
  <r>
    <x v="0"/>
    <x v="1"/>
    <x v="1"/>
    <x v="7"/>
    <x v="13"/>
    <s v="NO3_A1"/>
    <x v="2"/>
    <x v="2"/>
    <s v="GBPR_MUNIWASTE"/>
    <x v="0"/>
    <x v="16"/>
    <n v="4.29"/>
    <n v="1565.85"/>
    <n v="5637.06"/>
  </r>
  <r>
    <x v="0"/>
    <x v="1"/>
    <x v="1"/>
    <x v="7"/>
    <x v="13"/>
    <s v="NO3_A1"/>
    <x v="2"/>
    <x v="2"/>
    <s v="GBPR_MUNIWASTE"/>
    <x v="0"/>
    <x v="17"/>
    <n v="4.29"/>
    <n v="1565.85"/>
    <n v="5637.06"/>
  </r>
  <r>
    <x v="0"/>
    <x v="1"/>
    <x v="1"/>
    <x v="7"/>
    <x v="13"/>
    <s v="NO3_A1"/>
    <x v="2"/>
    <x v="2"/>
    <s v="GBPR_MUNIWASTE"/>
    <x v="0"/>
    <x v="19"/>
    <n v="4.29"/>
    <n v="1565.85"/>
    <n v="5637.06"/>
  </r>
  <r>
    <x v="0"/>
    <x v="1"/>
    <x v="1"/>
    <x v="7"/>
    <x v="13"/>
    <s v="NO3_A1"/>
    <x v="2"/>
    <x v="2"/>
    <s v="GBPR_MUNIWASTE"/>
    <x v="0"/>
    <x v="20"/>
    <n v="4.29"/>
    <n v="1565.85"/>
    <n v="5637.06"/>
  </r>
  <r>
    <x v="0"/>
    <x v="1"/>
    <x v="1"/>
    <x v="7"/>
    <x v="13"/>
    <s v="NO3_A1"/>
    <x v="2"/>
    <x v="2"/>
    <s v="GBPR_MUNIWASTE"/>
    <x v="0"/>
    <x v="21"/>
    <n v="4.29"/>
    <n v="1565.85"/>
    <n v="5637.06"/>
  </r>
  <r>
    <x v="0"/>
    <x v="1"/>
    <x v="1"/>
    <x v="7"/>
    <x v="13"/>
    <s v="NO3_A1"/>
    <x v="2"/>
    <x v="2"/>
    <s v="GBPR_MUNIWASTE"/>
    <x v="0"/>
    <x v="22"/>
    <n v="4.29"/>
    <n v="1565.85"/>
    <n v="5637.06"/>
  </r>
  <r>
    <x v="0"/>
    <x v="1"/>
    <x v="1"/>
    <x v="7"/>
    <x v="13"/>
    <s v="NO3_A1"/>
    <x v="2"/>
    <x v="2"/>
    <s v="GBPR_MUNIWASTE"/>
    <x v="0"/>
    <x v="23"/>
    <n v="4.29"/>
    <n v="1565.85"/>
    <n v="5637.06"/>
  </r>
  <r>
    <x v="0"/>
    <x v="1"/>
    <x v="1"/>
    <x v="7"/>
    <x v="13"/>
    <s v="NO3_A1"/>
    <x v="6"/>
    <x v="7"/>
    <s v="GNR_RES_WTR_NOPMP_MC-01"/>
    <x v="0"/>
    <x v="0"/>
    <n v="221.84651366034899"/>
    <n v="80973.977486027405"/>
    <n v="291506.31894969899"/>
  </r>
  <r>
    <x v="0"/>
    <x v="1"/>
    <x v="1"/>
    <x v="7"/>
    <x v="13"/>
    <s v="NO3_A1"/>
    <x v="6"/>
    <x v="7"/>
    <s v="GNR_RES_WTR_NOPMP_MC-01"/>
    <x v="0"/>
    <x v="1"/>
    <n v="221.84651366034899"/>
    <n v="80973.977486027405"/>
    <n v="291506.31894969899"/>
  </r>
  <r>
    <x v="0"/>
    <x v="1"/>
    <x v="1"/>
    <x v="7"/>
    <x v="13"/>
    <s v="NO3_A1"/>
    <x v="6"/>
    <x v="7"/>
    <s v="GNR_RES_WTR_NOPMP_MC-01"/>
    <x v="0"/>
    <x v="18"/>
    <n v="221.84651366034899"/>
    <n v="80973.977486027405"/>
    <n v="291506.31894969899"/>
  </r>
  <r>
    <x v="0"/>
    <x v="1"/>
    <x v="1"/>
    <x v="7"/>
    <x v="13"/>
    <s v="NO3_A1"/>
    <x v="6"/>
    <x v="7"/>
    <s v="GNR_RES_WTR_NOPMP_MC-01"/>
    <x v="0"/>
    <x v="2"/>
    <n v="221.84651366034899"/>
    <n v="80973.977486027405"/>
    <n v="291506.31894969899"/>
  </r>
  <r>
    <x v="0"/>
    <x v="1"/>
    <x v="1"/>
    <x v="7"/>
    <x v="13"/>
    <s v="NO3_A1"/>
    <x v="6"/>
    <x v="7"/>
    <s v="GNR_RES_WTR_NOPMP_MC-01"/>
    <x v="0"/>
    <x v="3"/>
    <n v="221.84651366034899"/>
    <n v="80973.977486027405"/>
    <n v="291506.31894969899"/>
  </r>
  <r>
    <x v="0"/>
    <x v="1"/>
    <x v="1"/>
    <x v="7"/>
    <x v="13"/>
    <s v="NO3_A1"/>
    <x v="6"/>
    <x v="7"/>
    <s v="GNR_RES_WTR_NOPMP_MC-01"/>
    <x v="0"/>
    <x v="4"/>
    <n v="221.84651366034899"/>
    <n v="80973.977486027405"/>
    <n v="291506.31894969899"/>
  </r>
  <r>
    <x v="0"/>
    <x v="1"/>
    <x v="1"/>
    <x v="7"/>
    <x v="13"/>
    <s v="NO3_A1"/>
    <x v="6"/>
    <x v="7"/>
    <s v="GNR_RES_WTR_NOPMP_MC-01"/>
    <x v="0"/>
    <x v="5"/>
    <n v="221.84651366034899"/>
    <n v="80973.977486027405"/>
    <n v="291506.31894969899"/>
  </r>
  <r>
    <x v="0"/>
    <x v="1"/>
    <x v="1"/>
    <x v="7"/>
    <x v="13"/>
    <s v="NO3_A1"/>
    <x v="6"/>
    <x v="7"/>
    <s v="GNR_RES_WTR_NOPMP_MC-01"/>
    <x v="0"/>
    <x v="6"/>
    <n v="221.84651366034899"/>
    <n v="80973.977486027405"/>
    <n v="291506.31894969899"/>
  </r>
  <r>
    <x v="0"/>
    <x v="1"/>
    <x v="1"/>
    <x v="7"/>
    <x v="13"/>
    <s v="NO3_A1"/>
    <x v="6"/>
    <x v="7"/>
    <s v="GNR_RES_WTR_NOPMP_MC-01"/>
    <x v="0"/>
    <x v="7"/>
    <n v="221.84651366034899"/>
    <n v="80973.977486027405"/>
    <n v="291506.31894969899"/>
  </r>
  <r>
    <x v="0"/>
    <x v="1"/>
    <x v="1"/>
    <x v="7"/>
    <x v="13"/>
    <s v="NO3_A1"/>
    <x v="6"/>
    <x v="7"/>
    <s v="GNR_RES_WTR_NOPMP_MC-01"/>
    <x v="0"/>
    <x v="8"/>
    <n v="221.84651366034899"/>
    <n v="80973.977486027405"/>
    <n v="291506.31894969899"/>
  </r>
  <r>
    <x v="0"/>
    <x v="1"/>
    <x v="1"/>
    <x v="7"/>
    <x v="13"/>
    <s v="NO3_A1"/>
    <x v="6"/>
    <x v="7"/>
    <s v="GNR_RES_WTR_NOPMP_MC-01"/>
    <x v="0"/>
    <x v="9"/>
    <n v="221.84651366034899"/>
    <n v="80973.977486027405"/>
    <n v="291506.31894969899"/>
  </r>
  <r>
    <x v="0"/>
    <x v="1"/>
    <x v="1"/>
    <x v="7"/>
    <x v="13"/>
    <s v="NO3_A1"/>
    <x v="6"/>
    <x v="7"/>
    <s v="GNR_RES_WTR_NOPMP_MC-01"/>
    <x v="0"/>
    <x v="10"/>
    <n v="221.84651366034899"/>
    <n v="80973.977486027405"/>
    <n v="291506.31894969899"/>
  </r>
  <r>
    <x v="0"/>
    <x v="1"/>
    <x v="1"/>
    <x v="7"/>
    <x v="13"/>
    <s v="NO3_A1"/>
    <x v="6"/>
    <x v="7"/>
    <s v="GNR_RES_WTR_NOPMP_MC-01"/>
    <x v="0"/>
    <x v="11"/>
    <n v="221.84651366034899"/>
    <n v="80973.977486027405"/>
    <n v="291506.31894969899"/>
  </r>
  <r>
    <x v="0"/>
    <x v="1"/>
    <x v="1"/>
    <x v="7"/>
    <x v="13"/>
    <s v="NO3_A1"/>
    <x v="6"/>
    <x v="7"/>
    <s v="GNR_RES_WTR_NOPMP_MC-01"/>
    <x v="0"/>
    <x v="12"/>
    <n v="221.84651366034899"/>
    <n v="80973.977486027405"/>
    <n v="291506.31894969899"/>
  </r>
  <r>
    <x v="0"/>
    <x v="1"/>
    <x v="1"/>
    <x v="7"/>
    <x v="13"/>
    <s v="NO3_A1"/>
    <x v="6"/>
    <x v="7"/>
    <s v="GNR_RES_WTR_NOPMP_MC-01"/>
    <x v="0"/>
    <x v="13"/>
    <n v="221.84651366034899"/>
    <n v="80973.977486027405"/>
    <n v="291506.31894969899"/>
  </r>
  <r>
    <x v="0"/>
    <x v="1"/>
    <x v="1"/>
    <x v="7"/>
    <x v="13"/>
    <s v="NO3_A1"/>
    <x v="6"/>
    <x v="7"/>
    <s v="GNR_RES_WTR_NOPMP_MC-01"/>
    <x v="0"/>
    <x v="14"/>
    <n v="221.84651366034899"/>
    <n v="80973.977486027405"/>
    <n v="291506.31894969899"/>
  </r>
  <r>
    <x v="0"/>
    <x v="1"/>
    <x v="1"/>
    <x v="7"/>
    <x v="13"/>
    <s v="NO3_A1"/>
    <x v="6"/>
    <x v="7"/>
    <s v="GNR_RES_WTR_NOPMP_MC-01"/>
    <x v="0"/>
    <x v="15"/>
    <n v="221.84651366034899"/>
    <n v="80973.977486027405"/>
    <n v="291506.31894969899"/>
  </r>
  <r>
    <x v="0"/>
    <x v="1"/>
    <x v="1"/>
    <x v="7"/>
    <x v="13"/>
    <s v="NO3_A1"/>
    <x v="6"/>
    <x v="7"/>
    <s v="GNR_RES_WTR_NOPMP_MC-01"/>
    <x v="0"/>
    <x v="16"/>
    <n v="221.84651366034899"/>
    <n v="80973.977486027405"/>
    <n v="291506.31894969899"/>
  </r>
  <r>
    <x v="0"/>
    <x v="1"/>
    <x v="1"/>
    <x v="7"/>
    <x v="13"/>
    <s v="NO3_A1"/>
    <x v="6"/>
    <x v="7"/>
    <s v="GNR_RES_WTR_NOPMP_MC-01"/>
    <x v="0"/>
    <x v="17"/>
    <n v="221.84651366034899"/>
    <n v="80973.977486027405"/>
    <n v="291506.31894969899"/>
  </r>
  <r>
    <x v="0"/>
    <x v="1"/>
    <x v="1"/>
    <x v="7"/>
    <x v="13"/>
    <s v="NO3_A1"/>
    <x v="6"/>
    <x v="7"/>
    <s v="GNR_RES_WTR_NOPMP_MC-01"/>
    <x v="0"/>
    <x v="19"/>
    <n v="221.84651366034899"/>
    <n v="80973.977486027405"/>
    <n v="291506.31894969899"/>
  </r>
  <r>
    <x v="0"/>
    <x v="1"/>
    <x v="1"/>
    <x v="7"/>
    <x v="13"/>
    <s v="NO3_A1"/>
    <x v="6"/>
    <x v="7"/>
    <s v="GNR_RES_WTR_NOPMP_MC-01"/>
    <x v="0"/>
    <x v="20"/>
    <n v="221.84651366034899"/>
    <n v="80973.977486027405"/>
    <n v="291506.31894969899"/>
  </r>
  <r>
    <x v="0"/>
    <x v="1"/>
    <x v="1"/>
    <x v="7"/>
    <x v="13"/>
    <s v="NO3_A1"/>
    <x v="6"/>
    <x v="7"/>
    <s v="GNR_RES_WTR_NOPMP_MC-01"/>
    <x v="0"/>
    <x v="21"/>
    <n v="221.84651366034899"/>
    <n v="80973.977486027405"/>
    <n v="291506.31894969899"/>
  </r>
  <r>
    <x v="0"/>
    <x v="1"/>
    <x v="1"/>
    <x v="7"/>
    <x v="13"/>
    <s v="NO3_A1"/>
    <x v="6"/>
    <x v="7"/>
    <s v="GNR_RES_WTR_NOPMP_MC-01"/>
    <x v="0"/>
    <x v="22"/>
    <n v="221.84651366034899"/>
    <n v="80973.977486027405"/>
    <n v="291506.31894969899"/>
  </r>
  <r>
    <x v="0"/>
    <x v="1"/>
    <x v="1"/>
    <x v="7"/>
    <x v="13"/>
    <s v="NO3_A1"/>
    <x v="6"/>
    <x v="7"/>
    <s v="GNR_RES_WTR_NOPMP_MC-01"/>
    <x v="0"/>
    <x v="23"/>
    <n v="221.84651366034899"/>
    <n v="80973.977486027405"/>
    <n v="291506.31894969899"/>
  </r>
  <r>
    <x v="0"/>
    <x v="1"/>
    <x v="1"/>
    <x v="7"/>
    <x v="13"/>
    <s v="NO3_A1"/>
    <x v="6"/>
    <x v="7"/>
    <s v="GNR_RES_WTR_NOPMP_MC-02"/>
    <x v="0"/>
    <x v="0"/>
    <n v="282.146513660349"/>
    <n v="102983.477486027"/>
    <n v="370740.51894969901"/>
  </r>
  <r>
    <x v="0"/>
    <x v="1"/>
    <x v="1"/>
    <x v="7"/>
    <x v="13"/>
    <s v="NO3_A1"/>
    <x v="6"/>
    <x v="7"/>
    <s v="GNR_RES_WTR_NOPMP_MC-02"/>
    <x v="0"/>
    <x v="1"/>
    <n v="282.146513660349"/>
    <n v="102983.477486027"/>
    <n v="370740.51894969901"/>
  </r>
  <r>
    <x v="0"/>
    <x v="1"/>
    <x v="1"/>
    <x v="7"/>
    <x v="13"/>
    <s v="NO3_A1"/>
    <x v="6"/>
    <x v="7"/>
    <s v="GNR_RES_WTR_NOPMP_MC-02"/>
    <x v="0"/>
    <x v="18"/>
    <n v="282.146513660349"/>
    <n v="102983.477486027"/>
    <n v="370740.51894969901"/>
  </r>
  <r>
    <x v="0"/>
    <x v="1"/>
    <x v="1"/>
    <x v="7"/>
    <x v="13"/>
    <s v="NO3_A1"/>
    <x v="6"/>
    <x v="7"/>
    <s v="GNR_RES_WTR_NOPMP_MC-02"/>
    <x v="0"/>
    <x v="2"/>
    <n v="282.146513660349"/>
    <n v="102983.477486027"/>
    <n v="370740.51894969901"/>
  </r>
  <r>
    <x v="0"/>
    <x v="1"/>
    <x v="1"/>
    <x v="7"/>
    <x v="13"/>
    <s v="NO3_A1"/>
    <x v="6"/>
    <x v="7"/>
    <s v="GNR_RES_WTR_NOPMP_MC-02"/>
    <x v="0"/>
    <x v="3"/>
    <n v="282.146513660349"/>
    <n v="102983.477486027"/>
    <n v="370740.51894969901"/>
  </r>
  <r>
    <x v="0"/>
    <x v="1"/>
    <x v="1"/>
    <x v="7"/>
    <x v="13"/>
    <s v="NO3_A1"/>
    <x v="6"/>
    <x v="7"/>
    <s v="GNR_RES_WTR_NOPMP_MC-02"/>
    <x v="0"/>
    <x v="4"/>
    <n v="282.146513660349"/>
    <n v="102983.477486027"/>
    <n v="370740.51894969901"/>
  </r>
  <r>
    <x v="0"/>
    <x v="1"/>
    <x v="1"/>
    <x v="7"/>
    <x v="13"/>
    <s v="NO3_A1"/>
    <x v="6"/>
    <x v="7"/>
    <s v="GNR_RES_WTR_NOPMP_MC-02"/>
    <x v="0"/>
    <x v="5"/>
    <n v="282.146513660349"/>
    <n v="102983.477486027"/>
    <n v="370740.51894969901"/>
  </r>
  <r>
    <x v="0"/>
    <x v="1"/>
    <x v="1"/>
    <x v="7"/>
    <x v="13"/>
    <s v="NO3_A1"/>
    <x v="6"/>
    <x v="7"/>
    <s v="GNR_RES_WTR_NOPMP_MC-02"/>
    <x v="0"/>
    <x v="6"/>
    <n v="282.146513660349"/>
    <n v="102983.477486027"/>
    <n v="370740.51894969901"/>
  </r>
  <r>
    <x v="0"/>
    <x v="1"/>
    <x v="1"/>
    <x v="7"/>
    <x v="13"/>
    <s v="NO3_A1"/>
    <x v="6"/>
    <x v="7"/>
    <s v="GNR_RES_WTR_NOPMP_MC-02"/>
    <x v="0"/>
    <x v="7"/>
    <n v="282.146513660349"/>
    <n v="102983.477486027"/>
    <n v="370740.51894969901"/>
  </r>
  <r>
    <x v="0"/>
    <x v="1"/>
    <x v="1"/>
    <x v="7"/>
    <x v="13"/>
    <s v="NO3_A1"/>
    <x v="6"/>
    <x v="7"/>
    <s v="GNR_RES_WTR_NOPMP_MC-02"/>
    <x v="0"/>
    <x v="8"/>
    <n v="282.146513660349"/>
    <n v="102983.477486027"/>
    <n v="370740.51894969901"/>
  </r>
  <r>
    <x v="0"/>
    <x v="1"/>
    <x v="1"/>
    <x v="7"/>
    <x v="13"/>
    <s v="NO3_A1"/>
    <x v="6"/>
    <x v="7"/>
    <s v="GNR_RES_WTR_NOPMP_MC-02"/>
    <x v="0"/>
    <x v="9"/>
    <n v="282.146513660349"/>
    <n v="102983.477486027"/>
    <n v="370740.51894969901"/>
  </r>
  <r>
    <x v="0"/>
    <x v="1"/>
    <x v="1"/>
    <x v="7"/>
    <x v="13"/>
    <s v="NO3_A1"/>
    <x v="6"/>
    <x v="7"/>
    <s v="GNR_RES_WTR_NOPMP_MC-02"/>
    <x v="0"/>
    <x v="10"/>
    <n v="282.146513660349"/>
    <n v="102983.477486027"/>
    <n v="370740.51894969901"/>
  </r>
  <r>
    <x v="0"/>
    <x v="1"/>
    <x v="1"/>
    <x v="7"/>
    <x v="13"/>
    <s v="NO3_A1"/>
    <x v="6"/>
    <x v="7"/>
    <s v="GNR_RES_WTR_NOPMP_MC-02"/>
    <x v="0"/>
    <x v="11"/>
    <n v="282.146513660349"/>
    <n v="102983.477486027"/>
    <n v="370740.51894969901"/>
  </r>
  <r>
    <x v="0"/>
    <x v="1"/>
    <x v="1"/>
    <x v="7"/>
    <x v="13"/>
    <s v="NO3_A1"/>
    <x v="6"/>
    <x v="7"/>
    <s v="GNR_RES_WTR_NOPMP_MC-02"/>
    <x v="0"/>
    <x v="12"/>
    <n v="282.146513660349"/>
    <n v="102983.477486027"/>
    <n v="370740.51894969901"/>
  </r>
  <r>
    <x v="0"/>
    <x v="1"/>
    <x v="1"/>
    <x v="7"/>
    <x v="13"/>
    <s v="NO3_A1"/>
    <x v="6"/>
    <x v="7"/>
    <s v="GNR_RES_WTR_NOPMP_MC-02"/>
    <x v="0"/>
    <x v="13"/>
    <n v="282.146513660349"/>
    <n v="102983.477486027"/>
    <n v="370740.51894969901"/>
  </r>
  <r>
    <x v="0"/>
    <x v="1"/>
    <x v="1"/>
    <x v="7"/>
    <x v="13"/>
    <s v="NO3_A1"/>
    <x v="6"/>
    <x v="7"/>
    <s v="GNR_RES_WTR_NOPMP_MC-02"/>
    <x v="0"/>
    <x v="14"/>
    <n v="282.146513660349"/>
    <n v="102983.477486027"/>
    <n v="370740.51894969901"/>
  </r>
  <r>
    <x v="0"/>
    <x v="1"/>
    <x v="1"/>
    <x v="7"/>
    <x v="13"/>
    <s v="NO3_A1"/>
    <x v="6"/>
    <x v="7"/>
    <s v="GNR_RES_WTR_NOPMP_MC-02"/>
    <x v="0"/>
    <x v="15"/>
    <n v="282.146513660349"/>
    <n v="102983.477486027"/>
    <n v="370740.51894969901"/>
  </r>
  <r>
    <x v="0"/>
    <x v="1"/>
    <x v="1"/>
    <x v="7"/>
    <x v="13"/>
    <s v="NO3_A1"/>
    <x v="6"/>
    <x v="7"/>
    <s v="GNR_RES_WTR_NOPMP_MC-02"/>
    <x v="0"/>
    <x v="16"/>
    <n v="282.146513660349"/>
    <n v="102983.477486027"/>
    <n v="370740.51894969901"/>
  </r>
  <r>
    <x v="0"/>
    <x v="1"/>
    <x v="1"/>
    <x v="7"/>
    <x v="13"/>
    <s v="NO3_A1"/>
    <x v="6"/>
    <x v="7"/>
    <s v="GNR_RES_WTR_NOPMP_MC-02"/>
    <x v="0"/>
    <x v="17"/>
    <n v="282.146513660349"/>
    <n v="102983.477486027"/>
    <n v="370740.51894969901"/>
  </r>
  <r>
    <x v="0"/>
    <x v="1"/>
    <x v="1"/>
    <x v="7"/>
    <x v="13"/>
    <s v="NO3_A1"/>
    <x v="6"/>
    <x v="7"/>
    <s v="GNR_RES_WTR_NOPMP_MC-02"/>
    <x v="0"/>
    <x v="19"/>
    <n v="282.146513660349"/>
    <n v="102983.477486027"/>
    <n v="370740.51894969901"/>
  </r>
  <r>
    <x v="0"/>
    <x v="1"/>
    <x v="1"/>
    <x v="7"/>
    <x v="13"/>
    <s v="NO3_A1"/>
    <x v="6"/>
    <x v="7"/>
    <s v="GNR_RES_WTR_NOPMP_MC-02"/>
    <x v="0"/>
    <x v="20"/>
    <n v="282.146513660349"/>
    <n v="102983.477486027"/>
    <n v="370740.51894969901"/>
  </r>
  <r>
    <x v="0"/>
    <x v="1"/>
    <x v="1"/>
    <x v="7"/>
    <x v="13"/>
    <s v="NO3_A1"/>
    <x v="6"/>
    <x v="7"/>
    <s v="GNR_RES_WTR_NOPMP_MC-02"/>
    <x v="0"/>
    <x v="21"/>
    <n v="282.146513660349"/>
    <n v="102983.477486027"/>
    <n v="370740.51894969901"/>
  </r>
  <r>
    <x v="0"/>
    <x v="1"/>
    <x v="1"/>
    <x v="7"/>
    <x v="13"/>
    <s v="NO3_A1"/>
    <x v="6"/>
    <x v="7"/>
    <s v="GNR_RES_WTR_NOPMP_MC-02"/>
    <x v="0"/>
    <x v="22"/>
    <n v="282.146513660349"/>
    <n v="102983.477486027"/>
    <n v="370740.51894969901"/>
  </r>
  <r>
    <x v="0"/>
    <x v="1"/>
    <x v="1"/>
    <x v="7"/>
    <x v="13"/>
    <s v="NO3_A1"/>
    <x v="6"/>
    <x v="7"/>
    <s v="GNR_RES_WTR_NOPMP_MC-02"/>
    <x v="0"/>
    <x v="23"/>
    <n v="282.146513660349"/>
    <n v="102983.477486027"/>
    <n v="370740.51894969901"/>
  </r>
  <r>
    <x v="0"/>
    <x v="1"/>
    <x v="1"/>
    <x v="7"/>
    <x v="13"/>
    <s v="NO3_A1"/>
    <x v="6"/>
    <x v="7"/>
    <s v="GNR_RES_WTR_NOPMP_MC-03"/>
    <x v="0"/>
    <x v="0"/>
    <n v="282.146513660349"/>
    <n v="102983.477486027"/>
    <n v="370740.51894969901"/>
  </r>
  <r>
    <x v="0"/>
    <x v="1"/>
    <x v="1"/>
    <x v="7"/>
    <x v="13"/>
    <s v="NO3_A1"/>
    <x v="6"/>
    <x v="7"/>
    <s v="GNR_RES_WTR_NOPMP_MC-03"/>
    <x v="0"/>
    <x v="1"/>
    <n v="282.146513660349"/>
    <n v="102983.477486027"/>
    <n v="370740.51894969901"/>
  </r>
  <r>
    <x v="0"/>
    <x v="1"/>
    <x v="1"/>
    <x v="7"/>
    <x v="13"/>
    <s v="NO3_A1"/>
    <x v="6"/>
    <x v="7"/>
    <s v="GNR_RES_WTR_NOPMP_MC-03"/>
    <x v="0"/>
    <x v="18"/>
    <n v="282.146513660349"/>
    <n v="102983.477486027"/>
    <n v="370740.51894969901"/>
  </r>
  <r>
    <x v="0"/>
    <x v="1"/>
    <x v="1"/>
    <x v="7"/>
    <x v="13"/>
    <s v="NO3_A1"/>
    <x v="6"/>
    <x v="7"/>
    <s v="GNR_RES_WTR_NOPMP_MC-03"/>
    <x v="0"/>
    <x v="2"/>
    <n v="282.146513660349"/>
    <n v="102983.477486027"/>
    <n v="370740.51894969901"/>
  </r>
  <r>
    <x v="0"/>
    <x v="1"/>
    <x v="1"/>
    <x v="7"/>
    <x v="13"/>
    <s v="NO3_A1"/>
    <x v="6"/>
    <x v="7"/>
    <s v="GNR_RES_WTR_NOPMP_MC-03"/>
    <x v="0"/>
    <x v="3"/>
    <n v="282.146513660349"/>
    <n v="102983.477486027"/>
    <n v="370740.51894969901"/>
  </r>
  <r>
    <x v="0"/>
    <x v="1"/>
    <x v="1"/>
    <x v="7"/>
    <x v="13"/>
    <s v="NO3_A1"/>
    <x v="6"/>
    <x v="7"/>
    <s v="GNR_RES_WTR_NOPMP_MC-03"/>
    <x v="0"/>
    <x v="4"/>
    <n v="282.146513660349"/>
    <n v="102983.477486027"/>
    <n v="370740.51894969901"/>
  </r>
  <r>
    <x v="0"/>
    <x v="1"/>
    <x v="1"/>
    <x v="7"/>
    <x v="13"/>
    <s v="NO3_A1"/>
    <x v="6"/>
    <x v="7"/>
    <s v="GNR_RES_WTR_NOPMP_MC-03"/>
    <x v="0"/>
    <x v="5"/>
    <n v="282.146513660349"/>
    <n v="102983.477486027"/>
    <n v="370740.51894969901"/>
  </r>
  <r>
    <x v="0"/>
    <x v="1"/>
    <x v="1"/>
    <x v="7"/>
    <x v="13"/>
    <s v="NO3_A1"/>
    <x v="6"/>
    <x v="7"/>
    <s v="GNR_RES_WTR_NOPMP_MC-03"/>
    <x v="0"/>
    <x v="6"/>
    <n v="282.146513660349"/>
    <n v="102983.477486027"/>
    <n v="370740.51894969901"/>
  </r>
  <r>
    <x v="0"/>
    <x v="1"/>
    <x v="1"/>
    <x v="7"/>
    <x v="13"/>
    <s v="NO3_A1"/>
    <x v="6"/>
    <x v="7"/>
    <s v="GNR_RES_WTR_NOPMP_MC-03"/>
    <x v="0"/>
    <x v="7"/>
    <n v="282.146513660349"/>
    <n v="102983.477486027"/>
    <n v="370740.51894969901"/>
  </r>
  <r>
    <x v="0"/>
    <x v="1"/>
    <x v="1"/>
    <x v="7"/>
    <x v="13"/>
    <s v="NO3_A1"/>
    <x v="6"/>
    <x v="7"/>
    <s v="GNR_RES_WTR_NOPMP_MC-03"/>
    <x v="0"/>
    <x v="8"/>
    <n v="282.146513660349"/>
    <n v="102983.477486027"/>
    <n v="370740.51894969901"/>
  </r>
  <r>
    <x v="0"/>
    <x v="1"/>
    <x v="1"/>
    <x v="7"/>
    <x v="13"/>
    <s v="NO3_A1"/>
    <x v="6"/>
    <x v="7"/>
    <s v="GNR_RES_WTR_NOPMP_MC-03"/>
    <x v="0"/>
    <x v="9"/>
    <n v="282.146513660349"/>
    <n v="102983.477486027"/>
    <n v="370740.51894969901"/>
  </r>
  <r>
    <x v="0"/>
    <x v="1"/>
    <x v="1"/>
    <x v="7"/>
    <x v="13"/>
    <s v="NO3_A1"/>
    <x v="6"/>
    <x v="7"/>
    <s v="GNR_RES_WTR_NOPMP_MC-03"/>
    <x v="0"/>
    <x v="10"/>
    <n v="282.146513660349"/>
    <n v="102983.477486027"/>
    <n v="370740.51894969901"/>
  </r>
  <r>
    <x v="0"/>
    <x v="1"/>
    <x v="1"/>
    <x v="7"/>
    <x v="13"/>
    <s v="NO3_A1"/>
    <x v="6"/>
    <x v="7"/>
    <s v="GNR_RES_WTR_NOPMP_MC-03"/>
    <x v="0"/>
    <x v="11"/>
    <n v="282.146513660349"/>
    <n v="102983.477486027"/>
    <n v="370740.51894969901"/>
  </r>
  <r>
    <x v="0"/>
    <x v="1"/>
    <x v="1"/>
    <x v="7"/>
    <x v="13"/>
    <s v="NO3_A1"/>
    <x v="6"/>
    <x v="7"/>
    <s v="GNR_RES_WTR_NOPMP_MC-03"/>
    <x v="0"/>
    <x v="12"/>
    <n v="282.146513660349"/>
    <n v="102983.477486027"/>
    <n v="370740.51894969901"/>
  </r>
  <r>
    <x v="0"/>
    <x v="1"/>
    <x v="1"/>
    <x v="7"/>
    <x v="13"/>
    <s v="NO3_A1"/>
    <x v="6"/>
    <x v="7"/>
    <s v="GNR_RES_WTR_NOPMP_MC-03"/>
    <x v="0"/>
    <x v="13"/>
    <n v="282.146513660349"/>
    <n v="102983.477486027"/>
    <n v="370740.51894969901"/>
  </r>
  <r>
    <x v="0"/>
    <x v="1"/>
    <x v="1"/>
    <x v="7"/>
    <x v="13"/>
    <s v="NO3_A1"/>
    <x v="6"/>
    <x v="7"/>
    <s v="GNR_RES_WTR_NOPMP_MC-03"/>
    <x v="0"/>
    <x v="14"/>
    <n v="282.146513660349"/>
    <n v="102983.477486027"/>
    <n v="370740.51894969901"/>
  </r>
  <r>
    <x v="0"/>
    <x v="1"/>
    <x v="1"/>
    <x v="7"/>
    <x v="13"/>
    <s v="NO3_A1"/>
    <x v="6"/>
    <x v="7"/>
    <s v="GNR_RES_WTR_NOPMP_MC-03"/>
    <x v="0"/>
    <x v="15"/>
    <n v="282.146513660349"/>
    <n v="102983.477486027"/>
    <n v="370740.51894969901"/>
  </r>
  <r>
    <x v="0"/>
    <x v="1"/>
    <x v="1"/>
    <x v="7"/>
    <x v="13"/>
    <s v="NO3_A1"/>
    <x v="6"/>
    <x v="7"/>
    <s v="GNR_RES_WTR_NOPMP_MC-03"/>
    <x v="0"/>
    <x v="16"/>
    <n v="282.146513660349"/>
    <n v="102983.477486027"/>
    <n v="370740.51894969901"/>
  </r>
  <r>
    <x v="0"/>
    <x v="1"/>
    <x v="1"/>
    <x v="7"/>
    <x v="13"/>
    <s v="NO3_A1"/>
    <x v="6"/>
    <x v="7"/>
    <s v="GNR_RES_WTR_NOPMP_MC-03"/>
    <x v="0"/>
    <x v="17"/>
    <n v="282.146513660349"/>
    <n v="102983.477486027"/>
    <n v="370740.51894969901"/>
  </r>
  <r>
    <x v="0"/>
    <x v="1"/>
    <x v="1"/>
    <x v="7"/>
    <x v="13"/>
    <s v="NO3_A1"/>
    <x v="6"/>
    <x v="7"/>
    <s v="GNR_RES_WTR_NOPMP_MC-03"/>
    <x v="0"/>
    <x v="19"/>
    <n v="282.146513660349"/>
    <n v="102983.477486027"/>
    <n v="370740.51894969901"/>
  </r>
  <r>
    <x v="0"/>
    <x v="1"/>
    <x v="1"/>
    <x v="7"/>
    <x v="13"/>
    <s v="NO3_A1"/>
    <x v="6"/>
    <x v="7"/>
    <s v="GNR_RES_WTR_NOPMP_MC-03"/>
    <x v="0"/>
    <x v="20"/>
    <n v="282.146513660349"/>
    <n v="102983.477486027"/>
    <n v="370740.51894969901"/>
  </r>
  <r>
    <x v="0"/>
    <x v="1"/>
    <x v="1"/>
    <x v="7"/>
    <x v="13"/>
    <s v="NO3_A1"/>
    <x v="6"/>
    <x v="7"/>
    <s v="GNR_RES_WTR_NOPMP_MC-03"/>
    <x v="0"/>
    <x v="21"/>
    <n v="282.146513660349"/>
    <n v="102983.477486027"/>
    <n v="370740.51894969901"/>
  </r>
  <r>
    <x v="0"/>
    <x v="1"/>
    <x v="1"/>
    <x v="7"/>
    <x v="13"/>
    <s v="NO3_A1"/>
    <x v="6"/>
    <x v="7"/>
    <s v="GNR_RES_WTR_NOPMP_MC-03"/>
    <x v="0"/>
    <x v="22"/>
    <n v="282.146513660349"/>
    <n v="102983.477486027"/>
    <n v="370740.51894969901"/>
  </r>
  <r>
    <x v="0"/>
    <x v="1"/>
    <x v="1"/>
    <x v="7"/>
    <x v="13"/>
    <s v="NO3_A1"/>
    <x v="6"/>
    <x v="7"/>
    <s v="GNR_RES_WTR_NOPMP_MC-03"/>
    <x v="0"/>
    <x v="23"/>
    <n v="282.146513660349"/>
    <n v="102983.477486027"/>
    <n v="370740.51894969901"/>
  </r>
  <r>
    <x v="0"/>
    <x v="1"/>
    <x v="1"/>
    <x v="7"/>
    <x v="13"/>
    <s v="NO3_A1"/>
    <x v="6"/>
    <x v="7"/>
    <s v="GNR_RES_WTR_NOPMP_MC-04"/>
    <x v="0"/>
    <x v="0"/>
    <n v="282.146513660349"/>
    <n v="102983.477486027"/>
    <n v="370740.51894969901"/>
  </r>
  <r>
    <x v="0"/>
    <x v="1"/>
    <x v="1"/>
    <x v="7"/>
    <x v="13"/>
    <s v="NO3_A1"/>
    <x v="6"/>
    <x v="7"/>
    <s v="GNR_RES_WTR_NOPMP_MC-04"/>
    <x v="0"/>
    <x v="1"/>
    <n v="255.93754642147101"/>
    <n v="93417.204443837094"/>
    <n v="336301.93599781301"/>
  </r>
  <r>
    <x v="0"/>
    <x v="1"/>
    <x v="1"/>
    <x v="7"/>
    <x v="13"/>
    <s v="NO3_A1"/>
    <x v="6"/>
    <x v="7"/>
    <s v="GNR_RES_WTR_NOPMP_MC-04"/>
    <x v="0"/>
    <x v="18"/>
    <n v="127.11276605974"/>
    <n v="46396.159611805197"/>
    <n v="167026.174602499"/>
  </r>
  <r>
    <x v="0"/>
    <x v="1"/>
    <x v="1"/>
    <x v="7"/>
    <x v="13"/>
    <s v="NO3_A1"/>
    <x v="6"/>
    <x v="7"/>
    <s v="GNR_RES_WTR_NOPMP_MC-04"/>
    <x v="0"/>
    <x v="2"/>
    <n v="282.146513660349"/>
    <n v="102983.477486027"/>
    <n v="370740.51894969901"/>
  </r>
  <r>
    <x v="0"/>
    <x v="1"/>
    <x v="1"/>
    <x v="7"/>
    <x v="13"/>
    <s v="NO3_A1"/>
    <x v="6"/>
    <x v="7"/>
    <s v="GNR_RES_WTR_NOPMP_MC-04"/>
    <x v="0"/>
    <x v="3"/>
    <n v="282.146513660349"/>
    <n v="102983.477486027"/>
    <n v="370740.51894969901"/>
  </r>
  <r>
    <x v="0"/>
    <x v="1"/>
    <x v="1"/>
    <x v="7"/>
    <x v="13"/>
    <s v="NO3_A1"/>
    <x v="6"/>
    <x v="7"/>
    <s v="GNR_RES_WTR_NOPMP_MC-04"/>
    <x v="0"/>
    <x v="4"/>
    <n v="282.146513660349"/>
    <n v="102983.477486027"/>
    <n v="370740.51894969901"/>
  </r>
  <r>
    <x v="0"/>
    <x v="1"/>
    <x v="1"/>
    <x v="7"/>
    <x v="13"/>
    <s v="NO3_A1"/>
    <x v="6"/>
    <x v="7"/>
    <s v="GNR_RES_WTR_NOPMP_MC-04"/>
    <x v="0"/>
    <x v="5"/>
    <n v="282.146513660349"/>
    <n v="102983.477486027"/>
    <n v="370740.51894969901"/>
  </r>
  <r>
    <x v="0"/>
    <x v="1"/>
    <x v="1"/>
    <x v="7"/>
    <x v="13"/>
    <s v="NO3_A1"/>
    <x v="6"/>
    <x v="7"/>
    <s v="GNR_RES_WTR_NOPMP_MC-04"/>
    <x v="0"/>
    <x v="6"/>
    <n v="282.146513660349"/>
    <n v="102983.477486027"/>
    <n v="370740.51894969901"/>
  </r>
  <r>
    <x v="0"/>
    <x v="1"/>
    <x v="1"/>
    <x v="7"/>
    <x v="13"/>
    <s v="NO3_A1"/>
    <x v="6"/>
    <x v="7"/>
    <s v="GNR_RES_WTR_NOPMP_MC-04"/>
    <x v="0"/>
    <x v="7"/>
    <n v="282.146513660349"/>
    <n v="102983.477486027"/>
    <n v="370740.51894969901"/>
  </r>
  <r>
    <x v="0"/>
    <x v="1"/>
    <x v="1"/>
    <x v="7"/>
    <x v="13"/>
    <s v="NO3_A1"/>
    <x v="6"/>
    <x v="7"/>
    <s v="GNR_RES_WTR_NOPMP_MC-04"/>
    <x v="0"/>
    <x v="8"/>
    <n v="282.146513660349"/>
    <n v="102983.477486027"/>
    <n v="370740.51894969901"/>
  </r>
  <r>
    <x v="0"/>
    <x v="1"/>
    <x v="1"/>
    <x v="7"/>
    <x v="13"/>
    <s v="NO3_A1"/>
    <x v="6"/>
    <x v="7"/>
    <s v="GNR_RES_WTR_NOPMP_MC-04"/>
    <x v="0"/>
    <x v="9"/>
    <n v="282.146513660349"/>
    <n v="102983.477486027"/>
    <n v="370740.51894969901"/>
  </r>
  <r>
    <x v="0"/>
    <x v="1"/>
    <x v="1"/>
    <x v="7"/>
    <x v="13"/>
    <s v="NO3_A1"/>
    <x v="6"/>
    <x v="7"/>
    <s v="GNR_RES_WTR_NOPMP_MC-04"/>
    <x v="0"/>
    <x v="10"/>
    <n v="282.146513660349"/>
    <n v="102983.477486027"/>
    <n v="370740.51894969901"/>
  </r>
  <r>
    <x v="0"/>
    <x v="1"/>
    <x v="1"/>
    <x v="7"/>
    <x v="13"/>
    <s v="NO3_A1"/>
    <x v="6"/>
    <x v="7"/>
    <s v="GNR_RES_WTR_NOPMP_MC-04"/>
    <x v="0"/>
    <x v="11"/>
    <n v="282.146513660349"/>
    <n v="102983.477486027"/>
    <n v="370740.51894969901"/>
  </r>
  <r>
    <x v="0"/>
    <x v="1"/>
    <x v="1"/>
    <x v="7"/>
    <x v="13"/>
    <s v="NO3_A1"/>
    <x v="6"/>
    <x v="7"/>
    <s v="GNR_RES_WTR_NOPMP_MC-04"/>
    <x v="0"/>
    <x v="12"/>
    <n v="282.146513660349"/>
    <n v="102983.477486027"/>
    <n v="370740.51894969901"/>
  </r>
  <r>
    <x v="0"/>
    <x v="1"/>
    <x v="1"/>
    <x v="7"/>
    <x v="13"/>
    <s v="NO3_A1"/>
    <x v="6"/>
    <x v="7"/>
    <s v="GNR_RES_WTR_NOPMP_MC-04"/>
    <x v="0"/>
    <x v="13"/>
    <n v="282.146513660349"/>
    <n v="102983.477486027"/>
    <n v="370740.51894969901"/>
  </r>
  <r>
    <x v="0"/>
    <x v="1"/>
    <x v="1"/>
    <x v="7"/>
    <x v="13"/>
    <s v="NO3_A1"/>
    <x v="6"/>
    <x v="7"/>
    <s v="GNR_RES_WTR_NOPMP_MC-04"/>
    <x v="0"/>
    <x v="14"/>
    <n v="282.146513660349"/>
    <n v="102983.477486027"/>
    <n v="370740.51894969901"/>
  </r>
  <r>
    <x v="0"/>
    <x v="1"/>
    <x v="1"/>
    <x v="7"/>
    <x v="13"/>
    <s v="NO3_A1"/>
    <x v="6"/>
    <x v="7"/>
    <s v="GNR_RES_WTR_NOPMP_MC-04"/>
    <x v="0"/>
    <x v="15"/>
    <n v="282.146513660349"/>
    <n v="102983.477486027"/>
    <n v="370740.51894969901"/>
  </r>
  <r>
    <x v="0"/>
    <x v="1"/>
    <x v="1"/>
    <x v="7"/>
    <x v="13"/>
    <s v="NO3_A1"/>
    <x v="6"/>
    <x v="7"/>
    <s v="GNR_RES_WTR_NOPMP_MC-04"/>
    <x v="0"/>
    <x v="16"/>
    <n v="282.146513660349"/>
    <n v="102983.477486027"/>
    <n v="370740.51894969901"/>
  </r>
  <r>
    <x v="0"/>
    <x v="1"/>
    <x v="1"/>
    <x v="7"/>
    <x v="13"/>
    <s v="NO3_A1"/>
    <x v="6"/>
    <x v="7"/>
    <s v="GNR_RES_WTR_NOPMP_MC-04"/>
    <x v="0"/>
    <x v="17"/>
    <n v="282.146513660349"/>
    <n v="102983.477486027"/>
    <n v="370740.51894969901"/>
  </r>
  <r>
    <x v="0"/>
    <x v="1"/>
    <x v="1"/>
    <x v="7"/>
    <x v="13"/>
    <s v="NO3_A1"/>
    <x v="6"/>
    <x v="7"/>
    <s v="GNR_RES_WTR_NOPMP_MC-04"/>
    <x v="0"/>
    <x v="19"/>
    <n v="282.146513660349"/>
    <n v="102983.477486027"/>
    <n v="370740.51894969901"/>
  </r>
  <r>
    <x v="0"/>
    <x v="1"/>
    <x v="1"/>
    <x v="7"/>
    <x v="13"/>
    <s v="NO3_A1"/>
    <x v="6"/>
    <x v="7"/>
    <s v="GNR_RES_WTR_NOPMP_MC-04"/>
    <x v="0"/>
    <x v="20"/>
    <n v="282.146513660349"/>
    <n v="102983.477486027"/>
    <n v="370740.51894969901"/>
  </r>
  <r>
    <x v="0"/>
    <x v="1"/>
    <x v="1"/>
    <x v="7"/>
    <x v="13"/>
    <s v="NO3_A1"/>
    <x v="6"/>
    <x v="7"/>
    <s v="GNR_RES_WTR_NOPMP_MC-04"/>
    <x v="0"/>
    <x v="21"/>
    <n v="282.146513660349"/>
    <n v="102983.477486027"/>
    <n v="370740.51894969901"/>
  </r>
  <r>
    <x v="0"/>
    <x v="1"/>
    <x v="1"/>
    <x v="7"/>
    <x v="13"/>
    <s v="NO3_A1"/>
    <x v="6"/>
    <x v="7"/>
    <s v="GNR_RES_WTR_NOPMP_MC-05"/>
    <x v="0"/>
    <x v="5"/>
    <n v="282.146513660349"/>
    <n v="102983.477486027"/>
    <n v="370740.51894969901"/>
  </r>
  <r>
    <x v="0"/>
    <x v="1"/>
    <x v="1"/>
    <x v="7"/>
    <x v="13"/>
    <s v="NO3_A1"/>
    <x v="6"/>
    <x v="7"/>
    <s v="GNR_RES_WTR_NOPMP_MC-05"/>
    <x v="0"/>
    <x v="6"/>
    <n v="282.146513660349"/>
    <n v="102983.477486027"/>
    <n v="370740.51894969901"/>
  </r>
  <r>
    <x v="0"/>
    <x v="1"/>
    <x v="1"/>
    <x v="7"/>
    <x v="13"/>
    <s v="NO3_A1"/>
    <x v="6"/>
    <x v="7"/>
    <s v="GNR_RES_WTR_NOPMP_MC-05"/>
    <x v="0"/>
    <x v="7"/>
    <n v="282.146513660349"/>
    <n v="102983.477486027"/>
    <n v="370740.51894969901"/>
  </r>
  <r>
    <x v="0"/>
    <x v="1"/>
    <x v="1"/>
    <x v="7"/>
    <x v="13"/>
    <s v="NO3_A1"/>
    <x v="6"/>
    <x v="7"/>
    <s v="GNR_RES_WTR_NOPMP_MC-05"/>
    <x v="0"/>
    <x v="8"/>
    <n v="282.146513660349"/>
    <n v="102983.477486027"/>
    <n v="370740.51894969901"/>
  </r>
  <r>
    <x v="0"/>
    <x v="1"/>
    <x v="1"/>
    <x v="7"/>
    <x v="13"/>
    <s v="NO3_A1"/>
    <x v="6"/>
    <x v="7"/>
    <s v="GNR_RES_WTR_NOPMP_MC-05"/>
    <x v="0"/>
    <x v="9"/>
    <n v="282.146513660349"/>
    <n v="102983.477486027"/>
    <n v="370740.51894969901"/>
  </r>
  <r>
    <x v="0"/>
    <x v="1"/>
    <x v="1"/>
    <x v="7"/>
    <x v="13"/>
    <s v="NO3_A1"/>
    <x v="6"/>
    <x v="7"/>
    <s v="GNR_RES_WTR_NOPMP_MC-05"/>
    <x v="0"/>
    <x v="10"/>
    <n v="282.146513660349"/>
    <n v="102983.477486027"/>
    <n v="370740.51894969901"/>
  </r>
  <r>
    <x v="0"/>
    <x v="1"/>
    <x v="1"/>
    <x v="7"/>
    <x v="13"/>
    <s v="NO3_A1"/>
    <x v="6"/>
    <x v="7"/>
    <s v="GNR_RES_WTR_NOPMP_MC-05"/>
    <x v="0"/>
    <x v="11"/>
    <n v="282.146513660349"/>
    <n v="102983.477486027"/>
    <n v="370740.51894969901"/>
  </r>
  <r>
    <x v="0"/>
    <x v="1"/>
    <x v="1"/>
    <x v="7"/>
    <x v="13"/>
    <s v="NO3_A1"/>
    <x v="6"/>
    <x v="7"/>
    <s v="GNR_RES_WTR_NOPMP_MC-05"/>
    <x v="0"/>
    <x v="12"/>
    <n v="282.146513660349"/>
    <n v="102983.477486027"/>
    <n v="370740.51894969901"/>
  </r>
  <r>
    <x v="0"/>
    <x v="1"/>
    <x v="1"/>
    <x v="7"/>
    <x v="13"/>
    <s v="NO3_A1"/>
    <x v="6"/>
    <x v="7"/>
    <s v="GNR_RES_WTR_NOPMP_MC-05"/>
    <x v="0"/>
    <x v="13"/>
    <n v="282.146513660349"/>
    <n v="102983.477486027"/>
    <n v="370740.51894969901"/>
  </r>
  <r>
    <x v="0"/>
    <x v="1"/>
    <x v="1"/>
    <x v="7"/>
    <x v="13"/>
    <s v="NO3_A1"/>
    <x v="6"/>
    <x v="7"/>
    <s v="GNR_RES_WTR_NOPMP_MC-05"/>
    <x v="0"/>
    <x v="14"/>
    <n v="282.146513660349"/>
    <n v="102983.477486027"/>
    <n v="370740.51894969901"/>
  </r>
  <r>
    <x v="0"/>
    <x v="1"/>
    <x v="1"/>
    <x v="7"/>
    <x v="13"/>
    <s v="NO3_A1"/>
    <x v="6"/>
    <x v="7"/>
    <s v="GNR_RES_WTR_NOPMP_MC-05"/>
    <x v="0"/>
    <x v="15"/>
    <n v="282.146513660349"/>
    <n v="102983.477486027"/>
    <n v="370740.51894969901"/>
  </r>
  <r>
    <x v="0"/>
    <x v="1"/>
    <x v="1"/>
    <x v="7"/>
    <x v="13"/>
    <s v="NO3_A1"/>
    <x v="6"/>
    <x v="7"/>
    <s v="GNR_RES_WTR_NOPMP_MC-05"/>
    <x v="0"/>
    <x v="16"/>
    <n v="282.146513660349"/>
    <n v="102983.477486027"/>
    <n v="370740.51894969901"/>
  </r>
  <r>
    <x v="0"/>
    <x v="1"/>
    <x v="1"/>
    <x v="7"/>
    <x v="13"/>
    <s v="NO3_A1"/>
    <x v="6"/>
    <x v="7"/>
    <s v="GNR_RES_WTR_NOPMP_MC-05"/>
    <x v="0"/>
    <x v="17"/>
    <n v="282.146513660349"/>
    <n v="102983.477486027"/>
    <n v="370740.51894969901"/>
  </r>
  <r>
    <x v="0"/>
    <x v="1"/>
    <x v="1"/>
    <x v="7"/>
    <x v="13"/>
    <s v="NO3_A1"/>
    <x v="6"/>
    <x v="7"/>
    <s v="GNR_RES_WTR_NOPMP_MC-05"/>
    <x v="0"/>
    <x v="19"/>
    <n v="150.29862131048401"/>
    <n v="54858.996778326698"/>
    <n v="197492.388401976"/>
  </r>
  <r>
    <x v="0"/>
    <x v="1"/>
    <x v="1"/>
    <x v="7"/>
    <x v="13"/>
    <s v="NO3_A1"/>
    <x v="6"/>
    <x v="7"/>
    <s v="GNR_RES_WTR_NOPMP_MC-06"/>
    <x v="0"/>
    <x v="5"/>
    <n v="282.146513660349"/>
    <n v="102983.477486027"/>
    <n v="370740.51894969901"/>
  </r>
  <r>
    <x v="0"/>
    <x v="1"/>
    <x v="1"/>
    <x v="7"/>
    <x v="13"/>
    <s v="NO3_A1"/>
    <x v="6"/>
    <x v="7"/>
    <s v="GNR_RES_WTR_NOPMP_MC-06"/>
    <x v="0"/>
    <x v="6"/>
    <n v="282.146513660349"/>
    <n v="102983.477486027"/>
    <n v="370740.51894969901"/>
  </r>
  <r>
    <x v="0"/>
    <x v="1"/>
    <x v="1"/>
    <x v="7"/>
    <x v="13"/>
    <s v="NO3_A1"/>
    <x v="6"/>
    <x v="7"/>
    <s v="GNR_RES_WTR_NOPMP_MC-06"/>
    <x v="0"/>
    <x v="7"/>
    <n v="282.146513660349"/>
    <n v="102983.477486027"/>
    <n v="370740.51894969901"/>
  </r>
  <r>
    <x v="0"/>
    <x v="1"/>
    <x v="1"/>
    <x v="7"/>
    <x v="13"/>
    <s v="NO3_A1"/>
    <x v="6"/>
    <x v="7"/>
    <s v="GNR_RES_WTR_NOPMP_MC-06"/>
    <x v="0"/>
    <x v="8"/>
    <n v="282.146513660349"/>
    <n v="102983.477486027"/>
    <n v="370740.51894969901"/>
  </r>
  <r>
    <x v="0"/>
    <x v="1"/>
    <x v="1"/>
    <x v="7"/>
    <x v="13"/>
    <s v="NO3_A1"/>
    <x v="6"/>
    <x v="7"/>
    <s v="GNR_RES_WTR_NOPMP_MC-06"/>
    <x v="0"/>
    <x v="9"/>
    <n v="282.146513660349"/>
    <n v="102983.477486027"/>
    <n v="370740.51894969901"/>
  </r>
  <r>
    <x v="0"/>
    <x v="1"/>
    <x v="1"/>
    <x v="7"/>
    <x v="13"/>
    <s v="NO3_A1"/>
    <x v="6"/>
    <x v="7"/>
    <s v="GNR_RES_WTR_NOPMP_MC-06"/>
    <x v="0"/>
    <x v="10"/>
    <n v="282.146513660349"/>
    <n v="102983.477486027"/>
    <n v="370740.51894969901"/>
  </r>
  <r>
    <x v="0"/>
    <x v="1"/>
    <x v="1"/>
    <x v="7"/>
    <x v="13"/>
    <s v="NO3_A1"/>
    <x v="6"/>
    <x v="7"/>
    <s v="GNR_RES_WTR_NOPMP_MC-06"/>
    <x v="0"/>
    <x v="11"/>
    <n v="282.146513660349"/>
    <n v="102983.477486027"/>
    <n v="370740.51894969901"/>
  </r>
  <r>
    <x v="0"/>
    <x v="1"/>
    <x v="1"/>
    <x v="7"/>
    <x v="13"/>
    <s v="NO3_A1"/>
    <x v="6"/>
    <x v="7"/>
    <s v="GNR_RES_WTR_NOPMP_MC-06"/>
    <x v="0"/>
    <x v="12"/>
    <n v="282.146513660349"/>
    <n v="102983.477486027"/>
    <n v="370740.51894969901"/>
  </r>
  <r>
    <x v="0"/>
    <x v="1"/>
    <x v="1"/>
    <x v="7"/>
    <x v="13"/>
    <s v="NO3_A1"/>
    <x v="6"/>
    <x v="7"/>
    <s v="GNR_RES_WTR_NOPMP_MC-06"/>
    <x v="0"/>
    <x v="13"/>
    <n v="1.6067791915716001"/>
    <n v="586.47440492363603"/>
    <n v="2111.3078577250899"/>
  </r>
  <r>
    <x v="0"/>
    <x v="1"/>
    <x v="1"/>
    <x v="7"/>
    <x v="13"/>
    <s v="NO3_A1"/>
    <x v="6"/>
    <x v="7"/>
    <s v="GNR_RES_WTR_NOPMP_MC-06"/>
    <x v="0"/>
    <x v="14"/>
    <n v="276.01341200182202"/>
    <n v="100744.895380665"/>
    <n v="362681.623370393"/>
  </r>
  <r>
    <x v="0"/>
    <x v="1"/>
    <x v="1"/>
    <x v="7"/>
    <x v="13"/>
    <s v="NO3_A1"/>
    <x v="6"/>
    <x v="7"/>
    <s v="GNR_RES_WTR_NOPMP_MC-06"/>
    <x v="0"/>
    <x v="15"/>
    <n v="282.146513660349"/>
    <n v="102983.477486027"/>
    <n v="370740.51894969901"/>
  </r>
  <r>
    <x v="0"/>
    <x v="1"/>
    <x v="1"/>
    <x v="7"/>
    <x v="13"/>
    <s v="NO3_A1"/>
    <x v="6"/>
    <x v="7"/>
    <s v="GNR_RES_WTR_NOPMP_MC-07"/>
    <x v="0"/>
    <x v="6"/>
    <n v="282.146513660349"/>
    <n v="102983.477486027"/>
    <n v="370740.51894969901"/>
  </r>
  <r>
    <x v="0"/>
    <x v="1"/>
    <x v="1"/>
    <x v="7"/>
    <x v="13"/>
    <s v="NO3_A1"/>
    <x v="6"/>
    <x v="7"/>
    <s v="GNR_RES_WTR_NOPMP_MC-07"/>
    <x v="0"/>
    <x v="7"/>
    <n v="282.146513660349"/>
    <n v="102983.477486027"/>
    <n v="370740.51894969901"/>
  </r>
  <r>
    <x v="0"/>
    <x v="1"/>
    <x v="1"/>
    <x v="7"/>
    <x v="13"/>
    <s v="NO3_A1"/>
    <x v="6"/>
    <x v="7"/>
    <s v="GNR_RES_WTR_NOPMP_MC-07"/>
    <x v="0"/>
    <x v="8"/>
    <n v="282.146513660349"/>
    <n v="102983.477486027"/>
    <n v="370740.51894969901"/>
  </r>
  <r>
    <x v="0"/>
    <x v="1"/>
    <x v="1"/>
    <x v="7"/>
    <x v="13"/>
    <s v="NO3_A1"/>
    <x v="6"/>
    <x v="7"/>
    <s v="GNR_RES_WTR_NOPMP_MC-07"/>
    <x v="0"/>
    <x v="9"/>
    <n v="282.146513660349"/>
    <n v="102983.477486027"/>
    <n v="370740.51894969901"/>
  </r>
  <r>
    <x v="0"/>
    <x v="1"/>
    <x v="1"/>
    <x v="7"/>
    <x v="13"/>
    <s v="NO3_A1"/>
    <x v="6"/>
    <x v="7"/>
    <s v="GNR_RES_WTR_NOPMP_MC-08"/>
    <x v="0"/>
    <x v="6"/>
    <n v="66.720868503079103"/>
    <n v="24353.117003623898"/>
    <n v="87671.221213045996"/>
  </r>
  <r>
    <x v="0"/>
    <x v="1"/>
    <x v="1"/>
    <x v="7"/>
    <x v="13"/>
    <s v="NO3_A1"/>
    <x v="6"/>
    <x v="7"/>
    <s v="GNR_RES_WTR_NOPMP_MC-08"/>
    <x v="0"/>
    <x v="7"/>
    <n v="120.42676624819001"/>
    <n v="43955.769680589401"/>
    <n v="158240.770850122"/>
  </r>
  <r>
    <x v="0"/>
    <x v="1"/>
    <x v="1"/>
    <x v="7"/>
    <x v="13"/>
    <s v="NO3_A1"/>
    <x v="6"/>
    <x v="7"/>
    <s v="GNR_RES_WTR_NOPMP_MC-08"/>
    <x v="0"/>
    <x v="8"/>
    <n v="40.687503662259097"/>
    <n v="14850.938836724599"/>
    <n v="53463.379812208499"/>
  </r>
  <r>
    <x v="0"/>
    <x v="1"/>
    <x v="1"/>
    <x v="7"/>
    <x v="13"/>
    <s v="NO3_A1"/>
    <x v="6"/>
    <x v="7"/>
    <s v="GNR_RES_WTR_PMP_MC-01"/>
    <x v="0"/>
    <x v="0"/>
    <n v="60.3"/>
    <n v="22009.5"/>
    <n v="79234.2"/>
  </r>
  <r>
    <x v="0"/>
    <x v="1"/>
    <x v="1"/>
    <x v="7"/>
    <x v="13"/>
    <s v="NO3_A1"/>
    <x v="6"/>
    <x v="7"/>
    <s v="GNR_RES_WTR_PMP_MC-01"/>
    <x v="0"/>
    <x v="1"/>
    <n v="60.3"/>
    <n v="22009.5"/>
    <n v="79234.2"/>
  </r>
  <r>
    <x v="0"/>
    <x v="1"/>
    <x v="1"/>
    <x v="7"/>
    <x v="13"/>
    <s v="NO3_A1"/>
    <x v="6"/>
    <x v="7"/>
    <s v="GNR_RES_WTR_PMP_MC-01"/>
    <x v="0"/>
    <x v="18"/>
    <n v="60.3"/>
    <n v="22009.5"/>
    <n v="79234.2"/>
  </r>
  <r>
    <x v="0"/>
    <x v="1"/>
    <x v="1"/>
    <x v="7"/>
    <x v="13"/>
    <s v="NO3_A1"/>
    <x v="6"/>
    <x v="7"/>
    <s v="GNR_RES_WTR_PMP_MC-01"/>
    <x v="0"/>
    <x v="2"/>
    <n v="60.3"/>
    <n v="22009.5"/>
    <n v="79234.2"/>
  </r>
  <r>
    <x v="0"/>
    <x v="1"/>
    <x v="1"/>
    <x v="7"/>
    <x v="13"/>
    <s v="NO3_A1"/>
    <x v="6"/>
    <x v="7"/>
    <s v="GNR_RES_WTR_PMP_MC-01"/>
    <x v="0"/>
    <x v="3"/>
    <n v="60.3"/>
    <n v="22009.5"/>
    <n v="79234.2"/>
  </r>
  <r>
    <x v="0"/>
    <x v="1"/>
    <x v="1"/>
    <x v="7"/>
    <x v="13"/>
    <s v="NO3_A1"/>
    <x v="6"/>
    <x v="7"/>
    <s v="GNR_RES_WTR_PMP_MC-01"/>
    <x v="0"/>
    <x v="4"/>
    <n v="60.3"/>
    <n v="22009.5"/>
    <n v="79234.2"/>
  </r>
  <r>
    <x v="0"/>
    <x v="1"/>
    <x v="1"/>
    <x v="7"/>
    <x v="13"/>
    <s v="NO3_A1"/>
    <x v="6"/>
    <x v="7"/>
    <s v="GNR_RES_WTR_PMP_MC-01"/>
    <x v="0"/>
    <x v="5"/>
    <n v="60.3"/>
    <n v="22009.5"/>
    <n v="79234.2"/>
  </r>
  <r>
    <x v="0"/>
    <x v="1"/>
    <x v="1"/>
    <x v="7"/>
    <x v="13"/>
    <s v="NO3_A1"/>
    <x v="6"/>
    <x v="7"/>
    <s v="GNR_RES_WTR_PMP_MC-01"/>
    <x v="0"/>
    <x v="6"/>
    <n v="60.3"/>
    <n v="22009.5"/>
    <n v="79234.2"/>
  </r>
  <r>
    <x v="0"/>
    <x v="1"/>
    <x v="1"/>
    <x v="7"/>
    <x v="13"/>
    <s v="NO3_A1"/>
    <x v="6"/>
    <x v="7"/>
    <s v="GNR_RES_WTR_PMP_MC-01"/>
    <x v="0"/>
    <x v="7"/>
    <n v="60.3"/>
    <n v="22009.5"/>
    <n v="79234.2"/>
  </r>
  <r>
    <x v="0"/>
    <x v="1"/>
    <x v="1"/>
    <x v="7"/>
    <x v="13"/>
    <s v="NO3_A1"/>
    <x v="6"/>
    <x v="7"/>
    <s v="GNR_RES_WTR_PMP_MC-01"/>
    <x v="0"/>
    <x v="8"/>
    <n v="60.3"/>
    <n v="22009.5"/>
    <n v="79234.2"/>
  </r>
  <r>
    <x v="0"/>
    <x v="1"/>
    <x v="1"/>
    <x v="7"/>
    <x v="13"/>
    <s v="NO3_A1"/>
    <x v="6"/>
    <x v="7"/>
    <s v="GNR_RES_WTR_PMP_MC-01"/>
    <x v="0"/>
    <x v="9"/>
    <n v="60.3"/>
    <n v="22009.5"/>
    <n v="79234.2"/>
  </r>
  <r>
    <x v="0"/>
    <x v="1"/>
    <x v="1"/>
    <x v="7"/>
    <x v="13"/>
    <s v="NO3_A1"/>
    <x v="6"/>
    <x v="7"/>
    <s v="GNR_RES_WTR_PMP_MC-01"/>
    <x v="0"/>
    <x v="10"/>
    <n v="60.3"/>
    <n v="22009.5"/>
    <n v="79234.2"/>
  </r>
  <r>
    <x v="0"/>
    <x v="1"/>
    <x v="1"/>
    <x v="7"/>
    <x v="13"/>
    <s v="NO3_A1"/>
    <x v="6"/>
    <x v="7"/>
    <s v="GNR_RES_WTR_PMP_MC-01"/>
    <x v="0"/>
    <x v="11"/>
    <n v="60.3"/>
    <n v="22009.5"/>
    <n v="79234.2"/>
  </r>
  <r>
    <x v="0"/>
    <x v="1"/>
    <x v="1"/>
    <x v="7"/>
    <x v="13"/>
    <s v="NO3_A1"/>
    <x v="6"/>
    <x v="7"/>
    <s v="GNR_RES_WTR_PMP_MC-01"/>
    <x v="0"/>
    <x v="12"/>
    <n v="60.3"/>
    <n v="22009.5"/>
    <n v="79234.2"/>
  </r>
  <r>
    <x v="0"/>
    <x v="1"/>
    <x v="1"/>
    <x v="7"/>
    <x v="13"/>
    <s v="NO3_A1"/>
    <x v="6"/>
    <x v="7"/>
    <s v="GNR_RES_WTR_PMP_MC-01"/>
    <x v="0"/>
    <x v="13"/>
    <n v="60.3"/>
    <n v="22009.5"/>
    <n v="79234.2"/>
  </r>
  <r>
    <x v="0"/>
    <x v="1"/>
    <x v="1"/>
    <x v="7"/>
    <x v="13"/>
    <s v="NO3_A1"/>
    <x v="6"/>
    <x v="7"/>
    <s v="GNR_RES_WTR_PMP_MC-01"/>
    <x v="0"/>
    <x v="14"/>
    <n v="60.3"/>
    <n v="22009.5"/>
    <n v="79234.2"/>
  </r>
  <r>
    <x v="0"/>
    <x v="1"/>
    <x v="1"/>
    <x v="7"/>
    <x v="13"/>
    <s v="NO3_A1"/>
    <x v="6"/>
    <x v="7"/>
    <s v="GNR_RES_WTR_PMP_MC-01"/>
    <x v="0"/>
    <x v="15"/>
    <n v="60.3"/>
    <n v="22009.5"/>
    <n v="79234.2"/>
  </r>
  <r>
    <x v="0"/>
    <x v="1"/>
    <x v="1"/>
    <x v="7"/>
    <x v="13"/>
    <s v="NO3_A1"/>
    <x v="6"/>
    <x v="7"/>
    <s v="GNR_RES_WTR_PMP_MC-01"/>
    <x v="0"/>
    <x v="16"/>
    <n v="60.3"/>
    <n v="22009.5"/>
    <n v="79234.2"/>
  </r>
  <r>
    <x v="0"/>
    <x v="1"/>
    <x v="1"/>
    <x v="7"/>
    <x v="13"/>
    <s v="NO3_A1"/>
    <x v="6"/>
    <x v="7"/>
    <s v="GNR_RES_WTR_PMP_MC-01"/>
    <x v="0"/>
    <x v="17"/>
    <n v="60.3"/>
    <n v="22009.5"/>
    <n v="79234.2"/>
  </r>
  <r>
    <x v="0"/>
    <x v="1"/>
    <x v="1"/>
    <x v="7"/>
    <x v="13"/>
    <s v="NO3_A1"/>
    <x v="6"/>
    <x v="7"/>
    <s v="GNR_RES_WTR_PMP_MC-01"/>
    <x v="0"/>
    <x v="19"/>
    <n v="60.3"/>
    <n v="22009.5"/>
    <n v="79234.2"/>
  </r>
  <r>
    <x v="0"/>
    <x v="1"/>
    <x v="1"/>
    <x v="7"/>
    <x v="13"/>
    <s v="NO3_A1"/>
    <x v="6"/>
    <x v="7"/>
    <s v="GNR_RES_WTR_PMP_MC-01"/>
    <x v="0"/>
    <x v="20"/>
    <n v="60.3"/>
    <n v="22009.5"/>
    <n v="79234.2"/>
  </r>
  <r>
    <x v="0"/>
    <x v="1"/>
    <x v="1"/>
    <x v="7"/>
    <x v="13"/>
    <s v="NO3_A1"/>
    <x v="6"/>
    <x v="7"/>
    <s v="GNR_RES_WTR_PMP_MC-01"/>
    <x v="0"/>
    <x v="21"/>
    <n v="60.3"/>
    <n v="22009.5"/>
    <n v="79234.2"/>
  </r>
  <r>
    <x v="0"/>
    <x v="1"/>
    <x v="1"/>
    <x v="7"/>
    <x v="13"/>
    <s v="NO3_A1"/>
    <x v="6"/>
    <x v="7"/>
    <s v="GNR_RES_WTR_PMP_MC-01"/>
    <x v="0"/>
    <x v="22"/>
    <n v="60.3"/>
    <n v="22009.5"/>
    <n v="79234.2"/>
  </r>
  <r>
    <x v="0"/>
    <x v="1"/>
    <x v="1"/>
    <x v="7"/>
    <x v="13"/>
    <s v="NO3_A1"/>
    <x v="6"/>
    <x v="7"/>
    <s v="GNR_RES_WTR_PMP_MC-01"/>
    <x v="0"/>
    <x v="23"/>
    <n v="60.3"/>
    <n v="22009.5"/>
    <n v="79234.2"/>
  </r>
  <r>
    <x v="0"/>
    <x v="1"/>
    <x v="1"/>
    <x v="7"/>
    <x v="13"/>
    <s v="NO3_A1"/>
    <x v="6"/>
    <x v="4"/>
    <s v="GNR_ROR_WTR"/>
    <x v="0"/>
    <x v="0"/>
    <n v="746.86926140743503"/>
    <n v="272607.280413714"/>
    <n v="981386.20948937"/>
  </r>
  <r>
    <x v="0"/>
    <x v="1"/>
    <x v="1"/>
    <x v="7"/>
    <x v="13"/>
    <s v="NO3_A1"/>
    <x v="6"/>
    <x v="4"/>
    <s v="GNR_ROR_WTR"/>
    <x v="0"/>
    <x v="1"/>
    <n v="746.86926140743503"/>
    <n v="272607.280413714"/>
    <n v="981386.20948937"/>
  </r>
  <r>
    <x v="0"/>
    <x v="1"/>
    <x v="1"/>
    <x v="7"/>
    <x v="13"/>
    <s v="NO3_A1"/>
    <x v="6"/>
    <x v="4"/>
    <s v="GNR_ROR_WTR"/>
    <x v="0"/>
    <x v="18"/>
    <n v="746.86926140743503"/>
    <n v="272607.280413714"/>
    <n v="981386.20948937"/>
  </r>
  <r>
    <x v="0"/>
    <x v="1"/>
    <x v="1"/>
    <x v="7"/>
    <x v="13"/>
    <s v="NO3_A1"/>
    <x v="6"/>
    <x v="4"/>
    <s v="GNR_ROR_WTR"/>
    <x v="0"/>
    <x v="2"/>
    <n v="746.86926140743503"/>
    <n v="272607.280413714"/>
    <n v="981386.20948937"/>
  </r>
  <r>
    <x v="0"/>
    <x v="1"/>
    <x v="1"/>
    <x v="7"/>
    <x v="13"/>
    <s v="NO3_A1"/>
    <x v="6"/>
    <x v="4"/>
    <s v="GNR_ROR_WTR"/>
    <x v="0"/>
    <x v="3"/>
    <n v="746.86926140743503"/>
    <n v="272607.280413714"/>
    <n v="981386.20948937"/>
  </r>
  <r>
    <x v="0"/>
    <x v="1"/>
    <x v="1"/>
    <x v="7"/>
    <x v="13"/>
    <s v="NO3_A1"/>
    <x v="6"/>
    <x v="4"/>
    <s v="GNR_ROR_WTR"/>
    <x v="0"/>
    <x v="4"/>
    <n v="746.86926140743503"/>
    <n v="272607.280413714"/>
    <n v="981386.20948937"/>
  </r>
  <r>
    <x v="0"/>
    <x v="1"/>
    <x v="1"/>
    <x v="7"/>
    <x v="13"/>
    <s v="NO3_A1"/>
    <x v="6"/>
    <x v="4"/>
    <s v="GNR_ROR_WTR"/>
    <x v="0"/>
    <x v="5"/>
    <n v="746.86926140743503"/>
    <n v="272607.280413714"/>
    <n v="981386.20948937"/>
  </r>
  <r>
    <x v="0"/>
    <x v="1"/>
    <x v="1"/>
    <x v="7"/>
    <x v="13"/>
    <s v="NO3_A1"/>
    <x v="6"/>
    <x v="4"/>
    <s v="GNR_ROR_WTR"/>
    <x v="0"/>
    <x v="6"/>
    <n v="746.86926140743503"/>
    <n v="272607.280413714"/>
    <n v="981386.20948937"/>
  </r>
  <r>
    <x v="0"/>
    <x v="1"/>
    <x v="1"/>
    <x v="7"/>
    <x v="13"/>
    <s v="NO3_A1"/>
    <x v="6"/>
    <x v="4"/>
    <s v="GNR_ROR_WTR"/>
    <x v="0"/>
    <x v="7"/>
    <n v="746.86926140743503"/>
    <n v="272607.280413714"/>
    <n v="981386.20948937"/>
  </r>
  <r>
    <x v="0"/>
    <x v="1"/>
    <x v="1"/>
    <x v="7"/>
    <x v="13"/>
    <s v="NO3_A1"/>
    <x v="6"/>
    <x v="4"/>
    <s v="GNR_ROR_WTR"/>
    <x v="0"/>
    <x v="8"/>
    <n v="746.86926140743503"/>
    <n v="272607.280413714"/>
    <n v="981386.20948937"/>
  </r>
  <r>
    <x v="0"/>
    <x v="1"/>
    <x v="1"/>
    <x v="7"/>
    <x v="13"/>
    <s v="NO3_A1"/>
    <x v="6"/>
    <x v="4"/>
    <s v="GNR_ROR_WTR"/>
    <x v="0"/>
    <x v="9"/>
    <n v="746.86926140743503"/>
    <n v="272607.280413714"/>
    <n v="981386.20948937"/>
  </r>
  <r>
    <x v="0"/>
    <x v="1"/>
    <x v="1"/>
    <x v="7"/>
    <x v="13"/>
    <s v="NO3_A1"/>
    <x v="6"/>
    <x v="4"/>
    <s v="GNR_ROR_WTR"/>
    <x v="0"/>
    <x v="10"/>
    <n v="746.86926140743503"/>
    <n v="272607.280413714"/>
    <n v="981386.20948937"/>
  </r>
  <r>
    <x v="0"/>
    <x v="1"/>
    <x v="1"/>
    <x v="7"/>
    <x v="13"/>
    <s v="NO3_A1"/>
    <x v="6"/>
    <x v="4"/>
    <s v="GNR_ROR_WTR"/>
    <x v="0"/>
    <x v="11"/>
    <n v="746.86926140743503"/>
    <n v="272607.280413714"/>
    <n v="981386.20948937"/>
  </r>
  <r>
    <x v="0"/>
    <x v="1"/>
    <x v="1"/>
    <x v="7"/>
    <x v="13"/>
    <s v="NO3_A1"/>
    <x v="6"/>
    <x v="4"/>
    <s v="GNR_ROR_WTR"/>
    <x v="0"/>
    <x v="12"/>
    <n v="746.86926140743503"/>
    <n v="272607.280413714"/>
    <n v="981386.20948937"/>
  </r>
  <r>
    <x v="0"/>
    <x v="1"/>
    <x v="1"/>
    <x v="7"/>
    <x v="13"/>
    <s v="NO3_A1"/>
    <x v="6"/>
    <x v="4"/>
    <s v="GNR_ROR_WTR"/>
    <x v="0"/>
    <x v="13"/>
    <n v="746.86926140743503"/>
    <n v="272607.280413714"/>
    <n v="981386.20948937"/>
  </r>
  <r>
    <x v="0"/>
    <x v="1"/>
    <x v="1"/>
    <x v="7"/>
    <x v="13"/>
    <s v="NO3_A1"/>
    <x v="6"/>
    <x v="4"/>
    <s v="GNR_ROR_WTR"/>
    <x v="0"/>
    <x v="14"/>
    <n v="746.86926140743503"/>
    <n v="272607.280413714"/>
    <n v="981386.20948937"/>
  </r>
  <r>
    <x v="0"/>
    <x v="1"/>
    <x v="1"/>
    <x v="7"/>
    <x v="13"/>
    <s v="NO3_A1"/>
    <x v="6"/>
    <x v="4"/>
    <s v="GNR_ROR_WTR"/>
    <x v="0"/>
    <x v="15"/>
    <n v="746.86926140743503"/>
    <n v="272607.280413714"/>
    <n v="981386.20948937"/>
  </r>
  <r>
    <x v="0"/>
    <x v="1"/>
    <x v="1"/>
    <x v="7"/>
    <x v="13"/>
    <s v="NO3_A1"/>
    <x v="6"/>
    <x v="4"/>
    <s v="GNR_ROR_WTR"/>
    <x v="0"/>
    <x v="16"/>
    <n v="746.86926140743503"/>
    <n v="272607.280413714"/>
    <n v="981386.20948937"/>
  </r>
  <r>
    <x v="0"/>
    <x v="1"/>
    <x v="1"/>
    <x v="7"/>
    <x v="13"/>
    <s v="NO3_A1"/>
    <x v="6"/>
    <x v="4"/>
    <s v="GNR_ROR_WTR"/>
    <x v="0"/>
    <x v="17"/>
    <n v="746.86926140743503"/>
    <n v="272607.280413714"/>
    <n v="981386.20948937"/>
  </r>
  <r>
    <x v="0"/>
    <x v="1"/>
    <x v="1"/>
    <x v="7"/>
    <x v="13"/>
    <s v="NO3_A1"/>
    <x v="6"/>
    <x v="4"/>
    <s v="GNR_ROR_WTR"/>
    <x v="0"/>
    <x v="19"/>
    <n v="746.86926140743503"/>
    <n v="272607.280413714"/>
    <n v="981386.20948937"/>
  </r>
  <r>
    <x v="0"/>
    <x v="1"/>
    <x v="1"/>
    <x v="7"/>
    <x v="13"/>
    <s v="NO3_A1"/>
    <x v="6"/>
    <x v="4"/>
    <s v="GNR_ROR_WTR"/>
    <x v="0"/>
    <x v="20"/>
    <n v="746.86926140743503"/>
    <n v="272607.280413714"/>
    <n v="981386.20948937"/>
  </r>
  <r>
    <x v="0"/>
    <x v="1"/>
    <x v="1"/>
    <x v="7"/>
    <x v="13"/>
    <s v="NO3_A1"/>
    <x v="6"/>
    <x v="4"/>
    <s v="GNR_ROR_WTR"/>
    <x v="0"/>
    <x v="21"/>
    <n v="746.86926140743503"/>
    <n v="272607.280413714"/>
    <n v="981386.20948937"/>
  </r>
  <r>
    <x v="0"/>
    <x v="1"/>
    <x v="1"/>
    <x v="7"/>
    <x v="13"/>
    <s v="NO3_A1"/>
    <x v="6"/>
    <x v="4"/>
    <s v="GNR_ROR_WTR"/>
    <x v="0"/>
    <x v="22"/>
    <n v="746.86926140743503"/>
    <n v="272607.280413714"/>
    <n v="981386.20948937"/>
  </r>
  <r>
    <x v="0"/>
    <x v="1"/>
    <x v="1"/>
    <x v="7"/>
    <x v="13"/>
    <s v="NO3_A1"/>
    <x v="6"/>
    <x v="4"/>
    <s v="GNR_ROR_WTR"/>
    <x v="0"/>
    <x v="23"/>
    <n v="746.86926140743503"/>
    <n v="272607.280413714"/>
    <n v="981386.20948937"/>
  </r>
  <r>
    <x v="0"/>
    <x v="1"/>
    <x v="1"/>
    <x v="7"/>
    <x v="13"/>
    <s v="NO3_A1"/>
    <x v="7"/>
    <x v="5"/>
    <s v="GNR_WT_WIND_ONS"/>
    <x v="0"/>
    <x v="0"/>
    <n v="119.351354352236"/>
    <n v="43563.244338566001"/>
    <n v="156827.67961883699"/>
  </r>
  <r>
    <x v="0"/>
    <x v="1"/>
    <x v="1"/>
    <x v="7"/>
    <x v="13"/>
    <s v="NO3_A1"/>
    <x v="7"/>
    <x v="5"/>
    <s v="GNR_WT_WIND_ONS"/>
    <x v="0"/>
    <x v="1"/>
    <n v="156.01586331763099"/>
    <n v="56945.790110935399"/>
    <n v="205004.84439936699"/>
  </r>
  <r>
    <x v="0"/>
    <x v="1"/>
    <x v="1"/>
    <x v="7"/>
    <x v="13"/>
    <s v="NO3_A1"/>
    <x v="7"/>
    <x v="5"/>
    <s v="GNR_WT_WIND_ONS"/>
    <x v="0"/>
    <x v="18"/>
    <n v="166.296785172737"/>
    <n v="60698.326588049"/>
    <n v="218513.97571697601"/>
  </r>
  <r>
    <x v="0"/>
    <x v="1"/>
    <x v="1"/>
    <x v="7"/>
    <x v="13"/>
    <s v="NO3_A1"/>
    <x v="7"/>
    <x v="5"/>
    <s v="GNR_WT_WIND_ONS"/>
    <x v="0"/>
    <x v="2"/>
    <n v="190.905760731844"/>
    <n v="69680.602667122905"/>
    <n v="250850.16960164299"/>
  </r>
  <r>
    <x v="0"/>
    <x v="1"/>
    <x v="1"/>
    <x v="7"/>
    <x v="13"/>
    <s v="NO3_A1"/>
    <x v="7"/>
    <x v="5"/>
    <s v="GNR_WT_WIND_ONS"/>
    <x v="0"/>
    <x v="3"/>
    <n v="216.99287901039401"/>
    <n v="79202.400838793706"/>
    <n v="285128.643019657"/>
  </r>
  <r>
    <x v="0"/>
    <x v="1"/>
    <x v="1"/>
    <x v="7"/>
    <x v="13"/>
    <s v="NO3_A1"/>
    <x v="7"/>
    <x v="5"/>
    <s v="GNR_WT_WIND_ONS"/>
    <x v="0"/>
    <x v="4"/>
    <n v="223.044861281604"/>
    <n v="81411.374367785305"/>
    <n v="293080.94772402698"/>
  </r>
  <r>
    <x v="0"/>
    <x v="1"/>
    <x v="1"/>
    <x v="7"/>
    <x v="13"/>
    <s v="NO3_A1"/>
    <x v="7"/>
    <x v="5"/>
    <s v="GNR_WT_WIND_ONS"/>
    <x v="0"/>
    <x v="5"/>
    <n v="156.66403080985199"/>
    <n v="57182.371245595998"/>
    <n v="205856.536484146"/>
  </r>
  <r>
    <x v="0"/>
    <x v="1"/>
    <x v="1"/>
    <x v="7"/>
    <x v="13"/>
    <s v="NO3_A1"/>
    <x v="7"/>
    <x v="5"/>
    <s v="GNR_WT_WIND_ONS"/>
    <x v="0"/>
    <x v="6"/>
    <n v="177.45924537318501"/>
    <n v="64772.624561212702"/>
    <n v="233181.44842036601"/>
  </r>
  <r>
    <x v="0"/>
    <x v="1"/>
    <x v="1"/>
    <x v="7"/>
    <x v="13"/>
    <s v="NO3_A1"/>
    <x v="7"/>
    <x v="5"/>
    <s v="GNR_WT_WIND_ONS"/>
    <x v="0"/>
    <x v="7"/>
    <n v="263.83701694996603"/>
    <n v="96300.511186737596"/>
    <n v="346681.84027225501"/>
  </r>
  <r>
    <x v="0"/>
    <x v="1"/>
    <x v="1"/>
    <x v="7"/>
    <x v="13"/>
    <s v="NO3_A1"/>
    <x v="7"/>
    <x v="5"/>
    <s v="GNR_WT_WIND_ONS"/>
    <x v="0"/>
    <x v="8"/>
    <n v="272.687195959397"/>
    <n v="99530.826525179698"/>
    <n v="358310.97549064702"/>
  </r>
  <r>
    <x v="0"/>
    <x v="1"/>
    <x v="1"/>
    <x v="7"/>
    <x v="13"/>
    <s v="NO3_A1"/>
    <x v="7"/>
    <x v="5"/>
    <s v="GNR_WT_WIND_ONS"/>
    <x v="0"/>
    <x v="9"/>
    <n v="281.88151103865101"/>
    <n v="102886.75152910801"/>
    <n v="370392.305504788"/>
  </r>
  <r>
    <x v="0"/>
    <x v="1"/>
    <x v="1"/>
    <x v="7"/>
    <x v="13"/>
    <s v="NO3_A1"/>
    <x v="7"/>
    <x v="5"/>
    <s v="GNR_WT_WIND_ONS"/>
    <x v="0"/>
    <x v="10"/>
    <n v="305.85244075464902"/>
    <n v="111636.140875447"/>
    <n v="401890.10715160897"/>
  </r>
  <r>
    <x v="0"/>
    <x v="1"/>
    <x v="1"/>
    <x v="7"/>
    <x v="13"/>
    <s v="NO3_A1"/>
    <x v="7"/>
    <x v="5"/>
    <s v="GNR_WT_WIND_ONS"/>
    <x v="0"/>
    <x v="11"/>
    <n v="305.69637638380601"/>
    <n v="111579.17738008899"/>
    <n v="401685.03856832098"/>
  </r>
  <r>
    <x v="0"/>
    <x v="1"/>
    <x v="1"/>
    <x v="7"/>
    <x v="13"/>
    <s v="NO3_A1"/>
    <x v="7"/>
    <x v="5"/>
    <s v="GNR_WT_WIND_ONS"/>
    <x v="0"/>
    <x v="12"/>
    <n v="454.293643825532"/>
    <n v="165817.179996319"/>
    <n v="596941.84798674902"/>
  </r>
  <r>
    <x v="0"/>
    <x v="1"/>
    <x v="1"/>
    <x v="7"/>
    <x v="13"/>
    <s v="NO3_A1"/>
    <x v="7"/>
    <x v="5"/>
    <s v="GNR_WT_WIND_ONS"/>
    <x v="0"/>
    <x v="13"/>
    <n v="510.61336410497898"/>
    <n v="186373.87789831701"/>
    <n v="670945.96043394203"/>
  </r>
  <r>
    <x v="0"/>
    <x v="1"/>
    <x v="1"/>
    <x v="7"/>
    <x v="13"/>
    <s v="NO3_A1"/>
    <x v="7"/>
    <x v="5"/>
    <s v="GNR_WT_WIND_ONS"/>
    <x v="0"/>
    <x v="14"/>
    <n v="490.80163008125601"/>
    <n v="179142.59497965901"/>
    <n v="644913.34192677098"/>
  </r>
  <r>
    <x v="0"/>
    <x v="1"/>
    <x v="1"/>
    <x v="7"/>
    <x v="13"/>
    <s v="NO3_A1"/>
    <x v="7"/>
    <x v="5"/>
    <s v="GNR_WT_WIND_ONS"/>
    <x v="0"/>
    <x v="15"/>
    <n v="456.64721370594799"/>
    <n v="166676.23300267101"/>
    <n v="600034.43880961603"/>
  </r>
  <r>
    <x v="0"/>
    <x v="1"/>
    <x v="1"/>
    <x v="7"/>
    <x v="13"/>
    <s v="NO3_A1"/>
    <x v="7"/>
    <x v="5"/>
    <s v="GNR_WT_WIND_ONS"/>
    <x v="0"/>
    <x v="16"/>
    <n v="491.71368615354601"/>
    <n v="179475.49544604399"/>
    <n v="646111.78360575903"/>
  </r>
  <r>
    <x v="0"/>
    <x v="1"/>
    <x v="1"/>
    <x v="7"/>
    <x v="13"/>
    <s v="NO3_A1"/>
    <x v="7"/>
    <x v="5"/>
    <s v="GNR_WT_WIND_ONS"/>
    <x v="0"/>
    <x v="17"/>
    <n v="474.97373895330003"/>
    <n v="173365.414717954"/>
    <n v="624115.49298463599"/>
  </r>
  <r>
    <x v="0"/>
    <x v="1"/>
    <x v="1"/>
    <x v="7"/>
    <x v="13"/>
    <s v="NO3_A1"/>
    <x v="7"/>
    <x v="5"/>
    <s v="GNR_WT_WIND_ONS"/>
    <x v="0"/>
    <x v="19"/>
    <n v="415.25295359755199"/>
    <n v="151567.32806310701"/>
    <n v="545642.38102718396"/>
  </r>
  <r>
    <x v="0"/>
    <x v="1"/>
    <x v="1"/>
    <x v="7"/>
    <x v="13"/>
    <s v="NO3_A1"/>
    <x v="7"/>
    <x v="5"/>
    <s v="GNR_WT_WIND_ONS"/>
    <x v="0"/>
    <x v="20"/>
    <n v="455.08255953277001"/>
    <n v="166105.13422946099"/>
    <n v="597978.48322606005"/>
  </r>
  <r>
    <x v="0"/>
    <x v="1"/>
    <x v="1"/>
    <x v="7"/>
    <x v="13"/>
    <s v="NO3_A1"/>
    <x v="7"/>
    <x v="5"/>
    <s v="GNR_WT_WIND_ONS"/>
    <x v="0"/>
    <x v="21"/>
    <n v="391.02046519052698"/>
    <n v="142722.469794542"/>
    <n v="513800.89126035298"/>
  </r>
  <r>
    <x v="0"/>
    <x v="1"/>
    <x v="1"/>
    <x v="7"/>
    <x v="13"/>
    <s v="NO3_A1"/>
    <x v="7"/>
    <x v="5"/>
    <s v="GNR_WT_WIND_ONS"/>
    <x v="0"/>
    <x v="22"/>
    <n v="395.416960463576"/>
    <n v="144327.19056920501"/>
    <n v="519577.88604913902"/>
  </r>
  <r>
    <x v="0"/>
    <x v="1"/>
    <x v="1"/>
    <x v="7"/>
    <x v="13"/>
    <s v="NO3_A1"/>
    <x v="7"/>
    <x v="5"/>
    <s v="GNR_WT_WIND_ONS"/>
    <x v="0"/>
    <x v="23"/>
    <n v="359.55298380300701"/>
    <n v="131236.839088098"/>
    <n v="472452.62071715202"/>
  </r>
  <r>
    <x v="0"/>
    <x v="1"/>
    <x v="1"/>
    <x v="7"/>
    <x v="14"/>
    <s v="NO4_A1"/>
    <x v="2"/>
    <x v="2"/>
    <s v="GBPR_MUNIWASTE"/>
    <x v="0"/>
    <x v="0"/>
    <n v="0.16632"/>
    <n v="60.706800000000001"/>
    <n v="218.54447999999999"/>
  </r>
  <r>
    <x v="0"/>
    <x v="1"/>
    <x v="1"/>
    <x v="7"/>
    <x v="14"/>
    <s v="NO4_A1"/>
    <x v="2"/>
    <x v="2"/>
    <s v="GBPR_MUNIWASTE"/>
    <x v="0"/>
    <x v="1"/>
    <n v="0.16632"/>
    <n v="60.706800000000001"/>
    <n v="218.54447999999999"/>
  </r>
  <r>
    <x v="0"/>
    <x v="1"/>
    <x v="1"/>
    <x v="7"/>
    <x v="14"/>
    <s v="NO4_A1"/>
    <x v="2"/>
    <x v="2"/>
    <s v="GBPR_MUNIWASTE"/>
    <x v="0"/>
    <x v="18"/>
    <n v="0.16632"/>
    <n v="60.706800000000001"/>
    <n v="218.54447999999999"/>
  </r>
  <r>
    <x v="0"/>
    <x v="1"/>
    <x v="1"/>
    <x v="7"/>
    <x v="14"/>
    <s v="NO4_A1"/>
    <x v="2"/>
    <x v="2"/>
    <s v="GBPR_MUNIWASTE"/>
    <x v="0"/>
    <x v="2"/>
    <n v="0.16632"/>
    <n v="60.706800000000001"/>
    <n v="218.54447999999999"/>
  </r>
  <r>
    <x v="0"/>
    <x v="1"/>
    <x v="1"/>
    <x v="7"/>
    <x v="14"/>
    <s v="NO4_A1"/>
    <x v="2"/>
    <x v="2"/>
    <s v="GBPR_MUNIWASTE"/>
    <x v="0"/>
    <x v="3"/>
    <n v="0.16632"/>
    <n v="60.706800000000001"/>
    <n v="218.54447999999999"/>
  </r>
  <r>
    <x v="0"/>
    <x v="1"/>
    <x v="1"/>
    <x v="7"/>
    <x v="14"/>
    <s v="NO4_A1"/>
    <x v="2"/>
    <x v="2"/>
    <s v="GBPR_MUNIWASTE"/>
    <x v="0"/>
    <x v="4"/>
    <n v="0.16632"/>
    <n v="60.706800000000001"/>
    <n v="218.54447999999999"/>
  </r>
  <r>
    <x v="0"/>
    <x v="1"/>
    <x v="1"/>
    <x v="7"/>
    <x v="14"/>
    <s v="NO4_A1"/>
    <x v="2"/>
    <x v="2"/>
    <s v="GBPR_MUNIWASTE"/>
    <x v="0"/>
    <x v="5"/>
    <n v="0.16632"/>
    <n v="60.706800000000001"/>
    <n v="218.54447999999999"/>
  </r>
  <r>
    <x v="0"/>
    <x v="1"/>
    <x v="1"/>
    <x v="7"/>
    <x v="14"/>
    <s v="NO4_A1"/>
    <x v="2"/>
    <x v="2"/>
    <s v="GBPR_MUNIWASTE"/>
    <x v="0"/>
    <x v="6"/>
    <n v="0.16632"/>
    <n v="60.706800000000001"/>
    <n v="218.54447999999999"/>
  </r>
  <r>
    <x v="0"/>
    <x v="1"/>
    <x v="1"/>
    <x v="7"/>
    <x v="14"/>
    <s v="NO4_A1"/>
    <x v="2"/>
    <x v="2"/>
    <s v="GBPR_MUNIWASTE"/>
    <x v="0"/>
    <x v="7"/>
    <n v="0.16632"/>
    <n v="60.706800000000001"/>
    <n v="218.54447999999999"/>
  </r>
  <r>
    <x v="0"/>
    <x v="1"/>
    <x v="1"/>
    <x v="7"/>
    <x v="14"/>
    <s v="NO4_A1"/>
    <x v="2"/>
    <x v="2"/>
    <s v="GBPR_MUNIWASTE"/>
    <x v="0"/>
    <x v="8"/>
    <n v="0.16632"/>
    <n v="60.706800000000001"/>
    <n v="218.54447999999999"/>
  </r>
  <r>
    <x v="0"/>
    <x v="1"/>
    <x v="1"/>
    <x v="7"/>
    <x v="14"/>
    <s v="NO4_A1"/>
    <x v="2"/>
    <x v="2"/>
    <s v="GBPR_MUNIWASTE"/>
    <x v="0"/>
    <x v="9"/>
    <n v="0.16632"/>
    <n v="60.706800000000001"/>
    <n v="218.54447999999999"/>
  </r>
  <r>
    <x v="0"/>
    <x v="1"/>
    <x v="1"/>
    <x v="7"/>
    <x v="14"/>
    <s v="NO4_A1"/>
    <x v="2"/>
    <x v="2"/>
    <s v="GBPR_MUNIWASTE"/>
    <x v="0"/>
    <x v="10"/>
    <n v="0.16632"/>
    <n v="60.706800000000001"/>
    <n v="218.54447999999999"/>
  </r>
  <r>
    <x v="0"/>
    <x v="1"/>
    <x v="1"/>
    <x v="7"/>
    <x v="14"/>
    <s v="NO4_A1"/>
    <x v="2"/>
    <x v="2"/>
    <s v="GBPR_MUNIWASTE"/>
    <x v="0"/>
    <x v="11"/>
    <n v="0.16632"/>
    <n v="60.706800000000001"/>
    <n v="218.54447999999999"/>
  </r>
  <r>
    <x v="0"/>
    <x v="1"/>
    <x v="1"/>
    <x v="7"/>
    <x v="14"/>
    <s v="NO4_A1"/>
    <x v="2"/>
    <x v="2"/>
    <s v="GBPR_MUNIWASTE"/>
    <x v="0"/>
    <x v="12"/>
    <n v="0.16632"/>
    <n v="60.706800000000001"/>
    <n v="218.54447999999999"/>
  </r>
  <r>
    <x v="0"/>
    <x v="1"/>
    <x v="1"/>
    <x v="7"/>
    <x v="14"/>
    <s v="NO4_A1"/>
    <x v="2"/>
    <x v="2"/>
    <s v="GBPR_MUNIWASTE"/>
    <x v="0"/>
    <x v="13"/>
    <n v="0.16632"/>
    <n v="60.706800000000001"/>
    <n v="218.54447999999999"/>
  </r>
  <r>
    <x v="0"/>
    <x v="1"/>
    <x v="1"/>
    <x v="7"/>
    <x v="14"/>
    <s v="NO4_A1"/>
    <x v="2"/>
    <x v="2"/>
    <s v="GBPR_MUNIWASTE"/>
    <x v="0"/>
    <x v="14"/>
    <n v="0.16632"/>
    <n v="60.706800000000001"/>
    <n v="218.54447999999999"/>
  </r>
  <r>
    <x v="0"/>
    <x v="1"/>
    <x v="1"/>
    <x v="7"/>
    <x v="14"/>
    <s v="NO4_A1"/>
    <x v="2"/>
    <x v="2"/>
    <s v="GBPR_MUNIWASTE"/>
    <x v="0"/>
    <x v="15"/>
    <n v="0.16632"/>
    <n v="60.706800000000001"/>
    <n v="218.54447999999999"/>
  </r>
  <r>
    <x v="0"/>
    <x v="1"/>
    <x v="1"/>
    <x v="7"/>
    <x v="14"/>
    <s v="NO4_A1"/>
    <x v="2"/>
    <x v="2"/>
    <s v="GBPR_MUNIWASTE"/>
    <x v="0"/>
    <x v="16"/>
    <n v="0.16632"/>
    <n v="60.706800000000001"/>
    <n v="218.54447999999999"/>
  </r>
  <r>
    <x v="0"/>
    <x v="1"/>
    <x v="1"/>
    <x v="7"/>
    <x v="14"/>
    <s v="NO4_A1"/>
    <x v="2"/>
    <x v="2"/>
    <s v="GBPR_MUNIWASTE"/>
    <x v="0"/>
    <x v="17"/>
    <n v="0.16632"/>
    <n v="60.706800000000001"/>
    <n v="218.54447999999999"/>
  </r>
  <r>
    <x v="0"/>
    <x v="1"/>
    <x v="1"/>
    <x v="7"/>
    <x v="14"/>
    <s v="NO4_A1"/>
    <x v="2"/>
    <x v="2"/>
    <s v="GBPR_MUNIWASTE"/>
    <x v="0"/>
    <x v="19"/>
    <n v="0.16632"/>
    <n v="60.706800000000001"/>
    <n v="218.54447999999999"/>
  </r>
  <r>
    <x v="0"/>
    <x v="1"/>
    <x v="1"/>
    <x v="7"/>
    <x v="14"/>
    <s v="NO4_A1"/>
    <x v="2"/>
    <x v="2"/>
    <s v="GBPR_MUNIWASTE"/>
    <x v="0"/>
    <x v="20"/>
    <n v="0.16632"/>
    <n v="60.706800000000001"/>
    <n v="218.54447999999999"/>
  </r>
  <r>
    <x v="0"/>
    <x v="1"/>
    <x v="1"/>
    <x v="7"/>
    <x v="14"/>
    <s v="NO4_A1"/>
    <x v="2"/>
    <x v="2"/>
    <s v="GBPR_MUNIWASTE"/>
    <x v="0"/>
    <x v="21"/>
    <n v="0.16632"/>
    <n v="60.706800000000001"/>
    <n v="218.54447999999999"/>
  </r>
  <r>
    <x v="0"/>
    <x v="1"/>
    <x v="1"/>
    <x v="7"/>
    <x v="14"/>
    <s v="NO4_A1"/>
    <x v="2"/>
    <x v="2"/>
    <s v="GBPR_MUNIWASTE"/>
    <x v="0"/>
    <x v="22"/>
    <n v="0.16632"/>
    <n v="60.706800000000001"/>
    <n v="218.54447999999999"/>
  </r>
  <r>
    <x v="0"/>
    <x v="1"/>
    <x v="1"/>
    <x v="7"/>
    <x v="14"/>
    <s v="NO4_A1"/>
    <x v="6"/>
    <x v="7"/>
    <s v="GNR_RES_WTR_NOPMP_MC-01"/>
    <x v="0"/>
    <x v="0"/>
    <n v="419.56363678000798"/>
    <n v="153140.72742470301"/>
    <n v="551306.61872893095"/>
  </r>
  <r>
    <x v="0"/>
    <x v="1"/>
    <x v="1"/>
    <x v="7"/>
    <x v="14"/>
    <s v="NO4_A1"/>
    <x v="6"/>
    <x v="7"/>
    <s v="GNR_RES_WTR_NOPMP_MC-01"/>
    <x v="0"/>
    <x v="1"/>
    <n v="419.56363678000798"/>
    <n v="153140.72742470301"/>
    <n v="551306.61872893095"/>
  </r>
  <r>
    <x v="0"/>
    <x v="1"/>
    <x v="1"/>
    <x v="7"/>
    <x v="14"/>
    <s v="NO4_A1"/>
    <x v="6"/>
    <x v="7"/>
    <s v="GNR_RES_WTR_NOPMP_MC-01"/>
    <x v="0"/>
    <x v="18"/>
    <n v="419.56363678000798"/>
    <n v="153140.72742470301"/>
    <n v="551306.61872893095"/>
  </r>
  <r>
    <x v="0"/>
    <x v="1"/>
    <x v="1"/>
    <x v="7"/>
    <x v="14"/>
    <s v="NO4_A1"/>
    <x v="6"/>
    <x v="7"/>
    <s v="GNR_RES_WTR_NOPMP_MC-01"/>
    <x v="0"/>
    <x v="2"/>
    <n v="419.56363678000798"/>
    <n v="153140.72742470301"/>
    <n v="551306.61872893095"/>
  </r>
  <r>
    <x v="0"/>
    <x v="1"/>
    <x v="1"/>
    <x v="7"/>
    <x v="14"/>
    <s v="NO4_A1"/>
    <x v="6"/>
    <x v="7"/>
    <s v="GNR_RES_WTR_NOPMP_MC-01"/>
    <x v="0"/>
    <x v="3"/>
    <n v="419.56363678000798"/>
    <n v="153140.72742470301"/>
    <n v="551306.61872893095"/>
  </r>
  <r>
    <x v="0"/>
    <x v="1"/>
    <x v="1"/>
    <x v="7"/>
    <x v="14"/>
    <s v="NO4_A1"/>
    <x v="6"/>
    <x v="7"/>
    <s v="GNR_RES_WTR_NOPMP_MC-01"/>
    <x v="0"/>
    <x v="4"/>
    <n v="419.56363678000798"/>
    <n v="153140.72742470301"/>
    <n v="551306.61872893095"/>
  </r>
  <r>
    <x v="0"/>
    <x v="1"/>
    <x v="1"/>
    <x v="7"/>
    <x v="14"/>
    <s v="NO4_A1"/>
    <x v="6"/>
    <x v="7"/>
    <s v="GNR_RES_WTR_NOPMP_MC-01"/>
    <x v="0"/>
    <x v="5"/>
    <n v="419.56363678000798"/>
    <n v="153140.72742470301"/>
    <n v="551306.61872893095"/>
  </r>
  <r>
    <x v="0"/>
    <x v="1"/>
    <x v="1"/>
    <x v="7"/>
    <x v="14"/>
    <s v="NO4_A1"/>
    <x v="6"/>
    <x v="7"/>
    <s v="GNR_RES_WTR_NOPMP_MC-01"/>
    <x v="0"/>
    <x v="6"/>
    <n v="419.56363678000798"/>
    <n v="153140.72742470301"/>
    <n v="551306.61872893095"/>
  </r>
  <r>
    <x v="0"/>
    <x v="1"/>
    <x v="1"/>
    <x v="7"/>
    <x v="14"/>
    <s v="NO4_A1"/>
    <x v="6"/>
    <x v="7"/>
    <s v="GNR_RES_WTR_NOPMP_MC-01"/>
    <x v="0"/>
    <x v="7"/>
    <n v="419.56363678000798"/>
    <n v="153140.72742470301"/>
    <n v="551306.61872893095"/>
  </r>
  <r>
    <x v="0"/>
    <x v="1"/>
    <x v="1"/>
    <x v="7"/>
    <x v="14"/>
    <s v="NO4_A1"/>
    <x v="6"/>
    <x v="7"/>
    <s v="GNR_RES_WTR_NOPMP_MC-01"/>
    <x v="0"/>
    <x v="8"/>
    <n v="419.56363678000798"/>
    <n v="153140.72742470301"/>
    <n v="551306.61872893095"/>
  </r>
  <r>
    <x v="0"/>
    <x v="1"/>
    <x v="1"/>
    <x v="7"/>
    <x v="14"/>
    <s v="NO4_A1"/>
    <x v="6"/>
    <x v="7"/>
    <s v="GNR_RES_WTR_NOPMP_MC-01"/>
    <x v="0"/>
    <x v="9"/>
    <n v="419.56363678000798"/>
    <n v="153140.72742470301"/>
    <n v="551306.61872893095"/>
  </r>
  <r>
    <x v="0"/>
    <x v="1"/>
    <x v="1"/>
    <x v="7"/>
    <x v="14"/>
    <s v="NO4_A1"/>
    <x v="6"/>
    <x v="7"/>
    <s v="GNR_RES_WTR_NOPMP_MC-01"/>
    <x v="0"/>
    <x v="10"/>
    <n v="419.56363678000798"/>
    <n v="153140.72742470301"/>
    <n v="551306.61872893095"/>
  </r>
  <r>
    <x v="0"/>
    <x v="1"/>
    <x v="1"/>
    <x v="7"/>
    <x v="14"/>
    <s v="NO4_A1"/>
    <x v="6"/>
    <x v="7"/>
    <s v="GNR_RES_WTR_NOPMP_MC-01"/>
    <x v="0"/>
    <x v="11"/>
    <n v="419.56363678000798"/>
    <n v="153140.72742470301"/>
    <n v="551306.61872893095"/>
  </r>
  <r>
    <x v="0"/>
    <x v="1"/>
    <x v="1"/>
    <x v="7"/>
    <x v="14"/>
    <s v="NO4_A1"/>
    <x v="6"/>
    <x v="7"/>
    <s v="GNR_RES_WTR_NOPMP_MC-01"/>
    <x v="0"/>
    <x v="12"/>
    <n v="419.56363678000798"/>
    <n v="153140.72742470301"/>
    <n v="551306.61872893095"/>
  </r>
  <r>
    <x v="0"/>
    <x v="1"/>
    <x v="1"/>
    <x v="7"/>
    <x v="14"/>
    <s v="NO4_A1"/>
    <x v="6"/>
    <x v="7"/>
    <s v="GNR_RES_WTR_NOPMP_MC-01"/>
    <x v="0"/>
    <x v="13"/>
    <n v="419.56363678000798"/>
    <n v="153140.72742470301"/>
    <n v="551306.61872893095"/>
  </r>
  <r>
    <x v="0"/>
    <x v="1"/>
    <x v="1"/>
    <x v="7"/>
    <x v="14"/>
    <s v="NO4_A1"/>
    <x v="6"/>
    <x v="7"/>
    <s v="GNR_RES_WTR_NOPMP_MC-01"/>
    <x v="0"/>
    <x v="14"/>
    <n v="419.56363678000798"/>
    <n v="153140.72742470301"/>
    <n v="551306.61872893095"/>
  </r>
  <r>
    <x v="0"/>
    <x v="1"/>
    <x v="1"/>
    <x v="7"/>
    <x v="14"/>
    <s v="NO4_A1"/>
    <x v="6"/>
    <x v="7"/>
    <s v="GNR_RES_WTR_NOPMP_MC-01"/>
    <x v="0"/>
    <x v="15"/>
    <n v="419.56363678000798"/>
    <n v="153140.72742470301"/>
    <n v="551306.61872893095"/>
  </r>
  <r>
    <x v="0"/>
    <x v="1"/>
    <x v="1"/>
    <x v="7"/>
    <x v="14"/>
    <s v="NO4_A1"/>
    <x v="6"/>
    <x v="7"/>
    <s v="GNR_RES_WTR_NOPMP_MC-01"/>
    <x v="0"/>
    <x v="16"/>
    <n v="419.56363678000798"/>
    <n v="153140.72742470301"/>
    <n v="551306.61872893095"/>
  </r>
  <r>
    <x v="0"/>
    <x v="1"/>
    <x v="1"/>
    <x v="7"/>
    <x v="14"/>
    <s v="NO4_A1"/>
    <x v="6"/>
    <x v="7"/>
    <s v="GNR_RES_WTR_NOPMP_MC-01"/>
    <x v="0"/>
    <x v="17"/>
    <n v="419.56363678000798"/>
    <n v="153140.72742470301"/>
    <n v="551306.61872893095"/>
  </r>
  <r>
    <x v="0"/>
    <x v="1"/>
    <x v="1"/>
    <x v="7"/>
    <x v="14"/>
    <s v="NO4_A1"/>
    <x v="6"/>
    <x v="7"/>
    <s v="GNR_RES_WTR_NOPMP_MC-01"/>
    <x v="0"/>
    <x v="19"/>
    <n v="419.56363678000798"/>
    <n v="153140.72742470301"/>
    <n v="551306.61872893095"/>
  </r>
  <r>
    <x v="0"/>
    <x v="1"/>
    <x v="1"/>
    <x v="7"/>
    <x v="14"/>
    <s v="NO4_A1"/>
    <x v="6"/>
    <x v="7"/>
    <s v="GNR_RES_WTR_NOPMP_MC-01"/>
    <x v="0"/>
    <x v="20"/>
    <n v="419.56363678000798"/>
    <n v="153140.72742470301"/>
    <n v="551306.61872893095"/>
  </r>
  <r>
    <x v="0"/>
    <x v="1"/>
    <x v="1"/>
    <x v="7"/>
    <x v="14"/>
    <s v="NO4_A1"/>
    <x v="6"/>
    <x v="7"/>
    <s v="GNR_RES_WTR_NOPMP_MC-01"/>
    <x v="0"/>
    <x v="21"/>
    <n v="419.56363678000798"/>
    <n v="153140.72742470301"/>
    <n v="551306.61872893095"/>
  </r>
  <r>
    <x v="0"/>
    <x v="1"/>
    <x v="1"/>
    <x v="7"/>
    <x v="14"/>
    <s v="NO4_A1"/>
    <x v="6"/>
    <x v="7"/>
    <s v="GNR_RES_WTR_NOPMP_MC-01"/>
    <x v="0"/>
    <x v="22"/>
    <n v="419.56363678000798"/>
    <n v="153140.72742470301"/>
    <n v="551306.61872893095"/>
  </r>
  <r>
    <x v="0"/>
    <x v="1"/>
    <x v="1"/>
    <x v="7"/>
    <x v="14"/>
    <s v="NO4_A1"/>
    <x v="6"/>
    <x v="7"/>
    <s v="GNR_RES_WTR_NOPMP_MC-01"/>
    <x v="0"/>
    <x v="23"/>
    <n v="419.56363678000798"/>
    <n v="153140.72742470301"/>
    <n v="551306.61872893095"/>
  </r>
  <r>
    <x v="0"/>
    <x v="1"/>
    <x v="1"/>
    <x v="7"/>
    <x v="14"/>
    <s v="NO4_A1"/>
    <x v="6"/>
    <x v="7"/>
    <s v="GNR_RES_WTR_NOPMP_MC-02"/>
    <x v="0"/>
    <x v="0"/>
    <n v="419.56363678000798"/>
    <n v="153140.72742470301"/>
    <n v="551306.61872893095"/>
  </r>
  <r>
    <x v="0"/>
    <x v="1"/>
    <x v="1"/>
    <x v="7"/>
    <x v="14"/>
    <s v="NO4_A1"/>
    <x v="6"/>
    <x v="7"/>
    <s v="GNR_RES_WTR_NOPMP_MC-02"/>
    <x v="0"/>
    <x v="1"/>
    <n v="419.56363678000798"/>
    <n v="153140.72742470301"/>
    <n v="551306.61872893095"/>
  </r>
  <r>
    <x v="0"/>
    <x v="1"/>
    <x v="1"/>
    <x v="7"/>
    <x v="14"/>
    <s v="NO4_A1"/>
    <x v="6"/>
    <x v="7"/>
    <s v="GNR_RES_WTR_NOPMP_MC-02"/>
    <x v="0"/>
    <x v="18"/>
    <n v="419.56363678000798"/>
    <n v="153140.72742470301"/>
    <n v="551306.61872893095"/>
  </r>
  <r>
    <x v="0"/>
    <x v="1"/>
    <x v="1"/>
    <x v="7"/>
    <x v="14"/>
    <s v="NO4_A1"/>
    <x v="6"/>
    <x v="7"/>
    <s v="GNR_RES_WTR_NOPMP_MC-02"/>
    <x v="0"/>
    <x v="2"/>
    <n v="419.56363678000798"/>
    <n v="153140.72742470301"/>
    <n v="551306.61872893095"/>
  </r>
  <r>
    <x v="0"/>
    <x v="1"/>
    <x v="1"/>
    <x v="7"/>
    <x v="14"/>
    <s v="NO4_A1"/>
    <x v="6"/>
    <x v="7"/>
    <s v="GNR_RES_WTR_NOPMP_MC-02"/>
    <x v="0"/>
    <x v="3"/>
    <n v="419.56363678000798"/>
    <n v="153140.72742470301"/>
    <n v="551306.61872893095"/>
  </r>
  <r>
    <x v="0"/>
    <x v="1"/>
    <x v="1"/>
    <x v="7"/>
    <x v="14"/>
    <s v="NO4_A1"/>
    <x v="6"/>
    <x v="7"/>
    <s v="GNR_RES_WTR_NOPMP_MC-02"/>
    <x v="0"/>
    <x v="4"/>
    <n v="419.56363678000798"/>
    <n v="153140.72742470301"/>
    <n v="551306.61872893095"/>
  </r>
  <r>
    <x v="0"/>
    <x v="1"/>
    <x v="1"/>
    <x v="7"/>
    <x v="14"/>
    <s v="NO4_A1"/>
    <x v="6"/>
    <x v="7"/>
    <s v="GNR_RES_WTR_NOPMP_MC-02"/>
    <x v="0"/>
    <x v="5"/>
    <n v="419.56363678000798"/>
    <n v="153140.72742470301"/>
    <n v="551306.61872893095"/>
  </r>
  <r>
    <x v="0"/>
    <x v="1"/>
    <x v="1"/>
    <x v="7"/>
    <x v="14"/>
    <s v="NO4_A1"/>
    <x v="6"/>
    <x v="7"/>
    <s v="GNR_RES_WTR_NOPMP_MC-02"/>
    <x v="0"/>
    <x v="6"/>
    <n v="419.56363678000798"/>
    <n v="153140.72742470301"/>
    <n v="551306.61872893095"/>
  </r>
  <r>
    <x v="0"/>
    <x v="1"/>
    <x v="1"/>
    <x v="7"/>
    <x v="14"/>
    <s v="NO4_A1"/>
    <x v="6"/>
    <x v="7"/>
    <s v="GNR_RES_WTR_NOPMP_MC-02"/>
    <x v="0"/>
    <x v="7"/>
    <n v="419.56363678000798"/>
    <n v="153140.72742470301"/>
    <n v="551306.61872893095"/>
  </r>
  <r>
    <x v="0"/>
    <x v="1"/>
    <x v="1"/>
    <x v="7"/>
    <x v="14"/>
    <s v="NO4_A1"/>
    <x v="6"/>
    <x v="7"/>
    <s v="GNR_RES_WTR_NOPMP_MC-02"/>
    <x v="0"/>
    <x v="8"/>
    <n v="419.56363678000798"/>
    <n v="153140.72742470301"/>
    <n v="551306.61872893095"/>
  </r>
  <r>
    <x v="0"/>
    <x v="1"/>
    <x v="1"/>
    <x v="7"/>
    <x v="14"/>
    <s v="NO4_A1"/>
    <x v="6"/>
    <x v="7"/>
    <s v="GNR_RES_WTR_NOPMP_MC-02"/>
    <x v="0"/>
    <x v="9"/>
    <n v="419.56363678000798"/>
    <n v="153140.72742470301"/>
    <n v="551306.61872893095"/>
  </r>
  <r>
    <x v="0"/>
    <x v="1"/>
    <x v="1"/>
    <x v="7"/>
    <x v="14"/>
    <s v="NO4_A1"/>
    <x v="6"/>
    <x v="7"/>
    <s v="GNR_RES_WTR_NOPMP_MC-02"/>
    <x v="0"/>
    <x v="10"/>
    <n v="419.56363678000798"/>
    <n v="153140.72742470301"/>
    <n v="551306.61872893095"/>
  </r>
  <r>
    <x v="0"/>
    <x v="1"/>
    <x v="1"/>
    <x v="7"/>
    <x v="14"/>
    <s v="NO4_A1"/>
    <x v="6"/>
    <x v="7"/>
    <s v="GNR_RES_WTR_NOPMP_MC-02"/>
    <x v="0"/>
    <x v="11"/>
    <n v="419.56363678000798"/>
    <n v="153140.72742470301"/>
    <n v="551306.61872893095"/>
  </r>
  <r>
    <x v="0"/>
    <x v="1"/>
    <x v="1"/>
    <x v="7"/>
    <x v="14"/>
    <s v="NO4_A1"/>
    <x v="6"/>
    <x v="7"/>
    <s v="GNR_RES_WTR_NOPMP_MC-02"/>
    <x v="0"/>
    <x v="12"/>
    <n v="419.56363678000798"/>
    <n v="153140.72742470301"/>
    <n v="551306.61872893095"/>
  </r>
  <r>
    <x v="0"/>
    <x v="1"/>
    <x v="1"/>
    <x v="7"/>
    <x v="14"/>
    <s v="NO4_A1"/>
    <x v="6"/>
    <x v="7"/>
    <s v="GNR_RES_WTR_NOPMP_MC-02"/>
    <x v="0"/>
    <x v="13"/>
    <n v="419.56363678000798"/>
    <n v="153140.72742470301"/>
    <n v="551306.61872893095"/>
  </r>
  <r>
    <x v="0"/>
    <x v="1"/>
    <x v="1"/>
    <x v="7"/>
    <x v="14"/>
    <s v="NO4_A1"/>
    <x v="6"/>
    <x v="7"/>
    <s v="GNR_RES_WTR_NOPMP_MC-02"/>
    <x v="0"/>
    <x v="14"/>
    <n v="419.56363678000798"/>
    <n v="153140.72742470301"/>
    <n v="551306.61872893095"/>
  </r>
  <r>
    <x v="0"/>
    <x v="1"/>
    <x v="1"/>
    <x v="7"/>
    <x v="14"/>
    <s v="NO4_A1"/>
    <x v="6"/>
    <x v="7"/>
    <s v="GNR_RES_WTR_NOPMP_MC-02"/>
    <x v="0"/>
    <x v="15"/>
    <n v="419.56363678000798"/>
    <n v="153140.72742470301"/>
    <n v="551306.61872893095"/>
  </r>
  <r>
    <x v="0"/>
    <x v="1"/>
    <x v="1"/>
    <x v="7"/>
    <x v="14"/>
    <s v="NO4_A1"/>
    <x v="6"/>
    <x v="7"/>
    <s v="GNR_RES_WTR_NOPMP_MC-02"/>
    <x v="0"/>
    <x v="16"/>
    <n v="419.56363678000798"/>
    <n v="153140.72742470301"/>
    <n v="551306.61872893095"/>
  </r>
  <r>
    <x v="0"/>
    <x v="1"/>
    <x v="1"/>
    <x v="7"/>
    <x v="14"/>
    <s v="NO4_A1"/>
    <x v="6"/>
    <x v="7"/>
    <s v="GNR_RES_WTR_NOPMP_MC-02"/>
    <x v="0"/>
    <x v="17"/>
    <n v="419.56363678000798"/>
    <n v="153140.72742470301"/>
    <n v="551306.61872893095"/>
  </r>
  <r>
    <x v="0"/>
    <x v="1"/>
    <x v="1"/>
    <x v="7"/>
    <x v="14"/>
    <s v="NO4_A1"/>
    <x v="6"/>
    <x v="7"/>
    <s v="GNR_RES_WTR_NOPMP_MC-02"/>
    <x v="0"/>
    <x v="19"/>
    <n v="419.56363678000798"/>
    <n v="153140.72742470301"/>
    <n v="551306.61872893095"/>
  </r>
  <r>
    <x v="0"/>
    <x v="1"/>
    <x v="1"/>
    <x v="7"/>
    <x v="14"/>
    <s v="NO4_A1"/>
    <x v="6"/>
    <x v="7"/>
    <s v="GNR_RES_WTR_NOPMP_MC-02"/>
    <x v="0"/>
    <x v="20"/>
    <n v="419.56363678000798"/>
    <n v="153140.72742470301"/>
    <n v="551306.61872893095"/>
  </r>
  <r>
    <x v="0"/>
    <x v="1"/>
    <x v="1"/>
    <x v="7"/>
    <x v="14"/>
    <s v="NO4_A1"/>
    <x v="6"/>
    <x v="7"/>
    <s v="GNR_RES_WTR_NOPMP_MC-02"/>
    <x v="0"/>
    <x v="21"/>
    <n v="419.56363678000798"/>
    <n v="153140.72742470301"/>
    <n v="551306.61872893095"/>
  </r>
  <r>
    <x v="0"/>
    <x v="1"/>
    <x v="1"/>
    <x v="7"/>
    <x v="14"/>
    <s v="NO4_A1"/>
    <x v="6"/>
    <x v="7"/>
    <s v="GNR_RES_WTR_NOPMP_MC-02"/>
    <x v="0"/>
    <x v="22"/>
    <n v="419.56363678000798"/>
    <n v="153140.72742470301"/>
    <n v="551306.61872893095"/>
  </r>
  <r>
    <x v="0"/>
    <x v="1"/>
    <x v="1"/>
    <x v="7"/>
    <x v="14"/>
    <s v="NO4_A1"/>
    <x v="6"/>
    <x v="7"/>
    <s v="GNR_RES_WTR_NOPMP_MC-02"/>
    <x v="0"/>
    <x v="23"/>
    <n v="419.56363678000798"/>
    <n v="153140.72742470301"/>
    <n v="551306.61872893095"/>
  </r>
  <r>
    <x v="0"/>
    <x v="1"/>
    <x v="1"/>
    <x v="7"/>
    <x v="14"/>
    <s v="NO4_A1"/>
    <x v="6"/>
    <x v="7"/>
    <s v="GNR_RES_WTR_NOPMP_MC-03"/>
    <x v="0"/>
    <x v="0"/>
    <n v="419.56363678000798"/>
    <n v="153140.72742470301"/>
    <n v="551306.61872893095"/>
  </r>
  <r>
    <x v="0"/>
    <x v="1"/>
    <x v="1"/>
    <x v="7"/>
    <x v="14"/>
    <s v="NO4_A1"/>
    <x v="6"/>
    <x v="7"/>
    <s v="GNR_RES_WTR_NOPMP_MC-03"/>
    <x v="0"/>
    <x v="1"/>
    <n v="419.56363678000798"/>
    <n v="153140.72742470301"/>
    <n v="551306.61872893095"/>
  </r>
  <r>
    <x v="0"/>
    <x v="1"/>
    <x v="1"/>
    <x v="7"/>
    <x v="14"/>
    <s v="NO4_A1"/>
    <x v="6"/>
    <x v="7"/>
    <s v="GNR_RES_WTR_NOPMP_MC-03"/>
    <x v="0"/>
    <x v="18"/>
    <n v="419.56363678000798"/>
    <n v="153140.72742470301"/>
    <n v="551306.61872893095"/>
  </r>
  <r>
    <x v="0"/>
    <x v="1"/>
    <x v="1"/>
    <x v="7"/>
    <x v="14"/>
    <s v="NO4_A1"/>
    <x v="6"/>
    <x v="7"/>
    <s v="GNR_RES_WTR_NOPMP_MC-03"/>
    <x v="0"/>
    <x v="2"/>
    <n v="419.56363678000798"/>
    <n v="153140.72742470301"/>
    <n v="551306.61872893095"/>
  </r>
  <r>
    <x v="0"/>
    <x v="1"/>
    <x v="1"/>
    <x v="7"/>
    <x v="14"/>
    <s v="NO4_A1"/>
    <x v="6"/>
    <x v="7"/>
    <s v="GNR_RES_WTR_NOPMP_MC-03"/>
    <x v="0"/>
    <x v="3"/>
    <n v="419.56363678000798"/>
    <n v="153140.72742470301"/>
    <n v="551306.61872893095"/>
  </r>
  <r>
    <x v="0"/>
    <x v="1"/>
    <x v="1"/>
    <x v="7"/>
    <x v="14"/>
    <s v="NO4_A1"/>
    <x v="6"/>
    <x v="7"/>
    <s v="GNR_RES_WTR_NOPMP_MC-03"/>
    <x v="0"/>
    <x v="4"/>
    <n v="419.56363678000798"/>
    <n v="153140.72742470301"/>
    <n v="551306.61872893095"/>
  </r>
  <r>
    <x v="0"/>
    <x v="1"/>
    <x v="1"/>
    <x v="7"/>
    <x v="14"/>
    <s v="NO4_A1"/>
    <x v="6"/>
    <x v="7"/>
    <s v="GNR_RES_WTR_NOPMP_MC-03"/>
    <x v="0"/>
    <x v="5"/>
    <n v="419.56363678000798"/>
    <n v="153140.72742470301"/>
    <n v="551306.61872893095"/>
  </r>
  <r>
    <x v="0"/>
    <x v="1"/>
    <x v="1"/>
    <x v="7"/>
    <x v="14"/>
    <s v="NO4_A1"/>
    <x v="6"/>
    <x v="7"/>
    <s v="GNR_RES_WTR_NOPMP_MC-03"/>
    <x v="0"/>
    <x v="6"/>
    <n v="419.56363678000798"/>
    <n v="153140.72742470301"/>
    <n v="551306.61872893095"/>
  </r>
  <r>
    <x v="0"/>
    <x v="1"/>
    <x v="1"/>
    <x v="7"/>
    <x v="14"/>
    <s v="NO4_A1"/>
    <x v="6"/>
    <x v="7"/>
    <s v="GNR_RES_WTR_NOPMP_MC-03"/>
    <x v="0"/>
    <x v="7"/>
    <n v="419.56363678000798"/>
    <n v="153140.72742470301"/>
    <n v="551306.61872893095"/>
  </r>
  <r>
    <x v="0"/>
    <x v="1"/>
    <x v="1"/>
    <x v="7"/>
    <x v="14"/>
    <s v="NO4_A1"/>
    <x v="6"/>
    <x v="7"/>
    <s v="GNR_RES_WTR_NOPMP_MC-03"/>
    <x v="0"/>
    <x v="8"/>
    <n v="419.56363678000798"/>
    <n v="153140.72742470301"/>
    <n v="551306.61872893095"/>
  </r>
  <r>
    <x v="0"/>
    <x v="1"/>
    <x v="1"/>
    <x v="7"/>
    <x v="14"/>
    <s v="NO4_A1"/>
    <x v="6"/>
    <x v="7"/>
    <s v="GNR_RES_WTR_NOPMP_MC-03"/>
    <x v="0"/>
    <x v="9"/>
    <n v="419.56363678000798"/>
    <n v="153140.72742470301"/>
    <n v="551306.61872893095"/>
  </r>
  <r>
    <x v="0"/>
    <x v="1"/>
    <x v="1"/>
    <x v="7"/>
    <x v="14"/>
    <s v="NO4_A1"/>
    <x v="6"/>
    <x v="7"/>
    <s v="GNR_RES_WTR_NOPMP_MC-03"/>
    <x v="0"/>
    <x v="10"/>
    <n v="419.56363678000798"/>
    <n v="153140.72742470301"/>
    <n v="551306.61872893095"/>
  </r>
  <r>
    <x v="0"/>
    <x v="1"/>
    <x v="1"/>
    <x v="7"/>
    <x v="14"/>
    <s v="NO4_A1"/>
    <x v="6"/>
    <x v="7"/>
    <s v="GNR_RES_WTR_NOPMP_MC-03"/>
    <x v="0"/>
    <x v="11"/>
    <n v="419.56363678000798"/>
    <n v="153140.72742470301"/>
    <n v="551306.61872893095"/>
  </r>
  <r>
    <x v="0"/>
    <x v="1"/>
    <x v="1"/>
    <x v="7"/>
    <x v="14"/>
    <s v="NO4_A1"/>
    <x v="6"/>
    <x v="7"/>
    <s v="GNR_RES_WTR_NOPMP_MC-03"/>
    <x v="0"/>
    <x v="12"/>
    <n v="419.56363678000798"/>
    <n v="153140.72742470301"/>
    <n v="551306.61872893095"/>
  </r>
  <r>
    <x v="0"/>
    <x v="1"/>
    <x v="1"/>
    <x v="7"/>
    <x v="14"/>
    <s v="NO4_A1"/>
    <x v="6"/>
    <x v="7"/>
    <s v="GNR_RES_WTR_NOPMP_MC-03"/>
    <x v="0"/>
    <x v="13"/>
    <n v="419.56363678000798"/>
    <n v="153140.72742470301"/>
    <n v="551306.61872893095"/>
  </r>
  <r>
    <x v="0"/>
    <x v="1"/>
    <x v="1"/>
    <x v="7"/>
    <x v="14"/>
    <s v="NO4_A1"/>
    <x v="6"/>
    <x v="7"/>
    <s v="GNR_RES_WTR_NOPMP_MC-03"/>
    <x v="0"/>
    <x v="14"/>
    <n v="419.56363678000798"/>
    <n v="153140.72742470301"/>
    <n v="551306.61872893095"/>
  </r>
  <r>
    <x v="0"/>
    <x v="1"/>
    <x v="1"/>
    <x v="7"/>
    <x v="14"/>
    <s v="NO4_A1"/>
    <x v="6"/>
    <x v="7"/>
    <s v="GNR_RES_WTR_NOPMP_MC-03"/>
    <x v="0"/>
    <x v="15"/>
    <n v="419.56363678000798"/>
    <n v="153140.72742470301"/>
    <n v="551306.61872893095"/>
  </r>
  <r>
    <x v="0"/>
    <x v="1"/>
    <x v="1"/>
    <x v="7"/>
    <x v="14"/>
    <s v="NO4_A1"/>
    <x v="6"/>
    <x v="7"/>
    <s v="GNR_RES_WTR_NOPMP_MC-03"/>
    <x v="0"/>
    <x v="16"/>
    <n v="419.56363678000798"/>
    <n v="153140.72742470301"/>
    <n v="551306.61872893095"/>
  </r>
  <r>
    <x v="0"/>
    <x v="1"/>
    <x v="1"/>
    <x v="7"/>
    <x v="14"/>
    <s v="NO4_A1"/>
    <x v="6"/>
    <x v="7"/>
    <s v="GNR_RES_WTR_NOPMP_MC-03"/>
    <x v="0"/>
    <x v="17"/>
    <n v="419.56363678000798"/>
    <n v="153140.72742470301"/>
    <n v="551306.61872893095"/>
  </r>
  <r>
    <x v="0"/>
    <x v="1"/>
    <x v="1"/>
    <x v="7"/>
    <x v="14"/>
    <s v="NO4_A1"/>
    <x v="6"/>
    <x v="7"/>
    <s v="GNR_RES_WTR_NOPMP_MC-03"/>
    <x v="0"/>
    <x v="19"/>
    <n v="419.56363678000798"/>
    <n v="153140.72742470301"/>
    <n v="551306.61872893095"/>
  </r>
  <r>
    <x v="0"/>
    <x v="1"/>
    <x v="1"/>
    <x v="7"/>
    <x v="14"/>
    <s v="NO4_A1"/>
    <x v="6"/>
    <x v="7"/>
    <s v="GNR_RES_WTR_NOPMP_MC-03"/>
    <x v="0"/>
    <x v="20"/>
    <n v="419.56363678000798"/>
    <n v="153140.72742470301"/>
    <n v="551306.61872893095"/>
  </r>
  <r>
    <x v="0"/>
    <x v="1"/>
    <x v="1"/>
    <x v="7"/>
    <x v="14"/>
    <s v="NO4_A1"/>
    <x v="6"/>
    <x v="7"/>
    <s v="GNR_RES_WTR_NOPMP_MC-03"/>
    <x v="0"/>
    <x v="21"/>
    <n v="419.56363678000798"/>
    <n v="153140.72742470301"/>
    <n v="551306.61872893095"/>
  </r>
  <r>
    <x v="0"/>
    <x v="1"/>
    <x v="1"/>
    <x v="7"/>
    <x v="14"/>
    <s v="NO4_A1"/>
    <x v="6"/>
    <x v="7"/>
    <s v="GNR_RES_WTR_NOPMP_MC-03"/>
    <x v="0"/>
    <x v="22"/>
    <n v="419.56363678000798"/>
    <n v="153140.72742470301"/>
    <n v="551306.61872893095"/>
  </r>
  <r>
    <x v="0"/>
    <x v="1"/>
    <x v="1"/>
    <x v="7"/>
    <x v="14"/>
    <s v="NO4_A1"/>
    <x v="6"/>
    <x v="7"/>
    <s v="GNR_RES_WTR_NOPMP_MC-03"/>
    <x v="0"/>
    <x v="23"/>
    <n v="419.56363678000798"/>
    <n v="153140.72742470301"/>
    <n v="551306.61872893095"/>
  </r>
  <r>
    <x v="0"/>
    <x v="1"/>
    <x v="1"/>
    <x v="7"/>
    <x v="14"/>
    <s v="NO4_A1"/>
    <x v="6"/>
    <x v="7"/>
    <s v="GNR_RES_WTR_NOPMP_MC-04"/>
    <x v="0"/>
    <x v="0"/>
    <n v="419.56363678000798"/>
    <n v="153140.72742470301"/>
    <n v="551306.61872893095"/>
  </r>
  <r>
    <x v="0"/>
    <x v="1"/>
    <x v="1"/>
    <x v="7"/>
    <x v="14"/>
    <s v="NO4_A1"/>
    <x v="6"/>
    <x v="7"/>
    <s v="GNR_RES_WTR_NOPMP_MC-04"/>
    <x v="0"/>
    <x v="1"/>
    <n v="419.56363678000798"/>
    <n v="153140.72742470301"/>
    <n v="551306.61872893095"/>
  </r>
  <r>
    <x v="0"/>
    <x v="1"/>
    <x v="1"/>
    <x v="7"/>
    <x v="14"/>
    <s v="NO4_A1"/>
    <x v="6"/>
    <x v="7"/>
    <s v="GNR_RES_WTR_NOPMP_MC-04"/>
    <x v="0"/>
    <x v="18"/>
    <n v="419.56363678000798"/>
    <n v="153140.72742470301"/>
    <n v="551306.61872893095"/>
  </r>
  <r>
    <x v="0"/>
    <x v="1"/>
    <x v="1"/>
    <x v="7"/>
    <x v="14"/>
    <s v="NO4_A1"/>
    <x v="6"/>
    <x v="7"/>
    <s v="GNR_RES_WTR_NOPMP_MC-04"/>
    <x v="0"/>
    <x v="2"/>
    <n v="419.56363678000798"/>
    <n v="153140.72742470301"/>
    <n v="551306.61872893095"/>
  </r>
  <r>
    <x v="0"/>
    <x v="1"/>
    <x v="1"/>
    <x v="7"/>
    <x v="14"/>
    <s v="NO4_A1"/>
    <x v="6"/>
    <x v="7"/>
    <s v="GNR_RES_WTR_NOPMP_MC-04"/>
    <x v="0"/>
    <x v="3"/>
    <n v="419.56363678000798"/>
    <n v="153140.72742470301"/>
    <n v="551306.61872893095"/>
  </r>
  <r>
    <x v="0"/>
    <x v="1"/>
    <x v="1"/>
    <x v="7"/>
    <x v="14"/>
    <s v="NO4_A1"/>
    <x v="6"/>
    <x v="7"/>
    <s v="GNR_RES_WTR_NOPMP_MC-04"/>
    <x v="0"/>
    <x v="4"/>
    <n v="419.56363678000798"/>
    <n v="153140.72742470301"/>
    <n v="551306.61872893095"/>
  </r>
  <r>
    <x v="0"/>
    <x v="1"/>
    <x v="1"/>
    <x v="7"/>
    <x v="14"/>
    <s v="NO4_A1"/>
    <x v="6"/>
    <x v="7"/>
    <s v="GNR_RES_WTR_NOPMP_MC-04"/>
    <x v="0"/>
    <x v="5"/>
    <n v="419.56363678000798"/>
    <n v="153140.72742470301"/>
    <n v="551306.61872893095"/>
  </r>
  <r>
    <x v="0"/>
    <x v="1"/>
    <x v="1"/>
    <x v="7"/>
    <x v="14"/>
    <s v="NO4_A1"/>
    <x v="6"/>
    <x v="7"/>
    <s v="GNR_RES_WTR_NOPMP_MC-04"/>
    <x v="0"/>
    <x v="6"/>
    <n v="419.56363678000798"/>
    <n v="153140.72742470301"/>
    <n v="551306.61872893095"/>
  </r>
  <r>
    <x v="0"/>
    <x v="1"/>
    <x v="1"/>
    <x v="7"/>
    <x v="14"/>
    <s v="NO4_A1"/>
    <x v="6"/>
    <x v="7"/>
    <s v="GNR_RES_WTR_NOPMP_MC-04"/>
    <x v="0"/>
    <x v="7"/>
    <n v="419.56363678000798"/>
    <n v="153140.72742470301"/>
    <n v="551306.61872893095"/>
  </r>
  <r>
    <x v="0"/>
    <x v="1"/>
    <x v="1"/>
    <x v="7"/>
    <x v="14"/>
    <s v="NO4_A1"/>
    <x v="6"/>
    <x v="7"/>
    <s v="GNR_RES_WTR_NOPMP_MC-04"/>
    <x v="0"/>
    <x v="8"/>
    <n v="419.56363678000798"/>
    <n v="153140.72742470301"/>
    <n v="551306.61872893095"/>
  </r>
  <r>
    <x v="0"/>
    <x v="1"/>
    <x v="1"/>
    <x v="7"/>
    <x v="14"/>
    <s v="NO4_A1"/>
    <x v="6"/>
    <x v="7"/>
    <s v="GNR_RES_WTR_NOPMP_MC-04"/>
    <x v="0"/>
    <x v="9"/>
    <n v="419.56363678000798"/>
    <n v="153140.72742470301"/>
    <n v="551306.61872893095"/>
  </r>
  <r>
    <x v="0"/>
    <x v="1"/>
    <x v="1"/>
    <x v="7"/>
    <x v="14"/>
    <s v="NO4_A1"/>
    <x v="6"/>
    <x v="7"/>
    <s v="GNR_RES_WTR_NOPMP_MC-04"/>
    <x v="0"/>
    <x v="10"/>
    <n v="419.56363678000798"/>
    <n v="153140.72742470301"/>
    <n v="551306.61872893095"/>
  </r>
  <r>
    <x v="0"/>
    <x v="1"/>
    <x v="1"/>
    <x v="7"/>
    <x v="14"/>
    <s v="NO4_A1"/>
    <x v="6"/>
    <x v="7"/>
    <s v="GNR_RES_WTR_NOPMP_MC-04"/>
    <x v="0"/>
    <x v="11"/>
    <n v="419.56363678000798"/>
    <n v="153140.72742470301"/>
    <n v="551306.61872893095"/>
  </r>
  <r>
    <x v="0"/>
    <x v="1"/>
    <x v="1"/>
    <x v="7"/>
    <x v="14"/>
    <s v="NO4_A1"/>
    <x v="6"/>
    <x v="7"/>
    <s v="GNR_RES_WTR_NOPMP_MC-04"/>
    <x v="0"/>
    <x v="12"/>
    <n v="419.56363678000798"/>
    <n v="153140.72742470301"/>
    <n v="551306.61872893095"/>
  </r>
  <r>
    <x v="0"/>
    <x v="1"/>
    <x v="1"/>
    <x v="7"/>
    <x v="14"/>
    <s v="NO4_A1"/>
    <x v="6"/>
    <x v="7"/>
    <s v="GNR_RES_WTR_NOPMP_MC-04"/>
    <x v="0"/>
    <x v="13"/>
    <n v="419.56363678000798"/>
    <n v="153140.72742470301"/>
    <n v="551306.61872893095"/>
  </r>
  <r>
    <x v="0"/>
    <x v="1"/>
    <x v="1"/>
    <x v="7"/>
    <x v="14"/>
    <s v="NO4_A1"/>
    <x v="6"/>
    <x v="7"/>
    <s v="GNR_RES_WTR_NOPMP_MC-04"/>
    <x v="0"/>
    <x v="14"/>
    <n v="419.56363678000798"/>
    <n v="153140.72742470301"/>
    <n v="551306.61872893095"/>
  </r>
  <r>
    <x v="0"/>
    <x v="1"/>
    <x v="1"/>
    <x v="7"/>
    <x v="14"/>
    <s v="NO4_A1"/>
    <x v="6"/>
    <x v="7"/>
    <s v="GNR_RES_WTR_NOPMP_MC-04"/>
    <x v="0"/>
    <x v="15"/>
    <n v="419.56363678000798"/>
    <n v="153140.72742470301"/>
    <n v="551306.61872893095"/>
  </r>
  <r>
    <x v="0"/>
    <x v="1"/>
    <x v="1"/>
    <x v="7"/>
    <x v="14"/>
    <s v="NO4_A1"/>
    <x v="6"/>
    <x v="7"/>
    <s v="GNR_RES_WTR_NOPMP_MC-04"/>
    <x v="0"/>
    <x v="16"/>
    <n v="419.56363678000798"/>
    <n v="153140.72742470301"/>
    <n v="551306.61872893095"/>
  </r>
  <r>
    <x v="0"/>
    <x v="1"/>
    <x v="1"/>
    <x v="7"/>
    <x v="14"/>
    <s v="NO4_A1"/>
    <x v="6"/>
    <x v="7"/>
    <s v="GNR_RES_WTR_NOPMP_MC-04"/>
    <x v="0"/>
    <x v="17"/>
    <n v="419.56363678000798"/>
    <n v="153140.72742470301"/>
    <n v="551306.61872893095"/>
  </r>
  <r>
    <x v="0"/>
    <x v="1"/>
    <x v="1"/>
    <x v="7"/>
    <x v="14"/>
    <s v="NO4_A1"/>
    <x v="6"/>
    <x v="7"/>
    <s v="GNR_RES_WTR_NOPMP_MC-04"/>
    <x v="0"/>
    <x v="19"/>
    <n v="419.56363678000798"/>
    <n v="153140.72742470301"/>
    <n v="551306.61872893095"/>
  </r>
  <r>
    <x v="0"/>
    <x v="1"/>
    <x v="1"/>
    <x v="7"/>
    <x v="14"/>
    <s v="NO4_A1"/>
    <x v="6"/>
    <x v="7"/>
    <s v="GNR_RES_WTR_NOPMP_MC-04"/>
    <x v="0"/>
    <x v="20"/>
    <n v="419.56363678000798"/>
    <n v="153140.72742470301"/>
    <n v="551306.61872893095"/>
  </r>
  <r>
    <x v="0"/>
    <x v="1"/>
    <x v="1"/>
    <x v="7"/>
    <x v="14"/>
    <s v="NO4_A1"/>
    <x v="6"/>
    <x v="7"/>
    <s v="GNR_RES_WTR_NOPMP_MC-04"/>
    <x v="0"/>
    <x v="21"/>
    <n v="419.56363678000798"/>
    <n v="153140.72742470301"/>
    <n v="551306.61872893095"/>
  </r>
  <r>
    <x v="0"/>
    <x v="1"/>
    <x v="1"/>
    <x v="7"/>
    <x v="14"/>
    <s v="NO4_A1"/>
    <x v="6"/>
    <x v="7"/>
    <s v="GNR_RES_WTR_NOPMP_MC-04"/>
    <x v="0"/>
    <x v="22"/>
    <n v="419.56363678000798"/>
    <n v="153140.72742470301"/>
    <n v="551306.61872893095"/>
  </r>
  <r>
    <x v="0"/>
    <x v="1"/>
    <x v="1"/>
    <x v="7"/>
    <x v="14"/>
    <s v="NO4_A1"/>
    <x v="6"/>
    <x v="7"/>
    <s v="GNR_RES_WTR_NOPMP_MC-04"/>
    <x v="0"/>
    <x v="23"/>
    <n v="419.56363678000798"/>
    <n v="153140.72742470301"/>
    <n v="551306.61872893095"/>
  </r>
  <r>
    <x v="0"/>
    <x v="1"/>
    <x v="1"/>
    <x v="7"/>
    <x v="14"/>
    <s v="NO4_A1"/>
    <x v="6"/>
    <x v="7"/>
    <s v="GNR_RES_WTR_NOPMP_MC-05"/>
    <x v="0"/>
    <x v="0"/>
    <n v="419.56363678000798"/>
    <n v="153140.72742470301"/>
    <n v="551306.61872893095"/>
  </r>
  <r>
    <x v="0"/>
    <x v="1"/>
    <x v="1"/>
    <x v="7"/>
    <x v="14"/>
    <s v="NO4_A1"/>
    <x v="6"/>
    <x v="7"/>
    <s v="GNR_RES_WTR_NOPMP_MC-05"/>
    <x v="0"/>
    <x v="1"/>
    <n v="419.56363678000798"/>
    <n v="153140.72742470301"/>
    <n v="551306.61872893095"/>
  </r>
  <r>
    <x v="0"/>
    <x v="1"/>
    <x v="1"/>
    <x v="7"/>
    <x v="14"/>
    <s v="NO4_A1"/>
    <x v="6"/>
    <x v="7"/>
    <s v="GNR_RES_WTR_NOPMP_MC-05"/>
    <x v="0"/>
    <x v="18"/>
    <n v="419.56363678000798"/>
    <n v="153140.72742470301"/>
    <n v="551306.61872893095"/>
  </r>
  <r>
    <x v="0"/>
    <x v="1"/>
    <x v="1"/>
    <x v="7"/>
    <x v="14"/>
    <s v="NO4_A1"/>
    <x v="6"/>
    <x v="7"/>
    <s v="GNR_RES_WTR_NOPMP_MC-05"/>
    <x v="0"/>
    <x v="2"/>
    <n v="419.56363678000798"/>
    <n v="153140.72742470301"/>
    <n v="551306.61872893095"/>
  </r>
  <r>
    <x v="0"/>
    <x v="1"/>
    <x v="1"/>
    <x v="7"/>
    <x v="14"/>
    <s v="NO4_A1"/>
    <x v="6"/>
    <x v="7"/>
    <s v="GNR_RES_WTR_NOPMP_MC-05"/>
    <x v="0"/>
    <x v="3"/>
    <n v="419.56363678000798"/>
    <n v="153140.72742470301"/>
    <n v="551306.61872893095"/>
  </r>
  <r>
    <x v="0"/>
    <x v="1"/>
    <x v="1"/>
    <x v="7"/>
    <x v="14"/>
    <s v="NO4_A1"/>
    <x v="6"/>
    <x v="7"/>
    <s v="GNR_RES_WTR_NOPMP_MC-05"/>
    <x v="0"/>
    <x v="4"/>
    <n v="419.56363678000798"/>
    <n v="153140.72742470301"/>
    <n v="551306.61872893095"/>
  </r>
  <r>
    <x v="0"/>
    <x v="1"/>
    <x v="1"/>
    <x v="7"/>
    <x v="14"/>
    <s v="NO4_A1"/>
    <x v="6"/>
    <x v="7"/>
    <s v="GNR_RES_WTR_NOPMP_MC-05"/>
    <x v="0"/>
    <x v="5"/>
    <n v="419.56363678000798"/>
    <n v="153140.72742470301"/>
    <n v="551306.61872893095"/>
  </r>
  <r>
    <x v="0"/>
    <x v="1"/>
    <x v="1"/>
    <x v="7"/>
    <x v="14"/>
    <s v="NO4_A1"/>
    <x v="6"/>
    <x v="7"/>
    <s v="GNR_RES_WTR_NOPMP_MC-05"/>
    <x v="0"/>
    <x v="6"/>
    <n v="419.56363678000798"/>
    <n v="153140.72742470301"/>
    <n v="551306.61872893095"/>
  </r>
  <r>
    <x v="0"/>
    <x v="1"/>
    <x v="1"/>
    <x v="7"/>
    <x v="14"/>
    <s v="NO4_A1"/>
    <x v="6"/>
    <x v="7"/>
    <s v="GNR_RES_WTR_NOPMP_MC-05"/>
    <x v="0"/>
    <x v="7"/>
    <n v="419.56363678000798"/>
    <n v="153140.72742470301"/>
    <n v="551306.61872893095"/>
  </r>
  <r>
    <x v="0"/>
    <x v="1"/>
    <x v="1"/>
    <x v="7"/>
    <x v="14"/>
    <s v="NO4_A1"/>
    <x v="6"/>
    <x v="7"/>
    <s v="GNR_RES_WTR_NOPMP_MC-05"/>
    <x v="0"/>
    <x v="8"/>
    <n v="419.56363678000798"/>
    <n v="153140.72742470301"/>
    <n v="551306.61872893095"/>
  </r>
  <r>
    <x v="0"/>
    <x v="1"/>
    <x v="1"/>
    <x v="7"/>
    <x v="14"/>
    <s v="NO4_A1"/>
    <x v="6"/>
    <x v="7"/>
    <s v="GNR_RES_WTR_NOPMP_MC-05"/>
    <x v="0"/>
    <x v="9"/>
    <n v="419.56363678000798"/>
    <n v="153140.72742470301"/>
    <n v="551306.61872893095"/>
  </r>
  <r>
    <x v="0"/>
    <x v="1"/>
    <x v="1"/>
    <x v="7"/>
    <x v="14"/>
    <s v="NO4_A1"/>
    <x v="6"/>
    <x v="7"/>
    <s v="GNR_RES_WTR_NOPMP_MC-05"/>
    <x v="0"/>
    <x v="10"/>
    <n v="419.56363678000798"/>
    <n v="153140.72742470301"/>
    <n v="551306.61872893095"/>
  </r>
  <r>
    <x v="0"/>
    <x v="1"/>
    <x v="1"/>
    <x v="7"/>
    <x v="14"/>
    <s v="NO4_A1"/>
    <x v="6"/>
    <x v="7"/>
    <s v="GNR_RES_WTR_NOPMP_MC-05"/>
    <x v="0"/>
    <x v="11"/>
    <n v="419.56363678000798"/>
    <n v="153140.72742470301"/>
    <n v="551306.61872893095"/>
  </r>
  <r>
    <x v="0"/>
    <x v="1"/>
    <x v="1"/>
    <x v="7"/>
    <x v="14"/>
    <s v="NO4_A1"/>
    <x v="6"/>
    <x v="7"/>
    <s v="GNR_RES_WTR_NOPMP_MC-05"/>
    <x v="0"/>
    <x v="12"/>
    <n v="419.56363678000798"/>
    <n v="153140.72742470301"/>
    <n v="551306.61872893095"/>
  </r>
  <r>
    <x v="0"/>
    <x v="1"/>
    <x v="1"/>
    <x v="7"/>
    <x v="14"/>
    <s v="NO4_A1"/>
    <x v="6"/>
    <x v="7"/>
    <s v="GNR_RES_WTR_NOPMP_MC-05"/>
    <x v="0"/>
    <x v="13"/>
    <n v="419.56363678000798"/>
    <n v="153140.72742470301"/>
    <n v="551306.61872893095"/>
  </r>
  <r>
    <x v="0"/>
    <x v="1"/>
    <x v="1"/>
    <x v="7"/>
    <x v="14"/>
    <s v="NO4_A1"/>
    <x v="6"/>
    <x v="7"/>
    <s v="GNR_RES_WTR_NOPMP_MC-05"/>
    <x v="0"/>
    <x v="14"/>
    <n v="419.56363678000798"/>
    <n v="153140.72742470301"/>
    <n v="551306.61872893095"/>
  </r>
  <r>
    <x v="0"/>
    <x v="1"/>
    <x v="1"/>
    <x v="7"/>
    <x v="14"/>
    <s v="NO4_A1"/>
    <x v="6"/>
    <x v="7"/>
    <s v="GNR_RES_WTR_NOPMP_MC-05"/>
    <x v="0"/>
    <x v="15"/>
    <n v="419.56363678000798"/>
    <n v="153140.72742470301"/>
    <n v="551306.61872893095"/>
  </r>
  <r>
    <x v="0"/>
    <x v="1"/>
    <x v="1"/>
    <x v="7"/>
    <x v="14"/>
    <s v="NO4_A1"/>
    <x v="6"/>
    <x v="7"/>
    <s v="GNR_RES_WTR_NOPMP_MC-05"/>
    <x v="0"/>
    <x v="16"/>
    <n v="419.56363678000798"/>
    <n v="153140.72742470301"/>
    <n v="551306.61872893095"/>
  </r>
  <r>
    <x v="0"/>
    <x v="1"/>
    <x v="1"/>
    <x v="7"/>
    <x v="14"/>
    <s v="NO4_A1"/>
    <x v="6"/>
    <x v="7"/>
    <s v="GNR_RES_WTR_NOPMP_MC-05"/>
    <x v="0"/>
    <x v="17"/>
    <n v="419.56363678000798"/>
    <n v="153140.72742470301"/>
    <n v="551306.61872893095"/>
  </r>
  <r>
    <x v="0"/>
    <x v="1"/>
    <x v="1"/>
    <x v="7"/>
    <x v="14"/>
    <s v="NO4_A1"/>
    <x v="6"/>
    <x v="7"/>
    <s v="GNR_RES_WTR_NOPMP_MC-05"/>
    <x v="0"/>
    <x v="19"/>
    <n v="419.56363678000798"/>
    <n v="153140.72742470301"/>
    <n v="551306.61872893095"/>
  </r>
  <r>
    <x v="0"/>
    <x v="1"/>
    <x v="1"/>
    <x v="7"/>
    <x v="14"/>
    <s v="NO4_A1"/>
    <x v="6"/>
    <x v="7"/>
    <s v="GNR_RES_WTR_NOPMP_MC-05"/>
    <x v="0"/>
    <x v="20"/>
    <n v="419.56363678000798"/>
    <n v="153140.72742470301"/>
    <n v="551306.61872893095"/>
  </r>
  <r>
    <x v="0"/>
    <x v="1"/>
    <x v="1"/>
    <x v="7"/>
    <x v="14"/>
    <s v="NO4_A1"/>
    <x v="6"/>
    <x v="7"/>
    <s v="GNR_RES_WTR_NOPMP_MC-05"/>
    <x v="0"/>
    <x v="21"/>
    <n v="419.56363678000798"/>
    <n v="153140.72742470301"/>
    <n v="551306.61872893095"/>
  </r>
  <r>
    <x v="0"/>
    <x v="1"/>
    <x v="1"/>
    <x v="7"/>
    <x v="14"/>
    <s v="NO4_A1"/>
    <x v="6"/>
    <x v="7"/>
    <s v="GNR_RES_WTR_NOPMP_MC-05"/>
    <x v="0"/>
    <x v="22"/>
    <n v="7.3397437813057396"/>
    <n v="2679.0064801765998"/>
    <n v="9644.4233286357394"/>
  </r>
  <r>
    <x v="0"/>
    <x v="1"/>
    <x v="1"/>
    <x v="7"/>
    <x v="14"/>
    <s v="NO4_A1"/>
    <x v="6"/>
    <x v="7"/>
    <s v="GNR_RES_WTR_NOPMP_MC-06"/>
    <x v="0"/>
    <x v="4"/>
    <n v="322.450916634333"/>
    <n v="117694.584571532"/>
    <n v="423700.50445751398"/>
  </r>
  <r>
    <x v="0"/>
    <x v="1"/>
    <x v="1"/>
    <x v="7"/>
    <x v="14"/>
    <s v="NO4_A1"/>
    <x v="6"/>
    <x v="7"/>
    <s v="GNR_RES_WTR_NOPMP_MC-06"/>
    <x v="0"/>
    <x v="5"/>
    <n v="419.56363678000798"/>
    <n v="153140.72742470301"/>
    <n v="551306.61872893095"/>
  </r>
  <r>
    <x v="0"/>
    <x v="1"/>
    <x v="1"/>
    <x v="7"/>
    <x v="14"/>
    <s v="NO4_A1"/>
    <x v="6"/>
    <x v="7"/>
    <s v="GNR_RES_WTR_NOPMP_MC-06"/>
    <x v="0"/>
    <x v="6"/>
    <n v="419.56363678000798"/>
    <n v="153140.72742470301"/>
    <n v="551306.61872893095"/>
  </r>
  <r>
    <x v="0"/>
    <x v="1"/>
    <x v="1"/>
    <x v="7"/>
    <x v="14"/>
    <s v="NO4_A1"/>
    <x v="6"/>
    <x v="7"/>
    <s v="GNR_RES_WTR_NOPMP_MC-06"/>
    <x v="0"/>
    <x v="7"/>
    <n v="419.56363678000798"/>
    <n v="153140.72742470301"/>
    <n v="551306.61872893095"/>
  </r>
  <r>
    <x v="0"/>
    <x v="1"/>
    <x v="1"/>
    <x v="7"/>
    <x v="14"/>
    <s v="NO4_A1"/>
    <x v="6"/>
    <x v="7"/>
    <s v="GNR_RES_WTR_NOPMP_MC-06"/>
    <x v="0"/>
    <x v="8"/>
    <n v="419.56363678000798"/>
    <n v="153140.72742470301"/>
    <n v="551306.61872893095"/>
  </r>
  <r>
    <x v="0"/>
    <x v="1"/>
    <x v="1"/>
    <x v="7"/>
    <x v="14"/>
    <s v="NO4_A1"/>
    <x v="6"/>
    <x v="7"/>
    <s v="GNR_RES_WTR_NOPMP_MC-06"/>
    <x v="0"/>
    <x v="9"/>
    <n v="419.56363678000798"/>
    <n v="153140.72742470301"/>
    <n v="551306.61872893095"/>
  </r>
  <r>
    <x v="0"/>
    <x v="1"/>
    <x v="1"/>
    <x v="7"/>
    <x v="14"/>
    <s v="NO4_A1"/>
    <x v="6"/>
    <x v="7"/>
    <s v="GNR_RES_WTR_NOPMP_MC-06"/>
    <x v="0"/>
    <x v="10"/>
    <n v="419.56363678000798"/>
    <n v="153140.72742470301"/>
    <n v="551306.61872893095"/>
  </r>
  <r>
    <x v="0"/>
    <x v="1"/>
    <x v="1"/>
    <x v="7"/>
    <x v="14"/>
    <s v="NO4_A1"/>
    <x v="6"/>
    <x v="7"/>
    <s v="GNR_RES_WTR_NOPMP_MC-06"/>
    <x v="0"/>
    <x v="11"/>
    <n v="419.56363678000798"/>
    <n v="153140.72742470301"/>
    <n v="551306.61872893095"/>
  </r>
  <r>
    <x v="0"/>
    <x v="1"/>
    <x v="1"/>
    <x v="7"/>
    <x v="14"/>
    <s v="NO4_A1"/>
    <x v="6"/>
    <x v="7"/>
    <s v="GNR_RES_WTR_NOPMP_MC-06"/>
    <x v="0"/>
    <x v="12"/>
    <n v="419.56363678000798"/>
    <n v="153140.72742470301"/>
    <n v="551306.61872893095"/>
  </r>
  <r>
    <x v="0"/>
    <x v="1"/>
    <x v="1"/>
    <x v="7"/>
    <x v="14"/>
    <s v="NO4_A1"/>
    <x v="6"/>
    <x v="7"/>
    <s v="GNR_RES_WTR_NOPMP_MC-06"/>
    <x v="0"/>
    <x v="13"/>
    <n v="419.56363678000798"/>
    <n v="153140.72742470301"/>
    <n v="551306.61872893095"/>
  </r>
  <r>
    <x v="0"/>
    <x v="1"/>
    <x v="1"/>
    <x v="7"/>
    <x v="14"/>
    <s v="NO4_A1"/>
    <x v="6"/>
    <x v="7"/>
    <s v="GNR_RES_WTR_NOPMP_MC-06"/>
    <x v="0"/>
    <x v="14"/>
    <n v="419.56363678000798"/>
    <n v="153140.72742470301"/>
    <n v="551306.61872893095"/>
  </r>
  <r>
    <x v="0"/>
    <x v="1"/>
    <x v="1"/>
    <x v="7"/>
    <x v="14"/>
    <s v="NO4_A1"/>
    <x v="6"/>
    <x v="7"/>
    <s v="GNR_RES_WTR_NOPMP_MC-06"/>
    <x v="0"/>
    <x v="15"/>
    <n v="419.56363678000798"/>
    <n v="153140.72742470301"/>
    <n v="551306.61872893095"/>
  </r>
  <r>
    <x v="0"/>
    <x v="1"/>
    <x v="1"/>
    <x v="7"/>
    <x v="14"/>
    <s v="NO4_A1"/>
    <x v="6"/>
    <x v="7"/>
    <s v="GNR_RES_WTR_NOPMP_MC-06"/>
    <x v="0"/>
    <x v="16"/>
    <n v="419.56363678000798"/>
    <n v="153140.72742470301"/>
    <n v="551306.61872893095"/>
  </r>
  <r>
    <x v="0"/>
    <x v="1"/>
    <x v="1"/>
    <x v="7"/>
    <x v="14"/>
    <s v="NO4_A1"/>
    <x v="6"/>
    <x v="7"/>
    <s v="GNR_RES_WTR_NOPMP_MC-06"/>
    <x v="0"/>
    <x v="17"/>
    <n v="419.56363678000798"/>
    <n v="153140.72742470301"/>
    <n v="551306.61872893095"/>
  </r>
  <r>
    <x v="0"/>
    <x v="1"/>
    <x v="1"/>
    <x v="7"/>
    <x v="14"/>
    <s v="NO4_A1"/>
    <x v="6"/>
    <x v="7"/>
    <s v="GNR_RES_WTR_NOPMP_MC-06"/>
    <x v="0"/>
    <x v="19"/>
    <n v="419.56363678000798"/>
    <n v="153140.72742470301"/>
    <n v="551306.61872893095"/>
  </r>
  <r>
    <x v="0"/>
    <x v="1"/>
    <x v="1"/>
    <x v="7"/>
    <x v="14"/>
    <s v="NO4_A1"/>
    <x v="6"/>
    <x v="7"/>
    <s v="GNR_RES_WTR_NOPMP_MC-06"/>
    <x v="0"/>
    <x v="20"/>
    <n v="279.31703057524197"/>
    <n v="101950.71615996399"/>
    <n v="367022.57817586901"/>
  </r>
  <r>
    <x v="0"/>
    <x v="1"/>
    <x v="1"/>
    <x v="7"/>
    <x v="14"/>
    <s v="NO4_A1"/>
    <x v="6"/>
    <x v="7"/>
    <s v="GNR_RES_WTR_NOPMP_MC-07"/>
    <x v="0"/>
    <x v="5"/>
    <n v="22.689580352771099"/>
    <n v="8281.6968287614709"/>
    <n v="29814.1085835413"/>
  </r>
  <r>
    <x v="0"/>
    <x v="1"/>
    <x v="1"/>
    <x v="7"/>
    <x v="14"/>
    <s v="NO4_A1"/>
    <x v="6"/>
    <x v="7"/>
    <s v="GNR_RES_WTR_NOPMP_MC-07"/>
    <x v="0"/>
    <x v="6"/>
    <n v="107.526590202341"/>
    <n v="39247.205423854401"/>
    <n v="141289.93952587599"/>
  </r>
  <r>
    <x v="0"/>
    <x v="1"/>
    <x v="1"/>
    <x v="7"/>
    <x v="14"/>
    <s v="NO4_A1"/>
    <x v="6"/>
    <x v="7"/>
    <s v="GNR_RES_WTR_NOPMP_MC-07"/>
    <x v="0"/>
    <x v="7"/>
    <n v="241.713740819767"/>
    <n v="88225.515399215103"/>
    <n v="317611.85543717397"/>
  </r>
  <r>
    <x v="0"/>
    <x v="1"/>
    <x v="1"/>
    <x v="7"/>
    <x v="14"/>
    <s v="NO4_A1"/>
    <x v="6"/>
    <x v="7"/>
    <s v="GNR_RES_WTR_NOPMP_MC-07"/>
    <x v="0"/>
    <x v="8"/>
    <n v="235.92031636221799"/>
    <n v="86110.915472209497"/>
    <n v="309999.29569995397"/>
  </r>
  <r>
    <x v="0"/>
    <x v="1"/>
    <x v="1"/>
    <x v="7"/>
    <x v="14"/>
    <s v="NO4_A1"/>
    <x v="6"/>
    <x v="7"/>
    <s v="GNR_RES_WTR_NOPMP_MC-07"/>
    <x v="0"/>
    <x v="9"/>
    <n v="180.214938671125"/>
    <n v="65778.452614960494"/>
    <n v="236802.42941385799"/>
  </r>
  <r>
    <x v="0"/>
    <x v="1"/>
    <x v="1"/>
    <x v="7"/>
    <x v="14"/>
    <s v="NO4_A1"/>
    <x v="6"/>
    <x v="7"/>
    <s v="GNR_RES_WTR_NOPMP_MC-07"/>
    <x v="0"/>
    <x v="10"/>
    <n v="170.259800204534"/>
    <n v="62144.827074655099"/>
    <n v="223721.377468758"/>
  </r>
  <r>
    <x v="0"/>
    <x v="1"/>
    <x v="1"/>
    <x v="7"/>
    <x v="14"/>
    <s v="NO4_A1"/>
    <x v="6"/>
    <x v="7"/>
    <s v="GNR_RES_WTR_NOPMP_MC-07"/>
    <x v="0"/>
    <x v="11"/>
    <n v="163.23902074975999"/>
    <n v="59582.242573662501"/>
    <n v="214496.073265185"/>
  </r>
  <r>
    <x v="0"/>
    <x v="1"/>
    <x v="1"/>
    <x v="7"/>
    <x v="14"/>
    <s v="NO4_A1"/>
    <x v="6"/>
    <x v="7"/>
    <s v="GNR_RES_WTR_NOPMP_MC-07"/>
    <x v="0"/>
    <x v="12"/>
    <n v="166.311957145143"/>
    <n v="60703.864357977101"/>
    <n v="218533.91168871801"/>
  </r>
  <r>
    <x v="0"/>
    <x v="1"/>
    <x v="1"/>
    <x v="7"/>
    <x v="14"/>
    <s v="NO4_A1"/>
    <x v="6"/>
    <x v="7"/>
    <s v="GNR_RES_WTR_NOPMP_MC-07"/>
    <x v="0"/>
    <x v="13"/>
    <n v="134.031871728651"/>
    <n v="48921.633180957499"/>
    <n v="176117.87945144699"/>
  </r>
  <r>
    <x v="0"/>
    <x v="1"/>
    <x v="1"/>
    <x v="7"/>
    <x v="14"/>
    <s v="NO4_A1"/>
    <x v="6"/>
    <x v="7"/>
    <s v="GNR_RES_WTR_NOPMP_MC-07"/>
    <x v="0"/>
    <x v="14"/>
    <n v="166.682400728191"/>
    <n v="60839.076265789699"/>
    <n v="219020.67455684301"/>
  </r>
  <r>
    <x v="0"/>
    <x v="1"/>
    <x v="1"/>
    <x v="7"/>
    <x v="14"/>
    <s v="NO4_A1"/>
    <x v="6"/>
    <x v="7"/>
    <s v="GNR_RES_WTR_NOPMP_MC-07"/>
    <x v="0"/>
    <x v="15"/>
    <n v="150.28126617242799"/>
    <n v="54852.662152936202"/>
    <n v="197469.58375056999"/>
  </r>
  <r>
    <x v="0"/>
    <x v="1"/>
    <x v="1"/>
    <x v="7"/>
    <x v="14"/>
    <s v="NO4_A1"/>
    <x v="6"/>
    <x v="4"/>
    <s v="GNR_ROR_WTR"/>
    <x v="0"/>
    <x v="0"/>
    <n v="415.40469217429802"/>
    <n v="151622.71264361899"/>
    <n v="545841.76551702805"/>
  </r>
  <r>
    <x v="0"/>
    <x v="1"/>
    <x v="1"/>
    <x v="7"/>
    <x v="14"/>
    <s v="NO4_A1"/>
    <x v="6"/>
    <x v="4"/>
    <s v="GNR_ROR_WTR"/>
    <x v="0"/>
    <x v="1"/>
    <n v="415.40469217429802"/>
    <n v="151622.71264361899"/>
    <n v="545841.76551702805"/>
  </r>
  <r>
    <x v="0"/>
    <x v="1"/>
    <x v="1"/>
    <x v="7"/>
    <x v="14"/>
    <s v="NO4_A1"/>
    <x v="6"/>
    <x v="4"/>
    <s v="GNR_ROR_WTR"/>
    <x v="0"/>
    <x v="18"/>
    <n v="415.40469217429802"/>
    <n v="151622.71264361899"/>
    <n v="545841.76551702805"/>
  </r>
  <r>
    <x v="0"/>
    <x v="1"/>
    <x v="1"/>
    <x v="7"/>
    <x v="14"/>
    <s v="NO4_A1"/>
    <x v="6"/>
    <x v="4"/>
    <s v="GNR_ROR_WTR"/>
    <x v="0"/>
    <x v="2"/>
    <n v="415.40469217429802"/>
    <n v="151622.71264361899"/>
    <n v="545841.76551702805"/>
  </r>
  <r>
    <x v="0"/>
    <x v="1"/>
    <x v="1"/>
    <x v="7"/>
    <x v="14"/>
    <s v="NO4_A1"/>
    <x v="6"/>
    <x v="4"/>
    <s v="GNR_ROR_WTR"/>
    <x v="0"/>
    <x v="3"/>
    <n v="415.40469217429802"/>
    <n v="151622.71264361899"/>
    <n v="545841.76551702805"/>
  </r>
  <r>
    <x v="0"/>
    <x v="1"/>
    <x v="1"/>
    <x v="7"/>
    <x v="14"/>
    <s v="NO4_A1"/>
    <x v="6"/>
    <x v="4"/>
    <s v="GNR_ROR_WTR"/>
    <x v="0"/>
    <x v="4"/>
    <n v="415.40469217429802"/>
    <n v="151622.71264361899"/>
    <n v="545841.76551702805"/>
  </r>
  <r>
    <x v="0"/>
    <x v="1"/>
    <x v="1"/>
    <x v="7"/>
    <x v="14"/>
    <s v="NO4_A1"/>
    <x v="6"/>
    <x v="4"/>
    <s v="GNR_ROR_WTR"/>
    <x v="0"/>
    <x v="5"/>
    <n v="415.40469217429802"/>
    <n v="151622.71264361899"/>
    <n v="545841.76551702805"/>
  </r>
  <r>
    <x v="0"/>
    <x v="1"/>
    <x v="1"/>
    <x v="7"/>
    <x v="14"/>
    <s v="NO4_A1"/>
    <x v="6"/>
    <x v="4"/>
    <s v="GNR_ROR_WTR"/>
    <x v="0"/>
    <x v="6"/>
    <n v="415.40469217429802"/>
    <n v="151622.71264361899"/>
    <n v="545841.76551702805"/>
  </r>
  <r>
    <x v="0"/>
    <x v="1"/>
    <x v="1"/>
    <x v="7"/>
    <x v="14"/>
    <s v="NO4_A1"/>
    <x v="6"/>
    <x v="4"/>
    <s v="GNR_ROR_WTR"/>
    <x v="0"/>
    <x v="7"/>
    <n v="415.40469217429802"/>
    <n v="151622.71264361899"/>
    <n v="545841.76551702805"/>
  </r>
  <r>
    <x v="0"/>
    <x v="1"/>
    <x v="1"/>
    <x v="7"/>
    <x v="14"/>
    <s v="NO4_A1"/>
    <x v="6"/>
    <x v="4"/>
    <s v="GNR_ROR_WTR"/>
    <x v="0"/>
    <x v="8"/>
    <n v="415.40469217429802"/>
    <n v="151622.71264361899"/>
    <n v="545841.76551702805"/>
  </r>
  <r>
    <x v="0"/>
    <x v="1"/>
    <x v="1"/>
    <x v="7"/>
    <x v="14"/>
    <s v="NO4_A1"/>
    <x v="6"/>
    <x v="4"/>
    <s v="GNR_ROR_WTR"/>
    <x v="0"/>
    <x v="9"/>
    <n v="415.40469217429802"/>
    <n v="151622.71264361899"/>
    <n v="545841.76551702805"/>
  </r>
  <r>
    <x v="0"/>
    <x v="1"/>
    <x v="1"/>
    <x v="7"/>
    <x v="14"/>
    <s v="NO4_A1"/>
    <x v="6"/>
    <x v="4"/>
    <s v="GNR_ROR_WTR"/>
    <x v="0"/>
    <x v="10"/>
    <n v="415.40469217429802"/>
    <n v="151622.71264361899"/>
    <n v="545841.76551702805"/>
  </r>
  <r>
    <x v="0"/>
    <x v="1"/>
    <x v="1"/>
    <x v="7"/>
    <x v="14"/>
    <s v="NO4_A1"/>
    <x v="6"/>
    <x v="4"/>
    <s v="GNR_ROR_WTR"/>
    <x v="0"/>
    <x v="11"/>
    <n v="415.40469217429802"/>
    <n v="151622.71264361899"/>
    <n v="545841.76551702805"/>
  </r>
  <r>
    <x v="0"/>
    <x v="1"/>
    <x v="1"/>
    <x v="7"/>
    <x v="14"/>
    <s v="NO4_A1"/>
    <x v="6"/>
    <x v="4"/>
    <s v="GNR_ROR_WTR"/>
    <x v="0"/>
    <x v="12"/>
    <n v="415.40469217429802"/>
    <n v="151622.71264361899"/>
    <n v="545841.76551702805"/>
  </r>
  <r>
    <x v="0"/>
    <x v="1"/>
    <x v="1"/>
    <x v="7"/>
    <x v="14"/>
    <s v="NO4_A1"/>
    <x v="6"/>
    <x v="4"/>
    <s v="GNR_ROR_WTR"/>
    <x v="0"/>
    <x v="13"/>
    <n v="415.40469217429802"/>
    <n v="151622.71264361899"/>
    <n v="545841.76551702805"/>
  </r>
  <r>
    <x v="0"/>
    <x v="1"/>
    <x v="1"/>
    <x v="7"/>
    <x v="14"/>
    <s v="NO4_A1"/>
    <x v="6"/>
    <x v="4"/>
    <s v="GNR_ROR_WTR"/>
    <x v="0"/>
    <x v="14"/>
    <n v="415.40469217429802"/>
    <n v="151622.71264361899"/>
    <n v="545841.76551702805"/>
  </r>
  <r>
    <x v="0"/>
    <x v="1"/>
    <x v="1"/>
    <x v="7"/>
    <x v="14"/>
    <s v="NO4_A1"/>
    <x v="6"/>
    <x v="4"/>
    <s v="GNR_ROR_WTR"/>
    <x v="0"/>
    <x v="15"/>
    <n v="415.40469217429802"/>
    <n v="151622.71264361899"/>
    <n v="545841.76551702805"/>
  </r>
  <r>
    <x v="0"/>
    <x v="1"/>
    <x v="1"/>
    <x v="7"/>
    <x v="14"/>
    <s v="NO4_A1"/>
    <x v="6"/>
    <x v="4"/>
    <s v="GNR_ROR_WTR"/>
    <x v="0"/>
    <x v="16"/>
    <n v="415.40469217429802"/>
    <n v="151622.71264361899"/>
    <n v="545841.76551702805"/>
  </r>
  <r>
    <x v="0"/>
    <x v="1"/>
    <x v="1"/>
    <x v="7"/>
    <x v="14"/>
    <s v="NO4_A1"/>
    <x v="6"/>
    <x v="4"/>
    <s v="GNR_ROR_WTR"/>
    <x v="0"/>
    <x v="17"/>
    <n v="415.40469217429802"/>
    <n v="151622.71264361899"/>
    <n v="545841.76551702805"/>
  </r>
  <r>
    <x v="0"/>
    <x v="1"/>
    <x v="1"/>
    <x v="7"/>
    <x v="14"/>
    <s v="NO4_A1"/>
    <x v="6"/>
    <x v="4"/>
    <s v="GNR_ROR_WTR"/>
    <x v="0"/>
    <x v="19"/>
    <n v="415.40469217429802"/>
    <n v="151622.71264361899"/>
    <n v="545841.76551702805"/>
  </r>
  <r>
    <x v="0"/>
    <x v="1"/>
    <x v="1"/>
    <x v="7"/>
    <x v="14"/>
    <s v="NO4_A1"/>
    <x v="6"/>
    <x v="4"/>
    <s v="GNR_ROR_WTR"/>
    <x v="0"/>
    <x v="20"/>
    <n v="415.40469217429802"/>
    <n v="151622.71264361899"/>
    <n v="545841.76551702805"/>
  </r>
  <r>
    <x v="0"/>
    <x v="1"/>
    <x v="1"/>
    <x v="7"/>
    <x v="14"/>
    <s v="NO4_A1"/>
    <x v="6"/>
    <x v="4"/>
    <s v="GNR_ROR_WTR"/>
    <x v="0"/>
    <x v="21"/>
    <n v="415.40469217429802"/>
    <n v="151622.71264361899"/>
    <n v="545841.76551702805"/>
  </r>
  <r>
    <x v="0"/>
    <x v="1"/>
    <x v="1"/>
    <x v="7"/>
    <x v="14"/>
    <s v="NO4_A1"/>
    <x v="6"/>
    <x v="4"/>
    <s v="GNR_ROR_WTR"/>
    <x v="0"/>
    <x v="22"/>
    <n v="415.40469217429802"/>
    <n v="151622.71264361899"/>
    <n v="545841.76551702805"/>
  </r>
  <r>
    <x v="0"/>
    <x v="1"/>
    <x v="1"/>
    <x v="7"/>
    <x v="14"/>
    <s v="NO4_A1"/>
    <x v="6"/>
    <x v="4"/>
    <s v="GNR_ROR_WTR"/>
    <x v="0"/>
    <x v="23"/>
    <n v="415.40469217429802"/>
    <n v="151622.71264361899"/>
    <n v="545841.76551702805"/>
  </r>
  <r>
    <x v="0"/>
    <x v="1"/>
    <x v="1"/>
    <x v="7"/>
    <x v="14"/>
    <s v="NO4_A1"/>
    <x v="7"/>
    <x v="5"/>
    <s v="GNR_WT_WIND_ONS"/>
    <x v="0"/>
    <x v="0"/>
    <n v="70.799200684212593"/>
    <n v="25841.7082497376"/>
    <n v="93030.149699055299"/>
  </r>
  <r>
    <x v="0"/>
    <x v="1"/>
    <x v="1"/>
    <x v="7"/>
    <x v="14"/>
    <s v="NO4_A1"/>
    <x v="7"/>
    <x v="5"/>
    <s v="GNR_WT_WIND_ONS"/>
    <x v="0"/>
    <x v="1"/>
    <n v="127.212183264826"/>
    <n v="46432.446891661697"/>
    <n v="167156.808809982"/>
  </r>
  <r>
    <x v="0"/>
    <x v="1"/>
    <x v="1"/>
    <x v="7"/>
    <x v="14"/>
    <s v="NO4_A1"/>
    <x v="7"/>
    <x v="5"/>
    <s v="GNR_WT_WIND_ONS"/>
    <x v="0"/>
    <x v="18"/>
    <n v="137.18087171603699"/>
    <n v="50071.0181763535"/>
    <n v="180255.665434872"/>
  </r>
  <r>
    <x v="0"/>
    <x v="1"/>
    <x v="1"/>
    <x v="7"/>
    <x v="14"/>
    <s v="NO4_A1"/>
    <x v="7"/>
    <x v="5"/>
    <s v="GNR_WT_WIND_ONS"/>
    <x v="0"/>
    <x v="2"/>
    <n v="162.18791034222701"/>
    <n v="59198.587274912701"/>
    <n v="213114.91418968601"/>
  </r>
  <r>
    <x v="0"/>
    <x v="1"/>
    <x v="1"/>
    <x v="7"/>
    <x v="14"/>
    <s v="NO4_A1"/>
    <x v="7"/>
    <x v="5"/>
    <s v="GNR_WT_WIND_ONS"/>
    <x v="0"/>
    <x v="3"/>
    <n v="157.234333156264"/>
    <n v="57390.531602036499"/>
    <n v="206605.91376733099"/>
  </r>
  <r>
    <x v="0"/>
    <x v="1"/>
    <x v="1"/>
    <x v="7"/>
    <x v="14"/>
    <s v="NO4_A1"/>
    <x v="7"/>
    <x v="5"/>
    <s v="GNR_WT_WIND_ONS"/>
    <x v="0"/>
    <x v="4"/>
    <n v="202.22205272051499"/>
    <n v="73811.049242988098"/>
    <n v="265719.77727475698"/>
  </r>
  <r>
    <x v="0"/>
    <x v="1"/>
    <x v="1"/>
    <x v="7"/>
    <x v="14"/>
    <s v="NO4_A1"/>
    <x v="7"/>
    <x v="5"/>
    <s v="GNR_WT_WIND_ONS"/>
    <x v="0"/>
    <x v="5"/>
    <n v="243.40907356230099"/>
    <n v="88844.311850239901"/>
    <n v="319839.52266086399"/>
  </r>
  <r>
    <x v="0"/>
    <x v="1"/>
    <x v="1"/>
    <x v="7"/>
    <x v="14"/>
    <s v="NO4_A1"/>
    <x v="7"/>
    <x v="5"/>
    <s v="GNR_WT_WIND_ONS"/>
    <x v="0"/>
    <x v="6"/>
    <n v="309.275925256395"/>
    <n v="112885.71271858401"/>
    <n v="406388.56578690303"/>
  </r>
  <r>
    <x v="0"/>
    <x v="1"/>
    <x v="1"/>
    <x v="7"/>
    <x v="14"/>
    <s v="NO4_A1"/>
    <x v="7"/>
    <x v="5"/>
    <s v="GNR_WT_WIND_ONS"/>
    <x v="0"/>
    <x v="7"/>
    <n v="295.81838747781399"/>
    <n v="107973.711429402"/>
    <n v="388705.361145848"/>
  </r>
  <r>
    <x v="0"/>
    <x v="1"/>
    <x v="1"/>
    <x v="7"/>
    <x v="14"/>
    <s v="NO4_A1"/>
    <x v="7"/>
    <x v="5"/>
    <s v="GNR_WT_WIND_ONS"/>
    <x v="0"/>
    <x v="8"/>
    <n v="307.44013807241203"/>
    <n v="112215.65039643001"/>
    <n v="403976.34142714902"/>
  </r>
  <r>
    <x v="0"/>
    <x v="1"/>
    <x v="1"/>
    <x v="7"/>
    <x v="14"/>
    <s v="NO4_A1"/>
    <x v="7"/>
    <x v="5"/>
    <s v="GNR_WT_WIND_ONS"/>
    <x v="0"/>
    <x v="9"/>
    <n v="311.52319854965299"/>
    <n v="113705.967470623"/>
    <n v="409341.48289424501"/>
  </r>
  <r>
    <x v="0"/>
    <x v="1"/>
    <x v="1"/>
    <x v="7"/>
    <x v="14"/>
    <s v="NO4_A1"/>
    <x v="7"/>
    <x v="5"/>
    <s v="GNR_WT_WIND_ONS"/>
    <x v="0"/>
    <x v="10"/>
    <n v="285.67576217437897"/>
    <n v="104271.653193648"/>
    <n v="375377.951497134"/>
  </r>
  <r>
    <x v="0"/>
    <x v="1"/>
    <x v="1"/>
    <x v="7"/>
    <x v="14"/>
    <s v="NO4_A1"/>
    <x v="7"/>
    <x v="5"/>
    <s v="GNR_WT_WIND_ONS"/>
    <x v="0"/>
    <x v="11"/>
    <n v="284.37036143337099"/>
    <n v="103795.18192318"/>
    <n v="373662.65492345003"/>
  </r>
  <r>
    <x v="0"/>
    <x v="1"/>
    <x v="1"/>
    <x v="7"/>
    <x v="14"/>
    <s v="NO4_A1"/>
    <x v="7"/>
    <x v="5"/>
    <s v="GNR_WT_WIND_ONS"/>
    <x v="0"/>
    <x v="12"/>
    <n v="308.77381968407002"/>
    <n v="112702.444184686"/>
    <n v="405728.799064869"/>
  </r>
  <r>
    <x v="0"/>
    <x v="1"/>
    <x v="1"/>
    <x v="7"/>
    <x v="14"/>
    <s v="NO4_A1"/>
    <x v="7"/>
    <x v="5"/>
    <s v="GNR_WT_WIND_ONS"/>
    <x v="0"/>
    <x v="13"/>
    <n v="353.54317539423698"/>
    <n v="129043.259018896"/>
    <n v="464555.73246802698"/>
  </r>
  <r>
    <x v="0"/>
    <x v="1"/>
    <x v="1"/>
    <x v="7"/>
    <x v="14"/>
    <s v="NO4_A1"/>
    <x v="7"/>
    <x v="5"/>
    <s v="GNR_WT_WIND_ONS"/>
    <x v="0"/>
    <x v="14"/>
    <n v="364.18878341276502"/>
    <n v="132928.905945659"/>
    <n v="478544.06140437297"/>
  </r>
  <r>
    <x v="0"/>
    <x v="1"/>
    <x v="1"/>
    <x v="7"/>
    <x v="14"/>
    <s v="NO4_A1"/>
    <x v="7"/>
    <x v="5"/>
    <s v="GNR_WT_WIND_ONS"/>
    <x v="0"/>
    <x v="15"/>
    <n v="358.94184945949303"/>
    <n v="131013.77505271501"/>
    <n v="471649.590189774"/>
  </r>
  <r>
    <x v="0"/>
    <x v="1"/>
    <x v="1"/>
    <x v="7"/>
    <x v="14"/>
    <s v="NO4_A1"/>
    <x v="7"/>
    <x v="5"/>
    <s v="GNR_WT_WIND_ONS"/>
    <x v="0"/>
    <x v="16"/>
    <n v="316.77122753466102"/>
    <n v="115621.498050151"/>
    <n v="416237.39298054401"/>
  </r>
  <r>
    <x v="0"/>
    <x v="1"/>
    <x v="1"/>
    <x v="7"/>
    <x v="14"/>
    <s v="NO4_A1"/>
    <x v="7"/>
    <x v="5"/>
    <s v="GNR_WT_WIND_ONS"/>
    <x v="0"/>
    <x v="17"/>
    <n v="355.455234890768"/>
    <n v="129741.16073513"/>
    <n v="467068.17864646902"/>
  </r>
  <r>
    <x v="0"/>
    <x v="1"/>
    <x v="1"/>
    <x v="7"/>
    <x v="14"/>
    <s v="NO4_A1"/>
    <x v="7"/>
    <x v="5"/>
    <s v="GNR_WT_WIND_ONS"/>
    <x v="0"/>
    <x v="19"/>
    <n v="329.11016804735601"/>
    <n v="120125.211337285"/>
    <n v="432450.760814226"/>
  </r>
  <r>
    <x v="0"/>
    <x v="1"/>
    <x v="1"/>
    <x v="7"/>
    <x v="14"/>
    <s v="NO4_A1"/>
    <x v="7"/>
    <x v="5"/>
    <s v="GNR_WT_WIND_ONS"/>
    <x v="0"/>
    <x v="20"/>
    <n v="265.026648164954"/>
    <n v="96734.726580208197"/>
    <n v="348245.01568874897"/>
  </r>
  <r>
    <x v="0"/>
    <x v="1"/>
    <x v="1"/>
    <x v="7"/>
    <x v="14"/>
    <s v="NO4_A1"/>
    <x v="7"/>
    <x v="5"/>
    <s v="GNR_WT_WIND_ONS"/>
    <x v="0"/>
    <x v="21"/>
    <n v="206.36990443776801"/>
    <n v="75325.015119785196"/>
    <n v="271170.05443122698"/>
  </r>
  <r>
    <x v="0"/>
    <x v="1"/>
    <x v="1"/>
    <x v="7"/>
    <x v="14"/>
    <s v="NO4_A1"/>
    <x v="7"/>
    <x v="5"/>
    <s v="GNR_WT_WIND_ONS"/>
    <x v="0"/>
    <x v="22"/>
    <n v="375.34429072439099"/>
    <n v="137000.66611440299"/>
    <n v="493202.39801185002"/>
  </r>
  <r>
    <x v="0"/>
    <x v="1"/>
    <x v="1"/>
    <x v="7"/>
    <x v="14"/>
    <s v="NO4_A1"/>
    <x v="7"/>
    <x v="5"/>
    <s v="GNR_WT_WIND_ONS"/>
    <x v="0"/>
    <x v="23"/>
    <n v="327.53371901721101"/>
    <n v="119549.807441282"/>
    <n v="430379.30678861501"/>
  </r>
  <r>
    <x v="0"/>
    <x v="1"/>
    <x v="1"/>
    <x v="7"/>
    <x v="15"/>
    <s v="NO5_A1"/>
    <x v="6"/>
    <x v="7"/>
    <s v="GNR_RES_WTR_NOPMP_MC-01"/>
    <x v="0"/>
    <x v="0"/>
    <n v="154.193241885916"/>
    <n v="56280.5332883593"/>
    <n v="202609.91983809401"/>
  </r>
  <r>
    <x v="0"/>
    <x v="1"/>
    <x v="1"/>
    <x v="7"/>
    <x v="15"/>
    <s v="NO5_A1"/>
    <x v="6"/>
    <x v="7"/>
    <s v="GNR_RES_WTR_NOPMP_MC-01"/>
    <x v="0"/>
    <x v="1"/>
    <n v="154.193241885916"/>
    <n v="56280.5332883593"/>
    <n v="202609.91983809401"/>
  </r>
  <r>
    <x v="0"/>
    <x v="1"/>
    <x v="1"/>
    <x v="7"/>
    <x v="15"/>
    <s v="NO5_A1"/>
    <x v="6"/>
    <x v="7"/>
    <s v="GNR_RES_WTR_NOPMP_MC-01"/>
    <x v="0"/>
    <x v="18"/>
    <n v="154.193241885916"/>
    <n v="56280.5332883593"/>
    <n v="202609.91983809401"/>
  </r>
  <r>
    <x v="0"/>
    <x v="1"/>
    <x v="1"/>
    <x v="7"/>
    <x v="15"/>
    <s v="NO5_A1"/>
    <x v="6"/>
    <x v="7"/>
    <s v="GNR_RES_WTR_NOPMP_MC-01"/>
    <x v="0"/>
    <x v="2"/>
    <n v="154.193241885916"/>
    <n v="56280.5332883593"/>
    <n v="202609.91983809401"/>
  </r>
  <r>
    <x v="0"/>
    <x v="1"/>
    <x v="1"/>
    <x v="7"/>
    <x v="15"/>
    <s v="NO5_A1"/>
    <x v="6"/>
    <x v="7"/>
    <s v="GNR_RES_WTR_NOPMP_MC-01"/>
    <x v="0"/>
    <x v="3"/>
    <n v="154.193241885916"/>
    <n v="56280.5332883593"/>
    <n v="202609.91983809401"/>
  </r>
  <r>
    <x v="0"/>
    <x v="1"/>
    <x v="1"/>
    <x v="7"/>
    <x v="15"/>
    <s v="NO5_A1"/>
    <x v="6"/>
    <x v="7"/>
    <s v="GNR_RES_WTR_NOPMP_MC-01"/>
    <x v="0"/>
    <x v="4"/>
    <n v="154.193241885916"/>
    <n v="56280.5332883593"/>
    <n v="202609.91983809401"/>
  </r>
  <r>
    <x v="0"/>
    <x v="1"/>
    <x v="1"/>
    <x v="7"/>
    <x v="15"/>
    <s v="NO5_A1"/>
    <x v="6"/>
    <x v="7"/>
    <s v="GNR_RES_WTR_NOPMP_MC-01"/>
    <x v="0"/>
    <x v="5"/>
    <n v="154.193241885916"/>
    <n v="56280.5332883593"/>
    <n v="202609.91983809401"/>
  </r>
  <r>
    <x v="0"/>
    <x v="1"/>
    <x v="1"/>
    <x v="7"/>
    <x v="15"/>
    <s v="NO5_A1"/>
    <x v="6"/>
    <x v="7"/>
    <s v="GNR_RES_WTR_NOPMP_MC-01"/>
    <x v="0"/>
    <x v="6"/>
    <n v="154.193241885916"/>
    <n v="56280.5332883593"/>
    <n v="202609.91983809401"/>
  </r>
  <r>
    <x v="0"/>
    <x v="1"/>
    <x v="1"/>
    <x v="7"/>
    <x v="15"/>
    <s v="NO5_A1"/>
    <x v="6"/>
    <x v="7"/>
    <s v="GNR_RES_WTR_NOPMP_MC-01"/>
    <x v="0"/>
    <x v="7"/>
    <n v="154.193241885916"/>
    <n v="56280.5332883593"/>
    <n v="202609.91983809401"/>
  </r>
  <r>
    <x v="0"/>
    <x v="1"/>
    <x v="1"/>
    <x v="7"/>
    <x v="15"/>
    <s v="NO5_A1"/>
    <x v="6"/>
    <x v="7"/>
    <s v="GNR_RES_WTR_NOPMP_MC-01"/>
    <x v="0"/>
    <x v="8"/>
    <n v="154.193241885916"/>
    <n v="56280.5332883593"/>
    <n v="202609.91983809401"/>
  </r>
  <r>
    <x v="0"/>
    <x v="1"/>
    <x v="1"/>
    <x v="7"/>
    <x v="15"/>
    <s v="NO5_A1"/>
    <x v="6"/>
    <x v="7"/>
    <s v="GNR_RES_WTR_NOPMP_MC-01"/>
    <x v="0"/>
    <x v="9"/>
    <n v="154.193241885916"/>
    <n v="56280.5332883593"/>
    <n v="202609.91983809401"/>
  </r>
  <r>
    <x v="0"/>
    <x v="1"/>
    <x v="1"/>
    <x v="7"/>
    <x v="15"/>
    <s v="NO5_A1"/>
    <x v="6"/>
    <x v="7"/>
    <s v="GNR_RES_WTR_NOPMP_MC-01"/>
    <x v="0"/>
    <x v="10"/>
    <n v="154.193241885916"/>
    <n v="56280.5332883593"/>
    <n v="202609.91983809401"/>
  </r>
  <r>
    <x v="0"/>
    <x v="1"/>
    <x v="1"/>
    <x v="7"/>
    <x v="15"/>
    <s v="NO5_A1"/>
    <x v="6"/>
    <x v="7"/>
    <s v="GNR_RES_WTR_NOPMP_MC-01"/>
    <x v="0"/>
    <x v="11"/>
    <n v="154.193241885916"/>
    <n v="56280.5332883593"/>
    <n v="202609.91983809401"/>
  </r>
  <r>
    <x v="0"/>
    <x v="1"/>
    <x v="1"/>
    <x v="7"/>
    <x v="15"/>
    <s v="NO5_A1"/>
    <x v="6"/>
    <x v="7"/>
    <s v="GNR_RES_WTR_NOPMP_MC-01"/>
    <x v="0"/>
    <x v="12"/>
    <n v="154.193241885916"/>
    <n v="56280.5332883593"/>
    <n v="202609.91983809401"/>
  </r>
  <r>
    <x v="0"/>
    <x v="1"/>
    <x v="1"/>
    <x v="7"/>
    <x v="15"/>
    <s v="NO5_A1"/>
    <x v="6"/>
    <x v="7"/>
    <s v="GNR_RES_WTR_NOPMP_MC-01"/>
    <x v="0"/>
    <x v="13"/>
    <n v="154.193241885916"/>
    <n v="56280.5332883593"/>
    <n v="202609.91983809401"/>
  </r>
  <r>
    <x v="0"/>
    <x v="1"/>
    <x v="1"/>
    <x v="7"/>
    <x v="15"/>
    <s v="NO5_A1"/>
    <x v="6"/>
    <x v="7"/>
    <s v="GNR_RES_WTR_NOPMP_MC-01"/>
    <x v="0"/>
    <x v="14"/>
    <n v="154.193241885916"/>
    <n v="56280.5332883593"/>
    <n v="202609.91983809401"/>
  </r>
  <r>
    <x v="0"/>
    <x v="1"/>
    <x v="1"/>
    <x v="7"/>
    <x v="15"/>
    <s v="NO5_A1"/>
    <x v="6"/>
    <x v="7"/>
    <s v="GNR_RES_WTR_NOPMP_MC-01"/>
    <x v="0"/>
    <x v="15"/>
    <n v="154.193241885916"/>
    <n v="56280.5332883593"/>
    <n v="202609.91983809401"/>
  </r>
  <r>
    <x v="0"/>
    <x v="1"/>
    <x v="1"/>
    <x v="7"/>
    <x v="15"/>
    <s v="NO5_A1"/>
    <x v="6"/>
    <x v="7"/>
    <s v="GNR_RES_WTR_NOPMP_MC-01"/>
    <x v="0"/>
    <x v="16"/>
    <n v="154.193241885916"/>
    <n v="56280.5332883593"/>
    <n v="202609.91983809401"/>
  </r>
  <r>
    <x v="0"/>
    <x v="1"/>
    <x v="1"/>
    <x v="7"/>
    <x v="15"/>
    <s v="NO5_A1"/>
    <x v="6"/>
    <x v="7"/>
    <s v="GNR_RES_WTR_NOPMP_MC-01"/>
    <x v="0"/>
    <x v="17"/>
    <n v="154.193241885916"/>
    <n v="56280.5332883593"/>
    <n v="202609.91983809401"/>
  </r>
  <r>
    <x v="0"/>
    <x v="1"/>
    <x v="1"/>
    <x v="7"/>
    <x v="15"/>
    <s v="NO5_A1"/>
    <x v="6"/>
    <x v="7"/>
    <s v="GNR_RES_WTR_NOPMP_MC-01"/>
    <x v="0"/>
    <x v="19"/>
    <n v="154.193241885916"/>
    <n v="56280.5332883593"/>
    <n v="202609.91983809401"/>
  </r>
  <r>
    <x v="0"/>
    <x v="1"/>
    <x v="1"/>
    <x v="7"/>
    <x v="15"/>
    <s v="NO5_A1"/>
    <x v="6"/>
    <x v="7"/>
    <s v="GNR_RES_WTR_NOPMP_MC-01"/>
    <x v="0"/>
    <x v="20"/>
    <n v="154.193241885916"/>
    <n v="56280.5332883593"/>
    <n v="202609.91983809401"/>
  </r>
  <r>
    <x v="0"/>
    <x v="1"/>
    <x v="1"/>
    <x v="7"/>
    <x v="15"/>
    <s v="NO5_A1"/>
    <x v="6"/>
    <x v="7"/>
    <s v="GNR_RES_WTR_NOPMP_MC-01"/>
    <x v="0"/>
    <x v="21"/>
    <n v="154.193241885916"/>
    <n v="56280.5332883593"/>
    <n v="202609.91983809401"/>
  </r>
  <r>
    <x v="0"/>
    <x v="1"/>
    <x v="1"/>
    <x v="7"/>
    <x v="15"/>
    <s v="NO5_A1"/>
    <x v="6"/>
    <x v="7"/>
    <s v="GNR_RES_WTR_NOPMP_MC-01"/>
    <x v="0"/>
    <x v="22"/>
    <n v="154.193241885916"/>
    <n v="56280.5332883593"/>
    <n v="202609.91983809401"/>
  </r>
  <r>
    <x v="0"/>
    <x v="1"/>
    <x v="1"/>
    <x v="7"/>
    <x v="15"/>
    <s v="NO5_A1"/>
    <x v="6"/>
    <x v="7"/>
    <s v="GNR_RES_WTR_NOPMP_MC-01"/>
    <x v="0"/>
    <x v="23"/>
    <n v="154.193241885916"/>
    <n v="56280.5332883593"/>
    <n v="202609.91983809401"/>
  </r>
  <r>
    <x v="0"/>
    <x v="1"/>
    <x v="1"/>
    <x v="7"/>
    <x v="15"/>
    <s v="NO5_A1"/>
    <x v="6"/>
    <x v="7"/>
    <s v="GNR_RES_WTR_NOPMP_MC-02"/>
    <x v="0"/>
    <x v="0"/>
    <n v="598.193241885916"/>
    <n v="218340.533288359"/>
    <n v="786025.91983809404"/>
  </r>
  <r>
    <x v="0"/>
    <x v="1"/>
    <x v="1"/>
    <x v="7"/>
    <x v="15"/>
    <s v="NO5_A1"/>
    <x v="6"/>
    <x v="7"/>
    <s v="GNR_RES_WTR_NOPMP_MC-02"/>
    <x v="0"/>
    <x v="1"/>
    <n v="598.193241885916"/>
    <n v="218340.533288359"/>
    <n v="786025.91983809404"/>
  </r>
  <r>
    <x v="0"/>
    <x v="1"/>
    <x v="1"/>
    <x v="7"/>
    <x v="15"/>
    <s v="NO5_A1"/>
    <x v="6"/>
    <x v="7"/>
    <s v="GNR_RES_WTR_NOPMP_MC-02"/>
    <x v="0"/>
    <x v="18"/>
    <n v="598.193241885916"/>
    <n v="218340.533288359"/>
    <n v="786025.91983809404"/>
  </r>
  <r>
    <x v="0"/>
    <x v="1"/>
    <x v="1"/>
    <x v="7"/>
    <x v="15"/>
    <s v="NO5_A1"/>
    <x v="6"/>
    <x v="7"/>
    <s v="GNR_RES_WTR_NOPMP_MC-02"/>
    <x v="0"/>
    <x v="2"/>
    <n v="598.193241885916"/>
    <n v="218340.533288359"/>
    <n v="786025.91983809404"/>
  </r>
  <r>
    <x v="0"/>
    <x v="1"/>
    <x v="1"/>
    <x v="7"/>
    <x v="15"/>
    <s v="NO5_A1"/>
    <x v="6"/>
    <x v="7"/>
    <s v="GNR_RES_WTR_NOPMP_MC-02"/>
    <x v="0"/>
    <x v="3"/>
    <n v="598.193241885916"/>
    <n v="218340.533288359"/>
    <n v="786025.91983809404"/>
  </r>
  <r>
    <x v="0"/>
    <x v="1"/>
    <x v="1"/>
    <x v="7"/>
    <x v="15"/>
    <s v="NO5_A1"/>
    <x v="6"/>
    <x v="7"/>
    <s v="GNR_RES_WTR_NOPMP_MC-02"/>
    <x v="0"/>
    <x v="4"/>
    <n v="598.193241885916"/>
    <n v="218340.533288359"/>
    <n v="786025.91983809404"/>
  </r>
  <r>
    <x v="0"/>
    <x v="1"/>
    <x v="1"/>
    <x v="7"/>
    <x v="15"/>
    <s v="NO5_A1"/>
    <x v="6"/>
    <x v="7"/>
    <s v="GNR_RES_WTR_NOPMP_MC-02"/>
    <x v="0"/>
    <x v="5"/>
    <n v="598.193241885916"/>
    <n v="218340.533288359"/>
    <n v="786025.91983809404"/>
  </r>
  <r>
    <x v="0"/>
    <x v="1"/>
    <x v="1"/>
    <x v="7"/>
    <x v="15"/>
    <s v="NO5_A1"/>
    <x v="6"/>
    <x v="7"/>
    <s v="GNR_RES_WTR_NOPMP_MC-02"/>
    <x v="0"/>
    <x v="6"/>
    <n v="598.193241885916"/>
    <n v="218340.533288359"/>
    <n v="786025.91983809404"/>
  </r>
  <r>
    <x v="0"/>
    <x v="1"/>
    <x v="1"/>
    <x v="7"/>
    <x v="15"/>
    <s v="NO5_A1"/>
    <x v="6"/>
    <x v="7"/>
    <s v="GNR_RES_WTR_NOPMP_MC-02"/>
    <x v="0"/>
    <x v="7"/>
    <n v="598.193241885916"/>
    <n v="218340.533288359"/>
    <n v="786025.91983809404"/>
  </r>
  <r>
    <x v="0"/>
    <x v="1"/>
    <x v="1"/>
    <x v="7"/>
    <x v="15"/>
    <s v="NO5_A1"/>
    <x v="6"/>
    <x v="7"/>
    <s v="GNR_RES_WTR_NOPMP_MC-02"/>
    <x v="0"/>
    <x v="8"/>
    <n v="598.193241885916"/>
    <n v="218340.533288359"/>
    <n v="786025.91983809404"/>
  </r>
  <r>
    <x v="0"/>
    <x v="1"/>
    <x v="1"/>
    <x v="7"/>
    <x v="15"/>
    <s v="NO5_A1"/>
    <x v="6"/>
    <x v="7"/>
    <s v="GNR_RES_WTR_NOPMP_MC-02"/>
    <x v="0"/>
    <x v="9"/>
    <n v="598.193241885916"/>
    <n v="218340.533288359"/>
    <n v="786025.91983809404"/>
  </r>
  <r>
    <x v="0"/>
    <x v="1"/>
    <x v="1"/>
    <x v="7"/>
    <x v="15"/>
    <s v="NO5_A1"/>
    <x v="6"/>
    <x v="7"/>
    <s v="GNR_RES_WTR_NOPMP_MC-02"/>
    <x v="0"/>
    <x v="10"/>
    <n v="598.193241885916"/>
    <n v="218340.533288359"/>
    <n v="786025.91983809404"/>
  </r>
  <r>
    <x v="0"/>
    <x v="1"/>
    <x v="1"/>
    <x v="7"/>
    <x v="15"/>
    <s v="NO5_A1"/>
    <x v="6"/>
    <x v="7"/>
    <s v="GNR_RES_WTR_NOPMP_MC-02"/>
    <x v="0"/>
    <x v="11"/>
    <n v="598.193241885916"/>
    <n v="218340.533288359"/>
    <n v="786025.91983809404"/>
  </r>
  <r>
    <x v="0"/>
    <x v="1"/>
    <x v="1"/>
    <x v="7"/>
    <x v="15"/>
    <s v="NO5_A1"/>
    <x v="6"/>
    <x v="7"/>
    <s v="GNR_RES_WTR_NOPMP_MC-02"/>
    <x v="0"/>
    <x v="12"/>
    <n v="598.193241885916"/>
    <n v="218340.533288359"/>
    <n v="786025.91983809404"/>
  </r>
  <r>
    <x v="0"/>
    <x v="1"/>
    <x v="1"/>
    <x v="7"/>
    <x v="15"/>
    <s v="NO5_A1"/>
    <x v="6"/>
    <x v="7"/>
    <s v="GNR_RES_WTR_NOPMP_MC-02"/>
    <x v="0"/>
    <x v="13"/>
    <n v="598.193241885916"/>
    <n v="218340.533288359"/>
    <n v="786025.91983809404"/>
  </r>
  <r>
    <x v="0"/>
    <x v="1"/>
    <x v="1"/>
    <x v="7"/>
    <x v="15"/>
    <s v="NO5_A1"/>
    <x v="6"/>
    <x v="7"/>
    <s v="GNR_RES_WTR_NOPMP_MC-02"/>
    <x v="0"/>
    <x v="14"/>
    <n v="598.193241885916"/>
    <n v="218340.533288359"/>
    <n v="786025.91983809404"/>
  </r>
  <r>
    <x v="0"/>
    <x v="1"/>
    <x v="1"/>
    <x v="7"/>
    <x v="15"/>
    <s v="NO5_A1"/>
    <x v="6"/>
    <x v="7"/>
    <s v="GNR_RES_WTR_NOPMP_MC-02"/>
    <x v="0"/>
    <x v="15"/>
    <n v="598.193241885916"/>
    <n v="218340.533288359"/>
    <n v="786025.91983809404"/>
  </r>
  <r>
    <x v="0"/>
    <x v="1"/>
    <x v="1"/>
    <x v="7"/>
    <x v="15"/>
    <s v="NO5_A1"/>
    <x v="6"/>
    <x v="7"/>
    <s v="GNR_RES_WTR_NOPMP_MC-02"/>
    <x v="0"/>
    <x v="16"/>
    <n v="598.193241885916"/>
    <n v="218340.533288359"/>
    <n v="786025.91983809404"/>
  </r>
  <r>
    <x v="0"/>
    <x v="1"/>
    <x v="1"/>
    <x v="7"/>
    <x v="15"/>
    <s v="NO5_A1"/>
    <x v="6"/>
    <x v="7"/>
    <s v="GNR_RES_WTR_NOPMP_MC-02"/>
    <x v="0"/>
    <x v="17"/>
    <n v="598.193241885916"/>
    <n v="218340.533288359"/>
    <n v="786025.91983809404"/>
  </r>
  <r>
    <x v="0"/>
    <x v="1"/>
    <x v="1"/>
    <x v="7"/>
    <x v="15"/>
    <s v="NO5_A1"/>
    <x v="6"/>
    <x v="7"/>
    <s v="GNR_RES_WTR_NOPMP_MC-02"/>
    <x v="0"/>
    <x v="19"/>
    <n v="598.193241885916"/>
    <n v="218340.533288359"/>
    <n v="786025.91983809404"/>
  </r>
  <r>
    <x v="0"/>
    <x v="1"/>
    <x v="1"/>
    <x v="7"/>
    <x v="15"/>
    <s v="NO5_A1"/>
    <x v="6"/>
    <x v="7"/>
    <s v="GNR_RES_WTR_NOPMP_MC-02"/>
    <x v="0"/>
    <x v="20"/>
    <n v="598.193241885916"/>
    <n v="218340.533288359"/>
    <n v="786025.91983809404"/>
  </r>
  <r>
    <x v="0"/>
    <x v="1"/>
    <x v="1"/>
    <x v="7"/>
    <x v="15"/>
    <s v="NO5_A1"/>
    <x v="6"/>
    <x v="7"/>
    <s v="GNR_RES_WTR_NOPMP_MC-02"/>
    <x v="0"/>
    <x v="21"/>
    <n v="598.193241885916"/>
    <n v="218340.533288359"/>
    <n v="786025.91983809404"/>
  </r>
  <r>
    <x v="0"/>
    <x v="1"/>
    <x v="1"/>
    <x v="7"/>
    <x v="15"/>
    <s v="NO5_A1"/>
    <x v="6"/>
    <x v="7"/>
    <s v="GNR_RES_WTR_NOPMP_MC-02"/>
    <x v="0"/>
    <x v="22"/>
    <n v="598.193241885916"/>
    <n v="218340.533288359"/>
    <n v="786025.91983809404"/>
  </r>
  <r>
    <x v="0"/>
    <x v="1"/>
    <x v="1"/>
    <x v="7"/>
    <x v="15"/>
    <s v="NO5_A1"/>
    <x v="6"/>
    <x v="7"/>
    <s v="GNR_RES_WTR_NOPMP_MC-02"/>
    <x v="0"/>
    <x v="23"/>
    <n v="598.193241885916"/>
    <n v="218340.533288359"/>
    <n v="786025.91983809404"/>
  </r>
  <r>
    <x v="0"/>
    <x v="1"/>
    <x v="1"/>
    <x v="7"/>
    <x v="15"/>
    <s v="NO5_A1"/>
    <x v="6"/>
    <x v="7"/>
    <s v="GNR_RES_WTR_NOPMP_MC-03"/>
    <x v="0"/>
    <x v="0"/>
    <n v="598.193241885916"/>
    <n v="218340.533288359"/>
    <n v="786025.91983809404"/>
  </r>
  <r>
    <x v="0"/>
    <x v="1"/>
    <x v="1"/>
    <x v="7"/>
    <x v="15"/>
    <s v="NO5_A1"/>
    <x v="6"/>
    <x v="7"/>
    <s v="GNR_RES_WTR_NOPMP_MC-03"/>
    <x v="0"/>
    <x v="1"/>
    <n v="598.193241885916"/>
    <n v="218340.533288359"/>
    <n v="786025.91983809404"/>
  </r>
  <r>
    <x v="0"/>
    <x v="1"/>
    <x v="1"/>
    <x v="7"/>
    <x v="15"/>
    <s v="NO5_A1"/>
    <x v="6"/>
    <x v="7"/>
    <s v="GNR_RES_WTR_NOPMP_MC-03"/>
    <x v="0"/>
    <x v="18"/>
    <n v="598.193241885916"/>
    <n v="218340.533288359"/>
    <n v="786025.91983809404"/>
  </r>
  <r>
    <x v="0"/>
    <x v="1"/>
    <x v="1"/>
    <x v="7"/>
    <x v="15"/>
    <s v="NO5_A1"/>
    <x v="6"/>
    <x v="7"/>
    <s v="GNR_RES_WTR_NOPMP_MC-03"/>
    <x v="0"/>
    <x v="2"/>
    <n v="598.193241885916"/>
    <n v="218340.533288359"/>
    <n v="786025.91983809404"/>
  </r>
  <r>
    <x v="0"/>
    <x v="1"/>
    <x v="1"/>
    <x v="7"/>
    <x v="15"/>
    <s v="NO5_A1"/>
    <x v="6"/>
    <x v="7"/>
    <s v="GNR_RES_WTR_NOPMP_MC-03"/>
    <x v="0"/>
    <x v="3"/>
    <n v="598.193241885916"/>
    <n v="218340.533288359"/>
    <n v="786025.91983809404"/>
  </r>
  <r>
    <x v="0"/>
    <x v="1"/>
    <x v="1"/>
    <x v="7"/>
    <x v="15"/>
    <s v="NO5_A1"/>
    <x v="6"/>
    <x v="7"/>
    <s v="GNR_RES_WTR_NOPMP_MC-03"/>
    <x v="0"/>
    <x v="4"/>
    <n v="598.193241885916"/>
    <n v="218340.533288359"/>
    <n v="786025.91983809404"/>
  </r>
  <r>
    <x v="0"/>
    <x v="1"/>
    <x v="1"/>
    <x v="7"/>
    <x v="15"/>
    <s v="NO5_A1"/>
    <x v="6"/>
    <x v="7"/>
    <s v="GNR_RES_WTR_NOPMP_MC-03"/>
    <x v="0"/>
    <x v="5"/>
    <n v="598.193241885916"/>
    <n v="218340.533288359"/>
    <n v="786025.91983809404"/>
  </r>
  <r>
    <x v="0"/>
    <x v="1"/>
    <x v="1"/>
    <x v="7"/>
    <x v="15"/>
    <s v="NO5_A1"/>
    <x v="6"/>
    <x v="7"/>
    <s v="GNR_RES_WTR_NOPMP_MC-03"/>
    <x v="0"/>
    <x v="6"/>
    <n v="598.193241885916"/>
    <n v="218340.533288359"/>
    <n v="786025.91983809404"/>
  </r>
  <r>
    <x v="0"/>
    <x v="1"/>
    <x v="1"/>
    <x v="7"/>
    <x v="15"/>
    <s v="NO5_A1"/>
    <x v="6"/>
    <x v="7"/>
    <s v="GNR_RES_WTR_NOPMP_MC-03"/>
    <x v="0"/>
    <x v="7"/>
    <n v="598.193241885916"/>
    <n v="218340.533288359"/>
    <n v="786025.91983809404"/>
  </r>
  <r>
    <x v="0"/>
    <x v="1"/>
    <x v="1"/>
    <x v="7"/>
    <x v="15"/>
    <s v="NO5_A1"/>
    <x v="6"/>
    <x v="7"/>
    <s v="GNR_RES_WTR_NOPMP_MC-03"/>
    <x v="0"/>
    <x v="8"/>
    <n v="598.193241885916"/>
    <n v="218340.533288359"/>
    <n v="786025.91983809404"/>
  </r>
  <r>
    <x v="0"/>
    <x v="1"/>
    <x v="1"/>
    <x v="7"/>
    <x v="15"/>
    <s v="NO5_A1"/>
    <x v="6"/>
    <x v="7"/>
    <s v="GNR_RES_WTR_NOPMP_MC-03"/>
    <x v="0"/>
    <x v="9"/>
    <n v="598.193241885916"/>
    <n v="218340.533288359"/>
    <n v="786025.91983809404"/>
  </r>
  <r>
    <x v="0"/>
    <x v="1"/>
    <x v="1"/>
    <x v="7"/>
    <x v="15"/>
    <s v="NO5_A1"/>
    <x v="6"/>
    <x v="7"/>
    <s v="GNR_RES_WTR_NOPMP_MC-03"/>
    <x v="0"/>
    <x v="10"/>
    <n v="598.193241885916"/>
    <n v="218340.533288359"/>
    <n v="786025.91983809404"/>
  </r>
  <r>
    <x v="0"/>
    <x v="1"/>
    <x v="1"/>
    <x v="7"/>
    <x v="15"/>
    <s v="NO5_A1"/>
    <x v="6"/>
    <x v="7"/>
    <s v="GNR_RES_WTR_NOPMP_MC-03"/>
    <x v="0"/>
    <x v="11"/>
    <n v="598.193241885916"/>
    <n v="218340.533288359"/>
    <n v="786025.91983809404"/>
  </r>
  <r>
    <x v="0"/>
    <x v="1"/>
    <x v="1"/>
    <x v="7"/>
    <x v="15"/>
    <s v="NO5_A1"/>
    <x v="6"/>
    <x v="7"/>
    <s v="GNR_RES_WTR_NOPMP_MC-03"/>
    <x v="0"/>
    <x v="12"/>
    <n v="598.193241885916"/>
    <n v="218340.533288359"/>
    <n v="786025.91983809404"/>
  </r>
  <r>
    <x v="0"/>
    <x v="1"/>
    <x v="1"/>
    <x v="7"/>
    <x v="15"/>
    <s v="NO5_A1"/>
    <x v="6"/>
    <x v="7"/>
    <s v="GNR_RES_WTR_NOPMP_MC-03"/>
    <x v="0"/>
    <x v="13"/>
    <n v="598.193241885916"/>
    <n v="218340.533288359"/>
    <n v="786025.91983809404"/>
  </r>
  <r>
    <x v="0"/>
    <x v="1"/>
    <x v="1"/>
    <x v="7"/>
    <x v="15"/>
    <s v="NO5_A1"/>
    <x v="6"/>
    <x v="7"/>
    <s v="GNR_RES_WTR_NOPMP_MC-03"/>
    <x v="0"/>
    <x v="14"/>
    <n v="598.193241885916"/>
    <n v="218340.533288359"/>
    <n v="786025.91983809404"/>
  </r>
  <r>
    <x v="0"/>
    <x v="1"/>
    <x v="1"/>
    <x v="7"/>
    <x v="15"/>
    <s v="NO5_A1"/>
    <x v="6"/>
    <x v="7"/>
    <s v="GNR_RES_WTR_NOPMP_MC-03"/>
    <x v="0"/>
    <x v="15"/>
    <n v="598.193241885916"/>
    <n v="218340.533288359"/>
    <n v="786025.91983809404"/>
  </r>
  <r>
    <x v="0"/>
    <x v="1"/>
    <x v="1"/>
    <x v="7"/>
    <x v="15"/>
    <s v="NO5_A1"/>
    <x v="6"/>
    <x v="7"/>
    <s v="GNR_RES_WTR_NOPMP_MC-03"/>
    <x v="0"/>
    <x v="16"/>
    <n v="598.193241885916"/>
    <n v="218340.533288359"/>
    <n v="786025.91983809404"/>
  </r>
  <r>
    <x v="0"/>
    <x v="1"/>
    <x v="1"/>
    <x v="7"/>
    <x v="15"/>
    <s v="NO5_A1"/>
    <x v="6"/>
    <x v="7"/>
    <s v="GNR_RES_WTR_NOPMP_MC-03"/>
    <x v="0"/>
    <x v="17"/>
    <n v="598.193241885916"/>
    <n v="218340.533288359"/>
    <n v="786025.91983809404"/>
  </r>
  <r>
    <x v="0"/>
    <x v="1"/>
    <x v="1"/>
    <x v="7"/>
    <x v="15"/>
    <s v="NO5_A1"/>
    <x v="6"/>
    <x v="7"/>
    <s v="GNR_RES_WTR_NOPMP_MC-03"/>
    <x v="0"/>
    <x v="19"/>
    <n v="598.193241885916"/>
    <n v="218340.533288359"/>
    <n v="786025.91983809404"/>
  </r>
  <r>
    <x v="0"/>
    <x v="1"/>
    <x v="1"/>
    <x v="7"/>
    <x v="15"/>
    <s v="NO5_A1"/>
    <x v="6"/>
    <x v="7"/>
    <s v="GNR_RES_WTR_NOPMP_MC-03"/>
    <x v="0"/>
    <x v="20"/>
    <n v="598.193241885916"/>
    <n v="218340.533288359"/>
    <n v="786025.91983809404"/>
  </r>
  <r>
    <x v="0"/>
    <x v="1"/>
    <x v="1"/>
    <x v="7"/>
    <x v="15"/>
    <s v="NO5_A1"/>
    <x v="6"/>
    <x v="7"/>
    <s v="GNR_RES_WTR_NOPMP_MC-03"/>
    <x v="0"/>
    <x v="21"/>
    <n v="598.193241885916"/>
    <n v="218340.533288359"/>
    <n v="786025.91983809404"/>
  </r>
  <r>
    <x v="0"/>
    <x v="1"/>
    <x v="1"/>
    <x v="7"/>
    <x v="15"/>
    <s v="NO5_A1"/>
    <x v="6"/>
    <x v="7"/>
    <s v="GNR_RES_WTR_NOPMP_MC-03"/>
    <x v="0"/>
    <x v="22"/>
    <n v="598.193241885916"/>
    <n v="218340.533288359"/>
    <n v="786025.91983809404"/>
  </r>
  <r>
    <x v="0"/>
    <x v="1"/>
    <x v="1"/>
    <x v="7"/>
    <x v="15"/>
    <s v="NO5_A1"/>
    <x v="6"/>
    <x v="7"/>
    <s v="GNR_RES_WTR_NOPMP_MC-03"/>
    <x v="0"/>
    <x v="23"/>
    <n v="598.193241885916"/>
    <n v="218340.533288359"/>
    <n v="786025.91983809404"/>
  </r>
  <r>
    <x v="0"/>
    <x v="1"/>
    <x v="1"/>
    <x v="7"/>
    <x v="15"/>
    <s v="NO5_A1"/>
    <x v="6"/>
    <x v="7"/>
    <s v="GNR_RES_WTR_NOPMP_MC-04"/>
    <x v="0"/>
    <x v="0"/>
    <n v="598.193241885916"/>
    <n v="218340.533288359"/>
    <n v="786025.91983809404"/>
  </r>
  <r>
    <x v="0"/>
    <x v="1"/>
    <x v="1"/>
    <x v="7"/>
    <x v="15"/>
    <s v="NO5_A1"/>
    <x v="6"/>
    <x v="7"/>
    <s v="GNR_RES_WTR_NOPMP_MC-04"/>
    <x v="0"/>
    <x v="1"/>
    <n v="598.193241885916"/>
    <n v="218340.533288359"/>
    <n v="786025.91983809404"/>
  </r>
  <r>
    <x v="0"/>
    <x v="1"/>
    <x v="1"/>
    <x v="7"/>
    <x v="15"/>
    <s v="NO5_A1"/>
    <x v="6"/>
    <x v="7"/>
    <s v="GNR_RES_WTR_NOPMP_MC-04"/>
    <x v="0"/>
    <x v="18"/>
    <n v="598.193241885916"/>
    <n v="218340.533288359"/>
    <n v="786025.91983809404"/>
  </r>
  <r>
    <x v="0"/>
    <x v="1"/>
    <x v="1"/>
    <x v="7"/>
    <x v="15"/>
    <s v="NO5_A1"/>
    <x v="6"/>
    <x v="7"/>
    <s v="GNR_RES_WTR_NOPMP_MC-04"/>
    <x v="0"/>
    <x v="2"/>
    <n v="598.193241885916"/>
    <n v="218340.533288359"/>
    <n v="786025.91983809404"/>
  </r>
  <r>
    <x v="0"/>
    <x v="1"/>
    <x v="1"/>
    <x v="7"/>
    <x v="15"/>
    <s v="NO5_A1"/>
    <x v="6"/>
    <x v="7"/>
    <s v="GNR_RES_WTR_NOPMP_MC-04"/>
    <x v="0"/>
    <x v="3"/>
    <n v="598.193241885916"/>
    <n v="218340.533288359"/>
    <n v="786025.91983809404"/>
  </r>
  <r>
    <x v="0"/>
    <x v="1"/>
    <x v="1"/>
    <x v="7"/>
    <x v="15"/>
    <s v="NO5_A1"/>
    <x v="6"/>
    <x v="7"/>
    <s v="GNR_RES_WTR_NOPMP_MC-04"/>
    <x v="0"/>
    <x v="4"/>
    <n v="598.193241885916"/>
    <n v="218340.533288359"/>
    <n v="786025.91983809404"/>
  </r>
  <r>
    <x v="0"/>
    <x v="1"/>
    <x v="1"/>
    <x v="7"/>
    <x v="15"/>
    <s v="NO5_A1"/>
    <x v="6"/>
    <x v="7"/>
    <s v="GNR_RES_WTR_NOPMP_MC-04"/>
    <x v="0"/>
    <x v="5"/>
    <n v="598.193241885916"/>
    <n v="218340.533288359"/>
    <n v="786025.91983809404"/>
  </r>
  <r>
    <x v="0"/>
    <x v="1"/>
    <x v="1"/>
    <x v="7"/>
    <x v="15"/>
    <s v="NO5_A1"/>
    <x v="6"/>
    <x v="7"/>
    <s v="GNR_RES_WTR_NOPMP_MC-04"/>
    <x v="0"/>
    <x v="6"/>
    <n v="598.193241885916"/>
    <n v="218340.533288359"/>
    <n v="786025.91983809404"/>
  </r>
  <r>
    <x v="0"/>
    <x v="1"/>
    <x v="1"/>
    <x v="7"/>
    <x v="15"/>
    <s v="NO5_A1"/>
    <x v="6"/>
    <x v="7"/>
    <s v="GNR_RES_WTR_NOPMP_MC-04"/>
    <x v="0"/>
    <x v="7"/>
    <n v="598.193241885916"/>
    <n v="218340.533288359"/>
    <n v="786025.91983809404"/>
  </r>
  <r>
    <x v="0"/>
    <x v="1"/>
    <x v="1"/>
    <x v="7"/>
    <x v="15"/>
    <s v="NO5_A1"/>
    <x v="6"/>
    <x v="7"/>
    <s v="GNR_RES_WTR_NOPMP_MC-04"/>
    <x v="0"/>
    <x v="8"/>
    <n v="598.193241885916"/>
    <n v="218340.533288359"/>
    <n v="786025.91983809404"/>
  </r>
  <r>
    <x v="0"/>
    <x v="1"/>
    <x v="1"/>
    <x v="7"/>
    <x v="15"/>
    <s v="NO5_A1"/>
    <x v="6"/>
    <x v="7"/>
    <s v="GNR_RES_WTR_NOPMP_MC-04"/>
    <x v="0"/>
    <x v="9"/>
    <n v="598.193241885916"/>
    <n v="218340.533288359"/>
    <n v="786025.91983809404"/>
  </r>
  <r>
    <x v="0"/>
    <x v="1"/>
    <x v="1"/>
    <x v="7"/>
    <x v="15"/>
    <s v="NO5_A1"/>
    <x v="6"/>
    <x v="7"/>
    <s v="GNR_RES_WTR_NOPMP_MC-04"/>
    <x v="0"/>
    <x v="10"/>
    <n v="598.193241885916"/>
    <n v="218340.533288359"/>
    <n v="786025.91983809404"/>
  </r>
  <r>
    <x v="0"/>
    <x v="1"/>
    <x v="1"/>
    <x v="7"/>
    <x v="15"/>
    <s v="NO5_A1"/>
    <x v="6"/>
    <x v="7"/>
    <s v="GNR_RES_WTR_NOPMP_MC-04"/>
    <x v="0"/>
    <x v="11"/>
    <n v="598.193241885916"/>
    <n v="218340.533288359"/>
    <n v="786025.91983809404"/>
  </r>
  <r>
    <x v="0"/>
    <x v="1"/>
    <x v="1"/>
    <x v="7"/>
    <x v="15"/>
    <s v="NO5_A1"/>
    <x v="6"/>
    <x v="7"/>
    <s v="GNR_RES_WTR_NOPMP_MC-04"/>
    <x v="0"/>
    <x v="12"/>
    <n v="598.193241885916"/>
    <n v="218340.533288359"/>
    <n v="786025.91983809404"/>
  </r>
  <r>
    <x v="0"/>
    <x v="1"/>
    <x v="1"/>
    <x v="7"/>
    <x v="15"/>
    <s v="NO5_A1"/>
    <x v="6"/>
    <x v="7"/>
    <s v="GNR_RES_WTR_NOPMP_MC-04"/>
    <x v="0"/>
    <x v="13"/>
    <n v="598.193241885916"/>
    <n v="218340.533288359"/>
    <n v="786025.91983809404"/>
  </r>
  <r>
    <x v="0"/>
    <x v="1"/>
    <x v="1"/>
    <x v="7"/>
    <x v="15"/>
    <s v="NO5_A1"/>
    <x v="6"/>
    <x v="7"/>
    <s v="GNR_RES_WTR_NOPMP_MC-04"/>
    <x v="0"/>
    <x v="14"/>
    <n v="598.193241885916"/>
    <n v="218340.533288359"/>
    <n v="786025.91983809404"/>
  </r>
  <r>
    <x v="0"/>
    <x v="1"/>
    <x v="1"/>
    <x v="7"/>
    <x v="15"/>
    <s v="NO5_A1"/>
    <x v="6"/>
    <x v="7"/>
    <s v="GNR_RES_WTR_NOPMP_MC-04"/>
    <x v="0"/>
    <x v="15"/>
    <n v="598.193241885916"/>
    <n v="218340.533288359"/>
    <n v="786025.91983809404"/>
  </r>
  <r>
    <x v="0"/>
    <x v="1"/>
    <x v="1"/>
    <x v="7"/>
    <x v="15"/>
    <s v="NO5_A1"/>
    <x v="6"/>
    <x v="7"/>
    <s v="GNR_RES_WTR_NOPMP_MC-04"/>
    <x v="0"/>
    <x v="16"/>
    <n v="598.193241885916"/>
    <n v="218340.533288359"/>
    <n v="786025.91983809404"/>
  </r>
  <r>
    <x v="0"/>
    <x v="1"/>
    <x v="1"/>
    <x v="7"/>
    <x v="15"/>
    <s v="NO5_A1"/>
    <x v="6"/>
    <x v="7"/>
    <s v="GNR_RES_WTR_NOPMP_MC-04"/>
    <x v="0"/>
    <x v="17"/>
    <n v="598.193241885916"/>
    <n v="218340.533288359"/>
    <n v="786025.91983809404"/>
  </r>
  <r>
    <x v="0"/>
    <x v="1"/>
    <x v="1"/>
    <x v="7"/>
    <x v="15"/>
    <s v="NO5_A1"/>
    <x v="6"/>
    <x v="7"/>
    <s v="GNR_RES_WTR_NOPMP_MC-04"/>
    <x v="0"/>
    <x v="19"/>
    <n v="598.193241885916"/>
    <n v="218340.533288359"/>
    <n v="786025.91983809404"/>
  </r>
  <r>
    <x v="0"/>
    <x v="1"/>
    <x v="1"/>
    <x v="7"/>
    <x v="15"/>
    <s v="NO5_A1"/>
    <x v="6"/>
    <x v="7"/>
    <s v="GNR_RES_WTR_NOPMP_MC-04"/>
    <x v="0"/>
    <x v="20"/>
    <n v="598.193241885916"/>
    <n v="218340.533288359"/>
    <n v="786025.91983809404"/>
  </r>
  <r>
    <x v="0"/>
    <x v="1"/>
    <x v="1"/>
    <x v="7"/>
    <x v="15"/>
    <s v="NO5_A1"/>
    <x v="6"/>
    <x v="7"/>
    <s v="GNR_RES_WTR_NOPMP_MC-04"/>
    <x v="0"/>
    <x v="21"/>
    <n v="598.193241885916"/>
    <n v="218340.533288359"/>
    <n v="786025.91983809404"/>
  </r>
  <r>
    <x v="0"/>
    <x v="1"/>
    <x v="1"/>
    <x v="7"/>
    <x v="15"/>
    <s v="NO5_A1"/>
    <x v="6"/>
    <x v="7"/>
    <s v="GNR_RES_WTR_NOPMP_MC-04"/>
    <x v="0"/>
    <x v="22"/>
    <n v="598.193241885916"/>
    <n v="218340.533288359"/>
    <n v="786025.91983809404"/>
  </r>
  <r>
    <x v="0"/>
    <x v="1"/>
    <x v="1"/>
    <x v="7"/>
    <x v="15"/>
    <s v="NO5_A1"/>
    <x v="6"/>
    <x v="7"/>
    <s v="GNR_RES_WTR_NOPMP_MC-04"/>
    <x v="0"/>
    <x v="23"/>
    <n v="598.193241885916"/>
    <n v="218340.533288359"/>
    <n v="786025.91983809404"/>
  </r>
  <r>
    <x v="0"/>
    <x v="1"/>
    <x v="1"/>
    <x v="7"/>
    <x v="15"/>
    <s v="NO5_A1"/>
    <x v="6"/>
    <x v="7"/>
    <s v="GNR_RES_WTR_NOPMP_MC-05"/>
    <x v="0"/>
    <x v="0"/>
    <n v="317.036705651104"/>
    <n v="115718.397562653"/>
    <n v="416586.23122555"/>
  </r>
  <r>
    <x v="0"/>
    <x v="1"/>
    <x v="1"/>
    <x v="7"/>
    <x v="15"/>
    <s v="NO5_A1"/>
    <x v="6"/>
    <x v="7"/>
    <s v="GNR_RES_WTR_NOPMP_MC-05"/>
    <x v="0"/>
    <x v="1"/>
    <n v="274.29378355475302"/>
    <n v="100117.23099748501"/>
    <n v="360422.03159094602"/>
  </r>
  <r>
    <x v="0"/>
    <x v="1"/>
    <x v="1"/>
    <x v="7"/>
    <x v="15"/>
    <s v="NO5_A1"/>
    <x v="6"/>
    <x v="7"/>
    <s v="GNR_RES_WTR_NOPMP_MC-05"/>
    <x v="0"/>
    <x v="18"/>
    <n v="258.21711652673798"/>
    <n v="94249.247532259295"/>
    <n v="339297.29111613298"/>
  </r>
  <r>
    <x v="0"/>
    <x v="1"/>
    <x v="1"/>
    <x v="7"/>
    <x v="15"/>
    <s v="NO5_A1"/>
    <x v="6"/>
    <x v="7"/>
    <s v="GNR_RES_WTR_NOPMP_MC-05"/>
    <x v="0"/>
    <x v="2"/>
    <n v="272.42827262900499"/>
    <n v="99436.319509586901"/>
    <n v="357970.75023451302"/>
  </r>
  <r>
    <x v="0"/>
    <x v="1"/>
    <x v="1"/>
    <x v="7"/>
    <x v="15"/>
    <s v="NO5_A1"/>
    <x v="6"/>
    <x v="7"/>
    <s v="GNR_RES_WTR_NOPMP_MC-05"/>
    <x v="0"/>
    <x v="3"/>
    <n v="302.669204429334"/>
    <n v="110474.259616707"/>
    <n v="397707.33462014497"/>
  </r>
  <r>
    <x v="0"/>
    <x v="1"/>
    <x v="1"/>
    <x v="7"/>
    <x v="15"/>
    <s v="NO5_A1"/>
    <x v="6"/>
    <x v="7"/>
    <s v="GNR_RES_WTR_NOPMP_MC-05"/>
    <x v="0"/>
    <x v="4"/>
    <n v="364.813342506303"/>
    <n v="133156.87001480101"/>
    <n v="479364.73205328197"/>
  </r>
  <r>
    <x v="0"/>
    <x v="1"/>
    <x v="1"/>
    <x v="7"/>
    <x v="15"/>
    <s v="NO5_A1"/>
    <x v="6"/>
    <x v="7"/>
    <s v="GNR_RES_WTR_NOPMP_MC-05"/>
    <x v="0"/>
    <x v="5"/>
    <n v="475.88260353387199"/>
    <n v="173697.150289863"/>
    <n v="625309.74104350805"/>
  </r>
  <r>
    <x v="0"/>
    <x v="1"/>
    <x v="1"/>
    <x v="7"/>
    <x v="15"/>
    <s v="NO5_A1"/>
    <x v="6"/>
    <x v="7"/>
    <s v="GNR_RES_WTR_NOPMP_MC-05"/>
    <x v="0"/>
    <x v="6"/>
    <n v="598.193241885916"/>
    <n v="218340.533288359"/>
    <n v="786025.91983809404"/>
  </r>
  <r>
    <x v="0"/>
    <x v="1"/>
    <x v="1"/>
    <x v="7"/>
    <x v="15"/>
    <s v="NO5_A1"/>
    <x v="6"/>
    <x v="7"/>
    <s v="GNR_RES_WTR_NOPMP_MC-05"/>
    <x v="0"/>
    <x v="7"/>
    <n v="598.193241885916"/>
    <n v="218340.533288359"/>
    <n v="786025.91983809404"/>
  </r>
  <r>
    <x v="0"/>
    <x v="1"/>
    <x v="1"/>
    <x v="7"/>
    <x v="15"/>
    <s v="NO5_A1"/>
    <x v="6"/>
    <x v="7"/>
    <s v="GNR_RES_WTR_NOPMP_MC-05"/>
    <x v="0"/>
    <x v="8"/>
    <n v="598.193241885916"/>
    <n v="218340.533288359"/>
    <n v="786025.91983809404"/>
  </r>
  <r>
    <x v="0"/>
    <x v="1"/>
    <x v="1"/>
    <x v="7"/>
    <x v="15"/>
    <s v="NO5_A1"/>
    <x v="6"/>
    <x v="7"/>
    <s v="GNR_RES_WTR_NOPMP_MC-05"/>
    <x v="0"/>
    <x v="9"/>
    <n v="598.193241885916"/>
    <n v="218340.533288359"/>
    <n v="786025.91983809404"/>
  </r>
  <r>
    <x v="0"/>
    <x v="1"/>
    <x v="1"/>
    <x v="7"/>
    <x v="15"/>
    <s v="NO5_A1"/>
    <x v="6"/>
    <x v="7"/>
    <s v="GNR_RES_WTR_NOPMP_MC-05"/>
    <x v="0"/>
    <x v="10"/>
    <n v="598.193241885916"/>
    <n v="218340.533288359"/>
    <n v="786025.91983809404"/>
  </r>
  <r>
    <x v="0"/>
    <x v="1"/>
    <x v="1"/>
    <x v="7"/>
    <x v="15"/>
    <s v="NO5_A1"/>
    <x v="6"/>
    <x v="7"/>
    <s v="GNR_RES_WTR_NOPMP_MC-05"/>
    <x v="0"/>
    <x v="11"/>
    <n v="598.193241885916"/>
    <n v="218340.533288359"/>
    <n v="786025.91983809404"/>
  </r>
  <r>
    <x v="0"/>
    <x v="1"/>
    <x v="1"/>
    <x v="7"/>
    <x v="15"/>
    <s v="NO5_A1"/>
    <x v="6"/>
    <x v="7"/>
    <s v="GNR_RES_WTR_NOPMP_MC-05"/>
    <x v="0"/>
    <x v="12"/>
    <n v="598.193241885916"/>
    <n v="218340.533288359"/>
    <n v="786025.91983809404"/>
  </r>
  <r>
    <x v="0"/>
    <x v="1"/>
    <x v="1"/>
    <x v="7"/>
    <x v="15"/>
    <s v="NO5_A1"/>
    <x v="6"/>
    <x v="7"/>
    <s v="GNR_RES_WTR_NOPMP_MC-05"/>
    <x v="0"/>
    <x v="13"/>
    <n v="598.193241885916"/>
    <n v="218340.533288359"/>
    <n v="786025.91983809404"/>
  </r>
  <r>
    <x v="0"/>
    <x v="1"/>
    <x v="1"/>
    <x v="7"/>
    <x v="15"/>
    <s v="NO5_A1"/>
    <x v="6"/>
    <x v="7"/>
    <s v="GNR_RES_WTR_NOPMP_MC-05"/>
    <x v="0"/>
    <x v="14"/>
    <n v="598.193241885916"/>
    <n v="218340.533288359"/>
    <n v="786025.91983809404"/>
  </r>
  <r>
    <x v="0"/>
    <x v="1"/>
    <x v="1"/>
    <x v="7"/>
    <x v="15"/>
    <s v="NO5_A1"/>
    <x v="6"/>
    <x v="7"/>
    <s v="GNR_RES_WTR_NOPMP_MC-05"/>
    <x v="0"/>
    <x v="15"/>
    <n v="598.193241885916"/>
    <n v="218340.533288359"/>
    <n v="786025.91983809404"/>
  </r>
  <r>
    <x v="0"/>
    <x v="1"/>
    <x v="1"/>
    <x v="7"/>
    <x v="15"/>
    <s v="NO5_A1"/>
    <x v="6"/>
    <x v="7"/>
    <s v="GNR_RES_WTR_NOPMP_MC-05"/>
    <x v="0"/>
    <x v="16"/>
    <n v="585.74295431398605"/>
    <n v="213796.17832460499"/>
    <n v="769666.24196857796"/>
  </r>
  <r>
    <x v="0"/>
    <x v="1"/>
    <x v="1"/>
    <x v="7"/>
    <x v="15"/>
    <s v="NO5_A1"/>
    <x v="6"/>
    <x v="7"/>
    <s v="GNR_RES_WTR_NOPMP_MC-05"/>
    <x v="0"/>
    <x v="17"/>
    <n v="567.87894891996496"/>
    <n v="207275.81635578701"/>
    <n v="746192.93888083403"/>
  </r>
  <r>
    <x v="0"/>
    <x v="1"/>
    <x v="1"/>
    <x v="7"/>
    <x v="15"/>
    <s v="NO5_A1"/>
    <x v="6"/>
    <x v="7"/>
    <s v="GNR_RES_WTR_NOPMP_MC-05"/>
    <x v="0"/>
    <x v="19"/>
    <n v="560.46801213251604"/>
    <n v="204570.82442836801"/>
    <n v="736454.96794212598"/>
  </r>
  <r>
    <x v="0"/>
    <x v="1"/>
    <x v="1"/>
    <x v="7"/>
    <x v="15"/>
    <s v="NO5_A1"/>
    <x v="6"/>
    <x v="7"/>
    <s v="GNR_RES_WTR_NOPMP_MC-05"/>
    <x v="0"/>
    <x v="20"/>
    <n v="537.852709113125"/>
    <n v="196316.238826291"/>
    <n v="706738.45977464598"/>
  </r>
  <r>
    <x v="0"/>
    <x v="1"/>
    <x v="1"/>
    <x v="7"/>
    <x v="15"/>
    <s v="NO5_A1"/>
    <x v="6"/>
    <x v="7"/>
    <s v="GNR_RES_WTR_NOPMP_MC-05"/>
    <x v="0"/>
    <x v="21"/>
    <n v="478.618337977637"/>
    <n v="174695.693361838"/>
    <n v="628904.49610261503"/>
  </r>
  <r>
    <x v="0"/>
    <x v="1"/>
    <x v="1"/>
    <x v="7"/>
    <x v="15"/>
    <s v="NO5_A1"/>
    <x v="6"/>
    <x v="7"/>
    <s v="GNR_RES_WTR_NOPMP_MC-05"/>
    <x v="0"/>
    <x v="22"/>
    <n v="435.882716869224"/>
    <n v="159097.19165726699"/>
    <n v="572749.88996615994"/>
  </r>
  <r>
    <x v="0"/>
    <x v="1"/>
    <x v="1"/>
    <x v="7"/>
    <x v="15"/>
    <s v="NO5_A1"/>
    <x v="6"/>
    <x v="7"/>
    <s v="GNR_RES_WTR_NOPMP_MC-05"/>
    <x v="0"/>
    <x v="23"/>
    <n v="362.43926690953498"/>
    <n v="132290.33242198001"/>
    <n v="476245.19671912899"/>
  </r>
  <r>
    <x v="0"/>
    <x v="1"/>
    <x v="1"/>
    <x v="7"/>
    <x v="15"/>
    <s v="NO5_A1"/>
    <x v="6"/>
    <x v="7"/>
    <s v="GNR_RES_WTR_NOPMP_MC-06"/>
    <x v="0"/>
    <x v="6"/>
    <n v="33.753702910762101"/>
    <n v="12320.101562428201"/>
    <n v="44352.365624741396"/>
  </r>
  <r>
    <x v="0"/>
    <x v="1"/>
    <x v="1"/>
    <x v="7"/>
    <x v="15"/>
    <s v="NO5_A1"/>
    <x v="6"/>
    <x v="7"/>
    <s v="GNR_RES_WTR_NOPMP_MC-06"/>
    <x v="0"/>
    <x v="7"/>
    <n v="98.463697489903595"/>
    <n v="35939.249583814802"/>
    <n v="129381.29850173301"/>
  </r>
  <r>
    <x v="0"/>
    <x v="1"/>
    <x v="1"/>
    <x v="7"/>
    <x v="15"/>
    <s v="NO5_A1"/>
    <x v="6"/>
    <x v="7"/>
    <s v="GNR_RES_WTR_NOPMP_MC-06"/>
    <x v="0"/>
    <x v="8"/>
    <n v="76.317368799525497"/>
    <n v="27855.839611826799"/>
    <n v="100281.02260257601"/>
  </r>
  <r>
    <x v="0"/>
    <x v="1"/>
    <x v="1"/>
    <x v="7"/>
    <x v="15"/>
    <s v="NO5_A1"/>
    <x v="6"/>
    <x v="7"/>
    <s v="GNR_RES_WTR_NOPMP_MC-06"/>
    <x v="0"/>
    <x v="9"/>
    <n v="56.805690905077"/>
    <n v="20734.077180353099"/>
    <n v="74642.677849271204"/>
  </r>
  <r>
    <x v="0"/>
    <x v="1"/>
    <x v="1"/>
    <x v="7"/>
    <x v="15"/>
    <s v="NO5_A1"/>
    <x v="6"/>
    <x v="7"/>
    <s v="GNR_RES_WTR_NOPMP_MC-06"/>
    <x v="0"/>
    <x v="10"/>
    <n v="45.211437191041597"/>
    <n v="16502.174574730201"/>
    <n v="59407.828469028696"/>
  </r>
  <r>
    <x v="0"/>
    <x v="1"/>
    <x v="1"/>
    <x v="7"/>
    <x v="15"/>
    <s v="NO5_A1"/>
    <x v="6"/>
    <x v="7"/>
    <s v="GNR_RES_WTR_NOPMP_MC-06"/>
    <x v="0"/>
    <x v="11"/>
    <n v="19.66761069819"/>
    <n v="7178.67790483935"/>
    <n v="25843.2404574217"/>
  </r>
  <r>
    <x v="0"/>
    <x v="1"/>
    <x v="1"/>
    <x v="7"/>
    <x v="15"/>
    <s v="NO5_A1"/>
    <x v="6"/>
    <x v="7"/>
    <s v="GNR_RES_WTR_NOPMP_MC-06"/>
    <x v="0"/>
    <x v="12"/>
    <n v="20.0188221254353"/>
    <n v="7306.8700757838797"/>
    <n v="26304.732272821999"/>
  </r>
  <r>
    <x v="0"/>
    <x v="1"/>
    <x v="1"/>
    <x v="7"/>
    <x v="15"/>
    <s v="NO5_A1"/>
    <x v="6"/>
    <x v="7"/>
    <s v="GNR_RES_WTR_NOPMP_MC-06"/>
    <x v="0"/>
    <x v="13"/>
    <n v="12.8340328755272"/>
    <n v="4684.4219995674102"/>
    <n v="16863.919198442702"/>
  </r>
  <r>
    <x v="0"/>
    <x v="1"/>
    <x v="1"/>
    <x v="7"/>
    <x v="15"/>
    <s v="NO5_A1"/>
    <x v="6"/>
    <x v="7"/>
    <s v="GNR_RES_WTR_NOPMP_MC-06"/>
    <x v="0"/>
    <x v="14"/>
    <n v="6.6184735134234502"/>
    <n v="2415.74283239956"/>
    <n v="8696.6741966384197"/>
  </r>
  <r>
    <x v="0"/>
    <x v="1"/>
    <x v="1"/>
    <x v="7"/>
    <x v="15"/>
    <s v="NO5_A1"/>
    <x v="6"/>
    <x v="7"/>
    <s v="GNR_RES_WTR_NOPMP_MC-06"/>
    <x v="0"/>
    <x v="15"/>
    <n v="23.279800494162"/>
    <n v="8497.1271803691197"/>
    <n v="30589.6578493288"/>
  </r>
  <r>
    <x v="0"/>
    <x v="1"/>
    <x v="1"/>
    <x v="7"/>
    <x v="15"/>
    <s v="NO5_A1"/>
    <x v="6"/>
    <x v="7"/>
    <s v="GNR_RES_WTR_PMP_MC-01"/>
    <x v="0"/>
    <x v="0"/>
    <n v="444"/>
    <n v="162060"/>
    <n v="583416"/>
  </r>
  <r>
    <x v="0"/>
    <x v="1"/>
    <x v="1"/>
    <x v="7"/>
    <x v="15"/>
    <s v="NO5_A1"/>
    <x v="6"/>
    <x v="7"/>
    <s v="GNR_RES_WTR_PMP_MC-01"/>
    <x v="0"/>
    <x v="1"/>
    <n v="444"/>
    <n v="162060"/>
    <n v="583416"/>
  </r>
  <r>
    <x v="0"/>
    <x v="1"/>
    <x v="1"/>
    <x v="7"/>
    <x v="15"/>
    <s v="NO5_A1"/>
    <x v="6"/>
    <x v="7"/>
    <s v="GNR_RES_WTR_PMP_MC-01"/>
    <x v="0"/>
    <x v="18"/>
    <n v="444"/>
    <n v="162060"/>
    <n v="583416"/>
  </r>
  <r>
    <x v="0"/>
    <x v="1"/>
    <x v="1"/>
    <x v="7"/>
    <x v="15"/>
    <s v="NO5_A1"/>
    <x v="6"/>
    <x v="7"/>
    <s v="GNR_RES_WTR_PMP_MC-01"/>
    <x v="0"/>
    <x v="2"/>
    <n v="444"/>
    <n v="162060"/>
    <n v="583416"/>
  </r>
  <r>
    <x v="0"/>
    <x v="1"/>
    <x v="1"/>
    <x v="7"/>
    <x v="15"/>
    <s v="NO5_A1"/>
    <x v="6"/>
    <x v="7"/>
    <s v="GNR_RES_WTR_PMP_MC-01"/>
    <x v="0"/>
    <x v="3"/>
    <n v="444"/>
    <n v="162060"/>
    <n v="583416"/>
  </r>
  <r>
    <x v="0"/>
    <x v="1"/>
    <x v="1"/>
    <x v="7"/>
    <x v="15"/>
    <s v="NO5_A1"/>
    <x v="6"/>
    <x v="7"/>
    <s v="GNR_RES_WTR_PMP_MC-01"/>
    <x v="0"/>
    <x v="4"/>
    <n v="444"/>
    <n v="162060"/>
    <n v="583416"/>
  </r>
  <r>
    <x v="0"/>
    <x v="1"/>
    <x v="1"/>
    <x v="7"/>
    <x v="15"/>
    <s v="NO5_A1"/>
    <x v="6"/>
    <x v="7"/>
    <s v="GNR_RES_WTR_PMP_MC-01"/>
    <x v="0"/>
    <x v="5"/>
    <n v="444"/>
    <n v="162060"/>
    <n v="583416"/>
  </r>
  <r>
    <x v="0"/>
    <x v="1"/>
    <x v="1"/>
    <x v="7"/>
    <x v="15"/>
    <s v="NO5_A1"/>
    <x v="6"/>
    <x v="7"/>
    <s v="GNR_RES_WTR_PMP_MC-01"/>
    <x v="0"/>
    <x v="6"/>
    <n v="444"/>
    <n v="162060"/>
    <n v="583416"/>
  </r>
  <r>
    <x v="0"/>
    <x v="1"/>
    <x v="1"/>
    <x v="7"/>
    <x v="15"/>
    <s v="NO5_A1"/>
    <x v="6"/>
    <x v="7"/>
    <s v="GNR_RES_WTR_PMP_MC-01"/>
    <x v="0"/>
    <x v="7"/>
    <n v="444"/>
    <n v="162060"/>
    <n v="583416"/>
  </r>
  <r>
    <x v="0"/>
    <x v="1"/>
    <x v="1"/>
    <x v="7"/>
    <x v="15"/>
    <s v="NO5_A1"/>
    <x v="6"/>
    <x v="7"/>
    <s v="GNR_RES_WTR_PMP_MC-01"/>
    <x v="0"/>
    <x v="8"/>
    <n v="444"/>
    <n v="162060"/>
    <n v="583416"/>
  </r>
  <r>
    <x v="0"/>
    <x v="1"/>
    <x v="1"/>
    <x v="7"/>
    <x v="15"/>
    <s v="NO5_A1"/>
    <x v="6"/>
    <x v="7"/>
    <s v="GNR_RES_WTR_PMP_MC-01"/>
    <x v="0"/>
    <x v="9"/>
    <n v="444"/>
    <n v="162060"/>
    <n v="583416"/>
  </r>
  <r>
    <x v="0"/>
    <x v="1"/>
    <x v="1"/>
    <x v="7"/>
    <x v="15"/>
    <s v="NO5_A1"/>
    <x v="6"/>
    <x v="7"/>
    <s v="GNR_RES_WTR_PMP_MC-01"/>
    <x v="0"/>
    <x v="10"/>
    <n v="444"/>
    <n v="162060"/>
    <n v="583416"/>
  </r>
  <r>
    <x v="0"/>
    <x v="1"/>
    <x v="1"/>
    <x v="7"/>
    <x v="15"/>
    <s v="NO5_A1"/>
    <x v="6"/>
    <x v="7"/>
    <s v="GNR_RES_WTR_PMP_MC-01"/>
    <x v="0"/>
    <x v="11"/>
    <n v="444"/>
    <n v="162060"/>
    <n v="583416"/>
  </r>
  <r>
    <x v="0"/>
    <x v="1"/>
    <x v="1"/>
    <x v="7"/>
    <x v="15"/>
    <s v="NO5_A1"/>
    <x v="6"/>
    <x v="7"/>
    <s v="GNR_RES_WTR_PMP_MC-01"/>
    <x v="0"/>
    <x v="12"/>
    <n v="444"/>
    <n v="162060"/>
    <n v="583416"/>
  </r>
  <r>
    <x v="0"/>
    <x v="1"/>
    <x v="1"/>
    <x v="7"/>
    <x v="15"/>
    <s v="NO5_A1"/>
    <x v="6"/>
    <x v="7"/>
    <s v="GNR_RES_WTR_PMP_MC-01"/>
    <x v="0"/>
    <x v="13"/>
    <n v="444"/>
    <n v="162060"/>
    <n v="583416"/>
  </r>
  <r>
    <x v="0"/>
    <x v="1"/>
    <x v="1"/>
    <x v="7"/>
    <x v="15"/>
    <s v="NO5_A1"/>
    <x v="6"/>
    <x v="7"/>
    <s v="GNR_RES_WTR_PMP_MC-01"/>
    <x v="0"/>
    <x v="14"/>
    <n v="444"/>
    <n v="162060"/>
    <n v="583416"/>
  </r>
  <r>
    <x v="0"/>
    <x v="1"/>
    <x v="1"/>
    <x v="7"/>
    <x v="15"/>
    <s v="NO5_A1"/>
    <x v="6"/>
    <x v="7"/>
    <s v="GNR_RES_WTR_PMP_MC-01"/>
    <x v="0"/>
    <x v="15"/>
    <n v="444"/>
    <n v="162060"/>
    <n v="583416"/>
  </r>
  <r>
    <x v="0"/>
    <x v="1"/>
    <x v="1"/>
    <x v="7"/>
    <x v="15"/>
    <s v="NO5_A1"/>
    <x v="6"/>
    <x v="7"/>
    <s v="GNR_RES_WTR_PMP_MC-01"/>
    <x v="0"/>
    <x v="16"/>
    <n v="444"/>
    <n v="162060"/>
    <n v="583416"/>
  </r>
  <r>
    <x v="0"/>
    <x v="1"/>
    <x v="1"/>
    <x v="7"/>
    <x v="15"/>
    <s v="NO5_A1"/>
    <x v="6"/>
    <x v="7"/>
    <s v="GNR_RES_WTR_PMP_MC-01"/>
    <x v="0"/>
    <x v="17"/>
    <n v="444"/>
    <n v="162060"/>
    <n v="583416"/>
  </r>
  <r>
    <x v="0"/>
    <x v="1"/>
    <x v="1"/>
    <x v="7"/>
    <x v="15"/>
    <s v="NO5_A1"/>
    <x v="6"/>
    <x v="7"/>
    <s v="GNR_RES_WTR_PMP_MC-01"/>
    <x v="0"/>
    <x v="19"/>
    <n v="444"/>
    <n v="162060"/>
    <n v="583416"/>
  </r>
  <r>
    <x v="0"/>
    <x v="1"/>
    <x v="1"/>
    <x v="7"/>
    <x v="15"/>
    <s v="NO5_A1"/>
    <x v="6"/>
    <x v="7"/>
    <s v="GNR_RES_WTR_PMP_MC-01"/>
    <x v="0"/>
    <x v="20"/>
    <n v="444"/>
    <n v="162060"/>
    <n v="583416"/>
  </r>
  <r>
    <x v="0"/>
    <x v="1"/>
    <x v="1"/>
    <x v="7"/>
    <x v="15"/>
    <s v="NO5_A1"/>
    <x v="6"/>
    <x v="7"/>
    <s v="GNR_RES_WTR_PMP_MC-01"/>
    <x v="0"/>
    <x v="21"/>
    <n v="444"/>
    <n v="162060"/>
    <n v="583416"/>
  </r>
  <r>
    <x v="0"/>
    <x v="1"/>
    <x v="1"/>
    <x v="7"/>
    <x v="15"/>
    <s v="NO5_A1"/>
    <x v="6"/>
    <x v="7"/>
    <s v="GNR_RES_WTR_PMP_MC-01"/>
    <x v="0"/>
    <x v="22"/>
    <n v="444"/>
    <n v="162060"/>
    <n v="583416"/>
  </r>
  <r>
    <x v="0"/>
    <x v="1"/>
    <x v="1"/>
    <x v="7"/>
    <x v="15"/>
    <s v="NO5_A1"/>
    <x v="6"/>
    <x v="7"/>
    <s v="GNR_RES_WTR_PMP_MC-01"/>
    <x v="0"/>
    <x v="23"/>
    <n v="444"/>
    <n v="162060"/>
    <n v="583416"/>
  </r>
  <r>
    <x v="0"/>
    <x v="1"/>
    <x v="1"/>
    <x v="7"/>
    <x v="15"/>
    <s v="NO5_A1"/>
    <x v="6"/>
    <x v="4"/>
    <s v="GNR_ROR_WTR"/>
    <x v="0"/>
    <x v="0"/>
    <n v="1105.4025973119899"/>
    <n v="403471.94801887497"/>
    <n v="1452499.0128679499"/>
  </r>
  <r>
    <x v="0"/>
    <x v="1"/>
    <x v="1"/>
    <x v="7"/>
    <x v="15"/>
    <s v="NO5_A1"/>
    <x v="6"/>
    <x v="4"/>
    <s v="GNR_ROR_WTR"/>
    <x v="0"/>
    <x v="1"/>
    <n v="1105.4025973119899"/>
    <n v="403471.94801887497"/>
    <n v="1452499.0128679499"/>
  </r>
  <r>
    <x v="0"/>
    <x v="1"/>
    <x v="1"/>
    <x v="7"/>
    <x v="15"/>
    <s v="NO5_A1"/>
    <x v="6"/>
    <x v="4"/>
    <s v="GNR_ROR_WTR"/>
    <x v="0"/>
    <x v="18"/>
    <n v="1105.4025973119899"/>
    <n v="403471.94801887497"/>
    <n v="1452499.0128679499"/>
  </r>
  <r>
    <x v="0"/>
    <x v="1"/>
    <x v="1"/>
    <x v="7"/>
    <x v="15"/>
    <s v="NO5_A1"/>
    <x v="6"/>
    <x v="4"/>
    <s v="GNR_ROR_WTR"/>
    <x v="0"/>
    <x v="2"/>
    <n v="1105.4025973119899"/>
    <n v="403471.94801887497"/>
    <n v="1452499.0128679499"/>
  </r>
  <r>
    <x v="0"/>
    <x v="1"/>
    <x v="1"/>
    <x v="7"/>
    <x v="15"/>
    <s v="NO5_A1"/>
    <x v="6"/>
    <x v="4"/>
    <s v="GNR_ROR_WTR"/>
    <x v="0"/>
    <x v="3"/>
    <n v="1105.4025973119899"/>
    <n v="403471.94801887497"/>
    <n v="1452499.0128679499"/>
  </r>
  <r>
    <x v="0"/>
    <x v="1"/>
    <x v="1"/>
    <x v="7"/>
    <x v="15"/>
    <s v="NO5_A1"/>
    <x v="6"/>
    <x v="4"/>
    <s v="GNR_ROR_WTR"/>
    <x v="0"/>
    <x v="4"/>
    <n v="1105.4025973119899"/>
    <n v="403471.94801887497"/>
    <n v="1452499.0128679499"/>
  </r>
  <r>
    <x v="0"/>
    <x v="1"/>
    <x v="1"/>
    <x v="7"/>
    <x v="15"/>
    <s v="NO5_A1"/>
    <x v="6"/>
    <x v="4"/>
    <s v="GNR_ROR_WTR"/>
    <x v="0"/>
    <x v="5"/>
    <n v="1105.4025973119899"/>
    <n v="403471.94801887497"/>
    <n v="1452499.0128679499"/>
  </r>
  <r>
    <x v="0"/>
    <x v="1"/>
    <x v="1"/>
    <x v="7"/>
    <x v="15"/>
    <s v="NO5_A1"/>
    <x v="6"/>
    <x v="4"/>
    <s v="GNR_ROR_WTR"/>
    <x v="0"/>
    <x v="6"/>
    <n v="1105.4025973119899"/>
    <n v="403471.94801887497"/>
    <n v="1452499.0128679499"/>
  </r>
  <r>
    <x v="0"/>
    <x v="1"/>
    <x v="1"/>
    <x v="7"/>
    <x v="15"/>
    <s v="NO5_A1"/>
    <x v="6"/>
    <x v="4"/>
    <s v="GNR_ROR_WTR"/>
    <x v="0"/>
    <x v="7"/>
    <n v="1105.4025973119899"/>
    <n v="403471.94801887497"/>
    <n v="1452499.0128679499"/>
  </r>
  <r>
    <x v="0"/>
    <x v="1"/>
    <x v="1"/>
    <x v="7"/>
    <x v="15"/>
    <s v="NO5_A1"/>
    <x v="6"/>
    <x v="4"/>
    <s v="GNR_ROR_WTR"/>
    <x v="0"/>
    <x v="8"/>
    <n v="1105.4025973119899"/>
    <n v="403471.94801887497"/>
    <n v="1452499.0128679499"/>
  </r>
  <r>
    <x v="0"/>
    <x v="1"/>
    <x v="1"/>
    <x v="7"/>
    <x v="15"/>
    <s v="NO5_A1"/>
    <x v="6"/>
    <x v="4"/>
    <s v="GNR_ROR_WTR"/>
    <x v="0"/>
    <x v="9"/>
    <n v="1105.4025973119899"/>
    <n v="403471.94801887497"/>
    <n v="1452499.0128679499"/>
  </r>
  <r>
    <x v="0"/>
    <x v="1"/>
    <x v="1"/>
    <x v="7"/>
    <x v="15"/>
    <s v="NO5_A1"/>
    <x v="6"/>
    <x v="4"/>
    <s v="GNR_ROR_WTR"/>
    <x v="0"/>
    <x v="10"/>
    <n v="1105.4025973119899"/>
    <n v="403471.94801887497"/>
    <n v="1452499.0128679499"/>
  </r>
  <r>
    <x v="0"/>
    <x v="1"/>
    <x v="1"/>
    <x v="7"/>
    <x v="15"/>
    <s v="NO5_A1"/>
    <x v="6"/>
    <x v="4"/>
    <s v="GNR_ROR_WTR"/>
    <x v="0"/>
    <x v="11"/>
    <n v="1105.4025973119899"/>
    <n v="403471.94801887497"/>
    <n v="1452499.0128679499"/>
  </r>
  <r>
    <x v="0"/>
    <x v="1"/>
    <x v="1"/>
    <x v="7"/>
    <x v="15"/>
    <s v="NO5_A1"/>
    <x v="6"/>
    <x v="4"/>
    <s v="GNR_ROR_WTR"/>
    <x v="0"/>
    <x v="12"/>
    <n v="1105.4025973119899"/>
    <n v="403471.94801887497"/>
    <n v="1452499.0128679499"/>
  </r>
  <r>
    <x v="0"/>
    <x v="1"/>
    <x v="1"/>
    <x v="7"/>
    <x v="15"/>
    <s v="NO5_A1"/>
    <x v="6"/>
    <x v="4"/>
    <s v="GNR_ROR_WTR"/>
    <x v="0"/>
    <x v="13"/>
    <n v="1105.4025973119899"/>
    <n v="403471.94801887497"/>
    <n v="1452499.0128679499"/>
  </r>
  <r>
    <x v="0"/>
    <x v="1"/>
    <x v="1"/>
    <x v="7"/>
    <x v="15"/>
    <s v="NO5_A1"/>
    <x v="6"/>
    <x v="4"/>
    <s v="GNR_ROR_WTR"/>
    <x v="0"/>
    <x v="14"/>
    <n v="1105.4025973119899"/>
    <n v="403471.94801887497"/>
    <n v="1452499.0128679499"/>
  </r>
  <r>
    <x v="0"/>
    <x v="1"/>
    <x v="1"/>
    <x v="7"/>
    <x v="15"/>
    <s v="NO5_A1"/>
    <x v="6"/>
    <x v="4"/>
    <s v="GNR_ROR_WTR"/>
    <x v="0"/>
    <x v="15"/>
    <n v="1105.4025973119899"/>
    <n v="403471.94801887497"/>
    <n v="1452499.0128679499"/>
  </r>
  <r>
    <x v="0"/>
    <x v="1"/>
    <x v="1"/>
    <x v="7"/>
    <x v="15"/>
    <s v="NO5_A1"/>
    <x v="6"/>
    <x v="4"/>
    <s v="GNR_ROR_WTR"/>
    <x v="0"/>
    <x v="16"/>
    <n v="1105.4025973119899"/>
    <n v="403471.94801887497"/>
    <n v="1452499.0128679499"/>
  </r>
  <r>
    <x v="0"/>
    <x v="1"/>
    <x v="1"/>
    <x v="7"/>
    <x v="15"/>
    <s v="NO5_A1"/>
    <x v="6"/>
    <x v="4"/>
    <s v="GNR_ROR_WTR"/>
    <x v="0"/>
    <x v="17"/>
    <n v="1105.4025973119899"/>
    <n v="403471.94801887497"/>
    <n v="1452499.0128679499"/>
  </r>
  <r>
    <x v="0"/>
    <x v="1"/>
    <x v="1"/>
    <x v="7"/>
    <x v="15"/>
    <s v="NO5_A1"/>
    <x v="6"/>
    <x v="4"/>
    <s v="GNR_ROR_WTR"/>
    <x v="0"/>
    <x v="19"/>
    <n v="1105.4025973119899"/>
    <n v="403471.94801887497"/>
    <n v="1452499.0128679499"/>
  </r>
  <r>
    <x v="0"/>
    <x v="1"/>
    <x v="1"/>
    <x v="7"/>
    <x v="15"/>
    <s v="NO5_A1"/>
    <x v="6"/>
    <x v="4"/>
    <s v="GNR_ROR_WTR"/>
    <x v="0"/>
    <x v="20"/>
    <n v="1105.4025973119899"/>
    <n v="403471.94801887497"/>
    <n v="1452499.0128679499"/>
  </r>
  <r>
    <x v="0"/>
    <x v="1"/>
    <x v="1"/>
    <x v="7"/>
    <x v="15"/>
    <s v="NO5_A1"/>
    <x v="6"/>
    <x v="4"/>
    <s v="GNR_ROR_WTR"/>
    <x v="0"/>
    <x v="21"/>
    <n v="1105.4025973119899"/>
    <n v="403471.94801887497"/>
    <n v="1452499.0128679499"/>
  </r>
  <r>
    <x v="0"/>
    <x v="1"/>
    <x v="1"/>
    <x v="7"/>
    <x v="15"/>
    <s v="NO5_A1"/>
    <x v="6"/>
    <x v="4"/>
    <s v="GNR_ROR_WTR"/>
    <x v="0"/>
    <x v="22"/>
    <n v="1105.4025973119899"/>
    <n v="403471.94801887497"/>
    <n v="1452499.0128679499"/>
  </r>
  <r>
    <x v="0"/>
    <x v="1"/>
    <x v="1"/>
    <x v="7"/>
    <x v="15"/>
    <s v="NO5_A1"/>
    <x v="6"/>
    <x v="4"/>
    <s v="GNR_ROR_WTR"/>
    <x v="0"/>
    <x v="23"/>
    <n v="1105.4025973119899"/>
    <n v="403471.94801887497"/>
    <n v="1452499.0128679499"/>
  </r>
  <r>
    <x v="0"/>
    <x v="1"/>
    <x v="1"/>
    <x v="8"/>
    <x v="16"/>
    <s v="PL_A"/>
    <x v="0"/>
    <x v="6"/>
    <s v="BIAL-4_ST_COAL_CND"/>
    <x v="0"/>
    <x v="0"/>
    <n v="21"/>
    <n v="7665"/>
    <n v="27594"/>
  </r>
  <r>
    <x v="0"/>
    <x v="1"/>
    <x v="1"/>
    <x v="8"/>
    <x v="16"/>
    <s v="PL_A"/>
    <x v="0"/>
    <x v="6"/>
    <s v="BIAL-4_ST_COAL_CND"/>
    <x v="0"/>
    <x v="1"/>
    <n v="21"/>
    <n v="7665"/>
    <n v="27594"/>
  </r>
  <r>
    <x v="0"/>
    <x v="1"/>
    <x v="1"/>
    <x v="8"/>
    <x v="16"/>
    <s v="PL_A"/>
    <x v="0"/>
    <x v="6"/>
    <s v="BIAL-4_ST_COAL_CND"/>
    <x v="0"/>
    <x v="18"/>
    <n v="21"/>
    <n v="7665"/>
    <n v="27594"/>
  </r>
  <r>
    <x v="0"/>
    <x v="1"/>
    <x v="1"/>
    <x v="8"/>
    <x v="16"/>
    <s v="PL_A"/>
    <x v="0"/>
    <x v="6"/>
    <s v="BIAL-4_ST_COAL_CND"/>
    <x v="0"/>
    <x v="2"/>
    <n v="21"/>
    <n v="7665"/>
    <n v="27594"/>
  </r>
  <r>
    <x v="0"/>
    <x v="1"/>
    <x v="1"/>
    <x v="8"/>
    <x v="16"/>
    <s v="PL_A"/>
    <x v="0"/>
    <x v="6"/>
    <s v="BIAL-4_ST_COAL_CND"/>
    <x v="0"/>
    <x v="3"/>
    <n v="21"/>
    <n v="7665"/>
    <n v="27594"/>
  </r>
  <r>
    <x v="0"/>
    <x v="1"/>
    <x v="1"/>
    <x v="8"/>
    <x v="16"/>
    <s v="PL_A"/>
    <x v="0"/>
    <x v="6"/>
    <s v="BIAL-4_ST_COAL_CND"/>
    <x v="0"/>
    <x v="4"/>
    <n v="21"/>
    <n v="7665"/>
    <n v="27594"/>
  </r>
  <r>
    <x v="0"/>
    <x v="1"/>
    <x v="1"/>
    <x v="8"/>
    <x v="16"/>
    <s v="PL_A"/>
    <x v="0"/>
    <x v="6"/>
    <s v="BIAL-4_ST_COAL_CND"/>
    <x v="0"/>
    <x v="5"/>
    <n v="21"/>
    <n v="7665"/>
    <n v="27594"/>
  </r>
  <r>
    <x v="0"/>
    <x v="1"/>
    <x v="1"/>
    <x v="8"/>
    <x v="16"/>
    <s v="PL_A"/>
    <x v="0"/>
    <x v="6"/>
    <s v="BIAL-4_ST_COAL_CND"/>
    <x v="0"/>
    <x v="6"/>
    <n v="21"/>
    <n v="7665"/>
    <n v="27594"/>
  </r>
  <r>
    <x v="0"/>
    <x v="1"/>
    <x v="1"/>
    <x v="8"/>
    <x v="16"/>
    <s v="PL_A"/>
    <x v="0"/>
    <x v="6"/>
    <s v="BIAL-4_ST_COAL_CND"/>
    <x v="0"/>
    <x v="7"/>
    <n v="21"/>
    <n v="7665"/>
    <n v="27594"/>
  </r>
  <r>
    <x v="0"/>
    <x v="1"/>
    <x v="1"/>
    <x v="8"/>
    <x v="16"/>
    <s v="PL_A"/>
    <x v="0"/>
    <x v="6"/>
    <s v="BIAL-4_ST_COAL_CND"/>
    <x v="0"/>
    <x v="8"/>
    <n v="21"/>
    <n v="7665"/>
    <n v="27594"/>
  </r>
  <r>
    <x v="0"/>
    <x v="1"/>
    <x v="1"/>
    <x v="8"/>
    <x v="16"/>
    <s v="PL_A"/>
    <x v="0"/>
    <x v="6"/>
    <s v="BIAL-4_ST_COAL_CND"/>
    <x v="0"/>
    <x v="9"/>
    <n v="21"/>
    <n v="7665"/>
    <n v="27594"/>
  </r>
  <r>
    <x v="0"/>
    <x v="1"/>
    <x v="1"/>
    <x v="8"/>
    <x v="16"/>
    <s v="PL_A"/>
    <x v="0"/>
    <x v="6"/>
    <s v="BIAL-4_ST_COAL_CND"/>
    <x v="0"/>
    <x v="10"/>
    <n v="21"/>
    <n v="7665"/>
    <n v="27594"/>
  </r>
  <r>
    <x v="0"/>
    <x v="1"/>
    <x v="1"/>
    <x v="8"/>
    <x v="16"/>
    <s v="PL_A"/>
    <x v="0"/>
    <x v="6"/>
    <s v="BIAL-4_ST_COAL_CND"/>
    <x v="0"/>
    <x v="11"/>
    <n v="21"/>
    <n v="7665"/>
    <n v="27594"/>
  </r>
  <r>
    <x v="0"/>
    <x v="1"/>
    <x v="1"/>
    <x v="8"/>
    <x v="16"/>
    <s v="PL_A"/>
    <x v="0"/>
    <x v="6"/>
    <s v="BIAL-4_ST_COAL_CND"/>
    <x v="0"/>
    <x v="12"/>
    <n v="21"/>
    <n v="7665"/>
    <n v="27594"/>
  </r>
  <r>
    <x v="0"/>
    <x v="1"/>
    <x v="1"/>
    <x v="8"/>
    <x v="16"/>
    <s v="PL_A"/>
    <x v="0"/>
    <x v="6"/>
    <s v="BIAL-4_ST_COAL_CND"/>
    <x v="0"/>
    <x v="13"/>
    <n v="21"/>
    <n v="7665"/>
    <n v="27594"/>
  </r>
  <r>
    <x v="0"/>
    <x v="1"/>
    <x v="1"/>
    <x v="8"/>
    <x v="16"/>
    <s v="PL_A"/>
    <x v="0"/>
    <x v="6"/>
    <s v="BIAL-4_ST_COAL_CND"/>
    <x v="0"/>
    <x v="14"/>
    <n v="21"/>
    <n v="7665"/>
    <n v="27594"/>
  </r>
  <r>
    <x v="0"/>
    <x v="1"/>
    <x v="1"/>
    <x v="8"/>
    <x v="16"/>
    <s v="PL_A"/>
    <x v="0"/>
    <x v="6"/>
    <s v="BIAL-4_ST_COAL_CND"/>
    <x v="0"/>
    <x v="15"/>
    <n v="21"/>
    <n v="7665"/>
    <n v="27594"/>
  </r>
  <r>
    <x v="0"/>
    <x v="1"/>
    <x v="1"/>
    <x v="8"/>
    <x v="16"/>
    <s v="PL_A"/>
    <x v="0"/>
    <x v="6"/>
    <s v="BIAL-4_ST_COAL_CND"/>
    <x v="0"/>
    <x v="16"/>
    <n v="21"/>
    <n v="7665"/>
    <n v="27594"/>
  </r>
  <r>
    <x v="0"/>
    <x v="1"/>
    <x v="1"/>
    <x v="8"/>
    <x v="16"/>
    <s v="PL_A"/>
    <x v="0"/>
    <x v="6"/>
    <s v="BIAL-4_ST_COAL_CND"/>
    <x v="0"/>
    <x v="17"/>
    <n v="21"/>
    <n v="7665"/>
    <n v="27594"/>
  </r>
  <r>
    <x v="0"/>
    <x v="1"/>
    <x v="1"/>
    <x v="8"/>
    <x v="16"/>
    <s v="PL_A"/>
    <x v="0"/>
    <x v="6"/>
    <s v="BIAL-4_ST_COAL_CND"/>
    <x v="0"/>
    <x v="19"/>
    <n v="21"/>
    <n v="7665"/>
    <n v="27594"/>
  </r>
  <r>
    <x v="0"/>
    <x v="1"/>
    <x v="1"/>
    <x v="8"/>
    <x v="16"/>
    <s v="PL_A"/>
    <x v="0"/>
    <x v="6"/>
    <s v="BIAL-4_ST_COAL_CND"/>
    <x v="0"/>
    <x v="20"/>
    <n v="21"/>
    <n v="7665"/>
    <n v="27594"/>
  </r>
  <r>
    <x v="0"/>
    <x v="1"/>
    <x v="1"/>
    <x v="8"/>
    <x v="16"/>
    <s v="PL_A"/>
    <x v="0"/>
    <x v="6"/>
    <s v="BIAL-4_ST_COAL_CND"/>
    <x v="0"/>
    <x v="21"/>
    <n v="21"/>
    <n v="7665"/>
    <n v="27594"/>
  </r>
  <r>
    <x v="0"/>
    <x v="1"/>
    <x v="1"/>
    <x v="8"/>
    <x v="16"/>
    <s v="PL_A"/>
    <x v="0"/>
    <x v="6"/>
    <s v="BIAL-4_ST_COAL_CND"/>
    <x v="0"/>
    <x v="22"/>
    <n v="21"/>
    <n v="7665"/>
    <n v="27594"/>
  </r>
  <r>
    <x v="0"/>
    <x v="1"/>
    <x v="1"/>
    <x v="8"/>
    <x v="16"/>
    <s v="PL_A"/>
    <x v="0"/>
    <x v="6"/>
    <s v="BIAL-4_ST_COAL_CND"/>
    <x v="0"/>
    <x v="23"/>
    <n v="21"/>
    <n v="7665"/>
    <n v="27594"/>
  </r>
  <r>
    <x v="0"/>
    <x v="1"/>
    <x v="1"/>
    <x v="8"/>
    <x v="16"/>
    <s v="PL_A"/>
    <x v="0"/>
    <x v="2"/>
    <s v="CHOR2-1_ST_COAL_BP"/>
    <x v="0"/>
    <x v="6"/>
    <n v="272"/>
    <n v="99280"/>
    <n v="357408"/>
  </r>
  <r>
    <x v="0"/>
    <x v="1"/>
    <x v="1"/>
    <x v="8"/>
    <x v="16"/>
    <s v="PL_A"/>
    <x v="0"/>
    <x v="2"/>
    <s v="CHOR2-1_ST_COAL_BP"/>
    <x v="0"/>
    <x v="7"/>
    <n v="272"/>
    <n v="99280"/>
    <n v="357408"/>
  </r>
  <r>
    <x v="0"/>
    <x v="1"/>
    <x v="1"/>
    <x v="8"/>
    <x v="16"/>
    <s v="PL_A"/>
    <x v="0"/>
    <x v="2"/>
    <s v="CHOR2-1_ST_COAL_BP"/>
    <x v="0"/>
    <x v="8"/>
    <n v="272"/>
    <n v="99280"/>
    <n v="357408"/>
  </r>
  <r>
    <x v="0"/>
    <x v="1"/>
    <x v="1"/>
    <x v="8"/>
    <x v="16"/>
    <s v="PL_A"/>
    <x v="0"/>
    <x v="2"/>
    <s v="CHOR2-1_ST_COAL_BP"/>
    <x v="0"/>
    <x v="15"/>
    <n v="243.51033636332599"/>
    <n v="88881.272772614"/>
    <n v="319972.58198140998"/>
  </r>
  <r>
    <x v="0"/>
    <x v="1"/>
    <x v="1"/>
    <x v="8"/>
    <x v="16"/>
    <s v="PL_A"/>
    <x v="0"/>
    <x v="0"/>
    <s v="CORZ-3_ST_COAL_EXT"/>
    <x v="0"/>
    <x v="6"/>
    <n v="30"/>
    <n v="10950"/>
    <n v="39420"/>
  </r>
  <r>
    <x v="0"/>
    <x v="1"/>
    <x v="1"/>
    <x v="8"/>
    <x v="16"/>
    <s v="PL_A"/>
    <x v="0"/>
    <x v="0"/>
    <s v="CORZ-3_ST_COAL_EXT"/>
    <x v="0"/>
    <x v="7"/>
    <n v="30"/>
    <n v="10950"/>
    <n v="39420"/>
  </r>
  <r>
    <x v="0"/>
    <x v="1"/>
    <x v="1"/>
    <x v="8"/>
    <x v="16"/>
    <s v="PL_A"/>
    <x v="0"/>
    <x v="0"/>
    <s v="CORZ-3_ST_COAL_EXT"/>
    <x v="0"/>
    <x v="8"/>
    <n v="30"/>
    <n v="10950"/>
    <n v="39420"/>
  </r>
  <r>
    <x v="0"/>
    <x v="1"/>
    <x v="1"/>
    <x v="8"/>
    <x v="16"/>
    <s v="PL_A"/>
    <x v="0"/>
    <x v="0"/>
    <s v="DOLN-1_ST_COAL_EXT"/>
    <x v="0"/>
    <x v="0"/>
    <n v="204"/>
    <n v="74460"/>
    <n v="268056"/>
  </r>
  <r>
    <x v="0"/>
    <x v="1"/>
    <x v="1"/>
    <x v="8"/>
    <x v="16"/>
    <s v="PL_A"/>
    <x v="0"/>
    <x v="0"/>
    <s v="DOLN-1_ST_COAL_EXT"/>
    <x v="0"/>
    <x v="1"/>
    <n v="204"/>
    <n v="74460"/>
    <n v="268056"/>
  </r>
  <r>
    <x v="0"/>
    <x v="1"/>
    <x v="1"/>
    <x v="8"/>
    <x v="16"/>
    <s v="PL_A"/>
    <x v="0"/>
    <x v="0"/>
    <s v="DOLN-1_ST_COAL_EXT"/>
    <x v="0"/>
    <x v="18"/>
    <n v="204"/>
    <n v="74460"/>
    <n v="268056"/>
  </r>
  <r>
    <x v="0"/>
    <x v="1"/>
    <x v="1"/>
    <x v="8"/>
    <x v="16"/>
    <s v="PL_A"/>
    <x v="0"/>
    <x v="0"/>
    <s v="DOLN-1_ST_COAL_EXT"/>
    <x v="0"/>
    <x v="2"/>
    <n v="204"/>
    <n v="74460"/>
    <n v="268056"/>
  </r>
  <r>
    <x v="0"/>
    <x v="1"/>
    <x v="1"/>
    <x v="8"/>
    <x v="16"/>
    <s v="PL_A"/>
    <x v="0"/>
    <x v="0"/>
    <s v="DOLN-1_ST_COAL_EXT"/>
    <x v="0"/>
    <x v="3"/>
    <n v="204"/>
    <n v="74460"/>
    <n v="268056"/>
  </r>
  <r>
    <x v="0"/>
    <x v="1"/>
    <x v="1"/>
    <x v="8"/>
    <x v="16"/>
    <s v="PL_A"/>
    <x v="0"/>
    <x v="0"/>
    <s v="DOLN-1_ST_COAL_EXT"/>
    <x v="0"/>
    <x v="4"/>
    <n v="204"/>
    <n v="74460"/>
    <n v="268056"/>
  </r>
  <r>
    <x v="0"/>
    <x v="1"/>
    <x v="1"/>
    <x v="8"/>
    <x v="16"/>
    <s v="PL_A"/>
    <x v="0"/>
    <x v="0"/>
    <s v="DOLN-1_ST_COAL_EXT"/>
    <x v="0"/>
    <x v="5"/>
    <n v="204"/>
    <n v="74460"/>
    <n v="268056"/>
  </r>
  <r>
    <x v="0"/>
    <x v="1"/>
    <x v="1"/>
    <x v="8"/>
    <x v="16"/>
    <s v="PL_A"/>
    <x v="0"/>
    <x v="0"/>
    <s v="DOLN-1_ST_COAL_EXT"/>
    <x v="0"/>
    <x v="6"/>
    <n v="204"/>
    <n v="74460"/>
    <n v="268056"/>
  </r>
  <r>
    <x v="0"/>
    <x v="1"/>
    <x v="1"/>
    <x v="8"/>
    <x v="16"/>
    <s v="PL_A"/>
    <x v="0"/>
    <x v="0"/>
    <s v="DOLN-1_ST_COAL_EXT"/>
    <x v="0"/>
    <x v="7"/>
    <n v="204"/>
    <n v="74460"/>
    <n v="268056"/>
  </r>
  <r>
    <x v="0"/>
    <x v="1"/>
    <x v="1"/>
    <x v="8"/>
    <x v="16"/>
    <s v="PL_A"/>
    <x v="0"/>
    <x v="0"/>
    <s v="DOLN-1_ST_COAL_EXT"/>
    <x v="0"/>
    <x v="8"/>
    <n v="204"/>
    <n v="74460"/>
    <n v="268056"/>
  </r>
  <r>
    <x v="0"/>
    <x v="1"/>
    <x v="1"/>
    <x v="8"/>
    <x v="16"/>
    <s v="PL_A"/>
    <x v="0"/>
    <x v="0"/>
    <s v="DOLN-1_ST_COAL_EXT"/>
    <x v="0"/>
    <x v="9"/>
    <n v="204"/>
    <n v="74460"/>
    <n v="268056"/>
  </r>
  <r>
    <x v="0"/>
    <x v="1"/>
    <x v="1"/>
    <x v="8"/>
    <x v="16"/>
    <s v="PL_A"/>
    <x v="0"/>
    <x v="0"/>
    <s v="DOLN-1_ST_COAL_EXT"/>
    <x v="0"/>
    <x v="10"/>
    <n v="204"/>
    <n v="74460"/>
    <n v="268056"/>
  </r>
  <r>
    <x v="0"/>
    <x v="1"/>
    <x v="1"/>
    <x v="8"/>
    <x v="16"/>
    <s v="PL_A"/>
    <x v="0"/>
    <x v="0"/>
    <s v="DOLN-1_ST_COAL_EXT"/>
    <x v="0"/>
    <x v="11"/>
    <n v="204"/>
    <n v="74460"/>
    <n v="268056"/>
  </r>
  <r>
    <x v="0"/>
    <x v="1"/>
    <x v="1"/>
    <x v="8"/>
    <x v="16"/>
    <s v="PL_A"/>
    <x v="0"/>
    <x v="0"/>
    <s v="DOLN-1_ST_COAL_EXT"/>
    <x v="0"/>
    <x v="12"/>
    <n v="204"/>
    <n v="74460"/>
    <n v="268056"/>
  </r>
  <r>
    <x v="0"/>
    <x v="1"/>
    <x v="1"/>
    <x v="8"/>
    <x v="16"/>
    <s v="PL_A"/>
    <x v="0"/>
    <x v="0"/>
    <s v="DOLN-1_ST_COAL_EXT"/>
    <x v="0"/>
    <x v="13"/>
    <n v="204"/>
    <n v="74460"/>
    <n v="268056"/>
  </r>
  <r>
    <x v="0"/>
    <x v="1"/>
    <x v="1"/>
    <x v="8"/>
    <x v="16"/>
    <s v="PL_A"/>
    <x v="0"/>
    <x v="0"/>
    <s v="DOLN-1_ST_COAL_EXT"/>
    <x v="0"/>
    <x v="14"/>
    <n v="204"/>
    <n v="74460"/>
    <n v="268056"/>
  </r>
  <r>
    <x v="0"/>
    <x v="1"/>
    <x v="1"/>
    <x v="8"/>
    <x v="16"/>
    <s v="PL_A"/>
    <x v="0"/>
    <x v="0"/>
    <s v="DOLN-1_ST_COAL_EXT"/>
    <x v="0"/>
    <x v="15"/>
    <n v="204"/>
    <n v="74460"/>
    <n v="268056"/>
  </r>
  <r>
    <x v="0"/>
    <x v="1"/>
    <x v="1"/>
    <x v="8"/>
    <x v="16"/>
    <s v="PL_A"/>
    <x v="0"/>
    <x v="0"/>
    <s v="DOLN-1_ST_COAL_EXT"/>
    <x v="0"/>
    <x v="16"/>
    <n v="204"/>
    <n v="74460"/>
    <n v="268056"/>
  </r>
  <r>
    <x v="0"/>
    <x v="1"/>
    <x v="1"/>
    <x v="8"/>
    <x v="16"/>
    <s v="PL_A"/>
    <x v="0"/>
    <x v="0"/>
    <s v="DOLN-1_ST_COAL_EXT"/>
    <x v="0"/>
    <x v="17"/>
    <n v="204"/>
    <n v="74460"/>
    <n v="268056"/>
  </r>
  <r>
    <x v="0"/>
    <x v="1"/>
    <x v="1"/>
    <x v="8"/>
    <x v="16"/>
    <s v="PL_A"/>
    <x v="0"/>
    <x v="0"/>
    <s v="DOLN-1_ST_COAL_EXT"/>
    <x v="0"/>
    <x v="19"/>
    <n v="204"/>
    <n v="74460"/>
    <n v="268056"/>
  </r>
  <r>
    <x v="0"/>
    <x v="1"/>
    <x v="1"/>
    <x v="8"/>
    <x v="16"/>
    <s v="PL_A"/>
    <x v="0"/>
    <x v="0"/>
    <s v="DOLN-1_ST_COAL_EXT"/>
    <x v="0"/>
    <x v="20"/>
    <n v="204"/>
    <n v="74460"/>
    <n v="268056"/>
  </r>
  <r>
    <x v="0"/>
    <x v="1"/>
    <x v="1"/>
    <x v="8"/>
    <x v="16"/>
    <s v="PL_A"/>
    <x v="0"/>
    <x v="0"/>
    <s v="DOLN-1_ST_COAL_EXT"/>
    <x v="0"/>
    <x v="21"/>
    <n v="204"/>
    <n v="74460"/>
    <n v="268056"/>
  </r>
  <r>
    <x v="0"/>
    <x v="1"/>
    <x v="1"/>
    <x v="8"/>
    <x v="16"/>
    <s v="PL_A"/>
    <x v="0"/>
    <x v="0"/>
    <s v="DOLN-1_ST_COAL_EXT"/>
    <x v="0"/>
    <x v="22"/>
    <n v="204"/>
    <n v="74460"/>
    <n v="268056"/>
  </r>
  <r>
    <x v="0"/>
    <x v="1"/>
    <x v="1"/>
    <x v="8"/>
    <x v="16"/>
    <s v="PL_A"/>
    <x v="0"/>
    <x v="0"/>
    <s v="DOLN-1_ST_COAL_EXT"/>
    <x v="0"/>
    <x v="23"/>
    <n v="204"/>
    <n v="74460"/>
    <n v="268056"/>
  </r>
  <r>
    <x v="0"/>
    <x v="1"/>
    <x v="1"/>
    <x v="8"/>
    <x v="16"/>
    <s v="PL_A"/>
    <x v="0"/>
    <x v="0"/>
    <s v="KARO-1_ST_COAL_EXT"/>
    <x v="0"/>
    <x v="6"/>
    <n v="48"/>
    <n v="17520"/>
    <n v="63072"/>
  </r>
  <r>
    <x v="0"/>
    <x v="1"/>
    <x v="1"/>
    <x v="8"/>
    <x v="16"/>
    <s v="PL_A"/>
    <x v="0"/>
    <x v="0"/>
    <s v="KARO-1_ST_COAL_EXT"/>
    <x v="0"/>
    <x v="7"/>
    <n v="48"/>
    <n v="17520"/>
    <n v="63072"/>
  </r>
  <r>
    <x v="0"/>
    <x v="1"/>
    <x v="1"/>
    <x v="8"/>
    <x v="16"/>
    <s v="PL_A"/>
    <x v="0"/>
    <x v="0"/>
    <s v="KARO-1_ST_COAL_EXT"/>
    <x v="0"/>
    <x v="8"/>
    <n v="48"/>
    <n v="17520"/>
    <n v="63072"/>
  </r>
  <r>
    <x v="0"/>
    <x v="1"/>
    <x v="1"/>
    <x v="8"/>
    <x v="16"/>
    <s v="PL_A"/>
    <x v="0"/>
    <x v="0"/>
    <s v="KARO-1_ST_COAL_EXT"/>
    <x v="0"/>
    <x v="15"/>
    <n v="48"/>
    <n v="17520"/>
    <n v="63072"/>
  </r>
  <r>
    <x v="0"/>
    <x v="1"/>
    <x v="1"/>
    <x v="8"/>
    <x v="16"/>
    <s v="PL_A"/>
    <x v="0"/>
    <x v="0"/>
    <s v="KARO-1_ST_COAL_EXT"/>
    <x v="0"/>
    <x v="16"/>
    <n v="16.0524492067868"/>
    <n v="5859.1439604771904"/>
    <n v="21092.918257717902"/>
  </r>
  <r>
    <x v="0"/>
    <x v="1"/>
    <x v="1"/>
    <x v="8"/>
    <x v="16"/>
    <s v="PL_A"/>
    <x v="0"/>
    <x v="2"/>
    <s v="KATO_ST_COAL_BP"/>
    <x v="0"/>
    <x v="6"/>
    <n v="123"/>
    <n v="44895"/>
    <n v="161622"/>
  </r>
  <r>
    <x v="0"/>
    <x v="1"/>
    <x v="1"/>
    <x v="8"/>
    <x v="16"/>
    <s v="PL_A"/>
    <x v="0"/>
    <x v="2"/>
    <s v="KATO_ST_COAL_BP"/>
    <x v="0"/>
    <x v="7"/>
    <n v="123"/>
    <n v="44895"/>
    <n v="161622"/>
  </r>
  <r>
    <x v="0"/>
    <x v="1"/>
    <x v="1"/>
    <x v="8"/>
    <x v="16"/>
    <s v="PL_A"/>
    <x v="0"/>
    <x v="2"/>
    <s v="KATO_ST_COAL_BP"/>
    <x v="0"/>
    <x v="8"/>
    <n v="123"/>
    <n v="44895"/>
    <n v="161622"/>
  </r>
  <r>
    <x v="0"/>
    <x v="1"/>
    <x v="1"/>
    <x v="8"/>
    <x v="16"/>
    <s v="PL_A"/>
    <x v="0"/>
    <x v="2"/>
    <s v="KATO_ST_COAL_BP"/>
    <x v="0"/>
    <x v="9"/>
    <n v="25.956751373299799"/>
    <n v="9474.2142512544106"/>
    <n v="34107.171304515898"/>
  </r>
  <r>
    <x v="0"/>
    <x v="1"/>
    <x v="1"/>
    <x v="8"/>
    <x v="16"/>
    <s v="PL_A"/>
    <x v="0"/>
    <x v="2"/>
    <s v="KATO_ST_COAL_BP"/>
    <x v="0"/>
    <x v="15"/>
    <n v="123"/>
    <n v="44895"/>
    <n v="161622"/>
  </r>
  <r>
    <x v="0"/>
    <x v="1"/>
    <x v="1"/>
    <x v="8"/>
    <x v="16"/>
    <s v="PL_A"/>
    <x v="0"/>
    <x v="2"/>
    <s v="KATO_ST_COAL_BP"/>
    <x v="0"/>
    <x v="16"/>
    <n v="123"/>
    <n v="44895"/>
    <n v="161622"/>
  </r>
  <r>
    <x v="0"/>
    <x v="1"/>
    <x v="1"/>
    <x v="8"/>
    <x v="16"/>
    <s v="PL_A"/>
    <x v="0"/>
    <x v="0"/>
    <s v="KOZI-1_ST_COAL_EXT"/>
    <x v="0"/>
    <x v="0"/>
    <n v="200"/>
    <n v="73000"/>
    <n v="262800"/>
  </r>
  <r>
    <x v="0"/>
    <x v="1"/>
    <x v="1"/>
    <x v="8"/>
    <x v="16"/>
    <s v="PL_A"/>
    <x v="0"/>
    <x v="0"/>
    <s v="KOZI-1_ST_COAL_EXT"/>
    <x v="0"/>
    <x v="1"/>
    <n v="200"/>
    <n v="73000"/>
    <n v="262800"/>
  </r>
  <r>
    <x v="0"/>
    <x v="1"/>
    <x v="1"/>
    <x v="8"/>
    <x v="16"/>
    <s v="PL_A"/>
    <x v="0"/>
    <x v="0"/>
    <s v="KOZI-1_ST_COAL_EXT"/>
    <x v="0"/>
    <x v="18"/>
    <n v="200"/>
    <n v="73000"/>
    <n v="262800"/>
  </r>
  <r>
    <x v="0"/>
    <x v="1"/>
    <x v="1"/>
    <x v="8"/>
    <x v="16"/>
    <s v="PL_A"/>
    <x v="0"/>
    <x v="0"/>
    <s v="KOZI-1_ST_COAL_EXT"/>
    <x v="0"/>
    <x v="2"/>
    <n v="200"/>
    <n v="73000"/>
    <n v="262800"/>
  </r>
  <r>
    <x v="0"/>
    <x v="1"/>
    <x v="1"/>
    <x v="8"/>
    <x v="16"/>
    <s v="PL_A"/>
    <x v="0"/>
    <x v="0"/>
    <s v="KOZI-1_ST_COAL_EXT"/>
    <x v="0"/>
    <x v="3"/>
    <n v="200"/>
    <n v="73000"/>
    <n v="262800"/>
  </r>
  <r>
    <x v="0"/>
    <x v="1"/>
    <x v="1"/>
    <x v="8"/>
    <x v="16"/>
    <s v="PL_A"/>
    <x v="0"/>
    <x v="0"/>
    <s v="KOZI-1_ST_COAL_EXT"/>
    <x v="0"/>
    <x v="4"/>
    <n v="200"/>
    <n v="73000"/>
    <n v="262800"/>
  </r>
  <r>
    <x v="0"/>
    <x v="1"/>
    <x v="1"/>
    <x v="8"/>
    <x v="16"/>
    <s v="PL_A"/>
    <x v="0"/>
    <x v="0"/>
    <s v="KOZI-1_ST_COAL_EXT"/>
    <x v="0"/>
    <x v="5"/>
    <n v="200"/>
    <n v="73000"/>
    <n v="262800"/>
  </r>
  <r>
    <x v="0"/>
    <x v="1"/>
    <x v="1"/>
    <x v="8"/>
    <x v="16"/>
    <s v="PL_A"/>
    <x v="0"/>
    <x v="0"/>
    <s v="KOZI-1_ST_COAL_EXT"/>
    <x v="0"/>
    <x v="6"/>
    <n v="200"/>
    <n v="73000"/>
    <n v="262800"/>
  </r>
  <r>
    <x v="0"/>
    <x v="1"/>
    <x v="1"/>
    <x v="8"/>
    <x v="16"/>
    <s v="PL_A"/>
    <x v="0"/>
    <x v="0"/>
    <s v="KOZI-1_ST_COAL_EXT"/>
    <x v="0"/>
    <x v="7"/>
    <n v="200"/>
    <n v="73000"/>
    <n v="262800"/>
  </r>
  <r>
    <x v="0"/>
    <x v="1"/>
    <x v="1"/>
    <x v="8"/>
    <x v="16"/>
    <s v="PL_A"/>
    <x v="0"/>
    <x v="0"/>
    <s v="KOZI-1_ST_COAL_EXT"/>
    <x v="0"/>
    <x v="8"/>
    <n v="200"/>
    <n v="73000"/>
    <n v="262800"/>
  </r>
  <r>
    <x v="0"/>
    <x v="1"/>
    <x v="1"/>
    <x v="8"/>
    <x v="16"/>
    <s v="PL_A"/>
    <x v="0"/>
    <x v="0"/>
    <s v="KOZI-1_ST_COAL_EXT"/>
    <x v="0"/>
    <x v="9"/>
    <n v="200"/>
    <n v="73000"/>
    <n v="262800"/>
  </r>
  <r>
    <x v="0"/>
    <x v="1"/>
    <x v="1"/>
    <x v="8"/>
    <x v="16"/>
    <s v="PL_A"/>
    <x v="0"/>
    <x v="0"/>
    <s v="KOZI-1_ST_COAL_EXT"/>
    <x v="0"/>
    <x v="10"/>
    <n v="200"/>
    <n v="73000"/>
    <n v="262800"/>
  </r>
  <r>
    <x v="0"/>
    <x v="1"/>
    <x v="1"/>
    <x v="8"/>
    <x v="16"/>
    <s v="PL_A"/>
    <x v="0"/>
    <x v="0"/>
    <s v="KOZI-1_ST_COAL_EXT"/>
    <x v="0"/>
    <x v="11"/>
    <n v="200"/>
    <n v="73000"/>
    <n v="262800"/>
  </r>
  <r>
    <x v="0"/>
    <x v="1"/>
    <x v="1"/>
    <x v="8"/>
    <x v="16"/>
    <s v="PL_A"/>
    <x v="0"/>
    <x v="0"/>
    <s v="KOZI-1_ST_COAL_EXT"/>
    <x v="0"/>
    <x v="12"/>
    <n v="200"/>
    <n v="73000"/>
    <n v="262800"/>
  </r>
  <r>
    <x v="0"/>
    <x v="1"/>
    <x v="1"/>
    <x v="8"/>
    <x v="16"/>
    <s v="PL_A"/>
    <x v="0"/>
    <x v="0"/>
    <s v="KOZI-1_ST_COAL_EXT"/>
    <x v="0"/>
    <x v="13"/>
    <n v="200"/>
    <n v="73000"/>
    <n v="262800"/>
  </r>
  <r>
    <x v="0"/>
    <x v="1"/>
    <x v="1"/>
    <x v="8"/>
    <x v="16"/>
    <s v="PL_A"/>
    <x v="0"/>
    <x v="0"/>
    <s v="KOZI-1_ST_COAL_EXT"/>
    <x v="0"/>
    <x v="14"/>
    <n v="200"/>
    <n v="73000"/>
    <n v="262800"/>
  </r>
  <r>
    <x v="0"/>
    <x v="1"/>
    <x v="1"/>
    <x v="8"/>
    <x v="16"/>
    <s v="PL_A"/>
    <x v="0"/>
    <x v="0"/>
    <s v="KOZI-1_ST_COAL_EXT"/>
    <x v="0"/>
    <x v="15"/>
    <n v="200"/>
    <n v="73000"/>
    <n v="262800"/>
  </r>
  <r>
    <x v="0"/>
    <x v="1"/>
    <x v="1"/>
    <x v="8"/>
    <x v="16"/>
    <s v="PL_A"/>
    <x v="0"/>
    <x v="0"/>
    <s v="KOZI-1_ST_COAL_EXT"/>
    <x v="0"/>
    <x v="16"/>
    <n v="200"/>
    <n v="73000"/>
    <n v="262800"/>
  </r>
  <r>
    <x v="0"/>
    <x v="1"/>
    <x v="1"/>
    <x v="8"/>
    <x v="16"/>
    <s v="PL_A"/>
    <x v="0"/>
    <x v="0"/>
    <s v="KOZI-1_ST_COAL_EXT"/>
    <x v="0"/>
    <x v="17"/>
    <n v="200"/>
    <n v="73000"/>
    <n v="262800"/>
  </r>
  <r>
    <x v="0"/>
    <x v="1"/>
    <x v="1"/>
    <x v="8"/>
    <x v="16"/>
    <s v="PL_A"/>
    <x v="0"/>
    <x v="0"/>
    <s v="KOZI-1_ST_COAL_EXT"/>
    <x v="0"/>
    <x v="19"/>
    <n v="200"/>
    <n v="73000"/>
    <n v="262800"/>
  </r>
  <r>
    <x v="0"/>
    <x v="1"/>
    <x v="1"/>
    <x v="8"/>
    <x v="16"/>
    <s v="PL_A"/>
    <x v="0"/>
    <x v="0"/>
    <s v="KOZI-1_ST_COAL_EXT"/>
    <x v="0"/>
    <x v="20"/>
    <n v="200"/>
    <n v="73000"/>
    <n v="262800"/>
  </r>
  <r>
    <x v="0"/>
    <x v="1"/>
    <x v="1"/>
    <x v="8"/>
    <x v="16"/>
    <s v="PL_A"/>
    <x v="0"/>
    <x v="0"/>
    <s v="KOZI-1_ST_COAL_EXT"/>
    <x v="0"/>
    <x v="21"/>
    <n v="200"/>
    <n v="73000"/>
    <n v="262800"/>
  </r>
  <r>
    <x v="0"/>
    <x v="1"/>
    <x v="1"/>
    <x v="8"/>
    <x v="16"/>
    <s v="PL_A"/>
    <x v="0"/>
    <x v="0"/>
    <s v="KOZI-1_ST_COAL_EXT"/>
    <x v="0"/>
    <x v="22"/>
    <n v="200"/>
    <n v="73000"/>
    <n v="262800"/>
  </r>
  <r>
    <x v="0"/>
    <x v="1"/>
    <x v="1"/>
    <x v="8"/>
    <x v="16"/>
    <s v="PL_A"/>
    <x v="0"/>
    <x v="0"/>
    <s v="KOZI-1_ST_COAL_EXT"/>
    <x v="0"/>
    <x v="23"/>
    <n v="200"/>
    <n v="73000"/>
    <n v="262800"/>
  </r>
  <r>
    <x v="0"/>
    <x v="1"/>
    <x v="1"/>
    <x v="8"/>
    <x v="16"/>
    <s v="PL_A"/>
    <x v="0"/>
    <x v="2"/>
    <s v="KRLEG-1_ST_COAL_BP"/>
    <x v="0"/>
    <x v="6"/>
    <n v="215"/>
    <n v="78475"/>
    <n v="282510"/>
  </r>
  <r>
    <x v="0"/>
    <x v="1"/>
    <x v="1"/>
    <x v="8"/>
    <x v="16"/>
    <s v="PL_A"/>
    <x v="0"/>
    <x v="2"/>
    <s v="KRLEG-1_ST_COAL_BP"/>
    <x v="0"/>
    <x v="7"/>
    <n v="215"/>
    <n v="78475"/>
    <n v="282510"/>
  </r>
  <r>
    <x v="0"/>
    <x v="1"/>
    <x v="1"/>
    <x v="8"/>
    <x v="16"/>
    <s v="PL_A"/>
    <x v="0"/>
    <x v="2"/>
    <s v="KRLEG-1_ST_COAL_BP"/>
    <x v="0"/>
    <x v="8"/>
    <n v="215"/>
    <n v="78475"/>
    <n v="282510"/>
  </r>
  <r>
    <x v="0"/>
    <x v="1"/>
    <x v="1"/>
    <x v="8"/>
    <x v="16"/>
    <s v="PL_A"/>
    <x v="0"/>
    <x v="2"/>
    <s v="KRLEG-1_ST_COAL_BP"/>
    <x v="0"/>
    <x v="15"/>
    <n v="215"/>
    <n v="78475"/>
    <n v="282510"/>
  </r>
  <r>
    <x v="0"/>
    <x v="1"/>
    <x v="1"/>
    <x v="8"/>
    <x v="16"/>
    <s v="PL_A"/>
    <x v="0"/>
    <x v="0"/>
    <s v="KRLEG-3_ST_COAL_EXT"/>
    <x v="0"/>
    <x v="5"/>
    <n v="191"/>
    <n v="69715"/>
    <n v="250974"/>
  </r>
  <r>
    <x v="0"/>
    <x v="1"/>
    <x v="1"/>
    <x v="8"/>
    <x v="16"/>
    <s v="PL_A"/>
    <x v="0"/>
    <x v="0"/>
    <s v="KRLEG-3_ST_COAL_EXT"/>
    <x v="0"/>
    <x v="6"/>
    <n v="191"/>
    <n v="69715"/>
    <n v="250974"/>
  </r>
  <r>
    <x v="0"/>
    <x v="1"/>
    <x v="1"/>
    <x v="8"/>
    <x v="16"/>
    <s v="PL_A"/>
    <x v="0"/>
    <x v="0"/>
    <s v="KRLEG-3_ST_COAL_EXT"/>
    <x v="0"/>
    <x v="7"/>
    <n v="191"/>
    <n v="69715"/>
    <n v="250974"/>
  </r>
  <r>
    <x v="0"/>
    <x v="1"/>
    <x v="1"/>
    <x v="8"/>
    <x v="16"/>
    <s v="PL_A"/>
    <x v="0"/>
    <x v="0"/>
    <s v="KRLEG-3_ST_COAL_EXT"/>
    <x v="0"/>
    <x v="8"/>
    <n v="191"/>
    <n v="69715"/>
    <n v="250974"/>
  </r>
  <r>
    <x v="0"/>
    <x v="1"/>
    <x v="1"/>
    <x v="8"/>
    <x v="16"/>
    <s v="PL_A"/>
    <x v="0"/>
    <x v="0"/>
    <s v="KRLEG-3_ST_COAL_EXT"/>
    <x v="0"/>
    <x v="9"/>
    <n v="191"/>
    <n v="69715"/>
    <n v="250974"/>
  </r>
  <r>
    <x v="0"/>
    <x v="1"/>
    <x v="1"/>
    <x v="8"/>
    <x v="16"/>
    <s v="PL_A"/>
    <x v="0"/>
    <x v="0"/>
    <s v="KRLEG-3_ST_COAL_EXT"/>
    <x v="0"/>
    <x v="14"/>
    <n v="191"/>
    <n v="69715"/>
    <n v="250974"/>
  </r>
  <r>
    <x v="0"/>
    <x v="1"/>
    <x v="1"/>
    <x v="8"/>
    <x v="16"/>
    <s v="PL_A"/>
    <x v="0"/>
    <x v="0"/>
    <s v="KRLEG-3_ST_COAL_EXT"/>
    <x v="0"/>
    <x v="15"/>
    <n v="191"/>
    <n v="69715"/>
    <n v="250974"/>
  </r>
  <r>
    <x v="0"/>
    <x v="1"/>
    <x v="1"/>
    <x v="8"/>
    <x v="16"/>
    <s v="PL_A"/>
    <x v="0"/>
    <x v="0"/>
    <s v="KRLEG-3_ST_COAL_EXT"/>
    <x v="0"/>
    <x v="16"/>
    <n v="191"/>
    <n v="69715"/>
    <n v="250974"/>
  </r>
  <r>
    <x v="0"/>
    <x v="1"/>
    <x v="1"/>
    <x v="8"/>
    <x v="16"/>
    <s v="PL_A"/>
    <x v="0"/>
    <x v="0"/>
    <s v="KRLEG-3_ST_COAL_EXT"/>
    <x v="0"/>
    <x v="17"/>
    <n v="191"/>
    <n v="69715"/>
    <n v="250974"/>
  </r>
  <r>
    <x v="0"/>
    <x v="1"/>
    <x v="1"/>
    <x v="8"/>
    <x v="16"/>
    <s v="PL_A"/>
    <x v="0"/>
    <x v="0"/>
    <s v="LAZI-1_ST_COAL_EXT"/>
    <x v="0"/>
    <x v="0"/>
    <n v="115"/>
    <n v="41975"/>
    <n v="151110"/>
  </r>
  <r>
    <x v="0"/>
    <x v="1"/>
    <x v="1"/>
    <x v="8"/>
    <x v="16"/>
    <s v="PL_A"/>
    <x v="0"/>
    <x v="0"/>
    <s v="LAZI-1_ST_COAL_EXT"/>
    <x v="0"/>
    <x v="1"/>
    <n v="115"/>
    <n v="41975"/>
    <n v="151110"/>
  </r>
  <r>
    <x v="0"/>
    <x v="1"/>
    <x v="1"/>
    <x v="8"/>
    <x v="16"/>
    <s v="PL_A"/>
    <x v="0"/>
    <x v="0"/>
    <s v="LAZI-1_ST_COAL_EXT"/>
    <x v="0"/>
    <x v="18"/>
    <n v="115"/>
    <n v="41975"/>
    <n v="151110"/>
  </r>
  <r>
    <x v="0"/>
    <x v="1"/>
    <x v="1"/>
    <x v="8"/>
    <x v="16"/>
    <s v="PL_A"/>
    <x v="0"/>
    <x v="0"/>
    <s v="LAZI-1_ST_COAL_EXT"/>
    <x v="0"/>
    <x v="2"/>
    <n v="115"/>
    <n v="41975"/>
    <n v="151110"/>
  </r>
  <r>
    <x v="0"/>
    <x v="1"/>
    <x v="1"/>
    <x v="8"/>
    <x v="16"/>
    <s v="PL_A"/>
    <x v="0"/>
    <x v="0"/>
    <s v="LAZI-1_ST_COAL_EXT"/>
    <x v="0"/>
    <x v="3"/>
    <n v="115"/>
    <n v="41975"/>
    <n v="151110"/>
  </r>
  <r>
    <x v="0"/>
    <x v="1"/>
    <x v="1"/>
    <x v="8"/>
    <x v="16"/>
    <s v="PL_A"/>
    <x v="0"/>
    <x v="0"/>
    <s v="LAZI-1_ST_COAL_EXT"/>
    <x v="0"/>
    <x v="4"/>
    <n v="115"/>
    <n v="41975"/>
    <n v="151110"/>
  </r>
  <r>
    <x v="0"/>
    <x v="1"/>
    <x v="1"/>
    <x v="8"/>
    <x v="16"/>
    <s v="PL_A"/>
    <x v="0"/>
    <x v="0"/>
    <s v="LAZI-1_ST_COAL_EXT"/>
    <x v="0"/>
    <x v="5"/>
    <n v="115"/>
    <n v="41975"/>
    <n v="151110"/>
  </r>
  <r>
    <x v="0"/>
    <x v="1"/>
    <x v="1"/>
    <x v="8"/>
    <x v="16"/>
    <s v="PL_A"/>
    <x v="0"/>
    <x v="0"/>
    <s v="LAZI-1_ST_COAL_EXT"/>
    <x v="0"/>
    <x v="6"/>
    <n v="115"/>
    <n v="41975"/>
    <n v="151110"/>
  </r>
  <r>
    <x v="0"/>
    <x v="1"/>
    <x v="1"/>
    <x v="8"/>
    <x v="16"/>
    <s v="PL_A"/>
    <x v="0"/>
    <x v="0"/>
    <s v="LAZI-1_ST_COAL_EXT"/>
    <x v="0"/>
    <x v="7"/>
    <n v="115"/>
    <n v="41975"/>
    <n v="151110"/>
  </r>
  <r>
    <x v="0"/>
    <x v="1"/>
    <x v="1"/>
    <x v="8"/>
    <x v="16"/>
    <s v="PL_A"/>
    <x v="0"/>
    <x v="0"/>
    <s v="LAZI-1_ST_COAL_EXT"/>
    <x v="0"/>
    <x v="8"/>
    <n v="115"/>
    <n v="41975"/>
    <n v="151110"/>
  </r>
  <r>
    <x v="0"/>
    <x v="1"/>
    <x v="1"/>
    <x v="8"/>
    <x v="16"/>
    <s v="PL_A"/>
    <x v="0"/>
    <x v="0"/>
    <s v="LAZI-1_ST_COAL_EXT"/>
    <x v="0"/>
    <x v="9"/>
    <n v="115"/>
    <n v="41975"/>
    <n v="151110"/>
  </r>
  <r>
    <x v="0"/>
    <x v="1"/>
    <x v="1"/>
    <x v="8"/>
    <x v="16"/>
    <s v="PL_A"/>
    <x v="0"/>
    <x v="0"/>
    <s v="LAZI-1_ST_COAL_EXT"/>
    <x v="0"/>
    <x v="10"/>
    <n v="115"/>
    <n v="41975"/>
    <n v="151110"/>
  </r>
  <r>
    <x v="0"/>
    <x v="1"/>
    <x v="1"/>
    <x v="8"/>
    <x v="16"/>
    <s v="PL_A"/>
    <x v="0"/>
    <x v="0"/>
    <s v="LAZI-1_ST_COAL_EXT"/>
    <x v="0"/>
    <x v="11"/>
    <n v="115"/>
    <n v="41975"/>
    <n v="151110"/>
  </r>
  <r>
    <x v="0"/>
    <x v="1"/>
    <x v="1"/>
    <x v="8"/>
    <x v="16"/>
    <s v="PL_A"/>
    <x v="0"/>
    <x v="0"/>
    <s v="LAZI-1_ST_COAL_EXT"/>
    <x v="0"/>
    <x v="12"/>
    <n v="115"/>
    <n v="41975"/>
    <n v="151110"/>
  </r>
  <r>
    <x v="0"/>
    <x v="1"/>
    <x v="1"/>
    <x v="8"/>
    <x v="16"/>
    <s v="PL_A"/>
    <x v="0"/>
    <x v="0"/>
    <s v="LAZI-1_ST_COAL_EXT"/>
    <x v="0"/>
    <x v="13"/>
    <n v="115"/>
    <n v="41975"/>
    <n v="151110"/>
  </r>
  <r>
    <x v="0"/>
    <x v="1"/>
    <x v="1"/>
    <x v="8"/>
    <x v="16"/>
    <s v="PL_A"/>
    <x v="0"/>
    <x v="0"/>
    <s v="LAZI-1_ST_COAL_EXT"/>
    <x v="0"/>
    <x v="14"/>
    <n v="115"/>
    <n v="41975"/>
    <n v="151110"/>
  </r>
  <r>
    <x v="0"/>
    <x v="1"/>
    <x v="1"/>
    <x v="8"/>
    <x v="16"/>
    <s v="PL_A"/>
    <x v="0"/>
    <x v="0"/>
    <s v="LAZI-1_ST_COAL_EXT"/>
    <x v="0"/>
    <x v="15"/>
    <n v="115"/>
    <n v="41975"/>
    <n v="151110"/>
  </r>
  <r>
    <x v="0"/>
    <x v="1"/>
    <x v="1"/>
    <x v="8"/>
    <x v="16"/>
    <s v="PL_A"/>
    <x v="0"/>
    <x v="0"/>
    <s v="LAZI-1_ST_COAL_EXT"/>
    <x v="0"/>
    <x v="16"/>
    <n v="115"/>
    <n v="41975"/>
    <n v="151110"/>
  </r>
  <r>
    <x v="0"/>
    <x v="1"/>
    <x v="1"/>
    <x v="8"/>
    <x v="16"/>
    <s v="PL_A"/>
    <x v="0"/>
    <x v="0"/>
    <s v="LAZI-1_ST_COAL_EXT"/>
    <x v="0"/>
    <x v="17"/>
    <n v="115"/>
    <n v="41975"/>
    <n v="151110"/>
  </r>
  <r>
    <x v="0"/>
    <x v="1"/>
    <x v="1"/>
    <x v="8"/>
    <x v="16"/>
    <s v="PL_A"/>
    <x v="0"/>
    <x v="0"/>
    <s v="LAZI-1_ST_COAL_EXT"/>
    <x v="0"/>
    <x v="19"/>
    <n v="115"/>
    <n v="41975"/>
    <n v="151110"/>
  </r>
  <r>
    <x v="0"/>
    <x v="1"/>
    <x v="1"/>
    <x v="8"/>
    <x v="16"/>
    <s v="PL_A"/>
    <x v="0"/>
    <x v="0"/>
    <s v="LAZI-1_ST_COAL_EXT"/>
    <x v="0"/>
    <x v="20"/>
    <n v="115"/>
    <n v="41975"/>
    <n v="151110"/>
  </r>
  <r>
    <x v="0"/>
    <x v="1"/>
    <x v="1"/>
    <x v="8"/>
    <x v="16"/>
    <s v="PL_A"/>
    <x v="0"/>
    <x v="0"/>
    <s v="LAZI-1_ST_COAL_EXT"/>
    <x v="0"/>
    <x v="21"/>
    <n v="115"/>
    <n v="41975"/>
    <n v="151110"/>
  </r>
  <r>
    <x v="0"/>
    <x v="1"/>
    <x v="1"/>
    <x v="8"/>
    <x v="16"/>
    <s v="PL_A"/>
    <x v="0"/>
    <x v="0"/>
    <s v="LAZI-1_ST_COAL_EXT"/>
    <x v="0"/>
    <x v="22"/>
    <n v="115"/>
    <n v="41975"/>
    <n v="151110"/>
  </r>
  <r>
    <x v="0"/>
    <x v="1"/>
    <x v="1"/>
    <x v="8"/>
    <x v="16"/>
    <s v="PL_A"/>
    <x v="0"/>
    <x v="0"/>
    <s v="LAZI-1_ST_COAL_EXT"/>
    <x v="0"/>
    <x v="23"/>
    <n v="115"/>
    <n v="41975"/>
    <n v="151110"/>
  </r>
  <r>
    <x v="0"/>
    <x v="1"/>
    <x v="1"/>
    <x v="8"/>
    <x v="16"/>
    <s v="PL_A"/>
    <x v="0"/>
    <x v="0"/>
    <s v="SIEK-8_ST_COAL_EXT"/>
    <x v="0"/>
    <x v="6"/>
    <n v="191"/>
    <n v="69715"/>
    <n v="250974"/>
  </r>
  <r>
    <x v="0"/>
    <x v="1"/>
    <x v="1"/>
    <x v="8"/>
    <x v="16"/>
    <s v="PL_A"/>
    <x v="0"/>
    <x v="0"/>
    <s v="SIEK-8_ST_COAL_EXT"/>
    <x v="0"/>
    <x v="7"/>
    <n v="191"/>
    <n v="69715"/>
    <n v="250974"/>
  </r>
  <r>
    <x v="0"/>
    <x v="1"/>
    <x v="1"/>
    <x v="8"/>
    <x v="16"/>
    <s v="PL_A"/>
    <x v="0"/>
    <x v="0"/>
    <s v="SIEK-8_ST_COAL_EXT"/>
    <x v="0"/>
    <x v="8"/>
    <n v="191"/>
    <n v="69715"/>
    <n v="250974"/>
  </r>
  <r>
    <x v="0"/>
    <x v="1"/>
    <x v="1"/>
    <x v="8"/>
    <x v="16"/>
    <s v="PL_A"/>
    <x v="0"/>
    <x v="2"/>
    <s v="SIER-1_ST_COAL_BP"/>
    <x v="0"/>
    <x v="0"/>
    <n v="623"/>
    <n v="227395"/>
    <n v="818622"/>
  </r>
  <r>
    <x v="0"/>
    <x v="1"/>
    <x v="1"/>
    <x v="8"/>
    <x v="16"/>
    <s v="PL_A"/>
    <x v="0"/>
    <x v="2"/>
    <s v="SIER-1_ST_COAL_BP"/>
    <x v="0"/>
    <x v="1"/>
    <n v="623"/>
    <n v="227395"/>
    <n v="818622"/>
  </r>
  <r>
    <x v="0"/>
    <x v="1"/>
    <x v="1"/>
    <x v="8"/>
    <x v="16"/>
    <s v="PL_A"/>
    <x v="0"/>
    <x v="2"/>
    <s v="SIER-1_ST_COAL_BP"/>
    <x v="0"/>
    <x v="18"/>
    <n v="623"/>
    <n v="227395"/>
    <n v="818622"/>
  </r>
  <r>
    <x v="0"/>
    <x v="1"/>
    <x v="1"/>
    <x v="8"/>
    <x v="16"/>
    <s v="PL_A"/>
    <x v="0"/>
    <x v="2"/>
    <s v="SIER-1_ST_COAL_BP"/>
    <x v="0"/>
    <x v="2"/>
    <n v="623"/>
    <n v="227395"/>
    <n v="818622"/>
  </r>
  <r>
    <x v="0"/>
    <x v="1"/>
    <x v="1"/>
    <x v="8"/>
    <x v="16"/>
    <s v="PL_A"/>
    <x v="0"/>
    <x v="2"/>
    <s v="SIER-1_ST_COAL_BP"/>
    <x v="0"/>
    <x v="3"/>
    <n v="623"/>
    <n v="227395"/>
    <n v="818622"/>
  </r>
  <r>
    <x v="0"/>
    <x v="1"/>
    <x v="1"/>
    <x v="8"/>
    <x v="16"/>
    <s v="PL_A"/>
    <x v="0"/>
    <x v="2"/>
    <s v="SIER-1_ST_COAL_BP"/>
    <x v="0"/>
    <x v="4"/>
    <n v="623"/>
    <n v="227395"/>
    <n v="818622"/>
  </r>
  <r>
    <x v="0"/>
    <x v="1"/>
    <x v="1"/>
    <x v="8"/>
    <x v="16"/>
    <s v="PL_A"/>
    <x v="0"/>
    <x v="2"/>
    <s v="SIER-1_ST_COAL_BP"/>
    <x v="0"/>
    <x v="5"/>
    <n v="623"/>
    <n v="227395"/>
    <n v="818622"/>
  </r>
  <r>
    <x v="0"/>
    <x v="1"/>
    <x v="1"/>
    <x v="8"/>
    <x v="16"/>
    <s v="PL_A"/>
    <x v="0"/>
    <x v="2"/>
    <s v="SIER-1_ST_COAL_BP"/>
    <x v="0"/>
    <x v="6"/>
    <n v="623"/>
    <n v="227395"/>
    <n v="818622"/>
  </r>
  <r>
    <x v="0"/>
    <x v="1"/>
    <x v="1"/>
    <x v="8"/>
    <x v="16"/>
    <s v="PL_A"/>
    <x v="0"/>
    <x v="2"/>
    <s v="SIER-1_ST_COAL_BP"/>
    <x v="0"/>
    <x v="7"/>
    <n v="623"/>
    <n v="227395"/>
    <n v="818622"/>
  </r>
  <r>
    <x v="0"/>
    <x v="1"/>
    <x v="1"/>
    <x v="8"/>
    <x v="16"/>
    <s v="PL_A"/>
    <x v="0"/>
    <x v="2"/>
    <s v="SIER-1_ST_COAL_BP"/>
    <x v="0"/>
    <x v="8"/>
    <n v="623"/>
    <n v="227395"/>
    <n v="818622"/>
  </r>
  <r>
    <x v="0"/>
    <x v="1"/>
    <x v="1"/>
    <x v="8"/>
    <x v="16"/>
    <s v="PL_A"/>
    <x v="0"/>
    <x v="2"/>
    <s v="SIER-1_ST_COAL_BP"/>
    <x v="0"/>
    <x v="9"/>
    <n v="623"/>
    <n v="227395"/>
    <n v="818622"/>
  </r>
  <r>
    <x v="0"/>
    <x v="1"/>
    <x v="1"/>
    <x v="8"/>
    <x v="16"/>
    <s v="PL_A"/>
    <x v="0"/>
    <x v="2"/>
    <s v="SIER-1_ST_COAL_BP"/>
    <x v="0"/>
    <x v="10"/>
    <n v="623"/>
    <n v="227395"/>
    <n v="818622"/>
  </r>
  <r>
    <x v="0"/>
    <x v="1"/>
    <x v="1"/>
    <x v="8"/>
    <x v="16"/>
    <s v="PL_A"/>
    <x v="0"/>
    <x v="2"/>
    <s v="SIER-1_ST_COAL_BP"/>
    <x v="0"/>
    <x v="11"/>
    <n v="623"/>
    <n v="227395"/>
    <n v="818622"/>
  </r>
  <r>
    <x v="0"/>
    <x v="1"/>
    <x v="1"/>
    <x v="8"/>
    <x v="16"/>
    <s v="PL_A"/>
    <x v="0"/>
    <x v="2"/>
    <s v="SIER-1_ST_COAL_BP"/>
    <x v="0"/>
    <x v="12"/>
    <n v="623"/>
    <n v="227395"/>
    <n v="818622"/>
  </r>
  <r>
    <x v="0"/>
    <x v="1"/>
    <x v="1"/>
    <x v="8"/>
    <x v="16"/>
    <s v="PL_A"/>
    <x v="0"/>
    <x v="2"/>
    <s v="SIER-1_ST_COAL_BP"/>
    <x v="0"/>
    <x v="13"/>
    <n v="623"/>
    <n v="227395"/>
    <n v="818622"/>
  </r>
  <r>
    <x v="0"/>
    <x v="1"/>
    <x v="1"/>
    <x v="8"/>
    <x v="16"/>
    <s v="PL_A"/>
    <x v="0"/>
    <x v="2"/>
    <s v="SIER-1_ST_COAL_BP"/>
    <x v="0"/>
    <x v="14"/>
    <n v="623"/>
    <n v="227395"/>
    <n v="818622"/>
  </r>
  <r>
    <x v="0"/>
    <x v="1"/>
    <x v="1"/>
    <x v="8"/>
    <x v="16"/>
    <s v="PL_A"/>
    <x v="0"/>
    <x v="2"/>
    <s v="SIER-1_ST_COAL_BP"/>
    <x v="0"/>
    <x v="15"/>
    <n v="623"/>
    <n v="227395"/>
    <n v="818622"/>
  </r>
  <r>
    <x v="0"/>
    <x v="1"/>
    <x v="1"/>
    <x v="8"/>
    <x v="16"/>
    <s v="PL_A"/>
    <x v="0"/>
    <x v="2"/>
    <s v="SIER-1_ST_COAL_BP"/>
    <x v="0"/>
    <x v="16"/>
    <n v="623"/>
    <n v="227395"/>
    <n v="818622"/>
  </r>
  <r>
    <x v="0"/>
    <x v="1"/>
    <x v="1"/>
    <x v="8"/>
    <x v="16"/>
    <s v="PL_A"/>
    <x v="0"/>
    <x v="2"/>
    <s v="SIER-1_ST_COAL_BP"/>
    <x v="0"/>
    <x v="17"/>
    <n v="623"/>
    <n v="227395"/>
    <n v="818622"/>
  </r>
  <r>
    <x v="0"/>
    <x v="1"/>
    <x v="1"/>
    <x v="8"/>
    <x v="16"/>
    <s v="PL_A"/>
    <x v="0"/>
    <x v="2"/>
    <s v="SIER-1_ST_COAL_BP"/>
    <x v="0"/>
    <x v="19"/>
    <n v="623"/>
    <n v="227395"/>
    <n v="818622"/>
  </r>
  <r>
    <x v="0"/>
    <x v="1"/>
    <x v="1"/>
    <x v="8"/>
    <x v="16"/>
    <s v="PL_A"/>
    <x v="0"/>
    <x v="2"/>
    <s v="SIER-1_ST_COAL_BP"/>
    <x v="0"/>
    <x v="20"/>
    <n v="623"/>
    <n v="227395"/>
    <n v="818622"/>
  </r>
  <r>
    <x v="0"/>
    <x v="1"/>
    <x v="1"/>
    <x v="8"/>
    <x v="16"/>
    <s v="PL_A"/>
    <x v="0"/>
    <x v="2"/>
    <s v="SIER-1_ST_COAL_BP"/>
    <x v="0"/>
    <x v="21"/>
    <n v="623"/>
    <n v="227395"/>
    <n v="818622"/>
  </r>
  <r>
    <x v="0"/>
    <x v="1"/>
    <x v="1"/>
    <x v="8"/>
    <x v="16"/>
    <s v="PL_A"/>
    <x v="0"/>
    <x v="2"/>
    <s v="SIER-1_ST_COAL_BP"/>
    <x v="0"/>
    <x v="22"/>
    <n v="623"/>
    <n v="227395"/>
    <n v="818622"/>
  </r>
  <r>
    <x v="0"/>
    <x v="1"/>
    <x v="1"/>
    <x v="8"/>
    <x v="16"/>
    <s v="PL_A"/>
    <x v="0"/>
    <x v="2"/>
    <s v="SIER-1_ST_COAL_BP"/>
    <x v="0"/>
    <x v="23"/>
    <n v="623"/>
    <n v="227395"/>
    <n v="818622"/>
  </r>
  <r>
    <x v="0"/>
    <x v="1"/>
    <x v="1"/>
    <x v="8"/>
    <x v="16"/>
    <s v="PL_A"/>
    <x v="0"/>
    <x v="2"/>
    <s v="ZIEL-2_ST_COAL_BP"/>
    <x v="0"/>
    <x v="0"/>
    <n v="11"/>
    <n v="4015"/>
    <n v="14454"/>
  </r>
  <r>
    <x v="0"/>
    <x v="1"/>
    <x v="1"/>
    <x v="8"/>
    <x v="16"/>
    <s v="PL_A"/>
    <x v="0"/>
    <x v="2"/>
    <s v="ZIEL-2_ST_COAL_BP"/>
    <x v="0"/>
    <x v="1"/>
    <n v="11"/>
    <n v="4015"/>
    <n v="14454"/>
  </r>
  <r>
    <x v="0"/>
    <x v="1"/>
    <x v="1"/>
    <x v="8"/>
    <x v="16"/>
    <s v="PL_A"/>
    <x v="0"/>
    <x v="2"/>
    <s v="ZIEL-2_ST_COAL_BP"/>
    <x v="0"/>
    <x v="18"/>
    <n v="11"/>
    <n v="4015"/>
    <n v="14454"/>
  </r>
  <r>
    <x v="0"/>
    <x v="1"/>
    <x v="1"/>
    <x v="8"/>
    <x v="16"/>
    <s v="PL_A"/>
    <x v="0"/>
    <x v="2"/>
    <s v="ZIEL-2_ST_COAL_BP"/>
    <x v="0"/>
    <x v="2"/>
    <n v="11"/>
    <n v="4015"/>
    <n v="14454"/>
  </r>
  <r>
    <x v="0"/>
    <x v="1"/>
    <x v="1"/>
    <x v="8"/>
    <x v="16"/>
    <s v="PL_A"/>
    <x v="0"/>
    <x v="2"/>
    <s v="ZIEL-2_ST_COAL_BP"/>
    <x v="0"/>
    <x v="3"/>
    <n v="11"/>
    <n v="4015"/>
    <n v="14454"/>
  </r>
  <r>
    <x v="0"/>
    <x v="1"/>
    <x v="1"/>
    <x v="8"/>
    <x v="16"/>
    <s v="PL_A"/>
    <x v="0"/>
    <x v="2"/>
    <s v="ZIEL-2_ST_COAL_BP"/>
    <x v="0"/>
    <x v="4"/>
    <n v="11"/>
    <n v="4015"/>
    <n v="14454"/>
  </r>
  <r>
    <x v="0"/>
    <x v="1"/>
    <x v="1"/>
    <x v="8"/>
    <x v="16"/>
    <s v="PL_A"/>
    <x v="0"/>
    <x v="2"/>
    <s v="ZIEL-2_ST_COAL_BP"/>
    <x v="0"/>
    <x v="5"/>
    <n v="11"/>
    <n v="4015"/>
    <n v="14454"/>
  </r>
  <r>
    <x v="0"/>
    <x v="1"/>
    <x v="1"/>
    <x v="8"/>
    <x v="16"/>
    <s v="PL_A"/>
    <x v="0"/>
    <x v="2"/>
    <s v="ZIEL-2_ST_COAL_BP"/>
    <x v="0"/>
    <x v="6"/>
    <n v="11"/>
    <n v="4015"/>
    <n v="14454"/>
  </r>
  <r>
    <x v="0"/>
    <x v="1"/>
    <x v="1"/>
    <x v="8"/>
    <x v="16"/>
    <s v="PL_A"/>
    <x v="0"/>
    <x v="2"/>
    <s v="ZIEL-2_ST_COAL_BP"/>
    <x v="0"/>
    <x v="7"/>
    <n v="11"/>
    <n v="4015"/>
    <n v="14454"/>
  </r>
  <r>
    <x v="0"/>
    <x v="1"/>
    <x v="1"/>
    <x v="8"/>
    <x v="16"/>
    <s v="PL_A"/>
    <x v="0"/>
    <x v="2"/>
    <s v="ZIEL-2_ST_COAL_BP"/>
    <x v="0"/>
    <x v="8"/>
    <n v="11"/>
    <n v="4015"/>
    <n v="14454"/>
  </r>
  <r>
    <x v="0"/>
    <x v="1"/>
    <x v="1"/>
    <x v="8"/>
    <x v="16"/>
    <s v="PL_A"/>
    <x v="0"/>
    <x v="2"/>
    <s v="ZIEL-2_ST_COAL_BP"/>
    <x v="0"/>
    <x v="9"/>
    <n v="11"/>
    <n v="4015"/>
    <n v="14454"/>
  </r>
  <r>
    <x v="0"/>
    <x v="1"/>
    <x v="1"/>
    <x v="8"/>
    <x v="16"/>
    <s v="PL_A"/>
    <x v="0"/>
    <x v="2"/>
    <s v="ZIEL-2_ST_COAL_BP"/>
    <x v="0"/>
    <x v="10"/>
    <n v="11"/>
    <n v="4015"/>
    <n v="14454"/>
  </r>
  <r>
    <x v="0"/>
    <x v="1"/>
    <x v="1"/>
    <x v="8"/>
    <x v="16"/>
    <s v="PL_A"/>
    <x v="0"/>
    <x v="2"/>
    <s v="ZIEL-2_ST_COAL_BP"/>
    <x v="0"/>
    <x v="11"/>
    <n v="11"/>
    <n v="4015"/>
    <n v="14454"/>
  </r>
  <r>
    <x v="0"/>
    <x v="1"/>
    <x v="1"/>
    <x v="8"/>
    <x v="16"/>
    <s v="PL_A"/>
    <x v="0"/>
    <x v="2"/>
    <s v="ZIEL-2_ST_COAL_BP"/>
    <x v="0"/>
    <x v="12"/>
    <n v="11"/>
    <n v="4015"/>
    <n v="14454"/>
  </r>
  <r>
    <x v="0"/>
    <x v="1"/>
    <x v="1"/>
    <x v="8"/>
    <x v="16"/>
    <s v="PL_A"/>
    <x v="0"/>
    <x v="2"/>
    <s v="ZIEL-2_ST_COAL_BP"/>
    <x v="0"/>
    <x v="13"/>
    <n v="11"/>
    <n v="4015"/>
    <n v="14454"/>
  </r>
  <r>
    <x v="0"/>
    <x v="1"/>
    <x v="1"/>
    <x v="8"/>
    <x v="16"/>
    <s v="PL_A"/>
    <x v="0"/>
    <x v="2"/>
    <s v="ZIEL-2_ST_COAL_BP"/>
    <x v="0"/>
    <x v="14"/>
    <n v="11"/>
    <n v="4015"/>
    <n v="14454"/>
  </r>
  <r>
    <x v="0"/>
    <x v="1"/>
    <x v="1"/>
    <x v="8"/>
    <x v="16"/>
    <s v="PL_A"/>
    <x v="0"/>
    <x v="2"/>
    <s v="ZIEL-2_ST_COAL_BP"/>
    <x v="0"/>
    <x v="15"/>
    <n v="11"/>
    <n v="4015"/>
    <n v="14454"/>
  </r>
  <r>
    <x v="0"/>
    <x v="1"/>
    <x v="1"/>
    <x v="8"/>
    <x v="16"/>
    <s v="PL_A"/>
    <x v="0"/>
    <x v="2"/>
    <s v="ZIEL-2_ST_COAL_BP"/>
    <x v="0"/>
    <x v="16"/>
    <n v="11"/>
    <n v="4015"/>
    <n v="14454"/>
  </r>
  <r>
    <x v="0"/>
    <x v="1"/>
    <x v="1"/>
    <x v="8"/>
    <x v="16"/>
    <s v="PL_A"/>
    <x v="0"/>
    <x v="2"/>
    <s v="ZIEL-2_ST_COAL_BP"/>
    <x v="0"/>
    <x v="17"/>
    <n v="11"/>
    <n v="4015"/>
    <n v="14454"/>
  </r>
  <r>
    <x v="0"/>
    <x v="1"/>
    <x v="1"/>
    <x v="8"/>
    <x v="16"/>
    <s v="PL_A"/>
    <x v="0"/>
    <x v="2"/>
    <s v="ZIEL-2_ST_COAL_BP"/>
    <x v="0"/>
    <x v="19"/>
    <n v="11"/>
    <n v="4015"/>
    <n v="14454"/>
  </r>
  <r>
    <x v="0"/>
    <x v="1"/>
    <x v="1"/>
    <x v="8"/>
    <x v="16"/>
    <s v="PL_A"/>
    <x v="0"/>
    <x v="2"/>
    <s v="ZIEL-2_ST_COAL_BP"/>
    <x v="0"/>
    <x v="20"/>
    <n v="11"/>
    <n v="4015"/>
    <n v="14454"/>
  </r>
  <r>
    <x v="0"/>
    <x v="1"/>
    <x v="1"/>
    <x v="8"/>
    <x v="16"/>
    <s v="PL_A"/>
    <x v="0"/>
    <x v="2"/>
    <s v="ZIEL-2_ST_COAL_BP"/>
    <x v="0"/>
    <x v="21"/>
    <n v="11"/>
    <n v="4015"/>
    <n v="14454"/>
  </r>
  <r>
    <x v="0"/>
    <x v="1"/>
    <x v="1"/>
    <x v="8"/>
    <x v="16"/>
    <s v="PL_A"/>
    <x v="0"/>
    <x v="2"/>
    <s v="ZIEL-2_ST_COAL_BP"/>
    <x v="0"/>
    <x v="22"/>
    <n v="11"/>
    <n v="4015"/>
    <n v="14454"/>
  </r>
  <r>
    <x v="0"/>
    <x v="1"/>
    <x v="1"/>
    <x v="8"/>
    <x v="16"/>
    <s v="PL_A"/>
    <x v="0"/>
    <x v="2"/>
    <s v="ZIEL-2_ST_COAL_BP"/>
    <x v="0"/>
    <x v="23"/>
    <n v="11"/>
    <n v="4015"/>
    <n v="14454"/>
  </r>
  <r>
    <x v="0"/>
    <x v="1"/>
    <x v="1"/>
    <x v="8"/>
    <x v="16"/>
    <s v="PL_A"/>
    <x v="0"/>
    <x v="2"/>
    <s v="ZIEL-4_ST_COAL_BP"/>
    <x v="0"/>
    <x v="0"/>
    <n v="60"/>
    <n v="21900"/>
    <n v="78840"/>
  </r>
  <r>
    <x v="0"/>
    <x v="1"/>
    <x v="1"/>
    <x v="8"/>
    <x v="16"/>
    <s v="PL_A"/>
    <x v="0"/>
    <x v="2"/>
    <s v="ZIEL-4_ST_COAL_BP"/>
    <x v="0"/>
    <x v="1"/>
    <n v="60"/>
    <n v="21900"/>
    <n v="78840"/>
  </r>
  <r>
    <x v="0"/>
    <x v="1"/>
    <x v="1"/>
    <x v="8"/>
    <x v="16"/>
    <s v="PL_A"/>
    <x v="0"/>
    <x v="2"/>
    <s v="ZIEL-4_ST_COAL_BP"/>
    <x v="0"/>
    <x v="18"/>
    <n v="60"/>
    <n v="21900"/>
    <n v="78840"/>
  </r>
  <r>
    <x v="0"/>
    <x v="1"/>
    <x v="1"/>
    <x v="8"/>
    <x v="16"/>
    <s v="PL_A"/>
    <x v="0"/>
    <x v="2"/>
    <s v="ZIEL-4_ST_COAL_BP"/>
    <x v="0"/>
    <x v="2"/>
    <n v="60"/>
    <n v="21900"/>
    <n v="78840"/>
  </r>
  <r>
    <x v="0"/>
    <x v="1"/>
    <x v="1"/>
    <x v="8"/>
    <x v="16"/>
    <s v="PL_A"/>
    <x v="0"/>
    <x v="2"/>
    <s v="ZIEL-4_ST_COAL_BP"/>
    <x v="0"/>
    <x v="3"/>
    <n v="60"/>
    <n v="21900"/>
    <n v="78840"/>
  </r>
  <r>
    <x v="0"/>
    <x v="1"/>
    <x v="1"/>
    <x v="8"/>
    <x v="16"/>
    <s v="PL_A"/>
    <x v="0"/>
    <x v="2"/>
    <s v="ZIEL-4_ST_COAL_BP"/>
    <x v="0"/>
    <x v="4"/>
    <n v="60"/>
    <n v="21900"/>
    <n v="78840"/>
  </r>
  <r>
    <x v="0"/>
    <x v="1"/>
    <x v="1"/>
    <x v="8"/>
    <x v="16"/>
    <s v="PL_A"/>
    <x v="0"/>
    <x v="2"/>
    <s v="ZIEL-4_ST_COAL_BP"/>
    <x v="0"/>
    <x v="5"/>
    <n v="60"/>
    <n v="21900"/>
    <n v="78840"/>
  </r>
  <r>
    <x v="0"/>
    <x v="1"/>
    <x v="1"/>
    <x v="8"/>
    <x v="16"/>
    <s v="PL_A"/>
    <x v="0"/>
    <x v="2"/>
    <s v="ZIEL-4_ST_COAL_BP"/>
    <x v="0"/>
    <x v="6"/>
    <n v="60"/>
    <n v="21900"/>
    <n v="78840"/>
  </r>
  <r>
    <x v="0"/>
    <x v="1"/>
    <x v="1"/>
    <x v="8"/>
    <x v="16"/>
    <s v="PL_A"/>
    <x v="0"/>
    <x v="2"/>
    <s v="ZIEL-4_ST_COAL_BP"/>
    <x v="0"/>
    <x v="7"/>
    <n v="60"/>
    <n v="21900"/>
    <n v="78840"/>
  </r>
  <r>
    <x v="0"/>
    <x v="1"/>
    <x v="1"/>
    <x v="8"/>
    <x v="16"/>
    <s v="PL_A"/>
    <x v="0"/>
    <x v="2"/>
    <s v="ZIEL-4_ST_COAL_BP"/>
    <x v="0"/>
    <x v="8"/>
    <n v="60"/>
    <n v="21900"/>
    <n v="78840"/>
  </r>
  <r>
    <x v="0"/>
    <x v="1"/>
    <x v="1"/>
    <x v="8"/>
    <x v="16"/>
    <s v="PL_A"/>
    <x v="0"/>
    <x v="2"/>
    <s v="ZIEL-4_ST_COAL_BP"/>
    <x v="0"/>
    <x v="9"/>
    <n v="60"/>
    <n v="21900"/>
    <n v="78840"/>
  </r>
  <r>
    <x v="0"/>
    <x v="1"/>
    <x v="1"/>
    <x v="8"/>
    <x v="16"/>
    <s v="PL_A"/>
    <x v="0"/>
    <x v="2"/>
    <s v="ZIEL-4_ST_COAL_BP"/>
    <x v="0"/>
    <x v="10"/>
    <n v="60"/>
    <n v="21900"/>
    <n v="78840"/>
  </r>
  <r>
    <x v="0"/>
    <x v="1"/>
    <x v="1"/>
    <x v="8"/>
    <x v="16"/>
    <s v="PL_A"/>
    <x v="0"/>
    <x v="2"/>
    <s v="ZIEL-4_ST_COAL_BP"/>
    <x v="0"/>
    <x v="11"/>
    <n v="60"/>
    <n v="21900"/>
    <n v="78840"/>
  </r>
  <r>
    <x v="0"/>
    <x v="1"/>
    <x v="1"/>
    <x v="8"/>
    <x v="16"/>
    <s v="PL_A"/>
    <x v="0"/>
    <x v="2"/>
    <s v="ZIEL-4_ST_COAL_BP"/>
    <x v="0"/>
    <x v="12"/>
    <n v="60"/>
    <n v="21900"/>
    <n v="78840"/>
  </r>
  <r>
    <x v="0"/>
    <x v="1"/>
    <x v="1"/>
    <x v="8"/>
    <x v="16"/>
    <s v="PL_A"/>
    <x v="0"/>
    <x v="2"/>
    <s v="ZIEL-4_ST_COAL_BP"/>
    <x v="0"/>
    <x v="13"/>
    <n v="60"/>
    <n v="21900"/>
    <n v="78840"/>
  </r>
  <r>
    <x v="0"/>
    <x v="1"/>
    <x v="1"/>
    <x v="8"/>
    <x v="16"/>
    <s v="PL_A"/>
    <x v="0"/>
    <x v="2"/>
    <s v="ZIEL-4_ST_COAL_BP"/>
    <x v="0"/>
    <x v="14"/>
    <n v="60"/>
    <n v="21900"/>
    <n v="78840"/>
  </r>
  <r>
    <x v="0"/>
    <x v="1"/>
    <x v="1"/>
    <x v="8"/>
    <x v="16"/>
    <s v="PL_A"/>
    <x v="0"/>
    <x v="2"/>
    <s v="ZIEL-4_ST_COAL_BP"/>
    <x v="0"/>
    <x v="15"/>
    <n v="60"/>
    <n v="21900"/>
    <n v="78840"/>
  </r>
  <r>
    <x v="0"/>
    <x v="1"/>
    <x v="1"/>
    <x v="8"/>
    <x v="16"/>
    <s v="PL_A"/>
    <x v="0"/>
    <x v="2"/>
    <s v="ZIEL-4_ST_COAL_BP"/>
    <x v="0"/>
    <x v="16"/>
    <n v="60"/>
    <n v="21900"/>
    <n v="78840"/>
  </r>
  <r>
    <x v="0"/>
    <x v="1"/>
    <x v="1"/>
    <x v="8"/>
    <x v="16"/>
    <s v="PL_A"/>
    <x v="0"/>
    <x v="2"/>
    <s v="ZIEL-4_ST_COAL_BP"/>
    <x v="0"/>
    <x v="17"/>
    <n v="60"/>
    <n v="21900"/>
    <n v="78840"/>
  </r>
  <r>
    <x v="0"/>
    <x v="1"/>
    <x v="1"/>
    <x v="8"/>
    <x v="16"/>
    <s v="PL_A"/>
    <x v="0"/>
    <x v="2"/>
    <s v="ZIEL-4_ST_COAL_BP"/>
    <x v="0"/>
    <x v="19"/>
    <n v="60"/>
    <n v="21900"/>
    <n v="78840"/>
  </r>
  <r>
    <x v="0"/>
    <x v="1"/>
    <x v="1"/>
    <x v="8"/>
    <x v="16"/>
    <s v="PL_A"/>
    <x v="0"/>
    <x v="2"/>
    <s v="ZIEL-4_ST_COAL_BP"/>
    <x v="0"/>
    <x v="20"/>
    <n v="60"/>
    <n v="21900"/>
    <n v="78840"/>
  </r>
  <r>
    <x v="0"/>
    <x v="1"/>
    <x v="1"/>
    <x v="8"/>
    <x v="16"/>
    <s v="PL_A"/>
    <x v="0"/>
    <x v="2"/>
    <s v="ZIEL-4_ST_COAL_BP"/>
    <x v="0"/>
    <x v="21"/>
    <n v="60"/>
    <n v="21900"/>
    <n v="78840"/>
  </r>
  <r>
    <x v="0"/>
    <x v="1"/>
    <x v="1"/>
    <x v="8"/>
    <x v="16"/>
    <s v="PL_A"/>
    <x v="0"/>
    <x v="2"/>
    <s v="ZIEL-4_ST_COAL_BP"/>
    <x v="0"/>
    <x v="22"/>
    <n v="60"/>
    <n v="21900"/>
    <n v="78840"/>
  </r>
  <r>
    <x v="0"/>
    <x v="1"/>
    <x v="1"/>
    <x v="8"/>
    <x v="16"/>
    <s v="PL_A"/>
    <x v="0"/>
    <x v="2"/>
    <s v="ZIEL-4_ST_COAL_BP"/>
    <x v="0"/>
    <x v="23"/>
    <n v="60"/>
    <n v="21900"/>
    <n v="78840"/>
  </r>
  <r>
    <x v="0"/>
    <x v="1"/>
    <x v="1"/>
    <x v="8"/>
    <x v="16"/>
    <s v="PL_A"/>
    <x v="15"/>
    <x v="0"/>
    <s v="ADAM-1_ST_LIGNITE_EXT"/>
    <x v="0"/>
    <x v="0"/>
    <n v="1755"/>
    <n v="640575"/>
    <n v="2306070"/>
  </r>
  <r>
    <x v="0"/>
    <x v="1"/>
    <x v="1"/>
    <x v="8"/>
    <x v="16"/>
    <s v="PL_A"/>
    <x v="15"/>
    <x v="0"/>
    <s v="ADAM-1_ST_LIGNITE_EXT"/>
    <x v="0"/>
    <x v="1"/>
    <n v="1755"/>
    <n v="640575"/>
    <n v="2306070"/>
  </r>
  <r>
    <x v="0"/>
    <x v="1"/>
    <x v="1"/>
    <x v="8"/>
    <x v="16"/>
    <s v="PL_A"/>
    <x v="15"/>
    <x v="0"/>
    <s v="ADAM-1_ST_LIGNITE_EXT"/>
    <x v="0"/>
    <x v="18"/>
    <n v="1755"/>
    <n v="640575"/>
    <n v="2306070"/>
  </r>
  <r>
    <x v="0"/>
    <x v="1"/>
    <x v="1"/>
    <x v="8"/>
    <x v="16"/>
    <s v="PL_A"/>
    <x v="15"/>
    <x v="0"/>
    <s v="ADAM-1_ST_LIGNITE_EXT"/>
    <x v="0"/>
    <x v="2"/>
    <n v="1755"/>
    <n v="640575"/>
    <n v="2306070"/>
  </r>
  <r>
    <x v="0"/>
    <x v="1"/>
    <x v="1"/>
    <x v="8"/>
    <x v="16"/>
    <s v="PL_A"/>
    <x v="15"/>
    <x v="0"/>
    <s v="ADAM-1_ST_LIGNITE_EXT"/>
    <x v="0"/>
    <x v="3"/>
    <n v="1755"/>
    <n v="640575"/>
    <n v="2306070"/>
  </r>
  <r>
    <x v="0"/>
    <x v="1"/>
    <x v="1"/>
    <x v="8"/>
    <x v="16"/>
    <s v="PL_A"/>
    <x v="15"/>
    <x v="0"/>
    <s v="ADAM-1_ST_LIGNITE_EXT"/>
    <x v="0"/>
    <x v="4"/>
    <n v="1755"/>
    <n v="640575"/>
    <n v="2306070"/>
  </r>
  <r>
    <x v="0"/>
    <x v="1"/>
    <x v="1"/>
    <x v="8"/>
    <x v="16"/>
    <s v="PL_A"/>
    <x v="15"/>
    <x v="0"/>
    <s v="ADAM-1_ST_LIGNITE_EXT"/>
    <x v="0"/>
    <x v="5"/>
    <n v="1755"/>
    <n v="640575"/>
    <n v="2306070"/>
  </r>
  <r>
    <x v="0"/>
    <x v="1"/>
    <x v="1"/>
    <x v="8"/>
    <x v="16"/>
    <s v="PL_A"/>
    <x v="15"/>
    <x v="0"/>
    <s v="ADAM-1_ST_LIGNITE_EXT"/>
    <x v="0"/>
    <x v="6"/>
    <n v="1755"/>
    <n v="640575"/>
    <n v="2306070"/>
  </r>
  <r>
    <x v="0"/>
    <x v="1"/>
    <x v="1"/>
    <x v="8"/>
    <x v="16"/>
    <s v="PL_A"/>
    <x v="15"/>
    <x v="0"/>
    <s v="ADAM-1_ST_LIGNITE_EXT"/>
    <x v="0"/>
    <x v="7"/>
    <n v="1755"/>
    <n v="640575"/>
    <n v="2306070"/>
  </r>
  <r>
    <x v="0"/>
    <x v="1"/>
    <x v="1"/>
    <x v="8"/>
    <x v="16"/>
    <s v="PL_A"/>
    <x v="15"/>
    <x v="0"/>
    <s v="ADAM-1_ST_LIGNITE_EXT"/>
    <x v="0"/>
    <x v="8"/>
    <n v="1755"/>
    <n v="640575"/>
    <n v="2306070"/>
  </r>
  <r>
    <x v="0"/>
    <x v="1"/>
    <x v="1"/>
    <x v="8"/>
    <x v="16"/>
    <s v="PL_A"/>
    <x v="15"/>
    <x v="0"/>
    <s v="ADAM-1_ST_LIGNITE_EXT"/>
    <x v="0"/>
    <x v="9"/>
    <n v="1755"/>
    <n v="640575"/>
    <n v="2306070"/>
  </r>
  <r>
    <x v="0"/>
    <x v="1"/>
    <x v="1"/>
    <x v="8"/>
    <x v="16"/>
    <s v="PL_A"/>
    <x v="15"/>
    <x v="0"/>
    <s v="ADAM-1_ST_LIGNITE_EXT"/>
    <x v="0"/>
    <x v="10"/>
    <n v="1755"/>
    <n v="640575"/>
    <n v="2306070"/>
  </r>
  <r>
    <x v="0"/>
    <x v="1"/>
    <x v="1"/>
    <x v="8"/>
    <x v="16"/>
    <s v="PL_A"/>
    <x v="15"/>
    <x v="0"/>
    <s v="ADAM-1_ST_LIGNITE_EXT"/>
    <x v="0"/>
    <x v="11"/>
    <n v="1755"/>
    <n v="640575"/>
    <n v="2306070"/>
  </r>
  <r>
    <x v="0"/>
    <x v="1"/>
    <x v="1"/>
    <x v="8"/>
    <x v="16"/>
    <s v="PL_A"/>
    <x v="15"/>
    <x v="0"/>
    <s v="ADAM-1_ST_LIGNITE_EXT"/>
    <x v="0"/>
    <x v="12"/>
    <n v="1755"/>
    <n v="640575"/>
    <n v="2306070"/>
  </r>
  <r>
    <x v="0"/>
    <x v="1"/>
    <x v="1"/>
    <x v="8"/>
    <x v="16"/>
    <s v="PL_A"/>
    <x v="15"/>
    <x v="0"/>
    <s v="ADAM-1_ST_LIGNITE_EXT"/>
    <x v="0"/>
    <x v="13"/>
    <n v="1755"/>
    <n v="640575"/>
    <n v="2306070"/>
  </r>
  <r>
    <x v="0"/>
    <x v="1"/>
    <x v="1"/>
    <x v="8"/>
    <x v="16"/>
    <s v="PL_A"/>
    <x v="15"/>
    <x v="0"/>
    <s v="ADAM-1_ST_LIGNITE_EXT"/>
    <x v="0"/>
    <x v="14"/>
    <n v="1755"/>
    <n v="640575"/>
    <n v="2306070"/>
  </r>
  <r>
    <x v="0"/>
    <x v="1"/>
    <x v="1"/>
    <x v="8"/>
    <x v="16"/>
    <s v="PL_A"/>
    <x v="15"/>
    <x v="0"/>
    <s v="ADAM-1_ST_LIGNITE_EXT"/>
    <x v="0"/>
    <x v="15"/>
    <n v="1755"/>
    <n v="640575"/>
    <n v="2306070"/>
  </r>
  <r>
    <x v="0"/>
    <x v="1"/>
    <x v="1"/>
    <x v="8"/>
    <x v="16"/>
    <s v="PL_A"/>
    <x v="15"/>
    <x v="0"/>
    <s v="ADAM-1_ST_LIGNITE_EXT"/>
    <x v="0"/>
    <x v="16"/>
    <n v="1755"/>
    <n v="640575"/>
    <n v="2306070"/>
  </r>
  <r>
    <x v="0"/>
    <x v="1"/>
    <x v="1"/>
    <x v="8"/>
    <x v="16"/>
    <s v="PL_A"/>
    <x v="15"/>
    <x v="0"/>
    <s v="ADAM-1_ST_LIGNITE_EXT"/>
    <x v="0"/>
    <x v="17"/>
    <n v="1755"/>
    <n v="640575"/>
    <n v="2306070"/>
  </r>
  <r>
    <x v="0"/>
    <x v="1"/>
    <x v="1"/>
    <x v="8"/>
    <x v="16"/>
    <s v="PL_A"/>
    <x v="15"/>
    <x v="0"/>
    <s v="ADAM-1_ST_LIGNITE_EXT"/>
    <x v="0"/>
    <x v="19"/>
    <n v="1755"/>
    <n v="640575"/>
    <n v="2306070"/>
  </r>
  <r>
    <x v="0"/>
    <x v="1"/>
    <x v="1"/>
    <x v="8"/>
    <x v="16"/>
    <s v="PL_A"/>
    <x v="15"/>
    <x v="0"/>
    <s v="ADAM-1_ST_LIGNITE_EXT"/>
    <x v="0"/>
    <x v="20"/>
    <n v="1755"/>
    <n v="640575"/>
    <n v="2306070"/>
  </r>
  <r>
    <x v="0"/>
    <x v="1"/>
    <x v="1"/>
    <x v="8"/>
    <x v="16"/>
    <s v="PL_A"/>
    <x v="15"/>
    <x v="0"/>
    <s v="ADAM-1_ST_LIGNITE_EXT"/>
    <x v="0"/>
    <x v="21"/>
    <n v="1755"/>
    <n v="640575"/>
    <n v="2306070"/>
  </r>
  <r>
    <x v="0"/>
    <x v="1"/>
    <x v="1"/>
    <x v="8"/>
    <x v="16"/>
    <s v="PL_A"/>
    <x v="15"/>
    <x v="0"/>
    <s v="ADAM-1_ST_LIGNITE_EXT"/>
    <x v="0"/>
    <x v="22"/>
    <n v="1755"/>
    <n v="640575"/>
    <n v="2306070"/>
  </r>
  <r>
    <x v="0"/>
    <x v="1"/>
    <x v="1"/>
    <x v="8"/>
    <x v="16"/>
    <s v="PL_A"/>
    <x v="15"/>
    <x v="0"/>
    <s v="ADAM-1_ST_LIGNITE_EXT"/>
    <x v="0"/>
    <x v="23"/>
    <n v="1755"/>
    <n v="640575"/>
    <n v="2306070"/>
  </r>
  <r>
    <x v="0"/>
    <x v="1"/>
    <x v="1"/>
    <x v="8"/>
    <x v="16"/>
    <s v="PL_A"/>
    <x v="15"/>
    <x v="0"/>
    <s v="BELC-1_ST_LIGNITE_EXT"/>
    <x v="0"/>
    <x v="0"/>
    <n v="342"/>
    <n v="124830"/>
    <n v="449388"/>
  </r>
  <r>
    <x v="0"/>
    <x v="1"/>
    <x v="1"/>
    <x v="8"/>
    <x v="16"/>
    <s v="PL_A"/>
    <x v="15"/>
    <x v="0"/>
    <s v="BELC-1_ST_LIGNITE_EXT"/>
    <x v="0"/>
    <x v="1"/>
    <n v="342"/>
    <n v="124830"/>
    <n v="449388"/>
  </r>
  <r>
    <x v="0"/>
    <x v="1"/>
    <x v="1"/>
    <x v="8"/>
    <x v="16"/>
    <s v="PL_A"/>
    <x v="15"/>
    <x v="0"/>
    <s v="BELC-1_ST_LIGNITE_EXT"/>
    <x v="0"/>
    <x v="18"/>
    <n v="342"/>
    <n v="124830"/>
    <n v="449388"/>
  </r>
  <r>
    <x v="0"/>
    <x v="1"/>
    <x v="1"/>
    <x v="8"/>
    <x v="16"/>
    <s v="PL_A"/>
    <x v="15"/>
    <x v="0"/>
    <s v="BELC-1_ST_LIGNITE_EXT"/>
    <x v="0"/>
    <x v="2"/>
    <n v="342"/>
    <n v="124830"/>
    <n v="449388"/>
  </r>
  <r>
    <x v="0"/>
    <x v="1"/>
    <x v="1"/>
    <x v="8"/>
    <x v="16"/>
    <s v="PL_A"/>
    <x v="15"/>
    <x v="0"/>
    <s v="BELC-1_ST_LIGNITE_EXT"/>
    <x v="0"/>
    <x v="3"/>
    <n v="342"/>
    <n v="124830"/>
    <n v="449388"/>
  </r>
  <r>
    <x v="0"/>
    <x v="1"/>
    <x v="1"/>
    <x v="8"/>
    <x v="16"/>
    <s v="PL_A"/>
    <x v="15"/>
    <x v="0"/>
    <s v="BELC-1_ST_LIGNITE_EXT"/>
    <x v="0"/>
    <x v="4"/>
    <n v="342"/>
    <n v="124830"/>
    <n v="449388"/>
  </r>
  <r>
    <x v="0"/>
    <x v="1"/>
    <x v="1"/>
    <x v="8"/>
    <x v="16"/>
    <s v="PL_A"/>
    <x v="15"/>
    <x v="0"/>
    <s v="BELC-1_ST_LIGNITE_EXT"/>
    <x v="0"/>
    <x v="5"/>
    <n v="342"/>
    <n v="124830"/>
    <n v="449388"/>
  </r>
  <r>
    <x v="0"/>
    <x v="1"/>
    <x v="1"/>
    <x v="8"/>
    <x v="16"/>
    <s v="PL_A"/>
    <x v="15"/>
    <x v="0"/>
    <s v="BELC-1_ST_LIGNITE_EXT"/>
    <x v="0"/>
    <x v="6"/>
    <n v="342"/>
    <n v="124830"/>
    <n v="449388"/>
  </r>
  <r>
    <x v="0"/>
    <x v="1"/>
    <x v="1"/>
    <x v="8"/>
    <x v="16"/>
    <s v="PL_A"/>
    <x v="15"/>
    <x v="0"/>
    <s v="BELC-1_ST_LIGNITE_EXT"/>
    <x v="0"/>
    <x v="7"/>
    <n v="342"/>
    <n v="124830"/>
    <n v="449388"/>
  </r>
  <r>
    <x v="0"/>
    <x v="1"/>
    <x v="1"/>
    <x v="8"/>
    <x v="16"/>
    <s v="PL_A"/>
    <x v="15"/>
    <x v="0"/>
    <s v="BELC-1_ST_LIGNITE_EXT"/>
    <x v="0"/>
    <x v="8"/>
    <n v="342"/>
    <n v="124830"/>
    <n v="449388"/>
  </r>
  <r>
    <x v="0"/>
    <x v="1"/>
    <x v="1"/>
    <x v="8"/>
    <x v="16"/>
    <s v="PL_A"/>
    <x v="15"/>
    <x v="0"/>
    <s v="BELC-1_ST_LIGNITE_EXT"/>
    <x v="0"/>
    <x v="9"/>
    <n v="342"/>
    <n v="124830"/>
    <n v="449388"/>
  </r>
  <r>
    <x v="0"/>
    <x v="1"/>
    <x v="1"/>
    <x v="8"/>
    <x v="16"/>
    <s v="PL_A"/>
    <x v="15"/>
    <x v="0"/>
    <s v="BELC-1_ST_LIGNITE_EXT"/>
    <x v="0"/>
    <x v="10"/>
    <n v="342"/>
    <n v="124830"/>
    <n v="449388"/>
  </r>
  <r>
    <x v="0"/>
    <x v="1"/>
    <x v="1"/>
    <x v="8"/>
    <x v="16"/>
    <s v="PL_A"/>
    <x v="15"/>
    <x v="0"/>
    <s v="BELC-1_ST_LIGNITE_EXT"/>
    <x v="0"/>
    <x v="11"/>
    <n v="342"/>
    <n v="124830"/>
    <n v="449388"/>
  </r>
  <r>
    <x v="0"/>
    <x v="1"/>
    <x v="1"/>
    <x v="8"/>
    <x v="16"/>
    <s v="PL_A"/>
    <x v="15"/>
    <x v="0"/>
    <s v="BELC-1_ST_LIGNITE_EXT"/>
    <x v="0"/>
    <x v="12"/>
    <n v="342"/>
    <n v="124830"/>
    <n v="449388"/>
  </r>
  <r>
    <x v="0"/>
    <x v="1"/>
    <x v="1"/>
    <x v="8"/>
    <x v="16"/>
    <s v="PL_A"/>
    <x v="15"/>
    <x v="0"/>
    <s v="BELC-1_ST_LIGNITE_EXT"/>
    <x v="0"/>
    <x v="13"/>
    <n v="342"/>
    <n v="124830"/>
    <n v="449388"/>
  </r>
  <r>
    <x v="0"/>
    <x v="1"/>
    <x v="1"/>
    <x v="8"/>
    <x v="16"/>
    <s v="PL_A"/>
    <x v="15"/>
    <x v="0"/>
    <s v="BELC-1_ST_LIGNITE_EXT"/>
    <x v="0"/>
    <x v="14"/>
    <n v="342"/>
    <n v="124830"/>
    <n v="449388"/>
  </r>
  <r>
    <x v="0"/>
    <x v="1"/>
    <x v="1"/>
    <x v="8"/>
    <x v="16"/>
    <s v="PL_A"/>
    <x v="15"/>
    <x v="0"/>
    <s v="BELC-1_ST_LIGNITE_EXT"/>
    <x v="0"/>
    <x v="15"/>
    <n v="342"/>
    <n v="124830"/>
    <n v="449388"/>
  </r>
  <r>
    <x v="0"/>
    <x v="1"/>
    <x v="1"/>
    <x v="8"/>
    <x v="16"/>
    <s v="PL_A"/>
    <x v="15"/>
    <x v="0"/>
    <s v="BELC-1_ST_LIGNITE_EXT"/>
    <x v="0"/>
    <x v="16"/>
    <n v="342"/>
    <n v="124830"/>
    <n v="449388"/>
  </r>
  <r>
    <x v="0"/>
    <x v="1"/>
    <x v="1"/>
    <x v="8"/>
    <x v="16"/>
    <s v="PL_A"/>
    <x v="15"/>
    <x v="0"/>
    <s v="BELC-1_ST_LIGNITE_EXT"/>
    <x v="0"/>
    <x v="17"/>
    <n v="342"/>
    <n v="124830"/>
    <n v="449388"/>
  </r>
  <r>
    <x v="0"/>
    <x v="1"/>
    <x v="1"/>
    <x v="8"/>
    <x v="16"/>
    <s v="PL_A"/>
    <x v="15"/>
    <x v="0"/>
    <s v="BELC-1_ST_LIGNITE_EXT"/>
    <x v="0"/>
    <x v="19"/>
    <n v="342"/>
    <n v="124830"/>
    <n v="449388"/>
  </r>
  <r>
    <x v="0"/>
    <x v="1"/>
    <x v="1"/>
    <x v="8"/>
    <x v="16"/>
    <s v="PL_A"/>
    <x v="15"/>
    <x v="0"/>
    <s v="BELC-1_ST_LIGNITE_EXT"/>
    <x v="0"/>
    <x v="20"/>
    <n v="342"/>
    <n v="124830"/>
    <n v="449388"/>
  </r>
  <r>
    <x v="0"/>
    <x v="1"/>
    <x v="1"/>
    <x v="8"/>
    <x v="16"/>
    <s v="PL_A"/>
    <x v="15"/>
    <x v="0"/>
    <s v="BELC-1_ST_LIGNITE_EXT"/>
    <x v="0"/>
    <x v="21"/>
    <n v="342"/>
    <n v="124830"/>
    <n v="449388"/>
  </r>
  <r>
    <x v="0"/>
    <x v="1"/>
    <x v="1"/>
    <x v="8"/>
    <x v="16"/>
    <s v="PL_A"/>
    <x v="15"/>
    <x v="0"/>
    <s v="BELC-1_ST_LIGNITE_EXT"/>
    <x v="0"/>
    <x v="22"/>
    <n v="342"/>
    <n v="124830"/>
    <n v="449388"/>
  </r>
  <r>
    <x v="0"/>
    <x v="1"/>
    <x v="1"/>
    <x v="8"/>
    <x v="16"/>
    <s v="PL_A"/>
    <x v="15"/>
    <x v="0"/>
    <s v="BELC-1_ST_LIGNITE_EXT"/>
    <x v="0"/>
    <x v="23"/>
    <n v="342"/>
    <n v="124830"/>
    <n v="449388"/>
  </r>
  <r>
    <x v="0"/>
    <x v="1"/>
    <x v="1"/>
    <x v="8"/>
    <x v="16"/>
    <s v="PL_A"/>
    <x v="2"/>
    <x v="0"/>
    <s v="GNR_ST_MSW_BP_E-15"/>
    <x v="0"/>
    <x v="6"/>
    <n v="34"/>
    <n v="12410"/>
    <n v="44676"/>
  </r>
  <r>
    <x v="0"/>
    <x v="1"/>
    <x v="1"/>
    <x v="8"/>
    <x v="16"/>
    <s v="PL_A"/>
    <x v="2"/>
    <x v="0"/>
    <s v="GNR_ST_MSW_BP_E-15"/>
    <x v="0"/>
    <x v="7"/>
    <n v="34"/>
    <n v="12410"/>
    <n v="44676"/>
  </r>
  <r>
    <x v="0"/>
    <x v="1"/>
    <x v="1"/>
    <x v="8"/>
    <x v="16"/>
    <s v="PL_A"/>
    <x v="2"/>
    <x v="0"/>
    <s v="GNR_ST_MSW_BP_E-15"/>
    <x v="0"/>
    <x v="8"/>
    <n v="34"/>
    <n v="12410"/>
    <n v="44676"/>
  </r>
  <r>
    <x v="0"/>
    <x v="1"/>
    <x v="1"/>
    <x v="8"/>
    <x v="16"/>
    <s v="PL_A"/>
    <x v="2"/>
    <x v="0"/>
    <s v="GNR_ST_MSW_BP_E-15"/>
    <x v="0"/>
    <x v="15"/>
    <n v="34"/>
    <n v="12410"/>
    <n v="44676"/>
  </r>
  <r>
    <x v="0"/>
    <x v="1"/>
    <x v="1"/>
    <x v="8"/>
    <x v="16"/>
    <s v="PL_A"/>
    <x v="2"/>
    <x v="0"/>
    <s v="GNR_ST_MSW_BP_E-15"/>
    <x v="0"/>
    <x v="16"/>
    <n v="34"/>
    <n v="12410"/>
    <n v="44676"/>
  </r>
  <r>
    <x v="0"/>
    <x v="1"/>
    <x v="1"/>
    <x v="8"/>
    <x v="16"/>
    <s v="PL_A"/>
    <x v="5"/>
    <x v="3"/>
    <s v="GNR_PV_SUN"/>
    <x v="0"/>
    <x v="7"/>
    <n v="2.2203077554217899E-2"/>
    <n v="8.1041233072895391"/>
    <n v="29.174843906242302"/>
  </r>
  <r>
    <x v="0"/>
    <x v="1"/>
    <x v="1"/>
    <x v="8"/>
    <x v="16"/>
    <s v="PL_A"/>
    <x v="5"/>
    <x v="3"/>
    <s v="GNR_PV_SUN"/>
    <x v="0"/>
    <x v="8"/>
    <n v="0.16714932230559901"/>
    <n v="61.009502641543797"/>
    <n v="219.63420950955799"/>
  </r>
  <r>
    <x v="0"/>
    <x v="1"/>
    <x v="1"/>
    <x v="8"/>
    <x v="16"/>
    <s v="PL_A"/>
    <x v="5"/>
    <x v="3"/>
    <s v="GNR_PV_SUN"/>
    <x v="0"/>
    <x v="9"/>
    <n v="0.38610582557104101"/>
    <n v="140.92862633343"/>
    <n v="507.34305480034698"/>
  </r>
  <r>
    <x v="0"/>
    <x v="1"/>
    <x v="1"/>
    <x v="8"/>
    <x v="16"/>
    <s v="PL_A"/>
    <x v="5"/>
    <x v="3"/>
    <s v="GNR_PV_SUN"/>
    <x v="0"/>
    <x v="10"/>
    <n v="0.58798303841015997"/>
    <n v="214.61380901970901"/>
    <n v="772.60971247095097"/>
  </r>
  <r>
    <x v="0"/>
    <x v="1"/>
    <x v="1"/>
    <x v="8"/>
    <x v="16"/>
    <s v="PL_A"/>
    <x v="5"/>
    <x v="3"/>
    <s v="GNR_PV_SUN"/>
    <x v="0"/>
    <x v="11"/>
    <n v="0.66848342728622201"/>
    <n v="243.99645095947099"/>
    <n v="878.38722345409599"/>
  </r>
  <r>
    <x v="0"/>
    <x v="1"/>
    <x v="1"/>
    <x v="8"/>
    <x v="16"/>
    <s v="PL_A"/>
    <x v="5"/>
    <x v="3"/>
    <s v="GNR_PV_SUN"/>
    <x v="0"/>
    <x v="12"/>
    <n v="0.58126518417580697"/>
    <n v="212.16179222417"/>
    <n v="763.78245200701099"/>
  </r>
  <r>
    <x v="0"/>
    <x v="1"/>
    <x v="1"/>
    <x v="8"/>
    <x v="16"/>
    <s v="PL_A"/>
    <x v="5"/>
    <x v="3"/>
    <s v="GNR_PV_SUN"/>
    <x v="0"/>
    <x v="13"/>
    <n v="0.37824935197493298"/>
    <n v="138.06101347085001"/>
    <n v="497.01964849506197"/>
  </r>
  <r>
    <x v="0"/>
    <x v="1"/>
    <x v="1"/>
    <x v="8"/>
    <x v="16"/>
    <s v="PL_A"/>
    <x v="5"/>
    <x v="3"/>
    <s v="GNR_PV_SUN"/>
    <x v="0"/>
    <x v="14"/>
    <n v="0.191515776647151"/>
    <n v="69.903258476210297"/>
    <n v="251.65173051435701"/>
  </r>
  <r>
    <x v="0"/>
    <x v="1"/>
    <x v="1"/>
    <x v="8"/>
    <x v="16"/>
    <s v="PL_A"/>
    <x v="5"/>
    <x v="3"/>
    <s v="GNR_PV_SUN"/>
    <x v="0"/>
    <x v="15"/>
    <n v="2.4935764022429301E-2"/>
    <n v="9.1015538681867092"/>
    <n v="32.765593925472203"/>
  </r>
  <r>
    <x v="0"/>
    <x v="1"/>
    <x v="1"/>
    <x v="8"/>
    <x v="16"/>
    <s v="PL_A"/>
    <x v="7"/>
    <x v="5"/>
    <s v="GNR_WT_WIND_ONS"/>
    <x v="0"/>
    <x v="0"/>
    <n v="460.792299148464"/>
    <n v="168189.189189189"/>
    <n v="605481.08108108095"/>
  </r>
  <r>
    <x v="0"/>
    <x v="1"/>
    <x v="1"/>
    <x v="8"/>
    <x v="16"/>
    <s v="PL_A"/>
    <x v="7"/>
    <x v="5"/>
    <s v="GNR_WT_WIND_ONS"/>
    <x v="0"/>
    <x v="1"/>
    <n v="552.95075897815605"/>
    <n v="201827.02702702701"/>
    <n v="726577.29729729705"/>
  </r>
  <r>
    <x v="0"/>
    <x v="1"/>
    <x v="1"/>
    <x v="8"/>
    <x v="16"/>
    <s v="PL_A"/>
    <x v="7"/>
    <x v="5"/>
    <s v="GNR_WT_WIND_ONS"/>
    <x v="0"/>
    <x v="18"/>
    <n v="539.78526471677196"/>
    <n v="197021.62162162201"/>
    <n v="709277.83783783799"/>
  </r>
  <r>
    <x v="0"/>
    <x v="1"/>
    <x v="1"/>
    <x v="8"/>
    <x v="16"/>
    <s v="PL_A"/>
    <x v="7"/>
    <x v="5"/>
    <s v="GNR_WT_WIND_ONS"/>
    <x v="0"/>
    <x v="2"/>
    <n v="506.87152906330999"/>
    <n v="185008.10810810799"/>
    <n v="666029.189189189"/>
  </r>
  <r>
    <x v="0"/>
    <x v="1"/>
    <x v="1"/>
    <x v="8"/>
    <x v="16"/>
    <s v="PL_A"/>
    <x v="7"/>
    <x v="5"/>
    <s v="GNR_WT_WIND_ONS"/>
    <x v="0"/>
    <x v="3"/>
    <n v="375.21658644946302"/>
    <n v="136954.054054054"/>
    <n v="493034.59459459502"/>
  </r>
  <r>
    <x v="0"/>
    <x v="1"/>
    <x v="1"/>
    <x v="8"/>
    <x v="16"/>
    <s v="PL_A"/>
    <x v="7"/>
    <x v="5"/>
    <s v="GNR_WT_WIND_ONS"/>
    <x v="0"/>
    <x v="4"/>
    <n v="217.23065531284701"/>
    <n v="79289.189189189201"/>
    <n v="285441.08108108101"/>
  </r>
  <r>
    <x v="0"/>
    <x v="1"/>
    <x v="1"/>
    <x v="8"/>
    <x v="16"/>
    <s v="PL_A"/>
    <x v="7"/>
    <x v="5"/>
    <s v="GNR_WT_WIND_ONS"/>
    <x v="0"/>
    <x v="5"/>
    <n v="46.079229914846401"/>
    <n v="16818.918918918898"/>
    <n v="60548.108108108099"/>
  </r>
  <r>
    <x v="0"/>
    <x v="1"/>
    <x v="1"/>
    <x v="8"/>
    <x v="16"/>
    <s v="PL_A"/>
    <x v="7"/>
    <x v="5"/>
    <s v="GNR_WT_WIND_ONS"/>
    <x v="0"/>
    <x v="6"/>
    <n v="32.9137356534617"/>
    <n v="12013.513513513501"/>
    <n v="43248.648648648603"/>
  </r>
  <r>
    <x v="0"/>
    <x v="1"/>
    <x v="1"/>
    <x v="8"/>
    <x v="16"/>
    <s v="PL_A"/>
    <x v="7"/>
    <x v="5"/>
    <s v="GNR_WT_WIND_ONS"/>
    <x v="0"/>
    <x v="7"/>
    <n v="46.079229914846401"/>
    <n v="16818.918918918898"/>
    <n v="60548.108108108099"/>
  </r>
  <r>
    <x v="0"/>
    <x v="1"/>
    <x v="1"/>
    <x v="8"/>
    <x v="16"/>
    <s v="PL_A"/>
    <x v="7"/>
    <x v="5"/>
    <s v="GNR_WT_WIND_ONS"/>
    <x v="0"/>
    <x v="8"/>
    <n v="217.23065531284701"/>
    <n v="79289.189189189201"/>
    <n v="285441.08108108101"/>
  </r>
  <r>
    <x v="0"/>
    <x v="1"/>
    <x v="1"/>
    <x v="8"/>
    <x v="16"/>
    <s v="PL_A"/>
    <x v="7"/>
    <x v="5"/>
    <s v="GNR_WT_WIND_ONS"/>
    <x v="0"/>
    <x v="9"/>
    <n v="506.87152906330999"/>
    <n v="185008.10810810799"/>
    <n v="666029.189189189"/>
  </r>
  <r>
    <x v="0"/>
    <x v="1"/>
    <x v="1"/>
    <x v="8"/>
    <x v="16"/>
    <s v="PL_A"/>
    <x v="7"/>
    <x v="5"/>
    <s v="GNR_WT_WIND_ONS"/>
    <x v="0"/>
    <x v="10"/>
    <n v="783.34690855238796"/>
    <n v="285921.62162162201"/>
    <n v="1029317.83783784"/>
  </r>
  <r>
    <x v="0"/>
    <x v="1"/>
    <x v="1"/>
    <x v="8"/>
    <x v="16"/>
    <s v="PL_A"/>
    <x v="7"/>
    <x v="5"/>
    <s v="GNR_WT_WIND_ONS"/>
    <x v="0"/>
    <x v="11"/>
    <n v="908.41910403554198"/>
    <n v="331572.97297297302"/>
    <n v="1193662.7027026999"/>
  </r>
  <r>
    <x v="0"/>
    <x v="1"/>
    <x v="1"/>
    <x v="8"/>
    <x v="16"/>
    <s v="PL_A"/>
    <x v="7"/>
    <x v="5"/>
    <s v="GNR_WT_WIND_ONS"/>
    <x v="0"/>
    <x v="12"/>
    <n v="1040.0740466493901"/>
    <n v="379627.02702702698"/>
    <n v="1366657.2972973001"/>
  </r>
  <r>
    <x v="0"/>
    <x v="1"/>
    <x v="1"/>
    <x v="8"/>
    <x v="16"/>
    <s v="PL_A"/>
    <x v="7"/>
    <x v="5"/>
    <s v="GNR_WT_WIND_ONS"/>
    <x v="0"/>
    <x v="13"/>
    <n v="1040.0740466493901"/>
    <n v="379627.02702702698"/>
    <n v="1366657.2972973001"/>
  </r>
  <r>
    <x v="0"/>
    <x v="1"/>
    <x v="1"/>
    <x v="8"/>
    <x v="16"/>
    <s v="PL_A"/>
    <x v="7"/>
    <x v="5"/>
    <s v="GNR_WT_WIND_ONS"/>
    <x v="0"/>
    <x v="14"/>
    <n v="1645.68678267308"/>
    <n v="600675.67567567597"/>
    <n v="2162432.4324324299"/>
  </r>
  <r>
    <x v="0"/>
    <x v="1"/>
    <x v="1"/>
    <x v="8"/>
    <x v="16"/>
    <s v="PL_A"/>
    <x v="7"/>
    <x v="5"/>
    <s v="GNR_WT_WIND_ONS"/>
    <x v="0"/>
    <x v="15"/>
    <n v="2126.2273232136199"/>
    <n v="776072.97297297302"/>
    <n v="2793862.7027027002"/>
  </r>
  <r>
    <x v="0"/>
    <x v="1"/>
    <x v="1"/>
    <x v="8"/>
    <x v="16"/>
    <s v="PL_A"/>
    <x v="7"/>
    <x v="5"/>
    <s v="GNR_WT_WIND_ONS"/>
    <x v="0"/>
    <x v="16"/>
    <n v="2099.8963346908599"/>
    <n v="766462.16216216201"/>
    <n v="2759263.7837837799"/>
  </r>
  <r>
    <x v="0"/>
    <x v="1"/>
    <x v="1"/>
    <x v="8"/>
    <x v="16"/>
    <s v="PL_A"/>
    <x v="7"/>
    <x v="5"/>
    <s v="GNR_WT_WIND_ONS"/>
    <x v="0"/>
    <x v="17"/>
    <n v="2870.0777489818602"/>
    <n v="1047578.37837838"/>
    <n v="3771282.16216216"/>
  </r>
  <r>
    <x v="0"/>
    <x v="1"/>
    <x v="1"/>
    <x v="8"/>
    <x v="16"/>
    <s v="PL_A"/>
    <x v="7"/>
    <x v="5"/>
    <s v="GNR_WT_WIND_ONS"/>
    <x v="0"/>
    <x v="19"/>
    <n v="4272.2028878193296"/>
    <n v="1559354.05405405"/>
    <n v="5613674.5945945904"/>
  </r>
  <r>
    <x v="0"/>
    <x v="1"/>
    <x v="1"/>
    <x v="8"/>
    <x v="16"/>
    <s v="PL_A"/>
    <x v="7"/>
    <x v="5"/>
    <s v="GNR_WT_WIND_ONS"/>
    <x v="0"/>
    <x v="20"/>
    <n v="4950.2258422806399"/>
    <n v="1806832.4324324301"/>
    <n v="6504596.7567567602"/>
  </r>
  <r>
    <x v="0"/>
    <x v="1"/>
    <x v="1"/>
    <x v="8"/>
    <x v="16"/>
    <s v="PL_A"/>
    <x v="7"/>
    <x v="5"/>
    <s v="GNR_WT_WIND_ONS"/>
    <x v="0"/>
    <x v="21"/>
    <n v="5338.6079229914803"/>
    <n v="1948591.89189189"/>
    <n v="7014930.81081081"/>
  </r>
  <r>
    <x v="0"/>
    <x v="1"/>
    <x v="1"/>
    <x v="8"/>
    <x v="16"/>
    <s v="PL_A"/>
    <x v="7"/>
    <x v="5"/>
    <s v="GNR_WT_WIND_ONS"/>
    <x v="0"/>
    <x v="22"/>
    <n v="5424.1836356904896"/>
    <n v="1979827.02702703"/>
    <n v="7127377.2972972998"/>
  </r>
  <r>
    <x v="0"/>
    <x v="1"/>
    <x v="1"/>
    <x v="8"/>
    <x v="16"/>
    <s v="PL_A"/>
    <x v="7"/>
    <x v="5"/>
    <s v="GNR_WT_WIND_ONS"/>
    <x v="0"/>
    <x v="23"/>
    <n v="5647.9970381340199"/>
    <n v="2061518.91891892"/>
    <n v="7421468.1081081098"/>
  </r>
  <r>
    <x v="0"/>
    <x v="1"/>
    <x v="1"/>
    <x v="8"/>
    <x v="16"/>
    <s v="PL_Rural"/>
    <x v="0"/>
    <x v="6"/>
    <s v="DOLN-2_ST_COAL_CND"/>
    <x v="0"/>
    <x v="0"/>
    <n v="1425"/>
    <n v="520125"/>
    <n v="1872450"/>
  </r>
  <r>
    <x v="0"/>
    <x v="1"/>
    <x v="1"/>
    <x v="8"/>
    <x v="16"/>
    <s v="PL_Rural"/>
    <x v="0"/>
    <x v="6"/>
    <s v="DOLN-2_ST_COAL_CND"/>
    <x v="0"/>
    <x v="4"/>
    <n v="1425"/>
    <n v="520125"/>
    <n v="1872450"/>
  </r>
  <r>
    <x v="0"/>
    <x v="1"/>
    <x v="1"/>
    <x v="8"/>
    <x v="16"/>
    <s v="PL_Rural"/>
    <x v="0"/>
    <x v="6"/>
    <s v="DOLN-2_ST_COAL_CND"/>
    <x v="0"/>
    <x v="5"/>
    <n v="1425"/>
    <n v="520125"/>
    <n v="1872450"/>
  </r>
  <r>
    <x v="0"/>
    <x v="1"/>
    <x v="1"/>
    <x v="8"/>
    <x v="16"/>
    <s v="PL_Rural"/>
    <x v="0"/>
    <x v="6"/>
    <s v="DOLN-2_ST_COAL_CND"/>
    <x v="0"/>
    <x v="6"/>
    <n v="1425"/>
    <n v="520125"/>
    <n v="1872450"/>
  </r>
  <r>
    <x v="0"/>
    <x v="1"/>
    <x v="1"/>
    <x v="8"/>
    <x v="16"/>
    <s v="PL_Rural"/>
    <x v="0"/>
    <x v="6"/>
    <s v="DOLN-2_ST_COAL_CND"/>
    <x v="0"/>
    <x v="7"/>
    <n v="1425"/>
    <n v="520125"/>
    <n v="1872450"/>
  </r>
  <r>
    <x v="0"/>
    <x v="1"/>
    <x v="1"/>
    <x v="8"/>
    <x v="16"/>
    <s v="PL_Rural"/>
    <x v="0"/>
    <x v="6"/>
    <s v="DOLN-2_ST_COAL_CND"/>
    <x v="0"/>
    <x v="8"/>
    <n v="1425"/>
    <n v="520125"/>
    <n v="1872450"/>
  </r>
  <r>
    <x v="0"/>
    <x v="1"/>
    <x v="1"/>
    <x v="8"/>
    <x v="16"/>
    <s v="PL_Rural"/>
    <x v="0"/>
    <x v="6"/>
    <s v="DOLN-2_ST_COAL_CND"/>
    <x v="0"/>
    <x v="9"/>
    <n v="1425"/>
    <n v="520125"/>
    <n v="1872450"/>
  </r>
  <r>
    <x v="0"/>
    <x v="1"/>
    <x v="1"/>
    <x v="8"/>
    <x v="16"/>
    <s v="PL_Rural"/>
    <x v="0"/>
    <x v="6"/>
    <s v="DOLN-2_ST_COAL_CND"/>
    <x v="0"/>
    <x v="10"/>
    <n v="1425"/>
    <n v="520125"/>
    <n v="1872450"/>
  </r>
  <r>
    <x v="0"/>
    <x v="1"/>
    <x v="1"/>
    <x v="8"/>
    <x v="16"/>
    <s v="PL_Rural"/>
    <x v="0"/>
    <x v="6"/>
    <s v="DOLN-2_ST_COAL_CND"/>
    <x v="0"/>
    <x v="11"/>
    <n v="1425"/>
    <n v="520125"/>
    <n v="1872450"/>
  </r>
  <r>
    <x v="0"/>
    <x v="1"/>
    <x v="1"/>
    <x v="8"/>
    <x v="16"/>
    <s v="PL_Rural"/>
    <x v="0"/>
    <x v="6"/>
    <s v="DOLN-2_ST_COAL_CND"/>
    <x v="0"/>
    <x v="12"/>
    <n v="1425"/>
    <n v="520125"/>
    <n v="1872450"/>
  </r>
  <r>
    <x v="0"/>
    <x v="1"/>
    <x v="1"/>
    <x v="8"/>
    <x v="16"/>
    <s v="PL_Rural"/>
    <x v="0"/>
    <x v="6"/>
    <s v="DOLN-2_ST_COAL_CND"/>
    <x v="0"/>
    <x v="13"/>
    <n v="1425"/>
    <n v="520125"/>
    <n v="1872450"/>
  </r>
  <r>
    <x v="0"/>
    <x v="1"/>
    <x v="1"/>
    <x v="8"/>
    <x v="16"/>
    <s v="PL_Rural"/>
    <x v="0"/>
    <x v="6"/>
    <s v="DOLN-2_ST_COAL_CND"/>
    <x v="0"/>
    <x v="14"/>
    <n v="1425"/>
    <n v="520125"/>
    <n v="1872450"/>
  </r>
  <r>
    <x v="0"/>
    <x v="1"/>
    <x v="1"/>
    <x v="8"/>
    <x v="16"/>
    <s v="PL_Rural"/>
    <x v="0"/>
    <x v="6"/>
    <s v="DOLN-2_ST_COAL_CND"/>
    <x v="0"/>
    <x v="15"/>
    <n v="1425"/>
    <n v="520125"/>
    <n v="1872450"/>
  </r>
  <r>
    <x v="0"/>
    <x v="1"/>
    <x v="1"/>
    <x v="8"/>
    <x v="16"/>
    <s v="PL_Rural"/>
    <x v="0"/>
    <x v="6"/>
    <s v="DOLN-2_ST_COAL_CND"/>
    <x v="0"/>
    <x v="16"/>
    <n v="1425"/>
    <n v="520125"/>
    <n v="1872450"/>
  </r>
  <r>
    <x v="0"/>
    <x v="1"/>
    <x v="1"/>
    <x v="8"/>
    <x v="16"/>
    <s v="PL_Rural"/>
    <x v="0"/>
    <x v="6"/>
    <s v="DOLN-2_ST_COAL_CND"/>
    <x v="0"/>
    <x v="17"/>
    <n v="1425"/>
    <n v="520125"/>
    <n v="1872450"/>
  </r>
  <r>
    <x v="0"/>
    <x v="1"/>
    <x v="1"/>
    <x v="8"/>
    <x v="16"/>
    <s v="PL_Rural"/>
    <x v="0"/>
    <x v="6"/>
    <s v="DOLN-2_ST_COAL_CND"/>
    <x v="0"/>
    <x v="19"/>
    <n v="475.23875126348503"/>
    <n v="173462.14421117201"/>
    <n v="624463.71916021896"/>
  </r>
  <r>
    <x v="0"/>
    <x v="1"/>
    <x v="1"/>
    <x v="8"/>
    <x v="16"/>
    <s v="PL_Rural"/>
    <x v="0"/>
    <x v="6"/>
    <s v="KOZI-2_ST_COAL_CND"/>
    <x v="0"/>
    <x v="1"/>
    <n v="962.076680983551"/>
    <n v="351157.988558996"/>
    <n v="1264168.75881239"/>
  </r>
  <r>
    <x v="0"/>
    <x v="1"/>
    <x v="1"/>
    <x v="8"/>
    <x v="16"/>
    <s v="PL_Rural"/>
    <x v="0"/>
    <x v="6"/>
    <s v="KOZI-2_ST_COAL_CND"/>
    <x v="0"/>
    <x v="18"/>
    <n v="120.729490518587"/>
    <n v="44066.264039284302"/>
    <n v="158638.550541423"/>
  </r>
  <r>
    <x v="0"/>
    <x v="1"/>
    <x v="1"/>
    <x v="8"/>
    <x v="16"/>
    <s v="PL_Rural"/>
    <x v="0"/>
    <x v="6"/>
    <s v="KOZI-2_ST_COAL_CND"/>
    <x v="0"/>
    <x v="2"/>
    <n v="312.14537932722402"/>
    <n v="113933.063454437"/>
    <n v="410159.028435972"/>
  </r>
  <r>
    <x v="0"/>
    <x v="1"/>
    <x v="1"/>
    <x v="8"/>
    <x v="16"/>
    <s v="PL_Rural"/>
    <x v="0"/>
    <x v="6"/>
    <s v="KOZI-2_ST_COAL_CND"/>
    <x v="0"/>
    <x v="3"/>
    <n v="1688.57012024714"/>
    <n v="616328.093890207"/>
    <n v="2218781.1380047398"/>
  </r>
  <r>
    <x v="0"/>
    <x v="1"/>
    <x v="1"/>
    <x v="8"/>
    <x v="16"/>
    <s v="PL_Rural"/>
    <x v="0"/>
    <x v="6"/>
    <s v="KOZI-2_ST_COAL_CND"/>
    <x v="0"/>
    <x v="5"/>
    <n v="2475"/>
    <n v="903375"/>
    <n v="3252150"/>
  </r>
  <r>
    <x v="0"/>
    <x v="1"/>
    <x v="1"/>
    <x v="8"/>
    <x v="16"/>
    <s v="PL_Rural"/>
    <x v="0"/>
    <x v="6"/>
    <s v="KOZI-2_ST_COAL_CND"/>
    <x v="0"/>
    <x v="6"/>
    <n v="2475"/>
    <n v="903375"/>
    <n v="3252150"/>
  </r>
  <r>
    <x v="0"/>
    <x v="1"/>
    <x v="1"/>
    <x v="8"/>
    <x v="16"/>
    <s v="PL_Rural"/>
    <x v="0"/>
    <x v="6"/>
    <s v="KOZI-2_ST_COAL_CND"/>
    <x v="0"/>
    <x v="7"/>
    <n v="2475"/>
    <n v="903375"/>
    <n v="3252150"/>
  </r>
  <r>
    <x v="0"/>
    <x v="1"/>
    <x v="1"/>
    <x v="8"/>
    <x v="16"/>
    <s v="PL_Rural"/>
    <x v="0"/>
    <x v="6"/>
    <s v="KOZI-2_ST_COAL_CND"/>
    <x v="0"/>
    <x v="8"/>
    <n v="2475"/>
    <n v="903375"/>
    <n v="3252150"/>
  </r>
  <r>
    <x v="0"/>
    <x v="1"/>
    <x v="1"/>
    <x v="8"/>
    <x v="16"/>
    <s v="PL_Rural"/>
    <x v="0"/>
    <x v="6"/>
    <s v="KOZI-2_ST_COAL_CND"/>
    <x v="0"/>
    <x v="9"/>
    <n v="2475"/>
    <n v="903375"/>
    <n v="3252150"/>
  </r>
  <r>
    <x v="0"/>
    <x v="1"/>
    <x v="1"/>
    <x v="8"/>
    <x v="16"/>
    <s v="PL_Rural"/>
    <x v="0"/>
    <x v="6"/>
    <s v="KOZI-2_ST_COAL_CND"/>
    <x v="0"/>
    <x v="10"/>
    <n v="2475"/>
    <n v="903375"/>
    <n v="3252150"/>
  </r>
  <r>
    <x v="0"/>
    <x v="1"/>
    <x v="1"/>
    <x v="8"/>
    <x v="16"/>
    <s v="PL_Rural"/>
    <x v="0"/>
    <x v="6"/>
    <s v="KOZI-2_ST_COAL_CND"/>
    <x v="0"/>
    <x v="11"/>
    <n v="2475"/>
    <n v="903375"/>
    <n v="3252150"/>
  </r>
  <r>
    <x v="0"/>
    <x v="1"/>
    <x v="1"/>
    <x v="8"/>
    <x v="16"/>
    <s v="PL_Rural"/>
    <x v="0"/>
    <x v="6"/>
    <s v="KOZI-2_ST_COAL_CND"/>
    <x v="0"/>
    <x v="12"/>
    <n v="2475"/>
    <n v="903375"/>
    <n v="3252150"/>
  </r>
  <r>
    <x v="0"/>
    <x v="1"/>
    <x v="1"/>
    <x v="8"/>
    <x v="16"/>
    <s v="PL_Rural"/>
    <x v="0"/>
    <x v="6"/>
    <s v="KOZI-2_ST_COAL_CND"/>
    <x v="0"/>
    <x v="13"/>
    <n v="2475"/>
    <n v="903375"/>
    <n v="3252150"/>
  </r>
  <r>
    <x v="0"/>
    <x v="1"/>
    <x v="1"/>
    <x v="8"/>
    <x v="16"/>
    <s v="PL_Rural"/>
    <x v="0"/>
    <x v="6"/>
    <s v="KOZI-2_ST_COAL_CND"/>
    <x v="0"/>
    <x v="14"/>
    <n v="2475"/>
    <n v="903375"/>
    <n v="3252150"/>
  </r>
  <r>
    <x v="0"/>
    <x v="1"/>
    <x v="1"/>
    <x v="8"/>
    <x v="16"/>
    <s v="PL_Rural"/>
    <x v="0"/>
    <x v="6"/>
    <s v="KOZI-2_ST_COAL_CND"/>
    <x v="0"/>
    <x v="15"/>
    <n v="2475"/>
    <n v="903375"/>
    <n v="3252150"/>
  </r>
  <r>
    <x v="0"/>
    <x v="1"/>
    <x v="1"/>
    <x v="8"/>
    <x v="16"/>
    <s v="PL_Rural"/>
    <x v="0"/>
    <x v="6"/>
    <s v="KOZI-2_ST_COAL_CND"/>
    <x v="0"/>
    <x v="16"/>
    <n v="2475"/>
    <n v="903375"/>
    <n v="3252150"/>
  </r>
  <r>
    <x v="0"/>
    <x v="1"/>
    <x v="1"/>
    <x v="8"/>
    <x v="16"/>
    <s v="PL_Rural"/>
    <x v="0"/>
    <x v="6"/>
    <s v="KOZI-2_ST_COAL_CND"/>
    <x v="0"/>
    <x v="17"/>
    <n v="2475"/>
    <n v="903375"/>
    <n v="3252150"/>
  </r>
  <r>
    <x v="0"/>
    <x v="1"/>
    <x v="1"/>
    <x v="8"/>
    <x v="16"/>
    <s v="PL_Rural"/>
    <x v="0"/>
    <x v="6"/>
    <s v="KOZI-2_ST_COAL_CND"/>
    <x v="0"/>
    <x v="19"/>
    <n v="2475"/>
    <n v="903375"/>
    <n v="3252150"/>
  </r>
  <r>
    <x v="0"/>
    <x v="1"/>
    <x v="1"/>
    <x v="8"/>
    <x v="16"/>
    <s v="PL_Rural"/>
    <x v="0"/>
    <x v="6"/>
    <s v="KOZI-2_ST_COAL_CND"/>
    <x v="0"/>
    <x v="20"/>
    <n v="2475"/>
    <n v="903375"/>
    <n v="3252150"/>
  </r>
  <r>
    <x v="0"/>
    <x v="1"/>
    <x v="1"/>
    <x v="8"/>
    <x v="16"/>
    <s v="PL_Rural"/>
    <x v="0"/>
    <x v="6"/>
    <s v="KOZI-2_ST_COAL_CND"/>
    <x v="0"/>
    <x v="21"/>
    <n v="2077.3170256132898"/>
    <n v="758220.71434884996"/>
    <n v="2729594.5716558602"/>
  </r>
  <r>
    <x v="0"/>
    <x v="1"/>
    <x v="1"/>
    <x v="8"/>
    <x v="16"/>
    <s v="PL_Rural"/>
    <x v="0"/>
    <x v="6"/>
    <s v="KOZI-2_ST_COAL_CND"/>
    <x v="0"/>
    <x v="22"/>
    <n v="738.73906002138301"/>
    <n v="269639.75690780499"/>
    <n v="970703.12486809795"/>
  </r>
  <r>
    <x v="0"/>
    <x v="1"/>
    <x v="1"/>
    <x v="8"/>
    <x v="16"/>
    <s v="PL_Rural"/>
    <x v="0"/>
    <x v="6"/>
    <s v="LAGI-6_ST_COAL_CND"/>
    <x v="0"/>
    <x v="0"/>
    <n v="427"/>
    <n v="155855"/>
    <n v="561078"/>
  </r>
  <r>
    <x v="0"/>
    <x v="1"/>
    <x v="1"/>
    <x v="8"/>
    <x v="16"/>
    <s v="PL_Rural"/>
    <x v="0"/>
    <x v="6"/>
    <s v="LAGI-6_ST_COAL_CND"/>
    <x v="0"/>
    <x v="1"/>
    <n v="427"/>
    <n v="155855"/>
    <n v="561078"/>
  </r>
  <r>
    <x v="0"/>
    <x v="1"/>
    <x v="1"/>
    <x v="8"/>
    <x v="16"/>
    <s v="PL_Rural"/>
    <x v="0"/>
    <x v="6"/>
    <s v="LAGI-6_ST_COAL_CND"/>
    <x v="0"/>
    <x v="18"/>
    <n v="427"/>
    <n v="155855"/>
    <n v="561078"/>
  </r>
  <r>
    <x v="0"/>
    <x v="1"/>
    <x v="1"/>
    <x v="8"/>
    <x v="16"/>
    <s v="PL_Rural"/>
    <x v="0"/>
    <x v="6"/>
    <s v="LAGI-6_ST_COAL_CND"/>
    <x v="0"/>
    <x v="2"/>
    <n v="427"/>
    <n v="155855"/>
    <n v="561078"/>
  </r>
  <r>
    <x v="0"/>
    <x v="1"/>
    <x v="1"/>
    <x v="8"/>
    <x v="16"/>
    <s v="PL_Rural"/>
    <x v="0"/>
    <x v="6"/>
    <s v="LAGI-6_ST_COAL_CND"/>
    <x v="0"/>
    <x v="3"/>
    <n v="427"/>
    <n v="155855"/>
    <n v="561078"/>
  </r>
  <r>
    <x v="0"/>
    <x v="1"/>
    <x v="1"/>
    <x v="8"/>
    <x v="16"/>
    <s v="PL_Rural"/>
    <x v="0"/>
    <x v="6"/>
    <s v="LAGI-6_ST_COAL_CND"/>
    <x v="0"/>
    <x v="4"/>
    <n v="427"/>
    <n v="155855"/>
    <n v="561078"/>
  </r>
  <r>
    <x v="0"/>
    <x v="1"/>
    <x v="1"/>
    <x v="8"/>
    <x v="16"/>
    <s v="PL_Rural"/>
    <x v="0"/>
    <x v="6"/>
    <s v="LAGI-6_ST_COAL_CND"/>
    <x v="0"/>
    <x v="5"/>
    <n v="427"/>
    <n v="155855"/>
    <n v="561078"/>
  </r>
  <r>
    <x v="0"/>
    <x v="1"/>
    <x v="1"/>
    <x v="8"/>
    <x v="16"/>
    <s v="PL_Rural"/>
    <x v="0"/>
    <x v="6"/>
    <s v="LAGI-6_ST_COAL_CND"/>
    <x v="0"/>
    <x v="6"/>
    <n v="427"/>
    <n v="155855"/>
    <n v="561078"/>
  </r>
  <r>
    <x v="0"/>
    <x v="1"/>
    <x v="1"/>
    <x v="8"/>
    <x v="16"/>
    <s v="PL_Rural"/>
    <x v="0"/>
    <x v="6"/>
    <s v="LAGI-6_ST_COAL_CND"/>
    <x v="0"/>
    <x v="7"/>
    <n v="427"/>
    <n v="155855"/>
    <n v="561078"/>
  </r>
  <r>
    <x v="0"/>
    <x v="1"/>
    <x v="1"/>
    <x v="8"/>
    <x v="16"/>
    <s v="PL_Rural"/>
    <x v="0"/>
    <x v="6"/>
    <s v="LAGI-6_ST_COAL_CND"/>
    <x v="0"/>
    <x v="8"/>
    <n v="427"/>
    <n v="155855"/>
    <n v="561078"/>
  </r>
  <r>
    <x v="0"/>
    <x v="1"/>
    <x v="1"/>
    <x v="8"/>
    <x v="16"/>
    <s v="PL_Rural"/>
    <x v="0"/>
    <x v="6"/>
    <s v="LAGI-6_ST_COAL_CND"/>
    <x v="0"/>
    <x v="9"/>
    <n v="427"/>
    <n v="155855"/>
    <n v="561078"/>
  </r>
  <r>
    <x v="0"/>
    <x v="1"/>
    <x v="1"/>
    <x v="8"/>
    <x v="16"/>
    <s v="PL_Rural"/>
    <x v="0"/>
    <x v="6"/>
    <s v="LAGI-6_ST_COAL_CND"/>
    <x v="0"/>
    <x v="10"/>
    <n v="427"/>
    <n v="155855"/>
    <n v="561078"/>
  </r>
  <r>
    <x v="0"/>
    <x v="1"/>
    <x v="1"/>
    <x v="8"/>
    <x v="16"/>
    <s v="PL_Rural"/>
    <x v="0"/>
    <x v="6"/>
    <s v="LAGI-6_ST_COAL_CND"/>
    <x v="0"/>
    <x v="11"/>
    <n v="427"/>
    <n v="155855"/>
    <n v="561078"/>
  </r>
  <r>
    <x v="0"/>
    <x v="1"/>
    <x v="1"/>
    <x v="8"/>
    <x v="16"/>
    <s v="PL_Rural"/>
    <x v="0"/>
    <x v="6"/>
    <s v="LAGI-6_ST_COAL_CND"/>
    <x v="0"/>
    <x v="12"/>
    <n v="427"/>
    <n v="155855"/>
    <n v="561078"/>
  </r>
  <r>
    <x v="0"/>
    <x v="1"/>
    <x v="1"/>
    <x v="8"/>
    <x v="16"/>
    <s v="PL_Rural"/>
    <x v="0"/>
    <x v="6"/>
    <s v="LAGI-6_ST_COAL_CND"/>
    <x v="0"/>
    <x v="13"/>
    <n v="427"/>
    <n v="155855"/>
    <n v="561078"/>
  </r>
  <r>
    <x v="0"/>
    <x v="1"/>
    <x v="1"/>
    <x v="8"/>
    <x v="16"/>
    <s v="PL_Rural"/>
    <x v="0"/>
    <x v="6"/>
    <s v="LAGI-6_ST_COAL_CND"/>
    <x v="0"/>
    <x v="14"/>
    <n v="427"/>
    <n v="155855"/>
    <n v="561078"/>
  </r>
  <r>
    <x v="0"/>
    <x v="1"/>
    <x v="1"/>
    <x v="8"/>
    <x v="16"/>
    <s v="PL_Rural"/>
    <x v="0"/>
    <x v="6"/>
    <s v="LAGI-6_ST_COAL_CND"/>
    <x v="0"/>
    <x v="15"/>
    <n v="427"/>
    <n v="155855"/>
    <n v="561078"/>
  </r>
  <r>
    <x v="0"/>
    <x v="1"/>
    <x v="1"/>
    <x v="8"/>
    <x v="16"/>
    <s v="PL_Rural"/>
    <x v="0"/>
    <x v="6"/>
    <s v="LAGI-6_ST_COAL_CND"/>
    <x v="0"/>
    <x v="16"/>
    <n v="427"/>
    <n v="155855"/>
    <n v="561078"/>
  </r>
  <r>
    <x v="0"/>
    <x v="1"/>
    <x v="1"/>
    <x v="8"/>
    <x v="16"/>
    <s v="PL_Rural"/>
    <x v="0"/>
    <x v="6"/>
    <s v="LAGI-6_ST_COAL_CND"/>
    <x v="0"/>
    <x v="17"/>
    <n v="427"/>
    <n v="155855"/>
    <n v="561078"/>
  </r>
  <r>
    <x v="0"/>
    <x v="1"/>
    <x v="1"/>
    <x v="8"/>
    <x v="16"/>
    <s v="PL_Rural"/>
    <x v="0"/>
    <x v="6"/>
    <s v="LAGI-6_ST_COAL_CND"/>
    <x v="0"/>
    <x v="19"/>
    <n v="427"/>
    <n v="155855"/>
    <n v="561078"/>
  </r>
  <r>
    <x v="0"/>
    <x v="1"/>
    <x v="1"/>
    <x v="8"/>
    <x v="16"/>
    <s v="PL_Rural"/>
    <x v="0"/>
    <x v="6"/>
    <s v="LAGI-6_ST_COAL_CND"/>
    <x v="0"/>
    <x v="20"/>
    <n v="427"/>
    <n v="155855"/>
    <n v="561078"/>
  </r>
  <r>
    <x v="0"/>
    <x v="1"/>
    <x v="1"/>
    <x v="8"/>
    <x v="16"/>
    <s v="PL_Rural"/>
    <x v="0"/>
    <x v="6"/>
    <s v="LAGI-6_ST_COAL_CND"/>
    <x v="0"/>
    <x v="21"/>
    <n v="427"/>
    <n v="155855"/>
    <n v="561078"/>
  </r>
  <r>
    <x v="0"/>
    <x v="1"/>
    <x v="1"/>
    <x v="8"/>
    <x v="16"/>
    <s v="PL_Rural"/>
    <x v="0"/>
    <x v="6"/>
    <s v="LAGI-6_ST_COAL_CND"/>
    <x v="0"/>
    <x v="22"/>
    <n v="427"/>
    <n v="155855"/>
    <n v="561078"/>
  </r>
  <r>
    <x v="0"/>
    <x v="1"/>
    <x v="1"/>
    <x v="8"/>
    <x v="16"/>
    <s v="PL_Rural"/>
    <x v="0"/>
    <x v="6"/>
    <s v="LAGI-6_ST_COAL_CND"/>
    <x v="0"/>
    <x v="23"/>
    <n v="427"/>
    <n v="155855"/>
    <n v="561078"/>
  </r>
  <r>
    <x v="0"/>
    <x v="1"/>
    <x v="1"/>
    <x v="8"/>
    <x v="16"/>
    <s v="PL_Rural"/>
    <x v="0"/>
    <x v="6"/>
    <s v="LAZI-2_ST_COAL_CND"/>
    <x v="0"/>
    <x v="5"/>
    <n v="938"/>
    <n v="342370"/>
    <n v="1232532"/>
  </r>
  <r>
    <x v="0"/>
    <x v="1"/>
    <x v="1"/>
    <x v="8"/>
    <x v="16"/>
    <s v="PL_Rural"/>
    <x v="0"/>
    <x v="6"/>
    <s v="LAZI-2_ST_COAL_CND"/>
    <x v="0"/>
    <x v="6"/>
    <n v="938"/>
    <n v="342370"/>
    <n v="1232532"/>
  </r>
  <r>
    <x v="0"/>
    <x v="1"/>
    <x v="1"/>
    <x v="8"/>
    <x v="16"/>
    <s v="PL_Rural"/>
    <x v="0"/>
    <x v="6"/>
    <s v="LAZI-2_ST_COAL_CND"/>
    <x v="0"/>
    <x v="7"/>
    <n v="938"/>
    <n v="342370"/>
    <n v="1232532"/>
  </r>
  <r>
    <x v="0"/>
    <x v="1"/>
    <x v="1"/>
    <x v="8"/>
    <x v="16"/>
    <s v="PL_Rural"/>
    <x v="0"/>
    <x v="6"/>
    <s v="LAZI-2_ST_COAL_CND"/>
    <x v="0"/>
    <x v="8"/>
    <n v="938"/>
    <n v="342370"/>
    <n v="1232532"/>
  </r>
  <r>
    <x v="0"/>
    <x v="1"/>
    <x v="1"/>
    <x v="8"/>
    <x v="16"/>
    <s v="PL_Rural"/>
    <x v="0"/>
    <x v="6"/>
    <s v="LAZI-2_ST_COAL_CND"/>
    <x v="0"/>
    <x v="9"/>
    <n v="938"/>
    <n v="342370"/>
    <n v="1232532"/>
  </r>
  <r>
    <x v="0"/>
    <x v="1"/>
    <x v="1"/>
    <x v="8"/>
    <x v="16"/>
    <s v="PL_Rural"/>
    <x v="0"/>
    <x v="6"/>
    <s v="LAZI-2_ST_COAL_CND"/>
    <x v="0"/>
    <x v="10"/>
    <n v="938"/>
    <n v="342370"/>
    <n v="1232532"/>
  </r>
  <r>
    <x v="0"/>
    <x v="1"/>
    <x v="1"/>
    <x v="8"/>
    <x v="16"/>
    <s v="PL_Rural"/>
    <x v="0"/>
    <x v="6"/>
    <s v="LAZI-2_ST_COAL_CND"/>
    <x v="0"/>
    <x v="11"/>
    <n v="938"/>
    <n v="342370"/>
    <n v="1232532"/>
  </r>
  <r>
    <x v="0"/>
    <x v="1"/>
    <x v="1"/>
    <x v="8"/>
    <x v="16"/>
    <s v="PL_Rural"/>
    <x v="0"/>
    <x v="6"/>
    <s v="LAZI-2_ST_COAL_CND"/>
    <x v="0"/>
    <x v="12"/>
    <n v="938"/>
    <n v="342370"/>
    <n v="1232532"/>
  </r>
  <r>
    <x v="0"/>
    <x v="1"/>
    <x v="1"/>
    <x v="8"/>
    <x v="16"/>
    <s v="PL_Rural"/>
    <x v="0"/>
    <x v="6"/>
    <s v="LAZI-2_ST_COAL_CND"/>
    <x v="0"/>
    <x v="13"/>
    <n v="938"/>
    <n v="342370"/>
    <n v="1232532"/>
  </r>
  <r>
    <x v="0"/>
    <x v="1"/>
    <x v="1"/>
    <x v="8"/>
    <x v="16"/>
    <s v="PL_Rural"/>
    <x v="0"/>
    <x v="6"/>
    <s v="LAZI-2_ST_COAL_CND"/>
    <x v="0"/>
    <x v="14"/>
    <n v="938"/>
    <n v="342370"/>
    <n v="1232532"/>
  </r>
  <r>
    <x v="0"/>
    <x v="1"/>
    <x v="1"/>
    <x v="8"/>
    <x v="16"/>
    <s v="PL_Rural"/>
    <x v="0"/>
    <x v="6"/>
    <s v="LAZI-2_ST_COAL_CND"/>
    <x v="0"/>
    <x v="15"/>
    <n v="938"/>
    <n v="342370"/>
    <n v="1232532"/>
  </r>
  <r>
    <x v="0"/>
    <x v="1"/>
    <x v="1"/>
    <x v="8"/>
    <x v="16"/>
    <s v="PL_Rural"/>
    <x v="0"/>
    <x v="6"/>
    <s v="LAZI-2_ST_COAL_CND"/>
    <x v="0"/>
    <x v="16"/>
    <n v="938"/>
    <n v="342370"/>
    <n v="1232532"/>
  </r>
  <r>
    <x v="0"/>
    <x v="1"/>
    <x v="1"/>
    <x v="8"/>
    <x v="16"/>
    <s v="PL_Rural"/>
    <x v="0"/>
    <x v="6"/>
    <s v="LAZI-2_ST_COAL_CND"/>
    <x v="0"/>
    <x v="17"/>
    <n v="938"/>
    <n v="342370"/>
    <n v="1232532"/>
  </r>
  <r>
    <x v="0"/>
    <x v="1"/>
    <x v="1"/>
    <x v="8"/>
    <x v="16"/>
    <s v="PL_Rural"/>
    <x v="0"/>
    <x v="6"/>
    <s v="OPOL-1_ST_COAL_CND"/>
    <x v="0"/>
    <x v="0"/>
    <n v="1420"/>
    <n v="518300"/>
    <n v="1865880"/>
  </r>
  <r>
    <x v="0"/>
    <x v="1"/>
    <x v="1"/>
    <x v="8"/>
    <x v="16"/>
    <s v="PL_Rural"/>
    <x v="0"/>
    <x v="6"/>
    <s v="OPOL-1_ST_COAL_CND"/>
    <x v="0"/>
    <x v="1"/>
    <n v="1420"/>
    <n v="518300"/>
    <n v="1865880"/>
  </r>
  <r>
    <x v="0"/>
    <x v="1"/>
    <x v="1"/>
    <x v="8"/>
    <x v="16"/>
    <s v="PL_Rural"/>
    <x v="0"/>
    <x v="6"/>
    <s v="OPOL-1_ST_COAL_CND"/>
    <x v="0"/>
    <x v="18"/>
    <n v="1420"/>
    <n v="518300"/>
    <n v="1865880"/>
  </r>
  <r>
    <x v="0"/>
    <x v="1"/>
    <x v="1"/>
    <x v="8"/>
    <x v="16"/>
    <s v="PL_Rural"/>
    <x v="0"/>
    <x v="6"/>
    <s v="OPOL-1_ST_COAL_CND"/>
    <x v="0"/>
    <x v="2"/>
    <n v="1420"/>
    <n v="518300"/>
    <n v="1865880"/>
  </r>
  <r>
    <x v="0"/>
    <x v="1"/>
    <x v="1"/>
    <x v="8"/>
    <x v="16"/>
    <s v="PL_Rural"/>
    <x v="0"/>
    <x v="6"/>
    <s v="OPOL-1_ST_COAL_CND"/>
    <x v="0"/>
    <x v="3"/>
    <n v="1420"/>
    <n v="518300"/>
    <n v="1865880"/>
  </r>
  <r>
    <x v="0"/>
    <x v="1"/>
    <x v="1"/>
    <x v="8"/>
    <x v="16"/>
    <s v="PL_Rural"/>
    <x v="0"/>
    <x v="6"/>
    <s v="OPOL-1_ST_COAL_CND"/>
    <x v="0"/>
    <x v="4"/>
    <n v="1420"/>
    <n v="518300"/>
    <n v="1865880"/>
  </r>
  <r>
    <x v="0"/>
    <x v="1"/>
    <x v="1"/>
    <x v="8"/>
    <x v="16"/>
    <s v="PL_Rural"/>
    <x v="0"/>
    <x v="6"/>
    <s v="OPOL-1_ST_COAL_CND"/>
    <x v="0"/>
    <x v="5"/>
    <n v="1420"/>
    <n v="518300"/>
    <n v="1865880"/>
  </r>
  <r>
    <x v="0"/>
    <x v="1"/>
    <x v="1"/>
    <x v="8"/>
    <x v="16"/>
    <s v="PL_Rural"/>
    <x v="0"/>
    <x v="6"/>
    <s v="OPOL-1_ST_COAL_CND"/>
    <x v="0"/>
    <x v="6"/>
    <n v="1420"/>
    <n v="518300"/>
    <n v="1865880"/>
  </r>
  <r>
    <x v="0"/>
    <x v="1"/>
    <x v="1"/>
    <x v="8"/>
    <x v="16"/>
    <s v="PL_Rural"/>
    <x v="0"/>
    <x v="6"/>
    <s v="OPOL-1_ST_COAL_CND"/>
    <x v="0"/>
    <x v="7"/>
    <n v="1420"/>
    <n v="518300"/>
    <n v="1865880"/>
  </r>
  <r>
    <x v="0"/>
    <x v="1"/>
    <x v="1"/>
    <x v="8"/>
    <x v="16"/>
    <s v="PL_Rural"/>
    <x v="0"/>
    <x v="6"/>
    <s v="OPOL-1_ST_COAL_CND"/>
    <x v="0"/>
    <x v="8"/>
    <n v="1420"/>
    <n v="518300"/>
    <n v="1865880"/>
  </r>
  <r>
    <x v="0"/>
    <x v="1"/>
    <x v="1"/>
    <x v="8"/>
    <x v="16"/>
    <s v="PL_Rural"/>
    <x v="0"/>
    <x v="6"/>
    <s v="OPOL-1_ST_COAL_CND"/>
    <x v="0"/>
    <x v="9"/>
    <n v="1420"/>
    <n v="518300"/>
    <n v="1865880"/>
  </r>
  <r>
    <x v="0"/>
    <x v="1"/>
    <x v="1"/>
    <x v="8"/>
    <x v="16"/>
    <s v="PL_Rural"/>
    <x v="0"/>
    <x v="6"/>
    <s v="OPOL-1_ST_COAL_CND"/>
    <x v="0"/>
    <x v="10"/>
    <n v="1420"/>
    <n v="518300"/>
    <n v="1865880"/>
  </r>
  <r>
    <x v="0"/>
    <x v="1"/>
    <x v="1"/>
    <x v="8"/>
    <x v="16"/>
    <s v="PL_Rural"/>
    <x v="0"/>
    <x v="6"/>
    <s v="OPOL-1_ST_COAL_CND"/>
    <x v="0"/>
    <x v="11"/>
    <n v="1420"/>
    <n v="518300"/>
    <n v="1865880"/>
  </r>
  <r>
    <x v="0"/>
    <x v="1"/>
    <x v="1"/>
    <x v="8"/>
    <x v="16"/>
    <s v="PL_Rural"/>
    <x v="0"/>
    <x v="6"/>
    <s v="OPOL-1_ST_COAL_CND"/>
    <x v="0"/>
    <x v="12"/>
    <n v="1420"/>
    <n v="518300"/>
    <n v="1865880"/>
  </r>
  <r>
    <x v="0"/>
    <x v="1"/>
    <x v="1"/>
    <x v="8"/>
    <x v="16"/>
    <s v="PL_Rural"/>
    <x v="0"/>
    <x v="6"/>
    <s v="OPOL-1_ST_COAL_CND"/>
    <x v="0"/>
    <x v="13"/>
    <n v="1420"/>
    <n v="518300"/>
    <n v="1865880"/>
  </r>
  <r>
    <x v="0"/>
    <x v="1"/>
    <x v="1"/>
    <x v="8"/>
    <x v="16"/>
    <s v="PL_Rural"/>
    <x v="0"/>
    <x v="6"/>
    <s v="OPOL-1_ST_COAL_CND"/>
    <x v="0"/>
    <x v="14"/>
    <n v="1420"/>
    <n v="518300"/>
    <n v="1865880"/>
  </r>
  <r>
    <x v="0"/>
    <x v="1"/>
    <x v="1"/>
    <x v="8"/>
    <x v="16"/>
    <s v="PL_Rural"/>
    <x v="0"/>
    <x v="6"/>
    <s v="OPOL-1_ST_COAL_CND"/>
    <x v="0"/>
    <x v="15"/>
    <n v="1420"/>
    <n v="518300"/>
    <n v="1865880"/>
  </r>
  <r>
    <x v="0"/>
    <x v="1"/>
    <x v="1"/>
    <x v="8"/>
    <x v="16"/>
    <s v="PL_Rural"/>
    <x v="0"/>
    <x v="6"/>
    <s v="OPOL-1_ST_COAL_CND"/>
    <x v="0"/>
    <x v="16"/>
    <n v="1420"/>
    <n v="518300"/>
    <n v="1865880"/>
  </r>
  <r>
    <x v="0"/>
    <x v="1"/>
    <x v="1"/>
    <x v="8"/>
    <x v="16"/>
    <s v="PL_Rural"/>
    <x v="0"/>
    <x v="6"/>
    <s v="OPOL-1_ST_COAL_CND"/>
    <x v="0"/>
    <x v="17"/>
    <n v="1420"/>
    <n v="518300"/>
    <n v="1865880"/>
  </r>
  <r>
    <x v="0"/>
    <x v="1"/>
    <x v="1"/>
    <x v="8"/>
    <x v="16"/>
    <s v="PL_Rural"/>
    <x v="0"/>
    <x v="6"/>
    <s v="OPOL-1_ST_COAL_CND"/>
    <x v="0"/>
    <x v="19"/>
    <n v="1420"/>
    <n v="518300"/>
    <n v="1865880"/>
  </r>
  <r>
    <x v="0"/>
    <x v="1"/>
    <x v="1"/>
    <x v="8"/>
    <x v="16"/>
    <s v="PL_Rural"/>
    <x v="0"/>
    <x v="6"/>
    <s v="OPOL-1_ST_COAL_CND"/>
    <x v="0"/>
    <x v="20"/>
    <n v="1420"/>
    <n v="518300"/>
    <n v="1865880"/>
  </r>
  <r>
    <x v="0"/>
    <x v="1"/>
    <x v="1"/>
    <x v="8"/>
    <x v="16"/>
    <s v="PL_Rural"/>
    <x v="0"/>
    <x v="6"/>
    <s v="OPOL-1_ST_COAL_CND"/>
    <x v="0"/>
    <x v="21"/>
    <n v="1420"/>
    <n v="518300"/>
    <n v="1865880"/>
  </r>
  <r>
    <x v="0"/>
    <x v="1"/>
    <x v="1"/>
    <x v="8"/>
    <x v="16"/>
    <s v="PL_Rural"/>
    <x v="0"/>
    <x v="6"/>
    <s v="OPOL-1_ST_COAL_CND"/>
    <x v="0"/>
    <x v="22"/>
    <n v="1420"/>
    <n v="518300"/>
    <n v="1865880"/>
  </r>
  <r>
    <x v="0"/>
    <x v="1"/>
    <x v="1"/>
    <x v="8"/>
    <x v="16"/>
    <s v="PL_Rural"/>
    <x v="0"/>
    <x v="6"/>
    <s v="OPOL-1_ST_COAL_CND"/>
    <x v="0"/>
    <x v="23"/>
    <n v="1420"/>
    <n v="518300"/>
    <n v="1865880"/>
  </r>
  <r>
    <x v="0"/>
    <x v="1"/>
    <x v="1"/>
    <x v="8"/>
    <x v="16"/>
    <s v="PL_Rural"/>
    <x v="0"/>
    <x v="6"/>
    <s v="OSTRB-1_ST_COAL_CND"/>
    <x v="0"/>
    <x v="18"/>
    <n v="688"/>
    <n v="251120"/>
    <n v="904032"/>
  </r>
  <r>
    <x v="0"/>
    <x v="1"/>
    <x v="1"/>
    <x v="8"/>
    <x v="16"/>
    <s v="PL_Rural"/>
    <x v="0"/>
    <x v="6"/>
    <s v="OSTRB-1_ST_COAL_CND"/>
    <x v="0"/>
    <x v="2"/>
    <n v="688"/>
    <n v="251120"/>
    <n v="904032"/>
  </r>
  <r>
    <x v="0"/>
    <x v="1"/>
    <x v="1"/>
    <x v="8"/>
    <x v="16"/>
    <s v="PL_Rural"/>
    <x v="0"/>
    <x v="6"/>
    <s v="OSTRB-1_ST_COAL_CND"/>
    <x v="0"/>
    <x v="4"/>
    <n v="688"/>
    <n v="251120"/>
    <n v="904032"/>
  </r>
  <r>
    <x v="0"/>
    <x v="1"/>
    <x v="1"/>
    <x v="8"/>
    <x v="16"/>
    <s v="PL_Rural"/>
    <x v="0"/>
    <x v="6"/>
    <s v="OSTRB-1_ST_COAL_CND"/>
    <x v="0"/>
    <x v="5"/>
    <n v="688"/>
    <n v="251120"/>
    <n v="904032"/>
  </r>
  <r>
    <x v="0"/>
    <x v="1"/>
    <x v="1"/>
    <x v="8"/>
    <x v="16"/>
    <s v="PL_Rural"/>
    <x v="0"/>
    <x v="6"/>
    <s v="OSTRB-1_ST_COAL_CND"/>
    <x v="0"/>
    <x v="6"/>
    <n v="688"/>
    <n v="251120"/>
    <n v="904032"/>
  </r>
  <r>
    <x v="0"/>
    <x v="1"/>
    <x v="1"/>
    <x v="8"/>
    <x v="16"/>
    <s v="PL_Rural"/>
    <x v="0"/>
    <x v="6"/>
    <s v="OSTRB-1_ST_COAL_CND"/>
    <x v="0"/>
    <x v="7"/>
    <n v="688"/>
    <n v="251120"/>
    <n v="904032"/>
  </r>
  <r>
    <x v="0"/>
    <x v="1"/>
    <x v="1"/>
    <x v="8"/>
    <x v="16"/>
    <s v="PL_Rural"/>
    <x v="0"/>
    <x v="6"/>
    <s v="OSTRB-1_ST_COAL_CND"/>
    <x v="0"/>
    <x v="8"/>
    <n v="688"/>
    <n v="251120"/>
    <n v="904032"/>
  </r>
  <r>
    <x v="0"/>
    <x v="1"/>
    <x v="1"/>
    <x v="8"/>
    <x v="16"/>
    <s v="PL_Rural"/>
    <x v="0"/>
    <x v="6"/>
    <s v="OSTRB-1_ST_COAL_CND"/>
    <x v="0"/>
    <x v="9"/>
    <n v="688"/>
    <n v="251120"/>
    <n v="904032"/>
  </r>
  <r>
    <x v="0"/>
    <x v="1"/>
    <x v="1"/>
    <x v="8"/>
    <x v="16"/>
    <s v="PL_Rural"/>
    <x v="0"/>
    <x v="6"/>
    <s v="OSTRB-1_ST_COAL_CND"/>
    <x v="0"/>
    <x v="10"/>
    <n v="688"/>
    <n v="251120"/>
    <n v="904032"/>
  </r>
  <r>
    <x v="0"/>
    <x v="1"/>
    <x v="1"/>
    <x v="8"/>
    <x v="16"/>
    <s v="PL_Rural"/>
    <x v="0"/>
    <x v="6"/>
    <s v="OSTRB-1_ST_COAL_CND"/>
    <x v="0"/>
    <x v="11"/>
    <n v="688"/>
    <n v="251120"/>
    <n v="904032"/>
  </r>
  <r>
    <x v="0"/>
    <x v="1"/>
    <x v="1"/>
    <x v="8"/>
    <x v="16"/>
    <s v="PL_Rural"/>
    <x v="0"/>
    <x v="6"/>
    <s v="OSTRB-1_ST_COAL_CND"/>
    <x v="0"/>
    <x v="12"/>
    <n v="688"/>
    <n v="251120"/>
    <n v="904032"/>
  </r>
  <r>
    <x v="0"/>
    <x v="1"/>
    <x v="1"/>
    <x v="8"/>
    <x v="16"/>
    <s v="PL_Rural"/>
    <x v="0"/>
    <x v="6"/>
    <s v="OSTRB-1_ST_COAL_CND"/>
    <x v="0"/>
    <x v="13"/>
    <n v="688"/>
    <n v="251120"/>
    <n v="904032"/>
  </r>
  <r>
    <x v="0"/>
    <x v="1"/>
    <x v="1"/>
    <x v="8"/>
    <x v="16"/>
    <s v="PL_Rural"/>
    <x v="0"/>
    <x v="6"/>
    <s v="OSTRB-1_ST_COAL_CND"/>
    <x v="0"/>
    <x v="14"/>
    <n v="688"/>
    <n v="251120"/>
    <n v="904032"/>
  </r>
  <r>
    <x v="0"/>
    <x v="1"/>
    <x v="1"/>
    <x v="8"/>
    <x v="16"/>
    <s v="PL_Rural"/>
    <x v="0"/>
    <x v="6"/>
    <s v="OSTRB-1_ST_COAL_CND"/>
    <x v="0"/>
    <x v="15"/>
    <n v="688"/>
    <n v="251120"/>
    <n v="904032"/>
  </r>
  <r>
    <x v="0"/>
    <x v="1"/>
    <x v="1"/>
    <x v="8"/>
    <x v="16"/>
    <s v="PL_Rural"/>
    <x v="0"/>
    <x v="6"/>
    <s v="OSTRB-1_ST_COAL_CND"/>
    <x v="0"/>
    <x v="16"/>
    <n v="688"/>
    <n v="251120"/>
    <n v="904032"/>
  </r>
  <r>
    <x v="0"/>
    <x v="1"/>
    <x v="1"/>
    <x v="8"/>
    <x v="16"/>
    <s v="PL_Rural"/>
    <x v="0"/>
    <x v="6"/>
    <s v="OSTRB-1_ST_COAL_CND"/>
    <x v="0"/>
    <x v="17"/>
    <n v="688"/>
    <n v="251120"/>
    <n v="904032"/>
  </r>
  <r>
    <x v="0"/>
    <x v="1"/>
    <x v="1"/>
    <x v="8"/>
    <x v="16"/>
    <s v="PL_Rural"/>
    <x v="0"/>
    <x v="6"/>
    <s v="OSTRB-1_ST_COAL_CND"/>
    <x v="0"/>
    <x v="19"/>
    <n v="688"/>
    <n v="251120"/>
    <n v="904032"/>
  </r>
  <r>
    <x v="0"/>
    <x v="1"/>
    <x v="1"/>
    <x v="8"/>
    <x v="16"/>
    <s v="PL_Rural"/>
    <x v="0"/>
    <x v="6"/>
    <s v="POLA-2_ST_COAL_CND"/>
    <x v="0"/>
    <x v="0"/>
    <n v="1656"/>
    <n v="604440"/>
    <n v="2175984"/>
  </r>
  <r>
    <x v="0"/>
    <x v="1"/>
    <x v="1"/>
    <x v="8"/>
    <x v="16"/>
    <s v="PL_Rural"/>
    <x v="0"/>
    <x v="6"/>
    <s v="POLA-2_ST_COAL_CND"/>
    <x v="0"/>
    <x v="1"/>
    <n v="1656"/>
    <n v="604440"/>
    <n v="2175984"/>
  </r>
  <r>
    <x v="0"/>
    <x v="1"/>
    <x v="1"/>
    <x v="8"/>
    <x v="16"/>
    <s v="PL_Rural"/>
    <x v="0"/>
    <x v="6"/>
    <s v="POLA-2_ST_COAL_CND"/>
    <x v="0"/>
    <x v="18"/>
    <n v="1656"/>
    <n v="604440"/>
    <n v="2175984"/>
  </r>
  <r>
    <x v="0"/>
    <x v="1"/>
    <x v="1"/>
    <x v="8"/>
    <x v="16"/>
    <s v="PL_Rural"/>
    <x v="0"/>
    <x v="6"/>
    <s v="POLA-2_ST_COAL_CND"/>
    <x v="0"/>
    <x v="2"/>
    <n v="1656"/>
    <n v="604440"/>
    <n v="2175984"/>
  </r>
  <r>
    <x v="0"/>
    <x v="1"/>
    <x v="1"/>
    <x v="8"/>
    <x v="16"/>
    <s v="PL_Rural"/>
    <x v="0"/>
    <x v="6"/>
    <s v="POLA-2_ST_COAL_CND"/>
    <x v="0"/>
    <x v="3"/>
    <n v="1656"/>
    <n v="604440"/>
    <n v="2175984"/>
  </r>
  <r>
    <x v="0"/>
    <x v="1"/>
    <x v="1"/>
    <x v="8"/>
    <x v="16"/>
    <s v="PL_Rural"/>
    <x v="0"/>
    <x v="6"/>
    <s v="POLA-2_ST_COAL_CND"/>
    <x v="0"/>
    <x v="4"/>
    <n v="1656"/>
    <n v="604440"/>
    <n v="2175984"/>
  </r>
  <r>
    <x v="0"/>
    <x v="1"/>
    <x v="1"/>
    <x v="8"/>
    <x v="16"/>
    <s v="PL_Rural"/>
    <x v="0"/>
    <x v="6"/>
    <s v="POLA-2_ST_COAL_CND"/>
    <x v="0"/>
    <x v="5"/>
    <n v="1656"/>
    <n v="604440"/>
    <n v="2175984"/>
  </r>
  <r>
    <x v="0"/>
    <x v="1"/>
    <x v="1"/>
    <x v="8"/>
    <x v="16"/>
    <s v="PL_Rural"/>
    <x v="0"/>
    <x v="6"/>
    <s v="POLA-2_ST_COAL_CND"/>
    <x v="0"/>
    <x v="6"/>
    <n v="1656"/>
    <n v="604440"/>
    <n v="2175984"/>
  </r>
  <r>
    <x v="0"/>
    <x v="1"/>
    <x v="1"/>
    <x v="8"/>
    <x v="16"/>
    <s v="PL_Rural"/>
    <x v="0"/>
    <x v="6"/>
    <s v="POLA-2_ST_COAL_CND"/>
    <x v="0"/>
    <x v="7"/>
    <n v="1656"/>
    <n v="604440"/>
    <n v="2175984"/>
  </r>
  <r>
    <x v="0"/>
    <x v="1"/>
    <x v="1"/>
    <x v="8"/>
    <x v="16"/>
    <s v="PL_Rural"/>
    <x v="0"/>
    <x v="6"/>
    <s v="POLA-2_ST_COAL_CND"/>
    <x v="0"/>
    <x v="8"/>
    <n v="1656"/>
    <n v="604440"/>
    <n v="2175984"/>
  </r>
  <r>
    <x v="0"/>
    <x v="1"/>
    <x v="1"/>
    <x v="8"/>
    <x v="16"/>
    <s v="PL_Rural"/>
    <x v="0"/>
    <x v="6"/>
    <s v="POLA-2_ST_COAL_CND"/>
    <x v="0"/>
    <x v="9"/>
    <n v="1656"/>
    <n v="604440"/>
    <n v="2175984"/>
  </r>
  <r>
    <x v="0"/>
    <x v="1"/>
    <x v="1"/>
    <x v="8"/>
    <x v="16"/>
    <s v="PL_Rural"/>
    <x v="0"/>
    <x v="6"/>
    <s v="POLA-2_ST_COAL_CND"/>
    <x v="0"/>
    <x v="10"/>
    <n v="1656"/>
    <n v="604440"/>
    <n v="2175984"/>
  </r>
  <r>
    <x v="0"/>
    <x v="1"/>
    <x v="1"/>
    <x v="8"/>
    <x v="16"/>
    <s v="PL_Rural"/>
    <x v="0"/>
    <x v="6"/>
    <s v="POLA-2_ST_COAL_CND"/>
    <x v="0"/>
    <x v="11"/>
    <n v="1656"/>
    <n v="604440"/>
    <n v="2175984"/>
  </r>
  <r>
    <x v="0"/>
    <x v="1"/>
    <x v="1"/>
    <x v="8"/>
    <x v="16"/>
    <s v="PL_Rural"/>
    <x v="0"/>
    <x v="6"/>
    <s v="POLA-2_ST_COAL_CND"/>
    <x v="0"/>
    <x v="12"/>
    <n v="1656"/>
    <n v="604440"/>
    <n v="2175984"/>
  </r>
  <r>
    <x v="0"/>
    <x v="1"/>
    <x v="1"/>
    <x v="8"/>
    <x v="16"/>
    <s v="PL_Rural"/>
    <x v="0"/>
    <x v="6"/>
    <s v="POLA-2_ST_COAL_CND"/>
    <x v="0"/>
    <x v="13"/>
    <n v="1656"/>
    <n v="604440"/>
    <n v="2175984"/>
  </r>
  <r>
    <x v="0"/>
    <x v="1"/>
    <x v="1"/>
    <x v="8"/>
    <x v="16"/>
    <s v="PL_Rural"/>
    <x v="0"/>
    <x v="6"/>
    <s v="POLA-2_ST_COAL_CND"/>
    <x v="0"/>
    <x v="14"/>
    <n v="1656"/>
    <n v="604440"/>
    <n v="2175984"/>
  </r>
  <r>
    <x v="0"/>
    <x v="1"/>
    <x v="1"/>
    <x v="8"/>
    <x v="16"/>
    <s v="PL_Rural"/>
    <x v="0"/>
    <x v="6"/>
    <s v="POLA-2_ST_COAL_CND"/>
    <x v="0"/>
    <x v="15"/>
    <n v="1656"/>
    <n v="604440"/>
    <n v="2175984"/>
  </r>
  <r>
    <x v="0"/>
    <x v="1"/>
    <x v="1"/>
    <x v="8"/>
    <x v="16"/>
    <s v="PL_Rural"/>
    <x v="0"/>
    <x v="6"/>
    <s v="POLA-2_ST_COAL_CND"/>
    <x v="0"/>
    <x v="16"/>
    <n v="1656"/>
    <n v="604440"/>
    <n v="2175984"/>
  </r>
  <r>
    <x v="0"/>
    <x v="1"/>
    <x v="1"/>
    <x v="8"/>
    <x v="16"/>
    <s v="PL_Rural"/>
    <x v="0"/>
    <x v="6"/>
    <s v="POLA-2_ST_COAL_CND"/>
    <x v="0"/>
    <x v="17"/>
    <n v="1656"/>
    <n v="604440"/>
    <n v="2175984"/>
  </r>
  <r>
    <x v="0"/>
    <x v="1"/>
    <x v="1"/>
    <x v="8"/>
    <x v="16"/>
    <s v="PL_Rural"/>
    <x v="0"/>
    <x v="6"/>
    <s v="POLA-2_ST_COAL_CND"/>
    <x v="0"/>
    <x v="19"/>
    <n v="1656"/>
    <n v="604440"/>
    <n v="2175984"/>
  </r>
  <r>
    <x v="0"/>
    <x v="1"/>
    <x v="1"/>
    <x v="8"/>
    <x v="16"/>
    <s v="PL_Rural"/>
    <x v="0"/>
    <x v="6"/>
    <s v="POLA-2_ST_COAL_CND"/>
    <x v="0"/>
    <x v="20"/>
    <n v="1656"/>
    <n v="604440"/>
    <n v="2175984"/>
  </r>
  <r>
    <x v="0"/>
    <x v="1"/>
    <x v="1"/>
    <x v="8"/>
    <x v="16"/>
    <s v="PL_Rural"/>
    <x v="0"/>
    <x v="6"/>
    <s v="POLA-2_ST_COAL_CND"/>
    <x v="0"/>
    <x v="21"/>
    <n v="1656"/>
    <n v="604440"/>
    <n v="2175984"/>
  </r>
  <r>
    <x v="0"/>
    <x v="1"/>
    <x v="1"/>
    <x v="8"/>
    <x v="16"/>
    <s v="PL_Rural"/>
    <x v="0"/>
    <x v="6"/>
    <s v="POLA-2_ST_COAL_CND"/>
    <x v="0"/>
    <x v="22"/>
    <n v="1656"/>
    <n v="604440"/>
    <n v="2175984"/>
  </r>
  <r>
    <x v="0"/>
    <x v="1"/>
    <x v="1"/>
    <x v="8"/>
    <x v="16"/>
    <s v="PL_Rural"/>
    <x v="0"/>
    <x v="6"/>
    <s v="POLA-2_ST_COAL_CND"/>
    <x v="0"/>
    <x v="23"/>
    <n v="543.72859036467196"/>
    <n v="198460.93548310499"/>
    <n v="714459.36773917801"/>
  </r>
  <r>
    <x v="0"/>
    <x v="1"/>
    <x v="1"/>
    <x v="8"/>
    <x v="16"/>
    <s v="PL_Rural"/>
    <x v="0"/>
    <x v="6"/>
    <s v="RYBN-2_ST_COAL_CND"/>
    <x v="0"/>
    <x v="0"/>
    <n v="162.389334503843"/>
    <n v="59272.107093902603"/>
    <n v="213379.585538049"/>
  </r>
  <r>
    <x v="0"/>
    <x v="1"/>
    <x v="1"/>
    <x v="8"/>
    <x v="16"/>
    <s v="PL_Rural"/>
    <x v="0"/>
    <x v="6"/>
    <s v="RYBN-2_ST_COAL_CND"/>
    <x v="0"/>
    <x v="4"/>
    <n v="1713.63824929201"/>
    <n v="625477.96099158295"/>
    <n v="2251720.6595696998"/>
  </r>
  <r>
    <x v="0"/>
    <x v="1"/>
    <x v="1"/>
    <x v="8"/>
    <x v="16"/>
    <s v="PL_Rural"/>
    <x v="0"/>
    <x v="6"/>
    <s v="RYBN-2_ST_COAL_CND"/>
    <x v="0"/>
    <x v="5"/>
    <n v="2651"/>
    <n v="967615"/>
    <n v="3483414"/>
  </r>
  <r>
    <x v="0"/>
    <x v="1"/>
    <x v="1"/>
    <x v="8"/>
    <x v="16"/>
    <s v="PL_Rural"/>
    <x v="0"/>
    <x v="6"/>
    <s v="RYBN-2_ST_COAL_CND"/>
    <x v="0"/>
    <x v="6"/>
    <n v="2651"/>
    <n v="967615"/>
    <n v="3483414"/>
  </r>
  <r>
    <x v="0"/>
    <x v="1"/>
    <x v="1"/>
    <x v="8"/>
    <x v="16"/>
    <s v="PL_Rural"/>
    <x v="0"/>
    <x v="6"/>
    <s v="RYBN-2_ST_COAL_CND"/>
    <x v="0"/>
    <x v="7"/>
    <n v="2651"/>
    <n v="967615"/>
    <n v="3483414"/>
  </r>
  <r>
    <x v="0"/>
    <x v="1"/>
    <x v="1"/>
    <x v="8"/>
    <x v="16"/>
    <s v="PL_Rural"/>
    <x v="0"/>
    <x v="6"/>
    <s v="RYBN-2_ST_COAL_CND"/>
    <x v="0"/>
    <x v="8"/>
    <n v="2651"/>
    <n v="967615"/>
    <n v="3483414"/>
  </r>
  <r>
    <x v="0"/>
    <x v="1"/>
    <x v="1"/>
    <x v="8"/>
    <x v="16"/>
    <s v="PL_Rural"/>
    <x v="0"/>
    <x v="6"/>
    <s v="RYBN-2_ST_COAL_CND"/>
    <x v="0"/>
    <x v="9"/>
    <n v="2651"/>
    <n v="967615"/>
    <n v="3483414"/>
  </r>
  <r>
    <x v="0"/>
    <x v="1"/>
    <x v="1"/>
    <x v="8"/>
    <x v="16"/>
    <s v="PL_Rural"/>
    <x v="0"/>
    <x v="6"/>
    <s v="RYBN-2_ST_COAL_CND"/>
    <x v="0"/>
    <x v="10"/>
    <n v="2651"/>
    <n v="967615"/>
    <n v="3483414"/>
  </r>
  <r>
    <x v="0"/>
    <x v="1"/>
    <x v="1"/>
    <x v="8"/>
    <x v="16"/>
    <s v="PL_Rural"/>
    <x v="0"/>
    <x v="6"/>
    <s v="RYBN-2_ST_COAL_CND"/>
    <x v="0"/>
    <x v="11"/>
    <n v="2651"/>
    <n v="967615"/>
    <n v="3483414"/>
  </r>
  <r>
    <x v="0"/>
    <x v="1"/>
    <x v="1"/>
    <x v="8"/>
    <x v="16"/>
    <s v="PL_Rural"/>
    <x v="0"/>
    <x v="6"/>
    <s v="RYBN-2_ST_COAL_CND"/>
    <x v="0"/>
    <x v="12"/>
    <n v="2651"/>
    <n v="967615"/>
    <n v="3483414"/>
  </r>
  <r>
    <x v="0"/>
    <x v="1"/>
    <x v="1"/>
    <x v="8"/>
    <x v="16"/>
    <s v="PL_Rural"/>
    <x v="0"/>
    <x v="6"/>
    <s v="RYBN-2_ST_COAL_CND"/>
    <x v="0"/>
    <x v="13"/>
    <n v="2651"/>
    <n v="967615"/>
    <n v="3483414"/>
  </r>
  <r>
    <x v="0"/>
    <x v="1"/>
    <x v="1"/>
    <x v="8"/>
    <x v="16"/>
    <s v="PL_Rural"/>
    <x v="0"/>
    <x v="6"/>
    <s v="RYBN-2_ST_COAL_CND"/>
    <x v="0"/>
    <x v="14"/>
    <n v="2651"/>
    <n v="967615"/>
    <n v="3483414"/>
  </r>
  <r>
    <x v="0"/>
    <x v="1"/>
    <x v="1"/>
    <x v="8"/>
    <x v="16"/>
    <s v="PL_Rural"/>
    <x v="0"/>
    <x v="6"/>
    <s v="RYBN-2_ST_COAL_CND"/>
    <x v="0"/>
    <x v="15"/>
    <n v="2651"/>
    <n v="967615"/>
    <n v="3483414"/>
  </r>
  <r>
    <x v="0"/>
    <x v="1"/>
    <x v="1"/>
    <x v="8"/>
    <x v="16"/>
    <s v="PL_Rural"/>
    <x v="0"/>
    <x v="6"/>
    <s v="RYBN-2_ST_COAL_CND"/>
    <x v="0"/>
    <x v="16"/>
    <n v="2651"/>
    <n v="967615"/>
    <n v="3483414"/>
  </r>
  <r>
    <x v="0"/>
    <x v="1"/>
    <x v="1"/>
    <x v="8"/>
    <x v="16"/>
    <s v="PL_Rural"/>
    <x v="0"/>
    <x v="6"/>
    <s v="RYBN-2_ST_COAL_CND"/>
    <x v="0"/>
    <x v="17"/>
    <n v="2651"/>
    <n v="967615"/>
    <n v="3483414"/>
  </r>
  <r>
    <x v="0"/>
    <x v="1"/>
    <x v="1"/>
    <x v="8"/>
    <x v="16"/>
    <s v="PL_Rural"/>
    <x v="0"/>
    <x v="6"/>
    <s v="RYBN-2_ST_COAL_CND"/>
    <x v="0"/>
    <x v="19"/>
    <n v="2651"/>
    <n v="967615"/>
    <n v="3483414"/>
  </r>
  <r>
    <x v="0"/>
    <x v="1"/>
    <x v="1"/>
    <x v="8"/>
    <x v="16"/>
    <s v="PL_Rural"/>
    <x v="0"/>
    <x v="6"/>
    <s v="RYBN-2_ST_COAL_CND"/>
    <x v="0"/>
    <x v="20"/>
    <n v="2218.1930466165099"/>
    <n v="809640.46201502695"/>
    <n v="2914705.6632540999"/>
  </r>
  <r>
    <x v="0"/>
    <x v="1"/>
    <x v="1"/>
    <x v="8"/>
    <x v="16"/>
    <s v="PL_Rural"/>
    <x v="15"/>
    <x v="6"/>
    <s v="ADAM-2_ST_LIGNITE_CON"/>
    <x v="0"/>
    <x v="0"/>
    <n v="610"/>
    <n v="222650"/>
    <n v="801540"/>
  </r>
  <r>
    <x v="0"/>
    <x v="1"/>
    <x v="1"/>
    <x v="8"/>
    <x v="16"/>
    <s v="PL_Rural"/>
    <x v="15"/>
    <x v="6"/>
    <s v="ADAM-2_ST_LIGNITE_CON"/>
    <x v="0"/>
    <x v="1"/>
    <n v="610"/>
    <n v="222650"/>
    <n v="801540"/>
  </r>
  <r>
    <x v="0"/>
    <x v="1"/>
    <x v="1"/>
    <x v="8"/>
    <x v="16"/>
    <s v="PL_Rural"/>
    <x v="15"/>
    <x v="6"/>
    <s v="ADAM-2_ST_LIGNITE_CON"/>
    <x v="0"/>
    <x v="18"/>
    <n v="610"/>
    <n v="222650"/>
    <n v="801540"/>
  </r>
  <r>
    <x v="0"/>
    <x v="1"/>
    <x v="1"/>
    <x v="8"/>
    <x v="16"/>
    <s v="PL_Rural"/>
    <x v="15"/>
    <x v="6"/>
    <s v="ADAM-2_ST_LIGNITE_CON"/>
    <x v="0"/>
    <x v="2"/>
    <n v="610"/>
    <n v="222650"/>
    <n v="801540"/>
  </r>
  <r>
    <x v="0"/>
    <x v="1"/>
    <x v="1"/>
    <x v="8"/>
    <x v="16"/>
    <s v="PL_Rural"/>
    <x v="15"/>
    <x v="6"/>
    <s v="ADAM-2_ST_LIGNITE_CON"/>
    <x v="0"/>
    <x v="3"/>
    <n v="610"/>
    <n v="222650"/>
    <n v="801540"/>
  </r>
  <r>
    <x v="0"/>
    <x v="1"/>
    <x v="1"/>
    <x v="8"/>
    <x v="16"/>
    <s v="PL_Rural"/>
    <x v="15"/>
    <x v="6"/>
    <s v="ADAM-2_ST_LIGNITE_CON"/>
    <x v="0"/>
    <x v="4"/>
    <n v="610"/>
    <n v="222650"/>
    <n v="801540"/>
  </r>
  <r>
    <x v="0"/>
    <x v="1"/>
    <x v="1"/>
    <x v="8"/>
    <x v="16"/>
    <s v="PL_Rural"/>
    <x v="15"/>
    <x v="6"/>
    <s v="ADAM-2_ST_LIGNITE_CON"/>
    <x v="0"/>
    <x v="5"/>
    <n v="610"/>
    <n v="222650"/>
    <n v="801540"/>
  </r>
  <r>
    <x v="0"/>
    <x v="1"/>
    <x v="1"/>
    <x v="8"/>
    <x v="16"/>
    <s v="PL_Rural"/>
    <x v="15"/>
    <x v="6"/>
    <s v="ADAM-2_ST_LIGNITE_CON"/>
    <x v="0"/>
    <x v="6"/>
    <n v="610"/>
    <n v="222650"/>
    <n v="801540"/>
  </r>
  <r>
    <x v="0"/>
    <x v="1"/>
    <x v="1"/>
    <x v="8"/>
    <x v="16"/>
    <s v="PL_Rural"/>
    <x v="15"/>
    <x v="6"/>
    <s v="ADAM-2_ST_LIGNITE_CON"/>
    <x v="0"/>
    <x v="7"/>
    <n v="610"/>
    <n v="222650"/>
    <n v="801540"/>
  </r>
  <r>
    <x v="0"/>
    <x v="1"/>
    <x v="1"/>
    <x v="8"/>
    <x v="16"/>
    <s v="PL_Rural"/>
    <x v="15"/>
    <x v="6"/>
    <s v="ADAM-2_ST_LIGNITE_CON"/>
    <x v="0"/>
    <x v="8"/>
    <n v="610"/>
    <n v="222650"/>
    <n v="801540"/>
  </r>
  <r>
    <x v="0"/>
    <x v="1"/>
    <x v="1"/>
    <x v="8"/>
    <x v="16"/>
    <s v="PL_Rural"/>
    <x v="15"/>
    <x v="6"/>
    <s v="ADAM-2_ST_LIGNITE_CON"/>
    <x v="0"/>
    <x v="9"/>
    <n v="610"/>
    <n v="222650"/>
    <n v="801540"/>
  </r>
  <r>
    <x v="0"/>
    <x v="1"/>
    <x v="1"/>
    <x v="8"/>
    <x v="16"/>
    <s v="PL_Rural"/>
    <x v="15"/>
    <x v="6"/>
    <s v="ADAM-2_ST_LIGNITE_CON"/>
    <x v="0"/>
    <x v="10"/>
    <n v="610"/>
    <n v="222650"/>
    <n v="801540"/>
  </r>
  <r>
    <x v="0"/>
    <x v="1"/>
    <x v="1"/>
    <x v="8"/>
    <x v="16"/>
    <s v="PL_Rural"/>
    <x v="15"/>
    <x v="6"/>
    <s v="ADAM-2_ST_LIGNITE_CON"/>
    <x v="0"/>
    <x v="11"/>
    <n v="610"/>
    <n v="222650"/>
    <n v="801540"/>
  </r>
  <r>
    <x v="0"/>
    <x v="1"/>
    <x v="1"/>
    <x v="8"/>
    <x v="16"/>
    <s v="PL_Rural"/>
    <x v="15"/>
    <x v="6"/>
    <s v="ADAM-2_ST_LIGNITE_CON"/>
    <x v="0"/>
    <x v="12"/>
    <n v="610"/>
    <n v="222650"/>
    <n v="801540"/>
  </r>
  <r>
    <x v="0"/>
    <x v="1"/>
    <x v="1"/>
    <x v="8"/>
    <x v="16"/>
    <s v="PL_Rural"/>
    <x v="15"/>
    <x v="6"/>
    <s v="ADAM-2_ST_LIGNITE_CON"/>
    <x v="0"/>
    <x v="13"/>
    <n v="610"/>
    <n v="222650"/>
    <n v="801540"/>
  </r>
  <r>
    <x v="0"/>
    <x v="1"/>
    <x v="1"/>
    <x v="8"/>
    <x v="16"/>
    <s v="PL_Rural"/>
    <x v="15"/>
    <x v="6"/>
    <s v="ADAM-2_ST_LIGNITE_CON"/>
    <x v="0"/>
    <x v="14"/>
    <n v="610"/>
    <n v="222650"/>
    <n v="801540"/>
  </r>
  <r>
    <x v="0"/>
    <x v="1"/>
    <x v="1"/>
    <x v="8"/>
    <x v="16"/>
    <s v="PL_Rural"/>
    <x v="15"/>
    <x v="6"/>
    <s v="ADAM-2_ST_LIGNITE_CON"/>
    <x v="0"/>
    <x v="15"/>
    <n v="610"/>
    <n v="222650"/>
    <n v="801540"/>
  </r>
  <r>
    <x v="0"/>
    <x v="1"/>
    <x v="1"/>
    <x v="8"/>
    <x v="16"/>
    <s v="PL_Rural"/>
    <x v="15"/>
    <x v="6"/>
    <s v="ADAM-2_ST_LIGNITE_CON"/>
    <x v="0"/>
    <x v="16"/>
    <n v="610"/>
    <n v="222650"/>
    <n v="801540"/>
  </r>
  <r>
    <x v="0"/>
    <x v="1"/>
    <x v="1"/>
    <x v="8"/>
    <x v="16"/>
    <s v="PL_Rural"/>
    <x v="15"/>
    <x v="6"/>
    <s v="ADAM-2_ST_LIGNITE_CON"/>
    <x v="0"/>
    <x v="17"/>
    <n v="610"/>
    <n v="222650"/>
    <n v="801540"/>
  </r>
  <r>
    <x v="0"/>
    <x v="1"/>
    <x v="1"/>
    <x v="8"/>
    <x v="16"/>
    <s v="PL_Rural"/>
    <x v="15"/>
    <x v="6"/>
    <s v="ADAM-2_ST_LIGNITE_CON"/>
    <x v="0"/>
    <x v="19"/>
    <n v="610"/>
    <n v="222650"/>
    <n v="801540"/>
  </r>
  <r>
    <x v="0"/>
    <x v="1"/>
    <x v="1"/>
    <x v="8"/>
    <x v="16"/>
    <s v="PL_Rural"/>
    <x v="15"/>
    <x v="6"/>
    <s v="ADAM-2_ST_LIGNITE_CON"/>
    <x v="0"/>
    <x v="20"/>
    <n v="610"/>
    <n v="222650"/>
    <n v="801540"/>
  </r>
  <r>
    <x v="0"/>
    <x v="1"/>
    <x v="1"/>
    <x v="8"/>
    <x v="16"/>
    <s v="PL_Rural"/>
    <x v="15"/>
    <x v="6"/>
    <s v="ADAM-2_ST_LIGNITE_CON"/>
    <x v="0"/>
    <x v="21"/>
    <n v="610"/>
    <n v="222650"/>
    <n v="801540"/>
  </r>
  <r>
    <x v="0"/>
    <x v="1"/>
    <x v="1"/>
    <x v="8"/>
    <x v="16"/>
    <s v="PL_Rural"/>
    <x v="15"/>
    <x v="6"/>
    <s v="ADAM-2_ST_LIGNITE_CON"/>
    <x v="0"/>
    <x v="22"/>
    <n v="610"/>
    <n v="222650"/>
    <n v="801540"/>
  </r>
  <r>
    <x v="0"/>
    <x v="1"/>
    <x v="1"/>
    <x v="8"/>
    <x v="16"/>
    <s v="PL_Rural"/>
    <x v="15"/>
    <x v="6"/>
    <s v="ADAM-2_ST_LIGNITE_CON"/>
    <x v="0"/>
    <x v="23"/>
    <n v="610"/>
    <n v="222650"/>
    <n v="801540"/>
  </r>
  <r>
    <x v="0"/>
    <x v="1"/>
    <x v="1"/>
    <x v="8"/>
    <x v="16"/>
    <s v="PL_Rural"/>
    <x v="15"/>
    <x v="6"/>
    <s v="BELC-2_ST_LIGNITE_CON"/>
    <x v="0"/>
    <x v="0"/>
    <n v="3852"/>
    <n v="1405980"/>
    <n v="5061528"/>
  </r>
  <r>
    <x v="0"/>
    <x v="1"/>
    <x v="1"/>
    <x v="8"/>
    <x v="16"/>
    <s v="PL_Rural"/>
    <x v="15"/>
    <x v="6"/>
    <s v="BELC-2_ST_LIGNITE_CON"/>
    <x v="0"/>
    <x v="1"/>
    <n v="3852"/>
    <n v="1405980"/>
    <n v="5061528"/>
  </r>
  <r>
    <x v="0"/>
    <x v="1"/>
    <x v="1"/>
    <x v="8"/>
    <x v="16"/>
    <s v="PL_Rural"/>
    <x v="15"/>
    <x v="6"/>
    <s v="BELC-2_ST_LIGNITE_CON"/>
    <x v="0"/>
    <x v="18"/>
    <n v="3852"/>
    <n v="1405980"/>
    <n v="5061528"/>
  </r>
  <r>
    <x v="0"/>
    <x v="1"/>
    <x v="1"/>
    <x v="8"/>
    <x v="16"/>
    <s v="PL_Rural"/>
    <x v="15"/>
    <x v="6"/>
    <s v="BELC-2_ST_LIGNITE_CON"/>
    <x v="0"/>
    <x v="2"/>
    <n v="3852"/>
    <n v="1405980"/>
    <n v="5061528"/>
  </r>
  <r>
    <x v="0"/>
    <x v="1"/>
    <x v="1"/>
    <x v="8"/>
    <x v="16"/>
    <s v="PL_Rural"/>
    <x v="15"/>
    <x v="6"/>
    <s v="BELC-2_ST_LIGNITE_CON"/>
    <x v="0"/>
    <x v="3"/>
    <n v="3852"/>
    <n v="1405980"/>
    <n v="5061528"/>
  </r>
  <r>
    <x v="0"/>
    <x v="1"/>
    <x v="1"/>
    <x v="8"/>
    <x v="16"/>
    <s v="PL_Rural"/>
    <x v="15"/>
    <x v="6"/>
    <s v="BELC-2_ST_LIGNITE_CON"/>
    <x v="0"/>
    <x v="4"/>
    <n v="3852"/>
    <n v="1405980"/>
    <n v="5061528"/>
  </r>
  <r>
    <x v="0"/>
    <x v="1"/>
    <x v="1"/>
    <x v="8"/>
    <x v="16"/>
    <s v="PL_Rural"/>
    <x v="15"/>
    <x v="6"/>
    <s v="BELC-2_ST_LIGNITE_CON"/>
    <x v="0"/>
    <x v="5"/>
    <n v="3852"/>
    <n v="1405980"/>
    <n v="5061528"/>
  </r>
  <r>
    <x v="0"/>
    <x v="1"/>
    <x v="1"/>
    <x v="8"/>
    <x v="16"/>
    <s v="PL_Rural"/>
    <x v="15"/>
    <x v="6"/>
    <s v="BELC-2_ST_LIGNITE_CON"/>
    <x v="0"/>
    <x v="6"/>
    <n v="3852"/>
    <n v="1405980"/>
    <n v="5061528"/>
  </r>
  <r>
    <x v="0"/>
    <x v="1"/>
    <x v="1"/>
    <x v="8"/>
    <x v="16"/>
    <s v="PL_Rural"/>
    <x v="15"/>
    <x v="6"/>
    <s v="BELC-2_ST_LIGNITE_CON"/>
    <x v="0"/>
    <x v="7"/>
    <n v="3852"/>
    <n v="1405980"/>
    <n v="5061528"/>
  </r>
  <r>
    <x v="0"/>
    <x v="1"/>
    <x v="1"/>
    <x v="8"/>
    <x v="16"/>
    <s v="PL_Rural"/>
    <x v="15"/>
    <x v="6"/>
    <s v="BELC-2_ST_LIGNITE_CON"/>
    <x v="0"/>
    <x v="8"/>
    <n v="3852"/>
    <n v="1405980"/>
    <n v="5061528"/>
  </r>
  <r>
    <x v="0"/>
    <x v="1"/>
    <x v="1"/>
    <x v="8"/>
    <x v="16"/>
    <s v="PL_Rural"/>
    <x v="15"/>
    <x v="6"/>
    <s v="BELC-2_ST_LIGNITE_CON"/>
    <x v="0"/>
    <x v="9"/>
    <n v="3852"/>
    <n v="1405980"/>
    <n v="5061528"/>
  </r>
  <r>
    <x v="0"/>
    <x v="1"/>
    <x v="1"/>
    <x v="8"/>
    <x v="16"/>
    <s v="PL_Rural"/>
    <x v="15"/>
    <x v="6"/>
    <s v="BELC-2_ST_LIGNITE_CON"/>
    <x v="0"/>
    <x v="10"/>
    <n v="3852"/>
    <n v="1405980"/>
    <n v="5061528"/>
  </r>
  <r>
    <x v="0"/>
    <x v="1"/>
    <x v="1"/>
    <x v="8"/>
    <x v="16"/>
    <s v="PL_Rural"/>
    <x v="15"/>
    <x v="6"/>
    <s v="BELC-2_ST_LIGNITE_CON"/>
    <x v="0"/>
    <x v="11"/>
    <n v="3852"/>
    <n v="1405980"/>
    <n v="5061528"/>
  </r>
  <r>
    <x v="0"/>
    <x v="1"/>
    <x v="1"/>
    <x v="8"/>
    <x v="16"/>
    <s v="PL_Rural"/>
    <x v="15"/>
    <x v="6"/>
    <s v="BELC-2_ST_LIGNITE_CON"/>
    <x v="0"/>
    <x v="12"/>
    <n v="3852"/>
    <n v="1405980"/>
    <n v="5061528"/>
  </r>
  <r>
    <x v="0"/>
    <x v="1"/>
    <x v="1"/>
    <x v="8"/>
    <x v="16"/>
    <s v="PL_Rural"/>
    <x v="15"/>
    <x v="6"/>
    <s v="BELC-2_ST_LIGNITE_CON"/>
    <x v="0"/>
    <x v="13"/>
    <n v="3852"/>
    <n v="1405980"/>
    <n v="5061528"/>
  </r>
  <r>
    <x v="0"/>
    <x v="1"/>
    <x v="1"/>
    <x v="8"/>
    <x v="16"/>
    <s v="PL_Rural"/>
    <x v="15"/>
    <x v="6"/>
    <s v="BELC-2_ST_LIGNITE_CON"/>
    <x v="0"/>
    <x v="14"/>
    <n v="3852"/>
    <n v="1405980"/>
    <n v="5061528"/>
  </r>
  <r>
    <x v="0"/>
    <x v="1"/>
    <x v="1"/>
    <x v="8"/>
    <x v="16"/>
    <s v="PL_Rural"/>
    <x v="15"/>
    <x v="6"/>
    <s v="BELC-2_ST_LIGNITE_CON"/>
    <x v="0"/>
    <x v="15"/>
    <n v="3852"/>
    <n v="1405980"/>
    <n v="5061528"/>
  </r>
  <r>
    <x v="0"/>
    <x v="1"/>
    <x v="1"/>
    <x v="8"/>
    <x v="16"/>
    <s v="PL_Rural"/>
    <x v="15"/>
    <x v="6"/>
    <s v="BELC-2_ST_LIGNITE_CON"/>
    <x v="0"/>
    <x v="16"/>
    <n v="3852"/>
    <n v="1405980"/>
    <n v="5061528"/>
  </r>
  <r>
    <x v="0"/>
    <x v="1"/>
    <x v="1"/>
    <x v="8"/>
    <x v="16"/>
    <s v="PL_Rural"/>
    <x v="15"/>
    <x v="6"/>
    <s v="BELC-2_ST_LIGNITE_CON"/>
    <x v="0"/>
    <x v="17"/>
    <n v="3852"/>
    <n v="1405980"/>
    <n v="5061528"/>
  </r>
  <r>
    <x v="0"/>
    <x v="1"/>
    <x v="1"/>
    <x v="8"/>
    <x v="16"/>
    <s v="PL_Rural"/>
    <x v="15"/>
    <x v="6"/>
    <s v="BELC-2_ST_LIGNITE_CON"/>
    <x v="0"/>
    <x v="19"/>
    <n v="3852"/>
    <n v="1405980"/>
    <n v="5061528"/>
  </r>
  <r>
    <x v="0"/>
    <x v="1"/>
    <x v="1"/>
    <x v="8"/>
    <x v="16"/>
    <s v="PL_Rural"/>
    <x v="15"/>
    <x v="6"/>
    <s v="BELC-2_ST_LIGNITE_CON"/>
    <x v="0"/>
    <x v="20"/>
    <n v="3852"/>
    <n v="1405980"/>
    <n v="5061528"/>
  </r>
  <r>
    <x v="0"/>
    <x v="1"/>
    <x v="1"/>
    <x v="8"/>
    <x v="16"/>
    <s v="PL_Rural"/>
    <x v="15"/>
    <x v="6"/>
    <s v="BELC-2_ST_LIGNITE_CON"/>
    <x v="0"/>
    <x v="21"/>
    <n v="3852"/>
    <n v="1405980"/>
    <n v="5061528"/>
  </r>
  <r>
    <x v="0"/>
    <x v="1"/>
    <x v="1"/>
    <x v="8"/>
    <x v="16"/>
    <s v="PL_Rural"/>
    <x v="15"/>
    <x v="6"/>
    <s v="BELC-2_ST_LIGNITE_CON"/>
    <x v="0"/>
    <x v="22"/>
    <n v="3852"/>
    <n v="1405980"/>
    <n v="5061528"/>
  </r>
  <r>
    <x v="0"/>
    <x v="1"/>
    <x v="1"/>
    <x v="8"/>
    <x v="16"/>
    <s v="PL_Rural"/>
    <x v="15"/>
    <x v="6"/>
    <s v="BELC-2_ST_LIGNITE_CON"/>
    <x v="0"/>
    <x v="23"/>
    <n v="3852"/>
    <n v="1405980"/>
    <n v="5061528"/>
  </r>
  <r>
    <x v="0"/>
    <x v="1"/>
    <x v="1"/>
    <x v="8"/>
    <x v="16"/>
    <s v="PL_Rural"/>
    <x v="15"/>
    <x v="6"/>
    <s v="PATN2-1_ST_LIGNITE_CON"/>
    <x v="0"/>
    <x v="0"/>
    <n v="441"/>
    <n v="160965"/>
    <n v="579474"/>
  </r>
  <r>
    <x v="0"/>
    <x v="1"/>
    <x v="1"/>
    <x v="8"/>
    <x v="16"/>
    <s v="PL_Rural"/>
    <x v="15"/>
    <x v="6"/>
    <s v="PATN2-1_ST_LIGNITE_CON"/>
    <x v="0"/>
    <x v="1"/>
    <n v="441"/>
    <n v="160965"/>
    <n v="579474"/>
  </r>
  <r>
    <x v="0"/>
    <x v="1"/>
    <x v="1"/>
    <x v="8"/>
    <x v="16"/>
    <s v="PL_Rural"/>
    <x v="15"/>
    <x v="6"/>
    <s v="PATN2-1_ST_LIGNITE_CON"/>
    <x v="0"/>
    <x v="18"/>
    <n v="441"/>
    <n v="160965"/>
    <n v="579474"/>
  </r>
  <r>
    <x v="0"/>
    <x v="1"/>
    <x v="1"/>
    <x v="8"/>
    <x v="16"/>
    <s v="PL_Rural"/>
    <x v="15"/>
    <x v="6"/>
    <s v="PATN2-1_ST_LIGNITE_CON"/>
    <x v="0"/>
    <x v="2"/>
    <n v="441"/>
    <n v="160965"/>
    <n v="579474"/>
  </r>
  <r>
    <x v="0"/>
    <x v="1"/>
    <x v="1"/>
    <x v="8"/>
    <x v="16"/>
    <s v="PL_Rural"/>
    <x v="15"/>
    <x v="6"/>
    <s v="PATN2-1_ST_LIGNITE_CON"/>
    <x v="0"/>
    <x v="3"/>
    <n v="441"/>
    <n v="160965"/>
    <n v="579474"/>
  </r>
  <r>
    <x v="0"/>
    <x v="1"/>
    <x v="1"/>
    <x v="8"/>
    <x v="16"/>
    <s v="PL_Rural"/>
    <x v="15"/>
    <x v="6"/>
    <s v="PATN2-1_ST_LIGNITE_CON"/>
    <x v="0"/>
    <x v="4"/>
    <n v="441"/>
    <n v="160965"/>
    <n v="579474"/>
  </r>
  <r>
    <x v="0"/>
    <x v="1"/>
    <x v="1"/>
    <x v="8"/>
    <x v="16"/>
    <s v="PL_Rural"/>
    <x v="15"/>
    <x v="6"/>
    <s v="PATN2-1_ST_LIGNITE_CON"/>
    <x v="0"/>
    <x v="5"/>
    <n v="441"/>
    <n v="160965"/>
    <n v="579474"/>
  </r>
  <r>
    <x v="0"/>
    <x v="1"/>
    <x v="1"/>
    <x v="8"/>
    <x v="16"/>
    <s v="PL_Rural"/>
    <x v="15"/>
    <x v="6"/>
    <s v="PATN2-1_ST_LIGNITE_CON"/>
    <x v="0"/>
    <x v="6"/>
    <n v="441"/>
    <n v="160965"/>
    <n v="579474"/>
  </r>
  <r>
    <x v="0"/>
    <x v="1"/>
    <x v="1"/>
    <x v="8"/>
    <x v="16"/>
    <s v="PL_Rural"/>
    <x v="15"/>
    <x v="6"/>
    <s v="PATN2-1_ST_LIGNITE_CON"/>
    <x v="0"/>
    <x v="7"/>
    <n v="441"/>
    <n v="160965"/>
    <n v="579474"/>
  </r>
  <r>
    <x v="0"/>
    <x v="1"/>
    <x v="1"/>
    <x v="8"/>
    <x v="16"/>
    <s v="PL_Rural"/>
    <x v="15"/>
    <x v="6"/>
    <s v="PATN2-1_ST_LIGNITE_CON"/>
    <x v="0"/>
    <x v="8"/>
    <n v="441"/>
    <n v="160965"/>
    <n v="579474"/>
  </r>
  <r>
    <x v="0"/>
    <x v="1"/>
    <x v="1"/>
    <x v="8"/>
    <x v="16"/>
    <s v="PL_Rural"/>
    <x v="15"/>
    <x v="6"/>
    <s v="PATN2-1_ST_LIGNITE_CON"/>
    <x v="0"/>
    <x v="9"/>
    <n v="441"/>
    <n v="160965"/>
    <n v="579474"/>
  </r>
  <r>
    <x v="0"/>
    <x v="1"/>
    <x v="1"/>
    <x v="8"/>
    <x v="16"/>
    <s v="PL_Rural"/>
    <x v="15"/>
    <x v="6"/>
    <s v="PATN2-1_ST_LIGNITE_CON"/>
    <x v="0"/>
    <x v="10"/>
    <n v="441"/>
    <n v="160965"/>
    <n v="579474"/>
  </r>
  <r>
    <x v="0"/>
    <x v="1"/>
    <x v="1"/>
    <x v="8"/>
    <x v="16"/>
    <s v="PL_Rural"/>
    <x v="15"/>
    <x v="6"/>
    <s v="PATN2-1_ST_LIGNITE_CON"/>
    <x v="0"/>
    <x v="11"/>
    <n v="441"/>
    <n v="160965"/>
    <n v="579474"/>
  </r>
  <r>
    <x v="0"/>
    <x v="1"/>
    <x v="1"/>
    <x v="8"/>
    <x v="16"/>
    <s v="PL_Rural"/>
    <x v="15"/>
    <x v="6"/>
    <s v="PATN2-1_ST_LIGNITE_CON"/>
    <x v="0"/>
    <x v="12"/>
    <n v="441"/>
    <n v="160965"/>
    <n v="579474"/>
  </r>
  <r>
    <x v="0"/>
    <x v="1"/>
    <x v="1"/>
    <x v="8"/>
    <x v="16"/>
    <s v="PL_Rural"/>
    <x v="15"/>
    <x v="6"/>
    <s v="PATN2-1_ST_LIGNITE_CON"/>
    <x v="0"/>
    <x v="13"/>
    <n v="441"/>
    <n v="160965"/>
    <n v="579474"/>
  </r>
  <r>
    <x v="0"/>
    <x v="1"/>
    <x v="1"/>
    <x v="8"/>
    <x v="16"/>
    <s v="PL_Rural"/>
    <x v="15"/>
    <x v="6"/>
    <s v="PATN2-1_ST_LIGNITE_CON"/>
    <x v="0"/>
    <x v="14"/>
    <n v="441"/>
    <n v="160965"/>
    <n v="579474"/>
  </r>
  <r>
    <x v="0"/>
    <x v="1"/>
    <x v="1"/>
    <x v="8"/>
    <x v="16"/>
    <s v="PL_Rural"/>
    <x v="15"/>
    <x v="6"/>
    <s v="PATN2-1_ST_LIGNITE_CON"/>
    <x v="0"/>
    <x v="15"/>
    <n v="441"/>
    <n v="160965"/>
    <n v="579474"/>
  </r>
  <r>
    <x v="0"/>
    <x v="1"/>
    <x v="1"/>
    <x v="8"/>
    <x v="16"/>
    <s v="PL_Rural"/>
    <x v="15"/>
    <x v="6"/>
    <s v="PATN2-1_ST_LIGNITE_CON"/>
    <x v="0"/>
    <x v="16"/>
    <n v="441"/>
    <n v="160965"/>
    <n v="579474"/>
  </r>
  <r>
    <x v="0"/>
    <x v="1"/>
    <x v="1"/>
    <x v="8"/>
    <x v="16"/>
    <s v="PL_Rural"/>
    <x v="15"/>
    <x v="6"/>
    <s v="PATN2-1_ST_LIGNITE_CON"/>
    <x v="0"/>
    <x v="17"/>
    <n v="441"/>
    <n v="160965"/>
    <n v="579474"/>
  </r>
  <r>
    <x v="0"/>
    <x v="1"/>
    <x v="1"/>
    <x v="8"/>
    <x v="16"/>
    <s v="PL_Rural"/>
    <x v="15"/>
    <x v="6"/>
    <s v="PATN2-1_ST_LIGNITE_CON"/>
    <x v="0"/>
    <x v="19"/>
    <n v="441"/>
    <n v="160965"/>
    <n v="579474"/>
  </r>
  <r>
    <x v="0"/>
    <x v="1"/>
    <x v="1"/>
    <x v="8"/>
    <x v="16"/>
    <s v="PL_Rural"/>
    <x v="15"/>
    <x v="6"/>
    <s v="PATN2-1_ST_LIGNITE_CON"/>
    <x v="0"/>
    <x v="20"/>
    <n v="441"/>
    <n v="160965"/>
    <n v="579474"/>
  </r>
  <r>
    <x v="0"/>
    <x v="1"/>
    <x v="1"/>
    <x v="8"/>
    <x v="16"/>
    <s v="PL_Rural"/>
    <x v="15"/>
    <x v="6"/>
    <s v="PATN2-1_ST_LIGNITE_CON"/>
    <x v="0"/>
    <x v="21"/>
    <n v="441"/>
    <n v="160965"/>
    <n v="579474"/>
  </r>
  <r>
    <x v="0"/>
    <x v="1"/>
    <x v="1"/>
    <x v="8"/>
    <x v="16"/>
    <s v="PL_Rural"/>
    <x v="15"/>
    <x v="6"/>
    <s v="PATN2-1_ST_LIGNITE_CON"/>
    <x v="0"/>
    <x v="22"/>
    <n v="441"/>
    <n v="160965"/>
    <n v="579474"/>
  </r>
  <r>
    <x v="0"/>
    <x v="1"/>
    <x v="1"/>
    <x v="8"/>
    <x v="16"/>
    <s v="PL_Rural"/>
    <x v="15"/>
    <x v="6"/>
    <s v="PATN2-1_ST_LIGNITE_CON"/>
    <x v="0"/>
    <x v="23"/>
    <n v="441"/>
    <n v="160965"/>
    <n v="579474"/>
  </r>
  <r>
    <x v="0"/>
    <x v="1"/>
    <x v="1"/>
    <x v="8"/>
    <x v="16"/>
    <s v="PL_Rural"/>
    <x v="6"/>
    <x v="4"/>
    <s v="GNR_ROR_WTR"/>
    <x v="0"/>
    <x v="0"/>
    <n v="263.81563926940601"/>
    <n v="96292.708333333299"/>
    <n v="346653.75"/>
  </r>
  <r>
    <x v="0"/>
    <x v="1"/>
    <x v="1"/>
    <x v="8"/>
    <x v="16"/>
    <s v="PL_Rural"/>
    <x v="6"/>
    <x v="4"/>
    <s v="GNR_ROR_WTR"/>
    <x v="0"/>
    <x v="1"/>
    <n v="263.81563926940601"/>
    <n v="96292.708333333299"/>
    <n v="346653.75"/>
  </r>
  <r>
    <x v="0"/>
    <x v="1"/>
    <x v="1"/>
    <x v="8"/>
    <x v="16"/>
    <s v="PL_Rural"/>
    <x v="6"/>
    <x v="4"/>
    <s v="GNR_ROR_WTR"/>
    <x v="0"/>
    <x v="18"/>
    <n v="263.81563926940601"/>
    <n v="96292.708333333299"/>
    <n v="346653.75"/>
  </r>
  <r>
    <x v="0"/>
    <x v="1"/>
    <x v="1"/>
    <x v="8"/>
    <x v="16"/>
    <s v="PL_Rural"/>
    <x v="6"/>
    <x v="4"/>
    <s v="GNR_ROR_WTR"/>
    <x v="0"/>
    <x v="2"/>
    <n v="263.81563926940601"/>
    <n v="96292.708333333299"/>
    <n v="346653.75"/>
  </r>
  <r>
    <x v="0"/>
    <x v="1"/>
    <x v="1"/>
    <x v="8"/>
    <x v="16"/>
    <s v="PL_Rural"/>
    <x v="6"/>
    <x v="4"/>
    <s v="GNR_ROR_WTR"/>
    <x v="0"/>
    <x v="3"/>
    <n v="263.81563926940601"/>
    <n v="96292.708333333299"/>
    <n v="346653.75"/>
  </r>
  <r>
    <x v="0"/>
    <x v="1"/>
    <x v="1"/>
    <x v="8"/>
    <x v="16"/>
    <s v="PL_Rural"/>
    <x v="6"/>
    <x v="4"/>
    <s v="GNR_ROR_WTR"/>
    <x v="0"/>
    <x v="4"/>
    <n v="263.81563926940601"/>
    <n v="96292.708333333299"/>
    <n v="346653.75"/>
  </r>
  <r>
    <x v="0"/>
    <x v="1"/>
    <x v="1"/>
    <x v="8"/>
    <x v="16"/>
    <s v="PL_Rural"/>
    <x v="6"/>
    <x v="4"/>
    <s v="GNR_ROR_WTR"/>
    <x v="0"/>
    <x v="5"/>
    <n v="263.81563926940601"/>
    <n v="96292.708333333299"/>
    <n v="346653.75"/>
  </r>
  <r>
    <x v="0"/>
    <x v="1"/>
    <x v="1"/>
    <x v="8"/>
    <x v="16"/>
    <s v="PL_Rural"/>
    <x v="6"/>
    <x v="4"/>
    <s v="GNR_ROR_WTR"/>
    <x v="0"/>
    <x v="6"/>
    <n v="263.81563926940601"/>
    <n v="96292.708333333299"/>
    <n v="346653.75"/>
  </r>
  <r>
    <x v="0"/>
    <x v="1"/>
    <x v="1"/>
    <x v="8"/>
    <x v="16"/>
    <s v="PL_Rural"/>
    <x v="6"/>
    <x v="4"/>
    <s v="GNR_ROR_WTR"/>
    <x v="0"/>
    <x v="7"/>
    <n v="263.81563926940601"/>
    <n v="96292.708333333299"/>
    <n v="346653.75"/>
  </r>
  <r>
    <x v="0"/>
    <x v="1"/>
    <x v="1"/>
    <x v="8"/>
    <x v="16"/>
    <s v="PL_Rural"/>
    <x v="6"/>
    <x v="4"/>
    <s v="GNR_ROR_WTR"/>
    <x v="0"/>
    <x v="8"/>
    <n v="263.81563926940601"/>
    <n v="96292.708333333299"/>
    <n v="346653.75"/>
  </r>
  <r>
    <x v="0"/>
    <x v="1"/>
    <x v="1"/>
    <x v="8"/>
    <x v="16"/>
    <s v="PL_Rural"/>
    <x v="6"/>
    <x v="4"/>
    <s v="GNR_ROR_WTR"/>
    <x v="0"/>
    <x v="9"/>
    <n v="263.81563926940601"/>
    <n v="96292.708333333299"/>
    <n v="346653.75"/>
  </r>
  <r>
    <x v="0"/>
    <x v="1"/>
    <x v="1"/>
    <x v="8"/>
    <x v="16"/>
    <s v="PL_Rural"/>
    <x v="6"/>
    <x v="4"/>
    <s v="GNR_ROR_WTR"/>
    <x v="0"/>
    <x v="10"/>
    <n v="263.81563926940601"/>
    <n v="96292.708333333299"/>
    <n v="346653.75"/>
  </r>
  <r>
    <x v="0"/>
    <x v="1"/>
    <x v="1"/>
    <x v="8"/>
    <x v="16"/>
    <s v="PL_Rural"/>
    <x v="6"/>
    <x v="4"/>
    <s v="GNR_ROR_WTR"/>
    <x v="0"/>
    <x v="11"/>
    <n v="263.81563926940601"/>
    <n v="96292.708333333299"/>
    <n v="346653.75"/>
  </r>
  <r>
    <x v="0"/>
    <x v="1"/>
    <x v="1"/>
    <x v="8"/>
    <x v="16"/>
    <s v="PL_Rural"/>
    <x v="6"/>
    <x v="4"/>
    <s v="GNR_ROR_WTR"/>
    <x v="0"/>
    <x v="12"/>
    <n v="263.81563926940601"/>
    <n v="96292.708333333299"/>
    <n v="346653.75"/>
  </r>
  <r>
    <x v="0"/>
    <x v="1"/>
    <x v="1"/>
    <x v="8"/>
    <x v="16"/>
    <s v="PL_Rural"/>
    <x v="6"/>
    <x v="4"/>
    <s v="GNR_ROR_WTR"/>
    <x v="0"/>
    <x v="13"/>
    <n v="263.81563926940601"/>
    <n v="96292.708333333299"/>
    <n v="346653.75"/>
  </r>
  <r>
    <x v="0"/>
    <x v="1"/>
    <x v="1"/>
    <x v="8"/>
    <x v="16"/>
    <s v="PL_Rural"/>
    <x v="6"/>
    <x v="4"/>
    <s v="GNR_ROR_WTR"/>
    <x v="0"/>
    <x v="14"/>
    <n v="263.81563926940601"/>
    <n v="96292.708333333299"/>
    <n v="346653.75"/>
  </r>
  <r>
    <x v="0"/>
    <x v="1"/>
    <x v="1"/>
    <x v="8"/>
    <x v="16"/>
    <s v="PL_Rural"/>
    <x v="6"/>
    <x v="4"/>
    <s v="GNR_ROR_WTR"/>
    <x v="0"/>
    <x v="15"/>
    <n v="263.81563926940601"/>
    <n v="96292.708333333299"/>
    <n v="346653.75"/>
  </r>
  <r>
    <x v="0"/>
    <x v="1"/>
    <x v="1"/>
    <x v="8"/>
    <x v="16"/>
    <s v="PL_Rural"/>
    <x v="6"/>
    <x v="4"/>
    <s v="GNR_ROR_WTR"/>
    <x v="0"/>
    <x v="16"/>
    <n v="263.81563926940601"/>
    <n v="96292.708333333299"/>
    <n v="346653.75"/>
  </r>
  <r>
    <x v="0"/>
    <x v="1"/>
    <x v="1"/>
    <x v="8"/>
    <x v="16"/>
    <s v="PL_Rural"/>
    <x v="6"/>
    <x v="4"/>
    <s v="GNR_ROR_WTR"/>
    <x v="0"/>
    <x v="17"/>
    <n v="263.81563926940601"/>
    <n v="96292.708333333299"/>
    <n v="346653.75"/>
  </r>
  <r>
    <x v="0"/>
    <x v="1"/>
    <x v="1"/>
    <x v="8"/>
    <x v="16"/>
    <s v="PL_Rural"/>
    <x v="6"/>
    <x v="4"/>
    <s v="GNR_ROR_WTR"/>
    <x v="0"/>
    <x v="19"/>
    <n v="263.81563926940601"/>
    <n v="96292.708333333299"/>
    <n v="346653.75"/>
  </r>
  <r>
    <x v="0"/>
    <x v="1"/>
    <x v="1"/>
    <x v="8"/>
    <x v="16"/>
    <s v="PL_Rural"/>
    <x v="6"/>
    <x v="4"/>
    <s v="GNR_ROR_WTR"/>
    <x v="0"/>
    <x v="20"/>
    <n v="263.81563926940601"/>
    <n v="96292.708333333299"/>
    <n v="346653.75"/>
  </r>
  <r>
    <x v="0"/>
    <x v="1"/>
    <x v="1"/>
    <x v="8"/>
    <x v="16"/>
    <s v="PL_Rural"/>
    <x v="6"/>
    <x v="4"/>
    <s v="GNR_ROR_WTR"/>
    <x v="0"/>
    <x v="21"/>
    <n v="263.81563926940601"/>
    <n v="96292.708333333299"/>
    <n v="346653.75"/>
  </r>
  <r>
    <x v="0"/>
    <x v="1"/>
    <x v="1"/>
    <x v="8"/>
    <x v="16"/>
    <s v="PL_Rural"/>
    <x v="6"/>
    <x v="4"/>
    <s v="GNR_ROR_WTR"/>
    <x v="0"/>
    <x v="22"/>
    <n v="263.81563926940601"/>
    <n v="96292.708333333299"/>
    <n v="346653.75"/>
  </r>
  <r>
    <x v="0"/>
    <x v="1"/>
    <x v="1"/>
    <x v="8"/>
    <x v="16"/>
    <s v="PL_Rural"/>
    <x v="6"/>
    <x v="4"/>
    <s v="GNR_ROR_WTR"/>
    <x v="0"/>
    <x v="23"/>
    <n v="263.81563926940601"/>
    <n v="96292.708333333299"/>
    <n v="346653.75"/>
  </r>
  <r>
    <x v="0"/>
    <x v="1"/>
    <x v="1"/>
    <x v="9"/>
    <x v="17"/>
    <s v="SE1A"/>
    <x v="6"/>
    <x v="7"/>
    <s v="GNR_RES_WTR_NOPMP_MC-01"/>
    <x v="0"/>
    <x v="0"/>
    <n v="405.5"/>
    <n v="148007.5"/>
    <n v="532827"/>
  </r>
  <r>
    <x v="0"/>
    <x v="1"/>
    <x v="1"/>
    <x v="9"/>
    <x v="17"/>
    <s v="SE1A"/>
    <x v="6"/>
    <x v="7"/>
    <s v="GNR_RES_WTR_NOPMP_MC-01"/>
    <x v="0"/>
    <x v="1"/>
    <n v="405.5"/>
    <n v="148007.5"/>
    <n v="532827"/>
  </r>
  <r>
    <x v="0"/>
    <x v="1"/>
    <x v="1"/>
    <x v="9"/>
    <x v="17"/>
    <s v="SE1A"/>
    <x v="6"/>
    <x v="7"/>
    <s v="GNR_RES_WTR_NOPMP_MC-01"/>
    <x v="0"/>
    <x v="18"/>
    <n v="405.5"/>
    <n v="148007.5"/>
    <n v="532827"/>
  </r>
  <r>
    <x v="0"/>
    <x v="1"/>
    <x v="1"/>
    <x v="9"/>
    <x v="17"/>
    <s v="SE1A"/>
    <x v="6"/>
    <x v="7"/>
    <s v="GNR_RES_WTR_NOPMP_MC-01"/>
    <x v="0"/>
    <x v="2"/>
    <n v="405.5"/>
    <n v="148007.5"/>
    <n v="532827"/>
  </r>
  <r>
    <x v="0"/>
    <x v="1"/>
    <x v="1"/>
    <x v="9"/>
    <x v="17"/>
    <s v="SE1A"/>
    <x v="6"/>
    <x v="7"/>
    <s v="GNR_RES_WTR_NOPMP_MC-01"/>
    <x v="0"/>
    <x v="3"/>
    <n v="405.5"/>
    <n v="148007.5"/>
    <n v="532827"/>
  </r>
  <r>
    <x v="0"/>
    <x v="1"/>
    <x v="1"/>
    <x v="9"/>
    <x v="17"/>
    <s v="SE1A"/>
    <x v="6"/>
    <x v="7"/>
    <s v="GNR_RES_WTR_NOPMP_MC-01"/>
    <x v="0"/>
    <x v="4"/>
    <n v="405.5"/>
    <n v="148007.5"/>
    <n v="532827"/>
  </r>
  <r>
    <x v="0"/>
    <x v="1"/>
    <x v="1"/>
    <x v="9"/>
    <x v="17"/>
    <s v="SE1A"/>
    <x v="6"/>
    <x v="7"/>
    <s v="GNR_RES_WTR_NOPMP_MC-01"/>
    <x v="0"/>
    <x v="5"/>
    <n v="405.5"/>
    <n v="148007.5"/>
    <n v="532827"/>
  </r>
  <r>
    <x v="0"/>
    <x v="1"/>
    <x v="1"/>
    <x v="9"/>
    <x v="17"/>
    <s v="SE1A"/>
    <x v="6"/>
    <x v="7"/>
    <s v="GNR_RES_WTR_NOPMP_MC-01"/>
    <x v="0"/>
    <x v="6"/>
    <n v="405.5"/>
    <n v="148007.5"/>
    <n v="532827"/>
  </r>
  <r>
    <x v="0"/>
    <x v="1"/>
    <x v="1"/>
    <x v="9"/>
    <x v="17"/>
    <s v="SE1A"/>
    <x v="6"/>
    <x v="7"/>
    <s v="GNR_RES_WTR_NOPMP_MC-01"/>
    <x v="0"/>
    <x v="7"/>
    <n v="405.5"/>
    <n v="148007.5"/>
    <n v="532827"/>
  </r>
  <r>
    <x v="0"/>
    <x v="1"/>
    <x v="1"/>
    <x v="9"/>
    <x v="17"/>
    <s v="SE1A"/>
    <x v="6"/>
    <x v="7"/>
    <s v="GNR_RES_WTR_NOPMP_MC-01"/>
    <x v="0"/>
    <x v="8"/>
    <n v="405.5"/>
    <n v="148007.5"/>
    <n v="532827"/>
  </r>
  <r>
    <x v="0"/>
    <x v="1"/>
    <x v="1"/>
    <x v="9"/>
    <x v="17"/>
    <s v="SE1A"/>
    <x v="6"/>
    <x v="7"/>
    <s v="GNR_RES_WTR_NOPMP_MC-01"/>
    <x v="0"/>
    <x v="9"/>
    <n v="405.5"/>
    <n v="148007.5"/>
    <n v="532827"/>
  </r>
  <r>
    <x v="0"/>
    <x v="1"/>
    <x v="1"/>
    <x v="9"/>
    <x v="17"/>
    <s v="SE1A"/>
    <x v="6"/>
    <x v="7"/>
    <s v="GNR_RES_WTR_NOPMP_MC-01"/>
    <x v="0"/>
    <x v="10"/>
    <n v="405.5"/>
    <n v="148007.5"/>
    <n v="532827"/>
  </r>
  <r>
    <x v="0"/>
    <x v="1"/>
    <x v="1"/>
    <x v="9"/>
    <x v="17"/>
    <s v="SE1A"/>
    <x v="6"/>
    <x v="7"/>
    <s v="GNR_RES_WTR_NOPMP_MC-01"/>
    <x v="0"/>
    <x v="11"/>
    <n v="405.5"/>
    <n v="148007.5"/>
    <n v="532827"/>
  </r>
  <r>
    <x v="0"/>
    <x v="1"/>
    <x v="1"/>
    <x v="9"/>
    <x v="17"/>
    <s v="SE1A"/>
    <x v="6"/>
    <x v="7"/>
    <s v="GNR_RES_WTR_NOPMP_MC-01"/>
    <x v="0"/>
    <x v="12"/>
    <n v="405.5"/>
    <n v="148007.5"/>
    <n v="532827"/>
  </r>
  <r>
    <x v="0"/>
    <x v="1"/>
    <x v="1"/>
    <x v="9"/>
    <x v="17"/>
    <s v="SE1A"/>
    <x v="6"/>
    <x v="7"/>
    <s v="GNR_RES_WTR_NOPMP_MC-01"/>
    <x v="0"/>
    <x v="13"/>
    <n v="405.5"/>
    <n v="148007.5"/>
    <n v="532827"/>
  </r>
  <r>
    <x v="0"/>
    <x v="1"/>
    <x v="1"/>
    <x v="9"/>
    <x v="17"/>
    <s v="SE1A"/>
    <x v="6"/>
    <x v="7"/>
    <s v="GNR_RES_WTR_NOPMP_MC-01"/>
    <x v="0"/>
    <x v="14"/>
    <n v="405.5"/>
    <n v="148007.5"/>
    <n v="532827"/>
  </r>
  <r>
    <x v="0"/>
    <x v="1"/>
    <x v="1"/>
    <x v="9"/>
    <x v="17"/>
    <s v="SE1A"/>
    <x v="6"/>
    <x v="7"/>
    <s v="GNR_RES_WTR_NOPMP_MC-01"/>
    <x v="0"/>
    <x v="15"/>
    <n v="405.5"/>
    <n v="148007.5"/>
    <n v="532827"/>
  </r>
  <r>
    <x v="0"/>
    <x v="1"/>
    <x v="1"/>
    <x v="9"/>
    <x v="17"/>
    <s v="SE1A"/>
    <x v="6"/>
    <x v="7"/>
    <s v="GNR_RES_WTR_NOPMP_MC-01"/>
    <x v="0"/>
    <x v="16"/>
    <n v="405.5"/>
    <n v="148007.5"/>
    <n v="532827"/>
  </r>
  <r>
    <x v="0"/>
    <x v="1"/>
    <x v="1"/>
    <x v="9"/>
    <x v="17"/>
    <s v="SE1A"/>
    <x v="6"/>
    <x v="7"/>
    <s v="GNR_RES_WTR_NOPMP_MC-01"/>
    <x v="0"/>
    <x v="17"/>
    <n v="405.5"/>
    <n v="148007.5"/>
    <n v="532827"/>
  </r>
  <r>
    <x v="0"/>
    <x v="1"/>
    <x v="1"/>
    <x v="9"/>
    <x v="17"/>
    <s v="SE1A"/>
    <x v="6"/>
    <x v="7"/>
    <s v="GNR_RES_WTR_NOPMP_MC-01"/>
    <x v="0"/>
    <x v="19"/>
    <n v="405.5"/>
    <n v="148007.5"/>
    <n v="532827"/>
  </r>
  <r>
    <x v="0"/>
    <x v="1"/>
    <x v="1"/>
    <x v="9"/>
    <x v="17"/>
    <s v="SE1A"/>
    <x v="6"/>
    <x v="7"/>
    <s v="GNR_RES_WTR_NOPMP_MC-01"/>
    <x v="0"/>
    <x v="20"/>
    <n v="405.5"/>
    <n v="148007.5"/>
    <n v="532827"/>
  </r>
  <r>
    <x v="0"/>
    <x v="1"/>
    <x v="1"/>
    <x v="9"/>
    <x v="17"/>
    <s v="SE1A"/>
    <x v="6"/>
    <x v="7"/>
    <s v="GNR_RES_WTR_NOPMP_MC-01"/>
    <x v="0"/>
    <x v="21"/>
    <n v="405.5"/>
    <n v="148007.5"/>
    <n v="532827"/>
  </r>
  <r>
    <x v="0"/>
    <x v="1"/>
    <x v="1"/>
    <x v="9"/>
    <x v="17"/>
    <s v="SE1A"/>
    <x v="6"/>
    <x v="7"/>
    <s v="GNR_RES_WTR_NOPMP_MC-01"/>
    <x v="0"/>
    <x v="22"/>
    <n v="405.5"/>
    <n v="148007.5"/>
    <n v="532827"/>
  </r>
  <r>
    <x v="0"/>
    <x v="1"/>
    <x v="1"/>
    <x v="9"/>
    <x v="17"/>
    <s v="SE1A"/>
    <x v="6"/>
    <x v="7"/>
    <s v="GNR_RES_WTR_NOPMP_MC-01"/>
    <x v="0"/>
    <x v="23"/>
    <n v="346.46735216685198"/>
    <n v="126460.583540901"/>
    <n v="455258.10074724403"/>
  </r>
  <r>
    <x v="0"/>
    <x v="1"/>
    <x v="1"/>
    <x v="9"/>
    <x v="17"/>
    <s v="SE1A"/>
    <x v="6"/>
    <x v="7"/>
    <s v="GNR_RES_WTR_NOPMP_MC-02"/>
    <x v="0"/>
    <x v="0"/>
    <n v="405.5"/>
    <n v="148007.5"/>
    <n v="532827"/>
  </r>
  <r>
    <x v="0"/>
    <x v="1"/>
    <x v="1"/>
    <x v="9"/>
    <x v="17"/>
    <s v="SE1A"/>
    <x v="6"/>
    <x v="7"/>
    <s v="GNR_RES_WTR_NOPMP_MC-02"/>
    <x v="0"/>
    <x v="1"/>
    <n v="405.5"/>
    <n v="148007.5"/>
    <n v="532827"/>
  </r>
  <r>
    <x v="0"/>
    <x v="1"/>
    <x v="1"/>
    <x v="9"/>
    <x v="17"/>
    <s v="SE1A"/>
    <x v="6"/>
    <x v="7"/>
    <s v="GNR_RES_WTR_NOPMP_MC-02"/>
    <x v="0"/>
    <x v="18"/>
    <n v="405.5"/>
    <n v="148007.5"/>
    <n v="532827"/>
  </r>
  <r>
    <x v="0"/>
    <x v="1"/>
    <x v="1"/>
    <x v="9"/>
    <x v="17"/>
    <s v="SE1A"/>
    <x v="6"/>
    <x v="7"/>
    <s v="GNR_RES_WTR_NOPMP_MC-02"/>
    <x v="0"/>
    <x v="2"/>
    <n v="405.5"/>
    <n v="148007.5"/>
    <n v="532827"/>
  </r>
  <r>
    <x v="0"/>
    <x v="1"/>
    <x v="1"/>
    <x v="9"/>
    <x v="17"/>
    <s v="SE1A"/>
    <x v="6"/>
    <x v="7"/>
    <s v="GNR_RES_WTR_NOPMP_MC-02"/>
    <x v="0"/>
    <x v="3"/>
    <n v="405.5"/>
    <n v="148007.5"/>
    <n v="532827"/>
  </r>
  <r>
    <x v="0"/>
    <x v="1"/>
    <x v="1"/>
    <x v="9"/>
    <x v="17"/>
    <s v="SE1A"/>
    <x v="6"/>
    <x v="7"/>
    <s v="GNR_RES_WTR_NOPMP_MC-02"/>
    <x v="0"/>
    <x v="4"/>
    <n v="405.5"/>
    <n v="148007.5"/>
    <n v="532827"/>
  </r>
  <r>
    <x v="0"/>
    <x v="1"/>
    <x v="1"/>
    <x v="9"/>
    <x v="17"/>
    <s v="SE1A"/>
    <x v="6"/>
    <x v="7"/>
    <s v="GNR_RES_WTR_NOPMP_MC-02"/>
    <x v="0"/>
    <x v="5"/>
    <n v="405.5"/>
    <n v="148007.5"/>
    <n v="532827"/>
  </r>
  <r>
    <x v="0"/>
    <x v="1"/>
    <x v="1"/>
    <x v="9"/>
    <x v="17"/>
    <s v="SE1A"/>
    <x v="6"/>
    <x v="7"/>
    <s v="GNR_RES_WTR_NOPMP_MC-02"/>
    <x v="0"/>
    <x v="6"/>
    <n v="405.5"/>
    <n v="148007.5"/>
    <n v="532827"/>
  </r>
  <r>
    <x v="0"/>
    <x v="1"/>
    <x v="1"/>
    <x v="9"/>
    <x v="17"/>
    <s v="SE1A"/>
    <x v="6"/>
    <x v="7"/>
    <s v="GNR_RES_WTR_NOPMP_MC-02"/>
    <x v="0"/>
    <x v="7"/>
    <n v="405.5"/>
    <n v="148007.5"/>
    <n v="532827"/>
  </r>
  <r>
    <x v="0"/>
    <x v="1"/>
    <x v="1"/>
    <x v="9"/>
    <x v="17"/>
    <s v="SE1A"/>
    <x v="6"/>
    <x v="7"/>
    <s v="GNR_RES_WTR_NOPMP_MC-02"/>
    <x v="0"/>
    <x v="8"/>
    <n v="405.5"/>
    <n v="148007.5"/>
    <n v="532827"/>
  </r>
  <r>
    <x v="0"/>
    <x v="1"/>
    <x v="1"/>
    <x v="9"/>
    <x v="17"/>
    <s v="SE1A"/>
    <x v="6"/>
    <x v="7"/>
    <s v="GNR_RES_WTR_NOPMP_MC-02"/>
    <x v="0"/>
    <x v="9"/>
    <n v="405.5"/>
    <n v="148007.5"/>
    <n v="532827"/>
  </r>
  <r>
    <x v="0"/>
    <x v="1"/>
    <x v="1"/>
    <x v="9"/>
    <x v="17"/>
    <s v="SE1A"/>
    <x v="6"/>
    <x v="7"/>
    <s v="GNR_RES_WTR_NOPMP_MC-02"/>
    <x v="0"/>
    <x v="10"/>
    <n v="405.5"/>
    <n v="148007.5"/>
    <n v="532827"/>
  </r>
  <r>
    <x v="0"/>
    <x v="1"/>
    <x v="1"/>
    <x v="9"/>
    <x v="17"/>
    <s v="SE1A"/>
    <x v="6"/>
    <x v="7"/>
    <s v="GNR_RES_WTR_NOPMP_MC-02"/>
    <x v="0"/>
    <x v="11"/>
    <n v="405.5"/>
    <n v="148007.5"/>
    <n v="532827"/>
  </r>
  <r>
    <x v="0"/>
    <x v="1"/>
    <x v="1"/>
    <x v="9"/>
    <x v="17"/>
    <s v="SE1A"/>
    <x v="6"/>
    <x v="7"/>
    <s v="GNR_RES_WTR_NOPMP_MC-02"/>
    <x v="0"/>
    <x v="12"/>
    <n v="405.5"/>
    <n v="148007.5"/>
    <n v="532827"/>
  </r>
  <r>
    <x v="0"/>
    <x v="1"/>
    <x v="1"/>
    <x v="9"/>
    <x v="17"/>
    <s v="SE1A"/>
    <x v="6"/>
    <x v="7"/>
    <s v="GNR_RES_WTR_NOPMP_MC-02"/>
    <x v="0"/>
    <x v="13"/>
    <n v="405.5"/>
    <n v="148007.5"/>
    <n v="532827"/>
  </r>
  <r>
    <x v="0"/>
    <x v="1"/>
    <x v="1"/>
    <x v="9"/>
    <x v="17"/>
    <s v="SE1A"/>
    <x v="6"/>
    <x v="7"/>
    <s v="GNR_RES_WTR_NOPMP_MC-02"/>
    <x v="0"/>
    <x v="14"/>
    <n v="405.5"/>
    <n v="148007.5"/>
    <n v="532827"/>
  </r>
  <r>
    <x v="0"/>
    <x v="1"/>
    <x v="1"/>
    <x v="9"/>
    <x v="17"/>
    <s v="SE1A"/>
    <x v="6"/>
    <x v="7"/>
    <s v="GNR_RES_WTR_NOPMP_MC-02"/>
    <x v="0"/>
    <x v="15"/>
    <n v="405.5"/>
    <n v="148007.5"/>
    <n v="532827"/>
  </r>
  <r>
    <x v="0"/>
    <x v="1"/>
    <x v="1"/>
    <x v="9"/>
    <x v="17"/>
    <s v="SE1A"/>
    <x v="6"/>
    <x v="7"/>
    <s v="GNR_RES_WTR_NOPMP_MC-02"/>
    <x v="0"/>
    <x v="16"/>
    <n v="405.5"/>
    <n v="148007.5"/>
    <n v="532827"/>
  </r>
  <r>
    <x v="0"/>
    <x v="1"/>
    <x v="1"/>
    <x v="9"/>
    <x v="17"/>
    <s v="SE1A"/>
    <x v="6"/>
    <x v="7"/>
    <s v="GNR_RES_WTR_NOPMP_MC-02"/>
    <x v="0"/>
    <x v="17"/>
    <n v="405.5"/>
    <n v="148007.5"/>
    <n v="532827"/>
  </r>
  <r>
    <x v="0"/>
    <x v="1"/>
    <x v="1"/>
    <x v="9"/>
    <x v="17"/>
    <s v="SE1A"/>
    <x v="6"/>
    <x v="7"/>
    <s v="GNR_RES_WTR_NOPMP_MC-02"/>
    <x v="0"/>
    <x v="19"/>
    <n v="405.5"/>
    <n v="148007.5"/>
    <n v="532827"/>
  </r>
  <r>
    <x v="0"/>
    <x v="1"/>
    <x v="1"/>
    <x v="9"/>
    <x v="17"/>
    <s v="SE1A"/>
    <x v="6"/>
    <x v="7"/>
    <s v="GNR_RES_WTR_NOPMP_MC-02"/>
    <x v="0"/>
    <x v="20"/>
    <n v="405.5"/>
    <n v="148007.5"/>
    <n v="532827"/>
  </r>
  <r>
    <x v="0"/>
    <x v="1"/>
    <x v="1"/>
    <x v="9"/>
    <x v="17"/>
    <s v="SE1A"/>
    <x v="6"/>
    <x v="7"/>
    <s v="GNR_RES_WTR_NOPMP_MC-02"/>
    <x v="0"/>
    <x v="21"/>
    <n v="152.142159345126"/>
    <n v="55531.888160971001"/>
    <n v="199914.79737949499"/>
  </r>
  <r>
    <x v="0"/>
    <x v="1"/>
    <x v="1"/>
    <x v="9"/>
    <x v="17"/>
    <s v="SE1A"/>
    <x v="6"/>
    <x v="7"/>
    <s v="GNR_RES_WTR_NOPMP_MC-03"/>
    <x v="0"/>
    <x v="0"/>
    <n v="405.5"/>
    <n v="148007.5"/>
    <n v="532827"/>
  </r>
  <r>
    <x v="0"/>
    <x v="1"/>
    <x v="1"/>
    <x v="9"/>
    <x v="17"/>
    <s v="SE1A"/>
    <x v="6"/>
    <x v="7"/>
    <s v="GNR_RES_WTR_NOPMP_MC-03"/>
    <x v="0"/>
    <x v="1"/>
    <n v="405.5"/>
    <n v="148007.5"/>
    <n v="532827"/>
  </r>
  <r>
    <x v="0"/>
    <x v="1"/>
    <x v="1"/>
    <x v="9"/>
    <x v="17"/>
    <s v="SE1A"/>
    <x v="6"/>
    <x v="7"/>
    <s v="GNR_RES_WTR_NOPMP_MC-03"/>
    <x v="0"/>
    <x v="18"/>
    <n v="405.5"/>
    <n v="148007.5"/>
    <n v="532827"/>
  </r>
  <r>
    <x v="0"/>
    <x v="1"/>
    <x v="1"/>
    <x v="9"/>
    <x v="17"/>
    <s v="SE1A"/>
    <x v="6"/>
    <x v="7"/>
    <s v="GNR_RES_WTR_NOPMP_MC-03"/>
    <x v="0"/>
    <x v="2"/>
    <n v="405.5"/>
    <n v="148007.5"/>
    <n v="532827"/>
  </r>
  <r>
    <x v="0"/>
    <x v="1"/>
    <x v="1"/>
    <x v="9"/>
    <x v="17"/>
    <s v="SE1A"/>
    <x v="6"/>
    <x v="7"/>
    <s v="GNR_RES_WTR_NOPMP_MC-03"/>
    <x v="0"/>
    <x v="3"/>
    <n v="405.5"/>
    <n v="148007.5"/>
    <n v="532827"/>
  </r>
  <r>
    <x v="0"/>
    <x v="1"/>
    <x v="1"/>
    <x v="9"/>
    <x v="17"/>
    <s v="SE1A"/>
    <x v="6"/>
    <x v="7"/>
    <s v="GNR_RES_WTR_NOPMP_MC-03"/>
    <x v="0"/>
    <x v="4"/>
    <n v="405.5"/>
    <n v="148007.5"/>
    <n v="532827"/>
  </r>
  <r>
    <x v="0"/>
    <x v="1"/>
    <x v="1"/>
    <x v="9"/>
    <x v="17"/>
    <s v="SE1A"/>
    <x v="6"/>
    <x v="7"/>
    <s v="GNR_RES_WTR_NOPMP_MC-03"/>
    <x v="0"/>
    <x v="5"/>
    <n v="405.5"/>
    <n v="148007.5"/>
    <n v="532827"/>
  </r>
  <r>
    <x v="0"/>
    <x v="1"/>
    <x v="1"/>
    <x v="9"/>
    <x v="17"/>
    <s v="SE1A"/>
    <x v="6"/>
    <x v="7"/>
    <s v="GNR_RES_WTR_NOPMP_MC-03"/>
    <x v="0"/>
    <x v="6"/>
    <n v="405.5"/>
    <n v="148007.5"/>
    <n v="532827"/>
  </r>
  <r>
    <x v="0"/>
    <x v="1"/>
    <x v="1"/>
    <x v="9"/>
    <x v="17"/>
    <s v="SE1A"/>
    <x v="6"/>
    <x v="7"/>
    <s v="GNR_RES_WTR_NOPMP_MC-03"/>
    <x v="0"/>
    <x v="7"/>
    <n v="405.5"/>
    <n v="148007.5"/>
    <n v="532827"/>
  </r>
  <r>
    <x v="0"/>
    <x v="1"/>
    <x v="1"/>
    <x v="9"/>
    <x v="17"/>
    <s v="SE1A"/>
    <x v="6"/>
    <x v="7"/>
    <s v="GNR_RES_WTR_NOPMP_MC-03"/>
    <x v="0"/>
    <x v="8"/>
    <n v="405.5"/>
    <n v="148007.5"/>
    <n v="532827"/>
  </r>
  <r>
    <x v="0"/>
    <x v="1"/>
    <x v="1"/>
    <x v="9"/>
    <x v="17"/>
    <s v="SE1A"/>
    <x v="6"/>
    <x v="7"/>
    <s v="GNR_RES_WTR_NOPMP_MC-03"/>
    <x v="0"/>
    <x v="9"/>
    <n v="405.5"/>
    <n v="148007.5"/>
    <n v="532827"/>
  </r>
  <r>
    <x v="0"/>
    <x v="1"/>
    <x v="1"/>
    <x v="9"/>
    <x v="17"/>
    <s v="SE1A"/>
    <x v="6"/>
    <x v="7"/>
    <s v="GNR_RES_WTR_NOPMP_MC-03"/>
    <x v="0"/>
    <x v="10"/>
    <n v="405.5"/>
    <n v="148007.5"/>
    <n v="532827"/>
  </r>
  <r>
    <x v="0"/>
    <x v="1"/>
    <x v="1"/>
    <x v="9"/>
    <x v="17"/>
    <s v="SE1A"/>
    <x v="6"/>
    <x v="7"/>
    <s v="GNR_RES_WTR_NOPMP_MC-03"/>
    <x v="0"/>
    <x v="11"/>
    <n v="405.5"/>
    <n v="148007.5"/>
    <n v="532827"/>
  </r>
  <r>
    <x v="0"/>
    <x v="1"/>
    <x v="1"/>
    <x v="9"/>
    <x v="17"/>
    <s v="SE1A"/>
    <x v="6"/>
    <x v="7"/>
    <s v="GNR_RES_WTR_NOPMP_MC-03"/>
    <x v="0"/>
    <x v="12"/>
    <n v="405.5"/>
    <n v="148007.5"/>
    <n v="532827"/>
  </r>
  <r>
    <x v="0"/>
    <x v="1"/>
    <x v="1"/>
    <x v="9"/>
    <x v="17"/>
    <s v="SE1A"/>
    <x v="6"/>
    <x v="7"/>
    <s v="GNR_RES_WTR_NOPMP_MC-03"/>
    <x v="0"/>
    <x v="13"/>
    <n v="405.5"/>
    <n v="148007.5"/>
    <n v="532827"/>
  </r>
  <r>
    <x v="0"/>
    <x v="1"/>
    <x v="1"/>
    <x v="9"/>
    <x v="17"/>
    <s v="SE1A"/>
    <x v="6"/>
    <x v="7"/>
    <s v="GNR_RES_WTR_NOPMP_MC-03"/>
    <x v="0"/>
    <x v="14"/>
    <n v="405.5"/>
    <n v="148007.5"/>
    <n v="532827"/>
  </r>
  <r>
    <x v="0"/>
    <x v="1"/>
    <x v="1"/>
    <x v="9"/>
    <x v="17"/>
    <s v="SE1A"/>
    <x v="6"/>
    <x v="7"/>
    <s v="GNR_RES_WTR_NOPMP_MC-03"/>
    <x v="0"/>
    <x v="15"/>
    <n v="405.5"/>
    <n v="148007.5"/>
    <n v="532827"/>
  </r>
  <r>
    <x v="0"/>
    <x v="1"/>
    <x v="1"/>
    <x v="9"/>
    <x v="17"/>
    <s v="SE1A"/>
    <x v="6"/>
    <x v="7"/>
    <s v="GNR_RES_WTR_NOPMP_MC-03"/>
    <x v="0"/>
    <x v="16"/>
    <n v="405.5"/>
    <n v="148007.5"/>
    <n v="532827"/>
  </r>
  <r>
    <x v="0"/>
    <x v="1"/>
    <x v="1"/>
    <x v="9"/>
    <x v="17"/>
    <s v="SE1A"/>
    <x v="6"/>
    <x v="7"/>
    <s v="GNR_RES_WTR_NOPMP_MC-03"/>
    <x v="0"/>
    <x v="17"/>
    <n v="405.5"/>
    <n v="148007.5"/>
    <n v="532827"/>
  </r>
  <r>
    <x v="0"/>
    <x v="1"/>
    <x v="1"/>
    <x v="9"/>
    <x v="17"/>
    <s v="SE1A"/>
    <x v="6"/>
    <x v="7"/>
    <s v="GNR_RES_WTR_NOPMP_MC-03"/>
    <x v="0"/>
    <x v="19"/>
    <n v="405.5"/>
    <n v="148007.5"/>
    <n v="532827"/>
  </r>
  <r>
    <x v="0"/>
    <x v="1"/>
    <x v="1"/>
    <x v="9"/>
    <x v="17"/>
    <s v="SE1A"/>
    <x v="6"/>
    <x v="7"/>
    <s v="GNR_RES_WTR_NOPMP_MC-04"/>
    <x v="0"/>
    <x v="3"/>
    <n v="191.210811480177"/>
    <n v="69791.946190264702"/>
    <n v="251251.00628495301"/>
  </r>
  <r>
    <x v="0"/>
    <x v="1"/>
    <x v="1"/>
    <x v="9"/>
    <x v="17"/>
    <s v="SE1A"/>
    <x v="6"/>
    <x v="7"/>
    <s v="GNR_RES_WTR_NOPMP_MC-04"/>
    <x v="0"/>
    <x v="4"/>
    <n v="111.216455369914"/>
    <n v="40594.006210018801"/>
    <n v="146138.42235606801"/>
  </r>
  <r>
    <x v="0"/>
    <x v="1"/>
    <x v="1"/>
    <x v="9"/>
    <x v="17"/>
    <s v="SE1A"/>
    <x v="6"/>
    <x v="7"/>
    <s v="GNR_RES_WTR_NOPMP_MC-04"/>
    <x v="0"/>
    <x v="5"/>
    <n v="405.5"/>
    <n v="148007.5"/>
    <n v="532827"/>
  </r>
  <r>
    <x v="0"/>
    <x v="1"/>
    <x v="1"/>
    <x v="9"/>
    <x v="17"/>
    <s v="SE1A"/>
    <x v="6"/>
    <x v="7"/>
    <s v="GNR_RES_WTR_NOPMP_MC-04"/>
    <x v="0"/>
    <x v="6"/>
    <n v="405.5"/>
    <n v="148007.5"/>
    <n v="532827"/>
  </r>
  <r>
    <x v="0"/>
    <x v="1"/>
    <x v="1"/>
    <x v="9"/>
    <x v="17"/>
    <s v="SE1A"/>
    <x v="6"/>
    <x v="7"/>
    <s v="GNR_RES_WTR_NOPMP_MC-04"/>
    <x v="0"/>
    <x v="7"/>
    <n v="405.5"/>
    <n v="148007.5"/>
    <n v="532827"/>
  </r>
  <r>
    <x v="0"/>
    <x v="1"/>
    <x v="1"/>
    <x v="9"/>
    <x v="17"/>
    <s v="SE1A"/>
    <x v="6"/>
    <x v="7"/>
    <s v="GNR_RES_WTR_NOPMP_MC-04"/>
    <x v="0"/>
    <x v="8"/>
    <n v="405.5"/>
    <n v="148007.5"/>
    <n v="532827"/>
  </r>
  <r>
    <x v="0"/>
    <x v="1"/>
    <x v="1"/>
    <x v="9"/>
    <x v="17"/>
    <s v="SE1A"/>
    <x v="6"/>
    <x v="7"/>
    <s v="GNR_RES_WTR_NOPMP_MC-04"/>
    <x v="0"/>
    <x v="9"/>
    <n v="405.5"/>
    <n v="148007.5"/>
    <n v="532827"/>
  </r>
  <r>
    <x v="0"/>
    <x v="1"/>
    <x v="1"/>
    <x v="9"/>
    <x v="17"/>
    <s v="SE1A"/>
    <x v="6"/>
    <x v="7"/>
    <s v="GNR_RES_WTR_NOPMP_MC-04"/>
    <x v="0"/>
    <x v="10"/>
    <n v="405.5"/>
    <n v="148007.5"/>
    <n v="532827"/>
  </r>
  <r>
    <x v="0"/>
    <x v="1"/>
    <x v="1"/>
    <x v="9"/>
    <x v="17"/>
    <s v="SE1A"/>
    <x v="6"/>
    <x v="7"/>
    <s v="GNR_RES_WTR_NOPMP_MC-04"/>
    <x v="0"/>
    <x v="11"/>
    <n v="405.5"/>
    <n v="148007.5"/>
    <n v="532827"/>
  </r>
  <r>
    <x v="0"/>
    <x v="1"/>
    <x v="1"/>
    <x v="9"/>
    <x v="17"/>
    <s v="SE1A"/>
    <x v="6"/>
    <x v="7"/>
    <s v="GNR_RES_WTR_NOPMP_MC-04"/>
    <x v="0"/>
    <x v="12"/>
    <n v="405.5"/>
    <n v="148007.5"/>
    <n v="532827"/>
  </r>
  <r>
    <x v="0"/>
    <x v="1"/>
    <x v="1"/>
    <x v="9"/>
    <x v="17"/>
    <s v="SE1A"/>
    <x v="6"/>
    <x v="7"/>
    <s v="GNR_RES_WTR_NOPMP_MC-04"/>
    <x v="0"/>
    <x v="13"/>
    <n v="405.5"/>
    <n v="148007.5"/>
    <n v="532827"/>
  </r>
  <r>
    <x v="0"/>
    <x v="1"/>
    <x v="1"/>
    <x v="9"/>
    <x v="17"/>
    <s v="SE1A"/>
    <x v="6"/>
    <x v="7"/>
    <s v="GNR_RES_WTR_NOPMP_MC-04"/>
    <x v="0"/>
    <x v="14"/>
    <n v="405.5"/>
    <n v="148007.5"/>
    <n v="532827"/>
  </r>
  <r>
    <x v="0"/>
    <x v="1"/>
    <x v="1"/>
    <x v="9"/>
    <x v="17"/>
    <s v="SE1A"/>
    <x v="6"/>
    <x v="7"/>
    <s v="GNR_RES_WTR_NOPMP_MC-04"/>
    <x v="0"/>
    <x v="15"/>
    <n v="405.5"/>
    <n v="148007.5"/>
    <n v="532827"/>
  </r>
  <r>
    <x v="0"/>
    <x v="1"/>
    <x v="1"/>
    <x v="9"/>
    <x v="17"/>
    <s v="SE1A"/>
    <x v="6"/>
    <x v="7"/>
    <s v="GNR_RES_WTR_NOPMP_MC-04"/>
    <x v="0"/>
    <x v="16"/>
    <n v="405.5"/>
    <n v="148007.5"/>
    <n v="532827"/>
  </r>
  <r>
    <x v="0"/>
    <x v="1"/>
    <x v="1"/>
    <x v="9"/>
    <x v="17"/>
    <s v="SE1A"/>
    <x v="6"/>
    <x v="7"/>
    <s v="GNR_RES_WTR_NOPMP_MC-05"/>
    <x v="0"/>
    <x v="5"/>
    <n v="405.5"/>
    <n v="148007.5"/>
    <n v="532827"/>
  </r>
  <r>
    <x v="0"/>
    <x v="1"/>
    <x v="1"/>
    <x v="9"/>
    <x v="17"/>
    <s v="SE1A"/>
    <x v="6"/>
    <x v="7"/>
    <s v="GNR_RES_WTR_NOPMP_MC-05"/>
    <x v="0"/>
    <x v="6"/>
    <n v="405.5"/>
    <n v="148007.5"/>
    <n v="532827"/>
  </r>
  <r>
    <x v="0"/>
    <x v="1"/>
    <x v="1"/>
    <x v="9"/>
    <x v="17"/>
    <s v="SE1A"/>
    <x v="6"/>
    <x v="7"/>
    <s v="GNR_RES_WTR_NOPMP_MC-05"/>
    <x v="0"/>
    <x v="7"/>
    <n v="405.5"/>
    <n v="148007.5"/>
    <n v="532827"/>
  </r>
  <r>
    <x v="0"/>
    <x v="1"/>
    <x v="1"/>
    <x v="9"/>
    <x v="17"/>
    <s v="SE1A"/>
    <x v="6"/>
    <x v="7"/>
    <s v="GNR_RES_WTR_NOPMP_MC-05"/>
    <x v="0"/>
    <x v="8"/>
    <n v="405.5"/>
    <n v="148007.5"/>
    <n v="532827"/>
  </r>
  <r>
    <x v="0"/>
    <x v="1"/>
    <x v="1"/>
    <x v="9"/>
    <x v="17"/>
    <s v="SE1A"/>
    <x v="6"/>
    <x v="7"/>
    <s v="GNR_RES_WTR_NOPMP_MC-05"/>
    <x v="0"/>
    <x v="9"/>
    <n v="405.5"/>
    <n v="148007.5"/>
    <n v="532827"/>
  </r>
  <r>
    <x v="0"/>
    <x v="1"/>
    <x v="1"/>
    <x v="9"/>
    <x v="17"/>
    <s v="SE1A"/>
    <x v="6"/>
    <x v="7"/>
    <s v="GNR_RES_WTR_NOPMP_MC-05"/>
    <x v="0"/>
    <x v="10"/>
    <n v="405.5"/>
    <n v="148007.5"/>
    <n v="532827"/>
  </r>
  <r>
    <x v="0"/>
    <x v="1"/>
    <x v="1"/>
    <x v="9"/>
    <x v="17"/>
    <s v="SE1A"/>
    <x v="6"/>
    <x v="7"/>
    <s v="GNR_RES_WTR_NOPMP_MC-05"/>
    <x v="0"/>
    <x v="11"/>
    <n v="405.5"/>
    <n v="148007.5"/>
    <n v="532827"/>
  </r>
  <r>
    <x v="0"/>
    <x v="1"/>
    <x v="1"/>
    <x v="9"/>
    <x v="17"/>
    <s v="SE1A"/>
    <x v="6"/>
    <x v="7"/>
    <s v="GNR_RES_WTR_NOPMP_MC-06"/>
    <x v="0"/>
    <x v="6"/>
    <n v="405.5"/>
    <n v="148007.5"/>
    <n v="532827"/>
  </r>
  <r>
    <x v="0"/>
    <x v="1"/>
    <x v="1"/>
    <x v="9"/>
    <x v="17"/>
    <s v="SE1A"/>
    <x v="6"/>
    <x v="7"/>
    <s v="GNR_RES_WTR_NOPMP_MC-06"/>
    <x v="0"/>
    <x v="7"/>
    <n v="405.5"/>
    <n v="148007.5"/>
    <n v="532827"/>
  </r>
  <r>
    <x v="0"/>
    <x v="1"/>
    <x v="1"/>
    <x v="9"/>
    <x v="17"/>
    <s v="SE1A"/>
    <x v="6"/>
    <x v="7"/>
    <s v="GNR_RES_WTR_NOPMP_MC-06"/>
    <x v="0"/>
    <x v="8"/>
    <n v="405.5"/>
    <n v="148007.5"/>
    <n v="532827"/>
  </r>
  <r>
    <x v="0"/>
    <x v="1"/>
    <x v="1"/>
    <x v="9"/>
    <x v="17"/>
    <s v="SE1A"/>
    <x v="6"/>
    <x v="7"/>
    <s v="GNR_RES_WTR_NOPMP_MC-07"/>
    <x v="0"/>
    <x v="6"/>
    <n v="365.32134104519099"/>
    <n v="133342.28948149501"/>
    <n v="480032.24213337997"/>
  </r>
  <r>
    <x v="0"/>
    <x v="1"/>
    <x v="1"/>
    <x v="9"/>
    <x v="17"/>
    <s v="SE1A"/>
    <x v="6"/>
    <x v="7"/>
    <s v="GNR_RES_WTR_NOPMP_MC-07"/>
    <x v="0"/>
    <x v="7"/>
    <n v="405.5"/>
    <n v="148007.5"/>
    <n v="532827"/>
  </r>
  <r>
    <x v="0"/>
    <x v="1"/>
    <x v="1"/>
    <x v="9"/>
    <x v="17"/>
    <s v="SE1A"/>
    <x v="6"/>
    <x v="4"/>
    <s v="GNR_ROR_WTR"/>
    <x v="0"/>
    <x v="0"/>
    <n v="570.69929267073701"/>
    <n v="208305.24182481901"/>
    <n v="749898.87056934903"/>
  </r>
  <r>
    <x v="0"/>
    <x v="1"/>
    <x v="1"/>
    <x v="9"/>
    <x v="17"/>
    <s v="SE1A"/>
    <x v="6"/>
    <x v="4"/>
    <s v="GNR_ROR_WTR"/>
    <x v="0"/>
    <x v="1"/>
    <n v="570.69929267073701"/>
    <n v="208305.24182481901"/>
    <n v="749898.87056934903"/>
  </r>
  <r>
    <x v="0"/>
    <x v="1"/>
    <x v="1"/>
    <x v="9"/>
    <x v="17"/>
    <s v="SE1A"/>
    <x v="6"/>
    <x v="4"/>
    <s v="GNR_ROR_WTR"/>
    <x v="0"/>
    <x v="18"/>
    <n v="570.69929267073701"/>
    <n v="208305.24182481901"/>
    <n v="749898.87056934903"/>
  </r>
  <r>
    <x v="0"/>
    <x v="1"/>
    <x v="1"/>
    <x v="9"/>
    <x v="17"/>
    <s v="SE1A"/>
    <x v="6"/>
    <x v="4"/>
    <s v="GNR_ROR_WTR"/>
    <x v="0"/>
    <x v="2"/>
    <n v="570.69929267073701"/>
    <n v="208305.24182481901"/>
    <n v="749898.87056934903"/>
  </r>
  <r>
    <x v="0"/>
    <x v="1"/>
    <x v="1"/>
    <x v="9"/>
    <x v="17"/>
    <s v="SE1A"/>
    <x v="6"/>
    <x v="4"/>
    <s v="GNR_ROR_WTR"/>
    <x v="0"/>
    <x v="3"/>
    <n v="570.69929267073701"/>
    <n v="208305.24182481901"/>
    <n v="749898.87056934903"/>
  </r>
  <r>
    <x v="0"/>
    <x v="1"/>
    <x v="1"/>
    <x v="9"/>
    <x v="17"/>
    <s v="SE1A"/>
    <x v="6"/>
    <x v="4"/>
    <s v="GNR_ROR_WTR"/>
    <x v="0"/>
    <x v="4"/>
    <n v="570.69929267073701"/>
    <n v="208305.24182481901"/>
    <n v="749898.87056934903"/>
  </r>
  <r>
    <x v="0"/>
    <x v="1"/>
    <x v="1"/>
    <x v="9"/>
    <x v="17"/>
    <s v="SE1A"/>
    <x v="6"/>
    <x v="4"/>
    <s v="GNR_ROR_WTR"/>
    <x v="0"/>
    <x v="5"/>
    <n v="570.69929267073701"/>
    <n v="208305.24182481901"/>
    <n v="749898.87056934903"/>
  </r>
  <r>
    <x v="0"/>
    <x v="1"/>
    <x v="1"/>
    <x v="9"/>
    <x v="17"/>
    <s v="SE1A"/>
    <x v="6"/>
    <x v="4"/>
    <s v="GNR_ROR_WTR"/>
    <x v="0"/>
    <x v="6"/>
    <n v="570.69929267073701"/>
    <n v="208305.24182481901"/>
    <n v="749898.87056934903"/>
  </r>
  <r>
    <x v="0"/>
    <x v="1"/>
    <x v="1"/>
    <x v="9"/>
    <x v="17"/>
    <s v="SE1A"/>
    <x v="6"/>
    <x v="4"/>
    <s v="GNR_ROR_WTR"/>
    <x v="0"/>
    <x v="7"/>
    <n v="570.69929267073701"/>
    <n v="208305.24182481901"/>
    <n v="749898.87056934903"/>
  </r>
  <r>
    <x v="0"/>
    <x v="1"/>
    <x v="1"/>
    <x v="9"/>
    <x v="17"/>
    <s v="SE1A"/>
    <x v="6"/>
    <x v="4"/>
    <s v="GNR_ROR_WTR"/>
    <x v="0"/>
    <x v="8"/>
    <n v="570.69929267073701"/>
    <n v="208305.24182481901"/>
    <n v="749898.87056934903"/>
  </r>
  <r>
    <x v="0"/>
    <x v="1"/>
    <x v="1"/>
    <x v="9"/>
    <x v="17"/>
    <s v="SE1A"/>
    <x v="6"/>
    <x v="4"/>
    <s v="GNR_ROR_WTR"/>
    <x v="0"/>
    <x v="9"/>
    <n v="570.69929267073701"/>
    <n v="208305.24182481901"/>
    <n v="749898.87056934903"/>
  </r>
  <r>
    <x v="0"/>
    <x v="1"/>
    <x v="1"/>
    <x v="9"/>
    <x v="17"/>
    <s v="SE1A"/>
    <x v="6"/>
    <x v="4"/>
    <s v="GNR_ROR_WTR"/>
    <x v="0"/>
    <x v="10"/>
    <n v="570.69929267073701"/>
    <n v="208305.24182481901"/>
    <n v="749898.87056934903"/>
  </r>
  <r>
    <x v="0"/>
    <x v="1"/>
    <x v="1"/>
    <x v="9"/>
    <x v="17"/>
    <s v="SE1A"/>
    <x v="6"/>
    <x v="4"/>
    <s v="GNR_ROR_WTR"/>
    <x v="0"/>
    <x v="11"/>
    <n v="570.69929267073701"/>
    <n v="208305.24182481901"/>
    <n v="749898.87056934903"/>
  </r>
  <r>
    <x v="0"/>
    <x v="1"/>
    <x v="1"/>
    <x v="9"/>
    <x v="17"/>
    <s v="SE1A"/>
    <x v="6"/>
    <x v="4"/>
    <s v="GNR_ROR_WTR"/>
    <x v="0"/>
    <x v="12"/>
    <n v="570.69929267073701"/>
    <n v="208305.24182481901"/>
    <n v="749898.87056934903"/>
  </r>
  <r>
    <x v="0"/>
    <x v="1"/>
    <x v="1"/>
    <x v="9"/>
    <x v="17"/>
    <s v="SE1A"/>
    <x v="6"/>
    <x v="4"/>
    <s v="GNR_ROR_WTR"/>
    <x v="0"/>
    <x v="13"/>
    <n v="570.69929267073701"/>
    <n v="208305.24182481901"/>
    <n v="749898.87056934903"/>
  </r>
  <r>
    <x v="0"/>
    <x v="1"/>
    <x v="1"/>
    <x v="9"/>
    <x v="17"/>
    <s v="SE1A"/>
    <x v="6"/>
    <x v="4"/>
    <s v="GNR_ROR_WTR"/>
    <x v="0"/>
    <x v="14"/>
    <n v="570.69929267073701"/>
    <n v="208305.24182481901"/>
    <n v="749898.87056934903"/>
  </r>
  <r>
    <x v="0"/>
    <x v="1"/>
    <x v="1"/>
    <x v="9"/>
    <x v="17"/>
    <s v="SE1A"/>
    <x v="6"/>
    <x v="4"/>
    <s v="GNR_ROR_WTR"/>
    <x v="0"/>
    <x v="15"/>
    <n v="570.69929267073701"/>
    <n v="208305.24182481901"/>
    <n v="749898.87056934903"/>
  </r>
  <r>
    <x v="0"/>
    <x v="1"/>
    <x v="1"/>
    <x v="9"/>
    <x v="17"/>
    <s v="SE1A"/>
    <x v="6"/>
    <x v="4"/>
    <s v="GNR_ROR_WTR"/>
    <x v="0"/>
    <x v="16"/>
    <n v="570.69929267073701"/>
    <n v="208305.24182481901"/>
    <n v="749898.87056934903"/>
  </r>
  <r>
    <x v="0"/>
    <x v="1"/>
    <x v="1"/>
    <x v="9"/>
    <x v="17"/>
    <s v="SE1A"/>
    <x v="6"/>
    <x v="4"/>
    <s v="GNR_ROR_WTR"/>
    <x v="0"/>
    <x v="17"/>
    <n v="570.69929267073701"/>
    <n v="208305.24182481901"/>
    <n v="749898.87056934903"/>
  </r>
  <r>
    <x v="0"/>
    <x v="1"/>
    <x v="1"/>
    <x v="9"/>
    <x v="17"/>
    <s v="SE1A"/>
    <x v="6"/>
    <x v="4"/>
    <s v="GNR_ROR_WTR"/>
    <x v="0"/>
    <x v="19"/>
    <n v="570.69929267073701"/>
    <n v="208305.24182481901"/>
    <n v="749898.87056934903"/>
  </r>
  <r>
    <x v="0"/>
    <x v="1"/>
    <x v="1"/>
    <x v="9"/>
    <x v="17"/>
    <s v="SE1A"/>
    <x v="6"/>
    <x v="4"/>
    <s v="GNR_ROR_WTR"/>
    <x v="0"/>
    <x v="20"/>
    <n v="570.69929267073701"/>
    <n v="208305.24182481901"/>
    <n v="749898.87056934903"/>
  </r>
  <r>
    <x v="0"/>
    <x v="1"/>
    <x v="1"/>
    <x v="9"/>
    <x v="17"/>
    <s v="SE1A"/>
    <x v="6"/>
    <x v="4"/>
    <s v="GNR_ROR_WTR"/>
    <x v="0"/>
    <x v="21"/>
    <n v="570.69929267073701"/>
    <n v="208305.24182481901"/>
    <n v="749898.87056934903"/>
  </r>
  <r>
    <x v="0"/>
    <x v="1"/>
    <x v="1"/>
    <x v="9"/>
    <x v="17"/>
    <s v="SE1A"/>
    <x v="6"/>
    <x v="4"/>
    <s v="GNR_ROR_WTR"/>
    <x v="0"/>
    <x v="22"/>
    <n v="570.69929267073701"/>
    <n v="208305.24182481901"/>
    <n v="749898.87056934903"/>
  </r>
  <r>
    <x v="0"/>
    <x v="1"/>
    <x v="1"/>
    <x v="9"/>
    <x v="17"/>
    <s v="SE1A"/>
    <x v="6"/>
    <x v="4"/>
    <s v="GNR_ROR_WTR"/>
    <x v="0"/>
    <x v="23"/>
    <n v="570.69929267073701"/>
    <n v="208305.24182481901"/>
    <n v="749898.87056934903"/>
  </r>
  <r>
    <x v="0"/>
    <x v="1"/>
    <x v="1"/>
    <x v="9"/>
    <x v="17"/>
    <s v="SE1A"/>
    <x v="7"/>
    <x v="5"/>
    <s v="GNR_WT_WIND_ONS"/>
    <x v="0"/>
    <x v="0"/>
    <n v="48.201676372665098"/>
    <n v="17593.611876022798"/>
    <n v="63337.002753681998"/>
  </r>
  <r>
    <x v="0"/>
    <x v="1"/>
    <x v="1"/>
    <x v="9"/>
    <x v="17"/>
    <s v="SE1A"/>
    <x v="7"/>
    <x v="5"/>
    <s v="GNR_WT_WIND_ONS"/>
    <x v="0"/>
    <x v="1"/>
    <n v="49.444126256983502"/>
    <n v="18047.106083799001"/>
    <n v="64969.581901676298"/>
  </r>
  <r>
    <x v="0"/>
    <x v="1"/>
    <x v="1"/>
    <x v="9"/>
    <x v="17"/>
    <s v="SE1A"/>
    <x v="7"/>
    <x v="5"/>
    <s v="GNR_WT_WIND_ONS"/>
    <x v="0"/>
    <x v="18"/>
    <n v="67.525133070924696"/>
    <n v="24646.673570887498"/>
    <n v="88728.024855195006"/>
  </r>
  <r>
    <x v="0"/>
    <x v="1"/>
    <x v="1"/>
    <x v="9"/>
    <x v="17"/>
    <s v="SE1A"/>
    <x v="7"/>
    <x v="5"/>
    <s v="GNR_WT_WIND_ONS"/>
    <x v="0"/>
    <x v="2"/>
    <n v="113.716500988924"/>
    <n v="41506.5228609572"/>
    <n v="149423.48229944601"/>
  </r>
  <r>
    <x v="0"/>
    <x v="1"/>
    <x v="1"/>
    <x v="9"/>
    <x v="17"/>
    <s v="SE1A"/>
    <x v="7"/>
    <x v="5"/>
    <s v="GNR_WT_WIND_ONS"/>
    <x v="0"/>
    <x v="3"/>
    <n v="55.113908429871898"/>
    <n v="20116.576576903299"/>
    <n v="72419.675676851693"/>
  </r>
  <r>
    <x v="0"/>
    <x v="1"/>
    <x v="1"/>
    <x v="9"/>
    <x v="17"/>
    <s v="SE1A"/>
    <x v="7"/>
    <x v="5"/>
    <s v="GNR_WT_WIND_ONS"/>
    <x v="0"/>
    <x v="4"/>
    <n v="143.41328359879299"/>
    <n v="52345.8485135593"/>
    <n v="188445.054648814"/>
  </r>
  <r>
    <x v="0"/>
    <x v="1"/>
    <x v="1"/>
    <x v="9"/>
    <x v="17"/>
    <s v="SE1A"/>
    <x v="7"/>
    <x v="5"/>
    <s v="GNR_WT_WIND_ONS"/>
    <x v="0"/>
    <x v="5"/>
    <n v="168.31997004151299"/>
    <n v="61436.789065152101"/>
    <n v="221172.44063454799"/>
  </r>
  <r>
    <x v="0"/>
    <x v="1"/>
    <x v="1"/>
    <x v="9"/>
    <x v="17"/>
    <s v="SE1A"/>
    <x v="7"/>
    <x v="5"/>
    <s v="GNR_WT_WIND_ONS"/>
    <x v="0"/>
    <x v="6"/>
    <n v="95.541417126160795"/>
    <n v="34872.617251048701"/>
    <n v="125541.422103775"/>
  </r>
  <r>
    <x v="0"/>
    <x v="1"/>
    <x v="1"/>
    <x v="9"/>
    <x v="17"/>
    <s v="SE1A"/>
    <x v="7"/>
    <x v="5"/>
    <s v="GNR_WT_WIND_ONS"/>
    <x v="0"/>
    <x v="7"/>
    <n v="75.889925566524994"/>
    <n v="27699.822831781599"/>
    <n v="99719.362194413901"/>
  </r>
  <r>
    <x v="0"/>
    <x v="1"/>
    <x v="1"/>
    <x v="9"/>
    <x v="17"/>
    <s v="SE1A"/>
    <x v="7"/>
    <x v="5"/>
    <s v="GNR_WT_WIND_ONS"/>
    <x v="0"/>
    <x v="8"/>
    <n v="59.254880677708897"/>
    <n v="21628.031447363701"/>
    <n v="77860.913210509505"/>
  </r>
  <r>
    <x v="0"/>
    <x v="1"/>
    <x v="1"/>
    <x v="9"/>
    <x v="17"/>
    <s v="SE1A"/>
    <x v="7"/>
    <x v="5"/>
    <s v="GNR_WT_WIND_ONS"/>
    <x v="0"/>
    <x v="9"/>
    <n v="44.663021046510401"/>
    <n v="16302.002681976301"/>
    <n v="58687.209655114697"/>
  </r>
  <r>
    <x v="0"/>
    <x v="1"/>
    <x v="1"/>
    <x v="9"/>
    <x v="17"/>
    <s v="SE1A"/>
    <x v="7"/>
    <x v="5"/>
    <s v="GNR_WT_WIND_ONS"/>
    <x v="0"/>
    <x v="10"/>
    <n v="35.317558280704802"/>
    <n v="12890.9087724573"/>
    <n v="46407.271580846202"/>
  </r>
  <r>
    <x v="0"/>
    <x v="1"/>
    <x v="1"/>
    <x v="9"/>
    <x v="17"/>
    <s v="SE1A"/>
    <x v="7"/>
    <x v="5"/>
    <s v="GNR_WT_WIND_ONS"/>
    <x v="0"/>
    <x v="11"/>
    <n v="64.686576143775696"/>
    <n v="23610.600292478099"/>
    <n v="84998.161052921307"/>
  </r>
  <r>
    <x v="0"/>
    <x v="1"/>
    <x v="1"/>
    <x v="9"/>
    <x v="17"/>
    <s v="SE1A"/>
    <x v="7"/>
    <x v="5"/>
    <s v="GNR_WT_WIND_ONS"/>
    <x v="0"/>
    <x v="12"/>
    <n v="237.70048156258301"/>
    <n v="86760.675770342801"/>
    <n v="312338.43277323397"/>
  </r>
  <r>
    <x v="0"/>
    <x v="1"/>
    <x v="1"/>
    <x v="9"/>
    <x v="17"/>
    <s v="SE1A"/>
    <x v="7"/>
    <x v="5"/>
    <s v="GNR_WT_WIND_ONS"/>
    <x v="0"/>
    <x v="13"/>
    <n v="512.25319667605004"/>
    <n v="186972.416786758"/>
    <n v="673100.70043233002"/>
  </r>
  <r>
    <x v="0"/>
    <x v="1"/>
    <x v="1"/>
    <x v="9"/>
    <x v="17"/>
    <s v="SE1A"/>
    <x v="7"/>
    <x v="5"/>
    <s v="GNR_WT_WIND_ONS"/>
    <x v="0"/>
    <x v="14"/>
    <n v="736.58177180616497"/>
    <n v="268852.34670925001"/>
    <n v="967868.44815330103"/>
  </r>
  <r>
    <x v="0"/>
    <x v="1"/>
    <x v="1"/>
    <x v="9"/>
    <x v="17"/>
    <s v="SE1A"/>
    <x v="7"/>
    <x v="5"/>
    <s v="GNR_WT_WIND_ONS"/>
    <x v="0"/>
    <x v="15"/>
    <n v="794.923896736198"/>
    <n v="290147.22230871202"/>
    <n v="1044530.00031136"/>
  </r>
  <r>
    <x v="0"/>
    <x v="1"/>
    <x v="1"/>
    <x v="9"/>
    <x v="17"/>
    <s v="SE1A"/>
    <x v="7"/>
    <x v="5"/>
    <s v="GNR_WT_WIND_ONS"/>
    <x v="0"/>
    <x v="16"/>
    <n v="1489.02598363178"/>
    <n v="543494.48402560002"/>
    <n v="1956580.14249216"/>
  </r>
  <r>
    <x v="0"/>
    <x v="1"/>
    <x v="1"/>
    <x v="9"/>
    <x v="17"/>
    <s v="SE1A"/>
    <x v="7"/>
    <x v="5"/>
    <s v="GNR_WT_WIND_ONS"/>
    <x v="0"/>
    <x v="17"/>
    <n v="2116.2468906109698"/>
    <n v="772430.11507300299"/>
    <n v="2780748.4142628098"/>
  </r>
  <r>
    <x v="0"/>
    <x v="1"/>
    <x v="1"/>
    <x v="9"/>
    <x v="17"/>
    <s v="SE1A"/>
    <x v="7"/>
    <x v="5"/>
    <s v="GNR_WT_WIND_ONS"/>
    <x v="0"/>
    <x v="19"/>
    <n v="1583.1075858137301"/>
    <n v="577834.268822012"/>
    <n v="2080203.3677592401"/>
  </r>
  <r>
    <x v="0"/>
    <x v="1"/>
    <x v="1"/>
    <x v="9"/>
    <x v="17"/>
    <s v="SE1A"/>
    <x v="7"/>
    <x v="5"/>
    <s v="GNR_WT_WIND_ONS"/>
    <x v="0"/>
    <x v="20"/>
    <n v="1383.2840367484901"/>
    <n v="504898.67341320001"/>
    <n v="1817635.2242875199"/>
  </r>
  <r>
    <x v="0"/>
    <x v="1"/>
    <x v="1"/>
    <x v="9"/>
    <x v="17"/>
    <s v="SE1A"/>
    <x v="7"/>
    <x v="5"/>
    <s v="GNR_WT_WIND_ONS"/>
    <x v="0"/>
    <x v="21"/>
    <n v="1380.25103591281"/>
    <n v="503791.62810817402"/>
    <n v="1813649.8611894301"/>
  </r>
  <r>
    <x v="0"/>
    <x v="1"/>
    <x v="1"/>
    <x v="9"/>
    <x v="17"/>
    <s v="SE1A"/>
    <x v="7"/>
    <x v="5"/>
    <s v="GNR_WT_WIND_ONS"/>
    <x v="0"/>
    <x v="22"/>
    <n v="1270.8410874081801"/>
    <n v="463856.99690398597"/>
    <n v="1669885.18885435"/>
  </r>
  <r>
    <x v="0"/>
    <x v="1"/>
    <x v="1"/>
    <x v="9"/>
    <x v="17"/>
    <s v="SE1A"/>
    <x v="7"/>
    <x v="5"/>
    <s v="GNR_WT_WIND_ONS"/>
    <x v="0"/>
    <x v="23"/>
    <n v="1277.8111239851301"/>
    <n v="466401.06025457301"/>
    <n v="1679043.8169164599"/>
  </r>
  <r>
    <x v="0"/>
    <x v="1"/>
    <x v="1"/>
    <x v="9"/>
    <x v="17"/>
    <s v="SE1_EL"/>
    <x v="2"/>
    <x v="2"/>
    <s v="GBPR_MUNIWASTE"/>
    <x v="0"/>
    <x v="0"/>
    <n v="3.93475156792227"/>
    <n v="1436.18432229163"/>
    <n v="5170.2635602498704"/>
  </r>
  <r>
    <x v="0"/>
    <x v="1"/>
    <x v="1"/>
    <x v="9"/>
    <x v="17"/>
    <s v="SE1_EL"/>
    <x v="2"/>
    <x v="2"/>
    <s v="GBPR_MUNIWASTE"/>
    <x v="0"/>
    <x v="1"/>
    <n v="3.93475156792227"/>
    <n v="1436.18432229163"/>
    <n v="5170.2635602498704"/>
  </r>
  <r>
    <x v="0"/>
    <x v="1"/>
    <x v="1"/>
    <x v="9"/>
    <x v="17"/>
    <s v="SE1_EL"/>
    <x v="2"/>
    <x v="2"/>
    <s v="GBPR_MUNIWASTE"/>
    <x v="0"/>
    <x v="18"/>
    <n v="3.93475156792227"/>
    <n v="1436.18432229163"/>
    <n v="5170.2635602498704"/>
  </r>
  <r>
    <x v="0"/>
    <x v="1"/>
    <x v="1"/>
    <x v="9"/>
    <x v="17"/>
    <s v="SE1_EL"/>
    <x v="2"/>
    <x v="2"/>
    <s v="GBPR_MUNIWASTE"/>
    <x v="0"/>
    <x v="2"/>
    <n v="3.93475156792227"/>
    <n v="1436.18432229163"/>
    <n v="5170.2635602498704"/>
  </r>
  <r>
    <x v="0"/>
    <x v="1"/>
    <x v="1"/>
    <x v="9"/>
    <x v="17"/>
    <s v="SE1_EL"/>
    <x v="2"/>
    <x v="2"/>
    <s v="GBPR_MUNIWASTE"/>
    <x v="0"/>
    <x v="3"/>
    <n v="3.93475156792227"/>
    <n v="1436.18432229163"/>
    <n v="5170.2635602498704"/>
  </r>
  <r>
    <x v="0"/>
    <x v="1"/>
    <x v="1"/>
    <x v="9"/>
    <x v="17"/>
    <s v="SE1_EL"/>
    <x v="2"/>
    <x v="2"/>
    <s v="GBPR_MUNIWASTE"/>
    <x v="0"/>
    <x v="4"/>
    <n v="3.93475156792227"/>
    <n v="1436.18432229163"/>
    <n v="5170.2635602498704"/>
  </r>
  <r>
    <x v="0"/>
    <x v="1"/>
    <x v="1"/>
    <x v="9"/>
    <x v="17"/>
    <s v="SE1_EL"/>
    <x v="2"/>
    <x v="2"/>
    <s v="GBPR_MUNIWASTE"/>
    <x v="0"/>
    <x v="5"/>
    <n v="3.93475156792227"/>
    <n v="1436.18432229163"/>
    <n v="5170.2635602498704"/>
  </r>
  <r>
    <x v="0"/>
    <x v="1"/>
    <x v="1"/>
    <x v="9"/>
    <x v="17"/>
    <s v="SE1_EL"/>
    <x v="2"/>
    <x v="2"/>
    <s v="GBPR_MUNIWASTE"/>
    <x v="0"/>
    <x v="6"/>
    <n v="3.93475156792227"/>
    <n v="1436.18432229163"/>
    <n v="5170.2635602498704"/>
  </r>
  <r>
    <x v="0"/>
    <x v="1"/>
    <x v="1"/>
    <x v="9"/>
    <x v="17"/>
    <s v="SE1_EL"/>
    <x v="2"/>
    <x v="2"/>
    <s v="GBPR_MUNIWASTE"/>
    <x v="0"/>
    <x v="7"/>
    <n v="3.93475156792227"/>
    <n v="1436.18432229163"/>
    <n v="5170.2635602498704"/>
  </r>
  <r>
    <x v="0"/>
    <x v="1"/>
    <x v="1"/>
    <x v="9"/>
    <x v="17"/>
    <s v="SE1_EL"/>
    <x v="2"/>
    <x v="2"/>
    <s v="GBPR_MUNIWASTE"/>
    <x v="0"/>
    <x v="8"/>
    <n v="3.93475156792227"/>
    <n v="1436.18432229163"/>
    <n v="5170.2635602498704"/>
  </r>
  <r>
    <x v="0"/>
    <x v="1"/>
    <x v="1"/>
    <x v="9"/>
    <x v="17"/>
    <s v="SE1_EL"/>
    <x v="2"/>
    <x v="2"/>
    <s v="GBPR_MUNIWASTE"/>
    <x v="0"/>
    <x v="9"/>
    <n v="3.93475156792227"/>
    <n v="1436.18432229163"/>
    <n v="5170.2635602498704"/>
  </r>
  <r>
    <x v="0"/>
    <x v="1"/>
    <x v="1"/>
    <x v="9"/>
    <x v="17"/>
    <s v="SE1_EL"/>
    <x v="2"/>
    <x v="2"/>
    <s v="GBPR_MUNIWASTE"/>
    <x v="0"/>
    <x v="10"/>
    <n v="3.93475156792227"/>
    <n v="1436.18432229163"/>
    <n v="5170.2635602498704"/>
  </r>
  <r>
    <x v="0"/>
    <x v="1"/>
    <x v="1"/>
    <x v="9"/>
    <x v="17"/>
    <s v="SE1_EL"/>
    <x v="2"/>
    <x v="2"/>
    <s v="GBPR_MUNIWASTE"/>
    <x v="0"/>
    <x v="11"/>
    <n v="3.93475156792227"/>
    <n v="1436.18432229163"/>
    <n v="5170.2635602498704"/>
  </r>
  <r>
    <x v="0"/>
    <x v="1"/>
    <x v="1"/>
    <x v="9"/>
    <x v="17"/>
    <s v="SE1_EL"/>
    <x v="2"/>
    <x v="2"/>
    <s v="GBPR_MUNIWASTE"/>
    <x v="0"/>
    <x v="12"/>
    <n v="3.93475156792227"/>
    <n v="1436.18432229163"/>
    <n v="5170.2635602498704"/>
  </r>
  <r>
    <x v="0"/>
    <x v="1"/>
    <x v="1"/>
    <x v="9"/>
    <x v="17"/>
    <s v="SE1_EL"/>
    <x v="2"/>
    <x v="2"/>
    <s v="GBPR_MUNIWASTE"/>
    <x v="0"/>
    <x v="13"/>
    <n v="3.93475156792227"/>
    <n v="1436.18432229163"/>
    <n v="5170.2635602498704"/>
  </r>
  <r>
    <x v="0"/>
    <x v="1"/>
    <x v="1"/>
    <x v="9"/>
    <x v="17"/>
    <s v="SE1_EL"/>
    <x v="2"/>
    <x v="2"/>
    <s v="GBPR_MUNIWASTE"/>
    <x v="0"/>
    <x v="14"/>
    <n v="3.93475156792227"/>
    <n v="1436.18432229163"/>
    <n v="5170.2635602498704"/>
  </r>
  <r>
    <x v="0"/>
    <x v="1"/>
    <x v="1"/>
    <x v="9"/>
    <x v="17"/>
    <s v="SE1_EL"/>
    <x v="2"/>
    <x v="2"/>
    <s v="GBPR_MUNIWASTE"/>
    <x v="0"/>
    <x v="15"/>
    <n v="3.93475156792227"/>
    <n v="1436.18432229163"/>
    <n v="5170.2635602498704"/>
  </r>
  <r>
    <x v="0"/>
    <x v="1"/>
    <x v="1"/>
    <x v="9"/>
    <x v="17"/>
    <s v="SE1_EL"/>
    <x v="2"/>
    <x v="2"/>
    <s v="GBPR_MUNIWASTE"/>
    <x v="0"/>
    <x v="16"/>
    <n v="3.93475156792227"/>
    <n v="1436.18432229163"/>
    <n v="5170.2635602498704"/>
  </r>
  <r>
    <x v="0"/>
    <x v="1"/>
    <x v="1"/>
    <x v="9"/>
    <x v="17"/>
    <s v="SE1_EL"/>
    <x v="2"/>
    <x v="2"/>
    <s v="GBPR_MUNIWASTE"/>
    <x v="0"/>
    <x v="17"/>
    <n v="3.93475156792227"/>
    <n v="1436.18432229163"/>
    <n v="5170.2635602498704"/>
  </r>
  <r>
    <x v="0"/>
    <x v="1"/>
    <x v="1"/>
    <x v="9"/>
    <x v="17"/>
    <s v="SE1_EL"/>
    <x v="2"/>
    <x v="2"/>
    <s v="GBPR_MUNIWASTE"/>
    <x v="0"/>
    <x v="19"/>
    <n v="3.93475156792227"/>
    <n v="1436.18432229163"/>
    <n v="5170.2635602498704"/>
  </r>
  <r>
    <x v="0"/>
    <x v="1"/>
    <x v="1"/>
    <x v="9"/>
    <x v="17"/>
    <s v="SE1_EL"/>
    <x v="2"/>
    <x v="2"/>
    <s v="GBPR_MUNIWASTE"/>
    <x v="0"/>
    <x v="20"/>
    <n v="3.93475156792227"/>
    <n v="1436.18432229163"/>
    <n v="5170.2635602498704"/>
  </r>
  <r>
    <x v="0"/>
    <x v="1"/>
    <x v="1"/>
    <x v="9"/>
    <x v="17"/>
    <s v="SE1_EL"/>
    <x v="2"/>
    <x v="2"/>
    <s v="GBPR_MUNIWASTE"/>
    <x v="0"/>
    <x v="21"/>
    <n v="3.93475156792227"/>
    <n v="1436.18432229163"/>
    <n v="5170.2635602498704"/>
  </r>
  <r>
    <x v="0"/>
    <x v="1"/>
    <x v="1"/>
    <x v="9"/>
    <x v="17"/>
    <s v="SE1_OTHER"/>
    <x v="10"/>
    <x v="2"/>
    <s v="GBPR_WOODWASTE"/>
    <x v="0"/>
    <x v="0"/>
    <n v="28.099124343257401"/>
    <n v="10256.180385289001"/>
    <n v="36922.249387040298"/>
  </r>
  <r>
    <x v="0"/>
    <x v="1"/>
    <x v="1"/>
    <x v="9"/>
    <x v="17"/>
    <s v="SE1_OTHER"/>
    <x v="10"/>
    <x v="2"/>
    <s v="GBPR_WOODWASTE"/>
    <x v="0"/>
    <x v="1"/>
    <n v="28.099124343257401"/>
    <n v="10256.180385289001"/>
    <n v="36922.249387040298"/>
  </r>
  <r>
    <x v="0"/>
    <x v="1"/>
    <x v="1"/>
    <x v="9"/>
    <x v="17"/>
    <s v="SE1_OTHER"/>
    <x v="10"/>
    <x v="2"/>
    <s v="GBPR_WOODWASTE"/>
    <x v="0"/>
    <x v="18"/>
    <n v="14.9728256472184"/>
    <n v="5465.0813612347301"/>
    <n v="19674.292900445002"/>
  </r>
  <r>
    <x v="0"/>
    <x v="1"/>
    <x v="1"/>
    <x v="9"/>
    <x v="17"/>
    <s v="SE1_OTHER"/>
    <x v="10"/>
    <x v="2"/>
    <s v="GBPR_WOODWASTE"/>
    <x v="0"/>
    <x v="2"/>
    <n v="28.099124343257401"/>
    <n v="10256.180385289001"/>
    <n v="36922.249387040298"/>
  </r>
  <r>
    <x v="0"/>
    <x v="1"/>
    <x v="1"/>
    <x v="9"/>
    <x v="17"/>
    <s v="SE1_OTHER"/>
    <x v="10"/>
    <x v="2"/>
    <s v="GBPR_WOODWASTE"/>
    <x v="0"/>
    <x v="3"/>
    <n v="28.099124343257401"/>
    <n v="10256.180385289001"/>
    <n v="36922.249387040298"/>
  </r>
  <r>
    <x v="0"/>
    <x v="1"/>
    <x v="1"/>
    <x v="9"/>
    <x v="17"/>
    <s v="SE1_OTHER"/>
    <x v="10"/>
    <x v="2"/>
    <s v="GBPR_WOODWASTE"/>
    <x v="0"/>
    <x v="4"/>
    <n v="28.099124343257401"/>
    <n v="10256.180385289001"/>
    <n v="36922.249387040298"/>
  </r>
  <r>
    <x v="0"/>
    <x v="1"/>
    <x v="1"/>
    <x v="9"/>
    <x v="17"/>
    <s v="SE1_OTHER"/>
    <x v="10"/>
    <x v="2"/>
    <s v="GBPR_WOODWASTE"/>
    <x v="0"/>
    <x v="5"/>
    <n v="28.099124343257401"/>
    <n v="10256.180385289001"/>
    <n v="36922.249387040298"/>
  </r>
  <r>
    <x v="0"/>
    <x v="1"/>
    <x v="1"/>
    <x v="9"/>
    <x v="17"/>
    <s v="SE1_OTHER"/>
    <x v="10"/>
    <x v="2"/>
    <s v="GBPR_WOODWASTE"/>
    <x v="0"/>
    <x v="6"/>
    <n v="28.099124343257401"/>
    <n v="10256.180385289001"/>
    <n v="36922.249387040298"/>
  </r>
  <r>
    <x v="0"/>
    <x v="1"/>
    <x v="1"/>
    <x v="9"/>
    <x v="17"/>
    <s v="SE1_OTHER"/>
    <x v="10"/>
    <x v="2"/>
    <s v="GBPR_WOODWASTE"/>
    <x v="0"/>
    <x v="7"/>
    <n v="28.099124343257401"/>
    <n v="10256.180385289001"/>
    <n v="36922.249387040298"/>
  </r>
  <r>
    <x v="0"/>
    <x v="1"/>
    <x v="1"/>
    <x v="9"/>
    <x v="17"/>
    <s v="SE1_OTHER"/>
    <x v="10"/>
    <x v="2"/>
    <s v="GBPR_WOODWASTE"/>
    <x v="0"/>
    <x v="8"/>
    <n v="28.099124343257401"/>
    <n v="10256.180385289001"/>
    <n v="36922.249387040298"/>
  </r>
  <r>
    <x v="0"/>
    <x v="1"/>
    <x v="1"/>
    <x v="9"/>
    <x v="17"/>
    <s v="SE1_OTHER"/>
    <x v="10"/>
    <x v="2"/>
    <s v="GBPR_WOODWASTE"/>
    <x v="0"/>
    <x v="9"/>
    <n v="28.099124343257401"/>
    <n v="10256.180385289001"/>
    <n v="36922.249387040298"/>
  </r>
  <r>
    <x v="0"/>
    <x v="1"/>
    <x v="1"/>
    <x v="9"/>
    <x v="17"/>
    <s v="SE1_OTHER"/>
    <x v="10"/>
    <x v="2"/>
    <s v="GBPR_WOODWASTE"/>
    <x v="0"/>
    <x v="10"/>
    <n v="28.099124343257401"/>
    <n v="10256.180385289001"/>
    <n v="36922.249387040298"/>
  </r>
  <r>
    <x v="0"/>
    <x v="1"/>
    <x v="1"/>
    <x v="9"/>
    <x v="17"/>
    <s v="SE1_OTHER"/>
    <x v="10"/>
    <x v="2"/>
    <s v="GBPR_WOODWASTE"/>
    <x v="0"/>
    <x v="11"/>
    <n v="28.099124343257401"/>
    <n v="10256.180385289001"/>
    <n v="36922.249387040298"/>
  </r>
  <r>
    <x v="0"/>
    <x v="1"/>
    <x v="1"/>
    <x v="9"/>
    <x v="17"/>
    <s v="SE1_OTHER"/>
    <x v="10"/>
    <x v="2"/>
    <s v="GBPR_WOODWASTE"/>
    <x v="0"/>
    <x v="12"/>
    <n v="28.099124343257401"/>
    <n v="10256.180385289001"/>
    <n v="36922.249387040298"/>
  </r>
  <r>
    <x v="0"/>
    <x v="1"/>
    <x v="1"/>
    <x v="9"/>
    <x v="17"/>
    <s v="SE1_OTHER"/>
    <x v="10"/>
    <x v="2"/>
    <s v="GBPR_WOODWASTE"/>
    <x v="0"/>
    <x v="13"/>
    <n v="28.099124343257401"/>
    <n v="10256.180385289001"/>
    <n v="36922.249387040298"/>
  </r>
  <r>
    <x v="0"/>
    <x v="1"/>
    <x v="1"/>
    <x v="9"/>
    <x v="17"/>
    <s v="SE1_OTHER"/>
    <x v="10"/>
    <x v="2"/>
    <s v="GBPR_WOODWASTE"/>
    <x v="0"/>
    <x v="14"/>
    <n v="28.099124343257401"/>
    <n v="10256.180385289001"/>
    <n v="36922.249387040298"/>
  </r>
  <r>
    <x v="0"/>
    <x v="1"/>
    <x v="1"/>
    <x v="9"/>
    <x v="17"/>
    <s v="SE1_OTHER"/>
    <x v="10"/>
    <x v="2"/>
    <s v="GBPR_WOODWASTE"/>
    <x v="0"/>
    <x v="15"/>
    <n v="28.099124343257401"/>
    <n v="10256.180385289001"/>
    <n v="36922.249387040298"/>
  </r>
  <r>
    <x v="0"/>
    <x v="1"/>
    <x v="1"/>
    <x v="9"/>
    <x v="17"/>
    <s v="SE1_OTHER"/>
    <x v="10"/>
    <x v="2"/>
    <s v="GBPR_WOODWASTE"/>
    <x v="0"/>
    <x v="16"/>
    <n v="28.099124343257401"/>
    <n v="10256.180385289001"/>
    <n v="36922.249387040298"/>
  </r>
  <r>
    <x v="0"/>
    <x v="1"/>
    <x v="1"/>
    <x v="9"/>
    <x v="17"/>
    <s v="SE1_OTHER"/>
    <x v="10"/>
    <x v="2"/>
    <s v="GBPR_WOODWASTE"/>
    <x v="0"/>
    <x v="17"/>
    <n v="28.099124343257401"/>
    <n v="10256.180385289001"/>
    <n v="36922.249387040298"/>
  </r>
  <r>
    <x v="0"/>
    <x v="1"/>
    <x v="1"/>
    <x v="9"/>
    <x v="17"/>
    <s v="SE1_OTHER"/>
    <x v="10"/>
    <x v="2"/>
    <s v="GBPR_WOODWASTE"/>
    <x v="0"/>
    <x v="19"/>
    <n v="28.099124343257401"/>
    <n v="10256.180385289001"/>
    <n v="36922.249387040298"/>
  </r>
  <r>
    <x v="0"/>
    <x v="1"/>
    <x v="1"/>
    <x v="9"/>
    <x v="18"/>
    <s v="SE2A"/>
    <x v="6"/>
    <x v="7"/>
    <s v="GNR_RES_WTR_NOPMP_MC-01"/>
    <x v="0"/>
    <x v="0"/>
    <n v="407.485221835787"/>
    <n v="148732.105970062"/>
    <n v="535435.58149222401"/>
  </r>
  <r>
    <x v="0"/>
    <x v="1"/>
    <x v="1"/>
    <x v="9"/>
    <x v="18"/>
    <s v="SE2A"/>
    <x v="6"/>
    <x v="7"/>
    <s v="GNR_RES_WTR_NOPMP_MC-01"/>
    <x v="0"/>
    <x v="1"/>
    <n v="407.485221835787"/>
    <n v="148732.105970062"/>
    <n v="535435.58149222401"/>
  </r>
  <r>
    <x v="0"/>
    <x v="1"/>
    <x v="1"/>
    <x v="9"/>
    <x v="18"/>
    <s v="SE2A"/>
    <x v="6"/>
    <x v="7"/>
    <s v="GNR_RES_WTR_NOPMP_MC-01"/>
    <x v="0"/>
    <x v="18"/>
    <n v="407.485221835787"/>
    <n v="148732.105970062"/>
    <n v="535435.58149222401"/>
  </r>
  <r>
    <x v="0"/>
    <x v="1"/>
    <x v="1"/>
    <x v="9"/>
    <x v="18"/>
    <s v="SE2A"/>
    <x v="6"/>
    <x v="7"/>
    <s v="GNR_RES_WTR_NOPMP_MC-01"/>
    <x v="0"/>
    <x v="2"/>
    <n v="407.485221835787"/>
    <n v="148732.105970062"/>
    <n v="535435.58149222401"/>
  </r>
  <r>
    <x v="0"/>
    <x v="1"/>
    <x v="1"/>
    <x v="9"/>
    <x v="18"/>
    <s v="SE2A"/>
    <x v="6"/>
    <x v="7"/>
    <s v="GNR_RES_WTR_NOPMP_MC-01"/>
    <x v="0"/>
    <x v="3"/>
    <n v="407.485221835787"/>
    <n v="148732.105970062"/>
    <n v="535435.58149222401"/>
  </r>
  <r>
    <x v="0"/>
    <x v="1"/>
    <x v="1"/>
    <x v="9"/>
    <x v="18"/>
    <s v="SE2A"/>
    <x v="6"/>
    <x v="7"/>
    <s v="GNR_RES_WTR_NOPMP_MC-01"/>
    <x v="0"/>
    <x v="4"/>
    <n v="407.485221835787"/>
    <n v="148732.105970062"/>
    <n v="535435.58149222401"/>
  </r>
  <r>
    <x v="0"/>
    <x v="1"/>
    <x v="1"/>
    <x v="9"/>
    <x v="18"/>
    <s v="SE2A"/>
    <x v="6"/>
    <x v="7"/>
    <s v="GNR_RES_WTR_NOPMP_MC-01"/>
    <x v="0"/>
    <x v="5"/>
    <n v="407.485221835787"/>
    <n v="148732.105970062"/>
    <n v="535435.58149222401"/>
  </r>
  <r>
    <x v="0"/>
    <x v="1"/>
    <x v="1"/>
    <x v="9"/>
    <x v="18"/>
    <s v="SE2A"/>
    <x v="6"/>
    <x v="7"/>
    <s v="GNR_RES_WTR_NOPMP_MC-01"/>
    <x v="0"/>
    <x v="6"/>
    <n v="407.485221835787"/>
    <n v="148732.105970062"/>
    <n v="535435.58149222401"/>
  </r>
  <r>
    <x v="0"/>
    <x v="1"/>
    <x v="1"/>
    <x v="9"/>
    <x v="18"/>
    <s v="SE2A"/>
    <x v="6"/>
    <x v="7"/>
    <s v="GNR_RES_WTR_NOPMP_MC-01"/>
    <x v="0"/>
    <x v="7"/>
    <n v="407.485221835787"/>
    <n v="148732.105970062"/>
    <n v="535435.58149222401"/>
  </r>
  <r>
    <x v="0"/>
    <x v="1"/>
    <x v="1"/>
    <x v="9"/>
    <x v="18"/>
    <s v="SE2A"/>
    <x v="6"/>
    <x v="7"/>
    <s v="GNR_RES_WTR_NOPMP_MC-01"/>
    <x v="0"/>
    <x v="8"/>
    <n v="407.485221835787"/>
    <n v="148732.105970062"/>
    <n v="535435.58149222401"/>
  </r>
  <r>
    <x v="0"/>
    <x v="1"/>
    <x v="1"/>
    <x v="9"/>
    <x v="18"/>
    <s v="SE2A"/>
    <x v="6"/>
    <x v="7"/>
    <s v="GNR_RES_WTR_NOPMP_MC-01"/>
    <x v="0"/>
    <x v="9"/>
    <n v="407.485221835787"/>
    <n v="148732.105970062"/>
    <n v="535435.58149222401"/>
  </r>
  <r>
    <x v="0"/>
    <x v="1"/>
    <x v="1"/>
    <x v="9"/>
    <x v="18"/>
    <s v="SE2A"/>
    <x v="6"/>
    <x v="7"/>
    <s v="GNR_RES_WTR_NOPMP_MC-01"/>
    <x v="0"/>
    <x v="10"/>
    <n v="407.485221835787"/>
    <n v="148732.105970062"/>
    <n v="535435.58149222401"/>
  </r>
  <r>
    <x v="0"/>
    <x v="1"/>
    <x v="1"/>
    <x v="9"/>
    <x v="18"/>
    <s v="SE2A"/>
    <x v="6"/>
    <x v="7"/>
    <s v="GNR_RES_WTR_NOPMP_MC-01"/>
    <x v="0"/>
    <x v="11"/>
    <n v="407.485221835787"/>
    <n v="148732.105970062"/>
    <n v="535435.58149222401"/>
  </r>
  <r>
    <x v="0"/>
    <x v="1"/>
    <x v="1"/>
    <x v="9"/>
    <x v="18"/>
    <s v="SE2A"/>
    <x v="6"/>
    <x v="7"/>
    <s v="GNR_RES_WTR_NOPMP_MC-01"/>
    <x v="0"/>
    <x v="12"/>
    <n v="407.485221835787"/>
    <n v="148732.105970062"/>
    <n v="535435.58149222401"/>
  </r>
  <r>
    <x v="0"/>
    <x v="1"/>
    <x v="1"/>
    <x v="9"/>
    <x v="18"/>
    <s v="SE2A"/>
    <x v="6"/>
    <x v="7"/>
    <s v="GNR_RES_WTR_NOPMP_MC-01"/>
    <x v="0"/>
    <x v="13"/>
    <n v="407.485221835787"/>
    <n v="148732.105970062"/>
    <n v="535435.58149222401"/>
  </r>
  <r>
    <x v="0"/>
    <x v="1"/>
    <x v="1"/>
    <x v="9"/>
    <x v="18"/>
    <s v="SE2A"/>
    <x v="6"/>
    <x v="7"/>
    <s v="GNR_RES_WTR_NOPMP_MC-01"/>
    <x v="0"/>
    <x v="14"/>
    <n v="407.485221835787"/>
    <n v="148732.105970062"/>
    <n v="535435.58149222401"/>
  </r>
  <r>
    <x v="0"/>
    <x v="1"/>
    <x v="1"/>
    <x v="9"/>
    <x v="18"/>
    <s v="SE2A"/>
    <x v="6"/>
    <x v="7"/>
    <s v="GNR_RES_WTR_NOPMP_MC-01"/>
    <x v="0"/>
    <x v="15"/>
    <n v="407.485221835787"/>
    <n v="148732.105970062"/>
    <n v="535435.58149222401"/>
  </r>
  <r>
    <x v="0"/>
    <x v="1"/>
    <x v="1"/>
    <x v="9"/>
    <x v="18"/>
    <s v="SE2A"/>
    <x v="6"/>
    <x v="7"/>
    <s v="GNR_RES_WTR_NOPMP_MC-01"/>
    <x v="0"/>
    <x v="16"/>
    <n v="407.485221835787"/>
    <n v="148732.105970062"/>
    <n v="535435.58149222401"/>
  </r>
  <r>
    <x v="0"/>
    <x v="1"/>
    <x v="1"/>
    <x v="9"/>
    <x v="18"/>
    <s v="SE2A"/>
    <x v="6"/>
    <x v="7"/>
    <s v="GNR_RES_WTR_NOPMP_MC-01"/>
    <x v="0"/>
    <x v="17"/>
    <n v="407.485221835787"/>
    <n v="148732.105970062"/>
    <n v="535435.58149222401"/>
  </r>
  <r>
    <x v="0"/>
    <x v="1"/>
    <x v="1"/>
    <x v="9"/>
    <x v="18"/>
    <s v="SE2A"/>
    <x v="6"/>
    <x v="7"/>
    <s v="GNR_RES_WTR_NOPMP_MC-01"/>
    <x v="0"/>
    <x v="19"/>
    <n v="407.485221835787"/>
    <n v="148732.105970062"/>
    <n v="535435.58149222401"/>
  </r>
  <r>
    <x v="0"/>
    <x v="1"/>
    <x v="1"/>
    <x v="9"/>
    <x v="18"/>
    <s v="SE2A"/>
    <x v="6"/>
    <x v="7"/>
    <s v="GNR_RES_WTR_NOPMP_MC-01"/>
    <x v="0"/>
    <x v="20"/>
    <n v="407.485221835787"/>
    <n v="148732.105970062"/>
    <n v="535435.58149222401"/>
  </r>
  <r>
    <x v="0"/>
    <x v="1"/>
    <x v="1"/>
    <x v="9"/>
    <x v="18"/>
    <s v="SE2A"/>
    <x v="6"/>
    <x v="7"/>
    <s v="GNR_RES_WTR_NOPMP_MC-01"/>
    <x v="0"/>
    <x v="21"/>
    <n v="407.485221835787"/>
    <n v="148732.105970062"/>
    <n v="535435.58149222401"/>
  </r>
  <r>
    <x v="0"/>
    <x v="1"/>
    <x v="1"/>
    <x v="9"/>
    <x v="18"/>
    <s v="SE2A"/>
    <x v="6"/>
    <x v="7"/>
    <s v="GNR_RES_WTR_NOPMP_MC-01"/>
    <x v="0"/>
    <x v="22"/>
    <n v="407.485221835787"/>
    <n v="148732.105970062"/>
    <n v="535435.58149222401"/>
  </r>
  <r>
    <x v="0"/>
    <x v="1"/>
    <x v="1"/>
    <x v="9"/>
    <x v="18"/>
    <s v="SE2A"/>
    <x v="6"/>
    <x v="7"/>
    <s v="GNR_RES_WTR_NOPMP_MC-01"/>
    <x v="0"/>
    <x v="23"/>
    <n v="407.485221835787"/>
    <n v="148732.105970062"/>
    <n v="535435.58149222401"/>
  </r>
  <r>
    <x v="0"/>
    <x v="1"/>
    <x v="1"/>
    <x v="9"/>
    <x v="18"/>
    <s v="SE2A"/>
    <x v="6"/>
    <x v="7"/>
    <s v="GNR_RES_WTR_NOPMP_MC-02"/>
    <x v="0"/>
    <x v="0"/>
    <n v="515.485221835787"/>
    <n v="188152.105970062"/>
    <n v="677347.58149222401"/>
  </r>
  <r>
    <x v="0"/>
    <x v="1"/>
    <x v="1"/>
    <x v="9"/>
    <x v="18"/>
    <s v="SE2A"/>
    <x v="6"/>
    <x v="7"/>
    <s v="GNR_RES_WTR_NOPMP_MC-02"/>
    <x v="0"/>
    <x v="1"/>
    <n v="515.485221835787"/>
    <n v="188152.105970062"/>
    <n v="677347.58149222401"/>
  </r>
  <r>
    <x v="0"/>
    <x v="1"/>
    <x v="1"/>
    <x v="9"/>
    <x v="18"/>
    <s v="SE2A"/>
    <x v="6"/>
    <x v="7"/>
    <s v="GNR_RES_WTR_NOPMP_MC-02"/>
    <x v="0"/>
    <x v="18"/>
    <n v="515.485221835787"/>
    <n v="188152.105970062"/>
    <n v="677347.58149222401"/>
  </r>
  <r>
    <x v="0"/>
    <x v="1"/>
    <x v="1"/>
    <x v="9"/>
    <x v="18"/>
    <s v="SE2A"/>
    <x v="6"/>
    <x v="7"/>
    <s v="GNR_RES_WTR_NOPMP_MC-02"/>
    <x v="0"/>
    <x v="2"/>
    <n v="515.485221835787"/>
    <n v="188152.105970062"/>
    <n v="677347.58149222401"/>
  </r>
  <r>
    <x v="0"/>
    <x v="1"/>
    <x v="1"/>
    <x v="9"/>
    <x v="18"/>
    <s v="SE2A"/>
    <x v="6"/>
    <x v="7"/>
    <s v="GNR_RES_WTR_NOPMP_MC-02"/>
    <x v="0"/>
    <x v="3"/>
    <n v="515.485221835787"/>
    <n v="188152.105970062"/>
    <n v="677347.58149222401"/>
  </r>
  <r>
    <x v="0"/>
    <x v="1"/>
    <x v="1"/>
    <x v="9"/>
    <x v="18"/>
    <s v="SE2A"/>
    <x v="6"/>
    <x v="7"/>
    <s v="GNR_RES_WTR_NOPMP_MC-02"/>
    <x v="0"/>
    <x v="4"/>
    <n v="515.485221835787"/>
    <n v="188152.105970062"/>
    <n v="677347.58149222401"/>
  </r>
  <r>
    <x v="0"/>
    <x v="1"/>
    <x v="1"/>
    <x v="9"/>
    <x v="18"/>
    <s v="SE2A"/>
    <x v="6"/>
    <x v="7"/>
    <s v="GNR_RES_WTR_NOPMP_MC-02"/>
    <x v="0"/>
    <x v="5"/>
    <n v="515.485221835787"/>
    <n v="188152.105970062"/>
    <n v="677347.58149222401"/>
  </r>
  <r>
    <x v="0"/>
    <x v="1"/>
    <x v="1"/>
    <x v="9"/>
    <x v="18"/>
    <s v="SE2A"/>
    <x v="6"/>
    <x v="7"/>
    <s v="GNR_RES_WTR_NOPMP_MC-02"/>
    <x v="0"/>
    <x v="6"/>
    <n v="515.485221835787"/>
    <n v="188152.105970062"/>
    <n v="677347.58149222401"/>
  </r>
  <r>
    <x v="0"/>
    <x v="1"/>
    <x v="1"/>
    <x v="9"/>
    <x v="18"/>
    <s v="SE2A"/>
    <x v="6"/>
    <x v="7"/>
    <s v="GNR_RES_WTR_NOPMP_MC-02"/>
    <x v="0"/>
    <x v="7"/>
    <n v="515.485221835787"/>
    <n v="188152.105970062"/>
    <n v="677347.58149222401"/>
  </r>
  <r>
    <x v="0"/>
    <x v="1"/>
    <x v="1"/>
    <x v="9"/>
    <x v="18"/>
    <s v="SE2A"/>
    <x v="6"/>
    <x v="7"/>
    <s v="GNR_RES_WTR_NOPMP_MC-02"/>
    <x v="0"/>
    <x v="8"/>
    <n v="515.485221835787"/>
    <n v="188152.105970062"/>
    <n v="677347.58149222401"/>
  </r>
  <r>
    <x v="0"/>
    <x v="1"/>
    <x v="1"/>
    <x v="9"/>
    <x v="18"/>
    <s v="SE2A"/>
    <x v="6"/>
    <x v="7"/>
    <s v="GNR_RES_WTR_NOPMP_MC-02"/>
    <x v="0"/>
    <x v="9"/>
    <n v="515.485221835787"/>
    <n v="188152.105970062"/>
    <n v="677347.58149222401"/>
  </r>
  <r>
    <x v="0"/>
    <x v="1"/>
    <x v="1"/>
    <x v="9"/>
    <x v="18"/>
    <s v="SE2A"/>
    <x v="6"/>
    <x v="7"/>
    <s v="GNR_RES_WTR_NOPMP_MC-02"/>
    <x v="0"/>
    <x v="10"/>
    <n v="515.485221835787"/>
    <n v="188152.105970062"/>
    <n v="677347.58149222401"/>
  </r>
  <r>
    <x v="0"/>
    <x v="1"/>
    <x v="1"/>
    <x v="9"/>
    <x v="18"/>
    <s v="SE2A"/>
    <x v="6"/>
    <x v="7"/>
    <s v="GNR_RES_WTR_NOPMP_MC-02"/>
    <x v="0"/>
    <x v="11"/>
    <n v="515.485221835787"/>
    <n v="188152.105970062"/>
    <n v="677347.58149222401"/>
  </r>
  <r>
    <x v="0"/>
    <x v="1"/>
    <x v="1"/>
    <x v="9"/>
    <x v="18"/>
    <s v="SE2A"/>
    <x v="6"/>
    <x v="7"/>
    <s v="GNR_RES_WTR_NOPMP_MC-02"/>
    <x v="0"/>
    <x v="12"/>
    <n v="515.485221835787"/>
    <n v="188152.105970062"/>
    <n v="677347.58149222401"/>
  </r>
  <r>
    <x v="0"/>
    <x v="1"/>
    <x v="1"/>
    <x v="9"/>
    <x v="18"/>
    <s v="SE2A"/>
    <x v="6"/>
    <x v="7"/>
    <s v="GNR_RES_WTR_NOPMP_MC-02"/>
    <x v="0"/>
    <x v="13"/>
    <n v="515.485221835787"/>
    <n v="188152.105970062"/>
    <n v="677347.58149222401"/>
  </r>
  <r>
    <x v="0"/>
    <x v="1"/>
    <x v="1"/>
    <x v="9"/>
    <x v="18"/>
    <s v="SE2A"/>
    <x v="6"/>
    <x v="7"/>
    <s v="GNR_RES_WTR_NOPMP_MC-02"/>
    <x v="0"/>
    <x v="14"/>
    <n v="515.485221835787"/>
    <n v="188152.105970062"/>
    <n v="677347.58149222401"/>
  </r>
  <r>
    <x v="0"/>
    <x v="1"/>
    <x v="1"/>
    <x v="9"/>
    <x v="18"/>
    <s v="SE2A"/>
    <x v="6"/>
    <x v="7"/>
    <s v="GNR_RES_WTR_NOPMP_MC-02"/>
    <x v="0"/>
    <x v="15"/>
    <n v="515.485221835787"/>
    <n v="188152.105970062"/>
    <n v="677347.58149222401"/>
  </r>
  <r>
    <x v="0"/>
    <x v="1"/>
    <x v="1"/>
    <x v="9"/>
    <x v="18"/>
    <s v="SE2A"/>
    <x v="6"/>
    <x v="7"/>
    <s v="GNR_RES_WTR_NOPMP_MC-02"/>
    <x v="0"/>
    <x v="16"/>
    <n v="515.485221835787"/>
    <n v="188152.105970062"/>
    <n v="677347.58149222401"/>
  </r>
  <r>
    <x v="0"/>
    <x v="1"/>
    <x v="1"/>
    <x v="9"/>
    <x v="18"/>
    <s v="SE2A"/>
    <x v="6"/>
    <x v="7"/>
    <s v="GNR_RES_WTR_NOPMP_MC-02"/>
    <x v="0"/>
    <x v="17"/>
    <n v="515.485221835787"/>
    <n v="188152.105970062"/>
    <n v="677347.58149222401"/>
  </r>
  <r>
    <x v="0"/>
    <x v="1"/>
    <x v="1"/>
    <x v="9"/>
    <x v="18"/>
    <s v="SE2A"/>
    <x v="6"/>
    <x v="7"/>
    <s v="GNR_RES_WTR_NOPMP_MC-02"/>
    <x v="0"/>
    <x v="19"/>
    <n v="515.485221835787"/>
    <n v="188152.105970062"/>
    <n v="677347.58149222401"/>
  </r>
  <r>
    <x v="0"/>
    <x v="1"/>
    <x v="1"/>
    <x v="9"/>
    <x v="18"/>
    <s v="SE2A"/>
    <x v="6"/>
    <x v="7"/>
    <s v="GNR_RES_WTR_NOPMP_MC-02"/>
    <x v="0"/>
    <x v="20"/>
    <n v="515.485221835787"/>
    <n v="188152.105970062"/>
    <n v="677347.58149222401"/>
  </r>
  <r>
    <x v="0"/>
    <x v="1"/>
    <x v="1"/>
    <x v="9"/>
    <x v="18"/>
    <s v="SE2A"/>
    <x v="6"/>
    <x v="7"/>
    <s v="GNR_RES_WTR_NOPMP_MC-02"/>
    <x v="0"/>
    <x v="21"/>
    <n v="515.485221835787"/>
    <n v="188152.105970062"/>
    <n v="677347.58149222401"/>
  </r>
  <r>
    <x v="0"/>
    <x v="1"/>
    <x v="1"/>
    <x v="9"/>
    <x v="18"/>
    <s v="SE2A"/>
    <x v="6"/>
    <x v="7"/>
    <s v="GNR_RES_WTR_NOPMP_MC-02"/>
    <x v="0"/>
    <x v="22"/>
    <n v="515.485221835787"/>
    <n v="188152.105970062"/>
    <n v="677347.58149222401"/>
  </r>
  <r>
    <x v="0"/>
    <x v="1"/>
    <x v="1"/>
    <x v="9"/>
    <x v="18"/>
    <s v="SE2A"/>
    <x v="6"/>
    <x v="7"/>
    <s v="GNR_RES_WTR_NOPMP_MC-02"/>
    <x v="0"/>
    <x v="23"/>
    <n v="515.485221835787"/>
    <n v="188152.105970062"/>
    <n v="677347.58149222401"/>
  </r>
  <r>
    <x v="0"/>
    <x v="1"/>
    <x v="1"/>
    <x v="9"/>
    <x v="18"/>
    <s v="SE2A"/>
    <x v="6"/>
    <x v="7"/>
    <s v="GNR_RES_WTR_NOPMP_MC-03"/>
    <x v="0"/>
    <x v="0"/>
    <n v="515.485221835787"/>
    <n v="188152.105970062"/>
    <n v="677347.58149222401"/>
  </r>
  <r>
    <x v="0"/>
    <x v="1"/>
    <x v="1"/>
    <x v="9"/>
    <x v="18"/>
    <s v="SE2A"/>
    <x v="6"/>
    <x v="7"/>
    <s v="GNR_RES_WTR_NOPMP_MC-03"/>
    <x v="0"/>
    <x v="1"/>
    <n v="515.485221835787"/>
    <n v="188152.105970062"/>
    <n v="677347.58149222401"/>
  </r>
  <r>
    <x v="0"/>
    <x v="1"/>
    <x v="1"/>
    <x v="9"/>
    <x v="18"/>
    <s v="SE2A"/>
    <x v="6"/>
    <x v="7"/>
    <s v="GNR_RES_WTR_NOPMP_MC-03"/>
    <x v="0"/>
    <x v="18"/>
    <n v="515.485221835787"/>
    <n v="188152.105970062"/>
    <n v="677347.58149222401"/>
  </r>
  <r>
    <x v="0"/>
    <x v="1"/>
    <x v="1"/>
    <x v="9"/>
    <x v="18"/>
    <s v="SE2A"/>
    <x v="6"/>
    <x v="7"/>
    <s v="GNR_RES_WTR_NOPMP_MC-03"/>
    <x v="0"/>
    <x v="2"/>
    <n v="515.485221835787"/>
    <n v="188152.105970062"/>
    <n v="677347.58149222401"/>
  </r>
  <r>
    <x v="0"/>
    <x v="1"/>
    <x v="1"/>
    <x v="9"/>
    <x v="18"/>
    <s v="SE2A"/>
    <x v="6"/>
    <x v="7"/>
    <s v="GNR_RES_WTR_NOPMP_MC-03"/>
    <x v="0"/>
    <x v="3"/>
    <n v="515.485221835787"/>
    <n v="188152.105970062"/>
    <n v="677347.58149222401"/>
  </r>
  <r>
    <x v="0"/>
    <x v="1"/>
    <x v="1"/>
    <x v="9"/>
    <x v="18"/>
    <s v="SE2A"/>
    <x v="6"/>
    <x v="7"/>
    <s v="GNR_RES_WTR_NOPMP_MC-03"/>
    <x v="0"/>
    <x v="4"/>
    <n v="515.485221835787"/>
    <n v="188152.105970062"/>
    <n v="677347.58149222401"/>
  </r>
  <r>
    <x v="0"/>
    <x v="1"/>
    <x v="1"/>
    <x v="9"/>
    <x v="18"/>
    <s v="SE2A"/>
    <x v="6"/>
    <x v="7"/>
    <s v="GNR_RES_WTR_NOPMP_MC-03"/>
    <x v="0"/>
    <x v="5"/>
    <n v="515.485221835787"/>
    <n v="188152.105970062"/>
    <n v="677347.58149222401"/>
  </r>
  <r>
    <x v="0"/>
    <x v="1"/>
    <x v="1"/>
    <x v="9"/>
    <x v="18"/>
    <s v="SE2A"/>
    <x v="6"/>
    <x v="7"/>
    <s v="GNR_RES_WTR_NOPMP_MC-03"/>
    <x v="0"/>
    <x v="6"/>
    <n v="515.485221835787"/>
    <n v="188152.105970062"/>
    <n v="677347.58149222401"/>
  </r>
  <r>
    <x v="0"/>
    <x v="1"/>
    <x v="1"/>
    <x v="9"/>
    <x v="18"/>
    <s v="SE2A"/>
    <x v="6"/>
    <x v="7"/>
    <s v="GNR_RES_WTR_NOPMP_MC-03"/>
    <x v="0"/>
    <x v="7"/>
    <n v="515.485221835787"/>
    <n v="188152.105970062"/>
    <n v="677347.58149222401"/>
  </r>
  <r>
    <x v="0"/>
    <x v="1"/>
    <x v="1"/>
    <x v="9"/>
    <x v="18"/>
    <s v="SE2A"/>
    <x v="6"/>
    <x v="7"/>
    <s v="GNR_RES_WTR_NOPMP_MC-03"/>
    <x v="0"/>
    <x v="8"/>
    <n v="515.485221835787"/>
    <n v="188152.105970062"/>
    <n v="677347.58149222401"/>
  </r>
  <r>
    <x v="0"/>
    <x v="1"/>
    <x v="1"/>
    <x v="9"/>
    <x v="18"/>
    <s v="SE2A"/>
    <x v="6"/>
    <x v="7"/>
    <s v="GNR_RES_WTR_NOPMP_MC-03"/>
    <x v="0"/>
    <x v="9"/>
    <n v="515.485221835787"/>
    <n v="188152.105970062"/>
    <n v="677347.58149222401"/>
  </r>
  <r>
    <x v="0"/>
    <x v="1"/>
    <x v="1"/>
    <x v="9"/>
    <x v="18"/>
    <s v="SE2A"/>
    <x v="6"/>
    <x v="7"/>
    <s v="GNR_RES_WTR_NOPMP_MC-03"/>
    <x v="0"/>
    <x v="10"/>
    <n v="515.485221835787"/>
    <n v="188152.105970062"/>
    <n v="677347.58149222401"/>
  </r>
  <r>
    <x v="0"/>
    <x v="1"/>
    <x v="1"/>
    <x v="9"/>
    <x v="18"/>
    <s v="SE2A"/>
    <x v="6"/>
    <x v="7"/>
    <s v="GNR_RES_WTR_NOPMP_MC-03"/>
    <x v="0"/>
    <x v="11"/>
    <n v="515.485221835787"/>
    <n v="188152.105970062"/>
    <n v="677347.58149222401"/>
  </r>
  <r>
    <x v="0"/>
    <x v="1"/>
    <x v="1"/>
    <x v="9"/>
    <x v="18"/>
    <s v="SE2A"/>
    <x v="6"/>
    <x v="7"/>
    <s v="GNR_RES_WTR_NOPMP_MC-03"/>
    <x v="0"/>
    <x v="12"/>
    <n v="515.485221835787"/>
    <n v="188152.105970062"/>
    <n v="677347.58149222401"/>
  </r>
  <r>
    <x v="0"/>
    <x v="1"/>
    <x v="1"/>
    <x v="9"/>
    <x v="18"/>
    <s v="SE2A"/>
    <x v="6"/>
    <x v="7"/>
    <s v="GNR_RES_WTR_NOPMP_MC-03"/>
    <x v="0"/>
    <x v="13"/>
    <n v="515.485221835787"/>
    <n v="188152.105970062"/>
    <n v="677347.58149222401"/>
  </r>
  <r>
    <x v="0"/>
    <x v="1"/>
    <x v="1"/>
    <x v="9"/>
    <x v="18"/>
    <s v="SE2A"/>
    <x v="6"/>
    <x v="7"/>
    <s v="GNR_RES_WTR_NOPMP_MC-03"/>
    <x v="0"/>
    <x v="14"/>
    <n v="515.485221835787"/>
    <n v="188152.105970062"/>
    <n v="677347.58149222401"/>
  </r>
  <r>
    <x v="0"/>
    <x v="1"/>
    <x v="1"/>
    <x v="9"/>
    <x v="18"/>
    <s v="SE2A"/>
    <x v="6"/>
    <x v="7"/>
    <s v="GNR_RES_WTR_NOPMP_MC-03"/>
    <x v="0"/>
    <x v="15"/>
    <n v="515.485221835787"/>
    <n v="188152.105970062"/>
    <n v="677347.58149222401"/>
  </r>
  <r>
    <x v="0"/>
    <x v="1"/>
    <x v="1"/>
    <x v="9"/>
    <x v="18"/>
    <s v="SE2A"/>
    <x v="6"/>
    <x v="7"/>
    <s v="GNR_RES_WTR_NOPMP_MC-03"/>
    <x v="0"/>
    <x v="16"/>
    <n v="515.485221835787"/>
    <n v="188152.105970062"/>
    <n v="677347.58149222401"/>
  </r>
  <r>
    <x v="0"/>
    <x v="1"/>
    <x v="1"/>
    <x v="9"/>
    <x v="18"/>
    <s v="SE2A"/>
    <x v="6"/>
    <x v="7"/>
    <s v="GNR_RES_WTR_NOPMP_MC-03"/>
    <x v="0"/>
    <x v="17"/>
    <n v="515.485221835787"/>
    <n v="188152.105970062"/>
    <n v="677347.58149222401"/>
  </r>
  <r>
    <x v="0"/>
    <x v="1"/>
    <x v="1"/>
    <x v="9"/>
    <x v="18"/>
    <s v="SE2A"/>
    <x v="6"/>
    <x v="7"/>
    <s v="GNR_RES_WTR_NOPMP_MC-03"/>
    <x v="0"/>
    <x v="19"/>
    <n v="515.485221835787"/>
    <n v="188152.105970062"/>
    <n v="677347.58149222401"/>
  </r>
  <r>
    <x v="0"/>
    <x v="1"/>
    <x v="1"/>
    <x v="9"/>
    <x v="18"/>
    <s v="SE2A"/>
    <x v="6"/>
    <x v="7"/>
    <s v="GNR_RES_WTR_NOPMP_MC-03"/>
    <x v="0"/>
    <x v="20"/>
    <n v="515.485221835787"/>
    <n v="188152.105970062"/>
    <n v="677347.58149222401"/>
  </r>
  <r>
    <x v="0"/>
    <x v="1"/>
    <x v="1"/>
    <x v="9"/>
    <x v="18"/>
    <s v="SE2A"/>
    <x v="6"/>
    <x v="7"/>
    <s v="GNR_RES_WTR_NOPMP_MC-03"/>
    <x v="0"/>
    <x v="21"/>
    <n v="515.485221835787"/>
    <n v="188152.105970062"/>
    <n v="677347.58149222401"/>
  </r>
  <r>
    <x v="0"/>
    <x v="1"/>
    <x v="1"/>
    <x v="9"/>
    <x v="18"/>
    <s v="SE2A"/>
    <x v="6"/>
    <x v="7"/>
    <s v="GNR_RES_WTR_NOPMP_MC-03"/>
    <x v="0"/>
    <x v="22"/>
    <n v="67.432267179151907"/>
    <n v="24612.7775203905"/>
    <n v="88605.999073405706"/>
  </r>
  <r>
    <x v="0"/>
    <x v="1"/>
    <x v="1"/>
    <x v="9"/>
    <x v="18"/>
    <s v="SE2A"/>
    <x v="6"/>
    <x v="7"/>
    <s v="GNR_RES_WTR_NOPMP_MC-04"/>
    <x v="0"/>
    <x v="3"/>
    <n v="515.485221835787"/>
    <n v="188152.105970062"/>
    <n v="677347.58149222401"/>
  </r>
  <r>
    <x v="0"/>
    <x v="1"/>
    <x v="1"/>
    <x v="9"/>
    <x v="18"/>
    <s v="SE2A"/>
    <x v="6"/>
    <x v="7"/>
    <s v="GNR_RES_WTR_NOPMP_MC-04"/>
    <x v="0"/>
    <x v="4"/>
    <n v="515.485221835787"/>
    <n v="188152.105970062"/>
    <n v="677347.58149222401"/>
  </r>
  <r>
    <x v="0"/>
    <x v="1"/>
    <x v="1"/>
    <x v="9"/>
    <x v="18"/>
    <s v="SE2A"/>
    <x v="6"/>
    <x v="7"/>
    <s v="GNR_RES_WTR_NOPMP_MC-04"/>
    <x v="0"/>
    <x v="5"/>
    <n v="515.485221835787"/>
    <n v="188152.105970062"/>
    <n v="677347.58149222401"/>
  </r>
  <r>
    <x v="0"/>
    <x v="1"/>
    <x v="1"/>
    <x v="9"/>
    <x v="18"/>
    <s v="SE2A"/>
    <x v="6"/>
    <x v="7"/>
    <s v="GNR_RES_WTR_NOPMP_MC-04"/>
    <x v="0"/>
    <x v="6"/>
    <n v="515.485221835787"/>
    <n v="188152.105970062"/>
    <n v="677347.58149222401"/>
  </r>
  <r>
    <x v="0"/>
    <x v="1"/>
    <x v="1"/>
    <x v="9"/>
    <x v="18"/>
    <s v="SE2A"/>
    <x v="6"/>
    <x v="7"/>
    <s v="GNR_RES_WTR_NOPMP_MC-04"/>
    <x v="0"/>
    <x v="7"/>
    <n v="515.485221835787"/>
    <n v="188152.105970062"/>
    <n v="677347.58149222401"/>
  </r>
  <r>
    <x v="0"/>
    <x v="1"/>
    <x v="1"/>
    <x v="9"/>
    <x v="18"/>
    <s v="SE2A"/>
    <x v="6"/>
    <x v="7"/>
    <s v="GNR_RES_WTR_NOPMP_MC-04"/>
    <x v="0"/>
    <x v="8"/>
    <n v="515.485221835787"/>
    <n v="188152.105970062"/>
    <n v="677347.58149222401"/>
  </r>
  <r>
    <x v="0"/>
    <x v="1"/>
    <x v="1"/>
    <x v="9"/>
    <x v="18"/>
    <s v="SE2A"/>
    <x v="6"/>
    <x v="7"/>
    <s v="GNR_RES_WTR_NOPMP_MC-04"/>
    <x v="0"/>
    <x v="9"/>
    <n v="515.485221835787"/>
    <n v="188152.105970062"/>
    <n v="677347.58149222401"/>
  </r>
  <r>
    <x v="0"/>
    <x v="1"/>
    <x v="1"/>
    <x v="9"/>
    <x v="18"/>
    <s v="SE2A"/>
    <x v="6"/>
    <x v="7"/>
    <s v="GNR_RES_WTR_NOPMP_MC-04"/>
    <x v="0"/>
    <x v="10"/>
    <n v="515.485221835787"/>
    <n v="188152.105970062"/>
    <n v="677347.58149222401"/>
  </r>
  <r>
    <x v="0"/>
    <x v="1"/>
    <x v="1"/>
    <x v="9"/>
    <x v="18"/>
    <s v="SE2A"/>
    <x v="6"/>
    <x v="7"/>
    <s v="GNR_RES_WTR_NOPMP_MC-04"/>
    <x v="0"/>
    <x v="11"/>
    <n v="515.485221835787"/>
    <n v="188152.105970062"/>
    <n v="677347.58149222401"/>
  </r>
  <r>
    <x v="0"/>
    <x v="1"/>
    <x v="1"/>
    <x v="9"/>
    <x v="18"/>
    <s v="SE2A"/>
    <x v="6"/>
    <x v="7"/>
    <s v="GNR_RES_WTR_NOPMP_MC-04"/>
    <x v="0"/>
    <x v="12"/>
    <n v="515.485221835787"/>
    <n v="188152.105970062"/>
    <n v="677347.58149222401"/>
  </r>
  <r>
    <x v="0"/>
    <x v="1"/>
    <x v="1"/>
    <x v="9"/>
    <x v="18"/>
    <s v="SE2A"/>
    <x v="6"/>
    <x v="7"/>
    <s v="GNR_RES_WTR_NOPMP_MC-04"/>
    <x v="0"/>
    <x v="13"/>
    <n v="515.485221835787"/>
    <n v="188152.105970062"/>
    <n v="677347.58149222401"/>
  </r>
  <r>
    <x v="0"/>
    <x v="1"/>
    <x v="1"/>
    <x v="9"/>
    <x v="18"/>
    <s v="SE2A"/>
    <x v="6"/>
    <x v="7"/>
    <s v="GNR_RES_WTR_NOPMP_MC-04"/>
    <x v="0"/>
    <x v="14"/>
    <n v="515.485221835787"/>
    <n v="188152.105970062"/>
    <n v="677347.58149222401"/>
  </r>
  <r>
    <x v="0"/>
    <x v="1"/>
    <x v="1"/>
    <x v="9"/>
    <x v="18"/>
    <s v="SE2A"/>
    <x v="6"/>
    <x v="7"/>
    <s v="GNR_RES_WTR_NOPMP_MC-04"/>
    <x v="0"/>
    <x v="15"/>
    <n v="515.485221835787"/>
    <n v="188152.105970062"/>
    <n v="677347.58149222401"/>
  </r>
  <r>
    <x v="0"/>
    <x v="1"/>
    <x v="1"/>
    <x v="9"/>
    <x v="18"/>
    <s v="SE2A"/>
    <x v="6"/>
    <x v="7"/>
    <s v="GNR_RES_WTR_NOPMP_MC-04"/>
    <x v="0"/>
    <x v="16"/>
    <n v="515.485221835787"/>
    <n v="188152.105970062"/>
    <n v="677347.58149222401"/>
  </r>
  <r>
    <x v="0"/>
    <x v="1"/>
    <x v="1"/>
    <x v="9"/>
    <x v="18"/>
    <s v="SE2A"/>
    <x v="6"/>
    <x v="7"/>
    <s v="GNR_RES_WTR_NOPMP_MC-04"/>
    <x v="0"/>
    <x v="17"/>
    <n v="515.485221835787"/>
    <n v="188152.105970062"/>
    <n v="677347.58149222401"/>
  </r>
  <r>
    <x v="0"/>
    <x v="1"/>
    <x v="1"/>
    <x v="9"/>
    <x v="18"/>
    <s v="SE2A"/>
    <x v="6"/>
    <x v="7"/>
    <s v="GNR_RES_WTR_NOPMP_MC-04"/>
    <x v="0"/>
    <x v="19"/>
    <n v="515.485221835787"/>
    <n v="188152.105970062"/>
    <n v="677347.58149222401"/>
  </r>
  <r>
    <x v="0"/>
    <x v="1"/>
    <x v="1"/>
    <x v="9"/>
    <x v="18"/>
    <s v="SE2A"/>
    <x v="6"/>
    <x v="7"/>
    <s v="GNR_RES_WTR_NOPMP_MC-04"/>
    <x v="0"/>
    <x v="20"/>
    <n v="175.63279836656599"/>
    <n v="64105.971403796801"/>
    <n v="230781.49705366799"/>
  </r>
  <r>
    <x v="0"/>
    <x v="1"/>
    <x v="1"/>
    <x v="9"/>
    <x v="18"/>
    <s v="SE2A"/>
    <x v="6"/>
    <x v="7"/>
    <s v="GNR_RES_WTR_NOPMP_MC-05"/>
    <x v="0"/>
    <x v="4"/>
    <n v="515.485221835787"/>
    <n v="188152.105970062"/>
    <n v="677347.58149222401"/>
  </r>
  <r>
    <x v="0"/>
    <x v="1"/>
    <x v="1"/>
    <x v="9"/>
    <x v="18"/>
    <s v="SE2A"/>
    <x v="6"/>
    <x v="7"/>
    <s v="GNR_RES_WTR_NOPMP_MC-05"/>
    <x v="0"/>
    <x v="5"/>
    <n v="515.485221835787"/>
    <n v="188152.105970062"/>
    <n v="677347.58149222401"/>
  </r>
  <r>
    <x v="0"/>
    <x v="1"/>
    <x v="1"/>
    <x v="9"/>
    <x v="18"/>
    <s v="SE2A"/>
    <x v="6"/>
    <x v="7"/>
    <s v="GNR_RES_WTR_NOPMP_MC-05"/>
    <x v="0"/>
    <x v="6"/>
    <n v="515.485221835787"/>
    <n v="188152.105970062"/>
    <n v="677347.58149222401"/>
  </r>
  <r>
    <x v="0"/>
    <x v="1"/>
    <x v="1"/>
    <x v="9"/>
    <x v="18"/>
    <s v="SE2A"/>
    <x v="6"/>
    <x v="7"/>
    <s v="GNR_RES_WTR_NOPMP_MC-05"/>
    <x v="0"/>
    <x v="7"/>
    <n v="515.485221835787"/>
    <n v="188152.105970062"/>
    <n v="677347.58149222401"/>
  </r>
  <r>
    <x v="0"/>
    <x v="1"/>
    <x v="1"/>
    <x v="9"/>
    <x v="18"/>
    <s v="SE2A"/>
    <x v="6"/>
    <x v="7"/>
    <s v="GNR_RES_WTR_NOPMP_MC-05"/>
    <x v="0"/>
    <x v="8"/>
    <n v="515.485221835787"/>
    <n v="188152.105970062"/>
    <n v="677347.58149222401"/>
  </r>
  <r>
    <x v="0"/>
    <x v="1"/>
    <x v="1"/>
    <x v="9"/>
    <x v="18"/>
    <s v="SE2A"/>
    <x v="6"/>
    <x v="7"/>
    <s v="GNR_RES_WTR_NOPMP_MC-05"/>
    <x v="0"/>
    <x v="9"/>
    <n v="515.485221835787"/>
    <n v="188152.105970062"/>
    <n v="677347.58149222401"/>
  </r>
  <r>
    <x v="0"/>
    <x v="1"/>
    <x v="1"/>
    <x v="9"/>
    <x v="18"/>
    <s v="SE2A"/>
    <x v="6"/>
    <x v="7"/>
    <s v="GNR_RES_WTR_NOPMP_MC-05"/>
    <x v="0"/>
    <x v="10"/>
    <n v="515.485221835787"/>
    <n v="188152.105970062"/>
    <n v="677347.58149222401"/>
  </r>
  <r>
    <x v="0"/>
    <x v="1"/>
    <x v="1"/>
    <x v="9"/>
    <x v="18"/>
    <s v="SE2A"/>
    <x v="6"/>
    <x v="7"/>
    <s v="GNR_RES_WTR_NOPMP_MC-05"/>
    <x v="0"/>
    <x v="11"/>
    <n v="515.485221835787"/>
    <n v="188152.105970062"/>
    <n v="677347.58149222401"/>
  </r>
  <r>
    <x v="0"/>
    <x v="1"/>
    <x v="1"/>
    <x v="9"/>
    <x v="18"/>
    <s v="SE2A"/>
    <x v="6"/>
    <x v="7"/>
    <s v="GNR_RES_WTR_NOPMP_MC-05"/>
    <x v="0"/>
    <x v="12"/>
    <n v="515.485221835787"/>
    <n v="188152.105970062"/>
    <n v="677347.58149222401"/>
  </r>
  <r>
    <x v="0"/>
    <x v="1"/>
    <x v="1"/>
    <x v="9"/>
    <x v="18"/>
    <s v="SE2A"/>
    <x v="6"/>
    <x v="7"/>
    <s v="GNR_RES_WTR_NOPMP_MC-05"/>
    <x v="0"/>
    <x v="13"/>
    <n v="515.485221835787"/>
    <n v="188152.105970062"/>
    <n v="677347.58149222401"/>
  </r>
  <r>
    <x v="0"/>
    <x v="1"/>
    <x v="1"/>
    <x v="9"/>
    <x v="18"/>
    <s v="SE2A"/>
    <x v="6"/>
    <x v="7"/>
    <s v="GNR_RES_WTR_NOPMP_MC-05"/>
    <x v="0"/>
    <x v="14"/>
    <n v="515.485221835787"/>
    <n v="188152.105970062"/>
    <n v="677347.58149222401"/>
  </r>
  <r>
    <x v="0"/>
    <x v="1"/>
    <x v="1"/>
    <x v="9"/>
    <x v="18"/>
    <s v="SE2A"/>
    <x v="6"/>
    <x v="7"/>
    <s v="GNR_RES_WTR_NOPMP_MC-05"/>
    <x v="0"/>
    <x v="15"/>
    <n v="515.485221835787"/>
    <n v="188152.105970062"/>
    <n v="677347.58149222401"/>
  </r>
  <r>
    <x v="0"/>
    <x v="1"/>
    <x v="1"/>
    <x v="9"/>
    <x v="18"/>
    <s v="SE2A"/>
    <x v="6"/>
    <x v="7"/>
    <s v="GNR_RES_WTR_NOPMP_MC-05"/>
    <x v="0"/>
    <x v="16"/>
    <n v="515.485221835787"/>
    <n v="188152.105970062"/>
    <n v="677347.58149222401"/>
  </r>
  <r>
    <x v="0"/>
    <x v="1"/>
    <x v="1"/>
    <x v="9"/>
    <x v="18"/>
    <s v="SE2A"/>
    <x v="6"/>
    <x v="7"/>
    <s v="GNR_RES_WTR_NOPMP_MC-05"/>
    <x v="0"/>
    <x v="17"/>
    <n v="515.485221835787"/>
    <n v="188152.105970062"/>
    <n v="677347.58149222401"/>
  </r>
  <r>
    <x v="0"/>
    <x v="1"/>
    <x v="1"/>
    <x v="9"/>
    <x v="18"/>
    <s v="SE2A"/>
    <x v="6"/>
    <x v="7"/>
    <s v="GNR_RES_WTR_NOPMP_MC-05"/>
    <x v="0"/>
    <x v="19"/>
    <n v="515.485221835787"/>
    <n v="188152.105970062"/>
    <n v="677347.58149222401"/>
  </r>
  <r>
    <x v="0"/>
    <x v="1"/>
    <x v="1"/>
    <x v="9"/>
    <x v="18"/>
    <s v="SE2A"/>
    <x v="6"/>
    <x v="7"/>
    <s v="GNR_RES_WTR_NOPMP_MC-06"/>
    <x v="0"/>
    <x v="5"/>
    <n v="515.485221835787"/>
    <n v="188152.105970062"/>
    <n v="677347.58149222401"/>
  </r>
  <r>
    <x v="0"/>
    <x v="1"/>
    <x v="1"/>
    <x v="9"/>
    <x v="18"/>
    <s v="SE2A"/>
    <x v="6"/>
    <x v="7"/>
    <s v="GNR_RES_WTR_NOPMP_MC-06"/>
    <x v="0"/>
    <x v="6"/>
    <n v="515.485221835787"/>
    <n v="188152.105970062"/>
    <n v="677347.58149222401"/>
  </r>
  <r>
    <x v="0"/>
    <x v="1"/>
    <x v="1"/>
    <x v="9"/>
    <x v="18"/>
    <s v="SE2A"/>
    <x v="6"/>
    <x v="7"/>
    <s v="GNR_RES_WTR_NOPMP_MC-06"/>
    <x v="0"/>
    <x v="7"/>
    <n v="515.485221835787"/>
    <n v="188152.105970062"/>
    <n v="677347.58149222401"/>
  </r>
  <r>
    <x v="0"/>
    <x v="1"/>
    <x v="1"/>
    <x v="9"/>
    <x v="18"/>
    <s v="SE2A"/>
    <x v="6"/>
    <x v="7"/>
    <s v="GNR_RES_WTR_NOPMP_MC-06"/>
    <x v="0"/>
    <x v="8"/>
    <n v="515.485221835787"/>
    <n v="188152.105970062"/>
    <n v="677347.58149222401"/>
  </r>
  <r>
    <x v="0"/>
    <x v="1"/>
    <x v="1"/>
    <x v="9"/>
    <x v="18"/>
    <s v="SE2A"/>
    <x v="6"/>
    <x v="7"/>
    <s v="GNR_RES_WTR_NOPMP_MC-06"/>
    <x v="0"/>
    <x v="9"/>
    <n v="515.485221835787"/>
    <n v="188152.105970062"/>
    <n v="677347.58149222401"/>
  </r>
  <r>
    <x v="0"/>
    <x v="1"/>
    <x v="1"/>
    <x v="9"/>
    <x v="18"/>
    <s v="SE2A"/>
    <x v="6"/>
    <x v="7"/>
    <s v="GNR_RES_WTR_NOPMP_MC-06"/>
    <x v="0"/>
    <x v="10"/>
    <n v="515.485221835787"/>
    <n v="188152.105970062"/>
    <n v="677347.58149222401"/>
  </r>
  <r>
    <x v="0"/>
    <x v="1"/>
    <x v="1"/>
    <x v="9"/>
    <x v="18"/>
    <s v="SE2A"/>
    <x v="6"/>
    <x v="7"/>
    <s v="GNR_RES_WTR_NOPMP_MC-06"/>
    <x v="0"/>
    <x v="11"/>
    <n v="515.485221835787"/>
    <n v="188152.105970062"/>
    <n v="677347.58149222401"/>
  </r>
  <r>
    <x v="0"/>
    <x v="1"/>
    <x v="1"/>
    <x v="9"/>
    <x v="18"/>
    <s v="SE2A"/>
    <x v="6"/>
    <x v="7"/>
    <s v="GNR_RES_WTR_NOPMP_MC-06"/>
    <x v="0"/>
    <x v="12"/>
    <n v="515.485221835787"/>
    <n v="188152.105970062"/>
    <n v="677347.58149222401"/>
  </r>
  <r>
    <x v="0"/>
    <x v="1"/>
    <x v="1"/>
    <x v="9"/>
    <x v="18"/>
    <s v="SE2A"/>
    <x v="6"/>
    <x v="7"/>
    <s v="GNR_RES_WTR_NOPMP_MC-06"/>
    <x v="0"/>
    <x v="13"/>
    <n v="515.485221835787"/>
    <n v="188152.105970062"/>
    <n v="677347.58149222401"/>
  </r>
  <r>
    <x v="0"/>
    <x v="1"/>
    <x v="1"/>
    <x v="9"/>
    <x v="18"/>
    <s v="SE2A"/>
    <x v="6"/>
    <x v="7"/>
    <s v="GNR_RES_WTR_NOPMP_MC-06"/>
    <x v="0"/>
    <x v="14"/>
    <n v="515.485221835787"/>
    <n v="188152.105970062"/>
    <n v="677347.58149222401"/>
  </r>
  <r>
    <x v="0"/>
    <x v="1"/>
    <x v="1"/>
    <x v="9"/>
    <x v="18"/>
    <s v="SE2A"/>
    <x v="6"/>
    <x v="7"/>
    <s v="GNR_RES_WTR_NOPMP_MC-06"/>
    <x v="0"/>
    <x v="15"/>
    <n v="515.485221835787"/>
    <n v="188152.105970062"/>
    <n v="677347.58149222401"/>
  </r>
  <r>
    <x v="0"/>
    <x v="1"/>
    <x v="1"/>
    <x v="9"/>
    <x v="18"/>
    <s v="SE2A"/>
    <x v="6"/>
    <x v="7"/>
    <s v="GNR_RES_WTR_NOPMP_MC-06"/>
    <x v="0"/>
    <x v="16"/>
    <n v="479.52909886853303"/>
    <n v="175028.121087015"/>
    <n v="630101.23591325199"/>
  </r>
  <r>
    <x v="0"/>
    <x v="1"/>
    <x v="1"/>
    <x v="9"/>
    <x v="18"/>
    <s v="SE2A"/>
    <x v="6"/>
    <x v="7"/>
    <s v="GNR_RES_WTR_NOPMP_MC-07"/>
    <x v="0"/>
    <x v="5"/>
    <n v="265.07742769286199"/>
    <n v="96753.261107894796"/>
    <n v="348311.73998842097"/>
  </r>
  <r>
    <x v="0"/>
    <x v="1"/>
    <x v="1"/>
    <x v="9"/>
    <x v="18"/>
    <s v="SE2A"/>
    <x v="6"/>
    <x v="7"/>
    <s v="GNR_RES_WTR_NOPMP_MC-07"/>
    <x v="0"/>
    <x v="6"/>
    <n v="515.485221835787"/>
    <n v="188152.105970062"/>
    <n v="677347.58149222401"/>
  </r>
  <r>
    <x v="0"/>
    <x v="1"/>
    <x v="1"/>
    <x v="9"/>
    <x v="18"/>
    <s v="SE2A"/>
    <x v="6"/>
    <x v="7"/>
    <s v="GNR_RES_WTR_NOPMP_MC-07"/>
    <x v="0"/>
    <x v="7"/>
    <n v="515.485221835787"/>
    <n v="188152.105970062"/>
    <n v="677347.58149222401"/>
  </r>
  <r>
    <x v="0"/>
    <x v="1"/>
    <x v="1"/>
    <x v="9"/>
    <x v="18"/>
    <s v="SE2A"/>
    <x v="6"/>
    <x v="7"/>
    <s v="GNR_RES_WTR_NOPMP_MC-07"/>
    <x v="0"/>
    <x v="8"/>
    <n v="515.485221835787"/>
    <n v="188152.105970062"/>
    <n v="677347.58149222401"/>
  </r>
  <r>
    <x v="0"/>
    <x v="1"/>
    <x v="1"/>
    <x v="9"/>
    <x v="18"/>
    <s v="SE2A"/>
    <x v="6"/>
    <x v="7"/>
    <s v="GNR_RES_WTR_NOPMP_MC-07"/>
    <x v="0"/>
    <x v="9"/>
    <n v="515.485221835787"/>
    <n v="188152.105970062"/>
    <n v="677347.58149222401"/>
  </r>
  <r>
    <x v="0"/>
    <x v="1"/>
    <x v="1"/>
    <x v="9"/>
    <x v="18"/>
    <s v="SE2A"/>
    <x v="6"/>
    <x v="7"/>
    <s v="GNR_RES_WTR_NOPMP_MC-07"/>
    <x v="0"/>
    <x v="10"/>
    <n v="343.71658571003297"/>
    <n v="125456.553784162"/>
    <n v="451643.59362298303"/>
  </r>
  <r>
    <x v="0"/>
    <x v="1"/>
    <x v="1"/>
    <x v="9"/>
    <x v="18"/>
    <s v="SE2A"/>
    <x v="6"/>
    <x v="7"/>
    <s v="GNR_RES_WTR_NOPMP_MC-08"/>
    <x v="0"/>
    <x v="6"/>
    <n v="515.485221835787"/>
    <n v="188152.105970062"/>
    <n v="677347.58149222401"/>
  </r>
  <r>
    <x v="0"/>
    <x v="1"/>
    <x v="1"/>
    <x v="9"/>
    <x v="18"/>
    <s v="SE2A"/>
    <x v="6"/>
    <x v="7"/>
    <s v="GNR_RES_WTR_NOPMP_MC-08"/>
    <x v="0"/>
    <x v="7"/>
    <n v="515.485221835787"/>
    <n v="188152.105970062"/>
    <n v="677347.58149222401"/>
  </r>
  <r>
    <x v="0"/>
    <x v="1"/>
    <x v="1"/>
    <x v="9"/>
    <x v="18"/>
    <s v="SE2A"/>
    <x v="6"/>
    <x v="7"/>
    <s v="GNR_RES_WTR_NOPMP_MC-08"/>
    <x v="0"/>
    <x v="8"/>
    <n v="515.485221835787"/>
    <n v="188152.105970062"/>
    <n v="677347.58149222401"/>
  </r>
  <r>
    <x v="0"/>
    <x v="1"/>
    <x v="1"/>
    <x v="9"/>
    <x v="18"/>
    <s v="SE2A"/>
    <x v="6"/>
    <x v="7"/>
    <s v="GNR_RES_WTR_NOPMP_MC-09"/>
    <x v="0"/>
    <x v="7"/>
    <n v="51.035028188282901"/>
    <n v="18627.785288723298"/>
    <n v="67060.027039403794"/>
  </r>
  <r>
    <x v="0"/>
    <x v="1"/>
    <x v="1"/>
    <x v="9"/>
    <x v="18"/>
    <s v="SE2A"/>
    <x v="6"/>
    <x v="7"/>
    <s v="GNR_RES_WTR_PMP_MC-01"/>
    <x v="0"/>
    <x v="0"/>
    <n v="108"/>
    <n v="39420"/>
    <n v="141912"/>
  </r>
  <r>
    <x v="0"/>
    <x v="1"/>
    <x v="1"/>
    <x v="9"/>
    <x v="18"/>
    <s v="SE2A"/>
    <x v="6"/>
    <x v="7"/>
    <s v="GNR_RES_WTR_PMP_MC-01"/>
    <x v="0"/>
    <x v="1"/>
    <n v="108"/>
    <n v="39420"/>
    <n v="141912"/>
  </r>
  <r>
    <x v="0"/>
    <x v="1"/>
    <x v="1"/>
    <x v="9"/>
    <x v="18"/>
    <s v="SE2A"/>
    <x v="6"/>
    <x v="7"/>
    <s v="GNR_RES_WTR_PMP_MC-01"/>
    <x v="0"/>
    <x v="18"/>
    <n v="108"/>
    <n v="39420"/>
    <n v="141912"/>
  </r>
  <r>
    <x v="0"/>
    <x v="1"/>
    <x v="1"/>
    <x v="9"/>
    <x v="18"/>
    <s v="SE2A"/>
    <x v="6"/>
    <x v="7"/>
    <s v="GNR_RES_WTR_PMP_MC-01"/>
    <x v="0"/>
    <x v="2"/>
    <n v="108"/>
    <n v="39420"/>
    <n v="141912"/>
  </r>
  <r>
    <x v="0"/>
    <x v="1"/>
    <x v="1"/>
    <x v="9"/>
    <x v="18"/>
    <s v="SE2A"/>
    <x v="6"/>
    <x v="7"/>
    <s v="GNR_RES_WTR_PMP_MC-01"/>
    <x v="0"/>
    <x v="3"/>
    <n v="108"/>
    <n v="39420"/>
    <n v="141912"/>
  </r>
  <r>
    <x v="0"/>
    <x v="1"/>
    <x v="1"/>
    <x v="9"/>
    <x v="18"/>
    <s v="SE2A"/>
    <x v="6"/>
    <x v="7"/>
    <s v="GNR_RES_WTR_PMP_MC-01"/>
    <x v="0"/>
    <x v="4"/>
    <n v="108"/>
    <n v="39420"/>
    <n v="141912"/>
  </r>
  <r>
    <x v="0"/>
    <x v="1"/>
    <x v="1"/>
    <x v="9"/>
    <x v="18"/>
    <s v="SE2A"/>
    <x v="6"/>
    <x v="7"/>
    <s v="GNR_RES_WTR_PMP_MC-01"/>
    <x v="0"/>
    <x v="5"/>
    <n v="108"/>
    <n v="39420"/>
    <n v="141912"/>
  </r>
  <r>
    <x v="0"/>
    <x v="1"/>
    <x v="1"/>
    <x v="9"/>
    <x v="18"/>
    <s v="SE2A"/>
    <x v="6"/>
    <x v="7"/>
    <s v="GNR_RES_WTR_PMP_MC-01"/>
    <x v="0"/>
    <x v="6"/>
    <n v="108"/>
    <n v="39420"/>
    <n v="141912"/>
  </r>
  <r>
    <x v="0"/>
    <x v="1"/>
    <x v="1"/>
    <x v="9"/>
    <x v="18"/>
    <s v="SE2A"/>
    <x v="6"/>
    <x v="7"/>
    <s v="GNR_RES_WTR_PMP_MC-01"/>
    <x v="0"/>
    <x v="7"/>
    <n v="108"/>
    <n v="39420"/>
    <n v="141912"/>
  </r>
  <r>
    <x v="0"/>
    <x v="1"/>
    <x v="1"/>
    <x v="9"/>
    <x v="18"/>
    <s v="SE2A"/>
    <x v="6"/>
    <x v="7"/>
    <s v="GNR_RES_WTR_PMP_MC-01"/>
    <x v="0"/>
    <x v="8"/>
    <n v="108"/>
    <n v="39420"/>
    <n v="141912"/>
  </r>
  <r>
    <x v="0"/>
    <x v="1"/>
    <x v="1"/>
    <x v="9"/>
    <x v="18"/>
    <s v="SE2A"/>
    <x v="6"/>
    <x v="7"/>
    <s v="GNR_RES_WTR_PMP_MC-01"/>
    <x v="0"/>
    <x v="9"/>
    <n v="108"/>
    <n v="39420"/>
    <n v="141912"/>
  </r>
  <r>
    <x v="0"/>
    <x v="1"/>
    <x v="1"/>
    <x v="9"/>
    <x v="18"/>
    <s v="SE2A"/>
    <x v="6"/>
    <x v="7"/>
    <s v="GNR_RES_WTR_PMP_MC-01"/>
    <x v="0"/>
    <x v="10"/>
    <n v="108"/>
    <n v="39420"/>
    <n v="141912"/>
  </r>
  <r>
    <x v="0"/>
    <x v="1"/>
    <x v="1"/>
    <x v="9"/>
    <x v="18"/>
    <s v="SE2A"/>
    <x v="6"/>
    <x v="7"/>
    <s v="GNR_RES_WTR_PMP_MC-01"/>
    <x v="0"/>
    <x v="11"/>
    <n v="108"/>
    <n v="39420"/>
    <n v="141912"/>
  </r>
  <r>
    <x v="0"/>
    <x v="1"/>
    <x v="1"/>
    <x v="9"/>
    <x v="18"/>
    <s v="SE2A"/>
    <x v="6"/>
    <x v="7"/>
    <s v="GNR_RES_WTR_PMP_MC-01"/>
    <x v="0"/>
    <x v="12"/>
    <n v="108"/>
    <n v="39420"/>
    <n v="141912"/>
  </r>
  <r>
    <x v="0"/>
    <x v="1"/>
    <x v="1"/>
    <x v="9"/>
    <x v="18"/>
    <s v="SE2A"/>
    <x v="6"/>
    <x v="7"/>
    <s v="GNR_RES_WTR_PMP_MC-01"/>
    <x v="0"/>
    <x v="13"/>
    <n v="108"/>
    <n v="39420"/>
    <n v="141912"/>
  </r>
  <r>
    <x v="0"/>
    <x v="1"/>
    <x v="1"/>
    <x v="9"/>
    <x v="18"/>
    <s v="SE2A"/>
    <x v="6"/>
    <x v="7"/>
    <s v="GNR_RES_WTR_PMP_MC-01"/>
    <x v="0"/>
    <x v="14"/>
    <n v="108"/>
    <n v="39420"/>
    <n v="141912"/>
  </r>
  <r>
    <x v="0"/>
    <x v="1"/>
    <x v="1"/>
    <x v="9"/>
    <x v="18"/>
    <s v="SE2A"/>
    <x v="6"/>
    <x v="7"/>
    <s v="GNR_RES_WTR_PMP_MC-01"/>
    <x v="0"/>
    <x v="15"/>
    <n v="108"/>
    <n v="39420"/>
    <n v="141912"/>
  </r>
  <r>
    <x v="0"/>
    <x v="1"/>
    <x v="1"/>
    <x v="9"/>
    <x v="18"/>
    <s v="SE2A"/>
    <x v="6"/>
    <x v="7"/>
    <s v="GNR_RES_WTR_PMP_MC-01"/>
    <x v="0"/>
    <x v="16"/>
    <n v="108"/>
    <n v="39420"/>
    <n v="141912"/>
  </r>
  <r>
    <x v="0"/>
    <x v="1"/>
    <x v="1"/>
    <x v="9"/>
    <x v="18"/>
    <s v="SE2A"/>
    <x v="6"/>
    <x v="7"/>
    <s v="GNR_RES_WTR_PMP_MC-01"/>
    <x v="0"/>
    <x v="17"/>
    <n v="108"/>
    <n v="39420"/>
    <n v="141912"/>
  </r>
  <r>
    <x v="0"/>
    <x v="1"/>
    <x v="1"/>
    <x v="9"/>
    <x v="18"/>
    <s v="SE2A"/>
    <x v="6"/>
    <x v="7"/>
    <s v="GNR_RES_WTR_PMP_MC-01"/>
    <x v="0"/>
    <x v="19"/>
    <n v="108"/>
    <n v="39420"/>
    <n v="141912"/>
  </r>
  <r>
    <x v="0"/>
    <x v="1"/>
    <x v="1"/>
    <x v="9"/>
    <x v="18"/>
    <s v="SE2A"/>
    <x v="6"/>
    <x v="7"/>
    <s v="GNR_RES_WTR_PMP_MC-01"/>
    <x v="0"/>
    <x v="20"/>
    <n v="108"/>
    <n v="39420"/>
    <n v="141912"/>
  </r>
  <r>
    <x v="0"/>
    <x v="1"/>
    <x v="1"/>
    <x v="9"/>
    <x v="18"/>
    <s v="SE2A"/>
    <x v="6"/>
    <x v="7"/>
    <s v="GNR_RES_WTR_PMP_MC-01"/>
    <x v="0"/>
    <x v="21"/>
    <n v="108"/>
    <n v="39420"/>
    <n v="141912"/>
  </r>
  <r>
    <x v="0"/>
    <x v="1"/>
    <x v="1"/>
    <x v="9"/>
    <x v="18"/>
    <s v="SE2A"/>
    <x v="6"/>
    <x v="7"/>
    <s v="GNR_RES_WTR_PMP_MC-01"/>
    <x v="0"/>
    <x v="22"/>
    <n v="108"/>
    <n v="39420"/>
    <n v="141912"/>
  </r>
  <r>
    <x v="0"/>
    <x v="1"/>
    <x v="1"/>
    <x v="9"/>
    <x v="18"/>
    <s v="SE2A"/>
    <x v="6"/>
    <x v="7"/>
    <s v="GNR_RES_WTR_PMP_MC-01"/>
    <x v="0"/>
    <x v="23"/>
    <n v="108"/>
    <n v="39420"/>
    <n v="141912"/>
  </r>
  <r>
    <x v="0"/>
    <x v="1"/>
    <x v="1"/>
    <x v="9"/>
    <x v="18"/>
    <s v="SE2A"/>
    <x v="6"/>
    <x v="4"/>
    <s v="GNR_ROR_WTR"/>
    <x v="0"/>
    <x v="0"/>
    <n v="1689.3205226065099"/>
    <n v="616601.99075137801"/>
    <n v="2219767.1667049602"/>
  </r>
  <r>
    <x v="0"/>
    <x v="1"/>
    <x v="1"/>
    <x v="9"/>
    <x v="18"/>
    <s v="SE2A"/>
    <x v="6"/>
    <x v="4"/>
    <s v="GNR_ROR_WTR"/>
    <x v="0"/>
    <x v="1"/>
    <n v="1689.3205226065099"/>
    <n v="616601.99075137801"/>
    <n v="2219767.1667049602"/>
  </r>
  <r>
    <x v="0"/>
    <x v="1"/>
    <x v="1"/>
    <x v="9"/>
    <x v="18"/>
    <s v="SE2A"/>
    <x v="6"/>
    <x v="4"/>
    <s v="GNR_ROR_WTR"/>
    <x v="0"/>
    <x v="18"/>
    <n v="1689.3205226065099"/>
    <n v="616601.99075137801"/>
    <n v="2219767.1667049602"/>
  </r>
  <r>
    <x v="0"/>
    <x v="1"/>
    <x v="1"/>
    <x v="9"/>
    <x v="18"/>
    <s v="SE2A"/>
    <x v="6"/>
    <x v="4"/>
    <s v="GNR_ROR_WTR"/>
    <x v="0"/>
    <x v="2"/>
    <n v="1689.3205226065099"/>
    <n v="616601.99075137801"/>
    <n v="2219767.1667049602"/>
  </r>
  <r>
    <x v="0"/>
    <x v="1"/>
    <x v="1"/>
    <x v="9"/>
    <x v="18"/>
    <s v="SE2A"/>
    <x v="6"/>
    <x v="4"/>
    <s v="GNR_ROR_WTR"/>
    <x v="0"/>
    <x v="3"/>
    <n v="1689.3205226065099"/>
    <n v="616601.99075137801"/>
    <n v="2219767.1667049602"/>
  </r>
  <r>
    <x v="0"/>
    <x v="1"/>
    <x v="1"/>
    <x v="9"/>
    <x v="18"/>
    <s v="SE2A"/>
    <x v="6"/>
    <x v="4"/>
    <s v="GNR_ROR_WTR"/>
    <x v="0"/>
    <x v="4"/>
    <n v="1689.3205226065099"/>
    <n v="616601.99075137801"/>
    <n v="2219767.1667049602"/>
  </r>
  <r>
    <x v="0"/>
    <x v="1"/>
    <x v="1"/>
    <x v="9"/>
    <x v="18"/>
    <s v="SE2A"/>
    <x v="6"/>
    <x v="4"/>
    <s v="GNR_ROR_WTR"/>
    <x v="0"/>
    <x v="5"/>
    <n v="1689.3205226065099"/>
    <n v="616601.99075137801"/>
    <n v="2219767.1667049602"/>
  </r>
  <r>
    <x v="0"/>
    <x v="1"/>
    <x v="1"/>
    <x v="9"/>
    <x v="18"/>
    <s v="SE2A"/>
    <x v="6"/>
    <x v="4"/>
    <s v="GNR_ROR_WTR"/>
    <x v="0"/>
    <x v="6"/>
    <n v="1689.3205226065099"/>
    <n v="616601.99075137801"/>
    <n v="2219767.1667049602"/>
  </r>
  <r>
    <x v="0"/>
    <x v="1"/>
    <x v="1"/>
    <x v="9"/>
    <x v="18"/>
    <s v="SE2A"/>
    <x v="6"/>
    <x v="4"/>
    <s v="GNR_ROR_WTR"/>
    <x v="0"/>
    <x v="7"/>
    <n v="1689.3205226065099"/>
    <n v="616601.99075137801"/>
    <n v="2219767.1667049602"/>
  </r>
  <r>
    <x v="0"/>
    <x v="1"/>
    <x v="1"/>
    <x v="9"/>
    <x v="18"/>
    <s v="SE2A"/>
    <x v="6"/>
    <x v="4"/>
    <s v="GNR_ROR_WTR"/>
    <x v="0"/>
    <x v="8"/>
    <n v="1689.3205226065099"/>
    <n v="616601.99075137801"/>
    <n v="2219767.1667049602"/>
  </r>
  <r>
    <x v="0"/>
    <x v="1"/>
    <x v="1"/>
    <x v="9"/>
    <x v="18"/>
    <s v="SE2A"/>
    <x v="6"/>
    <x v="4"/>
    <s v="GNR_ROR_WTR"/>
    <x v="0"/>
    <x v="9"/>
    <n v="1689.3205226065099"/>
    <n v="616601.99075137801"/>
    <n v="2219767.1667049602"/>
  </r>
  <r>
    <x v="0"/>
    <x v="1"/>
    <x v="1"/>
    <x v="9"/>
    <x v="18"/>
    <s v="SE2A"/>
    <x v="6"/>
    <x v="4"/>
    <s v="GNR_ROR_WTR"/>
    <x v="0"/>
    <x v="10"/>
    <n v="1689.3205226065099"/>
    <n v="616601.99075137801"/>
    <n v="2219767.1667049602"/>
  </r>
  <r>
    <x v="0"/>
    <x v="1"/>
    <x v="1"/>
    <x v="9"/>
    <x v="18"/>
    <s v="SE2A"/>
    <x v="6"/>
    <x v="4"/>
    <s v="GNR_ROR_WTR"/>
    <x v="0"/>
    <x v="11"/>
    <n v="1689.3205226065099"/>
    <n v="616601.99075137801"/>
    <n v="2219767.1667049602"/>
  </r>
  <r>
    <x v="0"/>
    <x v="1"/>
    <x v="1"/>
    <x v="9"/>
    <x v="18"/>
    <s v="SE2A"/>
    <x v="6"/>
    <x v="4"/>
    <s v="GNR_ROR_WTR"/>
    <x v="0"/>
    <x v="12"/>
    <n v="1689.3205226065099"/>
    <n v="616601.99075137801"/>
    <n v="2219767.1667049602"/>
  </r>
  <r>
    <x v="0"/>
    <x v="1"/>
    <x v="1"/>
    <x v="9"/>
    <x v="18"/>
    <s v="SE2A"/>
    <x v="6"/>
    <x v="4"/>
    <s v="GNR_ROR_WTR"/>
    <x v="0"/>
    <x v="13"/>
    <n v="1689.3205226065099"/>
    <n v="616601.99075137801"/>
    <n v="2219767.1667049602"/>
  </r>
  <r>
    <x v="0"/>
    <x v="1"/>
    <x v="1"/>
    <x v="9"/>
    <x v="18"/>
    <s v="SE2A"/>
    <x v="6"/>
    <x v="4"/>
    <s v="GNR_ROR_WTR"/>
    <x v="0"/>
    <x v="14"/>
    <n v="1689.3205226065099"/>
    <n v="616601.99075137801"/>
    <n v="2219767.1667049602"/>
  </r>
  <r>
    <x v="0"/>
    <x v="1"/>
    <x v="1"/>
    <x v="9"/>
    <x v="18"/>
    <s v="SE2A"/>
    <x v="6"/>
    <x v="4"/>
    <s v="GNR_ROR_WTR"/>
    <x v="0"/>
    <x v="15"/>
    <n v="1689.3205226065099"/>
    <n v="616601.99075137801"/>
    <n v="2219767.1667049602"/>
  </r>
  <r>
    <x v="0"/>
    <x v="1"/>
    <x v="1"/>
    <x v="9"/>
    <x v="18"/>
    <s v="SE2A"/>
    <x v="6"/>
    <x v="4"/>
    <s v="GNR_ROR_WTR"/>
    <x v="0"/>
    <x v="16"/>
    <n v="1689.3205226065099"/>
    <n v="616601.99075137801"/>
    <n v="2219767.1667049602"/>
  </r>
  <r>
    <x v="0"/>
    <x v="1"/>
    <x v="1"/>
    <x v="9"/>
    <x v="18"/>
    <s v="SE2A"/>
    <x v="6"/>
    <x v="4"/>
    <s v="GNR_ROR_WTR"/>
    <x v="0"/>
    <x v="17"/>
    <n v="1689.3205226065099"/>
    <n v="616601.99075137801"/>
    <n v="2219767.1667049602"/>
  </r>
  <r>
    <x v="0"/>
    <x v="1"/>
    <x v="1"/>
    <x v="9"/>
    <x v="18"/>
    <s v="SE2A"/>
    <x v="6"/>
    <x v="4"/>
    <s v="GNR_ROR_WTR"/>
    <x v="0"/>
    <x v="19"/>
    <n v="1689.3205226065099"/>
    <n v="616601.99075137801"/>
    <n v="2219767.1667049602"/>
  </r>
  <r>
    <x v="0"/>
    <x v="1"/>
    <x v="1"/>
    <x v="9"/>
    <x v="18"/>
    <s v="SE2A"/>
    <x v="6"/>
    <x v="4"/>
    <s v="GNR_ROR_WTR"/>
    <x v="0"/>
    <x v="20"/>
    <n v="1689.3205226065099"/>
    <n v="616601.99075137801"/>
    <n v="2219767.1667049602"/>
  </r>
  <r>
    <x v="0"/>
    <x v="1"/>
    <x v="1"/>
    <x v="9"/>
    <x v="18"/>
    <s v="SE2A"/>
    <x v="6"/>
    <x v="4"/>
    <s v="GNR_ROR_WTR"/>
    <x v="0"/>
    <x v="21"/>
    <n v="1689.3205226065099"/>
    <n v="616601.99075137801"/>
    <n v="2219767.1667049602"/>
  </r>
  <r>
    <x v="0"/>
    <x v="1"/>
    <x v="1"/>
    <x v="9"/>
    <x v="18"/>
    <s v="SE2A"/>
    <x v="6"/>
    <x v="4"/>
    <s v="GNR_ROR_WTR"/>
    <x v="0"/>
    <x v="22"/>
    <n v="1689.3205226065099"/>
    <n v="616601.99075137801"/>
    <n v="2219767.1667049602"/>
  </r>
  <r>
    <x v="0"/>
    <x v="1"/>
    <x v="1"/>
    <x v="9"/>
    <x v="18"/>
    <s v="SE2A"/>
    <x v="6"/>
    <x v="4"/>
    <s v="GNR_ROR_WTR"/>
    <x v="0"/>
    <x v="23"/>
    <n v="1689.3205226065099"/>
    <n v="616601.99075137801"/>
    <n v="2219767.1667049602"/>
  </r>
  <r>
    <x v="0"/>
    <x v="1"/>
    <x v="1"/>
    <x v="9"/>
    <x v="18"/>
    <s v="SE2A"/>
    <x v="7"/>
    <x v="5"/>
    <s v="GNR_WT_WIND_ONS"/>
    <x v="0"/>
    <x v="0"/>
    <n v="534.615089012731"/>
    <n v="195134.50748964699"/>
    <n v="702484.22696272796"/>
  </r>
  <r>
    <x v="0"/>
    <x v="1"/>
    <x v="1"/>
    <x v="9"/>
    <x v="18"/>
    <s v="SE2A"/>
    <x v="7"/>
    <x v="5"/>
    <s v="GNR_WT_WIND_ONS"/>
    <x v="0"/>
    <x v="1"/>
    <n v="351.11666531506199"/>
    <n v="128157.58283999799"/>
    <n v="461367.29822399199"/>
  </r>
  <r>
    <x v="0"/>
    <x v="1"/>
    <x v="1"/>
    <x v="9"/>
    <x v="18"/>
    <s v="SE2A"/>
    <x v="7"/>
    <x v="5"/>
    <s v="GNR_WT_WIND_ONS"/>
    <x v="0"/>
    <x v="18"/>
    <n v="345.18832853881901"/>
    <n v="125993.739916669"/>
    <n v="453577.46370000899"/>
  </r>
  <r>
    <x v="0"/>
    <x v="1"/>
    <x v="1"/>
    <x v="9"/>
    <x v="18"/>
    <s v="SE2A"/>
    <x v="7"/>
    <x v="5"/>
    <s v="GNR_WT_WIND_ONS"/>
    <x v="0"/>
    <x v="2"/>
    <n v="260.14419680006102"/>
    <n v="94952.631832022307"/>
    <n v="341829.47459528001"/>
  </r>
  <r>
    <x v="0"/>
    <x v="1"/>
    <x v="1"/>
    <x v="9"/>
    <x v="18"/>
    <s v="SE2A"/>
    <x v="7"/>
    <x v="5"/>
    <s v="GNR_WT_WIND_ONS"/>
    <x v="0"/>
    <x v="3"/>
    <n v="244.968922931397"/>
    <n v="89413.656869960003"/>
    <n v="321889.16473185603"/>
  </r>
  <r>
    <x v="0"/>
    <x v="1"/>
    <x v="1"/>
    <x v="9"/>
    <x v="18"/>
    <s v="SE2A"/>
    <x v="7"/>
    <x v="5"/>
    <s v="GNR_WT_WIND_ONS"/>
    <x v="0"/>
    <x v="4"/>
    <n v="210.90570924613601"/>
    <n v="76980.583874839605"/>
    <n v="277130.10194942303"/>
  </r>
  <r>
    <x v="0"/>
    <x v="1"/>
    <x v="1"/>
    <x v="9"/>
    <x v="18"/>
    <s v="SE2A"/>
    <x v="7"/>
    <x v="5"/>
    <s v="GNR_WT_WIND_ONS"/>
    <x v="0"/>
    <x v="5"/>
    <n v="211.752387138622"/>
    <n v="77289.621305597"/>
    <n v="278242.63670014899"/>
  </r>
  <r>
    <x v="0"/>
    <x v="1"/>
    <x v="1"/>
    <x v="9"/>
    <x v="18"/>
    <s v="SE2A"/>
    <x v="7"/>
    <x v="5"/>
    <s v="GNR_WT_WIND_ONS"/>
    <x v="0"/>
    <x v="6"/>
    <n v="330.93815012454201"/>
    <n v="120792.42479545801"/>
    <n v="434852.72926364897"/>
  </r>
  <r>
    <x v="0"/>
    <x v="1"/>
    <x v="1"/>
    <x v="9"/>
    <x v="18"/>
    <s v="SE2A"/>
    <x v="7"/>
    <x v="5"/>
    <s v="GNR_WT_WIND_ONS"/>
    <x v="0"/>
    <x v="7"/>
    <n v="512.68808624199505"/>
    <n v="187131.15147832801"/>
    <n v="673672.14532198198"/>
  </r>
  <r>
    <x v="0"/>
    <x v="1"/>
    <x v="1"/>
    <x v="9"/>
    <x v="18"/>
    <s v="SE2A"/>
    <x v="7"/>
    <x v="5"/>
    <s v="GNR_WT_WIND_ONS"/>
    <x v="0"/>
    <x v="8"/>
    <n v="689.02683974660704"/>
    <n v="251494.79650751199"/>
    <n v="905381.26742704201"/>
  </r>
  <r>
    <x v="0"/>
    <x v="1"/>
    <x v="1"/>
    <x v="9"/>
    <x v="18"/>
    <s v="SE2A"/>
    <x v="7"/>
    <x v="5"/>
    <s v="GNR_WT_WIND_ONS"/>
    <x v="0"/>
    <x v="9"/>
    <n v="986.86239518211005"/>
    <n v="360204.77424146998"/>
    <n v="1296737.18726929"/>
  </r>
  <r>
    <x v="0"/>
    <x v="1"/>
    <x v="1"/>
    <x v="9"/>
    <x v="18"/>
    <s v="SE2A"/>
    <x v="7"/>
    <x v="5"/>
    <s v="GNR_WT_WIND_ONS"/>
    <x v="0"/>
    <x v="10"/>
    <n v="1431.74531110373"/>
    <n v="522587.03855285997"/>
    <n v="1881313.3387903001"/>
  </r>
  <r>
    <x v="0"/>
    <x v="1"/>
    <x v="1"/>
    <x v="9"/>
    <x v="18"/>
    <s v="SE2A"/>
    <x v="7"/>
    <x v="5"/>
    <s v="GNR_WT_WIND_ONS"/>
    <x v="0"/>
    <x v="11"/>
    <n v="1695.35072774634"/>
    <n v="618803.01562741399"/>
    <n v="2227690.8562586899"/>
  </r>
  <r>
    <x v="0"/>
    <x v="1"/>
    <x v="1"/>
    <x v="9"/>
    <x v="18"/>
    <s v="SE2A"/>
    <x v="7"/>
    <x v="5"/>
    <s v="GNR_WT_WIND_ONS"/>
    <x v="0"/>
    <x v="12"/>
    <n v="1778.5249676124999"/>
    <n v="649161.61317856098"/>
    <n v="2336981.8074428202"/>
  </r>
  <r>
    <x v="0"/>
    <x v="1"/>
    <x v="1"/>
    <x v="9"/>
    <x v="18"/>
    <s v="SE2A"/>
    <x v="7"/>
    <x v="5"/>
    <s v="GNR_WT_WIND_ONS"/>
    <x v="0"/>
    <x v="13"/>
    <n v="1889.4558104304499"/>
    <n v="689651.37080711499"/>
    <n v="2482744.93490561"/>
  </r>
  <r>
    <x v="0"/>
    <x v="1"/>
    <x v="1"/>
    <x v="9"/>
    <x v="18"/>
    <s v="SE2A"/>
    <x v="7"/>
    <x v="5"/>
    <s v="GNR_WT_WIND_ONS"/>
    <x v="0"/>
    <x v="14"/>
    <n v="2071.2129161535599"/>
    <n v="755992.71439605101"/>
    <n v="2721573.7718257802"/>
  </r>
  <r>
    <x v="0"/>
    <x v="1"/>
    <x v="1"/>
    <x v="9"/>
    <x v="18"/>
    <s v="SE2A"/>
    <x v="7"/>
    <x v="5"/>
    <s v="GNR_WT_WIND_ONS"/>
    <x v="0"/>
    <x v="15"/>
    <n v="2125.22084480686"/>
    <n v="775705.60835450306"/>
    <n v="2792540.1900762101"/>
  </r>
  <r>
    <x v="0"/>
    <x v="1"/>
    <x v="1"/>
    <x v="9"/>
    <x v="18"/>
    <s v="SE2A"/>
    <x v="7"/>
    <x v="5"/>
    <s v="GNR_WT_WIND_ONS"/>
    <x v="0"/>
    <x v="16"/>
    <n v="1775.78758435857"/>
    <n v="648162.46829087695"/>
    <n v="2333384.8858471601"/>
  </r>
  <r>
    <x v="0"/>
    <x v="1"/>
    <x v="1"/>
    <x v="9"/>
    <x v="18"/>
    <s v="SE2A"/>
    <x v="7"/>
    <x v="5"/>
    <s v="GNR_WT_WIND_ONS"/>
    <x v="0"/>
    <x v="17"/>
    <n v="1725.5608192003799"/>
    <n v="629829.69900813897"/>
    <n v="2267386.9164292999"/>
  </r>
  <r>
    <x v="0"/>
    <x v="1"/>
    <x v="1"/>
    <x v="9"/>
    <x v="18"/>
    <s v="SE2A"/>
    <x v="7"/>
    <x v="5"/>
    <s v="GNR_WT_WIND_ONS"/>
    <x v="0"/>
    <x v="19"/>
    <n v="1636.99452597096"/>
    <n v="597503.00197940203"/>
    <n v="2151010.8071258501"/>
  </r>
  <r>
    <x v="0"/>
    <x v="1"/>
    <x v="1"/>
    <x v="9"/>
    <x v="18"/>
    <s v="SE2A"/>
    <x v="7"/>
    <x v="5"/>
    <s v="GNR_WT_WIND_ONS"/>
    <x v="0"/>
    <x v="20"/>
    <n v="1598.215396001"/>
    <n v="583348.61954036495"/>
    <n v="2100055.03034531"/>
  </r>
  <r>
    <x v="0"/>
    <x v="1"/>
    <x v="1"/>
    <x v="9"/>
    <x v="18"/>
    <s v="SE2A"/>
    <x v="7"/>
    <x v="5"/>
    <s v="GNR_WT_WIND_ONS"/>
    <x v="0"/>
    <x v="21"/>
    <n v="1441.0202930976"/>
    <n v="525972.40698062303"/>
    <n v="1893500.6651302399"/>
  </r>
  <r>
    <x v="0"/>
    <x v="1"/>
    <x v="1"/>
    <x v="9"/>
    <x v="18"/>
    <s v="SE2A"/>
    <x v="7"/>
    <x v="5"/>
    <s v="GNR_WT_WIND_ONS"/>
    <x v="0"/>
    <x v="22"/>
    <n v="1337.82380145048"/>
    <n v="488305.68752942397"/>
    <n v="1757900.4751059299"/>
  </r>
  <r>
    <x v="0"/>
    <x v="1"/>
    <x v="1"/>
    <x v="9"/>
    <x v="18"/>
    <s v="SE2A"/>
    <x v="7"/>
    <x v="5"/>
    <s v="GNR_WT_WIND_ONS"/>
    <x v="0"/>
    <x v="23"/>
    <n v="1088.68297151553"/>
    <n v="397369.28460316802"/>
    <n v="1430529.4245714"/>
  </r>
  <r>
    <x v="0"/>
    <x v="1"/>
    <x v="1"/>
    <x v="9"/>
    <x v="18"/>
    <s v="SE2_EL"/>
    <x v="2"/>
    <x v="2"/>
    <s v="GBPR_MUNIWASTE_24"/>
    <x v="0"/>
    <x v="5"/>
    <n v="41.725879512812497"/>
    <n v="15229.9460221766"/>
    <n v="54827.805679835597"/>
  </r>
  <r>
    <x v="0"/>
    <x v="1"/>
    <x v="1"/>
    <x v="9"/>
    <x v="18"/>
    <s v="SE2_EL"/>
    <x v="2"/>
    <x v="2"/>
    <s v="GBPR_MUNIWASTE_24"/>
    <x v="0"/>
    <x v="6"/>
    <n v="41.725879512812497"/>
    <n v="15229.9460221766"/>
    <n v="54827.805679835597"/>
  </r>
  <r>
    <x v="0"/>
    <x v="1"/>
    <x v="1"/>
    <x v="9"/>
    <x v="18"/>
    <s v="SE2_EL"/>
    <x v="2"/>
    <x v="2"/>
    <s v="GBPR_MUNIWASTE_24"/>
    <x v="0"/>
    <x v="7"/>
    <n v="41.725879512812497"/>
    <n v="15229.9460221766"/>
    <n v="54827.805679835597"/>
  </r>
  <r>
    <x v="0"/>
    <x v="1"/>
    <x v="1"/>
    <x v="9"/>
    <x v="18"/>
    <s v="SE2_EL"/>
    <x v="2"/>
    <x v="2"/>
    <s v="GBPR_MUNIWASTE_24"/>
    <x v="0"/>
    <x v="8"/>
    <n v="41.725879512812497"/>
    <n v="15229.9460221766"/>
    <n v="54827.805679835597"/>
  </r>
  <r>
    <x v="0"/>
    <x v="1"/>
    <x v="1"/>
    <x v="9"/>
    <x v="18"/>
    <s v="SE2_EL"/>
    <x v="2"/>
    <x v="2"/>
    <s v="GBPR_MUNIWASTE_24"/>
    <x v="0"/>
    <x v="9"/>
    <n v="41.725879512812497"/>
    <n v="15229.9460221766"/>
    <n v="54827.805679835597"/>
  </r>
  <r>
    <x v="0"/>
    <x v="1"/>
    <x v="1"/>
    <x v="9"/>
    <x v="18"/>
    <s v="SE2_EL"/>
    <x v="2"/>
    <x v="2"/>
    <s v="GBPR_MUNIWASTE_24"/>
    <x v="0"/>
    <x v="10"/>
    <n v="41.725879512812497"/>
    <n v="15229.9460221766"/>
    <n v="54827.805679835597"/>
  </r>
  <r>
    <x v="0"/>
    <x v="1"/>
    <x v="1"/>
    <x v="9"/>
    <x v="18"/>
    <s v="SE2_EL"/>
    <x v="2"/>
    <x v="2"/>
    <s v="GBPR_MUNIWASTE_24"/>
    <x v="0"/>
    <x v="11"/>
    <n v="41.725879512812497"/>
    <n v="15229.9460221766"/>
    <n v="54827.805679835597"/>
  </r>
  <r>
    <x v="0"/>
    <x v="1"/>
    <x v="1"/>
    <x v="9"/>
    <x v="18"/>
    <s v="SE2_EL"/>
    <x v="2"/>
    <x v="2"/>
    <s v="GBPR_MUNIWASTE_24"/>
    <x v="0"/>
    <x v="15"/>
    <n v="41.725879512812497"/>
    <n v="15229.9460221766"/>
    <n v="54827.805679835597"/>
  </r>
  <r>
    <x v="0"/>
    <x v="1"/>
    <x v="1"/>
    <x v="9"/>
    <x v="18"/>
    <s v="SE2_EL"/>
    <x v="10"/>
    <x v="0"/>
    <s v="GEXT_WOODWASTE_HORNEBORG"/>
    <x v="0"/>
    <x v="0"/>
    <n v="33.884238178634"/>
    <n v="12367.7469352014"/>
    <n v="44523.888966724997"/>
  </r>
  <r>
    <x v="0"/>
    <x v="1"/>
    <x v="1"/>
    <x v="9"/>
    <x v="18"/>
    <s v="SE2_EL"/>
    <x v="10"/>
    <x v="0"/>
    <s v="GEXT_WOODWASTE_HORNEBORG"/>
    <x v="0"/>
    <x v="1"/>
    <n v="33.884238178634"/>
    <n v="12367.7469352014"/>
    <n v="44523.888966724997"/>
  </r>
  <r>
    <x v="0"/>
    <x v="1"/>
    <x v="1"/>
    <x v="9"/>
    <x v="18"/>
    <s v="SE2_EL"/>
    <x v="10"/>
    <x v="0"/>
    <s v="GEXT_WOODWASTE_HORNEBORG"/>
    <x v="0"/>
    <x v="18"/>
    <n v="33.884238178634"/>
    <n v="12367.7469352014"/>
    <n v="44523.888966724997"/>
  </r>
  <r>
    <x v="0"/>
    <x v="1"/>
    <x v="1"/>
    <x v="9"/>
    <x v="18"/>
    <s v="SE2_EL"/>
    <x v="10"/>
    <x v="0"/>
    <s v="GEXT_WOODWASTE_HORNEBORG"/>
    <x v="0"/>
    <x v="2"/>
    <n v="33.884238178634"/>
    <n v="12367.7469352014"/>
    <n v="44523.888966724997"/>
  </r>
  <r>
    <x v="0"/>
    <x v="1"/>
    <x v="1"/>
    <x v="9"/>
    <x v="18"/>
    <s v="SE2_EL"/>
    <x v="10"/>
    <x v="0"/>
    <s v="GEXT_WOODWASTE_HORNEBORG"/>
    <x v="0"/>
    <x v="3"/>
    <n v="33.884238178634"/>
    <n v="12367.7469352014"/>
    <n v="44523.888966724997"/>
  </r>
  <r>
    <x v="0"/>
    <x v="1"/>
    <x v="1"/>
    <x v="9"/>
    <x v="18"/>
    <s v="SE2_EL"/>
    <x v="10"/>
    <x v="0"/>
    <s v="GEXT_WOODWASTE_HORNEBORG"/>
    <x v="0"/>
    <x v="4"/>
    <n v="33.884238178634"/>
    <n v="12367.7469352014"/>
    <n v="44523.888966724997"/>
  </r>
  <r>
    <x v="0"/>
    <x v="1"/>
    <x v="1"/>
    <x v="9"/>
    <x v="18"/>
    <s v="SE2_EL"/>
    <x v="10"/>
    <x v="0"/>
    <s v="GEXT_WOODWASTE_HORNEBORG"/>
    <x v="0"/>
    <x v="5"/>
    <n v="33.884238178634"/>
    <n v="12367.7469352014"/>
    <n v="44523.888966724997"/>
  </r>
  <r>
    <x v="0"/>
    <x v="1"/>
    <x v="1"/>
    <x v="9"/>
    <x v="18"/>
    <s v="SE2_EL"/>
    <x v="10"/>
    <x v="0"/>
    <s v="GEXT_WOODWASTE_HORNEBORG"/>
    <x v="0"/>
    <x v="6"/>
    <n v="33.884238178634"/>
    <n v="12367.7469352014"/>
    <n v="44523.888966724997"/>
  </r>
  <r>
    <x v="0"/>
    <x v="1"/>
    <x v="1"/>
    <x v="9"/>
    <x v="18"/>
    <s v="SE2_EL"/>
    <x v="10"/>
    <x v="0"/>
    <s v="GEXT_WOODWASTE_HORNEBORG"/>
    <x v="0"/>
    <x v="7"/>
    <n v="33.884238178634"/>
    <n v="12367.7469352014"/>
    <n v="44523.888966724997"/>
  </r>
  <r>
    <x v="0"/>
    <x v="1"/>
    <x v="1"/>
    <x v="9"/>
    <x v="18"/>
    <s v="SE2_EL"/>
    <x v="10"/>
    <x v="0"/>
    <s v="GEXT_WOODWASTE_HORNEBORG"/>
    <x v="0"/>
    <x v="8"/>
    <n v="33.884238178634"/>
    <n v="12367.7469352014"/>
    <n v="44523.888966724997"/>
  </r>
  <r>
    <x v="0"/>
    <x v="1"/>
    <x v="1"/>
    <x v="9"/>
    <x v="18"/>
    <s v="SE2_EL"/>
    <x v="10"/>
    <x v="0"/>
    <s v="GEXT_WOODWASTE_HORNEBORG"/>
    <x v="0"/>
    <x v="9"/>
    <n v="33.884238178634"/>
    <n v="12367.7469352014"/>
    <n v="44523.888966724997"/>
  </r>
  <r>
    <x v="0"/>
    <x v="1"/>
    <x v="1"/>
    <x v="9"/>
    <x v="18"/>
    <s v="SE2_EL"/>
    <x v="10"/>
    <x v="0"/>
    <s v="GEXT_WOODWASTE_HORNEBORG"/>
    <x v="0"/>
    <x v="10"/>
    <n v="33.884238178634"/>
    <n v="12367.7469352014"/>
    <n v="44523.888966724997"/>
  </r>
  <r>
    <x v="0"/>
    <x v="1"/>
    <x v="1"/>
    <x v="9"/>
    <x v="18"/>
    <s v="SE2_EL"/>
    <x v="10"/>
    <x v="0"/>
    <s v="GEXT_WOODWASTE_HORNEBORG"/>
    <x v="0"/>
    <x v="11"/>
    <n v="33.884238178634"/>
    <n v="12367.7469352014"/>
    <n v="44523.888966724997"/>
  </r>
  <r>
    <x v="0"/>
    <x v="1"/>
    <x v="1"/>
    <x v="9"/>
    <x v="18"/>
    <s v="SE2_EL"/>
    <x v="10"/>
    <x v="0"/>
    <s v="GEXT_WOODWASTE_HORNEBORG"/>
    <x v="0"/>
    <x v="12"/>
    <n v="33.884238178634"/>
    <n v="12367.7469352014"/>
    <n v="44523.888966724997"/>
  </r>
  <r>
    <x v="0"/>
    <x v="1"/>
    <x v="1"/>
    <x v="9"/>
    <x v="18"/>
    <s v="SE2_EL"/>
    <x v="10"/>
    <x v="0"/>
    <s v="GEXT_WOODWASTE_HORNEBORG"/>
    <x v="0"/>
    <x v="13"/>
    <n v="33.884238178634"/>
    <n v="12367.7469352014"/>
    <n v="44523.888966724997"/>
  </r>
  <r>
    <x v="0"/>
    <x v="1"/>
    <x v="1"/>
    <x v="9"/>
    <x v="18"/>
    <s v="SE2_EL"/>
    <x v="10"/>
    <x v="0"/>
    <s v="GEXT_WOODWASTE_HORNEBORG"/>
    <x v="0"/>
    <x v="14"/>
    <n v="33.884238178634"/>
    <n v="12367.7469352014"/>
    <n v="44523.888966724997"/>
  </r>
  <r>
    <x v="0"/>
    <x v="1"/>
    <x v="1"/>
    <x v="9"/>
    <x v="18"/>
    <s v="SE2_EL"/>
    <x v="10"/>
    <x v="0"/>
    <s v="GEXT_WOODWASTE_HORNEBORG"/>
    <x v="0"/>
    <x v="15"/>
    <n v="33.884238178634"/>
    <n v="12367.7469352014"/>
    <n v="44523.888966724997"/>
  </r>
  <r>
    <x v="0"/>
    <x v="1"/>
    <x v="1"/>
    <x v="9"/>
    <x v="18"/>
    <s v="SE2_EL"/>
    <x v="10"/>
    <x v="0"/>
    <s v="GEXT_WOODWASTE_HORNEBORG"/>
    <x v="0"/>
    <x v="16"/>
    <n v="33.884238178634"/>
    <n v="12367.7469352014"/>
    <n v="44523.888966724997"/>
  </r>
  <r>
    <x v="0"/>
    <x v="1"/>
    <x v="1"/>
    <x v="9"/>
    <x v="18"/>
    <s v="SE2_EL"/>
    <x v="10"/>
    <x v="0"/>
    <s v="GEXT_WOODWASTE_HORNEBORG"/>
    <x v="0"/>
    <x v="17"/>
    <n v="33.884238178634"/>
    <n v="12367.7469352014"/>
    <n v="44523.888966724997"/>
  </r>
  <r>
    <x v="0"/>
    <x v="1"/>
    <x v="1"/>
    <x v="9"/>
    <x v="18"/>
    <s v="SE2_EL"/>
    <x v="10"/>
    <x v="0"/>
    <s v="GEXT_WOODWASTE_HORNEBORG"/>
    <x v="0"/>
    <x v="19"/>
    <n v="33.884238178634"/>
    <n v="12367.7469352014"/>
    <n v="44523.888966724997"/>
  </r>
  <r>
    <x v="0"/>
    <x v="1"/>
    <x v="1"/>
    <x v="9"/>
    <x v="18"/>
    <s v="SE2_EL"/>
    <x v="10"/>
    <x v="0"/>
    <s v="GEXT_WOODWASTE_HORNEBORG"/>
    <x v="0"/>
    <x v="20"/>
    <n v="33.884238178634"/>
    <n v="12367.7469352014"/>
    <n v="44523.888966724997"/>
  </r>
  <r>
    <x v="0"/>
    <x v="1"/>
    <x v="1"/>
    <x v="9"/>
    <x v="18"/>
    <s v="SE2_EL"/>
    <x v="10"/>
    <x v="0"/>
    <s v="GEXT_WOODWASTE_HORNEBORG"/>
    <x v="0"/>
    <x v="21"/>
    <n v="33.884238178634"/>
    <n v="12367.7469352014"/>
    <n v="44523.888966724997"/>
  </r>
  <r>
    <x v="0"/>
    <x v="1"/>
    <x v="1"/>
    <x v="9"/>
    <x v="18"/>
    <s v="SE2_EL"/>
    <x v="10"/>
    <x v="0"/>
    <s v="GEXT_WOODWASTE_HORNEBORG"/>
    <x v="0"/>
    <x v="22"/>
    <n v="33.884238178634"/>
    <n v="12367.7469352014"/>
    <n v="44523.888966724997"/>
  </r>
  <r>
    <x v="0"/>
    <x v="1"/>
    <x v="1"/>
    <x v="9"/>
    <x v="18"/>
    <s v="SE2_EL"/>
    <x v="10"/>
    <x v="0"/>
    <s v="GEXT_WOODWASTE_HORNEBORG"/>
    <x v="0"/>
    <x v="23"/>
    <n v="33.884238178634"/>
    <n v="12367.7469352014"/>
    <n v="44523.888966724997"/>
  </r>
  <r>
    <x v="0"/>
    <x v="1"/>
    <x v="1"/>
    <x v="9"/>
    <x v="18"/>
    <s v="SE2_OTHER"/>
    <x v="2"/>
    <x v="2"/>
    <s v="GBPR_MUNIWASTE_24"/>
    <x v="0"/>
    <x v="5"/>
    <n v="3.1627952466180802"/>
    <n v="1154.4202650156001"/>
    <n v="4155.9129540561598"/>
  </r>
  <r>
    <x v="0"/>
    <x v="1"/>
    <x v="1"/>
    <x v="9"/>
    <x v="18"/>
    <s v="SE2_OTHER"/>
    <x v="2"/>
    <x v="2"/>
    <s v="GBPR_MUNIWASTE_24"/>
    <x v="0"/>
    <x v="6"/>
    <n v="3.1627952466180802"/>
    <n v="1154.4202650156001"/>
    <n v="4155.9129540561598"/>
  </r>
  <r>
    <x v="0"/>
    <x v="1"/>
    <x v="1"/>
    <x v="9"/>
    <x v="18"/>
    <s v="SE2_OTHER"/>
    <x v="2"/>
    <x v="2"/>
    <s v="GBPR_MUNIWASTE_24"/>
    <x v="0"/>
    <x v="7"/>
    <n v="3.1627952466180802"/>
    <n v="1154.4202650156001"/>
    <n v="4155.9129540561598"/>
  </r>
  <r>
    <x v="0"/>
    <x v="1"/>
    <x v="1"/>
    <x v="9"/>
    <x v="18"/>
    <s v="SE2_OTHER"/>
    <x v="2"/>
    <x v="2"/>
    <s v="GBPR_MUNIWASTE_24"/>
    <x v="0"/>
    <x v="8"/>
    <n v="3.1627952466180802"/>
    <n v="1154.4202650156001"/>
    <n v="4155.9129540561598"/>
  </r>
  <r>
    <x v="0"/>
    <x v="1"/>
    <x v="1"/>
    <x v="9"/>
    <x v="18"/>
    <s v="SE2_OTHER"/>
    <x v="2"/>
    <x v="2"/>
    <s v="GBPR_MUNIWASTE_24"/>
    <x v="0"/>
    <x v="9"/>
    <n v="3.1627952466180802"/>
    <n v="1154.4202650156001"/>
    <n v="4155.9129540561598"/>
  </r>
  <r>
    <x v="0"/>
    <x v="1"/>
    <x v="1"/>
    <x v="9"/>
    <x v="18"/>
    <s v="SE2_OTHER"/>
    <x v="2"/>
    <x v="2"/>
    <s v="GBPR_MUNIWASTE_24"/>
    <x v="0"/>
    <x v="10"/>
    <n v="3.1627952466180802"/>
    <n v="1154.4202650156001"/>
    <n v="4155.9129540561598"/>
  </r>
  <r>
    <x v="0"/>
    <x v="1"/>
    <x v="1"/>
    <x v="9"/>
    <x v="18"/>
    <s v="SE2_OTHER"/>
    <x v="2"/>
    <x v="2"/>
    <s v="GBPR_MUNIWASTE_24"/>
    <x v="0"/>
    <x v="11"/>
    <n v="3.1627952466180802"/>
    <n v="1154.4202650156001"/>
    <n v="4155.9129540561598"/>
  </r>
  <r>
    <x v="0"/>
    <x v="1"/>
    <x v="1"/>
    <x v="9"/>
    <x v="18"/>
    <s v="SE2_OTHER"/>
    <x v="2"/>
    <x v="2"/>
    <s v="GBPR_MUNIWASTE_24"/>
    <x v="0"/>
    <x v="15"/>
    <n v="3.1627952466180802"/>
    <n v="1154.4202650156001"/>
    <n v="4155.9129540561598"/>
  </r>
  <r>
    <x v="0"/>
    <x v="1"/>
    <x v="1"/>
    <x v="9"/>
    <x v="18"/>
    <s v="SE2_OTHER"/>
    <x v="10"/>
    <x v="2"/>
    <s v="GBPR_WOODWASTE_36"/>
    <x v="0"/>
    <x v="7"/>
    <n v="43.576919441298401"/>
    <n v="15905.575596073901"/>
    <n v="57260.072145866099"/>
  </r>
  <r>
    <x v="0"/>
    <x v="1"/>
    <x v="1"/>
    <x v="9"/>
    <x v="19"/>
    <s v="SE3A"/>
    <x v="14"/>
    <x v="6"/>
    <s v="GCND_NUCLEAR"/>
    <x v="0"/>
    <x v="0"/>
    <n v="5847.4093973959898"/>
    <n v="2134304.43004954"/>
    <n v="7683495.9481783304"/>
  </r>
  <r>
    <x v="0"/>
    <x v="1"/>
    <x v="1"/>
    <x v="9"/>
    <x v="19"/>
    <s v="SE3A"/>
    <x v="14"/>
    <x v="6"/>
    <s v="GCND_NUCLEAR"/>
    <x v="0"/>
    <x v="1"/>
    <n v="5847.4093973959898"/>
    <n v="2134304.43004954"/>
    <n v="7683495.9481783304"/>
  </r>
  <r>
    <x v="0"/>
    <x v="1"/>
    <x v="1"/>
    <x v="9"/>
    <x v="19"/>
    <s v="SE3A"/>
    <x v="14"/>
    <x v="6"/>
    <s v="GCND_NUCLEAR"/>
    <x v="0"/>
    <x v="18"/>
    <n v="5847.4093973959898"/>
    <n v="2134304.43004954"/>
    <n v="7683495.9481783304"/>
  </r>
  <r>
    <x v="0"/>
    <x v="1"/>
    <x v="1"/>
    <x v="9"/>
    <x v="19"/>
    <s v="SE3A"/>
    <x v="14"/>
    <x v="6"/>
    <s v="GCND_NUCLEAR"/>
    <x v="0"/>
    <x v="2"/>
    <n v="5847.4093973959898"/>
    <n v="2134304.43004954"/>
    <n v="7683495.9481783304"/>
  </r>
  <r>
    <x v="0"/>
    <x v="1"/>
    <x v="1"/>
    <x v="9"/>
    <x v="19"/>
    <s v="SE3A"/>
    <x v="14"/>
    <x v="6"/>
    <s v="GCND_NUCLEAR"/>
    <x v="0"/>
    <x v="3"/>
    <n v="5847.4093973959898"/>
    <n v="2134304.43004954"/>
    <n v="7683495.9481783304"/>
  </r>
  <r>
    <x v="0"/>
    <x v="1"/>
    <x v="1"/>
    <x v="9"/>
    <x v="19"/>
    <s v="SE3A"/>
    <x v="14"/>
    <x v="6"/>
    <s v="GCND_NUCLEAR"/>
    <x v="0"/>
    <x v="4"/>
    <n v="5847.4093973959898"/>
    <n v="2134304.43004954"/>
    <n v="7683495.9481783304"/>
  </r>
  <r>
    <x v="0"/>
    <x v="1"/>
    <x v="1"/>
    <x v="9"/>
    <x v="19"/>
    <s v="SE3A"/>
    <x v="14"/>
    <x v="6"/>
    <s v="GCND_NUCLEAR"/>
    <x v="0"/>
    <x v="5"/>
    <n v="5847.4093973959898"/>
    <n v="2134304.43004954"/>
    <n v="7683495.9481783304"/>
  </r>
  <r>
    <x v="0"/>
    <x v="1"/>
    <x v="1"/>
    <x v="9"/>
    <x v="19"/>
    <s v="SE3A"/>
    <x v="14"/>
    <x v="6"/>
    <s v="GCND_NUCLEAR"/>
    <x v="0"/>
    <x v="6"/>
    <n v="5847.4093973959898"/>
    <n v="2134304.43004954"/>
    <n v="7683495.9481783304"/>
  </r>
  <r>
    <x v="0"/>
    <x v="1"/>
    <x v="1"/>
    <x v="9"/>
    <x v="19"/>
    <s v="SE3A"/>
    <x v="14"/>
    <x v="6"/>
    <s v="GCND_NUCLEAR"/>
    <x v="0"/>
    <x v="7"/>
    <n v="5847.4093973959898"/>
    <n v="2134304.43004954"/>
    <n v="7683495.9481783304"/>
  </r>
  <r>
    <x v="0"/>
    <x v="1"/>
    <x v="1"/>
    <x v="9"/>
    <x v="19"/>
    <s v="SE3A"/>
    <x v="14"/>
    <x v="6"/>
    <s v="GCND_NUCLEAR"/>
    <x v="0"/>
    <x v="8"/>
    <n v="5847.4093973959898"/>
    <n v="2134304.43004954"/>
    <n v="7683495.9481783304"/>
  </r>
  <r>
    <x v="0"/>
    <x v="1"/>
    <x v="1"/>
    <x v="9"/>
    <x v="19"/>
    <s v="SE3A"/>
    <x v="14"/>
    <x v="6"/>
    <s v="GCND_NUCLEAR"/>
    <x v="0"/>
    <x v="9"/>
    <n v="5847.4093973959898"/>
    <n v="2134304.43004954"/>
    <n v="7683495.9481783304"/>
  </r>
  <r>
    <x v="0"/>
    <x v="1"/>
    <x v="1"/>
    <x v="9"/>
    <x v="19"/>
    <s v="SE3A"/>
    <x v="14"/>
    <x v="6"/>
    <s v="GCND_NUCLEAR"/>
    <x v="0"/>
    <x v="10"/>
    <n v="5847.4093973959898"/>
    <n v="2134304.43004954"/>
    <n v="7683495.9481783304"/>
  </r>
  <r>
    <x v="0"/>
    <x v="1"/>
    <x v="1"/>
    <x v="9"/>
    <x v="19"/>
    <s v="SE3A"/>
    <x v="14"/>
    <x v="6"/>
    <s v="GCND_NUCLEAR"/>
    <x v="0"/>
    <x v="11"/>
    <n v="5847.4093973959898"/>
    <n v="2134304.43004954"/>
    <n v="7683495.9481783304"/>
  </r>
  <r>
    <x v="0"/>
    <x v="1"/>
    <x v="1"/>
    <x v="9"/>
    <x v="19"/>
    <s v="SE3A"/>
    <x v="14"/>
    <x v="6"/>
    <s v="GCND_NUCLEAR"/>
    <x v="0"/>
    <x v="12"/>
    <n v="5847.4093973959898"/>
    <n v="2134304.43004954"/>
    <n v="7683495.9481783304"/>
  </r>
  <r>
    <x v="0"/>
    <x v="1"/>
    <x v="1"/>
    <x v="9"/>
    <x v="19"/>
    <s v="SE3A"/>
    <x v="14"/>
    <x v="6"/>
    <s v="GCND_NUCLEAR"/>
    <x v="0"/>
    <x v="13"/>
    <n v="5847.4093973959898"/>
    <n v="2134304.43004954"/>
    <n v="7683495.9481783304"/>
  </r>
  <r>
    <x v="0"/>
    <x v="1"/>
    <x v="1"/>
    <x v="9"/>
    <x v="19"/>
    <s v="SE3A"/>
    <x v="14"/>
    <x v="6"/>
    <s v="GCND_NUCLEAR"/>
    <x v="0"/>
    <x v="14"/>
    <n v="5847.4093973959898"/>
    <n v="2134304.43004954"/>
    <n v="7683495.9481783304"/>
  </r>
  <r>
    <x v="0"/>
    <x v="1"/>
    <x v="1"/>
    <x v="9"/>
    <x v="19"/>
    <s v="SE3A"/>
    <x v="14"/>
    <x v="6"/>
    <s v="GCND_NUCLEAR"/>
    <x v="0"/>
    <x v="15"/>
    <n v="5847.4093973959898"/>
    <n v="2134304.43004954"/>
    <n v="7683495.9481783304"/>
  </r>
  <r>
    <x v="0"/>
    <x v="1"/>
    <x v="1"/>
    <x v="9"/>
    <x v="19"/>
    <s v="SE3A"/>
    <x v="14"/>
    <x v="6"/>
    <s v="GCND_NUCLEAR"/>
    <x v="0"/>
    <x v="16"/>
    <n v="5847.4093973959898"/>
    <n v="2134304.43004954"/>
    <n v="7683495.9481783304"/>
  </r>
  <r>
    <x v="0"/>
    <x v="1"/>
    <x v="1"/>
    <x v="9"/>
    <x v="19"/>
    <s v="SE3A"/>
    <x v="14"/>
    <x v="6"/>
    <s v="GCND_NUCLEAR"/>
    <x v="0"/>
    <x v="17"/>
    <n v="5847.4093973959898"/>
    <n v="2134304.43004954"/>
    <n v="7683495.9481783304"/>
  </r>
  <r>
    <x v="0"/>
    <x v="1"/>
    <x v="1"/>
    <x v="9"/>
    <x v="19"/>
    <s v="SE3A"/>
    <x v="14"/>
    <x v="6"/>
    <s v="GCND_NUCLEAR"/>
    <x v="0"/>
    <x v="19"/>
    <n v="5847.4093973959898"/>
    <n v="2134304.43004954"/>
    <n v="7683495.9481783304"/>
  </r>
  <r>
    <x v="0"/>
    <x v="1"/>
    <x v="1"/>
    <x v="9"/>
    <x v="19"/>
    <s v="SE3A"/>
    <x v="14"/>
    <x v="6"/>
    <s v="GCND_NUCLEAR"/>
    <x v="0"/>
    <x v="20"/>
    <n v="5847.4093973959898"/>
    <n v="2134304.43004954"/>
    <n v="7683495.9481783304"/>
  </r>
  <r>
    <x v="0"/>
    <x v="1"/>
    <x v="1"/>
    <x v="9"/>
    <x v="19"/>
    <s v="SE3A"/>
    <x v="14"/>
    <x v="6"/>
    <s v="GCND_NUCLEAR"/>
    <x v="0"/>
    <x v="21"/>
    <n v="5847.4093973959898"/>
    <n v="2134304.43004954"/>
    <n v="7683495.9481783304"/>
  </r>
  <r>
    <x v="0"/>
    <x v="1"/>
    <x v="1"/>
    <x v="9"/>
    <x v="19"/>
    <s v="SE3A"/>
    <x v="14"/>
    <x v="6"/>
    <s v="GCND_NUCLEAR"/>
    <x v="0"/>
    <x v="22"/>
    <n v="5847.4093973959898"/>
    <n v="2134304.43004954"/>
    <n v="7683495.9481783304"/>
  </r>
  <r>
    <x v="0"/>
    <x v="1"/>
    <x v="1"/>
    <x v="9"/>
    <x v="19"/>
    <s v="SE3A"/>
    <x v="14"/>
    <x v="6"/>
    <s v="GCND_NUCLEAR"/>
    <x v="0"/>
    <x v="23"/>
    <n v="5847.4093973959898"/>
    <n v="2134304.43004954"/>
    <n v="7683495.9481783304"/>
  </r>
  <r>
    <x v="0"/>
    <x v="1"/>
    <x v="1"/>
    <x v="9"/>
    <x v="19"/>
    <s v="SE3A"/>
    <x v="6"/>
    <x v="7"/>
    <s v="GNR_RES_WTR_NOPMP_MC-01"/>
    <x v="0"/>
    <x v="0"/>
    <n v="131.6"/>
    <n v="48034"/>
    <n v="172922.4"/>
  </r>
  <r>
    <x v="0"/>
    <x v="1"/>
    <x v="1"/>
    <x v="9"/>
    <x v="19"/>
    <s v="SE3A"/>
    <x v="6"/>
    <x v="7"/>
    <s v="GNR_RES_WTR_NOPMP_MC-01"/>
    <x v="0"/>
    <x v="1"/>
    <n v="131.6"/>
    <n v="48034"/>
    <n v="172922.4"/>
  </r>
  <r>
    <x v="0"/>
    <x v="1"/>
    <x v="1"/>
    <x v="9"/>
    <x v="19"/>
    <s v="SE3A"/>
    <x v="6"/>
    <x v="7"/>
    <s v="GNR_RES_WTR_NOPMP_MC-01"/>
    <x v="0"/>
    <x v="18"/>
    <n v="131.6"/>
    <n v="48034"/>
    <n v="172922.4"/>
  </r>
  <r>
    <x v="0"/>
    <x v="1"/>
    <x v="1"/>
    <x v="9"/>
    <x v="19"/>
    <s v="SE3A"/>
    <x v="6"/>
    <x v="7"/>
    <s v="GNR_RES_WTR_NOPMP_MC-01"/>
    <x v="0"/>
    <x v="2"/>
    <n v="131.6"/>
    <n v="48034"/>
    <n v="172922.4"/>
  </r>
  <r>
    <x v="0"/>
    <x v="1"/>
    <x v="1"/>
    <x v="9"/>
    <x v="19"/>
    <s v="SE3A"/>
    <x v="6"/>
    <x v="7"/>
    <s v="GNR_RES_WTR_NOPMP_MC-01"/>
    <x v="0"/>
    <x v="3"/>
    <n v="131.6"/>
    <n v="48034"/>
    <n v="172922.4"/>
  </r>
  <r>
    <x v="0"/>
    <x v="1"/>
    <x v="1"/>
    <x v="9"/>
    <x v="19"/>
    <s v="SE3A"/>
    <x v="6"/>
    <x v="7"/>
    <s v="GNR_RES_WTR_NOPMP_MC-01"/>
    <x v="0"/>
    <x v="4"/>
    <n v="131.6"/>
    <n v="48034"/>
    <n v="172922.4"/>
  </r>
  <r>
    <x v="0"/>
    <x v="1"/>
    <x v="1"/>
    <x v="9"/>
    <x v="19"/>
    <s v="SE3A"/>
    <x v="6"/>
    <x v="7"/>
    <s v="GNR_RES_WTR_NOPMP_MC-01"/>
    <x v="0"/>
    <x v="5"/>
    <n v="131.6"/>
    <n v="48034"/>
    <n v="172922.4"/>
  </r>
  <r>
    <x v="0"/>
    <x v="1"/>
    <x v="1"/>
    <x v="9"/>
    <x v="19"/>
    <s v="SE3A"/>
    <x v="6"/>
    <x v="7"/>
    <s v="GNR_RES_WTR_NOPMP_MC-01"/>
    <x v="0"/>
    <x v="6"/>
    <n v="131.6"/>
    <n v="48034"/>
    <n v="172922.4"/>
  </r>
  <r>
    <x v="0"/>
    <x v="1"/>
    <x v="1"/>
    <x v="9"/>
    <x v="19"/>
    <s v="SE3A"/>
    <x v="6"/>
    <x v="7"/>
    <s v="GNR_RES_WTR_NOPMP_MC-01"/>
    <x v="0"/>
    <x v="7"/>
    <n v="131.6"/>
    <n v="48034"/>
    <n v="172922.4"/>
  </r>
  <r>
    <x v="0"/>
    <x v="1"/>
    <x v="1"/>
    <x v="9"/>
    <x v="19"/>
    <s v="SE3A"/>
    <x v="6"/>
    <x v="7"/>
    <s v="GNR_RES_WTR_NOPMP_MC-01"/>
    <x v="0"/>
    <x v="8"/>
    <n v="131.6"/>
    <n v="48034"/>
    <n v="172922.4"/>
  </r>
  <r>
    <x v="0"/>
    <x v="1"/>
    <x v="1"/>
    <x v="9"/>
    <x v="19"/>
    <s v="SE3A"/>
    <x v="6"/>
    <x v="7"/>
    <s v="GNR_RES_WTR_NOPMP_MC-01"/>
    <x v="0"/>
    <x v="9"/>
    <n v="131.6"/>
    <n v="48034"/>
    <n v="172922.4"/>
  </r>
  <r>
    <x v="0"/>
    <x v="1"/>
    <x v="1"/>
    <x v="9"/>
    <x v="19"/>
    <s v="SE3A"/>
    <x v="6"/>
    <x v="7"/>
    <s v="GNR_RES_WTR_NOPMP_MC-01"/>
    <x v="0"/>
    <x v="10"/>
    <n v="131.6"/>
    <n v="48034"/>
    <n v="172922.4"/>
  </r>
  <r>
    <x v="0"/>
    <x v="1"/>
    <x v="1"/>
    <x v="9"/>
    <x v="19"/>
    <s v="SE3A"/>
    <x v="6"/>
    <x v="7"/>
    <s v="GNR_RES_WTR_NOPMP_MC-01"/>
    <x v="0"/>
    <x v="11"/>
    <n v="131.6"/>
    <n v="48034"/>
    <n v="172922.4"/>
  </r>
  <r>
    <x v="0"/>
    <x v="1"/>
    <x v="1"/>
    <x v="9"/>
    <x v="19"/>
    <s v="SE3A"/>
    <x v="6"/>
    <x v="7"/>
    <s v="GNR_RES_WTR_NOPMP_MC-01"/>
    <x v="0"/>
    <x v="12"/>
    <n v="131.6"/>
    <n v="48034"/>
    <n v="172922.4"/>
  </r>
  <r>
    <x v="0"/>
    <x v="1"/>
    <x v="1"/>
    <x v="9"/>
    <x v="19"/>
    <s v="SE3A"/>
    <x v="6"/>
    <x v="7"/>
    <s v="GNR_RES_WTR_NOPMP_MC-01"/>
    <x v="0"/>
    <x v="13"/>
    <n v="131.6"/>
    <n v="48034"/>
    <n v="172922.4"/>
  </r>
  <r>
    <x v="0"/>
    <x v="1"/>
    <x v="1"/>
    <x v="9"/>
    <x v="19"/>
    <s v="SE3A"/>
    <x v="6"/>
    <x v="7"/>
    <s v="GNR_RES_WTR_NOPMP_MC-01"/>
    <x v="0"/>
    <x v="14"/>
    <n v="131.6"/>
    <n v="48034"/>
    <n v="172922.4"/>
  </r>
  <r>
    <x v="0"/>
    <x v="1"/>
    <x v="1"/>
    <x v="9"/>
    <x v="19"/>
    <s v="SE3A"/>
    <x v="6"/>
    <x v="7"/>
    <s v="GNR_RES_WTR_NOPMP_MC-01"/>
    <x v="0"/>
    <x v="15"/>
    <n v="131.6"/>
    <n v="48034"/>
    <n v="172922.4"/>
  </r>
  <r>
    <x v="0"/>
    <x v="1"/>
    <x v="1"/>
    <x v="9"/>
    <x v="19"/>
    <s v="SE3A"/>
    <x v="6"/>
    <x v="7"/>
    <s v="GNR_RES_WTR_NOPMP_MC-01"/>
    <x v="0"/>
    <x v="16"/>
    <n v="131.6"/>
    <n v="48034"/>
    <n v="172922.4"/>
  </r>
  <r>
    <x v="0"/>
    <x v="1"/>
    <x v="1"/>
    <x v="9"/>
    <x v="19"/>
    <s v="SE3A"/>
    <x v="6"/>
    <x v="7"/>
    <s v="GNR_RES_WTR_NOPMP_MC-01"/>
    <x v="0"/>
    <x v="17"/>
    <n v="131.6"/>
    <n v="48034"/>
    <n v="172922.4"/>
  </r>
  <r>
    <x v="0"/>
    <x v="1"/>
    <x v="1"/>
    <x v="9"/>
    <x v="19"/>
    <s v="SE3A"/>
    <x v="6"/>
    <x v="7"/>
    <s v="GNR_RES_WTR_NOPMP_MC-01"/>
    <x v="0"/>
    <x v="19"/>
    <n v="131.6"/>
    <n v="48034"/>
    <n v="172922.4"/>
  </r>
  <r>
    <x v="0"/>
    <x v="1"/>
    <x v="1"/>
    <x v="9"/>
    <x v="19"/>
    <s v="SE3A"/>
    <x v="6"/>
    <x v="7"/>
    <s v="GNR_RES_WTR_NOPMP_MC-01"/>
    <x v="0"/>
    <x v="20"/>
    <n v="131.6"/>
    <n v="48034"/>
    <n v="172922.4"/>
  </r>
  <r>
    <x v="0"/>
    <x v="1"/>
    <x v="1"/>
    <x v="9"/>
    <x v="19"/>
    <s v="SE3A"/>
    <x v="6"/>
    <x v="7"/>
    <s v="GNR_RES_WTR_NOPMP_MC-01"/>
    <x v="0"/>
    <x v="21"/>
    <n v="131.6"/>
    <n v="48034"/>
    <n v="172922.4"/>
  </r>
  <r>
    <x v="0"/>
    <x v="1"/>
    <x v="1"/>
    <x v="9"/>
    <x v="19"/>
    <s v="SE3A"/>
    <x v="6"/>
    <x v="7"/>
    <s v="GNR_RES_WTR_NOPMP_MC-01"/>
    <x v="0"/>
    <x v="22"/>
    <n v="131.6"/>
    <n v="48034"/>
    <n v="172922.4"/>
  </r>
  <r>
    <x v="0"/>
    <x v="1"/>
    <x v="1"/>
    <x v="9"/>
    <x v="19"/>
    <s v="SE3A"/>
    <x v="6"/>
    <x v="7"/>
    <s v="GNR_RES_WTR_NOPMP_MC-01"/>
    <x v="0"/>
    <x v="23"/>
    <n v="131.6"/>
    <n v="48034"/>
    <n v="172922.4"/>
  </r>
  <r>
    <x v="0"/>
    <x v="1"/>
    <x v="1"/>
    <x v="9"/>
    <x v="19"/>
    <s v="SE3A"/>
    <x v="6"/>
    <x v="7"/>
    <s v="GNR_RES_WTR_NOPMP_MC-02"/>
    <x v="0"/>
    <x v="0"/>
    <n v="131.6"/>
    <n v="48034"/>
    <n v="172922.4"/>
  </r>
  <r>
    <x v="0"/>
    <x v="1"/>
    <x v="1"/>
    <x v="9"/>
    <x v="19"/>
    <s v="SE3A"/>
    <x v="6"/>
    <x v="7"/>
    <s v="GNR_RES_WTR_NOPMP_MC-02"/>
    <x v="0"/>
    <x v="1"/>
    <n v="131.6"/>
    <n v="48034"/>
    <n v="172922.4"/>
  </r>
  <r>
    <x v="0"/>
    <x v="1"/>
    <x v="1"/>
    <x v="9"/>
    <x v="19"/>
    <s v="SE3A"/>
    <x v="6"/>
    <x v="7"/>
    <s v="GNR_RES_WTR_NOPMP_MC-02"/>
    <x v="0"/>
    <x v="18"/>
    <n v="131.6"/>
    <n v="48034"/>
    <n v="172922.4"/>
  </r>
  <r>
    <x v="0"/>
    <x v="1"/>
    <x v="1"/>
    <x v="9"/>
    <x v="19"/>
    <s v="SE3A"/>
    <x v="6"/>
    <x v="7"/>
    <s v="GNR_RES_WTR_NOPMP_MC-02"/>
    <x v="0"/>
    <x v="2"/>
    <n v="131.6"/>
    <n v="48034"/>
    <n v="172922.4"/>
  </r>
  <r>
    <x v="0"/>
    <x v="1"/>
    <x v="1"/>
    <x v="9"/>
    <x v="19"/>
    <s v="SE3A"/>
    <x v="6"/>
    <x v="7"/>
    <s v="GNR_RES_WTR_NOPMP_MC-02"/>
    <x v="0"/>
    <x v="3"/>
    <n v="131.6"/>
    <n v="48034"/>
    <n v="172922.4"/>
  </r>
  <r>
    <x v="0"/>
    <x v="1"/>
    <x v="1"/>
    <x v="9"/>
    <x v="19"/>
    <s v="SE3A"/>
    <x v="6"/>
    <x v="7"/>
    <s v="GNR_RES_WTR_NOPMP_MC-02"/>
    <x v="0"/>
    <x v="4"/>
    <n v="131.6"/>
    <n v="48034"/>
    <n v="172922.4"/>
  </r>
  <r>
    <x v="0"/>
    <x v="1"/>
    <x v="1"/>
    <x v="9"/>
    <x v="19"/>
    <s v="SE3A"/>
    <x v="6"/>
    <x v="7"/>
    <s v="GNR_RES_WTR_NOPMP_MC-02"/>
    <x v="0"/>
    <x v="5"/>
    <n v="131.6"/>
    <n v="48034"/>
    <n v="172922.4"/>
  </r>
  <r>
    <x v="0"/>
    <x v="1"/>
    <x v="1"/>
    <x v="9"/>
    <x v="19"/>
    <s v="SE3A"/>
    <x v="6"/>
    <x v="7"/>
    <s v="GNR_RES_WTR_NOPMP_MC-02"/>
    <x v="0"/>
    <x v="6"/>
    <n v="131.6"/>
    <n v="48034"/>
    <n v="172922.4"/>
  </r>
  <r>
    <x v="0"/>
    <x v="1"/>
    <x v="1"/>
    <x v="9"/>
    <x v="19"/>
    <s v="SE3A"/>
    <x v="6"/>
    <x v="7"/>
    <s v="GNR_RES_WTR_NOPMP_MC-02"/>
    <x v="0"/>
    <x v="7"/>
    <n v="131.6"/>
    <n v="48034"/>
    <n v="172922.4"/>
  </r>
  <r>
    <x v="0"/>
    <x v="1"/>
    <x v="1"/>
    <x v="9"/>
    <x v="19"/>
    <s v="SE3A"/>
    <x v="6"/>
    <x v="7"/>
    <s v="GNR_RES_WTR_NOPMP_MC-02"/>
    <x v="0"/>
    <x v="8"/>
    <n v="131.6"/>
    <n v="48034"/>
    <n v="172922.4"/>
  </r>
  <r>
    <x v="0"/>
    <x v="1"/>
    <x v="1"/>
    <x v="9"/>
    <x v="19"/>
    <s v="SE3A"/>
    <x v="6"/>
    <x v="7"/>
    <s v="GNR_RES_WTR_NOPMP_MC-02"/>
    <x v="0"/>
    <x v="9"/>
    <n v="131.6"/>
    <n v="48034"/>
    <n v="172922.4"/>
  </r>
  <r>
    <x v="0"/>
    <x v="1"/>
    <x v="1"/>
    <x v="9"/>
    <x v="19"/>
    <s v="SE3A"/>
    <x v="6"/>
    <x v="7"/>
    <s v="GNR_RES_WTR_NOPMP_MC-02"/>
    <x v="0"/>
    <x v="10"/>
    <n v="131.6"/>
    <n v="48034"/>
    <n v="172922.4"/>
  </r>
  <r>
    <x v="0"/>
    <x v="1"/>
    <x v="1"/>
    <x v="9"/>
    <x v="19"/>
    <s v="SE3A"/>
    <x v="6"/>
    <x v="7"/>
    <s v="GNR_RES_WTR_NOPMP_MC-02"/>
    <x v="0"/>
    <x v="11"/>
    <n v="131.6"/>
    <n v="48034"/>
    <n v="172922.4"/>
  </r>
  <r>
    <x v="0"/>
    <x v="1"/>
    <x v="1"/>
    <x v="9"/>
    <x v="19"/>
    <s v="SE3A"/>
    <x v="6"/>
    <x v="7"/>
    <s v="GNR_RES_WTR_NOPMP_MC-02"/>
    <x v="0"/>
    <x v="12"/>
    <n v="131.6"/>
    <n v="48034"/>
    <n v="172922.4"/>
  </r>
  <r>
    <x v="0"/>
    <x v="1"/>
    <x v="1"/>
    <x v="9"/>
    <x v="19"/>
    <s v="SE3A"/>
    <x v="6"/>
    <x v="7"/>
    <s v="GNR_RES_WTR_NOPMP_MC-02"/>
    <x v="0"/>
    <x v="13"/>
    <n v="131.6"/>
    <n v="48034"/>
    <n v="172922.4"/>
  </r>
  <r>
    <x v="0"/>
    <x v="1"/>
    <x v="1"/>
    <x v="9"/>
    <x v="19"/>
    <s v="SE3A"/>
    <x v="6"/>
    <x v="7"/>
    <s v="GNR_RES_WTR_NOPMP_MC-02"/>
    <x v="0"/>
    <x v="14"/>
    <n v="131.6"/>
    <n v="48034"/>
    <n v="172922.4"/>
  </r>
  <r>
    <x v="0"/>
    <x v="1"/>
    <x v="1"/>
    <x v="9"/>
    <x v="19"/>
    <s v="SE3A"/>
    <x v="6"/>
    <x v="7"/>
    <s v="GNR_RES_WTR_NOPMP_MC-02"/>
    <x v="0"/>
    <x v="15"/>
    <n v="131.6"/>
    <n v="48034"/>
    <n v="172922.4"/>
  </r>
  <r>
    <x v="0"/>
    <x v="1"/>
    <x v="1"/>
    <x v="9"/>
    <x v="19"/>
    <s v="SE3A"/>
    <x v="6"/>
    <x v="7"/>
    <s v="GNR_RES_WTR_NOPMP_MC-02"/>
    <x v="0"/>
    <x v="16"/>
    <n v="131.6"/>
    <n v="48034"/>
    <n v="172922.4"/>
  </r>
  <r>
    <x v="0"/>
    <x v="1"/>
    <x v="1"/>
    <x v="9"/>
    <x v="19"/>
    <s v="SE3A"/>
    <x v="6"/>
    <x v="7"/>
    <s v="GNR_RES_WTR_NOPMP_MC-02"/>
    <x v="0"/>
    <x v="17"/>
    <n v="131.6"/>
    <n v="48034"/>
    <n v="172922.4"/>
  </r>
  <r>
    <x v="0"/>
    <x v="1"/>
    <x v="1"/>
    <x v="9"/>
    <x v="19"/>
    <s v="SE3A"/>
    <x v="6"/>
    <x v="7"/>
    <s v="GNR_RES_WTR_NOPMP_MC-02"/>
    <x v="0"/>
    <x v="19"/>
    <n v="131.6"/>
    <n v="48034"/>
    <n v="172922.4"/>
  </r>
  <r>
    <x v="0"/>
    <x v="1"/>
    <x v="1"/>
    <x v="9"/>
    <x v="19"/>
    <s v="SE3A"/>
    <x v="6"/>
    <x v="7"/>
    <s v="GNR_RES_WTR_NOPMP_MC-02"/>
    <x v="0"/>
    <x v="20"/>
    <n v="131.6"/>
    <n v="48034"/>
    <n v="172922.4"/>
  </r>
  <r>
    <x v="0"/>
    <x v="1"/>
    <x v="1"/>
    <x v="9"/>
    <x v="19"/>
    <s v="SE3A"/>
    <x v="6"/>
    <x v="7"/>
    <s v="GNR_RES_WTR_NOPMP_MC-02"/>
    <x v="0"/>
    <x v="21"/>
    <n v="131.6"/>
    <n v="48034"/>
    <n v="172922.4"/>
  </r>
  <r>
    <x v="0"/>
    <x v="1"/>
    <x v="1"/>
    <x v="9"/>
    <x v="19"/>
    <s v="SE3A"/>
    <x v="6"/>
    <x v="7"/>
    <s v="GNR_RES_WTR_NOPMP_MC-02"/>
    <x v="0"/>
    <x v="22"/>
    <n v="131.6"/>
    <n v="48034"/>
    <n v="172922.4"/>
  </r>
  <r>
    <x v="0"/>
    <x v="1"/>
    <x v="1"/>
    <x v="9"/>
    <x v="19"/>
    <s v="SE3A"/>
    <x v="6"/>
    <x v="7"/>
    <s v="GNR_RES_WTR_NOPMP_MC-03"/>
    <x v="0"/>
    <x v="0"/>
    <n v="131.6"/>
    <n v="48034"/>
    <n v="172922.4"/>
  </r>
  <r>
    <x v="0"/>
    <x v="1"/>
    <x v="1"/>
    <x v="9"/>
    <x v="19"/>
    <s v="SE3A"/>
    <x v="6"/>
    <x v="7"/>
    <s v="GNR_RES_WTR_NOPMP_MC-03"/>
    <x v="0"/>
    <x v="2"/>
    <n v="131.6"/>
    <n v="48034"/>
    <n v="172922.4"/>
  </r>
  <r>
    <x v="0"/>
    <x v="1"/>
    <x v="1"/>
    <x v="9"/>
    <x v="19"/>
    <s v="SE3A"/>
    <x v="6"/>
    <x v="7"/>
    <s v="GNR_RES_WTR_NOPMP_MC-03"/>
    <x v="0"/>
    <x v="3"/>
    <n v="131.6"/>
    <n v="48034"/>
    <n v="172922.4"/>
  </r>
  <r>
    <x v="0"/>
    <x v="1"/>
    <x v="1"/>
    <x v="9"/>
    <x v="19"/>
    <s v="SE3A"/>
    <x v="6"/>
    <x v="7"/>
    <s v="GNR_RES_WTR_NOPMP_MC-03"/>
    <x v="0"/>
    <x v="4"/>
    <n v="131.6"/>
    <n v="48034"/>
    <n v="172922.4"/>
  </r>
  <r>
    <x v="0"/>
    <x v="1"/>
    <x v="1"/>
    <x v="9"/>
    <x v="19"/>
    <s v="SE3A"/>
    <x v="6"/>
    <x v="7"/>
    <s v="GNR_RES_WTR_NOPMP_MC-03"/>
    <x v="0"/>
    <x v="5"/>
    <n v="131.6"/>
    <n v="48034"/>
    <n v="172922.4"/>
  </r>
  <r>
    <x v="0"/>
    <x v="1"/>
    <x v="1"/>
    <x v="9"/>
    <x v="19"/>
    <s v="SE3A"/>
    <x v="6"/>
    <x v="7"/>
    <s v="GNR_RES_WTR_NOPMP_MC-03"/>
    <x v="0"/>
    <x v="6"/>
    <n v="131.6"/>
    <n v="48034"/>
    <n v="172922.4"/>
  </r>
  <r>
    <x v="0"/>
    <x v="1"/>
    <x v="1"/>
    <x v="9"/>
    <x v="19"/>
    <s v="SE3A"/>
    <x v="6"/>
    <x v="7"/>
    <s v="GNR_RES_WTR_NOPMP_MC-03"/>
    <x v="0"/>
    <x v="7"/>
    <n v="131.6"/>
    <n v="48034"/>
    <n v="172922.4"/>
  </r>
  <r>
    <x v="0"/>
    <x v="1"/>
    <x v="1"/>
    <x v="9"/>
    <x v="19"/>
    <s v="SE3A"/>
    <x v="6"/>
    <x v="7"/>
    <s v="GNR_RES_WTR_NOPMP_MC-03"/>
    <x v="0"/>
    <x v="8"/>
    <n v="131.6"/>
    <n v="48034"/>
    <n v="172922.4"/>
  </r>
  <r>
    <x v="0"/>
    <x v="1"/>
    <x v="1"/>
    <x v="9"/>
    <x v="19"/>
    <s v="SE3A"/>
    <x v="6"/>
    <x v="7"/>
    <s v="GNR_RES_WTR_NOPMP_MC-03"/>
    <x v="0"/>
    <x v="9"/>
    <n v="131.6"/>
    <n v="48034"/>
    <n v="172922.4"/>
  </r>
  <r>
    <x v="0"/>
    <x v="1"/>
    <x v="1"/>
    <x v="9"/>
    <x v="19"/>
    <s v="SE3A"/>
    <x v="6"/>
    <x v="7"/>
    <s v="GNR_RES_WTR_NOPMP_MC-03"/>
    <x v="0"/>
    <x v="10"/>
    <n v="131.6"/>
    <n v="48034"/>
    <n v="172922.4"/>
  </r>
  <r>
    <x v="0"/>
    <x v="1"/>
    <x v="1"/>
    <x v="9"/>
    <x v="19"/>
    <s v="SE3A"/>
    <x v="6"/>
    <x v="7"/>
    <s v="GNR_RES_WTR_NOPMP_MC-03"/>
    <x v="0"/>
    <x v="11"/>
    <n v="131.6"/>
    <n v="48034"/>
    <n v="172922.4"/>
  </r>
  <r>
    <x v="0"/>
    <x v="1"/>
    <x v="1"/>
    <x v="9"/>
    <x v="19"/>
    <s v="SE3A"/>
    <x v="6"/>
    <x v="7"/>
    <s v="GNR_RES_WTR_NOPMP_MC-03"/>
    <x v="0"/>
    <x v="12"/>
    <n v="131.6"/>
    <n v="48034"/>
    <n v="172922.4"/>
  </r>
  <r>
    <x v="0"/>
    <x v="1"/>
    <x v="1"/>
    <x v="9"/>
    <x v="19"/>
    <s v="SE3A"/>
    <x v="6"/>
    <x v="7"/>
    <s v="GNR_RES_WTR_NOPMP_MC-03"/>
    <x v="0"/>
    <x v="13"/>
    <n v="131.6"/>
    <n v="48034"/>
    <n v="172922.4"/>
  </r>
  <r>
    <x v="0"/>
    <x v="1"/>
    <x v="1"/>
    <x v="9"/>
    <x v="19"/>
    <s v="SE3A"/>
    <x v="6"/>
    <x v="7"/>
    <s v="GNR_RES_WTR_NOPMP_MC-03"/>
    <x v="0"/>
    <x v="14"/>
    <n v="131.6"/>
    <n v="48034"/>
    <n v="172922.4"/>
  </r>
  <r>
    <x v="0"/>
    <x v="1"/>
    <x v="1"/>
    <x v="9"/>
    <x v="19"/>
    <s v="SE3A"/>
    <x v="6"/>
    <x v="7"/>
    <s v="GNR_RES_WTR_NOPMP_MC-03"/>
    <x v="0"/>
    <x v="15"/>
    <n v="131.6"/>
    <n v="48034"/>
    <n v="172922.4"/>
  </r>
  <r>
    <x v="0"/>
    <x v="1"/>
    <x v="1"/>
    <x v="9"/>
    <x v="19"/>
    <s v="SE3A"/>
    <x v="6"/>
    <x v="7"/>
    <s v="GNR_RES_WTR_NOPMP_MC-03"/>
    <x v="0"/>
    <x v="16"/>
    <n v="131.6"/>
    <n v="48034"/>
    <n v="172922.4"/>
  </r>
  <r>
    <x v="0"/>
    <x v="1"/>
    <x v="1"/>
    <x v="9"/>
    <x v="19"/>
    <s v="SE3A"/>
    <x v="6"/>
    <x v="7"/>
    <s v="GNR_RES_WTR_NOPMP_MC-03"/>
    <x v="0"/>
    <x v="17"/>
    <n v="131.6"/>
    <n v="48034"/>
    <n v="172922.4"/>
  </r>
  <r>
    <x v="0"/>
    <x v="1"/>
    <x v="1"/>
    <x v="9"/>
    <x v="19"/>
    <s v="SE3A"/>
    <x v="6"/>
    <x v="7"/>
    <s v="GNR_RES_WTR_NOPMP_MC-03"/>
    <x v="0"/>
    <x v="19"/>
    <n v="131.6"/>
    <n v="48034"/>
    <n v="172922.4"/>
  </r>
  <r>
    <x v="0"/>
    <x v="1"/>
    <x v="1"/>
    <x v="9"/>
    <x v="19"/>
    <s v="SE3A"/>
    <x v="6"/>
    <x v="7"/>
    <s v="GNR_RES_WTR_NOPMP_MC-03"/>
    <x v="0"/>
    <x v="20"/>
    <n v="131.6"/>
    <n v="48034"/>
    <n v="172922.4"/>
  </r>
  <r>
    <x v="0"/>
    <x v="1"/>
    <x v="1"/>
    <x v="9"/>
    <x v="19"/>
    <s v="SE3A"/>
    <x v="6"/>
    <x v="7"/>
    <s v="GNR_RES_WTR_NOPMP_MC-03"/>
    <x v="0"/>
    <x v="21"/>
    <n v="131.6"/>
    <n v="48034"/>
    <n v="172922.4"/>
  </r>
  <r>
    <x v="0"/>
    <x v="1"/>
    <x v="1"/>
    <x v="9"/>
    <x v="19"/>
    <s v="SE3A"/>
    <x v="6"/>
    <x v="7"/>
    <s v="GNR_RES_WTR_NOPMP_MC-04"/>
    <x v="0"/>
    <x v="3"/>
    <n v="131.6"/>
    <n v="48034"/>
    <n v="172922.4"/>
  </r>
  <r>
    <x v="0"/>
    <x v="1"/>
    <x v="1"/>
    <x v="9"/>
    <x v="19"/>
    <s v="SE3A"/>
    <x v="6"/>
    <x v="7"/>
    <s v="GNR_RES_WTR_NOPMP_MC-04"/>
    <x v="0"/>
    <x v="4"/>
    <n v="131.6"/>
    <n v="48034"/>
    <n v="172922.4"/>
  </r>
  <r>
    <x v="0"/>
    <x v="1"/>
    <x v="1"/>
    <x v="9"/>
    <x v="19"/>
    <s v="SE3A"/>
    <x v="6"/>
    <x v="7"/>
    <s v="GNR_RES_WTR_NOPMP_MC-04"/>
    <x v="0"/>
    <x v="5"/>
    <n v="131.6"/>
    <n v="48034"/>
    <n v="172922.4"/>
  </r>
  <r>
    <x v="0"/>
    <x v="1"/>
    <x v="1"/>
    <x v="9"/>
    <x v="19"/>
    <s v="SE3A"/>
    <x v="6"/>
    <x v="7"/>
    <s v="GNR_RES_WTR_NOPMP_MC-04"/>
    <x v="0"/>
    <x v="6"/>
    <n v="131.6"/>
    <n v="48034"/>
    <n v="172922.4"/>
  </r>
  <r>
    <x v="0"/>
    <x v="1"/>
    <x v="1"/>
    <x v="9"/>
    <x v="19"/>
    <s v="SE3A"/>
    <x v="6"/>
    <x v="7"/>
    <s v="GNR_RES_WTR_NOPMP_MC-04"/>
    <x v="0"/>
    <x v="7"/>
    <n v="131.6"/>
    <n v="48034"/>
    <n v="172922.4"/>
  </r>
  <r>
    <x v="0"/>
    <x v="1"/>
    <x v="1"/>
    <x v="9"/>
    <x v="19"/>
    <s v="SE3A"/>
    <x v="6"/>
    <x v="7"/>
    <s v="GNR_RES_WTR_NOPMP_MC-04"/>
    <x v="0"/>
    <x v="8"/>
    <n v="131.6"/>
    <n v="48034"/>
    <n v="172922.4"/>
  </r>
  <r>
    <x v="0"/>
    <x v="1"/>
    <x v="1"/>
    <x v="9"/>
    <x v="19"/>
    <s v="SE3A"/>
    <x v="6"/>
    <x v="7"/>
    <s v="GNR_RES_WTR_NOPMP_MC-04"/>
    <x v="0"/>
    <x v="9"/>
    <n v="131.6"/>
    <n v="48034"/>
    <n v="172922.4"/>
  </r>
  <r>
    <x v="0"/>
    <x v="1"/>
    <x v="1"/>
    <x v="9"/>
    <x v="19"/>
    <s v="SE3A"/>
    <x v="6"/>
    <x v="7"/>
    <s v="GNR_RES_WTR_NOPMP_MC-04"/>
    <x v="0"/>
    <x v="10"/>
    <n v="131.6"/>
    <n v="48034"/>
    <n v="172922.4"/>
  </r>
  <r>
    <x v="0"/>
    <x v="1"/>
    <x v="1"/>
    <x v="9"/>
    <x v="19"/>
    <s v="SE3A"/>
    <x v="6"/>
    <x v="7"/>
    <s v="GNR_RES_WTR_NOPMP_MC-04"/>
    <x v="0"/>
    <x v="11"/>
    <n v="131.6"/>
    <n v="48034"/>
    <n v="172922.4"/>
  </r>
  <r>
    <x v="0"/>
    <x v="1"/>
    <x v="1"/>
    <x v="9"/>
    <x v="19"/>
    <s v="SE3A"/>
    <x v="6"/>
    <x v="7"/>
    <s v="GNR_RES_WTR_NOPMP_MC-04"/>
    <x v="0"/>
    <x v="12"/>
    <n v="131.6"/>
    <n v="48034"/>
    <n v="172922.4"/>
  </r>
  <r>
    <x v="0"/>
    <x v="1"/>
    <x v="1"/>
    <x v="9"/>
    <x v="19"/>
    <s v="SE3A"/>
    <x v="6"/>
    <x v="7"/>
    <s v="GNR_RES_WTR_NOPMP_MC-04"/>
    <x v="0"/>
    <x v="13"/>
    <n v="131.6"/>
    <n v="48034"/>
    <n v="172922.4"/>
  </r>
  <r>
    <x v="0"/>
    <x v="1"/>
    <x v="1"/>
    <x v="9"/>
    <x v="19"/>
    <s v="SE3A"/>
    <x v="6"/>
    <x v="7"/>
    <s v="GNR_RES_WTR_NOPMP_MC-04"/>
    <x v="0"/>
    <x v="14"/>
    <n v="131.6"/>
    <n v="48034"/>
    <n v="172922.4"/>
  </r>
  <r>
    <x v="0"/>
    <x v="1"/>
    <x v="1"/>
    <x v="9"/>
    <x v="19"/>
    <s v="SE3A"/>
    <x v="6"/>
    <x v="7"/>
    <s v="GNR_RES_WTR_NOPMP_MC-04"/>
    <x v="0"/>
    <x v="15"/>
    <n v="131.6"/>
    <n v="48034"/>
    <n v="172922.4"/>
  </r>
  <r>
    <x v="0"/>
    <x v="1"/>
    <x v="1"/>
    <x v="9"/>
    <x v="19"/>
    <s v="SE3A"/>
    <x v="6"/>
    <x v="7"/>
    <s v="GNR_RES_WTR_NOPMP_MC-04"/>
    <x v="0"/>
    <x v="16"/>
    <n v="131.6"/>
    <n v="48034"/>
    <n v="172922.4"/>
  </r>
  <r>
    <x v="0"/>
    <x v="1"/>
    <x v="1"/>
    <x v="9"/>
    <x v="19"/>
    <s v="SE3A"/>
    <x v="6"/>
    <x v="7"/>
    <s v="GNR_RES_WTR_NOPMP_MC-04"/>
    <x v="0"/>
    <x v="17"/>
    <n v="131.6"/>
    <n v="48034"/>
    <n v="172922.4"/>
  </r>
  <r>
    <x v="0"/>
    <x v="1"/>
    <x v="1"/>
    <x v="9"/>
    <x v="19"/>
    <s v="SE3A"/>
    <x v="6"/>
    <x v="7"/>
    <s v="GNR_RES_WTR_NOPMP_MC-04"/>
    <x v="0"/>
    <x v="19"/>
    <n v="131.6"/>
    <n v="48034"/>
    <n v="172922.4"/>
  </r>
  <r>
    <x v="0"/>
    <x v="1"/>
    <x v="1"/>
    <x v="9"/>
    <x v="19"/>
    <s v="SE3A"/>
    <x v="6"/>
    <x v="7"/>
    <s v="GNR_RES_WTR_NOPMP_MC-05"/>
    <x v="0"/>
    <x v="5"/>
    <n v="131.6"/>
    <n v="48034"/>
    <n v="172922.4"/>
  </r>
  <r>
    <x v="0"/>
    <x v="1"/>
    <x v="1"/>
    <x v="9"/>
    <x v="19"/>
    <s v="SE3A"/>
    <x v="6"/>
    <x v="7"/>
    <s v="GNR_RES_WTR_NOPMP_MC-05"/>
    <x v="0"/>
    <x v="6"/>
    <n v="131.6"/>
    <n v="48034"/>
    <n v="172922.4"/>
  </r>
  <r>
    <x v="0"/>
    <x v="1"/>
    <x v="1"/>
    <x v="9"/>
    <x v="19"/>
    <s v="SE3A"/>
    <x v="6"/>
    <x v="7"/>
    <s v="GNR_RES_WTR_NOPMP_MC-05"/>
    <x v="0"/>
    <x v="7"/>
    <n v="131.6"/>
    <n v="48034"/>
    <n v="172922.4"/>
  </r>
  <r>
    <x v="0"/>
    <x v="1"/>
    <x v="1"/>
    <x v="9"/>
    <x v="19"/>
    <s v="SE3A"/>
    <x v="6"/>
    <x v="7"/>
    <s v="GNR_RES_WTR_NOPMP_MC-05"/>
    <x v="0"/>
    <x v="8"/>
    <n v="131.6"/>
    <n v="48034"/>
    <n v="172922.4"/>
  </r>
  <r>
    <x v="0"/>
    <x v="1"/>
    <x v="1"/>
    <x v="9"/>
    <x v="19"/>
    <s v="SE3A"/>
    <x v="6"/>
    <x v="7"/>
    <s v="GNR_RES_WTR_NOPMP_MC-05"/>
    <x v="0"/>
    <x v="9"/>
    <n v="131.6"/>
    <n v="48034"/>
    <n v="172922.4"/>
  </r>
  <r>
    <x v="0"/>
    <x v="1"/>
    <x v="1"/>
    <x v="9"/>
    <x v="19"/>
    <s v="SE3A"/>
    <x v="6"/>
    <x v="7"/>
    <s v="GNR_RES_WTR_NOPMP_MC-05"/>
    <x v="0"/>
    <x v="10"/>
    <n v="131.6"/>
    <n v="48034"/>
    <n v="172922.4"/>
  </r>
  <r>
    <x v="0"/>
    <x v="1"/>
    <x v="1"/>
    <x v="9"/>
    <x v="19"/>
    <s v="SE3A"/>
    <x v="6"/>
    <x v="7"/>
    <s v="GNR_RES_WTR_NOPMP_MC-05"/>
    <x v="0"/>
    <x v="11"/>
    <n v="131.6"/>
    <n v="48034"/>
    <n v="172922.4"/>
  </r>
  <r>
    <x v="0"/>
    <x v="1"/>
    <x v="1"/>
    <x v="9"/>
    <x v="19"/>
    <s v="SE3A"/>
    <x v="6"/>
    <x v="7"/>
    <s v="GNR_RES_WTR_NOPMP_MC-05"/>
    <x v="0"/>
    <x v="12"/>
    <n v="131.6"/>
    <n v="48034"/>
    <n v="172922.4"/>
  </r>
  <r>
    <x v="0"/>
    <x v="1"/>
    <x v="1"/>
    <x v="9"/>
    <x v="19"/>
    <s v="SE3A"/>
    <x v="6"/>
    <x v="7"/>
    <s v="GNR_RES_WTR_NOPMP_MC-05"/>
    <x v="0"/>
    <x v="13"/>
    <n v="131.6"/>
    <n v="48034"/>
    <n v="172922.4"/>
  </r>
  <r>
    <x v="0"/>
    <x v="1"/>
    <x v="1"/>
    <x v="9"/>
    <x v="19"/>
    <s v="SE3A"/>
    <x v="6"/>
    <x v="7"/>
    <s v="GNR_RES_WTR_NOPMP_MC-05"/>
    <x v="0"/>
    <x v="14"/>
    <n v="131.6"/>
    <n v="48034"/>
    <n v="172922.4"/>
  </r>
  <r>
    <x v="0"/>
    <x v="1"/>
    <x v="1"/>
    <x v="9"/>
    <x v="19"/>
    <s v="SE3A"/>
    <x v="6"/>
    <x v="7"/>
    <s v="GNR_RES_WTR_NOPMP_MC-05"/>
    <x v="0"/>
    <x v="15"/>
    <n v="131.6"/>
    <n v="48034"/>
    <n v="172922.4"/>
  </r>
  <r>
    <x v="0"/>
    <x v="1"/>
    <x v="1"/>
    <x v="9"/>
    <x v="19"/>
    <s v="SE3A"/>
    <x v="6"/>
    <x v="7"/>
    <s v="GNR_RES_WTR_NOPMP_MC-05"/>
    <x v="0"/>
    <x v="16"/>
    <n v="131.6"/>
    <n v="48034"/>
    <n v="172922.4"/>
  </r>
  <r>
    <x v="0"/>
    <x v="1"/>
    <x v="1"/>
    <x v="9"/>
    <x v="19"/>
    <s v="SE3A"/>
    <x v="6"/>
    <x v="7"/>
    <s v="GNR_RES_WTR_NOPMP_MC-05"/>
    <x v="0"/>
    <x v="17"/>
    <n v="131.6"/>
    <n v="48034"/>
    <n v="172922.4"/>
  </r>
  <r>
    <x v="0"/>
    <x v="1"/>
    <x v="1"/>
    <x v="9"/>
    <x v="19"/>
    <s v="SE3A"/>
    <x v="6"/>
    <x v="7"/>
    <s v="GNR_RES_WTR_NOPMP_MC-06"/>
    <x v="0"/>
    <x v="5"/>
    <n v="131.6"/>
    <n v="48034"/>
    <n v="172922.4"/>
  </r>
  <r>
    <x v="0"/>
    <x v="1"/>
    <x v="1"/>
    <x v="9"/>
    <x v="19"/>
    <s v="SE3A"/>
    <x v="6"/>
    <x v="7"/>
    <s v="GNR_RES_WTR_NOPMP_MC-06"/>
    <x v="0"/>
    <x v="6"/>
    <n v="131.6"/>
    <n v="48034"/>
    <n v="172922.4"/>
  </r>
  <r>
    <x v="0"/>
    <x v="1"/>
    <x v="1"/>
    <x v="9"/>
    <x v="19"/>
    <s v="SE3A"/>
    <x v="6"/>
    <x v="7"/>
    <s v="GNR_RES_WTR_NOPMP_MC-06"/>
    <x v="0"/>
    <x v="7"/>
    <n v="131.6"/>
    <n v="48034"/>
    <n v="172922.4"/>
  </r>
  <r>
    <x v="0"/>
    <x v="1"/>
    <x v="1"/>
    <x v="9"/>
    <x v="19"/>
    <s v="SE3A"/>
    <x v="6"/>
    <x v="7"/>
    <s v="GNR_RES_WTR_NOPMP_MC-06"/>
    <x v="0"/>
    <x v="8"/>
    <n v="131.6"/>
    <n v="48034"/>
    <n v="172922.4"/>
  </r>
  <r>
    <x v="0"/>
    <x v="1"/>
    <x v="1"/>
    <x v="9"/>
    <x v="19"/>
    <s v="SE3A"/>
    <x v="6"/>
    <x v="7"/>
    <s v="GNR_RES_WTR_NOPMP_MC-06"/>
    <x v="0"/>
    <x v="9"/>
    <n v="131.6"/>
    <n v="48034"/>
    <n v="172922.4"/>
  </r>
  <r>
    <x v="0"/>
    <x v="1"/>
    <x v="1"/>
    <x v="9"/>
    <x v="19"/>
    <s v="SE3A"/>
    <x v="6"/>
    <x v="7"/>
    <s v="GNR_RES_WTR_NOPMP_MC-06"/>
    <x v="0"/>
    <x v="10"/>
    <n v="131.6"/>
    <n v="48034"/>
    <n v="172922.4"/>
  </r>
  <r>
    <x v="0"/>
    <x v="1"/>
    <x v="1"/>
    <x v="9"/>
    <x v="19"/>
    <s v="SE3A"/>
    <x v="6"/>
    <x v="7"/>
    <s v="GNR_RES_WTR_NOPMP_MC-06"/>
    <x v="0"/>
    <x v="11"/>
    <n v="131.6"/>
    <n v="48034"/>
    <n v="172922.4"/>
  </r>
  <r>
    <x v="0"/>
    <x v="1"/>
    <x v="1"/>
    <x v="9"/>
    <x v="19"/>
    <s v="SE3A"/>
    <x v="6"/>
    <x v="7"/>
    <s v="GNR_RES_WTR_NOPMP_MC-06"/>
    <x v="0"/>
    <x v="12"/>
    <n v="95.571711632047993"/>
    <n v="34883.674745697499"/>
    <n v="125581.229084511"/>
  </r>
  <r>
    <x v="0"/>
    <x v="1"/>
    <x v="1"/>
    <x v="9"/>
    <x v="19"/>
    <s v="SE3A"/>
    <x v="6"/>
    <x v="7"/>
    <s v="GNR_RES_WTR_NOPMP_MC-06"/>
    <x v="0"/>
    <x v="15"/>
    <n v="131.6"/>
    <n v="48034"/>
    <n v="172922.4"/>
  </r>
  <r>
    <x v="0"/>
    <x v="1"/>
    <x v="1"/>
    <x v="9"/>
    <x v="19"/>
    <s v="SE3A"/>
    <x v="6"/>
    <x v="7"/>
    <s v="GNR_RES_WTR_NOPMP_MC-07"/>
    <x v="0"/>
    <x v="6"/>
    <n v="131.6"/>
    <n v="48034"/>
    <n v="172922.4"/>
  </r>
  <r>
    <x v="0"/>
    <x v="1"/>
    <x v="1"/>
    <x v="9"/>
    <x v="19"/>
    <s v="SE3A"/>
    <x v="6"/>
    <x v="7"/>
    <s v="GNR_RES_WTR_NOPMP_MC-07"/>
    <x v="0"/>
    <x v="7"/>
    <n v="131.6"/>
    <n v="48034"/>
    <n v="172922.4"/>
  </r>
  <r>
    <x v="0"/>
    <x v="1"/>
    <x v="1"/>
    <x v="9"/>
    <x v="19"/>
    <s v="SE3A"/>
    <x v="6"/>
    <x v="7"/>
    <s v="GNR_RES_WTR_NOPMP_MC-07"/>
    <x v="0"/>
    <x v="8"/>
    <n v="131.6"/>
    <n v="48034"/>
    <n v="172922.4"/>
  </r>
  <r>
    <x v="0"/>
    <x v="1"/>
    <x v="1"/>
    <x v="9"/>
    <x v="19"/>
    <s v="SE3A"/>
    <x v="6"/>
    <x v="7"/>
    <s v="GNR_RES_WTR_NOPMP_MC-07"/>
    <x v="0"/>
    <x v="9"/>
    <n v="131.6"/>
    <n v="48034"/>
    <n v="172922.4"/>
  </r>
  <r>
    <x v="0"/>
    <x v="1"/>
    <x v="1"/>
    <x v="9"/>
    <x v="19"/>
    <s v="SE3A"/>
    <x v="6"/>
    <x v="7"/>
    <s v="GNR_RES_WTR_NOPMP_MC-08"/>
    <x v="0"/>
    <x v="6"/>
    <n v="131.6"/>
    <n v="48034"/>
    <n v="172922.4"/>
  </r>
  <r>
    <x v="0"/>
    <x v="1"/>
    <x v="1"/>
    <x v="9"/>
    <x v="19"/>
    <s v="SE3A"/>
    <x v="6"/>
    <x v="7"/>
    <s v="GNR_RES_WTR_NOPMP_MC-08"/>
    <x v="0"/>
    <x v="7"/>
    <n v="131.6"/>
    <n v="48034"/>
    <n v="172922.4"/>
  </r>
  <r>
    <x v="0"/>
    <x v="1"/>
    <x v="1"/>
    <x v="9"/>
    <x v="19"/>
    <s v="SE3A"/>
    <x v="6"/>
    <x v="7"/>
    <s v="GNR_RES_WTR_NOPMP_MC-08"/>
    <x v="0"/>
    <x v="8"/>
    <n v="131.6"/>
    <n v="48034"/>
    <n v="172922.4"/>
  </r>
  <r>
    <x v="0"/>
    <x v="1"/>
    <x v="1"/>
    <x v="9"/>
    <x v="19"/>
    <s v="SE3A"/>
    <x v="6"/>
    <x v="4"/>
    <s v="GNR_ROR_WTR"/>
    <x v="0"/>
    <x v="0"/>
    <n v="617.81098324135996"/>
    <n v="225501.00888309701"/>
    <n v="811803.63197914802"/>
  </r>
  <r>
    <x v="0"/>
    <x v="1"/>
    <x v="1"/>
    <x v="9"/>
    <x v="19"/>
    <s v="SE3A"/>
    <x v="6"/>
    <x v="4"/>
    <s v="GNR_ROR_WTR"/>
    <x v="0"/>
    <x v="1"/>
    <n v="617.81098324135996"/>
    <n v="225501.00888309701"/>
    <n v="811803.63197914802"/>
  </r>
  <r>
    <x v="0"/>
    <x v="1"/>
    <x v="1"/>
    <x v="9"/>
    <x v="19"/>
    <s v="SE3A"/>
    <x v="6"/>
    <x v="4"/>
    <s v="GNR_ROR_WTR"/>
    <x v="0"/>
    <x v="18"/>
    <n v="617.81098324135996"/>
    <n v="225501.00888309701"/>
    <n v="811803.63197914802"/>
  </r>
  <r>
    <x v="0"/>
    <x v="1"/>
    <x v="1"/>
    <x v="9"/>
    <x v="19"/>
    <s v="SE3A"/>
    <x v="6"/>
    <x v="4"/>
    <s v="GNR_ROR_WTR"/>
    <x v="0"/>
    <x v="2"/>
    <n v="617.81098324135996"/>
    <n v="225501.00888309701"/>
    <n v="811803.63197914802"/>
  </r>
  <r>
    <x v="0"/>
    <x v="1"/>
    <x v="1"/>
    <x v="9"/>
    <x v="19"/>
    <s v="SE3A"/>
    <x v="6"/>
    <x v="4"/>
    <s v="GNR_ROR_WTR"/>
    <x v="0"/>
    <x v="3"/>
    <n v="617.81098324135996"/>
    <n v="225501.00888309701"/>
    <n v="811803.63197914802"/>
  </r>
  <r>
    <x v="0"/>
    <x v="1"/>
    <x v="1"/>
    <x v="9"/>
    <x v="19"/>
    <s v="SE3A"/>
    <x v="6"/>
    <x v="4"/>
    <s v="GNR_ROR_WTR"/>
    <x v="0"/>
    <x v="4"/>
    <n v="617.81098324135996"/>
    <n v="225501.00888309701"/>
    <n v="811803.63197914802"/>
  </r>
  <r>
    <x v="0"/>
    <x v="1"/>
    <x v="1"/>
    <x v="9"/>
    <x v="19"/>
    <s v="SE3A"/>
    <x v="6"/>
    <x v="4"/>
    <s v="GNR_ROR_WTR"/>
    <x v="0"/>
    <x v="5"/>
    <n v="617.81098324135996"/>
    <n v="225501.00888309701"/>
    <n v="811803.63197914802"/>
  </r>
  <r>
    <x v="0"/>
    <x v="1"/>
    <x v="1"/>
    <x v="9"/>
    <x v="19"/>
    <s v="SE3A"/>
    <x v="6"/>
    <x v="4"/>
    <s v="GNR_ROR_WTR"/>
    <x v="0"/>
    <x v="6"/>
    <n v="617.81098324135996"/>
    <n v="225501.00888309701"/>
    <n v="811803.63197914802"/>
  </r>
  <r>
    <x v="0"/>
    <x v="1"/>
    <x v="1"/>
    <x v="9"/>
    <x v="19"/>
    <s v="SE3A"/>
    <x v="6"/>
    <x v="4"/>
    <s v="GNR_ROR_WTR"/>
    <x v="0"/>
    <x v="7"/>
    <n v="617.81098324135996"/>
    <n v="225501.00888309701"/>
    <n v="811803.63197914802"/>
  </r>
  <r>
    <x v="0"/>
    <x v="1"/>
    <x v="1"/>
    <x v="9"/>
    <x v="19"/>
    <s v="SE3A"/>
    <x v="6"/>
    <x v="4"/>
    <s v="GNR_ROR_WTR"/>
    <x v="0"/>
    <x v="8"/>
    <n v="617.81098324135996"/>
    <n v="225501.00888309701"/>
    <n v="811803.63197914802"/>
  </r>
  <r>
    <x v="0"/>
    <x v="1"/>
    <x v="1"/>
    <x v="9"/>
    <x v="19"/>
    <s v="SE3A"/>
    <x v="6"/>
    <x v="4"/>
    <s v="GNR_ROR_WTR"/>
    <x v="0"/>
    <x v="9"/>
    <n v="617.81098324135996"/>
    <n v="225501.00888309701"/>
    <n v="811803.63197914802"/>
  </r>
  <r>
    <x v="0"/>
    <x v="1"/>
    <x v="1"/>
    <x v="9"/>
    <x v="19"/>
    <s v="SE3A"/>
    <x v="6"/>
    <x v="4"/>
    <s v="GNR_ROR_WTR"/>
    <x v="0"/>
    <x v="10"/>
    <n v="617.81098324135996"/>
    <n v="225501.00888309701"/>
    <n v="811803.63197914802"/>
  </r>
  <r>
    <x v="0"/>
    <x v="1"/>
    <x v="1"/>
    <x v="9"/>
    <x v="19"/>
    <s v="SE3A"/>
    <x v="6"/>
    <x v="4"/>
    <s v="GNR_ROR_WTR"/>
    <x v="0"/>
    <x v="11"/>
    <n v="617.81098324135996"/>
    <n v="225501.00888309701"/>
    <n v="811803.63197914802"/>
  </r>
  <r>
    <x v="0"/>
    <x v="1"/>
    <x v="1"/>
    <x v="9"/>
    <x v="19"/>
    <s v="SE3A"/>
    <x v="6"/>
    <x v="4"/>
    <s v="GNR_ROR_WTR"/>
    <x v="0"/>
    <x v="12"/>
    <n v="617.81098324135996"/>
    <n v="225501.00888309701"/>
    <n v="811803.63197914802"/>
  </r>
  <r>
    <x v="0"/>
    <x v="1"/>
    <x v="1"/>
    <x v="9"/>
    <x v="19"/>
    <s v="SE3A"/>
    <x v="6"/>
    <x v="4"/>
    <s v="GNR_ROR_WTR"/>
    <x v="0"/>
    <x v="13"/>
    <n v="617.81098324135996"/>
    <n v="225501.00888309701"/>
    <n v="811803.63197914802"/>
  </r>
  <r>
    <x v="0"/>
    <x v="1"/>
    <x v="1"/>
    <x v="9"/>
    <x v="19"/>
    <s v="SE3A"/>
    <x v="6"/>
    <x v="4"/>
    <s v="GNR_ROR_WTR"/>
    <x v="0"/>
    <x v="14"/>
    <n v="617.81098324135996"/>
    <n v="225501.00888309701"/>
    <n v="811803.63197914802"/>
  </r>
  <r>
    <x v="0"/>
    <x v="1"/>
    <x v="1"/>
    <x v="9"/>
    <x v="19"/>
    <s v="SE3A"/>
    <x v="6"/>
    <x v="4"/>
    <s v="GNR_ROR_WTR"/>
    <x v="0"/>
    <x v="15"/>
    <n v="617.81098324135996"/>
    <n v="225501.00888309701"/>
    <n v="811803.63197914802"/>
  </r>
  <r>
    <x v="0"/>
    <x v="1"/>
    <x v="1"/>
    <x v="9"/>
    <x v="19"/>
    <s v="SE3A"/>
    <x v="6"/>
    <x v="4"/>
    <s v="GNR_ROR_WTR"/>
    <x v="0"/>
    <x v="16"/>
    <n v="617.81098324135996"/>
    <n v="225501.00888309701"/>
    <n v="811803.63197914802"/>
  </r>
  <r>
    <x v="0"/>
    <x v="1"/>
    <x v="1"/>
    <x v="9"/>
    <x v="19"/>
    <s v="SE3A"/>
    <x v="6"/>
    <x v="4"/>
    <s v="GNR_ROR_WTR"/>
    <x v="0"/>
    <x v="17"/>
    <n v="617.81098324135996"/>
    <n v="225501.00888309701"/>
    <n v="811803.63197914802"/>
  </r>
  <r>
    <x v="0"/>
    <x v="1"/>
    <x v="1"/>
    <x v="9"/>
    <x v="19"/>
    <s v="SE3A"/>
    <x v="6"/>
    <x v="4"/>
    <s v="GNR_ROR_WTR"/>
    <x v="0"/>
    <x v="19"/>
    <n v="617.81098324135996"/>
    <n v="225501.00888309701"/>
    <n v="811803.63197914802"/>
  </r>
  <r>
    <x v="0"/>
    <x v="1"/>
    <x v="1"/>
    <x v="9"/>
    <x v="19"/>
    <s v="SE3A"/>
    <x v="6"/>
    <x v="4"/>
    <s v="GNR_ROR_WTR"/>
    <x v="0"/>
    <x v="20"/>
    <n v="617.81098324135996"/>
    <n v="225501.00888309701"/>
    <n v="811803.63197914802"/>
  </r>
  <r>
    <x v="0"/>
    <x v="1"/>
    <x v="1"/>
    <x v="9"/>
    <x v="19"/>
    <s v="SE3A"/>
    <x v="6"/>
    <x v="4"/>
    <s v="GNR_ROR_WTR"/>
    <x v="0"/>
    <x v="21"/>
    <n v="617.81098324135996"/>
    <n v="225501.00888309701"/>
    <n v="811803.63197914802"/>
  </r>
  <r>
    <x v="0"/>
    <x v="1"/>
    <x v="1"/>
    <x v="9"/>
    <x v="19"/>
    <s v="SE3A"/>
    <x v="6"/>
    <x v="4"/>
    <s v="GNR_ROR_WTR"/>
    <x v="0"/>
    <x v="22"/>
    <n v="617.81098324135996"/>
    <n v="225501.00888309701"/>
    <n v="811803.63197914802"/>
  </r>
  <r>
    <x v="0"/>
    <x v="1"/>
    <x v="1"/>
    <x v="9"/>
    <x v="19"/>
    <s v="SE3A"/>
    <x v="6"/>
    <x v="4"/>
    <s v="GNR_ROR_WTR"/>
    <x v="0"/>
    <x v="23"/>
    <n v="617.81098324135996"/>
    <n v="225501.00888309701"/>
    <n v="811803.63197914802"/>
  </r>
  <r>
    <x v="0"/>
    <x v="1"/>
    <x v="1"/>
    <x v="9"/>
    <x v="19"/>
    <s v="SE3A"/>
    <x v="7"/>
    <x v="5"/>
    <s v="GNR_WT_WIND_ONS"/>
    <x v="0"/>
    <x v="0"/>
    <n v="906.86347784045302"/>
    <n v="331005.169411765"/>
    <n v="1191618.6098823601"/>
  </r>
  <r>
    <x v="0"/>
    <x v="1"/>
    <x v="1"/>
    <x v="9"/>
    <x v="19"/>
    <s v="SE3A"/>
    <x v="7"/>
    <x v="5"/>
    <s v="GNR_WT_WIND_ONS"/>
    <x v="0"/>
    <x v="1"/>
    <n v="834.47993636779995"/>
    <n v="304585.17677424703"/>
    <n v="1096506.63638729"/>
  </r>
  <r>
    <x v="0"/>
    <x v="1"/>
    <x v="1"/>
    <x v="9"/>
    <x v="19"/>
    <s v="SE3A"/>
    <x v="7"/>
    <x v="5"/>
    <s v="GNR_WT_WIND_ONS"/>
    <x v="0"/>
    <x v="18"/>
    <n v="697.04324790844396"/>
    <n v="254420.785486582"/>
    <n v="915914.82775169599"/>
  </r>
  <r>
    <x v="0"/>
    <x v="1"/>
    <x v="1"/>
    <x v="9"/>
    <x v="19"/>
    <s v="SE3A"/>
    <x v="7"/>
    <x v="5"/>
    <s v="GNR_WT_WIND_ONS"/>
    <x v="0"/>
    <x v="2"/>
    <n v="470.00096482568603"/>
    <n v="171550.35216137499"/>
    <n v="617581.26778095099"/>
  </r>
  <r>
    <x v="0"/>
    <x v="1"/>
    <x v="1"/>
    <x v="9"/>
    <x v="19"/>
    <s v="SE3A"/>
    <x v="7"/>
    <x v="5"/>
    <s v="GNR_WT_WIND_ONS"/>
    <x v="0"/>
    <x v="3"/>
    <n v="452.49909108681101"/>
    <n v="165162.16824668599"/>
    <n v="594583.80568807002"/>
  </r>
  <r>
    <x v="0"/>
    <x v="1"/>
    <x v="1"/>
    <x v="9"/>
    <x v="19"/>
    <s v="SE3A"/>
    <x v="7"/>
    <x v="5"/>
    <s v="GNR_WT_WIND_ONS"/>
    <x v="0"/>
    <x v="4"/>
    <n v="364.52744205844198"/>
    <n v="133052.516351331"/>
    <n v="478989.05886479298"/>
  </r>
  <r>
    <x v="0"/>
    <x v="1"/>
    <x v="1"/>
    <x v="9"/>
    <x v="19"/>
    <s v="SE3A"/>
    <x v="7"/>
    <x v="5"/>
    <s v="GNR_WT_WIND_ONS"/>
    <x v="0"/>
    <x v="5"/>
    <n v="329.55897607886402"/>
    <n v="120289.026268785"/>
    <n v="433040.49456762802"/>
  </r>
  <r>
    <x v="0"/>
    <x v="1"/>
    <x v="1"/>
    <x v="9"/>
    <x v="19"/>
    <s v="SE3A"/>
    <x v="7"/>
    <x v="5"/>
    <s v="GNR_WT_WIND_ONS"/>
    <x v="0"/>
    <x v="6"/>
    <n v="417.643752132109"/>
    <n v="152439.96952822001"/>
    <n v="548783.89030159102"/>
  </r>
  <r>
    <x v="0"/>
    <x v="1"/>
    <x v="1"/>
    <x v="9"/>
    <x v="19"/>
    <s v="SE3A"/>
    <x v="7"/>
    <x v="5"/>
    <s v="GNR_WT_WIND_ONS"/>
    <x v="0"/>
    <x v="7"/>
    <n v="491.88793638189799"/>
    <n v="179539.096779393"/>
    <n v="646340.74840581405"/>
  </r>
  <r>
    <x v="0"/>
    <x v="1"/>
    <x v="1"/>
    <x v="9"/>
    <x v="19"/>
    <s v="SE3A"/>
    <x v="7"/>
    <x v="5"/>
    <s v="GNR_WT_WIND_ONS"/>
    <x v="0"/>
    <x v="8"/>
    <n v="526.792626286943"/>
    <n v="192279.308594734"/>
    <n v="692205.51094104303"/>
  </r>
  <r>
    <x v="0"/>
    <x v="1"/>
    <x v="1"/>
    <x v="9"/>
    <x v="19"/>
    <s v="SE3A"/>
    <x v="7"/>
    <x v="5"/>
    <s v="GNR_WT_WIND_ONS"/>
    <x v="0"/>
    <x v="9"/>
    <n v="671.29854684841303"/>
    <n v="245023.96959967099"/>
    <n v="882086.29055881395"/>
  </r>
  <r>
    <x v="0"/>
    <x v="1"/>
    <x v="1"/>
    <x v="9"/>
    <x v="19"/>
    <s v="SE3A"/>
    <x v="7"/>
    <x v="5"/>
    <s v="GNR_WT_WIND_ONS"/>
    <x v="0"/>
    <x v="10"/>
    <n v="697.56890783013296"/>
    <n v="254612.65135799901"/>
    <n v="916605.544888795"/>
  </r>
  <r>
    <x v="0"/>
    <x v="1"/>
    <x v="1"/>
    <x v="9"/>
    <x v="19"/>
    <s v="SE3A"/>
    <x v="7"/>
    <x v="5"/>
    <s v="GNR_WT_WIND_ONS"/>
    <x v="0"/>
    <x v="11"/>
    <n v="774.85025708189903"/>
    <n v="282820.34383489302"/>
    <n v="1018153.23780562"/>
  </r>
  <r>
    <x v="0"/>
    <x v="1"/>
    <x v="1"/>
    <x v="9"/>
    <x v="19"/>
    <s v="SE3A"/>
    <x v="7"/>
    <x v="5"/>
    <s v="GNR_WT_WIND_ONS"/>
    <x v="0"/>
    <x v="12"/>
    <n v="944.97127998255201"/>
    <n v="344914.51719363203"/>
    <n v="1241692.2618970701"/>
  </r>
  <r>
    <x v="0"/>
    <x v="1"/>
    <x v="1"/>
    <x v="9"/>
    <x v="19"/>
    <s v="SE3A"/>
    <x v="7"/>
    <x v="5"/>
    <s v="GNR_WT_WIND_ONS"/>
    <x v="0"/>
    <x v="13"/>
    <n v="1058.6921255320501"/>
    <n v="386422.62581919797"/>
    <n v="1391121.45294911"/>
  </r>
  <r>
    <x v="0"/>
    <x v="1"/>
    <x v="1"/>
    <x v="9"/>
    <x v="19"/>
    <s v="SE3A"/>
    <x v="7"/>
    <x v="5"/>
    <s v="GNR_WT_WIND_ONS"/>
    <x v="0"/>
    <x v="14"/>
    <n v="1137.31576349238"/>
    <n v="415120.25367471803"/>
    <n v="1494432.91322899"/>
  </r>
  <r>
    <x v="0"/>
    <x v="1"/>
    <x v="1"/>
    <x v="9"/>
    <x v="19"/>
    <s v="SE3A"/>
    <x v="7"/>
    <x v="5"/>
    <s v="GNR_WT_WIND_ONS"/>
    <x v="0"/>
    <x v="15"/>
    <n v="1154.6470254451001"/>
    <n v="421446.16428746301"/>
    <n v="1517206.19143487"/>
  </r>
  <r>
    <x v="0"/>
    <x v="1"/>
    <x v="1"/>
    <x v="9"/>
    <x v="19"/>
    <s v="SE3A"/>
    <x v="7"/>
    <x v="5"/>
    <s v="GNR_WT_WIND_ONS"/>
    <x v="0"/>
    <x v="16"/>
    <n v="1222.9066956218301"/>
    <n v="446360.943901969"/>
    <n v="1606899.39804709"/>
  </r>
  <r>
    <x v="0"/>
    <x v="1"/>
    <x v="1"/>
    <x v="9"/>
    <x v="19"/>
    <s v="SE3A"/>
    <x v="7"/>
    <x v="5"/>
    <s v="GNR_WT_WIND_ONS"/>
    <x v="0"/>
    <x v="17"/>
    <n v="1162.7399574175599"/>
    <n v="424400.08445740899"/>
    <n v="1527840.30404667"/>
  </r>
  <r>
    <x v="0"/>
    <x v="1"/>
    <x v="1"/>
    <x v="9"/>
    <x v="19"/>
    <s v="SE3A"/>
    <x v="7"/>
    <x v="5"/>
    <s v="GNR_WT_WIND_ONS"/>
    <x v="0"/>
    <x v="19"/>
    <n v="1036.92667719264"/>
    <n v="378478.23717531399"/>
    <n v="1362521.6538311299"/>
  </r>
  <r>
    <x v="0"/>
    <x v="1"/>
    <x v="1"/>
    <x v="9"/>
    <x v="19"/>
    <s v="SE3A"/>
    <x v="7"/>
    <x v="5"/>
    <s v="GNR_WT_WIND_ONS"/>
    <x v="0"/>
    <x v="20"/>
    <n v="872.518913058831"/>
    <n v="318469.40326647297"/>
    <n v="1146489.8517593001"/>
  </r>
  <r>
    <x v="0"/>
    <x v="1"/>
    <x v="1"/>
    <x v="9"/>
    <x v="19"/>
    <s v="SE3A"/>
    <x v="7"/>
    <x v="5"/>
    <s v="GNR_WT_WIND_ONS"/>
    <x v="0"/>
    <x v="21"/>
    <n v="706.858052263643"/>
    <n v="258003.18907622999"/>
    <n v="928811.480674427"/>
  </r>
  <r>
    <x v="0"/>
    <x v="1"/>
    <x v="1"/>
    <x v="9"/>
    <x v="19"/>
    <s v="SE3A"/>
    <x v="7"/>
    <x v="5"/>
    <s v="GNR_WT_WIND_ONS"/>
    <x v="0"/>
    <x v="22"/>
    <n v="662.767176228626"/>
    <n v="241910.019323449"/>
    <n v="870876.06956441503"/>
  </r>
  <r>
    <x v="0"/>
    <x v="1"/>
    <x v="1"/>
    <x v="9"/>
    <x v="19"/>
    <s v="SE3A"/>
    <x v="7"/>
    <x v="5"/>
    <s v="GNR_WT_WIND_ONS"/>
    <x v="0"/>
    <x v="23"/>
    <n v="700.60829432455796"/>
    <n v="255722.027428464"/>
    <n v="920599.29874246905"/>
  </r>
  <r>
    <x v="0"/>
    <x v="1"/>
    <x v="1"/>
    <x v="9"/>
    <x v="19"/>
    <s v="SE3_EL"/>
    <x v="0"/>
    <x v="0"/>
    <s v="GEXT_COAL_LINK"/>
    <x v="0"/>
    <x v="6"/>
    <n v="14.769566729849"/>
    <n v="5390.8918563948801"/>
    <n v="19407.2106830216"/>
  </r>
  <r>
    <x v="0"/>
    <x v="1"/>
    <x v="1"/>
    <x v="9"/>
    <x v="19"/>
    <s v="SE3_EL"/>
    <x v="0"/>
    <x v="0"/>
    <s v="GEXT_COAL_LINK"/>
    <x v="0"/>
    <x v="7"/>
    <n v="14.769566729849"/>
    <n v="5390.8918563948801"/>
    <n v="19407.2106830216"/>
  </r>
  <r>
    <x v="0"/>
    <x v="1"/>
    <x v="1"/>
    <x v="9"/>
    <x v="19"/>
    <s v="SE3_EL"/>
    <x v="0"/>
    <x v="0"/>
    <s v="GEXT_COAL_LINK"/>
    <x v="0"/>
    <x v="8"/>
    <n v="14.769566729849"/>
    <n v="5390.8918563948801"/>
    <n v="19407.2106830216"/>
  </r>
  <r>
    <x v="0"/>
    <x v="1"/>
    <x v="1"/>
    <x v="9"/>
    <x v="19"/>
    <s v="SE3_EL"/>
    <x v="0"/>
    <x v="0"/>
    <s v="GEXT_COAL_LINK"/>
    <x v="0"/>
    <x v="9"/>
    <n v="14.769566729849"/>
    <n v="5390.8918563948801"/>
    <n v="19407.2106830216"/>
  </r>
  <r>
    <x v="0"/>
    <x v="1"/>
    <x v="1"/>
    <x v="9"/>
    <x v="19"/>
    <s v="SE3_EL"/>
    <x v="2"/>
    <x v="2"/>
    <s v="GBPR_MUNIWASTE_24"/>
    <x v="0"/>
    <x v="5"/>
    <n v="46.222048776481302"/>
    <n v="16871.047803415699"/>
    <n v="60735.7720922964"/>
  </r>
  <r>
    <x v="0"/>
    <x v="1"/>
    <x v="1"/>
    <x v="9"/>
    <x v="19"/>
    <s v="SE3_EL"/>
    <x v="2"/>
    <x v="2"/>
    <s v="GBPR_MUNIWASTE_24"/>
    <x v="0"/>
    <x v="6"/>
    <n v="46.222048776481302"/>
    <n v="16871.047803415699"/>
    <n v="60735.7720922964"/>
  </r>
  <r>
    <x v="0"/>
    <x v="1"/>
    <x v="1"/>
    <x v="9"/>
    <x v="19"/>
    <s v="SE3_EL"/>
    <x v="2"/>
    <x v="2"/>
    <s v="GBPR_MUNIWASTE_24"/>
    <x v="0"/>
    <x v="7"/>
    <n v="46.222048776481302"/>
    <n v="16871.047803415699"/>
    <n v="60735.7720922964"/>
  </r>
  <r>
    <x v="0"/>
    <x v="1"/>
    <x v="1"/>
    <x v="9"/>
    <x v="19"/>
    <s v="SE3_EL"/>
    <x v="2"/>
    <x v="2"/>
    <s v="GBPR_MUNIWASTE_24"/>
    <x v="0"/>
    <x v="8"/>
    <n v="46.222048776481302"/>
    <n v="16871.047803415699"/>
    <n v="60735.7720922964"/>
  </r>
  <r>
    <x v="0"/>
    <x v="1"/>
    <x v="1"/>
    <x v="9"/>
    <x v="19"/>
    <s v="SE3_EL"/>
    <x v="2"/>
    <x v="2"/>
    <s v="GBPR_MUNIWASTE_24"/>
    <x v="0"/>
    <x v="9"/>
    <n v="46.222048776481302"/>
    <n v="16871.047803415699"/>
    <n v="60735.7720922964"/>
  </r>
  <r>
    <x v="0"/>
    <x v="1"/>
    <x v="1"/>
    <x v="9"/>
    <x v="19"/>
    <s v="SE3_EL"/>
    <x v="2"/>
    <x v="2"/>
    <s v="GBPR_MUNIWASTE_24"/>
    <x v="0"/>
    <x v="10"/>
    <n v="46.222048776481302"/>
    <n v="16871.047803415699"/>
    <n v="60735.7720922964"/>
  </r>
  <r>
    <x v="0"/>
    <x v="1"/>
    <x v="1"/>
    <x v="9"/>
    <x v="19"/>
    <s v="SE3_EL"/>
    <x v="2"/>
    <x v="2"/>
    <s v="GBPR_MUNIWASTE_24"/>
    <x v="0"/>
    <x v="11"/>
    <n v="46.222048776481302"/>
    <n v="16871.047803415699"/>
    <n v="60735.7720922964"/>
  </r>
  <r>
    <x v="0"/>
    <x v="1"/>
    <x v="1"/>
    <x v="9"/>
    <x v="19"/>
    <s v="SE3_EL"/>
    <x v="2"/>
    <x v="2"/>
    <s v="GBPR_MUNIWASTE_24"/>
    <x v="0"/>
    <x v="12"/>
    <n v="46.222048776481302"/>
    <n v="16871.047803415699"/>
    <n v="60735.7720922964"/>
  </r>
  <r>
    <x v="0"/>
    <x v="1"/>
    <x v="1"/>
    <x v="9"/>
    <x v="19"/>
    <s v="SE3_EL"/>
    <x v="2"/>
    <x v="2"/>
    <s v="GBPR_MUNIWASTE_24"/>
    <x v="0"/>
    <x v="13"/>
    <n v="46.222048776481302"/>
    <n v="16871.047803415699"/>
    <n v="60735.7720922964"/>
  </r>
  <r>
    <x v="0"/>
    <x v="1"/>
    <x v="1"/>
    <x v="9"/>
    <x v="19"/>
    <s v="SE3_EL"/>
    <x v="2"/>
    <x v="2"/>
    <s v="GBPR_MUNIWASTE_24"/>
    <x v="0"/>
    <x v="14"/>
    <n v="46.222048776481302"/>
    <n v="16871.047803415699"/>
    <n v="60735.7720922964"/>
  </r>
  <r>
    <x v="0"/>
    <x v="1"/>
    <x v="1"/>
    <x v="9"/>
    <x v="19"/>
    <s v="SE3_EL"/>
    <x v="2"/>
    <x v="2"/>
    <s v="GBPR_MUNIWASTE_24"/>
    <x v="0"/>
    <x v="15"/>
    <n v="46.222048776481302"/>
    <n v="16871.047803415699"/>
    <n v="60735.7720922964"/>
  </r>
  <r>
    <x v="0"/>
    <x v="1"/>
    <x v="1"/>
    <x v="9"/>
    <x v="19"/>
    <s v="SE3_EL"/>
    <x v="2"/>
    <x v="2"/>
    <s v="GBPR_MUNIWASTE_24"/>
    <x v="0"/>
    <x v="16"/>
    <n v="46.222048776481302"/>
    <n v="16871.047803415699"/>
    <n v="60735.7720922964"/>
  </r>
  <r>
    <x v="0"/>
    <x v="1"/>
    <x v="1"/>
    <x v="9"/>
    <x v="19"/>
    <s v="SE3_EL"/>
    <x v="2"/>
    <x v="2"/>
    <s v="GBPR_MUNIWASTE_24"/>
    <x v="0"/>
    <x v="17"/>
    <n v="46.222048776481302"/>
    <n v="16871.047803415699"/>
    <n v="60735.7720922964"/>
  </r>
  <r>
    <x v="0"/>
    <x v="1"/>
    <x v="1"/>
    <x v="9"/>
    <x v="19"/>
    <s v="SE3_EL"/>
    <x v="13"/>
    <x v="0"/>
    <s v="GEXT_PEAT"/>
    <x v="0"/>
    <x v="5"/>
    <n v="98.826039385370706"/>
    <n v="36071.504375660297"/>
    <n v="129857.415752377"/>
  </r>
  <r>
    <x v="0"/>
    <x v="1"/>
    <x v="1"/>
    <x v="9"/>
    <x v="19"/>
    <s v="SE3_EL"/>
    <x v="13"/>
    <x v="0"/>
    <s v="GEXT_PEAT"/>
    <x v="0"/>
    <x v="6"/>
    <n v="98.826039385370706"/>
    <n v="36071.504375660297"/>
    <n v="129857.415752377"/>
  </r>
  <r>
    <x v="0"/>
    <x v="1"/>
    <x v="1"/>
    <x v="9"/>
    <x v="19"/>
    <s v="SE3_EL"/>
    <x v="13"/>
    <x v="0"/>
    <s v="GEXT_PEAT"/>
    <x v="0"/>
    <x v="7"/>
    <n v="98.826039385370706"/>
    <n v="36071.504375660297"/>
    <n v="129857.415752377"/>
  </r>
  <r>
    <x v="0"/>
    <x v="1"/>
    <x v="1"/>
    <x v="9"/>
    <x v="19"/>
    <s v="SE3_EL"/>
    <x v="13"/>
    <x v="0"/>
    <s v="GEXT_PEAT"/>
    <x v="0"/>
    <x v="8"/>
    <n v="98.826039385370706"/>
    <n v="36071.504375660297"/>
    <n v="129857.415752377"/>
  </r>
  <r>
    <x v="0"/>
    <x v="1"/>
    <x v="1"/>
    <x v="9"/>
    <x v="19"/>
    <s v="SE3_EL"/>
    <x v="13"/>
    <x v="0"/>
    <s v="GEXT_PEAT"/>
    <x v="0"/>
    <x v="9"/>
    <n v="98.826039385370706"/>
    <n v="36071.504375660297"/>
    <n v="129857.415752377"/>
  </r>
  <r>
    <x v="0"/>
    <x v="1"/>
    <x v="1"/>
    <x v="9"/>
    <x v="19"/>
    <s v="SE3_EL"/>
    <x v="13"/>
    <x v="0"/>
    <s v="GEXT_PEAT"/>
    <x v="0"/>
    <x v="10"/>
    <n v="98.826039385370706"/>
    <n v="36071.504375660297"/>
    <n v="129857.415752377"/>
  </r>
  <r>
    <x v="0"/>
    <x v="1"/>
    <x v="1"/>
    <x v="9"/>
    <x v="19"/>
    <s v="SE3_EL"/>
    <x v="13"/>
    <x v="0"/>
    <s v="GEXT_PEAT"/>
    <x v="0"/>
    <x v="11"/>
    <n v="98.826039385370706"/>
    <n v="36071.504375660297"/>
    <n v="129857.415752377"/>
  </r>
  <r>
    <x v="0"/>
    <x v="1"/>
    <x v="1"/>
    <x v="9"/>
    <x v="19"/>
    <s v="SE3_EL"/>
    <x v="13"/>
    <x v="0"/>
    <s v="GEXT_PEAT"/>
    <x v="0"/>
    <x v="12"/>
    <n v="98.826039385370706"/>
    <n v="36071.504375660297"/>
    <n v="129857.415752377"/>
  </r>
  <r>
    <x v="0"/>
    <x v="1"/>
    <x v="1"/>
    <x v="9"/>
    <x v="19"/>
    <s v="SE3_EL"/>
    <x v="13"/>
    <x v="0"/>
    <s v="GEXT_PEAT"/>
    <x v="0"/>
    <x v="13"/>
    <n v="98.826039385370706"/>
    <n v="36071.504375660297"/>
    <n v="129857.415752377"/>
  </r>
  <r>
    <x v="0"/>
    <x v="1"/>
    <x v="1"/>
    <x v="9"/>
    <x v="19"/>
    <s v="SE3_EL"/>
    <x v="13"/>
    <x v="0"/>
    <s v="GEXT_PEAT"/>
    <x v="0"/>
    <x v="14"/>
    <n v="98.826039385370706"/>
    <n v="36071.504375660297"/>
    <n v="129857.415752377"/>
  </r>
  <r>
    <x v="0"/>
    <x v="1"/>
    <x v="1"/>
    <x v="9"/>
    <x v="19"/>
    <s v="SE3_EL"/>
    <x v="13"/>
    <x v="0"/>
    <s v="GEXT_PEAT"/>
    <x v="0"/>
    <x v="15"/>
    <n v="98.826039385370706"/>
    <n v="36071.504375660297"/>
    <n v="129857.415752377"/>
  </r>
  <r>
    <x v="0"/>
    <x v="1"/>
    <x v="1"/>
    <x v="9"/>
    <x v="19"/>
    <s v="SE3_EL"/>
    <x v="13"/>
    <x v="0"/>
    <s v="GEXT_PEAT"/>
    <x v="0"/>
    <x v="16"/>
    <n v="98.826039385370706"/>
    <n v="36071.504375660297"/>
    <n v="129857.415752377"/>
  </r>
  <r>
    <x v="0"/>
    <x v="1"/>
    <x v="1"/>
    <x v="9"/>
    <x v="19"/>
    <s v="SE3_EL"/>
    <x v="10"/>
    <x v="2"/>
    <s v="GBPR_WOODWASTE_ABY"/>
    <x v="0"/>
    <x v="0"/>
    <n v="101.938213660245"/>
    <n v="37207.4479859895"/>
    <n v="133946.812749562"/>
  </r>
  <r>
    <x v="0"/>
    <x v="1"/>
    <x v="1"/>
    <x v="9"/>
    <x v="19"/>
    <s v="SE3_EL"/>
    <x v="10"/>
    <x v="2"/>
    <s v="GBPR_WOODWASTE_ABY"/>
    <x v="0"/>
    <x v="1"/>
    <n v="101.938213660245"/>
    <n v="37207.4479859895"/>
    <n v="133946.812749562"/>
  </r>
  <r>
    <x v="0"/>
    <x v="1"/>
    <x v="1"/>
    <x v="9"/>
    <x v="19"/>
    <s v="SE3_EL"/>
    <x v="10"/>
    <x v="2"/>
    <s v="GBPR_WOODWASTE_ABY"/>
    <x v="0"/>
    <x v="18"/>
    <n v="101.938213660245"/>
    <n v="37207.4479859895"/>
    <n v="133946.812749562"/>
  </r>
  <r>
    <x v="0"/>
    <x v="1"/>
    <x v="1"/>
    <x v="9"/>
    <x v="19"/>
    <s v="SE3_EL"/>
    <x v="10"/>
    <x v="2"/>
    <s v="GBPR_WOODWASTE_ABY"/>
    <x v="0"/>
    <x v="2"/>
    <n v="101.938213660245"/>
    <n v="37207.4479859895"/>
    <n v="133946.812749562"/>
  </r>
  <r>
    <x v="0"/>
    <x v="1"/>
    <x v="1"/>
    <x v="9"/>
    <x v="19"/>
    <s v="SE3_EL"/>
    <x v="10"/>
    <x v="2"/>
    <s v="GBPR_WOODWASTE_ABY"/>
    <x v="0"/>
    <x v="3"/>
    <n v="101.938213660245"/>
    <n v="37207.4479859895"/>
    <n v="133946.812749562"/>
  </r>
  <r>
    <x v="0"/>
    <x v="1"/>
    <x v="1"/>
    <x v="9"/>
    <x v="19"/>
    <s v="SE3_EL"/>
    <x v="10"/>
    <x v="2"/>
    <s v="GBPR_WOODWASTE_ABY"/>
    <x v="0"/>
    <x v="4"/>
    <n v="101.938213660245"/>
    <n v="37207.4479859895"/>
    <n v="133946.812749562"/>
  </r>
  <r>
    <x v="0"/>
    <x v="1"/>
    <x v="1"/>
    <x v="9"/>
    <x v="19"/>
    <s v="SE3_EL"/>
    <x v="10"/>
    <x v="2"/>
    <s v="GBPR_WOODWASTE_ABY"/>
    <x v="0"/>
    <x v="5"/>
    <n v="101.938213660245"/>
    <n v="37207.4479859895"/>
    <n v="133946.812749562"/>
  </r>
  <r>
    <x v="0"/>
    <x v="1"/>
    <x v="1"/>
    <x v="9"/>
    <x v="19"/>
    <s v="SE3_EL"/>
    <x v="10"/>
    <x v="2"/>
    <s v="GBPR_WOODWASTE_ABY"/>
    <x v="0"/>
    <x v="6"/>
    <n v="101.938213660245"/>
    <n v="37207.4479859895"/>
    <n v="133946.812749562"/>
  </r>
  <r>
    <x v="0"/>
    <x v="1"/>
    <x v="1"/>
    <x v="9"/>
    <x v="19"/>
    <s v="SE3_EL"/>
    <x v="10"/>
    <x v="2"/>
    <s v="GBPR_WOODWASTE_ABY"/>
    <x v="0"/>
    <x v="7"/>
    <n v="101.938213660245"/>
    <n v="37207.4479859895"/>
    <n v="133946.812749562"/>
  </r>
  <r>
    <x v="0"/>
    <x v="1"/>
    <x v="1"/>
    <x v="9"/>
    <x v="19"/>
    <s v="SE3_EL"/>
    <x v="10"/>
    <x v="2"/>
    <s v="GBPR_WOODWASTE_ABY"/>
    <x v="0"/>
    <x v="8"/>
    <n v="101.938213660245"/>
    <n v="37207.4479859895"/>
    <n v="133946.812749562"/>
  </r>
  <r>
    <x v="0"/>
    <x v="1"/>
    <x v="1"/>
    <x v="9"/>
    <x v="19"/>
    <s v="SE3_EL"/>
    <x v="10"/>
    <x v="2"/>
    <s v="GBPR_WOODWASTE_ABY"/>
    <x v="0"/>
    <x v="9"/>
    <n v="101.938213660245"/>
    <n v="37207.4479859895"/>
    <n v="133946.812749562"/>
  </r>
  <r>
    <x v="0"/>
    <x v="1"/>
    <x v="1"/>
    <x v="9"/>
    <x v="19"/>
    <s v="SE3_EL"/>
    <x v="10"/>
    <x v="2"/>
    <s v="GBPR_WOODWASTE_ABY"/>
    <x v="0"/>
    <x v="10"/>
    <n v="101.938213660245"/>
    <n v="37207.4479859895"/>
    <n v="133946.812749562"/>
  </r>
  <r>
    <x v="0"/>
    <x v="1"/>
    <x v="1"/>
    <x v="9"/>
    <x v="19"/>
    <s v="SE3_EL"/>
    <x v="10"/>
    <x v="2"/>
    <s v="GBPR_WOODWASTE_ABY"/>
    <x v="0"/>
    <x v="11"/>
    <n v="101.938213660245"/>
    <n v="37207.4479859895"/>
    <n v="133946.812749562"/>
  </r>
  <r>
    <x v="0"/>
    <x v="1"/>
    <x v="1"/>
    <x v="9"/>
    <x v="19"/>
    <s v="SE3_EL"/>
    <x v="10"/>
    <x v="2"/>
    <s v="GBPR_WOODWASTE_ABY"/>
    <x v="0"/>
    <x v="12"/>
    <n v="101.938213660245"/>
    <n v="37207.4479859895"/>
    <n v="133946.812749562"/>
  </r>
  <r>
    <x v="0"/>
    <x v="1"/>
    <x v="1"/>
    <x v="9"/>
    <x v="19"/>
    <s v="SE3_EL"/>
    <x v="10"/>
    <x v="2"/>
    <s v="GBPR_WOODWASTE_ABY"/>
    <x v="0"/>
    <x v="13"/>
    <n v="101.938213660245"/>
    <n v="37207.4479859895"/>
    <n v="133946.812749562"/>
  </r>
  <r>
    <x v="0"/>
    <x v="1"/>
    <x v="1"/>
    <x v="9"/>
    <x v="19"/>
    <s v="SE3_EL"/>
    <x v="10"/>
    <x v="2"/>
    <s v="GBPR_WOODWASTE_ABY"/>
    <x v="0"/>
    <x v="14"/>
    <n v="101.938213660245"/>
    <n v="37207.4479859895"/>
    <n v="133946.812749562"/>
  </r>
  <r>
    <x v="0"/>
    <x v="1"/>
    <x v="1"/>
    <x v="9"/>
    <x v="19"/>
    <s v="SE3_EL"/>
    <x v="10"/>
    <x v="2"/>
    <s v="GBPR_WOODWASTE_ABY"/>
    <x v="0"/>
    <x v="15"/>
    <n v="101.938213660245"/>
    <n v="37207.4479859895"/>
    <n v="133946.812749562"/>
  </r>
  <r>
    <x v="0"/>
    <x v="1"/>
    <x v="1"/>
    <x v="9"/>
    <x v="19"/>
    <s v="SE3_EL"/>
    <x v="10"/>
    <x v="2"/>
    <s v="GBPR_WOODWASTE_ABY"/>
    <x v="0"/>
    <x v="16"/>
    <n v="101.938213660245"/>
    <n v="37207.4479859895"/>
    <n v="133946.812749562"/>
  </r>
  <r>
    <x v="0"/>
    <x v="1"/>
    <x v="1"/>
    <x v="9"/>
    <x v="19"/>
    <s v="SE3_EL"/>
    <x v="10"/>
    <x v="2"/>
    <s v="GBPR_WOODWASTE_ABY"/>
    <x v="0"/>
    <x v="17"/>
    <n v="101.938213660245"/>
    <n v="37207.4479859895"/>
    <n v="133946.812749562"/>
  </r>
  <r>
    <x v="0"/>
    <x v="1"/>
    <x v="1"/>
    <x v="9"/>
    <x v="19"/>
    <s v="SE3_EL"/>
    <x v="10"/>
    <x v="2"/>
    <s v="GBPR_WOODWASTE_ABY"/>
    <x v="0"/>
    <x v="19"/>
    <n v="101.938213660245"/>
    <n v="37207.4479859895"/>
    <n v="133946.812749562"/>
  </r>
  <r>
    <x v="0"/>
    <x v="1"/>
    <x v="1"/>
    <x v="9"/>
    <x v="19"/>
    <s v="SE3_EL"/>
    <x v="10"/>
    <x v="2"/>
    <s v="GBPR_WOODWASTE_ABY"/>
    <x v="0"/>
    <x v="20"/>
    <n v="101.938213660245"/>
    <n v="37207.4479859895"/>
    <n v="133946.812749562"/>
  </r>
  <r>
    <x v="0"/>
    <x v="1"/>
    <x v="1"/>
    <x v="9"/>
    <x v="19"/>
    <s v="SE3_EL"/>
    <x v="10"/>
    <x v="2"/>
    <s v="GBPR_WOODWASTE_ABY"/>
    <x v="0"/>
    <x v="21"/>
    <n v="101.938213660245"/>
    <n v="37207.4479859895"/>
    <n v="133946.812749562"/>
  </r>
  <r>
    <x v="0"/>
    <x v="1"/>
    <x v="1"/>
    <x v="9"/>
    <x v="19"/>
    <s v="SE3_EL"/>
    <x v="10"/>
    <x v="2"/>
    <s v="GBPR_WOODWASTE_ABY"/>
    <x v="0"/>
    <x v="22"/>
    <n v="101.938213660245"/>
    <n v="37207.4479859895"/>
    <n v="133946.812749562"/>
  </r>
  <r>
    <x v="0"/>
    <x v="1"/>
    <x v="1"/>
    <x v="9"/>
    <x v="19"/>
    <s v="SE3_EL"/>
    <x v="10"/>
    <x v="2"/>
    <s v="GBPR_WOODWASTE_ABY"/>
    <x v="0"/>
    <x v="23"/>
    <n v="101.938213660245"/>
    <n v="37207.4479859895"/>
    <n v="133946.812749562"/>
  </r>
  <r>
    <x v="0"/>
    <x v="1"/>
    <x v="1"/>
    <x v="9"/>
    <x v="19"/>
    <s v="SE3_GOT"/>
    <x v="2"/>
    <x v="2"/>
    <s v="GBPR_MUNIWASTE_24"/>
    <x v="0"/>
    <x v="5"/>
    <n v="40.6"/>
    <n v="14819"/>
    <n v="53348.4"/>
  </r>
  <r>
    <x v="0"/>
    <x v="1"/>
    <x v="1"/>
    <x v="9"/>
    <x v="19"/>
    <s v="SE3_GOT"/>
    <x v="2"/>
    <x v="2"/>
    <s v="GBPR_MUNIWASTE_24"/>
    <x v="0"/>
    <x v="6"/>
    <n v="40.6"/>
    <n v="14819"/>
    <n v="53348.4"/>
  </r>
  <r>
    <x v="0"/>
    <x v="1"/>
    <x v="1"/>
    <x v="9"/>
    <x v="19"/>
    <s v="SE3_GOT"/>
    <x v="2"/>
    <x v="2"/>
    <s v="GBPR_MUNIWASTE_24"/>
    <x v="0"/>
    <x v="7"/>
    <n v="40.6"/>
    <n v="14819"/>
    <n v="53348.4"/>
  </r>
  <r>
    <x v="0"/>
    <x v="1"/>
    <x v="1"/>
    <x v="9"/>
    <x v="19"/>
    <s v="SE3_GOT"/>
    <x v="2"/>
    <x v="2"/>
    <s v="GBPR_MUNIWASTE_24"/>
    <x v="0"/>
    <x v="8"/>
    <n v="40.6"/>
    <n v="14819"/>
    <n v="53348.4"/>
  </r>
  <r>
    <x v="0"/>
    <x v="1"/>
    <x v="1"/>
    <x v="9"/>
    <x v="19"/>
    <s v="SE3_GOT"/>
    <x v="2"/>
    <x v="2"/>
    <s v="GBPR_MUNIWASTE_24"/>
    <x v="0"/>
    <x v="9"/>
    <n v="40.6"/>
    <n v="14819"/>
    <n v="53348.4"/>
  </r>
  <r>
    <x v="0"/>
    <x v="1"/>
    <x v="1"/>
    <x v="9"/>
    <x v="19"/>
    <s v="SE3_GOT"/>
    <x v="2"/>
    <x v="2"/>
    <s v="GBPR_MUNIWASTE_24"/>
    <x v="0"/>
    <x v="10"/>
    <n v="40.6"/>
    <n v="14819"/>
    <n v="53348.4"/>
  </r>
  <r>
    <x v="0"/>
    <x v="1"/>
    <x v="1"/>
    <x v="9"/>
    <x v="19"/>
    <s v="SE3_GOT"/>
    <x v="2"/>
    <x v="2"/>
    <s v="GBPR_MUNIWASTE_24"/>
    <x v="0"/>
    <x v="11"/>
    <n v="40.6"/>
    <n v="14819"/>
    <n v="53348.4"/>
  </r>
  <r>
    <x v="0"/>
    <x v="1"/>
    <x v="1"/>
    <x v="9"/>
    <x v="19"/>
    <s v="SE3_GOT"/>
    <x v="2"/>
    <x v="2"/>
    <s v="GBPR_MUNIWASTE_24"/>
    <x v="0"/>
    <x v="12"/>
    <n v="40.6"/>
    <n v="14819"/>
    <n v="53348.4"/>
  </r>
  <r>
    <x v="0"/>
    <x v="1"/>
    <x v="1"/>
    <x v="9"/>
    <x v="19"/>
    <s v="SE3_GOT"/>
    <x v="2"/>
    <x v="2"/>
    <s v="GBPR_MUNIWASTE_24"/>
    <x v="0"/>
    <x v="13"/>
    <n v="40.6"/>
    <n v="14819"/>
    <n v="53348.4"/>
  </r>
  <r>
    <x v="0"/>
    <x v="1"/>
    <x v="1"/>
    <x v="9"/>
    <x v="19"/>
    <s v="SE3_GOT"/>
    <x v="2"/>
    <x v="2"/>
    <s v="GBPR_MUNIWASTE_24"/>
    <x v="0"/>
    <x v="14"/>
    <n v="40.6"/>
    <n v="14819"/>
    <n v="53348.4"/>
  </r>
  <r>
    <x v="0"/>
    <x v="1"/>
    <x v="1"/>
    <x v="9"/>
    <x v="19"/>
    <s v="SE3_GOT"/>
    <x v="2"/>
    <x v="2"/>
    <s v="GBPR_MUNIWASTE_24"/>
    <x v="0"/>
    <x v="15"/>
    <n v="40.6"/>
    <n v="14819"/>
    <n v="53348.4"/>
  </r>
  <r>
    <x v="0"/>
    <x v="1"/>
    <x v="1"/>
    <x v="9"/>
    <x v="19"/>
    <s v="SE3_GOT"/>
    <x v="2"/>
    <x v="2"/>
    <s v="GBPR_MUNIWASTE_24"/>
    <x v="0"/>
    <x v="16"/>
    <n v="40.6"/>
    <n v="14819"/>
    <n v="53348.4"/>
  </r>
  <r>
    <x v="0"/>
    <x v="1"/>
    <x v="1"/>
    <x v="9"/>
    <x v="19"/>
    <s v="SE3_GOT"/>
    <x v="2"/>
    <x v="2"/>
    <s v="GBPR_MUNIWASTE_24"/>
    <x v="0"/>
    <x v="17"/>
    <n v="40.6"/>
    <n v="14819"/>
    <n v="53348.4"/>
  </r>
  <r>
    <x v="0"/>
    <x v="1"/>
    <x v="1"/>
    <x v="9"/>
    <x v="19"/>
    <s v="SE3_HP"/>
    <x v="2"/>
    <x v="2"/>
    <s v="GBPR_MUNIWASTE_24"/>
    <x v="0"/>
    <x v="5"/>
    <n v="33.168980159344798"/>
    <n v="12106.6777581608"/>
    <n v="43584.039929379003"/>
  </r>
  <r>
    <x v="0"/>
    <x v="1"/>
    <x v="1"/>
    <x v="9"/>
    <x v="19"/>
    <s v="SE3_HP"/>
    <x v="2"/>
    <x v="2"/>
    <s v="GBPR_MUNIWASTE_24"/>
    <x v="0"/>
    <x v="6"/>
    <n v="33.168980159344798"/>
    <n v="12106.6777581608"/>
    <n v="43584.039929379003"/>
  </r>
  <r>
    <x v="0"/>
    <x v="1"/>
    <x v="1"/>
    <x v="9"/>
    <x v="19"/>
    <s v="SE3_HP"/>
    <x v="2"/>
    <x v="2"/>
    <s v="GBPR_MUNIWASTE_24"/>
    <x v="0"/>
    <x v="7"/>
    <n v="33.168980159344798"/>
    <n v="12106.6777581608"/>
    <n v="43584.039929379003"/>
  </r>
  <r>
    <x v="0"/>
    <x v="1"/>
    <x v="1"/>
    <x v="9"/>
    <x v="19"/>
    <s v="SE3_HP"/>
    <x v="2"/>
    <x v="2"/>
    <s v="GBPR_MUNIWASTE_24"/>
    <x v="0"/>
    <x v="8"/>
    <n v="33.168980159344798"/>
    <n v="12106.6777581608"/>
    <n v="43584.039929379003"/>
  </r>
  <r>
    <x v="0"/>
    <x v="1"/>
    <x v="1"/>
    <x v="9"/>
    <x v="19"/>
    <s v="SE3_HP"/>
    <x v="2"/>
    <x v="2"/>
    <s v="GBPR_MUNIWASTE_24"/>
    <x v="0"/>
    <x v="9"/>
    <n v="33.168980159344798"/>
    <n v="12106.6777581608"/>
    <n v="43584.039929379003"/>
  </r>
  <r>
    <x v="0"/>
    <x v="1"/>
    <x v="1"/>
    <x v="9"/>
    <x v="19"/>
    <s v="SE3_HP"/>
    <x v="2"/>
    <x v="2"/>
    <s v="GBPR_MUNIWASTE_24"/>
    <x v="0"/>
    <x v="10"/>
    <n v="33.168980159344798"/>
    <n v="12106.6777581608"/>
    <n v="43584.039929379003"/>
  </r>
  <r>
    <x v="0"/>
    <x v="1"/>
    <x v="1"/>
    <x v="9"/>
    <x v="19"/>
    <s v="SE3_HP"/>
    <x v="2"/>
    <x v="2"/>
    <s v="GBPR_MUNIWASTE_24"/>
    <x v="0"/>
    <x v="11"/>
    <n v="33.168980159344798"/>
    <n v="12106.6777581608"/>
    <n v="43584.039929379003"/>
  </r>
  <r>
    <x v="0"/>
    <x v="1"/>
    <x v="1"/>
    <x v="9"/>
    <x v="19"/>
    <s v="SE3_HP"/>
    <x v="2"/>
    <x v="2"/>
    <s v="GBPR_MUNIWASTE_24"/>
    <x v="0"/>
    <x v="12"/>
    <n v="33.168980159344798"/>
    <n v="12106.6777581608"/>
    <n v="43584.039929379003"/>
  </r>
  <r>
    <x v="0"/>
    <x v="1"/>
    <x v="1"/>
    <x v="9"/>
    <x v="19"/>
    <s v="SE3_HP"/>
    <x v="2"/>
    <x v="2"/>
    <s v="GBPR_MUNIWASTE_24"/>
    <x v="0"/>
    <x v="13"/>
    <n v="33.168980159344798"/>
    <n v="12106.6777581608"/>
    <n v="43584.039929379003"/>
  </r>
  <r>
    <x v="0"/>
    <x v="1"/>
    <x v="1"/>
    <x v="9"/>
    <x v="19"/>
    <s v="SE3_HP"/>
    <x v="2"/>
    <x v="2"/>
    <s v="GBPR_MUNIWASTE_24"/>
    <x v="0"/>
    <x v="14"/>
    <n v="33.168980159344798"/>
    <n v="12106.6777581608"/>
    <n v="43584.039929379003"/>
  </r>
  <r>
    <x v="0"/>
    <x v="1"/>
    <x v="1"/>
    <x v="9"/>
    <x v="19"/>
    <s v="SE3_HP"/>
    <x v="2"/>
    <x v="2"/>
    <s v="GBPR_MUNIWASTE_24"/>
    <x v="0"/>
    <x v="15"/>
    <n v="33.168980159344798"/>
    <n v="12106.6777581608"/>
    <n v="43584.039929379003"/>
  </r>
  <r>
    <x v="0"/>
    <x v="1"/>
    <x v="1"/>
    <x v="9"/>
    <x v="19"/>
    <s v="SE3_HP"/>
    <x v="2"/>
    <x v="2"/>
    <s v="GBPR_MUNIWASTE_24"/>
    <x v="0"/>
    <x v="16"/>
    <n v="33.168980159344798"/>
    <n v="12106.6777581608"/>
    <n v="43584.039929379003"/>
  </r>
  <r>
    <x v="0"/>
    <x v="1"/>
    <x v="1"/>
    <x v="9"/>
    <x v="19"/>
    <s v="SE3_HP"/>
    <x v="2"/>
    <x v="2"/>
    <s v="GBPR_MUNIWASTE_24"/>
    <x v="0"/>
    <x v="17"/>
    <n v="33.168980159344798"/>
    <n v="12106.6777581608"/>
    <n v="43584.039929379003"/>
  </r>
  <r>
    <x v="0"/>
    <x v="1"/>
    <x v="1"/>
    <x v="9"/>
    <x v="19"/>
    <s v="SE3_HP"/>
    <x v="10"/>
    <x v="2"/>
    <s v="GBPR_WOODWASTE_36"/>
    <x v="0"/>
    <x v="6"/>
    <n v="24.793345008756599"/>
    <n v="9049.5709281961499"/>
    <n v="32578.455341506098"/>
  </r>
  <r>
    <x v="0"/>
    <x v="1"/>
    <x v="1"/>
    <x v="9"/>
    <x v="19"/>
    <s v="SE3_HP"/>
    <x v="10"/>
    <x v="2"/>
    <s v="GBPR_WOODWASTE_36"/>
    <x v="0"/>
    <x v="7"/>
    <n v="24.793345008756599"/>
    <n v="9049.5709281961499"/>
    <n v="32578.455341506098"/>
  </r>
  <r>
    <x v="0"/>
    <x v="1"/>
    <x v="1"/>
    <x v="9"/>
    <x v="19"/>
    <s v="SE3_HP"/>
    <x v="10"/>
    <x v="2"/>
    <s v="GBPR_WOODWASTE_36"/>
    <x v="0"/>
    <x v="8"/>
    <n v="24.793345008756599"/>
    <n v="9049.5709281961499"/>
    <n v="32578.455341506098"/>
  </r>
  <r>
    <x v="0"/>
    <x v="1"/>
    <x v="1"/>
    <x v="9"/>
    <x v="19"/>
    <s v="SE3_HP"/>
    <x v="10"/>
    <x v="0"/>
    <s v="GEXT_WOODWASTE"/>
    <x v="0"/>
    <x v="0"/>
    <n v="168.26339257970301"/>
    <n v="61416.138291591502"/>
    <n v="221098.09784972999"/>
  </r>
  <r>
    <x v="0"/>
    <x v="1"/>
    <x v="1"/>
    <x v="9"/>
    <x v="19"/>
    <s v="SE3_HP"/>
    <x v="10"/>
    <x v="0"/>
    <s v="GEXT_WOODWASTE"/>
    <x v="0"/>
    <x v="1"/>
    <n v="168.26339257970301"/>
    <n v="61416.138291591502"/>
    <n v="221098.09784972999"/>
  </r>
  <r>
    <x v="0"/>
    <x v="1"/>
    <x v="1"/>
    <x v="9"/>
    <x v="19"/>
    <s v="SE3_HP"/>
    <x v="10"/>
    <x v="0"/>
    <s v="GEXT_WOODWASTE"/>
    <x v="0"/>
    <x v="18"/>
    <n v="168.26339257970301"/>
    <n v="61416.138291591502"/>
    <n v="221098.09784972999"/>
  </r>
  <r>
    <x v="0"/>
    <x v="1"/>
    <x v="1"/>
    <x v="9"/>
    <x v="19"/>
    <s v="SE3_HP"/>
    <x v="10"/>
    <x v="0"/>
    <s v="GEXT_WOODWASTE"/>
    <x v="0"/>
    <x v="2"/>
    <n v="168.26339257970301"/>
    <n v="61416.138291591502"/>
    <n v="221098.09784972999"/>
  </r>
  <r>
    <x v="0"/>
    <x v="1"/>
    <x v="1"/>
    <x v="9"/>
    <x v="19"/>
    <s v="SE3_HP"/>
    <x v="10"/>
    <x v="0"/>
    <s v="GEXT_WOODWASTE"/>
    <x v="0"/>
    <x v="3"/>
    <n v="168.26339257970301"/>
    <n v="61416.138291591502"/>
    <n v="221098.09784972999"/>
  </r>
  <r>
    <x v="0"/>
    <x v="1"/>
    <x v="1"/>
    <x v="9"/>
    <x v="19"/>
    <s v="SE3_HP"/>
    <x v="10"/>
    <x v="0"/>
    <s v="GEXT_WOODWASTE"/>
    <x v="0"/>
    <x v="4"/>
    <n v="168.26339257970301"/>
    <n v="61416.138291591502"/>
    <n v="221098.09784972999"/>
  </r>
  <r>
    <x v="0"/>
    <x v="1"/>
    <x v="1"/>
    <x v="9"/>
    <x v="19"/>
    <s v="SE3_HP"/>
    <x v="10"/>
    <x v="0"/>
    <s v="GEXT_WOODWASTE"/>
    <x v="0"/>
    <x v="5"/>
    <n v="168.26339257970301"/>
    <n v="61416.138291591502"/>
    <n v="221098.09784972999"/>
  </r>
  <r>
    <x v="0"/>
    <x v="1"/>
    <x v="1"/>
    <x v="9"/>
    <x v="19"/>
    <s v="SE3_HP"/>
    <x v="10"/>
    <x v="0"/>
    <s v="GEXT_WOODWASTE"/>
    <x v="0"/>
    <x v="6"/>
    <n v="168.26339257970301"/>
    <n v="61416.138291591502"/>
    <n v="221098.09784972999"/>
  </r>
  <r>
    <x v="0"/>
    <x v="1"/>
    <x v="1"/>
    <x v="9"/>
    <x v="19"/>
    <s v="SE3_HP"/>
    <x v="10"/>
    <x v="0"/>
    <s v="GEXT_WOODWASTE"/>
    <x v="0"/>
    <x v="7"/>
    <n v="168.26339257970301"/>
    <n v="61416.138291591502"/>
    <n v="221098.09784972999"/>
  </r>
  <r>
    <x v="0"/>
    <x v="1"/>
    <x v="1"/>
    <x v="9"/>
    <x v="19"/>
    <s v="SE3_HP"/>
    <x v="10"/>
    <x v="0"/>
    <s v="GEXT_WOODWASTE"/>
    <x v="0"/>
    <x v="8"/>
    <n v="168.26339257970301"/>
    <n v="61416.138291591502"/>
    <n v="221098.09784972999"/>
  </r>
  <r>
    <x v="0"/>
    <x v="1"/>
    <x v="1"/>
    <x v="9"/>
    <x v="19"/>
    <s v="SE3_HP"/>
    <x v="10"/>
    <x v="0"/>
    <s v="GEXT_WOODWASTE"/>
    <x v="0"/>
    <x v="9"/>
    <n v="168.26339257970301"/>
    <n v="61416.138291591502"/>
    <n v="221098.09784972999"/>
  </r>
  <r>
    <x v="0"/>
    <x v="1"/>
    <x v="1"/>
    <x v="9"/>
    <x v="19"/>
    <s v="SE3_HP"/>
    <x v="10"/>
    <x v="0"/>
    <s v="GEXT_WOODWASTE"/>
    <x v="0"/>
    <x v="10"/>
    <n v="168.26339257970301"/>
    <n v="61416.138291591502"/>
    <n v="221098.09784972999"/>
  </r>
  <r>
    <x v="0"/>
    <x v="1"/>
    <x v="1"/>
    <x v="9"/>
    <x v="19"/>
    <s v="SE3_HP"/>
    <x v="10"/>
    <x v="0"/>
    <s v="GEXT_WOODWASTE"/>
    <x v="0"/>
    <x v="11"/>
    <n v="168.26339257970301"/>
    <n v="61416.138291591502"/>
    <n v="221098.09784972999"/>
  </r>
  <r>
    <x v="0"/>
    <x v="1"/>
    <x v="1"/>
    <x v="9"/>
    <x v="19"/>
    <s v="SE3_HP"/>
    <x v="10"/>
    <x v="0"/>
    <s v="GEXT_WOODWASTE"/>
    <x v="0"/>
    <x v="12"/>
    <n v="168.26339257970301"/>
    <n v="61416.138291591502"/>
    <n v="221098.09784972999"/>
  </r>
  <r>
    <x v="0"/>
    <x v="1"/>
    <x v="1"/>
    <x v="9"/>
    <x v="19"/>
    <s v="SE3_HP"/>
    <x v="10"/>
    <x v="0"/>
    <s v="GEXT_WOODWASTE"/>
    <x v="0"/>
    <x v="13"/>
    <n v="168.26339257970301"/>
    <n v="61416.138291591502"/>
    <n v="221098.09784972999"/>
  </r>
  <r>
    <x v="0"/>
    <x v="1"/>
    <x v="1"/>
    <x v="9"/>
    <x v="19"/>
    <s v="SE3_HP"/>
    <x v="10"/>
    <x v="0"/>
    <s v="GEXT_WOODWASTE"/>
    <x v="0"/>
    <x v="14"/>
    <n v="168.26339257970301"/>
    <n v="61416.138291591502"/>
    <n v="221098.09784972999"/>
  </r>
  <r>
    <x v="0"/>
    <x v="1"/>
    <x v="1"/>
    <x v="9"/>
    <x v="19"/>
    <s v="SE3_HP"/>
    <x v="10"/>
    <x v="0"/>
    <s v="GEXT_WOODWASTE"/>
    <x v="0"/>
    <x v="15"/>
    <n v="168.26339257970301"/>
    <n v="61416.138291591502"/>
    <n v="221098.09784972999"/>
  </r>
  <r>
    <x v="0"/>
    <x v="1"/>
    <x v="1"/>
    <x v="9"/>
    <x v="19"/>
    <s v="SE3_HP"/>
    <x v="10"/>
    <x v="0"/>
    <s v="GEXT_WOODWASTE"/>
    <x v="0"/>
    <x v="16"/>
    <n v="168.26339257970301"/>
    <n v="61416.138291591502"/>
    <n v="221098.09784972999"/>
  </r>
  <r>
    <x v="0"/>
    <x v="1"/>
    <x v="1"/>
    <x v="9"/>
    <x v="19"/>
    <s v="SE3_HP"/>
    <x v="10"/>
    <x v="0"/>
    <s v="GEXT_WOODWASTE"/>
    <x v="0"/>
    <x v="17"/>
    <n v="168.26339257970301"/>
    <n v="61416.138291591502"/>
    <n v="221098.09784972999"/>
  </r>
  <r>
    <x v="0"/>
    <x v="1"/>
    <x v="1"/>
    <x v="9"/>
    <x v="19"/>
    <s v="SE3_HP"/>
    <x v="10"/>
    <x v="0"/>
    <s v="GEXT_WOODWASTE"/>
    <x v="0"/>
    <x v="19"/>
    <n v="168.26339257970301"/>
    <n v="61416.138291591502"/>
    <n v="221098.09784972999"/>
  </r>
  <r>
    <x v="0"/>
    <x v="1"/>
    <x v="1"/>
    <x v="9"/>
    <x v="19"/>
    <s v="SE3_HP"/>
    <x v="10"/>
    <x v="0"/>
    <s v="GEXT_WOODWASTE"/>
    <x v="0"/>
    <x v="20"/>
    <n v="168.26339257970301"/>
    <n v="61416.138291591502"/>
    <n v="221098.09784972999"/>
  </r>
  <r>
    <x v="0"/>
    <x v="1"/>
    <x v="1"/>
    <x v="9"/>
    <x v="19"/>
    <s v="SE3_HP"/>
    <x v="10"/>
    <x v="0"/>
    <s v="GEXT_WOODWASTE"/>
    <x v="0"/>
    <x v="21"/>
    <n v="168.26339257970301"/>
    <n v="61416.138291591502"/>
    <n v="221098.09784972999"/>
  </r>
  <r>
    <x v="0"/>
    <x v="1"/>
    <x v="1"/>
    <x v="9"/>
    <x v="19"/>
    <s v="SE3_HP"/>
    <x v="10"/>
    <x v="0"/>
    <s v="GEXT_WOODWASTE"/>
    <x v="0"/>
    <x v="22"/>
    <n v="168.26339257970301"/>
    <n v="61416.138291591502"/>
    <n v="221098.09784972999"/>
  </r>
  <r>
    <x v="0"/>
    <x v="1"/>
    <x v="1"/>
    <x v="9"/>
    <x v="19"/>
    <s v="SE3_HP"/>
    <x v="10"/>
    <x v="0"/>
    <s v="GEXT_WOODWASTE"/>
    <x v="0"/>
    <x v="23"/>
    <n v="168.26339257970301"/>
    <n v="61416.138291591502"/>
    <n v="221098.09784972999"/>
  </r>
  <r>
    <x v="0"/>
    <x v="1"/>
    <x v="1"/>
    <x v="9"/>
    <x v="19"/>
    <s v="SE3_OTHER"/>
    <x v="2"/>
    <x v="2"/>
    <s v="GBPR_MUNIWASTE_24"/>
    <x v="0"/>
    <x v="5"/>
    <n v="28.917506225872899"/>
    <n v="10554.889772443599"/>
    <n v="37997.603180796898"/>
  </r>
  <r>
    <x v="0"/>
    <x v="1"/>
    <x v="1"/>
    <x v="9"/>
    <x v="19"/>
    <s v="SE3_OTHER"/>
    <x v="2"/>
    <x v="2"/>
    <s v="GBPR_MUNIWASTE_24"/>
    <x v="0"/>
    <x v="6"/>
    <n v="28.917506225872899"/>
    <n v="10554.889772443599"/>
    <n v="37997.603180796898"/>
  </r>
  <r>
    <x v="0"/>
    <x v="1"/>
    <x v="1"/>
    <x v="9"/>
    <x v="19"/>
    <s v="SE3_OTHER"/>
    <x v="2"/>
    <x v="2"/>
    <s v="GBPR_MUNIWASTE_24"/>
    <x v="0"/>
    <x v="7"/>
    <n v="28.917506225872899"/>
    <n v="10554.889772443599"/>
    <n v="37997.603180796898"/>
  </r>
  <r>
    <x v="0"/>
    <x v="1"/>
    <x v="1"/>
    <x v="9"/>
    <x v="19"/>
    <s v="SE3_OTHER"/>
    <x v="2"/>
    <x v="2"/>
    <s v="GBPR_MUNIWASTE_24"/>
    <x v="0"/>
    <x v="8"/>
    <n v="28.917506225872899"/>
    <n v="10554.889772443599"/>
    <n v="37997.603180796898"/>
  </r>
  <r>
    <x v="0"/>
    <x v="1"/>
    <x v="1"/>
    <x v="9"/>
    <x v="19"/>
    <s v="SE3_OTHER"/>
    <x v="2"/>
    <x v="2"/>
    <s v="GBPR_MUNIWASTE_24"/>
    <x v="0"/>
    <x v="9"/>
    <n v="28.917506225872899"/>
    <n v="10554.889772443599"/>
    <n v="37997.603180796898"/>
  </r>
  <r>
    <x v="0"/>
    <x v="1"/>
    <x v="1"/>
    <x v="9"/>
    <x v="19"/>
    <s v="SE3_OTHER"/>
    <x v="2"/>
    <x v="2"/>
    <s v="GBPR_MUNIWASTE_24"/>
    <x v="0"/>
    <x v="10"/>
    <n v="28.917506225872899"/>
    <n v="10554.889772443599"/>
    <n v="37997.603180796898"/>
  </r>
  <r>
    <x v="0"/>
    <x v="1"/>
    <x v="1"/>
    <x v="9"/>
    <x v="19"/>
    <s v="SE3_OTHER"/>
    <x v="2"/>
    <x v="2"/>
    <s v="GBPR_MUNIWASTE_24"/>
    <x v="0"/>
    <x v="11"/>
    <n v="28.917506225872899"/>
    <n v="10554.889772443599"/>
    <n v="37997.603180796898"/>
  </r>
  <r>
    <x v="0"/>
    <x v="1"/>
    <x v="1"/>
    <x v="9"/>
    <x v="19"/>
    <s v="SE3_OTHER"/>
    <x v="2"/>
    <x v="2"/>
    <s v="GBPR_MUNIWASTE_24"/>
    <x v="0"/>
    <x v="12"/>
    <n v="28.917506225872899"/>
    <n v="10554.889772443599"/>
    <n v="37997.603180796898"/>
  </r>
  <r>
    <x v="0"/>
    <x v="1"/>
    <x v="1"/>
    <x v="9"/>
    <x v="19"/>
    <s v="SE3_OTHER"/>
    <x v="2"/>
    <x v="2"/>
    <s v="GBPR_MUNIWASTE_24"/>
    <x v="0"/>
    <x v="13"/>
    <n v="28.917506225872899"/>
    <n v="10554.889772443599"/>
    <n v="37997.603180796898"/>
  </r>
  <r>
    <x v="0"/>
    <x v="1"/>
    <x v="1"/>
    <x v="9"/>
    <x v="19"/>
    <s v="SE3_OTHER"/>
    <x v="2"/>
    <x v="2"/>
    <s v="GBPR_MUNIWASTE_24"/>
    <x v="0"/>
    <x v="14"/>
    <n v="28.917506225872899"/>
    <n v="10554.889772443599"/>
    <n v="37997.603180796898"/>
  </r>
  <r>
    <x v="0"/>
    <x v="1"/>
    <x v="1"/>
    <x v="9"/>
    <x v="19"/>
    <s v="SE3_OTHER"/>
    <x v="2"/>
    <x v="2"/>
    <s v="GBPR_MUNIWASTE_24"/>
    <x v="0"/>
    <x v="15"/>
    <n v="28.917506225872899"/>
    <n v="10554.889772443599"/>
    <n v="37997.603180796898"/>
  </r>
  <r>
    <x v="0"/>
    <x v="1"/>
    <x v="1"/>
    <x v="9"/>
    <x v="19"/>
    <s v="SE3_OTHER"/>
    <x v="2"/>
    <x v="2"/>
    <s v="GBPR_MUNIWASTE_24"/>
    <x v="0"/>
    <x v="16"/>
    <n v="28.917506225872899"/>
    <n v="10554.889772443599"/>
    <n v="37997.603180796898"/>
  </r>
  <r>
    <x v="0"/>
    <x v="1"/>
    <x v="1"/>
    <x v="9"/>
    <x v="19"/>
    <s v="SE3_OTHER"/>
    <x v="2"/>
    <x v="2"/>
    <s v="GBPR_MUNIWASTE_24"/>
    <x v="0"/>
    <x v="17"/>
    <n v="28.917506225872899"/>
    <n v="10554.889772443599"/>
    <n v="37997.603180796898"/>
  </r>
  <r>
    <x v="0"/>
    <x v="1"/>
    <x v="1"/>
    <x v="9"/>
    <x v="19"/>
    <s v="SE3_STO"/>
    <x v="2"/>
    <x v="2"/>
    <s v="GBPR_MUNIWASTE_HOGDALEN"/>
    <x v="0"/>
    <x v="0"/>
    <n v="50.189942221941898"/>
    <n v="18319.328911008801"/>
    <n v="65949.584079631706"/>
  </r>
  <r>
    <x v="0"/>
    <x v="1"/>
    <x v="1"/>
    <x v="9"/>
    <x v="19"/>
    <s v="SE3_STO"/>
    <x v="2"/>
    <x v="2"/>
    <s v="GBPR_MUNIWASTE_HOGDALEN"/>
    <x v="0"/>
    <x v="1"/>
    <n v="50.189942221941898"/>
    <n v="18319.328911008801"/>
    <n v="65949.584079631706"/>
  </r>
  <r>
    <x v="0"/>
    <x v="1"/>
    <x v="1"/>
    <x v="9"/>
    <x v="19"/>
    <s v="SE3_STO"/>
    <x v="2"/>
    <x v="2"/>
    <s v="GBPR_MUNIWASTE_HOGDALEN"/>
    <x v="0"/>
    <x v="18"/>
    <n v="50.189942221941898"/>
    <n v="18319.328911008801"/>
    <n v="65949.584079631706"/>
  </r>
  <r>
    <x v="0"/>
    <x v="1"/>
    <x v="1"/>
    <x v="9"/>
    <x v="19"/>
    <s v="SE3_STO"/>
    <x v="2"/>
    <x v="2"/>
    <s v="GBPR_MUNIWASTE_HOGDALEN"/>
    <x v="0"/>
    <x v="2"/>
    <n v="50.189942221941898"/>
    <n v="18319.328911008801"/>
    <n v="65949.584079631706"/>
  </r>
  <r>
    <x v="0"/>
    <x v="1"/>
    <x v="1"/>
    <x v="9"/>
    <x v="19"/>
    <s v="SE3_STO"/>
    <x v="2"/>
    <x v="2"/>
    <s v="GBPR_MUNIWASTE_HOGDALEN"/>
    <x v="0"/>
    <x v="3"/>
    <n v="50.189942221941898"/>
    <n v="18319.328911008801"/>
    <n v="65949.584079631706"/>
  </r>
  <r>
    <x v="0"/>
    <x v="1"/>
    <x v="1"/>
    <x v="9"/>
    <x v="19"/>
    <s v="SE3_STO"/>
    <x v="2"/>
    <x v="2"/>
    <s v="GBPR_MUNIWASTE_HOGDALEN"/>
    <x v="0"/>
    <x v="4"/>
    <n v="50.189942221941898"/>
    <n v="18319.328911008801"/>
    <n v="65949.584079631706"/>
  </r>
  <r>
    <x v="0"/>
    <x v="1"/>
    <x v="1"/>
    <x v="9"/>
    <x v="19"/>
    <s v="SE3_STO"/>
    <x v="2"/>
    <x v="2"/>
    <s v="GBPR_MUNIWASTE_HOGDALEN"/>
    <x v="0"/>
    <x v="5"/>
    <n v="50.189942221941898"/>
    <n v="18319.328911008801"/>
    <n v="65949.584079631706"/>
  </r>
  <r>
    <x v="0"/>
    <x v="1"/>
    <x v="1"/>
    <x v="9"/>
    <x v="19"/>
    <s v="SE3_STO"/>
    <x v="2"/>
    <x v="2"/>
    <s v="GBPR_MUNIWASTE_HOGDALEN"/>
    <x v="0"/>
    <x v="6"/>
    <n v="50.189942221941898"/>
    <n v="18319.328911008801"/>
    <n v="65949.584079631706"/>
  </r>
  <r>
    <x v="0"/>
    <x v="1"/>
    <x v="1"/>
    <x v="9"/>
    <x v="19"/>
    <s v="SE3_STO"/>
    <x v="2"/>
    <x v="2"/>
    <s v="GBPR_MUNIWASTE_HOGDALEN"/>
    <x v="0"/>
    <x v="7"/>
    <n v="50.189942221941898"/>
    <n v="18319.328911008801"/>
    <n v="65949.584079631706"/>
  </r>
  <r>
    <x v="0"/>
    <x v="1"/>
    <x v="1"/>
    <x v="9"/>
    <x v="19"/>
    <s v="SE3_STO"/>
    <x v="2"/>
    <x v="2"/>
    <s v="GBPR_MUNIWASTE_HOGDALEN"/>
    <x v="0"/>
    <x v="8"/>
    <n v="50.189942221941898"/>
    <n v="18319.328911008801"/>
    <n v="65949.584079631706"/>
  </r>
  <r>
    <x v="0"/>
    <x v="1"/>
    <x v="1"/>
    <x v="9"/>
    <x v="19"/>
    <s v="SE3_STO"/>
    <x v="2"/>
    <x v="2"/>
    <s v="GBPR_MUNIWASTE_HOGDALEN"/>
    <x v="0"/>
    <x v="9"/>
    <n v="50.189942221941898"/>
    <n v="18319.328911008801"/>
    <n v="65949.584079631706"/>
  </r>
  <r>
    <x v="0"/>
    <x v="1"/>
    <x v="1"/>
    <x v="9"/>
    <x v="19"/>
    <s v="SE3_STO"/>
    <x v="2"/>
    <x v="2"/>
    <s v="GBPR_MUNIWASTE_HOGDALEN"/>
    <x v="0"/>
    <x v="10"/>
    <n v="50.189942221941898"/>
    <n v="18319.328911008801"/>
    <n v="65949.584079631706"/>
  </r>
  <r>
    <x v="0"/>
    <x v="1"/>
    <x v="1"/>
    <x v="9"/>
    <x v="19"/>
    <s v="SE3_STO"/>
    <x v="2"/>
    <x v="2"/>
    <s v="GBPR_MUNIWASTE_HOGDALEN"/>
    <x v="0"/>
    <x v="11"/>
    <n v="50.189942221941898"/>
    <n v="18319.328911008801"/>
    <n v="65949.584079631706"/>
  </r>
  <r>
    <x v="0"/>
    <x v="1"/>
    <x v="1"/>
    <x v="9"/>
    <x v="19"/>
    <s v="SE3_STO"/>
    <x v="2"/>
    <x v="2"/>
    <s v="GBPR_MUNIWASTE_HOGDALEN"/>
    <x v="0"/>
    <x v="12"/>
    <n v="50.189942221941898"/>
    <n v="18319.328911008801"/>
    <n v="65949.584079631706"/>
  </r>
  <r>
    <x v="0"/>
    <x v="1"/>
    <x v="1"/>
    <x v="9"/>
    <x v="19"/>
    <s v="SE3_STO"/>
    <x v="2"/>
    <x v="2"/>
    <s v="GBPR_MUNIWASTE_HOGDALEN"/>
    <x v="0"/>
    <x v="13"/>
    <n v="50.189942221941898"/>
    <n v="18319.328911008801"/>
    <n v="65949.584079631706"/>
  </r>
  <r>
    <x v="0"/>
    <x v="1"/>
    <x v="1"/>
    <x v="9"/>
    <x v="19"/>
    <s v="SE3_STO"/>
    <x v="2"/>
    <x v="2"/>
    <s v="GBPR_MUNIWASTE_HOGDALEN"/>
    <x v="0"/>
    <x v="14"/>
    <n v="50.189942221941898"/>
    <n v="18319.328911008801"/>
    <n v="65949.584079631706"/>
  </r>
  <r>
    <x v="0"/>
    <x v="1"/>
    <x v="1"/>
    <x v="9"/>
    <x v="19"/>
    <s v="SE3_STO"/>
    <x v="2"/>
    <x v="2"/>
    <s v="GBPR_MUNIWASTE_HOGDALEN"/>
    <x v="0"/>
    <x v="15"/>
    <n v="50.189942221941898"/>
    <n v="18319.328911008801"/>
    <n v="65949.584079631706"/>
  </r>
  <r>
    <x v="0"/>
    <x v="1"/>
    <x v="1"/>
    <x v="9"/>
    <x v="19"/>
    <s v="SE3_STO"/>
    <x v="2"/>
    <x v="2"/>
    <s v="GBPR_MUNIWASTE_HOGDALEN"/>
    <x v="0"/>
    <x v="16"/>
    <n v="50.189942221941898"/>
    <n v="18319.328911008801"/>
    <n v="65949.584079631706"/>
  </r>
  <r>
    <x v="0"/>
    <x v="1"/>
    <x v="1"/>
    <x v="9"/>
    <x v="19"/>
    <s v="SE3_STO"/>
    <x v="2"/>
    <x v="2"/>
    <s v="GBPR_MUNIWASTE_HOGDALEN"/>
    <x v="0"/>
    <x v="17"/>
    <n v="50.189942221941898"/>
    <n v="18319.328911008801"/>
    <n v="65949.584079631706"/>
  </r>
  <r>
    <x v="0"/>
    <x v="1"/>
    <x v="1"/>
    <x v="9"/>
    <x v="19"/>
    <s v="SE3_STO"/>
    <x v="2"/>
    <x v="2"/>
    <s v="GBPR_MUNIWASTE_HOGDALEN"/>
    <x v="0"/>
    <x v="19"/>
    <n v="50.189942221941898"/>
    <n v="18319.328911008801"/>
    <n v="65949.584079631706"/>
  </r>
  <r>
    <x v="0"/>
    <x v="1"/>
    <x v="1"/>
    <x v="9"/>
    <x v="19"/>
    <s v="SE3_STO"/>
    <x v="2"/>
    <x v="2"/>
    <s v="GBPR_MUNIWASTE_HOGDALEN"/>
    <x v="0"/>
    <x v="20"/>
    <n v="50.189942221941898"/>
    <n v="18319.328911008801"/>
    <n v="65949.584079631706"/>
  </r>
  <r>
    <x v="0"/>
    <x v="1"/>
    <x v="1"/>
    <x v="9"/>
    <x v="19"/>
    <s v="SE3_STO"/>
    <x v="2"/>
    <x v="2"/>
    <s v="GBPR_MUNIWASTE_HOGDALEN"/>
    <x v="0"/>
    <x v="21"/>
    <n v="50.189942221941898"/>
    <n v="18319.328911008801"/>
    <n v="65949.584079631706"/>
  </r>
  <r>
    <x v="0"/>
    <x v="1"/>
    <x v="1"/>
    <x v="9"/>
    <x v="19"/>
    <s v="SE3_STO"/>
    <x v="2"/>
    <x v="2"/>
    <s v="GBPR_MUNIWASTE_HOGDALEN"/>
    <x v="0"/>
    <x v="22"/>
    <n v="50.189942221941898"/>
    <n v="18319.328911008801"/>
    <n v="65949.584079631706"/>
  </r>
  <r>
    <x v="0"/>
    <x v="1"/>
    <x v="1"/>
    <x v="9"/>
    <x v="19"/>
    <s v="SE3_STO"/>
    <x v="2"/>
    <x v="2"/>
    <s v="GBPR_MUNIWASTE_HOGDALEN"/>
    <x v="0"/>
    <x v="23"/>
    <n v="50.189942221941898"/>
    <n v="18319.328911008801"/>
    <n v="65949.584079631706"/>
  </r>
  <r>
    <x v="0"/>
    <x v="1"/>
    <x v="1"/>
    <x v="9"/>
    <x v="19"/>
    <s v="SE3_STO"/>
    <x v="10"/>
    <x v="2"/>
    <s v="GBPR_WOODWASTE"/>
    <x v="0"/>
    <x v="0"/>
    <n v="96.694045534150604"/>
    <n v="35293.326619965002"/>
    <n v="127055.97583187401"/>
  </r>
  <r>
    <x v="0"/>
    <x v="1"/>
    <x v="1"/>
    <x v="9"/>
    <x v="19"/>
    <s v="SE3_STO"/>
    <x v="10"/>
    <x v="2"/>
    <s v="GBPR_WOODWASTE"/>
    <x v="0"/>
    <x v="1"/>
    <n v="95.872531994366696"/>
    <n v="34993.474177943797"/>
    <n v="125976.50704059799"/>
  </r>
  <r>
    <x v="0"/>
    <x v="1"/>
    <x v="1"/>
    <x v="9"/>
    <x v="19"/>
    <s v="SE3_STO"/>
    <x v="10"/>
    <x v="2"/>
    <s v="GBPR_WOODWASTE"/>
    <x v="0"/>
    <x v="18"/>
    <n v="96.694045534150604"/>
    <n v="35293.326619965002"/>
    <n v="127055.97583187401"/>
  </r>
  <r>
    <x v="0"/>
    <x v="1"/>
    <x v="1"/>
    <x v="9"/>
    <x v="19"/>
    <s v="SE3_STO"/>
    <x v="10"/>
    <x v="2"/>
    <s v="GBPR_WOODWASTE"/>
    <x v="0"/>
    <x v="2"/>
    <n v="96.694045534150604"/>
    <n v="35293.326619965002"/>
    <n v="127055.97583187401"/>
  </r>
  <r>
    <x v="0"/>
    <x v="1"/>
    <x v="1"/>
    <x v="9"/>
    <x v="19"/>
    <s v="SE3_STO"/>
    <x v="10"/>
    <x v="2"/>
    <s v="GBPR_WOODWASTE"/>
    <x v="0"/>
    <x v="3"/>
    <n v="96.694045534150604"/>
    <n v="35293.326619965002"/>
    <n v="127055.97583187401"/>
  </r>
  <r>
    <x v="0"/>
    <x v="1"/>
    <x v="1"/>
    <x v="9"/>
    <x v="19"/>
    <s v="SE3_STO"/>
    <x v="10"/>
    <x v="2"/>
    <s v="GBPR_WOODWASTE"/>
    <x v="0"/>
    <x v="4"/>
    <n v="96.694045534150604"/>
    <n v="35293.326619965002"/>
    <n v="127055.97583187401"/>
  </r>
  <r>
    <x v="0"/>
    <x v="1"/>
    <x v="1"/>
    <x v="9"/>
    <x v="19"/>
    <s v="SE3_STO"/>
    <x v="10"/>
    <x v="2"/>
    <s v="GBPR_WOODWASTE"/>
    <x v="0"/>
    <x v="5"/>
    <n v="96.694045534150604"/>
    <n v="35293.326619965002"/>
    <n v="127055.97583187401"/>
  </r>
  <r>
    <x v="0"/>
    <x v="1"/>
    <x v="1"/>
    <x v="9"/>
    <x v="19"/>
    <s v="SE3_STO"/>
    <x v="10"/>
    <x v="2"/>
    <s v="GBPR_WOODWASTE"/>
    <x v="0"/>
    <x v="6"/>
    <n v="96.694045534150604"/>
    <n v="35293.326619965002"/>
    <n v="127055.97583187401"/>
  </r>
  <r>
    <x v="0"/>
    <x v="1"/>
    <x v="1"/>
    <x v="9"/>
    <x v="19"/>
    <s v="SE3_STO"/>
    <x v="10"/>
    <x v="2"/>
    <s v="GBPR_WOODWASTE"/>
    <x v="0"/>
    <x v="7"/>
    <n v="96.694045534150604"/>
    <n v="35293.326619965002"/>
    <n v="127055.97583187401"/>
  </r>
  <r>
    <x v="0"/>
    <x v="1"/>
    <x v="1"/>
    <x v="9"/>
    <x v="19"/>
    <s v="SE3_STO"/>
    <x v="10"/>
    <x v="2"/>
    <s v="GBPR_WOODWASTE"/>
    <x v="0"/>
    <x v="8"/>
    <n v="96.694045534150604"/>
    <n v="35293.326619965002"/>
    <n v="127055.97583187401"/>
  </r>
  <r>
    <x v="0"/>
    <x v="1"/>
    <x v="1"/>
    <x v="9"/>
    <x v="19"/>
    <s v="SE3_STO"/>
    <x v="10"/>
    <x v="2"/>
    <s v="GBPR_WOODWASTE"/>
    <x v="0"/>
    <x v="9"/>
    <n v="96.694045534150604"/>
    <n v="35293.326619965002"/>
    <n v="127055.97583187401"/>
  </r>
  <r>
    <x v="0"/>
    <x v="1"/>
    <x v="1"/>
    <x v="9"/>
    <x v="19"/>
    <s v="SE3_STO"/>
    <x v="10"/>
    <x v="2"/>
    <s v="GBPR_WOODWASTE"/>
    <x v="0"/>
    <x v="10"/>
    <n v="96.694045534150604"/>
    <n v="35293.326619965002"/>
    <n v="127055.97583187401"/>
  </r>
  <r>
    <x v="0"/>
    <x v="1"/>
    <x v="1"/>
    <x v="9"/>
    <x v="19"/>
    <s v="SE3_STO"/>
    <x v="10"/>
    <x v="2"/>
    <s v="GBPR_WOODWASTE"/>
    <x v="0"/>
    <x v="11"/>
    <n v="96.694045534150604"/>
    <n v="35293.326619965002"/>
    <n v="127055.97583187401"/>
  </r>
  <r>
    <x v="0"/>
    <x v="1"/>
    <x v="1"/>
    <x v="9"/>
    <x v="19"/>
    <s v="SE3_STO"/>
    <x v="10"/>
    <x v="2"/>
    <s v="GBPR_WOODWASTE"/>
    <x v="0"/>
    <x v="12"/>
    <n v="96.694045534150604"/>
    <n v="35293.326619965002"/>
    <n v="127055.97583187401"/>
  </r>
  <r>
    <x v="0"/>
    <x v="1"/>
    <x v="1"/>
    <x v="9"/>
    <x v="19"/>
    <s v="SE3_STO"/>
    <x v="10"/>
    <x v="2"/>
    <s v="GBPR_WOODWASTE"/>
    <x v="0"/>
    <x v="13"/>
    <n v="96.694045534150604"/>
    <n v="35293.326619965002"/>
    <n v="127055.97583187401"/>
  </r>
  <r>
    <x v="0"/>
    <x v="1"/>
    <x v="1"/>
    <x v="9"/>
    <x v="19"/>
    <s v="SE3_STO"/>
    <x v="10"/>
    <x v="2"/>
    <s v="GBPR_WOODWASTE"/>
    <x v="0"/>
    <x v="14"/>
    <n v="96.694045534150604"/>
    <n v="35293.326619965002"/>
    <n v="127055.97583187401"/>
  </r>
  <r>
    <x v="0"/>
    <x v="1"/>
    <x v="1"/>
    <x v="9"/>
    <x v="19"/>
    <s v="SE3_STO"/>
    <x v="10"/>
    <x v="2"/>
    <s v="GBPR_WOODWASTE"/>
    <x v="0"/>
    <x v="15"/>
    <n v="96.694045534150604"/>
    <n v="35293.326619965002"/>
    <n v="127055.97583187401"/>
  </r>
  <r>
    <x v="0"/>
    <x v="1"/>
    <x v="1"/>
    <x v="9"/>
    <x v="19"/>
    <s v="SE3_STO"/>
    <x v="10"/>
    <x v="2"/>
    <s v="GBPR_WOODWASTE"/>
    <x v="0"/>
    <x v="16"/>
    <n v="96.694045534150604"/>
    <n v="35293.326619965002"/>
    <n v="127055.97583187401"/>
  </r>
  <r>
    <x v="0"/>
    <x v="1"/>
    <x v="1"/>
    <x v="9"/>
    <x v="19"/>
    <s v="SE3_STO"/>
    <x v="10"/>
    <x v="2"/>
    <s v="GBPR_WOODWASTE"/>
    <x v="0"/>
    <x v="17"/>
    <n v="96.694045534150604"/>
    <n v="35293.326619965002"/>
    <n v="127055.97583187401"/>
  </r>
  <r>
    <x v="0"/>
    <x v="1"/>
    <x v="1"/>
    <x v="9"/>
    <x v="19"/>
    <s v="SE3_STO"/>
    <x v="10"/>
    <x v="2"/>
    <s v="GBPR_WOODWASTE"/>
    <x v="0"/>
    <x v="19"/>
    <n v="96.694045534150604"/>
    <n v="35293.326619965002"/>
    <n v="127055.97583187401"/>
  </r>
  <r>
    <x v="0"/>
    <x v="1"/>
    <x v="1"/>
    <x v="9"/>
    <x v="19"/>
    <s v="SE3_STO"/>
    <x v="10"/>
    <x v="2"/>
    <s v="GBPR_WOODWASTE"/>
    <x v="0"/>
    <x v="20"/>
    <n v="96.694045534150604"/>
    <n v="35293.326619965002"/>
    <n v="127055.97583187401"/>
  </r>
  <r>
    <x v="0"/>
    <x v="1"/>
    <x v="1"/>
    <x v="9"/>
    <x v="19"/>
    <s v="SE3_STO"/>
    <x v="10"/>
    <x v="2"/>
    <s v="GBPR_WOODWASTE"/>
    <x v="0"/>
    <x v="21"/>
    <n v="96.694045534150604"/>
    <n v="35293.326619965002"/>
    <n v="127055.97583187401"/>
  </r>
  <r>
    <x v="0"/>
    <x v="1"/>
    <x v="1"/>
    <x v="9"/>
    <x v="20"/>
    <s v="SE4A"/>
    <x v="6"/>
    <x v="7"/>
    <s v="GNR_RES_WTR_NOPMP_MC-01"/>
    <x v="0"/>
    <x v="0"/>
    <n v="15.287300663378099"/>
    <n v="5579.8647421330097"/>
    <n v="20087.513071678801"/>
  </r>
  <r>
    <x v="0"/>
    <x v="1"/>
    <x v="1"/>
    <x v="9"/>
    <x v="20"/>
    <s v="SE4A"/>
    <x v="6"/>
    <x v="7"/>
    <s v="GNR_RES_WTR_NOPMP_MC-01"/>
    <x v="0"/>
    <x v="1"/>
    <n v="15.287300663378099"/>
    <n v="5579.8647421330097"/>
    <n v="20087.513071678801"/>
  </r>
  <r>
    <x v="0"/>
    <x v="1"/>
    <x v="1"/>
    <x v="9"/>
    <x v="20"/>
    <s v="SE4A"/>
    <x v="6"/>
    <x v="7"/>
    <s v="GNR_RES_WTR_NOPMP_MC-01"/>
    <x v="0"/>
    <x v="18"/>
    <n v="15.287300663378099"/>
    <n v="5579.8647421330097"/>
    <n v="20087.513071678801"/>
  </r>
  <r>
    <x v="0"/>
    <x v="1"/>
    <x v="1"/>
    <x v="9"/>
    <x v="20"/>
    <s v="SE4A"/>
    <x v="6"/>
    <x v="7"/>
    <s v="GNR_RES_WTR_NOPMP_MC-01"/>
    <x v="0"/>
    <x v="2"/>
    <n v="15.287300663378099"/>
    <n v="5579.8647421330097"/>
    <n v="20087.513071678801"/>
  </r>
  <r>
    <x v="0"/>
    <x v="1"/>
    <x v="1"/>
    <x v="9"/>
    <x v="20"/>
    <s v="SE4A"/>
    <x v="6"/>
    <x v="7"/>
    <s v="GNR_RES_WTR_NOPMP_MC-01"/>
    <x v="0"/>
    <x v="3"/>
    <n v="15.287300663378099"/>
    <n v="5579.8647421330097"/>
    <n v="20087.513071678801"/>
  </r>
  <r>
    <x v="0"/>
    <x v="1"/>
    <x v="1"/>
    <x v="9"/>
    <x v="20"/>
    <s v="SE4A"/>
    <x v="6"/>
    <x v="7"/>
    <s v="GNR_RES_WTR_NOPMP_MC-01"/>
    <x v="0"/>
    <x v="4"/>
    <n v="15.287300663378099"/>
    <n v="5579.8647421330097"/>
    <n v="20087.513071678801"/>
  </r>
  <r>
    <x v="0"/>
    <x v="1"/>
    <x v="1"/>
    <x v="9"/>
    <x v="20"/>
    <s v="SE4A"/>
    <x v="6"/>
    <x v="7"/>
    <s v="GNR_RES_WTR_NOPMP_MC-01"/>
    <x v="0"/>
    <x v="5"/>
    <n v="15.287300663378099"/>
    <n v="5579.8647421330097"/>
    <n v="20087.513071678801"/>
  </r>
  <r>
    <x v="0"/>
    <x v="1"/>
    <x v="1"/>
    <x v="9"/>
    <x v="20"/>
    <s v="SE4A"/>
    <x v="6"/>
    <x v="7"/>
    <s v="GNR_RES_WTR_NOPMP_MC-01"/>
    <x v="0"/>
    <x v="6"/>
    <n v="15.287300663378099"/>
    <n v="5579.8647421330097"/>
    <n v="20087.513071678801"/>
  </r>
  <r>
    <x v="0"/>
    <x v="1"/>
    <x v="1"/>
    <x v="9"/>
    <x v="20"/>
    <s v="SE4A"/>
    <x v="6"/>
    <x v="7"/>
    <s v="GNR_RES_WTR_NOPMP_MC-01"/>
    <x v="0"/>
    <x v="7"/>
    <n v="15.287300663378099"/>
    <n v="5579.8647421330097"/>
    <n v="20087.513071678801"/>
  </r>
  <r>
    <x v="0"/>
    <x v="1"/>
    <x v="1"/>
    <x v="9"/>
    <x v="20"/>
    <s v="SE4A"/>
    <x v="6"/>
    <x v="7"/>
    <s v="GNR_RES_WTR_NOPMP_MC-01"/>
    <x v="0"/>
    <x v="8"/>
    <n v="15.287300663378099"/>
    <n v="5579.8647421330097"/>
    <n v="20087.513071678801"/>
  </r>
  <r>
    <x v="0"/>
    <x v="1"/>
    <x v="1"/>
    <x v="9"/>
    <x v="20"/>
    <s v="SE4A"/>
    <x v="6"/>
    <x v="7"/>
    <s v="GNR_RES_WTR_NOPMP_MC-01"/>
    <x v="0"/>
    <x v="9"/>
    <n v="15.287300663378099"/>
    <n v="5579.8647421330097"/>
    <n v="20087.513071678801"/>
  </r>
  <r>
    <x v="0"/>
    <x v="1"/>
    <x v="1"/>
    <x v="9"/>
    <x v="20"/>
    <s v="SE4A"/>
    <x v="6"/>
    <x v="7"/>
    <s v="GNR_RES_WTR_NOPMP_MC-01"/>
    <x v="0"/>
    <x v="10"/>
    <n v="15.287300663378099"/>
    <n v="5579.8647421330097"/>
    <n v="20087.513071678801"/>
  </r>
  <r>
    <x v="0"/>
    <x v="1"/>
    <x v="1"/>
    <x v="9"/>
    <x v="20"/>
    <s v="SE4A"/>
    <x v="6"/>
    <x v="7"/>
    <s v="GNR_RES_WTR_NOPMP_MC-01"/>
    <x v="0"/>
    <x v="11"/>
    <n v="15.287300663378099"/>
    <n v="5579.8647421330097"/>
    <n v="20087.513071678801"/>
  </r>
  <r>
    <x v="0"/>
    <x v="1"/>
    <x v="1"/>
    <x v="9"/>
    <x v="20"/>
    <s v="SE4A"/>
    <x v="6"/>
    <x v="7"/>
    <s v="GNR_RES_WTR_NOPMP_MC-01"/>
    <x v="0"/>
    <x v="12"/>
    <n v="15.287300663378099"/>
    <n v="5579.8647421330097"/>
    <n v="20087.513071678801"/>
  </r>
  <r>
    <x v="0"/>
    <x v="1"/>
    <x v="1"/>
    <x v="9"/>
    <x v="20"/>
    <s v="SE4A"/>
    <x v="6"/>
    <x v="7"/>
    <s v="GNR_RES_WTR_NOPMP_MC-01"/>
    <x v="0"/>
    <x v="13"/>
    <n v="15.287300663378099"/>
    <n v="5579.8647421330097"/>
    <n v="20087.513071678801"/>
  </r>
  <r>
    <x v="0"/>
    <x v="1"/>
    <x v="1"/>
    <x v="9"/>
    <x v="20"/>
    <s v="SE4A"/>
    <x v="6"/>
    <x v="7"/>
    <s v="GNR_RES_WTR_NOPMP_MC-01"/>
    <x v="0"/>
    <x v="14"/>
    <n v="15.287300663378099"/>
    <n v="5579.8647421330097"/>
    <n v="20087.513071678801"/>
  </r>
  <r>
    <x v="0"/>
    <x v="1"/>
    <x v="1"/>
    <x v="9"/>
    <x v="20"/>
    <s v="SE4A"/>
    <x v="6"/>
    <x v="7"/>
    <s v="GNR_RES_WTR_NOPMP_MC-01"/>
    <x v="0"/>
    <x v="15"/>
    <n v="15.287300663378099"/>
    <n v="5579.8647421330097"/>
    <n v="20087.513071678801"/>
  </r>
  <r>
    <x v="0"/>
    <x v="1"/>
    <x v="1"/>
    <x v="9"/>
    <x v="20"/>
    <s v="SE4A"/>
    <x v="6"/>
    <x v="7"/>
    <s v="GNR_RES_WTR_NOPMP_MC-01"/>
    <x v="0"/>
    <x v="16"/>
    <n v="15.287300663378099"/>
    <n v="5579.8647421330097"/>
    <n v="20087.513071678801"/>
  </r>
  <r>
    <x v="0"/>
    <x v="1"/>
    <x v="1"/>
    <x v="9"/>
    <x v="20"/>
    <s v="SE4A"/>
    <x v="6"/>
    <x v="7"/>
    <s v="GNR_RES_WTR_NOPMP_MC-01"/>
    <x v="0"/>
    <x v="17"/>
    <n v="15.287300663378099"/>
    <n v="5579.8647421330097"/>
    <n v="20087.513071678801"/>
  </r>
  <r>
    <x v="0"/>
    <x v="1"/>
    <x v="1"/>
    <x v="9"/>
    <x v="20"/>
    <s v="SE4A"/>
    <x v="6"/>
    <x v="7"/>
    <s v="GNR_RES_WTR_NOPMP_MC-01"/>
    <x v="0"/>
    <x v="19"/>
    <n v="15.287300663378099"/>
    <n v="5579.8647421330097"/>
    <n v="20087.513071678801"/>
  </r>
  <r>
    <x v="0"/>
    <x v="1"/>
    <x v="1"/>
    <x v="9"/>
    <x v="20"/>
    <s v="SE4A"/>
    <x v="6"/>
    <x v="7"/>
    <s v="GNR_RES_WTR_NOPMP_MC-01"/>
    <x v="0"/>
    <x v="20"/>
    <n v="15.287300663378099"/>
    <n v="5579.8647421330097"/>
    <n v="20087.513071678801"/>
  </r>
  <r>
    <x v="0"/>
    <x v="1"/>
    <x v="1"/>
    <x v="9"/>
    <x v="20"/>
    <s v="SE4A"/>
    <x v="6"/>
    <x v="7"/>
    <s v="GNR_RES_WTR_NOPMP_MC-01"/>
    <x v="0"/>
    <x v="21"/>
    <n v="15.287300663378099"/>
    <n v="5579.8647421330097"/>
    <n v="20087.513071678801"/>
  </r>
  <r>
    <x v="0"/>
    <x v="1"/>
    <x v="1"/>
    <x v="9"/>
    <x v="20"/>
    <s v="SE4A"/>
    <x v="6"/>
    <x v="7"/>
    <s v="GNR_RES_WTR_NOPMP_MC-01"/>
    <x v="0"/>
    <x v="22"/>
    <n v="15.287300663378099"/>
    <n v="5579.8647421330097"/>
    <n v="20087.513071678801"/>
  </r>
  <r>
    <x v="0"/>
    <x v="1"/>
    <x v="1"/>
    <x v="9"/>
    <x v="20"/>
    <s v="SE4A"/>
    <x v="6"/>
    <x v="7"/>
    <s v="GNR_RES_WTR_NOPMP_MC-01"/>
    <x v="0"/>
    <x v="23"/>
    <n v="15.287300663378099"/>
    <n v="5579.8647421330097"/>
    <n v="20087.513071678801"/>
  </r>
  <r>
    <x v="0"/>
    <x v="1"/>
    <x v="1"/>
    <x v="9"/>
    <x v="20"/>
    <s v="SE4A"/>
    <x v="6"/>
    <x v="7"/>
    <s v="GNR_RES_WTR_NOPMP_MC-02"/>
    <x v="0"/>
    <x v="0"/>
    <n v="15.287300663378099"/>
    <n v="5579.8647421330097"/>
    <n v="20087.513071678801"/>
  </r>
  <r>
    <x v="0"/>
    <x v="1"/>
    <x v="1"/>
    <x v="9"/>
    <x v="20"/>
    <s v="SE4A"/>
    <x v="6"/>
    <x v="7"/>
    <s v="GNR_RES_WTR_NOPMP_MC-02"/>
    <x v="0"/>
    <x v="1"/>
    <n v="15.287300663378099"/>
    <n v="5579.8647421330097"/>
    <n v="20087.513071678801"/>
  </r>
  <r>
    <x v="0"/>
    <x v="1"/>
    <x v="1"/>
    <x v="9"/>
    <x v="20"/>
    <s v="SE4A"/>
    <x v="6"/>
    <x v="7"/>
    <s v="GNR_RES_WTR_NOPMP_MC-02"/>
    <x v="0"/>
    <x v="18"/>
    <n v="15.287300663378099"/>
    <n v="5579.8647421330097"/>
    <n v="20087.513071678801"/>
  </r>
  <r>
    <x v="0"/>
    <x v="1"/>
    <x v="1"/>
    <x v="9"/>
    <x v="20"/>
    <s v="SE4A"/>
    <x v="6"/>
    <x v="7"/>
    <s v="GNR_RES_WTR_NOPMP_MC-02"/>
    <x v="0"/>
    <x v="2"/>
    <n v="15.287300663378099"/>
    <n v="5579.8647421330097"/>
    <n v="20087.513071678801"/>
  </r>
  <r>
    <x v="0"/>
    <x v="1"/>
    <x v="1"/>
    <x v="9"/>
    <x v="20"/>
    <s v="SE4A"/>
    <x v="6"/>
    <x v="7"/>
    <s v="GNR_RES_WTR_NOPMP_MC-02"/>
    <x v="0"/>
    <x v="3"/>
    <n v="15.287300663378099"/>
    <n v="5579.8647421330097"/>
    <n v="20087.513071678801"/>
  </r>
  <r>
    <x v="0"/>
    <x v="1"/>
    <x v="1"/>
    <x v="9"/>
    <x v="20"/>
    <s v="SE4A"/>
    <x v="6"/>
    <x v="7"/>
    <s v="GNR_RES_WTR_NOPMP_MC-02"/>
    <x v="0"/>
    <x v="4"/>
    <n v="15.287300663378099"/>
    <n v="5579.8647421330097"/>
    <n v="20087.513071678801"/>
  </r>
  <r>
    <x v="0"/>
    <x v="1"/>
    <x v="1"/>
    <x v="9"/>
    <x v="20"/>
    <s v="SE4A"/>
    <x v="6"/>
    <x v="7"/>
    <s v="GNR_RES_WTR_NOPMP_MC-02"/>
    <x v="0"/>
    <x v="5"/>
    <n v="15.287300663378099"/>
    <n v="5579.8647421330097"/>
    <n v="20087.513071678801"/>
  </r>
  <r>
    <x v="0"/>
    <x v="1"/>
    <x v="1"/>
    <x v="9"/>
    <x v="20"/>
    <s v="SE4A"/>
    <x v="6"/>
    <x v="7"/>
    <s v="GNR_RES_WTR_NOPMP_MC-02"/>
    <x v="0"/>
    <x v="6"/>
    <n v="15.287300663378099"/>
    <n v="5579.8647421330097"/>
    <n v="20087.513071678801"/>
  </r>
  <r>
    <x v="0"/>
    <x v="1"/>
    <x v="1"/>
    <x v="9"/>
    <x v="20"/>
    <s v="SE4A"/>
    <x v="6"/>
    <x v="7"/>
    <s v="GNR_RES_WTR_NOPMP_MC-02"/>
    <x v="0"/>
    <x v="7"/>
    <n v="15.287300663378099"/>
    <n v="5579.8647421330097"/>
    <n v="20087.513071678801"/>
  </r>
  <r>
    <x v="0"/>
    <x v="1"/>
    <x v="1"/>
    <x v="9"/>
    <x v="20"/>
    <s v="SE4A"/>
    <x v="6"/>
    <x v="7"/>
    <s v="GNR_RES_WTR_NOPMP_MC-02"/>
    <x v="0"/>
    <x v="8"/>
    <n v="15.287300663378099"/>
    <n v="5579.8647421330097"/>
    <n v="20087.513071678801"/>
  </r>
  <r>
    <x v="0"/>
    <x v="1"/>
    <x v="1"/>
    <x v="9"/>
    <x v="20"/>
    <s v="SE4A"/>
    <x v="6"/>
    <x v="7"/>
    <s v="GNR_RES_WTR_NOPMP_MC-02"/>
    <x v="0"/>
    <x v="9"/>
    <n v="15.287300663378099"/>
    <n v="5579.8647421330097"/>
    <n v="20087.513071678801"/>
  </r>
  <r>
    <x v="0"/>
    <x v="1"/>
    <x v="1"/>
    <x v="9"/>
    <x v="20"/>
    <s v="SE4A"/>
    <x v="6"/>
    <x v="7"/>
    <s v="GNR_RES_WTR_NOPMP_MC-02"/>
    <x v="0"/>
    <x v="10"/>
    <n v="15.287300663378099"/>
    <n v="5579.8647421330097"/>
    <n v="20087.513071678801"/>
  </r>
  <r>
    <x v="0"/>
    <x v="1"/>
    <x v="1"/>
    <x v="9"/>
    <x v="20"/>
    <s v="SE4A"/>
    <x v="6"/>
    <x v="7"/>
    <s v="GNR_RES_WTR_NOPMP_MC-02"/>
    <x v="0"/>
    <x v="11"/>
    <n v="15.287300663378099"/>
    <n v="5579.8647421330097"/>
    <n v="20087.513071678801"/>
  </r>
  <r>
    <x v="0"/>
    <x v="1"/>
    <x v="1"/>
    <x v="9"/>
    <x v="20"/>
    <s v="SE4A"/>
    <x v="6"/>
    <x v="7"/>
    <s v="GNR_RES_WTR_NOPMP_MC-02"/>
    <x v="0"/>
    <x v="12"/>
    <n v="15.287300663378099"/>
    <n v="5579.8647421330097"/>
    <n v="20087.513071678801"/>
  </r>
  <r>
    <x v="0"/>
    <x v="1"/>
    <x v="1"/>
    <x v="9"/>
    <x v="20"/>
    <s v="SE4A"/>
    <x v="6"/>
    <x v="7"/>
    <s v="GNR_RES_WTR_NOPMP_MC-02"/>
    <x v="0"/>
    <x v="13"/>
    <n v="15.287300663378099"/>
    <n v="5579.8647421330097"/>
    <n v="20087.513071678801"/>
  </r>
  <r>
    <x v="0"/>
    <x v="1"/>
    <x v="1"/>
    <x v="9"/>
    <x v="20"/>
    <s v="SE4A"/>
    <x v="6"/>
    <x v="7"/>
    <s v="GNR_RES_WTR_NOPMP_MC-02"/>
    <x v="0"/>
    <x v="14"/>
    <n v="15.287300663378099"/>
    <n v="5579.8647421330097"/>
    <n v="20087.513071678801"/>
  </r>
  <r>
    <x v="0"/>
    <x v="1"/>
    <x v="1"/>
    <x v="9"/>
    <x v="20"/>
    <s v="SE4A"/>
    <x v="6"/>
    <x v="7"/>
    <s v="GNR_RES_WTR_NOPMP_MC-02"/>
    <x v="0"/>
    <x v="15"/>
    <n v="15.287300663378099"/>
    <n v="5579.8647421330097"/>
    <n v="20087.513071678801"/>
  </r>
  <r>
    <x v="0"/>
    <x v="1"/>
    <x v="1"/>
    <x v="9"/>
    <x v="20"/>
    <s v="SE4A"/>
    <x v="6"/>
    <x v="7"/>
    <s v="GNR_RES_WTR_NOPMP_MC-02"/>
    <x v="0"/>
    <x v="16"/>
    <n v="15.287300663378099"/>
    <n v="5579.8647421330097"/>
    <n v="20087.513071678801"/>
  </r>
  <r>
    <x v="0"/>
    <x v="1"/>
    <x v="1"/>
    <x v="9"/>
    <x v="20"/>
    <s v="SE4A"/>
    <x v="6"/>
    <x v="7"/>
    <s v="GNR_RES_WTR_NOPMP_MC-02"/>
    <x v="0"/>
    <x v="17"/>
    <n v="15.287300663378099"/>
    <n v="5579.8647421330097"/>
    <n v="20087.513071678801"/>
  </r>
  <r>
    <x v="0"/>
    <x v="1"/>
    <x v="1"/>
    <x v="9"/>
    <x v="20"/>
    <s v="SE4A"/>
    <x v="6"/>
    <x v="7"/>
    <s v="GNR_RES_WTR_NOPMP_MC-02"/>
    <x v="0"/>
    <x v="19"/>
    <n v="15.287300663378099"/>
    <n v="5579.8647421330097"/>
    <n v="20087.513071678801"/>
  </r>
  <r>
    <x v="0"/>
    <x v="1"/>
    <x v="1"/>
    <x v="9"/>
    <x v="20"/>
    <s v="SE4A"/>
    <x v="6"/>
    <x v="7"/>
    <s v="GNR_RES_WTR_NOPMP_MC-02"/>
    <x v="0"/>
    <x v="20"/>
    <n v="15.287300663378099"/>
    <n v="5579.8647421330097"/>
    <n v="20087.513071678801"/>
  </r>
  <r>
    <x v="0"/>
    <x v="1"/>
    <x v="1"/>
    <x v="9"/>
    <x v="20"/>
    <s v="SE4A"/>
    <x v="6"/>
    <x v="7"/>
    <s v="GNR_RES_WTR_NOPMP_MC-02"/>
    <x v="0"/>
    <x v="21"/>
    <n v="15.287300663378099"/>
    <n v="5579.8647421330097"/>
    <n v="20087.513071678801"/>
  </r>
  <r>
    <x v="0"/>
    <x v="1"/>
    <x v="1"/>
    <x v="9"/>
    <x v="20"/>
    <s v="SE4A"/>
    <x v="6"/>
    <x v="7"/>
    <s v="GNR_RES_WTR_NOPMP_MC-02"/>
    <x v="0"/>
    <x v="22"/>
    <n v="15.287300663378099"/>
    <n v="5579.8647421330097"/>
    <n v="20087.513071678801"/>
  </r>
  <r>
    <x v="0"/>
    <x v="1"/>
    <x v="1"/>
    <x v="9"/>
    <x v="20"/>
    <s v="SE4A"/>
    <x v="6"/>
    <x v="7"/>
    <s v="GNR_RES_WTR_NOPMP_MC-02"/>
    <x v="0"/>
    <x v="23"/>
    <n v="4.3977166291945604"/>
    <n v="1605.1665696560201"/>
    <n v="5778.5996507616601"/>
  </r>
  <r>
    <x v="0"/>
    <x v="1"/>
    <x v="1"/>
    <x v="9"/>
    <x v="20"/>
    <s v="SE4A"/>
    <x v="6"/>
    <x v="7"/>
    <s v="GNR_RES_WTR_NOPMP_MC-03"/>
    <x v="0"/>
    <x v="0"/>
    <n v="15.287300663378099"/>
    <n v="5579.8647421330097"/>
    <n v="20087.513071678801"/>
  </r>
  <r>
    <x v="0"/>
    <x v="1"/>
    <x v="1"/>
    <x v="9"/>
    <x v="20"/>
    <s v="SE4A"/>
    <x v="6"/>
    <x v="7"/>
    <s v="GNR_RES_WTR_NOPMP_MC-03"/>
    <x v="0"/>
    <x v="18"/>
    <n v="15.287300663378099"/>
    <n v="5579.8647421330097"/>
    <n v="20087.513071678801"/>
  </r>
  <r>
    <x v="0"/>
    <x v="1"/>
    <x v="1"/>
    <x v="9"/>
    <x v="20"/>
    <s v="SE4A"/>
    <x v="6"/>
    <x v="7"/>
    <s v="GNR_RES_WTR_NOPMP_MC-03"/>
    <x v="0"/>
    <x v="2"/>
    <n v="15.287300663378099"/>
    <n v="5579.8647421330097"/>
    <n v="20087.513071678801"/>
  </r>
  <r>
    <x v="0"/>
    <x v="1"/>
    <x v="1"/>
    <x v="9"/>
    <x v="20"/>
    <s v="SE4A"/>
    <x v="6"/>
    <x v="7"/>
    <s v="GNR_RES_WTR_NOPMP_MC-03"/>
    <x v="0"/>
    <x v="3"/>
    <n v="15.287300663378099"/>
    <n v="5579.8647421330097"/>
    <n v="20087.513071678801"/>
  </r>
  <r>
    <x v="0"/>
    <x v="1"/>
    <x v="1"/>
    <x v="9"/>
    <x v="20"/>
    <s v="SE4A"/>
    <x v="6"/>
    <x v="7"/>
    <s v="GNR_RES_WTR_NOPMP_MC-03"/>
    <x v="0"/>
    <x v="4"/>
    <n v="15.287300663378099"/>
    <n v="5579.8647421330097"/>
    <n v="20087.513071678801"/>
  </r>
  <r>
    <x v="0"/>
    <x v="1"/>
    <x v="1"/>
    <x v="9"/>
    <x v="20"/>
    <s v="SE4A"/>
    <x v="6"/>
    <x v="7"/>
    <s v="GNR_RES_WTR_NOPMP_MC-03"/>
    <x v="0"/>
    <x v="5"/>
    <n v="15.287300663378099"/>
    <n v="5579.8647421330097"/>
    <n v="20087.513071678801"/>
  </r>
  <r>
    <x v="0"/>
    <x v="1"/>
    <x v="1"/>
    <x v="9"/>
    <x v="20"/>
    <s v="SE4A"/>
    <x v="6"/>
    <x v="7"/>
    <s v="GNR_RES_WTR_NOPMP_MC-03"/>
    <x v="0"/>
    <x v="6"/>
    <n v="15.287300663378099"/>
    <n v="5579.8647421330097"/>
    <n v="20087.513071678801"/>
  </r>
  <r>
    <x v="0"/>
    <x v="1"/>
    <x v="1"/>
    <x v="9"/>
    <x v="20"/>
    <s v="SE4A"/>
    <x v="6"/>
    <x v="7"/>
    <s v="GNR_RES_WTR_NOPMP_MC-03"/>
    <x v="0"/>
    <x v="7"/>
    <n v="15.287300663378099"/>
    <n v="5579.8647421330097"/>
    <n v="20087.513071678801"/>
  </r>
  <r>
    <x v="0"/>
    <x v="1"/>
    <x v="1"/>
    <x v="9"/>
    <x v="20"/>
    <s v="SE4A"/>
    <x v="6"/>
    <x v="7"/>
    <s v="GNR_RES_WTR_NOPMP_MC-03"/>
    <x v="0"/>
    <x v="8"/>
    <n v="15.287300663378099"/>
    <n v="5579.8647421330097"/>
    <n v="20087.513071678801"/>
  </r>
  <r>
    <x v="0"/>
    <x v="1"/>
    <x v="1"/>
    <x v="9"/>
    <x v="20"/>
    <s v="SE4A"/>
    <x v="6"/>
    <x v="7"/>
    <s v="GNR_RES_WTR_NOPMP_MC-03"/>
    <x v="0"/>
    <x v="9"/>
    <n v="15.287300663378099"/>
    <n v="5579.8647421330097"/>
    <n v="20087.513071678801"/>
  </r>
  <r>
    <x v="0"/>
    <x v="1"/>
    <x v="1"/>
    <x v="9"/>
    <x v="20"/>
    <s v="SE4A"/>
    <x v="6"/>
    <x v="7"/>
    <s v="GNR_RES_WTR_NOPMP_MC-03"/>
    <x v="0"/>
    <x v="10"/>
    <n v="15.287300663378099"/>
    <n v="5579.8647421330097"/>
    <n v="20087.513071678801"/>
  </r>
  <r>
    <x v="0"/>
    <x v="1"/>
    <x v="1"/>
    <x v="9"/>
    <x v="20"/>
    <s v="SE4A"/>
    <x v="6"/>
    <x v="7"/>
    <s v="GNR_RES_WTR_NOPMP_MC-03"/>
    <x v="0"/>
    <x v="11"/>
    <n v="15.287300663378099"/>
    <n v="5579.8647421330097"/>
    <n v="20087.513071678801"/>
  </r>
  <r>
    <x v="0"/>
    <x v="1"/>
    <x v="1"/>
    <x v="9"/>
    <x v="20"/>
    <s v="SE4A"/>
    <x v="6"/>
    <x v="7"/>
    <s v="GNR_RES_WTR_NOPMP_MC-03"/>
    <x v="0"/>
    <x v="12"/>
    <n v="15.287300663378099"/>
    <n v="5579.8647421330097"/>
    <n v="20087.513071678801"/>
  </r>
  <r>
    <x v="0"/>
    <x v="1"/>
    <x v="1"/>
    <x v="9"/>
    <x v="20"/>
    <s v="SE4A"/>
    <x v="6"/>
    <x v="7"/>
    <s v="GNR_RES_WTR_NOPMP_MC-03"/>
    <x v="0"/>
    <x v="13"/>
    <n v="15.287300663378099"/>
    <n v="5579.8647421330097"/>
    <n v="20087.513071678801"/>
  </r>
  <r>
    <x v="0"/>
    <x v="1"/>
    <x v="1"/>
    <x v="9"/>
    <x v="20"/>
    <s v="SE4A"/>
    <x v="6"/>
    <x v="7"/>
    <s v="GNR_RES_WTR_NOPMP_MC-03"/>
    <x v="0"/>
    <x v="14"/>
    <n v="15.287300663378099"/>
    <n v="5579.8647421330097"/>
    <n v="20087.513071678801"/>
  </r>
  <r>
    <x v="0"/>
    <x v="1"/>
    <x v="1"/>
    <x v="9"/>
    <x v="20"/>
    <s v="SE4A"/>
    <x v="6"/>
    <x v="7"/>
    <s v="GNR_RES_WTR_NOPMP_MC-03"/>
    <x v="0"/>
    <x v="15"/>
    <n v="15.287300663378099"/>
    <n v="5579.8647421330097"/>
    <n v="20087.513071678801"/>
  </r>
  <r>
    <x v="0"/>
    <x v="1"/>
    <x v="1"/>
    <x v="9"/>
    <x v="20"/>
    <s v="SE4A"/>
    <x v="6"/>
    <x v="7"/>
    <s v="GNR_RES_WTR_NOPMP_MC-03"/>
    <x v="0"/>
    <x v="16"/>
    <n v="15.287300663378099"/>
    <n v="5579.8647421330097"/>
    <n v="20087.513071678801"/>
  </r>
  <r>
    <x v="0"/>
    <x v="1"/>
    <x v="1"/>
    <x v="9"/>
    <x v="20"/>
    <s v="SE4A"/>
    <x v="6"/>
    <x v="7"/>
    <s v="GNR_RES_WTR_NOPMP_MC-03"/>
    <x v="0"/>
    <x v="17"/>
    <n v="15.287300663378099"/>
    <n v="5579.8647421330097"/>
    <n v="20087.513071678801"/>
  </r>
  <r>
    <x v="0"/>
    <x v="1"/>
    <x v="1"/>
    <x v="9"/>
    <x v="20"/>
    <s v="SE4A"/>
    <x v="6"/>
    <x v="7"/>
    <s v="GNR_RES_WTR_NOPMP_MC-03"/>
    <x v="0"/>
    <x v="19"/>
    <n v="15.287300663378099"/>
    <n v="5579.8647421330097"/>
    <n v="20087.513071678801"/>
  </r>
  <r>
    <x v="0"/>
    <x v="1"/>
    <x v="1"/>
    <x v="9"/>
    <x v="20"/>
    <s v="SE4A"/>
    <x v="6"/>
    <x v="7"/>
    <s v="GNR_RES_WTR_NOPMP_MC-03"/>
    <x v="0"/>
    <x v="20"/>
    <n v="15.287300663378099"/>
    <n v="5579.8647421330097"/>
    <n v="20087.513071678801"/>
  </r>
  <r>
    <x v="0"/>
    <x v="1"/>
    <x v="1"/>
    <x v="9"/>
    <x v="20"/>
    <s v="SE4A"/>
    <x v="6"/>
    <x v="7"/>
    <s v="GNR_RES_WTR_NOPMP_MC-03"/>
    <x v="0"/>
    <x v="21"/>
    <n v="15.287300663378099"/>
    <n v="5579.8647421330097"/>
    <n v="20087.513071678801"/>
  </r>
  <r>
    <x v="0"/>
    <x v="1"/>
    <x v="1"/>
    <x v="9"/>
    <x v="20"/>
    <s v="SE4A"/>
    <x v="6"/>
    <x v="7"/>
    <s v="GNR_RES_WTR_NOPMP_MC-04"/>
    <x v="0"/>
    <x v="3"/>
    <n v="15.287300663378099"/>
    <n v="5579.8647421330097"/>
    <n v="20087.513071678801"/>
  </r>
  <r>
    <x v="0"/>
    <x v="1"/>
    <x v="1"/>
    <x v="9"/>
    <x v="20"/>
    <s v="SE4A"/>
    <x v="6"/>
    <x v="7"/>
    <s v="GNR_RES_WTR_NOPMP_MC-04"/>
    <x v="0"/>
    <x v="4"/>
    <n v="15.287300663378099"/>
    <n v="5579.8647421330097"/>
    <n v="20087.513071678801"/>
  </r>
  <r>
    <x v="0"/>
    <x v="1"/>
    <x v="1"/>
    <x v="9"/>
    <x v="20"/>
    <s v="SE4A"/>
    <x v="6"/>
    <x v="7"/>
    <s v="GNR_RES_WTR_NOPMP_MC-04"/>
    <x v="0"/>
    <x v="5"/>
    <n v="15.287300663378099"/>
    <n v="5579.8647421330097"/>
    <n v="20087.513071678801"/>
  </r>
  <r>
    <x v="0"/>
    <x v="1"/>
    <x v="1"/>
    <x v="9"/>
    <x v="20"/>
    <s v="SE4A"/>
    <x v="6"/>
    <x v="7"/>
    <s v="GNR_RES_WTR_NOPMP_MC-04"/>
    <x v="0"/>
    <x v="6"/>
    <n v="15.287300663378099"/>
    <n v="5579.8647421330097"/>
    <n v="20087.513071678801"/>
  </r>
  <r>
    <x v="0"/>
    <x v="1"/>
    <x v="1"/>
    <x v="9"/>
    <x v="20"/>
    <s v="SE4A"/>
    <x v="6"/>
    <x v="7"/>
    <s v="GNR_RES_WTR_NOPMP_MC-04"/>
    <x v="0"/>
    <x v="7"/>
    <n v="15.287300663378099"/>
    <n v="5579.8647421330097"/>
    <n v="20087.513071678801"/>
  </r>
  <r>
    <x v="0"/>
    <x v="1"/>
    <x v="1"/>
    <x v="9"/>
    <x v="20"/>
    <s v="SE4A"/>
    <x v="6"/>
    <x v="7"/>
    <s v="GNR_RES_WTR_NOPMP_MC-04"/>
    <x v="0"/>
    <x v="8"/>
    <n v="15.287300663378099"/>
    <n v="5579.8647421330097"/>
    <n v="20087.513071678801"/>
  </r>
  <r>
    <x v="0"/>
    <x v="1"/>
    <x v="1"/>
    <x v="9"/>
    <x v="20"/>
    <s v="SE4A"/>
    <x v="6"/>
    <x v="7"/>
    <s v="GNR_RES_WTR_NOPMP_MC-04"/>
    <x v="0"/>
    <x v="9"/>
    <n v="15.287300663378099"/>
    <n v="5579.8647421330097"/>
    <n v="20087.513071678801"/>
  </r>
  <r>
    <x v="0"/>
    <x v="1"/>
    <x v="1"/>
    <x v="9"/>
    <x v="20"/>
    <s v="SE4A"/>
    <x v="6"/>
    <x v="7"/>
    <s v="GNR_RES_WTR_NOPMP_MC-04"/>
    <x v="0"/>
    <x v="10"/>
    <n v="15.287300663378099"/>
    <n v="5579.8647421330097"/>
    <n v="20087.513071678801"/>
  </r>
  <r>
    <x v="0"/>
    <x v="1"/>
    <x v="1"/>
    <x v="9"/>
    <x v="20"/>
    <s v="SE4A"/>
    <x v="6"/>
    <x v="7"/>
    <s v="GNR_RES_WTR_NOPMP_MC-04"/>
    <x v="0"/>
    <x v="11"/>
    <n v="15.287300663378099"/>
    <n v="5579.8647421330097"/>
    <n v="20087.513071678801"/>
  </r>
  <r>
    <x v="0"/>
    <x v="1"/>
    <x v="1"/>
    <x v="9"/>
    <x v="20"/>
    <s v="SE4A"/>
    <x v="6"/>
    <x v="7"/>
    <s v="GNR_RES_WTR_NOPMP_MC-04"/>
    <x v="0"/>
    <x v="12"/>
    <n v="15.287300663378099"/>
    <n v="5579.8647421330097"/>
    <n v="20087.513071678801"/>
  </r>
  <r>
    <x v="0"/>
    <x v="1"/>
    <x v="1"/>
    <x v="9"/>
    <x v="20"/>
    <s v="SE4A"/>
    <x v="6"/>
    <x v="7"/>
    <s v="GNR_RES_WTR_NOPMP_MC-04"/>
    <x v="0"/>
    <x v="13"/>
    <n v="15.287300663378099"/>
    <n v="5579.8647421330097"/>
    <n v="20087.513071678801"/>
  </r>
  <r>
    <x v="0"/>
    <x v="1"/>
    <x v="1"/>
    <x v="9"/>
    <x v="20"/>
    <s v="SE4A"/>
    <x v="6"/>
    <x v="7"/>
    <s v="GNR_RES_WTR_NOPMP_MC-04"/>
    <x v="0"/>
    <x v="14"/>
    <n v="15.287300663378099"/>
    <n v="5579.8647421330097"/>
    <n v="20087.513071678801"/>
  </r>
  <r>
    <x v="0"/>
    <x v="1"/>
    <x v="1"/>
    <x v="9"/>
    <x v="20"/>
    <s v="SE4A"/>
    <x v="6"/>
    <x v="7"/>
    <s v="GNR_RES_WTR_NOPMP_MC-04"/>
    <x v="0"/>
    <x v="15"/>
    <n v="15.287300663378099"/>
    <n v="5579.8647421330097"/>
    <n v="20087.513071678801"/>
  </r>
  <r>
    <x v="0"/>
    <x v="1"/>
    <x v="1"/>
    <x v="9"/>
    <x v="20"/>
    <s v="SE4A"/>
    <x v="6"/>
    <x v="7"/>
    <s v="GNR_RES_WTR_NOPMP_MC-04"/>
    <x v="0"/>
    <x v="16"/>
    <n v="15.287300663378099"/>
    <n v="5579.8647421330097"/>
    <n v="20087.513071678801"/>
  </r>
  <r>
    <x v="0"/>
    <x v="1"/>
    <x v="1"/>
    <x v="9"/>
    <x v="20"/>
    <s v="SE4A"/>
    <x v="6"/>
    <x v="7"/>
    <s v="GNR_RES_WTR_NOPMP_MC-04"/>
    <x v="0"/>
    <x v="17"/>
    <n v="15.287300663378099"/>
    <n v="5579.8647421330097"/>
    <n v="20087.513071678801"/>
  </r>
  <r>
    <x v="0"/>
    <x v="1"/>
    <x v="1"/>
    <x v="9"/>
    <x v="20"/>
    <s v="SE4A"/>
    <x v="6"/>
    <x v="7"/>
    <s v="GNR_RES_WTR_NOPMP_MC-04"/>
    <x v="0"/>
    <x v="19"/>
    <n v="15.287300663378099"/>
    <n v="5579.8647421330097"/>
    <n v="20087.513071678801"/>
  </r>
  <r>
    <x v="0"/>
    <x v="1"/>
    <x v="1"/>
    <x v="9"/>
    <x v="20"/>
    <s v="SE4A"/>
    <x v="6"/>
    <x v="7"/>
    <s v="GNR_RES_WTR_NOPMP_MC-05"/>
    <x v="0"/>
    <x v="4"/>
    <n v="15.287300663378099"/>
    <n v="5579.8647421330097"/>
    <n v="20087.513071678801"/>
  </r>
  <r>
    <x v="0"/>
    <x v="1"/>
    <x v="1"/>
    <x v="9"/>
    <x v="20"/>
    <s v="SE4A"/>
    <x v="6"/>
    <x v="7"/>
    <s v="GNR_RES_WTR_NOPMP_MC-05"/>
    <x v="0"/>
    <x v="5"/>
    <n v="15.287300663378099"/>
    <n v="5579.8647421330097"/>
    <n v="20087.513071678801"/>
  </r>
  <r>
    <x v="0"/>
    <x v="1"/>
    <x v="1"/>
    <x v="9"/>
    <x v="20"/>
    <s v="SE4A"/>
    <x v="6"/>
    <x v="7"/>
    <s v="GNR_RES_WTR_NOPMP_MC-05"/>
    <x v="0"/>
    <x v="6"/>
    <n v="15.287300663378099"/>
    <n v="5579.8647421330097"/>
    <n v="20087.513071678801"/>
  </r>
  <r>
    <x v="0"/>
    <x v="1"/>
    <x v="1"/>
    <x v="9"/>
    <x v="20"/>
    <s v="SE4A"/>
    <x v="6"/>
    <x v="7"/>
    <s v="GNR_RES_WTR_NOPMP_MC-05"/>
    <x v="0"/>
    <x v="7"/>
    <n v="15.287300663378099"/>
    <n v="5579.8647421330097"/>
    <n v="20087.513071678801"/>
  </r>
  <r>
    <x v="0"/>
    <x v="1"/>
    <x v="1"/>
    <x v="9"/>
    <x v="20"/>
    <s v="SE4A"/>
    <x v="6"/>
    <x v="7"/>
    <s v="GNR_RES_WTR_NOPMP_MC-05"/>
    <x v="0"/>
    <x v="8"/>
    <n v="15.287300663378099"/>
    <n v="5579.8647421330097"/>
    <n v="20087.513071678801"/>
  </r>
  <r>
    <x v="0"/>
    <x v="1"/>
    <x v="1"/>
    <x v="9"/>
    <x v="20"/>
    <s v="SE4A"/>
    <x v="6"/>
    <x v="7"/>
    <s v="GNR_RES_WTR_NOPMP_MC-05"/>
    <x v="0"/>
    <x v="9"/>
    <n v="15.287300663378099"/>
    <n v="5579.8647421330097"/>
    <n v="20087.513071678801"/>
  </r>
  <r>
    <x v="0"/>
    <x v="1"/>
    <x v="1"/>
    <x v="9"/>
    <x v="20"/>
    <s v="SE4A"/>
    <x v="6"/>
    <x v="7"/>
    <s v="GNR_RES_WTR_NOPMP_MC-05"/>
    <x v="0"/>
    <x v="10"/>
    <n v="15.287300663378099"/>
    <n v="5579.8647421330097"/>
    <n v="20087.513071678801"/>
  </r>
  <r>
    <x v="0"/>
    <x v="1"/>
    <x v="1"/>
    <x v="9"/>
    <x v="20"/>
    <s v="SE4A"/>
    <x v="6"/>
    <x v="7"/>
    <s v="GNR_RES_WTR_NOPMP_MC-05"/>
    <x v="0"/>
    <x v="11"/>
    <n v="15.287300663378099"/>
    <n v="5579.8647421330097"/>
    <n v="20087.513071678801"/>
  </r>
  <r>
    <x v="0"/>
    <x v="1"/>
    <x v="1"/>
    <x v="9"/>
    <x v="20"/>
    <s v="SE4A"/>
    <x v="6"/>
    <x v="7"/>
    <s v="GNR_RES_WTR_NOPMP_MC-05"/>
    <x v="0"/>
    <x v="12"/>
    <n v="15.287300663378099"/>
    <n v="5579.8647421330097"/>
    <n v="20087.513071678801"/>
  </r>
  <r>
    <x v="0"/>
    <x v="1"/>
    <x v="1"/>
    <x v="9"/>
    <x v="20"/>
    <s v="SE4A"/>
    <x v="6"/>
    <x v="7"/>
    <s v="GNR_RES_WTR_NOPMP_MC-05"/>
    <x v="0"/>
    <x v="13"/>
    <n v="15.287300663378099"/>
    <n v="5579.8647421330097"/>
    <n v="20087.513071678801"/>
  </r>
  <r>
    <x v="0"/>
    <x v="1"/>
    <x v="1"/>
    <x v="9"/>
    <x v="20"/>
    <s v="SE4A"/>
    <x v="6"/>
    <x v="7"/>
    <s v="GNR_RES_WTR_NOPMP_MC-05"/>
    <x v="0"/>
    <x v="14"/>
    <n v="15.287300663378099"/>
    <n v="5579.8647421330097"/>
    <n v="20087.513071678801"/>
  </r>
  <r>
    <x v="0"/>
    <x v="1"/>
    <x v="1"/>
    <x v="9"/>
    <x v="20"/>
    <s v="SE4A"/>
    <x v="6"/>
    <x v="7"/>
    <s v="GNR_RES_WTR_NOPMP_MC-05"/>
    <x v="0"/>
    <x v="15"/>
    <n v="15.287300663378099"/>
    <n v="5579.8647421330097"/>
    <n v="20087.513071678801"/>
  </r>
  <r>
    <x v="0"/>
    <x v="1"/>
    <x v="1"/>
    <x v="9"/>
    <x v="20"/>
    <s v="SE4A"/>
    <x v="6"/>
    <x v="7"/>
    <s v="GNR_RES_WTR_NOPMP_MC-05"/>
    <x v="0"/>
    <x v="16"/>
    <n v="15.287300663378099"/>
    <n v="5579.8647421330097"/>
    <n v="20087.513071678801"/>
  </r>
  <r>
    <x v="0"/>
    <x v="1"/>
    <x v="1"/>
    <x v="9"/>
    <x v="20"/>
    <s v="SE4A"/>
    <x v="6"/>
    <x v="7"/>
    <s v="GNR_RES_WTR_NOPMP_MC-05"/>
    <x v="0"/>
    <x v="17"/>
    <n v="15.287300663378099"/>
    <n v="5579.8647421330097"/>
    <n v="20087.513071678801"/>
  </r>
  <r>
    <x v="0"/>
    <x v="1"/>
    <x v="1"/>
    <x v="9"/>
    <x v="20"/>
    <s v="SE4A"/>
    <x v="6"/>
    <x v="7"/>
    <s v="GNR_RES_WTR_NOPMP_MC-05"/>
    <x v="0"/>
    <x v="19"/>
    <n v="15.287300663378099"/>
    <n v="5579.8647421330097"/>
    <n v="20087.513071678801"/>
  </r>
  <r>
    <x v="0"/>
    <x v="1"/>
    <x v="1"/>
    <x v="9"/>
    <x v="20"/>
    <s v="SE4A"/>
    <x v="6"/>
    <x v="7"/>
    <s v="GNR_RES_WTR_NOPMP_MC-06"/>
    <x v="0"/>
    <x v="5"/>
    <n v="15.287300663378099"/>
    <n v="5579.8647421330097"/>
    <n v="20087.513071678801"/>
  </r>
  <r>
    <x v="0"/>
    <x v="1"/>
    <x v="1"/>
    <x v="9"/>
    <x v="20"/>
    <s v="SE4A"/>
    <x v="6"/>
    <x v="7"/>
    <s v="GNR_RES_WTR_NOPMP_MC-06"/>
    <x v="0"/>
    <x v="6"/>
    <n v="15.287300663378099"/>
    <n v="5579.8647421330097"/>
    <n v="20087.513071678801"/>
  </r>
  <r>
    <x v="0"/>
    <x v="1"/>
    <x v="1"/>
    <x v="9"/>
    <x v="20"/>
    <s v="SE4A"/>
    <x v="6"/>
    <x v="7"/>
    <s v="GNR_RES_WTR_NOPMP_MC-06"/>
    <x v="0"/>
    <x v="7"/>
    <n v="15.287300663378099"/>
    <n v="5579.8647421330097"/>
    <n v="20087.513071678801"/>
  </r>
  <r>
    <x v="0"/>
    <x v="1"/>
    <x v="1"/>
    <x v="9"/>
    <x v="20"/>
    <s v="SE4A"/>
    <x v="6"/>
    <x v="7"/>
    <s v="GNR_RES_WTR_NOPMP_MC-06"/>
    <x v="0"/>
    <x v="8"/>
    <n v="15.287300663378099"/>
    <n v="5579.8647421330097"/>
    <n v="20087.513071678801"/>
  </r>
  <r>
    <x v="0"/>
    <x v="1"/>
    <x v="1"/>
    <x v="9"/>
    <x v="20"/>
    <s v="SE4A"/>
    <x v="6"/>
    <x v="7"/>
    <s v="GNR_RES_WTR_NOPMP_MC-06"/>
    <x v="0"/>
    <x v="9"/>
    <n v="15.287300663378099"/>
    <n v="5579.8647421330097"/>
    <n v="20087.513071678801"/>
  </r>
  <r>
    <x v="0"/>
    <x v="1"/>
    <x v="1"/>
    <x v="9"/>
    <x v="20"/>
    <s v="SE4A"/>
    <x v="6"/>
    <x v="7"/>
    <s v="GNR_RES_WTR_NOPMP_MC-06"/>
    <x v="0"/>
    <x v="10"/>
    <n v="15.287300663378099"/>
    <n v="5579.8647421330097"/>
    <n v="20087.513071678801"/>
  </r>
  <r>
    <x v="0"/>
    <x v="1"/>
    <x v="1"/>
    <x v="9"/>
    <x v="20"/>
    <s v="SE4A"/>
    <x v="6"/>
    <x v="7"/>
    <s v="GNR_RES_WTR_NOPMP_MC-06"/>
    <x v="0"/>
    <x v="11"/>
    <n v="15.287300663378099"/>
    <n v="5579.8647421330097"/>
    <n v="20087.513071678801"/>
  </r>
  <r>
    <x v="0"/>
    <x v="1"/>
    <x v="1"/>
    <x v="9"/>
    <x v="20"/>
    <s v="SE4A"/>
    <x v="6"/>
    <x v="7"/>
    <s v="GNR_RES_WTR_NOPMP_MC-06"/>
    <x v="0"/>
    <x v="12"/>
    <n v="15.287300663378099"/>
    <n v="5579.8647421330097"/>
    <n v="20087.513071678801"/>
  </r>
  <r>
    <x v="0"/>
    <x v="1"/>
    <x v="1"/>
    <x v="9"/>
    <x v="20"/>
    <s v="SE4A"/>
    <x v="6"/>
    <x v="7"/>
    <s v="GNR_RES_WTR_NOPMP_MC-06"/>
    <x v="0"/>
    <x v="13"/>
    <n v="15.287300663378099"/>
    <n v="5579.8647421330097"/>
    <n v="20087.513071678801"/>
  </r>
  <r>
    <x v="0"/>
    <x v="1"/>
    <x v="1"/>
    <x v="9"/>
    <x v="20"/>
    <s v="SE4A"/>
    <x v="6"/>
    <x v="7"/>
    <s v="GNR_RES_WTR_NOPMP_MC-06"/>
    <x v="0"/>
    <x v="14"/>
    <n v="15.287300663378099"/>
    <n v="5579.8647421330097"/>
    <n v="20087.513071678801"/>
  </r>
  <r>
    <x v="0"/>
    <x v="1"/>
    <x v="1"/>
    <x v="9"/>
    <x v="20"/>
    <s v="SE4A"/>
    <x v="6"/>
    <x v="7"/>
    <s v="GNR_RES_WTR_NOPMP_MC-06"/>
    <x v="0"/>
    <x v="15"/>
    <n v="15.287300663378099"/>
    <n v="5579.8647421330097"/>
    <n v="20087.513071678801"/>
  </r>
  <r>
    <x v="0"/>
    <x v="1"/>
    <x v="1"/>
    <x v="9"/>
    <x v="20"/>
    <s v="SE4A"/>
    <x v="6"/>
    <x v="7"/>
    <s v="GNR_RES_WTR_NOPMP_MC-06"/>
    <x v="0"/>
    <x v="16"/>
    <n v="15.287300663378099"/>
    <n v="5579.8647421330097"/>
    <n v="20087.513071678801"/>
  </r>
  <r>
    <x v="0"/>
    <x v="1"/>
    <x v="1"/>
    <x v="9"/>
    <x v="20"/>
    <s v="SE4A"/>
    <x v="6"/>
    <x v="7"/>
    <s v="GNR_RES_WTR_NOPMP_MC-07"/>
    <x v="0"/>
    <x v="5"/>
    <n v="15.287300663378099"/>
    <n v="5579.8647421330097"/>
    <n v="20087.513071678801"/>
  </r>
  <r>
    <x v="0"/>
    <x v="1"/>
    <x v="1"/>
    <x v="9"/>
    <x v="20"/>
    <s v="SE4A"/>
    <x v="6"/>
    <x v="7"/>
    <s v="GNR_RES_WTR_NOPMP_MC-07"/>
    <x v="0"/>
    <x v="6"/>
    <n v="15.287300663378099"/>
    <n v="5579.8647421330097"/>
    <n v="20087.513071678801"/>
  </r>
  <r>
    <x v="0"/>
    <x v="1"/>
    <x v="1"/>
    <x v="9"/>
    <x v="20"/>
    <s v="SE4A"/>
    <x v="6"/>
    <x v="7"/>
    <s v="GNR_RES_WTR_NOPMP_MC-07"/>
    <x v="0"/>
    <x v="7"/>
    <n v="15.287300663378099"/>
    <n v="5579.8647421330097"/>
    <n v="20087.513071678801"/>
  </r>
  <r>
    <x v="0"/>
    <x v="1"/>
    <x v="1"/>
    <x v="9"/>
    <x v="20"/>
    <s v="SE4A"/>
    <x v="6"/>
    <x v="7"/>
    <s v="GNR_RES_WTR_NOPMP_MC-07"/>
    <x v="0"/>
    <x v="8"/>
    <n v="15.287300663378099"/>
    <n v="5579.8647421330097"/>
    <n v="20087.513071678801"/>
  </r>
  <r>
    <x v="0"/>
    <x v="1"/>
    <x v="1"/>
    <x v="9"/>
    <x v="20"/>
    <s v="SE4A"/>
    <x v="6"/>
    <x v="7"/>
    <s v="GNR_RES_WTR_NOPMP_MC-07"/>
    <x v="0"/>
    <x v="9"/>
    <n v="15.287300663378099"/>
    <n v="5579.8647421330097"/>
    <n v="20087.513071678801"/>
  </r>
  <r>
    <x v="0"/>
    <x v="1"/>
    <x v="1"/>
    <x v="9"/>
    <x v="20"/>
    <s v="SE4A"/>
    <x v="6"/>
    <x v="7"/>
    <s v="GNR_RES_WTR_NOPMP_MC-07"/>
    <x v="0"/>
    <x v="10"/>
    <n v="15.287300663378099"/>
    <n v="5579.8647421330097"/>
    <n v="20087.513071678801"/>
  </r>
  <r>
    <x v="0"/>
    <x v="1"/>
    <x v="1"/>
    <x v="9"/>
    <x v="20"/>
    <s v="SE4A"/>
    <x v="6"/>
    <x v="7"/>
    <s v="GNR_RES_WTR_NOPMP_MC-07"/>
    <x v="0"/>
    <x v="11"/>
    <n v="15.287300663378099"/>
    <n v="5579.8647421330097"/>
    <n v="20087.513071678801"/>
  </r>
  <r>
    <x v="0"/>
    <x v="1"/>
    <x v="1"/>
    <x v="9"/>
    <x v="20"/>
    <s v="SE4A"/>
    <x v="6"/>
    <x v="7"/>
    <s v="GNR_RES_WTR_NOPMP_MC-08"/>
    <x v="0"/>
    <x v="6"/>
    <n v="15.287300663378099"/>
    <n v="5579.8647421330097"/>
    <n v="20087.513071678801"/>
  </r>
  <r>
    <x v="0"/>
    <x v="1"/>
    <x v="1"/>
    <x v="9"/>
    <x v="20"/>
    <s v="SE4A"/>
    <x v="6"/>
    <x v="7"/>
    <s v="GNR_RES_WTR_NOPMP_MC-08"/>
    <x v="0"/>
    <x v="7"/>
    <n v="15.287300663378099"/>
    <n v="5579.8647421330097"/>
    <n v="20087.513071678801"/>
  </r>
  <r>
    <x v="0"/>
    <x v="1"/>
    <x v="1"/>
    <x v="9"/>
    <x v="20"/>
    <s v="SE4A"/>
    <x v="6"/>
    <x v="7"/>
    <s v="GNR_RES_WTR_NOPMP_MC-08"/>
    <x v="0"/>
    <x v="8"/>
    <n v="15.287300663378099"/>
    <n v="5579.8647421330097"/>
    <n v="20087.513071678801"/>
  </r>
  <r>
    <x v="0"/>
    <x v="1"/>
    <x v="1"/>
    <x v="9"/>
    <x v="20"/>
    <s v="SE4A"/>
    <x v="6"/>
    <x v="7"/>
    <s v="GNR_RES_WTR_NOPMP_MC-09"/>
    <x v="0"/>
    <x v="6"/>
    <n v="15.287300663378099"/>
    <n v="5579.8647421330097"/>
    <n v="20087.513071678801"/>
  </r>
  <r>
    <x v="0"/>
    <x v="1"/>
    <x v="1"/>
    <x v="9"/>
    <x v="20"/>
    <s v="SE4A"/>
    <x v="6"/>
    <x v="7"/>
    <s v="GNR_RES_WTR_NOPMP_MC-09"/>
    <x v="0"/>
    <x v="7"/>
    <n v="15.287300663378099"/>
    <n v="5579.8647421330097"/>
    <n v="20087.513071678801"/>
  </r>
  <r>
    <x v="0"/>
    <x v="1"/>
    <x v="1"/>
    <x v="9"/>
    <x v="20"/>
    <s v="SE4A"/>
    <x v="6"/>
    <x v="4"/>
    <s v="GNR_ROR_WTR"/>
    <x v="0"/>
    <x v="0"/>
    <n v="102.830452189466"/>
    <n v="37533.115049155203"/>
    <n v="135119.21417695901"/>
  </r>
  <r>
    <x v="0"/>
    <x v="1"/>
    <x v="1"/>
    <x v="9"/>
    <x v="20"/>
    <s v="SE4A"/>
    <x v="6"/>
    <x v="4"/>
    <s v="GNR_ROR_WTR"/>
    <x v="0"/>
    <x v="1"/>
    <n v="102.830452189466"/>
    <n v="37533.115049155203"/>
    <n v="135119.21417695901"/>
  </r>
  <r>
    <x v="0"/>
    <x v="1"/>
    <x v="1"/>
    <x v="9"/>
    <x v="20"/>
    <s v="SE4A"/>
    <x v="6"/>
    <x v="4"/>
    <s v="GNR_ROR_WTR"/>
    <x v="0"/>
    <x v="18"/>
    <n v="102.830452189466"/>
    <n v="37533.115049155203"/>
    <n v="135119.21417695901"/>
  </r>
  <r>
    <x v="0"/>
    <x v="1"/>
    <x v="1"/>
    <x v="9"/>
    <x v="20"/>
    <s v="SE4A"/>
    <x v="6"/>
    <x v="4"/>
    <s v="GNR_ROR_WTR"/>
    <x v="0"/>
    <x v="2"/>
    <n v="102.830452189466"/>
    <n v="37533.115049155203"/>
    <n v="135119.21417695901"/>
  </r>
  <r>
    <x v="0"/>
    <x v="1"/>
    <x v="1"/>
    <x v="9"/>
    <x v="20"/>
    <s v="SE4A"/>
    <x v="6"/>
    <x v="4"/>
    <s v="GNR_ROR_WTR"/>
    <x v="0"/>
    <x v="3"/>
    <n v="102.830452189466"/>
    <n v="37533.115049155203"/>
    <n v="135119.21417695901"/>
  </r>
  <r>
    <x v="0"/>
    <x v="1"/>
    <x v="1"/>
    <x v="9"/>
    <x v="20"/>
    <s v="SE4A"/>
    <x v="6"/>
    <x v="4"/>
    <s v="GNR_ROR_WTR"/>
    <x v="0"/>
    <x v="4"/>
    <n v="102.830452189466"/>
    <n v="37533.115049155203"/>
    <n v="135119.21417695901"/>
  </r>
  <r>
    <x v="0"/>
    <x v="1"/>
    <x v="1"/>
    <x v="9"/>
    <x v="20"/>
    <s v="SE4A"/>
    <x v="6"/>
    <x v="4"/>
    <s v="GNR_ROR_WTR"/>
    <x v="0"/>
    <x v="5"/>
    <n v="102.830452189466"/>
    <n v="37533.115049155203"/>
    <n v="135119.21417695901"/>
  </r>
  <r>
    <x v="0"/>
    <x v="1"/>
    <x v="1"/>
    <x v="9"/>
    <x v="20"/>
    <s v="SE4A"/>
    <x v="6"/>
    <x v="4"/>
    <s v="GNR_ROR_WTR"/>
    <x v="0"/>
    <x v="6"/>
    <n v="102.830452189466"/>
    <n v="37533.115049155203"/>
    <n v="135119.21417695901"/>
  </r>
  <r>
    <x v="0"/>
    <x v="1"/>
    <x v="1"/>
    <x v="9"/>
    <x v="20"/>
    <s v="SE4A"/>
    <x v="6"/>
    <x v="4"/>
    <s v="GNR_ROR_WTR"/>
    <x v="0"/>
    <x v="7"/>
    <n v="102.830452189466"/>
    <n v="37533.115049155203"/>
    <n v="135119.21417695901"/>
  </r>
  <r>
    <x v="0"/>
    <x v="1"/>
    <x v="1"/>
    <x v="9"/>
    <x v="20"/>
    <s v="SE4A"/>
    <x v="6"/>
    <x v="4"/>
    <s v="GNR_ROR_WTR"/>
    <x v="0"/>
    <x v="8"/>
    <n v="102.830452189466"/>
    <n v="37533.115049155203"/>
    <n v="135119.21417695901"/>
  </r>
  <r>
    <x v="0"/>
    <x v="1"/>
    <x v="1"/>
    <x v="9"/>
    <x v="20"/>
    <s v="SE4A"/>
    <x v="6"/>
    <x v="4"/>
    <s v="GNR_ROR_WTR"/>
    <x v="0"/>
    <x v="9"/>
    <n v="102.830452189466"/>
    <n v="37533.115049155203"/>
    <n v="135119.21417695901"/>
  </r>
  <r>
    <x v="0"/>
    <x v="1"/>
    <x v="1"/>
    <x v="9"/>
    <x v="20"/>
    <s v="SE4A"/>
    <x v="6"/>
    <x v="4"/>
    <s v="GNR_ROR_WTR"/>
    <x v="0"/>
    <x v="10"/>
    <n v="102.830452189466"/>
    <n v="37533.115049155203"/>
    <n v="135119.21417695901"/>
  </r>
  <r>
    <x v="0"/>
    <x v="1"/>
    <x v="1"/>
    <x v="9"/>
    <x v="20"/>
    <s v="SE4A"/>
    <x v="6"/>
    <x v="4"/>
    <s v="GNR_ROR_WTR"/>
    <x v="0"/>
    <x v="11"/>
    <n v="102.830452189466"/>
    <n v="37533.115049155203"/>
    <n v="135119.21417695901"/>
  </r>
  <r>
    <x v="0"/>
    <x v="1"/>
    <x v="1"/>
    <x v="9"/>
    <x v="20"/>
    <s v="SE4A"/>
    <x v="6"/>
    <x v="4"/>
    <s v="GNR_ROR_WTR"/>
    <x v="0"/>
    <x v="12"/>
    <n v="102.830452189466"/>
    <n v="37533.115049155203"/>
    <n v="135119.21417695901"/>
  </r>
  <r>
    <x v="0"/>
    <x v="1"/>
    <x v="1"/>
    <x v="9"/>
    <x v="20"/>
    <s v="SE4A"/>
    <x v="6"/>
    <x v="4"/>
    <s v="GNR_ROR_WTR"/>
    <x v="0"/>
    <x v="13"/>
    <n v="102.830452189466"/>
    <n v="37533.115049155203"/>
    <n v="135119.21417695901"/>
  </r>
  <r>
    <x v="0"/>
    <x v="1"/>
    <x v="1"/>
    <x v="9"/>
    <x v="20"/>
    <s v="SE4A"/>
    <x v="6"/>
    <x v="4"/>
    <s v="GNR_ROR_WTR"/>
    <x v="0"/>
    <x v="14"/>
    <n v="102.830452189466"/>
    <n v="37533.115049155203"/>
    <n v="135119.21417695901"/>
  </r>
  <r>
    <x v="0"/>
    <x v="1"/>
    <x v="1"/>
    <x v="9"/>
    <x v="20"/>
    <s v="SE4A"/>
    <x v="6"/>
    <x v="4"/>
    <s v="GNR_ROR_WTR"/>
    <x v="0"/>
    <x v="15"/>
    <n v="102.830452189466"/>
    <n v="37533.115049155203"/>
    <n v="135119.21417695901"/>
  </r>
  <r>
    <x v="0"/>
    <x v="1"/>
    <x v="1"/>
    <x v="9"/>
    <x v="20"/>
    <s v="SE4A"/>
    <x v="6"/>
    <x v="4"/>
    <s v="GNR_ROR_WTR"/>
    <x v="0"/>
    <x v="16"/>
    <n v="102.830452189466"/>
    <n v="37533.115049155203"/>
    <n v="135119.21417695901"/>
  </r>
  <r>
    <x v="0"/>
    <x v="1"/>
    <x v="1"/>
    <x v="9"/>
    <x v="20"/>
    <s v="SE4A"/>
    <x v="6"/>
    <x v="4"/>
    <s v="GNR_ROR_WTR"/>
    <x v="0"/>
    <x v="17"/>
    <n v="102.830452189466"/>
    <n v="37533.115049155203"/>
    <n v="135119.21417695901"/>
  </r>
  <r>
    <x v="0"/>
    <x v="1"/>
    <x v="1"/>
    <x v="9"/>
    <x v="20"/>
    <s v="SE4A"/>
    <x v="6"/>
    <x v="4"/>
    <s v="GNR_ROR_WTR"/>
    <x v="0"/>
    <x v="19"/>
    <n v="102.830452189466"/>
    <n v="37533.115049155203"/>
    <n v="135119.21417695901"/>
  </r>
  <r>
    <x v="0"/>
    <x v="1"/>
    <x v="1"/>
    <x v="9"/>
    <x v="20"/>
    <s v="SE4A"/>
    <x v="6"/>
    <x v="4"/>
    <s v="GNR_ROR_WTR"/>
    <x v="0"/>
    <x v="20"/>
    <n v="102.830452189466"/>
    <n v="37533.115049155203"/>
    <n v="135119.21417695901"/>
  </r>
  <r>
    <x v="0"/>
    <x v="1"/>
    <x v="1"/>
    <x v="9"/>
    <x v="20"/>
    <s v="SE4A"/>
    <x v="6"/>
    <x v="4"/>
    <s v="GNR_ROR_WTR"/>
    <x v="0"/>
    <x v="21"/>
    <n v="102.830452189466"/>
    <n v="37533.115049155203"/>
    <n v="135119.21417695901"/>
  </r>
  <r>
    <x v="0"/>
    <x v="1"/>
    <x v="1"/>
    <x v="9"/>
    <x v="20"/>
    <s v="SE4A"/>
    <x v="6"/>
    <x v="4"/>
    <s v="GNR_ROR_WTR"/>
    <x v="0"/>
    <x v="22"/>
    <n v="102.830452189466"/>
    <n v="37533.115049155203"/>
    <n v="135119.21417695901"/>
  </r>
  <r>
    <x v="0"/>
    <x v="1"/>
    <x v="1"/>
    <x v="9"/>
    <x v="20"/>
    <s v="SE4A"/>
    <x v="6"/>
    <x v="4"/>
    <s v="GNR_ROR_WTR"/>
    <x v="0"/>
    <x v="23"/>
    <n v="102.830452189466"/>
    <n v="37533.115049155203"/>
    <n v="135119.21417695901"/>
  </r>
  <r>
    <x v="0"/>
    <x v="1"/>
    <x v="1"/>
    <x v="9"/>
    <x v="20"/>
    <s v="SE4A"/>
    <x v="7"/>
    <x v="5"/>
    <s v="GNR_WT_WIND_ONS"/>
    <x v="0"/>
    <x v="0"/>
    <n v="246.24174445598101"/>
    <n v="89878.236726433097"/>
    <n v="323561.65221515897"/>
  </r>
  <r>
    <x v="0"/>
    <x v="1"/>
    <x v="1"/>
    <x v="9"/>
    <x v="20"/>
    <s v="SE4A"/>
    <x v="7"/>
    <x v="5"/>
    <s v="GNR_WT_WIND_ONS"/>
    <x v="0"/>
    <x v="1"/>
    <n v="233.70265878970801"/>
    <n v="85301.470458243493"/>
    <n v="307085.29364967701"/>
  </r>
  <r>
    <x v="0"/>
    <x v="1"/>
    <x v="1"/>
    <x v="9"/>
    <x v="20"/>
    <s v="SE4A"/>
    <x v="7"/>
    <x v="5"/>
    <s v="GNR_WT_WIND_ONS"/>
    <x v="0"/>
    <x v="18"/>
    <n v="221.77410479834001"/>
    <n v="80947.548251393906"/>
    <n v="291411.17370501801"/>
  </r>
  <r>
    <x v="0"/>
    <x v="1"/>
    <x v="1"/>
    <x v="9"/>
    <x v="20"/>
    <s v="SE4A"/>
    <x v="7"/>
    <x v="5"/>
    <s v="GNR_WT_WIND_ONS"/>
    <x v="0"/>
    <x v="2"/>
    <n v="210.03264820242001"/>
    <n v="76661.916593883405"/>
    <n v="275982.89973797998"/>
  </r>
  <r>
    <x v="0"/>
    <x v="1"/>
    <x v="1"/>
    <x v="9"/>
    <x v="20"/>
    <s v="SE4A"/>
    <x v="7"/>
    <x v="5"/>
    <s v="GNR_WT_WIND_ONS"/>
    <x v="0"/>
    <x v="3"/>
    <n v="173.20200213200101"/>
    <n v="63218.730778180499"/>
    <n v="227587.43080145001"/>
  </r>
  <r>
    <x v="0"/>
    <x v="1"/>
    <x v="1"/>
    <x v="9"/>
    <x v="20"/>
    <s v="SE4A"/>
    <x v="7"/>
    <x v="5"/>
    <s v="GNR_WT_WIND_ONS"/>
    <x v="0"/>
    <x v="4"/>
    <n v="159.70554996063001"/>
    <n v="58292.525735629897"/>
    <n v="209853.09264826801"/>
  </r>
  <r>
    <x v="0"/>
    <x v="1"/>
    <x v="1"/>
    <x v="9"/>
    <x v="20"/>
    <s v="SE4A"/>
    <x v="7"/>
    <x v="5"/>
    <s v="GNR_WT_WIND_ONS"/>
    <x v="0"/>
    <x v="5"/>
    <n v="132.34493208696099"/>
    <n v="48305.900211740904"/>
    <n v="173901.240762267"/>
  </r>
  <r>
    <x v="0"/>
    <x v="1"/>
    <x v="1"/>
    <x v="9"/>
    <x v="20"/>
    <s v="SE4A"/>
    <x v="7"/>
    <x v="5"/>
    <s v="GNR_WT_WIND_ONS"/>
    <x v="0"/>
    <x v="6"/>
    <n v="94.224967462871007"/>
    <n v="34392.1131239479"/>
    <n v="123811.607246213"/>
  </r>
  <r>
    <x v="0"/>
    <x v="1"/>
    <x v="1"/>
    <x v="9"/>
    <x v="20"/>
    <s v="SE4A"/>
    <x v="7"/>
    <x v="5"/>
    <s v="GNR_WT_WIND_ONS"/>
    <x v="0"/>
    <x v="7"/>
    <n v="75.873635565370407"/>
    <n v="27693.876981360201"/>
    <n v="99697.957132896699"/>
  </r>
  <r>
    <x v="0"/>
    <x v="1"/>
    <x v="1"/>
    <x v="9"/>
    <x v="20"/>
    <s v="SE4A"/>
    <x v="7"/>
    <x v="5"/>
    <s v="GNR_WT_WIND_ONS"/>
    <x v="0"/>
    <x v="8"/>
    <n v="79.771444211274101"/>
    <n v="29116.577137115"/>
    <n v="104819.67769361399"/>
  </r>
  <r>
    <x v="0"/>
    <x v="1"/>
    <x v="1"/>
    <x v="9"/>
    <x v="20"/>
    <s v="SE4A"/>
    <x v="7"/>
    <x v="5"/>
    <s v="GNR_WT_WIND_ONS"/>
    <x v="0"/>
    <x v="9"/>
    <n v="74.601602381319395"/>
    <n v="27229.584869181599"/>
    <n v="98026.505529053698"/>
  </r>
  <r>
    <x v="0"/>
    <x v="1"/>
    <x v="1"/>
    <x v="9"/>
    <x v="20"/>
    <s v="SE4A"/>
    <x v="7"/>
    <x v="5"/>
    <s v="GNR_WT_WIND_ONS"/>
    <x v="0"/>
    <x v="10"/>
    <n v="77.833529392150595"/>
    <n v="28409.238228135"/>
    <n v="102273.257621286"/>
  </r>
  <r>
    <x v="0"/>
    <x v="1"/>
    <x v="1"/>
    <x v="9"/>
    <x v="20"/>
    <s v="SE4A"/>
    <x v="7"/>
    <x v="5"/>
    <s v="GNR_WT_WIND_ONS"/>
    <x v="0"/>
    <x v="11"/>
    <n v="87.574594837347703"/>
    <n v="31964.7271156319"/>
    <n v="115073.017616275"/>
  </r>
  <r>
    <x v="0"/>
    <x v="1"/>
    <x v="1"/>
    <x v="9"/>
    <x v="20"/>
    <s v="SE4A"/>
    <x v="7"/>
    <x v="5"/>
    <s v="GNR_WT_WIND_ONS"/>
    <x v="0"/>
    <x v="12"/>
    <n v="102.604543263694"/>
    <n v="37450.658291248299"/>
    <n v="134822.36984849401"/>
  </r>
  <r>
    <x v="0"/>
    <x v="1"/>
    <x v="1"/>
    <x v="9"/>
    <x v="20"/>
    <s v="SE4A"/>
    <x v="7"/>
    <x v="5"/>
    <s v="GNR_WT_WIND_ONS"/>
    <x v="0"/>
    <x v="13"/>
    <n v="158.843512238844"/>
    <n v="57977.881967178"/>
    <n v="208720.37508184099"/>
  </r>
  <r>
    <x v="0"/>
    <x v="1"/>
    <x v="1"/>
    <x v="9"/>
    <x v="20"/>
    <s v="SE4A"/>
    <x v="7"/>
    <x v="5"/>
    <s v="GNR_WT_WIND_ONS"/>
    <x v="0"/>
    <x v="14"/>
    <n v="246.13375762121501"/>
    <n v="89838.821531743306"/>
    <n v="323419.75751427602"/>
  </r>
  <r>
    <x v="0"/>
    <x v="1"/>
    <x v="1"/>
    <x v="9"/>
    <x v="20"/>
    <s v="SE4A"/>
    <x v="7"/>
    <x v="5"/>
    <s v="GNR_WT_WIND_ONS"/>
    <x v="0"/>
    <x v="15"/>
    <n v="377.83845577535902"/>
    <n v="137911.03635800601"/>
    <n v="496479.730888822"/>
  </r>
  <r>
    <x v="0"/>
    <x v="1"/>
    <x v="1"/>
    <x v="9"/>
    <x v="20"/>
    <s v="SE4A"/>
    <x v="7"/>
    <x v="5"/>
    <s v="GNR_WT_WIND_ONS"/>
    <x v="0"/>
    <x v="16"/>
    <n v="609.40397787253596"/>
    <n v="222432.45192347601"/>
    <n v="800756.82692451205"/>
  </r>
  <r>
    <x v="0"/>
    <x v="1"/>
    <x v="1"/>
    <x v="9"/>
    <x v="20"/>
    <s v="SE4A"/>
    <x v="7"/>
    <x v="5"/>
    <s v="GNR_WT_WIND_ONS"/>
    <x v="0"/>
    <x v="17"/>
    <n v="890.09111400194604"/>
    <n v="324883.25661071"/>
    <n v="1169579.72379856"/>
  </r>
  <r>
    <x v="0"/>
    <x v="1"/>
    <x v="1"/>
    <x v="9"/>
    <x v="20"/>
    <s v="SE4A"/>
    <x v="7"/>
    <x v="5"/>
    <s v="GNR_WT_WIND_ONS"/>
    <x v="0"/>
    <x v="19"/>
    <n v="991.37060134593196"/>
    <n v="361850.269491265"/>
    <n v="1302660.97016855"/>
  </r>
  <r>
    <x v="0"/>
    <x v="1"/>
    <x v="1"/>
    <x v="9"/>
    <x v="20"/>
    <s v="SE4A"/>
    <x v="7"/>
    <x v="5"/>
    <s v="GNR_WT_WIND_ONS"/>
    <x v="0"/>
    <x v="20"/>
    <n v="921.60124552800801"/>
    <n v="336384.45461772301"/>
    <n v="1210984.0366237999"/>
  </r>
  <r>
    <x v="0"/>
    <x v="1"/>
    <x v="1"/>
    <x v="9"/>
    <x v="20"/>
    <s v="SE4A"/>
    <x v="7"/>
    <x v="5"/>
    <s v="GNR_WT_WIND_ONS"/>
    <x v="0"/>
    <x v="21"/>
    <n v="874.20800567270601"/>
    <n v="319085.92207053798"/>
    <n v="1148709.31945394"/>
  </r>
  <r>
    <x v="0"/>
    <x v="1"/>
    <x v="1"/>
    <x v="9"/>
    <x v="20"/>
    <s v="SE4A"/>
    <x v="7"/>
    <x v="5"/>
    <s v="GNR_WT_WIND_ONS"/>
    <x v="0"/>
    <x v="22"/>
    <n v="1015.58408216191"/>
    <n v="370688.189989098"/>
    <n v="1334477.48396075"/>
  </r>
  <r>
    <x v="0"/>
    <x v="1"/>
    <x v="1"/>
    <x v="9"/>
    <x v="20"/>
    <s v="SE4A"/>
    <x v="7"/>
    <x v="5"/>
    <s v="GNR_WT_WIND_ONS"/>
    <x v="0"/>
    <x v="23"/>
    <n v="1235.0893450359899"/>
    <n v="450807.61093813699"/>
    <n v="1622907.3993772899"/>
  </r>
  <r>
    <x v="0"/>
    <x v="1"/>
    <x v="1"/>
    <x v="9"/>
    <x v="20"/>
    <s v="SE4_HP"/>
    <x v="2"/>
    <x v="2"/>
    <s v="GBPR_MUNIWASTE_65"/>
    <x v="0"/>
    <x v="0"/>
    <n v="18"/>
    <n v="6570"/>
    <n v="23652"/>
  </r>
  <r>
    <x v="0"/>
    <x v="1"/>
    <x v="1"/>
    <x v="9"/>
    <x v="20"/>
    <s v="SE4_HP"/>
    <x v="2"/>
    <x v="2"/>
    <s v="GBPR_MUNIWASTE_65"/>
    <x v="0"/>
    <x v="1"/>
    <n v="18"/>
    <n v="6570"/>
    <n v="23652"/>
  </r>
  <r>
    <x v="0"/>
    <x v="1"/>
    <x v="1"/>
    <x v="9"/>
    <x v="20"/>
    <s v="SE4_HP"/>
    <x v="2"/>
    <x v="2"/>
    <s v="GBPR_MUNIWASTE_65"/>
    <x v="0"/>
    <x v="18"/>
    <n v="18"/>
    <n v="6570"/>
    <n v="23652"/>
  </r>
  <r>
    <x v="0"/>
    <x v="1"/>
    <x v="1"/>
    <x v="9"/>
    <x v="20"/>
    <s v="SE4_HP"/>
    <x v="2"/>
    <x v="2"/>
    <s v="GBPR_MUNIWASTE_65"/>
    <x v="0"/>
    <x v="2"/>
    <n v="18"/>
    <n v="6570"/>
    <n v="23652"/>
  </r>
  <r>
    <x v="0"/>
    <x v="1"/>
    <x v="1"/>
    <x v="9"/>
    <x v="20"/>
    <s v="SE4_HP"/>
    <x v="2"/>
    <x v="2"/>
    <s v="GBPR_MUNIWASTE_65"/>
    <x v="0"/>
    <x v="3"/>
    <n v="18"/>
    <n v="6570"/>
    <n v="23652"/>
  </r>
  <r>
    <x v="0"/>
    <x v="1"/>
    <x v="1"/>
    <x v="9"/>
    <x v="20"/>
    <s v="SE4_HP"/>
    <x v="2"/>
    <x v="2"/>
    <s v="GBPR_MUNIWASTE_65"/>
    <x v="0"/>
    <x v="4"/>
    <n v="18"/>
    <n v="6570"/>
    <n v="23652"/>
  </r>
  <r>
    <x v="0"/>
    <x v="1"/>
    <x v="1"/>
    <x v="9"/>
    <x v="20"/>
    <s v="SE4_HP"/>
    <x v="2"/>
    <x v="2"/>
    <s v="GBPR_MUNIWASTE_65"/>
    <x v="0"/>
    <x v="5"/>
    <n v="18"/>
    <n v="6570"/>
    <n v="23652"/>
  </r>
  <r>
    <x v="0"/>
    <x v="1"/>
    <x v="1"/>
    <x v="9"/>
    <x v="20"/>
    <s v="SE4_HP"/>
    <x v="2"/>
    <x v="2"/>
    <s v="GBPR_MUNIWASTE_65"/>
    <x v="0"/>
    <x v="6"/>
    <n v="18"/>
    <n v="6570"/>
    <n v="23652"/>
  </r>
  <r>
    <x v="0"/>
    <x v="1"/>
    <x v="1"/>
    <x v="9"/>
    <x v="20"/>
    <s v="SE4_HP"/>
    <x v="2"/>
    <x v="2"/>
    <s v="GBPR_MUNIWASTE_65"/>
    <x v="0"/>
    <x v="7"/>
    <n v="18"/>
    <n v="6570"/>
    <n v="23652"/>
  </r>
  <r>
    <x v="0"/>
    <x v="1"/>
    <x v="1"/>
    <x v="9"/>
    <x v="20"/>
    <s v="SE4_HP"/>
    <x v="2"/>
    <x v="2"/>
    <s v="GBPR_MUNIWASTE_65"/>
    <x v="0"/>
    <x v="8"/>
    <n v="18"/>
    <n v="6570"/>
    <n v="23652"/>
  </r>
  <r>
    <x v="0"/>
    <x v="1"/>
    <x v="1"/>
    <x v="9"/>
    <x v="20"/>
    <s v="SE4_HP"/>
    <x v="2"/>
    <x v="2"/>
    <s v="GBPR_MUNIWASTE_65"/>
    <x v="0"/>
    <x v="9"/>
    <n v="18"/>
    <n v="6570"/>
    <n v="23652"/>
  </r>
  <r>
    <x v="0"/>
    <x v="1"/>
    <x v="1"/>
    <x v="9"/>
    <x v="20"/>
    <s v="SE4_HP"/>
    <x v="2"/>
    <x v="2"/>
    <s v="GBPR_MUNIWASTE_65"/>
    <x v="0"/>
    <x v="10"/>
    <n v="18"/>
    <n v="6570"/>
    <n v="23652"/>
  </r>
  <r>
    <x v="0"/>
    <x v="1"/>
    <x v="1"/>
    <x v="9"/>
    <x v="20"/>
    <s v="SE4_HP"/>
    <x v="2"/>
    <x v="2"/>
    <s v="GBPR_MUNIWASTE_65"/>
    <x v="0"/>
    <x v="11"/>
    <n v="18"/>
    <n v="6570"/>
    <n v="23652"/>
  </r>
  <r>
    <x v="0"/>
    <x v="1"/>
    <x v="1"/>
    <x v="9"/>
    <x v="20"/>
    <s v="SE4_HP"/>
    <x v="2"/>
    <x v="2"/>
    <s v="GBPR_MUNIWASTE_65"/>
    <x v="0"/>
    <x v="12"/>
    <n v="18"/>
    <n v="6570"/>
    <n v="23652"/>
  </r>
  <r>
    <x v="0"/>
    <x v="1"/>
    <x v="1"/>
    <x v="9"/>
    <x v="20"/>
    <s v="SE4_HP"/>
    <x v="2"/>
    <x v="2"/>
    <s v="GBPR_MUNIWASTE_65"/>
    <x v="0"/>
    <x v="13"/>
    <n v="18"/>
    <n v="6570"/>
    <n v="23652"/>
  </r>
  <r>
    <x v="0"/>
    <x v="1"/>
    <x v="1"/>
    <x v="9"/>
    <x v="20"/>
    <s v="SE4_HP"/>
    <x v="2"/>
    <x v="2"/>
    <s v="GBPR_MUNIWASTE_65"/>
    <x v="0"/>
    <x v="14"/>
    <n v="18"/>
    <n v="6570"/>
    <n v="23652"/>
  </r>
  <r>
    <x v="0"/>
    <x v="1"/>
    <x v="1"/>
    <x v="9"/>
    <x v="20"/>
    <s v="SE4_HP"/>
    <x v="2"/>
    <x v="2"/>
    <s v="GBPR_MUNIWASTE_65"/>
    <x v="0"/>
    <x v="15"/>
    <n v="18"/>
    <n v="6570"/>
    <n v="23652"/>
  </r>
  <r>
    <x v="0"/>
    <x v="1"/>
    <x v="1"/>
    <x v="9"/>
    <x v="20"/>
    <s v="SE4_HP"/>
    <x v="2"/>
    <x v="2"/>
    <s v="GBPR_MUNIWASTE_65"/>
    <x v="0"/>
    <x v="16"/>
    <n v="18"/>
    <n v="6570"/>
    <n v="23652"/>
  </r>
  <r>
    <x v="0"/>
    <x v="1"/>
    <x v="1"/>
    <x v="9"/>
    <x v="20"/>
    <s v="SE4_HP"/>
    <x v="2"/>
    <x v="2"/>
    <s v="GBPR_MUNIWASTE_65"/>
    <x v="0"/>
    <x v="17"/>
    <n v="18"/>
    <n v="6570"/>
    <n v="23652"/>
  </r>
  <r>
    <x v="0"/>
    <x v="1"/>
    <x v="1"/>
    <x v="9"/>
    <x v="20"/>
    <s v="SE4_HP"/>
    <x v="2"/>
    <x v="2"/>
    <s v="GBPR_MUNIWASTE_65"/>
    <x v="0"/>
    <x v="19"/>
    <n v="18"/>
    <n v="6570"/>
    <n v="23652"/>
  </r>
  <r>
    <x v="0"/>
    <x v="1"/>
    <x v="1"/>
    <x v="9"/>
    <x v="20"/>
    <s v="SE4_HP"/>
    <x v="2"/>
    <x v="2"/>
    <s v="GBPR_MUNIWASTE_65"/>
    <x v="0"/>
    <x v="20"/>
    <n v="18"/>
    <n v="6570"/>
    <n v="23652"/>
  </r>
  <r>
    <x v="0"/>
    <x v="1"/>
    <x v="1"/>
    <x v="9"/>
    <x v="20"/>
    <s v="SE4_HP"/>
    <x v="2"/>
    <x v="2"/>
    <s v="GBPR_MUNIWASTE_65"/>
    <x v="0"/>
    <x v="21"/>
    <n v="18"/>
    <n v="6570"/>
    <n v="23652"/>
  </r>
  <r>
    <x v="0"/>
    <x v="1"/>
    <x v="1"/>
    <x v="9"/>
    <x v="20"/>
    <s v="SE4_HP"/>
    <x v="2"/>
    <x v="2"/>
    <s v="GBPR_MUNIWASTE_65"/>
    <x v="0"/>
    <x v="22"/>
    <n v="18"/>
    <n v="6570"/>
    <n v="23652"/>
  </r>
  <r>
    <x v="0"/>
    <x v="1"/>
    <x v="1"/>
    <x v="9"/>
    <x v="20"/>
    <s v="SE4_HP"/>
    <x v="2"/>
    <x v="2"/>
    <s v="GBPR_MUNIWASTE_65"/>
    <x v="0"/>
    <x v="23"/>
    <n v="18"/>
    <n v="6570"/>
    <n v="23652"/>
  </r>
  <r>
    <x v="0"/>
    <x v="1"/>
    <x v="1"/>
    <x v="9"/>
    <x v="20"/>
    <s v="SE4_MAL"/>
    <x v="2"/>
    <x v="2"/>
    <s v="GBPR_MUNIWASTE_24"/>
    <x v="0"/>
    <x v="3"/>
    <n v="25.331143353475198"/>
    <n v="9245.8673240184598"/>
    <n v="33285.122366466501"/>
  </r>
  <r>
    <x v="0"/>
    <x v="1"/>
    <x v="1"/>
    <x v="9"/>
    <x v="20"/>
    <s v="SE4_MAL"/>
    <x v="2"/>
    <x v="2"/>
    <s v="GBPR_MUNIWASTE_24"/>
    <x v="0"/>
    <x v="4"/>
    <n v="25.331143353475198"/>
    <n v="9245.8673240184598"/>
    <n v="33285.122366466501"/>
  </r>
  <r>
    <x v="0"/>
    <x v="1"/>
    <x v="1"/>
    <x v="9"/>
    <x v="20"/>
    <s v="SE4_MAL"/>
    <x v="2"/>
    <x v="2"/>
    <s v="GBPR_MUNIWASTE_24"/>
    <x v="0"/>
    <x v="5"/>
    <n v="25.331143353475198"/>
    <n v="9245.8673240184598"/>
    <n v="33285.122366466501"/>
  </r>
  <r>
    <x v="0"/>
    <x v="1"/>
    <x v="1"/>
    <x v="9"/>
    <x v="20"/>
    <s v="SE4_MAL"/>
    <x v="2"/>
    <x v="2"/>
    <s v="GBPR_MUNIWASTE_24"/>
    <x v="0"/>
    <x v="6"/>
    <n v="25.331143353475198"/>
    <n v="9245.8673240184598"/>
    <n v="33285.122366466501"/>
  </r>
  <r>
    <x v="0"/>
    <x v="1"/>
    <x v="1"/>
    <x v="9"/>
    <x v="20"/>
    <s v="SE4_MAL"/>
    <x v="2"/>
    <x v="2"/>
    <s v="GBPR_MUNIWASTE_24"/>
    <x v="0"/>
    <x v="7"/>
    <n v="25.331143353475198"/>
    <n v="9245.8673240184598"/>
    <n v="33285.122366466501"/>
  </r>
  <r>
    <x v="0"/>
    <x v="1"/>
    <x v="1"/>
    <x v="9"/>
    <x v="20"/>
    <s v="SE4_MAL"/>
    <x v="2"/>
    <x v="2"/>
    <s v="GBPR_MUNIWASTE_24"/>
    <x v="0"/>
    <x v="8"/>
    <n v="25.331143353475198"/>
    <n v="9245.8673240184598"/>
    <n v="33285.122366466501"/>
  </r>
  <r>
    <x v="0"/>
    <x v="1"/>
    <x v="1"/>
    <x v="9"/>
    <x v="20"/>
    <s v="SE4_MAL"/>
    <x v="2"/>
    <x v="2"/>
    <s v="GBPR_MUNIWASTE_24"/>
    <x v="0"/>
    <x v="9"/>
    <n v="25.331143353475198"/>
    <n v="9245.8673240184598"/>
    <n v="33285.122366466501"/>
  </r>
  <r>
    <x v="0"/>
    <x v="1"/>
    <x v="1"/>
    <x v="9"/>
    <x v="20"/>
    <s v="SE4_MAL"/>
    <x v="2"/>
    <x v="2"/>
    <s v="GBPR_MUNIWASTE_24"/>
    <x v="0"/>
    <x v="10"/>
    <n v="25.331143353475198"/>
    <n v="9245.8673240184598"/>
    <n v="33285.122366466501"/>
  </r>
  <r>
    <x v="0"/>
    <x v="1"/>
    <x v="1"/>
    <x v="9"/>
    <x v="20"/>
    <s v="SE4_MAL"/>
    <x v="2"/>
    <x v="2"/>
    <s v="GBPR_MUNIWASTE_24"/>
    <x v="0"/>
    <x v="11"/>
    <n v="25.331143353475198"/>
    <n v="9245.8673240184598"/>
    <n v="33285.122366466501"/>
  </r>
  <r>
    <x v="0"/>
    <x v="1"/>
    <x v="1"/>
    <x v="9"/>
    <x v="20"/>
    <s v="SE4_MAL"/>
    <x v="2"/>
    <x v="2"/>
    <s v="GBPR_MUNIWASTE_24"/>
    <x v="0"/>
    <x v="12"/>
    <n v="25.331143353475198"/>
    <n v="9245.8673240184598"/>
    <n v="33285.122366466501"/>
  </r>
  <r>
    <x v="0"/>
    <x v="1"/>
    <x v="1"/>
    <x v="9"/>
    <x v="20"/>
    <s v="SE4_MAL"/>
    <x v="2"/>
    <x v="2"/>
    <s v="GBPR_MUNIWASTE_24"/>
    <x v="0"/>
    <x v="13"/>
    <n v="25.331143353475198"/>
    <n v="9245.8673240184598"/>
    <n v="33285.122366466501"/>
  </r>
  <r>
    <x v="0"/>
    <x v="1"/>
    <x v="1"/>
    <x v="9"/>
    <x v="20"/>
    <s v="SE4_MAL"/>
    <x v="2"/>
    <x v="2"/>
    <s v="GBPR_MUNIWASTE_24"/>
    <x v="0"/>
    <x v="14"/>
    <n v="25.331143353475198"/>
    <n v="9245.8673240184598"/>
    <n v="33285.122366466501"/>
  </r>
  <r>
    <x v="0"/>
    <x v="1"/>
    <x v="1"/>
    <x v="9"/>
    <x v="20"/>
    <s v="SE4_MAL"/>
    <x v="2"/>
    <x v="2"/>
    <s v="GBPR_MUNIWASTE_24"/>
    <x v="0"/>
    <x v="15"/>
    <n v="25.331143353475198"/>
    <n v="9245.8673240184598"/>
    <n v="33285.122366466501"/>
  </r>
  <r>
    <x v="0"/>
    <x v="1"/>
    <x v="1"/>
    <x v="9"/>
    <x v="20"/>
    <s v="SE4_MAL"/>
    <x v="2"/>
    <x v="2"/>
    <s v="GBPR_MUNIWASTE_24"/>
    <x v="0"/>
    <x v="16"/>
    <n v="25.331143353475198"/>
    <n v="9245.8673240184598"/>
    <n v="33285.122366466501"/>
  </r>
  <r>
    <x v="0"/>
    <x v="1"/>
    <x v="1"/>
    <x v="9"/>
    <x v="20"/>
    <s v="SE4_MAL"/>
    <x v="2"/>
    <x v="2"/>
    <s v="GBPR_MUNIWASTE_24"/>
    <x v="0"/>
    <x v="17"/>
    <n v="25.331143353475198"/>
    <n v="9245.8673240184598"/>
    <n v="33285.122366466501"/>
  </r>
  <r>
    <x v="0"/>
    <x v="1"/>
    <x v="1"/>
    <x v="9"/>
    <x v="20"/>
    <s v="SE4_MAL"/>
    <x v="2"/>
    <x v="2"/>
    <s v="GBPR_MUNIWASTE_24"/>
    <x v="0"/>
    <x v="19"/>
    <n v="25.331143353475198"/>
    <n v="9245.8673240184598"/>
    <n v="33285.122366466501"/>
  </r>
  <r>
    <x v="0"/>
    <x v="1"/>
    <x v="1"/>
    <x v="9"/>
    <x v="20"/>
    <s v="SE4_OTHER"/>
    <x v="2"/>
    <x v="2"/>
    <s v="GBPR_MUNIWASTE_19"/>
    <x v="0"/>
    <x v="7"/>
    <n v="11.5403463801819"/>
    <n v="4212.2264287664102"/>
    <n v="15164.0151435591"/>
  </r>
  <r>
    <x v="0"/>
    <x v="1"/>
    <x v="1"/>
    <x v="9"/>
    <x v="20"/>
    <s v="SE4_OTHER"/>
    <x v="10"/>
    <x v="2"/>
    <s v="GBPR_WOODWASTE_36"/>
    <x v="0"/>
    <x v="5"/>
    <n v="69.950290718038502"/>
    <n v="25531.8561120841"/>
    <n v="91914.682003502603"/>
  </r>
  <r>
    <x v="0"/>
    <x v="1"/>
    <x v="1"/>
    <x v="9"/>
    <x v="20"/>
    <s v="SE4_OTHER"/>
    <x v="10"/>
    <x v="2"/>
    <s v="GBPR_WOODWASTE_36"/>
    <x v="0"/>
    <x v="6"/>
    <n v="69.950290718038502"/>
    <n v="25531.8561120841"/>
    <n v="91914.682003502603"/>
  </r>
  <r>
    <x v="0"/>
    <x v="1"/>
    <x v="1"/>
    <x v="9"/>
    <x v="20"/>
    <s v="SE4_OTHER"/>
    <x v="10"/>
    <x v="2"/>
    <s v="GBPR_WOODWASTE_36"/>
    <x v="0"/>
    <x v="7"/>
    <n v="69.950290718038502"/>
    <n v="25531.8561120841"/>
    <n v="91914.682003502603"/>
  </r>
  <r>
    <x v="0"/>
    <x v="1"/>
    <x v="1"/>
    <x v="9"/>
    <x v="20"/>
    <s v="SE4_OTHER"/>
    <x v="10"/>
    <x v="2"/>
    <s v="GBPR_WOODWASTE_36"/>
    <x v="0"/>
    <x v="8"/>
    <n v="69.950290718038502"/>
    <n v="25531.8561120841"/>
    <n v="91914.682003502603"/>
  </r>
  <r>
    <x v="0"/>
    <x v="1"/>
    <x v="1"/>
    <x v="9"/>
    <x v="20"/>
    <s v="SE4_OTHER"/>
    <x v="10"/>
    <x v="2"/>
    <s v="GBPR_WOODWASTE_36"/>
    <x v="0"/>
    <x v="9"/>
    <n v="69.950290718038502"/>
    <n v="25531.8561120841"/>
    <n v="91914.682003502603"/>
  </r>
  <r>
    <x v="0"/>
    <x v="1"/>
    <x v="1"/>
    <x v="9"/>
    <x v="20"/>
    <s v="SE4_OTHER"/>
    <x v="10"/>
    <x v="2"/>
    <s v="GBPR_WOODWASTE_36"/>
    <x v="0"/>
    <x v="10"/>
    <n v="69.950290718038502"/>
    <n v="25531.8561120841"/>
    <n v="91914.682003502603"/>
  </r>
  <r>
    <x v="0"/>
    <x v="1"/>
    <x v="1"/>
    <x v="9"/>
    <x v="20"/>
    <s v="SE4_OTHER"/>
    <x v="10"/>
    <x v="2"/>
    <s v="GBPR_WOODWASTE_36"/>
    <x v="0"/>
    <x v="11"/>
    <n v="69.950290718038502"/>
    <n v="25531.8561120841"/>
    <n v="91914.682003502603"/>
  </r>
  <r>
    <x v="0"/>
    <x v="1"/>
    <x v="1"/>
    <x v="10"/>
    <x v="21"/>
    <s v="UK_A"/>
    <x v="0"/>
    <x v="6"/>
    <s v="GNR_ST_COAL_CND_E-35"/>
    <x v="0"/>
    <x v="0"/>
    <n v="1740.14174327465"/>
    <n v="635151.73629524803"/>
    <n v="2286546.2506628898"/>
  </r>
  <r>
    <x v="0"/>
    <x v="1"/>
    <x v="1"/>
    <x v="10"/>
    <x v="21"/>
    <s v="UK_A"/>
    <x v="0"/>
    <x v="6"/>
    <s v="GNR_ST_COAL_CND_E-35"/>
    <x v="0"/>
    <x v="1"/>
    <n v="290.08864054304797"/>
    <n v="105882.35379821299"/>
    <n v="381176.47367356502"/>
  </r>
  <r>
    <x v="0"/>
    <x v="1"/>
    <x v="1"/>
    <x v="10"/>
    <x v="21"/>
    <s v="UK_A"/>
    <x v="0"/>
    <x v="6"/>
    <s v="GNR_ST_COAL_CND_E-35"/>
    <x v="0"/>
    <x v="5"/>
    <n v="4216.9321575652602"/>
    <n v="1539180.23751132"/>
    <n v="5541048.8550407598"/>
  </r>
  <r>
    <x v="0"/>
    <x v="1"/>
    <x v="1"/>
    <x v="10"/>
    <x v="21"/>
    <s v="UK_A"/>
    <x v="0"/>
    <x v="6"/>
    <s v="GNR_ST_COAL_CND_E-35"/>
    <x v="0"/>
    <x v="6"/>
    <n v="11025.142348765001"/>
    <n v="4024176.9572992199"/>
    <n v="14487037.046277201"/>
  </r>
  <r>
    <x v="0"/>
    <x v="1"/>
    <x v="1"/>
    <x v="10"/>
    <x v="21"/>
    <s v="UK_A"/>
    <x v="0"/>
    <x v="6"/>
    <s v="GNR_ST_COAL_CND_E-35"/>
    <x v="0"/>
    <x v="7"/>
    <n v="11623"/>
    <n v="4242395"/>
    <n v="15272622"/>
  </r>
  <r>
    <x v="0"/>
    <x v="1"/>
    <x v="1"/>
    <x v="10"/>
    <x v="21"/>
    <s v="UK_A"/>
    <x v="0"/>
    <x v="6"/>
    <s v="GNR_ST_COAL_CND_E-35"/>
    <x v="0"/>
    <x v="8"/>
    <n v="11623"/>
    <n v="4242395"/>
    <n v="15272622"/>
  </r>
  <r>
    <x v="0"/>
    <x v="1"/>
    <x v="1"/>
    <x v="10"/>
    <x v="21"/>
    <s v="UK_A"/>
    <x v="0"/>
    <x v="6"/>
    <s v="GNR_ST_COAL_CND_E-35"/>
    <x v="0"/>
    <x v="9"/>
    <n v="11623"/>
    <n v="4242395"/>
    <n v="15272622"/>
  </r>
  <r>
    <x v="0"/>
    <x v="1"/>
    <x v="1"/>
    <x v="10"/>
    <x v="21"/>
    <s v="UK_A"/>
    <x v="0"/>
    <x v="6"/>
    <s v="GNR_ST_COAL_CND_E-35"/>
    <x v="0"/>
    <x v="10"/>
    <n v="11623"/>
    <n v="4242395"/>
    <n v="15272622"/>
  </r>
  <r>
    <x v="0"/>
    <x v="1"/>
    <x v="1"/>
    <x v="10"/>
    <x v="21"/>
    <s v="UK_A"/>
    <x v="0"/>
    <x v="6"/>
    <s v="GNR_ST_COAL_CND_E-35"/>
    <x v="0"/>
    <x v="11"/>
    <n v="11623"/>
    <n v="4242395"/>
    <n v="15272622"/>
  </r>
  <r>
    <x v="0"/>
    <x v="1"/>
    <x v="1"/>
    <x v="10"/>
    <x v="21"/>
    <s v="UK_A"/>
    <x v="0"/>
    <x v="6"/>
    <s v="GNR_ST_COAL_CND_E-35"/>
    <x v="0"/>
    <x v="12"/>
    <n v="11623"/>
    <n v="4242395"/>
    <n v="15272622"/>
  </r>
  <r>
    <x v="0"/>
    <x v="1"/>
    <x v="1"/>
    <x v="10"/>
    <x v="21"/>
    <s v="UK_A"/>
    <x v="0"/>
    <x v="6"/>
    <s v="GNR_ST_COAL_CND_E-35"/>
    <x v="0"/>
    <x v="13"/>
    <n v="11623"/>
    <n v="4242395"/>
    <n v="15272622"/>
  </r>
  <r>
    <x v="0"/>
    <x v="1"/>
    <x v="1"/>
    <x v="10"/>
    <x v="21"/>
    <s v="UK_A"/>
    <x v="0"/>
    <x v="6"/>
    <s v="GNR_ST_COAL_CND_E-35"/>
    <x v="0"/>
    <x v="14"/>
    <n v="11623"/>
    <n v="4242395"/>
    <n v="15272622"/>
  </r>
  <r>
    <x v="0"/>
    <x v="1"/>
    <x v="1"/>
    <x v="10"/>
    <x v="21"/>
    <s v="UK_A"/>
    <x v="0"/>
    <x v="6"/>
    <s v="GNR_ST_COAL_CND_E-35"/>
    <x v="0"/>
    <x v="15"/>
    <n v="11623"/>
    <n v="4242395"/>
    <n v="15272622"/>
  </r>
  <r>
    <x v="0"/>
    <x v="1"/>
    <x v="1"/>
    <x v="10"/>
    <x v="21"/>
    <s v="UK_A"/>
    <x v="0"/>
    <x v="6"/>
    <s v="GNR_ST_COAL_CND_E-35"/>
    <x v="0"/>
    <x v="16"/>
    <n v="11623"/>
    <n v="4242395"/>
    <n v="15272622"/>
  </r>
  <r>
    <x v="0"/>
    <x v="1"/>
    <x v="1"/>
    <x v="10"/>
    <x v="21"/>
    <s v="UK_A"/>
    <x v="0"/>
    <x v="6"/>
    <s v="GNR_ST_COAL_CND_E-35"/>
    <x v="0"/>
    <x v="17"/>
    <n v="11623"/>
    <n v="4242395"/>
    <n v="15272622"/>
  </r>
  <r>
    <x v="0"/>
    <x v="1"/>
    <x v="1"/>
    <x v="10"/>
    <x v="21"/>
    <s v="UK_A"/>
    <x v="0"/>
    <x v="6"/>
    <s v="GNR_ST_COAL_CND_E-35"/>
    <x v="0"/>
    <x v="19"/>
    <n v="11623"/>
    <n v="4242395"/>
    <n v="15272622"/>
  </r>
  <r>
    <x v="0"/>
    <x v="1"/>
    <x v="1"/>
    <x v="10"/>
    <x v="21"/>
    <s v="UK_A"/>
    <x v="0"/>
    <x v="6"/>
    <s v="GNR_ST_COAL_CND_E-35"/>
    <x v="0"/>
    <x v="20"/>
    <n v="11623"/>
    <n v="4242395"/>
    <n v="15272622"/>
  </r>
  <r>
    <x v="0"/>
    <x v="1"/>
    <x v="1"/>
    <x v="10"/>
    <x v="21"/>
    <s v="UK_A"/>
    <x v="0"/>
    <x v="6"/>
    <s v="GNR_ST_COAL_CND_E-35"/>
    <x v="0"/>
    <x v="21"/>
    <n v="11623"/>
    <n v="4242395"/>
    <n v="15272622"/>
  </r>
  <r>
    <x v="0"/>
    <x v="1"/>
    <x v="1"/>
    <x v="10"/>
    <x v="21"/>
    <s v="UK_A"/>
    <x v="0"/>
    <x v="6"/>
    <s v="GNR_ST_COAL_CND_E-35"/>
    <x v="0"/>
    <x v="22"/>
    <n v="11623"/>
    <n v="4242395"/>
    <n v="15272622"/>
  </r>
  <r>
    <x v="0"/>
    <x v="1"/>
    <x v="1"/>
    <x v="10"/>
    <x v="21"/>
    <s v="UK_A"/>
    <x v="0"/>
    <x v="6"/>
    <s v="GNR_ST_COAL_CND_E-35"/>
    <x v="0"/>
    <x v="23"/>
    <n v="11623"/>
    <n v="4242395"/>
    <n v="15272622"/>
  </r>
  <r>
    <x v="0"/>
    <x v="1"/>
    <x v="1"/>
    <x v="10"/>
    <x v="21"/>
    <s v="UK_A"/>
    <x v="2"/>
    <x v="6"/>
    <s v="GNR_ST_MSW_CND_E-40"/>
    <x v="0"/>
    <x v="7"/>
    <n v="806"/>
    <n v="294190"/>
    <n v="1059084"/>
  </r>
  <r>
    <x v="0"/>
    <x v="1"/>
    <x v="1"/>
    <x v="10"/>
    <x v="21"/>
    <s v="UK_A"/>
    <x v="2"/>
    <x v="6"/>
    <s v="GNR_ST_MSW_CND_E-40"/>
    <x v="0"/>
    <x v="8"/>
    <n v="806"/>
    <n v="294190"/>
    <n v="1059084"/>
  </r>
  <r>
    <x v="0"/>
    <x v="1"/>
    <x v="1"/>
    <x v="10"/>
    <x v="21"/>
    <s v="UK_A"/>
    <x v="2"/>
    <x v="6"/>
    <s v="GNR_ST_MSW_CND_E-40"/>
    <x v="0"/>
    <x v="9"/>
    <n v="806"/>
    <n v="294190"/>
    <n v="1059084"/>
  </r>
  <r>
    <x v="0"/>
    <x v="1"/>
    <x v="1"/>
    <x v="10"/>
    <x v="21"/>
    <s v="UK_A"/>
    <x v="2"/>
    <x v="6"/>
    <s v="GNR_ST_MSW_CND_E-40"/>
    <x v="0"/>
    <x v="10"/>
    <n v="806"/>
    <n v="294190"/>
    <n v="1059084"/>
  </r>
  <r>
    <x v="0"/>
    <x v="1"/>
    <x v="1"/>
    <x v="10"/>
    <x v="21"/>
    <s v="UK_A"/>
    <x v="2"/>
    <x v="6"/>
    <s v="GNR_ST_MSW_CND_E-40"/>
    <x v="0"/>
    <x v="11"/>
    <n v="806"/>
    <n v="294190"/>
    <n v="1059084"/>
  </r>
  <r>
    <x v="0"/>
    <x v="1"/>
    <x v="1"/>
    <x v="10"/>
    <x v="21"/>
    <s v="UK_A"/>
    <x v="2"/>
    <x v="6"/>
    <s v="GNR_ST_MSW_CND_E-40"/>
    <x v="0"/>
    <x v="12"/>
    <n v="806"/>
    <n v="294190"/>
    <n v="1059084"/>
  </r>
  <r>
    <x v="0"/>
    <x v="1"/>
    <x v="1"/>
    <x v="10"/>
    <x v="21"/>
    <s v="UK_A"/>
    <x v="2"/>
    <x v="6"/>
    <s v="GNR_ST_MSW_CND_E-40"/>
    <x v="0"/>
    <x v="13"/>
    <n v="806"/>
    <n v="294190"/>
    <n v="1059084"/>
  </r>
  <r>
    <x v="0"/>
    <x v="1"/>
    <x v="1"/>
    <x v="10"/>
    <x v="21"/>
    <s v="UK_A"/>
    <x v="2"/>
    <x v="6"/>
    <s v="GNR_ST_MSW_CND_E-40"/>
    <x v="0"/>
    <x v="14"/>
    <n v="806"/>
    <n v="294190"/>
    <n v="1059084"/>
  </r>
  <r>
    <x v="0"/>
    <x v="1"/>
    <x v="1"/>
    <x v="10"/>
    <x v="21"/>
    <s v="UK_A"/>
    <x v="2"/>
    <x v="6"/>
    <s v="GNR_ST_MSW_CND_E-40"/>
    <x v="0"/>
    <x v="15"/>
    <n v="806"/>
    <n v="294190"/>
    <n v="1059084"/>
  </r>
  <r>
    <x v="0"/>
    <x v="1"/>
    <x v="1"/>
    <x v="10"/>
    <x v="21"/>
    <s v="UK_A"/>
    <x v="2"/>
    <x v="6"/>
    <s v="GNR_ST_MSW_CND_E-40"/>
    <x v="0"/>
    <x v="16"/>
    <n v="806"/>
    <n v="294190"/>
    <n v="1059084"/>
  </r>
  <r>
    <x v="0"/>
    <x v="1"/>
    <x v="1"/>
    <x v="10"/>
    <x v="21"/>
    <s v="UK_A"/>
    <x v="2"/>
    <x v="6"/>
    <s v="GNR_ST_MSW_CND_E-40"/>
    <x v="0"/>
    <x v="17"/>
    <n v="806"/>
    <n v="294190"/>
    <n v="1059084"/>
  </r>
  <r>
    <x v="0"/>
    <x v="1"/>
    <x v="1"/>
    <x v="10"/>
    <x v="21"/>
    <s v="UK_A"/>
    <x v="2"/>
    <x v="6"/>
    <s v="GNR_ST_MSW_CND_E-40"/>
    <x v="0"/>
    <x v="19"/>
    <n v="806"/>
    <n v="294190"/>
    <n v="1059084"/>
  </r>
  <r>
    <x v="0"/>
    <x v="1"/>
    <x v="1"/>
    <x v="10"/>
    <x v="21"/>
    <s v="UK_A"/>
    <x v="2"/>
    <x v="6"/>
    <s v="GNR_ST_MSW_CND_E-40"/>
    <x v="0"/>
    <x v="20"/>
    <n v="806"/>
    <n v="294190"/>
    <n v="1059084"/>
  </r>
  <r>
    <x v="0"/>
    <x v="1"/>
    <x v="1"/>
    <x v="10"/>
    <x v="21"/>
    <s v="UK_A"/>
    <x v="2"/>
    <x v="6"/>
    <s v="GNR_ST_MSW_CND_E-40"/>
    <x v="0"/>
    <x v="21"/>
    <n v="806"/>
    <n v="294190"/>
    <n v="1059084"/>
  </r>
  <r>
    <x v="0"/>
    <x v="1"/>
    <x v="1"/>
    <x v="10"/>
    <x v="21"/>
    <s v="UK_A"/>
    <x v="2"/>
    <x v="6"/>
    <s v="GNR_ST_MSW_CND_E-40"/>
    <x v="0"/>
    <x v="22"/>
    <n v="806"/>
    <n v="294190"/>
    <n v="1059084"/>
  </r>
  <r>
    <x v="0"/>
    <x v="1"/>
    <x v="1"/>
    <x v="10"/>
    <x v="21"/>
    <s v="UK_A"/>
    <x v="2"/>
    <x v="6"/>
    <s v="GNR_ST_MSW_CND_E-40"/>
    <x v="0"/>
    <x v="23"/>
    <n v="806"/>
    <n v="294190"/>
    <n v="1059084"/>
  </r>
  <r>
    <x v="0"/>
    <x v="1"/>
    <x v="1"/>
    <x v="10"/>
    <x v="21"/>
    <s v="UK_A"/>
    <x v="8"/>
    <x v="6"/>
    <s v="GNR_CC_NGAS_CND_E-47"/>
    <x v="0"/>
    <x v="15"/>
    <n v="3349.3300564627398"/>
    <n v="1222505.4706089001"/>
    <n v="4401019.69419205"/>
  </r>
  <r>
    <x v="0"/>
    <x v="1"/>
    <x v="1"/>
    <x v="10"/>
    <x v="21"/>
    <s v="UK_A"/>
    <x v="8"/>
    <x v="6"/>
    <s v="GNR_CC_NGAS_CND_E-47"/>
    <x v="0"/>
    <x v="16"/>
    <n v="7789.1518751860403"/>
    <n v="2843040.4344429001"/>
    <n v="10234945.563994501"/>
  </r>
  <r>
    <x v="0"/>
    <x v="1"/>
    <x v="1"/>
    <x v="10"/>
    <x v="21"/>
    <s v="UK_A"/>
    <x v="8"/>
    <x v="6"/>
    <s v="GNR_CC_NGAS_CND_E-47"/>
    <x v="0"/>
    <x v="17"/>
    <n v="6867.5611590677699"/>
    <n v="2506659.82305974"/>
    <n v="9023975.3630150501"/>
  </r>
  <r>
    <x v="0"/>
    <x v="1"/>
    <x v="1"/>
    <x v="10"/>
    <x v="21"/>
    <s v="UK_A"/>
    <x v="8"/>
    <x v="6"/>
    <s v="GNR_CC_NGAS_CND_E-47"/>
    <x v="0"/>
    <x v="19"/>
    <n v="4530.5785155905996"/>
    <n v="1653661.1581905701"/>
    <n v="5953180.1694860496"/>
  </r>
  <r>
    <x v="0"/>
    <x v="1"/>
    <x v="1"/>
    <x v="10"/>
    <x v="21"/>
    <s v="UK_A"/>
    <x v="8"/>
    <x v="6"/>
    <s v="GNR_CC_NGAS_CND_E-47"/>
    <x v="0"/>
    <x v="20"/>
    <n v="1087.86535698835"/>
    <n v="397070.85530074901"/>
    <n v="1429455.0790827"/>
  </r>
  <r>
    <x v="0"/>
    <x v="1"/>
    <x v="1"/>
    <x v="10"/>
    <x v="21"/>
    <s v="UK_A"/>
    <x v="8"/>
    <x v="6"/>
    <s v="GNR_CC_NGAS_CND_E-52"/>
    <x v="0"/>
    <x v="14"/>
    <n v="3015.6546333189899"/>
    <n v="1100713.94116143"/>
    <n v="3962570.18818116"/>
  </r>
  <r>
    <x v="0"/>
    <x v="1"/>
    <x v="1"/>
    <x v="10"/>
    <x v="21"/>
    <s v="UK_A"/>
    <x v="8"/>
    <x v="6"/>
    <s v="GNR_CC_NGAS_CND_E-52"/>
    <x v="0"/>
    <x v="15"/>
    <n v="6950"/>
    <n v="2536750"/>
    <n v="9132300"/>
  </r>
  <r>
    <x v="0"/>
    <x v="1"/>
    <x v="1"/>
    <x v="10"/>
    <x v="21"/>
    <s v="UK_A"/>
    <x v="8"/>
    <x v="6"/>
    <s v="GNR_CC_NGAS_CND_E-52"/>
    <x v="0"/>
    <x v="16"/>
    <n v="6950"/>
    <n v="2536750"/>
    <n v="9132300"/>
  </r>
  <r>
    <x v="0"/>
    <x v="1"/>
    <x v="1"/>
    <x v="10"/>
    <x v="21"/>
    <s v="UK_A"/>
    <x v="8"/>
    <x v="6"/>
    <s v="GNR_CC_NGAS_CND_E-52"/>
    <x v="0"/>
    <x v="17"/>
    <n v="6950"/>
    <n v="2536750"/>
    <n v="9132300"/>
  </r>
  <r>
    <x v="0"/>
    <x v="1"/>
    <x v="1"/>
    <x v="10"/>
    <x v="21"/>
    <s v="UK_A"/>
    <x v="8"/>
    <x v="6"/>
    <s v="GNR_CC_NGAS_CND_E-52"/>
    <x v="0"/>
    <x v="19"/>
    <n v="6950"/>
    <n v="2536750"/>
    <n v="9132300"/>
  </r>
  <r>
    <x v="0"/>
    <x v="1"/>
    <x v="1"/>
    <x v="10"/>
    <x v="21"/>
    <s v="UK_A"/>
    <x v="8"/>
    <x v="6"/>
    <s v="GNR_CC_NGAS_CND_E-52"/>
    <x v="0"/>
    <x v="20"/>
    <n v="6950"/>
    <n v="2536750"/>
    <n v="9132300"/>
  </r>
  <r>
    <x v="0"/>
    <x v="1"/>
    <x v="1"/>
    <x v="10"/>
    <x v="21"/>
    <s v="UK_A"/>
    <x v="8"/>
    <x v="6"/>
    <s v="GNR_CC_NGAS_CND_E-52"/>
    <x v="0"/>
    <x v="21"/>
    <n v="3677.5962752895898"/>
    <n v="1342322.6404806999"/>
    <n v="4832361.50573052"/>
  </r>
  <r>
    <x v="0"/>
    <x v="1"/>
    <x v="1"/>
    <x v="10"/>
    <x v="21"/>
    <s v="UK_A"/>
    <x v="8"/>
    <x v="6"/>
    <s v="GNR_CC_NGAS_CND_E-56"/>
    <x v="0"/>
    <x v="10"/>
    <n v="552.38435753718204"/>
    <n v="201620.29050107099"/>
    <n v="725833.04580385704"/>
  </r>
  <r>
    <x v="0"/>
    <x v="1"/>
    <x v="1"/>
    <x v="10"/>
    <x v="21"/>
    <s v="UK_A"/>
    <x v="8"/>
    <x v="6"/>
    <s v="GNR_CC_NGAS_CND_E-56"/>
    <x v="0"/>
    <x v="12"/>
    <n v="1835.4182422080901"/>
    <n v="669927.65840595402"/>
    <n v="2411739.5702614398"/>
  </r>
  <r>
    <x v="0"/>
    <x v="1"/>
    <x v="1"/>
    <x v="10"/>
    <x v="21"/>
    <s v="UK_A"/>
    <x v="8"/>
    <x v="6"/>
    <s v="GNR_CC_NGAS_CND_E-56"/>
    <x v="0"/>
    <x v="13"/>
    <n v="7208.2215106734702"/>
    <n v="2631000.8513958198"/>
    <n v="9471603.0650249291"/>
  </r>
  <r>
    <x v="0"/>
    <x v="1"/>
    <x v="1"/>
    <x v="10"/>
    <x v="21"/>
    <s v="UK_A"/>
    <x v="8"/>
    <x v="6"/>
    <s v="GNR_CC_NGAS_CND_E-56"/>
    <x v="0"/>
    <x v="14"/>
    <n v="9060"/>
    <n v="3306900"/>
    <n v="11904840"/>
  </r>
  <r>
    <x v="0"/>
    <x v="1"/>
    <x v="1"/>
    <x v="10"/>
    <x v="21"/>
    <s v="UK_A"/>
    <x v="8"/>
    <x v="6"/>
    <s v="GNR_CC_NGAS_CND_E-56"/>
    <x v="0"/>
    <x v="15"/>
    <n v="9060"/>
    <n v="3306900"/>
    <n v="11904840"/>
  </r>
  <r>
    <x v="0"/>
    <x v="1"/>
    <x v="1"/>
    <x v="10"/>
    <x v="21"/>
    <s v="UK_A"/>
    <x v="8"/>
    <x v="6"/>
    <s v="GNR_CC_NGAS_CND_E-56"/>
    <x v="0"/>
    <x v="16"/>
    <n v="9060"/>
    <n v="3306900"/>
    <n v="11904840"/>
  </r>
  <r>
    <x v="0"/>
    <x v="1"/>
    <x v="1"/>
    <x v="10"/>
    <x v="21"/>
    <s v="UK_A"/>
    <x v="8"/>
    <x v="6"/>
    <s v="GNR_CC_NGAS_CND_E-56"/>
    <x v="0"/>
    <x v="17"/>
    <n v="9060"/>
    <n v="3306900"/>
    <n v="11904840"/>
  </r>
  <r>
    <x v="0"/>
    <x v="1"/>
    <x v="1"/>
    <x v="10"/>
    <x v="21"/>
    <s v="UK_A"/>
    <x v="8"/>
    <x v="6"/>
    <s v="GNR_CC_NGAS_CND_E-56"/>
    <x v="0"/>
    <x v="19"/>
    <n v="9060"/>
    <n v="3306900"/>
    <n v="11904840"/>
  </r>
  <r>
    <x v="0"/>
    <x v="1"/>
    <x v="1"/>
    <x v="10"/>
    <x v="21"/>
    <s v="UK_A"/>
    <x v="8"/>
    <x v="6"/>
    <s v="GNR_CC_NGAS_CND_E-56"/>
    <x v="0"/>
    <x v="20"/>
    <n v="9060"/>
    <n v="3306900"/>
    <n v="11904840"/>
  </r>
  <r>
    <x v="0"/>
    <x v="1"/>
    <x v="1"/>
    <x v="10"/>
    <x v="21"/>
    <s v="UK_A"/>
    <x v="8"/>
    <x v="6"/>
    <s v="GNR_CC_NGAS_CND_E-56"/>
    <x v="0"/>
    <x v="21"/>
    <n v="9060"/>
    <n v="3306900"/>
    <n v="11904840"/>
  </r>
  <r>
    <x v="0"/>
    <x v="1"/>
    <x v="1"/>
    <x v="10"/>
    <x v="21"/>
    <s v="UK_A"/>
    <x v="8"/>
    <x v="6"/>
    <s v="GNR_CC_NGAS_CND_E-56"/>
    <x v="0"/>
    <x v="22"/>
    <n v="7351.8781048430901"/>
    <n v="2683435.50826773"/>
    <n v="9660367.8297638204"/>
  </r>
  <r>
    <x v="0"/>
    <x v="1"/>
    <x v="1"/>
    <x v="10"/>
    <x v="21"/>
    <s v="UK_A"/>
    <x v="8"/>
    <x v="6"/>
    <s v="GNR_CC_NGAS_CND_E-56"/>
    <x v="0"/>
    <x v="23"/>
    <n v="3119.9688867025302"/>
    <n v="1138788.64364642"/>
    <n v="4099639.11712712"/>
  </r>
  <r>
    <x v="0"/>
    <x v="1"/>
    <x v="1"/>
    <x v="10"/>
    <x v="21"/>
    <s v="UK_A"/>
    <x v="14"/>
    <x v="6"/>
    <s v="GNR_ST_NUCL_CND_E-33"/>
    <x v="0"/>
    <x v="0"/>
    <n v="8911"/>
    <n v="3252515"/>
    <n v="11709054"/>
  </r>
  <r>
    <x v="0"/>
    <x v="1"/>
    <x v="1"/>
    <x v="10"/>
    <x v="21"/>
    <s v="UK_A"/>
    <x v="14"/>
    <x v="6"/>
    <s v="GNR_ST_NUCL_CND_E-33"/>
    <x v="0"/>
    <x v="1"/>
    <n v="8911"/>
    <n v="3252515"/>
    <n v="11709054"/>
  </r>
  <r>
    <x v="0"/>
    <x v="1"/>
    <x v="1"/>
    <x v="10"/>
    <x v="21"/>
    <s v="UK_A"/>
    <x v="14"/>
    <x v="6"/>
    <s v="GNR_ST_NUCL_CND_E-33"/>
    <x v="0"/>
    <x v="18"/>
    <n v="8911"/>
    <n v="3252515"/>
    <n v="11709054"/>
  </r>
  <r>
    <x v="0"/>
    <x v="1"/>
    <x v="1"/>
    <x v="10"/>
    <x v="21"/>
    <s v="UK_A"/>
    <x v="14"/>
    <x v="6"/>
    <s v="GNR_ST_NUCL_CND_E-33"/>
    <x v="0"/>
    <x v="2"/>
    <n v="7270.8439543628101"/>
    <n v="2653858.0433424301"/>
    <n v="9553888.95603274"/>
  </r>
  <r>
    <x v="0"/>
    <x v="1"/>
    <x v="1"/>
    <x v="10"/>
    <x v="21"/>
    <s v="UK_A"/>
    <x v="14"/>
    <x v="6"/>
    <s v="GNR_ST_NUCL_CND_E-33"/>
    <x v="0"/>
    <x v="3"/>
    <n v="6311.73250172386"/>
    <n v="2303782.3631292102"/>
    <n v="8293616.5072651599"/>
  </r>
  <r>
    <x v="0"/>
    <x v="1"/>
    <x v="1"/>
    <x v="10"/>
    <x v="21"/>
    <s v="UK_A"/>
    <x v="14"/>
    <x v="6"/>
    <s v="GNR_ST_NUCL_CND_E-33"/>
    <x v="0"/>
    <x v="4"/>
    <n v="7598.2717740558301"/>
    <n v="2773369.19753038"/>
    <n v="9984129.1111093592"/>
  </r>
  <r>
    <x v="0"/>
    <x v="1"/>
    <x v="1"/>
    <x v="10"/>
    <x v="21"/>
    <s v="UK_A"/>
    <x v="14"/>
    <x v="6"/>
    <s v="GNR_ST_NUCL_CND_E-33"/>
    <x v="0"/>
    <x v="5"/>
    <n v="8911"/>
    <n v="3252515"/>
    <n v="11709054"/>
  </r>
  <r>
    <x v="0"/>
    <x v="1"/>
    <x v="1"/>
    <x v="10"/>
    <x v="21"/>
    <s v="UK_A"/>
    <x v="14"/>
    <x v="6"/>
    <s v="GNR_ST_NUCL_CND_E-33"/>
    <x v="0"/>
    <x v="6"/>
    <n v="8911"/>
    <n v="3252515"/>
    <n v="11709054"/>
  </r>
  <r>
    <x v="0"/>
    <x v="1"/>
    <x v="1"/>
    <x v="10"/>
    <x v="21"/>
    <s v="UK_A"/>
    <x v="14"/>
    <x v="6"/>
    <s v="GNR_ST_NUCL_CND_E-33"/>
    <x v="0"/>
    <x v="7"/>
    <n v="8911"/>
    <n v="3252515"/>
    <n v="11709054"/>
  </r>
  <r>
    <x v="0"/>
    <x v="1"/>
    <x v="1"/>
    <x v="10"/>
    <x v="21"/>
    <s v="UK_A"/>
    <x v="14"/>
    <x v="6"/>
    <s v="GNR_ST_NUCL_CND_E-33"/>
    <x v="0"/>
    <x v="8"/>
    <n v="8911"/>
    <n v="3252515"/>
    <n v="11709054"/>
  </r>
  <r>
    <x v="0"/>
    <x v="1"/>
    <x v="1"/>
    <x v="10"/>
    <x v="21"/>
    <s v="UK_A"/>
    <x v="14"/>
    <x v="6"/>
    <s v="GNR_ST_NUCL_CND_E-33"/>
    <x v="0"/>
    <x v="9"/>
    <n v="8911"/>
    <n v="3252515"/>
    <n v="11709054"/>
  </r>
  <r>
    <x v="0"/>
    <x v="1"/>
    <x v="1"/>
    <x v="10"/>
    <x v="21"/>
    <s v="UK_A"/>
    <x v="14"/>
    <x v="6"/>
    <s v="GNR_ST_NUCL_CND_E-33"/>
    <x v="0"/>
    <x v="10"/>
    <n v="8911"/>
    <n v="3252515"/>
    <n v="11709054"/>
  </r>
  <r>
    <x v="0"/>
    <x v="1"/>
    <x v="1"/>
    <x v="10"/>
    <x v="21"/>
    <s v="UK_A"/>
    <x v="14"/>
    <x v="6"/>
    <s v="GNR_ST_NUCL_CND_E-33"/>
    <x v="0"/>
    <x v="11"/>
    <n v="8911"/>
    <n v="3252515"/>
    <n v="11709054"/>
  </r>
  <r>
    <x v="0"/>
    <x v="1"/>
    <x v="1"/>
    <x v="10"/>
    <x v="21"/>
    <s v="UK_A"/>
    <x v="14"/>
    <x v="6"/>
    <s v="GNR_ST_NUCL_CND_E-33"/>
    <x v="0"/>
    <x v="12"/>
    <n v="8911"/>
    <n v="3252515"/>
    <n v="11709054"/>
  </r>
  <r>
    <x v="0"/>
    <x v="1"/>
    <x v="1"/>
    <x v="10"/>
    <x v="21"/>
    <s v="UK_A"/>
    <x v="14"/>
    <x v="6"/>
    <s v="GNR_ST_NUCL_CND_E-33"/>
    <x v="0"/>
    <x v="13"/>
    <n v="8911"/>
    <n v="3252515"/>
    <n v="11709054"/>
  </r>
  <r>
    <x v="0"/>
    <x v="1"/>
    <x v="1"/>
    <x v="10"/>
    <x v="21"/>
    <s v="UK_A"/>
    <x v="14"/>
    <x v="6"/>
    <s v="GNR_ST_NUCL_CND_E-33"/>
    <x v="0"/>
    <x v="14"/>
    <n v="8911"/>
    <n v="3252515"/>
    <n v="11709054"/>
  </r>
  <r>
    <x v="0"/>
    <x v="1"/>
    <x v="1"/>
    <x v="10"/>
    <x v="21"/>
    <s v="UK_A"/>
    <x v="14"/>
    <x v="6"/>
    <s v="GNR_ST_NUCL_CND_E-33"/>
    <x v="0"/>
    <x v="15"/>
    <n v="8911"/>
    <n v="3252515"/>
    <n v="11709054"/>
  </r>
  <r>
    <x v="0"/>
    <x v="1"/>
    <x v="1"/>
    <x v="10"/>
    <x v="21"/>
    <s v="UK_A"/>
    <x v="14"/>
    <x v="6"/>
    <s v="GNR_ST_NUCL_CND_E-33"/>
    <x v="0"/>
    <x v="16"/>
    <n v="8911"/>
    <n v="3252515"/>
    <n v="11709054"/>
  </r>
  <r>
    <x v="0"/>
    <x v="1"/>
    <x v="1"/>
    <x v="10"/>
    <x v="21"/>
    <s v="UK_A"/>
    <x v="14"/>
    <x v="6"/>
    <s v="GNR_ST_NUCL_CND_E-33"/>
    <x v="0"/>
    <x v="17"/>
    <n v="8911"/>
    <n v="3252515"/>
    <n v="11709054"/>
  </r>
  <r>
    <x v="0"/>
    <x v="1"/>
    <x v="1"/>
    <x v="10"/>
    <x v="21"/>
    <s v="UK_A"/>
    <x v="14"/>
    <x v="6"/>
    <s v="GNR_ST_NUCL_CND_E-33"/>
    <x v="0"/>
    <x v="19"/>
    <n v="8911"/>
    <n v="3252515"/>
    <n v="11709054"/>
  </r>
  <r>
    <x v="0"/>
    <x v="1"/>
    <x v="1"/>
    <x v="10"/>
    <x v="21"/>
    <s v="UK_A"/>
    <x v="14"/>
    <x v="6"/>
    <s v="GNR_ST_NUCL_CND_E-33"/>
    <x v="0"/>
    <x v="20"/>
    <n v="8911"/>
    <n v="3252515"/>
    <n v="11709054"/>
  </r>
  <r>
    <x v="0"/>
    <x v="1"/>
    <x v="1"/>
    <x v="10"/>
    <x v="21"/>
    <s v="UK_A"/>
    <x v="14"/>
    <x v="6"/>
    <s v="GNR_ST_NUCL_CND_E-33"/>
    <x v="0"/>
    <x v="21"/>
    <n v="8911"/>
    <n v="3252515"/>
    <n v="11709054"/>
  </r>
  <r>
    <x v="0"/>
    <x v="1"/>
    <x v="1"/>
    <x v="10"/>
    <x v="21"/>
    <s v="UK_A"/>
    <x v="14"/>
    <x v="6"/>
    <s v="GNR_ST_NUCL_CND_E-33"/>
    <x v="0"/>
    <x v="22"/>
    <n v="8911"/>
    <n v="3252515"/>
    <n v="11709054"/>
  </r>
  <r>
    <x v="0"/>
    <x v="1"/>
    <x v="1"/>
    <x v="10"/>
    <x v="21"/>
    <s v="UK_A"/>
    <x v="14"/>
    <x v="6"/>
    <s v="GNR_ST_NUCL_CND_E-33"/>
    <x v="0"/>
    <x v="23"/>
    <n v="8911"/>
    <n v="3252515"/>
    <n v="11709054"/>
  </r>
  <r>
    <x v="0"/>
    <x v="1"/>
    <x v="1"/>
    <x v="10"/>
    <x v="21"/>
    <s v="UK_A"/>
    <x v="5"/>
    <x v="3"/>
    <s v="GNR_PV_SUN"/>
    <x v="0"/>
    <x v="4"/>
    <n v="91.934696158323504"/>
    <n v="33556.164097788103"/>
    <n v="120802.190752037"/>
  </r>
  <r>
    <x v="0"/>
    <x v="1"/>
    <x v="1"/>
    <x v="10"/>
    <x v="21"/>
    <s v="UK_A"/>
    <x v="5"/>
    <x v="3"/>
    <s v="GNR_PV_SUN"/>
    <x v="0"/>
    <x v="5"/>
    <n v="183.86939231664701"/>
    <n v="67112.328195576294"/>
    <n v="241604.38150407499"/>
  </r>
  <r>
    <x v="0"/>
    <x v="1"/>
    <x v="1"/>
    <x v="10"/>
    <x v="21"/>
    <s v="UK_A"/>
    <x v="5"/>
    <x v="3"/>
    <s v="GNR_PV_SUN"/>
    <x v="0"/>
    <x v="6"/>
    <n v="220.643270779977"/>
    <n v="80534.793834691605"/>
    <n v="289925.25780488999"/>
  </r>
  <r>
    <x v="0"/>
    <x v="1"/>
    <x v="1"/>
    <x v="10"/>
    <x v="21"/>
    <s v="UK_A"/>
    <x v="5"/>
    <x v="3"/>
    <s v="GNR_PV_SUN"/>
    <x v="0"/>
    <x v="7"/>
    <n v="220.643270779977"/>
    <n v="80534.793834691605"/>
    <n v="289925.25780488999"/>
  </r>
  <r>
    <x v="0"/>
    <x v="1"/>
    <x v="1"/>
    <x v="10"/>
    <x v="21"/>
    <s v="UK_A"/>
    <x v="5"/>
    <x v="3"/>
    <s v="GNR_PV_SUN"/>
    <x v="0"/>
    <x v="8"/>
    <n v="937.73390081489902"/>
    <n v="342272.87379743799"/>
    <n v="1232182.3456707799"/>
  </r>
  <r>
    <x v="0"/>
    <x v="1"/>
    <x v="1"/>
    <x v="10"/>
    <x v="21"/>
    <s v="UK_A"/>
    <x v="5"/>
    <x v="3"/>
    <s v="GNR_PV_SUN"/>
    <x v="0"/>
    <x v="9"/>
    <n v="1949.0155585564601"/>
    <n v="711390.678873108"/>
    <n v="2561006.4439431899"/>
  </r>
  <r>
    <x v="0"/>
    <x v="1"/>
    <x v="1"/>
    <x v="10"/>
    <x v="21"/>
    <s v="UK_A"/>
    <x v="5"/>
    <x v="3"/>
    <s v="GNR_PV_SUN"/>
    <x v="0"/>
    <x v="10"/>
    <n v="2813.2017024447"/>
    <n v="1026818.62139232"/>
    <n v="3696547.03701234"/>
  </r>
  <r>
    <x v="0"/>
    <x v="1"/>
    <x v="1"/>
    <x v="10"/>
    <x v="21"/>
    <s v="UK_A"/>
    <x v="5"/>
    <x v="3"/>
    <s v="GNR_PV_SUN"/>
    <x v="0"/>
    <x v="11"/>
    <n v="3401.5837578579799"/>
    <n v="1241578.07161816"/>
    <n v="4469681.05782538"/>
  </r>
  <r>
    <x v="0"/>
    <x v="1"/>
    <x v="1"/>
    <x v="10"/>
    <x v="21"/>
    <s v="UK_A"/>
    <x v="5"/>
    <x v="3"/>
    <s v="GNR_PV_SUN"/>
    <x v="0"/>
    <x v="12"/>
    <n v="2868.3625201396999"/>
    <n v="1046952.31985099"/>
    <n v="3769028.35146356"/>
  </r>
  <r>
    <x v="0"/>
    <x v="1"/>
    <x v="1"/>
    <x v="10"/>
    <x v="21"/>
    <s v="UK_A"/>
    <x v="5"/>
    <x v="3"/>
    <s v="GNR_PV_SUN"/>
    <x v="0"/>
    <x v="13"/>
    <n v="1930.6286193248"/>
    <n v="704679.44605355104"/>
    <n v="2536846.0057927798"/>
  </r>
  <r>
    <x v="0"/>
    <x v="1"/>
    <x v="1"/>
    <x v="10"/>
    <x v="21"/>
    <s v="UK_A"/>
    <x v="5"/>
    <x v="3"/>
    <s v="GNR_PV_SUN"/>
    <x v="0"/>
    <x v="14"/>
    <n v="900.96002235157005"/>
    <n v="328850.40815832303"/>
    <n v="1183861.46936996"/>
  </r>
  <r>
    <x v="0"/>
    <x v="1"/>
    <x v="1"/>
    <x v="10"/>
    <x v="21"/>
    <s v="UK_A"/>
    <x v="5"/>
    <x v="3"/>
    <s v="GNR_PV_SUN"/>
    <x v="0"/>
    <x v="15"/>
    <n v="183.86939231664701"/>
    <n v="67112.328195576294"/>
    <n v="241604.38150407499"/>
  </r>
  <r>
    <x v="0"/>
    <x v="1"/>
    <x v="1"/>
    <x v="10"/>
    <x v="21"/>
    <s v="UK_A"/>
    <x v="5"/>
    <x v="3"/>
    <s v="GNR_PV_SUN"/>
    <x v="0"/>
    <x v="16"/>
    <n v="36.773878463329403"/>
    <n v="13422.4656391152"/>
    <n v="48320.876300814904"/>
  </r>
  <r>
    <x v="0"/>
    <x v="1"/>
    <x v="1"/>
    <x v="10"/>
    <x v="21"/>
    <s v="UK_A"/>
    <x v="5"/>
    <x v="3"/>
    <s v="GNR_PV_SUN"/>
    <x v="0"/>
    <x v="17"/>
    <n v="36.773878463329403"/>
    <n v="13422.4656391152"/>
    <n v="48320.876300814904"/>
  </r>
  <r>
    <x v="0"/>
    <x v="1"/>
    <x v="1"/>
    <x v="10"/>
    <x v="21"/>
    <s v="UK_A"/>
    <x v="5"/>
    <x v="3"/>
    <s v="GNR_PV_SUN"/>
    <x v="0"/>
    <x v="19"/>
    <n v="18.386939231664702"/>
    <n v="6711.2328195576301"/>
    <n v="24160.438150407499"/>
  </r>
  <r>
    <x v="0"/>
    <x v="1"/>
    <x v="1"/>
    <x v="10"/>
    <x v="21"/>
    <s v="UK_A"/>
    <x v="5"/>
    <x v="3"/>
    <s v="GNR_PV_SUN_LS-4-MW_Y-2020"/>
    <x v="0"/>
    <x v="4"/>
    <n v="49.571430032364901"/>
    <n v="18093.571961813199"/>
    <n v="65136.859062527503"/>
  </r>
  <r>
    <x v="0"/>
    <x v="1"/>
    <x v="1"/>
    <x v="10"/>
    <x v="21"/>
    <s v="UK_A"/>
    <x v="5"/>
    <x v="3"/>
    <s v="GNR_PV_SUN_LS-4-MW_Y-2020"/>
    <x v="0"/>
    <x v="5"/>
    <n v="99.142860064730101"/>
    <n v="36187.1439236265"/>
    <n v="130273.71812505501"/>
  </r>
  <r>
    <x v="0"/>
    <x v="1"/>
    <x v="1"/>
    <x v="10"/>
    <x v="21"/>
    <s v="UK_A"/>
    <x v="5"/>
    <x v="3"/>
    <s v="GNR_PV_SUN_LS-4-MW_Y-2020"/>
    <x v="0"/>
    <x v="6"/>
    <n v="118.971432077676"/>
    <n v="43424.5727083518"/>
    <n v="156328.461750066"/>
  </r>
  <r>
    <x v="0"/>
    <x v="1"/>
    <x v="1"/>
    <x v="10"/>
    <x v="21"/>
    <s v="UK_A"/>
    <x v="5"/>
    <x v="3"/>
    <s v="GNR_PV_SUN_LS-4-MW_Y-2020"/>
    <x v="0"/>
    <x v="7"/>
    <n v="118.971432077676"/>
    <n v="43424.5727083518"/>
    <n v="156328.461750066"/>
  </r>
  <r>
    <x v="0"/>
    <x v="1"/>
    <x v="1"/>
    <x v="10"/>
    <x v="21"/>
    <s v="UK_A"/>
    <x v="5"/>
    <x v="3"/>
    <s v="GNR_PV_SUN_LS-4-MW_Y-2020"/>
    <x v="0"/>
    <x v="8"/>
    <n v="505.628586330122"/>
    <n v="184554.434010495"/>
    <n v="664395.96243778104"/>
  </r>
  <r>
    <x v="0"/>
    <x v="1"/>
    <x v="1"/>
    <x v="10"/>
    <x v="21"/>
    <s v="UK_A"/>
    <x v="5"/>
    <x v="3"/>
    <s v="GNR_PV_SUN_LS-4-MW_Y-2020"/>
    <x v="0"/>
    <x v="9"/>
    <n v="1050.91431668614"/>
    <n v="383583.72559044103"/>
    <n v="1380901.41212559"/>
  </r>
  <r>
    <x v="0"/>
    <x v="1"/>
    <x v="1"/>
    <x v="10"/>
    <x v="21"/>
    <s v="UK_A"/>
    <x v="5"/>
    <x v="3"/>
    <s v="GNR_PV_SUN_LS-4-MW_Y-2020"/>
    <x v="0"/>
    <x v="10"/>
    <n v="1516.8857589903701"/>
    <n v="553663.30203148501"/>
    <n v="1993187.8873133401"/>
  </r>
  <r>
    <x v="0"/>
    <x v="1"/>
    <x v="1"/>
    <x v="10"/>
    <x v="21"/>
    <s v="UK_A"/>
    <x v="5"/>
    <x v="3"/>
    <s v="GNR_PV_SUN_LS-4-MW_Y-2020"/>
    <x v="0"/>
    <x v="11"/>
    <n v="1834.1429111975101"/>
    <n v="669462.16258709005"/>
    <n v="2410063.7853135201"/>
  </r>
  <r>
    <x v="0"/>
    <x v="1"/>
    <x v="1"/>
    <x v="10"/>
    <x v="21"/>
    <s v="UK_A"/>
    <x v="5"/>
    <x v="3"/>
    <s v="GNR_PV_SUN_LS-4-MW_Y-2020"/>
    <x v="0"/>
    <x v="12"/>
    <n v="1546.6286170097901"/>
    <n v="564519.44520857197"/>
    <n v="2032270.0027508601"/>
  </r>
  <r>
    <x v="0"/>
    <x v="1"/>
    <x v="1"/>
    <x v="10"/>
    <x v="21"/>
    <s v="UK_A"/>
    <x v="5"/>
    <x v="3"/>
    <s v="GNR_PV_SUN_LS-4-MW_Y-2020"/>
    <x v="0"/>
    <x v="13"/>
    <n v="1041.0000306796701"/>
    <n v="379965.01119807799"/>
    <n v="1367874.04031308"/>
  </r>
  <r>
    <x v="0"/>
    <x v="1"/>
    <x v="1"/>
    <x v="10"/>
    <x v="21"/>
    <s v="UK_A"/>
    <x v="5"/>
    <x v="3"/>
    <s v="GNR_PV_SUN_LS-4-MW_Y-2020"/>
    <x v="0"/>
    <x v="14"/>
    <n v="485.80001431717602"/>
    <n v="177317.00522576901"/>
    <n v="638341.21881276998"/>
  </r>
  <r>
    <x v="0"/>
    <x v="1"/>
    <x v="1"/>
    <x v="10"/>
    <x v="21"/>
    <s v="UK_A"/>
    <x v="5"/>
    <x v="3"/>
    <s v="GNR_PV_SUN_LS-4-MW_Y-2020"/>
    <x v="0"/>
    <x v="15"/>
    <n v="99.142860064730101"/>
    <n v="36187.1439236265"/>
    <n v="130273.71812505501"/>
  </r>
  <r>
    <x v="0"/>
    <x v="1"/>
    <x v="1"/>
    <x v="10"/>
    <x v="21"/>
    <s v="UK_A"/>
    <x v="5"/>
    <x v="3"/>
    <s v="GNR_PV_SUN_LS-4-MW_Y-2020"/>
    <x v="0"/>
    <x v="16"/>
    <n v="19.828572012946001"/>
    <n v="7237.4287847252899"/>
    <n v="26054.743625011"/>
  </r>
  <r>
    <x v="0"/>
    <x v="1"/>
    <x v="1"/>
    <x v="10"/>
    <x v="21"/>
    <s v="UK_A"/>
    <x v="5"/>
    <x v="3"/>
    <s v="GNR_PV_SUN_LS-4-MW_Y-2020"/>
    <x v="0"/>
    <x v="17"/>
    <n v="19.828572012946001"/>
    <n v="7237.4287847252899"/>
    <n v="26054.743625011"/>
  </r>
  <r>
    <x v="0"/>
    <x v="1"/>
    <x v="1"/>
    <x v="10"/>
    <x v="21"/>
    <s v="UK_A"/>
    <x v="5"/>
    <x v="3"/>
    <s v="GNR_PV_SUN_LS-4-MW_Y-2020"/>
    <x v="0"/>
    <x v="19"/>
    <n v="9.9142860064730094"/>
    <n v="3618.71439236265"/>
    <n v="13027.3718125055"/>
  </r>
  <r>
    <x v="0"/>
    <x v="1"/>
    <x v="1"/>
    <x v="10"/>
    <x v="21"/>
    <s v="UK_A"/>
    <x v="6"/>
    <x v="8"/>
    <s v="GNR_ES_WTR_PMP"/>
    <x v="0"/>
    <x v="20"/>
    <n v="26.312000000000001"/>
    <n v="9603.8799999999992"/>
    <n v="34573.968000000001"/>
  </r>
  <r>
    <x v="0"/>
    <x v="1"/>
    <x v="1"/>
    <x v="10"/>
    <x v="21"/>
    <s v="UK_A"/>
    <x v="6"/>
    <x v="4"/>
    <s v="GNR_ROR_WTR"/>
    <x v="0"/>
    <x v="0"/>
    <n v="602.97643832497397"/>
    <n v="220086.39998861501"/>
    <n v="792311.03995901602"/>
  </r>
  <r>
    <x v="0"/>
    <x v="1"/>
    <x v="1"/>
    <x v="10"/>
    <x v="21"/>
    <s v="UK_A"/>
    <x v="6"/>
    <x v="4"/>
    <s v="GNR_ROR_WTR"/>
    <x v="0"/>
    <x v="1"/>
    <n v="602.97643832497397"/>
    <n v="220086.39998861501"/>
    <n v="792311.03995901602"/>
  </r>
  <r>
    <x v="0"/>
    <x v="1"/>
    <x v="1"/>
    <x v="10"/>
    <x v="21"/>
    <s v="UK_A"/>
    <x v="6"/>
    <x v="4"/>
    <s v="GNR_ROR_WTR"/>
    <x v="0"/>
    <x v="18"/>
    <n v="602.97643832497397"/>
    <n v="220086.39998861501"/>
    <n v="792311.03995901602"/>
  </r>
  <r>
    <x v="0"/>
    <x v="1"/>
    <x v="1"/>
    <x v="10"/>
    <x v="21"/>
    <s v="UK_A"/>
    <x v="6"/>
    <x v="4"/>
    <s v="GNR_ROR_WTR"/>
    <x v="0"/>
    <x v="2"/>
    <n v="602.97643832497397"/>
    <n v="220086.39998861501"/>
    <n v="792311.03995901602"/>
  </r>
  <r>
    <x v="0"/>
    <x v="1"/>
    <x v="1"/>
    <x v="10"/>
    <x v="21"/>
    <s v="UK_A"/>
    <x v="6"/>
    <x v="4"/>
    <s v="GNR_ROR_WTR"/>
    <x v="0"/>
    <x v="3"/>
    <n v="602.97643832497397"/>
    <n v="220086.39998861501"/>
    <n v="792311.03995901602"/>
  </r>
  <r>
    <x v="0"/>
    <x v="1"/>
    <x v="1"/>
    <x v="10"/>
    <x v="21"/>
    <s v="UK_A"/>
    <x v="6"/>
    <x v="4"/>
    <s v="GNR_ROR_WTR"/>
    <x v="0"/>
    <x v="4"/>
    <n v="602.97643832497397"/>
    <n v="220086.39998861501"/>
    <n v="792311.03995901602"/>
  </r>
  <r>
    <x v="0"/>
    <x v="1"/>
    <x v="1"/>
    <x v="10"/>
    <x v="21"/>
    <s v="UK_A"/>
    <x v="6"/>
    <x v="4"/>
    <s v="GNR_ROR_WTR"/>
    <x v="0"/>
    <x v="5"/>
    <n v="602.97643832497397"/>
    <n v="220086.39998861501"/>
    <n v="792311.03995901602"/>
  </r>
  <r>
    <x v="0"/>
    <x v="1"/>
    <x v="1"/>
    <x v="10"/>
    <x v="21"/>
    <s v="UK_A"/>
    <x v="6"/>
    <x v="4"/>
    <s v="GNR_ROR_WTR"/>
    <x v="0"/>
    <x v="6"/>
    <n v="602.97643832497397"/>
    <n v="220086.39998861501"/>
    <n v="792311.03995901602"/>
  </r>
  <r>
    <x v="0"/>
    <x v="1"/>
    <x v="1"/>
    <x v="10"/>
    <x v="21"/>
    <s v="UK_A"/>
    <x v="6"/>
    <x v="4"/>
    <s v="GNR_ROR_WTR"/>
    <x v="0"/>
    <x v="7"/>
    <n v="602.97643832497397"/>
    <n v="220086.39998861501"/>
    <n v="792311.03995901602"/>
  </r>
  <r>
    <x v="0"/>
    <x v="1"/>
    <x v="1"/>
    <x v="10"/>
    <x v="21"/>
    <s v="UK_A"/>
    <x v="6"/>
    <x v="4"/>
    <s v="GNR_ROR_WTR"/>
    <x v="0"/>
    <x v="8"/>
    <n v="602.97643832497397"/>
    <n v="220086.39998861501"/>
    <n v="792311.03995901602"/>
  </r>
  <r>
    <x v="0"/>
    <x v="1"/>
    <x v="1"/>
    <x v="10"/>
    <x v="21"/>
    <s v="UK_A"/>
    <x v="6"/>
    <x v="4"/>
    <s v="GNR_ROR_WTR"/>
    <x v="0"/>
    <x v="9"/>
    <n v="602.97643832497397"/>
    <n v="220086.39998861501"/>
    <n v="792311.03995901602"/>
  </r>
  <r>
    <x v="0"/>
    <x v="1"/>
    <x v="1"/>
    <x v="10"/>
    <x v="21"/>
    <s v="UK_A"/>
    <x v="6"/>
    <x v="4"/>
    <s v="GNR_ROR_WTR"/>
    <x v="0"/>
    <x v="10"/>
    <n v="602.97643832497397"/>
    <n v="220086.39998861501"/>
    <n v="792311.03995901602"/>
  </r>
  <r>
    <x v="0"/>
    <x v="1"/>
    <x v="1"/>
    <x v="10"/>
    <x v="21"/>
    <s v="UK_A"/>
    <x v="6"/>
    <x v="4"/>
    <s v="GNR_ROR_WTR"/>
    <x v="0"/>
    <x v="11"/>
    <n v="602.97643832497397"/>
    <n v="220086.39998861501"/>
    <n v="792311.03995901602"/>
  </r>
  <r>
    <x v="0"/>
    <x v="1"/>
    <x v="1"/>
    <x v="10"/>
    <x v="21"/>
    <s v="UK_A"/>
    <x v="6"/>
    <x v="4"/>
    <s v="GNR_ROR_WTR"/>
    <x v="0"/>
    <x v="12"/>
    <n v="602.97643832497397"/>
    <n v="220086.39998861501"/>
    <n v="792311.03995901602"/>
  </r>
  <r>
    <x v="0"/>
    <x v="1"/>
    <x v="1"/>
    <x v="10"/>
    <x v="21"/>
    <s v="UK_A"/>
    <x v="6"/>
    <x v="4"/>
    <s v="GNR_ROR_WTR"/>
    <x v="0"/>
    <x v="13"/>
    <n v="602.97643832497397"/>
    <n v="220086.39998861501"/>
    <n v="792311.03995901602"/>
  </r>
  <r>
    <x v="0"/>
    <x v="1"/>
    <x v="1"/>
    <x v="10"/>
    <x v="21"/>
    <s v="UK_A"/>
    <x v="6"/>
    <x v="4"/>
    <s v="GNR_ROR_WTR"/>
    <x v="0"/>
    <x v="14"/>
    <n v="602.97643832497397"/>
    <n v="220086.39998861501"/>
    <n v="792311.03995901602"/>
  </r>
  <r>
    <x v="0"/>
    <x v="1"/>
    <x v="1"/>
    <x v="10"/>
    <x v="21"/>
    <s v="UK_A"/>
    <x v="6"/>
    <x v="4"/>
    <s v="GNR_ROR_WTR"/>
    <x v="0"/>
    <x v="15"/>
    <n v="602.97643832497397"/>
    <n v="220086.39998861501"/>
    <n v="792311.03995901602"/>
  </r>
  <r>
    <x v="0"/>
    <x v="1"/>
    <x v="1"/>
    <x v="10"/>
    <x v="21"/>
    <s v="UK_A"/>
    <x v="6"/>
    <x v="4"/>
    <s v="GNR_ROR_WTR"/>
    <x v="0"/>
    <x v="16"/>
    <n v="602.97643832497397"/>
    <n v="220086.39998861501"/>
    <n v="792311.03995901602"/>
  </r>
  <r>
    <x v="0"/>
    <x v="1"/>
    <x v="1"/>
    <x v="10"/>
    <x v="21"/>
    <s v="UK_A"/>
    <x v="6"/>
    <x v="4"/>
    <s v="GNR_ROR_WTR"/>
    <x v="0"/>
    <x v="17"/>
    <n v="602.97643832497397"/>
    <n v="220086.39998861501"/>
    <n v="792311.03995901602"/>
  </r>
  <r>
    <x v="0"/>
    <x v="1"/>
    <x v="1"/>
    <x v="10"/>
    <x v="21"/>
    <s v="UK_A"/>
    <x v="6"/>
    <x v="4"/>
    <s v="GNR_ROR_WTR"/>
    <x v="0"/>
    <x v="19"/>
    <n v="602.97643832497397"/>
    <n v="220086.39998861501"/>
    <n v="792311.03995901602"/>
  </r>
  <r>
    <x v="0"/>
    <x v="1"/>
    <x v="1"/>
    <x v="10"/>
    <x v="21"/>
    <s v="UK_A"/>
    <x v="6"/>
    <x v="4"/>
    <s v="GNR_ROR_WTR"/>
    <x v="0"/>
    <x v="20"/>
    <n v="602.97643832497397"/>
    <n v="220086.39998861501"/>
    <n v="792311.03995901602"/>
  </r>
  <r>
    <x v="0"/>
    <x v="1"/>
    <x v="1"/>
    <x v="10"/>
    <x v="21"/>
    <s v="UK_A"/>
    <x v="6"/>
    <x v="4"/>
    <s v="GNR_ROR_WTR"/>
    <x v="0"/>
    <x v="21"/>
    <n v="602.97643832497397"/>
    <n v="220086.39998861501"/>
    <n v="792311.03995901602"/>
  </r>
  <r>
    <x v="0"/>
    <x v="1"/>
    <x v="1"/>
    <x v="10"/>
    <x v="21"/>
    <s v="UK_A"/>
    <x v="6"/>
    <x v="4"/>
    <s v="GNR_ROR_WTR"/>
    <x v="0"/>
    <x v="22"/>
    <n v="602.97643832497397"/>
    <n v="220086.39998861501"/>
    <n v="792311.03995901602"/>
  </r>
  <r>
    <x v="0"/>
    <x v="1"/>
    <x v="1"/>
    <x v="10"/>
    <x v="21"/>
    <s v="UK_A"/>
    <x v="6"/>
    <x v="4"/>
    <s v="GNR_ROR_WTR"/>
    <x v="0"/>
    <x v="23"/>
    <n v="602.97643832497397"/>
    <n v="220086.39998861501"/>
    <n v="792311.03995901602"/>
  </r>
  <r>
    <x v="0"/>
    <x v="1"/>
    <x v="1"/>
    <x v="10"/>
    <x v="21"/>
    <s v="UK_A"/>
    <x v="7"/>
    <x v="5"/>
    <s v="GNR_WT_WIND_ONS"/>
    <x v="0"/>
    <x v="0"/>
    <n v="3871.3346559148999"/>
    <n v="1413037.14940894"/>
    <n v="5086933.7378721898"/>
  </r>
  <r>
    <x v="0"/>
    <x v="1"/>
    <x v="1"/>
    <x v="10"/>
    <x v="21"/>
    <s v="UK_A"/>
    <x v="7"/>
    <x v="5"/>
    <s v="GNR_WT_WIND_ONS"/>
    <x v="0"/>
    <x v="1"/>
    <n v="4037.88959422784"/>
    <n v="1473829.7018931599"/>
    <n v="5305786.9268153803"/>
  </r>
  <r>
    <x v="0"/>
    <x v="1"/>
    <x v="1"/>
    <x v="10"/>
    <x v="21"/>
    <s v="UK_A"/>
    <x v="7"/>
    <x v="5"/>
    <s v="GNR_WT_WIND_ONS"/>
    <x v="0"/>
    <x v="18"/>
    <n v="4217.25645087255"/>
    <n v="1539298.60456848"/>
    <n v="5541474.9764465299"/>
  </r>
  <r>
    <x v="0"/>
    <x v="1"/>
    <x v="1"/>
    <x v="10"/>
    <x v="21"/>
    <s v="UK_A"/>
    <x v="7"/>
    <x v="5"/>
    <s v="GNR_WT_WIND_ONS"/>
    <x v="0"/>
    <x v="2"/>
    <n v="4407.2999061270702"/>
    <n v="1608664.4657363801"/>
    <n v="5791192.0766509697"/>
  </r>
  <r>
    <x v="0"/>
    <x v="1"/>
    <x v="1"/>
    <x v="10"/>
    <x v="21"/>
    <s v="UK_A"/>
    <x v="7"/>
    <x v="5"/>
    <s v="GNR_WT_WIND_ONS"/>
    <x v="0"/>
    <x v="3"/>
    <n v="4447.87098084432"/>
    <n v="1623472.9080081801"/>
    <n v="5844502.46882944"/>
  </r>
  <r>
    <x v="0"/>
    <x v="1"/>
    <x v="1"/>
    <x v="10"/>
    <x v="21"/>
    <s v="UK_A"/>
    <x v="7"/>
    <x v="5"/>
    <s v="GNR_WT_WIND_ONS"/>
    <x v="0"/>
    <x v="4"/>
    <n v="4407.2999061270702"/>
    <n v="1608664.4657363801"/>
    <n v="5791192.0766509697"/>
  </r>
  <r>
    <x v="0"/>
    <x v="1"/>
    <x v="1"/>
    <x v="10"/>
    <x v="21"/>
    <s v="UK_A"/>
    <x v="7"/>
    <x v="5"/>
    <s v="GNR_WT_WIND_ONS"/>
    <x v="0"/>
    <x v="5"/>
    <n v="4452.1416202882301"/>
    <n v="1625031.6914052099"/>
    <n v="5850114.0890587401"/>
  </r>
  <r>
    <x v="0"/>
    <x v="1"/>
    <x v="1"/>
    <x v="10"/>
    <x v="21"/>
    <s v="UK_A"/>
    <x v="7"/>
    <x v="5"/>
    <s v="GNR_WT_WIND_ONS"/>
    <x v="0"/>
    <x v="6"/>
    <n v="4573.8548444400003"/>
    <n v="1669457.0182206"/>
    <n v="6010045.2655941704"/>
  </r>
  <r>
    <x v="0"/>
    <x v="1"/>
    <x v="1"/>
    <x v="10"/>
    <x v="21"/>
    <s v="UK_A"/>
    <x v="7"/>
    <x v="5"/>
    <s v="GNR_WT_WIND_ONS"/>
    <x v="0"/>
    <x v="7"/>
    <n v="4699.8387080356897"/>
    <n v="1715441.1284330301"/>
    <n v="6175588.0623589"/>
  </r>
  <r>
    <x v="0"/>
    <x v="1"/>
    <x v="1"/>
    <x v="10"/>
    <x v="21"/>
    <s v="UK_A"/>
    <x v="7"/>
    <x v="5"/>
    <s v="GNR_WT_WIND_ONS"/>
    <x v="0"/>
    <x v="8"/>
    <n v="4509.7952527811904"/>
    <n v="1646075.2672651301"/>
    <n v="5925870.9621544797"/>
  </r>
  <r>
    <x v="0"/>
    <x v="1"/>
    <x v="1"/>
    <x v="10"/>
    <x v="21"/>
    <s v="UK_A"/>
    <x v="7"/>
    <x v="5"/>
    <s v="GNR_WT_WIND_ONS"/>
    <x v="0"/>
    <x v="9"/>
    <n v="4020.80703645216"/>
    <n v="1467594.56830504"/>
    <n v="5283340.4458981398"/>
  </r>
  <r>
    <x v="0"/>
    <x v="1"/>
    <x v="1"/>
    <x v="10"/>
    <x v="21"/>
    <s v="UK_A"/>
    <x v="7"/>
    <x v="5"/>
    <s v="GNR_WT_WIND_ONS"/>
    <x v="0"/>
    <x v="10"/>
    <n v="3649.2614048309802"/>
    <n v="1331980.4127633099"/>
    <n v="4795129.4859479098"/>
  </r>
  <r>
    <x v="0"/>
    <x v="1"/>
    <x v="1"/>
    <x v="10"/>
    <x v="21"/>
    <s v="UK_A"/>
    <x v="7"/>
    <x v="5"/>
    <s v="GNR_WT_WIND_ONS"/>
    <x v="0"/>
    <x v="11"/>
    <n v="3604.4196906698198"/>
    <n v="1315613.18709448"/>
    <n v="4736207.4735401403"/>
  </r>
  <r>
    <x v="0"/>
    <x v="1"/>
    <x v="1"/>
    <x v="10"/>
    <x v="21"/>
    <s v="UK_A"/>
    <x v="7"/>
    <x v="5"/>
    <s v="GNR_WT_WIND_ONS"/>
    <x v="0"/>
    <x v="12"/>
    <n v="3333.2340859808"/>
    <n v="1216630.44138299"/>
    <n v="4379869.5889787599"/>
  </r>
  <r>
    <x v="0"/>
    <x v="1"/>
    <x v="1"/>
    <x v="10"/>
    <x v="21"/>
    <s v="UK_A"/>
    <x v="7"/>
    <x v="5"/>
    <s v="GNR_WT_WIND_ONS"/>
    <x v="0"/>
    <x v="13"/>
    <n v="2498.3240746941201"/>
    <n v="911888.28726335499"/>
    <n v="3282797.8341480801"/>
  </r>
  <r>
    <x v="0"/>
    <x v="1"/>
    <x v="1"/>
    <x v="10"/>
    <x v="21"/>
    <s v="UK_A"/>
    <x v="7"/>
    <x v="5"/>
    <s v="GNR_WT_WIND_ONS"/>
    <x v="0"/>
    <x v="14"/>
    <n v="1864.13411727177"/>
    <n v="680408.952804195"/>
    <n v="2449472.2300951001"/>
  </r>
  <r>
    <x v="0"/>
    <x v="1"/>
    <x v="1"/>
    <x v="10"/>
    <x v="21"/>
    <s v="UK_A"/>
    <x v="7"/>
    <x v="5"/>
    <s v="GNR_WT_WIND_ONS"/>
    <x v="0"/>
    <x v="15"/>
    <n v="1422.1229348258801"/>
    <n v="519074.87121144799"/>
    <n v="1868669.53636121"/>
  </r>
  <r>
    <x v="0"/>
    <x v="1"/>
    <x v="1"/>
    <x v="10"/>
    <x v="21"/>
    <s v="UK_A"/>
    <x v="7"/>
    <x v="5"/>
    <s v="GNR_WT_WIND_ONS"/>
    <x v="0"/>
    <x v="16"/>
    <n v="1140.26073152706"/>
    <n v="416195.16700737702"/>
    <n v="1498302.6012265601"/>
  </r>
  <r>
    <x v="0"/>
    <x v="1"/>
    <x v="1"/>
    <x v="10"/>
    <x v="21"/>
    <s v="UK_A"/>
    <x v="7"/>
    <x v="5"/>
    <s v="GNR_WT_WIND_ONS"/>
    <x v="0"/>
    <x v="17"/>
    <n v="1014.27686793137"/>
    <n v="370211.05679495097"/>
    <n v="1332759.8044618201"/>
  </r>
  <r>
    <x v="0"/>
    <x v="1"/>
    <x v="1"/>
    <x v="10"/>
    <x v="21"/>
    <s v="UK_A"/>
    <x v="7"/>
    <x v="5"/>
    <s v="GNR_WT_WIND_ONS"/>
    <x v="0"/>
    <x v="19"/>
    <n v="943.81131710666898"/>
    <n v="344491.13074393402"/>
    <n v="1240168.0706781601"/>
  </r>
  <r>
    <x v="0"/>
    <x v="1"/>
    <x v="1"/>
    <x v="10"/>
    <x v="21"/>
    <s v="UK_A"/>
    <x v="7"/>
    <x v="5"/>
    <s v="GNR_WT_WIND_ONS"/>
    <x v="0"/>
    <x v="20"/>
    <n v="999.32962987764802"/>
    <n v="364755.31490534201"/>
    <n v="1313119.1336592301"/>
  </r>
  <r>
    <x v="0"/>
    <x v="1"/>
    <x v="1"/>
    <x v="10"/>
    <x v="21"/>
    <s v="UK_A"/>
    <x v="7"/>
    <x v="5"/>
    <s v="GNR_WT_WIND_ONS"/>
    <x v="0"/>
    <x v="21"/>
    <n v="1157.34328930275"/>
    <n v="422430.30059550202"/>
    <n v="1520749.0821438101"/>
  </r>
  <r>
    <x v="0"/>
    <x v="1"/>
    <x v="1"/>
    <x v="10"/>
    <x v="21"/>
    <s v="UK_A"/>
    <x v="7"/>
    <x v="5"/>
    <s v="GNR_WT_WIND_ONS"/>
    <x v="0"/>
    <x v="22"/>
    <n v="1362.33398261098"/>
    <n v="497251.90365300898"/>
    <n v="1790106.8531508299"/>
  </r>
  <r>
    <x v="0"/>
    <x v="1"/>
    <x v="1"/>
    <x v="10"/>
    <x v="21"/>
    <s v="UK_A"/>
    <x v="7"/>
    <x v="5"/>
    <s v="GNR_WT_WIND_ONS"/>
    <x v="0"/>
    <x v="23"/>
    <n v="1439.2054926015701"/>
    <n v="525310.00479957403"/>
    <n v="1891116.0172784701"/>
  </r>
  <r>
    <x v="0"/>
    <x v="1"/>
    <x v="1"/>
    <x v="10"/>
    <x v="21"/>
    <s v="UK_A"/>
    <x v="7"/>
    <x v="5"/>
    <s v="GNR_WT_WIND_ON_LS_Y-2020"/>
    <x v="0"/>
    <x v="0"/>
    <n v="12001.464601543301"/>
    <n v="4380534.5795632899"/>
    <n v="15769924.486427899"/>
  </r>
  <r>
    <x v="0"/>
    <x v="1"/>
    <x v="1"/>
    <x v="10"/>
    <x v="21"/>
    <s v="UK_A"/>
    <x v="7"/>
    <x v="5"/>
    <s v="GNR_WT_WIND_ON_LS_Y-2020"/>
    <x v="0"/>
    <x v="1"/>
    <n v="12517.798985945001"/>
    <n v="4568996.6298699304"/>
    <n v="16448387.8675317"/>
  </r>
  <r>
    <x v="0"/>
    <x v="1"/>
    <x v="1"/>
    <x v="10"/>
    <x v="21"/>
    <s v="UK_A"/>
    <x v="7"/>
    <x v="5"/>
    <s v="GNR_WT_WIND_ON_LS_Y-2020"/>
    <x v="0"/>
    <x v="18"/>
    <n v="13073.8513999161"/>
    <n v="4771955.7609693799"/>
    <n v="17179040.739489801"/>
  </r>
  <r>
    <x v="0"/>
    <x v="1"/>
    <x v="1"/>
    <x v="10"/>
    <x v="21"/>
    <s v="UK_A"/>
    <x v="7"/>
    <x v="5"/>
    <s v="GNR_WT_WIND_ON_LS_Y-2020"/>
    <x v="0"/>
    <x v="2"/>
    <n v="13663.002171861701"/>
    <n v="4986995.7927295398"/>
    <n v="17953184.853826299"/>
  </r>
  <r>
    <x v="0"/>
    <x v="1"/>
    <x v="1"/>
    <x v="10"/>
    <x v="21"/>
    <s v="UK_A"/>
    <x v="7"/>
    <x v="5"/>
    <s v="GNR_WT_WIND_ON_LS_Y-2020"/>
    <x v="0"/>
    <x v="3"/>
    <n v="13788.775932164701"/>
    <n v="5032903.21524012"/>
    <n v="18118451.574864499"/>
  </r>
  <r>
    <x v="0"/>
    <x v="1"/>
    <x v="1"/>
    <x v="10"/>
    <x v="21"/>
    <s v="UK_A"/>
    <x v="7"/>
    <x v="5"/>
    <s v="GNR_WT_WIND_ON_LS_Y-2020"/>
    <x v="0"/>
    <x v="4"/>
    <n v="13663.002171861701"/>
    <n v="4986995.7927295398"/>
    <n v="17953184.853826299"/>
  </r>
  <r>
    <x v="0"/>
    <x v="1"/>
    <x v="1"/>
    <x v="10"/>
    <x v="21"/>
    <s v="UK_A"/>
    <x v="7"/>
    <x v="5"/>
    <s v="GNR_WT_WIND_ON_LS_Y-2020"/>
    <x v="0"/>
    <x v="5"/>
    <n v="13802.015275354501"/>
    <n v="5037735.5755043896"/>
    <n v="18135848.0718158"/>
  </r>
  <r>
    <x v="0"/>
    <x v="1"/>
    <x v="1"/>
    <x v="10"/>
    <x v="21"/>
    <s v="UK_A"/>
    <x v="7"/>
    <x v="5"/>
    <s v="GNR_WT_WIND_ON_LS_Y-2020"/>
    <x v="0"/>
    <x v="6"/>
    <n v="14179.336556263501"/>
    <n v="5175457.8430361701"/>
    <n v="18631648.234930199"/>
  </r>
  <r>
    <x v="0"/>
    <x v="1"/>
    <x v="1"/>
    <x v="10"/>
    <x v="21"/>
    <s v="UK_A"/>
    <x v="7"/>
    <x v="5"/>
    <s v="GNR_WT_WIND_ON_LS_Y-2020"/>
    <x v="0"/>
    <x v="7"/>
    <n v="14569.897180362201"/>
    <n v="5318012.4708322203"/>
    <n v="19144844.894995999"/>
  </r>
  <r>
    <x v="0"/>
    <x v="1"/>
    <x v="1"/>
    <x v="10"/>
    <x v="21"/>
    <s v="UK_A"/>
    <x v="7"/>
    <x v="5"/>
    <s v="GNR_WT_WIND_ON_LS_Y-2020"/>
    <x v="0"/>
    <x v="8"/>
    <n v="13980.7464084167"/>
    <n v="5102972.4390720902"/>
    <n v="18370700.780659501"/>
  </r>
  <r>
    <x v="0"/>
    <x v="1"/>
    <x v="1"/>
    <x v="10"/>
    <x v="21"/>
    <s v="UK_A"/>
    <x v="7"/>
    <x v="5"/>
    <s v="GNR_WT_WIND_ON_LS_Y-2020"/>
    <x v="0"/>
    <x v="9"/>
    <n v="12464.841613185899"/>
    <n v="4549667.1888128398"/>
    <n v="16378801.879726199"/>
  </r>
  <r>
    <x v="0"/>
    <x v="1"/>
    <x v="1"/>
    <x v="10"/>
    <x v="21"/>
    <s v="UK_A"/>
    <x v="7"/>
    <x v="5"/>
    <s v="GNR_WT_WIND_ON_LS_Y-2020"/>
    <x v="0"/>
    <x v="10"/>
    <n v="11313.0187556743"/>
    <n v="4129251.8458211101"/>
    <n v="14865306.644956"/>
  </r>
  <r>
    <x v="0"/>
    <x v="1"/>
    <x v="1"/>
    <x v="10"/>
    <x v="21"/>
    <s v="UK_A"/>
    <x v="7"/>
    <x v="5"/>
    <s v="GNR_WT_WIND_ON_LS_Y-2020"/>
    <x v="0"/>
    <x v="11"/>
    <n v="11174.0056521815"/>
    <n v="4078512.0630462598"/>
    <n v="14682643.4269665"/>
  </r>
  <r>
    <x v="0"/>
    <x v="1"/>
    <x v="1"/>
    <x v="10"/>
    <x v="21"/>
    <s v="UK_A"/>
    <x v="7"/>
    <x v="5"/>
    <s v="GNR_WT_WIND_ON_LS_Y-2020"/>
    <x v="0"/>
    <x v="12"/>
    <n v="10333.3073596299"/>
    <n v="3771657.1862649298"/>
    <n v="13577965.8705537"/>
  </r>
  <r>
    <x v="0"/>
    <x v="1"/>
    <x v="1"/>
    <x v="10"/>
    <x v="21"/>
    <s v="UK_A"/>
    <x v="7"/>
    <x v="5"/>
    <s v="GNR_WT_WIND_ON_LS_Y-2020"/>
    <x v="0"/>
    <x v="13"/>
    <n v="7745.0157660262903"/>
    <n v="2826930.7545995899"/>
    <n v="10176950.716558499"/>
  </r>
  <r>
    <x v="0"/>
    <x v="1"/>
    <x v="1"/>
    <x v="10"/>
    <x v="21"/>
    <s v="UK_A"/>
    <x v="7"/>
    <x v="5"/>
    <s v="GNR_WT_WIND_ON_LS_Y-2020"/>
    <x v="0"/>
    <x v="14"/>
    <n v="5778.9733023426897"/>
    <n v="2109325.2553550801"/>
    <n v="7593570.9192782901"/>
  </r>
  <r>
    <x v="0"/>
    <x v="1"/>
    <x v="1"/>
    <x v="10"/>
    <x v="21"/>
    <s v="UK_A"/>
    <x v="7"/>
    <x v="5"/>
    <s v="GNR_WT_WIND_ON_LS_Y-2020"/>
    <x v="0"/>
    <x v="15"/>
    <n v="4408.7012821995704"/>
    <n v="1609175.9680028399"/>
    <n v="5793033.4848102396"/>
  </r>
  <r>
    <x v="0"/>
    <x v="1"/>
    <x v="1"/>
    <x v="10"/>
    <x v="21"/>
    <s v="UK_A"/>
    <x v="7"/>
    <x v="5"/>
    <s v="GNR_WT_WIND_ON_LS_Y-2020"/>
    <x v="0"/>
    <x v="16"/>
    <n v="3534.9046316735298"/>
    <n v="1290240.1905608401"/>
    <n v="4644864.6860190202"/>
  </r>
  <r>
    <x v="0"/>
    <x v="1"/>
    <x v="1"/>
    <x v="10"/>
    <x v="21"/>
    <s v="UK_A"/>
    <x v="7"/>
    <x v="5"/>
    <s v="GNR_WT_WIND_ON_LS_Y-2020"/>
    <x v="0"/>
    <x v="17"/>
    <n v="3144.3440075747699"/>
    <n v="1147685.5627647899"/>
    <n v="4131668.0259532402"/>
  </r>
  <r>
    <x v="0"/>
    <x v="1"/>
    <x v="1"/>
    <x v="10"/>
    <x v="21"/>
    <s v="UK_A"/>
    <x v="7"/>
    <x v="5"/>
    <s v="GNR_WT_WIND_ON_LS_Y-2020"/>
    <x v="0"/>
    <x v="19"/>
    <n v="2925.8948449432601"/>
    <n v="1067951.6184042899"/>
    <n v="3844625.8262554398"/>
  </r>
  <r>
    <x v="0"/>
    <x v="1"/>
    <x v="1"/>
    <x v="10"/>
    <x v="21"/>
    <s v="UK_A"/>
    <x v="7"/>
    <x v="5"/>
    <s v="GNR_WT_WIND_ON_LS_Y-2020"/>
    <x v="0"/>
    <x v="20"/>
    <n v="3098.0063064105102"/>
    <n v="1130772.3018398399"/>
    <n v="4070780.2866234099"/>
  </r>
  <r>
    <x v="0"/>
    <x v="1"/>
    <x v="1"/>
    <x v="10"/>
    <x v="21"/>
    <s v="UK_A"/>
    <x v="7"/>
    <x v="5"/>
    <s v="GNR_WT_WIND_ON_LS_Y-2020"/>
    <x v="0"/>
    <x v="21"/>
    <n v="3587.8620044326799"/>
    <n v="1309569.63161793"/>
    <n v="4714450.6738245497"/>
  </r>
  <r>
    <x v="0"/>
    <x v="1"/>
    <x v="1"/>
    <x v="10"/>
    <x v="21"/>
    <s v="UK_A"/>
    <x v="7"/>
    <x v="5"/>
    <s v="GNR_WT_WIND_ON_LS_Y-2020"/>
    <x v="0"/>
    <x v="22"/>
    <n v="4223.3504775425399"/>
    <n v="1541522.9243030299"/>
    <n v="5549482.5274908897"/>
  </r>
  <r>
    <x v="0"/>
    <x v="1"/>
    <x v="1"/>
    <x v="10"/>
    <x v="21"/>
    <s v="UK_A"/>
    <x v="7"/>
    <x v="5"/>
    <s v="GNR_WT_WIND_ON_LS_Y-2020"/>
    <x v="0"/>
    <x v="23"/>
    <n v="4461.65865495873"/>
    <n v="1628505.4090599399"/>
    <n v="5862619.4726157701"/>
  </r>
  <r>
    <x v="0"/>
    <x v="1"/>
    <x v="1"/>
    <x v="10"/>
    <x v="21"/>
    <s v="UK_Offshore"/>
    <x v="7"/>
    <x v="5"/>
    <s v="GNR_WT_WIND_OFF"/>
    <x v="0"/>
    <x v="0"/>
    <n v="2148.8929378575799"/>
    <n v="784345.92231801595"/>
    <n v="2823645.3203448602"/>
  </r>
  <r>
    <x v="0"/>
    <x v="1"/>
    <x v="1"/>
    <x v="10"/>
    <x v="21"/>
    <s v="UK_Offshore"/>
    <x v="7"/>
    <x v="5"/>
    <s v="GNR_WT_WIND_OFF"/>
    <x v="0"/>
    <x v="1"/>
    <n v="2241.3439302198999"/>
    <n v="818090.534530262"/>
    <n v="2945125.9243089398"/>
  </r>
  <r>
    <x v="0"/>
    <x v="1"/>
    <x v="1"/>
    <x v="10"/>
    <x v="21"/>
    <s v="UK_Offshore"/>
    <x v="7"/>
    <x v="5"/>
    <s v="GNR_WT_WIND_OFF"/>
    <x v="0"/>
    <x v="18"/>
    <n v="2340.9065373793201"/>
    <n v="854430.88614345202"/>
    <n v="3075951.1901164302"/>
  </r>
  <r>
    <x v="0"/>
    <x v="1"/>
    <x v="1"/>
    <x v="10"/>
    <x v="21"/>
    <s v="UK_Offshore"/>
    <x v="7"/>
    <x v="5"/>
    <s v="GNR_WT_WIND_OFF"/>
    <x v="0"/>
    <x v="2"/>
    <n v="2446.395490203"/>
    <n v="892934.35392409598"/>
    <n v="3214563.6741267499"/>
  </r>
  <r>
    <x v="0"/>
    <x v="1"/>
    <x v="1"/>
    <x v="10"/>
    <x v="21"/>
    <s v="UK_Offshore"/>
    <x v="7"/>
    <x v="5"/>
    <s v="GNR_WT_WIND_OFF"/>
    <x v="0"/>
    <x v="3"/>
    <n v="2468.91560372716"/>
    <n v="901154.19536041201"/>
    <n v="3244155.1032974799"/>
  </r>
  <r>
    <x v="0"/>
    <x v="1"/>
    <x v="1"/>
    <x v="10"/>
    <x v="21"/>
    <s v="UK_Offshore"/>
    <x v="7"/>
    <x v="5"/>
    <s v="GNR_WT_WIND_OFF"/>
    <x v="0"/>
    <x v="4"/>
    <n v="2446.395490203"/>
    <n v="892934.35392409598"/>
    <n v="3214563.6741267499"/>
  </r>
  <r>
    <x v="0"/>
    <x v="1"/>
    <x v="1"/>
    <x v="10"/>
    <x v="21"/>
    <s v="UK_Offshore"/>
    <x v="7"/>
    <x v="5"/>
    <s v="GNR_WT_WIND_OFF"/>
    <x v="0"/>
    <x v="5"/>
    <n v="2471.2861419928499"/>
    <n v="902019.44182739197"/>
    <n v="3247269.99057861"/>
  </r>
  <r>
    <x v="0"/>
    <x v="1"/>
    <x v="1"/>
    <x v="10"/>
    <x v="21"/>
    <s v="UK_Offshore"/>
    <x v="7"/>
    <x v="5"/>
    <s v="GNR_WT_WIND_OFF"/>
    <x v="0"/>
    <x v="6"/>
    <n v="2538.84648256532"/>
    <n v="926678.96613634296"/>
    <n v="3336044.27809083"/>
  </r>
  <r>
    <x v="0"/>
    <x v="1"/>
    <x v="1"/>
    <x v="10"/>
    <x v="21"/>
    <s v="UK_Offshore"/>
    <x v="7"/>
    <x v="5"/>
    <s v="GNR_WT_WIND_OFF"/>
    <x v="0"/>
    <x v="7"/>
    <n v="2608.77736140349"/>
    <n v="952203.73691227403"/>
    <n v="3427933.4528841898"/>
  </r>
  <r>
    <x v="0"/>
    <x v="1"/>
    <x v="1"/>
    <x v="10"/>
    <x v="21"/>
    <s v="UK_Offshore"/>
    <x v="7"/>
    <x v="5"/>
    <s v="GNR_WT_WIND_OFF"/>
    <x v="0"/>
    <x v="8"/>
    <n v="2503.28840857982"/>
    <n v="913700.26913163404"/>
    <n v="3289320.9688738799"/>
  </r>
  <r>
    <x v="0"/>
    <x v="1"/>
    <x v="1"/>
    <x v="10"/>
    <x v="21"/>
    <s v="UK_Offshore"/>
    <x v="7"/>
    <x v="5"/>
    <s v="GNR_WT_WIND_OFF"/>
    <x v="0"/>
    <x v="9"/>
    <n v="2231.8617771570998"/>
    <n v="814629.54866234004"/>
    <n v="2932666.37518442"/>
  </r>
  <r>
    <x v="0"/>
    <x v="1"/>
    <x v="1"/>
    <x v="10"/>
    <x v="21"/>
    <s v="UK_Offshore"/>
    <x v="7"/>
    <x v="5"/>
    <s v="GNR_WT_WIND_OFF"/>
    <x v="0"/>
    <x v="10"/>
    <n v="2025.62494804115"/>
    <n v="739353.10603501904"/>
    <n v="2661671.1817260701"/>
  </r>
  <r>
    <x v="0"/>
    <x v="1"/>
    <x v="1"/>
    <x v="10"/>
    <x v="21"/>
    <s v="UK_Offshore"/>
    <x v="7"/>
    <x v="5"/>
    <s v="GNR_WT_WIND_OFF"/>
    <x v="0"/>
    <x v="11"/>
    <n v="2000.7342962513001"/>
    <n v="730268.01813172305"/>
    <n v="2628964.8652742002"/>
  </r>
  <r>
    <x v="0"/>
    <x v="1"/>
    <x v="1"/>
    <x v="10"/>
    <x v="21"/>
    <s v="UK_Offshore"/>
    <x v="7"/>
    <x v="5"/>
    <s v="GNR_WT_WIND_OFF"/>
    <x v="0"/>
    <x v="12"/>
    <n v="1850.2051163793101"/>
    <n v="675324.86747844703"/>
    <n v="2431169.5229224102"/>
  </r>
  <r>
    <x v="0"/>
    <x v="1"/>
    <x v="1"/>
    <x v="10"/>
    <x v="21"/>
    <s v="UK_Offshore"/>
    <x v="7"/>
    <x v="5"/>
    <s v="GNR_WT_WIND_OFF"/>
    <x v="0"/>
    <x v="13"/>
    <n v="1386.7648854348399"/>
    <n v="506169.18318371801"/>
    <n v="1822209.0594613799"/>
  </r>
  <r>
    <x v="0"/>
    <x v="1"/>
    <x v="1"/>
    <x v="10"/>
    <x v="21"/>
    <s v="UK_Offshore"/>
    <x v="7"/>
    <x v="5"/>
    <s v="GNR_WT_WIND_OFF"/>
    <x v="0"/>
    <x v="14"/>
    <n v="1034.7399529782999"/>
    <n v="377680.08283708099"/>
    <n v="1359648.2982134901"/>
  </r>
  <r>
    <x v="0"/>
    <x v="1"/>
    <x v="1"/>
    <x v="10"/>
    <x v="21"/>
    <s v="UK_Offshore"/>
    <x v="7"/>
    <x v="5"/>
    <s v="GNR_WT_WIND_OFF"/>
    <x v="0"/>
    <x v="15"/>
    <n v="789.38924247829402"/>
    <n v="288127.07350457698"/>
    <n v="1037257.4646164801"/>
  </r>
  <r>
    <x v="0"/>
    <x v="1"/>
    <x v="1"/>
    <x v="10"/>
    <x v="21"/>
    <s v="UK_Offshore"/>
    <x v="7"/>
    <x v="5"/>
    <s v="GNR_WT_WIND_OFF"/>
    <x v="0"/>
    <x v="16"/>
    <n v="632.93371694205598"/>
    <n v="231020.806683851"/>
    <n v="831674.90406186203"/>
  </r>
  <r>
    <x v="0"/>
    <x v="1"/>
    <x v="1"/>
    <x v="10"/>
    <x v="21"/>
    <s v="UK_Offshore"/>
    <x v="7"/>
    <x v="5"/>
    <s v="GNR_WT_WIND_OFF"/>
    <x v="0"/>
    <x v="17"/>
    <n v="563.00283810388805"/>
    <n v="205496.03590791899"/>
    <n v="739785.72926850896"/>
  </r>
  <r>
    <x v="0"/>
    <x v="1"/>
    <x v="1"/>
    <x v="10"/>
    <x v="21"/>
    <s v="UK_Offshore"/>
    <x v="7"/>
    <x v="5"/>
    <s v="GNR_WT_WIND_OFF"/>
    <x v="0"/>
    <x v="19"/>
    <n v="523.88895671982903"/>
    <n v="191219.46920273799"/>
    <n v="688390.08912985597"/>
  </r>
  <r>
    <x v="0"/>
    <x v="1"/>
    <x v="1"/>
    <x v="10"/>
    <x v="21"/>
    <s v="UK_Offshore"/>
    <x v="7"/>
    <x v="5"/>
    <s v="GNR_WT_WIND_OFF"/>
    <x v="0"/>
    <x v="20"/>
    <n v="554.70595417393599"/>
    <n v="202467.67327348699"/>
    <n v="728883.62378455198"/>
  </r>
  <r>
    <x v="0"/>
    <x v="1"/>
    <x v="1"/>
    <x v="10"/>
    <x v="21"/>
    <s v="UK_Offshore"/>
    <x v="7"/>
    <x v="5"/>
    <s v="GNR_WT_WIND_OFF"/>
    <x v="0"/>
    <x v="21"/>
    <n v="642.41587000485799"/>
    <n v="234481.79255177299"/>
    <n v="844134.45318638301"/>
  </r>
  <r>
    <x v="0"/>
    <x v="1"/>
    <x v="1"/>
    <x v="10"/>
    <x v="21"/>
    <s v="UK_Offshore"/>
    <x v="7"/>
    <x v="5"/>
    <s v="GNR_WT_WIND_OFF"/>
    <x v="0"/>
    <x v="22"/>
    <n v="756.20170675848601"/>
    <n v="276013.62296684802"/>
    <n v="993649.04268065095"/>
  </r>
  <r>
    <x v="0"/>
    <x v="1"/>
    <x v="1"/>
    <x v="10"/>
    <x v="21"/>
    <s v="UK_Offshore"/>
    <x v="7"/>
    <x v="5"/>
    <s v="GNR_WT_WIND_OFF"/>
    <x v="0"/>
    <x v="23"/>
    <n v="798.87139554109694"/>
    <n v="291588.05937249999"/>
    <n v="1049717.0137410001"/>
  </r>
  <r>
    <x v="0"/>
    <x v="2"/>
    <x v="2"/>
    <x v="0"/>
    <x v="0"/>
    <s v="DK1_NoDH"/>
    <x v="5"/>
    <x v="3"/>
    <s v="GNR_PV_SUN"/>
    <x v="0"/>
    <x v="7"/>
    <n v="11.5212205045204"/>
    <n v="4205.2454841499302"/>
    <n v="15138.883742939701"/>
  </r>
  <r>
    <x v="0"/>
    <x v="2"/>
    <x v="2"/>
    <x v="0"/>
    <x v="0"/>
    <s v="DK1_NoDH"/>
    <x v="5"/>
    <x v="3"/>
    <s v="GNR_PV_SUN"/>
    <x v="0"/>
    <x v="8"/>
    <n v="86.734111285312196"/>
    <n v="31657.950619138999"/>
    <n v="113968.6222289"/>
  </r>
  <r>
    <x v="0"/>
    <x v="2"/>
    <x v="2"/>
    <x v="0"/>
    <x v="0"/>
    <s v="DK1_NoDH"/>
    <x v="5"/>
    <x v="3"/>
    <s v="GNR_PV_SUN"/>
    <x v="0"/>
    <x v="9"/>
    <n v="200.35107041450499"/>
    <n v="73128.140701294396"/>
    <n v="263261.30652465997"/>
  </r>
  <r>
    <x v="0"/>
    <x v="2"/>
    <x v="2"/>
    <x v="0"/>
    <x v="0"/>
    <s v="DK1_NoDH"/>
    <x v="5"/>
    <x v="3"/>
    <s v="GNR_PV_SUN"/>
    <x v="0"/>
    <x v="10"/>
    <n v="305.10555223252902"/>
    <n v="111363.526564873"/>
    <n v="400908.69563354301"/>
  </r>
  <r>
    <x v="0"/>
    <x v="2"/>
    <x v="2"/>
    <x v="0"/>
    <x v="0"/>
    <s v="DK1_NoDH"/>
    <x v="5"/>
    <x v="3"/>
    <s v="GNR_PV_SUN"/>
    <x v="0"/>
    <x v="11"/>
    <n v="346.87736195917398"/>
    <n v="126610.23711509899"/>
    <n v="455796.85361435497"/>
  </r>
  <r>
    <x v="0"/>
    <x v="2"/>
    <x v="2"/>
    <x v="0"/>
    <x v="0"/>
    <s v="DK1_NoDH"/>
    <x v="5"/>
    <x v="3"/>
    <s v="GNR_PV_SUN"/>
    <x v="0"/>
    <x v="12"/>
    <n v="301.61964449013499"/>
    <n v="110091.17023889899"/>
    <n v="396328.21286003798"/>
  </r>
  <r>
    <x v="0"/>
    <x v="2"/>
    <x v="2"/>
    <x v="0"/>
    <x v="0"/>
    <s v="DK1_NoDH"/>
    <x v="5"/>
    <x v="3"/>
    <s v="GNR_PV_SUN"/>
    <x v="0"/>
    <x v="13"/>
    <n v="196.27433085136701"/>
    <n v="71640.130760749002"/>
    <n v="257904.47073869701"/>
  </r>
  <r>
    <x v="0"/>
    <x v="2"/>
    <x v="2"/>
    <x v="0"/>
    <x v="0"/>
    <s v="DK1_NoDH"/>
    <x v="5"/>
    <x v="3"/>
    <s v="GNR_PV_SUN"/>
    <x v="0"/>
    <x v="14"/>
    <n v="99.377912249247402"/>
    <n v="36272.937970975298"/>
    <n v="130582.576695511"/>
  </r>
  <r>
    <x v="0"/>
    <x v="2"/>
    <x v="2"/>
    <x v="0"/>
    <x v="0"/>
    <s v="DK1_NoDH"/>
    <x v="5"/>
    <x v="3"/>
    <s v="GNR_PV_SUN"/>
    <x v="0"/>
    <x v="15"/>
    <n v="12.939216874307499"/>
    <n v="4722.8141591222302"/>
    <n v="17002.130972840001"/>
  </r>
  <r>
    <x v="0"/>
    <x v="2"/>
    <x v="2"/>
    <x v="0"/>
    <x v="0"/>
    <s v="DK1_NoDH"/>
    <x v="5"/>
    <x v="3"/>
    <s v="GNR_PV_SUN_LS-4-MW_Y-2030"/>
    <x v="0"/>
    <x v="7"/>
    <n v="96.6001754566459"/>
    <n v="35259.064041675803"/>
    <n v="126932.63055003301"/>
  </r>
  <r>
    <x v="0"/>
    <x v="2"/>
    <x v="2"/>
    <x v="0"/>
    <x v="0"/>
    <s v="DK1_NoDH"/>
    <x v="5"/>
    <x v="3"/>
    <s v="GNR_PV_SUN_LS-4-MW_Y-2030"/>
    <x v="0"/>
    <x v="8"/>
    <n v="727.22593625823697"/>
    <n v="265437.46673425601"/>
    <n v="955574.88024332304"/>
  </r>
  <r>
    <x v="0"/>
    <x v="2"/>
    <x v="2"/>
    <x v="0"/>
    <x v="0"/>
    <s v="DK1_NoDH"/>
    <x v="5"/>
    <x v="3"/>
    <s v="GNR_PV_SUN_LS-4-MW_Y-2030"/>
    <x v="0"/>
    <x v="9"/>
    <n v="1679.85228191531"/>
    <n v="613146.08289909002"/>
    <n v="2207325.89843672"/>
  </r>
  <r>
    <x v="0"/>
    <x v="2"/>
    <x v="2"/>
    <x v="0"/>
    <x v="0"/>
    <s v="DK1_NoDH"/>
    <x v="5"/>
    <x v="3"/>
    <s v="GNR_PV_SUN_LS-4-MW_Y-2030"/>
    <x v="0"/>
    <x v="10"/>
    <n v="2558.1708002980499"/>
    <n v="933732.34210878797"/>
    <n v="3361436.4315916402"/>
  </r>
  <r>
    <x v="0"/>
    <x v="2"/>
    <x v="2"/>
    <x v="0"/>
    <x v="0"/>
    <s v="DK1_NoDH"/>
    <x v="5"/>
    <x v="3"/>
    <s v="GNR_PV_SUN_LS-4-MW_Y-2030"/>
    <x v="0"/>
    <x v="11"/>
    <n v="2908.4083595177799"/>
    <n v="1061569.05122399"/>
    <n v="3821648.5844063698"/>
  </r>
  <r>
    <x v="0"/>
    <x v="2"/>
    <x v="2"/>
    <x v="0"/>
    <x v="0"/>
    <s v="DK1_NoDH"/>
    <x v="5"/>
    <x v="3"/>
    <s v="GNR_PV_SUN_LS-4-MW_Y-2030"/>
    <x v="0"/>
    <x v="12"/>
    <n v="2528.9430549034701"/>
    <n v="923064.21503976802"/>
    <n v="3323031.1741431602"/>
  </r>
  <r>
    <x v="0"/>
    <x v="2"/>
    <x v="2"/>
    <x v="0"/>
    <x v="0"/>
    <s v="DK1_NoDH"/>
    <x v="5"/>
    <x v="3"/>
    <s v="GNR_PV_SUN_LS-4-MW_Y-2030"/>
    <x v="0"/>
    <x v="13"/>
    <n v="1645.6706813691201"/>
    <n v="600669.79869972798"/>
    <n v="2162411.2753190198"/>
  </r>
  <r>
    <x v="0"/>
    <x v="2"/>
    <x v="2"/>
    <x v="0"/>
    <x v="0"/>
    <s v="DK1_NoDH"/>
    <x v="5"/>
    <x v="3"/>
    <s v="GNR_PV_SUN_LS-4-MW_Y-2030"/>
    <x v="0"/>
    <x v="14"/>
    <n v="833.23843650296601"/>
    <n v="304132.029323583"/>
    <n v="1094875.3055648999"/>
  </r>
  <r>
    <x v="0"/>
    <x v="2"/>
    <x v="2"/>
    <x v="0"/>
    <x v="0"/>
    <s v="DK1_NoDH"/>
    <x v="5"/>
    <x v="3"/>
    <s v="GNR_PV_SUN_LS-4-MW_Y-2030"/>
    <x v="0"/>
    <x v="15"/>
    <n v="108.489427820541"/>
    <n v="39598.641154497403"/>
    <n v="142555.10815619101"/>
  </r>
  <r>
    <x v="0"/>
    <x v="2"/>
    <x v="2"/>
    <x v="0"/>
    <x v="0"/>
    <s v="DK1_NoDH"/>
    <x v="6"/>
    <x v="4"/>
    <s v="GNR_ROR_WTR"/>
    <x v="0"/>
    <x v="0"/>
    <n v="5.50212401906593E-3"/>
    <n v="2.0082752669590702"/>
    <n v="7.2297909610526396"/>
  </r>
  <r>
    <x v="0"/>
    <x v="2"/>
    <x v="2"/>
    <x v="0"/>
    <x v="0"/>
    <s v="DK1_NoDH"/>
    <x v="6"/>
    <x v="4"/>
    <s v="GNR_ROR_WTR"/>
    <x v="0"/>
    <x v="1"/>
    <n v="5.50212401906593E-3"/>
    <n v="2.0082752669590702"/>
    <n v="7.2297909610526396"/>
  </r>
  <r>
    <x v="0"/>
    <x v="2"/>
    <x v="2"/>
    <x v="0"/>
    <x v="0"/>
    <s v="DK1_NoDH"/>
    <x v="6"/>
    <x v="4"/>
    <s v="GNR_ROR_WTR"/>
    <x v="0"/>
    <x v="18"/>
    <n v="5.50212401906593E-3"/>
    <n v="2.0082752669590702"/>
    <n v="7.2297909610526396"/>
  </r>
  <r>
    <x v="0"/>
    <x v="2"/>
    <x v="2"/>
    <x v="0"/>
    <x v="0"/>
    <s v="DK1_NoDH"/>
    <x v="6"/>
    <x v="4"/>
    <s v="GNR_ROR_WTR"/>
    <x v="0"/>
    <x v="2"/>
    <n v="5.50212401906593E-3"/>
    <n v="2.0082752669590702"/>
    <n v="7.2297909610526396"/>
  </r>
  <r>
    <x v="0"/>
    <x v="2"/>
    <x v="2"/>
    <x v="0"/>
    <x v="0"/>
    <s v="DK1_NoDH"/>
    <x v="6"/>
    <x v="4"/>
    <s v="GNR_ROR_WTR"/>
    <x v="0"/>
    <x v="3"/>
    <n v="5.50212401906593E-3"/>
    <n v="2.0082752669590702"/>
    <n v="7.2297909610526396"/>
  </r>
  <r>
    <x v="0"/>
    <x v="2"/>
    <x v="2"/>
    <x v="0"/>
    <x v="0"/>
    <s v="DK1_NoDH"/>
    <x v="6"/>
    <x v="4"/>
    <s v="GNR_ROR_WTR"/>
    <x v="0"/>
    <x v="4"/>
    <n v="5.50212401906593E-3"/>
    <n v="2.0082752669590702"/>
    <n v="7.2297909610526396"/>
  </r>
  <r>
    <x v="0"/>
    <x v="2"/>
    <x v="2"/>
    <x v="0"/>
    <x v="0"/>
    <s v="DK1_NoDH"/>
    <x v="6"/>
    <x v="4"/>
    <s v="GNR_ROR_WTR"/>
    <x v="0"/>
    <x v="5"/>
    <n v="5.50212401906593E-3"/>
    <n v="2.0082752669590702"/>
    <n v="7.2297909610526396"/>
  </r>
  <r>
    <x v="0"/>
    <x v="2"/>
    <x v="2"/>
    <x v="0"/>
    <x v="0"/>
    <s v="DK1_NoDH"/>
    <x v="6"/>
    <x v="4"/>
    <s v="GNR_ROR_WTR"/>
    <x v="0"/>
    <x v="6"/>
    <n v="5.50212401906593E-3"/>
    <n v="2.0082752669590702"/>
    <n v="7.2297909610526396"/>
  </r>
  <r>
    <x v="0"/>
    <x v="2"/>
    <x v="2"/>
    <x v="0"/>
    <x v="0"/>
    <s v="DK1_NoDH"/>
    <x v="6"/>
    <x v="4"/>
    <s v="GNR_ROR_WTR"/>
    <x v="0"/>
    <x v="7"/>
    <n v="5.50212401906593E-3"/>
    <n v="2.0082752669590702"/>
    <n v="7.2297909610526396"/>
  </r>
  <r>
    <x v="0"/>
    <x v="2"/>
    <x v="2"/>
    <x v="0"/>
    <x v="0"/>
    <s v="DK1_NoDH"/>
    <x v="6"/>
    <x v="4"/>
    <s v="GNR_ROR_WTR"/>
    <x v="0"/>
    <x v="8"/>
    <n v="5.50212401906593E-3"/>
    <n v="2.0082752669590702"/>
    <n v="7.2297909610526396"/>
  </r>
  <r>
    <x v="0"/>
    <x v="2"/>
    <x v="2"/>
    <x v="0"/>
    <x v="0"/>
    <s v="DK1_NoDH"/>
    <x v="6"/>
    <x v="4"/>
    <s v="GNR_ROR_WTR"/>
    <x v="0"/>
    <x v="9"/>
    <n v="5.50212401906593E-3"/>
    <n v="2.0082752669590702"/>
    <n v="7.2297909610526396"/>
  </r>
  <r>
    <x v="0"/>
    <x v="2"/>
    <x v="2"/>
    <x v="0"/>
    <x v="0"/>
    <s v="DK1_NoDH"/>
    <x v="6"/>
    <x v="4"/>
    <s v="GNR_ROR_WTR"/>
    <x v="0"/>
    <x v="10"/>
    <n v="5.50212401906593E-3"/>
    <n v="2.0082752669590702"/>
    <n v="7.2297909610526396"/>
  </r>
  <r>
    <x v="0"/>
    <x v="2"/>
    <x v="2"/>
    <x v="0"/>
    <x v="0"/>
    <s v="DK1_NoDH"/>
    <x v="6"/>
    <x v="4"/>
    <s v="GNR_ROR_WTR"/>
    <x v="0"/>
    <x v="11"/>
    <n v="5.50212401906593E-3"/>
    <n v="2.0082752669590702"/>
    <n v="7.2297909610526396"/>
  </r>
  <r>
    <x v="0"/>
    <x v="2"/>
    <x v="2"/>
    <x v="0"/>
    <x v="0"/>
    <s v="DK1_NoDH"/>
    <x v="6"/>
    <x v="4"/>
    <s v="GNR_ROR_WTR"/>
    <x v="0"/>
    <x v="12"/>
    <n v="5.50212401906593E-3"/>
    <n v="2.0082752669590702"/>
    <n v="7.2297909610526396"/>
  </r>
  <r>
    <x v="0"/>
    <x v="2"/>
    <x v="2"/>
    <x v="0"/>
    <x v="0"/>
    <s v="DK1_NoDH"/>
    <x v="6"/>
    <x v="4"/>
    <s v="GNR_ROR_WTR"/>
    <x v="0"/>
    <x v="13"/>
    <n v="5.50212401906593E-3"/>
    <n v="2.0082752669590702"/>
    <n v="7.2297909610526396"/>
  </r>
  <r>
    <x v="0"/>
    <x v="2"/>
    <x v="2"/>
    <x v="0"/>
    <x v="0"/>
    <s v="DK1_NoDH"/>
    <x v="6"/>
    <x v="4"/>
    <s v="GNR_ROR_WTR"/>
    <x v="0"/>
    <x v="14"/>
    <n v="5.50212401906593E-3"/>
    <n v="2.0082752669590702"/>
    <n v="7.2297909610526396"/>
  </r>
  <r>
    <x v="0"/>
    <x v="2"/>
    <x v="2"/>
    <x v="0"/>
    <x v="0"/>
    <s v="DK1_NoDH"/>
    <x v="6"/>
    <x v="4"/>
    <s v="GNR_ROR_WTR"/>
    <x v="0"/>
    <x v="15"/>
    <n v="5.50212401906593E-3"/>
    <n v="2.0082752669590702"/>
    <n v="7.2297909610526396"/>
  </r>
  <r>
    <x v="0"/>
    <x v="2"/>
    <x v="2"/>
    <x v="0"/>
    <x v="0"/>
    <s v="DK1_NoDH"/>
    <x v="6"/>
    <x v="4"/>
    <s v="GNR_ROR_WTR"/>
    <x v="0"/>
    <x v="16"/>
    <n v="5.50212401906593E-3"/>
    <n v="2.0082752669590702"/>
    <n v="7.2297909610526396"/>
  </r>
  <r>
    <x v="0"/>
    <x v="2"/>
    <x v="2"/>
    <x v="0"/>
    <x v="0"/>
    <s v="DK1_NoDH"/>
    <x v="6"/>
    <x v="4"/>
    <s v="GNR_ROR_WTR"/>
    <x v="0"/>
    <x v="17"/>
    <n v="5.50212401906593E-3"/>
    <n v="2.0082752669590702"/>
    <n v="7.2297909610526396"/>
  </r>
  <r>
    <x v="0"/>
    <x v="2"/>
    <x v="2"/>
    <x v="0"/>
    <x v="0"/>
    <s v="DK1_NoDH"/>
    <x v="6"/>
    <x v="4"/>
    <s v="GNR_ROR_WTR"/>
    <x v="0"/>
    <x v="19"/>
    <n v="5.50212401906593E-3"/>
    <n v="2.0082752669590702"/>
    <n v="7.2297909610526396"/>
  </r>
  <r>
    <x v="0"/>
    <x v="2"/>
    <x v="2"/>
    <x v="0"/>
    <x v="0"/>
    <s v="DK1_NoDH"/>
    <x v="6"/>
    <x v="4"/>
    <s v="GNR_ROR_WTR"/>
    <x v="0"/>
    <x v="20"/>
    <n v="5.50212401906593E-3"/>
    <n v="2.0082752669590702"/>
    <n v="7.2297909610526396"/>
  </r>
  <r>
    <x v="0"/>
    <x v="2"/>
    <x v="2"/>
    <x v="0"/>
    <x v="0"/>
    <s v="DK1_NoDH"/>
    <x v="6"/>
    <x v="4"/>
    <s v="GNR_ROR_WTR"/>
    <x v="0"/>
    <x v="21"/>
    <n v="5.50212401906593E-3"/>
    <n v="2.0082752669590702"/>
    <n v="7.2297909610526396"/>
  </r>
  <r>
    <x v="0"/>
    <x v="2"/>
    <x v="2"/>
    <x v="0"/>
    <x v="0"/>
    <s v="DK1_NoDH"/>
    <x v="6"/>
    <x v="4"/>
    <s v="GNR_ROR_WTR"/>
    <x v="0"/>
    <x v="22"/>
    <n v="5.50212401906593E-3"/>
    <n v="2.0082752669590702"/>
    <n v="7.2297909610526396"/>
  </r>
  <r>
    <x v="0"/>
    <x v="2"/>
    <x v="2"/>
    <x v="0"/>
    <x v="0"/>
    <s v="DK1_NoDH"/>
    <x v="6"/>
    <x v="4"/>
    <s v="GNR_ROR_WTR"/>
    <x v="0"/>
    <x v="23"/>
    <n v="5.50212401906593E-3"/>
    <n v="2.0082752669590702"/>
    <n v="7.2297909610526396"/>
  </r>
  <r>
    <x v="0"/>
    <x v="2"/>
    <x v="2"/>
    <x v="0"/>
    <x v="0"/>
    <s v="DK1_NoDH"/>
    <x v="7"/>
    <x v="5"/>
    <s v="GNR_WT_WIND_ONS"/>
    <x v="0"/>
    <x v="0"/>
    <n v="13.882555403704901"/>
    <n v="5067.1327223522803"/>
    <n v="18241.677800468198"/>
  </r>
  <r>
    <x v="0"/>
    <x v="2"/>
    <x v="2"/>
    <x v="0"/>
    <x v="0"/>
    <s v="DK1_NoDH"/>
    <x v="7"/>
    <x v="5"/>
    <s v="GNR_WT_WIND_ONS"/>
    <x v="0"/>
    <x v="1"/>
    <n v="12.6753766729479"/>
    <n v="4626.5124856259999"/>
    <n v="16655.4449482536"/>
  </r>
  <r>
    <x v="0"/>
    <x v="2"/>
    <x v="2"/>
    <x v="0"/>
    <x v="0"/>
    <s v="DK1_NoDH"/>
    <x v="7"/>
    <x v="5"/>
    <s v="GNR_WT_WIND_ONS"/>
    <x v="0"/>
    <x v="18"/>
    <n v="6.0358936537847301"/>
    <n v="2203.1011836314301"/>
    <n v="7931.1642610731396"/>
  </r>
  <r>
    <x v="0"/>
    <x v="2"/>
    <x v="2"/>
    <x v="0"/>
    <x v="0"/>
    <s v="DK1_NoDH"/>
    <x v="7"/>
    <x v="5"/>
    <s v="GNR_WT_WIND_ONS"/>
    <x v="0"/>
    <x v="2"/>
    <n v="6.6394830191632002"/>
    <n v="2423.4113019945698"/>
    <n v="8724.2806871804496"/>
  </r>
  <r>
    <x v="0"/>
    <x v="2"/>
    <x v="2"/>
    <x v="0"/>
    <x v="0"/>
    <s v="DK1_NoDH"/>
    <x v="7"/>
    <x v="5"/>
    <s v="GNR_WT_WIND_ONS"/>
    <x v="0"/>
    <x v="3"/>
    <n v="12.071787307569499"/>
    <n v="4406.2023672628502"/>
    <n v="15862.328522146299"/>
  </r>
  <r>
    <x v="0"/>
    <x v="2"/>
    <x v="2"/>
    <x v="0"/>
    <x v="0"/>
    <s v="DK1_NoDH"/>
    <x v="7"/>
    <x v="5"/>
    <s v="GNR_WT_WIND_ONS"/>
    <x v="0"/>
    <x v="4"/>
    <n v="21.1256277882466"/>
    <n v="7710.8541427099899"/>
    <n v="27759.074913756001"/>
  </r>
  <r>
    <x v="0"/>
    <x v="2"/>
    <x v="2"/>
    <x v="0"/>
    <x v="0"/>
    <s v="DK1_NoDH"/>
    <x v="7"/>
    <x v="5"/>
    <s v="GNR_WT_WIND_ONS"/>
    <x v="0"/>
    <x v="5"/>
    <n v="42.854844941871598"/>
    <n v="15642.0184037831"/>
    <n v="56311.266253619302"/>
  </r>
  <r>
    <x v="0"/>
    <x v="2"/>
    <x v="2"/>
    <x v="0"/>
    <x v="0"/>
    <s v="DK1_NoDH"/>
    <x v="7"/>
    <x v="5"/>
    <s v="GNR_WT_WIND_ONS"/>
    <x v="0"/>
    <x v="6"/>
    <n v="89.331226076014005"/>
    <n v="32605.897517745099"/>
    <n v="117381.23106388201"/>
  </r>
  <r>
    <x v="0"/>
    <x v="2"/>
    <x v="2"/>
    <x v="0"/>
    <x v="0"/>
    <s v="DK1_NoDH"/>
    <x v="7"/>
    <x v="5"/>
    <s v="GNR_WT_WIND_ONS"/>
    <x v="0"/>
    <x v="7"/>
    <n v="147.87939451772601"/>
    <n v="53975.978998969898"/>
    <n v="194313.52439629199"/>
  </r>
  <r>
    <x v="0"/>
    <x v="2"/>
    <x v="2"/>
    <x v="0"/>
    <x v="0"/>
    <s v="DK1_NoDH"/>
    <x v="7"/>
    <x v="5"/>
    <s v="GNR_WT_WIND_ONS"/>
    <x v="0"/>
    <x v="8"/>
    <n v="218.499350267007"/>
    <n v="79752.262847457605"/>
    <n v="287108.14625084703"/>
  </r>
  <r>
    <x v="0"/>
    <x v="2"/>
    <x v="2"/>
    <x v="0"/>
    <x v="0"/>
    <s v="DK1_NoDH"/>
    <x v="7"/>
    <x v="5"/>
    <s v="GNR_WT_WIND_ONS"/>
    <x v="0"/>
    <x v="9"/>
    <n v="290.32648474704501"/>
    <n v="105969.166932672"/>
    <n v="381489.000957618"/>
  </r>
  <r>
    <x v="0"/>
    <x v="2"/>
    <x v="2"/>
    <x v="0"/>
    <x v="0"/>
    <s v="DK1_NoDH"/>
    <x v="7"/>
    <x v="5"/>
    <s v="GNR_WT_WIND_ONS"/>
    <x v="0"/>
    <x v="10"/>
    <n v="355.51413620792101"/>
    <n v="129762.659715891"/>
    <n v="467145.57497720799"/>
  </r>
  <r>
    <x v="0"/>
    <x v="2"/>
    <x v="2"/>
    <x v="0"/>
    <x v="0"/>
    <s v="DK1_NoDH"/>
    <x v="7"/>
    <x v="5"/>
    <s v="GNR_WT_WIND_ONS"/>
    <x v="0"/>
    <x v="11"/>
    <n v="393.540266226764"/>
    <n v="143642.197172769"/>
    <n v="517111.909821968"/>
  </r>
  <r>
    <x v="0"/>
    <x v="2"/>
    <x v="2"/>
    <x v="0"/>
    <x v="0"/>
    <s v="DK1_NoDH"/>
    <x v="7"/>
    <x v="5"/>
    <s v="GNR_WT_WIND_ONS"/>
    <x v="0"/>
    <x v="12"/>
    <n v="465.36740070680298"/>
    <n v="169859.10125798301"/>
    <n v="611492.76452873903"/>
  </r>
  <r>
    <x v="0"/>
    <x v="2"/>
    <x v="2"/>
    <x v="0"/>
    <x v="0"/>
    <s v="DK1_NoDH"/>
    <x v="7"/>
    <x v="5"/>
    <s v="GNR_WT_WIND_ONS"/>
    <x v="0"/>
    <x v="13"/>
    <n v="529.34787343692096"/>
    <n v="193211.973804476"/>
    <n v="695563.10569611401"/>
  </r>
  <r>
    <x v="0"/>
    <x v="2"/>
    <x v="2"/>
    <x v="0"/>
    <x v="0"/>
    <s v="DK1_NoDH"/>
    <x v="7"/>
    <x v="5"/>
    <s v="GNR_WT_WIND_ONS"/>
    <x v="0"/>
    <x v="14"/>
    <n v="633.76883364739695"/>
    <n v="231325.6242813"/>
    <n v="832772.24741267902"/>
  </r>
  <r>
    <x v="0"/>
    <x v="2"/>
    <x v="2"/>
    <x v="0"/>
    <x v="0"/>
    <s v="DK1_NoDH"/>
    <x v="7"/>
    <x v="5"/>
    <s v="GNR_WT_WIND_ONS"/>
    <x v="0"/>
    <x v="15"/>
    <n v="788.28771118428597"/>
    <n v="287725.014582264"/>
    <n v="1035810.05249615"/>
  </r>
  <r>
    <x v="0"/>
    <x v="2"/>
    <x v="2"/>
    <x v="0"/>
    <x v="0"/>
    <s v="DK1_NoDH"/>
    <x v="7"/>
    <x v="5"/>
    <s v="GNR_WT_WIND_ONS"/>
    <x v="0"/>
    <x v="16"/>
    <n v="993.50809541296599"/>
    <n v="362630.45482573297"/>
    <n v="1305469.63737264"/>
  </r>
  <r>
    <x v="0"/>
    <x v="2"/>
    <x v="2"/>
    <x v="0"/>
    <x v="0"/>
    <s v="DK1_NoDH"/>
    <x v="7"/>
    <x v="5"/>
    <s v="GNR_WT_WIND_ONS"/>
    <x v="0"/>
    <x v="17"/>
    <n v="1227.7007691798101"/>
    <n v="448110.780750632"/>
    <n v="1613198.8107022799"/>
  </r>
  <r>
    <x v="0"/>
    <x v="2"/>
    <x v="2"/>
    <x v="0"/>
    <x v="0"/>
    <s v="DK1_NoDH"/>
    <x v="7"/>
    <x v="5"/>
    <s v="GNR_WT_WIND_ONS"/>
    <x v="0"/>
    <x v="19"/>
    <n v="1323.06788890961"/>
    <n v="482919.77945200901"/>
    <n v="1738511.20602723"/>
  </r>
  <r>
    <x v="0"/>
    <x v="2"/>
    <x v="2"/>
    <x v="0"/>
    <x v="0"/>
    <s v="DK1_NoDH"/>
    <x v="7"/>
    <x v="5"/>
    <s v="GNR_WT_WIND_ONS"/>
    <x v="0"/>
    <x v="20"/>
    <n v="1306.16738667902"/>
    <n v="476751.096137841"/>
    <n v="1716303.9460962301"/>
  </r>
  <r>
    <x v="0"/>
    <x v="2"/>
    <x v="2"/>
    <x v="0"/>
    <x v="0"/>
    <s v="DK1_NoDH"/>
    <x v="7"/>
    <x v="5"/>
    <s v="GNR_WT_WIND_ONS"/>
    <x v="0"/>
    <x v="21"/>
    <n v="1313.41045906356"/>
    <n v="479394.817558198"/>
    <n v="1725821.34320951"/>
  </r>
  <r>
    <x v="0"/>
    <x v="2"/>
    <x v="2"/>
    <x v="0"/>
    <x v="0"/>
    <s v="DK1_NoDH"/>
    <x v="7"/>
    <x v="5"/>
    <s v="GNR_WT_WIND_ONS"/>
    <x v="0"/>
    <x v="22"/>
    <n v="1346.0042847939901"/>
    <n v="491291.56394980801"/>
    <n v="1768649.6302193101"/>
  </r>
  <r>
    <x v="0"/>
    <x v="2"/>
    <x v="2"/>
    <x v="0"/>
    <x v="0"/>
    <s v="DK1_NoDH"/>
    <x v="7"/>
    <x v="5"/>
    <s v="GNR_WT_WIND_ONS"/>
    <x v="0"/>
    <x v="23"/>
    <n v="1354.4545359092899"/>
    <n v="494375.90560689202"/>
    <n v="1779753.26018481"/>
  </r>
  <r>
    <x v="0"/>
    <x v="2"/>
    <x v="2"/>
    <x v="0"/>
    <x v="0"/>
    <s v="DK1_NoDH"/>
    <x v="7"/>
    <x v="5"/>
    <s v="GNR_WT_WIND_ON_LS_Y-2030"/>
    <x v="0"/>
    <x v="0"/>
    <n v="34.121013205535903"/>
    <n v="12454.169820020599"/>
    <n v="44835.011352074202"/>
  </r>
  <r>
    <x v="0"/>
    <x v="2"/>
    <x v="2"/>
    <x v="0"/>
    <x v="0"/>
    <s v="DK1_NoDH"/>
    <x v="7"/>
    <x v="5"/>
    <s v="GNR_WT_WIND_ON_LS_Y-2030"/>
    <x v="0"/>
    <x v="1"/>
    <n v="31.1539685789676"/>
    <n v="11371.1985313232"/>
    <n v="40936.3147127634"/>
  </r>
  <r>
    <x v="0"/>
    <x v="2"/>
    <x v="2"/>
    <x v="0"/>
    <x v="0"/>
    <s v="DK1_NoDH"/>
    <x v="7"/>
    <x v="5"/>
    <s v="GNR_WT_WIND_ON_LS_Y-2030"/>
    <x v="0"/>
    <x v="18"/>
    <n v="14.835223132841699"/>
    <n v="5414.8564434872196"/>
    <n v="19493.483196554"/>
  </r>
  <r>
    <x v="0"/>
    <x v="2"/>
    <x v="2"/>
    <x v="0"/>
    <x v="0"/>
    <s v="DK1_NoDH"/>
    <x v="7"/>
    <x v="5"/>
    <s v="GNR_WT_WIND_ON_LS_Y-2030"/>
    <x v="0"/>
    <x v="2"/>
    <n v="16.318745446125899"/>
    <n v="5956.3420878359402"/>
    <n v="21442.8315162094"/>
  </r>
  <r>
    <x v="0"/>
    <x v="2"/>
    <x v="2"/>
    <x v="0"/>
    <x v="0"/>
    <s v="DK1_NoDH"/>
    <x v="7"/>
    <x v="5"/>
    <s v="GNR_WT_WIND_ON_LS_Y-2030"/>
    <x v="0"/>
    <x v="3"/>
    <n v="29.670446265683399"/>
    <n v="10829.712886974399"/>
    <n v="38986.966393107999"/>
  </r>
  <r>
    <x v="0"/>
    <x v="2"/>
    <x v="2"/>
    <x v="0"/>
    <x v="0"/>
    <s v="DK1_NoDH"/>
    <x v="7"/>
    <x v="5"/>
    <s v="GNR_WT_WIND_ON_LS_Y-2030"/>
    <x v="0"/>
    <x v="4"/>
    <n v="51.923280964945903"/>
    <n v="18951.997552205299"/>
    <n v="68227.191187938995"/>
  </r>
  <r>
    <x v="0"/>
    <x v="2"/>
    <x v="2"/>
    <x v="0"/>
    <x v="0"/>
    <s v="DK1_NoDH"/>
    <x v="7"/>
    <x v="5"/>
    <s v="GNR_WT_WIND_ON_LS_Y-2030"/>
    <x v="0"/>
    <x v="5"/>
    <n v="105.330084243176"/>
    <n v="38445.480748759197"/>
    <n v="138403.73069553301"/>
  </r>
  <r>
    <x v="0"/>
    <x v="2"/>
    <x v="2"/>
    <x v="0"/>
    <x v="0"/>
    <s v="DK1_NoDH"/>
    <x v="7"/>
    <x v="5"/>
    <s v="GNR_WT_WIND_ON_LS_Y-2030"/>
    <x v="0"/>
    <x v="6"/>
    <n v="219.56130236605699"/>
    <n v="80139.875363610801"/>
    <n v="288503.55130899901"/>
  </r>
  <r>
    <x v="0"/>
    <x v="2"/>
    <x v="2"/>
    <x v="0"/>
    <x v="0"/>
    <s v="DK1_NoDH"/>
    <x v="7"/>
    <x v="5"/>
    <s v="GNR_WT_WIND_ON_LS_Y-2030"/>
    <x v="0"/>
    <x v="7"/>
    <n v="363.46296675462099"/>
    <n v="132663.98286543699"/>
    <n v="477590.338315573"/>
  </r>
  <r>
    <x v="0"/>
    <x v="2"/>
    <x v="2"/>
    <x v="0"/>
    <x v="0"/>
    <s v="DK1_NoDH"/>
    <x v="7"/>
    <x v="5"/>
    <s v="GNR_WT_WIND_ON_LS_Y-2030"/>
    <x v="0"/>
    <x v="8"/>
    <n v="537.03507740886903"/>
    <n v="196017.80325423699"/>
    <n v="705664.09171525401"/>
  </r>
  <r>
    <x v="0"/>
    <x v="2"/>
    <x v="2"/>
    <x v="0"/>
    <x v="0"/>
    <s v="DK1_NoDH"/>
    <x v="7"/>
    <x v="5"/>
    <s v="GNR_WT_WIND_ON_LS_Y-2030"/>
    <x v="0"/>
    <x v="9"/>
    <n v="713.574232689685"/>
    <n v="260454.59493173499"/>
    <n v="937636.54175424704"/>
  </r>
  <r>
    <x v="0"/>
    <x v="2"/>
    <x v="2"/>
    <x v="0"/>
    <x v="0"/>
    <s v="DK1_NoDH"/>
    <x v="7"/>
    <x v="5"/>
    <s v="GNR_WT_WIND_ON_LS_Y-2030"/>
    <x v="0"/>
    <x v="10"/>
    <n v="873.79464252437594"/>
    <n v="318935.04452139698"/>
    <n v="1148166.16027703"/>
  </r>
  <r>
    <x v="0"/>
    <x v="2"/>
    <x v="2"/>
    <x v="0"/>
    <x v="0"/>
    <s v="DK1_NoDH"/>
    <x v="7"/>
    <x v="5"/>
    <s v="GNR_WT_WIND_ON_LS_Y-2030"/>
    <x v="0"/>
    <x v="11"/>
    <n v="967.256548261278"/>
    <n v="353048.64011536702"/>
    <n v="1270975.1044153201"/>
  </r>
  <r>
    <x v="0"/>
    <x v="2"/>
    <x v="2"/>
    <x v="0"/>
    <x v="0"/>
    <s v="DK1_NoDH"/>
    <x v="7"/>
    <x v="5"/>
    <s v="GNR_WT_WIND_ON_LS_Y-2030"/>
    <x v="0"/>
    <x v="12"/>
    <n v="1143.79570354209"/>
    <n v="417485.43179286399"/>
    <n v="1502947.5544543101"/>
  </r>
  <r>
    <x v="0"/>
    <x v="2"/>
    <x v="2"/>
    <x v="0"/>
    <x v="0"/>
    <s v="DK1_NoDH"/>
    <x v="7"/>
    <x v="5"/>
    <s v="GNR_WT_WIND_ON_LS_Y-2030"/>
    <x v="0"/>
    <x v="13"/>
    <n v="1301.0490687502199"/>
    <n v="474882.91009382898"/>
    <n v="1709578.47633778"/>
  </r>
  <r>
    <x v="0"/>
    <x v="2"/>
    <x v="2"/>
    <x v="0"/>
    <x v="0"/>
    <s v="DK1_NoDH"/>
    <x v="7"/>
    <x v="5"/>
    <s v="GNR_WT_WIND_ON_LS_Y-2030"/>
    <x v="0"/>
    <x v="14"/>
    <n v="1557.6984289483801"/>
    <n v="568559.92656615796"/>
    <n v="2046815.73563817"/>
  </r>
  <r>
    <x v="0"/>
    <x v="2"/>
    <x v="2"/>
    <x v="0"/>
    <x v="0"/>
    <s v="DK1_NoDH"/>
    <x v="7"/>
    <x v="5"/>
    <s v="GNR_WT_WIND_ON_LS_Y-2030"/>
    <x v="0"/>
    <x v="15"/>
    <n v="1937.4801411491201"/>
    <n v="707180.25151943101"/>
    <n v="2545848.9054699498"/>
  </r>
  <r>
    <x v="0"/>
    <x v="2"/>
    <x v="2"/>
    <x v="0"/>
    <x v="0"/>
    <s v="DK1_NoDH"/>
    <x v="7"/>
    <x v="5"/>
    <s v="GNR_WT_WIND_ON_LS_Y-2030"/>
    <x v="0"/>
    <x v="16"/>
    <n v="2441.8777276657402"/>
    <n v="891285.37059799605"/>
    <n v="3208627.3341527898"/>
  </r>
  <r>
    <x v="0"/>
    <x v="2"/>
    <x v="2"/>
    <x v="0"/>
    <x v="0"/>
    <s v="DK1_NoDH"/>
    <x v="7"/>
    <x v="5"/>
    <s v="GNR_WT_WIND_ON_LS_Y-2030"/>
    <x v="0"/>
    <x v="17"/>
    <n v="3017.4843852200001"/>
    <n v="1101381.8006053001"/>
    <n v="3964974.4821790801"/>
  </r>
  <r>
    <x v="0"/>
    <x v="2"/>
    <x v="2"/>
    <x v="0"/>
    <x v="0"/>
    <s v="DK1_NoDH"/>
    <x v="7"/>
    <x v="5"/>
    <s v="GNR_WT_WIND_ON_LS_Y-2030"/>
    <x v="0"/>
    <x v="19"/>
    <n v="3251.8809107188999"/>
    <n v="1186936.5324124"/>
    <n v="4272971.51668463"/>
  </r>
  <r>
    <x v="0"/>
    <x v="2"/>
    <x v="2"/>
    <x v="0"/>
    <x v="0"/>
    <s v="DK1_NoDH"/>
    <x v="7"/>
    <x v="5"/>
    <s v="GNR_WT_WIND_ON_LS_Y-2030"/>
    <x v="0"/>
    <x v="20"/>
    <n v="3210.3422859469401"/>
    <n v="1171774.93437063"/>
    <n v="4218389.7637342801"/>
  </r>
  <r>
    <x v="0"/>
    <x v="2"/>
    <x v="2"/>
    <x v="0"/>
    <x v="0"/>
    <s v="DK1_NoDH"/>
    <x v="7"/>
    <x v="5"/>
    <s v="GNR_WT_WIND_ON_LS_Y-2030"/>
    <x v="0"/>
    <x v="21"/>
    <n v="3228.1445537063501"/>
    <n v="1178272.76210282"/>
    <n v="4241781.9435701501"/>
  </r>
  <r>
    <x v="0"/>
    <x v="2"/>
    <x v="2"/>
    <x v="0"/>
    <x v="0"/>
    <s v="DK1_NoDH"/>
    <x v="7"/>
    <x v="5"/>
    <s v="GNR_WT_WIND_ON_LS_Y-2030"/>
    <x v="0"/>
    <x v="22"/>
    <n v="3308.2547586237001"/>
    <n v="1207512.9868976499"/>
    <n v="4347046.7528315401"/>
  </r>
  <r>
    <x v="0"/>
    <x v="2"/>
    <x v="2"/>
    <x v="0"/>
    <x v="0"/>
    <s v="DK1_NoDH"/>
    <x v="7"/>
    <x v="5"/>
    <s v="GNR_WT_WIND_ON_LS_Y-2030"/>
    <x v="0"/>
    <x v="23"/>
    <n v="3329.02407100968"/>
    <n v="1215093.7859185301"/>
    <n v="4374337.6293067103"/>
  </r>
  <r>
    <x v="0"/>
    <x v="2"/>
    <x v="2"/>
    <x v="0"/>
    <x v="0"/>
    <s v="DK1_Offshore"/>
    <x v="7"/>
    <x v="5"/>
    <s v="GNR_WT_WIND_OFF"/>
    <x v="0"/>
    <x v="0"/>
    <n v="18.3664290817851"/>
    <n v="6703.7466148515796"/>
    <n v="24133.487813465701"/>
  </r>
  <r>
    <x v="0"/>
    <x v="2"/>
    <x v="2"/>
    <x v="0"/>
    <x v="0"/>
    <s v="DK1_Offshore"/>
    <x v="7"/>
    <x v="5"/>
    <s v="GNR_WT_WIND_OFF"/>
    <x v="0"/>
    <x v="1"/>
    <n v="16.769348292064699"/>
    <n v="6120.8121266036196"/>
    <n v="22034.923655773"/>
  </r>
  <r>
    <x v="0"/>
    <x v="2"/>
    <x v="2"/>
    <x v="0"/>
    <x v="0"/>
    <s v="DK1_Offshore"/>
    <x v="7"/>
    <x v="5"/>
    <s v="GNR_WT_WIND_OFF"/>
    <x v="0"/>
    <x v="18"/>
    <n v="7.9854039486022401"/>
    <n v="2914.6724412398198"/>
    <n v="10492.820788463299"/>
  </r>
  <r>
    <x v="0"/>
    <x v="2"/>
    <x v="2"/>
    <x v="0"/>
    <x v="0"/>
    <s v="DK1_Offshore"/>
    <x v="7"/>
    <x v="5"/>
    <s v="GNR_WT_WIND_OFF"/>
    <x v="0"/>
    <x v="2"/>
    <n v="8.7839443434624602"/>
    <n v="3206.1396853637998"/>
    <n v="11542.102867309701"/>
  </r>
  <r>
    <x v="0"/>
    <x v="2"/>
    <x v="2"/>
    <x v="0"/>
    <x v="0"/>
    <s v="DK1_Offshore"/>
    <x v="7"/>
    <x v="5"/>
    <s v="GNR_WT_WIND_OFF"/>
    <x v="0"/>
    <x v="3"/>
    <n v="15.9708078972045"/>
    <n v="5829.3448824796296"/>
    <n v="20985.641576926701"/>
  </r>
  <r>
    <x v="0"/>
    <x v="2"/>
    <x v="2"/>
    <x v="0"/>
    <x v="0"/>
    <s v="DK1_Offshore"/>
    <x v="7"/>
    <x v="5"/>
    <s v="GNR_WT_WIND_OFF"/>
    <x v="0"/>
    <x v="4"/>
    <n v="27.948913820107801"/>
    <n v="10201.353544339399"/>
    <n v="36724.8727596217"/>
  </r>
  <r>
    <x v="0"/>
    <x v="2"/>
    <x v="2"/>
    <x v="0"/>
    <x v="0"/>
    <s v="DK1_Offshore"/>
    <x v="7"/>
    <x v="5"/>
    <s v="GNR_WT_WIND_OFF"/>
    <x v="0"/>
    <x v="5"/>
    <n v="56.696368035075899"/>
    <n v="20694.174332802701"/>
    <n v="74499.027598089699"/>
  </r>
  <r>
    <x v="0"/>
    <x v="2"/>
    <x v="2"/>
    <x v="0"/>
    <x v="0"/>
    <s v="DK1_Offshore"/>
    <x v="7"/>
    <x v="5"/>
    <s v="GNR_WT_WIND_OFF"/>
    <x v="0"/>
    <x v="6"/>
    <n v="118.18397843931299"/>
    <n v="43137.152130349299"/>
    <n v="155293.74766925699"/>
  </r>
  <r>
    <x v="0"/>
    <x v="2"/>
    <x v="2"/>
    <x v="0"/>
    <x v="0"/>
    <s v="DK1_Offshore"/>
    <x v="7"/>
    <x v="5"/>
    <s v="GNR_WT_WIND_OFF"/>
    <x v="0"/>
    <x v="7"/>
    <n v="195.642396740755"/>
    <n v="71409.474810375497"/>
    <n v="257074.10931735201"/>
  </r>
  <r>
    <x v="0"/>
    <x v="2"/>
    <x v="2"/>
    <x v="0"/>
    <x v="0"/>
    <s v="DK1_Offshore"/>
    <x v="7"/>
    <x v="5"/>
    <s v="GNR_WT_WIND_OFF"/>
    <x v="0"/>
    <x v="8"/>
    <n v="289.07162293940098"/>
    <n v="105511.142372881"/>
    <n v="379840.11254237301"/>
  </r>
  <r>
    <x v="0"/>
    <x v="2"/>
    <x v="2"/>
    <x v="0"/>
    <x v="0"/>
    <s v="DK1_Offshore"/>
    <x v="7"/>
    <x v="5"/>
    <s v="GNR_WT_WIND_OFF"/>
    <x v="0"/>
    <x v="9"/>
    <n v="384.09792992776801"/>
    <n v="140195.74442363501"/>
    <n v="504704.67992508702"/>
  </r>
  <r>
    <x v="0"/>
    <x v="2"/>
    <x v="2"/>
    <x v="0"/>
    <x v="0"/>
    <s v="DK1_Offshore"/>
    <x v="7"/>
    <x v="5"/>
    <s v="GNR_WT_WIND_OFF"/>
    <x v="0"/>
    <x v="10"/>
    <n v="470.34029257267201"/>
    <n v="171674.20678902499"/>
    <n v="618027.14444049099"/>
  </r>
  <r>
    <x v="0"/>
    <x v="2"/>
    <x v="2"/>
    <x v="0"/>
    <x v="0"/>
    <s v="DK1_Offshore"/>
    <x v="7"/>
    <x v="5"/>
    <s v="GNR_WT_WIND_OFF"/>
    <x v="0"/>
    <x v="11"/>
    <n v="520.64833744886596"/>
    <n v="190036.64316883599"/>
    <n v="684131.91540781001"/>
  </r>
  <r>
    <x v="0"/>
    <x v="2"/>
    <x v="2"/>
    <x v="0"/>
    <x v="0"/>
    <s v="DK1_Offshore"/>
    <x v="7"/>
    <x v="5"/>
    <s v="GNR_WT_WIND_OFF"/>
    <x v="0"/>
    <x v="12"/>
    <n v="615.67464443723304"/>
    <n v="224721.24521959"/>
    <n v="808996.48279052402"/>
  </r>
  <r>
    <x v="0"/>
    <x v="2"/>
    <x v="2"/>
    <x v="0"/>
    <x v="0"/>
    <s v="DK1_Offshore"/>
    <x v="7"/>
    <x v="5"/>
    <s v="GNR_WT_WIND_OFF"/>
    <x v="0"/>
    <x v="13"/>
    <n v="700.31992629241597"/>
    <n v="255616.77309673201"/>
    <n v="920220.38314823504"/>
  </r>
  <r>
    <x v="0"/>
    <x v="2"/>
    <x v="2"/>
    <x v="0"/>
    <x v="0"/>
    <s v="DK1_Offshore"/>
    <x v="7"/>
    <x v="5"/>
    <s v="GNR_WT_WIND_OFF"/>
    <x v="0"/>
    <x v="14"/>
    <n v="838.46741460323506"/>
    <n v="306040.60633018101"/>
    <n v="1101746.18278865"/>
  </r>
  <r>
    <x v="0"/>
    <x v="2"/>
    <x v="2"/>
    <x v="0"/>
    <x v="0"/>
    <s v="DK1_Offshore"/>
    <x v="7"/>
    <x v="5"/>
    <s v="GNR_WT_WIND_OFF"/>
    <x v="0"/>
    <x v="15"/>
    <n v="1042.89375568745"/>
    <n v="380656.22082592"/>
    <n v="1370362.3949733099"/>
  </r>
  <r>
    <x v="0"/>
    <x v="2"/>
    <x v="2"/>
    <x v="0"/>
    <x v="0"/>
    <s v="DK1_Offshore"/>
    <x v="7"/>
    <x v="5"/>
    <s v="GNR_WT_WIND_OFF"/>
    <x v="0"/>
    <x v="16"/>
    <n v="1314.39748993993"/>
    <n v="479755.08382807398"/>
    <n v="1727118.30178107"/>
  </r>
  <r>
    <x v="0"/>
    <x v="2"/>
    <x v="2"/>
    <x v="0"/>
    <x v="0"/>
    <s v="DK1_Offshore"/>
    <x v="7"/>
    <x v="5"/>
    <s v="GNR_WT_WIND_OFF"/>
    <x v="0"/>
    <x v="17"/>
    <n v="1624.2311631457001"/>
    <n v="592844.37454817898"/>
    <n v="2134239.74837344"/>
  </r>
  <r>
    <x v="0"/>
    <x v="2"/>
    <x v="2"/>
    <x v="0"/>
    <x v="0"/>
    <s v="DK1_Offshore"/>
    <x v="7"/>
    <x v="5"/>
    <s v="GNR_WT_WIND_OFF"/>
    <x v="0"/>
    <x v="19"/>
    <n v="1750.4005455336101"/>
    <n v="638896.19911976799"/>
    <n v="2300026.3168311599"/>
  </r>
  <r>
    <x v="0"/>
    <x v="2"/>
    <x v="2"/>
    <x v="0"/>
    <x v="0"/>
    <s v="DK1_Offshore"/>
    <x v="7"/>
    <x v="5"/>
    <s v="GNR_WT_WIND_OFF"/>
    <x v="0"/>
    <x v="20"/>
    <n v="1728.04141447752"/>
    <n v="630735.11628429603"/>
    <n v="2270646.4186234698"/>
  </r>
  <r>
    <x v="0"/>
    <x v="2"/>
    <x v="2"/>
    <x v="0"/>
    <x v="0"/>
    <s v="DK1_Offshore"/>
    <x v="7"/>
    <x v="5"/>
    <s v="GNR_WT_WIND_OFF"/>
    <x v="0"/>
    <x v="21"/>
    <n v="1737.6238992158501"/>
    <n v="634232.72321378405"/>
    <n v="2283237.80356962"/>
  </r>
  <r>
    <x v="0"/>
    <x v="2"/>
    <x v="2"/>
    <x v="0"/>
    <x v="0"/>
    <s v="DK1_Offshore"/>
    <x v="7"/>
    <x v="5"/>
    <s v="GNR_WT_WIND_OFF"/>
    <x v="0"/>
    <x v="22"/>
    <n v="1780.7450805383"/>
    <n v="649971.95439647895"/>
    <n v="2339899.0358273201"/>
  </r>
  <r>
    <x v="0"/>
    <x v="2"/>
    <x v="2"/>
    <x v="0"/>
    <x v="0"/>
    <s v="DK1_Offshore"/>
    <x v="7"/>
    <x v="5"/>
    <s v="GNR_WT_WIND_OFF"/>
    <x v="0"/>
    <x v="23"/>
    <n v="1791.9246460663401"/>
    <n v="654052.49581421504"/>
    <n v="2354588.98493117"/>
  </r>
  <r>
    <x v="0"/>
    <x v="2"/>
    <x v="2"/>
    <x v="0"/>
    <x v="1"/>
    <s v="DK2_NoDH"/>
    <x v="1"/>
    <x v="9"/>
    <s v="GNR_ES_ELEC_BAT-LITHIO_E-97_Y-30-50"/>
    <x v="0"/>
    <x v="0"/>
    <n v="120.8147730148"/>
    <n v="44097.392150401902"/>
    <n v="158750.61174144701"/>
  </r>
  <r>
    <x v="0"/>
    <x v="2"/>
    <x v="2"/>
    <x v="0"/>
    <x v="1"/>
    <s v="DK2_NoDH"/>
    <x v="1"/>
    <x v="9"/>
    <s v="GNR_ES_ELEC_BAT-LITHIO_E-97_Y-30-50"/>
    <x v="0"/>
    <x v="1"/>
    <n v="115.51148266472001"/>
    <n v="42161.691172622697"/>
    <n v="151782.08822144201"/>
  </r>
  <r>
    <x v="0"/>
    <x v="2"/>
    <x v="2"/>
    <x v="0"/>
    <x v="1"/>
    <s v="DK2_NoDH"/>
    <x v="1"/>
    <x v="9"/>
    <s v="GNR_ES_ELEC_BAT-LITHIO_E-97_Y-30-50"/>
    <x v="0"/>
    <x v="18"/>
    <n v="97.893000191128195"/>
    <n v="35730.945069761801"/>
    <n v="128631.402251142"/>
  </r>
  <r>
    <x v="0"/>
    <x v="2"/>
    <x v="2"/>
    <x v="0"/>
    <x v="1"/>
    <s v="DK2_NoDH"/>
    <x v="1"/>
    <x v="9"/>
    <s v="GNR_ES_ELEC_BAT-LITHIO_E-97_Y-30-50"/>
    <x v="0"/>
    <x v="2"/>
    <n v="110.21162335647099"/>
    <n v="40227.242525111898"/>
    <n v="144818.07309040299"/>
  </r>
  <r>
    <x v="0"/>
    <x v="2"/>
    <x v="2"/>
    <x v="0"/>
    <x v="1"/>
    <s v="DK2_NoDH"/>
    <x v="1"/>
    <x v="9"/>
    <s v="GNR_ES_ELEC_BAT-LITHIO_E-97_Y-30-50"/>
    <x v="0"/>
    <x v="3"/>
    <n v="186.863318844655"/>
    <n v="68205.111378299101"/>
    <n v="245538.40096187699"/>
  </r>
  <r>
    <x v="0"/>
    <x v="2"/>
    <x v="2"/>
    <x v="0"/>
    <x v="1"/>
    <s v="DK2_NoDH"/>
    <x v="1"/>
    <x v="9"/>
    <s v="GNR_ES_ELEC_BAT-LITHIO_E-97_Y-30-50"/>
    <x v="0"/>
    <x v="4"/>
    <n v="321.68262373596099"/>
    <n v="117414.157663626"/>
    <n v="422690.96758905298"/>
  </r>
  <r>
    <x v="0"/>
    <x v="2"/>
    <x v="2"/>
    <x v="0"/>
    <x v="1"/>
    <s v="DK2_NoDH"/>
    <x v="1"/>
    <x v="9"/>
    <s v="GNR_ES_ELEC_BAT-LITHIO_E-97_Y-30-50"/>
    <x v="0"/>
    <x v="5"/>
    <n v="534.96520885736504"/>
    <n v="195262.30123293801"/>
    <n v="702944.28443857701"/>
  </r>
  <r>
    <x v="0"/>
    <x v="2"/>
    <x v="2"/>
    <x v="0"/>
    <x v="1"/>
    <s v="DK2_NoDH"/>
    <x v="1"/>
    <x v="9"/>
    <s v="GNR_ES_ELEC_BAT-LITHIO_E-97_Y-30-50"/>
    <x v="0"/>
    <x v="6"/>
    <n v="534.96520885736504"/>
    <n v="195262.30123293801"/>
    <n v="702944.28443857701"/>
  </r>
  <r>
    <x v="0"/>
    <x v="2"/>
    <x v="2"/>
    <x v="0"/>
    <x v="1"/>
    <s v="DK2_NoDH"/>
    <x v="1"/>
    <x v="9"/>
    <s v="GNR_ES_ELEC_BAT-LITHIO_E-97_Y-30-50"/>
    <x v="0"/>
    <x v="7"/>
    <n v="534.96520885736504"/>
    <n v="195262.30123293801"/>
    <n v="702944.28443857701"/>
  </r>
  <r>
    <x v="0"/>
    <x v="2"/>
    <x v="2"/>
    <x v="0"/>
    <x v="1"/>
    <s v="DK2_NoDH"/>
    <x v="5"/>
    <x v="3"/>
    <s v="GNR_PV_SUN"/>
    <x v="0"/>
    <x v="7"/>
    <n v="5.8740740848092097"/>
    <n v="2144.0370409553602"/>
    <n v="7718.5333474393001"/>
  </r>
  <r>
    <x v="0"/>
    <x v="2"/>
    <x v="2"/>
    <x v="0"/>
    <x v="1"/>
    <s v="DK2_NoDH"/>
    <x v="5"/>
    <x v="3"/>
    <s v="GNR_PV_SUN"/>
    <x v="0"/>
    <x v="8"/>
    <n v="44.221234648717498"/>
    <n v="16140.7506467819"/>
    <n v="58106.702328414802"/>
  </r>
  <r>
    <x v="0"/>
    <x v="2"/>
    <x v="2"/>
    <x v="0"/>
    <x v="1"/>
    <s v="DK2_NoDH"/>
    <x v="5"/>
    <x v="3"/>
    <s v="GNR_PV_SUN"/>
    <x v="0"/>
    <x v="9"/>
    <n v="102.14864216199"/>
    <n v="37284.254389126298"/>
    <n v="134223.31580085499"/>
  </r>
  <r>
    <x v="0"/>
    <x v="2"/>
    <x v="2"/>
    <x v="0"/>
    <x v="1"/>
    <s v="DK2_NoDH"/>
    <x v="5"/>
    <x v="3"/>
    <s v="GNR_PV_SUN"/>
    <x v="0"/>
    <x v="10"/>
    <n v="155.55753114848599"/>
    <n v="56778.498869197399"/>
    <n v="204402.59592910999"/>
  </r>
  <r>
    <x v="0"/>
    <x v="2"/>
    <x v="2"/>
    <x v="0"/>
    <x v="1"/>
    <s v="DK2_NoDH"/>
    <x v="5"/>
    <x v="3"/>
    <s v="GNR_PV_SUN"/>
    <x v="0"/>
    <x v="11"/>
    <n v="176.854815138025"/>
    <n v="64552.0075253791"/>
    <n v="232387.227091365"/>
  </r>
  <r>
    <x v="0"/>
    <x v="2"/>
    <x v="2"/>
    <x v="0"/>
    <x v="1"/>
    <s v="DK2_NoDH"/>
    <x v="5"/>
    <x v="3"/>
    <s v="GNR_PV_SUN"/>
    <x v="0"/>
    <x v="12"/>
    <n v="153.78024719462101"/>
    <n v="56129.790226036501"/>
    <n v="202067.244813731"/>
  </r>
  <r>
    <x v="0"/>
    <x v="2"/>
    <x v="2"/>
    <x v="0"/>
    <x v="1"/>
    <s v="DK2_NoDH"/>
    <x v="5"/>
    <x v="3"/>
    <s v="GNR_PV_SUN"/>
    <x v="0"/>
    <x v="13"/>
    <n v="100.070123639673"/>
    <n v="36525.5951284806"/>
    <n v="131492.14246253"/>
  </r>
  <r>
    <x v="0"/>
    <x v="2"/>
    <x v="2"/>
    <x v="0"/>
    <x v="1"/>
    <s v="DK2_NoDH"/>
    <x v="5"/>
    <x v="3"/>
    <s v="GNR_PV_SUN"/>
    <x v="0"/>
    <x v="14"/>
    <n v="50.667654413585097"/>
    <n v="18493.693860958501"/>
    <n v="66577.297899450801"/>
  </r>
  <r>
    <x v="0"/>
    <x v="2"/>
    <x v="2"/>
    <x v="0"/>
    <x v="1"/>
    <s v="DK2_NoDH"/>
    <x v="5"/>
    <x v="3"/>
    <s v="GNR_PV_SUN"/>
    <x v="0"/>
    <x v="15"/>
    <n v="6.5970370490934203"/>
    <n v="2407.9185229190998"/>
    <n v="8668.5066825087506"/>
  </r>
  <r>
    <x v="0"/>
    <x v="2"/>
    <x v="2"/>
    <x v="0"/>
    <x v="1"/>
    <s v="DK2_NoDH"/>
    <x v="5"/>
    <x v="3"/>
    <s v="GNR_PV_SUN_LS-4-MW_Y-2030"/>
    <x v="0"/>
    <x v="7"/>
    <n v="71.298272724263697"/>
    <n v="26023.869544356301"/>
    <n v="93685.930359682505"/>
  </r>
  <r>
    <x v="0"/>
    <x v="2"/>
    <x v="2"/>
    <x v="0"/>
    <x v="1"/>
    <s v="DK2_NoDH"/>
    <x v="5"/>
    <x v="3"/>
    <s v="GNR_PV_SUN_LS-4-MW_Y-2030"/>
    <x v="0"/>
    <x v="8"/>
    <n v="536.74802235496998"/>
    <n v="195913.02815956401"/>
    <n v="705286.90137443005"/>
  </r>
  <r>
    <x v="0"/>
    <x v="2"/>
    <x v="2"/>
    <x v="0"/>
    <x v="1"/>
    <s v="DK2_NoDH"/>
    <x v="5"/>
    <x v="3"/>
    <s v="GNR_PV_SUN_LS-4-MW_Y-2030"/>
    <x v="0"/>
    <x v="9"/>
    <n v="1239.8586810665499"/>
    <n v="452548.41858929198"/>
    <n v="1629174.30692145"/>
  </r>
  <r>
    <x v="0"/>
    <x v="2"/>
    <x v="2"/>
    <x v="0"/>
    <x v="1"/>
    <s v="DK2_NoDH"/>
    <x v="5"/>
    <x v="3"/>
    <s v="GNR_PV_SUN_LS-4-MW_Y-2030"/>
    <x v="0"/>
    <x v="10"/>
    <n v="1888.1245146056301"/>
    <n v="689165.44783105503"/>
    <n v="2480995.6121918"/>
  </r>
  <r>
    <x v="0"/>
    <x v="2"/>
    <x v="2"/>
    <x v="0"/>
    <x v="1"/>
    <s v="DK2_NoDH"/>
    <x v="5"/>
    <x v="3"/>
    <s v="GNR_PV_SUN_LS-4-MW_Y-2030"/>
    <x v="0"/>
    <x v="11"/>
    <n v="2146.6264572520599"/>
    <n v="783518.65689700295"/>
    <n v="2820667.1648292099"/>
  </r>
  <r>
    <x v="0"/>
    <x v="2"/>
    <x v="2"/>
    <x v="0"/>
    <x v="1"/>
    <s v="DK2_NoDH"/>
    <x v="5"/>
    <x v="3"/>
    <s v="GNR_PV_SUN_LS-4-MW_Y-2030"/>
    <x v="0"/>
    <x v="12"/>
    <n v="1866.5522167044401"/>
    <n v="681291.559097121"/>
    <n v="2452649.6127496399"/>
  </r>
  <r>
    <x v="0"/>
    <x v="2"/>
    <x v="2"/>
    <x v="0"/>
    <x v="1"/>
    <s v="DK2_NoDH"/>
    <x v="5"/>
    <x v="3"/>
    <s v="GNR_PV_SUN_LS-4-MW_Y-2030"/>
    <x v="0"/>
    <x v="13"/>
    <n v="1214.6300614872"/>
    <n v="443339.972442828"/>
    <n v="1596023.9007941801"/>
  </r>
  <r>
    <x v="0"/>
    <x v="2"/>
    <x v="2"/>
    <x v="0"/>
    <x v="1"/>
    <s v="DK2_NoDH"/>
    <x v="5"/>
    <x v="3"/>
    <s v="GNR_PV_SUN_LS-4-MW_Y-2030"/>
    <x v="0"/>
    <x v="14"/>
    <n v="614.993306267751"/>
    <n v="224472.556787729"/>
    <n v="808101.204435825"/>
  </r>
  <r>
    <x v="0"/>
    <x v="2"/>
    <x v="2"/>
    <x v="0"/>
    <x v="1"/>
    <s v="DK2_NoDH"/>
    <x v="5"/>
    <x v="3"/>
    <s v="GNR_PV_SUN_LS-4-MW_Y-2030"/>
    <x v="0"/>
    <x v="15"/>
    <n v="80.073444751865395"/>
    <n v="29226.807334430901"/>
    <n v="105216.506403951"/>
  </r>
  <r>
    <x v="0"/>
    <x v="2"/>
    <x v="2"/>
    <x v="0"/>
    <x v="1"/>
    <s v="DK2_NoDH"/>
    <x v="6"/>
    <x v="4"/>
    <s v="GNR_ROR_WTR"/>
    <x v="0"/>
    <x v="0"/>
    <n v="8.2531860285989002E-3"/>
    <n v="3.0124129004386"/>
    <n v="10.844686441579"/>
  </r>
  <r>
    <x v="0"/>
    <x v="2"/>
    <x v="2"/>
    <x v="0"/>
    <x v="1"/>
    <s v="DK2_NoDH"/>
    <x v="6"/>
    <x v="4"/>
    <s v="GNR_ROR_WTR"/>
    <x v="0"/>
    <x v="1"/>
    <n v="8.2531860285989002E-3"/>
    <n v="3.0124129004386"/>
    <n v="10.844686441579"/>
  </r>
  <r>
    <x v="0"/>
    <x v="2"/>
    <x v="2"/>
    <x v="0"/>
    <x v="1"/>
    <s v="DK2_NoDH"/>
    <x v="6"/>
    <x v="4"/>
    <s v="GNR_ROR_WTR"/>
    <x v="0"/>
    <x v="18"/>
    <n v="8.2531860285989002E-3"/>
    <n v="3.0124129004386"/>
    <n v="10.844686441579"/>
  </r>
  <r>
    <x v="0"/>
    <x v="2"/>
    <x v="2"/>
    <x v="0"/>
    <x v="1"/>
    <s v="DK2_NoDH"/>
    <x v="6"/>
    <x v="4"/>
    <s v="GNR_ROR_WTR"/>
    <x v="0"/>
    <x v="2"/>
    <n v="8.2531860285989002E-3"/>
    <n v="3.0124129004386"/>
    <n v="10.844686441579"/>
  </r>
  <r>
    <x v="0"/>
    <x v="2"/>
    <x v="2"/>
    <x v="0"/>
    <x v="1"/>
    <s v="DK2_NoDH"/>
    <x v="6"/>
    <x v="4"/>
    <s v="GNR_ROR_WTR"/>
    <x v="0"/>
    <x v="3"/>
    <n v="8.2531860285989002E-3"/>
    <n v="3.0124129004386"/>
    <n v="10.844686441579"/>
  </r>
  <r>
    <x v="0"/>
    <x v="2"/>
    <x v="2"/>
    <x v="0"/>
    <x v="1"/>
    <s v="DK2_NoDH"/>
    <x v="6"/>
    <x v="4"/>
    <s v="GNR_ROR_WTR"/>
    <x v="0"/>
    <x v="4"/>
    <n v="8.2531860285989002E-3"/>
    <n v="3.0124129004386"/>
    <n v="10.844686441579"/>
  </r>
  <r>
    <x v="0"/>
    <x v="2"/>
    <x v="2"/>
    <x v="0"/>
    <x v="1"/>
    <s v="DK2_NoDH"/>
    <x v="6"/>
    <x v="4"/>
    <s v="GNR_ROR_WTR"/>
    <x v="0"/>
    <x v="5"/>
    <n v="8.2531860285989002E-3"/>
    <n v="3.0124129004386"/>
    <n v="10.844686441579"/>
  </r>
  <r>
    <x v="0"/>
    <x v="2"/>
    <x v="2"/>
    <x v="0"/>
    <x v="1"/>
    <s v="DK2_NoDH"/>
    <x v="6"/>
    <x v="4"/>
    <s v="GNR_ROR_WTR"/>
    <x v="0"/>
    <x v="6"/>
    <n v="8.2531860285989002E-3"/>
    <n v="3.0124129004386"/>
    <n v="10.844686441579"/>
  </r>
  <r>
    <x v="0"/>
    <x v="2"/>
    <x v="2"/>
    <x v="0"/>
    <x v="1"/>
    <s v="DK2_NoDH"/>
    <x v="6"/>
    <x v="4"/>
    <s v="GNR_ROR_WTR"/>
    <x v="0"/>
    <x v="7"/>
    <n v="8.2531860285989002E-3"/>
    <n v="3.0124129004386"/>
    <n v="10.844686441579"/>
  </r>
  <r>
    <x v="0"/>
    <x v="2"/>
    <x v="2"/>
    <x v="0"/>
    <x v="1"/>
    <s v="DK2_NoDH"/>
    <x v="6"/>
    <x v="4"/>
    <s v="GNR_ROR_WTR"/>
    <x v="0"/>
    <x v="8"/>
    <n v="8.2531860285989002E-3"/>
    <n v="3.0124129004386"/>
    <n v="10.844686441579"/>
  </r>
  <r>
    <x v="0"/>
    <x v="2"/>
    <x v="2"/>
    <x v="0"/>
    <x v="1"/>
    <s v="DK2_NoDH"/>
    <x v="6"/>
    <x v="4"/>
    <s v="GNR_ROR_WTR"/>
    <x v="0"/>
    <x v="9"/>
    <n v="8.2531860285989002E-3"/>
    <n v="3.0124129004386"/>
    <n v="10.844686441579"/>
  </r>
  <r>
    <x v="0"/>
    <x v="2"/>
    <x v="2"/>
    <x v="0"/>
    <x v="1"/>
    <s v="DK2_NoDH"/>
    <x v="6"/>
    <x v="4"/>
    <s v="GNR_ROR_WTR"/>
    <x v="0"/>
    <x v="10"/>
    <n v="8.2531860285989002E-3"/>
    <n v="3.0124129004386"/>
    <n v="10.844686441579"/>
  </r>
  <r>
    <x v="0"/>
    <x v="2"/>
    <x v="2"/>
    <x v="0"/>
    <x v="1"/>
    <s v="DK2_NoDH"/>
    <x v="6"/>
    <x v="4"/>
    <s v="GNR_ROR_WTR"/>
    <x v="0"/>
    <x v="11"/>
    <n v="8.2531860285989002E-3"/>
    <n v="3.0124129004386"/>
    <n v="10.844686441579"/>
  </r>
  <r>
    <x v="0"/>
    <x v="2"/>
    <x v="2"/>
    <x v="0"/>
    <x v="1"/>
    <s v="DK2_NoDH"/>
    <x v="6"/>
    <x v="4"/>
    <s v="GNR_ROR_WTR"/>
    <x v="0"/>
    <x v="12"/>
    <n v="8.2531860285989002E-3"/>
    <n v="3.0124129004386"/>
    <n v="10.844686441579"/>
  </r>
  <r>
    <x v="0"/>
    <x v="2"/>
    <x v="2"/>
    <x v="0"/>
    <x v="1"/>
    <s v="DK2_NoDH"/>
    <x v="6"/>
    <x v="4"/>
    <s v="GNR_ROR_WTR"/>
    <x v="0"/>
    <x v="13"/>
    <n v="8.2531860285989002E-3"/>
    <n v="3.0124129004386"/>
    <n v="10.844686441579"/>
  </r>
  <r>
    <x v="0"/>
    <x v="2"/>
    <x v="2"/>
    <x v="0"/>
    <x v="1"/>
    <s v="DK2_NoDH"/>
    <x v="6"/>
    <x v="4"/>
    <s v="GNR_ROR_WTR"/>
    <x v="0"/>
    <x v="14"/>
    <n v="8.2531860285989002E-3"/>
    <n v="3.0124129004386"/>
    <n v="10.844686441579"/>
  </r>
  <r>
    <x v="0"/>
    <x v="2"/>
    <x v="2"/>
    <x v="0"/>
    <x v="1"/>
    <s v="DK2_NoDH"/>
    <x v="6"/>
    <x v="4"/>
    <s v="GNR_ROR_WTR"/>
    <x v="0"/>
    <x v="15"/>
    <n v="8.2531860285989002E-3"/>
    <n v="3.0124129004386"/>
    <n v="10.844686441579"/>
  </r>
  <r>
    <x v="0"/>
    <x v="2"/>
    <x v="2"/>
    <x v="0"/>
    <x v="1"/>
    <s v="DK2_NoDH"/>
    <x v="6"/>
    <x v="4"/>
    <s v="GNR_ROR_WTR"/>
    <x v="0"/>
    <x v="16"/>
    <n v="8.2531860285989002E-3"/>
    <n v="3.0124129004386"/>
    <n v="10.844686441579"/>
  </r>
  <r>
    <x v="0"/>
    <x v="2"/>
    <x v="2"/>
    <x v="0"/>
    <x v="1"/>
    <s v="DK2_NoDH"/>
    <x v="6"/>
    <x v="4"/>
    <s v="GNR_ROR_WTR"/>
    <x v="0"/>
    <x v="17"/>
    <n v="8.2531860285989002E-3"/>
    <n v="3.0124129004386"/>
    <n v="10.844686441579"/>
  </r>
  <r>
    <x v="0"/>
    <x v="2"/>
    <x v="2"/>
    <x v="0"/>
    <x v="1"/>
    <s v="DK2_NoDH"/>
    <x v="6"/>
    <x v="4"/>
    <s v="GNR_ROR_WTR"/>
    <x v="0"/>
    <x v="19"/>
    <n v="8.2531860285989002E-3"/>
    <n v="3.0124129004386"/>
    <n v="10.844686441579"/>
  </r>
  <r>
    <x v="0"/>
    <x v="2"/>
    <x v="2"/>
    <x v="0"/>
    <x v="1"/>
    <s v="DK2_NoDH"/>
    <x v="6"/>
    <x v="4"/>
    <s v="GNR_ROR_WTR"/>
    <x v="0"/>
    <x v="20"/>
    <n v="8.2531860285989002E-3"/>
    <n v="3.0124129004386"/>
    <n v="10.844686441579"/>
  </r>
  <r>
    <x v="0"/>
    <x v="2"/>
    <x v="2"/>
    <x v="0"/>
    <x v="1"/>
    <s v="DK2_NoDH"/>
    <x v="6"/>
    <x v="4"/>
    <s v="GNR_ROR_WTR"/>
    <x v="0"/>
    <x v="21"/>
    <n v="8.2531860285989002E-3"/>
    <n v="3.0124129004386"/>
    <n v="10.844686441579"/>
  </r>
  <r>
    <x v="0"/>
    <x v="2"/>
    <x v="2"/>
    <x v="0"/>
    <x v="1"/>
    <s v="DK2_NoDH"/>
    <x v="6"/>
    <x v="4"/>
    <s v="GNR_ROR_WTR"/>
    <x v="0"/>
    <x v="22"/>
    <n v="8.2531860285989002E-3"/>
    <n v="3.0124129004386"/>
    <n v="10.844686441579"/>
  </r>
  <r>
    <x v="0"/>
    <x v="2"/>
    <x v="2"/>
    <x v="0"/>
    <x v="1"/>
    <s v="DK2_NoDH"/>
    <x v="6"/>
    <x v="4"/>
    <s v="GNR_ROR_WTR"/>
    <x v="0"/>
    <x v="23"/>
    <n v="8.2531860285989002E-3"/>
    <n v="3.0124129004386"/>
    <n v="10.844686441579"/>
  </r>
  <r>
    <x v="0"/>
    <x v="2"/>
    <x v="2"/>
    <x v="0"/>
    <x v="1"/>
    <s v="DK2_NoDH"/>
    <x v="7"/>
    <x v="5"/>
    <s v="GNR_WT_WIND_ONS"/>
    <x v="0"/>
    <x v="0"/>
    <n v="25.1774497338"/>
    <n v="9189.7691528370106"/>
    <n v="33083.168950213301"/>
  </r>
  <r>
    <x v="0"/>
    <x v="2"/>
    <x v="2"/>
    <x v="0"/>
    <x v="1"/>
    <s v="DK2_NoDH"/>
    <x v="7"/>
    <x v="5"/>
    <s v="GNR_WT_WIND_ONS"/>
    <x v="0"/>
    <x v="1"/>
    <n v="30.212939680560002"/>
    <n v="11027.722983404399"/>
    <n v="39699.802740255902"/>
  </r>
  <r>
    <x v="0"/>
    <x v="2"/>
    <x v="2"/>
    <x v="0"/>
    <x v="1"/>
    <s v="DK2_NoDH"/>
    <x v="7"/>
    <x v="5"/>
    <s v="GNR_WT_WIND_ONS"/>
    <x v="0"/>
    <x v="18"/>
    <n v="29.49358397388"/>
    <n v="10765.158150466201"/>
    <n v="38754.569341678398"/>
  </r>
  <r>
    <x v="0"/>
    <x v="2"/>
    <x v="2"/>
    <x v="0"/>
    <x v="1"/>
    <s v="DK2_NoDH"/>
    <x v="7"/>
    <x v="5"/>
    <s v="GNR_WT_WIND_ONS"/>
    <x v="0"/>
    <x v="2"/>
    <n v="27.695194707180001"/>
    <n v="10108.746068120699"/>
    <n v="36391.485845234602"/>
  </r>
  <r>
    <x v="0"/>
    <x v="2"/>
    <x v="2"/>
    <x v="0"/>
    <x v="1"/>
    <s v="DK2_NoDH"/>
    <x v="7"/>
    <x v="5"/>
    <s v="GNR_WT_WIND_ONS"/>
    <x v="0"/>
    <x v="3"/>
    <n v="20.50163764038"/>
    <n v="7483.0977387387102"/>
    <n v="26939.151859459402"/>
  </r>
  <r>
    <x v="0"/>
    <x v="2"/>
    <x v="2"/>
    <x v="0"/>
    <x v="1"/>
    <s v="DK2_NoDH"/>
    <x v="7"/>
    <x v="5"/>
    <s v="GNR_WT_WIND_ONS"/>
    <x v="0"/>
    <x v="4"/>
    <n v="11.86936916022"/>
    <n v="4332.3197434803096"/>
    <n v="15596.351076529099"/>
  </r>
  <r>
    <x v="0"/>
    <x v="2"/>
    <x v="2"/>
    <x v="0"/>
    <x v="1"/>
    <s v="DK2_NoDH"/>
    <x v="7"/>
    <x v="5"/>
    <s v="GNR_WT_WIND_ONS"/>
    <x v="0"/>
    <x v="5"/>
    <n v="2.5177449733800001"/>
    <n v="918.97691528370103"/>
    <n v="3308.3168950213299"/>
  </r>
  <r>
    <x v="0"/>
    <x v="2"/>
    <x v="2"/>
    <x v="0"/>
    <x v="1"/>
    <s v="DK2_NoDH"/>
    <x v="7"/>
    <x v="5"/>
    <s v="GNR_WT_WIND_ONS"/>
    <x v="0"/>
    <x v="6"/>
    <n v="1.7983892667000001"/>
    <n v="656.41208234550095"/>
    <n v="2363.0834964438"/>
  </r>
  <r>
    <x v="0"/>
    <x v="2"/>
    <x v="2"/>
    <x v="0"/>
    <x v="1"/>
    <s v="DK2_NoDH"/>
    <x v="7"/>
    <x v="5"/>
    <s v="GNR_WT_WIND_ONS"/>
    <x v="0"/>
    <x v="7"/>
    <n v="2.5177449733800001"/>
    <n v="918.97691528370103"/>
    <n v="3308.3168950213299"/>
  </r>
  <r>
    <x v="0"/>
    <x v="2"/>
    <x v="2"/>
    <x v="0"/>
    <x v="1"/>
    <s v="DK2_NoDH"/>
    <x v="7"/>
    <x v="5"/>
    <s v="GNR_WT_WIND_ONS"/>
    <x v="0"/>
    <x v="8"/>
    <n v="11.86936916022"/>
    <n v="4332.3197434803096"/>
    <n v="15596.351076529099"/>
  </r>
  <r>
    <x v="0"/>
    <x v="2"/>
    <x v="2"/>
    <x v="0"/>
    <x v="1"/>
    <s v="DK2_NoDH"/>
    <x v="7"/>
    <x v="5"/>
    <s v="GNR_WT_WIND_ONS"/>
    <x v="0"/>
    <x v="9"/>
    <n v="27.695194707180001"/>
    <n v="10108.746068120699"/>
    <n v="36391.485845234602"/>
  </r>
  <r>
    <x v="0"/>
    <x v="2"/>
    <x v="2"/>
    <x v="0"/>
    <x v="1"/>
    <s v="DK2_NoDH"/>
    <x v="7"/>
    <x v="5"/>
    <s v="GNR_WT_WIND_ONS"/>
    <x v="0"/>
    <x v="10"/>
    <n v="42.801664547460099"/>
    <n v="15622.6075598229"/>
    <n v="56241.387215362498"/>
  </r>
  <r>
    <x v="0"/>
    <x v="2"/>
    <x v="2"/>
    <x v="0"/>
    <x v="1"/>
    <s v="DK2_NoDH"/>
    <x v="7"/>
    <x v="5"/>
    <s v="GNR_WT_WIND_ONS"/>
    <x v="0"/>
    <x v="11"/>
    <n v="49.6355437609201"/>
    <n v="18116.973472735801"/>
    <n v="65221.104501848997"/>
  </r>
  <r>
    <x v="0"/>
    <x v="2"/>
    <x v="2"/>
    <x v="0"/>
    <x v="1"/>
    <s v="DK2_NoDH"/>
    <x v="7"/>
    <x v="5"/>
    <s v="GNR_WT_WIND_ONS"/>
    <x v="0"/>
    <x v="12"/>
    <n v="56.829100827720097"/>
    <n v="20742.621802117799"/>
    <n v="74673.438487624197"/>
  </r>
  <r>
    <x v="0"/>
    <x v="2"/>
    <x v="2"/>
    <x v="0"/>
    <x v="1"/>
    <s v="DK2_NoDH"/>
    <x v="7"/>
    <x v="5"/>
    <s v="GNR_WT_WIND_ONS"/>
    <x v="0"/>
    <x v="13"/>
    <n v="56.829100827720097"/>
    <n v="20742.621802117799"/>
    <n v="74673.438487624197"/>
  </r>
  <r>
    <x v="0"/>
    <x v="2"/>
    <x v="2"/>
    <x v="0"/>
    <x v="1"/>
    <s v="DK2_NoDH"/>
    <x v="7"/>
    <x v="5"/>
    <s v="GNR_WT_WIND_ONS"/>
    <x v="0"/>
    <x v="14"/>
    <n v="89.919463335000103"/>
    <n v="32820.604117275099"/>
    <n v="118154.17482219001"/>
  </r>
  <r>
    <x v="0"/>
    <x v="2"/>
    <x v="2"/>
    <x v="0"/>
    <x v="1"/>
    <s v="DK2_NoDH"/>
    <x v="7"/>
    <x v="5"/>
    <s v="GNR_WT_WIND_ONS"/>
    <x v="0"/>
    <x v="15"/>
    <n v="116.17594662882"/>
    <n v="42404.220519519396"/>
    <n v="152655.19387027001"/>
  </r>
  <r>
    <x v="0"/>
    <x v="2"/>
    <x v="2"/>
    <x v="0"/>
    <x v="1"/>
    <s v="DK2_NoDH"/>
    <x v="7"/>
    <x v="5"/>
    <s v="GNR_WT_WIND_ONS"/>
    <x v="0"/>
    <x v="16"/>
    <n v="114.73723521546"/>
    <n v="41879.090853643"/>
    <n v="150764.72707311501"/>
  </r>
  <r>
    <x v="0"/>
    <x v="2"/>
    <x v="2"/>
    <x v="0"/>
    <x v="1"/>
    <s v="DK2_NoDH"/>
    <x v="7"/>
    <x v="5"/>
    <s v="GNR_WT_WIND_ONS"/>
    <x v="0"/>
    <x v="17"/>
    <n v="156.81954405624001"/>
    <n v="57239.133580527698"/>
    <n v="206060.8808899"/>
  </r>
  <r>
    <x v="0"/>
    <x v="2"/>
    <x v="2"/>
    <x v="0"/>
    <x v="1"/>
    <s v="DK2_NoDH"/>
    <x v="7"/>
    <x v="5"/>
    <s v="GNR_WT_WIND_ONS"/>
    <x v="0"/>
    <x v="19"/>
    <n v="233.43092681766001"/>
    <n v="85202.288288445998"/>
    <n v="306728.237838406"/>
  </r>
  <r>
    <x v="0"/>
    <x v="2"/>
    <x v="2"/>
    <x v="0"/>
    <x v="1"/>
    <s v="DK2_NoDH"/>
    <x v="7"/>
    <x v="5"/>
    <s v="GNR_WT_WIND_ONS"/>
    <x v="0"/>
    <x v="20"/>
    <n v="270.47774571167997"/>
    <n v="98724.377184763405"/>
    <n v="355407.75786514801"/>
  </r>
  <r>
    <x v="0"/>
    <x v="2"/>
    <x v="2"/>
    <x v="0"/>
    <x v="1"/>
    <s v="DK2_NoDH"/>
    <x v="7"/>
    <x v="5"/>
    <s v="GNR_WT_WIND_ONS"/>
    <x v="0"/>
    <x v="21"/>
    <n v="291.69873905873999"/>
    <n v="106470.03975644"/>
    <n v="383292.14312318497"/>
  </r>
  <r>
    <x v="0"/>
    <x v="2"/>
    <x v="2"/>
    <x v="0"/>
    <x v="1"/>
    <s v="DK2_NoDH"/>
    <x v="7"/>
    <x v="5"/>
    <s v="GNR_WT_WIND_ONS"/>
    <x v="0"/>
    <x v="22"/>
    <n v="296.37455115216102"/>
    <n v="108176.711170539"/>
    <n v="389436.16021393897"/>
  </r>
  <r>
    <x v="0"/>
    <x v="2"/>
    <x v="2"/>
    <x v="0"/>
    <x v="1"/>
    <s v="DK2_NoDH"/>
    <x v="7"/>
    <x v="5"/>
    <s v="GNR_WT_WIND_ONS"/>
    <x v="0"/>
    <x v="23"/>
    <n v="308.60359816571997"/>
    <n v="112640.313330488"/>
    <n v="405505.12798975699"/>
  </r>
  <r>
    <x v="0"/>
    <x v="2"/>
    <x v="2"/>
    <x v="0"/>
    <x v="1"/>
    <s v="DK2_NoDH"/>
    <x v="7"/>
    <x v="5"/>
    <s v="GNR_WT_WIND_ON_LS_Y-2030"/>
    <x v="0"/>
    <x v="0"/>
    <n v="35.920543428793003"/>
    <n v="13110.998351509401"/>
    <n v="47199.594065434001"/>
  </r>
  <r>
    <x v="0"/>
    <x v="2"/>
    <x v="2"/>
    <x v="0"/>
    <x v="1"/>
    <s v="DK2_NoDH"/>
    <x v="7"/>
    <x v="5"/>
    <s v="GNR_WT_WIND_ON_LS_Y-2030"/>
    <x v="0"/>
    <x v="1"/>
    <n v="43.104652114551598"/>
    <n v="15733.1980218113"/>
    <n v="56639.5128785208"/>
  </r>
  <r>
    <x v="0"/>
    <x v="2"/>
    <x v="2"/>
    <x v="0"/>
    <x v="1"/>
    <s v="DK2_NoDH"/>
    <x v="7"/>
    <x v="5"/>
    <s v="GNR_WT_WIND_ON_LS_Y-2030"/>
    <x v="0"/>
    <x v="18"/>
    <n v="42.078350873728901"/>
    <n v="15358.5980689111"/>
    <n v="55290.953048079798"/>
  </r>
  <r>
    <x v="0"/>
    <x v="2"/>
    <x v="2"/>
    <x v="0"/>
    <x v="1"/>
    <s v="DK2_NoDH"/>
    <x v="7"/>
    <x v="5"/>
    <s v="GNR_WT_WIND_ON_LS_Y-2030"/>
    <x v="0"/>
    <x v="2"/>
    <n v="39.512597771672297"/>
    <n v="14422.0981866604"/>
    <n v="51919.5534719774"/>
  </r>
  <r>
    <x v="0"/>
    <x v="2"/>
    <x v="2"/>
    <x v="0"/>
    <x v="1"/>
    <s v="DK2_NoDH"/>
    <x v="7"/>
    <x v="5"/>
    <s v="GNR_WT_WIND_ON_LS_Y-2030"/>
    <x v="0"/>
    <x v="3"/>
    <n v="29.2495853634457"/>
    <n v="10676.0986576577"/>
    <n v="38433.955167567699"/>
  </r>
  <r>
    <x v="0"/>
    <x v="2"/>
    <x v="2"/>
    <x v="0"/>
    <x v="1"/>
    <s v="DK2_NoDH"/>
    <x v="7"/>
    <x v="5"/>
    <s v="GNR_WT_WIND_ON_LS_Y-2030"/>
    <x v="0"/>
    <x v="4"/>
    <n v="16.933970473573801"/>
    <n v="6180.8992228544503"/>
    <n v="22251.237202275999"/>
  </r>
  <r>
    <x v="0"/>
    <x v="2"/>
    <x v="2"/>
    <x v="0"/>
    <x v="1"/>
    <s v="DK2_NoDH"/>
    <x v="7"/>
    <x v="5"/>
    <s v="GNR_WT_WIND_ON_LS_Y-2030"/>
    <x v="0"/>
    <x v="5"/>
    <n v="3.5920543428793001"/>
    <n v="1311.09983515094"/>
    <n v="4719.9594065434003"/>
  </r>
  <r>
    <x v="0"/>
    <x v="2"/>
    <x v="2"/>
    <x v="0"/>
    <x v="1"/>
    <s v="DK2_NoDH"/>
    <x v="7"/>
    <x v="5"/>
    <s v="GNR_WT_WIND_ON_LS_Y-2030"/>
    <x v="0"/>
    <x v="6"/>
    <n v="2.56575310205664"/>
    <n v="936.49988225067398"/>
    <n v="3371.3995761024298"/>
  </r>
  <r>
    <x v="0"/>
    <x v="2"/>
    <x v="2"/>
    <x v="0"/>
    <x v="1"/>
    <s v="DK2_NoDH"/>
    <x v="7"/>
    <x v="5"/>
    <s v="GNR_WT_WIND_ON_LS_Y-2030"/>
    <x v="0"/>
    <x v="7"/>
    <n v="3.5920543428793001"/>
    <n v="1311.09983515094"/>
    <n v="4719.9594065434003"/>
  </r>
  <r>
    <x v="0"/>
    <x v="2"/>
    <x v="2"/>
    <x v="0"/>
    <x v="1"/>
    <s v="DK2_NoDH"/>
    <x v="7"/>
    <x v="5"/>
    <s v="GNR_WT_WIND_ON_LS_Y-2030"/>
    <x v="0"/>
    <x v="8"/>
    <n v="16.933970473573801"/>
    <n v="6180.8992228544503"/>
    <n v="22251.237202275999"/>
  </r>
  <r>
    <x v="0"/>
    <x v="2"/>
    <x v="2"/>
    <x v="0"/>
    <x v="1"/>
    <s v="DK2_NoDH"/>
    <x v="7"/>
    <x v="5"/>
    <s v="GNR_WT_WIND_ON_LS_Y-2030"/>
    <x v="0"/>
    <x v="9"/>
    <n v="39.512597771672297"/>
    <n v="14422.0981866604"/>
    <n v="51919.5534719774"/>
  </r>
  <r>
    <x v="0"/>
    <x v="2"/>
    <x v="2"/>
    <x v="0"/>
    <x v="1"/>
    <s v="DK2_NoDH"/>
    <x v="7"/>
    <x v="5"/>
    <s v="GNR_WT_WIND_ON_LS_Y-2030"/>
    <x v="0"/>
    <x v="10"/>
    <n v="61.064923828948103"/>
    <n v="22288.697197566002"/>
    <n v="80239.309911237695"/>
  </r>
  <r>
    <x v="0"/>
    <x v="2"/>
    <x v="2"/>
    <x v="0"/>
    <x v="1"/>
    <s v="DK2_NoDH"/>
    <x v="7"/>
    <x v="5"/>
    <s v="GNR_WT_WIND_ON_LS_Y-2030"/>
    <x v="0"/>
    <x v="11"/>
    <n v="70.814785616763302"/>
    <n v="25847.396750118602"/>
    <n v="93050.628300426994"/>
  </r>
  <r>
    <x v="0"/>
    <x v="2"/>
    <x v="2"/>
    <x v="0"/>
    <x v="1"/>
    <s v="DK2_NoDH"/>
    <x v="7"/>
    <x v="5"/>
    <s v="GNR_WT_WIND_ON_LS_Y-2030"/>
    <x v="0"/>
    <x v="12"/>
    <n v="81.077798024989903"/>
    <n v="29593.396279121302"/>
    <n v="106536.22660483699"/>
  </r>
  <r>
    <x v="0"/>
    <x v="2"/>
    <x v="2"/>
    <x v="0"/>
    <x v="1"/>
    <s v="DK2_NoDH"/>
    <x v="7"/>
    <x v="5"/>
    <s v="GNR_WT_WIND_ON_LS_Y-2030"/>
    <x v="0"/>
    <x v="13"/>
    <n v="81.077798024989903"/>
    <n v="29593.396279121302"/>
    <n v="106536.22660483699"/>
  </r>
  <r>
    <x v="0"/>
    <x v="2"/>
    <x v="2"/>
    <x v="0"/>
    <x v="1"/>
    <s v="DK2_NoDH"/>
    <x v="7"/>
    <x v="5"/>
    <s v="GNR_WT_WIND_ON_LS_Y-2030"/>
    <x v="0"/>
    <x v="14"/>
    <n v="128.28765510283199"/>
    <n v="46824.994112533699"/>
    <n v="168569.97880512101"/>
  </r>
  <r>
    <x v="0"/>
    <x v="2"/>
    <x v="2"/>
    <x v="0"/>
    <x v="1"/>
    <s v="DK2_NoDH"/>
    <x v="7"/>
    <x v="5"/>
    <s v="GNR_WT_WIND_ON_LS_Y-2030"/>
    <x v="0"/>
    <x v="15"/>
    <n v="165.74765039285899"/>
    <n v="60497.8923933935"/>
    <n v="217792.41261621701"/>
  </r>
  <r>
    <x v="0"/>
    <x v="2"/>
    <x v="2"/>
    <x v="0"/>
    <x v="1"/>
    <s v="DK2_NoDH"/>
    <x v="7"/>
    <x v="5"/>
    <s v="GNR_WT_WIND_ON_LS_Y-2030"/>
    <x v="0"/>
    <x v="16"/>
    <n v="163.695047911214"/>
    <n v="59748.692487592998"/>
    <n v="215095.292955335"/>
  </r>
  <r>
    <x v="0"/>
    <x v="2"/>
    <x v="2"/>
    <x v="0"/>
    <x v="1"/>
    <s v="DK2_NoDH"/>
    <x v="7"/>
    <x v="5"/>
    <s v="GNR_WT_WIND_ON_LS_Y-2030"/>
    <x v="0"/>
    <x v="17"/>
    <n v="223.73367049933901"/>
    <n v="81662.789732258796"/>
    <n v="293986.043036132"/>
  </r>
  <r>
    <x v="0"/>
    <x v="2"/>
    <x v="2"/>
    <x v="0"/>
    <x v="1"/>
    <s v="DK2_NoDH"/>
    <x v="7"/>
    <x v="5"/>
    <s v="GNR_WT_WIND_ON_LS_Y-2030"/>
    <x v="0"/>
    <x v="19"/>
    <n v="333.03475264695197"/>
    <n v="121557.684716137"/>
    <n v="437607.66497809498"/>
  </r>
  <r>
    <x v="0"/>
    <x v="2"/>
    <x v="2"/>
    <x v="0"/>
    <x v="1"/>
    <s v="DK2_NoDH"/>
    <x v="7"/>
    <x v="5"/>
    <s v="GNR_WT_WIND_ON_LS_Y-2030"/>
    <x v="0"/>
    <x v="20"/>
    <n v="385.88926654931902"/>
    <n v="140849.58229050101"/>
    <n v="507058.496245805"/>
  </r>
  <r>
    <x v="0"/>
    <x v="2"/>
    <x v="2"/>
    <x v="0"/>
    <x v="1"/>
    <s v="DK2_NoDH"/>
    <x v="7"/>
    <x v="5"/>
    <s v="GNR_WT_WIND_ON_LS_Y-2030"/>
    <x v="0"/>
    <x v="21"/>
    <n v="416.16515315358703"/>
    <n v="151900.28090105901"/>
    <n v="546841.01124381402"/>
  </r>
  <r>
    <x v="0"/>
    <x v="2"/>
    <x v="2"/>
    <x v="0"/>
    <x v="1"/>
    <s v="DK2_NoDH"/>
    <x v="7"/>
    <x v="5"/>
    <s v="GNR_WT_WIND_ON_LS_Y-2030"/>
    <x v="0"/>
    <x v="22"/>
    <n v="422.83611121893398"/>
    <n v="154335.18059491101"/>
    <n v="555606.65014168003"/>
  </r>
  <r>
    <x v="0"/>
    <x v="2"/>
    <x v="2"/>
    <x v="0"/>
    <x v="1"/>
    <s v="DK2_NoDH"/>
    <x v="7"/>
    <x v="5"/>
    <s v="GNR_WT_WIND_ON_LS_Y-2030"/>
    <x v="0"/>
    <x v="23"/>
    <n v="440.28323231292001"/>
    <n v="160703.37979421599"/>
    <n v="578532.16725917603"/>
  </r>
  <r>
    <x v="0"/>
    <x v="2"/>
    <x v="2"/>
    <x v="0"/>
    <x v="1"/>
    <s v="DK2_Offshore"/>
    <x v="7"/>
    <x v="5"/>
    <s v="GNR_WT_WIND_OFF"/>
    <x v="0"/>
    <x v="0"/>
    <n v="111.362731152205"/>
    <n v="40647.396870554803"/>
    <n v="146330.628733997"/>
  </r>
  <r>
    <x v="0"/>
    <x v="2"/>
    <x v="2"/>
    <x v="0"/>
    <x v="1"/>
    <s v="DK2_Offshore"/>
    <x v="7"/>
    <x v="5"/>
    <s v="GNR_WT_WIND_OFF"/>
    <x v="0"/>
    <x v="1"/>
    <n v="133.635277382646"/>
    <n v="48776.876244665698"/>
    <n v="175596.75448079701"/>
  </r>
  <r>
    <x v="0"/>
    <x v="2"/>
    <x v="2"/>
    <x v="0"/>
    <x v="1"/>
    <s v="DK2_Offshore"/>
    <x v="7"/>
    <x v="5"/>
    <s v="GNR_WT_WIND_OFF"/>
    <x v="0"/>
    <x v="18"/>
    <n v="130.45348506401101"/>
    <n v="47615.522048364197"/>
    <n v="171415.87937411101"/>
  </r>
  <r>
    <x v="0"/>
    <x v="2"/>
    <x v="2"/>
    <x v="0"/>
    <x v="1"/>
    <s v="DK2_Offshore"/>
    <x v="7"/>
    <x v="5"/>
    <s v="GNR_WT_WIND_OFF"/>
    <x v="0"/>
    <x v="2"/>
    <n v="122.49900426742499"/>
    <n v="44712.136557610203"/>
    <n v="160963.69160739699"/>
  </r>
  <r>
    <x v="0"/>
    <x v="2"/>
    <x v="2"/>
    <x v="0"/>
    <x v="1"/>
    <s v="DK2_Offshore"/>
    <x v="7"/>
    <x v="5"/>
    <s v="GNR_WT_WIND_OFF"/>
    <x v="0"/>
    <x v="3"/>
    <n v="90.681081081081103"/>
    <n v="33098.5945945946"/>
    <n v="119154.94054054101"/>
  </r>
  <r>
    <x v="0"/>
    <x v="2"/>
    <x v="2"/>
    <x v="0"/>
    <x v="1"/>
    <s v="DK2_Offshore"/>
    <x v="7"/>
    <x v="5"/>
    <s v="GNR_WT_WIND_OFF"/>
    <x v="0"/>
    <x v="4"/>
    <n v="52.499573257468001"/>
    <n v="19162.344238975798"/>
    <n v="68984.439260312894"/>
  </r>
  <r>
    <x v="0"/>
    <x v="2"/>
    <x v="2"/>
    <x v="0"/>
    <x v="1"/>
    <s v="DK2_Offshore"/>
    <x v="7"/>
    <x v="5"/>
    <s v="GNR_WT_WIND_OFF"/>
    <x v="0"/>
    <x v="5"/>
    <n v="11.136273115220501"/>
    <n v="4064.7396870554799"/>
    <n v="14633.0628733997"/>
  </r>
  <r>
    <x v="0"/>
    <x v="2"/>
    <x v="2"/>
    <x v="0"/>
    <x v="1"/>
    <s v="DK2_Offshore"/>
    <x v="7"/>
    <x v="5"/>
    <s v="GNR_WT_WIND_OFF"/>
    <x v="0"/>
    <x v="6"/>
    <n v="7.9544807965860604"/>
    <n v="2903.3854907539098"/>
    <n v="10452.1877667141"/>
  </r>
  <r>
    <x v="0"/>
    <x v="2"/>
    <x v="2"/>
    <x v="0"/>
    <x v="1"/>
    <s v="DK2_Offshore"/>
    <x v="7"/>
    <x v="5"/>
    <s v="GNR_WT_WIND_OFF"/>
    <x v="0"/>
    <x v="7"/>
    <n v="11.136273115220501"/>
    <n v="4064.7396870554799"/>
    <n v="14633.0628733997"/>
  </r>
  <r>
    <x v="0"/>
    <x v="2"/>
    <x v="2"/>
    <x v="0"/>
    <x v="1"/>
    <s v="DK2_Offshore"/>
    <x v="7"/>
    <x v="5"/>
    <s v="GNR_WT_WIND_OFF"/>
    <x v="0"/>
    <x v="8"/>
    <n v="52.499573257468001"/>
    <n v="19162.344238975798"/>
    <n v="68984.439260312894"/>
  </r>
  <r>
    <x v="0"/>
    <x v="2"/>
    <x v="2"/>
    <x v="0"/>
    <x v="1"/>
    <s v="DK2_Offshore"/>
    <x v="7"/>
    <x v="5"/>
    <s v="GNR_WT_WIND_OFF"/>
    <x v="0"/>
    <x v="9"/>
    <n v="122.49900426742499"/>
    <n v="44712.136557610203"/>
    <n v="160963.69160739699"/>
  </r>
  <r>
    <x v="0"/>
    <x v="2"/>
    <x v="2"/>
    <x v="0"/>
    <x v="1"/>
    <s v="DK2_Offshore"/>
    <x v="7"/>
    <x v="5"/>
    <s v="GNR_WT_WIND_OFF"/>
    <x v="0"/>
    <x v="10"/>
    <n v="189.31664295874799"/>
    <n v="69100.574679943107"/>
    <n v="248762.06884779499"/>
  </r>
  <r>
    <x v="0"/>
    <x v="2"/>
    <x v="2"/>
    <x v="0"/>
    <x v="1"/>
    <s v="DK2_Offshore"/>
    <x v="7"/>
    <x v="5"/>
    <s v="GNR_WT_WIND_OFF"/>
    <x v="0"/>
    <x v="11"/>
    <n v="219.54366998577501"/>
    <n v="80133.439544808003"/>
    <n v="288480.38236130902"/>
  </r>
  <r>
    <x v="0"/>
    <x v="2"/>
    <x v="2"/>
    <x v="0"/>
    <x v="1"/>
    <s v="DK2_Offshore"/>
    <x v="7"/>
    <x v="5"/>
    <s v="GNR_WT_WIND_OFF"/>
    <x v="0"/>
    <x v="12"/>
    <n v="251.361593172119"/>
    <n v="91746.981507823599"/>
    <n v="330289.13342816499"/>
  </r>
  <r>
    <x v="0"/>
    <x v="2"/>
    <x v="2"/>
    <x v="0"/>
    <x v="1"/>
    <s v="DK2_Offshore"/>
    <x v="7"/>
    <x v="5"/>
    <s v="GNR_WT_WIND_OFF"/>
    <x v="0"/>
    <x v="13"/>
    <n v="251.361593172119"/>
    <n v="91746.981507823599"/>
    <n v="330289.13342816499"/>
  </r>
  <r>
    <x v="0"/>
    <x v="2"/>
    <x v="2"/>
    <x v="0"/>
    <x v="1"/>
    <s v="DK2_Offshore"/>
    <x v="7"/>
    <x v="5"/>
    <s v="GNR_WT_WIND_OFF"/>
    <x v="0"/>
    <x v="14"/>
    <n v="397.72403982930302"/>
    <n v="145169.27453769601"/>
    <n v="522609.38833570399"/>
  </r>
  <r>
    <x v="0"/>
    <x v="2"/>
    <x v="2"/>
    <x v="0"/>
    <x v="1"/>
    <s v="DK2_Offshore"/>
    <x v="7"/>
    <x v="5"/>
    <s v="GNR_WT_WIND_OFF"/>
    <x v="0"/>
    <x v="15"/>
    <n v="513.859459459459"/>
    <n v="187558.70270270301"/>
    <n v="675211.32972973003"/>
  </r>
  <r>
    <x v="0"/>
    <x v="2"/>
    <x v="2"/>
    <x v="0"/>
    <x v="1"/>
    <s v="DK2_Offshore"/>
    <x v="7"/>
    <x v="5"/>
    <s v="GNR_WT_WIND_OFF"/>
    <x v="0"/>
    <x v="16"/>
    <n v="507.49587482219101"/>
    <n v="185235.99431010001"/>
    <n v="666849.57951635798"/>
  </r>
  <r>
    <x v="0"/>
    <x v="2"/>
    <x v="2"/>
    <x v="0"/>
    <x v="1"/>
    <s v="DK2_Offshore"/>
    <x v="7"/>
    <x v="5"/>
    <s v="GNR_WT_WIND_OFF"/>
    <x v="0"/>
    <x v="17"/>
    <n v="693.63072546230399"/>
    <n v="253175.214793741"/>
    <n v="911430.77325746801"/>
  </r>
  <r>
    <x v="0"/>
    <x v="2"/>
    <x v="2"/>
    <x v="0"/>
    <x v="1"/>
    <s v="DK2_Offshore"/>
    <x v="7"/>
    <x v="5"/>
    <s v="GNR_WT_WIND_OFF"/>
    <x v="0"/>
    <x v="19"/>
    <n v="1032.49160739687"/>
    <n v="376859.43669985799"/>
    <n v="1356693.9721194899"/>
  </r>
  <r>
    <x v="0"/>
    <x v="2"/>
    <x v="2"/>
    <x v="0"/>
    <x v="1"/>
    <s v="DK2_Offshore"/>
    <x v="7"/>
    <x v="5"/>
    <s v="GNR_WT_WIND_OFF"/>
    <x v="0"/>
    <x v="20"/>
    <n v="1196.3539118065401"/>
    <n v="436669.17780938803"/>
    <n v="1572009.0401138"/>
  </r>
  <r>
    <x v="0"/>
    <x v="2"/>
    <x v="2"/>
    <x v="0"/>
    <x v="1"/>
    <s v="DK2_Offshore"/>
    <x v="7"/>
    <x v="5"/>
    <s v="GNR_WT_WIND_OFF"/>
    <x v="0"/>
    <x v="21"/>
    <n v="1290.2167852062601"/>
    <n v="470929.12660028401"/>
    <n v="1695344.85576102"/>
  </r>
  <r>
    <x v="0"/>
    <x v="2"/>
    <x v="2"/>
    <x v="0"/>
    <x v="1"/>
    <s v="DK2_Offshore"/>
    <x v="7"/>
    <x v="5"/>
    <s v="GNR_WT_WIND_OFF"/>
    <x v="0"/>
    <x v="22"/>
    <n v="1310.89843527738"/>
    <n v="478477.92887624499"/>
    <n v="1722520.54395448"/>
  </r>
  <r>
    <x v="0"/>
    <x v="2"/>
    <x v="2"/>
    <x v="0"/>
    <x v="1"/>
    <s v="DK2_Offshore"/>
    <x v="7"/>
    <x v="5"/>
    <s v="GNR_WT_WIND_OFF"/>
    <x v="0"/>
    <x v="23"/>
    <n v="1364.9889046941701"/>
    <n v="498220.95021337102"/>
    <n v="1793595.4207681399"/>
  </r>
  <r>
    <x v="0"/>
    <x v="2"/>
    <x v="2"/>
    <x v="1"/>
    <x v="2"/>
    <s v="EE_A"/>
    <x v="5"/>
    <x v="3"/>
    <s v="GNR_PV_SUN_LS-4-MW_Y-2030"/>
    <x v="0"/>
    <x v="7"/>
    <n v="91.044681437739698"/>
    <n v="33231.308724775001"/>
    <n v="119632.71140919"/>
  </r>
  <r>
    <x v="0"/>
    <x v="2"/>
    <x v="2"/>
    <x v="1"/>
    <x v="2"/>
    <s v="EE_A"/>
    <x v="5"/>
    <x v="3"/>
    <s v="GNR_PV_SUN_LS-4-MW_Y-2030"/>
    <x v="0"/>
    <x v="8"/>
    <n v="2.6146164925709798E-3"/>
    <n v="0.95433501978840896"/>
    <n v="3.4356060712382699"/>
  </r>
  <r>
    <x v="0"/>
    <x v="2"/>
    <x v="2"/>
    <x v="1"/>
    <x v="2"/>
    <s v="EE_A"/>
    <x v="5"/>
    <x v="3"/>
    <s v="GNR_PV_SUN_LS-4-MW_Y-2030"/>
    <x v="0"/>
    <x v="9"/>
    <n v="1.30730824628549E-2"/>
    <n v="4.7716750989420502"/>
    <n v="17.1780303561914"/>
  </r>
  <r>
    <x v="0"/>
    <x v="2"/>
    <x v="2"/>
    <x v="1"/>
    <x v="2"/>
    <s v="EE_A"/>
    <x v="5"/>
    <x v="3"/>
    <s v="GNR_PV_SUN_LS-4-MW_Y-2030"/>
    <x v="0"/>
    <x v="10"/>
    <n v="1.9796382015180299E-2"/>
    <n v="7.2256794355408198"/>
    <n v="26.012445967946899"/>
  </r>
  <r>
    <x v="0"/>
    <x v="2"/>
    <x v="2"/>
    <x v="1"/>
    <x v="2"/>
    <s v="EE_A"/>
    <x v="5"/>
    <x v="3"/>
    <s v="GNR_PV_SUN_LS-4-MW_Y-2030"/>
    <x v="0"/>
    <x v="11"/>
    <n v="1.06452242911819E-2"/>
    <n v="3.8855068662813799"/>
    <n v="13.987824718613"/>
  </r>
  <r>
    <x v="0"/>
    <x v="2"/>
    <x v="2"/>
    <x v="1"/>
    <x v="2"/>
    <s v="EE_A"/>
    <x v="5"/>
    <x v="3"/>
    <s v="GNR_PV_SUN_LS-4-MW_Y-2030"/>
    <x v="0"/>
    <x v="12"/>
    <n v="7.4703328359171004E-4"/>
    <n v="0.27266714851097401"/>
    <n v="0.98160173463950695"/>
  </r>
  <r>
    <x v="0"/>
    <x v="2"/>
    <x v="2"/>
    <x v="1"/>
    <x v="2"/>
    <s v="EE_A"/>
    <x v="5"/>
    <x v="3"/>
    <s v="GNR_PV_SUN_LS-4-MW_Y-2030"/>
    <x v="0"/>
    <x v="13"/>
    <n v="1551.02785505729"/>
    <n v="566125.16709590994"/>
    <n v="2038050.6015452801"/>
  </r>
  <r>
    <x v="0"/>
    <x v="2"/>
    <x v="2"/>
    <x v="1"/>
    <x v="2"/>
    <s v="EE_A"/>
    <x v="5"/>
    <x v="3"/>
    <s v="GNR_PV_SUN_LS-4-MW_Y-2030"/>
    <x v="0"/>
    <x v="14"/>
    <n v="785.31873937578496"/>
    <n v="286641.33987216197"/>
    <n v="1031908.82353978"/>
  </r>
  <r>
    <x v="0"/>
    <x v="2"/>
    <x v="2"/>
    <x v="1"/>
    <x v="2"/>
    <s v="EE_A"/>
    <x v="5"/>
    <x v="3"/>
    <s v="GNR_PV_SUN_LS-4-MW_Y-2030"/>
    <x v="0"/>
    <x v="15"/>
    <n v="102.250180691615"/>
    <n v="37321.315952439603"/>
    <n v="134356.737428783"/>
  </r>
  <r>
    <x v="0"/>
    <x v="2"/>
    <x v="2"/>
    <x v="1"/>
    <x v="2"/>
    <s v="EE_A"/>
    <x v="7"/>
    <x v="5"/>
    <s v="GNR_WT_WIND_ON_LS_Y-2030"/>
    <x v="0"/>
    <x v="0"/>
    <n v="315.26902797969598"/>
    <n v="115073.19521258899"/>
    <n v="414263.502765321"/>
  </r>
  <r>
    <x v="0"/>
    <x v="2"/>
    <x v="2"/>
    <x v="1"/>
    <x v="2"/>
    <s v="EE_A"/>
    <x v="7"/>
    <x v="5"/>
    <s v="GNR_WT_WIND_ON_LS_Y-2030"/>
    <x v="0"/>
    <x v="1"/>
    <n v="316.35741357686499"/>
    <n v="115470.455955556"/>
    <n v="415693.64143999998"/>
  </r>
  <r>
    <x v="0"/>
    <x v="2"/>
    <x v="2"/>
    <x v="1"/>
    <x v="2"/>
    <s v="EE_A"/>
    <x v="7"/>
    <x v="5"/>
    <s v="GNR_WT_WIND_ON_LS_Y-2030"/>
    <x v="0"/>
    <x v="18"/>
    <n v="449.14045643137399"/>
    <n v="163936.26659745199"/>
    <n v="590170.55975082598"/>
  </r>
  <r>
    <x v="0"/>
    <x v="2"/>
    <x v="2"/>
    <x v="1"/>
    <x v="2"/>
    <s v="EE_A"/>
    <x v="7"/>
    <x v="5"/>
    <s v="GNR_WT_WIND_ON_LS_Y-2030"/>
    <x v="0"/>
    <x v="2"/>
    <n v="495.57824191054698"/>
    <n v="180886.05829735001"/>
    <n v="651189.80987045902"/>
  </r>
  <r>
    <x v="0"/>
    <x v="2"/>
    <x v="2"/>
    <x v="1"/>
    <x v="2"/>
    <s v="EE_A"/>
    <x v="7"/>
    <x v="5"/>
    <s v="GNR_WT_WIND_ON_LS_Y-2030"/>
    <x v="0"/>
    <x v="3"/>
    <n v="575.75598090193103"/>
    <n v="210150.93302920501"/>
    <n v="756543.35890513798"/>
  </r>
  <r>
    <x v="0"/>
    <x v="2"/>
    <x v="2"/>
    <x v="1"/>
    <x v="2"/>
    <s v="EE_A"/>
    <x v="7"/>
    <x v="5"/>
    <s v="GNR_WT_WIND_ON_LS_Y-2030"/>
    <x v="0"/>
    <x v="4"/>
    <n v="600.06325923868599"/>
    <n v="219023.08962211999"/>
    <n v="788483.12263963302"/>
  </r>
  <r>
    <x v="0"/>
    <x v="2"/>
    <x v="2"/>
    <x v="1"/>
    <x v="2"/>
    <s v="EE_A"/>
    <x v="7"/>
    <x v="5"/>
    <s v="GNR_WT_WIND_ON_LS_Y-2030"/>
    <x v="0"/>
    <x v="5"/>
    <n v="645.04986392163505"/>
    <n v="235443.20033139701"/>
    <n v="847595.52119302796"/>
  </r>
  <r>
    <x v="0"/>
    <x v="2"/>
    <x v="2"/>
    <x v="1"/>
    <x v="2"/>
    <s v="EE_A"/>
    <x v="7"/>
    <x v="5"/>
    <s v="GNR_WT_WIND_ON_LS_Y-2030"/>
    <x v="0"/>
    <x v="6"/>
    <n v="615.66345279809502"/>
    <n v="224717.16027130501"/>
    <n v="808981.77697669703"/>
  </r>
  <r>
    <x v="0"/>
    <x v="2"/>
    <x v="2"/>
    <x v="1"/>
    <x v="2"/>
    <s v="EE_A"/>
    <x v="7"/>
    <x v="5"/>
    <s v="GNR_WT_WIND_ON_LS_Y-2030"/>
    <x v="0"/>
    <x v="7"/>
    <n v="560.88137774063398"/>
    <n v="204721.70287533099"/>
    <n v="736998.13035119302"/>
  </r>
  <r>
    <x v="0"/>
    <x v="2"/>
    <x v="2"/>
    <x v="1"/>
    <x v="2"/>
    <s v="EE_A"/>
    <x v="7"/>
    <x v="5"/>
    <s v="GNR_WT_WIND_ON_LS_Y-2030"/>
    <x v="0"/>
    <x v="8"/>
    <n v="416.48888851633097"/>
    <n v="152018.44430846101"/>
    <n v="547266.39951045904"/>
  </r>
  <r>
    <x v="0"/>
    <x v="2"/>
    <x v="2"/>
    <x v="1"/>
    <x v="2"/>
    <s v="EE_A"/>
    <x v="7"/>
    <x v="5"/>
    <s v="GNR_WT_WIND_ON_LS_Y-2030"/>
    <x v="0"/>
    <x v="9"/>
    <n v="371.13948863432603"/>
    <n v="135465.91335152899"/>
    <n v="487677.28806550498"/>
  </r>
  <r>
    <x v="0"/>
    <x v="2"/>
    <x v="2"/>
    <x v="1"/>
    <x v="2"/>
    <s v="EE_A"/>
    <x v="7"/>
    <x v="5"/>
    <s v="GNR_WT_WIND_ON_LS_Y-2030"/>
    <x v="0"/>
    <x v="10"/>
    <n v="336.67394472400298"/>
    <n v="122885.98982426101"/>
    <n v="442389.56336733903"/>
  </r>
  <r>
    <x v="0"/>
    <x v="2"/>
    <x v="2"/>
    <x v="1"/>
    <x v="2"/>
    <s v="EE_A"/>
    <x v="7"/>
    <x v="5"/>
    <s v="GNR_WT_WIND_ON_LS_Y-2030"/>
    <x v="0"/>
    <x v="11"/>
    <n v="374.04185022677501"/>
    <n v="136525.27533277299"/>
    <n v="491490.99119798199"/>
  </r>
  <r>
    <x v="0"/>
    <x v="2"/>
    <x v="2"/>
    <x v="1"/>
    <x v="2"/>
    <s v="EE_A"/>
    <x v="7"/>
    <x v="5"/>
    <s v="GNR_WT_WIND_ON_LS_Y-2030"/>
    <x v="0"/>
    <x v="12"/>
    <n v="480.70363874924999"/>
    <n v="175456.82814347601"/>
    <n v="631644.58131651406"/>
  </r>
  <r>
    <x v="0"/>
    <x v="2"/>
    <x v="2"/>
    <x v="1"/>
    <x v="2"/>
    <s v="EE_A"/>
    <x v="7"/>
    <x v="5"/>
    <s v="GNR_WT_WIND_ON_LS_Y-2030"/>
    <x v="0"/>
    <x v="13"/>
    <n v="571.40243851325897"/>
    <n v="208561.89005733901"/>
    <n v="750822.80420642195"/>
  </r>
  <r>
    <x v="0"/>
    <x v="2"/>
    <x v="2"/>
    <x v="1"/>
    <x v="2"/>
    <s v="EE_A"/>
    <x v="7"/>
    <x v="5"/>
    <s v="GNR_WT_WIND_ON_LS_Y-2030"/>
    <x v="0"/>
    <x v="14"/>
    <n v="587.00263207266801"/>
    <n v="214255.960706524"/>
    <n v="771321.45854348596"/>
  </r>
  <r>
    <x v="0"/>
    <x v="2"/>
    <x v="2"/>
    <x v="1"/>
    <x v="2"/>
    <s v="EE_A"/>
    <x v="7"/>
    <x v="5"/>
    <s v="GNR_WT_WIND_ON_LS_Y-2030"/>
    <x v="0"/>
    <x v="15"/>
    <n v="561.24417293968997"/>
    <n v="204854.12312298699"/>
    <n v="737474.84324275295"/>
  </r>
  <r>
    <x v="0"/>
    <x v="2"/>
    <x v="2"/>
    <x v="1"/>
    <x v="2"/>
    <s v="EE_A"/>
    <x v="7"/>
    <x v="5"/>
    <s v="GNR_WT_WIND_ON_LS_Y-2030"/>
    <x v="0"/>
    <x v="16"/>
    <n v="568.13728172175502"/>
    <n v="207370.10782844"/>
    <n v="746532.38818238501"/>
  </r>
  <r>
    <x v="0"/>
    <x v="2"/>
    <x v="2"/>
    <x v="1"/>
    <x v="2"/>
    <s v="EE_A"/>
    <x v="7"/>
    <x v="5"/>
    <s v="GNR_WT_WIND_ON_LS_Y-2030"/>
    <x v="0"/>
    <x v="17"/>
    <n v="686.77131181307902"/>
    <n v="250671.52881177401"/>
    <n v="902417.50372238597"/>
  </r>
  <r>
    <x v="0"/>
    <x v="2"/>
    <x v="2"/>
    <x v="1"/>
    <x v="2"/>
    <s v="EE_A"/>
    <x v="7"/>
    <x v="5"/>
    <s v="GNR_WT_WIND_ON_LS_Y-2030"/>
    <x v="0"/>
    <x v="19"/>
    <n v="781.09806356764898"/>
    <n v="285100.793202192"/>
    <n v="1026362.85552789"/>
  </r>
  <r>
    <x v="0"/>
    <x v="2"/>
    <x v="2"/>
    <x v="1"/>
    <x v="2"/>
    <s v="EE_A"/>
    <x v="7"/>
    <x v="5"/>
    <s v="GNR_WT_WIND_ON_LS_Y-2030"/>
    <x v="0"/>
    <x v="20"/>
    <n v="756.79078523089402"/>
    <n v="276228.636609276"/>
    <n v="994423.091793395"/>
  </r>
  <r>
    <x v="0"/>
    <x v="2"/>
    <x v="2"/>
    <x v="1"/>
    <x v="2"/>
    <s v="EE_A"/>
    <x v="7"/>
    <x v="5"/>
    <s v="GNR_WT_WIND_ON_LS_Y-2030"/>
    <x v="0"/>
    <x v="21"/>
    <n v="834.79175302794204"/>
    <n v="304698.989855199"/>
    <n v="1096916.36347872"/>
  </r>
  <r>
    <x v="0"/>
    <x v="2"/>
    <x v="2"/>
    <x v="1"/>
    <x v="2"/>
    <s v="EE_A"/>
    <x v="7"/>
    <x v="5"/>
    <s v="GNR_WT_WIND_ON_LS_Y-2030"/>
    <x v="0"/>
    <x v="22"/>
    <n v="905.89961204292501"/>
    <n v="330653.35839566798"/>
    <n v="1190352.0902243999"/>
  </r>
  <r>
    <x v="0"/>
    <x v="2"/>
    <x v="2"/>
    <x v="1"/>
    <x v="2"/>
    <s v="EE_A"/>
    <x v="7"/>
    <x v="5"/>
    <s v="GNR_WT_WIND_ON_LS_Y-2030"/>
    <x v="0"/>
    <x v="23"/>
    <n v="887.397056891067"/>
    <n v="323899.92576523998"/>
    <n v="1166039.7327548601"/>
  </r>
  <r>
    <x v="0"/>
    <x v="2"/>
    <x v="2"/>
    <x v="1"/>
    <x v="2"/>
    <s v="EE_Industry"/>
    <x v="9"/>
    <x v="0"/>
    <s v="GNR_ENG_RETORT-GAS_E-44"/>
    <x v="0"/>
    <x v="6"/>
    <n v="95"/>
    <n v="34675"/>
    <n v="124830"/>
  </r>
  <r>
    <x v="0"/>
    <x v="2"/>
    <x v="2"/>
    <x v="1"/>
    <x v="2"/>
    <s v="EE_Industry"/>
    <x v="9"/>
    <x v="0"/>
    <s v="GNR_ENG_RETORT-GAS_E-44"/>
    <x v="0"/>
    <x v="7"/>
    <n v="95"/>
    <n v="34675"/>
    <n v="124830"/>
  </r>
  <r>
    <x v="0"/>
    <x v="2"/>
    <x v="2"/>
    <x v="1"/>
    <x v="2"/>
    <s v="EE_Industry"/>
    <x v="9"/>
    <x v="0"/>
    <s v="GNR_ENG_RETORT-GAS_E-44"/>
    <x v="0"/>
    <x v="8"/>
    <n v="37.735025733616702"/>
    <n v="13773.2843927701"/>
    <n v="49583.823813972303"/>
  </r>
  <r>
    <x v="0"/>
    <x v="2"/>
    <x v="2"/>
    <x v="1"/>
    <x v="2"/>
    <s v="EE_Industry"/>
    <x v="9"/>
    <x v="0"/>
    <s v="GNR_ENG_RETORT-GAS_E-44"/>
    <x v="0"/>
    <x v="9"/>
    <n v="95"/>
    <n v="34675"/>
    <n v="124830"/>
  </r>
  <r>
    <x v="0"/>
    <x v="2"/>
    <x v="2"/>
    <x v="1"/>
    <x v="2"/>
    <s v="EE_Industry"/>
    <x v="9"/>
    <x v="0"/>
    <s v="GNR_ENG_RETORT-GAS_E-44"/>
    <x v="0"/>
    <x v="10"/>
    <n v="26.080627936470702"/>
    <n v="9519.4291968117996"/>
    <n v="34269.945108522501"/>
  </r>
  <r>
    <x v="0"/>
    <x v="2"/>
    <x v="2"/>
    <x v="1"/>
    <x v="2"/>
    <s v="EE_Industry"/>
    <x v="9"/>
    <x v="0"/>
    <s v="GNR_ENG_RETORT-GAS_E-44"/>
    <x v="0"/>
    <x v="15"/>
    <n v="95"/>
    <n v="34675"/>
    <n v="124830"/>
  </r>
  <r>
    <x v="0"/>
    <x v="2"/>
    <x v="2"/>
    <x v="1"/>
    <x v="2"/>
    <s v="EE_Industry"/>
    <x v="9"/>
    <x v="0"/>
    <s v="GNR_ENG_RETORT-GAS_E-44"/>
    <x v="0"/>
    <x v="16"/>
    <n v="95"/>
    <n v="34675"/>
    <n v="124830"/>
  </r>
  <r>
    <x v="0"/>
    <x v="2"/>
    <x v="2"/>
    <x v="1"/>
    <x v="2"/>
    <s v="EE_Industry"/>
    <x v="10"/>
    <x v="2"/>
    <s v="GNR_ST_WOODWST_BP_E-53"/>
    <x v="0"/>
    <x v="6"/>
    <n v="5.9863777403987299"/>
    <n v="2185.0278752455401"/>
    <n v="7866.1003508839303"/>
  </r>
  <r>
    <x v="0"/>
    <x v="2"/>
    <x v="2"/>
    <x v="1"/>
    <x v="2"/>
    <s v="EE_Industry"/>
    <x v="10"/>
    <x v="2"/>
    <s v="GNR_ST_WOODWST_BP_E-53"/>
    <x v="0"/>
    <x v="7"/>
    <n v="5.81785692917056"/>
    <n v="2123.5177791472502"/>
    <n v="7644.6640049301204"/>
  </r>
  <r>
    <x v="0"/>
    <x v="2"/>
    <x v="2"/>
    <x v="1"/>
    <x v="2"/>
    <s v="EE_Industry"/>
    <x v="10"/>
    <x v="2"/>
    <s v="GNR_ST_WOODWST_BP_E-53"/>
    <x v="0"/>
    <x v="9"/>
    <n v="5.5274826082850499"/>
    <n v="2017.53115202404"/>
    <n v="7263.1121472865498"/>
  </r>
  <r>
    <x v="0"/>
    <x v="2"/>
    <x v="2"/>
    <x v="1"/>
    <x v="2"/>
    <s v="EE_Rural"/>
    <x v="6"/>
    <x v="4"/>
    <s v="GNR_ROR_WTR"/>
    <x v="0"/>
    <x v="0"/>
    <n v="3.4246575342465699"/>
    <n v="1250"/>
    <n v="4500"/>
  </r>
  <r>
    <x v="0"/>
    <x v="2"/>
    <x v="2"/>
    <x v="1"/>
    <x v="2"/>
    <s v="EE_Rural"/>
    <x v="6"/>
    <x v="4"/>
    <s v="GNR_ROR_WTR"/>
    <x v="0"/>
    <x v="1"/>
    <n v="3.4246575342465699"/>
    <n v="1250"/>
    <n v="4500"/>
  </r>
  <r>
    <x v="0"/>
    <x v="2"/>
    <x v="2"/>
    <x v="1"/>
    <x v="2"/>
    <s v="EE_Rural"/>
    <x v="6"/>
    <x v="4"/>
    <s v="GNR_ROR_WTR"/>
    <x v="0"/>
    <x v="18"/>
    <n v="3.4246575342465699"/>
    <n v="1250"/>
    <n v="4500"/>
  </r>
  <r>
    <x v="0"/>
    <x v="2"/>
    <x v="2"/>
    <x v="1"/>
    <x v="2"/>
    <s v="EE_Rural"/>
    <x v="6"/>
    <x v="4"/>
    <s v="GNR_ROR_WTR"/>
    <x v="0"/>
    <x v="2"/>
    <n v="3.4246575342465699"/>
    <n v="1250"/>
    <n v="4500"/>
  </r>
  <r>
    <x v="0"/>
    <x v="2"/>
    <x v="2"/>
    <x v="1"/>
    <x v="2"/>
    <s v="EE_Rural"/>
    <x v="6"/>
    <x v="4"/>
    <s v="GNR_ROR_WTR"/>
    <x v="0"/>
    <x v="3"/>
    <n v="3.4246575342465699"/>
    <n v="1250"/>
    <n v="4500"/>
  </r>
  <r>
    <x v="0"/>
    <x v="2"/>
    <x v="2"/>
    <x v="1"/>
    <x v="2"/>
    <s v="EE_Rural"/>
    <x v="6"/>
    <x v="4"/>
    <s v="GNR_ROR_WTR"/>
    <x v="0"/>
    <x v="4"/>
    <n v="3.4246575342465699"/>
    <n v="1250"/>
    <n v="4500"/>
  </r>
  <r>
    <x v="0"/>
    <x v="2"/>
    <x v="2"/>
    <x v="1"/>
    <x v="2"/>
    <s v="EE_Rural"/>
    <x v="6"/>
    <x v="4"/>
    <s v="GNR_ROR_WTR"/>
    <x v="0"/>
    <x v="5"/>
    <n v="3.4246575342465699"/>
    <n v="1250"/>
    <n v="4500"/>
  </r>
  <r>
    <x v="0"/>
    <x v="2"/>
    <x v="2"/>
    <x v="1"/>
    <x v="2"/>
    <s v="EE_Rural"/>
    <x v="6"/>
    <x v="4"/>
    <s v="GNR_ROR_WTR"/>
    <x v="0"/>
    <x v="6"/>
    <n v="3.4246575342465699"/>
    <n v="1250"/>
    <n v="4500"/>
  </r>
  <r>
    <x v="0"/>
    <x v="2"/>
    <x v="2"/>
    <x v="1"/>
    <x v="2"/>
    <s v="EE_Rural"/>
    <x v="6"/>
    <x v="4"/>
    <s v="GNR_ROR_WTR"/>
    <x v="0"/>
    <x v="7"/>
    <n v="3.4246575342465699"/>
    <n v="1250"/>
    <n v="4500"/>
  </r>
  <r>
    <x v="0"/>
    <x v="2"/>
    <x v="2"/>
    <x v="1"/>
    <x v="2"/>
    <s v="EE_Rural"/>
    <x v="6"/>
    <x v="4"/>
    <s v="GNR_ROR_WTR"/>
    <x v="0"/>
    <x v="8"/>
    <n v="3.4246575342465699"/>
    <n v="1250"/>
    <n v="4500"/>
  </r>
  <r>
    <x v="0"/>
    <x v="2"/>
    <x v="2"/>
    <x v="1"/>
    <x v="2"/>
    <s v="EE_Rural"/>
    <x v="6"/>
    <x v="4"/>
    <s v="GNR_ROR_WTR"/>
    <x v="0"/>
    <x v="9"/>
    <n v="3.4246575342465699"/>
    <n v="1250"/>
    <n v="4500"/>
  </r>
  <r>
    <x v="0"/>
    <x v="2"/>
    <x v="2"/>
    <x v="1"/>
    <x v="2"/>
    <s v="EE_Rural"/>
    <x v="6"/>
    <x v="4"/>
    <s v="GNR_ROR_WTR"/>
    <x v="0"/>
    <x v="10"/>
    <n v="3.4246575342465699"/>
    <n v="1250"/>
    <n v="4500"/>
  </r>
  <r>
    <x v="0"/>
    <x v="2"/>
    <x v="2"/>
    <x v="1"/>
    <x v="2"/>
    <s v="EE_Rural"/>
    <x v="6"/>
    <x v="4"/>
    <s v="GNR_ROR_WTR"/>
    <x v="0"/>
    <x v="11"/>
    <n v="3.4246575342465699"/>
    <n v="1250"/>
    <n v="4500"/>
  </r>
  <r>
    <x v="0"/>
    <x v="2"/>
    <x v="2"/>
    <x v="1"/>
    <x v="2"/>
    <s v="EE_Rural"/>
    <x v="6"/>
    <x v="4"/>
    <s v="GNR_ROR_WTR"/>
    <x v="0"/>
    <x v="12"/>
    <n v="3.4246575342465699"/>
    <n v="1250"/>
    <n v="4500"/>
  </r>
  <r>
    <x v="0"/>
    <x v="2"/>
    <x v="2"/>
    <x v="1"/>
    <x v="2"/>
    <s v="EE_Rural"/>
    <x v="6"/>
    <x v="4"/>
    <s v="GNR_ROR_WTR"/>
    <x v="0"/>
    <x v="13"/>
    <n v="3.4246575342465699"/>
    <n v="1250"/>
    <n v="4500"/>
  </r>
  <r>
    <x v="0"/>
    <x v="2"/>
    <x v="2"/>
    <x v="1"/>
    <x v="2"/>
    <s v="EE_Rural"/>
    <x v="6"/>
    <x v="4"/>
    <s v="GNR_ROR_WTR"/>
    <x v="0"/>
    <x v="14"/>
    <n v="3.4246575342465699"/>
    <n v="1250"/>
    <n v="4500"/>
  </r>
  <r>
    <x v="0"/>
    <x v="2"/>
    <x v="2"/>
    <x v="1"/>
    <x v="2"/>
    <s v="EE_Rural"/>
    <x v="6"/>
    <x v="4"/>
    <s v="GNR_ROR_WTR"/>
    <x v="0"/>
    <x v="15"/>
    <n v="3.4246575342465699"/>
    <n v="1250"/>
    <n v="4500"/>
  </r>
  <r>
    <x v="0"/>
    <x v="2"/>
    <x v="2"/>
    <x v="1"/>
    <x v="2"/>
    <s v="EE_Rural"/>
    <x v="6"/>
    <x v="4"/>
    <s v="GNR_ROR_WTR"/>
    <x v="0"/>
    <x v="16"/>
    <n v="3.4246575342465699"/>
    <n v="1250"/>
    <n v="4500"/>
  </r>
  <r>
    <x v="0"/>
    <x v="2"/>
    <x v="2"/>
    <x v="1"/>
    <x v="2"/>
    <s v="EE_Rural"/>
    <x v="6"/>
    <x v="4"/>
    <s v="GNR_ROR_WTR"/>
    <x v="0"/>
    <x v="17"/>
    <n v="3.4246575342465699"/>
    <n v="1250"/>
    <n v="4500"/>
  </r>
  <r>
    <x v="0"/>
    <x v="2"/>
    <x v="2"/>
    <x v="1"/>
    <x v="2"/>
    <s v="EE_Rural"/>
    <x v="6"/>
    <x v="4"/>
    <s v="GNR_ROR_WTR"/>
    <x v="0"/>
    <x v="19"/>
    <n v="3.4246575342465699"/>
    <n v="1250"/>
    <n v="4500"/>
  </r>
  <r>
    <x v="0"/>
    <x v="2"/>
    <x v="2"/>
    <x v="1"/>
    <x v="2"/>
    <s v="EE_Rural"/>
    <x v="6"/>
    <x v="4"/>
    <s v="GNR_ROR_WTR"/>
    <x v="0"/>
    <x v="20"/>
    <n v="3.4246575342465699"/>
    <n v="1250"/>
    <n v="4500"/>
  </r>
  <r>
    <x v="0"/>
    <x v="2"/>
    <x v="2"/>
    <x v="1"/>
    <x v="2"/>
    <s v="EE_Rural"/>
    <x v="6"/>
    <x v="4"/>
    <s v="GNR_ROR_WTR"/>
    <x v="0"/>
    <x v="21"/>
    <n v="3.4246575342465699"/>
    <n v="1250"/>
    <n v="4500"/>
  </r>
  <r>
    <x v="0"/>
    <x v="2"/>
    <x v="2"/>
    <x v="1"/>
    <x v="2"/>
    <s v="EE_Rural"/>
    <x v="6"/>
    <x v="4"/>
    <s v="GNR_ROR_WTR"/>
    <x v="0"/>
    <x v="22"/>
    <n v="3.4246575342465699"/>
    <n v="1250"/>
    <n v="4500"/>
  </r>
  <r>
    <x v="0"/>
    <x v="2"/>
    <x v="2"/>
    <x v="1"/>
    <x v="2"/>
    <s v="EE_Rural"/>
    <x v="6"/>
    <x v="4"/>
    <s v="GNR_ROR_WTR"/>
    <x v="0"/>
    <x v="23"/>
    <n v="3.4246575342465699"/>
    <n v="1250"/>
    <n v="4500"/>
  </r>
  <r>
    <x v="0"/>
    <x v="2"/>
    <x v="2"/>
    <x v="1"/>
    <x v="2"/>
    <s v="EE_Rural"/>
    <x v="7"/>
    <x v="5"/>
    <s v="GNR_WT_WIND_ONS"/>
    <x v="0"/>
    <x v="0"/>
    <n v="15.3241879226018"/>
    <n v="5593.3285917496396"/>
    <n v="20135.982930298698"/>
  </r>
  <r>
    <x v="0"/>
    <x v="2"/>
    <x v="2"/>
    <x v="1"/>
    <x v="2"/>
    <s v="EE_Rural"/>
    <x v="7"/>
    <x v="5"/>
    <s v="GNR_WT_WIND_ONS"/>
    <x v="0"/>
    <x v="1"/>
    <n v="18.389025507122099"/>
    <n v="6711.9943100995697"/>
    <n v="24163.179516358501"/>
  </r>
  <r>
    <x v="0"/>
    <x v="2"/>
    <x v="2"/>
    <x v="1"/>
    <x v="2"/>
    <s v="EE_Rural"/>
    <x v="7"/>
    <x v="5"/>
    <s v="GNR_WT_WIND_ONS"/>
    <x v="0"/>
    <x v="18"/>
    <n v="17.9511915664764"/>
    <n v="6552.1849217638701"/>
    <n v="23587.865718349902"/>
  </r>
  <r>
    <x v="0"/>
    <x v="2"/>
    <x v="2"/>
    <x v="1"/>
    <x v="2"/>
    <s v="EE_Rural"/>
    <x v="7"/>
    <x v="5"/>
    <s v="GNR_WT_WIND_ONS"/>
    <x v="0"/>
    <x v="2"/>
    <n v="16.856606714861901"/>
    <n v="6152.6614509246101"/>
    <n v="22149.581223328601"/>
  </r>
  <r>
    <x v="0"/>
    <x v="2"/>
    <x v="2"/>
    <x v="1"/>
    <x v="2"/>
    <s v="EE_Rural"/>
    <x v="7"/>
    <x v="5"/>
    <s v="GNR_WT_WIND_ONS"/>
    <x v="0"/>
    <x v="3"/>
    <n v="12.4782673084043"/>
    <n v="4554.5675675675702"/>
    <n v="16396.4432432432"/>
  </r>
  <r>
    <x v="0"/>
    <x v="2"/>
    <x v="2"/>
    <x v="1"/>
    <x v="2"/>
    <s v="EE_Rural"/>
    <x v="7"/>
    <x v="5"/>
    <s v="GNR_WT_WIND_ONS"/>
    <x v="0"/>
    <x v="4"/>
    <n v="7.2242600206551204"/>
    <n v="2636.8549075391202"/>
    <n v="9492.6776671408206"/>
  </r>
  <r>
    <x v="0"/>
    <x v="2"/>
    <x v="2"/>
    <x v="1"/>
    <x v="2"/>
    <s v="EE_Rural"/>
    <x v="7"/>
    <x v="5"/>
    <s v="GNR_WT_WIND_ONS"/>
    <x v="0"/>
    <x v="5"/>
    <n v="1.53241879226018"/>
    <n v="559.33285917496403"/>
    <n v="2013.5982930298701"/>
  </r>
  <r>
    <x v="0"/>
    <x v="2"/>
    <x v="2"/>
    <x v="1"/>
    <x v="2"/>
    <s v="EE_Rural"/>
    <x v="7"/>
    <x v="5"/>
    <s v="GNR_WT_WIND_ONS"/>
    <x v="0"/>
    <x v="6"/>
    <n v="1.0945848516144101"/>
    <n v="399.52347083926003"/>
    <n v="1438.28449502134"/>
  </r>
  <r>
    <x v="0"/>
    <x v="2"/>
    <x v="2"/>
    <x v="1"/>
    <x v="2"/>
    <s v="EE_Rural"/>
    <x v="7"/>
    <x v="5"/>
    <s v="GNR_WT_WIND_ONS"/>
    <x v="0"/>
    <x v="7"/>
    <n v="1.53241879226018"/>
    <n v="559.33285917496403"/>
    <n v="2013.5982930298701"/>
  </r>
  <r>
    <x v="0"/>
    <x v="2"/>
    <x v="2"/>
    <x v="1"/>
    <x v="2"/>
    <s v="EE_Rural"/>
    <x v="7"/>
    <x v="5"/>
    <s v="GNR_WT_WIND_ONS"/>
    <x v="0"/>
    <x v="8"/>
    <n v="7.2242600206551204"/>
    <n v="2636.8549075391202"/>
    <n v="9492.6776671408206"/>
  </r>
  <r>
    <x v="0"/>
    <x v="2"/>
    <x v="2"/>
    <x v="1"/>
    <x v="2"/>
    <s v="EE_Rural"/>
    <x v="7"/>
    <x v="5"/>
    <s v="GNR_WT_WIND_ONS"/>
    <x v="0"/>
    <x v="9"/>
    <n v="16.856606714861901"/>
    <n v="6152.6614509246101"/>
    <n v="22149.581223328601"/>
  </r>
  <r>
    <x v="0"/>
    <x v="2"/>
    <x v="2"/>
    <x v="1"/>
    <x v="2"/>
    <s v="EE_Rural"/>
    <x v="7"/>
    <x v="5"/>
    <s v="GNR_WT_WIND_ONS"/>
    <x v="0"/>
    <x v="10"/>
    <n v="26.051119468423"/>
    <n v="9508.6586059743895"/>
    <n v="34231.170981507799"/>
  </r>
  <r>
    <x v="0"/>
    <x v="2"/>
    <x v="2"/>
    <x v="1"/>
    <x v="2"/>
    <s v="EE_Rural"/>
    <x v="7"/>
    <x v="5"/>
    <s v="GNR_WT_WIND_ONS"/>
    <x v="0"/>
    <x v="11"/>
    <n v="30.2105419045578"/>
    <n v="11026.8477951636"/>
    <n v="39696.652062588902"/>
  </r>
  <r>
    <x v="0"/>
    <x v="2"/>
    <x v="2"/>
    <x v="1"/>
    <x v="2"/>
    <s v="EE_Rural"/>
    <x v="7"/>
    <x v="5"/>
    <s v="GNR_WT_WIND_ONS"/>
    <x v="0"/>
    <x v="12"/>
    <n v="34.588881311015399"/>
    <n v="12624.941678520599"/>
    <n v="45449.790042674198"/>
  </r>
  <r>
    <x v="0"/>
    <x v="2"/>
    <x v="2"/>
    <x v="1"/>
    <x v="2"/>
    <s v="EE_Rural"/>
    <x v="7"/>
    <x v="5"/>
    <s v="GNR_WT_WIND_ONS"/>
    <x v="0"/>
    <x v="13"/>
    <n v="34.588881311015399"/>
    <n v="12624.941678520599"/>
    <n v="45449.790042674198"/>
  </r>
  <r>
    <x v="0"/>
    <x v="2"/>
    <x v="2"/>
    <x v="1"/>
    <x v="2"/>
    <s v="EE_Rural"/>
    <x v="7"/>
    <x v="5"/>
    <s v="GNR_WT_WIND_ONS"/>
    <x v="0"/>
    <x v="14"/>
    <n v="54.729242580720602"/>
    <n v="19976.173541962999"/>
    <n v="71914.224751066897"/>
  </r>
  <r>
    <x v="0"/>
    <x v="2"/>
    <x v="2"/>
    <x v="1"/>
    <x v="2"/>
    <s v="EE_Rural"/>
    <x v="7"/>
    <x v="5"/>
    <s v="GNR_WT_WIND_ONS"/>
    <x v="0"/>
    <x v="15"/>
    <n v="70.710181414291"/>
    <n v="25809.216216216199"/>
    <n v="92913.178378378405"/>
  </r>
  <r>
    <x v="0"/>
    <x v="2"/>
    <x v="2"/>
    <x v="1"/>
    <x v="2"/>
    <s v="EE_Rural"/>
    <x v="7"/>
    <x v="5"/>
    <s v="GNR_WT_WIND_ONS"/>
    <x v="0"/>
    <x v="16"/>
    <n v="69.834513532999495"/>
    <n v="25489.597439544799"/>
    <n v="91762.550782361301"/>
  </r>
  <r>
    <x v="0"/>
    <x v="2"/>
    <x v="2"/>
    <x v="1"/>
    <x v="2"/>
    <s v="EE_Rural"/>
    <x v="7"/>
    <x v="5"/>
    <s v="GNR_WT_WIND_ONS"/>
    <x v="0"/>
    <x v="17"/>
    <n v="95.447799060776703"/>
    <n v="34838.4466571835"/>
    <n v="125418.407965861"/>
  </r>
  <r>
    <x v="0"/>
    <x v="2"/>
    <x v="2"/>
    <x v="1"/>
    <x v="2"/>
    <s v="EE_Rural"/>
    <x v="7"/>
    <x v="5"/>
    <s v="GNR_WT_WIND_ONS"/>
    <x v="0"/>
    <x v="19"/>
    <n v="142.07711373955101"/>
    <n v="51858.146514936001"/>
    <n v="186689.32745377001"/>
  </r>
  <r>
    <x v="0"/>
    <x v="2"/>
    <x v="2"/>
    <x v="1"/>
    <x v="2"/>
    <s v="EE_Rural"/>
    <x v="7"/>
    <x v="5"/>
    <s v="GNR_WT_WIND_ONS"/>
    <x v="0"/>
    <x v="20"/>
    <n v="164.62556168280801"/>
    <n v="60088.330014224703"/>
    <n v="216317.98805120899"/>
  </r>
  <r>
    <x v="0"/>
    <x v="2"/>
    <x v="2"/>
    <x v="1"/>
    <x v="2"/>
    <s v="EE_Rural"/>
    <x v="7"/>
    <x v="5"/>
    <s v="GNR_WT_WIND_ONS"/>
    <x v="0"/>
    <x v="21"/>
    <n v="177.54166293185801"/>
    <n v="64802.706970127998"/>
    <n v="233289.745092461"/>
  </r>
  <r>
    <x v="0"/>
    <x v="2"/>
    <x v="2"/>
    <x v="1"/>
    <x v="2"/>
    <s v="EE_Rural"/>
    <x v="7"/>
    <x v="5"/>
    <s v="GNR_WT_WIND_ONS"/>
    <x v="0"/>
    <x v="22"/>
    <n v="180.387583546055"/>
    <n v="65841.467994310093"/>
    <n v="237029.28477951599"/>
  </r>
  <r>
    <x v="0"/>
    <x v="2"/>
    <x v="2"/>
    <x v="1"/>
    <x v="2"/>
    <s v="EE_Rural"/>
    <x v="7"/>
    <x v="5"/>
    <s v="GNR_WT_WIND_ONS"/>
    <x v="0"/>
    <x v="23"/>
    <n v="187.830760537033"/>
    <n v="68558.227596017095"/>
    <n v="246809.61934566099"/>
  </r>
  <r>
    <x v="0"/>
    <x v="2"/>
    <x v="2"/>
    <x v="1"/>
    <x v="2"/>
    <s v="EE_Rural"/>
    <x v="10"/>
    <x v="2"/>
    <s v="EBAVERE_ST_WOODWST_BP"/>
    <x v="0"/>
    <x v="0"/>
    <n v="10"/>
    <n v="3650"/>
    <n v="13140"/>
  </r>
  <r>
    <x v="0"/>
    <x v="2"/>
    <x v="2"/>
    <x v="1"/>
    <x v="2"/>
    <s v="EE_Rural"/>
    <x v="10"/>
    <x v="2"/>
    <s v="EBAVERE_ST_WOODWST_BP"/>
    <x v="0"/>
    <x v="1"/>
    <n v="10"/>
    <n v="3650"/>
    <n v="13140"/>
  </r>
  <r>
    <x v="0"/>
    <x v="2"/>
    <x v="2"/>
    <x v="1"/>
    <x v="2"/>
    <s v="EE_Rural"/>
    <x v="10"/>
    <x v="2"/>
    <s v="EBAVERE_ST_WOODWST_BP"/>
    <x v="0"/>
    <x v="18"/>
    <n v="10"/>
    <n v="3650"/>
    <n v="13140"/>
  </r>
  <r>
    <x v="0"/>
    <x v="2"/>
    <x v="2"/>
    <x v="1"/>
    <x v="2"/>
    <s v="EE_Rural"/>
    <x v="10"/>
    <x v="2"/>
    <s v="EBAVERE_ST_WOODWST_BP"/>
    <x v="0"/>
    <x v="2"/>
    <n v="10"/>
    <n v="3650"/>
    <n v="13140"/>
  </r>
  <r>
    <x v="0"/>
    <x v="2"/>
    <x v="2"/>
    <x v="1"/>
    <x v="2"/>
    <s v="EE_Rural"/>
    <x v="10"/>
    <x v="2"/>
    <s v="EBAVERE_ST_WOODWST_BP"/>
    <x v="0"/>
    <x v="3"/>
    <n v="10"/>
    <n v="3650"/>
    <n v="13140"/>
  </r>
  <r>
    <x v="0"/>
    <x v="2"/>
    <x v="2"/>
    <x v="1"/>
    <x v="2"/>
    <s v="EE_Rural"/>
    <x v="10"/>
    <x v="2"/>
    <s v="EBAVERE_ST_WOODWST_BP"/>
    <x v="0"/>
    <x v="4"/>
    <n v="10"/>
    <n v="3650"/>
    <n v="13140"/>
  </r>
  <r>
    <x v="0"/>
    <x v="2"/>
    <x v="2"/>
    <x v="1"/>
    <x v="2"/>
    <s v="EE_Rural"/>
    <x v="10"/>
    <x v="2"/>
    <s v="EBAVERE_ST_WOODWST_BP"/>
    <x v="0"/>
    <x v="5"/>
    <n v="10"/>
    <n v="3650"/>
    <n v="13140"/>
  </r>
  <r>
    <x v="0"/>
    <x v="2"/>
    <x v="2"/>
    <x v="1"/>
    <x v="2"/>
    <s v="EE_Rural"/>
    <x v="10"/>
    <x v="2"/>
    <s v="EBAVERE_ST_WOODWST_BP"/>
    <x v="0"/>
    <x v="6"/>
    <n v="10"/>
    <n v="3650"/>
    <n v="13140"/>
  </r>
  <r>
    <x v="0"/>
    <x v="2"/>
    <x v="2"/>
    <x v="1"/>
    <x v="2"/>
    <s v="EE_Rural"/>
    <x v="10"/>
    <x v="2"/>
    <s v="EBAVERE_ST_WOODWST_BP"/>
    <x v="0"/>
    <x v="7"/>
    <n v="10"/>
    <n v="3650"/>
    <n v="13140"/>
  </r>
  <r>
    <x v="0"/>
    <x v="2"/>
    <x v="2"/>
    <x v="1"/>
    <x v="2"/>
    <s v="EE_Rural"/>
    <x v="10"/>
    <x v="2"/>
    <s v="EBAVERE_ST_WOODWST_BP"/>
    <x v="0"/>
    <x v="8"/>
    <n v="10"/>
    <n v="3650"/>
    <n v="13140"/>
  </r>
  <r>
    <x v="0"/>
    <x v="2"/>
    <x v="2"/>
    <x v="1"/>
    <x v="2"/>
    <s v="EE_Rural"/>
    <x v="10"/>
    <x v="2"/>
    <s v="EBAVERE_ST_WOODWST_BP"/>
    <x v="0"/>
    <x v="9"/>
    <n v="10"/>
    <n v="3650"/>
    <n v="13140"/>
  </r>
  <r>
    <x v="0"/>
    <x v="2"/>
    <x v="2"/>
    <x v="1"/>
    <x v="2"/>
    <s v="EE_Rural"/>
    <x v="10"/>
    <x v="2"/>
    <s v="EBAVERE_ST_WOODWST_BP"/>
    <x v="0"/>
    <x v="10"/>
    <n v="10"/>
    <n v="3650"/>
    <n v="13140"/>
  </r>
  <r>
    <x v="0"/>
    <x v="2"/>
    <x v="2"/>
    <x v="1"/>
    <x v="2"/>
    <s v="EE_Rural"/>
    <x v="10"/>
    <x v="2"/>
    <s v="EBAVERE_ST_WOODWST_BP"/>
    <x v="0"/>
    <x v="11"/>
    <n v="10"/>
    <n v="3650"/>
    <n v="13140"/>
  </r>
  <r>
    <x v="0"/>
    <x v="2"/>
    <x v="2"/>
    <x v="1"/>
    <x v="2"/>
    <s v="EE_Rural"/>
    <x v="10"/>
    <x v="2"/>
    <s v="EBAVERE_ST_WOODWST_BP"/>
    <x v="0"/>
    <x v="12"/>
    <n v="10"/>
    <n v="3650"/>
    <n v="13140"/>
  </r>
  <r>
    <x v="0"/>
    <x v="2"/>
    <x v="2"/>
    <x v="1"/>
    <x v="2"/>
    <s v="EE_Rural"/>
    <x v="10"/>
    <x v="2"/>
    <s v="EBAVERE_ST_WOODWST_BP"/>
    <x v="0"/>
    <x v="13"/>
    <n v="10"/>
    <n v="3650"/>
    <n v="13140"/>
  </r>
  <r>
    <x v="0"/>
    <x v="2"/>
    <x v="2"/>
    <x v="1"/>
    <x v="2"/>
    <s v="EE_Rural"/>
    <x v="10"/>
    <x v="2"/>
    <s v="EBAVERE_ST_WOODWST_BP"/>
    <x v="0"/>
    <x v="14"/>
    <n v="10"/>
    <n v="3650"/>
    <n v="13140"/>
  </r>
  <r>
    <x v="0"/>
    <x v="2"/>
    <x v="2"/>
    <x v="1"/>
    <x v="2"/>
    <s v="EE_Rural"/>
    <x v="10"/>
    <x v="2"/>
    <s v="EBAVERE_ST_WOODWST_BP"/>
    <x v="0"/>
    <x v="15"/>
    <n v="10"/>
    <n v="3650"/>
    <n v="13140"/>
  </r>
  <r>
    <x v="0"/>
    <x v="2"/>
    <x v="2"/>
    <x v="1"/>
    <x v="2"/>
    <s v="EE_Rural"/>
    <x v="10"/>
    <x v="2"/>
    <s v="EBAVERE_ST_WOODWST_BP"/>
    <x v="0"/>
    <x v="16"/>
    <n v="10"/>
    <n v="3650"/>
    <n v="13140"/>
  </r>
  <r>
    <x v="0"/>
    <x v="2"/>
    <x v="2"/>
    <x v="1"/>
    <x v="2"/>
    <s v="EE_Rural"/>
    <x v="10"/>
    <x v="2"/>
    <s v="EBAVERE_ST_WOODWST_BP"/>
    <x v="0"/>
    <x v="17"/>
    <n v="10"/>
    <n v="3650"/>
    <n v="13140"/>
  </r>
  <r>
    <x v="0"/>
    <x v="2"/>
    <x v="2"/>
    <x v="1"/>
    <x v="2"/>
    <s v="EE_Rural"/>
    <x v="10"/>
    <x v="2"/>
    <s v="EBAVERE_ST_WOODWST_BP"/>
    <x v="0"/>
    <x v="19"/>
    <n v="10"/>
    <n v="3650"/>
    <n v="13140"/>
  </r>
  <r>
    <x v="0"/>
    <x v="2"/>
    <x v="2"/>
    <x v="1"/>
    <x v="2"/>
    <s v="EE_Rural"/>
    <x v="10"/>
    <x v="2"/>
    <s v="EBAVERE_ST_WOODWST_BP"/>
    <x v="0"/>
    <x v="20"/>
    <n v="10"/>
    <n v="3650"/>
    <n v="13140"/>
  </r>
  <r>
    <x v="0"/>
    <x v="2"/>
    <x v="2"/>
    <x v="1"/>
    <x v="2"/>
    <s v="EE_Rural"/>
    <x v="10"/>
    <x v="2"/>
    <s v="EBAVERE_ST_WOODWST_BP"/>
    <x v="0"/>
    <x v="21"/>
    <n v="10"/>
    <n v="3650"/>
    <n v="13140"/>
  </r>
  <r>
    <x v="0"/>
    <x v="2"/>
    <x v="2"/>
    <x v="1"/>
    <x v="2"/>
    <s v="EE_Rural"/>
    <x v="10"/>
    <x v="2"/>
    <s v="EBAVERE_ST_WOODWST_BP"/>
    <x v="0"/>
    <x v="22"/>
    <n v="10"/>
    <n v="3650"/>
    <n v="13140"/>
  </r>
  <r>
    <x v="0"/>
    <x v="2"/>
    <x v="2"/>
    <x v="1"/>
    <x v="2"/>
    <s v="EE_Rural"/>
    <x v="10"/>
    <x v="2"/>
    <s v="EBAVERE_ST_WOODWST_BP"/>
    <x v="0"/>
    <x v="23"/>
    <n v="10"/>
    <n v="3650"/>
    <n v="13140"/>
  </r>
  <r>
    <x v="0"/>
    <x v="2"/>
    <x v="2"/>
    <x v="1"/>
    <x v="2"/>
    <s v="EE_Tallinn"/>
    <x v="2"/>
    <x v="2"/>
    <s v="IRU_ST_MSW_BP"/>
    <x v="0"/>
    <x v="0"/>
    <n v="17"/>
    <n v="6205"/>
    <n v="22338"/>
  </r>
  <r>
    <x v="0"/>
    <x v="2"/>
    <x v="2"/>
    <x v="1"/>
    <x v="2"/>
    <s v="EE_Tallinn"/>
    <x v="2"/>
    <x v="2"/>
    <s v="IRU_ST_MSW_BP"/>
    <x v="0"/>
    <x v="1"/>
    <n v="17"/>
    <n v="6205"/>
    <n v="22338"/>
  </r>
  <r>
    <x v="0"/>
    <x v="2"/>
    <x v="2"/>
    <x v="1"/>
    <x v="2"/>
    <s v="EE_Tallinn"/>
    <x v="2"/>
    <x v="2"/>
    <s v="IRU_ST_MSW_BP"/>
    <x v="0"/>
    <x v="18"/>
    <n v="17"/>
    <n v="6205"/>
    <n v="22338"/>
  </r>
  <r>
    <x v="0"/>
    <x v="2"/>
    <x v="2"/>
    <x v="1"/>
    <x v="2"/>
    <s v="EE_Tallinn"/>
    <x v="2"/>
    <x v="2"/>
    <s v="IRU_ST_MSW_BP"/>
    <x v="0"/>
    <x v="2"/>
    <n v="17"/>
    <n v="6205"/>
    <n v="22338"/>
  </r>
  <r>
    <x v="0"/>
    <x v="2"/>
    <x v="2"/>
    <x v="1"/>
    <x v="2"/>
    <s v="EE_Tallinn"/>
    <x v="2"/>
    <x v="2"/>
    <s v="IRU_ST_MSW_BP"/>
    <x v="0"/>
    <x v="3"/>
    <n v="17"/>
    <n v="6205"/>
    <n v="22338"/>
  </r>
  <r>
    <x v="0"/>
    <x v="2"/>
    <x v="2"/>
    <x v="1"/>
    <x v="2"/>
    <s v="EE_Tallinn"/>
    <x v="2"/>
    <x v="2"/>
    <s v="IRU_ST_MSW_BP"/>
    <x v="0"/>
    <x v="4"/>
    <n v="17"/>
    <n v="6205"/>
    <n v="22338"/>
  </r>
  <r>
    <x v="0"/>
    <x v="2"/>
    <x v="2"/>
    <x v="1"/>
    <x v="2"/>
    <s v="EE_Tallinn"/>
    <x v="2"/>
    <x v="2"/>
    <s v="IRU_ST_MSW_BP"/>
    <x v="0"/>
    <x v="5"/>
    <n v="17"/>
    <n v="6205"/>
    <n v="22338"/>
  </r>
  <r>
    <x v="0"/>
    <x v="2"/>
    <x v="2"/>
    <x v="1"/>
    <x v="2"/>
    <s v="EE_Tallinn"/>
    <x v="2"/>
    <x v="2"/>
    <s v="IRU_ST_MSW_BP"/>
    <x v="0"/>
    <x v="6"/>
    <n v="17"/>
    <n v="6205"/>
    <n v="22338"/>
  </r>
  <r>
    <x v="0"/>
    <x v="2"/>
    <x v="2"/>
    <x v="1"/>
    <x v="2"/>
    <s v="EE_Tallinn"/>
    <x v="2"/>
    <x v="2"/>
    <s v="IRU_ST_MSW_BP"/>
    <x v="0"/>
    <x v="7"/>
    <n v="17"/>
    <n v="6205"/>
    <n v="22338"/>
  </r>
  <r>
    <x v="0"/>
    <x v="2"/>
    <x v="2"/>
    <x v="1"/>
    <x v="2"/>
    <s v="EE_Tallinn"/>
    <x v="2"/>
    <x v="2"/>
    <s v="IRU_ST_MSW_BP"/>
    <x v="0"/>
    <x v="8"/>
    <n v="17"/>
    <n v="6205"/>
    <n v="22338"/>
  </r>
  <r>
    <x v="0"/>
    <x v="2"/>
    <x v="2"/>
    <x v="1"/>
    <x v="2"/>
    <s v="EE_Tallinn"/>
    <x v="2"/>
    <x v="2"/>
    <s v="IRU_ST_MSW_BP"/>
    <x v="0"/>
    <x v="9"/>
    <n v="17"/>
    <n v="6205"/>
    <n v="22338"/>
  </r>
  <r>
    <x v="0"/>
    <x v="2"/>
    <x v="2"/>
    <x v="1"/>
    <x v="2"/>
    <s v="EE_Tallinn"/>
    <x v="2"/>
    <x v="2"/>
    <s v="IRU_ST_MSW_BP"/>
    <x v="0"/>
    <x v="10"/>
    <n v="17"/>
    <n v="6205"/>
    <n v="22338"/>
  </r>
  <r>
    <x v="0"/>
    <x v="2"/>
    <x v="2"/>
    <x v="1"/>
    <x v="2"/>
    <s v="EE_Tallinn"/>
    <x v="2"/>
    <x v="2"/>
    <s v="IRU_ST_MSW_BP"/>
    <x v="0"/>
    <x v="11"/>
    <n v="17"/>
    <n v="6205"/>
    <n v="22338"/>
  </r>
  <r>
    <x v="0"/>
    <x v="2"/>
    <x v="2"/>
    <x v="1"/>
    <x v="2"/>
    <s v="EE_Tallinn"/>
    <x v="2"/>
    <x v="2"/>
    <s v="IRU_ST_MSW_BP"/>
    <x v="0"/>
    <x v="12"/>
    <n v="17"/>
    <n v="6205"/>
    <n v="22338"/>
  </r>
  <r>
    <x v="0"/>
    <x v="2"/>
    <x v="2"/>
    <x v="1"/>
    <x v="2"/>
    <s v="EE_Tallinn"/>
    <x v="2"/>
    <x v="2"/>
    <s v="IRU_ST_MSW_BP"/>
    <x v="0"/>
    <x v="13"/>
    <n v="17"/>
    <n v="6205"/>
    <n v="22338"/>
  </r>
  <r>
    <x v="0"/>
    <x v="2"/>
    <x v="2"/>
    <x v="1"/>
    <x v="2"/>
    <s v="EE_Tallinn"/>
    <x v="2"/>
    <x v="2"/>
    <s v="IRU_ST_MSW_BP"/>
    <x v="0"/>
    <x v="14"/>
    <n v="17"/>
    <n v="6205"/>
    <n v="22338"/>
  </r>
  <r>
    <x v="0"/>
    <x v="2"/>
    <x v="2"/>
    <x v="1"/>
    <x v="2"/>
    <s v="EE_Tallinn"/>
    <x v="2"/>
    <x v="2"/>
    <s v="IRU_ST_MSW_BP"/>
    <x v="0"/>
    <x v="15"/>
    <n v="17"/>
    <n v="6205"/>
    <n v="22338"/>
  </r>
  <r>
    <x v="0"/>
    <x v="2"/>
    <x v="2"/>
    <x v="1"/>
    <x v="2"/>
    <s v="EE_Tallinn"/>
    <x v="2"/>
    <x v="2"/>
    <s v="IRU_ST_MSW_BP"/>
    <x v="0"/>
    <x v="16"/>
    <n v="17"/>
    <n v="6205"/>
    <n v="22338"/>
  </r>
  <r>
    <x v="0"/>
    <x v="2"/>
    <x v="2"/>
    <x v="1"/>
    <x v="2"/>
    <s v="EE_Tallinn"/>
    <x v="2"/>
    <x v="2"/>
    <s v="IRU_ST_MSW_BP"/>
    <x v="0"/>
    <x v="17"/>
    <n v="17"/>
    <n v="6205"/>
    <n v="22338"/>
  </r>
  <r>
    <x v="0"/>
    <x v="2"/>
    <x v="2"/>
    <x v="1"/>
    <x v="2"/>
    <s v="EE_Tallinn"/>
    <x v="2"/>
    <x v="2"/>
    <s v="IRU_ST_MSW_BP"/>
    <x v="0"/>
    <x v="19"/>
    <n v="17"/>
    <n v="6205"/>
    <n v="22338"/>
  </r>
  <r>
    <x v="0"/>
    <x v="2"/>
    <x v="2"/>
    <x v="1"/>
    <x v="2"/>
    <s v="EE_Tallinn"/>
    <x v="2"/>
    <x v="2"/>
    <s v="IRU_ST_MSW_BP"/>
    <x v="0"/>
    <x v="20"/>
    <n v="17"/>
    <n v="6205"/>
    <n v="22338"/>
  </r>
  <r>
    <x v="0"/>
    <x v="2"/>
    <x v="2"/>
    <x v="1"/>
    <x v="2"/>
    <s v="EE_Tallinn"/>
    <x v="2"/>
    <x v="2"/>
    <s v="IRU_ST_MSW_BP"/>
    <x v="0"/>
    <x v="21"/>
    <n v="17"/>
    <n v="6205"/>
    <n v="22338"/>
  </r>
  <r>
    <x v="0"/>
    <x v="2"/>
    <x v="2"/>
    <x v="1"/>
    <x v="2"/>
    <s v="EE_Tallinn"/>
    <x v="2"/>
    <x v="2"/>
    <s v="IRU_ST_MSW_BP"/>
    <x v="0"/>
    <x v="22"/>
    <n v="17"/>
    <n v="6205"/>
    <n v="22338"/>
  </r>
  <r>
    <x v="0"/>
    <x v="2"/>
    <x v="2"/>
    <x v="1"/>
    <x v="2"/>
    <s v="EE_Tallinn"/>
    <x v="2"/>
    <x v="2"/>
    <s v="IRU_ST_MSW_BP"/>
    <x v="0"/>
    <x v="23"/>
    <n v="17"/>
    <n v="6205"/>
    <n v="22338"/>
  </r>
  <r>
    <x v="0"/>
    <x v="2"/>
    <x v="2"/>
    <x v="2"/>
    <x v="3"/>
    <s v="FIN_EL"/>
    <x v="10"/>
    <x v="2"/>
    <s v="GBPR_WOODWASTE_FINEL"/>
    <x v="0"/>
    <x v="0"/>
    <n v="110"/>
    <n v="40150"/>
    <n v="144540"/>
  </r>
  <r>
    <x v="0"/>
    <x v="2"/>
    <x v="2"/>
    <x v="2"/>
    <x v="3"/>
    <s v="FIN_EL"/>
    <x v="10"/>
    <x v="2"/>
    <s v="GBPR_WOODWASTE_FINEL"/>
    <x v="0"/>
    <x v="1"/>
    <n v="110"/>
    <n v="40150"/>
    <n v="144540"/>
  </r>
  <r>
    <x v="0"/>
    <x v="2"/>
    <x v="2"/>
    <x v="2"/>
    <x v="3"/>
    <s v="FIN_EL"/>
    <x v="10"/>
    <x v="2"/>
    <s v="GBPR_WOODWASTE_FINEL"/>
    <x v="0"/>
    <x v="18"/>
    <n v="110"/>
    <n v="40150"/>
    <n v="144540"/>
  </r>
  <r>
    <x v="0"/>
    <x v="2"/>
    <x v="2"/>
    <x v="2"/>
    <x v="3"/>
    <s v="FIN_EL"/>
    <x v="10"/>
    <x v="2"/>
    <s v="GBPR_WOODWASTE_FINEL"/>
    <x v="0"/>
    <x v="2"/>
    <n v="110"/>
    <n v="40150"/>
    <n v="144540"/>
  </r>
  <r>
    <x v="0"/>
    <x v="2"/>
    <x v="2"/>
    <x v="2"/>
    <x v="3"/>
    <s v="FIN_EL"/>
    <x v="10"/>
    <x v="2"/>
    <s v="GBPR_WOODWASTE_FINEL"/>
    <x v="0"/>
    <x v="3"/>
    <n v="110"/>
    <n v="40150"/>
    <n v="144540"/>
  </r>
  <r>
    <x v="0"/>
    <x v="2"/>
    <x v="2"/>
    <x v="2"/>
    <x v="3"/>
    <s v="FIN_EL"/>
    <x v="10"/>
    <x v="2"/>
    <s v="GBPR_WOODWASTE_FINEL"/>
    <x v="0"/>
    <x v="4"/>
    <n v="110"/>
    <n v="40150"/>
    <n v="144540"/>
  </r>
  <r>
    <x v="0"/>
    <x v="2"/>
    <x v="2"/>
    <x v="2"/>
    <x v="3"/>
    <s v="FIN_EL"/>
    <x v="10"/>
    <x v="2"/>
    <s v="GBPR_WOODWASTE_FINEL"/>
    <x v="0"/>
    <x v="5"/>
    <n v="110"/>
    <n v="40150"/>
    <n v="144540"/>
  </r>
  <r>
    <x v="0"/>
    <x v="2"/>
    <x v="2"/>
    <x v="2"/>
    <x v="3"/>
    <s v="FIN_EL"/>
    <x v="10"/>
    <x v="2"/>
    <s v="GBPR_WOODWASTE_FINEL"/>
    <x v="0"/>
    <x v="6"/>
    <n v="110"/>
    <n v="40150"/>
    <n v="144540"/>
  </r>
  <r>
    <x v="0"/>
    <x v="2"/>
    <x v="2"/>
    <x v="2"/>
    <x v="3"/>
    <s v="FIN_EL"/>
    <x v="10"/>
    <x v="2"/>
    <s v="GBPR_WOODWASTE_FINEL"/>
    <x v="0"/>
    <x v="7"/>
    <n v="110"/>
    <n v="40150"/>
    <n v="144540"/>
  </r>
  <r>
    <x v="0"/>
    <x v="2"/>
    <x v="2"/>
    <x v="2"/>
    <x v="3"/>
    <s v="FIN_EL"/>
    <x v="10"/>
    <x v="2"/>
    <s v="GBPR_WOODWASTE_FINEL"/>
    <x v="0"/>
    <x v="8"/>
    <n v="110"/>
    <n v="40150"/>
    <n v="144540"/>
  </r>
  <r>
    <x v="0"/>
    <x v="2"/>
    <x v="2"/>
    <x v="2"/>
    <x v="3"/>
    <s v="FIN_EL"/>
    <x v="10"/>
    <x v="2"/>
    <s v="GBPR_WOODWASTE_FINEL"/>
    <x v="0"/>
    <x v="9"/>
    <n v="110"/>
    <n v="40150"/>
    <n v="144540"/>
  </r>
  <r>
    <x v="0"/>
    <x v="2"/>
    <x v="2"/>
    <x v="2"/>
    <x v="3"/>
    <s v="FIN_EL"/>
    <x v="10"/>
    <x v="2"/>
    <s v="GBPR_WOODWASTE_FINEL"/>
    <x v="0"/>
    <x v="10"/>
    <n v="110"/>
    <n v="40150"/>
    <n v="144540"/>
  </r>
  <r>
    <x v="0"/>
    <x v="2"/>
    <x v="2"/>
    <x v="2"/>
    <x v="3"/>
    <s v="FIN_EL"/>
    <x v="10"/>
    <x v="2"/>
    <s v="GBPR_WOODWASTE_FINEL"/>
    <x v="0"/>
    <x v="11"/>
    <n v="110"/>
    <n v="40150"/>
    <n v="144540"/>
  </r>
  <r>
    <x v="0"/>
    <x v="2"/>
    <x v="2"/>
    <x v="2"/>
    <x v="3"/>
    <s v="FIN_EL"/>
    <x v="10"/>
    <x v="2"/>
    <s v="GBPR_WOODWASTE_FINEL"/>
    <x v="0"/>
    <x v="12"/>
    <n v="110"/>
    <n v="40150"/>
    <n v="144540"/>
  </r>
  <r>
    <x v="0"/>
    <x v="2"/>
    <x v="2"/>
    <x v="2"/>
    <x v="3"/>
    <s v="FIN_EL"/>
    <x v="10"/>
    <x v="2"/>
    <s v="GBPR_WOODWASTE_FINEL"/>
    <x v="0"/>
    <x v="13"/>
    <n v="110"/>
    <n v="40150"/>
    <n v="144540"/>
  </r>
  <r>
    <x v="0"/>
    <x v="2"/>
    <x v="2"/>
    <x v="2"/>
    <x v="3"/>
    <s v="FIN_EL"/>
    <x v="10"/>
    <x v="2"/>
    <s v="GBPR_WOODWASTE_FINEL"/>
    <x v="0"/>
    <x v="14"/>
    <n v="110"/>
    <n v="40150"/>
    <n v="144540"/>
  </r>
  <r>
    <x v="0"/>
    <x v="2"/>
    <x v="2"/>
    <x v="2"/>
    <x v="3"/>
    <s v="FIN_EL"/>
    <x v="10"/>
    <x v="2"/>
    <s v="GBPR_WOODWASTE_FINEL"/>
    <x v="0"/>
    <x v="15"/>
    <n v="110"/>
    <n v="40150"/>
    <n v="144540"/>
  </r>
  <r>
    <x v="0"/>
    <x v="2"/>
    <x v="2"/>
    <x v="2"/>
    <x v="3"/>
    <s v="FIN_EL"/>
    <x v="10"/>
    <x v="2"/>
    <s v="GBPR_WOODWASTE_FINEL"/>
    <x v="0"/>
    <x v="16"/>
    <n v="110"/>
    <n v="40150"/>
    <n v="144540"/>
  </r>
  <r>
    <x v="0"/>
    <x v="2"/>
    <x v="2"/>
    <x v="2"/>
    <x v="3"/>
    <s v="FIN_EL"/>
    <x v="10"/>
    <x v="2"/>
    <s v="GBPR_WOODWASTE_FINEL"/>
    <x v="0"/>
    <x v="17"/>
    <n v="110"/>
    <n v="40150"/>
    <n v="144540"/>
  </r>
  <r>
    <x v="0"/>
    <x v="2"/>
    <x v="2"/>
    <x v="2"/>
    <x v="3"/>
    <s v="FIN_EL"/>
    <x v="10"/>
    <x v="2"/>
    <s v="GBPR_WOODWASTE_FINEL"/>
    <x v="0"/>
    <x v="19"/>
    <n v="110"/>
    <n v="40150"/>
    <n v="144540"/>
  </r>
  <r>
    <x v="0"/>
    <x v="2"/>
    <x v="2"/>
    <x v="2"/>
    <x v="3"/>
    <s v="FIN_EL"/>
    <x v="10"/>
    <x v="2"/>
    <s v="GBPR_WOODWASTE_FINEL"/>
    <x v="0"/>
    <x v="20"/>
    <n v="110"/>
    <n v="40150"/>
    <n v="144540"/>
  </r>
  <r>
    <x v="0"/>
    <x v="2"/>
    <x v="2"/>
    <x v="2"/>
    <x v="3"/>
    <s v="FIN_EL"/>
    <x v="10"/>
    <x v="2"/>
    <s v="GBPR_WOODWASTE_FINEL"/>
    <x v="0"/>
    <x v="21"/>
    <n v="110"/>
    <n v="40150"/>
    <n v="144540"/>
  </r>
  <r>
    <x v="0"/>
    <x v="2"/>
    <x v="2"/>
    <x v="2"/>
    <x v="3"/>
    <s v="FIN_EL"/>
    <x v="10"/>
    <x v="2"/>
    <s v="GBPR_WOODWASTE_FINEL"/>
    <x v="0"/>
    <x v="22"/>
    <n v="110"/>
    <n v="40150"/>
    <n v="144540"/>
  </r>
  <r>
    <x v="0"/>
    <x v="2"/>
    <x v="2"/>
    <x v="2"/>
    <x v="3"/>
    <s v="FIN_EL"/>
    <x v="10"/>
    <x v="2"/>
    <s v="GBPR_WOODWASTE_FINEL"/>
    <x v="0"/>
    <x v="23"/>
    <n v="110"/>
    <n v="40150"/>
    <n v="144540"/>
  </r>
  <r>
    <x v="0"/>
    <x v="2"/>
    <x v="2"/>
    <x v="2"/>
    <x v="3"/>
    <s v="FIN_OTHER"/>
    <x v="10"/>
    <x v="2"/>
    <s v="GBPR_WOODWASTE_FINOTHER"/>
    <x v="0"/>
    <x v="4"/>
    <n v="74.099999999999994"/>
    <n v="27046.5"/>
    <n v="97367.4"/>
  </r>
  <r>
    <x v="0"/>
    <x v="2"/>
    <x v="2"/>
    <x v="2"/>
    <x v="3"/>
    <s v="FIN_OTHER"/>
    <x v="10"/>
    <x v="2"/>
    <s v="GBPR_WOODWASTE_FINOTHER"/>
    <x v="0"/>
    <x v="5"/>
    <n v="74.099999999999994"/>
    <n v="27046.5"/>
    <n v="97367.4"/>
  </r>
  <r>
    <x v="0"/>
    <x v="2"/>
    <x v="2"/>
    <x v="2"/>
    <x v="3"/>
    <s v="FIN_OTHER"/>
    <x v="10"/>
    <x v="2"/>
    <s v="GBPR_WOODWASTE_FINOTHER"/>
    <x v="0"/>
    <x v="6"/>
    <n v="74.099999999999994"/>
    <n v="27046.5"/>
    <n v="97367.4"/>
  </r>
  <r>
    <x v="0"/>
    <x v="2"/>
    <x v="2"/>
    <x v="2"/>
    <x v="3"/>
    <s v="FIN_OTHER"/>
    <x v="10"/>
    <x v="2"/>
    <s v="GBPR_WOODWASTE_FINOTHER"/>
    <x v="0"/>
    <x v="7"/>
    <n v="74.099999999999994"/>
    <n v="27046.5"/>
    <n v="97367.4"/>
  </r>
  <r>
    <x v="0"/>
    <x v="2"/>
    <x v="2"/>
    <x v="2"/>
    <x v="3"/>
    <s v="FIN_OTHER"/>
    <x v="10"/>
    <x v="2"/>
    <s v="GBPR_WOODWASTE_FINOTHER"/>
    <x v="0"/>
    <x v="8"/>
    <n v="74.099999999999994"/>
    <n v="27046.5"/>
    <n v="97367.4"/>
  </r>
  <r>
    <x v="0"/>
    <x v="2"/>
    <x v="2"/>
    <x v="2"/>
    <x v="3"/>
    <s v="FIN_OTHER"/>
    <x v="10"/>
    <x v="2"/>
    <s v="GBPR_WOODWASTE_FINOTHER"/>
    <x v="0"/>
    <x v="9"/>
    <n v="74.099999999999994"/>
    <n v="27046.5"/>
    <n v="97367.4"/>
  </r>
  <r>
    <x v="0"/>
    <x v="2"/>
    <x v="2"/>
    <x v="2"/>
    <x v="3"/>
    <s v="FIN_OTHER"/>
    <x v="10"/>
    <x v="2"/>
    <s v="GBPR_WOODWASTE_FINOTHER"/>
    <x v="0"/>
    <x v="15"/>
    <n v="74.099999999999994"/>
    <n v="27046.5"/>
    <n v="97367.4"/>
  </r>
  <r>
    <x v="0"/>
    <x v="2"/>
    <x v="2"/>
    <x v="2"/>
    <x v="3"/>
    <s v="FIN_OTHER"/>
    <x v="10"/>
    <x v="2"/>
    <s v="GBPR_WOODWASTE_FINOTHER"/>
    <x v="0"/>
    <x v="16"/>
    <n v="74.099999999999994"/>
    <n v="27046.5"/>
    <n v="97367.4"/>
  </r>
  <r>
    <x v="0"/>
    <x v="2"/>
    <x v="2"/>
    <x v="2"/>
    <x v="3"/>
    <s v="FIN_OTHER"/>
    <x v="10"/>
    <x v="2"/>
    <s v="GBPR_WOODWASTE_FINOTHER"/>
    <x v="0"/>
    <x v="17"/>
    <n v="74.099999999999994"/>
    <n v="27046.5"/>
    <n v="97367.4"/>
  </r>
  <r>
    <x v="0"/>
    <x v="2"/>
    <x v="2"/>
    <x v="2"/>
    <x v="3"/>
    <s v="FinA"/>
    <x v="14"/>
    <x v="6"/>
    <s v="GCND_NUCLEAR"/>
    <x v="0"/>
    <x v="0"/>
    <n v="4752.0742499999997"/>
    <n v="1734507.1012500001"/>
    <n v="6244225.5645000003"/>
  </r>
  <r>
    <x v="0"/>
    <x v="2"/>
    <x v="2"/>
    <x v="2"/>
    <x v="3"/>
    <s v="FinA"/>
    <x v="14"/>
    <x v="6"/>
    <s v="GCND_NUCLEAR"/>
    <x v="0"/>
    <x v="1"/>
    <n v="4752.0742499999997"/>
    <n v="1734507.1012500001"/>
    <n v="6244225.5645000003"/>
  </r>
  <r>
    <x v="0"/>
    <x v="2"/>
    <x v="2"/>
    <x v="2"/>
    <x v="3"/>
    <s v="FinA"/>
    <x v="14"/>
    <x v="6"/>
    <s v="GCND_NUCLEAR"/>
    <x v="0"/>
    <x v="18"/>
    <n v="4752.0742499999997"/>
    <n v="1734507.1012500001"/>
    <n v="6244225.5645000003"/>
  </r>
  <r>
    <x v="0"/>
    <x v="2"/>
    <x v="2"/>
    <x v="2"/>
    <x v="3"/>
    <s v="FinA"/>
    <x v="14"/>
    <x v="6"/>
    <s v="GCND_NUCLEAR"/>
    <x v="0"/>
    <x v="2"/>
    <n v="4752.0742499999997"/>
    <n v="1734507.1012500001"/>
    <n v="6244225.5645000003"/>
  </r>
  <r>
    <x v="0"/>
    <x v="2"/>
    <x v="2"/>
    <x v="2"/>
    <x v="3"/>
    <s v="FinA"/>
    <x v="14"/>
    <x v="6"/>
    <s v="GCND_NUCLEAR"/>
    <x v="0"/>
    <x v="3"/>
    <n v="4752.0742499999997"/>
    <n v="1734507.1012500001"/>
    <n v="6244225.5645000003"/>
  </r>
  <r>
    <x v="0"/>
    <x v="2"/>
    <x v="2"/>
    <x v="2"/>
    <x v="3"/>
    <s v="FinA"/>
    <x v="14"/>
    <x v="6"/>
    <s v="GCND_NUCLEAR"/>
    <x v="0"/>
    <x v="4"/>
    <n v="4752.0742499999997"/>
    <n v="1734507.1012500001"/>
    <n v="6244225.5645000003"/>
  </r>
  <r>
    <x v="0"/>
    <x v="2"/>
    <x v="2"/>
    <x v="2"/>
    <x v="3"/>
    <s v="FinA"/>
    <x v="14"/>
    <x v="6"/>
    <s v="GCND_NUCLEAR"/>
    <x v="0"/>
    <x v="5"/>
    <n v="4752.0742499999997"/>
    <n v="1734507.1012500001"/>
    <n v="6244225.5645000003"/>
  </r>
  <r>
    <x v="0"/>
    <x v="2"/>
    <x v="2"/>
    <x v="2"/>
    <x v="3"/>
    <s v="FinA"/>
    <x v="14"/>
    <x v="6"/>
    <s v="GCND_NUCLEAR"/>
    <x v="0"/>
    <x v="6"/>
    <n v="4752.0742499999997"/>
    <n v="1734507.1012500001"/>
    <n v="6244225.5645000003"/>
  </r>
  <r>
    <x v="0"/>
    <x v="2"/>
    <x v="2"/>
    <x v="2"/>
    <x v="3"/>
    <s v="FinA"/>
    <x v="14"/>
    <x v="6"/>
    <s v="GCND_NUCLEAR"/>
    <x v="0"/>
    <x v="7"/>
    <n v="4752.0742499999997"/>
    <n v="1734507.1012500001"/>
    <n v="6244225.5645000003"/>
  </r>
  <r>
    <x v="0"/>
    <x v="2"/>
    <x v="2"/>
    <x v="2"/>
    <x v="3"/>
    <s v="FinA"/>
    <x v="14"/>
    <x v="6"/>
    <s v="GCND_NUCLEAR"/>
    <x v="0"/>
    <x v="8"/>
    <n v="4752.0742499999997"/>
    <n v="1734507.1012500001"/>
    <n v="6244225.5645000003"/>
  </r>
  <r>
    <x v="0"/>
    <x v="2"/>
    <x v="2"/>
    <x v="2"/>
    <x v="3"/>
    <s v="FinA"/>
    <x v="14"/>
    <x v="6"/>
    <s v="GCND_NUCLEAR"/>
    <x v="0"/>
    <x v="9"/>
    <n v="4752.0742499999997"/>
    <n v="1734507.1012500001"/>
    <n v="6244225.5645000003"/>
  </r>
  <r>
    <x v="0"/>
    <x v="2"/>
    <x v="2"/>
    <x v="2"/>
    <x v="3"/>
    <s v="FinA"/>
    <x v="14"/>
    <x v="6"/>
    <s v="GCND_NUCLEAR"/>
    <x v="0"/>
    <x v="10"/>
    <n v="4752.0742499999997"/>
    <n v="1734507.1012500001"/>
    <n v="6244225.5645000003"/>
  </r>
  <r>
    <x v="0"/>
    <x v="2"/>
    <x v="2"/>
    <x v="2"/>
    <x v="3"/>
    <s v="FinA"/>
    <x v="14"/>
    <x v="6"/>
    <s v="GCND_NUCLEAR"/>
    <x v="0"/>
    <x v="11"/>
    <n v="4752.0742499999997"/>
    <n v="1734507.1012500001"/>
    <n v="6244225.5645000003"/>
  </r>
  <r>
    <x v="0"/>
    <x v="2"/>
    <x v="2"/>
    <x v="2"/>
    <x v="3"/>
    <s v="FinA"/>
    <x v="14"/>
    <x v="6"/>
    <s v="GCND_NUCLEAR"/>
    <x v="0"/>
    <x v="12"/>
    <n v="4752.0742499999997"/>
    <n v="1734507.1012500001"/>
    <n v="6244225.5645000003"/>
  </r>
  <r>
    <x v="0"/>
    <x v="2"/>
    <x v="2"/>
    <x v="2"/>
    <x v="3"/>
    <s v="FinA"/>
    <x v="14"/>
    <x v="6"/>
    <s v="GCND_NUCLEAR"/>
    <x v="0"/>
    <x v="13"/>
    <n v="4752.0742499999997"/>
    <n v="1734507.1012500001"/>
    <n v="6244225.5645000003"/>
  </r>
  <r>
    <x v="0"/>
    <x v="2"/>
    <x v="2"/>
    <x v="2"/>
    <x v="3"/>
    <s v="FinA"/>
    <x v="14"/>
    <x v="6"/>
    <s v="GCND_NUCLEAR"/>
    <x v="0"/>
    <x v="14"/>
    <n v="4752.0742499999997"/>
    <n v="1734507.1012500001"/>
    <n v="6244225.5645000003"/>
  </r>
  <r>
    <x v="0"/>
    <x v="2"/>
    <x v="2"/>
    <x v="2"/>
    <x v="3"/>
    <s v="FinA"/>
    <x v="14"/>
    <x v="6"/>
    <s v="GCND_NUCLEAR"/>
    <x v="0"/>
    <x v="15"/>
    <n v="4752.0742499999997"/>
    <n v="1734507.1012500001"/>
    <n v="6244225.5645000003"/>
  </r>
  <r>
    <x v="0"/>
    <x v="2"/>
    <x v="2"/>
    <x v="2"/>
    <x v="3"/>
    <s v="FinA"/>
    <x v="14"/>
    <x v="6"/>
    <s v="GCND_NUCLEAR"/>
    <x v="0"/>
    <x v="16"/>
    <n v="4752.0742499999997"/>
    <n v="1734507.1012500001"/>
    <n v="6244225.5645000003"/>
  </r>
  <r>
    <x v="0"/>
    <x v="2"/>
    <x v="2"/>
    <x v="2"/>
    <x v="3"/>
    <s v="FinA"/>
    <x v="14"/>
    <x v="6"/>
    <s v="GCND_NUCLEAR"/>
    <x v="0"/>
    <x v="17"/>
    <n v="4752.0742499999997"/>
    <n v="1734507.1012500001"/>
    <n v="6244225.5645000003"/>
  </r>
  <r>
    <x v="0"/>
    <x v="2"/>
    <x v="2"/>
    <x v="2"/>
    <x v="3"/>
    <s v="FinA"/>
    <x v="14"/>
    <x v="6"/>
    <s v="GCND_NUCLEAR"/>
    <x v="0"/>
    <x v="19"/>
    <n v="4752.0742499999997"/>
    <n v="1734507.1012500001"/>
    <n v="6244225.5645000003"/>
  </r>
  <r>
    <x v="0"/>
    <x v="2"/>
    <x v="2"/>
    <x v="2"/>
    <x v="3"/>
    <s v="FinA"/>
    <x v="14"/>
    <x v="6"/>
    <s v="GCND_NUCLEAR"/>
    <x v="0"/>
    <x v="20"/>
    <n v="4752.0742499999997"/>
    <n v="1734507.1012500001"/>
    <n v="6244225.5645000003"/>
  </r>
  <r>
    <x v="0"/>
    <x v="2"/>
    <x v="2"/>
    <x v="2"/>
    <x v="3"/>
    <s v="FinA"/>
    <x v="14"/>
    <x v="6"/>
    <s v="GCND_NUCLEAR"/>
    <x v="0"/>
    <x v="21"/>
    <n v="4752.0742499999997"/>
    <n v="1734507.1012500001"/>
    <n v="6244225.5645000003"/>
  </r>
  <r>
    <x v="0"/>
    <x v="2"/>
    <x v="2"/>
    <x v="2"/>
    <x v="3"/>
    <s v="FinA"/>
    <x v="14"/>
    <x v="6"/>
    <s v="GCND_NUCLEAR"/>
    <x v="0"/>
    <x v="22"/>
    <n v="4752.0742499999997"/>
    <n v="1734507.1012500001"/>
    <n v="6244225.5645000003"/>
  </r>
  <r>
    <x v="0"/>
    <x v="2"/>
    <x v="2"/>
    <x v="2"/>
    <x v="3"/>
    <s v="FinA"/>
    <x v="14"/>
    <x v="6"/>
    <s v="GCND_NUCLEAR"/>
    <x v="0"/>
    <x v="23"/>
    <n v="4752.0742499999997"/>
    <n v="1734507.1012500001"/>
    <n v="6244225.5645000003"/>
  </r>
  <r>
    <x v="0"/>
    <x v="2"/>
    <x v="2"/>
    <x v="2"/>
    <x v="3"/>
    <s v="FinA"/>
    <x v="5"/>
    <x v="3"/>
    <s v="GNR_PV_SUN_LS-4-MW_Y-2030"/>
    <x v="0"/>
    <x v="7"/>
    <n v="22.690134583765101"/>
    <n v="8281.8991230742704"/>
    <n v="29814.836843067402"/>
  </r>
  <r>
    <x v="0"/>
    <x v="2"/>
    <x v="2"/>
    <x v="2"/>
    <x v="3"/>
    <s v="FinA"/>
    <x v="5"/>
    <x v="3"/>
    <s v="GNR_PV_SUN_LS-4-MW_Y-2030"/>
    <x v="0"/>
    <x v="8"/>
    <n v="170.81598753316501"/>
    <n v="62347.8354496053"/>
    <n v="224452.20761857901"/>
  </r>
  <r>
    <x v="0"/>
    <x v="2"/>
    <x v="2"/>
    <x v="2"/>
    <x v="3"/>
    <s v="FinA"/>
    <x v="5"/>
    <x v="3"/>
    <s v="GNR_PV_SUN_LS-4-MW_Y-2030"/>
    <x v="0"/>
    <x v="9"/>
    <n v="394.57562242844898"/>
    <n v="144020.102186384"/>
    <n v="518472.36787098198"/>
  </r>
  <r>
    <x v="0"/>
    <x v="2"/>
    <x v="2"/>
    <x v="2"/>
    <x v="3"/>
    <s v="FinA"/>
    <x v="5"/>
    <x v="3"/>
    <s v="GNR_PV_SUN_LS-4-MW_Y-2030"/>
    <x v="0"/>
    <x v="10"/>
    <n v="600.88130764391303"/>
    <n v="219321.67729002799"/>
    <n v="789558.03824410203"/>
  </r>
  <r>
    <x v="0"/>
    <x v="2"/>
    <x v="2"/>
    <x v="2"/>
    <x v="3"/>
    <s v="FinA"/>
    <x v="5"/>
    <x v="3"/>
    <s v="GNR_PV_SUN_LS-4-MW_Y-2030"/>
    <x v="0"/>
    <x v="11"/>
    <n v="683.14759046812799"/>
    <n v="249348.870520867"/>
    <n v="897655.93387512001"/>
  </r>
  <r>
    <x v="0"/>
    <x v="2"/>
    <x v="2"/>
    <x v="2"/>
    <x v="3"/>
    <s v="FinA"/>
    <x v="5"/>
    <x v="3"/>
    <s v="GNR_PV_SUN_LS-4-MW_Y-2030"/>
    <x v="0"/>
    <x v="12"/>
    <n v="594.01608743651798"/>
    <n v="216815.87191432901"/>
    <n v="780537.13889158401"/>
  </r>
  <r>
    <x v="0"/>
    <x v="2"/>
    <x v="2"/>
    <x v="2"/>
    <x v="3"/>
    <s v="FinA"/>
    <x v="5"/>
    <x v="3"/>
    <s v="GNR_PV_SUN_LS-4-MW_Y-2030"/>
    <x v="0"/>
    <x v="13"/>
    <n v="386.54680557573198"/>
    <n v="141089.584035142"/>
    <n v="507922.50252651202"/>
  </r>
  <r>
    <x v="0"/>
    <x v="2"/>
    <x v="2"/>
    <x v="2"/>
    <x v="3"/>
    <s v="FinA"/>
    <x v="5"/>
    <x v="3"/>
    <s v="GNR_PV_SUN_LS-4-MW_Y-2030"/>
    <x v="0"/>
    <x v="14"/>
    <n v="195.71695574304101"/>
    <n v="71436.6888462098"/>
    <n v="257172.07984635499"/>
  </r>
  <r>
    <x v="0"/>
    <x v="2"/>
    <x v="2"/>
    <x v="2"/>
    <x v="3"/>
    <s v="FinA"/>
    <x v="5"/>
    <x v="3"/>
    <s v="GNR_PV_SUN_LS-4-MW_Y-2030"/>
    <x v="0"/>
    <x v="15"/>
    <n v="25.4827665325362"/>
    <n v="9301.2097843757092"/>
    <n v="33484.355223752602"/>
  </r>
  <r>
    <x v="0"/>
    <x v="2"/>
    <x v="2"/>
    <x v="2"/>
    <x v="3"/>
    <s v="FinA"/>
    <x v="6"/>
    <x v="7"/>
    <s v="GNR_RES_WTR_NOPMP_MC-01"/>
    <x v="0"/>
    <x v="0"/>
    <n v="156.94999999999999"/>
    <n v="57286.75"/>
    <n v="206232.3"/>
  </r>
  <r>
    <x v="0"/>
    <x v="2"/>
    <x v="2"/>
    <x v="2"/>
    <x v="3"/>
    <s v="FinA"/>
    <x v="6"/>
    <x v="7"/>
    <s v="GNR_RES_WTR_NOPMP_MC-01"/>
    <x v="0"/>
    <x v="1"/>
    <n v="156.94999999999999"/>
    <n v="57286.75"/>
    <n v="206232.3"/>
  </r>
  <r>
    <x v="0"/>
    <x v="2"/>
    <x v="2"/>
    <x v="2"/>
    <x v="3"/>
    <s v="FinA"/>
    <x v="6"/>
    <x v="7"/>
    <s v="GNR_RES_WTR_NOPMP_MC-01"/>
    <x v="0"/>
    <x v="18"/>
    <n v="156.94999999999999"/>
    <n v="57286.75"/>
    <n v="206232.3"/>
  </r>
  <r>
    <x v="0"/>
    <x v="2"/>
    <x v="2"/>
    <x v="2"/>
    <x v="3"/>
    <s v="FinA"/>
    <x v="6"/>
    <x v="7"/>
    <s v="GNR_RES_WTR_NOPMP_MC-01"/>
    <x v="0"/>
    <x v="2"/>
    <n v="156.94999999999999"/>
    <n v="57286.75"/>
    <n v="206232.3"/>
  </r>
  <r>
    <x v="0"/>
    <x v="2"/>
    <x v="2"/>
    <x v="2"/>
    <x v="3"/>
    <s v="FinA"/>
    <x v="6"/>
    <x v="7"/>
    <s v="GNR_RES_WTR_NOPMP_MC-01"/>
    <x v="0"/>
    <x v="3"/>
    <n v="156.94999999999999"/>
    <n v="57286.75"/>
    <n v="206232.3"/>
  </r>
  <r>
    <x v="0"/>
    <x v="2"/>
    <x v="2"/>
    <x v="2"/>
    <x v="3"/>
    <s v="FinA"/>
    <x v="6"/>
    <x v="7"/>
    <s v="GNR_RES_WTR_NOPMP_MC-01"/>
    <x v="0"/>
    <x v="4"/>
    <n v="156.94999999999999"/>
    <n v="57286.75"/>
    <n v="206232.3"/>
  </r>
  <r>
    <x v="0"/>
    <x v="2"/>
    <x v="2"/>
    <x v="2"/>
    <x v="3"/>
    <s v="FinA"/>
    <x v="6"/>
    <x v="7"/>
    <s v="GNR_RES_WTR_NOPMP_MC-01"/>
    <x v="0"/>
    <x v="5"/>
    <n v="156.94999999999999"/>
    <n v="57286.75"/>
    <n v="206232.3"/>
  </r>
  <r>
    <x v="0"/>
    <x v="2"/>
    <x v="2"/>
    <x v="2"/>
    <x v="3"/>
    <s v="FinA"/>
    <x v="6"/>
    <x v="7"/>
    <s v="GNR_RES_WTR_NOPMP_MC-01"/>
    <x v="0"/>
    <x v="6"/>
    <n v="156.94999999999999"/>
    <n v="57286.75"/>
    <n v="206232.3"/>
  </r>
  <r>
    <x v="0"/>
    <x v="2"/>
    <x v="2"/>
    <x v="2"/>
    <x v="3"/>
    <s v="FinA"/>
    <x v="6"/>
    <x v="7"/>
    <s v="GNR_RES_WTR_NOPMP_MC-01"/>
    <x v="0"/>
    <x v="7"/>
    <n v="156.94999999999999"/>
    <n v="57286.75"/>
    <n v="206232.3"/>
  </r>
  <r>
    <x v="0"/>
    <x v="2"/>
    <x v="2"/>
    <x v="2"/>
    <x v="3"/>
    <s v="FinA"/>
    <x v="6"/>
    <x v="7"/>
    <s v="GNR_RES_WTR_NOPMP_MC-01"/>
    <x v="0"/>
    <x v="8"/>
    <n v="156.94999999999999"/>
    <n v="57286.75"/>
    <n v="206232.3"/>
  </r>
  <r>
    <x v="0"/>
    <x v="2"/>
    <x v="2"/>
    <x v="2"/>
    <x v="3"/>
    <s v="FinA"/>
    <x v="6"/>
    <x v="7"/>
    <s v="GNR_RES_WTR_NOPMP_MC-01"/>
    <x v="0"/>
    <x v="9"/>
    <n v="156.94999999999999"/>
    <n v="57286.75"/>
    <n v="206232.3"/>
  </r>
  <r>
    <x v="0"/>
    <x v="2"/>
    <x v="2"/>
    <x v="2"/>
    <x v="3"/>
    <s v="FinA"/>
    <x v="6"/>
    <x v="7"/>
    <s v="GNR_RES_WTR_NOPMP_MC-01"/>
    <x v="0"/>
    <x v="10"/>
    <n v="156.94999999999999"/>
    <n v="57286.75"/>
    <n v="206232.3"/>
  </r>
  <r>
    <x v="0"/>
    <x v="2"/>
    <x v="2"/>
    <x v="2"/>
    <x v="3"/>
    <s v="FinA"/>
    <x v="6"/>
    <x v="7"/>
    <s v="GNR_RES_WTR_NOPMP_MC-01"/>
    <x v="0"/>
    <x v="11"/>
    <n v="156.94999999999999"/>
    <n v="57286.75"/>
    <n v="206232.3"/>
  </r>
  <r>
    <x v="0"/>
    <x v="2"/>
    <x v="2"/>
    <x v="2"/>
    <x v="3"/>
    <s v="FinA"/>
    <x v="6"/>
    <x v="7"/>
    <s v="GNR_RES_WTR_NOPMP_MC-01"/>
    <x v="0"/>
    <x v="12"/>
    <n v="156.94999999999999"/>
    <n v="57286.75"/>
    <n v="206232.3"/>
  </r>
  <r>
    <x v="0"/>
    <x v="2"/>
    <x v="2"/>
    <x v="2"/>
    <x v="3"/>
    <s v="FinA"/>
    <x v="6"/>
    <x v="7"/>
    <s v="GNR_RES_WTR_NOPMP_MC-01"/>
    <x v="0"/>
    <x v="13"/>
    <n v="156.94999999999999"/>
    <n v="57286.75"/>
    <n v="206232.3"/>
  </r>
  <r>
    <x v="0"/>
    <x v="2"/>
    <x v="2"/>
    <x v="2"/>
    <x v="3"/>
    <s v="FinA"/>
    <x v="6"/>
    <x v="7"/>
    <s v="GNR_RES_WTR_NOPMP_MC-01"/>
    <x v="0"/>
    <x v="14"/>
    <n v="156.94999999999999"/>
    <n v="57286.75"/>
    <n v="206232.3"/>
  </r>
  <r>
    <x v="0"/>
    <x v="2"/>
    <x v="2"/>
    <x v="2"/>
    <x v="3"/>
    <s v="FinA"/>
    <x v="6"/>
    <x v="7"/>
    <s v="GNR_RES_WTR_NOPMP_MC-01"/>
    <x v="0"/>
    <x v="15"/>
    <n v="156.94999999999999"/>
    <n v="57286.75"/>
    <n v="206232.3"/>
  </r>
  <r>
    <x v="0"/>
    <x v="2"/>
    <x v="2"/>
    <x v="2"/>
    <x v="3"/>
    <s v="FinA"/>
    <x v="6"/>
    <x v="7"/>
    <s v="GNR_RES_WTR_NOPMP_MC-01"/>
    <x v="0"/>
    <x v="16"/>
    <n v="156.94999999999999"/>
    <n v="57286.75"/>
    <n v="206232.3"/>
  </r>
  <r>
    <x v="0"/>
    <x v="2"/>
    <x v="2"/>
    <x v="2"/>
    <x v="3"/>
    <s v="FinA"/>
    <x v="6"/>
    <x v="7"/>
    <s v="GNR_RES_WTR_NOPMP_MC-01"/>
    <x v="0"/>
    <x v="17"/>
    <n v="156.94999999999999"/>
    <n v="57286.75"/>
    <n v="206232.3"/>
  </r>
  <r>
    <x v="0"/>
    <x v="2"/>
    <x v="2"/>
    <x v="2"/>
    <x v="3"/>
    <s v="FinA"/>
    <x v="6"/>
    <x v="7"/>
    <s v="GNR_RES_WTR_NOPMP_MC-01"/>
    <x v="0"/>
    <x v="19"/>
    <n v="156.94999999999999"/>
    <n v="57286.75"/>
    <n v="206232.3"/>
  </r>
  <r>
    <x v="0"/>
    <x v="2"/>
    <x v="2"/>
    <x v="2"/>
    <x v="3"/>
    <s v="FinA"/>
    <x v="6"/>
    <x v="7"/>
    <s v="GNR_RES_WTR_NOPMP_MC-01"/>
    <x v="0"/>
    <x v="20"/>
    <n v="156.94999999999999"/>
    <n v="57286.75"/>
    <n v="206232.3"/>
  </r>
  <r>
    <x v="0"/>
    <x v="2"/>
    <x v="2"/>
    <x v="2"/>
    <x v="3"/>
    <s v="FinA"/>
    <x v="6"/>
    <x v="7"/>
    <s v="GNR_RES_WTR_NOPMP_MC-01"/>
    <x v="0"/>
    <x v="21"/>
    <n v="156.94999999999999"/>
    <n v="57286.75"/>
    <n v="206232.3"/>
  </r>
  <r>
    <x v="0"/>
    <x v="2"/>
    <x v="2"/>
    <x v="2"/>
    <x v="3"/>
    <s v="FinA"/>
    <x v="6"/>
    <x v="7"/>
    <s v="GNR_RES_WTR_NOPMP_MC-01"/>
    <x v="0"/>
    <x v="22"/>
    <n v="156.94999999999999"/>
    <n v="57286.75"/>
    <n v="206232.3"/>
  </r>
  <r>
    <x v="0"/>
    <x v="2"/>
    <x v="2"/>
    <x v="2"/>
    <x v="3"/>
    <s v="FinA"/>
    <x v="6"/>
    <x v="7"/>
    <s v="GNR_RES_WTR_NOPMP_MC-01"/>
    <x v="0"/>
    <x v="23"/>
    <n v="156.94999999999999"/>
    <n v="57286.75"/>
    <n v="206232.3"/>
  </r>
  <r>
    <x v="0"/>
    <x v="2"/>
    <x v="2"/>
    <x v="2"/>
    <x v="3"/>
    <s v="FinA"/>
    <x v="6"/>
    <x v="7"/>
    <s v="GNR_RES_WTR_NOPMP_MC-02"/>
    <x v="0"/>
    <x v="0"/>
    <n v="156.94999999999999"/>
    <n v="57286.75"/>
    <n v="206232.3"/>
  </r>
  <r>
    <x v="0"/>
    <x v="2"/>
    <x v="2"/>
    <x v="2"/>
    <x v="3"/>
    <s v="FinA"/>
    <x v="6"/>
    <x v="7"/>
    <s v="GNR_RES_WTR_NOPMP_MC-02"/>
    <x v="0"/>
    <x v="1"/>
    <n v="156.94999999999999"/>
    <n v="57286.75"/>
    <n v="206232.3"/>
  </r>
  <r>
    <x v="0"/>
    <x v="2"/>
    <x v="2"/>
    <x v="2"/>
    <x v="3"/>
    <s v="FinA"/>
    <x v="6"/>
    <x v="7"/>
    <s v="GNR_RES_WTR_NOPMP_MC-02"/>
    <x v="0"/>
    <x v="18"/>
    <n v="156.94999999999999"/>
    <n v="57286.75"/>
    <n v="206232.3"/>
  </r>
  <r>
    <x v="0"/>
    <x v="2"/>
    <x v="2"/>
    <x v="2"/>
    <x v="3"/>
    <s v="FinA"/>
    <x v="6"/>
    <x v="7"/>
    <s v="GNR_RES_WTR_NOPMP_MC-02"/>
    <x v="0"/>
    <x v="2"/>
    <n v="156.94999999999999"/>
    <n v="57286.75"/>
    <n v="206232.3"/>
  </r>
  <r>
    <x v="0"/>
    <x v="2"/>
    <x v="2"/>
    <x v="2"/>
    <x v="3"/>
    <s v="FinA"/>
    <x v="6"/>
    <x v="7"/>
    <s v="GNR_RES_WTR_NOPMP_MC-02"/>
    <x v="0"/>
    <x v="3"/>
    <n v="156.94999999999999"/>
    <n v="57286.75"/>
    <n v="206232.3"/>
  </r>
  <r>
    <x v="0"/>
    <x v="2"/>
    <x v="2"/>
    <x v="2"/>
    <x v="3"/>
    <s v="FinA"/>
    <x v="6"/>
    <x v="7"/>
    <s v="GNR_RES_WTR_NOPMP_MC-02"/>
    <x v="0"/>
    <x v="4"/>
    <n v="156.94999999999999"/>
    <n v="57286.75"/>
    <n v="206232.3"/>
  </r>
  <r>
    <x v="0"/>
    <x v="2"/>
    <x v="2"/>
    <x v="2"/>
    <x v="3"/>
    <s v="FinA"/>
    <x v="6"/>
    <x v="7"/>
    <s v="GNR_RES_WTR_NOPMP_MC-02"/>
    <x v="0"/>
    <x v="5"/>
    <n v="156.94999999999999"/>
    <n v="57286.75"/>
    <n v="206232.3"/>
  </r>
  <r>
    <x v="0"/>
    <x v="2"/>
    <x v="2"/>
    <x v="2"/>
    <x v="3"/>
    <s v="FinA"/>
    <x v="6"/>
    <x v="7"/>
    <s v="GNR_RES_WTR_NOPMP_MC-02"/>
    <x v="0"/>
    <x v="6"/>
    <n v="156.94999999999999"/>
    <n v="57286.75"/>
    <n v="206232.3"/>
  </r>
  <r>
    <x v="0"/>
    <x v="2"/>
    <x v="2"/>
    <x v="2"/>
    <x v="3"/>
    <s v="FinA"/>
    <x v="6"/>
    <x v="7"/>
    <s v="GNR_RES_WTR_NOPMP_MC-02"/>
    <x v="0"/>
    <x v="7"/>
    <n v="156.94999999999999"/>
    <n v="57286.75"/>
    <n v="206232.3"/>
  </r>
  <r>
    <x v="0"/>
    <x v="2"/>
    <x v="2"/>
    <x v="2"/>
    <x v="3"/>
    <s v="FinA"/>
    <x v="6"/>
    <x v="7"/>
    <s v="GNR_RES_WTR_NOPMP_MC-02"/>
    <x v="0"/>
    <x v="8"/>
    <n v="156.94999999999999"/>
    <n v="57286.75"/>
    <n v="206232.3"/>
  </r>
  <r>
    <x v="0"/>
    <x v="2"/>
    <x v="2"/>
    <x v="2"/>
    <x v="3"/>
    <s v="FinA"/>
    <x v="6"/>
    <x v="7"/>
    <s v="GNR_RES_WTR_NOPMP_MC-02"/>
    <x v="0"/>
    <x v="9"/>
    <n v="156.94999999999999"/>
    <n v="57286.75"/>
    <n v="206232.3"/>
  </r>
  <r>
    <x v="0"/>
    <x v="2"/>
    <x v="2"/>
    <x v="2"/>
    <x v="3"/>
    <s v="FinA"/>
    <x v="6"/>
    <x v="7"/>
    <s v="GNR_RES_WTR_NOPMP_MC-02"/>
    <x v="0"/>
    <x v="10"/>
    <n v="156.94999999999999"/>
    <n v="57286.75"/>
    <n v="206232.3"/>
  </r>
  <r>
    <x v="0"/>
    <x v="2"/>
    <x v="2"/>
    <x v="2"/>
    <x v="3"/>
    <s v="FinA"/>
    <x v="6"/>
    <x v="7"/>
    <s v="GNR_RES_WTR_NOPMP_MC-02"/>
    <x v="0"/>
    <x v="11"/>
    <n v="156.94999999999999"/>
    <n v="57286.75"/>
    <n v="206232.3"/>
  </r>
  <r>
    <x v="0"/>
    <x v="2"/>
    <x v="2"/>
    <x v="2"/>
    <x v="3"/>
    <s v="FinA"/>
    <x v="6"/>
    <x v="7"/>
    <s v="GNR_RES_WTR_NOPMP_MC-02"/>
    <x v="0"/>
    <x v="12"/>
    <n v="156.94999999999999"/>
    <n v="57286.75"/>
    <n v="206232.3"/>
  </r>
  <r>
    <x v="0"/>
    <x v="2"/>
    <x v="2"/>
    <x v="2"/>
    <x v="3"/>
    <s v="FinA"/>
    <x v="6"/>
    <x v="7"/>
    <s v="GNR_RES_WTR_NOPMP_MC-02"/>
    <x v="0"/>
    <x v="13"/>
    <n v="156.94999999999999"/>
    <n v="57286.75"/>
    <n v="206232.3"/>
  </r>
  <r>
    <x v="0"/>
    <x v="2"/>
    <x v="2"/>
    <x v="2"/>
    <x v="3"/>
    <s v="FinA"/>
    <x v="6"/>
    <x v="7"/>
    <s v="GNR_RES_WTR_NOPMP_MC-02"/>
    <x v="0"/>
    <x v="14"/>
    <n v="156.94999999999999"/>
    <n v="57286.75"/>
    <n v="206232.3"/>
  </r>
  <r>
    <x v="0"/>
    <x v="2"/>
    <x v="2"/>
    <x v="2"/>
    <x v="3"/>
    <s v="FinA"/>
    <x v="6"/>
    <x v="7"/>
    <s v="GNR_RES_WTR_NOPMP_MC-02"/>
    <x v="0"/>
    <x v="15"/>
    <n v="156.94999999999999"/>
    <n v="57286.75"/>
    <n v="206232.3"/>
  </r>
  <r>
    <x v="0"/>
    <x v="2"/>
    <x v="2"/>
    <x v="2"/>
    <x v="3"/>
    <s v="FinA"/>
    <x v="6"/>
    <x v="7"/>
    <s v="GNR_RES_WTR_NOPMP_MC-02"/>
    <x v="0"/>
    <x v="16"/>
    <n v="156.94999999999999"/>
    <n v="57286.75"/>
    <n v="206232.3"/>
  </r>
  <r>
    <x v="0"/>
    <x v="2"/>
    <x v="2"/>
    <x v="2"/>
    <x v="3"/>
    <s v="FinA"/>
    <x v="6"/>
    <x v="7"/>
    <s v="GNR_RES_WTR_NOPMP_MC-02"/>
    <x v="0"/>
    <x v="17"/>
    <n v="156.94999999999999"/>
    <n v="57286.75"/>
    <n v="206232.3"/>
  </r>
  <r>
    <x v="0"/>
    <x v="2"/>
    <x v="2"/>
    <x v="2"/>
    <x v="3"/>
    <s v="FinA"/>
    <x v="6"/>
    <x v="7"/>
    <s v="GNR_RES_WTR_NOPMP_MC-02"/>
    <x v="0"/>
    <x v="19"/>
    <n v="156.94999999999999"/>
    <n v="57286.75"/>
    <n v="206232.3"/>
  </r>
  <r>
    <x v="0"/>
    <x v="2"/>
    <x v="2"/>
    <x v="2"/>
    <x v="3"/>
    <s v="FinA"/>
    <x v="6"/>
    <x v="7"/>
    <s v="GNR_RES_WTR_NOPMP_MC-02"/>
    <x v="0"/>
    <x v="20"/>
    <n v="156.94999999999999"/>
    <n v="57286.75"/>
    <n v="206232.3"/>
  </r>
  <r>
    <x v="0"/>
    <x v="2"/>
    <x v="2"/>
    <x v="2"/>
    <x v="3"/>
    <s v="FinA"/>
    <x v="6"/>
    <x v="7"/>
    <s v="GNR_RES_WTR_NOPMP_MC-02"/>
    <x v="0"/>
    <x v="21"/>
    <n v="156.94999999999999"/>
    <n v="57286.75"/>
    <n v="206232.3"/>
  </r>
  <r>
    <x v="0"/>
    <x v="2"/>
    <x v="2"/>
    <x v="2"/>
    <x v="3"/>
    <s v="FinA"/>
    <x v="6"/>
    <x v="7"/>
    <s v="GNR_RES_WTR_NOPMP_MC-02"/>
    <x v="0"/>
    <x v="22"/>
    <n v="156.94999999999999"/>
    <n v="57286.75"/>
    <n v="206232.3"/>
  </r>
  <r>
    <x v="0"/>
    <x v="2"/>
    <x v="2"/>
    <x v="2"/>
    <x v="3"/>
    <s v="FinA"/>
    <x v="6"/>
    <x v="7"/>
    <s v="GNR_RES_WTR_NOPMP_MC-02"/>
    <x v="0"/>
    <x v="23"/>
    <n v="156.94999999999999"/>
    <n v="57286.75"/>
    <n v="206232.3"/>
  </r>
  <r>
    <x v="0"/>
    <x v="2"/>
    <x v="2"/>
    <x v="2"/>
    <x v="3"/>
    <s v="FinA"/>
    <x v="6"/>
    <x v="7"/>
    <s v="GNR_RES_WTR_NOPMP_MC-03"/>
    <x v="0"/>
    <x v="0"/>
    <n v="156.94999999999999"/>
    <n v="57286.75"/>
    <n v="206232.3"/>
  </r>
  <r>
    <x v="0"/>
    <x v="2"/>
    <x v="2"/>
    <x v="2"/>
    <x v="3"/>
    <s v="FinA"/>
    <x v="6"/>
    <x v="7"/>
    <s v="GNR_RES_WTR_NOPMP_MC-03"/>
    <x v="0"/>
    <x v="1"/>
    <n v="156.94999999999999"/>
    <n v="57286.75"/>
    <n v="206232.3"/>
  </r>
  <r>
    <x v="0"/>
    <x v="2"/>
    <x v="2"/>
    <x v="2"/>
    <x v="3"/>
    <s v="FinA"/>
    <x v="6"/>
    <x v="7"/>
    <s v="GNR_RES_WTR_NOPMP_MC-03"/>
    <x v="0"/>
    <x v="18"/>
    <n v="156.94999999999999"/>
    <n v="57286.75"/>
    <n v="206232.3"/>
  </r>
  <r>
    <x v="0"/>
    <x v="2"/>
    <x v="2"/>
    <x v="2"/>
    <x v="3"/>
    <s v="FinA"/>
    <x v="6"/>
    <x v="7"/>
    <s v="GNR_RES_WTR_NOPMP_MC-03"/>
    <x v="0"/>
    <x v="2"/>
    <n v="156.94999999999999"/>
    <n v="57286.75"/>
    <n v="206232.3"/>
  </r>
  <r>
    <x v="0"/>
    <x v="2"/>
    <x v="2"/>
    <x v="2"/>
    <x v="3"/>
    <s v="FinA"/>
    <x v="6"/>
    <x v="7"/>
    <s v="GNR_RES_WTR_NOPMP_MC-03"/>
    <x v="0"/>
    <x v="3"/>
    <n v="156.94999999999999"/>
    <n v="57286.75"/>
    <n v="206232.3"/>
  </r>
  <r>
    <x v="0"/>
    <x v="2"/>
    <x v="2"/>
    <x v="2"/>
    <x v="3"/>
    <s v="FinA"/>
    <x v="6"/>
    <x v="7"/>
    <s v="GNR_RES_WTR_NOPMP_MC-03"/>
    <x v="0"/>
    <x v="4"/>
    <n v="156.94999999999999"/>
    <n v="57286.75"/>
    <n v="206232.3"/>
  </r>
  <r>
    <x v="0"/>
    <x v="2"/>
    <x v="2"/>
    <x v="2"/>
    <x v="3"/>
    <s v="FinA"/>
    <x v="6"/>
    <x v="7"/>
    <s v="GNR_RES_WTR_NOPMP_MC-03"/>
    <x v="0"/>
    <x v="5"/>
    <n v="156.94999999999999"/>
    <n v="57286.75"/>
    <n v="206232.3"/>
  </r>
  <r>
    <x v="0"/>
    <x v="2"/>
    <x v="2"/>
    <x v="2"/>
    <x v="3"/>
    <s v="FinA"/>
    <x v="6"/>
    <x v="7"/>
    <s v="GNR_RES_WTR_NOPMP_MC-03"/>
    <x v="0"/>
    <x v="6"/>
    <n v="156.94999999999999"/>
    <n v="57286.75"/>
    <n v="206232.3"/>
  </r>
  <r>
    <x v="0"/>
    <x v="2"/>
    <x v="2"/>
    <x v="2"/>
    <x v="3"/>
    <s v="FinA"/>
    <x v="6"/>
    <x v="7"/>
    <s v="GNR_RES_WTR_NOPMP_MC-03"/>
    <x v="0"/>
    <x v="7"/>
    <n v="156.94999999999999"/>
    <n v="57286.75"/>
    <n v="206232.3"/>
  </r>
  <r>
    <x v="0"/>
    <x v="2"/>
    <x v="2"/>
    <x v="2"/>
    <x v="3"/>
    <s v="FinA"/>
    <x v="6"/>
    <x v="7"/>
    <s v="GNR_RES_WTR_NOPMP_MC-03"/>
    <x v="0"/>
    <x v="8"/>
    <n v="156.94999999999999"/>
    <n v="57286.75"/>
    <n v="206232.3"/>
  </r>
  <r>
    <x v="0"/>
    <x v="2"/>
    <x v="2"/>
    <x v="2"/>
    <x v="3"/>
    <s v="FinA"/>
    <x v="6"/>
    <x v="7"/>
    <s v="GNR_RES_WTR_NOPMP_MC-03"/>
    <x v="0"/>
    <x v="9"/>
    <n v="156.94999999999999"/>
    <n v="57286.75"/>
    <n v="206232.3"/>
  </r>
  <r>
    <x v="0"/>
    <x v="2"/>
    <x v="2"/>
    <x v="2"/>
    <x v="3"/>
    <s v="FinA"/>
    <x v="6"/>
    <x v="7"/>
    <s v="GNR_RES_WTR_NOPMP_MC-03"/>
    <x v="0"/>
    <x v="10"/>
    <n v="156.94999999999999"/>
    <n v="57286.75"/>
    <n v="206232.3"/>
  </r>
  <r>
    <x v="0"/>
    <x v="2"/>
    <x v="2"/>
    <x v="2"/>
    <x v="3"/>
    <s v="FinA"/>
    <x v="6"/>
    <x v="7"/>
    <s v="GNR_RES_WTR_NOPMP_MC-03"/>
    <x v="0"/>
    <x v="11"/>
    <n v="156.94999999999999"/>
    <n v="57286.75"/>
    <n v="206232.3"/>
  </r>
  <r>
    <x v="0"/>
    <x v="2"/>
    <x v="2"/>
    <x v="2"/>
    <x v="3"/>
    <s v="FinA"/>
    <x v="6"/>
    <x v="7"/>
    <s v="GNR_RES_WTR_NOPMP_MC-03"/>
    <x v="0"/>
    <x v="12"/>
    <n v="156.94999999999999"/>
    <n v="57286.75"/>
    <n v="206232.3"/>
  </r>
  <r>
    <x v="0"/>
    <x v="2"/>
    <x v="2"/>
    <x v="2"/>
    <x v="3"/>
    <s v="FinA"/>
    <x v="6"/>
    <x v="7"/>
    <s v="GNR_RES_WTR_NOPMP_MC-03"/>
    <x v="0"/>
    <x v="14"/>
    <n v="156.94999999999999"/>
    <n v="57286.75"/>
    <n v="206232.3"/>
  </r>
  <r>
    <x v="0"/>
    <x v="2"/>
    <x v="2"/>
    <x v="2"/>
    <x v="3"/>
    <s v="FinA"/>
    <x v="6"/>
    <x v="7"/>
    <s v="GNR_RES_WTR_NOPMP_MC-03"/>
    <x v="0"/>
    <x v="15"/>
    <n v="156.94999999999999"/>
    <n v="57286.75"/>
    <n v="206232.3"/>
  </r>
  <r>
    <x v="0"/>
    <x v="2"/>
    <x v="2"/>
    <x v="2"/>
    <x v="3"/>
    <s v="FinA"/>
    <x v="6"/>
    <x v="7"/>
    <s v="GNR_RES_WTR_NOPMP_MC-03"/>
    <x v="0"/>
    <x v="16"/>
    <n v="156.94999999999999"/>
    <n v="57286.75"/>
    <n v="206232.3"/>
  </r>
  <r>
    <x v="0"/>
    <x v="2"/>
    <x v="2"/>
    <x v="2"/>
    <x v="3"/>
    <s v="FinA"/>
    <x v="6"/>
    <x v="7"/>
    <s v="GNR_RES_WTR_NOPMP_MC-03"/>
    <x v="0"/>
    <x v="17"/>
    <n v="156.94999999999999"/>
    <n v="57286.75"/>
    <n v="206232.3"/>
  </r>
  <r>
    <x v="0"/>
    <x v="2"/>
    <x v="2"/>
    <x v="2"/>
    <x v="3"/>
    <s v="FinA"/>
    <x v="6"/>
    <x v="7"/>
    <s v="GNR_RES_WTR_NOPMP_MC-03"/>
    <x v="0"/>
    <x v="19"/>
    <n v="156.94999999999999"/>
    <n v="57286.75"/>
    <n v="206232.3"/>
  </r>
  <r>
    <x v="0"/>
    <x v="2"/>
    <x v="2"/>
    <x v="2"/>
    <x v="3"/>
    <s v="FinA"/>
    <x v="6"/>
    <x v="7"/>
    <s v="GNR_RES_WTR_NOPMP_MC-03"/>
    <x v="0"/>
    <x v="20"/>
    <n v="156.94999999999999"/>
    <n v="57286.75"/>
    <n v="206232.3"/>
  </r>
  <r>
    <x v="0"/>
    <x v="2"/>
    <x v="2"/>
    <x v="2"/>
    <x v="3"/>
    <s v="FinA"/>
    <x v="6"/>
    <x v="7"/>
    <s v="GNR_RES_WTR_NOPMP_MC-03"/>
    <x v="0"/>
    <x v="21"/>
    <n v="156.94999999999999"/>
    <n v="57286.75"/>
    <n v="206232.3"/>
  </r>
  <r>
    <x v="0"/>
    <x v="2"/>
    <x v="2"/>
    <x v="2"/>
    <x v="3"/>
    <s v="FinA"/>
    <x v="6"/>
    <x v="7"/>
    <s v="GNR_RES_WTR_NOPMP_MC-03"/>
    <x v="0"/>
    <x v="22"/>
    <n v="156.94999999999999"/>
    <n v="57286.75"/>
    <n v="206232.3"/>
  </r>
  <r>
    <x v="0"/>
    <x v="2"/>
    <x v="2"/>
    <x v="2"/>
    <x v="3"/>
    <s v="FinA"/>
    <x v="6"/>
    <x v="7"/>
    <s v="GNR_RES_WTR_NOPMP_MC-03"/>
    <x v="0"/>
    <x v="23"/>
    <n v="134.067997877723"/>
    <n v="48934.819225368803"/>
    <n v="176165.34921132799"/>
  </r>
  <r>
    <x v="0"/>
    <x v="2"/>
    <x v="2"/>
    <x v="2"/>
    <x v="3"/>
    <s v="FinA"/>
    <x v="6"/>
    <x v="7"/>
    <s v="GNR_RES_WTR_NOPMP_MC-04"/>
    <x v="0"/>
    <x v="0"/>
    <n v="156.94999999999999"/>
    <n v="57286.75"/>
    <n v="206232.3"/>
  </r>
  <r>
    <x v="0"/>
    <x v="2"/>
    <x v="2"/>
    <x v="2"/>
    <x v="3"/>
    <s v="FinA"/>
    <x v="6"/>
    <x v="7"/>
    <s v="GNR_RES_WTR_NOPMP_MC-04"/>
    <x v="0"/>
    <x v="1"/>
    <n v="156.94999999999999"/>
    <n v="57286.75"/>
    <n v="206232.3"/>
  </r>
  <r>
    <x v="0"/>
    <x v="2"/>
    <x v="2"/>
    <x v="2"/>
    <x v="3"/>
    <s v="FinA"/>
    <x v="6"/>
    <x v="7"/>
    <s v="GNR_RES_WTR_NOPMP_MC-04"/>
    <x v="0"/>
    <x v="18"/>
    <n v="156.94999999999999"/>
    <n v="57286.75"/>
    <n v="206232.3"/>
  </r>
  <r>
    <x v="0"/>
    <x v="2"/>
    <x v="2"/>
    <x v="2"/>
    <x v="3"/>
    <s v="FinA"/>
    <x v="6"/>
    <x v="7"/>
    <s v="GNR_RES_WTR_NOPMP_MC-04"/>
    <x v="0"/>
    <x v="2"/>
    <n v="156.94999999999999"/>
    <n v="57286.75"/>
    <n v="206232.3"/>
  </r>
  <r>
    <x v="0"/>
    <x v="2"/>
    <x v="2"/>
    <x v="2"/>
    <x v="3"/>
    <s v="FinA"/>
    <x v="6"/>
    <x v="7"/>
    <s v="GNR_RES_WTR_NOPMP_MC-04"/>
    <x v="0"/>
    <x v="3"/>
    <n v="156.94999999999999"/>
    <n v="57286.75"/>
    <n v="206232.3"/>
  </r>
  <r>
    <x v="0"/>
    <x v="2"/>
    <x v="2"/>
    <x v="2"/>
    <x v="3"/>
    <s v="FinA"/>
    <x v="6"/>
    <x v="7"/>
    <s v="GNR_RES_WTR_NOPMP_MC-04"/>
    <x v="0"/>
    <x v="4"/>
    <n v="156.94999999999999"/>
    <n v="57286.75"/>
    <n v="206232.3"/>
  </r>
  <r>
    <x v="0"/>
    <x v="2"/>
    <x v="2"/>
    <x v="2"/>
    <x v="3"/>
    <s v="FinA"/>
    <x v="6"/>
    <x v="7"/>
    <s v="GNR_RES_WTR_NOPMP_MC-04"/>
    <x v="0"/>
    <x v="5"/>
    <n v="156.94999999999999"/>
    <n v="57286.75"/>
    <n v="206232.3"/>
  </r>
  <r>
    <x v="0"/>
    <x v="2"/>
    <x v="2"/>
    <x v="2"/>
    <x v="3"/>
    <s v="FinA"/>
    <x v="6"/>
    <x v="7"/>
    <s v="GNR_RES_WTR_NOPMP_MC-04"/>
    <x v="0"/>
    <x v="6"/>
    <n v="156.94999999999999"/>
    <n v="57286.75"/>
    <n v="206232.3"/>
  </r>
  <r>
    <x v="0"/>
    <x v="2"/>
    <x v="2"/>
    <x v="2"/>
    <x v="3"/>
    <s v="FinA"/>
    <x v="6"/>
    <x v="7"/>
    <s v="GNR_RES_WTR_NOPMP_MC-04"/>
    <x v="0"/>
    <x v="7"/>
    <n v="156.94999999999999"/>
    <n v="57286.75"/>
    <n v="206232.3"/>
  </r>
  <r>
    <x v="0"/>
    <x v="2"/>
    <x v="2"/>
    <x v="2"/>
    <x v="3"/>
    <s v="FinA"/>
    <x v="6"/>
    <x v="7"/>
    <s v="GNR_RES_WTR_NOPMP_MC-04"/>
    <x v="0"/>
    <x v="8"/>
    <n v="156.94999999999999"/>
    <n v="57286.75"/>
    <n v="206232.3"/>
  </r>
  <r>
    <x v="0"/>
    <x v="2"/>
    <x v="2"/>
    <x v="2"/>
    <x v="3"/>
    <s v="FinA"/>
    <x v="6"/>
    <x v="7"/>
    <s v="GNR_RES_WTR_NOPMP_MC-04"/>
    <x v="0"/>
    <x v="9"/>
    <n v="156.94999999999999"/>
    <n v="57286.75"/>
    <n v="206232.3"/>
  </r>
  <r>
    <x v="0"/>
    <x v="2"/>
    <x v="2"/>
    <x v="2"/>
    <x v="3"/>
    <s v="FinA"/>
    <x v="6"/>
    <x v="7"/>
    <s v="GNR_RES_WTR_NOPMP_MC-04"/>
    <x v="0"/>
    <x v="10"/>
    <n v="156.94999999999999"/>
    <n v="57286.75"/>
    <n v="206232.3"/>
  </r>
  <r>
    <x v="0"/>
    <x v="2"/>
    <x v="2"/>
    <x v="2"/>
    <x v="3"/>
    <s v="FinA"/>
    <x v="6"/>
    <x v="7"/>
    <s v="GNR_RES_WTR_NOPMP_MC-04"/>
    <x v="0"/>
    <x v="11"/>
    <n v="156.94999999999999"/>
    <n v="57286.75"/>
    <n v="206232.3"/>
  </r>
  <r>
    <x v="0"/>
    <x v="2"/>
    <x v="2"/>
    <x v="2"/>
    <x v="3"/>
    <s v="FinA"/>
    <x v="6"/>
    <x v="7"/>
    <s v="GNR_RES_WTR_NOPMP_MC-04"/>
    <x v="0"/>
    <x v="12"/>
    <n v="156.94999999999999"/>
    <n v="57286.75"/>
    <n v="206232.3"/>
  </r>
  <r>
    <x v="0"/>
    <x v="2"/>
    <x v="2"/>
    <x v="2"/>
    <x v="3"/>
    <s v="FinA"/>
    <x v="6"/>
    <x v="7"/>
    <s v="GNR_RES_WTR_NOPMP_MC-04"/>
    <x v="0"/>
    <x v="14"/>
    <n v="156.94999999999999"/>
    <n v="57286.75"/>
    <n v="206232.3"/>
  </r>
  <r>
    <x v="0"/>
    <x v="2"/>
    <x v="2"/>
    <x v="2"/>
    <x v="3"/>
    <s v="FinA"/>
    <x v="6"/>
    <x v="7"/>
    <s v="GNR_RES_WTR_NOPMP_MC-04"/>
    <x v="0"/>
    <x v="15"/>
    <n v="156.94999999999999"/>
    <n v="57286.75"/>
    <n v="206232.3"/>
  </r>
  <r>
    <x v="0"/>
    <x v="2"/>
    <x v="2"/>
    <x v="2"/>
    <x v="3"/>
    <s v="FinA"/>
    <x v="6"/>
    <x v="7"/>
    <s v="GNR_RES_WTR_NOPMP_MC-04"/>
    <x v="0"/>
    <x v="16"/>
    <n v="156.94999999999999"/>
    <n v="57286.75"/>
    <n v="206232.3"/>
  </r>
  <r>
    <x v="0"/>
    <x v="2"/>
    <x v="2"/>
    <x v="2"/>
    <x v="3"/>
    <s v="FinA"/>
    <x v="6"/>
    <x v="7"/>
    <s v="GNR_RES_WTR_NOPMP_MC-04"/>
    <x v="0"/>
    <x v="17"/>
    <n v="156.94999999999999"/>
    <n v="57286.75"/>
    <n v="206232.3"/>
  </r>
  <r>
    <x v="0"/>
    <x v="2"/>
    <x v="2"/>
    <x v="2"/>
    <x v="3"/>
    <s v="FinA"/>
    <x v="6"/>
    <x v="7"/>
    <s v="GNR_RES_WTR_NOPMP_MC-04"/>
    <x v="0"/>
    <x v="19"/>
    <n v="156.94999999999999"/>
    <n v="57286.75"/>
    <n v="206232.3"/>
  </r>
  <r>
    <x v="0"/>
    <x v="2"/>
    <x v="2"/>
    <x v="2"/>
    <x v="3"/>
    <s v="FinA"/>
    <x v="6"/>
    <x v="7"/>
    <s v="GNR_RES_WTR_NOPMP_MC-04"/>
    <x v="0"/>
    <x v="20"/>
    <n v="156.94999999999999"/>
    <n v="57286.75"/>
    <n v="206232.3"/>
  </r>
  <r>
    <x v="0"/>
    <x v="2"/>
    <x v="2"/>
    <x v="2"/>
    <x v="3"/>
    <s v="FinA"/>
    <x v="6"/>
    <x v="7"/>
    <s v="GNR_RES_WTR_NOPMP_MC-04"/>
    <x v="0"/>
    <x v="21"/>
    <n v="156.94999999999999"/>
    <n v="57286.75"/>
    <n v="206232.3"/>
  </r>
  <r>
    <x v="0"/>
    <x v="2"/>
    <x v="2"/>
    <x v="2"/>
    <x v="3"/>
    <s v="FinA"/>
    <x v="6"/>
    <x v="7"/>
    <s v="GNR_RES_WTR_NOPMP_MC-04"/>
    <x v="0"/>
    <x v="22"/>
    <n v="116.845344862297"/>
    <n v="42648.550874738503"/>
    <n v="153534.78314905899"/>
  </r>
  <r>
    <x v="0"/>
    <x v="2"/>
    <x v="2"/>
    <x v="2"/>
    <x v="3"/>
    <s v="FinA"/>
    <x v="6"/>
    <x v="7"/>
    <s v="GNR_RES_WTR_NOPMP_MC-05"/>
    <x v="0"/>
    <x v="0"/>
    <n v="156.94999999999999"/>
    <n v="57286.75"/>
    <n v="206232.3"/>
  </r>
  <r>
    <x v="0"/>
    <x v="2"/>
    <x v="2"/>
    <x v="2"/>
    <x v="3"/>
    <s v="FinA"/>
    <x v="6"/>
    <x v="7"/>
    <s v="GNR_RES_WTR_NOPMP_MC-05"/>
    <x v="0"/>
    <x v="1"/>
    <n v="156.94999999999999"/>
    <n v="57286.75"/>
    <n v="206232.3"/>
  </r>
  <r>
    <x v="0"/>
    <x v="2"/>
    <x v="2"/>
    <x v="2"/>
    <x v="3"/>
    <s v="FinA"/>
    <x v="6"/>
    <x v="7"/>
    <s v="GNR_RES_WTR_NOPMP_MC-05"/>
    <x v="0"/>
    <x v="18"/>
    <n v="156.94999999999999"/>
    <n v="57286.75"/>
    <n v="206232.3"/>
  </r>
  <r>
    <x v="0"/>
    <x v="2"/>
    <x v="2"/>
    <x v="2"/>
    <x v="3"/>
    <s v="FinA"/>
    <x v="6"/>
    <x v="7"/>
    <s v="GNR_RES_WTR_NOPMP_MC-05"/>
    <x v="0"/>
    <x v="2"/>
    <n v="156.94999999999999"/>
    <n v="57286.75"/>
    <n v="206232.3"/>
  </r>
  <r>
    <x v="0"/>
    <x v="2"/>
    <x v="2"/>
    <x v="2"/>
    <x v="3"/>
    <s v="FinA"/>
    <x v="6"/>
    <x v="7"/>
    <s v="GNR_RES_WTR_NOPMP_MC-05"/>
    <x v="0"/>
    <x v="3"/>
    <n v="156.94999999999999"/>
    <n v="57286.75"/>
    <n v="206232.3"/>
  </r>
  <r>
    <x v="0"/>
    <x v="2"/>
    <x v="2"/>
    <x v="2"/>
    <x v="3"/>
    <s v="FinA"/>
    <x v="6"/>
    <x v="7"/>
    <s v="GNR_RES_WTR_NOPMP_MC-05"/>
    <x v="0"/>
    <x v="4"/>
    <n v="156.94999999999999"/>
    <n v="57286.75"/>
    <n v="206232.3"/>
  </r>
  <r>
    <x v="0"/>
    <x v="2"/>
    <x v="2"/>
    <x v="2"/>
    <x v="3"/>
    <s v="FinA"/>
    <x v="6"/>
    <x v="7"/>
    <s v="GNR_RES_WTR_NOPMP_MC-05"/>
    <x v="0"/>
    <x v="5"/>
    <n v="156.94999999999999"/>
    <n v="57286.75"/>
    <n v="206232.3"/>
  </r>
  <r>
    <x v="0"/>
    <x v="2"/>
    <x v="2"/>
    <x v="2"/>
    <x v="3"/>
    <s v="FinA"/>
    <x v="6"/>
    <x v="7"/>
    <s v="GNR_RES_WTR_NOPMP_MC-05"/>
    <x v="0"/>
    <x v="6"/>
    <n v="156.94999999999999"/>
    <n v="57286.75"/>
    <n v="206232.3"/>
  </r>
  <r>
    <x v="0"/>
    <x v="2"/>
    <x v="2"/>
    <x v="2"/>
    <x v="3"/>
    <s v="FinA"/>
    <x v="6"/>
    <x v="7"/>
    <s v="GNR_RES_WTR_NOPMP_MC-05"/>
    <x v="0"/>
    <x v="7"/>
    <n v="156.94999999999999"/>
    <n v="57286.75"/>
    <n v="206232.3"/>
  </r>
  <r>
    <x v="0"/>
    <x v="2"/>
    <x v="2"/>
    <x v="2"/>
    <x v="3"/>
    <s v="FinA"/>
    <x v="6"/>
    <x v="7"/>
    <s v="GNR_RES_WTR_NOPMP_MC-05"/>
    <x v="0"/>
    <x v="8"/>
    <n v="156.94999999999999"/>
    <n v="57286.75"/>
    <n v="206232.3"/>
  </r>
  <r>
    <x v="0"/>
    <x v="2"/>
    <x v="2"/>
    <x v="2"/>
    <x v="3"/>
    <s v="FinA"/>
    <x v="6"/>
    <x v="7"/>
    <s v="GNR_RES_WTR_NOPMP_MC-05"/>
    <x v="0"/>
    <x v="9"/>
    <n v="156.94999999999999"/>
    <n v="57286.75"/>
    <n v="206232.3"/>
  </r>
  <r>
    <x v="0"/>
    <x v="2"/>
    <x v="2"/>
    <x v="2"/>
    <x v="3"/>
    <s v="FinA"/>
    <x v="6"/>
    <x v="7"/>
    <s v="GNR_RES_WTR_NOPMP_MC-05"/>
    <x v="0"/>
    <x v="10"/>
    <n v="156.94999999999999"/>
    <n v="57286.75"/>
    <n v="206232.3"/>
  </r>
  <r>
    <x v="0"/>
    <x v="2"/>
    <x v="2"/>
    <x v="2"/>
    <x v="3"/>
    <s v="FinA"/>
    <x v="6"/>
    <x v="7"/>
    <s v="GNR_RES_WTR_NOPMP_MC-05"/>
    <x v="0"/>
    <x v="11"/>
    <n v="156.94999999999999"/>
    <n v="57286.75"/>
    <n v="206232.3"/>
  </r>
  <r>
    <x v="0"/>
    <x v="2"/>
    <x v="2"/>
    <x v="2"/>
    <x v="3"/>
    <s v="FinA"/>
    <x v="6"/>
    <x v="7"/>
    <s v="GNR_RES_WTR_NOPMP_MC-05"/>
    <x v="0"/>
    <x v="12"/>
    <n v="107.45771220096"/>
    <n v="39222.064953350498"/>
    <n v="141199.433832062"/>
  </r>
  <r>
    <x v="0"/>
    <x v="2"/>
    <x v="2"/>
    <x v="2"/>
    <x v="3"/>
    <s v="FinA"/>
    <x v="6"/>
    <x v="7"/>
    <s v="GNR_RES_WTR_NOPMP_MC-05"/>
    <x v="0"/>
    <x v="15"/>
    <n v="156.94999999999999"/>
    <n v="57286.75"/>
    <n v="206232.3"/>
  </r>
  <r>
    <x v="0"/>
    <x v="2"/>
    <x v="2"/>
    <x v="2"/>
    <x v="3"/>
    <s v="FinA"/>
    <x v="6"/>
    <x v="7"/>
    <s v="GNR_RES_WTR_NOPMP_MC-05"/>
    <x v="0"/>
    <x v="16"/>
    <n v="156.94999999999999"/>
    <n v="57286.75"/>
    <n v="206232.3"/>
  </r>
  <r>
    <x v="0"/>
    <x v="2"/>
    <x v="2"/>
    <x v="2"/>
    <x v="3"/>
    <s v="FinA"/>
    <x v="6"/>
    <x v="7"/>
    <s v="GNR_RES_WTR_NOPMP_MC-05"/>
    <x v="0"/>
    <x v="17"/>
    <n v="156.94999999999999"/>
    <n v="57286.75"/>
    <n v="206232.3"/>
  </r>
  <r>
    <x v="0"/>
    <x v="2"/>
    <x v="2"/>
    <x v="2"/>
    <x v="3"/>
    <s v="FinA"/>
    <x v="6"/>
    <x v="7"/>
    <s v="GNR_RES_WTR_NOPMP_MC-05"/>
    <x v="0"/>
    <x v="19"/>
    <n v="156.94999999999999"/>
    <n v="57286.75"/>
    <n v="206232.3"/>
  </r>
  <r>
    <x v="0"/>
    <x v="2"/>
    <x v="2"/>
    <x v="2"/>
    <x v="3"/>
    <s v="FinA"/>
    <x v="6"/>
    <x v="7"/>
    <s v="GNR_RES_WTR_NOPMP_MC-05"/>
    <x v="0"/>
    <x v="20"/>
    <n v="156.94999999999999"/>
    <n v="57286.75"/>
    <n v="206232.3"/>
  </r>
  <r>
    <x v="0"/>
    <x v="2"/>
    <x v="2"/>
    <x v="2"/>
    <x v="3"/>
    <s v="FinA"/>
    <x v="6"/>
    <x v="7"/>
    <s v="GNR_RES_WTR_NOPMP_MC-06"/>
    <x v="0"/>
    <x v="0"/>
    <n v="156.94999999999999"/>
    <n v="57286.75"/>
    <n v="206232.3"/>
  </r>
  <r>
    <x v="0"/>
    <x v="2"/>
    <x v="2"/>
    <x v="2"/>
    <x v="3"/>
    <s v="FinA"/>
    <x v="6"/>
    <x v="7"/>
    <s v="GNR_RES_WTR_NOPMP_MC-06"/>
    <x v="0"/>
    <x v="1"/>
    <n v="156.94999999999999"/>
    <n v="57286.75"/>
    <n v="206232.3"/>
  </r>
  <r>
    <x v="0"/>
    <x v="2"/>
    <x v="2"/>
    <x v="2"/>
    <x v="3"/>
    <s v="FinA"/>
    <x v="6"/>
    <x v="7"/>
    <s v="GNR_RES_WTR_NOPMP_MC-06"/>
    <x v="0"/>
    <x v="18"/>
    <n v="122.34255077639099"/>
    <n v="44655.031033382802"/>
    <n v="160758.11172017801"/>
  </r>
  <r>
    <x v="0"/>
    <x v="2"/>
    <x v="2"/>
    <x v="2"/>
    <x v="3"/>
    <s v="FinA"/>
    <x v="6"/>
    <x v="7"/>
    <s v="GNR_RES_WTR_NOPMP_MC-06"/>
    <x v="0"/>
    <x v="3"/>
    <n v="152.68229552548499"/>
    <n v="55729.037866801998"/>
    <n v="200624.53632048701"/>
  </r>
  <r>
    <x v="0"/>
    <x v="2"/>
    <x v="2"/>
    <x v="2"/>
    <x v="3"/>
    <s v="FinA"/>
    <x v="6"/>
    <x v="7"/>
    <s v="GNR_RES_WTR_NOPMP_MC-06"/>
    <x v="0"/>
    <x v="4"/>
    <n v="156.94999999999999"/>
    <n v="57286.75"/>
    <n v="206232.3"/>
  </r>
  <r>
    <x v="0"/>
    <x v="2"/>
    <x v="2"/>
    <x v="2"/>
    <x v="3"/>
    <s v="FinA"/>
    <x v="6"/>
    <x v="7"/>
    <s v="GNR_RES_WTR_NOPMP_MC-06"/>
    <x v="0"/>
    <x v="5"/>
    <n v="156.94999999999999"/>
    <n v="57286.75"/>
    <n v="206232.3"/>
  </r>
  <r>
    <x v="0"/>
    <x v="2"/>
    <x v="2"/>
    <x v="2"/>
    <x v="3"/>
    <s v="FinA"/>
    <x v="6"/>
    <x v="7"/>
    <s v="GNR_RES_WTR_NOPMP_MC-06"/>
    <x v="0"/>
    <x v="6"/>
    <n v="156.94999999999999"/>
    <n v="57286.75"/>
    <n v="206232.3"/>
  </r>
  <r>
    <x v="0"/>
    <x v="2"/>
    <x v="2"/>
    <x v="2"/>
    <x v="3"/>
    <s v="FinA"/>
    <x v="6"/>
    <x v="7"/>
    <s v="GNR_RES_WTR_NOPMP_MC-06"/>
    <x v="0"/>
    <x v="7"/>
    <n v="156.94999999999999"/>
    <n v="57286.75"/>
    <n v="206232.3"/>
  </r>
  <r>
    <x v="0"/>
    <x v="2"/>
    <x v="2"/>
    <x v="2"/>
    <x v="3"/>
    <s v="FinA"/>
    <x v="6"/>
    <x v="7"/>
    <s v="GNR_RES_WTR_NOPMP_MC-06"/>
    <x v="0"/>
    <x v="8"/>
    <n v="156.94999999999999"/>
    <n v="57286.75"/>
    <n v="206232.3"/>
  </r>
  <r>
    <x v="0"/>
    <x v="2"/>
    <x v="2"/>
    <x v="2"/>
    <x v="3"/>
    <s v="FinA"/>
    <x v="6"/>
    <x v="7"/>
    <s v="GNR_RES_WTR_NOPMP_MC-06"/>
    <x v="0"/>
    <x v="9"/>
    <n v="156.94999999999999"/>
    <n v="57286.75"/>
    <n v="206232.3"/>
  </r>
  <r>
    <x v="0"/>
    <x v="2"/>
    <x v="2"/>
    <x v="2"/>
    <x v="3"/>
    <s v="FinA"/>
    <x v="6"/>
    <x v="7"/>
    <s v="GNR_RES_WTR_NOPMP_MC-06"/>
    <x v="0"/>
    <x v="10"/>
    <n v="151.84669174942701"/>
    <n v="55424.042488541003"/>
    <n v="199526.55295874801"/>
  </r>
  <r>
    <x v="0"/>
    <x v="2"/>
    <x v="2"/>
    <x v="2"/>
    <x v="3"/>
    <s v="FinA"/>
    <x v="6"/>
    <x v="7"/>
    <s v="GNR_RES_WTR_NOPMP_MC-06"/>
    <x v="0"/>
    <x v="15"/>
    <n v="156.94999999999999"/>
    <n v="57286.75"/>
    <n v="206232.3"/>
  </r>
  <r>
    <x v="0"/>
    <x v="2"/>
    <x v="2"/>
    <x v="2"/>
    <x v="3"/>
    <s v="FinA"/>
    <x v="6"/>
    <x v="7"/>
    <s v="GNR_RES_WTR_NOPMP_MC-06"/>
    <x v="0"/>
    <x v="16"/>
    <n v="156.94999999999999"/>
    <n v="57286.75"/>
    <n v="206232.3"/>
  </r>
  <r>
    <x v="0"/>
    <x v="2"/>
    <x v="2"/>
    <x v="2"/>
    <x v="3"/>
    <s v="FinA"/>
    <x v="6"/>
    <x v="7"/>
    <s v="GNR_RES_WTR_NOPMP_MC-06"/>
    <x v="0"/>
    <x v="17"/>
    <n v="156.94999999999999"/>
    <n v="57286.75"/>
    <n v="206232.3"/>
  </r>
  <r>
    <x v="0"/>
    <x v="2"/>
    <x v="2"/>
    <x v="2"/>
    <x v="3"/>
    <s v="FinA"/>
    <x v="6"/>
    <x v="7"/>
    <s v="GNR_RES_WTR_NOPMP_MC-06"/>
    <x v="0"/>
    <x v="19"/>
    <n v="100.650189960117"/>
    <n v="36737.319335442699"/>
    <n v="132254.34960759399"/>
  </r>
  <r>
    <x v="0"/>
    <x v="2"/>
    <x v="2"/>
    <x v="2"/>
    <x v="3"/>
    <s v="FinA"/>
    <x v="6"/>
    <x v="7"/>
    <s v="GNR_RES_WTR_NOPMP_MC-07"/>
    <x v="0"/>
    <x v="0"/>
    <n v="156.94999999999999"/>
    <n v="57286.75"/>
    <n v="206232.3"/>
  </r>
  <r>
    <x v="0"/>
    <x v="2"/>
    <x v="2"/>
    <x v="2"/>
    <x v="3"/>
    <s v="FinA"/>
    <x v="6"/>
    <x v="7"/>
    <s v="GNR_RES_WTR_NOPMP_MC-07"/>
    <x v="0"/>
    <x v="4"/>
    <n v="156.94999999999999"/>
    <n v="57286.75"/>
    <n v="206232.3"/>
  </r>
  <r>
    <x v="0"/>
    <x v="2"/>
    <x v="2"/>
    <x v="2"/>
    <x v="3"/>
    <s v="FinA"/>
    <x v="6"/>
    <x v="7"/>
    <s v="GNR_RES_WTR_NOPMP_MC-07"/>
    <x v="0"/>
    <x v="5"/>
    <n v="156.94999999999999"/>
    <n v="57286.75"/>
    <n v="206232.3"/>
  </r>
  <r>
    <x v="0"/>
    <x v="2"/>
    <x v="2"/>
    <x v="2"/>
    <x v="3"/>
    <s v="FinA"/>
    <x v="6"/>
    <x v="7"/>
    <s v="GNR_RES_WTR_NOPMP_MC-07"/>
    <x v="0"/>
    <x v="6"/>
    <n v="156.94999999999999"/>
    <n v="57286.75"/>
    <n v="206232.3"/>
  </r>
  <r>
    <x v="0"/>
    <x v="2"/>
    <x v="2"/>
    <x v="2"/>
    <x v="3"/>
    <s v="FinA"/>
    <x v="6"/>
    <x v="7"/>
    <s v="GNR_RES_WTR_NOPMP_MC-07"/>
    <x v="0"/>
    <x v="7"/>
    <n v="156.94999999999999"/>
    <n v="57286.75"/>
    <n v="206232.3"/>
  </r>
  <r>
    <x v="0"/>
    <x v="2"/>
    <x v="2"/>
    <x v="2"/>
    <x v="3"/>
    <s v="FinA"/>
    <x v="6"/>
    <x v="7"/>
    <s v="GNR_RES_WTR_NOPMP_MC-07"/>
    <x v="0"/>
    <x v="8"/>
    <n v="156.94999999999999"/>
    <n v="57286.75"/>
    <n v="206232.3"/>
  </r>
  <r>
    <x v="0"/>
    <x v="2"/>
    <x v="2"/>
    <x v="2"/>
    <x v="3"/>
    <s v="FinA"/>
    <x v="6"/>
    <x v="7"/>
    <s v="GNR_RES_WTR_NOPMP_MC-07"/>
    <x v="0"/>
    <x v="9"/>
    <n v="156.94999999999999"/>
    <n v="57286.75"/>
    <n v="206232.3"/>
  </r>
  <r>
    <x v="0"/>
    <x v="2"/>
    <x v="2"/>
    <x v="2"/>
    <x v="3"/>
    <s v="FinA"/>
    <x v="6"/>
    <x v="7"/>
    <s v="GNR_RES_WTR_NOPMP_MC-07"/>
    <x v="0"/>
    <x v="15"/>
    <n v="156.94999999999999"/>
    <n v="57286.75"/>
    <n v="206232.3"/>
  </r>
  <r>
    <x v="0"/>
    <x v="2"/>
    <x v="2"/>
    <x v="2"/>
    <x v="3"/>
    <s v="FinA"/>
    <x v="6"/>
    <x v="7"/>
    <s v="GNR_RES_WTR_NOPMP_MC-07"/>
    <x v="0"/>
    <x v="16"/>
    <n v="156.94999999999999"/>
    <n v="57286.75"/>
    <n v="206232.3"/>
  </r>
  <r>
    <x v="0"/>
    <x v="2"/>
    <x v="2"/>
    <x v="2"/>
    <x v="3"/>
    <s v="FinA"/>
    <x v="6"/>
    <x v="7"/>
    <s v="GNR_RES_WTR_NOPMP_MC-07"/>
    <x v="0"/>
    <x v="17"/>
    <n v="156.94999999999999"/>
    <n v="57286.75"/>
    <n v="206232.3"/>
  </r>
  <r>
    <x v="0"/>
    <x v="2"/>
    <x v="2"/>
    <x v="2"/>
    <x v="3"/>
    <s v="FinA"/>
    <x v="6"/>
    <x v="7"/>
    <s v="GNR_RES_WTR_NOPMP_MC-08"/>
    <x v="0"/>
    <x v="0"/>
    <n v="47.160629373864801"/>
    <n v="17213.6297214607"/>
    <n v="61969.0669972584"/>
  </r>
  <r>
    <x v="0"/>
    <x v="2"/>
    <x v="2"/>
    <x v="2"/>
    <x v="3"/>
    <s v="FinA"/>
    <x v="6"/>
    <x v="7"/>
    <s v="GNR_RES_WTR_NOPMP_MC-08"/>
    <x v="0"/>
    <x v="4"/>
    <n v="156.94999999999999"/>
    <n v="57286.75"/>
    <n v="206232.3"/>
  </r>
  <r>
    <x v="0"/>
    <x v="2"/>
    <x v="2"/>
    <x v="2"/>
    <x v="3"/>
    <s v="FinA"/>
    <x v="6"/>
    <x v="7"/>
    <s v="GNR_RES_WTR_NOPMP_MC-08"/>
    <x v="0"/>
    <x v="5"/>
    <n v="156.94999999999999"/>
    <n v="57286.75"/>
    <n v="206232.3"/>
  </r>
  <r>
    <x v="0"/>
    <x v="2"/>
    <x v="2"/>
    <x v="2"/>
    <x v="3"/>
    <s v="FinA"/>
    <x v="6"/>
    <x v="7"/>
    <s v="GNR_RES_WTR_NOPMP_MC-08"/>
    <x v="0"/>
    <x v="6"/>
    <n v="156.94999999999999"/>
    <n v="57286.75"/>
    <n v="206232.3"/>
  </r>
  <r>
    <x v="0"/>
    <x v="2"/>
    <x v="2"/>
    <x v="2"/>
    <x v="3"/>
    <s v="FinA"/>
    <x v="6"/>
    <x v="7"/>
    <s v="GNR_RES_WTR_NOPMP_MC-08"/>
    <x v="0"/>
    <x v="7"/>
    <n v="156.94999999999999"/>
    <n v="57286.75"/>
    <n v="206232.3"/>
  </r>
  <r>
    <x v="0"/>
    <x v="2"/>
    <x v="2"/>
    <x v="2"/>
    <x v="3"/>
    <s v="FinA"/>
    <x v="6"/>
    <x v="7"/>
    <s v="GNR_RES_WTR_NOPMP_MC-08"/>
    <x v="0"/>
    <x v="8"/>
    <n v="156.94999999999999"/>
    <n v="57286.75"/>
    <n v="206232.3"/>
  </r>
  <r>
    <x v="0"/>
    <x v="2"/>
    <x v="2"/>
    <x v="2"/>
    <x v="3"/>
    <s v="FinA"/>
    <x v="6"/>
    <x v="7"/>
    <s v="GNR_RES_WTR_NOPMP_MC-08"/>
    <x v="0"/>
    <x v="9"/>
    <n v="156.94999999999999"/>
    <n v="57286.75"/>
    <n v="206232.3"/>
  </r>
  <r>
    <x v="0"/>
    <x v="2"/>
    <x v="2"/>
    <x v="2"/>
    <x v="3"/>
    <s v="FinA"/>
    <x v="6"/>
    <x v="7"/>
    <s v="GNR_RES_WTR_NOPMP_MC-08"/>
    <x v="0"/>
    <x v="15"/>
    <n v="156.94999999999999"/>
    <n v="57286.75"/>
    <n v="206232.3"/>
  </r>
  <r>
    <x v="0"/>
    <x v="2"/>
    <x v="2"/>
    <x v="2"/>
    <x v="3"/>
    <s v="FinA"/>
    <x v="6"/>
    <x v="7"/>
    <s v="GNR_RES_WTR_NOPMP_MC-08"/>
    <x v="0"/>
    <x v="16"/>
    <n v="156.94999999999999"/>
    <n v="57286.75"/>
    <n v="206232.3"/>
  </r>
  <r>
    <x v="0"/>
    <x v="2"/>
    <x v="2"/>
    <x v="2"/>
    <x v="3"/>
    <s v="FinA"/>
    <x v="6"/>
    <x v="7"/>
    <s v="GNR_RES_WTR_NOPMP_MC-08"/>
    <x v="0"/>
    <x v="17"/>
    <n v="156.94999999999999"/>
    <n v="57286.75"/>
    <n v="206232.3"/>
  </r>
  <r>
    <x v="0"/>
    <x v="2"/>
    <x v="2"/>
    <x v="2"/>
    <x v="3"/>
    <s v="FinA"/>
    <x v="6"/>
    <x v="7"/>
    <s v="GNR_RES_WTR_NOPMP_MC-09"/>
    <x v="0"/>
    <x v="5"/>
    <n v="156.94999999999999"/>
    <n v="57286.75"/>
    <n v="206232.3"/>
  </r>
  <r>
    <x v="0"/>
    <x v="2"/>
    <x v="2"/>
    <x v="2"/>
    <x v="3"/>
    <s v="FinA"/>
    <x v="6"/>
    <x v="7"/>
    <s v="GNR_RES_WTR_NOPMP_MC-09"/>
    <x v="0"/>
    <x v="6"/>
    <n v="156.94999999999999"/>
    <n v="57286.75"/>
    <n v="206232.3"/>
  </r>
  <r>
    <x v="0"/>
    <x v="2"/>
    <x v="2"/>
    <x v="2"/>
    <x v="3"/>
    <s v="FinA"/>
    <x v="6"/>
    <x v="7"/>
    <s v="GNR_RES_WTR_NOPMP_MC-09"/>
    <x v="0"/>
    <x v="7"/>
    <n v="156.94999999999999"/>
    <n v="57286.75"/>
    <n v="206232.3"/>
  </r>
  <r>
    <x v="0"/>
    <x v="2"/>
    <x v="2"/>
    <x v="2"/>
    <x v="3"/>
    <s v="FinA"/>
    <x v="6"/>
    <x v="7"/>
    <s v="GNR_RES_WTR_NOPMP_MC-09"/>
    <x v="0"/>
    <x v="8"/>
    <n v="156.94999999999999"/>
    <n v="57286.75"/>
    <n v="206232.3"/>
  </r>
  <r>
    <x v="0"/>
    <x v="2"/>
    <x v="2"/>
    <x v="2"/>
    <x v="3"/>
    <s v="FinA"/>
    <x v="6"/>
    <x v="7"/>
    <s v="GNR_RES_WTR_NOPMP_MC-09"/>
    <x v="0"/>
    <x v="9"/>
    <n v="91.387558628242104"/>
    <n v="33356.458899308403"/>
    <n v="120083.25203751"/>
  </r>
  <r>
    <x v="0"/>
    <x v="2"/>
    <x v="2"/>
    <x v="2"/>
    <x v="3"/>
    <s v="FinA"/>
    <x v="6"/>
    <x v="7"/>
    <s v="GNR_RES_WTR_NOPMP_MC-09"/>
    <x v="0"/>
    <x v="15"/>
    <n v="156.94999999999999"/>
    <n v="57286.75"/>
    <n v="206232.3"/>
  </r>
  <r>
    <x v="0"/>
    <x v="2"/>
    <x v="2"/>
    <x v="2"/>
    <x v="3"/>
    <s v="FinA"/>
    <x v="6"/>
    <x v="7"/>
    <s v="GNR_RES_WTR_NOPMP_MC-09"/>
    <x v="0"/>
    <x v="16"/>
    <n v="156.94999999999999"/>
    <n v="57286.75"/>
    <n v="206232.3"/>
  </r>
  <r>
    <x v="0"/>
    <x v="2"/>
    <x v="2"/>
    <x v="2"/>
    <x v="3"/>
    <s v="FinA"/>
    <x v="6"/>
    <x v="7"/>
    <s v="GNR_RES_WTR_NOPMP_MC-09"/>
    <x v="0"/>
    <x v="17"/>
    <n v="156.94999999999999"/>
    <n v="57286.75"/>
    <n v="206232.3"/>
  </r>
  <r>
    <x v="0"/>
    <x v="2"/>
    <x v="2"/>
    <x v="2"/>
    <x v="3"/>
    <s v="FinA"/>
    <x v="6"/>
    <x v="7"/>
    <s v="GNR_RES_WTR_NOPMP_MC-10"/>
    <x v="0"/>
    <x v="5"/>
    <n v="156.94999999999999"/>
    <n v="57286.75"/>
    <n v="206232.3"/>
  </r>
  <r>
    <x v="0"/>
    <x v="2"/>
    <x v="2"/>
    <x v="2"/>
    <x v="3"/>
    <s v="FinA"/>
    <x v="6"/>
    <x v="7"/>
    <s v="GNR_RES_WTR_NOPMP_MC-10"/>
    <x v="0"/>
    <x v="6"/>
    <n v="156.94999999999999"/>
    <n v="57286.75"/>
    <n v="206232.3"/>
  </r>
  <r>
    <x v="0"/>
    <x v="2"/>
    <x v="2"/>
    <x v="2"/>
    <x v="3"/>
    <s v="FinA"/>
    <x v="6"/>
    <x v="7"/>
    <s v="GNR_RES_WTR_NOPMP_MC-10"/>
    <x v="0"/>
    <x v="7"/>
    <n v="156.94999999999999"/>
    <n v="57286.75"/>
    <n v="206232.3"/>
  </r>
  <r>
    <x v="0"/>
    <x v="2"/>
    <x v="2"/>
    <x v="2"/>
    <x v="3"/>
    <s v="FinA"/>
    <x v="6"/>
    <x v="7"/>
    <s v="GNR_RES_WTR_NOPMP_MC-10"/>
    <x v="0"/>
    <x v="8"/>
    <n v="156.94999999999999"/>
    <n v="57286.75"/>
    <n v="206232.3"/>
  </r>
  <r>
    <x v="0"/>
    <x v="2"/>
    <x v="2"/>
    <x v="2"/>
    <x v="3"/>
    <s v="FinA"/>
    <x v="6"/>
    <x v="7"/>
    <s v="GNR_RES_WTR_NOPMP_MC-10"/>
    <x v="0"/>
    <x v="15"/>
    <n v="156.94999999999999"/>
    <n v="57286.75"/>
    <n v="206232.3"/>
  </r>
  <r>
    <x v="0"/>
    <x v="2"/>
    <x v="2"/>
    <x v="2"/>
    <x v="3"/>
    <s v="FinA"/>
    <x v="6"/>
    <x v="7"/>
    <s v="GNR_RES_WTR_NOPMP_MC-10"/>
    <x v="0"/>
    <x v="16"/>
    <n v="156.94999999999999"/>
    <n v="57286.75"/>
    <n v="206232.3"/>
  </r>
  <r>
    <x v="0"/>
    <x v="2"/>
    <x v="2"/>
    <x v="2"/>
    <x v="3"/>
    <s v="FinA"/>
    <x v="6"/>
    <x v="7"/>
    <s v="GNR_RES_WTR_NOPMP_MC-10"/>
    <x v="0"/>
    <x v="17"/>
    <n v="59.159029045501001"/>
    <n v="21593.045601607901"/>
    <n v="77734.964165788304"/>
  </r>
  <r>
    <x v="0"/>
    <x v="2"/>
    <x v="2"/>
    <x v="2"/>
    <x v="3"/>
    <s v="FinA"/>
    <x v="6"/>
    <x v="4"/>
    <s v="GNR_ROR_WTR"/>
    <x v="0"/>
    <x v="0"/>
    <n v="1021.45420514316"/>
    <n v="372830.78487725399"/>
    <n v="1342190.8255581199"/>
  </r>
  <r>
    <x v="0"/>
    <x v="2"/>
    <x v="2"/>
    <x v="2"/>
    <x v="3"/>
    <s v="FinA"/>
    <x v="6"/>
    <x v="4"/>
    <s v="GNR_ROR_WTR"/>
    <x v="0"/>
    <x v="1"/>
    <n v="1021.45420514316"/>
    <n v="372830.78487725399"/>
    <n v="1342190.8255581199"/>
  </r>
  <r>
    <x v="0"/>
    <x v="2"/>
    <x v="2"/>
    <x v="2"/>
    <x v="3"/>
    <s v="FinA"/>
    <x v="6"/>
    <x v="4"/>
    <s v="GNR_ROR_WTR"/>
    <x v="0"/>
    <x v="18"/>
    <n v="1021.45420514316"/>
    <n v="372830.78487725399"/>
    <n v="1342190.8255581199"/>
  </r>
  <r>
    <x v="0"/>
    <x v="2"/>
    <x v="2"/>
    <x v="2"/>
    <x v="3"/>
    <s v="FinA"/>
    <x v="6"/>
    <x v="4"/>
    <s v="GNR_ROR_WTR"/>
    <x v="0"/>
    <x v="2"/>
    <n v="1021.45420514316"/>
    <n v="372830.78487725399"/>
    <n v="1342190.8255581199"/>
  </r>
  <r>
    <x v="0"/>
    <x v="2"/>
    <x v="2"/>
    <x v="2"/>
    <x v="3"/>
    <s v="FinA"/>
    <x v="6"/>
    <x v="4"/>
    <s v="GNR_ROR_WTR"/>
    <x v="0"/>
    <x v="3"/>
    <n v="1021.45420514316"/>
    <n v="372830.78487725399"/>
    <n v="1342190.8255581199"/>
  </r>
  <r>
    <x v="0"/>
    <x v="2"/>
    <x v="2"/>
    <x v="2"/>
    <x v="3"/>
    <s v="FinA"/>
    <x v="6"/>
    <x v="4"/>
    <s v="GNR_ROR_WTR"/>
    <x v="0"/>
    <x v="4"/>
    <n v="1021.45420514316"/>
    <n v="372830.78487725399"/>
    <n v="1342190.8255581199"/>
  </r>
  <r>
    <x v="0"/>
    <x v="2"/>
    <x v="2"/>
    <x v="2"/>
    <x v="3"/>
    <s v="FinA"/>
    <x v="6"/>
    <x v="4"/>
    <s v="GNR_ROR_WTR"/>
    <x v="0"/>
    <x v="5"/>
    <n v="1021.45420514316"/>
    <n v="372830.78487725399"/>
    <n v="1342190.8255581199"/>
  </r>
  <r>
    <x v="0"/>
    <x v="2"/>
    <x v="2"/>
    <x v="2"/>
    <x v="3"/>
    <s v="FinA"/>
    <x v="6"/>
    <x v="4"/>
    <s v="GNR_ROR_WTR"/>
    <x v="0"/>
    <x v="6"/>
    <n v="1021.45420514316"/>
    <n v="372830.78487725399"/>
    <n v="1342190.8255581199"/>
  </r>
  <r>
    <x v="0"/>
    <x v="2"/>
    <x v="2"/>
    <x v="2"/>
    <x v="3"/>
    <s v="FinA"/>
    <x v="6"/>
    <x v="4"/>
    <s v="GNR_ROR_WTR"/>
    <x v="0"/>
    <x v="7"/>
    <n v="1021.45420514316"/>
    <n v="372830.78487725399"/>
    <n v="1342190.8255581199"/>
  </r>
  <r>
    <x v="0"/>
    <x v="2"/>
    <x v="2"/>
    <x v="2"/>
    <x v="3"/>
    <s v="FinA"/>
    <x v="6"/>
    <x v="4"/>
    <s v="GNR_ROR_WTR"/>
    <x v="0"/>
    <x v="8"/>
    <n v="1021.45420514316"/>
    <n v="372830.78487725399"/>
    <n v="1342190.8255581199"/>
  </r>
  <r>
    <x v="0"/>
    <x v="2"/>
    <x v="2"/>
    <x v="2"/>
    <x v="3"/>
    <s v="FinA"/>
    <x v="6"/>
    <x v="4"/>
    <s v="GNR_ROR_WTR"/>
    <x v="0"/>
    <x v="9"/>
    <n v="1021.45420514316"/>
    <n v="372830.78487725399"/>
    <n v="1342190.8255581199"/>
  </r>
  <r>
    <x v="0"/>
    <x v="2"/>
    <x v="2"/>
    <x v="2"/>
    <x v="3"/>
    <s v="FinA"/>
    <x v="6"/>
    <x v="4"/>
    <s v="GNR_ROR_WTR"/>
    <x v="0"/>
    <x v="10"/>
    <n v="1021.45420514316"/>
    <n v="372830.78487725399"/>
    <n v="1342190.8255581199"/>
  </r>
  <r>
    <x v="0"/>
    <x v="2"/>
    <x v="2"/>
    <x v="2"/>
    <x v="3"/>
    <s v="FinA"/>
    <x v="6"/>
    <x v="4"/>
    <s v="GNR_ROR_WTR"/>
    <x v="0"/>
    <x v="11"/>
    <n v="1021.45420514316"/>
    <n v="372830.78487725399"/>
    <n v="1342190.8255581199"/>
  </r>
  <r>
    <x v="0"/>
    <x v="2"/>
    <x v="2"/>
    <x v="2"/>
    <x v="3"/>
    <s v="FinA"/>
    <x v="6"/>
    <x v="4"/>
    <s v="GNR_ROR_WTR"/>
    <x v="0"/>
    <x v="12"/>
    <n v="1021.45420514316"/>
    <n v="372830.78487725399"/>
    <n v="1342190.8255581199"/>
  </r>
  <r>
    <x v="0"/>
    <x v="2"/>
    <x v="2"/>
    <x v="2"/>
    <x v="3"/>
    <s v="FinA"/>
    <x v="6"/>
    <x v="4"/>
    <s v="GNR_ROR_WTR"/>
    <x v="0"/>
    <x v="13"/>
    <n v="1021.45420514316"/>
    <n v="372830.78487725399"/>
    <n v="1342190.8255581199"/>
  </r>
  <r>
    <x v="0"/>
    <x v="2"/>
    <x v="2"/>
    <x v="2"/>
    <x v="3"/>
    <s v="FinA"/>
    <x v="6"/>
    <x v="4"/>
    <s v="GNR_ROR_WTR"/>
    <x v="0"/>
    <x v="14"/>
    <n v="1021.45420514316"/>
    <n v="372830.78487725399"/>
    <n v="1342190.8255581199"/>
  </r>
  <r>
    <x v="0"/>
    <x v="2"/>
    <x v="2"/>
    <x v="2"/>
    <x v="3"/>
    <s v="FinA"/>
    <x v="6"/>
    <x v="4"/>
    <s v="GNR_ROR_WTR"/>
    <x v="0"/>
    <x v="15"/>
    <n v="1021.45420514316"/>
    <n v="372830.78487725399"/>
    <n v="1342190.8255581199"/>
  </r>
  <r>
    <x v="0"/>
    <x v="2"/>
    <x v="2"/>
    <x v="2"/>
    <x v="3"/>
    <s v="FinA"/>
    <x v="6"/>
    <x v="4"/>
    <s v="GNR_ROR_WTR"/>
    <x v="0"/>
    <x v="16"/>
    <n v="1021.45420514316"/>
    <n v="372830.78487725399"/>
    <n v="1342190.8255581199"/>
  </r>
  <r>
    <x v="0"/>
    <x v="2"/>
    <x v="2"/>
    <x v="2"/>
    <x v="3"/>
    <s v="FinA"/>
    <x v="6"/>
    <x v="4"/>
    <s v="GNR_ROR_WTR"/>
    <x v="0"/>
    <x v="17"/>
    <n v="1021.45420514316"/>
    <n v="372830.78487725399"/>
    <n v="1342190.8255581199"/>
  </r>
  <r>
    <x v="0"/>
    <x v="2"/>
    <x v="2"/>
    <x v="2"/>
    <x v="3"/>
    <s v="FinA"/>
    <x v="6"/>
    <x v="4"/>
    <s v="GNR_ROR_WTR"/>
    <x v="0"/>
    <x v="19"/>
    <n v="1021.45420514316"/>
    <n v="372830.78487725399"/>
    <n v="1342190.8255581199"/>
  </r>
  <r>
    <x v="0"/>
    <x v="2"/>
    <x v="2"/>
    <x v="2"/>
    <x v="3"/>
    <s v="FinA"/>
    <x v="6"/>
    <x v="4"/>
    <s v="GNR_ROR_WTR"/>
    <x v="0"/>
    <x v="20"/>
    <n v="1021.45420514316"/>
    <n v="372830.78487725399"/>
    <n v="1342190.8255581199"/>
  </r>
  <r>
    <x v="0"/>
    <x v="2"/>
    <x v="2"/>
    <x v="2"/>
    <x v="3"/>
    <s v="FinA"/>
    <x v="6"/>
    <x v="4"/>
    <s v="GNR_ROR_WTR"/>
    <x v="0"/>
    <x v="21"/>
    <n v="1021.45420514316"/>
    <n v="372830.78487725399"/>
    <n v="1342190.8255581199"/>
  </r>
  <r>
    <x v="0"/>
    <x v="2"/>
    <x v="2"/>
    <x v="2"/>
    <x v="3"/>
    <s v="FinA"/>
    <x v="6"/>
    <x v="4"/>
    <s v="GNR_ROR_WTR"/>
    <x v="0"/>
    <x v="22"/>
    <n v="1021.45420514316"/>
    <n v="372830.78487725399"/>
    <n v="1342190.8255581199"/>
  </r>
  <r>
    <x v="0"/>
    <x v="2"/>
    <x v="2"/>
    <x v="2"/>
    <x v="3"/>
    <s v="FinA"/>
    <x v="6"/>
    <x v="4"/>
    <s v="GNR_ROR_WTR"/>
    <x v="0"/>
    <x v="23"/>
    <n v="1021.45420514316"/>
    <n v="372830.78487725399"/>
    <n v="1342190.8255581199"/>
  </r>
  <r>
    <x v="0"/>
    <x v="2"/>
    <x v="2"/>
    <x v="2"/>
    <x v="3"/>
    <s v="FinA"/>
    <x v="7"/>
    <x v="5"/>
    <s v="GNR_WT_WIND_ONS"/>
    <x v="0"/>
    <x v="0"/>
    <n v="847.40946067245204"/>
    <n v="309304.45314544498"/>
    <n v="1113496.0313236001"/>
  </r>
  <r>
    <x v="0"/>
    <x v="2"/>
    <x v="2"/>
    <x v="2"/>
    <x v="3"/>
    <s v="FinA"/>
    <x v="7"/>
    <x v="5"/>
    <s v="GNR_WT_WIND_ONS"/>
    <x v="0"/>
    <x v="1"/>
    <n v="783.14953273364699"/>
    <n v="285849.57944778103"/>
    <n v="1029058.48601201"/>
  </r>
  <r>
    <x v="0"/>
    <x v="2"/>
    <x v="2"/>
    <x v="2"/>
    <x v="3"/>
    <s v="FinA"/>
    <x v="7"/>
    <x v="5"/>
    <s v="GNR_WT_WIND_ONS"/>
    <x v="0"/>
    <x v="18"/>
    <n v="802.22211408534702"/>
    <n v="292811.07164115203"/>
    <n v="1054119.8579081499"/>
  </r>
  <r>
    <x v="0"/>
    <x v="2"/>
    <x v="2"/>
    <x v="2"/>
    <x v="3"/>
    <s v="FinA"/>
    <x v="7"/>
    <x v="5"/>
    <s v="GNR_WT_WIND_ONS"/>
    <x v="0"/>
    <x v="2"/>
    <n v="596.48974205426305"/>
    <n v="217718.75584980601"/>
    <n v="783787.52105930203"/>
  </r>
  <r>
    <x v="0"/>
    <x v="2"/>
    <x v="2"/>
    <x v="2"/>
    <x v="3"/>
    <s v="FinA"/>
    <x v="7"/>
    <x v="5"/>
    <s v="GNR_WT_WIND_ONS"/>
    <x v="0"/>
    <x v="3"/>
    <n v="590.45358443965904"/>
    <n v="215515.558320476"/>
    <n v="775856.009953712"/>
  </r>
  <r>
    <x v="0"/>
    <x v="2"/>
    <x v="2"/>
    <x v="2"/>
    <x v="3"/>
    <s v="FinA"/>
    <x v="7"/>
    <x v="5"/>
    <s v="GNR_WT_WIND_ONS"/>
    <x v="0"/>
    <x v="4"/>
    <n v="688.37347463212302"/>
    <n v="251256.318240725"/>
    <n v="904522.74566660996"/>
  </r>
  <r>
    <x v="0"/>
    <x v="2"/>
    <x v="2"/>
    <x v="2"/>
    <x v="3"/>
    <s v="FinA"/>
    <x v="7"/>
    <x v="5"/>
    <s v="GNR_WT_WIND_ONS"/>
    <x v="0"/>
    <x v="5"/>
    <n v="783.82021691304794"/>
    <n v="286094.37917326199"/>
    <n v="1029939.76502374"/>
  </r>
  <r>
    <x v="0"/>
    <x v="2"/>
    <x v="2"/>
    <x v="2"/>
    <x v="3"/>
    <s v="FinA"/>
    <x v="7"/>
    <x v="5"/>
    <s v="GNR_WT_WIND_ONS"/>
    <x v="0"/>
    <x v="6"/>
    <n v="765.08297765104805"/>
    <n v="279255.28684263298"/>
    <n v="1005319.03263348"/>
  </r>
  <r>
    <x v="0"/>
    <x v="2"/>
    <x v="2"/>
    <x v="2"/>
    <x v="3"/>
    <s v="FinA"/>
    <x v="7"/>
    <x v="5"/>
    <s v="GNR_WT_WIND_ONS"/>
    <x v="0"/>
    <x v="7"/>
    <n v="753.34600451153995"/>
    <n v="274971.29164671199"/>
    <n v="989896.64992816397"/>
  </r>
  <r>
    <x v="0"/>
    <x v="2"/>
    <x v="2"/>
    <x v="2"/>
    <x v="3"/>
    <s v="FinA"/>
    <x v="7"/>
    <x v="5"/>
    <s v="GNR_WT_WIND_ONS"/>
    <x v="0"/>
    <x v="8"/>
    <n v="710.58988807476305"/>
    <n v="259365.309147288"/>
    <n v="933715.11293023801"/>
  </r>
  <r>
    <x v="0"/>
    <x v="2"/>
    <x v="2"/>
    <x v="2"/>
    <x v="3"/>
    <s v="FinA"/>
    <x v="7"/>
    <x v="5"/>
    <s v="GNR_WT_WIND_ONS"/>
    <x v="0"/>
    <x v="9"/>
    <n v="599.80124519005301"/>
    <n v="218927.45449436901"/>
    <n v="788138.83617973002"/>
  </r>
  <r>
    <x v="0"/>
    <x v="2"/>
    <x v="2"/>
    <x v="2"/>
    <x v="3"/>
    <s v="FinA"/>
    <x v="7"/>
    <x v="5"/>
    <s v="GNR_WT_WIND_ONS"/>
    <x v="0"/>
    <x v="10"/>
    <n v="777.90981258208103"/>
    <n v="283937.08159245999"/>
    <n v="1022173.49373285"/>
  </r>
  <r>
    <x v="0"/>
    <x v="2"/>
    <x v="2"/>
    <x v="2"/>
    <x v="3"/>
    <s v="FinA"/>
    <x v="7"/>
    <x v="5"/>
    <s v="GNR_WT_WIND_ONS"/>
    <x v="0"/>
    <x v="11"/>
    <n v="726.56055509673502"/>
    <n v="265194.60261030798"/>
    <n v="954700.56939711003"/>
  </r>
  <r>
    <x v="0"/>
    <x v="2"/>
    <x v="2"/>
    <x v="2"/>
    <x v="3"/>
    <s v="FinA"/>
    <x v="7"/>
    <x v="5"/>
    <s v="GNR_WT_WIND_ONS"/>
    <x v="0"/>
    <x v="12"/>
    <n v="708.15865792443606"/>
    <n v="258477.91014241899"/>
    <n v="930520.47651270905"/>
  </r>
  <r>
    <x v="0"/>
    <x v="2"/>
    <x v="2"/>
    <x v="2"/>
    <x v="3"/>
    <s v="FinA"/>
    <x v="7"/>
    <x v="5"/>
    <s v="GNR_WT_WIND_ONS"/>
    <x v="0"/>
    <x v="13"/>
    <n v="690.930458066087"/>
    <n v="252189.61719412199"/>
    <n v="907882.62189883797"/>
  </r>
  <r>
    <x v="0"/>
    <x v="2"/>
    <x v="2"/>
    <x v="2"/>
    <x v="3"/>
    <s v="FinA"/>
    <x v="7"/>
    <x v="5"/>
    <s v="GNR_WT_WIND_ONS"/>
    <x v="0"/>
    <x v="14"/>
    <n v="723.41672300579603"/>
    <n v="264047.10389711498"/>
    <n v="950569.57402961596"/>
  </r>
  <r>
    <x v="0"/>
    <x v="2"/>
    <x v="2"/>
    <x v="2"/>
    <x v="3"/>
    <s v="FinA"/>
    <x v="7"/>
    <x v="5"/>
    <s v="GNR_WT_WIND_ONS"/>
    <x v="0"/>
    <x v="15"/>
    <n v="810.35415976057698"/>
    <n v="295779.26831261098"/>
    <n v="1064805.3659254001"/>
  </r>
  <r>
    <x v="0"/>
    <x v="2"/>
    <x v="2"/>
    <x v="2"/>
    <x v="3"/>
    <s v="FinA"/>
    <x v="7"/>
    <x v="5"/>
    <s v="GNR_WT_WIND_ONS"/>
    <x v="0"/>
    <x v="16"/>
    <n v="866.98505515870204"/>
    <n v="316449.54513292602"/>
    <n v="1139218.36247853"/>
  </r>
  <r>
    <x v="0"/>
    <x v="2"/>
    <x v="2"/>
    <x v="2"/>
    <x v="3"/>
    <s v="FinA"/>
    <x v="7"/>
    <x v="5"/>
    <s v="GNR_WT_WIND_ONS"/>
    <x v="0"/>
    <x v="17"/>
    <n v="767.80763212986199"/>
    <n v="280249.78572739998"/>
    <n v="1008899.22861864"/>
  </r>
  <r>
    <x v="0"/>
    <x v="2"/>
    <x v="2"/>
    <x v="2"/>
    <x v="3"/>
    <s v="FinA"/>
    <x v="7"/>
    <x v="5"/>
    <s v="GNR_WT_WIND_ONS"/>
    <x v="0"/>
    <x v="19"/>
    <n v="550.00294486957"/>
    <n v="200751.074877393"/>
    <n v="722703.86955861596"/>
  </r>
  <r>
    <x v="0"/>
    <x v="2"/>
    <x v="2"/>
    <x v="2"/>
    <x v="3"/>
    <s v="FinA"/>
    <x v="7"/>
    <x v="5"/>
    <s v="GNR_WT_WIND_ONS"/>
    <x v="0"/>
    <x v="20"/>
    <n v="606.96918235739497"/>
    <n v="221543.75156044899"/>
    <n v="797557.50561761705"/>
  </r>
  <r>
    <x v="0"/>
    <x v="2"/>
    <x v="2"/>
    <x v="2"/>
    <x v="3"/>
    <s v="FinA"/>
    <x v="7"/>
    <x v="5"/>
    <s v="GNR_WT_WIND_ONS"/>
    <x v="0"/>
    <x v="21"/>
    <n v="587.351670109932"/>
    <n v="214383.35959012501"/>
    <n v="771780.09452445095"/>
  </r>
  <r>
    <x v="0"/>
    <x v="2"/>
    <x v="2"/>
    <x v="2"/>
    <x v="3"/>
    <s v="FinA"/>
    <x v="7"/>
    <x v="5"/>
    <s v="GNR_WT_WIND_ONS"/>
    <x v="0"/>
    <x v="22"/>
    <n v="530.84652799544597"/>
    <n v="193758.982718338"/>
    <n v="697532.33778601501"/>
  </r>
  <r>
    <x v="0"/>
    <x v="2"/>
    <x v="2"/>
    <x v="2"/>
    <x v="3"/>
    <s v="FinA"/>
    <x v="7"/>
    <x v="5"/>
    <s v="GNR_WT_WIND_ONS"/>
    <x v="0"/>
    <x v="23"/>
    <n v="467.38303751967902"/>
    <n v="170594.80869468299"/>
    <n v="614141.31130085804"/>
  </r>
  <r>
    <x v="0"/>
    <x v="2"/>
    <x v="2"/>
    <x v="3"/>
    <x v="4"/>
    <s v="DE4-E_A"/>
    <x v="1"/>
    <x v="9"/>
    <s v="AGG-DE4-E_ES_ELEC"/>
    <x v="0"/>
    <x v="0"/>
    <n v="0.72"/>
    <n v="262.8"/>
    <n v="946.08"/>
  </r>
  <r>
    <x v="0"/>
    <x v="2"/>
    <x v="2"/>
    <x v="3"/>
    <x v="4"/>
    <s v="DE4-E_A"/>
    <x v="1"/>
    <x v="9"/>
    <s v="AGG-DE4-E_ES_ELEC"/>
    <x v="0"/>
    <x v="1"/>
    <n v="0.72"/>
    <n v="262.8"/>
    <n v="946.08"/>
  </r>
  <r>
    <x v="0"/>
    <x v="2"/>
    <x v="2"/>
    <x v="3"/>
    <x v="4"/>
    <s v="DE4-E_A"/>
    <x v="1"/>
    <x v="9"/>
    <s v="AGG-DE4-E_ES_ELEC"/>
    <x v="0"/>
    <x v="2"/>
    <n v="0.72"/>
    <n v="262.8"/>
    <n v="946.08"/>
  </r>
  <r>
    <x v="0"/>
    <x v="2"/>
    <x v="2"/>
    <x v="3"/>
    <x v="4"/>
    <s v="DE4-E_A"/>
    <x v="1"/>
    <x v="9"/>
    <s v="AGG-DE4-E_ES_ELEC"/>
    <x v="0"/>
    <x v="3"/>
    <n v="0.72"/>
    <n v="262.8"/>
    <n v="946.08"/>
  </r>
  <r>
    <x v="0"/>
    <x v="2"/>
    <x v="2"/>
    <x v="3"/>
    <x v="4"/>
    <s v="DE4-E_A"/>
    <x v="1"/>
    <x v="9"/>
    <s v="AGG-DE4-E_ES_ELEC"/>
    <x v="0"/>
    <x v="5"/>
    <n v="0.72"/>
    <n v="262.8"/>
    <n v="946.08"/>
  </r>
  <r>
    <x v="0"/>
    <x v="2"/>
    <x v="2"/>
    <x v="3"/>
    <x v="4"/>
    <s v="DE4-E_A"/>
    <x v="1"/>
    <x v="9"/>
    <s v="AGG-DE4-E_ES_ELEC"/>
    <x v="0"/>
    <x v="6"/>
    <n v="0.72"/>
    <n v="262.8"/>
    <n v="946.08"/>
  </r>
  <r>
    <x v="0"/>
    <x v="2"/>
    <x v="2"/>
    <x v="3"/>
    <x v="4"/>
    <s v="DE4-E_A"/>
    <x v="1"/>
    <x v="9"/>
    <s v="AGG-DE4-E_ES_ELEC"/>
    <x v="0"/>
    <x v="7"/>
    <n v="0.72"/>
    <n v="262.8"/>
    <n v="946.08"/>
  </r>
  <r>
    <x v="0"/>
    <x v="2"/>
    <x v="2"/>
    <x v="3"/>
    <x v="4"/>
    <s v="DE4-E_A"/>
    <x v="1"/>
    <x v="8"/>
    <s v="AGG-DE4-E_RES_WTR_PMP"/>
    <x v="0"/>
    <x v="0"/>
    <n v="2415"/>
    <n v="881475"/>
    <n v="3173310"/>
  </r>
  <r>
    <x v="0"/>
    <x v="2"/>
    <x v="2"/>
    <x v="3"/>
    <x v="4"/>
    <s v="DE4-E_A"/>
    <x v="1"/>
    <x v="8"/>
    <s v="AGG-DE4-E_RES_WTR_PMP"/>
    <x v="0"/>
    <x v="2"/>
    <n v="2415"/>
    <n v="881475"/>
    <n v="3173310"/>
  </r>
  <r>
    <x v="0"/>
    <x v="2"/>
    <x v="2"/>
    <x v="3"/>
    <x v="4"/>
    <s v="DE4-E_A"/>
    <x v="1"/>
    <x v="8"/>
    <s v="AGG-DE4-E_RES_WTR_PMP"/>
    <x v="0"/>
    <x v="6"/>
    <n v="1963.87233483348"/>
    <n v="716813.40221422201"/>
    <n v="2580528.2479711999"/>
  </r>
  <r>
    <x v="0"/>
    <x v="2"/>
    <x v="2"/>
    <x v="3"/>
    <x v="4"/>
    <s v="DE4-E_A"/>
    <x v="1"/>
    <x v="8"/>
    <s v="AGG-DE4-E_RES_WTR_PMP"/>
    <x v="0"/>
    <x v="7"/>
    <n v="788.56602133089802"/>
    <n v="287826.59778577799"/>
    <n v="1036175.7520288"/>
  </r>
  <r>
    <x v="0"/>
    <x v="2"/>
    <x v="2"/>
    <x v="3"/>
    <x v="4"/>
    <s v="DE4-E_A"/>
    <x v="1"/>
    <x v="8"/>
    <s v="AGG-DE4-E_RES_WTR_PMP"/>
    <x v="0"/>
    <x v="12"/>
    <n v="2087.13856766246"/>
    <n v="761805.57719679899"/>
    <n v="2742500.0779084801"/>
  </r>
  <r>
    <x v="0"/>
    <x v="2"/>
    <x v="2"/>
    <x v="3"/>
    <x v="4"/>
    <s v="DE4-E_A"/>
    <x v="1"/>
    <x v="8"/>
    <s v="AGG-DE4-E_RES_WTR_PMP"/>
    <x v="0"/>
    <x v="15"/>
    <n v="1338.4968039269099"/>
    <n v="488551.33343332401"/>
    <n v="1758784.80035997"/>
  </r>
  <r>
    <x v="0"/>
    <x v="2"/>
    <x v="2"/>
    <x v="3"/>
    <x v="4"/>
    <s v="DE4-E_A"/>
    <x v="1"/>
    <x v="8"/>
    <s v="AGG-DE4-E_RES_WTR_PMP"/>
    <x v="0"/>
    <x v="16"/>
    <n v="1413.94155223747"/>
    <n v="516088.66656667599"/>
    <n v="1857919.19964003"/>
  </r>
  <r>
    <x v="0"/>
    <x v="2"/>
    <x v="2"/>
    <x v="3"/>
    <x v="4"/>
    <s v="DE4-E_A"/>
    <x v="1"/>
    <x v="8"/>
    <s v="AGG-DE4-E_RES_WTR_PMP"/>
    <x v="0"/>
    <x v="21"/>
    <n v="2415"/>
    <n v="881475"/>
    <n v="3173310"/>
  </r>
  <r>
    <x v="0"/>
    <x v="2"/>
    <x v="2"/>
    <x v="3"/>
    <x v="4"/>
    <s v="DE4-E_A"/>
    <x v="1"/>
    <x v="9"/>
    <s v="GNR_ES_ELEC_BAT-LITHIO_E-97_Y-30-50"/>
    <x v="0"/>
    <x v="0"/>
    <n v="1931.81104503148"/>
    <n v="705111.03143649094"/>
    <n v="2538399.7131713699"/>
  </r>
  <r>
    <x v="0"/>
    <x v="2"/>
    <x v="2"/>
    <x v="3"/>
    <x v="4"/>
    <s v="DE4-E_A"/>
    <x v="1"/>
    <x v="9"/>
    <s v="GNR_ES_ELEC_BAT-LITHIO_E-97_Y-30-50"/>
    <x v="0"/>
    <x v="1"/>
    <n v="3120.2036056870302"/>
    <n v="1138874.3160757599"/>
    <n v="4099947.5378727498"/>
  </r>
  <r>
    <x v="0"/>
    <x v="2"/>
    <x v="2"/>
    <x v="3"/>
    <x v="4"/>
    <s v="DE4-E_A"/>
    <x v="1"/>
    <x v="9"/>
    <s v="GNR_ES_ELEC_BAT-LITHIO_E-97_Y-30-50"/>
    <x v="0"/>
    <x v="18"/>
    <n v="5594.1412703333099"/>
    <n v="2041861.5636716599"/>
    <n v="7350701.6292179702"/>
  </r>
  <r>
    <x v="0"/>
    <x v="2"/>
    <x v="2"/>
    <x v="3"/>
    <x v="4"/>
    <s v="DE4-E_A"/>
    <x v="1"/>
    <x v="9"/>
    <s v="GNR_ES_ELEC_BAT-LITHIO_E-97_Y-30-50"/>
    <x v="0"/>
    <x v="2"/>
    <n v="1580.90482845919"/>
    <n v="577030.26238760399"/>
    <n v="2077308.94459537"/>
  </r>
  <r>
    <x v="0"/>
    <x v="2"/>
    <x v="2"/>
    <x v="3"/>
    <x v="4"/>
    <s v="DE4-E_A"/>
    <x v="1"/>
    <x v="9"/>
    <s v="GNR_ES_ELEC_BAT-LITHIO_E-97_Y-30-50"/>
    <x v="0"/>
    <x v="3"/>
    <n v="6091.2307212845899"/>
    <n v="2223299.21326887"/>
    <n v="8003877.1677679503"/>
  </r>
  <r>
    <x v="0"/>
    <x v="2"/>
    <x v="2"/>
    <x v="3"/>
    <x v="4"/>
    <s v="DE4-E_A"/>
    <x v="1"/>
    <x v="9"/>
    <s v="GNR_ES_ELEC_BAT-LITHIO_E-97_Y-30-50"/>
    <x v="0"/>
    <x v="4"/>
    <n v="10238.425440708301"/>
    <n v="3737025.2858585198"/>
    <n v="13453291.029090701"/>
  </r>
  <r>
    <x v="0"/>
    <x v="2"/>
    <x v="2"/>
    <x v="3"/>
    <x v="4"/>
    <s v="DE4-E_A"/>
    <x v="1"/>
    <x v="9"/>
    <s v="GNR_ES_ELEC_BAT-LITHIO_E-97_Y-30-50"/>
    <x v="0"/>
    <x v="5"/>
    <n v="15796.537720721301"/>
    <n v="5765736.26806329"/>
    <n v="20756650.565027799"/>
  </r>
  <r>
    <x v="0"/>
    <x v="2"/>
    <x v="2"/>
    <x v="3"/>
    <x v="4"/>
    <s v="DE4-E_A"/>
    <x v="1"/>
    <x v="9"/>
    <s v="GNR_ES_ELEC_BAT-LITHIO_E-97_Y-30-50"/>
    <x v="0"/>
    <x v="6"/>
    <n v="15796.537720721301"/>
    <n v="5765736.26806329"/>
    <n v="20756650.565027799"/>
  </r>
  <r>
    <x v="0"/>
    <x v="2"/>
    <x v="2"/>
    <x v="3"/>
    <x v="4"/>
    <s v="DE4-E_A"/>
    <x v="1"/>
    <x v="9"/>
    <s v="GNR_ES_ELEC_BAT-LITHIO_E-97_Y-30-50"/>
    <x v="0"/>
    <x v="7"/>
    <n v="15796.537720721301"/>
    <n v="5765736.26806329"/>
    <n v="20756650.565027799"/>
  </r>
  <r>
    <x v="0"/>
    <x v="2"/>
    <x v="2"/>
    <x v="3"/>
    <x v="4"/>
    <s v="DE4-E_A"/>
    <x v="1"/>
    <x v="9"/>
    <s v="GNR_ES_ELEC_BAT-LITHIO_E-97_Y-30-50"/>
    <x v="0"/>
    <x v="8"/>
    <n v="10246.173149536"/>
    <n v="3739853.1995806401"/>
    <n v="13463471.5184903"/>
  </r>
  <r>
    <x v="0"/>
    <x v="2"/>
    <x v="2"/>
    <x v="3"/>
    <x v="4"/>
    <s v="DE4-E_A"/>
    <x v="2"/>
    <x v="6"/>
    <s v="GNR_ST_MSW_CND_E-33"/>
    <x v="0"/>
    <x v="0"/>
    <n v="62.6"/>
    <n v="22849"/>
    <n v="82256.399999999994"/>
  </r>
  <r>
    <x v="0"/>
    <x v="2"/>
    <x v="2"/>
    <x v="3"/>
    <x v="4"/>
    <s v="DE4-E_A"/>
    <x v="2"/>
    <x v="6"/>
    <s v="GNR_ST_MSW_CND_E-33"/>
    <x v="0"/>
    <x v="1"/>
    <n v="62.6"/>
    <n v="22849"/>
    <n v="82256.399999999994"/>
  </r>
  <r>
    <x v="0"/>
    <x v="2"/>
    <x v="2"/>
    <x v="3"/>
    <x v="4"/>
    <s v="DE4-E_A"/>
    <x v="2"/>
    <x v="6"/>
    <s v="GNR_ST_MSW_CND_E-33"/>
    <x v="0"/>
    <x v="18"/>
    <n v="62.6"/>
    <n v="22849"/>
    <n v="82256.399999999994"/>
  </r>
  <r>
    <x v="0"/>
    <x v="2"/>
    <x v="2"/>
    <x v="3"/>
    <x v="4"/>
    <s v="DE4-E_A"/>
    <x v="2"/>
    <x v="6"/>
    <s v="GNR_ST_MSW_CND_E-33"/>
    <x v="0"/>
    <x v="2"/>
    <n v="62.6"/>
    <n v="22849"/>
    <n v="82256.399999999994"/>
  </r>
  <r>
    <x v="0"/>
    <x v="2"/>
    <x v="2"/>
    <x v="3"/>
    <x v="4"/>
    <s v="DE4-E_A"/>
    <x v="2"/>
    <x v="6"/>
    <s v="GNR_ST_MSW_CND_E-33"/>
    <x v="0"/>
    <x v="3"/>
    <n v="62.6"/>
    <n v="22849"/>
    <n v="82256.399999999994"/>
  </r>
  <r>
    <x v="0"/>
    <x v="2"/>
    <x v="2"/>
    <x v="3"/>
    <x v="4"/>
    <s v="DE4-E_A"/>
    <x v="2"/>
    <x v="6"/>
    <s v="GNR_ST_MSW_CND_E-33"/>
    <x v="0"/>
    <x v="4"/>
    <n v="62.6"/>
    <n v="22849"/>
    <n v="82256.399999999994"/>
  </r>
  <r>
    <x v="0"/>
    <x v="2"/>
    <x v="2"/>
    <x v="3"/>
    <x v="4"/>
    <s v="DE4-E_A"/>
    <x v="2"/>
    <x v="6"/>
    <s v="GNR_ST_MSW_CND_E-33"/>
    <x v="0"/>
    <x v="5"/>
    <n v="62.6"/>
    <n v="22849"/>
    <n v="82256.399999999994"/>
  </r>
  <r>
    <x v="0"/>
    <x v="2"/>
    <x v="2"/>
    <x v="3"/>
    <x v="4"/>
    <s v="DE4-E_A"/>
    <x v="2"/>
    <x v="6"/>
    <s v="GNR_ST_MSW_CND_E-33"/>
    <x v="0"/>
    <x v="6"/>
    <n v="62.6"/>
    <n v="22849"/>
    <n v="82256.399999999994"/>
  </r>
  <r>
    <x v="0"/>
    <x v="2"/>
    <x v="2"/>
    <x v="3"/>
    <x v="4"/>
    <s v="DE4-E_A"/>
    <x v="2"/>
    <x v="6"/>
    <s v="GNR_ST_MSW_CND_E-33"/>
    <x v="0"/>
    <x v="7"/>
    <n v="62.6"/>
    <n v="22849"/>
    <n v="82256.399999999994"/>
  </r>
  <r>
    <x v="0"/>
    <x v="2"/>
    <x v="2"/>
    <x v="3"/>
    <x v="4"/>
    <s v="DE4-E_A"/>
    <x v="2"/>
    <x v="6"/>
    <s v="GNR_ST_MSW_CND_E-33"/>
    <x v="0"/>
    <x v="8"/>
    <n v="62.6"/>
    <n v="22849"/>
    <n v="82256.399999999994"/>
  </r>
  <r>
    <x v="0"/>
    <x v="2"/>
    <x v="2"/>
    <x v="3"/>
    <x v="4"/>
    <s v="DE4-E_A"/>
    <x v="2"/>
    <x v="6"/>
    <s v="GNR_ST_MSW_CND_E-33"/>
    <x v="0"/>
    <x v="9"/>
    <n v="62.6"/>
    <n v="22849"/>
    <n v="82256.399999999994"/>
  </r>
  <r>
    <x v="0"/>
    <x v="2"/>
    <x v="2"/>
    <x v="3"/>
    <x v="4"/>
    <s v="DE4-E_A"/>
    <x v="2"/>
    <x v="6"/>
    <s v="GNR_ST_MSW_CND_E-33"/>
    <x v="0"/>
    <x v="10"/>
    <n v="62.6"/>
    <n v="22849"/>
    <n v="82256.399999999994"/>
  </r>
  <r>
    <x v="0"/>
    <x v="2"/>
    <x v="2"/>
    <x v="3"/>
    <x v="4"/>
    <s v="DE4-E_A"/>
    <x v="2"/>
    <x v="6"/>
    <s v="GNR_ST_MSW_CND_E-33"/>
    <x v="0"/>
    <x v="11"/>
    <n v="62.6"/>
    <n v="22849"/>
    <n v="82256.399999999994"/>
  </r>
  <r>
    <x v="0"/>
    <x v="2"/>
    <x v="2"/>
    <x v="3"/>
    <x v="4"/>
    <s v="DE4-E_A"/>
    <x v="2"/>
    <x v="6"/>
    <s v="GNR_ST_MSW_CND_E-33"/>
    <x v="0"/>
    <x v="12"/>
    <n v="62.6"/>
    <n v="22849"/>
    <n v="82256.399999999994"/>
  </r>
  <r>
    <x v="0"/>
    <x v="2"/>
    <x v="2"/>
    <x v="3"/>
    <x v="4"/>
    <s v="DE4-E_A"/>
    <x v="2"/>
    <x v="6"/>
    <s v="GNR_ST_MSW_CND_E-33"/>
    <x v="0"/>
    <x v="13"/>
    <n v="62.6"/>
    <n v="22849"/>
    <n v="82256.399999999994"/>
  </r>
  <r>
    <x v="0"/>
    <x v="2"/>
    <x v="2"/>
    <x v="3"/>
    <x v="4"/>
    <s v="DE4-E_A"/>
    <x v="2"/>
    <x v="6"/>
    <s v="GNR_ST_MSW_CND_E-33"/>
    <x v="0"/>
    <x v="14"/>
    <n v="62.6"/>
    <n v="22849"/>
    <n v="82256.399999999994"/>
  </r>
  <r>
    <x v="0"/>
    <x v="2"/>
    <x v="2"/>
    <x v="3"/>
    <x v="4"/>
    <s v="DE4-E_A"/>
    <x v="2"/>
    <x v="6"/>
    <s v="GNR_ST_MSW_CND_E-33"/>
    <x v="0"/>
    <x v="15"/>
    <n v="62.6"/>
    <n v="22849"/>
    <n v="82256.399999999994"/>
  </r>
  <r>
    <x v="0"/>
    <x v="2"/>
    <x v="2"/>
    <x v="3"/>
    <x v="4"/>
    <s v="DE4-E_A"/>
    <x v="2"/>
    <x v="6"/>
    <s v="GNR_ST_MSW_CND_E-33"/>
    <x v="0"/>
    <x v="16"/>
    <n v="62.6"/>
    <n v="22849"/>
    <n v="82256.399999999994"/>
  </r>
  <r>
    <x v="0"/>
    <x v="2"/>
    <x v="2"/>
    <x v="3"/>
    <x v="4"/>
    <s v="DE4-E_A"/>
    <x v="2"/>
    <x v="6"/>
    <s v="GNR_ST_MSW_CND_E-33"/>
    <x v="0"/>
    <x v="17"/>
    <n v="62.6"/>
    <n v="22849"/>
    <n v="82256.399999999994"/>
  </r>
  <r>
    <x v="0"/>
    <x v="2"/>
    <x v="2"/>
    <x v="3"/>
    <x v="4"/>
    <s v="DE4-E_A"/>
    <x v="2"/>
    <x v="6"/>
    <s v="GNR_ST_MSW_CND_E-33"/>
    <x v="0"/>
    <x v="19"/>
    <n v="62.6"/>
    <n v="22849"/>
    <n v="82256.399999999994"/>
  </r>
  <r>
    <x v="0"/>
    <x v="2"/>
    <x v="2"/>
    <x v="3"/>
    <x v="4"/>
    <s v="DE4-E_A"/>
    <x v="2"/>
    <x v="6"/>
    <s v="GNR_ST_MSW_CND_E-33"/>
    <x v="0"/>
    <x v="20"/>
    <n v="62.6"/>
    <n v="22849"/>
    <n v="82256.399999999994"/>
  </r>
  <r>
    <x v="0"/>
    <x v="2"/>
    <x v="2"/>
    <x v="3"/>
    <x v="4"/>
    <s v="DE4-E_A"/>
    <x v="2"/>
    <x v="6"/>
    <s v="GNR_ST_MSW_CND_E-33"/>
    <x v="0"/>
    <x v="21"/>
    <n v="62.6"/>
    <n v="22849"/>
    <n v="82256.399999999994"/>
  </r>
  <r>
    <x v="0"/>
    <x v="2"/>
    <x v="2"/>
    <x v="3"/>
    <x v="4"/>
    <s v="DE4-E_A"/>
    <x v="2"/>
    <x v="6"/>
    <s v="GNR_ST_MSW_CND_E-33"/>
    <x v="0"/>
    <x v="22"/>
    <n v="62.6"/>
    <n v="22849"/>
    <n v="82256.399999999994"/>
  </r>
  <r>
    <x v="0"/>
    <x v="2"/>
    <x v="2"/>
    <x v="3"/>
    <x v="4"/>
    <s v="DE4-E_A"/>
    <x v="2"/>
    <x v="6"/>
    <s v="GNR_ST_MSW_CND_E-33"/>
    <x v="0"/>
    <x v="23"/>
    <n v="62.6"/>
    <n v="22849"/>
    <n v="82256.399999999994"/>
  </r>
  <r>
    <x v="0"/>
    <x v="2"/>
    <x v="2"/>
    <x v="3"/>
    <x v="4"/>
    <s v="DE4-E_A"/>
    <x v="5"/>
    <x v="3"/>
    <s v="GNR_PV_SUN"/>
    <x v="0"/>
    <x v="7"/>
    <n v="238.27954708961201"/>
    <n v="86972.034687708598"/>
    <n v="313099.32487575099"/>
  </r>
  <r>
    <x v="0"/>
    <x v="2"/>
    <x v="2"/>
    <x v="3"/>
    <x v="4"/>
    <s v="DE4-E_A"/>
    <x v="5"/>
    <x v="3"/>
    <s v="GNR_PV_SUN"/>
    <x v="0"/>
    <x v="8"/>
    <n v="1793.8173083464201"/>
    <n v="654743.31754644203"/>
    <n v="2357075.9431671901"/>
  </r>
  <r>
    <x v="0"/>
    <x v="2"/>
    <x v="2"/>
    <x v="3"/>
    <x v="4"/>
    <s v="DE4-E_A"/>
    <x v="5"/>
    <x v="3"/>
    <s v="GNR_PV_SUN"/>
    <x v="0"/>
    <x v="9"/>
    <n v="4143.6202265685897"/>
    <n v="1512421.3826975401"/>
    <n v="5444716.9777111299"/>
  </r>
  <r>
    <x v="0"/>
    <x v="2"/>
    <x v="2"/>
    <x v="3"/>
    <x v="4"/>
    <s v="DE4-E_A"/>
    <x v="5"/>
    <x v="3"/>
    <s v="GNR_PV_SUN"/>
    <x v="0"/>
    <x v="10"/>
    <n v="6310.13118549107"/>
    <n v="2303197.8827042398"/>
    <n v="8291512.3777352702"/>
  </r>
  <r>
    <x v="0"/>
    <x v="2"/>
    <x v="2"/>
    <x v="3"/>
    <x v="4"/>
    <s v="DE4-E_A"/>
    <x v="5"/>
    <x v="3"/>
    <s v="GNR_PV_SUN"/>
    <x v="0"/>
    <x v="11"/>
    <n v="7174.0472869903297"/>
    <n v="2618527.2597514698"/>
    <n v="9426698.1351053007"/>
  </r>
  <r>
    <x v="0"/>
    <x v="2"/>
    <x v="2"/>
    <x v="3"/>
    <x v="4"/>
    <s v="DE4-E_A"/>
    <x v="5"/>
    <x v="3"/>
    <s v="GNR_PV_SUN"/>
    <x v="0"/>
    <x v="12"/>
    <n v="6238.0363481665199"/>
    <n v="2276883.2670807801"/>
    <n v="8196779.7614908097"/>
  </r>
  <r>
    <x v="0"/>
    <x v="2"/>
    <x v="2"/>
    <x v="3"/>
    <x v="4"/>
    <s v="DE4-E_A"/>
    <x v="5"/>
    <x v="3"/>
    <s v="GNR_PV_SUN"/>
    <x v="0"/>
    <x v="13"/>
    <n v="4059.3059252907301"/>
    <n v="1481646.6627311199"/>
    <n v="5333927.9858320197"/>
  </r>
  <r>
    <x v="0"/>
    <x v="2"/>
    <x v="2"/>
    <x v="3"/>
    <x v="4"/>
    <s v="DE4-E_A"/>
    <x v="5"/>
    <x v="3"/>
    <s v="GNR_PV_SUN"/>
    <x v="0"/>
    <x v="14"/>
    <n v="2055.3138369473199"/>
    <n v="750189.55048577301"/>
    <n v="2700682.3817487801"/>
  </r>
  <r>
    <x v="0"/>
    <x v="2"/>
    <x v="2"/>
    <x v="3"/>
    <x v="4"/>
    <s v="DE4-E_A"/>
    <x v="5"/>
    <x v="3"/>
    <s v="GNR_PV_SUN"/>
    <x v="0"/>
    <x v="15"/>
    <n v="267.60626057756502"/>
    <n v="97676.285110811106"/>
    <n v="351634.62639892002"/>
  </r>
  <r>
    <x v="0"/>
    <x v="2"/>
    <x v="2"/>
    <x v="3"/>
    <x v="4"/>
    <s v="DE4-E_A"/>
    <x v="5"/>
    <x v="3"/>
    <s v="GNR_PV_SUN_LS-4-MW_Y-2030"/>
    <x v="0"/>
    <x v="7"/>
    <n v="390.80593433964401"/>
    <n v="142644.16603396999"/>
    <n v="513518.99772229203"/>
  </r>
  <r>
    <x v="0"/>
    <x v="2"/>
    <x v="2"/>
    <x v="3"/>
    <x v="4"/>
    <s v="DE4-E_A"/>
    <x v="5"/>
    <x v="3"/>
    <s v="GNR_PV_SUN_LS-4-MW_Y-2030"/>
    <x v="0"/>
    <x v="8"/>
    <n v="2942.0672390287"/>
    <n v="1073854.54224548"/>
    <n v="3865876.3520837198"/>
  </r>
  <r>
    <x v="0"/>
    <x v="2"/>
    <x v="2"/>
    <x v="3"/>
    <x v="4"/>
    <s v="DE4-E_A"/>
    <x v="5"/>
    <x v="3"/>
    <s v="GNR_PV_SUN_LS-4-MW_Y-2030"/>
    <x v="0"/>
    <x v="9"/>
    <n v="6796.0149915165803"/>
    <n v="2480545.47190355"/>
    <n v="8929963.6988527793"/>
  </r>
  <r>
    <x v="0"/>
    <x v="2"/>
    <x v="2"/>
    <x v="3"/>
    <x v="4"/>
    <s v="DE4-E_A"/>
    <x v="5"/>
    <x v="3"/>
    <s v="GNR_PV_SUN_LS-4-MW_Y-2030"/>
    <x v="0"/>
    <x v="10"/>
    <n v="10349.3427945124"/>
    <n v="3777510.1199970301"/>
    <n v="13599036.431989299"/>
  </r>
  <r>
    <x v="0"/>
    <x v="2"/>
    <x v="2"/>
    <x v="3"/>
    <x v="4"/>
    <s v="DE4-E_A"/>
    <x v="5"/>
    <x v="3"/>
    <s v="GNR_PV_SUN_LS-4-MW_Y-2030"/>
    <x v="0"/>
    <x v="11"/>
    <n v="11766.264823118199"/>
    <n v="4294686.6604381399"/>
    <n v="15460871.977577301"/>
  </r>
  <r>
    <x v="0"/>
    <x v="2"/>
    <x v="2"/>
    <x v="3"/>
    <x v="4"/>
    <s v="DE4-E_A"/>
    <x v="5"/>
    <x v="3"/>
    <s v="GNR_PV_SUN_LS-4-MW_Y-2030"/>
    <x v="0"/>
    <x v="12"/>
    <n v="10231.0989477122"/>
    <n v="3734351.1159149599"/>
    <n v="13443664.0172939"/>
  </r>
  <r>
    <x v="0"/>
    <x v="2"/>
    <x v="2"/>
    <x v="3"/>
    <x v="4"/>
    <s v="DE4-E_A"/>
    <x v="5"/>
    <x v="3"/>
    <s v="GNR_PV_SUN_LS-4-MW_Y-2030"/>
    <x v="0"/>
    <x v="13"/>
    <n v="6657.7298147502397"/>
    <n v="2430071.3823838402"/>
    <n v="8748256.9765818194"/>
  </r>
  <r>
    <x v="0"/>
    <x v="2"/>
    <x v="2"/>
    <x v="3"/>
    <x v="4"/>
    <s v="DE4-E_A"/>
    <x v="5"/>
    <x v="3"/>
    <s v="GNR_PV_SUN_LS-4-MW_Y-2030"/>
    <x v="0"/>
    <x v="14"/>
    <n v="3370.95170030401"/>
    <n v="1230397.3706109601"/>
    <n v="4429430.5341994604"/>
  </r>
  <r>
    <x v="0"/>
    <x v="2"/>
    <x v="2"/>
    <x v="3"/>
    <x v="4"/>
    <s v="DE4-E_A"/>
    <x v="5"/>
    <x v="3"/>
    <s v="GNR_PV_SUN_LS-4-MW_Y-2030"/>
    <x v="0"/>
    <x v="15"/>
    <n v="438.90512625836902"/>
    <n v="160200.37108430499"/>
    <n v="576721.33590349695"/>
  </r>
  <r>
    <x v="0"/>
    <x v="2"/>
    <x v="2"/>
    <x v="3"/>
    <x v="4"/>
    <s v="DE4-E_A"/>
    <x v="6"/>
    <x v="4"/>
    <s v="GNR_ROR_WTR"/>
    <x v="0"/>
    <x v="0"/>
    <n v="302.85891450546501"/>
    <n v="110543.503794495"/>
    <n v="397956.613660181"/>
  </r>
  <r>
    <x v="0"/>
    <x v="2"/>
    <x v="2"/>
    <x v="3"/>
    <x v="4"/>
    <s v="DE4-E_A"/>
    <x v="6"/>
    <x v="4"/>
    <s v="GNR_ROR_WTR"/>
    <x v="0"/>
    <x v="1"/>
    <n v="302.85891450546501"/>
    <n v="110543.503794495"/>
    <n v="397956.613660181"/>
  </r>
  <r>
    <x v="0"/>
    <x v="2"/>
    <x v="2"/>
    <x v="3"/>
    <x v="4"/>
    <s v="DE4-E_A"/>
    <x v="6"/>
    <x v="4"/>
    <s v="GNR_ROR_WTR"/>
    <x v="0"/>
    <x v="18"/>
    <n v="302.85891450546501"/>
    <n v="110543.503794495"/>
    <n v="397956.613660181"/>
  </r>
  <r>
    <x v="0"/>
    <x v="2"/>
    <x v="2"/>
    <x v="3"/>
    <x v="4"/>
    <s v="DE4-E_A"/>
    <x v="6"/>
    <x v="4"/>
    <s v="GNR_ROR_WTR"/>
    <x v="0"/>
    <x v="2"/>
    <n v="302.85891450546501"/>
    <n v="110543.503794495"/>
    <n v="397956.613660181"/>
  </r>
  <r>
    <x v="0"/>
    <x v="2"/>
    <x v="2"/>
    <x v="3"/>
    <x v="4"/>
    <s v="DE4-E_A"/>
    <x v="6"/>
    <x v="4"/>
    <s v="GNR_ROR_WTR"/>
    <x v="0"/>
    <x v="3"/>
    <n v="302.85891450546501"/>
    <n v="110543.503794495"/>
    <n v="397956.613660181"/>
  </r>
  <r>
    <x v="0"/>
    <x v="2"/>
    <x v="2"/>
    <x v="3"/>
    <x v="4"/>
    <s v="DE4-E_A"/>
    <x v="6"/>
    <x v="4"/>
    <s v="GNR_ROR_WTR"/>
    <x v="0"/>
    <x v="4"/>
    <n v="302.85891450546501"/>
    <n v="110543.503794495"/>
    <n v="397956.613660181"/>
  </r>
  <r>
    <x v="0"/>
    <x v="2"/>
    <x v="2"/>
    <x v="3"/>
    <x v="4"/>
    <s v="DE4-E_A"/>
    <x v="6"/>
    <x v="4"/>
    <s v="GNR_ROR_WTR"/>
    <x v="0"/>
    <x v="5"/>
    <n v="302.85891450546501"/>
    <n v="110543.503794495"/>
    <n v="397956.613660181"/>
  </r>
  <r>
    <x v="0"/>
    <x v="2"/>
    <x v="2"/>
    <x v="3"/>
    <x v="4"/>
    <s v="DE4-E_A"/>
    <x v="6"/>
    <x v="4"/>
    <s v="GNR_ROR_WTR"/>
    <x v="0"/>
    <x v="6"/>
    <n v="302.85891450546501"/>
    <n v="110543.503794495"/>
    <n v="397956.613660181"/>
  </r>
  <r>
    <x v="0"/>
    <x v="2"/>
    <x v="2"/>
    <x v="3"/>
    <x v="4"/>
    <s v="DE4-E_A"/>
    <x v="6"/>
    <x v="4"/>
    <s v="GNR_ROR_WTR"/>
    <x v="0"/>
    <x v="7"/>
    <n v="302.85891450546501"/>
    <n v="110543.503794495"/>
    <n v="397956.613660181"/>
  </r>
  <r>
    <x v="0"/>
    <x v="2"/>
    <x v="2"/>
    <x v="3"/>
    <x v="4"/>
    <s v="DE4-E_A"/>
    <x v="6"/>
    <x v="4"/>
    <s v="GNR_ROR_WTR"/>
    <x v="0"/>
    <x v="8"/>
    <n v="302.85891450546501"/>
    <n v="110543.503794495"/>
    <n v="397956.613660181"/>
  </r>
  <r>
    <x v="0"/>
    <x v="2"/>
    <x v="2"/>
    <x v="3"/>
    <x v="4"/>
    <s v="DE4-E_A"/>
    <x v="6"/>
    <x v="4"/>
    <s v="GNR_ROR_WTR"/>
    <x v="0"/>
    <x v="9"/>
    <n v="302.85891450546501"/>
    <n v="110543.503794495"/>
    <n v="397956.613660181"/>
  </r>
  <r>
    <x v="0"/>
    <x v="2"/>
    <x v="2"/>
    <x v="3"/>
    <x v="4"/>
    <s v="DE4-E_A"/>
    <x v="6"/>
    <x v="4"/>
    <s v="GNR_ROR_WTR"/>
    <x v="0"/>
    <x v="10"/>
    <n v="302.85891450546501"/>
    <n v="110543.503794495"/>
    <n v="397956.613660181"/>
  </r>
  <r>
    <x v="0"/>
    <x v="2"/>
    <x v="2"/>
    <x v="3"/>
    <x v="4"/>
    <s v="DE4-E_A"/>
    <x v="6"/>
    <x v="4"/>
    <s v="GNR_ROR_WTR"/>
    <x v="0"/>
    <x v="11"/>
    <n v="302.85891450546501"/>
    <n v="110543.503794495"/>
    <n v="397956.613660181"/>
  </r>
  <r>
    <x v="0"/>
    <x v="2"/>
    <x v="2"/>
    <x v="3"/>
    <x v="4"/>
    <s v="DE4-E_A"/>
    <x v="6"/>
    <x v="4"/>
    <s v="GNR_ROR_WTR"/>
    <x v="0"/>
    <x v="12"/>
    <n v="302.85891450546501"/>
    <n v="110543.503794495"/>
    <n v="397956.613660181"/>
  </r>
  <r>
    <x v="0"/>
    <x v="2"/>
    <x v="2"/>
    <x v="3"/>
    <x v="4"/>
    <s v="DE4-E_A"/>
    <x v="6"/>
    <x v="4"/>
    <s v="GNR_ROR_WTR"/>
    <x v="0"/>
    <x v="13"/>
    <n v="302.85891450546501"/>
    <n v="110543.503794495"/>
    <n v="397956.613660181"/>
  </r>
  <r>
    <x v="0"/>
    <x v="2"/>
    <x v="2"/>
    <x v="3"/>
    <x v="4"/>
    <s v="DE4-E_A"/>
    <x v="6"/>
    <x v="4"/>
    <s v="GNR_ROR_WTR"/>
    <x v="0"/>
    <x v="14"/>
    <n v="302.85891450546501"/>
    <n v="110543.503794495"/>
    <n v="397956.613660181"/>
  </r>
  <r>
    <x v="0"/>
    <x v="2"/>
    <x v="2"/>
    <x v="3"/>
    <x v="4"/>
    <s v="DE4-E_A"/>
    <x v="6"/>
    <x v="4"/>
    <s v="GNR_ROR_WTR"/>
    <x v="0"/>
    <x v="15"/>
    <n v="302.85891450546501"/>
    <n v="110543.503794495"/>
    <n v="397956.613660181"/>
  </r>
  <r>
    <x v="0"/>
    <x v="2"/>
    <x v="2"/>
    <x v="3"/>
    <x v="4"/>
    <s v="DE4-E_A"/>
    <x v="6"/>
    <x v="4"/>
    <s v="GNR_ROR_WTR"/>
    <x v="0"/>
    <x v="16"/>
    <n v="302.85891450546501"/>
    <n v="110543.503794495"/>
    <n v="397956.613660181"/>
  </r>
  <r>
    <x v="0"/>
    <x v="2"/>
    <x v="2"/>
    <x v="3"/>
    <x v="4"/>
    <s v="DE4-E_A"/>
    <x v="6"/>
    <x v="4"/>
    <s v="GNR_ROR_WTR"/>
    <x v="0"/>
    <x v="17"/>
    <n v="302.85891450546501"/>
    <n v="110543.503794495"/>
    <n v="397956.613660181"/>
  </r>
  <r>
    <x v="0"/>
    <x v="2"/>
    <x v="2"/>
    <x v="3"/>
    <x v="4"/>
    <s v="DE4-E_A"/>
    <x v="6"/>
    <x v="4"/>
    <s v="GNR_ROR_WTR"/>
    <x v="0"/>
    <x v="19"/>
    <n v="302.85891450546501"/>
    <n v="110543.503794495"/>
    <n v="397956.613660181"/>
  </r>
  <r>
    <x v="0"/>
    <x v="2"/>
    <x v="2"/>
    <x v="3"/>
    <x v="4"/>
    <s v="DE4-E_A"/>
    <x v="6"/>
    <x v="4"/>
    <s v="GNR_ROR_WTR"/>
    <x v="0"/>
    <x v="20"/>
    <n v="302.85891450546501"/>
    <n v="110543.503794495"/>
    <n v="397956.613660181"/>
  </r>
  <r>
    <x v="0"/>
    <x v="2"/>
    <x v="2"/>
    <x v="3"/>
    <x v="4"/>
    <s v="DE4-E_A"/>
    <x v="6"/>
    <x v="4"/>
    <s v="GNR_ROR_WTR"/>
    <x v="0"/>
    <x v="21"/>
    <n v="302.85891450546501"/>
    <n v="110543.503794495"/>
    <n v="397956.613660181"/>
  </r>
  <r>
    <x v="0"/>
    <x v="2"/>
    <x v="2"/>
    <x v="3"/>
    <x v="4"/>
    <s v="DE4-E_A"/>
    <x v="6"/>
    <x v="4"/>
    <s v="GNR_ROR_WTR"/>
    <x v="0"/>
    <x v="22"/>
    <n v="302.85891450546501"/>
    <n v="110543.503794495"/>
    <n v="397956.613660181"/>
  </r>
  <r>
    <x v="0"/>
    <x v="2"/>
    <x v="2"/>
    <x v="3"/>
    <x v="4"/>
    <s v="DE4-E_A"/>
    <x v="6"/>
    <x v="4"/>
    <s v="GNR_ROR_WTR"/>
    <x v="0"/>
    <x v="23"/>
    <n v="302.85891450546501"/>
    <n v="110543.503794495"/>
    <n v="397956.613660181"/>
  </r>
  <r>
    <x v="0"/>
    <x v="2"/>
    <x v="2"/>
    <x v="3"/>
    <x v="4"/>
    <s v="DE4-E_A"/>
    <x v="7"/>
    <x v="5"/>
    <s v="GNR_WT_WIND_ONS"/>
    <x v="0"/>
    <x v="0"/>
    <n v="2134.28270596015"/>
    <n v="779013.187675455"/>
    <n v="2804447.4756316398"/>
  </r>
  <r>
    <x v="0"/>
    <x v="2"/>
    <x v="2"/>
    <x v="3"/>
    <x v="4"/>
    <s v="DE4-E_A"/>
    <x v="7"/>
    <x v="5"/>
    <s v="GNR_WT_WIND_ONS"/>
    <x v="0"/>
    <x v="1"/>
    <n v="2065.1141641485701"/>
    <n v="753766.66991422896"/>
    <n v="2713560.0116912201"/>
  </r>
  <r>
    <x v="0"/>
    <x v="2"/>
    <x v="2"/>
    <x v="3"/>
    <x v="4"/>
    <s v="DE4-E_A"/>
    <x v="7"/>
    <x v="5"/>
    <s v="GNR_WT_WIND_ONS"/>
    <x v="0"/>
    <x v="18"/>
    <n v="2006.1717722557501"/>
    <n v="732252.69687334797"/>
    <n v="2636109.70874405"/>
  </r>
  <r>
    <x v="0"/>
    <x v="2"/>
    <x v="2"/>
    <x v="3"/>
    <x v="4"/>
    <s v="DE4-E_A"/>
    <x v="7"/>
    <x v="5"/>
    <s v="GNR_WT_WIND_ONS"/>
    <x v="0"/>
    <x v="2"/>
    <n v="1905.04651194806"/>
    <n v="695341.97686104197"/>
    <n v="2503231.1166997501"/>
  </r>
  <r>
    <x v="0"/>
    <x v="2"/>
    <x v="2"/>
    <x v="3"/>
    <x v="4"/>
    <s v="DE4-E_A"/>
    <x v="7"/>
    <x v="5"/>
    <s v="GNR_WT_WIND_ONS"/>
    <x v="0"/>
    <x v="3"/>
    <n v="1735.32082926872"/>
    <n v="633392.10268308397"/>
    <n v="2280211.5696590999"/>
  </r>
  <r>
    <x v="0"/>
    <x v="2"/>
    <x v="2"/>
    <x v="3"/>
    <x v="4"/>
    <s v="DE4-E_A"/>
    <x v="7"/>
    <x v="5"/>
    <s v="GNR_WT_WIND_ONS"/>
    <x v="0"/>
    <x v="4"/>
    <n v="1583.4909089472101"/>
    <n v="577974.18176573096"/>
    <n v="2080707.05435663"/>
  </r>
  <r>
    <x v="0"/>
    <x v="2"/>
    <x v="2"/>
    <x v="3"/>
    <x v="4"/>
    <s v="DE4-E_A"/>
    <x v="7"/>
    <x v="5"/>
    <s v="GNR_WT_WIND_ONS"/>
    <x v="0"/>
    <x v="5"/>
    <n v="1305.2544132410801"/>
    <n v="476417.86083299603"/>
    <n v="1715104.2989987901"/>
  </r>
  <r>
    <x v="0"/>
    <x v="2"/>
    <x v="2"/>
    <x v="3"/>
    <x v="4"/>
    <s v="DE4-E_A"/>
    <x v="7"/>
    <x v="5"/>
    <s v="GNR_WT_WIND_ONS"/>
    <x v="0"/>
    <x v="6"/>
    <n v="1262.2193656663201"/>
    <n v="460710.06846820802"/>
    <n v="1658556.24648555"/>
  </r>
  <r>
    <x v="0"/>
    <x v="2"/>
    <x v="2"/>
    <x v="3"/>
    <x v="4"/>
    <s v="DE4-E_A"/>
    <x v="7"/>
    <x v="5"/>
    <s v="GNR_WT_WIND_ONS"/>
    <x v="0"/>
    <x v="7"/>
    <n v="1356.9532822747899"/>
    <n v="495287.94803029898"/>
    <n v="1783036.61290907"/>
  </r>
  <r>
    <x v="0"/>
    <x v="2"/>
    <x v="2"/>
    <x v="3"/>
    <x v="4"/>
    <s v="DE4-E_A"/>
    <x v="7"/>
    <x v="5"/>
    <s v="GNR_WT_WIND_ONS"/>
    <x v="0"/>
    <x v="8"/>
    <n v="1463.6177071218001"/>
    <n v="534220.46309945802"/>
    <n v="1923193.66715805"/>
  </r>
  <r>
    <x v="0"/>
    <x v="2"/>
    <x v="2"/>
    <x v="3"/>
    <x v="4"/>
    <s v="DE4-E_A"/>
    <x v="7"/>
    <x v="5"/>
    <s v="GNR_WT_WIND_ONS"/>
    <x v="0"/>
    <x v="9"/>
    <n v="1688.7350351944001"/>
    <n v="616388.28784595395"/>
    <n v="2218997.8362454399"/>
  </r>
  <r>
    <x v="0"/>
    <x v="2"/>
    <x v="2"/>
    <x v="3"/>
    <x v="4"/>
    <s v="DE4-E_A"/>
    <x v="7"/>
    <x v="5"/>
    <s v="GNR_WT_WIND_ONS"/>
    <x v="0"/>
    <x v="10"/>
    <n v="1860.3071060535101"/>
    <n v="679012.09370952996"/>
    <n v="2444443.53735431"/>
  </r>
  <r>
    <x v="0"/>
    <x v="2"/>
    <x v="2"/>
    <x v="3"/>
    <x v="4"/>
    <s v="DE4-E_A"/>
    <x v="7"/>
    <x v="5"/>
    <s v="GNR_WT_WIND_ONS"/>
    <x v="0"/>
    <x v="11"/>
    <n v="2289.2372832012802"/>
    <n v="835571.60836846905"/>
    <n v="3008057.7901264899"/>
  </r>
  <r>
    <x v="0"/>
    <x v="2"/>
    <x v="2"/>
    <x v="3"/>
    <x v="4"/>
    <s v="DE4-E_A"/>
    <x v="7"/>
    <x v="5"/>
    <s v="GNR_WT_WIND_ONS"/>
    <x v="0"/>
    <x v="12"/>
    <n v="2675.1324127743001"/>
    <n v="976423.33066262002"/>
    <n v="3515123.9903854299"/>
  </r>
  <r>
    <x v="0"/>
    <x v="2"/>
    <x v="2"/>
    <x v="3"/>
    <x v="4"/>
    <s v="DE4-E_A"/>
    <x v="7"/>
    <x v="5"/>
    <s v="GNR_WT_WIND_ONS"/>
    <x v="0"/>
    <x v="13"/>
    <n v="3114.8568592807601"/>
    <n v="1136922.7536374801"/>
    <n v="4092921.9130949299"/>
  </r>
  <r>
    <x v="0"/>
    <x v="2"/>
    <x v="2"/>
    <x v="3"/>
    <x v="4"/>
    <s v="DE4-E_A"/>
    <x v="7"/>
    <x v="5"/>
    <s v="GNR_WT_WIND_ONS"/>
    <x v="0"/>
    <x v="14"/>
    <n v="3548.9001113879199"/>
    <n v="1295348.5406565899"/>
    <n v="4663254.7463637302"/>
  </r>
  <r>
    <x v="0"/>
    <x v="2"/>
    <x v="2"/>
    <x v="3"/>
    <x v="4"/>
    <s v="DE4-E_A"/>
    <x v="7"/>
    <x v="5"/>
    <s v="GNR_WT_WIND_ONS"/>
    <x v="0"/>
    <x v="15"/>
    <n v="4128.3819401173696"/>
    <n v="1506859.40814284"/>
    <n v="5424693.8693142198"/>
  </r>
  <r>
    <x v="0"/>
    <x v="2"/>
    <x v="2"/>
    <x v="3"/>
    <x v="4"/>
    <s v="DE4-E_A"/>
    <x v="7"/>
    <x v="5"/>
    <s v="GNR_WT_WIND_ONS"/>
    <x v="0"/>
    <x v="16"/>
    <n v="4657.72722827292"/>
    <n v="1700070.43831962"/>
    <n v="6120253.5779506201"/>
  </r>
  <r>
    <x v="0"/>
    <x v="2"/>
    <x v="2"/>
    <x v="3"/>
    <x v="4"/>
    <s v="DE4-E_A"/>
    <x v="7"/>
    <x v="5"/>
    <s v="GNR_WT_WIND_ONS"/>
    <x v="0"/>
    <x v="17"/>
    <n v="5224.9944890438501"/>
    <n v="1907122.98850101"/>
    <n v="6865642.7586036203"/>
  </r>
  <r>
    <x v="0"/>
    <x v="2"/>
    <x v="2"/>
    <x v="3"/>
    <x v="4"/>
    <s v="DE4-E_A"/>
    <x v="7"/>
    <x v="5"/>
    <s v="GNR_WT_WIND_ONS"/>
    <x v="0"/>
    <x v="19"/>
    <n v="5795.1023470144401"/>
    <n v="2115212.3566602701"/>
    <n v="7614764.4839769797"/>
  </r>
  <r>
    <x v="0"/>
    <x v="2"/>
    <x v="2"/>
    <x v="3"/>
    <x v="4"/>
    <s v="DE4-E_A"/>
    <x v="7"/>
    <x v="5"/>
    <s v="GNR_WT_WIND_ONS"/>
    <x v="0"/>
    <x v="20"/>
    <n v="6281.9807070351699"/>
    <n v="2292922.95806784"/>
    <n v="8254522.6490442101"/>
  </r>
  <r>
    <x v="0"/>
    <x v="2"/>
    <x v="2"/>
    <x v="3"/>
    <x v="4"/>
    <s v="DE4-E_A"/>
    <x v="7"/>
    <x v="5"/>
    <s v="GNR_WT_WIND_ONS"/>
    <x v="0"/>
    <x v="21"/>
    <n v="6817.5753090299604"/>
    <n v="2488414.9877959299"/>
    <n v="8958293.9560653605"/>
  </r>
  <r>
    <x v="0"/>
    <x v="2"/>
    <x v="2"/>
    <x v="3"/>
    <x v="4"/>
    <s v="DE4-E_A"/>
    <x v="7"/>
    <x v="5"/>
    <s v="GNR_WT_WIND_ONS"/>
    <x v="0"/>
    <x v="22"/>
    <n v="7493.4954126876601"/>
    <n v="2735125.8256310001"/>
    <n v="9846452.9722715896"/>
  </r>
  <r>
    <x v="0"/>
    <x v="2"/>
    <x v="2"/>
    <x v="3"/>
    <x v="4"/>
    <s v="DE4-E_A"/>
    <x v="7"/>
    <x v="5"/>
    <s v="GNR_WT_WIND_ONS"/>
    <x v="0"/>
    <x v="23"/>
    <n v="7934.3560980739903"/>
    <n v="2896039.9757970101"/>
    <n v="10425743.9128692"/>
  </r>
  <r>
    <x v="0"/>
    <x v="2"/>
    <x v="2"/>
    <x v="3"/>
    <x v="4"/>
    <s v="DE4-E_Offshore_A"/>
    <x v="7"/>
    <x v="5"/>
    <s v="GNR_WT_WIND_OFF"/>
    <x v="0"/>
    <x v="0"/>
    <n v="665.18373614016195"/>
    <n v="242792.06369115901"/>
    <n v="874051.42928817298"/>
  </r>
  <r>
    <x v="0"/>
    <x v="2"/>
    <x v="2"/>
    <x v="3"/>
    <x v="4"/>
    <s v="DE4-E_Offshore_A"/>
    <x v="7"/>
    <x v="5"/>
    <s v="GNR_WT_WIND_OFF"/>
    <x v="0"/>
    <x v="1"/>
    <n v="643.62624099806703"/>
    <n v="234923.57796429499"/>
    <n v="845724.880671461"/>
  </r>
  <r>
    <x v="0"/>
    <x v="2"/>
    <x v="2"/>
    <x v="3"/>
    <x v="4"/>
    <s v="DE4-E_Offshore_A"/>
    <x v="7"/>
    <x v="5"/>
    <s v="GNR_WT_WIND_OFF"/>
    <x v="0"/>
    <x v="18"/>
    <n v="625.25589092831501"/>
    <n v="228218.40018883499"/>
    <n v="821586.24067980598"/>
  </r>
  <r>
    <x v="0"/>
    <x v="2"/>
    <x v="2"/>
    <x v="3"/>
    <x v="4"/>
    <s v="DE4-E_Offshore_A"/>
    <x v="7"/>
    <x v="5"/>
    <s v="GNR_WT_WIND_OFF"/>
    <x v="0"/>
    <x v="2"/>
    <n v="593.73856743515"/>
    <n v="216714.57711382999"/>
    <n v="780172.47760978702"/>
  </r>
  <r>
    <x v="0"/>
    <x v="2"/>
    <x v="2"/>
    <x v="3"/>
    <x v="4"/>
    <s v="DE4-E_Offshore_A"/>
    <x v="7"/>
    <x v="5"/>
    <s v="GNR_WT_WIND_OFF"/>
    <x v="0"/>
    <x v="3"/>
    <n v="540.84081241501997"/>
    <n v="197406.89653148199"/>
    <n v="710664.82751333597"/>
  </r>
  <r>
    <x v="0"/>
    <x v="2"/>
    <x v="2"/>
    <x v="3"/>
    <x v="4"/>
    <s v="DE4-E_Offshore_A"/>
    <x v="7"/>
    <x v="5"/>
    <s v="GNR_WT_WIND_OFF"/>
    <x v="0"/>
    <x v="4"/>
    <n v="493.52056127148899"/>
    <n v="180135.00486409399"/>
    <n v="648486.01751073694"/>
  </r>
  <r>
    <x v="0"/>
    <x v="2"/>
    <x v="2"/>
    <x v="3"/>
    <x v="4"/>
    <s v="DE4-E_Offshore_A"/>
    <x v="7"/>
    <x v="5"/>
    <s v="GNR_WT_WIND_OFF"/>
    <x v="0"/>
    <x v="5"/>
    <n v="406.803655761502"/>
    <n v="148483.334352948"/>
    <n v="534540.00367061398"/>
  </r>
  <r>
    <x v="0"/>
    <x v="2"/>
    <x v="2"/>
    <x v="3"/>
    <x v="4"/>
    <s v="DE4-E_Offshore_A"/>
    <x v="7"/>
    <x v="5"/>
    <s v="GNR_WT_WIND_OFF"/>
    <x v="0"/>
    <x v="6"/>
    <n v="393.391086915394"/>
    <n v="143587.746724119"/>
    <n v="516915.88820682699"/>
  </r>
  <r>
    <x v="0"/>
    <x v="2"/>
    <x v="2"/>
    <x v="3"/>
    <x v="4"/>
    <s v="DE4-E_Offshore_A"/>
    <x v="7"/>
    <x v="5"/>
    <s v="GNR_WT_WIND_OFF"/>
    <x v="0"/>
    <x v="7"/>
    <n v="422.91644473834498"/>
    <n v="154364.502329496"/>
    <n v="555712.208386185"/>
  </r>
  <r>
    <x v="0"/>
    <x v="2"/>
    <x v="2"/>
    <x v="3"/>
    <x v="4"/>
    <s v="DE4-E_Offshore_A"/>
    <x v="7"/>
    <x v="5"/>
    <s v="GNR_WT_WIND_OFF"/>
    <x v="0"/>
    <x v="8"/>
    <n v="456.160138479029"/>
    <n v="166498.45054484601"/>
    <n v="599394.42196144396"/>
  </r>
  <r>
    <x v="0"/>
    <x v="2"/>
    <x v="2"/>
    <x v="3"/>
    <x v="4"/>
    <s v="DE4-E_Offshore_A"/>
    <x v="7"/>
    <x v="5"/>
    <s v="GNR_WT_WIND_OFF"/>
    <x v="0"/>
    <x v="9"/>
    <n v="526.32159597434804"/>
    <n v="192107.382530637"/>
    <n v="691586.57711029402"/>
  </r>
  <r>
    <x v="0"/>
    <x v="2"/>
    <x v="2"/>
    <x v="3"/>
    <x v="4"/>
    <s v="DE4-E_Offshore_A"/>
    <x v="7"/>
    <x v="5"/>
    <s v="GNR_WT_WIND_OFF"/>
    <x v="0"/>
    <x v="10"/>
    <n v="579.79480774365095"/>
    <n v="211625.104826433"/>
    <n v="761850.37737515802"/>
  </r>
  <r>
    <x v="0"/>
    <x v="2"/>
    <x v="2"/>
    <x v="3"/>
    <x v="4"/>
    <s v="DE4-E_Offshore_A"/>
    <x v="7"/>
    <x v="5"/>
    <s v="GNR_WT_WIND_OFF"/>
    <x v="0"/>
    <x v="11"/>
    <n v="713.47783716690901"/>
    <n v="260419.41056592201"/>
    <n v="937509.87803731801"/>
  </r>
  <r>
    <x v="0"/>
    <x v="2"/>
    <x v="2"/>
    <x v="3"/>
    <x v="4"/>
    <s v="DE4-E_Offshore_A"/>
    <x v="7"/>
    <x v="5"/>
    <s v="GNR_WT_WIND_OFF"/>
    <x v="0"/>
    <x v="12"/>
    <n v="833.74829774405805"/>
    <n v="304318.12867658102"/>
    <n v="1095545.2632356901"/>
  </r>
  <r>
    <x v="0"/>
    <x v="2"/>
    <x v="2"/>
    <x v="3"/>
    <x v="4"/>
    <s v="DE4-E_Offshore_A"/>
    <x v="7"/>
    <x v="5"/>
    <s v="GNR_WT_WIND_OFF"/>
    <x v="0"/>
    <x v="13"/>
    <n v="970.795535854788"/>
    <n v="354340.370586998"/>
    <n v="1275625.33411319"/>
  </r>
  <r>
    <x v="0"/>
    <x v="2"/>
    <x v="2"/>
    <x v="3"/>
    <x v="4"/>
    <s v="DE4-E_Offshore_A"/>
    <x v="7"/>
    <x v="5"/>
    <s v="GNR_WT_WIND_OFF"/>
    <x v="0"/>
    <x v="14"/>
    <n v="1106.07213781422"/>
    <n v="403716.33030218899"/>
    <n v="1453378.7890878799"/>
  </r>
  <r>
    <x v="0"/>
    <x v="2"/>
    <x v="2"/>
    <x v="3"/>
    <x v="4"/>
    <s v="DE4-E_Offshore_A"/>
    <x v="7"/>
    <x v="5"/>
    <s v="GNR_WT_WIND_OFF"/>
    <x v="0"/>
    <x v="15"/>
    <n v="1286.6770252469601"/>
    <n v="469637.11421514099"/>
    <n v="1690693.6111745101"/>
  </r>
  <r>
    <x v="0"/>
    <x v="2"/>
    <x v="2"/>
    <x v="3"/>
    <x v="4"/>
    <s v="DE4-E_Offshore_A"/>
    <x v="7"/>
    <x v="5"/>
    <s v="GNR_WT_WIND_OFF"/>
    <x v="0"/>
    <x v="16"/>
    <n v="1451.65604864447"/>
    <n v="529854.457755232"/>
    <n v="1907476.0479188401"/>
  </r>
  <r>
    <x v="0"/>
    <x v="2"/>
    <x v="2"/>
    <x v="3"/>
    <x v="4"/>
    <s v="DE4-E_Offshore_A"/>
    <x v="7"/>
    <x v="5"/>
    <s v="GNR_WT_WIND_OFF"/>
    <x v="0"/>
    <x v="17"/>
    <n v="1628.4540683519199"/>
    <n v="594385.73494845"/>
    <n v="2139788.6458144202"/>
  </r>
  <r>
    <x v="0"/>
    <x v="2"/>
    <x v="2"/>
    <x v="3"/>
    <x v="4"/>
    <s v="DE4-E_Offshore_A"/>
    <x v="7"/>
    <x v="5"/>
    <s v="GNR_WT_WIND_OFF"/>
    <x v="0"/>
    <x v="19"/>
    <n v="1806.13740613502"/>
    <n v="659240.15323928103"/>
    <n v="2373264.5516614099"/>
  </r>
  <r>
    <x v="0"/>
    <x v="2"/>
    <x v="2"/>
    <x v="3"/>
    <x v="4"/>
    <s v="DE4-E_Offshore_A"/>
    <x v="7"/>
    <x v="5"/>
    <s v="GNR_WT_WIND_OFF"/>
    <x v="0"/>
    <x v="20"/>
    <n v="1957.8809243015501"/>
    <n v="714626.53737006499"/>
    <n v="2572655.5345322401"/>
  </r>
  <r>
    <x v="0"/>
    <x v="2"/>
    <x v="2"/>
    <x v="3"/>
    <x v="4"/>
    <s v="DE4-E_Offshore_A"/>
    <x v="7"/>
    <x v="5"/>
    <s v="GNR_WT_WIND_OFF"/>
    <x v="0"/>
    <x v="21"/>
    <n v="2124.8076474654899"/>
    <n v="775554.79132490396"/>
    <n v="2791997.24876966"/>
  </r>
  <r>
    <x v="0"/>
    <x v="2"/>
    <x v="2"/>
    <x v="3"/>
    <x v="4"/>
    <s v="DE4-E_Offshore_A"/>
    <x v="7"/>
    <x v="5"/>
    <s v="GNR_WT_WIND_OFF"/>
    <x v="0"/>
    <x v="22"/>
    <n v="2335.4690835665801"/>
    <n v="852446.21550180099"/>
    <n v="3068806.3758064802"/>
  </r>
  <r>
    <x v="0"/>
    <x v="2"/>
    <x v="2"/>
    <x v="3"/>
    <x v="4"/>
    <s v="DE4-E_Offshore_A"/>
    <x v="7"/>
    <x v="5"/>
    <s v="GNR_WT_WIND_OFF"/>
    <x v="0"/>
    <x v="23"/>
    <n v="2472.8704489075699"/>
    <n v="902597.713851262"/>
    <n v="3249351.7698645401"/>
  </r>
  <r>
    <x v="0"/>
    <x v="2"/>
    <x v="2"/>
    <x v="3"/>
    <x v="4"/>
    <s v="DE4-E_Offshore_A"/>
    <x v="7"/>
    <x v="5"/>
    <s v="GNR_WT_WIND_OFF_L-NS_Y-2030"/>
    <x v="0"/>
    <x v="0"/>
    <n v="3174.80084749449"/>
    <n v="1158802.30933549"/>
    <n v="4171688.3136077598"/>
  </r>
  <r>
    <x v="0"/>
    <x v="2"/>
    <x v="2"/>
    <x v="3"/>
    <x v="4"/>
    <s v="DE4-E_Offshore_A"/>
    <x v="7"/>
    <x v="5"/>
    <s v="GNR_WT_WIND_OFF_L-NS_Y-2030"/>
    <x v="0"/>
    <x v="1"/>
    <n v="3071.9108486437599"/>
    <n v="1121247.4597549699"/>
    <n v="4036490.8551179101"/>
  </r>
  <r>
    <x v="0"/>
    <x v="2"/>
    <x v="2"/>
    <x v="3"/>
    <x v="4"/>
    <s v="DE4-E_Offshore_A"/>
    <x v="7"/>
    <x v="5"/>
    <s v="GNR_WT_WIND_OFF_L-NS_Y-2030"/>
    <x v="0"/>
    <x v="18"/>
    <n v="2984.2325128674802"/>
    <n v="1089244.86719663"/>
    <n v="3921281.5219078702"/>
  </r>
  <r>
    <x v="0"/>
    <x v="2"/>
    <x v="2"/>
    <x v="3"/>
    <x v="4"/>
    <s v="DE4-E_Offshore_A"/>
    <x v="7"/>
    <x v="5"/>
    <s v="GNR_WT_WIND_OFF_L-NS_Y-2030"/>
    <x v="0"/>
    <x v="2"/>
    <n v="2833.8060669091301"/>
    <n v="1034339.21442183"/>
    <n v="3723621.1719185999"/>
  </r>
  <r>
    <x v="0"/>
    <x v="2"/>
    <x v="2"/>
    <x v="3"/>
    <x v="4"/>
    <s v="DE4-E_Offshore_A"/>
    <x v="7"/>
    <x v="5"/>
    <s v="GNR_WT_WIND_OFF_L-NS_Y-2030"/>
    <x v="0"/>
    <x v="3"/>
    <n v="2581.3347144930899"/>
    <n v="942187.170789978"/>
    <n v="3391873.8148439201"/>
  </r>
  <r>
    <x v="0"/>
    <x v="2"/>
    <x v="2"/>
    <x v="3"/>
    <x v="4"/>
    <s v="DE4-E_Offshore_A"/>
    <x v="7"/>
    <x v="5"/>
    <s v="GNR_WT_WIND_OFF_L-NS_Y-2030"/>
    <x v="0"/>
    <x v="4"/>
    <n v="2355.4837724573099"/>
    <n v="859751.57694691897"/>
    <n v="3095105.6770089101"/>
  </r>
  <r>
    <x v="0"/>
    <x v="2"/>
    <x v="2"/>
    <x v="3"/>
    <x v="4"/>
    <s v="DE4-E_Offshore_A"/>
    <x v="7"/>
    <x v="5"/>
    <s v="GNR_WT_WIND_OFF_L-NS_Y-2030"/>
    <x v="0"/>
    <x v="5"/>
    <n v="1941.5997729736"/>
    <n v="708683.91713536496"/>
    <n v="2551262.10168732"/>
  </r>
  <r>
    <x v="0"/>
    <x v="2"/>
    <x v="2"/>
    <x v="3"/>
    <x v="4"/>
    <s v="DE4-E_Offshore_A"/>
    <x v="7"/>
    <x v="5"/>
    <s v="GNR_WT_WIND_OFF_L-NS_Y-2030"/>
    <x v="0"/>
    <x v="6"/>
    <n v="1877.5840242019999"/>
    <n v="685318.16883373098"/>
    <n v="2467145.4078014302"/>
  </r>
  <r>
    <x v="0"/>
    <x v="2"/>
    <x v="2"/>
    <x v="3"/>
    <x v="4"/>
    <s v="DE4-E_Offshore_A"/>
    <x v="7"/>
    <x v="5"/>
    <s v="GNR_WT_WIND_OFF_L-NS_Y-2030"/>
    <x v="0"/>
    <x v="7"/>
    <n v="2018.50318073883"/>
    <n v="736753.66096967098"/>
    <n v="2652313.17949082"/>
  </r>
  <r>
    <x v="0"/>
    <x v="2"/>
    <x v="2"/>
    <x v="3"/>
    <x v="4"/>
    <s v="DE4-E_Offshore_A"/>
    <x v="7"/>
    <x v="5"/>
    <s v="GNR_WT_WIND_OFF_L-NS_Y-2030"/>
    <x v="0"/>
    <x v="8"/>
    <n v="2177.1692775291599"/>
    <n v="794666.78629814403"/>
    <n v="2860800.4306733198"/>
  </r>
  <r>
    <x v="0"/>
    <x v="2"/>
    <x v="2"/>
    <x v="3"/>
    <x v="4"/>
    <s v="DE4-E_Offshore_A"/>
    <x v="7"/>
    <x v="5"/>
    <s v="GNR_WT_WIND_OFF_L-NS_Y-2030"/>
    <x v="0"/>
    <x v="9"/>
    <n v="2512.0371382650901"/>
    <n v="916893.55546675704"/>
    <n v="3300816.7996803201"/>
  </r>
  <r>
    <x v="0"/>
    <x v="2"/>
    <x v="2"/>
    <x v="3"/>
    <x v="4"/>
    <s v="DE4-E_Offshore_A"/>
    <x v="7"/>
    <x v="5"/>
    <s v="GNR_WT_WIND_OFF_L-NS_Y-2030"/>
    <x v="0"/>
    <x v="10"/>
    <n v="2767.2550409584601"/>
    <n v="1010048.08994984"/>
    <n v="3636173.1238194201"/>
  </r>
  <r>
    <x v="0"/>
    <x v="2"/>
    <x v="2"/>
    <x v="3"/>
    <x v="4"/>
    <s v="DE4-E_Offshore_A"/>
    <x v="7"/>
    <x v="5"/>
    <s v="GNR_WT_WIND_OFF_L-NS_Y-2030"/>
    <x v="0"/>
    <x v="11"/>
    <n v="3405.2997976919"/>
    <n v="1242934.4261575399"/>
    <n v="4474563.9341671504"/>
  </r>
  <r>
    <x v="0"/>
    <x v="2"/>
    <x v="2"/>
    <x v="3"/>
    <x v="4"/>
    <s v="DE4-E_Offshore_A"/>
    <x v="7"/>
    <x v="5"/>
    <s v="GNR_WT_WIND_OFF_L-NS_Y-2030"/>
    <x v="0"/>
    <x v="12"/>
    <n v="3979.3288056537399"/>
    <n v="1452455.01406361"/>
    <n v="5228838.0506290104"/>
  </r>
  <r>
    <x v="0"/>
    <x v="2"/>
    <x v="2"/>
    <x v="3"/>
    <x v="4"/>
    <s v="DE4-E_Offshore_A"/>
    <x v="7"/>
    <x v="5"/>
    <s v="GNR_WT_WIND_OFF_L-NS_Y-2030"/>
    <x v="0"/>
    <x v="13"/>
    <n v="4633.4303178546397"/>
    <n v="1691202.0660169399"/>
    <n v="6088327.4376609903"/>
  </r>
  <r>
    <x v="0"/>
    <x v="2"/>
    <x v="2"/>
    <x v="3"/>
    <x v="4"/>
    <s v="DE4-E_Offshore_A"/>
    <x v="7"/>
    <x v="5"/>
    <s v="GNR_WT_WIND_OFF_L-NS_Y-2030"/>
    <x v="0"/>
    <x v="14"/>
    <n v="5279.0809061252903"/>
    <n v="1926864.53073573"/>
    <n v="6936712.3106486304"/>
  </r>
  <r>
    <x v="0"/>
    <x v="2"/>
    <x v="2"/>
    <x v="3"/>
    <x v="4"/>
    <s v="DE4-E_Offshore_A"/>
    <x v="7"/>
    <x v="5"/>
    <s v="GNR_WT_WIND_OFF_L-NS_Y-2030"/>
    <x v="0"/>
    <x v="15"/>
    <n v="6141.0751470102005"/>
    <n v="2241492.4286587201"/>
    <n v="8069372.7431714004"/>
  </r>
  <r>
    <x v="0"/>
    <x v="2"/>
    <x v="2"/>
    <x v="3"/>
    <x v="4"/>
    <s v="DE4-E_Offshore_A"/>
    <x v="7"/>
    <x v="5"/>
    <s v="GNR_WT_WIND_OFF_L-NS_Y-2030"/>
    <x v="0"/>
    <x v="16"/>
    <n v="6928.4899842106997"/>
    <n v="2528898.8442369099"/>
    <n v="9104035.8392528594"/>
  </r>
  <r>
    <x v="0"/>
    <x v="2"/>
    <x v="2"/>
    <x v="3"/>
    <x v="4"/>
    <s v="DE4-E_Offshore_A"/>
    <x v="7"/>
    <x v="5"/>
    <s v="GNR_WT_WIND_OFF_L-NS_Y-2030"/>
    <x v="0"/>
    <x v="17"/>
    <n v="7772.3147386455803"/>
    <n v="2836894.8796056402"/>
    <n v="10212821.566580299"/>
  </r>
  <r>
    <x v="0"/>
    <x v="2"/>
    <x v="2"/>
    <x v="3"/>
    <x v="4"/>
    <s v="DE4-E_Offshore_A"/>
    <x v="7"/>
    <x v="5"/>
    <s v="GNR_WT_WIND_OFF_L-NS_Y-2030"/>
    <x v="0"/>
    <x v="19"/>
    <n v="8620.3649550455902"/>
    <n v="3146433.20859164"/>
    <n v="11327159.5509299"/>
  </r>
  <r>
    <x v="0"/>
    <x v="2"/>
    <x v="2"/>
    <x v="3"/>
    <x v="4"/>
    <s v="DE4-E_Offshore_A"/>
    <x v="7"/>
    <x v="5"/>
    <s v="GNR_WT_WIND_OFF_L-NS_Y-2030"/>
    <x v="0"/>
    <x v="20"/>
    <n v="9344.6091358675203"/>
    <n v="3410782.3345916402"/>
    <n v="12278816.404529899"/>
  </r>
  <r>
    <x v="0"/>
    <x v="2"/>
    <x v="2"/>
    <x v="3"/>
    <x v="4"/>
    <s v="DE4-E_Offshore_A"/>
    <x v="7"/>
    <x v="5"/>
    <s v="GNR_WT_WIND_OFF_L-NS_Y-2030"/>
    <x v="0"/>
    <x v="21"/>
    <n v="10141.319989391301"/>
    <n v="3701581.7961278199"/>
    <n v="13325694.466060201"/>
  </r>
  <r>
    <x v="0"/>
    <x v="2"/>
    <x v="2"/>
    <x v="3"/>
    <x v="4"/>
    <s v="DE4-E_Offshore_A"/>
    <x v="7"/>
    <x v="5"/>
    <s v="GNR_WT_WIND_OFF_L-NS_Y-2030"/>
    <x v="0"/>
    <x v="22"/>
    <n v="11146.768663992099"/>
    <n v="4068570.56235711"/>
    <n v="14646854.024485599"/>
  </r>
  <r>
    <x v="0"/>
    <x v="2"/>
    <x v="2"/>
    <x v="3"/>
    <x v="4"/>
    <s v="DE4-E_Offshore_A"/>
    <x v="7"/>
    <x v="5"/>
    <s v="GNR_WT_WIND_OFF_L-NS_Y-2030"/>
    <x v="0"/>
    <x v="23"/>
    <n v="11802.560360979"/>
    <n v="4307934.5317573501"/>
    <n v="15508564.314326501"/>
  </r>
  <r>
    <x v="0"/>
    <x v="2"/>
    <x v="2"/>
    <x v="3"/>
    <x v="5"/>
    <s v="DE4-N_A"/>
    <x v="1"/>
    <x v="9"/>
    <s v="AGG-DE4-N_ES_ELEC"/>
    <x v="0"/>
    <x v="0"/>
    <n v="0.27333333333333298"/>
    <n v="99.766666666666694"/>
    <n v="359.16"/>
  </r>
  <r>
    <x v="0"/>
    <x v="2"/>
    <x v="2"/>
    <x v="3"/>
    <x v="5"/>
    <s v="DE4-N_A"/>
    <x v="1"/>
    <x v="9"/>
    <s v="AGG-DE4-N_ES_ELEC"/>
    <x v="0"/>
    <x v="4"/>
    <n v="0.27333333333333298"/>
    <n v="99.766666666666694"/>
    <n v="359.16"/>
  </r>
  <r>
    <x v="0"/>
    <x v="2"/>
    <x v="2"/>
    <x v="3"/>
    <x v="5"/>
    <s v="DE4-N_A"/>
    <x v="1"/>
    <x v="9"/>
    <s v="AGG-DE4-N_ES_ELEC"/>
    <x v="0"/>
    <x v="5"/>
    <n v="0.27333333333333298"/>
    <n v="99.766666666666694"/>
    <n v="359.16"/>
  </r>
  <r>
    <x v="0"/>
    <x v="2"/>
    <x v="2"/>
    <x v="3"/>
    <x v="5"/>
    <s v="DE4-N_A"/>
    <x v="1"/>
    <x v="9"/>
    <s v="AGG-DE4-N_ES_ELEC"/>
    <x v="0"/>
    <x v="6"/>
    <n v="0.27333333333333298"/>
    <n v="99.766666666666694"/>
    <n v="359.16"/>
  </r>
  <r>
    <x v="0"/>
    <x v="2"/>
    <x v="2"/>
    <x v="3"/>
    <x v="5"/>
    <s v="DE4-N_A"/>
    <x v="1"/>
    <x v="9"/>
    <s v="AGG-DE4-N_ES_ELEC"/>
    <x v="0"/>
    <x v="7"/>
    <n v="0.27333333333333298"/>
    <n v="99.766666666666694"/>
    <n v="359.16"/>
  </r>
  <r>
    <x v="0"/>
    <x v="2"/>
    <x v="2"/>
    <x v="3"/>
    <x v="5"/>
    <s v="DE4-N_A"/>
    <x v="1"/>
    <x v="9"/>
    <s v="AGG-DE4-N_ES_ELEC"/>
    <x v="0"/>
    <x v="15"/>
    <n v="0.27333333333333298"/>
    <n v="99.766666666666694"/>
    <n v="359.16"/>
  </r>
  <r>
    <x v="0"/>
    <x v="2"/>
    <x v="2"/>
    <x v="3"/>
    <x v="5"/>
    <s v="DE4-N_A"/>
    <x v="1"/>
    <x v="9"/>
    <s v="AGG-DE4-N_ES_ELEC"/>
    <x v="0"/>
    <x v="16"/>
    <n v="0.27333333333333298"/>
    <n v="99.766666666666694"/>
    <n v="359.16"/>
  </r>
  <r>
    <x v="0"/>
    <x v="2"/>
    <x v="2"/>
    <x v="3"/>
    <x v="5"/>
    <s v="DE4-N_A"/>
    <x v="1"/>
    <x v="8"/>
    <s v="AGG-DE4-N_RES_WTR_PMP"/>
    <x v="0"/>
    <x v="0"/>
    <n v="119.1"/>
    <n v="43471.5"/>
    <n v="156497.4"/>
  </r>
  <r>
    <x v="0"/>
    <x v="2"/>
    <x v="2"/>
    <x v="3"/>
    <x v="5"/>
    <s v="DE4-N_A"/>
    <x v="1"/>
    <x v="8"/>
    <s v="AGG-DE4-N_RES_WTR_PMP"/>
    <x v="0"/>
    <x v="1"/>
    <n v="16.641369863013701"/>
    <n v="6074.1"/>
    <n v="21866.76"/>
  </r>
  <r>
    <x v="0"/>
    <x v="2"/>
    <x v="2"/>
    <x v="3"/>
    <x v="5"/>
    <s v="DE4-N_A"/>
    <x v="1"/>
    <x v="8"/>
    <s v="AGG-DE4-N_RES_WTR_PMP"/>
    <x v="0"/>
    <x v="6"/>
    <n v="119.1"/>
    <n v="43471.5"/>
    <n v="156497.4"/>
  </r>
  <r>
    <x v="0"/>
    <x v="2"/>
    <x v="2"/>
    <x v="3"/>
    <x v="5"/>
    <s v="DE4-N_A"/>
    <x v="1"/>
    <x v="8"/>
    <s v="AGG-DE4-N_RES_WTR_PMP"/>
    <x v="0"/>
    <x v="7"/>
    <n v="16.641369863013701"/>
    <n v="6074.1"/>
    <n v="21866.76"/>
  </r>
  <r>
    <x v="0"/>
    <x v="2"/>
    <x v="2"/>
    <x v="3"/>
    <x v="5"/>
    <s v="DE4-N_A"/>
    <x v="1"/>
    <x v="8"/>
    <s v="AGG-DE4-N_RES_WTR_PMP"/>
    <x v="0"/>
    <x v="10"/>
    <n v="119.1"/>
    <n v="43471.5"/>
    <n v="156497.4"/>
  </r>
  <r>
    <x v="0"/>
    <x v="2"/>
    <x v="2"/>
    <x v="3"/>
    <x v="5"/>
    <s v="DE4-N_A"/>
    <x v="1"/>
    <x v="8"/>
    <s v="AGG-DE4-N_RES_WTR_PMP"/>
    <x v="0"/>
    <x v="15"/>
    <n v="119.1"/>
    <n v="43471.5"/>
    <n v="156497.4"/>
  </r>
  <r>
    <x v="0"/>
    <x v="2"/>
    <x v="2"/>
    <x v="3"/>
    <x v="5"/>
    <s v="DE4-N_A"/>
    <x v="1"/>
    <x v="8"/>
    <s v="AGG-DE4-N_RES_WTR_PMP"/>
    <x v="0"/>
    <x v="16"/>
    <n v="16.641369863013701"/>
    <n v="6074.1"/>
    <n v="21866.76"/>
  </r>
  <r>
    <x v="0"/>
    <x v="2"/>
    <x v="2"/>
    <x v="3"/>
    <x v="5"/>
    <s v="DE4-N_A"/>
    <x v="1"/>
    <x v="8"/>
    <s v="AGG-DE4-N_RES_WTR_PMP"/>
    <x v="0"/>
    <x v="21"/>
    <n v="119.1"/>
    <n v="43471.5"/>
    <n v="156497.4"/>
  </r>
  <r>
    <x v="0"/>
    <x v="2"/>
    <x v="2"/>
    <x v="3"/>
    <x v="5"/>
    <s v="DE4-N_A"/>
    <x v="1"/>
    <x v="9"/>
    <s v="GNR_ES_ELEC_BAT-LITHIO_E-97_Y-30-50"/>
    <x v="0"/>
    <x v="0"/>
    <n v="4538.0425421699902"/>
    <n v="1656385.5278920501"/>
    <n v="5962987.9004113702"/>
  </r>
  <r>
    <x v="0"/>
    <x v="2"/>
    <x v="2"/>
    <x v="3"/>
    <x v="5"/>
    <s v="DE4-N_A"/>
    <x v="1"/>
    <x v="9"/>
    <s v="GNR_ES_ELEC_BAT-LITHIO_E-97_Y-30-50"/>
    <x v="0"/>
    <x v="1"/>
    <n v="4639.2117067720901"/>
    <n v="1693312.2729718101"/>
    <n v="6095924.1826985301"/>
  </r>
  <r>
    <x v="0"/>
    <x v="2"/>
    <x v="2"/>
    <x v="3"/>
    <x v="5"/>
    <s v="DE4-N_A"/>
    <x v="1"/>
    <x v="9"/>
    <s v="GNR_ES_ELEC_BAT-LITHIO_E-97_Y-30-50"/>
    <x v="0"/>
    <x v="18"/>
    <n v="4848.8264417251503"/>
    <n v="1769821.6512296801"/>
    <n v="6371357.9444268402"/>
  </r>
  <r>
    <x v="0"/>
    <x v="2"/>
    <x v="2"/>
    <x v="3"/>
    <x v="5"/>
    <s v="DE4-N_A"/>
    <x v="1"/>
    <x v="9"/>
    <s v="GNR_ES_ELEC_BAT-LITHIO_E-97_Y-30-50"/>
    <x v="0"/>
    <x v="2"/>
    <n v="4945.6015153267899"/>
    <n v="1805144.55309428"/>
    <n v="6498520.3911394002"/>
  </r>
  <r>
    <x v="0"/>
    <x v="2"/>
    <x v="2"/>
    <x v="3"/>
    <x v="5"/>
    <s v="DE4-N_A"/>
    <x v="1"/>
    <x v="9"/>
    <s v="GNR_ES_ELEC_BAT-LITHIO_E-97_Y-30-50"/>
    <x v="0"/>
    <x v="3"/>
    <n v="5314.9788405680301"/>
    <n v="1939967.2768073301"/>
    <n v="6983882.1965063903"/>
  </r>
  <r>
    <x v="0"/>
    <x v="2"/>
    <x v="2"/>
    <x v="3"/>
    <x v="5"/>
    <s v="DE4-N_A"/>
    <x v="1"/>
    <x v="9"/>
    <s v="GNR_ES_ELEC_BAT-LITHIO_E-97_Y-30-50"/>
    <x v="0"/>
    <x v="4"/>
    <n v="6091.1797974601704"/>
    <n v="2223280.62607296"/>
    <n v="8003810.2538626604"/>
  </r>
  <r>
    <x v="0"/>
    <x v="2"/>
    <x v="2"/>
    <x v="3"/>
    <x v="5"/>
    <s v="DE4-N_A"/>
    <x v="1"/>
    <x v="9"/>
    <s v="GNR_ES_ELEC_BAT-LITHIO_E-97_Y-30-50"/>
    <x v="0"/>
    <x v="5"/>
    <n v="7177.6446940236801"/>
    <n v="2619840.31331864"/>
    <n v="9431425.1279471107"/>
  </r>
  <r>
    <x v="0"/>
    <x v="2"/>
    <x v="2"/>
    <x v="3"/>
    <x v="5"/>
    <s v="DE4-N_A"/>
    <x v="1"/>
    <x v="9"/>
    <s v="GNR_ES_ELEC_BAT-LITHIO_E-97_Y-30-50"/>
    <x v="0"/>
    <x v="6"/>
    <n v="7177.6446940236801"/>
    <n v="2619840.31331864"/>
    <n v="9431425.1279471107"/>
  </r>
  <r>
    <x v="0"/>
    <x v="2"/>
    <x v="2"/>
    <x v="3"/>
    <x v="5"/>
    <s v="DE4-N_A"/>
    <x v="1"/>
    <x v="9"/>
    <s v="GNR_ES_ELEC_BAT-LITHIO_E-97_Y-30-50"/>
    <x v="0"/>
    <x v="7"/>
    <n v="7177.6446940236801"/>
    <n v="2619840.31331864"/>
    <n v="9431425.1279471107"/>
  </r>
  <r>
    <x v="0"/>
    <x v="2"/>
    <x v="2"/>
    <x v="3"/>
    <x v="5"/>
    <s v="DE4-N_A"/>
    <x v="1"/>
    <x v="9"/>
    <s v="GNR_ES_ELEC_BAT-LITHIO_E-97_Y-30-50"/>
    <x v="0"/>
    <x v="8"/>
    <n v="1315.30407650089"/>
    <n v="480085.98792282498"/>
    <n v="1728309.5565221701"/>
  </r>
  <r>
    <x v="0"/>
    <x v="2"/>
    <x v="2"/>
    <x v="3"/>
    <x v="5"/>
    <s v="DE4-N_A"/>
    <x v="1"/>
    <x v="9"/>
    <s v="GNR_ES_ELEC_BAT-LITHIO_E-97_Y-30-50"/>
    <x v="0"/>
    <x v="15"/>
    <n v="630.54686155276204"/>
    <n v="230149.604466758"/>
    <n v="828538.57608032995"/>
  </r>
  <r>
    <x v="0"/>
    <x v="2"/>
    <x v="2"/>
    <x v="3"/>
    <x v="5"/>
    <s v="DE4-N_A"/>
    <x v="1"/>
    <x v="9"/>
    <s v="GNR_ES_ELEC_BAT-LITHIO_E-97_Y-30-50"/>
    <x v="0"/>
    <x v="16"/>
    <n v="256.71052655981498"/>
    <n v="93699.342194332407"/>
    <n v="337317.63189959701"/>
  </r>
  <r>
    <x v="0"/>
    <x v="2"/>
    <x v="2"/>
    <x v="3"/>
    <x v="5"/>
    <s v="DE4-N_A"/>
    <x v="5"/>
    <x v="3"/>
    <s v="GNR_PV_SUN"/>
    <x v="0"/>
    <x v="7"/>
    <n v="34.148011717158198"/>
    <n v="12464.024276762801"/>
    <n v="44870.487396345903"/>
  </r>
  <r>
    <x v="0"/>
    <x v="2"/>
    <x v="2"/>
    <x v="3"/>
    <x v="5"/>
    <s v="DE4-N_A"/>
    <x v="5"/>
    <x v="3"/>
    <s v="GNR_PV_SUN"/>
    <x v="0"/>
    <x v="8"/>
    <n v="257.07323692711901"/>
    <n v="93831.731478398593"/>
    <n v="337794.233322235"/>
  </r>
  <r>
    <x v="0"/>
    <x v="2"/>
    <x v="2"/>
    <x v="3"/>
    <x v="5"/>
    <s v="DE4-N_A"/>
    <x v="5"/>
    <x v="3"/>
    <s v="GNR_PV_SUN"/>
    <x v="0"/>
    <x v="9"/>
    <n v="593.82516786094095"/>
    <n v="216746.186269244"/>
    <n v="780286.270569277"/>
  </r>
  <r>
    <x v="0"/>
    <x v="2"/>
    <x v="2"/>
    <x v="3"/>
    <x v="5"/>
    <s v="DE4-N_A"/>
    <x v="5"/>
    <x v="3"/>
    <s v="GNR_PV_SUN"/>
    <x v="0"/>
    <x v="10"/>
    <n v="904.30939747387197"/>
    <n v="330072.93007796298"/>
    <n v="1188262.5482806701"/>
  </r>
  <r>
    <x v="0"/>
    <x v="2"/>
    <x v="2"/>
    <x v="3"/>
    <x v="5"/>
    <s v="DE4-N_A"/>
    <x v="5"/>
    <x v="3"/>
    <s v="GNR_PV_SUN"/>
    <x v="0"/>
    <x v="11"/>
    <n v="1028.11782969967"/>
    <n v="375263.00784038001"/>
    <n v="1350946.82822537"/>
  </r>
  <r>
    <x v="0"/>
    <x v="2"/>
    <x v="2"/>
    <x v="3"/>
    <x v="5"/>
    <s v="DE4-N_A"/>
    <x v="5"/>
    <x v="3"/>
    <s v="GNR_PV_SUN"/>
    <x v="0"/>
    <x v="12"/>
    <n v="893.97743495432201"/>
    <n v="326301.763758327"/>
    <n v="1174686.34952998"/>
  </r>
  <r>
    <x v="0"/>
    <x v="2"/>
    <x v="2"/>
    <x v="3"/>
    <x v="5"/>
    <s v="DE4-N_A"/>
    <x v="5"/>
    <x v="3"/>
    <s v="GNR_PV_SUN"/>
    <x v="0"/>
    <x v="13"/>
    <n v="581.74202525333203"/>
    <n v="212335.83921746601"/>
    <n v="764409.02118287794"/>
  </r>
  <r>
    <x v="0"/>
    <x v="2"/>
    <x v="2"/>
    <x v="3"/>
    <x v="5"/>
    <s v="DE4-N_A"/>
    <x v="5"/>
    <x v="3"/>
    <s v="GNR_PV_SUN"/>
    <x v="0"/>
    <x v="14"/>
    <n v="294.54849081159"/>
    <n v="107510.199146231"/>
    <n v="387036.71692643"/>
  </r>
  <r>
    <x v="0"/>
    <x v="2"/>
    <x v="2"/>
    <x v="3"/>
    <x v="5"/>
    <s v="DE4-N_A"/>
    <x v="5"/>
    <x v="3"/>
    <s v="GNR_PV_SUN"/>
    <x v="0"/>
    <x v="15"/>
    <n v="38.350843928500801"/>
    <n v="13998.0580339028"/>
    <n v="50393.008922050001"/>
  </r>
  <r>
    <x v="0"/>
    <x v="2"/>
    <x v="2"/>
    <x v="3"/>
    <x v="5"/>
    <s v="DE4-N_A"/>
    <x v="5"/>
    <x v="3"/>
    <s v="GNR_PV_SUN_LS-4-MW_Y-2030"/>
    <x v="0"/>
    <x v="7"/>
    <n v="648.51228588504796"/>
    <n v="236706.98434804301"/>
    <n v="852145.14365295402"/>
  </r>
  <r>
    <x v="0"/>
    <x v="2"/>
    <x v="2"/>
    <x v="3"/>
    <x v="5"/>
    <s v="DE4-N_A"/>
    <x v="5"/>
    <x v="3"/>
    <s v="GNR_PV_SUN_LS-4-MW_Y-2030"/>
    <x v="0"/>
    <x v="8"/>
    <n v="4882.1335163038502"/>
    <n v="1781978.7334509101"/>
    <n v="6415123.4404232604"/>
  </r>
  <r>
    <x v="0"/>
    <x v="2"/>
    <x v="2"/>
    <x v="3"/>
    <x v="5"/>
    <s v="DE4-N_A"/>
    <x v="5"/>
    <x v="3"/>
    <s v="GNR_PV_SUN_LS-4-MW_Y-2030"/>
    <x v="0"/>
    <x v="9"/>
    <n v="11277.4623663395"/>
    <n v="4116273.7637139098"/>
    <n v="14818585.549370101"/>
  </r>
  <r>
    <x v="0"/>
    <x v="2"/>
    <x v="2"/>
    <x v="3"/>
    <x v="5"/>
    <s v="DE4-N_A"/>
    <x v="5"/>
    <x v="3"/>
    <s v="GNR_PV_SUN_LS-4-MW_Y-2030"/>
    <x v="0"/>
    <x v="10"/>
    <n v="17173.935611848199"/>
    <n v="6268486.4983245796"/>
    <n v="22566551.3939685"/>
  </r>
  <r>
    <x v="0"/>
    <x v="2"/>
    <x v="2"/>
    <x v="3"/>
    <x v="5"/>
    <s v="DE4-N_A"/>
    <x v="5"/>
    <x v="3"/>
    <s v="GNR_PV_SUN_LS-4-MW_Y-2030"/>
    <x v="0"/>
    <x v="11"/>
    <n v="19525.208361185199"/>
    <n v="7126701.0518326098"/>
    <n v="25656123.786597401"/>
  </r>
  <r>
    <x v="0"/>
    <x v="2"/>
    <x v="2"/>
    <x v="3"/>
    <x v="5"/>
    <s v="DE4-N_A"/>
    <x v="5"/>
    <x v="3"/>
    <s v="GNR_PV_SUN_LS-4-MW_Y-2030"/>
    <x v="0"/>
    <x v="12"/>
    <n v="16977.719074067601"/>
    <n v="6196867.4620346604"/>
    <n v="22308722.863324799"/>
  </r>
  <r>
    <x v="0"/>
    <x v="2"/>
    <x v="2"/>
    <x v="3"/>
    <x v="5"/>
    <s v="DE4-N_A"/>
    <x v="5"/>
    <x v="3"/>
    <s v="GNR_PV_SUN_LS-4-MW_Y-2030"/>
    <x v="0"/>
    <x v="13"/>
    <n v="11047.9887882571"/>
    <n v="4032515.90771383"/>
    <n v="14517057.2677698"/>
  </r>
  <r>
    <x v="0"/>
    <x v="2"/>
    <x v="2"/>
    <x v="3"/>
    <x v="5"/>
    <s v="DE4-N_A"/>
    <x v="5"/>
    <x v="3"/>
    <s v="GNR_PV_SUN_LS-4-MW_Y-2030"/>
    <x v="0"/>
    <x v="14"/>
    <n v="5593.8341787623103"/>
    <n v="2041749.4752482399"/>
    <n v="7350298.1108936798"/>
  </r>
  <r>
    <x v="0"/>
    <x v="2"/>
    <x v="2"/>
    <x v="3"/>
    <x v="5"/>
    <s v="DE4-N_A"/>
    <x v="5"/>
    <x v="3"/>
    <s v="GNR_PV_SUN_LS-4-MW_Y-2030"/>
    <x v="0"/>
    <x v="15"/>
    <n v="728.32918260936196"/>
    <n v="265840.15165241697"/>
    <n v="957024.54594870203"/>
  </r>
  <r>
    <x v="0"/>
    <x v="2"/>
    <x v="2"/>
    <x v="3"/>
    <x v="5"/>
    <s v="DE4-N_A"/>
    <x v="16"/>
    <x v="6"/>
    <s v="GNR_GEO_HEAT_EO"/>
    <x v="0"/>
    <x v="0"/>
    <n v="0.01"/>
    <n v="3.65"/>
    <n v="13.14"/>
  </r>
  <r>
    <x v="0"/>
    <x v="2"/>
    <x v="2"/>
    <x v="3"/>
    <x v="5"/>
    <s v="DE4-N_A"/>
    <x v="16"/>
    <x v="6"/>
    <s v="GNR_GEO_HEAT_EO"/>
    <x v="0"/>
    <x v="1"/>
    <n v="0.01"/>
    <n v="3.65"/>
    <n v="13.14"/>
  </r>
  <r>
    <x v="0"/>
    <x v="2"/>
    <x v="2"/>
    <x v="3"/>
    <x v="5"/>
    <s v="DE4-N_A"/>
    <x v="16"/>
    <x v="6"/>
    <s v="GNR_GEO_HEAT_EO"/>
    <x v="0"/>
    <x v="18"/>
    <n v="0.01"/>
    <n v="3.65"/>
    <n v="13.14"/>
  </r>
  <r>
    <x v="0"/>
    <x v="2"/>
    <x v="2"/>
    <x v="3"/>
    <x v="5"/>
    <s v="DE4-N_A"/>
    <x v="16"/>
    <x v="6"/>
    <s v="GNR_GEO_HEAT_EO"/>
    <x v="0"/>
    <x v="2"/>
    <n v="0.01"/>
    <n v="3.65"/>
    <n v="13.14"/>
  </r>
  <r>
    <x v="0"/>
    <x v="2"/>
    <x v="2"/>
    <x v="3"/>
    <x v="5"/>
    <s v="DE4-N_A"/>
    <x v="16"/>
    <x v="6"/>
    <s v="GNR_GEO_HEAT_EO"/>
    <x v="0"/>
    <x v="3"/>
    <n v="0.01"/>
    <n v="3.65"/>
    <n v="13.14"/>
  </r>
  <r>
    <x v="0"/>
    <x v="2"/>
    <x v="2"/>
    <x v="3"/>
    <x v="5"/>
    <s v="DE4-N_A"/>
    <x v="16"/>
    <x v="6"/>
    <s v="GNR_GEO_HEAT_EO"/>
    <x v="0"/>
    <x v="4"/>
    <n v="0.01"/>
    <n v="3.65"/>
    <n v="13.14"/>
  </r>
  <r>
    <x v="0"/>
    <x v="2"/>
    <x v="2"/>
    <x v="3"/>
    <x v="5"/>
    <s v="DE4-N_A"/>
    <x v="16"/>
    <x v="6"/>
    <s v="GNR_GEO_HEAT_EO"/>
    <x v="0"/>
    <x v="5"/>
    <n v="0.01"/>
    <n v="3.65"/>
    <n v="13.14"/>
  </r>
  <r>
    <x v="0"/>
    <x v="2"/>
    <x v="2"/>
    <x v="3"/>
    <x v="5"/>
    <s v="DE4-N_A"/>
    <x v="16"/>
    <x v="6"/>
    <s v="GNR_GEO_HEAT_EO"/>
    <x v="0"/>
    <x v="6"/>
    <n v="0.01"/>
    <n v="3.65"/>
    <n v="13.14"/>
  </r>
  <r>
    <x v="0"/>
    <x v="2"/>
    <x v="2"/>
    <x v="3"/>
    <x v="5"/>
    <s v="DE4-N_A"/>
    <x v="16"/>
    <x v="6"/>
    <s v="GNR_GEO_HEAT_EO"/>
    <x v="0"/>
    <x v="7"/>
    <n v="0.01"/>
    <n v="3.65"/>
    <n v="13.14"/>
  </r>
  <r>
    <x v="0"/>
    <x v="2"/>
    <x v="2"/>
    <x v="3"/>
    <x v="5"/>
    <s v="DE4-N_A"/>
    <x v="16"/>
    <x v="6"/>
    <s v="GNR_GEO_HEAT_EO"/>
    <x v="0"/>
    <x v="8"/>
    <n v="0.01"/>
    <n v="3.65"/>
    <n v="13.14"/>
  </r>
  <r>
    <x v="0"/>
    <x v="2"/>
    <x v="2"/>
    <x v="3"/>
    <x v="5"/>
    <s v="DE4-N_A"/>
    <x v="16"/>
    <x v="6"/>
    <s v="GNR_GEO_HEAT_EO"/>
    <x v="0"/>
    <x v="9"/>
    <n v="0.01"/>
    <n v="3.65"/>
    <n v="13.14"/>
  </r>
  <r>
    <x v="0"/>
    <x v="2"/>
    <x v="2"/>
    <x v="3"/>
    <x v="5"/>
    <s v="DE4-N_A"/>
    <x v="16"/>
    <x v="6"/>
    <s v="GNR_GEO_HEAT_EO"/>
    <x v="0"/>
    <x v="10"/>
    <n v="0.01"/>
    <n v="3.65"/>
    <n v="13.14"/>
  </r>
  <r>
    <x v="0"/>
    <x v="2"/>
    <x v="2"/>
    <x v="3"/>
    <x v="5"/>
    <s v="DE4-N_A"/>
    <x v="16"/>
    <x v="6"/>
    <s v="GNR_GEO_HEAT_EO"/>
    <x v="0"/>
    <x v="11"/>
    <n v="0.01"/>
    <n v="3.65"/>
    <n v="13.14"/>
  </r>
  <r>
    <x v="0"/>
    <x v="2"/>
    <x v="2"/>
    <x v="3"/>
    <x v="5"/>
    <s v="DE4-N_A"/>
    <x v="16"/>
    <x v="6"/>
    <s v="GNR_GEO_HEAT_EO"/>
    <x v="0"/>
    <x v="12"/>
    <n v="0.01"/>
    <n v="3.65"/>
    <n v="13.14"/>
  </r>
  <r>
    <x v="0"/>
    <x v="2"/>
    <x v="2"/>
    <x v="3"/>
    <x v="5"/>
    <s v="DE4-N_A"/>
    <x v="16"/>
    <x v="6"/>
    <s v="GNR_GEO_HEAT_EO"/>
    <x v="0"/>
    <x v="13"/>
    <n v="0.01"/>
    <n v="3.65"/>
    <n v="13.14"/>
  </r>
  <r>
    <x v="0"/>
    <x v="2"/>
    <x v="2"/>
    <x v="3"/>
    <x v="5"/>
    <s v="DE4-N_A"/>
    <x v="16"/>
    <x v="6"/>
    <s v="GNR_GEO_HEAT_EO"/>
    <x v="0"/>
    <x v="14"/>
    <n v="0.01"/>
    <n v="3.65"/>
    <n v="13.14"/>
  </r>
  <r>
    <x v="0"/>
    <x v="2"/>
    <x v="2"/>
    <x v="3"/>
    <x v="5"/>
    <s v="DE4-N_A"/>
    <x v="16"/>
    <x v="6"/>
    <s v="GNR_GEO_HEAT_EO"/>
    <x v="0"/>
    <x v="15"/>
    <n v="0.01"/>
    <n v="3.65"/>
    <n v="13.14"/>
  </r>
  <r>
    <x v="0"/>
    <x v="2"/>
    <x v="2"/>
    <x v="3"/>
    <x v="5"/>
    <s v="DE4-N_A"/>
    <x v="16"/>
    <x v="6"/>
    <s v="GNR_GEO_HEAT_EO"/>
    <x v="0"/>
    <x v="16"/>
    <n v="0.01"/>
    <n v="3.65"/>
    <n v="13.14"/>
  </r>
  <r>
    <x v="0"/>
    <x v="2"/>
    <x v="2"/>
    <x v="3"/>
    <x v="5"/>
    <s v="DE4-N_A"/>
    <x v="16"/>
    <x v="6"/>
    <s v="GNR_GEO_HEAT_EO"/>
    <x v="0"/>
    <x v="17"/>
    <n v="0.01"/>
    <n v="3.65"/>
    <n v="13.14"/>
  </r>
  <r>
    <x v="0"/>
    <x v="2"/>
    <x v="2"/>
    <x v="3"/>
    <x v="5"/>
    <s v="DE4-N_A"/>
    <x v="16"/>
    <x v="6"/>
    <s v="GNR_GEO_HEAT_EO"/>
    <x v="0"/>
    <x v="19"/>
    <n v="0.01"/>
    <n v="3.65"/>
    <n v="13.14"/>
  </r>
  <r>
    <x v="0"/>
    <x v="2"/>
    <x v="2"/>
    <x v="3"/>
    <x v="5"/>
    <s v="DE4-N_A"/>
    <x v="16"/>
    <x v="6"/>
    <s v="GNR_GEO_HEAT_EO"/>
    <x v="0"/>
    <x v="20"/>
    <n v="0.01"/>
    <n v="3.65"/>
    <n v="13.14"/>
  </r>
  <r>
    <x v="0"/>
    <x v="2"/>
    <x v="2"/>
    <x v="3"/>
    <x v="5"/>
    <s v="DE4-N_A"/>
    <x v="16"/>
    <x v="6"/>
    <s v="GNR_GEO_HEAT_EO"/>
    <x v="0"/>
    <x v="21"/>
    <n v="0.01"/>
    <n v="3.65"/>
    <n v="13.14"/>
  </r>
  <r>
    <x v="0"/>
    <x v="2"/>
    <x v="2"/>
    <x v="3"/>
    <x v="5"/>
    <s v="DE4-N_A"/>
    <x v="16"/>
    <x v="6"/>
    <s v="GNR_GEO_HEAT_EO"/>
    <x v="0"/>
    <x v="22"/>
    <n v="0.01"/>
    <n v="3.65"/>
    <n v="13.14"/>
  </r>
  <r>
    <x v="0"/>
    <x v="2"/>
    <x v="2"/>
    <x v="3"/>
    <x v="5"/>
    <s v="DE4-N_A"/>
    <x v="16"/>
    <x v="6"/>
    <s v="GNR_GEO_HEAT_EO"/>
    <x v="0"/>
    <x v="23"/>
    <n v="0.01"/>
    <n v="3.65"/>
    <n v="13.14"/>
  </r>
  <r>
    <x v="0"/>
    <x v="2"/>
    <x v="2"/>
    <x v="3"/>
    <x v="5"/>
    <s v="DE4-N_A"/>
    <x v="6"/>
    <x v="4"/>
    <s v="GNR_ROR_WTR"/>
    <x v="0"/>
    <x v="0"/>
    <n v="2.66860730593607"/>
    <n v="974.04166666666595"/>
    <n v="3506.55"/>
  </r>
  <r>
    <x v="0"/>
    <x v="2"/>
    <x v="2"/>
    <x v="3"/>
    <x v="5"/>
    <s v="DE4-N_A"/>
    <x v="6"/>
    <x v="4"/>
    <s v="GNR_ROR_WTR"/>
    <x v="0"/>
    <x v="1"/>
    <n v="2.66860730593607"/>
    <n v="974.04166666666595"/>
    <n v="3506.55"/>
  </r>
  <r>
    <x v="0"/>
    <x v="2"/>
    <x v="2"/>
    <x v="3"/>
    <x v="5"/>
    <s v="DE4-N_A"/>
    <x v="6"/>
    <x v="4"/>
    <s v="GNR_ROR_WTR"/>
    <x v="0"/>
    <x v="18"/>
    <n v="2.66860730593607"/>
    <n v="974.04166666666595"/>
    <n v="3506.55"/>
  </r>
  <r>
    <x v="0"/>
    <x v="2"/>
    <x v="2"/>
    <x v="3"/>
    <x v="5"/>
    <s v="DE4-N_A"/>
    <x v="6"/>
    <x v="4"/>
    <s v="GNR_ROR_WTR"/>
    <x v="0"/>
    <x v="2"/>
    <n v="2.66860730593607"/>
    <n v="974.04166666666595"/>
    <n v="3506.55"/>
  </r>
  <r>
    <x v="0"/>
    <x v="2"/>
    <x v="2"/>
    <x v="3"/>
    <x v="5"/>
    <s v="DE4-N_A"/>
    <x v="6"/>
    <x v="4"/>
    <s v="GNR_ROR_WTR"/>
    <x v="0"/>
    <x v="3"/>
    <n v="2.66860730593607"/>
    <n v="974.04166666666595"/>
    <n v="3506.55"/>
  </r>
  <r>
    <x v="0"/>
    <x v="2"/>
    <x v="2"/>
    <x v="3"/>
    <x v="5"/>
    <s v="DE4-N_A"/>
    <x v="6"/>
    <x v="4"/>
    <s v="GNR_ROR_WTR"/>
    <x v="0"/>
    <x v="4"/>
    <n v="2.66860730593607"/>
    <n v="974.04166666666595"/>
    <n v="3506.55"/>
  </r>
  <r>
    <x v="0"/>
    <x v="2"/>
    <x v="2"/>
    <x v="3"/>
    <x v="5"/>
    <s v="DE4-N_A"/>
    <x v="6"/>
    <x v="4"/>
    <s v="GNR_ROR_WTR"/>
    <x v="0"/>
    <x v="5"/>
    <n v="2.66860730593607"/>
    <n v="974.04166666666595"/>
    <n v="3506.55"/>
  </r>
  <r>
    <x v="0"/>
    <x v="2"/>
    <x v="2"/>
    <x v="3"/>
    <x v="5"/>
    <s v="DE4-N_A"/>
    <x v="6"/>
    <x v="4"/>
    <s v="GNR_ROR_WTR"/>
    <x v="0"/>
    <x v="6"/>
    <n v="2.66860730593607"/>
    <n v="974.04166666666595"/>
    <n v="3506.55"/>
  </r>
  <r>
    <x v="0"/>
    <x v="2"/>
    <x v="2"/>
    <x v="3"/>
    <x v="5"/>
    <s v="DE4-N_A"/>
    <x v="6"/>
    <x v="4"/>
    <s v="GNR_ROR_WTR"/>
    <x v="0"/>
    <x v="7"/>
    <n v="2.66860730593607"/>
    <n v="974.04166666666595"/>
    <n v="3506.55"/>
  </r>
  <r>
    <x v="0"/>
    <x v="2"/>
    <x v="2"/>
    <x v="3"/>
    <x v="5"/>
    <s v="DE4-N_A"/>
    <x v="6"/>
    <x v="4"/>
    <s v="GNR_ROR_WTR"/>
    <x v="0"/>
    <x v="8"/>
    <n v="2.66860730593607"/>
    <n v="974.04166666666595"/>
    <n v="3506.55"/>
  </r>
  <r>
    <x v="0"/>
    <x v="2"/>
    <x v="2"/>
    <x v="3"/>
    <x v="5"/>
    <s v="DE4-N_A"/>
    <x v="6"/>
    <x v="4"/>
    <s v="GNR_ROR_WTR"/>
    <x v="0"/>
    <x v="9"/>
    <n v="2.66860730593607"/>
    <n v="974.04166666666595"/>
    <n v="3506.55"/>
  </r>
  <r>
    <x v="0"/>
    <x v="2"/>
    <x v="2"/>
    <x v="3"/>
    <x v="5"/>
    <s v="DE4-N_A"/>
    <x v="6"/>
    <x v="4"/>
    <s v="GNR_ROR_WTR"/>
    <x v="0"/>
    <x v="10"/>
    <n v="2.66860730593607"/>
    <n v="974.04166666666595"/>
    <n v="3506.55"/>
  </r>
  <r>
    <x v="0"/>
    <x v="2"/>
    <x v="2"/>
    <x v="3"/>
    <x v="5"/>
    <s v="DE4-N_A"/>
    <x v="6"/>
    <x v="4"/>
    <s v="GNR_ROR_WTR"/>
    <x v="0"/>
    <x v="11"/>
    <n v="2.66860730593607"/>
    <n v="974.04166666666595"/>
    <n v="3506.55"/>
  </r>
  <r>
    <x v="0"/>
    <x v="2"/>
    <x v="2"/>
    <x v="3"/>
    <x v="5"/>
    <s v="DE4-N_A"/>
    <x v="6"/>
    <x v="4"/>
    <s v="GNR_ROR_WTR"/>
    <x v="0"/>
    <x v="12"/>
    <n v="2.66860730593607"/>
    <n v="974.04166666666595"/>
    <n v="3506.55"/>
  </r>
  <r>
    <x v="0"/>
    <x v="2"/>
    <x v="2"/>
    <x v="3"/>
    <x v="5"/>
    <s v="DE4-N_A"/>
    <x v="6"/>
    <x v="4"/>
    <s v="GNR_ROR_WTR"/>
    <x v="0"/>
    <x v="13"/>
    <n v="2.66860730593607"/>
    <n v="974.04166666666595"/>
    <n v="3506.55"/>
  </r>
  <r>
    <x v="0"/>
    <x v="2"/>
    <x v="2"/>
    <x v="3"/>
    <x v="5"/>
    <s v="DE4-N_A"/>
    <x v="6"/>
    <x v="4"/>
    <s v="GNR_ROR_WTR"/>
    <x v="0"/>
    <x v="14"/>
    <n v="2.66860730593607"/>
    <n v="974.04166666666595"/>
    <n v="3506.55"/>
  </r>
  <r>
    <x v="0"/>
    <x v="2"/>
    <x v="2"/>
    <x v="3"/>
    <x v="5"/>
    <s v="DE4-N_A"/>
    <x v="6"/>
    <x v="4"/>
    <s v="GNR_ROR_WTR"/>
    <x v="0"/>
    <x v="15"/>
    <n v="2.66860730593607"/>
    <n v="974.04166666666595"/>
    <n v="3506.55"/>
  </r>
  <r>
    <x v="0"/>
    <x v="2"/>
    <x v="2"/>
    <x v="3"/>
    <x v="5"/>
    <s v="DE4-N_A"/>
    <x v="6"/>
    <x v="4"/>
    <s v="GNR_ROR_WTR"/>
    <x v="0"/>
    <x v="16"/>
    <n v="2.66860730593607"/>
    <n v="974.04166666666595"/>
    <n v="3506.55"/>
  </r>
  <r>
    <x v="0"/>
    <x v="2"/>
    <x v="2"/>
    <x v="3"/>
    <x v="5"/>
    <s v="DE4-N_A"/>
    <x v="6"/>
    <x v="4"/>
    <s v="GNR_ROR_WTR"/>
    <x v="0"/>
    <x v="17"/>
    <n v="2.66860730593607"/>
    <n v="974.04166666666595"/>
    <n v="3506.55"/>
  </r>
  <r>
    <x v="0"/>
    <x v="2"/>
    <x v="2"/>
    <x v="3"/>
    <x v="5"/>
    <s v="DE4-N_A"/>
    <x v="6"/>
    <x v="4"/>
    <s v="GNR_ROR_WTR"/>
    <x v="0"/>
    <x v="19"/>
    <n v="2.66860730593607"/>
    <n v="974.04166666666595"/>
    <n v="3506.55"/>
  </r>
  <r>
    <x v="0"/>
    <x v="2"/>
    <x v="2"/>
    <x v="3"/>
    <x v="5"/>
    <s v="DE4-N_A"/>
    <x v="6"/>
    <x v="4"/>
    <s v="GNR_ROR_WTR"/>
    <x v="0"/>
    <x v="20"/>
    <n v="2.66860730593607"/>
    <n v="974.04166666666595"/>
    <n v="3506.55"/>
  </r>
  <r>
    <x v="0"/>
    <x v="2"/>
    <x v="2"/>
    <x v="3"/>
    <x v="5"/>
    <s v="DE4-N_A"/>
    <x v="6"/>
    <x v="4"/>
    <s v="GNR_ROR_WTR"/>
    <x v="0"/>
    <x v="21"/>
    <n v="2.66860730593607"/>
    <n v="974.04166666666595"/>
    <n v="3506.55"/>
  </r>
  <r>
    <x v="0"/>
    <x v="2"/>
    <x v="2"/>
    <x v="3"/>
    <x v="5"/>
    <s v="DE4-N_A"/>
    <x v="6"/>
    <x v="4"/>
    <s v="GNR_ROR_WTR"/>
    <x v="0"/>
    <x v="22"/>
    <n v="2.66860730593607"/>
    <n v="974.04166666666595"/>
    <n v="3506.55"/>
  </r>
  <r>
    <x v="0"/>
    <x v="2"/>
    <x v="2"/>
    <x v="3"/>
    <x v="5"/>
    <s v="DE4-N_A"/>
    <x v="6"/>
    <x v="4"/>
    <s v="GNR_ROR_WTR"/>
    <x v="0"/>
    <x v="23"/>
    <n v="2.66860730593607"/>
    <n v="974.04166666666595"/>
    <n v="3506.55"/>
  </r>
  <r>
    <x v="0"/>
    <x v="2"/>
    <x v="2"/>
    <x v="3"/>
    <x v="5"/>
    <s v="DE4-N_A"/>
    <x v="7"/>
    <x v="5"/>
    <s v="GNR_WT_WIND_ONS"/>
    <x v="0"/>
    <x v="0"/>
    <n v="1084.17598334491"/>
    <n v="395724.23392089101"/>
    <n v="1424607.24211521"/>
  </r>
  <r>
    <x v="0"/>
    <x v="2"/>
    <x v="2"/>
    <x v="3"/>
    <x v="5"/>
    <s v="DE4-N_A"/>
    <x v="7"/>
    <x v="5"/>
    <s v="GNR_WT_WIND_ONS"/>
    <x v="0"/>
    <x v="1"/>
    <n v="1049.03964848838"/>
    <n v="382899.47169825999"/>
    <n v="1378438.0981137401"/>
  </r>
  <r>
    <x v="0"/>
    <x v="2"/>
    <x v="2"/>
    <x v="3"/>
    <x v="5"/>
    <s v="DE4-N_A"/>
    <x v="7"/>
    <x v="5"/>
    <s v="GNR_WT_WIND_ONS"/>
    <x v="0"/>
    <x v="18"/>
    <n v="1019.0980079022301"/>
    <n v="371970.77288431401"/>
    <n v="1339094.7823835299"/>
  </r>
  <r>
    <x v="0"/>
    <x v="2"/>
    <x v="2"/>
    <x v="3"/>
    <x v="5"/>
    <s v="DE4-N_A"/>
    <x v="7"/>
    <x v="5"/>
    <s v="GNR_WT_WIND_ONS"/>
    <x v="0"/>
    <x v="2"/>
    <n v="967.728253450804"/>
    <n v="353220.81250954297"/>
    <n v="1271594.92503436"/>
  </r>
  <r>
    <x v="0"/>
    <x v="2"/>
    <x v="2"/>
    <x v="3"/>
    <x v="5"/>
    <s v="DE4-N_A"/>
    <x v="7"/>
    <x v="5"/>
    <s v="GNR_WT_WIND_ONS"/>
    <x v="0"/>
    <x v="3"/>
    <n v="881.51075826898705"/>
    <n v="321751.42676817998"/>
    <n v="1158305.13636545"/>
  </r>
  <r>
    <x v="0"/>
    <x v="2"/>
    <x v="2"/>
    <x v="3"/>
    <x v="5"/>
    <s v="DE4-N_A"/>
    <x v="7"/>
    <x v="5"/>
    <s v="GNR_WT_WIND_ONS"/>
    <x v="0"/>
    <x v="4"/>
    <n v="804.38397806031503"/>
    <n v="293600.15199201502"/>
    <n v="1056960.54717125"/>
  </r>
  <r>
    <x v="0"/>
    <x v="2"/>
    <x v="2"/>
    <x v="3"/>
    <x v="5"/>
    <s v="DE4-N_A"/>
    <x v="7"/>
    <x v="5"/>
    <s v="GNR_WT_WIND_ONS"/>
    <x v="0"/>
    <x v="5"/>
    <n v="663.04500478736202"/>
    <n v="242011.42674738701"/>
    <n v="871241.136290594"/>
  </r>
  <r>
    <x v="0"/>
    <x v="2"/>
    <x v="2"/>
    <x v="3"/>
    <x v="5"/>
    <s v="DE4-N_A"/>
    <x v="7"/>
    <x v="5"/>
    <s v="GNR_WT_WIND_ONS"/>
    <x v="0"/>
    <x v="6"/>
    <n v="641.18399973289297"/>
    <n v="234032.15990250601"/>
    <n v="842515.77564902103"/>
  </r>
  <r>
    <x v="0"/>
    <x v="2"/>
    <x v="2"/>
    <x v="3"/>
    <x v="5"/>
    <s v="DE4-N_A"/>
    <x v="7"/>
    <x v="5"/>
    <s v="GNR_WT_WIND_ONS"/>
    <x v="0"/>
    <x v="7"/>
    <n v="689.30707026533798"/>
    <n v="251597.08064684799"/>
    <n v="905749.49032865395"/>
  </r>
  <r>
    <x v="0"/>
    <x v="2"/>
    <x v="2"/>
    <x v="3"/>
    <x v="5"/>
    <s v="DE4-N_A"/>
    <x v="7"/>
    <x v="5"/>
    <s v="GNR_WT_WIND_ONS"/>
    <x v="0"/>
    <x v="8"/>
    <n v="743.49061744654705"/>
    <n v="271374.07536799001"/>
    <n v="976946.67132476298"/>
  </r>
  <r>
    <x v="0"/>
    <x v="2"/>
    <x v="2"/>
    <x v="3"/>
    <x v="5"/>
    <s v="DE4-N_A"/>
    <x v="7"/>
    <x v="5"/>
    <s v="GNR_WT_WIND_ONS"/>
    <x v="0"/>
    <x v="9"/>
    <n v="857.84603992619498"/>
    <n v="313113.804573061"/>
    <n v="1127209.6964630201"/>
  </r>
  <r>
    <x v="0"/>
    <x v="2"/>
    <x v="2"/>
    <x v="3"/>
    <x v="5"/>
    <s v="DE4-N_A"/>
    <x v="7"/>
    <x v="5"/>
    <s v="GNR_WT_WIND_ONS"/>
    <x v="0"/>
    <x v="10"/>
    <n v="945.00146601793995"/>
    <n v="344925.53509654797"/>
    <n v="1241731.92634757"/>
  </r>
  <r>
    <x v="0"/>
    <x v="2"/>
    <x v="2"/>
    <x v="3"/>
    <x v="5"/>
    <s v="DE4-N_A"/>
    <x v="7"/>
    <x v="5"/>
    <s v="GNR_WT_WIND_ONS"/>
    <x v="0"/>
    <x v="11"/>
    <n v="1162.8900312472999"/>
    <n v="424454.86140526499"/>
    <n v="1528037.5010589501"/>
  </r>
  <r>
    <x v="0"/>
    <x v="2"/>
    <x v="2"/>
    <x v="3"/>
    <x v="5"/>
    <s v="DE4-N_A"/>
    <x v="7"/>
    <x v="5"/>
    <s v="GNR_WT_WIND_ONS"/>
    <x v="0"/>
    <x v="12"/>
    <n v="1358.9175914221901"/>
    <n v="496004.92086910101"/>
    <n v="1785617.7151287601"/>
  </r>
  <r>
    <x v="0"/>
    <x v="2"/>
    <x v="2"/>
    <x v="3"/>
    <x v="5"/>
    <s v="DE4-N_A"/>
    <x v="7"/>
    <x v="5"/>
    <s v="GNR_WT_WIND_ONS"/>
    <x v="0"/>
    <x v="13"/>
    <n v="1582.2894450480601"/>
    <n v="577535.64744254097"/>
    <n v="2079128.33079315"/>
  </r>
  <r>
    <x v="0"/>
    <x v="2"/>
    <x v="2"/>
    <x v="3"/>
    <x v="5"/>
    <s v="DE4-N_A"/>
    <x v="7"/>
    <x v="5"/>
    <s v="GNR_WT_WIND_ONS"/>
    <x v="0"/>
    <x v="14"/>
    <n v="1802.7753574126"/>
    <n v="658013.00545559998"/>
    <n v="2368846.8196401601"/>
  </r>
  <r>
    <x v="0"/>
    <x v="2"/>
    <x v="2"/>
    <x v="3"/>
    <x v="5"/>
    <s v="DE4-N_A"/>
    <x v="7"/>
    <x v="5"/>
    <s v="GNR_WT_WIND_ONS"/>
    <x v="0"/>
    <x v="15"/>
    <n v="2097.14136606684"/>
    <n v="765456.59861439595"/>
    <n v="2755643.75501183"/>
  </r>
  <r>
    <x v="0"/>
    <x v="2"/>
    <x v="2"/>
    <x v="3"/>
    <x v="5"/>
    <s v="DE4-N_A"/>
    <x v="7"/>
    <x v="5"/>
    <s v="GNR_WT_WIND_ONS"/>
    <x v="0"/>
    <x v="16"/>
    <n v="2366.03894308996"/>
    <n v="863604.214227836"/>
    <n v="3108975.1712202099"/>
  </r>
  <r>
    <x v="0"/>
    <x v="2"/>
    <x v="2"/>
    <x v="3"/>
    <x v="5"/>
    <s v="DE4-N_A"/>
    <x v="7"/>
    <x v="5"/>
    <s v="GNR_WT_WIND_ONS"/>
    <x v="0"/>
    <x v="17"/>
    <n v="2654.2001780323699"/>
    <n v="968783.06498181506"/>
    <n v="3487619.0339345299"/>
  </r>
  <r>
    <x v="0"/>
    <x v="2"/>
    <x v="2"/>
    <x v="3"/>
    <x v="5"/>
    <s v="DE4-N_A"/>
    <x v="7"/>
    <x v="5"/>
    <s v="GNR_WT_WIND_ONS"/>
    <x v="0"/>
    <x v="19"/>
    <n v="2943.8043836054298"/>
    <n v="1074488.60001598"/>
    <n v="3868158.9600575399"/>
  </r>
  <r>
    <x v="0"/>
    <x v="2"/>
    <x v="2"/>
    <x v="3"/>
    <x v="5"/>
    <s v="DE4-N_A"/>
    <x v="7"/>
    <x v="5"/>
    <s v="GNR_WT_WIND_ONS"/>
    <x v="0"/>
    <x v="20"/>
    <n v="3191.1295497002202"/>
    <n v="1164762.2856405801"/>
    <n v="4193144.22830609"/>
  </r>
  <r>
    <x v="0"/>
    <x v="2"/>
    <x v="2"/>
    <x v="3"/>
    <x v="5"/>
    <s v="DE4-N_A"/>
    <x v="7"/>
    <x v="5"/>
    <s v="GNR_WT_WIND_ONS"/>
    <x v="0"/>
    <x v="21"/>
    <n v="3463.20166211079"/>
    <n v="1264068.6066704399"/>
    <n v="4550646.9840135798"/>
  </r>
  <r>
    <x v="0"/>
    <x v="2"/>
    <x v="2"/>
    <x v="3"/>
    <x v="5"/>
    <s v="DE4-N_A"/>
    <x v="7"/>
    <x v="5"/>
    <s v="GNR_WT_WIND_ONS"/>
    <x v="0"/>
    <x v="22"/>
    <n v="3806.5565236758698"/>
    <n v="1389393.1311416901"/>
    <n v="5001815.2721100897"/>
  </r>
  <r>
    <x v="0"/>
    <x v="2"/>
    <x v="2"/>
    <x v="3"/>
    <x v="5"/>
    <s v="DE4-N_A"/>
    <x v="7"/>
    <x v="5"/>
    <s v="GNR_WT_WIND_ONS"/>
    <x v="0"/>
    <x v="23"/>
    <n v="4030.50556555399"/>
    <n v="1471134.53142721"/>
    <n v="5296084.3131379504"/>
  </r>
  <r>
    <x v="0"/>
    <x v="2"/>
    <x v="2"/>
    <x v="3"/>
    <x v="5"/>
    <s v="DE4-N_Offshore_A"/>
    <x v="7"/>
    <x v="5"/>
    <s v="GNR_WT_WIND_OFF"/>
    <x v="0"/>
    <x v="0"/>
    <n v="586.61120329681899"/>
    <n v="214113.08920333901"/>
    <n v="770807.12113202002"/>
  </r>
  <r>
    <x v="0"/>
    <x v="2"/>
    <x v="2"/>
    <x v="3"/>
    <x v="5"/>
    <s v="DE4-N_Offshore_A"/>
    <x v="7"/>
    <x v="5"/>
    <s v="GNR_WT_WIND_OFF"/>
    <x v="0"/>
    <x v="1"/>
    <n v="567.60011285923702"/>
    <n v="207174.041193621"/>
    <n v="745826.54829703702"/>
  </r>
  <r>
    <x v="0"/>
    <x v="2"/>
    <x v="2"/>
    <x v="3"/>
    <x v="5"/>
    <s v="DE4-N_Offshore_A"/>
    <x v="7"/>
    <x v="5"/>
    <s v="GNR_WT_WIND_OFF"/>
    <x v="0"/>
    <x v="18"/>
    <n v="551.39969698326797"/>
    <n v="201260.88939889299"/>
    <n v="724539.20183601405"/>
  </r>
  <r>
    <x v="0"/>
    <x v="2"/>
    <x v="2"/>
    <x v="3"/>
    <x v="5"/>
    <s v="DE4-N_Offshore_A"/>
    <x v="7"/>
    <x v="5"/>
    <s v="GNR_WT_WIND_OFF"/>
    <x v="0"/>
    <x v="2"/>
    <n v="523.60524854064204"/>
    <n v="191115.91571733399"/>
    <n v="688017.29658240394"/>
  </r>
  <r>
    <x v="0"/>
    <x v="2"/>
    <x v="2"/>
    <x v="3"/>
    <x v="5"/>
    <s v="DE4-N_Offshore_A"/>
    <x v="7"/>
    <x v="5"/>
    <s v="GNR_WT_WIND_OFF"/>
    <x v="0"/>
    <x v="3"/>
    <n v="476.95585824719097"/>
    <n v="174088.88826022501"/>
    <n v="626719.99773680803"/>
  </r>
  <r>
    <x v="0"/>
    <x v="2"/>
    <x v="2"/>
    <x v="3"/>
    <x v="5"/>
    <s v="DE4-N_Offshore_A"/>
    <x v="7"/>
    <x v="5"/>
    <s v="GNR_WT_WIND_OFF"/>
    <x v="0"/>
    <x v="4"/>
    <n v="435.22514843656302"/>
    <n v="158857.17917934601"/>
    <n v="571885.84504564398"/>
  </r>
  <r>
    <x v="0"/>
    <x v="2"/>
    <x v="2"/>
    <x v="3"/>
    <x v="5"/>
    <s v="DE4-N_Offshore_A"/>
    <x v="7"/>
    <x v="5"/>
    <s v="GNR_WT_WIND_OFF"/>
    <x v="0"/>
    <x v="5"/>
    <n v="358.75137807265401"/>
    <n v="130944.252996519"/>
    <n v="471399.31078746699"/>
  </r>
  <r>
    <x v="0"/>
    <x v="2"/>
    <x v="2"/>
    <x v="3"/>
    <x v="5"/>
    <s v="DE4-N_Offshore_A"/>
    <x v="7"/>
    <x v="5"/>
    <s v="GNR_WT_WIND_OFF"/>
    <x v="0"/>
    <x v="6"/>
    <n v="346.92312262586199"/>
    <n v="126626.93975844"/>
    <n v="455856.98313038301"/>
  </r>
  <r>
    <x v="0"/>
    <x v="2"/>
    <x v="2"/>
    <x v="3"/>
    <x v="5"/>
    <s v="DE4-N_Offshore_A"/>
    <x v="7"/>
    <x v="5"/>
    <s v="GNR_WT_WIND_OFF"/>
    <x v="0"/>
    <x v="7"/>
    <n v="372.96089946747901"/>
    <n v="136130.72830563001"/>
    <n v="490070.62190026703"/>
  </r>
  <r>
    <x v="0"/>
    <x v="2"/>
    <x v="2"/>
    <x v="3"/>
    <x v="5"/>
    <s v="DE4-N_Offshore_A"/>
    <x v="7"/>
    <x v="5"/>
    <s v="GNR_WT_WIND_OFF"/>
    <x v="0"/>
    <x v="8"/>
    <n v="402.27779663097903"/>
    <n v="146831.39577030699"/>
    <n v="528593.02477310598"/>
  </r>
  <r>
    <x v="0"/>
    <x v="2"/>
    <x v="2"/>
    <x v="3"/>
    <x v="5"/>
    <s v="DE4-N_Offshore_A"/>
    <x v="7"/>
    <x v="5"/>
    <s v="GNR_WT_WIND_OFF"/>
    <x v="0"/>
    <x v="9"/>
    <n v="464.15167413317198"/>
    <n v="169415.36105860799"/>
    <n v="609895.29981098801"/>
  </r>
  <r>
    <x v="0"/>
    <x v="2"/>
    <x v="2"/>
    <x v="3"/>
    <x v="5"/>
    <s v="DE4-N_Offshore_A"/>
    <x v="7"/>
    <x v="5"/>
    <s v="GNR_WT_WIND_OFF"/>
    <x v="0"/>
    <x v="10"/>
    <n v="511.308547333582"/>
    <n v="186627.619776757"/>
    <n v="671859.43119632697"/>
  </r>
  <r>
    <x v="0"/>
    <x v="2"/>
    <x v="2"/>
    <x v="3"/>
    <x v="5"/>
    <s v="DE4-N_Offshore_A"/>
    <x v="7"/>
    <x v="5"/>
    <s v="GNR_WT_WIND_OFF"/>
    <x v="0"/>
    <x v="11"/>
    <n v="629.20073033460596"/>
    <n v="229658.26657213099"/>
    <n v="826769.75965967297"/>
  </r>
  <r>
    <x v="0"/>
    <x v="2"/>
    <x v="2"/>
    <x v="3"/>
    <x v="5"/>
    <s v="DE4-N_Offshore_A"/>
    <x v="7"/>
    <x v="5"/>
    <s v="GNR_WT_WIND_OFF"/>
    <x v="0"/>
    <x v="12"/>
    <n v="735.264657888839"/>
    <n v="268371.60012942599"/>
    <n v="966137.76046593499"/>
  </r>
  <r>
    <x v="0"/>
    <x v="2"/>
    <x v="2"/>
    <x v="3"/>
    <x v="5"/>
    <s v="DE4-N_Offshore_A"/>
    <x v="7"/>
    <x v="5"/>
    <s v="GNR_WT_WIND_OFF"/>
    <x v="0"/>
    <x v="13"/>
    <n v="856.12366403823398"/>
    <n v="312485.13737395499"/>
    <n v="1124946.49454624"/>
  </r>
  <r>
    <x v="0"/>
    <x v="2"/>
    <x v="2"/>
    <x v="3"/>
    <x v="5"/>
    <s v="DE4-N_Offshore_A"/>
    <x v="7"/>
    <x v="5"/>
    <s v="GNR_WT_WIND_OFF"/>
    <x v="0"/>
    <x v="14"/>
    <n v="975.42118432006498"/>
    <n v="356028.73227682401"/>
    <n v="1281703.4361965701"/>
  </r>
  <r>
    <x v="0"/>
    <x v="2"/>
    <x v="2"/>
    <x v="3"/>
    <x v="5"/>
    <s v="DE4-N_Offshore_A"/>
    <x v="7"/>
    <x v="5"/>
    <s v="GNR_WT_WIND_OFF"/>
    <x v="0"/>
    <x v="15"/>
    <n v="1134.69274281152"/>
    <n v="414162.85112620302"/>
    <n v="1490986.2640543301"/>
  </r>
  <r>
    <x v="0"/>
    <x v="2"/>
    <x v="2"/>
    <x v="3"/>
    <x v="5"/>
    <s v="DE4-N_Offshore_A"/>
    <x v="7"/>
    <x v="5"/>
    <s v="GNR_WT_WIND_OFF"/>
    <x v="0"/>
    <x v="16"/>
    <n v="1280.18418852172"/>
    <n v="467267.228810428"/>
    <n v="1682162.0237175401"/>
  </r>
  <r>
    <x v="0"/>
    <x v="2"/>
    <x v="2"/>
    <x v="3"/>
    <x v="5"/>
    <s v="DE4-N_Offshore_A"/>
    <x v="7"/>
    <x v="5"/>
    <s v="GNR_WT_WIND_OFF"/>
    <x v="0"/>
    <x v="17"/>
    <n v="1436.09855239791"/>
    <n v="524175.97162523703"/>
    <n v="1887033.49785085"/>
  </r>
  <r>
    <x v="0"/>
    <x v="2"/>
    <x v="2"/>
    <x v="3"/>
    <x v="5"/>
    <s v="DE4-N_Offshore_A"/>
    <x v="7"/>
    <x v="5"/>
    <s v="GNR_WT_WIND_OFF"/>
    <x v="0"/>
    <x v="19"/>
    <n v="1592.79365920788"/>
    <n v="581369.68561087595"/>
    <n v="2092930.8681991501"/>
  </r>
  <r>
    <x v="0"/>
    <x v="2"/>
    <x v="2"/>
    <x v="3"/>
    <x v="5"/>
    <s v="DE4-N_Offshore_A"/>
    <x v="7"/>
    <x v="5"/>
    <s v="GNR_WT_WIND_OFF"/>
    <x v="0"/>
    <x v="20"/>
    <n v="1726.6129980580499"/>
    <n v="630213.74429118796"/>
    <n v="2268769.4794482798"/>
  </r>
  <r>
    <x v="0"/>
    <x v="2"/>
    <x v="2"/>
    <x v="3"/>
    <x v="5"/>
    <s v="DE4-N_Offshore_A"/>
    <x v="7"/>
    <x v="5"/>
    <s v="GNR_WT_WIND_OFF"/>
    <x v="0"/>
    <x v="21"/>
    <n v="1873.8220782225701"/>
    <n v="683945.05855123897"/>
    <n v="2462202.21078446"/>
  </r>
  <r>
    <x v="0"/>
    <x v="2"/>
    <x v="2"/>
    <x v="3"/>
    <x v="5"/>
    <s v="DE4-N_Offshore_A"/>
    <x v="7"/>
    <x v="5"/>
    <s v="GNR_WT_WIND_OFF"/>
    <x v="0"/>
    <x v="22"/>
    <n v="2059.5998593159102"/>
    <n v="751753.94865030702"/>
    <n v="2706314.2151410999"/>
  </r>
  <r>
    <x v="0"/>
    <x v="2"/>
    <x v="2"/>
    <x v="3"/>
    <x v="5"/>
    <s v="DE4-N_Offshore_A"/>
    <x v="7"/>
    <x v="5"/>
    <s v="GNR_WT_WIND_OFF"/>
    <x v="0"/>
    <x v="23"/>
    <n v="2180.77116263882"/>
    <n v="795981.474363168"/>
    <n v="2865533.3077074001"/>
  </r>
  <r>
    <x v="0"/>
    <x v="2"/>
    <x v="2"/>
    <x v="3"/>
    <x v="5"/>
    <s v="DE4-N_Offshore_A"/>
    <x v="7"/>
    <x v="5"/>
    <s v="GNR_WT_WIND_OFF_L-NS_Y-2030"/>
    <x v="0"/>
    <x v="0"/>
    <n v="2629.5629336051002"/>
    <n v="959790.47076586005"/>
    <n v="3455245.6947571002"/>
  </r>
  <r>
    <x v="0"/>
    <x v="2"/>
    <x v="2"/>
    <x v="3"/>
    <x v="5"/>
    <s v="DE4-N_Offshore_A"/>
    <x v="7"/>
    <x v="5"/>
    <s v="GNR_WT_WIND_OFF_L-NS_Y-2030"/>
    <x v="0"/>
    <x v="1"/>
    <n v="2544.3431859065799"/>
    <n v="928685.26285589999"/>
    <n v="3343266.9462812399"/>
  </r>
  <r>
    <x v="0"/>
    <x v="2"/>
    <x v="2"/>
    <x v="3"/>
    <x v="5"/>
    <s v="DE4-N_Offshore_A"/>
    <x v="7"/>
    <x v="5"/>
    <s v="GNR_WT_WIND_OFF_L-NS_Y-2030"/>
    <x v="0"/>
    <x v="18"/>
    <n v="2471.7226616870998"/>
    <n v="902178.77151579002"/>
    <n v="3247843.5774568398"/>
  </r>
  <r>
    <x v="0"/>
    <x v="2"/>
    <x v="2"/>
    <x v="3"/>
    <x v="5"/>
    <s v="DE4-N_Offshore_A"/>
    <x v="7"/>
    <x v="5"/>
    <s v="GNR_WT_WIND_OFF_L-NS_Y-2030"/>
    <x v="0"/>
    <x v="2"/>
    <n v="2347.1303406165698"/>
    <n v="856702.57432504697"/>
    <n v="3084129.2675701701"/>
  </r>
  <r>
    <x v="0"/>
    <x v="2"/>
    <x v="2"/>
    <x v="3"/>
    <x v="5"/>
    <s v="DE4-N_Offshore_A"/>
    <x v="7"/>
    <x v="5"/>
    <s v="GNR_WT_WIND_OFF_L-NS_Y-2030"/>
    <x v="0"/>
    <x v="3"/>
    <n v="2138.0182287074599"/>
    <n v="780376.65347822499"/>
    <n v="2809355.9525216101"/>
  </r>
  <r>
    <x v="0"/>
    <x v="2"/>
    <x v="2"/>
    <x v="3"/>
    <x v="5"/>
    <s v="DE4-N_Offshore_A"/>
    <x v="7"/>
    <x v="5"/>
    <s v="GNR_WT_WIND_OFF_L-NS_Y-2030"/>
    <x v="0"/>
    <x v="4"/>
    <n v="1950.95475788669"/>
    <n v="712098.48662863998"/>
    <n v="2563554.5518631102"/>
  </r>
  <r>
    <x v="0"/>
    <x v="2"/>
    <x v="2"/>
    <x v="3"/>
    <x v="5"/>
    <s v="DE4-N_Offshore_A"/>
    <x v="7"/>
    <x v="5"/>
    <s v="GNR_WT_WIND_OFF_L-NS_Y-2030"/>
    <x v="0"/>
    <x v="5"/>
    <n v="1608.1508857277499"/>
    <n v="586975.07329062698"/>
    <n v="2113110.26384626"/>
  </r>
  <r>
    <x v="0"/>
    <x v="2"/>
    <x v="2"/>
    <x v="3"/>
    <x v="5"/>
    <s v="DE4-N_Offshore_A"/>
    <x v="7"/>
    <x v="5"/>
    <s v="GNR_WT_WIND_OFF_L-NS_Y-2030"/>
    <x v="0"/>
    <x v="6"/>
    <n v="1555.1291535867799"/>
    <n v="567622.14105917397"/>
    <n v="2043439.7078130201"/>
  </r>
  <r>
    <x v="0"/>
    <x v="2"/>
    <x v="2"/>
    <x v="3"/>
    <x v="5"/>
    <s v="DE4-N_Offshore_A"/>
    <x v="7"/>
    <x v="5"/>
    <s v="GNR_WT_WIND_OFF_L-NS_Y-2030"/>
    <x v="0"/>
    <x v="7"/>
    <n v="1671.8469599829"/>
    <n v="610224.14039376006"/>
    <n v="2196806.9054175401"/>
  </r>
  <r>
    <x v="0"/>
    <x v="2"/>
    <x v="2"/>
    <x v="3"/>
    <x v="5"/>
    <s v="DE4-N_Offshore_A"/>
    <x v="7"/>
    <x v="5"/>
    <s v="GNR_WT_WIND_OFF_L-NS_Y-2030"/>
    <x v="0"/>
    <x v="8"/>
    <n v="1803.2638604379099"/>
    <n v="658191.30905983795"/>
    <n v="2369488.7126154201"/>
  </r>
  <r>
    <x v="0"/>
    <x v="2"/>
    <x v="2"/>
    <x v="3"/>
    <x v="5"/>
    <s v="DE4-N_Offshore_A"/>
    <x v="7"/>
    <x v="5"/>
    <s v="GNR_WT_WIND_OFF_L-NS_Y-2030"/>
    <x v="0"/>
    <x v="9"/>
    <n v="2080.6217661918299"/>
    <n v="759426.94466001703"/>
    <n v="2733937.0007760599"/>
  </r>
  <r>
    <x v="0"/>
    <x v="2"/>
    <x v="2"/>
    <x v="3"/>
    <x v="5"/>
    <s v="DE4-N_Offshore_A"/>
    <x v="7"/>
    <x v="5"/>
    <s v="GNR_WT_WIND_OFF_L-NS_Y-2030"/>
    <x v="0"/>
    <x v="10"/>
    <n v="2292.0087378957601"/>
    <n v="836583.18933195202"/>
    <n v="3011699.4815950301"/>
  </r>
  <r>
    <x v="0"/>
    <x v="2"/>
    <x v="2"/>
    <x v="3"/>
    <x v="5"/>
    <s v="DE4-N_Offshore_A"/>
    <x v="7"/>
    <x v="5"/>
    <s v="GNR_WT_WIND_OFF_L-NS_Y-2030"/>
    <x v="0"/>
    <x v="11"/>
    <n v="2820.4761671555798"/>
    <n v="1029473.8010117901"/>
    <n v="3706105.68364244"/>
  </r>
  <r>
    <x v="0"/>
    <x v="2"/>
    <x v="2"/>
    <x v="3"/>
    <x v="5"/>
    <s v="DE4-N_Offshore_A"/>
    <x v="7"/>
    <x v="5"/>
    <s v="GNR_WT_WIND_OFF_L-NS_Y-2030"/>
    <x v="0"/>
    <x v="12"/>
    <n v="3295.9218642744399"/>
    <n v="1203011.48046017"/>
    <n v="4330841.3296566103"/>
  </r>
  <r>
    <x v="0"/>
    <x v="2"/>
    <x v="2"/>
    <x v="3"/>
    <x v="5"/>
    <s v="DE4-N_Offshore_A"/>
    <x v="7"/>
    <x v="5"/>
    <s v="GNR_WT_WIND_OFF_L-NS_Y-2030"/>
    <x v="0"/>
    <x v="13"/>
    <n v="3837.6884738732501"/>
    <n v="1400756.29296374"/>
    <n v="5042722.6546694599"/>
  </r>
  <r>
    <x v="0"/>
    <x v="2"/>
    <x v="2"/>
    <x v="3"/>
    <x v="5"/>
    <s v="DE4-N_Offshore_A"/>
    <x v="7"/>
    <x v="5"/>
    <s v="GNR_WT_WIND_OFF_L-NS_Y-2030"/>
    <x v="0"/>
    <x v="14"/>
    <n v="4372.4555148726004"/>
    <n v="1595946.2629285001"/>
    <n v="5745406.5465425998"/>
  </r>
  <r>
    <x v="0"/>
    <x v="2"/>
    <x v="2"/>
    <x v="3"/>
    <x v="5"/>
    <s v="DE4-N_Offshore_A"/>
    <x v="7"/>
    <x v="5"/>
    <s v="GNR_WT_WIND_OFF_L-NS_Y-2030"/>
    <x v="0"/>
    <x v="15"/>
    <n v="5086.4115120183196"/>
    <n v="1856540.20188669"/>
    <n v="6683544.7267920803"/>
  </r>
  <r>
    <x v="0"/>
    <x v="2"/>
    <x v="2"/>
    <x v="3"/>
    <x v="5"/>
    <s v="DE4-N_Offshore_A"/>
    <x v="7"/>
    <x v="5"/>
    <s v="GNR_WT_WIND_OFF_L-NS_Y-2030"/>
    <x v="0"/>
    <x v="16"/>
    <n v="5738.5963162737398"/>
    <n v="2094587.65543992"/>
    <n v="7540515.5595837003"/>
  </r>
  <r>
    <x v="0"/>
    <x v="2"/>
    <x v="2"/>
    <x v="3"/>
    <x v="5"/>
    <s v="DE4-N_Offshore_A"/>
    <x v="7"/>
    <x v="5"/>
    <s v="GNR_WT_WIND_OFF_L-NS_Y-2030"/>
    <x v="0"/>
    <x v="17"/>
    <n v="6437.5032409306104"/>
    <n v="2349688.68293967"/>
    <n v="8458879.2585828304"/>
  </r>
  <r>
    <x v="0"/>
    <x v="2"/>
    <x v="2"/>
    <x v="3"/>
    <x v="5"/>
    <s v="DE4-N_Offshore_A"/>
    <x v="7"/>
    <x v="5"/>
    <s v="GNR_WT_WIND_OFF_L-NS_Y-2030"/>
    <x v="0"/>
    <x v="19"/>
    <n v="7139.9099498872101"/>
    <n v="2606067.1317088301"/>
    <n v="9381841.6741518006"/>
  </r>
  <r>
    <x v="0"/>
    <x v="2"/>
    <x v="2"/>
    <x v="3"/>
    <x v="5"/>
    <s v="DE4-N_Offshore_A"/>
    <x v="7"/>
    <x v="5"/>
    <s v="GNR_WT_WIND_OFF_L-NS_Y-2030"/>
    <x v="0"/>
    <x v="20"/>
    <n v="7739.7729788616098"/>
    <n v="2825017.1372844898"/>
    <n v="10170061.694224199"/>
  </r>
  <r>
    <x v="0"/>
    <x v="2"/>
    <x v="2"/>
    <x v="3"/>
    <x v="5"/>
    <s v="DE4-N_Offshore_A"/>
    <x v="7"/>
    <x v="5"/>
    <s v="GNR_WT_WIND_OFF_L-NS_Y-2030"/>
    <x v="0"/>
    <x v="21"/>
    <n v="8399.6573085764503"/>
    <n v="3065874.9176304"/>
    <n v="11037149.703469399"/>
  </r>
  <r>
    <x v="0"/>
    <x v="2"/>
    <x v="2"/>
    <x v="3"/>
    <x v="5"/>
    <s v="DE4-N_Offshore_A"/>
    <x v="7"/>
    <x v="5"/>
    <s v="GNR_WT_WIND_OFF_L-NS_Y-2030"/>
    <x v="0"/>
    <x v="22"/>
    <n v="9232.4309826981407"/>
    <n v="3369837.3086848198"/>
    <n v="12131414.3112654"/>
  </r>
  <r>
    <x v="0"/>
    <x v="2"/>
    <x v="2"/>
    <x v="3"/>
    <x v="5"/>
    <s v="DE4-N_Offshore_A"/>
    <x v="7"/>
    <x v="5"/>
    <s v="GNR_WT_WIND_OFF_L-NS_Y-2030"/>
    <x v="0"/>
    <x v="23"/>
    <n v="9775.5975060168494"/>
    <n v="3568093.0896961498"/>
    <n v="12845135.1229061"/>
  </r>
  <r>
    <x v="0"/>
    <x v="2"/>
    <x v="2"/>
    <x v="3"/>
    <x v="6"/>
    <s v="DE4-S_A"/>
    <x v="1"/>
    <x v="9"/>
    <s v="AGG-DE4-S_ES_ELEC"/>
    <x v="0"/>
    <x v="0"/>
    <n v="1.6466666666666701"/>
    <n v="601.03333333333296"/>
    <n v="2163.7199999999998"/>
  </r>
  <r>
    <x v="0"/>
    <x v="2"/>
    <x v="2"/>
    <x v="3"/>
    <x v="6"/>
    <s v="DE4-S_A"/>
    <x v="1"/>
    <x v="9"/>
    <s v="AGG-DE4-S_ES_ELEC"/>
    <x v="0"/>
    <x v="18"/>
    <n v="1.6466666666666701"/>
    <n v="601.03333333333296"/>
    <n v="2163.7199999999998"/>
  </r>
  <r>
    <x v="0"/>
    <x v="2"/>
    <x v="2"/>
    <x v="3"/>
    <x v="6"/>
    <s v="DE4-S_A"/>
    <x v="1"/>
    <x v="9"/>
    <s v="AGG-DE4-S_ES_ELEC"/>
    <x v="0"/>
    <x v="2"/>
    <n v="1.6466666666666701"/>
    <n v="601.03333333333296"/>
    <n v="2163.7199999999998"/>
  </r>
  <r>
    <x v="0"/>
    <x v="2"/>
    <x v="2"/>
    <x v="3"/>
    <x v="6"/>
    <s v="DE4-S_A"/>
    <x v="1"/>
    <x v="9"/>
    <s v="AGG-DE4-S_ES_ELEC"/>
    <x v="0"/>
    <x v="3"/>
    <n v="1.6466666666666701"/>
    <n v="601.03333333333296"/>
    <n v="2163.7199999999998"/>
  </r>
  <r>
    <x v="0"/>
    <x v="2"/>
    <x v="2"/>
    <x v="3"/>
    <x v="6"/>
    <s v="DE4-S_A"/>
    <x v="1"/>
    <x v="9"/>
    <s v="AGG-DE4-S_ES_ELEC"/>
    <x v="0"/>
    <x v="4"/>
    <n v="1.6466666666666701"/>
    <n v="601.03333333333296"/>
    <n v="2163.7199999999998"/>
  </r>
  <r>
    <x v="0"/>
    <x v="2"/>
    <x v="2"/>
    <x v="3"/>
    <x v="6"/>
    <s v="DE4-S_A"/>
    <x v="1"/>
    <x v="9"/>
    <s v="AGG-DE4-S_ES_ELEC"/>
    <x v="0"/>
    <x v="5"/>
    <n v="1.6466666666666701"/>
    <n v="601.03333333333296"/>
    <n v="2163.7199999999998"/>
  </r>
  <r>
    <x v="0"/>
    <x v="2"/>
    <x v="2"/>
    <x v="3"/>
    <x v="6"/>
    <s v="DE4-S_A"/>
    <x v="1"/>
    <x v="9"/>
    <s v="AGG-DE4-S_ES_ELEC"/>
    <x v="0"/>
    <x v="6"/>
    <n v="1.6466666666666701"/>
    <n v="601.03333333333296"/>
    <n v="2163.7199999999998"/>
  </r>
  <r>
    <x v="0"/>
    <x v="2"/>
    <x v="2"/>
    <x v="3"/>
    <x v="6"/>
    <s v="DE4-S_A"/>
    <x v="1"/>
    <x v="9"/>
    <s v="AGG-DE4-S_ES_ELEC"/>
    <x v="0"/>
    <x v="7"/>
    <n v="1.6466666666666701"/>
    <n v="601.03333333333296"/>
    <n v="2163.7199999999998"/>
  </r>
  <r>
    <x v="0"/>
    <x v="2"/>
    <x v="2"/>
    <x v="3"/>
    <x v="6"/>
    <s v="DE4-S_A"/>
    <x v="1"/>
    <x v="9"/>
    <s v="AGG-DE4-S_ES_ELEC"/>
    <x v="0"/>
    <x v="8"/>
    <n v="1.6466666666666701"/>
    <n v="601.03333333333296"/>
    <n v="2163.7199999999998"/>
  </r>
  <r>
    <x v="0"/>
    <x v="2"/>
    <x v="2"/>
    <x v="3"/>
    <x v="6"/>
    <s v="DE4-S_A"/>
    <x v="1"/>
    <x v="9"/>
    <s v="AGG-DE4-S_ES_ELEC"/>
    <x v="0"/>
    <x v="15"/>
    <n v="1.6466666666666701"/>
    <n v="601.03333333333296"/>
    <n v="2163.7199999999998"/>
  </r>
  <r>
    <x v="0"/>
    <x v="2"/>
    <x v="2"/>
    <x v="3"/>
    <x v="6"/>
    <s v="DE4-S_A"/>
    <x v="1"/>
    <x v="9"/>
    <s v="AGG-DE4-S_ES_ELEC"/>
    <x v="0"/>
    <x v="16"/>
    <n v="1.6466666666666701"/>
    <n v="601.03333333333296"/>
    <n v="2163.7199999999998"/>
  </r>
  <r>
    <x v="0"/>
    <x v="2"/>
    <x v="2"/>
    <x v="3"/>
    <x v="6"/>
    <s v="DE4-S_A"/>
    <x v="1"/>
    <x v="9"/>
    <s v="AGG-DE4-S_ES_ELEC"/>
    <x v="0"/>
    <x v="17"/>
    <n v="1.6466666666666701"/>
    <n v="601.03333333333296"/>
    <n v="2163.7199999999998"/>
  </r>
  <r>
    <x v="0"/>
    <x v="2"/>
    <x v="2"/>
    <x v="3"/>
    <x v="6"/>
    <s v="DE4-S_A"/>
    <x v="1"/>
    <x v="8"/>
    <s v="AGG-DE4-S_RES_WTR_PMP"/>
    <x v="0"/>
    <x v="0"/>
    <n v="2163"/>
    <n v="789495"/>
    <n v="2842182"/>
  </r>
  <r>
    <x v="0"/>
    <x v="2"/>
    <x v="2"/>
    <x v="3"/>
    <x v="6"/>
    <s v="DE4-S_A"/>
    <x v="1"/>
    <x v="8"/>
    <s v="AGG-DE4-S_RES_WTR_PMP"/>
    <x v="0"/>
    <x v="1"/>
    <n v="302.22739726027402"/>
    <n v="110313"/>
    <n v="397126.799999999"/>
  </r>
  <r>
    <x v="0"/>
    <x v="2"/>
    <x v="2"/>
    <x v="3"/>
    <x v="6"/>
    <s v="DE4-S_A"/>
    <x v="1"/>
    <x v="8"/>
    <s v="AGG-DE4-S_RES_WTR_PMP"/>
    <x v="0"/>
    <x v="6"/>
    <n v="1827.8252760569901"/>
    <n v="667156.22576080204"/>
    <n v="2401762.4127388899"/>
  </r>
  <r>
    <x v="0"/>
    <x v="2"/>
    <x v="2"/>
    <x v="3"/>
    <x v="6"/>
    <s v="DE4-S_A"/>
    <x v="1"/>
    <x v="8"/>
    <s v="AGG-DE4-S_RES_WTR_PMP"/>
    <x v="0"/>
    <x v="7"/>
    <n v="637.40212120328295"/>
    <n v="232651.77423919801"/>
    <n v="837546.38726111304"/>
  </r>
  <r>
    <x v="0"/>
    <x v="2"/>
    <x v="2"/>
    <x v="3"/>
    <x v="6"/>
    <s v="DE4-S_A"/>
    <x v="1"/>
    <x v="8"/>
    <s v="AGG-DE4-S_RES_WTR_PMP"/>
    <x v="0"/>
    <x v="11"/>
    <n v="1860.77260273973"/>
    <n v="679182"/>
    <n v="2445055.2000000002"/>
  </r>
  <r>
    <x v="0"/>
    <x v="2"/>
    <x v="2"/>
    <x v="3"/>
    <x v="6"/>
    <s v="DE4-S_A"/>
    <x v="1"/>
    <x v="8"/>
    <s v="AGG-DE4-S_RES_WTR_PMP"/>
    <x v="0"/>
    <x v="13"/>
    <n v="2163"/>
    <n v="789495"/>
    <n v="2842182"/>
  </r>
  <r>
    <x v="0"/>
    <x v="2"/>
    <x v="2"/>
    <x v="3"/>
    <x v="6"/>
    <s v="DE4-S_A"/>
    <x v="1"/>
    <x v="8"/>
    <s v="AGG-DE4-S_RES_WTR_PMP"/>
    <x v="0"/>
    <x v="15"/>
    <n v="2130.2025102502898"/>
    <n v="777523.91624135803"/>
    <n v="2799086.0984688899"/>
  </r>
  <r>
    <x v="0"/>
    <x v="2"/>
    <x v="2"/>
    <x v="3"/>
    <x v="6"/>
    <s v="DE4-S_A"/>
    <x v="1"/>
    <x v="8"/>
    <s v="AGG-DE4-S_RES_WTR_PMP"/>
    <x v="0"/>
    <x v="16"/>
    <n v="335.02488700997901"/>
    <n v="122284.08375864199"/>
    <n v="440222.70153111202"/>
  </r>
  <r>
    <x v="0"/>
    <x v="2"/>
    <x v="2"/>
    <x v="3"/>
    <x v="6"/>
    <s v="DE4-S_A"/>
    <x v="1"/>
    <x v="9"/>
    <s v="GNR_ES_ELEC_BAT-LITHIO_E-97_Y-30-50"/>
    <x v="0"/>
    <x v="0"/>
    <n v="3927.4353411521301"/>
    <n v="1433513.8995205299"/>
    <n v="5160650.0382738998"/>
  </r>
  <r>
    <x v="0"/>
    <x v="2"/>
    <x v="2"/>
    <x v="3"/>
    <x v="6"/>
    <s v="DE4-S_A"/>
    <x v="1"/>
    <x v="9"/>
    <s v="GNR_ES_ELEC_BAT-LITHIO_E-97_Y-30-50"/>
    <x v="0"/>
    <x v="1"/>
    <n v="5087.2835863432201"/>
    <n v="1856858.50901527"/>
    <n v="6684690.6324549904"/>
  </r>
  <r>
    <x v="0"/>
    <x v="2"/>
    <x v="2"/>
    <x v="3"/>
    <x v="6"/>
    <s v="DE4-S_A"/>
    <x v="1"/>
    <x v="9"/>
    <s v="GNR_ES_ELEC_BAT-LITHIO_E-97_Y-30-50"/>
    <x v="0"/>
    <x v="18"/>
    <n v="5883.0047059853196"/>
    <n v="2147296.7176846401"/>
    <n v="7730268.1836647"/>
  </r>
  <r>
    <x v="0"/>
    <x v="2"/>
    <x v="2"/>
    <x v="3"/>
    <x v="6"/>
    <s v="DE4-S_A"/>
    <x v="1"/>
    <x v="9"/>
    <s v="GNR_ES_ELEC_BAT-LITHIO_E-97_Y-30-50"/>
    <x v="0"/>
    <x v="2"/>
    <n v="10011.9857481785"/>
    <n v="3654374.7980851498"/>
    <n v="13155749.273106599"/>
  </r>
  <r>
    <x v="0"/>
    <x v="2"/>
    <x v="2"/>
    <x v="3"/>
    <x v="6"/>
    <s v="DE4-S_A"/>
    <x v="1"/>
    <x v="9"/>
    <s v="GNR_ES_ELEC_BAT-LITHIO_E-97_Y-30-50"/>
    <x v="0"/>
    <x v="3"/>
    <n v="10924.2816169703"/>
    <n v="3987362.7901941598"/>
    <n v="14354506.044699"/>
  </r>
  <r>
    <x v="0"/>
    <x v="2"/>
    <x v="2"/>
    <x v="3"/>
    <x v="6"/>
    <s v="DE4-S_A"/>
    <x v="1"/>
    <x v="9"/>
    <s v="GNR_ES_ELEC_BAT-LITHIO_E-97_Y-30-50"/>
    <x v="0"/>
    <x v="4"/>
    <n v="14176.4515027627"/>
    <n v="5174404.7985083796"/>
    <n v="18627857.2746302"/>
  </r>
  <r>
    <x v="0"/>
    <x v="2"/>
    <x v="2"/>
    <x v="3"/>
    <x v="6"/>
    <s v="DE4-S_A"/>
    <x v="1"/>
    <x v="9"/>
    <s v="GNR_ES_ELEC_BAT-LITHIO_E-97_Y-30-50"/>
    <x v="0"/>
    <x v="5"/>
    <n v="14176.4515027627"/>
    <n v="5174404.7985083796"/>
    <n v="18627857.2746302"/>
  </r>
  <r>
    <x v="0"/>
    <x v="2"/>
    <x v="2"/>
    <x v="3"/>
    <x v="6"/>
    <s v="DE4-S_A"/>
    <x v="1"/>
    <x v="9"/>
    <s v="GNR_ES_ELEC_BAT-LITHIO_E-97_Y-30-50"/>
    <x v="0"/>
    <x v="6"/>
    <n v="14176.4515027627"/>
    <n v="5174404.7985083796"/>
    <n v="18627857.2746302"/>
  </r>
  <r>
    <x v="0"/>
    <x v="2"/>
    <x v="2"/>
    <x v="3"/>
    <x v="6"/>
    <s v="DE4-S_A"/>
    <x v="1"/>
    <x v="9"/>
    <s v="GNR_ES_ELEC_BAT-LITHIO_E-97_Y-30-50"/>
    <x v="0"/>
    <x v="7"/>
    <n v="14176.4515027627"/>
    <n v="5174404.7985083796"/>
    <n v="18627857.2746302"/>
  </r>
  <r>
    <x v="0"/>
    <x v="2"/>
    <x v="2"/>
    <x v="3"/>
    <x v="6"/>
    <s v="DE4-S_A"/>
    <x v="1"/>
    <x v="9"/>
    <s v="GNR_ES_ELEC_BAT-LITHIO_E-97_Y-30-50"/>
    <x v="0"/>
    <x v="8"/>
    <n v="9688.1656537841409"/>
    <n v="3536180.4636312099"/>
    <n v="12730249.669072401"/>
  </r>
  <r>
    <x v="0"/>
    <x v="2"/>
    <x v="2"/>
    <x v="3"/>
    <x v="6"/>
    <s v="DE4-S_A"/>
    <x v="1"/>
    <x v="9"/>
    <s v="GNR_ES_ELEC_BAT-LITHIO_E-97_Y-30-50"/>
    <x v="0"/>
    <x v="15"/>
    <n v="11748.401498716499"/>
    <n v="4288166.5470315097"/>
    <n v="15437399.569313399"/>
  </r>
  <r>
    <x v="0"/>
    <x v="2"/>
    <x v="2"/>
    <x v="3"/>
    <x v="6"/>
    <s v="DE4-S_A"/>
    <x v="1"/>
    <x v="9"/>
    <s v="GNR_ES_ELEC_BAT-LITHIO_E-97_Y-30-50"/>
    <x v="0"/>
    <x v="16"/>
    <n v="14176.4515027627"/>
    <n v="5174404.7985083796"/>
    <n v="18627857.2746302"/>
  </r>
  <r>
    <x v="0"/>
    <x v="2"/>
    <x v="2"/>
    <x v="3"/>
    <x v="6"/>
    <s v="DE4-S_A"/>
    <x v="1"/>
    <x v="9"/>
    <s v="GNR_ES_ELEC_BAT-LITHIO_E-97_Y-30-50"/>
    <x v="0"/>
    <x v="17"/>
    <n v="7573.6326737233703"/>
    <n v="2764375.9259090298"/>
    <n v="9951753.3332725093"/>
  </r>
  <r>
    <x v="0"/>
    <x v="2"/>
    <x v="2"/>
    <x v="3"/>
    <x v="6"/>
    <s v="DE4-S_A"/>
    <x v="1"/>
    <x v="9"/>
    <s v="GNR_ES_ELEC_BAT-LITHIO_E-97_Y-30-50"/>
    <x v="0"/>
    <x v="19"/>
    <n v="2475.1218409428702"/>
    <n v="903419.47194414702"/>
    <n v="3252310.0989989298"/>
  </r>
  <r>
    <x v="0"/>
    <x v="2"/>
    <x v="2"/>
    <x v="3"/>
    <x v="6"/>
    <s v="DE4-S_A"/>
    <x v="2"/>
    <x v="6"/>
    <s v="GNR_ST_MSW_CND_E-33"/>
    <x v="0"/>
    <x v="0"/>
    <n v="8.6999999999999993"/>
    <n v="3175.5"/>
    <n v="11431.8"/>
  </r>
  <r>
    <x v="0"/>
    <x v="2"/>
    <x v="2"/>
    <x v="3"/>
    <x v="6"/>
    <s v="DE4-S_A"/>
    <x v="2"/>
    <x v="6"/>
    <s v="GNR_ST_MSW_CND_E-33"/>
    <x v="0"/>
    <x v="1"/>
    <n v="8.6999999999999993"/>
    <n v="3175.5"/>
    <n v="11431.8"/>
  </r>
  <r>
    <x v="0"/>
    <x v="2"/>
    <x v="2"/>
    <x v="3"/>
    <x v="6"/>
    <s v="DE4-S_A"/>
    <x v="2"/>
    <x v="6"/>
    <s v="GNR_ST_MSW_CND_E-33"/>
    <x v="0"/>
    <x v="18"/>
    <n v="8.6999999999999993"/>
    <n v="3175.5"/>
    <n v="11431.8"/>
  </r>
  <r>
    <x v="0"/>
    <x v="2"/>
    <x v="2"/>
    <x v="3"/>
    <x v="6"/>
    <s v="DE4-S_A"/>
    <x v="2"/>
    <x v="6"/>
    <s v="GNR_ST_MSW_CND_E-33"/>
    <x v="0"/>
    <x v="2"/>
    <n v="8.6999999999999993"/>
    <n v="3175.5"/>
    <n v="11431.8"/>
  </r>
  <r>
    <x v="0"/>
    <x v="2"/>
    <x v="2"/>
    <x v="3"/>
    <x v="6"/>
    <s v="DE4-S_A"/>
    <x v="2"/>
    <x v="6"/>
    <s v="GNR_ST_MSW_CND_E-33"/>
    <x v="0"/>
    <x v="3"/>
    <n v="8.6999999999999993"/>
    <n v="3175.5"/>
    <n v="11431.8"/>
  </r>
  <r>
    <x v="0"/>
    <x v="2"/>
    <x v="2"/>
    <x v="3"/>
    <x v="6"/>
    <s v="DE4-S_A"/>
    <x v="2"/>
    <x v="6"/>
    <s v="GNR_ST_MSW_CND_E-33"/>
    <x v="0"/>
    <x v="4"/>
    <n v="8.6999999999999993"/>
    <n v="3175.5"/>
    <n v="11431.8"/>
  </r>
  <r>
    <x v="0"/>
    <x v="2"/>
    <x v="2"/>
    <x v="3"/>
    <x v="6"/>
    <s v="DE4-S_A"/>
    <x v="2"/>
    <x v="6"/>
    <s v="GNR_ST_MSW_CND_E-33"/>
    <x v="0"/>
    <x v="5"/>
    <n v="8.6999999999999993"/>
    <n v="3175.5"/>
    <n v="11431.8"/>
  </r>
  <r>
    <x v="0"/>
    <x v="2"/>
    <x v="2"/>
    <x v="3"/>
    <x v="6"/>
    <s v="DE4-S_A"/>
    <x v="2"/>
    <x v="6"/>
    <s v="GNR_ST_MSW_CND_E-33"/>
    <x v="0"/>
    <x v="6"/>
    <n v="8.6999999999999993"/>
    <n v="3175.5"/>
    <n v="11431.8"/>
  </r>
  <r>
    <x v="0"/>
    <x v="2"/>
    <x v="2"/>
    <x v="3"/>
    <x v="6"/>
    <s v="DE4-S_A"/>
    <x v="2"/>
    <x v="6"/>
    <s v="GNR_ST_MSW_CND_E-33"/>
    <x v="0"/>
    <x v="7"/>
    <n v="8.6999999999999993"/>
    <n v="3175.5"/>
    <n v="11431.8"/>
  </r>
  <r>
    <x v="0"/>
    <x v="2"/>
    <x v="2"/>
    <x v="3"/>
    <x v="6"/>
    <s v="DE4-S_A"/>
    <x v="2"/>
    <x v="6"/>
    <s v="GNR_ST_MSW_CND_E-33"/>
    <x v="0"/>
    <x v="8"/>
    <n v="8.6999999999999993"/>
    <n v="3175.5"/>
    <n v="11431.8"/>
  </r>
  <r>
    <x v="0"/>
    <x v="2"/>
    <x v="2"/>
    <x v="3"/>
    <x v="6"/>
    <s v="DE4-S_A"/>
    <x v="2"/>
    <x v="6"/>
    <s v="GNR_ST_MSW_CND_E-33"/>
    <x v="0"/>
    <x v="9"/>
    <n v="8.6999999999999993"/>
    <n v="3175.5"/>
    <n v="11431.8"/>
  </r>
  <r>
    <x v="0"/>
    <x v="2"/>
    <x v="2"/>
    <x v="3"/>
    <x v="6"/>
    <s v="DE4-S_A"/>
    <x v="2"/>
    <x v="6"/>
    <s v="GNR_ST_MSW_CND_E-33"/>
    <x v="0"/>
    <x v="10"/>
    <n v="8.6999999999999993"/>
    <n v="3175.5"/>
    <n v="11431.8"/>
  </r>
  <r>
    <x v="0"/>
    <x v="2"/>
    <x v="2"/>
    <x v="3"/>
    <x v="6"/>
    <s v="DE4-S_A"/>
    <x v="2"/>
    <x v="6"/>
    <s v="GNR_ST_MSW_CND_E-33"/>
    <x v="0"/>
    <x v="11"/>
    <n v="8.6999999999999993"/>
    <n v="3175.5"/>
    <n v="11431.8"/>
  </r>
  <r>
    <x v="0"/>
    <x v="2"/>
    <x v="2"/>
    <x v="3"/>
    <x v="6"/>
    <s v="DE4-S_A"/>
    <x v="2"/>
    <x v="6"/>
    <s v="GNR_ST_MSW_CND_E-33"/>
    <x v="0"/>
    <x v="12"/>
    <n v="8.6999999999999993"/>
    <n v="3175.5"/>
    <n v="11431.8"/>
  </r>
  <r>
    <x v="0"/>
    <x v="2"/>
    <x v="2"/>
    <x v="3"/>
    <x v="6"/>
    <s v="DE4-S_A"/>
    <x v="2"/>
    <x v="6"/>
    <s v="GNR_ST_MSW_CND_E-33"/>
    <x v="0"/>
    <x v="13"/>
    <n v="8.6999999999999993"/>
    <n v="3175.5"/>
    <n v="11431.8"/>
  </r>
  <r>
    <x v="0"/>
    <x v="2"/>
    <x v="2"/>
    <x v="3"/>
    <x v="6"/>
    <s v="DE4-S_A"/>
    <x v="2"/>
    <x v="6"/>
    <s v="GNR_ST_MSW_CND_E-33"/>
    <x v="0"/>
    <x v="14"/>
    <n v="8.6999999999999993"/>
    <n v="3175.5"/>
    <n v="11431.8"/>
  </r>
  <r>
    <x v="0"/>
    <x v="2"/>
    <x v="2"/>
    <x v="3"/>
    <x v="6"/>
    <s v="DE4-S_A"/>
    <x v="2"/>
    <x v="6"/>
    <s v="GNR_ST_MSW_CND_E-33"/>
    <x v="0"/>
    <x v="15"/>
    <n v="8.6999999999999993"/>
    <n v="3175.5"/>
    <n v="11431.8"/>
  </r>
  <r>
    <x v="0"/>
    <x v="2"/>
    <x v="2"/>
    <x v="3"/>
    <x v="6"/>
    <s v="DE4-S_A"/>
    <x v="2"/>
    <x v="6"/>
    <s v="GNR_ST_MSW_CND_E-33"/>
    <x v="0"/>
    <x v="16"/>
    <n v="8.6999999999999993"/>
    <n v="3175.5"/>
    <n v="11431.8"/>
  </r>
  <r>
    <x v="0"/>
    <x v="2"/>
    <x v="2"/>
    <x v="3"/>
    <x v="6"/>
    <s v="DE4-S_A"/>
    <x v="2"/>
    <x v="6"/>
    <s v="GNR_ST_MSW_CND_E-33"/>
    <x v="0"/>
    <x v="17"/>
    <n v="8.6999999999999993"/>
    <n v="3175.5"/>
    <n v="11431.8"/>
  </r>
  <r>
    <x v="0"/>
    <x v="2"/>
    <x v="2"/>
    <x v="3"/>
    <x v="6"/>
    <s v="DE4-S_A"/>
    <x v="2"/>
    <x v="6"/>
    <s v="GNR_ST_MSW_CND_E-33"/>
    <x v="0"/>
    <x v="19"/>
    <n v="8.6999999999999993"/>
    <n v="3175.5"/>
    <n v="11431.8"/>
  </r>
  <r>
    <x v="0"/>
    <x v="2"/>
    <x v="2"/>
    <x v="3"/>
    <x v="6"/>
    <s v="DE4-S_A"/>
    <x v="2"/>
    <x v="6"/>
    <s v="GNR_ST_MSW_CND_E-33"/>
    <x v="0"/>
    <x v="20"/>
    <n v="8.6999999999999993"/>
    <n v="3175.5"/>
    <n v="11431.8"/>
  </r>
  <r>
    <x v="0"/>
    <x v="2"/>
    <x v="2"/>
    <x v="3"/>
    <x v="6"/>
    <s v="DE4-S_A"/>
    <x v="2"/>
    <x v="6"/>
    <s v="GNR_ST_MSW_CND_E-33"/>
    <x v="0"/>
    <x v="21"/>
    <n v="8.6999999999999993"/>
    <n v="3175.5"/>
    <n v="11431.8"/>
  </r>
  <r>
    <x v="0"/>
    <x v="2"/>
    <x v="2"/>
    <x v="3"/>
    <x v="6"/>
    <s v="DE4-S_A"/>
    <x v="2"/>
    <x v="6"/>
    <s v="GNR_ST_MSW_CND_E-33"/>
    <x v="0"/>
    <x v="22"/>
    <n v="8.6999999999999993"/>
    <n v="3175.5"/>
    <n v="11431.8"/>
  </r>
  <r>
    <x v="0"/>
    <x v="2"/>
    <x v="2"/>
    <x v="3"/>
    <x v="6"/>
    <s v="DE4-S_A"/>
    <x v="2"/>
    <x v="6"/>
    <s v="GNR_ST_MSW_CND_E-33"/>
    <x v="0"/>
    <x v="23"/>
    <n v="8.6999999999999993"/>
    <n v="3175.5"/>
    <n v="11431.8"/>
  </r>
  <r>
    <x v="0"/>
    <x v="2"/>
    <x v="2"/>
    <x v="3"/>
    <x v="6"/>
    <s v="DE4-S_A"/>
    <x v="5"/>
    <x v="3"/>
    <s v="GNR_PV_SUN"/>
    <x v="0"/>
    <x v="7"/>
    <n v="448.37986853766103"/>
    <n v="163658.65201624599"/>
    <n v="589171.14725848695"/>
  </r>
  <r>
    <x v="0"/>
    <x v="2"/>
    <x v="2"/>
    <x v="3"/>
    <x v="6"/>
    <s v="DE4-S_A"/>
    <x v="5"/>
    <x v="3"/>
    <s v="GNR_PV_SUN"/>
    <x v="0"/>
    <x v="8"/>
    <n v="3375.4956257091599"/>
    <n v="1232055.9033838401"/>
    <n v="4435401.2521818401"/>
  </r>
  <r>
    <x v="0"/>
    <x v="2"/>
    <x v="2"/>
    <x v="3"/>
    <x v="6"/>
    <s v="DE4-S_A"/>
    <x v="5"/>
    <x v="3"/>
    <s v="GNR_PV_SUN"/>
    <x v="0"/>
    <x v="9"/>
    <n v="7797.21094467287"/>
    <n v="2845981.9948056"/>
    <n v="10245535.181300201"/>
  </r>
  <r>
    <x v="0"/>
    <x v="2"/>
    <x v="2"/>
    <x v="3"/>
    <x v="6"/>
    <s v="DE4-S_A"/>
    <x v="5"/>
    <x v="3"/>
    <s v="GNR_PV_SUN"/>
    <x v="0"/>
    <x v="10"/>
    <n v="11874.0186724538"/>
    <n v="4334016.8154456196"/>
    <n v="15602460.535604199"/>
  </r>
  <r>
    <x v="0"/>
    <x v="2"/>
    <x v="2"/>
    <x v="3"/>
    <x v="6"/>
    <s v="DE4-S_A"/>
    <x v="5"/>
    <x v="3"/>
    <s v="GNR_PV_SUN"/>
    <x v="0"/>
    <x v="11"/>
    <n v="13499.6831188954"/>
    <n v="4927384.3383968296"/>
    <n v="17738583.618228599"/>
  </r>
  <r>
    <x v="0"/>
    <x v="2"/>
    <x v="2"/>
    <x v="3"/>
    <x v="6"/>
    <s v="DE4-S_A"/>
    <x v="5"/>
    <x v="3"/>
    <s v="GNR_PV_SUN"/>
    <x v="0"/>
    <x v="12"/>
    <n v="11738.355019921901"/>
    <n v="4284499.58227148"/>
    <n v="15424198.496177301"/>
  </r>
  <r>
    <x v="0"/>
    <x v="2"/>
    <x v="2"/>
    <x v="3"/>
    <x v="6"/>
    <s v="DE4-S_A"/>
    <x v="5"/>
    <x v="3"/>
    <s v="GNR_PV_SUN"/>
    <x v="0"/>
    <x v="13"/>
    <n v="7638.55345272877"/>
    <n v="2788072.0102459998"/>
    <n v="10037059.2368856"/>
  </r>
  <r>
    <x v="0"/>
    <x v="2"/>
    <x v="2"/>
    <x v="3"/>
    <x v="6"/>
    <s v="DE4-S_A"/>
    <x v="5"/>
    <x v="3"/>
    <s v="GNR_PV_SUN"/>
    <x v="0"/>
    <x v="14"/>
    <n v="3867.5637891299798"/>
    <n v="1411660.7830324401"/>
    <n v="5081978.8189168004"/>
  </r>
  <r>
    <x v="0"/>
    <x v="2"/>
    <x v="2"/>
    <x v="3"/>
    <x v="6"/>
    <s v="DE4-S_A"/>
    <x v="5"/>
    <x v="3"/>
    <s v="GNR_PV_SUN"/>
    <x v="0"/>
    <x v="15"/>
    <n v="503.56508312691199"/>
    <n v="183801.25534132301"/>
    <n v="661684.51922876202"/>
  </r>
  <r>
    <x v="0"/>
    <x v="2"/>
    <x v="2"/>
    <x v="3"/>
    <x v="6"/>
    <s v="DE4-S_A"/>
    <x v="5"/>
    <x v="3"/>
    <s v="GNR_PV_SUN_LS-4-MW_Y-2030"/>
    <x v="0"/>
    <x v="7"/>
    <n v="1880.24917298943"/>
    <n v="686290.94814114098"/>
    <n v="2470647.4133081101"/>
  </r>
  <r>
    <x v="0"/>
    <x v="2"/>
    <x v="2"/>
    <x v="3"/>
    <x v="6"/>
    <s v="DE4-S_A"/>
    <x v="5"/>
    <x v="3"/>
    <s v="GNR_PV_SUN_LS-4-MW_Y-2030"/>
    <x v="0"/>
    <x v="8"/>
    <n v="14154.9014664025"/>
    <n v="5166539.0352368997"/>
    <n v="18599540.526852801"/>
  </r>
  <r>
    <x v="0"/>
    <x v="2"/>
    <x v="2"/>
    <x v="3"/>
    <x v="6"/>
    <s v="DE4-S_A"/>
    <x v="5"/>
    <x v="3"/>
    <s v="GNR_PV_SUN_LS-4-MW_Y-2030"/>
    <x v="0"/>
    <x v="9"/>
    <n v="32697.0510031136"/>
    <n v="11934423.616136501"/>
    <n v="42963925.018091202"/>
  </r>
  <r>
    <x v="0"/>
    <x v="2"/>
    <x v="2"/>
    <x v="3"/>
    <x v="6"/>
    <s v="DE4-S_A"/>
    <x v="5"/>
    <x v="3"/>
    <s v="GNR_PV_SUN_LS-4-MW_Y-2030"/>
    <x v="0"/>
    <x v="10"/>
    <n v="49792.855022140502"/>
    <n v="18174392.083081301"/>
    <n v="65427811.499092601"/>
  </r>
  <r>
    <x v="0"/>
    <x v="2"/>
    <x v="2"/>
    <x v="3"/>
    <x v="6"/>
    <s v="DE4-S_A"/>
    <x v="5"/>
    <x v="3"/>
    <s v="GNR_PV_SUN_LS-4-MW_Y-2030"/>
    <x v="0"/>
    <x v="11"/>
    <n v="56609.963562158599"/>
    <n v="20662636.700187899"/>
    <n v="74385492.120676398"/>
  </r>
  <r>
    <x v="0"/>
    <x v="2"/>
    <x v="2"/>
    <x v="3"/>
    <x v="6"/>
    <s v="DE4-S_A"/>
    <x v="5"/>
    <x v="3"/>
    <s v="GNR_PV_SUN_LS-4-MW_Y-2030"/>
    <x v="0"/>
    <x v="12"/>
    <n v="49223.959118518098"/>
    <n v="17966745.078259099"/>
    <n v="64680282.281732701"/>
  </r>
  <r>
    <x v="0"/>
    <x v="2"/>
    <x v="2"/>
    <x v="3"/>
    <x v="6"/>
    <s v="DE4-S_A"/>
    <x v="5"/>
    <x v="3"/>
    <s v="GNR_PV_SUN_LS-4-MW_Y-2030"/>
    <x v="0"/>
    <x v="13"/>
    <n v="32031.732064978802"/>
    <n v="11691582.203717301"/>
    <n v="42089695.933382198"/>
  </r>
  <r>
    <x v="0"/>
    <x v="2"/>
    <x v="2"/>
    <x v="3"/>
    <x v="6"/>
    <s v="DE4-S_A"/>
    <x v="5"/>
    <x v="3"/>
    <s v="GNR_PV_SUN_LS-4-MW_Y-2030"/>
    <x v="0"/>
    <x v="14"/>
    <n v="16218.354404965199"/>
    <n v="5919699.3578123003"/>
    <n v="21310917.688124299"/>
  </r>
  <r>
    <x v="0"/>
    <x v="2"/>
    <x v="2"/>
    <x v="3"/>
    <x v="6"/>
    <s v="DE4-S_A"/>
    <x v="5"/>
    <x v="3"/>
    <s v="GNR_PV_SUN_LS-4-MW_Y-2030"/>
    <x v="0"/>
    <x v="15"/>
    <n v="2111.6644558189"/>
    <n v="770757.52637389698"/>
    <n v="2774727.0949460301"/>
  </r>
  <r>
    <x v="0"/>
    <x v="2"/>
    <x v="2"/>
    <x v="3"/>
    <x v="6"/>
    <s v="DE4-S_A"/>
    <x v="16"/>
    <x v="6"/>
    <s v="GNR_GEO_HEAT_EO"/>
    <x v="0"/>
    <x v="0"/>
    <n v="44.76"/>
    <n v="16337.4"/>
    <n v="58814.64"/>
  </r>
  <r>
    <x v="0"/>
    <x v="2"/>
    <x v="2"/>
    <x v="3"/>
    <x v="6"/>
    <s v="DE4-S_A"/>
    <x v="16"/>
    <x v="6"/>
    <s v="GNR_GEO_HEAT_EO"/>
    <x v="0"/>
    <x v="1"/>
    <n v="44.76"/>
    <n v="16337.4"/>
    <n v="58814.64"/>
  </r>
  <r>
    <x v="0"/>
    <x v="2"/>
    <x v="2"/>
    <x v="3"/>
    <x v="6"/>
    <s v="DE4-S_A"/>
    <x v="16"/>
    <x v="6"/>
    <s v="GNR_GEO_HEAT_EO"/>
    <x v="0"/>
    <x v="18"/>
    <n v="44.76"/>
    <n v="16337.4"/>
    <n v="58814.64"/>
  </r>
  <r>
    <x v="0"/>
    <x v="2"/>
    <x v="2"/>
    <x v="3"/>
    <x v="6"/>
    <s v="DE4-S_A"/>
    <x v="16"/>
    <x v="6"/>
    <s v="GNR_GEO_HEAT_EO"/>
    <x v="0"/>
    <x v="2"/>
    <n v="44.76"/>
    <n v="16337.4"/>
    <n v="58814.64"/>
  </r>
  <r>
    <x v="0"/>
    <x v="2"/>
    <x v="2"/>
    <x v="3"/>
    <x v="6"/>
    <s v="DE4-S_A"/>
    <x v="16"/>
    <x v="6"/>
    <s v="GNR_GEO_HEAT_EO"/>
    <x v="0"/>
    <x v="3"/>
    <n v="44.76"/>
    <n v="16337.4"/>
    <n v="58814.64"/>
  </r>
  <r>
    <x v="0"/>
    <x v="2"/>
    <x v="2"/>
    <x v="3"/>
    <x v="6"/>
    <s v="DE4-S_A"/>
    <x v="16"/>
    <x v="6"/>
    <s v="GNR_GEO_HEAT_EO"/>
    <x v="0"/>
    <x v="4"/>
    <n v="44.76"/>
    <n v="16337.4"/>
    <n v="58814.64"/>
  </r>
  <r>
    <x v="0"/>
    <x v="2"/>
    <x v="2"/>
    <x v="3"/>
    <x v="6"/>
    <s v="DE4-S_A"/>
    <x v="16"/>
    <x v="6"/>
    <s v="GNR_GEO_HEAT_EO"/>
    <x v="0"/>
    <x v="5"/>
    <n v="44.76"/>
    <n v="16337.4"/>
    <n v="58814.64"/>
  </r>
  <r>
    <x v="0"/>
    <x v="2"/>
    <x v="2"/>
    <x v="3"/>
    <x v="6"/>
    <s v="DE4-S_A"/>
    <x v="16"/>
    <x v="6"/>
    <s v="GNR_GEO_HEAT_EO"/>
    <x v="0"/>
    <x v="6"/>
    <n v="44.76"/>
    <n v="16337.4"/>
    <n v="58814.64"/>
  </r>
  <r>
    <x v="0"/>
    <x v="2"/>
    <x v="2"/>
    <x v="3"/>
    <x v="6"/>
    <s v="DE4-S_A"/>
    <x v="16"/>
    <x v="6"/>
    <s v="GNR_GEO_HEAT_EO"/>
    <x v="0"/>
    <x v="7"/>
    <n v="44.76"/>
    <n v="16337.4"/>
    <n v="58814.64"/>
  </r>
  <r>
    <x v="0"/>
    <x v="2"/>
    <x v="2"/>
    <x v="3"/>
    <x v="6"/>
    <s v="DE4-S_A"/>
    <x v="16"/>
    <x v="6"/>
    <s v="GNR_GEO_HEAT_EO"/>
    <x v="0"/>
    <x v="8"/>
    <n v="44.76"/>
    <n v="16337.4"/>
    <n v="58814.64"/>
  </r>
  <r>
    <x v="0"/>
    <x v="2"/>
    <x v="2"/>
    <x v="3"/>
    <x v="6"/>
    <s v="DE4-S_A"/>
    <x v="16"/>
    <x v="6"/>
    <s v="GNR_GEO_HEAT_EO"/>
    <x v="0"/>
    <x v="9"/>
    <n v="44.76"/>
    <n v="16337.4"/>
    <n v="58814.64"/>
  </r>
  <r>
    <x v="0"/>
    <x v="2"/>
    <x v="2"/>
    <x v="3"/>
    <x v="6"/>
    <s v="DE4-S_A"/>
    <x v="16"/>
    <x v="6"/>
    <s v="GNR_GEO_HEAT_EO"/>
    <x v="0"/>
    <x v="10"/>
    <n v="44.76"/>
    <n v="16337.4"/>
    <n v="58814.64"/>
  </r>
  <r>
    <x v="0"/>
    <x v="2"/>
    <x v="2"/>
    <x v="3"/>
    <x v="6"/>
    <s v="DE4-S_A"/>
    <x v="16"/>
    <x v="6"/>
    <s v="GNR_GEO_HEAT_EO"/>
    <x v="0"/>
    <x v="11"/>
    <n v="44.76"/>
    <n v="16337.4"/>
    <n v="58814.64"/>
  </r>
  <r>
    <x v="0"/>
    <x v="2"/>
    <x v="2"/>
    <x v="3"/>
    <x v="6"/>
    <s v="DE4-S_A"/>
    <x v="16"/>
    <x v="6"/>
    <s v="GNR_GEO_HEAT_EO"/>
    <x v="0"/>
    <x v="12"/>
    <n v="44.76"/>
    <n v="16337.4"/>
    <n v="58814.64"/>
  </r>
  <r>
    <x v="0"/>
    <x v="2"/>
    <x v="2"/>
    <x v="3"/>
    <x v="6"/>
    <s v="DE4-S_A"/>
    <x v="16"/>
    <x v="6"/>
    <s v="GNR_GEO_HEAT_EO"/>
    <x v="0"/>
    <x v="13"/>
    <n v="44.76"/>
    <n v="16337.4"/>
    <n v="58814.64"/>
  </r>
  <r>
    <x v="0"/>
    <x v="2"/>
    <x v="2"/>
    <x v="3"/>
    <x v="6"/>
    <s v="DE4-S_A"/>
    <x v="16"/>
    <x v="6"/>
    <s v="GNR_GEO_HEAT_EO"/>
    <x v="0"/>
    <x v="14"/>
    <n v="44.76"/>
    <n v="16337.4"/>
    <n v="58814.64"/>
  </r>
  <r>
    <x v="0"/>
    <x v="2"/>
    <x v="2"/>
    <x v="3"/>
    <x v="6"/>
    <s v="DE4-S_A"/>
    <x v="16"/>
    <x v="6"/>
    <s v="GNR_GEO_HEAT_EO"/>
    <x v="0"/>
    <x v="15"/>
    <n v="44.76"/>
    <n v="16337.4"/>
    <n v="58814.64"/>
  </r>
  <r>
    <x v="0"/>
    <x v="2"/>
    <x v="2"/>
    <x v="3"/>
    <x v="6"/>
    <s v="DE4-S_A"/>
    <x v="16"/>
    <x v="6"/>
    <s v="GNR_GEO_HEAT_EO"/>
    <x v="0"/>
    <x v="16"/>
    <n v="44.76"/>
    <n v="16337.4"/>
    <n v="58814.64"/>
  </r>
  <r>
    <x v="0"/>
    <x v="2"/>
    <x v="2"/>
    <x v="3"/>
    <x v="6"/>
    <s v="DE4-S_A"/>
    <x v="16"/>
    <x v="6"/>
    <s v="GNR_GEO_HEAT_EO"/>
    <x v="0"/>
    <x v="17"/>
    <n v="44.76"/>
    <n v="16337.4"/>
    <n v="58814.64"/>
  </r>
  <r>
    <x v="0"/>
    <x v="2"/>
    <x v="2"/>
    <x v="3"/>
    <x v="6"/>
    <s v="DE4-S_A"/>
    <x v="16"/>
    <x v="6"/>
    <s v="GNR_GEO_HEAT_EO"/>
    <x v="0"/>
    <x v="19"/>
    <n v="44.76"/>
    <n v="16337.4"/>
    <n v="58814.64"/>
  </r>
  <r>
    <x v="0"/>
    <x v="2"/>
    <x v="2"/>
    <x v="3"/>
    <x v="6"/>
    <s v="DE4-S_A"/>
    <x v="16"/>
    <x v="6"/>
    <s v="GNR_GEO_HEAT_EO"/>
    <x v="0"/>
    <x v="20"/>
    <n v="44.76"/>
    <n v="16337.4"/>
    <n v="58814.64"/>
  </r>
  <r>
    <x v="0"/>
    <x v="2"/>
    <x v="2"/>
    <x v="3"/>
    <x v="6"/>
    <s v="DE4-S_A"/>
    <x v="16"/>
    <x v="6"/>
    <s v="GNR_GEO_HEAT_EO"/>
    <x v="0"/>
    <x v="21"/>
    <n v="44.76"/>
    <n v="16337.4"/>
    <n v="58814.64"/>
  </r>
  <r>
    <x v="0"/>
    <x v="2"/>
    <x v="2"/>
    <x v="3"/>
    <x v="6"/>
    <s v="DE4-S_A"/>
    <x v="16"/>
    <x v="6"/>
    <s v="GNR_GEO_HEAT_EO"/>
    <x v="0"/>
    <x v="22"/>
    <n v="44.76"/>
    <n v="16337.4"/>
    <n v="58814.64"/>
  </r>
  <r>
    <x v="0"/>
    <x v="2"/>
    <x v="2"/>
    <x v="3"/>
    <x v="6"/>
    <s v="DE4-S_A"/>
    <x v="16"/>
    <x v="6"/>
    <s v="GNR_GEO_HEAT_EO"/>
    <x v="0"/>
    <x v="23"/>
    <n v="44.76"/>
    <n v="16337.4"/>
    <n v="58814.64"/>
  </r>
  <r>
    <x v="0"/>
    <x v="2"/>
    <x v="2"/>
    <x v="3"/>
    <x v="6"/>
    <s v="DE4-S_A"/>
    <x v="6"/>
    <x v="7"/>
    <s v="GNR_RES_WTR_NOPMP"/>
    <x v="0"/>
    <x v="0"/>
    <n v="124"/>
    <n v="45260"/>
    <n v="162936"/>
  </r>
  <r>
    <x v="0"/>
    <x v="2"/>
    <x v="2"/>
    <x v="3"/>
    <x v="6"/>
    <s v="DE4-S_A"/>
    <x v="6"/>
    <x v="7"/>
    <s v="GNR_RES_WTR_NOPMP"/>
    <x v="0"/>
    <x v="1"/>
    <n v="124"/>
    <n v="45260"/>
    <n v="162936"/>
  </r>
  <r>
    <x v="0"/>
    <x v="2"/>
    <x v="2"/>
    <x v="3"/>
    <x v="6"/>
    <s v="DE4-S_A"/>
    <x v="6"/>
    <x v="7"/>
    <s v="GNR_RES_WTR_NOPMP"/>
    <x v="0"/>
    <x v="18"/>
    <n v="124"/>
    <n v="45260"/>
    <n v="162936"/>
  </r>
  <r>
    <x v="0"/>
    <x v="2"/>
    <x v="2"/>
    <x v="3"/>
    <x v="6"/>
    <s v="DE4-S_A"/>
    <x v="6"/>
    <x v="7"/>
    <s v="GNR_RES_WTR_NOPMP"/>
    <x v="0"/>
    <x v="2"/>
    <n v="124"/>
    <n v="45260"/>
    <n v="162936"/>
  </r>
  <r>
    <x v="0"/>
    <x v="2"/>
    <x v="2"/>
    <x v="3"/>
    <x v="6"/>
    <s v="DE4-S_A"/>
    <x v="6"/>
    <x v="7"/>
    <s v="GNR_RES_WTR_NOPMP"/>
    <x v="0"/>
    <x v="3"/>
    <n v="124"/>
    <n v="45260"/>
    <n v="162936"/>
  </r>
  <r>
    <x v="0"/>
    <x v="2"/>
    <x v="2"/>
    <x v="3"/>
    <x v="6"/>
    <s v="DE4-S_A"/>
    <x v="6"/>
    <x v="7"/>
    <s v="GNR_RES_WTR_NOPMP"/>
    <x v="0"/>
    <x v="4"/>
    <n v="124"/>
    <n v="45260"/>
    <n v="162936"/>
  </r>
  <r>
    <x v="0"/>
    <x v="2"/>
    <x v="2"/>
    <x v="3"/>
    <x v="6"/>
    <s v="DE4-S_A"/>
    <x v="6"/>
    <x v="7"/>
    <s v="GNR_RES_WTR_NOPMP"/>
    <x v="0"/>
    <x v="5"/>
    <n v="124"/>
    <n v="45260"/>
    <n v="162936"/>
  </r>
  <r>
    <x v="0"/>
    <x v="2"/>
    <x v="2"/>
    <x v="3"/>
    <x v="6"/>
    <s v="DE4-S_A"/>
    <x v="6"/>
    <x v="7"/>
    <s v="GNR_RES_WTR_NOPMP"/>
    <x v="0"/>
    <x v="6"/>
    <n v="124"/>
    <n v="45260"/>
    <n v="162936"/>
  </r>
  <r>
    <x v="0"/>
    <x v="2"/>
    <x v="2"/>
    <x v="3"/>
    <x v="6"/>
    <s v="DE4-S_A"/>
    <x v="6"/>
    <x v="7"/>
    <s v="GNR_RES_WTR_NOPMP"/>
    <x v="0"/>
    <x v="7"/>
    <n v="124"/>
    <n v="45260"/>
    <n v="162936"/>
  </r>
  <r>
    <x v="0"/>
    <x v="2"/>
    <x v="2"/>
    <x v="3"/>
    <x v="6"/>
    <s v="DE4-S_A"/>
    <x v="6"/>
    <x v="7"/>
    <s v="GNR_RES_WTR_NOPMP"/>
    <x v="0"/>
    <x v="8"/>
    <n v="124"/>
    <n v="45260"/>
    <n v="162936"/>
  </r>
  <r>
    <x v="0"/>
    <x v="2"/>
    <x v="2"/>
    <x v="3"/>
    <x v="6"/>
    <s v="DE4-S_A"/>
    <x v="6"/>
    <x v="7"/>
    <s v="GNR_RES_WTR_NOPMP"/>
    <x v="0"/>
    <x v="15"/>
    <n v="124"/>
    <n v="45260"/>
    <n v="162936"/>
  </r>
  <r>
    <x v="0"/>
    <x v="2"/>
    <x v="2"/>
    <x v="3"/>
    <x v="6"/>
    <s v="DE4-S_A"/>
    <x v="6"/>
    <x v="7"/>
    <s v="GNR_RES_WTR_NOPMP"/>
    <x v="0"/>
    <x v="16"/>
    <n v="124"/>
    <n v="45260"/>
    <n v="162936"/>
  </r>
  <r>
    <x v="0"/>
    <x v="2"/>
    <x v="2"/>
    <x v="3"/>
    <x v="6"/>
    <s v="DE4-S_A"/>
    <x v="6"/>
    <x v="7"/>
    <s v="GNR_RES_WTR_NOPMP"/>
    <x v="0"/>
    <x v="17"/>
    <n v="124"/>
    <n v="45260"/>
    <n v="162936"/>
  </r>
  <r>
    <x v="0"/>
    <x v="2"/>
    <x v="2"/>
    <x v="3"/>
    <x v="6"/>
    <s v="DE4-S_A"/>
    <x v="6"/>
    <x v="7"/>
    <s v="GNR_RES_WTR_NOPMP"/>
    <x v="0"/>
    <x v="19"/>
    <n v="25.432108074022501"/>
    <n v="9282.7194470182294"/>
    <n v="33417.790009265598"/>
  </r>
  <r>
    <x v="0"/>
    <x v="2"/>
    <x v="2"/>
    <x v="3"/>
    <x v="6"/>
    <s v="DE4-S_A"/>
    <x v="6"/>
    <x v="4"/>
    <s v="GNR_ROR_WTR"/>
    <x v="0"/>
    <x v="0"/>
    <n v="4361.5442694063904"/>
    <n v="1591963.6583333299"/>
    <n v="5731069.1699999999"/>
  </r>
  <r>
    <x v="0"/>
    <x v="2"/>
    <x v="2"/>
    <x v="3"/>
    <x v="6"/>
    <s v="DE4-S_A"/>
    <x v="6"/>
    <x v="4"/>
    <s v="GNR_ROR_WTR"/>
    <x v="0"/>
    <x v="1"/>
    <n v="4361.5442694063904"/>
    <n v="1591963.6583333299"/>
    <n v="5731069.1699999999"/>
  </r>
  <r>
    <x v="0"/>
    <x v="2"/>
    <x v="2"/>
    <x v="3"/>
    <x v="6"/>
    <s v="DE4-S_A"/>
    <x v="6"/>
    <x v="4"/>
    <s v="GNR_ROR_WTR"/>
    <x v="0"/>
    <x v="18"/>
    <n v="4361.5442694063904"/>
    <n v="1591963.6583333299"/>
    <n v="5731069.1699999999"/>
  </r>
  <r>
    <x v="0"/>
    <x v="2"/>
    <x v="2"/>
    <x v="3"/>
    <x v="6"/>
    <s v="DE4-S_A"/>
    <x v="6"/>
    <x v="4"/>
    <s v="GNR_ROR_WTR"/>
    <x v="0"/>
    <x v="2"/>
    <n v="4361.5442694063904"/>
    <n v="1591963.6583333299"/>
    <n v="5731069.1699999999"/>
  </r>
  <r>
    <x v="0"/>
    <x v="2"/>
    <x v="2"/>
    <x v="3"/>
    <x v="6"/>
    <s v="DE4-S_A"/>
    <x v="6"/>
    <x v="4"/>
    <s v="GNR_ROR_WTR"/>
    <x v="0"/>
    <x v="3"/>
    <n v="4361.5442694063904"/>
    <n v="1591963.6583333299"/>
    <n v="5731069.1699999999"/>
  </r>
  <r>
    <x v="0"/>
    <x v="2"/>
    <x v="2"/>
    <x v="3"/>
    <x v="6"/>
    <s v="DE4-S_A"/>
    <x v="6"/>
    <x v="4"/>
    <s v="GNR_ROR_WTR"/>
    <x v="0"/>
    <x v="4"/>
    <n v="4361.5442694063904"/>
    <n v="1591963.6583333299"/>
    <n v="5731069.1699999999"/>
  </r>
  <r>
    <x v="0"/>
    <x v="2"/>
    <x v="2"/>
    <x v="3"/>
    <x v="6"/>
    <s v="DE4-S_A"/>
    <x v="6"/>
    <x v="4"/>
    <s v="GNR_ROR_WTR"/>
    <x v="0"/>
    <x v="5"/>
    <n v="4361.5442694063904"/>
    <n v="1591963.6583333299"/>
    <n v="5731069.1699999999"/>
  </r>
  <r>
    <x v="0"/>
    <x v="2"/>
    <x v="2"/>
    <x v="3"/>
    <x v="6"/>
    <s v="DE4-S_A"/>
    <x v="6"/>
    <x v="4"/>
    <s v="GNR_ROR_WTR"/>
    <x v="0"/>
    <x v="6"/>
    <n v="4361.5442694063904"/>
    <n v="1591963.6583333299"/>
    <n v="5731069.1699999999"/>
  </r>
  <r>
    <x v="0"/>
    <x v="2"/>
    <x v="2"/>
    <x v="3"/>
    <x v="6"/>
    <s v="DE4-S_A"/>
    <x v="6"/>
    <x v="4"/>
    <s v="GNR_ROR_WTR"/>
    <x v="0"/>
    <x v="7"/>
    <n v="4361.5442694063904"/>
    <n v="1591963.6583333299"/>
    <n v="5731069.1699999999"/>
  </r>
  <r>
    <x v="0"/>
    <x v="2"/>
    <x v="2"/>
    <x v="3"/>
    <x v="6"/>
    <s v="DE4-S_A"/>
    <x v="6"/>
    <x v="4"/>
    <s v="GNR_ROR_WTR"/>
    <x v="0"/>
    <x v="8"/>
    <n v="4361.5442694063904"/>
    <n v="1591963.6583333299"/>
    <n v="5731069.1699999999"/>
  </r>
  <r>
    <x v="0"/>
    <x v="2"/>
    <x v="2"/>
    <x v="3"/>
    <x v="6"/>
    <s v="DE4-S_A"/>
    <x v="6"/>
    <x v="4"/>
    <s v="GNR_ROR_WTR"/>
    <x v="0"/>
    <x v="9"/>
    <n v="4361.5442694063904"/>
    <n v="1591963.6583333299"/>
    <n v="5731069.1699999999"/>
  </r>
  <r>
    <x v="0"/>
    <x v="2"/>
    <x v="2"/>
    <x v="3"/>
    <x v="6"/>
    <s v="DE4-S_A"/>
    <x v="6"/>
    <x v="4"/>
    <s v="GNR_ROR_WTR"/>
    <x v="0"/>
    <x v="10"/>
    <n v="4361.5442694063904"/>
    <n v="1591963.6583333299"/>
    <n v="5731069.1699999999"/>
  </r>
  <r>
    <x v="0"/>
    <x v="2"/>
    <x v="2"/>
    <x v="3"/>
    <x v="6"/>
    <s v="DE4-S_A"/>
    <x v="6"/>
    <x v="4"/>
    <s v="GNR_ROR_WTR"/>
    <x v="0"/>
    <x v="11"/>
    <n v="4361.5442694063904"/>
    <n v="1591963.6583333299"/>
    <n v="5731069.1699999999"/>
  </r>
  <r>
    <x v="0"/>
    <x v="2"/>
    <x v="2"/>
    <x v="3"/>
    <x v="6"/>
    <s v="DE4-S_A"/>
    <x v="6"/>
    <x v="4"/>
    <s v="GNR_ROR_WTR"/>
    <x v="0"/>
    <x v="12"/>
    <n v="4361.5442694063904"/>
    <n v="1591963.6583333299"/>
    <n v="5731069.1699999999"/>
  </r>
  <r>
    <x v="0"/>
    <x v="2"/>
    <x v="2"/>
    <x v="3"/>
    <x v="6"/>
    <s v="DE4-S_A"/>
    <x v="6"/>
    <x v="4"/>
    <s v="GNR_ROR_WTR"/>
    <x v="0"/>
    <x v="13"/>
    <n v="4361.5442694063904"/>
    <n v="1591963.6583333299"/>
    <n v="5731069.1699999999"/>
  </r>
  <r>
    <x v="0"/>
    <x v="2"/>
    <x v="2"/>
    <x v="3"/>
    <x v="6"/>
    <s v="DE4-S_A"/>
    <x v="6"/>
    <x v="4"/>
    <s v="GNR_ROR_WTR"/>
    <x v="0"/>
    <x v="14"/>
    <n v="4361.5442694063904"/>
    <n v="1591963.6583333299"/>
    <n v="5731069.1699999999"/>
  </r>
  <r>
    <x v="0"/>
    <x v="2"/>
    <x v="2"/>
    <x v="3"/>
    <x v="6"/>
    <s v="DE4-S_A"/>
    <x v="6"/>
    <x v="4"/>
    <s v="GNR_ROR_WTR"/>
    <x v="0"/>
    <x v="15"/>
    <n v="4361.5442694063904"/>
    <n v="1591963.6583333299"/>
    <n v="5731069.1699999999"/>
  </r>
  <r>
    <x v="0"/>
    <x v="2"/>
    <x v="2"/>
    <x v="3"/>
    <x v="6"/>
    <s v="DE4-S_A"/>
    <x v="6"/>
    <x v="4"/>
    <s v="GNR_ROR_WTR"/>
    <x v="0"/>
    <x v="16"/>
    <n v="4361.5442694063904"/>
    <n v="1591963.6583333299"/>
    <n v="5731069.1699999999"/>
  </r>
  <r>
    <x v="0"/>
    <x v="2"/>
    <x v="2"/>
    <x v="3"/>
    <x v="6"/>
    <s v="DE4-S_A"/>
    <x v="6"/>
    <x v="4"/>
    <s v="GNR_ROR_WTR"/>
    <x v="0"/>
    <x v="17"/>
    <n v="4361.5442694063904"/>
    <n v="1591963.6583333299"/>
    <n v="5731069.1699999999"/>
  </r>
  <r>
    <x v="0"/>
    <x v="2"/>
    <x v="2"/>
    <x v="3"/>
    <x v="6"/>
    <s v="DE4-S_A"/>
    <x v="6"/>
    <x v="4"/>
    <s v="GNR_ROR_WTR"/>
    <x v="0"/>
    <x v="19"/>
    <n v="4361.5442694063904"/>
    <n v="1591963.6583333299"/>
    <n v="5731069.1699999999"/>
  </r>
  <r>
    <x v="0"/>
    <x v="2"/>
    <x v="2"/>
    <x v="3"/>
    <x v="6"/>
    <s v="DE4-S_A"/>
    <x v="6"/>
    <x v="4"/>
    <s v="GNR_ROR_WTR"/>
    <x v="0"/>
    <x v="20"/>
    <n v="4361.5442694063904"/>
    <n v="1591963.6583333299"/>
    <n v="5731069.1699999999"/>
  </r>
  <r>
    <x v="0"/>
    <x v="2"/>
    <x v="2"/>
    <x v="3"/>
    <x v="6"/>
    <s v="DE4-S_A"/>
    <x v="6"/>
    <x v="4"/>
    <s v="GNR_ROR_WTR"/>
    <x v="0"/>
    <x v="21"/>
    <n v="4361.5442694063904"/>
    <n v="1591963.6583333299"/>
    <n v="5731069.1699999999"/>
  </r>
  <r>
    <x v="0"/>
    <x v="2"/>
    <x v="2"/>
    <x v="3"/>
    <x v="6"/>
    <s v="DE4-S_A"/>
    <x v="6"/>
    <x v="4"/>
    <s v="GNR_ROR_WTR"/>
    <x v="0"/>
    <x v="22"/>
    <n v="4361.5442694063904"/>
    <n v="1591963.6583333299"/>
    <n v="5731069.1699999999"/>
  </r>
  <r>
    <x v="0"/>
    <x v="2"/>
    <x v="2"/>
    <x v="3"/>
    <x v="6"/>
    <s v="DE4-S_A"/>
    <x v="6"/>
    <x v="4"/>
    <s v="GNR_ROR_WTR"/>
    <x v="0"/>
    <x v="23"/>
    <n v="4361.5442694063904"/>
    <n v="1591963.6583333299"/>
    <n v="5731069.1699999999"/>
  </r>
  <r>
    <x v="0"/>
    <x v="2"/>
    <x v="2"/>
    <x v="3"/>
    <x v="6"/>
    <s v="DE4-S_A"/>
    <x v="7"/>
    <x v="5"/>
    <s v="GNR_WT_WIND_ONS"/>
    <x v="0"/>
    <x v="0"/>
    <n v="1005.18948581941"/>
    <n v="366894.16232408502"/>
    <n v="1320818.9843667101"/>
  </r>
  <r>
    <x v="0"/>
    <x v="2"/>
    <x v="2"/>
    <x v="3"/>
    <x v="6"/>
    <s v="DE4-S_A"/>
    <x v="7"/>
    <x v="5"/>
    <s v="GNR_WT_WIND_ONS"/>
    <x v="0"/>
    <x v="1"/>
    <n v="972.61297157212095"/>
    <n v="355003.73462382401"/>
    <n v="1278013.4446457699"/>
  </r>
  <r>
    <x v="0"/>
    <x v="2"/>
    <x v="2"/>
    <x v="3"/>
    <x v="6"/>
    <s v="DE4-S_A"/>
    <x v="7"/>
    <x v="5"/>
    <s v="GNR_WT_WIND_ONS"/>
    <x v="0"/>
    <x v="18"/>
    <n v="944.85269762422297"/>
    <n v="344871.23463284102"/>
    <n v="1241536.44467823"/>
  </r>
  <r>
    <x v="0"/>
    <x v="2"/>
    <x v="2"/>
    <x v="3"/>
    <x v="6"/>
    <s v="DE4-S_A"/>
    <x v="7"/>
    <x v="5"/>
    <s v="GNR_WT_WIND_ONS"/>
    <x v="0"/>
    <x v="2"/>
    <n v="897.22543244132396"/>
    <n v="327487.28284108301"/>
    <n v="1178954.2182279001"/>
  </r>
  <r>
    <x v="0"/>
    <x v="2"/>
    <x v="2"/>
    <x v="3"/>
    <x v="6"/>
    <s v="DE4-S_A"/>
    <x v="7"/>
    <x v="5"/>
    <s v="GNR_WT_WIND_ONS"/>
    <x v="0"/>
    <x v="3"/>
    <n v="817.28922191665504"/>
    <n v="298310.56599957898"/>
    <n v="1073918.03759849"/>
  </r>
  <r>
    <x v="0"/>
    <x v="2"/>
    <x v="2"/>
    <x v="3"/>
    <x v="6"/>
    <s v="DE4-S_A"/>
    <x v="7"/>
    <x v="5"/>
    <s v="GNR_WT_WIND_ONS"/>
    <x v="0"/>
    <x v="4"/>
    <n v="745.78143191592699"/>
    <n v="272210.22264931299"/>
    <n v="979956.801537527"/>
  </r>
  <r>
    <x v="0"/>
    <x v="2"/>
    <x v="2"/>
    <x v="3"/>
    <x v="6"/>
    <s v="DE4-S_A"/>
    <x v="7"/>
    <x v="5"/>
    <s v="GNR_WT_WIND_ONS"/>
    <x v="0"/>
    <x v="5"/>
    <n v="614.73956043657404"/>
    <n v="224379.93955934999"/>
    <n v="807767.78241365799"/>
  </r>
  <r>
    <x v="0"/>
    <x v="2"/>
    <x v="2"/>
    <x v="3"/>
    <x v="6"/>
    <s v="DE4-S_A"/>
    <x v="7"/>
    <x v="5"/>
    <s v="GNR_WT_WIND_ONS"/>
    <x v="0"/>
    <x v="6"/>
    <n v="594.47121584329"/>
    <n v="216981.993782801"/>
    <n v="781135.17761808296"/>
  </r>
  <r>
    <x v="0"/>
    <x v="2"/>
    <x v="2"/>
    <x v="3"/>
    <x v="6"/>
    <s v="DE4-S_A"/>
    <x v="7"/>
    <x v="5"/>
    <s v="GNR_WT_WIND_ONS"/>
    <x v="0"/>
    <x v="7"/>
    <n v="639.088330839067"/>
    <n v="233267.24075626"/>
    <n v="839762.06672253495"/>
  </r>
  <r>
    <x v="0"/>
    <x v="2"/>
    <x v="2"/>
    <x v="3"/>
    <x v="6"/>
    <s v="DE4-S_A"/>
    <x v="7"/>
    <x v="5"/>
    <s v="GNR_WT_WIND_ONS"/>
    <x v="0"/>
    <x v="8"/>
    <n v="689.324392850805"/>
    <n v="251603.403390544"/>
    <n v="905772.25220595801"/>
  </r>
  <r>
    <x v="0"/>
    <x v="2"/>
    <x v="2"/>
    <x v="3"/>
    <x v="6"/>
    <s v="DE4-S_A"/>
    <x v="7"/>
    <x v="5"/>
    <s v="GNR_WT_WIND_ONS"/>
    <x v="0"/>
    <x v="9"/>
    <n v="795.34857166385905"/>
    <n v="290302.22865730902"/>
    <n v="1045088.02316631"/>
  </r>
  <r>
    <x v="0"/>
    <x v="2"/>
    <x v="2"/>
    <x v="3"/>
    <x v="6"/>
    <s v="DE4-S_A"/>
    <x v="7"/>
    <x v="5"/>
    <s v="GNR_WT_WIND_ONS"/>
    <x v="0"/>
    <x v="10"/>
    <n v="876.154381131474"/>
    <n v="319796.34911298798"/>
    <n v="1151266.85680676"/>
  </r>
  <r>
    <x v="0"/>
    <x v="2"/>
    <x v="2"/>
    <x v="3"/>
    <x v="6"/>
    <s v="DE4-S_A"/>
    <x v="7"/>
    <x v="5"/>
    <s v="GNR_WT_WIND_ONS"/>
    <x v="0"/>
    <x v="11"/>
    <n v="1078.1689048005101"/>
    <n v="393531.65025218698"/>
    <n v="1416713.94090787"/>
  </r>
  <r>
    <x v="0"/>
    <x v="2"/>
    <x v="2"/>
    <x v="3"/>
    <x v="6"/>
    <s v="DE4-S_A"/>
    <x v="7"/>
    <x v="5"/>
    <s v="GNR_WT_WIND_ONS"/>
    <x v="0"/>
    <x v="12"/>
    <n v="1259.91508387626"/>
    <n v="459869.00561483699"/>
    <n v="1655528.4202134099"/>
  </r>
  <r>
    <x v="0"/>
    <x v="2"/>
    <x v="2"/>
    <x v="3"/>
    <x v="6"/>
    <s v="DE4-S_A"/>
    <x v="7"/>
    <x v="5"/>
    <s v="GNR_WT_WIND_ONS"/>
    <x v="0"/>
    <x v="13"/>
    <n v="1467.0134167502199"/>
    <n v="535459.89711382997"/>
    <n v="1927655.6296097899"/>
  </r>
  <r>
    <x v="0"/>
    <x v="2"/>
    <x v="2"/>
    <x v="3"/>
    <x v="6"/>
    <s v="DE4-S_A"/>
    <x v="7"/>
    <x v="5"/>
    <s v="GNR_WT_WIND_ONS"/>
    <x v="0"/>
    <x v="14"/>
    <n v="1671.4360605689501"/>
    <n v="610074.162107668"/>
    <n v="2196266.9835875998"/>
  </r>
  <r>
    <x v="0"/>
    <x v="2"/>
    <x v="2"/>
    <x v="3"/>
    <x v="6"/>
    <s v="DE4-S_A"/>
    <x v="7"/>
    <x v="5"/>
    <s v="GNR_WT_WIND_ONS"/>
    <x v="0"/>
    <x v="15"/>
    <n v="1944.3563442012901"/>
    <n v="709690.06563347299"/>
    <n v="2554884.2362805"/>
  </r>
  <r>
    <x v="0"/>
    <x v="2"/>
    <x v="2"/>
    <x v="3"/>
    <x v="6"/>
    <s v="DE4-S_A"/>
    <x v="7"/>
    <x v="5"/>
    <s v="GNR_WT_WIND_ONS"/>
    <x v="0"/>
    <x v="16"/>
    <n v="2193.6636719213302"/>
    <n v="800687.24025128502"/>
    <n v="2882474.0649046302"/>
  </r>
  <r>
    <x v="0"/>
    <x v="2"/>
    <x v="2"/>
    <x v="3"/>
    <x v="6"/>
    <s v="DE4-S_A"/>
    <x v="7"/>
    <x v="5"/>
    <s v="GNR_WT_WIND_ONS"/>
    <x v="0"/>
    <x v="17"/>
    <n v="2460.83122408495"/>
    <n v="898203.39679100702"/>
    <n v="3233532.2284476198"/>
  </r>
  <r>
    <x v="0"/>
    <x v="2"/>
    <x v="2"/>
    <x v="3"/>
    <x v="6"/>
    <s v="DE4-S_A"/>
    <x v="7"/>
    <x v="5"/>
    <s v="GNR_WT_WIND_ONS"/>
    <x v="0"/>
    <x v="19"/>
    <n v="2729.3366207761801"/>
    <n v="996207.86658330599"/>
    <n v="3586348.3196999002"/>
  </r>
  <r>
    <x v="0"/>
    <x v="2"/>
    <x v="2"/>
    <x v="3"/>
    <x v="6"/>
    <s v="DE4-S_A"/>
    <x v="7"/>
    <x v="5"/>
    <s v="GNR_WT_WIND_ONS"/>
    <x v="0"/>
    <x v="20"/>
    <n v="2958.6431728084499"/>
    <n v="1079904.7580750899"/>
    <n v="3887657.1290703099"/>
  </r>
  <r>
    <x v="0"/>
    <x v="2"/>
    <x v="2"/>
    <x v="3"/>
    <x v="6"/>
    <s v="DE4-S_A"/>
    <x v="7"/>
    <x v="5"/>
    <s v="GNR_WT_WIND_ONS"/>
    <x v="0"/>
    <x v="21"/>
    <n v="3210.8937584892301"/>
    <n v="1171976.22184857"/>
    <n v="4219114.39865484"/>
  </r>
  <r>
    <x v="0"/>
    <x v="2"/>
    <x v="2"/>
    <x v="3"/>
    <x v="6"/>
    <s v="DE4-S_A"/>
    <x v="7"/>
    <x v="5"/>
    <s v="GNR_WT_WIND_ONS"/>
    <x v="0"/>
    <x v="22"/>
    <n v="3529.2338638339102"/>
    <n v="1288170.36029938"/>
    <n v="4637413.2970777601"/>
  </r>
  <r>
    <x v="0"/>
    <x v="2"/>
    <x v="2"/>
    <x v="3"/>
    <x v="6"/>
    <s v="DE4-S_A"/>
    <x v="7"/>
    <x v="5"/>
    <s v="GNR_WT_WIND_ONS"/>
    <x v="0"/>
    <x v="23"/>
    <n v="3736.86733451891"/>
    <n v="1363956.5770994001"/>
    <n v="4910243.6775578503"/>
  </r>
  <r>
    <x v="0"/>
    <x v="2"/>
    <x v="2"/>
    <x v="3"/>
    <x v="6"/>
    <s v="DE4-S_A"/>
    <x v="7"/>
    <x v="5"/>
    <s v="GNR_WT_WIND_ON_LS_Y-2030"/>
    <x v="0"/>
    <x v="0"/>
    <n v="3296.27685414081"/>
    <n v="1203141.0517614"/>
    <n v="4331307.7863410302"/>
  </r>
  <r>
    <x v="0"/>
    <x v="2"/>
    <x v="2"/>
    <x v="3"/>
    <x v="6"/>
    <s v="DE4-S_A"/>
    <x v="7"/>
    <x v="5"/>
    <s v="GNR_WT_WIND_ON_LS_Y-2030"/>
    <x v="0"/>
    <x v="1"/>
    <n v="3189.4500205767899"/>
    <n v="1164149.2575105301"/>
    <n v="4190937.3270379002"/>
  </r>
  <r>
    <x v="0"/>
    <x v="2"/>
    <x v="2"/>
    <x v="3"/>
    <x v="6"/>
    <s v="DE4-S_A"/>
    <x v="7"/>
    <x v="5"/>
    <s v="GNR_WT_WIND_ON_LS_Y-2030"/>
    <x v="0"/>
    <x v="18"/>
    <n v="3098.41688725221"/>
    <n v="1130922.1638470599"/>
    <n v="4071319.7898494098"/>
  </r>
  <r>
    <x v="0"/>
    <x v="2"/>
    <x v="2"/>
    <x v="3"/>
    <x v="6"/>
    <s v="DE4-S_A"/>
    <x v="7"/>
    <x v="5"/>
    <s v="GNR_WT_WIND_ON_LS_Y-2030"/>
    <x v="0"/>
    <x v="2"/>
    <n v="2942.2347404399202"/>
    <n v="1073915.68026057"/>
    <n v="3866096.4489380601"/>
  </r>
  <r>
    <x v="0"/>
    <x v="2"/>
    <x v="2"/>
    <x v="3"/>
    <x v="6"/>
    <s v="DE4-S_A"/>
    <x v="7"/>
    <x v="5"/>
    <s v="GNR_WT_WIND_ON_LS_Y-2030"/>
    <x v="0"/>
    <x v="3"/>
    <n v="2680.1031878546901"/>
    <n v="978237.66356696305"/>
    <n v="3521655.58884107"/>
  </r>
  <r>
    <x v="0"/>
    <x v="2"/>
    <x v="2"/>
    <x v="3"/>
    <x v="6"/>
    <s v="DE4-S_A"/>
    <x v="7"/>
    <x v="5"/>
    <s v="GNR_WT_WIND_ON_LS_Y-2030"/>
    <x v="0"/>
    <x v="4"/>
    <n v="2445.6106106884899"/>
    <n v="892647.87290129799"/>
    <n v="3213532.3424446699"/>
  </r>
  <r>
    <x v="0"/>
    <x v="2"/>
    <x v="2"/>
    <x v="3"/>
    <x v="6"/>
    <s v="DE4-S_A"/>
    <x v="7"/>
    <x v="5"/>
    <s v="GNR_WT_WIND_ON_LS_Y-2030"/>
    <x v="0"/>
    <x v="5"/>
    <n v="2015.89035000693"/>
    <n v="735799.97775252804"/>
    <n v="2648879.9199091"/>
  </r>
  <r>
    <x v="0"/>
    <x v="2"/>
    <x v="2"/>
    <x v="3"/>
    <x v="6"/>
    <s v="DE4-S_A"/>
    <x v="7"/>
    <x v="5"/>
    <s v="GNR_WT_WIND_ON_LS_Y-2030"/>
    <x v="0"/>
    <x v="6"/>
    <n v="1949.4251948326"/>
    <n v="711540.19611389702"/>
    <n v="2561544.7060100301"/>
  </r>
  <r>
    <x v="0"/>
    <x v="2"/>
    <x v="2"/>
    <x v="3"/>
    <x v="6"/>
    <s v="DE4-S_A"/>
    <x v="7"/>
    <x v="5"/>
    <s v="GNR_WT_WIND_ON_LS_Y-2030"/>
    <x v="0"/>
    <x v="7"/>
    <n v="2095.7362789952299"/>
    <n v="764943.741833259"/>
    <n v="2753797.47059973"/>
  </r>
  <r>
    <x v="0"/>
    <x v="2"/>
    <x v="2"/>
    <x v="3"/>
    <x v="6"/>
    <s v="DE4-S_A"/>
    <x v="7"/>
    <x v="5"/>
    <s v="GNR_WT_WIND_ON_LS_Y-2030"/>
    <x v="0"/>
    <x v="8"/>
    <n v="2260.4733467705501"/>
    <n v="825072.77157125098"/>
    <n v="2970261.9776565102"/>
  </r>
  <r>
    <x v="0"/>
    <x v="2"/>
    <x v="2"/>
    <x v="3"/>
    <x v="6"/>
    <s v="DE4-S_A"/>
    <x v="7"/>
    <x v="5"/>
    <s v="GNR_WT_WIND_ON_LS_Y-2030"/>
    <x v="0"/>
    <x v="9"/>
    <n v="2608.1541089861098"/>
    <n v="951976.24977992999"/>
    <n v="3427114.49920775"/>
  </r>
  <r>
    <x v="0"/>
    <x v="2"/>
    <x v="2"/>
    <x v="3"/>
    <x v="6"/>
    <s v="DE4-S_A"/>
    <x v="7"/>
    <x v="5"/>
    <s v="GNR_WT_WIND_ON_LS_Y-2030"/>
    <x v="0"/>
    <x v="10"/>
    <n v="2873.13730189235"/>
    <n v="1048695.1151907099"/>
    <n v="3775302.4146865499"/>
  </r>
  <r>
    <x v="0"/>
    <x v="2"/>
    <x v="2"/>
    <x v="3"/>
    <x v="6"/>
    <s v="DE4-S_A"/>
    <x v="7"/>
    <x v="5"/>
    <s v="GNR_WT_WIND_ON_LS_Y-2030"/>
    <x v="0"/>
    <x v="11"/>
    <n v="3535.5952841579601"/>
    <n v="1290492.2787176501"/>
    <n v="4645772.2033835603"/>
  </r>
  <r>
    <x v="0"/>
    <x v="2"/>
    <x v="2"/>
    <x v="3"/>
    <x v="6"/>
    <s v="DE4-S_A"/>
    <x v="7"/>
    <x v="5"/>
    <s v="GNR_WT_WIND_ON_LS_Y-2030"/>
    <x v="0"/>
    <x v="12"/>
    <n v="4131.5881112492298"/>
    <n v="1508029.6606059701"/>
    <n v="5428906.7781814896"/>
  </r>
  <r>
    <x v="0"/>
    <x v="2"/>
    <x v="2"/>
    <x v="3"/>
    <x v="6"/>
    <s v="DE4-S_A"/>
    <x v="7"/>
    <x v="5"/>
    <s v="GNR_WT_WIND_ON_LS_Y-2030"/>
    <x v="0"/>
    <x v="13"/>
    <n v="4810.7172215453602"/>
    <n v="1755911.78586406"/>
    <n v="6321282.4291106099"/>
  </r>
  <r>
    <x v="0"/>
    <x v="2"/>
    <x v="2"/>
    <x v="3"/>
    <x v="6"/>
    <s v="DE4-S_A"/>
    <x v="7"/>
    <x v="5"/>
    <s v="GNR_WT_WIND_ON_LS_Y-2030"/>
    <x v="0"/>
    <x v="14"/>
    <n v="5481.0720539306903"/>
    <n v="2000591.2996847001"/>
    <n v="7202128.6788649298"/>
  </r>
  <r>
    <x v="0"/>
    <x v="2"/>
    <x v="2"/>
    <x v="3"/>
    <x v="6"/>
    <s v="DE4-S_A"/>
    <x v="7"/>
    <x v="5"/>
    <s v="GNR_WT_WIND_ON_LS_Y-2030"/>
    <x v="0"/>
    <x v="15"/>
    <n v="6376.0484008325702"/>
    <n v="2327257.6663038898"/>
    <n v="8378127.5986940004"/>
  </r>
  <r>
    <x v="0"/>
    <x v="2"/>
    <x v="2"/>
    <x v="3"/>
    <x v="6"/>
    <s v="DE4-S_A"/>
    <x v="7"/>
    <x v="5"/>
    <s v="GNR_WT_WIND_ON_LS_Y-2030"/>
    <x v="0"/>
    <x v="16"/>
    <n v="7193.5917451716095"/>
    <n v="2625660.9869876401"/>
    <n v="9452379.5531555004"/>
  </r>
  <r>
    <x v="0"/>
    <x v="2"/>
    <x v="2"/>
    <x v="3"/>
    <x v="6"/>
    <s v="DE4-S_A"/>
    <x v="7"/>
    <x v="5"/>
    <s v="GNR_WT_WIND_ON_LS_Y-2030"/>
    <x v="0"/>
    <x v="17"/>
    <n v="8069.7033945652602"/>
    <n v="2945441.7390163201"/>
    <n v="10603590.260458799"/>
  </r>
  <r>
    <x v="0"/>
    <x v="2"/>
    <x v="2"/>
    <x v="3"/>
    <x v="6"/>
    <s v="DE4-S_A"/>
    <x v="7"/>
    <x v="5"/>
    <s v="GNR_WT_WIND_ON_LS_Y-2030"/>
    <x v="0"/>
    <x v="19"/>
    <n v="8950.2021829143196"/>
    <n v="3266823.7967637298"/>
    <n v="11760565.6683494"/>
  </r>
  <r>
    <x v="0"/>
    <x v="2"/>
    <x v="2"/>
    <x v="3"/>
    <x v="6"/>
    <s v="DE4-S_A"/>
    <x v="7"/>
    <x v="5"/>
    <s v="GNR_WT_WIND_ON_LS_Y-2030"/>
    <x v="0"/>
    <x v="20"/>
    <n v="9702.1577998701105"/>
    <n v="3541287.5969525902"/>
    <n v="12748635.349029301"/>
  </r>
  <r>
    <x v="0"/>
    <x v="2"/>
    <x v="2"/>
    <x v="3"/>
    <x v="6"/>
    <s v="DE4-S_A"/>
    <x v="7"/>
    <x v="5"/>
    <s v="GNR_WT_WIND_ON_LS_Y-2030"/>
    <x v="0"/>
    <x v="21"/>
    <n v="10529.352849911"/>
    <n v="3843213.79021753"/>
    <n v="13835569.6447831"/>
  </r>
  <r>
    <x v="0"/>
    <x v="2"/>
    <x v="2"/>
    <x v="3"/>
    <x v="6"/>
    <s v="DE4-S_A"/>
    <x v="7"/>
    <x v="5"/>
    <s v="GNR_WT_WIND_ON_LS_Y-2030"/>
    <x v="0"/>
    <x v="22"/>
    <n v="11573.272564348799"/>
    <n v="4224244.4859873103"/>
    <n v="15207280.149554299"/>
  </r>
  <r>
    <x v="0"/>
    <x v="2"/>
    <x v="2"/>
    <x v="3"/>
    <x v="6"/>
    <s v="DE4-S_A"/>
    <x v="7"/>
    <x v="5"/>
    <s v="GNR_WT_WIND_ON_LS_Y-2030"/>
    <x v="0"/>
    <x v="23"/>
    <n v="12254.156530227099"/>
    <n v="4472767.1335328901"/>
    <n v="16101961.6807184"/>
  </r>
  <r>
    <x v="0"/>
    <x v="2"/>
    <x v="2"/>
    <x v="3"/>
    <x v="7"/>
    <s v="DE4-W_A"/>
    <x v="1"/>
    <x v="9"/>
    <s v="AGG-DE4-W_ES_ELEC"/>
    <x v="0"/>
    <x v="6"/>
    <n v="2.10666666666667"/>
    <n v="768.93333333333305"/>
    <n v="2768.16"/>
  </r>
  <r>
    <x v="0"/>
    <x v="2"/>
    <x v="2"/>
    <x v="3"/>
    <x v="7"/>
    <s v="DE4-W_A"/>
    <x v="1"/>
    <x v="9"/>
    <s v="AGG-DE4-W_ES_ELEC"/>
    <x v="0"/>
    <x v="7"/>
    <n v="2.10666666666667"/>
    <n v="768.93333333333305"/>
    <n v="2768.16"/>
  </r>
  <r>
    <x v="0"/>
    <x v="2"/>
    <x v="2"/>
    <x v="3"/>
    <x v="7"/>
    <s v="DE4-W_A"/>
    <x v="1"/>
    <x v="9"/>
    <s v="AGG-DE4-W_ES_ELEC"/>
    <x v="0"/>
    <x v="15"/>
    <n v="2.10666666666667"/>
    <n v="768.93333333333305"/>
    <n v="2768.16"/>
  </r>
  <r>
    <x v="0"/>
    <x v="2"/>
    <x v="2"/>
    <x v="3"/>
    <x v="7"/>
    <s v="DE4-W_A"/>
    <x v="1"/>
    <x v="9"/>
    <s v="AGG-DE4-W_ES_ELEC"/>
    <x v="0"/>
    <x v="16"/>
    <n v="2.10666666666667"/>
    <n v="768.93333333333305"/>
    <n v="2768.16"/>
  </r>
  <r>
    <x v="0"/>
    <x v="2"/>
    <x v="2"/>
    <x v="3"/>
    <x v="7"/>
    <s v="DE4-W_A"/>
    <x v="1"/>
    <x v="8"/>
    <s v="AGG-DE4-W_RES_WTR_PMP"/>
    <x v="0"/>
    <x v="0"/>
    <n v="627.28571112054897"/>
    <n v="228959.28455899999"/>
    <n v="824253.42441240198"/>
  </r>
  <r>
    <x v="0"/>
    <x v="2"/>
    <x v="2"/>
    <x v="3"/>
    <x v="7"/>
    <s v="DE4-W_A"/>
    <x v="1"/>
    <x v="8"/>
    <s v="AGG-DE4-W_RES_WTR_PMP"/>
    <x v="0"/>
    <x v="1"/>
    <n v="678.84031627671095"/>
    <n v="247776.71544099899"/>
    <n v="891996.175587598"/>
  </r>
  <r>
    <x v="0"/>
    <x v="2"/>
    <x v="2"/>
    <x v="3"/>
    <x v="7"/>
    <s v="DE4-W_A"/>
    <x v="1"/>
    <x v="8"/>
    <s v="AGG-DE4-W_RES_WTR_PMP"/>
    <x v="0"/>
    <x v="3"/>
    <n v="1025.14073280973"/>
    <n v="374176.36747555202"/>
    <n v="1347034.92291199"/>
  </r>
  <r>
    <x v="0"/>
    <x v="2"/>
    <x v="2"/>
    <x v="3"/>
    <x v="7"/>
    <s v="DE4-W_A"/>
    <x v="1"/>
    <x v="8"/>
    <s v="AGG-DE4-W_RES_WTR_PMP"/>
    <x v="0"/>
    <x v="6"/>
    <n v="449.52135177524002"/>
    <n v="164075.29339796299"/>
    <n v="590671.05623266497"/>
  </r>
  <r>
    <x v="0"/>
    <x v="2"/>
    <x v="2"/>
    <x v="3"/>
    <x v="7"/>
    <s v="DE4-W_A"/>
    <x v="1"/>
    <x v="8"/>
    <s v="AGG-DE4-W_RES_WTR_PMP"/>
    <x v="0"/>
    <x v="7"/>
    <n v="856.60467562201995"/>
    <n v="312660.70660203701"/>
    <n v="1125578.54376733"/>
  </r>
  <r>
    <x v="0"/>
    <x v="2"/>
    <x v="2"/>
    <x v="3"/>
    <x v="7"/>
    <s v="DE4-W_A"/>
    <x v="1"/>
    <x v="8"/>
    <s v="AGG-DE4-W_RES_WTR_PMP"/>
    <x v="0"/>
    <x v="12"/>
    <n v="985.87397260273997"/>
    <n v="359844"/>
    <n v="1295438.3999999999"/>
  </r>
  <r>
    <x v="0"/>
    <x v="2"/>
    <x v="2"/>
    <x v="3"/>
    <x v="7"/>
    <s v="DE4-W_A"/>
    <x v="1"/>
    <x v="8"/>
    <s v="AGG-DE4-W_RES_WTR_PMP"/>
    <x v="0"/>
    <x v="15"/>
    <n v="1146"/>
    <n v="418290"/>
    <n v="1505844"/>
  </r>
  <r>
    <x v="0"/>
    <x v="2"/>
    <x v="2"/>
    <x v="3"/>
    <x v="7"/>
    <s v="DE4-W_A"/>
    <x v="1"/>
    <x v="8"/>
    <s v="AGG-DE4-W_RES_WTR_PMP"/>
    <x v="0"/>
    <x v="16"/>
    <n v="160.12602739726"/>
    <n v="58445.999999999898"/>
    <n v="210405.6"/>
  </r>
  <r>
    <x v="0"/>
    <x v="2"/>
    <x v="2"/>
    <x v="3"/>
    <x v="7"/>
    <s v="DE4-W_A"/>
    <x v="1"/>
    <x v="9"/>
    <s v="GNR_ES_ELEC_BAT-LITHIO_E-97_Y-30-50"/>
    <x v="0"/>
    <x v="0"/>
    <n v="785.57480744918303"/>
    <n v="286734.80471895199"/>
    <n v="1032245.29698823"/>
  </r>
  <r>
    <x v="0"/>
    <x v="2"/>
    <x v="2"/>
    <x v="3"/>
    <x v="7"/>
    <s v="DE4-W_A"/>
    <x v="1"/>
    <x v="9"/>
    <s v="GNR_ES_ELEC_BAT-LITHIO_E-97_Y-30-50"/>
    <x v="0"/>
    <x v="5"/>
    <n v="7949.3704422207102"/>
    <n v="2901520.2114105602"/>
    <n v="10445472.761078"/>
  </r>
  <r>
    <x v="0"/>
    <x v="2"/>
    <x v="2"/>
    <x v="3"/>
    <x v="7"/>
    <s v="DE4-W_A"/>
    <x v="1"/>
    <x v="9"/>
    <s v="GNR_ES_ELEC_BAT-LITHIO_E-97_Y-30-50"/>
    <x v="0"/>
    <x v="6"/>
    <n v="12370.2924613695"/>
    <n v="4515156.7483998798"/>
    <n v="16254564.294239599"/>
  </r>
  <r>
    <x v="0"/>
    <x v="2"/>
    <x v="2"/>
    <x v="3"/>
    <x v="7"/>
    <s v="DE4-W_A"/>
    <x v="1"/>
    <x v="9"/>
    <s v="GNR_ES_ELEC_BAT-LITHIO_E-97_Y-30-50"/>
    <x v="0"/>
    <x v="7"/>
    <n v="12370.2924613695"/>
    <n v="4515156.7483998798"/>
    <n v="16254564.294239599"/>
  </r>
  <r>
    <x v="0"/>
    <x v="2"/>
    <x v="2"/>
    <x v="3"/>
    <x v="7"/>
    <s v="DE4-W_A"/>
    <x v="1"/>
    <x v="9"/>
    <s v="GNR_ES_ELEC_BAT-LITHIO_E-97_Y-30-50"/>
    <x v="0"/>
    <x v="16"/>
    <n v="2946.71374644769"/>
    <n v="1075550.51745341"/>
    <n v="3871981.8628322701"/>
  </r>
  <r>
    <x v="0"/>
    <x v="2"/>
    <x v="2"/>
    <x v="3"/>
    <x v="7"/>
    <s v="DE4-W_A"/>
    <x v="2"/>
    <x v="6"/>
    <s v="GNR_ST_MSW_CND_E-33"/>
    <x v="0"/>
    <x v="0"/>
    <n v="72.599999999999994"/>
    <n v="26499"/>
    <n v="95396.4"/>
  </r>
  <r>
    <x v="0"/>
    <x v="2"/>
    <x v="2"/>
    <x v="3"/>
    <x v="7"/>
    <s v="DE4-W_A"/>
    <x v="2"/>
    <x v="6"/>
    <s v="GNR_ST_MSW_CND_E-33"/>
    <x v="0"/>
    <x v="1"/>
    <n v="72.599999999999994"/>
    <n v="26499"/>
    <n v="95396.4"/>
  </r>
  <r>
    <x v="0"/>
    <x v="2"/>
    <x v="2"/>
    <x v="3"/>
    <x v="7"/>
    <s v="DE4-W_A"/>
    <x v="2"/>
    <x v="6"/>
    <s v="GNR_ST_MSW_CND_E-33"/>
    <x v="0"/>
    <x v="18"/>
    <n v="72.599999999999994"/>
    <n v="26499"/>
    <n v="95396.4"/>
  </r>
  <r>
    <x v="0"/>
    <x v="2"/>
    <x v="2"/>
    <x v="3"/>
    <x v="7"/>
    <s v="DE4-W_A"/>
    <x v="2"/>
    <x v="6"/>
    <s v="GNR_ST_MSW_CND_E-33"/>
    <x v="0"/>
    <x v="2"/>
    <n v="72.599999999999994"/>
    <n v="26499"/>
    <n v="95396.4"/>
  </r>
  <r>
    <x v="0"/>
    <x v="2"/>
    <x v="2"/>
    <x v="3"/>
    <x v="7"/>
    <s v="DE4-W_A"/>
    <x v="2"/>
    <x v="6"/>
    <s v="GNR_ST_MSW_CND_E-33"/>
    <x v="0"/>
    <x v="3"/>
    <n v="72.599999999999994"/>
    <n v="26499"/>
    <n v="95396.4"/>
  </r>
  <r>
    <x v="0"/>
    <x v="2"/>
    <x v="2"/>
    <x v="3"/>
    <x v="7"/>
    <s v="DE4-W_A"/>
    <x v="2"/>
    <x v="6"/>
    <s v="GNR_ST_MSW_CND_E-33"/>
    <x v="0"/>
    <x v="4"/>
    <n v="72.599999999999994"/>
    <n v="26499"/>
    <n v="95396.4"/>
  </r>
  <r>
    <x v="0"/>
    <x v="2"/>
    <x v="2"/>
    <x v="3"/>
    <x v="7"/>
    <s v="DE4-W_A"/>
    <x v="2"/>
    <x v="6"/>
    <s v="GNR_ST_MSW_CND_E-33"/>
    <x v="0"/>
    <x v="5"/>
    <n v="72.599999999999994"/>
    <n v="26499"/>
    <n v="95396.4"/>
  </r>
  <r>
    <x v="0"/>
    <x v="2"/>
    <x v="2"/>
    <x v="3"/>
    <x v="7"/>
    <s v="DE4-W_A"/>
    <x v="2"/>
    <x v="6"/>
    <s v="GNR_ST_MSW_CND_E-33"/>
    <x v="0"/>
    <x v="6"/>
    <n v="72.599999999999994"/>
    <n v="26499"/>
    <n v="95396.4"/>
  </r>
  <r>
    <x v="0"/>
    <x v="2"/>
    <x v="2"/>
    <x v="3"/>
    <x v="7"/>
    <s v="DE4-W_A"/>
    <x v="2"/>
    <x v="6"/>
    <s v="GNR_ST_MSW_CND_E-33"/>
    <x v="0"/>
    <x v="7"/>
    <n v="72.599999999999994"/>
    <n v="26499"/>
    <n v="95396.4"/>
  </r>
  <r>
    <x v="0"/>
    <x v="2"/>
    <x v="2"/>
    <x v="3"/>
    <x v="7"/>
    <s v="DE4-W_A"/>
    <x v="2"/>
    <x v="6"/>
    <s v="GNR_ST_MSW_CND_E-33"/>
    <x v="0"/>
    <x v="8"/>
    <n v="72.599999999999994"/>
    <n v="26499"/>
    <n v="95396.4"/>
  </r>
  <r>
    <x v="0"/>
    <x v="2"/>
    <x v="2"/>
    <x v="3"/>
    <x v="7"/>
    <s v="DE4-W_A"/>
    <x v="2"/>
    <x v="6"/>
    <s v="GNR_ST_MSW_CND_E-33"/>
    <x v="0"/>
    <x v="9"/>
    <n v="72.599999999999994"/>
    <n v="26499"/>
    <n v="95396.4"/>
  </r>
  <r>
    <x v="0"/>
    <x v="2"/>
    <x v="2"/>
    <x v="3"/>
    <x v="7"/>
    <s v="DE4-W_A"/>
    <x v="2"/>
    <x v="6"/>
    <s v="GNR_ST_MSW_CND_E-33"/>
    <x v="0"/>
    <x v="10"/>
    <n v="72.599999999999994"/>
    <n v="26499"/>
    <n v="95396.4"/>
  </r>
  <r>
    <x v="0"/>
    <x v="2"/>
    <x v="2"/>
    <x v="3"/>
    <x v="7"/>
    <s v="DE4-W_A"/>
    <x v="2"/>
    <x v="6"/>
    <s v="GNR_ST_MSW_CND_E-33"/>
    <x v="0"/>
    <x v="11"/>
    <n v="72.599999999999994"/>
    <n v="26499"/>
    <n v="95396.4"/>
  </r>
  <r>
    <x v="0"/>
    <x v="2"/>
    <x v="2"/>
    <x v="3"/>
    <x v="7"/>
    <s v="DE4-W_A"/>
    <x v="2"/>
    <x v="6"/>
    <s v="GNR_ST_MSW_CND_E-33"/>
    <x v="0"/>
    <x v="12"/>
    <n v="72.599999999999994"/>
    <n v="26499"/>
    <n v="95396.4"/>
  </r>
  <r>
    <x v="0"/>
    <x v="2"/>
    <x v="2"/>
    <x v="3"/>
    <x v="7"/>
    <s v="DE4-W_A"/>
    <x v="2"/>
    <x v="6"/>
    <s v="GNR_ST_MSW_CND_E-33"/>
    <x v="0"/>
    <x v="13"/>
    <n v="72.599999999999994"/>
    <n v="26499"/>
    <n v="95396.4"/>
  </r>
  <r>
    <x v="0"/>
    <x v="2"/>
    <x v="2"/>
    <x v="3"/>
    <x v="7"/>
    <s v="DE4-W_A"/>
    <x v="2"/>
    <x v="6"/>
    <s v="GNR_ST_MSW_CND_E-33"/>
    <x v="0"/>
    <x v="14"/>
    <n v="72.599999999999994"/>
    <n v="26499"/>
    <n v="95396.4"/>
  </r>
  <r>
    <x v="0"/>
    <x v="2"/>
    <x v="2"/>
    <x v="3"/>
    <x v="7"/>
    <s v="DE4-W_A"/>
    <x v="2"/>
    <x v="6"/>
    <s v="GNR_ST_MSW_CND_E-33"/>
    <x v="0"/>
    <x v="15"/>
    <n v="72.599999999999994"/>
    <n v="26499"/>
    <n v="95396.4"/>
  </r>
  <r>
    <x v="0"/>
    <x v="2"/>
    <x v="2"/>
    <x v="3"/>
    <x v="7"/>
    <s v="DE4-W_A"/>
    <x v="2"/>
    <x v="6"/>
    <s v="GNR_ST_MSW_CND_E-33"/>
    <x v="0"/>
    <x v="16"/>
    <n v="72.599999999999994"/>
    <n v="26499"/>
    <n v="95396.4"/>
  </r>
  <r>
    <x v="0"/>
    <x v="2"/>
    <x v="2"/>
    <x v="3"/>
    <x v="7"/>
    <s v="DE4-W_A"/>
    <x v="2"/>
    <x v="6"/>
    <s v="GNR_ST_MSW_CND_E-33"/>
    <x v="0"/>
    <x v="17"/>
    <n v="72.599999999999994"/>
    <n v="26499"/>
    <n v="95396.4"/>
  </r>
  <r>
    <x v="0"/>
    <x v="2"/>
    <x v="2"/>
    <x v="3"/>
    <x v="7"/>
    <s v="DE4-W_A"/>
    <x v="2"/>
    <x v="6"/>
    <s v="GNR_ST_MSW_CND_E-33"/>
    <x v="0"/>
    <x v="19"/>
    <n v="72.599999999999994"/>
    <n v="26499"/>
    <n v="95396.4"/>
  </r>
  <r>
    <x v="0"/>
    <x v="2"/>
    <x v="2"/>
    <x v="3"/>
    <x v="7"/>
    <s v="DE4-W_A"/>
    <x v="2"/>
    <x v="6"/>
    <s v="GNR_ST_MSW_CND_E-33"/>
    <x v="0"/>
    <x v="20"/>
    <n v="72.599999999999994"/>
    <n v="26499"/>
    <n v="95396.4"/>
  </r>
  <r>
    <x v="0"/>
    <x v="2"/>
    <x v="2"/>
    <x v="3"/>
    <x v="7"/>
    <s v="DE4-W_A"/>
    <x v="2"/>
    <x v="6"/>
    <s v="GNR_ST_MSW_CND_E-33"/>
    <x v="0"/>
    <x v="21"/>
    <n v="72.599999999999994"/>
    <n v="26499"/>
    <n v="95396.4"/>
  </r>
  <r>
    <x v="0"/>
    <x v="2"/>
    <x v="2"/>
    <x v="3"/>
    <x v="7"/>
    <s v="DE4-W_A"/>
    <x v="2"/>
    <x v="6"/>
    <s v="GNR_ST_MSW_CND_E-33"/>
    <x v="0"/>
    <x v="22"/>
    <n v="72.599999999999994"/>
    <n v="26499"/>
    <n v="95396.4"/>
  </r>
  <r>
    <x v="0"/>
    <x v="2"/>
    <x v="2"/>
    <x v="3"/>
    <x v="7"/>
    <s v="DE4-W_A"/>
    <x v="2"/>
    <x v="6"/>
    <s v="GNR_ST_MSW_CND_E-33"/>
    <x v="0"/>
    <x v="23"/>
    <n v="72.599999999999994"/>
    <n v="26499"/>
    <n v="95396.4"/>
  </r>
  <r>
    <x v="0"/>
    <x v="2"/>
    <x v="2"/>
    <x v="3"/>
    <x v="7"/>
    <s v="DE4-W_A"/>
    <x v="5"/>
    <x v="3"/>
    <s v="GNR_PV_SUN"/>
    <x v="0"/>
    <x v="7"/>
    <n v="218.73488236223301"/>
    <n v="79838.232062215102"/>
    <n v="287417.63542397402"/>
  </r>
  <r>
    <x v="0"/>
    <x v="2"/>
    <x v="2"/>
    <x v="3"/>
    <x v="7"/>
    <s v="DE4-W_A"/>
    <x v="5"/>
    <x v="3"/>
    <s v="GNR_PV_SUN"/>
    <x v="0"/>
    <x v="8"/>
    <n v="1646.68106311671"/>
    <n v="601038.58803759899"/>
    <n v="2163738.9169353601"/>
  </r>
  <r>
    <x v="0"/>
    <x v="2"/>
    <x v="2"/>
    <x v="3"/>
    <x v="7"/>
    <s v="DE4-W_A"/>
    <x v="5"/>
    <x v="3"/>
    <s v="GNR_PV_SUN"/>
    <x v="0"/>
    <x v="9"/>
    <n v="3803.7435184119599"/>
    <n v="1388366.3842203701"/>
    <n v="4998118.9831933202"/>
  </r>
  <r>
    <x v="0"/>
    <x v="2"/>
    <x v="2"/>
    <x v="3"/>
    <x v="7"/>
    <s v="DE4-W_A"/>
    <x v="5"/>
    <x v="3"/>
    <s v="GNR_PV_SUN"/>
    <x v="0"/>
    <x v="10"/>
    <n v="5792.5483718901096"/>
    <n v="2114280.1557398899"/>
    <n v="7611408.5606636098"/>
  </r>
  <r>
    <x v="0"/>
    <x v="2"/>
    <x v="2"/>
    <x v="3"/>
    <x v="7"/>
    <s v="DE4-W_A"/>
    <x v="5"/>
    <x v="3"/>
    <s v="GNR_PV_SUN"/>
    <x v="0"/>
    <x v="11"/>
    <n v="6585.6025351213902"/>
    <n v="2403744.9253193098"/>
    <n v="8653481.7311495002"/>
  </r>
  <r>
    <x v="0"/>
    <x v="2"/>
    <x v="2"/>
    <x v="3"/>
    <x v="7"/>
    <s v="DE4-W_A"/>
    <x v="5"/>
    <x v="3"/>
    <s v="GNR_PV_SUN"/>
    <x v="0"/>
    <x v="12"/>
    <n v="5726.3670485087196"/>
    <n v="2090123.9727056799"/>
    <n v="7524446.3017404601"/>
  </r>
  <r>
    <x v="0"/>
    <x v="2"/>
    <x v="2"/>
    <x v="3"/>
    <x v="7"/>
    <s v="DE4-W_A"/>
    <x v="5"/>
    <x v="3"/>
    <s v="GNR_PV_SUN"/>
    <x v="0"/>
    <x v="13"/>
    <n v="3726.3450215760899"/>
    <n v="1360115.93287527"/>
    <n v="4896417.3583509903"/>
  </r>
  <r>
    <x v="0"/>
    <x v="2"/>
    <x v="2"/>
    <x v="3"/>
    <x v="7"/>
    <s v="DE4-W_A"/>
    <x v="5"/>
    <x v="3"/>
    <s v="GNR_PV_SUN"/>
    <x v="0"/>
    <x v="14"/>
    <n v="1886.7285750424401"/>
    <n v="688655.92989049095"/>
    <n v="2479161.34760577"/>
  </r>
  <r>
    <x v="0"/>
    <x v="2"/>
    <x v="2"/>
    <x v="3"/>
    <x v="7"/>
    <s v="DE4-W_A"/>
    <x v="5"/>
    <x v="3"/>
    <s v="GNR_PV_SUN"/>
    <x v="0"/>
    <x v="15"/>
    <n v="245.65609865296901"/>
    <n v="89664.476008333906"/>
    <n v="322792.11363000202"/>
  </r>
  <r>
    <x v="0"/>
    <x v="2"/>
    <x v="2"/>
    <x v="3"/>
    <x v="7"/>
    <s v="DE4-W_A"/>
    <x v="5"/>
    <x v="3"/>
    <s v="GNR_PV_SUN_LS-4-MW_Y-2030"/>
    <x v="0"/>
    <x v="7"/>
    <n v="573.19295475721594"/>
    <n v="209215.42848638399"/>
    <n v="753175.54255098104"/>
  </r>
  <r>
    <x v="0"/>
    <x v="2"/>
    <x v="2"/>
    <x v="3"/>
    <x v="7"/>
    <s v="DE4-W_A"/>
    <x v="5"/>
    <x v="3"/>
    <s v="GNR_PV_SUN_LS-4-MW_Y-2030"/>
    <x v="0"/>
    <x v="8"/>
    <n v="4315.1141414543199"/>
    <n v="1575016.66163083"/>
    <n v="5670059.98187098"/>
  </r>
  <r>
    <x v="0"/>
    <x v="2"/>
    <x v="2"/>
    <x v="3"/>
    <x v="7"/>
    <s v="DE4-W_A"/>
    <x v="5"/>
    <x v="3"/>
    <s v="GNR_PV_SUN_LS-4-MW_Y-2030"/>
    <x v="0"/>
    <x v="9"/>
    <n v="9967.6785106754796"/>
    <n v="3638202.6563965501"/>
    <n v="13097529.5630276"/>
  </r>
  <r>
    <x v="0"/>
    <x v="2"/>
    <x v="2"/>
    <x v="3"/>
    <x v="7"/>
    <s v="DE4-W_A"/>
    <x v="5"/>
    <x v="3"/>
    <s v="GNR_PV_SUN_LS-4-MW_Y-2030"/>
    <x v="0"/>
    <x v="10"/>
    <n v="15179.3252223911"/>
    <n v="5540453.7061727503"/>
    <n v="19945633.342221901"/>
  </r>
  <r>
    <x v="0"/>
    <x v="2"/>
    <x v="2"/>
    <x v="3"/>
    <x v="7"/>
    <s v="DE4-W_A"/>
    <x v="5"/>
    <x v="3"/>
    <s v="GNR_PV_SUN_LS-4-MW_Y-2030"/>
    <x v="0"/>
    <x v="11"/>
    <n v="17257.517114767201"/>
    <n v="6298993.7468900401"/>
    <n v="22676377.488804199"/>
  </r>
  <r>
    <x v="0"/>
    <x v="2"/>
    <x v="2"/>
    <x v="3"/>
    <x v="7"/>
    <s v="DE4-W_A"/>
    <x v="5"/>
    <x v="3"/>
    <s v="GNR_PV_SUN_LS-4-MW_Y-2030"/>
    <x v="0"/>
    <x v="12"/>
    <n v="15005.8976104389"/>
    <n v="5477152.6278101997"/>
    <n v="19717749.460116699"/>
  </r>
  <r>
    <x v="0"/>
    <x v="2"/>
    <x v="2"/>
    <x v="3"/>
    <x v="7"/>
    <s v="DE4-W_A"/>
    <x v="5"/>
    <x v="3"/>
    <s v="GNR_PV_SUN_LS-4-MW_Y-2030"/>
    <x v="0"/>
    <x v="13"/>
    <n v="9764.8563882229191"/>
    <n v="3564172.58170137"/>
    <n v="12831021.294124899"/>
  </r>
  <r>
    <x v="0"/>
    <x v="2"/>
    <x v="2"/>
    <x v="3"/>
    <x v="7"/>
    <s v="DE4-W_A"/>
    <x v="5"/>
    <x v="3"/>
    <s v="GNR_PV_SUN_LS-4-MW_Y-2030"/>
    <x v="0"/>
    <x v="14"/>
    <n v="4944.1566661622401"/>
    <n v="1804617.18314922"/>
    <n v="6496621.8593371799"/>
  </r>
  <r>
    <x v="0"/>
    <x v="2"/>
    <x v="2"/>
    <x v="3"/>
    <x v="7"/>
    <s v="DE4-W_A"/>
    <x v="5"/>
    <x v="3"/>
    <s v="GNR_PV_SUN_LS-4-MW_Y-2030"/>
    <x v="0"/>
    <x v="15"/>
    <n v="643.73977995810401"/>
    <n v="234965.01968470801"/>
    <n v="845874.07086494798"/>
  </r>
  <r>
    <x v="0"/>
    <x v="2"/>
    <x v="2"/>
    <x v="3"/>
    <x v="7"/>
    <s v="DE4-W_A"/>
    <x v="6"/>
    <x v="4"/>
    <s v="GNR_ROR_WTR"/>
    <x v="0"/>
    <x v="0"/>
    <n v="198.90753424657501"/>
    <n v="72601.25"/>
    <n v="261364.5"/>
  </r>
  <r>
    <x v="0"/>
    <x v="2"/>
    <x v="2"/>
    <x v="3"/>
    <x v="7"/>
    <s v="DE4-W_A"/>
    <x v="6"/>
    <x v="4"/>
    <s v="GNR_ROR_WTR"/>
    <x v="0"/>
    <x v="1"/>
    <n v="198.90753424657501"/>
    <n v="72601.25"/>
    <n v="261364.5"/>
  </r>
  <r>
    <x v="0"/>
    <x v="2"/>
    <x v="2"/>
    <x v="3"/>
    <x v="7"/>
    <s v="DE4-W_A"/>
    <x v="6"/>
    <x v="4"/>
    <s v="GNR_ROR_WTR"/>
    <x v="0"/>
    <x v="18"/>
    <n v="198.90753424657501"/>
    <n v="72601.25"/>
    <n v="261364.5"/>
  </r>
  <r>
    <x v="0"/>
    <x v="2"/>
    <x v="2"/>
    <x v="3"/>
    <x v="7"/>
    <s v="DE4-W_A"/>
    <x v="6"/>
    <x v="4"/>
    <s v="GNR_ROR_WTR"/>
    <x v="0"/>
    <x v="2"/>
    <n v="198.90753424657501"/>
    <n v="72601.25"/>
    <n v="261364.5"/>
  </r>
  <r>
    <x v="0"/>
    <x v="2"/>
    <x v="2"/>
    <x v="3"/>
    <x v="7"/>
    <s v="DE4-W_A"/>
    <x v="6"/>
    <x v="4"/>
    <s v="GNR_ROR_WTR"/>
    <x v="0"/>
    <x v="3"/>
    <n v="198.90753424657501"/>
    <n v="72601.25"/>
    <n v="261364.5"/>
  </r>
  <r>
    <x v="0"/>
    <x v="2"/>
    <x v="2"/>
    <x v="3"/>
    <x v="7"/>
    <s v="DE4-W_A"/>
    <x v="6"/>
    <x v="4"/>
    <s v="GNR_ROR_WTR"/>
    <x v="0"/>
    <x v="4"/>
    <n v="198.90753424657501"/>
    <n v="72601.25"/>
    <n v="261364.5"/>
  </r>
  <r>
    <x v="0"/>
    <x v="2"/>
    <x v="2"/>
    <x v="3"/>
    <x v="7"/>
    <s v="DE4-W_A"/>
    <x v="6"/>
    <x v="4"/>
    <s v="GNR_ROR_WTR"/>
    <x v="0"/>
    <x v="5"/>
    <n v="198.90753424657501"/>
    <n v="72601.25"/>
    <n v="261364.5"/>
  </r>
  <r>
    <x v="0"/>
    <x v="2"/>
    <x v="2"/>
    <x v="3"/>
    <x v="7"/>
    <s v="DE4-W_A"/>
    <x v="6"/>
    <x v="4"/>
    <s v="GNR_ROR_WTR"/>
    <x v="0"/>
    <x v="6"/>
    <n v="198.90753424657501"/>
    <n v="72601.25"/>
    <n v="261364.5"/>
  </r>
  <r>
    <x v="0"/>
    <x v="2"/>
    <x v="2"/>
    <x v="3"/>
    <x v="7"/>
    <s v="DE4-W_A"/>
    <x v="6"/>
    <x v="4"/>
    <s v="GNR_ROR_WTR"/>
    <x v="0"/>
    <x v="7"/>
    <n v="198.90753424657501"/>
    <n v="72601.25"/>
    <n v="261364.5"/>
  </r>
  <r>
    <x v="0"/>
    <x v="2"/>
    <x v="2"/>
    <x v="3"/>
    <x v="7"/>
    <s v="DE4-W_A"/>
    <x v="6"/>
    <x v="4"/>
    <s v="GNR_ROR_WTR"/>
    <x v="0"/>
    <x v="8"/>
    <n v="198.90753424657501"/>
    <n v="72601.25"/>
    <n v="261364.5"/>
  </r>
  <r>
    <x v="0"/>
    <x v="2"/>
    <x v="2"/>
    <x v="3"/>
    <x v="7"/>
    <s v="DE4-W_A"/>
    <x v="6"/>
    <x v="4"/>
    <s v="GNR_ROR_WTR"/>
    <x v="0"/>
    <x v="9"/>
    <n v="198.90753424657501"/>
    <n v="72601.25"/>
    <n v="261364.5"/>
  </r>
  <r>
    <x v="0"/>
    <x v="2"/>
    <x v="2"/>
    <x v="3"/>
    <x v="7"/>
    <s v="DE4-W_A"/>
    <x v="6"/>
    <x v="4"/>
    <s v="GNR_ROR_WTR"/>
    <x v="0"/>
    <x v="10"/>
    <n v="198.90753424657501"/>
    <n v="72601.25"/>
    <n v="261364.5"/>
  </r>
  <r>
    <x v="0"/>
    <x v="2"/>
    <x v="2"/>
    <x v="3"/>
    <x v="7"/>
    <s v="DE4-W_A"/>
    <x v="6"/>
    <x v="4"/>
    <s v="GNR_ROR_WTR"/>
    <x v="0"/>
    <x v="11"/>
    <n v="198.90753424657501"/>
    <n v="72601.25"/>
    <n v="261364.5"/>
  </r>
  <r>
    <x v="0"/>
    <x v="2"/>
    <x v="2"/>
    <x v="3"/>
    <x v="7"/>
    <s v="DE4-W_A"/>
    <x v="6"/>
    <x v="4"/>
    <s v="GNR_ROR_WTR"/>
    <x v="0"/>
    <x v="12"/>
    <n v="198.90753424657501"/>
    <n v="72601.25"/>
    <n v="261364.5"/>
  </r>
  <r>
    <x v="0"/>
    <x v="2"/>
    <x v="2"/>
    <x v="3"/>
    <x v="7"/>
    <s v="DE4-W_A"/>
    <x v="6"/>
    <x v="4"/>
    <s v="GNR_ROR_WTR"/>
    <x v="0"/>
    <x v="13"/>
    <n v="198.90753424657501"/>
    <n v="72601.25"/>
    <n v="261364.5"/>
  </r>
  <r>
    <x v="0"/>
    <x v="2"/>
    <x v="2"/>
    <x v="3"/>
    <x v="7"/>
    <s v="DE4-W_A"/>
    <x v="6"/>
    <x v="4"/>
    <s v="GNR_ROR_WTR"/>
    <x v="0"/>
    <x v="14"/>
    <n v="198.90753424657501"/>
    <n v="72601.25"/>
    <n v="261364.5"/>
  </r>
  <r>
    <x v="0"/>
    <x v="2"/>
    <x v="2"/>
    <x v="3"/>
    <x v="7"/>
    <s v="DE4-W_A"/>
    <x v="6"/>
    <x v="4"/>
    <s v="GNR_ROR_WTR"/>
    <x v="0"/>
    <x v="15"/>
    <n v="198.90753424657501"/>
    <n v="72601.25"/>
    <n v="261364.5"/>
  </r>
  <r>
    <x v="0"/>
    <x v="2"/>
    <x v="2"/>
    <x v="3"/>
    <x v="7"/>
    <s v="DE4-W_A"/>
    <x v="6"/>
    <x v="4"/>
    <s v="GNR_ROR_WTR"/>
    <x v="0"/>
    <x v="16"/>
    <n v="198.90753424657501"/>
    <n v="72601.25"/>
    <n v="261364.5"/>
  </r>
  <r>
    <x v="0"/>
    <x v="2"/>
    <x v="2"/>
    <x v="3"/>
    <x v="7"/>
    <s v="DE4-W_A"/>
    <x v="6"/>
    <x v="4"/>
    <s v="GNR_ROR_WTR"/>
    <x v="0"/>
    <x v="17"/>
    <n v="198.90753424657501"/>
    <n v="72601.25"/>
    <n v="261364.5"/>
  </r>
  <r>
    <x v="0"/>
    <x v="2"/>
    <x v="2"/>
    <x v="3"/>
    <x v="7"/>
    <s v="DE4-W_A"/>
    <x v="6"/>
    <x v="4"/>
    <s v="GNR_ROR_WTR"/>
    <x v="0"/>
    <x v="19"/>
    <n v="198.90753424657501"/>
    <n v="72601.25"/>
    <n v="261364.5"/>
  </r>
  <r>
    <x v="0"/>
    <x v="2"/>
    <x v="2"/>
    <x v="3"/>
    <x v="7"/>
    <s v="DE4-W_A"/>
    <x v="6"/>
    <x v="4"/>
    <s v="GNR_ROR_WTR"/>
    <x v="0"/>
    <x v="20"/>
    <n v="198.90753424657501"/>
    <n v="72601.25"/>
    <n v="261364.5"/>
  </r>
  <r>
    <x v="0"/>
    <x v="2"/>
    <x v="2"/>
    <x v="3"/>
    <x v="7"/>
    <s v="DE4-W_A"/>
    <x v="6"/>
    <x v="4"/>
    <s v="GNR_ROR_WTR"/>
    <x v="0"/>
    <x v="21"/>
    <n v="198.90753424657501"/>
    <n v="72601.25"/>
    <n v="261364.5"/>
  </r>
  <r>
    <x v="0"/>
    <x v="2"/>
    <x v="2"/>
    <x v="3"/>
    <x v="7"/>
    <s v="DE4-W_A"/>
    <x v="6"/>
    <x v="4"/>
    <s v="GNR_ROR_WTR"/>
    <x v="0"/>
    <x v="22"/>
    <n v="198.90753424657501"/>
    <n v="72601.25"/>
    <n v="261364.5"/>
  </r>
  <r>
    <x v="0"/>
    <x v="2"/>
    <x v="2"/>
    <x v="3"/>
    <x v="7"/>
    <s v="DE4-W_A"/>
    <x v="6"/>
    <x v="4"/>
    <s v="GNR_ROR_WTR"/>
    <x v="0"/>
    <x v="23"/>
    <n v="198.90753424657501"/>
    <n v="72601.25"/>
    <n v="261364.5"/>
  </r>
  <r>
    <x v="0"/>
    <x v="2"/>
    <x v="2"/>
    <x v="3"/>
    <x v="7"/>
    <s v="DE4-W_A"/>
    <x v="7"/>
    <x v="5"/>
    <s v="GNR_WT_WIND_ONS"/>
    <x v="0"/>
    <x v="0"/>
    <n v="2080.6040108991701"/>
    <n v="759420.46397819603"/>
    <n v="2733913.6703214999"/>
  </r>
  <r>
    <x v="0"/>
    <x v="2"/>
    <x v="2"/>
    <x v="3"/>
    <x v="7"/>
    <s v="DE4-W_A"/>
    <x v="7"/>
    <x v="5"/>
    <s v="GNR_WT_WIND_ONS"/>
    <x v="0"/>
    <x v="1"/>
    <n v="2013.17510604072"/>
    <n v="734808.913704862"/>
    <n v="2645312.0893374998"/>
  </r>
  <r>
    <x v="0"/>
    <x v="2"/>
    <x v="2"/>
    <x v="3"/>
    <x v="7"/>
    <s v="DE4-W_A"/>
    <x v="7"/>
    <x v="5"/>
    <s v="GNR_WT_WIND_ONS"/>
    <x v="0"/>
    <x v="18"/>
    <n v="1955.71515631535"/>
    <n v="713836.03205510206"/>
    <n v="2569809.7153983698"/>
  </r>
  <r>
    <x v="0"/>
    <x v="2"/>
    <x v="2"/>
    <x v="3"/>
    <x v="7"/>
    <s v="DE4-W_A"/>
    <x v="7"/>
    <x v="5"/>
    <s v="GNR_WT_WIND_ONS"/>
    <x v="0"/>
    <x v="2"/>
    <n v="1857.1332666660401"/>
    <n v="677853.64233310299"/>
    <n v="2440273.1123991702"/>
  </r>
  <r>
    <x v="0"/>
    <x v="2"/>
    <x v="2"/>
    <x v="3"/>
    <x v="7"/>
    <s v="DE4-W_A"/>
    <x v="7"/>
    <x v="5"/>
    <s v="GNR_WT_WIND_ONS"/>
    <x v="0"/>
    <x v="3"/>
    <n v="1691.676302999"/>
    <n v="617461.85059463605"/>
    <n v="2222862.6621406898"/>
  </r>
  <r>
    <x v="0"/>
    <x v="2"/>
    <x v="2"/>
    <x v="3"/>
    <x v="7"/>
    <s v="DE4-W_A"/>
    <x v="7"/>
    <x v="5"/>
    <s v="GNR_WT_WIND_ONS"/>
    <x v="0"/>
    <x v="4"/>
    <n v="1543.6650108148499"/>
    <n v="563437.72894742095"/>
    <n v="2028375.8242107199"/>
  </r>
  <r>
    <x v="0"/>
    <x v="2"/>
    <x v="2"/>
    <x v="3"/>
    <x v="7"/>
    <s v="DE4-W_A"/>
    <x v="7"/>
    <x v="5"/>
    <s v="GNR_WT_WIND_ONS"/>
    <x v="0"/>
    <x v="5"/>
    <n v="1272.4263565690601"/>
    <n v="464435.62014770898"/>
    <n v="1671968.2325317501"/>
  </r>
  <r>
    <x v="0"/>
    <x v="2"/>
    <x v="2"/>
    <x v="3"/>
    <x v="7"/>
    <s v="DE4-W_A"/>
    <x v="7"/>
    <x v="5"/>
    <s v="GNR_WT_WIND_ONS"/>
    <x v="0"/>
    <x v="6"/>
    <n v="1230.4736703840299"/>
    <n v="449122.88969017297"/>
    <n v="1616842.40288462"/>
  </r>
  <r>
    <x v="0"/>
    <x v="2"/>
    <x v="2"/>
    <x v="3"/>
    <x v="7"/>
    <s v="DE4-W_A"/>
    <x v="7"/>
    <x v="5"/>
    <s v="GNR_WT_WIND_ONS"/>
    <x v="0"/>
    <x v="7"/>
    <n v="1322.82496307517"/>
    <n v="482831.111522438"/>
    <n v="1738192.0014807801"/>
  </r>
  <r>
    <x v="0"/>
    <x v="2"/>
    <x v="2"/>
    <x v="3"/>
    <x v="7"/>
    <s v="DE4-W_A"/>
    <x v="7"/>
    <x v="5"/>
    <s v="GNR_WT_WIND_ONS"/>
    <x v="0"/>
    <x v="8"/>
    <n v="1426.8067034215701"/>
    <n v="520784.446748872"/>
    <n v="1874824.00829594"/>
  </r>
  <r>
    <x v="0"/>
    <x v="2"/>
    <x v="2"/>
    <x v="3"/>
    <x v="7"/>
    <s v="DE4-W_A"/>
    <x v="7"/>
    <x v="5"/>
    <s v="GNR_WT_WIND_ONS"/>
    <x v="0"/>
    <x v="9"/>
    <n v="1646.26217405943"/>
    <n v="600885.69353169296"/>
    <n v="2163188.49671409"/>
  </r>
  <r>
    <x v="0"/>
    <x v="2"/>
    <x v="2"/>
    <x v="3"/>
    <x v="7"/>
    <s v="DE4-W_A"/>
    <x v="7"/>
    <x v="5"/>
    <s v="GNR_WT_WIND_ONS"/>
    <x v="0"/>
    <x v="10"/>
    <n v="1813.5190879588299"/>
    <n v="661934.46710497094"/>
    <n v="2382964.0815778999"/>
  </r>
  <r>
    <x v="0"/>
    <x v="2"/>
    <x v="2"/>
    <x v="3"/>
    <x v="7"/>
    <s v="DE4-W_A"/>
    <x v="7"/>
    <x v="5"/>
    <s v="GNR_WT_WIND_ONS"/>
    <x v="0"/>
    <x v="11"/>
    <n v="2231.66137270731"/>
    <n v="814556.401038168"/>
    <n v="2932403.0437374101"/>
  </r>
  <r>
    <x v="0"/>
    <x v="2"/>
    <x v="2"/>
    <x v="3"/>
    <x v="7"/>
    <s v="DE4-W_A"/>
    <x v="7"/>
    <x v="5"/>
    <s v="GNR_WT_WIND_ONS"/>
    <x v="0"/>
    <x v="12"/>
    <n v="2607.8509712707701"/>
    <n v="951865.60451382899"/>
    <n v="3426716.17624979"/>
  </r>
  <r>
    <x v="0"/>
    <x v="2"/>
    <x v="2"/>
    <x v="3"/>
    <x v="7"/>
    <s v="DE4-W_A"/>
    <x v="7"/>
    <x v="5"/>
    <s v="GNR_WT_WIND_ONS"/>
    <x v="0"/>
    <x v="13"/>
    <n v="3036.5160419930498"/>
    <n v="1108328.35532746"/>
    <n v="3989982.0791788702"/>
  </r>
  <r>
    <x v="0"/>
    <x v="2"/>
    <x v="2"/>
    <x v="3"/>
    <x v="7"/>
    <s v="DE4-W_A"/>
    <x v="7"/>
    <x v="5"/>
    <s v="GNR_WT_WIND_ONS"/>
    <x v="0"/>
    <x v="14"/>
    <n v="3459.64280430808"/>
    <n v="1262769.6235724499"/>
    <n v="4545970.6448608097"/>
  </r>
  <r>
    <x v="0"/>
    <x v="2"/>
    <x v="2"/>
    <x v="3"/>
    <x v="7"/>
    <s v="DE4-W_A"/>
    <x v="7"/>
    <x v="5"/>
    <s v="GNR_WT_WIND_ONS"/>
    <x v="0"/>
    <x v="15"/>
    <n v="4024.55026184908"/>
    <n v="1468960.8455749101"/>
    <n v="5288259.0440696897"/>
  </r>
  <r>
    <x v="0"/>
    <x v="2"/>
    <x v="2"/>
    <x v="3"/>
    <x v="7"/>
    <s v="DE4-W_A"/>
    <x v="7"/>
    <x v="5"/>
    <s v="GNR_WT_WIND_ONS"/>
    <x v="0"/>
    <x v="16"/>
    <n v="4540.58214769596"/>
    <n v="1657312.48390903"/>
    <n v="5966324.9420724995"/>
  </r>
  <r>
    <x v="0"/>
    <x v="2"/>
    <x v="2"/>
    <x v="3"/>
    <x v="7"/>
    <s v="DE4-W_A"/>
    <x v="7"/>
    <x v="5"/>
    <s v="GNR_WT_WIND_ONS"/>
    <x v="0"/>
    <x v="17"/>
    <n v="5093.5822421613402"/>
    <n v="1859157.51838889"/>
    <n v="6692967.0662000095"/>
  </r>
  <r>
    <x v="0"/>
    <x v="2"/>
    <x v="2"/>
    <x v="3"/>
    <x v="7"/>
    <s v="DE4-W_A"/>
    <x v="7"/>
    <x v="5"/>
    <s v="GNR_WT_WIND_ONS"/>
    <x v="0"/>
    <x v="19"/>
    <n v="5649.3514908303596"/>
    <n v="2062013.2941530801"/>
    <n v="7423247.8589510899"/>
  </r>
  <r>
    <x v="0"/>
    <x v="2"/>
    <x v="2"/>
    <x v="3"/>
    <x v="7"/>
    <s v="DE4-W_A"/>
    <x v="7"/>
    <x v="5"/>
    <s v="GNR_WT_WIND_ONS"/>
    <x v="0"/>
    <x v="20"/>
    <n v="6123.9845213329399"/>
    <n v="2235254.3502865201"/>
    <n v="8046915.6610314902"/>
  </r>
  <r>
    <x v="0"/>
    <x v="2"/>
    <x v="2"/>
    <x v="3"/>
    <x v="7"/>
    <s v="DE4-W_A"/>
    <x v="7"/>
    <x v="5"/>
    <s v="GNR_WT_WIND_ONS"/>
    <x v="0"/>
    <x v="21"/>
    <n v="6646.1085464278203"/>
    <n v="2425829.61944615"/>
    <n v="8732986.6300061606"/>
  </r>
  <r>
    <x v="0"/>
    <x v="2"/>
    <x v="2"/>
    <x v="3"/>
    <x v="7"/>
    <s v="DE4-W_A"/>
    <x v="7"/>
    <x v="5"/>
    <s v="GNR_WT_WIND_ONS"/>
    <x v="0"/>
    <x v="22"/>
    <n v="7305.0287891821399"/>
    <n v="2666335.5080514802"/>
    <n v="9598807.8289853297"/>
  </r>
  <r>
    <x v="0"/>
    <x v="2"/>
    <x v="2"/>
    <x v="3"/>
    <x v="7"/>
    <s v="DE4-W_A"/>
    <x v="7"/>
    <x v="5"/>
    <s v="GNR_WT_WIND_ONS"/>
    <x v="0"/>
    <x v="23"/>
    <n v="7734.8015215858804"/>
    <n v="2823202.5553788501"/>
    <n v="10163529.1993638"/>
  </r>
  <r>
    <x v="0"/>
    <x v="2"/>
    <x v="2"/>
    <x v="3"/>
    <x v="7"/>
    <s v="DE4-W_Offshore_A"/>
    <x v="7"/>
    <x v="5"/>
    <s v="GNR_WT_WIND_OFF"/>
    <x v="0"/>
    <x v="0"/>
    <n v="1796.0079674270901"/>
    <n v="655542.90811088902"/>
    <n v="2359954.4691992002"/>
  </r>
  <r>
    <x v="0"/>
    <x v="2"/>
    <x v="2"/>
    <x v="3"/>
    <x v="7"/>
    <s v="DE4-W_Offshore_A"/>
    <x v="7"/>
    <x v="5"/>
    <s v="GNR_WT_WIND_OFF"/>
    <x v="0"/>
    <x v="1"/>
    <n v="1737.80234553736"/>
    <n v="634297.85612113704"/>
    <n v="2283472.2820360898"/>
  </r>
  <r>
    <x v="0"/>
    <x v="2"/>
    <x v="2"/>
    <x v="3"/>
    <x v="7"/>
    <s v="DE4-W_Offshore_A"/>
    <x v="7"/>
    <x v="5"/>
    <s v="GNR_WT_WIND_OFF"/>
    <x v="0"/>
    <x v="18"/>
    <n v="1688.2020722637701"/>
    <n v="616193.75637627696"/>
    <n v="2218297.5229545999"/>
  </r>
  <r>
    <x v="0"/>
    <x v="2"/>
    <x v="2"/>
    <x v="3"/>
    <x v="7"/>
    <s v="DE4-W_Offshore_A"/>
    <x v="7"/>
    <x v="5"/>
    <s v="GNR_WT_WIND_OFF"/>
    <x v="0"/>
    <x v="2"/>
    <n v="1603.1047359485999"/>
    <n v="585133.22862123896"/>
    <n v="2106479.62303646"/>
  </r>
  <r>
    <x v="0"/>
    <x v="2"/>
    <x v="2"/>
    <x v="3"/>
    <x v="7"/>
    <s v="DE4-W_Offshore_A"/>
    <x v="7"/>
    <x v="5"/>
    <s v="GNR_WT_WIND_OFF"/>
    <x v="0"/>
    <x v="3"/>
    <n v="1460.27985266682"/>
    <n v="533002.14622338803"/>
    <n v="1918807.7264042001"/>
  </r>
  <r>
    <x v="0"/>
    <x v="2"/>
    <x v="2"/>
    <x v="3"/>
    <x v="7"/>
    <s v="DE4-W_Offshore_A"/>
    <x v="7"/>
    <x v="5"/>
    <s v="GNR_WT_WIND_OFF"/>
    <x v="0"/>
    <x v="4"/>
    <n v="1332.5143294632801"/>
    <n v="486367.73025409598"/>
    <n v="1750923.8289147499"/>
  </r>
  <r>
    <x v="0"/>
    <x v="2"/>
    <x v="2"/>
    <x v="3"/>
    <x v="7"/>
    <s v="DE4-W_Offshore_A"/>
    <x v="7"/>
    <x v="5"/>
    <s v="GNR_WT_WIND_OFF"/>
    <x v="0"/>
    <x v="5"/>
    <n v="1098.37713586577"/>
    <n v="400907.65459100797"/>
    <n v="1443267.55652763"/>
  </r>
  <r>
    <x v="0"/>
    <x v="2"/>
    <x v="2"/>
    <x v="3"/>
    <x v="7"/>
    <s v="DE4-W_Offshore_A"/>
    <x v="7"/>
    <x v="5"/>
    <s v="GNR_WT_WIND_OFF"/>
    <x v="0"/>
    <x v="6"/>
    <n v="1062.16296043951"/>
    <n v="387689.48056042299"/>
    <n v="1395682.1300175199"/>
  </r>
  <r>
    <x v="0"/>
    <x v="2"/>
    <x v="2"/>
    <x v="3"/>
    <x v="7"/>
    <s v="DE4-W_Offshore_A"/>
    <x v="7"/>
    <x v="5"/>
    <s v="GNR_WT_WIND_OFF"/>
    <x v="0"/>
    <x v="7"/>
    <n v="1141.8819538696"/>
    <n v="416786.91316240298"/>
    <n v="1500432.8873846501"/>
  </r>
  <r>
    <x v="0"/>
    <x v="2"/>
    <x v="2"/>
    <x v="3"/>
    <x v="7"/>
    <s v="DE4-W_Offshore_A"/>
    <x v="7"/>
    <x v="5"/>
    <s v="GNR_WT_WIND_OFF"/>
    <x v="0"/>
    <x v="8"/>
    <n v="1231.64052068518"/>
    <n v="449548.79005009099"/>
    <n v="1618375.64418033"/>
  </r>
  <r>
    <x v="0"/>
    <x v="2"/>
    <x v="2"/>
    <x v="3"/>
    <x v="7"/>
    <s v="DE4-W_Offshore_A"/>
    <x v="7"/>
    <x v="5"/>
    <s v="GNR_WT_WIND_OFF"/>
    <x v="0"/>
    <x v="9"/>
    <n v="1421.07770897106"/>
    <n v="518693.36377443798"/>
    <n v="1867296.10958798"/>
  </r>
  <r>
    <x v="0"/>
    <x v="2"/>
    <x v="2"/>
    <x v="3"/>
    <x v="7"/>
    <s v="DE4-W_Offshore_A"/>
    <x v="7"/>
    <x v="5"/>
    <s v="GNR_WT_WIND_OFF"/>
    <x v="0"/>
    <x v="10"/>
    <n v="1565.4563357529801"/>
    <n v="571391.56254983903"/>
    <n v="2057009.62517942"/>
  </r>
  <r>
    <x v="0"/>
    <x v="2"/>
    <x v="2"/>
    <x v="3"/>
    <x v="7"/>
    <s v="DE4-W_Offshore_A"/>
    <x v="7"/>
    <x v="5"/>
    <s v="GNR_WT_WIND_OFF"/>
    <x v="0"/>
    <x v="11"/>
    <n v="1926.40290270779"/>
    <n v="703137.05948834203"/>
    <n v="2531293.4141580299"/>
  </r>
  <r>
    <x v="0"/>
    <x v="2"/>
    <x v="2"/>
    <x v="3"/>
    <x v="7"/>
    <s v="DE4-W_Offshore_A"/>
    <x v="7"/>
    <x v="5"/>
    <s v="GNR_WT_WIND_OFF"/>
    <x v="0"/>
    <x v="12"/>
    <n v="2251.1352942363301"/>
    <n v="821664.38239626004"/>
    <n v="2957991.7766265399"/>
  </r>
  <r>
    <x v="0"/>
    <x v="2"/>
    <x v="2"/>
    <x v="3"/>
    <x v="7"/>
    <s v="DE4-W_Offshore_A"/>
    <x v="7"/>
    <x v="5"/>
    <s v="GNR_WT_WIND_OFF"/>
    <x v="0"/>
    <x v="13"/>
    <n v="2621.1652847303899"/>
    <n v="956725.32892659295"/>
    <n v="3444211.1841357299"/>
  </r>
  <r>
    <x v="0"/>
    <x v="2"/>
    <x v="2"/>
    <x v="3"/>
    <x v="7"/>
    <s v="DE4-W_Offshore_A"/>
    <x v="7"/>
    <x v="5"/>
    <s v="GNR_WT_WIND_OFF"/>
    <x v="0"/>
    <x v="14"/>
    <n v="2986.4145259932702"/>
    <n v="1090041.30198754"/>
    <n v="3924148.6871551499"/>
  </r>
  <r>
    <x v="0"/>
    <x v="2"/>
    <x v="2"/>
    <x v="3"/>
    <x v="7"/>
    <s v="DE4-W_Offshore_A"/>
    <x v="7"/>
    <x v="5"/>
    <s v="GNR_WT_WIND_OFF"/>
    <x v="0"/>
    <x v="15"/>
    <n v="3474.0509475745898"/>
    <n v="1268028.5958647199"/>
    <n v="4564902.9451130098"/>
  </r>
  <r>
    <x v="0"/>
    <x v="2"/>
    <x v="2"/>
    <x v="3"/>
    <x v="7"/>
    <s v="DE4-W_Offshore_A"/>
    <x v="7"/>
    <x v="5"/>
    <s v="GNR_WT_WIND_OFF"/>
    <x v="0"/>
    <x v="16"/>
    <n v="3919.4972571906601"/>
    <n v="1430616.49887459"/>
    <n v="5150219.3959485302"/>
  </r>
  <r>
    <x v="0"/>
    <x v="2"/>
    <x v="2"/>
    <x v="3"/>
    <x v="7"/>
    <s v="DE4-W_Offshore_A"/>
    <x v="7"/>
    <x v="5"/>
    <s v="GNR_WT_WIND_OFF"/>
    <x v="0"/>
    <x v="17"/>
    <n v="4396.8550679249302"/>
    <n v="1604852.0997925999"/>
    <n v="5777467.5592533601"/>
  </r>
  <r>
    <x v="0"/>
    <x v="2"/>
    <x v="2"/>
    <x v="3"/>
    <x v="7"/>
    <s v="DE4-W_Offshore_A"/>
    <x v="7"/>
    <x v="5"/>
    <s v="GNR_WT_WIND_OFF"/>
    <x v="0"/>
    <x v="19"/>
    <n v="4876.6032532747904"/>
    <n v="1779960.1874452999"/>
    <n v="6407856.67480308"/>
  </r>
  <r>
    <x v="0"/>
    <x v="2"/>
    <x v="2"/>
    <x v="3"/>
    <x v="7"/>
    <s v="DE4-W_Offshore_A"/>
    <x v="7"/>
    <x v="5"/>
    <s v="GNR_WT_WIND_OFF"/>
    <x v="0"/>
    <x v="20"/>
    <n v="5286.3134623877304"/>
    <n v="1929504.4137715199"/>
    <n v="6946215.8895774698"/>
  </r>
  <r>
    <x v="0"/>
    <x v="2"/>
    <x v="2"/>
    <x v="3"/>
    <x v="7"/>
    <s v="DE4-W_Offshore_A"/>
    <x v="7"/>
    <x v="5"/>
    <s v="GNR_WT_WIND_OFF"/>
    <x v="0"/>
    <x v="21"/>
    <n v="5737.0185961581101"/>
    <n v="2094011.78759771"/>
    <n v="7538442.4353517601"/>
  </r>
  <r>
    <x v="0"/>
    <x v="2"/>
    <x v="2"/>
    <x v="3"/>
    <x v="7"/>
    <s v="DE4-W_Offshore_A"/>
    <x v="7"/>
    <x v="5"/>
    <s v="GNR_WT_WIND_OFF"/>
    <x v="0"/>
    <x v="22"/>
    <n v="6305.80823593888"/>
    <n v="2301620.0061176899"/>
    <n v="8285832.0220236797"/>
  </r>
  <r>
    <x v="0"/>
    <x v="2"/>
    <x v="2"/>
    <x v="3"/>
    <x v="7"/>
    <s v="DE4-W_Offshore_A"/>
    <x v="7"/>
    <x v="5"/>
    <s v="GNR_WT_WIND_OFF"/>
    <x v="0"/>
    <x v="23"/>
    <n v="6676.7943762791801"/>
    <n v="2437029.9473418999"/>
    <n v="8773307.8104308397"/>
  </r>
  <r>
    <x v="0"/>
    <x v="2"/>
    <x v="2"/>
    <x v="3"/>
    <x v="7"/>
    <s v="DE4-W_Offshore_A"/>
    <x v="7"/>
    <x v="5"/>
    <s v="GNR_WT_WIND_OFF_L-NS_Y-2030"/>
    <x v="0"/>
    <x v="0"/>
    <n v="2072.6081855860598"/>
    <n v="756501.98773891199"/>
    <n v="2723407.1558600799"/>
  </r>
  <r>
    <x v="0"/>
    <x v="2"/>
    <x v="2"/>
    <x v="3"/>
    <x v="7"/>
    <s v="DE4-W_Offshore_A"/>
    <x v="7"/>
    <x v="5"/>
    <s v="GNR_WT_WIND_OFF_L-NS_Y-2030"/>
    <x v="0"/>
    <x v="1"/>
    <n v="2005.4384120863299"/>
    <n v="731985.020411512"/>
    <n v="2635146.0734814401"/>
  </r>
  <r>
    <x v="0"/>
    <x v="2"/>
    <x v="2"/>
    <x v="3"/>
    <x v="7"/>
    <s v="DE4-W_Offshore_A"/>
    <x v="7"/>
    <x v="5"/>
    <s v="GNR_WT_WIND_OFF_L-NS_Y-2030"/>
    <x v="0"/>
    <x v="18"/>
    <n v="1948.1992827179799"/>
    <n v="711092.73819206399"/>
    <n v="2559933.8574914299"/>
  </r>
  <r>
    <x v="0"/>
    <x v="2"/>
    <x v="2"/>
    <x v="3"/>
    <x v="7"/>
    <s v="DE4-W_Offshore_A"/>
    <x v="7"/>
    <x v="5"/>
    <s v="GNR_WT_WIND_OFF_L-NS_Y-2030"/>
    <x v="0"/>
    <x v="2"/>
    <n v="1849.9962463076999"/>
    <n v="675248.62990231102"/>
    <n v="2430895.06764832"/>
  </r>
  <r>
    <x v="0"/>
    <x v="2"/>
    <x v="2"/>
    <x v="3"/>
    <x v="7"/>
    <s v="DE4-W_Offshore_A"/>
    <x v="7"/>
    <x v="5"/>
    <s v="GNR_WT_WIND_OFF_L-NS_Y-2030"/>
    <x v="0"/>
    <x v="3"/>
    <n v="1685.1751388494399"/>
    <n v="615088.92568004504"/>
    <n v="2214320.1324481601"/>
  </r>
  <r>
    <x v="0"/>
    <x v="2"/>
    <x v="2"/>
    <x v="3"/>
    <x v="7"/>
    <s v="DE4-W_Offshore_A"/>
    <x v="7"/>
    <x v="5"/>
    <s v="GNR_WT_WIND_OFF_L-NS_Y-2030"/>
    <x v="0"/>
    <x v="4"/>
    <n v="1537.73265862108"/>
    <n v="561272.42039669503"/>
    <n v="2020580.7134281001"/>
  </r>
  <r>
    <x v="0"/>
    <x v="2"/>
    <x v="2"/>
    <x v="3"/>
    <x v="7"/>
    <s v="DE4-W_Offshore_A"/>
    <x v="7"/>
    <x v="5"/>
    <s v="GNR_WT_WIND_OFF_L-NS_Y-2030"/>
    <x v="0"/>
    <x v="5"/>
    <n v="1267.53638287988"/>
    <n v="462650.779751155"/>
    <n v="1665542.8071041601"/>
  </r>
  <r>
    <x v="0"/>
    <x v="2"/>
    <x v="2"/>
    <x v="3"/>
    <x v="7"/>
    <s v="DE4-W_Offshore_A"/>
    <x v="7"/>
    <x v="5"/>
    <s v="GNR_WT_WIND_OFF_L-NS_Y-2030"/>
    <x v="0"/>
    <x v="6"/>
    <n v="1225.7449221603299"/>
    <n v="447396.89658852201"/>
    <n v="1610628.82771868"/>
  </r>
  <r>
    <x v="0"/>
    <x v="2"/>
    <x v="2"/>
    <x v="3"/>
    <x v="7"/>
    <s v="DE4-W_Offshore_A"/>
    <x v="7"/>
    <x v="5"/>
    <s v="GNR_WT_WIND_OFF_L-NS_Y-2030"/>
    <x v="0"/>
    <x v="7"/>
    <n v="1317.7413059885"/>
    <n v="480975.57668580301"/>
    <n v="1731512.07606889"/>
  </r>
  <r>
    <x v="0"/>
    <x v="2"/>
    <x v="2"/>
    <x v="3"/>
    <x v="7"/>
    <s v="DE4-W_Offshore_A"/>
    <x v="7"/>
    <x v="5"/>
    <s v="GNR_WT_WIND_OFF_L-NS_Y-2030"/>
    <x v="0"/>
    <x v="8"/>
    <n v="1421.3234413032801"/>
    <n v="518783.05607569701"/>
    <n v="1867619.00187251"/>
  </r>
  <r>
    <x v="0"/>
    <x v="2"/>
    <x v="2"/>
    <x v="3"/>
    <x v="7"/>
    <s v="DE4-W_Offshore_A"/>
    <x v="7"/>
    <x v="5"/>
    <s v="GNR_WT_WIND_OFF_L-NS_Y-2030"/>
    <x v="0"/>
    <x v="9"/>
    <n v="1639.9355378065"/>
    <n v="598576.47129937203"/>
    <n v="2154875.2966777398"/>
  </r>
  <r>
    <x v="0"/>
    <x v="2"/>
    <x v="2"/>
    <x v="3"/>
    <x v="7"/>
    <s v="DE4-W_Offshore_A"/>
    <x v="7"/>
    <x v="5"/>
    <s v="GNR_WT_WIND_OFF_L-NS_Y-2030"/>
    <x v="0"/>
    <x v="10"/>
    <n v="1806.5496782329301"/>
    <n v="659390.63255501899"/>
    <n v="2373806.2771980702"/>
  </r>
  <r>
    <x v="0"/>
    <x v="2"/>
    <x v="2"/>
    <x v="3"/>
    <x v="7"/>
    <s v="DE4-W_Offshore_A"/>
    <x v="7"/>
    <x v="5"/>
    <s v="GNR_WT_WIND_OFF_L-NS_Y-2030"/>
    <x v="0"/>
    <x v="11"/>
    <n v="2223.0850292989999"/>
    <n v="811426.03569413605"/>
    <n v="2921133.7284988901"/>
  </r>
  <r>
    <x v="0"/>
    <x v="2"/>
    <x v="2"/>
    <x v="3"/>
    <x v="7"/>
    <s v="DE4-W_Offshore_A"/>
    <x v="7"/>
    <x v="5"/>
    <s v="GNR_WT_WIND_OFF_L-NS_Y-2030"/>
    <x v="0"/>
    <x v="12"/>
    <n v="2597.8289196455398"/>
    <n v="948207.55567062099"/>
    <n v="3413547.2004142301"/>
  </r>
  <r>
    <x v="0"/>
    <x v="2"/>
    <x v="2"/>
    <x v="3"/>
    <x v="7"/>
    <s v="DE4-W_Offshore_A"/>
    <x v="7"/>
    <x v="5"/>
    <s v="GNR_WT_WIND_OFF_L-NS_Y-2030"/>
    <x v="0"/>
    <x v="13"/>
    <n v="3024.8466172947301"/>
    <n v="1104069.0153125799"/>
    <n v="3974648.4551252802"/>
  </r>
  <r>
    <x v="0"/>
    <x v="2"/>
    <x v="2"/>
    <x v="3"/>
    <x v="7"/>
    <s v="DE4-W_Offshore_A"/>
    <x v="7"/>
    <x v="5"/>
    <s v="GNR_WT_WIND_OFF_L-NS_Y-2030"/>
    <x v="0"/>
    <x v="14"/>
    <n v="3446.34729042649"/>
    <n v="1257916.7610056701"/>
    <n v="4528500.3396204105"/>
  </r>
  <r>
    <x v="0"/>
    <x v="2"/>
    <x v="2"/>
    <x v="3"/>
    <x v="7"/>
    <s v="DE4-W_Offshore_A"/>
    <x v="7"/>
    <x v="5"/>
    <s v="GNR_WT_WIND_OFF_L-NS_Y-2030"/>
    <x v="0"/>
    <x v="15"/>
    <n v="4009.0837912044999"/>
    <n v="1463315.5837896401"/>
    <n v="5267936.1016427102"/>
  </r>
  <r>
    <x v="0"/>
    <x v="2"/>
    <x v="2"/>
    <x v="3"/>
    <x v="7"/>
    <s v="DE4-W_Offshore_A"/>
    <x v="7"/>
    <x v="5"/>
    <s v="GNR_WT_WIND_OFF_L-NS_Y-2030"/>
    <x v="0"/>
    <x v="16"/>
    <n v="4523.1325506161802"/>
    <n v="1650943.3809749"/>
    <n v="5943396.1715096598"/>
  </r>
  <r>
    <x v="0"/>
    <x v="2"/>
    <x v="2"/>
    <x v="3"/>
    <x v="7"/>
    <s v="DE4-W_Offshore_A"/>
    <x v="7"/>
    <x v="5"/>
    <s v="GNR_WT_WIND_OFF_L-NS_Y-2030"/>
    <x v="0"/>
    <x v="17"/>
    <n v="5074.0074486817102"/>
    <n v="1852012.7187688199"/>
    <n v="6667245.7875677599"/>
  </r>
  <r>
    <x v="0"/>
    <x v="2"/>
    <x v="2"/>
    <x v="3"/>
    <x v="7"/>
    <s v="DE4-W_Offshore_A"/>
    <x v="7"/>
    <x v="5"/>
    <s v="GNR_WT_WIND_OFF_L-NS_Y-2030"/>
    <x v="0"/>
    <x v="19"/>
    <n v="5627.64085900595"/>
    <n v="2054088.91353717"/>
    <n v="7394720.0887338202"/>
  </r>
  <r>
    <x v="0"/>
    <x v="2"/>
    <x v="2"/>
    <x v="3"/>
    <x v="7"/>
    <s v="DE4-W_Offshore_A"/>
    <x v="7"/>
    <x v="5"/>
    <s v="GNR_WT_WIND_OFF_L-NS_Y-2030"/>
    <x v="0"/>
    <x v="20"/>
    <n v="6100.4498601498299"/>
    <n v="2226664.1989546898"/>
    <n v="8015991.1162368804"/>
  </r>
  <r>
    <x v="0"/>
    <x v="2"/>
    <x v="2"/>
    <x v="3"/>
    <x v="7"/>
    <s v="DE4-W_Offshore_A"/>
    <x v="7"/>
    <x v="5"/>
    <s v="GNR_WT_WIND_OFF_L-NS_Y-2030"/>
    <x v="0"/>
    <x v="21"/>
    <n v="6620.56734653068"/>
    <n v="2416507.0814836998"/>
    <n v="8699425.4933413099"/>
  </r>
  <r>
    <x v="0"/>
    <x v="2"/>
    <x v="2"/>
    <x v="3"/>
    <x v="7"/>
    <s v="DE4-W_Offshore_A"/>
    <x v="7"/>
    <x v="5"/>
    <s v="GNR_WT_WIND_OFF_L-NS_Y-2030"/>
    <x v="0"/>
    <x v="22"/>
    <n v="7276.95533849209"/>
    <n v="2656088.6985496101"/>
    <n v="9561919.3147785999"/>
  </r>
  <r>
    <x v="0"/>
    <x v="2"/>
    <x v="2"/>
    <x v="3"/>
    <x v="7"/>
    <s v="DE4-W_Offshore_A"/>
    <x v="7"/>
    <x v="5"/>
    <s v="GNR_WT_WIND_OFF_L-NS_Y-2030"/>
    <x v="0"/>
    <x v="23"/>
    <n v="7705.07644104477"/>
    <n v="2812352.9009813401"/>
    <n v="10124470.4435328"/>
  </r>
  <r>
    <x v="0"/>
    <x v="2"/>
    <x v="2"/>
    <x v="4"/>
    <x v="8"/>
    <s v="LV_A"/>
    <x v="1"/>
    <x v="9"/>
    <s v="GNR_ES_ELEC_BAT-LITHIO_E-97_Y-30-50"/>
    <x v="0"/>
    <x v="0"/>
    <n v="55.0069294256947"/>
    <n v="20077.529240378601"/>
    <n v="72279.105265362901"/>
  </r>
  <r>
    <x v="0"/>
    <x v="2"/>
    <x v="2"/>
    <x v="4"/>
    <x v="8"/>
    <s v="LV_A"/>
    <x v="1"/>
    <x v="9"/>
    <s v="GNR_ES_ELEC_BAT-LITHIO_E-97_Y-30-50"/>
    <x v="0"/>
    <x v="1"/>
    <n v="55.0069294256947"/>
    <n v="20077.529240378601"/>
    <n v="72279.105265362901"/>
  </r>
  <r>
    <x v="0"/>
    <x v="2"/>
    <x v="2"/>
    <x v="4"/>
    <x v="8"/>
    <s v="LV_A"/>
    <x v="1"/>
    <x v="9"/>
    <s v="GNR_ES_ELEC_BAT-LITHIO_E-97_Y-30-50"/>
    <x v="0"/>
    <x v="6"/>
    <n v="55.0069294256947"/>
    <n v="20077.529240378601"/>
    <n v="72279.105265362901"/>
  </r>
  <r>
    <x v="0"/>
    <x v="2"/>
    <x v="2"/>
    <x v="4"/>
    <x v="8"/>
    <s v="LV_A"/>
    <x v="1"/>
    <x v="9"/>
    <s v="GNR_ES_ELEC_BAT-LITHIO_E-97_Y-30-50"/>
    <x v="0"/>
    <x v="7"/>
    <n v="55.0069294256947"/>
    <n v="20077.529240378601"/>
    <n v="72279.105265362901"/>
  </r>
  <r>
    <x v="0"/>
    <x v="2"/>
    <x v="2"/>
    <x v="4"/>
    <x v="8"/>
    <s v="LV_A"/>
    <x v="1"/>
    <x v="9"/>
    <s v="GNR_ES_ELEC_BAT-LITHIO_E-97_Y-30-50"/>
    <x v="0"/>
    <x v="8"/>
    <n v="55.0069294256947"/>
    <n v="20077.529240378601"/>
    <n v="72279.105265362901"/>
  </r>
  <r>
    <x v="0"/>
    <x v="2"/>
    <x v="2"/>
    <x v="4"/>
    <x v="8"/>
    <s v="LV_A"/>
    <x v="1"/>
    <x v="9"/>
    <s v="GNR_ES_ELEC_BAT-LITHIO_E-97_Y-30-50"/>
    <x v="0"/>
    <x v="9"/>
    <n v="55.0069294256947"/>
    <n v="20077.529240378601"/>
    <n v="72279.105265362901"/>
  </r>
  <r>
    <x v="0"/>
    <x v="2"/>
    <x v="2"/>
    <x v="4"/>
    <x v="8"/>
    <s v="LV_A"/>
    <x v="1"/>
    <x v="9"/>
    <s v="GNR_ES_ELEC_BAT-LITHIO_E-97_Y-30-50"/>
    <x v="0"/>
    <x v="10"/>
    <n v="55.0069294256947"/>
    <n v="20077.529240378601"/>
    <n v="72279.105265362901"/>
  </r>
  <r>
    <x v="0"/>
    <x v="2"/>
    <x v="2"/>
    <x v="4"/>
    <x v="8"/>
    <s v="LV_A"/>
    <x v="1"/>
    <x v="9"/>
    <s v="GNR_ES_ELEC_BAT-LITHIO_E-97_Y-30-50"/>
    <x v="0"/>
    <x v="15"/>
    <n v="11.774472479723601"/>
    <n v="4297.6824550991196"/>
    <n v="15471.656838356799"/>
  </r>
  <r>
    <x v="0"/>
    <x v="2"/>
    <x v="2"/>
    <x v="4"/>
    <x v="8"/>
    <s v="LV_A"/>
    <x v="7"/>
    <x v="5"/>
    <s v="GNR_WT_WIND_ON_LS_Y-2030"/>
    <x v="0"/>
    <x v="0"/>
    <n v="929.47368332325902"/>
    <n v="339257.89441298897"/>
    <n v="1221328.4198867599"/>
  </r>
  <r>
    <x v="0"/>
    <x v="2"/>
    <x v="2"/>
    <x v="4"/>
    <x v="8"/>
    <s v="LV_A"/>
    <x v="7"/>
    <x v="5"/>
    <s v="GNR_WT_WIND_ON_LS_Y-2030"/>
    <x v="0"/>
    <x v="1"/>
    <n v="1239.2982444310101"/>
    <n v="452343.859217319"/>
    <n v="1628437.8931823501"/>
  </r>
  <r>
    <x v="0"/>
    <x v="2"/>
    <x v="2"/>
    <x v="4"/>
    <x v="8"/>
    <s v="LV_A"/>
    <x v="7"/>
    <x v="5"/>
    <s v="GNR_WT_WIND_ON_LS_Y-2030"/>
    <x v="0"/>
    <x v="18"/>
    <n v="1394.2105249848901"/>
    <n v="508886.84161948401"/>
    <n v="1831992.6298301399"/>
  </r>
  <r>
    <x v="0"/>
    <x v="2"/>
    <x v="2"/>
    <x v="4"/>
    <x v="8"/>
    <s v="LV_A"/>
    <x v="7"/>
    <x v="5"/>
    <s v="GNR_WT_WIND_ON_LS_Y-2030"/>
    <x v="0"/>
    <x v="2"/>
    <n v="1704.0350860926401"/>
    <n v="621972.80642381404"/>
    <n v="2239102.1031257301"/>
  </r>
  <r>
    <x v="0"/>
    <x v="2"/>
    <x v="2"/>
    <x v="4"/>
    <x v="8"/>
    <s v="LV_A"/>
    <x v="7"/>
    <x v="5"/>
    <s v="GNR_WT_WIND_ON_LS_Y-2030"/>
    <x v="0"/>
    <x v="3"/>
    <n v="1858.9473666465201"/>
    <n v="678515.78882597899"/>
    <n v="2442656.8397735199"/>
  </r>
  <r>
    <x v="0"/>
    <x v="2"/>
    <x v="2"/>
    <x v="4"/>
    <x v="8"/>
    <s v="LV_A"/>
    <x v="7"/>
    <x v="5"/>
    <s v="GNR_WT_WIND_ON_LS_Y-2030"/>
    <x v="0"/>
    <x v="4"/>
    <n v="2013.8596472003901"/>
    <n v="735058.77122814395"/>
    <n v="2646211.57642132"/>
  </r>
  <r>
    <x v="0"/>
    <x v="2"/>
    <x v="2"/>
    <x v="4"/>
    <x v="8"/>
    <s v="LV_A"/>
    <x v="7"/>
    <x v="5"/>
    <s v="GNR_WT_WIND_ON_LS_Y-2030"/>
    <x v="0"/>
    <x v="5"/>
    <n v="2013.8596472003901"/>
    <n v="735058.77122814395"/>
    <n v="2646211.57642132"/>
  </r>
  <r>
    <x v="0"/>
    <x v="2"/>
    <x v="2"/>
    <x v="4"/>
    <x v="8"/>
    <s v="LV_A"/>
    <x v="7"/>
    <x v="5"/>
    <s v="GNR_WT_WIND_ON_LS_Y-2030"/>
    <x v="0"/>
    <x v="6"/>
    <n v="2168.7719277542701"/>
    <n v="791601.75363030902"/>
    <n v="2849766.3130691098"/>
  </r>
  <r>
    <x v="0"/>
    <x v="2"/>
    <x v="2"/>
    <x v="4"/>
    <x v="8"/>
    <s v="LV_A"/>
    <x v="7"/>
    <x v="5"/>
    <s v="GNR_WT_WIND_ON_LS_Y-2030"/>
    <x v="0"/>
    <x v="7"/>
    <n v="2168.7719277542701"/>
    <n v="791601.75363030902"/>
    <n v="2849766.3130691098"/>
  </r>
  <r>
    <x v="0"/>
    <x v="2"/>
    <x v="2"/>
    <x v="4"/>
    <x v="8"/>
    <s v="LV_A"/>
    <x v="7"/>
    <x v="5"/>
    <s v="GNR_WT_WIND_ON_LS_Y-2030"/>
    <x v="0"/>
    <x v="8"/>
    <n v="1394.2105249848901"/>
    <n v="508886.84161948401"/>
    <n v="1831992.6298301399"/>
  </r>
  <r>
    <x v="0"/>
    <x v="2"/>
    <x v="2"/>
    <x v="4"/>
    <x v="8"/>
    <s v="LV_A"/>
    <x v="7"/>
    <x v="5"/>
    <s v="GNR_WT_WIND_ON_LS_Y-2030"/>
    <x v="0"/>
    <x v="9"/>
    <n v="1239.2982444310101"/>
    <n v="452343.859217319"/>
    <n v="1628437.8931823501"/>
  </r>
  <r>
    <x v="0"/>
    <x v="2"/>
    <x v="2"/>
    <x v="4"/>
    <x v="8"/>
    <s v="LV_A"/>
    <x v="7"/>
    <x v="5"/>
    <s v="GNR_WT_WIND_ON_LS_Y-2030"/>
    <x v="0"/>
    <x v="10"/>
    <n v="1858.9473666465201"/>
    <n v="678515.78882597899"/>
    <n v="2442656.8397735199"/>
  </r>
  <r>
    <x v="0"/>
    <x v="2"/>
    <x v="2"/>
    <x v="4"/>
    <x v="8"/>
    <s v="LV_A"/>
    <x v="7"/>
    <x v="5"/>
    <s v="GNR_WT_WIND_ON_LS_Y-2030"/>
    <x v="0"/>
    <x v="11"/>
    <n v="1549.1228055387601"/>
    <n v="565429.82402164896"/>
    <n v="2035547.36647794"/>
  </r>
  <r>
    <x v="0"/>
    <x v="2"/>
    <x v="2"/>
    <x v="4"/>
    <x v="8"/>
    <s v="LV_A"/>
    <x v="7"/>
    <x v="5"/>
    <s v="GNR_WT_WIND_ON_LS_Y-2030"/>
    <x v="0"/>
    <x v="12"/>
    <n v="1394.2105249848901"/>
    <n v="508886.84161948401"/>
    <n v="1831992.6298301399"/>
  </r>
  <r>
    <x v="0"/>
    <x v="2"/>
    <x v="2"/>
    <x v="4"/>
    <x v="8"/>
    <s v="LV_A"/>
    <x v="7"/>
    <x v="5"/>
    <s v="GNR_WT_WIND_ON_LS_Y-2030"/>
    <x v="0"/>
    <x v="13"/>
    <n v="1394.2105249848901"/>
    <n v="508886.84161948401"/>
    <n v="1831992.6298301399"/>
  </r>
  <r>
    <x v="0"/>
    <x v="2"/>
    <x v="2"/>
    <x v="4"/>
    <x v="8"/>
    <s v="LV_A"/>
    <x v="7"/>
    <x v="5"/>
    <s v="GNR_WT_WIND_ON_LS_Y-2030"/>
    <x v="0"/>
    <x v="14"/>
    <n v="1394.2105249848901"/>
    <n v="508886.84161948401"/>
    <n v="1831992.6298301399"/>
  </r>
  <r>
    <x v="0"/>
    <x v="2"/>
    <x v="2"/>
    <x v="4"/>
    <x v="8"/>
    <s v="LV_A"/>
    <x v="7"/>
    <x v="5"/>
    <s v="GNR_WT_WIND_ON_LS_Y-2030"/>
    <x v="0"/>
    <x v="15"/>
    <n v="1704.0350860926401"/>
    <n v="621972.80642381404"/>
    <n v="2239102.1031257301"/>
  </r>
  <r>
    <x v="0"/>
    <x v="2"/>
    <x v="2"/>
    <x v="4"/>
    <x v="8"/>
    <s v="LV_A"/>
    <x v="7"/>
    <x v="5"/>
    <s v="GNR_WT_WIND_ON_LS_Y-2030"/>
    <x v="0"/>
    <x v="16"/>
    <n v="1704.0350860926401"/>
    <n v="621972.80642381404"/>
    <n v="2239102.1031257301"/>
  </r>
  <r>
    <x v="0"/>
    <x v="2"/>
    <x v="2"/>
    <x v="4"/>
    <x v="8"/>
    <s v="LV_A"/>
    <x v="7"/>
    <x v="5"/>
    <s v="GNR_WT_WIND_ON_LS_Y-2030"/>
    <x v="0"/>
    <x v="17"/>
    <n v="1549.1228055387601"/>
    <n v="565429.82402164896"/>
    <n v="2035547.36647794"/>
  </r>
  <r>
    <x v="0"/>
    <x v="2"/>
    <x v="2"/>
    <x v="4"/>
    <x v="8"/>
    <s v="LV_A"/>
    <x v="7"/>
    <x v="5"/>
    <s v="GNR_WT_WIND_ON_LS_Y-2030"/>
    <x v="0"/>
    <x v="19"/>
    <n v="1549.1228055387601"/>
    <n v="565429.82402164896"/>
    <n v="2035547.36647794"/>
  </r>
  <r>
    <x v="0"/>
    <x v="2"/>
    <x v="2"/>
    <x v="4"/>
    <x v="8"/>
    <s v="LV_A"/>
    <x v="7"/>
    <x v="5"/>
    <s v="GNR_WT_WIND_ON_LS_Y-2030"/>
    <x v="0"/>
    <x v="20"/>
    <n v="2323.6842083081501"/>
    <n v="848144.73603247397"/>
    <n v="3053321.0497169099"/>
  </r>
  <r>
    <x v="0"/>
    <x v="2"/>
    <x v="2"/>
    <x v="4"/>
    <x v="8"/>
    <s v="LV_A"/>
    <x v="7"/>
    <x v="5"/>
    <s v="GNR_WT_WIND_ON_LS_Y-2030"/>
    <x v="0"/>
    <x v="21"/>
    <n v="2478.5964888620201"/>
    <n v="904687.71843463799"/>
    <n v="3256875.7863647002"/>
  </r>
  <r>
    <x v="0"/>
    <x v="2"/>
    <x v="2"/>
    <x v="4"/>
    <x v="8"/>
    <s v="LV_A"/>
    <x v="7"/>
    <x v="5"/>
    <s v="GNR_WT_WIND_ON_LS_Y-2030"/>
    <x v="0"/>
    <x v="22"/>
    <n v="2478.5964888620201"/>
    <n v="904687.71843463799"/>
    <n v="3256875.7863647002"/>
  </r>
  <r>
    <x v="0"/>
    <x v="2"/>
    <x v="2"/>
    <x v="4"/>
    <x v="8"/>
    <s v="LV_A"/>
    <x v="7"/>
    <x v="5"/>
    <s v="GNR_WT_WIND_ON_LS_Y-2030"/>
    <x v="0"/>
    <x v="23"/>
    <n v="2788.4210499697801"/>
    <n v="1017773.68323897"/>
    <n v="3663985.2596602901"/>
  </r>
  <r>
    <x v="0"/>
    <x v="2"/>
    <x v="2"/>
    <x v="4"/>
    <x v="8"/>
    <s v="LV_RigaR"/>
    <x v="6"/>
    <x v="7"/>
    <s v="GNR_RES_WTR_NOPMP"/>
    <x v="0"/>
    <x v="9"/>
    <n v="1.1013698630137001"/>
    <n v="402"/>
    <n v="1447.2"/>
  </r>
  <r>
    <x v="0"/>
    <x v="2"/>
    <x v="2"/>
    <x v="4"/>
    <x v="8"/>
    <s v="LV_Rural"/>
    <x v="7"/>
    <x v="5"/>
    <s v="GNR_WT_WIND_ONS"/>
    <x v="0"/>
    <x v="0"/>
    <n v="1.9962543653964"/>
    <n v="728.63284336968502"/>
    <n v="2623.0782361308702"/>
  </r>
  <r>
    <x v="0"/>
    <x v="2"/>
    <x v="2"/>
    <x v="4"/>
    <x v="8"/>
    <s v="LV_Rural"/>
    <x v="7"/>
    <x v="5"/>
    <s v="GNR_WT_WIND_ONS"/>
    <x v="0"/>
    <x v="1"/>
    <n v="2.3955052384756801"/>
    <n v="874.35941204362302"/>
    <n v="3147.6938833570398"/>
  </r>
  <r>
    <x v="0"/>
    <x v="2"/>
    <x v="2"/>
    <x v="4"/>
    <x v="8"/>
    <s v="LV_Rural"/>
    <x v="7"/>
    <x v="5"/>
    <s v="GNR_WT_WIND_ONS"/>
    <x v="0"/>
    <x v="18"/>
    <n v="2.33846939946435"/>
    <n v="853.54133080448901"/>
    <n v="3072.7487908961598"/>
  </r>
  <r>
    <x v="0"/>
    <x v="2"/>
    <x v="2"/>
    <x v="4"/>
    <x v="8"/>
    <s v="LV_Rural"/>
    <x v="7"/>
    <x v="5"/>
    <s v="GNR_WT_WIND_ONS"/>
    <x v="0"/>
    <x v="2"/>
    <n v="2.1958798019360399"/>
    <n v="801.49612770665397"/>
    <n v="2885.3860597439502"/>
  </r>
  <r>
    <x v="0"/>
    <x v="2"/>
    <x v="2"/>
    <x v="4"/>
    <x v="8"/>
    <s v="LV_Rural"/>
    <x v="7"/>
    <x v="5"/>
    <s v="GNR_WT_WIND_ONS"/>
    <x v="0"/>
    <x v="3"/>
    <n v="1.6255214118227801"/>
    <n v="593.31531531531505"/>
    <n v="2135.9351351351402"/>
  </r>
  <r>
    <x v="0"/>
    <x v="2"/>
    <x v="2"/>
    <x v="4"/>
    <x v="8"/>
    <s v="LV_Rural"/>
    <x v="7"/>
    <x v="5"/>
    <s v="GNR_WT_WIND_ONS"/>
    <x v="0"/>
    <x v="4"/>
    <n v="0.94109134368687397"/>
    <n v="343.498340445709"/>
    <n v="1236.5940256045501"/>
  </r>
  <r>
    <x v="0"/>
    <x v="2"/>
    <x v="2"/>
    <x v="4"/>
    <x v="8"/>
    <s v="LV_Rural"/>
    <x v="7"/>
    <x v="5"/>
    <s v="GNR_WT_WIND_ONS"/>
    <x v="0"/>
    <x v="5"/>
    <n v="0.19962543653963999"/>
    <n v="72.863284336968505"/>
    <n v="262.30782361308701"/>
  </r>
  <r>
    <x v="0"/>
    <x v="2"/>
    <x v="2"/>
    <x v="4"/>
    <x v="8"/>
    <s v="LV_Rural"/>
    <x v="7"/>
    <x v="5"/>
    <s v="GNR_WT_WIND_ONS"/>
    <x v="0"/>
    <x v="6"/>
    <n v="0.14258959752831399"/>
    <n v="52.045203097834701"/>
    <n v="187.36273115220499"/>
  </r>
  <r>
    <x v="0"/>
    <x v="2"/>
    <x v="2"/>
    <x v="4"/>
    <x v="8"/>
    <s v="LV_Rural"/>
    <x v="7"/>
    <x v="5"/>
    <s v="GNR_WT_WIND_ONS"/>
    <x v="0"/>
    <x v="7"/>
    <n v="0.19962543653963999"/>
    <n v="72.863284336968505"/>
    <n v="262.30782361308701"/>
  </r>
  <r>
    <x v="0"/>
    <x v="2"/>
    <x v="2"/>
    <x v="4"/>
    <x v="8"/>
    <s v="LV_Rural"/>
    <x v="7"/>
    <x v="5"/>
    <s v="GNR_WT_WIND_ONS"/>
    <x v="0"/>
    <x v="8"/>
    <n v="0.94109134368687397"/>
    <n v="343.498340445709"/>
    <n v="1236.5940256045501"/>
  </r>
  <r>
    <x v="0"/>
    <x v="2"/>
    <x v="2"/>
    <x v="4"/>
    <x v="8"/>
    <s v="LV_Rural"/>
    <x v="7"/>
    <x v="5"/>
    <s v="GNR_WT_WIND_ONS"/>
    <x v="0"/>
    <x v="9"/>
    <n v="2.1958798019360399"/>
    <n v="801.49612770665397"/>
    <n v="2885.3860597439502"/>
  </r>
  <r>
    <x v="0"/>
    <x v="2"/>
    <x v="2"/>
    <x v="4"/>
    <x v="8"/>
    <s v="LV_Rural"/>
    <x v="7"/>
    <x v="5"/>
    <s v="GNR_WT_WIND_ONS"/>
    <x v="0"/>
    <x v="10"/>
    <n v="3.39363242117388"/>
    <n v="1238.67583372847"/>
    <n v="4459.2330014224799"/>
  </r>
  <r>
    <x v="0"/>
    <x v="2"/>
    <x v="2"/>
    <x v="4"/>
    <x v="8"/>
    <s v="LV_Rural"/>
    <x v="7"/>
    <x v="5"/>
    <s v="GNR_WT_WIND_ONS"/>
    <x v="0"/>
    <x v="11"/>
    <n v="3.9354728917814699"/>
    <n v="1436.4476055002399"/>
    <n v="5171.2113798008504"/>
  </r>
  <r>
    <x v="0"/>
    <x v="2"/>
    <x v="2"/>
    <x v="4"/>
    <x v="8"/>
    <s v="LV_Rural"/>
    <x v="7"/>
    <x v="5"/>
    <s v="GNR_WT_WIND_ONS"/>
    <x v="0"/>
    <x v="12"/>
    <n v="4.5058312818947304"/>
    <n v="1644.6284178915801"/>
    <n v="5920.6623044096696"/>
  </r>
  <r>
    <x v="0"/>
    <x v="2"/>
    <x v="2"/>
    <x v="4"/>
    <x v="8"/>
    <s v="LV_Rural"/>
    <x v="7"/>
    <x v="5"/>
    <s v="GNR_WT_WIND_ONS"/>
    <x v="0"/>
    <x v="13"/>
    <n v="4.5058312818947304"/>
    <n v="1644.6284178915801"/>
    <n v="5920.6623044096696"/>
  </r>
  <r>
    <x v="0"/>
    <x v="2"/>
    <x v="2"/>
    <x v="4"/>
    <x v="8"/>
    <s v="LV_Rural"/>
    <x v="7"/>
    <x v="5"/>
    <s v="GNR_WT_WIND_ONS"/>
    <x v="0"/>
    <x v="14"/>
    <n v="7.1294798764157097"/>
    <n v="2602.2601548917301"/>
    <n v="9368.1365576102398"/>
  </r>
  <r>
    <x v="0"/>
    <x v="2"/>
    <x v="2"/>
    <x v="4"/>
    <x v="8"/>
    <s v="LV_Rural"/>
    <x v="7"/>
    <x v="5"/>
    <s v="GNR_WT_WIND_ONS"/>
    <x v="0"/>
    <x v="15"/>
    <n v="9.2112880003291"/>
    <n v="3362.1201201201202"/>
    <n v="12103.6324324324"/>
  </r>
  <r>
    <x v="0"/>
    <x v="2"/>
    <x v="2"/>
    <x v="4"/>
    <x v="8"/>
    <s v="LV_Rural"/>
    <x v="7"/>
    <x v="5"/>
    <s v="GNR_WT_WIND_ONS"/>
    <x v="0"/>
    <x v="16"/>
    <n v="9.0972163223064406"/>
    <n v="3320.4839576418499"/>
    <n v="11953.7422475107"/>
  </r>
  <r>
    <x v="0"/>
    <x v="2"/>
    <x v="2"/>
    <x v="4"/>
    <x v="8"/>
    <s v="LV_Rural"/>
    <x v="7"/>
    <x v="5"/>
    <s v="GNR_WT_WIND_ONS"/>
    <x v="0"/>
    <x v="17"/>
    <n v="12.433812904469001"/>
    <n v="4538.3417101311798"/>
    <n v="16338.030156472299"/>
  </r>
  <r>
    <x v="0"/>
    <x v="2"/>
    <x v="2"/>
    <x v="4"/>
    <x v="8"/>
    <s v="LV_Rural"/>
    <x v="7"/>
    <x v="5"/>
    <s v="GNR_WT_WIND_ONS"/>
    <x v="0"/>
    <x v="19"/>
    <n v="18.508129759175201"/>
    <n v="6755.4673620989397"/>
    <n v="24319.6825035562"/>
  </r>
  <r>
    <x v="0"/>
    <x v="2"/>
    <x v="2"/>
    <x v="4"/>
    <x v="8"/>
    <s v="LV_Rural"/>
    <x v="7"/>
    <x v="5"/>
    <s v="GNR_WT_WIND_ONS"/>
    <x v="0"/>
    <x v="20"/>
    <n v="21.4454754682585"/>
    <n v="7827.5985459143403"/>
    <n v="28179.354765291599"/>
  </r>
  <r>
    <x v="0"/>
    <x v="2"/>
    <x v="2"/>
    <x v="4"/>
    <x v="8"/>
    <s v="LV_Rural"/>
    <x v="7"/>
    <x v="5"/>
    <s v="GNR_WT_WIND_ONS"/>
    <x v="0"/>
    <x v="21"/>
    <n v="23.128032719092602"/>
    <n v="8441.7319424687794"/>
    <n v="30390.234992887599"/>
  </r>
  <r>
    <x v="0"/>
    <x v="2"/>
    <x v="2"/>
    <x v="4"/>
    <x v="8"/>
    <s v="LV_Rural"/>
    <x v="7"/>
    <x v="5"/>
    <s v="GNR_WT_WIND_ONS"/>
    <x v="0"/>
    <x v="22"/>
    <n v="23.498765672666199"/>
    <n v="8577.0494705231504"/>
    <n v="30877.378093883399"/>
  </r>
  <r>
    <x v="0"/>
    <x v="2"/>
    <x v="2"/>
    <x v="4"/>
    <x v="8"/>
    <s v="LV_Rural"/>
    <x v="7"/>
    <x v="5"/>
    <s v="GNR_WT_WIND_ONS"/>
    <x v="0"/>
    <x v="23"/>
    <n v="24.468374935858701"/>
    <n v="8930.9568515884293"/>
    <n v="32151.4446657183"/>
  </r>
  <r>
    <x v="0"/>
    <x v="2"/>
    <x v="2"/>
    <x v="5"/>
    <x v="9"/>
    <s v="LT_A"/>
    <x v="1"/>
    <x v="9"/>
    <s v="GNR_ES_ELEC_BAT-LITHIO_E-97_Y-30-50"/>
    <x v="0"/>
    <x v="0"/>
    <n v="1343.7507628938599"/>
    <n v="490469.02845625998"/>
    <n v="1765688.5024425399"/>
  </r>
  <r>
    <x v="0"/>
    <x v="2"/>
    <x v="2"/>
    <x v="5"/>
    <x v="9"/>
    <s v="LT_A"/>
    <x v="1"/>
    <x v="9"/>
    <s v="GNR_ES_ELEC_BAT-LITHIO_E-97_Y-30-50"/>
    <x v="0"/>
    <x v="1"/>
    <n v="953.67974063311704"/>
    <n v="348093.10533108801"/>
    <n v="1253135.17919192"/>
  </r>
  <r>
    <x v="0"/>
    <x v="2"/>
    <x v="2"/>
    <x v="5"/>
    <x v="9"/>
    <s v="LT_A"/>
    <x v="1"/>
    <x v="9"/>
    <s v="GNR_ES_ELEC_BAT-LITHIO_E-97_Y-30-50"/>
    <x v="0"/>
    <x v="18"/>
    <n v="772.30867886340002"/>
    <n v="281892.66778514098"/>
    <n v="1014813.60402651"/>
  </r>
  <r>
    <x v="0"/>
    <x v="2"/>
    <x v="2"/>
    <x v="5"/>
    <x v="9"/>
    <s v="LT_A"/>
    <x v="1"/>
    <x v="9"/>
    <s v="GNR_ES_ELEC_BAT-LITHIO_E-97_Y-30-50"/>
    <x v="0"/>
    <x v="2"/>
    <n v="145.29092762755201"/>
    <n v="53031.188584056697"/>
    <n v="190912.27890260401"/>
  </r>
  <r>
    <x v="0"/>
    <x v="2"/>
    <x v="2"/>
    <x v="5"/>
    <x v="9"/>
    <s v="LT_A"/>
    <x v="1"/>
    <x v="9"/>
    <s v="GNR_ES_ELEC_BAT-LITHIO_E-97_Y-30-50"/>
    <x v="0"/>
    <x v="4"/>
    <n v="43.807863635504901"/>
    <n v="15989.8702269593"/>
    <n v="57563.532817053398"/>
  </r>
  <r>
    <x v="0"/>
    <x v="2"/>
    <x v="2"/>
    <x v="5"/>
    <x v="9"/>
    <s v="LT_A"/>
    <x v="1"/>
    <x v="9"/>
    <s v="GNR_ES_ELEC_BAT-LITHIO_E-97_Y-30-50"/>
    <x v="0"/>
    <x v="5"/>
    <n v="3.2750665591834101"/>
    <n v="1195.3992941019501"/>
    <n v="4303.43745876701"/>
  </r>
  <r>
    <x v="0"/>
    <x v="2"/>
    <x v="2"/>
    <x v="5"/>
    <x v="9"/>
    <s v="LT_A"/>
    <x v="1"/>
    <x v="9"/>
    <s v="GNR_ES_ELEC_BAT-LITHIO_E-97_Y-30-50"/>
    <x v="0"/>
    <x v="6"/>
    <n v="2084.9807794766598"/>
    <n v="761017.984508981"/>
    <n v="2739664.74423233"/>
  </r>
  <r>
    <x v="0"/>
    <x v="2"/>
    <x v="2"/>
    <x v="5"/>
    <x v="9"/>
    <s v="LT_A"/>
    <x v="1"/>
    <x v="9"/>
    <s v="GNR_ES_ELEC_BAT-LITHIO_E-97_Y-30-50"/>
    <x v="0"/>
    <x v="7"/>
    <n v="2084.9807794766598"/>
    <n v="761017.984508981"/>
    <n v="2739664.74423233"/>
  </r>
  <r>
    <x v="0"/>
    <x v="2"/>
    <x v="2"/>
    <x v="5"/>
    <x v="9"/>
    <s v="LT_A"/>
    <x v="1"/>
    <x v="9"/>
    <s v="GNR_ES_ELEC_BAT-LITHIO_E-97_Y-30-50"/>
    <x v="0"/>
    <x v="8"/>
    <n v="2084.9807794766598"/>
    <n v="761017.984508981"/>
    <n v="2739664.74423233"/>
  </r>
  <r>
    <x v="0"/>
    <x v="2"/>
    <x v="2"/>
    <x v="5"/>
    <x v="9"/>
    <s v="LT_A"/>
    <x v="1"/>
    <x v="9"/>
    <s v="GNR_ES_ELEC_BAT-LITHIO_E-97_Y-30-50"/>
    <x v="0"/>
    <x v="9"/>
    <n v="2084.9807794766598"/>
    <n v="761017.984508981"/>
    <n v="2739664.74423233"/>
  </r>
  <r>
    <x v="0"/>
    <x v="2"/>
    <x v="2"/>
    <x v="5"/>
    <x v="9"/>
    <s v="LT_A"/>
    <x v="1"/>
    <x v="9"/>
    <s v="GNR_ES_ELEC_BAT-LITHIO_E-97_Y-30-50"/>
    <x v="0"/>
    <x v="10"/>
    <n v="231.410203062969"/>
    <n v="84464.724117983802"/>
    <n v="304073.00682474201"/>
  </r>
  <r>
    <x v="0"/>
    <x v="2"/>
    <x v="2"/>
    <x v="5"/>
    <x v="9"/>
    <s v="LT_A"/>
    <x v="5"/>
    <x v="3"/>
    <s v="GNR_PV_SUN_LS-4-MW_Y-2030"/>
    <x v="0"/>
    <x v="7"/>
    <n v="570.83316627729403"/>
    <n v="208354.105691212"/>
    <n v="750074.78048836405"/>
  </r>
  <r>
    <x v="0"/>
    <x v="2"/>
    <x v="2"/>
    <x v="5"/>
    <x v="9"/>
    <s v="LT_A"/>
    <x v="5"/>
    <x v="3"/>
    <s v="GNR_PV_SUN_LS-4-MW_Y-2030"/>
    <x v="0"/>
    <x v="8"/>
    <n v="1.63931575956556E-2"/>
    <n v="5.9835025224142999"/>
    <n v="21.5406090806915"/>
  </r>
  <r>
    <x v="0"/>
    <x v="2"/>
    <x v="2"/>
    <x v="5"/>
    <x v="9"/>
    <s v="LT_A"/>
    <x v="5"/>
    <x v="3"/>
    <s v="GNR_PV_SUN_LS-4-MW_Y-2030"/>
    <x v="0"/>
    <x v="9"/>
    <n v="8.1965787978278096E-2"/>
    <n v="29.917512612071501"/>
    <n v="107.703045403457"/>
  </r>
  <r>
    <x v="0"/>
    <x v="2"/>
    <x v="2"/>
    <x v="5"/>
    <x v="9"/>
    <s v="LT_A"/>
    <x v="5"/>
    <x v="3"/>
    <s v="GNR_PV_SUN_LS-4-MW_Y-2030"/>
    <x v="0"/>
    <x v="10"/>
    <n v="0.124119621795678"/>
    <n v="45.303661955422598"/>
    <n v="163.09318303952099"/>
  </r>
  <r>
    <x v="0"/>
    <x v="2"/>
    <x v="2"/>
    <x v="5"/>
    <x v="9"/>
    <s v="LT_A"/>
    <x v="5"/>
    <x v="3"/>
    <s v="GNR_PV_SUN_LS-4-MW_Y-2030"/>
    <x v="0"/>
    <x v="11"/>
    <n v="6.6743570210883604E-2"/>
    <n v="24.361403126972501"/>
    <n v="87.701051257101099"/>
  </r>
  <r>
    <x v="0"/>
    <x v="2"/>
    <x v="2"/>
    <x v="5"/>
    <x v="9"/>
    <s v="LT_A"/>
    <x v="5"/>
    <x v="3"/>
    <s v="GNR_PV_SUN_LS-4-MW_Y-2030"/>
    <x v="0"/>
    <x v="12"/>
    <n v="4.6837593130444602E-3"/>
    <n v="1.7095721492612299"/>
    <n v="6.1544597373404297"/>
  </r>
  <r>
    <x v="0"/>
    <x v="2"/>
    <x v="2"/>
    <x v="5"/>
    <x v="9"/>
    <s v="LT_A"/>
    <x v="5"/>
    <x v="3"/>
    <s v="GNR_PV_SUN_LS-4-MW_Y-2030"/>
    <x v="0"/>
    <x v="13"/>
    <n v="9724.6552737085694"/>
    <n v="3549499.1749036298"/>
    <n v="12778197.0296531"/>
  </r>
  <r>
    <x v="0"/>
    <x v="2"/>
    <x v="2"/>
    <x v="5"/>
    <x v="9"/>
    <s v="LT_A"/>
    <x v="5"/>
    <x v="3"/>
    <s v="GNR_PV_SUN_LS-4-MW_Y-2030"/>
    <x v="0"/>
    <x v="14"/>
    <n v="4923.8019778379903"/>
    <n v="1797187.7219108699"/>
    <n v="6469875.7988791196"/>
  </r>
  <r>
    <x v="0"/>
    <x v="2"/>
    <x v="2"/>
    <x v="5"/>
    <x v="9"/>
    <s v="LT_A"/>
    <x v="5"/>
    <x v="3"/>
    <s v="GNR_PV_SUN_LS-4-MW_Y-2030"/>
    <x v="0"/>
    <x v="15"/>
    <n v="641.08955597296097"/>
    <n v="233997.68793013101"/>
    <n v="842391.67654847098"/>
  </r>
  <r>
    <x v="0"/>
    <x v="2"/>
    <x v="2"/>
    <x v="5"/>
    <x v="9"/>
    <s v="LT_A"/>
    <x v="7"/>
    <x v="5"/>
    <s v="GNR_WT_WIND_ON_LS_Y-2030"/>
    <x v="0"/>
    <x v="0"/>
    <n v="1200.34392321272"/>
    <n v="438125.531972642"/>
    <n v="1577251.91510151"/>
  </r>
  <r>
    <x v="0"/>
    <x v="2"/>
    <x v="2"/>
    <x v="5"/>
    <x v="9"/>
    <s v="LT_A"/>
    <x v="7"/>
    <x v="5"/>
    <s v="GNR_WT_WIND_ON_LS_Y-2030"/>
    <x v="0"/>
    <x v="1"/>
    <n v="1091.2217483751999"/>
    <n v="398295.93815694703"/>
    <n v="1433865.3773650101"/>
  </r>
  <r>
    <x v="0"/>
    <x v="2"/>
    <x v="2"/>
    <x v="5"/>
    <x v="9"/>
    <s v="LT_A"/>
    <x v="7"/>
    <x v="5"/>
    <s v="GNR_WT_WIND_ON_LS_Y-2030"/>
    <x v="0"/>
    <x v="18"/>
    <n v="982.09957353767902"/>
    <n v="358466.34434125299"/>
    <n v="1290478.8396285099"/>
  </r>
  <r>
    <x v="0"/>
    <x v="2"/>
    <x v="2"/>
    <x v="5"/>
    <x v="9"/>
    <s v="LT_A"/>
    <x v="7"/>
    <x v="5"/>
    <s v="GNR_WT_WIND_ON_LS_Y-2030"/>
    <x v="0"/>
    <x v="2"/>
    <n v="1582.2715351440399"/>
    <n v="577529.11032757396"/>
    <n v="2079104.7971792701"/>
  </r>
  <r>
    <x v="0"/>
    <x v="2"/>
    <x v="2"/>
    <x v="5"/>
    <x v="9"/>
    <s v="LT_A"/>
    <x v="7"/>
    <x v="5"/>
    <s v="GNR_WT_WIND_ON_LS_Y-2030"/>
    <x v="0"/>
    <x v="3"/>
    <n v="1718.6742536909401"/>
    <n v="627316.10259719205"/>
    <n v="2258337.96934989"/>
  </r>
  <r>
    <x v="0"/>
    <x v="2"/>
    <x v="2"/>
    <x v="5"/>
    <x v="9"/>
    <s v="LT_A"/>
    <x v="7"/>
    <x v="5"/>
    <s v="GNR_WT_WIND_ON_LS_Y-2030"/>
    <x v="0"/>
    <x v="4"/>
    <n v="1691.3937099815601"/>
    <n v="617358.70414326899"/>
    <n v="2222491.3349157702"/>
  </r>
  <r>
    <x v="0"/>
    <x v="2"/>
    <x v="2"/>
    <x v="5"/>
    <x v="9"/>
    <s v="LT_A"/>
    <x v="7"/>
    <x v="5"/>
    <s v="GNR_WT_WIND_ON_LS_Y-2030"/>
    <x v="0"/>
    <x v="5"/>
    <n v="1814.1561566737701"/>
    <n v="662166.99718592502"/>
    <n v="2383801.1898693298"/>
  </r>
  <r>
    <x v="0"/>
    <x v="2"/>
    <x v="2"/>
    <x v="5"/>
    <x v="9"/>
    <s v="LT_A"/>
    <x v="7"/>
    <x v="5"/>
    <s v="GNR_WT_WIND_ON_LS_Y-2030"/>
    <x v="0"/>
    <x v="6"/>
    <n v="1377.6674573236901"/>
    <n v="502848.62192314601"/>
    <n v="1810255.0389233299"/>
  </r>
  <r>
    <x v="0"/>
    <x v="2"/>
    <x v="2"/>
    <x v="5"/>
    <x v="9"/>
    <s v="LT_A"/>
    <x v="7"/>
    <x v="5"/>
    <s v="GNR_WT_WIND_ON_LS_Y-2030"/>
    <x v="0"/>
    <x v="7"/>
    <n v="1200.34392321272"/>
    <n v="438125.531972642"/>
    <n v="1577251.91510151"/>
  </r>
  <r>
    <x v="0"/>
    <x v="2"/>
    <x v="2"/>
    <x v="5"/>
    <x v="9"/>
    <s v="LT_A"/>
    <x v="7"/>
    <x v="5"/>
    <s v="GNR_WT_WIND_ON_LS_Y-2030"/>
    <x v="0"/>
    <x v="8"/>
    <n v="1036.6606609564401"/>
    <n v="378381.14124909998"/>
    <n v="1362172.10849676"/>
  </r>
  <r>
    <x v="0"/>
    <x v="2"/>
    <x v="2"/>
    <x v="5"/>
    <x v="9"/>
    <s v="LT_A"/>
    <x v="7"/>
    <x v="5"/>
    <s v="GNR_WT_WIND_ON_LS_Y-2030"/>
    <x v="0"/>
    <x v="9"/>
    <n v="1118.5022920845799"/>
    <n v="408253.33661087102"/>
    <n v="1469712.0117991399"/>
  </r>
  <r>
    <x v="0"/>
    <x v="2"/>
    <x v="2"/>
    <x v="5"/>
    <x v="9"/>
    <s v="LT_A"/>
    <x v="7"/>
    <x v="5"/>
    <s v="GNR_WT_WIND_ON_LS_Y-2030"/>
    <x v="0"/>
    <x v="10"/>
    <n v="1104.86202022989"/>
    <n v="403274.63738390902"/>
    <n v="1451788.69458207"/>
  </r>
  <r>
    <x v="0"/>
    <x v="2"/>
    <x v="2"/>
    <x v="5"/>
    <x v="9"/>
    <s v="LT_A"/>
    <x v="7"/>
    <x v="5"/>
    <s v="GNR_WT_WIND_ON_LS_Y-2030"/>
    <x v="0"/>
    <x v="11"/>
    <n v="1404.9480010330701"/>
    <n v="512806.02037707"/>
    <n v="1846101.6733574499"/>
  </r>
  <r>
    <x v="0"/>
    <x v="2"/>
    <x v="2"/>
    <x v="5"/>
    <x v="9"/>
    <s v="LT_A"/>
    <x v="7"/>
    <x v="5"/>
    <s v="GNR_WT_WIND_ON_LS_Y-2030"/>
    <x v="0"/>
    <x v="12"/>
    <n v="1377.6674573236901"/>
    <n v="502848.62192314601"/>
    <n v="1810255.0389233299"/>
  </r>
  <r>
    <x v="0"/>
    <x v="2"/>
    <x v="2"/>
    <x v="5"/>
    <x v="9"/>
    <s v="LT_A"/>
    <x v="7"/>
    <x v="5"/>
    <s v="GNR_WT_WIND_ON_LS_Y-2030"/>
    <x v="0"/>
    <x v="13"/>
    <n v="1241.26473877679"/>
    <n v="453061.62965352798"/>
    <n v="1631021.8667526999"/>
  </r>
  <r>
    <x v="0"/>
    <x v="2"/>
    <x v="2"/>
    <x v="5"/>
    <x v="9"/>
    <s v="LT_A"/>
    <x v="7"/>
    <x v="5"/>
    <s v="GNR_WT_WIND_ON_LS_Y-2030"/>
    <x v="0"/>
    <x v="14"/>
    <n v="1241.26473877679"/>
    <n v="453061.62965352798"/>
    <n v="1631021.8667526999"/>
  </r>
  <r>
    <x v="0"/>
    <x v="2"/>
    <x v="2"/>
    <x v="5"/>
    <x v="9"/>
    <s v="LT_A"/>
    <x v="7"/>
    <x v="5"/>
    <s v="GNR_WT_WIND_ON_LS_Y-2030"/>
    <x v="0"/>
    <x v="15"/>
    <n v="1595.9118069987301"/>
    <n v="582507.80955453601"/>
    <n v="2097028.11439633"/>
  </r>
  <r>
    <x v="0"/>
    <x v="2"/>
    <x v="2"/>
    <x v="5"/>
    <x v="9"/>
    <s v="LT_A"/>
    <x v="7"/>
    <x v="5"/>
    <s v="GNR_WT_WIND_ON_LS_Y-2030"/>
    <x v="0"/>
    <x v="16"/>
    <n v="2427.9683901348199"/>
    <n v="886208.46239920799"/>
    <n v="3190350.4646371501"/>
  </r>
  <r>
    <x v="0"/>
    <x v="2"/>
    <x v="2"/>
    <x v="5"/>
    <x v="9"/>
    <s v="LT_A"/>
    <x v="7"/>
    <x v="5"/>
    <s v="GNR_WT_WIND_ON_LS_Y-2030"/>
    <x v="0"/>
    <x v="17"/>
    <n v="2891.7376331942801"/>
    <n v="1055484.2361159101"/>
    <n v="3799743.2500172802"/>
  </r>
  <r>
    <x v="0"/>
    <x v="2"/>
    <x v="2"/>
    <x v="5"/>
    <x v="9"/>
    <s v="LT_A"/>
    <x v="7"/>
    <x v="5"/>
    <s v="GNR_WT_WIND_ON_LS_Y-2030"/>
    <x v="0"/>
    <x v="19"/>
    <n v="2905.3779050489702"/>
    <n v="1060462.93534287"/>
    <n v="3817666.5672343401"/>
  </r>
  <r>
    <x v="0"/>
    <x v="2"/>
    <x v="2"/>
    <x v="5"/>
    <x v="9"/>
    <s v="LT_A"/>
    <x v="7"/>
    <x v="5"/>
    <s v="GNR_WT_WIND_ON_LS_Y-2030"/>
    <x v="0"/>
    <x v="20"/>
    <n v="2687.13355537393"/>
    <n v="980803.74771148304"/>
    <n v="3530893.4917613398"/>
  </r>
  <r>
    <x v="0"/>
    <x v="2"/>
    <x v="2"/>
    <x v="5"/>
    <x v="9"/>
    <s v="LT_A"/>
    <x v="7"/>
    <x v="5"/>
    <s v="GNR_WT_WIND_ON_LS_Y-2030"/>
    <x v="0"/>
    <x v="21"/>
    <n v="2700.7738272286201"/>
    <n v="985782.44693844498"/>
    <n v="3548816.8089784002"/>
  </r>
  <r>
    <x v="0"/>
    <x v="2"/>
    <x v="2"/>
    <x v="5"/>
    <x v="9"/>
    <s v="LT_A"/>
    <x v="7"/>
    <x v="5"/>
    <s v="GNR_WT_WIND_ON_LS_Y-2030"/>
    <x v="0"/>
    <x v="22"/>
    <n v="2864.4570894848998"/>
    <n v="1045526.83766199"/>
    <n v="3763896.6155831502"/>
  </r>
  <r>
    <x v="0"/>
    <x v="2"/>
    <x v="2"/>
    <x v="5"/>
    <x v="9"/>
    <s v="LT_A"/>
    <x v="7"/>
    <x v="5"/>
    <s v="GNR_WT_WIND_ON_LS_Y-2030"/>
    <x v="0"/>
    <x v="23"/>
    <n v="3000.8598080318002"/>
    <n v="1095313.82993161"/>
    <n v="3943129.7877537799"/>
  </r>
  <r>
    <x v="0"/>
    <x v="2"/>
    <x v="2"/>
    <x v="5"/>
    <x v="9"/>
    <s v="LT_KauU"/>
    <x v="2"/>
    <x v="2"/>
    <s v="KAUNAS_ST_MSW_BP"/>
    <x v="0"/>
    <x v="0"/>
    <n v="24"/>
    <n v="8760"/>
    <n v="31536"/>
  </r>
  <r>
    <x v="0"/>
    <x v="2"/>
    <x v="2"/>
    <x v="5"/>
    <x v="9"/>
    <s v="LT_KauU"/>
    <x v="2"/>
    <x v="2"/>
    <s v="KAUNAS_ST_MSW_BP"/>
    <x v="0"/>
    <x v="1"/>
    <n v="24"/>
    <n v="8760"/>
    <n v="31536"/>
  </r>
  <r>
    <x v="0"/>
    <x v="2"/>
    <x v="2"/>
    <x v="5"/>
    <x v="9"/>
    <s v="LT_KauU"/>
    <x v="2"/>
    <x v="2"/>
    <s v="KAUNAS_ST_MSW_BP"/>
    <x v="0"/>
    <x v="18"/>
    <n v="24"/>
    <n v="8760"/>
    <n v="31536"/>
  </r>
  <r>
    <x v="0"/>
    <x v="2"/>
    <x v="2"/>
    <x v="5"/>
    <x v="9"/>
    <s v="LT_KauU"/>
    <x v="2"/>
    <x v="2"/>
    <s v="KAUNAS_ST_MSW_BP"/>
    <x v="0"/>
    <x v="2"/>
    <n v="24"/>
    <n v="8760"/>
    <n v="31536"/>
  </r>
  <r>
    <x v="0"/>
    <x v="2"/>
    <x v="2"/>
    <x v="5"/>
    <x v="9"/>
    <s v="LT_KauU"/>
    <x v="2"/>
    <x v="2"/>
    <s v="KAUNAS_ST_MSW_BP"/>
    <x v="0"/>
    <x v="3"/>
    <n v="24"/>
    <n v="8760"/>
    <n v="31536"/>
  </r>
  <r>
    <x v="0"/>
    <x v="2"/>
    <x v="2"/>
    <x v="5"/>
    <x v="9"/>
    <s v="LT_KauU"/>
    <x v="2"/>
    <x v="2"/>
    <s v="KAUNAS_ST_MSW_BP"/>
    <x v="0"/>
    <x v="4"/>
    <n v="24"/>
    <n v="8760"/>
    <n v="31536"/>
  </r>
  <r>
    <x v="0"/>
    <x v="2"/>
    <x v="2"/>
    <x v="5"/>
    <x v="9"/>
    <s v="LT_KauU"/>
    <x v="2"/>
    <x v="2"/>
    <s v="KAUNAS_ST_MSW_BP"/>
    <x v="0"/>
    <x v="5"/>
    <n v="24"/>
    <n v="8760"/>
    <n v="31536"/>
  </r>
  <r>
    <x v="0"/>
    <x v="2"/>
    <x v="2"/>
    <x v="5"/>
    <x v="9"/>
    <s v="LT_KauU"/>
    <x v="2"/>
    <x v="2"/>
    <s v="KAUNAS_ST_MSW_BP"/>
    <x v="0"/>
    <x v="6"/>
    <n v="24"/>
    <n v="8760"/>
    <n v="31536"/>
  </r>
  <r>
    <x v="0"/>
    <x v="2"/>
    <x v="2"/>
    <x v="5"/>
    <x v="9"/>
    <s v="LT_KauU"/>
    <x v="2"/>
    <x v="2"/>
    <s v="KAUNAS_ST_MSW_BP"/>
    <x v="0"/>
    <x v="7"/>
    <n v="24"/>
    <n v="8760"/>
    <n v="31536"/>
  </r>
  <r>
    <x v="0"/>
    <x v="2"/>
    <x v="2"/>
    <x v="5"/>
    <x v="9"/>
    <s v="LT_KauU"/>
    <x v="2"/>
    <x v="2"/>
    <s v="KAUNAS_ST_MSW_BP"/>
    <x v="0"/>
    <x v="8"/>
    <n v="24"/>
    <n v="8760"/>
    <n v="31536"/>
  </r>
  <r>
    <x v="0"/>
    <x v="2"/>
    <x v="2"/>
    <x v="5"/>
    <x v="9"/>
    <s v="LT_KauU"/>
    <x v="2"/>
    <x v="2"/>
    <s v="KAUNAS_ST_MSW_BP"/>
    <x v="0"/>
    <x v="9"/>
    <n v="24"/>
    <n v="8760"/>
    <n v="31536"/>
  </r>
  <r>
    <x v="0"/>
    <x v="2"/>
    <x v="2"/>
    <x v="5"/>
    <x v="9"/>
    <s v="LT_KauU"/>
    <x v="2"/>
    <x v="2"/>
    <s v="KAUNAS_ST_MSW_BP"/>
    <x v="0"/>
    <x v="10"/>
    <n v="24"/>
    <n v="8760"/>
    <n v="31536"/>
  </r>
  <r>
    <x v="0"/>
    <x v="2"/>
    <x v="2"/>
    <x v="5"/>
    <x v="9"/>
    <s v="LT_KauU"/>
    <x v="2"/>
    <x v="2"/>
    <s v="KAUNAS_ST_MSW_BP"/>
    <x v="0"/>
    <x v="11"/>
    <n v="24"/>
    <n v="8760"/>
    <n v="31536"/>
  </r>
  <r>
    <x v="0"/>
    <x v="2"/>
    <x v="2"/>
    <x v="5"/>
    <x v="9"/>
    <s v="LT_KauU"/>
    <x v="2"/>
    <x v="2"/>
    <s v="KAUNAS_ST_MSW_BP"/>
    <x v="0"/>
    <x v="12"/>
    <n v="24"/>
    <n v="8760"/>
    <n v="31536"/>
  </r>
  <r>
    <x v="0"/>
    <x v="2"/>
    <x v="2"/>
    <x v="5"/>
    <x v="9"/>
    <s v="LT_KauU"/>
    <x v="2"/>
    <x v="2"/>
    <s v="KAUNAS_ST_MSW_BP"/>
    <x v="0"/>
    <x v="13"/>
    <n v="24"/>
    <n v="8760"/>
    <n v="31536"/>
  </r>
  <r>
    <x v="0"/>
    <x v="2"/>
    <x v="2"/>
    <x v="5"/>
    <x v="9"/>
    <s v="LT_KauU"/>
    <x v="2"/>
    <x v="2"/>
    <s v="KAUNAS_ST_MSW_BP"/>
    <x v="0"/>
    <x v="14"/>
    <n v="24"/>
    <n v="8760"/>
    <n v="31536"/>
  </r>
  <r>
    <x v="0"/>
    <x v="2"/>
    <x v="2"/>
    <x v="5"/>
    <x v="9"/>
    <s v="LT_KauU"/>
    <x v="2"/>
    <x v="2"/>
    <s v="KAUNAS_ST_MSW_BP"/>
    <x v="0"/>
    <x v="15"/>
    <n v="24"/>
    <n v="8760"/>
    <n v="31536"/>
  </r>
  <r>
    <x v="0"/>
    <x v="2"/>
    <x v="2"/>
    <x v="5"/>
    <x v="9"/>
    <s v="LT_KauU"/>
    <x v="2"/>
    <x v="2"/>
    <s v="KAUNAS_ST_MSW_BP"/>
    <x v="0"/>
    <x v="16"/>
    <n v="24"/>
    <n v="8760"/>
    <n v="31536"/>
  </r>
  <r>
    <x v="0"/>
    <x v="2"/>
    <x v="2"/>
    <x v="5"/>
    <x v="9"/>
    <s v="LT_KauU"/>
    <x v="2"/>
    <x v="2"/>
    <s v="KAUNAS_ST_MSW_BP"/>
    <x v="0"/>
    <x v="17"/>
    <n v="24"/>
    <n v="8760"/>
    <n v="31536"/>
  </r>
  <r>
    <x v="0"/>
    <x v="2"/>
    <x v="2"/>
    <x v="5"/>
    <x v="9"/>
    <s v="LT_KauU"/>
    <x v="2"/>
    <x v="2"/>
    <s v="KAUNAS_ST_MSW_BP"/>
    <x v="0"/>
    <x v="19"/>
    <n v="24"/>
    <n v="8760"/>
    <n v="31536"/>
  </r>
  <r>
    <x v="0"/>
    <x v="2"/>
    <x v="2"/>
    <x v="5"/>
    <x v="9"/>
    <s v="LT_KauU"/>
    <x v="2"/>
    <x v="2"/>
    <s v="KAUNAS_ST_MSW_BP"/>
    <x v="0"/>
    <x v="20"/>
    <n v="24"/>
    <n v="8760"/>
    <n v="31536"/>
  </r>
  <r>
    <x v="0"/>
    <x v="2"/>
    <x v="2"/>
    <x v="5"/>
    <x v="9"/>
    <s v="LT_KauU"/>
    <x v="2"/>
    <x v="2"/>
    <s v="KAUNAS_ST_MSW_BP"/>
    <x v="0"/>
    <x v="21"/>
    <n v="24"/>
    <n v="8760"/>
    <n v="31536"/>
  </r>
  <r>
    <x v="0"/>
    <x v="2"/>
    <x v="2"/>
    <x v="5"/>
    <x v="9"/>
    <s v="LT_KauU"/>
    <x v="2"/>
    <x v="2"/>
    <s v="KAUNAS_ST_MSW_BP"/>
    <x v="0"/>
    <x v="22"/>
    <n v="24"/>
    <n v="8760"/>
    <n v="31536"/>
  </r>
  <r>
    <x v="0"/>
    <x v="2"/>
    <x v="2"/>
    <x v="5"/>
    <x v="9"/>
    <s v="LT_KauU"/>
    <x v="2"/>
    <x v="2"/>
    <s v="KAUNAS_ST_MSW_BP"/>
    <x v="0"/>
    <x v="23"/>
    <n v="24"/>
    <n v="8760"/>
    <n v="31536"/>
  </r>
  <r>
    <x v="0"/>
    <x v="2"/>
    <x v="2"/>
    <x v="5"/>
    <x v="9"/>
    <s v="LT_KauU"/>
    <x v="6"/>
    <x v="4"/>
    <s v="GNR_ROR_WTR"/>
    <x v="0"/>
    <x v="0"/>
    <n v="70.027397260273901"/>
    <n v="25560"/>
    <n v="92016"/>
  </r>
  <r>
    <x v="0"/>
    <x v="2"/>
    <x v="2"/>
    <x v="5"/>
    <x v="9"/>
    <s v="LT_KauU"/>
    <x v="6"/>
    <x v="4"/>
    <s v="GNR_ROR_WTR"/>
    <x v="0"/>
    <x v="1"/>
    <n v="70.027397260273901"/>
    <n v="25560"/>
    <n v="92016"/>
  </r>
  <r>
    <x v="0"/>
    <x v="2"/>
    <x v="2"/>
    <x v="5"/>
    <x v="9"/>
    <s v="LT_KauU"/>
    <x v="6"/>
    <x v="4"/>
    <s v="GNR_ROR_WTR"/>
    <x v="0"/>
    <x v="18"/>
    <n v="70.027397260273901"/>
    <n v="25560"/>
    <n v="92016"/>
  </r>
  <r>
    <x v="0"/>
    <x v="2"/>
    <x v="2"/>
    <x v="5"/>
    <x v="9"/>
    <s v="LT_KauU"/>
    <x v="6"/>
    <x v="4"/>
    <s v="GNR_ROR_WTR"/>
    <x v="0"/>
    <x v="2"/>
    <n v="70.027397260273901"/>
    <n v="25560"/>
    <n v="92016"/>
  </r>
  <r>
    <x v="0"/>
    <x v="2"/>
    <x v="2"/>
    <x v="5"/>
    <x v="9"/>
    <s v="LT_KauU"/>
    <x v="6"/>
    <x v="4"/>
    <s v="GNR_ROR_WTR"/>
    <x v="0"/>
    <x v="3"/>
    <n v="70.027397260273901"/>
    <n v="25560"/>
    <n v="92016"/>
  </r>
  <r>
    <x v="0"/>
    <x v="2"/>
    <x v="2"/>
    <x v="5"/>
    <x v="9"/>
    <s v="LT_KauU"/>
    <x v="6"/>
    <x v="4"/>
    <s v="GNR_ROR_WTR"/>
    <x v="0"/>
    <x v="4"/>
    <n v="70.027397260273901"/>
    <n v="25560"/>
    <n v="92016"/>
  </r>
  <r>
    <x v="0"/>
    <x v="2"/>
    <x v="2"/>
    <x v="5"/>
    <x v="9"/>
    <s v="LT_KauU"/>
    <x v="6"/>
    <x v="4"/>
    <s v="GNR_ROR_WTR"/>
    <x v="0"/>
    <x v="5"/>
    <n v="70.027397260273901"/>
    <n v="25560"/>
    <n v="92016"/>
  </r>
  <r>
    <x v="0"/>
    <x v="2"/>
    <x v="2"/>
    <x v="5"/>
    <x v="9"/>
    <s v="LT_KauU"/>
    <x v="6"/>
    <x v="4"/>
    <s v="GNR_ROR_WTR"/>
    <x v="0"/>
    <x v="6"/>
    <n v="70.027397260273901"/>
    <n v="25560"/>
    <n v="92016"/>
  </r>
  <r>
    <x v="0"/>
    <x v="2"/>
    <x v="2"/>
    <x v="5"/>
    <x v="9"/>
    <s v="LT_KauU"/>
    <x v="6"/>
    <x v="4"/>
    <s v="GNR_ROR_WTR"/>
    <x v="0"/>
    <x v="7"/>
    <n v="70.027397260273901"/>
    <n v="25560"/>
    <n v="92016"/>
  </r>
  <r>
    <x v="0"/>
    <x v="2"/>
    <x v="2"/>
    <x v="5"/>
    <x v="9"/>
    <s v="LT_KauU"/>
    <x v="6"/>
    <x v="4"/>
    <s v="GNR_ROR_WTR"/>
    <x v="0"/>
    <x v="8"/>
    <n v="70.027397260273901"/>
    <n v="25560"/>
    <n v="92016"/>
  </r>
  <r>
    <x v="0"/>
    <x v="2"/>
    <x v="2"/>
    <x v="5"/>
    <x v="9"/>
    <s v="LT_KauU"/>
    <x v="6"/>
    <x v="4"/>
    <s v="GNR_ROR_WTR"/>
    <x v="0"/>
    <x v="9"/>
    <n v="70.027397260273901"/>
    <n v="25560"/>
    <n v="92016"/>
  </r>
  <r>
    <x v="0"/>
    <x v="2"/>
    <x v="2"/>
    <x v="5"/>
    <x v="9"/>
    <s v="LT_KauU"/>
    <x v="6"/>
    <x v="4"/>
    <s v="GNR_ROR_WTR"/>
    <x v="0"/>
    <x v="10"/>
    <n v="70.027397260273901"/>
    <n v="25560"/>
    <n v="92016"/>
  </r>
  <r>
    <x v="0"/>
    <x v="2"/>
    <x v="2"/>
    <x v="5"/>
    <x v="9"/>
    <s v="LT_KauU"/>
    <x v="6"/>
    <x v="4"/>
    <s v="GNR_ROR_WTR"/>
    <x v="0"/>
    <x v="11"/>
    <n v="70.027397260273901"/>
    <n v="25560"/>
    <n v="92016"/>
  </r>
  <r>
    <x v="0"/>
    <x v="2"/>
    <x v="2"/>
    <x v="5"/>
    <x v="9"/>
    <s v="LT_KauU"/>
    <x v="6"/>
    <x v="4"/>
    <s v="GNR_ROR_WTR"/>
    <x v="0"/>
    <x v="12"/>
    <n v="70.027397260273901"/>
    <n v="25560"/>
    <n v="92016"/>
  </r>
  <r>
    <x v="0"/>
    <x v="2"/>
    <x v="2"/>
    <x v="5"/>
    <x v="9"/>
    <s v="LT_KauU"/>
    <x v="6"/>
    <x v="4"/>
    <s v="GNR_ROR_WTR"/>
    <x v="0"/>
    <x v="13"/>
    <n v="70.027397260273901"/>
    <n v="25560"/>
    <n v="92016"/>
  </r>
  <r>
    <x v="0"/>
    <x v="2"/>
    <x v="2"/>
    <x v="5"/>
    <x v="9"/>
    <s v="LT_KauU"/>
    <x v="6"/>
    <x v="4"/>
    <s v="GNR_ROR_WTR"/>
    <x v="0"/>
    <x v="14"/>
    <n v="70.027397260273901"/>
    <n v="25560"/>
    <n v="92016"/>
  </r>
  <r>
    <x v="0"/>
    <x v="2"/>
    <x v="2"/>
    <x v="5"/>
    <x v="9"/>
    <s v="LT_KauU"/>
    <x v="6"/>
    <x v="4"/>
    <s v="GNR_ROR_WTR"/>
    <x v="0"/>
    <x v="15"/>
    <n v="70.027397260273901"/>
    <n v="25560"/>
    <n v="92016"/>
  </r>
  <r>
    <x v="0"/>
    <x v="2"/>
    <x v="2"/>
    <x v="5"/>
    <x v="9"/>
    <s v="LT_KauU"/>
    <x v="6"/>
    <x v="4"/>
    <s v="GNR_ROR_WTR"/>
    <x v="0"/>
    <x v="16"/>
    <n v="70.027397260273901"/>
    <n v="25560"/>
    <n v="92016"/>
  </r>
  <r>
    <x v="0"/>
    <x v="2"/>
    <x v="2"/>
    <x v="5"/>
    <x v="9"/>
    <s v="LT_KauU"/>
    <x v="6"/>
    <x v="4"/>
    <s v="GNR_ROR_WTR"/>
    <x v="0"/>
    <x v="17"/>
    <n v="70.027397260273901"/>
    <n v="25560"/>
    <n v="92016"/>
  </r>
  <r>
    <x v="0"/>
    <x v="2"/>
    <x v="2"/>
    <x v="5"/>
    <x v="9"/>
    <s v="LT_KauU"/>
    <x v="6"/>
    <x v="4"/>
    <s v="GNR_ROR_WTR"/>
    <x v="0"/>
    <x v="19"/>
    <n v="70.027397260273901"/>
    <n v="25560"/>
    <n v="92016"/>
  </r>
  <r>
    <x v="0"/>
    <x v="2"/>
    <x v="2"/>
    <x v="5"/>
    <x v="9"/>
    <s v="LT_KauU"/>
    <x v="6"/>
    <x v="4"/>
    <s v="GNR_ROR_WTR"/>
    <x v="0"/>
    <x v="20"/>
    <n v="70.027397260273901"/>
    <n v="25560"/>
    <n v="92016"/>
  </r>
  <r>
    <x v="0"/>
    <x v="2"/>
    <x v="2"/>
    <x v="5"/>
    <x v="9"/>
    <s v="LT_KauU"/>
    <x v="6"/>
    <x v="4"/>
    <s v="GNR_ROR_WTR"/>
    <x v="0"/>
    <x v="21"/>
    <n v="70.027397260273901"/>
    <n v="25560"/>
    <n v="92016"/>
  </r>
  <r>
    <x v="0"/>
    <x v="2"/>
    <x v="2"/>
    <x v="5"/>
    <x v="9"/>
    <s v="LT_KauU"/>
    <x v="6"/>
    <x v="4"/>
    <s v="GNR_ROR_WTR"/>
    <x v="0"/>
    <x v="22"/>
    <n v="70.027397260273901"/>
    <n v="25560"/>
    <n v="92016"/>
  </r>
  <r>
    <x v="0"/>
    <x v="2"/>
    <x v="2"/>
    <x v="5"/>
    <x v="9"/>
    <s v="LT_KauU"/>
    <x v="6"/>
    <x v="4"/>
    <s v="GNR_ROR_WTR"/>
    <x v="0"/>
    <x v="23"/>
    <n v="70.027397260273901"/>
    <n v="25560"/>
    <n v="92016"/>
  </r>
  <r>
    <x v="0"/>
    <x v="2"/>
    <x v="2"/>
    <x v="5"/>
    <x v="9"/>
    <s v="LT_KlaU"/>
    <x v="5"/>
    <x v="3"/>
    <s v="GNR_PV_SUN"/>
    <x v="0"/>
    <x v="7"/>
    <n v="1.7762462043374301"/>
    <n v="648.32986458316304"/>
    <n v="2333.98751249939"/>
  </r>
  <r>
    <x v="0"/>
    <x v="2"/>
    <x v="2"/>
    <x v="5"/>
    <x v="9"/>
    <s v="LT_KlaU"/>
    <x v="5"/>
    <x v="3"/>
    <s v="GNR_PV_SUN"/>
    <x v="0"/>
    <x v="8"/>
    <n v="13.371945784448"/>
    <n v="4880.7602113234998"/>
    <n v="17570.736760764601"/>
  </r>
  <r>
    <x v="0"/>
    <x v="2"/>
    <x v="2"/>
    <x v="5"/>
    <x v="9"/>
    <s v="LT_KlaU"/>
    <x v="5"/>
    <x v="3"/>
    <s v="GNR_PV_SUN"/>
    <x v="0"/>
    <x v="9"/>
    <n v="30.888466045683298"/>
    <n v="11274.2901066744"/>
    <n v="40587.444384027804"/>
  </r>
  <r>
    <x v="0"/>
    <x v="2"/>
    <x v="2"/>
    <x v="5"/>
    <x v="9"/>
    <s v="LT_KlaU"/>
    <x v="5"/>
    <x v="3"/>
    <s v="GNR_PV_SUN"/>
    <x v="0"/>
    <x v="10"/>
    <n v="47.038643072812803"/>
    <n v="17169.104721576699"/>
    <n v="61808.776997676097"/>
  </r>
  <r>
    <x v="0"/>
    <x v="2"/>
    <x v="2"/>
    <x v="5"/>
    <x v="9"/>
    <s v="LT_KlaU"/>
    <x v="5"/>
    <x v="3"/>
    <s v="GNR_PV_SUN"/>
    <x v="0"/>
    <x v="11"/>
    <n v="53.478674182897798"/>
    <n v="19519.716076757701"/>
    <n v="70270.977876327699"/>
  </r>
  <r>
    <x v="0"/>
    <x v="2"/>
    <x v="2"/>
    <x v="5"/>
    <x v="9"/>
    <s v="LT_KlaU"/>
    <x v="5"/>
    <x v="3"/>
    <s v="GNR_PV_SUN"/>
    <x v="0"/>
    <x v="12"/>
    <n v="46.501214734064597"/>
    <n v="16972.9433779336"/>
    <n v="61102.596160560897"/>
  </r>
  <r>
    <x v="0"/>
    <x v="2"/>
    <x v="2"/>
    <x v="5"/>
    <x v="9"/>
    <s v="LT_KlaU"/>
    <x v="5"/>
    <x v="3"/>
    <s v="GNR_PV_SUN"/>
    <x v="0"/>
    <x v="13"/>
    <n v="30.2599481579946"/>
    <n v="11044.881077668"/>
    <n v="39761.571879604897"/>
  </r>
  <r>
    <x v="0"/>
    <x v="2"/>
    <x v="2"/>
    <x v="5"/>
    <x v="9"/>
    <s v="LT_KlaU"/>
    <x v="5"/>
    <x v="3"/>
    <s v="GNR_PV_SUN"/>
    <x v="0"/>
    <x v="14"/>
    <n v="15.3212621317721"/>
    <n v="5592.2606780968199"/>
    <n v="20132.1384411486"/>
  </r>
  <r>
    <x v="0"/>
    <x v="2"/>
    <x v="2"/>
    <x v="5"/>
    <x v="9"/>
    <s v="LT_KlaU"/>
    <x v="5"/>
    <x v="3"/>
    <s v="GNR_PV_SUN"/>
    <x v="0"/>
    <x v="15"/>
    <n v="1.9948611217943499"/>
    <n v="728.12430945493702"/>
    <n v="2621.2475140377701"/>
  </r>
  <r>
    <x v="0"/>
    <x v="2"/>
    <x v="2"/>
    <x v="5"/>
    <x v="9"/>
    <s v="LT_Other_DH"/>
    <x v="17"/>
    <x v="2"/>
    <s v="LIFOSA_ST_HEAT_BP"/>
    <x v="0"/>
    <x v="0"/>
    <n v="37"/>
    <n v="13505"/>
    <n v="48618"/>
  </r>
  <r>
    <x v="0"/>
    <x v="2"/>
    <x v="2"/>
    <x v="5"/>
    <x v="9"/>
    <s v="LT_Other_DH"/>
    <x v="17"/>
    <x v="2"/>
    <s v="LIFOSA_ST_HEAT_BP"/>
    <x v="0"/>
    <x v="1"/>
    <n v="37"/>
    <n v="13505"/>
    <n v="48618"/>
  </r>
  <r>
    <x v="0"/>
    <x v="2"/>
    <x v="2"/>
    <x v="5"/>
    <x v="9"/>
    <s v="LT_Other_DH"/>
    <x v="17"/>
    <x v="2"/>
    <s v="LIFOSA_ST_HEAT_BP"/>
    <x v="0"/>
    <x v="18"/>
    <n v="37"/>
    <n v="13505"/>
    <n v="48618"/>
  </r>
  <r>
    <x v="0"/>
    <x v="2"/>
    <x v="2"/>
    <x v="5"/>
    <x v="9"/>
    <s v="LT_Other_DH"/>
    <x v="17"/>
    <x v="2"/>
    <s v="LIFOSA_ST_HEAT_BP"/>
    <x v="0"/>
    <x v="2"/>
    <n v="37"/>
    <n v="13505"/>
    <n v="48618"/>
  </r>
  <r>
    <x v="0"/>
    <x v="2"/>
    <x v="2"/>
    <x v="5"/>
    <x v="9"/>
    <s v="LT_Other_DH"/>
    <x v="17"/>
    <x v="2"/>
    <s v="LIFOSA_ST_HEAT_BP"/>
    <x v="0"/>
    <x v="3"/>
    <n v="37"/>
    <n v="13505"/>
    <n v="48618"/>
  </r>
  <r>
    <x v="0"/>
    <x v="2"/>
    <x v="2"/>
    <x v="5"/>
    <x v="9"/>
    <s v="LT_Other_DH"/>
    <x v="17"/>
    <x v="2"/>
    <s v="LIFOSA_ST_HEAT_BP"/>
    <x v="0"/>
    <x v="4"/>
    <n v="37"/>
    <n v="13505"/>
    <n v="48618"/>
  </r>
  <r>
    <x v="0"/>
    <x v="2"/>
    <x v="2"/>
    <x v="5"/>
    <x v="9"/>
    <s v="LT_Other_DH"/>
    <x v="17"/>
    <x v="2"/>
    <s v="LIFOSA_ST_HEAT_BP"/>
    <x v="0"/>
    <x v="5"/>
    <n v="37"/>
    <n v="13505"/>
    <n v="48618"/>
  </r>
  <r>
    <x v="0"/>
    <x v="2"/>
    <x v="2"/>
    <x v="5"/>
    <x v="9"/>
    <s v="LT_Other_DH"/>
    <x v="17"/>
    <x v="2"/>
    <s v="LIFOSA_ST_HEAT_BP"/>
    <x v="0"/>
    <x v="6"/>
    <n v="37"/>
    <n v="13505"/>
    <n v="48618"/>
  </r>
  <r>
    <x v="0"/>
    <x v="2"/>
    <x v="2"/>
    <x v="5"/>
    <x v="9"/>
    <s v="LT_Other_DH"/>
    <x v="17"/>
    <x v="2"/>
    <s v="LIFOSA_ST_HEAT_BP"/>
    <x v="0"/>
    <x v="7"/>
    <n v="37"/>
    <n v="13505"/>
    <n v="48618"/>
  </r>
  <r>
    <x v="0"/>
    <x v="2"/>
    <x v="2"/>
    <x v="5"/>
    <x v="9"/>
    <s v="LT_Other_DH"/>
    <x v="17"/>
    <x v="2"/>
    <s v="LIFOSA_ST_HEAT_BP"/>
    <x v="0"/>
    <x v="8"/>
    <n v="37"/>
    <n v="13505"/>
    <n v="48618"/>
  </r>
  <r>
    <x v="0"/>
    <x v="2"/>
    <x v="2"/>
    <x v="5"/>
    <x v="9"/>
    <s v="LT_Other_DH"/>
    <x v="17"/>
    <x v="2"/>
    <s v="LIFOSA_ST_HEAT_BP"/>
    <x v="0"/>
    <x v="9"/>
    <n v="37"/>
    <n v="13505"/>
    <n v="48618"/>
  </r>
  <r>
    <x v="0"/>
    <x v="2"/>
    <x v="2"/>
    <x v="5"/>
    <x v="9"/>
    <s v="LT_Other_DH"/>
    <x v="17"/>
    <x v="2"/>
    <s v="LIFOSA_ST_HEAT_BP"/>
    <x v="0"/>
    <x v="10"/>
    <n v="37"/>
    <n v="13505"/>
    <n v="48618"/>
  </r>
  <r>
    <x v="0"/>
    <x v="2"/>
    <x v="2"/>
    <x v="5"/>
    <x v="9"/>
    <s v="LT_Other_DH"/>
    <x v="17"/>
    <x v="2"/>
    <s v="LIFOSA_ST_HEAT_BP"/>
    <x v="0"/>
    <x v="11"/>
    <n v="37"/>
    <n v="13505"/>
    <n v="48618"/>
  </r>
  <r>
    <x v="0"/>
    <x v="2"/>
    <x v="2"/>
    <x v="5"/>
    <x v="9"/>
    <s v="LT_Other_DH"/>
    <x v="17"/>
    <x v="2"/>
    <s v="LIFOSA_ST_HEAT_BP"/>
    <x v="0"/>
    <x v="12"/>
    <n v="37"/>
    <n v="13505"/>
    <n v="48618"/>
  </r>
  <r>
    <x v="0"/>
    <x v="2"/>
    <x v="2"/>
    <x v="5"/>
    <x v="9"/>
    <s v="LT_Other_DH"/>
    <x v="17"/>
    <x v="2"/>
    <s v="LIFOSA_ST_HEAT_BP"/>
    <x v="0"/>
    <x v="13"/>
    <n v="37"/>
    <n v="13505"/>
    <n v="48618"/>
  </r>
  <r>
    <x v="0"/>
    <x v="2"/>
    <x v="2"/>
    <x v="5"/>
    <x v="9"/>
    <s v="LT_Other_DH"/>
    <x v="17"/>
    <x v="2"/>
    <s v="LIFOSA_ST_HEAT_BP"/>
    <x v="0"/>
    <x v="14"/>
    <n v="37"/>
    <n v="13505"/>
    <n v="48618"/>
  </r>
  <r>
    <x v="0"/>
    <x v="2"/>
    <x v="2"/>
    <x v="5"/>
    <x v="9"/>
    <s v="LT_Other_DH"/>
    <x v="17"/>
    <x v="2"/>
    <s v="LIFOSA_ST_HEAT_BP"/>
    <x v="0"/>
    <x v="15"/>
    <n v="37"/>
    <n v="13505"/>
    <n v="48618"/>
  </r>
  <r>
    <x v="0"/>
    <x v="2"/>
    <x v="2"/>
    <x v="5"/>
    <x v="9"/>
    <s v="LT_Other_DH"/>
    <x v="17"/>
    <x v="2"/>
    <s v="LIFOSA_ST_HEAT_BP"/>
    <x v="0"/>
    <x v="16"/>
    <n v="37"/>
    <n v="13505"/>
    <n v="48618"/>
  </r>
  <r>
    <x v="0"/>
    <x v="2"/>
    <x v="2"/>
    <x v="5"/>
    <x v="9"/>
    <s v="LT_Other_DH"/>
    <x v="17"/>
    <x v="2"/>
    <s v="LIFOSA_ST_HEAT_BP"/>
    <x v="0"/>
    <x v="17"/>
    <n v="37"/>
    <n v="13505"/>
    <n v="48618"/>
  </r>
  <r>
    <x v="0"/>
    <x v="2"/>
    <x v="2"/>
    <x v="5"/>
    <x v="9"/>
    <s v="LT_Other_DH"/>
    <x v="17"/>
    <x v="2"/>
    <s v="LIFOSA_ST_HEAT_BP"/>
    <x v="0"/>
    <x v="19"/>
    <n v="37"/>
    <n v="13505"/>
    <n v="48618"/>
  </r>
  <r>
    <x v="0"/>
    <x v="2"/>
    <x v="2"/>
    <x v="5"/>
    <x v="9"/>
    <s v="LT_Other_DH"/>
    <x v="17"/>
    <x v="2"/>
    <s v="LIFOSA_ST_HEAT_BP"/>
    <x v="0"/>
    <x v="20"/>
    <n v="37"/>
    <n v="13505"/>
    <n v="48618"/>
  </r>
  <r>
    <x v="0"/>
    <x v="2"/>
    <x v="2"/>
    <x v="5"/>
    <x v="9"/>
    <s v="LT_Other_DH"/>
    <x v="17"/>
    <x v="2"/>
    <s v="LIFOSA_ST_HEAT_BP"/>
    <x v="0"/>
    <x v="21"/>
    <n v="37"/>
    <n v="13505"/>
    <n v="48618"/>
  </r>
  <r>
    <x v="0"/>
    <x v="2"/>
    <x v="2"/>
    <x v="5"/>
    <x v="9"/>
    <s v="LT_Other_DH"/>
    <x v="17"/>
    <x v="2"/>
    <s v="LIFOSA_ST_HEAT_BP"/>
    <x v="0"/>
    <x v="22"/>
    <n v="37"/>
    <n v="13505"/>
    <n v="48618"/>
  </r>
  <r>
    <x v="0"/>
    <x v="2"/>
    <x v="2"/>
    <x v="5"/>
    <x v="9"/>
    <s v="LT_Other_DH"/>
    <x v="17"/>
    <x v="2"/>
    <s v="LIFOSA_ST_HEAT_BP"/>
    <x v="0"/>
    <x v="23"/>
    <n v="37"/>
    <n v="13505"/>
    <n v="48618"/>
  </r>
  <r>
    <x v="0"/>
    <x v="2"/>
    <x v="2"/>
    <x v="5"/>
    <x v="9"/>
    <s v="LT_Other_DH"/>
    <x v="10"/>
    <x v="2"/>
    <s v="EBAVERE_ST_WOODWST_BP"/>
    <x v="0"/>
    <x v="0"/>
    <n v="5.4"/>
    <n v="1971"/>
    <n v="7095.6"/>
  </r>
  <r>
    <x v="0"/>
    <x v="2"/>
    <x v="2"/>
    <x v="5"/>
    <x v="9"/>
    <s v="LT_Other_DH"/>
    <x v="10"/>
    <x v="2"/>
    <s v="EBAVERE_ST_WOODWST_BP"/>
    <x v="0"/>
    <x v="1"/>
    <n v="5.4"/>
    <n v="1971"/>
    <n v="7095.6"/>
  </r>
  <r>
    <x v="0"/>
    <x v="2"/>
    <x v="2"/>
    <x v="5"/>
    <x v="9"/>
    <s v="LT_Other_DH"/>
    <x v="10"/>
    <x v="2"/>
    <s v="EBAVERE_ST_WOODWST_BP"/>
    <x v="0"/>
    <x v="18"/>
    <n v="5.4"/>
    <n v="1971"/>
    <n v="7095.6"/>
  </r>
  <r>
    <x v="0"/>
    <x v="2"/>
    <x v="2"/>
    <x v="5"/>
    <x v="9"/>
    <s v="LT_Other_DH"/>
    <x v="10"/>
    <x v="2"/>
    <s v="EBAVERE_ST_WOODWST_BP"/>
    <x v="0"/>
    <x v="2"/>
    <n v="5.4"/>
    <n v="1971"/>
    <n v="7095.6"/>
  </r>
  <r>
    <x v="0"/>
    <x v="2"/>
    <x v="2"/>
    <x v="5"/>
    <x v="9"/>
    <s v="LT_Other_DH"/>
    <x v="10"/>
    <x v="2"/>
    <s v="EBAVERE_ST_WOODWST_BP"/>
    <x v="0"/>
    <x v="3"/>
    <n v="5.4"/>
    <n v="1971"/>
    <n v="7095.6"/>
  </r>
  <r>
    <x v="0"/>
    <x v="2"/>
    <x v="2"/>
    <x v="5"/>
    <x v="9"/>
    <s v="LT_Other_DH"/>
    <x v="10"/>
    <x v="2"/>
    <s v="EBAVERE_ST_WOODWST_BP"/>
    <x v="0"/>
    <x v="4"/>
    <n v="5.4"/>
    <n v="1971"/>
    <n v="7095.6"/>
  </r>
  <r>
    <x v="0"/>
    <x v="2"/>
    <x v="2"/>
    <x v="5"/>
    <x v="9"/>
    <s v="LT_Other_DH"/>
    <x v="10"/>
    <x v="2"/>
    <s v="EBAVERE_ST_WOODWST_BP"/>
    <x v="0"/>
    <x v="5"/>
    <n v="5.4"/>
    <n v="1971"/>
    <n v="7095.6"/>
  </r>
  <r>
    <x v="0"/>
    <x v="2"/>
    <x v="2"/>
    <x v="5"/>
    <x v="9"/>
    <s v="LT_Other_DH"/>
    <x v="10"/>
    <x v="2"/>
    <s v="EBAVERE_ST_WOODWST_BP"/>
    <x v="0"/>
    <x v="6"/>
    <n v="5.4"/>
    <n v="1971"/>
    <n v="7095.6"/>
  </r>
  <r>
    <x v="0"/>
    <x v="2"/>
    <x v="2"/>
    <x v="5"/>
    <x v="9"/>
    <s v="LT_Other_DH"/>
    <x v="10"/>
    <x v="2"/>
    <s v="EBAVERE_ST_WOODWST_BP"/>
    <x v="0"/>
    <x v="7"/>
    <n v="5.4"/>
    <n v="1971"/>
    <n v="7095.6"/>
  </r>
  <r>
    <x v="0"/>
    <x v="2"/>
    <x v="2"/>
    <x v="5"/>
    <x v="9"/>
    <s v="LT_Other_DH"/>
    <x v="10"/>
    <x v="2"/>
    <s v="EBAVERE_ST_WOODWST_BP"/>
    <x v="0"/>
    <x v="8"/>
    <n v="5.4"/>
    <n v="1971"/>
    <n v="7095.6"/>
  </r>
  <r>
    <x v="0"/>
    <x v="2"/>
    <x v="2"/>
    <x v="5"/>
    <x v="9"/>
    <s v="LT_Other_DH"/>
    <x v="10"/>
    <x v="2"/>
    <s v="EBAVERE_ST_WOODWST_BP"/>
    <x v="0"/>
    <x v="9"/>
    <n v="5.4"/>
    <n v="1971"/>
    <n v="7095.6"/>
  </r>
  <r>
    <x v="0"/>
    <x v="2"/>
    <x v="2"/>
    <x v="5"/>
    <x v="9"/>
    <s v="LT_Other_DH"/>
    <x v="10"/>
    <x v="2"/>
    <s v="EBAVERE_ST_WOODWST_BP"/>
    <x v="0"/>
    <x v="10"/>
    <n v="5.4"/>
    <n v="1971"/>
    <n v="7095.6"/>
  </r>
  <r>
    <x v="0"/>
    <x v="2"/>
    <x v="2"/>
    <x v="5"/>
    <x v="9"/>
    <s v="LT_Other_DH"/>
    <x v="10"/>
    <x v="2"/>
    <s v="EBAVERE_ST_WOODWST_BP"/>
    <x v="0"/>
    <x v="11"/>
    <n v="5.4"/>
    <n v="1971"/>
    <n v="7095.6"/>
  </r>
  <r>
    <x v="0"/>
    <x v="2"/>
    <x v="2"/>
    <x v="5"/>
    <x v="9"/>
    <s v="LT_Other_DH"/>
    <x v="10"/>
    <x v="2"/>
    <s v="EBAVERE_ST_WOODWST_BP"/>
    <x v="0"/>
    <x v="12"/>
    <n v="5.4"/>
    <n v="1971"/>
    <n v="7095.6"/>
  </r>
  <r>
    <x v="0"/>
    <x v="2"/>
    <x v="2"/>
    <x v="5"/>
    <x v="9"/>
    <s v="LT_Other_DH"/>
    <x v="10"/>
    <x v="2"/>
    <s v="EBAVERE_ST_WOODWST_BP"/>
    <x v="0"/>
    <x v="13"/>
    <n v="5.4"/>
    <n v="1971"/>
    <n v="7095.6"/>
  </r>
  <r>
    <x v="0"/>
    <x v="2"/>
    <x v="2"/>
    <x v="5"/>
    <x v="9"/>
    <s v="LT_Other_DH"/>
    <x v="10"/>
    <x v="2"/>
    <s v="EBAVERE_ST_WOODWST_BP"/>
    <x v="0"/>
    <x v="14"/>
    <n v="5.4"/>
    <n v="1971"/>
    <n v="7095.6"/>
  </r>
  <r>
    <x v="0"/>
    <x v="2"/>
    <x v="2"/>
    <x v="5"/>
    <x v="9"/>
    <s v="LT_Other_DH"/>
    <x v="10"/>
    <x v="2"/>
    <s v="EBAVERE_ST_WOODWST_BP"/>
    <x v="0"/>
    <x v="15"/>
    <n v="5.4"/>
    <n v="1971"/>
    <n v="7095.6"/>
  </r>
  <r>
    <x v="0"/>
    <x v="2"/>
    <x v="2"/>
    <x v="5"/>
    <x v="9"/>
    <s v="LT_Other_DH"/>
    <x v="10"/>
    <x v="2"/>
    <s v="EBAVERE_ST_WOODWST_BP"/>
    <x v="0"/>
    <x v="16"/>
    <n v="5.4"/>
    <n v="1971"/>
    <n v="7095.6"/>
  </r>
  <r>
    <x v="0"/>
    <x v="2"/>
    <x v="2"/>
    <x v="5"/>
    <x v="9"/>
    <s v="LT_Other_DH"/>
    <x v="10"/>
    <x v="2"/>
    <s v="EBAVERE_ST_WOODWST_BP"/>
    <x v="0"/>
    <x v="17"/>
    <n v="5.4"/>
    <n v="1971"/>
    <n v="7095.6"/>
  </r>
  <r>
    <x v="0"/>
    <x v="2"/>
    <x v="2"/>
    <x v="5"/>
    <x v="9"/>
    <s v="LT_Other_DH"/>
    <x v="10"/>
    <x v="2"/>
    <s v="EBAVERE_ST_WOODWST_BP"/>
    <x v="0"/>
    <x v="19"/>
    <n v="5.4"/>
    <n v="1971"/>
    <n v="7095.6"/>
  </r>
  <r>
    <x v="0"/>
    <x v="2"/>
    <x v="2"/>
    <x v="5"/>
    <x v="9"/>
    <s v="LT_Other_DH"/>
    <x v="10"/>
    <x v="2"/>
    <s v="EBAVERE_ST_WOODWST_BP"/>
    <x v="0"/>
    <x v="20"/>
    <n v="5.4"/>
    <n v="1971"/>
    <n v="7095.6"/>
  </r>
  <r>
    <x v="0"/>
    <x v="2"/>
    <x v="2"/>
    <x v="5"/>
    <x v="9"/>
    <s v="LT_Other_DH"/>
    <x v="10"/>
    <x v="2"/>
    <s v="EBAVERE_ST_WOODWST_BP"/>
    <x v="0"/>
    <x v="21"/>
    <n v="5.4"/>
    <n v="1971"/>
    <n v="7095.6"/>
  </r>
  <r>
    <x v="0"/>
    <x v="2"/>
    <x v="2"/>
    <x v="5"/>
    <x v="9"/>
    <s v="LT_Other_DH"/>
    <x v="10"/>
    <x v="2"/>
    <s v="EBAVERE_ST_WOODWST_BP"/>
    <x v="0"/>
    <x v="22"/>
    <n v="5.4"/>
    <n v="1971"/>
    <n v="7095.6"/>
  </r>
  <r>
    <x v="0"/>
    <x v="2"/>
    <x v="2"/>
    <x v="5"/>
    <x v="9"/>
    <s v="LT_Other_DH"/>
    <x v="10"/>
    <x v="2"/>
    <s v="EBAVERE_ST_WOODWST_BP"/>
    <x v="0"/>
    <x v="23"/>
    <n v="5.4"/>
    <n v="1971"/>
    <n v="7095.6"/>
  </r>
  <r>
    <x v="0"/>
    <x v="2"/>
    <x v="2"/>
    <x v="5"/>
    <x v="9"/>
    <s v="LT_Rural"/>
    <x v="7"/>
    <x v="5"/>
    <s v="GNR_WT_WIND_ONS"/>
    <x v="0"/>
    <x v="0"/>
    <n v="13.856353830398501"/>
    <n v="5057.5691480954602"/>
    <n v="18207.248933143699"/>
  </r>
  <r>
    <x v="0"/>
    <x v="2"/>
    <x v="2"/>
    <x v="5"/>
    <x v="9"/>
    <s v="LT_Rural"/>
    <x v="7"/>
    <x v="5"/>
    <s v="GNR_WT_WIND_ONS"/>
    <x v="0"/>
    <x v="1"/>
    <n v="16.627624596478199"/>
    <n v="6069.08297771456"/>
    <n v="21848.698719772401"/>
  </r>
  <r>
    <x v="0"/>
    <x v="2"/>
    <x v="2"/>
    <x v="5"/>
    <x v="9"/>
    <s v="LT_Rural"/>
    <x v="7"/>
    <x v="5"/>
    <s v="GNR_WT_WIND_ONS"/>
    <x v="0"/>
    <x v="18"/>
    <n v="16.2317287727526"/>
    <n v="5924.5810020546896"/>
    <n v="21328.4916073969"/>
  </r>
  <r>
    <x v="0"/>
    <x v="2"/>
    <x v="2"/>
    <x v="5"/>
    <x v="9"/>
    <s v="LT_Rural"/>
    <x v="7"/>
    <x v="5"/>
    <s v="GNR_WT_WIND_ONS"/>
    <x v="0"/>
    <x v="2"/>
    <n v="15.2419892134384"/>
    <n v="5563.3260629050101"/>
    <n v="20027.973826458001"/>
  </r>
  <r>
    <x v="0"/>
    <x v="2"/>
    <x v="2"/>
    <x v="5"/>
    <x v="9"/>
    <s v="LT_Rural"/>
    <x v="7"/>
    <x v="5"/>
    <s v="GNR_WT_WIND_ONS"/>
    <x v="0"/>
    <x v="3"/>
    <n v="11.283030976181699"/>
    <n v="4118.30630630631"/>
    <n v="14825.9027027027"/>
  </r>
  <r>
    <x v="0"/>
    <x v="2"/>
    <x v="2"/>
    <x v="5"/>
    <x v="9"/>
    <s v="LT_Rural"/>
    <x v="7"/>
    <x v="5"/>
    <s v="GNR_WT_WIND_ONS"/>
    <x v="0"/>
    <x v="4"/>
    <n v="6.5322810914735898"/>
    <n v="2384.2825983878602"/>
    <n v="8583.4173541962991"/>
  </r>
  <r>
    <x v="0"/>
    <x v="2"/>
    <x v="2"/>
    <x v="5"/>
    <x v="9"/>
    <s v="LT_Rural"/>
    <x v="7"/>
    <x v="5"/>
    <s v="GNR_WT_WIND_ONS"/>
    <x v="0"/>
    <x v="5"/>
    <n v="1.38563538303985"/>
    <n v="505.756914809546"/>
    <n v="1820.7248933143701"/>
  </r>
  <r>
    <x v="0"/>
    <x v="2"/>
    <x v="2"/>
    <x v="5"/>
    <x v="9"/>
    <s v="LT_Rural"/>
    <x v="7"/>
    <x v="5"/>
    <s v="GNR_WT_WIND_ONS"/>
    <x v="0"/>
    <x v="6"/>
    <n v="0.98973955931418101"/>
    <n v="361.25493914967598"/>
    <n v="1300.5177809388299"/>
  </r>
  <r>
    <x v="0"/>
    <x v="2"/>
    <x v="2"/>
    <x v="5"/>
    <x v="9"/>
    <s v="LT_Rural"/>
    <x v="7"/>
    <x v="5"/>
    <s v="GNR_WT_WIND_ONS"/>
    <x v="0"/>
    <x v="7"/>
    <n v="1.38563538303985"/>
    <n v="505.756914809546"/>
    <n v="1820.7248933143701"/>
  </r>
  <r>
    <x v="0"/>
    <x v="2"/>
    <x v="2"/>
    <x v="5"/>
    <x v="9"/>
    <s v="LT_Rural"/>
    <x v="7"/>
    <x v="5"/>
    <s v="GNR_WT_WIND_ONS"/>
    <x v="0"/>
    <x v="8"/>
    <n v="6.5322810914735898"/>
    <n v="2384.2825983878602"/>
    <n v="8583.4173541962991"/>
  </r>
  <r>
    <x v="0"/>
    <x v="2"/>
    <x v="2"/>
    <x v="5"/>
    <x v="9"/>
    <s v="LT_Rural"/>
    <x v="7"/>
    <x v="5"/>
    <s v="GNR_WT_WIND_ONS"/>
    <x v="0"/>
    <x v="9"/>
    <n v="15.2419892134384"/>
    <n v="5563.3260629050101"/>
    <n v="20027.973826458001"/>
  </r>
  <r>
    <x v="0"/>
    <x v="2"/>
    <x v="2"/>
    <x v="5"/>
    <x v="9"/>
    <s v="LT_Rural"/>
    <x v="7"/>
    <x v="5"/>
    <s v="GNR_WT_WIND_ONS"/>
    <x v="0"/>
    <x v="10"/>
    <n v="23.555801511677501"/>
    <n v="8597.8675517622905"/>
    <n v="30952.323186344202"/>
  </r>
  <r>
    <x v="0"/>
    <x v="2"/>
    <x v="2"/>
    <x v="5"/>
    <x v="9"/>
    <s v="LT_Rural"/>
    <x v="7"/>
    <x v="5"/>
    <s v="GNR_WT_WIND_ONS"/>
    <x v="0"/>
    <x v="11"/>
    <n v="27.316811837071398"/>
    <n v="9970.6363205310608"/>
    <n v="35894.290753911802"/>
  </r>
  <r>
    <x v="0"/>
    <x v="2"/>
    <x v="2"/>
    <x v="5"/>
    <x v="9"/>
    <s v="LT_Rural"/>
    <x v="7"/>
    <x v="5"/>
    <s v="GNR_WT_WIND_ONS"/>
    <x v="0"/>
    <x v="12"/>
    <n v="31.275770074328101"/>
    <n v="11415.656077129801"/>
    <n v="41096.361877667201"/>
  </r>
  <r>
    <x v="0"/>
    <x v="2"/>
    <x v="2"/>
    <x v="5"/>
    <x v="9"/>
    <s v="LT_Rural"/>
    <x v="7"/>
    <x v="5"/>
    <s v="GNR_WT_WIND_ONS"/>
    <x v="0"/>
    <x v="13"/>
    <n v="31.275770074328101"/>
    <n v="11415.656077129801"/>
    <n v="41096.361877667201"/>
  </r>
  <r>
    <x v="0"/>
    <x v="2"/>
    <x v="2"/>
    <x v="5"/>
    <x v="9"/>
    <s v="LT_Rural"/>
    <x v="7"/>
    <x v="5"/>
    <s v="GNR_WT_WIND_ONS"/>
    <x v="0"/>
    <x v="14"/>
    <n v="49.486977965709002"/>
    <n v="18062.7469574838"/>
    <n v="65025.889046941702"/>
  </r>
  <r>
    <x v="0"/>
    <x v="2"/>
    <x v="2"/>
    <x v="5"/>
    <x v="9"/>
    <s v="LT_Rural"/>
    <x v="7"/>
    <x v="5"/>
    <s v="GNR_WT_WIND_ONS"/>
    <x v="0"/>
    <x v="15"/>
    <n v="63.937175531696099"/>
    <n v="23337.069069069101"/>
    <n v="84013.448648648598"/>
  </r>
  <r>
    <x v="0"/>
    <x v="2"/>
    <x v="2"/>
    <x v="5"/>
    <x v="9"/>
    <s v="LT_Rural"/>
    <x v="7"/>
    <x v="5"/>
    <s v="GNR_WT_WIND_ONS"/>
    <x v="0"/>
    <x v="16"/>
    <n v="63.145383884244701"/>
    <n v="23048.065117749298"/>
    <n v="82973.034423897596"/>
  </r>
  <r>
    <x v="0"/>
    <x v="2"/>
    <x v="2"/>
    <x v="5"/>
    <x v="9"/>
    <s v="LT_Rural"/>
    <x v="7"/>
    <x v="5"/>
    <s v="GNR_WT_WIND_ONS"/>
    <x v="0"/>
    <x v="17"/>
    <n v="86.3052895721966"/>
    <n v="31501.4306938517"/>
    <n v="113405.15049786599"/>
  </r>
  <r>
    <x v="0"/>
    <x v="2"/>
    <x v="2"/>
    <x v="5"/>
    <x v="9"/>
    <s v="LT_Rural"/>
    <x v="7"/>
    <x v="5"/>
    <s v="GNR_WT_WIND_ONS"/>
    <x v="0"/>
    <x v="19"/>
    <n v="128.46819479898099"/>
    <n v="46890.891101627902"/>
    <n v="168807.20796586099"/>
  </r>
  <r>
    <x v="0"/>
    <x v="2"/>
    <x v="2"/>
    <x v="5"/>
    <x v="9"/>
    <s v="LT_Rural"/>
    <x v="7"/>
    <x v="5"/>
    <s v="GNR_WT_WIND_ONS"/>
    <x v="0"/>
    <x v="20"/>
    <n v="148.856829720853"/>
    <n v="54332.742848111302"/>
    <n v="195597.87425320101"/>
  </r>
  <r>
    <x v="0"/>
    <x v="2"/>
    <x v="2"/>
    <x v="5"/>
    <x v="9"/>
    <s v="LT_Rural"/>
    <x v="7"/>
    <x v="5"/>
    <s v="GNR_WT_WIND_ONS"/>
    <x v="0"/>
    <x v="21"/>
    <n v="160.53575652076"/>
    <n v="58595.551130077401"/>
    <n v="210943.98406827901"/>
  </r>
  <r>
    <x v="0"/>
    <x v="2"/>
    <x v="2"/>
    <x v="5"/>
    <x v="9"/>
    <s v="LT_Rural"/>
    <x v="7"/>
    <x v="5"/>
    <s v="GNR_WT_WIND_ONS"/>
    <x v="0"/>
    <x v="22"/>
    <n v="163.109079374977"/>
    <n v="59534.813971866599"/>
    <n v="214325.33029871999"/>
  </r>
  <r>
    <x v="0"/>
    <x v="2"/>
    <x v="2"/>
    <x v="5"/>
    <x v="9"/>
    <s v="LT_Rural"/>
    <x v="7"/>
    <x v="5"/>
    <s v="GNR_WT_WIND_ONS"/>
    <x v="0"/>
    <x v="23"/>
    <n v="169.83930837831301"/>
    <n v="61991.347558084402"/>
    <n v="223168.851209104"/>
  </r>
  <r>
    <x v="0"/>
    <x v="2"/>
    <x v="2"/>
    <x v="5"/>
    <x v="9"/>
    <s v="LT_VilU"/>
    <x v="2"/>
    <x v="2"/>
    <s v="VILNIUS_ST_MSW_BP"/>
    <x v="0"/>
    <x v="0"/>
    <n v="92"/>
    <n v="33580"/>
    <n v="120888"/>
  </r>
  <r>
    <x v="0"/>
    <x v="2"/>
    <x v="2"/>
    <x v="5"/>
    <x v="9"/>
    <s v="LT_VilU"/>
    <x v="2"/>
    <x v="2"/>
    <s v="VILNIUS_ST_MSW_BP"/>
    <x v="0"/>
    <x v="1"/>
    <n v="92"/>
    <n v="33580"/>
    <n v="120888"/>
  </r>
  <r>
    <x v="0"/>
    <x v="2"/>
    <x v="2"/>
    <x v="5"/>
    <x v="9"/>
    <s v="LT_VilU"/>
    <x v="2"/>
    <x v="2"/>
    <s v="VILNIUS_ST_MSW_BP"/>
    <x v="0"/>
    <x v="18"/>
    <n v="92"/>
    <n v="33580"/>
    <n v="120888"/>
  </r>
  <r>
    <x v="0"/>
    <x v="2"/>
    <x v="2"/>
    <x v="5"/>
    <x v="9"/>
    <s v="LT_VilU"/>
    <x v="2"/>
    <x v="2"/>
    <s v="VILNIUS_ST_MSW_BP"/>
    <x v="0"/>
    <x v="2"/>
    <n v="92"/>
    <n v="33580"/>
    <n v="120888"/>
  </r>
  <r>
    <x v="0"/>
    <x v="2"/>
    <x v="2"/>
    <x v="5"/>
    <x v="9"/>
    <s v="LT_VilU"/>
    <x v="2"/>
    <x v="2"/>
    <s v="VILNIUS_ST_MSW_BP"/>
    <x v="0"/>
    <x v="3"/>
    <n v="92"/>
    <n v="33580"/>
    <n v="120888"/>
  </r>
  <r>
    <x v="0"/>
    <x v="2"/>
    <x v="2"/>
    <x v="5"/>
    <x v="9"/>
    <s v="LT_VilU"/>
    <x v="2"/>
    <x v="2"/>
    <s v="VILNIUS_ST_MSW_BP"/>
    <x v="0"/>
    <x v="4"/>
    <n v="92"/>
    <n v="33580"/>
    <n v="120888"/>
  </r>
  <r>
    <x v="0"/>
    <x v="2"/>
    <x v="2"/>
    <x v="5"/>
    <x v="9"/>
    <s v="LT_VilU"/>
    <x v="2"/>
    <x v="2"/>
    <s v="VILNIUS_ST_MSW_BP"/>
    <x v="0"/>
    <x v="5"/>
    <n v="92"/>
    <n v="33580"/>
    <n v="120888"/>
  </r>
  <r>
    <x v="0"/>
    <x v="2"/>
    <x v="2"/>
    <x v="5"/>
    <x v="9"/>
    <s v="LT_VilU"/>
    <x v="2"/>
    <x v="2"/>
    <s v="VILNIUS_ST_MSW_BP"/>
    <x v="0"/>
    <x v="6"/>
    <n v="92"/>
    <n v="33580"/>
    <n v="120888"/>
  </r>
  <r>
    <x v="0"/>
    <x v="2"/>
    <x v="2"/>
    <x v="5"/>
    <x v="9"/>
    <s v="LT_VilU"/>
    <x v="2"/>
    <x v="2"/>
    <s v="VILNIUS_ST_MSW_BP"/>
    <x v="0"/>
    <x v="7"/>
    <n v="92"/>
    <n v="33580"/>
    <n v="120888"/>
  </r>
  <r>
    <x v="0"/>
    <x v="2"/>
    <x v="2"/>
    <x v="5"/>
    <x v="9"/>
    <s v="LT_VilU"/>
    <x v="2"/>
    <x v="2"/>
    <s v="VILNIUS_ST_MSW_BP"/>
    <x v="0"/>
    <x v="8"/>
    <n v="92"/>
    <n v="33580"/>
    <n v="120888"/>
  </r>
  <r>
    <x v="0"/>
    <x v="2"/>
    <x v="2"/>
    <x v="5"/>
    <x v="9"/>
    <s v="LT_VilU"/>
    <x v="2"/>
    <x v="2"/>
    <s v="VILNIUS_ST_MSW_BP"/>
    <x v="0"/>
    <x v="9"/>
    <n v="92"/>
    <n v="33580"/>
    <n v="120888"/>
  </r>
  <r>
    <x v="0"/>
    <x v="2"/>
    <x v="2"/>
    <x v="5"/>
    <x v="9"/>
    <s v="LT_VilU"/>
    <x v="2"/>
    <x v="2"/>
    <s v="VILNIUS_ST_MSW_BP"/>
    <x v="0"/>
    <x v="10"/>
    <n v="92"/>
    <n v="33580"/>
    <n v="120888"/>
  </r>
  <r>
    <x v="0"/>
    <x v="2"/>
    <x v="2"/>
    <x v="5"/>
    <x v="9"/>
    <s v="LT_VilU"/>
    <x v="2"/>
    <x v="2"/>
    <s v="VILNIUS_ST_MSW_BP"/>
    <x v="0"/>
    <x v="11"/>
    <n v="92"/>
    <n v="33580"/>
    <n v="120888"/>
  </r>
  <r>
    <x v="0"/>
    <x v="2"/>
    <x v="2"/>
    <x v="5"/>
    <x v="9"/>
    <s v="LT_VilU"/>
    <x v="2"/>
    <x v="2"/>
    <s v="VILNIUS_ST_MSW_BP"/>
    <x v="0"/>
    <x v="12"/>
    <n v="92"/>
    <n v="33580"/>
    <n v="120888"/>
  </r>
  <r>
    <x v="0"/>
    <x v="2"/>
    <x v="2"/>
    <x v="5"/>
    <x v="9"/>
    <s v="LT_VilU"/>
    <x v="2"/>
    <x v="2"/>
    <s v="VILNIUS_ST_MSW_BP"/>
    <x v="0"/>
    <x v="13"/>
    <n v="92"/>
    <n v="33580"/>
    <n v="120888"/>
  </r>
  <r>
    <x v="0"/>
    <x v="2"/>
    <x v="2"/>
    <x v="5"/>
    <x v="9"/>
    <s v="LT_VilU"/>
    <x v="2"/>
    <x v="2"/>
    <s v="VILNIUS_ST_MSW_BP"/>
    <x v="0"/>
    <x v="14"/>
    <n v="92"/>
    <n v="33580"/>
    <n v="120888"/>
  </r>
  <r>
    <x v="0"/>
    <x v="2"/>
    <x v="2"/>
    <x v="5"/>
    <x v="9"/>
    <s v="LT_VilU"/>
    <x v="2"/>
    <x v="2"/>
    <s v="VILNIUS_ST_MSW_BP"/>
    <x v="0"/>
    <x v="15"/>
    <n v="92"/>
    <n v="33580"/>
    <n v="120888"/>
  </r>
  <r>
    <x v="0"/>
    <x v="2"/>
    <x v="2"/>
    <x v="5"/>
    <x v="9"/>
    <s v="LT_VilU"/>
    <x v="2"/>
    <x v="2"/>
    <s v="VILNIUS_ST_MSW_BP"/>
    <x v="0"/>
    <x v="16"/>
    <n v="92"/>
    <n v="33580"/>
    <n v="120888"/>
  </r>
  <r>
    <x v="0"/>
    <x v="2"/>
    <x v="2"/>
    <x v="5"/>
    <x v="9"/>
    <s v="LT_VilU"/>
    <x v="2"/>
    <x v="2"/>
    <s v="VILNIUS_ST_MSW_BP"/>
    <x v="0"/>
    <x v="17"/>
    <n v="92"/>
    <n v="33580"/>
    <n v="120888"/>
  </r>
  <r>
    <x v="0"/>
    <x v="2"/>
    <x v="2"/>
    <x v="5"/>
    <x v="9"/>
    <s v="LT_VilU"/>
    <x v="2"/>
    <x v="2"/>
    <s v="VILNIUS_ST_MSW_BP"/>
    <x v="0"/>
    <x v="19"/>
    <n v="92"/>
    <n v="33580"/>
    <n v="120888"/>
  </r>
  <r>
    <x v="0"/>
    <x v="2"/>
    <x v="2"/>
    <x v="5"/>
    <x v="9"/>
    <s v="LT_VilU"/>
    <x v="2"/>
    <x v="2"/>
    <s v="VILNIUS_ST_MSW_BP"/>
    <x v="0"/>
    <x v="20"/>
    <n v="92"/>
    <n v="33580"/>
    <n v="120888"/>
  </r>
  <r>
    <x v="0"/>
    <x v="2"/>
    <x v="2"/>
    <x v="5"/>
    <x v="9"/>
    <s v="LT_VilU"/>
    <x v="2"/>
    <x v="2"/>
    <s v="VILNIUS_ST_MSW_BP"/>
    <x v="0"/>
    <x v="21"/>
    <n v="92"/>
    <n v="33580"/>
    <n v="120888"/>
  </r>
  <r>
    <x v="0"/>
    <x v="2"/>
    <x v="2"/>
    <x v="5"/>
    <x v="9"/>
    <s v="LT_VilU"/>
    <x v="2"/>
    <x v="2"/>
    <s v="VILNIUS_ST_MSW_BP"/>
    <x v="0"/>
    <x v="22"/>
    <n v="92"/>
    <n v="33580"/>
    <n v="120888"/>
  </r>
  <r>
    <x v="0"/>
    <x v="2"/>
    <x v="2"/>
    <x v="5"/>
    <x v="9"/>
    <s v="LT_VilU"/>
    <x v="2"/>
    <x v="2"/>
    <s v="VILNIUS_ST_MSW_BP"/>
    <x v="0"/>
    <x v="23"/>
    <n v="92"/>
    <n v="33580"/>
    <n v="120888"/>
  </r>
  <r>
    <x v="0"/>
    <x v="2"/>
    <x v="2"/>
    <x v="5"/>
    <x v="9"/>
    <s v="LT_VilU"/>
    <x v="6"/>
    <x v="8"/>
    <s v="GNR_ES_WTR_PMP"/>
    <x v="0"/>
    <x v="6"/>
    <n v="1.92590910430143"/>
    <n v="702.95682307002005"/>
    <n v="2530.6445630520702"/>
  </r>
  <r>
    <x v="0"/>
    <x v="2"/>
    <x v="2"/>
    <x v="5"/>
    <x v="9"/>
    <s v="LT_VilU"/>
    <x v="6"/>
    <x v="8"/>
    <s v="GNR_ES_WTR_PMP"/>
    <x v="0"/>
    <x v="9"/>
    <n v="91.674090895698598"/>
    <n v="33461.043176929998"/>
    <n v="120459.75543694801"/>
  </r>
  <r>
    <x v="0"/>
    <x v="2"/>
    <x v="2"/>
    <x v="5"/>
    <x v="9"/>
    <s v="LT_VilU"/>
    <x v="6"/>
    <x v="8"/>
    <s v="GNR_ES_WTR_PMP"/>
    <x v="0"/>
    <x v="15"/>
    <n v="93.6"/>
    <n v="34164"/>
    <n v="122990.39999999999"/>
  </r>
  <r>
    <x v="0"/>
    <x v="2"/>
    <x v="2"/>
    <x v="6"/>
    <x v="10"/>
    <s v="NL_A"/>
    <x v="1"/>
    <x v="9"/>
    <s v="GNR_ES_ELEC_BAT-LITHIO_E-97_Y-30-50"/>
    <x v="0"/>
    <x v="0"/>
    <n v="475.747749477387"/>
    <n v="173647.92855924601"/>
    <n v="625132.54281328595"/>
  </r>
  <r>
    <x v="0"/>
    <x v="2"/>
    <x v="2"/>
    <x v="6"/>
    <x v="10"/>
    <s v="NL_A"/>
    <x v="1"/>
    <x v="9"/>
    <s v="GNR_ES_ELEC_BAT-LITHIO_E-97_Y-30-50"/>
    <x v="0"/>
    <x v="6"/>
    <n v="1616.1268158508101"/>
    <n v="589886.28778554394"/>
    <n v="2123590.6360279601"/>
  </r>
  <r>
    <x v="0"/>
    <x v="2"/>
    <x v="2"/>
    <x v="6"/>
    <x v="10"/>
    <s v="NL_A"/>
    <x v="1"/>
    <x v="9"/>
    <s v="GNR_ES_ELEC_BAT-LITHIO_E-97_Y-30-50"/>
    <x v="0"/>
    <x v="7"/>
    <n v="2417.8808899716901"/>
    <n v="882526.52483966504"/>
    <n v="3177095.4894227898"/>
  </r>
  <r>
    <x v="0"/>
    <x v="2"/>
    <x v="2"/>
    <x v="6"/>
    <x v="10"/>
    <s v="NL_A"/>
    <x v="1"/>
    <x v="9"/>
    <s v="GNR_ES_ELEC_BAT-LITHIO_E-97_Y-30-50"/>
    <x v="0"/>
    <x v="8"/>
    <n v="2417.8808899716901"/>
    <n v="882526.52483966504"/>
    <n v="3177095.4894227898"/>
  </r>
  <r>
    <x v="0"/>
    <x v="2"/>
    <x v="2"/>
    <x v="6"/>
    <x v="10"/>
    <s v="NL_A"/>
    <x v="1"/>
    <x v="9"/>
    <s v="GNR_ES_ELEC_BAT-LITHIO_E-97_Y-30-50"/>
    <x v="0"/>
    <x v="20"/>
    <n v="2417.8808899716901"/>
    <n v="882526.52483966504"/>
    <n v="3177095.4894228"/>
  </r>
  <r>
    <x v="0"/>
    <x v="2"/>
    <x v="2"/>
    <x v="6"/>
    <x v="10"/>
    <s v="NL_A"/>
    <x v="1"/>
    <x v="9"/>
    <s v="GNR_ES_ELEC_BAT-LITHIO_E-97_Y-30-50"/>
    <x v="0"/>
    <x v="21"/>
    <n v="1748.3977962116301"/>
    <n v="638165.19561724504"/>
    <n v="2297394.7042220798"/>
  </r>
  <r>
    <x v="0"/>
    <x v="2"/>
    <x v="2"/>
    <x v="6"/>
    <x v="10"/>
    <s v="NL_A"/>
    <x v="1"/>
    <x v="9"/>
    <s v="GNR_ES_ELEC_BAT-LITHIO_E-97_Y-30-50"/>
    <x v="0"/>
    <x v="22"/>
    <n v="182.59959115154899"/>
    <n v="66648.850770315505"/>
    <n v="239935.862773136"/>
  </r>
  <r>
    <x v="0"/>
    <x v="2"/>
    <x v="2"/>
    <x v="6"/>
    <x v="10"/>
    <s v="NL_A"/>
    <x v="1"/>
    <x v="9"/>
    <s v="GNR_ES_ELEC_BAT-LITHIO_E-97_Y-30-50"/>
    <x v="0"/>
    <x v="23"/>
    <n v="2417.8808899716901"/>
    <n v="882526.52483966504"/>
    <n v="3177095.4894227898"/>
  </r>
  <r>
    <x v="0"/>
    <x v="2"/>
    <x v="2"/>
    <x v="6"/>
    <x v="10"/>
    <s v="NL_A"/>
    <x v="2"/>
    <x v="6"/>
    <s v="GNR_ST_MSW_CND_E-40"/>
    <x v="0"/>
    <x v="0"/>
    <n v="684"/>
    <n v="249660"/>
    <n v="898776"/>
  </r>
  <r>
    <x v="0"/>
    <x v="2"/>
    <x v="2"/>
    <x v="6"/>
    <x v="10"/>
    <s v="NL_A"/>
    <x v="2"/>
    <x v="6"/>
    <s v="GNR_ST_MSW_CND_E-40"/>
    <x v="0"/>
    <x v="1"/>
    <n v="684"/>
    <n v="249660"/>
    <n v="898776"/>
  </r>
  <r>
    <x v="0"/>
    <x v="2"/>
    <x v="2"/>
    <x v="6"/>
    <x v="10"/>
    <s v="NL_A"/>
    <x v="2"/>
    <x v="6"/>
    <s v="GNR_ST_MSW_CND_E-40"/>
    <x v="0"/>
    <x v="18"/>
    <n v="684"/>
    <n v="249660"/>
    <n v="898776"/>
  </r>
  <r>
    <x v="0"/>
    <x v="2"/>
    <x v="2"/>
    <x v="6"/>
    <x v="10"/>
    <s v="NL_A"/>
    <x v="2"/>
    <x v="6"/>
    <s v="GNR_ST_MSW_CND_E-40"/>
    <x v="0"/>
    <x v="2"/>
    <n v="684"/>
    <n v="249660"/>
    <n v="898776"/>
  </r>
  <r>
    <x v="0"/>
    <x v="2"/>
    <x v="2"/>
    <x v="6"/>
    <x v="10"/>
    <s v="NL_A"/>
    <x v="2"/>
    <x v="6"/>
    <s v="GNR_ST_MSW_CND_E-40"/>
    <x v="0"/>
    <x v="3"/>
    <n v="684"/>
    <n v="249660"/>
    <n v="898776"/>
  </r>
  <r>
    <x v="0"/>
    <x v="2"/>
    <x v="2"/>
    <x v="6"/>
    <x v="10"/>
    <s v="NL_A"/>
    <x v="2"/>
    <x v="6"/>
    <s v="GNR_ST_MSW_CND_E-40"/>
    <x v="0"/>
    <x v="5"/>
    <n v="684"/>
    <n v="249660"/>
    <n v="898776"/>
  </r>
  <r>
    <x v="0"/>
    <x v="2"/>
    <x v="2"/>
    <x v="6"/>
    <x v="10"/>
    <s v="NL_A"/>
    <x v="2"/>
    <x v="6"/>
    <s v="GNR_ST_MSW_CND_E-40"/>
    <x v="0"/>
    <x v="6"/>
    <n v="684"/>
    <n v="249660"/>
    <n v="898776"/>
  </r>
  <r>
    <x v="0"/>
    <x v="2"/>
    <x v="2"/>
    <x v="6"/>
    <x v="10"/>
    <s v="NL_A"/>
    <x v="2"/>
    <x v="6"/>
    <s v="GNR_ST_MSW_CND_E-40"/>
    <x v="0"/>
    <x v="7"/>
    <n v="684"/>
    <n v="249660"/>
    <n v="898776"/>
  </r>
  <r>
    <x v="0"/>
    <x v="2"/>
    <x v="2"/>
    <x v="6"/>
    <x v="10"/>
    <s v="NL_A"/>
    <x v="2"/>
    <x v="6"/>
    <s v="GNR_ST_MSW_CND_E-40"/>
    <x v="0"/>
    <x v="8"/>
    <n v="684"/>
    <n v="249660"/>
    <n v="898776"/>
  </r>
  <r>
    <x v="0"/>
    <x v="2"/>
    <x v="2"/>
    <x v="6"/>
    <x v="10"/>
    <s v="NL_A"/>
    <x v="2"/>
    <x v="6"/>
    <s v="GNR_ST_MSW_CND_E-40"/>
    <x v="0"/>
    <x v="9"/>
    <n v="684"/>
    <n v="249660"/>
    <n v="898776"/>
  </r>
  <r>
    <x v="0"/>
    <x v="2"/>
    <x v="2"/>
    <x v="6"/>
    <x v="10"/>
    <s v="NL_A"/>
    <x v="2"/>
    <x v="6"/>
    <s v="GNR_ST_MSW_CND_E-40"/>
    <x v="0"/>
    <x v="10"/>
    <n v="684"/>
    <n v="249660"/>
    <n v="898776"/>
  </r>
  <r>
    <x v="0"/>
    <x v="2"/>
    <x v="2"/>
    <x v="6"/>
    <x v="10"/>
    <s v="NL_A"/>
    <x v="2"/>
    <x v="6"/>
    <s v="GNR_ST_MSW_CND_E-40"/>
    <x v="0"/>
    <x v="19"/>
    <n v="684"/>
    <n v="249660"/>
    <n v="898776"/>
  </r>
  <r>
    <x v="0"/>
    <x v="2"/>
    <x v="2"/>
    <x v="6"/>
    <x v="10"/>
    <s v="NL_A"/>
    <x v="2"/>
    <x v="6"/>
    <s v="GNR_ST_MSW_CND_E-40"/>
    <x v="0"/>
    <x v="20"/>
    <n v="684"/>
    <n v="249660"/>
    <n v="898776"/>
  </r>
  <r>
    <x v="0"/>
    <x v="2"/>
    <x v="2"/>
    <x v="6"/>
    <x v="10"/>
    <s v="NL_A"/>
    <x v="2"/>
    <x v="6"/>
    <s v="GNR_ST_MSW_CND_E-40"/>
    <x v="0"/>
    <x v="21"/>
    <n v="684"/>
    <n v="249660"/>
    <n v="898776"/>
  </r>
  <r>
    <x v="0"/>
    <x v="2"/>
    <x v="2"/>
    <x v="6"/>
    <x v="10"/>
    <s v="NL_A"/>
    <x v="2"/>
    <x v="6"/>
    <s v="GNR_ST_MSW_CND_E-40"/>
    <x v="0"/>
    <x v="22"/>
    <n v="684"/>
    <n v="249660"/>
    <n v="898776"/>
  </r>
  <r>
    <x v="0"/>
    <x v="2"/>
    <x v="2"/>
    <x v="6"/>
    <x v="10"/>
    <s v="NL_A"/>
    <x v="2"/>
    <x v="6"/>
    <s v="GNR_ST_MSW_CND_E-40"/>
    <x v="0"/>
    <x v="23"/>
    <n v="684"/>
    <n v="249660"/>
    <n v="898776"/>
  </r>
  <r>
    <x v="0"/>
    <x v="2"/>
    <x v="2"/>
    <x v="6"/>
    <x v="10"/>
    <s v="NL_A"/>
    <x v="14"/>
    <x v="6"/>
    <s v="GNR_ST_NUCL_CND_E-33"/>
    <x v="0"/>
    <x v="0"/>
    <n v="515"/>
    <n v="187975"/>
    <n v="676710"/>
  </r>
  <r>
    <x v="0"/>
    <x v="2"/>
    <x v="2"/>
    <x v="6"/>
    <x v="10"/>
    <s v="NL_A"/>
    <x v="14"/>
    <x v="6"/>
    <s v="GNR_ST_NUCL_CND_E-33"/>
    <x v="0"/>
    <x v="1"/>
    <n v="515"/>
    <n v="187975"/>
    <n v="676710"/>
  </r>
  <r>
    <x v="0"/>
    <x v="2"/>
    <x v="2"/>
    <x v="6"/>
    <x v="10"/>
    <s v="NL_A"/>
    <x v="14"/>
    <x v="6"/>
    <s v="GNR_ST_NUCL_CND_E-33"/>
    <x v="0"/>
    <x v="18"/>
    <n v="515"/>
    <n v="187975"/>
    <n v="676710"/>
  </r>
  <r>
    <x v="0"/>
    <x v="2"/>
    <x v="2"/>
    <x v="6"/>
    <x v="10"/>
    <s v="NL_A"/>
    <x v="14"/>
    <x v="6"/>
    <s v="GNR_ST_NUCL_CND_E-33"/>
    <x v="0"/>
    <x v="2"/>
    <n v="515"/>
    <n v="187975"/>
    <n v="676710"/>
  </r>
  <r>
    <x v="0"/>
    <x v="2"/>
    <x v="2"/>
    <x v="6"/>
    <x v="10"/>
    <s v="NL_A"/>
    <x v="14"/>
    <x v="6"/>
    <s v="GNR_ST_NUCL_CND_E-33"/>
    <x v="0"/>
    <x v="3"/>
    <n v="515"/>
    <n v="187975"/>
    <n v="676710"/>
  </r>
  <r>
    <x v="0"/>
    <x v="2"/>
    <x v="2"/>
    <x v="6"/>
    <x v="10"/>
    <s v="NL_A"/>
    <x v="14"/>
    <x v="6"/>
    <s v="GNR_ST_NUCL_CND_E-33"/>
    <x v="0"/>
    <x v="4"/>
    <n v="515"/>
    <n v="187975"/>
    <n v="676710"/>
  </r>
  <r>
    <x v="0"/>
    <x v="2"/>
    <x v="2"/>
    <x v="6"/>
    <x v="10"/>
    <s v="NL_A"/>
    <x v="14"/>
    <x v="6"/>
    <s v="GNR_ST_NUCL_CND_E-33"/>
    <x v="0"/>
    <x v="5"/>
    <n v="515"/>
    <n v="187975"/>
    <n v="676710"/>
  </r>
  <r>
    <x v="0"/>
    <x v="2"/>
    <x v="2"/>
    <x v="6"/>
    <x v="10"/>
    <s v="NL_A"/>
    <x v="14"/>
    <x v="6"/>
    <s v="GNR_ST_NUCL_CND_E-33"/>
    <x v="0"/>
    <x v="6"/>
    <n v="515"/>
    <n v="187975"/>
    <n v="676710"/>
  </r>
  <r>
    <x v="0"/>
    <x v="2"/>
    <x v="2"/>
    <x v="6"/>
    <x v="10"/>
    <s v="NL_A"/>
    <x v="14"/>
    <x v="6"/>
    <s v="GNR_ST_NUCL_CND_E-33"/>
    <x v="0"/>
    <x v="7"/>
    <n v="515"/>
    <n v="187975"/>
    <n v="676710"/>
  </r>
  <r>
    <x v="0"/>
    <x v="2"/>
    <x v="2"/>
    <x v="6"/>
    <x v="10"/>
    <s v="NL_A"/>
    <x v="14"/>
    <x v="6"/>
    <s v="GNR_ST_NUCL_CND_E-33"/>
    <x v="0"/>
    <x v="8"/>
    <n v="515"/>
    <n v="187975"/>
    <n v="676710"/>
  </r>
  <r>
    <x v="0"/>
    <x v="2"/>
    <x v="2"/>
    <x v="6"/>
    <x v="10"/>
    <s v="NL_A"/>
    <x v="14"/>
    <x v="6"/>
    <s v="GNR_ST_NUCL_CND_E-33"/>
    <x v="0"/>
    <x v="9"/>
    <n v="515"/>
    <n v="187975"/>
    <n v="676710"/>
  </r>
  <r>
    <x v="0"/>
    <x v="2"/>
    <x v="2"/>
    <x v="6"/>
    <x v="10"/>
    <s v="NL_A"/>
    <x v="14"/>
    <x v="6"/>
    <s v="GNR_ST_NUCL_CND_E-33"/>
    <x v="0"/>
    <x v="10"/>
    <n v="515"/>
    <n v="187975"/>
    <n v="676710"/>
  </r>
  <r>
    <x v="0"/>
    <x v="2"/>
    <x v="2"/>
    <x v="6"/>
    <x v="10"/>
    <s v="NL_A"/>
    <x v="14"/>
    <x v="6"/>
    <s v="GNR_ST_NUCL_CND_E-33"/>
    <x v="0"/>
    <x v="11"/>
    <n v="515"/>
    <n v="187975"/>
    <n v="676710"/>
  </r>
  <r>
    <x v="0"/>
    <x v="2"/>
    <x v="2"/>
    <x v="6"/>
    <x v="10"/>
    <s v="NL_A"/>
    <x v="14"/>
    <x v="6"/>
    <s v="GNR_ST_NUCL_CND_E-33"/>
    <x v="0"/>
    <x v="12"/>
    <n v="515"/>
    <n v="187975"/>
    <n v="676710"/>
  </r>
  <r>
    <x v="0"/>
    <x v="2"/>
    <x v="2"/>
    <x v="6"/>
    <x v="10"/>
    <s v="NL_A"/>
    <x v="14"/>
    <x v="6"/>
    <s v="GNR_ST_NUCL_CND_E-33"/>
    <x v="0"/>
    <x v="13"/>
    <n v="515"/>
    <n v="187975"/>
    <n v="676710"/>
  </r>
  <r>
    <x v="0"/>
    <x v="2"/>
    <x v="2"/>
    <x v="6"/>
    <x v="10"/>
    <s v="NL_A"/>
    <x v="14"/>
    <x v="6"/>
    <s v="GNR_ST_NUCL_CND_E-33"/>
    <x v="0"/>
    <x v="14"/>
    <n v="515"/>
    <n v="187975"/>
    <n v="676710"/>
  </r>
  <r>
    <x v="0"/>
    <x v="2"/>
    <x v="2"/>
    <x v="6"/>
    <x v="10"/>
    <s v="NL_A"/>
    <x v="14"/>
    <x v="6"/>
    <s v="GNR_ST_NUCL_CND_E-33"/>
    <x v="0"/>
    <x v="15"/>
    <n v="515"/>
    <n v="187975"/>
    <n v="676710"/>
  </r>
  <r>
    <x v="0"/>
    <x v="2"/>
    <x v="2"/>
    <x v="6"/>
    <x v="10"/>
    <s v="NL_A"/>
    <x v="14"/>
    <x v="6"/>
    <s v="GNR_ST_NUCL_CND_E-33"/>
    <x v="0"/>
    <x v="16"/>
    <n v="515"/>
    <n v="187975"/>
    <n v="676710"/>
  </r>
  <r>
    <x v="0"/>
    <x v="2"/>
    <x v="2"/>
    <x v="6"/>
    <x v="10"/>
    <s v="NL_A"/>
    <x v="14"/>
    <x v="6"/>
    <s v="GNR_ST_NUCL_CND_E-33"/>
    <x v="0"/>
    <x v="17"/>
    <n v="515"/>
    <n v="187975"/>
    <n v="676710"/>
  </r>
  <r>
    <x v="0"/>
    <x v="2"/>
    <x v="2"/>
    <x v="6"/>
    <x v="10"/>
    <s v="NL_A"/>
    <x v="14"/>
    <x v="6"/>
    <s v="GNR_ST_NUCL_CND_E-33"/>
    <x v="0"/>
    <x v="19"/>
    <n v="515"/>
    <n v="187975"/>
    <n v="676710"/>
  </r>
  <r>
    <x v="0"/>
    <x v="2"/>
    <x v="2"/>
    <x v="6"/>
    <x v="10"/>
    <s v="NL_A"/>
    <x v="14"/>
    <x v="6"/>
    <s v="GNR_ST_NUCL_CND_E-33"/>
    <x v="0"/>
    <x v="20"/>
    <n v="515"/>
    <n v="187975"/>
    <n v="676710"/>
  </r>
  <r>
    <x v="0"/>
    <x v="2"/>
    <x v="2"/>
    <x v="6"/>
    <x v="10"/>
    <s v="NL_A"/>
    <x v="14"/>
    <x v="6"/>
    <s v="GNR_ST_NUCL_CND_E-33"/>
    <x v="0"/>
    <x v="21"/>
    <n v="515"/>
    <n v="187975"/>
    <n v="676710"/>
  </r>
  <r>
    <x v="0"/>
    <x v="2"/>
    <x v="2"/>
    <x v="6"/>
    <x v="10"/>
    <s v="NL_A"/>
    <x v="14"/>
    <x v="6"/>
    <s v="GNR_ST_NUCL_CND_E-33"/>
    <x v="0"/>
    <x v="22"/>
    <n v="515"/>
    <n v="187975"/>
    <n v="676710"/>
  </r>
  <r>
    <x v="0"/>
    <x v="2"/>
    <x v="2"/>
    <x v="6"/>
    <x v="10"/>
    <s v="NL_A"/>
    <x v="14"/>
    <x v="6"/>
    <s v="GNR_ST_NUCL_CND_E-33"/>
    <x v="0"/>
    <x v="23"/>
    <n v="515"/>
    <n v="187975"/>
    <n v="676710"/>
  </r>
  <r>
    <x v="0"/>
    <x v="2"/>
    <x v="2"/>
    <x v="6"/>
    <x v="10"/>
    <s v="NL_A"/>
    <x v="5"/>
    <x v="3"/>
    <s v="GNR_PV_SUN"/>
    <x v="0"/>
    <x v="7"/>
    <n v="16.883927773781998"/>
    <n v="6162.6336374304401"/>
    <n v="22185.481094749601"/>
  </r>
  <r>
    <x v="0"/>
    <x v="2"/>
    <x v="2"/>
    <x v="6"/>
    <x v="10"/>
    <s v="NL_A"/>
    <x v="5"/>
    <x v="3"/>
    <s v="GNR_PV_SUN"/>
    <x v="0"/>
    <x v="8"/>
    <n v="127.105671650831"/>
    <n v="46393.5701525533"/>
    <n v="167016.852549192"/>
  </r>
  <r>
    <x v="0"/>
    <x v="2"/>
    <x v="2"/>
    <x v="6"/>
    <x v="10"/>
    <s v="NL_A"/>
    <x v="5"/>
    <x v="3"/>
    <s v="GNR_PV_SUN"/>
    <x v="0"/>
    <x v="9"/>
    <n v="293.60717477382002"/>
    <n v="107166.618792444"/>
    <n v="385799.82765279902"/>
  </r>
  <r>
    <x v="0"/>
    <x v="2"/>
    <x v="2"/>
    <x v="6"/>
    <x v="10"/>
    <s v="NL_A"/>
    <x v="5"/>
    <x v="3"/>
    <s v="GNR_PV_SUN"/>
    <x v="0"/>
    <x v="10"/>
    <n v="447.12104114774598"/>
    <n v="163199.180018927"/>
    <n v="587517.04806813796"/>
  </r>
  <r>
    <x v="0"/>
    <x v="2"/>
    <x v="2"/>
    <x v="6"/>
    <x v="10"/>
    <s v="NL_A"/>
    <x v="5"/>
    <x v="3"/>
    <s v="GNR_PV_SUN"/>
    <x v="0"/>
    <x v="11"/>
    <n v="508.33610235832998"/>
    <n v="185542.67736079"/>
    <n v="667953.63849884504"/>
  </r>
  <r>
    <x v="0"/>
    <x v="2"/>
    <x v="2"/>
    <x v="6"/>
    <x v="10"/>
    <s v="NL_A"/>
    <x v="5"/>
    <x v="3"/>
    <s v="GNR_PV_SUN"/>
    <x v="0"/>
    <x v="12"/>
    <n v="442.01257069311401"/>
    <n v="161334.58830298699"/>
    <n v="580804.51789075194"/>
  </r>
  <r>
    <x v="0"/>
    <x v="2"/>
    <x v="2"/>
    <x v="6"/>
    <x v="10"/>
    <s v="NL_A"/>
    <x v="5"/>
    <x v="3"/>
    <s v="GNR_PV_SUN"/>
    <x v="0"/>
    <x v="13"/>
    <n v="287.63286186925097"/>
    <n v="104985.994582277"/>
    <n v="377949.58049619599"/>
  </r>
  <r>
    <x v="0"/>
    <x v="2"/>
    <x v="2"/>
    <x v="6"/>
    <x v="10"/>
    <s v="NL_A"/>
    <x v="5"/>
    <x v="3"/>
    <s v="GNR_PV_SUN"/>
    <x v="0"/>
    <x v="14"/>
    <n v="145.634700079494"/>
    <n v="53156.665529015401"/>
    <n v="191363.99590445499"/>
  </r>
  <r>
    <x v="0"/>
    <x v="2"/>
    <x v="2"/>
    <x v="6"/>
    <x v="10"/>
    <s v="NL_A"/>
    <x v="5"/>
    <x v="3"/>
    <s v="GNR_PV_SUN"/>
    <x v="0"/>
    <x v="15"/>
    <n v="18.9619496536321"/>
    <n v="6921.1116235757299"/>
    <n v="24916.0018448726"/>
  </r>
  <r>
    <x v="0"/>
    <x v="2"/>
    <x v="2"/>
    <x v="6"/>
    <x v="10"/>
    <s v="NL_A"/>
    <x v="6"/>
    <x v="4"/>
    <s v="GNR_ROR_WTR"/>
    <x v="0"/>
    <x v="0"/>
    <n v="18.219178082191799"/>
    <n v="6650"/>
    <n v="23940"/>
  </r>
  <r>
    <x v="0"/>
    <x v="2"/>
    <x v="2"/>
    <x v="6"/>
    <x v="10"/>
    <s v="NL_A"/>
    <x v="6"/>
    <x v="4"/>
    <s v="GNR_ROR_WTR"/>
    <x v="0"/>
    <x v="1"/>
    <n v="18.219178082191799"/>
    <n v="6650"/>
    <n v="23940"/>
  </r>
  <r>
    <x v="0"/>
    <x v="2"/>
    <x v="2"/>
    <x v="6"/>
    <x v="10"/>
    <s v="NL_A"/>
    <x v="6"/>
    <x v="4"/>
    <s v="GNR_ROR_WTR"/>
    <x v="0"/>
    <x v="18"/>
    <n v="18.219178082191799"/>
    <n v="6650"/>
    <n v="23940"/>
  </r>
  <r>
    <x v="0"/>
    <x v="2"/>
    <x v="2"/>
    <x v="6"/>
    <x v="10"/>
    <s v="NL_A"/>
    <x v="6"/>
    <x v="4"/>
    <s v="GNR_ROR_WTR"/>
    <x v="0"/>
    <x v="2"/>
    <n v="18.219178082191799"/>
    <n v="6650"/>
    <n v="23940"/>
  </r>
  <r>
    <x v="0"/>
    <x v="2"/>
    <x v="2"/>
    <x v="6"/>
    <x v="10"/>
    <s v="NL_A"/>
    <x v="6"/>
    <x v="4"/>
    <s v="GNR_ROR_WTR"/>
    <x v="0"/>
    <x v="3"/>
    <n v="18.219178082191799"/>
    <n v="6650"/>
    <n v="23940"/>
  </r>
  <r>
    <x v="0"/>
    <x v="2"/>
    <x v="2"/>
    <x v="6"/>
    <x v="10"/>
    <s v="NL_A"/>
    <x v="6"/>
    <x v="4"/>
    <s v="GNR_ROR_WTR"/>
    <x v="0"/>
    <x v="4"/>
    <n v="18.219178082191799"/>
    <n v="6650"/>
    <n v="23940"/>
  </r>
  <r>
    <x v="0"/>
    <x v="2"/>
    <x v="2"/>
    <x v="6"/>
    <x v="10"/>
    <s v="NL_A"/>
    <x v="6"/>
    <x v="4"/>
    <s v="GNR_ROR_WTR"/>
    <x v="0"/>
    <x v="5"/>
    <n v="18.219178082191799"/>
    <n v="6650"/>
    <n v="23940"/>
  </r>
  <r>
    <x v="0"/>
    <x v="2"/>
    <x v="2"/>
    <x v="6"/>
    <x v="10"/>
    <s v="NL_A"/>
    <x v="6"/>
    <x v="4"/>
    <s v="GNR_ROR_WTR"/>
    <x v="0"/>
    <x v="6"/>
    <n v="18.219178082191799"/>
    <n v="6650"/>
    <n v="23940"/>
  </r>
  <r>
    <x v="0"/>
    <x v="2"/>
    <x v="2"/>
    <x v="6"/>
    <x v="10"/>
    <s v="NL_A"/>
    <x v="6"/>
    <x v="4"/>
    <s v="GNR_ROR_WTR"/>
    <x v="0"/>
    <x v="7"/>
    <n v="18.219178082191799"/>
    <n v="6650"/>
    <n v="23940"/>
  </r>
  <r>
    <x v="0"/>
    <x v="2"/>
    <x v="2"/>
    <x v="6"/>
    <x v="10"/>
    <s v="NL_A"/>
    <x v="6"/>
    <x v="4"/>
    <s v="GNR_ROR_WTR"/>
    <x v="0"/>
    <x v="8"/>
    <n v="18.219178082191799"/>
    <n v="6650"/>
    <n v="23940"/>
  </r>
  <r>
    <x v="0"/>
    <x v="2"/>
    <x v="2"/>
    <x v="6"/>
    <x v="10"/>
    <s v="NL_A"/>
    <x v="6"/>
    <x v="4"/>
    <s v="GNR_ROR_WTR"/>
    <x v="0"/>
    <x v="9"/>
    <n v="18.219178082191799"/>
    <n v="6650"/>
    <n v="23940"/>
  </r>
  <r>
    <x v="0"/>
    <x v="2"/>
    <x v="2"/>
    <x v="6"/>
    <x v="10"/>
    <s v="NL_A"/>
    <x v="6"/>
    <x v="4"/>
    <s v="GNR_ROR_WTR"/>
    <x v="0"/>
    <x v="10"/>
    <n v="18.219178082191799"/>
    <n v="6650"/>
    <n v="23940"/>
  </r>
  <r>
    <x v="0"/>
    <x v="2"/>
    <x v="2"/>
    <x v="6"/>
    <x v="10"/>
    <s v="NL_A"/>
    <x v="6"/>
    <x v="4"/>
    <s v="GNR_ROR_WTR"/>
    <x v="0"/>
    <x v="11"/>
    <n v="18.219178082191799"/>
    <n v="6650"/>
    <n v="23940"/>
  </r>
  <r>
    <x v="0"/>
    <x v="2"/>
    <x v="2"/>
    <x v="6"/>
    <x v="10"/>
    <s v="NL_A"/>
    <x v="6"/>
    <x v="4"/>
    <s v="GNR_ROR_WTR"/>
    <x v="0"/>
    <x v="12"/>
    <n v="18.219178082191799"/>
    <n v="6650"/>
    <n v="23940"/>
  </r>
  <r>
    <x v="0"/>
    <x v="2"/>
    <x v="2"/>
    <x v="6"/>
    <x v="10"/>
    <s v="NL_A"/>
    <x v="6"/>
    <x v="4"/>
    <s v="GNR_ROR_WTR"/>
    <x v="0"/>
    <x v="13"/>
    <n v="18.219178082191799"/>
    <n v="6650"/>
    <n v="23940"/>
  </r>
  <r>
    <x v="0"/>
    <x v="2"/>
    <x v="2"/>
    <x v="6"/>
    <x v="10"/>
    <s v="NL_A"/>
    <x v="6"/>
    <x v="4"/>
    <s v="GNR_ROR_WTR"/>
    <x v="0"/>
    <x v="14"/>
    <n v="18.219178082191799"/>
    <n v="6650"/>
    <n v="23940"/>
  </r>
  <r>
    <x v="0"/>
    <x v="2"/>
    <x v="2"/>
    <x v="6"/>
    <x v="10"/>
    <s v="NL_A"/>
    <x v="6"/>
    <x v="4"/>
    <s v="GNR_ROR_WTR"/>
    <x v="0"/>
    <x v="15"/>
    <n v="18.219178082191799"/>
    <n v="6650"/>
    <n v="23940"/>
  </r>
  <r>
    <x v="0"/>
    <x v="2"/>
    <x v="2"/>
    <x v="6"/>
    <x v="10"/>
    <s v="NL_A"/>
    <x v="6"/>
    <x v="4"/>
    <s v="GNR_ROR_WTR"/>
    <x v="0"/>
    <x v="16"/>
    <n v="18.219178082191799"/>
    <n v="6650"/>
    <n v="23940"/>
  </r>
  <r>
    <x v="0"/>
    <x v="2"/>
    <x v="2"/>
    <x v="6"/>
    <x v="10"/>
    <s v="NL_A"/>
    <x v="6"/>
    <x v="4"/>
    <s v="GNR_ROR_WTR"/>
    <x v="0"/>
    <x v="17"/>
    <n v="18.219178082191799"/>
    <n v="6650"/>
    <n v="23940"/>
  </r>
  <r>
    <x v="0"/>
    <x v="2"/>
    <x v="2"/>
    <x v="6"/>
    <x v="10"/>
    <s v="NL_A"/>
    <x v="6"/>
    <x v="4"/>
    <s v="GNR_ROR_WTR"/>
    <x v="0"/>
    <x v="19"/>
    <n v="18.219178082191799"/>
    <n v="6650"/>
    <n v="23940"/>
  </r>
  <r>
    <x v="0"/>
    <x v="2"/>
    <x v="2"/>
    <x v="6"/>
    <x v="10"/>
    <s v="NL_A"/>
    <x v="6"/>
    <x v="4"/>
    <s v="GNR_ROR_WTR"/>
    <x v="0"/>
    <x v="20"/>
    <n v="18.219178082191799"/>
    <n v="6650"/>
    <n v="23940"/>
  </r>
  <r>
    <x v="0"/>
    <x v="2"/>
    <x v="2"/>
    <x v="6"/>
    <x v="10"/>
    <s v="NL_A"/>
    <x v="6"/>
    <x v="4"/>
    <s v="GNR_ROR_WTR"/>
    <x v="0"/>
    <x v="21"/>
    <n v="18.219178082191799"/>
    <n v="6650"/>
    <n v="23940"/>
  </r>
  <r>
    <x v="0"/>
    <x v="2"/>
    <x v="2"/>
    <x v="6"/>
    <x v="10"/>
    <s v="NL_A"/>
    <x v="6"/>
    <x v="4"/>
    <s v="GNR_ROR_WTR"/>
    <x v="0"/>
    <x v="22"/>
    <n v="18.219178082191799"/>
    <n v="6650"/>
    <n v="23940"/>
  </r>
  <r>
    <x v="0"/>
    <x v="2"/>
    <x v="2"/>
    <x v="6"/>
    <x v="10"/>
    <s v="NL_A"/>
    <x v="6"/>
    <x v="4"/>
    <s v="GNR_ROR_WTR"/>
    <x v="0"/>
    <x v="23"/>
    <n v="18.219178082191799"/>
    <n v="6650"/>
    <n v="23940"/>
  </r>
  <r>
    <x v="0"/>
    <x v="2"/>
    <x v="2"/>
    <x v="6"/>
    <x v="10"/>
    <s v="NL_A"/>
    <x v="7"/>
    <x v="5"/>
    <s v="GNR_WT_WIND_OFF"/>
    <x v="0"/>
    <x v="0"/>
    <n v="189.32544433099099"/>
    <n v="69103.787180811705"/>
    <n v="248773.63385092199"/>
  </r>
  <r>
    <x v="0"/>
    <x v="2"/>
    <x v="2"/>
    <x v="6"/>
    <x v="10"/>
    <s v="NL_A"/>
    <x v="7"/>
    <x v="5"/>
    <s v="GNR_WT_WIND_OFF"/>
    <x v="0"/>
    <x v="1"/>
    <n v="225.798333093944"/>
    <n v="82416.391579289702"/>
    <n v="296699.00968544302"/>
  </r>
  <r>
    <x v="0"/>
    <x v="2"/>
    <x v="2"/>
    <x v="6"/>
    <x v="10"/>
    <s v="NL_A"/>
    <x v="7"/>
    <x v="5"/>
    <s v="GNR_WT_WIND_OFF"/>
    <x v="0"/>
    <x v="18"/>
    <n v="214.26235907157499"/>
    <n v="78205.761061124795"/>
    <n v="281540.73982004903"/>
  </r>
  <r>
    <x v="0"/>
    <x v="2"/>
    <x v="2"/>
    <x v="6"/>
    <x v="10"/>
    <s v="NL_A"/>
    <x v="7"/>
    <x v="5"/>
    <s v="GNR_WT_WIND_OFF"/>
    <x v="0"/>
    <x v="2"/>
    <n v="223.868027363907"/>
    <n v="81711.829987826102"/>
    <n v="294162.58795617399"/>
  </r>
  <r>
    <x v="0"/>
    <x v="2"/>
    <x v="2"/>
    <x v="6"/>
    <x v="10"/>
    <s v="NL_A"/>
    <x v="7"/>
    <x v="5"/>
    <s v="GNR_WT_WIND_OFF"/>
    <x v="0"/>
    <x v="3"/>
    <n v="226.40939346989501"/>
    <n v="82639.428616511694"/>
    <n v="297501.94301944203"/>
  </r>
  <r>
    <x v="0"/>
    <x v="2"/>
    <x v="2"/>
    <x v="6"/>
    <x v="10"/>
    <s v="NL_A"/>
    <x v="7"/>
    <x v="5"/>
    <s v="GNR_WT_WIND_OFF"/>
    <x v="0"/>
    <x v="4"/>
    <n v="249.05685967975899"/>
    <n v="90905.753783112101"/>
    <n v="327260.71361920401"/>
  </r>
  <r>
    <x v="0"/>
    <x v="2"/>
    <x v="2"/>
    <x v="6"/>
    <x v="10"/>
    <s v="NL_A"/>
    <x v="7"/>
    <x v="5"/>
    <s v="GNR_WT_WIND_OFF"/>
    <x v="0"/>
    <x v="5"/>
    <n v="250.487264775402"/>
    <n v="91427.851643021902"/>
    <n v="329140.26591487898"/>
  </r>
  <r>
    <x v="0"/>
    <x v="2"/>
    <x v="2"/>
    <x v="6"/>
    <x v="10"/>
    <s v="NL_A"/>
    <x v="7"/>
    <x v="5"/>
    <s v="GNR_WT_WIND_OFF"/>
    <x v="0"/>
    <x v="6"/>
    <n v="239.63382852686701"/>
    <n v="87466.347412306495"/>
    <n v="314878.85068430298"/>
  </r>
  <r>
    <x v="0"/>
    <x v="2"/>
    <x v="2"/>
    <x v="6"/>
    <x v="10"/>
    <s v="NL_A"/>
    <x v="7"/>
    <x v="5"/>
    <s v="GNR_WT_WIND_OFF"/>
    <x v="0"/>
    <x v="7"/>
    <n v="230.514172294144"/>
    <n v="84137.6728873627"/>
    <n v="302895.622394506"/>
  </r>
  <r>
    <x v="0"/>
    <x v="2"/>
    <x v="2"/>
    <x v="6"/>
    <x v="10"/>
    <s v="NL_A"/>
    <x v="7"/>
    <x v="5"/>
    <s v="GNR_WT_WIND_OFF"/>
    <x v="0"/>
    <x v="8"/>
    <n v="239.280145732612"/>
    <n v="87337.253192403397"/>
    <n v="314414.11149265198"/>
  </r>
  <r>
    <x v="0"/>
    <x v="2"/>
    <x v="2"/>
    <x v="6"/>
    <x v="10"/>
    <s v="NL_A"/>
    <x v="7"/>
    <x v="5"/>
    <s v="GNR_WT_WIND_OFF"/>
    <x v="0"/>
    <x v="9"/>
    <n v="265.01265312758198"/>
    <n v="96729.618391567594"/>
    <n v="348226.62620964297"/>
  </r>
  <r>
    <x v="0"/>
    <x v="2"/>
    <x v="2"/>
    <x v="6"/>
    <x v="10"/>
    <s v="NL_A"/>
    <x v="7"/>
    <x v="5"/>
    <s v="GNR_WT_WIND_OFF"/>
    <x v="0"/>
    <x v="10"/>
    <n v="285.18231208089099"/>
    <n v="104091.543909525"/>
    <n v="374729.55807429098"/>
  </r>
  <r>
    <x v="0"/>
    <x v="2"/>
    <x v="2"/>
    <x v="6"/>
    <x v="10"/>
    <s v="NL_A"/>
    <x v="7"/>
    <x v="5"/>
    <s v="GNR_WT_WIND_OFF"/>
    <x v="0"/>
    <x v="11"/>
    <n v="329.25321146430002"/>
    <n v="120177.42218446999"/>
    <n v="432638.71986408997"/>
  </r>
  <r>
    <x v="0"/>
    <x v="2"/>
    <x v="2"/>
    <x v="6"/>
    <x v="10"/>
    <s v="NL_A"/>
    <x v="7"/>
    <x v="5"/>
    <s v="GNR_WT_WIND_OFF"/>
    <x v="0"/>
    <x v="12"/>
    <n v="367.02534954048201"/>
    <n v="133964.25258227601"/>
    <n v="482271.309296194"/>
  </r>
  <r>
    <x v="0"/>
    <x v="2"/>
    <x v="2"/>
    <x v="6"/>
    <x v="10"/>
    <s v="NL_A"/>
    <x v="7"/>
    <x v="5"/>
    <s v="GNR_WT_WIND_OFF"/>
    <x v="0"/>
    <x v="13"/>
    <n v="431.45369295731598"/>
    <n v="157480.59792942001"/>
    <n v="566930.15254591301"/>
  </r>
  <r>
    <x v="0"/>
    <x v="2"/>
    <x v="2"/>
    <x v="6"/>
    <x v="10"/>
    <s v="NL_A"/>
    <x v="7"/>
    <x v="5"/>
    <s v="GNR_WT_WIND_OFF"/>
    <x v="0"/>
    <x v="14"/>
    <n v="428.43457430828198"/>
    <n v="156378.61962252299"/>
    <n v="562963.03064108198"/>
  </r>
  <r>
    <x v="0"/>
    <x v="2"/>
    <x v="2"/>
    <x v="6"/>
    <x v="10"/>
    <s v="NL_A"/>
    <x v="7"/>
    <x v="5"/>
    <s v="GNR_WT_WIND_OFF"/>
    <x v="0"/>
    <x v="15"/>
    <n v="391.46156871401399"/>
    <n v="142883.47258061499"/>
    <n v="514380.50129021402"/>
  </r>
  <r>
    <x v="0"/>
    <x v="2"/>
    <x v="2"/>
    <x v="6"/>
    <x v="10"/>
    <s v="NL_A"/>
    <x v="7"/>
    <x v="5"/>
    <s v="GNR_WT_WIND_OFF"/>
    <x v="0"/>
    <x v="16"/>
    <n v="356.69862583377102"/>
    <n v="130194.99842932601"/>
    <n v="468701.99434557499"/>
  </r>
  <r>
    <x v="0"/>
    <x v="2"/>
    <x v="2"/>
    <x v="6"/>
    <x v="10"/>
    <s v="NL_A"/>
    <x v="7"/>
    <x v="5"/>
    <s v="GNR_WT_WIND_OFF"/>
    <x v="0"/>
    <x v="17"/>
    <n v="346.84417419879497"/>
    <n v="126598.12358256"/>
    <n v="455753.24489721702"/>
  </r>
  <r>
    <x v="0"/>
    <x v="2"/>
    <x v="2"/>
    <x v="6"/>
    <x v="10"/>
    <s v="NL_A"/>
    <x v="7"/>
    <x v="5"/>
    <s v="GNR_WT_WIND_OFF"/>
    <x v="0"/>
    <x v="19"/>
    <n v="313.01780943319"/>
    <n v="114251.500443114"/>
    <n v="411305.40159521101"/>
  </r>
  <r>
    <x v="0"/>
    <x v="2"/>
    <x v="2"/>
    <x v="6"/>
    <x v="10"/>
    <s v="NL_A"/>
    <x v="7"/>
    <x v="5"/>
    <s v="GNR_WT_WIND_OFF"/>
    <x v="0"/>
    <x v="20"/>
    <n v="234.36778838881401"/>
    <n v="85544.242761917296"/>
    <n v="307959.27394290199"/>
  </r>
  <r>
    <x v="0"/>
    <x v="2"/>
    <x v="2"/>
    <x v="6"/>
    <x v="10"/>
    <s v="NL_A"/>
    <x v="7"/>
    <x v="5"/>
    <s v="GNR_WT_WIND_OFF"/>
    <x v="0"/>
    <x v="21"/>
    <n v="231.18523955516901"/>
    <n v="84382.612437636504"/>
    <n v="303777.40477549197"/>
  </r>
  <r>
    <x v="0"/>
    <x v="2"/>
    <x v="2"/>
    <x v="6"/>
    <x v="10"/>
    <s v="NL_A"/>
    <x v="7"/>
    <x v="5"/>
    <s v="GNR_WT_WIND_OFF"/>
    <x v="0"/>
    <x v="22"/>
    <n v="191.24635427275501"/>
    <n v="69804.919309555393"/>
    <n v="251297.709514399"/>
  </r>
  <r>
    <x v="0"/>
    <x v="2"/>
    <x v="2"/>
    <x v="6"/>
    <x v="10"/>
    <s v="NL_A"/>
    <x v="7"/>
    <x v="5"/>
    <s v="GNR_WT_WIND_OFF"/>
    <x v="0"/>
    <x v="23"/>
    <n v="176.94794107321499"/>
    <n v="64585.998491723403"/>
    <n v="232509.594570204"/>
  </r>
  <r>
    <x v="0"/>
    <x v="2"/>
    <x v="2"/>
    <x v="6"/>
    <x v="10"/>
    <s v="NL_A"/>
    <x v="7"/>
    <x v="5"/>
    <s v="GNR_WT_WIND_ONS"/>
    <x v="0"/>
    <x v="0"/>
    <n v="551.21197841821004"/>
    <n v="201192.37212264701"/>
    <n v="724292.53964152804"/>
  </r>
  <r>
    <x v="0"/>
    <x v="2"/>
    <x v="2"/>
    <x v="6"/>
    <x v="10"/>
    <s v="NL_A"/>
    <x v="7"/>
    <x v="5"/>
    <s v="GNR_WT_WIND_ONS"/>
    <x v="0"/>
    <x v="1"/>
    <n v="657.40105007044497"/>
    <n v="239951.383275712"/>
    <n v="863824.97979256499"/>
  </r>
  <r>
    <x v="0"/>
    <x v="2"/>
    <x v="2"/>
    <x v="6"/>
    <x v="10"/>
    <s v="NL_A"/>
    <x v="7"/>
    <x v="5"/>
    <s v="GNR_WT_WIND_ONS"/>
    <x v="0"/>
    <x v="18"/>
    <n v="623.81461330637899"/>
    <n v="227692.33385682901"/>
    <n v="819692.40188458306"/>
  </r>
  <r>
    <x v="0"/>
    <x v="2"/>
    <x v="2"/>
    <x v="6"/>
    <x v="10"/>
    <s v="NL_A"/>
    <x v="7"/>
    <x v="5"/>
    <s v="GNR_WT_WIND_ONS"/>
    <x v="0"/>
    <x v="2"/>
    <n v="651.78105723659405"/>
    <n v="237900.08589135701"/>
    <n v="856440.30920888402"/>
  </r>
  <r>
    <x v="0"/>
    <x v="2"/>
    <x v="2"/>
    <x v="6"/>
    <x v="10"/>
    <s v="NL_A"/>
    <x v="7"/>
    <x v="5"/>
    <s v="GNR_WT_WIND_ONS"/>
    <x v="0"/>
    <x v="3"/>
    <n v="659.18012313667202"/>
    <n v="240600.74494488499"/>
    <n v="866162.68180158699"/>
  </r>
  <r>
    <x v="0"/>
    <x v="2"/>
    <x v="2"/>
    <x v="6"/>
    <x v="10"/>
    <s v="NL_A"/>
    <x v="7"/>
    <x v="5"/>
    <s v="GNR_WT_WIND_ONS"/>
    <x v="0"/>
    <x v="4"/>
    <n v="725.11713809951095"/>
    <n v="264667.75540632202"/>
    <n v="952803.919462758"/>
  </r>
  <r>
    <x v="0"/>
    <x v="2"/>
    <x v="2"/>
    <x v="6"/>
    <x v="10"/>
    <s v="NL_A"/>
    <x v="7"/>
    <x v="5"/>
    <s v="GNR_WT_WIND_ONS"/>
    <x v="0"/>
    <x v="5"/>
    <n v="729.28169413948297"/>
    <n v="266187.81836091098"/>
    <n v="958276.14609928103"/>
  </r>
  <r>
    <x v="0"/>
    <x v="2"/>
    <x v="2"/>
    <x v="6"/>
    <x v="10"/>
    <s v="NL_A"/>
    <x v="7"/>
    <x v="5"/>
    <s v="GNR_WT_WIND_ONS"/>
    <x v="0"/>
    <x v="6"/>
    <n v="697.68243346783197"/>
    <n v="254654.08821575899"/>
    <n v="916754.71757673204"/>
  </r>
  <r>
    <x v="0"/>
    <x v="2"/>
    <x v="2"/>
    <x v="6"/>
    <x v="10"/>
    <s v="NL_A"/>
    <x v="7"/>
    <x v="5"/>
    <s v="GNR_WT_WIND_ONS"/>
    <x v="0"/>
    <x v="7"/>
    <n v="671.13099041010605"/>
    <n v="244962.81149968901"/>
    <n v="881866.12139887898"/>
  </r>
  <r>
    <x v="0"/>
    <x v="2"/>
    <x v="2"/>
    <x v="6"/>
    <x v="10"/>
    <s v="NL_A"/>
    <x v="7"/>
    <x v="5"/>
    <s v="GNR_WT_WIND_ONS"/>
    <x v="0"/>
    <x v="8"/>
    <n v="696.65270292399202"/>
    <n v="254278.236567257"/>
    <n v="915401.65164212603"/>
  </r>
  <r>
    <x v="0"/>
    <x v="2"/>
    <x v="2"/>
    <x v="6"/>
    <x v="10"/>
    <s v="NL_A"/>
    <x v="7"/>
    <x v="5"/>
    <s v="GNR_WT_WIND_ONS"/>
    <x v="0"/>
    <x v="9"/>
    <n v="771.57166778349199"/>
    <n v="281623.65874097502"/>
    <n v="1013845.1714675101"/>
  </r>
  <r>
    <x v="0"/>
    <x v="2"/>
    <x v="2"/>
    <x v="6"/>
    <x v="10"/>
    <s v="NL_A"/>
    <x v="7"/>
    <x v="5"/>
    <s v="GNR_WT_WIND_ONS"/>
    <x v="0"/>
    <x v="10"/>
    <n v="830.29466539725695"/>
    <n v="303057.55286999902"/>
    <n v="1091007.1903319999"/>
  </r>
  <r>
    <x v="0"/>
    <x v="2"/>
    <x v="2"/>
    <x v="6"/>
    <x v="10"/>
    <s v="NL_A"/>
    <x v="7"/>
    <x v="5"/>
    <s v="GNR_WT_WIND_ONS"/>
    <x v="0"/>
    <x v="11"/>
    <n v="958.60498166583704"/>
    <n v="349890.81830803101"/>
    <n v="1259606.9459089099"/>
  </r>
  <r>
    <x v="0"/>
    <x v="2"/>
    <x v="2"/>
    <x v="6"/>
    <x v="10"/>
    <s v="NL_A"/>
    <x v="7"/>
    <x v="5"/>
    <s v="GNR_WT_WIND_ONS"/>
    <x v="0"/>
    <x v="12"/>
    <n v="1068.5767555688701"/>
    <n v="390030.51578263601"/>
    <n v="1404109.85681749"/>
  </r>
  <r>
    <x v="0"/>
    <x v="2"/>
    <x v="2"/>
    <x v="6"/>
    <x v="10"/>
    <s v="NL_A"/>
    <x v="7"/>
    <x v="5"/>
    <s v="GNR_WT_WIND_ONS"/>
    <x v="0"/>
    <x v="13"/>
    <n v="1256.1567967328699"/>
    <n v="458497.23080749699"/>
    <n v="1650590.0309069899"/>
  </r>
  <r>
    <x v="0"/>
    <x v="2"/>
    <x v="2"/>
    <x v="6"/>
    <x v="10"/>
    <s v="NL_A"/>
    <x v="7"/>
    <x v="5"/>
    <s v="GNR_WT_WIND_ONS"/>
    <x v="0"/>
    <x v="14"/>
    <n v="1247.3667771478399"/>
    <n v="455288.87365896202"/>
    <n v="1639039.94517226"/>
  </r>
  <r>
    <x v="0"/>
    <x v="2"/>
    <x v="2"/>
    <x v="6"/>
    <x v="10"/>
    <s v="NL_A"/>
    <x v="7"/>
    <x v="5"/>
    <s v="GNR_WT_WIND_ONS"/>
    <x v="0"/>
    <x v="15"/>
    <n v="1139.72163925473"/>
    <n v="415998.39832797699"/>
    <n v="1497594.2339807199"/>
  </r>
  <r>
    <x v="0"/>
    <x v="2"/>
    <x v="2"/>
    <x v="6"/>
    <x v="10"/>
    <s v="NL_A"/>
    <x v="7"/>
    <x v="5"/>
    <s v="GNR_WT_WIND_ONS"/>
    <x v="0"/>
    <x v="16"/>
    <n v="1038.5109932775399"/>
    <n v="379056.51254630298"/>
    <n v="1364603.44516669"/>
  </r>
  <r>
    <x v="0"/>
    <x v="2"/>
    <x v="2"/>
    <x v="6"/>
    <x v="10"/>
    <s v="NL_A"/>
    <x v="7"/>
    <x v="5"/>
    <s v="GNR_WT_WIND_ONS"/>
    <x v="0"/>
    <x v="17"/>
    <n v="1009.820228541"/>
    <n v="368584.38341746602"/>
    <n v="1326903.7803028801"/>
  </r>
  <r>
    <x v="0"/>
    <x v="2"/>
    <x v="2"/>
    <x v="6"/>
    <x v="10"/>
    <s v="NL_A"/>
    <x v="7"/>
    <x v="5"/>
    <s v="GNR_WT_WIND_ONS"/>
    <x v="0"/>
    <x v="19"/>
    <n v="911.33638496132903"/>
    <n v="332637.780510885"/>
    <n v="1197496.0098391899"/>
  </r>
  <r>
    <x v="0"/>
    <x v="2"/>
    <x v="2"/>
    <x v="6"/>
    <x v="10"/>
    <s v="NL_A"/>
    <x v="7"/>
    <x v="5"/>
    <s v="GNR_WT_WIND_ONS"/>
    <x v="0"/>
    <x v="20"/>
    <n v="682.35060940592302"/>
    <n v="249057.97243316201"/>
    <n v="896608.70075938199"/>
  </r>
  <r>
    <x v="0"/>
    <x v="2"/>
    <x v="2"/>
    <x v="6"/>
    <x v="10"/>
    <s v="NL_A"/>
    <x v="7"/>
    <x v="5"/>
    <s v="GNR_WT_WIND_ONS"/>
    <x v="0"/>
    <x v="21"/>
    <n v="673.08477065294699"/>
    <n v="245675.94128832599"/>
    <n v="884433.38863797195"/>
  </r>
  <r>
    <x v="0"/>
    <x v="2"/>
    <x v="2"/>
    <x v="6"/>
    <x v="10"/>
    <s v="NL_A"/>
    <x v="7"/>
    <x v="5"/>
    <s v="GNR_WT_WIND_ONS"/>
    <x v="0"/>
    <x v="22"/>
    <n v="556.80461586376896"/>
    <n v="203233.68479027599"/>
    <n v="731641.26524499303"/>
  </r>
  <r>
    <x v="0"/>
    <x v="2"/>
    <x v="2"/>
    <x v="6"/>
    <x v="10"/>
    <s v="NL_A"/>
    <x v="7"/>
    <x v="5"/>
    <s v="GNR_WT_WIND_ONS"/>
    <x v="0"/>
    <x v="23"/>
    <n v="515.17546952366899"/>
    <n v="188039.04637613901"/>
    <n v="676940.56695410097"/>
  </r>
  <r>
    <x v="0"/>
    <x v="2"/>
    <x v="2"/>
    <x v="6"/>
    <x v="10"/>
    <s v="NL_A"/>
    <x v="7"/>
    <x v="5"/>
    <s v="GNR_WT_WIND_ON_LS_Y-2030"/>
    <x v="0"/>
    <x v="0"/>
    <n v="13451.6478968294"/>
    <n v="4909851.4823427498"/>
    <n v="17675465.336433899"/>
  </r>
  <r>
    <x v="0"/>
    <x v="2"/>
    <x v="2"/>
    <x v="6"/>
    <x v="10"/>
    <s v="NL_A"/>
    <x v="7"/>
    <x v="5"/>
    <s v="GNR_WT_WIND_ON_LS_Y-2030"/>
    <x v="0"/>
    <x v="1"/>
    <n v="16043.061106782099"/>
    <n v="5855717.3039754499"/>
    <n v="21080582.294311602"/>
  </r>
  <r>
    <x v="0"/>
    <x v="2"/>
    <x v="2"/>
    <x v="6"/>
    <x v="10"/>
    <s v="NL_A"/>
    <x v="7"/>
    <x v="5"/>
    <s v="GNR_WT_WIND_ON_LS_Y-2030"/>
    <x v="0"/>
    <x v="18"/>
    <n v="15223.425577895599"/>
    <n v="5556550.3359319102"/>
    <n v="20003581.2093549"/>
  </r>
  <r>
    <x v="0"/>
    <x v="2"/>
    <x v="2"/>
    <x v="6"/>
    <x v="10"/>
    <s v="NL_A"/>
    <x v="7"/>
    <x v="5"/>
    <s v="GNR_WT_WIND_ON_LS_Y-2030"/>
    <x v="0"/>
    <x v="2"/>
    <n v="15905.9121191991"/>
    <n v="5805657.9235076597"/>
    <n v="20900368.5246276"/>
  </r>
  <r>
    <x v="0"/>
    <x v="2"/>
    <x v="2"/>
    <x v="6"/>
    <x v="10"/>
    <s v="NL_A"/>
    <x v="7"/>
    <x v="5"/>
    <s v="GNR_WT_WIND_ON_LS_Y-2030"/>
    <x v="0"/>
    <x v="3"/>
    <n v="16086.4771888097"/>
    <n v="5871564.1739155296"/>
    <n v="21137631.026095901"/>
  </r>
  <r>
    <x v="0"/>
    <x v="2"/>
    <x v="2"/>
    <x v="6"/>
    <x v="10"/>
    <s v="NL_A"/>
    <x v="7"/>
    <x v="5"/>
    <s v="GNR_WT_WIND_ON_LS_Y-2030"/>
    <x v="0"/>
    <x v="4"/>
    <n v="17695.588643886102"/>
    <n v="6458889.8550184397"/>
    <n v="23252003.4780664"/>
  </r>
  <r>
    <x v="0"/>
    <x v="2"/>
    <x v="2"/>
    <x v="6"/>
    <x v="10"/>
    <s v="NL_A"/>
    <x v="7"/>
    <x v="5"/>
    <s v="GNR_WT_WIND_ON_LS_Y-2030"/>
    <x v="0"/>
    <x v="5"/>
    <n v="17797.2194931595"/>
    <n v="6495985.1150032301"/>
    <n v="23385546.414011601"/>
  </r>
  <r>
    <x v="0"/>
    <x v="2"/>
    <x v="2"/>
    <x v="6"/>
    <x v="10"/>
    <s v="NL_A"/>
    <x v="7"/>
    <x v="5"/>
    <s v="GNR_WT_WIND_ON_LS_Y-2030"/>
    <x v="0"/>
    <x v="6"/>
    <n v="17026.078543764801"/>
    <n v="6214518.6684741396"/>
    <n v="22372267.2065069"/>
  </r>
  <r>
    <x v="0"/>
    <x v="2"/>
    <x v="2"/>
    <x v="6"/>
    <x v="10"/>
    <s v="NL_A"/>
    <x v="7"/>
    <x v="5"/>
    <s v="GNR_WT_WIND_ON_LS_Y-2030"/>
    <x v="0"/>
    <x v="7"/>
    <n v="16378.123352025001"/>
    <n v="5978015.0234891102"/>
    <n v="21520854.0845608"/>
  </r>
  <r>
    <x v="0"/>
    <x v="2"/>
    <x v="2"/>
    <x v="6"/>
    <x v="10"/>
    <s v="NL_A"/>
    <x v="7"/>
    <x v="5"/>
    <s v="GNR_WT_WIND_ON_LS_Y-2030"/>
    <x v="0"/>
    <x v="8"/>
    <n v="17000.949240979899"/>
    <n v="6205346.4729576502"/>
    <n v="22339247.302647501"/>
  </r>
  <r>
    <x v="0"/>
    <x v="2"/>
    <x v="2"/>
    <x v="6"/>
    <x v="10"/>
    <s v="NL_A"/>
    <x v="7"/>
    <x v="5"/>
    <s v="GNR_WT_WIND_ON_LS_Y-2030"/>
    <x v="0"/>
    <x v="9"/>
    <n v="18829.254095632899"/>
    <n v="6872677.7449060204"/>
    <n v="24741639.881661698"/>
  </r>
  <r>
    <x v="0"/>
    <x v="2"/>
    <x v="2"/>
    <x v="6"/>
    <x v="10"/>
    <s v="NL_A"/>
    <x v="7"/>
    <x v="5"/>
    <s v="GNR_WT_WIND_ON_LS_Y-2030"/>
    <x v="0"/>
    <x v="10"/>
    <n v="20262.316362555201"/>
    <n v="7395745.4723326499"/>
    <n v="26624683.700397499"/>
  </r>
  <r>
    <x v="0"/>
    <x v="2"/>
    <x v="2"/>
    <x v="6"/>
    <x v="10"/>
    <s v="NL_A"/>
    <x v="7"/>
    <x v="5"/>
    <s v="GNR_WT_WIND_ON_LS_Y-2030"/>
    <x v="0"/>
    <x v="11"/>
    <n v="23393.5712400866"/>
    <n v="8538653.5026316196"/>
    <n v="30739152.609473798"/>
  </r>
  <r>
    <x v="0"/>
    <x v="2"/>
    <x v="2"/>
    <x v="6"/>
    <x v="10"/>
    <s v="NL_A"/>
    <x v="7"/>
    <x v="5"/>
    <s v="GNR_WT_WIND_ON_LS_Y-2030"/>
    <x v="0"/>
    <x v="12"/>
    <n v="26077.296628962202"/>
    <n v="9518213.2695712093"/>
    <n v="34265567.770456299"/>
  </r>
  <r>
    <x v="0"/>
    <x v="2"/>
    <x v="2"/>
    <x v="6"/>
    <x v="10"/>
    <s v="NL_A"/>
    <x v="7"/>
    <x v="5"/>
    <s v="GNR_WT_WIND_ON_LS_Y-2030"/>
    <x v="0"/>
    <x v="13"/>
    <n v="30654.9559778244"/>
    <n v="11189058.931905899"/>
    <n v="40280612.154861301"/>
  </r>
  <r>
    <x v="0"/>
    <x v="2"/>
    <x v="2"/>
    <x v="6"/>
    <x v="10"/>
    <s v="NL_A"/>
    <x v="7"/>
    <x v="5"/>
    <s v="GNR_WT_WIND_ON_LS_Y-2030"/>
    <x v="0"/>
    <x v="14"/>
    <n v="30440.446400577301"/>
    <n v="11110762.936210699"/>
    <n v="39998746.570358597"/>
  </r>
  <r>
    <x v="0"/>
    <x v="2"/>
    <x v="2"/>
    <x v="6"/>
    <x v="10"/>
    <s v="NL_A"/>
    <x v="7"/>
    <x v="5"/>
    <s v="GNR_WT_WIND_ON_LS_Y-2030"/>
    <x v="0"/>
    <x v="15"/>
    <n v="27813.499691438199"/>
    <n v="10151927.3873749"/>
    <n v="36546938.594549797"/>
  </r>
  <r>
    <x v="0"/>
    <x v="2"/>
    <x v="2"/>
    <x v="6"/>
    <x v="10"/>
    <s v="NL_A"/>
    <x v="7"/>
    <x v="5"/>
    <s v="GNR_WT_WIND_ON_LS_Y-2030"/>
    <x v="0"/>
    <x v="16"/>
    <n v="25343.5788145322"/>
    <n v="9250406.2673042491"/>
    <n v="33301462.562295299"/>
  </r>
  <r>
    <x v="0"/>
    <x v="2"/>
    <x v="2"/>
    <x v="6"/>
    <x v="10"/>
    <s v="NL_A"/>
    <x v="7"/>
    <x v="5"/>
    <s v="GNR_WT_WIND_ON_LS_Y-2030"/>
    <x v="0"/>
    <x v="17"/>
    <n v="24643.4161180788"/>
    <n v="8994846.8830987606"/>
    <n v="32381448.7791555"/>
  </r>
  <r>
    <x v="0"/>
    <x v="2"/>
    <x v="2"/>
    <x v="6"/>
    <x v="10"/>
    <s v="NL_A"/>
    <x v="7"/>
    <x v="5"/>
    <s v="GNR_WT_WIND_ON_LS_Y-2030"/>
    <x v="0"/>
    <x v="19"/>
    <n v="22240.039487618302"/>
    <n v="8117614.4129806897"/>
    <n v="29223411.8867305"/>
  </r>
  <r>
    <x v="0"/>
    <x v="2"/>
    <x v="2"/>
    <x v="6"/>
    <x v="10"/>
    <s v="NL_A"/>
    <x v="7"/>
    <x v="5"/>
    <s v="GNR_WT_WIND_ON_LS_Y-2030"/>
    <x v="0"/>
    <x v="20"/>
    <n v="16651.924303704898"/>
    <n v="6077952.3708523"/>
    <n v="21880628.5350683"/>
  </r>
  <r>
    <x v="0"/>
    <x v="2"/>
    <x v="2"/>
    <x v="6"/>
    <x v="10"/>
    <s v="NL_A"/>
    <x v="7"/>
    <x v="5"/>
    <s v="GNR_WT_WIND_ON_LS_Y-2030"/>
    <x v="0"/>
    <x v="21"/>
    <n v="16425.802947032898"/>
    <n v="5995418.0756669901"/>
    <n v="21583505.072401199"/>
  </r>
  <r>
    <x v="0"/>
    <x v="2"/>
    <x v="2"/>
    <x v="6"/>
    <x v="10"/>
    <s v="NL_A"/>
    <x v="7"/>
    <x v="5"/>
    <s v="GNR_WT_WIND_ON_LS_Y-2030"/>
    <x v="0"/>
    <x v="22"/>
    <n v="13588.1293099297"/>
    <n v="4959667.1981243296"/>
    <n v="17854801.9132476"/>
  </r>
  <r>
    <x v="0"/>
    <x v="2"/>
    <x v="2"/>
    <x v="6"/>
    <x v="10"/>
    <s v="NL_A"/>
    <x v="7"/>
    <x v="5"/>
    <s v="GNR_WT_WIND_ON_LS_Y-2030"/>
    <x v="0"/>
    <x v="23"/>
    <n v="12572.2213820585"/>
    <n v="4588860.8044513501"/>
    <n v="16519898.8960249"/>
  </r>
  <r>
    <x v="0"/>
    <x v="2"/>
    <x v="2"/>
    <x v="7"/>
    <x v="11"/>
    <s v="NO1_A1"/>
    <x v="2"/>
    <x v="2"/>
    <s v="GBPR_MUNIWASTE"/>
    <x v="0"/>
    <x v="0"/>
    <n v="8.1999999999999993"/>
    <n v="2993"/>
    <n v="10774.8"/>
  </r>
  <r>
    <x v="0"/>
    <x v="2"/>
    <x v="2"/>
    <x v="7"/>
    <x v="11"/>
    <s v="NO1_A1"/>
    <x v="2"/>
    <x v="2"/>
    <s v="GBPR_MUNIWASTE"/>
    <x v="0"/>
    <x v="1"/>
    <n v="8.1999999999999993"/>
    <n v="2993"/>
    <n v="10774.8"/>
  </r>
  <r>
    <x v="0"/>
    <x v="2"/>
    <x v="2"/>
    <x v="7"/>
    <x v="11"/>
    <s v="NO1_A1"/>
    <x v="2"/>
    <x v="2"/>
    <s v="GBPR_MUNIWASTE"/>
    <x v="0"/>
    <x v="18"/>
    <n v="8.1999999999999993"/>
    <n v="2993"/>
    <n v="10774.8"/>
  </r>
  <r>
    <x v="0"/>
    <x v="2"/>
    <x v="2"/>
    <x v="7"/>
    <x v="11"/>
    <s v="NO1_A1"/>
    <x v="2"/>
    <x v="2"/>
    <s v="GBPR_MUNIWASTE"/>
    <x v="0"/>
    <x v="2"/>
    <n v="8.1999999999999993"/>
    <n v="2993"/>
    <n v="10774.8"/>
  </r>
  <r>
    <x v="0"/>
    <x v="2"/>
    <x v="2"/>
    <x v="7"/>
    <x v="11"/>
    <s v="NO1_A1"/>
    <x v="2"/>
    <x v="2"/>
    <s v="GBPR_MUNIWASTE"/>
    <x v="0"/>
    <x v="3"/>
    <n v="8.1999999999999993"/>
    <n v="2993"/>
    <n v="10774.8"/>
  </r>
  <r>
    <x v="0"/>
    <x v="2"/>
    <x v="2"/>
    <x v="7"/>
    <x v="11"/>
    <s v="NO1_A1"/>
    <x v="2"/>
    <x v="2"/>
    <s v="GBPR_MUNIWASTE"/>
    <x v="0"/>
    <x v="4"/>
    <n v="8.1999999999999993"/>
    <n v="2993"/>
    <n v="10774.8"/>
  </r>
  <r>
    <x v="0"/>
    <x v="2"/>
    <x v="2"/>
    <x v="7"/>
    <x v="11"/>
    <s v="NO1_A1"/>
    <x v="2"/>
    <x v="2"/>
    <s v="GBPR_MUNIWASTE"/>
    <x v="0"/>
    <x v="5"/>
    <n v="8.1999999999999993"/>
    <n v="2993"/>
    <n v="10774.8"/>
  </r>
  <r>
    <x v="0"/>
    <x v="2"/>
    <x v="2"/>
    <x v="7"/>
    <x v="11"/>
    <s v="NO1_A1"/>
    <x v="2"/>
    <x v="2"/>
    <s v="GBPR_MUNIWASTE"/>
    <x v="0"/>
    <x v="6"/>
    <n v="8.1999999999999993"/>
    <n v="2993"/>
    <n v="10774.8"/>
  </r>
  <r>
    <x v="0"/>
    <x v="2"/>
    <x v="2"/>
    <x v="7"/>
    <x v="11"/>
    <s v="NO1_A1"/>
    <x v="2"/>
    <x v="2"/>
    <s v="GBPR_MUNIWASTE"/>
    <x v="0"/>
    <x v="7"/>
    <n v="8.1999999999999993"/>
    <n v="2993"/>
    <n v="10774.8"/>
  </r>
  <r>
    <x v="0"/>
    <x v="2"/>
    <x v="2"/>
    <x v="7"/>
    <x v="11"/>
    <s v="NO1_A1"/>
    <x v="2"/>
    <x v="2"/>
    <s v="GBPR_MUNIWASTE"/>
    <x v="0"/>
    <x v="8"/>
    <n v="8.1999999999999993"/>
    <n v="2993"/>
    <n v="10774.8"/>
  </r>
  <r>
    <x v="0"/>
    <x v="2"/>
    <x v="2"/>
    <x v="7"/>
    <x v="11"/>
    <s v="NO1_A1"/>
    <x v="2"/>
    <x v="2"/>
    <s v="GBPR_MUNIWASTE"/>
    <x v="0"/>
    <x v="9"/>
    <n v="8.1999999999999993"/>
    <n v="2993"/>
    <n v="10774.8"/>
  </r>
  <r>
    <x v="0"/>
    <x v="2"/>
    <x v="2"/>
    <x v="7"/>
    <x v="11"/>
    <s v="NO1_A1"/>
    <x v="2"/>
    <x v="2"/>
    <s v="GBPR_MUNIWASTE"/>
    <x v="0"/>
    <x v="10"/>
    <n v="8.1999999999999993"/>
    <n v="2993"/>
    <n v="10774.8"/>
  </r>
  <r>
    <x v="0"/>
    <x v="2"/>
    <x v="2"/>
    <x v="7"/>
    <x v="11"/>
    <s v="NO1_A1"/>
    <x v="2"/>
    <x v="2"/>
    <s v="GBPR_MUNIWASTE"/>
    <x v="0"/>
    <x v="11"/>
    <n v="8.1999999999999993"/>
    <n v="2993"/>
    <n v="10774.8"/>
  </r>
  <r>
    <x v="0"/>
    <x v="2"/>
    <x v="2"/>
    <x v="7"/>
    <x v="11"/>
    <s v="NO1_A1"/>
    <x v="2"/>
    <x v="2"/>
    <s v="GBPR_MUNIWASTE"/>
    <x v="0"/>
    <x v="12"/>
    <n v="8.1999999999999993"/>
    <n v="2993"/>
    <n v="10774.8"/>
  </r>
  <r>
    <x v="0"/>
    <x v="2"/>
    <x v="2"/>
    <x v="7"/>
    <x v="11"/>
    <s v="NO1_A1"/>
    <x v="2"/>
    <x v="2"/>
    <s v="GBPR_MUNIWASTE"/>
    <x v="0"/>
    <x v="13"/>
    <n v="8.1999999999999993"/>
    <n v="2993"/>
    <n v="10774.8"/>
  </r>
  <r>
    <x v="0"/>
    <x v="2"/>
    <x v="2"/>
    <x v="7"/>
    <x v="11"/>
    <s v="NO1_A1"/>
    <x v="2"/>
    <x v="2"/>
    <s v="GBPR_MUNIWASTE"/>
    <x v="0"/>
    <x v="14"/>
    <n v="8.1999999999999993"/>
    <n v="2993"/>
    <n v="10774.8"/>
  </r>
  <r>
    <x v="0"/>
    <x v="2"/>
    <x v="2"/>
    <x v="7"/>
    <x v="11"/>
    <s v="NO1_A1"/>
    <x v="2"/>
    <x v="2"/>
    <s v="GBPR_MUNIWASTE"/>
    <x v="0"/>
    <x v="15"/>
    <n v="8.1999999999999993"/>
    <n v="2993"/>
    <n v="10774.8"/>
  </r>
  <r>
    <x v="0"/>
    <x v="2"/>
    <x v="2"/>
    <x v="7"/>
    <x v="11"/>
    <s v="NO1_A1"/>
    <x v="2"/>
    <x v="2"/>
    <s v="GBPR_MUNIWASTE"/>
    <x v="0"/>
    <x v="16"/>
    <n v="8.1999999999999993"/>
    <n v="2993"/>
    <n v="10774.8"/>
  </r>
  <r>
    <x v="0"/>
    <x v="2"/>
    <x v="2"/>
    <x v="7"/>
    <x v="11"/>
    <s v="NO1_A1"/>
    <x v="2"/>
    <x v="2"/>
    <s v="GBPR_MUNIWASTE"/>
    <x v="0"/>
    <x v="17"/>
    <n v="8.1999999999999993"/>
    <n v="2993"/>
    <n v="10774.8"/>
  </r>
  <r>
    <x v="0"/>
    <x v="2"/>
    <x v="2"/>
    <x v="7"/>
    <x v="11"/>
    <s v="NO1_A1"/>
    <x v="2"/>
    <x v="2"/>
    <s v="GBPR_MUNIWASTE"/>
    <x v="0"/>
    <x v="19"/>
    <n v="8.1999999999999993"/>
    <n v="2993"/>
    <n v="10774.8"/>
  </r>
  <r>
    <x v="0"/>
    <x v="2"/>
    <x v="2"/>
    <x v="7"/>
    <x v="11"/>
    <s v="NO1_A1"/>
    <x v="2"/>
    <x v="2"/>
    <s v="GBPR_MUNIWASTE"/>
    <x v="0"/>
    <x v="20"/>
    <n v="8.1999999999999993"/>
    <n v="2993"/>
    <n v="10774.8"/>
  </r>
  <r>
    <x v="0"/>
    <x v="2"/>
    <x v="2"/>
    <x v="7"/>
    <x v="11"/>
    <s v="NO1_A1"/>
    <x v="2"/>
    <x v="2"/>
    <s v="GBPR_MUNIWASTE"/>
    <x v="0"/>
    <x v="21"/>
    <n v="8.1999999999999993"/>
    <n v="2993"/>
    <n v="10774.8"/>
  </r>
  <r>
    <x v="0"/>
    <x v="2"/>
    <x v="2"/>
    <x v="7"/>
    <x v="11"/>
    <s v="NO1_A1"/>
    <x v="2"/>
    <x v="2"/>
    <s v="GBPR_MUNIWASTE"/>
    <x v="0"/>
    <x v="22"/>
    <n v="8.1999999999999993"/>
    <n v="2993"/>
    <n v="10774.8"/>
  </r>
  <r>
    <x v="0"/>
    <x v="2"/>
    <x v="2"/>
    <x v="7"/>
    <x v="11"/>
    <s v="NO1_A1"/>
    <x v="2"/>
    <x v="2"/>
    <s v="GBPR_MUNIWASTE"/>
    <x v="0"/>
    <x v="23"/>
    <n v="8.1999999999999993"/>
    <n v="2993"/>
    <n v="10774.8"/>
  </r>
  <r>
    <x v="0"/>
    <x v="2"/>
    <x v="2"/>
    <x v="7"/>
    <x v="11"/>
    <s v="NO1_A1"/>
    <x v="6"/>
    <x v="7"/>
    <s v="GNR_RES_WTR_NOPMP_MC-01"/>
    <x v="0"/>
    <x v="0"/>
    <n v="160"/>
    <n v="58400"/>
    <n v="210240"/>
  </r>
  <r>
    <x v="0"/>
    <x v="2"/>
    <x v="2"/>
    <x v="7"/>
    <x v="11"/>
    <s v="NO1_A1"/>
    <x v="6"/>
    <x v="7"/>
    <s v="GNR_RES_WTR_NOPMP_MC-01"/>
    <x v="0"/>
    <x v="1"/>
    <n v="160"/>
    <n v="58400"/>
    <n v="210240"/>
  </r>
  <r>
    <x v="0"/>
    <x v="2"/>
    <x v="2"/>
    <x v="7"/>
    <x v="11"/>
    <s v="NO1_A1"/>
    <x v="6"/>
    <x v="7"/>
    <s v="GNR_RES_WTR_NOPMP_MC-01"/>
    <x v="0"/>
    <x v="18"/>
    <n v="160"/>
    <n v="58400"/>
    <n v="210240"/>
  </r>
  <r>
    <x v="0"/>
    <x v="2"/>
    <x v="2"/>
    <x v="7"/>
    <x v="11"/>
    <s v="NO1_A1"/>
    <x v="6"/>
    <x v="7"/>
    <s v="GNR_RES_WTR_NOPMP_MC-01"/>
    <x v="0"/>
    <x v="2"/>
    <n v="160"/>
    <n v="58400"/>
    <n v="210240"/>
  </r>
  <r>
    <x v="0"/>
    <x v="2"/>
    <x v="2"/>
    <x v="7"/>
    <x v="11"/>
    <s v="NO1_A1"/>
    <x v="6"/>
    <x v="7"/>
    <s v="GNR_RES_WTR_NOPMP_MC-01"/>
    <x v="0"/>
    <x v="3"/>
    <n v="160"/>
    <n v="58400"/>
    <n v="210240"/>
  </r>
  <r>
    <x v="0"/>
    <x v="2"/>
    <x v="2"/>
    <x v="7"/>
    <x v="11"/>
    <s v="NO1_A1"/>
    <x v="6"/>
    <x v="7"/>
    <s v="GNR_RES_WTR_NOPMP_MC-01"/>
    <x v="0"/>
    <x v="4"/>
    <n v="160"/>
    <n v="58400"/>
    <n v="210240"/>
  </r>
  <r>
    <x v="0"/>
    <x v="2"/>
    <x v="2"/>
    <x v="7"/>
    <x v="11"/>
    <s v="NO1_A1"/>
    <x v="6"/>
    <x v="7"/>
    <s v="GNR_RES_WTR_NOPMP_MC-01"/>
    <x v="0"/>
    <x v="5"/>
    <n v="160"/>
    <n v="58400"/>
    <n v="210240"/>
  </r>
  <r>
    <x v="0"/>
    <x v="2"/>
    <x v="2"/>
    <x v="7"/>
    <x v="11"/>
    <s v="NO1_A1"/>
    <x v="6"/>
    <x v="7"/>
    <s v="GNR_RES_WTR_NOPMP_MC-01"/>
    <x v="0"/>
    <x v="6"/>
    <n v="160"/>
    <n v="58400"/>
    <n v="210240"/>
  </r>
  <r>
    <x v="0"/>
    <x v="2"/>
    <x v="2"/>
    <x v="7"/>
    <x v="11"/>
    <s v="NO1_A1"/>
    <x v="6"/>
    <x v="7"/>
    <s v="GNR_RES_WTR_NOPMP_MC-01"/>
    <x v="0"/>
    <x v="7"/>
    <n v="160"/>
    <n v="58400"/>
    <n v="210240"/>
  </r>
  <r>
    <x v="0"/>
    <x v="2"/>
    <x v="2"/>
    <x v="7"/>
    <x v="11"/>
    <s v="NO1_A1"/>
    <x v="6"/>
    <x v="7"/>
    <s v="GNR_RES_WTR_NOPMP_MC-01"/>
    <x v="0"/>
    <x v="8"/>
    <n v="160"/>
    <n v="58400"/>
    <n v="210240"/>
  </r>
  <r>
    <x v="0"/>
    <x v="2"/>
    <x v="2"/>
    <x v="7"/>
    <x v="11"/>
    <s v="NO1_A1"/>
    <x v="6"/>
    <x v="7"/>
    <s v="GNR_RES_WTR_NOPMP_MC-01"/>
    <x v="0"/>
    <x v="9"/>
    <n v="160"/>
    <n v="58400"/>
    <n v="210240"/>
  </r>
  <r>
    <x v="0"/>
    <x v="2"/>
    <x v="2"/>
    <x v="7"/>
    <x v="11"/>
    <s v="NO1_A1"/>
    <x v="6"/>
    <x v="7"/>
    <s v="GNR_RES_WTR_NOPMP_MC-01"/>
    <x v="0"/>
    <x v="14"/>
    <n v="160"/>
    <n v="58400"/>
    <n v="210240"/>
  </r>
  <r>
    <x v="0"/>
    <x v="2"/>
    <x v="2"/>
    <x v="7"/>
    <x v="11"/>
    <s v="NO1_A1"/>
    <x v="6"/>
    <x v="7"/>
    <s v="GNR_RES_WTR_NOPMP_MC-01"/>
    <x v="0"/>
    <x v="15"/>
    <n v="160"/>
    <n v="58400"/>
    <n v="210240"/>
  </r>
  <r>
    <x v="0"/>
    <x v="2"/>
    <x v="2"/>
    <x v="7"/>
    <x v="11"/>
    <s v="NO1_A1"/>
    <x v="6"/>
    <x v="7"/>
    <s v="GNR_RES_WTR_NOPMP_MC-01"/>
    <x v="0"/>
    <x v="16"/>
    <n v="160"/>
    <n v="58400"/>
    <n v="210240"/>
  </r>
  <r>
    <x v="0"/>
    <x v="2"/>
    <x v="2"/>
    <x v="7"/>
    <x v="11"/>
    <s v="NO1_A1"/>
    <x v="6"/>
    <x v="7"/>
    <s v="GNR_RES_WTR_NOPMP_MC-01"/>
    <x v="0"/>
    <x v="17"/>
    <n v="160"/>
    <n v="58400"/>
    <n v="210240"/>
  </r>
  <r>
    <x v="0"/>
    <x v="2"/>
    <x v="2"/>
    <x v="7"/>
    <x v="11"/>
    <s v="NO1_A1"/>
    <x v="6"/>
    <x v="7"/>
    <s v="GNR_RES_WTR_NOPMP_MC-01"/>
    <x v="0"/>
    <x v="19"/>
    <n v="160"/>
    <n v="58400"/>
    <n v="210240"/>
  </r>
  <r>
    <x v="0"/>
    <x v="2"/>
    <x v="2"/>
    <x v="7"/>
    <x v="11"/>
    <s v="NO1_A1"/>
    <x v="6"/>
    <x v="7"/>
    <s v="GNR_RES_WTR_NOPMP_MC-01"/>
    <x v="0"/>
    <x v="20"/>
    <n v="160"/>
    <n v="58400"/>
    <n v="210240"/>
  </r>
  <r>
    <x v="0"/>
    <x v="2"/>
    <x v="2"/>
    <x v="7"/>
    <x v="11"/>
    <s v="NO1_A1"/>
    <x v="6"/>
    <x v="7"/>
    <s v="GNR_RES_WTR_NOPMP_MC-01"/>
    <x v="0"/>
    <x v="21"/>
    <n v="160"/>
    <n v="58400"/>
    <n v="210240"/>
  </r>
  <r>
    <x v="0"/>
    <x v="2"/>
    <x v="2"/>
    <x v="7"/>
    <x v="11"/>
    <s v="NO1_A1"/>
    <x v="6"/>
    <x v="7"/>
    <s v="GNR_RES_WTR_NOPMP_MC-01"/>
    <x v="0"/>
    <x v="22"/>
    <n v="160"/>
    <n v="58400"/>
    <n v="210240"/>
  </r>
  <r>
    <x v="0"/>
    <x v="2"/>
    <x v="2"/>
    <x v="7"/>
    <x v="11"/>
    <s v="NO1_A1"/>
    <x v="6"/>
    <x v="7"/>
    <s v="GNR_RES_WTR_NOPMP_MC-01"/>
    <x v="0"/>
    <x v="23"/>
    <n v="85.681230970746597"/>
    <n v="31273.649304322498"/>
    <n v="112585.13749556099"/>
  </r>
  <r>
    <x v="0"/>
    <x v="2"/>
    <x v="2"/>
    <x v="7"/>
    <x v="11"/>
    <s v="NO1_A1"/>
    <x v="6"/>
    <x v="7"/>
    <s v="GNR_RES_WTR_NOPMP_MC-02"/>
    <x v="0"/>
    <x v="0"/>
    <n v="160"/>
    <n v="58400"/>
    <n v="210240"/>
  </r>
  <r>
    <x v="0"/>
    <x v="2"/>
    <x v="2"/>
    <x v="7"/>
    <x v="11"/>
    <s v="NO1_A1"/>
    <x v="6"/>
    <x v="7"/>
    <s v="GNR_RES_WTR_NOPMP_MC-02"/>
    <x v="0"/>
    <x v="1"/>
    <n v="157.33562878031501"/>
    <n v="57427.504504814897"/>
    <n v="206739.016217333"/>
  </r>
  <r>
    <x v="0"/>
    <x v="2"/>
    <x v="2"/>
    <x v="7"/>
    <x v="11"/>
    <s v="NO1_A1"/>
    <x v="6"/>
    <x v="7"/>
    <s v="GNR_RES_WTR_NOPMP_MC-02"/>
    <x v="0"/>
    <x v="18"/>
    <n v="160"/>
    <n v="58400"/>
    <n v="210240"/>
  </r>
  <r>
    <x v="0"/>
    <x v="2"/>
    <x v="2"/>
    <x v="7"/>
    <x v="11"/>
    <s v="NO1_A1"/>
    <x v="6"/>
    <x v="7"/>
    <s v="GNR_RES_WTR_NOPMP_MC-02"/>
    <x v="0"/>
    <x v="2"/>
    <n v="160"/>
    <n v="58400"/>
    <n v="210240"/>
  </r>
  <r>
    <x v="0"/>
    <x v="2"/>
    <x v="2"/>
    <x v="7"/>
    <x v="11"/>
    <s v="NO1_A1"/>
    <x v="6"/>
    <x v="7"/>
    <s v="GNR_RES_WTR_NOPMP_MC-02"/>
    <x v="0"/>
    <x v="3"/>
    <n v="160"/>
    <n v="58400"/>
    <n v="210240"/>
  </r>
  <r>
    <x v="0"/>
    <x v="2"/>
    <x v="2"/>
    <x v="7"/>
    <x v="11"/>
    <s v="NO1_A1"/>
    <x v="6"/>
    <x v="7"/>
    <s v="GNR_RES_WTR_NOPMP_MC-02"/>
    <x v="0"/>
    <x v="4"/>
    <n v="160"/>
    <n v="58400"/>
    <n v="210240"/>
  </r>
  <r>
    <x v="0"/>
    <x v="2"/>
    <x v="2"/>
    <x v="7"/>
    <x v="11"/>
    <s v="NO1_A1"/>
    <x v="6"/>
    <x v="7"/>
    <s v="GNR_RES_WTR_NOPMP_MC-02"/>
    <x v="0"/>
    <x v="5"/>
    <n v="160"/>
    <n v="58400"/>
    <n v="210240"/>
  </r>
  <r>
    <x v="0"/>
    <x v="2"/>
    <x v="2"/>
    <x v="7"/>
    <x v="11"/>
    <s v="NO1_A1"/>
    <x v="6"/>
    <x v="7"/>
    <s v="GNR_RES_WTR_NOPMP_MC-02"/>
    <x v="0"/>
    <x v="6"/>
    <n v="160"/>
    <n v="58400"/>
    <n v="210240"/>
  </r>
  <r>
    <x v="0"/>
    <x v="2"/>
    <x v="2"/>
    <x v="7"/>
    <x v="11"/>
    <s v="NO1_A1"/>
    <x v="6"/>
    <x v="7"/>
    <s v="GNR_RES_WTR_NOPMP_MC-02"/>
    <x v="0"/>
    <x v="7"/>
    <n v="160"/>
    <n v="58400"/>
    <n v="210240"/>
  </r>
  <r>
    <x v="0"/>
    <x v="2"/>
    <x v="2"/>
    <x v="7"/>
    <x v="11"/>
    <s v="NO1_A1"/>
    <x v="6"/>
    <x v="7"/>
    <s v="GNR_RES_WTR_NOPMP_MC-02"/>
    <x v="0"/>
    <x v="8"/>
    <n v="160"/>
    <n v="58400"/>
    <n v="210240"/>
  </r>
  <r>
    <x v="0"/>
    <x v="2"/>
    <x v="2"/>
    <x v="7"/>
    <x v="11"/>
    <s v="NO1_A1"/>
    <x v="6"/>
    <x v="7"/>
    <s v="GNR_RES_WTR_NOPMP_MC-02"/>
    <x v="0"/>
    <x v="9"/>
    <n v="160"/>
    <n v="58400"/>
    <n v="210240"/>
  </r>
  <r>
    <x v="0"/>
    <x v="2"/>
    <x v="2"/>
    <x v="7"/>
    <x v="11"/>
    <s v="NO1_A1"/>
    <x v="6"/>
    <x v="7"/>
    <s v="GNR_RES_WTR_NOPMP_MC-02"/>
    <x v="0"/>
    <x v="14"/>
    <n v="160"/>
    <n v="58400"/>
    <n v="210240"/>
  </r>
  <r>
    <x v="0"/>
    <x v="2"/>
    <x v="2"/>
    <x v="7"/>
    <x v="11"/>
    <s v="NO1_A1"/>
    <x v="6"/>
    <x v="7"/>
    <s v="GNR_RES_WTR_NOPMP_MC-02"/>
    <x v="0"/>
    <x v="15"/>
    <n v="160"/>
    <n v="58400"/>
    <n v="210240"/>
  </r>
  <r>
    <x v="0"/>
    <x v="2"/>
    <x v="2"/>
    <x v="7"/>
    <x v="11"/>
    <s v="NO1_A1"/>
    <x v="6"/>
    <x v="7"/>
    <s v="GNR_RES_WTR_NOPMP_MC-02"/>
    <x v="0"/>
    <x v="16"/>
    <n v="160"/>
    <n v="58400"/>
    <n v="210240"/>
  </r>
  <r>
    <x v="0"/>
    <x v="2"/>
    <x v="2"/>
    <x v="7"/>
    <x v="11"/>
    <s v="NO1_A1"/>
    <x v="6"/>
    <x v="7"/>
    <s v="GNR_RES_WTR_NOPMP_MC-02"/>
    <x v="0"/>
    <x v="17"/>
    <n v="160"/>
    <n v="58400"/>
    <n v="210240"/>
  </r>
  <r>
    <x v="0"/>
    <x v="2"/>
    <x v="2"/>
    <x v="7"/>
    <x v="11"/>
    <s v="NO1_A1"/>
    <x v="6"/>
    <x v="7"/>
    <s v="GNR_RES_WTR_NOPMP_MC-02"/>
    <x v="0"/>
    <x v="19"/>
    <n v="160"/>
    <n v="58400"/>
    <n v="210240"/>
  </r>
  <r>
    <x v="0"/>
    <x v="2"/>
    <x v="2"/>
    <x v="7"/>
    <x v="11"/>
    <s v="NO1_A1"/>
    <x v="6"/>
    <x v="7"/>
    <s v="GNR_RES_WTR_NOPMP_MC-02"/>
    <x v="0"/>
    <x v="20"/>
    <n v="160"/>
    <n v="58400"/>
    <n v="210240"/>
  </r>
  <r>
    <x v="0"/>
    <x v="2"/>
    <x v="2"/>
    <x v="7"/>
    <x v="11"/>
    <s v="NO1_A1"/>
    <x v="6"/>
    <x v="7"/>
    <s v="GNR_RES_WTR_NOPMP_MC-02"/>
    <x v="0"/>
    <x v="21"/>
    <n v="160"/>
    <n v="58400"/>
    <n v="210240"/>
  </r>
  <r>
    <x v="0"/>
    <x v="2"/>
    <x v="2"/>
    <x v="7"/>
    <x v="11"/>
    <s v="NO1_A1"/>
    <x v="6"/>
    <x v="7"/>
    <s v="GNR_RES_WTR_NOPMP_MC-03"/>
    <x v="0"/>
    <x v="0"/>
    <n v="160"/>
    <n v="58400"/>
    <n v="210240"/>
  </r>
  <r>
    <x v="0"/>
    <x v="2"/>
    <x v="2"/>
    <x v="7"/>
    <x v="11"/>
    <s v="NO1_A1"/>
    <x v="6"/>
    <x v="7"/>
    <s v="GNR_RES_WTR_NOPMP_MC-03"/>
    <x v="0"/>
    <x v="2"/>
    <n v="131.37764236669099"/>
    <n v="47952.839463842298"/>
    <n v="172630.222069832"/>
  </r>
  <r>
    <x v="0"/>
    <x v="2"/>
    <x v="2"/>
    <x v="7"/>
    <x v="11"/>
    <s v="NO1_A1"/>
    <x v="6"/>
    <x v="7"/>
    <s v="GNR_RES_WTR_NOPMP_MC-03"/>
    <x v="0"/>
    <x v="3"/>
    <n v="160"/>
    <n v="58400"/>
    <n v="210240"/>
  </r>
  <r>
    <x v="0"/>
    <x v="2"/>
    <x v="2"/>
    <x v="7"/>
    <x v="11"/>
    <s v="NO1_A1"/>
    <x v="6"/>
    <x v="7"/>
    <s v="GNR_RES_WTR_NOPMP_MC-03"/>
    <x v="0"/>
    <x v="4"/>
    <n v="160"/>
    <n v="58400"/>
    <n v="210240"/>
  </r>
  <r>
    <x v="0"/>
    <x v="2"/>
    <x v="2"/>
    <x v="7"/>
    <x v="11"/>
    <s v="NO1_A1"/>
    <x v="6"/>
    <x v="7"/>
    <s v="GNR_RES_WTR_NOPMP_MC-03"/>
    <x v="0"/>
    <x v="5"/>
    <n v="160"/>
    <n v="58400"/>
    <n v="210240"/>
  </r>
  <r>
    <x v="0"/>
    <x v="2"/>
    <x v="2"/>
    <x v="7"/>
    <x v="11"/>
    <s v="NO1_A1"/>
    <x v="6"/>
    <x v="7"/>
    <s v="GNR_RES_WTR_NOPMP_MC-03"/>
    <x v="0"/>
    <x v="6"/>
    <n v="160"/>
    <n v="58400"/>
    <n v="210240"/>
  </r>
  <r>
    <x v="0"/>
    <x v="2"/>
    <x v="2"/>
    <x v="7"/>
    <x v="11"/>
    <s v="NO1_A1"/>
    <x v="6"/>
    <x v="7"/>
    <s v="GNR_RES_WTR_NOPMP_MC-03"/>
    <x v="0"/>
    <x v="7"/>
    <n v="160"/>
    <n v="58400"/>
    <n v="210240"/>
  </r>
  <r>
    <x v="0"/>
    <x v="2"/>
    <x v="2"/>
    <x v="7"/>
    <x v="11"/>
    <s v="NO1_A1"/>
    <x v="6"/>
    <x v="7"/>
    <s v="GNR_RES_WTR_NOPMP_MC-03"/>
    <x v="0"/>
    <x v="8"/>
    <n v="160"/>
    <n v="58400"/>
    <n v="210240"/>
  </r>
  <r>
    <x v="0"/>
    <x v="2"/>
    <x v="2"/>
    <x v="7"/>
    <x v="11"/>
    <s v="NO1_A1"/>
    <x v="6"/>
    <x v="7"/>
    <s v="GNR_RES_WTR_NOPMP_MC-03"/>
    <x v="0"/>
    <x v="15"/>
    <n v="160"/>
    <n v="58400"/>
    <n v="210240"/>
  </r>
  <r>
    <x v="0"/>
    <x v="2"/>
    <x v="2"/>
    <x v="7"/>
    <x v="11"/>
    <s v="NO1_A1"/>
    <x v="6"/>
    <x v="7"/>
    <s v="GNR_RES_WTR_NOPMP_MC-03"/>
    <x v="0"/>
    <x v="16"/>
    <n v="160"/>
    <n v="58400"/>
    <n v="210240"/>
  </r>
  <r>
    <x v="0"/>
    <x v="2"/>
    <x v="2"/>
    <x v="7"/>
    <x v="11"/>
    <s v="NO1_A1"/>
    <x v="6"/>
    <x v="7"/>
    <s v="GNR_RES_WTR_NOPMP_MC-03"/>
    <x v="0"/>
    <x v="17"/>
    <n v="160"/>
    <n v="58400"/>
    <n v="210240"/>
  </r>
  <r>
    <x v="0"/>
    <x v="2"/>
    <x v="2"/>
    <x v="7"/>
    <x v="11"/>
    <s v="NO1_A1"/>
    <x v="6"/>
    <x v="7"/>
    <s v="GNR_RES_WTR_NOPMP_MC-03"/>
    <x v="0"/>
    <x v="20"/>
    <n v="160"/>
    <n v="58400"/>
    <n v="210240"/>
  </r>
  <r>
    <x v="0"/>
    <x v="2"/>
    <x v="2"/>
    <x v="7"/>
    <x v="11"/>
    <s v="NO1_A1"/>
    <x v="6"/>
    <x v="7"/>
    <s v="GNR_RES_WTR_NOPMP_MC-04"/>
    <x v="0"/>
    <x v="4"/>
    <n v="160"/>
    <n v="58400"/>
    <n v="210240"/>
  </r>
  <r>
    <x v="0"/>
    <x v="2"/>
    <x v="2"/>
    <x v="7"/>
    <x v="11"/>
    <s v="NO1_A1"/>
    <x v="6"/>
    <x v="7"/>
    <s v="GNR_RES_WTR_NOPMP_MC-04"/>
    <x v="0"/>
    <x v="5"/>
    <n v="160"/>
    <n v="58400"/>
    <n v="210240"/>
  </r>
  <r>
    <x v="0"/>
    <x v="2"/>
    <x v="2"/>
    <x v="7"/>
    <x v="11"/>
    <s v="NO1_A1"/>
    <x v="6"/>
    <x v="7"/>
    <s v="GNR_RES_WTR_NOPMP_MC-04"/>
    <x v="0"/>
    <x v="6"/>
    <n v="160"/>
    <n v="58400"/>
    <n v="210240"/>
  </r>
  <r>
    <x v="0"/>
    <x v="2"/>
    <x v="2"/>
    <x v="7"/>
    <x v="11"/>
    <s v="NO1_A1"/>
    <x v="6"/>
    <x v="7"/>
    <s v="GNR_RES_WTR_NOPMP_MC-04"/>
    <x v="0"/>
    <x v="7"/>
    <n v="160"/>
    <n v="58400"/>
    <n v="210240"/>
  </r>
  <r>
    <x v="0"/>
    <x v="2"/>
    <x v="2"/>
    <x v="7"/>
    <x v="11"/>
    <s v="NO1_A1"/>
    <x v="6"/>
    <x v="7"/>
    <s v="GNR_RES_WTR_NOPMP_MC-04"/>
    <x v="0"/>
    <x v="8"/>
    <n v="160"/>
    <n v="58400"/>
    <n v="210240"/>
  </r>
  <r>
    <x v="0"/>
    <x v="2"/>
    <x v="2"/>
    <x v="7"/>
    <x v="11"/>
    <s v="NO1_A1"/>
    <x v="6"/>
    <x v="7"/>
    <s v="GNR_RES_WTR_NOPMP_MC-04"/>
    <x v="0"/>
    <x v="15"/>
    <n v="160"/>
    <n v="58400"/>
    <n v="210240"/>
  </r>
  <r>
    <x v="0"/>
    <x v="2"/>
    <x v="2"/>
    <x v="7"/>
    <x v="11"/>
    <s v="NO1_A1"/>
    <x v="6"/>
    <x v="7"/>
    <s v="GNR_RES_WTR_NOPMP_MC-04"/>
    <x v="0"/>
    <x v="16"/>
    <n v="160"/>
    <n v="58400"/>
    <n v="210240"/>
  </r>
  <r>
    <x v="0"/>
    <x v="2"/>
    <x v="2"/>
    <x v="7"/>
    <x v="11"/>
    <s v="NO1_A1"/>
    <x v="6"/>
    <x v="7"/>
    <s v="GNR_RES_WTR_NOPMP_MC-04"/>
    <x v="0"/>
    <x v="17"/>
    <n v="160"/>
    <n v="58400"/>
    <n v="210240"/>
  </r>
  <r>
    <x v="0"/>
    <x v="2"/>
    <x v="2"/>
    <x v="7"/>
    <x v="11"/>
    <s v="NO1_A1"/>
    <x v="6"/>
    <x v="7"/>
    <s v="GNR_RES_WTR_NOPMP_MC-05"/>
    <x v="0"/>
    <x v="5"/>
    <n v="160"/>
    <n v="58400"/>
    <n v="210240"/>
  </r>
  <r>
    <x v="0"/>
    <x v="2"/>
    <x v="2"/>
    <x v="7"/>
    <x v="11"/>
    <s v="NO1_A1"/>
    <x v="6"/>
    <x v="7"/>
    <s v="GNR_RES_WTR_NOPMP_MC-05"/>
    <x v="0"/>
    <x v="6"/>
    <n v="160"/>
    <n v="58400"/>
    <n v="210240"/>
  </r>
  <r>
    <x v="0"/>
    <x v="2"/>
    <x v="2"/>
    <x v="7"/>
    <x v="11"/>
    <s v="NO1_A1"/>
    <x v="6"/>
    <x v="7"/>
    <s v="GNR_RES_WTR_NOPMP_MC-05"/>
    <x v="0"/>
    <x v="7"/>
    <n v="160"/>
    <n v="58400"/>
    <n v="210240"/>
  </r>
  <r>
    <x v="0"/>
    <x v="2"/>
    <x v="2"/>
    <x v="7"/>
    <x v="11"/>
    <s v="NO1_A1"/>
    <x v="6"/>
    <x v="7"/>
    <s v="GNR_RES_WTR_NOPMP_MC-05"/>
    <x v="0"/>
    <x v="8"/>
    <n v="160"/>
    <n v="58400"/>
    <n v="210240"/>
  </r>
  <r>
    <x v="0"/>
    <x v="2"/>
    <x v="2"/>
    <x v="7"/>
    <x v="11"/>
    <s v="NO1_A1"/>
    <x v="6"/>
    <x v="7"/>
    <s v="GNR_RES_WTR_NOPMP_MC-05"/>
    <x v="0"/>
    <x v="15"/>
    <n v="160"/>
    <n v="58400"/>
    <n v="210240"/>
  </r>
  <r>
    <x v="0"/>
    <x v="2"/>
    <x v="2"/>
    <x v="7"/>
    <x v="11"/>
    <s v="NO1_A1"/>
    <x v="6"/>
    <x v="7"/>
    <s v="GNR_RES_WTR_NOPMP_MC-05"/>
    <x v="0"/>
    <x v="16"/>
    <n v="160"/>
    <n v="58400"/>
    <n v="210240"/>
  </r>
  <r>
    <x v="0"/>
    <x v="2"/>
    <x v="2"/>
    <x v="7"/>
    <x v="11"/>
    <s v="NO1_A1"/>
    <x v="6"/>
    <x v="7"/>
    <s v="GNR_RES_WTR_NOPMP_MC-05"/>
    <x v="0"/>
    <x v="17"/>
    <n v="160"/>
    <n v="58400"/>
    <n v="210240"/>
  </r>
  <r>
    <x v="0"/>
    <x v="2"/>
    <x v="2"/>
    <x v="7"/>
    <x v="11"/>
    <s v="NO1_A1"/>
    <x v="6"/>
    <x v="7"/>
    <s v="GNR_RES_WTR_NOPMP_MC-06"/>
    <x v="0"/>
    <x v="5"/>
    <n v="160"/>
    <n v="58400"/>
    <n v="210240"/>
  </r>
  <r>
    <x v="0"/>
    <x v="2"/>
    <x v="2"/>
    <x v="7"/>
    <x v="11"/>
    <s v="NO1_A1"/>
    <x v="6"/>
    <x v="7"/>
    <s v="GNR_RES_WTR_NOPMP_MC-06"/>
    <x v="0"/>
    <x v="6"/>
    <n v="160"/>
    <n v="58400"/>
    <n v="210240"/>
  </r>
  <r>
    <x v="0"/>
    <x v="2"/>
    <x v="2"/>
    <x v="7"/>
    <x v="11"/>
    <s v="NO1_A1"/>
    <x v="6"/>
    <x v="7"/>
    <s v="GNR_RES_WTR_NOPMP_MC-06"/>
    <x v="0"/>
    <x v="7"/>
    <n v="160"/>
    <n v="58400"/>
    <n v="210240"/>
  </r>
  <r>
    <x v="0"/>
    <x v="2"/>
    <x v="2"/>
    <x v="7"/>
    <x v="11"/>
    <s v="NO1_A1"/>
    <x v="6"/>
    <x v="7"/>
    <s v="GNR_RES_WTR_NOPMP_MC-06"/>
    <x v="0"/>
    <x v="8"/>
    <n v="160"/>
    <n v="58400"/>
    <n v="210240"/>
  </r>
  <r>
    <x v="0"/>
    <x v="2"/>
    <x v="2"/>
    <x v="7"/>
    <x v="11"/>
    <s v="NO1_A1"/>
    <x v="6"/>
    <x v="7"/>
    <s v="GNR_RES_WTR_NOPMP_MC-06"/>
    <x v="0"/>
    <x v="15"/>
    <n v="160"/>
    <n v="58400"/>
    <n v="210240"/>
  </r>
  <r>
    <x v="0"/>
    <x v="2"/>
    <x v="2"/>
    <x v="7"/>
    <x v="11"/>
    <s v="NO1_A1"/>
    <x v="6"/>
    <x v="7"/>
    <s v="GNR_RES_WTR_NOPMP_MC-06"/>
    <x v="0"/>
    <x v="16"/>
    <n v="160"/>
    <n v="58400"/>
    <n v="210240"/>
  </r>
  <r>
    <x v="0"/>
    <x v="2"/>
    <x v="2"/>
    <x v="7"/>
    <x v="11"/>
    <s v="NO1_A1"/>
    <x v="6"/>
    <x v="7"/>
    <s v="GNR_RES_WTR_NOPMP_MC-07"/>
    <x v="0"/>
    <x v="5"/>
    <n v="7.8094543447454896"/>
    <n v="2850.4508358321"/>
    <n v="10261.623008995601"/>
  </r>
  <r>
    <x v="0"/>
    <x v="2"/>
    <x v="2"/>
    <x v="7"/>
    <x v="11"/>
    <s v="NO1_A1"/>
    <x v="6"/>
    <x v="7"/>
    <s v="GNR_RES_WTR_NOPMP_MC-07"/>
    <x v="0"/>
    <x v="6"/>
    <n v="160"/>
    <n v="58400"/>
    <n v="210240"/>
  </r>
  <r>
    <x v="0"/>
    <x v="2"/>
    <x v="2"/>
    <x v="7"/>
    <x v="11"/>
    <s v="NO1_A1"/>
    <x v="6"/>
    <x v="7"/>
    <s v="GNR_RES_WTR_NOPMP_MC-07"/>
    <x v="0"/>
    <x v="7"/>
    <n v="160"/>
    <n v="58400"/>
    <n v="210240"/>
  </r>
  <r>
    <x v="0"/>
    <x v="2"/>
    <x v="2"/>
    <x v="7"/>
    <x v="11"/>
    <s v="NO1_A1"/>
    <x v="6"/>
    <x v="7"/>
    <s v="GNR_RES_WTR_NOPMP_MC-07"/>
    <x v="0"/>
    <x v="15"/>
    <n v="160"/>
    <n v="58400"/>
    <n v="210240"/>
  </r>
  <r>
    <x v="0"/>
    <x v="2"/>
    <x v="2"/>
    <x v="7"/>
    <x v="11"/>
    <s v="NO1_A1"/>
    <x v="6"/>
    <x v="7"/>
    <s v="GNR_RES_WTR_NOPMP_MC-07"/>
    <x v="0"/>
    <x v="16"/>
    <n v="160"/>
    <n v="58400"/>
    <n v="210240"/>
  </r>
  <r>
    <x v="0"/>
    <x v="2"/>
    <x v="2"/>
    <x v="7"/>
    <x v="11"/>
    <s v="NO1_A1"/>
    <x v="6"/>
    <x v="7"/>
    <s v="GNR_RES_WTR_NOPMP_MC-08"/>
    <x v="0"/>
    <x v="6"/>
    <n v="160"/>
    <n v="58400"/>
    <n v="210240"/>
  </r>
  <r>
    <x v="0"/>
    <x v="2"/>
    <x v="2"/>
    <x v="7"/>
    <x v="11"/>
    <s v="NO1_A1"/>
    <x v="6"/>
    <x v="7"/>
    <s v="GNR_RES_WTR_NOPMP_MC-08"/>
    <x v="0"/>
    <x v="7"/>
    <n v="160"/>
    <n v="58400"/>
    <n v="210240"/>
  </r>
  <r>
    <x v="0"/>
    <x v="2"/>
    <x v="2"/>
    <x v="7"/>
    <x v="11"/>
    <s v="NO1_A1"/>
    <x v="6"/>
    <x v="7"/>
    <s v="GNR_RES_WTR_NOPMP_MC-08"/>
    <x v="0"/>
    <x v="15"/>
    <n v="160"/>
    <n v="58400"/>
    <n v="210240"/>
  </r>
  <r>
    <x v="0"/>
    <x v="2"/>
    <x v="2"/>
    <x v="7"/>
    <x v="11"/>
    <s v="NO1_A1"/>
    <x v="6"/>
    <x v="7"/>
    <s v="GNR_RES_WTR_NOPMP_MC-08"/>
    <x v="0"/>
    <x v="16"/>
    <n v="160"/>
    <n v="58400"/>
    <n v="210240"/>
  </r>
  <r>
    <x v="0"/>
    <x v="2"/>
    <x v="2"/>
    <x v="7"/>
    <x v="11"/>
    <s v="NO1_A1"/>
    <x v="6"/>
    <x v="7"/>
    <s v="GNR_RES_WTR_NOPMP_MC-09"/>
    <x v="0"/>
    <x v="6"/>
    <n v="160"/>
    <n v="58400"/>
    <n v="210240"/>
  </r>
  <r>
    <x v="0"/>
    <x v="2"/>
    <x v="2"/>
    <x v="7"/>
    <x v="11"/>
    <s v="NO1_A1"/>
    <x v="6"/>
    <x v="7"/>
    <s v="GNR_RES_WTR_NOPMP_MC-09"/>
    <x v="0"/>
    <x v="7"/>
    <n v="160"/>
    <n v="58400"/>
    <n v="210240"/>
  </r>
  <r>
    <x v="0"/>
    <x v="2"/>
    <x v="2"/>
    <x v="7"/>
    <x v="11"/>
    <s v="NO1_A1"/>
    <x v="6"/>
    <x v="7"/>
    <s v="GNR_RES_WTR_NOPMP_MC-09"/>
    <x v="0"/>
    <x v="16"/>
    <n v="46.447099925708699"/>
    <n v="16953.1914728837"/>
    <n v="61031.489302381196"/>
  </r>
  <r>
    <x v="0"/>
    <x v="2"/>
    <x v="2"/>
    <x v="7"/>
    <x v="11"/>
    <s v="NO1_A1"/>
    <x v="6"/>
    <x v="7"/>
    <s v="GNR_RES_WTR_NOPMP_MC-10"/>
    <x v="0"/>
    <x v="6"/>
    <n v="160"/>
    <n v="58400"/>
    <n v="210240"/>
  </r>
  <r>
    <x v="0"/>
    <x v="2"/>
    <x v="2"/>
    <x v="7"/>
    <x v="11"/>
    <s v="NO1_A1"/>
    <x v="6"/>
    <x v="7"/>
    <s v="GNR_RES_WTR_NOPMP_MC-10"/>
    <x v="0"/>
    <x v="7"/>
    <n v="160"/>
    <n v="58400"/>
    <n v="210240"/>
  </r>
  <r>
    <x v="0"/>
    <x v="2"/>
    <x v="2"/>
    <x v="7"/>
    <x v="11"/>
    <s v="NO1_A1"/>
    <x v="6"/>
    <x v="4"/>
    <s v="GNR_ROR_WTR"/>
    <x v="0"/>
    <x v="0"/>
    <n v="1002.86271057692"/>
    <n v="366044.88936057501"/>
    <n v="1317761.6016980701"/>
  </r>
  <r>
    <x v="0"/>
    <x v="2"/>
    <x v="2"/>
    <x v="7"/>
    <x v="11"/>
    <s v="NO1_A1"/>
    <x v="6"/>
    <x v="4"/>
    <s v="GNR_ROR_WTR"/>
    <x v="0"/>
    <x v="1"/>
    <n v="1002.86271057692"/>
    <n v="366044.88936057501"/>
    <n v="1317761.6016980701"/>
  </r>
  <r>
    <x v="0"/>
    <x v="2"/>
    <x v="2"/>
    <x v="7"/>
    <x v="11"/>
    <s v="NO1_A1"/>
    <x v="6"/>
    <x v="4"/>
    <s v="GNR_ROR_WTR"/>
    <x v="0"/>
    <x v="18"/>
    <n v="1002.86271057692"/>
    <n v="366044.88936057501"/>
    <n v="1317761.6016980701"/>
  </r>
  <r>
    <x v="0"/>
    <x v="2"/>
    <x v="2"/>
    <x v="7"/>
    <x v="11"/>
    <s v="NO1_A1"/>
    <x v="6"/>
    <x v="4"/>
    <s v="GNR_ROR_WTR"/>
    <x v="0"/>
    <x v="2"/>
    <n v="1002.86271057692"/>
    <n v="366044.88936057501"/>
    <n v="1317761.6016980701"/>
  </r>
  <r>
    <x v="0"/>
    <x v="2"/>
    <x v="2"/>
    <x v="7"/>
    <x v="11"/>
    <s v="NO1_A1"/>
    <x v="6"/>
    <x v="4"/>
    <s v="GNR_ROR_WTR"/>
    <x v="0"/>
    <x v="3"/>
    <n v="1002.86271057692"/>
    <n v="366044.88936057501"/>
    <n v="1317761.6016980701"/>
  </r>
  <r>
    <x v="0"/>
    <x v="2"/>
    <x v="2"/>
    <x v="7"/>
    <x v="11"/>
    <s v="NO1_A1"/>
    <x v="6"/>
    <x v="4"/>
    <s v="GNR_ROR_WTR"/>
    <x v="0"/>
    <x v="4"/>
    <n v="1002.86271057692"/>
    <n v="366044.88936057501"/>
    <n v="1317761.6016980701"/>
  </r>
  <r>
    <x v="0"/>
    <x v="2"/>
    <x v="2"/>
    <x v="7"/>
    <x v="11"/>
    <s v="NO1_A1"/>
    <x v="6"/>
    <x v="4"/>
    <s v="GNR_ROR_WTR"/>
    <x v="0"/>
    <x v="5"/>
    <n v="1002.86271057692"/>
    <n v="366044.88936057501"/>
    <n v="1317761.6016980701"/>
  </r>
  <r>
    <x v="0"/>
    <x v="2"/>
    <x v="2"/>
    <x v="7"/>
    <x v="11"/>
    <s v="NO1_A1"/>
    <x v="6"/>
    <x v="4"/>
    <s v="GNR_ROR_WTR"/>
    <x v="0"/>
    <x v="6"/>
    <n v="1002.86271057692"/>
    <n v="366044.88936057501"/>
    <n v="1317761.6016980701"/>
  </r>
  <r>
    <x v="0"/>
    <x v="2"/>
    <x v="2"/>
    <x v="7"/>
    <x v="11"/>
    <s v="NO1_A1"/>
    <x v="6"/>
    <x v="4"/>
    <s v="GNR_ROR_WTR"/>
    <x v="0"/>
    <x v="7"/>
    <n v="1002.86271057692"/>
    <n v="366044.88936057501"/>
    <n v="1317761.6016980701"/>
  </r>
  <r>
    <x v="0"/>
    <x v="2"/>
    <x v="2"/>
    <x v="7"/>
    <x v="11"/>
    <s v="NO1_A1"/>
    <x v="6"/>
    <x v="4"/>
    <s v="GNR_ROR_WTR"/>
    <x v="0"/>
    <x v="8"/>
    <n v="1002.86271057692"/>
    <n v="366044.88936057501"/>
    <n v="1317761.6016980701"/>
  </r>
  <r>
    <x v="0"/>
    <x v="2"/>
    <x v="2"/>
    <x v="7"/>
    <x v="11"/>
    <s v="NO1_A1"/>
    <x v="6"/>
    <x v="4"/>
    <s v="GNR_ROR_WTR"/>
    <x v="0"/>
    <x v="9"/>
    <n v="1002.86271057692"/>
    <n v="366044.88936057501"/>
    <n v="1317761.6016980701"/>
  </r>
  <r>
    <x v="0"/>
    <x v="2"/>
    <x v="2"/>
    <x v="7"/>
    <x v="11"/>
    <s v="NO1_A1"/>
    <x v="6"/>
    <x v="4"/>
    <s v="GNR_ROR_WTR"/>
    <x v="0"/>
    <x v="10"/>
    <n v="1002.86271057692"/>
    <n v="366044.88936057501"/>
    <n v="1317761.6016980701"/>
  </r>
  <r>
    <x v="0"/>
    <x v="2"/>
    <x v="2"/>
    <x v="7"/>
    <x v="11"/>
    <s v="NO1_A1"/>
    <x v="6"/>
    <x v="4"/>
    <s v="GNR_ROR_WTR"/>
    <x v="0"/>
    <x v="11"/>
    <n v="1002.86271057692"/>
    <n v="366044.88936057501"/>
    <n v="1317761.6016980701"/>
  </r>
  <r>
    <x v="0"/>
    <x v="2"/>
    <x v="2"/>
    <x v="7"/>
    <x v="11"/>
    <s v="NO1_A1"/>
    <x v="6"/>
    <x v="4"/>
    <s v="GNR_ROR_WTR"/>
    <x v="0"/>
    <x v="12"/>
    <n v="1002.86271057692"/>
    <n v="366044.88936057501"/>
    <n v="1317761.6016980701"/>
  </r>
  <r>
    <x v="0"/>
    <x v="2"/>
    <x v="2"/>
    <x v="7"/>
    <x v="11"/>
    <s v="NO1_A1"/>
    <x v="6"/>
    <x v="4"/>
    <s v="GNR_ROR_WTR"/>
    <x v="0"/>
    <x v="13"/>
    <n v="1002.86271057692"/>
    <n v="366044.88936057501"/>
    <n v="1317761.6016980701"/>
  </r>
  <r>
    <x v="0"/>
    <x v="2"/>
    <x v="2"/>
    <x v="7"/>
    <x v="11"/>
    <s v="NO1_A1"/>
    <x v="6"/>
    <x v="4"/>
    <s v="GNR_ROR_WTR"/>
    <x v="0"/>
    <x v="14"/>
    <n v="1002.86271057692"/>
    <n v="366044.88936057501"/>
    <n v="1317761.6016980701"/>
  </r>
  <r>
    <x v="0"/>
    <x v="2"/>
    <x v="2"/>
    <x v="7"/>
    <x v="11"/>
    <s v="NO1_A1"/>
    <x v="6"/>
    <x v="4"/>
    <s v="GNR_ROR_WTR"/>
    <x v="0"/>
    <x v="15"/>
    <n v="1002.86271057692"/>
    <n v="366044.88936057501"/>
    <n v="1317761.6016980701"/>
  </r>
  <r>
    <x v="0"/>
    <x v="2"/>
    <x v="2"/>
    <x v="7"/>
    <x v="11"/>
    <s v="NO1_A1"/>
    <x v="6"/>
    <x v="4"/>
    <s v="GNR_ROR_WTR"/>
    <x v="0"/>
    <x v="16"/>
    <n v="1002.86271057692"/>
    <n v="366044.88936057501"/>
    <n v="1317761.6016980701"/>
  </r>
  <r>
    <x v="0"/>
    <x v="2"/>
    <x v="2"/>
    <x v="7"/>
    <x v="11"/>
    <s v="NO1_A1"/>
    <x v="6"/>
    <x v="4"/>
    <s v="GNR_ROR_WTR"/>
    <x v="0"/>
    <x v="17"/>
    <n v="1002.86271057692"/>
    <n v="366044.88936057501"/>
    <n v="1317761.6016980701"/>
  </r>
  <r>
    <x v="0"/>
    <x v="2"/>
    <x v="2"/>
    <x v="7"/>
    <x v="11"/>
    <s v="NO1_A1"/>
    <x v="6"/>
    <x v="4"/>
    <s v="GNR_ROR_WTR"/>
    <x v="0"/>
    <x v="19"/>
    <n v="1002.86271057692"/>
    <n v="366044.88936057501"/>
    <n v="1317761.6016980701"/>
  </r>
  <r>
    <x v="0"/>
    <x v="2"/>
    <x v="2"/>
    <x v="7"/>
    <x v="11"/>
    <s v="NO1_A1"/>
    <x v="6"/>
    <x v="4"/>
    <s v="GNR_ROR_WTR"/>
    <x v="0"/>
    <x v="20"/>
    <n v="1002.86271057692"/>
    <n v="366044.88936057501"/>
    <n v="1317761.6016980701"/>
  </r>
  <r>
    <x v="0"/>
    <x v="2"/>
    <x v="2"/>
    <x v="7"/>
    <x v="11"/>
    <s v="NO1_A1"/>
    <x v="6"/>
    <x v="4"/>
    <s v="GNR_ROR_WTR"/>
    <x v="0"/>
    <x v="21"/>
    <n v="1002.86271057692"/>
    <n v="366044.88936057501"/>
    <n v="1317761.6016980701"/>
  </r>
  <r>
    <x v="0"/>
    <x v="2"/>
    <x v="2"/>
    <x v="7"/>
    <x v="11"/>
    <s v="NO1_A1"/>
    <x v="6"/>
    <x v="4"/>
    <s v="GNR_ROR_WTR"/>
    <x v="0"/>
    <x v="22"/>
    <n v="1002.86271057692"/>
    <n v="366044.88936057501"/>
    <n v="1317761.6016980701"/>
  </r>
  <r>
    <x v="0"/>
    <x v="2"/>
    <x v="2"/>
    <x v="7"/>
    <x v="11"/>
    <s v="NO1_A1"/>
    <x v="6"/>
    <x v="4"/>
    <s v="GNR_ROR_WTR"/>
    <x v="0"/>
    <x v="23"/>
    <n v="1002.86271057692"/>
    <n v="366044.88936057501"/>
    <n v="1317761.6016980701"/>
  </r>
  <r>
    <x v="0"/>
    <x v="2"/>
    <x v="2"/>
    <x v="7"/>
    <x v="11"/>
    <s v="NO1_A1"/>
    <x v="7"/>
    <x v="5"/>
    <s v="GNR_WT_WIND_ONS"/>
    <x v="0"/>
    <x v="0"/>
    <n v="91.950459150581906"/>
    <n v="33561.917589962402"/>
    <n v="120822.903323865"/>
  </r>
  <r>
    <x v="0"/>
    <x v="2"/>
    <x v="2"/>
    <x v="7"/>
    <x v="11"/>
    <s v="NO1_A1"/>
    <x v="7"/>
    <x v="5"/>
    <s v="GNR_WT_WIND_ONS"/>
    <x v="0"/>
    <x v="1"/>
    <n v="92.632699630027901"/>
    <n v="33810.935364960198"/>
    <n v="121719.367313857"/>
  </r>
  <r>
    <x v="0"/>
    <x v="2"/>
    <x v="2"/>
    <x v="7"/>
    <x v="11"/>
    <s v="NO1_A1"/>
    <x v="7"/>
    <x v="5"/>
    <s v="GNR_WT_WIND_ONS"/>
    <x v="0"/>
    <x v="18"/>
    <n v="93.472521621745997"/>
    <n v="34117.470391937299"/>
    <n v="122822.89341097399"/>
  </r>
  <r>
    <x v="0"/>
    <x v="2"/>
    <x v="2"/>
    <x v="7"/>
    <x v="11"/>
    <s v="NO1_A1"/>
    <x v="7"/>
    <x v="5"/>
    <s v="GNR_WT_WIND_ONS"/>
    <x v="0"/>
    <x v="2"/>
    <n v="94.476542722052102"/>
    <n v="34483.938093548997"/>
    <n v="124142.177136777"/>
  </r>
  <r>
    <x v="0"/>
    <x v="2"/>
    <x v="2"/>
    <x v="7"/>
    <x v="11"/>
    <s v="NO1_A1"/>
    <x v="7"/>
    <x v="5"/>
    <s v="GNR_WT_WIND_ONS"/>
    <x v="0"/>
    <x v="3"/>
    <n v="94.543484610710493"/>
    <n v="34508.371882909298"/>
    <n v="124230.13877847401"/>
  </r>
  <r>
    <x v="0"/>
    <x v="2"/>
    <x v="2"/>
    <x v="7"/>
    <x v="11"/>
    <s v="NO1_A1"/>
    <x v="7"/>
    <x v="5"/>
    <s v="GNR_WT_WIND_ONS"/>
    <x v="0"/>
    <x v="4"/>
    <n v="95.146482437975905"/>
    <n v="34728.466089861198"/>
    <n v="125022.4779235"/>
  </r>
  <r>
    <x v="0"/>
    <x v="2"/>
    <x v="2"/>
    <x v="7"/>
    <x v="11"/>
    <s v="NO1_A1"/>
    <x v="7"/>
    <x v="5"/>
    <s v="GNR_WT_WIND_ONS"/>
    <x v="0"/>
    <x v="5"/>
    <n v="95.137934709401193"/>
    <n v="34725.346168931399"/>
    <n v="125011.246208153"/>
  </r>
  <r>
    <x v="0"/>
    <x v="2"/>
    <x v="2"/>
    <x v="7"/>
    <x v="11"/>
    <s v="NO1_A1"/>
    <x v="7"/>
    <x v="5"/>
    <s v="GNR_WT_WIND_ONS"/>
    <x v="0"/>
    <x v="6"/>
    <n v="95.163700443205101"/>
    <n v="34734.750661769896"/>
    <n v="125045.102382372"/>
  </r>
  <r>
    <x v="0"/>
    <x v="2"/>
    <x v="2"/>
    <x v="7"/>
    <x v="11"/>
    <s v="NO1_A1"/>
    <x v="7"/>
    <x v="5"/>
    <s v="GNR_WT_WIND_ONS"/>
    <x v="0"/>
    <x v="7"/>
    <n v="94.825942616425095"/>
    <n v="34611.469054995097"/>
    <n v="124601.288597983"/>
  </r>
  <r>
    <x v="0"/>
    <x v="2"/>
    <x v="2"/>
    <x v="7"/>
    <x v="11"/>
    <s v="NO1_A1"/>
    <x v="7"/>
    <x v="5"/>
    <s v="GNR_WT_WIND_ONS"/>
    <x v="0"/>
    <x v="8"/>
    <n v="93.674465538950599"/>
    <n v="34191.179921716997"/>
    <n v="123088.247718181"/>
  </r>
  <r>
    <x v="0"/>
    <x v="2"/>
    <x v="2"/>
    <x v="7"/>
    <x v="11"/>
    <s v="NO1_A1"/>
    <x v="7"/>
    <x v="5"/>
    <s v="GNR_WT_WIND_ONS"/>
    <x v="0"/>
    <x v="9"/>
    <n v="73.995710183289006"/>
    <n v="27008.434216900499"/>
    <n v="97230.363180841698"/>
  </r>
  <r>
    <x v="0"/>
    <x v="2"/>
    <x v="2"/>
    <x v="7"/>
    <x v="11"/>
    <s v="NO1_A1"/>
    <x v="7"/>
    <x v="5"/>
    <s v="GNR_WT_WIND_ONS"/>
    <x v="0"/>
    <x v="10"/>
    <n v="23.4507806601647"/>
    <n v="8559.5349409601004"/>
    <n v="30814.325787456401"/>
  </r>
  <r>
    <x v="0"/>
    <x v="2"/>
    <x v="2"/>
    <x v="7"/>
    <x v="11"/>
    <s v="NO1_A1"/>
    <x v="7"/>
    <x v="5"/>
    <s v="GNR_WT_WIND_ONS"/>
    <x v="0"/>
    <x v="11"/>
    <n v="29.711692057883401"/>
    <n v="10844.7676011274"/>
    <n v="39041.163364058797"/>
  </r>
  <r>
    <x v="0"/>
    <x v="2"/>
    <x v="2"/>
    <x v="7"/>
    <x v="11"/>
    <s v="NO1_A1"/>
    <x v="7"/>
    <x v="5"/>
    <s v="GNR_WT_WIND_ONS"/>
    <x v="0"/>
    <x v="12"/>
    <n v="88.326314145973896"/>
    <n v="32239.104663280501"/>
    <n v="116060.77678781"/>
  </r>
  <r>
    <x v="0"/>
    <x v="2"/>
    <x v="2"/>
    <x v="7"/>
    <x v="11"/>
    <s v="NO1_A1"/>
    <x v="7"/>
    <x v="5"/>
    <s v="GNR_WT_WIND_ONS"/>
    <x v="0"/>
    <x v="13"/>
    <n v="91.013778220193899"/>
    <n v="33220.029050370802"/>
    <n v="119592.10458133501"/>
  </r>
  <r>
    <x v="0"/>
    <x v="2"/>
    <x v="2"/>
    <x v="7"/>
    <x v="11"/>
    <s v="NO1_A1"/>
    <x v="7"/>
    <x v="5"/>
    <s v="GNR_WT_WIND_ONS"/>
    <x v="0"/>
    <x v="14"/>
    <n v="96.691338852005899"/>
    <n v="35292.338680982102"/>
    <n v="127052.419251536"/>
  </r>
  <r>
    <x v="0"/>
    <x v="2"/>
    <x v="2"/>
    <x v="7"/>
    <x v="11"/>
    <s v="NO1_A1"/>
    <x v="7"/>
    <x v="5"/>
    <s v="GNR_WT_WIND_ONS"/>
    <x v="0"/>
    <x v="15"/>
    <n v="90.922924137440404"/>
    <n v="33186.867310165697"/>
    <n v="119472.72231659701"/>
  </r>
  <r>
    <x v="0"/>
    <x v="2"/>
    <x v="2"/>
    <x v="7"/>
    <x v="11"/>
    <s v="NO1_A1"/>
    <x v="7"/>
    <x v="5"/>
    <s v="GNR_WT_WIND_ONS"/>
    <x v="0"/>
    <x v="16"/>
    <n v="94.977396724700895"/>
    <n v="34666.749804515799"/>
    <n v="124800.299296257"/>
  </r>
  <r>
    <x v="0"/>
    <x v="2"/>
    <x v="2"/>
    <x v="7"/>
    <x v="11"/>
    <s v="NO1_A1"/>
    <x v="7"/>
    <x v="5"/>
    <s v="GNR_WT_WIND_ONS"/>
    <x v="0"/>
    <x v="17"/>
    <n v="80.2351537615518"/>
    <n v="29285.8311229664"/>
    <n v="105428.992042679"/>
  </r>
  <r>
    <x v="0"/>
    <x v="2"/>
    <x v="2"/>
    <x v="7"/>
    <x v="11"/>
    <s v="NO1_A1"/>
    <x v="7"/>
    <x v="5"/>
    <s v="GNR_WT_WIND_ONS"/>
    <x v="0"/>
    <x v="19"/>
    <n v="72.598708027687096"/>
    <n v="26498.528430105802"/>
    <n v="95394.702348380801"/>
  </r>
  <r>
    <x v="0"/>
    <x v="2"/>
    <x v="2"/>
    <x v="7"/>
    <x v="11"/>
    <s v="NO1_A1"/>
    <x v="7"/>
    <x v="5"/>
    <s v="GNR_WT_WIND_ONS"/>
    <x v="0"/>
    <x v="20"/>
    <n v="92.706994403481701"/>
    <n v="33838.052957270796"/>
    <n v="121816.99064617501"/>
  </r>
  <r>
    <x v="0"/>
    <x v="2"/>
    <x v="2"/>
    <x v="7"/>
    <x v="11"/>
    <s v="NO1_A1"/>
    <x v="7"/>
    <x v="5"/>
    <s v="GNR_WT_WIND_ONS"/>
    <x v="0"/>
    <x v="21"/>
    <n v="78.9477402264218"/>
    <n v="28815.925182644001"/>
    <n v="103737.330657518"/>
  </r>
  <r>
    <x v="0"/>
    <x v="2"/>
    <x v="2"/>
    <x v="7"/>
    <x v="11"/>
    <s v="NO1_A1"/>
    <x v="7"/>
    <x v="5"/>
    <s v="GNR_WT_WIND_ONS"/>
    <x v="0"/>
    <x v="22"/>
    <n v="89.885738463004898"/>
    <n v="32808.294538996801"/>
    <n v="118109.860340388"/>
  </r>
  <r>
    <x v="0"/>
    <x v="2"/>
    <x v="2"/>
    <x v="7"/>
    <x v="11"/>
    <s v="NO1_A1"/>
    <x v="7"/>
    <x v="5"/>
    <s v="GNR_WT_WIND_ONS"/>
    <x v="0"/>
    <x v="23"/>
    <n v="63.938893915398303"/>
    <n v="23337.696279120399"/>
    <n v="84015.706604833395"/>
  </r>
  <r>
    <x v="0"/>
    <x v="2"/>
    <x v="2"/>
    <x v="7"/>
    <x v="11"/>
    <s v="NO1_A1"/>
    <x v="7"/>
    <x v="5"/>
    <s v="GNR_WT_WIND_ON_LS_Y-2030"/>
    <x v="0"/>
    <x v="0"/>
    <n v="154.06966246986801"/>
    <n v="56235.426801501802"/>
    <n v="202447.53648540701"/>
  </r>
  <r>
    <x v="0"/>
    <x v="2"/>
    <x v="2"/>
    <x v="7"/>
    <x v="11"/>
    <s v="NO1_A1"/>
    <x v="7"/>
    <x v="5"/>
    <s v="GNR_WT_WIND_ON_LS_Y-2030"/>
    <x v="0"/>
    <x v="1"/>
    <n v="155.212805868635"/>
    <n v="56652.674142051597"/>
    <n v="203949.626911386"/>
  </r>
  <r>
    <x v="0"/>
    <x v="2"/>
    <x v="2"/>
    <x v="7"/>
    <x v="11"/>
    <s v="NO1_A1"/>
    <x v="7"/>
    <x v="5"/>
    <s v="GNR_WT_WIND_ON_LS_Y-2030"/>
    <x v="0"/>
    <x v="18"/>
    <n v="156.61998851888001"/>
    <n v="57166.2958093911"/>
    <n v="205798.664913808"/>
  </r>
  <r>
    <x v="0"/>
    <x v="2"/>
    <x v="2"/>
    <x v="7"/>
    <x v="11"/>
    <s v="NO1_A1"/>
    <x v="7"/>
    <x v="5"/>
    <s v="GNR_WT_WIND_ON_LS_Y-2030"/>
    <x v="0"/>
    <x v="2"/>
    <n v="158.30229868313299"/>
    <n v="57780.339019343599"/>
    <n v="208009.22046963699"/>
  </r>
  <r>
    <x v="0"/>
    <x v="2"/>
    <x v="2"/>
    <x v="7"/>
    <x v="11"/>
    <s v="NO1_A1"/>
    <x v="7"/>
    <x v="5"/>
    <s v="GNR_WT_WIND_ON_LS_Y-2030"/>
    <x v="0"/>
    <x v="3"/>
    <n v="158.41446467214499"/>
    <n v="57821.279605332798"/>
    <n v="208156.60657919801"/>
  </r>
  <r>
    <x v="0"/>
    <x v="2"/>
    <x v="2"/>
    <x v="7"/>
    <x v="11"/>
    <s v="NO1_A1"/>
    <x v="7"/>
    <x v="5"/>
    <s v="GNR_WT_WIND_ON_LS_Y-2030"/>
    <x v="0"/>
    <x v="4"/>
    <n v="159.424831260578"/>
    <n v="58190.063410110903"/>
    <n v="209484.22827639899"/>
  </r>
  <r>
    <x v="0"/>
    <x v="2"/>
    <x v="2"/>
    <x v="7"/>
    <x v="11"/>
    <s v="NO1_A1"/>
    <x v="7"/>
    <x v="5"/>
    <s v="GNR_WT_WIND_ON_LS_Y-2030"/>
    <x v="0"/>
    <x v="5"/>
    <n v="159.410508921478"/>
    <n v="58184.8357563393"/>
    <n v="209465.40872282101"/>
  </r>
  <r>
    <x v="0"/>
    <x v="2"/>
    <x v="2"/>
    <x v="7"/>
    <x v="11"/>
    <s v="NO1_A1"/>
    <x v="7"/>
    <x v="5"/>
    <s v="GNR_WT_WIND_ON_LS_Y-2030"/>
    <x v="0"/>
    <x v="6"/>
    <n v="159.45368127697401"/>
    <n v="58200.593666095301"/>
    <n v="209522.137197943"/>
  </r>
  <r>
    <x v="0"/>
    <x v="2"/>
    <x v="2"/>
    <x v="7"/>
    <x v="11"/>
    <s v="NO1_A1"/>
    <x v="7"/>
    <x v="5"/>
    <s v="GNR_WT_WIND_ON_LS_Y-2030"/>
    <x v="0"/>
    <x v="7"/>
    <n v="158.88774354431499"/>
    <n v="57994.0263936751"/>
    <n v="208778.49501722999"/>
  </r>
  <r>
    <x v="0"/>
    <x v="2"/>
    <x v="2"/>
    <x v="7"/>
    <x v="11"/>
    <s v="NO1_A1"/>
    <x v="7"/>
    <x v="5"/>
    <s v="GNR_WT_WIND_ON_LS_Y-2030"/>
    <x v="0"/>
    <x v="8"/>
    <n v="156.958360196944"/>
    <n v="57289.801471884501"/>
    <n v="206243.285298784"/>
  </r>
  <r>
    <x v="0"/>
    <x v="2"/>
    <x v="2"/>
    <x v="7"/>
    <x v="11"/>
    <s v="NO1_A1"/>
    <x v="7"/>
    <x v="5"/>
    <s v="GNR_WT_WIND_ON_LS_Y-2030"/>
    <x v="0"/>
    <x v="9"/>
    <n v="123.985178513221"/>
    <n v="45254.590157325598"/>
    <n v="162916.52456637201"/>
  </r>
  <r>
    <x v="0"/>
    <x v="2"/>
    <x v="2"/>
    <x v="7"/>
    <x v="11"/>
    <s v="NO1_A1"/>
    <x v="7"/>
    <x v="5"/>
    <s v="GNR_WT_WIND_ON_LS_Y-2030"/>
    <x v="0"/>
    <x v="10"/>
    <n v="39.293483625237698"/>
    <n v="14342.121523211799"/>
    <n v="51631.637483562401"/>
  </r>
  <r>
    <x v="0"/>
    <x v="2"/>
    <x v="2"/>
    <x v="7"/>
    <x v="11"/>
    <s v="NO1_A1"/>
    <x v="7"/>
    <x v="5"/>
    <s v="GNR_WT_WIND_ON_LS_Y-2030"/>
    <x v="0"/>
    <x v="11"/>
    <n v="49.784094707674903"/>
    <n v="18171.1945683013"/>
    <n v="65416.300445884801"/>
  </r>
  <r>
    <x v="0"/>
    <x v="2"/>
    <x v="2"/>
    <x v="7"/>
    <x v="11"/>
    <s v="NO1_A1"/>
    <x v="7"/>
    <x v="5"/>
    <s v="GNR_WT_WIND_ON_LS_Y-2030"/>
    <x v="0"/>
    <x v="12"/>
    <n v="147.99714469497201"/>
    <n v="54018.957813664601"/>
    <n v="194468.248129193"/>
  </r>
  <r>
    <x v="0"/>
    <x v="2"/>
    <x v="2"/>
    <x v="7"/>
    <x v="11"/>
    <s v="NO1_A1"/>
    <x v="7"/>
    <x v="5"/>
    <s v="GNR_WT_WIND_ON_LS_Y-2030"/>
    <x v="0"/>
    <x v="13"/>
    <n v="152.50018564376001"/>
    <n v="55662.5677599724"/>
    <n v="200385.243935901"/>
  </r>
  <r>
    <x v="0"/>
    <x v="2"/>
    <x v="2"/>
    <x v="7"/>
    <x v="11"/>
    <s v="NO1_A1"/>
    <x v="7"/>
    <x v="5"/>
    <s v="GNR_WT_WIND_ON_LS_Y-2030"/>
    <x v="0"/>
    <x v="14"/>
    <n v="162.013350213857"/>
    <n v="59134.872828057902"/>
    <n v="212885.542181008"/>
  </r>
  <r>
    <x v="0"/>
    <x v="2"/>
    <x v="2"/>
    <x v="7"/>
    <x v="11"/>
    <s v="NO1_A1"/>
    <x v="7"/>
    <x v="5"/>
    <s v="GNR_WT_WIND_ON_LS_Y-2030"/>
    <x v="0"/>
    <x v="15"/>
    <n v="152.34795303945199"/>
    <n v="55607.002859399799"/>
    <n v="200185.21029383899"/>
  </r>
  <r>
    <x v="0"/>
    <x v="2"/>
    <x v="2"/>
    <x v="7"/>
    <x v="11"/>
    <s v="NO1_A1"/>
    <x v="7"/>
    <x v="5"/>
    <s v="GNR_WT_WIND_ON_LS_Y-2030"/>
    <x v="0"/>
    <x v="16"/>
    <n v="159.141515886045"/>
    <n v="58086.653298406301"/>
    <n v="209111.951874263"/>
  </r>
  <r>
    <x v="0"/>
    <x v="2"/>
    <x v="2"/>
    <x v="7"/>
    <x v="11"/>
    <s v="NO1_A1"/>
    <x v="7"/>
    <x v="5"/>
    <s v="GNR_WT_WIND_ON_LS_Y-2030"/>
    <x v="0"/>
    <x v="17"/>
    <n v="134.43981870733299"/>
    <n v="49070.5338281765"/>
    <n v="176653.921781435"/>
  </r>
  <r>
    <x v="0"/>
    <x v="2"/>
    <x v="2"/>
    <x v="7"/>
    <x v="11"/>
    <s v="NO1_A1"/>
    <x v="7"/>
    <x v="5"/>
    <s v="GNR_WT_WIND_ON_LS_Y-2030"/>
    <x v="0"/>
    <x v="19"/>
    <n v="121.644400092193"/>
    <n v="44400.206033650502"/>
    <n v="159840.741721142"/>
  </r>
  <r>
    <x v="0"/>
    <x v="2"/>
    <x v="2"/>
    <x v="7"/>
    <x v="11"/>
    <s v="NO1_A1"/>
    <x v="7"/>
    <x v="5"/>
    <s v="GNR_WT_WIND_ON_LS_Y-2030"/>
    <x v="0"/>
    <x v="20"/>
    <n v="155.33729214934499"/>
    <n v="56698.1116345111"/>
    <n v="204113.20188424"/>
  </r>
  <r>
    <x v="0"/>
    <x v="2"/>
    <x v="2"/>
    <x v="7"/>
    <x v="11"/>
    <s v="NO1_A1"/>
    <x v="7"/>
    <x v="5"/>
    <s v="GNR_WT_WIND_ON_LS_Y-2030"/>
    <x v="0"/>
    <x v="21"/>
    <n v="132.282663967172"/>
    <n v="48283.172348017899"/>
    <n v="173819.420452864"/>
  </r>
  <r>
    <x v="0"/>
    <x v="2"/>
    <x v="2"/>
    <x v="7"/>
    <x v="11"/>
    <s v="NO1_A1"/>
    <x v="7"/>
    <x v="5"/>
    <s v="GNR_WT_WIND_ON_LS_Y-2030"/>
    <x v="0"/>
    <x v="22"/>
    <n v="150.61007322617999"/>
    <n v="54972.676727555699"/>
    <n v="197901.63621920001"/>
  </r>
  <r>
    <x v="0"/>
    <x v="2"/>
    <x v="2"/>
    <x v="7"/>
    <x v="11"/>
    <s v="NO1_A1"/>
    <x v="7"/>
    <x v="5"/>
    <s v="GNR_WT_WIND_ON_LS_Y-2030"/>
    <x v="0"/>
    <x v="23"/>
    <n v="107.134253545267"/>
    <n v="39104.002544022303"/>
    <n v="140774.40915848"/>
  </r>
  <r>
    <x v="0"/>
    <x v="2"/>
    <x v="2"/>
    <x v="7"/>
    <x v="11"/>
    <s v="NO1_A2"/>
    <x v="2"/>
    <x v="2"/>
    <s v="GBPR_MUNIWASTE"/>
    <x v="0"/>
    <x v="0"/>
    <n v="11.0933333333332"/>
    <n v="4049.0666666666202"/>
    <n v="14576.639999999799"/>
  </r>
  <r>
    <x v="0"/>
    <x v="2"/>
    <x v="2"/>
    <x v="7"/>
    <x v="11"/>
    <s v="NO1_A2"/>
    <x v="2"/>
    <x v="2"/>
    <s v="GBPR_MUNIWASTE"/>
    <x v="0"/>
    <x v="1"/>
    <n v="11.0933333333332"/>
    <n v="4049.0666666666202"/>
    <n v="14576.639999999799"/>
  </r>
  <r>
    <x v="0"/>
    <x v="2"/>
    <x v="2"/>
    <x v="7"/>
    <x v="11"/>
    <s v="NO1_A2"/>
    <x v="2"/>
    <x v="2"/>
    <s v="GBPR_MUNIWASTE"/>
    <x v="0"/>
    <x v="18"/>
    <n v="11.0933333333332"/>
    <n v="4049.0666666666202"/>
    <n v="14576.639999999799"/>
  </r>
  <r>
    <x v="0"/>
    <x v="2"/>
    <x v="2"/>
    <x v="7"/>
    <x v="11"/>
    <s v="NO1_A2"/>
    <x v="2"/>
    <x v="2"/>
    <s v="GBPR_MUNIWASTE"/>
    <x v="0"/>
    <x v="2"/>
    <n v="11.0933333333332"/>
    <n v="4049.0666666666202"/>
    <n v="14576.639999999799"/>
  </r>
  <r>
    <x v="0"/>
    <x v="2"/>
    <x v="2"/>
    <x v="7"/>
    <x v="11"/>
    <s v="NO1_A2"/>
    <x v="2"/>
    <x v="2"/>
    <s v="GBPR_MUNIWASTE"/>
    <x v="0"/>
    <x v="3"/>
    <n v="11.0933333333332"/>
    <n v="4049.0666666666202"/>
    <n v="14576.639999999799"/>
  </r>
  <r>
    <x v="0"/>
    <x v="2"/>
    <x v="2"/>
    <x v="7"/>
    <x v="11"/>
    <s v="NO1_A2"/>
    <x v="2"/>
    <x v="2"/>
    <s v="GBPR_MUNIWASTE"/>
    <x v="0"/>
    <x v="4"/>
    <n v="11.0933333333332"/>
    <n v="4049.0666666666202"/>
    <n v="14576.639999999799"/>
  </r>
  <r>
    <x v="0"/>
    <x v="2"/>
    <x v="2"/>
    <x v="7"/>
    <x v="11"/>
    <s v="NO1_A2"/>
    <x v="2"/>
    <x v="2"/>
    <s v="GBPR_MUNIWASTE"/>
    <x v="0"/>
    <x v="5"/>
    <n v="11.0933333333332"/>
    <n v="4049.0666666666202"/>
    <n v="14576.639999999799"/>
  </r>
  <r>
    <x v="0"/>
    <x v="2"/>
    <x v="2"/>
    <x v="7"/>
    <x v="11"/>
    <s v="NO1_A2"/>
    <x v="2"/>
    <x v="2"/>
    <s v="GBPR_MUNIWASTE"/>
    <x v="0"/>
    <x v="6"/>
    <n v="11.0933333333332"/>
    <n v="4049.0666666666202"/>
    <n v="14576.639999999799"/>
  </r>
  <r>
    <x v="0"/>
    <x v="2"/>
    <x v="2"/>
    <x v="7"/>
    <x v="11"/>
    <s v="NO1_A2"/>
    <x v="2"/>
    <x v="2"/>
    <s v="GBPR_MUNIWASTE"/>
    <x v="0"/>
    <x v="7"/>
    <n v="11.0933333333332"/>
    <n v="4049.0666666666202"/>
    <n v="14576.639999999799"/>
  </r>
  <r>
    <x v="0"/>
    <x v="2"/>
    <x v="2"/>
    <x v="7"/>
    <x v="11"/>
    <s v="NO1_A2"/>
    <x v="2"/>
    <x v="2"/>
    <s v="GBPR_MUNIWASTE"/>
    <x v="0"/>
    <x v="8"/>
    <n v="11.0933333333332"/>
    <n v="4049.0666666666202"/>
    <n v="14576.639999999799"/>
  </r>
  <r>
    <x v="0"/>
    <x v="2"/>
    <x v="2"/>
    <x v="7"/>
    <x v="11"/>
    <s v="NO1_A2"/>
    <x v="2"/>
    <x v="2"/>
    <s v="GBPR_MUNIWASTE"/>
    <x v="0"/>
    <x v="9"/>
    <n v="11.0933333333332"/>
    <n v="4049.0666666666202"/>
    <n v="14576.639999999799"/>
  </r>
  <r>
    <x v="0"/>
    <x v="2"/>
    <x v="2"/>
    <x v="7"/>
    <x v="11"/>
    <s v="NO1_A2"/>
    <x v="2"/>
    <x v="2"/>
    <s v="GBPR_MUNIWASTE"/>
    <x v="0"/>
    <x v="10"/>
    <n v="11.0933333333332"/>
    <n v="4049.0666666666202"/>
    <n v="14576.639999999799"/>
  </r>
  <r>
    <x v="0"/>
    <x v="2"/>
    <x v="2"/>
    <x v="7"/>
    <x v="11"/>
    <s v="NO1_A2"/>
    <x v="2"/>
    <x v="2"/>
    <s v="GBPR_MUNIWASTE"/>
    <x v="0"/>
    <x v="11"/>
    <n v="11.0933333333332"/>
    <n v="4049.0666666666202"/>
    <n v="14576.639999999799"/>
  </r>
  <r>
    <x v="0"/>
    <x v="2"/>
    <x v="2"/>
    <x v="7"/>
    <x v="11"/>
    <s v="NO1_A2"/>
    <x v="2"/>
    <x v="2"/>
    <s v="GBPR_MUNIWASTE"/>
    <x v="0"/>
    <x v="12"/>
    <n v="11.0933333333332"/>
    <n v="4049.0666666666202"/>
    <n v="14576.639999999799"/>
  </r>
  <r>
    <x v="0"/>
    <x v="2"/>
    <x v="2"/>
    <x v="7"/>
    <x v="11"/>
    <s v="NO1_A2"/>
    <x v="2"/>
    <x v="2"/>
    <s v="GBPR_MUNIWASTE"/>
    <x v="0"/>
    <x v="13"/>
    <n v="11.0933333333332"/>
    <n v="4049.0666666666202"/>
    <n v="14576.639999999799"/>
  </r>
  <r>
    <x v="0"/>
    <x v="2"/>
    <x v="2"/>
    <x v="7"/>
    <x v="11"/>
    <s v="NO1_A2"/>
    <x v="2"/>
    <x v="2"/>
    <s v="GBPR_MUNIWASTE"/>
    <x v="0"/>
    <x v="14"/>
    <n v="11.0933333333332"/>
    <n v="4049.0666666666202"/>
    <n v="14576.639999999799"/>
  </r>
  <r>
    <x v="0"/>
    <x v="2"/>
    <x v="2"/>
    <x v="7"/>
    <x v="11"/>
    <s v="NO1_A2"/>
    <x v="2"/>
    <x v="2"/>
    <s v="GBPR_MUNIWASTE"/>
    <x v="0"/>
    <x v="15"/>
    <n v="11.0933333333332"/>
    <n v="4049.0666666666202"/>
    <n v="14576.639999999799"/>
  </r>
  <r>
    <x v="0"/>
    <x v="2"/>
    <x v="2"/>
    <x v="7"/>
    <x v="11"/>
    <s v="NO1_A2"/>
    <x v="2"/>
    <x v="2"/>
    <s v="GBPR_MUNIWASTE"/>
    <x v="0"/>
    <x v="16"/>
    <n v="11.0933333333332"/>
    <n v="4049.0666666666202"/>
    <n v="14576.639999999799"/>
  </r>
  <r>
    <x v="0"/>
    <x v="2"/>
    <x v="2"/>
    <x v="7"/>
    <x v="11"/>
    <s v="NO1_A2"/>
    <x v="2"/>
    <x v="2"/>
    <s v="GBPR_MUNIWASTE"/>
    <x v="0"/>
    <x v="17"/>
    <n v="11.0933333333332"/>
    <n v="4049.0666666666202"/>
    <n v="14576.639999999799"/>
  </r>
  <r>
    <x v="0"/>
    <x v="2"/>
    <x v="2"/>
    <x v="7"/>
    <x v="11"/>
    <s v="NO1_A2"/>
    <x v="2"/>
    <x v="2"/>
    <s v="GBPR_MUNIWASTE"/>
    <x v="0"/>
    <x v="19"/>
    <n v="11.0933333333332"/>
    <n v="4049.0666666666202"/>
    <n v="14576.639999999799"/>
  </r>
  <r>
    <x v="0"/>
    <x v="2"/>
    <x v="2"/>
    <x v="7"/>
    <x v="11"/>
    <s v="NO1_A2"/>
    <x v="2"/>
    <x v="2"/>
    <s v="GBPR_MUNIWASTE"/>
    <x v="0"/>
    <x v="20"/>
    <n v="11.0933333333332"/>
    <n v="4049.0666666666202"/>
    <n v="14576.639999999799"/>
  </r>
  <r>
    <x v="0"/>
    <x v="2"/>
    <x v="2"/>
    <x v="7"/>
    <x v="11"/>
    <s v="NO1_A2"/>
    <x v="2"/>
    <x v="2"/>
    <s v="GBPR_MUNIWASTE"/>
    <x v="0"/>
    <x v="21"/>
    <n v="11.0933333333332"/>
    <n v="4049.0666666666202"/>
    <n v="14576.639999999799"/>
  </r>
  <r>
    <x v="0"/>
    <x v="2"/>
    <x v="2"/>
    <x v="7"/>
    <x v="11"/>
    <s v="NO1_A2"/>
    <x v="2"/>
    <x v="2"/>
    <s v="GBPR_MUNIWASTE"/>
    <x v="0"/>
    <x v="22"/>
    <n v="11.0933333333332"/>
    <n v="4049.0666666666202"/>
    <n v="14576.639999999799"/>
  </r>
  <r>
    <x v="0"/>
    <x v="2"/>
    <x v="2"/>
    <x v="7"/>
    <x v="11"/>
    <s v="NO1_A2"/>
    <x v="2"/>
    <x v="2"/>
    <s v="GBPR_MUNIWASTE"/>
    <x v="0"/>
    <x v="23"/>
    <n v="11.0933333333332"/>
    <n v="4049.0666666666202"/>
    <n v="14576.639999999799"/>
  </r>
  <r>
    <x v="0"/>
    <x v="2"/>
    <x v="2"/>
    <x v="7"/>
    <x v="12"/>
    <s v="NO2_A1"/>
    <x v="2"/>
    <x v="2"/>
    <s v="GBPR_MUNIWASTE"/>
    <x v="0"/>
    <x v="0"/>
    <n v="10.8"/>
    <n v="3942"/>
    <n v="14191.2"/>
  </r>
  <r>
    <x v="0"/>
    <x v="2"/>
    <x v="2"/>
    <x v="7"/>
    <x v="12"/>
    <s v="NO2_A1"/>
    <x v="2"/>
    <x v="2"/>
    <s v="GBPR_MUNIWASTE"/>
    <x v="0"/>
    <x v="1"/>
    <n v="10.8"/>
    <n v="3942"/>
    <n v="14191.2"/>
  </r>
  <r>
    <x v="0"/>
    <x v="2"/>
    <x v="2"/>
    <x v="7"/>
    <x v="12"/>
    <s v="NO2_A1"/>
    <x v="2"/>
    <x v="2"/>
    <s v="GBPR_MUNIWASTE"/>
    <x v="0"/>
    <x v="18"/>
    <n v="10.8"/>
    <n v="3942"/>
    <n v="14191.2"/>
  </r>
  <r>
    <x v="0"/>
    <x v="2"/>
    <x v="2"/>
    <x v="7"/>
    <x v="12"/>
    <s v="NO2_A1"/>
    <x v="2"/>
    <x v="2"/>
    <s v="GBPR_MUNIWASTE"/>
    <x v="0"/>
    <x v="2"/>
    <n v="10.8"/>
    <n v="3942"/>
    <n v="14191.2"/>
  </r>
  <r>
    <x v="0"/>
    <x v="2"/>
    <x v="2"/>
    <x v="7"/>
    <x v="12"/>
    <s v="NO2_A1"/>
    <x v="2"/>
    <x v="2"/>
    <s v="GBPR_MUNIWASTE"/>
    <x v="0"/>
    <x v="3"/>
    <n v="10.8"/>
    <n v="3942"/>
    <n v="14191.2"/>
  </r>
  <r>
    <x v="0"/>
    <x v="2"/>
    <x v="2"/>
    <x v="7"/>
    <x v="12"/>
    <s v="NO2_A1"/>
    <x v="2"/>
    <x v="2"/>
    <s v="GBPR_MUNIWASTE"/>
    <x v="0"/>
    <x v="4"/>
    <n v="10.8"/>
    <n v="3942"/>
    <n v="14191.2"/>
  </r>
  <r>
    <x v="0"/>
    <x v="2"/>
    <x v="2"/>
    <x v="7"/>
    <x v="12"/>
    <s v="NO2_A1"/>
    <x v="2"/>
    <x v="2"/>
    <s v="GBPR_MUNIWASTE"/>
    <x v="0"/>
    <x v="5"/>
    <n v="10.8"/>
    <n v="3942"/>
    <n v="14191.2"/>
  </r>
  <r>
    <x v="0"/>
    <x v="2"/>
    <x v="2"/>
    <x v="7"/>
    <x v="12"/>
    <s v="NO2_A1"/>
    <x v="2"/>
    <x v="2"/>
    <s v="GBPR_MUNIWASTE"/>
    <x v="0"/>
    <x v="6"/>
    <n v="10.8"/>
    <n v="3942"/>
    <n v="14191.2"/>
  </r>
  <r>
    <x v="0"/>
    <x v="2"/>
    <x v="2"/>
    <x v="7"/>
    <x v="12"/>
    <s v="NO2_A1"/>
    <x v="2"/>
    <x v="2"/>
    <s v="GBPR_MUNIWASTE"/>
    <x v="0"/>
    <x v="7"/>
    <n v="10.8"/>
    <n v="3942"/>
    <n v="14191.2"/>
  </r>
  <r>
    <x v="0"/>
    <x v="2"/>
    <x v="2"/>
    <x v="7"/>
    <x v="12"/>
    <s v="NO2_A1"/>
    <x v="2"/>
    <x v="2"/>
    <s v="GBPR_MUNIWASTE"/>
    <x v="0"/>
    <x v="8"/>
    <n v="10.8"/>
    <n v="3942"/>
    <n v="14191.2"/>
  </r>
  <r>
    <x v="0"/>
    <x v="2"/>
    <x v="2"/>
    <x v="7"/>
    <x v="12"/>
    <s v="NO2_A1"/>
    <x v="2"/>
    <x v="2"/>
    <s v="GBPR_MUNIWASTE"/>
    <x v="0"/>
    <x v="9"/>
    <n v="10.8"/>
    <n v="3942"/>
    <n v="14191.2"/>
  </r>
  <r>
    <x v="0"/>
    <x v="2"/>
    <x v="2"/>
    <x v="7"/>
    <x v="12"/>
    <s v="NO2_A1"/>
    <x v="2"/>
    <x v="2"/>
    <s v="GBPR_MUNIWASTE"/>
    <x v="0"/>
    <x v="10"/>
    <n v="10.8"/>
    <n v="3942"/>
    <n v="14191.2"/>
  </r>
  <r>
    <x v="0"/>
    <x v="2"/>
    <x v="2"/>
    <x v="7"/>
    <x v="12"/>
    <s v="NO2_A1"/>
    <x v="2"/>
    <x v="2"/>
    <s v="GBPR_MUNIWASTE"/>
    <x v="0"/>
    <x v="11"/>
    <n v="10.8"/>
    <n v="3942"/>
    <n v="14191.2"/>
  </r>
  <r>
    <x v="0"/>
    <x v="2"/>
    <x v="2"/>
    <x v="7"/>
    <x v="12"/>
    <s v="NO2_A1"/>
    <x v="2"/>
    <x v="2"/>
    <s v="GBPR_MUNIWASTE"/>
    <x v="0"/>
    <x v="12"/>
    <n v="10.8"/>
    <n v="3942"/>
    <n v="14191.2"/>
  </r>
  <r>
    <x v="0"/>
    <x v="2"/>
    <x v="2"/>
    <x v="7"/>
    <x v="12"/>
    <s v="NO2_A1"/>
    <x v="2"/>
    <x v="2"/>
    <s v="GBPR_MUNIWASTE"/>
    <x v="0"/>
    <x v="13"/>
    <n v="10.8"/>
    <n v="3942"/>
    <n v="14191.2"/>
  </r>
  <r>
    <x v="0"/>
    <x v="2"/>
    <x v="2"/>
    <x v="7"/>
    <x v="12"/>
    <s v="NO2_A1"/>
    <x v="2"/>
    <x v="2"/>
    <s v="GBPR_MUNIWASTE"/>
    <x v="0"/>
    <x v="14"/>
    <n v="10.8"/>
    <n v="3942"/>
    <n v="14191.2"/>
  </r>
  <r>
    <x v="0"/>
    <x v="2"/>
    <x v="2"/>
    <x v="7"/>
    <x v="12"/>
    <s v="NO2_A1"/>
    <x v="2"/>
    <x v="2"/>
    <s v="GBPR_MUNIWASTE"/>
    <x v="0"/>
    <x v="15"/>
    <n v="10.8"/>
    <n v="3942"/>
    <n v="14191.2"/>
  </r>
  <r>
    <x v="0"/>
    <x v="2"/>
    <x v="2"/>
    <x v="7"/>
    <x v="12"/>
    <s v="NO2_A1"/>
    <x v="2"/>
    <x v="2"/>
    <s v="GBPR_MUNIWASTE"/>
    <x v="0"/>
    <x v="16"/>
    <n v="10.8"/>
    <n v="3942"/>
    <n v="14191.2"/>
  </r>
  <r>
    <x v="0"/>
    <x v="2"/>
    <x v="2"/>
    <x v="7"/>
    <x v="12"/>
    <s v="NO2_A1"/>
    <x v="2"/>
    <x v="2"/>
    <s v="GBPR_MUNIWASTE"/>
    <x v="0"/>
    <x v="17"/>
    <n v="10.8"/>
    <n v="3942"/>
    <n v="14191.2"/>
  </r>
  <r>
    <x v="0"/>
    <x v="2"/>
    <x v="2"/>
    <x v="7"/>
    <x v="12"/>
    <s v="NO2_A1"/>
    <x v="2"/>
    <x v="2"/>
    <s v="GBPR_MUNIWASTE"/>
    <x v="0"/>
    <x v="19"/>
    <n v="10.8"/>
    <n v="3942"/>
    <n v="14191.2"/>
  </r>
  <r>
    <x v="0"/>
    <x v="2"/>
    <x v="2"/>
    <x v="7"/>
    <x v="12"/>
    <s v="NO2_A1"/>
    <x v="2"/>
    <x v="2"/>
    <s v="GBPR_MUNIWASTE"/>
    <x v="0"/>
    <x v="20"/>
    <n v="10.8"/>
    <n v="3942"/>
    <n v="14191.2"/>
  </r>
  <r>
    <x v="0"/>
    <x v="2"/>
    <x v="2"/>
    <x v="7"/>
    <x v="12"/>
    <s v="NO2_A1"/>
    <x v="2"/>
    <x v="2"/>
    <s v="GBPR_MUNIWASTE"/>
    <x v="0"/>
    <x v="21"/>
    <n v="10.8"/>
    <n v="3942"/>
    <n v="14191.2"/>
  </r>
  <r>
    <x v="0"/>
    <x v="2"/>
    <x v="2"/>
    <x v="7"/>
    <x v="12"/>
    <s v="NO2_A1"/>
    <x v="2"/>
    <x v="2"/>
    <s v="GBPR_MUNIWASTE"/>
    <x v="0"/>
    <x v="22"/>
    <n v="10.8"/>
    <n v="3942"/>
    <n v="14191.2"/>
  </r>
  <r>
    <x v="0"/>
    <x v="2"/>
    <x v="2"/>
    <x v="7"/>
    <x v="12"/>
    <s v="NO2_A1"/>
    <x v="2"/>
    <x v="2"/>
    <s v="GBPR_MUNIWASTE"/>
    <x v="0"/>
    <x v="23"/>
    <n v="10.8"/>
    <n v="3942"/>
    <n v="14191.2"/>
  </r>
  <r>
    <x v="0"/>
    <x v="2"/>
    <x v="2"/>
    <x v="7"/>
    <x v="12"/>
    <s v="NO2_A1"/>
    <x v="6"/>
    <x v="7"/>
    <s v="GNR_RES_WTR_NOPMP_MC-01"/>
    <x v="0"/>
    <x v="0"/>
    <n v="367.19205575436598"/>
    <n v="134025.100350344"/>
    <n v="482490.36126123701"/>
  </r>
  <r>
    <x v="0"/>
    <x v="2"/>
    <x v="2"/>
    <x v="7"/>
    <x v="12"/>
    <s v="NO2_A1"/>
    <x v="6"/>
    <x v="7"/>
    <s v="GNR_RES_WTR_NOPMP_MC-01"/>
    <x v="0"/>
    <x v="1"/>
    <n v="367.19205575436598"/>
    <n v="134025.100350344"/>
    <n v="482490.36126123701"/>
  </r>
  <r>
    <x v="0"/>
    <x v="2"/>
    <x v="2"/>
    <x v="7"/>
    <x v="12"/>
    <s v="NO2_A1"/>
    <x v="6"/>
    <x v="7"/>
    <s v="GNR_RES_WTR_NOPMP_MC-01"/>
    <x v="0"/>
    <x v="18"/>
    <n v="367.19205575436598"/>
    <n v="134025.100350344"/>
    <n v="482490.36126123701"/>
  </r>
  <r>
    <x v="0"/>
    <x v="2"/>
    <x v="2"/>
    <x v="7"/>
    <x v="12"/>
    <s v="NO2_A1"/>
    <x v="6"/>
    <x v="7"/>
    <s v="GNR_RES_WTR_NOPMP_MC-01"/>
    <x v="0"/>
    <x v="2"/>
    <n v="367.19205575436598"/>
    <n v="134025.100350344"/>
    <n v="482490.36126123701"/>
  </r>
  <r>
    <x v="0"/>
    <x v="2"/>
    <x v="2"/>
    <x v="7"/>
    <x v="12"/>
    <s v="NO2_A1"/>
    <x v="6"/>
    <x v="7"/>
    <s v="GNR_RES_WTR_NOPMP_MC-01"/>
    <x v="0"/>
    <x v="3"/>
    <n v="367.19205575436598"/>
    <n v="134025.100350344"/>
    <n v="482490.36126123701"/>
  </r>
  <r>
    <x v="0"/>
    <x v="2"/>
    <x v="2"/>
    <x v="7"/>
    <x v="12"/>
    <s v="NO2_A1"/>
    <x v="6"/>
    <x v="7"/>
    <s v="GNR_RES_WTR_NOPMP_MC-01"/>
    <x v="0"/>
    <x v="4"/>
    <n v="367.19205575436598"/>
    <n v="134025.100350344"/>
    <n v="482490.36126123701"/>
  </r>
  <r>
    <x v="0"/>
    <x v="2"/>
    <x v="2"/>
    <x v="7"/>
    <x v="12"/>
    <s v="NO2_A1"/>
    <x v="6"/>
    <x v="7"/>
    <s v="GNR_RES_WTR_NOPMP_MC-01"/>
    <x v="0"/>
    <x v="5"/>
    <n v="367.19205575436598"/>
    <n v="134025.100350344"/>
    <n v="482490.36126123701"/>
  </r>
  <r>
    <x v="0"/>
    <x v="2"/>
    <x v="2"/>
    <x v="7"/>
    <x v="12"/>
    <s v="NO2_A1"/>
    <x v="6"/>
    <x v="7"/>
    <s v="GNR_RES_WTR_NOPMP_MC-01"/>
    <x v="0"/>
    <x v="6"/>
    <n v="367.19205575436598"/>
    <n v="134025.100350344"/>
    <n v="482490.36126123701"/>
  </r>
  <r>
    <x v="0"/>
    <x v="2"/>
    <x v="2"/>
    <x v="7"/>
    <x v="12"/>
    <s v="NO2_A1"/>
    <x v="6"/>
    <x v="7"/>
    <s v="GNR_RES_WTR_NOPMP_MC-01"/>
    <x v="0"/>
    <x v="7"/>
    <n v="367.19205575436598"/>
    <n v="134025.100350344"/>
    <n v="482490.36126123701"/>
  </r>
  <r>
    <x v="0"/>
    <x v="2"/>
    <x v="2"/>
    <x v="7"/>
    <x v="12"/>
    <s v="NO2_A1"/>
    <x v="6"/>
    <x v="7"/>
    <s v="GNR_RES_WTR_NOPMP_MC-01"/>
    <x v="0"/>
    <x v="8"/>
    <n v="367.19205575436598"/>
    <n v="134025.100350344"/>
    <n v="482490.36126123701"/>
  </r>
  <r>
    <x v="0"/>
    <x v="2"/>
    <x v="2"/>
    <x v="7"/>
    <x v="12"/>
    <s v="NO2_A1"/>
    <x v="6"/>
    <x v="7"/>
    <s v="GNR_RES_WTR_NOPMP_MC-01"/>
    <x v="0"/>
    <x v="9"/>
    <n v="367.19205575436598"/>
    <n v="134025.100350344"/>
    <n v="482490.36126123701"/>
  </r>
  <r>
    <x v="0"/>
    <x v="2"/>
    <x v="2"/>
    <x v="7"/>
    <x v="12"/>
    <s v="NO2_A1"/>
    <x v="6"/>
    <x v="7"/>
    <s v="GNR_RES_WTR_NOPMP_MC-01"/>
    <x v="0"/>
    <x v="10"/>
    <n v="367.19205575436598"/>
    <n v="134025.100350344"/>
    <n v="482490.36126123701"/>
  </r>
  <r>
    <x v="0"/>
    <x v="2"/>
    <x v="2"/>
    <x v="7"/>
    <x v="12"/>
    <s v="NO2_A1"/>
    <x v="6"/>
    <x v="7"/>
    <s v="GNR_RES_WTR_NOPMP_MC-01"/>
    <x v="0"/>
    <x v="11"/>
    <n v="367.19205575436598"/>
    <n v="134025.100350344"/>
    <n v="482490.36126123701"/>
  </r>
  <r>
    <x v="0"/>
    <x v="2"/>
    <x v="2"/>
    <x v="7"/>
    <x v="12"/>
    <s v="NO2_A1"/>
    <x v="6"/>
    <x v="7"/>
    <s v="GNR_RES_WTR_NOPMP_MC-01"/>
    <x v="0"/>
    <x v="12"/>
    <n v="367.19205575436598"/>
    <n v="134025.100350344"/>
    <n v="482490.36126123701"/>
  </r>
  <r>
    <x v="0"/>
    <x v="2"/>
    <x v="2"/>
    <x v="7"/>
    <x v="12"/>
    <s v="NO2_A1"/>
    <x v="6"/>
    <x v="7"/>
    <s v="GNR_RES_WTR_NOPMP_MC-01"/>
    <x v="0"/>
    <x v="13"/>
    <n v="367.19205575436598"/>
    <n v="134025.100350344"/>
    <n v="482490.36126123701"/>
  </r>
  <r>
    <x v="0"/>
    <x v="2"/>
    <x v="2"/>
    <x v="7"/>
    <x v="12"/>
    <s v="NO2_A1"/>
    <x v="6"/>
    <x v="7"/>
    <s v="GNR_RES_WTR_NOPMP_MC-01"/>
    <x v="0"/>
    <x v="14"/>
    <n v="367.19205575436598"/>
    <n v="134025.100350344"/>
    <n v="482490.36126123701"/>
  </r>
  <r>
    <x v="0"/>
    <x v="2"/>
    <x v="2"/>
    <x v="7"/>
    <x v="12"/>
    <s v="NO2_A1"/>
    <x v="6"/>
    <x v="7"/>
    <s v="GNR_RES_WTR_NOPMP_MC-01"/>
    <x v="0"/>
    <x v="15"/>
    <n v="367.19205575436598"/>
    <n v="134025.100350344"/>
    <n v="482490.36126123701"/>
  </r>
  <r>
    <x v="0"/>
    <x v="2"/>
    <x v="2"/>
    <x v="7"/>
    <x v="12"/>
    <s v="NO2_A1"/>
    <x v="6"/>
    <x v="7"/>
    <s v="GNR_RES_WTR_NOPMP_MC-01"/>
    <x v="0"/>
    <x v="16"/>
    <n v="367.19205575436598"/>
    <n v="134025.100350344"/>
    <n v="482490.36126123701"/>
  </r>
  <r>
    <x v="0"/>
    <x v="2"/>
    <x v="2"/>
    <x v="7"/>
    <x v="12"/>
    <s v="NO2_A1"/>
    <x v="6"/>
    <x v="7"/>
    <s v="GNR_RES_WTR_NOPMP_MC-01"/>
    <x v="0"/>
    <x v="17"/>
    <n v="367.19205575436598"/>
    <n v="134025.100350344"/>
    <n v="482490.36126123701"/>
  </r>
  <r>
    <x v="0"/>
    <x v="2"/>
    <x v="2"/>
    <x v="7"/>
    <x v="12"/>
    <s v="NO2_A1"/>
    <x v="6"/>
    <x v="7"/>
    <s v="GNR_RES_WTR_NOPMP_MC-01"/>
    <x v="0"/>
    <x v="19"/>
    <n v="367.19205575436598"/>
    <n v="134025.100350344"/>
    <n v="482490.36126123701"/>
  </r>
  <r>
    <x v="0"/>
    <x v="2"/>
    <x v="2"/>
    <x v="7"/>
    <x v="12"/>
    <s v="NO2_A1"/>
    <x v="6"/>
    <x v="7"/>
    <s v="GNR_RES_WTR_NOPMP_MC-01"/>
    <x v="0"/>
    <x v="20"/>
    <n v="367.19205575436598"/>
    <n v="134025.100350344"/>
    <n v="482490.36126123701"/>
  </r>
  <r>
    <x v="0"/>
    <x v="2"/>
    <x v="2"/>
    <x v="7"/>
    <x v="12"/>
    <s v="NO2_A1"/>
    <x v="6"/>
    <x v="7"/>
    <s v="GNR_RES_WTR_NOPMP_MC-01"/>
    <x v="0"/>
    <x v="21"/>
    <n v="367.19205575436598"/>
    <n v="134025.100350344"/>
    <n v="482490.36126123701"/>
  </r>
  <r>
    <x v="0"/>
    <x v="2"/>
    <x v="2"/>
    <x v="7"/>
    <x v="12"/>
    <s v="NO2_A1"/>
    <x v="6"/>
    <x v="7"/>
    <s v="GNR_RES_WTR_NOPMP_MC-01"/>
    <x v="0"/>
    <x v="22"/>
    <n v="367.19205575436598"/>
    <n v="134025.100350344"/>
    <n v="482490.36126123701"/>
  </r>
  <r>
    <x v="0"/>
    <x v="2"/>
    <x v="2"/>
    <x v="7"/>
    <x v="12"/>
    <s v="NO2_A1"/>
    <x v="6"/>
    <x v="7"/>
    <s v="GNR_RES_WTR_NOPMP_MC-01"/>
    <x v="0"/>
    <x v="23"/>
    <n v="367.19205575436598"/>
    <n v="134025.100350344"/>
    <n v="482490.36126123701"/>
  </r>
  <r>
    <x v="0"/>
    <x v="2"/>
    <x v="2"/>
    <x v="7"/>
    <x v="12"/>
    <s v="NO2_A1"/>
    <x v="6"/>
    <x v="7"/>
    <s v="GNR_RES_WTR_NOPMP_MC-02"/>
    <x v="0"/>
    <x v="0"/>
    <n v="887.19205575436604"/>
    <n v="323825.10035034397"/>
    <n v="1165770.36126124"/>
  </r>
  <r>
    <x v="0"/>
    <x v="2"/>
    <x v="2"/>
    <x v="7"/>
    <x v="12"/>
    <s v="NO2_A1"/>
    <x v="6"/>
    <x v="7"/>
    <s v="GNR_RES_WTR_NOPMP_MC-02"/>
    <x v="0"/>
    <x v="1"/>
    <n v="887.19205575436604"/>
    <n v="323825.10035034397"/>
    <n v="1165770.36126124"/>
  </r>
  <r>
    <x v="0"/>
    <x v="2"/>
    <x v="2"/>
    <x v="7"/>
    <x v="12"/>
    <s v="NO2_A1"/>
    <x v="6"/>
    <x v="7"/>
    <s v="GNR_RES_WTR_NOPMP_MC-02"/>
    <x v="0"/>
    <x v="18"/>
    <n v="887.19205575436604"/>
    <n v="323825.10035034397"/>
    <n v="1165770.36126124"/>
  </r>
  <r>
    <x v="0"/>
    <x v="2"/>
    <x v="2"/>
    <x v="7"/>
    <x v="12"/>
    <s v="NO2_A1"/>
    <x v="6"/>
    <x v="7"/>
    <s v="GNR_RES_WTR_NOPMP_MC-02"/>
    <x v="0"/>
    <x v="2"/>
    <n v="887.19205575436604"/>
    <n v="323825.10035034397"/>
    <n v="1165770.36126124"/>
  </r>
  <r>
    <x v="0"/>
    <x v="2"/>
    <x v="2"/>
    <x v="7"/>
    <x v="12"/>
    <s v="NO2_A1"/>
    <x v="6"/>
    <x v="7"/>
    <s v="GNR_RES_WTR_NOPMP_MC-02"/>
    <x v="0"/>
    <x v="3"/>
    <n v="887.19205575436604"/>
    <n v="323825.10035034397"/>
    <n v="1165770.36126124"/>
  </r>
  <r>
    <x v="0"/>
    <x v="2"/>
    <x v="2"/>
    <x v="7"/>
    <x v="12"/>
    <s v="NO2_A1"/>
    <x v="6"/>
    <x v="7"/>
    <s v="GNR_RES_WTR_NOPMP_MC-02"/>
    <x v="0"/>
    <x v="4"/>
    <n v="887.19205575436604"/>
    <n v="323825.10035034397"/>
    <n v="1165770.36126124"/>
  </r>
  <r>
    <x v="0"/>
    <x v="2"/>
    <x v="2"/>
    <x v="7"/>
    <x v="12"/>
    <s v="NO2_A1"/>
    <x v="6"/>
    <x v="7"/>
    <s v="GNR_RES_WTR_NOPMP_MC-02"/>
    <x v="0"/>
    <x v="5"/>
    <n v="887.19205575436604"/>
    <n v="323825.10035034397"/>
    <n v="1165770.36126124"/>
  </r>
  <r>
    <x v="0"/>
    <x v="2"/>
    <x v="2"/>
    <x v="7"/>
    <x v="12"/>
    <s v="NO2_A1"/>
    <x v="6"/>
    <x v="7"/>
    <s v="GNR_RES_WTR_NOPMP_MC-02"/>
    <x v="0"/>
    <x v="6"/>
    <n v="887.19205575436604"/>
    <n v="323825.10035034397"/>
    <n v="1165770.36126124"/>
  </r>
  <r>
    <x v="0"/>
    <x v="2"/>
    <x v="2"/>
    <x v="7"/>
    <x v="12"/>
    <s v="NO2_A1"/>
    <x v="6"/>
    <x v="7"/>
    <s v="GNR_RES_WTR_NOPMP_MC-02"/>
    <x v="0"/>
    <x v="7"/>
    <n v="887.19205575436604"/>
    <n v="323825.10035034397"/>
    <n v="1165770.36126124"/>
  </r>
  <r>
    <x v="0"/>
    <x v="2"/>
    <x v="2"/>
    <x v="7"/>
    <x v="12"/>
    <s v="NO2_A1"/>
    <x v="6"/>
    <x v="7"/>
    <s v="GNR_RES_WTR_NOPMP_MC-02"/>
    <x v="0"/>
    <x v="8"/>
    <n v="887.19205575436604"/>
    <n v="323825.10035034397"/>
    <n v="1165770.36126124"/>
  </r>
  <r>
    <x v="0"/>
    <x v="2"/>
    <x v="2"/>
    <x v="7"/>
    <x v="12"/>
    <s v="NO2_A1"/>
    <x v="6"/>
    <x v="7"/>
    <s v="GNR_RES_WTR_NOPMP_MC-02"/>
    <x v="0"/>
    <x v="9"/>
    <n v="887.19205575436604"/>
    <n v="323825.10035034397"/>
    <n v="1165770.36126124"/>
  </r>
  <r>
    <x v="0"/>
    <x v="2"/>
    <x v="2"/>
    <x v="7"/>
    <x v="12"/>
    <s v="NO2_A1"/>
    <x v="6"/>
    <x v="7"/>
    <s v="GNR_RES_WTR_NOPMP_MC-02"/>
    <x v="0"/>
    <x v="10"/>
    <n v="887.19205575436604"/>
    <n v="323825.10035034397"/>
    <n v="1165770.36126124"/>
  </r>
  <r>
    <x v="0"/>
    <x v="2"/>
    <x v="2"/>
    <x v="7"/>
    <x v="12"/>
    <s v="NO2_A1"/>
    <x v="6"/>
    <x v="7"/>
    <s v="GNR_RES_WTR_NOPMP_MC-02"/>
    <x v="0"/>
    <x v="11"/>
    <n v="887.19205575436604"/>
    <n v="323825.10035034397"/>
    <n v="1165770.36126124"/>
  </r>
  <r>
    <x v="0"/>
    <x v="2"/>
    <x v="2"/>
    <x v="7"/>
    <x v="12"/>
    <s v="NO2_A1"/>
    <x v="6"/>
    <x v="7"/>
    <s v="GNR_RES_WTR_NOPMP_MC-02"/>
    <x v="0"/>
    <x v="12"/>
    <n v="887.19205575436604"/>
    <n v="323825.10035034397"/>
    <n v="1165770.36126124"/>
  </r>
  <r>
    <x v="0"/>
    <x v="2"/>
    <x v="2"/>
    <x v="7"/>
    <x v="12"/>
    <s v="NO2_A1"/>
    <x v="6"/>
    <x v="7"/>
    <s v="GNR_RES_WTR_NOPMP_MC-02"/>
    <x v="0"/>
    <x v="13"/>
    <n v="887.19205575436604"/>
    <n v="323825.10035034397"/>
    <n v="1165770.36126124"/>
  </r>
  <r>
    <x v="0"/>
    <x v="2"/>
    <x v="2"/>
    <x v="7"/>
    <x v="12"/>
    <s v="NO2_A1"/>
    <x v="6"/>
    <x v="7"/>
    <s v="GNR_RES_WTR_NOPMP_MC-02"/>
    <x v="0"/>
    <x v="14"/>
    <n v="887.19205575436604"/>
    <n v="323825.10035034397"/>
    <n v="1165770.36126124"/>
  </r>
  <r>
    <x v="0"/>
    <x v="2"/>
    <x v="2"/>
    <x v="7"/>
    <x v="12"/>
    <s v="NO2_A1"/>
    <x v="6"/>
    <x v="7"/>
    <s v="GNR_RES_WTR_NOPMP_MC-02"/>
    <x v="0"/>
    <x v="15"/>
    <n v="887.19205575436604"/>
    <n v="323825.10035034397"/>
    <n v="1165770.36126124"/>
  </r>
  <r>
    <x v="0"/>
    <x v="2"/>
    <x v="2"/>
    <x v="7"/>
    <x v="12"/>
    <s v="NO2_A1"/>
    <x v="6"/>
    <x v="7"/>
    <s v="GNR_RES_WTR_NOPMP_MC-02"/>
    <x v="0"/>
    <x v="16"/>
    <n v="887.19205575436604"/>
    <n v="323825.10035034397"/>
    <n v="1165770.36126124"/>
  </r>
  <r>
    <x v="0"/>
    <x v="2"/>
    <x v="2"/>
    <x v="7"/>
    <x v="12"/>
    <s v="NO2_A1"/>
    <x v="6"/>
    <x v="7"/>
    <s v="GNR_RES_WTR_NOPMP_MC-02"/>
    <x v="0"/>
    <x v="17"/>
    <n v="887.19205575436604"/>
    <n v="323825.10035034397"/>
    <n v="1165770.36126124"/>
  </r>
  <r>
    <x v="0"/>
    <x v="2"/>
    <x v="2"/>
    <x v="7"/>
    <x v="12"/>
    <s v="NO2_A1"/>
    <x v="6"/>
    <x v="7"/>
    <s v="GNR_RES_WTR_NOPMP_MC-02"/>
    <x v="0"/>
    <x v="19"/>
    <n v="887.19205575436604"/>
    <n v="323825.10035034397"/>
    <n v="1165770.36126124"/>
  </r>
  <r>
    <x v="0"/>
    <x v="2"/>
    <x v="2"/>
    <x v="7"/>
    <x v="12"/>
    <s v="NO2_A1"/>
    <x v="6"/>
    <x v="7"/>
    <s v="GNR_RES_WTR_NOPMP_MC-02"/>
    <x v="0"/>
    <x v="20"/>
    <n v="887.19205575436604"/>
    <n v="323825.10035034397"/>
    <n v="1165770.36126124"/>
  </r>
  <r>
    <x v="0"/>
    <x v="2"/>
    <x v="2"/>
    <x v="7"/>
    <x v="12"/>
    <s v="NO2_A1"/>
    <x v="6"/>
    <x v="7"/>
    <s v="GNR_RES_WTR_NOPMP_MC-02"/>
    <x v="0"/>
    <x v="21"/>
    <n v="887.19205575436604"/>
    <n v="323825.10035034397"/>
    <n v="1165770.36126124"/>
  </r>
  <r>
    <x v="0"/>
    <x v="2"/>
    <x v="2"/>
    <x v="7"/>
    <x v="12"/>
    <s v="NO2_A1"/>
    <x v="6"/>
    <x v="7"/>
    <s v="GNR_RES_WTR_NOPMP_MC-02"/>
    <x v="0"/>
    <x v="22"/>
    <n v="887.19205575436604"/>
    <n v="323825.10035034397"/>
    <n v="1165770.36126124"/>
  </r>
  <r>
    <x v="0"/>
    <x v="2"/>
    <x v="2"/>
    <x v="7"/>
    <x v="12"/>
    <s v="NO2_A1"/>
    <x v="6"/>
    <x v="7"/>
    <s v="GNR_RES_WTR_NOPMP_MC-02"/>
    <x v="0"/>
    <x v="23"/>
    <n v="887.19205575436604"/>
    <n v="323825.10035034397"/>
    <n v="1165770.36126124"/>
  </r>
  <r>
    <x v="0"/>
    <x v="2"/>
    <x v="2"/>
    <x v="7"/>
    <x v="12"/>
    <s v="NO2_A1"/>
    <x v="6"/>
    <x v="7"/>
    <s v="GNR_RES_WTR_NOPMP_MC-03"/>
    <x v="0"/>
    <x v="0"/>
    <n v="887.19205575436604"/>
    <n v="323825.10035034397"/>
    <n v="1165770.36126124"/>
  </r>
  <r>
    <x v="0"/>
    <x v="2"/>
    <x v="2"/>
    <x v="7"/>
    <x v="12"/>
    <s v="NO2_A1"/>
    <x v="6"/>
    <x v="7"/>
    <s v="GNR_RES_WTR_NOPMP_MC-03"/>
    <x v="0"/>
    <x v="1"/>
    <n v="887.19205575436604"/>
    <n v="323825.10035034397"/>
    <n v="1165770.36126124"/>
  </r>
  <r>
    <x v="0"/>
    <x v="2"/>
    <x v="2"/>
    <x v="7"/>
    <x v="12"/>
    <s v="NO2_A1"/>
    <x v="6"/>
    <x v="7"/>
    <s v="GNR_RES_WTR_NOPMP_MC-03"/>
    <x v="0"/>
    <x v="18"/>
    <n v="887.19205575436604"/>
    <n v="323825.10035034397"/>
    <n v="1165770.36126124"/>
  </r>
  <r>
    <x v="0"/>
    <x v="2"/>
    <x v="2"/>
    <x v="7"/>
    <x v="12"/>
    <s v="NO2_A1"/>
    <x v="6"/>
    <x v="7"/>
    <s v="GNR_RES_WTR_NOPMP_MC-03"/>
    <x v="0"/>
    <x v="2"/>
    <n v="887.19205575436604"/>
    <n v="323825.10035034397"/>
    <n v="1165770.36126124"/>
  </r>
  <r>
    <x v="0"/>
    <x v="2"/>
    <x v="2"/>
    <x v="7"/>
    <x v="12"/>
    <s v="NO2_A1"/>
    <x v="6"/>
    <x v="7"/>
    <s v="GNR_RES_WTR_NOPMP_MC-03"/>
    <x v="0"/>
    <x v="3"/>
    <n v="887.19205575436604"/>
    <n v="323825.10035034397"/>
    <n v="1165770.36126124"/>
  </r>
  <r>
    <x v="0"/>
    <x v="2"/>
    <x v="2"/>
    <x v="7"/>
    <x v="12"/>
    <s v="NO2_A1"/>
    <x v="6"/>
    <x v="7"/>
    <s v="GNR_RES_WTR_NOPMP_MC-03"/>
    <x v="0"/>
    <x v="4"/>
    <n v="887.19205575436604"/>
    <n v="323825.10035034397"/>
    <n v="1165770.36126124"/>
  </r>
  <r>
    <x v="0"/>
    <x v="2"/>
    <x v="2"/>
    <x v="7"/>
    <x v="12"/>
    <s v="NO2_A1"/>
    <x v="6"/>
    <x v="7"/>
    <s v="GNR_RES_WTR_NOPMP_MC-03"/>
    <x v="0"/>
    <x v="5"/>
    <n v="887.19205575436604"/>
    <n v="323825.10035034397"/>
    <n v="1165770.36126124"/>
  </r>
  <r>
    <x v="0"/>
    <x v="2"/>
    <x v="2"/>
    <x v="7"/>
    <x v="12"/>
    <s v="NO2_A1"/>
    <x v="6"/>
    <x v="7"/>
    <s v="GNR_RES_WTR_NOPMP_MC-03"/>
    <x v="0"/>
    <x v="6"/>
    <n v="887.19205575436604"/>
    <n v="323825.10035034397"/>
    <n v="1165770.36126124"/>
  </r>
  <r>
    <x v="0"/>
    <x v="2"/>
    <x v="2"/>
    <x v="7"/>
    <x v="12"/>
    <s v="NO2_A1"/>
    <x v="6"/>
    <x v="7"/>
    <s v="GNR_RES_WTR_NOPMP_MC-03"/>
    <x v="0"/>
    <x v="7"/>
    <n v="887.19205575436604"/>
    <n v="323825.10035034397"/>
    <n v="1165770.36126124"/>
  </r>
  <r>
    <x v="0"/>
    <x v="2"/>
    <x v="2"/>
    <x v="7"/>
    <x v="12"/>
    <s v="NO2_A1"/>
    <x v="6"/>
    <x v="7"/>
    <s v="GNR_RES_WTR_NOPMP_MC-03"/>
    <x v="0"/>
    <x v="8"/>
    <n v="887.19205575436604"/>
    <n v="323825.10035034397"/>
    <n v="1165770.36126124"/>
  </r>
  <r>
    <x v="0"/>
    <x v="2"/>
    <x v="2"/>
    <x v="7"/>
    <x v="12"/>
    <s v="NO2_A1"/>
    <x v="6"/>
    <x v="7"/>
    <s v="GNR_RES_WTR_NOPMP_MC-03"/>
    <x v="0"/>
    <x v="9"/>
    <n v="887.19205575436604"/>
    <n v="323825.10035034397"/>
    <n v="1165770.36126124"/>
  </r>
  <r>
    <x v="0"/>
    <x v="2"/>
    <x v="2"/>
    <x v="7"/>
    <x v="12"/>
    <s v="NO2_A1"/>
    <x v="6"/>
    <x v="7"/>
    <s v="GNR_RES_WTR_NOPMP_MC-03"/>
    <x v="0"/>
    <x v="10"/>
    <n v="887.19205575436604"/>
    <n v="323825.10035034397"/>
    <n v="1165770.36126124"/>
  </r>
  <r>
    <x v="0"/>
    <x v="2"/>
    <x v="2"/>
    <x v="7"/>
    <x v="12"/>
    <s v="NO2_A1"/>
    <x v="6"/>
    <x v="7"/>
    <s v="GNR_RES_WTR_NOPMP_MC-03"/>
    <x v="0"/>
    <x v="12"/>
    <n v="127.362612845825"/>
    <n v="46487.3536887261"/>
    <n v="167354.473279414"/>
  </r>
  <r>
    <x v="0"/>
    <x v="2"/>
    <x v="2"/>
    <x v="7"/>
    <x v="12"/>
    <s v="NO2_A1"/>
    <x v="6"/>
    <x v="7"/>
    <s v="GNR_RES_WTR_NOPMP_MC-03"/>
    <x v="0"/>
    <x v="13"/>
    <n v="116.927937045428"/>
    <n v="42678.697021581102"/>
    <n v="153643.30927769199"/>
  </r>
  <r>
    <x v="0"/>
    <x v="2"/>
    <x v="2"/>
    <x v="7"/>
    <x v="12"/>
    <s v="NO2_A1"/>
    <x v="6"/>
    <x v="7"/>
    <s v="GNR_RES_WTR_NOPMP_MC-03"/>
    <x v="0"/>
    <x v="14"/>
    <n v="887.19205575436604"/>
    <n v="323825.10035034397"/>
    <n v="1165770.36126124"/>
  </r>
  <r>
    <x v="0"/>
    <x v="2"/>
    <x v="2"/>
    <x v="7"/>
    <x v="12"/>
    <s v="NO2_A1"/>
    <x v="6"/>
    <x v="7"/>
    <s v="GNR_RES_WTR_NOPMP_MC-03"/>
    <x v="0"/>
    <x v="15"/>
    <n v="887.19205575436604"/>
    <n v="323825.10035034397"/>
    <n v="1165770.36126124"/>
  </r>
  <r>
    <x v="0"/>
    <x v="2"/>
    <x v="2"/>
    <x v="7"/>
    <x v="12"/>
    <s v="NO2_A1"/>
    <x v="6"/>
    <x v="7"/>
    <s v="GNR_RES_WTR_NOPMP_MC-03"/>
    <x v="0"/>
    <x v="16"/>
    <n v="887.19205575436604"/>
    <n v="323825.10035034397"/>
    <n v="1165770.36126124"/>
  </r>
  <r>
    <x v="0"/>
    <x v="2"/>
    <x v="2"/>
    <x v="7"/>
    <x v="12"/>
    <s v="NO2_A1"/>
    <x v="6"/>
    <x v="7"/>
    <s v="GNR_RES_WTR_NOPMP_MC-03"/>
    <x v="0"/>
    <x v="17"/>
    <n v="887.19205575436604"/>
    <n v="323825.10035034397"/>
    <n v="1165770.36126124"/>
  </r>
  <r>
    <x v="0"/>
    <x v="2"/>
    <x v="2"/>
    <x v="7"/>
    <x v="12"/>
    <s v="NO2_A1"/>
    <x v="6"/>
    <x v="7"/>
    <s v="GNR_RES_WTR_NOPMP_MC-03"/>
    <x v="0"/>
    <x v="19"/>
    <n v="887.19205575436604"/>
    <n v="323825.10035034397"/>
    <n v="1165770.36126124"/>
  </r>
  <r>
    <x v="0"/>
    <x v="2"/>
    <x v="2"/>
    <x v="7"/>
    <x v="12"/>
    <s v="NO2_A1"/>
    <x v="6"/>
    <x v="7"/>
    <s v="GNR_RES_WTR_NOPMP_MC-03"/>
    <x v="0"/>
    <x v="20"/>
    <n v="887.19205575436604"/>
    <n v="323825.10035034397"/>
    <n v="1165770.36126124"/>
  </r>
  <r>
    <x v="0"/>
    <x v="2"/>
    <x v="2"/>
    <x v="7"/>
    <x v="12"/>
    <s v="NO2_A1"/>
    <x v="6"/>
    <x v="7"/>
    <s v="GNR_RES_WTR_NOPMP_MC-03"/>
    <x v="0"/>
    <x v="21"/>
    <n v="887.19205575436604"/>
    <n v="323825.10035034397"/>
    <n v="1165770.36126124"/>
  </r>
  <r>
    <x v="0"/>
    <x v="2"/>
    <x v="2"/>
    <x v="7"/>
    <x v="12"/>
    <s v="NO2_A1"/>
    <x v="6"/>
    <x v="7"/>
    <s v="GNR_RES_WTR_NOPMP_MC-03"/>
    <x v="0"/>
    <x v="22"/>
    <n v="887.19205575436604"/>
    <n v="323825.10035034397"/>
    <n v="1165770.36126124"/>
  </r>
  <r>
    <x v="0"/>
    <x v="2"/>
    <x v="2"/>
    <x v="7"/>
    <x v="12"/>
    <s v="NO2_A1"/>
    <x v="6"/>
    <x v="7"/>
    <s v="GNR_RES_WTR_NOPMP_MC-03"/>
    <x v="0"/>
    <x v="23"/>
    <n v="887.19205575436604"/>
    <n v="323825.10035034397"/>
    <n v="1165770.36126124"/>
  </r>
  <r>
    <x v="0"/>
    <x v="2"/>
    <x v="2"/>
    <x v="7"/>
    <x v="12"/>
    <s v="NO2_A1"/>
    <x v="6"/>
    <x v="7"/>
    <s v="GNR_RES_WTR_NOPMP_MC-04"/>
    <x v="0"/>
    <x v="0"/>
    <n v="887.19205575436604"/>
    <n v="323825.10035034397"/>
    <n v="1165770.36126124"/>
  </r>
  <r>
    <x v="0"/>
    <x v="2"/>
    <x v="2"/>
    <x v="7"/>
    <x v="12"/>
    <s v="NO2_A1"/>
    <x v="6"/>
    <x v="7"/>
    <s v="GNR_RES_WTR_NOPMP_MC-04"/>
    <x v="0"/>
    <x v="1"/>
    <n v="718.14759996055795"/>
    <n v="262123.873985604"/>
    <n v="943645.94634817296"/>
  </r>
  <r>
    <x v="0"/>
    <x v="2"/>
    <x v="2"/>
    <x v="7"/>
    <x v="12"/>
    <s v="NO2_A1"/>
    <x v="6"/>
    <x v="7"/>
    <s v="GNR_RES_WTR_NOPMP_MC-04"/>
    <x v="0"/>
    <x v="18"/>
    <n v="887.19205575436604"/>
    <n v="323825.10035034397"/>
    <n v="1165770.36126124"/>
  </r>
  <r>
    <x v="0"/>
    <x v="2"/>
    <x v="2"/>
    <x v="7"/>
    <x v="12"/>
    <s v="NO2_A1"/>
    <x v="6"/>
    <x v="7"/>
    <s v="GNR_RES_WTR_NOPMP_MC-04"/>
    <x v="0"/>
    <x v="2"/>
    <n v="744.29358538620397"/>
    <n v="271667.15866596397"/>
    <n v="978001.771197472"/>
  </r>
  <r>
    <x v="0"/>
    <x v="2"/>
    <x v="2"/>
    <x v="7"/>
    <x v="12"/>
    <s v="NO2_A1"/>
    <x v="6"/>
    <x v="7"/>
    <s v="GNR_RES_WTR_NOPMP_MC-04"/>
    <x v="0"/>
    <x v="3"/>
    <n v="811.49340122917101"/>
    <n v="296195.09144864703"/>
    <n v="1066302.3292151301"/>
  </r>
  <r>
    <x v="0"/>
    <x v="2"/>
    <x v="2"/>
    <x v="7"/>
    <x v="12"/>
    <s v="NO2_A1"/>
    <x v="6"/>
    <x v="7"/>
    <s v="GNR_RES_WTR_NOPMP_MC-04"/>
    <x v="0"/>
    <x v="4"/>
    <n v="887.19205575436604"/>
    <n v="323825.10035034397"/>
    <n v="1165770.36126124"/>
  </r>
  <r>
    <x v="0"/>
    <x v="2"/>
    <x v="2"/>
    <x v="7"/>
    <x v="12"/>
    <s v="NO2_A1"/>
    <x v="6"/>
    <x v="7"/>
    <s v="GNR_RES_WTR_NOPMP_MC-04"/>
    <x v="0"/>
    <x v="5"/>
    <n v="887.19205575436604"/>
    <n v="323825.10035034397"/>
    <n v="1165770.36126124"/>
  </r>
  <r>
    <x v="0"/>
    <x v="2"/>
    <x v="2"/>
    <x v="7"/>
    <x v="12"/>
    <s v="NO2_A1"/>
    <x v="6"/>
    <x v="7"/>
    <s v="GNR_RES_WTR_NOPMP_MC-04"/>
    <x v="0"/>
    <x v="6"/>
    <n v="887.19205575436604"/>
    <n v="323825.10035034397"/>
    <n v="1165770.36126124"/>
  </r>
  <r>
    <x v="0"/>
    <x v="2"/>
    <x v="2"/>
    <x v="7"/>
    <x v="12"/>
    <s v="NO2_A1"/>
    <x v="6"/>
    <x v="7"/>
    <s v="GNR_RES_WTR_NOPMP_MC-04"/>
    <x v="0"/>
    <x v="7"/>
    <n v="887.19205575436604"/>
    <n v="323825.10035034397"/>
    <n v="1165770.36126124"/>
  </r>
  <r>
    <x v="0"/>
    <x v="2"/>
    <x v="2"/>
    <x v="7"/>
    <x v="12"/>
    <s v="NO2_A1"/>
    <x v="6"/>
    <x v="7"/>
    <s v="GNR_RES_WTR_NOPMP_MC-04"/>
    <x v="0"/>
    <x v="8"/>
    <n v="887.19205575436604"/>
    <n v="323825.10035034397"/>
    <n v="1165770.36126124"/>
  </r>
  <r>
    <x v="0"/>
    <x v="2"/>
    <x v="2"/>
    <x v="7"/>
    <x v="12"/>
    <s v="NO2_A1"/>
    <x v="6"/>
    <x v="7"/>
    <s v="GNR_RES_WTR_NOPMP_MC-04"/>
    <x v="0"/>
    <x v="9"/>
    <n v="887.19205575436604"/>
    <n v="323825.10035034397"/>
    <n v="1165770.36126124"/>
  </r>
  <r>
    <x v="0"/>
    <x v="2"/>
    <x v="2"/>
    <x v="7"/>
    <x v="12"/>
    <s v="NO2_A1"/>
    <x v="6"/>
    <x v="7"/>
    <s v="GNR_RES_WTR_NOPMP_MC-04"/>
    <x v="0"/>
    <x v="14"/>
    <n v="887.19205575436604"/>
    <n v="323825.10035034397"/>
    <n v="1165770.36126124"/>
  </r>
  <r>
    <x v="0"/>
    <x v="2"/>
    <x v="2"/>
    <x v="7"/>
    <x v="12"/>
    <s v="NO2_A1"/>
    <x v="6"/>
    <x v="7"/>
    <s v="GNR_RES_WTR_NOPMP_MC-04"/>
    <x v="0"/>
    <x v="15"/>
    <n v="887.19205575436604"/>
    <n v="323825.10035034397"/>
    <n v="1165770.36126124"/>
  </r>
  <r>
    <x v="0"/>
    <x v="2"/>
    <x v="2"/>
    <x v="7"/>
    <x v="12"/>
    <s v="NO2_A1"/>
    <x v="6"/>
    <x v="7"/>
    <s v="GNR_RES_WTR_NOPMP_MC-04"/>
    <x v="0"/>
    <x v="16"/>
    <n v="887.19205575436604"/>
    <n v="323825.10035034397"/>
    <n v="1165770.36126124"/>
  </r>
  <r>
    <x v="0"/>
    <x v="2"/>
    <x v="2"/>
    <x v="7"/>
    <x v="12"/>
    <s v="NO2_A1"/>
    <x v="6"/>
    <x v="7"/>
    <s v="GNR_RES_WTR_NOPMP_MC-04"/>
    <x v="0"/>
    <x v="17"/>
    <n v="887.19205575436604"/>
    <n v="323825.10035034397"/>
    <n v="1165770.36126124"/>
  </r>
  <r>
    <x v="0"/>
    <x v="2"/>
    <x v="2"/>
    <x v="7"/>
    <x v="12"/>
    <s v="NO2_A1"/>
    <x v="6"/>
    <x v="7"/>
    <s v="GNR_RES_WTR_NOPMP_MC-04"/>
    <x v="0"/>
    <x v="19"/>
    <n v="887.19205575436604"/>
    <n v="323825.10035034397"/>
    <n v="1165770.36126124"/>
  </r>
  <r>
    <x v="0"/>
    <x v="2"/>
    <x v="2"/>
    <x v="7"/>
    <x v="12"/>
    <s v="NO2_A1"/>
    <x v="6"/>
    <x v="7"/>
    <s v="GNR_RES_WTR_NOPMP_MC-04"/>
    <x v="0"/>
    <x v="20"/>
    <n v="887.19205575436604"/>
    <n v="323825.10035034397"/>
    <n v="1165770.36126124"/>
  </r>
  <r>
    <x v="0"/>
    <x v="2"/>
    <x v="2"/>
    <x v="7"/>
    <x v="12"/>
    <s v="NO2_A1"/>
    <x v="6"/>
    <x v="7"/>
    <s v="GNR_RES_WTR_NOPMP_MC-04"/>
    <x v="0"/>
    <x v="21"/>
    <n v="887.19205575436604"/>
    <n v="323825.10035034397"/>
    <n v="1165770.36126124"/>
  </r>
  <r>
    <x v="0"/>
    <x v="2"/>
    <x v="2"/>
    <x v="7"/>
    <x v="12"/>
    <s v="NO2_A1"/>
    <x v="6"/>
    <x v="7"/>
    <s v="GNR_RES_WTR_NOPMP_MC-04"/>
    <x v="0"/>
    <x v="22"/>
    <n v="887.19205575436604"/>
    <n v="323825.10035034397"/>
    <n v="1165770.36126124"/>
  </r>
  <r>
    <x v="0"/>
    <x v="2"/>
    <x v="2"/>
    <x v="7"/>
    <x v="12"/>
    <s v="NO2_A1"/>
    <x v="6"/>
    <x v="7"/>
    <s v="GNR_RES_WTR_NOPMP_MC-04"/>
    <x v="0"/>
    <x v="23"/>
    <n v="887.19205575436604"/>
    <n v="323825.10035034397"/>
    <n v="1165770.36126124"/>
  </r>
  <r>
    <x v="0"/>
    <x v="2"/>
    <x v="2"/>
    <x v="7"/>
    <x v="12"/>
    <s v="NO2_A1"/>
    <x v="6"/>
    <x v="7"/>
    <s v="GNR_RES_WTR_NOPMP_MC-05"/>
    <x v="0"/>
    <x v="0"/>
    <n v="887.19205575436604"/>
    <n v="323825.10035034397"/>
    <n v="1165770.36126124"/>
  </r>
  <r>
    <x v="0"/>
    <x v="2"/>
    <x v="2"/>
    <x v="7"/>
    <x v="12"/>
    <s v="NO2_A1"/>
    <x v="6"/>
    <x v="7"/>
    <s v="GNR_RES_WTR_NOPMP_MC-05"/>
    <x v="0"/>
    <x v="18"/>
    <n v="135.50602087480601"/>
    <n v="49459.697619304199"/>
    <n v="178054.911429495"/>
  </r>
  <r>
    <x v="0"/>
    <x v="2"/>
    <x v="2"/>
    <x v="7"/>
    <x v="12"/>
    <s v="NO2_A1"/>
    <x v="6"/>
    <x v="7"/>
    <s v="GNR_RES_WTR_NOPMP_MC-05"/>
    <x v="0"/>
    <x v="4"/>
    <n v="70.337652520689304"/>
    <n v="25673.243170051599"/>
    <n v="92423.675412185694"/>
  </r>
  <r>
    <x v="0"/>
    <x v="2"/>
    <x v="2"/>
    <x v="7"/>
    <x v="12"/>
    <s v="NO2_A1"/>
    <x v="6"/>
    <x v="7"/>
    <s v="GNR_RES_WTR_NOPMP_MC-05"/>
    <x v="0"/>
    <x v="5"/>
    <n v="380.12947695789899"/>
    <n v="138747.25908963301"/>
    <n v="499490.132722679"/>
  </r>
  <r>
    <x v="0"/>
    <x v="2"/>
    <x v="2"/>
    <x v="7"/>
    <x v="12"/>
    <s v="NO2_A1"/>
    <x v="6"/>
    <x v="7"/>
    <s v="GNR_RES_WTR_NOPMP_MC-05"/>
    <x v="0"/>
    <x v="6"/>
    <n v="887.19205575436604"/>
    <n v="323825.10035034397"/>
    <n v="1165770.36126124"/>
  </r>
  <r>
    <x v="0"/>
    <x v="2"/>
    <x v="2"/>
    <x v="7"/>
    <x v="12"/>
    <s v="NO2_A1"/>
    <x v="6"/>
    <x v="7"/>
    <s v="GNR_RES_WTR_NOPMP_MC-05"/>
    <x v="0"/>
    <x v="7"/>
    <n v="887.19205575436604"/>
    <n v="323825.10035034397"/>
    <n v="1165770.36126124"/>
  </r>
  <r>
    <x v="0"/>
    <x v="2"/>
    <x v="2"/>
    <x v="7"/>
    <x v="12"/>
    <s v="NO2_A1"/>
    <x v="6"/>
    <x v="7"/>
    <s v="GNR_RES_WTR_NOPMP_MC-05"/>
    <x v="0"/>
    <x v="8"/>
    <n v="887.19205575436604"/>
    <n v="323825.10035034397"/>
    <n v="1165770.36126124"/>
  </r>
  <r>
    <x v="0"/>
    <x v="2"/>
    <x v="2"/>
    <x v="7"/>
    <x v="12"/>
    <s v="NO2_A1"/>
    <x v="6"/>
    <x v="7"/>
    <s v="GNR_RES_WTR_NOPMP_MC-05"/>
    <x v="0"/>
    <x v="9"/>
    <n v="132.859375321637"/>
    <n v="48493.671992397598"/>
    <n v="174577.21917263101"/>
  </r>
  <r>
    <x v="0"/>
    <x v="2"/>
    <x v="2"/>
    <x v="7"/>
    <x v="12"/>
    <s v="NO2_A1"/>
    <x v="6"/>
    <x v="7"/>
    <s v="GNR_RES_WTR_NOPMP_MC-05"/>
    <x v="0"/>
    <x v="14"/>
    <n v="404.30706351142601"/>
    <n v="147572.07818167101"/>
    <n v="531259.48145401396"/>
  </r>
  <r>
    <x v="0"/>
    <x v="2"/>
    <x v="2"/>
    <x v="7"/>
    <x v="12"/>
    <s v="NO2_A1"/>
    <x v="6"/>
    <x v="7"/>
    <s v="GNR_RES_WTR_NOPMP_MC-05"/>
    <x v="0"/>
    <x v="15"/>
    <n v="887.19205575436604"/>
    <n v="323825.10035034397"/>
    <n v="1165770.36126124"/>
  </r>
  <r>
    <x v="0"/>
    <x v="2"/>
    <x v="2"/>
    <x v="7"/>
    <x v="12"/>
    <s v="NO2_A1"/>
    <x v="6"/>
    <x v="7"/>
    <s v="GNR_RES_WTR_NOPMP_MC-05"/>
    <x v="0"/>
    <x v="16"/>
    <n v="887.19205575436604"/>
    <n v="323825.10035034397"/>
    <n v="1165770.36126124"/>
  </r>
  <r>
    <x v="0"/>
    <x v="2"/>
    <x v="2"/>
    <x v="7"/>
    <x v="12"/>
    <s v="NO2_A1"/>
    <x v="6"/>
    <x v="7"/>
    <s v="GNR_RES_WTR_NOPMP_MC-05"/>
    <x v="0"/>
    <x v="17"/>
    <n v="887.19205575436604"/>
    <n v="323825.10035034397"/>
    <n v="1165770.36126124"/>
  </r>
  <r>
    <x v="0"/>
    <x v="2"/>
    <x v="2"/>
    <x v="7"/>
    <x v="12"/>
    <s v="NO2_A1"/>
    <x v="6"/>
    <x v="7"/>
    <s v="GNR_RES_WTR_NOPMP_MC-05"/>
    <x v="0"/>
    <x v="19"/>
    <n v="887.19205575436604"/>
    <n v="323825.10035034397"/>
    <n v="1165770.36126124"/>
  </r>
  <r>
    <x v="0"/>
    <x v="2"/>
    <x v="2"/>
    <x v="7"/>
    <x v="12"/>
    <s v="NO2_A1"/>
    <x v="6"/>
    <x v="7"/>
    <s v="GNR_RES_WTR_NOPMP_MC-05"/>
    <x v="0"/>
    <x v="20"/>
    <n v="887.19205575436604"/>
    <n v="323825.10035034397"/>
    <n v="1165770.36126124"/>
  </r>
  <r>
    <x v="0"/>
    <x v="2"/>
    <x v="2"/>
    <x v="7"/>
    <x v="12"/>
    <s v="NO2_A1"/>
    <x v="6"/>
    <x v="7"/>
    <s v="GNR_RES_WTR_NOPMP_MC-05"/>
    <x v="0"/>
    <x v="21"/>
    <n v="887.19205575436604"/>
    <n v="323825.10035034397"/>
    <n v="1165770.36126124"/>
  </r>
  <r>
    <x v="0"/>
    <x v="2"/>
    <x v="2"/>
    <x v="7"/>
    <x v="12"/>
    <s v="NO2_A1"/>
    <x v="6"/>
    <x v="7"/>
    <s v="GNR_RES_WTR_NOPMP_MC-05"/>
    <x v="0"/>
    <x v="22"/>
    <n v="785.164705440587"/>
    <n v="286585.11748581397"/>
    <n v="1031706.4229489299"/>
  </r>
  <r>
    <x v="0"/>
    <x v="2"/>
    <x v="2"/>
    <x v="7"/>
    <x v="12"/>
    <s v="NO2_A1"/>
    <x v="6"/>
    <x v="7"/>
    <s v="GNR_RES_WTR_NOPMP_MC-05"/>
    <x v="0"/>
    <x v="23"/>
    <n v="800.31571207369996"/>
    <n v="292115.23490689998"/>
    <n v="1051614.84566484"/>
  </r>
  <r>
    <x v="0"/>
    <x v="2"/>
    <x v="2"/>
    <x v="7"/>
    <x v="12"/>
    <s v="NO2_A1"/>
    <x v="6"/>
    <x v="7"/>
    <s v="GNR_RES_WTR_NOPMP_MC-06"/>
    <x v="0"/>
    <x v="0"/>
    <n v="142.67893745783101"/>
    <n v="52077.812172108403"/>
    <n v="187480.12381958999"/>
  </r>
  <r>
    <x v="0"/>
    <x v="2"/>
    <x v="2"/>
    <x v="7"/>
    <x v="12"/>
    <s v="NO2_A1"/>
    <x v="6"/>
    <x v="7"/>
    <s v="GNR_RES_WTR_NOPMP_MC-06"/>
    <x v="0"/>
    <x v="6"/>
    <n v="887.19205575436604"/>
    <n v="323825.10035034397"/>
    <n v="1165770.36126124"/>
  </r>
  <r>
    <x v="0"/>
    <x v="2"/>
    <x v="2"/>
    <x v="7"/>
    <x v="12"/>
    <s v="NO2_A1"/>
    <x v="6"/>
    <x v="7"/>
    <s v="GNR_RES_WTR_NOPMP_MC-06"/>
    <x v="0"/>
    <x v="7"/>
    <n v="887.19205575436604"/>
    <n v="323825.10035034397"/>
    <n v="1165770.36126124"/>
  </r>
  <r>
    <x v="0"/>
    <x v="2"/>
    <x v="2"/>
    <x v="7"/>
    <x v="12"/>
    <s v="NO2_A1"/>
    <x v="6"/>
    <x v="7"/>
    <s v="GNR_RES_WTR_NOPMP_MC-06"/>
    <x v="0"/>
    <x v="8"/>
    <n v="887.19205575436604"/>
    <n v="323825.10035034397"/>
    <n v="1165770.36126124"/>
  </r>
  <r>
    <x v="0"/>
    <x v="2"/>
    <x v="2"/>
    <x v="7"/>
    <x v="12"/>
    <s v="NO2_A1"/>
    <x v="6"/>
    <x v="7"/>
    <s v="GNR_RES_WTR_NOPMP_MC-06"/>
    <x v="0"/>
    <x v="15"/>
    <n v="887.19205575436604"/>
    <n v="323825.10035034397"/>
    <n v="1165770.36126124"/>
  </r>
  <r>
    <x v="0"/>
    <x v="2"/>
    <x v="2"/>
    <x v="7"/>
    <x v="12"/>
    <s v="NO2_A1"/>
    <x v="6"/>
    <x v="7"/>
    <s v="GNR_RES_WTR_NOPMP_MC-06"/>
    <x v="0"/>
    <x v="16"/>
    <n v="887.19205575436604"/>
    <n v="323825.10035034397"/>
    <n v="1165770.36126124"/>
  </r>
  <r>
    <x v="0"/>
    <x v="2"/>
    <x v="2"/>
    <x v="7"/>
    <x v="12"/>
    <s v="NO2_A1"/>
    <x v="6"/>
    <x v="7"/>
    <s v="GNR_RES_WTR_NOPMP_MC-06"/>
    <x v="0"/>
    <x v="17"/>
    <n v="887.19205575436604"/>
    <n v="323825.10035034397"/>
    <n v="1165770.36126124"/>
  </r>
  <r>
    <x v="0"/>
    <x v="2"/>
    <x v="2"/>
    <x v="7"/>
    <x v="12"/>
    <s v="NO2_A1"/>
    <x v="6"/>
    <x v="7"/>
    <s v="GNR_RES_WTR_NOPMP_MC-06"/>
    <x v="0"/>
    <x v="20"/>
    <n v="157.57732275153401"/>
    <n v="57515.722804310099"/>
    <n v="207056.60209551599"/>
  </r>
  <r>
    <x v="0"/>
    <x v="2"/>
    <x v="2"/>
    <x v="7"/>
    <x v="12"/>
    <s v="NO2_A1"/>
    <x v="6"/>
    <x v="7"/>
    <s v="GNR_RES_WTR_NOPMP_MC-07"/>
    <x v="0"/>
    <x v="6"/>
    <n v="175.25410302315001"/>
    <n v="63967.747603449803"/>
    <n v="230283.89137241899"/>
  </r>
  <r>
    <x v="0"/>
    <x v="2"/>
    <x v="2"/>
    <x v="7"/>
    <x v="12"/>
    <s v="NO2_A1"/>
    <x v="6"/>
    <x v="7"/>
    <s v="GNR_RES_WTR_NOPMP_MC-07"/>
    <x v="0"/>
    <x v="7"/>
    <n v="887.19205575436604"/>
    <n v="323825.10035034397"/>
    <n v="1165770.36126124"/>
  </r>
  <r>
    <x v="0"/>
    <x v="2"/>
    <x v="2"/>
    <x v="7"/>
    <x v="12"/>
    <s v="NO2_A1"/>
    <x v="6"/>
    <x v="7"/>
    <s v="GNR_RES_WTR_NOPMP_MC-07"/>
    <x v="0"/>
    <x v="8"/>
    <n v="887.19205575436604"/>
    <n v="323825.10035034397"/>
    <n v="1165770.36126124"/>
  </r>
  <r>
    <x v="0"/>
    <x v="2"/>
    <x v="2"/>
    <x v="7"/>
    <x v="12"/>
    <s v="NO2_A1"/>
    <x v="6"/>
    <x v="7"/>
    <s v="GNR_RES_WTR_NOPMP_MC-07"/>
    <x v="0"/>
    <x v="15"/>
    <n v="887.19205575436604"/>
    <n v="323825.10035034397"/>
    <n v="1165770.36126124"/>
  </r>
  <r>
    <x v="0"/>
    <x v="2"/>
    <x v="2"/>
    <x v="7"/>
    <x v="12"/>
    <s v="NO2_A1"/>
    <x v="6"/>
    <x v="7"/>
    <s v="GNR_RES_WTR_NOPMP_MC-07"/>
    <x v="0"/>
    <x v="16"/>
    <n v="887.19205575436604"/>
    <n v="323825.10035034397"/>
    <n v="1165770.36126124"/>
  </r>
  <r>
    <x v="0"/>
    <x v="2"/>
    <x v="2"/>
    <x v="7"/>
    <x v="12"/>
    <s v="NO2_A1"/>
    <x v="6"/>
    <x v="7"/>
    <s v="GNR_RES_WTR_NOPMP_MC-07"/>
    <x v="0"/>
    <x v="17"/>
    <n v="887.19205575436604"/>
    <n v="323825.10035034397"/>
    <n v="1165770.36126124"/>
  </r>
  <r>
    <x v="0"/>
    <x v="2"/>
    <x v="2"/>
    <x v="7"/>
    <x v="12"/>
    <s v="NO2_A1"/>
    <x v="6"/>
    <x v="7"/>
    <s v="GNR_RES_WTR_NOPMP_MC-08"/>
    <x v="0"/>
    <x v="7"/>
    <n v="655.96538907894796"/>
    <n v="239427.36701381599"/>
    <n v="861938.52124973806"/>
  </r>
  <r>
    <x v="0"/>
    <x v="2"/>
    <x v="2"/>
    <x v="7"/>
    <x v="12"/>
    <s v="NO2_A1"/>
    <x v="6"/>
    <x v="7"/>
    <s v="GNR_RES_WTR_NOPMP_MC-08"/>
    <x v="0"/>
    <x v="8"/>
    <n v="455.62825320774499"/>
    <n v="166304.31242082699"/>
    <n v="598695.52471497701"/>
  </r>
  <r>
    <x v="0"/>
    <x v="2"/>
    <x v="2"/>
    <x v="7"/>
    <x v="12"/>
    <s v="NO2_A1"/>
    <x v="6"/>
    <x v="7"/>
    <s v="GNR_RES_WTR_NOPMP_MC-08"/>
    <x v="0"/>
    <x v="15"/>
    <n v="549.57834101764001"/>
    <n v="200596.094471438"/>
    <n v="722145.94009717798"/>
  </r>
  <r>
    <x v="0"/>
    <x v="2"/>
    <x v="2"/>
    <x v="7"/>
    <x v="12"/>
    <s v="NO2_A1"/>
    <x v="6"/>
    <x v="7"/>
    <s v="GNR_RES_WTR_NOPMP_MC-08"/>
    <x v="0"/>
    <x v="16"/>
    <n v="397.93406626843802"/>
    <n v="145245.93418797999"/>
    <n v="522885.36307672801"/>
  </r>
  <r>
    <x v="0"/>
    <x v="2"/>
    <x v="2"/>
    <x v="7"/>
    <x v="12"/>
    <s v="NO2_A1"/>
    <x v="6"/>
    <x v="7"/>
    <s v="GNR_RES_WTR_PMP_MC-01"/>
    <x v="0"/>
    <x v="0"/>
    <n v="520"/>
    <n v="189800"/>
    <n v="683280"/>
  </r>
  <r>
    <x v="0"/>
    <x v="2"/>
    <x v="2"/>
    <x v="7"/>
    <x v="12"/>
    <s v="NO2_A1"/>
    <x v="6"/>
    <x v="7"/>
    <s v="GNR_RES_WTR_PMP_MC-01"/>
    <x v="0"/>
    <x v="1"/>
    <n v="520"/>
    <n v="189800"/>
    <n v="683280"/>
  </r>
  <r>
    <x v="0"/>
    <x v="2"/>
    <x v="2"/>
    <x v="7"/>
    <x v="12"/>
    <s v="NO2_A1"/>
    <x v="6"/>
    <x v="7"/>
    <s v="GNR_RES_WTR_PMP_MC-01"/>
    <x v="0"/>
    <x v="18"/>
    <n v="520"/>
    <n v="189800"/>
    <n v="683280"/>
  </r>
  <r>
    <x v="0"/>
    <x v="2"/>
    <x v="2"/>
    <x v="7"/>
    <x v="12"/>
    <s v="NO2_A1"/>
    <x v="6"/>
    <x v="7"/>
    <s v="GNR_RES_WTR_PMP_MC-01"/>
    <x v="0"/>
    <x v="2"/>
    <n v="520"/>
    <n v="189800"/>
    <n v="683280"/>
  </r>
  <r>
    <x v="0"/>
    <x v="2"/>
    <x v="2"/>
    <x v="7"/>
    <x v="12"/>
    <s v="NO2_A1"/>
    <x v="6"/>
    <x v="7"/>
    <s v="GNR_RES_WTR_PMP_MC-01"/>
    <x v="0"/>
    <x v="3"/>
    <n v="520"/>
    <n v="189800"/>
    <n v="683280"/>
  </r>
  <r>
    <x v="0"/>
    <x v="2"/>
    <x v="2"/>
    <x v="7"/>
    <x v="12"/>
    <s v="NO2_A1"/>
    <x v="6"/>
    <x v="7"/>
    <s v="GNR_RES_WTR_PMP_MC-01"/>
    <x v="0"/>
    <x v="4"/>
    <n v="520"/>
    <n v="189800"/>
    <n v="683280"/>
  </r>
  <r>
    <x v="0"/>
    <x v="2"/>
    <x v="2"/>
    <x v="7"/>
    <x v="12"/>
    <s v="NO2_A1"/>
    <x v="6"/>
    <x v="7"/>
    <s v="GNR_RES_WTR_PMP_MC-01"/>
    <x v="0"/>
    <x v="5"/>
    <n v="520"/>
    <n v="189800"/>
    <n v="683280"/>
  </r>
  <r>
    <x v="0"/>
    <x v="2"/>
    <x v="2"/>
    <x v="7"/>
    <x v="12"/>
    <s v="NO2_A1"/>
    <x v="6"/>
    <x v="7"/>
    <s v="GNR_RES_WTR_PMP_MC-01"/>
    <x v="0"/>
    <x v="6"/>
    <n v="520"/>
    <n v="189800"/>
    <n v="683280"/>
  </r>
  <r>
    <x v="0"/>
    <x v="2"/>
    <x v="2"/>
    <x v="7"/>
    <x v="12"/>
    <s v="NO2_A1"/>
    <x v="6"/>
    <x v="7"/>
    <s v="GNR_RES_WTR_PMP_MC-01"/>
    <x v="0"/>
    <x v="7"/>
    <n v="520"/>
    <n v="189800"/>
    <n v="683280"/>
  </r>
  <r>
    <x v="0"/>
    <x v="2"/>
    <x v="2"/>
    <x v="7"/>
    <x v="12"/>
    <s v="NO2_A1"/>
    <x v="6"/>
    <x v="7"/>
    <s v="GNR_RES_WTR_PMP_MC-01"/>
    <x v="0"/>
    <x v="8"/>
    <n v="520"/>
    <n v="189800"/>
    <n v="683280"/>
  </r>
  <r>
    <x v="0"/>
    <x v="2"/>
    <x v="2"/>
    <x v="7"/>
    <x v="12"/>
    <s v="NO2_A1"/>
    <x v="6"/>
    <x v="7"/>
    <s v="GNR_RES_WTR_PMP_MC-01"/>
    <x v="0"/>
    <x v="9"/>
    <n v="520"/>
    <n v="189800"/>
    <n v="683280"/>
  </r>
  <r>
    <x v="0"/>
    <x v="2"/>
    <x v="2"/>
    <x v="7"/>
    <x v="12"/>
    <s v="NO2_A1"/>
    <x v="6"/>
    <x v="7"/>
    <s v="GNR_RES_WTR_PMP_MC-01"/>
    <x v="0"/>
    <x v="10"/>
    <n v="520"/>
    <n v="189800"/>
    <n v="683280"/>
  </r>
  <r>
    <x v="0"/>
    <x v="2"/>
    <x v="2"/>
    <x v="7"/>
    <x v="12"/>
    <s v="NO2_A1"/>
    <x v="6"/>
    <x v="7"/>
    <s v="GNR_RES_WTR_PMP_MC-01"/>
    <x v="0"/>
    <x v="11"/>
    <n v="520"/>
    <n v="189800"/>
    <n v="683280"/>
  </r>
  <r>
    <x v="0"/>
    <x v="2"/>
    <x v="2"/>
    <x v="7"/>
    <x v="12"/>
    <s v="NO2_A1"/>
    <x v="6"/>
    <x v="7"/>
    <s v="GNR_RES_WTR_PMP_MC-01"/>
    <x v="0"/>
    <x v="12"/>
    <n v="520"/>
    <n v="189800"/>
    <n v="683280"/>
  </r>
  <r>
    <x v="0"/>
    <x v="2"/>
    <x v="2"/>
    <x v="7"/>
    <x v="12"/>
    <s v="NO2_A1"/>
    <x v="6"/>
    <x v="7"/>
    <s v="GNR_RES_WTR_PMP_MC-01"/>
    <x v="0"/>
    <x v="13"/>
    <n v="520"/>
    <n v="189800"/>
    <n v="683280"/>
  </r>
  <r>
    <x v="0"/>
    <x v="2"/>
    <x v="2"/>
    <x v="7"/>
    <x v="12"/>
    <s v="NO2_A1"/>
    <x v="6"/>
    <x v="7"/>
    <s v="GNR_RES_WTR_PMP_MC-01"/>
    <x v="0"/>
    <x v="14"/>
    <n v="520"/>
    <n v="189800"/>
    <n v="683280"/>
  </r>
  <r>
    <x v="0"/>
    <x v="2"/>
    <x v="2"/>
    <x v="7"/>
    <x v="12"/>
    <s v="NO2_A1"/>
    <x v="6"/>
    <x v="7"/>
    <s v="GNR_RES_WTR_PMP_MC-01"/>
    <x v="0"/>
    <x v="15"/>
    <n v="520"/>
    <n v="189800"/>
    <n v="683280"/>
  </r>
  <r>
    <x v="0"/>
    <x v="2"/>
    <x v="2"/>
    <x v="7"/>
    <x v="12"/>
    <s v="NO2_A1"/>
    <x v="6"/>
    <x v="7"/>
    <s v="GNR_RES_WTR_PMP_MC-01"/>
    <x v="0"/>
    <x v="16"/>
    <n v="520"/>
    <n v="189800"/>
    <n v="683280"/>
  </r>
  <r>
    <x v="0"/>
    <x v="2"/>
    <x v="2"/>
    <x v="7"/>
    <x v="12"/>
    <s v="NO2_A1"/>
    <x v="6"/>
    <x v="7"/>
    <s v="GNR_RES_WTR_PMP_MC-01"/>
    <x v="0"/>
    <x v="17"/>
    <n v="520"/>
    <n v="189800"/>
    <n v="683280"/>
  </r>
  <r>
    <x v="0"/>
    <x v="2"/>
    <x v="2"/>
    <x v="7"/>
    <x v="12"/>
    <s v="NO2_A1"/>
    <x v="6"/>
    <x v="7"/>
    <s v="GNR_RES_WTR_PMP_MC-01"/>
    <x v="0"/>
    <x v="19"/>
    <n v="520"/>
    <n v="189800"/>
    <n v="683280"/>
  </r>
  <r>
    <x v="0"/>
    <x v="2"/>
    <x v="2"/>
    <x v="7"/>
    <x v="12"/>
    <s v="NO2_A1"/>
    <x v="6"/>
    <x v="7"/>
    <s v="GNR_RES_WTR_PMP_MC-01"/>
    <x v="0"/>
    <x v="20"/>
    <n v="520"/>
    <n v="189800"/>
    <n v="683280"/>
  </r>
  <r>
    <x v="0"/>
    <x v="2"/>
    <x v="2"/>
    <x v="7"/>
    <x v="12"/>
    <s v="NO2_A1"/>
    <x v="6"/>
    <x v="7"/>
    <s v="GNR_RES_WTR_PMP_MC-01"/>
    <x v="0"/>
    <x v="21"/>
    <n v="520"/>
    <n v="189800"/>
    <n v="683280"/>
  </r>
  <r>
    <x v="0"/>
    <x v="2"/>
    <x v="2"/>
    <x v="7"/>
    <x v="12"/>
    <s v="NO2_A1"/>
    <x v="6"/>
    <x v="7"/>
    <s v="GNR_RES_WTR_PMP_MC-01"/>
    <x v="0"/>
    <x v="22"/>
    <n v="520"/>
    <n v="189800"/>
    <n v="683280"/>
  </r>
  <r>
    <x v="0"/>
    <x v="2"/>
    <x v="2"/>
    <x v="7"/>
    <x v="12"/>
    <s v="NO2_A1"/>
    <x v="6"/>
    <x v="7"/>
    <s v="GNR_RES_WTR_PMP_MC-01"/>
    <x v="0"/>
    <x v="23"/>
    <n v="520"/>
    <n v="189800"/>
    <n v="683280"/>
  </r>
  <r>
    <x v="0"/>
    <x v="2"/>
    <x v="2"/>
    <x v="7"/>
    <x v="12"/>
    <s v="NO2_A1"/>
    <x v="6"/>
    <x v="4"/>
    <s v="GNR_ROR_WTR"/>
    <x v="0"/>
    <x v="0"/>
    <n v="1228.9919141661001"/>
    <n v="448582.04867062502"/>
    <n v="1614895.3752142501"/>
  </r>
  <r>
    <x v="0"/>
    <x v="2"/>
    <x v="2"/>
    <x v="7"/>
    <x v="12"/>
    <s v="NO2_A1"/>
    <x v="6"/>
    <x v="4"/>
    <s v="GNR_ROR_WTR"/>
    <x v="0"/>
    <x v="1"/>
    <n v="1228.9919141661001"/>
    <n v="448582.04867062502"/>
    <n v="1614895.3752142501"/>
  </r>
  <r>
    <x v="0"/>
    <x v="2"/>
    <x v="2"/>
    <x v="7"/>
    <x v="12"/>
    <s v="NO2_A1"/>
    <x v="6"/>
    <x v="4"/>
    <s v="GNR_ROR_WTR"/>
    <x v="0"/>
    <x v="18"/>
    <n v="1228.9919141661001"/>
    <n v="448582.04867062502"/>
    <n v="1614895.3752142501"/>
  </r>
  <r>
    <x v="0"/>
    <x v="2"/>
    <x v="2"/>
    <x v="7"/>
    <x v="12"/>
    <s v="NO2_A1"/>
    <x v="6"/>
    <x v="4"/>
    <s v="GNR_ROR_WTR"/>
    <x v="0"/>
    <x v="2"/>
    <n v="1228.9919141661001"/>
    <n v="448582.04867062502"/>
    <n v="1614895.3752142501"/>
  </r>
  <r>
    <x v="0"/>
    <x v="2"/>
    <x v="2"/>
    <x v="7"/>
    <x v="12"/>
    <s v="NO2_A1"/>
    <x v="6"/>
    <x v="4"/>
    <s v="GNR_ROR_WTR"/>
    <x v="0"/>
    <x v="3"/>
    <n v="1228.9919141661001"/>
    <n v="448582.04867062502"/>
    <n v="1614895.3752142501"/>
  </r>
  <r>
    <x v="0"/>
    <x v="2"/>
    <x v="2"/>
    <x v="7"/>
    <x v="12"/>
    <s v="NO2_A1"/>
    <x v="6"/>
    <x v="4"/>
    <s v="GNR_ROR_WTR"/>
    <x v="0"/>
    <x v="4"/>
    <n v="1228.9919141661001"/>
    <n v="448582.04867062502"/>
    <n v="1614895.3752142501"/>
  </r>
  <r>
    <x v="0"/>
    <x v="2"/>
    <x v="2"/>
    <x v="7"/>
    <x v="12"/>
    <s v="NO2_A1"/>
    <x v="6"/>
    <x v="4"/>
    <s v="GNR_ROR_WTR"/>
    <x v="0"/>
    <x v="5"/>
    <n v="1228.9919141661001"/>
    <n v="448582.04867062502"/>
    <n v="1614895.3752142501"/>
  </r>
  <r>
    <x v="0"/>
    <x v="2"/>
    <x v="2"/>
    <x v="7"/>
    <x v="12"/>
    <s v="NO2_A1"/>
    <x v="6"/>
    <x v="4"/>
    <s v="GNR_ROR_WTR"/>
    <x v="0"/>
    <x v="6"/>
    <n v="1228.9919141661001"/>
    <n v="448582.04867062502"/>
    <n v="1614895.3752142501"/>
  </r>
  <r>
    <x v="0"/>
    <x v="2"/>
    <x v="2"/>
    <x v="7"/>
    <x v="12"/>
    <s v="NO2_A1"/>
    <x v="6"/>
    <x v="4"/>
    <s v="GNR_ROR_WTR"/>
    <x v="0"/>
    <x v="7"/>
    <n v="1228.9919141661001"/>
    <n v="448582.04867062502"/>
    <n v="1614895.3752142501"/>
  </r>
  <r>
    <x v="0"/>
    <x v="2"/>
    <x v="2"/>
    <x v="7"/>
    <x v="12"/>
    <s v="NO2_A1"/>
    <x v="6"/>
    <x v="4"/>
    <s v="GNR_ROR_WTR"/>
    <x v="0"/>
    <x v="8"/>
    <n v="1228.9919141661001"/>
    <n v="448582.04867062502"/>
    <n v="1614895.3752142501"/>
  </r>
  <r>
    <x v="0"/>
    <x v="2"/>
    <x v="2"/>
    <x v="7"/>
    <x v="12"/>
    <s v="NO2_A1"/>
    <x v="6"/>
    <x v="4"/>
    <s v="GNR_ROR_WTR"/>
    <x v="0"/>
    <x v="9"/>
    <n v="1228.9919141661001"/>
    <n v="448582.04867062502"/>
    <n v="1614895.3752142501"/>
  </r>
  <r>
    <x v="0"/>
    <x v="2"/>
    <x v="2"/>
    <x v="7"/>
    <x v="12"/>
    <s v="NO2_A1"/>
    <x v="6"/>
    <x v="4"/>
    <s v="GNR_ROR_WTR"/>
    <x v="0"/>
    <x v="10"/>
    <n v="1228.9919141661001"/>
    <n v="448582.04867062502"/>
    <n v="1614895.3752142501"/>
  </r>
  <r>
    <x v="0"/>
    <x v="2"/>
    <x v="2"/>
    <x v="7"/>
    <x v="12"/>
    <s v="NO2_A1"/>
    <x v="6"/>
    <x v="4"/>
    <s v="GNR_ROR_WTR"/>
    <x v="0"/>
    <x v="11"/>
    <n v="1228.9919141661001"/>
    <n v="448582.04867062502"/>
    <n v="1614895.3752142501"/>
  </r>
  <r>
    <x v="0"/>
    <x v="2"/>
    <x v="2"/>
    <x v="7"/>
    <x v="12"/>
    <s v="NO2_A1"/>
    <x v="6"/>
    <x v="4"/>
    <s v="GNR_ROR_WTR"/>
    <x v="0"/>
    <x v="12"/>
    <n v="1228.9919141661001"/>
    <n v="448582.04867062502"/>
    <n v="1614895.3752142501"/>
  </r>
  <r>
    <x v="0"/>
    <x v="2"/>
    <x v="2"/>
    <x v="7"/>
    <x v="12"/>
    <s v="NO2_A1"/>
    <x v="6"/>
    <x v="4"/>
    <s v="GNR_ROR_WTR"/>
    <x v="0"/>
    <x v="13"/>
    <n v="1228.9919141661001"/>
    <n v="448582.04867062502"/>
    <n v="1614895.3752142501"/>
  </r>
  <r>
    <x v="0"/>
    <x v="2"/>
    <x v="2"/>
    <x v="7"/>
    <x v="12"/>
    <s v="NO2_A1"/>
    <x v="6"/>
    <x v="4"/>
    <s v="GNR_ROR_WTR"/>
    <x v="0"/>
    <x v="14"/>
    <n v="1228.9919141661001"/>
    <n v="448582.04867062502"/>
    <n v="1614895.3752142501"/>
  </r>
  <r>
    <x v="0"/>
    <x v="2"/>
    <x v="2"/>
    <x v="7"/>
    <x v="12"/>
    <s v="NO2_A1"/>
    <x v="6"/>
    <x v="4"/>
    <s v="GNR_ROR_WTR"/>
    <x v="0"/>
    <x v="15"/>
    <n v="1228.9919141661001"/>
    <n v="448582.04867062502"/>
    <n v="1614895.3752142501"/>
  </r>
  <r>
    <x v="0"/>
    <x v="2"/>
    <x v="2"/>
    <x v="7"/>
    <x v="12"/>
    <s v="NO2_A1"/>
    <x v="6"/>
    <x v="4"/>
    <s v="GNR_ROR_WTR"/>
    <x v="0"/>
    <x v="16"/>
    <n v="1228.9919141661001"/>
    <n v="448582.04867062502"/>
    <n v="1614895.3752142501"/>
  </r>
  <r>
    <x v="0"/>
    <x v="2"/>
    <x v="2"/>
    <x v="7"/>
    <x v="12"/>
    <s v="NO2_A1"/>
    <x v="6"/>
    <x v="4"/>
    <s v="GNR_ROR_WTR"/>
    <x v="0"/>
    <x v="17"/>
    <n v="1228.9919141661001"/>
    <n v="448582.04867062502"/>
    <n v="1614895.3752142501"/>
  </r>
  <r>
    <x v="0"/>
    <x v="2"/>
    <x v="2"/>
    <x v="7"/>
    <x v="12"/>
    <s v="NO2_A1"/>
    <x v="6"/>
    <x v="4"/>
    <s v="GNR_ROR_WTR"/>
    <x v="0"/>
    <x v="19"/>
    <n v="1228.9919141661001"/>
    <n v="448582.04867062502"/>
    <n v="1614895.3752142501"/>
  </r>
  <r>
    <x v="0"/>
    <x v="2"/>
    <x v="2"/>
    <x v="7"/>
    <x v="12"/>
    <s v="NO2_A1"/>
    <x v="6"/>
    <x v="4"/>
    <s v="GNR_ROR_WTR"/>
    <x v="0"/>
    <x v="20"/>
    <n v="1228.9919141661001"/>
    <n v="448582.04867062502"/>
    <n v="1614895.3752142501"/>
  </r>
  <r>
    <x v="0"/>
    <x v="2"/>
    <x v="2"/>
    <x v="7"/>
    <x v="12"/>
    <s v="NO2_A1"/>
    <x v="6"/>
    <x v="4"/>
    <s v="GNR_ROR_WTR"/>
    <x v="0"/>
    <x v="21"/>
    <n v="1228.9919141661001"/>
    <n v="448582.04867062502"/>
    <n v="1614895.3752142501"/>
  </r>
  <r>
    <x v="0"/>
    <x v="2"/>
    <x v="2"/>
    <x v="7"/>
    <x v="12"/>
    <s v="NO2_A1"/>
    <x v="6"/>
    <x v="4"/>
    <s v="GNR_ROR_WTR"/>
    <x v="0"/>
    <x v="22"/>
    <n v="1228.9919141661001"/>
    <n v="448582.04867062502"/>
    <n v="1614895.3752142501"/>
  </r>
  <r>
    <x v="0"/>
    <x v="2"/>
    <x v="2"/>
    <x v="7"/>
    <x v="12"/>
    <s v="NO2_A1"/>
    <x v="6"/>
    <x v="4"/>
    <s v="GNR_ROR_WTR"/>
    <x v="0"/>
    <x v="23"/>
    <n v="1228.9919141661001"/>
    <n v="448582.04867062502"/>
    <n v="1614895.3752142501"/>
  </r>
  <r>
    <x v="0"/>
    <x v="2"/>
    <x v="2"/>
    <x v="7"/>
    <x v="12"/>
    <s v="NO2_A1"/>
    <x v="7"/>
    <x v="5"/>
    <s v="GNR_WT_WIND_ONS"/>
    <x v="0"/>
    <x v="0"/>
    <n v="385.57567872196"/>
    <n v="140735.12273351499"/>
    <n v="506646.44184065599"/>
  </r>
  <r>
    <x v="0"/>
    <x v="2"/>
    <x v="2"/>
    <x v="7"/>
    <x v="12"/>
    <s v="NO2_A1"/>
    <x v="7"/>
    <x v="5"/>
    <s v="GNR_WT_WIND_ONS"/>
    <x v="0"/>
    <x v="1"/>
    <n v="388.40547625145098"/>
    <n v="141767.99883177999"/>
    <n v="510364.79579440702"/>
  </r>
  <r>
    <x v="0"/>
    <x v="2"/>
    <x v="2"/>
    <x v="7"/>
    <x v="12"/>
    <s v="NO2_A1"/>
    <x v="7"/>
    <x v="5"/>
    <s v="GNR_WT_WIND_ONS"/>
    <x v="0"/>
    <x v="18"/>
    <n v="391.879725035928"/>
    <n v="143036.09963811401"/>
    <n v="514929.95869721001"/>
  </r>
  <r>
    <x v="0"/>
    <x v="2"/>
    <x v="2"/>
    <x v="7"/>
    <x v="12"/>
    <s v="NO2_A1"/>
    <x v="7"/>
    <x v="5"/>
    <s v="GNR_WT_WIND_ONS"/>
    <x v="0"/>
    <x v="2"/>
    <n v="396.027333443776"/>
    <n v="144549.97670697799"/>
    <n v="520379.91614512203"/>
  </r>
  <r>
    <x v="0"/>
    <x v="2"/>
    <x v="2"/>
    <x v="7"/>
    <x v="12"/>
    <s v="NO2_A1"/>
    <x v="7"/>
    <x v="5"/>
    <s v="GNR_WT_WIND_ONS"/>
    <x v="0"/>
    <x v="3"/>
    <n v="396.30346365107903"/>
    <n v="144650.764232644"/>
    <n v="520742.75123751798"/>
  </r>
  <r>
    <x v="0"/>
    <x v="2"/>
    <x v="2"/>
    <x v="7"/>
    <x v="12"/>
    <s v="NO2_A1"/>
    <x v="7"/>
    <x v="5"/>
    <s v="GNR_WT_WIND_ONS"/>
    <x v="0"/>
    <x v="4"/>
    <n v="398.79078389828601"/>
    <n v="145558.63612287401"/>
    <n v="524011.09004234802"/>
  </r>
  <r>
    <x v="0"/>
    <x v="2"/>
    <x v="2"/>
    <x v="7"/>
    <x v="12"/>
    <s v="NO2_A1"/>
    <x v="7"/>
    <x v="5"/>
    <s v="GNR_WT_WIND_ONS"/>
    <x v="0"/>
    <x v="5"/>
    <n v="398.75552516700998"/>
    <n v="145545.76668595901"/>
    <n v="523964.760069451"/>
  </r>
  <r>
    <x v="0"/>
    <x v="2"/>
    <x v="2"/>
    <x v="7"/>
    <x v="12"/>
    <s v="NO2_A1"/>
    <x v="7"/>
    <x v="5"/>
    <s v="GNR_WT_WIND_ONS"/>
    <x v="0"/>
    <x v="6"/>
    <n v="398.86180686236099"/>
    <n v="145584.559504762"/>
    <n v="524104.41421714303"/>
  </r>
  <r>
    <x v="0"/>
    <x v="2"/>
    <x v="2"/>
    <x v="7"/>
    <x v="12"/>
    <s v="NO2_A1"/>
    <x v="7"/>
    <x v="5"/>
    <s v="GNR_WT_WIND_ONS"/>
    <x v="0"/>
    <x v="7"/>
    <n v="397.460998952588"/>
    <n v="145073.26461769501"/>
    <n v="522263.75262370001"/>
  </r>
  <r>
    <x v="0"/>
    <x v="2"/>
    <x v="2"/>
    <x v="7"/>
    <x v="12"/>
    <s v="NO2_A1"/>
    <x v="7"/>
    <x v="5"/>
    <s v="GNR_WT_WIND_ONS"/>
    <x v="0"/>
    <x v="8"/>
    <n v="392.55118902858499"/>
    <n v="143281.183995434"/>
    <n v="515812.262383561"/>
  </r>
  <r>
    <x v="0"/>
    <x v="2"/>
    <x v="2"/>
    <x v="7"/>
    <x v="12"/>
    <s v="NO2_A1"/>
    <x v="7"/>
    <x v="5"/>
    <s v="GNR_WT_WIND_ONS"/>
    <x v="0"/>
    <x v="9"/>
    <n v="311.429631451906"/>
    <n v="113671.815479946"/>
    <n v="409218.535727804"/>
  </r>
  <r>
    <x v="0"/>
    <x v="2"/>
    <x v="2"/>
    <x v="7"/>
    <x v="12"/>
    <s v="NO2_A1"/>
    <x v="7"/>
    <x v="5"/>
    <s v="GNR_WT_WIND_ONS"/>
    <x v="0"/>
    <x v="10"/>
    <n v="102.19314847754001"/>
    <n v="37300.499194302101"/>
    <n v="134281.797099488"/>
  </r>
  <r>
    <x v="0"/>
    <x v="2"/>
    <x v="2"/>
    <x v="7"/>
    <x v="12"/>
    <s v="NO2_A1"/>
    <x v="7"/>
    <x v="5"/>
    <s v="GNR_WT_WIND_ONS"/>
    <x v="0"/>
    <x v="11"/>
    <n v="128.771561135024"/>
    <n v="47001.6198142836"/>
    <n v="169205.83133142101"/>
  </r>
  <r>
    <x v="0"/>
    <x v="2"/>
    <x v="2"/>
    <x v="7"/>
    <x v="12"/>
    <s v="NO2_A1"/>
    <x v="7"/>
    <x v="5"/>
    <s v="GNR_WT_WIND_ONS"/>
    <x v="0"/>
    <x v="12"/>
    <n v="370.51688311343798"/>
    <n v="135238.66233640499"/>
    <n v="486859.18441105698"/>
  </r>
  <r>
    <x v="0"/>
    <x v="2"/>
    <x v="2"/>
    <x v="7"/>
    <x v="12"/>
    <s v="NO2_A1"/>
    <x v="7"/>
    <x v="5"/>
    <s v="GNR_WT_WIND_ONS"/>
    <x v="0"/>
    <x v="13"/>
    <n v="381.143504550133"/>
    <n v="139117.379160799"/>
    <n v="500822.56497887499"/>
  </r>
  <r>
    <x v="0"/>
    <x v="2"/>
    <x v="2"/>
    <x v="7"/>
    <x v="12"/>
    <s v="NO2_A1"/>
    <x v="7"/>
    <x v="5"/>
    <s v="GNR_WT_WIND_ONS"/>
    <x v="0"/>
    <x v="14"/>
    <n v="402.03408167413698"/>
    <n v="146742.43981106"/>
    <n v="528272.78331981599"/>
  </r>
  <r>
    <x v="0"/>
    <x v="2"/>
    <x v="2"/>
    <x v="7"/>
    <x v="12"/>
    <s v="NO2_A1"/>
    <x v="7"/>
    <x v="5"/>
    <s v="GNR_WT_WIND_ONS"/>
    <x v="0"/>
    <x v="15"/>
    <n v="378.74433113111598"/>
    <n v="138241.680862857"/>
    <n v="497670.051106286"/>
  </r>
  <r>
    <x v="0"/>
    <x v="2"/>
    <x v="2"/>
    <x v="7"/>
    <x v="12"/>
    <s v="NO2_A1"/>
    <x v="7"/>
    <x v="5"/>
    <s v="GNR_WT_WIND_ONS"/>
    <x v="0"/>
    <x v="16"/>
    <n v="396.35534074494598"/>
    <n v="144669.69937190501"/>
    <n v="520810.91773885902"/>
  </r>
  <r>
    <x v="0"/>
    <x v="2"/>
    <x v="2"/>
    <x v="7"/>
    <x v="12"/>
    <s v="NO2_A1"/>
    <x v="7"/>
    <x v="5"/>
    <s v="GNR_WT_WIND_ONS"/>
    <x v="0"/>
    <x v="17"/>
    <n v="335.87075649661602"/>
    <n v="122592.826121265"/>
    <n v="441334.174036554"/>
  </r>
  <r>
    <x v="0"/>
    <x v="2"/>
    <x v="2"/>
    <x v="7"/>
    <x v="12"/>
    <s v="NO2_A1"/>
    <x v="7"/>
    <x v="5"/>
    <s v="GNR_WT_WIND_ONS"/>
    <x v="0"/>
    <x v="19"/>
    <n v="304.570860403403"/>
    <n v="111168.36404724199"/>
    <n v="400206.11057007097"/>
  </r>
  <r>
    <x v="0"/>
    <x v="2"/>
    <x v="2"/>
    <x v="7"/>
    <x v="12"/>
    <s v="NO2_A1"/>
    <x v="7"/>
    <x v="5"/>
    <s v="GNR_WT_WIND_ONS"/>
    <x v="0"/>
    <x v="20"/>
    <n v="386.913456910501"/>
    <n v="141223.411772333"/>
    <n v="508404.282380399"/>
  </r>
  <r>
    <x v="0"/>
    <x v="2"/>
    <x v="2"/>
    <x v="7"/>
    <x v="12"/>
    <s v="NO2_A1"/>
    <x v="7"/>
    <x v="5"/>
    <s v="GNR_WT_WIND_ONS"/>
    <x v="0"/>
    <x v="21"/>
    <n v="328.69734234347499"/>
    <n v="119974.52995536799"/>
    <n v="431908.30783932598"/>
  </r>
  <r>
    <x v="0"/>
    <x v="2"/>
    <x v="2"/>
    <x v="7"/>
    <x v="12"/>
    <s v="NO2_A1"/>
    <x v="7"/>
    <x v="5"/>
    <s v="GNR_WT_WIND_ONS"/>
    <x v="0"/>
    <x v="22"/>
    <n v="373.65598438772298"/>
    <n v="136384.43430151901"/>
    <n v="490983.963485468"/>
  </r>
  <r>
    <x v="0"/>
    <x v="2"/>
    <x v="2"/>
    <x v="7"/>
    <x v="12"/>
    <s v="NO2_A1"/>
    <x v="7"/>
    <x v="5"/>
    <s v="GNR_WT_WIND_ONS"/>
    <x v="0"/>
    <x v="23"/>
    <n v="266.88894438619599"/>
    <n v="97414.464700961398"/>
    <n v="350692.07292346098"/>
  </r>
  <r>
    <x v="0"/>
    <x v="2"/>
    <x v="2"/>
    <x v="7"/>
    <x v="12"/>
    <s v="NO2_A1"/>
    <x v="7"/>
    <x v="5"/>
    <s v="GNR_WT_WIND_ON_LS_Y-2030"/>
    <x v="0"/>
    <x v="0"/>
    <n v="595.75553202201104"/>
    <n v="217450.769188034"/>
    <n v="782822.76907692302"/>
  </r>
  <r>
    <x v="0"/>
    <x v="2"/>
    <x v="2"/>
    <x v="7"/>
    <x v="12"/>
    <s v="NO2_A1"/>
    <x v="7"/>
    <x v="5"/>
    <s v="GNR_WT_WIND_ON_LS_Y-2030"/>
    <x v="0"/>
    <x v="1"/>
    <n v="600.12787090574204"/>
    <n v="219046.67288059599"/>
    <n v="788568.02237014496"/>
  </r>
  <r>
    <x v="0"/>
    <x v="2"/>
    <x v="2"/>
    <x v="7"/>
    <x v="12"/>
    <s v="NO2_A1"/>
    <x v="7"/>
    <x v="5"/>
    <s v="GNR_WT_WIND_ON_LS_Y-2030"/>
    <x v="0"/>
    <x v="18"/>
    <n v="605.49595568700602"/>
    <n v="221006.023825757"/>
    <n v="795621.68577272596"/>
  </r>
  <r>
    <x v="0"/>
    <x v="2"/>
    <x v="2"/>
    <x v="7"/>
    <x v="12"/>
    <s v="NO2_A1"/>
    <x v="7"/>
    <x v="5"/>
    <s v="GNR_WT_WIND_ON_LS_Y-2030"/>
    <x v="0"/>
    <x v="2"/>
    <n v="611.90445287704301"/>
    <n v="223345.125300121"/>
    <n v="804042.45108043402"/>
  </r>
  <r>
    <x v="0"/>
    <x v="2"/>
    <x v="2"/>
    <x v="7"/>
    <x v="12"/>
    <s v="NO2_A1"/>
    <x v="7"/>
    <x v="5"/>
    <s v="GNR_WT_WIND_ON_LS_Y-2030"/>
    <x v="0"/>
    <x v="3"/>
    <n v="612.33110348712398"/>
    <n v="223500.85277279999"/>
    <n v="804603.06998208095"/>
  </r>
  <r>
    <x v="0"/>
    <x v="2"/>
    <x v="2"/>
    <x v="7"/>
    <x v="12"/>
    <s v="NO2_A1"/>
    <x v="7"/>
    <x v="5"/>
    <s v="GNR_WT_WIND_ON_LS_Y-2030"/>
    <x v="0"/>
    <x v="4"/>
    <n v="616.17427845629095"/>
    <n v="224903.611636546"/>
    <n v="809653.00189156597"/>
  </r>
  <r>
    <x v="0"/>
    <x v="2"/>
    <x v="2"/>
    <x v="7"/>
    <x v="12"/>
    <s v="NO2_A1"/>
    <x v="7"/>
    <x v="5"/>
    <s v="GNR_WT_WIND_ON_LS_Y-2030"/>
    <x v="0"/>
    <x v="5"/>
    <n v="616.11979995733805"/>
    <n v="224883.72698442801"/>
    <n v="809581.41714394197"/>
  </r>
  <r>
    <x v="0"/>
    <x v="2"/>
    <x v="2"/>
    <x v="7"/>
    <x v="12"/>
    <s v="NO2_A1"/>
    <x v="7"/>
    <x v="5"/>
    <s v="GNR_WT_WIND_ON_LS_Y-2030"/>
    <x v="0"/>
    <x v="6"/>
    <n v="616.28401650794603"/>
    <n v="224943.66602539999"/>
    <n v="809797.19769144105"/>
  </r>
  <r>
    <x v="0"/>
    <x v="2"/>
    <x v="2"/>
    <x v="7"/>
    <x v="12"/>
    <s v="NO2_A1"/>
    <x v="7"/>
    <x v="5"/>
    <s v="GNR_WT_WIND_ON_LS_Y-2030"/>
    <x v="0"/>
    <x v="7"/>
    <n v="614.119618939318"/>
    <n v="224153.66091285099"/>
    <n v="806953.179286264"/>
  </r>
  <r>
    <x v="0"/>
    <x v="2"/>
    <x v="2"/>
    <x v="7"/>
    <x v="12"/>
    <s v="NO2_A1"/>
    <x v="7"/>
    <x v="5"/>
    <s v="GNR_WT_WIND_ON_LS_Y-2030"/>
    <x v="0"/>
    <x v="8"/>
    <n v="606.53343914422203"/>
    <n v="221384.705287641"/>
    <n v="796984.93903550704"/>
  </r>
  <r>
    <x v="0"/>
    <x v="2"/>
    <x v="2"/>
    <x v="7"/>
    <x v="12"/>
    <s v="NO2_A1"/>
    <x v="7"/>
    <x v="5"/>
    <s v="GNR_WT_WIND_ON_LS_Y-2030"/>
    <x v="0"/>
    <x v="9"/>
    <n v="481.19198386172002"/>
    <n v="175635.07410952801"/>
    <n v="632286.26679430006"/>
  </r>
  <r>
    <x v="0"/>
    <x v="2"/>
    <x v="2"/>
    <x v="7"/>
    <x v="12"/>
    <s v="NO2_A1"/>
    <x v="7"/>
    <x v="5"/>
    <s v="GNR_WT_WIND_ON_LS_Y-2030"/>
    <x v="0"/>
    <x v="10"/>
    <n v="157.89930978541699"/>
    <n v="57633.248071677299"/>
    <n v="207479.69305803801"/>
  </r>
  <r>
    <x v="0"/>
    <x v="2"/>
    <x v="2"/>
    <x v="7"/>
    <x v="12"/>
    <s v="NO2_A1"/>
    <x v="7"/>
    <x v="5"/>
    <s v="GNR_WT_WIND_ON_LS_Y-2030"/>
    <x v="0"/>
    <x v="11"/>
    <n v="198.96579101562401"/>
    <n v="72622.513720702904"/>
    <n v="261441.04939453001"/>
  </r>
  <r>
    <x v="0"/>
    <x v="2"/>
    <x v="2"/>
    <x v="7"/>
    <x v="12"/>
    <s v="NO2_A1"/>
    <x v="7"/>
    <x v="5"/>
    <s v="GNR_WT_WIND_ON_LS_Y-2030"/>
    <x v="0"/>
    <x v="12"/>
    <n v="572.48808730375902"/>
    <n v="208958.151865872"/>
    <n v="752249.34671713901"/>
  </r>
  <r>
    <x v="0"/>
    <x v="2"/>
    <x v="2"/>
    <x v="7"/>
    <x v="12"/>
    <s v="NO2_A1"/>
    <x v="7"/>
    <x v="5"/>
    <s v="GNR_WT_WIND_ON_LS_Y-2030"/>
    <x v="0"/>
    <x v="13"/>
    <n v="588.90735038746595"/>
    <n v="214951.18289142501"/>
    <n v="773824.25840913097"/>
  </r>
  <r>
    <x v="0"/>
    <x v="2"/>
    <x v="2"/>
    <x v="7"/>
    <x v="12"/>
    <s v="NO2_A1"/>
    <x v="7"/>
    <x v="5"/>
    <s v="GNR_WT_WIND_ON_LS_Y-2030"/>
    <x v="0"/>
    <x v="14"/>
    <n v="621.18551930623903"/>
    <n v="226732.71454677699"/>
    <n v="816237.77236839896"/>
  </r>
  <r>
    <x v="0"/>
    <x v="2"/>
    <x v="2"/>
    <x v="7"/>
    <x v="12"/>
    <s v="NO2_A1"/>
    <x v="7"/>
    <x v="5"/>
    <s v="GNR_WT_WIND_ON_LS_Y-2030"/>
    <x v="0"/>
    <x v="15"/>
    <n v="585.20037166568295"/>
    <n v="213598.13565797399"/>
    <n v="768953.28836870706"/>
  </r>
  <r>
    <x v="0"/>
    <x v="2"/>
    <x v="2"/>
    <x v="7"/>
    <x v="12"/>
    <s v="NO2_A1"/>
    <x v="7"/>
    <x v="5"/>
    <s v="GNR_WT_WIND_ON_LS_Y-2030"/>
    <x v="0"/>
    <x v="16"/>
    <n v="612.41125912805705"/>
    <n v="223530.10958174101"/>
    <n v="804708.39449426695"/>
  </r>
  <r>
    <x v="0"/>
    <x v="2"/>
    <x v="2"/>
    <x v="7"/>
    <x v="12"/>
    <s v="NO2_A1"/>
    <x v="7"/>
    <x v="5"/>
    <s v="GNR_WT_WIND_ON_LS_Y-2030"/>
    <x v="0"/>
    <x v="17"/>
    <n v="518.95612786191202"/>
    <n v="189418.986669598"/>
    <n v="681908.35201055196"/>
  </r>
  <r>
    <x v="0"/>
    <x v="2"/>
    <x v="2"/>
    <x v="7"/>
    <x v="12"/>
    <s v="NO2_A1"/>
    <x v="7"/>
    <x v="5"/>
    <s v="GNR_WT_WIND_ON_LS_Y-2030"/>
    <x v="0"/>
    <x v="19"/>
    <n v="470.59445133953898"/>
    <n v="171766.97473893201"/>
    <n v="618361.10906015395"/>
  </r>
  <r>
    <x v="0"/>
    <x v="2"/>
    <x v="2"/>
    <x v="7"/>
    <x v="12"/>
    <s v="NO2_A1"/>
    <x v="7"/>
    <x v="5"/>
    <s v="GNR_WT_WIND_ON_LS_Y-2030"/>
    <x v="0"/>
    <x v="20"/>
    <n v="597.82254195138103"/>
    <n v="218205.22781225399"/>
    <n v="785538.82012411498"/>
  </r>
  <r>
    <x v="0"/>
    <x v="2"/>
    <x v="2"/>
    <x v="7"/>
    <x v="12"/>
    <s v="NO2_A1"/>
    <x v="7"/>
    <x v="5"/>
    <s v="GNR_WT_WIND_ON_LS_Y-2030"/>
    <x v="0"/>
    <x v="21"/>
    <n v="507.87243819718998"/>
    <n v="185373.43994197401"/>
    <n v="667344.38379110803"/>
  </r>
  <r>
    <x v="0"/>
    <x v="2"/>
    <x v="2"/>
    <x v="7"/>
    <x v="12"/>
    <s v="NO2_A1"/>
    <x v="7"/>
    <x v="5"/>
    <s v="GNR_WT_WIND_ON_LS_Y-2030"/>
    <x v="0"/>
    <x v="22"/>
    <n v="577.33833344981099"/>
    <n v="210728.49170918099"/>
    <n v="758622.57015305199"/>
  </r>
  <r>
    <x v="0"/>
    <x v="2"/>
    <x v="2"/>
    <x v="7"/>
    <x v="12"/>
    <s v="NO2_A1"/>
    <x v="7"/>
    <x v="5"/>
    <s v="GNR_WT_WIND_ON_LS_Y-2030"/>
    <x v="0"/>
    <x v="23"/>
    <n v="412.37187361147602"/>
    <n v="150515.73386818901"/>
    <n v="541856.64192547905"/>
  </r>
  <r>
    <x v="0"/>
    <x v="2"/>
    <x v="2"/>
    <x v="7"/>
    <x v="13"/>
    <s v="NO3_A1"/>
    <x v="2"/>
    <x v="2"/>
    <s v="GBPR_MUNIWASTE"/>
    <x v="0"/>
    <x v="0"/>
    <n v="4.29"/>
    <n v="1565.85"/>
    <n v="5637.06"/>
  </r>
  <r>
    <x v="0"/>
    <x v="2"/>
    <x v="2"/>
    <x v="7"/>
    <x v="13"/>
    <s v="NO3_A1"/>
    <x v="2"/>
    <x v="2"/>
    <s v="GBPR_MUNIWASTE"/>
    <x v="0"/>
    <x v="1"/>
    <n v="4.29"/>
    <n v="1565.85"/>
    <n v="5637.06"/>
  </r>
  <r>
    <x v="0"/>
    <x v="2"/>
    <x v="2"/>
    <x v="7"/>
    <x v="13"/>
    <s v="NO3_A1"/>
    <x v="2"/>
    <x v="2"/>
    <s v="GBPR_MUNIWASTE"/>
    <x v="0"/>
    <x v="18"/>
    <n v="4.29"/>
    <n v="1565.85"/>
    <n v="5637.06"/>
  </r>
  <r>
    <x v="0"/>
    <x v="2"/>
    <x v="2"/>
    <x v="7"/>
    <x v="13"/>
    <s v="NO3_A1"/>
    <x v="2"/>
    <x v="2"/>
    <s v="GBPR_MUNIWASTE"/>
    <x v="0"/>
    <x v="2"/>
    <n v="4.29"/>
    <n v="1565.85"/>
    <n v="5637.06"/>
  </r>
  <r>
    <x v="0"/>
    <x v="2"/>
    <x v="2"/>
    <x v="7"/>
    <x v="13"/>
    <s v="NO3_A1"/>
    <x v="2"/>
    <x v="2"/>
    <s v="GBPR_MUNIWASTE"/>
    <x v="0"/>
    <x v="3"/>
    <n v="4.29"/>
    <n v="1565.85"/>
    <n v="5637.06"/>
  </r>
  <r>
    <x v="0"/>
    <x v="2"/>
    <x v="2"/>
    <x v="7"/>
    <x v="13"/>
    <s v="NO3_A1"/>
    <x v="2"/>
    <x v="2"/>
    <s v="GBPR_MUNIWASTE"/>
    <x v="0"/>
    <x v="4"/>
    <n v="4.29"/>
    <n v="1565.85"/>
    <n v="5637.06"/>
  </r>
  <r>
    <x v="0"/>
    <x v="2"/>
    <x v="2"/>
    <x v="7"/>
    <x v="13"/>
    <s v="NO3_A1"/>
    <x v="2"/>
    <x v="2"/>
    <s v="GBPR_MUNIWASTE"/>
    <x v="0"/>
    <x v="5"/>
    <n v="4.29"/>
    <n v="1565.85"/>
    <n v="5637.06"/>
  </r>
  <r>
    <x v="0"/>
    <x v="2"/>
    <x v="2"/>
    <x v="7"/>
    <x v="13"/>
    <s v="NO3_A1"/>
    <x v="2"/>
    <x v="2"/>
    <s v="GBPR_MUNIWASTE"/>
    <x v="0"/>
    <x v="6"/>
    <n v="4.29"/>
    <n v="1565.85"/>
    <n v="5637.06"/>
  </r>
  <r>
    <x v="0"/>
    <x v="2"/>
    <x v="2"/>
    <x v="7"/>
    <x v="13"/>
    <s v="NO3_A1"/>
    <x v="2"/>
    <x v="2"/>
    <s v="GBPR_MUNIWASTE"/>
    <x v="0"/>
    <x v="7"/>
    <n v="4.29"/>
    <n v="1565.85"/>
    <n v="5637.06"/>
  </r>
  <r>
    <x v="0"/>
    <x v="2"/>
    <x v="2"/>
    <x v="7"/>
    <x v="13"/>
    <s v="NO3_A1"/>
    <x v="2"/>
    <x v="2"/>
    <s v="GBPR_MUNIWASTE"/>
    <x v="0"/>
    <x v="8"/>
    <n v="4.29"/>
    <n v="1565.85"/>
    <n v="5637.06"/>
  </r>
  <r>
    <x v="0"/>
    <x v="2"/>
    <x v="2"/>
    <x v="7"/>
    <x v="13"/>
    <s v="NO3_A1"/>
    <x v="2"/>
    <x v="2"/>
    <s v="GBPR_MUNIWASTE"/>
    <x v="0"/>
    <x v="9"/>
    <n v="4.29"/>
    <n v="1565.85"/>
    <n v="5637.06"/>
  </r>
  <r>
    <x v="0"/>
    <x v="2"/>
    <x v="2"/>
    <x v="7"/>
    <x v="13"/>
    <s v="NO3_A1"/>
    <x v="2"/>
    <x v="2"/>
    <s v="GBPR_MUNIWASTE"/>
    <x v="0"/>
    <x v="10"/>
    <n v="4.29"/>
    <n v="1565.85"/>
    <n v="5637.06"/>
  </r>
  <r>
    <x v="0"/>
    <x v="2"/>
    <x v="2"/>
    <x v="7"/>
    <x v="13"/>
    <s v="NO3_A1"/>
    <x v="2"/>
    <x v="2"/>
    <s v="GBPR_MUNIWASTE"/>
    <x v="0"/>
    <x v="11"/>
    <n v="4.29"/>
    <n v="1565.85"/>
    <n v="5637.06"/>
  </r>
  <r>
    <x v="0"/>
    <x v="2"/>
    <x v="2"/>
    <x v="7"/>
    <x v="13"/>
    <s v="NO3_A1"/>
    <x v="2"/>
    <x v="2"/>
    <s v="GBPR_MUNIWASTE"/>
    <x v="0"/>
    <x v="12"/>
    <n v="4.29"/>
    <n v="1565.85"/>
    <n v="5637.06"/>
  </r>
  <r>
    <x v="0"/>
    <x v="2"/>
    <x v="2"/>
    <x v="7"/>
    <x v="13"/>
    <s v="NO3_A1"/>
    <x v="2"/>
    <x v="2"/>
    <s v="GBPR_MUNIWASTE"/>
    <x v="0"/>
    <x v="13"/>
    <n v="4.29"/>
    <n v="1565.85"/>
    <n v="5637.06"/>
  </r>
  <r>
    <x v="0"/>
    <x v="2"/>
    <x v="2"/>
    <x v="7"/>
    <x v="13"/>
    <s v="NO3_A1"/>
    <x v="2"/>
    <x v="2"/>
    <s v="GBPR_MUNIWASTE"/>
    <x v="0"/>
    <x v="14"/>
    <n v="4.29"/>
    <n v="1565.85"/>
    <n v="5637.06"/>
  </r>
  <r>
    <x v="0"/>
    <x v="2"/>
    <x v="2"/>
    <x v="7"/>
    <x v="13"/>
    <s v="NO3_A1"/>
    <x v="2"/>
    <x v="2"/>
    <s v="GBPR_MUNIWASTE"/>
    <x v="0"/>
    <x v="15"/>
    <n v="4.29"/>
    <n v="1565.85"/>
    <n v="5637.06"/>
  </r>
  <r>
    <x v="0"/>
    <x v="2"/>
    <x v="2"/>
    <x v="7"/>
    <x v="13"/>
    <s v="NO3_A1"/>
    <x v="2"/>
    <x v="2"/>
    <s v="GBPR_MUNIWASTE"/>
    <x v="0"/>
    <x v="16"/>
    <n v="4.29"/>
    <n v="1565.85"/>
    <n v="5637.06"/>
  </r>
  <r>
    <x v="0"/>
    <x v="2"/>
    <x v="2"/>
    <x v="7"/>
    <x v="13"/>
    <s v="NO3_A1"/>
    <x v="2"/>
    <x v="2"/>
    <s v="GBPR_MUNIWASTE"/>
    <x v="0"/>
    <x v="17"/>
    <n v="4.29"/>
    <n v="1565.85"/>
    <n v="5637.06"/>
  </r>
  <r>
    <x v="0"/>
    <x v="2"/>
    <x v="2"/>
    <x v="7"/>
    <x v="13"/>
    <s v="NO3_A1"/>
    <x v="2"/>
    <x v="2"/>
    <s v="GBPR_MUNIWASTE"/>
    <x v="0"/>
    <x v="19"/>
    <n v="4.29"/>
    <n v="1565.85"/>
    <n v="5637.06"/>
  </r>
  <r>
    <x v="0"/>
    <x v="2"/>
    <x v="2"/>
    <x v="7"/>
    <x v="13"/>
    <s v="NO3_A1"/>
    <x v="2"/>
    <x v="2"/>
    <s v="GBPR_MUNIWASTE"/>
    <x v="0"/>
    <x v="20"/>
    <n v="4.29"/>
    <n v="1565.85"/>
    <n v="5637.06"/>
  </r>
  <r>
    <x v="0"/>
    <x v="2"/>
    <x v="2"/>
    <x v="7"/>
    <x v="13"/>
    <s v="NO3_A1"/>
    <x v="2"/>
    <x v="2"/>
    <s v="GBPR_MUNIWASTE"/>
    <x v="0"/>
    <x v="21"/>
    <n v="4.29"/>
    <n v="1565.85"/>
    <n v="5637.06"/>
  </r>
  <r>
    <x v="0"/>
    <x v="2"/>
    <x v="2"/>
    <x v="7"/>
    <x v="13"/>
    <s v="NO3_A1"/>
    <x v="2"/>
    <x v="2"/>
    <s v="GBPR_MUNIWASTE"/>
    <x v="0"/>
    <x v="22"/>
    <n v="4.29"/>
    <n v="1565.85"/>
    <n v="5637.06"/>
  </r>
  <r>
    <x v="0"/>
    <x v="2"/>
    <x v="2"/>
    <x v="7"/>
    <x v="13"/>
    <s v="NO3_A1"/>
    <x v="2"/>
    <x v="2"/>
    <s v="GBPR_MUNIWASTE"/>
    <x v="0"/>
    <x v="23"/>
    <n v="4.29"/>
    <n v="1565.85"/>
    <n v="5637.06"/>
  </r>
  <r>
    <x v="0"/>
    <x v="2"/>
    <x v="2"/>
    <x v="7"/>
    <x v="13"/>
    <s v="NO3_A1"/>
    <x v="6"/>
    <x v="7"/>
    <s v="GNR_RES_WTR_NOPMP_MC-01"/>
    <x v="0"/>
    <x v="0"/>
    <n v="221.84651366034899"/>
    <n v="80973.977486027405"/>
    <n v="291506.31894969899"/>
  </r>
  <r>
    <x v="0"/>
    <x v="2"/>
    <x v="2"/>
    <x v="7"/>
    <x v="13"/>
    <s v="NO3_A1"/>
    <x v="6"/>
    <x v="7"/>
    <s v="GNR_RES_WTR_NOPMP_MC-01"/>
    <x v="0"/>
    <x v="1"/>
    <n v="221.84651366034899"/>
    <n v="80973.977486027405"/>
    <n v="291506.31894969899"/>
  </r>
  <r>
    <x v="0"/>
    <x v="2"/>
    <x v="2"/>
    <x v="7"/>
    <x v="13"/>
    <s v="NO3_A1"/>
    <x v="6"/>
    <x v="7"/>
    <s v="GNR_RES_WTR_NOPMP_MC-01"/>
    <x v="0"/>
    <x v="18"/>
    <n v="221.84651366034899"/>
    <n v="80973.977486027405"/>
    <n v="291506.31894969899"/>
  </r>
  <r>
    <x v="0"/>
    <x v="2"/>
    <x v="2"/>
    <x v="7"/>
    <x v="13"/>
    <s v="NO3_A1"/>
    <x v="6"/>
    <x v="7"/>
    <s v="GNR_RES_WTR_NOPMP_MC-01"/>
    <x v="0"/>
    <x v="2"/>
    <n v="221.84651366034899"/>
    <n v="80973.977486027405"/>
    <n v="291506.31894969899"/>
  </r>
  <r>
    <x v="0"/>
    <x v="2"/>
    <x v="2"/>
    <x v="7"/>
    <x v="13"/>
    <s v="NO3_A1"/>
    <x v="6"/>
    <x v="7"/>
    <s v="GNR_RES_WTR_NOPMP_MC-01"/>
    <x v="0"/>
    <x v="3"/>
    <n v="221.84651366034899"/>
    <n v="80973.977486027405"/>
    <n v="291506.31894969899"/>
  </r>
  <r>
    <x v="0"/>
    <x v="2"/>
    <x v="2"/>
    <x v="7"/>
    <x v="13"/>
    <s v="NO3_A1"/>
    <x v="6"/>
    <x v="7"/>
    <s v="GNR_RES_WTR_NOPMP_MC-01"/>
    <x v="0"/>
    <x v="4"/>
    <n v="221.84651366034899"/>
    <n v="80973.977486027405"/>
    <n v="291506.31894969899"/>
  </r>
  <r>
    <x v="0"/>
    <x v="2"/>
    <x v="2"/>
    <x v="7"/>
    <x v="13"/>
    <s v="NO3_A1"/>
    <x v="6"/>
    <x v="7"/>
    <s v="GNR_RES_WTR_NOPMP_MC-01"/>
    <x v="0"/>
    <x v="5"/>
    <n v="221.84651366034899"/>
    <n v="80973.977486027405"/>
    <n v="291506.31894969899"/>
  </r>
  <r>
    <x v="0"/>
    <x v="2"/>
    <x v="2"/>
    <x v="7"/>
    <x v="13"/>
    <s v="NO3_A1"/>
    <x v="6"/>
    <x v="7"/>
    <s v="GNR_RES_WTR_NOPMP_MC-01"/>
    <x v="0"/>
    <x v="6"/>
    <n v="221.84651366034899"/>
    <n v="80973.977486027405"/>
    <n v="291506.31894969899"/>
  </r>
  <r>
    <x v="0"/>
    <x v="2"/>
    <x v="2"/>
    <x v="7"/>
    <x v="13"/>
    <s v="NO3_A1"/>
    <x v="6"/>
    <x v="7"/>
    <s v="GNR_RES_WTR_NOPMP_MC-01"/>
    <x v="0"/>
    <x v="7"/>
    <n v="221.84651366034899"/>
    <n v="80973.977486027405"/>
    <n v="291506.31894969899"/>
  </r>
  <r>
    <x v="0"/>
    <x v="2"/>
    <x v="2"/>
    <x v="7"/>
    <x v="13"/>
    <s v="NO3_A1"/>
    <x v="6"/>
    <x v="7"/>
    <s v="GNR_RES_WTR_NOPMP_MC-01"/>
    <x v="0"/>
    <x v="8"/>
    <n v="221.84651366034899"/>
    <n v="80973.977486027405"/>
    <n v="291506.31894969899"/>
  </r>
  <r>
    <x v="0"/>
    <x v="2"/>
    <x v="2"/>
    <x v="7"/>
    <x v="13"/>
    <s v="NO3_A1"/>
    <x v="6"/>
    <x v="7"/>
    <s v="GNR_RES_WTR_NOPMP_MC-01"/>
    <x v="0"/>
    <x v="9"/>
    <n v="221.84651366034899"/>
    <n v="80973.977486027405"/>
    <n v="291506.31894969899"/>
  </r>
  <r>
    <x v="0"/>
    <x v="2"/>
    <x v="2"/>
    <x v="7"/>
    <x v="13"/>
    <s v="NO3_A1"/>
    <x v="6"/>
    <x v="7"/>
    <s v="GNR_RES_WTR_NOPMP_MC-01"/>
    <x v="0"/>
    <x v="10"/>
    <n v="221.84651366034899"/>
    <n v="80973.977486027405"/>
    <n v="291506.31894969899"/>
  </r>
  <r>
    <x v="0"/>
    <x v="2"/>
    <x v="2"/>
    <x v="7"/>
    <x v="13"/>
    <s v="NO3_A1"/>
    <x v="6"/>
    <x v="7"/>
    <s v="GNR_RES_WTR_NOPMP_MC-01"/>
    <x v="0"/>
    <x v="11"/>
    <n v="221.84651366034899"/>
    <n v="80973.977486027405"/>
    <n v="291506.31894969899"/>
  </r>
  <r>
    <x v="0"/>
    <x v="2"/>
    <x v="2"/>
    <x v="7"/>
    <x v="13"/>
    <s v="NO3_A1"/>
    <x v="6"/>
    <x v="7"/>
    <s v="GNR_RES_WTR_NOPMP_MC-01"/>
    <x v="0"/>
    <x v="12"/>
    <n v="221.84651366034899"/>
    <n v="80973.977486027405"/>
    <n v="291506.31894969899"/>
  </r>
  <r>
    <x v="0"/>
    <x v="2"/>
    <x v="2"/>
    <x v="7"/>
    <x v="13"/>
    <s v="NO3_A1"/>
    <x v="6"/>
    <x v="7"/>
    <s v="GNR_RES_WTR_NOPMP_MC-01"/>
    <x v="0"/>
    <x v="13"/>
    <n v="221.84651366034899"/>
    <n v="80973.977486027405"/>
    <n v="291506.31894969899"/>
  </r>
  <r>
    <x v="0"/>
    <x v="2"/>
    <x v="2"/>
    <x v="7"/>
    <x v="13"/>
    <s v="NO3_A1"/>
    <x v="6"/>
    <x v="7"/>
    <s v="GNR_RES_WTR_NOPMP_MC-01"/>
    <x v="0"/>
    <x v="14"/>
    <n v="221.84651366034899"/>
    <n v="80973.977486027405"/>
    <n v="291506.31894969899"/>
  </r>
  <r>
    <x v="0"/>
    <x v="2"/>
    <x v="2"/>
    <x v="7"/>
    <x v="13"/>
    <s v="NO3_A1"/>
    <x v="6"/>
    <x v="7"/>
    <s v="GNR_RES_WTR_NOPMP_MC-01"/>
    <x v="0"/>
    <x v="15"/>
    <n v="221.84651366034899"/>
    <n v="80973.977486027405"/>
    <n v="291506.31894969899"/>
  </r>
  <r>
    <x v="0"/>
    <x v="2"/>
    <x v="2"/>
    <x v="7"/>
    <x v="13"/>
    <s v="NO3_A1"/>
    <x v="6"/>
    <x v="7"/>
    <s v="GNR_RES_WTR_NOPMP_MC-01"/>
    <x v="0"/>
    <x v="16"/>
    <n v="221.84651366034899"/>
    <n v="80973.977486027405"/>
    <n v="291506.31894969899"/>
  </r>
  <r>
    <x v="0"/>
    <x v="2"/>
    <x v="2"/>
    <x v="7"/>
    <x v="13"/>
    <s v="NO3_A1"/>
    <x v="6"/>
    <x v="7"/>
    <s v="GNR_RES_WTR_NOPMP_MC-01"/>
    <x v="0"/>
    <x v="17"/>
    <n v="221.84651366034899"/>
    <n v="80973.977486027405"/>
    <n v="291506.31894969899"/>
  </r>
  <r>
    <x v="0"/>
    <x v="2"/>
    <x v="2"/>
    <x v="7"/>
    <x v="13"/>
    <s v="NO3_A1"/>
    <x v="6"/>
    <x v="7"/>
    <s v="GNR_RES_WTR_NOPMP_MC-01"/>
    <x v="0"/>
    <x v="19"/>
    <n v="221.84651366034899"/>
    <n v="80973.977486027405"/>
    <n v="291506.31894969899"/>
  </r>
  <r>
    <x v="0"/>
    <x v="2"/>
    <x v="2"/>
    <x v="7"/>
    <x v="13"/>
    <s v="NO3_A1"/>
    <x v="6"/>
    <x v="7"/>
    <s v="GNR_RES_WTR_NOPMP_MC-01"/>
    <x v="0"/>
    <x v="20"/>
    <n v="221.84651366034899"/>
    <n v="80973.977486027405"/>
    <n v="291506.31894969899"/>
  </r>
  <r>
    <x v="0"/>
    <x v="2"/>
    <x v="2"/>
    <x v="7"/>
    <x v="13"/>
    <s v="NO3_A1"/>
    <x v="6"/>
    <x v="7"/>
    <s v="GNR_RES_WTR_NOPMP_MC-01"/>
    <x v="0"/>
    <x v="21"/>
    <n v="221.84651366034899"/>
    <n v="80973.977486027405"/>
    <n v="291506.31894969899"/>
  </r>
  <r>
    <x v="0"/>
    <x v="2"/>
    <x v="2"/>
    <x v="7"/>
    <x v="13"/>
    <s v="NO3_A1"/>
    <x v="6"/>
    <x v="7"/>
    <s v="GNR_RES_WTR_NOPMP_MC-01"/>
    <x v="0"/>
    <x v="22"/>
    <n v="221.84651366034899"/>
    <n v="80973.977486027405"/>
    <n v="291506.31894969899"/>
  </r>
  <r>
    <x v="0"/>
    <x v="2"/>
    <x v="2"/>
    <x v="7"/>
    <x v="13"/>
    <s v="NO3_A1"/>
    <x v="6"/>
    <x v="7"/>
    <s v="GNR_RES_WTR_NOPMP_MC-01"/>
    <x v="0"/>
    <x v="23"/>
    <n v="221.84651366034899"/>
    <n v="80973.977486027405"/>
    <n v="291506.31894969899"/>
  </r>
  <r>
    <x v="0"/>
    <x v="2"/>
    <x v="2"/>
    <x v="7"/>
    <x v="13"/>
    <s v="NO3_A1"/>
    <x v="6"/>
    <x v="7"/>
    <s v="GNR_RES_WTR_NOPMP_MC-02"/>
    <x v="0"/>
    <x v="0"/>
    <n v="282.146513660349"/>
    <n v="102983.477486027"/>
    <n v="370740.51894969901"/>
  </r>
  <r>
    <x v="0"/>
    <x v="2"/>
    <x v="2"/>
    <x v="7"/>
    <x v="13"/>
    <s v="NO3_A1"/>
    <x v="6"/>
    <x v="7"/>
    <s v="GNR_RES_WTR_NOPMP_MC-02"/>
    <x v="0"/>
    <x v="1"/>
    <n v="282.146513660349"/>
    <n v="102983.477486027"/>
    <n v="370740.51894969901"/>
  </r>
  <r>
    <x v="0"/>
    <x v="2"/>
    <x v="2"/>
    <x v="7"/>
    <x v="13"/>
    <s v="NO3_A1"/>
    <x v="6"/>
    <x v="7"/>
    <s v="GNR_RES_WTR_NOPMP_MC-02"/>
    <x v="0"/>
    <x v="18"/>
    <n v="282.146513660349"/>
    <n v="102983.477486027"/>
    <n v="370740.51894969901"/>
  </r>
  <r>
    <x v="0"/>
    <x v="2"/>
    <x v="2"/>
    <x v="7"/>
    <x v="13"/>
    <s v="NO3_A1"/>
    <x v="6"/>
    <x v="7"/>
    <s v="GNR_RES_WTR_NOPMP_MC-02"/>
    <x v="0"/>
    <x v="2"/>
    <n v="282.146513660349"/>
    <n v="102983.477486027"/>
    <n v="370740.51894969901"/>
  </r>
  <r>
    <x v="0"/>
    <x v="2"/>
    <x v="2"/>
    <x v="7"/>
    <x v="13"/>
    <s v="NO3_A1"/>
    <x v="6"/>
    <x v="7"/>
    <s v="GNR_RES_WTR_NOPMP_MC-02"/>
    <x v="0"/>
    <x v="3"/>
    <n v="282.146513660349"/>
    <n v="102983.477486027"/>
    <n v="370740.51894969901"/>
  </r>
  <r>
    <x v="0"/>
    <x v="2"/>
    <x v="2"/>
    <x v="7"/>
    <x v="13"/>
    <s v="NO3_A1"/>
    <x v="6"/>
    <x v="7"/>
    <s v="GNR_RES_WTR_NOPMP_MC-02"/>
    <x v="0"/>
    <x v="4"/>
    <n v="282.146513660349"/>
    <n v="102983.477486027"/>
    <n v="370740.51894969901"/>
  </r>
  <r>
    <x v="0"/>
    <x v="2"/>
    <x v="2"/>
    <x v="7"/>
    <x v="13"/>
    <s v="NO3_A1"/>
    <x v="6"/>
    <x v="7"/>
    <s v="GNR_RES_WTR_NOPMP_MC-02"/>
    <x v="0"/>
    <x v="5"/>
    <n v="282.146513660349"/>
    <n v="102983.477486027"/>
    <n v="370740.51894969901"/>
  </r>
  <r>
    <x v="0"/>
    <x v="2"/>
    <x v="2"/>
    <x v="7"/>
    <x v="13"/>
    <s v="NO3_A1"/>
    <x v="6"/>
    <x v="7"/>
    <s v="GNR_RES_WTR_NOPMP_MC-02"/>
    <x v="0"/>
    <x v="6"/>
    <n v="282.146513660349"/>
    <n v="102983.477486027"/>
    <n v="370740.51894969901"/>
  </r>
  <r>
    <x v="0"/>
    <x v="2"/>
    <x v="2"/>
    <x v="7"/>
    <x v="13"/>
    <s v="NO3_A1"/>
    <x v="6"/>
    <x v="7"/>
    <s v="GNR_RES_WTR_NOPMP_MC-02"/>
    <x v="0"/>
    <x v="7"/>
    <n v="282.146513660349"/>
    <n v="102983.477486027"/>
    <n v="370740.51894969901"/>
  </r>
  <r>
    <x v="0"/>
    <x v="2"/>
    <x v="2"/>
    <x v="7"/>
    <x v="13"/>
    <s v="NO3_A1"/>
    <x v="6"/>
    <x v="7"/>
    <s v="GNR_RES_WTR_NOPMP_MC-02"/>
    <x v="0"/>
    <x v="8"/>
    <n v="282.146513660349"/>
    <n v="102983.477486027"/>
    <n v="370740.51894969901"/>
  </r>
  <r>
    <x v="0"/>
    <x v="2"/>
    <x v="2"/>
    <x v="7"/>
    <x v="13"/>
    <s v="NO3_A1"/>
    <x v="6"/>
    <x v="7"/>
    <s v="GNR_RES_WTR_NOPMP_MC-02"/>
    <x v="0"/>
    <x v="9"/>
    <n v="282.146513660349"/>
    <n v="102983.477486027"/>
    <n v="370740.51894969901"/>
  </r>
  <r>
    <x v="0"/>
    <x v="2"/>
    <x v="2"/>
    <x v="7"/>
    <x v="13"/>
    <s v="NO3_A1"/>
    <x v="6"/>
    <x v="7"/>
    <s v="GNR_RES_WTR_NOPMP_MC-02"/>
    <x v="0"/>
    <x v="10"/>
    <n v="282.146513660349"/>
    <n v="102983.477486027"/>
    <n v="370740.51894969901"/>
  </r>
  <r>
    <x v="0"/>
    <x v="2"/>
    <x v="2"/>
    <x v="7"/>
    <x v="13"/>
    <s v="NO3_A1"/>
    <x v="6"/>
    <x v="7"/>
    <s v="GNR_RES_WTR_NOPMP_MC-02"/>
    <x v="0"/>
    <x v="11"/>
    <n v="282.146513660349"/>
    <n v="102983.477486027"/>
    <n v="370740.51894969901"/>
  </r>
  <r>
    <x v="0"/>
    <x v="2"/>
    <x v="2"/>
    <x v="7"/>
    <x v="13"/>
    <s v="NO3_A1"/>
    <x v="6"/>
    <x v="7"/>
    <s v="GNR_RES_WTR_NOPMP_MC-02"/>
    <x v="0"/>
    <x v="12"/>
    <n v="282.146513660349"/>
    <n v="102983.477486027"/>
    <n v="370740.51894969901"/>
  </r>
  <r>
    <x v="0"/>
    <x v="2"/>
    <x v="2"/>
    <x v="7"/>
    <x v="13"/>
    <s v="NO3_A1"/>
    <x v="6"/>
    <x v="7"/>
    <s v="GNR_RES_WTR_NOPMP_MC-02"/>
    <x v="0"/>
    <x v="13"/>
    <n v="282.146513660349"/>
    <n v="102983.477486027"/>
    <n v="370740.51894969901"/>
  </r>
  <r>
    <x v="0"/>
    <x v="2"/>
    <x v="2"/>
    <x v="7"/>
    <x v="13"/>
    <s v="NO3_A1"/>
    <x v="6"/>
    <x v="7"/>
    <s v="GNR_RES_WTR_NOPMP_MC-02"/>
    <x v="0"/>
    <x v="14"/>
    <n v="282.146513660349"/>
    <n v="102983.477486027"/>
    <n v="370740.51894969901"/>
  </r>
  <r>
    <x v="0"/>
    <x v="2"/>
    <x v="2"/>
    <x v="7"/>
    <x v="13"/>
    <s v="NO3_A1"/>
    <x v="6"/>
    <x v="7"/>
    <s v="GNR_RES_WTR_NOPMP_MC-02"/>
    <x v="0"/>
    <x v="15"/>
    <n v="282.146513660349"/>
    <n v="102983.477486027"/>
    <n v="370740.51894969901"/>
  </r>
  <r>
    <x v="0"/>
    <x v="2"/>
    <x v="2"/>
    <x v="7"/>
    <x v="13"/>
    <s v="NO3_A1"/>
    <x v="6"/>
    <x v="7"/>
    <s v="GNR_RES_WTR_NOPMP_MC-02"/>
    <x v="0"/>
    <x v="16"/>
    <n v="282.146513660349"/>
    <n v="102983.477486027"/>
    <n v="370740.51894969901"/>
  </r>
  <r>
    <x v="0"/>
    <x v="2"/>
    <x v="2"/>
    <x v="7"/>
    <x v="13"/>
    <s v="NO3_A1"/>
    <x v="6"/>
    <x v="7"/>
    <s v="GNR_RES_WTR_NOPMP_MC-02"/>
    <x v="0"/>
    <x v="17"/>
    <n v="282.146513660349"/>
    <n v="102983.477486027"/>
    <n v="370740.51894969901"/>
  </r>
  <r>
    <x v="0"/>
    <x v="2"/>
    <x v="2"/>
    <x v="7"/>
    <x v="13"/>
    <s v="NO3_A1"/>
    <x v="6"/>
    <x v="7"/>
    <s v="GNR_RES_WTR_NOPMP_MC-02"/>
    <x v="0"/>
    <x v="19"/>
    <n v="282.146513660349"/>
    <n v="102983.477486027"/>
    <n v="370740.51894969901"/>
  </r>
  <r>
    <x v="0"/>
    <x v="2"/>
    <x v="2"/>
    <x v="7"/>
    <x v="13"/>
    <s v="NO3_A1"/>
    <x v="6"/>
    <x v="7"/>
    <s v="GNR_RES_WTR_NOPMP_MC-02"/>
    <x v="0"/>
    <x v="20"/>
    <n v="282.146513660349"/>
    <n v="102983.477486027"/>
    <n v="370740.51894969901"/>
  </r>
  <r>
    <x v="0"/>
    <x v="2"/>
    <x v="2"/>
    <x v="7"/>
    <x v="13"/>
    <s v="NO3_A1"/>
    <x v="6"/>
    <x v="7"/>
    <s v="GNR_RES_WTR_NOPMP_MC-02"/>
    <x v="0"/>
    <x v="21"/>
    <n v="282.146513660349"/>
    <n v="102983.477486027"/>
    <n v="370740.51894969901"/>
  </r>
  <r>
    <x v="0"/>
    <x v="2"/>
    <x v="2"/>
    <x v="7"/>
    <x v="13"/>
    <s v="NO3_A1"/>
    <x v="6"/>
    <x v="7"/>
    <s v="GNR_RES_WTR_NOPMP_MC-02"/>
    <x v="0"/>
    <x v="22"/>
    <n v="282.146513660349"/>
    <n v="102983.477486027"/>
    <n v="370740.51894969901"/>
  </r>
  <r>
    <x v="0"/>
    <x v="2"/>
    <x v="2"/>
    <x v="7"/>
    <x v="13"/>
    <s v="NO3_A1"/>
    <x v="6"/>
    <x v="7"/>
    <s v="GNR_RES_WTR_NOPMP_MC-02"/>
    <x v="0"/>
    <x v="23"/>
    <n v="282.146513660349"/>
    <n v="102983.477486027"/>
    <n v="370740.51894969901"/>
  </r>
  <r>
    <x v="0"/>
    <x v="2"/>
    <x v="2"/>
    <x v="7"/>
    <x v="13"/>
    <s v="NO3_A1"/>
    <x v="6"/>
    <x v="7"/>
    <s v="GNR_RES_WTR_NOPMP_MC-03"/>
    <x v="0"/>
    <x v="0"/>
    <n v="282.146513660349"/>
    <n v="102983.477486027"/>
    <n v="370740.51894969901"/>
  </r>
  <r>
    <x v="0"/>
    <x v="2"/>
    <x v="2"/>
    <x v="7"/>
    <x v="13"/>
    <s v="NO3_A1"/>
    <x v="6"/>
    <x v="7"/>
    <s v="GNR_RES_WTR_NOPMP_MC-03"/>
    <x v="0"/>
    <x v="1"/>
    <n v="282.146513660349"/>
    <n v="102983.477486027"/>
    <n v="370740.51894969901"/>
  </r>
  <r>
    <x v="0"/>
    <x v="2"/>
    <x v="2"/>
    <x v="7"/>
    <x v="13"/>
    <s v="NO3_A1"/>
    <x v="6"/>
    <x v="7"/>
    <s v="GNR_RES_WTR_NOPMP_MC-03"/>
    <x v="0"/>
    <x v="18"/>
    <n v="282.146513660349"/>
    <n v="102983.477486027"/>
    <n v="370740.51894969901"/>
  </r>
  <r>
    <x v="0"/>
    <x v="2"/>
    <x v="2"/>
    <x v="7"/>
    <x v="13"/>
    <s v="NO3_A1"/>
    <x v="6"/>
    <x v="7"/>
    <s v="GNR_RES_WTR_NOPMP_MC-03"/>
    <x v="0"/>
    <x v="2"/>
    <n v="282.146513660349"/>
    <n v="102983.477486027"/>
    <n v="370740.51894969901"/>
  </r>
  <r>
    <x v="0"/>
    <x v="2"/>
    <x v="2"/>
    <x v="7"/>
    <x v="13"/>
    <s v="NO3_A1"/>
    <x v="6"/>
    <x v="7"/>
    <s v="GNR_RES_WTR_NOPMP_MC-03"/>
    <x v="0"/>
    <x v="3"/>
    <n v="282.146513660349"/>
    <n v="102983.477486027"/>
    <n v="370740.51894969901"/>
  </r>
  <r>
    <x v="0"/>
    <x v="2"/>
    <x v="2"/>
    <x v="7"/>
    <x v="13"/>
    <s v="NO3_A1"/>
    <x v="6"/>
    <x v="7"/>
    <s v="GNR_RES_WTR_NOPMP_MC-03"/>
    <x v="0"/>
    <x v="4"/>
    <n v="282.146513660349"/>
    <n v="102983.477486027"/>
    <n v="370740.51894969901"/>
  </r>
  <r>
    <x v="0"/>
    <x v="2"/>
    <x v="2"/>
    <x v="7"/>
    <x v="13"/>
    <s v="NO3_A1"/>
    <x v="6"/>
    <x v="7"/>
    <s v="GNR_RES_WTR_NOPMP_MC-03"/>
    <x v="0"/>
    <x v="5"/>
    <n v="282.146513660349"/>
    <n v="102983.477486027"/>
    <n v="370740.51894969901"/>
  </r>
  <r>
    <x v="0"/>
    <x v="2"/>
    <x v="2"/>
    <x v="7"/>
    <x v="13"/>
    <s v="NO3_A1"/>
    <x v="6"/>
    <x v="7"/>
    <s v="GNR_RES_WTR_NOPMP_MC-03"/>
    <x v="0"/>
    <x v="6"/>
    <n v="282.146513660349"/>
    <n v="102983.477486027"/>
    <n v="370740.51894969901"/>
  </r>
  <r>
    <x v="0"/>
    <x v="2"/>
    <x v="2"/>
    <x v="7"/>
    <x v="13"/>
    <s v="NO3_A1"/>
    <x v="6"/>
    <x v="7"/>
    <s v="GNR_RES_WTR_NOPMP_MC-03"/>
    <x v="0"/>
    <x v="7"/>
    <n v="282.146513660349"/>
    <n v="102983.477486027"/>
    <n v="370740.51894969901"/>
  </r>
  <r>
    <x v="0"/>
    <x v="2"/>
    <x v="2"/>
    <x v="7"/>
    <x v="13"/>
    <s v="NO3_A1"/>
    <x v="6"/>
    <x v="7"/>
    <s v="GNR_RES_WTR_NOPMP_MC-03"/>
    <x v="0"/>
    <x v="8"/>
    <n v="282.146513660349"/>
    <n v="102983.477486027"/>
    <n v="370740.51894969901"/>
  </r>
  <r>
    <x v="0"/>
    <x v="2"/>
    <x v="2"/>
    <x v="7"/>
    <x v="13"/>
    <s v="NO3_A1"/>
    <x v="6"/>
    <x v="7"/>
    <s v="GNR_RES_WTR_NOPMP_MC-03"/>
    <x v="0"/>
    <x v="9"/>
    <n v="282.146513660349"/>
    <n v="102983.477486027"/>
    <n v="370740.51894969901"/>
  </r>
  <r>
    <x v="0"/>
    <x v="2"/>
    <x v="2"/>
    <x v="7"/>
    <x v="13"/>
    <s v="NO3_A1"/>
    <x v="6"/>
    <x v="7"/>
    <s v="GNR_RES_WTR_NOPMP_MC-03"/>
    <x v="0"/>
    <x v="10"/>
    <n v="282.146513660349"/>
    <n v="102983.477486027"/>
    <n v="370740.51894969901"/>
  </r>
  <r>
    <x v="0"/>
    <x v="2"/>
    <x v="2"/>
    <x v="7"/>
    <x v="13"/>
    <s v="NO3_A1"/>
    <x v="6"/>
    <x v="7"/>
    <s v="GNR_RES_WTR_NOPMP_MC-03"/>
    <x v="0"/>
    <x v="11"/>
    <n v="282.146513660349"/>
    <n v="102983.477486027"/>
    <n v="370740.51894969901"/>
  </r>
  <r>
    <x v="0"/>
    <x v="2"/>
    <x v="2"/>
    <x v="7"/>
    <x v="13"/>
    <s v="NO3_A1"/>
    <x v="6"/>
    <x v="7"/>
    <s v="GNR_RES_WTR_NOPMP_MC-03"/>
    <x v="0"/>
    <x v="12"/>
    <n v="282.146513660349"/>
    <n v="102983.477486027"/>
    <n v="370740.51894969901"/>
  </r>
  <r>
    <x v="0"/>
    <x v="2"/>
    <x v="2"/>
    <x v="7"/>
    <x v="13"/>
    <s v="NO3_A1"/>
    <x v="6"/>
    <x v="7"/>
    <s v="GNR_RES_WTR_NOPMP_MC-03"/>
    <x v="0"/>
    <x v="13"/>
    <n v="282.146513660349"/>
    <n v="102983.477486027"/>
    <n v="370740.51894969901"/>
  </r>
  <r>
    <x v="0"/>
    <x v="2"/>
    <x v="2"/>
    <x v="7"/>
    <x v="13"/>
    <s v="NO3_A1"/>
    <x v="6"/>
    <x v="7"/>
    <s v="GNR_RES_WTR_NOPMP_MC-03"/>
    <x v="0"/>
    <x v="14"/>
    <n v="282.146513660349"/>
    <n v="102983.477486027"/>
    <n v="370740.51894969901"/>
  </r>
  <r>
    <x v="0"/>
    <x v="2"/>
    <x v="2"/>
    <x v="7"/>
    <x v="13"/>
    <s v="NO3_A1"/>
    <x v="6"/>
    <x v="7"/>
    <s v="GNR_RES_WTR_NOPMP_MC-03"/>
    <x v="0"/>
    <x v="15"/>
    <n v="282.146513660349"/>
    <n v="102983.477486027"/>
    <n v="370740.51894969901"/>
  </r>
  <r>
    <x v="0"/>
    <x v="2"/>
    <x v="2"/>
    <x v="7"/>
    <x v="13"/>
    <s v="NO3_A1"/>
    <x v="6"/>
    <x v="7"/>
    <s v="GNR_RES_WTR_NOPMP_MC-03"/>
    <x v="0"/>
    <x v="16"/>
    <n v="282.146513660349"/>
    <n v="102983.477486027"/>
    <n v="370740.51894969901"/>
  </r>
  <r>
    <x v="0"/>
    <x v="2"/>
    <x v="2"/>
    <x v="7"/>
    <x v="13"/>
    <s v="NO3_A1"/>
    <x v="6"/>
    <x v="7"/>
    <s v="GNR_RES_WTR_NOPMP_MC-03"/>
    <x v="0"/>
    <x v="17"/>
    <n v="282.146513660349"/>
    <n v="102983.477486027"/>
    <n v="370740.51894969901"/>
  </r>
  <r>
    <x v="0"/>
    <x v="2"/>
    <x v="2"/>
    <x v="7"/>
    <x v="13"/>
    <s v="NO3_A1"/>
    <x v="6"/>
    <x v="7"/>
    <s v="GNR_RES_WTR_NOPMP_MC-03"/>
    <x v="0"/>
    <x v="19"/>
    <n v="282.146513660349"/>
    <n v="102983.477486027"/>
    <n v="370740.51894969901"/>
  </r>
  <r>
    <x v="0"/>
    <x v="2"/>
    <x v="2"/>
    <x v="7"/>
    <x v="13"/>
    <s v="NO3_A1"/>
    <x v="6"/>
    <x v="7"/>
    <s v="GNR_RES_WTR_NOPMP_MC-03"/>
    <x v="0"/>
    <x v="20"/>
    <n v="282.146513660349"/>
    <n v="102983.477486027"/>
    <n v="370740.51894969901"/>
  </r>
  <r>
    <x v="0"/>
    <x v="2"/>
    <x v="2"/>
    <x v="7"/>
    <x v="13"/>
    <s v="NO3_A1"/>
    <x v="6"/>
    <x v="7"/>
    <s v="GNR_RES_WTR_NOPMP_MC-03"/>
    <x v="0"/>
    <x v="21"/>
    <n v="282.146513660349"/>
    <n v="102983.477486027"/>
    <n v="370740.51894969901"/>
  </r>
  <r>
    <x v="0"/>
    <x v="2"/>
    <x v="2"/>
    <x v="7"/>
    <x v="13"/>
    <s v="NO3_A1"/>
    <x v="6"/>
    <x v="7"/>
    <s v="GNR_RES_WTR_NOPMP_MC-03"/>
    <x v="0"/>
    <x v="22"/>
    <n v="282.146513660349"/>
    <n v="102983.477486027"/>
    <n v="370740.51894969901"/>
  </r>
  <r>
    <x v="0"/>
    <x v="2"/>
    <x v="2"/>
    <x v="7"/>
    <x v="13"/>
    <s v="NO3_A1"/>
    <x v="6"/>
    <x v="7"/>
    <s v="GNR_RES_WTR_NOPMP_MC-03"/>
    <x v="0"/>
    <x v="23"/>
    <n v="282.146513660349"/>
    <n v="102983.477486027"/>
    <n v="370740.51894969901"/>
  </r>
  <r>
    <x v="0"/>
    <x v="2"/>
    <x v="2"/>
    <x v="7"/>
    <x v="13"/>
    <s v="NO3_A1"/>
    <x v="6"/>
    <x v="7"/>
    <s v="GNR_RES_WTR_NOPMP_MC-04"/>
    <x v="0"/>
    <x v="0"/>
    <n v="282.146513660349"/>
    <n v="102983.477486027"/>
    <n v="370740.51894969901"/>
  </r>
  <r>
    <x v="0"/>
    <x v="2"/>
    <x v="2"/>
    <x v="7"/>
    <x v="13"/>
    <s v="NO3_A1"/>
    <x v="6"/>
    <x v="7"/>
    <s v="GNR_RES_WTR_NOPMP_MC-04"/>
    <x v="0"/>
    <x v="1"/>
    <n v="282.146513660349"/>
    <n v="102983.477486027"/>
    <n v="370740.51894969901"/>
  </r>
  <r>
    <x v="0"/>
    <x v="2"/>
    <x v="2"/>
    <x v="7"/>
    <x v="13"/>
    <s v="NO3_A1"/>
    <x v="6"/>
    <x v="7"/>
    <s v="GNR_RES_WTR_NOPMP_MC-04"/>
    <x v="0"/>
    <x v="18"/>
    <n v="282.146513660349"/>
    <n v="102983.477486027"/>
    <n v="370740.51894969901"/>
  </r>
  <r>
    <x v="0"/>
    <x v="2"/>
    <x v="2"/>
    <x v="7"/>
    <x v="13"/>
    <s v="NO3_A1"/>
    <x v="6"/>
    <x v="7"/>
    <s v="GNR_RES_WTR_NOPMP_MC-04"/>
    <x v="0"/>
    <x v="2"/>
    <n v="282.146513660349"/>
    <n v="102983.477486027"/>
    <n v="370740.51894969901"/>
  </r>
  <r>
    <x v="0"/>
    <x v="2"/>
    <x v="2"/>
    <x v="7"/>
    <x v="13"/>
    <s v="NO3_A1"/>
    <x v="6"/>
    <x v="7"/>
    <s v="GNR_RES_WTR_NOPMP_MC-04"/>
    <x v="0"/>
    <x v="3"/>
    <n v="282.146513660349"/>
    <n v="102983.477486027"/>
    <n v="370740.51894969901"/>
  </r>
  <r>
    <x v="0"/>
    <x v="2"/>
    <x v="2"/>
    <x v="7"/>
    <x v="13"/>
    <s v="NO3_A1"/>
    <x v="6"/>
    <x v="7"/>
    <s v="GNR_RES_WTR_NOPMP_MC-04"/>
    <x v="0"/>
    <x v="4"/>
    <n v="282.146513660349"/>
    <n v="102983.477486027"/>
    <n v="370740.51894969901"/>
  </r>
  <r>
    <x v="0"/>
    <x v="2"/>
    <x v="2"/>
    <x v="7"/>
    <x v="13"/>
    <s v="NO3_A1"/>
    <x v="6"/>
    <x v="7"/>
    <s v="GNR_RES_WTR_NOPMP_MC-04"/>
    <x v="0"/>
    <x v="5"/>
    <n v="282.146513660349"/>
    <n v="102983.477486027"/>
    <n v="370740.51894969901"/>
  </r>
  <r>
    <x v="0"/>
    <x v="2"/>
    <x v="2"/>
    <x v="7"/>
    <x v="13"/>
    <s v="NO3_A1"/>
    <x v="6"/>
    <x v="7"/>
    <s v="GNR_RES_WTR_NOPMP_MC-04"/>
    <x v="0"/>
    <x v="6"/>
    <n v="282.146513660349"/>
    <n v="102983.477486027"/>
    <n v="370740.51894969901"/>
  </r>
  <r>
    <x v="0"/>
    <x v="2"/>
    <x v="2"/>
    <x v="7"/>
    <x v="13"/>
    <s v="NO3_A1"/>
    <x v="6"/>
    <x v="7"/>
    <s v="GNR_RES_WTR_NOPMP_MC-04"/>
    <x v="0"/>
    <x v="7"/>
    <n v="282.146513660349"/>
    <n v="102983.477486027"/>
    <n v="370740.51894969901"/>
  </r>
  <r>
    <x v="0"/>
    <x v="2"/>
    <x v="2"/>
    <x v="7"/>
    <x v="13"/>
    <s v="NO3_A1"/>
    <x v="6"/>
    <x v="7"/>
    <s v="GNR_RES_WTR_NOPMP_MC-04"/>
    <x v="0"/>
    <x v="8"/>
    <n v="282.146513660349"/>
    <n v="102983.477486027"/>
    <n v="370740.51894969901"/>
  </r>
  <r>
    <x v="0"/>
    <x v="2"/>
    <x v="2"/>
    <x v="7"/>
    <x v="13"/>
    <s v="NO3_A1"/>
    <x v="6"/>
    <x v="7"/>
    <s v="GNR_RES_WTR_NOPMP_MC-04"/>
    <x v="0"/>
    <x v="9"/>
    <n v="282.146513660349"/>
    <n v="102983.477486027"/>
    <n v="370740.51894969901"/>
  </r>
  <r>
    <x v="0"/>
    <x v="2"/>
    <x v="2"/>
    <x v="7"/>
    <x v="13"/>
    <s v="NO3_A1"/>
    <x v="6"/>
    <x v="7"/>
    <s v="GNR_RES_WTR_NOPMP_MC-04"/>
    <x v="0"/>
    <x v="10"/>
    <n v="282.146513660349"/>
    <n v="102983.477486027"/>
    <n v="370740.51894969901"/>
  </r>
  <r>
    <x v="0"/>
    <x v="2"/>
    <x v="2"/>
    <x v="7"/>
    <x v="13"/>
    <s v="NO3_A1"/>
    <x v="6"/>
    <x v="7"/>
    <s v="GNR_RES_WTR_NOPMP_MC-04"/>
    <x v="0"/>
    <x v="11"/>
    <n v="282.146513660349"/>
    <n v="102983.477486027"/>
    <n v="370740.51894969901"/>
  </r>
  <r>
    <x v="0"/>
    <x v="2"/>
    <x v="2"/>
    <x v="7"/>
    <x v="13"/>
    <s v="NO3_A1"/>
    <x v="6"/>
    <x v="7"/>
    <s v="GNR_RES_WTR_NOPMP_MC-04"/>
    <x v="0"/>
    <x v="12"/>
    <n v="139.19298517299001"/>
    <n v="50805.439588141402"/>
    <n v="182899.582517309"/>
  </r>
  <r>
    <x v="0"/>
    <x v="2"/>
    <x v="2"/>
    <x v="7"/>
    <x v="13"/>
    <s v="NO3_A1"/>
    <x v="6"/>
    <x v="7"/>
    <s v="GNR_RES_WTR_NOPMP_MC-04"/>
    <x v="0"/>
    <x v="13"/>
    <n v="60.564615478824997"/>
    <n v="22106.084649771099"/>
    <n v="79581.904739176098"/>
  </r>
  <r>
    <x v="0"/>
    <x v="2"/>
    <x v="2"/>
    <x v="7"/>
    <x v="13"/>
    <s v="NO3_A1"/>
    <x v="6"/>
    <x v="7"/>
    <s v="GNR_RES_WTR_NOPMP_MC-04"/>
    <x v="0"/>
    <x v="14"/>
    <n v="282.146513660349"/>
    <n v="102983.477486027"/>
    <n v="370740.51894969901"/>
  </r>
  <r>
    <x v="0"/>
    <x v="2"/>
    <x v="2"/>
    <x v="7"/>
    <x v="13"/>
    <s v="NO3_A1"/>
    <x v="6"/>
    <x v="7"/>
    <s v="GNR_RES_WTR_NOPMP_MC-04"/>
    <x v="0"/>
    <x v="15"/>
    <n v="282.146513660349"/>
    <n v="102983.477486027"/>
    <n v="370740.51894969901"/>
  </r>
  <r>
    <x v="0"/>
    <x v="2"/>
    <x v="2"/>
    <x v="7"/>
    <x v="13"/>
    <s v="NO3_A1"/>
    <x v="6"/>
    <x v="7"/>
    <s v="GNR_RES_WTR_NOPMP_MC-04"/>
    <x v="0"/>
    <x v="16"/>
    <n v="282.146513660349"/>
    <n v="102983.477486027"/>
    <n v="370740.51894969901"/>
  </r>
  <r>
    <x v="0"/>
    <x v="2"/>
    <x v="2"/>
    <x v="7"/>
    <x v="13"/>
    <s v="NO3_A1"/>
    <x v="6"/>
    <x v="7"/>
    <s v="GNR_RES_WTR_NOPMP_MC-04"/>
    <x v="0"/>
    <x v="17"/>
    <n v="282.146513660349"/>
    <n v="102983.477486027"/>
    <n v="370740.51894969901"/>
  </r>
  <r>
    <x v="0"/>
    <x v="2"/>
    <x v="2"/>
    <x v="7"/>
    <x v="13"/>
    <s v="NO3_A1"/>
    <x v="6"/>
    <x v="7"/>
    <s v="GNR_RES_WTR_NOPMP_MC-04"/>
    <x v="0"/>
    <x v="19"/>
    <n v="282.146513660349"/>
    <n v="102983.477486027"/>
    <n v="370740.51894969901"/>
  </r>
  <r>
    <x v="0"/>
    <x v="2"/>
    <x v="2"/>
    <x v="7"/>
    <x v="13"/>
    <s v="NO3_A1"/>
    <x v="6"/>
    <x v="7"/>
    <s v="GNR_RES_WTR_NOPMP_MC-04"/>
    <x v="0"/>
    <x v="20"/>
    <n v="282.146513660349"/>
    <n v="102983.477486027"/>
    <n v="370740.51894969901"/>
  </r>
  <r>
    <x v="0"/>
    <x v="2"/>
    <x v="2"/>
    <x v="7"/>
    <x v="13"/>
    <s v="NO3_A1"/>
    <x v="6"/>
    <x v="7"/>
    <s v="GNR_RES_WTR_NOPMP_MC-04"/>
    <x v="0"/>
    <x v="21"/>
    <n v="282.146513660349"/>
    <n v="102983.477486027"/>
    <n v="370740.51894969901"/>
  </r>
  <r>
    <x v="0"/>
    <x v="2"/>
    <x v="2"/>
    <x v="7"/>
    <x v="13"/>
    <s v="NO3_A1"/>
    <x v="6"/>
    <x v="7"/>
    <s v="GNR_RES_WTR_NOPMP_MC-04"/>
    <x v="0"/>
    <x v="22"/>
    <n v="282.146513660349"/>
    <n v="102983.477486027"/>
    <n v="370740.51894969901"/>
  </r>
  <r>
    <x v="0"/>
    <x v="2"/>
    <x v="2"/>
    <x v="7"/>
    <x v="13"/>
    <s v="NO3_A1"/>
    <x v="6"/>
    <x v="7"/>
    <s v="GNR_RES_WTR_NOPMP_MC-04"/>
    <x v="0"/>
    <x v="23"/>
    <n v="282.146513660349"/>
    <n v="102983.477486027"/>
    <n v="370740.51894969901"/>
  </r>
  <r>
    <x v="0"/>
    <x v="2"/>
    <x v="2"/>
    <x v="7"/>
    <x v="13"/>
    <s v="NO3_A1"/>
    <x v="6"/>
    <x v="7"/>
    <s v="GNR_RES_WTR_NOPMP_MC-05"/>
    <x v="0"/>
    <x v="0"/>
    <n v="282.146513660349"/>
    <n v="102983.477486027"/>
    <n v="370740.51894969901"/>
  </r>
  <r>
    <x v="0"/>
    <x v="2"/>
    <x v="2"/>
    <x v="7"/>
    <x v="13"/>
    <s v="NO3_A1"/>
    <x v="6"/>
    <x v="7"/>
    <s v="GNR_RES_WTR_NOPMP_MC-05"/>
    <x v="0"/>
    <x v="1"/>
    <n v="282.146513660349"/>
    <n v="102983.477486027"/>
    <n v="370740.51894969901"/>
  </r>
  <r>
    <x v="0"/>
    <x v="2"/>
    <x v="2"/>
    <x v="7"/>
    <x v="13"/>
    <s v="NO3_A1"/>
    <x v="6"/>
    <x v="7"/>
    <s v="GNR_RES_WTR_NOPMP_MC-05"/>
    <x v="0"/>
    <x v="18"/>
    <n v="282.146513660349"/>
    <n v="102983.477486027"/>
    <n v="370740.51894969901"/>
  </r>
  <r>
    <x v="0"/>
    <x v="2"/>
    <x v="2"/>
    <x v="7"/>
    <x v="13"/>
    <s v="NO3_A1"/>
    <x v="6"/>
    <x v="7"/>
    <s v="GNR_RES_WTR_NOPMP_MC-05"/>
    <x v="0"/>
    <x v="2"/>
    <n v="236.69288393202001"/>
    <n v="86392.902635187202"/>
    <n v="311014.44948667398"/>
  </r>
  <r>
    <x v="0"/>
    <x v="2"/>
    <x v="2"/>
    <x v="7"/>
    <x v="13"/>
    <s v="NO3_A1"/>
    <x v="6"/>
    <x v="7"/>
    <s v="GNR_RES_WTR_NOPMP_MC-05"/>
    <x v="0"/>
    <x v="3"/>
    <n v="235.453099350446"/>
    <n v="85940.381262912604"/>
    <n v="309385.37254648597"/>
  </r>
  <r>
    <x v="0"/>
    <x v="2"/>
    <x v="2"/>
    <x v="7"/>
    <x v="13"/>
    <s v="NO3_A1"/>
    <x v="6"/>
    <x v="7"/>
    <s v="GNR_RES_WTR_NOPMP_MC-05"/>
    <x v="0"/>
    <x v="4"/>
    <n v="282.146513660349"/>
    <n v="102983.477486027"/>
    <n v="370740.51894969901"/>
  </r>
  <r>
    <x v="0"/>
    <x v="2"/>
    <x v="2"/>
    <x v="7"/>
    <x v="13"/>
    <s v="NO3_A1"/>
    <x v="6"/>
    <x v="7"/>
    <s v="GNR_RES_WTR_NOPMP_MC-05"/>
    <x v="0"/>
    <x v="5"/>
    <n v="282.146513660349"/>
    <n v="102983.477486027"/>
    <n v="370740.51894969901"/>
  </r>
  <r>
    <x v="0"/>
    <x v="2"/>
    <x v="2"/>
    <x v="7"/>
    <x v="13"/>
    <s v="NO3_A1"/>
    <x v="6"/>
    <x v="7"/>
    <s v="GNR_RES_WTR_NOPMP_MC-05"/>
    <x v="0"/>
    <x v="6"/>
    <n v="282.146513660349"/>
    <n v="102983.477486027"/>
    <n v="370740.51894969901"/>
  </r>
  <r>
    <x v="0"/>
    <x v="2"/>
    <x v="2"/>
    <x v="7"/>
    <x v="13"/>
    <s v="NO3_A1"/>
    <x v="6"/>
    <x v="7"/>
    <s v="GNR_RES_WTR_NOPMP_MC-05"/>
    <x v="0"/>
    <x v="7"/>
    <n v="282.146513660349"/>
    <n v="102983.477486027"/>
    <n v="370740.51894969901"/>
  </r>
  <r>
    <x v="0"/>
    <x v="2"/>
    <x v="2"/>
    <x v="7"/>
    <x v="13"/>
    <s v="NO3_A1"/>
    <x v="6"/>
    <x v="7"/>
    <s v="GNR_RES_WTR_NOPMP_MC-05"/>
    <x v="0"/>
    <x v="8"/>
    <n v="282.146513660349"/>
    <n v="102983.477486027"/>
    <n v="370740.51894969901"/>
  </r>
  <r>
    <x v="0"/>
    <x v="2"/>
    <x v="2"/>
    <x v="7"/>
    <x v="13"/>
    <s v="NO3_A1"/>
    <x v="6"/>
    <x v="7"/>
    <s v="GNR_RES_WTR_NOPMP_MC-05"/>
    <x v="0"/>
    <x v="9"/>
    <n v="282.146513660349"/>
    <n v="102983.477486027"/>
    <n v="370740.51894969901"/>
  </r>
  <r>
    <x v="0"/>
    <x v="2"/>
    <x v="2"/>
    <x v="7"/>
    <x v="13"/>
    <s v="NO3_A1"/>
    <x v="6"/>
    <x v="7"/>
    <s v="GNR_RES_WTR_NOPMP_MC-05"/>
    <x v="0"/>
    <x v="10"/>
    <n v="130.18111226294499"/>
    <n v="47516.105975975101"/>
    <n v="171057.98151350999"/>
  </r>
  <r>
    <x v="0"/>
    <x v="2"/>
    <x v="2"/>
    <x v="7"/>
    <x v="13"/>
    <s v="NO3_A1"/>
    <x v="6"/>
    <x v="7"/>
    <s v="GNR_RES_WTR_NOPMP_MC-05"/>
    <x v="0"/>
    <x v="11"/>
    <n v="69.369095708502101"/>
    <n v="25319.719933603301"/>
    <n v="91150.991760971694"/>
  </r>
  <r>
    <x v="0"/>
    <x v="2"/>
    <x v="2"/>
    <x v="7"/>
    <x v="13"/>
    <s v="NO3_A1"/>
    <x v="6"/>
    <x v="7"/>
    <s v="GNR_RES_WTR_NOPMP_MC-05"/>
    <x v="0"/>
    <x v="14"/>
    <n v="282.146513660349"/>
    <n v="102983.477486027"/>
    <n v="370740.51894969901"/>
  </r>
  <r>
    <x v="0"/>
    <x v="2"/>
    <x v="2"/>
    <x v="7"/>
    <x v="13"/>
    <s v="NO3_A1"/>
    <x v="6"/>
    <x v="7"/>
    <s v="GNR_RES_WTR_NOPMP_MC-05"/>
    <x v="0"/>
    <x v="15"/>
    <n v="282.146513660349"/>
    <n v="102983.477486027"/>
    <n v="370740.51894969901"/>
  </r>
  <r>
    <x v="0"/>
    <x v="2"/>
    <x v="2"/>
    <x v="7"/>
    <x v="13"/>
    <s v="NO3_A1"/>
    <x v="6"/>
    <x v="7"/>
    <s v="GNR_RES_WTR_NOPMP_MC-05"/>
    <x v="0"/>
    <x v="16"/>
    <n v="282.146513660349"/>
    <n v="102983.477486027"/>
    <n v="370740.51894969901"/>
  </r>
  <r>
    <x v="0"/>
    <x v="2"/>
    <x v="2"/>
    <x v="7"/>
    <x v="13"/>
    <s v="NO3_A1"/>
    <x v="6"/>
    <x v="7"/>
    <s v="GNR_RES_WTR_NOPMP_MC-05"/>
    <x v="0"/>
    <x v="17"/>
    <n v="282.146513660349"/>
    <n v="102983.477486027"/>
    <n v="370740.51894969901"/>
  </r>
  <r>
    <x v="0"/>
    <x v="2"/>
    <x v="2"/>
    <x v="7"/>
    <x v="13"/>
    <s v="NO3_A1"/>
    <x v="6"/>
    <x v="7"/>
    <s v="GNR_RES_WTR_NOPMP_MC-05"/>
    <x v="0"/>
    <x v="19"/>
    <n v="282.146513660349"/>
    <n v="102983.477486027"/>
    <n v="370740.51894969901"/>
  </r>
  <r>
    <x v="0"/>
    <x v="2"/>
    <x v="2"/>
    <x v="7"/>
    <x v="13"/>
    <s v="NO3_A1"/>
    <x v="6"/>
    <x v="7"/>
    <s v="GNR_RES_WTR_NOPMP_MC-05"/>
    <x v="0"/>
    <x v="20"/>
    <n v="282.146513660349"/>
    <n v="102983.477486027"/>
    <n v="370740.51894969901"/>
  </r>
  <r>
    <x v="0"/>
    <x v="2"/>
    <x v="2"/>
    <x v="7"/>
    <x v="13"/>
    <s v="NO3_A1"/>
    <x v="6"/>
    <x v="7"/>
    <s v="GNR_RES_WTR_NOPMP_MC-05"/>
    <x v="0"/>
    <x v="21"/>
    <n v="282.146513660349"/>
    <n v="102983.477486027"/>
    <n v="370740.51894969901"/>
  </r>
  <r>
    <x v="0"/>
    <x v="2"/>
    <x v="2"/>
    <x v="7"/>
    <x v="13"/>
    <s v="NO3_A1"/>
    <x v="6"/>
    <x v="7"/>
    <s v="GNR_RES_WTR_NOPMP_MC-06"/>
    <x v="0"/>
    <x v="0"/>
    <n v="141.79462207959"/>
    <n v="51755.037059050403"/>
    <n v="186318.13341258201"/>
  </r>
  <r>
    <x v="0"/>
    <x v="2"/>
    <x v="2"/>
    <x v="7"/>
    <x v="13"/>
    <s v="NO3_A1"/>
    <x v="6"/>
    <x v="7"/>
    <s v="GNR_RES_WTR_NOPMP_MC-06"/>
    <x v="0"/>
    <x v="1"/>
    <n v="50.143550318193903"/>
    <n v="18302.3958661408"/>
    <n v="65888.625118106793"/>
  </r>
  <r>
    <x v="0"/>
    <x v="2"/>
    <x v="2"/>
    <x v="7"/>
    <x v="13"/>
    <s v="NO3_A1"/>
    <x v="6"/>
    <x v="7"/>
    <s v="GNR_RES_WTR_NOPMP_MC-06"/>
    <x v="0"/>
    <x v="18"/>
    <n v="8.7671957126495492"/>
    <n v="3200.0264351170899"/>
    <n v="11520.095166421501"/>
  </r>
  <r>
    <x v="0"/>
    <x v="2"/>
    <x v="2"/>
    <x v="7"/>
    <x v="13"/>
    <s v="NO3_A1"/>
    <x v="6"/>
    <x v="7"/>
    <s v="GNR_RES_WTR_NOPMP_MC-06"/>
    <x v="0"/>
    <x v="4"/>
    <n v="39.267616218376297"/>
    <n v="14332.6799197074"/>
    <n v="51597.647710946498"/>
  </r>
  <r>
    <x v="0"/>
    <x v="2"/>
    <x v="2"/>
    <x v="7"/>
    <x v="13"/>
    <s v="NO3_A1"/>
    <x v="6"/>
    <x v="7"/>
    <s v="GNR_RES_WTR_NOPMP_MC-06"/>
    <x v="0"/>
    <x v="5"/>
    <n v="277.41920003758401"/>
    <n v="101258.008013718"/>
    <n v="364528.82884938503"/>
  </r>
  <r>
    <x v="0"/>
    <x v="2"/>
    <x v="2"/>
    <x v="7"/>
    <x v="13"/>
    <s v="NO3_A1"/>
    <x v="6"/>
    <x v="7"/>
    <s v="GNR_RES_WTR_NOPMP_MC-06"/>
    <x v="0"/>
    <x v="6"/>
    <n v="282.146513660349"/>
    <n v="102983.477486027"/>
    <n v="370740.51894969901"/>
  </r>
  <r>
    <x v="0"/>
    <x v="2"/>
    <x v="2"/>
    <x v="7"/>
    <x v="13"/>
    <s v="NO3_A1"/>
    <x v="6"/>
    <x v="7"/>
    <s v="GNR_RES_WTR_NOPMP_MC-06"/>
    <x v="0"/>
    <x v="7"/>
    <n v="282.146513660349"/>
    <n v="102983.477486027"/>
    <n v="370740.51894969901"/>
  </r>
  <r>
    <x v="0"/>
    <x v="2"/>
    <x v="2"/>
    <x v="7"/>
    <x v="13"/>
    <s v="NO3_A1"/>
    <x v="6"/>
    <x v="7"/>
    <s v="GNR_RES_WTR_NOPMP_MC-06"/>
    <x v="0"/>
    <x v="8"/>
    <n v="282.146513660349"/>
    <n v="102983.477486027"/>
    <n v="370740.51894969901"/>
  </r>
  <r>
    <x v="0"/>
    <x v="2"/>
    <x v="2"/>
    <x v="7"/>
    <x v="13"/>
    <s v="NO3_A1"/>
    <x v="6"/>
    <x v="7"/>
    <s v="GNR_RES_WTR_NOPMP_MC-06"/>
    <x v="0"/>
    <x v="9"/>
    <n v="108.40473855201201"/>
    <n v="39567.729571484299"/>
    <n v="142443.82645734301"/>
  </r>
  <r>
    <x v="0"/>
    <x v="2"/>
    <x v="2"/>
    <x v="7"/>
    <x v="13"/>
    <s v="NO3_A1"/>
    <x v="6"/>
    <x v="7"/>
    <s v="GNR_RES_WTR_NOPMP_MC-06"/>
    <x v="0"/>
    <x v="15"/>
    <n v="96.2932021560853"/>
    <n v="35147.018786971101"/>
    <n v="126529.26763309599"/>
  </r>
  <r>
    <x v="0"/>
    <x v="2"/>
    <x v="2"/>
    <x v="7"/>
    <x v="13"/>
    <s v="NO3_A1"/>
    <x v="6"/>
    <x v="7"/>
    <s v="GNR_RES_WTR_NOPMP_MC-06"/>
    <x v="0"/>
    <x v="16"/>
    <n v="28.076022462264302"/>
    <n v="10247.7481987265"/>
    <n v="36891.893515415402"/>
  </r>
  <r>
    <x v="0"/>
    <x v="2"/>
    <x v="2"/>
    <x v="7"/>
    <x v="13"/>
    <s v="NO3_A1"/>
    <x v="6"/>
    <x v="7"/>
    <s v="GNR_RES_WTR_NOPMP_MC-06"/>
    <x v="0"/>
    <x v="17"/>
    <n v="32.408959554783799"/>
    <n v="11829.270237496101"/>
    <n v="42585.372854985901"/>
  </r>
  <r>
    <x v="0"/>
    <x v="2"/>
    <x v="2"/>
    <x v="7"/>
    <x v="13"/>
    <s v="NO3_A1"/>
    <x v="6"/>
    <x v="7"/>
    <s v="GNR_RES_WTR_NOPMP_MC-06"/>
    <x v="0"/>
    <x v="19"/>
    <n v="93.093757502129407"/>
    <n v="33979.221488277202"/>
    <n v="122325.197357798"/>
  </r>
  <r>
    <x v="0"/>
    <x v="2"/>
    <x v="2"/>
    <x v="7"/>
    <x v="13"/>
    <s v="NO3_A1"/>
    <x v="6"/>
    <x v="7"/>
    <s v="GNR_RES_WTR_NOPMP_MC-06"/>
    <x v="0"/>
    <x v="20"/>
    <n v="11.120313977838499"/>
    <n v="4058.9146019110599"/>
    <n v="14612.092566879801"/>
  </r>
  <r>
    <x v="0"/>
    <x v="2"/>
    <x v="2"/>
    <x v="7"/>
    <x v="13"/>
    <s v="NO3_A1"/>
    <x v="6"/>
    <x v="7"/>
    <s v="GNR_RES_WTR_NOPMP_MC-07"/>
    <x v="0"/>
    <x v="6"/>
    <n v="238.50820147893401"/>
    <n v="87055.493539811097"/>
    <n v="313399.77674331999"/>
  </r>
  <r>
    <x v="0"/>
    <x v="2"/>
    <x v="2"/>
    <x v="7"/>
    <x v="13"/>
    <s v="NO3_A1"/>
    <x v="6"/>
    <x v="7"/>
    <s v="GNR_RES_WTR_NOPMP_MC-07"/>
    <x v="0"/>
    <x v="7"/>
    <n v="267.52716053507402"/>
    <n v="97647.413595302001"/>
    <n v="351530.68894308701"/>
  </r>
  <r>
    <x v="0"/>
    <x v="2"/>
    <x v="2"/>
    <x v="7"/>
    <x v="13"/>
    <s v="NO3_A1"/>
    <x v="6"/>
    <x v="7"/>
    <s v="GNR_RES_WTR_NOPMP_MC-07"/>
    <x v="0"/>
    <x v="8"/>
    <n v="185.258499209121"/>
    <n v="67619.352211328995"/>
    <n v="243429.66796078501"/>
  </r>
  <r>
    <x v="0"/>
    <x v="2"/>
    <x v="2"/>
    <x v="7"/>
    <x v="13"/>
    <s v="NO3_A1"/>
    <x v="6"/>
    <x v="7"/>
    <s v="GNR_RES_WTR_PMP_MC-01"/>
    <x v="0"/>
    <x v="0"/>
    <n v="60.3"/>
    <n v="22009.5"/>
    <n v="79234.2"/>
  </r>
  <r>
    <x v="0"/>
    <x v="2"/>
    <x v="2"/>
    <x v="7"/>
    <x v="13"/>
    <s v="NO3_A1"/>
    <x v="6"/>
    <x v="7"/>
    <s v="GNR_RES_WTR_PMP_MC-01"/>
    <x v="0"/>
    <x v="1"/>
    <n v="60.3"/>
    <n v="22009.5"/>
    <n v="79234.2"/>
  </r>
  <r>
    <x v="0"/>
    <x v="2"/>
    <x v="2"/>
    <x v="7"/>
    <x v="13"/>
    <s v="NO3_A1"/>
    <x v="6"/>
    <x v="7"/>
    <s v="GNR_RES_WTR_PMP_MC-01"/>
    <x v="0"/>
    <x v="18"/>
    <n v="60.3"/>
    <n v="22009.5"/>
    <n v="79234.2"/>
  </r>
  <r>
    <x v="0"/>
    <x v="2"/>
    <x v="2"/>
    <x v="7"/>
    <x v="13"/>
    <s v="NO3_A1"/>
    <x v="6"/>
    <x v="7"/>
    <s v="GNR_RES_WTR_PMP_MC-01"/>
    <x v="0"/>
    <x v="2"/>
    <n v="60.3"/>
    <n v="22009.5"/>
    <n v="79234.2"/>
  </r>
  <r>
    <x v="0"/>
    <x v="2"/>
    <x v="2"/>
    <x v="7"/>
    <x v="13"/>
    <s v="NO3_A1"/>
    <x v="6"/>
    <x v="7"/>
    <s v="GNR_RES_WTR_PMP_MC-01"/>
    <x v="0"/>
    <x v="3"/>
    <n v="60.3"/>
    <n v="22009.5"/>
    <n v="79234.2"/>
  </r>
  <r>
    <x v="0"/>
    <x v="2"/>
    <x v="2"/>
    <x v="7"/>
    <x v="13"/>
    <s v="NO3_A1"/>
    <x v="6"/>
    <x v="7"/>
    <s v="GNR_RES_WTR_PMP_MC-01"/>
    <x v="0"/>
    <x v="4"/>
    <n v="60.3"/>
    <n v="22009.5"/>
    <n v="79234.2"/>
  </r>
  <r>
    <x v="0"/>
    <x v="2"/>
    <x v="2"/>
    <x v="7"/>
    <x v="13"/>
    <s v="NO3_A1"/>
    <x v="6"/>
    <x v="7"/>
    <s v="GNR_RES_WTR_PMP_MC-01"/>
    <x v="0"/>
    <x v="5"/>
    <n v="60.3"/>
    <n v="22009.5"/>
    <n v="79234.2"/>
  </r>
  <r>
    <x v="0"/>
    <x v="2"/>
    <x v="2"/>
    <x v="7"/>
    <x v="13"/>
    <s v="NO3_A1"/>
    <x v="6"/>
    <x v="7"/>
    <s v="GNR_RES_WTR_PMP_MC-01"/>
    <x v="0"/>
    <x v="6"/>
    <n v="60.3"/>
    <n v="22009.5"/>
    <n v="79234.2"/>
  </r>
  <r>
    <x v="0"/>
    <x v="2"/>
    <x v="2"/>
    <x v="7"/>
    <x v="13"/>
    <s v="NO3_A1"/>
    <x v="6"/>
    <x v="7"/>
    <s v="GNR_RES_WTR_PMP_MC-01"/>
    <x v="0"/>
    <x v="7"/>
    <n v="60.3"/>
    <n v="22009.5"/>
    <n v="79234.2"/>
  </r>
  <r>
    <x v="0"/>
    <x v="2"/>
    <x v="2"/>
    <x v="7"/>
    <x v="13"/>
    <s v="NO3_A1"/>
    <x v="6"/>
    <x v="7"/>
    <s v="GNR_RES_WTR_PMP_MC-01"/>
    <x v="0"/>
    <x v="8"/>
    <n v="60.3"/>
    <n v="22009.5"/>
    <n v="79234.2"/>
  </r>
  <r>
    <x v="0"/>
    <x v="2"/>
    <x v="2"/>
    <x v="7"/>
    <x v="13"/>
    <s v="NO3_A1"/>
    <x v="6"/>
    <x v="7"/>
    <s v="GNR_RES_WTR_PMP_MC-01"/>
    <x v="0"/>
    <x v="9"/>
    <n v="60.3"/>
    <n v="22009.5"/>
    <n v="79234.2"/>
  </r>
  <r>
    <x v="0"/>
    <x v="2"/>
    <x v="2"/>
    <x v="7"/>
    <x v="13"/>
    <s v="NO3_A1"/>
    <x v="6"/>
    <x v="7"/>
    <s v="GNR_RES_WTR_PMP_MC-01"/>
    <x v="0"/>
    <x v="10"/>
    <n v="60.3"/>
    <n v="22009.5"/>
    <n v="79234.2"/>
  </r>
  <r>
    <x v="0"/>
    <x v="2"/>
    <x v="2"/>
    <x v="7"/>
    <x v="13"/>
    <s v="NO3_A1"/>
    <x v="6"/>
    <x v="7"/>
    <s v="GNR_RES_WTR_PMP_MC-01"/>
    <x v="0"/>
    <x v="11"/>
    <n v="60.3"/>
    <n v="22009.5"/>
    <n v="79234.2"/>
  </r>
  <r>
    <x v="0"/>
    <x v="2"/>
    <x v="2"/>
    <x v="7"/>
    <x v="13"/>
    <s v="NO3_A1"/>
    <x v="6"/>
    <x v="7"/>
    <s v="GNR_RES_WTR_PMP_MC-01"/>
    <x v="0"/>
    <x v="12"/>
    <n v="60.3"/>
    <n v="22009.5"/>
    <n v="79234.2"/>
  </r>
  <r>
    <x v="0"/>
    <x v="2"/>
    <x v="2"/>
    <x v="7"/>
    <x v="13"/>
    <s v="NO3_A1"/>
    <x v="6"/>
    <x v="7"/>
    <s v="GNR_RES_WTR_PMP_MC-01"/>
    <x v="0"/>
    <x v="13"/>
    <n v="60.3"/>
    <n v="22009.5"/>
    <n v="79234.2"/>
  </r>
  <r>
    <x v="0"/>
    <x v="2"/>
    <x v="2"/>
    <x v="7"/>
    <x v="13"/>
    <s v="NO3_A1"/>
    <x v="6"/>
    <x v="7"/>
    <s v="GNR_RES_WTR_PMP_MC-01"/>
    <x v="0"/>
    <x v="14"/>
    <n v="60.3"/>
    <n v="22009.5"/>
    <n v="79234.2"/>
  </r>
  <r>
    <x v="0"/>
    <x v="2"/>
    <x v="2"/>
    <x v="7"/>
    <x v="13"/>
    <s v="NO3_A1"/>
    <x v="6"/>
    <x v="7"/>
    <s v="GNR_RES_WTR_PMP_MC-01"/>
    <x v="0"/>
    <x v="15"/>
    <n v="60.3"/>
    <n v="22009.5"/>
    <n v="79234.2"/>
  </r>
  <r>
    <x v="0"/>
    <x v="2"/>
    <x v="2"/>
    <x v="7"/>
    <x v="13"/>
    <s v="NO3_A1"/>
    <x v="6"/>
    <x v="7"/>
    <s v="GNR_RES_WTR_PMP_MC-01"/>
    <x v="0"/>
    <x v="16"/>
    <n v="60.3"/>
    <n v="22009.5"/>
    <n v="79234.2"/>
  </r>
  <r>
    <x v="0"/>
    <x v="2"/>
    <x v="2"/>
    <x v="7"/>
    <x v="13"/>
    <s v="NO3_A1"/>
    <x v="6"/>
    <x v="7"/>
    <s v="GNR_RES_WTR_PMP_MC-01"/>
    <x v="0"/>
    <x v="17"/>
    <n v="60.3"/>
    <n v="22009.5"/>
    <n v="79234.2"/>
  </r>
  <r>
    <x v="0"/>
    <x v="2"/>
    <x v="2"/>
    <x v="7"/>
    <x v="13"/>
    <s v="NO3_A1"/>
    <x v="6"/>
    <x v="7"/>
    <s v="GNR_RES_WTR_PMP_MC-01"/>
    <x v="0"/>
    <x v="19"/>
    <n v="60.3"/>
    <n v="22009.5"/>
    <n v="79234.2"/>
  </r>
  <r>
    <x v="0"/>
    <x v="2"/>
    <x v="2"/>
    <x v="7"/>
    <x v="13"/>
    <s v="NO3_A1"/>
    <x v="6"/>
    <x v="7"/>
    <s v="GNR_RES_WTR_PMP_MC-01"/>
    <x v="0"/>
    <x v="20"/>
    <n v="60.3"/>
    <n v="22009.5"/>
    <n v="79234.2"/>
  </r>
  <r>
    <x v="0"/>
    <x v="2"/>
    <x v="2"/>
    <x v="7"/>
    <x v="13"/>
    <s v="NO3_A1"/>
    <x v="6"/>
    <x v="7"/>
    <s v="GNR_RES_WTR_PMP_MC-01"/>
    <x v="0"/>
    <x v="21"/>
    <n v="60.3"/>
    <n v="22009.5"/>
    <n v="79234.2"/>
  </r>
  <r>
    <x v="0"/>
    <x v="2"/>
    <x v="2"/>
    <x v="7"/>
    <x v="13"/>
    <s v="NO3_A1"/>
    <x v="6"/>
    <x v="7"/>
    <s v="GNR_RES_WTR_PMP_MC-01"/>
    <x v="0"/>
    <x v="22"/>
    <n v="60.3"/>
    <n v="22009.5"/>
    <n v="79234.2"/>
  </r>
  <r>
    <x v="0"/>
    <x v="2"/>
    <x v="2"/>
    <x v="7"/>
    <x v="13"/>
    <s v="NO3_A1"/>
    <x v="6"/>
    <x v="7"/>
    <s v="GNR_RES_WTR_PMP_MC-01"/>
    <x v="0"/>
    <x v="23"/>
    <n v="60.3"/>
    <n v="22009.5"/>
    <n v="79234.2"/>
  </r>
  <r>
    <x v="0"/>
    <x v="2"/>
    <x v="2"/>
    <x v="7"/>
    <x v="13"/>
    <s v="NO3_A1"/>
    <x v="6"/>
    <x v="4"/>
    <s v="GNR_ROR_WTR"/>
    <x v="0"/>
    <x v="0"/>
    <n v="806.51023727664301"/>
    <n v="294376.23660597502"/>
    <n v="1059754.4517815099"/>
  </r>
  <r>
    <x v="0"/>
    <x v="2"/>
    <x v="2"/>
    <x v="7"/>
    <x v="13"/>
    <s v="NO3_A1"/>
    <x v="6"/>
    <x v="4"/>
    <s v="GNR_ROR_WTR"/>
    <x v="0"/>
    <x v="1"/>
    <n v="806.51023727664301"/>
    <n v="294376.23660597502"/>
    <n v="1059754.4517815099"/>
  </r>
  <r>
    <x v="0"/>
    <x v="2"/>
    <x v="2"/>
    <x v="7"/>
    <x v="13"/>
    <s v="NO3_A1"/>
    <x v="6"/>
    <x v="4"/>
    <s v="GNR_ROR_WTR"/>
    <x v="0"/>
    <x v="18"/>
    <n v="806.51023727664301"/>
    <n v="294376.23660597502"/>
    <n v="1059754.4517815099"/>
  </r>
  <r>
    <x v="0"/>
    <x v="2"/>
    <x v="2"/>
    <x v="7"/>
    <x v="13"/>
    <s v="NO3_A1"/>
    <x v="6"/>
    <x v="4"/>
    <s v="GNR_ROR_WTR"/>
    <x v="0"/>
    <x v="2"/>
    <n v="806.51023727664301"/>
    <n v="294376.23660597502"/>
    <n v="1059754.4517815099"/>
  </r>
  <r>
    <x v="0"/>
    <x v="2"/>
    <x v="2"/>
    <x v="7"/>
    <x v="13"/>
    <s v="NO3_A1"/>
    <x v="6"/>
    <x v="4"/>
    <s v="GNR_ROR_WTR"/>
    <x v="0"/>
    <x v="3"/>
    <n v="806.51023727664301"/>
    <n v="294376.23660597502"/>
    <n v="1059754.4517815099"/>
  </r>
  <r>
    <x v="0"/>
    <x v="2"/>
    <x v="2"/>
    <x v="7"/>
    <x v="13"/>
    <s v="NO3_A1"/>
    <x v="6"/>
    <x v="4"/>
    <s v="GNR_ROR_WTR"/>
    <x v="0"/>
    <x v="4"/>
    <n v="806.51023727664301"/>
    <n v="294376.23660597502"/>
    <n v="1059754.4517815099"/>
  </r>
  <r>
    <x v="0"/>
    <x v="2"/>
    <x v="2"/>
    <x v="7"/>
    <x v="13"/>
    <s v="NO3_A1"/>
    <x v="6"/>
    <x v="4"/>
    <s v="GNR_ROR_WTR"/>
    <x v="0"/>
    <x v="5"/>
    <n v="806.51023727664301"/>
    <n v="294376.23660597502"/>
    <n v="1059754.4517815099"/>
  </r>
  <r>
    <x v="0"/>
    <x v="2"/>
    <x v="2"/>
    <x v="7"/>
    <x v="13"/>
    <s v="NO3_A1"/>
    <x v="6"/>
    <x v="4"/>
    <s v="GNR_ROR_WTR"/>
    <x v="0"/>
    <x v="6"/>
    <n v="806.51023727664301"/>
    <n v="294376.23660597502"/>
    <n v="1059754.4517815099"/>
  </r>
  <r>
    <x v="0"/>
    <x v="2"/>
    <x v="2"/>
    <x v="7"/>
    <x v="13"/>
    <s v="NO3_A1"/>
    <x v="6"/>
    <x v="4"/>
    <s v="GNR_ROR_WTR"/>
    <x v="0"/>
    <x v="7"/>
    <n v="806.51023727664301"/>
    <n v="294376.23660597502"/>
    <n v="1059754.4517815099"/>
  </r>
  <r>
    <x v="0"/>
    <x v="2"/>
    <x v="2"/>
    <x v="7"/>
    <x v="13"/>
    <s v="NO3_A1"/>
    <x v="6"/>
    <x v="4"/>
    <s v="GNR_ROR_WTR"/>
    <x v="0"/>
    <x v="8"/>
    <n v="806.51023727664301"/>
    <n v="294376.23660597502"/>
    <n v="1059754.4517815099"/>
  </r>
  <r>
    <x v="0"/>
    <x v="2"/>
    <x v="2"/>
    <x v="7"/>
    <x v="13"/>
    <s v="NO3_A1"/>
    <x v="6"/>
    <x v="4"/>
    <s v="GNR_ROR_WTR"/>
    <x v="0"/>
    <x v="9"/>
    <n v="806.51023727664301"/>
    <n v="294376.23660597502"/>
    <n v="1059754.4517815099"/>
  </r>
  <r>
    <x v="0"/>
    <x v="2"/>
    <x v="2"/>
    <x v="7"/>
    <x v="13"/>
    <s v="NO3_A1"/>
    <x v="6"/>
    <x v="4"/>
    <s v="GNR_ROR_WTR"/>
    <x v="0"/>
    <x v="10"/>
    <n v="806.51023727664301"/>
    <n v="294376.23660597502"/>
    <n v="1059754.4517815099"/>
  </r>
  <r>
    <x v="0"/>
    <x v="2"/>
    <x v="2"/>
    <x v="7"/>
    <x v="13"/>
    <s v="NO3_A1"/>
    <x v="6"/>
    <x v="4"/>
    <s v="GNR_ROR_WTR"/>
    <x v="0"/>
    <x v="11"/>
    <n v="806.51023727664301"/>
    <n v="294376.23660597502"/>
    <n v="1059754.4517815099"/>
  </r>
  <r>
    <x v="0"/>
    <x v="2"/>
    <x v="2"/>
    <x v="7"/>
    <x v="13"/>
    <s v="NO3_A1"/>
    <x v="6"/>
    <x v="4"/>
    <s v="GNR_ROR_WTR"/>
    <x v="0"/>
    <x v="12"/>
    <n v="806.51023727664301"/>
    <n v="294376.23660597502"/>
    <n v="1059754.4517815099"/>
  </r>
  <r>
    <x v="0"/>
    <x v="2"/>
    <x v="2"/>
    <x v="7"/>
    <x v="13"/>
    <s v="NO3_A1"/>
    <x v="6"/>
    <x v="4"/>
    <s v="GNR_ROR_WTR"/>
    <x v="0"/>
    <x v="13"/>
    <n v="806.51023727664301"/>
    <n v="294376.23660597502"/>
    <n v="1059754.4517815099"/>
  </r>
  <r>
    <x v="0"/>
    <x v="2"/>
    <x v="2"/>
    <x v="7"/>
    <x v="13"/>
    <s v="NO3_A1"/>
    <x v="6"/>
    <x v="4"/>
    <s v="GNR_ROR_WTR"/>
    <x v="0"/>
    <x v="14"/>
    <n v="806.51023727664301"/>
    <n v="294376.23660597502"/>
    <n v="1059754.4517815099"/>
  </r>
  <r>
    <x v="0"/>
    <x v="2"/>
    <x v="2"/>
    <x v="7"/>
    <x v="13"/>
    <s v="NO3_A1"/>
    <x v="6"/>
    <x v="4"/>
    <s v="GNR_ROR_WTR"/>
    <x v="0"/>
    <x v="15"/>
    <n v="806.51023727664301"/>
    <n v="294376.23660597502"/>
    <n v="1059754.4517815099"/>
  </r>
  <r>
    <x v="0"/>
    <x v="2"/>
    <x v="2"/>
    <x v="7"/>
    <x v="13"/>
    <s v="NO3_A1"/>
    <x v="6"/>
    <x v="4"/>
    <s v="GNR_ROR_WTR"/>
    <x v="0"/>
    <x v="16"/>
    <n v="806.51023727664301"/>
    <n v="294376.23660597502"/>
    <n v="1059754.4517815099"/>
  </r>
  <r>
    <x v="0"/>
    <x v="2"/>
    <x v="2"/>
    <x v="7"/>
    <x v="13"/>
    <s v="NO3_A1"/>
    <x v="6"/>
    <x v="4"/>
    <s v="GNR_ROR_WTR"/>
    <x v="0"/>
    <x v="17"/>
    <n v="806.51023727664301"/>
    <n v="294376.23660597502"/>
    <n v="1059754.4517815099"/>
  </r>
  <r>
    <x v="0"/>
    <x v="2"/>
    <x v="2"/>
    <x v="7"/>
    <x v="13"/>
    <s v="NO3_A1"/>
    <x v="6"/>
    <x v="4"/>
    <s v="GNR_ROR_WTR"/>
    <x v="0"/>
    <x v="19"/>
    <n v="806.51023727664301"/>
    <n v="294376.23660597502"/>
    <n v="1059754.4517815099"/>
  </r>
  <r>
    <x v="0"/>
    <x v="2"/>
    <x v="2"/>
    <x v="7"/>
    <x v="13"/>
    <s v="NO3_A1"/>
    <x v="6"/>
    <x v="4"/>
    <s v="GNR_ROR_WTR"/>
    <x v="0"/>
    <x v="20"/>
    <n v="806.51023727664301"/>
    <n v="294376.23660597502"/>
    <n v="1059754.4517815099"/>
  </r>
  <r>
    <x v="0"/>
    <x v="2"/>
    <x v="2"/>
    <x v="7"/>
    <x v="13"/>
    <s v="NO3_A1"/>
    <x v="6"/>
    <x v="4"/>
    <s v="GNR_ROR_WTR"/>
    <x v="0"/>
    <x v="21"/>
    <n v="806.51023727664301"/>
    <n v="294376.23660597502"/>
    <n v="1059754.4517815099"/>
  </r>
  <r>
    <x v="0"/>
    <x v="2"/>
    <x v="2"/>
    <x v="7"/>
    <x v="13"/>
    <s v="NO3_A1"/>
    <x v="6"/>
    <x v="4"/>
    <s v="GNR_ROR_WTR"/>
    <x v="0"/>
    <x v="22"/>
    <n v="806.51023727664301"/>
    <n v="294376.23660597502"/>
    <n v="1059754.4517815099"/>
  </r>
  <r>
    <x v="0"/>
    <x v="2"/>
    <x v="2"/>
    <x v="7"/>
    <x v="13"/>
    <s v="NO3_A1"/>
    <x v="6"/>
    <x v="4"/>
    <s v="GNR_ROR_WTR"/>
    <x v="0"/>
    <x v="23"/>
    <n v="806.51023727664301"/>
    <n v="294376.23660597502"/>
    <n v="1059754.4517815099"/>
  </r>
  <r>
    <x v="0"/>
    <x v="2"/>
    <x v="2"/>
    <x v="7"/>
    <x v="13"/>
    <s v="NO3_A1"/>
    <x v="7"/>
    <x v="5"/>
    <s v="GNR_WT_WIND_ONS"/>
    <x v="0"/>
    <x v="0"/>
    <n v="90.015004401296693"/>
    <n v="32855.476606473298"/>
    <n v="118279.715783304"/>
  </r>
  <r>
    <x v="0"/>
    <x v="2"/>
    <x v="2"/>
    <x v="7"/>
    <x v="13"/>
    <s v="NO3_A1"/>
    <x v="7"/>
    <x v="5"/>
    <s v="GNR_WT_WIND_ONS"/>
    <x v="0"/>
    <x v="1"/>
    <n v="117.66744248047701"/>
    <n v="42948.616505373997"/>
    <n v="154615.019419346"/>
  </r>
  <r>
    <x v="0"/>
    <x v="2"/>
    <x v="2"/>
    <x v="7"/>
    <x v="13"/>
    <s v="NO3_A1"/>
    <x v="7"/>
    <x v="5"/>
    <s v="GNR_WT_WIND_ONS"/>
    <x v="0"/>
    <x v="18"/>
    <n v="125.421332087004"/>
    <n v="45778.7862117564"/>
    <n v="164803.63036232299"/>
  </r>
  <r>
    <x v="0"/>
    <x v="2"/>
    <x v="2"/>
    <x v="7"/>
    <x v="13"/>
    <s v="NO3_A1"/>
    <x v="7"/>
    <x v="5"/>
    <s v="GNR_WT_WIND_ONS"/>
    <x v="0"/>
    <x v="2"/>
    <n v="143.98146536146001"/>
    <n v="52553.234856933101"/>
    <n v="189191.64548495901"/>
  </r>
  <r>
    <x v="0"/>
    <x v="2"/>
    <x v="2"/>
    <x v="7"/>
    <x v="13"/>
    <s v="NO3_A1"/>
    <x v="7"/>
    <x v="5"/>
    <s v="GNR_WT_WIND_ONS"/>
    <x v="0"/>
    <x v="3"/>
    <n v="163.65641651224999"/>
    <n v="59734.592026971397"/>
    <n v="215044.53129709701"/>
  </r>
  <r>
    <x v="0"/>
    <x v="2"/>
    <x v="2"/>
    <x v="7"/>
    <x v="13"/>
    <s v="NO3_A1"/>
    <x v="7"/>
    <x v="5"/>
    <s v="GNR_WT_WIND_ONS"/>
    <x v="0"/>
    <x v="4"/>
    <n v="168.22083233925301"/>
    <n v="61400.603803827202"/>
    <n v="221042.17369377799"/>
  </r>
  <r>
    <x v="0"/>
    <x v="2"/>
    <x v="2"/>
    <x v="7"/>
    <x v="13"/>
    <s v="NO3_A1"/>
    <x v="7"/>
    <x v="5"/>
    <s v="GNR_WT_WIND_ONS"/>
    <x v="0"/>
    <x v="5"/>
    <n v="118.156291559582"/>
    <n v="43127.046419247403"/>
    <n v="155257.36710929099"/>
  </r>
  <r>
    <x v="0"/>
    <x v="2"/>
    <x v="2"/>
    <x v="7"/>
    <x v="13"/>
    <s v="NO3_A1"/>
    <x v="7"/>
    <x v="5"/>
    <s v="GNR_WT_WIND_ONS"/>
    <x v="0"/>
    <x v="6"/>
    <n v="133.84007948644501"/>
    <n v="48851.629012552403"/>
    <n v="175865.86444518901"/>
  </r>
  <r>
    <x v="0"/>
    <x v="2"/>
    <x v="2"/>
    <x v="7"/>
    <x v="13"/>
    <s v="NO3_A1"/>
    <x v="7"/>
    <x v="5"/>
    <s v="GNR_WT_WIND_ONS"/>
    <x v="0"/>
    <x v="7"/>
    <n v="198.98634892643199"/>
    <n v="72630.017358147699"/>
    <n v="261468.06248933199"/>
  </r>
  <r>
    <x v="0"/>
    <x v="2"/>
    <x v="2"/>
    <x v="7"/>
    <x v="13"/>
    <s v="NO3_A1"/>
    <x v="7"/>
    <x v="5"/>
    <s v="GNR_WT_WIND_ONS"/>
    <x v="0"/>
    <x v="8"/>
    <n v="205.661169725994"/>
    <n v="75066.326949987706"/>
    <n v="270238.77701995597"/>
  </r>
  <r>
    <x v="0"/>
    <x v="2"/>
    <x v="2"/>
    <x v="7"/>
    <x v="13"/>
    <s v="NO3_A1"/>
    <x v="7"/>
    <x v="5"/>
    <s v="GNR_WT_WIND_ONS"/>
    <x v="0"/>
    <x v="9"/>
    <n v="212.59553856343001"/>
    <n v="77597.371575652098"/>
    <n v="279350.53767234797"/>
  </r>
  <r>
    <x v="0"/>
    <x v="2"/>
    <x v="2"/>
    <x v="7"/>
    <x v="13"/>
    <s v="NO3_A1"/>
    <x v="7"/>
    <x v="5"/>
    <s v="GNR_WT_WIND_ONS"/>
    <x v="0"/>
    <x v="10"/>
    <n v="230.67445652460199"/>
    <n v="84196.176631479597"/>
    <n v="303106.23587332701"/>
  </r>
  <r>
    <x v="0"/>
    <x v="2"/>
    <x v="2"/>
    <x v="7"/>
    <x v="13"/>
    <s v="NO3_A1"/>
    <x v="7"/>
    <x v="5"/>
    <s v="GNR_WT_WIND_ONS"/>
    <x v="0"/>
    <x v="11"/>
    <n v="230.55675249765901"/>
    <n v="84153.214661645397"/>
    <n v="302951.57278192299"/>
  </r>
  <r>
    <x v="0"/>
    <x v="2"/>
    <x v="2"/>
    <x v="7"/>
    <x v="13"/>
    <s v="NO3_A1"/>
    <x v="7"/>
    <x v="5"/>
    <s v="GNR_WT_WIND_ONS"/>
    <x v="0"/>
    <x v="12"/>
    <n v="342.62907673213499"/>
    <n v="125059.613007229"/>
    <n v="450214.60682602599"/>
  </r>
  <r>
    <x v="0"/>
    <x v="2"/>
    <x v="2"/>
    <x v="7"/>
    <x v="13"/>
    <s v="NO3_A1"/>
    <x v="7"/>
    <x v="5"/>
    <s v="GNR_WT_WIND_ONS"/>
    <x v="0"/>
    <x v="13"/>
    <n v="385.105510253555"/>
    <n v="140563.511242548"/>
    <n v="506028.64047317201"/>
  </r>
  <r>
    <x v="0"/>
    <x v="2"/>
    <x v="2"/>
    <x v="7"/>
    <x v="13"/>
    <s v="NO3_A1"/>
    <x v="7"/>
    <x v="5"/>
    <s v="GNR_WT_WIND_ONS"/>
    <x v="0"/>
    <x v="14"/>
    <n v="370.16346510441099"/>
    <n v="135109.66476310999"/>
    <n v="486394.793147196"/>
  </r>
  <r>
    <x v="0"/>
    <x v="2"/>
    <x v="2"/>
    <x v="7"/>
    <x v="13"/>
    <s v="NO3_A1"/>
    <x v="7"/>
    <x v="5"/>
    <s v="GNR_WT_WIND_ONS"/>
    <x v="0"/>
    <x v="15"/>
    <n v="344.40414333522699"/>
    <n v="125707.51231735801"/>
    <n v="452547.04434248799"/>
  </r>
  <r>
    <x v="0"/>
    <x v="2"/>
    <x v="2"/>
    <x v="7"/>
    <x v="13"/>
    <s v="NO3_A1"/>
    <x v="7"/>
    <x v="5"/>
    <s v="GNR_WT_WIND_ONS"/>
    <x v="0"/>
    <x v="16"/>
    <n v="370.85133942143801"/>
    <n v="135360.738888825"/>
    <n v="487298.65999977"/>
  </r>
  <r>
    <x v="0"/>
    <x v="2"/>
    <x v="2"/>
    <x v="7"/>
    <x v="13"/>
    <s v="NO3_A1"/>
    <x v="7"/>
    <x v="5"/>
    <s v="GNR_WT_WIND_ONS"/>
    <x v="0"/>
    <x v="17"/>
    <n v="358.22604137529601"/>
    <n v="130752.505101983"/>
    <n v="470709.01836713997"/>
  </r>
  <r>
    <x v="0"/>
    <x v="2"/>
    <x v="2"/>
    <x v="7"/>
    <x v="13"/>
    <s v="NO3_A1"/>
    <x v="7"/>
    <x v="5"/>
    <s v="GNR_WT_WIND_ONS"/>
    <x v="0"/>
    <x v="19"/>
    <n v="313.18451850508899"/>
    <n v="114312.349254357"/>
    <n v="411524.45731568697"/>
  </r>
  <r>
    <x v="0"/>
    <x v="2"/>
    <x v="2"/>
    <x v="7"/>
    <x v="13"/>
    <s v="NO3_A1"/>
    <x v="7"/>
    <x v="5"/>
    <s v="GNR_WT_WIND_ONS"/>
    <x v="0"/>
    <x v="20"/>
    <n v="343.22407836613201"/>
    <n v="125276.78860363799"/>
    <n v="450996.43897309701"/>
  </r>
  <r>
    <x v="0"/>
    <x v="2"/>
    <x v="2"/>
    <x v="7"/>
    <x v="13"/>
    <s v="NO3_A1"/>
    <x v="7"/>
    <x v="5"/>
    <s v="GNR_WT_WIND_ONS"/>
    <x v="0"/>
    <x v="21"/>
    <n v="294.90833251246698"/>
    <n v="107641.541367051"/>
    <n v="387509.548921382"/>
  </r>
  <r>
    <x v="0"/>
    <x v="2"/>
    <x v="2"/>
    <x v="7"/>
    <x v="13"/>
    <s v="NO3_A1"/>
    <x v="7"/>
    <x v="5"/>
    <s v="GNR_WT_WIND_ONS"/>
    <x v="0"/>
    <x v="22"/>
    <n v="298.22417709170702"/>
    <n v="108851.824638473"/>
    <n v="391866.56869850302"/>
  </r>
  <r>
    <x v="0"/>
    <x v="2"/>
    <x v="2"/>
    <x v="7"/>
    <x v="13"/>
    <s v="NO3_A1"/>
    <x v="7"/>
    <x v="5"/>
    <s v="GNR_WT_WIND_ONS"/>
    <x v="0"/>
    <x v="23"/>
    <n v="271.17550190515198"/>
    <n v="98979.058195380305"/>
    <n v="356324.60950336902"/>
  </r>
  <r>
    <x v="0"/>
    <x v="2"/>
    <x v="2"/>
    <x v="7"/>
    <x v="13"/>
    <s v="NO3_A1"/>
    <x v="7"/>
    <x v="5"/>
    <s v="GNR_WT_WIND_ON_LS_Y-2030"/>
    <x v="0"/>
    <x v="0"/>
    <n v="63.447204092624801"/>
    <n v="23158.2294938081"/>
    <n v="83369.626177708997"/>
  </r>
  <r>
    <x v="0"/>
    <x v="2"/>
    <x v="2"/>
    <x v="7"/>
    <x v="13"/>
    <s v="NO3_A1"/>
    <x v="7"/>
    <x v="5"/>
    <s v="GNR_WT_WIND_ON_LS_Y-2030"/>
    <x v="0"/>
    <x v="1"/>
    <n v="82.938064467932705"/>
    <n v="30272.3935307955"/>
    <n v="108980.61671086399"/>
  </r>
  <r>
    <x v="0"/>
    <x v="2"/>
    <x v="2"/>
    <x v="7"/>
    <x v="13"/>
    <s v="NO3_A1"/>
    <x v="7"/>
    <x v="5"/>
    <s v="GNR_WT_WIND_ON_LS_Y-2030"/>
    <x v="0"/>
    <x v="18"/>
    <n v="88.403404603714904"/>
    <n v="32267.242680355899"/>
    <n v="116162.073649281"/>
  </r>
  <r>
    <x v="0"/>
    <x v="2"/>
    <x v="2"/>
    <x v="7"/>
    <x v="13"/>
    <s v="NO3_A1"/>
    <x v="7"/>
    <x v="5"/>
    <s v="GNR_WT_WIND_ON_LS_Y-2030"/>
    <x v="0"/>
    <x v="2"/>
    <n v="101.485540984012"/>
    <n v="37042.222459164201"/>
    <n v="133352.00085299101"/>
  </r>
  <r>
    <x v="0"/>
    <x v="2"/>
    <x v="2"/>
    <x v="7"/>
    <x v="13"/>
    <s v="NO3_A1"/>
    <x v="7"/>
    <x v="5"/>
    <s v="GNR_WT_WIND_ON_LS_Y-2030"/>
    <x v="0"/>
    <x v="3"/>
    <n v="115.353458332673"/>
    <n v="42104.012291425701"/>
    <n v="151574.44424913201"/>
  </r>
  <r>
    <x v="0"/>
    <x v="2"/>
    <x v="2"/>
    <x v="7"/>
    <x v="13"/>
    <s v="NO3_A1"/>
    <x v="7"/>
    <x v="5"/>
    <s v="GNR_WT_WIND_ON_LS_Y-2030"/>
    <x v="0"/>
    <x v="4"/>
    <n v="118.57069333105601"/>
    <n v="43278.303065835396"/>
    <n v="155801.89103700701"/>
  </r>
  <r>
    <x v="0"/>
    <x v="2"/>
    <x v="2"/>
    <x v="7"/>
    <x v="13"/>
    <s v="NO3_A1"/>
    <x v="7"/>
    <x v="5"/>
    <s v="GNR_WT_WIND_ON_LS_Y-2030"/>
    <x v="0"/>
    <x v="5"/>
    <n v="83.282630437781606"/>
    <n v="30398.1601097903"/>
    <n v="109433.376395245"/>
  </r>
  <r>
    <x v="0"/>
    <x v="2"/>
    <x v="2"/>
    <x v="7"/>
    <x v="13"/>
    <s v="NO3_A1"/>
    <x v="7"/>
    <x v="5"/>
    <s v="GNR_WT_WIND_ON_LS_Y-2030"/>
    <x v="0"/>
    <x v="6"/>
    <n v="94.337370702025794"/>
    <n v="34433.140306239402"/>
    <n v="123959.30510246201"/>
  </r>
  <r>
    <x v="0"/>
    <x v="2"/>
    <x v="2"/>
    <x v="7"/>
    <x v="13"/>
    <s v="NO3_A1"/>
    <x v="7"/>
    <x v="5"/>
    <s v="GNR_WT_WIND_ON_LS_Y-2030"/>
    <x v="0"/>
    <x v="7"/>
    <n v="140.255811527791"/>
    <n v="51193.371207643897"/>
    <n v="184296.13634751801"/>
  </r>
  <r>
    <x v="0"/>
    <x v="2"/>
    <x v="2"/>
    <x v="7"/>
    <x v="13"/>
    <s v="NO3_A1"/>
    <x v="7"/>
    <x v="5"/>
    <s v="GNR_WT_WIND_ON_LS_Y-2030"/>
    <x v="0"/>
    <x v="8"/>
    <n v="144.96056847768301"/>
    <n v="52910.607494354197"/>
    <n v="190478.186979675"/>
  </r>
  <r>
    <x v="0"/>
    <x v="2"/>
    <x v="2"/>
    <x v="7"/>
    <x v="13"/>
    <s v="NO3_A1"/>
    <x v="7"/>
    <x v="5"/>
    <s v="GNR_WT_WIND_ON_LS_Y-2030"/>
    <x v="0"/>
    <x v="9"/>
    <n v="149.84826823183701"/>
    <n v="54694.617904620398"/>
    <n v="196900.624456633"/>
  </r>
  <r>
    <x v="0"/>
    <x v="2"/>
    <x v="2"/>
    <x v="7"/>
    <x v="13"/>
    <s v="NO3_A1"/>
    <x v="7"/>
    <x v="5"/>
    <s v="GNR_WT_WIND_ON_LS_Y-2030"/>
    <x v="0"/>
    <x v="10"/>
    <n v="162.59121931299799"/>
    <n v="59345.795049244298"/>
    <n v="213644.86217727899"/>
  </r>
  <r>
    <x v="0"/>
    <x v="2"/>
    <x v="2"/>
    <x v="7"/>
    <x v="13"/>
    <s v="NO3_A1"/>
    <x v="7"/>
    <x v="5"/>
    <s v="GNR_WT_WIND_ON_LS_Y-2030"/>
    <x v="0"/>
    <x v="11"/>
    <n v="162.50825546191899"/>
    <n v="59315.513243600602"/>
    <n v="213535.847676962"/>
  </r>
  <r>
    <x v="0"/>
    <x v="2"/>
    <x v="2"/>
    <x v="7"/>
    <x v="13"/>
    <s v="NO3_A1"/>
    <x v="7"/>
    <x v="5"/>
    <s v="GNR_WT_WIND_ON_LS_Y-2030"/>
    <x v="0"/>
    <x v="12"/>
    <n v="241.50259286304299"/>
    <n v="88148.446395010804"/>
    <n v="317334.407022039"/>
  </r>
  <r>
    <x v="0"/>
    <x v="2"/>
    <x v="2"/>
    <x v="7"/>
    <x v="13"/>
    <s v="NO3_A1"/>
    <x v="7"/>
    <x v="5"/>
    <s v="GNR_WT_WIND_ON_LS_Y-2030"/>
    <x v="0"/>
    <x v="13"/>
    <n v="271.442167544901"/>
    <n v="99076.391153888704"/>
    <n v="356675.00815399899"/>
  </r>
  <r>
    <x v="0"/>
    <x v="2"/>
    <x v="2"/>
    <x v="7"/>
    <x v="13"/>
    <s v="NO3_A1"/>
    <x v="7"/>
    <x v="5"/>
    <s v="GNR_WT_WIND_ON_LS_Y-2030"/>
    <x v="0"/>
    <x v="14"/>
    <n v="260.91024573425898"/>
    <n v="95232.239693004594"/>
    <n v="342836.06289481698"/>
  </r>
  <r>
    <x v="0"/>
    <x v="2"/>
    <x v="2"/>
    <x v="7"/>
    <x v="13"/>
    <s v="NO3_A1"/>
    <x v="7"/>
    <x v="5"/>
    <s v="GNR_WT_WIND_ON_LS_Y-2030"/>
    <x v="0"/>
    <x v="15"/>
    <n v="242.75375108709099"/>
    <n v="88605.119146788202"/>
    <n v="318978.428928437"/>
  </r>
  <r>
    <x v="0"/>
    <x v="2"/>
    <x v="2"/>
    <x v="7"/>
    <x v="13"/>
    <s v="NO3_A1"/>
    <x v="7"/>
    <x v="5"/>
    <s v="GNR_WT_WIND_ON_LS_Y-2030"/>
    <x v="0"/>
    <x v="16"/>
    <n v="261.3950949266"/>
    <n v="95409.209648208998"/>
    <n v="343473.15473355202"/>
  </r>
  <r>
    <x v="0"/>
    <x v="2"/>
    <x v="2"/>
    <x v="7"/>
    <x v="13"/>
    <s v="NO3_A1"/>
    <x v="7"/>
    <x v="5"/>
    <s v="GNR_WT_WIND_ON_LS_Y-2030"/>
    <x v="0"/>
    <x v="17"/>
    <n v="252.49613561207701"/>
    <n v="92161.089498407993"/>
    <n v="331779.92219426902"/>
  </r>
  <r>
    <x v="0"/>
    <x v="2"/>
    <x v="2"/>
    <x v="7"/>
    <x v="13"/>
    <s v="NO3_A1"/>
    <x v="7"/>
    <x v="5"/>
    <s v="GNR_WT_WIND_ON_LS_Y-2030"/>
    <x v="0"/>
    <x v="19"/>
    <n v="220.74855404835799"/>
    <n v="80573.222227650505"/>
    <n v="290063.60001954198"/>
  </r>
  <r>
    <x v="0"/>
    <x v="2"/>
    <x v="2"/>
    <x v="7"/>
    <x v="13"/>
    <s v="NO3_A1"/>
    <x v="7"/>
    <x v="5"/>
    <s v="GNR_WT_WIND_ON_LS_Y-2030"/>
    <x v="0"/>
    <x v="20"/>
    <n v="241.92198061243801"/>
    <n v="88301.522923539902"/>
    <n v="317885.48252474301"/>
  </r>
  <r>
    <x v="0"/>
    <x v="2"/>
    <x v="2"/>
    <x v="7"/>
    <x v="13"/>
    <s v="NO3_A1"/>
    <x v="7"/>
    <x v="5"/>
    <s v="GNR_WT_WIND_ON_LS_Y-2030"/>
    <x v="0"/>
    <x v="21"/>
    <n v="207.86655831419"/>
    <n v="75871.293784679205"/>
    <n v="273136.65762484499"/>
  </r>
  <r>
    <x v="0"/>
    <x v="2"/>
    <x v="2"/>
    <x v="7"/>
    <x v="13"/>
    <s v="NO3_A1"/>
    <x v="7"/>
    <x v="5"/>
    <s v="GNR_WT_WIND_ON_LS_Y-2030"/>
    <x v="0"/>
    <x v="22"/>
    <n v="210.20373608980299"/>
    <n v="76724.363672778098"/>
    <n v="276207.70922200102"/>
  </r>
  <r>
    <x v="0"/>
    <x v="2"/>
    <x v="2"/>
    <x v="7"/>
    <x v="13"/>
    <s v="NO3_A1"/>
    <x v="7"/>
    <x v="5"/>
    <s v="GNR_WT_WIND_ON_LS_Y-2030"/>
    <x v="0"/>
    <x v="23"/>
    <n v="191.13843884951501"/>
    <n v="69765.530180073198"/>
    <n v="251155.90864826299"/>
  </r>
  <r>
    <x v="0"/>
    <x v="2"/>
    <x v="2"/>
    <x v="7"/>
    <x v="14"/>
    <s v="NO4_A1"/>
    <x v="2"/>
    <x v="2"/>
    <s v="GBPR_MUNIWASTE"/>
    <x v="0"/>
    <x v="0"/>
    <n v="0.16632"/>
    <n v="60.706800000000001"/>
    <n v="218.54447999999999"/>
  </r>
  <r>
    <x v="0"/>
    <x v="2"/>
    <x v="2"/>
    <x v="7"/>
    <x v="14"/>
    <s v="NO4_A1"/>
    <x v="2"/>
    <x v="2"/>
    <s v="GBPR_MUNIWASTE"/>
    <x v="0"/>
    <x v="1"/>
    <n v="0.16632"/>
    <n v="60.706800000000001"/>
    <n v="218.54447999999999"/>
  </r>
  <r>
    <x v="0"/>
    <x v="2"/>
    <x v="2"/>
    <x v="7"/>
    <x v="14"/>
    <s v="NO4_A1"/>
    <x v="2"/>
    <x v="2"/>
    <s v="GBPR_MUNIWASTE"/>
    <x v="0"/>
    <x v="18"/>
    <n v="0.16632"/>
    <n v="60.706800000000001"/>
    <n v="218.54447999999999"/>
  </r>
  <r>
    <x v="0"/>
    <x v="2"/>
    <x v="2"/>
    <x v="7"/>
    <x v="14"/>
    <s v="NO4_A1"/>
    <x v="2"/>
    <x v="2"/>
    <s v="GBPR_MUNIWASTE"/>
    <x v="0"/>
    <x v="2"/>
    <n v="0.16632"/>
    <n v="60.706800000000001"/>
    <n v="218.54447999999999"/>
  </r>
  <r>
    <x v="0"/>
    <x v="2"/>
    <x v="2"/>
    <x v="7"/>
    <x v="14"/>
    <s v="NO4_A1"/>
    <x v="2"/>
    <x v="2"/>
    <s v="GBPR_MUNIWASTE"/>
    <x v="0"/>
    <x v="3"/>
    <n v="0.16632"/>
    <n v="60.706800000000001"/>
    <n v="218.54447999999999"/>
  </r>
  <r>
    <x v="0"/>
    <x v="2"/>
    <x v="2"/>
    <x v="7"/>
    <x v="14"/>
    <s v="NO4_A1"/>
    <x v="2"/>
    <x v="2"/>
    <s v="GBPR_MUNIWASTE"/>
    <x v="0"/>
    <x v="4"/>
    <n v="0.16632"/>
    <n v="60.706800000000001"/>
    <n v="218.54447999999999"/>
  </r>
  <r>
    <x v="0"/>
    <x v="2"/>
    <x v="2"/>
    <x v="7"/>
    <x v="14"/>
    <s v="NO4_A1"/>
    <x v="2"/>
    <x v="2"/>
    <s v="GBPR_MUNIWASTE"/>
    <x v="0"/>
    <x v="5"/>
    <n v="0.16632"/>
    <n v="60.706800000000001"/>
    <n v="218.54447999999999"/>
  </r>
  <r>
    <x v="0"/>
    <x v="2"/>
    <x v="2"/>
    <x v="7"/>
    <x v="14"/>
    <s v="NO4_A1"/>
    <x v="2"/>
    <x v="2"/>
    <s v="GBPR_MUNIWASTE"/>
    <x v="0"/>
    <x v="6"/>
    <n v="0.16632"/>
    <n v="60.706800000000001"/>
    <n v="218.54447999999999"/>
  </r>
  <r>
    <x v="0"/>
    <x v="2"/>
    <x v="2"/>
    <x v="7"/>
    <x v="14"/>
    <s v="NO4_A1"/>
    <x v="2"/>
    <x v="2"/>
    <s v="GBPR_MUNIWASTE"/>
    <x v="0"/>
    <x v="7"/>
    <n v="0.16632"/>
    <n v="60.706800000000001"/>
    <n v="218.54447999999999"/>
  </r>
  <r>
    <x v="0"/>
    <x v="2"/>
    <x v="2"/>
    <x v="7"/>
    <x v="14"/>
    <s v="NO4_A1"/>
    <x v="2"/>
    <x v="2"/>
    <s v="GBPR_MUNIWASTE"/>
    <x v="0"/>
    <x v="8"/>
    <n v="0.16632"/>
    <n v="60.706800000000001"/>
    <n v="218.54447999999999"/>
  </r>
  <r>
    <x v="0"/>
    <x v="2"/>
    <x v="2"/>
    <x v="7"/>
    <x v="14"/>
    <s v="NO4_A1"/>
    <x v="2"/>
    <x v="2"/>
    <s v="GBPR_MUNIWASTE"/>
    <x v="0"/>
    <x v="9"/>
    <n v="0.16632"/>
    <n v="60.706800000000001"/>
    <n v="218.54447999999999"/>
  </r>
  <r>
    <x v="0"/>
    <x v="2"/>
    <x v="2"/>
    <x v="7"/>
    <x v="14"/>
    <s v="NO4_A1"/>
    <x v="2"/>
    <x v="2"/>
    <s v="GBPR_MUNIWASTE"/>
    <x v="0"/>
    <x v="10"/>
    <n v="0.16632"/>
    <n v="60.706800000000001"/>
    <n v="218.54447999999999"/>
  </r>
  <r>
    <x v="0"/>
    <x v="2"/>
    <x v="2"/>
    <x v="7"/>
    <x v="14"/>
    <s v="NO4_A1"/>
    <x v="2"/>
    <x v="2"/>
    <s v="GBPR_MUNIWASTE"/>
    <x v="0"/>
    <x v="11"/>
    <n v="0.16632"/>
    <n v="60.706800000000001"/>
    <n v="218.54447999999999"/>
  </r>
  <r>
    <x v="0"/>
    <x v="2"/>
    <x v="2"/>
    <x v="7"/>
    <x v="14"/>
    <s v="NO4_A1"/>
    <x v="2"/>
    <x v="2"/>
    <s v="GBPR_MUNIWASTE"/>
    <x v="0"/>
    <x v="12"/>
    <n v="0.16632"/>
    <n v="60.706800000000001"/>
    <n v="218.54447999999999"/>
  </r>
  <r>
    <x v="0"/>
    <x v="2"/>
    <x v="2"/>
    <x v="7"/>
    <x v="14"/>
    <s v="NO4_A1"/>
    <x v="2"/>
    <x v="2"/>
    <s v="GBPR_MUNIWASTE"/>
    <x v="0"/>
    <x v="13"/>
    <n v="0.16632"/>
    <n v="60.706800000000001"/>
    <n v="218.54447999999999"/>
  </r>
  <r>
    <x v="0"/>
    <x v="2"/>
    <x v="2"/>
    <x v="7"/>
    <x v="14"/>
    <s v="NO4_A1"/>
    <x v="2"/>
    <x v="2"/>
    <s v="GBPR_MUNIWASTE"/>
    <x v="0"/>
    <x v="14"/>
    <n v="0.16632"/>
    <n v="60.706800000000001"/>
    <n v="218.54447999999999"/>
  </r>
  <r>
    <x v="0"/>
    <x v="2"/>
    <x v="2"/>
    <x v="7"/>
    <x v="14"/>
    <s v="NO4_A1"/>
    <x v="2"/>
    <x v="2"/>
    <s v="GBPR_MUNIWASTE"/>
    <x v="0"/>
    <x v="15"/>
    <n v="0.16632"/>
    <n v="60.706800000000001"/>
    <n v="218.54447999999999"/>
  </r>
  <r>
    <x v="0"/>
    <x v="2"/>
    <x v="2"/>
    <x v="7"/>
    <x v="14"/>
    <s v="NO4_A1"/>
    <x v="2"/>
    <x v="2"/>
    <s v="GBPR_MUNIWASTE"/>
    <x v="0"/>
    <x v="16"/>
    <n v="0.16632"/>
    <n v="60.706800000000001"/>
    <n v="218.54447999999999"/>
  </r>
  <r>
    <x v="0"/>
    <x v="2"/>
    <x v="2"/>
    <x v="7"/>
    <x v="14"/>
    <s v="NO4_A1"/>
    <x v="2"/>
    <x v="2"/>
    <s v="GBPR_MUNIWASTE"/>
    <x v="0"/>
    <x v="17"/>
    <n v="0.16632"/>
    <n v="60.706800000000001"/>
    <n v="218.54447999999999"/>
  </r>
  <r>
    <x v="0"/>
    <x v="2"/>
    <x v="2"/>
    <x v="7"/>
    <x v="14"/>
    <s v="NO4_A1"/>
    <x v="2"/>
    <x v="2"/>
    <s v="GBPR_MUNIWASTE"/>
    <x v="0"/>
    <x v="19"/>
    <n v="0.16632"/>
    <n v="60.706800000000001"/>
    <n v="218.54447999999999"/>
  </r>
  <r>
    <x v="0"/>
    <x v="2"/>
    <x v="2"/>
    <x v="7"/>
    <x v="14"/>
    <s v="NO4_A1"/>
    <x v="2"/>
    <x v="2"/>
    <s v="GBPR_MUNIWASTE"/>
    <x v="0"/>
    <x v="20"/>
    <n v="0.16632"/>
    <n v="60.706800000000001"/>
    <n v="218.54447999999999"/>
  </r>
  <r>
    <x v="0"/>
    <x v="2"/>
    <x v="2"/>
    <x v="7"/>
    <x v="14"/>
    <s v="NO4_A1"/>
    <x v="2"/>
    <x v="2"/>
    <s v="GBPR_MUNIWASTE"/>
    <x v="0"/>
    <x v="21"/>
    <n v="0.16632"/>
    <n v="60.706800000000001"/>
    <n v="218.54447999999999"/>
  </r>
  <r>
    <x v="0"/>
    <x v="2"/>
    <x v="2"/>
    <x v="7"/>
    <x v="14"/>
    <s v="NO4_A1"/>
    <x v="2"/>
    <x v="2"/>
    <s v="GBPR_MUNIWASTE"/>
    <x v="0"/>
    <x v="22"/>
    <n v="0.16632"/>
    <n v="60.706800000000001"/>
    <n v="218.54447999999999"/>
  </r>
  <r>
    <x v="0"/>
    <x v="2"/>
    <x v="2"/>
    <x v="7"/>
    <x v="14"/>
    <s v="NO4_A1"/>
    <x v="2"/>
    <x v="2"/>
    <s v="GBPR_MUNIWASTE"/>
    <x v="0"/>
    <x v="23"/>
    <n v="0.16632"/>
    <n v="60.706800000000001"/>
    <n v="218.54447999999999"/>
  </r>
  <r>
    <x v="0"/>
    <x v="2"/>
    <x v="2"/>
    <x v="7"/>
    <x v="14"/>
    <s v="NO4_A1"/>
    <x v="6"/>
    <x v="7"/>
    <s v="GNR_RES_WTR_NOPMP_MC-01"/>
    <x v="0"/>
    <x v="0"/>
    <n v="419.56363678000798"/>
    <n v="153140.72742470301"/>
    <n v="551306.61872893095"/>
  </r>
  <r>
    <x v="0"/>
    <x v="2"/>
    <x v="2"/>
    <x v="7"/>
    <x v="14"/>
    <s v="NO4_A1"/>
    <x v="6"/>
    <x v="7"/>
    <s v="GNR_RES_WTR_NOPMP_MC-01"/>
    <x v="0"/>
    <x v="1"/>
    <n v="419.56363678000798"/>
    <n v="153140.72742470301"/>
    <n v="551306.61872893095"/>
  </r>
  <r>
    <x v="0"/>
    <x v="2"/>
    <x v="2"/>
    <x v="7"/>
    <x v="14"/>
    <s v="NO4_A1"/>
    <x v="6"/>
    <x v="7"/>
    <s v="GNR_RES_WTR_NOPMP_MC-01"/>
    <x v="0"/>
    <x v="18"/>
    <n v="419.56363678000798"/>
    <n v="153140.72742470301"/>
    <n v="551306.61872893095"/>
  </r>
  <r>
    <x v="0"/>
    <x v="2"/>
    <x v="2"/>
    <x v="7"/>
    <x v="14"/>
    <s v="NO4_A1"/>
    <x v="6"/>
    <x v="7"/>
    <s v="GNR_RES_WTR_NOPMP_MC-01"/>
    <x v="0"/>
    <x v="2"/>
    <n v="419.56363678000798"/>
    <n v="153140.72742470301"/>
    <n v="551306.61872893095"/>
  </r>
  <r>
    <x v="0"/>
    <x v="2"/>
    <x v="2"/>
    <x v="7"/>
    <x v="14"/>
    <s v="NO4_A1"/>
    <x v="6"/>
    <x v="7"/>
    <s v="GNR_RES_WTR_NOPMP_MC-01"/>
    <x v="0"/>
    <x v="3"/>
    <n v="419.56363678000798"/>
    <n v="153140.72742470301"/>
    <n v="551306.61872893095"/>
  </r>
  <r>
    <x v="0"/>
    <x v="2"/>
    <x v="2"/>
    <x v="7"/>
    <x v="14"/>
    <s v="NO4_A1"/>
    <x v="6"/>
    <x v="7"/>
    <s v="GNR_RES_WTR_NOPMP_MC-01"/>
    <x v="0"/>
    <x v="4"/>
    <n v="419.56363678000798"/>
    <n v="153140.72742470301"/>
    <n v="551306.61872893095"/>
  </r>
  <r>
    <x v="0"/>
    <x v="2"/>
    <x v="2"/>
    <x v="7"/>
    <x v="14"/>
    <s v="NO4_A1"/>
    <x v="6"/>
    <x v="7"/>
    <s v="GNR_RES_WTR_NOPMP_MC-01"/>
    <x v="0"/>
    <x v="5"/>
    <n v="419.56363678000798"/>
    <n v="153140.72742470301"/>
    <n v="551306.61872893095"/>
  </r>
  <r>
    <x v="0"/>
    <x v="2"/>
    <x v="2"/>
    <x v="7"/>
    <x v="14"/>
    <s v="NO4_A1"/>
    <x v="6"/>
    <x v="7"/>
    <s v="GNR_RES_WTR_NOPMP_MC-01"/>
    <x v="0"/>
    <x v="6"/>
    <n v="419.56363678000798"/>
    <n v="153140.72742470301"/>
    <n v="551306.61872893095"/>
  </r>
  <r>
    <x v="0"/>
    <x v="2"/>
    <x v="2"/>
    <x v="7"/>
    <x v="14"/>
    <s v="NO4_A1"/>
    <x v="6"/>
    <x v="7"/>
    <s v="GNR_RES_WTR_NOPMP_MC-01"/>
    <x v="0"/>
    <x v="7"/>
    <n v="419.56363678000798"/>
    <n v="153140.72742470301"/>
    <n v="551306.61872893095"/>
  </r>
  <r>
    <x v="0"/>
    <x v="2"/>
    <x v="2"/>
    <x v="7"/>
    <x v="14"/>
    <s v="NO4_A1"/>
    <x v="6"/>
    <x v="7"/>
    <s v="GNR_RES_WTR_NOPMP_MC-01"/>
    <x v="0"/>
    <x v="8"/>
    <n v="419.56363678000798"/>
    <n v="153140.72742470301"/>
    <n v="551306.61872893095"/>
  </r>
  <r>
    <x v="0"/>
    <x v="2"/>
    <x v="2"/>
    <x v="7"/>
    <x v="14"/>
    <s v="NO4_A1"/>
    <x v="6"/>
    <x v="7"/>
    <s v="GNR_RES_WTR_NOPMP_MC-01"/>
    <x v="0"/>
    <x v="9"/>
    <n v="419.56363678000798"/>
    <n v="153140.72742470301"/>
    <n v="551306.61872893095"/>
  </r>
  <r>
    <x v="0"/>
    <x v="2"/>
    <x v="2"/>
    <x v="7"/>
    <x v="14"/>
    <s v="NO4_A1"/>
    <x v="6"/>
    <x v="7"/>
    <s v="GNR_RES_WTR_NOPMP_MC-01"/>
    <x v="0"/>
    <x v="10"/>
    <n v="419.56363678000798"/>
    <n v="153140.72742470301"/>
    <n v="551306.61872893095"/>
  </r>
  <r>
    <x v="0"/>
    <x v="2"/>
    <x v="2"/>
    <x v="7"/>
    <x v="14"/>
    <s v="NO4_A1"/>
    <x v="6"/>
    <x v="7"/>
    <s v="GNR_RES_WTR_NOPMP_MC-01"/>
    <x v="0"/>
    <x v="11"/>
    <n v="419.56363678000798"/>
    <n v="153140.72742470301"/>
    <n v="551306.61872893095"/>
  </r>
  <r>
    <x v="0"/>
    <x v="2"/>
    <x v="2"/>
    <x v="7"/>
    <x v="14"/>
    <s v="NO4_A1"/>
    <x v="6"/>
    <x v="7"/>
    <s v="GNR_RES_WTR_NOPMP_MC-01"/>
    <x v="0"/>
    <x v="12"/>
    <n v="419.56363678000798"/>
    <n v="153140.72742470301"/>
    <n v="551306.61872893095"/>
  </r>
  <r>
    <x v="0"/>
    <x v="2"/>
    <x v="2"/>
    <x v="7"/>
    <x v="14"/>
    <s v="NO4_A1"/>
    <x v="6"/>
    <x v="7"/>
    <s v="GNR_RES_WTR_NOPMP_MC-01"/>
    <x v="0"/>
    <x v="13"/>
    <n v="419.56363678000798"/>
    <n v="153140.72742470301"/>
    <n v="551306.61872893095"/>
  </r>
  <r>
    <x v="0"/>
    <x v="2"/>
    <x v="2"/>
    <x v="7"/>
    <x v="14"/>
    <s v="NO4_A1"/>
    <x v="6"/>
    <x v="7"/>
    <s v="GNR_RES_WTR_NOPMP_MC-01"/>
    <x v="0"/>
    <x v="14"/>
    <n v="419.56363678000798"/>
    <n v="153140.72742470301"/>
    <n v="551306.61872893095"/>
  </r>
  <r>
    <x v="0"/>
    <x v="2"/>
    <x v="2"/>
    <x v="7"/>
    <x v="14"/>
    <s v="NO4_A1"/>
    <x v="6"/>
    <x v="7"/>
    <s v="GNR_RES_WTR_NOPMP_MC-01"/>
    <x v="0"/>
    <x v="15"/>
    <n v="419.56363678000798"/>
    <n v="153140.72742470301"/>
    <n v="551306.61872893095"/>
  </r>
  <r>
    <x v="0"/>
    <x v="2"/>
    <x v="2"/>
    <x v="7"/>
    <x v="14"/>
    <s v="NO4_A1"/>
    <x v="6"/>
    <x v="7"/>
    <s v="GNR_RES_WTR_NOPMP_MC-01"/>
    <x v="0"/>
    <x v="16"/>
    <n v="419.56363678000798"/>
    <n v="153140.72742470301"/>
    <n v="551306.61872893095"/>
  </r>
  <r>
    <x v="0"/>
    <x v="2"/>
    <x v="2"/>
    <x v="7"/>
    <x v="14"/>
    <s v="NO4_A1"/>
    <x v="6"/>
    <x v="7"/>
    <s v="GNR_RES_WTR_NOPMP_MC-01"/>
    <x v="0"/>
    <x v="17"/>
    <n v="419.56363678000798"/>
    <n v="153140.72742470301"/>
    <n v="551306.61872893095"/>
  </r>
  <r>
    <x v="0"/>
    <x v="2"/>
    <x v="2"/>
    <x v="7"/>
    <x v="14"/>
    <s v="NO4_A1"/>
    <x v="6"/>
    <x v="7"/>
    <s v="GNR_RES_WTR_NOPMP_MC-01"/>
    <x v="0"/>
    <x v="19"/>
    <n v="419.56363678000798"/>
    <n v="153140.72742470301"/>
    <n v="551306.61872893095"/>
  </r>
  <r>
    <x v="0"/>
    <x v="2"/>
    <x v="2"/>
    <x v="7"/>
    <x v="14"/>
    <s v="NO4_A1"/>
    <x v="6"/>
    <x v="7"/>
    <s v="GNR_RES_WTR_NOPMP_MC-01"/>
    <x v="0"/>
    <x v="20"/>
    <n v="419.56363678000798"/>
    <n v="153140.72742470301"/>
    <n v="551306.61872893095"/>
  </r>
  <r>
    <x v="0"/>
    <x v="2"/>
    <x v="2"/>
    <x v="7"/>
    <x v="14"/>
    <s v="NO4_A1"/>
    <x v="6"/>
    <x v="7"/>
    <s v="GNR_RES_WTR_NOPMP_MC-01"/>
    <x v="0"/>
    <x v="21"/>
    <n v="419.56363678000798"/>
    <n v="153140.72742470301"/>
    <n v="551306.61872893095"/>
  </r>
  <r>
    <x v="0"/>
    <x v="2"/>
    <x v="2"/>
    <x v="7"/>
    <x v="14"/>
    <s v="NO4_A1"/>
    <x v="6"/>
    <x v="7"/>
    <s v="GNR_RES_WTR_NOPMP_MC-01"/>
    <x v="0"/>
    <x v="22"/>
    <n v="419.56363678000798"/>
    <n v="153140.72742470301"/>
    <n v="551306.61872893095"/>
  </r>
  <r>
    <x v="0"/>
    <x v="2"/>
    <x v="2"/>
    <x v="7"/>
    <x v="14"/>
    <s v="NO4_A1"/>
    <x v="6"/>
    <x v="7"/>
    <s v="GNR_RES_WTR_NOPMP_MC-01"/>
    <x v="0"/>
    <x v="23"/>
    <n v="419.56363678000798"/>
    <n v="153140.72742470301"/>
    <n v="551306.61872893095"/>
  </r>
  <r>
    <x v="0"/>
    <x v="2"/>
    <x v="2"/>
    <x v="7"/>
    <x v="14"/>
    <s v="NO4_A1"/>
    <x v="6"/>
    <x v="7"/>
    <s v="GNR_RES_WTR_NOPMP_MC-02"/>
    <x v="0"/>
    <x v="0"/>
    <n v="419.56363678000798"/>
    <n v="153140.72742470301"/>
    <n v="551306.61872893095"/>
  </r>
  <r>
    <x v="0"/>
    <x v="2"/>
    <x v="2"/>
    <x v="7"/>
    <x v="14"/>
    <s v="NO4_A1"/>
    <x v="6"/>
    <x v="7"/>
    <s v="GNR_RES_WTR_NOPMP_MC-02"/>
    <x v="0"/>
    <x v="1"/>
    <n v="419.56363678000798"/>
    <n v="153140.72742470301"/>
    <n v="551306.61872893095"/>
  </r>
  <r>
    <x v="0"/>
    <x v="2"/>
    <x v="2"/>
    <x v="7"/>
    <x v="14"/>
    <s v="NO4_A1"/>
    <x v="6"/>
    <x v="7"/>
    <s v="GNR_RES_WTR_NOPMP_MC-02"/>
    <x v="0"/>
    <x v="18"/>
    <n v="419.56363678000798"/>
    <n v="153140.72742470301"/>
    <n v="551306.61872893095"/>
  </r>
  <r>
    <x v="0"/>
    <x v="2"/>
    <x v="2"/>
    <x v="7"/>
    <x v="14"/>
    <s v="NO4_A1"/>
    <x v="6"/>
    <x v="7"/>
    <s v="GNR_RES_WTR_NOPMP_MC-02"/>
    <x v="0"/>
    <x v="2"/>
    <n v="419.56363678000798"/>
    <n v="153140.72742470301"/>
    <n v="551306.61872893095"/>
  </r>
  <r>
    <x v="0"/>
    <x v="2"/>
    <x v="2"/>
    <x v="7"/>
    <x v="14"/>
    <s v="NO4_A1"/>
    <x v="6"/>
    <x v="7"/>
    <s v="GNR_RES_WTR_NOPMP_MC-02"/>
    <x v="0"/>
    <x v="3"/>
    <n v="419.56363678000798"/>
    <n v="153140.72742470301"/>
    <n v="551306.61872893095"/>
  </r>
  <r>
    <x v="0"/>
    <x v="2"/>
    <x v="2"/>
    <x v="7"/>
    <x v="14"/>
    <s v="NO4_A1"/>
    <x v="6"/>
    <x v="7"/>
    <s v="GNR_RES_WTR_NOPMP_MC-02"/>
    <x v="0"/>
    <x v="4"/>
    <n v="419.56363678000798"/>
    <n v="153140.72742470301"/>
    <n v="551306.61872893095"/>
  </r>
  <r>
    <x v="0"/>
    <x v="2"/>
    <x v="2"/>
    <x v="7"/>
    <x v="14"/>
    <s v="NO4_A1"/>
    <x v="6"/>
    <x v="7"/>
    <s v="GNR_RES_WTR_NOPMP_MC-02"/>
    <x v="0"/>
    <x v="5"/>
    <n v="419.56363678000798"/>
    <n v="153140.72742470301"/>
    <n v="551306.61872893095"/>
  </r>
  <r>
    <x v="0"/>
    <x v="2"/>
    <x v="2"/>
    <x v="7"/>
    <x v="14"/>
    <s v="NO4_A1"/>
    <x v="6"/>
    <x v="7"/>
    <s v="GNR_RES_WTR_NOPMP_MC-02"/>
    <x v="0"/>
    <x v="6"/>
    <n v="419.56363678000798"/>
    <n v="153140.72742470301"/>
    <n v="551306.61872893095"/>
  </r>
  <r>
    <x v="0"/>
    <x v="2"/>
    <x v="2"/>
    <x v="7"/>
    <x v="14"/>
    <s v="NO4_A1"/>
    <x v="6"/>
    <x v="7"/>
    <s v="GNR_RES_WTR_NOPMP_MC-02"/>
    <x v="0"/>
    <x v="7"/>
    <n v="419.56363678000798"/>
    <n v="153140.72742470301"/>
    <n v="551306.61872893095"/>
  </r>
  <r>
    <x v="0"/>
    <x v="2"/>
    <x v="2"/>
    <x v="7"/>
    <x v="14"/>
    <s v="NO4_A1"/>
    <x v="6"/>
    <x v="7"/>
    <s v="GNR_RES_WTR_NOPMP_MC-02"/>
    <x v="0"/>
    <x v="8"/>
    <n v="419.56363678000798"/>
    <n v="153140.72742470301"/>
    <n v="551306.61872893095"/>
  </r>
  <r>
    <x v="0"/>
    <x v="2"/>
    <x v="2"/>
    <x v="7"/>
    <x v="14"/>
    <s v="NO4_A1"/>
    <x v="6"/>
    <x v="7"/>
    <s v="GNR_RES_WTR_NOPMP_MC-02"/>
    <x v="0"/>
    <x v="9"/>
    <n v="419.56363678000798"/>
    <n v="153140.72742470301"/>
    <n v="551306.61872893095"/>
  </r>
  <r>
    <x v="0"/>
    <x v="2"/>
    <x v="2"/>
    <x v="7"/>
    <x v="14"/>
    <s v="NO4_A1"/>
    <x v="6"/>
    <x v="7"/>
    <s v="GNR_RES_WTR_NOPMP_MC-02"/>
    <x v="0"/>
    <x v="10"/>
    <n v="419.56363678000798"/>
    <n v="153140.72742470301"/>
    <n v="551306.61872893095"/>
  </r>
  <r>
    <x v="0"/>
    <x v="2"/>
    <x v="2"/>
    <x v="7"/>
    <x v="14"/>
    <s v="NO4_A1"/>
    <x v="6"/>
    <x v="7"/>
    <s v="GNR_RES_WTR_NOPMP_MC-02"/>
    <x v="0"/>
    <x v="11"/>
    <n v="419.56363678000798"/>
    <n v="153140.72742470301"/>
    <n v="551306.61872893095"/>
  </r>
  <r>
    <x v="0"/>
    <x v="2"/>
    <x v="2"/>
    <x v="7"/>
    <x v="14"/>
    <s v="NO4_A1"/>
    <x v="6"/>
    <x v="7"/>
    <s v="GNR_RES_WTR_NOPMP_MC-02"/>
    <x v="0"/>
    <x v="12"/>
    <n v="419.56363678000798"/>
    <n v="153140.72742470301"/>
    <n v="551306.61872893095"/>
  </r>
  <r>
    <x v="0"/>
    <x v="2"/>
    <x v="2"/>
    <x v="7"/>
    <x v="14"/>
    <s v="NO4_A1"/>
    <x v="6"/>
    <x v="7"/>
    <s v="GNR_RES_WTR_NOPMP_MC-02"/>
    <x v="0"/>
    <x v="13"/>
    <n v="419.56363678000798"/>
    <n v="153140.72742470301"/>
    <n v="551306.61872893095"/>
  </r>
  <r>
    <x v="0"/>
    <x v="2"/>
    <x v="2"/>
    <x v="7"/>
    <x v="14"/>
    <s v="NO4_A1"/>
    <x v="6"/>
    <x v="7"/>
    <s v="GNR_RES_WTR_NOPMP_MC-02"/>
    <x v="0"/>
    <x v="14"/>
    <n v="419.56363678000798"/>
    <n v="153140.72742470301"/>
    <n v="551306.61872893095"/>
  </r>
  <r>
    <x v="0"/>
    <x v="2"/>
    <x v="2"/>
    <x v="7"/>
    <x v="14"/>
    <s v="NO4_A1"/>
    <x v="6"/>
    <x v="7"/>
    <s v="GNR_RES_WTR_NOPMP_MC-02"/>
    <x v="0"/>
    <x v="15"/>
    <n v="419.56363678000798"/>
    <n v="153140.72742470301"/>
    <n v="551306.61872893095"/>
  </r>
  <r>
    <x v="0"/>
    <x v="2"/>
    <x v="2"/>
    <x v="7"/>
    <x v="14"/>
    <s v="NO4_A1"/>
    <x v="6"/>
    <x v="7"/>
    <s v="GNR_RES_WTR_NOPMP_MC-02"/>
    <x v="0"/>
    <x v="16"/>
    <n v="419.56363678000798"/>
    <n v="153140.72742470301"/>
    <n v="551306.61872893095"/>
  </r>
  <r>
    <x v="0"/>
    <x v="2"/>
    <x v="2"/>
    <x v="7"/>
    <x v="14"/>
    <s v="NO4_A1"/>
    <x v="6"/>
    <x v="7"/>
    <s v="GNR_RES_WTR_NOPMP_MC-02"/>
    <x v="0"/>
    <x v="17"/>
    <n v="419.56363678000798"/>
    <n v="153140.72742470301"/>
    <n v="551306.61872893095"/>
  </r>
  <r>
    <x v="0"/>
    <x v="2"/>
    <x v="2"/>
    <x v="7"/>
    <x v="14"/>
    <s v="NO4_A1"/>
    <x v="6"/>
    <x v="7"/>
    <s v="GNR_RES_WTR_NOPMP_MC-02"/>
    <x v="0"/>
    <x v="19"/>
    <n v="419.56363678000798"/>
    <n v="153140.72742470301"/>
    <n v="551306.61872893095"/>
  </r>
  <r>
    <x v="0"/>
    <x v="2"/>
    <x v="2"/>
    <x v="7"/>
    <x v="14"/>
    <s v="NO4_A1"/>
    <x v="6"/>
    <x v="7"/>
    <s v="GNR_RES_WTR_NOPMP_MC-02"/>
    <x v="0"/>
    <x v="20"/>
    <n v="419.56363678000798"/>
    <n v="153140.72742470301"/>
    <n v="551306.61872893095"/>
  </r>
  <r>
    <x v="0"/>
    <x v="2"/>
    <x v="2"/>
    <x v="7"/>
    <x v="14"/>
    <s v="NO4_A1"/>
    <x v="6"/>
    <x v="7"/>
    <s v="GNR_RES_WTR_NOPMP_MC-02"/>
    <x v="0"/>
    <x v="21"/>
    <n v="419.56363678000798"/>
    <n v="153140.72742470301"/>
    <n v="551306.61872893095"/>
  </r>
  <r>
    <x v="0"/>
    <x v="2"/>
    <x v="2"/>
    <x v="7"/>
    <x v="14"/>
    <s v="NO4_A1"/>
    <x v="6"/>
    <x v="7"/>
    <s v="GNR_RES_WTR_NOPMP_MC-02"/>
    <x v="0"/>
    <x v="22"/>
    <n v="419.56363678000798"/>
    <n v="153140.72742470301"/>
    <n v="551306.61872893095"/>
  </r>
  <r>
    <x v="0"/>
    <x v="2"/>
    <x v="2"/>
    <x v="7"/>
    <x v="14"/>
    <s v="NO4_A1"/>
    <x v="6"/>
    <x v="7"/>
    <s v="GNR_RES_WTR_NOPMP_MC-02"/>
    <x v="0"/>
    <x v="23"/>
    <n v="419.56363678000798"/>
    <n v="153140.72742470301"/>
    <n v="551306.61872893095"/>
  </r>
  <r>
    <x v="0"/>
    <x v="2"/>
    <x v="2"/>
    <x v="7"/>
    <x v="14"/>
    <s v="NO4_A1"/>
    <x v="6"/>
    <x v="7"/>
    <s v="GNR_RES_WTR_NOPMP_MC-03"/>
    <x v="0"/>
    <x v="0"/>
    <n v="419.56363678000798"/>
    <n v="153140.72742470301"/>
    <n v="551306.61872893095"/>
  </r>
  <r>
    <x v="0"/>
    <x v="2"/>
    <x v="2"/>
    <x v="7"/>
    <x v="14"/>
    <s v="NO4_A1"/>
    <x v="6"/>
    <x v="7"/>
    <s v="GNR_RES_WTR_NOPMP_MC-03"/>
    <x v="0"/>
    <x v="1"/>
    <n v="419.56363678000798"/>
    <n v="153140.72742470301"/>
    <n v="551306.61872893095"/>
  </r>
  <r>
    <x v="0"/>
    <x v="2"/>
    <x v="2"/>
    <x v="7"/>
    <x v="14"/>
    <s v="NO4_A1"/>
    <x v="6"/>
    <x v="7"/>
    <s v="GNR_RES_WTR_NOPMP_MC-03"/>
    <x v="0"/>
    <x v="18"/>
    <n v="419.56363678000798"/>
    <n v="153140.72742470301"/>
    <n v="551306.61872893095"/>
  </r>
  <r>
    <x v="0"/>
    <x v="2"/>
    <x v="2"/>
    <x v="7"/>
    <x v="14"/>
    <s v="NO4_A1"/>
    <x v="6"/>
    <x v="7"/>
    <s v="GNR_RES_WTR_NOPMP_MC-03"/>
    <x v="0"/>
    <x v="2"/>
    <n v="419.56363678000798"/>
    <n v="153140.72742470301"/>
    <n v="551306.61872893095"/>
  </r>
  <r>
    <x v="0"/>
    <x v="2"/>
    <x v="2"/>
    <x v="7"/>
    <x v="14"/>
    <s v="NO4_A1"/>
    <x v="6"/>
    <x v="7"/>
    <s v="GNR_RES_WTR_NOPMP_MC-03"/>
    <x v="0"/>
    <x v="3"/>
    <n v="419.56363678000798"/>
    <n v="153140.72742470301"/>
    <n v="551306.61872893095"/>
  </r>
  <r>
    <x v="0"/>
    <x v="2"/>
    <x v="2"/>
    <x v="7"/>
    <x v="14"/>
    <s v="NO4_A1"/>
    <x v="6"/>
    <x v="7"/>
    <s v="GNR_RES_WTR_NOPMP_MC-03"/>
    <x v="0"/>
    <x v="4"/>
    <n v="419.56363678000798"/>
    <n v="153140.72742470301"/>
    <n v="551306.61872893095"/>
  </r>
  <r>
    <x v="0"/>
    <x v="2"/>
    <x v="2"/>
    <x v="7"/>
    <x v="14"/>
    <s v="NO4_A1"/>
    <x v="6"/>
    <x v="7"/>
    <s v="GNR_RES_WTR_NOPMP_MC-03"/>
    <x v="0"/>
    <x v="5"/>
    <n v="419.56363678000798"/>
    <n v="153140.72742470301"/>
    <n v="551306.61872893095"/>
  </r>
  <r>
    <x v="0"/>
    <x v="2"/>
    <x v="2"/>
    <x v="7"/>
    <x v="14"/>
    <s v="NO4_A1"/>
    <x v="6"/>
    <x v="7"/>
    <s v="GNR_RES_WTR_NOPMP_MC-03"/>
    <x v="0"/>
    <x v="6"/>
    <n v="419.56363678000798"/>
    <n v="153140.72742470301"/>
    <n v="551306.61872893095"/>
  </r>
  <r>
    <x v="0"/>
    <x v="2"/>
    <x v="2"/>
    <x v="7"/>
    <x v="14"/>
    <s v="NO4_A1"/>
    <x v="6"/>
    <x v="7"/>
    <s v="GNR_RES_WTR_NOPMP_MC-03"/>
    <x v="0"/>
    <x v="7"/>
    <n v="419.56363678000798"/>
    <n v="153140.72742470301"/>
    <n v="551306.61872893095"/>
  </r>
  <r>
    <x v="0"/>
    <x v="2"/>
    <x v="2"/>
    <x v="7"/>
    <x v="14"/>
    <s v="NO4_A1"/>
    <x v="6"/>
    <x v="7"/>
    <s v="GNR_RES_WTR_NOPMP_MC-03"/>
    <x v="0"/>
    <x v="8"/>
    <n v="419.56363678000798"/>
    <n v="153140.72742470301"/>
    <n v="551306.61872893095"/>
  </r>
  <r>
    <x v="0"/>
    <x v="2"/>
    <x v="2"/>
    <x v="7"/>
    <x v="14"/>
    <s v="NO4_A1"/>
    <x v="6"/>
    <x v="7"/>
    <s v="GNR_RES_WTR_NOPMP_MC-03"/>
    <x v="0"/>
    <x v="9"/>
    <n v="419.56363678000798"/>
    <n v="153140.72742470301"/>
    <n v="551306.61872893095"/>
  </r>
  <r>
    <x v="0"/>
    <x v="2"/>
    <x v="2"/>
    <x v="7"/>
    <x v="14"/>
    <s v="NO4_A1"/>
    <x v="6"/>
    <x v="7"/>
    <s v="GNR_RES_WTR_NOPMP_MC-03"/>
    <x v="0"/>
    <x v="10"/>
    <n v="419.56363678000798"/>
    <n v="153140.72742470301"/>
    <n v="551306.61872893095"/>
  </r>
  <r>
    <x v="0"/>
    <x v="2"/>
    <x v="2"/>
    <x v="7"/>
    <x v="14"/>
    <s v="NO4_A1"/>
    <x v="6"/>
    <x v="7"/>
    <s v="GNR_RES_WTR_NOPMP_MC-03"/>
    <x v="0"/>
    <x v="11"/>
    <n v="419.56363678000798"/>
    <n v="153140.72742470301"/>
    <n v="551306.61872893095"/>
  </r>
  <r>
    <x v="0"/>
    <x v="2"/>
    <x v="2"/>
    <x v="7"/>
    <x v="14"/>
    <s v="NO4_A1"/>
    <x v="6"/>
    <x v="7"/>
    <s v="GNR_RES_WTR_NOPMP_MC-03"/>
    <x v="0"/>
    <x v="12"/>
    <n v="419.56363678000798"/>
    <n v="153140.72742470301"/>
    <n v="551306.61872893095"/>
  </r>
  <r>
    <x v="0"/>
    <x v="2"/>
    <x v="2"/>
    <x v="7"/>
    <x v="14"/>
    <s v="NO4_A1"/>
    <x v="6"/>
    <x v="7"/>
    <s v="GNR_RES_WTR_NOPMP_MC-03"/>
    <x v="0"/>
    <x v="13"/>
    <n v="419.56363678000798"/>
    <n v="153140.72742470301"/>
    <n v="551306.61872893095"/>
  </r>
  <r>
    <x v="0"/>
    <x v="2"/>
    <x v="2"/>
    <x v="7"/>
    <x v="14"/>
    <s v="NO4_A1"/>
    <x v="6"/>
    <x v="7"/>
    <s v="GNR_RES_WTR_NOPMP_MC-03"/>
    <x v="0"/>
    <x v="14"/>
    <n v="419.56363678000798"/>
    <n v="153140.72742470301"/>
    <n v="551306.61872893095"/>
  </r>
  <r>
    <x v="0"/>
    <x v="2"/>
    <x v="2"/>
    <x v="7"/>
    <x v="14"/>
    <s v="NO4_A1"/>
    <x v="6"/>
    <x v="7"/>
    <s v="GNR_RES_WTR_NOPMP_MC-03"/>
    <x v="0"/>
    <x v="15"/>
    <n v="419.56363678000798"/>
    <n v="153140.72742470301"/>
    <n v="551306.61872893095"/>
  </r>
  <r>
    <x v="0"/>
    <x v="2"/>
    <x v="2"/>
    <x v="7"/>
    <x v="14"/>
    <s v="NO4_A1"/>
    <x v="6"/>
    <x v="7"/>
    <s v="GNR_RES_WTR_NOPMP_MC-03"/>
    <x v="0"/>
    <x v="16"/>
    <n v="419.56363678000798"/>
    <n v="153140.72742470301"/>
    <n v="551306.61872893095"/>
  </r>
  <r>
    <x v="0"/>
    <x v="2"/>
    <x v="2"/>
    <x v="7"/>
    <x v="14"/>
    <s v="NO4_A1"/>
    <x v="6"/>
    <x v="7"/>
    <s v="GNR_RES_WTR_NOPMP_MC-03"/>
    <x v="0"/>
    <x v="17"/>
    <n v="419.56363678000798"/>
    <n v="153140.72742470301"/>
    <n v="551306.61872893095"/>
  </r>
  <r>
    <x v="0"/>
    <x v="2"/>
    <x v="2"/>
    <x v="7"/>
    <x v="14"/>
    <s v="NO4_A1"/>
    <x v="6"/>
    <x v="7"/>
    <s v="GNR_RES_WTR_NOPMP_MC-03"/>
    <x v="0"/>
    <x v="19"/>
    <n v="419.56363678000798"/>
    <n v="153140.72742470301"/>
    <n v="551306.61872893095"/>
  </r>
  <r>
    <x v="0"/>
    <x v="2"/>
    <x v="2"/>
    <x v="7"/>
    <x v="14"/>
    <s v="NO4_A1"/>
    <x v="6"/>
    <x v="7"/>
    <s v="GNR_RES_WTR_NOPMP_MC-03"/>
    <x v="0"/>
    <x v="20"/>
    <n v="419.56363678000798"/>
    <n v="153140.72742470301"/>
    <n v="551306.61872893095"/>
  </r>
  <r>
    <x v="0"/>
    <x v="2"/>
    <x v="2"/>
    <x v="7"/>
    <x v="14"/>
    <s v="NO4_A1"/>
    <x v="6"/>
    <x v="7"/>
    <s v="GNR_RES_WTR_NOPMP_MC-03"/>
    <x v="0"/>
    <x v="21"/>
    <n v="419.56363678000798"/>
    <n v="153140.72742470301"/>
    <n v="551306.61872893095"/>
  </r>
  <r>
    <x v="0"/>
    <x v="2"/>
    <x v="2"/>
    <x v="7"/>
    <x v="14"/>
    <s v="NO4_A1"/>
    <x v="6"/>
    <x v="7"/>
    <s v="GNR_RES_WTR_NOPMP_MC-03"/>
    <x v="0"/>
    <x v="22"/>
    <n v="419.56363678000798"/>
    <n v="153140.72742470301"/>
    <n v="551306.61872893095"/>
  </r>
  <r>
    <x v="0"/>
    <x v="2"/>
    <x v="2"/>
    <x v="7"/>
    <x v="14"/>
    <s v="NO4_A1"/>
    <x v="6"/>
    <x v="7"/>
    <s v="GNR_RES_WTR_NOPMP_MC-03"/>
    <x v="0"/>
    <x v="23"/>
    <n v="419.56363678000798"/>
    <n v="153140.72742470301"/>
    <n v="551306.61872893095"/>
  </r>
  <r>
    <x v="0"/>
    <x v="2"/>
    <x v="2"/>
    <x v="7"/>
    <x v="14"/>
    <s v="NO4_A1"/>
    <x v="6"/>
    <x v="7"/>
    <s v="GNR_RES_WTR_NOPMP_MC-04"/>
    <x v="0"/>
    <x v="0"/>
    <n v="419.56363678000798"/>
    <n v="153140.72742470301"/>
    <n v="551306.61872893095"/>
  </r>
  <r>
    <x v="0"/>
    <x v="2"/>
    <x v="2"/>
    <x v="7"/>
    <x v="14"/>
    <s v="NO4_A1"/>
    <x v="6"/>
    <x v="7"/>
    <s v="GNR_RES_WTR_NOPMP_MC-04"/>
    <x v="0"/>
    <x v="1"/>
    <n v="419.56363678000798"/>
    <n v="153140.72742470301"/>
    <n v="551306.61872893095"/>
  </r>
  <r>
    <x v="0"/>
    <x v="2"/>
    <x v="2"/>
    <x v="7"/>
    <x v="14"/>
    <s v="NO4_A1"/>
    <x v="6"/>
    <x v="7"/>
    <s v="GNR_RES_WTR_NOPMP_MC-04"/>
    <x v="0"/>
    <x v="18"/>
    <n v="419.56363678000798"/>
    <n v="153140.72742470301"/>
    <n v="551306.61872893095"/>
  </r>
  <r>
    <x v="0"/>
    <x v="2"/>
    <x v="2"/>
    <x v="7"/>
    <x v="14"/>
    <s v="NO4_A1"/>
    <x v="6"/>
    <x v="7"/>
    <s v="GNR_RES_WTR_NOPMP_MC-04"/>
    <x v="0"/>
    <x v="2"/>
    <n v="419.56363678000798"/>
    <n v="153140.72742470301"/>
    <n v="551306.61872893095"/>
  </r>
  <r>
    <x v="0"/>
    <x v="2"/>
    <x v="2"/>
    <x v="7"/>
    <x v="14"/>
    <s v="NO4_A1"/>
    <x v="6"/>
    <x v="7"/>
    <s v="GNR_RES_WTR_NOPMP_MC-04"/>
    <x v="0"/>
    <x v="3"/>
    <n v="419.56363678000798"/>
    <n v="153140.72742470301"/>
    <n v="551306.61872893095"/>
  </r>
  <r>
    <x v="0"/>
    <x v="2"/>
    <x v="2"/>
    <x v="7"/>
    <x v="14"/>
    <s v="NO4_A1"/>
    <x v="6"/>
    <x v="7"/>
    <s v="GNR_RES_WTR_NOPMP_MC-04"/>
    <x v="0"/>
    <x v="4"/>
    <n v="419.56363678000798"/>
    <n v="153140.72742470301"/>
    <n v="551306.61872893095"/>
  </r>
  <r>
    <x v="0"/>
    <x v="2"/>
    <x v="2"/>
    <x v="7"/>
    <x v="14"/>
    <s v="NO4_A1"/>
    <x v="6"/>
    <x v="7"/>
    <s v="GNR_RES_WTR_NOPMP_MC-04"/>
    <x v="0"/>
    <x v="5"/>
    <n v="419.56363678000798"/>
    <n v="153140.72742470301"/>
    <n v="551306.61872893095"/>
  </r>
  <r>
    <x v="0"/>
    <x v="2"/>
    <x v="2"/>
    <x v="7"/>
    <x v="14"/>
    <s v="NO4_A1"/>
    <x v="6"/>
    <x v="7"/>
    <s v="GNR_RES_WTR_NOPMP_MC-04"/>
    <x v="0"/>
    <x v="6"/>
    <n v="419.56363678000798"/>
    <n v="153140.72742470301"/>
    <n v="551306.61872893095"/>
  </r>
  <r>
    <x v="0"/>
    <x v="2"/>
    <x v="2"/>
    <x v="7"/>
    <x v="14"/>
    <s v="NO4_A1"/>
    <x v="6"/>
    <x v="7"/>
    <s v="GNR_RES_WTR_NOPMP_MC-04"/>
    <x v="0"/>
    <x v="7"/>
    <n v="419.56363678000798"/>
    <n v="153140.72742470301"/>
    <n v="551306.61872893095"/>
  </r>
  <r>
    <x v="0"/>
    <x v="2"/>
    <x v="2"/>
    <x v="7"/>
    <x v="14"/>
    <s v="NO4_A1"/>
    <x v="6"/>
    <x v="7"/>
    <s v="GNR_RES_WTR_NOPMP_MC-04"/>
    <x v="0"/>
    <x v="8"/>
    <n v="419.56363678000798"/>
    <n v="153140.72742470301"/>
    <n v="551306.61872893095"/>
  </r>
  <r>
    <x v="0"/>
    <x v="2"/>
    <x v="2"/>
    <x v="7"/>
    <x v="14"/>
    <s v="NO4_A1"/>
    <x v="6"/>
    <x v="7"/>
    <s v="GNR_RES_WTR_NOPMP_MC-04"/>
    <x v="0"/>
    <x v="9"/>
    <n v="419.56363678000798"/>
    <n v="153140.72742470301"/>
    <n v="551306.61872893095"/>
  </r>
  <r>
    <x v="0"/>
    <x v="2"/>
    <x v="2"/>
    <x v="7"/>
    <x v="14"/>
    <s v="NO4_A1"/>
    <x v="6"/>
    <x v="7"/>
    <s v="GNR_RES_WTR_NOPMP_MC-04"/>
    <x v="0"/>
    <x v="10"/>
    <n v="419.56363678000798"/>
    <n v="153140.72742470301"/>
    <n v="551306.61872893095"/>
  </r>
  <r>
    <x v="0"/>
    <x v="2"/>
    <x v="2"/>
    <x v="7"/>
    <x v="14"/>
    <s v="NO4_A1"/>
    <x v="6"/>
    <x v="7"/>
    <s v="GNR_RES_WTR_NOPMP_MC-04"/>
    <x v="0"/>
    <x v="11"/>
    <n v="419.56363678000798"/>
    <n v="153140.72742470301"/>
    <n v="551306.61872893095"/>
  </r>
  <r>
    <x v="0"/>
    <x v="2"/>
    <x v="2"/>
    <x v="7"/>
    <x v="14"/>
    <s v="NO4_A1"/>
    <x v="6"/>
    <x v="7"/>
    <s v="GNR_RES_WTR_NOPMP_MC-04"/>
    <x v="0"/>
    <x v="12"/>
    <n v="419.56363678000798"/>
    <n v="153140.72742470301"/>
    <n v="551306.61872893095"/>
  </r>
  <r>
    <x v="0"/>
    <x v="2"/>
    <x v="2"/>
    <x v="7"/>
    <x v="14"/>
    <s v="NO4_A1"/>
    <x v="6"/>
    <x v="7"/>
    <s v="GNR_RES_WTR_NOPMP_MC-04"/>
    <x v="0"/>
    <x v="13"/>
    <n v="419.56363678000798"/>
    <n v="153140.72742470301"/>
    <n v="551306.61872893095"/>
  </r>
  <r>
    <x v="0"/>
    <x v="2"/>
    <x v="2"/>
    <x v="7"/>
    <x v="14"/>
    <s v="NO4_A1"/>
    <x v="6"/>
    <x v="7"/>
    <s v="GNR_RES_WTR_NOPMP_MC-04"/>
    <x v="0"/>
    <x v="14"/>
    <n v="419.56363678000798"/>
    <n v="153140.72742470301"/>
    <n v="551306.61872893095"/>
  </r>
  <r>
    <x v="0"/>
    <x v="2"/>
    <x v="2"/>
    <x v="7"/>
    <x v="14"/>
    <s v="NO4_A1"/>
    <x v="6"/>
    <x v="7"/>
    <s v="GNR_RES_WTR_NOPMP_MC-04"/>
    <x v="0"/>
    <x v="15"/>
    <n v="419.56363678000798"/>
    <n v="153140.72742470301"/>
    <n v="551306.61872893095"/>
  </r>
  <r>
    <x v="0"/>
    <x v="2"/>
    <x v="2"/>
    <x v="7"/>
    <x v="14"/>
    <s v="NO4_A1"/>
    <x v="6"/>
    <x v="7"/>
    <s v="GNR_RES_WTR_NOPMP_MC-04"/>
    <x v="0"/>
    <x v="16"/>
    <n v="419.56363678000798"/>
    <n v="153140.72742470301"/>
    <n v="551306.61872893095"/>
  </r>
  <r>
    <x v="0"/>
    <x v="2"/>
    <x v="2"/>
    <x v="7"/>
    <x v="14"/>
    <s v="NO4_A1"/>
    <x v="6"/>
    <x v="7"/>
    <s v="GNR_RES_WTR_NOPMP_MC-04"/>
    <x v="0"/>
    <x v="17"/>
    <n v="419.56363678000798"/>
    <n v="153140.72742470301"/>
    <n v="551306.61872893095"/>
  </r>
  <r>
    <x v="0"/>
    <x v="2"/>
    <x v="2"/>
    <x v="7"/>
    <x v="14"/>
    <s v="NO4_A1"/>
    <x v="6"/>
    <x v="7"/>
    <s v="GNR_RES_WTR_NOPMP_MC-04"/>
    <x v="0"/>
    <x v="19"/>
    <n v="419.56363678000798"/>
    <n v="153140.72742470301"/>
    <n v="551306.61872893095"/>
  </r>
  <r>
    <x v="0"/>
    <x v="2"/>
    <x v="2"/>
    <x v="7"/>
    <x v="14"/>
    <s v="NO4_A1"/>
    <x v="6"/>
    <x v="7"/>
    <s v="GNR_RES_WTR_NOPMP_MC-04"/>
    <x v="0"/>
    <x v="20"/>
    <n v="419.56363678000798"/>
    <n v="153140.72742470301"/>
    <n v="551306.61872893095"/>
  </r>
  <r>
    <x v="0"/>
    <x v="2"/>
    <x v="2"/>
    <x v="7"/>
    <x v="14"/>
    <s v="NO4_A1"/>
    <x v="6"/>
    <x v="7"/>
    <s v="GNR_RES_WTR_NOPMP_MC-04"/>
    <x v="0"/>
    <x v="21"/>
    <n v="419.56363678000798"/>
    <n v="153140.72742470301"/>
    <n v="551306.61872893095"/>
  </r>
  <r>
    <x v="0"/>
    <x v="2"/>
    <x v="2"/>
    <x v="7"/>
    <x v="14"/>
    <s v="NO4_A1"/>
    <x v="6"/>
    <x v="7"/>
    <s v="GNR_RES_WTR_NOPMP_MC-04"/>
    <x v="0"/>
    <x v="22"/>
    <n v="419.56363678000798"/>
    <n v="153140.72742470301"/>
    <n v="551306.61872893095"/>
  </r>
  <r>
    <x v="0"/>
    <x v="2"/>
    <x v="2"/>
    <x v="7"/>
    <x v="14"/>
    <s v="NO4_A1"/>
    <x v="6"/>
    <x v="7"/>
    <s v="GNR_RES_WTR_NOPMP_MC-04"/>
    <x v="0"/>
    <x v="23"/>
    <n v="419.56363678000798"/>
    <n v="153140.72742470301"/>
    <n v="551306.61872893095"/>
  </r>
  <r>
    <x v="0"/>
    <x v="2"/>
    <x v="2"/>
    <x v="7"/>
    <x v="14"/>
    <s v="NO4_A1"/>
    <x v="6"/>
    <x v="7"/>
    <s v="GNR_RES_WTR_NOPMP_MC-05"/>
    <x v="0"/>
    <x v="0"/>
    <n v="419.56363678000798"/>
    <n v="153140.72742470301"/>
    <n v="551306.61872893095"/>
  </r>
  <r>
    <x v="0"/>
    <x v="2"/>
    <x v="2"/>
    <x v="7"/>
    <x v="14"/>
    <s v="NO4_A1"/>
    <x v="6"/>
    <x v="7"/>
    <s v="GNR_RES_WTR_NOPMP_MC-05"/>
    <x v="0"/>
    <x v="1"/>
    <n v="419.56363678000798"/>
    <n v="153140.72742470301"/>
    <n v="551306.61872893095"/>
  </r>
  <r>
    <x v="0"/>
    <x v="2"/>
    <x v="2"/>
    <x v="7"/>
    <x v="14"/>
    <s v="NO4_A1"/>
    <x v="6"/>
    <x v="7"/>
    <s v="GNR_RES_WTR_NOPMP_MC-05"/>
    <x v="0"/>
    <x v="18"/>
    <n v="419.56363678000798"/>
    <n v="153140.72742470301"/>
    <n v="551306.61872893095"/>
  </r>
  <r>
    <x v="0"/>
    <x v="2"/>
    <x v="2"/>
    <x v="7"/>
    <x v="14"/>
    <s v="NO4_A1"/>
    <x v="6"/>
    <x v="7"/>
    <s v="GNR_RES_WTR_NOPMP_MC-05"/>
    <x v="0"/>
    <x v="2"/>
    <n v="419.56363678000798"/>
    <n v="153140.72742470301"/>
    <n v="551306.61872893095"/>
  </r>
  <r>
    <x v="0"/>
    <x v="2"/>
    <x v="2"/>
    <x v="7"/>
    <x v="14"/>
    <s v="NO4_A1"/>
    <x v="6"/>
    <x v="7"/>
    <s v="GNR_RES_WTR_NOPMP_MC-05"/>
    <x v="0"/>
    <x v="3"/>
    <n v="419.56363678000798"/>
    <n v="153140.72742470301"/>
    <n v="551306.61872893095"/>
  </r>
  <r>
    <x v="0"/>
    <x v="2"/>
    <x v="2"/>
    <x v="7"/>
    <x v="14"/>
    <s v="NO4_A1"/>
    <x v="6"/>
    <x v="7"/>
    <s v="GNR_RES_WTR_NOPMP_MC-05"/>
    <x v="0"/>
    <x v="4"/>
    <n v="419.56363678000798"/>
    <n v="153140.72742470301"/>
    <n v="551306.61872893095"/>
  </r>
  <r>
    <x v="0"/>
    <x v="2"/>
    <x v="2"/>
    <x v="7"/>
    <x v="14"/>
    <s v="NO4_A1"/>
    <x v="6"/>
    <x v="7"/>
    <s v="GNR_RES_WTR_NOPMP_MC-05"/>
    <x v="0"/>
    <x v="5"/>
    <n v="419.56363678000798"/>
    <n v="153140.72742470301"/>
    <n v="551306.61872893095"/>
  </r>
  <r>
    <x v="0"/>
    <x v="2"/>
    <x v="2"/>
    <x v="7"/>
    <x v="14"/>
    <s v="NO4_A1"/>
    <x v="6"/>
    <x v="7"/>
    <s v="GNR_RES_WTR_NOPMP_MC-05"/>
    <x v="0"/>
    <x v="6"/>
    <n v="419.56363678000798"/>
    <n v="153140.72742470301"/>
    <n v="551306.61872893095"/>
  </r>
  <r>
    <x v="0"/>
    <x v="2"/>
    <x v="2"/>
    <x v="7"/>
    <x v="14"/>
    <s v="NO4_A1"/>
    <x v="6"/>
    <x v="7"/>
    <s v="GNR_RES_WTR_NOPMP_MC-05"/>
    <x v="0"/>
    <x v="7"/>
    <n v="419.56363678000798"/>
    <n v="153140.72742470301"/>
    <n v="551306.61872893095"/>
  </r>
  <r>
    <x v="0"/>
    <x v="2"/>
    <x v="2"/>
    <x v="7"/>
    <x v="14"/>
    <s v="NO4_A1"/>
    <x v="6"/>
    <x v="7"/>
    <s v="GNR_RES_WTR_NOPMP_MC-05"/>
    <x v="0"/>
    <x v="8"/>
    <n v="419.56363678000798"/>
    <n v="153140.72742470301"/>
    <n v="551306.61872893095"/>
  </r>
  <r>
    <x v="0"/>
    <x v="2"/>
    <x v="2"/>
    <x v="7"/>
    <x v="14"/>
    <s v="NO4_A1"/>
    <x v="6"/>
    <x v="7"/>
    <s v="GNR_RES_WTR_NOPMP_MC-05"/>
    <x v="0"/>
    <x v="9"/>
    <n v="419.56363678000798"/>
    <n v="153140.72742470301"/>
    <n v="551306.61872893095"/>
  </r>
  <r>
    <x v="0"/>
    <x v="2"/>
    <x v="2"/>
    <x v="7"/>
    <x v="14"/>
    <s v="NO4_A1"/>
    <x v="6"/>
    <x v="7"/>
    <s v="GNR_RES_WTR_NOPMP_MC-05"/>
    <x v="0"/>
    <x v="10"/>
    <n v="419.56363678000798"/>
    <n v="153140.72742470301"/>
    <n v="551306.61872893095"/>
  </r>
  <r>
    <x v="0"/>
    <x v="2"/>
    <x v="2"/>
    <x v="7"/>
    <x v="14"/>
    <s v="NO4_A1"/>
    <x v="6"/>
    <x v="7"/>
    <s v="GNR_RES_WTR_NOPMP_MC-05"/>
    <x v="0"/>
    <x v="11"/>
    <n v="419.56363678000798"/>
    <n v="153140.72742470301"/>
    <n v="551306.61872893095"/>
  </r>
  <r>
    <x v="0"/>
    <x v="2"/>
    <x v="2"/>
    <x v="7"/>
    <x v="14"/>
    <s v="NO4_A1"/>
    <x v="6"/>
    <x v="7"/>
    <s v="GNR_RES_WTR_NOPMP_MC-05"/>
    <x v="0"/>
    <x v="12"/>
    <n v="419.56363678000798"/>
    <n v="153140.72742470301"/>
    <n v="551306.61872893095"/>
  </r>
  <r>
    <x v="0"/>
    <x v="2"/>
    <x v="2"/>
    <x v="7"/>
    <x v="14"/>
    <s v="NO4_A1"/>
    <x v="6"/>
    <x v="7"/>
    <s v="GNR_RES_WTR_NOPMP_MC-05"/>
    <x v="0"/>
    <x v="13"/>
    <n v="419.56363678000798"/>
    <n v="153140.72742470301"/>
    <n v="551306.61872893095"/>
  </r>
  <r>
    <x v="0"/>
    <x v="2"/>
    <x v="2"/>
    <x v="7"/>
    <x v="14"/>
    <s v="NO4_A1"/>
    <x v="6"/>
    <x v="7"/>
    <s v="GNR_RES_WTR_NOPMP_MC-05"/>
    <x v="0"/>
    <x v="14"/>
    <n v="419.56363678000798"/>
    <n v="153140.72742470301"/>
    <n v="551306.61872893095"/>
  </r>
  <r>
    <x v="0"/>
    <x v="2"/>
    <x v="2"/>
    <x v="7"/>
    <x v="14"/>
    <s v="NO4_A1"/>
    <x v="6"/>
    <x v="7"/>
    <s v="GNR_RES_WTR_NOPMP_MC-05"/>
    <x v="0"/>
    <x v="15"/>
    <n v="419.56363678000798"/>
    <n v="153140.72742470301"/>
    <n v="551306.61872893095"/>
  </r>
  <r>
    <x v="0"/>
    <x v="2"/>
    <x v="2"/>
    <x v="7"/>
    <x v="14"/>
    <s v="NO4_A1"/>
    <x v="6"/>
    <x v="7"/>
    <s v="GNR_RES_WTR_NOPMP_MC-05"/>
    <x v="0"/>
    <x v="16"/>
    <n v="419.56363678000798"/>
    <n v="153140.72742470301"/>
    <n v="551306.61872893095"/>
  </r>
  <r>
    <x v="0"/>
    <x v="2"/>
    <x v="2"/>
    <x v="7"/>
    <x v="14"/>
    <s v="NO4_A1"/>
    <x v="6"/>
    <x v="7"/>
    <s v="GNR_RES_WTR_NOPMP_MC-05"/>
    <x v="0"/>
    <x v="17"/>
    <n v="419.56363678000798"/>
    <n v="153140.72742470301"/>
    <n v="551306.61872893095"/>
  </r>
  <r>
    <x v="0"/>
    <x v="2"/>
    <x v="2"/>
    <x v="7"/>
    <x v="14"/>
    <s v="NO4_A1"/>
    <x v="6"/>
    <x v="7"/>
    <s v="GNR_RES_WTR_NOPMP_MC-05"/>
    <x v="0"/>
    <x v="19"/>
    <n v="419.56363678000798"/>
    <n v="153140.72742470301"/>
    <n v="551306.61872893095"/>
  </r>
  <r>
    <x v="0"/>
    <x v="2"/>
    <x v="2"/>
    <x v="7"/>
    <x v="14"/>
    <s v="NO4_A1"/>
    <x v="6"/>
    <x v="7"/>
    <s v="GNR_RES_WTR_NOPMP_MC-05"/>
    <x v="0"/>
    <x v="20"/>
    <n v="419.56363678000798"/>
    <n v="153140.72742470301"/>
    <n v="551306.61872893095"/>
  </r>
  <r>
    <x v="0"/>
    <x v="2"/>
    <x v="2"/>
    <x v="7"/>
    <x v="14"/>
    <s v="NO4_A1"/>
    <x v="6"/>
    <x v="7"/>
    <s v="GNR_RES_WTR_NOPMP_MC-05"/>
    <x v="0"/>
    <x v="21"/>
    <n v="419.56363678000798"/>
    <n v="153140.72742470301"/>
    <n v="551306.61872893095"/>
  </r>
  <r>
    <x v="0"/>
    <x v="2"/>
    <x v="2"/>
    <x v="7"/>
    <x v="14"/>
    <s v="NO4_A1"/>
    <x v="6"/>
    <x v="7"/>
    <s v="GNR_RES_WTR_NOPMP_MC-05"/>
    <x v="0"/>
    <x v="22"/>
    <n v="276.95613835902498"/>
    <n v="101088.990501044"/>
    <n v="363920.36580375902"/>
  </r>
  <r>
    <x v="0"/>
    <x v="2"/>
    <x v="2"/>
    <x v="7"/>
    <x v="14"/>
    <s v="NO4_A1"/>
    <x v="6"/>
    <x v="7"/>
    <s v="GNR_RES_WTR_NOPMP_MC-05"/>
    <x v="0"/>
    <x v="23"/>
    <n v="419.54741513835501"/>
    <n v="153134.8065255"/>
    <n v="551285.303491798"/>
  </r>
  <r>
    <x v="0"/>
    <x v="2"/>
    <x v="2"/>
    <x v="7"/>
    <x v="14"/>
    <s v="NO4_A1"/>
    <x v="6"/>
    <x v="7"/>
    <s v="GNR_RES_WTR_NOPMP_MC-06"/>
    <x v="0"/>
    <x v="0"/>
    <n v="419.56363678000798"/>
    <n v="153140.72742470301"/>
    <n v="551306.61872893095"/>
  </r>
  <r>
    <x v="0"/>
    <x v="2"/>
    <x v="2"/>
    <x v="7"/>
    <x v="14"/>
    <s v="NO4_A1"/>
    <x v="6"/>
    <x v="7"/>
    <s v="GNR_RES_WTR_NOPMP_MC-06"/>
    <x v="0"/>
    <x v="1"/>
    <n v="419.56363678000798"/>
    <n v="153140.72742470301"/>
    <n v="551306.61872893095"/>
  </r>
  <r>
    <x v="0"/>
    <x v="2"/>
    <x v="2"/>
    <x v="7"/>
    <x v="14"/>
    <s v="NO4_A1"/>
    <x v="6"/>
    <x v="7"/>
    <s v="GNR_RES_WTR_NOPMP_MC-06"/>
    <x v="0"/>
    <x v="18"/>
    <n v="419.56363678000798"/>
    <n v="153140.72742470301"/>
    <n v="551306.61872893095"/>
  </r>
  <r>
    <x v="0"/>
    <x v="2"/>
    <x v="2"/>
    <x v="7"/>
    <x v="14"/>
    <s v="NO4_A1"/>
    <x v="6"/>
    <x v="7"/>
    <s v="GNR_RES_WTR_NOPMP_MC-06"/>
    <x v="0"/>
    <x v="2"/>
    <n v="414.189916491524"/>
    <n v="151179.31951940601"/>
    <n v="544245.55026986299"/>
  </r>
  <r>
    <x v="0"/>
    <x v="2"/>
    <x v="2"/>
    <x v="7"/>
    <x v="14"/>
    <s v="NO4_A1"/>
    <x v="6"/>
    <x v="7"/>
    <s v="GNR_RES_WTR_NOPMP_MC-06"/>
    <x v="0"/>
    <x v="3"/>
    <n v="419.56363678000798"/>
    <n v="153140.72742470301"/>
    <n v="551306.61872893095"/>
  </r>
  <r>
    <x v="0"/>
    <x v="2"/>
    <x v="2"/>
    <x v="7"/>
    <x v="14"/>
    <s v="NO4_A1"/>
    <x v="6"/>
    <x v="7"/>
    <s v="GNR_RES_WTR_NOPMP_MC-06"/>
    <x v="0"/>
    <x v="4"/>
    <n v="357.272697528592"/>
    <n v="130404.534597936"/>
    <n v="469456.32455257"/>
  </r>
  <r>
    <x v="0"/>
    <x v="2"/>
    <x v="2"/>
    <x v="7"/>
    <x v="14"/>
    <s v="NO4_A1"/>
    <x v="6"/>
    <x v="7"/>
    <s v="GNR_RES_WTR_NOPMP_MC-06"/>
    <x v="0"/>
    <x v="5"/>
    <n v="311.28183698231697"/>
    <n v="113617.87049854601"/>
    <n v="409024.33379476401"/>
  </r>
  <r>
    <x v="0"/>
    <x v="2"/>
    <x v="2"/>
    <x v="7"/>
    <x v="14"/>
    <s v="NO4_A1"/>
    <x v="6"/>
    <x v="7"/>
    <s v="GNR_RES_WTR_NOPMP_MC-06"/>
    <x v="0"/>
    <x v="6"/>
    <n v="229.98390811767101"/>
    <n v="83944.126462949804"/>
    <n v="302198.85526661901"/>
  </r>
  <r>
    <x v="0"/>
    <x v="2"/>
    <x v="2"/>
    <x v="7"/>
    <x v="14"/>
    <s v="NO4_A1"/>
    <x v="6"/>
    <x v="7"/>
    <s v="GNR_RES_WTR_NOPMP_MC-06"/>
    <x v="0"/>
    <x v="7"/>
    <n v="398.11479760502601"/>
    <n v="145311.90112583499"/>
    <n v="523122.84405300498"/>
  </r>
  <r>
    <x v="0"/>
    <x v="2"/>
    <x v="2"/>
    <x v="7"/>
    <x v="14"/>
    <s v="NO4_A1"/>
    <x v="6"/>
    <x v="7"/>
    <s v="GNR_RES_WTR_NOPMP_MC-06"/>
    <x v="0"/>
    <x v="8"/>
    <n v="363.00801182648303"/>
    <n v="132497.924316666"/>
    <n v="476992.527539998"/>
  </r>
  <r>
    <x v="0"/>
    <x v="2"/>
    <x v="2"/>
    <x v="7"/>
    <x v="14"/>
    <s v="NO4_A1"/>
    <x v="6"/>
    <x v="7"/>
    <s v="GNR_RES_WTR_NOPMP_MC-06"/>
    <x v="0"/>
    <x v="9"/>
    <n v="297.00399400448703"/>
    <n v="108406.457811638"/>
    <n v="390263.248121896"/>
  </r>
  <r>
    <x v="0"/>
    <x v="2"/>
    <x v="2"/>
    <x v="7"/>
    <x v="14"/>
    <s v="NO4_A1"/>
    <x v="6"/>
    <x v="7"/>
    <s v="GNR_RES_WTR_NOPMP_MC-06"/>
    <x v="0"/>
    <x v="10"/>
    <n v="352.243443523812"/>
    <n v="128568.856886191"/>
    <n v="462847.88479028898"/>
  </r>
  <r>
    <x v="0"/>
    <x v="2"/>
    <x v="2"/>
    <x v="7"/>
    <x v="14"/>
    <s v="NO4_A1"/>
    <x v="6"/>
    <x v="7"/>
    <s v="GNR_RES_WTR_NOPMP_MC-06"/>
    <x v="0"/>
    <x v="11"/>
    <n v="348.51525611688697"/>
    <n v="127208.06848266401"/>
    <n v="457949.04653758998"/>
  </r>
  <r>
    <x v="0"/>
    <x v="2"/>
    <x v="2"/>
    <x v="7"/>
    <x v="14"/>
    <s v="NO4_A1"/>
    <x v="6"/>
    <x v="7"/>
    <s v="GNR_RES_WTR_NOPMP_MC-06"/>
    <x v="0"/>
    <x v="12"/>
    <n v="290.03572816003202"/>
    <n v="105863.040778412"/>
    <n v="381106.94680228201"/>
  </r>
  <r>
    <x v="0"/>
    <x v="2"/>
    <x v="2"/>
    <x v="7"/>
    <x v="14"/>
    <s v="NO4_A1"/>
    <x v="6"/>
    <x v="7"/>
    <s v="GNR_RES_WTR_NOPMP_MC-06"/>
    <x v="0"/>
    <x v="13"/>
    <n v="144.83459101745001"/>
    <n v="52864.625721369201"/>
    <n v="190312.65259692899"/>
  </r>
  <r>
    <x v="0"/>
    <x v="2"/>
    <x v="2"/>
    <x v="7"/>
    <x v="14"/>
    <s v="NO4_A1"/>
    <x v="6"/>
    <x v="7"/>
    <s v="GNR_RES_WTR_NOPMP_MC-06"/>
    <x v="0"/>
    <x v="14"/>
    <n v="150.63386797980999"/>
    <n v="54981.361812630501"/>
    <n v="197932.90252547001"/>
  </r>
  <r>
    <x v="0"/>
    <x v="2"/>
    <x v="2"/>
    <x v="7"/>
    <x v="14"/>
    <s v="NO4_A1"/>
    <x v="6"/>
    <x v="7"/>
    <s v="GNR_RES_WTR_NOPMP_MC-06"/>
    <x v="0"/>
    <x v="15"/>
    <n v="147.466993576828"/>
    <n v="53825.452655542103"/>
    <n v="193771.62955995099"/>
  </r>
  <r>
    <x v="0"/>
    <x v="2"/>
    <x v="2"/>
    <x v="7"/>
    <x v="14"/>
    <s v="NO4_A1"/>
    <x v="6"/>
    <x v="7"/>
    <s v="GNR_RES_WTR_NOPMP_MC-06"/>
    <x v="0"/>
    <x v="16"/>
    <n v="241.05113200410901"/>
    <n v="87983.663181499898"/>
    <n v="316741.18745339999"/>
  </r>
  <r>
    <x v="0"/>
    <x v="2"/>
    <x v="2"/>
    <x v="7"/>
    <x v="14"/>
    <s v="NO4_A1"/>
    <x v="6"/>
    <x v="7"/>
    <s v="GNR_RES_WTR_NOPMP_MC-06"/>
    <x v="0"/>
    <x v="17"/>
    <n v="66.494623816970403"/>
    <n v="24270.537693194201"/>
    <n v="87373.935695499094"/>
  </r>
  <r>
    <x v="0"/>
    <x v="2"/>
    <x v="2"/>
    <x v="7"/>
    <x v="14"/>
    <s v="NO4_A1"/>
    <x v="6"/>
    <x v="7"/>
    <s v="GNR_RES_WTR_NOPMP_MC-06"/>
    <x v="0"/>
    <x v="19"/>
    <n v="155.12635416206601"/>
    <n v="56621.119269154202"/>
    <n v="203836.029368955"/>
  </r>
  <r>
    <x v="0"/>
    <x v="2"/>
    <x v="2"/>
    <x v="7"/>
    <x v="14"/>
    <s v="NO4_A1"/>
    <x v="6"/>
    <x v="7"/>
    <s v="GNR_RES_WTR_NOPMP_MC-06"/>
    <x v="0"/>
    <x v="20"/>
    <n v="378.34888852318602"/>
    <n v="138097.344310963"/>
    <n v="497150.43951946602"/>
  </r>
  <r>
    <x v="0"/>
    <x v="2"/>
    <x v="2"/>
    <x v="7"/>
    <x v="14"/>
    <s v="NO4_A1"/>
    <x v="6"/>
    <x v="7"/>
    <s v="GNR_RES_WTR_NOPMP_MC-06"/>
    <x v="0"/>
    <x v="21"/>
    <n v="419.56363678000798"/>
    <n v="153140.72742470301"/>
    <n v="551306.61872893095"/>
  </r>
  <r>
    <x v="0"/>
    <x v="2"/>
    <x v="2"/>
    <x v="7"/>
    <x v="14"/>
    <s v="NO4_A1"/>
    <x v="6"/>
    <x v="7"/>
    <s v="GNR_RES_WTR_NOPMP_MC-07"/>
    <x v="0"/>
    <x v="0"/>
    <n v="385.63061031602899"/>
    <n v="140755.17276535099"/>
    <n v="506718.62195526302"/>
  </r>
  <r>
    <x v="0"/>
    <x v="2"/>
    <x v="2"/>
    <x v="7"/>
    <x v="14"/>
    <s v="NO4_A1"/>
    <x v="6"/>
    <x v="7"/>
    <s v="GNR_RES_WTR_NOPMP_MC-07"/>
    <x v="0"/>
    <x v="1"/>
    <n v="148.627607596362"/>
    <n v="54249.076772672299"/>
    <n v="195296.67638162"/>
  </r>
  <r>
    <x v="0"/>
    <x v="2"/>
    <x v="2"/>
    <x v="7"/>
    <x v="14"/>
    <s v="NO4_A1"/>
    <x v="6"/>
    <x v="7"/>
    <s v="GNR_RES_WTR_NOPMP_MC-07"/>
    <x v="0"/>
    <x v="18"/>
    <n v="111.849814797326"/>
    <n v="40825.182401024002"/>
    <n v="146970.656643686"/>
  </r>
  <r>
    <x v="0"/>
    <x v="2"/>
    <x v="2"/>
    <x v="7"/>
    <x v="14"/>
    <s v="NO4_A1"/>
    <x v="6"/>
    <x v="7"/>
    <s v="GNR_RES_WTR_NOPMP_MC-07"/>
    <x v="0"/>
    <x v="3"/>
    <n v="22.898222079304499"/>
    <n v="8357.8510589461403"/>
    <n v="30088.2638122061"/>
  </r>
  <r>
    <x v="0"/>
    <x v="2"/>
    <x v="2"/>
    <x v="7"/>
    <x v="14"/>
    <s v="NO4_A1"/>
    <x v="6"/>
    <x v="7"/>
    <s v="GNR_RES_WTR_NOPMP_MC-07"/>
    <x v="0"/>
    <x v="21"/>
    <n v="112.93605542422701"/>
    <n v="41221.660229842702"/>
    <n v="148397.976827434"/>
  </r>
  <r>
    <x v="0"/>
    <x v="2"/>
    <x v="2"/>
    <x v="7"/>
    <x v="14"/>
    <s v="NO4_A1"/>
    <x v="6"/>
    <x v="4"/>
    <s v="GNR_ROR_WTR"/>
    <x v="0"/>
    <x v="0"/>
    <n v="472.42914031459998"/>
    <n v="172436.63621482899"/>
    <n v="620771.89037338505"/>
  </r>
  <r>
    <x v="0"/>
    <x v="2"/>
    <x v="2"/>
    <x v="7"/>
    <x v="14"/>
    <s v="NO4_A1"/>
    <x v="6"/>
    <x v="4"/>
    <s v="GNR_ROR_WTR"/>
    <x v="0"/>
    <x v="1"/>
    <n v="472.42914031459998"/>
    <n v="172436.63621482899"/>
    <n v="620771.89037338505"/>
  </r>
  <r>
    <x v="0"/>
    <x v="2"/>
    <x v="2"/>
    <x v="7"/>
    <x v="14"/>
    <s v="NO4_A1"/>
    <x v="6"/>
    <x v="4"/>
    <s v="GNR_ROR_WTR"/>
    <x v="0"/>
    <x v="18"/>
    <n v="472.42914031459998"/>
    <n v="172436.63621482899"/>
    <n v="620771.89037338505"/>
  </r>
  <r>
    <x v="0"/>
    <x v="2"/>
    <x v="2"/>
    <x v="7"/>
    <x v="14"/>
    <s v="NO4_A1"/>
    <x v="6"/>
    <x v="4"/>
    <s v="GNR_ROR_WTR"/>
    <x v="0"/>
    <x v="2"/>
    <n v="472.42914031459998"/>
    <n v="172436.63621482899"/>
    <n v="620771.89037338505"/>
  </r>
  <r>
    <x v="0"/>
    <x v="2"/>
    <x v="2"/>
    <x v="7"/>
    <x v="14"/>
    <s v="NO4_A1"/>
    <x v="6"/>
    <x v="4"/>
    <s v="GNR_ROR_WTR"/>
    <x v="0"/>
    <x v="3"/>
    <n v="472.42914031459998"/>
    <n v="172436.63621482899"/>
    <n v="620771.89037338505"/>
  </r>
  <r>
    <x v="0"/>
    <x v="2"/>
    <x v="2"/>
    <x v="7"/>
    <x v="14"/>
    <s v="NO4_A1"/>
    <x v="6"/>
    <x v="4"/>
    <s v="GNR_ROR_WTR"/>
    <x v="0"/>
    <x v="4"/>
    <n v="472.42914031459998"/>
    <n v="172436.63621482899"/>
    <n v="620771.89037338505"/>
  </r>
  <r>
    <x v="0"/>
    <x v="2"/>
    <x v="2"/>
    <x v="7"/>
    <x v="14"/>
    <s v="NO4_A1"/>
    <x v="6"/>
    <x v="4"/>
    <s v="GNR_ROR_WTR"/>
    <x v="0"/>
    <x v="5"/>
    <n v="472.42914031459998"/>
    <n v="172436.63621482899"/>
    <n v="620771.89037338505"/>
  </r>
  <r>
    <x v="0"/>
    <x v="2"/>
    <x v="2"/>
    <x v="7"/>
    <x v="14"/>
    <s v="NO4_A1"/>
    <x v="6"/>
    <x v="4"/>
    <s v="GNR_ROR_WTR"/>
    <x v="0"/>
    <x v="6"/>
    <n v="472.42914031459998"/>
    <n v="172436.63621482899"/>
    <n v="620771.89037338505"/>
  </r>
  <r>
    <x v="0"/>
    <x v="2"/>
    <x v="2"/>
    <x v="7"/>
    <x v="14"/>
    <s v="NO4_A1"/>
    <x v="6"/>
    <x v="4"/>
    <s v="GNR_ROR_WTR"/>
    <x v="0"/>
    <x v="7"/>
    <n v="472.42914031459998"/>
    <n v="172436.63621482899"/>
    <n v="620771.89037338505"/>
  </r>
  <r>
    <x v="0"/>
    <x v="2"/>
    <x v="2"/>
    <x v="7"/>
    <x v="14"/>
    <s v="NO4_A1"/>
    <x v="6"/>
    <x v="4"/>
    <s v="GNR_ROR_WTR"/>
    <x v="0"/>
    <x v="8"/>
    <n v="472.42914031459998"/>
    <n v="172436.63621482899"/>
    <n v="620771.89037338505"/>
  </r>
  <r>
    <x v="0"/>
    <x v="2"/>
    <x v="2"/>
    <x v="7"/>
    <x v="14"/>
    <s v="NO4_A1"/>
    <x v="6"/>
    <x v="4"/>
    <s v="GNR_ROR_WTR"/>
    <x v="0"/>
    <x v="9"/>
    <n v="472.42914031459998"/>
    <n v="172436.63621482899"/>
    <n v="620771.89037338505"/>
  </r>
  <r>
    <x v="0"/>
    <x v="2"/>
    <x v="2"/>
    <x v="7"/>
    <x v="14"/>
    <s v="NO4_A1"/>
    <x v="6"/>
    <x v="4"/>
    <s v="GNR_ROR_WTR"/>
    <x v="0"/>
    <x v="10"/>
    <n v="472.42914031459998"/>
    <n v="172436.63621482899"/>
    <n v="620771.89037338505"/>
  </r>
  <r>
    <x v="0"/>
    <x v="2"/>
    <x v="2"/>
    <x v="7"/>
    <x v="14"/>
    <s v="NO4_A1"/>
    <x v="6"/>
    <x v="4"/>
    <s v="GNR_ROR_WTR"/>
    <x v="0"/>
    <x v="11"/>
    <n v="472.42914031459998"/>
    <n v="172436.63621482899"/>
    <n v="620771.89037338505"/>
  </r>
  <r>
    <x v="0"/>
    <x v="2"/>
    <x v="2"/>
    <x v="7"/>
    <x v="14"/>
    <s v="NO4_A1"/>
    <x v="6"/>
    <x v="4"/>
    <s v="GNR_ROR_WTR"/>
    <x v="0"/>
    <x v="12"/>
    <n v="472.42914031459998"/>
    <n v="172436.63621482899"/>
    <n v="620771.89037338505"/>
  </r>
  <r>
    <x v="0"/>
    <x v="2"/>
    <x v="2"/>
    <x v="7"/>
    <x v="14"/>
    <s v="NO4_A1"/>
    <x v="6"/>
    <x v="4"/>
    <s v="GNR_ROR_WTR"/>
    <x v="0"/>
    <x v="13"/>
    <n v="472.42914031459998"/>
    <n v="172436.63621482899"/>
    <n v="620771.89037338505"/>
  </r>
  <r>
    <x v="0"/>
    <x v="2"/>
    <x v="2"/>
    <x v="7"/>
    <x v="14"/>
    <s v="NO4_A1"/>
    <x v="6"/>
    <x v="4"/>
    <s v="GNR_ROR_WTR"/>
    <x v="0"/>
    <x v="14"/>
    <n v="472.42914031459998"/>
    <n v="172436.63621482899"/>
    <n v="620771.89037338505"/>
  </r>
  <r>
    <x v="0"/>
    <x v="2"/>
    <x v="2"/>
    <x v="7"/>
    <x v="14"/>
    <s v="NO4_A1"/>
    <x v="6"/>
    <x v="4"/>
    <s v="GNR_ROR_WTR"/>
    <x v="0"/>
    <x v="15"/>
    <n v="472.42914031459998"/>
    <n v="172436.63621482899"/>
    <n v="620771.89037338505"/>
  </r>
  <r>
    <x v="0"/>
    <x v="2"/>
    <x v="2"/>
    <x v="7"/>
    <x v="14"/>
    <s v="NO4_A1"/>
    <x v="6"/>
    <x v="4"/>
    <s v="GNR_ROR_WTR"/>
    <x v="0"/>
    <x v="16"/>
    <n v="472.42914031459998"/>
    <n v="172436.63621482899"/>
    <n v="620771.89037338505"/>
  </r>
  <r>
    <x v="0"/>
    <x v="2"/>
    <x v="2"/>
    <x v="7"/>
    <x v="14"/>
    <s v="NO4_A1"/>
    <x v="6"/>
    <x v="4"/>
    <s v="GNR_ROR_WTR"/>
    <x v="0"/>
    <x v="17"/>
    <n v="472.42914031459998"/>
    <n v="172436.63621482899"/>
    <n v="620771.89037338505"/>
  </r>
  <r>
    <x v="0"/>
    <x v="2"/>
    <x v="2"/>
    <x v="7"/>
    <x v="14"/>
    <s v="NO4_A1"/>
    <x v="6"/>
    <x v="4"/>
    <s v="GNR_ROR_WTR"/>
    <x v="0"/>
    <x v="19"/>
    <n v="472.42914031459998"/>
    <n v="172436.63621482899"/>
    <n v="620771.89037338505"/>
  </r>
  <r>
    <x v="0"/>
    <x v="2"/>
    <x v="2"/>
    <x v="7"/>
    <x v="14"/>
    <s v="NO4_A1"/>
    <x v="6"/>
    <x v="4"/>
    <s v="GNR_ROR_WTR"/>
    <x v="0"/>
    <x v="20"/>
    <n v="472.42914031459998"/>
    <n v="172436.63621482899"/>
    <n v="620771.89037338505"/>
  </r>
  <r>
    <x v="0"/>
    <x v="2"/>
    <x v="2"/>
    <x v="7"/>
    <x v="14"/>
    <s v="NO4_A1"/>
    <x v="6"/>
    <x v="4"/>
    <s v="GNR_ROR_WTR"/>
    <x v="0"/>
    <x v="21"/>
    <n v="472.42914031459998"/>
    <n v="172436.63621482899"/>
    <n v="620771.89037338505"/>
  </r>
  <r>
    <x v="0"/>
    <x v="2"/>
    <x v="2"/>
    <x v="7"/>
    <x v="14"/>
    <s v="NO4_A1"/>
    <x v="6"/>
    <x v="4"/>
    <s v="GNR_ROR_WTR"/>
    <x v="0"/>
    <x v="22"/>
    <n v="472.42914031459998"/>
    <n v="172436.63621482899"/>
    <n v="620771.89037338505"/>
  </r>
  <r>
    <x v="0"/>
    <x v="2"/>
    <x v="2"/>
    <x v="7"/>
    <x v="14"/>
    <s v="NO4_A1"/>
    <x v="6"/>
    <x v="4"/>
    <s v="GNR_ROR_WTR"/>
    <x v="0"/>
    <x v="23"/>
    <n v="472.42914031459998"/>
    <n v="172436.63621482899"/>
    <n v="620771.89037338505"/>
  </r>
  <r>
    <x v="0"/>
    <x v="2"/>
    <x v="2"/>
    <x v="7"/>
    <x v="14"/>
    <s v="NO4_A1"/>
    <x v="7"/>
    <x v="5"/>
    <s v="GNR_WT_WIND_ONS"/>
    <x v="0"/>
    <x v="0"/>
    <n v="63.983652631058099"/>
    <n v="23354.033210336202"/>
    <n v="84074.519557210297"/>
  </r>
  <r>
    <x v="0"/>
    <x v="2"/>
    <x v="2"/>
    <x v="7"/>
    <x v="14"/>
    <s v="NO4_A1"/>
    <x v="7"/>
    <x v="5"/>
    <s v="GNR_WT_WIND_ONS"/>
    <x v="0"/>
    <x v="1"/>
    <n v="114.965989245556"/>
    <n v="41962.586074628001"/>
    <n v="151065.30986866099"/>
  </r>
  <r>
    <x v="0"/>
    <x v="2"/>
    <x v="2"/>
    <x v="7"/>
    <x v="14"/>
    <s v="NO4_A1"/>
    <x v="7"/>
    <x v="5"/>
    <s v="GNR_WT_WIND_ONS"/>
    <x v="0"/>
    <x v="18"/>
    <n v="123.97503303256801"/>
    <n v="45250.887056887201"/>
    <n v="162903.193404794"/>
  </r>
  <r>
    <x v="0"/>
    <x v="2"/>
    <x v="2"/>
    <x v="7"/>
    <x v="14"/>
    <s v="NO4_A1"/>
    <x v="7"/>
    <x v="5"/>
    <s v="GNR_WT_WIND_ONS"/>
    <x v="0"/>
    <x v="2"/>
    <n v="146.574746833381"/>
    <n v="53499.782594184202"/>
    <n v="192599.21733906301"/>
  </r>
  <r>
    <x v="0"/>
    <x v="2"/>
    <x v="2"/>
    <x v="7"/>
    <x v="14"/>
    <s v="NO4_A1"/>
    <x v="7"/>
    <x v="5"/>
    <s v="GNR_WT_WIND_ONS"/>
    <x v="0"/>
    <x v="3"/>
    <n v="142.09803016307001"/>
    <n v="51865.781009520499"/>
    <n v="186716.811634274"/>
  </r>
  <r>
    <x v="0"/>
    <x v="2"/>
    <x v="2"/>
    <x v="7"/>
    <x v="14"/>
    <s v="NO4_A1"/>
    <x v="7"/>
    <x v="5"/>
    <s v="GNR_WT_WIND_ONS"/>
    <x v="0"/>
    <x v="4"/>
    <n v="182.754966872023"/>
    <n v="66705.562908288295"/>
    <n v="240140.02646983799"/>
  </r>
  <r>
    <x v="0"/>
    <x v="2"/>
    <x v="2"/>
    <x v="7"/>
    <x v="14"/>
    <s v="NO4_A1"/>
    <x v="7"/>
    <x v="5"/>
    <s v="GNR_WT_WIND_ONS"/>
    <x v="0"/>
    <x v="5"/>
    <n v="219.97708250300701"/>
    <n v="80291.635113597396"/>
    <n v="289049.88640895102"/>
  </r>
  <r>
    <x v="0"/>
    <x v="2"/>
    <x v="2"/>
    <x v="7"/>
    <x v="14"/>
    <s v="NO4_A1"/>
    <x v="7"/>
    <x v="5"/>
    <s v="GNR_WT_WIND_ONS"/>
    <x v="0"/>
    <x v="6"/>
    <n v="279.50320310843398"/>
    <n v="102018.669134578"/>
    <n v="367267.20888448198"/>
  </r>
  <r>
    <x v="0"/>
    <x v="2"/>
    <x v="2"/>
    <x v="7"/>
    <x v="14"/>
    <s v="NO4_A1"/>
    <x v="7"/>
    <x v="5"/>
    <s v="GNR_WT_WIND_ONS"/>
    <x v="0"/>
    <x v="7"/>
    <n v="267.34116717903697"/>
    <n v="97579.526020348305"/>
    <n v="351286.29367325403"/>
  </r>
  <r>
    <x v="0"/>
    <x v="2"/>
    <x v="2"/>
    <x v="7"/>
    <x v="14"/>
    <s v="NO4_A1"/>
    <x v="7"/>
    <x v="5"/>
    <s v="GNR_WT_WIND_ONS"/>
    <x v="0"/>
    <x v="8"/>
    <n v="277.84413961125699"/>
    <n v="101413.110958109"/>
    <n v="365087.19944919099"/>
  </r>
  <r>
    <x v="0"/>
    <x v="2"/>
    <x v="2"/>
    <x v="7"/>
    <x v="14"/>
    <s v="NO4_A1"/>
    <x v="7"/>
    <x v="5"/>
    <s v="GNR_WT_WIND_ONS"/>
    <x v="0"/>
    <x v="9"/>
    <n v="281.53414063842501"/>
    <n v="102759.961333025"/>
    <n v="369935.86079889"/>
  </r>
  <r>
    <x v="0"/>
    <x v="2"/>
    <x v="2"/>
    <x v="7"/>
    <x v="14"/>
    <s v="NO4_A1"/>
    <x v="7"/>
    <x v="5"/>
    <s v="GNR_WT_WIND_ONS"/>
    <x v="0"/>
    <x v="10"/>
    <n v="258.17493072565401"/>
    <n v="94233.849714863594"/>
    <n v="339241.85897350899"/>
  </r>
  <r>
    <x v="0"/>
    <x v="2"/>
    <x v="2"/>
    <x v="7"/>
    <x v="14"/>
    <s v="NO4_A1"/>
    <x v="7"/>
    <x v="5"/>
    <s v="GNR_WT_WIND_ONS"/>
    <x v="0"/>
    <x v="11"/>
    <n v="256.99519554856403"/>
    <n v="93803.246375225906"/>
    <n v="337691.68695081299"/>
  </r>
  <r>
    <x v="0"/>
    <x v="2"/>
    <x v="2"/>
    <x v="7"/>
    <x v="14"/>
    <s v="NO4_A1"/>
    <x v="7"/>
    <x v="5"/>
    <s v="GNR_WT_WIND_ONS"/>
    <x v="0"/>
    <x v="12"/>
    <n v="279.04943317581802"/>
    <n v="101853.043109174"/>
    <n v="366670.955193025"/>
  </r>
  <r>
    <x v="0"/>
    <x v="2"/>
    <x v="2"/>
    <x v="7"/>
    <x v="14"/>
    <s v="NO4_A1"/>
    <x v="7"/>
    <x v="5"/>
    <s v="GNR_WT_WIND_ONS"/>
    <x v="0"/>
    <x v="13"/>
    <n v="319.50902702140701"/>
    <n v="116620.794862814"/>
    <n v="419834.86150612897"/>
  </r>
  <r>
    <x v="0"/>
    <x v="2"/>
    <x v="2"/>
    <x v="7"/>
    <x v="14"/>
    <s v="NO4_A1"/>
    <x v="7"/>
    <x v="5"/>
    <s v="GNR_WT_WIND_ONS"/>
    <x v="0"/>
    <x v="14"/>
    <n v="329.12982611124499"/>
    <n v="120132.386530604"/>
    <n v="432476.59151017503"/>
  </r>
  <r>
    <x v="0"/>
    <x v="2"/>
    <x v="2"/>
    <x v="7"/>
    <x v="14"/>
    <s v="NO4_A1"/>
    <x v="7"/>
    <x v="5"/>
    <s v="GNR_WT_WIND_ONS"/>
    <x v="0"/>
    <x v="15"/>
    <n v="324.38799292386699"/>
    <n v="118401.617417211"/>
    <n v="426245.82270196098"/>
  </r>
  <r>
    <x v="0"/>
    <x v="2"/>
    <x v="2"/>
    <x v="7"/>
    <x v="14"/>
    <s v="NO4_A1"/>
    <x v="7"/>
    <x v="5"/>
    <s v="GNR_WT_WIND_ONS"/>
    <x v="0"/>
    <x v="16"/>
    <n v="286.27696344333401"/>
    <n v="104491.09165681701"/>
    <n v="376167.92996454099"/>
  </r>
  <r>
    <x v="0"/>
    <x v="2"/>
    <x v="2"/>
    <x v="7"/>
    <x v="14"/>
    <s v="NO4_A1"/>
    <x v="7"/>
    <x v="5"/>
    <s v="GNR_WT_WIND_ONS"/>
    <x v="0"/>
    <x v="17"/>
    <n v="321.23702040909598"/>
    <n v="117251.51244932"/>
    <n v="422105.44481755199"/>
  </r>
  <r>
    <x v="0"/>
    <x v="2"/>
    <x v="2"/>
    <x v="7"/>
    <x v="14"/>
    <s v="NO4_A1"/>
    <x v="7"/>
    <x v="5"/>
    <s v="GNR_WT_WIND_ONS"/>
    <x v="0"/>
    <x v="19"/>
    <n v="297.42808486800902"/>
    <n v="108561.25097682299"/>
    <n v="390820.50351656397"/>
  </r>
  <r>
    <x v="0"/>
    <x v="2"/>
    <x v="2"/>
    <x v="7"/>
    <x v="14"/>
    <s v="NO4_A1"/>
    <x v="7"/>
    <x v="5"/>
    <s v="GNR_WT_WIND_ONS"/>
    <x v="0"/>
    <x v="20"/>
    <n v="239.51362205055801"/>
    <n v="87422.472048453506"/>
    <n v="314720.89937443298"/>
  </r>
  <r>
    <x v="0"/>
    <x v="2"/>
    <x v="2"/>
    <x v="7"/>
    <x v="14"/>
    <s v="NO4_A1"/>
    <x v="7"/>
    <x v="5"/>
    <s v="GNR_WT_WIND_ONS"/>
    <x v="0"/>
    <x v="21"/>
    <n v="186.503521952829"/>
    <n v="68073.785512782502"/>
    <n v="245065.62784601701"/>
  </r>
  <r>
    <x v="0"/>
    <x v="2"/>
    <x v="2"/>
    <x v="7"/>
    <x v="14"/>
    <s v="NO4_A1"/>
    <x v="7"/>
    <x v="5"/>
    <s v="GNR_WT_WIND_ONS"/>
    <x v="0"/>
    <x v="22"/>
    <n v="339.21143858500602"/>
    <n v="123812.17508352701"/>
    <n v="445723.830300698"/>
  </r>
  <r>
    <x v="0"/>
    <x v="2"/>
    <x v="2"/>
    <x v="7"/>
    <x v="14"/>
    <s v="NO4_A1"/>
    <x v="7"/>
    <x v="5"/>
    <s v="GNR_WT_WIND_ONS"/>
    <x v="0"/>
    <x v="23"/>
    <n v="296.00339410652299"/>
    <n v="108041.238848881"/>
    <n v="388948.45985597197"/>
  </r>
  <r>
    <x v="0"/>
    <x v="2"/>
    <x v="2"/>
    <x v="7"/>
    <x v="14"/>
    <s v="NO4_A1"/>
    <x v="7"/>
    <x v="5"/>
    <s v="GNR_WT_WIND_ON_LS_Y-2030"/>
    <x v="0"/>
    <x v="0"/>
    <n v="185.39127414546201"/>
    <n v="67667.815063093702"/>
    <n v="243604.13422713699"/>
  </r>
  <r>
    <x v="0"/>
    <x v="2"/>
    <x v="2"/>
    <x v="7"/>
    <x v="14"/>
    <s v="NO4_A1"/>
    <x v="7"/>
    <x v="5"/>
    <s v="GNR_WT_WIND_ON_LS_Y-2030"/>
    <x v="0"/>
    <x v="1"/>
    <n v="333.111511350032"/>
    <n v="121585.701642762"/>
    <n v="437708.52591394202"/>
  </r>
  <r>
    <x v="0"/>
    <x v="2"/>
    <x v="2"/>
    <x v="7"/>
    <x v="14"/>
    <s v="NO4_A1"/>
    <x v="7"/>
    <x v="5"/>
    <s v="GNR_WT_WIND_ON_LS_Y-2030"/>
    <x v="0"/>
    <x v="18"/>
    <n v="359.21502432289998"/>
    <n v="131113.483877858"/>
    <n v="472008.54196029098"/>
  </r>
  <r>
    <x v="0"/>
    <x v="2"/>
    <x v="2"/>
    <x v="7"/>
    <x v="14"/>
    <s v="NO4_A1"/>
    <x v="7"/>
    <x v="5"/>
    <s v="GNR_WT_WIND_ON_LS_Y-2030"/>
    <x v="0"/>
    <x v="2"/>
    <n v="424.69721492265802"/>
    <n v="155014.48344677"/>
    <n v="558052.14040837204"/>
  </r>
  <r>
    <x v="0"/>
    <x v="2"/>
    <x v="2"/>
    <x v="7"/>
    <x v="14"/>
    <s v="NO4_A1"/>
    <x v="7"/>
    <x v="5"/>
    <s v="GNR_WT_WIND_ON_LS_Y-2030"/>
    <x v="0"/>
    <x v="3"/>
    <n v="411.72602347969797"/>
    <n v="150279.99857009001"/>
    <n v="541007.99485232297"/>
  </r>
  <r>
    <x v="0"/>
    <x v="2"/>
    <x v="2"/>
    <x v="7"/>
    <x v="14"/>
    <s v="NO4_A1"/>
    <x v="7"/>
    <x v="5"/>
    <s v="GNR_WT_WIND_ON_LS_Y-2030"/>
    <x v="0"/>
    <x v="4"/>
    <n v="529.52863382435203"/>
    <n v="193277.951345888"/>
    <n v="695800.62484519801"/>
  </r>
  <r>
    <x v="0"/>
    <x v="2"/>
    <x v="2"/>
    <x v="7"/>
    <x v="14"/>
    <s v="NO4_A1"/>
    <x v="7"/>
    <x v="5"/>
    <s v="GNR_WT_WIND_ON_LS_Y-2030"/>
    <x v="0"/>
    <x v="5"/>
    <n v="637.378923069454"/>
    <n v="232643.30692035099"/>
    <n v="837515.90491326305"/>
  </r>
  <r>
    <x v="0"/>
    <x v="2"/>
    <x v="2"/>
    <x v="7"/>
    <x v="14"/>
    <s v="NO4_A1"/>
    <x v="7"/>
    <x v="5"/>
    <s v="GNR_WT_WIND_ON_LS_Y-2030"/>
    <x v="0"/>
    <x v="6"/>
    <n v="809.85459287233596"/>
    <n v="295596.92639840301"/>
    <n v="1064148.9350342499"/>
  </r>
  <r>
    <x v="0"/>
    <x v="2"/>
    <x v="2"/>
    <x v="7"/>
    <x v="14"/>
    <s v="NO4_A1"/>
    <x v="7"/>
    <x v="5"/>
    <s v="GNR_WT_WIND_ON_LS_Y-2030"/>
    <x v="0"/>
    <x v="7"/>
    <n v="774.61535215322397"/>
    <n v="282734.60353592702"/>
    <n v="1017844.5727293401"/>
  </r>
  <r>
    <x v="0"/>
    <x v="2"/>
    <x v="2"/>
    <x v="7"/>
    <x v="14"/>
    <s v="NO4_A1"/>
    <x v="7"/>
    <x v="5"/>
    <s v="GNR_WT_WIND_ON_LS_Y-2030"/>
    <x v="0"/>
    <x v="8"/>
    <n v="805.04749163659596"/>
    <n v="293842.33444735798"/>
    <n v="1057832.40401049"/>
  </r>
  <r>
    <x v="0"/>
    <x v="2"/>
    <x v="2"/>
    <x v="7"/>
    <x v="14"/>
    <s v="NO4_A1"/>
    <x v="7"/>
    <x v="5"/>
    <s v="GNR_WT_WIND_ON_LS_Y-2030"/>
    <x v="0"/>
    <x v="9"/>
    <n v="815.73919121757103"/>
    <n v="297744.80479441403"/>
    <n v="1071881.29725989"/>
  </r>
  <r>
    <x v="0"/>
    <x v="2"/>
    <x v="2"/>
    <x v="7"/>
    <x v="14"/>
    <s v="NO4_A1"/>
    <x v="7"/>
    <x v="5"/>
    <s v="GNR_WT_WIND_ON_LS_Y-2030"/>
    <x v="0"/>
    <x v="10"/>
    <n v="748.05637676915296"/>
    <n v="273040.57752074098"/>
    <n v="982946.07907466695"/>
  </r>
  <r>
    <x v="0"/>
    <x v="2"/>
    <x v="2"/>
    <x v="7"/>
    <x v="14"/>
    <s v="NO4_A1"/>
    <x v="7"/>
    <x v="5"/>
    <s v="GNR_WT_WIND_ON_LS_Y-2030"/>
    <x v="0"/>
    <x v="11"/>
    <n v="744.63811915738495"/>
    <n v="271792.91349244502"/>
    <n v="978454.48857280402"/>
  </r>
  <r>
    <x v="0"/>
    <x v="2"/>
    <x v="2"/>
    <x v="7"/>
    <x v="14"/>
    <s v="NO4_A1"/>
    <x v="7"/>
    <x v="5"/>
    <s v="GNR_WT_WIND_ON_LS_Y-2030"/>
    <x v="0"/>
    <x v="12"/>
    <n v="808.53980413306897"/>
    <n v="295117.02850856999"/>
    <n v="1062421.3026308501"/>
  </r>
  <r>
    <x v="0"/>
    <x v="2"/>
    <x v="2"/>
    <x v="7"/>
    <x v="14"/>
    <s v="NO4_A1"/>
    <x v="7"/>
    <x v="5"/>
    <s v="GNR_WT_WIND_ON_LS_Y-2030"/>
    <x v="0"/>
    <x v="13"/>
    <n v="925.770617723736"/>
    <n v="337906.27546916401"/>
    <n v="1216462.5916889899"/>
  </r>
  <r>
    <x v="0"/>
    <x v="2"/>
    <x v="2"/>
    <x v="7"/>
    <x v="14"/>
    <s v="NO4_A1"/>
    <x v="7"/>
    <x v="5"/>
    <s v="GNR_WT_WIND_ON_LS_Y-2030"/>
    <x v="0"/>
    <x v="14"/>
    <n v="953.64667868960703"/>
    <n v="348081.03772170597"/>
    <n v="1253091.7357981401"/>
  </r>
  <r>
    <x v="0"/>
    <x v="2"/>
    <x v="2"/>
    <x v="7"/>
    <x v="14"/>
    <s v="NO4_A1"/>
    <x v="7"/>
    <x v="5"/>
    <s v="GNR_WT_WIND_ON_LS_Y-2030"/>
    <x v="0"/>
    <x v="15"/>
    <n v="939.90731777093197"/>
    <n v="343066.17098638997"/>
    <n v="1235038.2155510001"/>
  </r>
  <r>
    <x v="0"/>
    <x v="2"/>
    <x v="2"/>
    <x v="7"/>
    <x v="14"/>
    <s v="NO4_A1"/>
    <x v="7"/>
    <x v="5"/>
    <s v="GNR_WT_WIND_ON_LS_Y-2030"/>
    <x v="0"/>
    <x v="16"/>
    <n v="829.481419532019"/>
    <n v="302760.71812918701"/>
    <n v="1089938.58526507"/>
  </r>
  <r>
    <x v="0"/>
    <x v="2"/>
    <x v="2"/>
    <x v="7"/>
    <x v="14"/>
    <s v="NO4_A1"/>
    <x v="7"/>
    <x v="5"/>
    <s v="GNR_WT_WIND_ON_LS_Y-2030"/>
    <x v="0"/>
    <x v="17"/>
    <n v="930.77744185279596"/>
    <n v="339733.76627627102"/>
    <n v="1223041.55859457"/>
  </r>
  <r>
    <x v="0"/>
    <x v="2"/>
    <x v="2"/>
    <x v="7"/>
    <x v="14"/>
    <s v="NO4_A1"/>
    <x v="7"/>
    <x v="5"/>
    <s v="GNR_WT_WIND_ON_LS_Y-2030"/>
    <x v="0"/>
    <x v="19"/>
    <n v="861.79155695089605"/>
    <n v="314553.91828707699"/>
    <n v="1132394.1058334799"/>
  </r>
  <r>
    <x v="0"/>
    <x v="2"/>
    <x v="2"/>
    <x v="7"/>
    <x v="14"/>
    <s v="NO4_A1"/>
    <x v="7"/>
    <x v="5"/>
    <s v="GNR_WT_WIND_ON_LS_Y-2030"/>
    <x v="0"/>
    <x v="20"/>
    <n v="693.98563134849405"/>
    <n v="253304.7554422"/>
    <n v="911897.11959192099"/>
  </r>
  <r>
    <x v="0"/>
    <x v="2"/>
    <x v="2"/>
    <x v="7"/>
    <x v="14"/>
    <s v="NO4_A1"/>
    <x v="7"/>
    <x v="5"/>
    <s v="GNR_WT_WIND_ON_LS_Y-2030"/>
    <x v="0"/>
    <x v="21"/>
    <n v="540.38999253174302"/>
    <n v="197242.347274086"/>
    <n v="710072.45018671104"/>
  </r>
  <r>
    <x v="0"/>
    <x v="2"/>
    <x v="2"/>
    <x v="7"/>
    <x v="14"/>
    <s v="NO4_A1"/>
    <x v="7"/>
    <x v="5"/>
    <s v="GNR_WT_WIND_ON_LS_Y-2030"/>
    <x v="0"/>
    <x v="22"/>
    <n v="982.85793664527102"/>
    <n v="358743.14687552402"/>
    <n v="1291475.32875189"/>
  </r>
  <r>
    <x v="0"/>
    <x v="2"/>
    <x v="2"/>
    <x v="7"/>
    <x v="14"/>
    <s v="NO4_A1"/>
    <x v="7"/>
    <x v="5"/>
    <s v="GNR_WT_WIND_ON_LS_Y-2030"/>
    <x v="0"/>
    <x v="23"/>
    <n v="857.66354573750004"/>
    <n v="313047.194194187"/>
    <n v="1126969.8990990701"/>
  </r>
  <r>
    <x v="0"/>
    <x v="2"/>
    <x v="2"/>
    <x v="7"/>
    <x v="15"/>
    <s v="NO5_A1"/>
    <x v="2"/>
    <x v="2"/>
    <s v="GBPR_MUNIWASTE"/>
    <x v="0"/>
    <x v="0"/>
    <n v="8"/>
    <n v="2920"/>
    <n v="10512"/>
  </r>
  <r>
    <x v="0"/>
    <x v="2"/>
    <x v="2"/>
    <x v="7"/>
    <x v="15"/>
    <s v="NO5_A1"/>
    <x v="2"/>
    <x v="2"/>
    <s v="GBPR_MUNIWASTE"/>
    <x v="0"/>
    <x v="1"/>
    <n v="8"/>
    <n v="2920"/>
    <n v="10512"/>
  </r>
  <r>
    <x v="0"/>
    <x v="2"/>
    <x v="2"/>
    <x v="7"/>
    <x v="15"/>
    <s v="NO5_A1"/>
    <x v="2"/>
    <x v="2"/>
    <s v="GBPR_MUNIWASTE"/>
    <x v="0"/>
    <x v="18"/>
    <n v="8"/>
    <n v="2920"/>
    <n v="10512"/>
  </r>
  <r>
    <x v="0"/>
    <x v="2"/>
    <x v="2"/>
    <x v="7"/>
    <x v="15"/>
    <s v="NO5_A1"/>
    <x v="2"/>
    <x v="2"/>
    <s v="GBPR_MUNIWASTE"/>
    <x v="0"/>
    <x v="2"/>
    <n v="8"/>
    <n v="2920"/>
    <n v="10512"/>
  </r>
  <r>
    <x v="0"/>
    <x v="2"/>
    <x v="2"/>
    <x v="7"/>
    <x v="15"/>
    <s v="NO5_A1"/>
    <x v="2"/>
    <x v="2"/>
    <s v="GBPR_MUNIWASTE"/>
    <x v="0"/>
    <x v="3"/>
    <n v="8"/>
    <n v="2920"/>
    <n v="10512"/>
  </r>
  <r>
    <x v="0"/>
    <x v="2"/>
    <x v="2"/>
    <x v="7"/>
    <x v="15"/>
    <s v="NO5_A1"/>
    <x v="2"/>
    <x v="2"/>
    <s v="GBPR_MUNIWASTE"/>
    <x v="0"/>
    <x v="4"/>
    <n v="8"/>
    <n v="2920"/>
    <n v="10512"/>
  </r>
  <r>
    <x v="0"/>
    <x v="2"/>
    <x v="2"/>
    <x v="7"/>
    <x v="15"/>
    <s v="NO5_A1"/>
    <x v="2"/>
    <x v="2"/>
    <s v="GBPR_MUNIWASTE"/>
    <x v="0"/>
    <x v="5"/>
    <n v="8"/>
    <n v="2920"/>
    <n v="10512"/>
  </r>
  <r>
    <x v="0"/>
    <x v="2"/>
    <x v="2"/>
    <x v="7"/>
    <x v="15"/>
    <s v="NO5_A1"/>
    <x v="2"/>
    <x v="2"/>
    <s v="GBPR_MUNIWASTE"/>
    <x v="0"/>
    <x v="6"/>
    <n v="8"/>
    <n v="2920"/>
    <n v="10512"/>
  </r>
  <r>
    <x v="0"/>
    <x v="2"/>
    <x v="2"/>
    <x v="7"/>
    <x v="15"/>
    <s v="NO5_A1"/>
    <x v="2"/>
    <x v="2"/>
    <s v="GBPR_MUNIWASTE"/>
    <x v="0"/>
    <x v="7"/>
    <n v="8"/>
    <n v="2920"/>
    <n v="10512"/>
  </r>
  <r>
    <x v="0"/>
    <x v="2"/>
    <x v="2"/>
    <x v="7"/>
    <x v="15"/>
    <s v="NO5_A1"/>
    <x v="2"/>
    <x v="2"/>
    <s v="GBPR_MUNIWASTE"/>
    <x v="0"/>
    <x v="8"/>
    <n v="8"/>
    <n v="2920"/>
    <n v="10512"/>
  </r>
  <r>
    <x v="0"/>
    <x v="2"/>
    <x v="2"/>
    <x v="7"/>
    <x v="15"/>
    <s v="NO5_A1"/>
    <x v="2"/>
    <x v="2"/>
    <s v="GBPR_MUNIWASTE"/>
    <x v="0"/>
    <x v="9"/>
    <n v="8"/>
    <n v="2920"/>
    <n v="10512"/>
  </r>
  <r>
    <x v="0"/>
    <x v="2"/>
    <x v="2"/>
    <x v="7"/>
    <x v="15"/>
    <s v="NO5_A1"/>
    <x v="2"/>
    <x v="2"/>
    <s v="GBPR_MUNIWASTE"/>
    <x v="0"/>
    <x v="10"/>
    <n v="8"/>
    <n v="2920"/>
    <n v="10512"/>
  </r>
  <r>
    <x v="0"/>
    <x v="2"/>
    <x v="2"/>
    <x v="7"/>
    <x v="15"/>
    <s v="NO5_A1"/>
    <x v="2"/>
    <x v="2"/>
    <s v="GBPR_MUNIWASTE"/>
    <x v="0"/>
    <x v="11"/>
    <n v="8"/>
    <n v="2920"/>
    <n v="10512"/>
  </r>
  <r>
    <x v="0"/>
    <x v="2"/>
    <x v="2"/>
    <x v="7"/>
    <x v="15"/>
    <s v="NO5_A1"/>
    <x v="2"/>
    <x v="2"/>
    <s v="GBPR_MUNIWASTE"/>
    <x v="0"/>
    <x v="12"/>
    <n v="8"/>
    <n v="2920"/>
    <n v="10512"/>
  </r>
  <r>
    <x v="0"/>
    <x v="2"/>
    <x v="2"/>
    <x v="7"/>
    <x v="15"/>
    <s v="NO5_A1"/>
    <x v="2"/>
    <x v="2"/>
    <s v="GBPR_MUNIWASTE"/>
    <x v="0"/>
    <x v="13"/>
    <n v="8"/>
    <n v="2920"/>
    <n v="10512"/>
  </r>
  <r>
    <x v="0"/>
    <x v="2"/>
    <x v="2"/>
    <x v="7"/>
    <x v="15"/>
    <s v="NO5_A1"/>
    <x v="2"/>
    <x v="2"/>
    <s v="GBPR_MUNIWASTE"/>
    <x v="0"/>
    <x v="14"/>
    <n v="8"/>
    <n v="2920"/>
    <n v="10512"/>
  </r>
  <r>
    <x v="0"/>
    <x v="2"/>
    <x v="2"/>
    <x v="7"/>
    <x v="15"/>
    <s v="NO5_A1"/>
    <x v="2"/>
    <x v="2"/>
    <s v="GBPR_MUNIWASTE"/>
    <x v="0"/>
    <x v="15"/>
    <n v="8"/>
    <n v="2920"/>
    <n v="10512"/>
  </r>
  <r>
    <x v="0"/>
    <x v="2"/>
    <x v="2"/>
    <x v="7"/>
    <x v="15"/>
    <s v="NO5_A1"/>
    <x v="2"/>
    <x v="2"/>
    <s v="GBPR_MUNIWASTE"/>
    <x v="0"/>
    <x v="16"/>
    <n v="8"/>
    <n v="2920"/>
    <n v="10512"/>
  </r>
  <r>
    <x v="0"/>
    <x v="2"/>
    <x v="2"/>
    <x v="7"/>
    <x v="15"/>
    <s v="NO5_A1"/>
    <x v="2"/>
    <x v="2"/>
    <s v="GBPR_MUNIWASTE"/>
    <x v="0"/>
    <x v="17"/>
    <n v="8"/>
    <n v="2920"/>
    <n v="10512"/>
  </r>
  <r>
    <x v="0"/>
    <x v="2"/>
    <x v="2"/>
    <x v="7"/>
    <x v="15"/>
    <s v="NO5_A1"/>
    <x v="2"/>
    <x v="2"/>
    <s v="GBPR_MUNIWASTE"/>
    <x v="0"/>
    <x v="19"/>
    <n v="8"/>
    <n v="2920"/>
    <n v="10512"/>
  </r>
  <r>
    <x v="0"/>
    <x v="2"/>
    <x v="2"/>
    <x v="7"/>
    <x v="15"/>
    <s v="NO5_A1"/>
    <x v="2"/>
    <x v="2"/>
    <s v="GBPR_MUNIWASTE"/>
    <x v="0"/>
    <x v="20"/>
    <n v="8"/>
    <n v="2920"/>
    <n v="10512"/>
  </r>
  <r>
    <x v="0"/>
    <x v="2"/>
    <x v="2"/>
    <x v="7"/>
    <x v="15"/>
    <s v="NO5_A1"/>
    <x v="2"/>
    <x v="2"/>
    <s v="GBPR_MUNIWASTE"/>
    <x v="0"/>
    <x v="21"/>
    <n v="8"/>
    <n v="2920"/>
    <n v="10512"/>
  </r>
  <r>
    <x v="0"/>
    <x v="2"/>
    <x v="2"/>
    <x v="7"/>
    <x v="15"/>
    <s v="NO5_A1"/>
    <x v="2"/>
    <x v="2"/>
    <s v="GBPR_MUNIWASTE"/>
    <x v="0"/>
    <x v="22"/>
    <n v="8"/>
    <n v="2920"/>
    <n v="10512"/>
  </r>
  <r>
    <x v="0"/>
    <x v="2"/>
    <x v="2"/>
    <x v="7"/>
    <x v="15"/>
    <s v="NO5_A1"/>
    <x v="2"/>
    <x v="2"/>
    <s v="GBPR_MUNIWASTE"/>
    <x v="0"/>
    <x v="23"/>
    <n v="8"/>
    <n v="2920"/>
    <n v="10512"/>
  </r>
  <r>
    <x v="0"/>
    <x v="2"/>
    <x v="2"/>
    <x v="7"/>
    <x v="15"/>
    <s v="NO5_A1"/>
    <x v="6"/>
    <x v="7"/>
    <s v="GNR_RES_WTR_NOPMP_MC-01"/>
    <x v="0"/>
    <x v="0"/>
    <n v="154.193241885916"/>
    <n v="56280.5332883593"/>
    <n v="202609.91983809401"/>
  </r>
  <r>
    <x v="0"/>
    <x v="2"/>
    <x v="2"/>
    <x v="7"/>
    <x v="15"/>
    <s v="NO5_A1"/>
    <x v="6"/>
    <x v="7"/>
    <s v="GNR_RES_WTR_NOPMP_MC-01"/>
    <x v="0"/>
    <x v="1"/>
    <n v="154.193241885916"/>
    <n v="56280.5332883593"/>
    <n v="202609.91983809401"/>
  </r>
  <r>
    <x v="0"/>
    <x v="2"/>
    <x v="2"/>
    <x v="7"/>
    <x v="15"/>
    <s v="NO5_A1"/>
    <x v="6"/>
    <x v="7"/>
    <s v="GNR_RES_WTR_NOPMP_MC-01"/>
    <x v="0"/>
    <x v="18"/>
    <n v="154.193241885916"/>
    <n v="56280.5332883593"/>
    <n v="202609.91983809401"/>
  </r>
  <r>
    <x v="0"/>
    <x v="2"/>
    <x v="2"/>
    <x v="7"/>
    <x v="15"/>
    <s v="NO5_A1"/>
    <x v="6"/>
    <x v="7"/>
    <s v="GNR_RES_WTR_NOPMP_MC-01"/>
    <x v="0"/>
    <x v="2"/>
    <n v="154.193241885916"/>
    <n v="56280.5332883593"/>
    <n v="202609.91983809401"/>
  </r>
  <r>
    <x v="0"/>
    <x v="2"/>
    <x v="2"/>
    <x v="7"/>
    <x v="15"/>
    <s v="NO5_A1"/>
    <x v="6"/>
    <x v="7"/>
    <s v="GNR_RES_WTR_NOPMP_MC-01"/>
    <x v="0"/>
    <x v="3"/>
    <n v="154.193241885916"/>
    <n v="56280.5332883593"/>
    <n v="202609.91983809401"/>
  </r>
  <r>
    <x v="0"/>
    <x v="2"/>
    <x v="2"/>
    <x v="7"/>
    <x v="15"/>
    <s v="NO5_A1"/>
    <x v="6"/>
    <x v="7"/>
    <s v="GNR_RES_WTR_NOPMP_MC-01"/>
    <x v="0"/>
    <x v="4"/>
    <n v="154.193241885916"/>
    <n v="56280.5332883593"/>
    <n v="202609.91983809401"/>
  </r>
  <r>
    <x v="0"/>
    <x v="2"/>
    <x v="2"/>
    <x v="7"/>
    <x v="15"/>
    <s v="NO5_A1"/>
    <x v="6"/>
    <x v="7"/>
    <s v="GNR_RES_WTR_NOPMP_MC-01"/>
    <x v="0"/>
    <x v="5"/>
    <n v="154.193241885916"/>
    <n v="56280.5332883593"/>
    <n v="202609.91983809401"/>
  </r>
  <r>
    <x v="0"/>
    <x v="2"/>
    <x v="2"/>
    <x v="7"/>
    <x v="15"/>
    <s v="NO5_A1"/>
    <x v="6"/>
    <x v="7"/>
    <s v="GNR_RES_WTR_NOPMP_MC-01"/>
    <x v="0"/>
    <x v="6"/>
    <n v="154.193241885916"/>
    <n v="56280.5332883593"/>
    <n v="202609.91983809401"/>
  </r>
  <r>
    <x v="0"/>
    <x v="2"/>
    <x v="2"/>
    <x v="7"/>
    <x v="15"/>
    <s v="NO5_A1"/>
    <x v="6"/>
    <x v="7"/>
    <s v="GNR_RES_WTR_NOPMP_MC-01"/>
    <x v="0"/>
    <x v="7"/>
    <n v="154.193241885916"/>
    <n v="56280.5332883593"/>
    <n v="202609.91983809401"/>
  </r>
  <r>
    <x v="0"/>
    <x v="2"/>
    <x v="2"/>
    <x v="7"/>
    <x v="15"/>
    <s v="NO5_A1"/>
    <x v="6"/>
    <x v="7"/>
    <s v="GNR_RES_WTR_NOPMP_MC-01"/>
    <x v="0"/>
    <x v="8"/>
    <n v="154.193241885916"/>
    <n v="56280.5332883593"/>
    <n v="202609.91983809401"/>
  </r>
  <r>
    <x v="0"/>
    <x v="2"/>
    <x v="2"/>
    <x v="7"/>
    <x v="15"/>
    <s v="NO5_A1"/>
    <x v="6"/>
    <x v="7"/>
    <s v="GNR_RES_WTR_NOPMP_MC-01"/>
    <x v="0"/>
    <x v="9"/>
    <n v="154.193241885916"/>
    <n v="56280.5332883593"/>
    <n v="202609.91983809401"/>
  </r>
  <r>
    <x v="0"/>
    <x v="2"/>
    <x v="2"/>
    <x v="7"/>
    <x v="15"/>
    <s v="NO5_A1"/>
    <x v="6"/>
    <x v="7"/>
    <s v="GNR_RES_WTR_NOPMP_MC-01"/>
    <x v="0"/>
    <x v="10"/>
    <n v="154.193241885916"/>
    <n v="56280.5332883593"/>
    <n v="202609.91983809401"/>
  </r>
  <r>
    <x v="0"/>
    <x v="2"/>
    <x v="2"/>
    <x v="7"/>
    <x v="15"/>
    <s v="NO5_A1"/>
    <x v="6"/>
    <x v="7"/>
    <s v="GNR_RES_WTR_NOPMP_MC-01"/>
    <x v="0"/>
    <x v="11"/>
    <n v="154.193241885916"/>
    <n v="56280.5332883593"/>
    <n v="202609.91983809401"/>
  </r>
  <r>
    <x v="0"/>
    <x v="2"/>
    <x v="2"/>
    <x v="7"/>
    <x v="15"/>
    <s v="NO5_A1"/>
    <x v="6"/>
    <x v="7"/>
    <s v="GNR_RES_WTR_NOPMP_MC-01"/>
    <x v="0"/>
    <x v="12"/>
    <n v="154.193241885916"/>
    <n v="56280.5332883593"/>
    <n v="202609.91983809401"/>
  </r>
  <r>
    <x v="0"/>
    <x v="2"/>
    <x v="2"/>
    <x v="7"/>
    <x v="15"/>
    <s v="NO5_A1"/>
    <x v="6"/>
    <x v="7"/>
    <s v="GNR_RES_WTR_NOPMP_MC-01"/>
    <x v="0"/>
    <x v="13"/>
    <n v="154.193241885916"/>
    <n v="56280.5332883593"/>
    <n v="202609.91983809401"/>
  </r>
  <r>
    <x v="0"/>
    <x v="2"/>
    <x v="2"/>
    <x v="7"/>
    <x v="15"/>
    <s v="NO5_A1"/>
    <x v="6"/>
    <x v="7"/>
    <s v="GNR_RES_WTR_NOPMP_MC-01"/>
    <x v="0"/>
    <x v="14"/>
    <n v="154.193241885916"/>
    <n v="56280.5332883593"/>
    <n v="202609.91983809401"/>
  </r>
  <r>
    <x v="0"/>
    <x v="2"/>
    <x v="2"/>
    <x v="7"/>
    <x v="15"/>
    <s v="NO5_A1"/>
    <x v="6"/>
    <x v="7"/>
    <s v="GNR_RES_WTR_NOPMP_MC-01"/>
    <x v="0"/>
    <x v="15"/>
    <n v="154.193241885916"/>
    <n v="56280.5332883593"/>
    <n v="202609.91983809401"/>
  </r>
  <r>
    <x v="0"/>
    <x v="2"/>
    <x v="2"/>
    <x v="7"/>
    <x v="15"/>
    <s v="NO5_A1"/>
    <x v="6"/>
    <x v="7"/>
    <s v="GNR_RES_WTR_NOPMP_MC-01"/>
    <x v="0"/>
    <x v="16"/>
    <n v="154.193241885916"/>
    <n v="56280.5332883593"/>
    <n v="202609.91983809401"/>
  </r>
  <r>
    <x v="0"/>
    <x v="2"/>
    <x v="2"/>
    <x v="7"/>
    <x v="15"/>
    <s v="NO5_A1"/>
    <x v="6"/>
    <x v="7"/>
    <s v="GNR_RES_WTR_NOPMP_MC-01"/>
    <x v="0"/>
    <x v="17"/>
    <n v="154.193241885916"/>
    <n v="56280.5332883593"/>
    <n v="202609.91983809401"/>
  </r>
  <r>
    <x v="0"/>
    <x v="2"/>
    <x v="2"/>
    <x v="7"/>
    <x v="15"/>
    <s v="NO5_A1"/>
    <x v="6"/>
    <x v="7"/>
    <s v="GNR_RES_WTR_NOPMP_MC-01"/>
    <x v="0"/>
    <x v="19"/>
    <n v="154.193241885916"/>
    <n v="56280.5332883593"/>
    <n v="202609.91983809401"/>
  </r>
  <r>
    <x v="0"/>
    <x v="2"/>
    <x v="2"/>
    <x v="7"/>
    <x v="15"/>
    <s v="NO5_A1"/>
    <x v="6"/>
    <x v="7"/>
    <s v="GNR_RES_WTR_NOPMP_MC-01"/>
    <x v="0"/>
    <x v="20"/>
    <n v="154.193241885916"/>
    <n v="56280.5332883593"/>
    <n v="202609.91983809401"/>
  </r>
  <r>
    <x v="0"/>
    <x v="2"/>
    <x v="2"/>
    <x v="7"/>
    <x v="15"/>
    <s v="NO5_A1"/>
    <x v="6"/>
    <x v="7"/>
    <s v="GNR_RES_WTR_NOPMP_MC-01"/>
    <x v="0"/>
    <x v="21"/>
    <n v="154.193241885916"/>
    <n v="56280.5332883593"/>
    <n v="202609.91983809401"/>
  </r>
  <r>
    <x v="0"/>
    <x v="2"/>
    <x v="2"/>
    <x v="7"/>
    <x v="15"/>
    <s v="NO5_A1"/>
    <x v="6"/>
    <x v="7"/>
    <s v="GNR_RES_WTR_NOPMP_MC-01"/>
    <x v="0"/>
    <x v="22"/>
    <n v="154.193241885916"/>
    <n v="56280.5332883593"/>
    <n v="202609.91983809401"/>
  </r>
  <r>
    <x v="0"/>
    <x v="2"/>
    <x v="2"/>
    <x v="7"/>
    <x v="15"/>
    <s v="NO5_A1"/>
    <x v="6"/>
    <x v="7"/>
    <s v="GNR_RES_WTR_NOPMP_MC-01"/>
    <x v="0"/>
    <x v="23"/>
    <n v="154.193241885916"/>
    <n v="56280.5332883593"/>
    <n v="202609.91983809401"/>
  </r>
  <r>
    <x v="0"/>
    <x v="2"/>
    <x v="2"/>
    <x v="7"/>
    <x v="15"/>
    <s v="NO5_A1"/>
    <x v="6"/>
    <x v="7"/>
    <s v="GNR_RES_WTR_NOPMP_MC-02"/>
    <x v="0"/>
    <x v="0"/>
    <n v="598.193241885916"/>
    <n v="218340.533288359"/>
    <n v="786025.91983809404"/>
  </r>
  <r>
    <x v="0"/>
    <x v="2"/>
    <x v="2"/>
    <x v="7"/>
    <x v="15"/>
    <s v="NO5_A1"/>
    <x v="6"/>
    <x v="7"/>
    <s v="GNR_RES_WTR_NOPMP_MC-02"/>
    <x v="0"/>
    <x v="1"/>
    <n v="598.193241885916"/>
    <n v="218340.533288359"/>
    <n v="786025.91983809404"/>
  </r>
  <r>
    <x v="0"/>
    <x v="2"/>
    <x v="2"/>
    <x v="7"/>
    <x v="15"/>
    <s v="NO5_A1"/>
    <x v="6"/>
    <x v="7"/>
    <s v="GNR_RES_WTR_NOPMP_MC-02"/>
    <x v="0"/>
    <x v="18"/>
    <n v="598.193241885916"/>
    <n v="218340.533288359"/>
    <n v="786025.91983809404"/>
  </r>
  <r>
    <x v="0"/>
    <x v="2"/>
    <x v="2"/>
    <x v="7"/>
    <x v="15"/>
    <s v="NO5_A1"/>
    <x v="6"/>
    <x v="7"/>
    <s v="GNR_RES_WTR_NOPMP_MC-02"/>
    <x v="0"/>
    <x v="2"/>
    <n v="598.193241885916"/>
    <n v="218340.533288359"/>
    <n v="786025.91983809404"/>
  </r>
  <r>
    <x v="0"/>
    <x v="2"/>
    <x v="2"/>
    <x v="7"/>
    <x v="15"/>
    <s v="NO5_A1"/>
    <x v="6"/>
    <x v="7"/>
    <s v="GNR_RES_WTR_NOPMP_MC-02"/>
    <x v="0"/>
    <x v="3"/>
    <n v="598.193241885916"/>
    <n v="218340.533288359"/>
    <n v="786025.91983809404"/>
  </r>
  <r>
    <x v="0"/>
    <x v="2"/>
    <x v="2"/>
    <x v="7"/>
    <x v="15"/>
    <s v="NO5_A1"/>
    <x v="6"/>
    <x v="7"/>
    <s v="GNR_RES_WTR_NOPMP_MC-02"/>
    <x v="0"/>
    <x v="4"/>
    <n v="598.193241885916"/>
    <n v="218340.533288359"/>
    <n v="786025.91983809404"/>
  </r>
  <r>
    <x v="0"/>
    <x v="2"/>
    <x v="2"/>
    <x v="7"/>
    <x v="15"/>
    <s v="NO5_A1"/>
    <x v="6"/>
    <x v="7"/>
    <s v="GNR_RES_WTR_NOPMP_MC-02"/>
    <x v="0"/>
    <x v="5"/>
    <n v="598.193241885916"/>
    <n v="218340.533288359"/>
    <n v="786025.91983809404"/>
  </r>
  <r>
    <x v="0"/>
    <x v="2"/>
    <x v="2"/>
    <x v="7"/>
    <x v="15"/>
    <s v="NO5_A1"/>
    <x v="6"/>
    <x v="7"/>
    <s v="GNR_RES_WTR_NOPMP_MC-02"/>
    <x v="0"/>
    <x v="6"/>
    <n v="598.193241885916"/>
    <n v="218340.533288359"/>
    <n v="786025.91983809404"/>
  </r>
  <r>
    <x v="0"/>
    <x v="2"/>
    <x v="2"/>
    <x v="7"/>
    <x v="15"/>
    <s v="NO5_A1"/>
    <x v="6"/>
    <x v="7"/>
    <s v="GNR_RES_WTR_NOPMP_MC-02"/>
    <x v="0"/>
    <x v="7"/>
    <n v="598.193241885916"/>
    <n v="218340.533288359"/>
    <n v="786025.91983809404"/>
  </r>
  <r>
    <x v="0"/>
    <x v="2"/>
    <x v="2"/>
    <x v="7"/>
    <x v="15"/>
    <s v="NO5_A1"/>
    <x v="6"/>
    <x v="7"/>
    <s v="GNR_RES_WTR_NOPMP_MC-02"/>
    <x v="0"/>
    <x v="8"/>
    <n v="598.193241885916"/>
    <n v="218340.533288359"/>
    <n v="786025.91983809404"/>
  </r>
  <r>
    <x v="0"/>
    <x v="2"/>
    <x v="2"/>
    <x v="7"/>
    <x v="15"/>
    <s v="NO5_A1"/>
    <x v="6"/>
    <x v="7"/>
    <s v="GNR_RES_WTR_NOPMP_MC-02"/>
    <x v="0"/>
    <x v="9"/>
    <n v="598.193241885916"/>
    <n v="218340.533288359"/>
    <n v="786025.91983809404"/>
  </r>
  <r>
    <x v="0"/>
    <x v="2"/>
    <x v="2"/>
    <x v="7"/>
    <x v="15"/>
    <s v="NO5_A1"/>
    <x v="6"/>
    <x v="7"/>
    <s v="GNR_RES_WTR_NOPMP_MC-02"/>
    <x v="0"/>
    <x v="10"/>
    <n v="598.193241885916"/>
    <n v="218340.533288359"/>
    <n v="786025.91983809404"/>
  </r>
  <r>
    <x v="0"/>
    <x v="2"/>
    <x v="2"/>
    <x v="7"/>
    <x v="15"/>
    <s v="NO5_A1"/>
    <x v="6"/>
    <x v="7"/>
    <s v="GNR_RES_WTR_NOPMP_MC-02"/>
    <x v="0"/>
    <x v="11"/>
    <n v="598.193241885916"/>
    <n v="218340.533288359"/>
    <n v="786025.91983809404"/>
  </r>
  <r>
    <x v="0"/>
    <x v="2"/>
    <x v="2"/>
    <x v="7"/>
    <x v="15"/>
    <s v="NO5_A1"/>
    <x v="6"/>
    <x v="7"/>
    <s v="GNR_RES_WTR_NOPMP_MC-02"/>
    <x v="0"/>
    <x v="12"/>
    <n v="598.193241885916"/>
    <n v="218340.533288359"/>
    <n v="786025.91983809404"/>
  </r>
  <r>
    <x v="0"/>
    <x v="2"/>
    <x v="2"/>
    <x v="7"/>
    <x v="15"/>
    <s v="NO5_A1"/>
    <x v="6"/>
    <x v="7"/>
    <s v="GNR_RES_WTR_NOPMP_MC-02"/>
    <x v="0"/>
    <x v="13"/>
    <n v="598.193241885916"/>
    <n v="218340.533288359"/>
    <n v="786025.91983809404"/>
  </r>
  <r>
    <x v="0"/>
    <x v="2"/>
    <x v="2"/>
    <x v="7"/>
    <x v="15"/>
    <s v="NO5_A1"/>
    <x v="6"/>
    <x v="7"/>
    <s v="GNR_RES_WTR_NOPMP_MC-02"/>
    <x v="0"/>
    <x v="14"/>
    <n v="598.193241885916"/>
    <n v="218340.533288359"/>
    <n v="786025.91983809404"/>
  </r>
  <r>
    <x v="0"/>
    <x v="2"/>
    <x v="2"/>
    <x v="7"/>
    <x v="15"/>
    <s v="NO5_A1"/>
    <x v="6"/>
    <x v="7"/>
    <s v="GNR_RES_WTR_NOPMP_MC-02"/>
    <x v="0"/>
    <x v="15"/>
    <n v="598.193241885916"/>
    <n v="218340.533288359"/>
    <n v="786025.91983809404"/>
  </r>
  <r>
    <x v="0"/>
    <x v="2"/>
    <x v="2"/>
    <x v="7"/>
    <x v="15"/>
    <s v="NO5_A1"/>
    <x v="6"/>
    <x v="7"/>
    <s v="GNR_RES_WTR_NOPMP_MC-02"/>
    <x v="0"/>
    <x v="16"/>
    <n v="598.193241885916"/>
    <n v="218340.533288359"/>
    <n v="786025.91983809404"/>
  </r>
  <r>
    <x v="0"/>
    <x v="2"/>
    <x v="2"/>
    <x v="7"/>
    <x v="15"/>
    <s v="NO5_A1"/>
    <x v="6"/>
    <x v="7"/>
    <s v="GNR_RES_WTR_NOPMP_MC-02"/>
    <x v="0"/>
    <x v="17"/>
    <n v="598.193241885916"/>
    <n v="218340.533288359"/>
    <n v="786025.91983809404"/>
  </r>
  <r>
    <x v="0"/>
    <x v="2"/>
    <x v="2"/>
    <x v="7"/>
    <x v="15"/>
    <s v="NO5_A1"/>
    <x v="6"/>
    <x v="7"/>
    <s v="GNR_RES_WTR_NOPMP_MC-02"/>
    <x v="0"/>
    <x v="19"/>
    <n v="598.193241885916"/>
    <n v="218340.533288359"/>
    <n v="786025.91983809404"/>
  </r>
  <r>
    <x v="0"/>
    <x v="2"/>
    <x v="2"/>
    <x v="7"/>
    <x v="15"/>
    <s v="NO5_A1"/>
    <x v="6"/>
    <x v="7"/>
    <s v="GNR_RES_WTR_NOPMP_MC-02"/>
    <x v="0"/>
    <x v="20"/>
    <n v="598.193241885916"/>
    <n v="218340.533288359"/>
    <n v="786025.91983809404"/>
  </r>
  <r>
    <x v="0"/>
    <x v="2"/>
    <x v="2"/>
    <x v="7"/>
    <x v="15"/>
    <s v="NO5_A1"/>
    <x v="6"/>
    <x v="7"/>
    <s v="GNR_RES_WTR_NOPMP_MC-02"/>
    <x v="0"/>
    <x v="21"/>
    <n v="598.193241885916"/>
    <n v="218340.533288359"/>
    <n v="786025.91983809404"/>
  </r>
  <r>
    <x v="0"/>
    <x v="2"/>
    <x v="2"/>
    <x v="7"/>
    <x v="15"/>
    <s v="NO5_A1"/>
    <x v="6"/>
    <x v="7"/>
    <s v="GNR_RES_WTR_NOPMP_MC-02"/>
    <x v="0"/>
    <x v="22"/>
    <n v="598.193241885916"/>
    <n v="218340.533288359"/>
    <n v="786025.91983809404"/>
  </r>
  <r>
    <x v="0"/>
    <x v="2"/>
    <x v="2"/>
    <x v="7"/>
    <x v="15"/>
    <s v="NO5_A1"/>
    <x v="6"/>
    <x v="7"/>
    <s v="GNR_RES_WTR_NOPMP_MC-02"/>
    <x v="0"/>
    <x v="23"/>
    <n v="598.193241885916"/>
    <n v="218340.533288359"/>
    <n v="786025.91983809404"/>
  </r>
  <r>
    <x v="0"/>
    <x v="2"/>
    <x v="2"/>
    <x v="7"/>
    <x v="15"/>
    <s v="NO5_A1"/>
    <x v="6"/>
    <x v="7"/>
    <s v="GNR_RES_WTR_NOPMP_MC-03"/>
    <x v="0"/>
    <x v="0"/>
    <n v="598.193241885916"/>
    <n v="218340.533288359"/>
    <n v="786025.91983809404"/>
  </r>
  <r>
    <x v="0"/>
    <x v="2"/>
    <x v="2"/>
    <x v="7"/>
    <x v="15"/>
    <s v="NO5_A1"/>
    <x v="6"/>
    <x v="7"/>
    <s v="GNR_RES_WTR_NOPMP_MC-03"/>
    <x v="0"/>
    <x v="1"/>
    <n v="598.193241885916"/>
    <n v="218340.533288359"/>
    <n v="786025.91983809404"/>
  </r>
  <r>
    <x v="0"/>
    <x v="2"/>
    <x v="2"/>
    <x v="7"/>
    <x v="15"/>
    <s v="NO5_A1"/>
    <x v="6"/>
    <x v="7"/>
    <s v="GNR_RES_WTR_NOPMP_MC-03"/>
    <x v="0"/>
    <x v="18"/>
    <n v="598.193241885916"/>
    <n v="218340.533288359"/>
    <n v="786025.91983809404"/>
  </r>
  <r>
    <x v="0"/>
    <x v="2"/>
    <x v="2"/>
    <x v="7"/>
    <x v="15"/>
    <s v="NO5_A1"/>
    <x v="6"/>
    <x v="7"/>
    <s v="GNR_RES_WTR_NOPMP_MC-03"/>
    <x v="0"/>
    <x v="2"/>
    <n v="598.193241885916"/>
    <n v="218340.533288359"/>
    <n v="786025.91983809404"/>
  </r>
  <r>
    <x v="0"/>
    <x v="2"/>
    <x v="2"/>
    <x v="7"/>
    <x v="15"/>
    <s v="NO5_A1"/>
    <x v="6"/>
    <x v="7"/>
    <s v="GNR_RES_WTR_NOPMP_MC-03"/>
    <x v="0"/>
    <x v="3"/>
    <n v="598.193241885916"/>
    <n v="218340.533288359"/>
    <n v="786025.91983809404"/>
  </r>
  <r>
    <x v="0"/>
    <x v="2"/>
    <x v="2"/>
    <x v="7"/>
    <x v="15"/>
    <s v="NO5_A1"/>
    <x v="6"/>
    <x v="7"/>
    <s v="GNR_RES_WTR_NOPMP_MC-03"/>
    <x v="0"/>
    <x v="4"/>
    <n v="598.193241885916"/>
    <n v="218340.533288359"/>
    <n v="786025.91983809404"/>
  </r>
  <r>
    <x v="0"/>
    <x v="2"/>
    <x v="2"/>
    <x v="7"/>
    <x v="15"/>
    <s v="NO5_A1"/>
    <x v="6"/>
    <x v="7"/>
    <s v="GNR_RES_WTR_NOPMP_MC-03"/>
    <x v="0"/>
    <x v="5"/>
    <n v="598.193241885916"/>
    <n v="218340.533288359"/>
    <n v="786025.91983809404"/>
  </r>
  <r>
    <x v="0"/>
    <x v="2"/>
    <x v="2"/>
    <x v="7"/>
    <x v="15"/>
    <s v="NO5_A1"/>
    <x v="6"/>
    <x v="7"/>
    <s v="GNR_RES_WTR_NOPMP_MC-03"/>
    <x v="0"/>
    <x v="6"/>
    <n v="598.193241885916"/>
    <n v="218340.533288359"/>
    <n v="786025.91983809404"/>
  </r>
  <r>
    <x v="0"/>
    <x v="2"/>
    <x v="2"/>
    <x v="7"/>
    <x v="15"/>
    <s v="NO5_A1"/>
    <x v="6"/>
    <x v="7"/>
    <s v="GNR_RES_WTR_NOPMP_MC-03"/>
    <x v="0"/>
    <x v="7"/>
    <n v="598.193241885916"/>
    <n v="218340.533288359"/>
    <n v="786025.91983809404"/>
  </r>
  <r>
    <x v="0"/>
    <x v="2"/>
    <x v="2"/>
    <x v="7"/>
    <x v="15"/>
    <s v="NO5_A1"/>
    <x v="6"/>
    <x v="7"/>
    <s v="GNR_RES_WTR_NOPMP_MC-03"/>
    <x v="0"/>
    <x v="8"/>
    <n v="598.193241885916"/>
    <n v="218340.533288359"/>
    <n v="786025.91983809404"/>
  </r>
  <r>
    <x v="0"/>
    <x v="2"/>
    <x v="2"/>
    <x v="7"/>
    <x v="15"/>
    <s v="NO5_A1"/>
    <x v="6"/>
    <x v="7"/>
    <s v="GNR_RES_WTR_NOPMP_MC-03"/>
    <x v="0"/>
    <x v="9"/>
    <n v="598.193241885916"/>
    <n v="218340.533288359"/>
    <n v="786025.91983809404"/>
  </r>
  <r>
    <x v="0"/>
    <x v="2"/>
    <x v="2"/>
    <x v="7"/>
    <x v="15"/>
    <s v="NO5_A1"/>
    <x v="6"/>
    <x v="7"/>
    <s v="GNR_RES_WTR_NOPMP_MC-03"/>
    <x v="0"/>
    <x v="10"/>
    <n v="598.193241885916"/>
    <n v="218340.533288359"/>
    <n v="786025.91983809404"/>
  </r>
  <r>
    <x v="0"/>
    <x v="2"/>
    <x v="2"/>
    <x v="7"/>
    <x v="15"/>
    <s v="NO5_A1"/>
    <x v="6"/>
    <x v="7"/>
    <s v="GNR_RES_WTR_NOPMP_MC-03"/>
    <x v="0"/>
    <x v="11"/>
    <n v="598.193241885916"/>
    <n v="218340.533288359"/>
    <n v="786025.91983809404"/>
  </r>
  <r>
    <x v="0"/>
    <x v="2"/>
    <x v="2"/>
    <x v="7"/>
    <x v="15"/>
    <s v="NO5_A1"/>
    <x v="6"/>
    <x v="7"/>
    <s v="GNR_RES_WTR_NOPMP_MC-03"/>
    <x v="0"/>
    <x v="12"/>
    <n v="598.193241885916"/>
    <n v="218340.533288359"/>
    <n v="786025.91983809404"/>
  </r>
  <r>
    <x v="0"/>
    <x v="2"/>
    <x v="2"/>
    <x v="7"/>
    <x v="15"/>
    <s v="NO5_A1"/>
    <x v="6"/>
    <x v="7"/>
    <s v="GNR_RES_WTR_NOPMP_MC-03"/>
    <x v="0"/>
    <x v="13"/>
    <n v="598.193241885916"/>
    <n v="218340.533288359"/>
    <n v="786025.91983809404"/>
  </r>
  <r>
    <x v="0"/>
    <x v="2"/>
    <x v="2"/>
    <x v="7"/>
    <x v="15"/>
    <s v="NO5_A1"/>
    <x v="6"/>
    <x v="7"/>
    <s v="GNR_RES_WTR_NOPMP_MC-03"/>
    <x v="0"/>
    <x v="14"/>
    <n v="598.193241885916"/>
    <n v="218340.533288359"/>
    <n v="786025.91983809404"/>
  </r>
  <r>
    <x v="0"/>
    <x v="2"/>
    <x v="2"/>
    <x v="7"/>
    <x v="15"/>
    <s v="NO5_A1"/>
    <x v="6"/>
    <x v="7"/>
    <s v="GNR_RES_WTR_NOPMP_MC-03"/>
    <x v="0"/>
    <x v="15"/>
    <n v="598.193241885916"/>
    <n v="218340.533288359"/>
    <n v="786025.91983809404"/>
  </r>
  <r>
    <x v="0"/>
    <x v="2"/>
    <x v="2"/>
    <x v="7"/>
    <x v="15"/>
    <s v="NO5_A1"/>
    <x v="6"/>
    <x v="7"/>
    <s v="GNR_RES_WTR_NOPMP_MC-03"/>
    <x v="0"/>
    <x v="16"/>
    <n v="598.193241885916"/>
    <n v="218340.533288359"/>
    <n v="786025.91983809404"/>
  </r>
  <r>
    <x v="0"/>
    <x v="2"/>
    <x v="2"/>
    <x v="7"/>
    <x v="15"/>
    <s v="NO5_A1"/>
    <x v="6"/>
    <x v="7"/>
    <s v="GNR_RES_WTR_NOPMP_MC-03"/>
    <x v="0"/>
    <x v="17"/>
    <n v="598.193241885916"/>
    <n v="218340.533288359"/>
    <n v="786025.91983809404"/>
  </r>
  <r>
    <x v="0"/>
    <x v="2"/>
    <x v="2"/>
    <x v="7"/>
    <x v="15"/>
    <s v="NO5_A1"/>
    <x v="6"/>
    <x v="7"/>
    <s v="GNR_RES_WTR_NOPMP_MC-03"/>
    <x v="0"/>
    <x v="19"/>
    <n v="598.193241885916"/>
    <n v="218340.533288359"/>
    <n v="786025.91983809404"/>
  </r>
  <r>
    <x v="0"/>
    <x v="2"/>
    <x v="2"/>
    <x v="7"/>
    <x v="15"/>
    <s v="NO5_A1"/>
    <x v="6"/>
    <x v="7"/>
    <s v="GNR_RES_WTR_NOPMP_MC-03"/>
    <x v="0"/>
    <x v="20"/>
    <n v="598.193241885916"/>
    <n v="218340.533288359"/>
    <n v="786025.91983809404"/>
  </r>
  <r>
    <x v="0"/>
    <x v="2"/>
    <x v="2"/>
    <x v="7"/>
    <x v="15"/>
    <s v="NO5_A1"/>
    <x v="6"/>
    <x v="7"/>
    <s v="GNR_RES_WTR_NOPMP_MC-03"/>
    <x v="0"/>
    <x v="21"/>
    <n v="598.193241885916"/>
    <n v="218340.533288359"/>
    <n v="786025.91983809404"/>
  </r>
  <r>
    <x v="0"/>
    <x v="2"/>
    <x v="2"/>
    <x v="7"/>
    <x v="15"/>
    <s v="NO5_A1"/>
    <x v="6"/>
    <x v="7"/>
    <s v="GNR_RES_WTR_NOPMP_MC-03"/>
    <x v="0"/>
    <x v="22"/>
    <n v="598.193241885916"/>
    <n v="218340.533288359"/>
    <n v="786025.91983809404"/>
  </r>
  <r>
    <x v="0"/>
    <x v="2"/>
    <x v="2"/>
    <x v="7"/>
    <x v="15"/>
    <s v="NO5_A1"/>
    <x v="6"/>
    <x v="7"/>
    <s v="GNR_RES_WTR_NOPMP_MC-03"/>
    <x v="0"/>
    <x v="23"/>
    <n v="598.193241885916"/>
    <n v="218340.533288359"/>
    <n v="786025.91983809404"/>
  </r>
  <r>
    <x v="0"/>
    <x v="2"/>
    <x v="2"/>
    <x v="7"/>
    <x v="15"/>
    <s v="NO5_A1"/>
    <x v="6"/>
    <x v="7"/>
    <s v="GNR_RES_WTR_NOPMP_MC-04"/>
    <x v="0"/>
    <x v="0"/>
    <n v="598.193241885916"/>
    <n v="218340.533288359"/>
    <n v="786025.91983809404"/>
  </r>
  <r>
    <x v="0"/>
    <x v="2"/>
    <x v="2"/>
    <x v="7"/>
    <x v="15"/>
    <s v="NO5_A1"/>
    <x v="6"/>
    <x v="7"/>
    <s v="GNR_RES_WTR_NOPMP_MC-04"/>
    <x v="0"/>
    <x v="1"/>
    <n v="598.193241885916"/>
    <n v="218340.533288359"/>
    <n v="786025.91983809404"/>
  </r>
  <r>
    <x v="0"/>
    <x v="2"/>
    <x v="2"/>
    <x v="7"/>
    <x v="15"/>
    <s v="NO5_A1"/>
    <x v="6"/>
    <x v="7"/>
    <s v="GNR_RES_WTR_NOPMP_MC-04"/>
    <x v="0"/>
    <x v="18"/>
    <n v="598.193241885916"/>
    <n v="218340.533288359"/>
    <n v="786025.91983809404"/>
  </r>
  <r>
    <x v="0"/>
    <x v="2"/>
    <x v="2"/>
    <x v="7"/>
    <x v="15"/>
    <s v="NO5_A1"/>
    <x v="6"/>
    <x v="7"/>
    <s v="GNR_RES_WTR_NOPMP_MC-04"/>
    <x v="0"/>
    <x v="2"/>
    <n v="598.193241885916"/>
    <n v="218340.533288359"/>
    <n v="786025.91983809404"/>
  </r>
  <r>
    <x v="0"/>
    <x v="2"/>
    <x v="2"/>
    <x v="7"/>
    <x v="15"/>
    <s v="NO5_A1"/>
    <x v="6"/>
    <x v="7"/>
    <s v="GNR_RES_WTR_NOPMP_MC-04"/>
    <x v="0"/>
    <x v="3"/>
    <n v="598.193241885916"/>
    <n v="218340.533288359"/>
    <n v="786025.91983809404"/>
  </r>
  <r>
    <x v="0"/>
    <x v="2"/>
    <x v="2"/>
    <x v="7"/>
    <x v="15"/>
    <s v="NO5_A1"/>
    <x v="6"/>
    <x v="7"/>
    <s v="GNR_RES_WTR_NOPMP_MC-04"/>
    <x v="0"/>
    <x v="4"/>
    <n v="598.193241885916"/>
    <n v="218340.533288359"/>
    <n v="786025.91983809404"/>
  </r>
  <r>
    <x v="0"/>
    <x v="2"/>
    <x v="2"/>
    <x v="7"/>
    <x v="15"/>
    <s v="NO5_A1"/>
    <x v="6"/>
    <x v="7"/>
    <s v="GNR_RES_WTR_NOPMP_MC-04"/>
    <x v="0"/>
    <x v="5"/>
    <n v="598.193241885916"/>
    <n v="218340.533288359"/>
    <n v="786025.91983809404"/>
  </r>
  <r>
    <x v="0"/>
    <x v="2"/>
    <x v="2"/>
    <x v="7"/>
    <x v="15"/>
    <s v="NO5_A1"/>
    <x v="6"/>
    <x v="7"/>
    <s v="GNR_RES_WTR_NOPMP_MC-04"/>
    <x v="0"/>
    <x v="6"/>
    <n v="598.193241885916"/>
    <n v="218340.533288359"/>
    <n v="786025.91983809404"/>
  </r>
  <r>
    <x v="0"/>
    <x v="2"/>
    <x v="2"/>
    <x v="7"/>
    <x v="15"/>
    <s v="NO5_A1"/>
    <x v="6"/>
    <x v="7"/>
    <s v="GNR_RES_WTR_NOPMP_MC-04"/>
    <x v="0"/>
    <x v="7"/>
    <n v="598.193241885916"/>
    <n v="218340.533288359"/>
    <n v="786025.91983809404"/>
  </r>
  <r>
    <x v="0"/>
    <x v="2"/>
    <x v="2"/>
    <x v="7"/>
    <x v="15"/>
    <s v="NO5_A1"/>
    <x v="6"/>
    <x v="7"/>
    <s v="GNR_RES_WTR_NOPMP_MC-04"/>
    <x v="0"/>
    <x v="8"/>
    <n v="598.193241885916"/>
    <n v="218340.533288359"/>
    <n v="786025.91983809404"/>
  </r>
  <r>
    <x v="0"/>
    <x v="2"/>
    <x v="2"/>
    <x v="7"/>
    <x v="15"/>
    <s v="NO5_A1"/>
    <x v="6"/>
    <x v="7"/>
    <s v="GNR_RES_WTR_NOPMP_MC-04"/>
    <x v="0"/>
    <x v="9"/>
    <n v="598.193241885916"/>
    <n v="218340.533288359"/>
    <n v="786025.91983809404"/>
  </r>
  <r>
    <x v="0"/>
    <x v="2"/>
    <x v="2"/>
    <x v="7"/>
    <x v="15"/>
    <s v="NO5_A1"/>
    <x v="6"/>
    <x v="7"/>
    <s v="GNR_RES_WTR_NOPMP_MC-04"/>
    <x v="0"/>
    <x v="10"/>
    <n v="598.193241885916"/>
    <n v="218340.533288359"/>
    <n v="786025.91983809404"/>
  </r>
  <r>
    <x v="0"/>
    <x v="2"/>
    <x v="2"/>
    <x v="7"/>
    <x v="15"/>
    <s v="NO5_A1"/>
    <x v="6"/>
    <x v="7"/>
    <s v="GNR_RES_WTR_NOPMP_MC-04"/>
    <x v="0"/>
    <x v="11"/>
    <n v="598.193241885916"/>
    <n v="218340.533288359"/>
    <n v="786025.91983809404"/>
  </r>
  <r>
    <x v="0"/>
    <x v="2"/>
    <x v="2"/>
    <x v="7"/>
    <x v="15"/>
    <s v="NO5_A1"/>
    <x v="6"/>
    <x v="7"/>
    <s v="GNR_RES_WTR_NOPMP_MC-04"/>
    <x v="0"/>
    <x v="12"/>
    <n v="598.193241885916"/>
    <n v="218340.533288359"/>
    <n v="786025.91983809404"/>
  </r>
  <r>
    <x v="0"/>
    <x v="2"/>
    <x v="2"/>
    <x v="7"/>
    <x v="15"/>
    <s v="NO5_A1"/>
    <x v="6"/>
    <x v="7"/>
    <s v="GNR_RES_WTR_NOPMP_MC-04"/>
    <x v="0"/>
    <x v="13"/>
    <n v="598.193241885916"/>
    <n v="218340.533288359"/>
    <n v="786025.91983809404"/>
  </r>
  <r>
    <x v="0"/>
    <x v="2"/>
    <x v="2"/>
    <x v="7"/>
    <x v="15"/>
    <s v="NO5_A1"/>
    <x v="6"/>
    <x v="7"/>
    <s v="GNR_RES_WTR_NOPMP_MC-04"/>
    <x v="0"/>
    <x v="14"/>
    <n v="598.193241885916"/>
    <n v="218340.533288359"/>
    <n v="786025.91983809404"/>
  </r>
  <r>
    <x v="0"/>
    <x v="2"/>
    <x v="2"/>
    <x v="7"/>
    <x v="15"/>
    <s v="NO5_A1"/>
    <x v="6"/>
    <x v="7"/>
    <s v="GNR_RES_WTR_NOPMP_MC-04"/>
    <x v="0"/>
    <x v="15"/>
    <n v="598.193241885916"/>
    <n v="218340.533288359"/>
    <n v="786025.91983809404"/>
  </r>
  <r>
    <x v="0"/>
    <x v="2"/>
    <x v="2"/>
    <x v="7"/>
    <x v="15"/>
    <s v="NO5_A1"/>
    <x v="6"/>
    <x v="7"/>
    <s v="GNR_RES_WTR_NOPMP_MC-04"/>
    <x v="0"/>
    <x v="16"/>
    <n v="598.193241885916"/>
    <n v="218340.533288359"/>
    <n v="786025.91983809404"/>
  </r>
  <r>
    <x v="0"/>
    <x v="2"/>
    <x v="2"/>
    <x v="7"/>
    <x v="15"/>
    <s v="NO5_A1"/>
    <x v="6"/>
    <x v="7"/>
    <s v="GNR_RES_WTR_NOPMP_MC-04"/>
    <x v="0"/>
    <x v="17"/>
    <n v="598.193241885916"/>
    <n v="218340.533288359"/>
    <n v="786025.91983809404"/>
  </r>
  <r>
    <x v="0"/>
    <x v="2"/>
    <x v="2"/>
    <x v="7"/>
    <x v="15"/>
    <s v="NO5_A1"/>
    <x v="6"/>
    <x v="7"/>
    <s v="GNR_RES_WTR_NOPMP_MC-04"/>
    <x v="0"/>
    <x v="19"/>
    <n v="598.193241885916"/>
    <n v="218340.533288359"/>
    <n v="786025.91983809404"/>
  </r>
  <r>
    <x v="0"/>
    <x v="2"/>
    <x v="2"/>
    <x v="7"/>
    <x v="15"/>
    <s v="NO5_A1"/>
    <x v="6"/>
    <x v="7"/>
    <s v="GNR_RES_WTR_NOPMP_MC-04"/>
    <x v="0"/>
    <x v="20"/>
    <n v="598.193241885916"/>
    <n v="218340.533288359"/>
    <n v="786025.91983809404"/>
  </r>
  <r>
    <x v="0"/>
    <x v="2"/>
    <x v="2"/>
    <x v="7"/>
    <x v="15"/>
    <s v="NO5_A1"/>
    <x v="6"/>
    <x v="7"/>
    <s v="GNR_RES_WTR_NOPMP_MC-04"/>
    <x v="0"/>
    <x v="21"/>
    <n v="598.193241885916"/>
    <n v="218340.533288359"/>
    <n v="786025.91983809404"/>
  </r>
  <r>
    <x v="0"/>
    <x v="2"/>
    <x v="2"/>
    <x v="7"/>
    <x v="15"/>
    <s v="NO5_A1"/>
    <x v="6"/>
    <x v="7"/>
    <s v="GNR_RES_WTR_NOPMP_MC-04"/>
    <x v="0"/>
    <x v="22"/>
    <n v="598.193241885916"/>
    <n v="218340.533288359"/>
    <n v="786025.91983809404"/>
  </r>
  <r>
    <x v="0"/>
    <x v="2"/>
    <x v="2"/>
    <x v="7"/>
    <x v="15"/>
    <s v="NO5_A1"/>
    <x v="6"/>
    <x v="7"/>
    <s v="GNR_RES_WTR_NOPMP_MC-04"/>
    <x v="0"/>
    <x v="23"/>
    <n v="598.193241885916"/>
    <n v="218340.533288359"/>
    <n v="786025.91983809404"/>
  </r>
  <r>
    <x v="0"/>
    <x v="2"/>
    <x v="2"/>
    <x v="7"/>
    <x v="15"/>
    <s v="NO5_A1"/>
    <x v="6"/>
    <x v="7"/>
    <s v="GNR_RES_WTR_NOPMP_MC-05"/>
    <x v="0"/>
    <x v="0"/>
    <n v="317.036705651104"/>
    <n v="115718.397562653"/>
    <n v="416586.23122555"/>
  </r>
  <r>
    <x v="0"/>
    <x v="2"/>
    <x v="2"/>
    <x v="7"/>
    <x v="15"/>
    <s v="NO5_A1"/>
    <x v="6"/>
    <x v="7"/>
    <s v="GNR_RES_WTR_NOPMP_MC-05"/>
    <x v="0"/>
    <x v="1"/>
    <n v="274.29378355475302"/>
    <n v="100117.23099748501"/>
    <n v="360422.03159094602"/>
  </r>
  <r>
    <x v="0"/>
    <x v="2"/>
    <x v="2"/>
    <x v="7"/>
    <x v="15"/>
    <s v="NO5_A1"/>
    <x v="6"/>
    <x v="7"/>
    <s v="GNR_RES_WTR_NOPMP_MC-05"/>
    <x v="0"/>
    <x v="18"/>
    <n v="258.21711652673798"/>
    <n v="94249.247532259207"/>
    <n v="339297.29111613298"/>
  </r>
  <r>
    <x v="0"/>
    <x v="2"/>
    <x v="2"/>
    <x v="7"/>
    <x v="15"/>
    <s v="NO5_A1"/>
    <x v="6"/>
    <x v="7"/>
    <s v="GNR_RES_WTR_NOPMP_MC-05"/>
    <x v="0"/>
    <x v="2"/>
    <n v="272.42827262900499"/>
    <n v="99436.319509586901"/>
    <n v="357970.75023451302"/>
  </r>
  <r>
    <x v="0"/>
    <x v="2"/>
    <x v="2"/>
    <x v="7"/>
    <x v="15"/>
    <s v="NO5_A1"/>
    <x v="6"/>
    <x v="7"/>
    <s v="GNR_RES_WTR_NOPMP_MC-05"/>
    <x v="0"/>
    <x v="3"/>
    <n v="302.669204429334"/>
    <n v="110474.259616707"/>
    <n v="397707.33462014497"/>
  </r>
  <r>
    <x v="0"/>
    <x v="2"/>
    <x v="2"/>
    <x v="7"/>
    <x v="15"/>
    <s v="NO5_A1"/>
    <x v="6"/>
    <x v="7"/>
    <s v="GNR_RES_WTR_NOPMP_MC-05"/>
    <x v="0"/>
    <x v="4"/>
    <n v="364.813342506303"/>
    <n v="133156.87001480101"/>
    <n v="479364.73205328197"/>
  </r>
  <r>
    <x v="0"/>
    <x v="2"/>
    <x v="2"/>
    <x v="7"/>
    <x v="15"/>
    <s v="NO5_A1"/>
    <x v="6"/>
    <x v="7"/>
    <s v="GNR_RES_WTR_NOPMP_MC-05"/>
    <x v="0"/>
    <x v="5"/>
    <n v="475.88260353387199"/>
    <n v="173697.150289863"/>
    <n v="625309.74104350701"/>
  </r>
  <r>
    <x v="0"/>
    <x v="2"/>
    <x v="2"/>
    <x v="7"/>
    <x v="15"/>
    <s v="NO5_A1"/>
    <x v="6"/>
    <x v="7"/>
    <s v="GNR_RES_WTR_NOPMP_MC-05"/>
    <x v="0"/>
    <x v="6"/>
    <n v="598.193241885916"/>
    <n v="218340.533288359"/>
    <n v="786025.91983809404"/>
  </r>
  <r>
    <x v="0"/>
    <x v="2"/>
    <x v="2"/>
    <x v="7"/>
    <x v="15"/>
    <s v="NO5_A1"/>
    <x v="6"/>
    <x v="7"/>
    <s v="GNR_RES_WTR_NOPMP_MC-05"/>
    <x v="0"/>
    <x v="7"/>
    <n v="598.193241885916"/>
    <n v="218340.533288359"/>
    <n v="786025.91983809404"/>
  </r>
  <r>
    <x v="0"/>
    <x v="2"/>
    <x v="2"/>
    <x v="7"/>
    <x v="15"/>
    <s v="NO5_A1"/>
    <x v="6"/>
    <x v="7"/>
    <s v="GNR_RES_WTR_NOPMP_MC-05"/>
    <x v="0"/>
    <x v="8"/>
    <n v="598.193241885916"/>
    <n v="218340.533288359"/>
    <n v="786025.91983809404"/>
  </r>
  <r>
    <x v="0"/>
    <x v="2"/>
    <x v="2"/>
    <x v="7"/>
    <x v="15"/>
    <s v="NO5_A1"/>
    <x v="6"/>
    <x v="7"/>
    <s v="GNR_RES_WTR_NOPMP_MC-05"/>
    <x v="0"/>
    <x v="9"/>
    <n v="598.193241885916"/>
    <n v="218340.533288359"/>
    <n v="786025.91983809404"/>
  </r>
  <r>
    <x v="0"/>
    <x v="2"/>
    <x v="2"/>
    <x v="7"/>
    <x v="15"/>
    <s v="NO5_A1"/>
    <x v="6"/>
    <x v="7"/>
    <s v="GNR_RES_WTR_NOPMP_MC-05"/>
    <x v="0"/>
    <x v="10"/>
    <n v="598.193241885916"/>
    <n v="218340.533288359"/>
    <n v="786025.91983809404"/>
  </r>
  <r>
    <x v="0"/>
    <x v="2"/>
    <x v="2"/>
    <x v="7"/>
    <x v="15"/>
    <s v="NO5_A1"/>
    <x v="6"/>
    <x v="7"/>
    <s v="GNR_RES_WTR_NOPMP_MC-05"/>
    <x v="0"/>
    <x v="11"/>
    <n v="598.193241885916"/>
    <n v="218340.533288359"/>
    <n v="786025.91983809404"/>
  </r>
  <r>
    <x v="0"/>
    <x v="2"/>
    <x v="2"/>
    <x v="7"/>
    <x v="15"/>
    <s v="NO5_A1"/>
    <x v="6"/>
    <x v="7"/>
    <s v="GNR_RES_WTR_NOPMP_MC-05"/>
    <x v="0"/>
    <x v="12"/>
    <n v="598.193241885916"/>
    <n v="218340.533288359"/>
    <n v="786025.91983809404"/>
  </r>
  <r>
    <x v="0"/>
    <x v="2"/>
    <x v="2"/>
    <x v="7"/>
    <x v="15"/>
    <s v="NO5_A1"/>
    <x v="6"/>
    <x v="7"/>
    <s v="GNR_RES_WTR_NOPMP_MC-05"/>
    <x v="0"/>
    <x v="13"/>
    <n v="598.193241885916"/>
    <n v="218340.533288359"/>
    <n v="786025.91983809404"/>
  </r>
  <r>
    <x v="0"/>
    <x v="2"/>
    <x v="2"/>
    <x v="7"/>
    <x v="15"/>
    <s v="NO5_A1"/>
    <x v="6"/>
    <x v="7"/>
    <s v="GNR_RES_WTR_NOPMP_MC-05"/>
    <x v="0"/>
    <x v="14"/>
    <n v="598.193241885916"/>
    <n v="218340.533288359"/>
    <n v="786025.91983809404"/>
  </r>
  <r>
    <x v="0"/>
    <x v="2"/>
    <x v="2"/>
    <x v="7"/>
    <x v="15"/>
    <s v="NO5_A1"/>
    <x v="6"/>
    <x v="7"/>
    <s v="GNR_RES_WTR_NOPMP_MC-05"/>
    <x v="0"/>
    <x v="15"/>
    <n v="598.193241885916"/>
    <n v="218340.533288359"/>
    <n v="786025.91983809404"/>
  </r>
  <r>
    <x v="0"/>
    <x v="2"/>
    <x v="2"/>
    <x v="7"/>
    <x v="15"/>
    <s v="NO5_A1"/>
    <x v="6"/>
    <x v="7"/>
    <s v="GNR_RES_WTR_NOPMP_MC-05"/>
    <x v="0"/>
    <x v="16"/>
    <n v="585.74295431398605"/>
    <n v="213796.17832460499"/>
    <n v="769666.24196857796"/>
  </r>
  <r>
    <x v="0"/>
    <x v="2"/>
    <x v="2"/>
    <x v="7"/>
    <x v="15"/>
    <s v="NO5_A1"/>
    <x v="6"/>
    <x v="7"/>
    <s v="GNR_RES_WTR_NOPMP_MC-05"/>
    <x v="0"/>
    <x v="17"/>
    <n v="567.87894891996496"/>
    <n v="207275.81635578701"/>
    <n v="746192.93888083403"/>
  </r>
  <r>
    <x v="0"/>
    <x v="2"/>
    <x v="2"/>
    <x v="7"/>
    <x v="15"/>
    <s v="NO5_A1"/>
    <x v="6"/>
    <x v="7"/>
    <s v="GNR_RES_WTR_NOPMP_MC-05"/>
    <x v="0"/>
    <x v="19"/>
    <n v="560.46801213251604"/>
    <n v="204570.82442836801"/>
    <n v="736454.96794212598"/>
  </r>
  <r>
    <x v="0"/>
    <x v="2"/>
    <x v="2"/>
    <x v="7"/>
    <x v="15"/>
    <s v="NO5_A1"/>
    <x v="6"/>
    <x v="7"/>
    <s v="GNR_RES_WTR_NOPMP_MC-05"/>
    <x v="0"/>
    <x v="20"/>
    <n v="537.852709113125"/>
    <n v="196316.238826291"/>
    <n v="706738.45977464598"/>
  </r>
  <r>
    <x v="0"/>
    <x v="2"/>
    <x v="2"/>
    <x v="7"/>
    <x v="15"/>
    <s v="NO5_A1"/>
    <x v="6"/>
    <x v="7"/>
    <s v="GNR_RES_WTR_NOPMP_MC-05"/>
    <x v="0"/>
    <x v="21"/>
    <n v="478.618337977637"/>
    <n v="174695.693361838"/>
    <n v="628904.49610261503"/>
  </r>
  <r>
    <x v="0"/>
    <x v="2"/>
    <x v="2"/>
    <x v="7"/>
    <x v="15"/>
    <s v="NO5_A1"/>
    <x v="6"/>
    <x v="7"/>
    <s v="GNR_RES_WTR_NOPMP_MC-05"/>
    <x v="0"/>
    <x v="22"/>
    <n v="435.882716869224"/>
    <n v="159097.19165726699"/>
    <n v="572749.88996615994"/>
  </r>
  <r>
    <x v="0"/>
    <x v="2"/>
    <x v="2"/>
    <x v="7"/>
    <x v="15"/>
    <s v="NO5_A1"/>
    <x v="6"/>
    <x v="7"/>
    <s v="GNR_RES_WTR_NOPMP_MC-05"/>
    <x v="0"/>
    <x v="23"/>
    <n v="362.43926690953498"/>
    <n v="132290.33242198001"/>
    <n v="476245.19671912899"/>
  </r>
  <r>
    <x v="0"/>
    <x v="2"/>
    <x v="2"/>
    <x v="7"/>
    <x v="15"/>
    <s v="NO5_A1"/>
    <x v="6"/>
    <x v="7"/>
    <s v="GNR_RES_WTR_NOPMP_MC-06"/>
    <x v="0"/>
    <x v="6"/>
    <n v="33.753702910761703"/>
    <n v="12320.101562428001"/>
    <n v="44352.365624740902"/>
  </r>
  <r>
    <x v="0"/>
    <x v="2"/>
    <x v="2"/>
    <x v="7"/>
    <x v="15"/>
    <s v="NO5_A1"/>
    <x v="6"/>
    <x v="7"/>
    <s v="GNR_RES_WTR_NOPMP_MC-06"/>
    <x v="0"/>
    <x v="7"/>
    <n v="98.463697489903197"/>
    <n v="35939.249583814701"/>
    <n v="129381.29850173301"/>
  </r>
  <r>
    <x v="0"/>
    <x v="2"/>
    <x v="2"/>
    <x v="7"/>
    <x v="15"/>
    <s v="NO5_A1"/>
    <x v="6"/>
    <x v="7"/>
    <s v="GNR_RES_WTR_NOPMP_MC-06"/>
    <x v="0"/>
    <x v="8"/>
    <n v="76.317368799525099"/>
    <n v="27855.839611826701"/>
    <n v="100281.02260257601"/>
  </r>
  <r>
    <x v="0"/>
    <x v="2"/>
    <x v="2"/>
    <x v="7"/>
    <x v="15"/>
    <s v="NO5_A1"/>
    <x v="6"/>
    <x v="7"/>
    <s v="GNR_RES_WTR_NOPMP_MC-06"/>
    <x v="0"/>
    <x v="9"/>
    <n v="56.8056909050771"/>
    <n v="20734.077180353099"/>
    <n v="74642.677849271306"/>
  </r>
  <r>
    <x v="0"/>
    <x v="2"/>
    <x v="2"/>
    <x v="7"/>
    <x v="15"/>
    <s v="NO5_A1"/>
    <x v="6"/>
    <x v="7"/>
    <s v="GNR_RES_WTR_NOPMP_MC-06"/>
    <x v="0"/>
    <x v="10"/>
    <n v="45.211437191041298"/>
    <n v="16502.174574730099"/>
    <n v="59407.828469028202"/>
  </r>
  <r>
    <x v="0"/>
    <x v="2"/>
    <x v="2"/>
    <x v="7"/>
    <x v="15"/>
    <s v="NO5_A1"/>
    <x v="6"/>
    <x v="7"/>
    <s v="GNR_RES_WTR_NOPMP_MC-06"/>
    <x v="0"/>
    <x v="11"/>
    <n v="19.6676106981899"/>
    <n v="7178.67790483933"/>
    <n v="25843.240457421602"/>
  </r>
  <r>
    <x v="0"/>
    <x v="2"/>
    <x v="2"/>
    <x v="7"/>
    <x v="15"/>
    <s v="NO5_A1"/>
    <x v="6"/>
    <x v="7"/>
    <s v="GNR_RES_WTR_NOPMP_MC-06"/>
    <x v="0"/>
    <x v="12"/>
    <n v="20.018822125435399"/>
    <n v="7306.8700757839097"/>
    <n v="26304.732272822101"/>
  </r>
  <r>
    <x v="0"/>
    <x v="2"/>
    <x v="2"/>
    <x v="7"/>
    <x v="15"/>
    <s v="NO5_A1"/>
    <x v="6"/>
    <x v="7"/>
    <s v="GNR_RES_WTR_NOPMP_MC-06"/>
    <x v="0"/>
    <x v="13"/>
    <n v="12.8340328755268"/>
    <n v="4684.4219995672802"/>
    <n v="16863.9191984422"/>
  </r>
  <r>
    <x v="0"/>
    <x v="2"/>
    <x v="2"/>
    <x v="7"/>
    <x v="15"/>
    <s v="NO5_A1"/>
    <x v="6"/>
    <x v="7"/>
    <s v="GNR_RES_WTR_NOPMP_MC-06"/>
    <x v="0"/>
    <x v="14"/>
    <n v="6.6184735134230799"/>
    <n v="2415.74283239943"/>
    <n v="8696.6741966379304"/>
  </r>
  <r>
    <x v="0"/>
    <x v="2"/>
    <x v="2"/>
    <x v="7"/>
    <x v="15"/>
    <s v="NO5_A1"/>
    <x v="6"/>
    <x v="7"/>
    <s v="GNR_RES_WTR_NOPMP_MC-06"/>
    <x v="0"/>
    <x v="15"/>
    <n v="23.279800494161599"/>
    <n v="8497.1271803689906"/>
    <n v="30589.6578493284"/>
  </r>
  <r>
    <x v="0"/>
    <x v="2"/>
    <x v="2"/>
    <x v="7"/>
    <x v="15"/>
    <s v="NO5_A1"/>
    <x v="6"/>
    <x v="7"/>
    <s v="GNR_RES_WTR_PMP_MC-01"/>
    <x v="0"/>
    <x v="0"/>
    <n v="444"/>
    <n v="162060"/>
    <n v="583416"/>
  </r>
  <r>
    <x v="0"/>
    <x v="2"/>
    <x v="2"/>
    <x v="7"/>
    <x v="15"/>
    <s v="NO5_A1"/>
    <x v="6"/>
    <x v="7"/>
    <s v="GNR_RES_WTR_PMP_MC-01"/>
    <x v="0"/>
    <x v="1"/>
    <n v="444"/>
    <n v="162060"/>
    <n v="583416"/>
  </r>
  <r>
    <x v="0"/>
    <x v="2"/>
    <x v="2"/>
    <x v="7"/>
    <x v="15"/>
    <s v="NO5_A1"/>
    <x v="6"/>
    <x v="7"/>
    <s v="GNR_RES_WTR_PMP_MC-01"/>
    <x v="0"/>
    <x v="18"/>
    <n v="444"/>
    <n v="162060"/>
    <n v="583416"/>
  </r>
  <r>
    <x v="0"/>
    <x v="2"/>
    <x v="2"/>
    <x v="7"/>
    <x v="15"/>
    <s v="NO5_A1"/>
    <x v="6"/>
    <x v="7"/>
    <s v="GNR_RES_WTR_PMP_MC-01"/>
    <x v="0"/>
    <x v="2"/>
    <n v="444"/>
    <n v="162060"/>
    <n v="583416"/>
  </r>
  <r>
    <x v="0"/>
    <x v="2"/>
    <x v="2"/>
    <x v="7"/>
    <x v="15"/>
    <s v="NO5_A1"/>
    <x v="6"/>
    <x v="7"/>
    <s v="GNR_RES_WTR_PMP_MC-01"/>
    <x v="0"/>
    <x v="3"/>
    <n v="444"/>
    <n v="162060"/>
    <n v="583416"/>
  </r>
  <r>
    <x v="0"/>
    <x v="2"/>
    <x v="2"/>
    <x v="7"/>
    <x v="15"/>
    <s v="NO5_A1"/>
    <x v="6"/>
    <x v="7"/>
    <s v="GNR_RES_WTR_PMP_MC-01"/>
    <x v="0"/>
    <x v="4"/>
    <n v="444"/>
    <n v="162060"/>
    <n v="583416"/>
  </r>
  <r>
    <x v="0"/>
    <x v="2"/>
    <x v="2"/>
    <x v="7"/>
    <x v="15"/>
    <s v="NO5_A1"/>
    <x v="6"/>
    <x v="7"/>
    <s v="GNR_RES_WTR_PMP_MC-01"/>
    <x v="0"/>
    <x v="5"/>
    <n v="444"/>
    <n v="162060"/>
    <n v="583416"/>
  </r>
  <r>
    <x v="0"/>
    <x v="2"/>
    <x v="2"/>
    <x v="7"/>
    <x v="15"/>
    <s v="NO5_A1"/>
    <x v="6"/>
    <x v="7"/>
    <s v="GNR_RES_WTR_PMP_MC-01"/>
    <x v="0"/>
    <x v="6"/>
    <n v="444"/>
    <n v="162060"/>
    <n v="583416"/>
  </r>
  <r>
    <x v="0"/>
    <x v="2"/>
    <x v="2"/>
    <x v="7"/>
    <x v="15"/>
    <s v="NO5_A1"/>
    <x v="6"/>
    <x v="7"/>
    <s v="GNR_RES_WTR_PMP_MC-01"/>
    <x v="0"/>
    <x v="7"/>
    <n v="444"/>
    <n v="162060"/>
    <n v="583416"/>
  </r>
  <r>
    <x v="0"/>
    <x v="2"/>
    <x v="2"/>
    <x v="7"/>
    <x v="15"/>
    <s v="NO5_A1"/>
    <x v="6"/>
    <x v="7"/>
    <s v="GNR_RES_WTR_PMP_MC-01"/>
    <x v="0"/>
    <x v="8"/>
    <n v="444"/>
    <n v="162060"/>
    <n v="583416"/>
  </r>
  <r>
    <x v="0"/>
    <x v="2"/>
    <x v="2"/>
    <x v="7"/>
    <x v="15"/>
    <s v="NO5_A1"/>
    <x v="6"/>
    <x v="7"/>
    <s v="GNR_RES_WTR_PMP_MC-01"/>
    <x v="0"/>
    <x v="9"/>
    <n v="444"/>
    <n v="162060"/>
    <n v="583416"/>
  </r>
  <r>
    <x v="0"/>
    <x v="2"/>
    <x v="2"/>
    <x v="7"/>
    <x v="15"/>
    <s v="NO5_A1"/>
    <x v="6"/>
    <x v="7"/>
    <s v="GNR_RES_WTR_PMP_MC-01"/>
    <x v="0"/>
    <x v="10"/>
    <n v="444"/>
    <n v="162060"/>
    <n v="583416"/>
  </r>
  <r>
    <x v="0"/>
    <x v="2"/>
    <x v="2"/>
    <x v="7"/>
    <x v="15"/>
    <s v="NO5_A1"/>
    <x v="6"/>
    <x v="7"/>
    <s v="GNR_RES_WTR_PMP_MC-01"/>
    <x v="0"/>
    <x v="11"/>
    <n v="444"/>
    <n v="162060"/>
    <n v="583416"/>
  </r>
  <r>
    <x v="0"/>
    <x v="2"/>
    <x v="2"/>
    <x v="7"/>
    <x v="15"/>
    <s v="NO5_A1"/>
    <x v="6"/>
    <x v="7"/>
    <s v="GNR_RES_WTR_PMP_MC-01"/>
    <x v="0"/>
    <x v="12"/>
    <n v="444"/>
    <n v="162060"/>
    <n v="583416"/>
  </r>
  <r>
    <x v="0"/>
    <x v="2"/>
    <x v="2"/>
    <x v="7"/>
    <x v="15"/>
    <s v="NO5_A1"/>
    <x v="6"/>
    <x v="7"/>
    <s v="GNR_RES_WTR_PMP_MC-01"/>
    <x v="0"/>
    <x v="13"/>
    <n v="444"/>
    <n v="162060"/>
    <n v="583416"/>
  </r>
  <r>
    <x v="0"/>
    <x v="2"/>
    <x v="2"/>
    <x v="7"/>
    <x v="15"/>
    <s v="NO5_A1"/>
    <x v="6"/>
    <x v="7"/>
    <s v="GNR_RES_WTR_PMP_MC-01"/>
    <x v="0"/>
    <x v="14"/>
    <n v="444"/>
    <n v="162060"/>
    <n v="583416"/>
  </r>
  <r>
    <x v="0"/>
    <x v="2"/>
    <x v="2"/>
    <x v="7"/>
    <x v="15"/>
    <s v="NO5_A1"/>
    <x v="6"/>
    <x v="7"/>
    <s v="GNR_RES_WTR_PMP_MC-01"/>
    <x v="0"/>
    <x v="15"/>
    <n v="444"/>
    <n v="162060"/>
    <n v="583416"/>
  </r>
  <r>
    <x v="0"/>
    <x v="2"/>
    <x v="2"/>
    <x v="7"/>
    <x v="15"/>
    <s v="NO5_A1"/>
    <x v="6"/>
    <x v="7"/>
    <s v="GNR_RES_WTR_PMP_MC-01"/>
    <x v="0"/>
    <x v="16"/>
    <n v="444"/>
    <n v="162060"/>
    <n v="583416"/>
  </r>
  <r>
    <x v="0"/>
    <x v="2"/>
    <x v="2"/>
    <x v="7"/>
    <x v="15"/>
    <s v="NO5_A1"/>
    <x v="6"/>
    <x v="7"/>
    <s v="GNR_RES_WTR_PMP_MC-01"/>
    <x v="0"/>
    <x v="17"/>
    <n v="444"/>
    <n v="162060"/>
    <n v="583416"/>
  </r>
  <r>
    <x v="0"/>
    <x v="2"/>
    <x v="2"/>
    <x v="7"/>
    <x v="15"/>
    <s v="NO5_A1"/>
    <x v="6"/>
    <x v="7"/>
    <s v="GNR_RES_WTR_PMP_MC-01"/>
    <x v="0"/>
    <x v="19"/>
    <n v="444"/>
    <n v="162060"/>
    <n v="583416"/>
  </r>
  <r>
    <x v="0"/>
    <x v="2"/>
    <x v="2"/>
    <x v="7"/>
    <x v="15"/>
    <s v="NO5_A1"/>
    <x v="6"/>
    <x v="7"/>
    <s v="GNR_RES_WTR_PMP_MC-01"/>
    <x v="0"/>
    <x v="20"/>
    <n v="444"/>
    <n v="162060"/>
    <n v="583416"/>
  </r>
  <r>
    <x v="0"/>
    <x v="2"/>
    <x v="2"/>
    <x v="7"/>
    <x v="15"/>
    <s v="NO5_A1"/>
    <x v="6"/>
    <x v="7"/>
    <s v="GNR_RES_WTR_PMP_MC-01"/>
    <x v="0"/>
    <x v="21"/>
    <n v="444"/>
    <n v="162060"/>
    <n v="583416"/>
  </r>
  <r>
    <x v="0"/>
    <x v="2"/>
    <x v="2"/>
    <x v="7"/>
    <x v="15"/>
    <s v="NO5_A1"/>
    <x v="6"/>
    <x v="7"/>
    <s v="GNR_RES_WTR_PMP_MC-01"/>
    <x v="0"/>
    <x v="22"/>
    <n v="444"/>
    <n v="162060"/>
    <n v="583416"/>
  </r>
  <r>
    <x v="0"/>
    <x v="2"/>
    <x v="2"/>
    <x v="7"/>
    <x v="15"/>
    <s v="NO5_A1"/>
    <x v="6"/>
    <x v="7"/>
    <s v="GNR_RES_WTR_PMP_MC-01"/>
    <x v="0"/>
    <x v="23"/>
    <n v="444"/>
    <n v="162060"/>
    <n v="583416"/>
  </r>
  <r>
    <x v="0"/>
    <x v="2"/>
    <x v="2"/>
    <x v="7"/>
    <x v="15"/>
    <s v="NO5_A1"/>
    <x v="6"/>
    <x v="4"/>
    <s v="GNR_ROR_WTR"/>
    <x v="0"/>
    <x v="0"/>
    <n v="1133.7193267950099"/>
    <n v="413807.55428018002"/>
    <n v="1489707.19540865"/>
  </r>
  <r>
    <x v="0"/>
    <x v="2"/>
    <x v="2"/>
    <x v="7"/>
    <x v="15"/>
    <s v="NO5_A1"/>
    <x v="6"/>
    <x v="4"/>
    <s v="GNR_ROR_WTR"/>
    <x v="0"/>
    <x v="1"/>
    <n v="1133.7193267950099"/>
    <n v="413807.55428018002"/>
    <n v="1489707.19540865"/>
  </r>
  <r>
    <x v="0"/>
    <x v="2"/>
    <x v="2"/>
    <x v="7"/>
    <x v="15"/>
    <s v="NO5_A1"/>
    <x v="6"/>
    <x v="4"/>
    <s v="GNR_ROR_WTR"/>
    <x v="0"/>
    <x v="18"/>
    <n v="1133.7193267950099"/>
    <n v="413807.55428018002"/>
    <n v="1489707.19540865"/>
  </r>
  <r>
    <x v="0"/>
    <x v="2"/>
    <x v="2"/>
    <x v="7"/>
    <x v="15"/>
    <s v="NO5_A1"/>
    <x v="6"/>
    <x v="4"/>
    <s v="GNR_ROR_WTR"/>
    <x v="0"/>
    <x v="2"/>
    <n v="1133.7193267950099"/>
    <n v="413807.55428018002"/>
    <n v="1489707.19540865"/>
  </r>
  <r>
    <x v="0"/>
    <x v="2"/>
    <x v="2"/>
    <x v="7"/>
    <x v="15"/>
    <s v="NO5_A1"/>
    <x v="6"/>
    <x v="4"/>
    <s v="GNR_ROR_WTR"/>
    <x v="0"/>
    <x v="3"/>
    <n v="1133.7193267950099"/>
    <n v="413807.55428018002"/>
    <n v="1489707.19540865"/>
  </r>
  <r>
    <x v="0"/>
    <x v="2"/>
    <x v="2"/>
    <x v="7"/>
    <x v="15"/>
    <s v="NO5_A1"/>
    <x v="6"/>
    <x v="4"/>
    <s v="GNR_ROR_WTR"/>
    <x v="0"/>
    <x v="4"/>
    <n v="1133.7193267950099"/>
    <n v="413807.55428018002"/>
    <n v="1489707.19540865"/>
  </r>
  <r>
    <x v="0"/>
    <x v="2"/>
    <x v="2"/>
    <x v="7"/>
    <x v="15"/>
    <s v="NO5_A1"/>
    <x v="6"/>
    <x v="4"/>
    <s v="GNR_ROR_WTR"/>
    <x v="0"/>
    <x v="5"/>
    <n v="1133.7193267950099"/>
    <n v="413807.55428018002"/>
    <n v="1489707.19540865"/>
  </r>
  <r>
    <x v="0"/>
    <x v="2"/>
    <x v="2"/>
    <x v="7"/>
    <x v="15"/>
    <s v="NO5_A1"/>
    <x v="6"/>
    <x v="4"/>
    <s v="GNR_ROR_WTR"/>
    <x v="0"/>
    <x v="6"/>
    <n v="1133.7193267950099"/>
    <n v="413807.55428018002"/>
    <n v="1489707.19540865"/>
  </r>
  <r>
    <x v="0"/>
    <x v="2"/>
    <x v="2"/>
    <x v="7"/>
    <x v="15"/>
    <s v="NO5_A1"/>
    <x v="6"/>
    <x v="4"/>
    <s v="GNR_ROR_WTR"/>
    <x v="0"/>
    <x v="7"/>
    <n v="1133.7193267950099"/>
    <n v="413807.55428018002"/>
    <n v="1489707.19540865"/>
  </r>
  <r>
    <x v="0"/>
    <x v="2"/>
    <x v="2"/>
    <x v="7"/>
    <x v="15"/>
    <s v="NO5_A1"/>
    <x v="6"/>
    <x v="4"/>
    <s v="GNR_ROR_WTR"/>
    <x v="0"/>
    <x v="8"/>
    <n v="1133.7193267950099"/>
    <n v="413807.55428018002"/>
    <n v="1489707.19540865"/>
  </r>
  <r>
    <x v="0"/>
    <x v="2"/>
    <x v="2"/>
    <x v="7"/>
    <x v="15"/>
    <s v="NO5_A1"/>
    <x v="6"/>
    <x v="4"/>
    <s v="GNR_ROR_WTR"/>
    <x v="0"/>
    <x v="9"/>
    <n v="1133.7193267950099"/>
    <n v="413807.55428018002"/>
    <n v="1489707.19540865"/>
  </r>
  <r>
    <x v="0"/>
    <x v="2"/>
    <x v="2"/>
    <x v="7"/>
    <x v="15"/>
    <s v="NO5_A1"/>
    <x v="6"/>
    <x v="4"/>
    <s v="GNR_ROR_WTR"/>
    <x v="0"/>
    <x v="10"/>
    <n v="1133.7193267950099"/>
    <n v="413807.55428018002"/>
    <n v="1489707.19540865"/>
  </r>
  <r>
    <x v="0"/>
    <x v="2"/>
    <x v="2"/>
    <x v="7"/>
    <x v="15"/>
    <s v="NO5_A1"/>
    <x v="6"/>
    <x v="4"/>
    <s v="GNR_ROR_WTR"/>
    <x v="0"/>
    <x v="11"/>
    <n v="1133.7193267950099"/>
    <n v="413807.55428018002"/>
    <n v="1489707.19540865"/>
  </r>
  <r>
    <x v="0"/>
    <x v="2"/>
    <x v="2"/>
    <x v="7"/>
    <x v="15"/>
    <s v="NO5_A1"/>
    <x v="6"/>
    <x v="4"/>
    <s v="GNR_ROR_WTR"/>
    <x v="0"/>
    <x v="12"/>
    <n v="1133.7193267950099"/>
    <n v="413807.55428018002"/>
    <n v="1489707.19540865"/>
  </r>
  <r>
    <x v="0"/>
    <x v="2"/>
    <x v="2"/>
    <x v="7"/>
    <x v="15"/>
    <s v="NO5_A1"/>
    <x v="6"/>
    <x v="4"/>
    <s v="GNR_ROR_WTR"/>
    <x v="0"/>
    <x v="13"/>
    <n v="1133.7193267950099"/>
    <n v="413807.55428018002"/>
    <n v="1489707.19540865"/>
  </r>
  <r>
    <x v="0"/>
    <x v="2"/>
    <x v="2"/>
    <x v="7"/>
    <x v="15"/>
    <s v="NO5_A1"/>
    <x v="6"/>
    <x v="4"/>
    <s v="GNR_ROR_WTR"/>
    <x v="0"/>
    <x v="14"/>
    <n v="1133.7193267950099"/>
    <n v="413807.55428018002"/>
    <n v="1489707.19540865"/>
  </r>
  <r>
    <x v="0"/>
    <x v="2"/>
    <x v="2"/>
    <x v="7"/>
    <x v="15"/>
    <s v="NO5_A1"/>
    <x v="6"/>
    <x v="4"/>
    <s v="GNR_ROR_WTR"/>
    <x v="0"/>
    <x v="15"/>
    <n v="1133.7193267950099"/>
    <n v="413807.55428018002"/>
    <n v="1489707.19540865"/>
  </r>
  <r>
    <x v="0"/>
    <x v="2"/>
    <x v="2"/>
    <x v="7"/>
    <x v="15"/>
    <s v="NO5_A1"/>
    <x v="6"/>
    <x v="4"/>
    <s v="GNR_ROR_WTR"/>
    <x v="0"/>
    <x v="16"/>
    <n v="1133.7193267950099"/>
    <n v="413807.55428018002"/>
    <n v="1489707.19540865"/>
  </r>
  <r>
    <x v="0"/>
    <x v="2"/>
    <x v="2"/>
    <x v="7"/>
    <x v="15"/>
    <s v="NO5_A1"/>
    <x v="6"/>
    <x v="4"/>
    <s v="GNR_ROR_WTR"/>
    <x v="0"/>
    <x v="17"/>
    <n v="1133.7193267950099"/>
    <n v="413807.55428018002"/>
    <n v="1489707.19540865"/>
  </r>
  <r>
    <x v="0"/>
    <x v="2"/>
    <x v="2"/>
    <x v="7"/>
    <x v="15"/>
    <s v="NO5_A1"/>
    <x v="6"/>
    <x v="4"/>
    <s v="GNR_ROR_WTR"/>
    <x v="0"/>
    <x v="19"/>
    <n v="1133.7193267950099"/>
    <n v="413807.55428018002"/>
    <n v="1489707.19540865"/>
  </r>
  <r>
    <x v="0"/>
    <x v="2"/>
    <x v="2"/>
    <x v="7"/>
    <x v="15"/>
    <s v="NO5_A1"/>
    <x v="6"/>
    <x v="4"/>
    <s v="GNR_ROR_WTR"/>
    <x v="0"/>
    <x v="20"/>
    <n v="1133.7193267950099"/>
    <n v="413807.55428018002"/>
    <n v="1489707.19540865"/>
  </r>
  <r>
    <x v="0"/>
    <x v="2"/>
    <x v="2"/>
    <x v="7"/>
    <x v="15"/>
    <s v="NO5_A1"/>
    <x v="6"/>
    <x v="4"/>
    <s v="GNR_ROR_WTR"/>
    <x v="0"/>
    <x v="21"/>
    <n v="1133.7193267950099"/>
    <n v="413807.55428018002"/>
    <n v="1489707.19540865"/>
  </r>
  <r>
    <x v="0"/>
    <x v="2"/>
    <x v="2"/>
    <x v="7"/>
    <x v="15"/>
    <s v="NO5_A1"/>
    <x v="6"/>
    <x v="4"/>
    <s v="GNR_ROR_WTR"/>
    <x v="0"/>
    <x v="22"/>
    <n v="1133.7193267950099"/>
    <n v="413807.55428018002"/>
    <n v="1489707.19540865"/>
  </r>
  <r>
    <x v="0"/>
    <x v="2"/>
    <x v="2"/>
    <x v="7"/>
    <x v="15"/>
    <s v="NO5_A1"/>
    <x v="6"/>
    <x v="4"/>
    <s v="GNR_ROR_WTR"/>
    <x v="0"/>
    <x v="23"/>
    <n v="1133.7193267950099"/>
    <n v="413807.55428018002"/>
    <n v="1489707.19540865"/>
  </r>
  <r>
    <x v="0"/>
    <x v="2"/>
    <x v="2"/>
    <x v="8"/>
    <x v="16"/>
    <s v="PL_A"/>
    <x v="19"/>
    <x v="6"/>
    <s v="GNR_ST_BGAS_CND_E-37"/>
    <x v="0"/>
    <x v="6"/>
    <n v="281.97584808691499"/>
    <n v="102921.184551724"/>
    <n v="370516.26438620698"/>
  </r>
  <r>
    <x v="0"/>
    <x v="2"/>
    <x v="2"/>
    <x v="8"/>
    <x v="16"/>
    <s v="PL_A"/>
    <x v="19"/>
    <x v="6"/>
    <s v="GNR_ST_BGAS_CND_E-37"/>
    <x v="0"/>
    <x v="7"/>
    <n v="364"/>
    <n v="132860"/>
    <n v="478296"/>
  </r>
  <r>
    <x v="0"/>
    <x v="2"/>
    <x v="2"/>
    <x v="8"/>
    <x v="16"/>
    <s v="PL_A"/>
    <x v="0"/>
    <x v="6"/>
    <s v="BIAL-4_ST_COAL_CND"/>
    <x v="0"/>
    <x v="5"/>
    <n v="21"/>
    <n v="7665"/>
    <n v="27594"/>
  </r>
  <r>
    <x v="0"/>
    <x v="2"/>
    <x v="2"/>
    <x v="8"/>
    <x v="16"/>
    <s v="PL_A"/>
    <x v="0"/>
    <x v="6"/>
    <s v="BIAL-4_ST_COAL_CND"/>
    <x v="0"/>
    <x v="6"/>
    <n v="21"/>
    <n v="7665"/>
    <n v="27594"/>
  </r>
  <r>
    <x v="0"/>
    <x v="2"/>
    <x v="2"/>
    <x v="8"/>
    <x v="16"/>
    <s v="PL_A"/>
    <x v="0"/>
    <x v="6"/>
    <s v="BIAL-4_ST_COAL_CND"/>
    <x v="0"/>
    <x v="7"/>
    <n v="21"/>
    <n v="7665"/>
    <n v="27594"/>
  </r>
  <r>
    <x v="0"/>
    <x v="2"/>
    <x v="2"/>
    <x v="8"/>
    <x v="16"/>
    <s v="PL_A"/>
    <x v="0"/>
    <x v="6"/>
    <s v="BIAL-4_ST_COAL_CND"/>
    <x v="0"/>
    <x v="8"/>
    <n v="21"/>
    <n v="7665"/>
    <n v="27594"/>
  </r>
  <r>
    <x v="0"/>
    <x v="2"/>
    <x v="2"/>
    <x v="8"/>
    <x v="16"/>
    <s v="PL_A"/>
    <x v="0"/>
    <x v="2"/>
    <s v="BIEL-4_ST_COAL_BP"/>
    <x v="0"/>
    <x v="6"/>
    <n v="48"/>
    <n v="17520"/>
    <n v="63072"/>
  </r>
  <r>
    <x v="0"/>
    <x v="2"/>
    <x v="2"/>
    <x v="8"/>
    <x v="16"/>
    <s v="PL_A"/>
    <x v="0"/>
    <x v="2"/>
    <s v="BIEL-4_ST_COAL_BP"/>
    <x v="0"/>
    <x v="7"/>
    <n v="48"/>
    <n v="17520"/>
    <n v="63072"/>
  </r>
  <r>
    <x v="0"/>
    <x v="2"/>
    <x v="2"/>
    <x v="8"/>
    <x v="16"/>
    <s v="PL_A"/>
    <x v="0"/>
    <x v="2"/>
    <s v="CHOR2-1_ST_COAL_BP"/>
    <x v="0"/>
    <x v="6"/>
    <n v="272"/>
    <n v="99280"/>
    <n v="357408"/>
  </r>
  <r>
    <x v="0"/>
    <x v="2"/>
    <x v="2"/>
    <x v="8"/>
    <x v="16"/>
    <s v="PL_A"/>
    <x v="0"/>
    <x v="2"/>
    <s v="CHOR2-1_ST_COAL_BP"/>
    <x v="0"/>
    <x v="7"/>
    <n v="272"/>
    <n v="99280"/>
    <n v="357408"/>
  </r>
  <r>
    <x v="0"/>
    <x v="2"/>
    <x v="2"/>
    <x v="8"/>
    <x v="16"/>
    <s v="PL_A"/>
    <x v="0"/>
    <x v="2"/>
    <s v="CHOR2-1_ST_COAL_BP"/>
    <x v="0"/>
    <x v="8"/>
    <n v="272"/>
    <n v="99280"/>
    <n v="357408"/>
  </r>
  <r>
    <x v="0"/>
    <x v="2"/>
    <x v="2"/>
    <x v="8"/>
    <x v="16"/>
    <s v="PL_A"/>
    <x v="0"/>
    <x v="2"/>
    <s v="KARO-2_ST_COAL_BP"/>
    <x v="0"/>
    <x v="6"/>
    <n v="88"/>
    <n v="32120"/>
    <n v="115632"/>
  </r>
  <r>
    <x v="0"/>
    <x v="2"/>
    <x v="2"/>
    <x v="8"/>
    <x v="16"/>
    <s v="PL_A"/>
    <x v="0"/>
    <x v="2"/>
    <s v="KARO-2_ST_COAL_BP"/>
    <x v="0"/>
    <x v="7"/>
    <n v="88"/>
    <n v="32120"/>
    <n v="115632"/>
  </r>
  <r>
    <x v="0"/>
    <x v="2"/>
    <x v="2"/>
    <x v="8"/>
    <x v="16"/>
    <s v="PL_A"/>
    <x v="0"/>
    <x v="2"/>
    <s v="KATO_ST_COAL_BP"/>
    <x v="0"/>
    <x v="5"/>
    <n v="123"/>
    <n v="44895"/>
    <n v="161622"/>
  </r>
  <r>
    <x v="0"/>
    <x v="2"/>
    <x v="2"/>
    <x v="8"/>
    <x v="16"/>
    <s v="PL_A"/>
    <x v="0"/>
    <x v="2"/>
    <s v="KATO_ST_COAL_BP"/>
    <x v="0"/>
    <x v="6"/>
    <n v="123"/>
    <n v="44895"/>
    <n v="161622"/>
  </r>
  <r>
    <x v="0"/>
    <x v="2"/>
    <x v="2"/>
    <x v="8"/>
    <x v="16"/>
    <s v="PL_A"/>
    <x v="0"/>
    <x v="2"/>
    <s v="KATO_ST_COAL_BP"/>
    <x v="0"/>
    <x v="7"/>
    <n v="123"/>
    <n v="44895"/>
    <n v="161622"/>
  </r>
  <r>
    <x v="0"/>
    <x v="2"/>
    <x v="2"/>
    <x v="8"/>
    <x v="16"/>
    <s v="PL_A"/>
    <x v="0"/>
    <x v="2"/>
    <s v="KATO_ST_COAL_BP"/>
    <x v="0"/>
    <x v="8"/>
    <n v="123"/>
    <n v="44895"/>
    <n v="161622"/>
  </r>
  <r>
    <x v="0"/>
    <x v="2"/>
    <x v="2"/>
    <x v="8"/>
    <x v="16"/>
    <s v="PL_A"/>
    <x v="0"/>
    <x v="0"/>
    <s v="SIEK-8_ST_COAL_EXT"/>
    <x v="0"/>
    <x v="6"/>
    <n v="191"/>
    <n v="69715"/>
    <n v="250974"/>
  </r>
  <r>
    <x v="0"/>
    <x v="2"/>
    <x v="2"/>
    <x v="8"/>
    <x v="16"/>
    <s v="PL_A"/>
    <x v="0"/>
    <x v="0"/>
    <s v="SIEK-8_ST_COAL_EXT"/>
    <x v="0"/>
    <x v="7"/>
    <n v="191"/>
    <n v="69715"/>
    <n v="250974"/>
  </r>
  <r>
    <x v="0"/>
    <x v="2"/>
    <x v="2"/>
    <x v="8"/>
    <x v="16"/>
    <s v="PL_A"/>
    <x v="0"/>
    <x v="2"/>
    <s v="SIER-1_ST_COAL_BP"/>
    <x v="0"/>
    <x v="5"/>
    <n v="141"/>
    <n v="51465"/>
    <n v="185274"/>
  </r>
  <r>
    <x v="0"/>
    <x v="2"/>
    <x v="2"/>
    <x v="8"/>
    <x v="16"/>
    <s v="PL_A"/>
    <x v="0"/>
    <x v="2"/>
    <s v="SIER-1_ST_COAL_BP"/>
    <x v="0"/>
    <x v="6"/>
    <n v="141"/>
    <n v="51465"/>
    <n v="185274"/>
  </r>
  <r>
    <x v="0"/>
    <x v="2"/>
    <x v="2"/>
    <x v="8"/>
    <x v="16"/>
    <s v="PL_A"/>
    <x v="0"/>
    <x v="2"/>
    <s v="SIER-1_ST_COAL_BP"/>
    <x v="0"/>
    <x v="7"/>
    <n v="141"/>
    <n v="51465"/>
    <n v="185274"/>
  </r>
  <r>
    <x v="0"/>
    <x v="2"/>
    <x v="2"/>
    <x v="8"/>
    <x v="16"/>
    <s v="PL_A"/>
    <x v="0"/>
    <x v="2"/>
    <s v="SIER-1_ST_COAL_BP"/>
    <x v="0"/>
    <x v="8"/>
    <n v="141"/>
    <n v="51465"/>
    <n v="185274"/>
  </r>
  <r>
    <x v="0"/>
    <x v="2"/>
    <x v="2"/>
    <x v="8"/>
    <x v="16"/>
    <s v="PL_A"/>
    <x v="0"/>
    <x v="2"/>
    <s v="SIER-1_ST_COAL_BP"/>
    <x v="0"/>
    <x v="9"/>
    <n v="141"/>
    <n v="51465"/>
    <n v="185274"/>
  </r>
  <r>
    <x v="0"/>
    <x v="2"/>
    <x v="2"/>
    <x v="8"/>
    <x v="16"/>
    <s v="PL_A"/>
    <x v="0"/>
    <x v="2"/>
    <s v="SKAW-1_ST_COAL_BP"/>
    <x v="0"/>
    <x v="7"/>
    <n v="97"/>
    <n v="35405"/>
    <n v="127458"/>
  </r>
  <r>
    <x v="0"/>
    <x v="2"/>
    <x v="2"/>
    <x v="8"/>
    <x v="16"/>
    <s v="PL_A"/>
    <x v="0"/>
    <x v="2"/>
    <s v="TYCH_ST_COAL_BP"/>
    <x v="0"/>
    <x v="6"/>
    <n v="36"/>
    <n v="13140"/>
    <n v="47304"/>
  </r>
  <r>
    <x v="0"/>
    <x v="2"/>
    <x v="2"/>
    <x v="8"/>
    <x v="16"/>
    <s v="PL_A"/>
    <x v="0"/>
    <x v="2"/>
    <s v="TYCH_ST_COAL_BP"/>
    <x v="0"/>
    <x v="7"/>
    <n v="36"/>
    <n v="13140"/>
    <n v="47304"/>
  </r>
  <r>
    <x v="0"/>
    <x v="2"/>
    <x v="2"/>
    <x v="8"/>
    <x v="16"/>
    <s v="PL_A"/>
    <x v="0"/>
    <x v="2"/>
    <s v="TYCH_ST_COAL_BP"/>
    <x v="0"/>
    <x v="8"/>
    <n v="12.7542104942224"/>
    <n v="4655.2868303911901"/>
    <n v="16759.0325894083"/>
  </r>
  <r>
    <x v="0"/>
    <x v="2"/>
    <x v="2"/>
    <x v="8"/>
    <x v="16"/>
    <s v="PL_A"/>
    <x v="0"/>
    <x v="0"/>
    <s v="ZERA-7_ST_COAL_EXT"/>
    <x v="0"/>
    <x v="7"/>
    <n v="84"/>
    <n v="30660"/>
    <n v="110376"/>
  </r>
  <r>
    <x v="0"/>
    <x v="2"/>
    <x v="2"/>
    <x v="8"/>
    <x v="16"/>
    <s v="PL_A"/>
    <x v="0"/>
    <x v="0"/>
    <s v="ZERA-8_ST_COAL_EXT"/>
    <x v="0"/>
    <x v="7"/>
    <n v="84"/>
    <n v="30660"/>
    <n v="110376"/>
  </r>
  <r>
    <x v="0"/>
    <x v="2"/>
    <x v="2"/>
    <x v="8"/>
    <x v="16"/>
    <s v="PL_A"/>
    <x v="0"/>
    <x v="2"/>
    <s v="ZIEL-2_ST_COAL_BP"/>
    <x v="0"/>
    <x v="5"/>
    <n v="11"/>
    <n v="4015"/>
    <n v="14454"/>
  </r>
  <r>
    <x v="0"/>
    <x v="2"/>
    <x v="2"/>
    <x v="8"/>
    <x v="16"/>
    <s v="PL_A"/>
    <x v="0"/>
    <x v="2"/>
    <s v="ZIEL-2_ST_COAL_BP"/>
    <x v="0"/>
    <x v="6"/>
    <n v="11"/>
    <n v="4015"/>
    <n v="14454"/>
  </r>
  <r>
    <x v="0"/>
    <x v="2"/>
    <x v="2"/>
    <x v="8"/>
    <x v="16"/>
    <s v="PL_A"/>
    <x v="0"/>
    <x v="2"/>
    <s v="ZIEL-2_ST_COAL_BP"/>
    <x v="0"/>
    <x v="7"/>
    <n v="11"/>
    <n v="4015"/>
    <n v="14454"/>
  </r>
  <r>
    <x v="0"/>
    <x v="2"/>
    <x v="2"/>
    <x v="8"/>
    <x v="16"/>
    <s v="PL_A"/>
    <x v="0"/>
    <x v="2"/>
    <s v="ZIEL-2_ST_COAL_BP"/>
    <x v="0"/>
    <x v="8"/>
    <n v="11"/>
    <n v="4015"/>
    <n v="14454"/>
  </r>
  <r>
    <x v="0"/>
    <x v="2"/>
    <x v="2"/>
    <x v="8"/>
    <x v="16"/>
    <s v="PL_A"/>
    <x v="0"/>
    <x v="2"/>
    <s v="ZIEL-2_ST_COAL_BP"/>
    <x v="0"/>
    <x v="9"/>
    <n v="11"/>
    <n v="4015"/>
    <n v="14454"/>
  </r>
  <r>
    <x v="0"/>
    <x v="2"/>
    <x v="2"/>
    <x v="8"/>
    <x v="16"/>
    <s v="PL_A"/>
    <x v="0"/>
    <x v="2"/>
    <s v="ZIEL-4_ST_COAL_BP"/>
    <x v="0"/>
    <x v="5"/>
    <n v="60"/>
    <n v="21900"/>
    <n v="78840"/>
  </r>
  <r>
    <x v="0"/>
    <x v="2"/>
    <x v="2"/>
    <x v="8"/>
    <x v="16"/>
    <s v="PL_A"/>
    <x v="0"/>
    <x v="2"/>
    <s v="ZIEL-4_ST_COAL_BP"/>
    <x v="0"/>
    <x v="6"/>
    <n v="60"/>
    <n v="21900"/>
    <n v="78840"/>
  </r>
  <r>
    <x v="0"/>
    <x v="2"/>
    <x v="2"/>
    <x v="8"/>
    <x v="16"/>
    <s v="PL_A"/>
    <x v="0"/>
    <x v="2"/>
    <s v="ZIEL-4_ST_COAL_BP"/>
    <x v="0"/>
    <x v="7"/>
    <n v="60"/>
    <n v="21900"/>
    <n v="78840"/>
  </r>
  <r>
    <x v="0"/>
    <x v="2"/>
    <x v="2"/>
    <x v="8"/>
    <x v="16"/>
    <s v="PL_A"/>
    <x v="0"/>
    <x v="2"/>
    <s v="ZIEL-4_ST_COAL_BP"/>
    <x v="0"/>
    <x v="8"/>
    <n v="60"/>
    <n v="21900"/>
    <n v="78840"/>
  </r>
  <r>
    <x v="0"/>
    <x v="2"/>
    <x v="2"/>
    <x v="8"/>
    <x v="16"/>
    <s v="PL_A"/>
    <x v="0"/>
    <x v="2"/>
    <s v="ZIEL-4_ST_COAL_BP"/>
    <x v="0"/>
    <x v="9"/>
    <n v="60"/>
    <n v="21900"/>
    <n v="78840"/>
  </r>
  <r>
    <x v="0"/>
    <x v="2"/>
    <x v="2"/>
    <x v="8"/>
    <x v="16"/>
    <s v="PL_A"/>
    <x v="2"/>
    <x v="0"/>
    <s v="GNR_ST_MSW_BP_E-15"/>
    <x v="0"/>
    <x v="0"/>
    <n v="34"/>
    <n v="12410"/>
    <n v="44676"/>
  </r>
  <r>
    <x v="0"/>
    <x v="2"/>
    <x v="2"/>
    <x v="8"/>
    <x v="16"/>
    <s v="PL_A"/>
    <x v="2"/>
    <x v="0"/>
    <s v="GNR_ST_MSW_BP_E-15"/>
    <x v="0"/>
    <x v="1"/>
    <n v="34"/>
    <n v="12410"/>
    <n v="44676"/>
  </r>
  <r>
    <x v="0"/>
    <x v="2"/>
    <x v="2"/>
    <x v="8"/>
    <x v="16"/>
    <s v="PL_A"/>
    <x v="2"/>
    <x v="0"/>
    <s v="GNR_ST_MSW_BP_E-15"/>
    <x v="0"/>
    <x v="18"/>
    <n v="34"/>
    <n v="12410"/>
    <n v="44676"/>
  </r>
  <r>
    <x v="0"/>
    <x v="2"/>
    <x v="2"/>
    <x v="8"/>
    <x v="16"/>
    <s v="PL_A"/>
    <x v="2"/>
    <x v="0"/>
    <s v="GNR_ST_MSW_BP_E-15"/>
    <x v="0"/>
    <x v="2"/>
    <n v="34"/>
    <n v="12410"/>
    <n v="44676"/>
  </r>
  <r>
    <x v="0"/>
    <x v="2"/>
    <x v="2"/>
    <x v="8"/>
    <x v="16"/>
    <s v="PL_A"/>
    <x v="2"/>
    <x v="0"/>
    <s v="GNR_ST_MSW_BP_E-15"/>
    <x v="0"/>
    <x v="3"/>
    <n v="34"/>
    <n v="12410"/>
    <n v="44676"/>
  </r>
  <r>
    <x v="0"/>
    <x v="2"/>
    <x v="2"/>
    <x v="8"/>
    <x v="16"/>
    <s v="PL_A"/>
    <x v="2"/>
    <x v="0"/>
    <s v="GNR_ST_MSW_BP_E-15"/>
    <x v="0"/>
    <x v="4"/>
    <n v="34"/>
    <n v="12410"/>
    <n v="44676"/>
  </r>
  <r>
    <x v="0"/>
    <x v="2"/>
    <x v="2"/>
    <x v="8"/>
    <x v="16"/>
    <s v="PL_A"/>
    <x v="2"/>
    <x v="0"/>
    <s v="GNR_ST_MSW_BP_E-15"/>
    <x v="0"/>
    <x v="5"/>
    <n v="34"/>
    <n v="12410"/>
    <n v="44676"/>
  </r>
  <r>
    <x v="0"/>
    <x v="2"/>
    <x v="2"/>
    <x v="8"/>
    <x v="16"/>
    <s v="PL_A"/>
    <x v="2"/>
    <x v="0"/>
    <s v="GNR_ST_MSW_BP_E-15"/>
    <x v="0"/>
    <x v="6"/>
    <n v="34"/>
    <n v="12410"/>
    <n v="44676"/>
  </r>
  <r>
    <x v="0"/>
    <x v="2"/>
    <x v="2"/>
    <x v="8"/>
    <x v="16"/>
    <s v="PL_A"/>
    <x v="2"/>
    <x v="0"/>
    <s v="GNR_ST_MSW_BP_E-15"/>
    <x v="0"/>
    <x v="7"/>
    <n v="34"/>
    <n v="12410"/>
    <n v="44676"/>
  </r>
  <r>
    <x v="0"/>
    <x v="2"/>
    <x v="2"/>
    <x v="8"/>
    <x v="16"/>
    <s v="PL_A"/>
    <x v="2"/>
    <x v="0"/>
    <s v="GNR_ST_MSW_BP_E-15"/>
    <x v="0"/>
    <x v="8"/>
    <n v="34"/>
    <n v="12410"/>
    <n v="44676"/>
  </r>
  <r>
    <x v="0"/>
    <x v="2"/>
    <x v="2"/>
    <x v="8"/>
    <x v="16"/>
    <s v="PL_A"/>
    <x v="2"/>
    <x v="0"/>
    <s v="GNR_ST_MSW_BP_E-15"/>
    <x v="0"/>
    <x v="9"/>
    <n v="34"/>
    <n v="12410"/>
    <n v="44676"/>
  </r>
  <r>
    <x v="0"/>
    <x v="2"/>
    <x v="2"/>
    <x v="8"/>
    <x v="16"/>
    <s v="PL_A"/>
    <x v="2"/>
    <x v="0"/>
    <s v="GNR_ST_MSW_BP_E-15"/>
    <x v="0"/>
    <x v="10"/>
    <n v="34"/>
    <n v="12410"/>
    <n v="44676"/>
  </r>
  <r>
    <x v="0"/>
    <x v="2"/>
    <x v="2"/>
    <x v="8"/>
    <x v="16"/>
    <s v="PL_A"/>
    <x v="2"/>
    <x v="0"/>
    <s v="GNR_ST_MSW_BP_E-15"/>
    <x v="0"/>
    <x v="11"/>
    <n v="34"/>
    <n v="12410"/>
    <n v="44676"/>
  </r>
  <r>
    <x v="0"/>
    <x v="2"/>
    <x v="2"/>
    <x v="8"/>
    <x v="16"/>
    <s v="PL_A"/>
    <x v="2"/>
    <x v="0"/>
    <s v="GNR_ST_MSW_BP_E-15"/>
    <x v="0"/>
    <x v="12"/>
    <n v="34"/>
    <n v="12410"/>
    <n v="44676"/>
  </r>
  <r>
    <x v="0"/>
    <x v="2"/>
    <x v="2"/>
    <x v="8"/>
    <x v="16"/>
    <s v="PL_A"/>
    <x v="2"/>
    <x v="0"/>
    <s v="GNR_ST_MSW_BP_E-15"/>
    <x v="0"/>
    <x v="13"/>
    <n v="34"/>
    <n v="12410"/>
    <n v="44676"/>
  </r>
  <r>
    <x v="0"/>
    <x v="2"/>
    <x v="2"/>
    <x v="8"/>
    <x v="16"/>
    <s v="PL_A"/>
    <x v="2"/>
    <x v="0"/>
    <s v="GNR_ST_MSW_BP_E-15"/>
    <x v="0"/>
    <x v="14"/>
    <n v="34"/>
    <n v="12410"/>
    <n v="44676"/>
  </r>
  <r>
    <x v="0"/>
    <x v="2"/>
    <x v="2"/>
    <x v="8"/>
    <x v="16"/>
    <s v="PL_A"/>
    <x v="2"/>
    <x v="0"/>
    <s v="GNR_ST_MSW_BP_E-15"/>
    <x v="0"/>
    <x v="15"/>
    <n v="34"/>
    <n v="12410"/>
    <n v="44676"/>
  </r>
  <r>
    <x v="0"/>
    <x v="2"/>
    <x v="2"/>
    <x v="8"/>
    <x v="16"/>
    <s v="PL_A"/>
    <x v="2"/>
    <x v="0"/>
    <s v="GNR_ST_MSW_BP_E-15"/>
    <x v="0"/>
    <x v="16"/>
    <n v="34"/>
    <n v="12410"/>
    <n v="44676"/>
  </r>
  <r>
    <x v="0"/>
    <x v="2"/>
    <x v="2"/>
    <x v="8"/>
    <x v="16"/>
    <s v="PL_A"/>
    <x v="2"/>
    <x v="0"/>
    <s v="GNR_ST_MSW_BP_E-15"/>
    <x v="0"/>
    <x v="17"/>
    <n v="34"/>
    <n v="12410"/>
    <n v="44676"/>
  </r>
  <r>
    <x v="0"/>
    <x v="2"/>
    <x v="2"/>
    <x v="8"/>
    <x v="16"/>
    <s v="PL_A"/>
    <x v="2"/>
    <x v="0"/>
    <s v="GNR_ST_MSW_BP_E-15"/>
    <x v="0"/>
    <x v="19"/>
    <n v="34"/>
    <n v="12410"/>
    <n v="44676"/>
  </r>
  <r>
    <x v="0"/>
    <x v="2"/>
    <x v="2"/>
    <x v="8"/>
    <x v="16"/>
    <s v="PL_A"/>
    <x v="2"/>
    <x v="0"/>
    <s v="GNR_ST_MSW_BP_E-15"/>
    <x v="0"/>
    <x v="20"/>
    <n v="34"/>
    <n v="12410"/>
    <n v="44676"/>
  </r>
  <r>
    <x v="0"/>
    <x v="2"/>
    <x v="2"/>
    <x v="8"/>
    <x v="16"/>
    <s v="PL_A"/>
    <x v="2"/>
    <x v="0"/>
    <s v="GNR_ST_MSW_BP_E-15"/>
    <x v="0"/>
    <x v="21"/>
    <n v="34"/>
    <n v="12410"/>
    <n v="44676"/>
  </r>
  <r>
    <x v="0"/>
    <x v="2"/>
    <x v="2"/>
    <x v="8"/>
    <x v="16"/>
    <s v="PL_A"/>
    <x v="2"/>
    <x v="0"/>
    <s v="GNR_ST_MSW_BP_E-15"/>
    <x v="0"/>
    <x v="22"/>
    <n v="34"/>
    <n v="12410"/>
    <n v="44676"/>
  </r>
  <r>
    <x v="0"/>
    <x v="2"/>
    <x v="2"/>
    <x v="8"/>
    <x v="16"/>
    <s v="PL_A"/>
    <x v="8"/>
    <x v="2"/>
    <s v="GORZ-4_ST_NGAS_BP"/>
    <x v="0"/>
    <x v="7"/>
    <n v="52"/>
    <n v="18980"/>
    <n v="68328"/>
  </r>
  <r>
    <x v="0"/>
    <x v="2"/>
    <x v="2"/>
    <x v="8"/>
    <x v="16"/>
    <s v="PL_A"/>
    <x v="8"/>
    <x v="2"/>
    <s v="NOWA-1_ST_NGAS_BP"/>
    <x v="0"/>
    <x v="6"/>
    <n v="127"/>
    <n v="46355"/>
    <n v="166878"/>
  </r>
  <r>
    <x v="0"/>
    <x v="2"/>
    <x v="2"/>
    <x v="8"/>
    <x v="16"/>
    <s v="PL_A"/>
    <x v="8"/>
    <x v="2"/>
    <s v="NOWA-1_ST_NGAS_BP"/>
    <x v="0"/>
    <x v="7"/>
    <n v="127"/>
    <n v="46355"/>
    <n v="166878"/>
  </r>
  <r>
    <x v="0"/>
    <x v="2"/>
    <x v="2"/>
    <x v="8"/>
    <x v="16"/>
    <s v="PL_A"/>
    <x v="8"/>
    <x v="2"/>
    <s v="NOWA-1_ST_NGAS_BP"/>
    <x v="0"/>
    <x v="8"/>
    <n v="127"/>
    <n v="46355"/>
    <n v="166878"/>
  </r>
  <r>
    <x v="0"/>
    <x v="2"/>
    <x v="2"/>
    <x v="8"/>
    <x v="16"/>
    <s v="PL_A"/>
    <x v="8"/>
    <x v="2"/>
    <s v="RZES-2_ST_NGAS_BP"/>
    <x v="0"/>
    <x v="6"/>
    <n v="32"/>
    <n v="11680"/>
    <n v="42048"/>
  </r>
  <r>
    <x v="0"/>
    <x v="2"/>
    <x v="2"/>
    <x v="8"/>
    <x v="16"/>
    <s v="PL_A"/>
    <x v="8"/>
    <x v="2"/>
    <s v="RZES-2_ST_NGAS_BP"/>
    <x v="0"/>
    <x v="7"/>
    <n v="32"/>
    <n v="11680"/>
    <n v="42048"/>
  </r>
  <r>
    <x v="0"/>
    <x v="2"/>
    <x v="2"/>
    <x v="8"/>
    <x v="16"/>
    <s v="PL_A"/>
    <x v="8"/>
    <x v="2"/>
    <s v="RZES-2_ST_NGAS_BP"/>
    <x v="0"/>
    <x v="8"/>
    <n v="32"/>
    <n v="11680"/>
    <n v="42048"/>
  </r>
  <r>
    <x v="0"/>
    <x v="2"/>
    <x v="2"/>
    <x v="8"/>
    <x v="16"/>
    <s v="PL_A"/>
    <x v="8"/>
    <x v="2"/>
    <s v="ZIEL-3_ST_NGAS_BP"/>
    <x v="0"/>
    <x v="5"/>
    <n v="106.735020645398"/>
    <n v="38958.282535570099"/>
    <n v="140249.817128052"/>
  </r>
  <r>
    <x v="0"/>
    <x v="2"/>
    <x v="2"/>
    <x v="8"/>
    <x v="16"/>
    <s v="PL_A"/>
    <x v="8"/>
    <x v="2"/>
    <s v="ZIEL-3_ST_NGAS_BP"/>
    <x v="0"/>
    <x v="6"/>
    <n v="120"/>
    <n v="43800"/>
    <n v="157680"/>
  </r>
  <r>
    <x v="0"/>
    <x v="2"/>
    <x v="2"/>
    <x v="8"/>
    <x v="16"/>
    <s v="PL_A"/>
    <x v="8"/>
    <x v="2"/>
    <s v="ZIEL-3_ST_NGAS_BP"/>
    <x v="0"/>
    <x v="7"/>
    <n v="120"/>
    <n v="43800"/>
    <n v="157680"/>
  </r>
  <r>
    <x v="0"/>
    <x v="2"/>
    <x v="2"/>
    <x v="8"/>
    <x v="16"/>
    <s v="PL_A"/>
    <x v="8"/>
    <x v="2"/>
    <s v="ZIEL-3_ST_NGAS_BP"/>
    <x v="0"/>
    <x v="8"/>
    <n v="120"/>
    <n v="43800"/>
    <n v="157680"/>
  </r>
  <r>
    <x v="0"/>
    <x v="2"/>
    <x v="2"/>
    <x v="8"/>
    <x v="16"/>
    <s v="PL_A"/>
    <x v="3"/>
    <x v="0"/>
    <s v="LODZ-3_ST_STRAW_EXT"/>
    <x v="0"/>
    <x v="5"/>
    <n v="88"/>
    <n v="32120"/>
    <n v="115632"/>
  </r>
  <r>
    <x v="0"/>
    <x v="2"/>
    <x v="2"/>
    <x v="8"/>
    <x v="16"/>
    <s v="PL_A"/>
    <x v="3"/>
    <x v="0"/>
    <s v="LODZ-3_ST_STRAW_EXT"/>
    <x v="0"/>
    <x v="6"/>
    <n v="88"/>
    <n v="32120"/>
    <n v="115632"/>
  </r>
  <r>
    <x v="0"/>
    <x v="2"/>
    <x v="2"/>
    <x v="8"/>
    <x v="16"/>
    <s v="PL_A"/>
    <x v="3"/>
    <x v="0"/>
    <s v="LODZ-3_ST_STRAW_EXT"/>
    <x v="0"/>
    <x v="7"/>
    <n v="88"/>
    <n v="32120"/>
    <n v="115632"/>
  </r>
  <r>
    <x v="0"/>
    <x v="2"/>
    <x v="2"/>
    <x v="8"/>
    <x v="16"/>
    <s v="PL_A"/>
    <x v="3"/>
    <x v="0"/>
    <s v="LODZ-3_ST_STRAW_EXT"/>
    <x v="0"/>
    <x v="8"/>
    <n v="88"/>
    <n v="32120"/>
    <n v="115632"/>
  </r>
  <r>
    <x v="0"/>
    <x v="2"/>
    <x v="2"/>
    <x v="8"/>
    <x v="16"/>
    <s v="PL_A"/>
    <x v="5"/>
    <x v="3"/>
    <s v="GNR_PV_SUN"/>
    <x v="0"/>
    <x v="7"/>
    <n v="2.2203077554217899E-2"/>
    <n v="8.1041233072895391"/>
    <n v="29.174843906242302"/>
  </r>
  <r>
    <x v="0"/>
    <x v="2"/>
    <x v="2"/>
    <x v="8"/>
    <x v="16"/>
    <s v="PL_A"/>
    <x v="5"/>
    <x v="3"/>
    <s v="GNR_PV_SUN"/>
    <x v="0"/>
    <x v="8"/>
    <n v="0.16714932230559901"/>
    <n v="61.009502641543797"/>
    <n v="219.63420950955799"/>
  </r>
  <r>
    <x v="0"/>
    <x v="2"/>
    <x v="2"/>
    <x v="8"/>
    <x v="16"/>
    <s v="PL_A"/>
    <x v="5"/>
    <x v="3"/>
    <s v="GNR_PV_SUN"/>
    <x v="0"/>
    <x v="9"/>
    <n v="0.38610582557104101"/>
    <n v="140.92862633343"/>
    <n v="507.34305480034698"/>
  </r>
  <r>
    <x v="0"/>
    <x v="2"/>
    <x v="2"/>
    <x v="8"/>
    <x v="16"/>
    <s v="PL_A"/>
    <x v="5"/>
    <x v="3"/>
    <s v="GNR_PV_SUN"/>
    <x v="0"/>
    <x v="10"/>
    <n v="0.58798303841015997"/>
    <n v="214.61380901970901"/>
    <n v="772.60971247095097"/>
  </r>
  <r>
    <x v="0"/>
    <x v="2"/>
    <x v="2"/>
    <x v="8"/>
    <x v="16"/>
    <s v="PL_A"/>
    <x v="5"/>
    <x v="3"/>
    <s v="GNR_PV_SUN"/>
    <x v="0"/>
    <x v="11"/>
    <n v="0.66848342728622201"/>
    <n v="243.99645095947099"/>
    <n v="878.38722345409599"/>
  </r>
  <r>
    <x v="0"/>
    <x v="2"/>
    <x v="2"/>
    <x v="8"/>
    <x v="16"/>
    <s v="PL_A"/>
    <x v="5"/>
    <x v="3"/>
    <s v="GNR_PV_SUN"/>
    <x v="0"/>
    <x v="12"/>
    <n v="0.58126518417580697"/>
    <n v="212.16179222417"/>
    <n v="763.78245200701099"/>
  </r>
  <r>
    <x v="0"/>
    <x v="2"/>
    <x v="2"/>
    <x v="8"/>
    <x v="16"/>
    <s v="PL_A"/>
    <x v="5"/>
    <x v="3"/>
    <s v="GNR_PV_SUN"/>
    <x v="0"/>
    <x v="13"/>
    <n v="0.37824935197493298"/>
    <n v="138.06101347085001"/>
    <n v="497.01964849506197"/>
  </r>
  <r>
    <x v="0"/>
    <x v="2"/>
    <x v="2"/>
    <x v="8"/>
    <x v="16"/>
    <s v="PL_A"/>
    <x v="5"/>
    <x v="3"/>
    <s v="GNR_PV_SUN"/>
    <x v="0"/>
    <x v="14"/>
    <n v="0.191515776647151"/>
    <n v="69.903258476210297"/>
    <n v="251.65173051435701"/>
  </r>
  <r>
    <x v="0"/>
    <x v="2"/>
    <x v="2"/>
    <x v="8"/>
    <x v="16"/>
    <s v="PL_A"/>
    <x v="5"/>
    <x v="3"/>
    <s v="GNR_PV_SUN"/>
    <x v="0"/>
    <x v="15"/>
    <n v="2.4935764022429301E-2"/>
    <n v="9.1015538681867092"/>
    <n v="32.765593925472203"/>
  </r>
  <r>
    <x v="0"/>
    <x v="2"/>
    <x v="2"/>
    <x v="8"/>
    <x v="16"/>
    <s v="PL_A"/>
    <x v="6"/>
    <x v="8"/>
    <s v="GNR_ES_WTR_PMP"/>
    <x v="0"/>
    <x v="7"/>
    <n v="17.263999999999999"/>
    <n v="6301.36"/>
    <n v="22684.896000000001"/>
  </r>
  <r>
    <x v="0"/>
    <x v="2"/>
    <x v="2"/>
    <x v="8"/>
    <x v="16"/>
    <s v="PL_A"/>
    <x v="7"/>
    <x v="5"/>
    <s v="GNR_WT_WIND_ONS"/>
    <x v="0"/>
    <x v="0"/>
    <n v="460.792299148464"/>
    <n v="168189.189189189"/>
    <n v="605481.08108108095"/>
  </r>
  <r>
    <x v="0"/>
    <x v="2"/>
    <x v="2"/>
    <x v="8"/>
    <x v="16"/>
    <s v="PL_A"/>
    <x v="7"/>
    <x v="5"/>
    <s v="GNR_WT_WIND_ONS"/>
    <x v="0"/>
    <x v="1"/>
    <n v="552.95075897815605"/>
    <n v="201827.02702702701"/>
    <n v="726577.29729729705"/>
  </r>
  <r>
    <x v="0"/>
    <x v="2"/>
    <x v="2"/>
    <x v="8"/>
    <x v="16"/>
    <s v="PL_A"/>
    <x v="7"/>
    <x v="5"/>
    <s v="GNR_WT_WIND_ONS"/>
    <x v="0"/>
    <x v="18"/>
    <n v="539.78526471677196"/>
    <n v="197021.62162162201"/>
    <n v="709277.83783783799"/>
  </r>
  <r>
    <x v="0"/>
    <x v="2"/>
    <x v="2"/>
    <x v="8"/>
    <x v="16"/>
    <s v="PL_A"/>
    <x v="7"/>
    <x v="5"/>
    <s v="GNR_WT_WIND_ONS"/>
    <x v="0"/>
    <x v="2"/>
    <n v="506.87152906330999"/>
    <n v="185008.10810810799"/>
    <n v="666029.189189189"/>
  </r>
  <r>
    <x v="0"/>
    <x v="2"/>
    <x v="2"/>
    <x v="8"/>
    <x v="16"/>
    <s v="PL_A"/>
    <x v="7"/>
    <x v="5"/>
    <s v="GNR_WT_WIND_ONS"/>
    <x v="0"/>
    <x v="3"/>
    <n v="375.21658644946302"/>
    <n v="136954.054054054"/>
    <n v="493034.59459459502"/>
  </r>
  <r>
    <x v="0"/>
    <x v="2"/>
    <x v="2"/>
    <x v="8"/>
    <x v="16"/>
    <s v="PL_A"/>
    <x v="7"/>
    <x v="5"/>
    <s v="GNR_WT_WIND_ONS"/>
    <x v="0"/>
    <x v="4"/>
    <n v="217.23065531284701"/>
    <n v="79289.189189189201"/>
    <n v="285441.08108108101"/>
  </r>
  <r>
    <x v="0"/>
    <x v="2"/>
    <x v="2"/>
    <x v="8"/>
    <x v="16"/>
    <s v="PL_A"/>
    <x v="7"/>
    <x v="5"/>
    <s v="GNR_WT_WIND_ONS"/>
    <x v="0"/>
    <x v="5"/>
    <n v="46.079229914846401"/>
    <n v="16818.918918918898"/>
    <n v="60548.108108108099"/>
  </r>
  <r>
    <x v="0"/>
    <x v="2"/>
    <x v="2"/>
    <x v="8"/>
    <x v="16"/>
    <s v="PL_A"/>
    <x v="7"/>
    <x v="5"/>
    <s v="GNR_WT_WIND_ONS"/>
    <x v="0"/>
    <x v="6"/>
    <n v="32.9137356534617"/>
    <n v="12013.513513513501"/>
    <n v="43248.648648648603"/>
  </r>
  <r>
    <x v="0"/>
    <x v="2"/>
    <x v="2"/>
    <x v="8"/>
    <x v="16"/>
    <s v="PL_A"/>
    <x v="7"/>
    <x v="5"/>
    <s v="GNR_WT_WIND_ONS"/>
    <x v="0"/>
    <x v="7"/>
    <n v="46.079229914846401"/>
    <n v="16818.918918918898"/>
    <n v="60548.108108108099"/>
  </r>
  <r>
    <x v="0"/>
    <x v="2"/>
    <x v="2"/>
    <x v="8"/>
    <x v="16"/>
    <s v="PL_A"/>
    <x v="7"/>
    <x v="5"/>
    <s v="GNR_WT_WIND_ONS"/>
    <x v="0"/>
    <x v="8"/>
    <n v="217.23065531284701"/>
    <n v="79289.189189189201"/>
    <n v="285441.08108108101"/>
  </r>
  <r>
    <x v="0"/>
    <x v="2"/>
    <x v="2"/>
    <x v="8"/>
    <x v="16"/>
    <s v="PL_A"/>
    <x v="7"/>
    <x v="5"/>
    <s v="GNR_WT_WIND_ONS"/>
    <x v="0"/>
    <x v="9"/>
    <n v="506.87152906330999"/>
    <n v="185008.10810810799"/>
    <n v="666029.189189189"/>
  </r>
  <r>
    <x v="0"/>
    <x v="2"/>
    <x v="2"/>
    <x v="8"/>
    <x v="16"/>
    <s v="PL_A"/>
    <x v="7"/>
    <x v="5"/>
    <s v="GNR_WT_WIND_ONS"/>
    <x v="0"/>
    <x v="10"/>
    <n v="783.34690855238796"/>
    <n v="285921.62162162201"/>
    <n v="1029317.83783784"/>
  </r>
  <r>
    <x v="0"/>
    <x v="2"/>
    <x v="2"/>
    <x v="8"/>
    <x v="16"/>
    <s v="PL_A"/>
    <x v="7"/>
    <x v="5"/>
    <s v="GNR_WT_WIND_ONS"/>
    <x v="0"/>
    <x v="11"/>
    <n v="908.41910403554198"/>
    <n v="331572.97297297302"/>
    <n v="1193662.7027026999"/>
  </r>
  <r>
    <x v="0"/>
    <x v="2"/>
    <x v="2"/>
    <x v="8"/>
    <x v="16"/>
    <s v="PL_A"/>
    <x v="7"/>
    <x v="5"/>
    <s v="GNR_WT_WIND_ONS"/>
    <x v="0"/>
    <x v="12"/>
    <n v="1040.0740466493901"/>
    <n v="379627.02702702698"/>
    <n v="1366657.2972973001"/>
  </r>
  <r>
    <x v="0"/>
    <x v="2"/>
    <x v="2"/>
    <x v="8"/>
    <x v="16"/>
    <s v="PL_A"/>
    <x v="7"/>
    <x v="5"/>
    <s v="GNR_WT_WIND_ONS"/>
    <x v="0"/>
    <x v="13"/>
    <n v="1040.0740466493901"/>
    <n v="379627.02702702698"/>
    <n v="1366657.2972973001"/>
  </r>
  <r>
    <x v="0"/>
    <x v="2"/>
    <x v="2"/>
    <x v="8"/>
    <x v="16"/>
    <s v="PL_A"/>
    <x v="7"/>
    <x v="5"/>
    <s v="GNR_WT_WIND_ONS"/>
    <x v="0"/>
    <x v="14"/>
    <n v="1645.68678267308"/>
    <n v="600675.67567567597"/>
    <n v="2162432.4324324299"/>
  </r>
  <r>
    <x v="0"/>
    <x v="2"/>
    <x v="2"/>
    <x v="8"/>
    <x v="16"/>
    <s v="PL_A"/>
    <x v="7"/>
    <x v="5"/>
    <s v="GNR_WT_WIND_ONS"/>
    <x v="0"/>
    <x v="15"/>
    <n v="2126.2273232136199"/>
    <n v="776072.97297297302"/>
    <n v="2793862.7027027002"/>
  </r>
  <r>
    <x v="0"/>
    <x v="2"/>
    <x v="2"/>
    <x v="8"/>
    <x v="16"/>
    <s v="PL_A"/>
    <x v="7"/>
    <x v="5"/>
    <s v="GNR_WT_WIND_ONS"/>
    <x v="0"/>
    <x v="16"/>
    <n v="2099.8963346908599"/>
    <n v="766462.16216216201"/>
    <n v="2759263.7837837799"/>
  </r>
  <r>
    <x v="0"/>
    <x v="2"/>
    <x v="2"/>
    <x v="8"/>
    <x v="16"/>
    <s v="PL_A"/>
    <x v="7"/>
    <x v="5"/>
    <s v="GNR_WT_WIND_ONS"/>
    <x v="0"/>
    <x v="17"/>
    <n v="2870.0777489818602"/>
    <n v="1047578.37837838"/>
    <n v="3771282.16216216"/>
  </r>
  <r>
    <x v="0"/>
    <x v="2"/>
    <x v="2"/>
    <x v="8"/>
    <x v="16"/>
    <s v="PL_A"/>
    <x v="7"/>
    <x v="5"/>
    <s v="GNR_WT_WIND_ONS"/>
    <x v="0"/>
    <x v="19"/>
    <n v="4272.2028878193296"/>
    <n v="1559354.05405405"/>
    <n v="5613674.5945945904"/>
  </r>
  <r>
    <x v="0"/>
    <x v="2"/>
    <x v="2"/>
    <x v="8"/>
    <x v="16"/>
    <s v="PL_A"/>
    <x v="7"/>
    <x v="5"/>
    <s v="GNR_WT_WIND_ONS"/>
    <x v="0"/>
    <x v="20"/>
    <n v="4950.2258422806399"/>
    <n v="1806832.4324324301"/>
    <n v="6504596.7567567602"/>
  </r>
  <r>
    <x v="0"/>
    <x v="2"/>
    <x v="2"/>
    <x v="8"/>
    <x v="16"/>
    <s v="PL_A"/>
    <x v="7"/>
    <x v="5"/>
    <s v="GNR_WT_WIND_ONS"/>
    <x v="0"/>
    <x v="21"/>
    <n v="5338.6079229914803"/>
    <n v="1948591.89189189"/>
    <n v="7014930.81081081"/>
  </r>
  <r>
    <x v="0"/>
    <x v="2"/>
    <x v="2"/>
    <x v="8"/>
    <x v="16"/>
    <s v="PL_A"/>
    <x v="7"/>
    <x v="5"/>
    <s v="GNR_WT_WIND_ONS"/>
    <x v="0"/>
    <x v="22"/>
    <n v="5424.1836356904896"/>
    <n v="1979827.02702703"/>
    <n v="7127377.2972972998"/>
  </r>
  <r>
    <x v="0"/>
    <x v="2"/>
    <x v="2"/>
    <x v="8"/>
    <x v="16"/>
    <s v="PL_A"/>
    <x v="7"/>
    <x v="5"/>
    <s v="GNR_WT_WIND_ONS"/>
    <x v="0"/>
    <x v="23"/>
    <n v="5647.9970381340199"/>
    <n v="2061518.91891892"/>
    <n v="7421468.1081081098"/>
  </r>
  <r>
    <x v="0"/>
    <x v="2"/>
    <x v="2"/>
    <x v="8"/>
    <x v="16"/>
    <s v="PL_A"/>
    <x v="7"/>
    <x v="5"/>
    <s v="GNR_WT_WIND_ON_LS_Y-2030"/>
    <x v="0"/>
    <x v="0"/>
    <n v="2612.9904150768498"/>
    <n v="953741.50150305103"/>
    <n v="3433469.4054109799"/>
  </r>
  <r>
    <x v="0"/>
    <x v="2"/>
    <x v="2"/>
    <x v="8"/>
    <x v="16"/>
    <s v="PL_A"/>
    <x v="7"/>
    <x v="5"/>
    <s v="GNR_WT_WIND_ON_LS_Y-2030"/>
    <x v="0"/>
    <x v="1"/>
    <n v="3135.5884980922201"/>
    <n v="1144489.8018036601"/>
    <n v="4120163.2864931799"/>
  </r>
  <r>
    <x v="0"/>
    <x v="2"/>
    <x v="2"/>
    <x v="8"/>
    <x v="16"/>
    <s v="PL_A"/>
    <x v="7"/>
    <x v="5"/>
    <s v="GNR_WT_WIND_ON_LS_Y-2030"/>
    <x v="0"/>
    <x v="18"/>
    <n v="3060.9316290900301"/>
    <n v="1117240.0446178601"/>
    <n v="4022064.1606243001"/>
  </r>
  <r>
    <x v="0"/>
    <x v="2"/>
    <x v="2"/>
    <x v="8"/>
    <x v="16"/>
    <s v="PL_A"/>
    <x v="7"/>
    <x v="5"/>
    <s v="GNR_WT_WIND_ON_LS_Y-2030"/>
    <x v="0"/>
    <x v="2"/>
    <n v="2874.2894565845399"/>
    <n v="1049115.6516533601"/>
    <n v="3776816.3459520801"/>
  </r>
  <r>
    <x v="0"/>
    <x v="2"/>
    <x v="2"/>
    <x v="8"/>
    <x v="16"/>
    <s v="PL_A"/>
    <x v="7"/>
    <x v="5"/>
    <s v="GNR_WT_WIND_ON_LS_Y-2030"/>
    <x v="0"/>
    <x v="3"/>
    <n v="2127.7207665625801"/>
    <n v="776618.07979534101"/>
    <n v="2795825.0872632298"/>
  </r>
  <r>
    <x v="0"/>
    <x v="2"/>
    <x v="2"/>
    <x v="8"/>
    <x v="16"/>
    <s v="PL_A"/>
    <x v="7"/>
    <x v="5"/>
    <s v="GNR_WT_WIND_ON_LS_Y-2030"/>
    <x v="0"/>
    <x v="4"/>
    <n v="1231.8383385362299"/>
    <n v="449620.993565724"/>
    <n v="1618635.57683661"/>
  </r>
  <r>
    <x v="0"/>
    <x v="2"/>
    <x v="2"/>
    <x v="8"/>
    <x v="16"/>
    <s v="PL_A"/>
    <x v="7"/>
    <x v="5"/>
    <s v="GNR_WT_WIND_ON_LS_Y-2030"/>
    <x v="0"/>
    <x v="5"/>
    <n v="261.29904150768499"/>
    <n v="95374.150150305097"/>
    <n v="343346.94054109801"/>
  </r>
  <r>
    <x v="0"/>
    <x v="2"/>
    <x v="2"/>
    <x v="8"/>
    <x v="16"/>
    <s v="PL_A"/>
    <x v="7"/>
    <x v="5"/>
    <s v="GNR_WT_WIND_ON_LS_Y-2030"/>
    <x v="0"/>
    <x v="6"/>
    <n v="186.64217250548899"/>
    <n v="68124.392964503597"/>
    <n v="245247.81467221299"/>
  </r>
  <r>
    <x v="0"/>
    <x v="2"/>
    <x v="2"/>
    <x v="8"/>
    <x v="16"/>
    <s v="PL_A"/>
    <x v="7"/>
    <x v="5"/>
    <s v="GNR_WT_WIND_ON_LS_Y-2030"/>
    <x v="0"/>
    <x v="7"/>
    <n v="261.29904150768499"/>
    <n v="95374.150150305097"/>
    <n v="343346.94054109801"/>
  </r>
  <r>
    <x v="0"/>
    <x v="2"/>
    <x v="2"/>
    <x v="8"/>
    <x v="16"/>
    <s v="PL_A"/>
    <x v="7"/>
    <x v="5"/>
    <s v="GNR_WT_WIND_ON_LS_Y-2030"/>
    <x v="0"/>
    <x v="8"/>
    <n v="1231.8383385362299"/>
    <n v="449620.993565724"/>
    <n v="1618635.57683661"/>
  </r>
  <r>
    <x v="0"/>
    <x v="2"/>
    <x v="2"/>
    <x v="8"/>
    <x v="16"/>
    <s v="PL_A"/>
    <x v="7"/>
    <x v="5"/>
    <s v="GNR_WT_WIND_ON_LS_Y-2030"/>
    <x v="0"/>
    <x v="9"/>
    <n v="2874.2894565845399"/>
    <n v="1049115.6516533601"/>
    <n v="3776816.3459520801"/>
  </r>
  <r>
    <x v="0"/>
    <x v="2"/>
    <x v="2"/>
    <x v="8"/>
    <x v="16"/>
    <s v="PL_A"/>
    <x v="7"/>
    <x v="5"/>
    <s v="GNR_WT_WIND_ON_LS_Y-2030"/>
    <x v="0"/>
    <x v="10"/>
    <n v="4442.08370563065"/>
    <n v="1621360.5525551899"/>
    <n v="5836897.9891986698"/>
  </r>
  <r>
    <x v="0"/>
    <x v="2"/>
    <x v="2"/>
    <x v="8"/>
    <x v="16"/>
    <s v="PL_A"/>
    <x v="7"/>
    <x v="5"/>
    <s v="GNR_WT_WIND_ON_LS_Y-2030"/>
    <x v="0"/>
    <x v="11"/>
    <n v="5151.32396115151"/>
    <n v="1880233.2458203"/>
    <n v="6768839.6849530796"/>
  </r>
  <r>
    <x v="0"/>
    <x v="2"/>
    <x v="2"/>
    <x v="8"/>
    <x v="16"/>
    <s v="PL_A"/>
    <x v="7"/>
    <x v="5"/>
    <s v="GNR_WT_WIND_ON_LS_Y-2030"/>
    <x v="0"/>
    <x v="12"/>
    <n v="5897.8926511734699"/>
    <n v="2152730.81767831"/>
    <n v="7749830.9436419299"/>
  </r>
  <r>
    <x v="0"/>
    <x v="2"/>
    <x v="2"/>
    <x v="8"/>
    <x v="16"/>
    <s v="PL_A"/>
    <x v="7"/>
    <x v="5"/>
    <s v="GNR_WT_WIND_ON_LS_Y-2030"/>
    <x v="0"/>
    <x v="13"/>
    <n v="5897.8926511734699"/>
    <n v="2152730.81767831"/>
    <n v="7749830.9436419299"/>
  </r>
  <r>
    <x v="0"/>
    <x v="2"/>
    <x v="2"/>
    <x v="8"/>
    <x v="16"/>
    <s v="PL_A"/>
    <x v="7"/>
    <x v="5"/>
    <s v="GNR_WT_WIND_ON_LS_Y-2030"/>
    <x v="0"/>
    <x v="14"/>
    <n v="9332.1086252744699"/>
    <n v="3406219.6482251799"/>
    <n v="12262390.733610701"/>
  </r>
  <r>
    <x v="0"/>
    <x v="2"/>
    <x v="2"/>
    <x v="8"/>
    <x v="16"/>
    <s v="PL_A"/>
    <x v="7"/>
    <x v="5"/>
    <s v="GNR_WT_WIND_ON_LS_Y-2030"/>
    <x v="0"/>
    <x v="15"/>
    <n v="12057.0843438546"/>
    <n v="4400835.7855069302"/>
    <n v="15843008.827825001"/>
  </r>
  <r>
    <x v="0"/>
    <x v="2"/>
    <x v="2"/>
    <x v="8"/>
    <x v="16"/>
    <s v="PL_A"/>
    <x v="7"/>
    <x v="5"/>
    <s v="GNR_WT_WIND_ON_LS_Y-2030"/>
    <x v="0"/>
    <x v="16"/>
    <n v="11907.770605850201"/>
    <n v="4346336.2711353302"/>
    <n v="15646810.576087199"/>
  </r>
  <r>
    <x v="0"/>
    <x v="2"/>
    <x v="2"/>
    <x v="8"/>
    <x v="16"/>
    <s v="PL_A"/>
    <x v="7"/>
    <x v="5"/>
    <s v="GNR_WT_WIND_ON_LS_Y-2030"/>
    <x v="0"/>
    <x v="17"/>
    <n v="16275.1974424787"/>
    <n v="5940447.0665047197"/>
    <n v="21385609.439417001"/>
  </r>
  <r>
    <x v="0"/>
    <x v="2"/>
    <x v="2"/>
    <x v="8"/>
    <x v="16"/>
    <s v="PL_A"/>
    <x v="7"/>
    <x v="5"/>
    <s v="GNR_WT_WIND_ON_LS_Y-2030"/>
    <x v="0"/>
    <x v="19"/>
    <n v="24226.153991212501"/>
    <n v="8842546.2067925707"/>
    <n v="31833166.344453301"/>
  </r>
  <r>
    <x v="0"/>
    <x v="2"/>
    <x v="2"/>
    <x v="8"/>
    <x v="16"/>
    <s v="PL_A"/>
    <x v="7"/>
    <x v="5"/>
    <s v="GNR_WT_WIND_ON_LS_Y-2030"/>
    <x v="0"/>
    <x v="20"/>
    <n v="28070.9827448256"/>
    <n v="10245908.7018613"/>
    <n v="36885271.326700799"/>
  </r>
  <r>
    <x v="0"/>
    <x v="2"/>
    <x v="2"/>
    <x v="8"/>
    <x v="16"/>
    <s v="PL_A"/>
    <x v="7"/>
    <x v="5"/>
    <s v="GNR_WT_WIND_ON_LS_Y-2030"/>
    <x v="0"/>
    <x v="21"/>
    <n v="30273.360380390401"/>
    <n v="11049776.538842499"/>
    <n v="39779195.539833002"/>
  </r>
  <r>
    <x v="0"/>
    <x v="2"/>
    <x v="2"/>
    <x v="8"/>
    <x v="16"/>
    <s v="PL_A"/>
    <x v="7"/>
    <x v="5"/>
    <s v="GNR_WT_WIND_ON_LS_Y-2030"/>
    <x v="0"/>
    <x v="22"/>
    <n v="30758.630028904699"/>
    <n v="11226899.9605502"/>
    <n v="40416839.857980698"/>
  </r>
  <r>
    <x v="0"/>
    <x v="2"/>
    <x v="2"/>
    <x v="8"/>
    <x v="16"/>
    <s v="PL_A"/>
    <x v="7"/>
    <x v="5"/>
    <s v="GNR_WT_WIND_ON_LS_Y-2030"/>
    <x v="0"/>
    <x v="23"/>
    <n v="32027.796801942"/>
    <n v="11690145.8327088"/>
    <n v="42084524.997751802"/>
  </r>
  <r>
    <x v="0"/>
    <x v="2"/>
    <x v="2"/>
    <x v="8"/>
    <x v="16"/>
    <s v="PL_Rural"/>
    <x v="0"/>
    <x v="6"/>
    <s v="LAGI-6_ST_COAL_CND"/>
    <x v="0"/>
    <x v="5"/>
    <n v="427"/>
    <n v="155855"/>
    <n v="561078"/>
  </r>
  <r>
    <x v="0"/>
    <x v="2"/>
    <x v="2"/>
    <x v="8"/>
    <x v="16"/>
    <s v="PL_Rural"/>
    <x v="0"/>
    <x v="6"/>
    <s v="LAGI-6_ST_COAL_CND"/>
    <x v="0"/>
    <x v="6"/>
    <n v="427"/>
    <n v="155855"/>
    <n v="561078"/>
  </r>
  <r>
    <x v="0"/>
    <x v="2"/>
    <x v="2"/>
    <x v="8"/>
    <x v="16"/>
    <s v="PL_Rural"/>
    <x v="0"/>
    <x v="6"/>
    <s v="LAGI-6_ST_COAL_CND"/>
    <x v="0"/>
    <x v="7"/>
    <n v="427"/>
    <n v="155855"/>
    <n v="561078"/>
  </r>
  <r>
    <x v="0"/>
    <x v="2"/>
    <x v="2"/>
    <x v="8"/>
    <x v="16"/>
    <s v="PL_Rural"/>
    <x v="0"/>
    <x v="6"/>
    <s v="LAGI-6_ST_COAL_CND"/>
    <x v="0"/>
    <x v="8"/>
    <n v="427"/>
    <n v="155855"/>
    <n v="561078"/>
  </r>
  <r>
    <x v="0"/>
    <x v="2"/>
    <x v="2"/>
    <x v="8"/>
    <x v="16"/>
    <s v="PL_Rural"/>
    <x v="0"/>
    <x v="6"/>
    <s v="LAGI-6_ST_COAL_CND"/>
    <x v="0"/>
    <x v="9"/>
    <n v="368.53427970524399"/>
    <n v="134515.01209241399"/>
    <n v="484254.04353269102"/>
  </r>
  <r>
    <x v="0"/>
    <x v="2"/>
    <x v="2"/>
    <x v="8"/>
    <x v="16"/>
    <s v="PL_Rural"/>
    <x v="0"/>
    <x v="6"/>
    <s v="OPOL-1_ST_COAL_CND"/>
    <x v="0"/>
    <x v="5"/>
    <n v="358"/>
    <n v="130670"/>
    <n v="470412"/>
  </r>
  <r>
    <x v="0"/>
    <x v="2"/>
    <x v="2"/>
    <x v="8"/>
    <x v="16"/>
    <s v="PL_Rural"/>
    <x v="0"/>
    <x v="6"/>
    <s v="OPOL-1_ST_COAL_CND"/>
    <x v="0"/>
    <x v="6"/>
    <n v="358"/>
    <n v="130670"/>
    <n v="470412"/>
  </r>
  <r>
    <x v="0"/>
    <x v="2"/>
    <x v="2"/>
    <x v="8"/>
    <x v="16"/>
    <s v="PL_Rural"/>
    <x v="0"/>
    <x v="6"/>
    <s v="OPOL-1_ST_COAL_CND"/>
    <x v="0"/>
    <x v="7"/>
    <n v="358"/>
    <n v="130670"/>
    <n v="470412"/>
  </r>
  <r>
    <x v="0"/>
    <x v="2"/>
    <x v="2"/>
    <x v="8"/>
    <x v="16"/>
    <s v="PL_Rural"/>
    <x v="0"/>
    <x v="6"/>
    <s v="OPOL-1_ST_COAL_CND"/>
    <x v="0"/>
    <x v="8"/>
    <n v="358"/>
    <n v="130670"/>
    <n v="470412"/>
  </r>
  <r>
    <x v="0"/>
    <x v="2"/>
    <x v="2"/>
    <x v="8"/>
    <x v="16"/>
    <s v="PL_Rural"/>
    <x v="0"/>
    <x v="2"/>
    <s v="SZCZ-1_ST_COAL_BP"/>
    <x v="0"/>
    <x v="6"/>
    <n v="55"/>
    <n v="20075"/>
    <n v="72270"/>
  </r>
  <r>
    <x v="0"/>
    <x v="2"/>
    <x v="2"/>
    <x v="8"/>
    <x v="16"/>
    <s v="PL_Rural"/>
    <x v="0"/>
    <x v="2"/>
    <s v="SZCZ-1_ST_COAL_BP"/>
    <x v="0"/>
    <x v="7"/>
    <n v="55"/>
    <n v="20075"/>
    <n v="72270"/>
  </r>
  <r>
    <x v="0"/>
    <x v="2"/>
    <x v="2"/>
    <x v="8"/>
    <x v="16"/>
    <s v="PL_Rural"/>
    <x v="15"/>
    <x v="6"/>
    <s v="PATN2-1_ST_LIGNITE_CON"/>
    <x v="0"/>
    <x v="5"/>
    <n v="441"/>
    <n v="160965"/>
    <n v="579474"/>
  </r>
  <r>
    <x v="0"/>
    <x v="2"/>
    <x v="2"/>
    <x v="8"/>
    <x v="16"/>
    <s v="PL_Rural"/>
    <x v="15"/>
    <x v="6"/>
    <s v="PATN2-1_ST_LIGNITE_CON"/>
    <x v="0"/>
    <x v="6"/>
    <n v="441"/>
    <n v="160965"/>
    <n v="579474"/>
  </r>
  <r>
    <x v="0"/>
    <x v="2"/>
    <x v="2"/>
    <x v="8"/>
    <x v="16"/>
    <s v="PL_Rural"/>
    <x v="15"/>
    <x v="6"/>
    <s v="PATN2-1_ST_LIGNITE_CON"/>
    <x v="0"/>
    <x v="7"/>
    <n v="441"/>
    <n v="160965"/>
    <n v="579474"/>
  </r>
  <r>
    <x v="0"/>
    <x v="2"/>
    <x v="2"/>
    <x v="8"/>
    <x v="16"/>
    <s v="PL_Rural"/>
    <x v="15"/>
    <x v="6"/>
    <s v="PATN2-1_ST_LIGNITE_CON"/>
    <x v="0"/>
    <x v="8"/>
    <n v="441"/>
    <n v="160965"/>
    <n v="579474"/>
  </r>
  <r>
    <x v="0"/>
    <x v="2"/>
    <x v="2"/>
    <x v="8"/>
    <x v="16"/>
    <s v="PL_Rural"/>
    <x v="14"/>
    <x v="6"/>
    <s v="GNR_ST_NUCL_CND_E-33"/>
    <x v="0"/>
    <x v="0"/>
    <n v="2776"/>
    <n v="1013240"/>
    <n v="3647664"/>
  </r>
  <r>
    <x v="0"/>
    <x v="2"/>
    <x v="2"/>
    <x v="8"/>
    <x v="16"/>
    <s v="PL_Rural"/>
    <x v="14"/>
    <x v="6"/>
    <s v="GNR_ST_NUCL_CND_E-33"/>
    <x v="0"/>
    <x v="1"/>
    <n v="2776"/>
    <n v="1013240"/>
    <n v="3647664"/>
  </r>
  <r>
    <x v="0"/>
    <x v="2"/>
    <x v="2"/>
    <x v="8"/>
    <x v="16"/>
    <s v="PL_Rural"/>
    <x v="14"/>
    <x v="6"/>
    <s v="GNR_ST_NUCL_CND_E-33"/>
    <x v="0"/>
    <x v="18"/>
    <n v="2776"/>
    <n v="1013240"/>
    <n v="3647664"/>
  </r>
  <r>
    <x v="0"/>
    <x v="2"/>
    <x v="2"/>
    <x v="8"/>
    <x v="16"/>
    <s v="PL_Rural"/>
    <x v="14"/>
    <x v="6"/>
    <s v="GNR_ST_NUCL_CND_E-33"/>
    <x v="0"/>
    <x v="2"/>
    <n v="2776"/>
    <n v="1013240"/>
    <n v="3647664"/>
  </r>
  <r>
    <x v="0"/>
    <x v="2"/>
    <x v="2"/>
    <x v="8"/>
    <x v="16"/>
    <s v="PL_Rural"/>
    <x v="14"/>
    <x v="6"/>
    <s v="GNR_ST_NUCL_CND_E-33"/>
    <x v="0"/>
    <x v="3"/>
    <n v="2776"/>
    <n v="1013240"/>
    <n v="3647664"/>
  </r>
  <r>
    <x v="0"/>
    <x v="2"/>
    <x v="2"/>
    <x v="8"/>
    <x v="16"/>
    <s v="PL_Rural"/>
    <x v="14"/>
    <x v="6"/>
    <s v="GNR_ST_NUCL_CND_E-33"/>
    <x v="0"/>
    <x v="4"/>
    <n v="2776"/>
    <n v="1013240"/>
    <n v="3647664"/>
  </r>
  <r>
    <x v="0"/>
    <x v="2"/>
    <x v="2"/>
    <x v="8"/>
    <x v="16"/>
    <s v="PL_Rural"/>
    <x v="14"/>
    <x v="6"/>
    <s v="GNR_ST_NUCL_CND_E-33"/>
    <x v="0"/>
    <x v="5"/>
    <n v="2776"/>
    <n v="1013240"/>
    <n v="3647664"/>
  </r>
  <r>
    <x v="0"/>
    <x v="2"/>
    <x v="2"/>
    <x v="8"/>
    <x v="16"/>
    <s v="PL_Rural"/>
    <x v="14"/>
    <x v="6"/>
    <s v="GNR_ST_NUCL_CND_E-33"/>
    <x v="0"/>
    <x v="6"/>
    <n v="2776"/>
    <n v="1013240"/>
    <n v="3647664"/>
  </r>
  <r>
    <x v="0"/>
    <x v="2"/>
    <x v="2"/>
    <x v="8"/>
    <x v="16"/>
    <s v="PL_Rural"/>
    <x v="14"/>
    <x v="6"/>
    <s v="GNR_ST_NUCL_CND_E-33"/>
    <x v="0"/>
    <x v="7"/>
    <n v="2776"/>
    <n v="1013240"/>
    <n v="3647664"/>
  </r>
  <r>
    <x v="0"/>
    <x v="2"/>
    <x v="2"/>
    <x v="8"/>
    <x v="16"/>
    <s v="PL_Rural"/>
    <x v="14"/>
    <x v="6"/>
    <s v="GNR_ST_NUCL_CND_E-33"/>
    <x v="0"/>
    <x v="8"/>
    <n v="2776"/>
    <n v="1013240"/>
    <n v="3647664"/>
  </r>
  <r>
    <x v="0"/>
    <x v="2"/>
    <x v="2"/>
    <x v="8"/>
    <x v="16"/>
    <s v="PL_Rural"/>
    <x v="14"/>
    <x v="6"/>
    <s v="GNR_ST_NUCL_CND_E-33"/>
    <x v="0"/>
    <x v="9"/>
    <n v="2776"/>
    <n v="1013240"/>
    <n v="3647664"/>
  </r>
  <r>
    <x v="0"/>
    <x v="2"/>
    <x v="2"/>
    <x v="8"/>
    <x v="16"/>
    <s v="PL_Rural"/>
    <x v="14"/>
    <x v="6"/>
    <s v="GNR_ST_NUCL_CND_E-33"/>
    <x v="0"/>
    <x v="10"/>
    <n v="2776"/>
    <n v="1013240"/>
    <n v="3647664"/>
  </r>
  <r>
    <x v="0"/>
    <x v="2"/>
    <x v="2"/>
    <x v="8"/>
    <x v="16"/>
    <s v="PL_Rural"/>
    <x v="14"/>
    <x v="6"/>
    <s v="GNR_ST_NUCL_CND_E-33"/>
    <x v="0"/>
    <x v="11"/>
    <n v="2776"/>
    <n v="1013240"/>
    <n v="3647664"/>
  </r>
  <r>
    <x v="0"/>
    <x v="2"/>
    <x v="2"/>
    <x v="8"/>
    <x v="16"/>
    <s v="PL_Rural"/>
    <x v="14"/>
    <x v="6"/>
    <s v="GNR_ST_NUCL_CND_E-33"/>
    <x v="0"/>
    <x v="12"/>
    <n v="2776"/>
    <n v="1013240"/>
    <n v="3647664"/>
  </r>
  <r>
    <x v="0"/>
    <x v="2"/>
    <x v="2"/>
    <x v="8"/>
    <x v="16"/>
    <s v="PL_Rural"/>
    <x v="14"/>
    <x v="6"/>
    <s v="GNR_ST_NUCL_CND_E-33"/>
    <x v="0"/>
    <x v="13"/>
    <n v="2776"/>
    <n v="1013240"/>
    <n v="3647664"/>
  </r>
  <r>
    <x v="0"/>
    <x v="2"/>
    <x v="2"/>
    <x v="8"/>
    <x v="16"/>
    <s v="PL_Rural"/>
    <x v="14"/>
    <x v="6"/>
    <s v="GNR_ST_NUCL_CND_E-33"/>
    <x v="0"/>
    <x v="14"/>
    <n v="2776"/>
    <n v="1013240"/>
    <n v="3647664"/>
  </r>
  <r>
    <x v="0"/>
    <x v="2"/>
    <x v="2"/>
    <x v="8"/>
    <x v="16"/>
    <s v="PL_Rural"/>
    <x v="14"/>
    <x v="6"/>
    <s v="GNR_ST_NUCL_CND_E-33"/>
    <x v="0"/>
    <x v="15"/>
    <n v="2776"/>
    <n v="1013240"/>
    <n v="3647664"/>
  </r>
  <r>
    <x v="0"/>
    <x v="2"/>
    <x v="2"/>
    <x v="8"/>
    <x v="16"/>
    <s v="PL_Rural"/>
    <x v="14"/>
    <x v="6"/>
    <s v="GNR_ST_NUCL_CND_E-33"/>
    <x v="0"/>
    <x v="16"/>
    <n v="2776"/>
    <n v="1013240"/>
    <n v="3647664"/>
  </r>
  <r>
    <x v="0"/>
    <x v="2"/>
    <x v="2"/>
    <x v="8"/>
    <x v="16"/>
    <s v="PL_Rural"/>
    <x v="14"/>
    <x v="6"/>
    <s v="GNR_ST_NUCL_CND_E-33"/>
    <x v="0"/>
    <x v="17"/>
    <n v="2776"/>
    <n v="1013240"/>
    <n v="3647664"/>
  </r>
  <r>
    <x v="0"/>
    <x v="2"/>
    <x v="2"/>
    <x v="8"/>
    <x v="16"/>
    <s v="PL_Rural"/>
    <x v="14"/>
    <x v="6"/>
    <s v="GNR_ST_NUCL_CND_E-33"/>
    <x v="0"/>
    <x v="19"/>
    <n v="2776"/>
    <n v="1013240"/>
    <n v="3647664"/>
  </r>
  <r>
    <x v="0"/>
    <x v="2"/>
    <x v="2"/>
    <x v="8"/>
    <x v="16"/>
    <s v="PL_Rural"/>
    <x v="14"/>
    <x v="6"/>
    <s v="GNR_ST_NUCL_CND_E-33"/>
    <x v="0"/>
    <x v="20"/>
    <n v="2776"/>
    <n v="1013240"/>
    <n v="3647664"/>
  </r>
  <r>
    <x v="0"/>
    <x v="2"/>
    <x v="2"/>
    <x v="8"/>
    <x v="16"/>
    <s v="PL_Rural"/>
    <x v="14"/>
    <x v="6"/>
    <s v="GNR_ST_NUCL_CND_E-33"/>
    <x v="0"/>
    <x v="21"/>
    <n v="2776"/>
    <n v="1013240"/>
    <n v="3647664"/>
  </r>
  <r>
    <x v="0"/>
    <x v="2"/>
    <x v="2"/>
    <x v="8"/>
    <x v="16"/>
    <s v="PL_Rural"/>
    <x v="14"/>
    <x v="6"/>
    <s v="GNR_ST_NUCL_CND_E-33"/>
    <x v="0"/>
    <x v="22"/>
    <n v="2776"/>
    <n v="1013240"/>
    <n v="3647664"/>
  </r>
  <r>
    <x v="0"/>
    <x v="2"/>
    <x v="2"/>
    <x v="8"/>
    <x v="16"/>
    <s v="PL_Rural"/>
    <x v="6"/>
    <x v="4"/>
    <s v="GNR_ROR_WTR"/>
    <x v="0"/>
    <x v="0"/>
    <n v="127.893835616438"/>
    <n v="46681.25"/>
    <n v="168052.5"/>
  </r>
  <r>
    <x v="0"/>
    <x v="2"/>
    <x v="2"/>
    <x v="8"/>
    <x v="16"/>
    <s v="PL_Rural"/>
    <x v="6"/>
    <x v="4"/>
    <s v="GNR_ROR_WTR"/>
    <x v="0"/>
    <x v="1"/>
    <n v="127.893835616438"/>
    <n v="46681.25"/>
    <n v="168052.5"/>
  </r>
  <r>
    <x v="0"/>
    <x v="2"/>
    <x v="2"/>
    <x v="8"/>
    <x v="16"/>
    <s v="PL_Rural"/>
    <x v="6"/>
    <x v="4"/>
    <s v="GNR_ROR_WTR"/>
    <x v="0"/>
    <x v="18"/>
    <n v="127.893835616438"/>
    <n v="46681.25"/>
    <n v="168052.5"/>
  </r>
  <r>
    <x v="0"/>
    <x v="2"/>
    <x v="2"/>
    <x v="8"/>
    <x v="16"/>
    <s v="PL_Rural"/>
    <x v="6"/>
    <x v="4"/>
    <s v="GNR_ROR_WTR"/>
    <x v="0"/>
    <x v="2"/>
    <n v="127.893835616438"/>
    <n v="46681.25"/>
    <n v="168052.5"/>
  </r>
  <r>
    <x v="0"/>
    <x v="2"/>
    <x v="2"/>
    <x v="8"/>
    <x v="16"/>
    <s v="PL_Rural"/>
    <x v="6"/>
    <x v="4"/>
    <s v="GNR_ROR_WTR"/>
    <x v="0"/>
    <x v="3"/>
    <n v="127.893835616438"/>
    <n v="46681.25"/>
    <n v="168052.5"/>
  </r>
  <r>
    <x v="0"/>
    <x v="2"/>
    <x v="2"/>
    <x v="8"/>
    <x v="16"/>
    <s v="PL_Rural"/>
    <x v="6"/>
    <x v="4"/>
    <s v="GNR_ROR_WTR"/>
    <x v="0"/>
    <x v="4"/>
    <n v="127.893835616438"/>
    <n v="46681.25"/>
    <n v="168052.5"/>
  </r>
  <r>
    <x v="0"/>
    <x v="2"/>
    <x v="2"/>
    <x v="8"/>
    <x v="16"/>
    <s v="PL_Rural"/>
    <x v="6"/>
    <x v="4"/>
    <s v="GNR_ROR_WTR"/>
    <x v="0"/>
    <x v="5"/>
    <n v="127.893835616438"/>
    <n v="46681.25"/>
    <n v="168052.5"/>
  </r>
  <r>
    <x v="0"/>
    <x v="2"/>
    <x v="2"/>
    <x v="8"/>
    <x v="16"/>
    <s v="PL_Rural"/>
    <x v="6"/>
    <x v="4"/>
    <s v="GNR_ROR_WTR"/>
    <x v="0"/>
    <x v="6"/>
    <n v="127.893835616438"/>
    <n v="46681.25"/>
    <n v="168052.5"/>
  </r>
  <r>
    <x v="0"/>
    <x v="2"/>
    <x v="2"/>
    <x v="8"/>
    <x v="16"/>
    <s v="PL_Rural"/>
    <x v="6"/>
    <x v="4"/>
    <s v="GNR_ROR_WTR"/>
    <x v="0"/>
    <x v="7"/>
    <n v="127.893835616438"/>
    <n v="46681.25"/>
    <n v="168052.5"/>
  </r>
  <r>
    <x v="0"/>
    <x v="2"/>
    <x v="2"/>
    <x v="8"/>
    <x v="16"/>
    <s v="PL_Rural"/>
    <x v="6"/>
    <x v="4"/>
    <s v="GNR_ROR_WTR"/>
    <x v="0"/>
    <x v="8"/>
    <n v="127.893835616438"/>
    <n v="46681.25"/>
    <n v="168052.5"/>
  </r>
  <r>
    <x v="0"/>
    <x v="2"/>
    <x v="2"/>
    <x v="8"/>
    <x v="16"/>
    <s v="PL_Rural"/>
    <x v="6"/>
    <x v="4"/>
    <s v="GNR_ROR_WTR"/>
    <x v="0"/>
    <x v="9"/>
    <n v="127.893835616438"/>
    <n v="46681.25"/>
    <n v="168052.5"/>
  </r>
  <r>
    <x v="0"/>
    <x v="2"/>
    <x v="2"/>
    <x v="8"/>
    <x v="16"/>
    <s v="PL_Rural"/>
    <x v="6"/>
    <x v="4"/>
    <s v="GNR_ROR_WTR"/>
    <x v="0"/>
    <x v="10"/>
    <n v="127.893835616438"/>
    <n v="46681.25"/>
    <n v="168052.5"/>
  </r>
  <r>
    <x v="0"/>
    <x v="2"/>
    <x v="2"/>
    <x v="8"/>
    <x v="16"/>
    <s v="PL_Rural"/>
    <x v="6"/>
    <x v="4"/>
    <s v="GNR_ROR_WTR"/>
    <x v="0"/>
    <x v="11"/>
    <n v="127.893835616438"/>
    <n v="46681.25"/>
    <n v="168052.5"/>
  </r>
  <r>
    <x v="0"/>
    <x v="2"/>
    <x v="2"/>
    <x v="8"/>
    <x v="16"/>
    <s v="PL_Rural"/>
    <x v="6"/>
    <x v="4"/>
    <s v="GNR_ROR_WTR"/>
    <x v="0"/>
    <x v="12"/>
    <n v="127.893835616438"/>
    <n v="46681.25"/>
    <n v="168052.5"/>
  </r>
  <r>
    <x v="0"/>
    <x v="2"/>
    <x v="2"/>
    <x v="8"/>
    <x v="16"/>
    <s v="PL_Rural"/>
    <x v="6"/>
    <x v="4"/>
    <s v="GNR_ROR_WTR"/>
    <x v="0"/>
    <x v="13"/>
    <n v="127.893835616438"/>
    <n v="46681.25"/>
    <n v="168052.5"/>
  </r>
  <r>
    <x v="0"/>
    <x v="2"/>
    <x v="2"/>
    <x v="8"/>
    <x v="16"/>
    <s v="PL_Rural"/>
    <x v="6"/>
    <x v="4"/>
    <s v="GNR_ROR_WTR"/>
    <x v="0"/>
    <x v="14"/>
    <n v="127.893835616438"/>
    <n v="46681.25"/>
    <n v="168052.5"/>
  </r>
  <r>
    <x v="0"/>
    <x v="2"/>
    <x v="2"/>
    <x v="8"/>
    <x v="16"/>
    <s v="PL_Rural"/>
    <x v="6"/>
    <x v="4"/>
    <s v="GNR_ROR_WTR"/>
    <x v="0"/>
    <x v="15"/>
    <n v="127.893835616438"/>
    <n v="46681.25"/>
    <n v="168052.5"/>
  </r>
  <r>
    <x v="0"/>
    <x v="2"/>
    <x v="2"/>
    <x v="8"/>
    <x v="16"/>
    <s v="PL_Rural"/>
    <x v="6"/>
    <x v="4"/>
    <s v="GNR_ROR_WTR"/>
    <x v="0"/>
    <x v="16"/>
    <n v="127.893835616438"/>
    <n v="46681.25"/>
    <n v="168052.5"/>
  </r>
  <r>
    <x v="0"/>
    <x v="2"/>
    <x v="2"/>
    <x v="8"/>
    <x v="16"/>
    <s v="PL_Rural"/>
    <x v="6"/>
    <x v="4"/>
    <s v="GNR_ROR_WTR"/>
    <x v="0"/>
    <x v="17"/>
    <n v="127.893835616438"/>
    <n v="46681.25"/>
    <n v="168052.5"/>
  </r>
  <r>
    <x v="0"/>
    <x v="2"/>
    <x v="2"/>
    <x v="8"/>
    <x v="16"/>
    <s v="PL_Rural"/>
    <x v="6"/>
    <x v="4"/>
    <s v="GNR_ROR_WTR"/>
    <x v="0"/>
    <x v="19"/>
    <n v="127.893835616438"/>
    <n v="46681.25"/>
    <n v="168052.5"/>
  </r>
  <r>
    <x v="0"/>
    <x v="2"/>
    <x v="2"/>
    <x v="8"/>
    <x v="16"/>
    <s v="PL_Rural"/>
    <x v="6"/>
    <x v="4"/>
    <s v="GNR_ROR_WTR"/>
    <x v="0"/>
    <x v="20"/>
    <n v="127.893835616438"/>
    <n v="46681.25"/>
    <n v="168052.5"/>
  </r>
  <r>
    <x v="0"/>
    <x v="2"/>
    <x v="2"/>
    <x v="8"/>
    <x v="16"/>
    <s v="PL_Rural"/>
    <x v="6"/>
    <x v="4"/>
    <s v="GNR_ROR_WTR"/>
    <x v="0"/>
    <x v="21"/>
    <n v="127.893835616438"/>
    <n v="46681.25"/>
    <n v="168052.5"/>
  </r>
  <r>
    <x v="0"/>
    <x v="2"/>
    <x v="2"/>
    <x v="8"/>
    <x v="16"/>
    <s v="PL_Rural"/>
    <x v="6"/>
    <x v="4"/>
    <s v="GNR_ROR_WTR"/>
    <x v="0"/>
    <x v="22"/>
    <n v="127.893835616438"/>
    <n v="46681.25"/>
    <n v="168052.5"/>
  </r>
  <r>
    <x v="0"/>
    <x v="2"/>
    <x v="2"/>
    <x v="8"/>
    <x v="16"/>
    <s v="PL_Rural"/>
    <x v="6"/>
    <x v="4"/>
    <s v="GNR_ROR_WTR"/>
    <x v="0"/>
    <x v="23"/>
    <n v="127.893835616438"/>
    <n v="46681.25"/>
    <n v="168052.5"/>
  </r>
  <r>
    <x v="0"/>
    <x v="2"/>
    <x v="2"/>
    <x v="9"/>
    <x v="17"/>
    <s v="SE1A"/>
    <x v="6"/>
    <x v="7"/>
    <s v="GNR_RES_WTR_NOPMP_MC-01"/>
    <x v="0"/>
    <x v="0"/>
    <n v="405.5"/>
    <n v="148007.5"/>
    <n v="532827"/>
  </r>
  <r>
    <x v="0"/>
    <x v="2"/>
    <x v="2"/>
    <x v="9"/>
    <x v="17"/>
    <s v="SE1A"/>
    <x v="6"/>
    <x v="7"/>
    <s v="GNR_RES_WTR_NOPMP_MC-01"/>
    <x v="0"/>
    <x v="1"/>
    <n v="405.5"/>
    <n v="148007.5"/>
    <n v="532827"/>
  </r>
  <r>
    <x v="0"/>
    <x v="2"/>
    <x v="2"/>
    <x v="9"/>
    <x v="17"/>
    <s v="SE1A"/>
    <x v="6"/>
    <x v="7"/>
    <s v="GNR_RES_WTR_NOPMP_MC-01"/>
    <x v="0"/>
    <x v="18"/>
    <n v="405.5"/>
    <n v="148007.5"/>
    <n v="532827"/>
  </r>
  <r>
    <x v="0"/>
    <x v="2"/>
    <x v="2"/>
    <x v="9"/>
    <x v="17"/>
    <s v="SE1A"/>
    <x v="6"/>
    <x v="7"/>
    <s v="GNR_RES_WTR_NOPMP_MC-01"/>
    <x v="0"/>
    <x v="2"/>
    <n v="405.5"/>
    <n v="148007.5"/>
    <n v="532827"/>
  </r>
  <r>
    <x v="0"/>
    <x v="2"/>
    <x v="2"/>
    <x v="9"/>
    <x v="17"/>
    <s v="SE1A"/>
    <x v="6"/>
    <x v="7"/>
    <s v="GNR_RES_WTR_NOPMP_MC-01"/>
    <x v="0"/>
    <x v="3"/>
    <n v="405.5"/>
    <n v="148007.5"/>
    <n v="532827"/>
  </r>
  <r>
    <x v="0"/>
    <x v="2"/>
    <x v="2"/>
    <x v="9"/>
    <x v="17"/>
    <s v="SE1A"/>
    <x v="6"/>
    <x v="7"/>
    <s v="GNR_RES_WTR_NOPMP_MC-01"/>
    <x v="0"/>
    <x v="4"/>
    <n v="405.5"/>
    <n v="148007.5"/>
    <n v="532827"/>
  </r>
  <r>
    <x v="0"/>
    <x v="2"/>
    <x v="2"/>
    <x v="9"/>
    <x v="17"/>
    <s v="SE1A"/>
    <x v="6"/>
    <x v="7"/>
    <s v="GNR_RES_WTR_NOPMP_MC-01"/>
    <x v="0"/>
    <x v="5"/>
    <n v="405.5"/>
    <n v="148007.5"/>
    <n v="532827"/>
  </r>
  <r>
    <x v="0"/>
    <x v="2"/>
    <x v="2"/>
    <x v="9"/>
    <x v="17"/>
    <s v="SE1A"/>
    <x v="6"/>
    <x v="7"/>
    <s v="GNR_RES_WTR_NOPMP_MC-01"/>
    <x v="0"/>
    <x v="6"/>
    <n v="405.5"/>
    <n v="148007.5"/>
    <n v="532827"/>
  </r>
  <r>
    <x v="0"/>
    <x v="2"/>
    <x v="2"/>
    <x v="9"/>
    <x v="17"/>
    <s v="SE1A"/>
    <x v="6"/>
    <x v="7"/>
    <s v="GNR_RES_WTR_NOPMP_MC-01"/>
    <x v="0"/>
    <x v="7"/>
    <n v="405.5"/>
    <n v="148007.5"/>
    <n v="532827"/>
  </r>
  <r>
    <x v="0"/>
    <x v="2"/>
    <x v="2"/>
    <x v="9"/>
    <x v="17"/>
    <s v="SE1A"/>
    <x v="6"/>
    <x v="7"/>
    <s v="GNR_RES_WTR_NOPMP_MC-01"/>
    <x v="0"/>
    <x v="8"/>
    <n v="405.5"/>
    <n v="148007.5"/>
    <n v="532827"/>
  </r>
  <r>
    <x v="0"/>
    <x v="2"/>
    <x v="2"/>
    <x v="9"/>
    <x v="17"/>
    <s v="SE1A"/>
    <x v="6"/>
    <x v="7"/>
    <s v="GNR_RES_WTR_NOPMP_MC-01"/>
    <x v="0"/>
    <x v="9"/>
    <n v="405.5"/>
    <n v="148007.5"/>
    <n v="532827"/>
  </r>
  <r>
    <x v="0"/>
    <x v="2"/>
    <x v="2"/>
    <x v="9"/>
    <x v="17"/>
    <s v="SE1A"/>
    <x v="6"/>
    <x v="7"/>
    <s v="GNR_RES_WTR_NOPMP_MC-01"/>
    <x v="0"/>
    <x v="10"/>
    <n v="405.5"/>
    <n v="148007.5"/>
    <n v="532827"/>
  </r>
  <r>
    <x v="0"/>
    <x v="2"/>
    <x v="2"/>
    <x v="9"/>
    <x v="17"/>
    <s v="SE1A"/>
    <x v="6"/>
    <x v="7"/>
    <s v="GNR_RES_WTR_NOPMP_MC-01"/>
    <x v="0"/>
    <x v="11"/>
    <n v="405.5"/>
    <n v="148007.5"/>
    <n v="532827"/>
  </r>
  <r>
    <x v="0"/>
    <x v="2"/>
    <x v="2"/>
    <x v="9"/>
    <x v="17"/>
    <s v="SE1A"/>
    <x v="6"/>
    <x v="7"/>
    <s v="GNR_RES_WTR_NOPMP_MC-01"/>
    <x v="0"/>
    <x v="12"/>
    <n v="405.5"/>
    <n v="148007.5"/>
    <n v="532827"/>
  </r>
  <r>
    <x v="0"/>
    <x v="2"/>
    <x v="2"/>
    <x v="9"/>
    <x v="17"/>
    <s v="SE1A"/>
    <x v="6"/>
    <x v="7"/>
    <s v="GNR_RES_WTR_NOPMP_MC-01"/>
    <x v="0"/>
    <x v="13"/>
    <n v="405.5"/>
    <n v="148007.5"/>
    <n v="532827"/>
  </r>
  <r>
    <x v="0"/>
    <x v="2"/>
    <x v="2"/>
    <x v="9"/>
    <x v="17"/>
    <s v="SE1A"/>
    <x v="6"/>
    <x v="7"/>
    <s v="GNR_RES_WTR_NOPMP_MC-01"/>
    <x v="0"/>
    <x v="14"/>
    <n v="405.5"/>
    <n v="148007.5"/>
    <n v="532827"/>
  </r>
  <r>
    <x v="0"/>
    <x v="2"/>
    <x v="2"/>
    <x v="9"/>
    <x v="17"/>
    <s v="SE1A"/>
    <x v="6"/>
    <x v="7"/>
    <s v="GNR_RES_WTR_NOPMP_MC-01"/>
    <x v="0"/>
    <x v="15"/>
    <n v="405.5"/>
    <n v="148007.5"/>
    <n v="532827"/>
  </r>
  <r>
    <x v="0"/>
    <x v="2"/>
    <x v="2"/>
    <x v="9"/>
    <x v="17"/>
    <s v="SE1A"/>
    <x v="6"/>
    <x v="7"/>
    <s v="GNR_RES_WTR_NOPMP_MC-01"/>
    <x v="0"/>
    <x v="16"/>
    <n v="405.5"/>
    <n v="148007.5"/>
    <n v="532827"/>
  </r>
  <r>
    <x v="0"/>
    <x v="2"/>
    <x v="2"/>
    <x v="9"/>
    <x v="17"/>
    <s v="SE1A"/>
    <x v="6"/>
    <x v="7"/>
    <s v="GNR_RES_WTR_NOPMP_MC-01"/>
    <x v="0"/>
    <x v="17"/>
    <n v="405.5"/>
    <n v="148007.5"/>
    <n v="532827"/>
  </r>
  <r>
    <x v="0"/>
    <x v="2"/>
    <x v="2"/>
    <x v="9"/>
    <x v="17"/>
    <s v="SE1A"/>
    <x v="6"/>
    <x v="7"/>
    <s v="GNR_RES_WTR_NOPMP_MC-01"/>
    <x v="0"/>
    <x v="19"/>
    <n v="405.5"/>
    <n v="148007.5"/>
    <n v="532827"/>
  </r>
  <r>
    <x v="0"/>
    <x v="2"/>
    <x v="2"/>
    <x v="9"/>
    <x v="17"/>
    <s v="SE1A"/>
    <x v="6"/>
    <x v="7"/>
    <s v="GNR_RES_WTR_NOPMP_MC-01"/>
    <x v="0"/>
    <x v="20"/>
    <n v="405.5"/>
    <n v="148007.5"/>
    <n v="532827"/>
  </r>
  <r>
    <x v="0"/>
    <x v="2"/>
    <x v="2"/>
    <x v="9"/>
    <x v="17"/>
    <s v="SE1A"/>
    <x v="6"/>
    <x v="7"/>
    <s v="GNR_RES_WTR_NOPMP_MC-01"/>
    <x v="0"/>
    <x v="21"/>
    <n v="405.5"/>
    <n v="148007.5"/>
    <n v="532827"/>
  </r>
  <r>
    <x v="0"/>
    <x v="2"/>
    <x v="2"/>
    <x v="9"/>
    <x v="17"/>
    <s v="SE1A"/>
    <x v="6"/>
    <x v="7"/>
    <s v="GNR_RES_WTR_NOPMP_MC-01"/>
    <x v="0"/>
    <x v="22"/>
    <n v="405.5"/>
    <n v="148007.5"/>
    <n v="532827"/>
  </r>
  <r>
    <x v="0"/>
    <x v="2"/>
    <x v="2"/>
    <x v="9"/>
    <x v="17"/>
    <s v="SE1A"/>
    <x v="6"/>
    <x v="7"/>
    <s v="GNR_RES_WTR_NOPMP_MC-01"/>
    <x v="0"/>
    <x v="23"/>
    <n v="320.97306594131101"/>
    <n v="117155.16906857899"/>
    <n v="421758.60864688299"/>
  </r>
  <r>
    <x v="0"/>
    <x v="2"/>
    <x v="2"/>
    <x v="9"/>
    <x v="17"/>
    <s v="SE1A"/>
    <x v="6"/>
    <x v="7"/>
    <s v="GNR_RES_WTR_NOPMP_MC-02"/>
    <x v="0"/>
    <x v="0"/>
    <n v="405.5"/>
    <n v="148007.5"/>
    <n v="532827"/>
  </r>
  <r>
    <x v="0"/>
    <x v="2"/>
    <x v="2"/>
    <x v="9"/>
    <x v="17"/>
    <s v="SE1A"/>
    <x v="6"/>
    <x v="7"/>
    <s v="GNR_RES_WTR_NOPMP_MC-02"/>
    <x v="0"/>
    <x v="1"/>
    <n v="405.5"/>
    <n v="148007.5"/>
    <n v="532827"/>
  </r>
  <r>
    <x v="0"/>
    <x v="2"/>
    <x v="2"/>
    <x v="9"/>
    <x v="17"/>
    <s v="SE1A"/>
    <x v="6"/>
    <x v="7"/>
    <s v="GNR_RES_WTR_NOPMP_MC-02"/>
    <x v="0"/>
    <x v="18"/>
    <n v="405.5"/>
    <n v="148007.5"/>
    <n v="532827"/>
  </r>
  <r>
    <x v="0"/>
    <x v="2"/>
    <x v="2"/>
    <x v="9"/>
    <x v="17"/>
    <s v="SE1A"/>
    <x v="6"/>
    <x v="7"/>
    <s v="GNR_RES_WTR_NOPMP_MC-02"/>
    <x v="0"/>
    <x v="2"/>
    <n v="405.5"/>
    <n v="148007.5"/>
    <n v="532827"/>
  </r>
  <r>
    <x v="0"/>
    <x v="2"/>
    <x v="2"/>
    <x v="9"/>
    <x v="17"/>
    <s v="SE1A"/>
    <x v="6"/>
    <x v="7"/>
    <s v="GNR_RES_WTR_NOPMP_MC-02"/>
    <x v="0"/>
    <x v="3"/>
    <n v="405.5"/>
    <n v="148007.5"/>
    <n v="532827"/>
  </r>
  <r>
    <x v="0"/>
    <x v="2"/>
    <x v="2"/>
    <x v="9"/>
    <x v="17"/>
    <s v="SE1A"/>
    <x v="6"/>
    <x v="7"/>
    <s v="GNR_RES_WTR_NOPMP_MC-02"/>
    <x v="0"/>
    <x v="4"/>
    <n v="405.5"/>
    <n v="148007.5"/>
    <n v="532827"/>
  </r>
  <r>
    <x v="0"/>
    <x v="2"/>
    <x v="2"/>
    <x v="9"/>
    <x v="17"/>
    <s v="SE1A"/>
    <x v="6"/>
    <x v="7"/>
    <s v="GNR_RES_WTR_NOPMP_MC-02"/>
    <x v="0"/>
    <x v="5"/>
    <n v="405.5"/>
    <n v="148007.5"/>
    <n v="532827"/>
  </r>
  <r>
    <x v="0"/>
    <x v="2"/>
    <x v="2"/>
    <x v="9"/>
    <x v="17"/>
    <s v="SE1A"/>
    <x v="6"/>
    <x v="7"/>
    <s v="GNR_RES_WTR_NOPMP_MC-02"/>
    <x v="0"/>
    <x v="6"/>
    <n v="405.5"/>
    <n v="148007.5"/>
    <n v="532827"/>
  </r>
  <r>
    <x v="0"/>
    <x v="2"/>
    <x v="2"/>
    <x v="9"/>
    <x v="17"/>
    <s v="SE1A"/>
    <x v="6"/>
    <x v="7"/>
    <s v="GNR_RES_WTR_NOPMP_MC-02"/>
    <x v="0"/>
    <x v="7"/>
    <n v="405.5"/>
    <n v="148007.5"/>
    <n v="532827"/>
  </r>
  <r>
    <x v="0"/>
    <x v="2"/>
    <x v="2"/>
    <x v="9"/>
    <x v="17"/>
    <s v="SE1A"/>
    <x v="6"/>
    <x v="7"/>
    <s v="GNR_RES_WTR_NOPMP_MC-02"/>
    <x v="0"/>
    <x v="8"/>
    <n v="405.5"/>
    <n v="148007.5"/>
    <n v="532827"/>
  </r>
  <r>
    <x v="0"/>
    <x v="2"/>
    <x v="2"/>
    <x v="9"/>
    <x v="17"/>
    <s v="SE1A"/>
    <x v="6"/>
    <x v="7"/>
    <s v="GNR_RES_WTR_NOPMP_MC-02"/>
    <x v="0"/>
    <x v="9"/>
    <n v="405.5"/>
    <n v="148007.5"/>
    <n v="532827"/>
  </r>
  <r>
    <x v="0"/>
    <x v="2"/>
    <x v="2"/>
    <x v="9"/>
    <x v="17"/>
    <s v="SE1A"/>
    <x v="6"/>
    <x v="7"/>
    <s v="GNR_RES_WTR_NOPMP_MC-02"/>
    <x v="0"/>
    <x v="10"/>
    <n v="405.5"/>
    <n v="148007.5"/>
    <n v="532827"/>
  </r>
  <r>
    <x v="0"/>
    <x v="2"/>
    <x v="2"/>
    <x v="9"/>
    <x v="17"/>
    <s v="SE1A"/>
    <x v="6"/>
    <x v="7"/>
    <s v="GNR_RES_WTR_NOPMP_MC-02"/>
    <x v="0"/>
    <x v="11"/>
    <n v="405.5"/>
    <n v="148007.5"/>
    <n v="532827"/>
  </r>
  <r>
    <x v="0"/>
    <x v="2"/>
    <x v="2"/>
    <x v="9"/>
    <x v="17"/>
    <s v="SE1A"/>
    <x v="6"/>
    <x v="7"/>
    <s v="GNR_RES_WTR_NOPMP_MC-02"/>
    <x v="0"/>
    <x v="12"/>
    <n v="405.5"/>
    <n v="148007.5"/>
    <n v="532827"/>
  </r>
  <r>
    <x v="0"/>
    <x v="2"/>
    <x v="2"/>
    <x v="9"/>
    <x v="17"/>
    <s v="SE1A"/>
    <x v="6"/>
    <x v="7"/>
    <s v="GNR_RES_WTR_NOPMP_MC-02"/>
    <x v="0"/>
    <x v="13"/>
    <n v="405.5"/>
    <n v="148007.5"/>
    <n v="532827"/>
  </r>
  <r>
    <x v="0"/>
    <x v="2"/>
    <x v="2"/>
    <x v="9"/>
    <x v="17"/>
    <s v="SE1A"/>
    <x v="6"/>
    <x v="7"/>
    <s v="GNR_RES_WTR_NOPMP_MC-02"/>
    <x v="0"/>
    <x v="14"/>
    <n v="405.5"/>
    <n v="148007.5"/>
    <n v="532827"/>
  </r>
  <r>
    <x v="0"/>
    <x v="2"/>
    <x v="2"/>
    <x v="9"/>
    <x v="17"/>
    <s v="SE1A"/>
    <x v="6"/>
    <x v="7"/>
    <s v="GNR_RES_WTR_NOPMP_MC-02"/>
    <x v="0"/>
    <x v="15"/>
    <n v="405.5"/>
    <n v="148007.5"/>
    <n v="532827"/>
  </r>
  <r>
    <x v="0"/>
    <x v="2"/>
    <x v="2"/>
    <x v="9"/>
    <x v="17"/>
    <s v="SE1A"/>
    <x v="6"/>
    <x v="7"/>
    <s v="GNR_RES_WTR_NOPMP_MC-02"/>
    <x v="0"/>
    <x v="16"/>
    <n v="405.5"/>
    <n v="148007.5"/>
    <n v="532827"/>
  </r>
  <r>
    <x v="0"/>
    <x v="2"/>
    <x v="2"/>
    <x v="9"/>
    <x v="17"/>
    <s v="SE1A"/>
    <x v="6"/>
    <x v="7"/>
    <s v="GNR_RES_WTR_NOPMP_MC-02"/>
    <x v="0"/>
    <x v="17"/>
    <n v="405.5"/>
    <n v="148007.5"/>
    <n v="532827"/>
  </r>
  <r>
    <x v="0"/>
    <x v="2"/>
    <x v="2"/>
    <x v="9"/>
    <x v="17"/>
    <s v="SE1A"/>
    <x v="6"/>
    <x v="7"/>
    <s v="GNR_RES_WTR_NOPMP_MC-02"/>
    <x v="0"/>
    <x v="19"/>
    <n v="405.5"/>
    <n v="148007.5"/>
    <n v="532827"/>
  </r>
  <r>
    <x v="0"/>
    <x v="2"/>
    <x v="2"/>
    <x v="9"/>
    <x v="17"/>
    <s v="SE1A"/>
    <x v="6"/>
    <x v="7"/>
    <s v="GNR_RES_WTR_NOPMP_MC-02"/>
    <x v="0"/>
    <x v="20"/>
    <n v="405.5"/>
    <n v="148007.5"/>
    <n v="532827"/>
  </r>
  <r>
    <x v="0"/>
    <x v="2"/>
    <x v="2"/>
    <x v="9"/>
    <x v="17"/>
    <s v="SE1A"/>
    <x v="6"/>
    <x v="7"/>
    <s v="GNR_RES_WTR_NOPMP_MC-02"/>
    <x v="0"/>
    <x v="21"/>
    <n v="405.5"/>
    <n v="148007.5"/>
    <n v="532827"/>
  </r>
  <r>
    <x v="0"/>
    <x v="2"/>
    <x v="2"/>
    <x v="9"/>
    <x v="17"/>
    <s v="SE1A"/>
    <x v="6"/>
    <x v="7"/>
    <s v="GNR_RES_WTR_NOPMP_MC-03"/>
    <x v="0"/>
    <x v="0"/>
    <n v="405.5"/>
    <n v="148007.5"/>
    <n v="532827"/>
  </r>
  <r>
    <x v="0"/>
    <x v="2"/>
    <x v="2"/>
    <x v="9"/>
    <x v="17"/>
    <s v="SE1A"/>
    <x v="6"/>
    <x v="7"/>
    <s v="GNR_RES_WTR_NOPMP_MC-03"/>
    <x v="0"/>
    <x v="1"/>
    <n v="405.5"/>
    <n v="148007.5"/>
    <n v="532827"/>
  </r>
  <r>
    <x v="0"/>
    <x v="2"/>
    <x v="2"/>
    <x v="9"/>
    <x v="17"/>
    <s v="SE1A"/>
    <x v="6"/>
    <x v="7"/>
    <s v="GNR_RES_WTR_NOPMP_MC-03"/>
    <x v="0"/>
    <x v="18"/>
    <n v="405.5"/>
    <n v="148007.5"/>
    <n v="532827"/>
  </r>
  <r>
    <x v="0"/>
    <x v="2"/>
    <x v="2"/>
    <x v="9"/>
    <x v="17"/>
    <s v="SE1A"/>
    <x v="6"/>
    <x v="7"/>
    <s v="GNR_RES_WTR_NOPMP_MC-03"/>
    <x v="0"/>
    <x v="2"/>
    <n v="405.5"/>
    <n v="148007.5"/>
    <n v="532827"/>
  </r>
  <r>
    <x v="0"/>
    <x v="2"/>
    <x v="2"/>
    <x v="9"/>
    <x v="17"/>
    <s v="SE1A"/>
    <x v="6"/>
    <x v="7"/>
    <s v="GNR_RES_WTR_NOPMP_MC-03"/>
    <x v="0"/>
    <x v="3"/>
    <n v="405.5"/>
    <n v="148007.5"/>
    <n v="532827"/>
  </r>
  <r>
    <x v="0"/>
    <x v="2"/>
    <x v="2"/>
    <x v="9"/>
    <x v="17"/>
    <s v="SE1A"/>
    <x v="6"/>
    <x v="7"/>
    <s v="GNR_RES_WTR_NOPMP_MC-03"/>
    <x v="0"/>
    <x v="4"/>
    <n v="405.5"/>
    <n v="148007.5"/>
    <n v="532827"/>
  </r>
  <r>
    <x v="0"/>
    <x v="2"/>
    <x v="2"/>
    <x v="9"/>
    <x v="17"/>
    <s v="SE1A"/>
    <x v="6"/>
    <x v="7"/>
    <s v="GNR_RES_WTR_NOPMP_MC-03"/>
    <x v="0"/>
    <x v="5"/>
    <n v="405.5"/>
    <n v="148007.5"/>
    <n v="532827"/>
  </r>
  <r>
    <x v="0"/>
    <x v="2"/>
    <x v="2"/>
    <x v="9"/>
    <x v="17"/>
    <s v="SE1A"/>
    <x v="6"/>
    <x v="7"/>
    <s v="GNR_RES_WTR_NOPMP_MC-03"/>
    <x v="0"/>
    <x v="6"/>
    <n v="405.5"/>
    <n v="148007.5"/>
    <n v="532827"/>
  </r>
  <r>
    <x v="0"/>
    <x v="2"/>
    <x v="2"/>
    <x v="9"/>
    <x v="17"/>
    <s v="SE1A"/>
    <x v="6"/>
    <x v="7"/>
    <s v="GNR_RES_WTR_NOPMP_MC-03"/>
    <x v="0"/>
    <x v="7"/>
    <n v="405.5"/>
    <n v="148007.5"/>
    <n v="532827"/>
  </r>
  <r>
    <x v="0"/>
    <x v="2"/>
    <x v="2"/>
    <x v="9"/>
    <x v="17"/>
    <s v="SE1A"/>
    <x v="6"/>
    <x v="7"/>
    <s v="GNR_RES_WTR_NOPMP_MC-03"/>
    <x v="0"/>
    <x v="8"/>
    <n v="405.5"/>
    <n v="148007.5"/>
    <n v="532827"/>
  </r>
  <r>
    <x v="0"/>
    <x v="2"/>
    <x v="2"/>
    <x v="9"/>
    <x v="17"/>
    <s v="SE1A"/>
    <x v="6"/>
    <x v="7"/>
    <s v="GNR_RES_WTR_NOPMP_MC-03"/>
    <x v="0"/>
    <x v="9"/>
    <n v="405.5"/>
    <n v="148007.5"/>
    <n v="532827"/>
  </r>
  <r>
    <x v="0"/>
    <x v="2"/>
    <x v="2"/>
    <x v="9"/>
    <x v="17"/>
    <s v="SE1A"/>
    <x v="6"/>
    <x v="7"/>
    <s v="GNR_RES_WTR_NOPMP_MC-03"/>
    <x v="0"/>
    <x v="10"/>
    <n v="405.5"/>
    <n v="148007.5"/>
    <n v="532827"/>
  </r>
  <r>
    <x v="0"/>
    <x v="2"/>
    <x v="2"/>
    <x v="9"/>
    <x v="17"/>
    <s v="SE1A"/>
    <x v="6"/>
    <x v="7"/>
    <s v="GNR_RES_WTR_NOPMP_MC-03"/>
    <x v="0"/>
    <x v="14"/>
    <n v="310.00166519180499"/>
    <n v="113150.607795009"/>
    <n v="407342.18806203199"/>
  </r>
  <r>
    <x v="0"/>
    <x v="2"/>
    <x v="2"/>
    <x v="9"/>
    <x v="17"/>
    <s v="SE1A"/>
    <x v="6"/>
    <x v="7"/>
    <s v="GNR_RES_WTR_NOPMP_MC-03"/>
    <x v="0"/>
    <x v="15"/>
    <n v="405.5"/>
    <n v="148007.5"/>
    <n v="532827"/>
  </r>
  <r>
    <x v="0"/>
    <x v="2"/>
    <x v="2"/>
    <x v="9"/>
    <x v="17"/>
    <s v="SE1A"/>
    <x v="6"/>
    <x v="7"/>
    <s v="GNR_RES_WTR_NOPMP_MC-03"/>
    <x v="0"/>
    <x v="16"/>
    <n v="405.5"/>
    <n v="148007.5"/>
    <n v="532827"/>
  </r>
  <r>
    <x v="0"/>
    <x v="2"/>
    <x v="2"/>
    <x v="9"/>
    <x v="17"/>
    <s v="SE1A"/>
    <x v="6"/>
    <x v="7"/>
    <s v="GNR_RES_WTR_NOPMP_MC-03"/>
    <x v="0"/>
    <x v="17"/>
    <n v="405.5"/>
    <n v="148007.5"/>
    <n v="532827"/>
  </r>
  <r>
    <x v="0"/>
    <x v="2"/>
    <x v="2"/>
    <x v="9"/>
    <x v="17"/>
    <s v="SE1A"/>
    <x v="6"/>
    <x v="7"/>
    <s v="GNR_RES_WTR_NOPMP_MC-03"/>
    <x v="0"/>
    <x v="19"/>
    <n v="405.5"/>
    <n v="148007.5"/>
    <n v="532827"/>
  </r>
  <r>
    <x v="0"/>
    <x v="2"/>
    <x v="2"/>
    <x v="9"/>
    <x v="17"/>
    <s v="SE1A"/>
    <x v="6"/>
    <x v="7"/>
    <s v="GNR_RES_WTR_NOPMP_MC-03"/>
    <x v="0"/>
    <x v="20"/>
    <n v="405.5"/>
    <n v="148007.5"/>
    <n v="532827"/>
  </r>
  <r>
    <x v="0"/>
    <x v="2"/>
    <x v="2"/>
    <x v="9"/>
    <x v="17"/>
    <s v="SE1A"/>
    <x v="6"/>
    <x v="7"/>
    <s v="GNR_RES_WTR_NOPMP_MC-04"/>
    <x v="0"/>
    <x v="0"/>
    <n v="405.5"/>
    <n v="148007.5"/>
    <n v="532827"/>
  </r>
  <r>
    <x v="0"/>
    <x v="2"/>
    <x v="2"/>
    <x v="9"/>
    <x v="17"/>
    <s v="SE1A"/>
    <x v="6"/>
    <x v="7"/>
    <s v="GNR_RES_WTR_NOPMP_MC-04"/>
    <x v="0"/>
    <x v="1"/>
    <n v="405.5"/>
    <n v="148007.5"/>
    <n v="532827"/>
  </r>
  <r>
    <x v="0"/>
    <x v="2"/>
    <x v="2"/>
    <x v="9"/>
    <x v="17"/>
    <s v="SE1A"/>
    <x v="6"/>
    <x v="7"/>
    <s v="GNR_RES_WTR_NOPMP_MC-04"/>
    <x v="0"/>
    <x v="18"/>
    <n v="405.5"/>
    <n v="148007.5"/>
    <n v="532827"/>
  </r>
  <r>
    <x v="0"/>
    <x v="2"/>
    <x v="2"/>
    <x v="9"/>
    <x v="17"/>
    <s v="SE1A"/>
    <x v="6"/>
    <x v="7"/>
    <s v="GNR_RES_WTR_NOPMP_MC-04"/>
    <x v="0"/>
    <x v="2"/>
    <n v="405.5"/>
    <n v="148007.5"/>
    <n v="532827"/>
  </r>
  <r>
    <x v="0"/>
    <x v="2"/>
    <x v="2"/>
    <x v="9"/>
    <x v="17"/>
    <s v="SE1A"/>
    <x v="6"/>
    <x v="7"/>
    <s v="GNR_RES_WTR_NOPMP_MC-04"/>
    <x v="0"/>
    <x v="3"/>
    <n v="405.5"/>
    <n v="148007.5"/>
    <n v="532827"/>
  </r>
  <r>
    <x v="0"/>
    <x v="2"/>
    <x v="2"/>
    <x v="9"/>
    <x v="17"/>
    <s v="SE1A"/>
    <x v="6"/>
    <x v="7"/>
    <s v="GNR_RES_WTR_NOPMP_MC-04"/>
    <x v="0"/>
    <x v="4"/>
    <n v="405.5"/>
    <n v="148007.5"/>
    <n v="532827"/>
  </r>
  <r>
    <x v="0"/>
    <x v="2"/>
    <x v="2"/>
    <x v="9"/>
    <x v="17"/>
    <s v="SE1A"/>
    <x v="6"/>
    <x v="7"/>
    <s v="GNR_RES_WTR_NOPMP_MC-04"/>
    <x v="0"/>
    <x v="5"/>
    <n v="405.5"/>
    <n v="148007.5"/>
    <n v="532827"/>
  </r>
  <r>
    <x v="0"/>
    <x v="2"/>
    <x v="2"/>
    <x v="9"/>
    <x v="17"/>
    <s v="SE1A"/>
    <x v="6"/>
    <x v="7"/>
    <s v="GNR_RES_WTR_NOPMP_MC-04"/>
    <x v="0"/>
    <x v="6"/>
    <n v="405.5"/>
    <n v="148007.5"/>
    <n v="532827"/>
  </r>
  <r>
    <x v="0"/>
    <x v="2"/>
    <x v="2"/>
    <x v="9"/>
    <x v="17"/>
    <s v="SE1A"/>
    <x v="6"/>
    <x v="7"/>
    <s v="GNR_RES_WTR_NOPMP_MC-04"/>
    <x v="0"/>
    <x v="7"/>
    <n v="405.5"/>
    <n v="148007.5"/>
    <n v="532827"/>
  </r>
  <r>
    <x v="0"/>
    <x v="2"/>
    <x v="2"/>
    <x v="9"/>
    <x v="17"/>
    <s v="SE1A"/>
    <x v="6"/>
    <x v="7"/>
    <s v="GNR_RES_WTR_NOPMP_MC-04"/>
    <x v="0"/>
    <x v="8"/>
    <n v="405.5"/>
    <n v="148007.5"/>
    <n v="532827"/>
  </r>
  <r>
    <x v="0"/>
    <x v="2"/>
    <x v="2"/>
    <x v="9"/>
    <x v="17"/>
    <s v="SE1A"/>
    <x v="6"/>
    <x v="7"/>
    <s v="GNR_RES_WTR_NOPMP_MC-04"/>
    <x v="0"/>
    <x v="9"/>
    <n v="405.5"/>
    <n v="148007.5"/>
    <n v="532827"/>
  </r>
  <r>
    <x v="0"/>
    <x v="2"/>
    <x v="2"/>
    <x v="9"/>
    <x v="17"/>
    <s v="SE1A"/>
    <x v="6"/>
    <x v="7"/>
    <s v="GNR_RES_WTR_NOPMP_MC-04"/>
    <x v="0"/>
    <x v="15"/>
    <n v="405.5"/>
    <n v="148007.5"/>
    <n v="532827"/>
  </r>
  <r>
    <x v="0"/>
    <x v="2"/>
    <x v="2"/>
    <x v="9"/>
    <x v="17"/>
    <s v="SE1A"/>
    <x v="6"/>
    <x v="7"/>
    <s v="GNR_RES_WTR_NOPMP_MC-04"/>
    <x v="0"/>
    <x v="16"/>
    <n v="405.5"/>
    <n v="148007.5"/>
    <n v="532827"/>
  </r>
  <r>
    <x v="0"/>
    <x v="2"/>
    <x v="2"/>
    <x v="9"/>
    <x v="17"/>
    <s v="SE1A"/>
    <x v="6"/>
    <x v="7"/>
    <s v="GNR_RES_WTR_NOPMP_MC-04"/>
    <x v="0"/>
    <x v="17"/>
    <n v="221.26732610507"/>
    <n v="80762.574028350704"/>
    <n v="290745.26650206302"/>
  </r>
  <r>
    <x v="0"/>
    <x v="2"/>
    <x v="2"/>
    <x v="9"/>
    <x v="17"/>
    <s v="SE1A"/>
    <x v="6"/>
    <x v="7"/>
    <s v="GNR_RES_WTR_NOPMP_MC-05"/>
    <x v="0"/>
    <x v="0"/>
    <n v="405.5"/>
    <n v="148007.5"/>
    <n v="532827"/>
  </r>
  <r>
    <x v="0"/>
    <x v="2"/>
    <x v="2"/>
    <x v="9"/>
    <x v="17"/>
    <s v="SE1A"/>
    <x v="6"/>
    <x v="7"/>
    <s v="GNR_RES_WTR_NOPMP_MC-05"/>
    <x v="0"/>
    <x v="3"/>
    <n v="287.58843426088998"/>
    <n v="104969.778505225"/>
    <n v="377891.20261880901"/>
  </r>
  <r>
    <x v="0"/>
    <x v="2"/>
    <x v="2"/>
    <x v="9"/>
    <x v="17"/>
    <s v="SE1A"/>
    <x v="6"/>
    <x v="7"/>
    <s v="GNR_RES_WTR_NOPMP_MC-05"/>
    <x v="0"/>
    <x v="4"/>
    <n v="405.5"/>
    <n v="148007.5"/>
    <n v="532827"/>
  </r>
  <r>
    <x v="0"/>
    <x v="2"/>
    <x v="2"/>
    <x v="9"/>
    <x v="17"/>
    <s v="SE1A"/>
    <x v="6"/>
    <x v="7"/>
    <s v="GNR_RES_WTR_NOPMP_MC-05"/>
    <x v="0"/>
    <x v="5"/>
    <n v="405.5"/>
    <n v="148007.5"/>
    <n v="532827"/>
  </r>
  <r>
    <x v="0"/>
    <x v="2"/>
    <x v="2"/>
    <x v="9"/>
    <x v="17"/>
    <s v="SE1A"/>
    <x v="6"/>
    <x v="7"/>
    <s v="GNR_RES_WTR_NOPMP_MC-05"/>
    <x v="0"/>
    <x v="6"/>
    <n v="405.5"/>
    <n v="148007.5"/>
    <n v="532827"/>
  </r>
  <r>
    <x v="0"/>
    <x v="2"/>
    <x v="2"/>
    <x v="9"/>
    <x v="17"/>
    <s v="SE1A"/>
    <x v="6"/>
    <x v="7"/>
    <s v="GNR_RES_WTR_NOPMP_MC-05"/>
    <x v="0"/>
    <x v="7"/>
    <n v="405.5"/>
    <n v="148007.5"/>
    <n v="532827"/>
  </r>
  <r>
    <x v="0"/>
    <x v="2"/>
    <x v="2"/>
    <x v="9"/>
    <x v="17"/>
    <s v="SE1A"/>
    <x v="6"/>
    <x v="7"/>
    <s v="GNR_RES_WTR_NOPMP_MC-05"/>
    <x v="0"/>
    <x v="8"/>
    <n v="405.5"/>
    <n v="148007.5"/>
    <n v="532827"/>
  </r>
  <r>
    <x v="0"/>
    <x v="2"/>
    <x v="2"/>
    <x v="9"/>
    <x v="17"/>
    <s v="SE1A"/>
    <x v="6"/>
    <x v="7"/>
    <s v="GNR_RES_WTR_NOPMP_MC-05"/>
    <x v="0"/>
    <x v="9"/>
    <n v="59.907216644439998"/>
    <n v="21866.134075220602"/>
    <n v="78718.082670794203"/>
  </r>
  <r>
    <x v="0"/>
    <x v="2"/>
    <x v="2"/>
    <x v="9"/>
    <x v="17"/>
    <s v="SE1A"/>
    <x v="6"/>
    <x v="7"/>
    <s v="GNR_RES_WTR_NOPMP_MC-05"/>
    <x v="0"/>
    <x v="15"/>
    <n v="241.28365217304"/>
    <n v="88068.533043159594"/>
    <n v="317046.71895537502"/>
  </r>
  <r>
    <x v="0"/>
    <x v="2"/>
    <x v="2"/>
    <x v="9"/>
    <x v="17"/>
    <s v="SE1A"/>
    <x v="6"/>
    <x v="7"/>
    <s v="GNR_RES_WTR_NOPMP_MC-06"/>
    <x v="0"/>
    <x v="5"/>
    <n v="405.5"/>
    <n v="148007.5"/>
    <n v="532827"/>
  </r>
  <r>
    <x v="0"/>
    <x v="2"/>
    <x v="2"/>
    <x v="9"/>
    <x v="17"/>
    <s v="SE1A"/>
    <x v="6"/>
    <x v="7"/>
    <s v="GNR_RES_WTR_NOPMP_MC-06"/>
    <x v="0"/>
    <x v="6"/>
    <n v="405.5"/>
    <n v="148007.5"/>
    <n v="532827"/>
  </r>
  <r>
    <x v="0"/>
    <x v="2"/>
    <x v="2"/>
    <x v="9"/>
    <x v="17"/>
    <s v="SE1A"/>
    <x v="6"/>
    <x v="7"/>
    <s v="GNR_RES_WTR_NOPMP_MC-06"/>
    <x v="0"/>
    <x v="7"/>
    <n v="405.5"/>
    <n v="148007.5"/>
    <n v="532827"/>
  </r>
  <r>
    <x v="0"/>
    <x v="2"/>
    <x v="2"/>
    <x v="9"/>
    <x v="17"/>
    <s v="SE1A"/>
    <x v="6"/>
    <x v="7"/>
    <s v="GNR_RES_WTR_NOPMP_MC-06"/>
    <x v="0"/>
    <x v="8"/>
    <n v="405.5"/>
    <n v="148007.5"/>
    <n v="532827"/>
  </r>
  <r>
    <x v="0"/>
    <x v="2"/>
    <x v="2"/>
    <x v="9"/>
    <x v="17"/>
    <s v="SE1A"/>
    <x v="6"/>
    <x v="7"/>
    <s v="GNR_RES_WTR_NOPMP_MC-07"/>
    <x v="0"/>
    <x v="5"/>
    <n v="244.350359841944"/>
    <n v="89187.881342309396"/>
    <n v="321076.37283231399"/>
  </r>
  <r>
    <x v="0"/>
    <x v="2"/>
    <x v="2"/>
    <x v="9"/>
    <x v="17"/>
    <s v="SE1A"/>
    <x v="6"/>
    <x v="7"/>
    <s v="GNR_RES_WTR_NOPMP_MC-07"/>
    <x v="0"/>
    <x v="6"/>
    <n v="141.994952682882"/>
    <n v="51828.1577292519"/>
    <n v="186581.36782530701"/>
  </r>
  <r>
    <x v="0"/>
    <x v="2"/>
    <x v="2"/>
    <x v="9"/>
    <x v="17"/>
    <s v="SE1A"/>
    <x v="6"/>
    <x v="7"/>
    <s v="GNR_RES_WTR_NOPMP_MC-07"/>
    <x v="0"/>
    <x v="7"/>
    <n v="149.99144656587899"/>
    <n v="54746.8779965457"/>
    <n v="197088.760787565"/>
  </r>
  <r>
    <x v="0"/>
    <x v="2"/>
    <x v="2"/>
    <x v="9"/>
    <x v="17"/>
    <s v="SE1A"/>
    <x v="6"/>
    <x v="4"/>
    <s v="GNR_ROR_WTR"/>
    <x v="0"/>
    <x v="0"/>
    <n v="577.32713224462498"/>
    <n v="210724.40326928801"/>
    <n v="758607.85176943697"/>
  </r>
  <r>
    <x v="0"/>
    <x v="2"/>
    <x v="2"/>
    <x v="9"/>
    <x v="17"/>
    <s v="SE1A"/>
    <x v="6"/>
    <x v="4"/>
    <s v="GNR_ROR_WTR"/>
    <x v="0"/>
    <x v="1"/>
    <n v="577.32713224462498"/>
    <n v="210724.40326928801"/>
    <n v="758607.85176943697"/>
  </r>
  <r>
    <x v="0"/>
    <x v="2"/>
    <x v="2"/>
    <x v="9"/>
    <x v="17"/>
    <s v="SE1A"/>
    <x v="6"/>
    <x v="4"/>
    <s v="GNR_ROR_WTR"/>
    <x v="0"/>
    <x v="18"/>
    <n v="577.32713224462498"/>
    <n v="210724.40326928801"/>
    <n v="758607.85176943697"/>
  </r>
  <r>
    <x v="0"/>
    <x v="2"/>
    <x v="2"/>
    <x v="9"/>
    <x v="17"/>
    <s v="SE1A"/>
    <x v="6"/>
    <x v="4"/>
    <s v="GNR_ROR_WTR"/>
    <x v="0"/>
    <x v="2"/>
    <n v="577.32713224462498"/>
    <n v="210724.40326928801"/>
    <n v="758607.85176943697"/>
  </r>
  <r>
    <x v="0"/>
    <x v="2"/>
    <x v="2"/>
    <x v="9"/>
    <x v="17"/>
    <s v="SE1A"/>
    <x v="6"/>
    <x v="4"/>
    <s v="GNR_ROR_WTR"/>
    <x v="0"/>
    <x v="3"/>
    <n v="577.32713224462498"/>
    <n v="210724.40326928801"/>
    <n v="758607.85176943697"/>
  </r>
  <r>
    <x v="0"/>
    <x v="2"/>
    <x v="2"/>
    <x v="9"/>
    <x v="17"/>
    <s v="SE1A"/>
    <x v="6"/>
    <x v="4"/>
    <s v="GNR_ROR_WTR"/>
    <x v="0"/>
    <x v="4"/>
    <n v="577.32713224462498"/>
    <n v="210724.40326928801"/>
    <n v="758607.85176943697"/>
  </r>
  <r>
    <x v="0"/>
    <x v="2"/>
    <x v="2"/>
    <x v="9"/>
    <x v="17"/>
    <s v="SE1A"/>
    <x v="6"/>
    <x v="4"/>
    <s v="GNR_ROR_WTR"/>
    <x v="0"/>
    <x v="5"/>
    <n v="577.32713224462498"/>
    <n v="210724.40326928801"/>
    <n v="758607.85176943697"/>
  </r>
  <r>
    <x v="0"/>
    <x v="2"/>
    <x v="2"/>
    <x v="9"/>
    <x v="17"/>
    <s v="SE1A"/>
    <x v="6"/>
    <x v="4"/>
    <s v="GNR_ROR_WTR"/>
    <x v="0"/>
    <x v="6"/>
    <n v="577.32713224462498"/>
    <n v="210724.40326928801"/>
    <n v="758607.85176943697"/>
  </r>
  <r>
    <x v="0"/>
    <x v="2"/>
    <x v="2"/>
    <x v="9"/>
    <x v="17"/>
    <s v="SE1A"/>
    <x v="6"/>
    <x v="4"/>
    <s v="GNR_ROR_WTR"/>
    <x v="0"/>
    <x v="7"/>
    <n v="577.32713224462498"/>
    <n v="210724.40326928801"/>
    <n v="758607.85176943697"/>
  </r>
  <r>
    <x v="0"/>
    <x v="2"/>
    <x v="2"/>
    <x v="9"/>
    <x v="17"/>
    <s v="SE1A"/>
    <x v="6"/>
    <x v="4"/>
    <s v="GNR_ROR_WTR"/>
    <x v="0"/>
    <x v="8"/>
    <n v="577.32713224462498"/>
    <n v="210724.40326928801"/>
    <n v="758607.85176943697"/>
  </r>
  <r>
    <x v="0"/>
    <x v="2"/>
    <x v="2"/>
    <x v="9"/>
    <x v="17"/>
    <s v="SE1A"/>
    <x v="6"/>
    <x v="4"/>
    <s v="GNR_ROR_WTR"/>
    <x v="0"/>
    <x v="9"/>
    <n v="577.32713224462498"/>
    <n v="210724.40326928801"/>
    <n v="758607.85176943697"/>
  </r>
  <r>
    <x v="0"/>
    <x v="2"/>
    <x v="2"/>
    <x v="9"/>
    <x v="17"/>
    <s v="SE1A"/>
    <x v="6"/>
    <x v="4"/>
    <s v="GNR_ROR_WTR"/>
    <x v="0"/>
    <x v="10"/>
    <n v="577.32713224462498"/>
    <n v="210724.40326928801"/>
    <n v="758607.85176943697"/>
  </r>
  <r>
    <x v="0"/>
    <x v="2"/>
    <x v="2"/>
    <x v="9"/>
    <x v="17"/>
    <s v="SE1A"/>
    <x v="6"/>
    <x v="4"/>
    <s v="GNR_ROR_WTR"/>
    <x v="0"/>
    <x v="11"/>
    <n v="577.32713224462498"/>
    <n v="210724.40326928801"/>
    <n v="758607.85176943697"/>
  </r>
  <r>
    <x v="0"/>
    <x v="2"/>
    <x v="2"/>
    <x v="9"/>
    <x v="17"/>
    <s v="SE1A"/>
    <x v="6"/>
    <x v="4"/>
    <s v="GNR_ROR_WTR"/>
    <x v="0"/>
    <x v="12"/>
    <n v="577.32713224462498"/>
    <n v="210724.40326928801"/>
    <n v="758607.85176943697"/>
  </r>
  <r>
    <x v="0"/>
    <x v="2"/>
    <x v="2"/>
    <x v="9"/>
    <x v="17"/>
    <s v="SE1A"/>
    <x v="6"/>
    <x v="4"/>
    <s v="GNR_ROR_WTR"/>
    <x v="0"/>
    <x v="13"/>
    <n v="577.32713224462498"/>
    <n v="210724.40326928801"/>
    <n v="758607.85176943697"/>
  </r>
  <r>
    <x v="0"/>
    <x v="2"/>
    <x v="2"/>
    <x v="9"/>
    <x v="17"/>
    <s v="SE1A"/>
    <x v="6"/>
    <x v="4"/>
    <s v="GNR_ROR_WTR"/>
    <x v="0"/>
    <x v="14"/>
    <n v="577.32713224462498"/>
    <n v="210724.40326928801"/>
    <n v="758607.85176943697"/>
  </r>
  <r>
    <x v="0"/>
    <x v="2"/>
    <x v="2"/>
    <x v="9"/>
    <x v="17"/>
    <s v="SE1A"/>
    <x v="6"/>
    <x v="4"/>
    <s v="GNR_ROR_WTR"/>
    <x v="0"/>
    <x v="15"/>
    <n v="577.32713224462498"/>
    <n v="210724.40326928801"/>
    <n v="758607.85176943697"/>
  </r>
  <r>
    <x v="0"/>
    <x v="2"/>
    <x v="2"/>
    <x v="9"/>
    <x v="17"/>
    <s v="SE1A"/>
    <x v="6"/>
    <x v="4"/>
    <s v="GNR_ROR_WTR"/>
    <x v="0"/>
    <x v="16"/>
    <n v="577.32713224462498"/>
    <n v="210724.40326928801"/>
    <n v="758607.85176943697"/>
  </r>
  <r>
    <x v="0"/>
    <x v="2"/>
    <x v="2"/>
    <x v="9"/>
    <x v="17"/>
    <s v="SE1A"/>
    <x v="6"/>
    <x v="4"/>
    <s v="GNR_ROR_WTR"/>
    <x v="0"/>
    <x v="17"/>
    <n v="577.32713224462498"/>
    <n v="210724.40326928801"/>
    <n v="758607.85176943697"/>
  </r>
  <r>
    <x v="0"/>
    <x v="2"/>
    <x v="2"/>
    <x v="9"/>
    <x v="17"/>
    <s v="SE1A"/>
    <x v="6"/>
    <x v="4"/>
    <s v="GNR_ROR_WTR"/>
    <x v="0"/>
    <x v="19"/>
    <n v="577.32713224462498"/>
    <n v="210724.40326928801"/>
    <n v="758607.85176943697"/>
  </r>
  <r>
    <x v="0"/>
    <x v="2"/>
    <x v="2"/>
    <x v="9"/>
    <x v="17"/>
    <s v="SE1A"/>
    <x v="6"/>
    <x v="4"/>
    <s v="GNR_ROR_WTR"/>
    <x v="0"/>
    <x v="20"/>
    <n v="577.32713224462498"/>
    <n v="210724.40326928801"/>
    <n v="758607.85176943697"/>
  </r>
  <r>
    <x v="0"/>
    <x v="2"/>
    <x v="2"/>
    <x v="9"/>
    <x v="17"/>
    <s v="SE1A"/>
    <x v="6"/>
    <x v="4"/>
    <s v="GNR_ROR_WTR"/>
    <x v="0"/>
    <x v="21"/>
    <n v="577.32713224462498"/>
    <n v="210724.40326928801"/>
    <n v="758607.85176943697"/>
  </r>
  <r>
    <x v="0"/>
    <x v="2"/>
    <x v="2"/>
    <x v="9"/>
    <x v="17"/>
    <s v="SE1A"/>
    <x v="6"/>
    <x v="4"/>
    <s v="GNR_ROR_WTR"/>
    <x v="0"/>
    <x v="22"/>
    <n v="577.32713224462498"/>
    <n v="210724.40326928801"/>
    <n v="758607.85176943697"/>
  </r>
  <r>
    <x v="0"/>
    <x v="2"/>
    <x v="2"/>
    <x v="9"/>
    <x v="17"/>
    <s v="SE1A"/>
    <x v="6"/>
    <x v="4"/>
    <s v="GNR_ROR_WTR"/>
    <x v="0"/>
    <x v="23"/>
    <n v="577.32713224462498"/>
    <n v="210724.40326928801"/>
    <n v="758607.85176943697"/>
  </r>
  <r>
    <x v="0"/>
    <x v="2"/>
    <x v="2"/>
    <x v="9"/>
    <x v="17"/>
    <s v="SE1A"/>
    <x v="7"/>
    <x v="5"/>
    <s v="GNR_WT_WIND_ONS"/>
    <x v="0"/>
    <x v="0"/>
    <n v="47.704973728656"/>
    <n v="17412.3154109594"/>
    <n v="62684.335479453999"/>
  </r>
  <r>
    <x v="0"/>
    <x v="2"/>
    <x v="2"/>
    <x v="9"/>
    <x v="17"/>
    <s v="SE1A"/>
    <x v="7"/>
    <x v="5"/>
    <s v="GNR_WT_WIND_ONS"/>
    <x v="0"/>
    <x v="1"/>
    <n v="48.934620569822499"/>
    <n v="17861.1365079852"/>
    <n v="64300.091428746797"/>
  </r>
  <r>
    <x v="0"/>
    <x v="2"/>
    <x v="2"/>
    <x v="9"/>
    <x v="17"/>
    <s v="SE1A"/>
    <x v="7"/>
    <x v="5"/>
    <s v="GNR_WT_WIND_ONS"/>
    <x v="0"/>
    <x v="18"/>
    <n v="66.829308471919305"/>
    <n v="24392.697592250501"/>
    <n v="87813.711332101899"/>
  </r>
  <r>
    <x v="0"/>
    <x v="2"/>
    <x v="2"/>
    <x v="9"/>
    <x v="17"/>
    <s v="SE1A"/>
    <x v="7"/>
    <x v="5"/>
    <s v="GNR_WT_WIND_ONS"/>
    <x v="0"/>
    <x v="2"/>
    <n v="112.544689322625"/>
    <n v="41078.811602758004"/>
    <n v="147883.72176992899"/>
  </r>
  <r>
    <x v="0"/>
    <x v="2"/>
    <x v="2"/>
    <x v="9"/>
    <x v="17"/>
    <s v="SE1A"/>
    <x v="7"/>
    <x v="5"/>
    <s v="GNR_WT_WIND_ONS"/>
    <x v="0"/>
    <x v="3"/>
    <n v="54.545977476036498"/>
    <n v="19909.281778753299"/>
    <n v="71673.414403511997"/>
  </r>
  <r>
    <x v="0"/>
    <x v="2"/>
    <x v="2"/>
    <x v="9"/>
    <x v="17"/>
    <s v="SE1A"/>
    <x v="7"/>
    <x v="5"/>
    <s v="GNR_WT_WIND_ONS"/>
    <x v="0"/>
    <x v="4"/>
    <n v="141.935456217877"/>
    <n v="51806.4415195252"/>
    <n v="186503.18947029099"/>
  </r>
  <r>
    <x v="0"/>
    <x v="2"/>
    <x v="2"/>
    <x v="9"/>
    <x v="17"/>
    <s v="SE1A"/>
    <x v="7"/>
    <x v="5"/>
    <s v="GNR_WT_WIND_ONS"/>
    <x v="0"/>
    <x v="5"/>
    <n v="166.58548733363401"/>
    <n v="60803.702876776399"/>
    <n v="218893.33035639499"/>
  </r>
  <r>
    <x v="0"/>
    <x v="2"/>
    <x v="2"/>
    <x v="9"/>
    <x v="17"/>
    <s v="SE1A"/>
    <x v="7"/>
    <x v="5"/>
    <s v="GNR_WT_WIND_ONS"/>
    <x v="0"/>
    <x v="6"/>
    <n v="94.556893805186505"/>
    <n v="34513.266238893098"/>
    <n v="124247.758460015"/>
  </r>
  <r>
    <x v="0"/>
    <x v="2"/>
    <x v="2"/>
    <x v="9"/>
    <x v="17"/>
    <s v="SE1A"/>
    <x v="7"/>
    <x v="5"/>
    <s v="GNR_WT_WIND_ONS"/>
    <x v="0"/>
    <x v="7"/>
    <n v="75.107904493417195"/>
    <n v="27414.3851400973"/>
    <n v="98691.786504350195"/>
  </r>
  <r>
    <x v="0"/>
    <x v="2"/>
    <x v="2"/>
    <x v="9"/>
    <x v="17"/>
    <s v="SE1A"/>
    <x v="7"/>
    <x v="5"/>
    <s v="GNR_WT_WIND_ONS"/>
    <x v="0"/>
    <x v="8"/>
    <n v="58.644278347708699"/>
    <n v="21405.161596913698"/>
    <n v="77058.581748889294"/>
  </r>
  <r>
    <x v="0"/>
    <x v="2"/>
    <x v="2"/>
    <x v="9"/>
    <x v="17"/>
    <s v="SE1A"/>
    <x v="7"/>
    <x v="5"/>
    <s v="GNR_WT_WIND_ONS"/>
    <x v="0"/>
    <x v="9"/>
    <n v="44.202783098109599"/>
    <n v="16134.01583081"/>
    <n v="58082.456990915998"/>
  </r>
  <r>
    <x v="0"/>
    <x v="2"/>
    <x v="2"/>
    <x v="9"/>
    <x v="17"/>
    <s v="SE1A"/>
    <x v="7"/>
    <x v="5"/>
    <s v="GNR_WT_WIND_ONS"/>
    <x v="0"/>
    <x v="10"/>
    <n v="34.953622295525697"/>
    <n v="12758.0721378669"/>
    <n v="45929.059696320801"/>
  </r>
  <r>
    <x v="0"/>
    <x v="2"/>
    <x v="2"/>
    <x v="9"/>
    <x v="17"/>
    <s v="SE1A"/>
    <x v="7"/>
    <x v="5"/>
    <s v="GNR_WT_WIND_ONS"/>
    <x v="0"/>
    <x v="11"/>
    <n v="64.020001953407302"/>
    <n v="23367.3007129937"/>
    <n v="84122.282566777198"/>
  </r>
  <r>
    <x v="0"/>
    <x v="2"/>
    <x v="2"/>
    <x v="9"/>
    <x v="17"/>
    <s v="SE1A"/>
    <x v="7"/>
    <x v="5"/>
    <s v="GNR_WT_WIND_ONS"/>
    <x v="0"/>
    <x v="12"/>
    <n v="235.25105518243899"/>
    <n v="85866.635141590203"/>
    <n v="309119.88650972501"/>
  </r>
  <r>
    <x v="0"/>
    <x v="2"/>
    <x v="2"/>
    <x v="9"/>
    <x v="17"/>
    <s v="SE1A"/>
    <x v="7"/>
    <x v="5"/>
    <s v="GNR_WT_WIND_ONS"/>
    <x v="0"/>
    <x v="13"/>
    <n v="506.97459359959402"/>
    <n v="185045.72666385199"/>
    <n v="666164.61598986597"/>
  </r>
  <r>
    <x v="0"/>
    <x v="2"/>
    <x v="2"/>
    <x v="9"/>
    <x v="17"/>
    <s v="SE1A"/>
    <x v="7"/>
    <x v="5"/>
    <s v="GNR_WT_WIND_ONS"/>
    <x v="0"/>
    <x v="14"/>
    <n v="728.99153550906203"/>
    <n v="266081.91046080698"/>
    <n v="957894.87765890697"/>
  </r>
  <r>
    <x v="0"/>
    <x v="2"/>
    <x v="2"/>
    <x v="9"/>
    <x v="17"/>
    <s v="SE1A"/>
    <x v="7"/>
    <x v="5"/>
    <s v="GNR_WT_WIND_ONS"/>
    <x v="0"/>
    <x v="15"/>
    <n v="786.73246376108295"/>
    <n v="287157.34927279502"/>
    <n v="1033766.45738206"/>
  </r>
  <r>
    <x v="0"/>
    <x v="2"/>
    <x v="2"/>
    <x v="9"/>
    <x v="17"/>
    <s v="SE1A"/>
    <x v="7"/>
    <x v="5"/>
    <s v="GNR_WT_WIND_ONS"/>
    <x v="0"/>
    <x v="16"/>
    <n v="1473.6820537371"/>
    <n v="537893.94961404195"/>
    <n v="1936418.21861055"/>
  </r>
  <r>
    <x v="0"/>
    <x v="2"/>
    <x v="2"/>
    <x v="9"/>
    <x v="17"/>
    <s v="SE1A"/>
    <x v="7"/>
    <x v="5"/>
    <s v="GNR_WT_WIND_ONS"/>
    <x v="0"/>
    <x v="17"/>
    <n v="2094.4396526672999"/>
    <n v="764470.47322356305"/>
    <n v="2752093.70360483"/>
  </r>
  <r>
    <x v="0"/>
    <x v="2"/>
    <x v="2"/>
    <x v="9"/>
    <x v="17"/>
    <s v="SE1A"/>
    <x v="7"/>
    <x v="5"/>
    <s v="GNR_WT_WIND_ONS"/>
    <x v="0"/>
    <x v="19"/>
    <n v="1566.7941755176901"/>
    <n v="571879.87406395504"/>
    <n v="2058767.54663024"/>
  </r>
  <r>
    <x v="0"/>
    <x v="2"/>
    <x v="2"/>
    <x v="9"/>
    <x v="17"/>
    <s v="SE1A"/>
    <x v="7"/>
    <x v="5"/>
    <s v="GNR_WT_WIND_ONS"/>
    <x v="0"/>
    <x v="20"/>
    <n v="1369.02974332607"/>
    <n v="499695.85631401598"/>
    <n v="1798905.08273046"/>
  </r>
  <r>
    <x v="0"/>
    <x v="2"/>
    <x v="2"/>
    <x v="9"/>
    <x v="17"/>
    <s v="SE1A"/>
    <x v="7"/>
    <x v="5"/>
    <s v="GNR_WT_WIND_ONS"/>
    <x v="0"/>
    <x v="21"/>
    <n v="1366.02799658044"/>
    <n v="498600.218751862"/>
    <n v="1794960.7875067"/>
  </r>
  <r>
    <x v="0"/>
    <x v="2"/>
    <x v="2"/>
    <x v="9"/>
    <x v="17"/>
    <s v="SE1A"/>
    <x v="7"/>
    <x v="5"/>
    <s v="GNR_WT_WIND_ONS"/>
    <x v="0"/>
    <x v="22"/>
    <n v="1257.7454821153101"/>
    <n v="459077.10097208899"/>
    <n v="1652677.5634995201"/>
  </r>
  <r>
    <x v="0"/>
    <x v="2"/>
    <x v="2"/>
    <x v="9"/>
    <x v="17"/>
    <s v="SE1A"/>
    <x v="7"/>
    <x v="5"/>
    <s v="GNR_WT_WIND_ONS"/>
    <x v="0"/>
    <x v="23"/>
    <n v="1264.64369472561"/>
    <n v="461594.94857484603"/>
    <n v="1661741.8148694499"/>
  </r>
  <r>
    <x v="0"/>
    <x v="2"/>
    <x v="2"/>
    <x v="9"/>
    <x v="17"/>
    <s v="SE1_EL"/>
    <x v="2"/>
    <x v="2"/>
    <s v="GBPR_MUNIWASTE"/>
    <x v="0"/>
    <x v="0"/>
    <n v="3.93475156792227"/>
    <n v="1436.18432229163"/>
    <n v="5170.2635602498704"/>
  </r>
  <r>
    <x v="0"/>
    <x v="2"/>
    <x v="2"/>
    <x v="9"/>
    <x v="17"/>
    <s v="SE1_EL"/>
    <x v="2"/>
    <x v="2"/>
    <s v="GBPR_MUNIWASTE"/>
    <x v="0"/>
    <x v="1"/>
    <n v="3.93475156792227"/>
    <n v="1436.18432229163"/>
    <n v="5170.2635602498704"/>
  </r>
  <r>
    <x v="0"/>
    <x v="2"/>
    <x v="2"/>
    <x v="9"/>
    <x v="17"/>
    <s v="SE1_EL"/>
    <x v="2"/>
    <x v="2"/>
    <s v="GBPR_MUNIWASTE"/>
    <x v="0"/>
    <x v="18"/>
    <n v="3.93475156792227"/>
    <n v="1436.18432229163"/>
    <n v="5170.2635602498704"/>
  </r>
  <r>
    <x v="0"/>
    <x v="2"/>
    <x v="2"/>
    <x v="9"/>
    <x v="17"/>
    <s v="SE1_EL"/>
    <x v="2"/>
    <x v="2"/>
    <s v="GBPR_MUNIWASTE"/>
    <x v="0"/>
    <x v="2"/>
    <n v="3.93475156792227"/>
    <n v="1436.18432229163"/>
    <n v="5170.2635602498704"/>
  </r>
  <r>
    <x v="0"/>
    <x v="2"/>
    <x v="2"/>
    <x v="9"/>
    <x v="17"/>
    <s v="SE1_EL"/>
    <x v="2"/>
    <x v="2"/>
    <s v="GBPR_MUNIWASTE"/>
    <x v="0"/>
    <x v="3"/>
    <n v="3.93475156792227"/>
    <n v="1436.18432229163"/>
    <n v="5170.2635602498704"/>
  </r>
  <r>
    <x v="0"/>
    <x v="2"/>
    <x v="2"/>
    <x v="9"/>
    <x v="17"/>
    <s v="SE1_EL"/>
    <x v="2"/>
    <x v="2"/>
    <s v="GBPR_MUNIWASTE"/>
    <x v="0"/>
    <x v="4"/>
    <n v="3.93475156792227"/>
    <n v="1436.18432229163"/>
    <n v="5170.2635602498704"/>
  </r>
  <r>
    <x v="0"/>
    <x v="2"/>
    <x v="2"/>
    <x v="9"/>
    <x v="17"/>
    <s v="SE1_EL"/>
    <x v="2"/>
    <x v="2"/>
    <s v="GBPR_MUNIWASTE"/>
    <x v="0"/>
    <x v="5"/>
    <n v="3.93475156792227"/>
    <n v="1436.18432229163"/>
    <n v="5170.2635602498704"/>
  </r>
  <r>
    <x v="0"/>
    <x v="2"/>
    <x v="2"/>
    <x v="9"/>
    <x v="17"/>
    <s v="SE1_EL"/>
    <x v="2"/>
    <x v="2"/>
    <s v="GBPR_MUNIWASTE"/>
    <x v="0"/>
    <x v="6"/>
    <n v="3.93475156792227"/>
    <n v="1436.18432229163"/>
    <n v="5170.2635602498704"/>
  </r>
  <r>
    <x v="0"/>
    <x v="2"/>
    <x v="2"/>
    <x v="9"/>
    <x v="17"/>
    <s v="SE1_EL"/>
    <x v="2"/>
    <x v="2"/>
    <s v="GBPR_MUNIWASTE"/>
    <x v="0"/>
    <x v="7"/>
    <n v="3.93475156792227"/>
    <n v="1436.18432229163"/>
    <n v="5170.2635602498704"/>
  </r>
  <r>
    <x v="0"/>
    <x v="2"/>
    <x v="2"/>
    <x v="9"/>
    <x v="17"/>
    <s v="SE1_EL"/>
    <x v="2"/>
    <x v="2"/>
    <s v="GBPR_MUNIWASTE"/>
    <x v="0"/>
    <x v="8"/>
    <n v="3.93475156792227"/>
    <n v="1436.18432229163"/>
    <n v="5170.2635602498704"/>
  </r>
  <r>
    <x v="0"/>
    <x v="2"/>
    <x v="2"/>
    <x v="9"/>
    <x v="17"/>
    <s v="SE1_EL"/>
    <x v="2"/>
    <x v="2"/>
    <s v="GBPR_MUNIWASTE"/>
    <x v="0"/>
    <x v="9"/>
    <n v="3.93475156792227"/>
    <n v="1436.18432229163"/>
    <n v="5170.2635602498704"/>
  </r>
  <r>
    <x v="0"/>
    <x v="2"/>
    <x v="2"/>
    <x v="9"/>
    <x v="17"/>
    <s v="SE1_EL"/>
    <x v="2"/>
    <x v="2"/>
    <s v="GBPR_MUNIWASTE"/>
    <x v="0"/>
    <x v="10"/>
    <n v="3.93475156792227"/>
    <n v="1436.18432229163"/>
    <n v="5170.2635602498704"/>
  </r>
  <r>
    <x v="0"/>
    <x v="2"/>
    <x v="2"/>
    <x v="9"/>
    <x v="17"/>
    <s v="SE1_EL"/>
    <x v="2"/>
    <x v="2"/>
    <s v="GBPR_MUNIWASTE"/>
    <x v="0"/>
    <x v="11"/>
    <n v="3.93475156792227"/>
    <n v="1436.18432229163"/>
    <n v="5170.2635602498704"/>
  </r>
  <r>
    <x v="0"/>
    <x v="2"/>
    <x v="2"/>
    <x v="9"/>
    <x v="17"/>
    <s v="SE1_EL"/>
    <x v="2"/>
    <x v="2"/>
    <s v="GBPR_MUNIWASTE"/>
    <x v="0"/>
    <x v="12"/>
    <n v="3.93475156792227"/>
    <n v="1436.18432229163"/>
    <n v="5170.2635602498704"/>
  </r>
  <r>
    <x v="0"/>
    <x v="2"/>
    <x v="2"/>
    <x v="9"/>
    <x v="17"/>
    <s v="SE1_EL"/>
    <x v="2"/>
    <x v="2"/>
    <s v="GBPR_MUNIWASTE"/>
    <x v="0"/>
    <x v="13"/>
    <n v="3.93475156792227"/>
    <n v="1436.18432229163"/>
    <n v="5170.2635602498704"/>
  </r>
  <r>
    <x v="0"/>
    <x v="2"/>
    <x v="2"/>
    <x v="9"/>
    <x v="17"/>
    <s v="SE1_EL"/>
    <x v="2"/>
    <x v="2"/>
    <s v="GBPR_MUNIWASTE"/>
    <x v="0"/>
    <x v="14"/>
    <n v="3.93475156792227"/>
    <n v="1436.18432229163"/>
    <n v="5170.2635602498704"/>
  </r>
  <r>
    <x v="0"/>
    <x v="2"/>
    <x v="2"/>
    <x v="9"/>
    <x v="17"/>
    <s v="SE1_EL"/>
    <x v="2"/>
    <x v="2"/>
    <s v="GBPR_MUNIWASTE"/>
    <x v="0"/>
    <x v="15"/>
    <n v="3.93475156792227"/>
    <n v="1436.18432229163"/>
    <n v="5170.2635602498704"/>
  </r>
  <r>
    <x v="0"/>
    <x v="2"/>
    <x v="2"/>
    <x v="9"/>
    <x v="17"/>
    <s v="SE1_EL"/>
    <x v="2"/>
    <x v="2"/>
    <s v="GBPR_MUNIWASTE"/>
    <x v="0"/>
    <x v="16"/>
    <n v="3.93475156792227"/>
    <n v="1436.18432229163"/>
    <n v="5170.2635602498704"/>
  </r>
  <r>
    <x v="0"/>
    <x v="2"/>
    <x v="2"/>
    <x v="9"/>
    <x v="17"/>
    <s v="SE1_EL"/>
    <x v="2"/>
    <x v="2"/>
    <s v="GBPR_MUNIWASTE"/>
    <x v="0"/>
    <x v="17"/>
    <n v="3.93475156792227"/>
    <n v="1436.18432229163"/>
    <n v="5170.2635602498704"/>
  </r>
  <r>
    <x v="0"/>
    <x v="2"/>
    <x v="2"/>
    <x v="9"/>
    <x v="17"/>
    <s v="SE1_EL"/>
    <x v="2"/>
    <x v="2"/>
    <s v="GBPR_MUNIWASTE"/>
    <x v="0"/>
    <x v="19"/>
    <n v="3.93475156792227"/>
    <n v="1436.18432229163"/>
    <n v="5170.2635602498704"/>
  </r>
  <r>
    <x v="0"/>
    <x v="2"/>
    <x v="2"/>
    <x v="9"/>
    <x v="17"/>
    <s v="SE1_EL"/>
    <x v="2"/>
    <x v="2"/>
    <s v="GBPR_MUNIWASTE"/>
    <x v="0"/>
    <x v="20"/>
    <n v="3.93475156792227"/>
    <n v="1436.18432229163"/>
    <n v="5170.2635602498704"/>
  </r>
  <r>
    <x v="0"/>
    <x v="2"/>
    <x v="2"/>
    <x v="9"/>
    <x v="17"/>
    <s v="SE1_EL"/>
    <x v="2"/>
    <x v="2"/>
    <s v="GBPR_MUNIWASTE"/>
    <x v="0"/>
    <x v="21"/>
    <n v="3.93475156792227"/>
    <n v="1436.18432229163"/>
    <n v="5170.2635602498704"/>
  </r>
  <r>
    <x v="0"/>
    <x v="2"/>
    <x v="2"/>
    <x v="9"/>
    <x v="17"/>
    <s v="SE1_EL"/>
    <x v="2"/>
    <x v="2"/>
    <s v="GBPR_MUNIWASTE"/>
    <x v="0"/>
    <x v="22"/>
    <n v="3.93475156792227"/>
    <n v="1436.18432229163"/>
    <n v="5170.2635602498704"/>
  </r>
  <r>
    <x v="0"/>
    <x v="2"/>
    <x v="2"/>
    <x v="9"/>
    <x v="17"/>
    <s v="SE1_EL"/>
    <x v="2"/>
    <x v="2"/>
    <s v="GBPR_MUNIWASTE"/>
    <x v="0"/>
    <x v="23"/>
    <n v="3.93475156792227"/>
    <n v="1436.18432229163"/>
    <n v="5170.2635602498704"/>
  </r>
  <r>
    <x v="0"/>
    <x v="2"/>
    <x v="2"/>
    <x v="9"/>
    <x v="17"/>
    <s v="SE1_OTHER"/>
    <x v="10"/>
    <x v="2"/>
    <s v="GBPR_WOODWASTE"/>
    <x v="0"/>
    <x v="0"/>
    <n v="28.099124343257401"/>
    <n v="10256.180385289001"/>
    <n v="36922.249387040298"/>
  </r>
  <r>
    <x v="0"/>
    <x v="2"/>
    <x v="2"/>
    <x v="9"/>
    <x v="17"/>
    <s v="SE1_OTHER"/>
    <x v="10"/>
    <x v="2"/>
    <s v="GBPR_WOODWASTE"/>
    <x v="0"/>
    <x v="1"/>
    <n v="28.099124343257401"/>
    <n v="10256.180385289001"/>
    <n v="36922.249387040298"/>
  </r>
  <r>
    <x v="0"/>
    <x v="2"/>
    <x v="2"/>
    <x v="9"/>
    <x v="17"/>
    <s v="SE1_OTHER"/>
    <x v="10"/>
    <x v="2"/>
    <s v="GBPR_WOODWASTE"/>
    <x v="0"/>
    <x v="18"/>
    <n v="28.099124343257401"/>
    <n v="10256.180385289001"/>
    <n v="36922.249387040298"/>
  </r>
  <r>
    <x v="0"/>
    <x v="2"/>
    <x v="2"/>
    <x v="9"/>
    <x v="17"/>
    <s v="SE1_OTHER"/>
    <x v="10"/>
    <x v="2"/>
    <s v="GBPR_WOODWASTE"/>
    <x v="0"/>
    <x v="2"/>
    <n v="28.099124343257401"/>
    <n v="10256.180385289001"/>
    <n v="36922.249387040298"/>
  </r>
  <r>
    <x v="0"/>
    <x v="2"/>
    <x v="2"/>
    <x v="9"/>
    <x v="17"/>
    <s v="SE1_OTHER"/>
    <x v="10"/>
    <x v="2"/>
    <s v="GBPR_WOODWASTE"/>
    <x v="0"/>
    <x v="3"/>
    <n v="28.099124343257401"/>
    <n v="10256.180385289001"/>
    <n v="36922.249387040298"/>
  </r>
  <r>
    <x v="0"/>
    <x v="2"/>
    <x v="2"/>
    <x v="9"/>
    <x v="17"/>
    <s v="SE1_OTHER"/>
    <x v="10"/>
    <x v="2"/>
    <s v="GBPR_WOODWASTE"/>
    <x v="0"/>
    <x v="4"/>
    <n v="28.099124343257401"/>
    <n v="10256.180385289001"/>
    <n v="36922.249387040298"/>
  </r>
  <r>
    <x v="0"/>
    <x v="2"/>
    <x v="2"/>
    <x v="9"/>
    <x v="17"/>
    <s v="SE1_OTHER"/>
    <x v="10"/>
    <x v="2"/>
    <s v="GBPR_WOODWASTE"/>
    <x v="0"/>
    <x v="5"/>
    <n v="28.099124343257401"/>
    <n v="10256.180385289001"/>
    <n v="36922.249387040298"/>
  </r>
  <r>
    <x v="0"/>
    <x v="2"/>
    <x v="2"/>
    <x v="9"/>
    <x v="17"/>
    <s v="SE1_OTHER"/>
    <x v="10"/>
    <x v="2"/>
    <s v="GBPR_WOODWASTE"/>
    <x v="0"/>
    <x v="6"/>
    <n v="28.099124343257401"/>
    <n v="10256.180385289001"/>
    <n v="36922.249387040298"/>
  </r>
  <r>
    <x v="0"/>
    <x v="2"/>
    <x v="2"/>
    <x v="9"/>
    <x v="17"/>
    <s v="SE1_OTHER"/>
    <x v="10"/>
    <x v="2"/>
    <s v="GBPR_WOODWASTE"/>
    <x v="0"/>
    <x v="7"/>
    <n v="28.099124343257401"/>
    <n v="10256.180385289001"/>
    <n v="36922.249387040298"/>
  </r>
  <r>
    <x v="0"/>
    <x v="2"/>
    <x v="2"/>
    <x v="9"/>
    <x v="17"/>
    <s v="SE1_OTHER"/>
    <x v="10"/>
    <x v="2"/>
    <s v="GBPR_WOODWASTE"/>
    <x v="0"/>
    <x v="8"/>
    <n v="28.099124343257401"/>
    <n v="10256.180385289001"/>
    <n v="36922.249387040298"/>
  </r>
  <r>
    <x v="0"/>
    <x v="2"/>
    <x v="2"/>
    <x v="9"/>
    <x v="17"/>
    <s v="SE1_OTHER"/>
    <x v="10"/>
    <x v="2"/>
    <s v="GBPR_WOODWASTE"/>
    <x v="0"/>
    <x v="9"/>
    <n v="28.099124343257401"/>
    <n v="10256.180385289001"/>
    <n v="36922.249387040298"/>
  </r>
  <r>
    <x v="0"/>
    <x v="2"/>
    <x v="2"/>
    <x v="9"/>
    <x v="17"/>
    <s v="SE1_OTHER"/>
    <x v="10"/>
    <x v="2"/>
    <s v="GBPR_WOODWASTE"/>
    <x v="0"/>
    <x v="10"/>
    <n v="28.099124343257401"/>
    <n v="10256.180385289001"/>
    <n v="36922.249387040298"/>
  </r>
  <r>
    <x v="0"/>
    <x v="2"/>
    <x v="2"/>
    <x v="9"/>
    <x v="17"/>
    <s v="SE1_OTHER"/>
    <x v="10"/>
    <x v="2"/>
    <s v="GBPR_WOODWASTE"/>
    <x v="0"/>
    <x v="11"/>
    <n v="28.099124343257401"/>
    <n v="10256.180385289001"/>
    <n v="36922.249387040298"/>
  </r>
  <r>
    <x v="0"/>
    <x v="2"/>
    <x v="2"/>
    <x v="9"/>
    <x v="17"/>
    <s v="SE1_OTHER"/>
    <x v="10"/>
    <x v="2"/>
    <s v="GBPR_WOODWASTE"/>
    <x v="0"/>
    <x v="12"/>
    <n v="28.099124343257401"/>
    <n v="10256.180385289001"/>
    <n v="36922.249387040298"/>
  </r>
  <r>
    <x v="0"/>
    <x v="2"/>
    <x v="2"/>
    <x v="9"/>
    <x v="17"/>
    <s v="SE1_OTHER"/>
    <x v="10"/>
    <x v="2"/>
    <s v="GBPR_WOODWASTE"/>
    <x v="0"/>
    <x v="13"/>
    <n v="28.099124343257401"/>
    <n v="10256.180385289001"/>
    <n v="36922.249387040298"/>
  </r>
  <r>
    <x v="0"/>
    <x v="2"/>
    <x v="2"/>
    <x v="9"/>
    <x v="17"/>
    <s v="SE1_OTHER"/>
    <x v="10"/>
    <x v="2"/>
    <s v="GBPR_WOODWASTE"/>
    <x v="0"/>
    <x v="14"/>
    <n v="28.099124343257401"/>
    <n v="10256.180385289001"/>
    <n v="36922.249387040298"/>
  </r>
  <r>
    <x v="0"/>
    <x v="2"/>
    <x v="2"/>
    <x v="9"/>
    <x v="17"/>
    <s v="SE1_OTHER"/>
    <x v="10"/>
    <x v="2"/>
    <s v="GBPR_WOODWASTE"/>
    <x v="0"/>
    <x v="15"/>
    <n v="28.099124343257401"/>
    <n v="10256.180385289001"/>
    <n v="36922.249387040298"/>
  </r>
  <r>
    <x v="0"/>
    <x v="2"/>
    <x v="2"/>
    <x v="9"/>
    <x v="17"/>
    <s v="SE1_OTHER"/>
    <x v="10"/>
    <x v="2"/>
    <s v="GBPR_WOODWASTE"/>
    <x v="0"/>
    <x v="16"/>
    <n v="28.099124343257401"/>
    <n v="10256.180385289001"/>
    <n v="36922.249387040298"/>
  </r>
  <r>
    <x v="0"/>
    <x v="2"/>
    <x v="2"/>
    <x v="9"/>
    <x v="17"/>
    <s v="SE1_OTHER"/>
    <x v="10"/>
    <x v="2"/>
    <s v="GBPR_WOODWASTE"/>
    <x v="0"/>
    <x v="17"/>
    <n v="28.099124343257401"/>
    <n v="10256.180385289001"/>
    <n v="36922.249387040298"/>
  </r>
  <r>
    <x v="0"/>
    <x v="2"/>
    <x v="2"/>
    <x v="9"/>
    <x v="17"/>
    <s v="SE1_OTHER"/>
    <x v="10"/>
    <x v="2"/>
    <s v="GBPR_WOODWASTE"/>
    <x v="0"/>
    <x v="19"/>
    <n v="28.099124343257401"/>
    <n v="10256.180385289001"/>
    <n v="36922.249387040298"/>
  </r>
  <r>
    <x v="0"/>
    <x v="2"/>
    <x v="2"/>
    <x v="9"/>
    <x v="17"/>
    <s v="SE1_OTHER"/>
    <x v="10"/>
    <x v="2"/>
    <s v="GBPR_WOODWASTE"/>
    <x v="0"/>
    <x v="20"/>
    <n v="28.099124343257401"/>
    <n v="10256.180385289001"/>
    <n v="36922.249387040298"/>
  </r>
  <r>
    <x v="0"/>
    <x v="2"/>
    <x v="2"/>
    <x v="9"/>
    <x v="17"/>
    <s v="SE1_OTHER"/>
    <x v="10"/>
    <x v="2"/>
    <s v="GBPR_WOODWASTE"/>
    <x v="0"/>
    <x v="21"/>
    <n v="28.099124343257401"/>
    <n v="10256.180385289001"/>
    <n v="36922.249387040298"/>
  </r>
  <r>
    <x v="0"/>
    <x v="2"/>
    <x v="2"/>
    <x v="9"/>
    <x v="17"/>
    <s v="SE1_OTHER"/>
    <x v="10"/>
    <x v="2"/>
    <s v="GBPR_WOODWASTE"/>
    <x v="0"/>
    <x v="22"/>
    <n v="28.099124343257401"/>
    <n v="10256.180385289001"/>
    <n v="36922.249387040298"/>
  </r>
  <r>
    <x v="0"/>
    <x v="2"/>
    <x v="2"/>
    <x v="9"/>
    <x v="17"/>
    <s v="SE1_OTHER"/>
    <x v="10"/>
    <x v="2"/>
    <s v="GBPR_WOODWASTE"/>
    <x v="0"/>
    <x v="23"/>
    <n v="28.099124343257401"/>
    <n v="10256.180385289001"/>
    <n v="36922.249387040298"/>
  </r>
  <r>
    <x v="0"/>
    <x v="2"/>
    <x v="2"/>
    <x v="9"/>
    <x v="18"/>
    <s v="SE2A"/>
    <x v="6"/>
    <x v="7"/>
    <s v="GNR_RES_WTR_NOPMP_MC-01"/>
    <x v="0"/>
    <x v="0"/>
    <n v="407.485221835787"/>
    <n v="148732.105970062"/>
    <n v="535435.58149222401"/>
  </r>
  <r>
    <x v="0"/>
    <x v="2"/>
    <x v="2"/>
    <x v="9"/>
    <x v="18"/>
    <s v="SE2A"/>
    <x v="6"/>
    <x v="7"/>
    <s v="GNR_RES_WTR_NOPMP_MC-01"/>
    <x v="0"/>
    <x v="1"/>
    <n v="407.485221835787"/>
    <n v="148732.105970062"/>
    <n v="535435.58149222401"/>
  </r>
  <r>
    <x v="0"/>
    <x v="2"/>
    <x v="2"/>
    <x v="9"/>
    <x v="18"/>
    <s v="SE2A"/>
    <x v="6"/>
    <x v="7"/>
    <s v="GNR_RES_WTR_NOPMP_MC-01"/>
    <x v="0"/>
    <x v="18"/>
    <n v="407.485221835787"/>
    <n v="148732.105970062"/>
    <n v="535435.58149222401"/>
  </r>
  <r>
    <x v="0"/>
    <x v="2"/>
    <x v="2"/>
    <x v="9"/>
    <x v="18"/>
    <s v="SE2A"/>
    <x v="6"/>
    <x v="7"/>
    <s v="GNR_RES_WTR_NOPMP_MC-01"/>
    <x v="0"/>
    <x v="2"/>
    <n v="407.485221835787"/>
    <n v="148732.105970062"/>
    <n v="535435.58149222401"/>
  </r>
  <r>
    <x v="0"/>
    <x v="2"/>
    <x v="2"/>
    <x v="9"/>
    <x v="18"/>
    <s v="SE2A"/>
    <x v="6"/>
    <x v="7"/>
    <s v="GNR_RES_WTR_NOPMP_MC-01"/>
    <x v="0"/>
    <x v="3"/>
    <n v="407.485221835787"/>
    <n v="148732.105970062"/>
    <n v="535435.58149222401"/>
  </r>
  <r>
    <x v="0"/>
    <x v="2"/>
    <x v="2"/>
    <x v="9"/>
    <x v="18"/>
    <s v="SE2A"/>
    <x v="6"/>
    <x v="7"/>
    <s v="GNR_RES_WTR_NOPMP_MC-01"/>
    <x v="0"/>
    <x v="4"/>
    <n v="407.485221835787"/>
    <n v="148732.105970062"/>
    <n v="535435.58149222401"/>
  </r>
  <r>
    <x v="0"/>
    <x v="2"/>
    <x v="2"/>
    <x v="9"/>
    <x v="18"/>
    <s v="SE2A"/>
    <x v="6"/>
    <x v="7"/>
    <s v="GNR_RES_WTR_NOPMP_MC-01"/>
    <x v="0"/>
    <x v="5"/>
    <n v="407.485221835787"/>
    <n v="148732.105970062"/>
    <n v="535435.58149222401"/>
  </r>
  <r>
    <x v="0"/>
    <x v="2"/>
    <x v="2"/>
    <x v="9"/>
    <x v="18"/>
    <s v="SE2A"/>
    <x v="6"/>
    <x v="7"/>
    <s v="GNR_RES_WTR_NOPMP_MC-01"/>
    <x v="0"/>
    <x v="6"/>
    <n v="407.485221835787"/>
    <n v="148732.105970062"/>
    <n v="535435.58149222401"/>
  </r>
  <r>
    <x v="0"/>
    <x v="2"/>
    <x v="2"/>
    <x v="9"/>
    <x v="18"/>
    <s v="SE2A"/>
    <x v="6"/>
    <x v="7"/>
    <s v="GNR_RES_WTR_NOPMP_MC-01"/>
    <x v="0"/>
    <x v="7"/>
    <n v="407.485221835787"/>
    <n v="148732.105970062"/>
    <n v="535435.58149222401"/>
  </r>
  <r>
    <x v="0"/>
    <x v="2"/>
    <x v="2"/>
    <x v="9"/>
    <x v="18"/>
    <s v="SE2A"/>
    <x v="6"/>
    <x v="7"/>
    <s v="GNR_RES_WTR_NOPMP_MC-01"/>
    <x v="0"/>
    <x v="8"/>
    <n v="407.485221835787"/>
    <n v="148732.105970062"/>
    <n v="535435.58149222401"/>
  </r>
  <r>
    <x v="0"/>
    <x v="2"/>
    <x v="2"/>
    <x v="9"/>
    <x v="18"/>
    <s v="SE2A"/>
    <x v="6"/>
    <x v="7"/>
    <s v="GNR_RES_WTR_NOPMP_MC-01"/>
    <x v="0"/>
    <x v="9"/>
    <n v="407.485221835787"/>
    <n v="148732.105970062"/>
    <n v="535435.58149222401"/>
  </r>
  <r>
    <x v="0"/>
    <x v="2"/>
    <x v="2"/>
    <x v="9"/>
    <x v="18"/>
    <s v="SE2A"/>
    <x v="6"/>
    <x v="7"/>
    <s v="GNR_RES_WTR_NOPMP_MC-01"/>
    <x v="0"/>
    <x v="10"/>
    <n v="407.485221835787"/>
    <n v="148732.105970062"/>
    <n v="535435.58149222401"/>
  </r>
  <r>
    <x v="0"/>
    <x v="2"/>
    <x v="2"/>
    <x v="9"/>
    <x v="18"/>
    <s v="SE2A"/>
    <x v="6"/>
    <x v="7"/>
    <s v="GNR_RES_WTR_NOPMP_MC-01"/>
    <x v="0"/>
    <x v="11"/>
    <n v="407.485221835787"/>
    <n v="148732.105970062"/>
    <n v="535435.58149222401"/>
  </r>
  <r>
    <x v="0"/>
    <x v="2"/>
    <x v="2"/>
    <x v="9"/>
    <x v="18"/>
    <s v="SE2A"/>
    <x v="6"/>
    <x v="7"/>
    <s v="GNR_RES_WTR_NOPMP_MC-01"/>
    <x v="0"/>
    <x v="12"/>
    <n v="407.485221835787"/>
    <n v="148732.105970062"/>
    <n v="535435.58149222401"/>
  </r>
  <r>
    <x v="0"/>
    <x v="2"/>
    <x v="2"/>
    <x v="9"/>
    <x v="18"/>
    <s v="SE2A"/>
    <x v="6"/>
    <x v="7"/>
    <s v="GNR_RES_WTR_NOPMP_MC-01"/>
    <x v="0"/>
    <x v="13"/>
    <n v="407.485221835787"/>
    <n v="148732.105970062"/>
    <n v="535435.58149222401"/>
  </r>
  <r>
    <x v="0"/>
    <x v="2"/>
    <x v="2"/>
    <x v="9"/>
    <x v="18"/>
    <s v="SE2A"/>
    <x v="6"/>
    <x v="7"/>
    <s v="GNR_RES_WTR_NOPMP_MC-01"/>
    <x v="0"/>
    <x v="14"/>
    <n v="407.485221835787"/>
    <n v="148732.105970062"/>
    <n v="535435.58149222401"/>
  </r>
  <r>
    <x v="0"/>
    <x v="2"/>
    <x v="2"/>
    <x v="9"/>
    <x v="18"/>
    <s v="SE2A"/>
    <x v="6"/>
    <x v="7"/>
    <s v="GNR_RES_WTR_NOPMP_MC-01"/>
    <x v="0"/>
    <x v="15"/>
    <n v="407.485221835787"/>
    <n v="148732.105970062"/>
    <n v="535435.58149222401"/>
  </r>
  <r>
    <x v="0"/>
    <x v="2"/>
    <x v="2"/>
    <x v="9"/>
    <x v="18"/>
    <s v="SE2A"/>
    <x v="6"/>
    <x v="7"/>
    <s v="GNR_RES_WTR_NOPMP_MC-01"/>
    <x v="0"/>
    <x v="16"/>
    <n v="407.485221835787"/>
    <n v="148732.105970062"/>
    <n v="535435.58149222401"/>
  </r>
  <r>
    <x v="0"/>
    <x v="2"/>
    <x v="2"/>
    <x v="9"/>
    <x v="18"/>
    <s v="SE2A"/>
    <x v="6"/>
    <x v="7"/>
    <s v="GNR_RES_WTR_NOPMP_MC-01"/>
    <x v="0"/>
    <x v="17"/>
    <n v="407.485221835787"/>
    <n v="148732.105970062"/>
    <n v="535435.58149222401"/>
  </r>
  <r>
    <x v="0"/>
    <x v="2"/>
    <x v="2"/>
    <x v="9"/>
    <x v="18"/>
    <s v="SE2A"/>
    <x v="6"/>
    <x v="7"/>
    <s v="GNR_RES_WTR_NOPMP_MC-01"/>
    <x v="0"/>
    <x v="19"/>
    <n v="407.485221835787"/>
    <n v="148732.105970062"/>
    <n v="535435.58149222401"/>
  </r>
  <r>
    <x v="0"/>
    <x v="2"/>
    <x v="2"/>
    <x v="9"/>
    <x v="18"/>
    <s v="SE2A"/>
    <x v="6"/>
    <x v="7"/>
    <s v="GNR_RES_WTR_NOPMP_MC-01"/>
    <x v="0"/>
    <x v="20"/>
    <n v="407.485221835787"/>
    <n v="148732.105970062"/>
    <n v="535435.58149222401"/>
  </r>
  <r>
    <x v="0"/>
    <x v="2"/>
    <x v="2"/>
    <x v="9"/>
    <x v="18"/>
    <s v="SE2A"/>
    <x v="6"/>
    <x v="7"/>
    <s v="GNR_RES_WTR_NOPMP_MC-01"/>
    <x v="0"/>
    <x v="21"/>
    <n v="407.485221835787"/>
    <n v="148732.105970062"/>
    <n v="535435.58149222401"/>
  </r>
  <r>
    <x v="0"/>
    <x v="2"/>
    <x v="2"/>
    <x v="9"/>
    <x v="18"/>
    <s v="SE2A"/>
    <x v="6"/>
    <x v="7"/>
    <s v="GNR_RES_WTR_NOPMP_MC-01"/>
    <x v="0"/>
    <x v="22"/>
    <n v="407.485221835787"/>
    <n v="148732.105970062"/>
    <n v="535435.58149222401"/>
  </r>
  <r>
    <x v="0"/>
    <x v="2"/>
    <x v="2"/>
    <x v="9"/>
    <x v="18"/>
    <s v="SE2A"/>
    <x v="6"/>
    <x v="7"/>
    <s v="GNR_RES_WTR_NOPMP_MC-01"/>
    <x v="0"/>
    <x v="23"/>
    <n v="407.485221835787"/>
    <n v="148732.105970062"/>
    <n v="535435.58149222401"/>
  </r>
  <r>
    <x v="0"/>
    <x v="2"/>
    <x v="2"/>
    <x v="9"/>
    <x v="18"/>
    <s v="SE2A"/>
    <x v="6"/>
    <x v="7"/>
    <s v="GNR_RES_WTR_NOPMP_MC-02"/>
    <x v="0"/>
    <x v="0"/>
    <n v="515.485221835787"/>
    <n v="188152.105970062"/>
    <n v="677347.58149222401"/>
  </r>
  <r>
    <x v="0"/>
    <x v="2"/>
    <x v="2"/>
    <x v="9"/>
    <x v="18"/>
    <s v="SE2A"/>
    <x v="6"/>
    <x v="7"/>
    <s v="GNR_RES_WTR_NOPMP_MC-02"/>
    <x v="0"/>
    <x v="1"/>
    <n v="515.485221835787"/>
    <n v="188152.105970062"/>
    <n v="677347.58149222401"/>
  </r>
  <r>
    <x v="0"/>
    <x v="2"/>
    <x v="2"/>
    <x v="9"/>
    <x v="18"/>
    <s v="SE2A"/>
    <x v="6"/>
    <x v="7"/>
    <s v="GNR_RES_WTR_NOPMP_MC-02"/>
    <x v="0"/>
    <x v="18"/>
    <n v="515.485221835787"/>
    <n v="188152.105970062"/>
    <n v="677347.58149222401"/>
  </r>
  <r>
    <x v="0"/>
    <x v="2"/>
    <x v="2"/>
    <x v="9"/>
    <x v="18"/>
    <s v="SE2A"/>
    <x v="6"/>
    <x v="7"/>
    <s v="GNR_RES_WTR_NOPMP_MC-02"/>
    <x v="0"/>
    <x v="2"/>
    <n v="515.485221835787"/>
    <n v="188152.105970062"/>
    <n v="677347.58149222401"/>
  </r>
  <r>
    <x v="0"/>
    <x v="2"/>
    <x v="2"/>
    <x v="9"/>
    <x v="18"/>
    <s v="SE2A"/>
    <x v="6"/>
    <x v="7"/>
    <s v="GNR_RES_WTR_NOPMP_MC-02"/>
    <x v="0"/>
    <x v="3"/>
    <n v="515.485221835787"/>
    <n v="188152.105970062"/>
    <n v="677347.58149222401"/>
  </r>
  <r>
    <x v="0"/>
    <x v="2"/>
    <x v="2"/>
    <x v="9"/>
    <x v="18"/>
    <s v="SE2A"/>
    <x v="6"/>
    <x v="7"/>
    <s v="GNR_RES_WTR_NOPMP_MC-02"/>
    <x v="0"/>
    <x v="4"/>
    <n v="515.485221835787"/>
    <n v="188152.105970062"/>
    <n v="677347.58149222401"/>
  </r>
  <r>
    <x v="0"/>
    <x v="2"/>
    <x v="2"/>
    <x v="9"/>
    <x v="18"/>
    <s v="SE2A"/>
    <x v="6"/>
    <x v="7"/>
    <s v="GNR_RES_WTR_NOPMP_MC-02"/>
    <x v="0"/>
    <x v="5"/>
    <n v="515.485221835787"/>
    <n v="188152.105970062"/>
    <n v="677347.58149222401"/>
  </r>
  <r>
    <x v="0"/>
    <x v="2"/>
    <x v="2"/>
    <x v="9"/>
    <x v="18"/>
    <s v="SE2A"/>
    <x v="6"/>
    <x v="7"/>
    <s v="GNR_RES_WTR_NOPMP_MC-02"/>
    <x v="0"/>
    <x v="6"/>
    <n v="515.485221835787"/>
    <n v="188152.105970062"/>
    <n v="677347.58149222401"/>
  </r>
  <r>
    <x v="0"/>
    <x v="2"/>
    <x v="2"/>
    <x v="9"/>
    <x v="18"/>
    <s v="SE2A"/>
    <x v="6"/>
    <x v="7"/>
    <s v="GNR_RES_WTR_NOPMP_MC-02"/>
    <x v="0"/>
    <x v="7"/>
    <n v="515.485221835787"/>
    <n v="188152.105970062"/>
    <n v="677347.58149222401"/>
  </r>
  <r>
    <x v="0"/>
    <x v="2"/>
    <x v="2"/>
    <x v="9"/>
    <x v="18"/>
    <s v="SE2A"/>
    <x v="6"/>
    <x v="7"/>
    <s v="GNR_RES_WTR_NOPMP_MC-02"/>
    <x v="0"/>
    <x v="8"/>
    <n v="515.485221835787"/>
    <n v="188152.105970062"/>
    <n v="677347.58149222401"/>
  </r>
  <r>
    <x v="0"/>
    <x v="2"/>
    <x v="2"/>
    <x v="9"/>
    <x v="18"/>
    <s v="SE2A"/>
    <x v="6"/>
    <x v="7"/>
    <s v="GNR_RES_WTR_NOPMP_MC-02"/>
    <x v="0"/>
    <x v="9"/>
    <n v="515.485221835787"/>
    <n v="188152.105970062"/>
    <n v="677347.58149222401"/>
  </r>
  <r>
    <x v="0"/>
    <x v="2"/>
    <x v="2"/>
    <x v="9"/>
    <x v="18"/>
    <s v="SE2A"/>
    <x v="6"/>
    <x v="7"/>
    <s v="GNR_RES_WTR_NOPMP_MC-02"/>
    <x v="0"/>
    <x v="10"/>
    <n v="515.485221835787"/>
    <n v="188152.105970062"/>
    <n v="677347.58149222401"/>
  </r>
  <r>
    <x v="0"/>
    <x v="2"/>
    <x v="2"/>
    <x v="9"/>
    <x v="18"/>
    <s v="SE2A"/>
    <x v="6"/>
    <x v="7"/>
    <s v="GNR_RES_WTR_NOPMP_MC-02"/>
    <x v="0"/>
    <x v="14"/>
    <n v="515.485221835787"/>
    <n v="188152.105970062"/>
    <n v="677347.58149222401"/>
  </r>
  <r>
    <x v="0"/>
    <x v="2"/>
    <x v="2"/>
    <x v="9"/>
    <x v="18"/>
    <s v="SE2A"/>
    <x v="6"/>
    <x v="7"/>
    <s v="GNR_RES_WTR_NOPMP_MC-02"/>
    <x v="0"/>
    <x v="15"/>
    <n v="515.485221835787"/>
    <n v="188152.105970062"/>
    <n v="677347.58149222401"/>
  </r>
  <r>
    <x v="0"/>
    <x v="2"/>
    <x v="2"/>
    <x v="9"/>
    <x v="18"/>
    <s v="SE2A"/>
    <x v="6"/>
    <x v="7"/>
    <s v="GNR_RES_WTR_NOPMP_MC-02"/>
    <x v="0"/>
    <x v="16"/>
    <n v="515.485221835787"/>
    <n v="188152.105970062"/>
    <n v="677347.58149222401"/>
  </r>
  <r>
    <x v="0"/>
    <x v="2"/>
    <x v="2"/>
    <x v="9"/>
    <x v="18"/>
    <s v="SE2A"/>
    <x v="6"/>
    <x v="7"/>
    <s v="GNR_RES_WTR_NOPMP_MC-02"/>
    <x v="0"/>
    <x v="17"/>
    <n v="515.485221835787"/>
    <n v="188152.105970062"/>
    <n v="677347.58149222401"/>
  </r>
  <r>
    <x v="0"/>
    <x v="2"/>
    <x v="2"/>
    <x v="9"/>
    <x v="18"/>
    <s v="SE2A"/>
    <x v="6"/>
    <x v="7"/>
    <s v="GNR_RES_WTR_NOPMP_MC-02"/>
    <x v="0"/>
    <x v="19"/>
    <n v="515.485221835787"/>
    <n v="188152.105970062"/>
    <n v="677347.58149222401"/>
  </r>
  <r>
    <x v="0"/>
    <x v="2"/>
    <x v="2"/>
    <x v="9"/>
    <x v="18"/>
    <s v="SE2A"/>
    <x v="6"/>
    <x v="7"/>
    <s v="GNR_RES_WTR_NOPMP_MC-02"/>
    <x v="0"/>
    <x v="20"/>
    <n v="515.485221835787"/>
    <n v="188152.105970062"/>
    <n v="677347.58149222401"/>
  </r>
  <r>
    <x v="0"/>
    <x v="2"/>
    <x v="2"/>
    <x v="9"/>
    <x v="18"/>
    <s v="SE2A"/>
    <x v="6"/>
    <x v="7"/>
    <s v="GNR_RES_WTR_NOPMP_MC-02"/>
    <x v="0"/>
    <x v="21"/>
    <n v="515.485221835787"/>
    <n v="188152.105970062"/>
    <n v="677347.58149222401"/>
  </r>
  <r>
    <x v="0"/>
    <x v="2"/>
    <x v="2"/>
    <x v="9"/>
    <x v="18"/>
    <s v="SE2A"/>
    <x v="6"/>
    <x v="7"/>
    <s v="GNR_RES_WTR_NOPMP_MC-02"/>
    <x v="0"/>
    <x v="22"/>
    <n v="515.485221835787"/>
    <n v="188152.105970062"/>
    <n v="677347.58149222401"/>
  </r>
  <r>
    <x v="0"/>
    <x v="2"/>
    <x v="2"/>
    <x v="9"/>
    <x v="18"/>
    <s v="SE2A"/>
    <x v="6"/>
    <x v="7"/>
    <s v="GNR_RES_WTR_NOPMP_MC-02"/>
    <x v="0"/>
    <x v="23"/>
    <n v="515.485221835787"/>
    <n v="188152.105970062"/>
    <n v="677347.58149222401"/>
  </r>
  <r>
    <x v="0"/>
    <x v="2"/>
    <x v="2"/>
    <x v="9"/>
    <x v="18"/>
    <s v="SE2A"/>
    <x v="6"/>
    <x v="7"/>
    <s v="GNR_RES_WTR_NOPMP_MC-03"/>
    <x v="0"/>
    <x v="0"/>
    <n v="515.485221835787"/>
    <n v="188152.105970062"/>
    <n v="677347.58149222401"/>
  </r>
  <r>
    <x v="0"/>
    <x v="2"/>
    <x v="2"/>
    <x v="9"/>
    <x v="18"/>
    <s v="SE2A"/>
    <x v="6"/>
    <x v="7"/>
    <s v="GNR_RES_WTR_NOPMP_MC-03"/>
    <x v="0"/>
    <x v="1"/>
    <n v="515.485221835787"/>
    <n v="188152.105970062"/>
    <n v="677347.58149222401"/>
  </r>
  <r>
    <x v="0"/>
    <x v="2"/>
    <x v="2"/>
    <x v="9"/>
    <x v="18"/>
    <s v="SE2A"/>
    <x v="6"/>
    <x v="7"/>
    <s v="GNR_RES_WTR_NOPMP_MC-03"/>
    <x v="0"/>
    <x v="18"/>
    <n v="515.485221835787"/>
    <n v="188152.105970062"/>
    <n v="677347.58149222401"/>
  </r>
  <r>
    <x v="0"/>
    <x v="2"/>
    <x v="2"/>
    <x v="9"/>
    <x v="18"/>
    <s v="SE2A"/>
    <x v="6"/>
    <x v="7"/>
    <s v="GNR_RES_WTR_NOPMP_MC-03"/>
    <x v="0"/>
    <x v="2"/>
    <n v="515.485221835787"/>
    <n v="188152.105970062"/>
    <n v="677347.58149222401"/>
  </r>
  <r>
    <x v="0"/>
    <x v="2"/>
    <x v="2"/>
    <x v="9"/>
    <x v="18"/>
    <s v="SE2A"/>
    <x v="6"/>
    <x v="7"/>
    <s v="GNR_RES_WTR_NOPMP_MC-03"/>
    <x v="0"/>
    <x v="3"/>
    <n v="515.485221835787"/>
    <n v="188152.105970062"/>
    <n v="677347.58149222401"/>
  </r>
  <r>
    <x v="0"/>
    <x v="2"/>
    <x v="2"/>
    <x v="9"/>
    <x v="18"/>
    <s v="SE2A"/>
    <x v="6"/>
    <x v="7"/>
    <s v="GNR_RES_WTR_NOPMP_MC-03"/>
    <x v="0"/>
    <x v="4"/>
    <n v="515.485221835787"/>
    <n v="188152.105970062"/>
    <n v="677347.58149222401"/>
  </r>
  <r>
    <x v="0"/>
    <x v="2"/>
    <x v="2"/>
    <x v="9"/>
    <x v="18"/>
    <s v="SE2A"/>
    <x v="6"/>
    <x v="7"/>
    <s v="GNR_RES_WTR_NOPMP_MC-03"/>
    <x v="0"/>
    <x v="5"/>
    <n v="515.485221835787"/>
    <n v="188152.105970062"/>
    <n v="677347.58149222401"/>
  </r>
  <r>
    <x v="0"/>
    <x v="2"/>
    <x v="2"/>
    <x v="9"/>
    <x v="18"/>
    <s v="SE2A"/>
    <x v="6"/>
    <x v="7"/>
    <s v="GNR_RES_WTR_NOPMP_MC-03"/>
    <x v="0"/>
    <x v="6"/>
    <n v="515.485221835787"/>
    <n v="188152.105970062"/>
    <n v="677347.58149222401"/>
  </r>
  <r>
    <x v="0"/>
    <x v="2"/>
    <x v="2"/>
    <x v="9"/>
    <x v="18"/>
    <s v="SE2A"/>
    <x v="6"/>
    <x v="7"/>
    <s v="GNR_RES_WTR_NOPMP_MC-03"/>
    <x v="0"/>
    <x v="7"/>
    <n v="515.485221835787"/>
    <n v="188152.105970062"/>
    <n v="677347.58149222401"/>
  </r>
  <r>
    <x v="0"/>
    <x v="2"/>
    <x v="2"/>
    <x v="9"/>
    <x v="18"/>
    <s v="SE2A"/>
    <x v="6"/>
    <x v="7"/>
    <s v="GNR_RES_WTR_NOPMP_MC-03"/>
    <x v="0"/>
    <x v="8"/>
    <n v="515.485221835787"/>
    <n v="188152.105970062"/>
    <n v="677347.58149222401"/>
  </r>
  <r>
    <x v="0"/>
    <x v="2"/>
    <x v="2"/>
    <x v="9"/>
    <x v="18"/>
    <s v="SE2A"/>
    <x v="6"/>
    <x v="7"/>
    <s v="GNR_RES_WTR_NOPMP_MC-03"/>
    <x v="0"/>
    <x v="9"/>
    <n v="515.485221835787"/>
    <n v="188152.105970062"/>
    <n v="677347.58149222401"/>
  </r>
  <r>
    <x v="0"/>
    <x v="2"/>
    <x v="2"/>
    <x v="9"/>
    <x v="18"/>
    <s v="SE2A"/>
    <x v="6"/>
    <x v="7"/>
    <s v="GNR_RES_WTR_NOPMP_MC-03"/>
    <x v="0"/>
    <x v="14"/>
    <n v="515.485221835787"/>
    <n v="188152.105970062"/>
    <n v="677347.58149222401"/>
  </r>
  <r>
    <x v="0"/>
    <x v="2"/>
    <x v="2"/>
    <x v="9"/>
    <x v="18"/>
    <s v="SE2A"/>
    <x v="6"/>
    <x v="7"/>
    <s v="GNR_RES_WTR_NOPMP_MC-03"/>
    <x v="0"/>
    <x v="15"/>
    <n v="515.485221835787"/>
    <n v="188152.105970062"/>
    <n v="677347.58149222401"/>
  </r>
  <r>
    <x v="0"/>
    <x v="2"/>
    <x v="2"/>
    <x v="9"/>
    <x v="18"/>
    <s v="SE2A"/>
    <x v="6"/>
    <x v="7"/>
    <s v="GNR_RES_WTR_NOPMP_MC-03"/>
    <x v="0"/>
    <x v="16"/>
    <n v="515.485221835787"/>
    <n v="188152.105970062"/>
    <n v="677347.58149222401"/>
  </r>
  <r>
    <x v="0"/>
    <x v="2"/>
    <x v="2"/>
    <x v="9"/>
    <x v="18"/>
    <s v="SE2A"/>
    <x v="6"/>
    <x v="7"/>
    <s v="GNR_RES_WTR_NOPMP_MC-03"/>
    <x v="0"/>
    <x v="17"/>
    <n v="515.485221835787"/>
    <n v="188152.105970062"/>
    <n v="677347.58149222401"/>
  </r>
  <r>
    <x v="0"/>
    <x v="2"/>
    <x v="2"/>
    <x v="9"/>
    <x v="18"/>
    <s v="SE2A"/>
    <x v="6"/>
    <x v="7"/>
    <s v="GNR_RES_WTR_NOPMP_MC-03"/>
    <x v="0"/>
    <x v="19"/>
    <n v="515.485221835787"/>
    <n v="188152.105970062"/>
    <n v="677347.58149222401"/>
  </r>
  <r>
    <x v="0"/>
    <x v="2"/>
    <x v="2"/>
    <x v="9"/>
    <x v="18"/>
    <s v="SE2A"/>
    <x v="6"/>
    <x v="7"/>
    <s v="GNR_RES_WTR_NOPMP_MC-03"/>
    <x v="0"/>
    <x v="20"/>
    <n v="515.485221835787"/>
    <n v="188152.105970062"/>
    <n v="677347.58149222401"/>
  </r>
  <r>
    <x v="0"/>
    <x v="2"/>
    <x v="2"/>
    <x v="9"/>
    <x v="18"/>
    <s v="SE2A"/>
    <x v="6"/>
    <x v="7"/>
    <s v="GNR_RES_WTR_NOPMP_MC-03"/>
    <x v="0"/>
    <x v="21"/>
    <n v="515.485221835787"/>
    <n v="188152.105970062"/>
    <n v="677347.58149222401"/>
  </r>
  <r>
    <x v="0"/>
    <x v="2"/>
    <x v="2"/>
    <x v="9"/>
    <x v="18"/>
    <s v="SE2A"/>
    <x v="6"/>
    <x v="7"/>
    <s v="GNR_RES_WTR_NOPMP_MC-03"/>
    <x v="0"/>
    <x v="22"/>
    <n v="515.485221835787"/>
    <n v="188152.105970062"/>
    <n v="677347.58149222401"/>
  </r>
  <r>
    <x v="0"/>
    <x v="2"/>
    <x v="2"/>
    <x v="9"/>
    <x v="18"/>
    <s v="SE2A"/>
    <x v="6"/>
    <x v="7"/>
    <s v="GNR_RES_WTR_NOPMP_MC-04"/>
    <x v="0"/>
    <x v="0"/>
    <n v="515.485221835787"/>
    <n v="188152.105970062"/>
    <n v="677347.58149222401"/>
  </r>
  <r>
    <x v="0"/>
    <x v="2"/>
    <x v="2"/>
    <x v="9"/>
    <x v="18"/>
    <s v="SE2A"/>
    <x v="6"/>
    <x v="7"/>
    <s v="GNR_RES_WTR_NOPMP_MC-04"/>
    <x v="0"/>
    <x v="1"/>
    <n v="515.485221835787"/>
    <n v="188152.105970062"/>
    <n v="677347.58149222401"/>
  </r>
  <r>
    <x v="0"/>
    <x v="2"/>
    <x v="2"/>
    <x v="9"/>
    <x v="18"/>
    <s v="SE2A"/>
    <x v="6"/>
    <x v="7"/>
    <s v="GNR_RES_WTR_NOPMP_MC-04"/>
    <x v="0"/>
    <x v="18"/>
    <n v="515.485221835787"/>
    <n v="188152.105970062"/>
    <n v="677347.58149222401"/>
  </r>
  <r>
    <x v="0"/>
    <x v="2"/>
    <x v="2"/>
    <x v="9"/>
    <x v="18"/>
    <s v="SE2A"/>
    <x v="6"/>
    <x v="7"/>
    <s v="GNR_RES_WTR_NOPMP_MC-04"/>
    <x v="0"/>
    <x v="2"/>
    <n v="515.485221835787"/>
    <n v="188152.105970062"/>
    <n v="677347.58149222401"/>
  </r>
  <r>
    <x v="0"/>
    <x v="2"/>
    <x v="2"/>
    <x v="9"/>
    <x v="18"/>
    <s v="SE2A"/>
    <x v="6"/>
    <x v="7"/>
    <s v="GNR_RES_WTR_NOPMP_MC-04"/>
    <x v="0"/>
    <x v="3"/>
    <n v="515.485221835787"/>
    <n v="188152.105970062"/>
    <n v="677347.58149222401"/>
  </r>
  <r>
    <x v="0"/>
    <x v="2"/>
    <x v="2"/>
    <x v="9"/>
    <x v="18"/>
    <s v="SE2A"/>
    <x v="6"/>
    <x v="7"/>
    <s v="GNR_RES_WTR_NOPMP_MC-04"/>
    <x v="0"/>
    <x v="4"/>
    <n v="515.485221835787"/>
    <n v="188152.105970062"/>
    <n v="677347.58149222401"/>
  </r>
  <r>
    <x v="0"/>
    <x v="2"/>
    <x v="2"/>
    <x v="9"/>
    <x v="18"/>
    <s v="SE2A"/>
    <x v="6"/>
    <x v="7"/>
    <s v="GNR_RES_WTR_NOPMP_MC-04"/>
    <x v="0"/>
    <x v="5"/>
    <n v="515.485221835787"/>
    <n v="188152.105970062"/>
    <n v="677347.58149222401"/>
  </r>
  <r>
    <x v="0"/>
    <x v="2"/>
    <x v="2"/>
    <x v="9"/>
    <x v="18"/>
    <s v="SE2A"/>
    <x v="6"/>
    <x v="7"/>
    <s v="GNR_RES_WTR_NOPMP_MC-04"/>
    <x v="0"/>
    <x v="6"/>
    <n v="515.485221835787"/>
    <n v="188152.105970062"/>
    <n v="677347.58149222401"/>
  </r>
  <r>
    <x v="0"/>
    <x v="2"/>
    <x v="2"/>
    <x v="9"/>
    <x v="18"/>
    <s v="SE2A"/>
    <x v="6"/>
    <x v="7"/>
    <s v="GNR_RES_WTR_NOPMP_MC-04"/>
    <x v="0"/>
    <x v="7"/>
    <n v="515.485221835787"/>
    <n v="188152.105970062"/>
    <n v="677347.58149222401"/>
  </r>
  <r>
    <x v="0"/>
    <x v="2"/>
    <x v="2"/>
    <x v="9"/>
    <x v="18"/>
    <s v="SE2A"/>
    <x v="6"/>
    <x v="7"/>
    <s v="GNR_RES_WTR_NOPMP_MC-04"/>
    <x v="0"/>
    <x v="8"/>
    <n v="515.485221835787"/>
    <n v="188152.105970062"/>
    <n v="677347.58149222401"/>
  </r>
  <r>
    <x v="0"/>
    <x v="2"/>
    <x v="2"/>
    <x v="9"/>
    <x v="18"/>
    <s v="SE2A"/>
    <x v="6"/>
    <x v="7"/>
    <s v="GNR_RES_WTR_NOPMP_MC-04"/>
    <x v="0"/>
    <x v="9"/>
    <n v="515.485221835787"/>
    <n v="188152.105970062"/>
    <n v="677347.58149222401"/>
  </r>
  <r>
    <x v="0"/>
    <x v="2"/>
    <x v="2"/>
    <x v="9"/>
    <x v="18"/>
    <s v="SE2A"/>
    <x v="6"/>
    <x v="7"/>
    <s v="GNR_RES_WTR_NOPMP_MC-04"/>
    <x v="0"/>
    <x v="14"/>
    <n v="411.97640769730401"/>
    <n v="150371.38880951601"/>
    <n v="541336.99971425801"/>
  </r>
  <r>
    <x v="0"/>
    <x v="2"/>
    <x v="2"/>
    <x v="9"/>
    <x v="18"/>
    <s v="SE2A"/>
    <x v="6"/>
    <x v="7"/>
    <s v="GNR_RES_WTR_NOPMP_MC-04"/>
    <x v="0"/>
    <x v="15"/>
    <n v="515.485221835787"/>
    <n v="188152.105970062"/>
    <n v="677347.58149222401"/>
  </r>
  <r>
    <x v="0"/>
    <x v="2"/>
    <x v="2"/>
    <x v="9"/>
    <x v="18"/>
    <s v="SE2A"/>
    <x v="6"/>
    <x v="7"/>
    <s v="GNR_RES_WTR_NOPMP_MC-04"/>
    <x v="0"/>
    <x v="16"/>
    <n v="515.485221835787"/>
    <n v="188152.105970062"/>
    <n v="677347.58149222401"/>
  </r>
  <r>
    <x v="0"/>
    <x v="2"/>
    <x v="2"/>
    <x v="9"/>
    <x v="18"/>
    <s v="SE2A"/>
    <x v="6"/>
    <x v="7"/>
    <s v="GNR_RES_WTR_NOPMP_MC-04"/>
    <x v="0"/>
    <x v="17"/>
    <n v="515.485221835787"/>
    <n v="188152.105970062"/>
    <n v="677347.58149222401"/>
  </r>
  <r>
    <x v="0"/>
    <x v="2"/>
    <x v="2"/>
    <x v="9"/>
    <x v="18"/>
    <s v="SE2A"/>
    <x v="6"/>
    <x v="7"/>
    <s v="GNR_RES_WTR_NOPMP_MC-04"/>
    <x v="0"/>
    <x v="19"/>
    <n v="515.485221835787"/>
    <n v="188152.105970062"/>
    <n v="677347.58149222401"/>
  </r>
  <r>
    <x v="0"/>
    <x v="2"/>
    <x v="2"/>
    <x v="9"/>
    <x v="18"/>
    <s v="SE2A"/>
    <x v="6"/>
    <x v="7"/>
    <s v="GNR_RES_WTR_NOPMP_MC-04"/>
    <x v="0"/>
    <x v="20"/>
    <n v="515.485221835787"/>
    <n v="188152.105970062"/>
    <n v="677347.58149222401"/>
  </r>
  <r>
    <x v="0"/>
    <x v="2"/>
    <x v="2"/>
    <x v="9"/>
    <x v="18"/>
    <s v="SE2A"/>
    <x v="6"/>
    <x v="7"/>
    <s v="GNR_RES_WTR_NOPMP_MC-05"/>
    <x v="0"/>
    <x v="0"/>
    <n v="515.485221835787"/>
    <n v="188152.105970062"/>
    <n v="677347.58149222401"/>
  </r>
  <r>
    <x v="0"/>
    <x v="2"/>
    <x v="2"/>
    <x v="9"/>
    <x v="18"/>
    <s v="SE2A"/>
    <x v="6"/>
    <x v="7"/>
    <s v="GNR_RES_WTR_NOPMP_MC-05"/>
    <x v="0"/>
    <x v="1"/>
    <n v="515.485221835787"/>
    <n v="188152.105970062"/>
    <n v="677347.58149222401"/>
  </r>
  <r>
    <x v="0"/>
    <x v="2"/>
    <x v="2"/>
    <x v="9"/>
    <x v="18"/>
    <s v="SE2A"/>
    <x v="6"/>
    <x v="7"/>
    <s v="GNR_RES_WTR_NOPMP_MC-05"/>
    <x v="0"/>
    <x v="18"/>
    <n v="515.485221835787"/>
    <n v="188152.105970062"/>
    <n v="677347.58149222401"/>
  </r>
  <r>
    <x v="0"/>
    <x v="2"/>
    <x v="2"/>
    <x v="9"/>
    <x v="18"/>
    <s v="SE2A"/>
    <x v="6"/>
    <x v="7"/>
    <s v="GNR_RES_WTR_NOPMP_MC-05"/>
    <x v="0"/>
    <x v="2"/>
    <n v="515.485221835787"/>
    <n v="188152.105970062"/>
    <n v="677347.58149222401"/>
  </r>
  <r>
    <x v="0"/>
    <x v="2"/>
    <x v="2"/>
    <x v="9"/>
    <x v="18"/>
    <s v="SE2A"/>
    <x v="6"/>
    <x v="7"/>
    <s v="GNR_RES_WTR_NOPMP_MC-05"/>
    <x v="0"/>
    <x v="3"/>
    <n v="515.485221835787"/>
    <n v="188152.105970062"/>
    <n v="677347.58149222401"/>
  </r>
  <r>
    <x v="0"/>
    <x v="2"/>
    <x v="2"/>
    <x v="9"/>
    <x v="18"/>
    <s v="SE2A"/>
    <x v="6"/>
    <x v="7"/>
    <s v="GNR_RES_WTR_NOPMP_MC-05"/>
    <x v="0"/>
    <x v="4"/>
    <n v="515.485221835787"/>
    <n v="188152.105970062"/>
    <n v="677347.58149222401"/>
  </r>
  <r>
    <x v="0"/>
    <x v="2"/>
    <x v="2"/>
    <x v="9"/>
    <x v="18"/>
    <s v="SE2A"/>
    <x v="6"/>
    <x v="7"/>
    <s v="GNR_RES_WTR_NOPMP_MC-05"/>
    <x v="0"/>
    <x v="5"/>
    <n v="515.485221835787"/>
    <n v="188152.105970062"/>
    <n v="677347.58149222401"/>
  </r>
  <r>
    <x v="0"/>
    <x v="2"/>
    <x v="2"/>
    <x v="9"/>
    <x v="18"/>
    <s v="SE2A"/>
    <x v="6"/>
    <x v="7"/>
    <s v="GNR_RES_WTR_NOPMP_MC-05"/>
    <x v="0"/>
    <x v="6"/>
    <n v="515.485221835787"/>
    <n v="188152.105970062"/>
    <n v="677347.58149222401"/>
  </r>
  <r>
    <x v="0"/>
    <x v="2"/>
    <x v="2"/>
    <x v="9"/>
    <x v="18"/>
    <s v="SE2A"/>
    <x v="6"/>
    <x v="7"/>
    <s v="GNR_RES_WTR_NOPMP_MC-05"/>
    <x v="0"/>
    <x v="7"/>
    <n v="515.485221835787"/>
    <n v="188152.105970062"/>
    <n v="677347.58149222401"/>
  </r>
  <r>
    <x v="0"/>
    <x v="2"/>
    <x v="2"/>
    <x v="9"/>
    <x v="18"/>
    <s v="SE2A"/>
    <x v="6"/>
    <x v="7"/>
    <s v="GNR_RES_WTR_NOPMP_MC-05"/>
    <x v="0"/>
    <x v="8"/>
    <n v="515.485221835787"/>
    <n v="188152.105970062"/>
    <n v="677347.58149222401"/>
  </r>
  <r>
    <x v="0"/>
    <x v="2"/>
    <x v="2"/>
    <x v="9"/>
    <x v="18"/>
    <s v="SE2A"/>
    <x v="6"/>
    <x v="7"/>
    <s v="GNR_RES_WTR_NOPMP_MC-05"/>
    <x v="0"/>
    <x v="15"/>
    <n v="515.485221835787"/>
    <n v="188152.105970062"/>
    <n v="677347.58149222401"/>
  </r>
  <r>
    <x v="0"/>
    <x v="2"/>
    <x v="2"/>
    <x v="9"/>
    <x v="18"/>
    <s v="SE2A"/>
    <x v="6"/>
    <x v="7"/>
    <s v="GNR_RES_WTR_NOPMP_MC-05"/>
    <x v="0"/>
    <x v="16"/>
    <n v="515.485221835787"/>
    <n v="188152.105970062"/>
    <n v="677347.58149222401"/>
  </r>
  <r>
    <x v="0"/>
    <x v="2"/>
    <x v="2"/>
    <x v="9"/>
    <x v="18"/>
    <s v="SE2A"/>
    <x v="6"/>
    <x v="7"/>
    <s v="GNR_RES_WTR_NOPMP_MC-05"/>
    <x v="0"/>
    <x v="17"/>
    <n v="515.485221835787"/>
    <n v="188152.105970062"/>
    <n v="677347.58149222401"/>
  </r>
  <r>
    <x v="0"/>
    <x v="2"/>
    <x v="2"/>
    <x v="9"/>
    <x v="18"/>
    <s v="SE2A"/>
    <x v="6"/>
    <x v="7"/>
    <s v="GNR_RES_WTR_NOPMP_MC-05"/>
    <x v="0"/>
    <x v="19"/>
    <n v="307.05872890227897"/>
    <n v="112076.436049332"/>
    <n v="403475.16977759497"/>
  </r>
  <r>
    <x v="0"/>
    <x v="2"/>
    <x v="2"/>
    <x v="9"/>
    <x v="18"/>
    <s v="SE2A"/>
    <x v="6"/>
    <x v="7"/>
    <s v="GNR_RES_WTR_NOPMP_MC-05"/>
    <x v="0"/>
    <x v="20"/>
    <n v="161.45742748403799"/>
    <n v="58931.961031674"/>
    <n v="212155.05971402701"/>
  </r>
  <r>
    <x v="0"/>
    <x v="2"/>
    <x v="2"/>
    <x v="9"/>
    <x v="18"/>
    <s v="SE2A"/>
    <x v="6"/>
    <x v="7"/>
    <s v="GNR_RES_WTR_NOPMP_MC-06"/>
    <x v="0"/>
    <x v="0"/>
    <n v="515.485221835787"/>
    <n v="188152.105970062"/>
    <n v="677347.58149222401"/>
  </r>
  <r>
    <x v="0"/>
    <x v="2"/>
    <x v="2"/>
    <x v="9"/>
    <x v="18"/>
    <s v="SE2A"/>
    <x v="6"/>
    <x v="7"/>
    <s v="GNR_RES_WTR_NOPMP_MC-06"/>
    <x v="0"/>
    <x v="1"/>
    <n v="515.485221835787"/>
    <n v="188152.105970062"/>
    <n v="677347.58149222401"/>
  </r>
  <r>
    <x v="0"/>
    <x v="2"/>
    <x v="2"/>
    <x v="9"/>
    <x v="18"/>
    <s v="SE2A"/>
    <x v="6"/>
    <x v="7"/>
    <s v="GNR_RES_WTR_NOPMP_MC-06"/>
    <x v="0"/>
    <x v="18"/>
    <n v="515.485221835787"/>
    <n v="188152.105970062"/>
    <n v="677347.58149222401"/>
  </r>
  <r>
    <x v="0"/>
    <x v="2"/>
    <x v="2"/>
    <x v="9"/>
    <x v="18"/>
    <s v="SE2A"/>
    <x v="6"/>
    <x v="7"/>
    <s v="GNR_RES_WTR_NOPMP_MC-06"/>
    <x v="0"/>
    <x v="2"/>
    <n v="515.485221835787"/>
    <n v="188152.105970062"/>
    <n v="677347.58149222401"/>
  </r>
  <r>
    <x v="0"/>
    <x v="2"/>
    <x v="2"/>
    <x v="9"/>
    <x v="18"/>
    <s v="SE2A"/>
    <x v="6"/>
    <x v="7"/>
    <s v="GNR_RES_WTR_NOPMP_MC-06"/>
    <x v="0"/>
    <x v="3"/>
    <n v="515.485221835787"/>
    <n v="188152.105970062"/>
    <n v="677347.58149222401"/>
  </r>
  <r>
    <x v="0"/>
    <x v="2"/>
    <x v="2"/>
    <x v="9"/>
    <x v="18"/>
    <s v="SE2A"/>
    <x v="6"/>
    <x v="7"/>
    <s v="GNR_RES_WTR_NOPMP_MC-06"/>
    <x v="0"/>
    <x v="4"/>
    <n v="515.485221835787"/>
    <n v="188152.105970062"/>
    <n v="677347.58149222401"/>
  </r>
  <r>
    <x v="0"/>
    <x v="2"/>
    <x v="2"/>
    <x v="9"/>
    <x v="18"/>
    <s v="SE2A"/>
    <x v="6"/>
    <x v="7"/>
    <s v="GNR_RES_WTR_NOPMP_MC-06"/>
    <x v="0"/>
    <x v="5"/>
    <n v="515.485221835787"/>
    <n v="188152.105970062"/>
    <n v="677347.58149222401"/>
  </r>
  <r>
    <x v="0"/>
    <x v="2"/>
    <x v="2"/>
    <x v="9"/>
    <x v="18"/>
    <s v="SE2A"/>
    <x v="6"/>
    <x v="7"/>
    <s v="GNR_RES_WTR_NOPMP_MC-06"/>
    <x v="0"/>
    <x v="6"/>
    <n v="515.485221835787"/>
    <n v="188152.105970062"/>
    <n v="677347.58149222401"/>
  </r>
  <r>
    <x v="0"/>
    <x v="2"/>
    <x v="2"/>
    <x v="9"/>
    <x v="18"/>
    <s v="SE2A"/>
    <x v="6"/>
    <x v="7"/>
    <s v="GNR_RES_WTR_NOPMP_MC-06"/>
    <x v="0"/>
    <x v="7"/>
    <n v="515.485221835787"/>
    <n v="188152.105970062"/>
    <n v="677347.58149222401"/>
  </r>
  <r>
    <x v="0"/>
    <x v="2"/>
    <x v="2"/>
    <x v="9"/>
    <x v="18"/>
    <s v="SE2A"/>
    <x v="6"/>
    <x v="7"/>
    <s v="GNR_RES_WTR_NOPMP_MC-06"/>
    <x v="0"/>
    <x v="8"/>
    <n v="515.485221835787"/>
    <n v="188152.105970062"/>
    <n v="677347.58149222401"/>
  </r>
  <r>
    <x v="0"/>
    <x v="2"/>
    <x v="2"/>
    <x v="9"/>
    <x v="18"/>
    <s v="SE2A"/>
    <x v="6"/>
    <x v="7"/>
    <s v="GNR_RES_WTR_NOPMP_MC-06"/>
    <x v="0"/>
    <x v="15"/>
    <n v="515.485221835787"/>
    <n v="188152.105970062"/>
    <n v="677347.58149222401"/>
  </r>
  <r>
    <x v="0"/>
    <x v="2"/>
    <x v="2"/>
    <x v="9"/>
    <x v="18"/>
    <s v="SE2A"/>
    <x v="6"/>
    <x v="7"/>
    <s v="GNR_RES_WTR_NOPMP_MC-06"/>
    <x v="0"/>
    <x v="16"/>
    <n v="380.441554497325"/>
    <n v="138861.16739152401"/>
    <n v="499900.20260948502"/>
  </r>
  <r>
    <x v="0"/>
    <x v="2"/>
    <x v="2"/>
    <x v="9"/>
    <x v="18"/>
    <s v="SE2A"/>
    <x v="6"/>
    <x v="7"/>
    <s v="GNR_RES_WTR_NOPMP_MC-07"/>
    <x v="0"/>
    <x v="0"/>
    <n v="515.485221835787"/>
    <n v="188152.105970062"/>
    <n v="677347.58149222401"/>
  </r>
  <r>
    <x v="0"/>
    <x v="2"/>
    <x v="2"/>
    <x v="9"/>
    <x v="18"/>
    <s v="SE2A"/>
    <x v="6"/>
    <x v="7"/>
    <s v="GNR_RES_WTR_NOPMP_MC-07"/>
    <x v="0"/>
    <x v="2"/>
    <n v="180.946033919944"/>
    <n v="66045.302380779598"/>
    <n v="237763.08857080701"/>
  </r>
  <r>
    <x v="0"/>
    <x v="2"/>
    <x v="2"/>
    <x v="9"/>
    <x v="18"/>
    <s v="SE2A"/>
    <x v="6"/>
    <x v="7"/>
    <s v="GNR_RES_WTR_NOPMP_MC-07"/>
    <x v="0"/>
    <x v="3"/>
    <n v="302.315164321819"/>
    <n v="110345.03497746401"/>
    <n v="397242.12591886998"/>
  </r>
  <r>
    <x v="0"/>
    <x v="2"/>
    <x v="2"/>
    <x v="9"/>
    <x v="18"/>
    <s v="SE2A"/>
    <x v="6"/>
    <x v="7"/>
    <s v="GNR_RES_WTR_NOPMP_MC-07"/>
    <x v="0"/>
    <x v="4"/>
    <n v="515.485221835787"/>
    <n v="188152.105970062"/>
    <n v="677347.58149222401"/>
  </r>
  <r>
    <x v="0"/>
    <x v="2"/>
    <x v="2"/>
    <x v="9"/>
    <x v="18"/>
    <s v="SE2A"/>
    <x v="6"/>
    <x v="7"/>
    <s v="GNR_RES_WTR_NOPMP_MC-07"/>
    <x v="0"/>
    <x v="5"/>
    <n v="515.485221835787"/>
    <n v="188152.105970062"/>
    <n v="677347.58149222401"/>
  </r>
  <r>
    <x v="0"/>
    <x v="2"/>
    <x v="2"/>
    <x v="9"/>
    <x v="18"/>
    <s v="SE2A"/>
    <x v="6"/>
    <x v="7"/>
    <s v="GNR_RES_WTR_NOPMP_MC-07"/>
    <x v="0"/>
    <x v="6"/>
    <n v="515.485221835787"/>
    <n v="188152.105970062"/>
    <n v="677347.58149222401"/>
  </r>
  <r>
    <x v="0"/>
    <x v="2"/>
    <x v="2"/>
    <x v="9"/>
    <x v="18"/>
    <s v="SE2A"/>
    <x v="6"/>
    <x v="7"/>
    <s v="GNR_RES_WTR_NOPMP_MC-07"/>
    <x v="0"/>
    <x v="7"/>
    <n v="515.485221835787"/>
    <n v="188152.105970062"/>
    <n v="677347.58149222401"/>
  </r>
  <r>
    <x v="0"/>
    <x v="2"/>
    <x v="2"/>
    <x v="9"/>
    <x v="18"/>
    <s v="SE2A"/>
    <x v="6"/>
    <x v="7"/>
    <s v="GNR_RES_WTR_NOPMP_MC-07"/>
    <x v="0"/>
    <x v="8"/>
    <n v="515.485221835787"/>
    <n v="188152.105970062"/>
    <n v="677347.58149222401"/>
  </r>
  <r>
    <x v="0"/>
    <x v="2"/>
    <x v="2"/>
    <x v="9"/>
    <x v="18"/>
    <s v="SE2A"/>
    <x v="6"/>
    <x v="7"/>
    <s v="GNR_RES_WTR_NOPMP_MC-08"/>
    <x v="0"/>
    <x v="4"/>
    <n v="230.59880637454"/>
    <n v="84168.564326706997"/>
    <n v="303006.83157614502"/>
  </r>
  <r>
    <x v="0"/>
    <x v="2"/>
    <x v="2"/>
    <x v="9"/>
    <x v="18"/>
    <s v="SE2A"/>
    <x v="6"/>
    <x v="7"/>
    <s v="GNR_RES_WTR_NOPMP_MC-08"/>
    <x v="0"/>
    <x v="5"/>
    <n v="515.485221835787"/>
    <n v="188152.105970062"/>
    <n v="677347.58149222401"/>
  </r>
  <r>
    <x v="0"/>
    <x v="2"/>
    <x v="2"/>
    <x v="9"/>
    <x v="18"/>
    <s v="SE2A"/>
    <x v="6"/>
    <x v="7"/>
    <s v="GNR_RES_WTR_NOPMP_MC-08"/>
    <x v="0"/>
    <x v="6"/>
    <n v="515.485221835787"/>
    <n v="188152.105970062"/>
    <n v="677347.58149222401"/>
  </r>
  <r>
    <x v="0"/>
    <x v="2"/>
    <x v="2"/>
    <x v="9"/>
    <x v="18"/>
    <s v="SE2A"/>
    <x v="6"/>
    <x v="7"/>
    <s v="GNR_RES_WTR_NOPMP_MC-08"/>
    <x v="0"/>
    <x v="7"/>
    <n v="515.485221835787"/>
    <n v="188152.105970062"/>
    <n v="677347.58149222401"/>
  </r>
  <r>
    <x v="0"/>
    <x v="2"/>
    <x v="2"/>
    <x v="9"/>
    <x v="18"/>
    <s v="SE2A"/>
    <x v="6"/>
    <x v="7"/>
    <s v="GNR_RES_WTR_NOPMP_MC-08"/>
    <x v="0"/>
    <x v="8"/>
    <n v="515.485221835787"/>
    <n v="188152.105970062"/>
    <n v="677347.58149222401"/>
  </r>
  <r>
    <x v="0"/>
    <x v="2"/>
    <x v="2"/>
    <x v="9"/>
    <x v="18"/>
    <s v="SE2A"/>
    <x v="6"/>
    <x v="7"/>
    <s v="GNR_RES_WTR_NOPMP_MC-09"/>
    <x v="0"/>
    <x v="5"/>
    <n v="515.485221835787"/>
    <n v="188152.105970062"/>
    <n v="677347.58149222401"/>
  </r>
  <r>
    <x v="0"/>
    <x v="2"/>
    <x v="2"/>
    <x v="9"/>
    <x v="18"/>
    <s v="SE2A"/>
    <x v="6"/>
    <x v="7"/>
    <s v="GNR_RES_WTR_NOPMP_MC-09"/>
    <x v="0"/>
    <x v="6"/>
    <n v="515.485221835787"/>
    <n v="188152.105970062"/>
    <n v="677347.58149222401"/>
  </r>
  <r>
    <x v="0"/>
    <x v="2"/>
    <x v="2"/>
    <x v="9"/>
    <x v="18"/>
    <s v="SE2A"/>
    <x v="6"/>
    <x v="7"/>
    <s v="GNR_RES_WTR_NOPMP_MC-09"/>
    <x v="0"/>
    <x v="7"/>
    <n v="515.485221835787"/>
    <n v="188152.105970062"/>
    <n v="677347.58149222401"/>
  </r>
  <r>
    <x v="0"/>
    <x v="2"/>
    <x v="2"/>
    <x v="9"/>
    <x v="18"/>
    <s v="SE2A"/>
    <x v="6"/>
    <x v="7"/>
    <s v="GNR_RES_WTR_NOPMP_MC-09"/>
    <x v="0"/>
    <x v="8"/>
    <n v="438.59952647975302"/>
    <n v="160088.82716511001"/>
    <n v="576319.77779439604"/>
  </r>
  <r>
    <x v="0"/>
    <x v="2"/>
    <x v="2"/>
    <x v="9"/>
    <x v="18"/>
    <s v="SE2A"/>
    <x v="6"/>
    <x v="7"/>
    <s v="GNR_RES_WTR_PMP_MC-01"/>
    <x v="0"/>
    <x v="0"/>
    <n v="108"/>
    <n v="39420"/>
    <n v="141912"/>
  </r>
  <r>
    <x v="0"/>
    <x v="2"/>
    <x v="2"/>
    <x v="9"/>
    <x v="18"/>
    <s v="SE2A"/>
    <x v="6"/>
    <x v="7"/>
    <s v="GNR_RES_WTR_PMP_MC-01"/>
    <x v="0"/>
    <x v="1"/>
    <n v="108"/>
    <n v="39420"/>
    <n v="141912"/>
  </r>
  <r>
    <x v="0"/>
    <x v="2"/>
    <x v="2"/>
    <x v="9"/>
    <x v="18"/>
    <s v="SE2A"/>
    <x v="6"/>
    <x v="7"/>
    <s v="GNR_RES_WTR_PMP_MC-01"/>
    <x v="0"/>
    <x v="18"/>
    <n v="108"/>
    <n v="39420"/>
    <n v="141912"/>
  </r>
  <r>
    <x v="0"/>
    <x v="2"/>
    <x v="2"/>
    <x v="9"/>
    <x v="18"/>
    <s v="SE2A"/>
    <x v="6"/>
    <x v="7"/>
    <s v="GNR_RES_WTR_PMP_MC-01"/>
    <x v="0"/>
    <x v="2"/>
    <n v="108"/>
    <n v="39420"/>
    <n v="141912"/>
  </r>
  <r>
    <x v="0"/>
    <x v="2"/>
    <x v="2"/>
    <x v="9"/>
    <x v="18"/>
    <s v="SE2A"/>
    <x v="6"/>
    <x v="7"/>
    <s v="GNR_RES_WTR_PMP_MC-01"/>
    <x v="0"/>
    <x v="3"/>
    <n v="108"/>
    <n v="39420"/>
    <n v="141912"/>
  </r>
  <r>
    <x v="0"/>
    <x v="2"/>
    <x v="2"/>
    <x v="9"/>
    <x v="18"/>
    <s v="SE2A"/>
    <x v="6"/>
    <x v="7"/>
    <s v="GNR_RES_WTR_PMP_MC-01"/>
    <x v="0"/>
    <x v="4"/>
    <n v="108"/>
    <n v="39420"/>
    <n v="141912"/>
  </r>
  <r>
    <x v="0"/>
    <x v="2"/>
    <x v="2"/>
    <x v="9"/>
    <x v="18"/>
    <s v="SE2A"/>
    <x v="6"/>
    <x v="7"/>
    <s v="GNR_RES_WTR_PMP_MC-01"/>
    <x v="0"/>
    <x v="5"/>
    <n v="108"/>
    <n v="39420"/>
    <n v="141912"/>
  </r>
  <r>
    <x v="0"/>
    <x v="2"/>
    <x v="2"/>
    <x v="9"/>
    <x v="18"/>
    <s v="SE2A"/>
    <x v="6"/>
    <x v="7"/>
    <s v="GNR_RES_WTR_PMP_MC-01"/>
    <x v="0"/>
    <x v="6"/>
    <n v="108"/>
    <n v="39420"/>
    <n v="141912"/>
  </r>
  <r>
    <x v="0"/>
    <x v="2"/>
    <x v="2"/>
    <x v="9"/>
    <x v="18"/>
    <s v="SE2A"/>
    <x v="6"/>
    <x v="7"/>
    <s v="GNR_RES_WTR_PMP_MC-01"/>
    <x v="0"/>
    <x v="7"/>
    <n v="108"/>
    <n v="39420"/>
    <n v="141912"/>
  </r>
  <r>
    <x v="0"/>
    <x v="2"/>
    <x v="2"/>
    <x v="9"/>
    <x v="18"/>
    <s v="SE2A"/>
    <x v="6"/>
    <x v="7"/>
    <s v="GNR_RES_WTR_PMP_MC-01"/>
    <x v="0"/>
    <x v="8"/>
    <n v="108"/>
    <n v="39420"/>
    <n v="141912"/>
  </r>
  <r>
    <x v="0"/>
    <x v="2"/>
    <x v="2"/>
    <x v="9"/>
    <x v="18"/>
    <s v="SE2A"/>
    <x v="6"/>
    <x v="7"/>
    <s v="GNR_RES_WTR_PMP_MC-01"/>
    <x v="0"/>
    <x v="9"/>
    <n v="108"/>
    <n v="39420"/>
    <n v="141912"/>
  </r>
  <r>
    <x v="0"/>
    <x v="2"/>
    <x v="2"/>
    <x v="9"/>
    <x v="18"/>
    <s v="SE2A"/>
    <x v="6"/>
    <x v="7"/>
    <s v="GNR_RES_WTR_PMP_MC-01"/>
    <x v="0"/>
    <x v="10"/>
    <n v="108"/>
    <n v="39420"/>
    <n v="141912"/>
  </r>
  <r>
    <x v="0"/>
    <x v="2"/>
    <x v="2"/>
    <x v="9"/>
    <x v="18"/>
    <s v="SE2A"/>
    <x v="6"/>
    <x v="7"/>
    <s v="GNR_RES_WTR_PMP_MC-01"/>
    <x v="0"/>
    <x v="11"/>
    <n v="108"/>
    <n v="39420"/>
    <n v="141912"/>
  </r>
  <r>
    <x v="0"/>
    <x v="2"/>
    <x v="2"/>
    <x v="9"/>
    <x v="18"/>
    <s v="SE2A"/>
    <x v="6"/>
    <x v="7"/>
    <s v="GNR_RES_WTR_PMP_MC-01"/>
    <x v="0"/>
    <x v="12"/>
    <n v="108"/>
    <n v="39420"/>
    <n v="141912"/>
  </r>
  <r>
    <x v="0"/>
    <x v="2"/>
    <x v="2"/>
    <x v="9"/>
    <x v="18"/>
    <s v="SE2A"/>
    <x v="6"/>
    <x v="7"/>
    <s v="GNR_RES_WTR_PMP_MC-01"/>
    <x v="0"/>
    <x v="13"/>
    <n v="108"/>
    <n v="39420"/>
    <n v="141912"/>
  </r>
  <r>
    <x v="0"/>
    <x v="2"/>
    <x v="2"/>
    <x v="9"/>
    <x v="18"/>
    <s v="SE2A"/>
    <x v="6"/>
    <x v="7"/>
    <s v="GNR_RES_WTR_PMP_MC-01"/>
    <x v="0"/>
    <x v="14"/>
    <n v="108"/>
    <n v="39420"/>
    <n v="141912"/>
  </r>
  <r>
    <x v="0"/>
    <x v="2"/>
    <x v="2"/>
    <x v="9"/>
    <x v="18"/>
    <s v="SE2A"/>
    <x v="6"/>
    <x v="7"/>
    <s v="GNR_RES_WTR_PMP_MC-01"/>
    <x v="0"/>
    <x v="15"/>
    <n v="108"/>
    <n v="39420"/>
    <n v="141912"/>
  </r>
  <r>
    <x v="0"/>
    <x v="2"/>
    <x v="2"/>
    <x v="9"/>
    <x v="18"/>
    <s v="SE2A"/>
    <x v="6"/>
    <x v="7"/>
    <s v="GNR_RES_WTR_PMP_MC-01"/>
    <x v="0"/>
    <x v="16"/>
    <n v="108"/>
    <n v="39420"/>
    <n v="141912"/>
  </r>
  <r>
    <x v="0"/>
    <x v="2"/>
    <x v="2"/>
    <x v="9"/>
    <x v="18"/>
    <s v="SE2A"/>
    <x v="6"/>
    <x v="7"/>
    <s v="GNR_RES_WTR_PMP_MC-01"/>
    <x v="0"/>
    <x v="17"/>
    <n v="108"/>
    <n v="39420"/>
    <n v="141912"/>
  </r>
  <r>
    <x v="0"/>
    <x v="2"/>
    <x v="2"/>
    <x v="9"/>
    <x v="18"/>
    <s v="SE2A"/>
    <x v="6"/>
    <x v="7"/>
    <s v="GNR_RES_WTR_PMP_MC-01"/>
    <x v="0"/>
    <x v="19"/>
    <n v="108"/>
    <n v="39420"/>
    <n v="141912"/>
  </r>
  <r>
    <x v="0"/>
    <x v="2"/>
    <x v="2"/>
    <x v="9"/>
    <x v="18"/>
    <s v="SE2A"/>
    <x v="6"/>
    <x v="7"/>
    <s v="GNR_RES_WTR_PMP_MC-01"/>
    <x v="0"/>
    <x v="20"/>
    <n v="108"/>
    <n v="39420"/>
    <n v="141912"/>
  </r>
  <r>
    <x v="0"/>
    <x v="2"/>
    <x v="2"/>
    <x v="9"/>
    <x v="18"/>
    <s v="SE2A"/>
    <x v="6"/>
    <x v="7"/>
    <s v="GNR_RES_WTR_PMP_MC-01"/>
    <x v="0"/>
    <x v="21"/>
    <n v="108"/>
    <n v="39420"/>
    <n v="141912"/>
  </r>
  <r>
    <x v="0"/>
    <x v="2"/>
    <x v="2"/>
    <x v="9"/>
    <x v="18"/>
    <s v="SE2A"/>
    <x v="6"/>
    <x v="7"/>
    <s v="GNR_RES_WTR_PMP_MC-01"/>
    <x v="0"/>
    <x v="22"/>
    <n v="108"/>
    <n v="39420"/>
    <n v="141912"/>
  </r>
  <r>
    <x v="0"/>
    <x v="2"/>
    <x v="2"/>
    <x v="9"/>
    <x v="18"/>
    <s v="SE2A"/>
    <x v="6"/>
    <x v="7"/>
    <s v="GNR_RES_WTR_PMP_MC-01"/>
    <x v="0"/>
    <x v="23"/>
    <n v="108"/>
    <n v="39420"/>
    <n v="141912"/>
  </r>
  <r>
    <x v="0"/>
    <x v="2"/>
    <x v="2"/>
    <x v="9"/>
    <x v="18"/>
    <s v="SE2A"/>
    <x v="6"/>
    <x v="4"/>
    <s v="GNR_ROR_WTR"/>
    <x v="0"/>
    <x v="0"/>
    <n v="1707.3940746840101"/>
    <n v="623198.83725966199"/>
    <n v="2243515.8141347799"/>
  </r>
  <r>
    <x v="0"/>
    <x v="2"/>
    <x v="2"/>
    <x v="9"/>
    <x v="18"/>
    <s v="SE2A"/>
    <x v="6"/>
    <x v="4"/>
    <s v="GNR_ROR_WTR"/>
    <x v="0"/>
    <x v="1"/>
    <n v="1707.3940746840101"/>
    <n v="623198.83725966199"/>
    <n v="2243515.8141347799"/>
  </r>
  <r>
    <x v="0"/>
    <x v="2"/>
    <x v="2"/>
    <x v="9"/>
    <x v="18"/>
    <s v="SE2A"/>
    <x v="6"/>
    <x v="4"/>
    <s v="GNR_ROR_WTR"/>
    <x v="0"/>
    <x v="18"/>
    <n v="1707.3940746840101"/>
    <n v="623198.83725966199"/>
    <n v="2243515.8141347799"/>
  </r>
  <r>
    <x v="0"/>
    <x v="2"/>
    <x v="2"/>
    <x v="9"/>
    <x v="18"/>
    <s v="SE2A"/>
    <x v="6"/>
    <x v="4"/>
    <s v="GNR_ROR_WTR"/>
    <x v="0"/>
    <x v="2"/>
    <n v="1707.3940746840101"/>
    <n v="623198.83725966199"/>
    <n v="2243515.8141347799"/>
  </r>
  <r>
    <x v="0"/>
    <x v="2"/>
    <x v="2"/>
    <x v="9"/>
    <x v="18"/>
    <s v="SE2A"/>
    <x v="6"/>
    <x v="4"/>
    <s v="GNR_ROR_WTR"/>
    <x v="0"/>
    <x v="3"/>
    <n v="1707.3940746840101"/>
    <n v="623198.83725966199"/>
    <n v="2243515.8141347799"/>
  </r>
  <r>
    <x v="0"/>
    <x v="2"/>
    <x v="2"/>
    <x v="9"/>
    <x v="18"/>
    <s v="SE2A"/>
    <x v="6"/>
    <x v="4"/>
    <s v="GNR_ROR_WTR"/>
    <x v="0"/>
    <x v="4"/>
    <n v="1707.3940746840101"/>
    <n v="623198.83725966199"/>
    <n v="2243515.8141347799"/>
  </r>
  <r>
    <x v="0"/>
    <x v="2"/>
    <x v="2"/>
    <x v="9"/>
    <x v="18"/>
    <s v="SE2A"/>
    <x v="6"/>
    <x v="4"/>
    <s v="GNR_ROR_WTR"/>
    <x v="0"/>
    <x v="5"/>
    <n v="1707.3940746840101"/>
    <n v="623198.83725966199"/>
    <n v="2243515.8141347799"/>
  </r>
  <r>
    <x v="0"/>
    <x v="2"/>
    <x v="2"/>
    <x v="9"/>
    <x v="18"/>
    <s v="SE2A"/>
    <x v="6"/>
    <x v="4"/>
    <s v="GNR_ROR_WTR"/>
    <x v="0"/>
    <x v="6"/>
    <n v="1707.3940746840101"/>
    <n v="623198.83725966199"/>
    <n v="2243515.8141347799"/>
  </r>
  <r>
    <x v="0"/>
    <x v="2"/>
    <x v="2"/>
    <x v="9"/>
    <x v="18"/>
    <s v="SE2A"/>
    <x v="6"/>
    <x v="4"/>
    <s v="GNR_ROR_WTR"/>
    <x v="0"/>
    <x v="7"/>
    <n v="1707.3940746840101"/>
    <n v="623198.83725966199"/>
    <n v="2243515.8141347799"/>
  </r>
  <r>
    <x v="0"/>
    <x v="2"/>
    <x v="2"/>
    <x v="9"/>
    <x v="18"/>
    <s v="SE2A"/>
    <x v="6"/>
    <x v="4"/>
    <s v="GNR_ROR_WTR"/>
    <x v="0"/>
    <x v="8"/>
    <n v="1707.3940746840101"/>
    <n v="623198.83725966199"/>
    <n v="2243515.8141347799"/>
  </r>
  <r>
    <x v="0"/>
    <x v="2"/>
    <x v="2"/>
    <x v="9"/>
    <x v="18"/>
    <s v="SE2A"/>
    <x v="6"/>
    <x v="4"/>
    <s v="GNR_ROR_WTR"/>
    <x v="0"/>
    <x v="9"/>
    <n v="1707.3940746840101"/>
    <n v="623198.83725966199"/>
    <n v="2243515.8141347799"/>
  </r>
  <r>
    <x v="0"/>
    <x v="2"/>
    <x v="2"/>
    <x v="9"/>
    <x v="18"/>
    <s v="SE2A"/>
    <x v="6"/>
    <x v="4"/>
    <s v="GNR_ROR_WTR"/>
    <x v="0"/>
    <x v="10"/>
    <n v="1707.3940746840101"/>
    <n v="623198.83725966199"/>
    <n v="2243515.8141347799"/>
  </r>
  <r>
    <x v="0"/>
    <x v="2"/>
    <x v="2"/>
    <x v="9"/>
    <x v="18"/>
    <s v="SE2A"/>
    <x v="6"/>
    <x v="4"/>
    <s v="GNR_ROR_WTR"/>
    <x v="0"/>
    <x v="11"/>
    <n v="1707.3940746840101"/>
    <n v="623198.83725966199"/>
    <n v="2243515.8141347799"/>
  </r>
  <r>
    <x v="0"/>
    <x v="2"/>
    <x v="2"/>
    <x v="9"/>
    <x v="18"/>
    <s v="SE2A"/>
    <x v="6"/>
    <x v="4"/>
    <s v="GNR_ROR_WTR"/>
    <x v="0"/>
    <x v="12"/>
    <n v="1707.3940746840101"/>
    <n v="623198.83725966199"/>
    <n v="2243515.8141347799"/>
  </r>
  <r>
    <x v="0"/>
    <x v="2"/>
    <x v="2"/>
    <x v="9"/>
    <x v="18"/>
    <s v="SE2A"/>
    <x v="6"/>
    <x v="4"/>
    <s v="GNR_ROR_WTR"/>
    <x v="0"/>
    <x v="13"/>
    <n v="1707.3940746840101"/>
    <n v="623198.83725966199"/>
    <n v="2243515.8141347799"/>
  </r>
  <r>
    <x v="0"/>
    <x v="2"/>
    <x v="2"/>
    <x v="9"/>
    <x v="18"/>
    <s v="SE2A"/>
    <x v="6"/>
    <x v="4"/>
    <s v="GNR_ROR_WTR"/>
    <x v="0"/>
    <x v="14"/>
    <n v="1707.3940746840101"/>
    <n v="623198.83725966199"/>
    <n v="2243515.8141347799"/>
  </r>
  <r>
    <x v="0"/>
    <x v="2"/>
    <x v="2"/>
    <x v="9"/>
    <x v="18"/>
    <s v="SE2A"/>
    <x v="6"/>
    <x v="4"/>
    <s v="GNR_ROR_WTR"/>
    <x v="0"/>
    <x v="15"/>
    <n v="1707.3940746840101"/>
    <n v="623198.83725966199"/>
    <n v="2243515.8141347799"/>
  </r>
  <r>
    <x v="0"/>
    <x v="2"/>
    <x v="2"/>
    <x v="9"/>
    <x v="18"/>
    <s v="SE2A"/>
    <x v="6"/>
    <x v="4"/>
    <s v="GNR_ROR_WTR"/>
    <x v="0"/>
    <x v="16"/>
    <n v="1707.3940746840101"/>
    <n v="623198.83725966199"/>
    <n v="2243515.8141347799"/>
  </r>
  <r>
    <x v="0"/>
    <x v="2"/>
    <x v="2"/>
    <x v="9"/>
    <x v="18"/>
    <s v="SE2A"/>
    <x v="6"/>
    <x v="4"/>
    <s v="GNR_ROR_WTR"/>
    <x v="0"/>
    <x v="17"/>
    <n v="1707.3940746840101"/>
    <n v="623198.83725966199"/>
    <n v="2243515.8141347799"/>
  </r>
  <r>
    <x v="0"/>
    <x v="2"/>
    <x v="2"/>
    <x v="9"/>
    <x v="18"/>
    <s v="SE2A"/>
    <x v="6"/>
    <x v="4"/>
    <s v="GNR_ROR_WTR"/>
    <x v="0"/>
    <x v="19"/>
    <n v="1707.3940746840101"/>
    <n v="623198.83725966199"/>
    <n v="2243515.8141347799"/>
  </r>
  <r>
    <x v="0"/>
    <x v="2"/>
    <x v="2"/>
    <x v="9"/>
    <x v="18"/>
    <s v="SE2A"/>
    <x v="6"/>
    <x v="4"/>
    <s v="GNR_ROR_WTR"/>
    <x v="0"/>
    <x v="20"/>
    <n v="1707.3940746840101"/>
    <n v="623198.83725966199"/>
    <n v="2243515.8141347799"/>
  </r>
  <r>
    <x v="0"/>
    <x v="2"/>
    <x v="2"/>
    <x v="9"/>
    <x v="18"/>
    <s v="SE2A"/>
    <x v="6"/>
    <x v="4"/>
    <s v="GNR_ROR_WTR"/>
    <x v="0"/>
    <x v="21"/>
    <n v="1707.3940746840101"/>
    <n v="623198.83725966199"/>
    <n v="2243515.8141347799"/>
  </r>
  <r>
    <x v="0"/>
    <x v="2"/>
    <x v="2"/>
    <x v="9"/>
    <x v="18"/>
    <s v="SE2A"/>
    <x v="6"/>
    <x v="4"/>
    <s v="GNR_ROR_WTR"/>
    <x v="0"/>
    <x v="22"/>
    <n v="1707.3940746840101"/>
    <n v="623198.83725966199"/>
    <n v="2243515.8141347799"/>
  </r>
  <r>
    <x v="0"/>
    <x v="2"/>
    <x v="2"/>
    <x v="9"/>
    <x v="18"/>
    <s v="SE2A"/>
    <x v="6"/>
    <x v="4"/>
    <s v="GNR_ROR_WTR"/>
    <x v="0"/>
    <x v="23"/>
    <n v="1707.3940746840101"/>
    <n v="623198.83725966199"/>
    <n v="2243515.8141347799"/>
  </r>
  <r>
    <x v="0"/>
    <x v="2"/>
    <x v="2"/>
    <x v="9"/>
    <x v="18"/>
    <s v="SE2A"/>
    <x v="7"/>
    <x v="5"/>
    <s v="GNR_WT_WIND_ONS"/>
    <x v="0"/>
    <x v="0"/>
    <n v="528.49596321577405"/>
    <n v="192901.02657375799"/>
    <n v="694443.69566552702"/>
  </r>
  <r>
    <x v="0"/>
    <x v="2"/>
    <x v="2"/>
    <x v="9"/>
    <x v="18"/>
    <s v="SE2A"/>
    <x v="7"/>
    <x v="5"/>
    <s v="GNR_WT_WIND_ONS"/>
    <x v="0"/>
    <x v="1"/>
    <n v="347.09783552775099"/>
    <n v="126690.70996762899"/>
    <n v="456086.555883464"/>
  </r>
  <r>
    <x v="0"/>
    <x v="2"/>
    <x v="2"/>
    <x v="9"/>
    <x v="18"/>
    <s v="SE2A"/>
    <x v="7"/>
    <x v="5"/>
    <s v="GNR_WT_WIND_ONS"/>
    <x v="0"/>
    <x v="18"/>
    <n v="341.23735362363198"/>
    <n v="124551.634072626"/>
    <n v="448385.88266145199"/>
  </r>
  <r>
    <x v="0"/>
    <x v="2"/>
    <x v="2"/>
    <x v="9"/>
    <x v="18"/>
    <s v="SE2A"/>
    <x v="7"/>
    <x v="5"/>
    <s v="GNR_WT_WIND_ONS"/>
    <x v="0"/>
    <x v="2"/>
    <n v="257.16662452744299"/>
    <n v="93865.817952516503"/>
    <n v="337916.94462905999"/>
  </r>
  <r>
    <x v="0"/>
    <x v="2"/>
    <x v="2"/>
    <x v="9"/>
    <x v="18"/>
    <s v="SE2A"/>
    <x v="7"/>
    <x v="5"/>
    <s v="GNR_WT_WIND_ONS"/>
    <x v="0"/>
    <x v="3"/>
    <n v="242.16504461488699"/>
    <n v="88390.241284433607"/>
    <n v="318204.868623961"/>
  </r>
  <r>
    <x v="0"/>
    <x v="2"/>
    <x v="2"/>
    <x v="9"/>
    <x v="18"/>
    <s v="SE2A"/>
    <x v="7"/>
    <x v="5"/>
    <s v="GNR_WT_WIND_ONS"/>
    <x v="0"/>
    <x v="4"/>
    <n v="208.49171347105101"/>
    <n v="76099.475416933594"/>
    <n v="273958.11150096101"/>
  </r>
  <r>
    <x v="0"/>
    <x v="2"/>
    <x v="2"/>
    <x v="9"/>
    <x v="18"/>
    <s v="SE2A"/>
    <x v="7"/>
    <x v="5"/>
    <s v="GNR_WT_WIND_ONS"/>
    <x v="0"/>
    <x v="5"/>
    <n v="209.32870041272"/>
    <n v="76404.975650642693"/>
    <n v="275057.91234231403"/>
  </r>
  <r>
    <x v="0"/>
    <x v="2"/>
    <x v="2"/>
    <x v="9"/>
    <x v="18"/>
    <s v="SE2A"/>
    <x v="7"/>
    <x v="5"/>
    <s v="GNR_WT_WIND_ONS"/>
    <x v="0"/>
    <x v="6"/>
    <n v="327.15028065874799"/>
    <n v="119409.85244044301"/>
    <n v="429875.46878559497"/>
  </r>
  <r>
    <x v="0"/>
    <x v="2"/>
    <x v="2"/>
    <x v="9"/>
    <x v="18"/>
    <s v="SE2A"/>
    <x v="7"/>
    <x v="5"/>
    <s v="GNR_WT_WIND_ONS"/>
    <x v="0"/>
    <x v="7"/>
    <n v="506.81993369862198"/>
    <n v="184989.27579999701"/>
    <n v="665961.39287999005"/>
  </r>
  <r>
    <x v="0"/>
    <x v="2"/>
    <x v="2"/>
    <x v="9"/>
    <x v="18"/>
    <s v="SE2A"/>
    <x v="7"/>
    <x v="5"/>
    <s v="GNR_WT_WIND_ONS"/>
    <x v="0"/>
    <x v="8"/>
    <n v="681.14033972717198"/>
    <n v="248616.22400041801"/>
    <n v="895018.406401505"/>
  </r>
  <r>
    <x v="0"/>
    <x v="2"/>
    <x v="2"/>
    <x v="9"/>
    <x v="18"/>
    <s v="SE2A"/>
    <x v="7"/>
    <x v="5"/>
    <s v="GNR_WT_WIND_ONS"/>
    <x v="0"/>
    <x v="9"/>
    <n v="975.56691313434897"/>
    <n v="356081.923294037"/>
    <n v="1281894.9238585299"/>
  </r>
  <r>
    <x v="0"/>
    <x v="2"/>
    <x v="2"/>
    <x v="9"/>
    <x v="18"/>
    <s v="SE2A"/>
    <x v="7"/>
    <x v="5"/>
    <s v="GNR_WT_WIND_ONS"/>
    <x v="0"/>
    <x v="10"/>
    <n v="1415.3577645344301"/>
    <n v="516605.58405506599"/>
    <n v="1859780.1025982399"/>
  </r>
  <r>
    <x v="0"/>
    <x v="2"/>
    <x v="2"/>
    <x v="9"/>
    <x v="18"/>
    <s v="SE2A"/>
    <x v="7"/>
    <x v="5"/>
    <s v="GNR_WT_WIND_ONS"/>
    <x v="0"/>
    <x v="11"/>
    <n v="1675.94599229041"/>
    <n v="611720.28718599898"/>
    <n v="2202193.0338695901"/>
  </r>
  <r>
    <x v="0"/>
    <x v="2"/>
    <x v="2"/>
    <x v="9"/>
    <x v="18"/>
    <s v="SE2A"/>
    <x v="7"/>
    <x v="5"/>
    <s v="GNR_WT_WIND_ONS"/>
    <x v="0"/>
    <x v="12"/>
    <n v="1758.1682320217601"/>
    <n v="641731.40468794305"/>
    <n v="2310233.0568765998"/>
  </r>
  <r>
    <x v="0"/>
    <x v="2"/>
    <x v="2"/>
    <x v="9"/>
    <x v="18"/>
    <s v="SE2A"/>
    <x v="7"/>
    <x v="5"/>
    <s v="GNR_WT_WIND_ONS"/>
    <x v="0"/>
    <x v="13"/>
    <n v="1867.8293767037801"/>
    <n v="681757.72249687801"/>
    <n v="2454327.8009887598"/>
  </r>
  <r>
    <x v="0"/>
    <x v="2"/>
    <x v="2"/>
    <x v="9"/>
    <x v="18"/>
    <s v="SE2A"/>
    <x v="7"/>
    <x v="5"/>
    <s v="GNR_WT_WIND_ONS"/>
    <x v="0"/>
    <x v="14"/>
    <n v="2047.5061172870601"/>
    <n v="747339.73280977504"/>
    <n v="2690423.0381151899"/>
  </r>
  <r>
    <x v="0"/>
    <x v="2"/>
    <x v="2"/>
    <x v="9"/>
    <x v="18"/>
    <s v="SE2A"/>
    <x v="7"/>
    <x v="5"/>
    <s v="GNR_WT_WIND_ONS"/>
    <x v="0"/>
    <x v="15"/>
    <n v="2100.89587912042"/>
    <n v="766826.99587895197"/>
    <n v="2760577.1851642299"/>
  </r>
  <r>
    <x v="0"/>
    <x v="2"/>
    <x v="2"/>
    <x v="9"/>
    <x v="18"/>
    <s v="SE2A"/>
    <x v="7"/>
    <x v="5"/>
    <s v="GNR_WT_WIND_ONS"/>
    <x v="0"/>
    <x v="16"/>
    <n v="1755.46218045455"/>
    <n v="640743.69586591201"/>
    <n v="2306677.3051172802"/>
  </r>
  <r>
    <x v="0"/>
    <x v="2"/>
    <x v="2"/>
    <x v="9"/>
    <x v="18"/>
    <s v="SE2A"/>
    <x v="7"/>
    <x v="5"/>
    <s v="GNR_WT_WIND_ONS"/>
    <x v="0"/>
    <x v="17"/>
    <n v="1705.8103034742201"/>
    <n v="622620.760768092"/>
    <n v="2241434.7387651298"/>
  </r>
  <r>
    <x v="0"/>
    <x v="2"/>
    <x v="2"/>
    <x v="9"/>
    <x v="18"/>
    <s v="SE2A"/>
    <x v="7"/>
    <x v="5"/>
    <s v="GNR_WT_WIND_ONS"/>
    <x v="0"/>
    <x v="19"/>
    <n v="1618.2577270305501"/>
    <n v="590664.07036614895"/>
    <n v="2126390.6533181402"/>
  </r>
  <r>
    <x v="0"/>
    <x v="2"/>
    <x v="2"/>
    <x v="9"/>
    <x v="18"/>
    <s v="SE2A"/>
    <x v="7"/>
    <x v="5"/>
    <s v="GNR_WT_WIND_ONS"/>
    <x v="0"/>
    <x v="20"/>
    <n v="1579.9224572872399"/>
    <n v="576671.69690984103"/>
    <n v="2076018.10887543"/>
  </r>
  <r>
    <x v="0"/>
    <x v="2"/>
    <x v="2"/>
    <x v="9"/>
    <x v="18"/>
    <s v="SE2A"/>
    <x v="7"/>
    <x v="5"/>
    <s v="GNR_WT_WIND_ONS"/>
    <x v="0"/>
    <x v="21"/>
    <n v="1424.52658644649"/>
    <n v="519952.204052969"/>
    <n v="1871827.9345906901"/>
  </r>
  <r>
    <x v="0"/>
    <x v="2"/>
    <x v="2"/>
    <x v="9"/>
    <x v="18"/>
    <s v="SE2A"/>
    <x v="7"/>
    <x v="5"/>
    <s v="GNR_WT_WIND_ONS"/>
    <x v="0"/>
    <x v="22"/>
    <n v="1322.51126668765"/>
    <n v="482716.61234099302"/>
    <n v="1737779.80442757"/>
  </r>
  <r>
    <x v="0"/>
    <x v="2"/>
    <x v="2"/>
    <x v="9"/>
    <x v="18"/>
    <s v="SE2A"/>
    <x v="7"/>
    <x v="5"/>
    <s v="GNR_WT_WIND_ONS"/>
    <x v="0"/>
    <x v="23"/>
    <n v="1076.2220661040999"/>
    <n v="392821.05412799801"/>
    <n v="1414155.79486079"/>
  </r>
  <r>
    <x v="0"/>
    <x v="2"/>
    <x v="2"/>
    <x v="9"/>
    <x v="18"/>
    <s v="SE2_EL"/>
    <x v="2"/>
    <x v="2"/>
    <s v="GBPR_MUNIWASTE_24"/>
    <x v="0"/>
    <x v="0"/>
    <n v="41.725879512812497"/>
    <n v="15229.9460221766"/>
    <n v="54827.805679835597"/>
  </r>
  <r>
    <x v="0"/>
    <x v="2"/>
    <x v="2"/>
    <x v="9"/>
    <x v="18"/>
    <s v="SE2_EL"/>
    <x v="2"/>
    <x v="2"/>
    <s v="GBPR_MUNIWASTE_24"/>
    <x v="0"/>
    <x v="1"/>
    <n v="41.725879512812497"/>
    <n v="15229.9460221766"/>
    <n v="54827.805679835597"/>
  </r>
  <r>
    <x v="0"/>
    <x v="2"/>
    <x v="2"/>
    <x v="9"/>
    <x v="18"/>
    <s v="SE2_EL"/>
    <x v="2"/>
    <x v="2"/>
    <s v="GBPR_MUNIWASTE_24"/>
    <x v="0"/>
    <x v="18"/>
    <n v="41.725879512812497"/>
    <n v="15229.9460221766"/>
    <n v="54827.805679835597"/>
  </r>
  <r>
    <x v="0"/>
    <x v="2"/>
    <x v="2"/>
    <x v="9"/>
    <x v="18"/>
    <s v="SE2_EL"/>
    <x v="2"/>
    <x v="2"/>
    <s v="GBPR_MUNIWASTE_24"/>
    <x v="0"/>
    <x v="2"/>
    <n v="41.725879512812497"/>
    <n v="15229.9460221766"/>
    <n v="54827.805679835597"/>
  </r>
  <r>
    <x v="0"/>
    <x v="2"/>
    <x v="2"/>
    <x v="9"/>
    <x v="18"/>
    <s v="SE2_EL"/>
    <x v="2"/>
    <x v="2"/>
    <s v="GBPR_MUNIWASTE_24"/>
    <x v="0"/>
    <x v="3"/>
    <n v="41.725879512812497"/>
    <n v="15229.9460221766"/>
    <n v="54827.805679835597"/>
  </r>
  <r>
    <x v="0"/>
    <x v="2"/>
    <x v="2"/>
    <x v="9"/>
    <x v="18"/>
    <s v="SE2_EL"/>
    <x v="2"/>
    <x v="2"/>
    <s v="GBPR_MUNIWASTE_24"/>
    <x v="0"/>
    <x v="4"/>
    <n v="41.725879512812497"/>
    <n v="15229.9460221766"/>
    <n v="54827.805679835597"/>
  </r>
  <r>
    <x v="0"/>
    <x v="2"/>
    <x v="2"/>
    <x v="9"/>
    <x v="18"/>
    <s v="SE2_EL"/>
    <x v="2"/>
    <x v="2"/>
    <s v="GBPR_MUNIWASTE_24"/>
    <x v="0"/>
    <x v="5"/>
    <n v="41.725879512812497"/>
    <n v="15229.9460221766"/>
    <n v="54827.805679835597"/>
  </r>
  <r>
    <x v="0"/>
    <x v="2"/>
    <x v="2"/>
    <x v="9"/>
    <x v="18"/>
    <s v="SE2_EL"/>
    <x v="2"/>
    <x v="2"/>
    <s v="GBPR_MUNIWASTE_24"/>
    <x v="0"/>
    <x v="6"/>
    <n v="41.725879512812497"/>
    <n v="15229.9460221766"/>
    <n v="54827.805679835597"/>
  </r>
  <r>
    <x v="0"/>
    <x v="2"/>
    <x v="2"/>
    <x v="9"/>
    <x v="18"/>
    <s v="SE2_EL"/>
    <x v="2"/>
    <x v="2"/>
    <s v="GBPR_MUNIWASTE_24"/>
    <x v="0"/>
    <x v="7"/>
    <n v="41.725879512812497"/>
    <n v="15229.9460221766"/>
    <n v="54827.805679835597"/>
  </r>
  <r>
    <x v="0"/>
    <x v="2"/>
    <x v="2"/>
    <x v="9"/>
    <x v="18"/>
    <s v="SE2_EL"/>
    <x v="2"/>
    <x v="2"/>
    <s v="GBPR_MUNIWASTE_24"/>
    <x v="0"/>
    <x v="8"/>
    <n v="41.725879512812497"/>
    <n v="15229.9460221766"/>
    <n v="54827.805679835597"/>
  </r>
  <r>
    <x v="0"/>
    <x v="2"/>
    <x v="2"/>
    <x v="9"/>
    <x v="18"/>
    <s v="SE2_EL"/>
    <x v="2"/>
    <x v="2"/>
    <s v="GBPR_MUNIWASTE_24"/>
    <x v="0"/>
    <x v="9"/>
    <n v="41.725879512812497"/>
    <n v="15229.9460221766"/>
    <n v="54827.805679835597"/>
  </r>
  <r>
    <x v="0"/>
    <x v="2"/>
    <x v="2"/>
    <x v="9"/>
    <x v="18"/>
    <s v="SE2_EL"/>
    <x v="2"/>
    <x v="2"/>
    <s v="GBPR_MUNIWASTE_24"/>
    <x v="0"/>
    <x v="10"/>
    <n v="41.725879512812497"/>
    <n v="15229.9460221766"/>
    <n v="54827.805679835597"/>
  </r>
  <r>
    <x v="0"/>
    <x v="2"/>
    <x v="2"/>
    <x v="9"/>
    <x v="18"/>
    <s v="SE2_EL"/>
    <x v="2"/>
    <x v="2"/>
    <s v="GBPR_MUNIWASTE_24"/>
    <x v="0"/>
    <x v="11"/>
    <n v="41.725879512812497"/>
    <n v="15229.9460221766"/>
    <n v="54827.805679835597"/>
  </r>
  <r>
    <x v="0"/>
    <x v="2"/>
    <x v="2"/>
    <x v="9"/>
    <x v="18"/>
    <s v="SE2_EL"/>
    <x v="2"/>
    <x v="2"/>
    <s v="GBPR_MUNIWASTE_24"/>
    <x v="0"/>
    <x v="12"/>
    <n v="41.725879512812497"/>
    <n v="15229.9460221766"/>
    <n v="54827.805679835597"/>
  </r>
  <r>
    <x v="0"/>
    <x v="2"/>
    <x v="2"/>
    <x v="9"/>
    <x v="18"/>
    <s v="SE2_EL"/>
    <x v="2"/>
    <x v="2"/>
    <s v="GBPR_MUNIWASTE_24"/>
    <x v="0"/>
    <x v="13"/>
    <n v="41.725879512812497"/>
    <n v="15229.9460221766"/>
    <n v="54827.805679835597"/>
  </r>
  <r>
    <x v="0"/>
    <x v="2"/>
    <x v="2"/>
    <x v="9"/>
    <x v="18"/>
    <s v="SE2_EL"/>
    <x v="2"/>
    <x v="2"/>
    <s v="GBPR_MUNIWASTE_24"/>
    <x v="0"/>
    <x v="14"/>
    <n v="41.725879512812497"/>
    <n v="15229.9460221766"/>
    <n v="54827.805679835597"/>
  </r>
  <r>
    <x v="0"/>
    <x v="2"/>
    <x v="2"/>
    <x v="9"/>
    <x v="18"/>
    <s v="SE2_EL"/>
    <x v="2"/>
    <x v="2"/>
    <s v="GBPR_MUNIWASTE_24"/>
    <x v="0"/>
    <x v="15"/>
    <n v="41.725879512812497"/>
    <n v="15229.9460221766"/>
    <n v="54827.805679835597"/>
  </r>
  <r>
    <x v="0"/>
    <x v="2"/>
    <x v="2"/>
    <x v="9"/>
    <x v="18"/>
    <s v="SE2_EL"/>
    <x v="2"/>
    <x v="2"/>
    <s v="GBPR_MUNIWASTE_24"/>
    <x v="0"/>
    <x v="16"/>
    <n v="41.725879512812497"/>
    <n v="15229.9460221766"/>
    <n v="54827.805679835597"/>
  </r>
  <r>
    <x v="0"/>
    <x v="2"/>
    <x v="2"/>
    <x v="9"/>
    <x v="18"/>
    <s v="SE2_EL"/>
    <x v="2"/>
    <x v="2"/>
    <s v="GBPR_MUNIWASTE_24"/>
    <x v="0"/>
    <x v="17"/>
    <n v="41.725879512812497"/>
    <n v="15229.9460221766"/>
    <n v="54827.805679835597"/>
  </r>
  <r>
    <x v="0"/>
    <x v="2"/>
    <x v="2"/>
    <x v="9"/>
    <x v="18"/>
    <s v="SE2_EL"/>
    <x v="2"/>
    <x v="2"/>
    <s v="GBPR_MUNIWASTE_24"/>
    <x v="0"/>
    <x v="19"/>
    <n v="41.725879512812497"/>
    <n v="15229.9460221766"/>
    <n v="54827.805679835597"/>
  </r>
  <r>
    <x v="0"/>
    <x v="2"/>
    <x v="2"/>
    <x v="9"/>
    <x v="18"/>
    <s v="SE2_EL"/>
    <x v="2"/>
    <x v="2"/>
    <s v="GBPR_MUNIWASTE_24"/>
    <x v="0"/>
    <x v="20"/>
    <n v="41.725879512812497"/>
    <n v="15229.9460221766"/>
    <n v="54827.805679835597"/>
  </r>
  <r>
    <x v="0"/>
    <x v="2"/>
    <x v="2"/>
    <x v="9"/>
    <x v="18"/>
    <s v="SE2_EL"/>
    <x v="2"/>
    <x v="2"/>
    <s v="GBPR_MUNIWASTE_24"/>
    <x v="0"/>
    <x v="21"/>
    <n v="41.725879512812497"/>
    <n v="15229.9460221766"/>
    <n v="54827.805679835597"/>
  </r>
  <r>
    <x v="0"/>
    <x v="2"/>
    <x v="2"/>
    <x v="9"/>
    <x v="18"/>
    <s v="SE2_EL"/>
    <x v="2"/>
    <x v="2"/>
    <s v="GBPR_MUNIWASTE_24"/>
    <x v="0"/>
    <x v="22"/>
    <n v="41.725879512812497"/>
    <n v="15229.9460221766"/>
    <n v="54827.805679835597"/>
  </r>
  <r>
    <x v="0"/>
    <x v="2"/>
    <x v="2"/>
    <x v="9"/>
    <x v="18"/>
    <s v="SE2_EL"/>
    <x v="2"/>
    <x v="2"/>
    <s v="GBPR_MUNIWASTE_24"/>
    <x v="0"/>
    <x v="23"/>
    <n v="41.725879512812497"/>
    <n v="15229.9460221766"/>
    <n v="54827.805679835597"/>
  </r>
  <r>
    <x v="0"/>
    <x v="2"/>
    <x v="2"/>
    <x v="9"/>
    <x v="18"/>
    <s v="SE2_EL"/>
    <x v="10"/>
    <x v="0"/>
    <s v="GEXT_WOODWASTE_HORNEBORG"/>
    <x v="0"/>
    <x v="0"/>
    <n v="33.884238178634"/>
    <n v="12367.7469352014"/>
    <n v="44523.888966724997"/>
  </r>
  <r>
    <x v="0"/>
    <x v="2"/>
    <x v="2"/>
    <x v="9"/>
    <x v="18"/>
    <s v="SE2_EL"/>
    <x v="10"/>
    <x v="0"/>
    <s v="GEXT_WOODWASTE_HORNEBORG"/>
    <x v="0"/>
    <x v="1"/>
    <n v="33.884238178634"/>
    <n v="12367.7469352014"/>
    <n v="44523.888966724997"/>
  </r>
  <r>
    <x v="0"/>
    <x v="2"/>
    <x v="2"/>
    <x v="9"/>
    <x v="18"/>
    <s v="SE2_EL"/>
    <x v="10"/>
    <x v="0"/>
    <s v="GEXT_WOODWASTE_HORNEBORG"/>
    <x v="0"/>
    <x v="18"/>
    <n v="33.884238178634"/>
    <n v="12367.7469352014"/>
    <n v="44523.888966724997"/>
  </r>
  <r>
    <x v="0"/>
    <x v="2"/>
    <x v="2"/>
    <x v="9"/>
    <x v="18"/>
    <s v="SE2_EL"/>
    <x v="10"/>
    <x v="0"/>
    <s v="GEXT_WOODWASTE_HORNEBORG"/>
    <x v="0"/>
    <x v="2"/>
    <n v="33.884238178634"/>
    <n v="12367.7469352014"/>
    <n v="44523.888966724997"/>
  </r>
  <r>
    <x v="0"/>
    <x v="2"/>
    <x v="2"/>
    <x v="9"/>
    <x v="18"/>
    <s v="SE2_EL"/>
    <x v="10"/>
    <x v="0"/>
    <s v="GEXT_WOODWASTE_HORNEBORG"/>
    <x v="0"/>
    <x v="3"/>
    <n v="33.884238178634"/>
    <n v="12367.7469352014"/>
    <n v="44523.888966724997"/>
  </r>
  <r>
    <x v="0"/>
    <x v="2"/>
    <x v="2"/>
    <x v="9"/>
    <x v="18"/>
    <s v="SE2_EL"/>
    <x v="10"/>
    <x v="0"/>
    <s v="GEXT_WOODWASTE_HORNEBORG"/>
    <x v="0"/>
    <x v="4"/>
    <n v="33.884238178634"/>
    <n v="12367.7469352014"/>
    <n v="44523.888966724997"/>
  </r>
  <r>
    <x v="0"/>
    <x v="2"/>
    <x v="2"/>
    <x v="9"/>
    <x v="18"/>
    <s v="SE2_EL"/>
    <x v="10"/>
    <x v="0"/>
    <s v="GEXT_WOODWASTE_HORNEBORG"/>
    <x v="0"/>
    <x v="5"/>
    <n v="33.884238178634"/>
    <n v="12367.7469352014"/>
    <n v="44523.888966724997"/>
  </r>
  <r>
    <x v="0"/>
    <x v="2"/>
    <x v="2"/>
    <x v="9"/>
    <x v="18"/>
    <s v="SE2_EL"/>
    <x v="10"/>
    <x v="0"/>
    <s v="GEXT_WOODWASTE_HORNEBORG"/>
    <x v="0"/>
    <x v="6"/>
    <n v="33.884238178634"/>
    <n v="12367.7469352014"/>
    <n v="44523.888966724997"/>
  </r>
  <r>
    <x v="0"/>
    <x v="2"/>
    <x v="2"/>
    <x v="9"/>
    <x v="18"/>
    <s v="SE2_EL"/>
    <x v="10"/>
    <x v="0"/>
    <s v="GEXT_WOODWASTE_HORNEBORG"/>
    <x v="0"/>
    <x v="7"/>
    <n v="33.884238178634"/>
    <n v="12367.7469352014"/>
    <n v="44523.888966724997"/>
  </r>
  <r>
    <x v="0"/>
    <x v="2"/>
    <x v="2"/>
    <x v="9"/>
    <x v="18"/>
    <s v="SE2_EL"/>
    <x v="10"/>
    <x v="0"/>
    <s v="GEXT_WOODWASTE_HORNEBORG"/>
    <x v="0"/>
    <x v="8"/>
    <n v="33.884238178634"/>
    <n v="12367.7469352014"/>
    <n v="44523.888966724997"/>
  </r>
  <r>
    <x v="0"/>
    <x v="2"/>
    <x v="2"/>
    <x v="9"/>
    <x v="18"/>
    <s v="SE2_EL"/>
    <x v="10"/>
    <x v="0"/>
    <s v="GEXT_WOODWASTE_HORNEBORG"/>
    <x v="0"/>
    <x v="9"/>
    <n v="33.884238178634"/>
    <n v="12367.7469352014"/>
    <n v="44523.888966724997"/>
  </r>
  <r>
    <x v="0"/>
    <x v="2"/>
    <x v="2"/>
    <x v="9"/>
    <x v="18"/>
    <s v="SE2_EL"/>
    <x v="10"/>
    <x v="0"/>
    <s v="GEXT_WOODWASTE_HORNEBORG"/>
    <x v="0"/>
    <x v="10"/>
    <n v="33.884238178634"/>
    <n v="12367.7469352014"/>
    <n v="44523.888966724997"/>
  </r>
  <r>
    <x v="0"/>
    <x v="2"/>
    <x v="2"/>
    <x v="9"/>
    <x v="18"/>
    <s v="SE2_EL"/>
    <x v="10"/>
    <x v="0"/>
    <s v="GEXT_WOODWASTE_HORNEBORG"/>
    <x v="0"/>
    <x v="11"/>
    <n v="33.884238178634"/>
    <n v="12367.7469352014"/>
    <n v="44523.888966724997"/>
  </r>
  <r>
    <x v="0"/>
    <x v="2"/>
    <x v="2"/>
    <x v="9"/>
    <x v="18"/>
    <s v="SE2_EL"/>
    <x v="10"/>
    <x v="0"/>
    <s v="GEXT_WOODWASTE_HORNEBORG"/>
    <x v="0"/>
    <x v="12"/>
    <n v="33.884238178634"/>
    <n v="12367.7469352014"/>
    <n v="44523.888966724997"/>
  </r>
  <r>
    <x v="0"/>
    <x v="2"/>
    <x v="2"/>
    <x v="9"/>
    <x v="18"/>
    <s v="SE2_EL"/>
    <x v="10"/>
    <x v="0"/>
    <s v="GEXT_WOODWASTE_HORNEBORG"/>
    <x v="0"/>
    <x v="13"/>
    <n v="33.884238178634"/>
    <n v="12367.7469352014"/>
    <n v="44523.888966724997"/>
  </r>
  <r>
    <x v="0"/>
    <x v="2"/>
    <x v="2"/>
    <x v="9"/>
    <x v="18"/>
    <s v="SE2_EL"/>
    <x v="10"/>
    <x v="0"/>
    <s v="GEXT_WOODWASTE_HORNEBORG"/>
    <x v="0"/>
    <x v="14"/>
    <n v="33.884238178634"/>
    <n v="12367.7469352014"/>
    <n v="44523.888966724997"/>
  </r>
  <r>
    <x v="0"/>
    <x v="2"/>
    <x v="2"/>
    <x v="9"/>
    <x v="18"/>
    <s v="SE2_EL"/>
    <x v="10"/>
    <x v="0"/>
    <s v="GEXT_WOODWASTE_HORNEBORG"/>
    <x v="0"/>
    <x v="15"/>
    <n v="33.884238178634"/>
    <n v="12367.7469352014"/>
    <n v="44523.888966724997"/>
  </r>
  <r>
    <x v="0"/>
    <x v="2"/>
    <x v="2"/>
    <x v="9"/>
    <x v="18"/>
    <s v="SE2_EL"/>
    <x v="10"/>
    <x v="0"/>
    <s v="GEXT_WOODWASTE_HORNEBORG"/>
    <x v="0"/>
    <x v="16"/>
    <n v="33.884238178634"/>
    <n v="12367.7469352014"/>
    <n v="44523.888966724997"/>
  </r>
  <r>
    <x v="0"/>
    <x v="2"/>
    <x v="2"/>
    <x v="9"/>
    <x v="18"/>
    <s v="SE2_EL"/>
    <x v="10"/>
    <x v="0"/>
    <s v="GEXT_WOODWASTE_HORNEBORG"/>
    <x v="0"/>
    <x v="17"/>
    <n v="33.884238178634"/>
    <n v="12367.7469352014"/>
    <n v="44523.888966724997"/>
  </r>
  <r>
    <x v="0"/>
    <x v="2"/>
    <x v="2"/>
    <x v="9"/>
    <x v="18"/>
    <s v="SE2_EL"/>
    <x v="10"/>
    <x v="0"/>
    <s v="GEXT_WOODWASTE_HORNEBORG"/>
    <x v="0"/>
    <x v="19"/>
    <n v="33.884238178634"/>
    <n v="12367.7469352014"/>
    <n v="44523.888966724997"/>
  </r>
  <r>
    <x v="0"/>
    <x v="2"/>
    <x v="2"/>
    <x v="9"/>
    <x v="18"/>
    <s v="SE2_EL"/>
    <x v="10"/>
    <x v="0"/>
    <s v="GEXT_WOODWASTE_HORNEBORG"/>
    <x v="0"/>
    <x v="20"/>
    <n v="33.884238178634"/>
    <n v="12367.7469352014"/>
    <n v="44523.888966724997"/>
  </r>
  <r>
    <x v="0"/>
    <x v="2"/>
    <x v="2"/>
    <x v="9"/>
    <x v="18"/>
    <s v="SE2_EL"/>
    <x v="10"/>
    <x v="0"/>
    <s v="GEXT_WOODWASTE_HORNEBORG"/>
    <x v="0"/>
    <x v="21"/>
    <n v="33.884238178634"/>
    <n v="12367.7469352014"/>
    <n v="44523.888966724997"/>
  </r>
  <r>
    <x v="0"/>
    <x v="2"/>
    <x v="2"/>
    <x v="9"/>
    <x v="18"/>
    <s v="SE2_EL"/>
    <x v="10"/>
    <x v="0"/>
    <s v="GEXT_WOODWASTE_HORNEBORG"/>
    <x v="0"/>
    <x v="22"/>
    <n v="33.884238178634"/>
    <n v="12367.7469352014"/>
    <n v="44523.888966724997"/>
  </r>
  <r>
    <x v="0"/>
    <x v="2"/>
    <x v="2"/>
    <x v="9"/>
    <x v="18"/>
    <s v="SE2_EL"/>
    <x v="10"/>
    <x v="0"/>
    <s v="GEXT_WOODWASTE_HORNEBORG"/>
    <x v="0"/>
    <x v="23"/>
    <n v="33.884238178634"/>
    <n v="12367.7469352014"/>
    <n v="44523.888966724997"/>
  </r>
  <r>
    <x v="0"/>
    <x v="2"/>
    <x v="2"/>
    <x v="9"/>
    <x v="18"/>
    <s v="SE2_OTHER"/>
    <x v="2"/>
    <x v="2"/>
    <s v="GBPR_MUNIWASTE_24"/>
    <x v="0"/>
    <x v="0"/>
    <n v="3.1627952466180802"/>
    <n v="1154.4202650156001"/>
    <n v="4155.9129540561598"/>
  </r>
  <r>
    <x v="0"/>
    <x v="2"/>
    <x v="2"/>
    <x v="9"/>
    <x v="18"/>
    <s v="SE2_OTHER"/>
    <x v="2"/>
    <x v="2"/>
    <s v="GBPR_MUNIWASTE_24"/>
    <x v="0"/>
    <x v="1"/>
    <n v="3.1627952466180802"/>
    <n v="1154.4202650156001"/>
    <n v="4155.9129540561598"/>
  </r>
  <r>
    <x v="0"/>
    <x v="2"/>
    <x v="2"/>
    <x v="9"/>
    <x v="18"/>
    <s v="SE2_OTHER"/>
    <x v="2"/>
    <x v="2"/>
    <s v="GBPR_MUNIWASTE_24"/>
    <x v="0"/>
    <x v="18"/>
    <n v="3.1627952466180802"/>
    <n v="1154.4202650156001"/>
    <n v="4155.9129540561598"/>
  </r>
  <r>
    <x v="0"/>
    <x v="2"/>
    <x v="2"/>
    <x v="9"/>
    <x v="18"/>
    <s v="SE2_OTHER"/>
    <x v="2"/>
    <x v="2"/>
    <s v="GBPR_MUNIWASTE_24"/>
    <x v="0"/>
    <x v="2"/>
    <n v="3.1627952466180802"/>
    <n v="1154.4202650156001"/>
    <n v="4155.9129540561598"/>
  </r>
  <r>
    <x v="0"/>
    <x v="2"/>
    <x v="2"/>
    <x v="9"/>
    <x v="18"/>
    <s v="SE2_OTHER"/>
    <x v="2"/>
    <x v="2"/>
    <s v="GBPR_MUNIWASTE_24"/>
    <x v="0"/>
    <x v="3"/>
    <n v="3.1627952466180802"/>
    <n v="1154.4202650156001"/>
    <n v="4155.9129540561598"/>
  </r>
  <r>
    <x v="0"/>
    <x v="2"/>
    <x v="2"/>
    <x v="9"/>
    <x v="18"/>
    <s v="SE2_OTHER"/>
    <x v="2"/>
    <x v="2"/>
    <s v="GBPR_MUNIWASTE_24"/>
    <x v="0"/>
    <x v="4"/>
    <n v="3.1627952466180802"/>
    <n v="1154.4202650156001"/>
    <n v="4155.9129540561598"/>
  </r>
  <r>
    <x v="0"/>
    <x v="2"/>
    <x v="2"/>
    <x v="9"/>
    <x v="18"/>
    <s v="SE2_OTHER"/>
    <x v="2"/>
    <x v="2"/>
    <s v="GBPR_MUNIWASTE_24"/>
    <x v="0"/>
    <x v="5"/>
    <n v="3.1627952466180802"/>
    <n v="1154.4202650156001"/>
    <n v="4155.9129540561598"/>
  </r>
  <r>
    <x v="0"/>
    <x v="2"/>
    <x v="2"/>
    <x v="9"/>
    <x v="18"/>
    <s v="SE2_OTHER"/>
    <x v="2"/>
    <x v="2"/>
    <s v="GBPR_MUNIWASTE_24"/>
    <x v="0"/>
    <x v="6"/>
    <n v="3.1627952466180802"/>
    <n v="1154.4202650156001"/>
    <n v="4155.9129540561598"/>
  </r>
  <r>
    <x v="0"/>
    <x v="2"/>
    <x v="2"/>
    <x v="9"/>
    <x v="18"/>
    <s v="SE2_OTHER"/>
    <x v="2"/>
    <x v="2"/>
    <s v="GBPR_MUNIWASTE_24"/>
    <x v="0"/>
    <x v="7"/>
    <n v="3.1627952466180802"/>
    <n v="1154.4202650156001"/>
    <n v="4155.9129540561598"/>
  </r>
  <r>
    <x v="0"/>
    <x v="2"/>
    <x v="2"/>
    <x v="9"/>
    <x v="18"/>
    <s v="SE2_OTHER"/>
    <x v="2"/>
    <x v="2"/>
    <s v="GBPR_MUNIWASTE_24"/>
    <x v="0"/>
    <x v="8"/>
    <n v="3.1627952466180802"/>
    <n v="1154.4202650156001"/>
    <n v="4155.9129540561598"/>
  </r>
  <r>
    <x v="0"/>
    <x v="2"/>
    <x v="2"/>
    <x v="9"/>
    <x v="18"/>
    <s v="SE2_OTHER"/>
    <x v="2"/>
    <x v="2"/>
    <s v="GBPR_MUNIWASTE_24"/>
    <x v="0"/>
    <x v="9"/>
    <n v="3.1627952466180802"/>
    <n v="1154.4202650156001"/>
    <n v="4155.9129540561598"/>
  </r>
  <r>
    <x v="0"/>
    <x v="2"/>
    <x v="2"/>
    <x v="9"/>
    <x v="18"/>
    <s v="SE2_OTHER"/>
    <x v="2"/>
    <x v="2"/>
    <s v="GBPR_MUNIWASTE_24"/>
    <x v="0"/>
    <x v="10"/>
    <n v="3.1627952466180802"/>
    <n v="1154.4202650156001"/>
    <n v="4155.9129540561598"/>
  </r>
  <r>
    <x v="0"/>
    <x v="2"/>
    <x v="2"/>
    <x v="9"/>
    <x v="18"/>
    <s v="SE2_OTHER"/>
    <x v="2"/>
    <x v="2"/>
    <s v="GBPR_MUNIWASTE_24"/>
    <x v="0"/>
    <x v="11"/>
    <n v="3.1627952466180802"/>
    <n v="1154.4202650156001"/>
    <n v="4155.9129540561598"/>
  </r>
  <r>
    <x v="0"/>
    <x v="2"/>
    <x v="2"/>
    <x v="9"/>
    <x v="18"/>
    <s v="SE2_OTHER"/>
    <x v="2"/>
    <x v="2"/>
    <s v="GBPR_MUNIWASTE_24"/>
    <x v="0"/>
    <x v="12"/>
    <n v="3.1627952466180802"/>
    <n v="1154.4202650156001"/>
    <n v="4155.9129540561598"/>
  </r>
  <r>
    <x v="0"/>
    <x v="2"/>
    <x v="2"/>
    <x v="9"/>
    <x v="18"/>
    <s v="SE2_OTHER"/>
    <x v="2"/>
    <x v="2"/>
    <s v="GBPR_MUNIWASTE_24"/>
    <x v="0"/>
    <x v="13"/>
    <n v="3.1627952466180802"/>
    <n v="1154.4202650156001"/>
    <n v="4155.9129540561598"/>
  </r>
  <r>
    <x v="0"/>
    <x v="2"/>
    <x v="2"/>
    <x v="9"/>
    <x v="18"/>
    <s v="SE2_OTHER"/>
    <x v="2"/>
    <x v="2"/>
    <s v="GBPR_MUNIWASTE_24"/>
    <x v="0"/>
    <x v="14"/>
    <n v="3.1627952466180802"/>
    <n v="1154.4202650156001"/>
    <n v="4155.9129540561598"/>
  </r>
  <r>
    <x v="0"/>
    <x v="2"/>
    <x v="2"/>
    <x v="9"/>
    <x v="18"/>
    <s v="SE2_OTHER"/>
    <x v="2"/>
    <x v="2"/>
    <s v="GBPR_MUNIWASTE_24"/>
    <x v="0"/>
    <x v="15"/>
    <n v="3.1627952466180802"/>
    <n v="1154.4202650156001"/>
    <n v="4155.9129540561598"/>
  </r>
  <r>
    <x v="0"/>
    <x v="2"/>
    <x v="2"/>
    <x v="9"/>
    <x v="18"/>
    <s v="SE2_OTHER"/>
    <x v="2"/>
    <x v="2"/>
    <s v="GBPR_MUNIWASTE_24"/>
    <x v="0"/>
    <x v="16"/>
    <n v="3.1627952466180802"/>
    <n v="1154.4202650156001"/>
    <n v="4155.9129540561598"/>
  </r>
  <r>
    <x v="0"/>
    <x v="2"/>
    <x v="2"/>
    <x v="9"/>
    <x v="18"/>
    <s v="SE2_OTHER"/>
    <x v="2"/>
    <x v="2"/>
    <s v="GBPR_MUNIWASTE_24"/>
    <x v="0"/>
    <x v="17"/>
    <n v="3.1627952466180802"/>
    <n v="1154.4202650156001"/>
    <n v="4155.9129540561598"/>
  </r>
  <r>
    <x v="0"/>
    <x v="2"/>
    <x v="2"/>
    <x v="9"/>
    <x v="18"/>
    <s v="SE2_OTHER"/>
    <x v="2"/>
    <x v="2"/>
    <s v="GBPR_MUNIWASTE_24"/>
    <x v="0"/>
    <x v="19"/>
    <n v="3.1627952466180802"/>
    <n v="1154.4202650156001"/>
    <n v="4155.9129540561598"/>
  </r>
  <r>
    <x v="0"/>
    <x v="2"/>
    <x v="2"/>
    <x v="9"/>
    <x v="18"/>
    <s v="SE2_OTHER"/>
    <x v="2"/>
    <x v="2"/>
    <s v="GBPR_MUNIWASTE_24"/>
    <x v="0"/>
    <x v="20"/>
    <n v="3.1627952466180802"/>
    <n v="1154.4202650156001"/>
    <n v="4155.9129540561598"/>
  </r>
  <r>
    <x v="0"/>
    <x v="2"/>
    <x v="2"/>
    <x v="9"/>
    <x v="18"/>
    <s v="SE2_OTHER"/>
    <x v="2"/>
    <x v="2"/>
    <s v="GBPR_MUNIWASTE_24"/>
    <x v="0"/>
    <x v="21"/>
    <n v="3.1627952466180802"/>
    <n v="1154.4202650156001"/>
    <n v="4155.9129540561598"/>
  </r>
  <r>
    <x v="0"/>
    <x v="2"/>
    <x v="2"/>
    <x v="9"/>
    <x v="18"/>
    <s v="SE2_OTHER"/>
    <x v="2"/>
    <x v="2"/>
    <s v="GBPR_MUNIWASTE_24"/>
    <x v="0"/>
    <x v="22"/>
    <n v="3.1627952466180802"/>
    <n v="1154.4202650156001"/>
    <n v="4155.9129540561598"/>
  </r>
  <r>
    <x v="0"/>
    <x v="2"/>
    <x v="2"/>
    <x v="9"/>
    <x v="18"/>
    <s v="SE2_OTHER"/>
    <x v="2"/>
    <x v="2"/>
    <s v="GBPR_MUNIWASTE_24"/>
    <x v="0"/>
    <x v="23"/>
    <n v="3.1627952466180802"/>
    <n v="1154.4202650156001"/>
    <n v="4155.9129540561598"/>
  </r>
  <r>
    <x v="0"/>
    <x v="2"/>
    <x v="2"/>
    <x v="9"/>
    <x v="18"/>
    <s v="SE2_OTHER"/>
    <x v="10"/>
    <x v="2"/>
    <s v="GBPR_WOODWASTE_36"/>
    <x v="0"/>
    <x v="0"/>
    <n v="43.576919441298401"/>
    <n v="15905.575596073901"/>
    <n v="57260.072145866099"/>
  </r>
  <r>
    <x v="0"/>
    <x v="2"/>
    <x v="2"/>
    <x v="9"/>
    <x v="18"/>
    <s v="SE2_OTHER"/>
    <x v="10"/>
    <x v="2"/>
    <s v="GBPR_WOODWASTE_36"/>
    <x v="0"/>
    <x v="1"/>
    <n v="43.576919441298401"/>
    <n v="15905.575596073901"/>
    <n v="57260.072145866099"/>
  </r>
  <r>
    <x v="0"/>
    <x v="2"/>
    <x v="2"/>
    <x v="9"/>
    <x v="18"/>
    <s v="SE2_OTHER"/>
    <x v="10"/>
    <x v="2"/>
    <s v="GBPR_WOODWASTE_36"/>
    <x v="0"/>
    <x v="18"/>
    <n v="43.576919441298401"/>
    <n v="15905.575596073901"/>
    <n v="57260.072145866099"/>
  </r>
  <r>
    <x v="0"/>
    <x v="2"/>
    <x v="2"/>
    <x v="9"/>
    <x v="18"/>
    <s v="SE2_OTHER"/>
    <x v="10"/>
    <x v="2"/>
    <s v="GBPR_WOODWASTE_36"/>
    <x v="0"/>
    <x v="2"/>
    <n v="43.576919441298401"/>
    <n v="15905.575596073901"/>
    <n v="57260.072145866099"/>
  </r>
  <r>
    <x v="0"/>
    <x v="2"/>
    <x v="2"/>
    <x v="9"/>
    <x v="18"/>
    <s v="SE2_OTHER"/>
    <x v="10"/>
    <x v="2"/>
    <s v="GBPR_WOODWASTE_36"/>
    <x v="0"/>
    <x v="3"/>
    <n v="43.576919441298401"/>
    <n v="15905.575596073901"/>
    <n v="57260.072145866099"/>
  </r>
  <r>
    <x v="0"/>
    <x v="2"/>
    <x v="2"/>
    <x v="9"/>
    <x v="18"/>
    <s v="SE2_OTHER"/>
    <x v="10"/>
    <x v="2"/>
    <s v="GBPR_WOODWASTE_36"/>
    <x v="0"/>
    <x v="4"/>
    <n v="43.576919441298401"/>
    <n v="15905.575596073901"/>
    <n v="57260.072145866099"/>
  </r>
  <r>
    <x v="0"/>
    <x v="2"/>
    <x v="2"/>
    <x v="9"/>
    <x v="18"/>
    <s v="SE2_OTHER"/>
    <x v="10"/>
    <x v="2"/>
    <s v="GBPR_WOODWASTE_36"/>
    <x v="0"/>
    <x v="5"/>
    <n v="43.576919441298401"/>
    <n v="15905.575596073901"/>
    <n v="57260.072145866099"/>
  </r>
  <r>
    <x v="0"/>
    <x v="2"/>
    <x v="2"/>
    <x v="9"/>
    <x v="18"/>
    <s v="SE2_OTHER"/>
    <x v="10"/>
    <x v="2"/>
    <s v="GBPR_WOODWASTE_36"/>
    <x v="0"/>
    <x v="6"/>
    <n v="43.576919441298401"/>
    <n v="15905.575596073901"/>
    <n v="57260.072145866099"/>
  </r>
  <r>
    <x v="0"/>
    <x v="2"/>
    <x v="2"/>
    <x v="9"/>
    <x v="18"/>
    <s v="SE2_OTHER"/>
    <x v="10"/>
    <x v="2"/>
    <s v="GBPR_WOODWASTE_36"/>
    <x v="0"/>
    <x v="7"/>
    <n v="43.576919441298401"/>
    <n v="15905.575596073901"/>
    <n v="57260.072145866099"/>
  </r>
  <r>
    <x v="0"/>
    <x v="2"/>
    <x v="2"/>
    <x v="9"/>
    <x v="18"/>
    <s v="SE2_OTHER"/>
    <x v="10"/>
    <x v="2"/>
    <s v="GBPR_WOODWASTE_36"/>
    <x v="0"/>
    <x v="8"/>
    <n v="43.576919441298401"/>
    <n v="15905.575596073901"/>
    <n v="57260.072145866099"/>
  </r>
  <r>
    <x v="0"/>
    <x v="2"/>
    <x v="2"/>
    <x v="9"/>
    <x v="18"/>
    <s v="SE2_OTHER"/>
    <x v="10"/>
    <x v="2"/>
    <s v="GBPR_WOODWASTE_36"/>
    <x v="0"/>
    <x v="9"/>
    <n v="43.576919441298401"/>
    <n v="15905.575596073901"/>
    <n v="57260.072145866099"/>
  </r>
  <r>
    <x v="0"/>
    <x v="2"/>
    <x v="2"/>
    <x v="9"/>
    <x v="18"/>
    <s v="SE2_OTHER"/>
    <x v="10"/>
    <x v="2"/>
    <s v="GBPR_WOODWASTE_36"/>
    <x v="0"/>
    <x v="10"/>
    <n v="43.576919441298401"/>
    <n v="15905.575596073901"/>
    <n v="57260.072145866099"/>
  </r>
  <r>
    <x v="0"/>
    <x v="2"/>
    <x v="2"/>
    <x v="9"/>
    <x v="18"/>
    <s v="SE2_OTHER"/>
    <x v="10"/>
    <x v="2"/>
    <s v="GBPR_WOODWASTE_36"/>
    <x v="0"/>
    <x v="11"/>
    <n v="43.576919441298401"/>
    <n v="15905.575596073901"/>
    <n v="57260.072145866099"/>
  </r>
  <r>
    <x v="0"/>
    <x v="2"/>
    <x v="2"/>
    <x v="9"/>
    <x v="18"/>
    <s v="SE2_OTHER"/>
    <x v="10"/>
    <x v="2"/>
    <s v="GBPR_WOODWASTE_36"/>
    <x v="0"/>
    <x v="12"/>
    <n v="43.576919441298401"/>
    <n v="15905.575596073901"/>
    <n v="57260.072145866099"/>
  </r>
  <r>
    <x v="0"/>
    <x v="2"/>
    <x v="2"/>
    <x v="9"/>
    <x v="18"/>
    <s v="SE2_OTHER"/>
    <x v="10"/>
    <x v="2"/>
    <s v="GBPR_WOODWASTE_36"/>
    <x v="0"/>
    <x v="13"/>
    <n v="43.576919441298401"/>
    <n v="15905.575596073901"/>
    <n v="57260.072145866099"/>
  </r>
  <r>
    <x v="0"/>
    <x v="2"/>
    <x v="2"/>
    <x v="9"/>
    <x v="18"/>
    <s v="SE2_OTHER"/>
    <x v="10"/>
    <x v="2"/>
    <s v="GBPR_WOODWASTE_36"/>
    <x v="0"/>
    <x v="14"/>
    <n v="43.576919441298401"/>
    <n v="15905.575596073901"/>
    <n v="57260.072145866099"/>
  </r>
  <r>
    <x v="0"/>
    <x v="2"/>
    <x v="2"/>
    <x v="9"/>
    <x v="18"/>
    <s v="SE2_OTHER"/>
    <x v="10"/>
    <x v="2"/>
    <s v="GBPR_WOODWASTE_36"/>
    <x v="0"/>
    <x v="15"/>
    <n v="43.576919441298401"/>
    <n v="15905.575596073901"/>
    <n v="57260.072145866099"/>
  </r>
  <r>
    <x v="0"/>
    <x v="2"/>
    <x v="2"/>
    <x v="9"/>
    <x v="18"/>
    <s v="SE2_OTHER"/>
    <x v="10"/>
    <x v="2"/>
    <s v="GBPR_WOODWASTE_36"/>
    <x v="0"/>
    <x v="16"/>
    <n v="43.576919441298401"/>
    <n v="15905.575596073901"/>
    <n v="57260.072145866099"/>
  </r>
  <r>
    <x v="0"/>
    <x v="2"/>
    <x v="2"/>
    <x v="9"/>
    <x v="18"/>
    <s v="SE2_OTHER"/>
    <x v="10"/>
    <x v="2"/>
    <s v="GBPR_WOODWASTE_36"/>
    <x v="0"/>
    <x v="17"/>
    <n v="43.576919441298401"/>
    <n v="15905.575596073901"/>
    <n v="57260.072145866099"/>
  </r>
  <r>
    <x v="0"/>
    <x v="2"/>
    <x v="2"/>
    <x v="9"/>
    <x v="18"/>
    <s v="SE2_OTHER"/>
    <x v="10"/>
    <x v="2"/>
    <s v="GBPR_WOODWASTE_36"/>
    <x v="0"/>
    <x v="19"/>
    <n v="43.576919441298401"/>
    <n v="15905.575596073901"/>
    <n v="57260.072145866099"/>
  </r>
  <r>
    <x v="0"/>
    <x v="2"/>
    <x v="2"/>
    <x v="9"/>
    <x v="18"/>
    <s v="SE2_OTHER"/>
    <x v="10"/>
    <x v="2"/>
    <s v="GBPR_WOODWASTE_36"/>
    <x v="0"/>
    <x v="20"/>
    <n v="43.576919441298401"/>
    <n v="15905.575596073901"/>
    <n v="57260.072145866099"/>
  </r>
  <r>
    <x v="0"/>
    <x v="2"/>
    <x v="2"/>
    <x v="9"/>
    <x v="18"/>
    <s v="SE2_OTHER"/>
    <x v="10"/>
    <x v="2"/>
    <s v="GBPR_WOODWASTE_36"/>
    <x v="0"/>
    <x v="21"/>
    <n v="43.576919441298401"/>
    <n v="15905.575596073901"/>
    <n v="57260.072145866099"/>
  </r>
  <r>
    <x v="0"/>
    <x v="2"/>
    <x v="2"/>
    <x v="9"/>
    <x v="18"/>
    <s v="SE2_OTHER"/>
    <x v="10"/>
    <x v="2"/>
    <s v="GBPR_WOODWASTE_36"/>
    <x v="0"/>
    <x v="22"/>
    <n v="43.576919441298401"/>
    <n v="15905.575596073901"/>
    <n v="57260.072145866099"/>
  </r>
  <r>
    <x v="0"/>
    <x v="2"/>
    <x v="2"/>
    <x v="9"/>
    <x v="18"/>
    <s v="SE2_OTHER"/>
    <x v="10"/>
    <x v="2"/>
    <s v="GBPR_WOODWASTE_36"/>
    <x v="0"/>
    <x v="23"/>
    <n v="43.576919441298401"/>
    <n v="15905.575596073901"/>
    <n v="57260.072145866099"/>
  </r>
  <r>
    <x v="0"/>
    <x v="2"/>
    <x v="2"/>
    <x v="9"/>
    <x v="19"/>
    <s v="SE3A"/>
    <x v="14"/>
    <x v="6"/>
    <s v="GCND_NUCLEAR"/>
    <x v="0"/>
    <x v="0"/>
    <n v="5460.3642469666202"/>
    <n v="1993032.9501428099"/>
    <n v="7174918.6205141302"/>
  </r>
  <r>
    <x v="0"/>
    <x v="2"/>
    <x v="2"/>
    <x v="9"/>
    <x v="19"/>
    <s v="SE3A"/>
    <x v="14"/>
    <x v="6"/>
    <s v="GCND_NUCLEAR"/>
    <x v="0"/>
    <x v="1"/>
    <n v="5460.3642469666202"/>
    <n v="1993032.9501428099"/>
    <n v="7174918.6205141302"/>
  </r>
  <r>
    <x v="0"/>
    <x v="2"/>
    <x v="2"/>
    <x v="9"/>
    <x v="19"/>
    <s v="SE3A"/>
    <x v="14"/>
    <x v="6"/>
    <s v="GCND_NUCLEAR"/>
    <x v="0"/>
    <x v="18"/>
    <n v="5460.3642469666202"/>
    <n v="1993032.9501428099"/>
    <n v="7174918.6205141302"/>
  </r>
  <r>
    <x v="0"/>
    <x v="2"/>
    <x v="2"/>
    <x v="9"/>
    <x v="19"/>
    <s v="SE3A"/>
    <x v="14"/>
    <x v="6"/>
    <s v="GCND_NUCLEAR"/>
    <x v="0"/>
    <x v="2"/>
    <n v="5460.3642469666202"/>
    <n v="1993032.9501428099"/>
    <n v="7174918.6205141302"/>
  </r>
  <r>
    <x v="0"/>
    <x v="2"/>
    <x v="2"/>
    <x v="9"/>
    <x v="19"/>
    <s v="SE3A"/>
    <x v="14"/>
    <x v="6"/>
    <s v="GCND_NUCLEAR"/>
    <x v="0"/>
    <x v="3"/>
    <n v="5460.3642469666202"/>
    <n v="1993032.9501428099"/>
    <n v="7174918.6205141302"/>
  </r>
  <r>
    <x v="0"/>
    <x v="2"/>
    <x v="2"/>
    <x v="9"/>
    <x v="19"/>
    <s v="SE3A"/>
    <x v="14"/>
    <x v="6"/>
    <s v="GCND_NUCLEAR"/>
    <x v="0"/>
    <x v="4"/>
    <n v="5460.3642469666202"/>
    <n v="1993032.9501428099"/>
    <n v="7174918.6205141302"/>
  </r>
  <r>
    <x v="0"/>
    <x v="2"/>
    <x v="2"/>
    <x v="9"/>
    <x v="19"/>
    <s v="SE3A"/>
    <x v="14"/>
    <x v="6"/>
    <s v="GCND_NUCLEAR"/>
    <x v="0"/>
    <x v="5"/>
    <n v="5460.3642469666202"/>
    <n v="1993032.9501428099"/>
    <n v="7174918.6205141302"/>
  </r>
  <r>
    <x v="0"/>
    <x v="2"/>
    <x v="2"/>
    <x v="9"/>
    <x v="19"/>
    <s v="SE3A"/>
    <x v="14"/>
    <x v="6"/>
    <s v="GCND_NUCLEAR"/>
    <x v="0"/>
    <x v="6"/>
    <n v="5460.3642469666202"/>
    <n v="1993032.9501428099"/>
    <n v="7174918.6205141302"/>
  </r>
  <r>
    <x v="0"/>
    <x v="2"/>
    <x v="2"/>
    <x v="9"/>
    <x v="19"/>
    <s v="SE3A"/>
    <x v="14"/>
    <x v="6"/>
    <s v="GCND_NUCLEAR"/>
    <x v="0"/>
    <x v="7"/>
    <n v="5460.3642469666202"/>
    <n v="1993032.9501428099"/>
    <n v="7174918.6205141302"/>
  </r>
  <r>
    <x v="0"/>
    <x v="2"/>
    <x v="2"/>
    <x v="9"/>
    <x v="19"/>
    <s v="SE3A"/>
    <x v="14"/>
    <x v="6"/>
    <s v="GCND_NUCLEAR"/>
    <x v="0"/>
    <x v="8"/>
    <n v="5460.3642469666202"/>
    <n v="1993032.9501428099"/>
    <n v="7174918.6205141302"/>
  </r>
  <r>
    <x v="0"/>
    <x v="2"/>
    <x v="2"/>
    <x v="9"/>
    <x v="19"/>
    <s v="SE3A"/>
    <x v="14"/>
    <x v="6"/>
    <s v="GCND_NUCLEAR"/>
    <x v="0"/>
    <x v="9"/>
    <n v="5460.3642469666202"/>
    <n v="1993032.9501428099"/>
    <n v="7174918.6205141302"/>
  </r>
  <r>
    <x v="0"/>
    <x v="2"/>
    <x v="2"/>
    <x v="9"/>
    <x v="19"/>
    <s v="SE3A"/>
    <x v="14"/>
    <x v="6"/>
    <s v="GCND_NUCLEAR"/>
    <x v="0"/>
    <x v="10"/>
    <n v="5460.3642469666202"/>
    <n v="1993032.9501428099"/>
    <n v="7174918.6205141302"/>
  </r>
  <r>
    <x v="0"/>
    <x v="2"/>
    <x v="2"/>
    <x v="9"/>
    <x v="19"/>
    <s v="SE3A"/>
    <x v="14"/>
    <x v="6"/>
    <s v="GCND_NUCLEAR"/>
    <x v="0"/>
    <x v="11"/>
    <n v="5460.3642469666202"/>
    <n v="1993032.9501428099"/>
    <n v="7174918.6205141302"/>
  </r>
  <r>
    <x v="0"/>
    <x v="2"/>
    <x v="2"/>
    <x v="9"/>
    <x v="19"/>
    <s v="SE3A"/>
    <x v="14"/>
    <x v="6"/>
    <s v="GCND_NUCLEAR"/>
    <x v="0"/>
    <x v="12"/>
    <n v="5460.3642469666202"/>
    <n v="1993032.9501428099"/>
    <n v="7174918.6205141302"/>
  </r>
  <r>
    <x v="0"/>
    <x v="2"/>
    <x v="2"/>
    <x v="9"/>
    <x v="19"/>
    <s v="SE3A"/>
    <x v="14"/>
    <x v="6"/>
    <s v="GCND_NUCLEAR"/>
    <x v="0"/>
    <x v="13"/>
    <n v="5460.3642469666202"/>
    <n v="1993032.9501428099"/>
    <n v="7174918.6205141302"/>
  </r>
  <r>
    <x v="0"/>
    <x v="2"/>
    <x v="2"/>
    <x v="9"/>
    <x v="19"/>
    <s v="SE3A"/>
    <x v="14"/>
    <x v="6"/>
    <s v="GCND_NUCLEAR"/>
    <x v="0"/>
    <x v="14"/>
    <n v="5460.3642469666202"/>
    <n v="1993032.9501428099"/>
    <n v="7174918.6205141302"/>
  </r>
  <r>
    <x v="0"/>
    <x v="2"/>
    <x v="2"/>
    <x v="9"/>
    <x v="19"/>
    <s v="SE3A"/>
    <x v="14"/>
    <x v="6"/>
    <s v="GCND_NUCLEAR"/>
    <x v="0"/>
    <x v="15"/>
    <n v="5460.3642469666202"/>
    <n v="1993032.9501428099"/>
    <n v="7174918.6205141302"/>
  </r>
  <r>
    <x v="0"/>
    <x v="2"/>
    <x v="2"/>
    <x v="9"/>
    <x v="19"/>
    <s v="SE3A"/>
    <x v="14"/>
    <x v="6"/>
    <s v="GCND_NUCLEAR"/>
    <x v="0"/>
    <x v="16"/>
    <n v="5460.3642469666202"/>
    <n v="1993032.9501428099"/>
    <n v="7174918.6205141302"/>
  </r>
  <r>
    <x v="0"/>
    <x v="2"/>
    <x v="2"/>
    <x v="9"/>
    <x v="19"/>
    <s v="SE3A"/>
    <x v="14"/>
    <x v="6"/>
    <s v="GCND_NUCLEAR"/>
    <x v="0"/>
    <x v="17"/>
    <n v="5460.3642469666202"/>
    <n v="1993032.9501428099"/>
    <n v="7174918.6205141302"/>
  </r>
  <r>
    <x v="0"/>
    <x v="2"/>
    <x v="2"/>
    <x v="9"/>
    <x v="19"/>
    <s v="SE3A"/>
    <x v="14"/>
    <x v="6"/>
    <s v="GCND_NUCLEAR"/>
    <x v="0"/>
    <x v="19"/>
    <n v="5460.3642469666202"/>
    <n v="1993032.9501428099"/>
    <n v="7174918.6205141302"/>
  </r>
  <r>
    <x v="0"/>
    <x v="2"/>
    <x v="2"/>
    <x v="9"/>
    <x v="19"/>
    <s v="SE3A"/>
    <x v="14"/>
    <x v="6"/>
    <s v="GCND_NUCLEAR"/>
    <x v="0"/>
    <x v="20"/>
    <n v="5460.3642469666202"/>
    <n v="1993032.9501428099"/>
    <n v="7174918.6205141302"/>
  </r>
  <r>
    <x v="0"/>
    <x v="2"/>
    <x v="2"/>
    <x v="9"/>
    <x v="19"/>
    <s v="SE3A"/>
    <x v="14"/>
    <x v="6"/>
    <s v="GCND_NUCLEAR"/>
    <x v="0"/>
    <x v="21"/>
    <n v="5460.3642469666202"/>
    <n v="1993032.9501428099"/>
    <n v="7174918.6205141302"/>
  </r>
  <r>
    <x v="0"/>
    <x v="2"/>
    <x v="2"/>
    <x v="9"/>
    <x v="19"/>
    <s v="SE3A"/>
    <x v="14"/>
    <x v="6"/>
    <s v="GCND_NUCLEAR"/>
    <x v="0"/>
    <x v="22"/>
    <n v="5460.3642469666202"/>
    <n v="1993032.9501428099"/>
    <n v="7174918.6205141302"/>
  </r>
  <r>
    <x v="0"/>
    <x v="2"/>
    <x v="2"/>
    <x v="9"/>
    <x v="19"/>
    <s v="SE3A"/>
    <x v="14"/>
    <x v="6"/>
    <s v="GCND_NUCLEAR"/>
    <x v="0"/>
    <x v="23"/>
    <n v="5460.3642469666202"/>
    <n v="1993032.9501428099"/>
    <n v="7174918.6205141302"/>
  </r>
  <r>
    <x v="0"/>
    <x v="2"/>
    <x v="2"/>
    <x v="9"/>
    <x v="19"/>
    <s v="SE3A"/>
    <x v="5"/>
    <x v="3"/>
    <s v="GNR_PV_SUN_LS-4-MW_Y-2030"/>
    <x v="0"/>
    <x v="7"/>
    <n v="113.46598138925"/>
    <n v="41415.083207076299"/>
    <n v="149094.29954547499"/>
  </r>
  <r>
    <x v="0"/>
    <x v="2"/>
    <x v="2"/>
    <x v="9"/>
    <x v="19"/>
    <s v="SE3A"/>
    <x v="5"/>
    <x v="3"/>
    <s v="GNR_PV_SUN_LS-4-MW_Y-2030"/>
    <x v="0"/>
    <x v="8"/>
    <n v="854.19518297138097"/>
    <n v="311781.24178455397"/>
    <n v="1122412.4704243999"/>
  </r>
  <r>
    <x v="0"/>
    <x v="2"/>
    <x v="2"/>
    <x v="9"/>
    <x v="19"/>
    <s v="SE3A"/>
    <x v="5"/>
    <x v="3"/>
    <s v="GNR_PV_SUN_LS-4-MW_Y-2030"/>
    <x v="0"/>
    <x v="9"/>
    <n v="1973.1443225176799"/>
    <n v="720197.677718953"/>
    <n v="2592711.6397882299"/>
  </r>
  <r>
    <x v="0"/>
    <x v="2"/>
    <x v="2"/>
    <x v="9"/>
    <x v="19"/>
    <s v="SE3A"/>
    <x v="5"/>
    <x v="3"/>
    <s v="GNR_PV_SUN_LS-4-MW_Y-2030"/>
    <x v="0"/>
    <x v="10"/>
    <n v="3004.8119379184"/>
    <n v="1096756.3573402199"/>
    <n v="3948322.8864247799"/>
  </r>
  <r>
    <x v="0"/>
    <x v="2"/>
    <x v="2"/>
    <x v="9"/>
    <x v="19"/>
    <s v="SE3A"/>
    <x v="5"/>
    <x v="3"/>
    <s v="GNR_PV_SUN_LS-4-MW_Y-2030"/>
    <x v="0"/>
    <x v="11"/>
    <n v="3416.1988550578899"/>
    <n v="1246912.5820961299"/>
    <n v="4488885.2955460697"/>
  </r>
  <r>
    <x v="0"/>
    <x v="2"/>
    <x v="2"/>
    <x v="9"/>
    <x v="19"/>
    <s v="SE3A"/>
    <x v="5"/>
    <x v="3"/>
    <s v="GNR_PV_SUN_LS-4-MW_Y-2030"/>
    <x v="0"/>
    <x v="12"/>
    <n v="2970.4812050878099"/>
    <n v="1084225.63985705"/>
    <n v="3903212.30348538"/>
  </r>
  <r>
    <x v="0"/>
    <x v="2"/>
    <x v="2"/>
    <x v="9"/>
    <x v="19"/>
    <s v="SE3A"/>
    <x v="5"/>
    <x v="3"/>
    <s v="GNR_PV_SUN_LS-4-MW_Y-2030"/>
    <x v="0"/>
    <x v="13"/>
    <n v="1932.9948214107101"/>
    <n v="705543.10981491103"/>
    <n v="2539955.1953336801"/>
  </r>
  <r>
    <x v="0"/>
    <x v="2"/>
    <x v="2"/>
    <x v="9"/>
    <x v="19"/>
    <s v="SE3A"/>
    <x v="5"/>
    <x v="3"/>
    <s v="GNR_PV_SUN_LS-4-MW_Y-2030"/>
    <x v="0"/>
    <x v="14"/>
    <n v="978.71682408573804"/>
    <n v="357231.64079129399"/>
    <n v="1286033.90684866"/>
  </r>
  <r>
    <x v="0"/>
    <x v="2"/>
    <x v="2"/>
    <x v="9"/>
    <x v="19"/>
    <s v="SE3A"/>
    <x v="5"/>
    <x v="3"/>
    <s v="GNR_PV_SUN_LS-4-MW_Y-2030"/>
    <x v="0"/>
    <x v="15"/>
    <n v="127.43102525254299"/>
    <n v="46512.324217178102"/>
    <n v="167444.36718184099"/>
  </r>
  <r>
    <x v="0"/>
    <x v="2"/>
    <x v="2"/>
    <x v="9"/>
    <x v="19"/>
    <s v="SE3A"/>
    <x v="6"/>
    <x v="7"/>
    <s v="GNR_RES_WTR_NOPMP_MC-01"/>
    <x v="0"/>
    <x v="0"/>
    <n v="131.6"/>
    <n v="48034"/>
    <n v="172922.4"/>
  </r>
  <r>
    <x v="0"/>
    <x v="2"/>
    <x v="2"/>
    <x v="9"/>
    <x v="19"/>
    <s v="SE3A"/>
    <x v="6"/>
    <x v="7"/>
    <s v="GNR_RES_WTR_NOPMP_MC-01"/>
    <x v="0"/>
    <x v="1"/>
    <n v="131.6"/>
    <n v="48034"/>
    <n v="172922.4"/>
  </r>
  <r>
    <x v="0"/>
    <x v="2"/>
    <x v="2"/>
    <x v="9"/>
    <x v="19"/>
    <s v="SE3A"/>
    <x v="6"/>
    <x v="7"/>
    <s v="GNR_RES_WTR_NOPMP_MC-01"/>
    <x v="0"/>
    <x v="18"/>
    <n v="131.6"/>
    <n v="48034"/>
    <n v="172922.4"/>
  </r>
  <r>
    <x v="0"/>
    <x v="2"/>
    <x v="2"/>
    <x v="9"/>
    <x v="19"/>
    <s v="SE3A"/>
    <x v="6"/>
    <x v="7"/>
    <s v="GNR_RES_WTR_NOPMP_MC-01"/>
    <x v="0"/>
    <x v="2"/>
    <n v="131.6"/>
    <n v="48034"/>
    <n v="172922.4"/>
  </r>
  <r>
    <x v="0"/>
    <x v="2"/>
    <x v="2"/>
    <x v="9"/>
    <x v="19"/>
    <s v="SE3A"/>
    <x v="6"/>
    <x v="7"/>
    <s v="GNR_RES_WTR_NOPMP_MC-01"/>
    <x v="0"/>
    <x v="3"/>
    <n v="131.6"/>
    <n v="48034"/>
    <n v="172922.4"/>
  </r>
  <r>
    <x v="0"/>
    <x v="2"/>
    <x v="2"/>
    <x v="9"/>
    <x v="19"/>
    <s v="SE3A"/>
    <x v="6"/>
    <x v="7"/>
    <s v="GNR_RES_WTR_NOPMP_MC-01"/>
    <x v="0"/>
    <x v="4"/>
    <n v="131.6"/>
    <n v="48034"/>
    <n v="172922.4"/>
  </r>
  <r>
    <x v="0"/>
    <x v="2"/>
    <x v="2"/>
    <x v="9"/>
    <x v="19"/>
    <s v="SE3A"/>
    <x v="6"/>
    <x v="7"/>
    <s v="GNR_RES_WTR_NOPMP_MC-01"/>
    <x v="0"/>
    <x v="5"/>
    <n v="131.6"/>
    <n v="48034"/>
    <n v="172922.4"/>
  </r>
  <r>
    <x v="0"/>
    <x v="2"/>
    <x v="2"/>
    <x v="9"/>
    <x v="19"/>
    <s v="SE3A"/>
    <x v="6"/>
    <x v="7"/>
    <s v="GNR_RES_WTR_NOPMP_MC-01"/>
    <x v="0"/>
    <x v="6"/>
    <n v="131.6"/>
    <n v="48034"/>
    <n v="172922.4"/>
  </r>
  <r>
    <x v="0"/>
    <x v="2"/>
    <x v="2"/>
    <x v="9"/>
    <x v="19"/>
    <s v="SE3A"/>
    <x v="6"/>
    <x v="7"/>
    <s v="GNR_RES_WTR_NOPMP_MC-01"/>
    <x v="0"/>
    <x v="7"/>
    <n v="131.6"/>
    <n v="48034"/>
    <n v="172922.4"/>
  </r>
  <r>
    <x v="0"/>
    <x v="2"/>
    <x v="2"/>
    <x v="9"/>
    <x v="19"/>
    <s v="SE3A"/>
    <x v="6"/>
    <x v="7"/>
    <s v="GNR_RES_WTR_NOPMP_MC-01"/>
    <x v="0"/>
    <x v="8"/>
    <n v="131.6"/>
    <n v="48034"/>
    <n v="172922.4"/>
  </r>
  <r>
    <x v="0"/>
    <x v="2"/>
    <x v="2"/>
    <x v="9"/>
    <x v="19"/>
    <s v="SE3A"/>
    <x v="6"/>
    <x v="7"/>
    <s v="GNR_RES_WTR_NOPMP_MC-01"/>
    <x v="0"/>
    <x v="9"/>
    <n v="131.6"/>
    <n v="48034"/>
    <n v="172922.4"/>
  </r>
  <r>
    <x v="0"/>
    <x v="2"/>
    <x v="2"/>
    <x v="9"/>
    <x v="19"/>
    <s v="SE3A"/>
    <x v="6"/>
    <x v="7"/>
    <s v="GNR_RES_WTR_NOPMP_MC-01"/>
    <x v="0"/>
    <x v="10"/>
    <n v="131.6"/>
    <n v="48034"/>
    <n v="172922.4"/>
  </r>
  <r>
    <x v="0"/>
    <x v="2"/>
    <x v="2"/>
    <x v="9"/>
    <x v="19"/>
    <s v="SE3A"/>
    <x v="6"/>
    <x v="7"/>
    <s v="GNR_RES_WTR_NOPMP_MC-01"/>
    <x v="0"/>
    <x v="14"/>
    <n v="131.6"/>
    <n v="48034"/>
    <n v="172922.4"/>
  </r>
  <r>
    <x v="0"/>
    <x v="2"/>
    <x v="2"/>
    <x v="9"/>
    <x v="19"/>
    <s v="SE3A"/>
    <x v="6"/>
    <x v="7"/>
    <s v="GNR_RES_WTR_NOPMP_MC-01"/>
    <x v="0"/>
    <x v="15"/>
    <n v="131.6"/>
    <n v="48034"/>
    <n v="172922.4"/>
  </r>
  <r>
    <x v="0"/>
    <x v="2"/>
    <x v="2"/>
    <x v="9"/>
    <x v="19"/>
    <s v="SE3A"/>
    <x v="6"/>
    <x v="7"/>
    <s v="GNR_RES_WTR_NOPMP_MC-01"/>
    <x v="0"/>
    <x v="16"/>
    <n v="131.6"/>
    <n v="48034"/>
    <n v="172922.4"/>
  </r>
  <r>
    <x v="0"/>
    <x v="2"/>
    <x v="2"/>
    <x v="9"/>
    <x v="19"/>
    <s v="SE3A"/>
    <x v="6"/>
    <x v="7"/>
    <s v="GNR_RES_WTR_NOPMP_MC-01"/>
    <x v="0"/>
    <x v="17"/>
    <n v="131.6"/>
    <n v="48034"/>
    <n v="172922.4"/>
  </r>
  <r>
    <x v="0"/>
    <x v="2"/>
    <x v="2"/>
    <x v="9"/>
    <x v="19"/>
    <s v="SE3A"/>
    <x v="6"/>
    <x v="7"/>
    <s v="GNR_RES_WTR_NOPMP_MC-01"/>
    <x v="0"/>
    <x v="19"/>
    <n v="131.6"/>
    <n v="48034"/>
    <n v="172922.4"/>
  </r>
  <r>
    <x v="0"/>
    <x v="2"/>
    <x v="2"/>
    <x v="9"/>
    <x v="19"/>
    <s v="SE3A"/>
    <x v="6"/>
    <x v="7"/>
    <s v="GNR_RES_WTR_NOPMP_MC-01"/>
    <x v="0"/>
    <x v="20"/>
    <n v="131.6"/>
    <n v="48034"/>
    <n v="172922.4"/>
  </r>
  <r>
    <x v="0"/>
    <x v="2"/>
    <x v="2"/>
    <x v="9"/>
    <x v="19"/>
    <s v="SE3A"/>
    <x v="6"/>
    <x v="7"/>
    <s v="GNR_RES_WTR_NOPMP_MC-01"/>
    <x v="0"/>
    <x v="21"/>
    <n v="131.6"/>
    <n v="48034"/>
    <n v="172922.4"/>
  </r>
  <r>
    <x v="0"/>
    <x v="2"/>
    <x v="2"/>
    <x v="9"/>
    <x v="19"/>
    <s v="SE3A"/>
    <x v="6"/>
    <x v="7"/>
    <s v="GNR_RES_WTR_NOPMP_MC-01"/>
    <x v="0"/>
    <x v="22"/>
    <n v="131.6"/>
    <n v="48034"/>
    <n v="172922.4"/>
  </r>
  <r>
    <x v="0"/>
    <x v="2"/>
    <x v="2"/>
    <x v="9"/>
    <x v="19"/>
    <s v="SE3A"/>
    <x v="6"/>
    <x v="7"/>
    <s v="GNR_RES_WTR_NOPMP_MC-01"/>
    <x v="0"/>
    <x v="23"/>
    <n v="131.6"/>
    <n v="48034"/>
    <n v="172922.4"/>
  </r>
  <r>
    <x v="0"/>
    <x v="2"/>
    <x v="2"/>
    <x v="9"/>
    <x v="19"/>
    <s v="SE3A"/>
    <x v="6"/>
    <x v="7"/>
    <s v="GNR_RES_WTR_NOPMP_MC-02"/>
    <x v="0"/>
    <x v="0"/>
    <n v="131.6"/>
    <n v="48034"/>
    <n v="172922.4"/>
  </r>
  <r>
    <x v="0"/>
    <x v="2"/>
    <x v="2"/>
    <x v="9"/>
    <x v="19"/>
    <s v="SE3A"/>
    <x v="6"/>
    <x v="7"/>
    <s v="GNR_RES_WTR_NOPMP_MC-02"/>
    <x v="0"/>
    <x v="1"/>
    <n v="131.6"/>
    <n v="48034"/>
    <n v="172922.4"/>
  </r>
  <r>
    <x v="0"/>
    <x v="2"/>
    <x v="2"/>
    <x v="9"/>
    <x v="19"/>
    <s v="SE3A"/>
    <x v="6"/>
    <x v="7"/>
    <s v="GNR_RES_WTR_NOPMP_MC-02"/>
    <x v="0"/>
    <x v="18"/>
    <n v="131.6"/>
    <n v="48034"/>
    <n v="172922.4"/>
  </r>
  <r>
    <x v="0"/>
    <x v="2"/>
    <x v="2"/>
    <x v="9"/>
    <x v="19"/>
    <s v="SE3A"/>
    <x v="6"/>
    <x v="7"/>
    <s v="GNR_RES_WTR_NOPMP_MC-02"/>
    <x v="0"/>
    <x v="2"/>
    <n v="131.6"/>
    <n v="48034"/>
    <n v="172922.4"/>
  </r>
  <r>
    <x v="0"/>
    <x v="2"/>
    <x v="2"/>
    <x v="9"/>
    <x v="19"/>
    <s v="SE3A"/>
    <x v="6"/>
    <x v="7"/>
    <s v="GNR_RES_WTR_NOPMP_MC-02"/>
    <x v="0"/>
    <x v="3"/>
    <n v="131.6"/>
    <n v="48034"/>
    <n v="172922.4"/>
  </r>
  <r>
    <x v="0"/>
    <x v="2"/>
    <x v="2"/>
    <x v="9"/>
    <x v="19"/>
    <s v="SE3A"/>
    <x v="6"/>
    <x v="7"/>
    <s v="GNR_RES_WTR_NOPMP_MC-02"/>
    <x v="0"/>
    <x v="4"/>
    <n v="131.6"/>
    <n v="48034"/>
    <n v="172922.4"/>
  </r>
  <r>
    <x v="0"/>
    <x v="2"/>
    <x v="2"/>
    <x v="9"/>
    <x v="19"/>
    <s v="SE3A"/>
    <x v="6"/>
    <x v="7"/>
    <s v="GNR_RES_WTR_NOPMP_MC-02"/>
    <x v="0"/>
    <x v="5"/>
    <n v="131.6"/>
    <n v="48034"/>
    <n v="172922.4"/>
  </r>
  <r>
    <x v="0"/>
    <x v="2"/>
    <x v="2"/>
    <x v="9"/>
    <x v="19"/>
    <s v="SE3A"/>
    <x v="6"/>
    <x v="7"/>
    <s v="GNR_RES_WTR_NOPMP_MC-02"/>
    <x v="0"/>
    <x v="6"/>
    <n v="131.6"/>
    <n v="48034"/>
    <n v="172922.4"/>
  </r>
  <r>
    <x v="0"/>
    <x v="2"/>
    <x v="2"/>
    <x v="9"/>
    <x v="19"/>
    <s v="SE3A"/>
    <x v="6"/>
    <x v="7"/>
    <s v="GNR_RES_WTR_NOPMP_MC-02"/>
    <x v="0"/>
    <x v="7"/>
    <n v="131.6"/>
    <n v="48034"/>
    <n v="172922.4"/>
  </r>
  <r>
    <x v="0"/>
    <x v="2"/>
    <x v="2"/>
    <x v="9"/>
    <x v="19"/>
    <s v="SE3A"/>
    <x v="6"/>
    <x v="7"/>
    <s v="GNR_RES_WTR_NOPMP_MC-02"/>
    <x v="0"/>
    <x v="8"/>
    <n v="131.6"/>
    <n v="48034"/>
    <n v="172922.4"/>
  </r>
  <r>
    <x v="0"/>
    <x v="2"/>
    <x v="2"/>
    <x v="9"/>
    <x v="19"/>
    <s v="SE3A"/>
    <x v="6"/>
    <x v="7"/>
    <s v="GNR_RES_WTR_NOPMP_MC-02"/>
    <x v="0"/>
    <x v="9"/>
    <n v="131.6"/>
    <n v="48034"/>
    <n v="172922.4"/>
  </r>
  <r>
    <x v="0"/>
    <x v="2"/>
    <x v="2"/>
    <x v="9"/>
    <x v="19"/>
    <s v="SE3A"/>
    <x v="6"/>
    <x v="7"/>
    <s v="GNR_RES_WTR_NOPMP_MC-02"/>
    <x v="0"/>
    <x v="14"/>
    <n v="131.6"/>
    <n v="48034"/>
    <n v="172922.4"/>
  </r>
  <r>
    <x v="0"/>
    <x v="2"/>
    <x v="2"/>
    <x v="9"/>
    <x v="19"/>
    <s v="SE3A"/>
    <x v="6"/>
    <x v="7"/>
    <s v="GNR_RES_WTR_NOPMP_MC-02"/>
    <x v="0"/>
    <x v="15"/>
    <n v="131.6"/>
    <n v="48034"/>
    <n v="172922.4"/>
  </r>
  <r>
    <x v="0"/>
    <x v="2"/>
    <x v="2"/>
    <x v="9"/>
    <x v="19"/>
    <s v="SE3A"/>
    <x v="6"/>
    <x v="7"/>
    <s v="GNR_RES_WTR_NOPMP_MC-02"/>
    <x v="0"/>
    <x v="16"/>
    <n v="131.6"/>
    <n v="48034"/>
    <n v="172922.4"/>
  </r>
  <r>
    <x v="0"/>
    <x v="2"/>
    <x v="2"/>
    <x v="9"/>
    <x v="19"/>
    <s v="SE3A"/>
    <x v="6"/>
    <x v="7"/>
    <s v="GNR_RES_WTR_NOPMP_MC-02"/>
    <x v="0"/>
    <x v="17"/>
    <n v="131.6"/>
    <n v="48034"/>
    <n v="172922.4"/>
  </r>
  <r>
    <x v="0"/>
    <x v="2"/>
    <x v="2"/>
    <x v="9"/>
    <x v="19"/>
    <s v="SE3A"/>
    <x v="6"/>
    <x v="7"/>
    <s v="GNR_RES_WTR_NOPMP_MC-02"/>
    <x v="0"/>
    <x v="19"/>
    <n v="131.6"/>
    <n v="48034"/>
    <n v="172922.4"/>
  </r>
  <r>
    <x v="0"/>
    <x v="2"/>
    <x v="2"/>
    <x v="9"/>
    <x v="19"/>
    <s v="SE3A"/>
    <x v="6"/>
    <x v="7"/>
    <s v="GNR_RES_WTR_NOPMP_MC-02"/>
    <x v="0"/>
    <x v="20"/>
    <n v="131.6"/>
    <n v="48034"/>
    <n v="172922.4"/>
  </r>
  <r>
    <x v="0"/>
    <x v="2"/>
    <x v="2"/>
    <x v="9"/>
    <x v="19"/>
    <s v="SE3A"/>
    <x v="6"/>
    <x v="7"/>
    <s v="GNR_RES_WTR_NOPMP_MC-02"/>
    <x v="0"/>
    <x v="21"/>
    <n v="131.6"/>
    <n v="48034"/>
    <n v="172922.4"/>
  </r>
  <r>
    <x v="0"/>
    <x v="2"/>
    <x v="2"/>
    <x v="9"/>
    <x v="19"/>
    <s v="SE3A"/>
    <x v="6"/>
    <x v="7"/>
    <s v="GNR_RES_WTR_NOPMP_MC-02"/>
    <x v="0"/>
    <x v="22"/>
    <n v="131.6"/>
    <n v="48034"/>
    <n v="172922.4"/>
  </r>
  <r>
    <x v="0"/>
    <x v="2"/>
    <x v="2"/>
    <x v="9"/>
    <x v="19"/>
    <s v="SE3A"/>
    <x v="6"/>
    <x v="7"/>
    <s v="GNR_RES_WTR_NOPMP_MC-03"/>
    <x v="0"/>
    <x v="0"/>
    <n v="131.6"/>
    <n v="48034"/>
    <n v="172922.4"/>
  </r>
  <r>
    <x v="0"/>
    <x v="2"/>
    <x v="2"/>
    <x v="9"/>
    <x v="19"/>
    <s v="SE3A"/>
    <x v="6"/>
    <x v="7"/>
    <s v="GNR_RES_WTR_NOPMP_MC-03"/>
    <x v="0"/>
    <x v="1"/>
    <n v="131.6"/>
    <n v="48034"/>
    <n v="172922.4"/>
  </r>
  <r>
    <x v="0"/>
    <x v="2"/>
    <x v="2"/>
    <x v="9"/>
    <x v="19"/>
    <s v="SE3A"/>
    <x v="6"/>
    <x v="7"/>
    <s v="GNR_RES_WTR_NOPMP_MC-03"/>
    <x v="0"/>
    <x v="18"/>
    <n v="131.6"/>
    <n v="48034"/>
    <n v="172922.4"/>
  </r>
  <r>
    <x v="0"/>
    <x v="2"/>
    <x v="2"/>
    <x v="9"/>
    <x v="19"/>
    <s v="SE3A"/>
    <x v="6"/>
    <x v="7"/>
    <s v="GNR_RES_WTR_NOPMP_MC-03"/>
    <x v="0"/>
    <x v="2"/>
    <n v="131.6"/>
    <n v="48034"/>
    <n v="172922.4"/>
  </r>
  <r>
    <x v="0"/>
    <x v="2"/>
    <x v="2"/>
    <x v="9"/>
    <x v="19"/>
    <s v="SE3A"/>
    <x v="6"/>
    <x v="7"/>
    <s v="GNR_RES_WTR_NOPMP_MC-03"/>
    <x v="0"/>
    <x v="3"/>
    <n v="131.6"/>
    <n v="48034"/>
    <n v="172922.4"/>
  </r>
  <r>
    <x v="0"/>
    <x v="2"/>
    <x v="2"/>
    <x v="9"/>
    <x v="19"/>
    <s v="SE3A"/>
    <x v="6"/>
    <x v="7"/>
    <s v="GNR_RES_WTR_NOPMP_MC-03"/>
    <x v="0"/>
    <x v="4"/>
    <n v="131.6"/>
    <n v="48034"/>
    <n v="172922.4"/>
  </r>
  <r>
    <x v="0"/>
    <x v="2"/>
    <x v="2"/>
    <x v="9"/>
    <x v="19"/>
    <s v="SE3A"/>
    <x v="6"/>
    <x v="7"/>
    <s v="GNR_RES_WTR_NOPMP_MC-03"/>
    <x v="0"/>
    <x v="5"/>
    <n v="131.6"/>
    <n v="48034"/>
    <n v="172922.4"/>
  </r>
  <r>
    <x v="0"/>
    <x v="2"/>
    <x v="2"/>
    <x v="9"/>
    <x v="19"/>
    <s v="SE3A"/>
    <x v="6"/>
    <x v="7"/>
    <s v="GNR_RES_WTR_NOPMP_MC-03"/>
    <x v="0"/>
    <x v="6"/>
    <n v="131.6"/>
    <n v="48034"/>
    <n v="172922.4"/>
  </r>
  <r>
    <x v="0"/>
    <x v="2"/>
    <x v="2"/>
    <x v="9"/>
    <x v="19"/>
    <s v="SE3A"/>
    <x v="6"/>
    <x v="7"/>
    <s v="GNR_RES_WTR_NOPMP_MC-03"/>
    <x v="0"/>
    <x v="7"/>
    <n v="131.6"/>
    <n v="48034"/>
    <n v="172922.4"/>
  </r>
  <r>
    <x v="0"/>
    <x v="2"/>
    <x v="2"/>
    <x v="9"/>
    <x v="19"/>
    <s v="SE3A"/>
    <x v="6"/>
    <x v="7"/>
    <s v="GNR_RES_WTR_NOPMP_MC-03"/>
    <x v="0"/>
    <x v="8"/>
    <n v="131.6"/>
    <n v="48034"/>
    <n v="172922.4"/>
  </r>
  <r>
    <x v="0"/>
    <x v="2"/>
    <x v="2"/>
    <x v="9"/>
    <x v="19"/>
    <s v="SE3A"/>
    <x v="6"/>
    <x v="7"/>
    <s v="GNR_RES_WTR_NOPMP_MC-03"/>
    <x v="0"/>
    <x v="9"/>
    <n v="131.6"/>
    <n v="48034"/>
    <n v="172922.4"/>
  </r>
  <r>
    <x v="0"/>
    <x v="2"/>
    <x v="2"/>
    <x v="9"/>
    <x v="19"/>
    <s v="SE3A"/>
    <x v="6"/>
    <x v="7"/>
    <s v="GNR_RES_WTR_NOPMP_MC-03"/>
    <x v="0"/>
    <x v="15"/>
    <n v="131.6"/>
    <n v="48034"/>
    <n v="172922.4"/>
  </r>
  <r>
    <x v="0"/>
    <x v="2"/>
    <x v="2"/>
    <x v="9"/>
    <x v="19"/>
    <s v="SE3A"/>
    <x v="6"/>
    <x v="7"/>
    <s v="GNR_RES_WTR_NOPMP_MC-03"/>
    <x v="0"/>
    <x v="16"/>
    <n v="131.6"/>
    <n v="48034"/>
    <n v="172922.4"/>
  </r>
  <r>
    <x v="0"/>
    <x v="2"/>
    <x v="2"/>
    <x v="9"/>
    <x v="19"/>
    <s v="SE3A"/>
    <x v="6"/>
    <x v="7"/>
    <s v="GNR_RES_WTR_NOPMP_MC-03"/>
    <x v="0"/>
    <x v="17"/>
    <n v="131.6"/>
    <n v="48034"/>
    <n v="172922.4"/>
  </r>
  <r>
    <x v="0"/>
    <x v="2"/>
    <x v="2"/>
    <x v="9"/>
    <x v="19"/>
    <s v="SE3A"/>
    <x v="6"/>
    <x v="7"/>
    <s v="GNR_RES_WTR_NOPMP_MC-03"/>
    <x v="0"/>
    <x v="19"/>
    <n v="131.6"/>
    <n v="48034"/>
    <n v="172922.4"/>
  </r>
  <r>
    <x v="0"/>
    <x v="2"/>
    <x v="2"/>
    <x v="9"/>
    <x v="19"/>
    <s v="SE3A"/>
    <x v="6"/>
    <x v="7"/>
    <s v="GNR_RES_WTR_NOPMP_MC-03"/>
    <x v="0"/>
    <x v="20"/>
    <n v="131.6"/>
    <n v="48034"/>
    <n v="172922.4"/>
  </r>
  <r>
    <x v="0"/>
    <x v="2"/>
    <x v="2"/>
    <x v="9"/>
    <x v="19"/>
    <s v="SE3A"/>
    <x v="6"/>
    <x v="7"/>
    <s v="GNR_RES_WTR_NOPMP_MC-04"/>
    <x v="0"/>
    <x v="0"/>
    <n v="131.6"/>
    <n v="48034"/>
    <n v="172922.4"/>
  </r>
  <r>
    <x v="0"/>
    <x v="2"/>
    <x v="2"/>
    <x v="9"/>
    <x v="19"/>
    <s v="SE3A"/>
    <x v="6"/>
    <x v="7"/>
    <s v="GNR_RES_WTR_NOPMP_MC-04"/>
    <x v="0"/>
    <x v="1"/>
    <n v="131.6"/>
    <n v="48034"/>
    <n v="172922.4"/>
  </r>
  <r>
    <x v="0"/>
    <x v="2"/>
    <x v="2"/>
    <x v="9"/>
    <x v="19"/>
    <s v="SE3A"/>
    <x v="6"/>
    <x v="7"/>
    <s v="GNR_RES_WTR_NOPMP_MC-04"/>
    <x v="0"/>
    <x v="18"/>
    <n v="131.6"/>
    <n v="48034"/>
    <n v="172922.4"/>
  </r>
  <r>
    <x v="0"/>
    <x v="2"/>
    <x v="2"/>
    <x v="9"/>
    <x v="19"/>
    <s v="SE3A"/>
    <x v="6"/>
    <x v="7"/>
    <s v="GNR_RES_WTR_NOPMP_MC-04"/>
    <x v="0"/>
    <x v="2"/>
    <n v="131.6"/>
    <n v="48034"/>
    <n v="172922.4"/>
  </r>
  <r>
    <x v="0"/>
    <x v="2"/>
    <x v="2"/>
    <x v="9"/>
    <x v="19"/>
    <s v="SE3A"/>
    <x v="6"/>
    <x v="7"/>
    <s v="GNR_RES_WTR_NOPMP_MC-04"/>
    <x v="0"/>
    <x v="3"/>
    <n v="131.6"/>
    <n v="48034"/>
    <n v="172922.4"/>
  </r>
  <r>
    <x v="0"/>
    <x v="2"/>
    <x v="2"/>
    <x v="9"/>
    <x v="19"/>
    <s v="SE3A"/>
    <x v="6"/>
    <x v="7"/>
    <s v="GNR_RES_WTR_NOPMP_MC-04"/>
    <x v="0"/>
    <x v="4"/>
    <n v="131.6"/>
    <n v="48034"/>
    <n v="172922.4"/>
  </r>
  <r>
    <x v="0"/>
    <x v="2"/>
    <x v="2"/>
    <x v="9"/>
    <x v="19"/>
    <s v="SE3A"/>
    <x v="6"/>
    <x v="7"/>
    <s v="GNR_RES_WTR_NOPMP_MC-04"/>
    <x v="0"/>
    <x v="5"/>
    <n v="131.6"/>
    <n v="48034"/>
    <n v="172922.4"/>
  </r>
  <r>
    <x v="0"/>
    <x v="2"/>
    <x v="2"/>
    <x v="9"/>
    <x v="19"/>
    <s v="SE3A"/>
    <x v="6"/>
    <x v="7"/>
    <s v="GNR_RES_WTR_NOPMP_MC-04"/>
    <x v="0"/>
    <x v="6"/>
    <n v="131.6"/>
    <n v="48034"/>
    <n v="172922.4"/>
  </r>
  <r>
    <x v="0"/>
    <x v="2"/>
    <x v="2"/>
    <x v="9"/>
    <x v="19"/>
    <s v="SE3A"/>
    <x v="6"/>
    <x v="7"/>
    <s v="GNR_RES_WTR_NOPMP_MC-04"/>
    <x v="0"/>
    <x v="7"/>
    <n v="131.6"/>
    <n v="48034"/>
    <n v="172922.4"/>
  </r>
  <r>
    <x v="0"/>
    <x v="2"/>
    <x v="2"/>
    <x v="9"/>
    <x v="19"/>
    <s v="SE3A"/>
    <x v="6"/>
    <x v="7"/>
    <s v="GNR_RES_WTR_NOPMP_MC-04"/>
    <x v="0"/>
    <x v="8"/>
    <n v="131.6"/>
    <n v="48034"/>
    <n v="172922.4"/>
  </r>
  <r>
    <x v="0"/>
    <x v="2"/>
    <x v="2"/>
    <x v="9"/>
    <x v="19"/>
    <s v="SE3A"/>
    <x v="6"/>
    <x v="7"/>
    <s v="GNR_RES_WTR_NOPMP_MC-04"/>
    <x v="0"/>
    <x v="15"/>
    <n v="131.6"/>
    <n v="48034"/>
    <n v="172922.4"/>
  </r>
  <r>
    <x v="0"/>
    <x v="2"/>
    <x v="2"/>
    <x v="9"/>
    <x v="19"/>
    <s v="SE3A"/>
    <x v="6"/>
    <x v="7"/>
    <s v="GNR_RES_WTR_NOPMP_MC-04"/>
    <x v="0"/>
    <x v="16"/>
    <n v="131.6"/>
    <n v="48034"/>
    <n v="172922.4"/>
  </r>
  <r>
    <x v="0"/>
    <x v="2"/>
    <x v="2"/>
    <x v="9"/>
    <x v="19"/>
    <s v="SE3A"/>
    <x v="6"/>
    <x v="7"/>
    <s v="GNR_RES_WTR_NOPMP_MC-04"/>
    <x v="0"/>
    <x v="17"/>
    <n v="131.6"/>
    <n v="48034"/>
    <n v="172922.4"/>
  </r>
  <r>
    <x v="0"/>
    <x v="2"/>
    <x v="2"/>
    <x v="9"/>
    <x v="19"/>
    <s v="SE3A"/>
    <x v="6"/>
    <x v="7"/>
    <s v="GNR_RES_WTR_NOPMP_MC-05"/>
    <x v="0"/>
    <x v="0"/>
    <n v="131.6"/>
    <n v="48034"/>
    <n v="172922.4"/>
  </r>
  <r>
    <x v="0"/>
    <x v="2"/>
    <x v="2"/>
    <x v="9"/>
    <x v="19"/>
    <s v="SE3A"/>
    <x v="6"/>
    <x v="7"/>
    <s v="GNR_RES_WTR_NOPMP_MC-05"/>
    <x v="0"/>
    <x v="18"/>
    <n v="104.92260338199399"/>
    <n v="38296.750234427898"/>
    <n v="137868.30084394"/>
  </r>
  <r>
    <x v="0"/>
    <x v="2"/>
    <x v="2"/>
    <x v="9"/>
    <x v="19"/>
    <s v="SE3A"/>
    <x v="6"/>
    <x v="7"/>
    <s v="GNR_RES_WTR_NOPMP_MC-05"/>
    <x v="0"/>
    <x v="2"/>
    <n v="131.6"/>
    <n v="48034"/>
    <n v="172922.4"/>
  </r>
  <r>
    <x v="0"/>
    <x v="2"/>
    <x v="2"/>
    <x v="9"/>
    <x v="19"/>
    <s v="SE3A"/>
    <x v="6"/>
    <x v="7"/>
    <s v="GNR_RES_WTR_NOPMP_MC-05"/>
    <x v="0"/>
    <x v="3"/>
    <n v="131.6"/>
    <n v="48034"/>
    <n v="172922.4"/>
  </r>
  <r>
    <x v="0"/>
    <x v="2"/>
    <x v="2"/>
    <x v="9"/>
    <x v="19"/>
    <s v="SE3A"/>
    <x v="6"/>
    <x v="7"/>
    <s v="GNR_RES_WTR_NOPMP_MC-05"/>
    <x v="0"/>
    <x v="4"/>
    <n v="131.6"/>
    <n v="48034"/>
    <n v="172922.4"/>
  </r>
  <r>
    <x v="0"/>
    <x v="2"/>
    <x v="2"/>
    <x v="9"/>
    <x v="19"/>
    <s v="SE3A"/>
    <x v="6"/>
    <x v="7"/>
    <s v="GNR_RES_WTR_NOPMP_MC-05"/>
    <x v="0"/>
    <x v="5"/>
    <n v="131.6"/>
    <n v="48034"/>
    <n v="172922.4"/>
  </r>
  <r>
    <x v="0"/>
    <x v="2"/>
    <x v="2"/>
    <x v="9"/>
    <x v="19"/>
    <s v="SE3A"/>
    <x v="6"/>
    <x v="7"/>
    <s v="GNR_RES_WTR_NOPMP_MC-05"/>
    <x v="0"/>
    <x v="6"/>
    <n v="131.6"/>
    <n v="48034"/>
    <n v="172922.4"/>
  </r>
  <r>
    <x v="0"/>
    <x v="2"/>
    <x v="2"/>
    <x v="9"/>
    <x v="19"/>
    <s v="SE3A"/>
    <x v="6"/>
    <x v="7"/>
    <s v="GNR_RES_WTR_NOPMP_MC-05"/>
    <x v="0"/>
    <x v="7"/>
    <n v="131.6"/>
    <n v="48034"/>
    <n v="172922.4"/>
  </r>
  <r>
    <x v="0"/>
    <x v="2"/>
    <x v="2"/>
    <x v="9"/>
    <x v="19"/>
    <s v="SE3A"/>
    <x v="6"/>
    <x v="7"/>
    <s v="GNR_RES_WTR_NOPMP_MC-05"/>
    <x v="0"/>
    <x v="8"/>
    <n v="131.6"/>
    <n v="48034"/>
    <n v="172922.4"/>
  </r>
  <r>
    <x v="0"/>
    <x v="2"/>
    <x v="2"/>
    <x v="9"/>
    <x v="19"/>
    <s v="SE3A"/>
    <x v="6"/>
    <x v="7"/>
    <s v="GNR_RES_WTR_NOPMP_MC-05"/>
    <x v="0"/>
    <x v="15"/>
    <n v="131.6"/>
    <n v="48034"/>
    <n v="172922.4"/>
  </r>
  <r>
    <x v="0"/>
    <x v="2"/>
    <x v="2"/>
    <x v="9"/>
    <x v="19"/>
    <s v="SE3A"/>
    <x v="6"/>
    <x v="7"/>
    <s v="GNR_RES_WTR_NOPMP_MC-05"/>
    <x v="0"/>
    <x v="16"/>
    <n v="131.6"/>
    <n v="48034"/>
    <n v="172922.4"/>
  </r>
  <r>
    <x v="0"/>
    <x v="2"/>
    <x v="2"/>
    <x v="9"/>
    <x v="19"/>
    <s v="SE3A"/>
    <x v="6"/>
    <x v="7"/>
    <s v="GNR_RES_WTR_NOPMP_MC-05"/>
    <x v="0"/>
    <x v="17"/>
    <n v="131.6"/>
    <n v="48034"/>
    <n v="172922.4"/>
  </r>
  <r>
    <x v="0"/>
    <x v="2"/>
    <x v="2"/>
    <x v="9"/>
    <x v="19"/>
    <s v="SE3A"/>
    <x v="6"/>
    <x v="7"/>
    <s v="GNR_RES_WTR_NOPMP_MC-06"/>
    <x v="0"/>
    <x v="0"/>
    <n v="21.3068511101193"/>
    <n v="7777.0006551935603"/>
    <n v="27997.202358696799"/>
  </r>
  <r>
    <x v="0"/>
    <x v="2"/>
    <x v="2"/>
    <x v="9"/>
    <x v="19"/>
    <s v="SE3A"/>
    <x v="6"/>
    <x v="7"/>
    <s v="GNR_RES_WTR_NOPMP_MC-06"/>
    <x v="0"/>
    <x v="4"/>
    <n v="131.6"/>
    <n v="48034"/>
    <n v="172922.4"/>
  </r>
  <r>
    <x v="0"/>
    <x v="2"/>
    <x v="2"/>
    <x v="9"/>
    <x v="19"/>
    <s v="SE3A"/>
    <x v="6"/>
    <x v="7"/>
    <s v="GNR_RES_WTR_NOPMP_MC-06"/>
    <x v="0"/>
    <x v="5"/>
    <n v="131.6"/>
    <n v="48034"/>
    <n v="172922.4"/>
  </r>
  <r>
    <x v="0"/>
    <x v="2"/>
    <x v="2"/>
    <x v="9"/>
    <x v="19"/>
    <s v="SE3A"/>
    <x v="6"/>
    <x v="7"/>
    <s v="GNR_RES_WTR_NOPMP_MC-06"/>
    <x v="0"/>
    <x v="6"/>
    <n v="131.6"/>
    <n v="48034"/>
    <n v="172922.4"/>
  </r>
  <r>
    <x v="0"/>
    <x v="2"/>
    <x v="2"/>
    <x v="9"/>
    <x v="19"/>
    <s v="SE3A"/>
    <x v="6"/>
    <x v="7"/>
    <s v="GNR_RES_WTR_NOPMP_MC-06"/>
    <x v="0"/>
    <x v="7"/>
    <n v="131.6"/>
    <n v="48034"/>
    <n v="172922.4"/>
  </r>
  <r>
    <x v="0"/>
    <x v="2"/>
    <x v="2"/>
    <x v="9"/>
    <x v="19"/>
    <s v="SE3A"/>
    <x v="6"/>
    <x v="7"/>
    <s v="GNR_RES_WTR_NOPMP_MC-06"/>
    <x v="0"/>
    <x v="8"/>
    <n v="131.6"/>
    <n v="48034"/>
    <n v="172922.4"/>
  </r>
  <r>
    <x v="0"/>
    <x v="2"/>
    <x v="2"/>
    <x v="9"/>
    <x v="19"/>
    <s v="SE3A"/>
    <x v="6"/>
    <x v="7"/>
    <s v="GNR_RES_WTR_NOPMP_MC-06"/>
    <x v="0"/>
    <x v="15"/>
    <n v="131.6"/>
    <n v="48034"/>
    <n v="172922.4"/>
  </r>
  <r>
    <x v="0"/>
    <x v="2"/>
    <x v="2"/>
    <x v="9"/>
    <x v="19"/>
    <s v="SE3A"/>
    <x v="6"/>
    <x v="7"/>
    <s v="GNR_RES_WTR_NOPMP_MC-06"/>
    <x v="0"/>
    <x v="16"/>
    <n v="131.6"/>
    <n v="48034"/>
    <n v="172922.4"/>
  </r>
  <r>
    <x v="0"/>
    <x v="2"/>
    <x v="2"/>
    <x v="9"/>
    <x v="19"/>
    <s v="SE3A"/>
    <x v="6"/>
    <x v="7"/>
    <s v="GNR_RES_WTR_NOPMP_MC-06"/>
    <x v="0"/>
    <x v="17"/>
    <n v="131.6"/>
    <n v="48034"/>
    <n v="172922.4"/>
  </r>
  <r>
    <x v="0"/>
    <x v="2"/>
    <x v="2"/>
    <x v="9"/>
    <x v="19"/>
    <s v="SE3A"/>
    <x v="6"/>
    <x v="7"/>
    <s v="GNR_RES_WTR_NOPMP_MC-07"/>
    <x v="0"/>
    <x v="5"/>
    <n v="131.6"/>
    <n v="48034"/>
    <n v="172922.4"/>
  </r>
  <r>
    <x v="0"/>
    <x v="2"/>
    <x v="2"/>
    <x v="9"/>
    <x v="19"/>
    <s v="SE3A"/>
    <x v="6"/>
    <x v="7"/>
    <s v="GNR_RES_WTR_NOPMP_MC-07"/>
    <x v="0"/>
    <x v="6"/>
    <n v="131.6"/>
    <n v="48034"/>
    <n v="172922.4"/>
  </r>
  <r>
    <x v="0"/>
    <x v="2"/>
    <x v="2"/>
    <x v="9"/>
    <x v="19"/>
    <s v="SE3A"/>
    <x v="6"/>
    <x v="7"/>
    <s v="GNR_RES_WTR_NOPMP_MC-07"/>
    <x v="0"/>
    <x v="7"/>
    <n v="131.6"/>
    <n v="48034"/>
    <n v="172922.4"/>
  </r>
  <r>
    <x v="0"/>
    <x v="2"/>
    <x v="2"/>
    <x v="9"/>
    <x v="19"/>
    <s v="SE3A"/>
    <x v="6"/>
    <x v="7"/>
    <s v="GNR_RES_WTR_NOPMP_MC-07"/>
    <x v="0"/>
    <x v="8"/>
    <n v="131.6"/>
    <n v="48034"/>
    <n v="172922.4"/>
  </r>
  <r>
    <x v="0"/>
    <x v="2"/>
    <x v="2"/>
    <x v="9"/>
    <x v="19"/>
    <s v="SE3A"/>
    <x v="6"/>
    <x v="7"/>
    <s v="GNR_RES_WTR_NOPMP_MC-07"/>
    <x v="0"/>
    <x v="15"/>
    <n v="131.6"/>
    <n v="48034"/>
    <n v="172922.4"/>
  </r>
  <r>
    <x v="0"/>
    <x v="2"/>
    <x v="2"/>
    <x v="9"/>
    <x v="19"/>
    <s v="SE3A"/>
    <x v="6"/>
    <x v="7"/>
    <s v="GNR_RES_WTR_NOPMP_MC-07"/>
    <x v="0"/>
    <x v="16"/>
    <n v="131.6"/>
    <n v="48034"/>
    <n v="172922.4"/>
  </r>
  <r>
    <x v="0"/>
    <x v="2"/>
    <x v="2"/>
    <x v="9"/>
    <x v="19"/>
    <s v="SE3A"/>
    <x v="6"/>
    <x v="7"/>
    <s v="GNR_RES_WTR_NOPMP_MC-07"/>
    <x v="0"/>
    <x v="17"/>
    <n v="131.6"/>
    <n v="48034"/>
    <n v="172922.4"/>
  </r>
  <r>
    <x v="0"/>
    <x v="2"/>
    <x v="2"/>
    <x v="9"/>
    <x v="19"/>
    <s v="SE3A"/>
    <x v="6"/>
    <x v="7"/>
    <s v="GNR_RES_WTR_NOPMP_MC-08"/>
    <x v="0"/>
    <x v="5"/>
    <n v="131.6"/>
    <n v="48034"/>
    <n v="172922.4"/>
  </r>
  <r>
    <x v="0"/>
    <x v="2"/>
    <x v="2"/>
    <x v="9"/>
    <x v="19"/>
    <s v="SE3A"/>
    <x v="6"/>
    <x v="7"/>
    <s v="GNR_RES_WTR_NOPMP_MC-08"/>
    <x v="0"/>
    <x v="6"/>
    <n v="131.6"/>
    <n v="48034"/>
    <n v="172922.4"/>
  </r>
  <r>
    <x v="0"/>
    <x v="2"/>
    <x v="2"/>
    <x v="9"/>
    <x v="19"/>
    <s v="SE3A"/>
    <x v="6"/>
    <x v="7"/>
    <s v="GNR_RES_WTR_NOPMP_MC-08"/>
    <x v="0"/>
    <x v="7"/>
    <n v="131.6"/>
    <n v="48034"/>
    <n v="172922.4"/>
  </r>
  <r>
    <x v="0"/>
    <x v="2"/>
    <x v="2"/>
    <x v="9"/>
    <x v="19"/>
    <s v="SE3A"/>
    <x v="6"/>
    <x v="7"/>
    <s v="GNR_RES_WTR_NOPMP_MC-08"/>
    <x v="0"/>
    <x v="8"/>
    <n v="131.6"/>
    <n v="48034"/>
    <n v="172922.4"/>
  </r>
  <r>
    <x v="0"/>
    <x v="2"/>
    <x v="2"/>
    <x v="9"/>
    <x v="19"/>
    <s v="SE3A"/>
    <x v="6"/>
    <x v="7"/>
    <s v="GNR_RES_WTR_NOPMP_MC-08"/>
    <x v="0"/>
    <x v="15"/>
    <n v="131.6"/>
    <n v="48034"/>
    <n v="172922.4"/>
  </r>
  <r>
    <x v="0"/>
    <x v="2"/>
    <x v="2"/>
    <x v="9"/>
    <x v="19"/>
    <s v="SE3A"/>
    <x v="6"/>
    <x v="7"/>
    <s v="GNR_RES_WTR_NOPMP_MC-08"/>
    <x v="0"/>
    <x v="16"/>
    <n v="131.6"/>
    <n v="48034"/>
    <n v="172922.4"/>
  </r>
  <r>
    <x v="0"/>
    <x v="2"/>
    <x v="2"/>
    <x v="9"/>
    <x v="19"/>
    <s v="SE3A"/>
    <x v="6"/>
    <x v="7"/>
    <s v="GNR_RES_WTR_NOPMP_MC-09"/>
    <x v="0"/>
    <x v="5"/>
    <n v="131.6"/>
    <n v="48034"/>
    <n v="172922.4"/>
  </r>
  <r>
    <x v="0"/>
    <x v="2"/>
    <x v="2"/>
    <x v="9"/>
    <x v="19"/>
    <s v="SE3A"/>
    <x v="6"/>
    <x v="7"/>
    <s v="GNR_RES_WTR_NOPMP_MC-09"/>
    <x v="0"/>
    <x v="6"/>
    <n v="131.6"/>
    <n v="48034"/>
    <n v="172922.4"/>
  </r>
  <r>
    <x v="0"/>
    <x v="2"/>
    <x v="2"/>
    <x v="9"/>
    <x v="19"/>
    <s v="SE3A"/>
    <x v="6"/>
    <x v="7"/>
    <s v="GNR_RES_WTR_NOPMP_MC-09"/>
    <x v="0"/>
    <x v="7"/>
    <n v="131.6"/>
    <n v="48034"/>
    <n v="172922.4"/>
  </r>
  <r>
    <x v="0"/>
    <x v="2"/>
    <x v="2"/>
    <x v="9"/>
    <x v="19"/>
    <s v="SE3A"/>
    <x v="6"/>
    <x v="7"/>
    <s v="GNR_RES_WTR_NOPMP_MC-09"/>
    <x v="0"/>
    <x v="8"/>
    <n v="100.94225713993499"/>
    <n v="36843.9238560761"/>
    <n v="132638.125881874"/>
  </r>
  <r>
    <x v="0"/>
    <x v="2"/>
    <x v="2"/>
    <x v="9"/>
    <x v="19"/>
    <s v="SE3A"/>
    <x v="6"/>
    <x v="7"/>
    <s v="GNR_RES_WTR_NOPMP_MC-09"/>
    <x v="0"/>
    <x v="15"/>
    <n v="131.6"/>
    <n v="48034"/>
    <n v="172922.4"/>
  </r>
  <r>
    <x v="0"/>
    <x v="2"/>
    <x v="2"/>
    <x v="9"/>
    <x v="19"/>
    <s v="SE3A"/>
    <x v="6"/>
    <x v="7"/>
    <s v="GNR_RES_WTR_NOPMP_MC-09"/>
    <x v="0"/>
    <x v="16"/>
    <n v="131.6"/>
    <n v="48034"/>
    <n v="172922.4"/>
  </r>
  <r>
    <x v="0"/>
    <x v="2"/>
    <x v="2"/>
    <x v="9"/>
    <x v="19"/>
    <s v="SE3A"/>
    <x v="6"/>
    <x v="7"/>
    <s v="GNR_RES_WTR_NOPMP_MC-10"/>
    <x v="0"/>
    <x v="6"/>
    <n v="131.6"/>
    <n v="48034"/>
    <n v="172922.4"/>
  </r>
  <r>
    <x v="0"/>
    <x v="2"/>
    <x v="2"/>
    <x v="9"/>
    <x v="19"/>
    <s v="SE3A"/>
    <x v="6"/>
    <x v="7"/>
    <s v="GNR_RES_WTR_NOPMP_MC-10"/>
    <x v="0"/>
    <x v="7"/>
    <n v="131.6"/>
    <n v="48034"/>
    <n v="172922.4"/>
  </r>
  <r>
    <x v="0"/>
    <x v="2"/>
    <x v="2"/>
    <x v="9"/>
    <x v="19"/>
    <s v="SE3A"/>
    <x v="6"/>
    <x v="7"/>
    <s v="GNR_RES_WTR_NOPMP_MC-10"/>
    <x v="0"/>
    <x v="15"/>
    <n v="131.6"/>
    <n v="48034"/>
    <n v="172922.4"/>
  </r>
  <r>
    <x v="0"/>
    <x v="2"/>
    <x v="2"/>
    <x v="9"/>
    <x v="19"/>
    <s v="SE3A"/>
    <x v="6"/>
    <x v="7"/>
    <s v="GNR_RES_WTR_NOPMP_MC-10"/>
    <x v="0"/>
    <x v="16"/>
    <n v="131.6"/>
    <n v="48034"/>
    <n v="172922.4"/>
  </r>
  <r>
    <x v="0"/>
    <x v="2"/>
    <x v="2"/>
    <x v="9"/>
    <x v="19"/>
    <s v="SE3A"/>
    <x v="6"/>
    <x v="4"/>
    <s v="GNR_ROR_WTR"/>
    <x v="0"/>
    <x v="0"/>
    <n v="622.98981183138505"/>
    <n v="227391.281318455"/>
    <n v="818608.61274643999"/>
  </r>
  <r>
    <x v="0"/>
    <x v="2"/>
    <x v="2"/>
    <x v="9"/>
    <x v="19"/>
    <s v="SE3A"/>
    <x v="6"/>
    <x v="4"/>
    <s v="GNR_ROR_WTR"/>
    <x v="0"/>
    <x v="1"/>
    <n v="622.98981183138505"/>
    <n v="227391.281318455"/>
    <n v="818608.61274643999"/>
  </r>
  <r>
    <x v="0"/>
    <x v="2"/>
    <x v="2"/>
    <x v="9"/>
    <x v="19"/>
    <s v="SE3A"/>
    <x v="6"/>
    <x v="4"/>
    <s v="GNR_ROR_WTR"/>
    <x v="0"/>
    <x v="18"/>
    <n v="622.98981183138505"/>
    <n v="227391.281318455"/>
    <n v="818608.61274643999"/>
  </r>
  <r>
    <x v="0"/>
    <x v="2"/>
    <x v="2"/>
    <x v="9"/>
    <x v="19"/>
    <s v="SE3A"/>
    <x v="6"/>
    <x v="4"/>
    <s v="GNR_ROR_WTR"/>
    <x v="0"/>
    <x v="2"/>
    <n v="622.98981183138505"/>
    <n v="227391.281318455"/>
    <n v="818608.61274643999"/>
  </r>
  <r>
    <x v="0"/>
    <x v="2"/>
    <x v="2"/>
    <x v="9"/>
    <x v="19"/>
    <s v="SE3A"/>
    <x v="6"/>
    <x v="4"/>
    <s v="GNR_ROR_WTR"/>
    <x v="0"/>
    <x v="3"/>
    <n v="622.98981183138505"/>
    <n v="227391.281318455"/>
    <n v="818608.61274643999"/>
  </r>
  <r>
    <x v="0"/>
    <x v="2"/>
    <x v="2"/>
    <x v="9"/>
    <x v="19"/>
    <s v="SE3A"/>
    <x v="6"/>
    <x v="4"/>
    <s v="GNR_ROR_WTR"/>
    <x v="0"/>
    <x v="4"/>
    <n v="622.98981183138505"/>
    <n v="227391.281318455"/>
    <n v="818608.61274643999"/>
  </r>
  <r>
    <x v="0"/>
    <x v="2"/>
    <x v="2"/>
    <x v="9"/>
    <x v="19"/>
    <s v="SE3A"/>
    <x v="6"/>
    <x v="4"/>
    <s v="GNR_ROR_WTR"/>
    <x v="0"/>
    <x v="5"/>
    <n v="622.98981183138505"/>
    <n v="227391.281318455"/>
    <n v="818608.61274643999"/>
  </r>
  <r>
    <x v="0"/>
    <x v="2"/>
    <x v="2"/>
    <x v="9"/>
    <x v="19"/>
    <s v="SE3A"/>
    <x v="6"/>
    <x v="4"/>
    <s v="GNR_ROR_WTR"/>
    <x v="0"/>
    <x v="6"/>
    <n v="622.98981183138505"/>
    <n v="227391.281318455"/>
    <n v="818608.61274643999"/>
  </r>
  <r>
    <x v="0"/>
    <x v="2"/>
    <x v="2"/>
    <x v="9"/>
    <x v="19"/>
    <s v="SE3A"/>
    <x v="6"/>
    <x v="4"/>
    <s v="GNR_ROR_WTR"/>
    <x v="0"/>
    <x v="7"/>
    <n v="622.98981183138505"/>
    <n v="227391.281318455"/>
    <n v="818608.61274643999"/>
  </r>
  <r>
    <x v="0"/>
    <x v="2"/>
    <x v="2"/>
    <x v="9"/>
    <x v="19"/>
    <s v="SE3A"/>
    <x v="6"/>
    <x v="4"/>
    <s v="GNR_ROR_WTR"/>
    <x v="0"/>
    <x v="8"/>
    <n v="622.98981183138505"/>
    <n v="227391.281318455"/>
    <n v="818608.61274643999"/>
  </r>
  <r>
    <x v="0"/>
    <x v="2"/>
    <x v="2"/>
    <x v="9"/>
    <x v="19"/>
    <s v="SE3A"/>
    <x v="6"/>
    <x v="4"/>
    <s v="GNR_ROR_WTR"/>
    <x v="0"/>
    <x v="9"/>
    <n v="622.98981183138505"/>
    <n v="227391.281318455"/>
    <n v="818608.61274643999"/>
  </r>
  <r>
    <x v="0"/>
    <x v="2"/>
    <x v="2"/>
    <x v="9"/>
    <x v="19"/>
    <s v="SE3A"/>
    <x v="6"/>
    <x v="4"/>
    <s v="GNR_ROR_WTR"/>
    <x v="0"/>
    <x v="10"/>
    <n v="622.98981183138505"/>
    <n v="227391.281318455"/>
    <n v="818608.61274643999"/>
  </r>
  <r>
    <x v="0"/>
    <x v="2"/>
    <x v="2"/>
    <x v="9"/>
    <x v="19"/>
    <s v="SE3A"/>
    <x v="6"/>
    <x v="4"/>
    <s v="GNR_ROR_WTR"/>
    <x v="0"/>
    <x v="11"/>
    <n v="622.98981183138505"/>
    <n v="227391.281318455"/>
    <n v="818608.61274643999"/>
  </r>
  <r>
    <x v="0"/>
    <x v="2"/>
    <x v="2"/>
    <x v="9"/>
    <x v="19"/>
    <s v="SE3A"/>
    <x v="6"/>
    <x v="4"/>
    <s v="GNR_ROR_WTR"/>
    <x v="0"/>
    <x v="12"/>
    <n v="622.98981183138505"/>
    <n v="227391.281318455"/>
    <n v="818608.61274643999"/>
  </r>
  <r>
    <x v="0"/>
    <x v="2"/>
    <x v="2"/>
    <x v="9"/>
    <x v="19"/>
    <s v="SE3A"/>
    <x v="6"/>
    <x v="4"/>
    <s v="GNR_ROR_WTR"/>
    <x v="0"/>
    <x v="13"/>
    <n v="622.98981183138505"/>
    <n v="227391.281318455"/>
    <n v="818608.61274643999"/>
  </r>
  <r>
    <x v="0"/>
    <x v="2"/>
    <x v="2"/>
    <x v="9"/>
    <x v="19"/>
    <s v="SE3A"/>
    <x v="6"/>
    <x v="4"/>
    <s v="GNR_ROR_WTR"/>
    <x v="0"/>
    <x v="14"/>
    <n v="622.98981183138505"/>
    <n v="227391.281318455"/>
    <n v="818608.61274643999"/>
  </r>
  <r>
    <x v="0"/>
    <x v="2"/>
    <x v="2"/>
    <x v="9"/>
    <x v="19"/>
    <s v="SE3A"/>
    <x v="6"/>
    <x v="4"/>
    <s v="GNR_ROR_WTR"/>
    <x v="0"/>
    <x v="15"/>
    <n v="622.98981183138505"/>
    <n v="227391.281318455"/>
    <n v="818608.61274643999"/>
  </r>
  <r>
    <x v="0"/>
    <x v="2"/>
    <x v="2"/>
    <x v="9"/>
    <x v="19"/>
    <s v="SE3A"/>
    <x v="6"/>
    <x v="4"/>
    <s v="GNR_ROR_WTR"/>
    <x v="0"/>
    <x v="16"/>
    <n v="622.98981183138505"/>
    <n v="227391.281318455"/>
    <n v="818608.61274643999"/>
  </r>
  <r>
    <x v="0"/>
    <x v="2"/>
    <x v="2"/>
    <x v="9"/>
    <x v="19"/>
    <s v="SE3A"/>
    <x v="6"/>
    <x v="4"/>
    <s v="GNR_ROR_WTR"/>
    <x v="0"/>
    <x v="17"/>
    <n v="622.98981183138505"/>
    <n v="227391.281318455"/>
    <n v="818608.61274643999"/>
  </r>
  <r>
    <x v="0"/>
    <x v="2"/>
    <x v="2"/>
    <x v="9"/>
    <x v="19"/>
    <s v="SE3A"/>
    <x v="6"/>
    <x v="4"/>
    <s v="GNR_ROR_WTR"/>
    <x v="0"/>
    <x v="19"/>
    <n v="622.98981183138505"/>
    <n v="227391.281318455"/>
    <n v="818608.61274643999"/>
  </r>
  <r>
    <x v="0"/>
    <x v="2"/>
    <x v="2"/>
    <x v="9"/>
    <x v="19"/>
    <s v="SE3A"/>
    <x v="6"/>
    <x v="4"/>
    <s v="GNR_ROR_WTR"/>
    <x v="0"/>
    <x v="20"/>
    <n v="622.98981183138505"/>
    <n v="227391.281318455"/>
    <n v="818608.61274643999"/>
  </r>
  <r>
    <x v="0"/>
    <x v="2"/>
    <x v="2"/>
    <x v="9"/>
    <x v="19"/>
    <s v="SE3A"/>
    <x v="6"/>
    <x v="4"/>
    <s v="GNR_ROR_WTR"/>
    <x v="0"/>
    <x v="21"/>
    <n v="622.98981183138505"/>
    <n v="227391.281318455"/>
    <n v="818608.61274643999"/>
  </r>
  <r>
    <x v="0"/>
    <x v="2"/>
    <x v="2"/>
    <x v="9"/>
    <x v="19"/>
    <s v="SE3A"/>
    <x v="6"/>
    <x v="4"/>
    <s v="GNR_ROR_WTR"/>
    <x v="0"/>
    <x v="22"/>
    <n v="622.98981183138505"/>
    <n v="227391.281318455"/>
    <n v="818608.61274643999"/>
  </r>
  <r>
    <x v="0"/>
    <x v="2"/>
    <x v="2"/>
    <x v="9"/>
    <x v="19"/>
    <s v="SE3A"/>
    <x v="6"/>
    <x v="4"/>
    <s v="GNR_ROR_WTR"/>
    <x v="0"/>
    <x v="23"/>
    <n v="622.98981183138505"/>
    <n v="227391.281318455"/>
    <n v="818608.61274643999"/>
  </r>
  <r>
    <x v="0"/>
    <x v="2"/>
    <x v="2"/>
    <x v="9"/>
    <x v="19"/>
    <s v="SE3A"/>
    <x v="7"/>
    <x v="5"/>
    <s v="GNR_WT_WIND_ONS"/>
    <x v="0"/>
    <x v="0"/>
    <n v="834.80402779104998"/>
    <n v="304703.47014373302"/>
    <n v="1096932.4925174401"/>
  </r>
  <r>
    <x v="0"/>
    <x v="2"/>
    <x v="2"/>
    <x v="9"/>
    <x v="19"/>
    <s v="SE3A"/>
    <x v="7"/>
    <x v="5"/>
    <s v="GNR_WT_WIND_ONS"/>
    <x v="0"/>
    <x v="1"/>
    <n v="768.17208875757399"/>
    <n v="280382.81239651499"/>
    <n v="1009378.12462745"/>
  </r>
  <r>
    <x v="0"/>
    <x v="2"/>
    <x v="2"/>
    <x v="9"/>
    <x v="19"/>
    <s v="SE3A"/>
    <x v="7"/>
    <x v="5"/>
    <s v="GNR_WT_WIND_ONS"/>
    <x v="0"/>
    <x v="18"/>
    <n v="641.65613139941604"/>
    <n v="234204.487960787"/>
    <n v="843136.15665883303"/>
  </r>
  <r>
    <x v="0"/>
    <x v="2"/>
    <x v="2"/>
    <x v="9"/>
    <x v="19"/>
    <s v="SE3A"/>
    <x v="7"/>
    <x v="5"/>
    <s v="GNR_WT_WIND_ONS"/>
    <x v="0"/>
    <x v="2"/>
    <n v="432.65464768357401"/>
    <n v="157918.946404505"/>
    <n v="568508.20705621701"/>
  </r>
  <r>
    <x v="0"/>
    <x v="2"/>
    <x v="2"/>
    <x v="9"/>
    <x v="19"/>
    <s v="SE3A"/>
    <x v="7"/>
    <x v="5"/>
    <s v="GNR_WT_WIND_ONS"/>
    <x v="0"/>
    <x v="3"/>
    <n v="416.54347433927398"/>
    <n v="152038.368133835"/>
    <n v="547338.12528180599"/>
  </r>
  <r>
    <x v="0"/>
    <x v="2"/>
    <x v="2"/>
    <x v="9"/>
    <x v="19"/>
    <s v="SE3A"/>
    <x v="7"/>
    <x v="5"/>
    <s v="GNR_WT_WIND_ONS"/>
    <x v="0"/>
    <x v="4"/>
    <n v="335.56206011892601"/>
    <n v="122480.151943408"/>
    <n v="440928.54699626798"/>
  </r>
  <r>
    <x v="0"/>
    <x v="2"/>
    <x v="2"/>
    <x v="9"/>
    <x v="19"/>
    <s v="SE3A"/>
    <x v="7"/>
    <x v="5"/>
    <s v="GNR_WT_WIND_ONS"/>
    <x v="0"/>
    <x v="5"/>
    <n v="303.37219145761298"/>
    <n v="110730.849882029"/>
    <n v="398631.05957530299"/>
  </r>
  <r>
    <x v="0"/>
    <x v="2"/>
    <x v="2"/>
    <x v="9"/>
    <x v="19"/>
    <s v="SE3A"/>
    <x v="7"/>
    <x v="5"/>
    <s v="GNR_WT_WIND_ONS"/>
    <x v="0"/>
    <x v="6"/>
    <n v="384.457743619697"/>
    <n v="140327.07642118901"/>
    <n v="505177.475116282"/>
  </r>
  <r>
    <x v="0"/>
    <x v="2"/>
    <x v="2"/>
    <x v="9"/>
    <x v="19"/>
    <s v="SE3A"/>
    <x v="7"/>
    <x v="5"/>
    <s v="GNR_WT_WIND_ONS"/>
    <x v="0"/>
    <x v="7"/>
    <n v="452.80247859499701"/>
    <n v="165272.90468717401"/>
    <n v="594982.45687382598"/>
  </r>
  <r>
    <x v="0"/>
    <x v="2"/>
    <x v="2"/>
    <x v="9"/>
    <x v="19"/>
    <s v="SE3A"/>
    <x v="7"/>
    <x v="5"/>
    <s v="GNR_WT_WIND_ONS"/>
    <x v="0"/>
    <x v="8"/>
    <n v="484.93363883415202"/>
    <n v="177000.77817446599"/>
    <n v="637202.801428076"/>
  </r>
  <r>
    <x v="0"/>
    <x v="2"/>
    <x v="2"/>
    <x v="9"/>
    <x v="19"/>
    <s v="SE3A"/>
    <x v="7"/>
    <x v="5"/>
    <s v="GNR_WT_WIND_ONS"/>
    <x v="0"/>
    <x v="9"/>
    <n v="617.95710650277999"/>
    <n v="225554.343873515"/>
    <n v="811995.63794465305"/>
  </r>
  <r>
    <x v="0"/>
    <x v="2"/>
    <x v="2"/>
    <x v="9"/>
    <x v="19"/>
    <s v="SE3A"/>
    <x v="7"/>
    <x v="5"/>
    <s v="GNR_WT_WIND_ONS"/>
    <x v="0"/>
    <x v="10"/>
    <n v="642.14002233845702"/>
    <n v="234381.108153537"/>
    <n v="843771.98935273197"/>
  </r>
  <r>
    <x v="0"/>
    <x v="2"/>
    <x v="2"/>
    <x v="9"/>
    <x v="19"/>
    <s v="SE3A"/>
    <x v="7"/>
    <x v="5"/>
    <s v="GNR_WT_WIND_ONS"/>
    <x v="0"/>
    <x v="11"/>
    <n v="713.28058892311196"/>
    <n v="260347.414956936"/>
    <n v="937250.69384496997"/>
  </r>
  <r>
    <x v="0"/>
    <x v="2"/>
    <x v="2"/>
    <x v="9"/>
    <x v="19"/>
    <s v="SE3A"/>
    <x v="7"/>
    <x v="5"/>
    <s v="GNR_WT_WIND_ONS"/>
    <x v="0"/>
    <x v="12"/>
    <n v="869.88378069304702"/>
    <n v="317507.579952962"/>
    <n v="1143027.2878306599"/>
  </r>
  <r>
    <x v="0"/>
    <x v="2"/>
    <x v="2"/>
    <x v="9"/>
    <x v="19"/>
    <s v="SE3A"/>
    <x v="7"/>
    <x v="5"/>
    <s v="GNR_WT_WIND_ONS"/>
    <x v="0"/>
    <x v="13"/>
    <n v="974.56835806140202"/>
    <n v="355717.45069241198"/>
    <n v="1280582.82249268"/>
  </r>
  <r>
    <x v="0"/>
    <x v="2"/>
    <x v="2"/>
    <x v="9"/>
    <x v="19"/>
    <s v="SE3A"/>
    <x v="7"/>
    <x v="5"/>
    <s v="GNR_WT_WIND_ONS"/>
    <x v="0"/>
    <x v="14"/>
    <n v="1046.9445549782399"/>
    <n v="382134.76256705698"/>
    <n v="1375685.14524141"/>
  </r>
  <r>
    <x v="0"/>
    <x v="2"/>
    <x v="2"/>
    <x v="9"/>
    <x v="19"/>
    <s v="SE3A"/>
    <x v="7"/>
    <x v="5"/>
    <s v="GNR_WT_WIND_ONS"/>
    <x v="0"/>
    <x v="15"/>
    <n v="1062.89867336361"/>
    <n v="387958.01577771798"/>
    <n v="1396648.8567997899"/>
  </r>
  <r>
    <x v="0"/>
    <x v="2"/>
    <x v="2"/>
    <x v="9"/>
    <x v="19"/>
    <s v="SE3A"/>
    <x v="7"/>
    <x v="5"/>
    <s v="GNR_WT_WIND_ONS"/>
    <x v="0"/>
    <x v="16"/>
    <n v="1125.7344242694901"/>
    <n v="410893.064858364"/>
    <n v="1479215.03349011"/>
  </r>
  <r>
    <x v="0"/>
    <x v="2"/>
    <x v="2"/>
    <x v="9"/>
    <x v="19"/>
    <s v="SE3A"/>
    <x v="7"/>
    <x v="5"/>
    <s v="GNR_WT_WIND_ONS"/>
    <x v="0"/>
    <x v="17"/>
    <n v="1070.3485402645599"/>
    <n v="390677.217196565"/>
    <n v="1406437.9819076399"/>
  </r>
  <r>
    <x v="0"/>
    <x v="2"/>
    <x v="2"/>
    <x v="9"/>
    <x v="19"/>
    <s v="SE3A"/>
    <x v="7"/>
    <x v="5"/>
    <s v="GNR_WT_WIND_ONS"/>
    <x v="0"/>
    <x v="19"/>
    <n v="954.53239412151095"/>
    <n v="348404.32385435101"/>
    <n v="1254255.5658756699"/>
  </r>
  <r>
    <x v="0"/>
    <x v="2"/>
    <x v="2"/>
    <x v="9"/>
    <x v="19"/>
    <s v="SE3A"/>
    <x v="7"/>
    <x v="5"/>
    <s v="GNR_WT_WIND_ONS"/>
    <x v="0"/>
    <x v="20"/>
    <n v="803.18848508477197"/>
    <n v="293163.79705594201"/>
    <n v="1055389.66940139"/>
  </r>
  <r>
    <x v="0"/>
    <x v="2"/>
    <x v="2"/>
    <x v="9"/>
    <x v="19"/>
    <s v="SE3A"/>
    <x v="7"/>
    <x v="5"/>
    <s v="GNR_WT_WIND_ONS"/>
    <x v="0"/>
    <x v="21"/>
    <n v="650.69105055528701"/>
    <n v="237502.23345268"/>
    <n v="855008.04042964801"/>
  </r>
  <r>
    <x v="0"/>
    <x v="2"/>
    <x v="2"/>
    <x v="9"/>
    <x v="19"/>
    <s v="SE3A"/>
    <x v="7"/>
    <x v="5"/>
    <s v="GNR_WT_WIND_ONS"/>
    <x v="0"/>
    <x v="22"/>
    <n v="610.10363932717405"/>
    <n v="222687.82835441901"/>
    <n v="801676.18207590701"/>
  </r>
  <r>
    <x v="0"/>
    <x v="2"/>
    <x v="2"/>
    <x v="9"/>
    <x v="19"/>
    <s v="SE3A"/>
    <x v="7"/>
    <x v="5"/>
    <s v="GNR_WT_WIND_ONS"/>
    <x v="0"/>
    <x v="23"/>
    <n v="644.93789892027905"/>
    <n v="235402.33310590201"/>
    <n v="847448.39918124699"/>
  </r>
  <r>
    <x v="0"/>
    <x v="2"/>
    <x v="2"/>
    <x v="9"/>
    <x v="19"/>
    <s v="SE3_EL"/>
    <x v="2"/>
    <x v="2"/>
    <s v="GBPR_MUNIWASTE_24"/>
    <x v="0"/>
    <x v="0"/>
    <n v="46.222048776481302"/>
    <n v="16871.047803415699"/>
    <n v="60735.7720922964"/>
  </r>
  <r>
    <x v="0"/>
    <x v="2"/>
    <x v="2"/>
    <x v="9"/>
    <x v="19"/>
    <s v="SE3_EL"/>
    <x v="2"/>
    <x v="2"/>
    <s v="GBPR_MUNIWASTE_24"/>
    <x v="0"/>
    <x v="1"/>
    <n v="46.222048776481302"/>
    <n v="16871.047803415699"/>
    <n v="60735.7720922964"/>
  </r>
  <r>
    <x v="0"/>
    <x v="2"/>
    <x v="2"/>
    <x v="9"/>
    <x v="19"/>
    <s v="SE3_EL"/>
    <x v="2"/>
    <x v="2"/>
    <s v="GBPR_MUNIWASTE_24"/>
    <x v="0"/>
    <x v="18"/>
    <n v="46.222048776481302"/>
    <n v="16871.047803415699"/>
    <n v="60735.7720922964"/>
  </r>
  <r>
    <x v="0"/>
    <x v="2"/>
    <x v="2"/>
    <x v="9"/>
    <x v="19"/>
    <s v="SE3_EL"/>
    <x v="2"/>
    <x v="2"/>
    <s v="GBPR_MUNIWASTE_24"/>
    <x v="0"/>
    <x v="2"/>
    <n v="46.222048776481302"/>
    <n v="16871.047803415699"/>
    <n v="60735.7720922964"/>
  </r>
  <r>
    <x v="0"/>
    <x v="2"/>
    <x v="2"/>
    <x v="9"/>
    <x v="19"/>
    <s v="SE3_EL"/>
    <x v="2"/>
    <x v="2"/>
    <s v="GBPR_MUNIWASTE_24"/>
    <x v="0"/>
    <x v="3"/>
    <n v="46.222048776481302"/>
    <n v="16871.047803415699"/>
    <n v="60735.7720922964"/>
  </r>
  <r>
    <x v="0"/>
    <x v="2"/>
    <x v="2"/>
    <x v="9"/>
    <x v="19"/>
    <s v="SE3_EL"/>
    <x v="2"/>
    <x v="2"/>
    <s v="GBPR_MUNIWASTE_24"/>
    <x v="0"/>
    <x v="4"/>
    <n v="46.222048776481302"/>
    <n v="16871.047803415699"/>
    <n v="60735.7720922964"/>
  </r>
  <r>
    <x v="0"/>
    <x v="2"/>
    <x v="2"/>
    <x v="9"/>
    <x v="19"/>
    <s v="SE3_EL"/>
    <x v="2"/>
    <x v="2"/>
    <s v="GBPR_MUNIWASTE_24"/>
    <x v="0"/>
    <x v="5"/>
    <n v="46.222048776481302"/>
    <n v="16871.047803415699"/>
    <n v="60735.7720922964"/>
  </r>
  <r>
    <x v="0"/>
    <x v="2"/>
    <x v="2"/>
    <x v="9"/>
    <x v="19"/>
    <s v="SE3_EL"/>
    <x v="2"/>
    <x v="2"/>
    <s v="GBPR_MUNIWASTE_24"/>
    <x v="0"/>
    <x v="6"/>
    <n v="46.222048776481302"/>
    <n v="16871.047803415699"/>
    <n v="60735.7720922964"/>
  </r>
  <r>
    <x v="0"/>
    <x v="2"/>
    <x v="2"/>
    <x v="9"/>
    <x v="19"/>
    <s v="SE3_EL"/>
    <x v="2"/>
    <x v="2"/>
    <s v="GBPR_MUNIWASTE_24"/>
    <x v="0"/>
    <x v="7"/>
    <n v="46.222048776481302"/>
    <n v="16871.047803415699"/>
    <n v="60735.7720922964"/>
  </r>
  <r>
    <x v="0"/>
    <x v="2"/>
    <x v="2"/>
    <x v="9"/>
    <x v="19"/>
    <s v="SE3_EL"/>
    <x v="2"/>
    <x v="2"/>
    <s v="GBPR_MUNIWASTE_24"/>
    <x v="0"/>
    <x v="8"/>
    <n v="46.222048776481302"/>
    <n v="16871.047803415699"/>
    <n v="60735.7720922964"/>
  </r>
  <r>
    <x v="0"/>
    <x v="2"/>
    <x v="2"/>
    <x v="9"/>
    <x v="19"/>
    <s v="SE3_EL"/>
    <x v="2"/>
    <x v="2"/>
    <s v="GBPR_MUNIWASTE_24"/>
    <x v="0"/>
    <x v="9"/>
    <n v="46.222048776481302"/>
    <n v="16871.047803415699"/>
    <n v="60735.7720922964"/>
  </r>
  <r>
    <x v="0"/>
    <x v="2"/>
    <x v="2"/>
    <x v="9"/>
    <x v="19"/>
    <s v="SE3_EL"/>
    <x v="2"/>
    <x v="2"/>
    <s v="GBPR_MUNIWASTE_24"/>
    <x v="0"/>
    <x v="10"/>
    <n v="46.222048776481302"/>
    <n v="16871.047803415699"/>
    <n v="60735.7720922964"/>
  </r>
  <r>
    <x v="0"/>
    <x v="2"/>
    <x v="2"/>
    <x v="9"/>
    <x v="19"/>
    <s v="SE3_EL"/>
    <x v="2"/>
    <x v="2"/>
    <s v="GBPR_MUNIWASTE_24"/>
    <x v="0"/>
    <x v="11"/>
    <n v="46.222048776481302"/>
    <n v="16871.047803415699"/>
    <n v="60735.7720922964"/>
  </r>
  <r>
    <x v="0"/>
    <x v="2"/>
    <x v="2"/>
    <x v="9"/>
    <x v="19"/>
    <s v="SE3_EL"/>
    <x v="2"/>
    <x v="2"/>
    <s v="GBPR_MUNIWASTE_24"/>
    <x v="0"/>
    <x v="12"/>
    <n v="46.222048776481302"/>
    <n v="16871.047803415699"/>
    <n v="60735.7720922964"/>
  </r>
  <r>
    <x v="0"/>
    <x v="2"/>
    <x v="2"/>
    <x v="9"/>
    <x v="19"/>
    <s v="SE3_EL"/>
    <x v="2"/>
    <x v="2"/>
    <s v="GBPR_MUNIWASTE_24"/>
    <x v="0"/>
    <x v="13"/>
    <n v="46.222048776481302"/>
    <n v="16871.047803415699"/>
    <n v="60735.7720922964"/>
  </r>
  <r>
    <x v="0"/>
    <x v="2"/>
    <x v="2"/>
    <x v="9"/>
    <x v="19"/>
    <s v="SE3_EL"/>
    <x v="2"/>
    <x v="2"/>
    <s v="GBPR_MUNIWASTE_24"/>
    <x v="0"/>
    <x v="14"/>
    <n v="46.222048776481302"/>
    <n v="16871.047803415699"/>
    <n v="60735.7720922964"/>
  </r>
  <r>
    <x v="0"/>
    <x v="2"/>
    <x v="2"/>
    <x v="9"/>
    <x v="19"/>
    <s v="SE3_EL"/>
    <x v="2"/>
    <x v="2"/>
    <s v="GBPR_MUNIWASTE_24"/>
    <x v="0"/>
    <x v="15"/>
    <n v="46.222048776481302"/>
    <n v="16871.047803415699"/>
    <n v="60735.7720922964"/>
  </r>
  <r>
    <x v="0"/>
    <x v="2"/>
    <x v="2"/>
    <x v="9"/>
    <x v="19"/>
    <s v="SE3_EL"/>
    <x v="2"/>
    <x v="2"/>
    <s v="GBPR_MUNIWASTE_24"/>
    <x v="0"/>
    <x v="16"/>
    <n v="46.222048776481302"/>
    <n v="16871.047803415699"/>
    <n v="60735.7720922964"/>
  </r>
  <r>
    <x v="0"/>
    <x v="2"/>
    <x v="2"/>
    <x v="9"/>
    <x v="19"/>
    <s v="SE3_EL"/>
    <x v="2"/>
    <x v="2"/>
    <s v="GBPR_MUNIWASTE_24"/>
    <x v="0"/>
    <x v="17"/>
    <n v="46.222048776481302"/>
    <n v="16871.047803415699"/>
    <n v="60735.7720922964"/>
  </r>
  <r>
    <x v="0"/>
    <x v="2"/>
    <x v="2"/>
    <x v="9"/>
    <x v="19"/>
    <s v="SE3_EL"/>
    <x v="2"/>
    <x v="2"/>
    <s v="GBPR_MUNIWASTE_24"/>
    <x v="0"/>
    <x v="19"/>
    <n v="46.222048776481302"/>
    <n v="16871.047803415699"/>
    <n v="60735.7720922964"/>
  </r>
  <r>
    <x v="0"/>
    <x v="2"/>
    <x v="2"/>
    <x v="9"/>
    <x v="19"/>
    <s v="SE3_EL"/>
    <x v="2"/>
    <x v="2"/>
    <s v="GBPR_MUNIWASTE_24"/>
    <x v="0"/>
    <x v="20"/>
    <n v="46.222048776481302"/>
    <n v="16871.047803415699"/>
    <n v="60735.7720922964"/>
  </r>
  <r>
    <x v="0"/>
    <x v="2"/>
    <x v="2"/>
    <x v="9"/>
    <x v="19"/>
    <s v="SE3_EL"/>
    <x v="2"/>
    <x v="2"/>
    <s v="GBPR_MUNIWASTE_24"/>
    <x v="0"/>
    <x v="21"/>
    <n v="46.222048776481302"/>
    <n v="16871.047803415699"/>
    <n v="60735.7720922964"/>
  </r>
  <r>
    <x v="0"/>
    <x v="2"/>
    <x v="2"/>
    <x v="9"/>
    <x v="19"/>
    <s v="SE3_EL"/>
    <x v="2"/>
    <x v="2"/>
    <s v="GBPR_MUNIWASTE_24"/>
    <x v="0"/>
    <x v="22"/>
    <n v="46.222048776481302"/>
    <n v="16871.047803415699"/>
    <n v="60735.7720922964"/>
  </r>
  <r>
    <x v="0"/>
    <x v="2"/>
    <x v="2"/>
    <x v="9"/>
    <x v="19"/>
    <s v="SE3_EL"/>
    <x v="2"/>
    <x v="2"/>
    <s v="GBPR_MUNIWASTE_24"/>
    <x v="0"/>
    <x v="23"/>
    <n v="46.222048776481302"/>
    <n v="16871.047803415699"/>
    <n v="60735.7720922964"/>
  </r>
  <r>
    <x v="0"/>
    <x v="2"/>
    <x v="2"/>
    <x v="9"/>
    <x v="19"/>
    <s v="SE3_EL"/>
    <x v="2"/>
    <x v="2"/>
    <s v="GBPR_MUNIWASTE_LINK"/>
    <x v="0"/>
    <x v="5"/>
    <n v="28.242772365308799"/>
    <n v="10308.6119133377"/>
    <n v="37111.002888015697"/>
  </r>
  <r>
    <x v="0"/>
    <x v="2"/>
    <x v="2"/>
    <x v="9"/>
    <x v="19"/>
    <s v="SE3_EL"/>
    <x v="2"/>
    <x v="2"/>
    <s v="GBPR_MUNIWASTE_LINK"/>
    <x v="0"/>
    <x v="6"/>
    <n v="28.242772365308799"/>
    <n v="10308.6119133377"/>
    <n v="37111.002888015697"/>
  </r>
  <r>
    <x v="0"/>
    <x v="2"/>
    <x v="2"/>
    <x v="9"/>
    <x v="19"/>
    <s v="SE3_EL"/>
    <x v="2"/>
    <x v="2"/>
    <s v="GBPR_MUNIWASTE_LINK"/>
    <x v="0"/>
    <x v="7"/>
    <n v="28.242772365308799"/>
    <n v="10308.6119133377"/>
    <n v="37111.002888015697"/>
  </r>
  <r>
    <x v="0"/>
    <x v="2"/>
    <x v="2"/>
    <x v="9"/>
    <x v="19"/>
    <s v="SE3_EL"/>
    <x v="2"/>
    <x v="2"/>
    <s v="GBPR_MUNIWASTE_LINK"/>
    <x v="0"/>
    <x v="8"/>
    <n v="28.242772365308799"/>
    <n v="10308.6119133377"/>
    <n v="37111.002888015697"/>
  </r>
  <r>
    <x v="0"/>
    <x v="2"/>
    <x v="2"/>
    <x v="9"/>
    <x v="19"/>
    <s v="SE3_EL"/>
    <x v="2"/>
    <x v="2"/>
    <s v="GBPR_MUNIWASTE_LINK"/>
    <x v="0"/>
    <x v="15"/>
    <n v="28.242772365308799"/>
    <n v="10308.6119133377"/>
    <n v="37111.002888015697"/>
  </r>
  <r>
    <x v="0"/>
    <x v="2"/>
    <x v="2"/>
    <x v="9"/>
    <x v="19"/>
    <s v="SE3_EL"/>
    <x v="2"/>
    <x v="2"/>
    <s v="GBPR_MUNIWASTE_LINK"/>
    <x v="0"/>
    <x v="16"/>
    <n v="28.242772365308799"/>
    <n v="10308.6119133377"/>
    <n v="37111.002888015697"/>
  </r>
  <r>
    <x v="0"/>
    <x v="2"/>
    <x v="2"/>
    <x v="9"/>
    <x v="19"/>
    <s v="SE3_EL"/>
    <x v="2"/>
    <x v="2"/>
    <s v="GBPR_MUNIWASTE_LINK"/>
    <x v="0"/>
    <x v="17"/>
    <n v="28.242772365308799"/>
    <n v="10308.6119133377"/>
    <n v="37111.002888015697"/>
  </r>
  <r>
    <x v="0"/>
    <x v="2"/>
    <x v="2"/>
    <x v="9"/>
    <x v="19"/>
    <s v="SE3_EL"/>
    <x v="18"/>
    <x v="2"/>
    <s v="GBPR_RECYCLEDWOOD_SE3EL"/>
    <x v="0"/>
    <x v="6"/>
    <n v="63.7184429500698"/>
    <n v="23257.2316767755"/>
    <n v="83726.034036391793"/>
  </r>
  <r>
    <x v="0"/>
    <x v="2"/>
    <x v="2"/>
    <x v="9"/>
    <x v="19"/>
    <s v="SE3_EL"/>
    <x v="18"/>
    <x v="2"/>
    <s v="GBPR_RECYCLEDWOOD_SE3EL"/>
    <x v="0"/>
    <x v="7"/>
    <n v="63.7184429500698"/>
    <n v="23257.2316767755"/>
    <n v="83726.034036391793"/>
  </r>
  <r>
    <x v="0"/>
    <x v="2"/>
    <x v="2"/>
    <x v="9"/>
    <x v="19"/>
    <s v="SE3_EL"/>
    <x v="10"/>
    <x v="2"/>
    <s v="GBPR_WOODWASTE_25"/>
    <x v="0"/>
    <x v="4"/>
    <n v="54.082549912434303"/>
    <n v="19740.130718038501"/>
    <n v="71064.470584938696"/>
  </r>
  <r>
    <x v="0"/>
    <x v="2"/>
    <x v="2"/>
    <x v="9"/>
    <x v="19"/>
    <s v="SE3_EL"/>
    <x v="10"/>
    <x v="2"/>
    <s v="GBPR_WOODWASTE_25"/>
    <x v="0"/>
    <x v="5"/>
    <n v="54.082549912434303"/>
    <n v="19740.130718038501"/>
    <n v="71064.470584938696"/>
  </r>
  <r>
    <x v="0"/>
    <x v="2"/>
    <x v="2"/>
    <x v="9"/>
    <x v="19"/>
    <s v="SE3_EL"/>
    <x v="10"/>
    <x v="2"/>
    <s v="GBPR_WOODWASTE_25"/>
    <x v="0"/>
    <x v="6"/>
    <n v="54.082549912434303"/>
    <n v="19740.130718038501"/>
    <n v="71064.470584938696"/>
  </r>
  <r>
    <x v="0"/>
    <x v="2"/>
    <x v="2"/>
    <x v="9"/>
    <x v="19"/>
    <s v="SE3_EL"/>
    <x v="10"/>
    <x v="2"/>
    <s v="GBPR_WOODWASTE_25"/>
    <x v="0"/>
    <x v="7"/>
    <n v="54.082549912434303"/>
    <n v="19740.130718038501"/>
    <n v="71064.470584938696"/>
  </r>
  <r>
    <x v="0"/>
    <x v="2"/>
    <x v="2"/>
    <x v="9"/>
    <x v="19"/>
    <s v="SE3_EL"/>
    <x v="10"/>
    <x v="2"/>
    <s v="GBPR_WOODWASTE_25"/>
    <x v="0"/>
    <x v="8"/>
    <n v="54.082549912434303"/>
    <n v="19740.130718038501"/>
    <n v="71064.470584938696"/>
  </r>
  <r>
    <x v="0"/>
    <x v="2"/>
    <x v="2"/>
    <x v="9"/>
    <x v="19"/>
    <s v="SE3_EL"/>
    <x v="10"/>
    <x v="2"/>
    <s v="GBPR_WOODWASTE_25"/>
    <x v="0"/>
    <x v="15"/>
    <n v="54.082549912434303"/>
    <n v="19740.130718038501"/>
    <n v="71064.470584938696"/>
  </r>
  <r>
    <x v="0"/>
    <x v="2"/>
    <x v="2"/>
    <x v="9"/>
    <x v="19"/>
    <s v="SE3_EL"/>
    <x v="10"/>
    <x v="2"/>
    <s v="GBPR_WOODWASTE_25"/>
    <x v="0"/>
    <x v="16"/>
    <n v="54.082549912434303"/>
    <n v="19740.130718038501"/>
    <n v="71064.470584938696"/>
  </r>
  <r>
    <x v="0"/>
    <x v="2"/>
    <x v="2"/>
    <x v="9"/>
    <x v="19"/>
    <s v="SE3_EL"/>
    <x v="10"/>
    <x v="2"/>
    <s v="GBPR_WOODWASTE_25"/>
    <x v="0"/>
    <x v="17"/>
    <n v="54.082549912434303"/>
    <n v="19740.130718038501"/>
    <n v="71064.470584938696"/>
  </r>
  <r>
    <x v="0"/>
    <x v="2"/>
    <x v="2"/>
    <x v="9"/>
    <x v="19"/>
    <s v="SE3_EL"/>
    <x v="10"/>
    <x v="2"/>
    <s v="GBPR_WOODWASTE_ABY"/>
    <x v="0"/>
    <x v="0"/>
    <n v="101.938213660245"/>
    <n v="37207.4479859895"/>
    <n v="133946.812749562"/>
  </r>
  <r>
    <x v="0"/>
    <x v="2"/>
    <x v="2"/>
    <x v="9"/>
    <x v="19"/>
    <s v="SE3_EL"/>
    <x v="10"/>
    <x v="2"/>
    <s v="GBPR_WOODWASTE_ABY"/>
    <x v="0"/>
    <x v="1"/>
    <n v="101.938213660245"/>
    <n v="37207.4479859895"/>
    <n v="133946.812749562"/>
  </r>
  <r>
    <x v="0"/>
    <x v="2"/>
    <x v="2"/>
    <x v="9"/>
    <x v="19"/>
    <s v="SE3_EL"/>
    <x v="10"/>
    <x v="2"/>
    <s v="GBPR_WOODWASTE_ABY"/>
    <x v="0"/>
    <x v="18"/>
    <n v="101.938213660245"/>
    <n v="37207.4479859895"/>
    <n v="133946.812749562"/>
  </r>
  <r>
    <x v="0"/>
    <x v="2"/>
    <x v="2"/>
    <x v="9"/>
    <x v="19"/>
    <s v="SE3_EL"/>
    <x v="10"/>
    <x v="2"/>
    <s v="GBPR_WOODWASTE_ABY"/>
    <x v="0"/>
    <x v="2"/>
    <n v="101.938213660245"/>
    <n v="37207.4479859895"/>
    <n v="133946.812749562"/>
  </r>
  <r>
    <x v="0"/>
    <x v="2"/>
    <x v="2"/>
    <x v="9"/>
    <x v="19"/>
    <s v="SE3_EL"/>
    <x v="10"/>
    <x v="2"/>
    <s v="GBPR_WOODWASTE_ABY"/>
    <x v="0"/>
    <x v="3"/>
    <n v="101.938213660245"/>
    <n v="37207.4479859895"/>
    <n v="133946.812749562"/>
  </r>
  <r>
    <x v="0"/>
    <x v="2"/>
    <x v="2"/>
    <x v="9"/>
    <x v="19"/>
    <s v="SE3_EL"/>
    <x v="10"/>
    <x v="2"/>
    <s v="GBPR_WOODWASTE_ABY"/>
    <x v="0"/>
    <x v="4"/>
    <n v="101.938213660245"/>
    <n v="37207.4479859895"/>
    <n v="133946.812749562"/>
  </r>
  <r>
    <x v="0"/>
    <x v="2"/>
    <x v="2"/>
    <x v="9"/>
    <x v="19"/>
    <s v="SE3_EL"/>
    <x v="10"/>
    <x v="2"/>
    <s v="GBPR_WOODWASTE_ABY"/>
    <x v="0"/>
    <x v="5"/>
    <n v="101.938213660245"/>
    <n v="37207.4479859895"/>
    <n v="133946.812749562"/>
  </r>
  <r>
    <x v="0"/>
    <x v="2"/>
    <x v="2"/>
    <x v="9"/>
    <x v="19"/>
    <s v="SE3_EL"/>
    <x v="10"/>
    <x v="2"/>
    <s v="GBPR_WOODWASTE_ABY"/>
    <x v="0"/>
    <x v="6"/>
    <n v="101.938213660245"/>
    <n v="37207.4479859895"/>
    <n v="133946.812749562"/>
  </r>
  <r>
    <x v="0"/>
    <x v="2"/>
    <x v="2"/>
    <x v="9"/>
    <x v="19"/>
    <s v="SE3_EL"/>
    <x v="10"/>
    <x v="2"/>
    <s v="GBPR_WOODWASTE_ABY"/>
    <x v="0"/>
    <x v="7"/>
    <n v="101.938213660245"/>
    <n v="37207.4479859895"/>
    <n v="133946.812749562"/>
  </r>
  <r>
    <x v="0"/>
    <x v="2"/>
    <x v="2"/>
    <x v="9"/>
    <x v="19"/>
    <s v="SE3_EL"/>
    <x v="10"/>
    <x v="2"/>
    <s v="GBPR_WOODWASTE_ABY"/>
    <x v="0"/>
    <x v="8"/>
    <n v="101.938213660245"/>
    <n v="37207.4479859895"/>
    <n v="133946.812749562"/>
  </r>
  <r>
    <x v="0"/>
    <x v="2"/>
    <x v="2"/>
    <x v="9"/>
    <x v="19"/>
    <s v="SE3_EL"/>
    <x v="10"/>
    <x v="2"/>
    <s v="GBPR_WOODWASTE_ABY"/>
    <x v="0"/>
    <x v="9"/>
    <n v="101.938213660245"/>
    <n v="37207.4479859895"/>
    <n v="133946.812749562"/>
  </r>
  <r>
    <x v="0"/>
    <x v="2"/>
    <x v="2"/>
    <x v="9"/>
    <x v="19"/>
    <s v="SE3_EL"/>
    <x v="10"/>
    <x v="2"/>
    <s v="GBPR_WOODWASTE_ABY"/>
    <x v="0"/>
    <x v="10"/>
    <n v="101.938213660245"/>
    <n v="37207.4479859895"/>
    <n v="133946.812749562"/>
  </r>
  <r>
    <x v="0"/>
    <x v="2"/>
    <x v="2"/>
    <x v="9"/>
    <x v="19"/>
    <s v="SE3_EL"/>
    <x v="10"/>
    <x v="2"/>
    <s v="GBPR_WOODWASTE_ABY"/>
    <x v="0"/>
    <x v="11"/>
    <n v="101.938213660245"/>
    <n v="37207.4479859895"/>
    <n v="133946.812749562"/>
  </r>
  <r>
    <x v="0"/>
    <x v="2"/>
    <x v="2"/>
    <x v="9"/>
    <x v="19"/>
    <s v="SE3_EL"/>
    <x v="10"/>
    <x v="2"/>
    <s v="GBPR_WOODWASTE_ABY"/>
    <x v="0"/>
    <x v="12"/>
    <n v="101.938213660245"/>
    <n v="37207.4479859895"/>
    <n v="133946.812749562"/>
  </r>
  <r>
    <x v="0"/>
    <x v="2"/>
    <x v="2"/>
    <x v="9"/>
    <x v="19"/>
    <s v="SE3_EL"/>
    <x v="10"/>
    <x v="2"/>
    <s v="GBPR_WOODWASTE_ABY"/>
    <x v="0"/>
    <x v="13"/>
    <n v="101.938213660245"/>
    <n v="37207.4479859895"/>
    <n v="133946.812749562"/>
  </r>
  <r>
    <x v="0"/>
    <x v="2"/>
    <x v="2"/>
    <x v="9"/>
    <x v="19"/>
    <s v="SE3_EL"/>
    <x v="10"/>
    <x v="2"/>
    <s v="GBPR_WOODWASTE_ABY"/>
    <x v="0"/>
    <x v="14"/>
    <n v="101.938213660245"/>
    <n v="37207.4479859895"/>
    <n v="133946.812749562"/>
  </r>
  <r>
    <x v="0"/>
    <x v="2"/>
    <x v="2"/>
    <x v="9"/>
    <x v="19"/>
    <s v="SE3_EL"/>
    <x v="10"/>
    <x v="2"/>
    <s v="GBPR_WOODWASTE_ABY"/>
    <x v="0"/>
    <x v="15"/>
    <n v="101.938213660245"/>
    <n v="37207.4479859895"/>
    <n v="133946.812749562"/>
  </r>
  <r>
    <x v="0"/>
    <x v="2"/>
    <x v="2"/>
    <x v="9"/>
    <x v="19"/>
    <s v="SE3_EL"/>
    <x v="10"/>
    <x v="2"/>
    <s v="GBPR_WOODWASTE_ABY"/>
    <x v="0"/>
    <x v="16"/>
    <n v="101.938213660245"/>
    <n v="37207.4479859895"/>
    <n v="133946.812749562"/>
  </r>
  <r>
    <x v="0"/>
    <x v="2"/>
    <x v="2"/>
    <x v="9"/>
    <x v="19"/>
    <s v="SE3_EL"/>
    <x v="10"/>
    <x v="2"/>
    <s v="GBPR_WOODWASTE_ABY"/>
    <x v="0"/>
    <x v="17"/>
    <n v="101.938213660245"/>
    <n v="37207.4479859895"/>
    <n v="133946.812749562"/>
  </r>
  <r>
    <x v="0"/>
    <x v="2"/>
    <x v="2"/>
    <x v="9"/>
    <x v="19"/>
    <s v="SE3_EL"/>
    <x v="10"/>
    <x v="2"/>
    <s v="GBPR_WOODWASTE_ABY"/>
    <x v="0"/>
    <x v="19"/>
    <n v="101.938213660245"/>
    <n v="37207.4479859895"/>
    <n v="133946.812749562"/>
  </r>
  <r>
    <x v="0"/>
    <x v="2"/>
    <x v="2"/>
    <x v="9"/>
    <x v="19"/>
    <s v="SE3_EL"/>
    <x v="10"/>
    <x v="2"/>
    <s v="GBPR_WOODWASTE_ABY"/>
    <x v="0"/>
    <x v="20"/>
    <n v="101.938213660245"/>
    <n v="37207.4479859895"/>
    <n v="133946.812749562"/>
  </r>
  <r>
    <x v="0"/>
    <x v="2"/>
    <x v="2"/>
    <x v="9"/>
    <x v="19"/>
    <s v="SE3_EL"/>
    <x v="10"/>
    <x v="2"/>
    <s v="GBPR_WOODWASTE_ABY"/>
    <x v="0"/>
    <x v="21"/>
    <n v="101.938213660245"/>
    <n v="37207.4479859895"/>
    <n v="133946.812749562"/>
  </r>
  <r>
    <x v="0"/>
    <x v="2"/>
    <x v="2"/>
    <x v="9"/>
    <x v="19"/>
    <s v="SE3_EL"/>
    <x v="10"/>
    <x v="2"/>
    <s v="GBPR_WOODWASTE_ABY"/>
    <x v="0"/>
    <x v="22"/>
    <n v="101.938213660245"/>
    <n v="37207.4479859895"/>
    <n v="133946.812749562"/>
  </r>
  <r>
    <x v="0"/>
    <x v="2"/>
    <x v="2"/>
    <x v="9"/>
    <x v="19"/>
    <s v="SE3_EL"/>
    <x v="10"/>
    <x v="2"/>
    <s v="GBPR_WOODWASTE_ABY"/>
    <x v="0"/>
    <x v="23"/>
    <n v="101.938213660245"/>
    <n v="37207.4479859895"/>
    <n v="133946.812749562"/>
  </r>
  <r>
    <x v="0"/>
    <x v="2"/>
    <x v="2"/>
    <x v="9"/>
    <x v="19"/>
    <s v="SE3_GOT"/>
    <x v="2"/>
    <x v="2"/>
    <s v="GBPR_MUNIWASTE_24"/>
    <x v="0"/>
    <x v="0"/>
    <n v="40.6"/>
    <n v="14819"/>
    <n v="53348.4"/>
  </r>
  <r>
    <x v="0"/>
    <x v="2"/>
    <x v="2"/>
    <x v="9"/>
    <x v="19"/>
    <s v="SE3_GOT"/>
    <x v="2"/>
    <x v="2"/>
    <s v="GBPR_MUNIWASTE_24"/>
    <x v="0"/>
    <x v="1"/>
    <n v="40.6"/>
    <n v="14819"/>
    <n v="53348.4"/>
  </r>
  <r>
    <x v="0"/>
    <x v="2"/>
    <x v="2"/>
    <x v="9"/>
    <x v="19"/>
    <s v="SE3_GOT"/>
    <x v="2"/>
    <x v="2"/>
    <s v="GBPR_MUNIWASTE_24"/>
    <x v="0"/>
    <x v="18"/>
    <n v="40.6"/>
    <n v="14819"/>
    <n v="53348.4"/>
  </r>
  <r>
    <x v="0"/>
    <x v="2"/>
    <x v="2"/>
    <x v="9"/>
    <x v="19"/>
    <s v="SE3_GOT"/>
    <x v="2"/>
    <x v="2"/>
    <s v="GBPR_MUNIWASTE_24"/>
    <x v="0"/>
    <x v="2"/>
    <n v="40.6"/>
    <n v="14819"/>
    <n v="53348.4"/>
  </r>
  <r>
    <x v="0"/>
    <x v="2"/>
    <x v="2"/>
    <x v="9"/>
    <x v="19"/>
    <s v="SE3_GOT"/>
    <x v="2"/>
    <x v="2"/>
    <s v="GBPR_MUNIWASTE_24"/>
    <x v="0"/>
    <x v="3"/>
    <n v="40.6"/>
    <n v="14819"/>
    <n v="53348.4"/>
  </r>
  <r>
    <x v="0"/>
    <x v="2"/>
    <x v="2"/>
    <x v="9"/>
    <x v="19"/>
    <s v="SE3_GOT"/>
    <x v="2"/>
    <x v="2"/>
    <s v="GBPR_MUNIWASTE_24"/>
    <x v="0"/>
    <x v="4"/>
    <n v="40.6"/>
    <n v="14819"/>
    <n v="53348.4"/>
  </r>
  <r>
    <x v="0"/>
    <x v="2"/>
    <x v="2"/>
    <x v="9"/>
    <x v="19"/>
    <s v="SE3_GOT"/>
    <x v="2"/>
    <x v="2"/>
    <s v="GBPR_MUNIWASTE_24"/>
    <x v="0"/>
    <x v="5"/>
    <n v="40.6"/>
    <n v="14819"/>
    <n v="53348.4"/>
  </r>
  <r>
    <x v="0"/>
    <x v="2"/>
    <x v="2"/>
    <x v="9"/>
    <x v="19"/>
    <s v="SE3_GOT"/>
    <x v="2"/>
    <x v="2"/>
    <s v="GBPR_MUNIWASTE_24"/>
    <x v="0"/>
    <x v="6"/>
    <n v="40.6"/>
    <n v="14819"/>
    <n v="53348.4"/>
  </r>
  <r>
    <x v="0"/>
    <x v="2"/>
    <x v="2"/>
    <x v="9"/>
    <x v="19"/>
    <s v="SE3_GOT"/>
    <x v="2"/>
    <x v="2"/>
    <s v="GBPR_MUNIWASTE_24"/>
    <x v="0"/>
    <x v="7"/>
    <n v="40.6"/>
    <n v="14819"/>
    <n v="53348.4"/>
  </r>
  <r>
    <x v="0"/>
    <x v="2"/>
    <x v="2"/>
    <x v="9"/>
    <x v="19"/>
    <s v="SE3_GOT"/>
    <x v="2"/>
    <x v="2"/>
    <s v="GBPR_MUNIWASTE_24"/>
    <x v="0"/>
    <x v="8"/>
    <n v="40.6"/>
    <n v="14819"/>
    <n v="53348.4"/>
  </r>
  <r>
    <x v="0"/>
    <x v="2"/>
    <x v="2"/>
    <x v="9"/>
    <x v="19"/>
    <s v="SE3_GOT"/>
    <x v="2"/>
    <x v="2"/>
    <s v="GBPR_MUNIWASTE_24"/>
    <x v="0"/>
    <x v="9"/>
    <n v="40.6"/>
    <n v="14819"/>
    <n v="53348.4"/>
  </r>
  <r>
    <x v="0"/>
    <x v="2"/>
    <x v="2"/>
    <x v="9"/>
    <x v="19"/>
    <s v="SE3_GOT"/>
    <x v="2"/>
    <x v="2"/>
    <s v="GBPR_MUNIWASTE_24"/>
    <x v="0"/>
    <x v="10"/>
    <n v="40.6"/>
    <n v="14819"/>
    <n v="53348.4"/>
  </r>
  <r>
    <x v="0"/>
    <x v="2"/>
    <x v="2"/>
    <x v="9"/>
    <x v="19"/>
    <s v="SE3_GOT"/>
    <x v="2"/>
    <x v="2"/>
    <s v="GBPR_MUNIWASTE_24"/>
    <x v="0"/>
    <x v="11"/>
    <n v="40.6"/>
    <n v="14819"/>
    <n v="53348.4"/>
  </r>
  <r>
    <x v="0"/>
    <x v="2"/>
    <x v="2"/>
    <x v="9"/>
    <x v="19"/>
    <s v="SE3_GOT"/>
    <x v="2"/>
    <x v="2"/>
    <s v="GBPR_MUNIWASTE_24"/>
    <x v="0"/>
    <x v="12"/>
    <n v="40.6"/>
    <n v="14819"/>
    <n v="53348.4"/>
  </r>
  <r>
    <x v="0"/>
    <x v="2"/>
    <x v="2"/>
    <x v="9"/>
    <x v="19"/>
    <s v="SE3_GOT"/>
    <x v="2"/>
    <x v="2"/>
    <s v="GBPR_MUNIWASTE_24"/>
    <x v="0"/>
    <x v="13"/>
    <n v="40.6"/>
    <n v="14819"/>
    <n v="53348.4"/>
  </r>
  <r>
    <x v="0"/>
    <x v="2"/>
    <x v="2"/>
    <x v="9"/>
    <x v="19"/>
    <s v="SE3_GOT"/>
    <x v="2"/>
    <x v="2"/>
    <s v="GBPR_MUNIWASTE_24"/>
    <x v="0"/>
    <x v="14"/>
    <n v="40.6"/>
    <n v="14819"/>
    <n v="53348.4"/>
  </r>
  <r>
    <x v="0"/>
    <x v="2"/>
    <x v="2"/>
    <x v="9"/>
    <x v="19"/>
    <s v="SE3_GOT"/>
    <x v="2"/>
    <x v="2"/>
    <s v="GBPR_MUNIWASTE_24"/>
    <x v="0"/>
    <x v="15"/>
    <n v="40.6"/>
    <n v="14819"/>
    <n v="53348.4"/>
  </r>
  <r>
    <x v="0"/>
    <x v="2"/>
    <x v="2"/>
    <x v="9"/>
    <x v="19"/>
    <s v="SE3_GOT"/>
    <x v="2"/>
    <x v="2"/>
    <s v="GBPR_MUNIWASTE_24"/>
    <x v="0"/>
    <x v="16"/>
    <n v="40.6"/>
    <n v="14819"/>
    <n v="53348.4"/>
  </r>
  <r>
    <x v="0"/>
    <x v="2"/>
    <x v="2"/>
    <x v="9"/>
    <x v="19"/>
    <s v="SE3_GOT"/>
    <x v="2"/>
    <x v="2"/>
    <s v="GBPR_MUNIWASTE_24"/>
    <x v="0"/>
    <x v="17"/>
    <n v="40.6"/>
    <n v="14819"/>
    <n v="53348.4"/>
  </r>
  <r>
    <x v="0"/>
    <x v="2"/>
    <x v="2"/>
    <x v="9"/>
    <x v="19"/>
    <s v="SE3_GOT"/>
    <x v="2"/>
    <x v="2"/>
    <s v="GBPR_MUNIWASTE_24"/>
    <x v="0"/>
    <x v="19"/>
    <n v="40.6"/>
    <n v="14819"/>
    <n v="53348.4"/>
  </r>
  <r>
    <x v="0"/>
    <x v="2"/>
    <x v="2"/>
    <x v="9"/>
    <x v="19"/>
    <s v="SE3_GOT"/>
    <x v="2"/>
    <x v="2"/>
    <s v="GBPR_MUNIWASTE_24"/>
    <x v="0"/>
    <x v="20"/>
    <n v="40.6"/>
    <n v="14819"/>
    <n v="53348.4"/>
  </r>
  <r>
    <x v="0"/>
    <x v="2"/>
    <x v="2"/>
    <x v="9"/>
    <x v="19"/>
    <s v="SE3_GOT"/>
    <x v="2"/>
    <x v="2"/>
    <s v="GBPR_MUNIWASTE_24"/>
    <x v="0"/>
    <x v="21"/>
    <n v="40.6"/>
    <n v="14819"/>
    <n v="53348.4"/>
  </r>
  <r>
    <x v="0"/>
    <x v="2"/>
    <x v="2"/>
    <x v="9"/>
    <x v="19"/>
    <s v="SE3_GOT"/>
    <x v="2"/>
    <x v="2"/>
    <s v="GBPR_MUNIWASTE_24"/>
    <x v="0"/>
    <x v="22"/>
    <n v="40.6"/>
    <n v="14819"/>
    <n v="53348.4"/>
  </r>
  <r>
    <x v="0"/>
    <x v="2"/>
    <x v="2"/>
    <x v="9"/>
    <x v="19"/>
    <s v="SE3_GOT"/>
    <x v="2"/>
    <x v="2"/>
    <s v="GBPR_MUNIWASTE_24"/>
    <x v="0"/>
    <x v="23"/>
    <n v="40.6"/>
    <n v="14819"/>
    <n v="53348.4"/>
  </r>
  <r>
    <x v="0"/>
    <x v="2"/>
    <x v="2"/>
    <x v="9"/>
    <x v="19"/>
    <s v="SE3_GOT"/>
    <x v="10"/>
    <x v="2"/>
    <s v="GBPR_WOODWASTE_GOT"/>
    <x v="0"/>
    <x v="6"/>
    <n v="10.743782837127799"/>
    <n v="3921.48073555166"/>
    <n v="14117.330647986"/>
  </r>
  <r>
    <x v="0"/>
    <x v="2"/>
    <x v="2"/>
    <x v="9"/>
    <x v="19"/>
    <s v="SE3_HP"/>
    <x v="2"/>
    <x v="2"/>
    <s v="GBPR_MUNIWASTE_24"/>
    <x v="0"/>
    <x v="0"/>
    <n v="33.168980159344798"/>
    <n v="12106.6777581608"/>
    <n v="43584.039929379003"/>
  </r>
  <r>
    <x v="0"/>
    <x v="2"/>
    <x v="2"/>
    <x v="9"/>
    <x v="19"/>
    <s v="SE3_HP"/>
    <x v="2"/>
    <x v="2"/>
    <s v="GBPR_MUNIWASTE_24"/>
    <x v="0"/>
    <x v="1"/>
    <n v="33.168980159344798"/>
    <n v="12106.6777581608"/>
    <n v="43584.039929379003"/>
  </r>
  <r>
    <x v="0"/>
    <x v="2"/>
    <x v="2"/>
    <x v="9"/>
    <x v="19"/>
    <s v="SE3_HP"/>
    <x v="2"/>
    <x v="2"/>
    <s v="GBPR_MUNIWASTE_24"/>
    <x v="0"/>
    <x v="18"/>
    <n v="33.168980159344798"/>
    <n v="12106.6777581608"/>
    <n v="43584.039929379003"/>
  </r>
  <r>
    <x v="0"/>
    <x v="2"/>
    <x v="2"/>
    <x v="9"/>
    <x v="19"/>
    <s v="SE3_HP"/>
    <x v="2"/>
    <x v="2"/>
    <s v="GBPR_MUNIWASTE_24"/>
    <x v="0"/>
    <x v="2"/>
    <n v="33.168980159344798"/>
    <n v="12106.6777581608"/>
    <n v="43584.039929379003"/>
  </r>
  <r>
    <x v="0"/>
    <x v="2"/>
    <x v="2"/>
    <x v="9"/>
    <x v="19"/>
    <s v="SE3_HP"/>
    <x v="2"/>
    <x v="2"/>
    <s v="GBPR_MUNIWASTE_24"/>
    <x v="0"/>
    <x v="3"/>
    <n v="33.168980159344798"/>
    <n v="12106.6777581608"/>
    <n v="43584.039929379003"/>
  </r>
  <r>
    <x v="0"/>
    <x v="2"/>
    <x v="2"/>
    <x v="9"/>
    <x v="19"/>
    <s v="SE3_HP"/>
    <x v="2"/>
    <x v="2"/>
    <s v="GBPR_MUNIWASTE_24"/>
    <x v="0"/>
    <x v="4"/>
    <n v="33.168980159344798"/>
    <n v="12106.6777581608"/>
    <n v="43584.039929379003"/>
  </r>
  <r>
    <x v="0"/>
    <x v="2"/>
    <x v="2"/>
    <x v="9"/>
    <x v="19"/>
    <s v="SE3_HP"/>
    <x v="2"/>
    <x v="2"/>
    <s v="GBPR_MUNIWASTE_24"/>
    <x v="0"/>
    <x v="5"/>
    <n v="33.168980159344798"/>
    <n v="12106.6777581608"/>
    <n v="43584.039929379003"/>
  </r>
  <r>
    <x v="0"/>
    <x v="2"/>
    <x v="2"/>
    <x v="9"/>
    <x v="19"/>
    <s v="SE3_HP"/>
    <x v="2"/>
    <x v="2"/>
    <s v="GBPR_MUNIWASTE_24"/>
    <x v="0"/>
    <x v="6"/>
    <n v="33.168980159344798"/>
    <n v="12106.6777581608"/>
    <n v="43584.039929379003"/>
  </r>
  <r>
    <x v="0"/>
    <x v="2"/>
    <x v="2"/>
    <x v="9"/>
    <x v="19"/>
    <s v="SE3_HP"/>
    <x v="2"/>
    <x v="2"/>
    <s v="GBPR_MUNIWASTE_24"/>
    <x v="0"/>
    <x v="7"/>
    <n v="33.168980159344798"/>
    <n v="12106.6777581608"/>
    <n v="43584.039929379003"/>
  </r>
  <r>
    <x v="0"/>
    <x v="2"/>
    <x v="2"/>
    <x v="9"/>
    <x v="19"/>
    <s v="SE3_HP"/>
    <x v="2"/>
    <x v="2"/>
    <s v="GBPR_MUNIWASTE_24"/>
    <x v="0"/>
    <x v="8"/>
    <n v="33.168980159344798"/>
    <n v="12106.6777581608"/>
    <n v="43584.039929379003"/>
  </r>
  <r>
    <x v="0"/>
    <x v="2"/>
    <x v="2"/>
    <x v="9"/>
    <x v="19"/>
    <s v="SE3_HP"/>
    <x v="2"/>
    <x v="2"/>
    <s v="GBPR_MUNIWASTE_24"/>
    <x v="0"/>
    <x v="9"/>
    <n v="33.168980159344798"/>
    <n v="12106.6777581608"/>
    <n v="43584.039929379003"/>
  </r>
  <r>
    <x v="0"/>
    <x v="2"/>
    <x v="2"/>
    <x v="9"/>
    <x v="19"/>
    <s v="SE3_HP"/>
    <x v="2"/>
    <x v="2"/>
    <s v="GBPR_MUNIWASTE_24"/>
    <x v="0"/>
    <x v="10"/>
    <n v="33.168980159344798"/>
    <n v="12106.6777581608"/>
    <n v="43584.039929379003"/>
  </r>
  <r>
    <x v="0"/>
    <x v="2"/>
    <x v="2"/>
    <x v="9"/>
    <x v="19"/>
    <s v="SE3_HP"/>
    <x v="2"/>
    <x v="2"/>
    <s v="GBPR_MUNIWASTE_24"/>
    <x v="0"/>
    <x v="11"/>
    <n v="33.168980159344798"/>
    <n v="12106.6777581608"/>
    <n v="43584.039929379003"/>
  </r>
  <r>
    <x v="0"/>
    <x v="2"/>
    <x v="2"/>
    <x v="9"/>
    <x v="19"/>
    <s v="SE3_HP"/>
    <x v="2"/>
    <x v="2"/>
    <s v="GBPR_MUNIWASTE_24"/>
    <x v="0"/>
    <x v="12"/>
    <n v="33.168980159344798"/>
    <n v="12106.6777581608"/>
    <n v="43584.039929379003"/>
  </r>
  <r>
    <x v="0"/>
    <x v="2"/>
    <x v="2"/>
    <x v="9"/>
    <x v="19"/>
    <s v="SE3_HP"/>
    <x v="2"/>
    <x v="2"/>
    <s v="GBPR_MUNIWASTE_24"/>
    <x v="0"/>
    <x v="13"/>
    <n v="33.168980159344798"/>
    <n v="12106.6777581608"/>
    <n v="43584.039929379003"/>
  </r>
  <r>
    <x v="0"/>
    <x v="2"/>
    <x v="2"/>
    <x v="9"/>
    <x v="19"/>
    <s v="SE3_HP"/>
    <x v="2"/>
    <x v="2"/>
    <s v="GBPR_MUNIWASTE_24"/>
    <x v="0"/>
    <x v="14"/>
    <n v="33.168980159344798"/>
    <n v="12106.6777581608"/>
    <n v="43584.039929379003"/>
  </r>
  <r>
    <x v="0"/>
    <x v="2"/>
    <x v="2"/>
    <x v="9"/>
    <x v="19"/>
    <s v="SE3_HP"/>
    <x v="2"/>
    <x v="2"/>
    <s v="GBPR_MUNIWASTE_24"/>
    <x v="0"/>
    <x v="15"/>
    <n v="33.168980159344798"/>
    <n v="12106.6777581608"/>
    <n v="43584.039929379003"/>
  </r>
  <r>
    <x v="0"/>
    <x v="2"/>
    <x v="2"/>
    <x v="9"/>
    <x v="19"/>
    <s v="SE3_HP"/>
    <x v="2"/>
    <x v="2"/>
    <s v="GBPR_MUNIWASTE_24"/>
    <x v="0"/>
    <x v="16"/>
    <n v="33.168980159344798"/>
    <n v="12106.6777581608"/>
    <n v="43584.039929379003"/>
  </r>
  <r>
    <x v="0"/>
    <x v="2"/>
    <x v="2"/>
    <x v="9"/>
    <x v="19"/>
    <s v="SE3_HP"/>
    <x v="2"/>
    <x v="2"/>
    <s v="GBPR_MUNIWASTE_24"/>
    <x v="0"/>
    <x v="17"/>
    <n v="33.168980159344798"/>
    <n v="12106.6777581608"/>
    <n v="43584.039929379003"/>
  </r>
  <r>
    <x v="0"/>
    <x v="2"/>
    <x v="2"/>
    <x v="9"/>
    <x v="19"/>
    <s v="SE3_HP"/>
    <x v="2"/>
    <x v="2"/>
    <s v="GBPR_MUNIWASTE_24"/>
    <x v="0"/>
    <x v="19"/>
    <n v="33.168980159344798"/>
    <n v="12106.6777581608"/>
    <n v="43584.039929379003"/>
  </r>
  <r>
    <x v="0"/>
    <x v="2"/>
    <x v="2"/>
    <x v="9"/>
    <x v="19"/>
    <s v="SE3_HP"/>
    <x v="2"/>
    <x v="2"/>
    <s v="GBPR_MUNIWASTE_24"/>
    <x v="0"/>
    <x v="20"/>
    <n v="33.168980159344798"/>
    <n v="12106.6777581608"/>
    <n v="43584.039929379003"/>
  </r>
  <r>
    <x v="0"/>
    <x v="2"/>
    <x v="2"/>
    <x v="9"/>
    <x v="19"/>
    <s v="SE3_HP"/>
    <x v="2"/>
    <x v="2"/>
    <s v="GBPR_MUNIWASTE_24"/>
    <x v="0"/>
    <x v="21"/>
    <n v="33.168980159344798"/>
    <n v="12106.6777581608"/>
    <n v="43584.039929379003"/>
  </r>
  <r>
    <x v="0"/>
    <x v="2"/>
    <x v="2"/>
    <x v="9"/>
    <x v="19"/>
    <s v="SE3_HP"/>
    <x v="2"/>
    <x v="2"/>
    <s v="GBPR_MUNIWASTE_24"/>
    <x v="0"/>
    <x v="22"/>
    <n v="33.168980159344798"/>
    <n v="12106.6777581608"/>
    <n v="43584.039929379003"/>
  </r>
  <r>
    <x v="0"/>
    <x v="2"/>
    <x v="2"/>
    <x v="9"/>
    <x v="19"/>
    <s v="SE3_HP"/>
    <x v="2"/>
    <x v="2"/>
    <s v="GBPR_MUNIWASTE_24"/>
    <x v="0"/>
    <x v="23"/>
    <n v="33.168980159344798"/>
    <n v="12106.6777581608"/>
    <n v="43584.039929379003"/>
  </r>
  <r>
    <x v="0"/>
    <x v="2"/>
    <x v="2"/>
    <x v="9"/>
    <x v="19"/>
    <s v="SE3_HP"/>
    <x v="10"/>
    <x v="2"/>
    <s v="GBPR_WOODWASTE_36"/>
    <x v="0"/>
    <x v="0"/>
    <n v="24.793345008756599"/>
    <n v="9049.5709281961499"/>
    <n v="32578.455341506098"/>
  </r>
  <r>
    <x v="0"/>
    <x v="2"/>
    <x v="2"/>
    <x v="9"/>
    <x v="19"/>
    <s v="SE3_HP"/>
    <x v="10"/>
    <x v="2"/>
    <s v="GBPR_WOODWASTE_36"/>
    <x v="0"/>
    <x v="1"/>
    <n v="24.793345008756599"/>
    <n v="9049.5709281961499"/>
    <n v="32578.455341506098"/>
  </r>
  <r>
    <x v="0"/>
    <x v="2"/>
    <x v="2"/>
    <x v="9"/>
    <x v="19"/>
    <s v="SE3_HP"/>
    <x v="10"/>
    <x v="2"/>
    <s v="GBPR_WOODWASTE_36"/>
    <x v="0"/>
    <x v="18"/>
    <n v="24.793345008756599"/>
    <n v="9049.5709281961499"/>
    <n v="32578.455341506098"/>
  </r>
  <r>
    <x v="0"/>
    <x v="2"/>
    <x v="2"/>
    <x v="9"/>
    <x v="19"/>
    <s v="SE3_HP"/>
    <x v="10"/>
    <x v="2"/>
    <s v="GBPR_WOODWASTE_36"/>
    <x v="0"/>
    <x v="2"/>
    <n v="24.793345008756599"/>
    <n v="9049.5709281961499"/>
    <n v="32578.455341506098"/>
  </r>
  <r>
    <x v="0"/>
    <x v="2"/>
    <x v="2"/>
    <x v="9"/>
    <x v="19"/>
    <s v="SE3_HP"/>
    <x v="10"/>
    <x v="2"/>
    <s v="GBPR_WOODWASTE_36"/>
    <x v="0"/>
    <x v="3"/>
    <n v="24.793345008756599"/>
    <n v="9049.5709281961499"/>
    <n v="32578.455341506098"/>
  </r>
  <r>
    <x v="0"/>
    <x v="2"/>
    <x v="2"/>
    <x v="9"/>
    <x v="19"/>
    <s v="SE3_HP"/>
    <x v="10"/>
    <x v="2"/>
    <s v="GBPR_WOODWASTE_36"/>
    <x v="0"/>
    <x v="4"/>
    <n v="24.793345008756599"/>
    <n v="9049.5709281961499"/>
    <n v="32578.455341506098"/>
  </r>
  <r>
    <x v="0"/>
    <x v="2"/>
    <x v="2"/>
    <x v="9"/>
    <x v="19"/>
    <s v="SE3_HP"/>
    <x v="10"/>
    <x v="2"/>
    <s v="GBPR_WOODWASTE_36"/>
    <x v="0"/>
    <x v="5"/>
    <n v="24.793345008756599"/>
    <n v="9049.5709281961499"/>
    <n v="32578.455341506098"/>
  </r>
  <r>
    <x v="0"/>
    <x v="2"/>
    <x v="2"/>
    <x v="9"/>
    <x v="19"/>
    <s v="SE3_HP"/>
    <x v="10"/>
    <x v="2"/>
    <s v="GBPR_WOODWASTE_36"/>
    <x v="0"/>
    <x v="6"/>
    <n v="24.793345008756599"/>
    <n v="9049.5709281961499"/>
    <n v="32578.455341506098"/>
  </r>
  <r>
    <x v="0"/>
    <x v="2"/>
    <x v="2"/>
    <x v="9"/>
    <x v="19"/>
    <s v="SE3_HP"/>
    <x v="10"/>
    <x v="2"/>
    <s v="GBPR_WOODWASTE_36"/>
    <x v="0"/>
    <x v="7"/>
    <n v="24.793345008756599"/>
    <n v="9049.5709281961499"/>
    <n v="32578.455341506098"/>
  </r>
  <r>
    <x v="0"/>
    <x v="2"/>
    <x v="2"/>
    <x v="9"/>
    <x v="19"/>
    <s v="SE3_HP"/>
    <x v="10"/>
    <x v="2"/>
    <s v="GBPR_WOODWASTE_36"/>
    <x v="0"/>
    <x v="8"/>
    <n v="24.793345008756599"/>
    <n v="9049.5709281961499"/>
    <n v="32578.455341506098"/>
  </r>
  <r>
    <x v="0"/>
    <x v="2"/>
    <x v="2"/>
    <x v="9"/>
    <x v="19"/>
    <s v="SE3_HP"/>
    <x v="10"/>
    <x v="2"/>
    <s v="GBPR_WOODWASTE_36"/>
    <x v="0"/>
    <x v="9"/>
    <n v="24.793345008756599"/>
    <n v="9049.5709281961499"/>
    <n v="32578.455341506098"/>
  </r>
  <r>
    <x v="0"/>
    <x v="2"/>
    <x v="2"/>
    <x v="9"/>
    <x v="19"/>
    <s v="SE3_HP"/>
    <x v="10"/>
    <x v="2"/>
    <s v="GBPR_WOODWASTE_36"/>
    <x v="0"/>
    <x v="10"/>
    <n v="24.793345008756599"/>
    <n v="9049.5709281961499"/>
    <n v="32578.455341506098"/>
  </r>
  <r>
    <x v="0"/>
    <x v="2"/>
    <x v="2"/>
    <x v="9"/>
    <x v="19"/>
    <s v="SE3_HP"/>
    <x v="10"/>
    <x v="2"/>
    <s v="GBPR_WOODWASTE_36"/>
    <x v="0"/>
    <x v="11"/>
    <n v="24.793345008756599"/>
    <n v="9049.5709281961499"/>
    <n v="32578.455341506098"/>
  </r>
  <r>
    <x v="0"/>
    <x v="2"/>
    <x v="2"/>
    <x v="9"/>
    <x v="19"/>
    <s v="SE3_HP"/>
    <x v="10"/>
    <x v="2"/>
    <s v="GBPR_WOODWASTE_36"/>
    <x v="0"/>
    <x v="12"/>
    <n v="24.793345008756599"/>
    <n v="9049.5709281961499"/>
    <n v="32578.455341506098"/>
  </r>
  <r>
    <x v="0"/>
    <x v="2"/>
    <x v="2"/>
    <x v="9"/>
    <x v="19"/>
    <s v="SE3_HP"/>
    <x v="10"/>
    <x v="2"/>
    <s v="GBPR_WOODWASTE_36"/>
    <x v="0"/>
    <x v="13"/>
    <n v="24.793345008756599"/>
    <n v="9049.5709281961499"/>
    <n v="32578.455341506098"/>
  </r>
  <r>
    <x v="0"/>
    <x v="2"/>
    <x v="2"/>
    <x v="9"/>
    <x v="19"/>
    <s v="SE3_HP"/>
    <x v="10"/>
    <x v="2"/>
    <s v="GBPR_WOODWASTE_36"/>
    <x v="0"/>
    <x v="14"/>
    <n v="24.793345008756599"/>
    <n v="9049.5709281961499"/>
    <n v="32578.455341506098"/>
  </r>
  <r>
    <x v="0"/>
    <x v="2"/>
    <x v="2"/>
    <x v="9"/>
    <x v="19"/>
    <s v="SE3_HP"/>
    <x v="10"/>
    <x v="2"/>
    <s v="GBPR_WOODWASTE_36"/>
    <x v="0"/>
    <x v="15"/>
    <n v="24.793345008756599"/>
    <n v="9049.5709281961499"/>
    <n v="32578.455341506098"/>
  </r>
  <r>
    <x v="0"/>
    <x v="2"/>
    <x v="2"/>
    <x v="9"/>
    <x v="19"/>
    <s v="SE3_HP"/>
    <x v="10"/>
    <x v="2"/>
    <s v="GBPR_WOODWASTE_36"/>
    <x v="0"/>
    <x v="16"/>
    <n v="24.793345008756599"/>
    <n v="9049.5709281961499"/>
    <n v="32578.455341506098"/>
  </r>
  <r>
    <x v="0"/>
    <x v="2"/>
    <x v="2"/>
    <x v="9"/>
    <x v="19"/>
    <s v="SE3_HP"/>
    <x v="10"/>
    <x v="2"/>
    <s v="GBPR_WOODWASTE_36"/>
    <x v="0"/>
    <x v="17"/>
    <n v="24.793345008756599"/>
    <n v="9049.5709281961499"/>
    <n v="32578.455341506098"/>
  </r>
  <r>
    <x v="0"/>
    <x v="2"/>
    <x v="2"/>
    <x v="9"/>
    <x v="19"/>
    <s v="SE3_HP"/>
    <x v="10"/>
    <x v="2"/>
    <s v="GBPR_WOODWASTE_36"/>
    <x v="0"/>
    <x v="19"/>
    <n v="24.793345008756599"/>
    <n v="9049.5709281961499"/>
    <n v="32578.455341506098"/>
  </r>
  <r>
    <x v="0"/>
    <x v="2"/>
    <x v="2"/>
    <x v="9"/>
    <x v="19"/>
    <s v="SE3_HP"/>
    <x v="10"/>
    <x v="2"/>
    <s v="GBPR_WOODWASTE_36"/>
    <x v="0"/>
    <x v="20"/>
    <n v="24.793345008756599"/>
    <n v="9049.5709281961499"/>
    <n v="32578.455341506098"/>
  </r>
  <r>
    <x v="0"/>
    <x v="2"/>
    <x v="2"/>
    <x v="9"/>
    <x v="19"/>
    <s v="SE3_HP"/>
    <x v="10"/>
    <x v="2"/>
    <s v="GBPR_WOODWASTE_36"/>
    <x v="0"/>
    <x v="21"/>
    <n v="24.793345008756599"/>
    <n v="9049.5709281961499"/>
    <n v="32578.455341506098"/>
  </r>
  <r>
    <x v="0"/>
    <x v="2"/>
    <x v="2"/>
    <x v="9"/>
    <x v="19"/>
    <s v="SE3_HP"/>
    <x v="10"/>
    <x v="2"/>
    <s v="GBPR_WOODWASTE_36"/>
    <x v="0"/>
    <x v="22"/>
    <n v="24.793345008756599"/>
    <n v="9049.5709281961499"/>
    <n v="32578.455341506098"/>
  </r>
  <r>
    <x v="0"/>
    <x v="2"/>
    <x v="2"/>
    <x v="9"/>
    <x v="19"/>
    <s v="SE3_HP"/>
    <x v="10"/>
    <x v="2"/>
    <s v="GBPR_WOODWASTE_36"/>
    <x v="0"/>
    <x v="23"/>
    <n v="24.793345008756599"/>
    <n v="9049.5709281961499"/>
    <n v="32578.455341506098"/>
  </r>
  <r>
    <x v="0"/>
    <x v="2"/>
    <x v="2"/>
    <x v="9"/>
    <x v="19"/>
    <s v="SE3_HP"/>
    <x v="10"/>
    <x v="0"/>
    <s v="GEXT_WOODWASTE"/>
    <x v="0"/>
    <x v="0"/>
    <n v="168.26339257970301"/>
    <n v="61416.138291591502"/>
    <n v="221098.09784972999"/>
  </r>
  <r>
    <x v="0"/>
    <x v="2"/>
    <x v="2"/>
    <x v="9"/>
    <x v="19"/>
    <s v="SE3_HP"/>
    <x v="10"/>
    <x v="0"/>
    <s v="GEXT_WOODWASTE"/>
    <x v="0"/>
    <x v="1"/>
    <n v="168.26339257970301"/>
    <n v="61416.138291591502"/>
    <n v="221098.09784972999"/>
  </r>
  <r>
    <x v="0"/>
    <x v="2"/>
    <x v="2"/>
    <x v="9"/>
    <x v="19"/>
    <s v="SE3_HP"/>
    <x v="10"/>
    <x v="0"/>
    <s v="GEXT_WOODWASTE"/>
    <x v="0"/>
    <x v="18"/>
    <n v="168.26339257970301"/>
    <n v="61416.138291591502"/>
    <n v="221098.09784972999"/>
  </r>
  <r>
    <x v="0"/>
    <x v="2"/>
    <x v="2"/>
    <x v="9"/>
    <x v="19"/>
    <s v="SE3_HP"/>
    <x v="10"/>
    <x v="0"/>
    <s v="GEXT_WOODWASTE"/>
    <x v="0"/>
    <x v="2"/>
    <n v="168.26339257970301"/>
    <n v="61416.138291591502"/>
    <n v="221098.09784972999"/>
  </r>
  <r>
    <x v="0"/>
    <x v="2"/>
    <x v="2"/>
    <x v="9"/>
    <x v="19"/>
    <s v="SE3_HP"/>
    <x v="10"/>
    <x v="0"/>
    <s v="GEXT_WOODWASTE"/>
    <x v="0"/>
    <x v="3"/>
    <n v="168.26339257970301"/>
    <n v="61416.138291591502"/>
    <n v="221098.09784972999"/>
  </r>
  <r>
    <x v="0"/>
    <x v="2"/>
    <x v="2"/>
    <x v="9"/>
    <x v="19"/>
    <s v="SE3_HP"/>
    <x v="10"/>
    <x v="0"/>
    <s v="GEXT_WOODWASTE"/>
    <x v="0"/>
    <x v="4"/>
    <n v="168.26339257970301"/>
    <n v="61416.138291591502"/>
    <n v="221098.09784972999"/>
  </r>
  <r>
    <x v="0"/>
    <x v="2"/>
    <x v="2"/>
    <x v="9"/>
    <x v="19"/>
    <s v="SE3_HP"/>
    <x v="10"/>
    <x v="0"/>
    <s v="GEXT_WOODWASTE"/>
    <x v="0"/>
    <x v="5"/>
    <n v="168.26339257970301"/>
    <n v="61416.138291591502"/>
    <n v="221098.09784972999"/>
  </r>
  <r>
    <x v="0"/>
    <x v="2"/>
    <x v="2"/>
    <x v="9"/>
    <x v="19"/>
    <s v="SE3_HP"/>
    <x v="10"/>
    <x v="0"/>
    <s v="GEXT_WOODWASTE"/>
    <x v="0"/>
    <x v="6"/>
    <n v="168.26339257970301"/>
    <n v="61416.138291591502"/>
    <n v="221098.09784972999"/>
  </r>
  <r>
    <x v="0"/>
    <x v="2"/>
    <x v="2"/>
    <x v="9"/>
    <x v="19"/>
    <s v="SE3_HP"/>
    <x v="10"/>
    <x v="0"/>
    <s v="GEXT_WOODWASTE"/>
    <x v="0"/>
    <x v="7"/>
    <n v="168.26339257970301"/>
    <n v="61416.138291591502"/>
    <n v="221098.09784972999"/>
  </r>
  <r>
    <x v="0"/>
    <x v="2"/>
    <x v="2"/>
    <x v="9"/>
    <x v="19"/>
    <s v="SE3_HP"/>
    <x v="10"/>
    <x v="0"/>
    <s v="GEXT_WOODWASTE"/>
    <x v="0"/>
    <x v="8"/>
    <n v="168.26339257970301"/>
    <n v="61416.138291591502"/>
    <n v="221098.09784972999"/>
  </r>
  <r>
    <x v="0"/>
    <x v="2"/>
    <x v="2"/>
    <x v="9"/>
    <x v="19"/>
    <s v="SE3_HP"/>
    <x v="10"/>
    <x v="0"/>
    <s v="GEXT_WOODWASTE"/>
    <x v="0"/>
    <x v="9"/>
    <n v="168.26339257970301"/>
    <n v="61416.138291591502"/>
    <n v="221098.09784972999"/>
  </r>
  <r>
    <x v="0"/>
    <x v="2"/>
    <x v="2"/>
    <x v="9"/>
    <x v="19"/>
    <s v="SE3_HP"/>
    <x v="10"/>
    <x v="0"/>
    <s v="GEXT_WOODWASTE"/>
    <x v="0"/>
    <x v="10"/>
    <n v="168.26339257970301"/>
    <n v="61416.138291591502"/>
    <n v="221098.09784972999"/>
  </r>
  <r>
    <x v="0"/>
    <x v="2"/>
    <x v="2"/>
    <x v="9"/>
    <x v="19"/>
    <s v="SE3_HP"/>
    <x v="10"/>
    <x v="0"/>
    <s v="GEXT_WOODWASTE"/>
    <x v="0"/>
    <x v="11"/>
    <n v="168.26339257970301"/>
    <n v="61416.138291591502"/>
    <n v="221098.09784972999"/>
  </r>
  <r>
    <x v="0"/>
    <x v="2"/>
    <x v="2"/>
    <x v="9"/>
    <x v="19"/>
    <s v="SE3_HP"/>
    <x v="10"/>
    <x v="0"/>
    <s v="GEXT_WOODWASTE"/>
    <x v="0"/>
    <x v="12"/>
    <n v="168.26339257970301"/>
    <n v="61416.138291591502"/>
    <n v="221098.09784972999"/>
  </r>
  <r>
    <x v="0"/>
    <x v="2"/>
    <x v="2"/>
    <x v="9"/>
    <x v="19"/>
    <s v="SE3_HP"/>
    <x v="10"/>
    <x v="0"/>
    <s v="GEXT_WOODWASTE"/>
    <x v="0"/>
    <x v="13"/>
    <n v="168.26339257970301"/>
    <n v="61416.138291591502"/>
    <n v="221098.09784972999"/>
  </r>
  <r>
    <x v="0"/>
    <x v="2"/>
    <x v="2"/>
    <x v="9"/>
    <x v="19"/>
    <s v="SE3_HP"/>
    <x v="10"/>
    <x v="0"/>
    <s v="GEXT_WOODWASTE"/>
    <x v="0"/>
    <x v="14"/>
    <n v="168.26339257970301"/>
    <n v="61416.138291591502"/>
    <n v="221098.09784972999"/>
  </r>
  <r>
    <x v="0"/>
    <x v="2"/>
    <x v="2"/>
    <x v="9"/>
    <x v="19"/>
    <s v="SE3_HP"/>
    <x v="10"/>
    <x v="0"/>
    <s v="GEXT_WOODWASTE"/>
    <x v="0"/>
    <x v="15"/>
    <n v="168.26339257970301"/>
    <n v="61416.138291591502"/>
    <n v="221098.09784972999"/>
  </r>
  <r>
    <x v="0"/>
    <x v="2"/>
    <x v="2"/>
    <x v="9"/>
    <x v="19"/>
    <s v="SE3_HP"/>
    <x v="10"/>
    <x v="0"/>
    <s v="GEXT_WOODWASTE"/>
    <x v="0"/>
    <x v="16"/>
    <n v="168.26339257970301"/>
    <n v="61416.138291591502"/>
    <n v="221098.09784972999"/>
  </r>
  <r>
    <x v="0"/>
    <x v="2"/>
    <x v="2"/>
    <x v="9"/>
    <x v="19"/>
    <s v="SE3_HP"/>
    <x v="10"/>
    <x v="0"/>
    <s v="GEXT_WOODWASTE"/>
    <x v="0"/>
    <x v="17"/>
    <n v="168.26339257970301"/>
    <n v="61416.138291591502"/>
    <n v="221098.09784972999"/>
  </r>
  <r>
    <x v="0"/>
    <x v="2"/>
    <x v="2"/>
    <x v="9"/>
    <x v="19"/>
    <s v="SE3_HP"/>
    <x v="10"/>
    <x v="0"/>
    <s v="GEXT_WOODWASTE"/>
    <x v="0"/>
    <x v="19"/>
    <n v="168.26339257970301"/>
    <n v="61416.138291591502"/>
    <n v="221098.09784972999"/>
  </r>
  <r>
    <x v="0"/>
    <x v="2"/>
    <x v="2"/>
    <x v="9"/>
    <x v="19"/>
    <s v="SE3_HP"/>
    <x v="10"/>
    <x v="0"/>
    <s v="GEXT_WOODWASTE"/>
    <x v="0"/>
    <x v="20"/>
    <n v="168.26339257970301"/>
    <n v="61416.138291591502"/>
    <n v="221098.09784972999"/>
  </r>
  <r>
    <x v="0"/>
    <x v="2"/>
    <x v="2"/>
    <x v="9"/>
    <x v="19"/>
    <s v="SE3_HP"/>
    <x v="10"/>
    <x v="0"/>
    <s v="GEXT_WOODWASTE"/>
    <x v="0"/>
    <x v="21"/>
    <n v="168.26339257970301"/>
    <n v="61416.138291591502"/>
    <n v="221098.09784972999"/>
  </r>
  <r>
    <x v="0"/>
    <x v="2"/>
    <x v="2"/>
    <x v="9"/>
    <x v="19"/>
    <s v="SE3_HP"/>
    <x v="10"/>
    <x v="0"/>
    <s v="GEXT_WOODWASTE"/>
    <x v="0"/>
    <x v="22"/>
    <n v="168.26339257970301"/>
    <n v="61416.138291591502"/>
    <n v="221098.09784972999"/>
  </r>
  <r>
    <x v="0"/>
    <x v="2"/>
    <x v="2"/>
    <x v="9"/>
    <x v="19"/>
    <s v="SE3_HP"/>
    <x v="10"/>
    <x v="0"/>
    <s v="GEXT_WOODWASTE"/>
    <x v="0"/>
    <x v="23"/>
    <n v="168.26339257970301"/>
    <n v="61416.138291591502"/>
    <n v="221098.09784972999"/>
  </r>
  <r>
    <x v="0"/>
    <x v="2"/>
    <x v="2"/>
    <x v="9"/>
    <x v="19"/>
    <s v="SE3_OTHER"/>
    <x v="2"/>
    <x v="2"/>
    <s v="GBPR_MUNIWASTE_24"/>
    <x v="0"/>
    <x v="0"/>
    <n v="28.917506225872899"/>
    <n v="10554.889772443599"/>
    <n v="37997.603180796898"/>
  </r>
  <r>
    <x v="0"/>
    <x v="2"/>
    <x v="2"/>
    <x v="9"/>
    <x v="19"/>
    <s v="SE3_OTHER"/>
    <x v="2"/>
    <x v="2"/>
    <s v="GBPR_MUNIWASTE_24"/>
    <x v="0"/>
    <x v="1"/>
    <n v="28.917506225872899"/>
    <n v="10554.889772443599"/>
    <n v="37997.603180796898"/>
  </r>
  <r>
    <x v="0"/>
    <x v="2"/>
    <x v="2"/>
    <x v="9"/>
    <x v="19"/>
    <s v="SE3_OTHER"/>
    <x v="2"/>
    <x v="2"/>
    <s v="GBPR_MUNIWASTE_24"/>
    <x v="0"/>
    <x v="18"/>
    <n v="28.917506225872899"/>
    <n v="10554.889772443599"/>
    <n v="37997.603180796898"/>
  </r>
  <r>
    <x v="0"/>
    <x v="2"/>
    <x v="2"/>
    <x v="9"/>
    <x v="19"/>
    <s v="SE3_OTHER"/>
    <x v="2"/>
    <x v="2"/>
    <s v="GBPR_MUNIWASTE_24"/>
    <x v="0"/>
    <x v="2"/>
    <n v="28.917506225872899"/>
    <n v="10554.889772443599"/>
    <n v="37997.603180796898"/>
  </r>
  <r>
    <x v="0"/>
    <x v="2"/>
    <x v="2"/>
    <x v="9"/>
    <x v="19"/>
    <s v="SE3_OTHER"/>
    <x v="2"/>
    <x v="2"/>
    <s v="GBPR_MUNIWASTE_24"/>
    <x v="0"/>
    <x v="3"/>
    <n v="28.917506225872899"/>
    <n v="10554.889772443599"/>
    <n v="37997.603180796898"/>
  </r>
  <r>
    <x v="0"/>
    <x v="2"/>
    <x v="2"/>
    <x v="9"/>
    <x v="19"/>
    <s v="SE3_OTHER"/>
    <x v="2"/>
    <x v="2"/>
    <s v="GBPR_MUNIWASTE_24"/>
    <x v="0"/>
    <x v="4"/>
    <n v="28.917506225872899"/>
    <n v="10554.889772443599"/>
    <n v="37997.603180796898"/>
  </r>
  <r>
    <x v="0"/>
    <x v="2"/>
    <x v="2"/>
    <x v="9"/>
    <x v="19"/>
    <s v="SE3_OTHER"/>
    <x v="2"/>
    <x v="2"/>
    <s v="GBPR_MUNIWASTE_24"/>
    <x v="0"/>
    <x v="5"/>
    <n v="28.917506225872899"/>
    <n v="10554.889772443599"/>
    <n v="37997.603180796898"/>
  </r>
  <r>
    <x v="0"/>
    <x v="2"/>
    <x v="2"/>
    <x v="9"/>
    <x v="19"/>
    <s v="SE3_OTHER"/>
    <x v="2"/>
    <x v="2"/>
    <s v="GBPR_MUNIWASTE_24"/>
    <x v="0"/>
    <x v="6"/>
    <n v="28.917506225872899"/>
    <n v="10554.889772443599"/>
    <n v="37997.603180796898"/>
  </r>
  <r>
    <x v="0"/>
    <x v="2"/>
    <x v="2"/>
    <x v="9"/>
    <x v="19"/>
    <s v="SE3_OTHER"/>
    <x v="2"/>
    <x v="2"/>
    <s v="GBPR_MUNIWASTE_24"/>
    <x v="0"/>
    <x v="7"/>
    <n v="28.917506225872899"/>
    <n v="10554.889772443599"/>
    <n v="37997.603180796898"/>
  </r>
  <r>
    <x v="0"/>
    <x v="2"/>
    <x v="2"/>
    <x v="9"/>
    <x v="19"/>
    <s v="SE3_OTHER"/>
    <x v="2"/>
    <x v="2"/>
    <s v="GBPR_MUNIWASTE_24"/>
    <x v="0"/>
    <x v="8"/>
    <n v="28.917506225872899"/>
    <n v="10554.889772443599"/>
    <n v="37997.603180796898"/>
  </r>
  <r>
    <x v="0"/>
    <x v="2"/>
    <x v="2"/>
    <x v="9"/>
    <x v="19"/>
    <s v="SE3_OTHER"/>
    <x v="2"/>
    <x v="2"/>
    <s v="GBPR_MUNIWASTE_24"/>
    <x v="0"/>
    <x v="9"/>
    <n v="28.917506225872899"/>
    <n v="10554.889772443599"/>
    <n v="37997.603180796898"/>
  </r>
  <r>
    <x v="0"/>
    <x v="2"/>
    <x v="2"/>
    <x v="9"/>
    <x v="19"/>
    <s v="SE3_OTHER"/>
    <x v="2"/>
    <x v="2"/>
    <s v="GBPR_MUNIWASTE_24"/>
    <x v="0"/>
    <x v="10"/>
    <n v="28.917506225872899"/>
    <n v="10554.889772443599"/>
    <n v="37997.603180796898"/>
  </r>
  <r>
    <x v="0"/>
    <x v="2"/>
    <x v="2"/>
    <x v="9"/>
    <x v="19"/>
    <s v="SE3_OTHER"/>
    <x v="2"/>
    <x v="2"/>
    <s v="GBPR_MUNIWASTE_24"/>
    <x v="0"/>
    <x v="11"/>
    <n v="28.917506225872899"/>
    <n v="10554.889772443599"/>
    <n v="37997.603180796898"/>
  </r>
  <r>
    <x v="0"/>
    <x v="2"/>
    <x v="2"/>
    <x v="9"/>
    <x v="19"/>
    <s v="SE3_OTHER"/>
    <x v="2"/>
    <x v="2"/>
    <s v="GBPR_MUNIWASTE_24"/>
    <x v="0"/>
    <x v="12"/>
    <n v="28.917506225872899"/>
    <n v="10554.889772443599"/>
    <n v="37997.603180796898"/>
  </r>
  <r>
    <x v="0"/>
    <x v="2"/>
    <x v="2"/>
    <x v="9"/>
    <x v="19"/>
    <s v="SE3_OTHER"/>
    <x v="2"/>
    <x v="2"/>
    <s v="GBPR_MUNIWASTE_24"/>
    <x v="0"/>
    <x v="13"/>
    <n v="28.917506225872899"/>
    <n v="10554.889772443599"/>
    <n v="37997.603180796898"/>
  </r>
  <r>
    <x v="0"/>
    <x v="2"/>
    <x v="2"/>
    <x v="9"/>
    <x v="19"/>
    <s v="SE3_OTHER"/>
    <x v="2"/>
    <x v="2"/>
    <s v="GBPR_MUNIWASTE_24"/>
    <x v="0"/>
    <x v="14"/>
    <n v="28.917506225872899"/>
    <n v="10554.889772443599"/>
    <n v="37997.603180796898"/>
  </r>
  <r>
    <x v="0"/>
    <x v="2"/>
    <x v="2"/>
    <x v="9"/>
    <x v="19"/>
    <s v="SE3_OTHER"/>
    <x v="2"/>
    <x v="2"/>
    <s v="GBPR_MUNIWASTE_24"/>
    <x v="0"/>
    <x v="15"/>
    <n v="28.917506225872899"/>
    <n v="10554.889772443599"/>
    <n v="37997.603180796898"/>
  </r>
  <r>
    <x v="0"/>
    <x v="2"/>
    <x v="2"/>
    <x v="9"/>
    <x v="19"/>
    <s v="SE3_OTHER"/>
    <x v="2"/>
    <x v="2"/>
    <s v="GBPR_MUNIWASTE_24"/>
    <x v="0"/>
    <x v="16"/>
    <n v="28.917506225872899"/>
    <n v="10554.889772443599"/>
    <n v="37997.603180796898"/>
  </r>
  <r>
    <x v="0"/>
    <x v="2"/>
    <x v="2"/>
    <x v="9"/>
    <x v="19"/>
    <s v="SE3_OTHER"/>
    <x v="2"/>
    <x v="2"/>
    <s v="GBPR_MUNIWASTE_24"/>
    <x v="0"/>
    <x v="17"/>
    <n v="28.917506225872899"/>
    <n v="10554.889772443599"/>
    <n v="37997.603180796898"/>
  </r>
  <r>
    <x v="0"/>
    <x v="2"/>
    <x v="2"/>
    <x v="9"/>
    <x v="19"/>
    <s v="SE3_OTHER"/>
    <x v="2"/>
    <x v="2"/>
    <s v="GBPR_MUNIWASTE_24"/>
    <x v="0"/>
    <x v="19"/>
    <n v="28.917506225872899"/>
    <n v="10554.889772443599"/>
    <n v="37997.603180796898"/>
  </r>
  <r>
    <x v="0"/>
    <x v="2"/>
    <x v="2"/>
    <x v="9"/>
    <x v="19"/>
    <s v="SE3_OTHER"/>
    <x v="2"/>
    <x v="2"/>
    <s v="GBPR_MUNIWASTE_24"/>
    <x v="0"/>
    <x v="20"/>
    <n v="28.917506225872899"/>
    <n v="10554.889772443599"/>
    <n v="37997.603180796898"/>
  </r>
  <r>
    <x v="0"/>
    <x v="2"/>
    <x v="2"/>
    <x v="9"/>
    <x v="19"/>
    <s v="SE3_OTHER"/>
    <x v="2"/>
    <x v="2"/>
    <s v="GBPR_MUNIWASTE_24"/>
    <x v="0"/>
    <x v="21"/>
    <n v="28.917506225872899"/>
    <n v="10554.889772443599"/>
    <n v="37997.603180796898"/>
  </r>
  <r>
    <x v="0"/>
    <x v="2"/>
    <x v="2"/>
    <x v="9"/>
    <x v="19"/>
    <s v="SE3_OTHER"/>
    <x v="2"/>
    <x v="2"/>
    <s v="GBPR_MUNIWASTE_24"/>
    <x v="0"/>
    <x v="22"/>
    <n v="28.917506225872899"/>
    <n v="10554.889772443599"/>
    <n v="37997.603180796898"/>
  </r>
  <r>
    <x v="0"/>
    <x v="2"/>
    <x v="2"/>
    <x v="9"/>
    <x v="19"/>
    <s v="SE3_OTHER"/>
    <x v="2"/>
    <x v="2"/>
    <s v="GBPR_MUNIWASTE_24"/>
    <x v="0"/>
    <x v="23"/>
    <n v="28.917506225872899"/>
    <n v="10554.889772443599"/>
    <n v="37997.603180796898"/>
  </r>
  <r>
    <x v="0"/>
    <x v="2"/>
    <x v="2"/>
    <x v="9"/>
    <x v="19"/>
    <s v="SE3_OTHER"/>
    <x v="10"/>
    <x v="2"/>
    <s v="GBPR_WOODWASTE_25"/>
    <x v="0"/>
    <x v="4"/>
    <n v="149.360812802102"/>
    <n v="54516.696672767102"/>
    <n v="196260.10802196199"/>
  </r>
  <r>
    <x v="0"/>
    <x v="2"/>
    <x v="2"/>
    <x v="9"/>
    <x v="19"/>
    <s v="SE3_OTHER"/>
    <x v="10"/>
    <x v="2"/>
    <s v="GBPR_WOODWASTE_25"/>
    <x v="0"/>
    <x v="5"/>
    <n v="149.360812802102"/>
    <n v="54516.696672767102"/>
    <n v="196260.10802196199"/>
  </r>
  <r>
    <x v="0"/>
    <x v="2"/>
    <x v="2"/>
    <x v="9"/>
    <x v="19"/>
    <s v="SE3_OTHER"/>
    <x v="10"/>
    <x v="2"/>
    <s v="GBPR_WOODWASTE_25"/>
    <x v="0"/>
    <x v="6"/>
    <n v="149.360812802102"/>
    <n v="54516.696672767102"/>
    <n v="196260.10802196199"/>
  </r>
  <r>
    <x v="0"/>
    <x v="2"/>
    <x v="2"/>
    <x v="9"/>
    <x v="19"/>
    <s v="SE3_OTHER"/>
    <x v="10"/>
    <x v="2"/>
    <s v="GBPR_WOODWASTE_25"/>
    <x v="0"/>
    <x v="7"/>
    <n v="149.360812802102"/>
    <n v="54516.696672767102"/>
    <n v="196260.10802196199"/>
  </r>
  <r>
    <x v="0"/>
    <x v="2"/>
    <x v="2"/>
    <x v="9"/>
    <x v="19"/>
    <s v="SE3_OTHER"/>
    <x v="10"/>
    <x v="2"/>
    <s v="GBPR_WOODWASTE_25"/>
    <x v="0"/>
    <x v="8"/>
    <n v="149.360812802102"/>
    <n v="54516.696672767102"/>
    <n v="196260.10802196199"/>
  </r>
  <r>
    <x v="0"/>
    <x v="2"/>
    <x v="2"/>
    <x v="9"/>
    <x v="19"/>
    <s v="SE3_OTHER"/>
    <x v="10"/>
    <x v="2"/>
    <s v="GBPR_WOODWASTE_25"/>
    <x v="0"/>
    <x v="15"/>
    <n v="149.360812802102"/>
    <n v="54516.696672767102"/>
    <n v="196260.10802196199"/>
  </r>
  <r>
    <x v="0"/>
    <x v="2"/>
    <x v="2"/>
    <x v="9"/>
    <x v="19"/>
    <s v="SE3_OTHER"/>
    <x v="10"/>
    <x v="2"/>
    <s v="GBPR_WOODWASTE_25"/>
    <x v="0"/>
    <x v="16"/>
    <n v="149.360812802102"/>
    <n v="54516.696672767102"/>
    <n v="196260.10802196199"/>
  </r>
  <r>
    <x v="0"/>
    <x v="2"/>
    <x v="2"/>
    <x v="9"/>
    <x v="19"/>
    <s v="SE3_OTHER"/>
    <x v="10"/>
    <x v="2"/>
    <s v="GBPR_WOODWASTE_25"/>
    <x v="0"/>
    <x v="17"/>
    <n v="149.360812802102"/>
    <n v="54516.696672767102"/>
    <n v="196260.10802196199"/>
  </r>
  <r>
    <x v="0"/>
    <x v="2"/>
    <x v="2"/>
    <x v="9"/>
    <x v="19"/>
    <s v="SE3_STO"/>
    <x v="2"/>
    <x v="2"/>
    <s v="GBPR_MUNIWASTE_HOGDALEN"/>
    <x v="0"/>
    <x v="0"/>
    <n v="50.189942221941898"/>
    <n v="18319.328911008801"/>
    <n v="65949.584079631706"/>
  </r>
  <r>
    <x v="0"/>
    <x v="2"/>
    <x v="2"/>
    <x v="9"/>
    <x v="19"/>
    <s v="SE3_STO"/>
    <x v="2"/>
    <x v="2"/>
    <s v="GBPR_MUNIWASTE_HOGDALEN"/>
    <x v="0"/>
    <x v="1"/>
    <n v="50.189942221941898"/>
    <n v="18319.328911008801"/>
    <n v="65949.584079631706"/>
  </r>
  <r>
    <x v="0"/>
    <x v="2"/>
    <x v="2"/>
    <x v="9"/>
    <x v="19"/>
    <s v="SE3_STO"/>
    <x v="2"/>
    <x v="2"/>
    <s v="GBPR_MUNIWASTE_HOGDALEN"/>
    <x v="0"/>
    <x v="18"/>
    <n v="50.189942221941898"/>
    <n v="18319.328911008801"/>
    <n v="65949.584079631706"/>
  </r>
  <r>
    <x v="0"/>
    <x v="2"/>
    <x v="2"/>
    <x v="9"/>
    <x v="19"/>
    <s v="SE3_STO"/>
    <x v="2"/>
    <x v="2"/>
    <s v="GBPR_MUNIWASTE_HOGDALEN"/>
    <x v="0"/>
    <x v="2"/>
    <n v="50.189942221941898"/>
    <n v="18319.328911008801"/>
    <n v="65949.584079631706"/>
  </r>
  <r>
    <x v="0"/>
    <x v="2"/>
    <x v="2"/>
    <x v="9"/>
    <x v="19"/>
    <s v="SE3_STO"/>
    <x v="2"/>
    <x v="2"/>
    <s v="GBPR_MUNIWASTE_HOGDALEN"/>
    <x v="0"/>
    <x v="3"/>
    <n v="50.189942221941898"/>
    <n v="18319.328911008801"/>
    <n v="65949.584079631706"/>
  </r>
  <r>
    <x v="0"/>
    <x v="2"/>
    <x v="2"/>
    <x v="9"/>
    <x v="19"/>
    <s v="SE3_STO"/>
    <x v="2"/>
    <x v="2"/>
    <s v="GBPR_MUNIWASTE_HOGDALEN"/>
    <x v="0"/>
    <x v="4"/>
    <n v="50.189942221941898"/>
    <n v="18319.328911008801"/>
    <n v="65949.584079631706"/>
  </r>
  <r>
    <x v="0"/>
    <x v="2"/>
    <x v="2"/>
    <x v="9"/>
    <x v="19"/>
    <s v="SE3_STO"/>
    <x v="2"/>
    <x v="2"/>
    <s v="GBPR_MUNIWASTE_HOGDALEN"/>
    <x v="0"/>
    <x v="5"/>
    <n v="50.189942221941898"/>
    <n v="18319.328911008801"/>
    <n v="65949.584079631706"/>
  </r>
  <r>
    <x v="0"/>
    <x v="2"/>
    <x v="2"/>
    <x v="9"/>
    <x v="19"/>
    <s v="SE3_STO"/>
    <x v="2"/>
    <x v="2"/>
    <s v="GBPR_MUNIWASTE_HOGDALEN"/>
    <x v="0"/>
    <x v="6"/>
    <n v="50.189942221941898"/>
    <n v="18319.328911008801"/>
    <n v="65949.584079631706"/>
  </r>
  <r>
    <x v="0"/>
    <x v="2"/>
    <x v="2"/>
    <x v="9"/>
    <x v="19"/>
    <s v="SE3_STO"/>
    <x v="2"/>
    <x v="2"/>
    <s v="GBPR_MUNIWASTE_HOGDALEN"/>
    <x v="0"/>
    <x v="7"/>
    <n v="50.189942221941898"/>
    <n v="18319.328911008801"/>
    <n v="65949.584079631706"/>
  </r>
  <r>
    <x v="0"/>
    <x v="2"/>
    <x v="2"/>
    <x v="9"/>
    <x v="19"/>
    <s v="SE3_STO"/>
    <x v="2"/>
    <x v="2"/>
    <s v="GBPR_MUNIWASTE_HOGDALEN"/>
    <x v="0"/>
    <x v="8"/>
    <n v="50.189942221941898"/>
    <n v="18319.328911008801"/>
    <n v="65949.584079631706"/>
  </r>
  <r>
    <x v="0"/>
    <x v="2"/>
    <x v="2"/>
    <x v="9"/>
    <x v="19"/>
    <s v="SE3_STO"/>
    <x v="2"/>
    <x v="2"/>
    <s v="GBPR_MUNIWASTE_HOGDALEN"/>
    <x v="0"/>
    <x v="9"/>
    <n v="50.189942221941898"/>
    <n v="18319.328911008801"/>
    <n v="65949.584079631706"/>
  </r>
  <r>
    <x v="0"/>
    <x v="2"/>
    <x v="2"/>
    <x v="9"/>
    <x v="19"/>
    <s v="SE3_STO"/>
    <x v="2"/>
    <x v="2"/>
    <s v="GBPR_MUNIWASTE_HOGDALEN"/>
    <x v="0"/>
    <x v="10"/>
    <n v="50.189942221941898"/>
    <n v="18319.328911008801"/>
    <n v="65949.584079631706"/>
  </r>
  <r>
    <x v="0"/>
    <x v="2"/>
    <x v="2"/>
    <x v="9"/>
    <x v="19"/>
    <s v="SE3_STO"/>
    <x v="2"/>
    <x v="2"/>
    <s v="GBPR_MUNIWASTE_HOGDALEN"/>
    <x v="0"/>
    <x v="11"/>
    <n v="50.189942221941898"/>
    <n v="18319.328911008801"/>
    <n v="65949.584079631706"/>
  </r>
  <r>
    <x v="0"/>
    <x v="2"/>
    <x v="2"/>
    <x v="9"/>
    <x v="19"/>
    <s v="SE3_STO"/>
    <x v="2"/>
    <x v="2"/>
    <s v="GBPR_MUNIWASTE_HOGDALEN"/>
    <x v="0"/>
    <x v="12"/>
    <n v="50.189942221941898"/>
    <n v="18319.328911008801"/>
    <n v="65949.584079631706"/>
  </r>
  <r>
    <x v="0"/>
    <x v="2"/>
    <x v="2"/>
    <x v="9"/>
    <x v="19"/>
    <s v="SE3_STO"/>
    <x v="2"/>
    <x v="2"/>
    <s v="GBPR_MUNIWASTE_HOGDALEN"/>
    <x v="0"/>
    <x v="13"/>
    <n v="50.189942221941898"/>
    <n v="18319.328911008801"/>
    <n v="65949.584079631706"/>
  </r>
  <r>
    <x v="0"/>
    <x v="2"/>
    <x v="2"/>
    <x v="9"/>
    <x v="19"/>
    <s v="SE3_STO"/>
    <x v="2"/>
    <x v="2"/>
    <s v="GBPR_MUNIWASTE_HOGDALEN"/>
    <x v="0"/>
    <x v="14"/>
    <n v="50.189942221941898"/>
    <n v="18319.328911008801"/>
    <n v="65949.584079631706"/>
  </r>
  <r>
    <x v="0"/>
    <x v="2"/>
    <x v="2"/>
    <x v="9"/>
    <x v="19"/>
    <s v="SE3_STO"/>
    <x v="2"/>
    <x v="2"/>
    <s v="GBPR_MUNIWASTE_HOGDALEN"/>
    <x v="0"/>
    <x v="15"/>
    <n v="50.189942221941898"/>
    <n v="18319.328911008801"/>
    <n v="65949.584079631706"/>
  </r>
  <r>
    <x v="0"/>
    <x v="2"/>
    <x v="2"/>
    <x v="9"/>
    <x v="19"/>
    <s v="SE3_STO"/>
    <x v="2"/>
    <x v="2"/>
    <s v="GBPR_MUNIWASTE_HOGDALEN"/>
    <x v="0"/>
    <x v="16"/>
    <n v="50.189942221941898"/>
    <n v="18319.328911008801"/>
    <n v="65949.584079631706"/>
  </r>
  <r>
    <x v="0"/>
    <x v="2"/>
    <x v="2"/>
    <x v="9"/>
    <x v="19"/>
    <s v="SE3_STO"/>
    <x v="2"/>
    <x v="2"/>
    <s v="GBPR_MUNIWASTE_HOGDALEN"/>
    <x v="0"/>
    <x v="17"/>
    <n v="50.189942221941898"/>
    <n v="18319.328911008801"/>
    <n v="65949.584079631706"/>
  </r>
  <r>
    <x v="0"/>
    <x v="2"/>
    <x v="2"/>
    <x v="9"/>
    <x v="19"/>
    <s v="SE3_STO"/>
    <x v="2"/>
    <x v="2"/>
    <s v="GBPR_MUNIWASTE_HOGDALEN"/>
    <x v="0"/>
    <x v="19"/>
    <n v="50.189942221941898"/>
    <n v="18319.328911008801"/>
    <n v="65949.584079631706"/>
  </r>
  <r>
    <x v="0"/>
    <x v="2"/>
    <x v="2"/>
    <x v="9"/>
    <x v="19"/>
    <s v="SE3_STO"/>
    <x v="2"/>
    <x v="2"/>
    <s v="GBPR_MUNIWASTE_HOGDALEN"/>
    <x v="0"/>
    <x v="20"/>
    <n v="50.189942221941898"/>
    <n v="18319.328911008801"/>
    <n v="65949.584079631706"/>
  </r>
  <r>
    <x v="0"/>
    <x v="2"/>
    <x v="2"/>
    <x v="9"/>
    <x v="19"/>
    <s v="SE3_STO"/>
    <x v="2"/>
    <x v="2"/>
    <s v="GBPR_MUNIWASTE_HOGDALEN"/>
    <x v="0"/>
    <x v="21"/>
    <n v="50.189942221941898"/>
    <n v="18319.328911008801"/>
    <n v="65949.584079631706"/>
  </r>
  <r>
    <x v="0"/>
    <x v="2"/>
    <x v="2"/>
    <x v="9"/>
    <x v="19"/>
    <s v="SE3_STO"/>
    <x v="2"/>
    <x v="2"/>
    <s v="GBPR_MUNIWASTE_HOGDALEN"/>
    <x v="0"/>
    <x v="22"/>
    <n v="50.189942221941898"/>
    <n v="18319.328911008801"/>
    <n v="65949.584079631706"/>
  </r>
  <r>
    <x v="0"/>
    <x v="2"/>
    <x v="2"/>
    <x v="9"/>
    <x v="19"/>
    <s v="SE3_STO"/>
    <x v="2"/>
    <x v="2"/>
    <s v="GBPR_MUNIWASTE_HOGDALEN"/>
    <x v="0"/>
    <x v="23"/>
    <n v="50.189942221941898"/>
    <n v="18319.328911008801"/>
    <n v="65949.584079631706"/>
  </r>
  <r>
    <x v="0"/>
    <x v="2"/>
    <x v="2"/>
    <x v="9"/>
    <x v="19"/>
    <s v="SE3_STO"/>
    <x v="10"/>
    <x v="2"/>
    <s v="GBPR_WOODWASTE"/>
    <x v="0"/>
    <x v="0"/>
    <n v="96.694045534150604"/>
    <n v="35293.326619965002"/>
    <n v="127055.97583187401"/>
  </r>
  <r>
    <x v="0"/>
    <x v="2"/>
    <x v="2"/>
    <x v="9"/>
    <x v="19"/>
    <s v="SE3_STO"/>
    <x v="10"/>
    <x v="2"/>
    <s v="GBPR_WOODWASTE"/>
    <x v="0"/>
    <x v="1"/>
    <n v="96.694045534150604"/>
    <n v="35293.326619965002"/>
    <n v="127055.97583187401"/>
  </r>
  <r>
    <x v="0"/>
    <x v="2"/>
    <x v="2"/>
    <x v="9"/>
    <x v="19"/>
    <s v="SE3_STO"/>
    <x v="10"/>
    <x v="2"/>
    <s v="GBPR_WOODWASTE"/>
    <x v="0"/>
    <x v="18"/>
    <n v="96.694045534150604"/>
    <n v="35293.326619965002"/>
    <n v="127055.97583187401"/>
  </r>
  <r>
    <x v="0"/>
    <x v="2"/>
    <x v="2"/>
    <x v="9"/>
    <x v="19"/>
    <s v="SE3_STO"/>
    <x v="10"/>
    <x v="2"/>
    <s v="GBPR_WOODWASTE"/>
    <x v="0"/>
    <x v="2"/>
    <n v="96.694045534150604"/>
    <n v="35293.326619965002"/>
    <n v="127055.97583187401"/>
  </r>
  <r>
    <x v="0"/>
    <x v="2"/>
    <x v="2"/>
    <x v="9"/>
    <x v="19"/>
    <s v="SE3_STO"/>
    <x v="10"/>
    <x v="2"/>
    <s v="GBPR_WOODWASTE"/>
    <x v="0"/>
    <x v="3"/>
    <n v="96.694045534150604"/>
    <n v="35293.326619965002"/>
    <n v="127055.97583187401"/>
  </r>
  <r>
    <x v="0"/>
    <x v="2"/>
    <x v="2"/>
    <x v="9"/>
    <x v="19"/>
    <s v="SE3_STO"/>
    <x v="10"/>
    <x v="2"/>
    <s v="GBPR_WOODWASTE"/>
    <x v="0"/>
    <x v="4"/>
    <n v="96.694045534150604"/>
    <n v="35293.326619965002"/>
    <n v="127055.97583187401"/>
  </r>
  <r>
    <x v="0"/>
    <x v="2"/>
    <x v="2"/>
    <x v="9"/>
    <x v="19"/>
    <s v="SE3_STO"/>
    <x v="10"/>
    <x v="2"/>
    <s v="GBPR_WOODWASTE"/>
    <x v="0"/>
    <x v="5"/>
    <n v="96.694045534150604"/>
    <n v="35293.326619965002"/>
    <n v="127055.97583187401"/>
  </r>
  <r>
    <x v="0"/>
    <x v="2"/>
    <x v="2"/>
    <x v="9"/>
    <x v="19"/>
    <s v="SE3_STO"/>
    <x v="10"/>
    <x v="2"/>
    <s v="GBPR_WOODWASTE"/>
    <x v="0"/>
    <x v="6"/>
    <n v="96.694045534150604"/>
    <n v="35293.326619965002"/>
    <n v="127055.97583187401"/>
  </r>
  <r>
    <x v="0"/>
    <x v="2"/>
    <x v="2"/>
    <x v="9"/>
    <x v="19"/>
    <s v="SE3_STO"/>
    <x v="10"/>
    <x v="2"/>
    <s v="GBPR_WOODWASTE"/>
    <x v="0"/>
    <x v="7"/>
    <n v="96.694045534150604"/>
    <n v="35293.326619965002"/>
    <n v="127055.97583187401"/>
  </r>
  <r>
    <x v="0"/>
    <x v="2"/>
    <x v="2"/>
    <x v="9"/>
    <x v="19"/>
    <s v="SE3_STO"/>
    <x v="10"/>
    <x v="2"/>
    <s v="GBPR_WOODWASTE"/>
    <x v="0"/>
    <x v="8"/>
    <n v="96.694045534150604"/>
    <n v="35293.326619965002"/>
    <n v="127055.97583187401"/>
  </r>
  <r>
    <x v="0"/>
    <x v="2"/>
    <x v="2"/>
    <x v="9"/>
    <x v="19"/>
    <s v="SE3_STO"/>
    <x v="10"/>
    <x v="2"/>
    <s v="GBPR_WOODWASTE"/>
    <x v="0"/>
    <x v="9"/>
    <n v="96.694045534150604"/>
    <n v="35293.326619965002"/>
    <n v="127055.97583187401"/>
  </r>
  <r>
    <x v="0"/>
    <x v="2"/>
    <x v="2"/>
    <x v="9"/>
    <x v="19"/>
    <s v="SE3_STO"/>
    <x v="10"/>
    <x v="2"/>
    <s v="GBPR_WOODWASTE"/>
    <x v="0"/>
    <x v="10"/>
    <n v="96.694045534150604"/>
    <n v="35293.326619965002"/>
    <n v="127055.97583187401"/>
  </r>
  <r>
    <x v="0"/>
    <x v="2"/>
    <x v="2"/>
    <x v="9"/>
    <x v="19"/>
    <s v="SE3_STO"/>
    <x v="10"/>
    <x v="2"/>
    <s v="GBPR_WOODWASTE"/>
    <x v="0"/>
    <x v="11"/>
    <n v="96.694045534150604"/>
    <n v="35293.326619965002"/>
    <n v="127055.97583187401"/>
  </r>
  <r>
    <x v="0"/>
    <x v="2"/>
    <x v="2"/>
    <x v="9"/>
    <x v="19"/>
    <s v="SE3_STO"/>
    <x v="10"/>
    <x v="2"/>
    <s v="GBPR_WOODWASTE"/>
    <x v="0"/>
    <x v="12"/>
    <n v="96.694045534150604"/>
    <n v="35293.326619965002"/>
    <n v="127055.97583187401"/>
  </r>
  <r>
    <x v="0"/>
    <x v="2"/>
    <x v="2"/>
    <x v="9"/>
    <x v="19"/>
    <s v="SE3_STO"/>
    <x v="10"/>
    <x v="2"/>
    <s v="GBPR_WOODWASTE"/>
    <x v="0"/>
    <x v="13"/>
    <n v="96.694045534150604"/>
    <n v="35293.326619965002"/>
    <n v="127055.97583187401"/>
  </r>
  <r>
    <x v="0"/>
    <x v="2"/>
    <x v="2"/>
    <x v="9"/>
    <x v="19"/>
    <s v="SE3_STO"/>
    <x v="10"/>
    <x v="2"/>
    <s v="GBPR_WOODWASTE"/>
    <x v="0"/>
    <x v="14"/>
    <n v="96.694045534150604"/>
    <n v="35293.326619965002"/>
    <n v="127055.97583187401"/>
  </r>
  <r>
    <x v="0"/>
    <x v="2"/>
    <x v="2"/>
    <x v="9"/>
    <x v="19"/>
    <s v="SE3_STO"/>
    <x v="10"/>
    <x v="2"/>
    <s v="GBPR_WOODWASTE"/>
    <x v="0"/>
    <x v="15"/>
    <n v="96.694045534150604"/>
    <n v="35293.326619965002"/>
    <n v="127055.97583187401"/>
  </r>
  <r>
    <x v="0"/>
    <x v="2"/>
    <x v="2"/>
    <x v="9"/>
    <x v="19"/>
    <s v="SE3_STO"/>
    <x v="10"/>
    <x v="2"/>
    <s v="GBPR_WOODWASTE"/>
    <x v="0"/>
    <x v="16"/>
    <n v="96.694045534150604"/>
    <n v="35293.326619965002"/>
    <n v="127055.97583187401"/>
  </r>
  <r>
    <x v="0"/>
    <x v="2"/>
    <x v="2"/>
    <x v="9"/>
    <x v="19"/>
    <s v="SE3_STO"/>
    <x v="10"/>
    <x v="2"/>
    <s v="GBPR_WOODWASTE"/>
    <x v="0"/>
    <x v="17"/>
    <n v="96.694045534150604"/>
    <n v="35293.326619965002"/>
    <n v="127055.97583187401"/>
  </r>
  <r>
    <x v="0"/>
    <x v="2"/>
    <x v="2"/>
    <x v="9"/>
    <x v="19"/>
    <s v="SE3_STO"/>
    <x v="10"/>
    <x v="2"/>
    <s v="GBPR_WOODWASTE"/>
    <x v="0"/>
    <x v="19"/>
    <n v="96.694045534150604"/>
    <n v="35293.326619965002"/>
    <n v="127055.97583187401"/>
  </r>
  <r>
    <x v="0"/>
    <x v="2"/>
    <x v="2"/>
    <x v="9"/>
    <x v="19"/>
    <s v="SE3_STO"/>
    <x v="10"/>
    <x v="2"/>
    <s v="GBPR_WOODWASTE"/>
    <x v="0"/>
    <x v="20"/>
    <n v="96.694045534150604"/>
    <n v="35293.326619965002"/>
    <n v="127055.97583187401"/>
  </r>
  <r>
    <x v="0"/>
    <x v="2"/>
    <x v="2"/>
    <x v="9"/>
    <x v="19"/>
    <s v="SE3_STO"/>
    <x v="10"/>
    <x v="2"/>
    <s v="GBPR_WOODWASTE"/>
    <x v="0"/>
    <x v="21"/>
    <n v="96.694045534150604"/>
    <n v="35293.326619965002"/>
    <n v="127055.97583187401"/>
  </r>
  <r>
    <x v="0"/>
    <x v="2"/>
    <x v="2"/>
    <x v="9"/>
    <x v="19"/>
    <s v="SE3_STO"/>
    <x v="10"/>
    <x v="2"/>
    <s v="GBPR_WOODWASTE"/>
    <x v="0"/>
    <x v="22"/>
    <n v="96.694045534150604"/>
    <n v="35293.326619965002"/>
    <n v="127055.97583187401"/>
  </r>
  <r>
    <x v="0"/>
    <x v="2"/>
    <x v="2"/>
    <x v="9"/>
    <x v="19"/>
    <s v="SE3_STO"/>
    <x v="10"/>
    <x v="2"/>
    <s v="GBPR_WOODWASTE"/>
    <x v="0"/>
    <x v="23"/>
    <n v="96.694045534150604"/>
    <n v="35293.326619965002"/>
    <n v="127055.97583187401"/>
  </r>
  <r>
    <x v="0"/>
    <x v="2"/>
    <x v="2"/>
    <x v="9"/>
    <x v="19"/>
    <s v="SE3_STO"/>
    <x v="10"/>
    <x v="2"/>
    <s v="GBPR_WOODWASTE_BRISTA"/>
    <x v="0"/>
    <x v="0"/>
    <n v="40.390612959719803"/>
    <n v="14742.5737302977"/>
    <n v="53073.265429071798"/>
  </r>
  <r>
    <x v="0"/>
    <x v="2"/>
    <x v="2"/>
    <x v="9"/>
    <x v="19"/>
    <s v="SE3_STO"/>
    <x v="10"/>
    <x v="2"/>
    <s v="GBPR_WOODWASTE_BRISTA"/>
    <x v="0"/>
    <x v="1"/>
    <n v="40.390612959719803"/>
    <n v="14742.5737302977"/>
    <n v="53073.265429071798"/>
  </r>
  <r>
    <x v="0"/>
    <x v="2"/>
    <x v="2"/>
    <x v="9"/>
    <x v="19"/>
    <s v="SE3_STO"/>
    <x v="10"/>
    <x v="2"/>
    <s v="GBPR_WOODWASTE_BRISTA"/>
    <x v="0"/>
    <x v="18"/>
    <n v="40.390612959719803"/>
    <n v="14742.5737302977"/>
    <n v="53073.265429071798"/>
  </r>
  <r>
    <x v="0"/>
    <x v="2"/>
    <x v="2"/>
    <x v="9"/>
    <x v="19"/>
    <s v="SE3_STO"/>
    <x v="10"/>
    <x v="2"/>
    <s v="GBPR_WOODWASTE_BRISTA"/>
    <x v="0"/>
    <x v="2"/>
    <n v="40.390612959719803"/>
    <n v="14742.5737302977"/>
    <n v="53073.265429071798"/>
  </r>
  <r>
    <x v="0"/>
    <x v="2"/>
    <x v="2"/>
    <x v="9"/>
    <x v="19"/>
    <s v="SE3_STO"/>
    <x v="10"/>
    <x v="2"/>
    <s v="GBPR_WOODWASTE_BRISTA"/>
    <x v="0"/>
    <x v="3"/>
    <n v="40.390612959719803"/>
    <n v="14742.5737302977"/>
    <n v="53073.265429071798"/>
  </r>
  <r>
    <x v="0"/>
    <x v="2"/>
    <x v="2"/>
    <x v="9"/>
    <x v="19"/>
    <s v="SE3_STO"/>
    <x v="10"/>
    <x v="2"/>
    <s v="GBPR_WOODWASTE_BRISTA"/>
    <x v="0"/>
    <x v="4"/>
    <n v="40.390612959719803"/>
    <n v="14742.5737302977"/>
    <n v="53073.265429071798"/>
  </r>
  <r>
    <x v="0"/>
    <x v="2"/>
    <x v="2"/>
    <x v="9"/>
    <x v="19"/>
    <s v="SE3_STO"/>
    <x v="10"/>
    <x v="2"/>
    <s v="GBPR_WOODWASTE_BRISTA"/>
    <x v="0"/>
    <x v="5"/>
    <n v="40.390612959719803"/>
    <n v="14742.5737302977"/>
    <n v="53073.265429071798"/>
  </r>
  <r>
    <x v="0"/>
    <x v="2"/>
    <x v="2"/>
    <x v="9"/>
    <x v="19"/>
    <s v="SE3_STO"/>
    <x v="10"/>
    <x v="2"/>
    <s v="GBPR_WOODWASTE_BRISTA"/>
    <x v="0"/>
    <x v="6"/>
    <n v="40.390612959719803"/>
    <n v="14742.5737302977"/>
    <n v="53073.265429071798"/>
  </r>
  <r>
    <x v="0"/>
    <x v="2"/>
    <x v="2"/>
    <x v="9"/>
    <x v="19"/>
    <s v="SE3_STO"/>
    <x v="10"/>
    <x v="2"/>
    <s v="GBPR_WOODWASTE_BRISTA"/>
    <x v="0"/>
    <x v="7"/>
    <n v="40.390612959719803"/>
    <n v="14742.5737302977"/>
    <n v="53073.265429071798"/>
  </r>
  <r>
    <x v="0"/>
    <x v="2"/>
    <x v="2"/>
    <x v="9"/>
    <x v="19"/>
    <s v="SE3_STO"/>
    <x v="10"/>
    <x v="2"/>
    <s v="GBPR_WOODWASTE_BRISTA"/>
    <x v="0"/>
    <x v="8"/>
    <n v="40.390612959719803"/>
    <n v="14742.5737302977"/>
    <n v="53073.265429071798"/>
  </r>
  <r>
    <x v="0"/>
    <x v="2"/>
    <x v="2"/>
    <x v="9"/>
    <x v="19"/>
    <s v="SE3_STO"/>
    <x v="10"/>
    <x v="2"/>
    <s v="GBPR_WOODWASTE_BRISTA"/>
    <x v="0"/>
    <x v="9"/>
    <n v="40.390612959719803"/>
    <n v="14742.5737302977"/>
    <n v="53073.265429071798"/>
  </r>
  <r>
    <x v="0"/>
    <x v="2"/>
    <x v="2"/>
    <x v="9"/>
    <x v="19"/>
    <s v="SE3_STO"/>
    <x v="10"/>
    <x v="2"/>
    <s v="GBPR_WOODWASTE_BRISTA"/>
    <x v="0"/>
    <x v="10"/>
    <n v="40.390612959719803"/>
    <n v="14742.5737302977"/>
    <n v="53073.265429071798"/>
  </r>
  <r>
    <x v="0"/>
    <x v="2"/>
    <x v="2"/>
    <x v="9"/>
    <x v="19"/>
    <s v="SE3_STO"/>
    <x v="10"/>
    <x v="2"/>
    <s v="GBPR_WOODWASTE_BRISTA"/>
    <x v="0"/>
    <x v="11"/>
    <n v="40.390612959719803"/>
    <n v="14742.5737302977"/>
    <n v="53073.265429071798"/>
  </r>
  <r>
    <x v="0"/>
    <x v="2"/>
    <x v="2"/>
    <x v="9"/>
    <x v="19"/>
    <s v="SE3_STO"/>
    <x v="10"/>
    <x v="2"/>
    <s v="GBPR_WOODWASTE_BRISTA"/>
    <x v="0"/>
    <x v="12"/>
    <n v="40.390612959719803"/>
    <n v="14742.5737302977"/>
    <n v="53073.265429071798"/>
  </r>
  <r>
    <x v="0"/>
    <x v="2"/>
    <x v="2"/>
    <x v="9"/>
    <x v="19"/>
    <s v="SE3_STO"/>
    <x v="10"/>
    <x v="2"/>
    <s v="GBPR_WOODWASTE_BRISTA"/>
    <x v="0"/>
    <x v="13"/>
    <n v="40.390612959719803"/>
    <n v="14742.5737302977"/>
    <n v="53073.265429071798"/>
  </r>
  <r>
    <x v="0"/>
    <x v="2"/>
    <x v="2"/>
    <x v="9"/>
    <x v="19"/>
    <s v="SE3_STO"/>
    <x v="10"/>
    <x v="2"/>
    <s v="GBPR_WOODWASTE_BRISTA"/>
    <x v="0"/>
    <x v="14"/>
    <n v="40.390612959719803"/>
    <n v="14742.5737302977"/>
    <n v="53073.265429071798"/>
  </r>
  <r>
    <x v="0"/>
    <x v="2"/>
    <x v="2"/>
    <x v="9"/>
    <x v="19"/>
    <s v="SE3_STO"/>
    <x v="10"/>
    <x v="2"/>
    <s v="GBPR_WOODWASTE_BRISTA"/>
    <x v="0"/>
    <x v="15"/>
    <n v="40.390612959719803"/>
    <n v="14742.5737302977"/>
    <n v="53073.265429071798"/>
  </r>
  <r>
    <x v="0"/>
    <x v="2"/>
    <x v="2"/>
    <x v="9"/>
    <x v="19"/>
    <s v="SE3_STO"/>
    <x v="10"/>
    <x v="2"/>
    <s v="GBPR_WOODWASTE_BRISTA"/>
    <x v="0"/>
    <x v="16"/>
    <n v="40.390612959719803"/>
    <n v="14742.5737302977"/>
    <n v="53073.265429071798"/>
  </r>
  <r>
    <x v="0"/>
    <x v="2"/>
    <x v="2"/>
    <x v="9"/>
    <x v="19"/>
    <s v="SE3_STO"/>
    <x v="10"/>
    <x v="2"/>
    <s v="GBPR_WOODWASTE_BRISTA"/>
    <x v="0"/>
    <x v="17"/>
    <n v="40.390612959719803"/>
    <n v="14742.5737302977"/>
    <n v="53073.265429071798"/>
  </r>
  <r>
    <x v="0"/>
    <x v="2"/>
    <x v="2"/>
    <x v="9"/>
    <x v="19"/>
    <s v="SE3_STO"/>
    <x v="10"/>
    <x v="2"/>
    <s v="GBPR_WOODWASTE_BRISTA"/>
    <x v="0"/>
    <x v="19"/>
    <n v="40.390612959719803"/>
    <n v="14742.5737302977"/>
    <n v="53073.265429071798"/>
  </r>
  <r>
    <x v="0"/>
    <x v="2"/>
    <x v="2"/>
    <x v="9"/>
    <x v="19"/>
    <s v="SE3_STO"/>
    <x v="10"/>
    <x v="2"/>
    <s v="GBPR_WOODWASTE_BRISTA"/>
    <x v="0"/>
    <x v="20"/>
    <n v="40.390612959719803"/>
    <n v="14742.5737302977"/>
    <n v="53073.265429071798"/>
  </r>
  <r>
    <x v="0"/>
    <x v="2"/>
    <x v="2"/>
    <x v="9"/>
    <x v="19"/>
    <s v="SE3_STO"/>
    <x v="10"/>
    <x v="2"/>
    <s v="GBPR_WOODWASTE_BRISTA"/>
    <x v="0"/>
    <x v="21"/>
    <n v="40.390612959719803"/>
    <n v="14742.5737302977"/>
    <n v="53073.265429071798"/>
  </r>
  <r>
    <x v="0"/>
    <x v="2"/>
    <x v="2"/>
    <x v="9"/>
    <x v="19"/>
    <s v="SE3_STO"/>
    <x v="10"/>
    <x v="2"/>
    <s v="GBPR_WOODWASTE_BRISTA"/>
    <x v="0"/>
    <x v="22"/>
    <n v="40.390612959719803"/>
    <n v="14742.5737302977"/>
    <n v="53073.265429071798"/>
  </r>
  <r>
    <x v="0"/>
    <x v="2"/>
    <x v="2"/>
    <x v="9"/>
    <x v="19"/>
    <s v="SE3_STO"/>
    <x v="10"/>
    <x v="2"/>
    <s v="GBPR_WOODWASTE_BRISTA"/>
    <x v="0"/>
    <x v="23"/>
    <n v="40.390612959719803"/>
    <n v="14742.5737302977"/>
    <n v="53073.265429071798"/>
  </r>
  <r>
    <x v="0"/>
    <x v="2"/>
    <x v="2"/>
    <x v="9"/>
    <x v="20"/>
    <s v="SE4A"/>
    <x v="5"/>
    <x v="3"/>
    <s v="GNR_PV_SUN_LS-4-MW_Y-2030"/>
    <x v="0"/>
    <x v="7"/>
    <n v="254.34522395165601"/>
    <n v="92836.006742354599"/>
    <n v="334209.624272477"/>
  </r>
  <r>
    <x v="0"/>
    <x v="2"/>
    <x v="2"/>
    <x v="9"/>
    <x v="20"/>
    <s v="SE4A"/>
    <x v="5"/>
    <x v="3"/>
    <s v="GNR_PV_SUN_LS-4-MW_Y-2030"/>
    <x v="0"/>
    <x v="8"/>
    <n v="1914.7630192873401"/>
    <n v="698888.50203988003"/>
    <n v="2515998.6073435699"/>
  </r>
  <r>
    <x v="0"/>
    <x v="2"/>
    <x v="2"/>
    <x v="9"/>
    <x v="20"/>
    <s v="SE4A"/>
    <x v="5"/>
    <x v="3"/>
    <s v="GNR_PV_SUN_LS-4-MW_Y-2030"/>
    <x v="0"/>
    <x v="9"/>
    <n v="4422.9982277952104"/>
    <n v="1614394.3531452499"/>
    <n v="5811819.6713229101"/>
  </r>
  <r>
    <x v="0"/>
    <x v="2"/>
    <x v="2"/>
    <x v="9"/>
    <x v="20"/>
    <s v="SE4A"/>
    <x v="5"/>
    <x v="3"/>
    <s v="GNR_PV_SUN_LS-4-MW_Y-2030"/>
    <x v="0"/>
    <x v="10"/>
    <n v="6735.5832640325798"/>
    <n v="2458487.89137189"/>
    <n v="8850556.4089388102"/>
  </r>
  <r>
    <x v="0"/>
    <x v="2"/>
    <x v="2"/>
    <x v="9"/>
    <x v="20"/>
    <s v="SE4A"/>
    <x v="5"/>
    <x v="3"/>
    <s v="GNR_PV_SUN_LS-4-MW_Y-2030"/>
    <x v="0"/>
    <x v="11"/>
    <n v="7657.7477426675596"/>
    <n v="2795077.9260736601"/>
    <n v="10062280.5338652"/>
  </r>
  <r>
    <x v="0"/>
    <x v="2"/>
    <x v="2"/>
    <x v="9"/>
    <x v="20"/>
    <s v="SE4A"/>
    <x v="5"/>
    <x v="3"/>
    <s v="GNR_PV_SUN_LS-4-MW_Y-2030"/>
    <x v="0"/>
    <x v="12"/>
    <n v="6658.6275296061804"/>
    <n v="2430399.0483062598"/>
    <n v="8749436.5739025306"/>
  </r>
  <r>
    <x v="0"/>
    <x v="2"/>
    <x v="2"/>
    <x v="9"/>
    <x v="20"/>
    <s v="SE4A"/>
    <x v="5"/>
    <x v="3"/>
    <s v="GNR_PV_SUN_LS-4-MW_Y-2030"/>
    <x v="0"/>
    <x v="13"/>
    <n v="4332.9991485507799"/>
    <n v="1581544.6892210401"/>
    <n v="5693560.8811957296"/>
  </r>
  <r>
    <x v="0"/>
    <x v="2"/>
    <x v="2"/>
    <x v="9"/>
    <x v="20"/>
    <s v="SE4A"/>
    <x v="5"/>
    <x v="3"/>
    <s v="GNR_PV_SUN_LS-4-MW_Y-2030"/>
    <x v="0"/>
    <x v="14"/>
    <n v="2193.89059839326"/>
    <n v="800770.06841354095"/>
    <n v="2882772.2462887499"/>
  </r>
  <r>
    <x v="0"/>
    <x v="2"/>
    <x v="2"/>
    <x v="9"/>
    <x v="20"/>
    <s v="SE4A"/>
    <x v="5"/>
    <x v="3"/>
    <s v="GNR_PV_SUN_LS-4-MW_Y-2030"/>
    <x v="0"/>
    <x v="15"/>
    <n v="285.64925151493702"/>
    <n v="104261.97680295201"/>
    <n v="375343.11649062799"/>
  </r>
  <r>
    <x v="0"/>
    <x v="2"/>
    <x v="2"/>
    <x v="9"/>
    <x v="20"/>
    <s v="SE4A"/>
    <x v="6"/>
    <x v="7"/>
    <s v="GNR_RES_WTR_NOPMP_MC-01"/>
    <x v="0"/>
    <x v="0"/>
    <n v="15.287300663378099"/>
    <n v="5579.8647421330097"/>
    <n v="20087.513071678801"/>
  </r>
  <r>
    <x v="0"/>
    <x v="2"/>
    <x v="2"/>
    <x v="9"/>
    <x v="20"/>
    <s v="SE4A"/>
    <x v="6"/>
    <x v="7"/>
    <s v="GNR_RES_WTR_NOPMP_MC-01"/>
    <x v="0"/>
    <x v="1"/>
    <n v="15.287300663378099"/>
    <n v="5579.8647421330097"/>
    <n v="20087.513071678801"/>
  </r>
  <r>
    <x v="0"/>
    <x v="2"/>
    <x v="2"/>
    <x v="9"/>
    <x v="20"/>
    <s v="SE4A"/>
    <x v="6"/>
    <x v="7"/>
    <s v="GNR_RES_WTR_NOPMP_MC-01"/>
    <x v="0"/>
    <x v="18"/>
    <n v="15.287300663378099"/>
    <n v="5579.8647421330097"/>
    <n v="20087.513071678801"/>
  </r>
  <r>
    <x v="0"/>
    <x v="2"/>
    <x v="2"/>
    <x v="9"/>
    <x v="20"/>
    <s v="SE4A"/>
    <x v="6"/>
    <x v="7"/>
    <s v="GNR_RES_WTR_NOPMP_MC-01"/>
    <x v="0"/>
    <x v="2"/>
    <n v="15.287300663378099"/>
    <n v="5579.8647421330097"/>
    <n v="20087.513071678801"/>
  </r>
  <r>
    <x v="0"/>
    <x v="2"/>
    <x v="2"/>
    <x v="9"/>
    <x v="20"/>
    <s v="SE4A"/>
    <x v="6"/>
    <x v="7"/>
    <s v="GNR_RES_WTR_NOPMP_MC-01"/>
    <x v="0"/>
    <x v="3"/>
    <n v="15.287300663378099"/>
    <n v="5579.8647421330097"/>
    <n v="20087.513071678801"/>
  </r>
  <r>
    <x v="0"/>
    <x v="2"/>
    <x v="2"/>
    <x v="9"/>
    <x v="20"/>
    <s v="SE4A"/>
    <x v="6"/>
    <x v="7"/>
    <s v="GNR_RES_WTR_NOPMP_MC-01"/>
    <x v="0"/>
    <x v="4"/>
    <n v="15.287300663378099"/>
    <n v="5579.8647421330097"/>
    <n v="20087.513071678801"/>
  </r>
  <r>
    <x v="0"/>
    <x v="2"/>
    <x v="2"/>
    <x v="9"/>
    <x v="20"/>
    <s v="SE4A"/>
    <x v="6"/>
    <x v="7"/>
    <s v="GNR_RES_WTR_NOPMP_MC-01"/>
    <x v="0"/>
    <x v="5"/>
    <n v="15.287300663378099"/>
    <n v="5579.8647421330097"/>
    <n v="20087.513071678801"/>
  </r>
  <r>
    <x v="0"/>
    <x v="2"/>
    <x v="2"/>
    <x v="9"/>
    <x v="20"/>
    <s v="SE4A"/>
    <x v="6"/>
    <x v="7"/>
    <s v="GNR_RES_WTR_NOPMP_MC-01"/>
    <x v="0"/>
    <x v="6"/>
    <n v="15.287300663378099"/>
    <n v="5579.8647421330097"/>
    <n v="20087.513071678801"/>
  </r>
  <r>
    <x v="0"/>
    <x v="2"/>
    <x v="2"/>
    <x v="9"/>
    <x v="20"/>
    <s v="SE4A"/>
    <x v="6"/>
    <x v="7"/>
    <s v="GNR_RES_WTR_NOPMP_MC-01"/>
    <x v="0"/>
    <x v="7"/>
    <n v="15.287300663378099"/>
    <n v="5579.8647421330097"/>
    <n v="20087.513071678801"/>
  </r>
  <r>
    <x v="0"/>
    <x v="2"/>
    <x v="2"/>
    <x v="9"/>
    <x v="20"/>
    <s v="SE4A"/>
    <x v="6"/>
    <x v="7"/>
    <s v="GNR_RES_WTR_NOPMP_MC-01"/>
    <x v="0"/>
    <x v="8"/>
    <n v="15.287300663378099"/>
    <n v="5579.8647421330097"/>
    <n v="20087.513071678801"/>
  </r>
  <r>
    <x v="0"/>
    <x v="2"/>
    <x v="2"/>
    <x v="9"/>
    <x v="20"/>
    <s v="SE4A"/>
    <x v="6"/>
    <x v="7"/>
    <s v="GNR_RES_WTR_NOPMP_MC-01"/>
    <x v="0"/>
    <x v="9"/>
    <n v="15.287300663378099"/>
    <n v="5579.8647421330097"/>
    <n v="20087.513071678801"/>
  </r>
  <r>
    <x v="0"/>
    <x v="2"/>
    <x v="2"/>
    <x v="9"/>
    <x v="20"/>
    <s v="SE4A"/>
    <x v="6"/>
    <x v="7"/>
    <s v="GNR_RES_WTR_NOPMP_MC-01"/>
    <x v="0"/>
    <x v="14"/>
    <n v="15.287300663378099"/>
    <n v="5579.8647421330097"/>
    <n v="20087.513071678801"/>
  </r>
  <r>
    <x v="0"/>
    <x v="2"/>
    <x v="2"/>
    <x v="9"/>
    <x v="20"/>
    <s v="SE4A"/>
    <x v="6"/>
    <x v="7"/>
    <s v="GNR_RES_WTR_NOPMP_MC-01"/>
    <x v="0"/>
    <x v="15"/>
    <n v="15.287300663378099"/>
    <n v="5579.8647421330097"/>
    <n v="20087.513071678801"/>
  </r>
  <r>
    <x v="0"/>
    <x v="2"/>
    <x v="2"/>
    <x v="9"/>
    <x v="20"/>
    <s v="SE4A"/>
    <x v="6"/>
    <x v="7"/>
    <s v="GNR_RES_WTR_NOPMP_MC-01"/>
    <x v="0"/>
    <x v="16"/>
    <n v="15.287300663378099"/>
    <n v="5579.8647421330097"/>
    <n v="20087.513071678801"/>
  </r>
  <r>
    <x v="0"/>
    <x v="2"/>
    <x v="2"/>
    <x v="9"/>
    <x v="20"/>
    <s v="SE4A"/>
    <x v="6"/>
    <x v="7"/>
    <s v="GNR_RES_WTR_NOPMP_MC-01"/>
    <x v="0"/>
    <x v="17"/>
    <n v="15.287300663378099"/>
    <n v="5579.8647421330097"/>
    <n v="20087.513071678801"/>
  </r>
  <r>
    <x v="0"/>
    <x v="2"/>
    <x v="2"/>
    <x v="9"/>
    <x v="20"/>
    <s v="SE4A"/>
    <x v="6"/>
    <x v="7"/>
    <s v="GNR_RES_WTR_NOPMP_MC-01"/>
    <x v="0"/>
    <x v="19"/>
    <n v="15.287300663378099"/>
    <n v="5579.8647421330097"/>
    <n v="20087.513071678801"/>
  </r>
  <r>
    <x v="0"/>
    <x v="2"/>
    <x v="2"/>
    <x v="9"/>
    <x v="20"/>
    <s v="SE4A"/>
    <x v="6"/>
    <x v="7"/>
    <s v="GNR_RES_WTR_NOPMP_MC-01"/>
    <x v="0"/>
    <x v="20"/>
    <n v="15.287300663378099"/>
    <n v="5579.8647421330097"/>
    <n v="20087.513071678801"/>
  </r>
  <r>
    <x v="0"/>
    <x v="2"/>
    <x v="2"/>
    <x v="9"/>
    <x v="20"/>
    <s v="SE4A"/>
    <x v="6"/>
    <x v="7"/>
    <s v="GNR_RES_WTR_NOPMP_MC-01"/>
    <x v="0"/>
    <x v="21"/>
    <n v="15.287300663378099"/>
    <n v="5579.8647421330097"/>
    <n v="20087.513071678801"/>
  </r>
  <r>
    <x v="0"/>
    <x v="2"/>
    <x v="2"/>
    <x v="9"/>
    <x v="20"/>
    <s v="SE4A"/>
    <x v="6"/>
    <x v="7"/>
    <s v="GNR_RES_WTR_NOPMP_MC-01"/>
    <x v="0"/>
    <x v="22"/>
    <n v="15.287300663378099"/>
    <n v="5579.8647421330097"/>
    <n v="20087.513071678801"/>
  </r>
  <r>
    <x v="0"/>
    <x v="2"/>
    <x v="2"/>
    <x v="9"/>
    <x v="20"/>
    <s v="SE4A"/>
    <x v="6"/>
    <x v="7"/>
    <s v="GNR_RES_WTR_NOPMP_MC-01"/>
    <x v="0"/>
    <x v="23"/>
    <n v="15.287300663378099"/>
    <n v="5579.8647421330097"/>
    <n v="20087.513071678801"/>
  </r>
  <r>
    <x v="0"/>
    <x v="2"/>
    <x v="2"/>
    <x v="9"/>
    <x v="20"/>
    <s v="SE4A"/>
    <x v="6"/>
    <x v="7"/>
    <s v="GNR_RES_WTR_NOPMP_MC-02"/>
    <x v="0"/>
    <x v="0"/>
    <n v="15.287300663378099"/>
    <n v="5579.8647421330097"/>
    <n v="20087.513071678801"/>
  </r>
  <r>
    <x v="0"/>
    <x v="2"/>
    <x v="2"/>
    <x v="9"/>
    <x v="20"/>
    <s v="SE4A"/>
    <x v="6"/>
    <x v="7"/>
    <s v="GNR_RES_WTR_NOPMP_MC-02"/>
    <x v="0"/>
    <x v="1"/>
    <n v="15.287300663378099"/>
    <n v="5579.8647421330097"/>
    <n v="20087.513071678801"/>
  </r>
  <r>
    <x v="0"/>
    <x v="2"/>
    <x v="2"/>
    <x v="9"/>
    <x v="20"/>
    <s v="SE4A"/>
    <x v="6"/>
    <x v="7"/>
    <s v="GNR_RES_WTR_NOPMP_MC-02"/>
    <x v="0"/>
    <x v="18"/>
    <n v="15.287300663378099"/>
    <n v="5579.8647421330097"/>
    <n v="20087.513071678801"/>
  </r>
  <r>
    <x v="0"/>
    <x v="2"/>
    <x v="2"/>
    <x v="9"/>
    <x v="20"/>
    <s v="SE4A"/>
    <x v="6"/>
    <x v="7"/>
    <s v="GNR_RES_WTR_NOPMP_MC-02"/>
    <x v="0"/>
    <x v="2"/>
    <n v="15.287300663378099"/>
    <n v="5579.8647421330097"/>
    <n v="20087.513071678801"/>
  </r>
  <r>
    <x v="0"/>
    <x v="2"/>
    <x v="2"/>
    <x v="9"/>
    <x v="20"/>
    <s v="SE4A"/>
    <x v="6"/>
    <x v="7"/>
    <s v="GNR_RES_WTR_NOPMP_MC-02"/>
    <x v="0"/>
    <x v="3"/>
    <n v="15.287300663378099"/>
    <n v="5579.8647421330097"/>
    <n v="20087.513071678801"/>
  </r>
  <r>
    <x v="0"/>
    <x v="2"/>
    <x v="2"/>
    <x v="9"/>
    <x v="20"/>
    <s v="SE4A"/>
    <x v="6"/>
    <x v="7"/>
    <s v="GNR_RES_WTR_NOPMP_MC-02"/>
    <x v="0"/>
    <x v="4"/>
    <n v="15.287300663378099"/>
    <n v="5579.8647421330097"/>
    <n v="20087.513071678801"/>
  </r>
  <r>
    <x v="0"/>
    <x v="2"/>
    <x v="2"/>
    <x v="9"/>
    <x v="20"/>
    <s v="SE4A"/>
    <x v="6"/>
    <x v="7"/>
    <s v="GNR_RES_WTR_NOPMP_MC-02"/>
    <x v="0"/>
    <x v="5"/>
    <n v="15.287300663378099"/>
    <n v="5579.8647421330097"/>
    <n v="20087.513071678801"/>
  </r>
  <r>
    <x v="0"/>
    <x v="2"/>
    <x v="2"/>
    <x v="9"/>
    <x v="20"/>
    <s v="SE4A"/>
    <x v="6"/>
    <x v="7"/>
    <s v="GNR_RES_WTR_NOPMP_MC-02"/>
    <x v="0"/>
    <x v="6"/>
    <n v="15.287300663378099"/>
    <n v="5579.8647421330097"/>
    <n v="20087.513071678801"/>
  </r>
  <r>
    <x v="0"/>
    <x v="2"/>
    <x v="2"/>
    <x v="9"/>
    <x v="20"/>
    <s v="SE4A"/>
    <x v="6"/>
    <x v="7"/>
    <s v="GNR_RES_WTR_NOPMP_MC-02"/>
    <x v="0"/>
    <x v="7"/>
    <n v="15.287300663378099"/>
    <n v="5579.8647421330097"/>
    <n v="20087.513071678801"/>
  </r>
  <r>
    <x v="0"/>
    <x v="2"/>
    <x v="2"/>
    <x v="9"/>
    <x v="20"/>
    <s v="SE4A"/>
    <x v="6"/>
    <x v="7"/>
    <s v="GNR_RES_WTR_NOPMP_MC-02"/>
    <x v="0"/>
    <x v="8"/>
    <n v="15.287300663378099"/>
    <n v="5579.8647421330097"/>
    <n v="20087.513071678801"/>
  </r>
  <r>
    <x v="0"/>
    <x v="2"/>
    <x v="2"/>
    <x v="9"/>
    <x v="20"/>
    <s v="SE4A"/>
    <x v="6"/>
    <x v="7"/>
    <s v="GNR_RES_WTR_NOPMP_MC-02"/>
    <x v="0"/>
    <x v="9"/>
    <n v="15.287300663378099"/>
    <n v="5579.8647421330097"/>
    <n v="20087.513071678801"/>
  </r>
  <r>
    <x v="0"/>
    <x v="2"/>
    <x v="2"/>
    <x v="9"/>
    <x v="20"/>
    <s v="SE4A"/>
    <x v="6"/>
    <x v="7"/>
    <s v="GNR_RES_WTR_NOPMP_MC-02"/>
    <x v="0"/>
    <x v="14"/>
    <n v="15.287300663378099"/>
    <n v="5579.8647421330097"/>
    <n v="20087.513071678801"/>
  </r>
  <r>
    <x v="0"/>
    <x v="2"/>
    <x v="2"/>
    <x v="9"/>
    <x v="20"/>
    <s v="SE4A"/>
    <x v="6"/>
    <x v="7"/>
    <s v="GNR_RES_WTR_NOPMP_MC-02"/>
    <x v="0"/>
    <x v="15"/>
    <n v="15.287300663378099"/>
    <n v="5579.8647421330097"/>
    <n v="20087.513071678801"/>
  </r>
  <r>
    <x v="0"/>
    <x v="2"/>
    <x v="2"/>
    <x v="9"/>
    <x v="20"/>
    <s v="SE4A"/>
    <x v="6"/>
    <x v="7"/>
    <s v="GNR_RES_WTR_NOPMP_MC-02"/>
    <x v="0"/>
    <x v="16"/>
    <n v="15.287300663378099"/>
    <n v="5579.8647421330097"/>
    <n v="20087.513071678801"/>
  </r>
  <r>
    <x v="0"/>
    <x v="2"/>
    <x v="2"/>
    <x v="9"/>
    <x v="20"/>
    <s v="SE4A"/>
    <x v="6"/>
    <x v="7"/>
    <s v="GNR_RES_WTR_NOPMP_MC-02"/>
    <x v="0"/>
    <x v="17"/>
    <n v="15.287300663378099"/>
    <n v="5579.8647421330097"/>
    <n v="20087.513071678801"/>
  </r>
  <r>
    <x v="0"/>
    <x v="2"/>
    <x v="2"/>
    <x v="9"/>
    <x v="20"/>
    <s v="SE4A"/>
    <x v="6"/>
    <x v="7"/>
    <s v="GNR_RES_WTR_NOPMP_MC-02"/>
    <x v="0"/>
    <x v="19"/>
    <n v="15.287300663378099"/>
    <n v="5579.8647421330097"/>
    <n v="20087.513071678801"/>
  </r>
  <r>
    <x v="0"/>
    <x v="2"/>
    <x v="2"/>
    <x v="9"/>
    <x v="20"/>
    <s v="SE4A"/>
    <x v="6"/>
    <x v="7"/>
    <s v="GNR_RES_WTR_NOPMP_MC-02"/>
    <x v="0"/>
    <x v="20"/>
    <n v="15.287300663378099"/>
    <n v="5579.8647421330097"/>
    <n v="20087.513071678801"/>
  </r>
  <r>
    <x v="0"/>
    <x v="2"/>
    <x v="2"/>
    <x v="9"/>
    <x v="20"/>
    <s v="SE4A"/>
    <x v="6"/>
    <x v="7"/>
    <s v="GNR_RES_WTR_NOPMP_MC-03"/>
    <x v="0"/>
    <x v="0"/>
    <n v="15.287300663378099"/>
    <n v="5579.8647421330097"/>
    <n v="20087.513071678801"/>
  </r>
  <r>
    <x v="0"/>
    <x v="2"/>
    <x v="2"/>
    <x v="9"/>
    <x v="20"/>
    <s v="SE4A"/>
    <x v="6"/>
    <x v="7"/>
    <s v="GNR_RES_WTR_NOPMP_MC-03"/>
    <x v="0"/>
    <x v="1"/>
    <n v="15.287300663378099"/>
    <n v="5579.8647421330097"/>
    <n v="20087.513071678801"/>
  </r>
  <r>
    <x v="0"/>
    <x v="2"/>
    <x v="2"/>
    <x v="9"/>
    <x v="20"/>
    <s v="SE4A"/>
    <x v="6"/>
    <x v="7"/>
    <s v="GNR_RES_WTR_NOPMP_MC-03"/>
    <x v="0"/>
    <x v="18"/>
    <n v="15.287300663378099"/>
    <n v="5579.8647421330097"/>
    <n v="20087.513071678801"/>
  </r>
  <r>
    <x v="0"/>
    <x v="2"/>
    <x v="2"/>
    <x v="9"/>
    <x v="20"/>
    <s v="SE4A"/>
    <x v="6"/>
    <x v="7"/>
    <s v="GNR_RES_WTR_NOPMP_MC-03"/>
    <x v="0"/>
    <x v="2"/>
    <n v="15.287300663378099"/>
    <n v="5579.8647421330097"/>
    <n v="20087.513071678801"/>
  </r>
  <r>
    <x v="0"/>
    <x v="2"/>
    <x v="2"/>
    <x v="9"/>
    <x v="20"/>
    <s v="SE4A"/>
    <x v="6"/>
    <x v="7"/>
    <s v="GNR_RES_WTR_NOPMP_MC-03"/>
    <x v="0"/>
    <x v="3"/>
    <n v="15.287300663378099"/>
    <n v="5579.8647421330097"/>
    <n v="20087.513071678801"/>
  </r>
  <r>
    <x v="0"/>
    <x v="2"/>
    <x v="2"/>
    <x v="9"/>
    <x v="20"/>
    <s v="SE4A"/>
    <x v="6"/>
    <x v="7"/>
    <s v="GNR_RES_WTR_NOPMP_MC-03"/>
    <x v="0"/>
    <x v="4"/>
    <n v="15.287300663378099"/>
    <n v="5579.8647421330097"/>
    <n v="20087.513071678801"/>
  </r>
  <r>
    <x v="0"/>
    <x v="2"/>
    <x v="2"/>
    <x v="9"/>
    <x v="20"/>
    <s v="SE4A"/>
    <x v="6"/>
    <x v="7"/>
    <s v="GNR_RES_WTR_NOPMP_MC-03"/>
    <x v="0"/>
    <x v="5"/>
    <n v="15.287300663378099"/>
    <n v="5579.8647421330097"/>
    <n v="20087.513071678801"/>
  </r>
  <r>
    <x v="0"/>
    <x v="2"/>
    <x v="2"/>
    <x v="9"/>
    <x v="20"/>
    <s v="SE4A"/>
    <x v="6"/>
    <x v="7"/>
    <s v="GNR_RES_WTR_NOPMP_MC-03"/>
    <x v="0"/>
    <x v="6"/>
    <n v="15.287300663378099"/>
    <n v="5579.8647421330097"/>
    <n v="20087.513071678801"/>
  </r>
  <r>
    <x v="0"/>
    <x v="2"/>
    <x v="2"/>
    <x v="9"/>
    <x v="20"/>
    <s v="SE4A"/>
    <x v="6"/>
    <x v="7"/>
    <s v="GNR_RES_WTR_NOPMP_MC-03"/>
    <x v="0"/>
    <x v="7"/>
    <n v="15.287300663378099"/>
    <n v="5579.8647421330097"/>
    <n v="20087.513071678801"/>
  </r>
  <r>
    <x v="0"/>
    <x v="2"/>
    <x v="2"/>
    <x v="9"/>
    <x v="20"/>
    <s v="SE4A"/>
    <x v="6"/>
    <x v="7"/>
    <s v="GNR_RES_WTR_NOPMP_MC-03"/>
    <x v="0"/>
    <x v="8"/>
    <n v="15.287300663378099"/>
    <n v="5579.8647421330097"/>
    <n v="20087.513071678801"/>
  </r>
  <r>
    <x v="0"/>
    <x v="2"/>
    <x v="2"/>
    <x v="9"/>
    <x v="20"/>
    <s v="SE4A"/>
    <x v="6"/>
    <x v="7"/>
    <s v="GNR_RES_WTR_NOPMP_MC-03"/>
    <x v="0"/>
    <x v="9"/>
    <n v="15.287300663378099"/>
    <n v="5579.8647421330097"/>
    <n v="20087.513071678801"/>
  </r>
  <r>
    <x v="0"/>
    <x v="2"/>
    <x v="2"/>
    <x v="9"/>
    <x v="20"/>
    <s v="SE4A"/>
    <x v="6"/>
    <x v="7"/>
    <s v="GNR_RES_WTR_NOPMP_MC-03"/>
    <x v="0"/>
    <x v="15"/>
    <n v="15.287300663378099"/>
    <n v="5579.8647421330097"/>
    <n v="20087.513071678801"/>
  </r>
  <r>
    <x v="0"/>
    <x v="2"/>
    <x v="2"/>
    <x v="9"/>
    <x v="20"/>
    <s v="SE4A"/>
    <x v="6"/>
    <x v="7"/>
    <s v="GNR_RES_WTR_NOPMP_MC-03"/>
    <x v="0"/>
    <x v="16"/>
    <n v="15.287300663378099"/>
    <n v="5579.8647421330097"/>
    <n v="20087.513071678801"/>
  </r>
  <r>
    <x v="0"/>
    <x v="2"/>
    <x v="2"/>
    <x v="9"/>
    <x v="20"/>
    <s v="SE4A"/>
    <x v="6"/>
    <x v="7"/>
    <s v="GNR_RES_WTR_NOPMP_MC-03"/>
    <x v="0"/>
    <x v="17"/>
    <n v="15.287300663378099"/>
    <n v="5579.8647421330097"/>
    <n v="20087.513071678801"/>
  </r>
  <r>
    <x v="0"/>
    <x v="2"/>
    <x v="2"/>
    <x v="9"/>
    <x v="20"/>
    <s v="SE4A"/>
    <x v="6"/>
    <x v="7"/>
    <s v="GNR_RES_WTR_NOPMP_MC-03"/>
    <x v="0"/>
    <x v="19"/>
    <n v="15.287300663378099"/>
    <n v="5579.8647421330097"/>
    <n v="20087.513071678801"/>
  </r>
  <r>
    <x v="0"/>
    <x v="2"/>
    <x v="2"/>
    <x v="9"/>
    <x v="20"/>
    <s v="SE4A"/>
    <x v="6"/>
    <x v="7"/>
    <s v="GNR_RES_WTR_NOPMP_MC-03"/>
    <x v="0"/>
    <x v="20"/>
    <n v="15.287300663378099"/>
    <n v="5579.8647421330097"/>
    <n v="20087.513071678801"/>
  </r>
  <r>
    <x v="0"/>
    <x v="2"/>
    <x v="2"/>
    <x v="9"/>
    <x v="20"/>
    <s v="SE4A"/>
    <x v="6"/>
    <x v="7"/>
    <s v="GNR_RES_WTR_NOPMP_MC-04"/>
    <x v="0"/>
    <x v="0"/>
    <n v="15.287300663378099"/>
    <n v="5579.8647421330097"/>
    <n v="20087.513071678801"/>
  </r>
  <r>
    <x v="0"/>
    <x v="2"/>
    <x v="2"/>
    <x v="9"/>
    <x v="20"/>
    <s v="SE4A"/>
    <x v="6"/>
    <x v="7"/>
    <s v="GNR_RES_WTR_NOPMP_MC-04"/>
    <x v="0"/>
    <x v="1"/>
    <n v="15.287300663378099"/>
    <n v="5579.8647421330097"/>
    <n v="20087.513071678801"/>
  </r>
  <r>
    <x v="0"/>
    <x v="2"/>
    <x v="2"/>
    <x v="9"/>
    <x v="20"/>
    <s v="SE4A"/>
    <x v="6"/>
    <x v="7"/>
    <s v="GNR_RES_WTR_NOPMP_MC-04"/>
    <x v="0"/>
    <x v="18"/>
    <n v="15.287300663378099"/>
    <n v="5579.8647421330097"/>
    <n v="20087.513071678801"/>
  </r>
  <r>
    <x v="0"/>
    <x v="2"/>
    <x v="2"/>
    <x v="9"/>
    <x v="20"/>
    <s v="SE4A"/>
    <x v="6"/>
    <x v="7"/>
    <s v="GNR_RES_WTR_NOPMP_MC-04"/>
    <x v="0"/>
    <x v="2"/>
    <n v="15.287300663378099"/>
    <n v="5579.8647421330097"/>
    <n v="20087.513071678801"/>
  </r>
  <r>
    <x v="0"/>
    <x v="2"/>
    <x v="2"/>
    <x v="9"/>
    <x v="20"/>
    <s v="SE4A"/>
    <x v="6"/>
    <x v="7"/>
    <s v="GNR_RES_WTR_NOPMP_MC-04"/>
    <x v="0"/>
    <x v="3"/>
    <n v="15.287300663378099"/>
    <n v="5579.8647421330097"/>
    <n v="20087.513071678801"/>
  </r>
  <r>
    <x v="0"/>
    <x v="2"/>
    <x v="2"/>
    <x v="9"/>
    <x v="20"/>
    <s v="SE4A"/>
    <x v="6"/>
    <x v="7"/>
    <s v="GNR_RES_WTR_NOPMP_MC-04"/>
    <x v="0"/>
    <x v="4"/>
    <n v="15.287300663378099"/>
    <n v="5579.8647421330097"/>
    <n v="20087.513071678801"/>
  </r>
  <r>
    <x v="0"/>
    <x v="2"/>
    <x v="2"/>
    <x v="9"/>
    <x v="20"/>
    <s v="SE4A"/>
    <x v="6"/>
    <x v="7"/>
    <s v="GNR_RES_WTR_NOPMP_MC-04"/>
    <x v="0"/>
    <x v="5"/>
    <n v="15.287300663378099"/>
    <n v="5579.8647421330097"/>
    <n v="20087.513071678801"/>
  </r>
  <r>
    <x v="0"/>
    <x v="2"/>
    <x v="2"/>
    <x v="9"/>
    <x v="20"/>
    <s v="SE4A"/>
    <x v="6"/>
    <x v="7"/>
    <s v="GNR_RES_WTR_NOPMP_MC-04"/>
    <x v="0"/>
    <x v="6"/>
    <n v="15.287300663378099"/>
    <n v="5579.8647421330097"/>
    <n v="20087.513071678801"/>
  </r>
  <r>
    <x v="0"/>
    <x v="2"/>
    <x v="2"/>
    <x v="9"/>
    <x v="20"/>
    <s v="SE4A"/>
    <x v="6"/>
    <x v="7"/>
    <s v="GNR_RES_WTR_NOPMP_MC-04"/>
    <x v="0"/>
    <x v="7"/>
    <n v="15.287300663378099"/>
    <n v="5579.8647421330097"/>
    <n v="20087.513071678801"/>
  </r>
  <r>
    <x v="0"/>
    <x v="2"/>
    <x v="2"/>
    <x v="9"/>
    <x v="20"/>
    <s v="SE4A"/>
    <x v="6"/>
    <x v="7"/>
    <s v="GNR_RES_WTR_NOPMP_MC-04"/>
    <x v="0"/>
    <x v="8"/>
    <n v="15.287300663378099"/>
    <n v="5579.8647421330097"/>
    <n v="20087.513071678801"/>
  </r>
  <r>
    <x v="0"/>
    <x v="2"/>
    <x v="2"/>
    <x v="9"/>
    <x v="20"/>
    <s v="SE4A"/>
    <x v="6"/>
    <x v="7"/>
    <s v="GNR_RES_WTR_NOPMP_MC-04"/>
    <x v="0"/>
    <x v="15"/>
    <n v="15.287300663378099"/>
    <n v="5579.8647421330097"/>
    <n v="20087.513071678801"/>
  </r>
  <r>
    <x v="0"/>
    <x v="2"/>
    <x v="2"/>
    <x v="9"/>
    <x v="20"/>
    <s v="SE4A"/>
    <x v="6"/>
    <x v="7"/>
    <s v="GNR_RES_WTR_NOPMP_MC-04"/>
    <x v="0"/>
    <x v="16"/>
    <n v="15.287300663378099"/>
    <n v="5579.8647421330097"/>
    <n v="20087.513071678801"/>
  </r>
  <r>
    <x v="0"/>
    <x v="2"/>
    <x v="2"/>
    <x v="9"/>
    <x v="20"/>
    <s v="SE4A"/>
    <x v="6"/>
    <x v="7"/>
    <s v="GNR_RES_WTR_NOPMP_MC-04"/>
    <x v="0"/>
    <x v="17"/>
    <n v="15.287300663378099"/>
    <n v="5579.8647421330097"/>
    <n v="20087.513071678801"/>
  </r>
  <r>
    <x v="0"/>
    <x v="2"/>
    <x v="2"/>
    <x v="9"/>
    <x v="20"/>
    <s v="SE4A"/>
    <x v="6"/>
    <x v="7"/>
    <s v="GNR_RES_WTR_NOPMP_MC-04"/>
    <x v="0"/>
    <x v="19"/>
    <n v="15.287300663378099"/>
    <n v="5579.8647421330097"/>
    <n v="20087.513071678801"/>
  </r>
  <r>
    <x v="0"/>
    <x v="2"/>
    <x v="2"/>
    <x v="9"/>
    <x v="20"/>
    <s v="SE4A"/>
    <x v="6"/>
    <x v="7"/>
    <s v="GNR_RES_WTR_NOPMP_MC-04"/>
    <x v="0"/>
    <x v="20"/>
    <n v="0.25665789376016501"/>
    <n v="93.680131222460204"/>
    <n v="337.248472400857"/>
  </r>
  <r>
    <x v="0"/>
    <x v="2"/>
    <x v="2"/>
    <x v="9"/>
    <x v="20"/>
    <s v="SE4A"/>
    <x v="6"/>
    <x v="7"/>
    <s v="GNR_RES_WTR_NOPMP_MC-05"/>
    <x v="0"/>
    <x v="0"/>
    <n v="15.287300663378099"/>
    <n v="5579.8647421330097"/>
    <n v="20087.513071678801"/>
  </r>
  <r>
    <x v="0"/>
    <x v="2"/>
    <x v="2"/>
    <x v="9"/>
    <x v="20"/>
    <s v="SE4A"/>
    <x v="6"/>
    <x v="7"/>
    <s v="GNR_RES_WTR_NOPMP_MC-05"/>
    <x v="0"/>
    <x v="1"/>
    <n v="15.287300663378099"/>
    <n v="5579.8647421330097"/>
    <n v="20087.513071678801"/>
  </r>
  <r>
    <x v="0"/>
    <x v="2"/>
    <x v="2"/>
    <x v="9"/>
    <x v="20"/>
    <s v="SE4A"/>
    <x v="6"/>
    <x v="7"/>
    <s v="GNR_RES_WTR_NOPMP_MC-05"/>
    <x v="0"/>
    <x v="18"/>
    <n v="15.287300663378099"/>
    <n v="5579.8647421330097"/>
    <n v="20087.513071678801"/>
  </r>
  <r>
    <x v="0"/>
    <x v="2"/>
    <x v="2"/>
    <x v="9"/>
    <x v="20"/>
    <s v="SE4A"/>
    <x v="6"/>
    <x v="7"/>
    <s v="GNR_RES_WTR_NOPMP_MC-05"/>
    <x v="0"/>
    <x v="2"/>
    <n v="15.287300663378099"/>
    <n v="5579.8647421330097"/>
    <n v="20087.513071678801"/>
  </r>
  <r>
    <x v="0"/>
    <x v="2"/>
    <x v="2"/>
    <x v="9"/>
    <x v="20"/>
    <s v="SE4A"/>
    <x v="6"/>
    <x v="7"/>
    <s v="GNR_RES_WTR_NOPMP_MC-05"/>
    <x v="0"/>
    <x v="3"/>
    <n v="15.287300663378099"/>
    <n v="5579.8647421330097"/>
    <n v="20087.513071678801"/>
  </r>
  <r>
    <x v="0"/>
    <x v="2"/>
    <x v="2"/>
    <x v="9"/>
    <x v="20"/>
    <s v="SE4A"/>
    <x v="6"/>
    <x v="7"/>
    <s v="GNR_RES_WTR_NOPMP_MC-05"/>
    <x v="0"/>
    <x v="4"/>
    <n v="15.287300663378099"/>
    <n v="5579.8647421330097"/>
    <n v="20087.513071678801"/>
  </r>
  <r>
    <x v="0"/>
    <x v="2"/>
    <x v="2"/>
    <x v="9"/>
    <x v="20"/>
    <s v="SE4A"/>
    <x v="6"/>
    <x v="7"/>
    <s v="GNR_RES_WTR_NOPMP_MC-05"/>
    <x v="0"/>
    <x v="5"/>
    <n v="15.287300663378099"/>
    <n v="5579.8647421330097"/>
    <n v="20087.513071678801"/>
  </r>
  <r>
    <x v="0"/>
    <x v="2"/>
    <x v="2"/>
    <x v="9"/>
    <x v="20"/>
    <s v="SE4A"/>
    <x v="6"/>
    <x v="7"/>
    <s v="GNR_RES_WTR_NOPMP_MC-05"/>
    <x v="0"/>
    <x v="6"/>
    <n v="15.287300663378099"/>
    <n v="5579.8647421330097"/>
    <n v="20087.513071678801"/>
  </r>
  <r>
    <x v="0"/>
    <x v="2"/>
    <x v="2"/>
    <x v="9"/>
    <x v="20"/>
    <s v="SE4A"/>
    <x v="6"/>
    <x v="7"/>
    <s v="GNR_RES_WTR_NOPMP_MC-05"/>
    <x v="0"/>
    <x v="7"/>
    <n v="15.287300663378099"/>
    <n v="5579.8647421330097"/>
    <n v="20087.513071678801"/>
  </r>
  <r>
    <x v="0"/>
    <x v="2"/>
    <x v="2"/>
    <x v="9"/>
    <x v="20"/>
    <s v="SE4A"/>
    <x v="6"/>
    <x v="7"/>
    <s v="GNR_RES_WTR_NOPMP_MC-05"/>
    <x v="0"/>
    <x v="8"/>
    <n v="15.287300663378099"/>
    <n v="5579.8647421330097"/>
    <n v="20087.513071678801"/>
  </r>
  <r>
    <x v="0"/>
    <x v="2"/>
    <x v="2"/>
    <x v="9"/>
    <x v="20"/>
    <s v="SE4A"/>
    <x v="6"/>
    <x v="7"/>
    <s v="GNR_RES_WTR_NOPMP_MC-05"/>
    <x v="0"/>
    <x v="15"/>
    <n v="15.287300663378099"/>
    <n v="5579.8647421330097"/>
    <n v="20087.513071678801"/>
  </r>
  <r>
    <x v="0"/>
    <x v="2"/>
    <x v="2"/>
    <x v="9"/>
    <x v="20"/>
    <s v="SE4A"/>
    <x v="6"/>
    <x v="7"/>
    <s v="GNR_RES_WTR_NOPMP_MC-05"/>
    <x v="0"/>
    <x v="16"/>
    <n v="15.287300663378099"/>
    <n v="5579.8647421330097"/>
    <n v="20087.513071678801"/>
  </r>
  <r>
    <x v="0"/>
    <x v="2"/>
    <x v="2"/>
    <x v="9"/>
    <x v="20"/>
    <s v="SE4A"/>
    <x v="6"/>
    <x v="7"/>
    <s v="GNR_RES_WTR_NOPMP_MC-05"/>
    <x v="0"/>
    <x v="17"/>
    <n v="15.287300663378099"/>
    <n v="5579.8647421330097"/>
    <n v="20087.513071678801"/>
  </r>
  <r>
    <x v="0"/>
    <x v="2"/>
    <x v="2"/>
    <x v="9"/>
    <x v="20"/>
    <s v="SE4A"/>
    <x v="6"/>
    <x v="7"/>
    <s v="GNR_RES_WTR_NOPMP_MC-06"/>
    <x v="0"/>
    <x v="0"/>
    <n v="15.287300663378099"/>
    <n v="5579.8647421330097"/>
    <n v="20087.513071678801"/>
  </r>
  <r>
    <x v="0"/>
    <x v="2"/>
    <x v="2"/>
    <x v="9"/>
    <x v="20"/>
    <s v="SE4A"/>
    <x v="6"/>
    <x v="7"/>
    <s v="GNR_RES_WTR_NOPMP_MC-06"/>
    <x v="0"/>
    <x v="2"/>
    <n v="15.287300663378099"/>
    <n v="5579.8647421330097"/>
    <n v="20087.513071678801"/>
  </r>
  <r>
    <x v="0"/>
    <x v="2"/>
    <x v="2"/>
    <x v="9"/>
    <x v="20"/>
    <s v="SE4A"/>
    <x v="6"/>
    <x v="7"/>
    <s v="GNR_RES_WTR_NOPMP_MC-06"/>
    <x v="0"/>
    <x v="3"/>
    <n v="15.287300663378099"/>
    <n v="5579.8647421330097"/>
    <n v="20087.513071678801"/>
  </r>
  <r>
    <x v="0"/>
    <x v="2"/>
    <x v="2"/>
    <x v="9"/>
    <x v="20"/>
    <s v="SE4A"/>
    <x v="6"/>
    <x v="7"/>
    <s v="GNR_RES_WTR_NOPMP_MC-06"/>
    <x v="0"/>
    <x v="4"/>
    <n v="15.287300663378099"/>
    <n v="5579.8647421330097"/>
    <n v="20087.513071678801"/>
  </r>
  <r>
    <x v="0"/>
    <x v="2"/>
    <x v="2"/>
    <x v="9"/>
    <x v="20"/>
    <s v="SE4A"/>
    <x v="6"/>
    <x v="7"/>
    <s v="GNR_RES_WTR_NOPMP_MC-06"/>
    <x v="0"/>
    <x v="5"/>
    <n v="15.287300663378099"/>
    <n v="5579.8647421330097"/>
    <n v="20087.513071678801"/>
  </r>
  <r>
    <x v="0"/>
    <x v="2"/>
    <x v="2"/>
    <x v="9"/>
    <x v="20"/>
    <s v="SE4A"/>
    <x v="6"/>
    <x v="7"/>
    <s v="GNR_RES_WTR_NOPMP_MC-06"/>
    <x v="0"/>
    <x v="6"/>
    <n v="15.287300663378099"/>
    <n v="5579.8647421330097"/>
    <n v="20087.513071678801"/>
  </r>
  <r>
    <x v="0"/>
    <x v="2"/>
    <x v="2"/>
    <x v="9"/>
    <x v="20"/>
    <s v="SE4A"/>
    <x v="6"/>
    <x v="7"/>
    <s v="GNR_RES_WTR_NOPMP_MC-06"/>
    <x v="0"/>
    <x v="7"/>
    <n v="15.287300663378099"/>
    <n v="5579.8647421330097"/>
    <n v="20087.513071678801"/>
  </r>
  <r>
    <x v="0"/>
    <x v="2"/>
    <x v="2"/>
    <x v="9"/>
    <x v="20"/>
    <s v="SE4A"/>
    <x v="6"/>
    <x v="7"/>
    <s v="GNR_RES_WTR_NOPMP_MC-06"/>
    <x v="0"/>
    <x v="8"/>
    <n v="15.287300663378099"/>
    <n v="5579.8647421330097"/>
    <n v="20087.513071678801"/>
  </r>
  <r>
    <x v="0"/>
    <x v="2"/>
    <x v="2"/>
    <x v="9"/>
    <x v="20"/>
    <s v="SE4A"/>
    <x v="6"/>
    <x v="7"/>
    <s v="GNR_RES_WTR_NOPMP_MC-06"/>
    <x v="0"/>
    <x v="15"/>
    <n v="15.287300663378099"/>
    <n v="5579.8647421330097"/>
    <n v="20087.513071678801"/>
  </r>
  <r>
    <x v="0"/>
    <x v="2"/>
    <x v="2"/>
    <x v="9"/>
    <x v="20"/>
    <s v="SE4A"/>
    <x v="6"/>
    <x v="7"/>
    <s v="GNR_RES_WTR_NOPMP_MC-06"/>
    <x v="0"/>
    <x v="16"/>
    <n v="15.287300663378099"/>
    <n v="5579.8647421330097"/>
    <n v="20087.513071678801"/>
  </r>
  <r>
    <x v="0"/>
    <x v="2"/>
    <x v="2"/>
    <x v="9"/>
    <x v="20"/>
    <s v="SE4A"/>
    <x v="6"/>
    <x v="7"/>
    <s v="GNR_RES_WTR_NOPMP_MC-06"/>
    <x v="0"/>
    <x v="17"/>
    <n v="15.287300663378099"/>
    <n v="5579.8647421330097"/>
    <n v="20087.513071678801"/>
  </r>
  <r>
    <x v="0"/>
    <x v="2"/>
    <x v="2"/>
    <x v="9"/>
    <x v="20"/>
    <s v="SE4A"/>
    <x v="6"/>
    <x v="7"/>
    <s v="GNR_RES_WTR_NOPMP_MC-07"/>
    <x v="0"/>
    <x v="3"/>
    <n v="15.287300663378099"/>
    <n v="5579.8647421330097"/>
    <n v="20087.513071678801"/>
  </r>
  <r>
    <x v="0"/>
    <x v="2"/>
    <x v="2"/>
    <x v="9"/>
    <x v="20"/>
    <s v="SE4A"/>
    <x v="6"/>
    <x v="7"/>
    <s v="GNR_RES_WTR_NOPMP_MC-07"/>
    <x v="0"/>
    <x v="4"/>
    <n v="15.287300663378099"/>
    <n v="5579.8647421330097"/>
    <n v="20087.513071678801"/>
  </r>
  <r>
    <x v="0"/>
    <x v="2"/>
    <x v="2"/>
    <x v="9"/>
    <x v="20"/>
    <s v="SE4A"/>
    <x v="6"/>
    <x v="7"/>
    <s v="GNR_RES_WTR_NOPMP_MC-07"/>
    <x v="0"/>
    <x v="5"/>
    <n v="15.287300663378099"/>
    <n v="5579.8647421330097"/>
    <n v="20087.513071678801"/>
  </r>
  <r>
    <x v="0"/>
    <x v="2"/>
    <x v="2"/>
    <x v="9"/>
    <x v="20"/>
    <s v="SE4A"/>
    <x v="6"/>
    <x v="7"/>
    <s v="GNR_RES_WTR_NOPMP_MC-07"/>
    <x v="0"/>
    <x v="6"/>
    <n v="15.287300663378099"/>
    <n v="5579.8647421330097"/>
    <n v="20087.513071678801"/>
  </r>
  <r>
    <x v="0"/>
    <x v="2"/>
    <x v="2"/>
    <x v="9"/>
    <x v="20"/>
    <s v="SE4A"/>
    <x v="6"/>
    <x v="7"/>
    <s v="GNR_RES_WTR_NOPMP_MC-07"/>
    <x v="0"/>
    <x v="7"/>
    <n v="15.287300663378099"/>
    <n v="5579.8647421330097"/>
    <n v="20087.513071678801"/>
  </r>
  <r>
    <x v="0"/>
    <x v="2"/>
    <x v="2"/>
    <x v="9"/>
    <x v="20"/>
    <s v="SE4A"/>
    <x v="6"/>
    <x v="7"/>
    <s v="GNR_RES_WTR_NOPMP_MC-07"/>
    <x v="0"/>
    <x v="8"/>
    <n v="15.287300663378099"/>
    <n v="5579.8647421330097"/>
    <n v="20087.513071678801"/>
  </r>
  <r>
    <x v="0"/>
    <x v="2"/>
    <x v="2"/>
    <x v="9"/>
    <x v="20"/>
    <s v="SE4A"/>
    <x v="6"/>
    <x v="7"/>
    <s v="GNR_RES_WTR_NOPMP_MC-07"/>
    <x v="0"/>
    <x v="15"/>
    <n v="15.287300663378099"/>
    <n v="5579.8647421330097"/>
    <n v="20087.513071678801"/>
  </r>
  <r>
    <x v="0"/>
    <x v="2"/>
    <x v="2"/>
    <x v="9"/>
    <x v="20"/>
    <s v="SE4A"/>
    <x v="6"/>
    <x v="7"/>
    <s v="GNR_RES_WTR_NOPMP_MC-07"/>
    <x v="0"/>
    <x v="16"/>
    <n v="15.287300663378099"/>
    <n v="5579.8647421330097"/>
    <n v="20087.513071678801"/>
  </r>
  <r>
    <x v="0"/>
    <x v="2"/>
    <x v="2"/>
    <x v="9"/>
    <x v="20"/>
    <s v="SE4A"/>
    <x v="6"/>
    <x v="7"/>
    <s v="GNR_RES_WTR_NOPMP_MC-07"/>
    <x v="0"/>
    <x v="17"/>
    <n v="15.287300663378099"/>
    <n v="5579.8647421330097"/>
    <n v="20087.513071678801"/>
  </r>
  <r>
    <x v="0"/>
    <x v="2"/>
    <x v="2"/>
    <x v="9"/>
    <x v="20"/>
    <s v="SE4A"/>
    <x v="6"/>
    <x v="7"/>
    <s v="GNR_RES_WTR_NOPMP_MC-08"/>
    <x v="0"/>
    <x v="3"/>
    <n v="15.287300663378099"/>
    <n v="5579.8647421330097"/>
    <n v="20087.513071678801"/>
  </r>
  <r>
    <x v="0"/>
    <x v="2"/>
    <x v="2"/>
    <x v="9"/>
    <x v="20"/>
    <s v="SE4A"/>
    <x v="6"/>
    <x v="7"/>
    <s v="GNR_RES_WTR_NOPMP_MC-08"/>
    <x v="0"/>
    <x v="4"/>
    <n v="15.287300663378099"/>
    <n v="5579.8647421330097"/>
    <n v="20087.513071678801"/>
  </r>
  <r>
    <x v="0"/>
    <x v="2"/>
    <x v="2"/>
    <x v="9"/>
    <x v="20"/>
    <s v="SE4A"/>
    <x v="6"/>
    <x v="7"/>
    <s v="GNR_RES_WTR_NOPMP_MC-08"/>
    <x v="0"/>
    <x v="5"/>
    <n v="15.287300663378099"/>
    <n v="5579.8647421330097"/>
    <n v="20087.513071678801"/>
  </r>
  <r>
    <x v="0"/>
    <x v="2"/>
    <x v="2"/>
    <x v="9"/>
    <x v="20"/>
    <s v="SE4A"/>
    <x v="6"/>
    <x v="7"/>
    <s v="GNR_RES_WTR_NOPMP_MC-08"/>
    <x v="0"/>
    <x v="6"/>
    <n v="15.287300663378099"/>
    <n v="5579.8647421330097"/>
    <n v="20087.513071678801"/>
  </r>
  <r>
    <x v="0"/>
    <x v="2"/>
    <x v="2"/>
    <x v="9"/>
    <x v="20"/>
    <s v="SE4A"/>
    <x v="6"/>
    <x v="7"/>
    <s v="GNR_RES_WTR_NOPMP_MC-08"/>
    <x v="0"/>
    <x v="7"/>
    <n v="15.287300663378099"/>
    <n v="5579.8647421330097"/>
    <n v="20087.513071678801"/>
  </r>
  <r>
    <x v="0"/>
    <x v="2"/>
    <x v="2"/>
    <x v="9"/>
    <x v="20"/>
    <s v="SE4A"/>
    <x v="6"/>
    <x v="7"/>
    <s v="GNR_RES_WTR_NOPMP_MC-08"/>
    <x v="0"/>
    <x v="8"/>
    <n v="15.287300663378099"/>
    <n v="5579.8647421330097"/>
    <n v="20087.513071678801"/>
  </r>
  <r>
    <x v="0"/>
    <x v="2"/>
    <x v="2"/>
    <x v="9"/>
    <x v="20"/>
    <s v="SE4A"/>
    <x v="6"/>
    <x v="7"/>
    <s v="GNR_RES_WTR_NOPMP_MC-08"/>
    <x v="0"/>
    <x v="15"/>
    <n v="15.287300663378099"/>
    <n v="5579.8647421330097"/>
    <n v="20087.513071678801"/>
  </r>
  <r>
    <x v="0"/>
    <x v="2"/>
    <x v="2"/>
    <x v="9"/>
    <x v="20"/>
    <s v="SE4A"/>
    <x v="6"/>
    <x v="7"/>
    <s v="GNR_RES_WTR_NOPMP_MC-08"/>
    <x v="0"/>
    <x v="16"/>
    <n v="15.287300663378099"/>
    <n v="5579.8647421330097"/>
    <n v="20087.513071678801"/>
  </r>
  <r>
    <x v="0"/>
    <x v="2"/>
    <x v="2"/>
    <x v="9"/>
    <x v="20"/>
    <s v="SE4A"/>
    <x v="6"/>
    <x v="7"/>
    <s v="GNR_RES_WTR_NOPMP_MC-08"/>
    <x v="0"/>
    <x v="17"/>
    <n v="15.287300663378099"/>
    <n v="5579.8647421330097"/>
    <n v="20087.513071678801"/>
  </r>
  <r>
    <x v="0"/>
    <x v="2"/>
    <x v="2"/>
    <x v="9"/>
    <x v="20"/>
    <s v="SE4A"/>
    <x v="6"/>
    <x v="7"/>
    <s v="GNR_RES_WTR_NOPMP_MC-09"/>
    <x v="0"/>
    <x v="3"/>
    <n v="15.287300663378099"/>
    <n v="5579.8647421330097"/>
    <n v="20087.513071678801"/>
  </r>
  <r>
    <x v="0"/>
    <x v="2"/>
    <x v="2"/>
    <x v="9"/>
    <x v="20"/>
    <s v="SE4A"/>
    <x v="6"/>
    <x v="7"/>
    <s v="GNR_RES_WTR_NOPMP_MC-09"/>
    <x v="0"/>
    <x v="4"/>
    <n v="15.287300663378099"/>
    <n v="5579.8647421330097"/>
    <n v="20087.513071678801"/>
  </r>
  <r>
    <x v="0"/>
    <x v="2"/>
    <x v="2"/>
    <x v="9"/>
    <x v="20"/>
    <s v="SE4A"/>
    <x v="6"/>
    <x v="7"/>
    <s v="GNR_RES_WTR_NOPMP_MC-09"/>
    <x v="0"/>
    <x v="5"/>
    <n v="15.287300663378099"/>
    <n v="5579.8647421330097"/>
    <n v="20087.513071678801"/>
  </r>
  <r>
    <x v="0"/>
    <x v="2"/>
    <x v="2"/>
    <x v="9"/>
    <x v="20"/>
    <s v="SE4A"/>
    <x v="6"/>
    <x v="7"/>
    <s v="GNR_RES_WTR_NOPMP_MC-09"/>
    <x v="0"/>
    <x v="6"/>
    <n v="15.287300663378099"/>
    <n v="5579.8647421330097"/>
    <n v="20087.513071678801"/>
  </r>
  <r>
    <x v="0"/>
    <x v="2"/>
    <x v="2"/>
    <x v="9"/>
    <x v="20"/>
    <s v="SE4A"/>
    <x v="6"/>
    <x v="7"/>
    <s v="GNR_RES_WTR_NOPMP_MC-09"/>
    <x v="0"/>
    <x v="7"/>
    <n v="15.287300663378099"/>
    <n v="5579.8647421330097"/>
    <n v="20087.513071678801"/>
  </r>
  <r>
    <x v="0"/>
    <x v="2"/>
    <x v="2"/>
    <x v="9"/>
    <x v="20"/>
    <s v="SE4A"/>
    <x v="6"/>
    <x v="7"/>
    <s v="GNR_RES_WTR_NOPMP_MC-09"/>
    <x v="0"/>
    <x v="8"/>
    <n v="15.287300663378099"/>
    <n v="5579.8647421330097"/>
    <n v="20087.513071678801"/>
  </r>
  <r>
    <x v="0"/>
    <x v="2"/>
    <x v="2"/>
    <x v="9"/>
    <x v="20"/>
    <s v="SE4A"/>
    <x v="6"/>
    <x v="7"/>
    <s v="GNR_RES_WTR_NOPMP_MC-09"/>
    <x v="0"/>
    <x v="15"/>
    <n v="15.287300663378099"/>
    <n v="5579.8647421330097"/>
    <n v="20087.513071678801"/>
  </r>
  <r>
    <x v="0"/>
    <x v="2"/>
    <x v="2"/>
    <x v="9"/>
    <x v="20"/>
    <s v="SE4A"/>
    <x v="6"/>
    <x v="7"/>
    <s v="GNR_RES_WTR_NOPMP_MC-09"/>
    <x v="0"/>
    <x v="16"/>
    <n v="15.287300663378099"/>
    <n v="5579.8647421330097"/>
    <n v="20087.513071678801"/>
  </r>
  <r>
    <x v="0"/>
    <x v="2"/>
    <x v="2"/>
    <x v="9"/>
    <x v="20"/>
    <s v="SE4A"/>
    <x v="6"/>
    <x v="7"/>
    <s v="GNR_RES_WTR_NOPMP_MC-10"/>
    <x v="0"/>
    <x v="3"/>
    <n v="4.1410587354343997"/>
    <n v="1511.4864384335599"/>
    <n v="5441.3511783608001"/>
  </r>
  <r>
    <x v="0"/>
    <x v="2"/>
    <x v="2"/>
    <x v="9"/>
    <x v="20"/>
    <s v="SE4A"/>
    <x v="6"/>
    <x v="7"/>
    <s v="GNR_RES_WTR_NOPMP_MC-10"/>
    <x v="0"/>
    <x v="4"/>
    <n v="15.287300663378099"/>
    <n v="5579.8647421330097"/>
    <n v="20087.513071678801"/>
  </r>
  <r>
    <x v="0"/>
    <x v="2"/>
    <x v="2"/>
    <x v="9"/>
    <x v="20"/>
    <s v="SE4A"/>
    <x v="6"/>
    <x v="7"/>
    <s v="GNR_RES_WTR_NOPMP_MC-10"/>
    <x v="0"/>
    <x v="5"/>
    <n v="15.287300663378099"/>
    <n v="5579.8647421330097"/>
    <n v="20087.513071678801"/>
  </r>
  <r>
    <x v="0"/>
    <x v="2"/>
    <x v="2"/>
    <x v="9"/>
    <x v="20"/>
    <s v="SE4A"/>
    <x v="6"/>
    <x v="7"/>
    <s v="GNR_RES_WTR_NOPMP_MC-10"/>
    <x v="0"/>
    <x v="6"/>
    <n v="15.287300663378099"/>
    <n v="5579.8647421330097"/>
    <n v="20087.513071678801"/>
  </r>
  <r>
    <x v="0"/>
    <x v="2"/>
    <x v="2"/>
    <x v="9"/>
    <x v="20"/>
    <s v="SE4A"/>
    <x v="6"/>
    <x v="7"/>
    <s v="GNR_RES_WTR_NOPMP_MC-10"/>
    <x v="0"/>
    <x v="7"/>
    <n v="15.287300663378099"/>
    <n v="5579.8647421330097"/>
    <n v="20087.513071678801"/>
  </r>
  <r>
    <x v="0"/>
    <x v="2"/>
    <x v="2"/>
    <x v="9"/>
    <x v="20"/>
    <s v="SE4A"/>
    <x v="6"/>
    <x v="7"/>
    <s v="GNR_RES_WTR_NOPMP_MC-10"/>
    <x v="0"/>
    <x v="15"/>
    <n v="15.287300663378099"/>
    <n v="5579.8647421330097"/>
    <n v="20087.513071678801"/>
  </r>
  <r>
    <x v="0"/>
    <x v="2"/>
    <x v="2"/>
    <x v="9"/>
    <x v="20"/>
    <s v="SE4A"/>
    <x v="6"/>
    <x v="7"/>
    <s v="GNR_RES_WTR_NOPMP_MC-10"/>
    <x v="0"/>
    <x v="16"/>
    <n v="15.287300663378099"/>
    <n v="5579.8647421330097"/>
    <n v="20087.513071678801"/>
  </r>
  <r>
    <x v="0"/>
    <x v="2"/>
    <x v="2"/>
    <x v="9"/>
    <x v="20"/>
    <s v="SE4A"/>
    <x v="6"/>
    <x v="4"/>
    <s v="GNR_ROR_WTR"/>
    <x v="0"/>
    <x v="0"/>
    <n v="103.16008588042099"/>
    <n v="37653.431346353798"/>
    <n v="135552.35284687401"/>
  </r>
  <r>
    <x v="0"/>
    <x v="2"/>
    <x v="2"/>
    <x v="9"/>
    <x v="20"/>
    <s v="SE4A"/>
    <x v="6"/>
    <x v="4"/>
    <s v="GNR_ROR_WTR"/>
    <x v="0"/>
    <x v="1"/>
    <n v="103.16008588042099"/>
    <n v="37653.431346353798"/>
    <n v="135552.35284687401"/>
  </r>
  <r>
    <x v="0"/>
    <x v="2"/>
    <x v="2"/>
    <x v="9"/>
    <x v="20"/>
    <s v="SE4A"/>
    <x v="6"/>
    <x v="4"/>
    <s v="GNR_ROR_WTR"/>
    <x v="0"/>
    <x v="18"/>
    <n v="103.16008588042099"/>
    <n v="37653.431346353798"/>
    <n v="135552.35284687401"/>
  </r>
  <r>
    <x v="0"/>
    <x v="2"/>
    <x v="2"/>
    <x v="9"/>
    <x v="20"/>
    <s v="SE4A"/>
    <x v="6"/>
    <x v="4"/>
    <s v="GNR_ROR_WTR"/>
    <x v="0"/>
    <x v="2"/>
    <n v="103.16008588042099"/>
    <n v="37653.431346353798"/>
    <n v="135552.35284687401"/>
  </r>
  <r>
    <x v="0"/>
    <x v="2"/>
    <x v="2"/>
    <x v="9"/>
    <x v="20"/>
    <s v="SE4A"/>
    <x v="6"/>
    <x v="4"/>
    <s v="GNR_ROR_WTR"/>
    <x v="0"/>
    <x v="3"/>
    <n v="103.16008588042099"/>
    <n v="37653.431346353798"/>
    <n v="135552.35284687401"/>
  </r>
  <r>
    <x v="0"/>
    <x v="2"/>
    <x v="2"/>
    <x v="9"/>
    <x v="20"/>
    <s v="SE4A"/>
    <x v="6"/>
    <x v="4"/>
    <s v="GNR_ROR_WTR"/>
    <x v="0"/>
    <x v="4"/>
    <n v="103.16008588042099"/>
    <n v="37653.431346353798"/>
    <n v="135552.35284687401"/>
  </r>
  <r>
    <x v="0"/>
    <x v="2"/>
    <x v="2"/>
    <x v="9"/>
    <x v="20"/>
    <s v="SE4A"/>
    <x v="6"/>
    <x v="4"/>
    <s v="GNR_ROR_WTR"/>
    <x v="0"/>
    <x v="5"/>
    <n v="103.16008588042099"/>
    <n v="37653.431346353798"/>
    <n v="135552.35284687401"/>
  </r>
  <r>
    <x v="0"/>
    <x v="2"/>
    <x v="2"/>
    <x v="9"/>
    <x v="20"/>
    <s v="SE4A"/>
    <x v="6"/>
    <x v="4"/>
    <s v="GNR_ROR_WTR"/>
    <x v="0"/>
    <x v="6"/>
    <n v="103.16008588042099"/>
    <n v="37653.431346353798"/>
    <n v="135552.35284687401"/>
  </r>
  <r>
    <x v="0"/>
    <x v="2"/>
    <x v="2"/>
    <x v="9"/>
    <x v="20"/>
    <s v="SE4A"/>
    <x v="6"/>
    <x v="4"/>
    <s v="GNR_ROR_WTR"/>
    <x v="0"/>
    <x v="7"/>
    <n v="103.16008588042099"/>
    <n v="37653.431346353798"/>
    <n v="135552.35284687401"/>
  </r>
  <r>
    <x v="0"/>
    <x v="2"/>
    <x v="2"/>
    <x v="9"/>
    <x v="20"/>
    <s v="SE4A"/>
    <x v="6"/>
    <x v="4"/>
    <s v="GNR_ROR_WTR"/>
    <x v="0"/>
    <x v="8"/>
    <n v="103.16008588042099"/>
    <n v="37653.431346353798"/>
    <n v="135552.35284687401"/>
  </r>
  <r>
    <x v="0"/>
    <x v="2"/>
    <x v="2"/>
    <x v="9"/>
    <x v="20"/>
    <s v="SE4A"/>
    <x v="6"/>
    <x v="4"/>
    <s v="GNR_ROR_WTR"/>
    <x v="0"/>
    <x v="9"/>
    <n v="103.16008588042099"/>
    <n v="37653.431346353798"/>
    <n v="135552.35284687401"/>
  </r>
  <r>
    <x v="0"/>
    <x v="2"/>
    <x v="2"/>
    <x v="9"/>
    <x v="20"/>
    <s v="SE4A"/>
    <x v="6"/>
    <x v="4"/>
    <s v="GNR_ROR_WTR"/>
    <x v="0"/>
    <x v="10"/>
    <n v="103.16008588042099"/>
    <n v="37653.431346353798"/>
    <n v="135552.35284687401"/>
  </r>
  <r>
    <x v="0"/>
    <x v="2"/>
    <x v="2"/>
    <x v="9"/>
    <x v="20"/>
    <s v="SE4A"/>
    <x v="6"/>
    <x v="4"/>
    <s v="GNR_ROR_WTR"/>
    <x v="0"/>
    <x v="11"/>
    <n v="103.16008588042099"/>
    <n v="37653.431346353798"/>
    <n v="135552.35284687401"/>
  </r>
  <r>
    <x v="0"/>
    <x v="2"/>
    <x v="2"/>
    <x v="9"/>
    <x v="20"/>
    <s v="SE4A"/>
    <x v="6"/>
    <x v="4"/>
    <s v="GNR_ROR_WTR"/>
    <x v="0"/>
    <x v="12"/>
    <n v="103.16008588042099"/>
    <n v="37653.431346353798"/>
    <n v="135552.35284687401"/>
  </r>
  <r>
    <x v="0"/>
    <x v="2"/>
    <x v="2"/>
    <x v="9"/>
    <x v="20"/>
    <s v="SE4A"/>
    <x v="6"/>
    <x v="4"/>
    <s v="GNR_ROR_WTR"/>
    <x v="0"/>
    <x v="13"/>
    <n v="103.16008588042099"/>
    <n v="37653.431346353798"/>
    <n v="135552.35284687401"/>
  </r>
  <r>
    <x v="0"/>
    <x v="2"/>
    <x v="2"/>
    <x v="9"/>
    <x v="20"/>
    <s v="SE4A"/>
    <x v="6"/>
    <x v="4"/>
    <s v="GNR_ROR_WTR"/>
    <x v="0"/>
    <x v="14"/>
    <n v="103.16008588042099"/>
    <n v="37653.431346353798"/>
    <n v="135552.35284687401"/>
  </r>
  <r>
    <x v="0"/>
    <x v="2"/>
    <x v="2"/>
    <x v="9"/>
    <x v="20"/>
    <s v="SE4A"/>
    <x v="6"/>
    <x v="4"/>
    <s v="GNR_ROR_WTR"/>
    <x v="0"/>
    <x v="15"/>
    <n v="103.16008588042099"/>
    <n v="37653.431346353798"/>
    <n v="135552.35284687401"/>
  </r>
  <r>
    <x v="0"/>
    <x v="2"/>
    <x v="2"/>
    <x v="9"/>
    <x v="20"/>
    <s v="SE4A"/>
    <x v="6"/>
    <x v="4"/>
    <s v="GNR_ROR_WTR"/>
    <x v="0"/>
    <x v="16"/>
    <n v="103.16008588042099"/>
    <n v="37653.431346353798"/>
    <n v="135552.35284687401"/>
  </r>
  <r>
    <x v="0"/>
    <x v="2"/>
    <x v="2"/>
    <x v="9"/>
    <x v="20"/>
    <s v="SE4A"/>
    <x v="6"/>
    <x v="4"/>
    <s v="GNR_ROR_WTR"/>
    <x v="0"/>
    <x v="17"/>
    <n v="103.16008588042099"/>
    <n v="37653.431346353798"/>
    <n v="135552.35284687401"/>
  </r>
  <r>
    <x v="0"/>
    <x v="2"/>
    <x v="2"/>
    <x v="9"/>
    <x v="20"/>
    <s v="SE4A"/>
    <x v="6"/>
    <x v="4"/>
    <s v="GNR_ROR_WTR"/>
    <x v="0"/>
    <x v="19"/>
    <n v="103.16008588042099"/>
    <n v="37653.431346353798"/>
    <n v="135552.35284687401"/>
  </r>
  <r>
    <x v="0"/>
    <x v="2"/>
    <x v="2"/>
    <x v="9"/>
    <x v="20"/>
    <s v="SE4A"/>
    <x v="6"/>
    <x v="4"/>
    <s v="GNR_ROR_WTR"/>
    <x v="0"/>
    <x v="20"/>
    <n v="103.16008588042099"/>
    <n v="37653.431346353798"/>
    <n v="135552.35284687401"/>
  </r>
  <r>
    <x v="0"/>
    <x v="2"/>
    <x v="2"/>
    <x v="9"/>
    <x v="20"/>
    <s v="SE4A"/>
    <x v="6"/>
    <x v="4"/>
    <s v="GNR_ROR_WTR"/>
    <x v="0"/>
    <x v="21"/>
    <n v="103.16008588042099"/>
    <n v="37653.431346353798"/>
    <n v="135552.35284687401"/>
  </r>
  <r>
    <x v="0"/>
    <x v="2"/>
    <x v="2"/>
    <x v="9"/>
    <x v="20"/>
    <s v="SE4A"/>
    <x v="6"/>
    <x v="4"/>
    <s v="GNR_ROR_WTR"/>
    <x v="0"/>
    <x v="22"/>
    <n v="103.16008588042099"/>
    <n v="37653.431346353798"/>
    <n v="135552.35284687401"/>
  </r>
  <r>
    <x v="0"/>
    <x v="2"/>
    <x v="2"/>
    <x v="9"/>
    <x v="20"/>
    <s v="SE4A"/>
    <x v="6"/>
    <x v="4"/>
    <s v="GNR_ROR_WTR"/>
    <x v="0"/>
    <x v="23"/>
    <n v="103.16008588042099"/>
    <n v="37653.431346353798"/>
    <n v="135552.35284687401"/>
  </r>
  <r>
    <x v="0"/>
    <x v="2"/>
    <x v="2"/>
    <x v="9"/>
    <x v="20"/>
    <s v="SE4A"/>
    <x v="7"/>
    <x v="5"/>
    <s v="GNR_WT_WIND_ONS"/>
    <x v="0"/>
    <x v="0"/>
    <n v="216.42899600318401"/>
    <n v="78996.583541162196"/>
    <n v="284387.700748184"/>
  </r>
  <r>
    <x v="0"/>
    <x v="2"/>
    <x v="2"/>
    <x v="9"/>
    <x v="20"/>
    <s v="SE4A"/>
    <x v="7"/>
    <x v="5"/>
    <s v="GNR_WT_WIND_ONS"/>
    <x v="0"/>
    <x v="1"/>
    <n v="205.4080307012"/>
    <n v="74973.931205938105"/>
    <n v="269906.15234137699"/>
  </r>
  <r>
    <x v="0"/>
    <x v="2"/>
    <x v="2"/>
    <x v="9"/>
    <x v="20"/>
    <s v="SE4A"/>
    <x v="7"/>
    <x v="5"/>
    <s v="GNR_WT_WIND_ONS"/>
    <x v="0"/>
    <x v="18"/>
    <n v="194.92367935847699"/>
    <n v="71147.142965843901"/>
    <n v="256129.71467703799"/>
  </r>
  <r>
    <x v="0"/>
    <x v="2"/>
    <x v="2"/>
    <x v="9"/>
    <x v="20"/>
    <s v="SE4A"/>
    <x v="7"/>
    <x v="5"/>
    <s v="GNR_WT_WIND_ONS"/>
    <x v="0"/>
    <x v="2"/>
    <n v="184.60377333164101"/>
    <n v="67380.377266048905"/>
    <n v="242569.35815777601"/>
  </r>
  <r>
    <x v="0"/>
    <x v="2"/>
    <x v="2"/>
    <x v="9"/>
    <x v="20"/>
    <s v="SE4A"/>
    <x v="7"/>
    <x v="5"/>
    <s v="GNR_WT_WIND_ONS"/>
    <x v="0"/>
    <x v="3"/>
    <n v="152.23225253698399"/>
    <n v="55564.772175999198"/>
    <n v="200033.17983359701"/>
  </r>
  <r>
    <x v="0"/>
    <x v="2"/>
    <x v="2"/>
    <x v="9"/>
    <x v="20"/>
    <s v="SE4A"/>
    <x v="7"/>
    <x v="5"/>
    <s v="GNR_WT_WIND_ONS"/>
    <x v="0"/>
    <x v="4"/>
    <n v="140.36983010528701"/>
    <n v="51234.987988429697"/>
    <n v="184445.95675834699"/>
  </r>
  <r>
    <x v="0"/>
    <x v="2"/>
    <x v="2"/>
    <x v="9"/>
    <x v="20"/>
    <s v="SE4A"/>
    <x v="7"/>
    <x v="5"/>
    <s v="GNR_WT_WIND_ONS"/>
    <x v="0"/>
    <x v="5"/>
    <n v="116.321791177089"/>
    <n v="42457.453779637297"/>
    <n v="152846.83360669401"/>
  </r>
  <r>
    <x v="0"/>
    <x v="2"/>
    <x v="2"/>
    <x v="9"/>
    <x v="20"/>
    <s v="SE4A"/>
    <x v="7"/>
    <x v="5"/>
    <s v="GNR_WT_WIND_ONS"/>
    <x v="0"/>
    <x v="6"/>
    <n v="82.817050989773904"/>
    <n v="30228.223611267498"/>
    <n v="108821.60500056299"/>
  </r>
  <r>
    <x v="0"/>
    <x v="2"/>
    <x v="2"/>
    <x v="9"/>
    <x v="20"/>
    <s v="SE4A"/>
    <x v="7"/>
    <x v="5"/>
    <s v="GNR_WT_WIND_ONS"/>
    <x v="0"/>
    <x v="7"/>
    <n v="66.687534255428005"/>
    <n v="24340.950003231199"/>
    <n v="87627.420011632406"/>
  </r>
  <r>
    <x v="0"/>
    <x v="2"/>
    <x v="2"/>
    <x v="9"/>
    <x v="20"/>
    <s v="SE4A"/>
    <x v="7"/>
    <x v="5"/>
    <s v="GNR_WT_WIND_ONS"/>
    <x v="0"/>
    <x v="8"/>
    <n v="70.113431085834307"/>
    <n v="25591.402346329502"/>
    <n v="92129.048446786299"/>
  </r>
  <r>
    <x v="0"/>
    <x v="2"/>
    <x v="2"/>
    <x v="9"/>
    <x v="20"/>
    <s v="SE4A"/>
    <x v="7"/>
    <x v="5"/>
    <s v="GNR_WT_WIND_ONS"/>
    <x v="0"/>
    <x v="9"/>
    <n v="65.569507474407999"/>
    <n v="23932.870228158899"/>
    <n v="86158.332821372096"/>
  </r>
  <r>
    <x v="0"/>
    <x v="2"/>
    <x v="2"/>
    <x v="9"/>
    <x v="20"/>
    <s v="SE4A"/>
    <x v="7"/>
    <x v="5"/>
    <s v="GNR_WT_WIND_ONS"/>
    <x v="0"/>
    <x v="10"/>
    <n v="68.410141663607405"/>
    <n v="24969.7017072167"/>
    <n v="89890.926145980106"/>
  </r>
  <r>
    <x v="0"/>
    <x v="2"/>
    <x v="2"/>
    <x v="9"/>
    <x v="20"/>
    <s v="SE4A"/>
    <x v="7"/>
    <x v="5"/>
    <s v="GNR_WT_WIND_ONS"/>
    <x v="0"/>
    <x v="11"/>
    <n v="76.9718460121655"/>
    <n v="28094.723794440401"/>
    <n v="101141.00565998501"/>
  </r>
  <r>
    <x v="0"/>
    <x v="2"/>
    <x v="2"/>
    <x v="9"/>
    <x v="20"/>
    <s v="SE4A"/>
    <x v="7"/>
    <x v="5"/>
    <s v="GNR_WT_WIND_ONS"/>
    <x v="0"/>
    <x v="12"/>
    <n v="90.182102685258798"/>
    <n v="32916.4674801195"/>
    <n v="118499.28292843"/>
  </r>
  <r>
    <x v="0"/>
    <x v="2"/>
    <x v="2"/>
    <x v="9"/>
    <x v="20"/>
    <s v="SE4A"/>
    <x v="7"/>
    <x v="5"/>
    <s v="GNR_WT_WIND_ONS"/>
    <x v="0"/>
    <x v="13"/>
    <n v="139.61216020225999"/>
    <n v="50958.438473825001"/>
    <n v="183450.37850577"/>
  </r>
  <r>
    <x v="0"/>
    <x v="2"/>
    <x v="2"/>
    <x v="9"/>
    <x v="20"/>
    <s v="SE4A"/>
    <x v="7"/>
    <x v="5"/>
    <s v="GNR_WT_WIND_ONS"/>
    <x v="0"/>
    <x v="14"/>
    <n v="216.33408324872099"/>
    <n v="78961.940385783193"/>
    <n v="284262.98538882"/>
  </r>
  <r>
    <x v="0"/>
    <x v="2"/>
    <x v="2"/>
    <x v="9"/>
    <x v="20"/>
    <s v="SE4A"/>
    <x v="7"/>
    <x v="5"/>
    <s v="GNR_WT_WIND_ONS"/>
    <x v="0"/>
    <x v="15"/>
    <n v="332.09315429241798"/>
    <n v="121214.001316733"/>
    <n v="436370.40474023798"/>
  </r>
  <r>
    <x v="0"/>
    <x v="2"/>
    <x v="2"/>
    <x v="9"/>
    <x v="20"/>
    <s v="SE4A"/>
    <x v="7"/>
    <x v="5"/>
    <s v="GNR_WT_WIND_ONS"/>
    <x v="0"/>
    <x v="16"/>
    <n v="535.62279370091596"/>
    <n v="195502.31970083399"/>
    <n v="703808.35092300305"/>
  </r>
  <r>
    <x v="0"/>
    <x v="2"/>
    <x v="2"/>
    <x v="9"/>
    <x v="20"/>
    <s v="SE4A"/>
    <x v="7"/>
    <x v="5"/>
    <s v="GNR_WT_WIND_ONS"/>
    <x v="0"/>
    <x v="17"/>
    <n v="782.32684137450894"/>
    <n v="285549.29710169602"/>
    <n v="1027977.4695661101"/>
  </r>
  <r>
    <x v="0"/>
    <x v="2"/>
    <x v="2"/>
    <x v="9"/>
    <x v="20"/>
    <s v="SE4A"/>
    <x v="7"/>
    <x v="5"/>
    <s v="GNR_WT_WIND_ONS"/>
    <x v="0"/>
    <x v="19"/>
    <n v="871.34431406177998"/>
    <n v="318040.67463254998"/>
    <n v="1144946.4286771801"/>
  </r>
  <r>
    <x v="0"/>
    <x v="2"/>
    <x v="2"/>
    <x v="9"/>
    <x v="20"/>
    <s v="SE4A"/>
    <x v="7"/>
    <x v="5"/>
    <s v="GNR_WT_WIND_ONS"/>
    <x v="0"/>
    <x v="20"/>
    <n v="810.02200794823796"/>
    <n v="295658.03290110698"/>
    <n v="1064368.9184439899"/>
  </r>
  <r>
    <x v="0"/>
    <x v="2"/>
    <x v="2"/>
    <x v="9"/>
    <x v="20"/>
    <s v="SE4A"/>
    <x v="7"/>
    <x v="5"/>
    <s v="GNR_WT_WIND_ONS"/>
    <x v="0"/>
    <x v="21"/>
    <n v="768.36671777035895"/>
    <n v="280453.85198618099"/>
    <n v="1009633.86715025"/>
  </r>
  <r>
    <x v="0"/>
    <x v="2"/>
    <x v="2"/>
    <x v="9"/>
    <x v="20"/>
    <s v="SE4A"/>
    <x v="7"/>
    <x v="5"/>
    <s v="GNR_WT_WIND_ONS"/>
    <x v="0"/>
    <x v="22"/>
    <n v="892.62624314461095"/>
    <n v="325808.57874778297"/>
    <n v="1172910.88349202"/>
  </r>
  <r>
    <x v="0"/>
    <x v="2"/>
    <x v="2"/>
    <x v="9"/>
    <x v="20"/>
    <s v="SE4A"/>
    <x v="7"/>
    <x v="5"/>
    <s v="GNR_WT_WIND_ONS"/>
    <x v="0"/>
    <x v="23"/>
    <n v="1085.5557716703699"/>
    <n v="396227.85665968398"/>
    <n v="1426420.2839748601"/>
  </r>
  <r>
    <x v="0"/>
    <x v="2"/>
    <x v="2"/>
    <x v="9"/>
    <x v="20"/>
    <s v="SE4_EL"/>
    <x v="18"/>
    <x v="2"/>
    <s v="GBPR_RECYCLEDWOOD"/>
    <x v="0"/>
    <x v="6"/>
    <n v="24.0457040261917"/>
    <n v="8776.6819695599697"/>
    <n v="31596.055090415899"/>
  </r>
  <r>
    <x v="0"/>
    <x v="2"/>
    <x v="2"/>
    <x v="9"/>
    <x v="20"/>
    <s v="SE4_EL"/>
    <x v="18"/>
    <x v="2"/>
    <s v="GBPR_RECYCLEDWOOD"/>
    <x v="0"/>
    <x v="7"/>
    <n v="24.0457040261917"/>
    <n v="8776.6819695599697"/>
    <n v="31596.055090415899"/>
  </r>
  <r>
    <x v="0"/>
    <x v="2"/>
    <x v="2"/>
    <x v="9"/>
    <x v="20"/>
    <s v="SE4_EL"/>
    <x v="18"/>
    <x v="2"/>
    <s v="GBPR_RECYCLEDWOOD_SE4EL"/>
    <x v="0"/>
    <x v="6"/>
    <n v="2.4982549637601799"/>
    <n v="911.86306177246399"/>
    <n v="3282.7070223808701"/>
  </r>
  <r>
    <x v="0"/>
    <x v="2"/>
    <x v="2"/>
    <x v="9"/>
    <x v="20"/>
    <s v="SE4_HP"/>
    <x v="2"/>
    <x v="2"/>
    <s v="GBPR_MUNIWASTE_65"/>
    <x v="0"/>
    <x v="0"/>
    <n v="18"/>
    <n v="6570"/>
    <n v="23652"/>
  </r>
  <r>
    <x v="0"/>
    <x v="2"/>
    <x v="2"/>
    <x v="9"/>
    <x v="20"/>
    <s v="SE4_HP"/>
    <x v="2"/>
    <x v="2"/>
    <s v="GBPR_MUNIWASTE_65"/>
    <x v="0"/>
    <x v="1"/>
    <n v="18"/>
    <n v="6570"/>
    <n v="23652"/>
  </r>
  <r>
    <x v="0"/>
    <x v="2"/>
    <x v="2"/>
    <x v="9"/>
    <x v="20"/>
    <s v="SE4_HP"/>
    <x v="2"/>
    <x v="2"/>
    <s v="GBPR_MUNIWASTE_65"/>
    <x v="0"/>
    <x v="18"/>
    <n v="18"/>
    <n v="6570"/>
    <n v="23652"/>
  </r>
  <r>
    <x v="0"/>
    <x v="2"/>
    <x v="2"/>
    <x v="9"/>
    <x v="20"/>
    <s v="SE4_HP"/>
    <x v="2"/>
    <x v="2"/>
    <s v="GBPR_MUNIWASTE_65"/>
    <x v="0"/>
    <x v="2"/>
    <n v="18"/>
    <n v="6570"/>
    <n v="23652"/>
  </r>
  <r>
    <x v="0"/>
    <x v="2"/>
    <x v="2"/>
    <x v="9"/>
    <x v="20"/>
    <s v="SE4_HP"/>
    <x v="2"/>
    <x v="2"/>
    <s v="GBPR_MUNIWASTE_65"/>
    <x v="0"/>
    <x v="3"/>
    <n v="18"/>
    <n v="6570"/>
    <n v="23652"/>
  </r>
  <r>
    <x v="0"/>
    <x v="2"/>
    <x v="2"/>
    <x v="9"/>
    <x v="20"/>
    <s v="SE4_HP"/>
    <x v="2"/>
    <x v="2"/>
    <s v="GBPR_MUNIWASTE_65"/>
    <x v="0"/>
    <x v="4"/>
    <n v="18"/>
    <n v="6570"/>
    <n v="23652"/>
  </r>
  <r>
    <x v="0"/>
    <x v="2"/>
    <x v="2"/>
    <x v="9"/>
    <x v="20"/>
    <s v="SE4_HP"/>
    <x v="2"/>
    <x v="2"/>
    <s v="GBPR_MUNIWASTE_65"/>
    <x v="0"/>
    <x v="5"/>
    <n v="18"/>
    <n v="6570"/>
    <n v="23652"/>
  </r>
  <r>
    <x v="0"/>
    <x v="2"/>
    <x v="2"/>
    <x v="9"/>
    <x v="20"/>
    <s v="SE4_HP"/>
    <x v="2"/>
    <x v="2"/>
    <s v="GBPR_MUNIWASTE_65"/>
    <x v="0"/>
    <x v="6"/>
    <n v="18"/>
    <n v="6570"/>
    <n v="23652"/>
  </r>
  <r>
    <x v="0"/>
    <x v="2"/>
    <x v="2"/>
    <x v="9"/>
    <x v="20"/>
    <s v="SE4_HP"/>
    <x v="2"/>
    <x v="2"/>
    <s v="GBPR_MUNIWASTE_65"/>
    <x v="0"/>
    <x v="7"/>
    <n v="18"/>
    <n v="6570"/>
    <n v="23652"/>
  </r>
  <r>
    <x v="0"/>
    <x v="2"/>
    <x v="2"/>
    <x v="9"/>
    <x v="20"/>
    <s v="SE4_HP"/>
    <x v="2"/>
    <x v="2"/>
    <s v="GBPR_MUNIWASTE_65"/>
    <x v="0"/>
    <x v="8"/>
    <n v="18"/>
    <n v="6570"/>
    <n v="23652"/>
  </r>
  <r>
    <x v="0"/>
    <x v="2"/>
    <x v="2"/>
    <x v="9"/>
    <x v="20"/>
    <s v="SE4_HP"/>
    <x v="2"/>
    <x v="2"/>
    <s v="GBPR_MUNIWASTE_65"/>
    <x v="0"/>
    <x v="9"/>
    <n v="18"/>
    <n v="6570"/>
    <n v="23652"/>
  </r>
  <r>
    <x v="0"/>
    <x v="2"/>
    <x v="2"/>
    <x v="9"/>
    <x v="20"/>
    <s v="SE4_HP"/>
    <x v="2"/>
    <x v="2"/>
    <s v="GBPR_MUNIWASTE_65"/>
    <x v="0"/>
    <x v="10"/>
    <n v="18"/>
    <n v="6570"/>
    <n v="23652"/>
  </r>
  <r>
    <x v="0"/>
    <x v="2"/>
    <x v="2"/>
    <x v="9"/>
    <x v="20"/>
    <s v="SE4_HP"/>
    <x v="2"/>
    <x v="2"/>
    <s v="GBPR_MUNIWASTE_65"/>
    <x v="0"/>
    <x v="11"/>
    <n v="18"/>
    <n v="6570"/>
    <n v="23652"/>
  </r>
  <r>
    <x v="0"/>
    <x v="2"/>
    <x v="2"/>
    <x v="9"/>
    <x v="20"/>
    <s v="SE4_HP"/>
    <x v="2"/>
    <x v="2"/>
    <s v="GBPR_MUNIWASTE_65"/>
    <x v="0"/>
    <x v="12"/>
    <n v="18"/>
    <n v="6570"/>
    <n v="23652"/>
  </r>
  <r>
    <x v="0"/>
    <x v="2"/>
    <x v="2"/>
    <x v="9"/>
    <x v="20"/>
    <s v="SE4_HP"/>
    <x v="2"/>
    <x v="2"/>
    <s v="GBPR_MUNIWASTE_65"/>
    <x v="0"/>
    <x v="13"/>
    <n v="18"/>
    <n v="6570"/>
    <n v="23652"/>
  </r>
  <r>
    <x v="0"/>
    <x v="2"/>
    <x v="2"/>
    <x v="9"/>
    <x v="20"/>
    <s v="SE4_HP"/>
    <x v="2"/>
    <x v="2"/>
    <s v="GBPR_MUNIWASTE_65"/>
    <x v="0"/>
    <x v="14"/>
    <n v="18"/>
    <n v="6570"/>
    <n v="23652"/>
  </r>
  <r>
    <x v="0"/>
    <x v="2"/>
    <x v="2"/>
    <x v="9"/>
    <x v="20"/>
    <s v="SE4_HP"/>
    <x v="2"/>
    <x v="2"/>
    <s v="GBPR_MUNIWASTE_65"/>
    <x v="0"/>
    <x v="15"/>
    <n v="18"/>
    <n v="6570"/>
    <n v="23652"/>
  </r>
  <r>
    <x v="0"/>
    <x v="2"/>
    <x v="2"/>
    <x v="9"/>
    <x v="20"/>
    <s v="SE4_HP"/>
    <x v="2"/>
    <x v="2"/>
    <s v="GBPR_MUNIWASTE_65"/>
    <x v="0"/>
    <x v="16"/>
    <n v="18"/>
    <n v="6570"/>
    <n v="23652"/>
  </r>
  <r>
    <x v="0"/>
    <x v="2"/>
    <x v="2"/>
    <x v="9"/>
    <x v="20"/>
    <s v="SE4_HP"/>
    <x v="2"/>
    <x v="2"/>
    <s v="GBPR_MUNIWASTE_65"/>
    <x v="0"/>
    <x v="17"/>
    <n v="18"/>
    <n v="6570"/>
    <n v="23652"/>
  </r>
  <r>
    <x v="0"/>
    <x v="2"/>
    <x v="2"/>
    <x v="9"/>
    <x v="20"/>
    <s v="SE4_HP"/>
    <x v="2"/>
    <x v="2"/>
    <s v="GBPR_MUNIWASTE_65"/>
    <x v="0"/>
    <x v="19"/>
    <n v="18"/>
    <n v="6570"/>
    <n v="23652"/>
  </r>
  <r>
    <x v="0"/>
    <x v="2"/>
    <x v="2"/>
    <x v="9"/>
    <x v="20"/>
    <s v="SE4_HP"/>
    <x v="2"/>
    <x v="2"/>
    <s v="GBPR_MUNIWASTE_65"/>
    <x v="0"/>
    <x v="20"/>
    <n v="18"/>
    <n v="6570"/>
    <n v="23652"/>
  </r>
  <r>
    <x v="0"/>
    <x v="2"/>
    <x v="2"/>
    <x v="9"/>
    <x v="20"/>
    <s v="SE4_HP"/>
    <x v="2"/>
    <x v="2"/>
    <s v="GBPR_MUNIWASTE_65"/>
    <x v="0"/>
    <x v="21"/>
    <n v="18"/>
    <n v="6570"/>
    <n v="23652"/>
  </r>
  <r>
    <x v="0"/>
    <x v="2"/>
    <x v="2"/>
    <x v="9"/>
    <x v="20"/>
    <s v="SE4_HP"/>
    <x v="2"/>
    <x v="2"/>
    <s v="GBPR_MUNIWASTE_65"/>
    <x v="0"/>
    <x v="22"/>
    <n v="18"/>
    <n v="6570"/>
    <n v="23652"/>
  </r>
  <r>
    <x v="0"/>
    <x v="2"/>
    <x v="2"/>
    <x v="9"/>
    <x v="20"/>
    <s v="SE4_HP"/>
    <x v="2"/>
    <x v="2"/>
    <s v="GBPR_MUNIWASTE_65"/>
    <x v="0"/>
    <x v="23"/>
    <n v="18"/>
    <n v="6570"/>
    <n v="23652"/>
  </r>
  <r>
    <x v="0"/>
    <x v="2"/>
    <x v="2"/>
    <x v="9"/>
    <x v="20"/>
    <s v="SE4_MAL"/>
    <x v="2"/>
    <x v="2"/>
    <s v="GBPR_MUNIWASTE_24"/>
    <x v="0"/>
    <x v="0"/>
    <n v="25.331143353475198"/>
    <n v="9245.8673240184598"/>
    <n v="33285.122366466501"/>
  </r>
  <r>
    <x v="0"/>
    <x v="2"/>
    <x v="2"/>
    <x v="9"/>
    <x v="20"/>
    <s v="SE4_MAL"/>
    <x v="2"/>
    <x v="2"/>
    <s v="GBPR_MUNIWASTE_24"/>
    <x v="0"/>
    <x v="1"/>
    <n v="25.331143353475198"/>
    <n v="9245.8673240184598"/>
    <n v="33285.122366466501"/>
  </r>
  <r>
    <x v="0"/>
    <x v="2"/>
    <x v="2"/>
    <x v="9"/>
    <x v="20"/>
    <s v="SE4_MAL"/>
    <x v="2"/>
    <x v="2"/>
    <s v="GBPR_MUNIWASTE_24"/>
    <x v="0"/>
    <x v="18"/>
    <n v="25.331143353475198"/>
    <n v="9245.8673240184598"/>
    <n v="33285.122366466501"/>
  </r>
  <r>
    <x v="0"/>
    <x v="2"/>
    <x v="2"/>
    <x v="9"/>
    <x v="20"/>
    <s v="SE4_MAL"/>
    <x v="2"/>
    <x v="2"/>
    <s v="GBPR_MUNIWASTE_24"/>
    <x v="0"/>
    <x v="2"/>
    <n v="25.331143353475198"/>
    <n v="9245.8673240184598"/>
    <n v="33285.122366466501"/>
  </r>
  <r>
    <x v="0"/>
    <x v="2"/>
    <x v="2"/>
    <x v="9"/>
    <x v="20"/>
    <s v="SE4_MAL"/>
    <x v="2"/>
    <x v="2"/>
    <s v="GBPR_MUNIWASTE_24"/>
    <x v="0"/>
    <x v="3"/>
    <n v="25.331143353475198"/>
    <n v="9245.8673240184598"/>
    <n v="33285.122366466501"/>
  </r>
  <r>
    <x v="0"/>
    <x v="2"/>
    <x v="2"/>
    <x v="9"/>
    <x v="20"/>
    <s v="SE4_MAL"/>
    <x v="2"/>
    <x v="2"/>
    <s v="GBPR_MUNIWASTE_24"/>
    <x v="0"/>
    <x v="4"/>
    <n v="25.331143353475198"/>
    <n v="9245.8673240184598"/>
    <n v="33285.122366466501"/>
  </r>
  <r>
    <x v="0"/>
    <x v="2"/>
    <x v="2"/>
    <x v="9"/>
    <x v="20"/>
    <s v="SE4_MAL"/>
    <x v="2"/>
    <x v="2"/>
    <s v="GBPR_MUNIWASTE_24"/>
    <x v="0"/>
    <x v="5"/>
    <n v="25.331143353475198"/>
    <n v="9245.8673240184598"/>
    <n v="33285.122366466501"/>
  </r>
  <r>
    <x v="0"/>
    <x v="2"/>
    <x v="2"/>
    <x v="9"/>
    <x v="20"/>
    <s v="SE4_MAL"/>
    <x v="2"/>
    <x v="2"/>
    <s v="GBPR_MUNIWASTE_24"/>
    <x v="0"/>
    <x v="6"/>
    <n v="25.331143353475198"/>
    <n v="9245.8673240184598"/>
    <n v="33285.122366466501"/>
  </r>
  <r>
    <x v="0"/>
    <x v="2"/>
    <x v="2"/>
    <x v="9"/>
    <x v="20"/>
    <s v="SE4_MAL"/>
    <x v="2"/>
    <x v="2"/>
    <s v="GBPR_MUNIWASTE_24"/>
    <x v="0"/>
    <x v="7"/>
    <n v="25.331143353475198"/>
    <n v="9245.8673240184598"/>
    <n v="33285.122366466501"/>
  </r>
  <r>
    <x v="0"/>
    <x v="2"/>
    <x v="2"/>
    <x v="9"/>
    <x v="20"/>
    <s v="SE4_MAL"/>
    <x v="2"/>
    <x v="2"/>
    <s v="GBPR_MUNIWASTE_24"/>
    <x v="0"/>
    <x v="8"/>
    <n v="25.331143353475198"/>
    <n v="9245.8673240184598"/>
    <n v="33285.122366466501"/>
  </r>
  <r>
    <x v="0"/>
    <x v="2"/>
    <x v="2"/>
    <x v="9"/>
    <x v="20"/>
    <s v="SE4_MAL"/>
    <x v="2"/>
    <x v="2"/>
    <s v="GBPR_MUNIWASTE_24"/>
    <x v="0"/>
    <x v="9"/>
    <n v="25.331143353475198"/>
    <n v="9245.8673240184598"/>
    <n v="33285.122366466501"/>
  </r>
  <r>
    <x v="0"/>
    <x v="2"/>
    <x v="2"/>
    <x v="9"/>
    <x v="20"/>
    <s v="SE4_MAL"/>
    <x v="2"/>
    <x v="2"/>
    <s v="GBPR_MUNIWASTE_24"/>
    <x v="0"/>
    <x v="10"/>
    <n v="25.331143353475198"/>
    <n v="9245.8673240184598"/>
    <n v="33285.122366466501"/>
  </r>
  <r>
    <x v="0"/>
    <x v="2"/>
    <x v="2"/>
    <x v="9"/>
    <x v="20"/>
    <s v="SE4_MAL"/>
    <x v="2"/>
    <x v="2"/>
    <s v="GBPR_MUNIWASTE_24"/>
    <x v="0"/>
    <x v="11"/>
    <n v="25.331143353475198"/>
    <n v="9245.8673240184598"/>
    <n v="33285.122366466501"/>
  </r>
  <r>
    <x v="0"/>
    <x v="2"/>
    <x v="2"/>
    <x v="9"/>
    <x v="20"/>
    <s v="SE4_MAL"/>
    <x v="2"/>
    <x v="2"/>
    <s v="GBPR_MUNIWASTE_24"/>
    <x v="0"/>
    <x v="12"/>
    <n v="25.331143353475198"/>
    <n v="9245.8673240184598"/>
    <n v="33285.122366466501"/>
  </r>
  <r>
    <x v="0"/>
    <x v="2"/>
    <x v="2"/>
    <x v="9"/>
    <x v="20"/>
    <s v="SE4_MAL"/>
    <x v="2"/>
    <x v="2"/>
    <s v="GBPR_MUNIWASTE_24"/>
    <x v="0"/>
    <x v="13"/>
    <n v="25.331143353475198"/>
    <n v="9245.8673240184598"/>
    <n v="33285.122366466501"/>
  </r>
  <r>
    <x v="0"/>
    <x v="2"/>
    <x v="2"/>
    <x v="9"/>
    <x v="20"/>
    <s v="SE4_MAL"/>
    <x v="2"/>
    <x v="2"/>
    <s v="GBPR_MUNIWASTE_24"/>
    <x v="0"/>
    <x v="14"/>
    <n v="25.331143353475198"/>
    <n v="9245.8673240184598"/>
    <n v="33285.122366466501"/>
  </r>
  <r>
    <x v="0"/>
    <x v="2"/>
    <x v="2"/>
    <x v="9"/>
    <x v="20"/>
    <s v="SE4_MAL"/>
    <x v="2"/>
    <x v="2"/>
    <s v="GBPR_MUNIWASTE_24"/>
    <x v="0"/>
    <x v="15"/>
    <n v="25.331143353475198"/>
    <n v="9245.8673240184598"/>
    <n v="33285.122366466501"/>
  </r>
  <r>
    <x v="0"/>
    <x v="2"/>
    <x v="2"/>
    <x v="9"/>
    <x v="20"/>
    <s v="SE4_MAL"/>
    <x v="2"/>
    <x v="2"/>
    <s v="GBPR_MUNIWASTE_24"/>
    <x v="0"/>
    <x v="16"/>
    <n v="25.331143353475198"/>
    <n v="9245.8673240184598"/>
    <n v="33285.122366466501"/>
  </r>
  <r>
    <x v="0"/>
    <x v="2"/>
    <x v="2"/>
    <x v="9"/>
    <x v="20"/>
    <s v="SE4_MAL"/>
    <x v="2"/>
    <x v="2"/>
    <s v="GBPR_MUNIWASTE_24"/>
    <x v="0"/>
    <x v="17"/>
    <n v="25.331143353475198"/>
    <n v="9245.8673240184598"/>
    <n v="33285.122366466501"/>
  </r>
  <r>
    <x v="0"/>
    <x v="2"/>
    <x v="2"/>
    <x v="9"/>
    <x v="20"/>
    <s v="SE4_MAL"/>
    <x v="2"/>
    <x v="2"/>
    <s v="GBPR_MUNIWASTE_24"/>
    <x v="0"/>
    <x v="19"/>
    <n v="25.331143353475198"/>
    <n v="9245.8673240184598"/>
    <n v="33285.122366466501"/>
  </r>
  <r>
    <x v="0"/>
    <x v="2"/>
    <x v="2"/>
    <x v="9"/>
    <x v="20"/>
    <s v="SE4_MAL"/>
    <x v="2"/>
    <x v="2"/>
    <s v="GBPR_MUNIWASTE_24"/>
    <x v="0"/>
    <x v="20"/>
    <n v="25.331143353475198"/>
    <n v="9245.8673240184598"/>
    <n v="33285.122366466501"/>
  </r>
  <r>
    <x v="0"/>
    <x v="2"/>
    <x v="2"/>
    <x v="9"/>
    <x v="20"/>
    <s v="SE4_MAL"/>
    <x v="2"/>
    <x v="2"/>
    <s v="GBPR_MUNIWASTE_24"/>
    <x v="0"/>
    <x v="21"/>
    <n v="25.331143353475198"/>
    <n v="9245.8673240184598"/>
    <n v="33285.122366466501"/>
  </r>
  <r>
    <x v="0"/>
    <x v="2"/>
    <x v="2"/>
    <x v="9"/>
    <x v="20"/>
    <s v="SE4_MAL"/>
    <x v="2"/>
    <x v="2"/>
    <s v="GBPR_MUNIWASTE_24"/>
    <x v="0"/>
    <x v="22"/>
    <n v="25.331143353475198"/>
    <n v="9245.8673240184598"/>
    <n v="33285.122366466501"/>
  </r>
  <r>
    <x v="0"/>
    <x v="2"/>
    <x v="2"/>
    <x v="9"/>
    <x v="20"/>
    <s v="SE4_MAL"/>
    <x v="2"/>
    <x v="2"/>
    <s v="GBPR_MUNIWASTE_24"/>
    <x v="0"/>
    <x v="23"/>
    <n v="25.331143353475198"/>
    <n v="9245.8673240184598"/>
    <n v="33285.122366466501"/>
  </r>
  <r>
    <x v="0"/>
    <x v="2"/>
    <x v="2"/>
    <x v="9"/>
    <x v="20"/>
    <s v="SE4_OTHER"/>
    <x v="2"/>
    <x v="2"/>
    <s v="GBPR_MUNIWASTE_19"/>
    <x v="0"/>
    <x v="0"/>
    <n v="11.5403463801819"/>
    <n v="4212.2264287664102"/>
    <n v="15164.0151435591"/>
  </r>
  <r>
    <x v="0"/>
    <x v="2"/>
    <x v="2"/>
    <x v="9"/>
    <x v="20"/>
    <s v="SE4_OTHER"/>
    <x v="2"/>
    <x v="2"/>
    <s v="GBPR_MUNIWASTE_19"/>
    <x v="0"/>
    <x v="1"/>
    <n v="11.5403463801819"/>
    <n v="4212.2264287664102"/>
    <n v="15164.0151435591"/>
  </r>
  <r>
    <x v="0"/>
    <x v="2"/>
    <x v="2"/>
    <x v="9"/>
    <x v="20"/>
    <s v="SE4_OTHER"/>
    <x v="2"/>
    <x v="2"/>
    <s v="GBPR_MUNIWASTE_19"/>
    <x v="0"/>
    <x v="18"/>
    <n v="11.5403463801819"/>
    <n v="4212.2264287664102"/>
    <n v="15164.0151435591"/>
  </r>
  <r>
    <x v="0"/>
    <x v="2"/>
    <x v="2"/>
    <x v="9"/>
    <x v="20"/>
    <s v="SE4_OTHER"/>
    <x v="2"/>
    <x v="2"/>
    <s v="GBPR_MUNIWASTE_19"/>
    <x v="0"/>
    <x v="2"/>
    <n v="11.5403463801819"/>
    <n v="4212.2264287664102"/>
    <n v="15164.0151435591"/>
  </r>
  <r>
    <x v="0"/>
    <x v="2"/>
    <x v="2"/>
    <x v="9"/>
    <x v="20"/>
    <s v="SE4_OTHER"/>
    <x v="2"/>
    <x v="2"/>
    <s v="GBPR_MUNIWASTE_19"/>
    <x v="0"/>
    <x v="3"/>
    <n v="11.5403463801819"/>
    <n v="4212.2264287664102"/>
    <n v="15164.0151435591"/>
  </r>
  <r>
    <x v="0"/>
    <x v="2"/>
    <x v="2"/>
    <x v="9"/>
    <x v="20"/>
    <s v="SE4_OTHER"/>
    <x v="2"/>
    <x v="2"/>
    <s v="GBPR_MUNIWASTE_19"/>
    <x v="0"/>
    <x v="4"/>
    <n v="11.5403463801819"/>
    <n v="4212.2264287664102"/>
    <n v="15164.0151435591"/>
  </r>
  <r>
    <x v="0"/>
    <x v="2"/>
    <x v="2"/>
    <x v="9"/>
    <x v="20"/>
    <s v="SE4_OTHER"/>
    <x v="2"/>
    <x v="2"/>
    <s v="GBPR_MUNIWASTE_19"/>
    <x v="0"/>
    <x v="5"/>
    <n v="11.5403463801819"/>
    <n v="4212.2264287664102"/>
    <n v="15164.0151435591"/>
  </r>
  <r>
    <x v="0"/>
    <x v="2"/>
    <x v="2"/>
    <x v="9"/>
    <x v="20"/>
    <s v="SE4_OTHER"/>
    <x v="2"/>
    <x v="2"/>
    <s v="GBPR_MUNIWASTE_19"/>
    <x v="0"/>
    <x v="6"/>
    <n v="11.5403463801819"/>
    <n v="4212.2264287664102"/>
    <n v="15164.0151435591"/>
  </r>
  <r>
    <x v="0"/>
    <x v="2"/>
    <x v="2"/>
    <x v="9"/>
    <x v="20"/>
    <s v="SE4_OTHER"/>
    <x v="2"/>
    <x v="2"/>
    <s v="GBPR_MUNIWASTE_19"/>
    <x v="0"/>
    <x v="7"/>
    <n v="11.5403463801819"/>
    <n v="4212.2264287664102"/>
    <n v="15164.0151435591"/>
  </r>
  <r>
    <x v="0"/>
    <x v="2"/>
    <x v="2"/>
    <x v="9"/>
    <x v="20"/>
    <s v="SE4_OTHER"/>
    <x v="2"/>
    <x v="2"/>
    <s v="GBPR_MUNIWASTE_19"/>
    <x v="0"/>
    <x v="8"/>
    <n v="11.5403463801819"/>
    <n v="4212.2264287664102"/>
    <n v="15164.0151435591"/>
  </r>
  <r>
    <x v="0"/>
    <x v="2"/>
    <x v="2"/>
    <x v="9"/>
    <x v="20"/>
    <s v="SE4_OTHER"/>
    <x v="2"/>
    <x v="2"/>
    <s v="GBPR_MUNIWASTE_19"/>
    <x v="0"/>
    <x v="9"/>
    <n v="11.5403463801819"/>
    <n v="4212.2264287664102"/>
    <n v="15164.0151435591"/>
  </r>
  <r>
    <x v="0"/>
    <x v="2"/>
    <x v="2"/>
    <x v="9"/>
    <x v="20"/>
    <s v="SE4_OTHER"/>
    <x v="2"/>
    <x v="2"/>
    <s v="GBPR_MUNIWASTE_19"/>
    <x v="0"/>
    <x v="13"/>
    <n v="11.5403463801819"/>
    <n v="4212.2264287664102"/>
    <n v="15164.0151435591"/>
  </r>
  <r>
    <x v="0"/>
    <x v="2"/>
    <x v="2"/>
    <x v="9"/>
    <x v="20"/>
    <s v="SE4_OTHER"/>
    <x v="2"/>
    <x v="2"/>
    <s v="GBPR_MUNIWASTE_19"/>
    <x v="0"/>
    <x v="14"/>
    <n v="11.5403463801819"/>
    <n v="4212.2264287664102"/>
    <n v="15164.0151435591"/>
  </r>
  <r>
    <x v="0"/>
    <x v="2"/>
    <x v="2"/>
    <x v="9"/>
    <x v="20"/>
    <s v="SE4_OTHER"/>
    <x v="2"/>
    <x v="2"/>
    <s v="GBPR_MUNIWASTE_19"/>
    <x v="0"/>
    <x v="15"/>
    <n v="11.5403463801819"/>
    <n v="4212.2264287664102"/>
    <n v="15164.0151435591"/>
  </r>
  <r>
    <x v="0"/>
    <x v="2"/>
    <x v="2"/>
    <x v="9"/>
    <x v="20"/>
    <s v="SE4_OTHER"/>
    <x v="2"/>
    <x v="2"/>
    <s v="GBPR_MUNIWASTE_19"/>
    <x v="0"/>
    <x v="16"/>
    <n v="11.5403463801819"/>
    <n v="4212.2264287664102"/>
    <n v="15164.0151435591"/>
  </r>
  <r>
    <x v="0"/>
    <x v="2"/>
    <x v="2"/>
    <x v="9"/>
    <x v="20"/>
    <s v="SE4_OTHER"/>
    <x v="2"/>
    <x v="2"/>
    <s v="GBPR_MUNIWASTE_19"/>
    <x v="0"/>
    <x v="17"/>
    <n v="11.5403463801819"/>
    <n v="4212.2264287664102"/>
    <n v="15164.0151435591"/>
  </r>
  <r>
    <x v="0"/>
    <x v="2"/>
    <x v="2"/>
    <x v="9"/>
    <x v="20"/>
    <s v="SE4_OTHER"/>
    <x v="2"/>
    <x v="2"/>
    <s v="GBPR_MUNIWASTE_19"/>
    <x v="0"/>
    <x v="19"/>
    <n v="11.5403463801819"/>
    <n v="4212.2264287664102"/>
    <n v="15164.0151435591"/>
  </r>
  <r>
    <x v="0"/>
    <x v="2"/>
    <x v="2"/>
    <x v="9"/>
    <x v="20"/>
    <s v="SE4_OTHER"/>
    <x v="2"/>
    <x v="2"/>
    <s v="GBPR_MUNIWASTE_19"/>
    <x v="0"/>
    <x v="20"/>
    <n v="11.5403463801819"/>
    <n v="4212.2264287664102"/>
    <n v="15164.0151435591"/>
  </r>
  <r>
    <x v="0"/>
    <x v="2"/>
    <x v="2"/>
    <x v="9"/>
    <x v="20"/>
    <s v="SE4_OTHER"/>
    <x v="2"/>
    <x v="2"/>
    <s v="GBPR_MUNIWASTE_19"/>
    <x v="0"/>
    <x v="21"/>
    <n v="11.5403463801819"/>
    <n v="4212.2264287664102"/>
    <n v="15164.0151435591"/>
  </r>
  <r>
    <x v="0"/>
    <x v="2"/>
    <x v="2"/>
    <x v="9"/>
    <x v="20"/>
    <s v="SE4_OTHER"/>
    <x v="2"/>
    <x v="2"/>
    <s v="GBPR_MUNIWASTE_19"/>
    <x v="0"/>
    <x v="22"/>
    <n v="11.5403463801819"/>
    <n v="4212.2264287664102"/>
    <n v="15164.0151435591"/>
  </r>
  <r>
    <x v="0"/>
    <x v="2"/>
    <x v="2"/>
    <x v="9"/>
    <x v="20"/>
    <s v="SE4_OTHER"/>
    <x v="2"/>
    <x v="2"/>
    <s v="GBPR_MUNIWASTE_19"/>
    <x v="0"/>
    <x v="23"/>
    <n v="11.5403463801819"/>
    <n v="4212.2264287664102"/>
    <n v="15164.0151435591"/>
  </r>
  <r>
    <x v="0"/>
    <x v="2"/>
    <x v="2"/>
    <x v="9"/>
    <x v="20"/>
    <s v="SE4_OTHER"/>
    <x v="10"/>
    <x v="2"/>
    <s v="GBPR_WOODWASTE_36"/>
    <x v="0"/>
    <x v="0"/>
    <n v="69.950290718038502"/>
    <n v="25531.8561120841"/>
    <n v="91914.682003502603"/>
  </r>
  <r>
    <x v="0"/>
    <x v="2"/>
    <x v="2"/>
    <x v="9"/>
    <x v="20"/>
    <s v="SE4_OTHER"/>
    <x v="10"/>
    <x v="2"/>
    <s v="GBPR_WOODWASTE_36"/>
    <x v="0"/>
    <x v="1"/>
    <n v="69.950290718038502"/>
    <n v="25531.8561120841"/>
    <n v="91914.682003502603"/>
  </r>
  <r>
    <x v="0"/>
    <x v="2"/>
    <x v="2"/>
    <x v="9"/>
    <x v="20"/>
    <s v="SE4_OTHER"/>
    <x v="10"/>
    <x v="2"/>
    <s v="GBPR_WOODWASTE_36"/>
    <x v="0"/>
    <x v="18"/>
    <n v="69.950290718038502"/>
    <n v="25531.8561120841"/>
    <n v="91914.682003502603"/>
  </r>
  <r>
    <x v="0"/>
    <x v="2"/>
    <x v="2"/>
    <x v="9"/>
    <x v="20"/>
    <s v="SE4_OTHER"/>
    <x v="10"/>
    <x v="2"/>
    <s v="GBPR_WOODWASTE_36"/>
    <x v="0"/>
    <x v="2"/>
    <n v="69.950290718038502"/>
    <n v="25531.8561120841"/>
    <n v="91914.682003502603"/>
  </r>
  <r>
    <x v="0"/>
    <x v="2"/>
    <x v="2"/>
    <x v="9"/>
    <x v="20"/>
    <s v="SE4_OTHER"/>
    <x v="10"/>
    <x v="2"/>
    <s v="GBPR_WOODWASTE_36"/>
    <x v="0"/>
    <x v="3"/>
    <n v="69.950290718038502"/>
    <n v="25531.8561120841"/>
    <n v="91914.682003502603"/>
  </r>
  <r>
    <x v="0"/>
    <x v="2"/>
    <x v="2"/>
    <x v="9"/>
    <x v="20"/>
    <s v="SE4_OTHER"/>
    <x v="10"/>
    <x v="2"/>
    <s v="GBPR_WOODWASTE_36"/>
    <x v="0"/>
    <x v="4"/>
    <n v="69.950290718038502"/>
    <n v="25531.8561120841"/>
    <n v="91914.682003502603"/>
  </r>
  <r>
    <x v="0"/>
    <x v="2"/>
    <x v="2"/>
    <x v="9"/>
    <x v="20"/>
    <s v="SE4_OTHER"/>
    <x v="10"/>
    <x v="2"/>
    <s v="GBPR_WOODWASTE_36"/>
    <x v="0"/>
    <x v="5"/>
    <n v="69.950290718038502"/>
    <n v="25531.8561120841"/>
    <n v="91914.682003502603"/>
  </r>
  <r>
    <x v="0"/>
    <x v="2"/>
    <x v="2"/>
    <x v="9"/>
    <x v="20"/>
    <s v="SE4_OTHER"/>
    <x v="10"/>
    <x v="2"/>
    <s v="GBPR_WOODWASTE_36"/>
    <x v="0"/>
    <x v="6"/>
    <n v="69.950290718038502"/>
    <n v="25531.8561120841"/>
    <n v="91914.682003502603"/>
  </r>
  <r>
    <x v="0"/>
    <x v="2"/>
    <x v="2"/>
    <x v="9"/>
    <x v="20"/>
    <s v="SE4_OTHER"/>
    <x v="10"/>
    <x v="2"/>
    <s v="GBPR_WOODWASTE_36"/>
    <x v="0"/>
    <x v="7"/>
    <n v="69.950290718038502"/>
    <n v="25531.8561120841"/>
    <n v="91914.682003502603"/>
  </r>
  <r>
    <x v="0"/>
    <x v="2"/>
    <x v="2"/>
    <x v="9"/>
    <x v="20"/>
    <s v="SE4_OTHER"/>
    <x v="10"/>
    <x v="2"/>
    <s v="GBPR_WOODWASTE_36"/>
    <x v="0"/>
    <x v="8"/>
    <n v="69.950290718038502"/>
    <n v="25531.8561120841"/>
    <n v="91914.682003502603"/>
  </r>
  <r>
    <x v="0"/>
    <x v="2"/>
    <x v="2"/>
    <x v="9"/>
    <x v="20"/>
    <s v="SE4_OTHER"/>
    <x v="10"/>
    <x v="2"/>
    <s v="GBPR_WOODWASTE_36"/>
    <x v="0"/>
    <x v="9"/>
    <n v="69.950290718038502"/>
    <n v="25531.8561120841"/>
    <n v="91914.682003502603"/>
  </r>
  <r>
    <x v="0"/>
    <x v="2"/>
    <x v="2"/>
    <x v="9"/>
    <x v="20"/>
    <s v="SE4_OTHER"/>
    <x v="10"/>
    <x v="2"/>
    <s v="GBPR_WOODWASTE_36"/>
    <x v="0"/>
    <x v="10"/>
    <n v="69.950290718038502"/>
    <n v="25531.8561120841"/>
    <n v="91914.682003502603"/>
  </r>
  <r>
    <x v="0"/>
    <x v="2"/>
    <x v="2"/>
    <x v="9"/>
    <x v="20"/>
    <s v="SE4_OTHER"/>
    <x v="10"/>
    <x v="2"/>
    <s v="GBPR_WOODWASTE_36"/>
    <x v="0"/>
    <x v="11"/>
    <n v="69.950290718038502"/>
    <n v="25531.8561120841"/>
    <n v="91914.682003502603"/>
  </r>
  <r>
    <x v="0"/>
    <x v="2"/>
    <x v="2"/>
    <x v="9"/>
    <x v="20"/>
    <s v="SE4_OTHER"/>
    <x v="10"/>
    <x v="2"/>
    <s v="GBPR_WOODWASTE_36"/>
    <x v="0"/>
    <x v="12"/>
    <n v="69.950290718038502"/>
    <n v="25531.8561120841"/>
    <n v="91914.682003502603"/>
  </r>
  <r>
    <x v="0"/>
    <x v="2"/>
    <x v="2"/>
    <x v="9"/>
    <x v="20"/>
    <s v="SE4_OTHER"/>
    <x v="10"/>
    <x v="2"/>
    <s v="GBPR_WOODWASTE_36"/>
    <x v="0"/>
    <x v="13"/>
    <n v="69.950290718038502"/>
    <n v="25531.8561120841"/>
    <n v="91914.682003502603"/>
  </r>
  <r>
    <x v="0"/>
    <x v="2"/>
    <x v="2"/>
    <x v="9"/>
    <x v="20"/>
    <s v="SE4_OTHER"/>
    <x v="10"/>
    <x v="2"/>
    <s v="GBPR_WOODWASTE_36"/>
    <x v="0"/>
    <x v="14"/>
    <n v="69.950290718038502"/>
    <n v="25531.8561120841"/>
    <n v="91914.682003502603"/>
  </r>
  <r>
    <x v="0"/>
    <x v="2"/>
    <x v="2"/>
    <x v="9"/>
    <x v="20"/>
    <s v="SE4_OTHER"/>
    <x v="10"/>
    <x v="2"/>
    <s v="GBPR_WOODWASTE_36"/>
    <x v="0"/>
    <x v="15"/>
    <n v="69.950290718038502"/>
    <n v="25531.8561120841"/>
    <n v="91914.682003502603"/>
  </r>
  <r>
    <x v="0"/>
    <x v="2"/>
    <x v="2"/>
    <x v="9"/>
    <x v="20"/>
    <s v="SE4_OTHER"/>
    <x v="10"/>
    <x v="2"/>
    <s v="GBPR_WOODWASTE_36"/>
    <x v="0"/>
    <x v="16"/>
    <n v="69.950290718038502"/>
    <n v="25531.8561120841"/>
    <n v="91914.682003502603"/>
  </r>
  <r>
    <x v="0"/>
    <x v="2"/>
    <x v="2"/>
    <x v="9"/>
    <x v="20"/>
    <s v="SE4_OTHER"/>
    <x v="10"/>
    <x v="2"/>
    <s v="GBPR_WOODWASTE_36"/>
    <x v="0"/>
    <x v="17"/>
    <n v="69.950290718038502"/>
    <n v="25531.8561120841"/>
    <n v="91914.682003502603"/>
  </r>
  <r>
    <x v="0"/>
    <x v="2"/>
    <x v="2"/>
    <x v="9"/>
    <x v="20"/>
    <s v="SE4_OTHER"/>
    <x v="10"/>
    <x v="2"/>
    <s v="GBPR_WOODWASTE_36"/>
    <x v="0"/>
    <x v="19"/>
    <n v="69.950290718038502"/>
    <n v="25531.8561120841"/>
    <n v="91914.682003502603"/>
  </r>
  <r>
    <x v="0"/>
    <x v="2"/>
    <x v="2"/>
    <x v="9"/>
    <x v="20"/>
    <s v="SE4_OTHER"/>
    <x v="10"/>
    <x v="2"/>
    <s v="GBPR_WOODWASTE_36"/>
    <x v="0"/>
    <x v="20"/>
    <n v="69.950290718038502"/>
    <n v="25531.8561120841"/>
    <n v="91914.682003502603"/>
  </r>
  <r>
    <x v="0"/>
    <x v="2"/>
    <x v="2"/>
    <x v="9"/>
    <x v="20"/>
    <s v="SE4_OTHER"/>
    <x v="10"/>
    <x v="2"/>
    <s v="GBPR_WOODWASTE_36"/>
    <x v="0"/>
    <x v="21"/>
    <n v="69.950290718038502"/>
    <n v="25531.8561120841"/>
    <n v="91914.682003502603"/>
  </r>
  <r>
    <x v="0"/>
    <x v="2"/>
    <x v="2"/>
    <x v="9"/>
    <x v="20"/>
    <s v="SE4_OTHER"/>
    <x v="10"/>
    <x v="2"/>
    <s v="GBPR_WOODWASTE_36"/>
    <x v="0"/>
    <x v="22"/>
    <n v="69.950290718038502"/>
    <n v="25531.8561120841"/>
    <n v="91914.682003502603"/>
  </r>
  <r>
    <x v="0"/>
    <x v="2"/>
    <x v="2"/>
    <x v="9"/>
    <x v="20"/>
    <s v="SE4_OTHER"/>
    <x v="10"/>
    <x v="2"/>
    <s v="GBPR_WOODWASTE_36"/>
    <x v="0"/>
    <x v="23"/>
    <n v="69.950290718038502"/>
    <n v="25531.8561120841"/>
    <n v="91914.682003502603"/>
  </r>
  <r>
    <x v="0"/>
    <x v="2"/>
    <x v="2"/>
    <x v="10"/>
    <x v="21"/>
    <s v="UK_A"/>
    <x v="1"/>
    <x v="9"/>
    <s v="GNR_ES_ELEC_BAT-LITHIO_E-97_Y-30-50"/>
    <x v="0"/>
    <x v="14"/>
    <n v="1310.7539603738701"/>
    <n v="478425.19553646201"/>
    <n v="1722330.7039312599"/>
  </r>
  <r>
    <x v="0"/>
    <x v="2"/>
    <x v="2"/>
    <x v="10"/>
    <x v="21"/>
    <s v="UK_A"/>
    <x v="1"/>
    <x v="9"/>
    <s v="GNR_ES_ELEC_BAT-LITHIO_E-97_Y-30-50"/>
    <x v="0"/>
    <x v="15"/>
    <n v="23551.920163691899"/>
    <n v="8596450.8597475309"/>
    <n v="30947223.095091101"/>
  </r>
  <r>
    <x v="0"/>
    <x v="2"/>
    <x v="2"/>
    <x v="10"/>
    <x v="21"/>
    <s v="UK_A"/>
    <x v="1"/>
    <x v="9"/>
    <s v="GNR_ES_ELEC_BAT-LITHIO_E-97_Y-30-50"/>
    <x v="0"/>
    <x v="16"/>
    <n v="29864.378445354701"/>
    <n v="10900498.132554499"/>
    <n v="39241793.277196102"/>
  </r>
  <r>
    <x v="0"/>
    <x v="2"/>
    <x v="2"/>
    <x v="10"/>
    <x v="21"/>
    <s v="UK_A"/>
    <x v="1"/>
    <x v="9"/>
    <s v="GNR_ES_ELEC_BAT-LITHIO_E-97_Y-30-50"/>
    <x v="0"/>
    <x v="17"/>
    <n v="29864.378445354701"/>
    <n v="10900498.132554499"/>
    <n v="39241793.277196102"/>
  </r>
  <r>
    <x v="0"/>
    <x v="2"/>
    <x v="2"/>
    <x v="10"/>
    <x v="21"/>
    <s v="UK_A"/>
    <x v="1"/>
    <x v="9"/>
    <s v="GNR_ES_ELEC_BAT-LITHIO_E-97_Y-30-50"/>
    <x v="0"/>
    <x v="19"/>
    <n v="27908.3335404141"/>
    <n v="10186541.742251201"/>
    <n v="36671550.272104204"/>
  </r>
  <r>
    <x v="0"/>
    <x v="2"/>
    <x v="2"/>
    <x v="10"/>
    <x v="21"/>
    <s v="UK_A"/>
    <x v="1"/>
    <x v="9"/>
    <s v="GNR_ES_ELEC_BAT-LITHIO_E-97_Y-30-50"/>
    <x v="0"/>
    <x v="20"/>
    <n v="24454.3969840645"/>
    <n v="8925854.8991835192"/>
    <n v="32133077.637060702"/>
  </r>
  <r>
    <x v="0"/>
    <x v="2"/>
    <x v="2"/>
    <x v="10"/>
    <x v="21"/>
    <s v="UK_A"/>
    <x v="1"/>
    <x v="9"/>
    <s v="GNR_ES_ELEC_BAT-LITHIO_E-97_Y-30-50"/>
    <x v="0"/>
    <x v="21"/>
    <n v="19371.2251421828"/>
    <n v="7070497.1768967099"/>
    <n v="25453789.836828198"/>
  </r>
  <r>
    <x v="0"/>
    <x v="2"/>
    <x v="2"/>
    <x v="10"/>
    <x v="21"/>
    <s v="UK_A"/>
    <x v="1"/>
    <x v="9"/>
    <s v="GNR_ES_ELEC_BAT-LITHIO_E-97_Y-30-50"/>
    <x v="0"/>
    <x v="22"/>
    <n v="13099.091001442999"/>
    <n v="4781168.2155267103"/>
    <n v="17212205.5758962"/>
  </r>
  <r>
    <x v="0"/>
    <x v="2"/>
    <x v="2"/>
    <x v="10"/>
    <x v="21"/>
    <s v="UK_A"/>
    <x v="1"/>
    <x v="9"/>
    <s v="GNR_ES_ELEC_BAT-LITHIO_E-97_Y-30-50"/>
    <x v="0"/>
    <x v="23"/>
    <n v="8409.50806068362"/>
    <n v="3069470.4421495199"/>
    <n v="11050093.5917383"/>
  </r>
  <r>
    <x v="0"/>
    <x v="2"/>
    <x v="2"/>
    <x v="10"/>
    <x v="21"/>
    <s v="UK_A"/>
    <x v="2"/>
    <x v="6"/>
    <s v="GNR_ST_MSW_CND_E-40"/>
    <x v="0"/>
    <x v="14"/>
    <n v="806"/>
    <n v="294190"/>
    <n v="1059084"/>
  </r>
  <r>
    <x v="0"/>
    <x v="2"/>
    <x v="2"/>
    <x v="10"/>
    <x v="21"/>
    <s v="UK_A"/>
    <x v="2"/>
    <x v="6"/>
    <s v="GNR_ST_MSW_CND_E-40"/>
    <x v="0"/>
    <x v="15"/>
    <n v="806"/>
    <n v="294190"/>
    <n v="1059084"/>
  </r>
  <r>
    <x v="0"/>
    <x v="2"/>
    <x v="2"/>
    <x v="10"/>
    <x v="21"/>
    <s v="UK_A"/>
    <x v="2"/>
    <x v="6"/>
    <s v="GNR_ST_MSW_CND_E-40"/>
    <x v="0"/>
    <x v="16"/>
    <n v="806"/>
    <n v="294190"/>
    <n v="1059084"/>
  </r>
  <r>
    <x v="0"/>
    <x v="2"/>
    <x v="2"/>
    <x v="10"/>
    <x v="21"/>
    <s v="UK_A"/>
    <x v="2"/>
    <x v="6"/>
    <s v="GNR_ST_MSW_CND_E-40"/>
    <x v="0"/>
    <x v="17"/>
    <n v="806"/>
    <n v="294190"/>
    <n v="1059084"/>
  </r>
  <r>
    <x v="0"/>
    <x v="2"/>
    <x v="2"/>
    <x v="10"/>
    <x v="21"/>
    <s v="UK_A"/>
    <x v="2"/>
    <x v="6"/>
    <s v="GNR_ST_MSW_CND_E-40"/>
    <x v="0"/>
    <x v="19"/>
    <n v="806"/>
    <n v="294190"/>
    <n v="1059084"/>
  </r>
  <r>
    <x v="0"/>
    <x v="2"/>
    <x v="2"/>
    <x v="10"/>
    <x v="21"/>
    <s v="UK_A"/>
    <x v="2"/>
    <x v="6"/>
    <s v="GNR_ST_MSW_CND_E-40"/>
    <x v="0"/>
    <x v="20"/>
    <n v="806"/>
    <n v="294190"/>
    <n v="1059084"/>
  </r>
  <r>
    <x v="0"/>
    <x v="2"/>
    <x v="2"/>
    <x v="10"/>
    <x v="21"/>
    <s v="UK_A"/>
    <x v="2"/>
    <x v="6"/>
    <s v="GNR_ST_MSW_CND_E-40"/>
    <x v="0"/>
    <x v="21"/>
    <n v="806"/>
    <n v="294190"/>
    <n v="1059084"/>
  </r>
  <r>
    <x v="0"/>
    <x v="2"/>
    <x v="2"/>
    <x v="10"/>
    <x v="21"/>
    <s v="UK_A"/>
    <x v="2"/>
    <x v="6"/>
    <s v="GNR_ST_MSW_CND_E-40"/>
    <x v="0"/>
    <x v="22"/>
    <n v="806"/>
    <n v="294190"/>
    <n v="1059084"/>
  </r>
  <r>
    <x v="0"/>
    <x v="2"/>
    <x v="2"/>
    <x v="10"/>
    <x v="21"/>
    <s v="UK_A"/>
    <x v="2"/>
    <x v="6"/>
    <s v="GNR_ST_MSW_CND_E-40"/>
    <x v="0"/>
    <x v="23"/>
    <n v="806"/>
    <n v="294190"/>
    <n v="1059084"/>
  </r>
  <r>
    <x v="0"/>
    <x v="2"/>
    <x v="2"/>
    <x v="10"/>
    <x v="21"/>
    <s v="UK_A"/>
    <x v="8"/>
    <x v="6"/>
    <s v="GNR_CC_NGAS_CND_E-56"/>
    <x v="0"/>
    <x v="16"/>
    <n v="305.97354274341302"/>
    <n v="111680.34310134601"/>
    <n v="402049.23516484402"/>
  </r>
  <r>
    <x v="0"/>
    <x v="2"/>
    <x v="2"/>
    <x v="10"/>
    <x v="21"/>
    <s v="UK_A"/>
    <x v="14"/>
    <x v="6"/>
    <s v="GNR_ST_NUCL_CND_E-33"/>
    <x v="0"/>
    <x v="0"/>
    <n v="10216"/>
    <n v="3728840"/>
    <n v="13423824"/>
  </r>
  <r>
    <x v="0"/>
    <x v="2"/>
    <x v="2"/>
    <x v="10"/>
    <x v="21"/>
    <s v="UK_A"/>
    <x v="14"/>
    <x v="6"/>
    <s v="GNR_ST_NUCL_CND_E-33"/>
    <x v="0"/>
    <x v="1"/>
    <n v="10216"/>
    <n v="3728840"/>
    <n v="13423824"/>
  </r>
  <r>
    <x v="0"/>
    <x v="2"/>
    <x v="2"/>
    <x v="10"/>
    <x v="21"/>
    <s v="UK_A"/>
    <x v="14"/>
    <x v="6"/>
    <s v="GNR_ST_NUCL_CND_E-33"/>
    <x v="0"/>
    <x v="18"/>
    <n v="10216"/>
    <n v="3728840"/>
    <n v="13423824"/>
  </r>
  <r>
    <x v="0"/>
    <x v="2"/>
    <x v="2"/>
    <x v="10"/>
    <x v="21"/>
    <s v="UK_A"/>
    <x v="14"/>
    <x v="6"/>
    <s v="GNR_ST_NUCL_CND_E-33"/>
    <x v="0"/>
    <x v="2"/>
    <n v="10216"/>
    <n v="3728840"/>
    <n v="13423824"/>
  </r>
  <r>
    <x v="0"/>
    <x v="2"/>
    <x v="2"/>
    <x v="10"/>
    <x v="21"/>
    <s v="UK_A"/>
    <x v="14"/>
    <x v="6"/>
    <s v="GNR_ST_NUCL_CND_E-33"/>
    <x v="0"/>
    <x v="3"/>
    <n v="10216"/>
    <n v="3728840"/>
    <n v="13423824"/>
  </r>
  <r>
    <x v="0"/>
    <x v="2"/>
    <x v="2"/>
    <x v="10"/>
    <x v="21"/>
    <s v="UK_A"/>
    <x v="14"/>
    <x v="6"/>
    <s v="GNR_ST_NUCL_CND_E-33"/>
    <x v="0"/>
    <x v="4"/>
    <n v="10216"/>
    <n v="3728840"/>
    <n v="13423824"/>
  </r>
  <r>
    <x v="0"/>
    <x v="2"/>
    <x v="2"/>
    <x v="10"/>
    <x v="21"/>
    <s v="UK_A"/>
    <x v="14"/>
    <x v="6"/>
    <s v="GNR_ST_NUCL_CND_E-33"/>
    <x v="0"/>
    <x v="5"/>
    <n v="10216"/>
    <n v="3728840"/>
    <n v="13423824"/>
  </r>
  <r>
    <x v="0"/>
    <x v="2"/>
    <x v="2"/>
    <x v="10"/>
    <x v="21"/>
    <s v="UK_A"/>
    <x v="14"/>
    <x v="6"/>
    <s v="GNR_ST_NUCL_CND_E-33"/>
    <x v="0"/>
    <x v="6"/>
    <n v="10216"/>
    <n v="3728840"/>
    <n v="13423824"/>
  </r>
  <r>
    <x v="0"/>
    <x v="2"/>
    <x v="2"/>
    <x v="10"/>
    <x v="21"/>
    <s v="UK_A"/>
    <x v="14"/>
    <x v="6"/>
    <s v="GNR_ST_NUCL_CND_E-33"/>
    <x v="0"/>
    <x v="7"/>
    <n v="10216"/>
    <n v="3728840"/>
    <n v="13423824"/>
  </r>
  <r>
    <x v="0"/>
    <x v="2"/>
    <x v="2"/>
    <x v="10"/>
    <x v="21"/>
    <s v="UK_A"/>
    <x v="14"/>
    <x v="6"/>
    <s v="GNR_ST_NUCL_CND_E-33"/>
    <x v="0"/>
    <x v="8"/>
    <n v="10216"/>
    <n v="3728840"/>
    <n v="13423824"/>
  </r>
  <r>
    <x v="0"/>
    <x v="2"/>
    <x v="2"/>
    <x v="10"/>
    <x v="21"/>
    <s v="UK_A"/>
    <x v="14"/>
    <x v="6"/>
    <s v="GNR_ST_NUCL_CND_E-33"/>
    <x v="0"/>
    <x v="9"/>
    <n v="10216"/>
    <n v="3728840"/>
    <n v="13423824"/>
  </r>
  <r>
    <x v="0"/>
    <x v="2"/>
    <x v="2"/>
    <x v="10"/>
    <x v="21"/>
    <s v="UK_A"/>
    <x v="14"/>
    <x v="6"/>
    <s v="GNR_ST_NUCL_CND_E-33"/>
    <x v="0"/>
    <x v="10"/>
    <n v="10216"/>
    <n v="3728840"/>
    <n v="13423824"/>
  </r>
  <r>
    <x v="0"/>
    <x v="2"/>
    <x v="2"/>
    <x v="10"/>
    <x v="21"/>
    <s v="UK_A"/>
    <x v="14"/>
    <x v="6"/>
    <s v="GNR_ST_NUCL_CND_E-33"/>
    <x v="0"/>
    <x v="11"/>
    <n v="10216"/>
    <n v="3728840"/>
    <n v="13423824"/>
  </r>
  <r>
    <x v="0"/>
    <x v="2"/>
    <x v="2"/>
    <x v="10"/>
    <x v="21"/>
    <s v="UK_A"/>
    <x v="14"/>
    <x v="6"/>
    <s v="GNR_ST_NUCL_CND_E-33"/>
    <x v="0"/>
    <x v="12"/>
    <n v="10216"/>
    <n v="3728840"/>
    <n v="13423824"/>
  </r>
  <r>
    <x v="0"/>
    <x v="2"/>
    <x v="2"/>
    <x v="10"/>
    <x v="21"/>
    <s v="UK_A"/>
    <x v="14"/>
    <x v="6"/>
    <s v="GNR_ST_NUCL_CND_E-33"/>
    <x v="0"/>
    <x v="13"/>
    <n v="10216"/>
    <n v="3728840"/>
    <n v="13423824"/>
  </r>
  <r>
    <x v="0"/>
    <x v="2"/>
    <x v="2"/>
    <x v="10"/>
    <x v="21"/>
    <s v="UK_A"/>
    <x v="14"/>
    <x v="6"/>
    <s v="GNR_ST_NUCL_CND_E-33"/>
    <x v="0"/>
    <x v="14"/>
    <n v="10216"/>
    <n v="3728840"/>
    <n v="13423824"/>
  </r>
  <r>
    <x v="0"/>
    <x v="2"/>
    <x v="2"/>
    <x v="10"/>
    <x v="21"/>
    <s v="UK_A"/>
    <x v="14"/>
    <x v="6"/>
    <s v="GNR_ST_NUCL_CND_E-33"/>
    <x v="0"/>
    <x v="15"/>
    <n v="10216"/>
    <n v="3728840"/>
    <n v="13423824"/>
  </r>
  <r>
    <x v="0"/>
    <x v="2"/>
    <x v="2"/>
    <x v="10"/>
    <x v="21"/>
    <s v="UK_A"/>
    <x v="14"/>
    <x v="6"/>
    <s v="GNR_ST_NUCL_CND_E-33"/>
    <x v="0"/>
    <x v="16"/>
    <n v="10216"/>
    <n v="3728840"/>
    <n v="13423824"/>
  </r>
  <r>
    <x v="0"/>
    <x v="2"/>
    <x v="2"/>
    <x v="10"/>
    <x v="21"/>
    <s v="UK_A"/>
    <x v="14"/>
    <x v="6"/>
    <s v="GNR_ST_NUCL_CND_E-33"/>
    <x v="0"/>
    <x v="17"/>
    <n v="10216"/>
    <n v="3728840"/>
    <n v="13423824"/>
  </r>
  <r>
    <x v="0"/>
    <x v="2"/>
    <x v="2"/>
    <x v="10"/>
    <x v="21"/>
    <s v="UK_A"/>
    <x v="14"/>
    <x v="6"/>
    <s v="GNR_ST_NUCL_CND_E-33"/>
    <x v="0"/>
    <x v="19"/>
    <n v="10216"/>
    <n v="3728840"/>
    <n v="13423824"/>
  </r>
  <r>
    <x v="0"/>
    <x v="2"/>
    <x v="2"/>
    <x v="10"/>
    <x v="21"/>
    <s v="UK_A"/>
    <x v="14"/>
    <x v="6"/>
    <s v="GNR_ST_NUCL_CND_E-33"/>
    <x v="0"/>
    <x v="20"/>
    <n v="10216"/>
    <n v="3728840"/>
    <n v="13423824"/>
  </r>
  <r>
    <x v="0"/>
    <x v="2"/>
    <x v="2"/>
    <x v="10"/>
    <x v="21"/>
    <s v="UK_A"/>
    <x v="14"/>
    <x v="6"/>
    <s v="GNR_ST_NUCL_CND_E-33"/>
    <x v="0"/>
    <x v="21"/>
    <n v="10216"/>
    <n v="3728840"/>
    <n v="13423824"/>
  </r>
  <r>
    <x v="0"/>
    <x v="2"/>
    <x v="2"/>
    <x v="10"/>
    <x v="21"/>
    <s v="UK_A"/>
    <x v="14"/>
    <x v="6"/>
    <s v="GNR_ST_NUCL_CND_E-33"/>
    <x v="0"/>
    <x v="22"/>
    <n v="10216"/>
    <n v="3728840"/>
    <n v="13423824"/>
  </r>
  <r>
    <x v="0"/>
    <x v="2"/>
    <x v="2"/>
    <x v="10"/>
    <x v="21"/>
    <s v="UK_A"/>
    <x v="14"/>
    <x v="6"/>
    <s v="GNR_ST_NUCL_CND_E-33"/>
    <x v="0"/>
    <x v="23"/>
    <n v="10216"/>
    <n v="3728840"/>
    <n v="13423824"/>
  </r>
  <r>
    <x v="0"/>
    <x v="2"/>
    <x v="2"/>
    <x v="10"/>
    <x v="21"/>
    <s v="UK_A"/>
    <x v="5"/>
    <x v="3"/>
    <s v="GNR_PV_SUN"/>
    <x v="0"/>
    <x v="4"/>
    <n v="91.934696158323504"/>
    <n v="33556.164097788103"/>
    <n v="120802.190752037"/>
  </r>
  <r>
    <x v="0"/>
    <x v="2"/>
    <x v="2"/>
    <x v="10"/>
    <x v="21"/>
    <s v="UK_A"/>
    <x v="5"/>
    <x v="3"/>
    <s v="GNR_PV_SUN"/>
    <x v="0"/>
    <x v="5"/>
    <n v="183.86939231664701"/>
    <n v="67112.328195576294"/>
    <n v="241604.38150407499"/>
  </r>
  <r>
    <x v="0"/>
    <x v="2"/>
    <x v="2"/>
    <x v="10"/>
    <x v="21"/>
    <s v="UK_A"/>
    <x v="5"/>
    <x v="3"/>
    <s v="GNR_PV_SUN"/>
    <x v="0"/>
    <x v="6"/>
    <n v="220.643270779977"/>
    <n v="80534.793834691605"/>
    <n v="289925.25780488999"/>
  </r>
  <r>
    <x v="0"/>
    <x v="2"/>
    <x v="2"/>
    <x v="10"/>
    <x v="21"/>
    <s v="UK_A"/>
    <x v="5"/>
    <x v="3"/>
    <s v="GNR_PV_SUN"/>
    <x v="0"/>
    <x v="7"/>
    <n v="220.643270779977"/>
    <n v="80534.793834691605"/>
    <n v="289925.25780488999"/>
  </r>
  <r>
    <x v="0"/>
    <x v="2"/>
    <x v="2"/>
    <x v="10"/>
    <x v="21"/>
    <s v="UK_A"/>
    <x v="5"/>
    <x v="3"/>
    <s v="GNR_PV_SUN"/>
    <x v="0"/>
    <x v="8"/>
    <n v="937.73390081489902"/>
    <n v="342272.87379743799"/>
    <n v="1232182.3456707799"/>
  </r>
  <r>
    <x v="0"/>
    <x v="2"/>
    <x v="2"/>
    <x v="10"/>
    <x v="21"/>
    <s v="UK_A"/>
    <x v="5"/>
    <x v="3"/>
    <s v="GNR_PV_SUN"/>
    <x v="0"/>
    <x v="9"/>
    <n v="1949.0155585564601"/>
    <n v="711390.678873108"/>
    <n v="2561006.4439431899"/>
  </r>
  <r>
    <x v="0"/>
    <x v="2"/>
    <x v="2"/>
    <x v="10"/>
    <x v="21"/>
    <s v="UK_A"/>
    <x v="5"/>
    <x v="3"/>
    <s v="GNR_PV_SUN"/>
    <x v="0"/>
    <x v="10"/>
    <n v="2813.2017024447"/>
    <n v="1026818.62139232"/>
    <n v="3696547.03701234"/>
  </r>
  <r>
    <x v="0"/>
    <x v="2"/>
    <x v="2"/>
    <x v="10"/>
    <x v="21"/>
    <s v="UK_A"/>
    <x v="5"/>
    <x v="3"/>
    <s v="GNR_PV_SUN"/>
    <x v="0"/>
    <x v="11"/>
    <n v="3401.5837578579799"/>
    <n v="1241578.07161816"/>
    <n v="4469681.05782538"/>
  </r>
  <r>
    <x v="0"/>
    <x v="2"/>
    <x v="2"/>
    <x v="10"/>
    <x v="21"/>
    <s v="UK_A"/>
    <x v="5"/>
    <x v="3"/>
    <s v="GNR_PV_SUN"/>
    <x v="0"/>
    <x v="12"/>
    <n v="2868.3625201396999"/>
    <n v="1046952.31985099"/>
    <n v="3769028.35146356"/>
  </r>
  <r>
    <x v="0"/>
    <x v="2"/>
    <x v="2"/>
    <x v="10"/>
    <x v="21"/>
    <s v="UK_A"/>
    <x v="5"/>
    <x v="3"/>
    <s v="GNR_PV_SUN"/>
    <x v="0"/>
    <x v="13"/>
    <n v="1930.6286193248"/>
    <n v="704679.44605355104"/>
    <n v="2536846.0057927798"/>
  </r>
  <r>
    <x v="0"/>
    <x v="2"/>
    <x v="2"/>
    <x v="10"/>
    <x v="21"/>
    <s v="UK_A"/>
    <x v="5"/>
    <x v="3"/>
    <s v="GNR_PV_SUN"/>
    <x v="0"/>
    <x v="14"/>
    <n v="900.96002235157005"/>
    <n v="328850.40815832303"/>
    <n v="1183861.46936996"/>
  </r>
  <r>
    <x v="0"/>
    <x v="2"/>
    <x v="2"/>
    <x v="10"/>
    <x v="21"/>
    <s v="UK_A"/>
    <x v="5"/>
    <x v="3"/>
    <s v="GNR_PV_SUN"/>
    <x v="0"/>
    <x v="15"/>
    <n v="183.86939231664701"/>
    <n v="67112.328195576294"/>
    <n v="241604.38150407499"/>
  </r>
  <r>
    <x v="0"/>
    <x v="2"/>
    <x v="2"/>
    <x v="10"/>
    <x v="21"/>
    <s v="UK_A"/>
    <x v="5"/>
    <x v="3"/>
    <s v="GNR_PV_SUN"/>
    <x v="0"/>
    <x v="16"/>
    <n v="36.773878463329403"/>
    <n v="13422.4656391152"/>
    <n v="48320.876300814904"/>
  </r>
  <r>
    <x v="0"/>
    <x v="2"/>
    <x v="2"/>
    <x v="10"/>
    <x v="21"/>
    <s v="UK_A"/>
    <x v="5"/>
    <x v="3"/>
    <s v="GNR_PV_SUN"/>
    <x v="0"/>
    <x v="17"/>
    <n v="36.773878463329403"/>
    <n v="13422.4656391152"/>
    <n v="48320.876300814904"/>
  </r>
  <r>
    <x v="0"/>
    <x v="2"/>
    <x v="2"/>
    <x v="10"/>
    <x v="21"/>
    <s v="UK_A"/>
    <x v="5"/>
    <x v="3"/>
    <s v="GNR_PV_SUN"/>
    <x v="0"/>
    <x v="19"/>
    <n v="18.386939231664702"/>
    <n v="6711.2328195576301"/>
    <n v="24160.438150407499"/>
  </r>
  <r>
    <x v="0"/>
    <x v="2"/>
    <x v="2"/>
    <x v="10"/>
    <x v="21"/>
    <s v="UK_A"/>
    <x v="5"/>
    <x v="3"/>
    <s v="GNR_PV_SUN_LS-4-MW_Y-2020"/>
    <x v="0"/>
    <x v="4"/>
    <n v="49.571430032364901"/>
    <n v="18093.571961813199"/>
    <n v="65136.859062527503"/>
  </r>
  <r>
    <x v="0"/>
    <x v="2"/>
    <x v="2"/>
    <x v="10"/>
    <x v="21"/>
    <s v="UK_A"/>
    <x v="5"/>
    <x v="3"/>
    <s v="GNR_PV_SUN_LS-4-MW_Y-2020"/>
    <x v="0"/>
    <x v="5"/>
    <n v="99.142860064730101"/>
    <n v="36187.1439236265"/>
    <n v="130273.71812505501"/>
  </r>
  <r>
    <x v="0"/>
    <x v="2"/>
    <x v="2"/>
    <x v="10"/>
    <x v="21"/>
    <s v="UK_A"/>
    <x v="5"/>
    <x v="3"/>
    <s v="GNR_PV_SUN_LS-4-MW_Y-2020"/>
    <x v="0"/>
    <x v="6"/>
    <n v="118.971432077676"/>
    <n v="43424.5727083518"/>
    <n v="156328.461750066"/>
  </r>
  <r>
    <x v="0"/>
    <x v="2"/>
    <x v="2"/>
    <x v="10"/>
    <x v="21"/>
    <s v="UK_A"/>
    <x v="5"/>
    <x v="3"/>
    <s v="GNR_PV_SUN_LS-4-MW_Y-2020"/>
    <x v="0"/>
    <x v="7"/>
    <n v="118.971432077676"/>
    <n v="43424.5727083518"/>
    <n v="156328.461750066"/>
  </r>
  <r>
    <x v="0"/>
    <x v="2"/>
    <x v="2"/>
    <x v="10"/>
    <x v="21"/>
    <s v="UK_A"/>
    <x v="5"/>
    <x v="3"/>
    <s v="GNR_PV_SUN_LS-4-MW_Y-2020"/>
    <x v="0"/>
    <x v="8"/>
    <n v="505.628586330122"/>
    <n v="184554.434010495"/>
    <n v="664395.96243778104"/>
  </r>
  <r>
    <x v="0"/>
    <x v="2"/>
    <x v="2"/>
    <x v="10"/>
    <x v="21"/>
    <s v="UK_A"/>
    <x v="5"/>
    <x v="3"/>
    <s v="GNR_PV_SUN_LS-4-MW_Y-2020"/>
    <x v="0"/>
    <x v="9"/>
    <n v="1050.91431668614"/>
    <n v="383583.72559044103"/>
    <n v="1380901.41212559"/>
  </r>
  <r>
    <x v="0"/>
    <x v="2"/>
    <x v="2"/>
    <x v="10"/>
    <x v="21"/>
    <s v="UK_A"/>
    <x v="5"/>
    <x v="3"/>
    <s v="GNR_PV_SUN_LS-4-MW_Y-2020"/>
    <x v="0"/>
    <x v="10"/>
    <n v="1516.8857589903701"/>
    <n v="553663.30203148501"/>
    <n v="1993187.8873133401"/>
  </r>
  <r>
    <x v="0"/>
    <x v="2"/>
    <x v="2"/>
    <x v="10"/>
    <x v="21"/>
    <s v="UK_A"/>
    <x v="5"/>
    <x v="3"/>
    <s v="GNR_PV_SUN_LS-4-MW_Y-2020"/>
    <x v="0"/>
    <x v="11"/>
    <n v="1834.1429111975101"/>
    <n v="669462.16258709005"/>
    <n v="2410063.7853135201"/>
  </r>
  <r>
    <x v="0"/>
    <x v="2"/>
    <x v="2"/>
    <x v="10"/>
    <x v="21"/>
    <s v="UK_A"/>
    <x v="5"/>
    <x v="3"/>
    <s v="GNR_PV_SUN_LS-4-MW_Y-2020"/>
    <x v="0"/>
    <x v="12"/>
    <n v="1546.6286170097901"/>
    <n v="564519.44520857197"/>
    <n v="2032270.0027508601"/>
  </r>
  <r>
    <x v="0"/>
    <x v="2"/>
    <x v="2"/>
    <x v="10"/>
    <x v="21"/>
    <s v="UK_A"/>
    <x v="5"/>
    <x v="3"/>
    <s v="GNR_PV_SUN_LS-4-MW_Y-2020"/>
    <x v="0"/>
    <x v="13"/>
    <n v="1041.0000306796701"/>
    <n v="379965.01119807799"/>
    <n v="1367874.04031308"/>
  </r>
  <r>
    <x v="0"/>
    <x v="2"/>
    <x v="2"/>
    <x v="10"/>
    <x v="21"/>
    <s v="UK_A"/>
    <x v="5"/>
    <x v="3"/>
    <s v="GNR_PV_SUN_LS-4-MW_Y-2020"/>
    <x v="0"/>
    <x v="14"/>
    <n v="485.80001431717602"/>
    <n v="177317.00522576901"/>
    <n v="638341.21881276998"/>
  </r>
  <r>
    <x v="0"/>
    <x v="2"/>
    <x v="2"/>
    <x v="10"/>
    <x v="21"/>
    <s v="UK_A"/>
    <x v="5"/>
    <x v="3"/>
    <s v="GNR_PV_SUN_LS-4-MW_Y-2020"/>
    <x v="0"/>
    <x v="15"/>
    <n v="99.142860064730101"/>
    <n v="36187.1439236265"/>
    <n v="130273.71812505501"/>
  </r>
  <r>
    <x v="0"/>
    <x v="2"/>
    <x v="2"/>
    <x v="10"/>
    <x v="21"/>
    <s v="UK_A"/>
    <x v="5"/>
    <x v="3"/>
    <s v="GNR_PV_SUN_LS-4-MW_Y-2020"/>
    <x v="0"/>
    <x v="16"/>
    <n v="19.828572012946001"/>
    <n v="7237.4287847252899"/>
    <n v="26054.743625011"/>
  </r>
  <r>
    <x v="0"/>
    <x v="2"/>
    <x v="2"/>
    <x v="10"/>
    <x v="21"/>
    <s v="UK_A"/>
    <x v="5"/>
    <x v="3"/>
    <s v="GNR_PV_SUN_LS-4-MW_Y-2020"/>
    <x v="0"/>
    <x v="17"/>
    <n v="19.828572012946001"/>
    <n v="7237.4287847252899"/>
    <n v="26054.743625011"/>
  </r>
  <r>
    <x v="0"/>
    <x v="2"/>
    <x v="2"/>
    <x v="10"/>
    <x v="21"/>
    <s v="UK_A"/>
    <x v="5"/>
    <x v="3"/>
    <s v="GNR_PV_SUN_LS-4-MW_Y-2020"/>
    <x v="0"/>
    <x v="19"/>
    <n v="9.9142860064730094"/>
    <n v="3618.71439236265"/>
    <n v="13027.3718125055"/>
  </r>
  <r>
    <x v="0"/>
    <x v="2"/>
    <x v="2"/>
    <x v="10"/>
    <x v="21"/>
    <s v="UK_A"/>
    <x v="5"/>
    <x v="3"/>
    <s v="GNR_PV_SUN_LS-4-MW_Y-2030"/>
    <x v="0"/>
    <x v="4"/>
    <n v="1574.9762180289299"/>
    <n v="574866.31958055799"/>
    <n v="2069518.75049001"/>
  </r>
  <r>
    <x v="0"/>
    <x v="2"/>
    <x v="2"/>
    <x v="10"/>
    <x v="21"/>
    <s v="UK_A"/>
    <x v="5"/>
    <x v="3"/>
    <s v="GNR_PV_SUN_LS-4-MW_Y-2030"/>
    <x v="0"/>
    <x v="5"/>
    <n v="3149.9524360578598"/>
    <n v="1149732.6391611199"/>
    <n v="4139037.5009800298"/>
  </r>
  <r>
    <x v="0"/>
    <x v="2"/>
    <x v="2"/>
    <x v="10"/>
    <x v="21"/>
    <s v="UK_A"/>
    <x v="5"/>
    <x v="3"/>
    <s v="GNR_PV_SUN_LS-4-MW_Y-2030"/>
    <x v="0"/>
    <x v="6"/>
    <n v="3779.9429232694301"/>
    <n v="1379679.16699334"/>
    <n v="4966845.0011760397"/>
  </r>
  <r>
    <x v="0"/>
    <x v="2"/>
    <x v="2"/>
    <x v="10"/>
    <x v="21"/>
    <s v="UK_A"/>
    <x v="5"/>
    <x v="3"/>
    <s v="GNR_PV_SUN_LS-4-MW_Y-2030"/>
    <x v="0"/>
    <x v="7"/>
    <n v="3779.9429232694301"/>
    <n v="1379679.16699334"/>
    <n v="4966845.0011760397"/>
  </r>
  <r>
    <x v="0"/>
    <x v="2"/>
    <x v="2"/>
    <x v="10"/>
    <x v="21"/>
    <s v="UK_A"/>
    <x v="5"/>
    <x v="3"/>
    <s v="GNR_PV_SUN_LS-4-MW_Y-2030"/>
    <x v="0"/>
    <x v="8"/>
    <n v="16064.757423895"/>
    <n v="5863636.45972169"/>
    <n v="21109091.254998099"/>
  </r>
  <r>
    <x v="0"/>
    <x v="2"/>
    <x v="2"/>
    <x v="10"/>
    <x v="21"/>
    <s v="UK_A"/>
    <x v="5"/>
    <x v="3"/>
    <s v="GNR_PV_SUN_LS-4-MW_Y-2030"/>
    <x v="0"/>
    <x v="9"/>
    <n v="33389.495822213299"/>
    <n v="12187165.975107901"/>
    <n v="43873797.5103883"/>
  </r>
  <r>
    <x v="0"/>
    <x v="2"/>
    <x v="2"/>
    <x v="10"/>
    <x v="21"/>
    <s v="UK_A"/>
    <x v="5"/>
    <x v="3"/>
    <s v="GNR_PV_SUN_LS-4-MW_Y-2030"/>
    <x v="0"/>
    <x v="10"/>
    <n v="48194.2722716852"/>
    <n v="17590909.379165102"/>
    <n v="63327273.764994398"/>
  </r>
  <r>
    <x v="0"/>
    <x v="2"/>
    <x v="2"/>
    <x v="10"/>
    <x v="21"/>
    <s v="UK_A"/>
    <x v="5"/>
    <x v="3"/>
    <s v="GNR_PV_SUN_LS-4-MW_Y-2030"/>
    <x v="0"/>
    <x v="11"/>
    <n v="58274.120067070398"/>
    <n v="21270053.824480701"/>
    <n v="76572193.768130496"/>
  </r>
  <r>
    <x v="0"/>
    <x v="2"/>
    <x v="2"/>
    <x v="10"/>
    <x v="21"/>
    <s v="UK_A"/>
    <x v="5"/>
    <x v="3"/>
    <s v="GNR_PV_SUN_LS-4-MW_Y-2030"/>
    <x v="0"/>
    <x v="12"/>
    <n v="49139.258002502604"/>
    <n v="17935829.170913398"/>
    <n v="64568985.015288398"/>
  </r>
  <r>
    <x v="0"/>
    <x v="2"/>
    <x v="2"/>
    <x v="10"/>
    <x v="21"/>
    <s v="UK_A"/>
    <x v="5"/>
    <x v="3"/>
    <s v="GNR_PV_SUN_LS-4-MW_Y-2030"/>
    <x v="0"/>
    <x v="13"/>
    <n v="33074.500578607498"/>
    <n v="12072192.711191701"/>
    <n v="43459893.760290302"/>
  </r>
  <r>
    <x v="0"/>
    <x v="2"/>
    <x v="2"/>
    <x v="10"/>
    <x v="21"/>
    <s v="UK_A"/>
    <x v="5"/>
    <x v="3"/>
    <s v="GNR_PV_SUN_LS-4-MW_Y-2030"/>
    <x v="0"/>
    <x v="14"/>
    <n v="15434.7669366835"/>
    <n v="5633689.9318894697"/>
    <n v="20281283.7548021"/>
  </r>
  <r>
    <x v="0"/>
    <x v="2"/>
    <x v="2"/>
    <x v="10"/>
    <x v="21"/>
    <s v="UK_A"/>
    <x v="5"/>
    <x v="3"/>
    <s v="GNR_PV_SUN_LS-4-MW_Y-2030"/>
    <x v="0"/>
    <x v="15"/>
    <n v="3149.9524360578598"/>
    <n v="1149732.6391611199"/>
    <n v="4139037.5009800298"/>
  </r>
  <r>
    <x v="0"/>
    <x v="2"/>
    <x v="2"/>
    <x v="10"/>
    <x v="21"/>
    <s v="UK_A"/>
    <x v="5"/>
    <x v="3"/>
    <s v="GNR_PV_SUN_LS-4-MW_Y-2030"/>
    <x v="0"/>
    <x v="16"/>
    <n v="629.99048721157101"/>
    <n v="229946.527832224"/>
    <n v="827807.50019600498"/>
  </r>
  <r>
    <x v="0"/>
    <x v="2"/>
    <x v="2"/>
    <x v="10"/>
    <x v="21"/>
    <s v="UK_A"/>
    <x v="5"/>
    <x v="3"/>
    <s v="GNR_PV_SUN_LS-4-MW_Y-2030"/>
    <x v="0"/>
    <x v="17"/>
    <n v="629.99048721157101"/>
    <n v="229946.527832224"/>
    <n v="827807.50019600498"/>
  </r>
  <r>
    <x v="0"/>
    <x v="2"/>
    <x v="2"/>
    <x v="10"/>
    <x v="21"/>
    <s v="UK_A"/>
    <x v="5"/>
    <x v="3"/>
    <s v="GNR_PV_SUN_LS-4-MW_Y-2030"/>
    <x v="0"/>
    <x v="19"/>
    <n v="314.99524360578602"/>
    <n v="114973.263916112"/>
    <n v="413903.75009800302"/>
  </r>
  <r>
    <x v="0"/>
    <x v="2"/>
    <x v="2"/>
    <x v="10"/>
    <x v="21"/>
    <s v="UK_A"/>
    <x v="6"/>
    <x v="8"/>
    <s v="GNR_ES_WTR_PMP"/>
    <x v="0"/>
    <x v="16"/>
    <n v="26.312000000000001"/>
    <n v="9603.8799999999992"/>
    <n v="34573.968000000001"/>
  </r>
  <r>
    <x v="0"/>
    <x v="2"/>
    <x v="2"/>
    <x v="10"/>
    <x v="21"/>
    <s v="UK_A"/>
    <x v="6"/>
    <x v="4"/>
    <s v="GNR_ROR_WTR"/>
    <x v="0"/>
    <x v="0"/>
    <n v="602.97643832497397"/>
    <n v="220086.39998861501"/>
    <n v="792311.03995901602"/>
  </r>
  <r>
    <x v="0"/>
    <x v="2"/>
    <x v="2"/>
    <x v="10"/>
    <x v="21"/>
    <s v="UK_A"/>
    <x v="6"/>
    <x v="4"/>
    <s v="GNR_ROR_WTR"/>
    <x v="0"/>
    <x v="1"/>
    <n v="602.97643832497397"/>
    <n v="220086.39998861501"/>
    <n v="792311.03995901602"/>
  </r>
  <r>
    <x v="0"/>
    <x v="2"/>
    <x v="2"/>
    <x v="10"/>
    <x v="21"/>
    <s v="UK_A"/>
    <x v="6"/>
    <x v="4"/>
    <s v="GNR_ROR_WTR"/>
    <x v="0"/>
    <x v="18"/>
    <n v="602.97643832497397"/>
    <n v="220086.39998861501"/>
    <n v="792311.03995901602"/>
  </r>
  <r>
    <x v="0"/>
    <x v="2"/>
    <x v="2"/>
    <x v="10"/>
    <x v="21"/>
    <s v="UK_A"/>
    <x v="6"/>
    <x v="4"/>
    <s v="GNR_ROR_WTR"/>
    <x v="0"/>
    <x v="2"/>
    <n v="602.97643832497397"/>
    <n v="220086.39998861501"/>
    <n v="792311.03995901602"/>
  </r>
  <r>
    <x v="0"/>
    <x v="2"/>
    <x v="2"/>
    <x v="10"/>
    <x v="21"/>
    <s v="UK_A"/>
    <x v="6"/>
    <x v="4"/>
    <s v="GNR_ROR_WTR"/>
    <x v="0"/>
    <x v="3"/>
    <n v="602.97643832497397"/>
    <n v="220086.39998861501"/>
    <n v="792311.03995901602"/>
  </r>
  <r>
    <x v="0"/>
    <x v="2"/>
    <x v="2"/>
    <x v="10"/>
    <x v="21"/>
    <s v="UK_A"/>
    <x v="6"/>
    <x v="4"/>
    <s v="GNR_ROR_WTR"/>
    <x v="0"/>
    <x v="4"/>
    <n v="602.97643832497397"/>
    <n v="220086.39998861501"/>
    <n v="792311.03995901602"/>
  </r>
  <r>
    <x v="0"/>
    <x v="2"/>
    <x v="2"/>
    <x v="10"/>
    <x v="21"/>
    <s v="UK_A"/>
    <x v="6"/>
    <x v="4"/>
    <s v="GNR_ROR_WTR"/>
    <x v="0"/>
    <x v="5"/>
    <n v="602.97643832497397"/>
    <n v="220086.39998861501"/>
    <n v="792311.03995901602"/>
  </r>
  <r>
    <x v="0"/>
    <x v="2"/>
    <x v="2"/>
    <x v="10"/>
    <x v="21"/>
    <s v="UK_A"/>
    <x v="6"/>
    <x v="4"/>
    <s v="GNR_ROR_WTR"/>
    <x v="0"/>
    <x v="6"/>
    <n v="602.97643832497397"/>
    <n v="220086.39998861501"/>
    <n v="792311.03995901602"/>
  </r>
  <r>
    <x v="0"/>
    <x v="2"/>
    <x v="2"/>
    <x v="10"/>
    <x v="21"/>
    <s v="UK_A"/>
    <x v="6"/>
    <x v="4"/>
    <s v="GNR_ROR_WTR"/>
    <x v="0"/>
    <x v="7"/>
    <n v="602.97643832497397"/>
    <n v="220086.39998861501"/>
    <n v="792311.03995901602"/>
  </r>
  <r>
    <x v="0"/>
    <x v="2"/>
    <x v="2"/>
    <x v="10"/>
    <x v="21"/>
    <s v="UK_A"/>
    <x v="6"/>
    <x v="4"/>
    <s v="GNR_ROR_WTR"/>
    <x v="0"/>
    <x v="8"/>
    <n v="602.97643832497397"/>
    <n v="220086.39998861501"/>
    <n v="792311.03995901602"/>
  </r>
  <r>
    <x v="0"/>
    <x v="2"/>
    <x v="2"/>
    <x v="10"/>
    <x v="21"/>
    <s v="UK_A"/>
    <x v="6"/>
    <x v="4"/>
    <s v="GNR_ROR_WTR"/>
    <x v="0"/>
    <x v="9"/>
    <n v="602.97643832497397"/>
    <n v="220086.39998861501"/>
    <n v="792311.03995901602"/>
  </r>
  <r>
    <x v="0"/>
    <x v="2"/>
    <x v="2"/>
    <x v="10"/>
    <x v="21"/>
    <s v="UK_A"/>
    <x v="6"/>
    <x v="4"/>
    <s v="GNR_ROR_WTR"/>
    <x v="0"/>
    <x v="10"/>
    <n v="602.97643832497397"/>
    <n v="220086.39998861501"/>
    <n v="792311.03995901602"/>
  </r>
  <r>
    <x v="0"/>
    <x v="2"/>
    <x v="2"/>
    <x v="10"/>
    <x v="21"/>
    <s v="UK_A"/>
    <x v="6"/>
    <x v="4"/>
    <s v="GNR_ROR_WTR"/>
    <x v="0"/>
    <x v="11"/>
    <n v="602.97643832497397"/>
    <n v="220086.39998861501"/>
    <n v="792311.03995901602"/>
  </r>
  <r>
    <x v="0"/>
    <x v="2"/>
    <x v="2"/>
    <x v="10"/>
    <x v="21"/>
    <s v="UK_A"/>
    <x v="6"/>
    <x v="4"/>
    <s v="GNR_ROR_WTR"/>
    <x v="0"/>
    <x v="12"/>
    <n v="602.97643832497397"/>
    <n v="220086.39998861501"/>
    <n v="792311.03995901602"/>
  </r>
  <r>
    <x v="0"/>
    <x v="2"/>
    <x v="2"/>
    <x v="10"/>
    <x v="21"/>
    <s v="UK_A"/>
    <x v="6"/>
    <x v="4"/>
    <s v="GNR_ROR_WTR"/>
    <x v="0"/>
    <x v="13"/>
    <n v="602.97643832497397"/>
    <n v="220086.39998861501"/>
    <n v="792311.03995901602"/>
  </r>
  <r>
    <x v="0"/>
    <x v="2"/>
    <x v="2"/>
    <x v="10"/>
    <x v="21"/>
    <s v="UK_A"/>
    <x v="6"/>
    <x v="4"/>
    <s v="GNR_ROR_WTR"/>
    <x v="0"/>
    <x v="14"/>
    <n v="602.97643832497397"/>
    <n v="220086.39998861501"/>
    <n v="792311.03995901602"/>
  </r>
  <r>
    <x v="0"/>
    <x v="2"/>
    <x v="2"/>
    <x v="10"/>
    <x v="21"/>
    <s v="UK_A"/>
    <x v="6"/>
    <x v="4"/>
    <s v="GNR_ROR_WTR"/>
    <x v="0"/>
    <x v="15"/>
    <n v="602.97643832497397"/>
    <n v="220086.39998861501"/>
    <n v="792311.03995901602"/>
  </r>
  <r>
    <x v="0"/>
    <x v="2"/>
    <x v="2"/>
    <x v="10"/>
    <x v="21"/>
    <s v="UK_A"/>
    <x v="6"/>
    <x v="4"/>
    <s v="GNR_ROR_WTR"/>
    <x v="0"/>
    <x v="16"/>
    <n v="602.97643832497397"/>
    <n v="220086.39998861501"/>
    <n v="792311.03995901602"/>
  </r>
  <r>
    <x v="0"/>
    <x v="2"/>
    <x v="2"/>
    <x v="10"/>
    <x v="21"/>
    <s v="UK_A"/>
    <x v="6"/>
    <x v="4"/>
    <s v="GNR_ROR_WTR"/>
    <x v="0"/>
    <x v="17"/>
    <n v="602.97643832497397"/>
    <n v="220086.39998861501"/>
    <n v="792311.03995901602"/>
  </r>
  <r>
    <x v="0"/>
    <x v="2"/>
    <x v="2"/>
    <x v="10"/>
    <x v="21"/>
    <s v="UK_A"/>
    <x v="6"/>
    <x v="4"/>
    <s v="GNR_ROR_WTR"/>
    <x v="0"/>
    <x v="19"/>
    <n v="602.97643832497397"/>
    <n v="220086.39998861501"/>
    <n v="792311.03995901602"/>
  </r>
  <r>
    <x v="0"/>
    <x v="2"/>
    <x v="2"/>
    <x v="10"/>
    <x v="21"/>
    <s v="UK_A"/>
    <x v="6"/>
    <x v="4"/>
    <s v="GNR_ROR_WTR"/>
    <x v="0"/>
    <x v="20"/>
    <n v="602.97643832497397"/>
    <n v="220086.39998861501"/>
    <n v="792311.03995901602"/>
  </r>
  <r>
    <x v="0"/>
    <x v="2"/>
    <x v="2"/>
    <x v="10"/>
    <x v="21"/>
    <s v="UK_A"/>
    <x v="6"/>
    <x v="4"/>
    <s v="GNR_ROR_WTR"/>
    <x v="0"/>
    <x v="21"/>
    <n v="602.97643832497397"/>
    <n v="220086.39998861501"/>
    <n v="792311.03995901602"/>
  </r>
  <r>
    <x v="0"/>
    <x v="2"/>
    <x v="2"/>
    <x v="10"/>
    <x v="21"/>
    <s v="UK_A"/>
    <x v="6"/>
    <x v="4"/>
    <s v="GNR_ROR_WTR"/>
    <x v="0"/>
    <x v="22"/>
    <n v="602.97643832497397"/>
    <n v="220086.39998861501"/>
    <n v="792311.03995901602"/>
  </r>
  <r>
    <x v="0"/>
    <x v="2"/>
    <x v="2"/>
    <x v="10"/>
    <x v="21"/>
    <s v="UK_A"/>
    <x v="6"/>
    <x v="4"/>
    <s v="GNR_ROR_WTR"/>
    <x v="0"/>
    <x v="23"/>
    <n v="602.97643832497397"/>
    <n v="220086.39998861501"/>
    <n v="792311.03995901602"/>
  </r>
  <r>
    <x v="0"/>
    <x v="2"/>
    <x v="2"/>
    <x v="10"/>
    <x v="21"/>
    <s v="UK_A"/>
    <x v="7"/>
    <x v="5"/>
    <s v="GNR_WT_WIND_ONS"/>
    <x v="0"/>
    <x v="0"/>
    <n v="3871.3346559148999"/>
    <n v="1413037.14940894"/>
    <n v="5086933.7378721898"/>
  </r>
  <r>
    <x v="0"/>
    <x v="2"/>
    <x v="2"/>
    <x v="10"/>
    <x v="21"/>
    <s v="UK_A"/>
    <x v="7"/>
    <x v="5"/>
    <s v="GNR_WT_WIND_ONS"/>
    <x v="0"/>
    <x v="1"/>
    <n v="4037.88959422784"/>
    <n v="1473829.7018931599"/>
    <n v="5305786.9268153803"/>
  </r>
  <r>
    <x v="0"/>
    <x v="2"/>
    <x v="2"/>
    <x v="10"/>
    <x v="21"/>
    <s v="UK_A"/>
    <x v="7"/>
    <x v="5"/>
    <s v="GNR_WT_WIND_ONS"/>
    <x v="0"/>
    <x v="18"/>
    <n v="4217.25645087255"/>
    <n v="1539298.60456848"/>
    <n v="5541474.9764465299"/>
  </r>
  <r>
    <x v="0"/>
    <x v="2"/>
    <x v="2"/>
    <x v="10"/>
    <x v="21"/>
    <s v="UK_A"/>
    <x v="7"/>
    <x v="5"/>
    <s v="GNR_WT_WIND_ONS"/>
    <x v="0"/>
    <x v="2"/>
    <n v="4407.2999061270702"/>
    <n v="1608664.4657363801"/>
    <n v="5791192.0766509697"/>
  </r>
  <r>
    <x v="0"/>
    <x v="2"/>
    <x v="2"/>
    <x v="10"/>
    <x v="21"/>
    <s v="UK_A"/>
    <x v="7"/>
    <x v="5"/>
    <s v="GNR_WT_WIND_ONS"/>
    <x v="0"/>
    <x v="3"/>
    <n v="4447.87098084432"/>
    <n v="1623472.9080081801"/>
    <n v="5844502.46882944"/>
  </r>
  <r>
    <x v="0"/>
    <x v="2"/>
    <x v="2"/>
    <x v="10"/>
    <x v="21"/>
    <s v="UK_A"/>
    <x v="7"/>
    <x v="5"/>
    <s v="GNR_WT_WIND_ONS"/>
    <x v="0"/>
    <x v="4"/>
    <n v="4407.2999061270702"/>
    <n v="1608664.4657363801"/>
    <n v="5791192.0766509697"/>
  </r>
  <r>
    <x v="0"/>
    <x v="2"/>
    <x v="2"/>
    <x v="10"/>
    <x v="21"/>
    <s v="UK_A"/>
    <x v="7"/>
    <x v="5"/>
    <s v="GNR_WT_WIND_ONS"/>
    <x v="0"/>
    <x v="5"/>
    <n v="4452.1416202882301"/>
    <n v="1625031.6914052099"/>
    <n v="5850114.0890587401"/>
  </r>
  <r>
    <x v="0"/>
    <x v="2"/>
    <x v="2"/>
    <x v="10"/>
    <x v="21"/>
    <s v="UK_A"/>
    <x v="7"/>
    <x v="5"/>
    <s v="GNR_WT_WIND_ONS"/>
    <x v="0"/>
    <x v="6"/>
    <n v="4573.8548444400003"/>
    <n v="1669457.0182206"/>
    <n v="6010045.2655941704"/>
  </r>
  <r>
    <x v="0"/>
    <x v="2"/>
    <x v="2"/>
    <x v="10"/>
    <x v="21"/>
    <s v="UK_A"/>
    <x v="7"/>
    <x v="5"/>
    <s v="GNR_WT_WIND_ONS"/>
    <x v="0"/>
    <x v="7"/>
    <n v="4699.8387080356897"/>
    <n v="1715441.1284330301"/>
    <n v="6175588.0623589"/>
  </r>
  <r>
    <x v="0"/>
    <x v="2"/>
    <x v="2"/>
    <x v="10"/>
    <x v="21"/>
    <s v="UK_A"/>
    <x v="7"/>
    <x v="5"/>
    <s v="GNR_WT_WIND_ONS"/>
    <x v="0"/>
    <x v="8"/>
    <n v="4509.7952527811904"/>
    <n v="1646075.2672651301"/>
    <n v="5925870.9621544797"/>
  </r>
  <r>
    <x v="0"/>
    <x v="2"/>
    <x v="2"/>
    <x v="10"/>
    <x v="21"/>
    <s v="UK_A"/>
    <x v="7"/>
    <x v="5"/>
    <s v="GNR_WT_WIND_ONS"/>
    <x v="0"/>
    <x v="9"/>
    <n v="4020.80703645216"/>
    <n v="1467594.56830504"/>
    <n v="5283340.4458981398"/>
  </r>
  <r>
    <x v="0"/>
    <x v="2"/>
    <x v="2"/>
    <x v="10"/>
    <x v="21"/>
    <s v="UK_A"/>
    <x v="7"/>
    <x v="5"/>
    <s v="GNR_WT_WIND_ONS"/>
    <x v="0"/>
    <x v="10"/>
    <n v="3649.2614048309802"/>
    <n v="1331980.4127633099"/>
    <n v="4795129.4859479098"/>
  </r>
  <r>
    <x v="0"/>
    <x v="2"/>
    <x v="2"/>
    <x v="10"/>
    <x v="21"/>
    <s v="UK_A"/>
    <x v="7"/>
    <x v="5"/>
    <s v="GNR_WT_WIND_ONS"/>
    <x v="0"/>
    <x v="11"/>
    <n v="3604.4196906698198"/>
    <n v="1315613.18709448"/>
    <n v="4736207.4735401403"/>
  </r>
  <r>
    <x v="0"/>
    <x v="2"/>
    <x v="2"/>
    <x v="10"/>
    <x v="21"/>
    <s v="UK_A"/>
    <x v="7"/>
    <x v="5"/>
    <s v="GNR_WT_WIND_ONS"/>
    <x v="0"/>
    <x v="12"/>
    <n v="3333.2340859808"/>
    <n v="1216630.44138299"/>
    <n v="4379869.5889787599"/>
  </r>
  <r>
    <x v="0"/>
    <x v="2"/>
    <x v="2"/>
    <x v="10"/>
    <x v="21"/>
    <s v="UK_A"/>
    <x v="7"/>
    <x v="5"/>
    <s v="GNR_WT_WIND_ONS"/>
    <x v="0"/>
    <x v="13"/>
    <n v="2498.3240746941201"/>
    <n v="911888.28726335499"/>
    <n v="3282797.8341480801"/>
  </r>
  <r>
    <x v="0"/>
    <x v="2"/>
    <x v="2"/>
    <x v="10"/>
    <x v="21"/>
    <s v="UK_A"/>
    <x v="7"/>
    <x v="5"/>
    <s v="GNR_WT_WIND_ONS"/>
    <x v="0"/>
    <x v="14"/>
    <n v="1864.13411727177"/>
    <n v="680408.952804195"/>
    <n v="2449472.2300951001"/>
  </r>
  <r>
    <x v="0"/>
    <x v="2"/>
    <x v="2"/>
    <x v="10"/>
    <x v="21"/>
    <s v="UK_A"/>
    <x v="7"/>
    <x v="5"/>
    <s v="GNR_WT_WIND_ONS"/>
    <x v="0"/>
    <x v="15"/>
    <n v="1422.1229348258801"/>
    <n v="519074.87121144799"/>
    <n v="1868669.53636121"/>
  </r>
  <r>
    <x v="0"/>
    <x v="2"/>
    <x v="2"/>
    <x v="10"/>
    <x v="21"/>
    <s v="UK_A"/>
    <x v="7"/>
    <x v="5"/>
    <s v="GNR_WT_WIND_ONS"/>
    <x v="0"/>
    <x v="16"/>
    <n v="1140.26073152706"/>
    <n v="416195.16700737702"/>
    <n v="1498302.6012265601"/>
  </r>
  <r>
    <x v="0"/>
    <x v="2"/>
    <x v="2"/>
    <x v="10"/>
    <x v="21"/>
    <s v="UK_A"/>
    <x v="7"/>
    <x v="5"/>
    <s v="GNR_WT_WIND_ONS"/>
    <x v="0"/>
    <x v="17"/>
    <n v="1014.27686793137"/>
    <n v="370211.05679495097"/>
    <n v="1332759.8044618201"/>
  </r>
  <r>
    <x v="0"/>
    <x v="2"/>
    <x v="2"/>
    <x v="10"/>
    <x v="21"/>
    <s v="UK_A"/>
    <x v="7"/>
    <x v="5"/>
    <s v="GNR_WT_WIND_ONS"/>
    <x v="0"/>
    <x v="19"/>
    <n v="943.81131710666898"/>
    <n v="344491.13074393402"/>
    <n v="1240168.0706781601"/>
  </r>
  <r>
    <x v="0"/>
    <x v="2"/>
    <x v="2"/>
    <x v="10"/>
    <x v="21"/>
    <s v="UK_A"/>
    <x v="7"/>
    <x v="5"/>
    <s v="GNR_WT_WIND_ONS"/>
    <x v="0"/>
    <x v="20"/>
    <n v="999.32962987764802"/>
    <n v="364755.31490534201"/>
    <n v="1313119.1336592301"/>
  </r>
  <r>
    <x v="0"/>
    <x v="2"/>
    <x v="2"/>
    <x v="10"/>
    <x v="21"/>
    <s v="UK_A"/>
    <x v="7"/>
    <x v="5"/>
    <s v="GNR_WT_WIND_ONS"/>
    <x v="0"/>
    <x v="21"/>
    <n v="1157.34328930275"/>
    <n v="422430.30059550202"/>
    <n v="1520749.0821438101"/>
  </r>
  <r>
    <x v="0"/>
    <x v="2"/>
    <x v="2"/>
    <x v="10"/>
    <x v="21"/>
    <s v="UK_A"/>
    <x v="7"/>
    <x v="5"/>
    <s v="GNR_WT_WIND_ONS"/>
    <x v="0"/>
    <x v="22"/>
    <n v="1362.33398261098"/>
    <n v="497251.90365300898"/>
    <n v="1790106.8531508299"/>
  </r>
  <r>
    <x v="0"/>
    <x v="2"/>
    <x v="2"/>
    <x v="10"/>
    <x v="21"/>
    <s v="UK_A"/>
    <x v="7"/>
    <x v="5"/>
    <s v="GNR_WT_WIND_ONS"/>
    <x v="0"/>
    <x v="23"/>
    <n v="1439.2054926015701"/>
    <n v="525310.00479957403"/>
    <n v="1891116.0172784701"/>
  </r>
  <r>
    <x v="0"/>
    <x v="2"/>
    <x v="2"/>
    <x v="10"/>
    <x v="21"/>
    <s v="UK_A"/>
    <x v="7"/>
    <x v="5"/>
    <s v="GNR_WT_WIND_ON_LS_Y-2020"/>
    <x v="0"/>
    <x v="0"/>
    <n v="12001.464601543301"/>
    <n v="4380534.5795632899"/>
    <n v="15769924.486427899"/>
  </r>
  <r>
    <x v="0"/>
    <x v="2"/>
    <x v="2"/>
    <x v="10"/>
    <x v="21"/>
    <s v="UK_A"/>
    <x v="7"/>
    <x v="5"/>
    <s v="GNR_WT_WIND_ON_LS_Y-2020"/>
    <x v="0"/>
    <x v="1"/>
    <n v="12517.798985945001"/>
    <n v="4568996.6298699304"/>
    <n v="16448387.8675317"/>
  </r>
  <r>
    <x v="0"/>
    <x v="2"/>
    <x v="2"/>
    <x v="10"/>
    <x v="21"/>
    <s v="UK_A"/>
    <x v="7"/>
    <x v="5"/>
    <s v="GNR_WT_WIND_ON_LS_Y-2020"/>
    <x v="0"/>
    <x v="18"/>
    <n v="13073.8513999161"/>
    <n v="4771955.7609693799"/>
    <n v="17179040.739489801"/>
  </r>
  <r>
    <x v="0"/>
    <x v="2"/>
    <x v="2"/>
    <x v="10"/>
    <x v="21"/>
    <s v="UK_A"/>
    <x v="7"/>
    <x v="5"/>
    <s v="GNR_WT_WIND_ON_LS_Y-2020"/>
    <x v="0"/>
    <x v="2"/>
    <n v="13663.002171861701"/>
    <n v="4986995.7927295398"/>
    <n v="17953184.853826299"/>
  </r>
  <r>
    <x v="0"/>
    <x v="2"/>
    <x v="2"/>
    <x v="10"/>
    <x v="21"/>
    <s v="UK_A"/>
    <x v="7"/>
    <x v="5"/>
    <s v="GNR_WT_WIND_ON_LS_Y-2020"/>
    <x v="0"/>
    <x v="3"/>
    <n v="13788.775932164701"/>
    <n v="5032903.21524012"/>
    <n v="18118451.574864499"/>
  </r>
  <r>
    <x v="0"/>
    <x v="2"/>
    <x v="2"/>
    <x v="10"/>
    <x v="21"/>
    <s v="UK_A"/>
    <x v="7"/>
    <x v="5"/>
    <s v="GNR_WT_WIND_ON_LS_Y-2020"/>
    <x v="0"/>
    <x v="4"/>
    <n v="13663.002171861701"/>
    <n v="4986995.7927295398"/>
    <n v="17953184.853826299"/>
  </r>
  <r>
    <x v="0"/>
    <x v="2"/>
    <x v="2"/>
    <x v="10"/>
    <x v="21"/>
    <s v="UK_A"/>
    <x v="7"/>
    <x v="5"/>
    <s v="GNR_WT_WIND_ON_LS_Y-2020"/>
    <x v="0"/>
    <x v="5"/>
    <n v="13802.015275354501"/>
    <n v="5037735.5755043896"/>
    <n v="18135848.0718158"/>
  </r>
  <r>
    <x v="0"/>
    <x v="2"/>
    <x v="2"/>
    <x v="10"/>
    <x v="21"/>
    <s v="UK_A"/>
    <x v="7"/>
    <x v="5"/>
    <s v="GNR_WT_WIND_ON_LS_Y-2020"/>
    <x v="0"/>
    <x v="6"/>
    <n v="14179.336556263501"/>
    <n v="5175457.8430361701"/>
    <n v="18631648.234930199"/>
  </r>
  <r>
    <x v="0"/>
    <x v="2"/>
    <x v="2"/>
    <x v="10"/>
    <x v="21"/>
    <s v="UK_A"/>
    <x v="7"/>
    <x v="5"/>
    <s v="GNR_WT_WIND_ON_LS_Y-2020"/>
    <x v="0"/>
    <x v="7"/>
    <n v="14569.897180362201"/>
    <n v="5318012.4708322203"/>
    <n v="19144844.894995999"/>
  </r>
  <r>
    <x v="0"/>
    <x v="2"/>
    <x v="2"/>
    <x v="10"/>
    <x v="21"/>
    <s v="UK_A"/>
    <x v="7"/>
    <x v="5"/>
    <s v="GNR_WT_WIND_ON_LS_Y-2020"/>
    <x v="0"/>
    <x v="8"/>
    <n v="13980.7464084167"/>
    <n v="5102972.4390720902"/>
    <n v="18370700.780659501"/>
  </r>
  <r>
    <x v="0"/>
    <x v="2"/>
    <x v="2"/>
    <x v="10"/>
    <x v="21"/>
    <s v="UK_A"/>
    <x v="7"/>
    <x v="5"/>
    <s v="GNR_WT_WIND_ON_LS_Y-2020"/>
    <x v="0"/>
    <x v="9"/>
    <n v="12464.841613185899"/>
    <n v="4549667.1888128398"/>
    <n v="16378801.879726199"/>
  </r>
  <r>
    <x v="0"/>
    <x v="2"/>
    <x v="2"/>
    <x v="10"/>
    <x v="21"/>
    <s v="UK_A"/>
    <x v="7"/>
    <x v="5"/>
    <s v="GNR_WT_WIND_ON_LS_Y-2020"/>
    <x v="0"/>
    <x v="10"/>
    <n v="11313.0187556743"/>
    <n v="4129251.8458211101"/>
    <n v="14865306.644956"/>
  </r>
  <r>
    <x v="0"/>
    <x v="2"/>
    <x v="2"/>
    <x v="10"/>
    <x v="21"/>
    <s v="UK_A"/>
    <x v="7"/>
    <x v="5"/>
    <s v="GNR_WT_WIND_ON_LS_Y-2020"/>
    <x v="0"/>
    <x v="11"/>
    <n v="11174.0056521815"/>
    <n v="4078512.0630462598"/>
    <n v="14682643.4269665"/>
  </r>
  <r>
    <x v="0"/>
    <x v="2"/>
    <x v="2"/>
    <x v="10"/>
    <x v="21"/>
    <s v="UK_A"/>
    <x v="7"/>
    <x v="5"/>
    <s v="GNR_WT_WIND_ON_LS_Y-2020"/>
    <x v="0"/>
    <x v="12"/>
    <n v="10333.3073596299"/>
    <n v="3771657.1862649298"/>
    <n v="13577965.8705537"/>
  </r>
  <r>
    <x v="0"/>
    <x v="2"/>
    <x v="2"/>
    <x v="10"/>
    <x v="21"/>
    <s v="UK_A"/>
    <x v="7"/>
    <x v="5"/>
    <s v="GNR_WT_WIND_ON_LS_Y-2020"/>
    <x v="0"/>
    <x v="13"/>
    <n v="7745.0157660262903"/>
    <n v="2826930.7545995899"/>
    <n v="10176950.716558499"/>
  </r>
  <r>
    <x v="0"/>
    <x v="2"/>
    <x v="2"/>
    <x v="10"/>
    <x v="21"/>
    <s v="UK_A"/>
    <x v="7"/>
    <x v="5"/>
    <s v="GNR_WT_WIND_ON_LS_Y-2020"/>
    <x v="0"/>
    <x v="14"/>
    <n v="5778.9733023426897"/>
    <n v="2109325.2553550801"/>
    <n v="7593570.9192782901"/>
  </r>
  <r>
    <x v="0"/>
    <x v="2"/>
    <x v="2"/>
    <x v="10"/>
    <x v="21"/>
    <s v="UK_A"/>
    <x v="7"/>
    <x v="5"/>
    <s v="GNR_WT_WIND_ON_LS_Y-2020"/>
    <x v="0"/>
    <x v="15"/>
    <n v="4408.7012821995704"/>
    <n v="1609175.9680028399"/>
    <n v="5793033.4848102396"/>
  </r>
  <r>
    <x v="0"/>
    <x v="2"/>
    <x v="2"/>
    <x v="10"/>
    <x v="21"/>
    <s v="UK_A"/>
    <x v="7"/>
    <x v="5"/>
    <s v="GNR_WT_WIND_ON_LS_Y-2020"/>
    <x v="0"/>
    <x v="16"/>
    <n v="3534.9046316735298"/>
    <n v="1290240.1905608401"/>
    <n v="4644864.6860190202"/>
  </r>
  <r>
    <x v="0"/>
    <x v="2"/>
    <x v="2"/>
    <x v="10"/>
    <x v="21"/>
    <s v="UK_A"/>
    <x v="7"/>
    <x v="5"/>
    <s v="GNR_WT_WIND_ON_LS_Y-2020"/>
    <x v="0"/>
    <x v="17"/>
    <n v="3144.3440075747699"/>
    <n v="1147685.5627647899"/>
    <n v="4131668.0259532402"/>
  </r>
  <r>
    <x v="0"/>
    <x v="2"/>
    <x v="2"/>
    <x v="10"/>
    <x v="21"/>
    <s v="UK_A"/>
    <x v="7"/>
    <x v="5"/>
    <s v="GNR_WT_WIND_ON_LS_Y-2020"/>
    <x v="0"/>
    <x v="19"/>
    <n v="2925.8948449432601"/>
    <n v="1067951.6184042899"/>
    <n v="3844625.8262554398"/>
  </r>
  <r>
    <x v="0"/>
    <x v="2"/>
    <x v="2"/>
    <x v="10"/>
    <x v="21"/>
    <s v="UK_A"/>
    <x v="7"/>
    <x v="5"/>
    <s v="GNR_WT_WIND_ON_LS_Y-2020"/>
    <x v="0"/>
    <x v="20"/>
    <n v="3098.0063064105102"/>
    <n v="1130772.3018398399"/>
    <n v="4070780.2866234099"/>
  </r>
  <r>
    <x v="0"/>
    <x v="2"/>
    <x v="2"/>
    <x v="10"/>
    <x v="21"/>
    <s v="UK_A"/>
    <x v="7"/>
    <x v="5"/>
    <s v="GNR_WT_WIND_ON_LS_Y-2020"/>
    <x v="0"/>
    <x v="21"/>
    <n v="3587.8620044326799"/>
    <n v="1309569.63161793"/>
    <n v="4714450.6738245497"/>
  </r>
  <r>
    <x v="0"/>
    <x v="2"/>
    <x v="2"/>
    <x v="10"/>
    <x v="21"/>
    <s v="UK_A"/>
    <x v="7"/>
    <x v="5"/>
    <s v="GNR_WT_WIND_ON_LS_Y-2020"/>
    <x v="0"/>
    <x v="22"/>
    <n v="4223.3504775425399"/>
    <n v="1541522.9243030299"/>
    <n v="5549482.5274908897"/>
  </r>
  <r>
    <x v="0"/>
    <x v="2"/>
    <x v="2"/>
    <x v="10"/>
    <x v="21"/>
    <s v="UK_A"/>
    <x v="7"/>
    <x v="5"/>
    <s v="GNR_WT_WIND_ON_LS_Y-2020"/>
    <x v="0"/>
    <x v="23"/>
    <n v="4461.65865495873"/>
    <n v="1628505.4090599399"/>
    <n v="5862619.4726157701"/>
  </r>
  <r>
    <x v="0"/>
    <x v="2"/>
    <x v="2"/>
    <x v="10"/>
    <x v="21"/>
    <s v="UK_A"/>
    <x v="7"/>
    <x v="5"/>
    <s v="GNR_WT_WIND_ON_LS_Y-2030"/>
    <x v="0"/>
    <x v="0"/>
    <n v="12001.464601543301"/>
    <n v="4380534.5795632899"/>
    <n v="15769924.486427899"/>
  </r>
  <r>
    <x v="0"/>
    <x v="2"/>
    <x v="2"/>
    <x v="10"/>
    <x v="21"/>
    <s v="UK_A"/>
    <x v="7"/>
    <x v="5"/>
    <s v="GNR_WT_WIND_ON_LS_Y-2030"/>
    <x v="0"/>
    <x v="1"/>
    <n v="12517.798985945001"/>
    <n v="4568996.6298699304"/>
    <n v="16448387.8675317"/>
  </r>
  <r>
    <x v="0"/>
    <x v="2"/>
    <x v="2"/>
    <x v="10"/>
    <x v="21"/>
    <s v="UK_A"/>
    <x v="7"/>
    <x v="5"/>
    <s v="GNR_WT_WIND_ON_LS_Y-2030"/>
    <x v="0"/>
    <x v="18"/>
    <n v="13073.8513999161"/>
    <n v="4771955.7609693799"/>
    <n v="17179040.739489801"/>
  </r>
  <r>
    <x v="0"/>
    <x v="2"/>
    <x v="2"/>
    <x v="10"/>
    <x v="21"/>
    <s v="UK_A"/>
    <x v="7"/>
    <x v="5"/>
    <s v="GNR_WT_WIND_ON_LS_Y-2030"/>
    <x v="0"/>
    <x v="2"/>
    <n v="13663.002171861701"/>
    <n v="4986995.7927295398"/>
    <n v="17953184.853826299"/>
  </r>
  <r>
    <x v="0"/>
    <x v="2"/>
    <x v="2"/>
    <x v="10"/>
    <x v="21"/>
    <s v="UK_A"/>
    <x v="7"/>
    <x v="5"/>
    <s v="GNR_WT_WIND_ON_LS_Y-2030"/>
    <x v="0"/>
    <x v="3"/>
    <n v="13788.775932164701"/>
    <n v="5032903.21524012"/>
    <n v="18118451.574864499"/>
  </r>
  <r>
    <x v="0"/>
    <x v="2"/>
    <x v="2"/>
    <x v="10"/>
    <x v="21"/>
    <s v="UK_A"/>
    <x v="7"/>
    <x v="5"/>
    <s v="GNR_WT_WIND_ON_LS_Y-2030"/>
    <x v="0"/>
    <x v="4"/>
    <n v="13663.002171861701"/>
    <n v="4986995.7927295398"/>
    <n v="17953184.853826299"/>
  </r>
  <r>
    <x v="0"/>
    <x v="2"/>
    <x v="2"/>
    <x v="10"/>
    <x v="21"/>
    <s v="UK_A"/>
    <x v="7"/>
    <x v="5"/>
    <s v="GNR_WT_WIND_ON_LS_Y-2030"/>
    <x v="0"/>
    <x v="5"/>
    <n v="13802.015275354501"/>
    <n v="5037735.5755043896"/>
    <n v="18135848.0718158"/>
  </r>
  <r>
    <x v="0"/>
    <x v="2"/>
    <x v="2"/>
    <x v="10"/>
    <x v="21"/>
    <s v="UK_A"/>
    <x v="7"/>
    <x v="5"/>
    <s v="GNR_WT_WIND_ON_LS_Y-2030"/>
    <x v="0"/>
    <x v="6"/>
    <n v="14179.336556263501"/>
    <n v="5175457.8430361701"/>
    <n v="18631648.234930199"/>
  </r>
  <r>
    <x v="0"/>
    <x v="2"/>
    <x v="2"/>
    <x v="10"/>
    <x v="21"/>
    <s v="UK_A"/>
    <x v="7"/>
    <x v="5"/>
    <s v="GNR_WT_WIND_ON_LS_Y-2030"/>
    <x v="0"/>
    <x v="7"/>
    <n v="14569.897180362201"/>
    <n v="5318012.4708322203"/>
    <n v="19144844.894995999"/>
  </r>
  <r>
    <x v="0"/>
    <x v="2"/>
    <x v="2"/>
    <x v="10"/>
    <x v="21"/>
    <s v="UK_A"/>
    <x v="7"/>
    <x v="5"/>
    <s v="GNR_WT_WIND_ON_LS_Y-2030"/>
    <x v="0"/>
    <x v="8"/>
    <n v="13980.7464084167"/>
    <n v="5102972.4390720902"/>
    <n v="18370700.780659501"/>
  </r>
  <r>
    <x v="0"/>
    <x v="2"/>
    <x v="2"/>
    <x v="10"/>
    <x v="21"/>
    <s v="UK_A"/>
    <x v="7"/>
    <x v="5"/>
    <s v="GNR_WT_WIND_ON_LS_Y-2030"/>
    <x v="0"/>
    <x v="9"/>
    <n v="12464.841613185899"/>
    <n v="4549667.1888128398"/>
    <n v="16378801.879726199"/>
  </r>
  <r>
    <x v="0"/>
    <x v="2"/>
    <x v="2"/>
    <x v="10"/>
    <x v="21"/>
    <s v="UK_A"/>
    <x v="7"/>
    <x v="5"/>
    <s v="GNR_WT_WIND_ON_LS_Y-2030"/>
    <x v="0"/>
    <x v="10"/>
    <n v="11313.0187556743"/>
    <n v="4129251.8458211101"/>
    <n v="14865306.644956"/>
  </r>
  <r>
    <x v="0"/>
    <x v="2"/>
    <x v="2"/>
    <x v="10"/>
    <x v="21"/>
    <s v="UK_A"/>
    <x v="7"/>
    <x v="5"/>
    <s v="GNR_WT_WIND_ON_LS_Y-2030"/>
    <x v="0"/>
    <x v="11"/>
    <n v="11174.0056521815"/>
    <n v="4078512.0630462598"/>
    <n v="14682643.4269665"/>
  </r>
  <r>
    <x v="0"/>
    <x v="2"/>
    <x v="2"/>
    <x v="10"/>
    <x v="21"/>
    <s v="UK_A"/>
    <x v="7"/>
    <x v="5"/>
    <s v="GNR_WT_WIND_ON_LS_Y-2030"/>
    <x v="0"/>
    <x v="12"/>
    <n v="10333.3073596299"/>
    <n v="3771657.1862649298"/>
    <n v="13577965.8705537"/>
  </r>
  <r>
    <x v="0"/>
    <x v="2"/>
    <x v="2"/>
    <x v="10"/>
    <x v="21"/>
    <s v="UK_A"/>
    <x v="7"/>
    <x v="5"/>
    <s v="GNR_WT_WIND_ON_LS_Y-2030"/>
    <x v="0"/>
    <x v="13"/>
    <n v="7745.0157660262903"/>
    <n v="2826930.7545995899"/>
    <n v="10176950.716558499"/>
  </r>
  <r>
    <x v="0"/>
    <x v="2"/>
    <x v="2"/>
    <x v="10"/>
    <x v="21"/>
    <s v="UK_A"/>
    <x v="7"/>
    <x v="5"/>
    <s v="GNR_WT_WIND_ON_LS_Y-2030"/>
    <x v="0"/>
    <x v="14"/>
    <n v="5778.9733023426897"/>
    <n v="2109325.2553550801"/>
    <n v="7593570.9192782901"/>
  </r>
  <r>
    <x v="0"/>
    <x v="2"/>
    <x v="2"/>
    <x v="10"/>
    <x v="21"/>
    <s v="UK_A"/>
    <x v="7"/>
    <x v="5"/>
    <s v="GNR_WT_WIND_ON_LS_Y-2030"/>
    <x v="0"/>
    <x v="15"/>
    <n v="4408.7012821995704"/>
    <n v="1609175.9680028399"/>
    <n v="5793033.4848102396"/>
  </r>
  <r>
    <x v="0"/>
    <x v="2"/>
    <x v="2"/>
    <x v="10"/>
    <x v="21"/>
    <s v="UK_A"/>
    <x v="7"/>
    <x v="5"/>
    <s v="GNR_WT_WIND_ON_LS_Y-2030"/>
    <x v="0"/>
    <x v="16"/>
    <n v="3534.9046316735298"/>
    <n v="1290240.1905608401"/>
    <n v="4644864.6860190202"/>
  </r>
  <r>
    <x v="0"/>
    <x v="2"/>
    <x v="2"/>
    <x v="10"/>
    <x v="21"/>
    <s v="UK_A"/>
    <x v="7"/>
    <x v="5"/>
    <s v="GNR_WT_WIND_ON_LS_Y-2030"/>
    <x v="0"/>
    <x v="17"/>
    <n v="3144.3440075747699"/>
    <n v="1147685.5627647899"/>
    <n v="4131668.0259532402"/>
  </r>
  <r>
    <x v="0"/>
    <x v="2"/>
    <x v="2"/>
    <x v="10"/>
    <x v="21"/>
    <s v="UK_A"/>
    <x v="7"/>
    <x v="5"/>
    <s v="GNR_WT_WIND_ON_LS_Y-2030"/>
    <x v="0"/>
    <x v="19"/>
    <n v="2925.8948449432601"/>
    <n v="1067951.6184042899"/>
    <n v="3844625.8262554398"/>
  </r>
  <r>
    <x v="0"/>
    <x v="2"/>
    <x v="2"/>
    <x v="10"/>
    <x v="21"/>
    <s v="UK_A"/>
    <x v="7"/>
    <x v="5"/>
    <s v="GNR_WT_WIND_ON_LS_Y-2030"/>
    <x v="0"/>
    <x v="20"/>
    <n v="3098.0063064105102"/>
    <n v="1130772.3018398399"/>
    <n v="4070780.2866234099"/>
  </r>
  <r>
    <x v="0"/>
    <x v="2"/>
    <x v="2"/>
    <x v="10"/>
    <x v="21"/>
    <s v="UK_A"/>
    <x v="7"/>
    <x v="5"/>
    <s v="GNR_WT_WIND_ON_LS_Y-2030"/>
    <x v="0"/>
    <x v="21"/>
    <n v="3587.8620044326799"/>
    <n v="1309569.63161793"/>
    <n v="4714450.6738245497"/>
  </r>
  <r>
    <x v="0"/>
    <x v="2"/>
    <x v="2"/>
    <x v="10"/>
    <x v="21"/>
    <s v="UK_A"/>
    <x v="7"/>
    <x v="5"/>
    <s v="GNR_WT_WIND_ON_LS_Y-2030"/>
    <x v="0"/>
    <x v="22"/>
    <n v="4223.3504775425399"/>
    <n v="1541522.9243030299"/>
    <n v="5549482.5274908897"/>
  </r>
  <r>
    <x v="0"/>
    <x v="2"/>
    <x v="2"/>
    <x v="10"/>
    <x v="21"/>
    <s v="UK_A"/>
    <x v="7"/>
    <x v="5"/>
    <s v="GNR_WT_WIND_ON_LS_Y-2030"/>
    <x v="0"/>
    <x v="23"/>
    <n v="4461.65865495873"/>
    <n v="1628505.4090599399"/>
    <n v="5862619.4726157701"/>
  </r>
  <r>
    <x v="0"/>
    <x v="2"/>
    <x v="2"/>
    <x v="10"/>
    <x v="21"/>
    <s v="UK_Offshore"/>
    <x v="7"/>
    <x v="5"/>
    <s v="GNR_WT_WIND_OFF"/>
    <x v="0"/>
    <x v="0"/>
    <n v="2148.8929378575799"/>
    <n v="784345.92231801595"/>
    <n v="2823645.3203448602"/>
  </r>
  <r>
    <x v="0"/>
    <x v="2"/>
    <x v="2"/>
    <x v="10"/>
    <x v="21"/>
    <s v="UK_Offshore"/>
    <x v="7"/>
    <x v="5"/>
    <s v="GNR_WT_WIND_OFF"/>
    <x v="0"/>
    <x v="1"/>
    <n v="2241.3439302198999"/>
    <n v="818090.534530262"/>
    <n v="2945125.9243089398"/>
  </r>
  <r>
    <x v="0"/>
    <x v="2"/>
    <x v="2"/>
    <x v="10"/>
    <x v="21"/>
    <s v="UK_Offshore"/>
    <x v="7"/>
    <x v="5"/>
    <s v="GNR_WT_WIND_OFF"/>
    <x v="0"/>
    <x v="18"/>
    <n v="2340.9065373793201"/>
    <n v="854430.88614345202"/>
    <n v="3075951.1901164302"/>
  </r>
  <r>
    <x v="0"/>
    <x v="2"/>
    <x v="2"/>
    <x v="10"/>
    <x v="21"/>
    <s v="UK_Offshore"/>
    <x v="7"/>
    <x v="5"/>
    <s v="GNR_WT_WIND_OFF"/>
    <x v="0"/>
    <x v="2"/>
    <n v="2446.395490203"/>
    <n v="892934.35392409598"/>
    <n v="3214563.6741267499"/>
  </r>
  <r>
    <x v="0"/>
    <x v="2"/>
    <x v="2"/>
    <x v="10"/>
    <x v="21"/>
    <s v="UK_Offshore"/>
    <x v="7"/>
    <x v="5"/>
    <s v="GNR_WT_WIND_OFF"/>
    <x v="0"/>
    <x v="3"/>
    <n v="2468.91560372716"/>
    <n v="901154.19536041201"/>
    <n v="3244155.1032974799"/>
  </r>
  <r>
    <x v="0"/>
    <x v="2"/>
    <x v="2"/>
    <x v="10"/>
    <x v="21"/>
    <s v="UK_Offshore"/>
    <x v="7"/>
    <x v="5"/>
    <s v="GNR_WT_WIND_OFF"/>
    <x v="0"/>
    <x v="4"/>
    <n v="2446.395490203"/>
    <n v="892934.35392409598"/>
    <n v="3214563.6741267499"/>
  </r>
  <r>
    <x v="0"/>
    <x v="2"/>
    <x v="2"/>
    <x v="10"/>
    <x v="21"/>
    <s v="UK_Offshore"/>
    <x v="7"/>
    <x v="5"/>
    <s v="GNR_WT_WIND_OFF"/>
    <x v="0"/>
    <x v="5"/>
    <n v="2471.2861419928499"/>
    <n v="902019.44182739197"/>
    <n v="3247269.99057861"/>
  </r>
  <r>
    <x v="0"/>
    <x v="2"/>
    <x v="2"/>
    <x v="10"/>
    <x v="21"/>
    <s v="UK_Offshore"/>
    <x v="7"/>
    <x v="5"/>
    <s v="GNR_WT_WIND_OFF"/>
    <x v="0"/>
    <x v="6"/>
    <n v="2538.84648256532"/>
    <n v="926678.96613634296"/>
    <n v="3336044.27809083"/>
  </r>
  <r>
    <x v="0"/>
    <x v="2"/>
    <x v="2"/>
    <x v="10"/>
    <x v="21"/>
    <s v="UK_Offshore"/>
    <x v="7"/>
    <x v="5"/>
    <s v="GNR_WT_WIND_OFF"/>
    <x v="0"/>
    <x v="7"/>
    <n v="2608.77736140349"/>
    <n v="952203.73691227403"/>
    <n v="3427933.4528841898"/>
  </r>
  <r>
    <x v="0"/>
    <x v="2"/>
    <x v="2"/>
    <x v="10"/>
    <x v="21"/>
    <s v="UK_Offshore"/>
    <x v="7"/>
    <x v="5"/>
    <s v="GNR_WT_WIND_OFF"/>
    <x v="0"/>
    <x v="8"/>
    <n v="2503.28840857982"/>
    <n v="913700.26913163404"/>
    <n v="3289320.9688738799"/>
  </r>
  <r>
    <x v="0"/>
    <x v="2"/>
    <x v="2"/>
    <x v="10"/>
    <x v="21"/>
    <s v="UK_Offshore"/>
    <x v="7"/>
    <x v="5"/>
    <s v="GNR_WT_WIND_OFF"/>
    <x v="0"/>
    <x v="9"/>
    <n v="2231.8617771570998"/>
    <n v="814629.54866234004"/>
    <n v="2932666.37518442"/>
  </r>
  <r>
    <x v="0"/>
    <x v="2"/>
    <x v="2"/>
    <x v="10"/>
    <x v="21"/>
    <s v="UK_Offshore"/>
    <x v="7"/>
    <x v="5"/>
    <s v="GNR_WT_WIND_OFF"/>
    <x v="0"/>
    <x v="10"/>
    <n v="2025.62494804115"/>
    <n v="739353.10603501904"/>
    <n v="2661671.1817260701"/>
  </r>
  <r>
    <x v="0"/>
    <x v="2"/>
    <x v="2"/>
    <x v="10"/>
    <x v="21"/>
    <s v="UK_Offshore"/>
    <x v="7"/>
    <x v="5"/>
    <s v="GNR_WT_WIND_OFF"/>
    <x v="0"/>
    <x v="11"/>
    <n v="2000.7342962513001"/>
    <n v="730268.01813172305"/>
    <n v="2628964.8652742002"/>
  </r>
  <r>
    <x v="0"/>
    <x v="2"/>
    <x v="2"/>
    <x v="10"/>
    <x v="21"/>
    <s v="UK_Offshore"/>
    <x v="7"/>
    <x v="5"/>
    <s v="GNR_WT_WIND_OFF"/>
    <x v="0"/>
    <x v="12"/>
    <n v="1850.2051163793101"/>
    <n v="675324.86747844703"/>
    <n v="2431169.5229224102"/>
  </r>
  <r>
    <x v="0"/>
    <x v="2"/>
    <x v="2"/>
    <x v="10"/>
    <x v="21"/>
    <s v="UK_Offshore"/>
    <x v="7"/>
    <x v="5"/>
    <s v="GNR_WT_WIND_OFF"/>
    <x v="0"/>
    <x v="13"/>
    <n v="1386.7648854348399"/>
    <n v="506169.18318371801"/>
    <n v="1822209.0594613799"/>
  </r>
  <r>
    <x v="0"/>
    <x v="2"/>
    <x v="2"/>
    <x v="10"/>
    <x v="21"/>
    <s v="UK_Offshore"/>
    <x v="7"/>
    <x v="5"/>
    <s v="GNR_WT_WIND_OFF"/>
    <x v="0"/>
    <x v="14"/>
    <n v="1034.7399529782999"/>
    <n v="377680.08283708099"/>
    <n v="1359648.2982134901"/>
  </r>
  <r>
    <x v="0"/>
    <x v="2"/>
    <x v="2"/>
    <x v="10"/>
    <x v="21"/>
    <s v="UK_Offshore"/>
    <x v="7"/>
    <x v="5"/>
    <s v="GNR_WT_WIND_OFF"/>
    <x v="0"/>
    <x v="15"/>
    <n v="789.38924247829402"/>
    <n v="288127.07350457698"/>
    <n v="1037257.4646164801"/>
  </r>
  <r>
    <x v="0"/>
    <x v="2"/>
    <x v="2"/>
    <x v="10"/>
    <x v="21"/>
    <s v="UK_Offshore"/>
    <x v="7"/>
    <x v="5"/>
    <s v="GNR_WT_WIND_OFF"/>
    <x v="0"/>
    <x v="16"/>
    <n v="632.93371694205598"/>
    <n v="231020.806683851"/>
    <n v="831674.90406186203"/>
  </r>
  <r>
    <x v="0"/>
    <x v="2"/>
    <x v="2"/>
    <x v="10"/>
    <x v="21"/>
    <s v="UK_Offshore"/>
    <x v="7"/>
    <x v="5"/>
    <s v="GNR_WT_WIND_OFF"/>
    <x v="0"/>
    <x v="17"/>
    <n v="563.00283810388805"/>
    <n v="205496.03590791899"/>
    <n v="739785.72926850896"/>
  </r>
  <r>
    <x v="0"/>
    <x v="2"/>
    <x v="2"/>
    <x v="10"/>
    <x v="21"/>
    <s v="UK_Offshore"/>
    <x v="7"/>
    <x v="5"/>
    <s v="GNR_WT_WIND_OFF"/>
    <x v="0"/>
    <x v="19"/>
    <n v="523.88895671982903"/>
    <n v="191219.46920273799"/>
    <n v="688390.08912985597"/>
  </r>
  <r>
    <x v="0"/>
    <x v="2"/>
    <x v="2"/>
    <x v="10"/>
    <x v="21"/>
    <s v="UK_Offshore"/>
    <x v="7"/>
    <x v="5"/>
    <s v="GNR_WT_WIND_OFF"/>
    <x v="0"/>
    <x v="20"/>
    <n v="554.70595417393599"/>
    <n v="202467.67327348699"/>
    <n v="728883.62378455198"/>
  </r>
  <r>
    <x v="0"/>
    <x v="2"/>
    <x v="2"/>
    <x v="10"/>
    <x v="21"/>
    <s v="UK_Offshore"/>
    <x v="7"/>
    <x v="5"/>
    <s v="GNR_WT_WIND_OFF"/>
    <x v="0"/>
    <x v="21"/>
    <n v="642.41587000485799"/>
    <n v="234481.79255177299"/>
    <n v="844134.45318638301"/>
  </r>
  <r>
    <x v="0"/>
    <x v="2"/>
    <x v="2"/>
    <x v="10"/>
    <x v="21"/>
    <s v="UK_Offshore"/>
    <x v="7"/>
    <x v="5"/>
    <s v="GNR_WT_WIND_OFF"/>
    <x v="0"/>
    <x v="22"/>
    <n v="756.20170675848601"/>
    <n v="276013.62296684802"/>
    <n v="993649.04268065095"/>
  </r>
  <r>
    <x v="0"/>
    <x v="2"/>
    <x v="2"/>
    <x v="10"/>
    <x v="21"/>
    <s v="UK_Offshore"/>
    <x v="7"/>
    <x v="5"/>
    <s v="GNR_WT_WIND_OFF"/>
    <x v="0"/>
    <x v="23"/>
    <n v="798.87139554109694"/>
    <n v="291588.05937249999"/>
    <n v="1049717.0137410001"/>
  </r>
</pivotCacheRecords>
</file>

<file path=xl/pivotCache/pivotCacheRecords18.xml><?xml version="1.0" encoding="utf-8"?>
<pivotCacheRecords xmlns="http://schemas.openxmlformats.org/spreadsheetml/2006/main" xmlns:r="http://schemas.openxmlformats.org/officeDocument/2006/relationships" count="11">
  <r>
    <x v="0"/>
    <x v="0"/>
    <x v="0"/>
  </r>
  <r>
    <x v="0"/>
    <x v="0"/>
    <x v="1"/>
  </r>
  <r>
    <x v="0"/>
    <x v="0"/>
    <x v="2"/>
  </r>
  <r>
    <x v="0"/>
    <x v="0"/>
    <x v="3"/>
  </r>
  <r>
    <x v="0"/>
    <x v="0"/>
    <x v="4"/>
  </r>
  <r>
    <x v="0"/>
    <x v="0"/>
    <x v="5"/>
  </r>
  <r>
    <x v="0"/>
    <x v="0"/>
    <x v="6"/>
  </r>
  <r>
    <x v="0"/>
    <x v="0"/>
    <x v="7"/>
  </r>
  <r>
    <x v="0"/>
    <x v="0"/>
    <x v="8"/>
  </r>
  <r>
    <x v="0"/>
    <x v="0"/>
    <x v="9"/>
  </r>
  <r>
    <x v="0"/>
    <x v="0"/>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pivotTable1.xml><?xml version="1.0" encoding="utf-8"?>
<pivotTableDefinition xmlns="http://schemas.openxmlformats.org/spreadsheetml/2006/main" name="PivotTable1" cacheId="1161"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rowHeaderCaption="Country" fieldListSortAscending="1">
  <location ref="G14:G25" firstHeaderRow="1" firstDataRow="1" firstDataCol="1"/>
  <pivotFields count="3">
    <pivotField showAll="0" defaultSubtotal="0"/>
    <pivotField showAll="0" defaultSubtotal="0"/>
    <pivotField axis="axisRow" showAll="0" defaultSubtotal="0">
      <items count="11">
        <item x="1"/>
        <item x="0"/>
        <item x="3"/>
        <item x="5"/>
        <item x="2"/>
        <item x="4"/>
        <item x="6"/>
        <item x="7"/>
        <item x="8"/>
        <item x="9"/>
        <item x="10"/>
      </items>
    </pivotField>
  </pivotFields>
  <rowFields count="1">
    <field x="2"/>
  </rowFields>
  <rowItems count="11">
    <i>
      <x/>
    </i>
    <i>
      <x v="1"/>
    </i>
    <i>
      <x v="2"/>
    </i>
    <i>
      <x v="3"/>
    </i>
    <i>
      <x v="4"/>
    </i>
    <i>
      <x v="5"/>
    </i>
    <i>
      <x v="6"/>
    </i>
    <i>
      <x v="7"/>
    </i>
    <i>
      <x v="8"/>
    </i>
    <i>
      <x v="9"/>
    </i>
    <i>
      <x v="10"/>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1149"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4:I31" firstHeaderRow="1" firstDataRow="3" firstDataCol="4" rowPageCount="1" colPageCount="1"/>
  <pivotFields count="8">
    <pivotField axis="axisCol"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sortType="ascending"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Page" compact="0" outline="0" showAll="0" defaultSubtotal="0">
      <items count="11">
        <item x="0"/>
        <item x="3"/>
        <item x="7"/>
        <item x="9"/>
        <item x="6"/>
        <item x="10"/>
        <item x="1"/>
        <item x="4"/>
        <item x="5"/>
        <item x="8"/>
        <item x="2"/>
      </items>
      <extLst>
        <ext xmlns:x14="http://schemas.microsoft.com/office/spreadsheetml/2009/9/main" uri="{2946ED86-A175-432a-8AC1-64E0C546D7DE}">
          <x14:pivotField fillDownLabels="1"/>
        </ext>
      </extLst>
    </pivotField>
    <pivotField axis="axisCol" compact="0" outline="0" showAll="0" sortType="ascending" defaultSubtotal="0">
      <items count="22">
        <item h="1" x="4"/>
        <item h="1" x="5"/>
        <item h="1" x="6"/>
        <item h="1" x="7"/>
        <item x="0"/>
        <item h="1" x="1"/>
        <item x="2"/>
        <item h="1" x="3"/>
        <item h="1" x="9"/>
        <item h="1" x="8"/>
        <item h="1" x="10"/>
        <item h="1" x="11"/>
        <item h="1" x="12"/>
        <item x="13"/>
        <item h="1" x="14"/>
        <item h="1" x="15"/>
        <item h="1" x="16"/>
        <item h="1" x="17"/>
        <item h="1" x="18"/>
        <item h="1" x="19"/>
        <item h="1" x="20"/>
        <item h="1" x="21"/>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4">
    <field x="1"/>
    <field x="2"/>
    <field x="5"/>
    <field x="6"/>
  </rowFields>
  <rowItems count="25">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t="grand">
      <x/>
    </i>
  </rowItems>
  <colFields count="2">
    <field x="0"/>
    <field x="4"/>
  </colFields>
  <colItems count="4">
    <i>
      <x/>
      <x v="4"/>
    </i>
    <i r="1">
      <x v="6"/>
    </i>
    <i r="1">
      <x v="13"/>
    </i>
    <i t="grand">
      <x/>
    </i>
  </colItems>
  <pageFields count="1">
    <pageField fld="3" hier="-1"/>
  </pageFields>
  <dataFields count="1">
    <dataField name="Average of OMONEY/MWh" fld="7" subtotal="average" baseField="4" baseItem="0"/>
  </dataFields>
  <chartFormats count="22">
    <chartFormat chart="1" format="3" series="1">
      <pivotArea type="data" outline="0" fieldPosition="0">
        <references count="1">
          <reference field="4294967294" count="1" selected="0">
            <x v="0"/>
          </reference>
        </references>
      </pivotArea>
    </chartFormat>
    <chartFormat chart="1" format="124" series="1">
      <pivotArea type="data" outline="0" fieldPosition="0">
        <references count="2">
          <reference field="4294967294" count="1" selected="0">
            <x v="0"/>
          </reference>
          <reference field="4" count="1" selected="0">
            <x v="4"/>
          </reference>
        </references>
      </pivotArea>
    </chartFormat>
    <chartFormat chart="1" format="125" series="1">
      <pivotArea type="data" outline="0" fieldPosition="0">
        <references count="2">
          <reference field="4294967294" count="1" selected="0">
            <x v="0"/>
          </reference>
          <reference field="4" count="1" selected="0">
            <x v="5"/>
          </reference>
        </references>
      </pivotArea>
    </chartFormat>
    <chartFormat chart="1" format="165" series="1">
      <pivotArea type="data" outline="0" fieldPosition="0">
        <references count="4">
          <reference field="4294967294" count="1" selected="0">
            <x v="0"/>
          </reference>
          <reference field="0" count="1" selected="0">
            <x v="0"/>
          </reference>
          <reference field="3" count="1" selected="0">
            <x v="0"/>
          </reference>
          <reference field="4" count="1" selected="0">
            <x v="4"/>
          </reference>
        </references>
      </pivotArea>
    </chartFormat>
    <chartFormat chart="1" format="166" series="1">
      <pivotArea type="data" outline="0" fieldPosition="0">
        <references count="4">
          <reference field="4294967294" count="1" selected="0">
            <x v="0"/>
          </reference>
          <reference field="0" count="1" selected="0">
            <x v="0"/>
          </reference>
          <reference field="3" count="1" selected="0">
            <x v="0"/>
          </reference>
          <reference field="4" count="1" selected="0">
            <x v="5"/>
          </reference>
        </references>
      </pivotArea>
    </chartFormat>
    <chartFormat chart="1" format="167" series="1">
      <pivotArea type="data" outline="0" fieldPosition="0">
        <references count="4">
          <reference field="4294967294" count="1" selected="0">
            <x v="0"/>
          </reference>
          <reference field="0" count="1" selected="0">
            <x v="0"/>
          </reference>
          <reference field="3" count="1" selected="0">
            <x v="1"/>
          </reference>
          <reference field="4" count="1" selected="0">
            <x v="2"/>
          </reference>
        </references>
      </pivotArea>
    </chartFormat>
    <chartFormat chart="1" format="168" series="1">
      <pivotArea type="data" outline="0" fieldPosition="0">
        <references count="4">
          <reference field="4294967294" count="1" selected="0">
            <x v="0"/>
          </reference>
          <reference field="0" count="1" selected="0">
            <x v="0"/>
          </reference>
          <reference field="3" count="1" selected="0">
            <x v="1"/>
          </reference>
          <reference field="4" count="1" selected="0">
            <x v="3"/>
          </reference>
        </references>
      </pivotArea>
    </chartFormat>
    <chartFormat chart="1" format="169" series="1">
      <pivotArea type="data" outline="0" fieldPosition="0">
        <references count="4">
          <reference field="4294967294" count="1" selected="0">
            <x v="0"/>
          </reference>
          <reference field="0" count="1" selected="0">
            <x v="0"/>
          </reference>
          <reference field="3" count="1" selected="0">
            <x v="2"/>
          </reference>
          <reference field="4" count="1" selected="0">
            <x v="11"/>
          </reference>
        </references>
      </pivotArea>
    </chartFormat>
    <chartFormat chart="1" format="170" series="1">
      <pivotArea type="data" outline="0" fieldPosition="0">
        <references count="4">
          <reference field="4294967294" count="1" selected="0">
            <x v="0"/>
          </reference>
          <reference field="0" count="1" selected="0">
            <x v="0"/>
          </reference>
          <reference field="3" count="1" selected="0">
            <x v="2"/>
          </reference>
          <reference field="4" count="1" selected="0">
            <x v="12"/>
          </reference>
        </references>
      </pivotArea>
    </chartFormat>
    <chartFormat chart="1" format="171" series="1">
      <pivotArea type="data" outline="0" fieldPosition="0">
        <references count="4">
          <reference field="4294967294" count="1" selected="0">
            <x v="0"/>
          </reference>
          <reference field="0" count="1" selected="0">
            <x v="0"/>
          </reference>
          <reference field="3" count="1" selected="0">
            <x v="2"/>
          </reference>
          <reference field="4" count="1" selected="0">
            <x v="13"/>
          </reference>
        </references>
      </pivotArea>
    </chartFormat>
    <chartFormat chart="1" format="172" series="1">
      <pivotArea type="data" outline="0" fieldPosition="0">
        <references count="4">
          <reference field="4294967294" count="1" selected="0">
            <x v="0"/>
          </reference>
          <reference field="0" count="1" selected="0">
            <x v="0"/>
          </reference>
          <reference field="3" count="1" selected="0">
            <x v="2"/>
          </reference>
          <reference field="4" count="1" selected="0">
            <x v="14"/>
          </reference>
        </references>
      </pivotArea>
    </chartFormat>
    <chartFormat chart="1" format="173" series="1">
      <pivotArea type="data" outline="0" fieldPosition="0">
        <references count="4">
          <reference field="4294967294" count="1" selected="0">
            <x v="0"/>
          </reference>
          <reference field="0" count="1" selected="0">
            <x v="0"/>
          </reference>
          <reference field="3" count="1" selected="0">
            <x v="2"/>
          </reference>
          <reference field="4" count="1" selected="0">
            <x v="15"/>
          </reference>
        </references>
      </pivotArea>
    </chartFormat>
    <chartFormat chart="1" format="174" series="1">
      <pivotArea type="data" outline="0" fieldPosition="0">
        <references count="4">
          <reference field="4294967294" count="1" selected="0">
            <x v="0"/>
          </reference>
          <reference field="0" count="1" selected="0">
            <x v="0"/>
          </reference>
          <reference field="3" count="1" selected="0">
            <x v="3"/>
          </reference>
          <reference field="4" count="1" selected="0">
            <x v="17"/>
          </reference>
        </references>
      </pivotArea>
    </chartFormat>
    <chartFormat chart="1" format="175" series="1">
      <pivotArea type="data" outline="0" fieldPosition="0">
        <references count="4">
          <reference field="4294967294" count="1" selected="0">
            <x v="0"/>
          </reference>
          <reference field="0" count="1" selected="0">
            <x v="0"/>
          </reference>
          <reference field="3" count="1" selected="0">
            <x v="3"/>
          </reference>
          <reference field="4" count="1" selected="0">
            <x v="18"/>
          </reference>
        </references>
      </pivotArea>
    </chartFormat>
    <chartFormat chart="1" format="176" series="1">
      <pivotArea type="data" outline="0" fieldPosition="0">
        <references count="4">
          <reference field="4294967294" count="1" selected="0">
            <x v="0"/>
          </reference>
          <reference field="0" count="1" selected="0">
            <x v="0"/>
          </reference>
          <reference field="3" count="1" selected="0">
            <x v="3"/>
          </reference>
          <reference field="4" count="1" selected="0">
            <x v="19"/>
          </reference>
        </references>
      </pivotArea>
    </chartFormat>
    <chartFormat chart="1" format="177" series="1">
      <pivotArea type="data" outline="0" fieldPosition="0">
        <references count="4">
          <reference field="4294967294" count="1" selected="0">
            <x v="0"/>
          </reference>
          <reference field="0" count="1" selected="0">
            <x v="0"/>
          </reference>
          <reference field="3" count="1" selected="0">
            <x v="3"/>
          </reference>
          <reference field="4" count="1" selected="0">
            <x v="20"/>
          </reference>
        </references>
      </pivotArea>
    </chartFormat>
    <chartFormat chart="1" format="178" series="1">
      <pivotArea type="data" outline="0" fieldPosition="0">
        <references count="4">
          <reference field="4294967294" count="1" selected="0">
            <x v="0"/>
          </reference>
          <reference field="0" count="1" selected="0">
            <x v="0"/>
          </reference>
          <reference field="3" count="1" selected="0">
            <x v="1"/>
          </reference>
          <reference field="4" count="1" selected="0">
            <x v="0"/>
          </reference>
        </references>
      </pivotArea>
    </chartFormat>
    <chartFormat chart="1" format="179" series="1">
      <pivotArea type="data" outline="0" fieldPosition="0">
        <references count="4">
          <reference field="4294967294" count="1" selected="0">
            <x v="0"/>
          </reference>
          <reference field="0" count="1" selected="0">
            <x v="0"/>
          </reference>
          <reference field="3" count="1" selected="0">
            <x v="1"/>
          </reference>
          <reference field="4" count="1" selected="0">
            <x v="1"/>
          </reference>
        </references>
      </pivotArea>
    </chartFormat>
    <chartFormat chart="1" format="188" series="1">
      <pivotArea type="data" outline="0" fieldPosition="0">
        <references count="4">
          <reference field="4294967294" count="1" selected="0">
            <x v="0"/>
          </reference>
          <reference field="0" count="1" selected="0">
            <x v="0"/>
          </reference>
          <reference field="3" count="1" selected="0">
            <x v="5"/>
          </reference>
          <reference field="4" count="1" selected="0">
            <x v="21"/>
          </reference>
        </references>
      </pivotArea>
    </chartFormat>
    <chartFormat chart="1" format="189" series="1">
      <pivotArea type="data" outline="0" fieldPosition="0">
        <references count="3">
          <reference field="4294967294" count="1" selected="0">
            <x v="0"/>
          </reference>
          <reference field="0" count="1" selected="0">
            <x v="0"/>
          </reference>
          <reference field="4" count="1" selected="0">
            <x v="6"/>
          </reference>
        </references>
      </pivotArea>
    </chartFormat>
    <chartFormat chart="1" format="190" series="1">
      <pivotArea type="data" outline="0" fieldPosition="0">
        <references count="3">
          <reference field="4294967294" count="1" selected="0">
            <x v="0"/>
          </reference>
          <reference field="0" count="1" selected="0">
            <x v="0"/>
          </reference>
          <reference field="4" count="1" selected="0">
            <x v="13"/>
          </reference>
        </references>
      </pivotArea>
    </chartFormat>
    <chartFormat chart="1" format="191" series="1">
      <pivotArea type="data" outline="0" fieldPosition="0">
        <references count="3">
          <reference field="4294967294" count="1" selected="0">
            <x v="0"/>
          </reference>
          <reference field="0" count="1" selected="0">
            <x v="0"/>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1" cacheId="1157"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5:BB31" firstHeaderRow="1" firstDataRow="2" firstDataCol="4" rowPageCount="2" colPageCount="1"/>
  <pivotFields count="10">
    <pivotField axis="axisPage"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Page" compact="0" outline="0" showAll="0" defaultSubtotal="0">
      <items count="7">
        <item x="0"/>
        <item x="4"/>
        <item x="6"/>
        <item x="3"/>
        <item x="1"/>
        <item x="5"/>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48">
        <item x="0"/>
        <item x="1"/>
        <item x="2"/>
        <item x="3"/>
        <item x="4"/>
        <item x="5"/>
        <item x="6"/>
        <item x="7"/>
        <item x="8"/>
        <item x="9"/>
        <item x="27"/>
        <item x="28"/>
        <item x="29"/>
        <item x="30"/>
        <item x="31"/>
        <item x="32"/>
        <item x="33"/>
        <item x="35"/>
        <item x="36"/>
        <item x="37"/>
        <item x="38"/>
        <item x="39"/>
        <item x="40"/>
        <item x="41"/>
        <item x="42"/>
        <item x="43"/>
        <item x="44"/>
        <item x="45"/>
        <item x="46"/>
        <item x="47"/>
        <item x="23"/>
        <item x="24"/>
        <item x="25"/>
        <item x="26"/>
        <item x="10"/>
        <item x="11"/>
        <item x="12"/>
        <item x="13"/>
        <item x="14"/>
        <item x="15"/>
        <item x="34"/>
        <item x="16"/>
        <item x="17"/>
        <item x="18"/>
        <item x="19"/>
        <item x="20"/>
        <item x="21"/>
        <item x="22"/>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4">
    <field x="1"/>
    <field x="2"/>
    <field x="6"/>
    <field x="7"/>
  </rowFields>
  <rowItems count="25">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t="grand">
      <x/>
    </i>
  </rowItems>
  <colFields count="1">
    <field x="5"/>
  </colFields>
  <colItems count="4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t="grand">
      <x/>
    </i>
  </colItems>
  <pageFields count="2">
    <pageField fld="0" hier="-1"/>
    <pageField fld="3" hier="-1"/>
  </pageFields>
  <dataFields count="1">
    <dataField name="Sum of OMONEY/MWh" fld="9" baseField="0" baseItem="0"/>
  </dataFields>
  <chartFormats count="49">
    <chartFormat chart="1" format="2" series="1">
      <pivotArea type="data" outline="0" fieldPosition="0">
        <references count="1">
          <reference field="4294967294" count="1" selected="0">
            <x v="0"/>
          </reference>
        </references>
      </pivotArea>
    </chartFormat>
    <chartFormat chart="1" format="90" series="1">
      <pivotArea type="data" outline="0" fieldPosition="0">
        <references count="2">
          <reference field="4294967294" count="1" selected="0">
            <x v="0"/>
          </reference>
          <reference field="5" count="1" selected="0">
            <x v="0"/>
          </reference>
        </references>
      </pivotArea>
    </chartFormat>
    <chartFormat chart="1" format="91" series="1">
      <pivotArea type="data" outline="0" fieldPosition="0">
        <references count="2">
          <reference field="4294967294" count="1" selected="0">
            <x v="0"/>
          </reference>
          <reference field="5" count="1" selected="0">
            <x v="1"/>
          </reference>
        </references>
      </pivotArea>
    </chartFormat>
    <chartFormat chart="1" format="92" series="1">
      <pivotArea type="data" outline="0" fieldPosition="0">
        <references count="2">
          <reference field="4294967294" count="1" selected="0">
            <x v="0"/>
          </reference>
          <reference field="5" count="1" selected="0">
            <x v="2"/>
          </reference>
        </references>
      </pivotArea>
    </chartFormat>
    <chartFormat chart="1" format="93" series="1">
      <pivotArea type="data" outline="0" fieldPosition="0">
        <references count="2">
          <reference field="4294967294" count="1" selected="0">
            <x v="0"/>
          </reference>
          <reference field="5" count="1" selected="0">
            <x v="3"/>
          </reference>
        </references>
      </pivotArea>
    </chartFormat>
    <chartFormat chart="1" format="94" series="1">
      <pivotArea type="data" outline="0" fieldPosition="0">
        <references count="2">
          <reference field="4294967294" count="1" selected="0">
            <x v="0"/>
          </reference>
          <reference field="5" count="1" selected="0">
            <x v="4"/>
          </reference>
        </references>
      </pivotArea>
    </chartFormat>
    <chartFormat chart="1" format="95" series="1">
      <pivotArea type="data" outline="0" fieldPosition="0">
        <references count="2">
          <reference field="4294967294" count="1" selected="0">
            <x v="0"/>
          </reference>
          <reference field="5" count="1" selected="0">
            <x v="5"/>
          </reference>
        </references>
      </pivotArea>
    </chartFormat>
    <chartFormat chart="1" format="96" series="1">
      <pivotArea type="data" outline="0" fieldPosition="0">
        <references count="2">
          <reference field="4294967294" count="1" selected="0">
            <x v="0"/>
          </reference>
          <reference field="5" count="1" selected="0">
            <x v="6"/>
          </reference>
        </references>
      </pivotArea>
    </chartFormat>
    <chartFormat chart="1" format="97" series="1">
      <pivotArea type="data" outline="0" fieldPosition="0">
        <references count="2">
          <reference field="4294967294" count="1" selected="0">
            <x v="0"/>
          </reference>
          <reference field="5" count="1" selected="0">
            <x v="7"/>
          </reference>
        </references>
      </pivotArea>
    </chartFormat>
    <chartFormat chart="1" format="98" series="1">
      <pivotArea type="data" outline="0" fieldPosition="0">
        <references count="2">
          <reference field="4294967294" count="1" selected="0">
            <x v="0"/>
          </reference>
          <reference field="5" count="1" selected="0">
            <x v="8"/>
          </reference>
        </references>
      </pivotArea>
    </chartFormat>
    <chartFormat chart="1" format="99" series="1">
      <pivotArea type="data" outline="0" fieldPosition="0">
        <references count="2">
          <reference field="4294967294" count="1" selected="0">
            <x v="0"/>
          </reference>
          <reference field="5" count="1" selected="0">
            <x v="9"/>
          </reference>
        </references>
      </pivotArea>
    </chartFormat>
    <chartFormat chart="1" format="120" series="1">
      <pivotArea type="data" outline="0" fieldPosition="0">
        <references count="2">
          <reference field="4294967294" count="1" selected="0">
            <x v="0"/>
          </reference>
          <reference field="5" count="1" selected="0">
            <x v="10"/>
          </reference>
        </references>
      </pivotArea>
    </chartFormat>
    <chartFormat chart="1" format="121" series="1">
      <pivotArea type="data" outline="0" fieldPosition="0">
        <references count="2">
          <reference field="4294967294" count="1" selected="0">
            <x v="0"/>
          </reference>
          <reference field="5" count="1" selected="0">
            <x v="11"/>
          </reference>
        </references>
      </pivotArea>
    </chartFormat>
    <chartFormat chart="1" format="122" series="1">
      <pivotArea type="data" outline="0" fieldPosition="0">
        <references count="2">
          <reference field="4294967294" count="1" selected="0">
            <x v="0"/>
          </reference>
          <reference field="5" count="1" selected="0">
            <x v="12"/>
          </reference>
        </references>
      </pivotArea>
    </chartFormat>
    <chartFormat chart="1" format="123" series="1">
      <pivotArea type="data" outline="0" fieldPosition="0">
        <references count="2">
          <reference field="4294967294" count="1" selected="0">
            <x v="0"/>
          </reference>
          <reference field="5" count="1" selected="0">
            <x v="13"/>
          </reference>
        </references>
      </pivotArea>
    </chartFormat>
    <chartFormat chart="1" format="124" series="1">
      <pivotArea type="data" outline="0" fieldPosition="0">
        <references count="2">
          <reference field="4294967294" count="1" selected="0">
            <x v="0"/>
          </reference>
          <reference field="5" count="1" selected="0">
            <x v="14"/>
          </reference>
        </references>
      </pivotArea>
    </chartFormat>
    <chartFormat chart="1" format="125" series="1">
      <pivotArea type="data" outline="0" fieldPosition="0">
        <references count="2">
          <reference field="4294967294" count="1" selected="0">
            <x v="0"/>
          </reference>
          <reference field="5" count="1" selected="0">
            <x v="15"/>
          </reference>
        </references>
      </pivotArea>
    </chartFormat>
    <chartFormat chart="1" format="126" series="1">
      <pivotArea type="data" outline="0" fieldPosition="0">
        <references count="2">
          <reference field="4294967294" count="1" selected="0">
            <x v="0"/>
          </reference>
          <reference field="5" count="1" selected="0">
            <x v="16"/>
          </reference>
        </references>
      </pivotArea>
    </chartFormat>
    <chartFormat chart="1" format="127" series="1">
      <pivotArea type="data" outline="0" fieldPosition="0">
        <references count="2">
          <reference field="4294967294" count="1" selected="0">
            <x v="0"/>
          </reference>
          <reference field="5" count="1" selected="0">
            <x v="17"/>
          </reference>
        </references>
      </pivotArea>
    </chartFormat>
    <chartFormat chart="1" format="128" series="1">
      <pivotArea type="data" outline="0" fieldPosition="0">
        <references count="2">
          <reference field="4294967294" count="1" selected="0">
            <x v="0"/>
          </reference>
          <reference field="5" count="1" selected="0">
            <x v="18"/>
          </reference>
        </references>
      </pivotArea>
    </chartFormat>
    <chartFormat chart="1" format="129" series="1">
      <pivotArea type="data" outline="0" fieldPosition="0">
        <references count="2">
          <reference field="4294967294" count="1" selected="0">
            <x v="0"/>
          </reference>
          <reference field="5" count="1" selected="0">
            <x v="19"/>
          </reference>
        </references>
      </pivotArea>
    </chartFormat>
    <chartFormat chart="1" format="130" series="1">
      <pivotArea type="data" outline="0" fieldPosition="0">
        <references count="2">
          <reference field="4294967294" count="1" selected="0">
            <x v="0"/>
          </reference>
          <reference field="5" count="1" selected="0">
            <x v="20"/>
          </reference>
        </references>
      </pivotArea>
    </chartFormat>
    <chartFormat chart="1" format="131" series="1">
      <pivotArea type="data" outline="0" fieldPosition="0">
        <references count="2">
          <reference field="4294967294" count="1" selected="0">
            <x v="0"/>
          </reference>
          <reference field="5" count="1" selected="0">
            <x v="21"/>
          </reference>
        </references>
      </pivotArea>
    </chartFormat>
    <chartFormat chart="1" format="132" series="1">
      <pivotArea type="data" outline="0" fieldPosition="0">
        <references count="2">
          <reference field="4294967294" count="1" selected="0">
            <x v="0"/>
          </reference>
          <reference field="5" count="1" selected="0">
            <x v="22"/>
          </reference>
        </references>
      </pivotArea>
    </chartFormat>
    <chartFormat chart="1" format="133" series="1">
      <pivotArea type="data" outline="0" fieldPosition="0">
        <references count="2">
          <reference field="4294967294" count="1" selected="0">
            <x v="0"/>
          </reference>
          <reference field="5" count="1" selected="0">
            <x v="23"/>
          </reference>
        </references>
      </pivotArea>
    </chartFormat>
    <chartFormat chart="1" format="134" series="1">
      <pivotArea type="data" outline="0" fieldPosition="0">
        <references count="2">
          <reference field="4294967294" count="1" selected="0">
            <x v="0"/>
          </reference>
          <reference field="5" count="1" selected="0">
            <x v="24"/>
          </reference>
        </references>
      </pivotArea>
    </chartFormat>
    <chartFormat chart="1" format="135" series="1">
      <pivotArea type="data" outline="0" fieldPosition="0">
        <references count="2">
          <reference field="4294967294" count="1" selected="0">
            <x v="0"/>
          </reference>
          <reference field="5" count="1" selected="0">
            <x v="25"/>
          </reference>
        </references>
      </pivotArea>
    </chartFormat>
    <chartFormat chart="1" format="136" series="1">
      <pivotArea type="data" outline="0" fieldPosition="0">
        <references count="2">
          <reference field="4294967294" count="1" selected="0">
            <x v="0"/>
          </reference>
          <reference field="5" count="1" selected="0">
            <x v="26"/>
          </reference>
        </references>
      </pivotArea>
    </chartFormat>
    <chartFormat chart="1" format="137" series="1">
      <pivotArea type="data" outline="0" fieldPosition="0">
        <references count="2">
          <reference field="4294967294" count="1" selected="0">
            <x v="0"/>
          </reference>
          <reference field="5" count="1" selected="0">
            <x v="27"/>
          </reference>
        </references>
      </pivotArea>
    </chartFormat>
    <chartFormat chart="1" format="138" series="1">
      <pivotArea type="data" outline="0" fieldPosition="0">
        <references count="2">
          <reference field="4294967294" count="1" selected="0">
            <x v="0"/>
          </reference>
          <reference field="5" count="1" selected="0">
            <x v="28"/>
          </reference>
        </references>
      </pivotArea>
    </chartFormat>
    <chartFormat chart="1" format="139" series="1">
      <pivotArea type="data" outline="0" fieldPosition="0">
        <references count="2">
          <reference field="4294967294" count="1" selected="0">
            <x v="0"/>
          </reference>
          <reference field="5" count="1" selected="0">
            <x v="29"/>
          </reference>
        </references>
      </pivotArea>
    </chartFormat>
    <chartFormat chart="1" format="140" series="1">
      <pivotArea type="data" outline="0" fieldPosition="0">
        <references count="2">
          <reference field="4294967294" count="1" selected="0">
            <x v="0"/>
          </reference>
          <reference field="5" count="1" selected="0">
            <x v="30"/>
          </reference>
        </references>
      </pivotArea>
    </chartFormat>
    <chartFormat chart="1" format="141" series="1">
      <pivotArea type="data" outline="0" fieldPosition="0">
        <references count="2">
          <reference field="4294967294" count="1" selected="0">
            <x v="0"/>
          </reference>
          <reference field="5" count="1" selected="0">
            <x v="31"/>
          </reference>
        </references>
      </pivotArea>
    </chartFormat>
    <chartFormat chart="1" format="142" series="1">
      <pivotArea type="data" outline="0" fieldPosition="0">
        <references count="2">
          <reference field="4294967294" count="1" selected="0">
            <x v="0"/>
          </reference>
          <reference field="5" count="1" selected="0">
            <x v="32"/>
          </reference>
        </references>
      </pivotArea>
    </chartFormat>
    <chartFormat chart="1" format="143" series="1">
      <pivotArea type="data" outline="0" fieldPosition="0">
        <references count="2">
          <reference field="4294967294" count="1" selected="0">
            <x v="0"/>
          </reference>
          <reference field="5" count="1" selected="0">
            <x v="33"/>
          </reference>
        </references>
      </pivotArea>
    </chartFormat>
    <chartFormat chart="1" format="144" series="1">
      <pivotArea type="data" outline="0" fieldPosition="0">
        <references count="2">
          <reference field="4294967294" count="1" selected="0">
            <x v="0"/>
          </reference>
          <reference field="5" count="1" selected="0">
            <x v="34"/>
          </reference>
        </references>
      </pivotArea>
    </chartFormat>
    <chartFormat chart="1" format="145" series="1">
      <pivotArea type="data" outline="0" fieldPosition="0">
        <references count="2">
          <reference field="4294967294" count="1" selected="0">
            <x v="0"/>
          </reference>
          <reference field="5" count="1" selected="0">
            <x v="35"/>
          </reference>
        </references>
      </pivotArea>
    </chartFormat>
    <chartFormat chart="1" format="146" series="1">
      <pivotArea type="data" outline="0" fieldPosition="0">
        <references count="2">
          <reference field="4294967294" count="1" selected="0">
            <x v="0"/>
          </reference>
          <reference field="5" count="1" selected="0">
            <x v="36"/>
          </reference>
        </references>
      </pivotArea>
    </chartFormat>
    <chartFormat chart="1" format="147" series="1">
      <pivotArea type="data" outline="0" fieldPosition="0">
        <references count="2">
          <reference field="4294967294" count="1" selected="0">
            <x v="0"/>
          </reference>
          <reference field="5" count="1" selected="0">
            <x v="37"/>
          </reference>
        </references>
      </pivotArea>
    </chartFormat>
    <chartFormat chart="1" format="148" series="1">
      <pivotArea type="data" outline="0" fieldPosition="0">
        <references count="2">
          <reference field="4294967294" count="1" selected="0">
            <x v="0"/>
          </reference>
          <reference field="5" count="1" selected="0">
            <x v="38"/>
          </reference>
        </references>
      </pivotArea>
    </chartFormat>
    <chartFormat chart="1" format="149" series="1">
      <pivotArea type="data" outline="0" fieldPosition="0">
        <references count="2">
          <reference field="4294967294" count="1" selected="0">
            <x v="0"/>
          </reference>
          <reference field="5" count="1" selected="0">
            <x v="39"/>
          </reference>
        </references>
      </pivotArea>
    </chartFormat>
    <chartFormat chart="1" format="150" series="1">
      <pivotArea type="data" outline="0" fieldPosition="0">
        <references count="2">
          <reference field="4294967294" count="1" selected="0">
            <x v="0"/>
          </reference>
          <reference field="5" count="1" selected="0">
            <x v="40"/>
          </reference>
        </references>
      </pivotArea>
    </chartFormat>
    <chartFormat chart="1" format="151" series="1">
      <pivotArea type="data" outline="0" fieldPosition="0">
        <references count="2">
          <reference field="4294967294" count="1" selected="0">
            <x v="0"/>
          </reference>
          <reference field="5" count="1" selected="0">
            <x v="41"/>
          </reference>
        </references>
      </pivotArea>
    </chartFormat>
    <chartFormat chart="1" format="152" series="1">
      <pivotArea type="data" outline="0" fieldPosition="0">
        <references count="2">
          <reference field="4294967294" count="1" selected="0">
            <x v="0"/>
          </reference>
          <reference field="5" count="1" selected="0">
            <x v="42"/>
          </reference>
        </references>
      </pivotArea>
    </chartFormat>
    <chartFormat chart="1" format="153" series="1">
      <pivotArea type="data" outline="0" fieldPosition="0">
        <references count="2">
          <reference field="4294967294" count="1" selected="0">
            <x v="0"/>
          </reference>
          <reference field="5" count="1" selected="0">
            <x v="43"/>
          </reference>
        </references>
      </pivotArea>
    </chartFormat>
    <chartFormat chart="1" format="154" series="1">
      <pivotArea type="data" outline="0" fieldPosition="0">
        <references count="2">
          <reference field="4294967294" count="1" selected="0">
            <x v="0"/>
          </reference>
          <reference field="5" count="1" selected="0">
            <x v="44"/>
          </reference>
        </references>
      </pivotArea>
    </chartFormat>
    <chartFormat chart="1" format="155" series="1">
      <pivotArea type="data" outline="0" fieldPosition="0">
        <references count="2">
          <reference field="4294967294" count="1" selected="0">
            <x v="0"/>
          </reference>
          <reference field="5" count="1" selected="0">
            <x v="45"/>
          </reference>
        </references>
      </pivotArea>
    </chartFormat>
    <chartFormat chart="1" format="156" series="1">
      <pivotArea type="data" outline="0" fieldPosition="0">
        <references count="2">
          <reference field="4294967294" count="1" selected="0">
            <x v="0"/>
          </reference>
          <reference field="5" count="1" selected="0">
            <x v="46"/>
          </reference>
        </references>
      </pivotArea>
    </chartFormat>
    <chartFormat chart="1" format="157" series="1">
      <pivotArea type="data" outline="0" fieldPosition="0">
        <references count="2">
          <reference field="4294967294" count="1" selected="0">
            <x v="0"/>
          </reference>
          <reference field="5" count="1" selected="0">
            <x v="4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4.xml><?xml version="1.0" encoding="utf-8"?>
<pivotTableDefinition xmlns="http://schemas.openxmlformats.org/spreadsheetml/2006/main" name="PivotTable5" cacheId="1147"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6" fieldListSortAscending="1">
  <location ref="B3:N8" firstHeaderRow="1" firstDataRow="2" firstDataCol="3" rowPageCount="1" colPageCount="1"/>
  <pivotFields count="11">
    <pivotField axis="axisPage"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1">
        <item h="1" x="0"/>
        <item h="1" x="3"/>
        <item h="1" x="7"/>
        <item h="1" x="9"/>
        <item h="1" x="6"/>
        <item h="1" x="10"/>
        <item x="1"/>
        <item x="4"/>
        <item x="5"/>
        <item h="1" x="8"/>
        <item h="1"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9">
        <item x="5"/>
        <item h="1" x="1"/>
        <item x="7"/>
        <item x="0"/>
        <item x="8"/>
        <item x="2"/>
        <item x="6"/>
        <item x="15"/>
        <item x="16"/>
        <item x="14"/>
        <item x="10"/>
        <item x="12"/>
        <item x="3"/>
        <item x="4"/>
        <item x="11"/>
        <item x="17"/>
        <item x="13"/>
        <item x="18"/>
        <item h="1" x="9"/>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3"/>
    <field x="1"/>
    <field x="2"/>
  </rowFields>
  <rowItems count="4">
    <i>
      <x v="6"/>
      <x/>
      <x/>
    </i>
    <i>
      <x v="7"/>
      <x/>
      <x/>
    </i>
    <i>
      <x v="8"/>
      <x/>
      <x/>
    </i>
    <i t="grand">
      <x/>
    </i>
  </rowItems>
  <colFields count="1">
    <field x="6"/>
  </colFields>
  <colItems count="10">
    <i>
      <x/>
    </i>
    <i>
      <x v="2"/>
    </i>
    <i>
      <x v="4"/>
    </i>
    <i>
      <x v="5"/>
    </i>
    <i>
      <x v="6"/>
    </i>
    <i>
      <x v="10"/>
    </i>
    <i>
      <x v="11"/>
    </i>
    <i>
      <x v="14"/>
    </i>
    <i>
      <x v="15"/>
    </i>
    <i t="grand">
      <x/>
    </i>
  </colItems>
  <pageFields count="1">
    <pageField fld="0" item="0" hier="-1"/>
  </pageFields>
  <dataFields count="1">
    <dataField name="Sum of TWh" fld="9" baseField="0" baseItem="0"/>
  </dataFields>
  <formats count="3">
    <format dxfId="7">
      <pivotArea collapsedLevelsAreSubtotals="1" fieldPosition="0">
        <references count="1">
          <reference field="6" count="1">
            <x v="0"/>
          </reference>
        </references>
      </pivotArea>
    </format>
    <format dxfId="6">
      <pivotArea collapsedLevelsAreSubtotals="1" fieldPosition="0">
        <references count="1">
          <reference field="6" count="1">
            <x v="1"/>
          </reference>
        </references>
      </pivotArea>
    </format>
    <format dxfId="5">
      <pivotArea collapsedLevelsAreSubtotals="1" fieldPosition="0">
        <references count="1">
          <reference field="6" count="1">
            <x v="2"/>
          </reference>
        </references>
      </pivotArea>
    </format>
  </formats>
  <chartFormats count="4">
    <chartFormat chart="0" format="0" series="1">
      <pivotArea type="data" outline="0" fieldPosition="0">
        <references count="2">
          <reference field="4294967294" count="1" selected="0">
            <x v="0"/>
          </reference>
          <reference field="3" count="1" selected="0">
            <x v="0"/>
          </reference>
        </references>
      </pivotArea>
    </chartFormat>
    <chartFormat chart="0" format="3" series="1">
      <pivotArea type="data" outline="0" fieldPosition="0">
        <references count="1">
          <reference field="4294967294" count="1" selected="0">
            <x v="0"/>
          </reference>
        </references>
      </pivotArea>
    </chartFormat>
    <chartFormat chart="0" format="4" series="1">
      <pivotArea type="data" outline="0" fieldPosition="0">
        <references count="2">
          <reference field="4294967294" count="1" selected="0">
            <x v="0"/>
          </reference>
          <reference field="6" count="1" selected="0">
            <x v="2"/>
          </reference>
        </references>
      </pivotArea>
    </chartFormat>
    <chartFormat chart="0" format="15" series="1">
      <pivotArea type="data" outline="0" fieldPosition="0">
        <references count="2">
          <reference field="4294967294" count="1" selected="0">
            <x v="0"/>
          </reference>
          <reference field="6"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5.xml><?xml version="1.0" encoding="utf-8"?>
<pivotTableDefinition xmlns="http://schemas.openxmlformats.org/spreadsheetml/2006/main" name="PivotTable2" cacheId="1148"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9" fieldListSortAscending="1">
  <location ref="B5:P79" firstHeaderRow="1" firstDataRow="2" firstDataCol="4" rowPageCount="2" colPageCount="1"/>
  <pivotFields count="14">
    <pivotField axis="axisPage" compact="0" outline="0" multipleItemSelectionAllowed="1"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3">
        <item x="0"/>
        <item x="1"/>
        <item x="2"/>
      </items>
      <extLst>
        <ext xmlns:x14="http://schemas.microsoft.com/office/spreadsheetml/2009/9/main" uri="{2946ED86-A175-432a-8AC1-64E0C546D7DE}">
          <x14:pivotField fillDownLabels="1"/>
        </ext>
      </extLst>
    </pivotField>
    <pivotField axis="axisRow" compact="0" outline="0" showAll="0" defaultSubtotal="0">
      <items count="3">
        <item x="0"/>
        <item x="1"/>
        <item x="2"/>
      </items>
      <extLst>
        <ext xmlns:x14="http://schemas.microsoft.com/office/spreadsheetml/2009/9/main" uri="{2946ED86-A175-432a-8AC1-64E0C546D7DE}">
          <x14:pivotField fillDownLabels="1"/>
        </ext>
      </extLst>
    </pivotField>
    <pivotField axis="axisPage" compact="0" outline="0" multipleItemSelectionAllowed="1" showAll="0" defaultSubtotal="0">
      <items count="11">
        <item x="0"/>
        <item x="1"/>
        <item x="3"/>
        <item x="4"/>
        <item x="5"/>
        <item x="6"/>
        <item x="7"/>
        <item x="8"/>
        <item x="9"/>
        <item x="10"/>
        <item x="2"/>
      </items>
      <extLst>
        <ext xmlns:x14="http://schemas.microsoft.com/office/spreadsheetml/2009/9/main" uri="{2946ED86-A175-432a-8AC1-64E0C546D7DE}">
          <x14:pivotField fillDownLabels="1"/>
        </ext>
      </extLst>
    </pivotField>
    <pivotField compact="0" outline="0" multipleItemSelectionAllowed="1" showAll="0" sortType="ascending"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multipleItemSelectionAllowed="1" showAll="0" defaultSubtotal="0">
      <items count="20">
        <item x="5"/>
        <item x="0"/>
        <item x="1"/>
        <item x="17"/>
        <item x="15"/>
        <item x="2"/>
        <item x="8"/>
        <item x="14"/>
        <item x="13"/>
        <item x="18"/>
        <item x="11"/>
        <item x="3"/>
        <item x="16"/>
        <item x="6"/>
        <item x="7"/>
        <item x="12"/>
        <item x="4"/>
        <item x="10"/>
        <item h="1" x="9"/>
        <item h="1" x="19"/>
      </items>
      <extLst>
        <ext xmlns:x14="http://schemas.microsoft.com/office/spreadsheetml/2009/9/main" uri="{2946ED86-A175-432a-8AC1-64E0C546D7DE}">
          <x14:pivotField fillDownLabels="1"/>
        </ext>
      </extLst>
    </pivotField>
    <pivotField axis="axisCol" compact="0" outline="0" multipleItemSelectionAllowed="1" showAll="0" defaultSubtotal="0">
      <items count="10">
        <item x="2"/>
        <item x="6"/>
        <item x="9"/>
        <item x="8"/>
        <item x="1"/>
        <item x="0"/>
        <item x="7"/>
        <item x="4"/>
        <item x="3"/>
        <item x="5"/>
      </items>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sortType="ascending" defaultSubtotal="0">
      <items count="24">
        <item x="0"/>
        <item x="1"/>
        <item x="18"/>
        <item x="2"/>
        <item x="3"/>
        <item x="4"/>
        <item x="5"/>
        <item x="6"/>
        <item x="7"/>
        <item x="8"/>
        <item x="9"/>
        <item x="10"/>
        <item x="11"/>
        <item x="12"/>
        <item x="13"/>
        <item x="14"/>
        <item x="15"/>
        <item x="16"/>
        <item x="17"/>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4">
    <field x="1"/>
    <field x="2"/>
    <field x="9"/>
    <field x="10"/>
  </rowFields>
  <rowItems count="73">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x v="1"/>
      <x v="1"/>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x v="2"/>
      <x v="2"/>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t="grand">
      <x/>
    </i>
  </rowItems>
  <colFields count="1">
    <field x="7"/>
  </colFields>
  <colItems count="11">
    <i>
      <x/>
    </i>
    <i>
      <x v="1"/>
    </i>
    <i>
      <x v="2"/>
    </i>
    <i>
      <x v="3"/>
    </i>
    <i>
      <x v="4"/>
    </i>
    <i>
      <x v="5"/>
    </i>
    <i>
      <x v="6"/>
    </i>
    <i>
      <x v="7"/>
    </i>
    <i>
      <x v="8"/>
    </i>
    <i>
      <x v="9"/>
    </i>
    <i t="grand">
      <x/>
    </i>
  </colItems>
  <pageFields count="2">
    <pageField fld="0" hier="-1"/>
    <pageField fld="3" hier="-1"/>
  </pageFields>
  <dataFields count="1">
    <dataField name="Sum of MW" fld="11" baseField="0" baseItem="0"/>
  </dataFields>
  <chartFormats count="1">
    <chartFormat chart="2" format="7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6.xml><?xml version="1.0" encoding="utf-8"?>
<pivotTableDefinition xmlns="http://schemas.openxmlformats.org/spreadsheetml/2006/main" name="PivotTable2" cacheId="1155"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2:T12" firstHeaderRow="1" firstDataRow="2" firstDataCol="3"/>
  <pivotFields count="10">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8">
        <item x="0"/>
        <item x="3"/>
        <item x="5"/>
        <item x="7"/>
        <item x="1"/>
        <item x="4"/>
        <item x="6"/>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7">
        <item x="0"/>
        <item x="3"/>
        <item x="4"/>
        <item x="8"/>
        <item x="2"/>
        <item x="13"/>
        <item h="1" x="1"/>
        <item x="5"/>
        <item x="6"/>
        <item x="7"/>
        <item x="14"/>
        <item x="11"/>
        <item x="15"/>
        <item x="16"/>
        <item x="10"/>
        <item x="9"/>
        <item h="1" x="1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3"/>
    <field x="1"/>
    <field x="2"/>
  </rowFields>
  <rowItems count="9">
    <i>
      <x/>
      <x/>
      <x/>
    </i>
    <i>
      <x v="1"/>
      <x/>
      <x/>
    </i>
    <i>
      <x v="2"/>
      <x/>
      <x/>
    </i>
    <i>
      <x v="3"/>
      <x/>
      <x/>
    </i>
    <i>
      <x v="4"/>
      <x/>
      <x/>
    </i>
    <i>
      <x v="5"/>
      <x/>
      <x/>
    </i>
    <i>
      <x v="6"/>
      <x/>
      <x/>
    </i>
    <i>
      <x v="7"/>
      <x/>
      <x/>
    </i>
    <i t="grand">
      <x/>
    </i>
  </rowItems>
  <colFields count="1">
    <field x="6"/>
  </colFields>
  <colItems count="16">
    <i>
      <x/>
    </i>
    <i>
      <x v="1"/>
    </i>
    <i>
      <x v="2"/>
    </i>
    <i>
      <x v="3"/>
    </i>
    <i>
      <x v="4"/>
    </i>
    <i>
      <x v="5"/>
    </i>
    <i>
      <x v="7"/>
    </i>
    <i>
      <x v="8"/>
    </i>
    <i>
      <x v="9"/>
    </i>
    <i>
      <x v="10"/>
    </i>
    <i>
      <x v="11"/>
    </i>
    <i>
      <x v="12"/>
    </i>
    <i>
      <x v="13"/>
    </i>
    <i>
      <x v="14"/>
    </i>
    <i>
      <x v="15"/>
    </i>
    <i t="grand">
      <x/>
    </i>
  </colItems>
  <dataFields count="1">
    <dataField name="Sum of TWh" fld="8" baseField="0" baseItem="0"/>
  </dataFields>
  <chartFormats count="1">
    <chartFormat chart="0" format="3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7.xml><?xml version="1.0" encoding="utf-8"?>
<pivotTableDefinition xmlns="http://schemas.openxmlformats.org/spreadsheetml/2006/main" name="PivotTable1" cacheId="1156"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3:V29" firstHeaderRow="1" firstDataRow="2" firstDataCol="3" rowPageCount="1" colPageCount="1"/>
  <pivotFields count="13">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showAll="0" defaultSubtotal="0">
      <items count="8">
        <item x="0"/>
        <item x="1"/>
        <item x="3"/>
        <item x="4"/>
        <item x="5"/>
        <item x="7"/>
        <item x="6"/>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7">
        <item x="0"/>
        <item x="3"/>
        <item x="4"/>
        <item x="8"/>
        <item x="2"/>
        <item x="13"/>
        <item x="1"/>
        <item x="5"/>
        <item x="6"/>
        <item x="7"/>
        <item x="14"/>
        <item x="11"/>
        <item x="15"/>
        <item x="16"/>
        <item x="10"/>
        <item x="9"/>
        <item x="12"/>
      </items>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9"/>
        <item x="10"/>
        <item x="11"/>
        <item x="12"/>
        <item x="13"/>
        <item x="0"/>
        <item x="14"/>
        <item x="1"/>
        <item x="23"/>
        <item x="2"/>
        <item x="3"/>
        <item x="4"/>
        <item x="5"/>
        <item x="15"/>
        <item x="6"/>
        <item x="7"/>
        <item x="8"/>
        <item x="16"/>
        <item x="17"/>
        <item x="18"/>
        <item x="19"/>
        <item x="20"/>
        <item x="21"/>
        <item x="22"/>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1"/>
    <field x="8"/>
    <field x="9"/>
  </rowFields>
  <rowItems count="25">
    <i>
      <x/>
      <x/>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t="grand">
      <x/>
    </i>
  </rowItems>
  <colFields count="1">
    <field x="6"/>
  </colFields>
  <colItems count="18">
    <i>
      <x/>
    </i>
    <i>
      <x v="1"/>
    </i>
    <i>
      <x v="2"/>
    </i>
    <i>
      <x v="3"/>
    </i>
    <i>
      <x v="4"/>
    </i>
    <i>
      <x v="5"/>
    </i>
    <i>
      <x v="6"/>
    </i>
    <i>
      <x v="7"/>
    </i>
    <i>
      <x v="8"/>
    </i>
    <i>
      <x v="9"/>
    </i>
    <i>
      <x v="10"/>
    </i>
    <i>
      <x v="11"/>
    </i>
    <i>
      <x v="12"/>
    </i>
    <i>
      <x v="13"/>
    </i>
    <i>
      <x v="14"/>
    </i>
    <i>
      <x v="15"/>
    </i>
    <i>
      <x v="16"/>
    </i>
    <i t="grand">
      <x/>
    </i>
  </colItems>
  <pageFields count="1">
    <pageField fld="3" hier="-1"/>
  </pageFields>
  <dataFields count="1">
    <dataField name="Sum of MW" fld="10" baseField="0" baseItem="0"/>
  </dataFields>
  <chartFormats count="17">
    <chartFormat chart="1" format="93" series="1">
      <pivotArea type="data" outline="0" fieldPosition="0">
        <references count="1">
          <reference field="4294967294" count="1" selected="0">
            <x v="0"/>
          </reference>
        </references>
      </pivotArea>
    </chartFormat>
    <chartFormat chart="1" format="113" series="1">
      <pivotArea type="data" outline="0" fieldPosition="0">
        <references count="2">
          <reference field="4294967294" count="1" selected="0">
            <x v="0"/>
          </reference>
          <reference field="6" count="1" selected="0">
            <x v="0"/>
          </reference>
        </references>
      </pivotArea>
    </chartFormat>
    <chartFormat chart="1" format="115" series="1">
      <pivotArea type="data" outline="0" fieldPosition="0">
        <references count="2">
          <reference field="4294967294" count="1" selected="0">
            <x v="0"/>
          </reference>
          <reference field="6" count="1" selected="0">
            <x v="1"/>
          </reference>
        </references>
      </pivotArea>
    </chartFormat>
    <chartFormat chart="1" format="118" series="1">
      <pivotArea type="data" outline="0" fieldPosition="0">
        <references count="2">
          <reference field="4294967294" count="1" selected="0">
            <x v="0"/>
          </reference>
          <reference field="6" count="1" selected="0">
            <x v="2"/>
          </reference>
        </references>
      </pivotArea>
    </chartFormat>
    <chartFormat chart="1" format="126" series="1">
      <pivotArea type="data" outline="0" fieldPosition="0">
        <references count="2">
          <reference field="4294967294" count="1" selected="0">
            <x v="0"/>
          </reference>
          <reference field="6" count="1" selected="0">
            <x v="3"/>
          </reference>
        </references>
      </pivotArea>
    </chartFormat>
    <chartFormat chart="1" format="166" series="1">
      <pivotArea type="data" outline="0" fieldPosition="0">
        <references count="2">
          <reference field="4294967294" count="1" selected="0">
            <x v="0"/>
          </reference>
          <reference field="6" count="1" selected="0">
            <x v="4"/>
          </reference>
        </references>
      </pivotArea>
    </chartFormat>
    <chartFormat chart="1" format="168" series="1">
      <pivotArea type="data" outline="0" fieldPosition="0">
        <references count="2">
          <reference field="4294967294" count="1" selected="0">
            <x v="0"/>
          </reference>
          <reference field="6" count="1" selected="0">
            <x v="5"/>
          </reference>
        </references>
      </pivotArea>
    </chartFormat>
    <chartFormat chart="1" format="174" series="1">
      <pivotArea type="data" outline="0" fieldPosition="0">
        <references count="2">
          <reference field="4294967294" count="1" selected="0">
            <x v="0"/>
          </reference>
          <reference field="6" count="1" selected="0">
            <x v="6"/>
          </reference>
        </references>
      </pivotArea>
    </chartFormat>
    <chartFormat chart="1" format="180" series="1">
      <pivotArea type="data" outline="0" fieldPosition="0">
        <references count="2">
          <reference field="4294967294" count="1" selected="0">
            <x v="0"/>
          </reference>
          <reference field="6" count="1" selected="0">
            <x v="7"/>
          </reference>
        </references>
      </pivotArea>
    </chartFormat>
    <chartFormat chart="1" format="181" series="1">
      <pivotArea type="data" outline="0" fieldPosition="0">
        <references count="2">
          <reference field="4294967294" count="1" selected="0">
            <x v="0"/>
          </reference>
          <reference field="6" count="1" selected="0">
            <x v="8"/>
          </reference>
        </references>
      </pivotArea>
    </chartFormat>
    <chartFormat chart="1" format="182" series="1">
      <pivotArea type="data" outline="0" fieldPosition="0">
        <references count="2">
          <reference field="4294967294" count="1" selected="0">
            <x v="0"/>
          </reference>
          <reference field="6" count="1" selected="0">
            <x v="9"/>
          </reference>
        </references>
      </pivotArea>
    </chartFormat>
    <chartFormat chart="1" format="184" series="1">
      <pivotArea type="data" outline="0" fieldPosition="0">
        <references count="2">
          <reference field="4294967294" count="1" selected="0">
            <x v="0"/>
          </reference>
          <reference field="6" count="1" selected="0">
            <x v="10"/>
          </reference>
        </references>
      </pivotArea>
    </chartFormat>
    <chartFormat chart="1" format="185" series="1">
      <pivotArea type="data" outline="0" fieldPosition="0">
        <references count="2">
          <reference field="4294967294" count="1" selected="0">
            <x v="0"/>
          </reference>
          <reference field="6" count="1" selected="0">
            <x v="11"/>
          </reference>
        </references>
      </pivotArea>
    </chartFormat>
    <chartFormat chart="1" format="186" series="1">
      <pivotArea type="data" outline="0" fieldPosition="0">
        <references count="2">
          <reference field="4294967294" count="1" selected="0">
            <x v="0"/>
          </reference>
          <reference field="6" count="1" selected="0">
            <x v="12"/>
          </reference>
        </references>
      </pivotArea>
    </chartFormat>
    <chartFormat chart="1" format="187" series="1">
      <pivotArea type="data" outline="0" fieldPosition="0">
        <references count="2">
          <reference field="4294967294" count="1" selected="0">
            <x v="0"/>
          </reference>
          <reference field="6" count="1" selected="0">
            <x v="13"/>
          </reference>
        </references>
      </pivotArea>
    </chartFormat>
    <chartFormat chart="1" format="188" series="1">
      <pivotArea type="data" outline="0" fieldPosition="0">
        <references count="2">
          <reference field="4294967294" count="1" selected="0">
            <x v="0"/>
          </reference>
          <reference field="6" count="1" selected="0">
            <x v="15"/>
          </reference>
        </references>
      </pivotArea>
    </chartFormat>
    <chartFormat chart="1" format="196" series="1">
      <pivotArea type="data" outline="0" fieldPosition="0">
        <references count="2">
          <reference field="4294967294" count="1" selected="0">
            <x v="0"/>
          </reference>
          <reference field="6" count="1" selected="0">
            <x v="1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8.xml><?xml version="1.0" encoding="utf-8"?>
<pivotTableDefinition xmlns="http://schemas.openxmlformats.org/spreadsheetml/2006/main" name="PivotTable2" cacheId="115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fieldListSortAscending="1">
  <location ref="B3:N27" firstHeaderRow="1" firstDataRow="2" firstDataCol="1"/>
  <pivotFields count="13">
    <pivotField showAll="0"/>
    <pivotField showAll="0"/>
    <pivotField showAll="0" defaultSubtotal="0"/>
    <pivotField axis="axisCol" showAll="0">
      <items count="12">
        <item x="0"/>
        <item x="3"/>
        <item x="7"/>
        <item x="9"/>
        <item x="6"/>
        <item x="10"/>
        <item x="1"/>
        <item x="4"/>
        <item x="5"/>
        <item x="8"/>
        <item x="2"/>
        <item t="default"/>
      </items>
    </pivotField>
    <pivotField showAll="0"/>
    <pivotField showAll="0"/>
    <pivotField axis="axisRow" showAll="0">
      <items count="23">
        <item x="6"/>
        <item x="0"/>
        <item x="16"/>
        <item x="2"/>
        <item x="3"/>
        <item x="8"/>
        <item x="9"/>
        <item x="1"/>
        <item x="7"/>
        <item x="17"/>
        <item x="15"/>
        <item x="12"/>
        <item x="4"/>
        <item x="5"/>
        <item x="11"/>
        <item x="18"/>
        <item x="19"/>
        <item x="13"/>
        <item x="20"/>
        <item x="21"/>
        <item x="10"/>
        <item x="14"/>
        <item t="default"/>
      </items>
    </pivotField>
    <pivotField showAll="0"/>
    <pivotField showAll="0"/>
    <pivotField showAll="0"/>
    <pivotField showAll="0"/>
    <pivotField showAll="0"/>
    <pivotField dataField="1" showAll="0"/>
  </pivotFields>
  <rowFields count="1">
    <field x="6"/>
  </rowFields>
  <rowItems count="23">
    <i>
      <x/>
    </i>
    <i>
      <x v="1"/>
    </i>
    <i>
      <x v="2"/>
    </i>
    <i>
      <x v="3"/>
    </i>
    <i>
      <x v="4"/>
    </i>
    <i>
      <x v="5"/>
    </i>
    <i>
      <x v="6"/>
    </i>
    <i>
      <x v="7"/>
    </i>
    <i>
      <x v="8"/>
    </i>
    <i>
      <x v="9"/>
    </i>
    <i>
      <x v="10"/>
    </i>
    <i>
      <x v="11"/>
    </i>
    <i>
      <x v="12"/>
    </i>
    <i>
      <x v="13"/>
    </i>
    <i>
      <x v="14"/>
    </i>
    <i>
      <x v="15"/>
    </i>
    <i>
      <x v="16"/>
    </i>
    <i>
      <x v="17"/>
    </i>
    <i>
      <x v="18"/>
    </i>
    <i>
      <x v="19"/>
    </i>
    <i>
      <x v="20"/>
    </i>
    <i>
      <x v="21"/>
    </i>
    <i t="grand">
      <x/>
    </i>
  </rowItems>
  <colFields count="1">
    <field x="3"/>
  </colFields>
  <colItems count="12">
    <i>
      <x/>
    </i>
    <i>
      <x v="1"/>
    </i>
    <i>
      <x v="2"/>
    </i>
    <i>
      <x v="3"/>
    </i>
    <i>
      <x v="4"/>
    </i>
    <i>
      <x v="5"/>
    </i>
    <i>
      <x v="6"/>
    </i>
    <i>
      <x v="7"/>
    </i>
    <i>
      <x v="8"/>
    </i>
    <i>
      <x v="9"/>
    </i>
    <i>
      <x v="10"/>
    </i>
    <i t="grand">
      <x/>
    </i>
  </colItems>
  <dataFields count="1">
    <dataField name="Sum of GJ" fld="12" baseField="0" baseItem="0"/>
  </dataFields>
  <chartFormats count="11">
    <chartFormat chart="0" format="0" series="1">
      <pivotArea type="data" outline="0" fieldPosition="0">
        <references count="2">
          <reference field="4294967294" count="1" selected="0">
            <x v="0"/>
          </reference>
          <reference field="3" count="1" selected="0">
            <x v="0"/>
          </reference>
        </references>
      </pivotArea>
    </chartFormat>
    <chartFormat chart="0" format="5" series="1">
      <pivotArea type="data" outline="0" fieldPosition="0">
        <references count="2">
          <reference field="4294967294" count="1" selected="0">
            <x v="0"/>
          </reference>
          <reference field="3" count="1" selected="0">
            <x v="1"/>
          </reference>
        </references>
      </pivotArea>
    </chartFormat>
    <chartFormat chart="0" format="6" series="1">
      <pivotArea type="data" outline="0" fieldPosition="0">
        <references count="2">
          <reference field="4294967294" count="1" selected="0">
            <x v="0"/>
          </reference>
          <reference field="3" count="1" selected="0">
            <x v="2"/>
          </reference>
        </references>
      </pivotArea>
    </chartFormat>
    <chartFormat chart="0" format="7" series="1">
      <pivotArea type="data" outline="0" fieldPosition="0">
        <references count="2">
          <reference field="4294967294" count="1" selected="0">
            <x v="0"/>
          </reference>
          <reference field="3" count="1" selected="0">
            <x v="3"/>
          </reference>
        </references>
      </pivotArea>
    </chartFormat>
    <chartFormat chart="0" format="8" series="1">
      <pivotArea type="data" outline="0" fieldPosition="0">
        <references count="2">
          <reference field="4294967294" count="1" selected="0">
            <x v="0"/>
          </reference>
          <reference field="3" count="1" selected="0">
            <x v="4"/>
          </reference>
        </references>
      </pivotArea>
    </chartFormat>
    <chartFormat chart="0" format="9" series="1">
      <pivotArea type="data" outline="0" fieldPosition="0">
        <references count="2">
          <reference field="4294967294" count="1" selected="0">
            <x v="0"/>
          </reference>
          <reference field="3" count="1" selected="0">
            <x v="5"/>
          </reference>
        </references>
      </pivotArea>
    </chartFormat>
    <chartFormat chart="0" format="10" series="1">
      <pivotArea type="data" outline="0" fieldPosition="0">
        <references count="2">
          <reference field="4294967294" count="1" selected="0">
            <x v="0"/>
          </reference>
          <reference field="3" count="1" selected="0">
            <x v="6"/>
          </reference>
        </references>
      </pivotArea>
    </chartFormat>
    <chartFormat chart="0" format="11" series="1">
      <pivotArea type="data" outline="0" fieldPosition="0">
        <references count="2">
          <reference field="4294967294" count="1" selected="0">
            <x v="0"/>
          </reference>
          <reference field="3" count="1" selected="0">
            <x v="7"/>
          </reference>
        </references>
      </pivotArea>
    </chartFormat>
    <chartFormat chart="0" format="12" series="1">
      <pivotArea type="data" outline="0" fieldPosition="0">
        <references count="2">
          <reference field="4294967294" count="1" selected="0">
            <x v="0"/>
          </reference>
          <reference field="3" count="1" selected="0">
            <x v="8"/>
          </reference>
        </references>
      </pivotArea>
    </chartFormat>
    <chartFormat chart="0" format="13" series="1">
      <pivotArea type="data" outline="0" fieldPosition="0">
        <references count="2">
          <reference field="4294967294" count="1" selected="0">
            <x v="0"/>
          </reference>
          <reference field="3" count="1" selected="0">
            <x v="9"/>
          </reference>
        </references>
      </pivotArea>
    </chartFormat>
    <chartFormat chart="0" format="14" series="1">
      <pivotArea type="data" outline="0" fieldPosition="0">
        <references count="2">
          <reference field="4294967294" count="1" selected="0">
            <x v="0"/>
          </reference>
          <reference field="3"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115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fieldListSortAscending="1">
  <location ref="B3:Y16" firstHeaderRow="1" firstDataRow="2" firstDataCol="1"/>
  <pivotFields count="10">
    <pivotField showAll="0"/>
    <pivotField showAll="0"/>
    <pivotField showAll="0" defaultSubtotal="0"/>
    <pivotField axis="axisRow" showAll="0">
      <items count="12">
        <item x="0"/>
        <item x="3"/>
        <item x="7"/>
        <item x="9"/>
        <item x="6"/>
        <item x="10"/>
        <item x="1"/>
        <item x="4"/>
        <item x="5"/>
        <item x="8"/>
        <item x="2"/>
        <item t="default"/>
      </items>
    </pivotField>
    <pivotField showAll="0"/>
    <pivotField showAll="0"/>
    <pivotField axis="axisCol" showAll="0">
      <items count="23">
        <item x="6"/>
        <item x="0"/>
        <item x="16"/>
        <item x="8"/>
        <item x="3"/>
        <item x="2"/>
        <item x="9"/>
        <item x="1"/>
        <item x="7"/>
        <item x="17"/>
        <item x="15"/>
        <item x="12"/>
        <item x="4"/>
        <item x="5"/>
        <item x="11"/>
        <item x="18"/>
        <item x="19"/>
        <item x="13"/>
        <item x="20"/>
        <item x="21"/>
        <item x="10"/>
        <item x="14"/>
        <item t="default"/>
      </items>
    </pivotField>
    <pivotField showAll="0"/>
    <pivotField dataField="1" showAll="0"/>
    <pivotField showAll="0"/>
  </pivotFields>
  <rowFields count="1">
    <field x="3"/>
  </rowFields>
  <rowItems count="12">
    <i>
      <x/>
    </i>
    <i>
      <x v="1"/>
    </i>
    <i>
      <x v="2"/>
    </i>
    <i>
      <x v="3"/>
    </i>
    <i>
      <x v="4"/>
    </i>
    <i>
      <x v="5"/>
    </i>
    <i>
      <x v="6"/>
    </i>
    <i>
      <x v="7"/>
    </i>
    <i>
      <x v="8"/>
    </i>
    <i>
      <x v="9"/>
    </i>
    <i>
      <x v="10"/>
    </i>
    <i t="grand">
      <x/>
    </i>
  </rowItems>
  <colFields count="1">
    <field x="6"/>
  </colFields>
  <colItems count="23">
    <i>
      <x/>
    </i>
    <i>
      <x v="1"/>
    </i>
    <i>
      <x v="2"/>
    </i>
    <i>
      <x v="3"/>
    </i>
    <i>
      <x v="4"/>
    </i>
    <i>
      <x v="5"/>
    </i>
    <i>
      <x v="6"/>
    </i>
    <i>
      <x v="7"/>
    </i>
    <i>
      <x v="8"/>
    </i>
    <i>
      <x v="9"/>
    </i>
    <i>
      <x v="10"/>
    </i>
    <i>
      <x v="11"/>
    </i>
    <i>
      <x v="12"/>
    </i>
    <i>
      <x v="13"/>
    </i>
    <i>
      <x v="14"/>
    </i>
    <i>
      <x v="15"/>
    </i>
    <i>
      <x v="16"/>
    </i>
    <i>
      <x v="17"/>
    </i>
    <i>
      <x v="18"/>
    </i>
    <i>
      <x v="19"/>
    </i>
    <i>
      <x v="20"/>
    </i>
    <i>
      <x v="21"/>
    </i>
    <i t="grand">
      <x/>
    </i>
  </colItems>
  <dataFields count="1">
    <dataField name="Sum of TWh" fld="8" baseField="0" baseItem="0"/>
  </dataFields>
  <chartFormats count="25">
    <chartFormat chart="0" format="21" series="1">
      <pivotArea type="data" outline="0" fieldPosition="0">
        <references count="1">
          <reference field="6" count="1" selected="0">
            <x v="0"/>
          </reference>
        </references>
      </pivotArea>
    </chartFormat>
    <chartFormat chart="0" format="25" series="1">
      <pivotArea type="data" outline="0" fieldPosition="0">
        <references count="1">
          <reference field="6" count="1" selected="0">
            <x v="1"/>
          </reference>
        </references>
      </pivotArea>
    </chartFormat>
    <chartFormat chart="0" format="27" series="1">
      <pivotArea type="data" outline="0" fieldPosition="0">
        <references count="1">
          <reference field="6" count="1" selected="0">
            <x v="2"/>
          </reference>
        </references>
      </pivotArea>
    </chartFormat>
    <chartFormat chart="0" format="37" series="1">
      <pivotArea type="data" outline="0" fieldPosition="0">
        <references count="1">
          <reference field="6" count="1" selected="0">
            <x v="3"/>
          </reference>
        </references>
      </pivotArea>
    </chartFormat>
    <chartFormat chart="0" format="61" series="1">
      <pivotArea type="data" outline="0" fieldPosition="0">
        <references count="2">
          <reference field="4294967294" count="1" selected="0">
            <x v="0"/>
          </reference>
          <reference field="6" count="1" selected="0">
            <x v="1"/>
          </reference>
        </references>
      </pivotArea>
    </chartFormat>
    <chartFormat chart="0" format="63" series="1">
      <pivotArea type="data" outline="0" fieldPosition="0">
        <references count="2">
          <reference field="4294967294" count="1" selected="0">
            <x v="0"/>
          </reference>
          <reference field="6" count="1" selected="0">
            <x v="2"/>
          </reference>
        </references>
      </pivotArea>
    </chartFormat>
    <chartFormat chart="0" format="73" series="1">
      <pivotArea type="data" outline="0" fieldPosition="0">
        <references count="2">
          <reference field="4294967294" count="1" selected="0">
            <x v="0"/>
          </reference>
          <reference field="6" count="1" selected="0">
            <x v="3"/>
          </reference>
        </references>
      </pivotArea>
    </chartFormat>
    <chartFormat chart="0" format="78" series="1">
      <pivotArea type="data" outline="0" fieldPosition="0">
        <references count="2">
          <reference field="4294967294" count="1" selected="0">
            <x v="0"/>
          </reference>
          <reference field="6" count="1" selected="0">
            <x v="4"/>
          </reference>
        </references>
      </pivotArea>
    </chartFormat>
    <chartFormat chart="0" format="82" series="1">
      <pivotArea type="data" outline="0" fieldPosition="0">
        <references count="2">
          <reference field="4294967294" count="1" selected="0">
            <x v="0"/>
          </reference>
          <reference field="6" count="1" selected="0">
            <x v="5"/>
          </reference>
        </references>
      </pivotArea>
    </chartFormat>
    <chartFormat chart="0" format="84" series="1">
      <pivotArea type="data" outline="0" fieldPosition="0">
        <references count="2">
          <reference field="4294967294" count="1" selected="0">
            <x v="0"/>
          </reference>
          <reference field="6" count="1" selected="0">
            <x v="6"/>
          </reference>
        </references>
      </pivotArea>
    </chartFormat>
    <chartFormat chart="0" format="110" series="1">
      <pivotArea type="data" outline="0" fieldPosition="0">
        <references count="2">
          <reference field="4294967294" count="1" selected="0">
            <x v="0"/>
          </reference>
          <reference field="6" count="1" selected="0">
            <x v="7"/>
          </reference>
        </references>
      </pivotArea>
    </chartFormat>
    <chartFormat chart="0" format="112" series="1">
      <pivotArea type="data" outline="0" fieldPosition="0">
        <references count="2">
          <reference field="4294967294" count="1" selected="0">
            <x v="0"/>
          </reference>
          <reference field="6" count="1" selected="0">
            <x v="8"/>
          </reference>
        </references>
      </pivotArea>
    </chartFormat>
    <chartFormat chart="0" format="113" series="1">
      <pivotArea type="data" outline="0" fieldPosition="0">
        <references count="2">
          <reference field="4294967294" count="1" selected="0">
            <x v="0"/>
          </reference>
          <reference field="6" count="1" selected="0">
            <x v="9"/>
          </reference>
        </references>
      </pivotArea>
    </chartFormat>
    <chartFormat chart="0" format="114" series="1">
      <pivotArea type="data" outline="0" fieldPosition="0">
        <references count="2">
          <reference field="4294967294" count="1" selected="0">
            <x v="0"/>
          </reference>
          <reference field="6" count="1" selected="0">
            <x v="10"/>
          </reference>
        </references>
      </pivotArea>
    </chartFormat>
    <chartFormat chart="0" format="122" series="1">
      <pivotArea type="data" outline="0" fieldPosition="0">
        <references count="2">
          <reference field="4294967294" count="1" selected="0">
            <x v="0"/>
          </reference>
          <reference field="6" count="1" selected="0">
            <x v="11"/>
          </reference>
        </references>
      </pivotArea>
    </chartFormat>
    <chartFormat chart="0" format="125" series="1">
      <pivotArea type="data" outline="0" fieldPosition="0">
        <references count="2">
          <reference field="4294967294" count="1" selected="0">
            <x v="0"/>
          </reference>
          <reference field="6" count="1" selected="0">
            <x v="12"/>
          </reference>
        </references>
      </pivotArea>
    </chartFormat>
    <chartFormat chart="0" format="126" series="1">
      <pivotArea type="data" outline="0" fieldPosition="0">
        <references count="2">
          <reference field="4294967294" count="1" selected="0">
            <x v="0"/>
          </reference>
          <reference field="6" count="1" selected="0">
            <x v="13"/>
          </reference>
        </references>
      </pivotArea>
    </chartFormat>
    <chartFormat chart="0" format="128" series="1">
      <pivotArea type="data" outline="0" fieldPosition="0">
        <references count="2">
          <reference field="4294967294" count="1" selected="0">
            <x v="0"/>
          </reference>
          <reference field="6" count="1" selected="0">
            <x v="14"/>
          </reference>
        </references>
      </pivotArea>
    </chartFormat>
    <chartFormat chart="0" format="129" series="1">
      <pivotArea type="data" outline="0" fieldPosition="0">
        <references count="2">
          <reference field="4294967294" count="1" selected="0">
            <x v="0"/>
          </reference>
          <reference field="6" count="1" selected="0">
            <x v="15"/>
          </reference>
        </references>
      </pivotArea>
    </chartFormat>
    <chartFormat chart="0" format="130" series="1">
      <pivotArea type="data" outline="0" fieldPosition="0">
        <references count="2">
          <reference field="4294967294" count="1" selected="0">
            <x v="0"/>
          </reference>
          <reference field="6" count="1" selected="0">
            <x v="16"/>
          </reference>
        </references>
      </pivotArea>
    </chartFormat>
    <chartFormat chart="0" format="131" series="1">
      <pivotArea type="data" outline="0" fieldPosition="0">
        <references count="2">
          <reference field="4294967294" count="1" selected="0">
            <x v="0"/>
          </reference>
          <reference field="6" count="1" selected="0">
            <x v="17"/>
          </reference>
        </references>
      </pivotArea>
    </chartFormat>
    <chartFormat chart="0" format="132" series="1">
      <pivotArea type="data" outline="0" fieldPosition="0">
        <references count="2">
          <reference field="4294967294" count="1" selected="0">
            <x v="0"/>
          </reference>
          <reference field="6" count="1" selected="0">
            <x v="18"/>
          </reference>
        </references>
      </pivotArea>
    </chartFormat>
    <chartFormat chart="0" format="133" series="1">
      <pivotArea type="data" outline="0" fieldPosition="0">
        <references count="2">
          <reference field="4294967294" count="1" selected="0">
            <x v="0"/>
          </reference>
          <reference field="6" count="1" selected="0">
            <x v="19"/>
          </reference>
        </references>
      </pivotArea>
    </chartFormat>
    <chartFormat chart="0" format="143" series="1">
      <pivotArea type="data" outline="0" fieldPosition="0">
        <references count="2">
          <reference field="4294967294" count="1" selected="0">
            <x v="0"/>
          </reference>
          <reference field="6" count="1" selected="0">
            <x v="20"/>
          </reference>
        </references>
      </pivotArea>
    </chartFormat>
    <chartFormat chart="0" format="145" series="1">
      <pivotArea type="data" outline="0" fieldPosition="0">
        <references count="2">
          <reference field="4294967294" count="1" selected="0">
            <x v="0"/>
          </reference>
          <reference field="6" count="1" selected="0">
            <x v="2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3" cacheId="1150"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4" fieldListSortAscending="1">
  <location ref="B3:I11" firstHeaderRow="0" firstDataRow="1" firstDataCol="5" rowPageCount="1" colPageCount="1"/>
  <pivotFields count="14">
    <pivotField axis="axisPage"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8">
        <item x="0"/>
        <item h="1" x="3"/>
        <item h="1" x="4"/>
        <item h="1" x="7"/>
        <item h="1" x="5"/>
        <item h="1" x="1"/>
        <item h="1" x="6"/>
        <item h="1"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
        <item x="0"/>
        <item x="3"/>
        <item x="1"/>
        <item x="2"/>
      </items>
      <extLst>
        <ext xmlns:x14="http://schemas.microsoft.com/office/spreadsheetml/2009/9/main" uri="{2946ED86-A175-432a-8AC1-64E0C546D7DE}">
          <x14:pivotField fillDownLabels="1"/>
        </ext>
      </extLst>
    </pivotField>
    <pivotField axis="axisRow" compact="0" outline="0" showAll="0" defaultSubtotal="0">
      <items count="75">
        <item x="6"/>
        <item x="32"/>
        <item x="35"/>
        <item x="29"/>
        <item x="2"/>
        <item x="36"/>
        <item x="37"/>
        <item x="26"/>
        <item x="38"/>
        <item x="39"/>
        <item x="27"/>
        <item x="1"/>
        <item x="3"/>
        <item x="0"/>
        <item x="5"/>
        <item x="30"/>
        <item x="31"/>
        <item x="40"/>
        <item x="73"/>
        <item x="74"/>
        <item x="57"/>
        <item x="58"/>
        <item x="68"/>
        <item x="4"/>
        <item x="8"/>
        <item x="10"/>
        <item x="28"/>
        <item x="34"/>
        <item x="41"/>
        <item x="44"/>
        <item x="49"/>
        <item x="51"/>
        <item x="61"/>
        <item x="62"/>
        <item x="64"/>
        <item x="67"/>
        <item x="69"/>
        <item x="12"/>
        <item x="70"/>
        <item x="71"/>
        <item x="72"/>
        <item x="33"/>
        <item x="53"/>
        <item x="55"/>
        <item x="56"/>
        <item x="43"/>
        <item x="48"/>
        <item x="50"/>
        <item x="59"/>
        <item x="60"/>
        <item x="63"/>
        <item x="65"/>
        <item x="66"/>
        <item x="42"/>
        <item x="47"/>
        <item x="54"/>
        <item x="7"/>
        <item x="45"/>
        <item x="46"/>
        <item x="52"/>
        <item x="25"/>
        <item x="9"/>
        <item x="11"/>
        <item x="13"/>
        <item x="14"/>
        <item x="15"/>
        <item x="16"/>
        <item x="17"/>
        <item x="18"/>
        <item x="19"/>
        <item x="20"/>
        <item x="21"/>
        <item x="22"/>
        <item x="23"/>
        <item x="2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5">
    <field x="1"/>
    <field x="2"/>
    <field x="3"/>
    <field x="6"/>
    <field x="7"/>
  </rowFields>
  <rowItems count="8">
    <i>
      <x/>
      <x/>
      <x/>
      <x/>
      <x/>
    </i>
    <i r="4">
      <x v="4"/>
    </i>
    <i r="4">
      <x v="11"/>
    </i>
    <i r="4">
      <x v="12"/>
    </i>
    <i r="4">
      <x v="13"/>
    </i>
    <i r="4">
      <x v="14"/>
    </i>
    <i r="4">
      <x v="23"/>
    </i>
    <i t="grand">
      <x/>
    </i>
  </rowItems>
  <colFields count="1">
    <field x="-2"/>
  </colFields>
  <colItems count="3">
    <i>
      <x/>
    </i>
    <i i="1">
      <x v="1"/>
    </i>
    <i i="2">
      <x v="2"/>
    </i>
  </colItems>
  <pageFields count="1">
    <pageField fld="0" hier="-1"/>
  </pageFields>
  <dataFields count="3">
    <dataField name="Sum of CO2 megatons" fld="9" baseField="0" baseItem="0"/>
    <dataField name="Sum of SO2 kilotons" fld="10" baseField="0" baseItem="0"/>
    <dataField name="Sum of N2O kilotons" fld="12" baseField="0" baseItem="0"/>
  </dataFields>
  <chartFormats count="3">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1.xml><?xml version="1.0" encoding="utf-8"?>
<pivotTableDefinition xmlns="http://schemas.openxmlformats.org/spreadsheetml/2006/main" name="PivotTable1" cacheId="1158"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C5:E30" firstHeaderRow="1" firstDataRow="1" firstDataCol="2"/>
  <pivotFields count="10">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6"/>
    <field x="7"/>
  </rowFields>
  <rowItems count="25">
    <i>
      <x/>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t="grand">
      <x/>
    </i>
  </rowItems>
  <colItems count="1">
    <i/>
  </colItems>
  <dataFields count="1">
    <dataField name="Sum of MWh" fld="8" baseField="0" baseItem="0"/>
  </dataFields>
  <chartFormats count="1">
    <chartFormat chart="1"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2.xml><?xml version="1.0" encoding="utf-8"?>
<pivotTableDefinition xmlns="http://schemas.openxmlformats.org/spreadsheetml/2006/main" name="PivotTable2" cacheId="115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fieldListSortAscending="1">
  <location ref="C4:H7" firstHeaderRow="1" firstDataRow="2" firstDataCol="1"/>
  <pivotFields count="8">
    <pivotField showAll="0"/>
    <pivotField showAll="0" defaultSubtotal="0"/>
    <pivotField showAll="0" defaultSubtotal="0"/>
    <pivotField axis="axisCol" showAll="0">
      <items count="5">
        <item x="1"/>
        <item x="2"/>
        <item x="3"/>
        <item x="0"/>
        <item t="default"/>
      </items>
    </pivotField>
    <pivotField showAll="0"/>
    <pivotField showAll="0"/>
    <pivotField axis="axisRow" showAll="0">
      <items count="2">
        <item x="0"/>
        <item t="default"/>
      </items>
    </pivotField>
    <pivotField dataField="1" showAll="0"/>
  </pivotFields>
  <rowFields count="1">
    <field x="6"/>
  </rowFields>
  <rowItems count="2">
    <i>
      <x/>
    </i>
    <i t="grand">
      <x/>
    </i>
  </rowItems>
  <colFields count="1">
    <field x="3"/>
  </colFields>
  <colItems count="5">
    <i>
      <x/>
    </i>
    <i>
      <x v="1"/>
    </i>
    <i>
      <x v="2"/>
    </i>
    <i>
      <x v="3"/>
    </i>
    <i t="grand">
      <x/>
    </i>
  </colItems>
  <dataFields count="1">
    <dataField name="Sum of MWh" fld="7" baseField="0" baseItem="0"/>
  </dataFields>
  <chartFormats count="4">
    <chartFormat chart="1" format="16" series="1">
      <pivotArea type="data" outline="0" fieldPosition="0">
        <references count="2">
          <reference field="4294967294" count="1" selected="0">
            <x v="0"/>
          </reference>
          <reference field="3" count="1" selected="0">
            <x v="0"/>
          </reference>
        </references>
      </pivotArea>
    </chartFormat>
    <chartFormat chart="1" format="17" series="1">
      <pivotArea type="data" outline="0" fieldPosition="0">
        <references count="2">
          <reference field="4294967294" count="1" selected="0">
            <x v="0"/>
          </reference>
          <reference field="3" count="1" selected="0">
            <x v="1"/>
          </reference>
        </references>
      </pivotArea>
    </chartFormat>
    <chartFormat chart="1" format="18" series="1">
      <pivotArea type="data" outline="0" fieldPosition="0">
        <references count="2">
          <reference field="4294967294" count="1" selected="0">
            <x v="0"/>
          </reference>
          <reference field="3" count="1" selected="0">
            <x v="2"/>
          </reference>
        </references>
      </pivotArea>
    </chartFormat>
    <chartFormat chart="1" format="19" series="1">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1" cacheId="1144"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fieldListSortAscending="1">
  <location ref="C4:I31" firstHeaderRow="1" firstDataRow="3" firstDataCol="2"/>
  <pivotFields count="8">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2">
        <item h="1" x="4"/>
        <item x="5"/>
        <item h="1" x="0"/>
        <item h="1" x="1"/>
        <item h="1" x="2"/>
        <item h="1" x="3"/>
        <item h="1" x="11"/>
        <item h="1" x="12"/>
        <item h="1" x="13"/>
        <item h="1" x="14"/>
        <item h="1" x="15"/>
        <item h="1" x="17"/>
        <item h="1" x="18"/>
        <item h="1" x="19"/>
        <item h="1" x="20"/>
        <item h="1" x="10"/>
        <item h="1" x="21"/>
        <item h="1" x="6"/>
        <item h="1" x="8"/>
        <item h="1" x="9"/>
        <item h="1" x="16"/>
        <item h="1" x="7"/>
      </items>
      <extLst>
        <ext xmlns:x14="http://schemas.microsoft.com/office/spreadsheetml/2009/9/main" uri="{2946ED86-A175-432a-8AC1-64E0C546D7DE}">
          <x14:pivotField fillDownLabels="1"/>
        </ext>
      </extLst>
    </pivotField>
    <pivotField axis="axisCol" compact="0" outline="0" showAll="0" defaultSubtotal="0">
      <items count="22">
        <item x="6"/>
        <item x="3"/>
        <item x="0"/>
        <item x="1"/>
        <item x="2"/>
        <item x="5"/>
        <item x="7"/>
        <item x="8"/>
        <item x="10"/>
        <item x="18"/>
        <item x="19"/>
        <item x="20"/>
        <item x="15"/>
        <item x="21"/>
        <item x="16"/>
        <item x="9"/>
        <item x="11"/>
        <item x="4"/>
        <item x="13"/>
        <item x="14"/>
        <item x="17"/>
        <item x="12"/>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5"/>
    <field x="6"/>
  </rowFields>
  <rowItems count="25">
    <i>
      <x/>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t="grand">
      <x/>
    </i>
  </rowItems>
  <colFields count="2">
    <field x="3"/>
    <field x="4"/>
  </colFields>
  <colItems count="5">
    <i>
      <x v="1"/>
      <x/>
    </i>
    <i r="1">
      <x v="2"/>
    </i>
    <i r="1">
      <x v="5"/>
    </i>
    <i r="1">
      <x v="7"/>
    </i>
    <i t="grand">
      <x/>
    </i>
  </colItems>
  <dataFields count="1">
    <dataField name="Sum of G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4.xml><?xml version="1.0" encoding="utf-8"?>
<pivotTableDefinition xmlns="http://schemas.openxmlformats.org/spreadsheetml/2006/main" name="PivotTable2" cacheId="1143"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fieldListSortAscending="1">
  <location ref="C5:G10" firstHeaderRow="1" firstDataRow="2" firstDataCol="3"/>
  <pivotFields count="8">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Col" compact="0" outline="0" showAll="0" defaultSubtotal="0">
      <items count="11">
        <item h="1" x="0"/>
        <item h="1" x="3"/>
        <item h="1" x="7"/>
        <item h="1" x="9"/>
        <item h="1" x="6"/>
        <item h="1" x="10"/>
        <item x="1"/>
        <item h="1" x="4"/>
        <item h="1" x="5"/>
        <item h="1" x="8"/>
        <item h="1"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0"/>
        <item x="1"/>
        <item x="3"/>
        <item x="4"/>
        <item x="2"/>
        <item x="5"/>
        <item x="7"/>
        <item x="9"/>
        <item x="8"/>
        <item x="10"/>
        <item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3">
    <field x="5"/>
    <field x="1"/>
    <field x="2"/>
  </rowFields>
  <rowItems count="4">
    <i>
      <x v="3"/>
      <x/>
      <x/>
    </i>
    <i>
      <x v="6"/>
      <x/>
      <x/>
    </i>
    <i>
      <x v="10"/>
      <x/>
      <x/>
    </i>
    <i t="grand">
      <x/>
    </i>
  </rowItems>
  <colFields count="1">
    <field x="3"/>
  </colFields>
  <colItems count="2">
    <i>
      <x v="6"/>
    </i>
    <i t="grand">
      <x/>
    </i>
  </colItems>
  <dataFields count="1">
    <dataField name="Sum of GWh"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5.xml><?xml version="1.0" encoding="utf-8"?>
<pivotTableDefinition xmlns="http://schemas.openxmlformats.org/spreadsheetml/2006/main" name="PivotTable1" cacheId="1146"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2" fieldListSortAscending="1">
  <location ref="B3:P29" firstHeaderRow="1" firstDataRow="2" firstDataCol="3"/>
  <pivotFields count="9">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1">
        <item x="0"/>
        <item x="3"/>
        <item x="7"/>
        <item x="9"/>
        <item x="6"/>
        <item x="10"/>
        <item x="1"/>
        <item x="4"/>
        <item x="5"/>
        <item x="8"/>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0"/>
    <field x="5"/>
    <field x="6"/>
  </rowFields>
  <rowItems count="25">
    <i>
      <x/>
      <x/>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t="grand">
      <x/>
    </i>
  </rowItems>
  <colFields count="1">
    <field x="2"/>
  </colFields>
  <colItems count="12">
    <i>
      <x/>
    </i>
    <i>
      <x v="1"/>
    </i>
    <i>
      <x v="2"/>
    </i>
    <i>
      <x v="3"/>
    </i>
    <i>
      <x v="4"/>
    </i>
    <i>
      <x v="5"/>
    </i>
    <i>
      <x v="6"/>
    </i>
    <i>
      <x v="7"/>
    </i>
    <i>
      <x v="8"/>
    </i>
    <i>
      <x v="9"/>
    </i>
    <i>
      <x v="10"/>
    </i>
    <i t="grand">
      <x/>
    </i>
  </colItems>
  <dataFields count="1">
    <dataField name="Sum of MW" fld="7" baseField="0" baseItem="0"/>
  </dataFields>
  <chartFormats count="15">
    <chartFormat chart="3" format="16" series="1">
      <pivotArea type="data" outline="0" fieldPosition="0">
        <references count="1">
          <reference field="2" count="1" selected="0">
            <x v="0"/>
          </reference>
        </references>
      </pivotArea>
    </chartFormat>
    <chartFormat chart="7" format="17" series="1">
      <pivotArea type="data" outline="0" fieldPosition="0">
        <references count="2">
          <reference field="4294967294" count="1" selected="0">
            <x v="0"/>
          </reference>
          <reference field="2" count="1" selected="0">
            <x v="0"/>
          </reference>
        </references>
      </pivotArea>
    </chartFormat>
    <chartFormat chart="8" format="18" series="1">
      <pivotArea type="data" outline="0" fieldPosition="0">
        <references count="2">
          <reference field="4294967294" count="1" selected="0">
            <x v="0"/>
          </reference>
          <reference field="2" count="1" selected="0">
            <x v="0"/>
          </reference>
        </references>
      </pivotArea>
    </chartFormat>
    <chartFormat chart="3" format="17" series="1">
      <pivotArea type="data" outline="0" fieldPosition="0">
        <references count="2">
          <reference field="4294967294" count="1" selected="0">
            <x v="0"/>
          </reference>
          <reference field="2" count="1" selected="0">
            <x v="0"/>
          </reference>
        </references>
      </pivotArea>
    </chartFormat>
    <chartFormat chart="3" format="18" series="1">
      <pivotArea type="data" outline="0" fieldPosition="0">
        <references count="1">
          <reference field="4294967294" count="1" selected="0">
            <x v="0"/>
          </reference>
        </references>
      </pivotArea>
    </chartFormat>
    <chartFormat chart="3" format="22" series="1">
      <pivotArea type="data" outline="0" fieldPosition="0">
        <references count="2">
          <reference field="4294967294" count="1" selected="0">
            <x v="0"/>
          </reference>
          <reference field="2" count="1" selected="0">
            <x v="1"/>
          </reference>
        </references>
      </pivotArea>
    </chartFormat>
    <chartFormat chart="3" format="23" series="1">
      <pivotArea type="data" outline="0" fieldPosition="0">
        <references count="2">
          <reference field="4294967294" count="1" selected="0">
            <x v="0"/>
          </reference>
          <reference field="2" count="1" selected="0">
            <x v="2"/>
          </reference>
        </references>
      </pivotArea>
    </chartFormat>
    <chartFormat chart="3" format="24" series="1">
      <pivotArea type="data" outline="0" fieldPosition="0">
        <references count="2">
          <reference field="4294967294" count="1" selected="0">
            <x v="0"/>
          </reference>
          <reference field="2" count="1" selected="0">
            <x v="3"/>
          </reference>
        </references>
      </pivotArea>
    </chartFormat>
    <chartFormat chart="3" format="25" series="1">
      <pivotArea type="data" outline="0" fieldPosition="0">
        <references count="2">
          <reference field="4294967294" count="1" selected="0">
            <x v="0"/>
          </reference>
          <reference field="2" count="1" selected="0">
            <x v="4"/>
          </reference>
        </references>
      </pivotArea>
    </chartFormat>
    <chartFormat chart="3" format="26" series="1">
      <pivotArea type="data" outline="0" fieldPosition="0">
        <references count="2">
          <reference field="4294967294" count="1" selected="0">
            <x v="0"/>
          </reference>
          <reference field="2" count="1" selected="0">
            <x v="5"/>
          </reference>
        </references>
      </pivotArea>
    </chartFormat>
    <chartFormat chart="3" format="27" series="1">
      <pivotArea type="data" outline="0" fieldPosition="0">
        <references count="2">
          <reference field="4294967294" count="1" selected="0">
            <x v="0"/>
          </reference>
          <reference field="2" count="1" selected="0">
            <x v="6"/>
          </reference>
        </references>
      </pivotArea>
    </chartFormat>
    <chartFormat chart="3" format="28" series="1">
      <pivotArea type="data" outline="0" fieldPosition="0">
        <references count="2">
          <reference field="4294967294" count="1" selected="0">
            <x v="0"/>
          </reference>
          <reference field="2" count="1" selected="0">
            <x v="7"/>
          </reference>
        </references>
      </pivotArea>
    </chartFormat>
    <chartFormat chart="3" format="29" series="1">
      <pivotArea type="data" outline="0" fieldPosition="0">
        <references count="2">
          <reference field="4294967294" count="1" selected="0">
            <x v="0"/>
          </reference>
          <reference field="2" count="1" selected="0">
            <x v="8"/>
          </reference>
        </references>
      </pivotArea>
    </chartFormat>
    <chartFormat chart="3" format="30" series="1">
      <pivotArea type="data" outline="0" fieldPosition="0">
        <references count="2">
          <reference field="4294967294" count="1" selected="0">
            <x v="0"/>
          </reference>
          <reference field="2" count="1" selected="0">
            <x v="9"/>
          </reference>
        </references>
      </pivotArea>
    </chartFormat>
    <chartFormat chart="3" format="31" series="1">
      <pivotArea type="data" outline="0" fieldPosition="0">
        <references count="2">
          <reference field="4294967294" count="1" selected="0">
            <x v="0"/>
          </reference>
          <reference field="2"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6.xml><?xml version="1.0" encoding="utf-8"?>
<pivotTableDefinition xmlns="http://schemas.openxmlformats.org/spreadsheetml/2006/main" name="PivotTable3" cacheId="114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fieldListSortAscending="1">
  <location ref="C4:E17" firstHeaderRow="1" firstDataRow="2" firstDataCol="1" rowPageCount="1" colPageCount="1"/>
  <pivotFields count="7">
    <pivotField axis="axisPage" showAll="0">
      <items count="2">
        <item x="0"/>
        <item t="default"/>
      </items>
    </pivotField>
    <pivotField axis="axisCol" showAll="0">
      <items count="2">
        <item x="0"/>
        <item t="default"/>
      </items>
    </pivotField>
    <pivotField axis="axisRow" showAll="0">
      <items count="12">
        <item x="0"/>
        <item x="3"/>
        <item x="7"/>
        <item x="9"/>
        <item x="6"/>
        <item x="10"/>
        <item x="1"/>
        <item x="4"/>
        <item x="5"/>
        <item x="8"/>
        <item x="2"/>
        <item t="default"/>
      </items>
    </pivotField>
    <pivotField showAll="0"/>
    <pivotField showAll="0" defaultSubtotal="0"/>
    <pivotField dataField="1" showAll="0"/>
    <pivotField showAll="0"/>
  </pivotFields>
  <rowFields count="1">
    <field x="2"/>
  </rowFields>
  <rowItems count="12">
    <i>
      <x/>
    </i>
    <i>
      <x v="1"/>
    </i>
    <i>
      <x v="2"/>
    </i>
    <i>
      <x v="3"/>
    </i>
    <i>
      <x v="4"/>
    </i>
    <i>
      <x v="5"/>
    </i>
    <i>
      <x v="6"/>
    </i>
    <i>
      <x v="7"/>
    </i>
    <i>
      <x v="8"/>
    </i>
    <i>
      <x v="9"/>
    </i>
    <i>
      <x v="10"/>
    </i>
    <i t="grand">
      <x/>
    </i>
  </rowItems>
  <colFields count="1">
    <field x="1"/>
  </colFields>
  <colItems count="2">
    <i>
      <x/>
    </i>
    <i t="grand">
      <x/>
    </i>
  </colItems>
  <pageFields count="1">
    <pageField fld="0" item="0" hier="-1"/>
  </pageFields>
  <dataFields count="1">
    <dataField name="Sum of TWh" fld="5"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2" cacheId="1152"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5" fieldListSortAscending="1">
  <location ref="B4:M9" firstHeaderRow="1" firstDataRow="2" firstDataCol="2" rowPageCount="1" colPageCount="1"/>
  <pivotFields count="9">
    <pivotField axis="axisPage"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sortType="ascending" defaultSubtotal="0">
      <items count="3">
        <item x="0"/>
        <item x="1"/>
        <item x="2"/>
      </items>
      <extLst>
        <ext xmlns:x14="http://schemas.microsoft.com/office/spreadsheetml/2009/9/main" uri="{2946ED86-A175-432a-8AC1-64E0C546D7DE}">
          <x14:pivotField fillDownLabels="1"/>
        </ext>
      </extLst>
    </pivotField>
    <pivotField axis="axisRow" compact="0" outline="0" showAll="0" defaultSubtotal="0">
      <items count="11">
        <item h="1" x="7"/>
        <item x="6"/>
        <item h="1" x="0"/>
        <item h="1" x="5"/>
        <item h="1" x="10"/>
        <item h="1" x="3"/>
        <item h="1" x="2"/>
        <item h="1" x="4"/>
        <item h="1" x="1"/>
        <item h="1" x="8"/>
        <item h="1" x="9"/>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5">
        <item x="22"/>
        <item x="18"/>
        <item x="0"/>
        <item x="13"/>
        <item x="19"/>
        <item x="14"/>
        <item x="3"/>
        <item x="16"/>
        <item x="20"/>
        <item x="23"/>
        <item x="4"/>
        <item x="1"/>
        <item x="2"/>
        <item x="5"/>
        <item x="6"/>
        <item x="7"/>
        <item x="8"/>
        <item x="9"/>
        <item x="10"/>
        <item x="11"/>
        <item x="12"/>
        <item x="15"/>
        <item x="21"/>
        <item x="17"/>
        <item x="2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2"/>
    <field x="1"/>
  </rowFields>
  <rowItems count="4">
    <i>
      <x v="1"/>
      <x/>
    </i>
    <i r="1">
      <x v="1"/>
    </i>
    <i r="1">
      <x v="2"/>
    </i>
    <i t="grand">
      <x/>
    </i>
  </rowItems>
  <colFields count="1">
    <field x="5"/>
  </colFields>
  <colItems count="10">
    <i>
      <x v="1"/>
    </i>
    <i>
      <x v="8"/>
    </i>
    <i>
      <x v="9"/>
    </i>
    <i>
      <x v="10"/>
    </i>
    <i>
      <x v="12"/>
    </i>
    <i>
      <x v="15"/>
    </i>
    <i>
      <x v="17"/>
    </i>
    <i>
      <x v="21"/>
    </i>
    <i>
      <x v="23"/>
    </i>
    <i t="grand">
      <x/>
    </i>
  </colItems>
  <pageFields count="1">
    <pageField fld="0" item="0" hier="-1"/>
  </pageFields>
  <dataFields count="1">
    <dataField name="Sum of GW" fld="8" baseField="0" baseItem="0"/>
  </dataFields>
  <chartFormats count="25">
    <chartFormat chart="1" format="38" series="1">
      <pivotArea type="data" outline="0" fieldPosition="0">
        <references count="2">
          <reference field="4294967294" count="1" selected="0">
            <x v="0"/>
          </reference>
          <reference field="5" count="1" selected="0">
            <x v="11"/>
          </reference>
        </references>
      </pivotArea>
    </chartFormat>
    <chartFormat chart="1" format="39" series="1">
      <pivotArea type="data" outline="0" fieldPosition="0">
        <references count="2">
          <reference field="4294967294" count="1" selected="0">
            <x v="0"/>
          </reference>
          <reference field="5" count="1" selected="0">
            <x v="12"/>
          </reference>
        </references>
      </pivotArea>
    </chartFormat>
    <chartFormat chart="1" format="40" series="1">
      <pivotArea type="data" outline="0" fieldPosition="0">
        <references count="2">
          <reference field="4294967294" count="1" selected="0">
            <x v="0"/>
          </reference>
          <reference field="5" count="1" selected="0">
            <x v="13"/>
          </reference>
        </references>
      </pivotArea>
    </chartFormat>
    <chartFormat chart="1" format="41" series="1">
      <pivotArea type="data" outline="0" fieldPosition="0">
        <references count="2">
          <reference field="4294967294" count="1" selected="0">
            <x v="0"/>
          </reference>
          <reference field="5" count="1" selected="0">
            <x v="14"/>
          </reference>
        </references>
      </pivotArea>
    </chartFormat>
    <chartFormat chart="1" format="42" series="1">
      <pivotArea type="data" outline="0" fieldPosition="0">
        <references count="2">
          <reference field="4294967294" count="1" selected="0">
            <x v="0"/>
          </reference>
          <reference field="5" count="1" selected="0">
            <x v="15"/>
          </reference>
        </references>
      </pivotArea>
    </chartFormat>
    <chartFormat chart="1" format="43" series="1">
      <pivotArea type="data" outline="0" fieldPosition="0">
        <references count="2">
          <reference field="4294967294" count="1" selected="0">
            <x v="0"/>
          </reference>
          <reference field="5" count="1" selected="0">
            <x v="16"/>
          </reference>
        </references>
      </pivotArea>
    </chartFormat>
    <chartFormat chart="1" format="44" series="1">
      <pivotArea type="data" outline="0" fieldPosition="0">
        <references count="2">
          <reference field="4294967294" count="1" selected="0">
            <x v="0"/>
          </reference>
          <reference field="5" count="1" selected="0">
            <x v="17"/>
          </reference>
        </references>
      </pivotArea>
    </chartFormat>
    <chartFormat chart="1" format="45" series="1">
      <pivotArea type="data" outline="0" fieldPosition="0">
        <references count="2">
          <reference field="4294967294" count="1" selected="0">
            <x v="0"/>
          </reference>
          <reference field="5" count="1" selected="0">
            <x v="18"/>
          </reference>
        </references>
      </pivotArea>
    </chartFormat>
    <chartFormat chart="1" format="46" series="1">
      <pivotArea type="data" outline="0" fieldPosition="0">
        <references count="2">
          <reference field="4294967294" count="1" selected="0">
            <x v="0"/>
          </reference>
          <reference field="5" count="1" selected="0">
            <x v="19"/>
          </reference>
        </references>
      </pivotArea>
    </chartFormat>
    <chartFormat chart="1" format="47" series="1">
      <pivotArea type="data" outline="0" fieldPosition="0">
        <references count="2">
          <reference field="4294967294" count="1" selected="0">
            <x v="0"/>
          </reference>
          <reference field="5" count="1" selected="0">
            <x v="20"/>
          </reference>
        </references>
      </pivotArea>
    </chartFormat>
    <chartFormat chart="1" format="48" series="1">
      <pivotArea type="data" outline="0" fieldPosition="0">
        <references count="2">
          <reference field="4294967294" count="1" selected="0">
            <x v="0"/>
          </reference>
          <reference field="5" count="1" selected="0">
            <x v="21"/>
          </reference>
        </references>
      </pivotArea>
    </chartFormat>
    <chartFormat chart="1" format="50" series="1">
      <pivotArea type="data" outline="0" fieldPosition="0">
        <references count="2">
          <reference field="4294967294" count="1" selected="0">
            <x v="0"/>
          </reference>
          <reference field="5" count="1" selected="0">
            <x v="0"/>
          </reference>
        </references>
      </pivotArea>
    </chartFormat>
    <chartFormat chart="1" format="51" series="1">
      <pivotArea type="data" outline="0" fieldPosition="0">
        <references count="2">
          <reference field="4294967294" count="1" selected="0">
            <x v="0"/>
          </reference>
          <reference field="5" count="1" selected="0">
            <x v="1"/>
          </reference>
        </references>
      </pivotArea>
    </chartFormat>
    <chartFormat chart="1" format="52" series="1">
      <pivotArea type="data" outline="0" fieldPosition="0">
        <references count="2">
          <reference field="4294967294" count="1" selected="0">
            <x v="0"/>
          </reference>
          <reference field="5" count="1" selected="0">
            <x v="2"/>
          </reference>
        </references>
      </pivotArea>
    </chartFormat>
    <chartFormat chart="1" format="53" series="1">
      <pivotArea type="data" outline="0" fieldPosition="0">
        <references count="2">
          <reference field="4294967294" count="1" selected="0">
            <x v="0"/>
          </reference>
          <reference field="5" count="1" selected="0">
            <x v="3"/>
          </reference>
        </references>
      </pivotArea>
    </chartFormat>
    <chartFormat chart="1" format="54" series="1">
      <pivotArea type="data" outline="0" fieldPosition="0">
        <references count="2">
          <reference field="4294967294" count="1" selected="0">
            <x v="0"/>
          </reference>
          <reference field="5" count="1" selected="0">
            <x v="4"/>
          </reference>
        </references>
      </pivotArea>
    </chartFormat>
    <chartFormat chart="1" format="55" series="1">
      <pivotArea type="data" outline="0" fieldPosition="0">
        <references count="2">
          <reference field="4294967294" count="1" selected="0">
            <x v="0"/>
          </reference>
          <reference field="5" count="1" selected="0">
            <x v="5"/>
          </reference>
        </references>
      </pivotArea>
    </chartFormat>
    <chartFormat chart="1" format="56" series="1">
      <pivotArea type="data" outline="0" fieldPosition="0">
        <references count="2">
          <reference field="4294967294" count="1" selected="0">
            <x v="0"/>
          </reference>
          <reference field="5" count="1" selected="0">
            <x v="6"/>
          </reference>
        </references>
      </pivotArea>
    </chartFormat>
    <chartFormat chart="1" format="57" series="1">
      <pivotArea type="data" outline="0" fieldPosition="0">
        <references count="2">
          <reference field="4294967294" count="1" selected="0">
            <x v="0"/>
          </reference>
          <reference field="5" count="1" selected="0">
            <x v="7"/>
          </reference>
        </references>
      </pivotArea>
    </chartFormat>
    <chartFormat chart="1" format="58" series="1">
      <pivotArea type="data" outline="0" fieldPosition="0">
        <references count="2">
          <reference field="4294967294" count="1" selected="0">
            <x v="0"/>
          </reference>
          <reference field="5" count="1" selected="0">
            <x v="8"/>
          </reference>
        </references>
      </pivotArea>
    </chartFormat>
    <chartFormat chart="1" format="59" series="1">
      <pivotArea type="data" outline="0" fieldPosition="0">
        <references count="2">
          <reference field="4294967294" count="1" selected="0">
            <x v="0"/>
          </reference>
          <reference field="5" count="1" selected="0">
            <x v="9"/>
          </reference>
        </references>
      </pivotArea>
    </chartFormat>
    <chartFormat chart="1" format="60" series="1">
      <pivotArea type="data" outline="0" fieldPosition="0">
        <references count="2">
          <reference field="4294967294" count="1" selected="0">
            <x v="0"/>
          </reference>
          <reference field="5" count="1" selected="0">
            <x v="10"/>
          </reference>
        </references>
      </pivotArea>
    </chartFormat>
    <chartFormat chart="1" format="77" series="1">
      <pivotArea type="data" outline="0" fieldPosition="0">
        <references count="2">
          <reference field="4294967294" count="1" selected="0">
            <x v="0"/>
          </reference>
          <reference field="5" count="1" selected="0">
            <x v="22"/>
          </reference>
        </references>
      </pivotArea>
    </chartFormat>
    <chartFormat chart="1" format="78" series="1">
      <pivotArea type="data" outline="0" fieldPosition="0">
        <references count="2">
          <reference field="4294967294" count="1" selected="0">
            <x v="0"/>
          </reference>
          <reference field="5" count="1" selected="0">
            <x v="23"/>
          </reference>
        </references>
      </pivotArea>
    </chartFormat>
    <chartFormat chart="1" format="79" series="1">
      <pivotArea type="data" outline="0" fieldPosition="0">
        <references count="2">
          <reference field="4294967294" count="1" selected="0">
            <x v="0"/>
          </reference>
          <reference field="5" count="1" selected="0">
            <x v="2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8.xml><?xml version="1.0" encoding="utf-8"?>
<pivotTableDefinition xmlns="http://schemas.openxmlformats.org/spreadsheetml/2006/main" name="PivotTable5" cacheId="1151"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fieldListSortAscending="1">
  <location ref="B3:F11" firstHeaderRow="1" firstDataRow="2" firstDataCol="3"/>
  <pivotFields count="10">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6">
        <item x="0"/>
        <item x="2"/>
        <item x="3"/>
        <item x="4"/>
        <item x="5"/>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3">
    <field x="3"/>
    <field x="1"/>
    <field x="2"/>
  </rowFields>
  <rowItems count="7">
    <i>
      <x/>
      <x/>
      <x/>
    </i>
    <i>
      <x v="1"/>
      <x/>
      <x/>
    </i>
    <i>
      <x v="2"/>
      <x/>
      <x/>
    </i>
    <i>
      <x v="3"/>
      <x/>
      <x/>
    </i>
    <i>
      <x v="4"/>
      <x/>
      <x/>
    </i>
    <i>
      <x v="5"/>
      <x/>
      <x/>
    </i>
    <i t="grand">
      <x/>
    </i>
  </rowItems>
  <colFields count="1">
    <field x="6"/>
  </colFields>
  <colItems count="2">
    <i>
      <x/>
    </i>
    <i t="grand">
      <x/>
    </i>
  </colItems>
  <dataFields count="1">
    <dataField name="Sum of MW" fld="9" baseField="0" baseItem="0"/>
  </dataFields>
  <chartFormats count="1">
    <chartFormat chart="0" format="16" series="1">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29" Type="http://schemas.openxmlformats.org/officeDocument/2006/relationships/ctrlProp" Target="../ctrlProps/ctrlProp25.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5.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6.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ivotTable" Target="../pivotTables/pivotTable17.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ivotTable" Target="../pivotTables/pivotTable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A1:NTL39"/>
  <sheetViews>
    <sheetView tabSelected="1" zoomScaleNormal="100" workbookViewId="0">
      <selection activeCell="R10" sqref="R10"/>
    </sheetView>
  </sheetViews>
  <sheetFormatPr defaultRowHeight="15" x14ac:dyDescent="0.25"/>
  <cols>
    <col min="1" max="1" width="9.140625" style="8"/>
    <col min="2" max="2" width="2.85546875" style="8" customWidth="1"/>
    <col min="3" max="3" width="27.28515625" style="8" customWidth="1"/>
    <col min="4" max="5" width="9.140625" style="8"/>
    <col min="6" max="6" width="3.28515625" style="8" customWidth="1"/>
    <col min="7" max="7" width="17.7109375" style="8" customWidth="1"/>
    <col min="8" max="11" width="9.140625" style="8"/>
    <col min="12" max="12" width="10.42578125" style="8" customWidth="1"/>
    <col min="13" max="16384" width="9.140625" style="8"/>
  </cols>
  <sheetData>
    <row r="1" spans="1:9996" x14ac:dyDescent="0.25">
      <c r="A1" s="8" t="s">
        <v>309</v>
      </c>
    </row>
    <row r="9" spans="1:9996" x14ac:dyDescent="0.25">
      <c r="F9" s="8" t="s">
        <v>212</v>
      </c>
    </row>
    <row r="10" spans="1:9996" x14ac:dyDescent="0.25">
      <c r="G10" s="16"/>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c r="AML10"/>
      <c r="AMM10"/>
      <c r="AMN10"/>
      <c r="AMO10"/>
      <c r="AMP10"/>
      <c r="AMQ10"/>
      <c r="AMR10"/>
      <c r="AMS10"/>
      <c r="AMT10"/>
      <c r="AMU10"/>
      <c r="AMV10"/>
      <c r="AMW10"/>
      <c r="AMX10"/>
      <c r="AMY10"/>
      <c r="AMZ10"/>
      <c r="ANA10"/>
      <c r="ANB10"/>
      <c r="ANC10"/>
      <c r="AND10"/>
      <c r="ANE10"/>
      <c r="ANF10"/>
      <c r="ANG10"/>
      <c r="ANH10"/>
      <c r="ANI10"/>
      <c r="ANJ10"/>
      <c r="ANK10"/>
      <c r="ANL10"/>
      <c r="ANM10"/>
      <c r="ANN10"/>
      <c r="ANO10"/>
      <c r="ANP10"/>
      <c r="ANQ10"/>
      <c r="ANR10"/>
      <c r="ANS10"/>
      <c r="ANT10"/>
      <c r="ANU10"/>
      <c r="ANV10"/>
      <c r="ANW10"/>
      <c r="ANX10"/>
      <c r="ANY10"/>
      <c r="ANZ10"/>
      <c r="AOA10"/>
      <c r="AOB10"/>
      <c r="AOC10"/>
      <c r="AOD10"/>
      <c r="AOE10"/>
      <c r="AOF10"/>
      <c r="AOG10"/>
      <c r="AOH10"/>
      <c r="AOI10"/>
      <c r="AOJ10"/>
      <c r="AOK10"/>
      <c r="AOL10"/>
      <c r="AOM10"/>
      <c r="AON10"/>
      <c r="AOO10"/>
      <c r="AOP10"/>
      <c r="AOQ10"/>
      <c r="AOR10"/>
      <c r="AOS10"/>
      <c r="AOT10"/>
      <c r="AOU10"/>
      <c r="AOV10"/>
      <c r="AOW10"/>
      <c r="AOX10"/>
      <c r="AOY10"/>
      <c r="AOZ10"/>
      <c r="APA10"/>
      <c r="APB10"/>
      <c r="APC10"/>
      <c r="APD10"/>
      <c r="APE10"/>
      <c r="APF10"/>
      <c r="APG10"/>
      <c r="APH10"/>
      <c r="API10"/>
      <c r="APJ10"/>
      <c r="APK10"/>
      <c r="APL10"/>
      <c r="APM10"/>
      <c r="APN10"/>
      <c r="APO10"/>
      <c r="APP10"/>
      <c r="APQ10"/>
      <c r="APR10"/>
      <c r="APS10"/>
      <c r="APT10"/>
      <c r="APU10"/>
      <c r="APV10"/>
      <c r="APW10"/>
      <c r="APX10"/>
      <c r="APY10"/>
      <c r="APZ10"/>
      <c r="AQA10"/>
      <c r="AQB10"/>
      <c r="AQC10"/>
      <c r="AQD10"/>
      <c r="AQE10"/>
      <c r="AQF10"/>
      <c r="AQG10"/>
      <c r="AQH10"/>
      <c r="AQI10"/>
      <c r="AQJ10"/>
      <c r="AQK10"/>
      <c r="AQL10"/>
      <c r="AQM10"/>
      <c r="AQN10"/>
      <c r="AQO10"/>
      <c r="AQP10"/>
      <c r="AQQ10"/>
      <c r="AQR10"/>
      <c r="AQS10"/>
      <c r="AQT10"/>
      <c r="AQU10"/>
      <c r="AQV10"/>
      <c r="AQW10"/>
      <c r="AQX10"/>
      <c r="AQY10"/>
      <c r="AQZ10"/>
      <c r="ARA10"/>
      <c r="ARB10"/>
      <c r="ARC10"/>
      <c r="ARD10"/>
      <c r="ARE10"/>
      <c r="ARF10"/>
      <c r="ARG10"/>
      <c r="ARH10"/>
      <c r="ARI10"/>
      <c r="ARJ10"/>
      <c r="ARK10"/>
      <c r="ARL10"/>
      <c r="ARM10"/>
      <c r="ARN10"/>
      <c r="ARO10"/>
      <c r="ARP10"/>
      <c r="ARQ10"/>
      <c r="ARR10"/>
      <c r="ARS10"/>
      <c r="ART10"/>
      <c r="ARU10"/>
      <c r="ARV10"/>
      <c r="ARW10"/>
      <c r="ARX10"/>
      <c r="ARY10"/>
      <c r="ARZ10"/>
      <c r="ASA10"/>
      <c r="ASB10"/>
      <c r="ASC10"/>
      <c r="ASD10"/>
      <c r="ASE10"/>
      <c r="ASF10"/>
      <c r="ASG10"/>
      <c r="ASH10"/>
      <c r="ASI10"/>
      <c r="ASJ10"/>
      <c r="ASK10"/>
      <c r="ASL10"/>
      <c r="ASM10"/>
      <c r="ASN10"/>
      <c r="ASO10"/>
      <c r="ASP10"/>
      <c r="ASQ10"/>
      <c r="ASR10"/>
      <c r="ASS10"/>
      <c r="AST10"/>
      <c r="ASU10"/>
      <c r="ASV10"/>
      <c r="ASW10"/>
      <c r="ASX10"/>
      <c r="ASY10"/>
      <c r="ASZ10"/>
      <c r="ATA10"/>
      <c r="ATB10"/>
      <c r="ATC10"/>
      <c r="ATD10"/>
      <c r="ATE10"/>
      <c r="ATF10"/>
      <c r="ATG10"/>
      <c r="ATH10"/>
      <c r="ATI10"/>
      <c r="ATJ10"/>
      <c r="ATK10"/>
      <c r="ATL10"/>
      <c r="ATM10"/>
      <c r="ATN10"/>
      <c r="ATO10"/>
      <c r="ATP10"/>
      <c r="ATQ10"/>
      <c r="ATR10"/>
      <c r="ATS10"/>
      <c r="ATT10"/>
      <c r="ATU10"/>
      <c r="ATV10"/>
      <c r="ATW10"/>
      <c r="ATX10"/>
      <c r="ATY10"/>
      <c r="ATZ10"/>
      <c r="AUA10"/>
      <c r="AUB10"/>
      <c r="AUC10"/>
      <c r="AUD10"/>
      <c r="AUE10"/>
      <c r="AUF10"/>
      <c r="AUG10"/>
      <c r="AUH10"/>
      <c r="AUI10"/>
      <c r="AUJ10"/>
      <c r="AUK10"/>
      <c r="AUL10"/>
      <c r="AUM10"/>
      <c r="AUN10"/>
      <c r="AUO10"/>
      <c r="AUP10"/>
      <c r="AUQ10"/>
      <c r="AUR10"/>
      <c r="AUS10"/>
      <c r="AUT10"/>
      <c r="AUU10"/>
      <c r="AUV10"/>
      <c r="AUW10"/>
      <c r="AUX10"/>
      <c r="AUY10"/>
      <c r="AUZ10"/>
      <c r="AVA10"/>
      <c r="AVB10"/>
      <c r="AVC10"/>
      <c r="AVD10"/>
      <c r="AVE10"/>
      <c r="AVF10"/>
      <c r="AVG10"/>
      <c r="AVH10"/>
      <c r="AVI10"/>
      <c r="AVJ10"/>
      <c r="AVK10"/>
      <c r="AVL10"/>
      <c r="AVM10"/>
      <c r="AVN10"/>
      <c r="AVO10"/>
      <c r="AVP10"/>
      <c r="AVQ10"/>
      <c r="AVR10"/>
      <c r="AVS10"/>
      <c r="AVT10"/>
      <c r="AVU10"/>
      <c r="AVV10"/>
      <c r="AVW10"/>
      <c r="AVX10"/>
      <c r="AVY10"/>
      <c r="AVZ10"/>
      <c r="AWA10"/>
      <c r="AWB10"/>
      <c r="AWC10"/>
      <c r="AWD10"/>
      <c r="AWE10"/>
      <c r="AWF10"/>
      <c r="AWG10"/>
      <c r="AWH10"/>
      <c r="AWI10"/>
      <c r="AWJ10"/>
      <c r="AWK10"/>
      <c r="AWL10"/>
      <c r="AWM10"/>
      <c r="AWN10"/>
      <c r="AWO10"/>
      <c r="AWP10"/>
      <c r="AWQ10"/>
      <c r="AWR10"/>
      <c r="AWS10"/>
      <c r="AWT10"/>
      <c r="AWU10"/>
      <c r="AWV10"/>
      <c r="AWW10"/>
      <c r="AWX10"/>
      <c r="AWY10"/>
      <c r="AWZ10"/>
      <c r="AXA10"/>
      <c r="AXB10"/>
      <c r="AXC10"/>
      <c r="AXD10"/>
      <c r="AXE10"/>
      <c r="AXF10"/>
      <c r="AXG10"/>
      <c r="AXH10"/>
      <c r="AXI10"/>
      <c r="AXJ10"/>
      <c r="AXK10"/>
      <c r="AXL10"/>
      <c r="AXM10"/>
      <c r="AXN10"/>
      <c r="AXO10"/>
      <c r="AXP10"/>
      <c r="AXQ10"/>
      <c r="AXR10"/>
      <c r="AXS10"/>
      <c r="AXT10"/>
      <c r="AXU10"/>
      <c r="AXV10"/>
      <c r="AXW10"/>
      <c r="AXX10"/>
      <c r="AXY10"/>
      <c r="AXZ10"/>
      <c r="AYA10"/>
      <c r="AYB10"/>
      <c r="AYC10"/>
      <c r="AYD10"/>
      <c r="AYE10"/>
      <c r="AYF10"/>
      <c r="AYG10"/>
      <c r="AYH10"/>
      <c r="AYI10"/>
      <c r="AYJ10"/>
      <c r="AYK10"/>
      <c r="AYL10"/>
      <c r="AYM10"/>
      <c r="AYN10"/>
      <c r="AYO10"/>
      <c r="AYP10"/>
      <c r="AYQ10"/>
      <c r="AYR10"/>
      <c r="AYS10"/>
      <c r="AYT10"/>
      <c r="AYU10"/>
      <c r="AYV10"/>
      <c r="AYW10"/>
      <c r="AYX10"/>
      <c r="AYY10"/>
      <c r="AYZ10"/>
      <c r="AZA10"/>
      <c r="AZB10"/>
      <c r="AZC10"/>
      <c r="AZD10"/>
      <c r="AZE10"/>
      <c r="AZF10"/>
      <c r="AZG10"/>
      <c r="AZH10"/>
      <c r="AZI10"/>
      <c r="AZJ10"/>
      <c r="AZK10"/>
      <c r="AZL10"/>
      <c r="AZM10"/>
      <c r="AZN10"/>
      <c r="AZO10"/>
      <c r="AZP10"/>
      <c r="AZQ10"/>
      <c r="AZR10"/>
      <c r="AZS10"/>
      <c r="AZT10"/>
      <c r="AZU10"/>
      <c r="AZV10"/>
      <c r="AZW10"/>
      <c r="AZX10"/>
      <c r="AZY10"/>
      <c r="AZZ10"/>
      <c r="BAA10"/>
      <c r="BAB10"/>
      <c r="BAC10"/>
      <c r="BAD10"/>
      <c r="BAE10"/>
      <c r="BAF10"/>
      <c r="BAG10"/>
      <c r="BAH10"/>
      <c r="BAI10"/>
      <c r="BAJ10"/>
      <c r="BAK10"/>
      <c r="BAL10"/>
      <c r="BAM10"/>
      <c r="BAN10"/>
      <c r="BAO10"/>
      <c r="BAP10"/>
      <c r="BAQ10"/>
      <c r="BAR10"/>
      <c r="BAS10"/>
      <c r="BAT10"/>
      <c r="BAU10"/>
      <c r="BAV10"/>
      <c r="BAW10"/>
      <c r="BAX10"/>
      <c r="BAY10"/>
      <c r="BAZ10"/>
      <c r="BBA10"/>
      <c r="BBB10"/>
      <c r="BBC10"/>
      <c r="BBD10"/>
      <c r="BBE10"/>
      <c r="BBF10"/>
      <c r="BBG10"/>
      <c r="BBH10"/>
      <c r="BBI10"/>
      <c r="BBJ10"/>
      <c r="BBK10"/>
      <c r="BBL10"/>
      <c r="BBM10"/>
      <c r="BBN10"/>
      <c r="BBO10"/>
      <c r="BBP10"/>
      <c r="BBQ10"/>
      <c r="BBR10"/>
      <c r="BBS10"/>
      <c r="BBT10"/>
      <c r="BBU10"/>
      <c r="BBV10"/>
      <c r="BBW10"/>
      <c r="BBX10"/>
      <c r="BBY10"/>
      <c r="BBZ10"/>
      <c r="BCA10"/>
      <c r="BCB10"/>
      <c r="BCC10"/>
      <c r="BCD10"/>
      <c r="BCE10"/>
      <c r="BCF10"/>
      <c r="BCG10"/>
      <c r="BCH10"/>
      <c r="BCI10"/>
      <c r="BCJ10"/>
      <c r="BCK10"/>
      <c r="BCL10"/>
      <c r="BCM10"/>
      <c r="BCN10"/>
      <c r="BCO10"/>
      <c r="BCP10"/>
      <c r="BCQ10"/>
      <c r="BCR10"/>
      <c r="BCS10"/>
      <c r="BCT10"/>
      <c r="BCU10"/>
      <c r="BCV10"/>
      <c r="BCW10"/>
      <c r="BCX10"/>
      <c r="BCY10"/>
      <c r="BCZ10"/>
      <c r="BDA10"/>
      <c r="BDB10"/>
      <c r="BDC10"/>
      <c r="BDD10"/>
      <c r="BDE10"/>
      <c r="BDF10"/>
      <c r="BDG10"/>
      <c r="BDH10"/>
      <c r="BDI10"/>
      <c r="BDJ10"/>
      <c r="BDK10"/>
      <c r="BDL10"/>
      <c r="BDM10"/>
      <c r="BDN10"/>
      <c r="BDO10"/>
      <c r="BDP10"/>
      <c r="BDQ10"/>
      <c r="BDR10"/>
      <c r="BDS10"/>
      <c r="BDT10"/>
      <c r="BDU10"/>
      <c r="BDV10"/>
      <c r="BDW10"/>
      <c r="BDX10"/>
      <c r="BDY10"/>
      <c r="BDZ10"/>
      <c r="BEA10"/>
      <c r="BEB10"/>
      <c r="BEC10"/>
      <c r="BED10"/>
      <c r="BEE10"/>
      <c r="BEF10"/>
      <c r="BEG10"/>
      <c r="BEH10"/>
      <c r="BEI10"/>
      <c r="BEJ10"/>
      <c r="BEK10"/>
      <c r="BEL10"/>
      <c r="BEM10"/>
      <c r="BEN10"/>
      <c r="BEO10"/>
      <c r="BEP10"/>
      <c r="BEQ10"/>
      <c r="BER10"/>
      <c r="BES10"/>
      <c r="BET10"/>
      <c r="BEU10"/>
      <c r="BEV10"/>
      <c r="BEW10"/>
      <c r="BEX10"/>
      <c r="BEY10"/>
      <c r="BEZ10"/>
      <c r="BFA10"/>
      <c r="BFB10"/>
      <c r="BFC10"/>
      <c r="BFD10"/>
      <c r="BFE10"/>
      <c r="BFF10"/>
      <c r="BFG10"/>
      <c r="BFH10"/>
      <c r="BFI10"/>
      <c r="BFJ10"/>
      <c r="BFK10"/>
      <c r="BFL10"/>
      <c r="BFM10"/>
      <c r="BFN10"/>
      <c r="BFO10"/>
      <c r="BFP10"/>
      <c r="BFQ10"/>
      <c r="BFR10"/>
      <c r="BFS10"/>
      <c r="BFT10"/>
      <c r="BFU10"/>
      <c r="BFV10"/>
      <c r="BFW10"/>
      <c r="BFX10"/>
      <c r="BFY10"/>
      <c r="BFZ10"/>
      <c r="BGA10"/>
      <c r="BGB10"/>
      <c r="BGC10"/>
      <c r="BGD10"/>
      <c r="BGE10"/>
      <c r="BGF10"/>
      <c r="BGG10"/>
      <c r="BGH10"/>
      <c r="BGI10"/>
      <c r="BGJ10"/>
      <c r="BGK10"/>
      <c r="BGL10"/>
      <c r="BGM10"/>
      <c r="BGN10"/>
      <c r="BGO10"/>
      <c r="BGP10"/>
      <c r="BGQ10"/>
      <c r="BGR10"/>
      <c r="BGS10"/>
      <c r="BGT10"/>
      <c r="BGU10"/>
      <c r="BGV10"/>
      <c r="BGW10"/>
      <c r="BGX10"/>
      <c r="BGY10"/>
      <c r="BGZ10"/>
      <c r="BHA10"/>
      <c r="BHB10"/>
      <c r="BHC10"/>
      <c r="BHD10"/>
      <c r="BHE10"/>
      <c r="BHF10"/>
      <c r="BHG10"/>
      <c r="BHH10"/>
      <c r="BHI10"/>
      <c r="BHJ10"/>
      <c r="BHK10"/>
      <c r="BHL10"/>
      <c r="BHM10"/>
      <c r="BHN10"/>
      <c r="BHO10"/>
      <c r="BHP10"/>
      <c r="BHQ10"/>
      <c r="BHR10"/>
      <c r="BHS10"/>
      <c r="BHT10"/>
      <c r="BHU10"/>
      <c r="BHV10"/>
      <c r="BHW10"/>
      <c r="BHX10"/>
      <c r="BHY10"/>
      <c r="BHZ10"/>
      <c r="BIA10"/>
      <c r="BIB10"/>
      <c r="BIC10"/>
      <c r="BID10"/>
      <c r="BIE10"/>
      <c r="BIF10"/>
      <c r="BIG10"/>
      <c r="BIH10"/>
      <c r="BII10"/>
      <c r="BIJ10"/>
      <c r="BIK10"/>
      <c r="BIL10"/>
      <c r="BIM10"/>
      <c r="BIN10"/>
      <c r="BIO10"/>
      <c r="BIP10"/>
      <c r="BIQ10"/>
      <c r="BIR10"/>
      <c r="BIS10"/>
      <c r="BIT10"/>
      <c r="BIU10"/>
      <c r="BIV10"/>
      <c r="BIW10"/>
      <c r="BIX10"/>
      <c r="BIY10"/>
      <c r="BIZ10"/>
      <c r="BJA10"/>
      <c r="BJB10"/>
      <c r="BJC10"/>
      <c r="BJD10"/>
      <c r="BJE10"/>
      <c r="BJF10"/>
      <c r="BJG10"/>
      <c r="BJH10"/>
      <c r="BJI10"/>
      <c r="BJJ10"/>
      <c r="BJK10"/>
      <c r="BJL10"/>
      <c r="BJM10"/>
      <c r="BJN10"/>
      <c r="BJO10"/>
      <c r="BJP10"/>
      <c r="BJQ10"/>
      <c r="BJR10"/>
      <c r="BJS10"/>
      <c r="BJT10"/>
      <c r="BJU10"/>
      <c r="BJV10"/>
      <c r="BJW10"/>
      <c r="BJX10"/>
      <c r="BJY10"/>
      <c r="BJZ10"/>
      <c r="BKA10"/>
      <c r="BKB10"/>
      <c r="BKC10"/>
      <c r="BKD10"/>
      <c r="BKE10"/>
      <c r="BKF10"/>
      <c r="BKG10"/>
      <c r="BKH10"/>
      <c r="BKI10"/>
      <c r="BKJ10"/>
      <c r="BKK10"/>
      <c r="BKL10"/>
      <c r="BKM10"/>
      <c r="BKN10"/>
      <c r="BKO10"/>
      <c r="BKP10"/>
      <c r="BKQ10"/>
      <c r="BKR10"/>
      <c r="BKS10"/>
      <c r="BKT10"/>
      <c r="BKU10"/>
      <c r="BKV10"/>
      <c r="BKW10"/>
      <c r="BKX10"/>
      <c r="BKY10"/>
      <c r="BKZ10"/>
      <c r="BLA10"/>
      <c r="BLB10"/>
      <c r="BLC10"/>
      <c r="BLD10"/>
      <c r="BLE10"/>
      <c r="BLF10"/>
      <c r="BLG10"/>
      <c r="BLH10"/>
      <c r="BLI10"/>
      <c r="BLJ10"/>
      <c r="BLK10"/>
      <c r="BLL10"/>
      <c r="BLM10"/>
      <c r="BLN10"/>
      <c r="BLO10"/>
      <c r="BLP10"/>
      <c r="BLQ10"/>
      <c r="BLR10"/>
      <c r="BLS10"/>
      <c r="BLT10"/>
      <c r="BLU10"/>
      <c r="BLV10"/>
      <c r="BLW10"/>
      <c r="BLX10"/>
      <c r="BLY10"/>
      <c r="BLZ10"/>
      <c r="BMA10"/>
      <c r="BMB10"/>
      <c r="BMC10"/>
      <c r="BMD10"/>
      <c r="BME10"/>
      <c r="BMF10"/>
      <c r="BMG10"/>
      <c r="BMH10"/>
      <c r="BMI10"/>
      <c r="BMJ10"/>
      <c r="BMK10"/>
      <c r="BML10"/>
      <c r="BMM10"/>
      <c r="BMN10"/>
      <c r="BMO10"/>
      <c r="BMP10"/>
      <c r="BMQ10"/>
      <c r="BMR10"/>
      <c r="BMS10"/>
      <c r="BMT10"/>
      <c r="BMU10"/>
      <c r="BMV10"/>
      <c r="BMW10"/>
      <c r="BMX10"/>
      <c r="BMY10"/>
      <c r="BMZ10"/>
      <c r="BNA10"/>
      <c r="BNB10"/>
      <c r="BNC10"/>
      <c r="BND10"/>
      <c r="BNE10"/>
      <c r="BNF10"/>
      <c r="BNG10"/>
      <c r="BNH10"/>
      <c r="BNI10"/>
      <c r="BNJ10"/>
      <c r="BNK10"/>
      <c r="BNL10"/>
      <c r="BNM10"/>
      <c r="BNN10"/>
      <c r="BNO10"/>
      <c r="BNP10"/>
      <c r="BNQ10"/>
      <c r="BNR10"/>
      <c r="BNS10"/>
      <c r="BNT10"/>
      <c r="BNU10"/>
      <c r="BNV10"/>
      <c r="BNW10"/>
      <c r="BNX10"/>
      <c r="BNY10"/>
      <c r="BNZ10"/>
      <c r="BOA10"/>
      <c r="BOB10"/>
      <c r="BOC10"/>
      <c r="BOD10"/>
      <c r="BOE10"/>
      <c r="BOF10"/>
      <c r="BOG10"/>
      <c r="BOH10"/>
      <c r="BOI10"/>
      <c r="BOJ10"/>
      <c r="BOK10"/>
      <c r="BOL10"/>
      <c r="BOM10"/>
      <c r="BON10"/>
      <c r="BOO10"/>
      <c r="BOP10"/>
      <c r="BOQ10"/>
      <c r="BOR10"/>
      <c r="BOS10"/>
      <c r="BOT10"/>
      <c r="BOU10"/>
      <c r="BOV10"/>
      <c r="BOW10"/>
      <c r="BOX10"/>
      <c r="BOY10"/>
      <c r="BOZ10"/>
      <c r="BPA10"/>
      <c r="BPB10"/>
      <c r="BPC10"/>
      <c r="BPD10"/>
      <c r="BPE10"/>
      <c r="BPF10"/>
      <c r="BPG10"/>
      <c r="BPH10"/>
      <c r="BPI10"/>
      <c r="BPJ10"/>
      <c r="BPK10"/>
      <c r="BPL10"/>
      <c r="BPM10"/>
      <c r="BPN10"/>
      <c r="BPO10"/>
      <c r="BPP10"/>
      <c r="BPQ10"/>
      <c r="BPR10"/>
      <c r="BPS10"/>
      <c r="BPT10"/>
      <c r="BPU10"/>
      <c r="BPV10"/>
      <c r="BPW10"/>
      <c r="BPX10"/>
      <c r="BPY10"/>
      <c r="BPZ10"/>
      <c r="BQA10"/>
      <c r="BQB10"/>
      <c r="BQC10"/>
      <c r="BQD10"/>
      <c r="BQE10"/>
      <c r="BQF10"/>
      <c r="BQG10"/>
      <c r="BQH10"/>
      <c r="BQI10"/>
      <c r="BQJ10"/>
      <c r="BQK10"/>
      <c r="BQL10"/>
      <c r="BQM10"/>
      <c r="BQN10"/>
      <c r="BQO10"/>
      <c r="BQP10"/>
      <c r="BQQ10"/>
      <c r="BQR10"/>
      <c r="BQS10"/>
      <c r="BQT10"/>
      <c r="BQU10"/>
      <c r="BQV10"/>
      <c r="BQW10"/>
      <c r="BQX10"/>
      <c r="BQY10"/>
      <c r="BQZ10"/>
      <c r="BRA10"/>
      <c r="BRB10"/>
      <c r="BRC10"/>
      <c r="BRD10"/>
      <c r="BRE10"/>
      <c r="BRF10"/>
      <c r="BRG10"/>
      <c r="BRH10"/>
      <c r="BRI10"/>
      <c r="BRJ10"/>
      <c r="BRK10"/>
      <c r="BRL10"/>
      <c r="BRM10"/>
      <c r="BRN10"/>
      <c r="BRO10"/>
      <c r="BRP10"/>
      <c r="BRQ10"/>
      <c r="BRR10"/>
      <c r="BRS10"/>
      <c r="BRT10"/>
      <c r="BRU10"/>
      <c r="BRV10"/>
      <c r="BRW10"/>
      <c r="BRX10"/>
      <c r="BRY10"/>
      <c r="BRZ10"/>
      <c r="BSA10"/>
      <c r="BSB10"/>
      <c r="BSC10"/>
      <c r="BSD10"/>
      <c r="BSE10"/>
      <c r="BSF10"/>
      <c r="BSG10"/>
      <c r="BSH10"/>
      <c r="BSI10"/>
      <c r="BSJ10"/>
      <c r="BSK10"/>
      <c r="BSL10"/>
      <c r="BSM10"/>
      <c r="BSN10"/>
      <c r="BSO10"/>
      <c r="BSP10"/>
      <c r="BSQ10"/>
      <c r="BSR10"/>
      <c r="BSS10"/>
      <c r="BST10"/>
      <c r="BSU10"/>
      <c r="BSV10"/>
      <c r="BSW10"/>
      <c r="BSX10"/>
      <c r="BSY10"/>
      <c r="BSZ10"/>
      <c r="BTA10"/>
      <c r="BTB10"/>
      <c r="BTC10"/>
      <c r="BTD10"/>
      <c r="BTE10"/>
      <c r="BTF10"/>
      <c r="BTG10"/>
      <c r="BTH10"/>
      <c r="BTI10"/>
      <c r="BTJ10"/>
      <c r="BTK10"/>
      <c r="BTL10"/>
      <c r="BTM10"/>
      <c r="BTN10"/>
      <c r="BTO10"/>
      <c r="BTP10"/>
      <c r="BTQ10"/>
      <c r="BTR10"/>
      <c r="BTS10"/>
      <c r="BTT10"/>
      <c r="BTU10"/>
      <c r="BTV10"/>
      <c r="BTW10"/>
      <c r="BTX10"/>
      <c r="BTY10"/>
      <c r="BTZ10"/>
      <c r="BUA10"/>
      <c r="BUB10"/>
      <c r="BUC10"/>
      <c r="BUD10"/>
      <c r="BUE10"/>
      <c r="BUF10"/>
      <c r="BUG10"/>
      <c r="BUH10"/>
      <c r="BUI10"/>
      <c r="BUJ10"/>
      <c r="BUK10"/>
      <c r="BUL10"/>
      <c r="BUM10"/>
      <c r="BUN10"/>
      <c r="BUO10"/>
      <c r="BUP10"/>
      <c r="BUQ10"/>
      <c r="BUR10"/>
      <c r="BUS10"/>
      <c r="BUT10"/>
      <c r="BUU10"/>
      <c r="BUV10"/>
      <c r="BUW10"/>
      <c r="BUX10"/>
      <c r="BUY10"/>
      <c r="BUZ10"/>
      <c r="BVA10"/>
      <c r="BVB10"/>
      <c r="BVC10"/>
      <c r="BVD10"/>
      <c r="BVE10"/>
      <c r="BVF10"/>
      <c r="BVG10"/>
      <c r="BVH10"/>
      <c r="BVI10"/>
      <c r="BVJ10"/>
      <c r="BVK10"/>
      <c r="BVL10"/>
      <c r="BVM10"/>
      <c r="BVN10"/>
      <c r="BVO10"/>
      <c r="BVP10"/>
      <c r="BVQ10"/>
      <c r="BVR10"/>
      <c r="BVS10"/>
      <c r="BVT10"/>
      <c r="BVU10"/>
      <c r="BVV10"/>
      <c r="BVW10"/>
      <c r="BVX10"/>
      <c r="BVY10"/>
      <c r="BVZ10"/>
      <c r="BWA10"/>
      <c r="BWB10"/>
      <c r="BWC10"/>
      <c r="BWD10"/>
      <c r="BWE10"/>
      <c r="BWF10"/>
      <c r="BWG10"/>
      <c r="BWH10"/>
      <c r="BWI10"/>
      <c r="BWJ10"/>
      <c r="BWK10"/>
      <c r="BWL10"/>
      <c r="BWM10"/>
      <c r="BWN10"/>
      <c r="BWO10"/>
      <c r="BWP10"/>
      <c r="BWQ10"/>
      <c r="BWR10"/>
      <c r="BWS10"/>
      <c r="BWT10"/>
      <c r="BWU10"/>
      <c r="BWV10"/>
      <c r="BWW10"/>
      <c r="BWX10"/>
      <c r="BWY10"/>
      <c r="BWZ10"/>
      <c r="BXA10"/>
      <c r="BXB10"/>
      <c r="BXC10"/>
      <c r="BXD10"/>
      <c r="BXE10"/>
      <c r="BXF10"/>
      <c r="BXG10"/>
      <c r="BXH10"/>
      <c r="BXI10"/>
      <c r="BXJ10"/>
      <c r="BXK10"/>
      <c r="BXL10"/>
      <c r="BXM10"/>
      <c r="BXN10"/>
      <c r="BXO10"/>
      <c r="BXP10"/>
      <c r="BXQ10"/>
      <c r="BXR10"/>
      <c r="BXS10"/>
      <c r="BXT10"/>
      <c r="BXU10"/>
      <c r="BXV10"/>
      <c r="BXW10"/>
      <c r="BXX10"/>
      <c r="BXY10"/>
      <c r="BXZ10"/>
      <c r="BYA10"/>
      <c r="BYB10"/>
      <c r="BYC10"/>
      <c r="BYD10"/>
      <c r="BYE10"/>
      <c r="BYF10"/>
      <c r="BYG10"/>
      <c r="BYH10"/>
      <c r="BYI10"/>
      <c r="BYJ10"/>
      <c r="BYK10"/>
      <c r="BYL10"/>
      <c r="BYM10"/>
      <c r="BYN10"/>
      <c r="BYO10"/>
      <c r="BYP10"/>
      <c r="BYQ10"/>
      <c r="BYR10"/>
      <c r="BYS10"/>
      <c r="BYT10"/>
      <c r="BYU10"/>
      <c r="BYV10"/>
      <c r="BYW10"/>
      <c r="BYX10"/>
      <c r="BYY10"/>
      <c r="BYZ10"/>
      <c r="BZA10"/>
      <c r="BZB10"/>
      <c r="BZC10"/>
      <c r="BZD10"/>
      <c r="BZE10"/>
      <c r="BZF10"/>
      <c r="BZG10"/>
      <c r="BZH10"/>
      <c r="BZI10"/>
      <c r="BZJ10"/>
      <c r="BZK10"/>
      <c r="BZL10"/>
      <c r="BZM10"/>
      <c r="BZN10"/>
      <c r="BZO10"/>
      <c r="BZP10"/>
      <c r="BZQ10"/>
      <c r="BZR10"/>
      <c r="BZS10"/>
      <c r="BZT10"/>
      <c r="BZU10"/>
      <c r="BZV10"/>
      <c r="BZW10"/>
      <c r="BZX10"/>
      <c r="BZY10"/>
      <c r="BZZ10"/>
      <c r="CAA10"/>
      <c r="CAB10"/>
      <c r="CAC10"/>
      <c r="CAD10"/>
      <c r="CAE10"/>
      <c r="CAF10"/>
      <c r="CAG10"/>
      <c r="CAH10"/>
      <c r="CAI10"/>
      <c r="CAJ10"/>
      <c r="CAK10"/>
      <c r="CAL10"/>
      <c r="CAM10"/>
      <c r="CAN10"/>
      <c r="CAO10"/>
      <c r="CAP10"/>
      <c r="CAQ10"/>
      <c r="CAR10"/>
      <c r="CAS10"/>
      <c r="CAT10"/>
      <c r="CAU10"/>
      <c r="CAV10"/>
      <c r="CAW10"/>
      <c r="CAX10"/>
      <c r="CAY10"/>
      <c r="CAZ10"/>
      <c r="CBA10"/>
      <c r="CBB10"/>
      <c r="CBC10"/>
      <c r="CBD10"/>
      <c r="CBE10"/>
      <c r="CBF10"/>
      <c r="CBG10"/>
      <c r="CBH10"/>
      <c r="CBI10"/>
      <c r="CBJ10"/>
      <c r="CBK10"/>
      <c r="CBL10"/>
      <c r="CBM10"/>
      <c r="CBN10"/>
      <c r="CBO10"/>
      <c r="CBP10"/>
      <c r="CBQ10"/>
      <c r="CBR10"/>
      <c r="CBS10"/>
      <c r="CBT10"/>
      <c r="CBU10"/>
      <c r="CBV10"/>
      <c r="CBW10"/>
      <c r="CBX10"/>
      <c r="CBY10"/>
      <c r="CBZ10"/>
      <c r="CCA10"/>
      <c r="CCB10"/>
      <c r="CCC10"/>
      <c r="CCD10"/>
      <c r="CCE10"/>
      <c r="CCF10"/>
      <c r="CCG10"/>
      <c r="CCH10"/>
      <c r="CCI10"/>
      <c r="CCJ10"/>
      <c r="CCK10"/>
      <c r="CCL10"/>
      <c r="CCM10"/>
      <c r="CCN10"/>
      <c r="CCO10"/>
      <c r="CCP10"/>
      <c r="CCQ10"/>
      <c r="CCR10"/>
      <c r="CCS10"/>
      <c r="CCT10"/>
      <c r="CCU10"/>
      <c r="CCV10"/>
      <c r="CCW10"/>
      <c r="CCX10"/>
      <c r="CCY10"/>
      <c r="CCZ10"/>
      <c r="CDA10"/>
      <c r="CDB10"/>
      <c r="CDC10"/>
      <c r="CDD10"/>
      <c r="CDE10"/>
      <c r="CDF10"/>
      <c r="CDG10"/>
      <c r="CDH10"/>
      <c r="CDI10"/>
      <c r="CDJ10"/>
      <c r="CDK10"/>
      <c r="CDL10"/>
      <c r="CDM10"/>
      <c r="CDN10"/>
      <c r="CDO10"/>
      <c r="CDP10"/>
      <c r="CDQ10"/>
      <c r="CDR10"/>
      <c r="CDS10"/>
      <c r="CDT10"/>
      <c r="CDU10"/>
      <c r="CDV10"/>
      <c r="CDW10"/>
      <c r="CDX10"/>
      <c r="CDY10"/>
      <c r="CDZ10"/>
      <c r="CEA10"/>
      <c r="CEB10"/>
      <c r="CEC10"/>
      <c r="CED10"/>
      <c r="CEE10"/>
      <c r="CEF10"/>
      <c r="CEG10"/>
      <c r="CEH10"/>
      <c r="CEI10"/>
      <c r="CEJ10"/>
      <c r="CEK10"/>
      <c r="CEL10"/>
      <c r="CEM10"/>
      <c r="CEN10"/>
      <c r="CEO10"/>
      <c r="CEP10"/>
      <c r="CEQ10"/>
      <c r="CER10"/>
      <c r="CES10"/>
      <c r="CET10"/>
      <c r="CEU10"/>
      <c r="CEV10"/>
      <c r="CEW10"/>
      <c r="CEX10"/>
      <c r="CEY10"/>
      <c r="CEZ10"/>
      <c r="CFA10"/>
      <c r="CFB10"/>
      <c r="CFC10"/>
      <c r="CFD10"/>
      <c r="CFE10"/>
      <c r="CFF10"/>
      <c r="CFG10"/>
      <c r="CFH10"/>
      <c r="CFI10"/>
      <c r="CFJ10"/>
      <c r="CFK10"/>
      <c r="CFL10"/>
      <c r="CFM10"/>
      <c r="CFN10"/>
      <c r="CFO10"/>
      <c r="CFP10"/>
      <c r="CFQ10"/>
      <c r="CFR10"/>
      <c r="CFS10"/>
      <c r="CFT10"/>
      <c r="CFU10"/>
      <c r="CFV10"/>
      <c r="CFW10"/>
      <c r="CFX10"/>
      <c r="CFY10"/>
      <c r="CFZ10"/>
      <c r="CGA10"/>
      <c r="CGB10"/>
      <c r="CGC10"/>
      <c r="CGD10"/>
      <c r="CGE10"/>
      <c r="CGF10"/>
      <c r="CGG10"/>
      <c r="CGH10"/>
      <c r="CGI10"/>
      <c r="CGJ10"/>
      <c r="CGK10"/>
      <c r="CGL10"/>
      <c r="CGM10"/>
      <c r="CGN10"/>
      <c r="CGO10"/>
      <c r="CGP10"/>
      <c r="CGQ10"/>
      <c r="CGR10"/>
      <c r="CGS10"/>
      <c r="CGT10"/>
      <c r="CGU10"/>
      <c r="CGV10"/>
      <c r="CGW10"/>
      <c r="CGX10"/>
      <c r="CGY10"/>
      <c r="CGZ10"/>
      <c r="CHA10"/>
      <c r="CHB10"/>
      <c r="CHC10"/>
      <c r="CHD10"/>
      <c r="CHE10"/>
      <c r="CHF10"/>
      <c r="CHG10"/>
      <c r="CHH10"/>
      <c r="CHI10"/>
      <c r="CHJ10"/>
      <c r="CHK10"/>
      <c r="CHL10"/>
      <c r="CHM10"/>
      <c r="CHN10"/>
      <c r="CHO10"/>
      <c r="CHP10"/>
      <c r="CHQ10"/>
      <c r="CHR10"/>
      <c r="CHS10"/>
      <c r="CHT10"/>
      <c r="CHU10"/>
      <c r="CHV10"/>
      <c r="CHW10"/>
      <c r="CHX10"/>
      <c r="CHY10"/>
      <c r="CHZ10"/>
      <c r="CIA10"/>
      <c r="CIB10"/>
      <c r="CIC10"/>
      <c r="CID10"/>
      <c r="CIE10"/>
      <c r="CIF10"/>
      <c r="CIG10"/>
      <c r="CIH10"/>
      <c r="CII10"/>
      <c r="CIJ10"/>
      <c r="CIK10"/>
      <c r="CIL10"/>
      <c r="CIM10"/>
      <c r="CIN10"/>
      <c r="CIO10"/>
      <c r="CIP10"/>
      <c r="CIQ10"/>
      <c r="CIR10"/>
      <c r="CIS10"/>
      <c r="CIT10"/>
      <c r="CIU10"/>
      <c r="CIV10"/>
      <c r="CIW10"/>
      <c r="CIX10"/>
      <c r="CIY10"/>
      <c r="CIZ10"/>
      <c r="CJA10"/>
      <c r="CJB10"/>
      <c r="CJC10"/>
      <c r="CJD10"/>
      <c r="CJE10"/>
      <c r="CJF10"/>
      <c r="CJG10"/>
      <c r="CJH10"/>
      <c r="CJI10"/>
      <c r="CJJ10"/>
      <c r="CJK10"/>
      <c r="CJL10"/>
      <c r="CJM10"/>
      <c r="CJN10"/>
      <c r="CJO10"/>
      <c r="CJP10"/>
      <c r="CJQ10"/>
      <c r="CJR10"/>
      <c r="CJS10"/>
      <c r="CJT10"/>
      <c r="CJU10"/>
      <c r="CJV10"/>
      <c r="CJW10"/>
      <c r="CJX10"/>
      <c r="CJY10"/>
      <c r="CJZ10"/>
      <c r="CKA10"/>
      <c r="CKB10"/>
      <c r="CKC10"/>
      <c r="CKD10"/>
      <c r="CKE10"/>
      <c r="CKF10"/>
      <c r="CKG10"/>
      <c r="CKH10"/>
      <c r="CKI10"/>
      <c r="CKJ10"/>
      <c r="CKK10"/>
      <c r="CKL10"/>
      <c r="CKM10"/>
      <c r="CKN10"/>
      <c r="CKO10"/>
      <c r="CKP10"/>
      <c r="CKQ10"/>
      <c r="CKR10"/>
      <c r="CKS10"/>
      <c r="CKT10"/>
      <c r="CKU10"/>
      <c r="CKV10"/>
      <c r="CKW10"/>
      <c r="CKX10"/>
      <c r="CKY10"/>
      <c r="CKZ10"/>
      <c r="CLA10"/>
      <c r="CLB10"/>
      <c r="CLC10"/>
      <c r="CLD10"/>
      <c r="CLE10"/>
      <c r="CLF10"/>
      <c r="CLG10"/>
      <c r="CLH10"/>
      <c r="CLI10"/>
      <c r="CLJ10"/>
      <c r="CLK10"/>
      <c r="CLL10"/>
      <c r="CLM10"/>
      <c r="CLN10"/>
      <c r="CLO10"/>
      <c r="CLP10"/>
      <c r="CLQ10"/>
      <c r="CLR10"/>
      <c r="CLS10"/>
      <c r="CLT10"/>
      <c r="CLU10"/>
      <c r="CLV10"/>
      <c r="CLW10"/>
      <c r="CLX10"/>
      <c r="CLY10"/>
      <c r="CLZ10"/>
      <c r="CMA10"/>
      <c r="CMB10"/>
      <c r="CMC10"/>
      <c r="CMD10"/>
      <c r="CME10"/>
      <c r="CMF10"/>
      <c r="CMG10"/>
      <c r="CMH10"/>
      <c r="CMI10"/>
      <c r="CMJ10"/>
      <c r="CMK10"/>
      <c r="CML10"/>
      <c r="CMM10"/>
      <c r="CMN10"/>
      <c r="CMO10"/>
      <c r="CMP10"/>
      <c r="CMQ10"/>
      <c r="CMR10"/>
      <c r="CMS10"/>
      <c r="CMT10"/>
      <c r="CMU10"/>
      <c r="CMV10"/>
      <c r="CMW10"/>
      <c r="CMX10"/>
      <c r="CMY10"/>
      <c r="CMZ10"/>
      <c r="CNA10"/>
      <c r="CNB10"/>
      <c r="CNC10"/>
      <c r="CND10"/>
      <c r="CNE10"/>
      <c r="CNF10"/>
      <c r="CNG10"/>
      <c r="CNH10"/>
      <c r="CNI10"/>
      <c r="CNJ10"/>
      <c r="CNK10"/>
      <c r="CNL10"/>
      <c r="CNM10"/>
      <c r="CNN10"/>
      <c r="CNO10"/>
      <c r="CNP10"/>
      <c r="CNQ10"/>
      <c r="CNR10"/>
      <c r="CNS10"/>
      <c r="CNT10"/>
      <c r="CNU10"/>
      <c r="CNV10"/>
      <c r="CNW10"/>
      <c r="CNX10"/>
      <c r="CNY10"/>
      <c r="CNZ10"/>
      <c r="COA10"/>
      <c r="COB10"/>
      <c r="COC10"/>
      <c r="COD10"/>
      <c r="COE10"/>
      <c r="COF10"/>
      <c r="COG10"/>
      <c r="COH10"/>
      <c r="COI10"/>
      <c r="COJ10"/>
      <c r="COK10"/>
      <c r="COL10"/>
      <c r="COM10"/>
      <c r="CON10"/>
      <c r="COO10"/>
      <c r="COP10"/>
      <c r="COQ10"/>
      <c r="COR10"/>
      <c r="COS10"/>
      <c r="COT10"/>
      <c r="COU10"/>
      <c r="COV10"/>
      <c r="COW10"/>
      <c r="COX10"/>
      <c r="COY10"/>
      <c r="COZ10"/>
      <c r="CPA10"/>
      <c r="CPB10"/>
      <c r="CPC10"/>
      <c r="CPD10"/>
      <c r="CPE10"/>
      <c r="CPF10"/>
      <c r="CPG10"/>
      <c r="CPH10"/>
      <c r="CPI10"/>
      <c r="CPJ10"/>
      <c r="CPK10"/>
      <c r="CPL10"/>
      <c r="CPM10"/>
      <c r="CPN10"/>
      <c r="CPO10"/>
      <c r="CPP10"/>
      <c r="CPQ10"/>
      <c r="CPR10"/>
      <c r="CPS10"/>
      <c r="CPT10"/>
      <c r="CPU10"/>
      <c r="CPV10"/>
      <c r="CPW10"/>
      <c r="CPX10"/>
      <c r="CPY10"/>
      <c r="CPZ10"/>
      <c r="CQA10"/>
      <c r="CQB10"/>
      <c r="CQC10"/>
      <c r="CQD10"/>
      <c r="CQE10"/>
      <c r="CQF10"/>
      <c r="CQG10"/>
      <c r="CQH10"/>
      <c r="CQI10"/>
      <c r="CQJ10"/>
      <c r="CQK10"/>
      <c r="CQL10"/>
      <c r="CQM10"/>
      <c r="CQN10"/>
      <c r="CQO10"/>
      <c r="CQP10"/>
      <c r="CQQ10"/>
      <c r="CQR10"/>
      <c r="CQS10"/>
      <c r="CQT10"/>
      <c r="CQU10"/>
      <c r="CQV10"/>
      <c r="CQW10"/>
      <c r="CQX10"/>
      <c r="CQY10"/>
      <c r="CQZ10"/>
      <c r="CRA10"/>
      <c r="CRB10"/>
      <c r="CRC10"/>
      <c r="CRD10"/>
      <c r="CRE10"/>
      <c r="CRF10"/>
      <c r="CRG10"/>
      <c r="CRH10"/>
      <c r="CRI10"/>
      <c r="CRJ10"/>
      <c r="CRK10"/>
      <c r="CRL10"/>
      <c r="CRM10"/>
      <c r="CRN10"/>
      <c r="CRO10"/>
      <c r="CRP10"/>
      <c r="CRQ10"/>
      <c r="CRR10"/>
      <c r="CRS10"/>
      <c r="CRT10"/>
      <c r="CRU10"/>
      <c r="CRV10"/>
      <c r="CRW10"/>
      <c r="CRX10"/>
      <c r="CRY10"/>
      <c r="CRZ10"/>
      <c r="CSA10"/>
      <c r="CSB10"/>
      <c r="CSC10"/>
      <c r="CSD10"/>
      <c r="CSE10"/>
      <c r="CSF10"/>
      <c r="CSG10"/>
      <c r="CSH10"/>
      <c r="CSI10"/>
      <c r="CSJ10"/>
      <c r="CSK10"/>
      <c r="CSL10"/>
      <c r="CSM10"/>
      <c r="CSN10"/>
      <c r="CSO10"/>
      <c r="CSP10"/>
      <c r="CSQ10"/>
      <c r="CSR10"/>
      <c r="CSS10"/>
      <c r="CST10"/>
      <c r="CSU10"/>
      <c r="CSV10"/>
      <c r="CSW10"/>
      <c r="CSX10"/>
      <c r="CSY10"/>
      <c r="CSZ10"/>
      <c r="CTA10"/>
      <c r="CTB10"/>
      <c r="CTC10"/>
      <c r="CTD10"/>
      <c r="CTE10"/>
      <c r="CTF10"/>
      <c r="CTG10"/>
      <c r="CTH10"/>
      <c r="CTI10"/>
      <c r="CTJ10"/>
      <c r="CTK10"/>
      <c r="CTL10"/>
      <c r="CTM10"/>
      <c r="CTN10"/>
      <c r="CTO10"/>
      <c r="CTP10"/>
      <c r="CTQ10"/>
      <c r="CTR10"/>
      <c r="CTS10"/>
      <c r="CTT10"/>
      <c r="CTU10"/>
      <c r="CTV10"/>
      <c r="CTW10"/>
      <c r="CTX10"/>
      <c r="CTY10"/>
      <c r="CTZ10"/>
      <c r="CUA10"/>
      <c r="CUB10"/>
      <c r="CUC10"/>
      <c r="CUD10"/>
      <c r="CUE10"/>
      <c r="CUF10"/>
      <c r="CUG10"/>
      <c r="CUH10"/>
      <c r="CUI10"/>
      <c r="CUJ10"/>
      <c r="CUK10"/>
      <c r="CUL10"/>
      <c r="CUM10"/>
      <c r="CUN10"/>
      <c r="CUO10"/>
      <c r="CUP10"/>
      <c r="CUQ10"/>
      <c r="CUR10"/>
      <c r="CUS10"/>
      <c r="CUT10"/>
      <c r="CUU10"/>
      <c r="CUV10"/>
      <c r="CUW10"/>
      <c r="CUX10"/>
      <c r="CUY10"/>
      <c r="CUZ10"/>
      <c r="CVA10"/>
      <c r="CVB10"/>
      <c r="CVC10"/>
      <c r="CVD10"/>
      <c r="CVE10"/>
      <c r="CVF10"/>
      <c r="CVG10"/>
      <c r="CVH10"/>
      <c r="CVI10"/>
      <c r="CVJ10"/>
      <c r="CVK10"/>
      <c r="CVL10"/>
      <c r="CVM10"/>
      <c r="CVN10"/>
      <c r="CVO10"/>
      <c r="CVP10"/>
      <c r="CVQ10"/>
      <c r="CVR10"/>
      <c r="CVS10"/>
      <c r="CVT10"/>
      <c r="CVU10"/>
      <c r="CVV10"/>
      <c r="CVW10"/>
      <c r="CVX10"/>
      <c r="CVY10"/>
      <c r="CVZ10"/>
      <c r="CWA10"/>
      <c r="CWB10"/>
      <c r="CWC10"/>
      <c r="CWD10"/>
      <c r="CWE10"/>
      <c r="CWF10"/>
      <c r="CWG10"/>
      <c r="CWH10"/>
      <c r="CWI10"/>
      <c r="CWJ10"/>
      <c r="CWK10"/>
      <c r="CWL10"/>
      <c r="CWM10"/>
      <c r="CWN10"/>
      <c r="CWO10"/>
      <c r="CWP10"/>
      <c r="CWQ10"/>
      <c r="CWR10"/>
      <c r="CWS10"/>
      <c r="CWT10"/>
      <c r="CWU10"/>
      <c r="CWV10"/>
      <c r="CWW10"/>
      <c r="CWX10"/>
      <c r="CWY10"/>
      <c r="CWZ10"/>
      <c r="CXA10"/>
      <c r="CXB10"/>
      <c r="CXC10"/>
      <c r="CXD10"/>
      <c r="CXE10"/>
      <c r="CXF10"/>
      <c r="CXG10"/>
      <c r="CXH10"/>
      <c r="CXI10"/>
      <c r="CXJ10"/>
      <c r="CXK10"/>
      <c r="CXL10"/>
      <c r="CXM10"/>
      <c r="CXN10"/>
      <c r="CXO10"/>
      <c r="CXP10"/>
      <c r="CXQ10"/>
      <c r="CXR10"/>
      <c r="CXS10"/>
      <c r="CXT10"/>
      <c r="CXU10"/>
      <c r="CXV10"/>
      <c r="CXW10"/>
      <c r="CXX10"/>
      <c r="CXY10"/>
      <c r="CXZ10"/>
      <c r="CYA10"/>
      <c r="CYB10"/>
      <c r="CYC10"/>
      <c r="CYD10"/>
      <c r="CYE10"/>
      <c r="CYF10"/>
      <c r="CYG10"/>
      <c r="CYH10"/>
      <c r="CYI10"/>
      <c r="CYJ10"/>
      <c r="CYK10"/>
      <c r="CYL10"/>
      <c r="CYM10"/>
      <c r="CYN10"/>
      <c r="CYO10"/>
      <c r="CYP10"/>
      <c r="CYQ10"/>
      <c r="CYR10"/>
      <c r="CYS10"/>
      <c r="CYT10"/>
      <c r="CYU10"/>
      <c r="CYV10"/>
      <c r="CYW10"/>
      <c r="CYX10"/>
      <c r="CYY10"/>
      <c r="CYZ10"/>
      <c r="CZA10"/>
      <c r="CZB10"/>
      <c r="CZC10"/>
      <c r="CZD10"/>
      <c r="CZE10"/>
      <c r="CZF10"/>
      <c r="CZG10"/>
      <c r="CZH10"/>
      <c r="CZI10"/>
      <c r="CZJ10"/>
      <c r="CZK10"/>
      <c r="CZL10"/>
      <c r="CZM10"/>
      <c r="CZN10"/>
      <c r="CZO10"/>
      <c r="CZP10"/>
      <c r="CZQ10"/>
      <c r="CZR10"/>
      <c r="CZS10"/>
      <c r="CZT10"/>
      <c r="CZU10"/>
      <c r="CZV10"/>
      <c r="CZW10"/>
      <c r="CZX10"/>
      <c r="CZY10"/>
      <c r="CZZ10"/>
      <c r="DAA10"/>
      <c r="DAB10"/>
      <c r="DAC10"/>
      <c r="DAD10"/>
      <c r="DAE10"/>
      <c r="DAF10"/>
      <c r="DAG10"/>
      <c r="DAH10"/>
      <c r="DAI10"/>
      <c r="DAJ10"/>
      <c r="DAK10"/>
      <c r="DAL10"/>
      <c r="DAM10"/>
      <c r="DAN10"/>
      <c r="DAO10"/>
      <c r="DAP10"/>
      <c r="DAQ10"/>
      <c r="DAR10"/>
      <c r="DAS10"/>
      <c r="DAT10"/>
      <c r="DAU10"/>
      <c r="DAV10"/>
      <c r="DAW10"/>
      <c r="DAX10"/>
      <c r="DAY10"/>
      <c r="DAZ10"/>
      <c r="DBA10"/>
      <c r="DBB10"/>
      <c r="DBC10"/>
      <c r="DBD10"/>
      <c r="DBE10"/>
      <c r="DBF10"/>
      <c r="DBG10"/>
      <c r="DBH10"/>
      <c r="DBI10"/>
      <c r="DBJ10"/>
      <c r="DBK10"/>
      <c r="DBL10"/>
      <c r="DBM10"/>
      <c r="DBN10"/>
      <c r="DBO10"/>
      <c r="DBP10"/>
      <c r="DBQ10"/>
      <c r="DBR10"/>
      <c r="DBS10"/>
      <c r="DBT10"/>
      <c r="DBU10"/>
      <c r="DBV10"/>
      <c r="DBW10"/>
      <c r="DBX10"/>
      <c r="DBY10"/>
      <c r="DBZ10"/>
      <c r="DCA10"/>
      <c r="DCB10"/>
      <c r="DCC10"/>
      <c r="DCD10"/>
      <c r="DCE10"/>
      <c r="DCF10"/>
      <c r="DCG10"/>
      <c r="DCH10"/>
      <c r="DCI10"/>
      <c r="DCJ10"/>
      <c r="DCK10"/>
      <c r="DCL10"/>
      <c r="DCM10"/>
      <c r="DCN10"/>
      <c r="DCO10"/>
      <c r="DCP10"/>
      <c r="DCQ10"/>
      <c r="DCR10"/>
      <c r="DCS10"/>
      <c r="DCT10"/>
      <c r="DCU10"/>
      <c r="DCV10"/>
      <c r="DCW10"/>
      <c r="DCX10"/>
      <c r="DCY10"/>
      <c r="DCZ10"/>
      <c r="DDA10"/>
      <c r="DDB10"/>
      <c r="DDC10"/>
      <c r="DDD10"/>
      <c r="DDE10"/>
      <c r="DDF10"/>
      <c r="DDG10"/>
      <c r="DDH10"/>
      <c r="DDI10"/>
      <c r="DDJ10"/>
      <c r="DDK10"/>
      <c r="DDL10"/>
      <c r="DDM10"/>
      <c r="DDN10"/>
      <c r="DDO10"/>
      <c r="DDP10"/>
      <c r="DDQ10"/>
      <c r="DDR10"/>
      <c r="DDS10"/>
      <c r="DDT10"/>
      <c r="DDU10"/>
      <c r="DDV10"/>
      <c r="DDW10"/>
      <c r="DDX10"/>
      <c r="DDY10"/>
      <c r="DDZ10"/>
      <c r="DEA10"/>
      <c r="DEB10"/>
      <c r="DEC10"/>
      <c r="DED10"/>
      <c r="DEE10"/>
      <c r="DEF10"/>
      <c r="DEG10"/>
      <c r="DEH10"/>
      <c r="DEI10"/>
      <c r="DEJ10"/>
      <c r="DEK10"/>
      <c r="DEL10"/>
      <c r="DEM10"/>
      <c r="DEN10"/>
      <c r="DEO10"/>
      <c r="DEP10"/>
      <c r="DEQ10"/>
      <c r="DER10"/>
      <c r="DES10"/>
      <c r="DET10"/>
      <c r="DEU10"/>
      <c r="DEV10"/>
      <c r="DEW10"/>
      <c r="DEX10"/>
      <c r="DEY10"/>
      <c r="DEZ10"/>
      <c r="DFA10"/>
      <c r="DFB10"/>
      <c r="DFC10"/>
      <c r="DFD10"/>
      <c r="DFE10"/>
      <c r="DFF10"/>
      <c r="DFG10"/>
      <c r="DFH10"/>
      <c r="DFI10"/>
      <c r="DFJ10"/>
      <c r="DFK10"/>
      <c r="DFL10"/>
      <c r="DFM10"/>
      <c r="DFN10"/>
      <c r="DFO10"/>
      <c r="DFP10"/>
      <c r="DFQ10"/>
      <c r="DFR10"/>
      <c r="DFS10"/>
      <c r="DFT10"/>
      <c r="DFU10"/>
      <c r="DFV10"/>
      <c r="DFW10"/>
      <c r="DFX10"/>
      <c r="DFY10"/>
      <c r="DFZ10"/>
      <c r="DGA10"/>
      <c r="DGB10"/>
      <c r="DGC10"/>
      <c r="DGD10"/>
      <c r="DGE10"/>
      <c r="DGF10"/>
      <c r="DGG10"/>
      <c r="DGH10"/>
      <c r="DGI10"/>
      <c r="DGJ10"/>
      <c r="DGK10"/>
      <c r="DGL10"/>
      <c r="DGM10"/>
      <c r="DGN10"/>
      <c r="DGO10"/>
      <c r="DGP10"/>
      <c r="DGQ10"/>
      <c r="DGR10"/>
      <c r="DGS10"/>
      <c r="DGT10"/>
      <c r="DGU10"/>
      <c r="DGV10"/>
      <c r="DGW10"/>
      <c r="DGX10"/>
      <c r="DGY10"/>
      <c r="DGZ10"/>
      <c r="DHA10"/>
      <c r="DHB10"/>
      <c r="DHC10"/>
      <c r="DHD10"/>
      <c r="DHE10"/>
      <c r="DHF10"/>
      <c r="DHG10"/>
      <c r="DHH10"/>
      <c r="DHI10"/>
      <c r="DHJ10"/>
      <c r="DHK10"/>
      <c r="DHL10"/>
      <c r="DHM10"/>
      <c r="DHN10"/>
      <c r="DHO10"/>
      <c r="DHP10"/>
      <c r="DHQ10"/>
      <c r="DHR10"/>
      <c r="DHS10"/>
      <c r="DHT10"/>
      <c r="DHU10"/>
      <c r="DHV10"/>
      <c r="DHW10"/>
      <c r="DHX10"/>
      <c r="DHY10"/>
      <c r="DHZ10"/>
      <c r="DIA10"/>
      <c r="DIB10"/>
      <c r="DIC10"/>
      <c r="DID10"/>
      <c r="DIE10"/>
      <c r="DIF10"/>
      <c r="DIG10"/>
      <c r="DIH10"/>
      <c r="DII10"/>
      <c r="DIJ10"/>
      <c r="DIK10"/>
      <c r="DIL10"/>
      <c r="DIM10"/>
      <c r="DIN10"/>
      <c r="DIO10"/>
      <c r="DIP10"/>
      <c r="DIQ10"/>
      <c r="DIR10"/>
      <c r="DIS10"/>
      <c r="DIT10"/>
      <c r="DIU10"/>
      <c r="DIV10"/>
      <c r="DIW10"/>
      <c r="DIX10"/>
      <c r="DIY10"/>
      <c r="DIZ10"/>
      <c r="DJA10"/>
      <c r="DJB10"/>
      <c r="DJC10"/>
      <c r="DJD10"/>
      <c r="DJE10"/>
      <c r="DJF10"/>
      <c r="DJG10"/>
      <c r="DJH10"/>
      <c r="DJI10"/>
      <c r="DJJ10"/>
      <c r="DJK10"/>
      <c r="DJL10"/>
      <c r="DJM10"/>
      <c r="DJN10"/>
      <c r="DJO10"/>
      <c r="DJP10"/>
      <c r="DJQ10"/>
      <c r="DJR10"/>
      <c r="DJS10"/>
      <c r="DJT10"/>
      <c r="DJU10"/>
      <c r="DJV10"/>
      <c r="DJW10"/>
      <c r="DJX10"/>
      <c r="DJY10"/>
      <c r="DJZ10"/>
      <c r="DKA10"/>
      <c r="DKB10"/>
      <c r="DKC10"/>
      <c r="DKD10"/>
      <c r="DKE10"/>
      <c r="DKF10"/>
      <c r="DKG10"/>
      <c r="DKH10"/>
      <c r="DKI10"/>
      <c r="DKJ10"/>
      <c r="DKK10"/>
      <c r="DKL10"/>
      <c r="DKM10"/>
      <c r="DKN10"/>
      <c r="DKO10"/>
      <c r="DKP10"/>
      <c r="DKQ10"/>
      <c r="DKR10"/>
      <c r="DKS10"/>
      <c r="DKT10"/>
      <c r="DKU10"/>
      <c r="DKV10"/>
      <c r="DKW10"/>
      <c r="DKX10"/>
      <c r="DKY10"/>
      <c r="DKZ10"/>
      <c r="DLA10"/>
      <c r="DLB10"/>
      <c r="DLC10"/>
      <c r="DLD10"/>
      <c r="DLE10"/>
      <c r="DLF10"/>
      <c r="DLG10"/>
      <c r="DLH10"/>
      <c r="DLI10"/>
      <c r="DLJ10"/>
      <c r="DLK10"/>
      <c r="DLL10"/>
      <c r="DLM10"/>
      <c r="DLN10"/>
      <c r="DLO10"/>
      <c r="DLP10"/>
      <c r="DLQ10"/>
      <c r="DLR10"/>
      <c r="DLS10"/>
      <c r="DLT10"/>
      <c r="DLU10"/>
      <c r="DLV10"/>
      <c r="DLW10"/>
      <c r="DLX10"/>
      <c r="DLY10"/>
      <c r="DLZ10"/>
      <c r="DMA10"/>
      <c r="DMB10"/>
      <c r="DMC10"/>
      <c r="DMD10"/>
      <c r="DME10"/>
      <c r="DMF10"/>
      <c r="DMG10"/>
      <c r="DMH10"/>
      <c r="DMI10"/>
      <c r="DMJ10"/>
      <c r="DMK10"/>
      <c r="DML10"/>
      <c r="DMM10"/>
      <c r="DMN10"/>
      <c r="DMO10"/>
      <c r="DMP10"/>
      <c r="DMQ10"/>
      <c r="DMR10"/>
      <c r="DMS10"/>
      <c r="DMT10"/>
      <c r="DMU10"/>
      <c r="DMV10"/>
      <c r="DMW10"/>
      <c r="DMX10"/>
      <c r="DMY10"/>
      <c r="DMZ10"/>
      <c r="DNA10"/>
      <c r="DNB10"/>
      <c r="DNC10"/>
      <c r="DND10"/>
      <c r="DNE10"/>
      <c r="DNF10"/>
      <c r="DNG10"/>
      <c r="DNH10"/>
      <c r="DNI10"/>
      <c r="DNJ10"/>
      <c r="DNK10"/>
      <c r="DNL10"/>
      <c r="DNM10"/>
      <c r="DNN10"/>
      <c r="DNO10"/>
      <c r="DNP10"/>
      <c r="DNQ10"/>
      <c r="DNR10"/>
      <c r="DNS10"/>
      <c r="DNT10"/>
      <c r="DNU10"/>
      <c r="DNV10"/>
      <c r="DNW10"/>
      <c r="DNX10"/>
      <c r="DNY10"/>
      <c r="DNZ10"/>
      <c r="DOA10"/>
      <c r="DOB10"/>
      <c r="DOC10"/>
      <c r="DOD10"/>
      <c r="DOE10"/>
      <c r="DOF10"/>
      <c r="DOG10"/>
      <c r="DOH10"/>
      <c r="DOI10"/>
      <c r="DOJ10"/>
      <c r="DOK10"/>
      <c r="DOL10"/>
      <c r="DOM10"/>
      <c r="DON10"/>
      <c r="DOO10"/>
      <c r="DOP10"/>
      <c r="DOQ10"/>
      <c r="DOR10"/>
      <c r="DOS10"/>
      <c r="DOT10"/>
      <c r="DOU10"/>
      <c r="DOV10"/>
      <c r="DOW10"/>
      <c r="DOX10"/>
      <c r="DOY10"/>
      <c r="DOZ10"/>
      <c r="DPA10"/>
      <c r="DPB10"/>
      <c r="DPC10"/>
      <c r="DPD10"/>
      <c r="DPE10"/>
      <c r="DPF10"/>
      <c r="DPG10"/>
      <c r="DPH10"/>
      <c r="DPI10"/>
      <c r="DPJ10"/>
      <c r="DPK10"/>
      <c r="DPL10"/>
      <c r="DPM10"/>
      <c r="DPN10"/>
      <c r="DPO10"/>
      <c r="DPP10"/>
      <c r="DPQ10"/>
      <c r="DPR10"/>
      <c r="DPS10"/>
      <c r="DPT10"/>
      <c r="DPU10"/>
      <c r="DPV10"/>
      <c r="DPW10"/>
      <c r="DPX10"/>
      <c r="DPY10"/>
      <c r="DPZ10"/>
      <c r="DQA10"/>
      <c r="DQB10"/>
      <c r="DQC10"/>
      <c r="DQD10"/>
      <c r="DQE10"/>
      <c r="DQF10"/>
      <c r="DQG10"/>
      <c r="DQH10"/>
      <c r="DQI10"/>
      <c r="DQJ10"/>
      <c r="DQK10"/>
      <c r="DQL10"/>
      <c r="DQM10"/>
      <c r="DQN10"/>
      <c r="DQO10"/>
      <c r="DQP10"/>
      <c r="DQQ10"/>
      <c r="DQR10"/>
      <c r="DQS10"/>
      <c r="DQT10"/>
      <c r="DQU10"/>
      <c r="DQV10"/>
      <c r="DQW10"/>
      <c r="DQX10"/>
      <c r="DQY10"/>
      <c r="DQZ10"/>
      <c r="DRA10"/>
      <c r="DRB10"/>
      <c r="DRC10"/>
      <c r="DRD10"/>
      <c r="DRE10"/>
      <c r="DRF10"/>
      <c r="DRG10"/>
      <c r="DRH10"/>
      <c r="DRI10"/>
      <c r="DRJ10"/>
      <c r="DRK10"/>
      <c r="DRL10"/>
      <c r="DRM10"/>
      <c r="DRN10"/>
      <c r="DRO10"/>
      <c r="DRP10"/>
      <c r="DRQ10"/>
      <c r="DRR10"/>
      <c r="DRS10"/>
      <c r="DRT10"/>
      <c r="DRU10"/>
      <c r="DRV10"/>
      <c r="DRW10"/>
      <c r="DRX10"/>
      <c r="DRY10"/>
      <c r="DRZ10"/>
      <c r="DSA10"/>
      <c r="DSB10"/>
      <c r="DSC10"/>
      <c r="DSD10"/>
      <c r="DSE10"/>
      <c r="DSF10"/>
      <c r="DSG10"/>
      <c r="DSH10"/>
      <c r="DSI10"/>
      <c r="DSJ10"/>
      <c r="DSK10"/>
      <c r="DSL10"/>
      <c r="DSM10"/>
      <c r="DSN10"/>
      <c r="DSO10"/>
      <c r="DSP10"/>
      <c r="DSQ10"/>
      <c r="DSR10"/>
      <c r="DSS10"/>
      <c r="DST10"/>
      <c r="DSU10"/>
      <c r="DSV10"/>
      <c r="DSW10"/>
      <c r="DSX10"/>
      <c r="DSY10"/>
      <c r="DSZ10"/>
      <c r="DTA10"/>
      <c r="DTB10"/>
      <c r="DTC10"/>
      <c r="DTD10"/>
      <c r="DTE10"/>
      <c r="DTF10"/>
      <c r="DTG10"/>
      <c r="DTH10"/>
      <c r="DTI10"/>
      <c r="DTJ10"/>
      <c r="DTK10"/>
      <c r="DTL10"/>
      <c r="DTM10"/>
      <c r="DTN10"/>
      <c r="DTO10"/>
      <c r="DTP10"/>
      <c r="DTQ10"/>
      <c r="DTR10"/>
      <c r="DTS10"/>
      <c r="DTT10"/>
      <c r="DTU10"/>
      <c r="DTV10"/>
      <c r="DTW10"/>
      <c r="DTX10"/>
      <c r="DTY10"/>
      <c r="DTZ10"/>
      <c r="DUA10"/>
      <c r="DUB10"/>
      <c r="DUC10"/>
      <c r="DUD10"/>
      <c r="DUE10"/>
      <c r="DUF10"/>
      <c r="DUG10"/>
      <c r="DUH10"/>
      <c r="DUI10"/>
      <c r="DUJ10"/>
      <c r="DUK10"/>
      <c r="DUL10"/>
      <c r="DUM10"/>
      <c r="DUN10"/>
      <c r="DUO10"/>
      <c r="DUP10"/>
      <c r="DUQ10"/>
      <c r="DUR10"/>
      <c r="DUS10"/>
      <c r="DUT10"/>
      <c r="DUU10"/>
      <c r="DUV10"/>
      <c r="DUW10"/>
      <c r="DUX10"/>
      <c r="DUY10"/>
      <c r="DUZ10"/>
      <c r="DVA10"/>
      <c r="DVB10"/>
      <c r="DVC10"/>
      <c r="DVD10"/>
      <c r="DVE10"/>
      <c r="DVF10"/>
      <c r="DVG10"/>
      <c r="DVH10"/>
      <c r="DVI10"/>
      <c r="DVJ10"/>
      <c r="DVK10"/>
      <c r="DVL10"/>
      <c r="DVM10"/>
      <c r="DVN10"/>
      <c r="DVO10"/>
      <c r="DVP10"/>
      <c r="DVQ10"/>
      <c r="DVR10"/>
      <c r="DVS10"/>
      <c r="DVT10"/>
      <c r="DVU10"/>
      <c r="DVV10"/>
      <c r="DVW10"/>
      <c r="DVX10"/>
      <c r="DVY10"/>
      <c r="DVZ10"/>
      <c r="DWA10"/>
      <c r="DWB10"/>
      <c r="DWC10"/>
      <c r="DWD10"/>
      <c r="DWE10"/>
      <c r="DWF10"/>
      <c r="DWG10"/>
      <c r="DWH10"/>
      <c r="DWI10"/>
      <c r="DWJ10"/>
      <c r="DWK10"/>
      <c r="DWL10"/>
      <c r="DWM10"/>
      <c r="DWN10"/>
      <c r="DWO10"/>
      <c r="DWP10"/>
      <c r="DWQ10"/>
      <c r="DWR10"/>
      <c r="DWS10"/>
      <c r="DWT10"/>
      <c r="DWU10"/>
      <c r="DWV10"/>
      <c r="DWW10"/>
      <c r="DWX10"/>
      <c r="DWY10"/>
      <c r="DWZ10"/>
      <c r="DXA10"/>
      <c r="DXB10"/>
      <c r="DXC10"/>
      <c r="DXD10"/>
      <c r="DXE10"/>
      <c r="DXF10"/>
      <c r="DXG10"/>
      <c r="DXH10"/>
      <c r="DXI10"/>
      <c r="DXJ10"/>
      <c r="DXK10"/>
      <c r="DXL10"/>
      <c r="DXM10"/>
      <c r="DXN10"/>
      <c r="DXO10"/>
      <c r="DXP10"/>
      <c r="DXQ10"/>
      <c r="DXR10"/>
      <c r="DXS10"/>
      <c r="DXT10"/>
      <c r="DXU10"/>
      <c r="DXV10"/>
      <c r="DXW10"/>
      <c r="DXX10"/>
      <c r="DXY10"/>
      <c r="DXZ10"/>
      <c r="DYA10"/>
      <c r="DYB10"/>
      <c r="DYC10"/>
      <c r="DYD10"/>
      <c r="DYE10"/>
      <c r="DYF10"/>
      <c r="DYG10"/>
      <c r="DYH10"/>
      <c r="DYI10"/>
      <c r="DYJ10"/>
      <c r="DYK10"/>
      <c r="DYL10"/>
      <c r="DYM10"/>
      <c r="DYN10"/>
      <c r="DYO10"/>
      <c r="DYP10"/>
      <c r="DYQ10"/>
      <c r="DYR10"/>
      <c r="DYS10"/>
      <c r="DYT10"/>
      <c r="DYU10"/>
      <c r="DYV10"/>
      <c r="DYW10"/>
      <c r="DYX10"/>
      <c r="DYY10"/>
      <c r="DYZ10"/>
      <c r="DZA10"/>
      <c r="DZB10"/>
      <c r="DZC10"/>
      <c r="DZD10"/>
      <c r="DZE10"/>
      <c r="DZF10"/>
      <c r="DZG10"/>
      <c r="DZH10"/>
      <c r="DZI10"/>
      <c r="DZJ10"/>
      <c r="DZK10"/>
      <c r="DZL10"/>
      <c r="DZM10"/>
      <c r="DZN10"/>
      <c r="DZO10"/>
      <c r="DZP10"/>
      <c r="DZQ10"/>
      <c r="DZR10"/>
      <c r="DZS10"/>
      <c r="DZT10"/>
      <c r="DZU10"/>
      <c r="DZV10"/>
      <c r="DZW10"/>
      <c r="DZX10"/>
      <c r="DZY10"/>
      <c r="DZZ10"/>
      <c r="EAA10"/>
      <c r="EAB10"/>
      <c r="EAC10"/>
      <c r="EAD10"/>
      <c r="EAE10"/>
      <c r="EAF10"/>
      <c r="EAG10"/>
      <c r="EAH10"/>
      <c r="EAI10"/>
      <c r="EAJ10"/>
      <c r="EAK10"/>
      <c r="EAL10"/>
      <c r="EAM10"/>
      <c r="EAN10"/>
      <c r="EAO10"/>
      <c r="EAP10"/>
      <c r="EAQ10"/>
      <c r="EAR10"/>
      <c r="EAS10"/>
      <c r="EAT10"/>
      <c r="EAU10"/>
      <c r="EAV10"/>
      <c r="EAW10"/>
      <c r="EAX10"/>
      <c r="EAY10"/>
      <c r="EAZ10"/>
      <c r="EBA10"/>
      <c r="EBB10"/>
      <c r="EBC10"/>
      <c r="EBD10"/>
      <c r="EBE10"/>
      <c r="EBF10"/>
      <c r="EBG10"/>
      <c r="EBH10"/>
      <c r="EBI10"/>
      <c r="EBJ10"/>
      <c r="EBK10"/>
      <c r="EBL10"/>
      <c r="EBM10"/>
      <c r="EBN10"/>
      <c r="EBO10"/>
      <c r="EBP10"/>
      <c r="EBQ10"/>
      <c r="EBR10"/>
      <c r="EBS10"/>
      <c r="EBT10"/>
      <c r="EBU10"/>
      <c r="EBV10"/>
      <c r="EBW10"/>
      <c r="EBX10"/>
      <c r="EBY10"/>
      <c r="EBZ10"/>
      <c r="ECA10"/>
      <c r="ECB10"/>
      <c r="ECC10"/>
      <c r="ECD10"/>
      <c r="ECE10"/>
      <c r="ECF10"/>
      <c r="ECG10"/>
      <c r="ECH10"/>
      <c r="ECI10"/>
      <c r="ECJ10"/>
      <c r="ECK10"/>
      <c r="ECL10"/>
      <c r="ECM10"/>
      <c r="ECN10"/>
      <c r="ECO10"/>
      <c r="ECP10"/>
      <c r="ECQ10"/>
      <c r="ECR10"/>
      <c r="ECS10"/>
      <c r="ECT10"/>
      <c r="ECU10"/>
      <c r="ECV10"/>
      <c r="ECW10"/>
      <c r="ECX10"/>
      <c r="ECY10"/>
      <c r="ECZ10"/>
      <c r="EDA10"/>
      <c r="EDB10"/>
      <c r="EDC10"/>
      <c r="EDD10"/>
      <c r="EDE10"/>
      <c r="EDF10"/>
      <c r="EDG10"/>
      <c r="EDH10"/>
      <c r="EDI10"/>
      <c r="EDJ10"/>
      <c r="EDK10"/>
      <c r="EDL10"/>
      <c r="EDM10"/>
      <c r="EDN10"/>
      <c r="EDO10"/>
      <c r="EDP10"/>
      <c r="EDQ10"/>
      <c r="EDR10"/>
      <c r="EDS10"/>
      <c r="EDT10"/>
      <c r="EDU10"/>
      <c r="EDV10"/>
      <c r="EDW10"/>
      <c r="EDX10"/>
      <c r="EDY10"/>
      <c r="EDZ10"/>
      <c r="EEA10"/>
      <c r="EEB10"/>
      <c r="EEC10"/>
      <c r="EED10"/>
      <c r="EEE10"/>
      <c r="EEF10"/>
      <c r="EEG10"/>
      <c r="EEH10"/>
      <c r="EEI10"/>
      <c r="EEJ10"/>
      <c r="EEK10"/>
      <c r="EEL10"/>
      <c r="EEM10"/>
      <c r="EEN10"/>
      <c r="EEO10"/>
      <c r="EEP10"/>
      <c r="EEQ10"/>
      <c r="EER10"/>
      <c r="EES10"/>
      <c r="EET10"/>
      <c r="EEU10"/>
      <c r="EEV10"/>
      <c r="EEW10"/>
      <c r="EEX10"/>
      <c r="EEY10"/>
      <c r="EEZ10"/>
      <c r="EFA10"/>
      <c r="EFB10"/>
      <c r="EFC10"/>
      <c r="EFD10"/>
      <c r="EFE10"/>
      <c r="EFF10"/>
      <c r="EFG10"/>
      <c r="EFH10"/>
      <c r="EFI10"/>
      <c r="EFJ10"/>
      <c r="EFK10"/>
      <c r="EFL10"/>
      <c r="EFM10"/>
      <c r="EFN10"/>
      <c r="EFO10"/>
      <c r="EFP10"/>
      <c r="EFQ10"/>
      <c r="EFR10"/>
      <c r="EFS10"/>
      <c r="EFT10"/>
      <c r="EFU10"/>
      <c r="EFV10"/>
      <c r="EFW10"/>
      <c r="EFX10"/>
      <c r="EFY10"/>
      <c r="EFZ10"/>
      <c r="EGA10"/>
      <c r="EGB10"/>
      <c r="EGC10"/>
      <c r="EGD10"/>
      <c r="EGE10"/>
      <c r="EGF10"/>
      <c r="EGG10"/>
      <c r="EGH10"/>
      <c r="EGI10"/>
      <c r="EGJ10"/>
      <c r="EGK10"/>
      <c r="EGL10"/>
      <c r="EGM10"/>
      <c r="EGN10"/>
      <c r="EGO10"/>
      <c r="EGP10"/>
      <c r="EGQ10"/>
      <c r="EGR10"/>
      <c r="EGS10"/>
      <c r="EGT10"/>
      <c r="EGU10"/>
      <c r="EGV10"/>
      <c r="EGW10"/>
      <c r="EGX10"/>
      <c r="EGY10"/>
      <c r="EGZ10"/>
      <c r="EHA10"/>
      <c r="EHB10"/>
      <c r="EHC10"/>
      <c r="EHD10"/>
      <c r="EHE10"/>
      <c r="EHF10"/>
      <c r="EHG10"/>
      <c r="EHH10"/>
      <c r="EHI10"/>
      <c r="EHJ10"/>
      <c r="EHK10"/>
      <c r="EHL10"/>
      <c r="EHM10"/>
      <c r="EHN10"/>
      <c r="EHO10"/>
      <c r="EHP10"/>
      <c r="EHQ10"/>
      <c r="EHR10"/>
      <c r="EHS10"/>
      <c r="EHT10"/>
      <c r="EHU10"/>
      <c r="EHV10"/>
      <c r="EHW10"/>
      <c r="EHX10"/>
      <c r="EHY10"/>
      <c r="EHZ10"/>
      <c r="EIA10"/>
      <c r="EIB10"/>
      <c r="EIC10"/>
      <c r="EID10"/>
      <c r="EIE10"/>
      <c r="EIF10"/>
      <c r="EIG10"/>
      <c r="EIH10"/>
      <c r="EII10"/>
      <c r="EIJ10"/>
      <c r="EIK10"/>
      <c r="EIL10"/>
      <c r="EIM10"/>
      <c r="EIN10"/>
      <c r="EIO10"/>
      <c r="EIP10"/>
      <c r="EIQ10"/>
      <c r="EIR10"/>
      <c r="EIS10"/>
      <c r="EIT10"/>
      <c r="EIU10"/>
      <c r="EIV10"/>
      <c r="EIW10"/>
      <c r="EIX10"/>
      <c r="EIY10"/>
      <c r="EIZ10"/>
      <c r="EJA10"/>
      <c r="EJB10"/>
      <c r="EJC10"/>
      <c r="EJD10"/>
      <c r="EJE10"/>
      <c r="EJF10"/>
      <c r="EJG10"/>
      <c r="EJH10"/>
      <c r="EJI10"/>
      <c r="EJJ10"/>
      <c r="EJK10"/>
      <c r="EJL10"/>
      <c r="EJM10"/>
      <c r="EJN10"/>
      <c r="EJO10"/>
      <c r="EJP10"/>
      <c r="EJQ10"/>
      <c r="EJR10"/>
      <c r="EJS10"/>
      <c r="EJT10"/>
      <c r="EJU10"/>
      <c r="EJV10"/>
      <c r="EJW10"/>
      <c r="EJX10"/>
      <c r="EJY10"/>
      <c r="EJZ10"/>
      <c r="EKA10"/>
      <c r="EKB10"/>
      <c r="EKC10"/>
      <c r="EKD10"/>
      <c r="EKE10"/>
      <c r="EKF10"/>
      <c r="EKG10"/>
      <c r="EKH10"/>
      <c r="EKI10"/>
      <c r="EKJ10"/>
      <c r="EKK10"/>
      <c r="EKL10"/>
      <c r="EKM10"/>
      <c r="EKN10"/>
      <c r="EKO10"/>
      <c r="EKP10"/>
      <c r="EKQ10"/>
      <c r="EKR10"/>
      <c r="EKS10"/>
      <c r="EKT10"/>
      <c r="EKU10"/>
      <c r="EKV10"/>
      <c r="EKW10"/>
      <c r="EKX10"/>
      <c r="EKY10"/>
      <c r="EKZ10"/>
      <c r="ELA10"/>
      <c r="ELB10"/>
      <c r="ELC10"/>
      <c r="ELD10"/>
      <c r="ELE10"/>
      <c r="ELF10"/>
      <c r="ELG10"/>
      <c r="ELH10"/>
      <c r="ELI10"/>
      <c r="ELJ10"/>
      <c r="ELK10"/>
      <c r="ELL10"/>
      <c r="ELM10"/>
      <c r="ELN10"/>
      <c r="ELO10"/>
      <c r="ELP10"/>
      <c r="ELQ10"/>
      <c r="ELR10"/>
      <c r="ELS10"/>
      <c r="ELT10"/>
      <c r="ELU10"/>
      <c r="ELV10"/>
      <c r="ELW10"/>
      <c r="ELX10"/>
      <c r="ELY10"/>
      <c r="ELZ10"/>
      <c r="EMA10"/>
      <c r="EMB10"/>
      <c r="EMC10"/>
      <c r="EMD10"/>
      <c r="EME10"/>
      <c r="EMF10"/>
      <c r="EMG10"/>
      <c r="EMH10"/>
      <c r="EMI10"/>
      <c r="EMJ10"/>
      <c r="EMK10"/>
      <c r="EML10"/>
      <c r="EMM10"/>
      <c r="EMN10"/>
      <c r="EMO10"/>
      <c r="EMP10"/>
      <c r="EMQ10"/>
      <c r="EMR10"/>
      <c r="EMS10"/>
      <c r="EMT10"/>
      <c r="EMU10"/>
      <c r="EMV10"/>
      <c r="EMW10"/>
      <c r="EMX10"/>
      <c r="EMY10"/>
      <c r="EMZ10"/>
      <c r="ENA10"/>
      <c r="ENB10"/>
      <c r="ENC10"/>
      <c r="END10"/>
      <c r="ENE10"/>
      <c r="ENF10"/>
      <c r="ENG10"/>
      <c r="ENH10"/>
      <c r="ENI10"/>
      <c r="ENJ10"/>
      <c r="ENK10"/>
      <c r="ENL10"/>
      <c r="ENM10"/>
      <c r="ENN10"/>
      <c r="ENO10"/>
      <c r="ENP10"/>
      <c r="ENQ10"/>
      <c r="ENR10"/>
      <c r="ENS10"/>
      <c r="ENT10"/>
      <c r="ENU10"/>
      <c r="ENV10"/>
      <c r="ENW10"/>
      <c r="ENX10"/>
      <c r="ENY10"/>
      <c r="ENZ10"/>
      <c r="EOA10"/>
      <c r="EOB10"/>
      <c r="EOC10"/>
      <c r="EOD10"/>
      <c r="EOE10"/>
      <c r="EOF10"/>
      <c r="EOG10"/>
      <c r="EOH10"/>
      <c r="EOI10"/>
      <c r="EOJ10"/>
      <c r="EOK10"/>
      <c r="EOL10"/>
      <c r="EOM10"/>
      <c r="EON10"/>
      <c r="EOO10"/>
      <c r="EOP10"/>
      <c r="EOQ10"/>
      <c r="EOR10"/>
      <c r="EOS10"/>
      <c r="EOT10"/>
      <c r="EOU10"/>
      <c r="EOV10"/>
      <c r="EOW10"/>
      <c r="EOX10"/>
      <c r="EOY10"/>
      <c r="EOZ10"/>
      <c r="EPA10"/>
      <c r="EPB10"/>
      <c r="EPC10"/>
      <c r="EPD10"/>
      <c r="EPE10"/>
      <c r="EPF10"/>
      <c r="EPG10"/>
      <c r="EPH10"/>
      <c r="EPI10"/>
      <c r="EPJ10"/>
      <c r="EPK10"/>
      <c r="EPL10"/>
      <c r="EPM10"/>
      <c r="EPN10"/>
      <c r="EPO10"/>
      <c r="EPP10"/>
      <c r="EPQ10"/>
      <c r="EPR10"/>
      <c r="EPS10"/>
      <c r="EPT10"/>
      <c r="EPU10"/>
      <c r="EPV10"/>
      <c r="EPW10"/>
      <c r="EPX10"/>
      <c r="EPY10"/>
      <c r="EPZ10"/>
      <c r="EQA10"/>
      <c r="EQB10"/>
      <c r="EQC10"/>
      <c r="EQD10"/>
      <c r="EQE10"/>
      <c r="EQF10"/>
      <c r="EQG10"/>
      <c r="EQH10"/>
      <c r="EQI10"/>
      <c r="EQJ10"/>
      <c r="EQK10"/>
      <c r="EQL10"/>
      <c r="EQM10"/>
      <c r="EQN10"/>
      <c r="EQO10"/>
      <c r="EQP10"/>
      <c r="EQQ10"/>
      <c r="EQR10"/>
      <c r="EQS10"/>
      <c r="EQT10"/>
      <c r="EQU10"/>
      <c r="EQV10"/>
      <c r="EQW10"/>
      <c r="EQX10"/>
      <c r="EQY10"/>
      <c r="EQZ10"/>
      <c r="ERA10"/>
      <c r="ERB10"/>
      <c r="ERC10"/>
      <c r="ERD10"/>
      <c r="ERE10"/>
      <c r="ERF10"/>
      <c r="ERG10"/>
      <c r="ERH10"/>
      <c r="ERI10"/>
      <c r="ERJ10"/>
      <c r="ERK10"/>
      <c r="ERL10"/>
      <c r="ERM10"/>
      <c r="ERN10"/>
      <c r="ERO10"/>
      <c r="ERP10"/>
      <c r="ERQ10"/>
      <c r="ERR10"/>
      <c r="ERS10"/>
      <c r="ERT10"/>
      <c r="ERU10"/>
      <c r="ERV10"/>
      <c r="ERW10"/>
      <c r="ERX10"/>
      <c r="ERY10"/>
      <c r="ERZ10"/>
      <c r="ESA10"/>
      <c r="ESB10"/>
      <c r="ESC10"/>
      <c r="ESD10"/>
      <c r="ESE10"/>
      <c r="ESF10"/>
      <c r="ESG10"/>
      <c r="ESH10"/>
      <c r="ESI10"/>
      <c r="ESJ10"/>
      <c r="ESK10"/>
      <c r="ESL10"/>
      <c r="ESM10"/>
      <c r="ESN10"/>
      <c r="ESO10"/>
      <c r="ESP10"/>
      <c r="ESQ10"/>
      <c r="ESR10"/>
      <c r="ESS10"/>
      <c r="EST10"/>
      <c r="ESU10"/>
      <c r="ESV10"/>
      <c r="ESW10"/>
      <c r="ESX10"/>
      <c r="ESY10"/>
      <c r="ESZ10"/>
      <c r="ETA10"/>
      <c r="ETB10"/>
      <c r="ETC10"/>
      <c r="ETD10"/>
      <c r="ETE10"/>
      <c r="ETF10"/>
      <c r="ETG10"/>
      <c r="ETH10"/>
      <c r="ETI10"/>
      <c r="ETJ10"/>
      <c r="ETK10"/>
      <c r="ETL10"/>
      <c r="ETM10"/>
      <c r="ETN10"/>
      <c r="ETO10"/>
      <c r="ETP10"/>
      <c r="ETQ10"/>
      <c r="ETR10"/>
      <c r="ETS10"/>
      <c r="ETT10"/>
      <c r="ETU10"/>
      <c r="ETV10"/>
      <c r="ETW10"/>
      <c r="ETX10"/>
      <c r="ETY10"/>
      <c r="ETZ10"/>
      <c r="EUA10"/>
      <c r="EUB10"/>
      <c r="EUC10"/>
      <c r="EUD10"/>
      <c r="EUE10"/>
      <c r="EUF10"/>
      <c r="EUG10"/>
      <c r="EUH10"/>
      <c r="EUI10"/>
      <c r="EUJ10"/>
      <c r="EUK10"/>
      <c r="EUL10"/>
      <c r="EUM10"/>
      <c r="EUN10"/>
      <c r="EUO10"/>
      <c r="EUP10"/>
      <c r="EUQ10"/>
      <c r="EUR10"/>
      <c r="EUS10"/>
      <c r="EUT10"/>
      <c r="EUU10"/>
      <c r="EUV10"/>
      <c r="EUW10"/>
      <c r="EUX10"/>
      <c r="EUY10"/>
      <c r="EUZ10"/>
      <c r="EVA10"/>
      <c r="EVB10"/>
      <c r="EVC10"/>
      <c r="EVD10"/>
      <c r="EVE10"/>
      <c r="EVF10"/>
      <c r="EVG10"/>
      <c r="EVH10"/>
      <c r="EVI10"/>
      <c r="EVJ10"/>
      <c r="EVK10"/>
      <c r="EVL10"/>
      <c r="EVM10"/>
      <c r="EVN10"/>
      <c r="EVO10"/>
      <c r="EVP10"/>
      <c r="EVQ10"/>
      <c r="EVR10"/>
      <c r="EVS10"/>
      <c r="EVT10"/>
      <c r="EVU10"/>
      <c r="EVV10"/>
      <c r="EVW10"/>
      <c r="EVX10"/>
      <c r="EVY10"/>
      <c r="EVZ10"/>
      <c r="EWA10"/>
      <c r="EWB10"/>
      <c r="EWC10"/>
      <c r="EWD10"/>
      <c r="EWE10"/>
      <c r="EWF10"/>
      <c r="EWG10"/>
      <c r="EWH10"/>
      <c r="EWI10"/>
      <c r="EWJ10"/>
      <c r="EWK10"/>
      <c r="EWL10"/>
      <c r="EWM10"/>
      <c r="EWN10"/>
      <c r="EWO10"/>
      <c r="EWP10"/>
      <c r="EWQ10"/>
      <c r="EWR10"/>
      <c r="EWS10"/>
      <c r="EWT10"/>
      <c r="EWU10"/>
      <c r="EWV10"/>
      <c r="EWW10"/>
      <c r="EWX10"/>
      <c r="EWY10"/>
      <c r="EWZ10"/>
      <c r="EXA10"/>
      <c r="EXB10"/>
      <c r="EXC10"/>
      <c r="EXD10"/>
      <c r="EXE10"/>
      <c r="EXF10"/>
      <c r="EXG10"/>
      <c r="EXH10"/>
      <c r="EXI10"/>
      <c r="EXJ10"/>
      <c r="EXK10"/>
      <c r="EXL10"/>
      <c r="EXM10"/>
      <c r="EXN10"/>
      <c r="EXO10"/>
      <c r="EXP10"/>
      <c r="EXQ10"/>
      <c r="EXR10"/>
      <c r="EXS10"/>
      <c r="EXT10"/>
      <c r="EXU10"/>
      <c r="EXV10"/>
      <c r="EXW10"/>
      <c r="EXX10"/>
      <c r="EXY10"/>
      <c r="EXZ10"/>
      <c r="EYA10"/>
      <c r="EYB10"/>
      <c r="EYC10"/>
      <c r="EYD10"/>
      <c r="EYE10"/>
      <c r="EYF10"/>
      <c r="EYG10"/>
      <c r="EYH10"/>
      <c r="EYI10"/>
      <c r="EYJ10"/>
      <c r="EYK10"/>
      <c r="EYL10"/>
      <c r="EYM10"/>
      <c r="EYN10"/>
      <c r="EYO10"/>
      <c r="EYP10"/>
      <c r="EYQ10"/>
      <c r="EYR10"/>
      <c r="EYS10"/>
      <c r="EYT10"/>
      <c r="EYU10"/>
      <c r="EYV10"/>
      <c r="EYW10"/>
      <c r="EYX10"/>
      <c r="EYY10"/>
      <c r="EYZ10"/>
      <c r="EZA10"/>
      <c r="EZB10"/>
      <c r="EZC10"/>
      <c r="EZD10"/>
      <c r="EZE10"/>
      <c r="EZF10"/>
      <c r="EZG10"/>
      <c r="EZH10"/>
      <c r="EZI10"/>
      <c r="EZJ10"/>
      <c r="EZK10"/>
      <c r="EZL10"/>
      <c r="EZM10"/>
      <c r="EZN10"/>
      <c r="EZO10"/>
      <c r="EZP10"/>
      <c r="EZQ10"/>
      <c r="EZR10"/>
      <c r="EZS10"/>
      <c r="EZT10"/>
      <c r="EZU10"/>
      <c r="EZV10"/>
      <c r="EZW10"/>
      <c r="EZX10"/>
      <c r="EZY10"/>
      <c r="EZZ10"/>
      <c r="FAA10"/>
      <c r="FAB10"/>
      <c r="FAC10"/>
      <c r="FAD10"/>
      <c r="FAE10"/>
      <c r="FAF10"/>
      <c r="FAG10"/>
      <c r="FAH10"/>
      <c r="FAI10"/>
      <c r="FAJ10"/>
      <c r="FAK10"/>
      <c r="FAL10"/>
      <c r="FAM10"/>
      <c r="FAN10"/>
      <c r="FAO10"/>
      <c r="FAP10"/>
      <c r="FAQ10"/>
      <c r="FAR10"/>
      <c r="FAS10"/>
      <c r="FAT10"/>
      <c r="FAU10"/>
      <c r="FAV10"/>
      <c r="FAW10"/>
      <c r="FAX10"/>
      <c r="FAY10"/>
      <c r="FAZ10"/>
      <c r="FBA10"/>
      <c r="FBB10"/>
      <c r="FBC10"/>
      <c r="FBD10"/>
      <c r="FBE10"/>
      <c r="FBF10"/>
      <c r="FBG10"/>
      <c r="FBH10"/>
      <c r="FBI10"/>
      <c r="FBJ10"/>
      <c r="FBK10"/>
      <c r="FBL10"/>
      <c r="FBM10"/>
      <c r="FBN10"/>
      <c r="FBO10"/>
      <c r="FBP10"/>
      <c r="FBQ10"/>
      <c r="FBR10"/>
      <c r="FBS10"/>
      <c r="FBT10"/>
      <c r="FBU10"/>
      <c r="FBV10"/>
      <c r="FBW10"/>
      <c r="FBX10"/>
      <c r="FBY10"/>
      <c r="FBZ10"/>
      <c r="FCA10"/>
      <c r="FCB10"/>
      <c r="FCC10"/>
      <c r="FCD10"/>
      <c r="FCE10"/>
      <c r="FCF10"/>
      <c r="FCG10"/>
      <c r="FCH10"/>
      <c r="FCI10"/>
      <c r="FCJ10"/>
      <c r="FCK10"/>
      <c r="FCL10"/>
      <c r="FCM10"/>
      <c r="FCN10"/>
      <c r="FCO10"/>
      <c r="FCP10"/>
      <c r="FCQ10"/>
      <c r="FCR10"/>
      <c r="FCS10"/>
      <c r="FCT10"/>
      <c r="FCU10"/>
      <c r="FCV10"/>
      <c r="FCW10"/>
      <c r="FCX10"/>
      <c r="FCY10"/>
      <c r="FCZ10"/>
      <c r="FDA10"/>
      <c r="FDB10"/>
      <c r="FDC10"/>
      <c r="FDD10"/>
      <c r="FDE10"/>
      <c r="FDF10"/>
      <c r="FDG10"/>
      <c r="FDH10"/>
      <c r="FDI10"/>
      <c r="FDJ10"/>
      <c r="FDK10"/>
      <c r="FDL10"/>
      <c r="FDM10"/>
      <c r="FDN10"/>
      <c r="FDO10"/>
      <c r="FDP10"/>
      <c r="FDQ10"/>
      <c r="FDR10"/>
      <c r="FDS10"/>
      <c r="FDT10"/>
      <c r="FDU10"/>
      <c r="FDV10"/>
      <c r="FDW10"/>
      <c r="FDX10"/>
      <c r="FDY10"/>
      <c r="FDZ10"/>
      <c r="FEA10"/>
      <c r="FEB10"/>
      <c r="FEC10"/>
      <c r="FED10"/>
      <c r="FEE10"/>
      <c r="FEF10"/>
      <c r="FEG10"/>
      <c r="FEH10"/>
      <c r="FEI10"/>
      <c r="FEJ10"/>
      <c r="FEK10"/>
      <c r="FEL10"/>
      <c r="FEM10"/>
      <c r="FEN10"/>
      <c r="FEO10"/>
      <c r="FEP10"/>
      <c r="FEQ10"/>
      <c r="FER10"/>
      <c r="FES10"/>
      <c r="FET10"/>
      <c r="FEU10"/>
      <c r="FEV10"/>
      <c r="FEW10"/>
      <c r="FEX10"/>
      <c r="FEY10"/>
      <c r="FEZ10"/>
      <c r="FFA10"/>
      <c r="FFB10"/>
      <c r="FFC10"/>
      <c r="FFD10"/>
      <c r="FFE10"/>
      <c r="FFF10"/>
      <c r="FFG10"/>
      <c r="FFH10"/>
      <c r="FFI10"/>
      <c r="FFJ10"/>
      <c r="FFK10"/>
      <c r="FFL10"/>
      <c r="FFM10"/>
      <c r="FFN10"/>
      <c r="FFO10"/>
      <c r="FFP10"/>
      <c r="FFQ10"/>
      <c r="FFR10"/>
      <c r="FFS10"/>
      <c r="FFT10"/>
      <c r="FFU10"/>
      <c r="FFV10"/>
      <c r="FFW10"/>
      <c r="FFX10"/>
      <c r="FFY10"/>
      <c r="FFZ10"/>
      <c r="FGA10"/>
      <c r="FGB10"/>
      <c r="FGC10"/>
      <c r="FGD10"/>
      <c r="FGE10"/>
      <c r="FGF10"/>
      <c r="FGG10"/>
      <c r="FGH10"/>
      <c r="FGI10"/>
      <c r="FGJ10"/>
      <c r="FGK10"/>
      <c r="FGL10"/>
      <c r="FGM10"/>
      <c r="FGN10"/>
      <c r="FGO10"/>
      <c r="FGP10"/>
      <c r="FGQ10"/>
      <c r="FGR10"/>
      <c r="FGS10"/>
      <c r="FGT10"/>
      <c r="FGU10"/>
      <c r="FGV10"/>
      <c r="FGW10"/>
      <c r="FGX10"/>
      <c r="FGY10"/>
      <c r="FGZ10"/>
      <c r="FHA10"/>
      <c r="FHB10"/>
      <c r="FHC10"/>
      <c r="FHD10"/>
      <c r="FHE10"/>
      <c r="FHF10"/>
      <c r="FHG10"/>
      <c r="FHH10"/>
      <c r="FHI10"/>
      <c r="FHJ10"/>
      <c r="FHK10"/>
      <c r="FHL10"/>
      <c r="FHM10"/>
      <c r="FHN10"/>
      <c r="FHO10"/>
      <c r="FHP10"/>
      <c r="FHQ10"/>
      <c r="FHR10"/>
      <c r="FHS10"/>
      <c r="FHT10"/>
      <c r="FHU10"/>
      <c r="FHV10"/>
      <c r="FHW10"/>
      <c r="FHX10"/>
      <c r="FHY10"/>
      <c r="FHZ10"/>
      <c r="FIA10"/>
      <c r="FIB10"/>
      <c r="FIC10"/>
      <c r="FID10"/>
      <c r="FIE10"/>
      <c r="FIF10"/>
      <c r="FIG10"/>
      <c r="FIH10"/>
      <c r="FII10"/>
      <c r="FIJ10"/>
      <c r="FIK10"/>
      <c r="FIL10"/>
      <c r="FIM10"/>
      <c r="FIN10"/>
      <c r="FIO10"/>
      <c r="FIP10"/>
      <c r="FIQ10"/>
      <c r="FIR10"/>
      <c r="FIS10"/>
      <c r="FIT10"/>
      <c r="FIU10"/>
      <c r="FIV10"/>
      <c r="FIW10"/>
      <c r="FIX10"/>
      <c r="FIY10"/>
      <c r="FIZ10"/>
      <c r="FJA10"/>
      <c r="FJB10"/>
      <c r="FJC10"/>
      <c r="FJD10"/>
      <c r="FJE10"/>
      <c r="FJF10"/>
      <c r="FJG10"/>
      <c r="FJH10"/>
      <c r="FJI10"/>
      <c r="FJJ10"/>
      <c r="FJK10"/>
      <c r="FJL10"/>
      <c r="FJM10"/>
      <c r="FJN10"/>
      <c r="FJO10"/>
      <c r="FJP10"/>
      <c r="FJQ10"/>
      <c r="FJR10"/>
      <c r="FJS10"/>
      <c r="FJT10"/>
      <c r="FJU10"/>
      <c r="FJV10"/>
      <c r="FJW10"/>
      <c r="FJX10"/>
      <c r="FJY10"/>
      <c r="FJZ10"/>
      <c r="FKA10"/>
      <c r="FKB10"/>
      <c r="FKC10"/>
      <c r="FKD10"/>
      <c r="FKE10"/>
      <c r="FKF10"/>
      <c r="FKG10"/>
      <c r="FKH10"/>
      <c r="FKI10"/>
      <c r="FKJ10"/>
      <c r="FKK10"/>
      <c r="FKL10"/>
      <c r="FKM10"/>
      <c r="FKN10"/>
      <c r="FKO10"/>
      <c r="FKP10"/>
      <c r="FKQ10"/>
      <c r="FKR10"/>
      <c r="FKS10"/>
      <c r="FKT10"/>
      <c r="FKU10"/>
      <c r="FKV10"/>
      <c r="FKW10"/>
      <c r="FKX10"/>
      <c r="FKY10"/>
      <c r="FKZ10"/>
      <c r="FLA10"/>
      <c r="FLB10"/>
      <c r="FLC10"/>
      <c r="FLD10"/>
      <c r="FLE10"/>
      <c r="FLF10"/>
      <c r="FLG10"/>
      <c r="FLH10"/>
      <c r="FLI10"/>
      <c r="FLJ10"/>
      <c r="FLK10"/>
      <c r="FLL10"/>
      <c r="FLM10"/>
      <c r="FLN10"/>
      <c r="FLO10"/>
      <c r="FLP10"/>
      <c r="FLQ10"/>
      <c r="FLR10"/>
      <c r="FLS10"/>
      <c r="FLT10"/>
      <c r="FLU10"/>
      <c r="FLV10"/>
      <c r="FLW10"/>
      <c r="FLX10"/>
      <c r="FLY10"/>
      <c r="FLZ10"/>
      <c r="FMA10"/>
      <c r="FMB10"/>
      <c r="FMC10"/>
      <c r="FMD10"/>
      <c r="FME10"/>
      <c r="FMF10"/>
      <c r="FMG10"/>
      <c r="FMH10"/>
      <c r="FMI10"/>
      <c r="FMJ10"/>
      <c r="FMK10"/>
      <c r="FML10"/>
      <c r="FMM10"/>
      <c r="FMN10"/>
      <c r="FMO10"/>
      <c r="FMP10"/>
      <c r="FMQ10"/>
      <c r="FMR10"/>
      <c r="FMS10"/>
      <c r="FMT10"/>
      <c r="FMU10"/>
      <c r="FMV10"/>
      <c r="FMW10"/>
      <c r="FMX10"/>
      <c r="FMY10"/>
      <c r="FMZ10"/>
      <c r="FNA10"/>
      <c r="FNB10"/>
      <c r="FNC10"/>
      <c r="FND10"/>
      <c r="FNE10"/>
      <c r="FNF10"/>
      <c r="FNG10"/>
      <c r="FNH10"/>
      <c r="FNI10"/>
      <c r="FNJ10"/>
      <c r="FNK10"/>
      <c r="FNL10"/>
      <c r="FNM10"/>
      <c r="FNN10"/>
      <c r="FNO10"/>
      <c r="FNP10"/>
      <c r="FNQ10"/>
      <c r="FNR10"/>
      <c r="FNS10"/>
      <c r="FNT10"/>
      <c r="FNU10"/>
      <c r="FNV10"/>
      <c r="FNW10"/>
      <c r="FNX10"/>
      <c r="FNY10"/>
      <c r="FNZ10"/>
      <c r="FOA10"/>
      <c r="FOB10"/>
      <c r="FOC10"/>
      <c r="FOD10"/>
      <c r="FOE10"/>
      <c r="FOF10"/>
      <c r="FOG10"/>
      <c r="FOH10"/>
      <c r="FOI10"/>
      <c r="FOJ10"/>
      <c r="FOK10"/>
      <c r="FOL10"/>
      <c r="FOM10"/>
      <c r="FON10"/>
      <c r="FOO10"/>
      <c r="FOP10"/>
      <c r="FOQ10"/>
      <c r="FOR10"/>
      <c r="FOS10"/>
      <c r="FOT10"/>
      <c r="FOU10"/>
      <c r="FOV10"/>
      <c r="FOW10"/>
      <c r="FOX10"/>
      <c r="FOY10"/>
      <c r="FOZ10"/>
      <c r="FPA10"/>
      <c r="FPB10"/>
      <c r="FPC10"/>
      <c r="FPD10"/>
      <c r="FPE10"/>
      <c r="FPF10"/>
      <c r="FPG10"/>
      <c r="FPH10"/>
      <c r="FPI10"/>
      <c r="FPJ10"/>
      <c r="FPK10"/>
      <c r="FPL10"/>
      <c r="FPM10"/>
      <c r="FPN10"/>
      <c r="FPO10"/>
      <c r="FPP10"/>
      <c r="FPQ10"/>
      <c r="FPR10"/>
      <c r="FPS10"/>
      <c r="FPT10"/>
      <c r="FPU10"/>
      <c r="FPV10"/>
      <c r="FPW10"/>
      <c r="FPX10"/>
      <c r="FPY10"/>
      <c r="FPZ10"/>
      <c r="FQA10"/>
      <c r="FQB10"/>
      <c r="FQC10"/>
      <c r="FQD10"/>
      <c r="FQE10"/>
      <c r="FQF10"/>
      <c r="FQG10"/>
      <c r="FQH10"/>
      <c r="FQI10"/>
      <c r="FQJ10"/>
      <c r="FQK10"/>
      <c r="FQL10"/>
      <c r="FQM10"/>
      <c r="FQN10"/>
      <c r="FQO10"/>
      <c r="FQP10"/>
      <c r="FQQ10"/>
      <c r="FQR10"/>
      <c r="FQS10"/>
      <c r="FQT10"/>
      <c r="FQU10"/>
      <c r="FQV10"/>
      <c r="FQW10"/>
      <c r="FQX10"/>
      <c r="FQY10"/>
      <c r="FQZ10"/>
      <c r="FRA10"/>
      <c r="FRB10"/>
      <c r="FRC10"/>
      <c r="FRD10"/>
      <c r="FRE10"/>
      <c r="FRF10"/>
      <c r="FRG10"/>
      <c r="FRH10"/>
      <c r="FRI10"/>
      <c r="FRJ10"/>
      <c r="FRK10"/>
      <c r="FRL10"/>
      <c r="FRM10"/>
      <c r="FRN10"/>
      <c r="FRO10"/>
      <c r="FRP10"/>
      <c r="FRQ10"/>
      <c r="FRR10"/>
      <c r="FRS10"/>
      <c r="FRT10"/>
      <c r="FRU10"/>
      <c r="FRV10"/>
      <c r="FRW10"/>
      <c r="FRX10"/>
      <c r="FRY10"/>
      <c r="FRZ10"/>
      <c r="FSA10"/>
      <c r="FSB10"/>
      <c r="FSC10"/>
      <c r="FSD10"/>
      <c r="FSE10"/>
      <c r="FSF10"/>
      <c r="FSG10"/>
      <c r="FSH10"/>
      <c r="FSI10"/>
      <c r="FSJ10"/>
      <c r="FSK10"/>
      <c r="FSL10"/>
      <c r="FSM10"/>
      <c r="FSN10"/>
      <c r="FSO10"/>
      <c r="FSP10"/>
      <c r="FSQ10"/>
      <c r="FSR10"/>
      <c r="FSS10"/>
      <c r="FST10"/>
      <c r="FSU10"/>
      <c r="FSV10"/>
      <c r="FSW10"/>
      <c r="FSX10"/>
      <c r="FSY10"/>
      <c r="FSZ10"/>
      <c r="FTA10"/>
      <c r="FTB10"/>
      <c r="FTC10"/>
      <c r="FTD10"/>
      <c r="FTE10"/>
      <c r="FTF10"/>
      <c r="FTG10"/>
      <c r="FTH10"/>
      <c r="FTI10"/>
      <c r="FTJ10"/>
      <c r="FTK10"/>
      <c r="FTL10"/>
      <c r="FTM10"/>
      <c r="FTN10"/>
      <c r="FTO10"/>
      <c r="FTP10"/>
      <c r="FTQ10"/>
      <c r="FTR10"/>
      <c r="FTS10"/>
      <c r="FTT10"/>
      <c r="FTU10"/>
      <c r="FTV10"/>
      <c r="FTW10"/>
      <c r="FTX10"/>
      <c r="FTY10"/>
      <c r="FTZ10"/>
      <c r="FUA10"/>
      <c r="FUB10"/>
      <c r="FUC10"/>
      <c r="FUD10"/>
      <c r="FUE10"/>
      <c r="FUF10"/>
      <c r="FUG10"/>
      <c r="FUH10"/>
      <c r="FUI10"/>
      <c r="FUJ10"/>
      <c r="FUK10"/>
      <c r="FUL10"/>
      <c r="FUM10"/>
      <c r="FUN10"/>
      <c r="FUO10"/>
      <c r="FUP10"/>
      <c r="FUQ10"/>
      <c r="FUR10"/>
      <c r="FUS10"/>
      <c r="FUT10"/>
      <c r="FUU10"/>
      <c r="FUV10"/>
      <c r="FUW10"/>
      <c r="FUX10"/>
      <c r="FUY10"/>
      <c r="FUZ10"/>
      <c r="FVA10"/>
      <c r="FVB10"/>
      <c r="FVC10"/>
      <c r="FVD10"/>
      <c r="FVE10"/>
      <c r="FVF10"/>
      <c r="FVG10"/>
      <c r="FVH10"/>
      <c r="FVI10"/>
      <c r="FVJ10"/>
      <c r="FVK10"/>
      <c r="FVL10"/>
      <c r="FVM10"/>
      <c r="FVN10"/>
      <c r="FVO10"/>
      <c r="FVP10"/>
      <c r="FVQ10"/>
      <c r="FVR10"/>
      <c r="FVS10"/>
      <c r="FVT10"/>
      <c r="FVU10"/>
      <c r="FVV10"/>
      <c r="FVW10"/>
      <c r="FVX10"/>
      <c r="FVY10"/>
      <c r="FVZ10"/>
      <c r="FWA10"/>
      <c r="FWB10"/>
      <c r="FWC10"/>
      <c r="FWD10"/>
      <c r="FWE10"/>
      <c r="FWF10"/>
      <c r="FWG10"/>
      <c r="FWH10"/>
      <c r="FWI10"/>
      <c r="FWJ10"/>
      <c r="FWK10"/>
      <c r="FWL10"/>
      <c r="FWM10"/>
      <c r="FWN10"/>
      <c r="FWO10"/>
      <c r="FWP10"/>
      <c r="FWQ10"/>
      <c r="FWR10"/>
      <c r="FWS10"/>
      <c r="FWT10"/>
      <c r="FWU10"/>
      <c r="FWV10"/>
      <c r="FWW10"/>
      <c r="FWX10"/>
      <c r="FWY10"/>
      <c r="FWZ10"/>
      <c r="FXA10"/>
      <c r="FXB10"/>
      <c r="FXC10"/>
      <c r="FXD10"/>
      <c r="FXE10"/>
      <c r="FXF10"/>
      <c r="FXG10"/>
      <c r="FXH10"/>
      <c r="FXI10"/>
      <c r="FXJ10"/>
      <c r="FXK10"/>
      <c r="FXL10"/>
      <c r="FXM10"/>
      <c r="FXN10"/>
      <c r="FXO10"/>
      <c r="FXP10"/>
      <c r="FXQ10"/>
      <c r="FXR10"/>
      <c r="FXS10"/>
      <c r="FXT10"/>
      <c r="FXU10"/>
      <c r="FXV10"/>
      <c r="FXW10"/>
      <c r="FXX10"/>
      <c r="FXY10"/>
      <c r="FXZ10"/>
      <c r="FYA10"/>
      <c r="FYB10"/>
      <c r="FYC10"/>
      <c r="FYD10"/>
      <c r="FYE10"/>
      <c r="FYF10"/>
      <c r="FYG10"/>
      <c r="FYH10"/>
      <c r="FYI10"/>
      <c r="FYJ10"/>
      <c r="FYK10"/>
      <c r="FYL10"/>
      <c r="FYM10"/>
      <c r="FYN10"/>
      <c r="FYO10"/>
      <c r="FYP10"/>
      <c r="FYQ10"/>
      <c r="FYR10"/>
      <c r="FYS10"/>
      <c r="FYT10"/>
      <c r="FYU10"/>
      <c r="FYV10"/>
      <c r="FYW10"/>
      <c r="FYX10"/>
      <c r="FYY10"/>
      <c r="FYZ10"/>
      <c r="FZA10"/>
      <c r="FZB10"/>
      <c r="FZC10"/>
      <c r="FZD10"/>
      <c r="FZE10"/>
      <c r="FZF10"/>
      <c r="FZG10"/>
      <c r="FZH10"/>
      <c r="FZI10"/>
      <c r="FZJ10"/>
      <c r="FZK10"/>
      <c r="FZL10"/>
      <c r="FZM10"/>
      <c r="FZN10"/>
      <c r="FZO10"/>
      <c r="FZP10"/>
      <c r="FZQ10"/>
      <c r="FZR10"/>
      <c r="FZS10"/>
      <c r="FZT10"/>
      <c r="FZU10"/>
      <c r="FZV10"/>
      <c r="FZW10"/>
      <c r="FZX10"/>
      <c r="FZY10"/>
      <c r="FZZ10"/>
      <c r="GAA10"/>
      <c r="GAB10"/>
      <c r="GAC10"/>
      <c r="GAD10"/>
      <c r="GAE10"/>
      <c r="GAF10"/>
      <c r="GAG10"/>
      <c r="GAH10"/>
      <c r="GAI10"/>
      <c r="GAJ10"/>
      <c r="GAK10"/>
      <c r="GAL10"/>
      <c r="GAM10"/>
      <c r="GAN10"/>
      <c r="GAO10"/>
      <c r="GAP10"/>
      <c r="GAQ10"/>
      <c r="GAR10"/>
      <c r="GAS10"/>
      <c r="GAT10"/>
      <c r="GAU10"/>
      <c r="GAV10"/>
      <c r="GAW10"/>
      <c r="GAX10"/>
      <c r="GAY10"/>
      <c r="GAZ10"/>
      <c r="GBA10"/>
      <c r="GBB10"/>
      <c r="GBC10"/>
      <c r="GBD10"/>
      <c r="GBE10"/>
      <c r="GBF10"/>
      <c r="GBG10"/>
      <c r="GBH10"/>
      <c r="GBI10"/>
      <c r="GBJ10"/>
      <c r="GBK10"/>
      <c r="GBL10"/>
      <c r="GBM10"/>
      <c r="GBN10"/>
      <c r="GBO10"/>
      <c r="GBP10"/>
      <c r="GBQ10"/>
      <c r="GBR10"/>
      <c r="GBS10"/>
      <c r="GBT10"/>
      <c r="GBU10"/>
      <c r="GBV10"/>
      <c r="GBW10"/>
      <c r="GBX10"/>
      <c r="GBY10"/>
      <c r="GBZ10"/>
      <c r="GCA10"/>
      <c r="GCB10"/>
      <c r="GCC10"/>
      <c r="GCD10"/>
      <c r="GCE10"/>
      <c r="GCF10"/>
      <c r="GCG10"/>
      <c r="GCH10"/>
      <c r="GCI10"/>
      <c r="GCJ10"/>
      <c r="GCK10"/>
      <c r="GCL10"/>
      <c r="GCM10"/>
      <c r="GCN10"/>
      <c r="GCO10"/>
      <c r="GCP10"/>
      <c r="GCQ10"/>
      <c r="GCR10"/>
      <c r="GCS10"/>
      <c r="GCT10"/>
      <c r="GCU10"/>
      <c r="GCV10"/>
      <c r="GCW10"/>
      <c r="GCX10"/>
      <c r="GCY10"/>
      <c r="GCZ10"/>
      <c r="GDA10"/>
      <c r="GDB10"/>
      <c r="GDC10"/>
      <c r="GDD10"/>
      <c r="GDE10"/>
      <c r="GDF10"/>
      <c r="GDG10"/>
      <c r="GDH10"/>
      <c r="GDI10"/>
      <c r="GDJ10"/>
      <c r="GDK10"/>
      <c r="GDL10"/>
      <c r="GDM10"/>
      <c r="GDN10"/>
      <c r="GDO10"/>
      <c r="GDP10"/>
      <c r="GDQ10"/>
      <c r="GDR10"/>
      <c r="GDS10"/>
      <c r="GDT10"/>
      <c r="GDU10"/>
      <c r="GDV10"/>
      <c r="GDW10"/>
      <c r="GDX10"/>
      <c r="GDY10"/>
      <c r="GDZ10"/>
      <c r="GEA10"/>
      <c r="GEB10"/>
      <c r="GEC10"/>
      <c r="GED10"/>
      <c r="GEE10"/>
      <c r="GEF10"/>
      <c r="GEG10"/>
      <c r="GEH10"/>
      <c r="GEI10"/>
      <c r="GEJ10"/>
      <c r="GEK10"/>
      <c r="GEL10"/>
      <c r="GEM10"/>
      <c r="GEN10"/>
      <c r="GEO10"/>
      <c r="GEP10"/>
      <c r="GEQ10"/>
      <c r="GER10"/>
      <c r="GES10"/>
      <c r="GET10"/>
      <c r="GEU10"/>
      <c r="GEV10"/>
      <c r="GEW10"/>
      <c r="GEX10"/>
      <c r="GEY10"/>
      <c r="GEZ10"/>
      <c r="GFA10"/>
      <c r="GFB10"/>
      <c r="GFC10"/>
      <c r="GFD10"/>
      <c r="GFE10"/>
      <c r="GFF10"/>
      <c r="GFG10"/>
      <c r="GFH10"/>
      <c r="GFI10"/>
      <c r="GFJ10"/>
      <c r="GFK10"/>
      <c r="GFL10"/>
      <c r="GFM10"/>
      <c r="GFN10"/>
      <c r="GFO10"/>
      <c r="GFP10"/>
      <c r="GFQ10"/>
      <c r="GFR10"/>
      <c r="GFS10"/>
      <c r="GFT10"/>
      <c r="GFU10"/>
      <c r="GFV10"/>
      <c r="GFW10"/>
      <c r="GFX10"/>
      <c r="GFY10"/>
      <c r="GFZ10"/>
      <c r="GGA10"/>
      <c r="GGB10"/>
      <c r="GGC10"/>
      <c r="GGD10"/>
      <c r="GGE10"/>
      <c r="GGF10"/>
      <c r="GGG10"/>
      <c r="GGH10"/>
      <c r="GGI10"/>
      <c r="GGJ10"/>
      <c r="GGK10"/>
      <c r="GGL10"/>
      <c r="GGM10"/>
      <c r="GGN10"/>
      <c r="GGO10"/>
      <c r="GGP10"/>
      <c r="GGQ10"/>
      <c r="GGR10"/>
      <c r="GGS10"/>
      <c r="GGT10"/>
      <c r="GGU10"/>
      <c r="GGV10"/>
      <c r="GGW10"/>
      <c r="GGX10"/>
      <c r="GGY10"/>
      <c r="GGZ10"/>
      <c r="GHA10"/>
      <c r="GHB10"/>
      <c r="GHC10"/>
      <c r="GHD10"/>
      <c r="GHE10"/>
      <c r="GHF10"/>
      <c r="GHG10"/>
      <c r="GHH10"/>
      <c r="GHI10"/>
      <c r="GHJ10"/>
      <c r="GHK10"/>
      <c r="GHL10"/>
      <c r="GHM10"/>
      <c r="GHN10"/>
      <c r="GHO10"/>
      <c r="GHP10"/>
      <c r="GHQ10"/>
      <c r="GHR10"/>
      <c r="GHS10"/>
      <c r="GHT10"/>
      <c r="GHU10"/>
      <c r="GHV10"/>
      <c r="GHW10"/>
      <c r="GHX10"/>
      <c r="GHY10"/>
      <c r="GHZ10"/>
      <c r="GIA10"/>
      <c r="GIB10"/>
      <c r="GIC10"/>
      <c r="GID10"/>
      <c r="GIE10"/>
      <c r="GIF10"/>
      <c r="GIG10"/>
      <c r="GIH10"/>
      <c r="GII10"/>
      <c r="GIJ10"/>
      <c r="GIK10"/>
      <c r="GIL10"/>
      <c r="GIM10"/>
      <c r="GIN10"/>
      <c r="GIO10"/>
      <c r="GIP10"/>
      <c r="GIQ10"/>
      <c r="GIR10"/>
      <c r="GIS10"/>
      <c r="GIT10"/>
      <c r="GIU10"/>
      <c r="GIV10"/>
      <c r="GIW10"/>
      <c r="GIX10"/>
      <c r="GIY10"/>
      <c r="GIZ10"/>
      <c r="GJA10"/>
      <c r="GJB10"/>
      <c r="GJC10"/>
      <c r="GJD10"/>
      <c r="GJE10"/>
      <c r="GJF10"/>
      <c r="GJG10"/>
      <c r="GJH10"/>
      <c r="GJI10"/>
      <c r="GJJ10"/>
      <c r="GJK10"/>
      <c r="GJL10"/>
      <c r="GJM10"/>
      <c r="GJN10"/>
      <c r="GJO10"/>
      <c r="GJP10"/>
      <c r="GJQ10"/>
      <c r="GJR10"/>
      <c r="GJS10"/>
      <c r="GJT10"/>
      <c r="GJU10"/>
      <c r="GJV10"/>
      <c r="GJW10"/>
      <c r="GJX10"/>
      <c r="GJY10"/>
      <c r="GJZ10"/>
      <c r="GKA10"/>
      <c r="GKB10"/>
      <c r="GKC10"/>
      <c r="GKD10"/>
      <c r="GKE10"/>
      <c r="GKF10"/>
      <c r="GKG10"/>
      <c r="GKH10"/>
      <c r="GKI10"/>
      <c r="GKJ10"/>
      <c r="GKK10"/>
      <c r="GKL10"/>
      <c r="GKM10"/>
      <c r="GKN10"/>
      <c r="GKO10"/>
      <c r="GKP10"/>
      <c r="GKQ10"/>
      <c r="GKR10"/>
      <c r="GKS10"/>
      <c r="GKT10"/>
      <c r="GKU10"/>
      <c r="GKV10"/>
      <c r="GKW10"/>
      <c r="GKX10"/>
      <c r="GKY10"/>
      <c r="GKZ10"/>
      <c r="GLA10"/>
      <c r="GLB10"/>
      <c r="GLC10"/>
      <c r="GLD10"/>
      <c r="GLE10"/>
      <c r="GLF10"/>
      <c r="GLG10"/>
      <c r="GLH10"/>
      <c r="GLI10"/>
      <c r="GLJ10"/>
      <c r="GLK10"/>
      <c r="GLL10"/>
      <c r="GLM10"/>
      <c r="GLN10"/>
      <c r="GLO10"/>
      <c r="GLP10"/>
      <c r="GLQ10"/>
      <c r="GLR10"/>
      <c r="GLS10"/>
      <c r="GLT10"/>
      <c r="GLU10"/>
      <c r="GLV10"/>
      <c r="GLW10"/>
      <c r="GLX10"/>
      <c r="GLY10"/>
      <c r="GLZ10"/>
      <c r="GMA10"/>
      <c r="GMB10"/>
      <c r="GMC10"/>
      <c r="GMD10"/>
      <c r="GME10"/>
      <c r="GMF10"/>
      <c r="GMG10"/>
      <c r="GMH10"/>
      <c r="GMI10"/>
      <c r="GMJ10"/>
      <c r="GMK10"/>
      <c r="GML10"/>
      <c r="GMM10"/>
      <c r="GMN10"/>
      <c r="GMO10"/>
      <c r="GMP10"/>
      <c r="GMQ10"/>
      <c r="GMR10"/>
      <c r="GMS10"/>
      <c r="GMT10"/>
      <c r="GMU10"/>
      <c r="GMV10"/>
      <c r="GMW10"/>
      <c r="GMX10"/>
      <c r="GMY10"/>
      <c r="GMZ10"/>
      <c r="GNA10"/>
      <c r="GNB10"/>
      <c r="GNC10"/>
      <c r="GND10"/>
      <c r="GNE10"/>
      <c r="GNF10"/>
      <c r="GNG10"/>
      <c r="GNH10"/>
      <c r="GNI10"/>
      <c r="GNJ10"/>
      <c r="GNK10"/>
      <c r="GNL10"/>
      <c r="GNM10"/>
      <c r="GNN10"/>
      <c r="GNO10"/>
      <c r="GNP10"/>
      <c r="GNQ10"/>
      <c r="GNR10"/>
      <c r="GNS10"/>
      <c r="GNT10"/>
      <c r="GNU10"/>
      <c r="GNV10"/>
      <c r="GNW10"/>
      <c r="GNX10"/>
      <c r="GNY10"/>
      <c r="GNZ10"/>
      <c r="GOA10"/>
      <c r="GOB10"/>
      <c r="GOC10"/>
      <c r="GOD10"/>
      <c r="GOE10"/>
      <c r="GOF10"/>
      <c r="GOG10"/>
      <c r="GOH10"/>
      <c r="GOI10"/>
      <c r="GOJ10"/>
      <c r="GOK10"/>
      <c r="GOL10"/>
      <c r="GOM10"/>
      <c r="GON10"/>
      <c r="GOO10"/>
      <c r="GOP10"/>
      <c r="GOQ10"/>
      <c r="GOR10"/>
      <c r="GOS10"/>
      <c r="GOT10"/>
      <c r="GOU10"/>
      <c r="GOV10"/>
      <c r="GOW10"/>
      <c r="GOX10"/>
      <c r="GOY10"/>
      <c r="GOZ10"/>
      <c r="GPA10"/>
      <c r="GPB10"/>
      <c r="GPC10"/>
      <c r="GPD10"/>
      <c r="GPE10"/>
      <c r="GPF10"/>
      <c r="GPG10"/>
      <c r="GPH10"/>
      <c r="GPI10"/>
      <c r="GPJ10"/>
      <c r="GPK10"/>
      <c r="GPL10"/>
      <c r="GPM10"/>
      <c r="GPN10"/>
      <c r="GPO10"/>
      <c r="GPP10"/>
      <c r="GPQ10"/>
      <c r="GPR10"/>
      <c r="GPS10"/>
      <c r="GPT10"/>
      <c r="GPU10"/>
      <c r="GPV10"/>
      <c r="GPW10"/>
      <c r="GPX10"/>
      <c r="GPY10"/>
      <c r="GPZ10"/>
      <c r="GQA10"/>
      <c r="GQB10"/>
      <c r="GQC10"/>
      <c r="GQD10"/>
      <c r="GQE10"/>
      <c r="GQF10"/>
      <c r="GQG10"/>
      <c r="GQH10"/>
      <c r="GQI10"/>
      <c r="GQJ10"/>
      <c r="GQK10"/>
      <c r="GQL10"/>
      <c r="GQM10"/>
      <c r="GQN10"/>
      <c r="GQO10"/>
      <c r="GQP10"/>
      <c r="GQQ10"/>
      <c r="GQR10"/>
      <c r="GQS10"/>
      <c r="GQT10"/>
      <c r="GQU10"/>
      <c r="GQV10"/>
      <c r="GQW10"/>
      <c r="GQX10"/>
      <c r="GQY10"/>
      <c r="GQZ10"/>
      <c r="GRA10"/>
      <c r="GRB10"/>
      <c r="GRC10"/>
      <c r="GRD10"/>
      <c r="GRE10"/>
      <c r="GRF10"/>
      <c r="GRG10"/>
      <c r="GRH10"/>
      <c r="GRI10"/>
      <c r="GRJ10"/>
      <c r="GRK10"/>
      <c r="GRL10"/>
      <c r="GRM10"/>
      <c r="GRN10"/>
      <c r="GRO10"/>
      <c r="GRP10"/>
      <c r="GRQ10"/>
      <c r="GRR10"/>
      <c r="GRS10"/>
      <c r="GRT10"/>
      <c r="GRU10"/>
      <c r="GRV10"/>
      <c r="GRW10"/>
      <c r="GRX10"/>
      <c r="GRY10"/>
      <c r="GRZ10"/>
      <c r="GSA10"/>
      <c r="GSB10"/>
      <c r="GSC10"/>
      <c r="GSD10"/>
      <c r="GSE10"/>
      <c r="GSF10"/>
      <c r="GSG10"/>
      <c r="GSH10"/>
      <c r="GSI10"/>
      <c r="GSJ10"/>
      <c r="GSK10"/>
      <c r="GSL10"/>
      <c r="GSM10"/>
      <c r="GSN10"/>
      <c r="GSO10"/>
      <c r="GSP10"/>
      <c r="GSQ10"/>
      <c r="GSR10"/>
      <c r="GSS10"/>
      <c r="GST10"/>
      <c r="GSU10"/>
      <c r="GSV10"/>
      <c r="GSW10"/>
      <c r="GSX10"/>
      <c r="GSY10"/>
      <c r="GSZ10"/>
      <c r="GTA10"/>
      <c r="GTB10"/>
      <c r="GTC10"/>
      <c r="GTD10"/>
      <c r="GTE10"/>
      <c r="GTF10"/>
      <c r="GTG10"/>
      <c r="GTH10"/>
      <c r="GTI10"/>
      <c r="GTJ10"/>
      <c r="GTK10"/>
      <c r="GTL10"/>
      <c r="GTM10"/>
      <c r="GTN10"/>
      <c r="GTO10"/>
      <c r="GTP10"/>
      <c r="GTQ10"/>
      <c r="GTR10"/>
      <c r="GTS10"/>
      <c r="GTT10"/>
      <c r="GTU10"/>
      <c r="GTV10"/>
      <c r="GTW10"/>
      <c r="GTX10"/>
      <c r="GTY10"/>
      <c r="GTZ10"/>
      <c r="GUA10"/>
      <c r="GUB10"/>
      <c r="GUC10"/>
      <c r="GUD10"/>
      <c r="GUE10"/>
      <c r="GUF10"/>
      <c r="GUG10"/>
      <c r="GUH10"/>
      <c r="GUI10"/>
      <c r="GUJ10"/>
      <c r="GUK10"/>
      <c r="GUL10"/>
      <c r="GUM10"/>
      <c r="GUN10"/>
      <c r="GUO10"/>
      <c r="GUP10"/>
      <c r="GUQ10"/>
      <c r="GUR10"/>
      <c r="GUS10"/>
      <c r="GUT10"/>
      <c r="GUU10"/>
      <c r="GUV10"/>
      <c r="GUW10"/>
      <c r="GUX10"/>
      <c r="GUY10"/>
      <c r="GUZ10"/>
      <c r="GVA10"/>
      <c r="GVB10"/>
      <c r="GVC10"/>
      <c r="GVD10"/>
      <c r="GVE10"/>
      <c r="GVF10"/>
      <c r="GVG10"/>
      <c r="GVH10"/>
      <c r="GVI10"/>
      <c r="GVJ10"/>
      <c r="GVK10"/>
      <c r="GVL10"/>
      <c r="GVM10"/>
      <c r="GVN10"/>
      <c r="GVO10"/>
      <c r="GVP10"/>
      <c r="GVQ10"/>
      <c r="GVR10"/>
      <c r="GVS10"/>
      <c r="GVT10"/>
      <c r="GVU10"/>
      <c r="GVV10"/>
      <c r="GVW10"/>
      <c r="GVX10"/>
      <c r="GVY10"/>
      <c r="GVZ10"/>
      <c r="GWA10"/>
      <c r="GWB10"/>
      <c r="GWC10"/>
      <c r="GWD10"/>
      <c r="GWE10"/>
      <c r="GWF10"/>
      <c r="GWG10"/>
      <c r="GWH10"/>
      <c r="GWI10"/>
      <c r="GWJ10"/>
      <c r="GWK10"/>
      <c r="GWL10"/>
      <c r="GWM10"/>
      <c r="GWN10"/>
      <c r="GWO10"/>
      <c r="GWP10"/>
      <c r="GWQ10"/>
      <c r="GWR10"/>
      <c r="GWS10"/>
      <c r="GWT10"/>
      <c r="GWU10"/>
      <c r="GWV10"/>
      <c r="GWW10"/>
      <c r="GWX10"/>
      <c r="GWY10"/>
      <c r="GWZ10"/>
      <c r="GXA10"/>
      <c r="GXB10"/>
      <c r="GXC10"/>
      <c r="GXD10"/>
      <c r="GXE10"/>
      <c r="GXF10"/>
      <c r="GXG10"/>
      <c r="GXH10"/>
      <c r="GXI10"/>
      <c r="GXJ10"/>
      <c r="GXK10"/>
      <c r="GXL10"/>
      <c r="GXM10"/>
      <c r="GXN10"/>
      <c r="GXO10"/>
      <c r="GXP10"/>
      <c r="GXQ10"/>
      <c r="GXR10"/>
      <c r="GXS10"/>
      <c r="GXT10"/>
      <c r="GXU10"/>
      <c r="GXV10"/>
      <c r="GXW10"/>
      <c r="GXX10"/>
      <c r="GXY10"/>
      <c r="GXZ10"/>
      <c r="GYA10"/>
      <c r="GYB10"/>
      <c r="GYC10"/>
      <c r="GYD10"/>
      <c r="GYE10"/>
      <c r="GYF10"/>
      <c r="GYG10"/>
      <c r="GYH10"/>
      <c r="GYI10"/>
      <c r="GYJ10"/>
      <c r="GYK10"/>
      <c r="GYL10"/>
      <c r="GYM10"/>
      <c r="GYN10"/>
      <c r="GYO10"/>
      <c r="GYP10"/>
      <c r="GYQ10"/>
      <c r="GYR10"/>
      <c r="GYS10"/>
      <c r="GYT10"/>
      <c r="GYU10"/>
      <c r="GYV10"/>
      <c r="GYW10"/>
      <c r="GYX10"/>
      <c r="GYY10"/>
      <c r="GYZ10"/>
      <c r="GZA10"/>
      <c r="GZB10"/>
      <c r="GZC10"/>
      <c r="GZD10"/>
      <c r="GZE10"/>
      <c r="GZF10"/>
      <c r="GZG10"/>
      <c r="GZH10"/>
      <c r="GZI10"/>
      <c r="GZJ10"/>
      <c r="GZK10"/>
      <c r="GZL10"/>
      <c r="GZM10"/>
      <c r="GZN10"/>
      <c r="GZO10"/>
      <c r="GZP10"/>
      <c r="GZQ10"/>
      <c r="GZR10"/>
      <c r="GZS10"/>
      <c r="GZT10"/>
      <c r="GZU10"/>
      <c r="GZV10"/>
      <c r="GZW10"/>
      <c r="GZX10"/>
      <c r="GZY10"/>
      <c r="GZZ10"/>
      <c r="HAA10"/>
      <c r="HAB10"/>
      <c r="HAC10"/>
      <c r="HAD10"/>
      <c r="HAE10"/>
      <c r="HAF10"/>
      <c r="HAG10"/>
      <c r="HAH10"/>
      <c r="HAI10"/>
      <c r="HAJ10"/>
      <c r="HAK10"/>
      <c r="HAL10"/>
      <c r="HAM10"/>
      <c r="HAN10"/>
      <c r="HAO10"/>
      <c r="HAP10"/>
      <c r="HAQ10"/>
      <c r="HAR10"/>
      <c r="HAS10"/>
      <c r="HAT10"/>
      <c r="HAU10"/>
      <c r="HAV10"/>
      <c r="HAW10"/>
      <c r="HAX10"/>
      <c r="HAY10"/>
      <c r="HAZ10"/>
      <c r="HBA10"/>
      <c r="HBB10"/>
      <c r="HBC10"/>
      <c r="HBD10"/>
      <c r="HBE10"/>
      <c r="HBF10"/>
      <c r="HBG10"/>
      <c r="HBH10"/>
      <c r="HBI10"/>
      <c r="HBJ10"/>
      <c r="HBK10"/>
      <c r="HBL10"/>
      <c r="HBM10"/>
      <c r="HBN10"/>
      <c r="HBO10"/>
      <c r="HBP10"/>
      <c r="HBQ10"/>
      <c r="HBR10"/>
      <c r="HBS10"/>
      <c r="HBT10"/>
      <c r="HBU10"/>
      <c r="HBV10"/>
      <c r="HBW10"/>
      <c r="HBX10"/>
      <c r="HBY10"/>
      <c r="HBZ10"/>
      <c r="HCA10"/>
      <c r="HCB10"/>
      <c r="HCC10"/>
      <c r="HCD10"/>
      <c r="HCE10"/>
      <c r="HCF10"/>
      <c r="HCG10"/>
      <c r="HCH10"/>
      <c r="HCI10"/>
      <c r="HCJ10"/>
      <c r="HCK10"/>
      <c r="HCL10"/>
      <c r="HCM10"/>
      <c r="HCN10"/>
      <c r="HCO10"/>
      <c r="HCP10"/>
      <c r="HCQ10"/>
      <c r="HCR10"/>
      <c r="HCS10"/>
      <c r="HCT10"/>
      <c r="HCU10"/>
      <c r="HCV10"/>
      <c r="HCW10"/>
      <c r="HCX10"/>
      <c r="HCY10"/>
      <c r="HCZ10"/>
      <c r="HDA10"/>
      <c r="HDB10"/>
      <c r="HDC10"/>
      <c r="HDD10"/>
      <c r="HDE10"/>
      <c r="HDF10"/>
      <c r="HDG10"/>
      <c r="HDH10"/>
      <c r="HDI10"/>
      <c r="HDJ10"/>
      <c r="HDK10"/>
      <c r="HDL10"/>
      <c r="HDM10"/>
      <c r="HDN10"/>
      <c r="HDO10"/>
      <c r="HDP10"/>
      <c r="HDQ10"/>
      <c r="HDR10"/>
      <c r="HDS10"/>
      <c r="HDT10"/>
      <c r="HDU10"/>
      <c r="HDV10"/>
      <c r="HDW10"/>
      <c r="HDX10"/>
      <c r="HDY10"/>
      <c r="HDZ10"/>
      <c r="HEA10"/>
      <c r="HEB10"/>
      <c r="HEC10"/>
      <c r="HED10"/>
      <c r="HEE10"/>
      <c r="HEF10"/>
      <c r="HEG10"/>
      <c r="HEH10"/>
      <c r="HEI10"/>
      <c r="HEJ10"/>
      <c r="HEK10"/>
      <c r="HEL10"/>
      <c r="HEM10"/>
      <c r="HEN10"/>
      <c r="HEO10"/>
      <c r="HEP10"/>
      <c r="HEQ10"/>
      <c r="HER10"/>
      <c r="HES10"/>
      <c r="HET10"/>
      <c r="HEU10"/>
      <c r="HEV10"/>
      <c r="HEW10"/>
      <c r="HEX10"/>
      <c r="HEY10"/>
      <c r="HEZ10"/>
      <c r="HFA10"/>
      <c r="HFB10"/>
      <c r="HFC10"/>
      <c r="HFD10"/>
      <c r="HFE10"/>
      <c r="HFF10"/>
      <c r="HFG10"/>
      <c r="HFH10"/>
      <c r="HFI10"/>
      <c r="HFJ10"/>
      <c r="HFK10"/>
      <c r="HFL10"/>
      <c r="HFM10"/>
      <c r="HFN10"/>
      <c r="HFO10"/>
      <c r="HFP10"/>
      <c r="HFQ10"/>
      <c r="HFR10"/>
      <c r="HFS10"/>
      <c r="HFT10"/>
      <c r="HFU10"/>
      <c r="HFV10"/>
      <c r="HFW10"/>
      <c r="HFX10"/>
      <c r="HFY10"/>
      <c r="HFZ10"/>
      <c r="HGA10"/>
      <c r="HGB10"/>
      <c r="HGC10"/>
      <c r="HGD10"/>
      <c r="HGE10"/>
      <c r="HGF10"/>
      <c r="HGG10"/>
      <c r="HGH10"/>
      <c r="HGI10"/>
      <c r="HGJ10"/>
      <c r="HGK10"/>
      <c r="HGL10"/>
      <c r="HGM10"/>
      <c r="HGN10"/>
      <c r="HGO10"/>
      <c r="HGP10"/>
      <c r="HGQ10"/>
      <c r="HGR10"/>
      <c r="HGS10"/>
      <c r="HGT10"/>
      <c r="HGU10"/>
      <c r="HGV10"/>
      <c r="HGW10"/>
      <c r="HGX10"/>
      <c r="HGY10"/>
      <c r="HGZ10"/>
      <c r="HHA10"/>
      <c r="HHB10"/>
      <c r="HHC10"/>
      <c r="HHD10"/>
      <c r="HHE10"/>
      <c r="HHF10"/>
      <c r="HHG10"/>
      <c r="HHH10"/>
      <c r="HHI10"/>
      <c r="HHJ10"/>
      <c r="HHK10"/>
      <c r="HHL10"/>
      <c r="HHM10"/>
      <c r="HHN10"/>
      <c r="HHO10"/>
      <c r="HHP10"/>
      <c r="HHQ10"/>
      <c r="HHR10"/>
      <c r="HHS10"/>
      <c r="HHT10"/>
      <c r="HHU10"/>
      <c r="HHV10"/>
      <c r="HHW10"/>
      <c r="HHX10"/>
      <c r="HHY10"/>
      <c r="HHZ10"/>
      <c r="HIA10"/>
      <c r="HIB10"/>
      <c r="HIC10"/>
      <c r="HID10"/>
      <c r="HIE10"/>
      <c r="HIF10"/>
      <c r="HIG10"/>
      <c r="HIH10"/>
      <c r="HII10"/>
      <c r="HIJ10"/>
      <c r="HIK10"/>
      <c r="HIL10"/>
      <c r="HIM10"/>
      <c r="HIN10"/>
      <c r="HIO10"/>
      <c r="HIP10"/>
      <c r="HIQ10"/>
      <c r="HIR10"/>
      <c r="HIS10"/>
      <c r="HIT10"/>
      <c r="HIU10"/>
      <c r="HIV10"/>
      <c r="HIW10"/>
      <c r="HIX10"/>
      <c r="HIY10"/>
      <c r="HIZ10"/>
      <c r="HJA10"/>
      <c r="HJB10"/>
      <c r="HJC10"/>
      <c r="HJD10"/>
      <c r="HJE10"/>
      <c r="HJF10"/>
      <c r="HJG10"/>
      <c r="HJH10"/>
      <c r="HJI10"/>
      <c r="HJJ10"/>
      <c r="HJK10"/>
      <c r="HJL10"/>
      <c r="HJM10"/>
      <c r="HJN10"/>
      <c r="HJO10"/>
      <c r="HJP10"/>
      <c r="HJQ10"/>
      <c r="HJR10"/>
      <c r="HJS10"/>
      <c r="HJT10"/>
      <c r="HJU10"/>
      <c r="HJV10"/>
      <c r="HJW10"/>
      <c r="HJX10"/>
      <c r="HJY10"/>
      <c r="HJZ10"/>
      <c r="HKA10"/>
      <c r="HKB10"/>
      <c r="HKC10"/>
      <c r="HKD10"/>
      <c r="HKE10"/>
      <c r="HKF10"/>
      <c r="HKG10"/>
      <c r="HKH10"/>
      <c r="HKI10"/>
      <c r="HKJ10"/>
      <c r="HKK10"/>
      <c r="HKL10"/>
      <c r="HKM10"/>
      <c r="HKN10"/>
      <c r="HKO10"/>
      <c r="HKP10"/>
      <c r="HKQ10"/>
      <c r="HKR10"/>
      <c r="HKS10"/>
      <c r="HKT10"/>
      <c r="HKU10"/>
      <c r="HKV10"/>
      <c r="HKW10"/>
      <c r="HKX10"/>
      <c r="HKY10"/>
      <c r="HKZ10"/>
      <c r="HLA10"/>
      <c r="HLB10"/>
      <c r="HLC10"/>
      <c r="HLD10"/>
      <c r="HLE10"/>
      <c r="HLF10"/>
      <c r="HLG10"/>
      <c r="HLH10"/>
      <c r="HLI10"/>
      <c r="HLJ10"/>
      <c r="HLK10"/>
      <c r="HLL10"/>
      <c r="HLM10"/>
      <c r="HLN10"/>
      <c r="HLO10"/>
      <c r="HLP10"/>
      <c r="HLQ10"/>
      <c r="HLR10"/>
      <c r="HLS10"/>
      <c r="HLT10"/>
      <c r="HLU10"/>
      <c r="HLV10"/>
      <c r="HLW10"/>
      <c r="HLX10"/>
      <c r="HLY10"/>
      <c r="HLZ10"/>
      <c r="HMA10"/>
      <c r="HMB10"/>
      <c r="HMC10"/>
      <c r="HMD10"/>
      <c r="HME10"/>
      <c r="HMF10"/>
      <c r="HMG10"/>
      <c r="HMH10"/>
      <c r="HMI10"/>
      <c r="HMJ10"/>
      <c r="HMK10"/>
      <c r="HML10"/>
      <c r="HMM10"/>
      <c r="HMN10"/>
      <c r="HMO10"/>
      <c r="HMP10"/>
      <c r="HMQ10"/>
      <c r="HMR10"/>
      <c r="HMS10"/>
      <c r="HMT10"/>
      <c r="HMU10"/>
      <c r="HMV10"/>
      <c r="HMW10"/>
      <c r="HMX10"/>
      <c r="HMY10"/>
      <c r="HMZ10"/>
      <c r="HNA10"/>
      <c r="HNB10"/>
      <c r="HNC10"/>
      <c r="HND10"/>
      <c r="HNE10"/>
      <c r="HNF10"/>
      <c r="HNG10"/>
      <c r="HNH10"/>
      <c r="HNI10"/>
      <c r="HNJ10"/>
      <c r="HNK10"/>
      <c r="HNL10"/>
      <c r="HNM10"/>
      <c r="HNN10"/>
      <c r="HNO10"/>
      <c r="HNP10"/>
      <c r="HNQ10"/>
      <c r="HNR10"/>
      <c r="HNS10"/>
      <c r="HNT10"/>
      <c r="HNU10"/>
      <c r="HNV10"/>
      <c r="HNW10"/>
      <c r="HNX10"/>
      <c r="HNY10"/>
      <c r="HNZ10"/>
      <c r="HOA10"/>
      <c r="HOB10"/>
      <c r="HOC10"/>
      <c r="HOD10"/>
      <c r="HOE10"/>
      <c r="HOF10"/>
      <c r="HOG10"/>
      <c r="HOH10"/>
      <c r="HOI10"/>
      <c r="HOJ10"/>
      <c r="HOK10"/>
      <c r="HOL10"/>
      <c r="HOM10"/>
      <c r="HON10"/>
      <c r="HOO10"/>
      <c r="HOP10"/>
      <c r="HOQ10"/>
      <c r="HOR10"/>
      <c r="HOS10"/>
      <c r="HOT10"/>
      <c r="HOU10"/>
      <c r="HOV10"/>
      <c r="HOW10"/>
      <c r="HOX10"/>
      <c r="HOY10"/>
      <c r="HOZ10"/>
      <c r="HPA10"/>
      <c r="HPB10"/>
      <c r="HPC10"/>
      <c r="HPD10"/>
      <c r="HPE10"/>
      <c r="HPF10"/>
      <c r="HPG10"/>
      <c r="HPH10"/>
      <c r="HPI10"/>
      <c r="HPJ10"/>
      <c r="HPK10"/>
      <c r="HPL10"/>
      <c r="HPM10"/>
      <c r="HPN10"/>
      <c r="HPO10"/>
      <c r="HPP10"/>
      <c r="HPQ10"/>
      <c r="HPR10"/>
      <c r="HPS10"/>
      <c r="HPT10"/>
      <c r="HPU10"/>
      <c r="HPV10"/>
      <c r="HPW10"/>
      <c r="HPX10"/>
      <c r="HPY10"/>
      <c r="HPZ10"/>
      <c r="HQA10"/>
      <c r="HQB10"/>
      <c r="HQC10"/>
      <c r="HQD10"/>
      <c r="HQE10"/>
      <c r="HQF10"/>
      <c r="HQG10"/>
      <c r="HQH10"/>
      <c r="HQI10"/>
      <c r="HQJ10"/>
      <c r="HQK10"/>
      <c r="HQL10"/>
      <c r="HQM10"/>
      <c r="HQN10"/>
      <c r="HQO10"/>
      <c r="HQP10"/>
      <c r="HQQ10"/>
      <c r="HQR10"/>
      <c r="HQS10"/>
      <c r="HQT10"/>
      <c r="HQU10"/>
      <c r="HQV10"/>
      <c r="HQW10"/>
      <c r="HQX10"/>
      <c r="HQY10"/>
      <c r="HQZ10"/>
      <c r="HRA10"/>
      <c r="HRB10"/>
      <c r="HRC10"/>
      <c r="HRD10"/>
      <c r="HRE10"/>
      <c r="HRF10"/>
      <c r="HRG10"/>
      <c r="HRH10"/>
      <c r="HRI10"/>
      <c r="HRJ10"/>
      <c r="HRK10"/>
      <c r="HRL10"/>
      <c r="HRM10"/>
      <c r="HRN10"/>
      <c r="HRO10"/>
      <c r="HRP10"/>
      <c r="HRQ10"/>
      <c r="HRR10"/>
      <c r="HRS10"/>
      <c r="HRT10"/>
      <c r="HRU10"/>
      <c r="HRV10"/>
      <c r="HRW10"/>
      <c r="HRX10"/>
      <c r="HRY10"/>
      <c r="HRZ10"/>
      <c r="HSA10"/>
      <c r="HSB10"/>
      <c r="HSC10"/>
      <c r="HSD10"/>
      <c r="HSE10"/>
      <c r="HSF10"/>
      <c r="HSG10"/>
      <c r="HSH10"/>
      <c r="HSI10"/>
      <c r="HSJ10"/>
      <c r="HSK10"/>
      <c r="HSL10"/>
      <c r="HSM10"/>
      <c r="HSN10"/>
      <c r="HSO10"/>
      <c r="HSP10"/>
      <c r="HSQ10"/>
      <c r="HSR10"/>
      <c r="HSS10"/>
      <c r="HST10"/>
      <c r="HSU10"/>
      <c r="HSV10"/>
      <c r="HSW10"/>
      <c r="HSX10"/>
      <c r="HSY10"/>
      <c r="HSZ10"/>
      <c r="HTA10"/>
      <c r="HTB10"/>
      <c r="HTC10"/>
      <c r="HTD10"/>
      <c r="HTE10"/>
      <c r="HTF10"/>
      <c r="HTG10"/>
      <c r="HTH10"/>
      <c r="HTI10"/>
      <c r="HTJ10"/>
      <c r="HTK10"/>
      <c r="HTL10"/>
      <c r="HTM10"/>
      <c r="HTN10"/>
      <c r="HTO10"/>
      <c r="HTP10"/>
      <c r="HTQ10"/>
      <c r="HTR10"/>
      <c r="HTS10"/>
      <c r="HTT10"/>
      <c r="HTU10"/>
      <c r="HTV10"/>
      <c r="HTW10"/>
      <c r="HTX10"/>
      <c r="HTY10"/>
      <c r="HTZ10"/>
      <c r="HUA10"/>
      <c r="HUB10"/>
      <c r="HUC10"/>
      <c r="HUD10"/>
      <c r="HUE10"/>
      <c r="HUF10"/>
      <c r="HUG10"/>
      <c r="HUH10"/>
      <c r="HUI10"/>
      <c r="HUJ10"/>
      <c r="HUK10"/>
      <c r="HUL10"/>
      <c r="HUM10"/>
      <c r="HUN10"/>
      <c r="HUO10"/>
      <c r="HUP10"/>
      <c r="HUQ10"/>
      <c r="HUR10"/>
      <c r="HUS10"/>
      <c r="HUT10"/>
      <c r="HUU10"/>
      <c r="HUV10"/>
      <c r="HUW10"/>
      <c r="HUX10"/>
      <c r="HUY10"/>
      <c r="HUZ10"/>
      <c r="HVA10"/>
      <c r="HVB10"/>
      <c r="HVC10"/>
      <c r="HVD10"/>
      <c r="HVE10"/>
      <c r="HVF10"/>
      <c r="HVG10"/>
      <c r="HVH10"/>
      <c r="HVI10"/>
      <c r="HVJ10"/>
      <c r="HVK10"/>
      <c r="HVL10"/>
      <c r="HVM10"/>
      <c r="HVN10"/>
      <c r="HVO10"/>
      <c r="HVP10"/>
      <c r="HVQ10"/>
      <c r="HVR10"/>
      <c r="HVS10"/>
      <c r="HVT10"/>
      <c r="HVU10"/>
      <c r="HVV10"/>
      <c r="HVW10"/>
      <c r="HVX10"/>
      <c r="HVY10"/>
      <c r="HVZ10"/>
      <c r="HWA10"/>
      <c r="HWB10"/>
      <c r="HWC10"/>
      <c r="HWD10"/>
      <c r="HWE10"/>
      <c r="HWF10"/>
      <c r="HWG10"/>
      <c r="HWH10"/>
      <c r="HWI10"/>
      <c r="HWJ10"/>
      <c r="HWK10"/>
      <c r="HWL10"/>
      <c r="HWM10"/>
      <c r="HWN10"/>
      <c r="HWO10"/>
      <c r="HWP10"/>
      <c r="HWQ10"/>
      <c r="HWR10"/>
      <c r="HWS10"/>
      <c r="HWT10"/>
      <c r="HWU10"/>
      <c r="HWV10"/>
      <c r="HWW10"/>
      <c r="HWX10"/>
      <c r="HWY10"/>
      <c r="HWZ10"/>
      <c r="HXA10"/>
      <c r="HXB10"/>
      <c r="HXC10"/>
      <c r="HXD10"/>
      <c r="HXE10"/>
      <c r="HXF10"/>
      <c r="HXG10"/>
      <c r="HXH10"/>
      <c r="HXI10"/>
      <c r="HXJ10"/>
      <c r="HXK10"/>
      <c r="HXL10"/>
      <c r="HXM10"/>
      <c r="HXN10"/>
      <c r="HXO10"/>
      <c r="HXP10"/>
      <c r="HXQ10"/>
      <c r="HXR10"/>
      <c r="HXS10"/>
      <c r="HXT10"/>
      <c r="HXU10"/>
      <c r="HXV10"/>
      <c r="HXW10"/>
      <c r="HXX10"/>
      <c r="HXY10"/>
      <c r="HXZ10"/>
      <c r="HYA10"/>
      <c r="HYB10"/>
      <c r="HYC10"/>
      <c r="HYD10"/>
      <c r="HYE10"/>
      <c r="HYF10"/>
      <c r="HYG10"/>
      <c r="HYH10"/>
      <c r="HYI10"/>
      <c r="HYJ10"/>
      <c r="HYK10"/>
      <c r="HYL10"/>
      <c r="HYM10"/>
      <c r="HYN10"/>
      <c r="HYO10"/>
      <c r="HYP10"/>
      <c r="HYQ10"/>
      <c r="HYR10"/>
      <c r="HYS10"/>
      <c r="HYT10"/>
      <c r="HYU10"/>
      <c r="HYV10"/>
      <c r="HYW10"/>
      <c r="HYX10"/>
      <c r="HYY10"/>
      <c r="HYZ10"/>
      <c r="HZA10"/>
      <c r="HZB10"/>
      <c r="HZC10"/>
      <c r="HZD10"/>
      <c r="HZE10"/>
      <c r="HZF10"/>
      <c r="HZG10"/>
      <c r="HZH10"/>
      <c r="HZI10"/>
      <c r="HZJ10"/>
      <c r="HZK10"/>
      <c r="HZL10"/>
      <c r="HZM10"/>
      <c r="HZN10"/>
      <c r="HZO10"/>
      <c r="HZP10"/>
      <c r="HZQ10"/>
      <c r="HZR10"/>
      <c r="HZS10"/>
      <c r="HZT10"/>
      <c r="HZU10"/>
      <c r="HZV10"/>
      <c r="HZW10"/>
      <c r="HZX10"/>
      <c r="HZY10"/>
      <c r="HZZ10"/>
      <c r="IAA10"/>
      <c r="IAB10"/>
      <c r="IAC10"/>
      <c r="IAD10"/>
      <c r="IAE10"/>
      <c r="IAF10"/>
      <c r="IAG10"/>
      <c r="IAH10"/>
      <c r="IAI10"/>
      <c r="IAJ10"/>
      <c r="IAK10"/>
      <c r="IAL10"/>
      <c r="IAM10"/>
      <c r="IAN10"/>
      <c r="IAO10"/>
      <c r="IAP10"/>
      <c r="IAQ10"/>
      <c r="IAR10"/>
      <c r="IAS10"/>
      <c r="IAT10"/>
      <c r="IAU10"/>
      <c r="IAV10"/>
      <c r="IAW10"/>
      <c r="IAX10"/>
      <c r="IAY10"/>
      <c r="IAZ10"/>
      <c r="IBA10"/>
      <c r="IBB10"/>
      <c r="IBC10"/>
      <c r="IBD10"/>
      <c r="IBE10"/>
      <c r="IBF10"/>
      <c r="IBG10"/>
      <c r="IBH10"/>
      <c r="IBI10"/>
      <c r="IBJ10"/>
      <c r="IBK10"/>
      <c r="IBL10"/>
      <c r="IBM10"/>
      <c r="IBN10"/>
      <c r="IBO10"/>
      <c r="IBP10"/>
      <c r="IBQ10"/>
      <c r="IBR10"/>
      <c r="IBS10"/>
      <c r="IBT10"/>
      <c r="IBU10"/>
      <c r="IBV10"/>
      <c r="IBW10"/>
      <c r="IBX10"/>
      <c r="IBY10"/>
      <c r="IBZ10"/>
      <c r="ICA10"/>
      <c r="ICB10"/>
      <c r="ICC10"/>
      <c r="ICD10"/>
      <c r="ICE10"/>
      <c r="ICF10"/>
      <c r="ICG10"/>
      <c r="ICH10"/>
      <c r="ICI10"/>
      <c r="ICJ10"/>
      <c r="ICK10"/>
      <c r="ICL10"/>
      <c r="ICM10"/>
      <c r="ICN10"/>
      <c r="ICO10"/>
      <c r="ICP10"/>
      <c r="ICQ10"/>
      <c r="ICR10"/>
      <c r="ICS10"/>
      <c r="ICT10"/>
      <c r="ICU10"/>
      <c r="ICV10"/>
      <c r="ICW10"/>
      <c r="ICX10"/>
      <c r="ICY10"/>
      <c r="ICZ10"/>
      <c r="IDA10"/>
      <c r="IDB10"/>
      <c r="IDC10"/>
      <c r="IDD10"/>
      <c r="IDE10"/>
      <c r="IDF10"/>
      <c r="IDG10"/>
      <c r="IDH10"/>
      <c r="IDI10"/>
      <c r="IDJ10"/>
      <c r="IDK10"/>
      <c r="IDL10"/>
      <c r="IDM10"/>
      <c r="IDN10"/>
      <c r="IDO10"/>
      <c r="IDP10"/>
      <c r="IDQ10"/>
      <c r="IDR10"/>
      <c r="IDS10"/>
      <c r="IDT10"/>
      <c r="IDU10"/>
      <c r="IDV10"/>
      <c r="IDW10"/>
      <c r="IDX10"/>
      <c r="IDY10"/>
      <c r="IDZ10"/>
      <c r="IEA10"/>
      <c r="IEB10"/>
      <c r="IEC10"/>
      <c r="IED10"/>
      <c r="IEE10"/>
      <c r="IEF10"/>
      <c r="IEG10"/>
      <c r="IEH10"/>
      <c r="IEI10"/>
      <c r="IEJ10"/>
      <c r="IEK10"/>
      <c r="IEL10"/>
      <c r="IEM10"/>
      <c r="IEN10"/>
      <c r="IEO10"/>
      <c r="IEP10"/>
      <c r="IEQ10"/>
      <c r="IER10"/>
      <c r="IES10"/>
      <c r="IET10"/>
      <c r="IEU10"/>
      <c r="IEV10"/>
      <c r="IEW10"/>
      <c r="IEX10"/>
      <c r="IEY10"/>
      <c r="IEZ10"/>
      <c r="IFA10"/>
      <c r="IFB10"/>
      <c r="IFC10"/>
      <c r="IFD10"/>
      <c r="IFE10"/>
      <c r="IFF10"/>
      <c r="IFG10"/>
      <c r="IFH10"/>
      <c r="IFI10"/>
      <c r="IFJ10"/>
      <c r="IFK10"/>
      <c r="IFL10"/>
      <c r="IFM10"/>
      <c r="IFN10"/>
      <c r="IFO10"/>
      <c r="IFP10"/>
      <c r="IFQ10"/>
      <c r="IFR10"/>
      <c r="IFS10"/>
      <c r="IFT10"/>
      <c r="IFU10"/>
      <c r="IFV10"/>
      <c r="IFW10"/>
      <c r="IFX10"/>
      <c r="IFY10"/>
      <c r="IFZ10"/>
      <c r="IGA10"/>
      <c r="IGB10"/>
      <c r="IGC10"/>
      <c r="IGD10"/>
      <c r="IGE10"/>
      <c r="IGF10"/>
      <c r="IGG10"/>
      <c r="IGH10"/>
      <c r="IGI10"/>
      <c r="IGJ10"/>
      <c r="IGK10"/>
      <c r="IGL10"/>
      <c r="IGM10"/>
      <c r="IGN10"/>
      <c r="IGO10"/>
      <c r="IGP10"/>
      <c r="IGQ10"/>
      <c r="IGR10"/>
      <c r="IGS10"/>
      <c r="IGT10"/>
      <c r="IGU10"/>
      <c r="IGV10"/>
      <c r="IGW10"/>
      <c r="IGX10"/>
      <c r="IGY10"/>
      <c r="IGZ10"/>
      <c r="IHA10"/>
      <c r="IHB10"/>
      <c r="IHC10"/>
      <c r="IHD10"/>
      <c r="IHE10"/>
      <c r="IHF10"/>
      <c r="IHG10"/>
      <c r="IHH10"/>
      <c r="IHI10"/>
      <c r="IHJ10"/>
      <c r="IHK10"/>
      <c r="IHL10"/>
      <c r="IHM10"/>
      <c r="IHN10"/>
      <c r="IHO10"/>
      <c r="IHP10"/>
      <c r="IHQ10"/>
      <c r="IHR10"/>
      <c r="IHS10"/>
      <c r="IHT10"/>
      <c r="IHU10"/>
      <c r="IHV10"/>
      <c r="IHW10"/>
      <c r="IHX10"/>
      <c r="IHY10"/>
      <c r="IHZ10"/>
      <c r="IIA10"/>
      <c r="IIB10"/>
      <c r="IIC10"/>
      <c r="IID10"/>
      <c r="IIE10"/>
      <c r="IIF10"/>
      <c r="IIG10"/>
      <c r="IIH10"/>
      <c r="III10"/>
      <c r="IIJ10"/>
      <c r="IIK10"/>
      <c r="IIL10"/>
      <c r="IIM10"/>
      <c r="IIN10"/>
      <c r="IIO10"/>
      <c r="IIP10"/>
      <c r="IIQ10"/>
      <c r="IIR10"/>
      <c r="IIS10"/>
      <c r="IIT10"/>
      <c r="IIU10"/>
      <c r="IIV10"/>
      <c r="IIW10"/>
      <c r="IIX10"/>
      <c r="IIY10"/>
      <c r="IIZ10"/>
      <c r="IJA10"/>
      <c r="IJB10"/>
      <c r="IJC10"/>
      <c r="IJD10"/>
      <c r="IJE10"/>
      <c r="IJF10"/>
      <c r="IJG10"/>
      <c r="IJH10"/>
      <c r="IJI10"/>
      <c r="IJJ10"/>
      <c r="IJK10"/>
      <c r="IJL10"/>
      <c r="IJM10"/>
      <c r="IJN10"/>
      <c r="IJO10"/>
      <c r="IJP10"/>
      <c r="IJQ10"/>
      <c r="IJR10"/>
      <c r="IJS10"/>
      <c r="IJT10"/>
      <c r="IJU10"/>
      <c r="IJV10"/>
      <c r="IJW10"/>
      <c r="IJX10"/>
      <c r="IJY10"/>
      <c r="IJZ10"/>
      <c r="IKA10"/>
      <c r="IKB10"/>
      <c r="IKC10"/>
      <c r="IKD10"/>
      <c r="IKE10"/>
      <c r="IKF10"/>
      <c r="IKG10"/>
      <c r="IKH10"/>
      <c r="IKI10"/>
      <c r="IKJ10"/>
      <c r="IKK10"/>
      <c r="IKL10"/>
      <c r="IKM10"/>
      <c r="IKN10"/>
      <c r="IKO10"/>
      <c r="IKP10"/>
      <c r="IKQ10"/>
      <c r="IKR10"/>
      <c r="IKS10"/>
      <c r="IKT10"/>
      <c r="IKU10"/>
      <c r="IKV10"/>
      <c r="IKW10"/>
      <c r="IKX10"/>
      <c r="IKY10"/>
      <c r="IKZ10"/>
      <c r="ILA10"/>
      <c r="ILB10"/>
      <c r="ILC10"/>
      <c r="ILD10"/>
      <c r="ILE10"/>
      <c r="ILF10"/>
      <c r="ILG10"/>
      <c r="ILH10"/>
      <c r="ILI10"/>
      <c r="ILJ10"/>
      <c r="ILK10"/>
      <c r="ILL10"/>
      <c r="ILM10"/>
      <c r="ILN10"/>
      <c r="ILO10"/>
      <c r="ILP10"/>
      <c r="ILQ10"/>
      <c r="ILR10"/>
      <c r="ILS10"/>
      <c r="ILT10"/>
      <c r="ILU10"/>
      <c r="ILV10"/>
      <c r="ILW10"/>
      <c r="ILX10"/>
      <c r="ILY10"/>
      <c r="ILZ10"/>
      <c r="IMA10"/>
      <c r="IMB10"/>
      <c r="IMC10"/>
      <c r="IMD10"/>
      <c r="IME10"/>
      <c r="IMF10"/>
      <c r="IMG10"/>
      <c r="IMH10"/>
      <c r="IMI10"/>
      <c r="IMJ10"/>
      <c r="IMK10"/>
      <c r="IML10"/>
      <c r="IMM10"/>
      <c r="IMN10"/>
      <c r="IMO10"/>
      <c r="IMP10"/>
      <c r="IMQ10"/>
      <c r="IMR10"/>
      <c r="IMS10"/>
      <c r="IMT10"/>
      <c r="IMU10"/>
      <c r="IMV10"/>
      <c r="IMW10"/>
      <c r="IMX10"/>
      <c r="IMY10"/>
      <c r="IMZ10"/>
      <c r="INA10"/>
      <c r="INB10"/>
      <c r="INC10"/>
      <c r="IND10"/>
      <c r="INE10"/>
      <c r="INF10"/>
      <c r="ING10"/>
      <c r="INH10"/>
      <c r="INI10"/>
      <c r="INJ10"/>
      <c r="INK10"/>
      <c r="INL10"/>
      <c r="INM10"/>
      <c r="INN10"/>
      <c r="INO10"/>
      <c r="INP10"/>
      <c r="INQ10"/>
      <c r="INR10"/>
      <c r="INS10"/>
      <c r="INT10"/>
      <c r="INU10"/>
      <c r="INV10"/>
      <c r="INW10"/>
      <c r="INX10"/>
      <c r="INY10"/>
      <c r="INZ10"/>
      <c r="IOA10"/>
      <c r="IOB10"/>
      <c r="IOC10"/>
      <c r="IOD10"/>
      <c r="IOE10"/>
      <c r="IOF10"/>
      <c r="IOG10"/>
      <c r="IOH10"/>
      <c r="IOI10"/>
      <c r="IOJ10"/>
      <c r="IOK10"/>
      <c r="IOL10"/>
      <c r="IOM10"/>
      <c r="ION10"/>
      <c r="IOO10"/>
      <c r="IOP10"/>
      <c r="IOQ10"/>
      <c r="IOR10"/>
      <c r="IOS10"/>
      <c r="IOT10"/>
      <c r="IOU10"/>
      <c r="IOV10"/>
      <c r="IOW10"/>
      <c r="IOX10"/>
      <c r="IOY10"/>
      <c r="IOZ10"/>
      <c r="IPA10"/>
      <c r="IPB10"/>
      <c r="IPC10"/>
      <c r="IPD10"/>
      <c r="IPE10"/>
      <c r="IPF10"/>
      <c r="IPG10"/>
      <c r="IPH10"/>
      <c r="IPI10"/>
      <c r="IPJ10"/>
      <c r="IPK10"/>
      <c r="IPL10"/>
      <c r="IPM10"/>
      <c r="IPN10"/>
      <c r="IPO10"/>
      <c r="IPP10"/>
      <c r="IPQ10"/>
      <c r="IPR10"/>
      <c r="IPS10"/>
      <c r="IPT10"/>
      <c r="IPU10"/>
      <c r="IPV10"/>
      <c r="IPW10"/>
      <c r="IPX10"/>
      <c r="IPY10"/>
      <c r="IPZ10"/>
      <c r="IQA10"/>
      <c r="IQB10"/>
      <c r="IQC10"/>
      <c r="IQD10"/>
      <c r="IQE10"/>
      <c r="IQF10"/>
      <c r="IQG10"/>
      <c r="IQH10"/>
      <c r="IQI10"/>
      <c r="IQJ10"/>
      <c r="IQK10"/>
      <c r="IQL10"/>
      <c r="IQM10"/>
      <c r="IQN10"/>
      <c r="IQO10"/>
      <c r="IQP10"/>
      <c r="IQQ10"/>
      <c r="IQR10"/>
      <c r="IQS10"/>
      <c r="IQT10"/>
      <c r="IQU10"/>
      <c r="IQV10"/>
      <c r="IQW10"/>
      <c r="IQX10"/>
      <c r="IQY10"/>
      <c r="IQZ10"/>
      <c r="IRA10"/>
      <c r="IRB10"/>
      <c r="IRC10"/>
      <c r="IRD10"/>
      <c r="IRE10"/>
      <c r="IRF10"/>
      <c r="IRG10"/>
      <c r="IRH10"/>
      <c r="IRI10"/>
      <c r="IRJ10"/>
      <c r="IRK10"/>
      <c r="IRL10"/>
      <c r="IRM10"/>
      <c r="IRN10"/>
      <c r="IRO10"/>
      <c r="IRP10"/>
      <c r="IRQ10"/>
      <c r="IRR10"/>
      <c r="IRS10"/>
      <c r="IRT10"/>
      <c r="IRU10"/>
      <c r="IRV10"/>
      <c r="IRW10"/>
      <c r="IRX10"/>
      <c r="IRY10"/>
      <c r="IRZ10"/>
      <c r="ISA10"/>
      <c r="ISB10"/>
      <c r="ISC10"/>
      <c r="ISD10"/>
      <c r="ISE10"/>
      <c r="ISF10"/>
      <c r="ISG10"/>
      <c r="ISH10"/>
      <c r="ISI10"/>
      <c r="ISJ10"/>
      <c r="ISK10"/>
      <c r="ISL10"/>
      <c r="ISM10"/>
      <c r="ISN10"/>
      <c r="ISO10"/>
      <c r="ISP10"/>
      <c r="ISQ10"/>
      <c r="ISR10"/>
      <c r="ISS10"/>
      <c r="IST10"/>
      <c r="ISU10"/>
      <c r="ISV10"/>
      <c r="ISW10"/>
      <c r="ISX10"/>
      <c r="ISY10"/>
      <c r="ISZ10"/>
      <c r="ITA10"/>
      <c r="ITB10"/>
      <c r="ITC10"/>
      <c r="ITD10"/>
      <c r="ITE10"/>
      <c r="ITF10"/>
      <c r="ITG10"/>
      <c r="ITH10"/>
      <c r="ITI10"/>
      <c r="ITJ10"/>
      <c r="ITK10"/>
      <c r="ITL10"/>
      <c r="ITM10"/>
      <c r="ITN10"/>
      <c r="ITO10"/>
      <c r="ITP10"/>
      <c r="ITQ10"/>
      <c r="ITR10"/>
      <c r="ITS10"/>
      <c r="ITT10"/>
      <c r="ITU10"/>
      <c r="ITV10"/>
      <c r="ITW10"/>
      <c r="ITX10"/>
      <c r="ITY10"/>
      <c r="ITZ10"/>
      <c r="IUA10"/>
      <c r="IUB10"/>
      <c r="IUC10"/>
      <c r="IUD10"/>
      <c r="IUE10"/>
      <c r="IUF10"/>
      <c r="IUG10"/>
      <c r="IUH10"/>
      <c r="IUI10"/>
      <c r="IUJ10"/>
      <c r="IUK10"/>
      <c r="IUL10"/>
      <c r="IUM10"/>
      <c r="IUN10"/>
      <c r="IUO10"/>
      <c r="IUP10"/>
      <c r="IUQ10"/>
      <c r="IUR10"/>
      <c r="IUS10"/>
      <c r="IUT10"/>
      <c r="IUU10"/>
      <c r="IUV10"/>
      <c r="IUW10"/>
      <c r="IUX10"/>
      <c r="IUY10"/>
      <c r="IUZ10"/>
      <c r="IVA10"/>
      <c r="IVB10"/>
      <c r="IVC10"/>
      <c r="IVD10"/>
      <c r="IVE10"/>
      <c r="IVF10"/>
      <c r="IVG10"/>
      <c r="IVH10"/>
      <c r="IVI10"/>
      <c r="IVJ10"/>
      <c r="IVK10"/>
      <c r="IVL10"/>
      <c r="IVM10"/>
      <c r="IVN10"/>
      <c r="IVO10"/>
      <c r="IVP10"/>
      <c r="IVQ10"/>
      <c r="IVR10"/>
      <c r="IVS10"/>
      <c r="IVT10"/>
      <c r="IVU10"/>
      <c r="IVV10"/>
      <c r="IVW10"/>
      <c r="IVX10"/>
      <c r="IVY10"/>
      <c r="IVZ10"/>
      <c r="IWA10"/>
      <c r="IWB10"/>
      <c r="IWC10"/>
      <c r="IWD10"/>
      <c r="IWE10"/>
      <c r="IWF10"/>
      <c r="IWG10"/>
      <c r="IWH10"/>
      <c r="IWI10"/>
      <c r="IWJ10"/>
      <c r="IWK10"/>
      <c r="IWL10"/>
      <c r="IWM10"/>
      <c r="IWN10"/>
      <c r="IWO10"/>
      <c r="IWP10"/>
      <c r="IWQ10"/>
      <c r="IWR10"/>
      <c r="IWS10"/>
      <c r="IWT10"/>
      <c r="IWU10"/>
      <c r="IWV10"/>
      <c r="IWW10"/>
      <c r="IWX10"/>
      <c r="IWY10"/>
      <c r="IWZ10"/>
      <c r="IXA10"/>
      <c r="IXB10"/>
      <c r="IXC10"/>
      <c r="IXD10"/>
      <c r="IXE10"/>
      <c r="IXF10"/>
      <c r="IXG10"/>
      <c r="IXH10"/>
      <c r="IXI10"/>
      <c r="IXJ10"/>
      <c r="IXK10"/>
      <c r="IXL10"/>
      <c r="IXM10"/>
      <c r="IXN10"/>
      <c r="IXO10"/>
      <c r="IXP10"/>
      <c r="IXQ10"/>
      <c r="IXR10"/>
      <c r="IXS10"/>
      <c r="IXT10"/>
      <c r="IXU10"/>
      <c r="IXV10"/>
      <c r="IXW10"/>
      <c r="IXX10"/>
      <c r="IXY10"/>
      <c r="IXZ10"/>
      <c r="IYA10"/>
      <c r="IYB10"/>
      <c r="IYC10"/>
      <c r="IYD10"/>
      <c r="IYE10"/>
      <c r="IYF10"/>
      <c r="IYG10"/>
      <c r="IYH10"/>
      <c r="IYI10"/>
      <c r="IYJ10"/>
      <c r="IYK10"/>
      <c r="IYL10"/>
      <c r="IYM10"/>
      <c r="IYN10"/>
      <c r="IYO10"/>
      <c r="IYP10"/>
      <c r="IYQ10"/>
      <c r="IYR10"/>
      <c r="IYS10"/>
      <c r="IYT10"/>
      <c r="IYU10"/>
      <c r="IYV10"/>
      <c r="IYW10"/>
      <c r="IYX10"/>
      <c r="IYY10"/>
      <c r="IYZ10"/>
      <c r="IZA10"/>
      <c r="IZB10"/>
      <c r="IZC10"/>
      <c r="IZD10"/>
      <c r="IZE10"/>
      <c r="IZF10"/>
      <c r="IZG10"/>
      <c r="IZH10"/>
      <c r="IZI10"/>
      <c r="IZJ10"/>
      <c r="IZK10"/>
      <c r="IZL10"/>
      <c r="IZM10"/>
      <c r="IZN10"/>
      <c r="IZO10"/>
      <c r="IZP10"/>
      <c r="IZQ10"/>
      <c r="IZR10"/>
      <c r="IZS10"/>
      <c r="IZT10"/>
      <c r="IZU10"/>
      <c r="IZV10"/>
      <c r="IZW10"/>
      <c r="IZX10"/>
      <c r="IZY10"/>
      <c r="IZZ10"/>
      <c r="JAA10"/>
      <c r="JAB10"/>
      <c r="JAC10"/>
      <c r="JAD10"/>
      <c r="JAE10"/>
      <c r="JAF10"/>
      <c r="JAG10"/>
      <c r="JAH10"/>
      <c r="JAI10"/>
      <c r="JAJ10"/>
      <c r="JAK10"/>
      <c r="JAL10"/>
      <c r="JAM10"/>
      <c r="JAN10"/>
      <c r="JAO10"/>
      <c r="JAP10"/>
      <c r="JAQ10"/>
      <c r="JAR10"/>
      <c r="JAS10"/>
      <c r="JAT10"/>
      <c r="JAU10"/>
      <c r="JAV10"/>
      <c r="JAW10"/>
      <c r="JAX10"/>
      <c r="JAY10"/>
      <c r="JAZ10"/>
      <c r="JBA10"/>
      <c r="JBB10"/>
      <c r="JBC10"/>
      <c r="JBD10"/>
      <c r="JBE10"/>
      <c r="JBF10"/>
      <c r="JBG10"/>
      <c r="JBH10"/>
      <c r="JBI10"/>
      <c r="JBJ10"/>
      <c r="JBK10"/>
      <c r="JBL10"/>
      <c r="JBM10"/>
      <c r="JBN10"/>
      <c r="JBO10"/>
      <c r="JBP10"/>
      <c r="JBQ10"/>
      <c r="JBR10"/>
      <c r="JBS10"/>
      <c r="JBT10"/>
      <c r="JBU10"/>
      <c r="JBV10"/>
      <c r="JBW10"/>
      <c r="JBX10"/>
      <c r="JBY10"/>
      <c r="JBZ10"/>
      <c r="JCA10"/>
      <c r="JCB10"/>
      <c r="JCC10"/>
      <c r="JCD10"/>
      <c r="JCE10"/>
      <c r="JCF10"/>
      <c r="JCG10"/>
      <c r="JCH10"/>
      <c r="JCI10"/>
      <c r="JCJ10"/>
      <c r="JCK10"/>
      <c r="JCL10"/>
      <c r="JCM10"/>
      <c r="JCN10"/>
      <c r="JCO10"/>
      <c r="JCP10"/>
      <c r="JCQ10"/>
      <c r="JCR10"/>
      <c r="JCS10"/>
      <c r="JCT10"/>
      <c r="JCU10"/>
      <c r="JCV10"/>
      <c r="JCW10"/>
      <c r="JCX10"/>
      <c r="JCY10"/>
      <c r="JCZ10"/>
      <c r="JDA10"/>
      <c r="JDB10"/>
      <c r="JDC10"/>
      <c r="JDD10"/>
      <c r="JDE10"/>
      <c r="JDF10"/>
      <c r="JDG10"/>
      <c r="JDH10"/>
      <c r="JDI10"/>
      <c r="JDJ10"/>
      <c r="JDK10"/>
      <c r="JDL10"/>
      <c r="JDM10"/>
      <c r="JDN10"/>
      <c r="JDO10"/>
      <c r="JDP10"/>
      <c r="JDQ10"/>
      <c r="JDR10"/>
      <c r="JDS10"/>
      <c r="JDT10"/>
      <c r="JDU10"/>
      <c r="JDV10"/>
      <c r="JDW10"/>
      <c r="JDX10"/>
      <c r="JDY10"/>
      <c r="JDZ10"/>
      <c r="JEA10"/>
      <c r="JEB10"/>
      <c r="JEC10"/>
      <c r="JED10"/>
      <c r="JEE10"/>
      <c r="JEF10"/>
      <c r="JEG10"/>
      <c r="JEH10"/>
      <c r="JEI10"/>
      <c r="JEJ10"/>
      <c r="JEK10"/>
      <c r="JEL10"/>
      <c r="JEM10"/>
      <c r="JEN10"/>
      <c r="JEO10"/>
      <c r="JEP10"/>
      <c r="JEQ10"/>
      <c r="JER10"/>
      <c r="JES10"/>
      <c r="JET10"/>
      <c r="JEU10"/>
      <c r="JEV10"/>
      <c r="JEW10"/>
      <c r="JEX10"/>
      <c r="JEY10"/>
      <c r="JEZ10"/>
      <c r="JFA10"/>
      <c r="JFB10"/>
      <c r="JFC10"/>
      <c r="JFD10"/>
      <c r="JFE10"/>
      <c r="JFF10"/>
      <c r="JFG10"/>
      <c r="JFH10"/>
      <c r="JFI10"/>
      <c r="JFJ10"/>
      <c r="JFK10"/>
      <c r="JFL10"/>
      <c r="JFM10"/>
      <c r="JFN10"/>
      <c r="JFO10"/>
      <c r="JFP10"/>
      <c r="JFQ10"/>
      <c r="JFR10"/>
      <c r="JFS10"/>
      <c r="JFT10"/>
      <c r="JFU10"/>
      <c r="JFV10"/>
      <c r="JFW10"/>
      <c r="JFX10"/>
      <c r="JFY10"/>
      <c r="JFZ10"/>
      <c r="JGA10"/>
      <c r="JGB10"/>
      <c r="JGC10"/>
      <c r="JGD10"/>
      <c r="JGE10"/>
      <c r="JGF10"/>
      <c r="JGG10"/>
      <c r="JGH10"/>
      <c r="JGI10"/>
      <c r="JGJ10"/>
      <c r="JGK10"/>
      <c r="JGL10"/>
      <c r="JGM10"/>
      <c r="JGN10"/>
      <c r="JGO10"/>
      <c r="JGP10"/>
      <c r="JGQ10"/>
      <c r="JGR10"/>
      <c r="JGS10"/>
      <c r="JGT10"/>
      <c r="JGU10"/>
      <c r="JGV10"/>
      <c r="JGW10"/>
      <c r="JGX10"/>
      <c r="JGY10"/>
      <c r="JGZ10"/>
      <c r="JHA10"/>
      <c r="JHB10"/>
      <c r="JHC10"/>
      <c r="JHD10"/>
      <c r="JHE10"/>
      <c r="JHF10"/>
      <c r="JHG10"/>
      <c r="JHH10"/>
      <c r="JHI10"/>
      <c r="JHJ10"/>
      <c r="JHK10"/>
      <c r="JHL10"/>
      <c r="JHM10"/>
      <c r="JHN10"/>
      <c r="JHO10"/>
      <c r="JHP10"/>
      <c r="JHQ10"/>
      <c r="JHR10"/>
      <c r="JHS10"/>
      <c r="JHT10"/>
      <c r="JHU10"/>
      <c r="JHV10"/>
      <c r="JHW10"/>
      <c r="JHX10"/>
      <c r="JHY10"/>
      <c r="JHZ10"/>
      <c r="JIA10"/>
      <c r="JIB10"/>
      <c r="JIC10"/>
      <c r="JID10"/>
      <c r="JIE10"/>
      <c r="JIF10"/>
      <c r="JIG10"/>
      <c r="JIH10"/>
      <c r="JII10"/>
      <c r="JIJ10"/>
      <c r="JIK10"/>
      <c r="JIL10"/>
      <c r="JIM10"/>
      <c r="JIN10"/>
      <c r="JIO10"/>
      <c r="JIP10"/>
      <c r="JIQ10"/>
      <c r="JIR10"/>
      <c r="JIS10"/>
      <c r="JIT10"/>
      <c r="JIU10"/>
      <c r="JIV10"/>
      <c r="JIW10"/>
      <c r="JIX10"/>
      <c r="JIY10"/>
      <c r="JIZ10"/>
      <c r="JJA10"/>
      <c r="JJB10"/>
      <c r="JJC10"/>
      <c r="JJD10"/>
      <c r="JJE10"/>
      <c r="JJF10"/>
      <c r="JJG10"/>
      <c r="JJH10"/>
      <c r="JJI10"/>
      <c r="JJJ10"/>
      <c r="JJK10"/>
      <c r="JJL10"/>
      <c r="JJM10"/>
      <c r="JJN10"/>
      <c r="JJO10"/>
      <c r="JJP10"/>
      <c r="JJQ10"/>
      <c r="JJR10"/>
      <c r="JJS10"/>
      <c r="JJT10"/>
      <c r="JJU10"/>
      <c r="JJV10"/>
      <c r="JJW10"/>
      <c r="JJX10"/>
      <c r="JJY10"/>
      <c r="JJZ10"/>
      <c r="JKA10"/>
      <c r="JKB10"/>
      <c r="JKC10"/>
      <c r="JKD10"/>
      <c r="JKE10"/>
      <c r="JKF10"/>
      <c r="JKG10"/>
      <c r="JKH10"/>
      <c r="JKI10"/>
      <c r="JKJ10"/>
      <c r="JKK10"/>
      <c r="JKL10"/>
      <c r="JKM10"/>
      <c r="JKN10"/>
      <c r="JKO10"/>
      <c r="JKP10"/>
      <c r="JKQ10"/>
      <c r="JKR10"/>
      <c r="JKS10"/>
      <c r="JKT10"/>
      <c r="JKU10"/>
      <c r="JKV10"/>
      <c r="JKW10"/>
      <c r="JKX10"/>
      <c r="JKY10"/>
      <c r="JKZ10"/>
      <c r="JLA10"/>
      <c r="JLB10"/>
      <c r="JLC10"/>
      <c r="JLD10"/>
      <c r="JLE10"/>
      <c r="JLF10"/>
      <c r="JLG10"/>
      <c r="JLH10"/>
      <c r="JLI10"/>
      <c r="JLJ10"/>
      <c r="JLK10"/>
      <c r="JLL10"/>
      <c r="JLM10"/>
      <c r="JLN10"/>
      <c r="JLO10"/>
      <c r="JLP10"/>
      <c r="JLQ10"/>
      <c r="JLR10"/>
      <c r="JLS10"/>
      <c r="JLT10"/>
      <c r="JLU10"/>
      <c r="JLV10"/>
      <c r="JLW10"/>
      <c r="JLX10"/>
      <c r="JLY10"/>
      <c r="JLZ10"/>
      <c r="JMA10"/>
      <c r="JMB10"/>
      <c r="JMC10"/>
      <c r="JMD10"/>
      <c r="JME10"/>
      <c r="JMF10"/>
      <c r="JMG10"/>
      <c r="JMH10"/>
      <c r="JMI10"/>
      <c r="JMJ10"/>
      <c r="JMK10"/>
      <c r="JML10"/>
      <c r="JMM10"/>
      <c r="JMN10"/>
      <c r="JMO10"/>
      <c r="JMP10"/>
      <c r="JMQ10"/>
      <c r="JMR10"/>
      <c r="JMS10"/>
      <c r="JMT10"/>
      <c r="JMU10"/>
      <c r="JMV10"/>
      <c r="JMW10"/>
      <c r="JMX10"/>
      <c r="JMY10"/>
      <c r="JMZ10"/>
      <c r="JNA10"/>
      <c r="JNB10"/>
      <c r="JNC10"/>
      <c r="JND10"/>
      <c r="JNE10"/>
      <c r="JNF10"/>
      <c r="JNG10"/>
      <c r="JNH10"/>
      <c r="JNI10"/>
      <c r="JNJ10"/>
      <c r="JNK10"/>
      <c r="JNL10"/>
      <c r="JNM10"/>
      <c r="JNN10"/>
      <c r="JNO10"/>
      <c r="JNP10"/>
      <c r="JNQ10"/>
      <c r="JNR10"/>
      <c r="JNS10"/>
      <c r="JNT10"/>
      <c r="JNU10"/>
      <c r="JNV10"/>
      <c r="JNW10"/>
      <c r="JNX10"/>
      <c r="JNY10"/>
      <c r="JNZ10"/>
      <c r="JOA10"/>
      <c r="JOB10"/>
      <c r="JOC10"/>
      <c r="JOD10"/>
      <c r="JOE10"/>
      <c r="JOF10"/>
      <c r="JOG10"/>
      <c r="JOH10"/>
      <c r="JOI10"/>
      <c r="JOJ10"/>
      <c r="JOK10"/>
      <c r="JOL10"/>
      <c r="JOM10"/>
      <c r="JON10"/>
      <c r="JOO10"/>
      <c r="JOP10"/>
      <c r="JOQ10"/>
      <c r="JOR10"/>
      <c r="JOS10"/>
      <c r="JOT10"/>
      <c r="JOU10"/>
      <c r="JOV10"/>
      <c r="JOW10"/>
      <c r="JOX10"/>
      <c r="JOY10"/>
      <c r="JOZ10"/>
      <c r="JPA10"/>
      <c r="JPB10"/>
      <c r="JPC10"/>
      <c r="JPD10"/>
      <c r="JPE10"/>
      <c r="JPF10"/>
      <c r="JPG10"/>
      <c r="JPH10"/>
      <c r="JPI10"/>
      <c r="JPJ10"/>
      <c r="JPK10"/>
      <c r="JPL10"/>
      <c r="JPM10"/>
      <c r="JPN10"/>
      <c r="JPO10"/>
      <c r="JPP10"/>
      <c r="JPQ10"/>
      <c r="JPR10"/>
      <c r="JPS10"/>
      <c r="JPT10"/>
      <c r="JPU10"/>
      <c r="JPV10"/>
      <c r="JPW10"/>
      <c r="JPX10"/>
      <c r="JPY10"/>
      <c r="JPZ10"/>
      <c r="JQA10"/>
      <c r="JQB10"/>
      <c r="JQC10"/>
      <c r="JQD10"/>
      <c r="JQE10"/>
      <c r="JQF10"/>
      <c r="JQG10"/>
      <c r="JQH10"/>
      <c r="JQI10"/>
      <c r="JQJ10"/>
      <c r="JQK10"/>
      <c r="JQL10"/>
      <c r="JQM10"/>
      <c r="JQN10"/>
      <c r="JQO10"/>
      <c r="JQP10"/>
      <c r="JQQ10"/>
      <c r="JQR10"/>
      <c r="JQS10"/>
      <c r="JQT10"/>
      <c r="JQU10"/>
      <c r="JQV10"/>
      <c r="JQW10"/>
      <c r="JQX10"/>
      <c r="JQY10"/>
      <c r="JQZ10"/>
      <c r="JRA10"/>
      <c r="JRB10"/>
      <c r="JRC10"/>
      <c r="JRD10"/>
      <c r="JRE10"/>
      <c r="JRF10"/>
      <c r="JRG10"/>
      <c r="JRH10"/>
      <c r="JRI10"/>
      <c r="JRJ10"/>
      <c r="JRK10"/>
      <c r="JRL10"/>
      <c r="JRM10"/>
      <c r="JRN10"/>
      <c r="JRO10"/>
      <c r="JRP10"/>
      <c r="JRQ10"/>
      <c r="JRR10"/>
      <c r="JRS10"/>
      <c r="JRT10"/>
      <c r="JRU10"/>
      <c r="JRV10"/>
      <c r="JRW10"/>
      <c r="JRX10"/>
      <c r="JRY10"/>
      <c r="JRZ10"/>
      <c r="JSA10"/>
      <c r="JSB10"/>
      <c r="JSC10"/>
      <c r="JSD10"/>
      <c r="JSE10"/>
      <c r="JSF10"/>
      <c r="JSG10"/>
      <c r="JSH10"/>
      <c r="JSI10"/>
      <c r="JSJ10"/>
      <c r="JSK10"/>
      <c r="JSL10"/>
      <c r="JSM10"/>
      <c r="JSN10"/>
      <c r="JSO10"/>
      <c r="JSP10"/>
      <c r="JSQ10"/>
      <c r="JSR10"/>
      <c r="JSS10"/>
      <c r="JST10"/>
      <c r="JSU10"/>
      <c r="JSV10"/>
      <c r="JSW10"/>
      <c r="JSX10"/>
      <c r="JSY10"/>
      <c r="JSZ10"/>
      <c r="JTA10"/>
      <c r="JTB10"/>
      <c r="JTC10"/>
      <c r="JTD10"/>
      <c r="JTE10"/>
      <c r="JTF10"/>
      <c r="JTG10"/>
      <c r="JTH10"/>
      <c r="JTI10"/>
      <c r="JTJ10"/>
      <c r="JTK10"/>
      <c r="JTL10"/>
      <c r="JTM10"/>
      <c r="JTN10"/>
      <c r="JTO10"/>
      <c r="JTP10"/>
      <c r="JTQ10"/>
      <c r="JTR10"/>
      <c r="JTS10"/>
      <c r="JTT10"/>
      <c r="JTU10"/>
      <c r="JTV10"/>
      <c r="JTW10"/>
      <c r="JTX10"/>
      <c r="JTY10"/>
      <c r="JTZ10"/>
      <c r="JUA10"/>
      <c r="JUB10"/>
      <c r="JUC10"/>
      <c r="JUD10"/>
      <c r="JUE10"/>
      <c r="JUF10"/>
      <c r="JUG10"/>
      <c r="JUH10"/>
      <c r="JUI10"/>
      <c r="JUJ10"/>
      <c r="JUK10"/>
      <c r="JUL10"/>
      <c r="JUM10"/>
      <c r="JUN10"/>
      <c r="JUO10"/>
      <c r="JUP10"/>
      <c r="JUQ10"/>
      <c r="JUR10"/>
      <c r="JUS10"/>
      <c r="JUT10"/>
      <c r="JUU10"/>
      <c r="JUV10"/>
      <c r="JUW10"/>
      <c r="JUX10"/>
      <c r="JUY10"/>
      <c r="JUZ10"/>
      <c r="JVA10"/>
      <c r="JVB10"/>
      <c r="JVC10"/>
      <c r="JVD10"/>
      <c r="JVE10"/>
      <c r="JVF10"/>
      <c r="JVG10"/>
      <c r="JVH10"/>
      <c r="JVI10"/>
      <c r="JVJ10"/>
      <c r="JVK10"/>
      <c r="JVL10"/>
      <c r="JVM10"/>
      <c r="JVN10"/>
      <c r="JVO10"/>
      <c r="JVP10"/>
      <c r="JVQ10"/>
      <c r="JVR10"/>
      <c r="JVS10"/>
      <c r="JVT10"/>
      <c r="JVU10"/>
      <c r="JVV10"/>
      <c r="JVW10"/>
      <c r="JVX10"/>
      <c r="JVY10"/>
      <c r="JVZ10"/>
      <c r="JWA10"/>
      <c r="JWB10"/>
      <c r="JWC10"/>
      <c r="JWD10"/>
      <c r="JWE10"/>
      <c r="JWF10"/>
      <c r="JWG10"/>
      <c r="JWH10"/>
      <c r="JWI10"/>
      <c r="JWJ10"/>
      <c r="JWK10"/>
      <c r="JWL10"/>
      <c r="JWM10"/>
      <c r="JWN10"/>
      <c r="JWO10"/>
      <c r="JWP10"/>
      <c r="JWQ10"/>
      <c r="JWR10"/>
      <c r="JWS10"/>
      <c r="JWT10"/>
      <c r="JWU10"/>
      <c r="JWV10"/>
      <c r="JWW10"/>
      <c r="JWX10"/>
      <c r="JWY10"/>
      <c r="JWZ10"/>
      <c r="JXA10"/>
      <c r="JXB10"/>
      <c r="JXC10"/>
      <c r="JXD10"/>
      <c r="JXE10"/>
      <c r="JXF10"/>
      <c r="JXG10"/>
      <c r="JXH10"/>
      <c r="JXI10"/>
      <c r="JXJ10"/>
      <c r="JXK10"/>
      <c r="JXL10"/>
      <c r="JXM10"/>
      <c r="JXN10"/>
      <c r="JXO10"/>
      <c r="JXP10"/>
      <c r="JXQ10"/>
      <c r="JXR10"/>
      <c r="JXS10"/>
      <c r="JXT10"/>
      <c r="JXU10"/>
      <c r="JXV10"/>
      <c r="JXW10"/>
      <c r="JXX10"/>
      <c r="JXY10"/>
      <c r="JXZ10"/>
      <c r="JYA10"/>
      <c r="JYB10"/>
      <c r="JYC10"/>
      <c r="JYD10"/>
      <c r="JYE10"/>
      <c r="JYF10"/>
      <c r="JYG10"/>
      <c r="JYH10"/>
      <c r="JYI10"/>
      <c r="JYJ10"/>
      <c r="JYK10"/>
      <c r="JYL10"/>
      <c r="JYM10"/>
      <c r="JYN10"/>
      <c r="JYO10"/>
      <c r="JYP10"/>
      <c r="JYQ10"/>
      <c r="JYR10"/>
      <c r="JYS10"/>
      <c r="JYT10"/>
      <c r="JYU10"/>
      <c r="JYV10"/>
      <c r="JYW10"/>
      <c r="JYX10"/>
      <c r="JYY10"/>
      <c r="JYZ10"/>
      <c r="JZA10"/>
      <c r="JZB10"/>
      <c r="JZC10"/>
      <c r="JZD10"/>
      <c r="JZE10"/>
      <c r="JZF10"/>
      <c r="JZG10"/>
      <c r="JZH10"/>
      <c r="JZI10"/>
      <c r="JZJ10"/>
      <c r="JZK10"/>
      <c r="JZL10"/>
      <c r="JZM10"/>
      <c r="JZN10"/>
      <c r="JZO10"/>
      <c r="JZP10"/>
      <c r="JZQ10"/>
      <c r="JZR10"/>
      <c r="JZS10"/>
      <c r="JZT10"/>
      <c r="JZU10"/>
      <c r="JZV10"/>
      <c r="JZW10"/>
      <c r="JZX10"/>
      <c r="JZY10"/>
      <c r="JZZ10"/>
      <c r="KAA10"/>
      <c r="KAB10"/>
      <c r="KAC10"/>
      <c r="KAD10"/>
      <c r="KAE10"/>
      <c r="KAF10"/>
      <c r="KAG10"/>
      <c r="KAH10"/>
      <c r="KAI10"/>
      <c r="KAJ10"/>
      <c r="KAK10"/>
      <c r="KAL10"/>
      <c r="KAM10"/>
      <c r="KAN10"/>
      <c r="KAO10"/>
      <c r="KAP10"/>
      <c r="KAQ10"/>
      <c r="KAR10"/>
      <c r="KAS10"/>
      <c r="KAT10"/>
      <c r="KAU10"/>
      <c r="KAV10"/>
      <c r="KAW10"/>
      <c r="KAX10"/>
      <c r="KAY10"/>
      <c r="KAZ10"/>
      <c r="KBA10"/>
      <c r="KBB10"/>
      <c r="KBC10"/>
      <c r="KBD10"/>
      <c r="KBE10"/>
      <c r="KBF10"/>
      <c r="KBG10"/>
      <c r="KBH10"/>
      <c r="KBI10"/>
      <c r="KBJ10"/>
      <c r="KBK10"/>
      <c r="KBL10"/>
      <c r="KBM10"/>
      <c r="KBN10"/>
      <c r="KBO10"/>
      <c r="KBP10"/>
      <c r="KBQ10"/>
      <c r="KBR10"/>
      <c r="KBS10"/>
      <c r="KBT10"/>
      <c r="KBU10"/>
      <c r="KBV10"/>
      <c r="KBW10"/>
      <c r="KBX10"/>
      <c r="KBY10"/>
      <c r="KBZ10"/>
      <c r="KCA10"/>
      <c r="KCB10"/>
      <c r="KCC10"/>
      <c r="KCD10"/>
      <c r="KCE10"/>
      <c r="KCF10"/>
      <c r="KCG10"/>
      <c r="KCH10"/>
      <c r="KCI10"/>
      <c r="KCJ10"/>
      <c r="KCK10"/>
      <c r="KCL10"/>
      <c r="KCM10"/>
      <c r="KCN10"/>
      <c r="KCO10"/>
      <c r="KCP10"/>
      <c r="KCQ10"/>
      <c r="KCR10"/>
      <c r="KCS10"/>
      <c r="KCT10"/>
      <c r="KCU10"/>
      <c r="KCV10"/>
      <c r="KCW10"/>
      <c r="KCX10"/>
      <c r="KCY10"/>
      <c r="KCZ10"/>
      <c r="KDA10"/>
      <c r="KDB10"/>
      <c r="KDC10"/>
      <c r="KDD10"/>
      <c r="KDE10"/>
      <c r="KDF10"/>
      <c r="KDG10"/>
      <c r="KDH10"/>
      <c r="KDI10"/>
      <c r="KDJ10"/>
      <c r="KDK10"/>
      <c r="KDL10"/>
      <c r="KDM10"/>
      <c r="KDN10"/>
      <c r="KDO10"/>
      <c r="KDP10"/>
      <c r="KDQ10"/>
      <c r="KDR10"/>
      <c r="KDS10"/>
      <c r="KDT10"/>
      <c r="KDU10"/>
      <c r="KDV10"/>
      <c r="KDW10"/>
      <c r="KDX10"/>
      <c r="KDY10"/>
      <c r="KDZ10"/>
      <c r="KEA10"/>
      <c r="KEB10"/>
      <c r="KEC10"/>
      <c r="KED10"/>
      <c r="KEE10"/>
      <c r="KEF10"/>
      <c r="KEG10"/>
      <c r="KEH10"/>
      <c r="KEI10"/>
      <c r="KEJ10"/>
      <c r="KEK10"/>
      <c r="KEL10"/>
      <c r="KEM10"/>
      <c r="KEN10"/>
      <c r="KEO10"/>
      <c r="KEP10"/>
      <c r="KEQ10"/>
      <c r="KER10"/>
      <c r="KES10"/>
      <c r="KET10"/>
      <c r="KEU10"/>
      <c r="KEV10"/>
      <c r="KEW10"/>
      <c r="KEX10"/>
      <c r="KEY10"/>
      <c r="KEZ10"/>
      <c r="KFA10"/>
      <c r="KFB10"/>
      <c r="KFC10"/>
      <c r="KFD10"/>
      <c r="KFE10"/>
      <c r="KFF10"/>
      <c r="KFG10"/>
      <c r="KFH10"/>
      <c r="KFI10"/>
      <c r="KFJ10"/>
      <c r="KFK10"/>
      <c r="KFL10"/>
      <c r="KFM10"/>
      <c r="KFN10"/>
      <c r="KFO10"/>
      <c r="KFP10"/>
      <c r="KFQ10"/>
      <c r="KFR10"/>
      <c r="KFS10"/>
      <c r="KFT10"/>
      <c r="KFU10"/>
      <c r="KFV10"/>
      <c r="KFW10"/>
      <c r="KFX10"/>
      <c r="KFY10"/>
      <c r="KFZ10"/>
      <c r="KGA10"/>
      <c r="KGB10"/>
      <c r="KGC10"/>
      <c r="KGD10"/>
      <c r="KGE10"/>
      <c r="KGF10"/>
      <c r="KGG10"/>
      <c r="KGH10"/>
      <c r="KGI10"/>
      <c r="KGJ10"/>
      <c r="KGK10"/>
      <c r="KGL10"/>
      <c r="KGM10"/>
      <c r="KGN10"/>
      <c r="KGO10"/>
      <c r="KGP10"/>
      <c r="KGQ10"/>
      <c r="KGR10"/>
      <c r="KGS10"/>
      <c r="KGT10"/>
      <c r="KGU10"/>
      <c r="KGV10"/>
      <c r="KGW10"/>
      <c r="KGX10"/>
      <c r="KGY10"/>
      <c r="KGZ10"/>
      <c r="KHA10"/>
      <c r="KHB10"/>
      <c r="KHC10"/>
      <c r="KHD10"/>
      <c r="KHE10"/>
      <c r="KHF10"/>
      <c r="KHG10"/>
      <c r="KHH10"/>
      <c r="KHI10"/>
      <c r="KHJ10"/>
      <c r="KHK10"/>
      <c r="KHL10"/>
      <c r="KHM10"/>
      <c r="KHN10"/>
      <c r="KHO10"/>
      <c r="KHP10"/>
      <c r="KHQ10"/>
      <c r="KHR10"/>
      <c r="KHS10"/>
      <c r="KHT10"/>
      <c r="KHU10"/>
      <c r="KHV10"/>
      <c r="KHW10"/>
      <c r="KHX10"/>
      <c r="KHY10"/>
      <c r="KHZ10"/>
      <c r="KIA10"/>
      <c r="KIB10"/>
      <c r="KIC10"/>
      <c r="KID10"/>
      <c r="KIE10"/>
      <c r="KIF10"/>
      <c r="KIG10"/>
      <c r="KIH10"/>
      <c r="KII10"/>
      <c r="KIJ10"/>
      <c r="KIK10"/>
      <c r="KIL10"/>
      <c r="KIM10"/>
      <c r="KIN10"/>
      <c r="KIO10"/>
      <c r="KIP10"/>
      <c r="KIQ10"/>
      <c r="KIR10"/>
      <c r="KIS10"/>
      <c r="KIT10"/>
      <c r="KIU10"/>
      <c r="KIV10"/>
      <c r="KIW10"/>
      <c r="KIX10"/>
      <c r="KIY10"/>
      <c r="KIZ10"/>
      <c r="KJA10"/>
      <c r="KJB10"/>
      <c r="KJC10"/>
      <c r="KJD10"/>
      <c r="KJE10"/>
      <c r="KJF10"/>
      <c r="KJG10"/>
      <c r="KJH10"/>
      <c r="KJI10"/>
      <c r="KJJ10"/>
      <c r="KJK10"/>
      <c r="KJL10"/>
      <c r="KJM10"/>
      <c r="KJN10"/>
      <c r="KJO10"/>
      <c r="KJP10"/>
      <c r="KJQ10"/>
      <c r="KJR10"/>
      <c r="KJS10"/>
      <c r="KJT10"/>
      <c r="KJU10"/>
      <c r="KJV10"/>
      <c r="KJW10"/>
      <c r="KJX10"/>
      <c r="KJY10"/>
      <c r="KJZ10"/>
      <c r="KKA10"/>
      <c r="KKB10"/>
      <c r="KKC10"/>
      <c r="KKD10"/>
      <c r="KKE10"/>
      <c r="KKF10"/>
      <c r="KKG10"/>
      <c r="KKH10"/>
      <c r="KKI10"/>
      <c r="KKJ10"/>
      <c r="KKK10"/>
      <c r="KKL10"/>
      <c r="KKM10"/>
      <c r="KKN10"/>
      <c r="KKO10"/>
      <c r="KKP10"/>
      <c r="KKQ10"/>
      <c r="KKR10"/>
      <c r="KKS10"/>
      <c r="KKT10"/>
      <c r="KKU10"/>
      <c r="KKV10"/>
      <c r="KKW10"/>
      <c r="KKX10"/>
      <c r="KKY10"/>
      <c r="KKZ10"/>
      <c r="KLA10"/>
      <c r="KLB10"/>
      <c r="KLC10"/>
      <c r="KLD10"/>
      <c r="KLE10"/>
      <c r="KLF10"/>
      <c r="KLG10"/>
      <c r="KLH10"/>
      <c r="KLI10"/>
      <c r="KLJ10"/>
      <c r="KLK10"/>
      <c r="KLL10"/>
      <c r="KLM10"/>
      <c r="KLN10"/>
      <c r="KLO10"/>
      <c r="KLP10"/>
      <c r="KLQ10"/>
      <c r="KLR10"/>
      <c r="KLS10"/>
      <c r="KLT10"/>
      <c r="KLU10"/>
      <c r="KLV10"/>
      <c r="KLW10"/>
      <c r="KLX10"/>
      <c r="KLY10"/>
      <c r="KLZ10"/>
      <c r="KMA10"/>
      <c r="KMB10"/>
      <c r="KMC10"/>
      <c r="KMD10"/>
      <c r="KME10"/>
      <c r="KMF10"/>
      <c r="KMG10"/>
      <c r="KMH10"/>
      <c r="KMI10"/>
      <c r="KMJ10"/>
      <c r="KMK10"/>
      <c r="KML10"/>
      <c r="KMM10"/>
      <c r="KMN10"/>
      <c r="KMO10"/>
      <c r="KMP10"/>
      <c r="KMQ10"/>
      <c r="KMR10"/>
      <c r="KMS10"/>
      <c r="KMT10"/>
      <c r="KMU10"/>
      <c r="KMV10"/>
      <c r="KMW10"/>
      <c r="KMX10"/>
      <c r="KMY10"/>
      <c r="KMZ10"/>
      <c r="KNA10"/>
      <c r="KNB10"/>
      <c r="KNC10"/>
      <c r="KND10"/>
      <c r="KNE10"/>
      <c r="KNF10"/>
      <c r="KNG10"/>
      <c r="KNH10"/>
      <c r="KNI10"/>
      <c r="KNJ10"/>
      <c r="KNK10"/>
      <c r="KNL10"/>
      <c r="KNM10"/>
      <c r="KNN10"/>
      <c r="KNO10"/>
      <c r="KNP10"/>
      <c r="KNQ10"/>
      <c r="KNR10"/>
      <c r="KNS10"/>
      <c r="KNT10"/>
      <c r="KNU10"/>
      <c r="KNV10"/>
      <c r="KNW10"/>
      <c r="KNX10"/>
      <c r="KNY10"/>
      <c r="KNZ10"/>
      <c r="KOA10"/>
      <c r="KOB10"/>
      <c r="KOC10"/>
      <c r="KOD10"/>
      <c r="KOE10"/>
      <c r="KOF10"/>
      <c r="KOG10"/>
      <c r="KOH10"/>
      <c r="KOI10"/>
      <c r="KOJ10"/>
      <c r="KOK10"/>
      <c r="KOL10"/>
      <c r="KOM10"/>
      <c r="KON10"/>
      <c r="KOO10"/>
      <c r="KOP10"/>
      <c r="KOQ10"/>
      <c r="KOR10"/>
      <c r="KOS10"/>
      <c r="KOT10"/>
      <c r="KOU10"/>
      <c r="KOV10"/>
      <c r="KOW10"/>
      <c r="KOX10"/>
      <c r="KOY10"/>
      <c r="KOZ10"/>
      <c r="KPA10"/>
      <c r="KPB10"/>
      <c r="KPC10"/>
      <c r="KPD10"/>
      <c r="KPE10"/>
      <c r="KPF10"/>
      <c r="KPG10"/>
      <c r="KPH10"/>
      <c r="KPI10"/>
      <c r="KPJ10"/>
      <c r="KPK10"/>
      <c r="KPL10"/>
      <c r="KPM10"/>
      <c r="KPN10"/>
      <c r="KPO10"/>
      <c r="KPP10"/>
      <c r="KPQ10"/>
      <c r="KPR10"/>
      <c r="KPS10"/>
      <c r="KPT10"/>
      <c r="KPU10"/>
      <c r="KPV10"/>
      <c r="KPW10"/>
      <c r="KPX10"/>
      <c r="KPY10"/>
      <c r="KPZ10"/>
      <c r="KQA10"/>
      <c r="KQB10"/>
      <c r="KQC10"/>
      <c r="KQD10"/>
      <c r="KQE10"/>
      <c r="KQF10"/>
      <c r="KQG10"/>
      <c r="KQH10"/>
      <c r="KQI10"/>
      <c r="KQJ10"/>
      <c r="KQK10"/>
      <c r="KQL10"/>
      <c r="KQM10"/>
      <c r="KQN10"/>
      <c r="KQO10"/>
      <c r="KQP10"/>
      <c r="KQQ10"/>
      <c r="KQR10"/>
      <c r="KQS10"/>
      <c r="KQT10"/>
      <c r="KQU10"/>
      <c r="KQV10"/>
      <c r="KQW10"/>
      <c r="KQX10"/>
      <c r="KQY10"/>
      <c r="KQZ10"/>
      <c r="KRA10"/>
      <c r="KRB10"/>
      <c r="KRC10"/>
      <c r="KRD10"/>
      <c r="KRE10"/>
      <c r="KRF10"/>
      <c r="KRG10"/>
      <c r="KRH10"/>
      <c r="KRI10"/>
      <c r="KRJ10"/>
      <c r="KRK10"/>
      <c r="KRL10"/>
      <c r="KRM10"/>
      <c r="KRN10"/>
      <c r="KRO10"/>
      <c r="KRP10"/>
      <c r="KRQ10"/>
      <c r="KRR10"/>
      <c r="KRS10"/>
      <c r="KRT10"/>
      <c r="KRU10"/>
      <c r="KRV10"/>
      <c r="KRW10"/>
      <c r="KRX10"/>
      <c r="KRY10"/>
      <c r="KRZ10"/>
      <c r="KSA10"/>
      <c r="KSB10"/>
      <c r="KSC10"/>
      <c r="KSD10"/>
      <c r="KSE10"/>
      <c r="KSF10"/>
      <c r="KSG10"/>
      <c r="KSH10"/>
      <c r="KSI10"/>
      <c r="KSJ10"/>
      <c r="KSK10"/>
      <c r="KSL10"/>
      <c r="KSM10"/>
      <c r="KSN10"/>
      <c r="KSO10"/>
      <c r="KSP10"/>
      <c r="KSQ10"/>
      <c r="KSR10"/>
      <c r="KSS10"/>
      <c r="KST10"/>
      <c r="KSU10"/>
      <c r="KSV10"/>
      <c r="KSW10"/>
      <c r="KSX10"/>
      <c r="KSY10"/>
      <c r="KSZ10"/>
      <c r="KTA10"/>
      <c r="KTB10"/>
      <c r="KTC10"/>
      <c r="KTD10"/>
      <c r="KTE10"/>
      <c r="KTF10"/>
      <c r="KTG10"/>
      <c r="KTH10"/>
      <c r="KTI10"/>
      <c r="KTJ10"/>
      <c r="KTK10"/>
      <c r="KTL10"/>
      <c r="KTM10"/>
      <c r="KTN10"/>
      <c r="KTO10"/>
      <c r="KTP10"/>
      <c r="KTQ10"/>
      <c r="KTR10"/>
      <c r="KTS10"/>
      <c r="KTT10"/>
      <c r="KTU10"/>
      <c r="KTV10"/>
      <c r="KTW10"/>
      <c r="KTX10"/>
      <c r="KTY10"/>
      <c r="KTZ10"/>
      <c r="KUA10"/>
      <c r="KUB10"/>
      <c r="KUC10"/>
      <c r="KUD10"/>
      <c r="KUE10"/>
      <c r="KUF10"/>
      <c r="KUG10"/>
      <c r="KUH10"/>
      <c r="KUI10"/>
      <c r="KUJ10"/>
      <c r="KUK10"/>
      <c r="KUL10"/>
      <c r="KUM10"/>
      <c r="KUN10"/>
      <c r="KUO10"/>
      <c r="KUP10"/>
      <c r="KUQ10"/>
      <c r="KUR10"/>
      <c r="KUS10"/>
      <c r="KUT10"/>
      <c r="KUU10"/>
      <c r="KUV10"/>
      <c r="KUW10"/>
      <c r="KUX10"/>
      <c r="KUY10"/>
      <c r="KUZ10"/>
      <c r="KVA10"/>
      <c r="KVB10"/>
      <c r="KVC10"/>
      <c r="KVD10"/>
      <c r="KVE10"/>
      <c r="KVF10"/>
      <c r="KVG10"/>
      <c r="KVH10"/>
      <c r="KVI10"/>
      <c r="KVJ10"/>
      <c r="KVK10"/>
      <c r="KVL10"/>
      <c r="KVM10"/>
      <c r="KVN10"/>
      <c r="KVO10"/>
      <c r="KVP10"/>
      <c r="KVQ10"/>
      <c r="KVR10"/>
      <c r="KVS10"/>
      <c r="KVT10"/>
      <c r="KVU10"/>
      <c r="KVV10"/>
      <c r="KVW10"/>
      <c r="KVX10"/>
      <c r="KVY10"/>
      <c r="KVZ10"/>
      <c r="KWA10"/>
      <c r="KWB10"/>
      <c r="KWC10"/>
      <c r="KWD10"/>
      <c r="KWE10"/>
      <c r="KWF10"/>
      <c r="KWG10"/>
      <c r="KWH10"/>
      <c r="KWI10"/>
      <c r="KWJ10"/>
      <c r="KWK10"/>
      <c r="KWL10"/>
      <c r="KWM10"/>
      <c r="KWN10"/>
      <c r="KWO10"/>
      <c r="KWP10"/>
      <c r="KWQ10"/>
      <c r="KWR10"/>
      <c r="KWS10"/>
      <c r="KWT10"/>
      <c r="KWU10"/>
      <c r="KWV10"/>
      <c r="KWW10"/>
      <c r="KWX10"/>
      <c r="KWY10"/>
      <c r="KWZ10"/>
      <c r="KXA10"/>
      <c r="KXB10"/>
      <c r="KXC10"/>
      <c r="KXD10"/>
      <c r="KXE10"/>
      <c r="KXF10"/>
      <c r="KXG10"/>
      <c r="KXH10"/>
      <c r="KXI10"/>
      <c r="KXJ10"/>
      <c r="KXK10"/>
      <c r="KXL10"/>
      <c r="KXM10"/>
      <c r="KXN10"/>
      <c r="KXO10"/>
      <c r="KXP10"/>
      <c r="KXQ10"/>
      <c r="KXR10"/>
      <c r="KXS10"/>
      <c r="KXT10"/>
      <c r="KXU10"/>
      <c r="KXV10"/>
      <c r="KXW10"/>
      <c r="KXX10"/>
      <c r="KXY10"/>
      <c r="KXZ10"/>
      <c r="KYA10"/>
      <c r="KYB10"/>
      <c r="KYC10"/>
      <c r="KYD10"/>
      <c r="KYE10"/>
      <c r="KYF10"/>
      <c r="KYG10"/>
      <c r="KYH10"/>
      <c r="KYI10"/>
      <c r="KYJ10"/>
      <c r="KYK10"/>
      <c r="KYL10"/>
      <c r="KYM10"/>
      <c r="KYN10"/>
      <c r="KYO10"/>
      <c r="KYP10"/>
      <c r="KYQ10"/>
      <c r="KYR10"/>
      <c r="KYS10"/>
      <c r="KYT10"/>
      <c r="KYU10"/>
      <c r="KYV10"/>
      <c r="KYW10"/>
      <c r="KYX10"/>
      <c r="KYY10"/>
      <c r="KYZ10"/>
      <c r="KZA10"/>
      <c r="KZB10"/>
      <c r="KZC10"/>
      <c r="KZD10"/>
      <c r="KZE10"/>
      <c r="KZF10"/>
      <c r="KZG10"/>
      <c r="KZH10"/>
      <c r="KZI10"/>
      <c r="KZJ10"/>
      <c r="KZK10"/>
      <c r="KZL10"/>
      <c r="KZM10"/>
      <c r="KZN10"/>
      <c r="KZO10"/>
      <c r="KZP10"/>
      <c r="KZQ10"/>
      <c r="KZR10"/>
      <c r="KZS10"/>
      <c r="KZT10"/>
      <c r="KZU10"/>
      <c r="KZV10"/>
      <c r="KZW10"/>
      <c r="KZX10"/>
      <c r="KZY10"/>
      <c r="KZZ10"/>
      <c r="LAA10"/>
      <c r="LAB10"/>
      <c r="LAC10"/>
      <c r="LAD10"/>
      <c r="LAE10"/>
      <c r="LAF10"/>
      <c r="LAG10"/>
      <c r="LAH10"/>
      <c r="LAI10"/>
      <c r="LAJ10"/>
      <c r="LAK10"/>
      <c r="LAL10"/>
      <c r="LAM10"/>
      <c r="LAN10"/>
      <c r="LAO10"/>
      <c r="LAP10"/>
      <c r="LAQ10"/>
      <c r="LAR10"/>
      <c r="LAS10"/>
      <c r="LAT10"/>
      <c r="LAU10"/>
      <c r="LAV10"/>
      <c r="LAW10"/>
      <c r="LAX10"/>
      <c r="LAY10"/>
      <c r="LAZ10"/>
      <c r="LBA10"/>
      <c r="LBB10"/>
      <c r="LBC10"/>
      <c r="LBD10"/>
      <c r="LBE10"/>
      <c r="LBF10"/>
      <c r="LBG10"/>
      <c r="LBH10"/>
      <c r="LBI10"/>
      <c r="LBJ10"/>
      <c r="LBK10"/>
      <c r="LBL10"/>
      <c r="LBM10"/>
      <c r="LBN10"/>
      <c r="LBO10"/>
      <c r="LBP10"/>
      <c r="LBQ10"/>
      <c r="LBR10"/>
      <c r="LBS10"/>
      <c r="LBT10"/>
      <c r="LBU10"/>
      <c r="LBV10"/>
      <c r="LBW10"/>
      <c r="LBX10"/>
      <c r="LBY10"/>
      <c r="LBZ10"/>
      <c r="LCA10"/>
      <c r="LCB10"/>
      <c r="LCC10"/>
      <c r="LCD10"/>
      <c r="LCE10"/>
      <c r="LCF10"/>
      <c r="LCG10"/>
      <c r="LCH10"/>
      <c r="LCI10"/>
      <c r="LCJ10"/>
      <c r="LCK10"/>
      <c r="LCL10"/>
      <c r="LCM10"/>
      <c r="LCN10"/>
      <c r="LCO10"/>
      <c r="LCP10"/>
      <c r="LCQ10"/>
      <c r="LCR10"/>
      <c r="LCS10"/>
      <c r="LCT10"/>
      <c r="LCU10"/>
      <c r="LCV10"/>
      <c r="LCW10"/>
      <c r="LCX10"/>
      <c r="LCY10"/>
      <c r="LCZ10"/>
      <c r="LDA10"/>
      <c r="LDB10"/>
      <c r="LDC10"/>
      <c r="LDD10"/>
      <c r="LDE10"/>
      <c r="LDF10"/>
      <c r="LDG10"/>
      <c r="LDH10"/>
      <c r="LDI10"/>
      <c r="LDJ10"/>
      <c r="LDK10"/>
      <c r="LDL10"/>
      <c r="LDM10"/>
      <c r="LDN10"/>
      <c r="LDO10"/>
      <c r="LDP10"/>
      <c r="LDQ10"/>
      <c r="LDR10"/>
      <c r="LDS10"/>
      <c r="LDT10"/>
      <c r="LDU10"/>
      <c r="LDV10"/>
      <c r="LDW10"/>
      <c r="LDX10"/>
      <c r="LDY10"/>
      <c r="LDZ10"/>
      <c r="LEA10"/>
      <c r="LEB10"/>
      <c r="LEC10"/>
      <c r="LED10"/>
      <c r="LEE10"/>
      <c r="LEF10"/>
      <c r="LEG10"/>
      <c r="LEH10"/>
      <c r="LEI10"/>
      <c r="LEJ10"/>
      <c r="LEK10"/>
      <c r="LEL10"/>
      <c r="LEM10"/>
      <c r="LEN10"/>
      <c r="LEO10"/>
      <c r="LEP10"/>
      <c r="LEQ10"/>
      <c r="LER10"/>
      <c r="LES10"/>
      <c r="LET10"/>
      <c r="LEU10"/>
      <c r="LEV10"/>
      <c r="LEW10"/>
      <c r="LEX10"/>
      <c r="LEY10"/>
      <c r="LEZ10"/>
      <c r="LFA10"/>
      <c r="LFB10"/>
      <c r="LFC10"/>
      <c r="LFD10"/>
      <c r="LFE10"/>
      <c r="LFF10"/>
      <c r="LFG10"/>
      <c r="LFH10"/>
      <c r="LFI10"/>
      <c r="LFJ10"/>
      <c r="LFK10"/>
      <c r="LFL10"/>
      <c r="LFM10"/>
      <c r="LFN10"/>
      <c r="LFO10"/>
      <c r="LFP10"/>
      <c r="LFQ10"/>
      <c r="LFR10"/>
      <c r="LFS10"/>
      <c r="LFT10"/>
      <c r="LFU10"/>
      <c r="LFV10"/>
      <c r="LFW10"/>
      <c r="LFX10"/>
      <c r="LFY10"/>
      <c r="LFZ10"/>
      <c r="LGA10"/>
      <c r="LGB10"/>
      <c r="LGC10"/>
      <c r="LGD10"/>
      <c r="LGE10"/>
      <c r="LGF10"/>
      <c r="LGG10"/>
      <c r="LGH10"/>
      <c r="LGI10"/>
      <c r="LGJ10"/>
      <c r="LGK10"/>
      <c r="LGL10"/>
      <c r="LGM10"/>
      <c r="LGN10"/>
      <c r="LGO10"/>
      <c r="LGP10"/>
      <c r="LGQ10"/>
      <c r="LGR10"/>
      <c r="LGS10"/>
      <c r="LGT10"/>
      <c r="LGU10"/>
      <c r="LGV10"/>
      <c r="LGW10"/>
      <c r="LGX10"/>
      <c r="LGY10"/>
      <c r="LGZ10"/>
      <c r="LHA10"/>
      <c r="LHB10"/>
      <c r="LHC10"/>
      <c r="LHD10"/>
      <c r="LHE10"/>
      <c r="LHF10"/>
      <c r="LHG10"/>
      <c r="LHH10"/>
      <c r="LHI10"/>
      <c r="LHJ10"/>
      <c r="LHK10"/>
      <c r="LHL10"/>
      <c r="LHM10"/>
      <c r="LHN10"/>
      <c r="LHO10"/>
      <c r="LHP10"/>
      <c r="LHQ10"/>
      <c r="LHR10"/>
      <c r="LHS10"/>
      <c r="LHT10"/>
      <c r="LHU10"/>
      <c r="LHV10"/>
      <c r="LHW10"/>
      <c r="LHX10"/>
      <c r="LHY10"/>
      <c r="LHZ10"/>
      <c r="LIA10"/>
      <c r="LIB10"/>
      <c r="LIC10"/>
      <c r="LID10"/>
      <c r="LIE10"/>
      <c r="LIF10"/>
      <c r="LIG10"/>
      <c r="LIH10"/>
      <c r="LII10"/>
      <c r="LIJ10"/>
      <c r="LIK10"/>
      <c r="LIL10"/>
      <c r="LIM10"/>
      <c r="LIN10"/>
      <c r="LIO10"/>
      <c r="LIP10"/>
      <c r="LIQ10"/>
      <c r="LIR10"/>
      <c r="LIS10"/>
      <c r="LIT10"/>
      <c r="LIU10"/>
      <c r="LIV10"/>
      <c r="LIW10"/>
      <c r="LIX10"/>
      <c r="LIY10"/>
      <c r="LIZ10"/>
      <c r="LJA10"/>
      <c r="LJB10"/>
      <c r="LJC10"/>
      <c r="LJD10"/>
      <c r="LJE10"/>
      <c r="LJF10"/>
      <c r="LJG10"/>
      <c r="LJH10"/>
      <c r="LJI10"/>
      <c r="LJJ10"/>
      <c r="LJK10"/>
      <c r="LJL10"/>
      <c r="LJM10"/>
      <c r="LJN10"/>
      <c r="LJO10"/>
      <c r="LJP10"/>
      <c r="LJQ10"/>
      <c r="LJR10"/>
      <c r="LJS10"/>
      <c r="LJT10"/>
      <c r="LJU10"/>
      <c r="LJV10"/>
      <c r="LJW10"/>
      <c r="LJX10"/>
      <c r="LJY10"/>
      <c r="LJZ10"/>
      <c r="LKA10"/>
      <c r="LKB10"/>
      <c r="LKC10"/>
      <c r="LKD10"/>
      <c r="LKE10"/>
      <c r="LKF10"/>
      <c r="LKG10"/>
      <c r="LKH10"/>
      <c r="LKI10"/>
      <c r="LKJ10"/>
      <c r="LKK10"/>
      <c r="LKL10"/>
      <c r="LKM10"/>
      <c r="LKN10"/>
      <c r="LKO10"/>
      <c r="LKP10"/>
      <c r="LKQ10"/>
      <c r="LKR10"/>
      <c r="LKS10"/>
      <c r="LKT10"/>
      <c r="LKU10"/>
      <c r="LKV10"/>
      <c r="LKW10"/>
      <c r="LKX10"/>
      <c r="LKY10"/>
      <c r="LKZ10"/>
      <c r="LLA10"/>
      <c r="LLB10"/>
      <c r="LLC10"/>
      <c r="LLD10"/>
      <c r="LLE10"/>
      <c r="LLF10"/>
      <c r="LLG10"/>
      <c r="LLH10"/>
      <c r="LLI10"/>
      <c r="LLJ10"/>
      <c r="LLK10"/>
      <c r="LLL10"/>
      <c r="LLM10"/>
      <c r="LLN10"/>
      <c r="LLO10"/>
      <c r="LLP10"/>
      <c r="LLQ10"/>
      <c r="LLR10"/>
      <c r="LLS10"/>
      <c r="LLT10"/>
      <c r="LLU10"/>
      <c r="LLV10"/>
      <c r="LLW10"/>
      <c r="LLX10"/>
      <c r="LLY10"/>
      <c r="LLZ10"/>
      <c r="LMA10"/>
      <c r="LMB10"/>
      <c r="LMC10"/>
      <c r="LMD10"/>
      <c r="LME10"/>
      <c r="LMF10"/>
      <c r="LMG10"/>
      <c r="LMH10"/>
      <c r="LMI10"/>
      <c r="LMJ10"/>
      <c r="LMK10"/>
      <c r="LML10"/>
      <c r="LMM10"/>
      <c r="LMN10"/>
      <c r="LMO10"/>
      <c r="LMP10"/>
      <c r="LMQ10"/>
      <c r="LMR10"/>
      <c r="LMS10"/>
      <c r="LMT10"/>
      <c r="LMU10"/>
      <c r="LMV10"/>
      <c r="LMW10"/>
      <c r="LMX10"/>
      <c r="LMY10"/>
      <c r="LMZ10"/>
      <c r="LNA10"/>
      <c r="LNB10"/>
      <c r="LNC10"/>
      <c r="LND10"/>
      <c r="LNE10"/>
      <c r="LNF10"/>
      <c r="LNG10"/>
      <c r="LNH10"/>
      <c r="LNI10"/>
      <c r="LNJ10"/>
      <c r="LNK10"/>
      <c r="LNL10"/>
      <c r="LNM10"/>
      <c r="LNN10"/>
      <c r="LNO10"/>
      <c r="LNP10"/>
      <c r="LNQ10"/>
      <c r="LNR10"/>
      <c r="LNS10"/>
      <c r="LNT10"/>
      <c r="LNU10"/>
      <c r="LNV10"/>
      <c r="LNW10"/>
      <c r="LNX10"/>
      <c r="LNY10"/>
      <c r="LNZ10"/>
      <c r="LOA10"/>
      <c r="LOB10"/>
      <c r="LOC10"/>
      <c r="LOD10"/>
      <c r="LOE10"/>
      <c r="LOF10"/>
      <c r="LOG10"/>
      <c r="LOH10"/>
      <c r="LOI10"/>
      <c r="LOJ10"/>
      <c r="LOK10"/>
      <c r="LOL10"/>
      <c r="LOM10"/>
      <c r="LON10"/>
      <c r="LOO10"/>
      <c r="LOP10"/>
      <c r="LOQ10"/>
      <c r="LOR10"/>
      <c r="LOS10"/>
      <c r="LOT10"/>
      <c r="LOU10"/>
      <c r="LOV10"/>
      <c r="LOW10"/>
      <c r="LOX10"/>
      <c r="LOY10"/>
      <c r="LOZ10"/>
      <c r="LPA10"/>
      <c r="LPB10"/>
      <c r="LPC10"/>
      <c r="LPD10"/>
      <c r="LPE10"/>
      <c r="LPF10"/>
      <c r="LPG10"/>
      <c r="LPH10"/>
      <c r="LPI10"/>
      <c r="LPJ10"/>
      <c r="LPK10"/>
      <c r="LPL10"/>
      <c r="LPM10"/>
      <c r="LPN10"/>
      <c r="LPO10"/>
      <c r="LPP10"/>
      <c r="LPQ10"/>
      <c r="LPR10"/>
      <c r="LPS10"/>
      <c r="LPT10"/>
      <c r="LPU10"/>
      <c r="LPV10"/>
      <c r="LPW10"/>
      <c r="LPX10"/>
      <c r="LPY10"/>
      <c r="LPZ10"/>
      <c r="LQA10"/>
      <c r="LQB10"/>
      <c r="LQC10"/>
      <c r="LQD10"/>
      <c r="LQE10"/>
      <c r="LQF10"/>
      <c r="LQG10"/>
      <c r="LQH10"/>
      <c r="LQI10"/>
      <c r="LQJ10"/>
      <c r="LQK10"/>
      <c r="LQL10"/>
      <c r="LQM10"/>
      <c r="LQN10"/>
      <c r="LQO10"/>
      <c r="LQP10"/>
      <c r="LQQ10"/>
      <c r="LQR10"/>
      <c r="LQS10"/>
      <c r="LQT10"/>
      <c r="LQU10"/>
      <c r="LQV10"/>
      <c r="LQW10"/>
      <c r="LQX10"/>
      <c r="LQY10"/>
      <c r="LQZ10"/>
      <c r="LRA10"/>
      <c r="LRB10"/>
      <c r="LRC10"/>
      <c r="LRD10"/>
      <c r="LRE10"/>
      <c r="LRF10"/>
      <c r="LRG10"/>
      <c r="LRH10"/>
      <c r="LRI10"/>
      <c r="LRJ10"/>
      <c r="LRK10"/>
      <c r="LRL10"/>
      <c r="LRM10"/>
      <c r="LRN10"/>
      <c r="LRO10"/>
      <c r="LRP10"/>
      <c r="LRQ10"/>
      <c r="LRR10"/>
      <c r="LRS10"/>
      <c r="LRT10"/>
      <c r="LRU10"/>
      <c r="LRV10"/>
      <c r="LRW10"/>
      <c r="LRX10"/>
      <c r="LRY10"/>
      <c r="LRZ10"/>
      <c r="LSA10"/>
      <c r="LSB10"/>
      <c r="LSC10"/>
      <c r="LSD10"/>
      <c r="LSE10"/>
      <c r="LSF10"/>
      <c r="LSG10"/>
      <c r="LSH10"/>
      <c r="LSI10"/>
      <c r="LSJ10"/>
      <c r="LSK10"/>
      <c r="LSL10"/>
      <c r="LSM10"/>
      <c r="LSN10"/>
      <c r="LSO10"/>
      <c r="LSP10"/>
      <c r="LSQ10"/>
      <c r="LSR10"/>
      <c r="LSS10"/>
      <c r="LST10"/>
      <c r="LSU10"/>
      <c r="LSV10"/>
      <c r="LSW10"/>
      <c r="LSX10"/>
      <c r="LSY10"/>
      <c r="LSZ10"/>
      <c r="LTA10"/>
      <c r="LTB10"/>
      <c r="LTC10"/>
      <c r="LTD10"/>
      <c r="LTE10"/>
      <c r="LTF10"/>
      <c r="LTG10"/>
      <c r="LTH10"/>
      <c r="LTI10"/>
      <c r="LTJ10"/>
      <c r="LTK10"/>
      <c r="LTL10"/>
      <c r="LTM10"/>
      <c r="LTN10"/>
      <c r="LTO10"/>
      <c r="LTP10"/>
      <c r="LTQ10"/>
      <c r="LTR10"/>
      <c r="LTS10"/>
      <c r="LTT10"/>
      <c r="LTU10"/>
      <c r="LTV10"/>
      <c r="LTW10"/>
      <c r="LTX10"/>
      <c r="LTY10"/>
      <c r="LTZ10"/>
      <c r="LUA10"/>
      <c r="LUB10"/>
      <c r="LUC10"/>
      <c r="LUD10"/>
      <c r="LUE10"/>
      <c r="LUF10"/>
      <c r="LUG10"/>
      <c r="LUH10"/>
      <c r="LUI10"/>
      <c r="LUJ10"/>
      <c r="LUK10"/>
      <c r="LUL10"/>
      <c r="LUM10"/>
      <c r="LUN10"/>
      <c r="LUO10"/>
      <c r="LUP10"/>
      <c r="LUQ10"/>
      <c r="LUR10"/>
      <c r="LUS10"/>
      <c r="LUT10"/>
      <c r="LUU10"/>
      <c r="LUV10"/>
      <c r="LUW10"/>
      <c r="LUX10"/>
      <c r="LUY10"/>
      <c r="LUZ10"/>
      <c r="LVA10"/>
      <c r="LVB10"/>
      <c r="LVC10"/>
      <c r="LVD10"/>
      <c r="LVE10"/>
      <c r="LVF10"/>
      <c r="LVG10"/>
      <c r="LVH10"/>
      <c r="LVI10"/>
      <c r="LVJ10"/>
      <c r="LVK10"/>
      <c r="LVL10"/>
      <c r="LVM10"/>
      <c r="LVN10"/>
      <c r="LVO10"/>
      <c r="LVP10"/>
      <c r="LVQ10"/>
      <c r="LVR10"/>
      <c r="LVS10"/>
      <c r="LVT10"/>
      <c r="LVU10"/>
      <c r="LVV10"/>
      <c r="LVW10"/>
      <c r="LVX10"/>
      <c r="LVY10"/>
      <c r="LVZ10"/>
      <c r="LWA10"/>
      <c r="LWB10"/>
      <c r="LWC10"/>
      <c r="LWD10"/>
      <c r="LWE10"/>
      <c r="LWF10"/>
      <c r="LWG10"/>
      <c r="LWH10"/>
      <c r="LWI10"/>
      <c r="LWJ10"/>
      <c r="LWK10"/>
      <c r="LWL10"/>
      <c r="LWM10"/>
      <c r="LWN10"/>
      <c r="LWO10"/>
      <c r="LWP10"/>
      <c r="LWQ10"/>
      <c r="LWR10"/>
      <c r="LWS10"/>
      <c r="LWT10"/>
      <c r="LWU10"/>
      <c r="LWV10"/>
      <c r="LWW10"/>
      <c r="LWX10"/>
      <c r="LWY10"/>
      <c r="LWZ10"/>
      <c r="LXA10"/>
      <c r="LXB10"/>
      <c r="LXC10"/>
      <c r="LXD10"/>
      <c r="LXE10"/>
      <c r="LXF10"/>
      <c r="LXG10"/>
      <c r="LXH10"/>
      <c r="LXI10"/>
      <c r="LXJ10"/>
      <c r="LXK10"/>
      <c r="LXL10"/>
      <c r="LXM10"/>
      <c r="LXN10"/>
      <c r="LXO10"/>
      <c r="LXP10"/>
      <c r="LXQ10"/>
      <c r="LXR10"/>
      <c r="LXS10"/>
      <c r="LXT10"/>
      <c r="LXU10"/>
      <c r="LXV10"/>
      <c r="LXW10"/>
      <c r="LXX10"/>
      <c r="LXY10"/>
      <c r="LXZ10"/>
      <c r="LYA10"/>
      <c r="LYB10"/>
      <c r="LYC10"/>
      <c r="LYD10"/>
      <c r="LYE10"/>
      <c r="LYF10"/>
      <c r="LYG10"/>
      <c r="LYH10"/>
      <c r="LYI10"/>
      <c r="LYJ10"/>
      <c r="LYK10"/>
      <c r="LYL10"/>
      <c r="LYM10"/>
      <c r="LYN10"/>
      <c r="LYO10"/>
      <c r="LYP10"/>
      <c r="LYQ10"/>
      <c r="LYR10"/>
      <c r="LYS10"/>
      <c r="LYT10"/>
      <c r="LYU10"/>
      <c r="LYV10"/>
      <c r="LYW10"/>
      <c r="LYX10"/>
      <c r="LYY10"/>
      <c r="LYZ10"/>
      <c r="LZA10"/>
      <c r="LZB10"/>
      <c r="LZC10"/>
      <c r="LZD10"/>
      <c r="LZE10"/>
      <c r="LZF10"/>
      <c r="LZG10"/>
      <c r="LZH10"/>
      <c r="LZI10"/>
      <c r="LZJ10"/>
      <c r="LZK10"/>
      <c r="LZL10"/>
      <c r="LZM10"/>
      <c r="LZN10"/>
      <c r="LZO10"/>
      <c r="LZP10"/>
      <c r="LZQ10"/>
      <c r="LZR10"/>
      <c r="LZS10"/>
      <c r="LZT10"/>
      <c r="LZU10"/>
      <c r="LZV10"/>
      <c r="LZW10"/>
      <c r="LZX10"/>
      <c r="LZY10"/>
      <c r="LZZ10"/>
      <c r="MAA10"/>
      <c r="MAB10"/>
      <c r="MAC10"/>
      <c r="MAD10"/>
      <c r="MAE10"/>
      <c r="MAF10"/>
      <c r="MAG10"/>
      <c r="MAH10"/>
      <c r="MAI10"/>
      <c r="MAJ10"/>
      <c r="MAK10"/>
      <c r="MAL10"/>
      <c r="MAM10"/>
      <c r="MAN10"/>
      <c r="MAO10"/>
      <c r="MAP10"/>
      <c r="MAQ10"/>
      <c r="MAR10"/>
      <c r="MAS10"/>
      <c r="MAT10"/>
      <c r="MAU10"/>
      <c r="MAV10"/>
      <c r="MAW10"/>
      <c r="MAX10"/>
      <c r="MAY10"/>
      <c r="MAZ10"/>
      <c r="MBA10"/>
      <c r="MBB10"/>
      <c r="MBC10"/>
      <c r="MBD10"/>
      <c r="MBE10"/>
      <c r="MBF10"/>
      <c r="MBG10"/>
      <c r="MBH10"/>
      <c r="MBI10"/>
      <c r="MBJ10"/>
      <c r="MBK10"/>
      <c r="MBL10"/>
      <c r="MBM10"/>
      <c r="MBN10"/>
      <c r="MBO10"/>
      <c r="MBP10"/>
      <c r="MBQ10"/>
      <c r="MBR10"/>
      <c r="MBS10"/>
      <c r="MBT10"/>
      <c r="MBU10"/>
      <c r="MBV10"/>
      <c r="MBW10"/>
      <c r="MBX10"/>
      <c r="MBY10"/>
      <c r="MBZ10"/>
      <c r="MCA10"/>
      <c r="MCB10"/>
      <c r="MCC10"/>
      <c r="MCD10"/>
      <c r="MCE10"/>
      <c r="MCF10"/>
      <c r="MCG10"/>
      <c r="MCH10"/>
      <c r="MCI10"/>
      <c r="MCJ10"/>
      <c r="MCK10"/>
      <c r="MCL10"/>
      <c r="MCM10"/>
      <c r="MCN10"/>
      <c r="MCO10"/>
      <c r="MCP10"/>
      <c r="MCQ10"/>
      <c r="MCR10"/>
      <c r="MCS10"/>
      <c r="MCT10"/>
      <c r="MCU10"/>
      <c r="MCV10"/>
      <c r="MCW10"/>
      <c r="MCX10"/>
      <c r="MCY10"/>
      <c r="MCZ10"/>
      <c r="MDA10"/>
      <c r="MDB10"/>
      <c r="MDC10"/>
      <c r="MDD10"/>
      <c r="MDE10"/>
      <c r="MDF10"/>
      <c r="MDG10"/>
      <c r="MDH10"/>
      <c r="MDI10"/>
      <c r="MDJ10"/>
      <c r="MDK10"/>
      <c r="MDL10"/>
      <c r="MDM10"/>
      <c r="MDN10"/>
      <c r="MDO10"/>
      <c r="MDP10"/>
      <c r="MDQ10"/>
      <c r="MDR10"/>
      <c r="MDS10"/>
      <c r="MDT10"/>
      <c r="MDU10"/>
      <c r="MDV10"/>
      <c r="MDW10"/>
      <c r="MDX10"/>
      <c r="MDY10"/>
      <c r="MDZ10"/>
      <c r="MEA10"/>
      <c r="MEB10"/>
      <c r="MEC10"/>
      <c r="MED10"/>
      <c r="MEE10"/>
      <c r="MEF10"/>
      <c r="MEG10"/>
      <c r="MEH10"/>
      <c r="MEI10"/>
      <c r="MEJ10"/>
      <c r="MEK10"/>
      <c r="MEL10"/>
      <c r="MEM10"/>
      <c r="MEN10"/>
      <c r="MEO10"/>
      <c r="MEP10"/>
      <c r="MEQ10"/>
      <c r="MER10"/>
      <c r="MES10"/>
      <c r="MET10"/>
      <c r="MEU10"/>
      <c r="MEV10"/>
      <c r="MEW10"/>
      <c r="MEX10"/>
      <c r="MEY10"/>
      <c r="MEZ10"/>
      <c r="MFA10"/>
      <c r="MFB10"/>
      <c r="MFC10"/>
      <c r="MFD10"/>
      <c r="MFE10"/>
      <c r="MFF10"/>
      <c r="MFG10"/>
      <c r="MFH10"/>
      <c r="MFI10"/>
      <c r="MFJ10"/>
      <c r="MFK10"/>
      <c r="MFL10"/>
      <c r="MFM10"/>
      <c r="MFN10"/>
      <c r="MFO10"/>
      <c r="MFP10"/>
      <c r="MFQ10"/>
      <c r="MFR10"/>
      <c r="MFS10"/>
      <c r="MFT10"/>
      <c r="MFU10"/>
      <c r="MFV10"/>
      <c r="MFW10"/>
      <c r="MFX10"/>
      <c r="MFY10"/>
      <c r="MFZ10"/>
      <c r="MGA10"/>
      <c r="MGB10"/>
      <c r="MGC10"/>
      <c r="MGD10"/>
      <c r="MGE10"/>
      <c r="MGF10"/>
      <c r="MGG10"/>
      <c r="MGH10"/>
      <c r="MGI10"/>
      <c r="MGJ10"/>
      <c r="MGK10"/>
      <c r="MGL10"/>
      <c r="MGM10"/>
      <c r="MGN10"/>
      <c r="MGO10"/>
      <c r="MGP10"/>
      <c r="MGQ10"/>
      <c r="MGR10"/>
      <c r="MGS10"/>
      <c r="MGT10"/>
      <c r="MGU10"/>
      <c r="MGV10"/>
      <c r="MGW10"/>
      <c r="MGX10"/>
      <c r="MGY10"/>
      <c r="MGZ10"/>
      <c r="MHA10"/>
      <c r="MHB10"/>
      <c r="MHC10"/>
      <c r="MHD10"/>
      <c r="MHE10"/>
      <c r="MHF10"/>
      <c r="MHG10"/>
      <c r="MHH10"/>
      <c r="MHI10"/>
      <c r="MHJ10"/>
      <c r="MHK10"/>
      <c r="MHL10"/>
      <c r="MHM10"/>
      <c r="MHN10"/>
      <c r="MHO10"/>
      <c r="MHP10"/>
      <c r="MHQ10"/>
      <c r="MHR10"/>
      <c r="MHS10"/>
      <c r="MHT10"/>
      <c r="MHU10"/>
      <c r="MHV10"/>
      <c r="MHW10"/>
      <c r="MHX10"/>
      <c r="MHY10"/>
      <c r="MHZ10"/>
      <c r="MIA10"/>
      <c r="MIB10"/>
      <c r="MIC10"/>
      <c r="MID10"/>
      <c r="MIE10"/>
      <c r="MIF10"/>
      <c r="MIG10"/>
      <c r="MIH10"/>
      <c r="MII10"/>
      <c r="MIJ10"/>
      <c r="MIK10"/>
      <c r="MIL10"/>
      <c r="MIM10"/>
      <c r="MIN10"/>
      <c r="MIO10"/>
      <c r="MIP10"/>
      <c r="MIQ10"/>
      <c r="MIR10"/>
      <c r="MIS10"/>
      <c r="MIT10"/>
      <c r="MIU10"/>
      <c r="MIV10"/>
      <c r="MIW10"/>
      <c r="MIX10"/>
      <c r="MIY10"/>
      <c r="MIZ10"/>
      <c r="MJA10"/>
      <c r="MJB10"/>
      <c r="MJC10"/>
      <c r="MJD10"/>
      <c r="MJE10"/>
      <c r="MJF10"/>
      <c r="MJG10"/>
      <c r="MJH10"/>
      <c r="MJI10"/>
      <c r="MJJ10"/>
      <c r="MJK10"/>
      <c r="MJL10"/>
      <c r="MJM10"/>
      <c r="MJN10"/>
      <c r="MJO10"/>
      <c r="MJP10"/>
      <c r="MJQ10"/>
      <c r="MJR10"/>
      <c r="MJS10"/>
      <c r="MJT10"/>
      <c r="MJU10"/>
      <c r="MJV10"/>
      <c r="MJW10"/>
      <c r="MJX10"/>
      <c r="MJY10"/>
      <c r="MJZ10"/>
      <c r="MKA10"/>
      <c r="MKB10"/>
      <c r="MKC10"/>
      <c r="MKD10"/>
      <c r="MKE10"/>
      <c r="MKF10"/>
      <c r="MKG10"/>
      <c r="MKH10"/>
      <c r="MKI10"/>
      <c r="MKJ10"/>
      <c r="MKK10"/>
      <c r="MKL10"/>
      <c r="MKM10"/>
      <c r="MKN10"/>
      <c r="MKO10"/>
      <c r="MKP10"/>
      <c r="MKQ10"/>
      <c r="MKR10"/>
      <c r="MKS10"/>
      <c r="MKT10"/>
      <c r="MKU10"/>
      <c r="MKV10"/>
      <c r="MKW10"/>
      <c r="MKX10"/>
      <c r="MKY10"/>
      <c r="MKZ10"/>
      <c r="MLA10"/>
      <c r="MLB10"/>
      <c r="MLC10"/>
      <c r="MLD10"/>
      <c r="MLE10"/>
      <c r="MLF10"/>
      <c r="MLG10"/>
      <c r="MLH10"/>
      <c r="MLI10"/>
      <c r="MLJ10"/>
      <c r="MLK10"/>
      <c r="MLL10"/>
      <c r="MLM10"/>
      <c r="MLN10"/>
      <c r="MLO10"/>
      <c r="MLP10"/>
      <c r="MLQ10"/>
      <c r="MLR10"/>
      <c r="MLS10"/>
      <c r="MLT10"/>
      <c r="MLU10"/>
      <c r="MLV10"/>
      <c r="MLW10"/>
      <c r="MLX10"/>
      <c r="MLY10"/>
      <c r="MLZ10"/>
      <c r="MMA10"/>
      <c r="MMB10"/>
      <c r="MMC10"/>
      <c r="MMD10"/>
      <c r="MME10"/>
      <c r="MMF10"/>
      <c r="MMG10"/>
      <c r="MMH10"/>
      <c r="MMI10"/>
      <c r="MMJ10"/>
      <c r="MMK10"/>
      <c r="MML10"/>
      <c r="MMM10"/>
      <c r="MMN10"/>
      <c r="MMO10"/>
      <c r="MMP10"/>
      <c r="MMQ10"/>
      <c r="MMR10"/>
      <c r="MMS10"/>
      <c r="MMT10"/>
      <c r="MMU10"/>
      <c r="MMV10"/>
      <c r="MMW10"/>
      <c r="MMX10"/>
      <c r="MMY10"/>
      <c r="MMZ10"/>
      <c r="MNA10"/>
      <c r="MNB10"/>
      <c r="MNC10"/>
      <c r="MND10"/>
      <c r="MNE10"/>
      <c r="MNF10"/>
      <c r="MNG10"/>
      <c r="MNH10"/>
      <c r="MNI10"/>
      <c r="MNJ10"/>
      <c r="MNK10"/>
      <c r="MNL10"/>
      <c r="MNM10"/>
      <c r="MNN10"/>
      <c r="MNO10"/>
      <c r="MNP10"/>
      <c r="MNQ10"/>
      <c r="MNR10"/>
      <c r="MNS10"/>
      <c r="MNT10"/>
      <c r="MNU10"/>
      <c r="MNV10"/>
      <c r="MNW10"/>
      <c r="MNX10"/>
      <c r="MNY10"/>
      <c r="MNZ10"/>
      <c r="MOA10"/>
      <c r="MOB10"/>
      <c r="MOC10"/>
      <c r="MOD10"/>
      <c r="MOE10"/>
      <c r="MOF10"/>
      <c r="MOG10"/>
      <c r="MOH10"/>
      <c r="MOI10"/>
      <c r="MOJ10"/>
      <c r="MOK10"/>
      <c r="MOL10"/>
      <c r="MOM10"/>
      <c r="MON10"/>
      <c r="MOO10"/>
      <c r="MOP10"/>
      <c r="MOQ10"/>
      <c r="MOR10"/>
      <c r="MOS10"/>
      <c r="MOT10"/>
      <c r="MOU10"/>
      <c r="MOV10"/>
      <c r="MOW10"/>
      <c r="MOX10"/>
      <c r="MOY10"/>
      <c r="MOZ10"/>
      <c r="MPA10"/>
      <c r="MPB10"/>
      <c r="MPC10"/>
      <c r="MPD10"/>
      <c r="MPE10"/>
      <c r="MPF10"/>
      <c r="MPG10"/>
      <c r="MPH10"/>
      <c r="MPI10"/>
      <c r="MPJ10"/>
      <c r="MPK10"/>
      <c r="MPL10"/>
      <c r="MPM10"/>
      <c r="MPN10"/>
      <c r="MPO10"/>
      <c r="MPP10"/>
      <c r="MPQ10"/>
      <c r="MPR10"/>
      <c r="MPS10"/>
      <c r="MPT10"/>
      <c r="MPU10"/>
      <c r="MPV10"/>
      <c r="MPW10"/>
      <c r="MPX10"/>
      <c r="MPY10"/>
      <c r="MPZ10"/>
      <c r="MQA10"/>
      <c r="MQB10"/>
      <c r="MQC10"/>
      <c r="MQD10"/>
      <c r="MQE10"/>
      <c r="MQF10"/>
      <c r="MQG10"/>
      <c r="MQH10"/>
      <c r="MQI10"/>
      <c r="MQJ10"/>
      <c r="MQK10"/>
      <c r="MQL10"/>
      <c r="MQM10"/>
      <c r="MQN10"/>
      <c r="MQO10"/>
      <c r="MQP10"/>
      <c r="MQQ10"/>
      <c r="MQR10"/>
      <c r="MQS10"/>
      <c r="MQT10"/>
      <c r="MQU10"/>
      <c r="MQV10"/>
      <c r="MQW10"/>
      <c r="MQX10"/>
      <c r="MQY10"/>
      <c r="MQZ10"/>
      <c r="MRA10"/>
      <c r="MRB10"/>
      <c r="MRC10"/>
      <c r="MRD10"/>
      <c r="MRE10"/>
      <c r="MRF10"/>
      <c r="MRG10"/>
      <c r="MRH10"/>
      <c r="MRI10"/>
      <c r="MRJ10"/>
      <c r="MRK10"/>
      <c r="MRL10"/>
      <c r="MRM10"/>
      <c r="MRN10"/>
      <c r="MRO10"/>
      <c r="MRP10"/>
      <c r="MRQ10"/>
      <c r="MRR10"/>
      <c r="MRS10"/>
      <c r="MRT10"/>
      <c r="MRU10"/>
      <c r="MRV10"/>
      <c r="MRW10"/>
      <c r="MRX10"/>
      <c r="MRY10"/>
      <c r="MRZ10"/>
      <c r="MSA10"/>
      <c r="MSB10"/>
      <c r="MSC10"/>
      <c r="MSD10"/>
      <c r="MSE10"/>
      <c r="MSF10"/>
      <c r="MSG10"/>
      <c r="MSH10"/>
      <c r="MSI10"/>
      <c r="MSJ10"/>
      <c r="MSK10"/>
      <c r="MSL10"/>
      <c r="MSM10"/>
      <c r="MSN10"/>
      <c r="MSO10"/>
      <c r="MSP10"/>
      <c r="MSQ10"/>
      <c r="MSR10"/>
      <c r="MSS10"/>
      <c r="MST10"/>
      <c r="MSU10"/>
      <c r="MSV10"/>
      <c r="MSW10"/>
      <c r="MSX10"/>
      <c r="MSY10"/>
      <c r="MSZ10"/>
      <c r="MTA10"/>
      <c r="MTB10"/>
      <c r="MTC10"/>
      <c r="MTD10"/>
      <c r="MTE10"/>
      <c r="MTF10"/>
      <c r="MTG10"/>
      <c r="MTH10"/>
      <c r="MTI10"/>
      <c r="MTJ10"/>
      <c r="MTK10"/>
      <c r="MTL10"/>
      <c r="MTM10"/>
      <c r="MTN10"/>
      <c r="MTO10"/>
      <c r="MTP10"/>
      <c r="MTQ10"/>
      <c r="MTR10"/>
      <c r="MTS10"/>
      <c r="MTT10"/>
      <c r="MTU10"/>
      <c r="MTV10"/>
      <c r="MTW10"/>
      <c r="MTX10"/>
      <c r="MTY10"/>
      <c r="MTZ10"/>
      <c r="MUA10"/>
      <c r="MUB10"/>
      <c r="MUC10"/>
      <c r="MUD10"/>
      <c r="MUE10"/>
      <c r="MUF10"/>
      <c r="MUG10"/>
      <c r="MUH10"/>
      <c r="MUI10"/>
      <c r="MUJ10"/>
      <c r="MUK10"/>
      <c r="MUL10"/>
      <c r="MUM10"/>
      <c r="MUN10"/>
      <c r="MUO10"/>
      <c r="MUP10"/>
      <c r="MUQ10"/>
      <c r="MUR10"/>
      <c r="MUS10"/>
      <c r="MUT10"/>
      <c r="MUU10"/>
      <c r="MUV10"/>
      <c r="MUW10"/>
      <c r="MUX10"/>
      <c r="MUY10"/>
      <c r="MUZ10"/>
      <c r="MVA10"/>
      <c r="MVB10"/>
      <c r="MVC10"/>
      <c r="MVD10"/>
      <c r="MVE10"/>
      <c r="MVF10"/>
      <c r="MVG10"/>
      <c r="MVH10"/>
      <c r="MVI10"/>
      <c r="MVJ10"/>
      <c r="MVK10"/>
      <c r="MVL10"/>
      <c r="MVM10"/>
      <c r="MVN10"/>
      <c r="MVO10"/>
      <c r="MVP10"/>
      <c r="MVQ10"/>
      <c r="MVR10"/>
      <c r="MVS10"/>
      <c r="MVT10"/>
      <c r="MVU10"/>
      <c r="MVV10"/>
      <c r="MVW10"/>
      <c r="MVX10"/>
      <c r="MVY10"/>
      <c r="MVZ10"/>
      <c r="MWA10"/>
      <c r="MWB10"/>
      <c r="MWC10"/>
      <c r="MWD10"/>
      <c r="MWE10"/>
      <c r="MWF10"/>
      <c r="MWG10"/>
      <c r="MWH10"/>
      <c r="MWI10"/>
      <c r="MWJ10"/>
      <c r="MWK10"/>
      <c r="MWL10"/>
      <c r="MWM10"/>
      <c r="MWN10"/>
      <c r="MWO10"/>
      <c r="MWP10"/>
      <c r="MWQ10"/>
      <c r="MWR10"/>
      <c r="MWS10"/>
      <c r="MWT10"/>
      <c r="MWU10"/>
      <c r="MWV10"/>
      <c r="MWW10"/>
      <c r="MWX10"/>
      <c r="MWY10"/>
      <c r="MWZ10"/>
      <c r="MXA10"/>
      <c r="MXB10"/>
      <c r="MXC10"/>
      <c r="MXD10"/>
      <c r="MXE10"/>
      <c r="MXF10"/>
      <c r="MXG10"/>
      <c r="MXH10"/>
      <c r="MXI10"/>
      <c r="MXJ10"/>
      <c r="MXK10"/>
      <c r="MXL10"/>
      <c r="MXM10"/>
      <c r="MXN10"/>
      <c r="MXO10"/>
      <c r="MXP10"/>
      <c r="MXQ10"/>
      <c r="MXR10"/>
      <c r="MXS10"/>
      <c r="MXT10"/>
      <c r="MXU10"/>
      <c r="MXV10"/>
      <c r="MXW10"/>
      <c r="MXX10"/>
      <c r="MXY10"/>
      <c r="MXZ10"/>
      <c r="MYA10"/>
      <c r="MYB10"/>
      <c r="MYC10"/>
      <c r="MYD10"/>
      <c r="MYE10"/>
      <c r="MYF10"/>
      <c r="MYG10"/>
      <c r="MYH10"/>
      <c r="MYI10"/>
      <c r="MYJ10"/>
      <c r="MYK10"/>
      <c r="MYL10"/>
      <c r="MYM10"/>
      <c r="MYN10"/>
      <c r="MYO10"/>
      <c r="MYP10"/>
      <c r="MYQ10"/>
      <c r="MYR10"/>
      <c r="MYS10"/>
      <c r="MYT10"/>
      <c r="MYU10"/>
      <c r="MYV10"/>
      <c r="MYW10"/>
      <c r="MYX10"/>
      <c r="MYY10"/>
      <c r="MYZ10"/>
      <c r="MZA10"/>
      <c r="MZB10"/>
      <c r="MZC10"/>
      <c r="MZD10"/>
      <c r="MZE10"/>
      <c r="MZF10"/>
      <c r="MZG10"/>
      <c r="MZH10"/>
      <c r="MZI10"/>
      <c r="MZJ10"/>
      <c r="MZK10"/>
      <c r="MZL10"/>
      <c r="MZM10"/>
      <c r="MZN10"/>
      <c r="MZO10"/>
      <c r="MZP10"/>
      <c r="MZQ10"/>
      <c r="MZR10"/>
      <c r="MZS10"/>
      <c r="MZT10"/>
      <c r="MZU10"/>
      <c r="MZV10"/>
      <c r="MZW10"/>
      <c r="MZX10"/>
      <c r="MZY10"/>
      <c r="MZZ10"/>
      <c r="NAA10"/>
      <c r="NAB10"/>
      <c r="NAC10"/>
      <c r="NAD10"/>
      <c r="NAE10"/>
      <c r="NAF10"/>
      <c r="NAG10"/>
      <c r="NAH10"/>
      <c r="NAI10"/>
      <c r="NAJ10"/>
      <c r="NAK10"/>
      <c r="NAL10"/>
      <c r="NAM10"/>
      <c r="NAN10"/>
      <c r="NAO10"/>
      <c r="NAP10"/>
      <c r="NAQ10"/>
      <c r="NAR10"/>
      <c r="NAS10"/>
      <c r="NAT10"/>
      <c r="NAU10"/>
      <c r="NAV10"/>
      <c r="NAW10"/>
      <c r="NAX10"/>
      <c r="NAY10"/>
      <c r="NAZ10"/>
      <c r="NBA10"/>
      <c r="NBB10"/>
      <c r="NBC10"/>
      <c r="NBD10"/>
      <c r="NBE10"/>
      <c r="NBF10"/>
      <c r="NBG10"/>
      <c r="NBH10"/>
      <c r="NBI10"/>
      <c r="NBJ10"/>
      <c r="NBK10"/>
      <c r="NBL10"/>
      <c r="NBM10"/>
      <c r="NBN10"/>
      <c r="NBO10"/>
      <c r="NBP10"/>
      <c r="NBQ10"/>
      <c r="NBR10"/>
      <c r="NBS10"/>
      <c r="NBT10"/>
      <c r="NBU10"/>
      <c r="NBV10"/>
      <c r="NBW10"/>
      <c r="NBX10"/>
      <c r="NBY10"/>
      <c r="NBZ10"/>
      <c r="NCA10"/>
      <c r="NCB10"/>
      <c r="NCC10"/>
      <c r="NCD10"/>
      <c r="NCE10"/>
      <c r="NCF10"/>
      <c r="NCG10"/>
      <c r="NCH10"/>
      <c r="NCI10"/>
      <c r="NCJ10"/>
      <c r="NCK10"/>
      <c r="NCL10"/>
      <c r="NCM10"/>
      <c r="NCN10"/>
      <c r="NCO10"/>
      <c r="NCP10"/>
      <c r="NCQ10"/>
      <c r="NCR10"/>
      <c r="NCS10"/>
      <c r="NCT10"/>
      <c r="NCU10"/>
      <c r="NCV10"/>
      <c r="NCW10"/>
      <c r="NCX10"/>
      <c r="NCY10"/>
      <c r="NCZ10"/>
      <c r="NDA10"/>
      <c r="NDB10"/>
      <c r="NDC10"/>
      <c r="NDD10"/>
      <c r="NDE10"/>
      <c r="NDF10"/>
      <c r="NDG10"/>
      <c r="NDH10"/>
      <c r="NDI10"/>
      <c r="NDJ10"/>
      <c r="NDK10"/>
      <c r="NDL10"/>
      <c r="NDM10"/>
      <c r="NDN10"/>
      <c r="NDO10"/>
      <c r="NDP10"/>
      <c r="NDQ10"/>
      <c r="NDR10"/>
      <c r="NDS10"/>
      <c r="NDT10"/>
      <c r="NDU10"/>
      <c r="NDV10"/>
      <c r="NDW10"/>
      <c r="NDX10"/>
      <c r="NDY10"/>
      <c r="NDZ10"/>
      <c r="NEA10"/>
      <c r="NEB10"/>
      <c r="NEC10"/>
      <c r="NED10"/>
      <c r="NEE10"/>
      <c r="NEF10"/>
      <c r="NEG10"/>
      <c r="NEH10"/>
      <c r="NEI10"/>
      <c r="NEJ10"/>
      <c r="NEK10"/>
      <c r="NEL10"/>
      <c r="NEM10"/>
      <c r="NEN10"/>
      <c r="NEO10"/>
      <c r="NEP10"/>
      <c r="NEQ10"/>
      <c r="NER10"/>
      <c r="NES10"/>
      <c r="NET10"/>
      <c r="NEU10"/>
      <c r="NEV10"/>
      <c r="NEW10"/>
      <c r="NEX10"/>
      <c r="NEY10"/>
      <c r="NEZ10"/>
      <c r="NFA10"/>
      <c r="NFB10"/>
      <c r="NFC10"/>
      <c r="NFD10"/>
      <c r="NFE10"/>
      <c r="NFF10"/>
      <c r="NFG10"/>
      <c r="NFH10"/>
      <c r="NFI10"/>
      <c r="NFJ10"/>
      <c r="NFK10"/>
      <c r="NFL10"/>
      <c r="NFM10"/>
      <c r="NFN10"/>
      <c r="NFO10"/>
      <c r="NFP10"/>
      <c r="NFQ10"/>
      <c r="NFR10"/>
      <c r="NFS10"/>
      <c r="NFT10"/>
      <c r="NFU10"/>
      <c r="NFV10"/>
      <c r="NFW10"/>
      <c r="NFX10"/>
      <c r="NFY10"/>
      <c r="NFZ10"/>
      <c r="NGA10"/>
      <c r="NGB10"/>
      <c r="NGC10"/>
      <c r="NGD10"/>
      <c r="NGE10"/>
      <c r="NGF10"/>
      <c r="NGG10"/>
      <c r="NGH10"/>
      <c r="NGI10"/>
      <c r="NGJ10"/>
      <c r="NGK10"/>
      <c r="NGL10"/>
      <c r="NGM10"/>
      <c r="NGN10"/>
      <c r="NGO10"/>
      <c r="NGP10"/>
      <c r="NGQ10"/>
      <c r="NGR10"/>
      <c r="NGS10"/>
      <c r="NGT10"/>
      <c r="NGU10"/>
      <c r="NGV10"/>
      <c r="NGW10"/>
      <c r="NGX10"/>
      <c r="NGY10"/>
      <c r="NGZ10"/>
      <c r="NHA10"/>
      <c r="NHB10"/>
      <c r="NHC10"/>
      <c r="NHD10"/>
      <c r="NHE10"/>
      <c r="NHF10"/>
      <c r="NHG10"/>
      <c r="NHH10"/>
      <c r="NHI10"/>
      <c r="NHJ10"/>
      <c r="NHK10"/>
      <c r="NHL10"/>
      <c r="NHM10"/>
      <c r="NHN10"/>
      <c r="NHO10"/>
      <c r="NHP10"/>
      <c r="NHQ10"/>
      <c r="NHR10"/>
      <c r="NHS10"/>
      <c r="NHT10"/>
      <c r="NHU10"/>
      <c r="NHV10"/>
      <c r="NHW10"/>
      <c r="NHX10"/>
      <c r="NHY10"/>
      <c r="NHZ10"/>
      <c r="NIA10"/>
      <c r="NIB10"/>
      <c r="NIC10"/>
      <c r="NID10"/>
      <c r="NIE10"/>
      <c r="NIF10"/>
      <c r="NIG10"/>
      <c r="NIH10"/>
      <c r="NII10"/>
      <c r="NIJ10"/>
      <c r="NIK10"/>
      <c r="NIL10"/>
      <c r="NIM10"/>
      <c r="NIN10"/>
      <c r="NIO10"/>
      <c r="NIP10"/>
      <c r="NIQ10"/>
      <c r="NIR10"/>
      <c r="NIS10"/>
      <c r="NIT10"/>
      <c r="NIU10"/>
      <c r="NIV10"/>
      <c r="NIW10"/>
      <c r="NIX10"/>
      <c r="NIY10"/>
      <c r="NIZ10"/>
      <c r="NJA10"/>
      <c r="NJB10"/>
      <c r="NJC10"/>
      <c r="NJD10"/>
      <c r="NJE10"/>
      <c r="NJF10"/>
      <c r="NJG10"/>
      <c r="NJH10"/>
      <c r="NJI10"/>
      <c r="NJJ10"/>
      <c r="NJK10"/>
      <c r="NJL10"/>
      <c r="NJM10"/>
      <c r="NJN10"/>
      <c r="NJO10"/>
      <c r="NJP10"/>
      <c r="NJQ10"/>
      <c r="NJR10"/>
      <c r="NJS10"/>
      <c r="NJT10"/>
      <c r="NJU10"/>
      <c r="NJV10"/>
      <c r="NJW10"/>
      <c r="NJX10"/>
      <c r="NJY10"/>
      <c r="NJZ10"/>
      <c r="NKA10"/>
      <c r="NKB10"/>
      <c r="NKC10"/>
      <c r="NKD10"/>
      <c r="NKE10"/>
      <c r="NKF10"/>
      <c r="NKG10"/>
      <c r="NKH10"/>
      <c r="NKI10"/>
      <c r="NKJ10"/>
      <c r="NKK10"/>
      <c r="NKL10"/>
      <c r="NKM10"/>
      <c r="NKN10"/>
      <c r="NKO10"/>
      <c r="NKP10"/>
      <c r="NKQ10"/>
      <c r="NKR10"/>
      <c r="NKS10"/>
      <c r="NKT10"/>
      <c r="NKU10"/>
      <c r="NKV10"/>
      <c r="NKW10"/>
      <c r="NKX10"/>
      <c r="NKY10"/>
      <c r="NKZ10"/>
      <c r="NLA10"/>
      <c r="NLB10"/>
      <c r="NLC10"/>
      <c r="NLD10"/>
      <c r="NLE10"/>
      <c r="NLF10"/>
      <c r="NLG10"/>
      <c r="NLH10"/>
      <c r="NLI10"/>
      <c r="NLJ10"/>
      <c r="NLK10"/>
      <c r="NLL10"/>
      <c r="NLM10"/>
      <c r="NLN10"/>
      <c r="NLO10"/>
      <c r="NLP10"/>
      <c r="NLQ10"/>
      <c r="NLR10"/>
      <c r="NLS10"/>
      <c r="NLT10"/>
      <c r="NLU10"/>
      <c r="NLV10"/>
      <c r="NLW10"/>
      <c r="NLX10"/>
      <c r="NLY10"/>
      <c r="NLZ10"/>
      <c r="NMA10"/>
      <c r="NMB10"/>
      <c r="NMC10"/>
      <c r="NMD10"/>
      <c r="NME10"/>
      <c r="NMF10"/>
      <c r="NMG10"/>
      <c r="NMH10"/>
      <c r="NMI10"/>
      <c r="NMJ10"/>
      <c r="NMK10"/>
      <c r="NML10"/>
      <c r="NMM10"/>
      <c r="NMN10"/>
      <c r="NMO10"/>
      <c r="NMP10"/>
      <c r="NMQ10"/>
      <c r="NMR10"/>
      <c r="NMS10"/>
      <c r="NMT10"/>
      <c r="NMU10"/>
      <c r="NMV10"/>
      <c r="NMW10"/>
      <c r="NMX10"/>
      <c r="NMY10"/>
      <c r="NMZ10"/>
      <c r="NNA10"/>
      <c r="NNB10"/>
      <c r="NNC10"/>
      <c r="NND10"/>
      <c r="NNE10"/>
      <c r="NNF10"/>
      <c r="NNG10"/>
      <c r="NNH10"/>
      <c r="NNI10"/>
      <c r="NNJ10"/>
      <c r="NNK10"/>
      <c r="NNL10"/>
      <c r="NNM10"/>
      <c r="NNN10"/>
      <c r="NNO10"/>
      <c r="NNP10"/>
      <c r="NNQ10"/>
      <c r="NNR10"/>
      <c r="NNS10"/>
      <c r="NNT10"/>
      <c r="NNU10"/>
      <c r="NNV10"/>
      <c r="NNW10"/>
      <c r="NNX10"/>
      <c r="NNY10"/>
      <c r="NNZ10"/>
      <c r="NOA10"/>
      <c r="NOB10"/>
      <c r="NOC10"/>
      <c r="NOD10"/>
      <c r="NOE10"/>
      <c r="NOF10"/>
      <c r="NOG10"/>
      <c r="NOH10"/>
      <c r="NOI10"/>
      <c r="NOJ10"/>
      <c r="NOK10"/>
      <c r="NOL10"/>
      <c r="NOM10"/>
      <c r="NON10"/>
      <c r="NOO10"/>
      <c r="NOP10"/>
      <c r="NOQ10"/>
      <c r="NOR10"/>
      <c r="NOS10"/>
      <c r="NOT10"/>
      <c r="NOU10"/>
      <c r="NOV10"/>
      <c r="NOW10"/>
      <c r="NOX10"/>
      <c r="NOY10"/>
      <c r="NOZ10"/>
      <c r="NPA10"/>
      <c r="NPB10"/>
      <c r="NPC10"/>
      <c r="NPD10"/>
      <c r="NPE10"/>
      <c r="NPF10"/>
      <c r="NPG10"/>
      <c r="NPH10"/>
      <c r="NPI10"/>
      <c r="NPJ10"/>
      <c r="NPK10"/>
      <c r="NPL10"/>
      <c r="NPM10"/>
      <c r="NPN10"/>
      <c r="NPO10"/>
      <c r="NPP10"/>
      <c r="NPQ10"/>
      <c r="NPR10"/>
      <c r="NPS10"/>
      <c r="NPT10"/>
      <c r="NPU10"/>
      <c r="NPV10"/>
      <c r="NPW10"/>
      <c r="NPX10"/>
      <c r="NPY10"/>
      <c r="NPZ10"/>
      <c r="NQA10"/>
      <c r="NQB10"/>
      <c r="NQC10"/>
      <c r="NQD10"/>
      <c r="NQE10"/>
      <c r="NQF10"/>
      <c r="NQG10"/>
      <c r="NQH10"/>
      <c r="NQI10"/>
      <c r="NQJ10"/>
      <c r="NQK10"/>
      <c r="NQL10"/>
      <c r="NQM10"/>
      <c r="NQN10"/>
      <c r="NQO10"/>
      <c r="NQP10"/>
      <c r="NQQ10"/>
      <c r="NQR10"/>
      <c r="NQS10"/>
      <c r="NQT10"/>
      <c r="NQU10"/>
      <c r="NQV10"/>
      <c r="NQW10"/>
      <c r="NQX10"/>
      <c r="NQY10"/>
      <c r="NQZ10"/>
      <c r="NRA10"/>
      <c r="NRB10"/>
      <c r="NRC10"/>
      <c r="NRD10"/>
      <c r="NRE10"/>
      <c r="NRF10"/>
      <c r="NRG10"/>
      <c r="NRH10"/>
      <c r="NRI10"/>
      <c r="NRJ10"/>
      <c r="NRK10"/>
      <c r="NRL10"/>
      <c r="NRM10"/>
      <c r="NRN10"/>
      <c r="NRO10"/>
      <c r="NRP10"/>
      <c r="NRQ10"/>
      <c r="NRR10"/>
      <c r="NRS10"/>
      <c r="NRT10"/>
      <c r="NRU10"/>
      <c r="NRV10"/>
      <c r="NRW10"/>
      <c r="NRX10"/>
      <c r="NRY10"/>
      <c r="NRZ10"/>
      <c r="NSA10"/>
      <c r="NSB10"/>
      <c r="NSC10"/>
      <c r="NSD10"/>
      <c r="NSE10"/>
      <c r="NSF10"/>
      <c r="NSG10"/>
      <c r="NSH10"/>
      <c r="NSI10"/>
      <c r="NSJ10"/>
      <c r="NSK10"/>
      <c r="NSL10"/>
      <c r="NSM10"/>
      <c r="NSN10"/>
      <c r="NSO10"/>
      <c r="NSP10"/>
      <c r="NSQ10"/>
      <c r="NSR10"/>
      <c r="NSS10"/>
      <c r="NST10"/>
      <c r="NSU10"/>
      <c r="NSV10"/>
      <c r="NSW10"/>
      <c r="NSX10"/>
      <c r="NSY10"/>
      <c r="NSZ10"/>
      <c r="NTA10"/>
      <c r="NTB10"/>
      <c r="NTC10"/>
      <c r="NTD10"/>
      <c r="NTE10"/>
      <c r="NTF10"/>
      <c r="NTG10"/>
      <c r="NTH10"/>
      <c r="NTI10"/>
      <c r="NTJ10"/>
      <c r="NTK10"/>
      <c r="NTL10"/>
    </row>
    <row r="11" spans="1:9996" x14ac:dyDescent="0.25">
      <c r="G11" s="26" t="s">
        <v>354</v>
      </c>
    </row>
    <row r="12" spans="1:9996" ht="15.75" thickBot="1" x14ac:dyDescent="0.3"/>
    <row r="13" spans="1:9996" x14ac:dyDescent="0.25">
      <c r="A13"/>
      <c r="B13" s="17"/>
      <c r="C13" s="18"/>
      <c r="D13" s="19"/>
      <c r="E13"/>
      <c r="F13" s="8" t="s">
        <v>210</v>
      </c>
    </row>
    <row r="14" spans="1:9996" x14ac:dyDescent="0.25">
      <c r="A14"/>
      <c r="B14" s="20">
        <v>2</v>
      </c>
      <c r="C14" s="21" t="s">
        <v>169</v>
      </c>
      <c r="D14" s="22"/>
      <c r="E14"/>
      <c r="G14" s="1" t="s">
        <v>11</v>
      </c>
      <c r="H14"/>
      <c r="I14"/>
    </row>
    <row r="15" spans="1:9996" ht="15.75" thickBot="1" x14ac:dyDescent="0.3">
      <c r="A15"/>
      <c r="B15" s="20"/>
      <c r="C15" s="21" t="s">
        <v>146</v>
      </c>
      <c r="D15" s="22"/>
      <c r="E15"/>
      <c r="G15" s="2" t="s">
        <v>6</v>
      </c>
      <c r="H15"/>
    </row>
    <row r="16" spans="1:9996" x14ac:dyDescent="0.25">
      <c r="A16"/>
      <c r="B16" s="20"/>
      <c r="C16" s="21"/>
      <c r="D16" s="22"/>
      <c r="E16"/>
      <c r="G16" s="2" t="s">
        <v>7</v>
      </c>
      <c r="H16"/>
      <c r="J16" s="9" t="s">
        <v>209</v>
      </c>
      <c r="K16" s="10"/>
    </row>
    <row r="17" spans="1:11" x14ac:dyDescent="0.25">
      <c r="A17"/>
      <c r="B17" s="20" t="b">
        <v>1</v>
      </c>
      <c r="C17" s="21" t="s">
        <v>137</v>
      </c>
      <c r="D17" s="22"/>
      <c r="E17"/>
      <c r="G17" s="2" t="s">
        <v>19</v>
      </c>
      <c r="H17"/>
      <c r="J17" s="11" t="s">
        <v>194</v>
      </c>
      <c r="K17" s="12" t="s">
        <v>202</v>
      </c>
    </row>
    <row r="18" spans="1:11" x14ac:dyDescent="0.25">
      <c r="A18"/>
      <c r="B18" s="20" t="b">
        <v>1</v>
      </c>
      <c r="C18" s="21" t="s">
        <v>138</v>
      </c>
      <c r="D18" s="22"/>
      <c r="E18"/>
      <c r="G18" s="2" t="s">
        <v>8</v>
      </c>
      <c r="H18"/>
      <c r="J18" s="11" t="s">
        <v>195</v>
      </c>
      <c r="K18" s="12" t="s">
        <v>203</v>
      </c>
    </row>
    <row r="19" spans="1:11" x14ac:dyDescent="0.25">
      <c r="A19"/>
      <c r="B19" s="20" t="b">
        <v>1</v>
      </c>
      <c r="C19" s="21" t="s">
        <v>139</v>
      </c>
      <c r="D19" s="22"/>
      <c r="E19"/>
      <c r="F19" s="15"/>
      <c r="G19" s="2" t="s">
        <v>18</v>
      </c>
      <c r="H19"/>
      <c r="J19" s="11" t="s">
        <v>196</v>
      </c>
      <c r="K19" s="12" t="s">
        <v>204</v>
      </c>
    </row>
    <row r="20" spans="1:11" x14ac:dyDescent="0.25">
      <c r="A20"/>
      <c r="B20" s="20" t="b">
        <v>1</v>
      </c>
      <c r="C20" s="21" t="s">
        <v>140</v>
      </c>
      <c r="D20" s="22"/>
      <c r="E20"/>
      <c r="G20" s="2" t="s">
        <v>193</v>
      </c>
      <c r="H20"/>
      <c r="J20" s="11" t="s">
        <v>197</v>
      </c>
      <c r="K20" s="12" t="s">
        <v>205</v>
      </c>
    </row>
    <row r="21" spans="1:11" x14ac:dyDescent="0.25">
      <c r="A21"/>
      <c r="B21" s="20" t="b">
        <v>1</v>
      </c>
      <c r="C21" s="21" t="s">
        <v>141</v>
      </c>
      <c r="D21" s="22"/>
      <c r="E21"/>
      <c r="G21" s="2" t="s">
        <v>226</v>
      </c>
      <c r="H21"/>
      <c r="J21" s="11" t="s">
        <v>198</v>
      </c>
      <c r="K21" s="12" t="s">
        <v>206</v>
      </c>
    </row>
    <row r="22" spans="1:11" x14ac:dyDescent="0.25">
      <c r="A22"/>
      <c r="B22" s="20" t="b">
        <v>1</v>
      </c>
      <c r="C22" s="21" t="s">
        <v>142</v>
      </c>
      <c r="D22" s="22"/>
      <c r="E22"/>
      <c r="G22" s="2" t="s">
        <v>17</v>
      </c>
      <c r="H22"/>
      <c r="J22" s="11" t="s">
        <v>199</v>
      </c>
      <c r="K22" s="12" t="s">
        <v>145</v>
      </c>
    </row>
    <row r="23" spans="1:11" x14ac:dyDescent="0.25">
      <c r="A23"/>
      <c r="B23" s="20" t="b">
        <v>1</v>
      </c>
      <c r="C23" s="21" t="s">
        <v>143</v>
      </c>
      <c r="D23" s="22"/>
      <c r="E23"/>
      <c r="G23" s="2" t="s">
        <v>20</v>
      </c>
      <c r="H23"/>
      <c r="J23" s="11" t="s">
        <v>200</v>
      </c>
      <c r="K23" s="12" t="s">
        <v>207</v>
      </c>
    </row>
    <row r="24" spans="1:11" x14ac:dyDescent="0.25">
      <c r="A24"/>
      <c r="B24" s="20" t="b">
        <v>1</v>
      </c>
      <c r="C24" s="21" t="s">
        <v>144</v>
      </c>
      <c r="D24" s="22"/>
      <c r="E24"/>
      <c r="G24" s="2" t="s">
        <v>21</v>
      </c>
      <c r="H24"/>
      <c r="J24" s="11" t="s">
        <v>201</v>
      </c>
      <c r="K24" s="12" t="s">
        <v>208</v>
      </c>
    </row>
    <row r="25" spans="1:11" x14ac:dyDescent="0.25">
      <c r="A25"/>
      <c r="B25" s="20" t="b">
        <v>1</v>
      </c>
      <c r="C25" s="21" t="s">
        <v>145</v>
      </c>
      <c r="D25" s="22"/>
      <c r="E25"/>
      <c r="G25" s="2" t="s">
        <v>22</v>
      </c>
      <c r="H25"/>
      <c r="J25" s="11"/>
      <c r="K25" s="12"/>
    </row>
    <row r="26" spans="1:11" x14ac:dyDescent="0.25">
      <c r="A26"/>
      <c r="B26" s="20" t="b">
        <v>1</v>
      </c>
      <c r="C26" s="21" t="s">
        <v>185</v>
      </c>
      <c r="D26" s="22"/>
      <c r="E26"/>
      <c r="G26"/>
      <c r="H26"/>
      <c r="J26" s="11"/>
      <c r="K26" s="12"/>
    </row>
    <row r="27" spans="1:11" x14ac:dyDescent="0.25">
      <c r="A27"/>
      <c r="B27" s="20"/>
      <c r="C27" s="21"/>
      <c r="D27" s="22"/>
      <c r="E27"/>
      <c r="G27"/>
      <c r="H27"/>
      <c r="J27" s="11"/>
      <c r="K27" s="12"/>
    </row>
    <row r="28" spans="1:11" x14ac:dyDescent="0.25">
      <c r="A28"/>
      <c r="B28" s="20"/>
      <c r="C28" s="21"/>
      <c r="D28" s="22"/>
      <c r="E28"/>
      <c r="G28"/>
      <c r="H28"/>
      <c r="J28" s="11"/>
      <c r="K28" s="12"/>
    </row>
    <row r="29" spans="1:11" x14ac:dyDescent="0.25">
      <c r="A29"/>
      <c r="B29" s="20"/>
      <c r="C29" s="21"/>
      <c r="D29" s="22"/>
      <c r="E29"/>
      <c r="G29"/>
      <c r="H29"/>
      <c r="J29" s="11"/>
      <c r="K29" s="12"/>
    </row>
    <row r="30" spans="1:11" ht="15.75" thickBot="1" x14ac:dyDescent="0.3">
      <c r="A30"/>
      <c r="B30" s="20"/>
      <c r="C30" s="21"/>
      <c r="D30" s="22"/>
      <c r="E30"/>
      <c r="G30"/>
      <c r="H30"/>
      <c r="J30" s="13"/>
      <c r="K30" s="14"/>
    </row>
    <row r="31" spans="1:11" x14ac:dyDescent="0.25">
      <c r="A31"/>
      <c r="B31" s="20" t="b">
        <v>0</v>
      </c>
      <c r="C31" s="21" t="s">
        <v>171</v>
      </c>
      <c r="D31" s="22"/>
      <c r="E31"/>
      <c r="G31"/>
      <c r="H31"/>
    </row>
    <row r="32" spans="1:11" x14ac:dyDescent="0.25">
      <c r="A32"/>
      <c r="B32" s="20"/>
      <c r="C32" s="21" t="s">
        <v>172</v>
      </c>
      <c r="D32" s="22"/>
      <c r="E32"/>
      <c r="G32"/>
    </row>
    <row r="33" spans="1:7" x14ac:dyDescent="0.25">
      <c r="A33"/>
      <c r="B33" s="20"/>
      <c r="C33" s="21"/>
      <c r="D33" s="22"/>
      <c r="E33"/>
      <c r="G33"/>
    </row>
    <row r="34" spans="1:7" ht="15.75" thickBot="1" x14ac:dyDescent="0.3">
      <c r="A34"/>
      <c r="B34" s="23"/>
      <c r="C34" s="24"/>
      <c r="D34" s="25"/>
      <c r="E34"/>
      <c r="G34"/>
    </row>
    <row r="35" spans="1:7" x14ac:dyDescent="0.25">
      <c r="A35"/>
      <c r="B35"/>
      <c r="C35"/>
      <c r="D35"/>
      <c r="E35"/>
      <c r="G35"/>
    </row>
    <row r="36" spans="1:7" x14ac:dyDescent="0.25">
      <c r="A36"/>
      <c r="B36"/>
      <c r="C36"/>
      <c r="D36"/>
      <c r="E36"/>
      <c r="G36"/>
    </row>
    <row r="37" spans="1:7" x14ac:dyDescent="0.25">
      <c r="A37"/>
      <c r="B37"/>
      <c r="C37"/>
      <c r="D37"/>
      <c r="E37"/>
    </row>
    <row r="38" spans="1:7" x14ac:dyDescent="0.25">
      <c r="A38"/>
      <c r="B38"/>
      <c r="C38"/>
      <c r="D38"/>
      <c r="E38"/>
    </row>
    <row r="39" spans="1:7" x14ac:dyDescent="0.25">
      <c r="A39"/>
      <c r="B39"/>
      <c r="C39"/>
      <c r="D39"/>
      <c r="E39"/>
    </row>
  </sheetData>
  <dataConsolidate/>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Sheet2.Do_Everything">
                <anchor moveWithCells="1" sizeWithCells="1">
                  <from>
                    <xdr:col>0</xdr:col>
                    <xdr:colOff>85725</xdr:colOff>
                    <xdr:row>1</xdr:row>
                    <xdr:rowOff>180975</xdr:rowOff>
                  </from>
                  <to>
                    <xdr:col>3</xdr:col>
                    <xdr:colOff>0</xdr:colOff>
                    <xdr:row>4</xdr:row>
                    <xdr:rowOff>180975</xdr:rowOff>
                  </to>
                </anchor>
              </controlPr>
            </control>
          </mc:Choice>
        </mc:AlternateContent>
        <mc:AlternateContent xmlns:mc="http://schemas.openxmlformats.org/markup-compatibility/2006">
          <mc:Choice Requires="x14">
            <control shapeId="2067" r:id="rId6" name="Check Box 19">
              <controlPr defaultSize="0" autoFill="0" autoLine="0" autoPict="0">
                <anchor moveWithCells="1">
                  <from>
                    <xdr:col>1</xdr:col>
                    <xdr:colOff>0</xdr:colOff>
                    <xdr:row>15</xdr:row>
                    <xdr:rowOff>171450</xdr:rowOff>
                  </from>
                  <to>
                    <xdr:col>2</xdr:col>
                    <xdr:colOff>123825</xdr:colOff>
                    <xdr:row>17</xdr:row>
                    <xdr:rowOff>28575</xdr:rowOff>
                  </to>
                </anchor>
              </controlPr>
            </control>
          </mc:Choice>
        </mc:AlternateContent>
        <mc:AlternateContent xmlns:mc="http://schemas.openxmlformats.org/markup-compatibility/2006">
          <mc:Choice Requires="x14">
            <control shapeId="2068" r:id="rId7" name="Check Box 20">
              <controlPr defaultSize="0" autoFill="0" autoLine="0" autoPict="0">
                <anchor moveWithCells="1">
                  <from>
                    <xdr:col>1</xdr:col>
                    <xdr:colOff>0</xdr:colOff>
                    <xdr:row>16</xdr:row>
                    <xdr:rowOff>171450</xdr:rowOff>
                  </from>
                  <to>
                    <xdr:col>2</xdr:col>
                    <xdr:colOff>123825</xdr:colOff>
                    <xdr:row>18</xdr:row>
                    <xdr:rowOff>28575</xdr:rowOff>
                  </to>
                </anchor>
              </controlPr>
            </control>
          </mc:Choice>
        </mc:AlternateContent>
        <mc:AlternateContent xmlns:mc="http://schemas.openxmlformats.org/markup-compatibility/2006">
          <mc:Choice Requires="x14">
            <control shapeId="2069" r:id="rId8" name="Check Box 21">
              <controlPr defaultSize="0" autoFill="0" autoLine="0" autoPict="0">
                <anchor moveWithCells="1">
                  <from>
                    <xdr:col>1</xdr:col>
                    <xdr:colOff>0</xdr:colOff>
                    <xdr:row>17</xdr:row>
                    <xdr:rowOff>171450</xdr:rowOff>
                  </from>
                  <to>
                    <xdr:col>2</xdr:col>
                    <xdr:colOff>123825</xdr:colOff>
                    <xdr:row>19</xdr:row>
                    <xdr:rowOff>28575</xdr:rowOff>
                  </to>
                </anchor>
              </controlPr>
            </control>
          </mc:Choice>
        </mc:AlternateContent>
        <mc:AlternateContent xmlns:mc="http://schemas.openxmlformats.org/markup-compatibility/2006">
          <mc:Choice Requires="x14">
            <control shapeId="2070" r:id="rId9" name="Check Box 22">
              <controlPr defaultSize="0" autoFill="0" autoLine="0" autoPict="0">
                <anchor moveWithCells="1">
                  <from>
                    <xdr:col>1</xdr:col>
                    <xdr:colOff>0</xdr:colOff>
                    <xdr:row>18</xdr:row>
                    <xdr:rowOff>171450</xdr:rowOff>
                  </from>
                  <to>
                    <xdr:col>2</xdr:col>
                    <xdr:colOff>123825</xdr:colOff>
                    <xdr:row>20</xdr:row>
                    <xdr:rowOff>28575</xdr:rowOff>
                  </to>
                </anchor>
              </controlPr>
            </control>
          </mc:Choice>
        </mc:AlternateContent>
        <mc:AlternateContent xmlns:mc="http://schemas.openxmlformats.org/markup-compatibility/2006">
          <mc:Choice Requires="x14">
            <control shapeId="2071" r:id="rId10" name="Check Box 23">
              <controlPr defaultSize="0" autoFill="0" autoLine="0" autoPict="0">
                <anchor moveWithCells="1">
                  <from>
                    <xdr:col>1</xdr:col>
                    <xdr:colOff>0</xdr:colOff>
                    <xdr:row>19</xdr:row>
                    <xdr:rowOff>171450</xdr:rowOff>
                  </from>
                  <to>
                    <xdr:col>2</xdr:col>
                    <xdr:colOff>123825</xdr:colOff>
                    <xdr:row>21</xdr:row>
                    <xdr:rowOff>28575</xdr:rowOff>
                  </to>
                </anchor>
              </controlPr>
            </control>
          </mc:Choice>
        </mc:AlternateContent>
        <mc:AlternateContent xmlns:mc="http://schemas.openxmlformats.org/markup-compatibility/2006">
          <mc:Choice Requires="x14">
            <control shapeId="2072" r:id="rId11" name="Check Box 24">
              <controlPr defaultSize="0" autoFill="0" autoLine="0" autoPict="0">
                <anchor moveWithCells="1">
                  <from>
                    <xdr:col>1</xdr:col>
                    <xdr:colOff>0</xdr:colOff>
                    <xdr:row>20</xdr:row>
                    <xdr:rowOff>171450</xdr:rowOff>
                  </from>
                  <to>
                    <xdr:col>2</xdr:col>
                    <xdr:colOff>123825</xdr:colOff>
                    <xdr:row>22</xdr:row>
                    <xdr:rowOff>28575</xdr:rowOff>
                  </to>
                </anchor>
              </controlPr>
            </control>
          </mc:Choice>
        </mc:AlternateContent>
        <mc:AlternateContent xmlns:mc="http://schemas.openxmlformats.org/markup-compatibility/2006">
          <mc:Choice Requires="x14">
            <control shapeId="2073" r:id="rId12" name="Check Box 25">
              <controlPr defaultSize="0" autoFill="0" autoLine="0" autoPict="0">
                <anchor moveWithCells="1">
                  <from>
                    <xdr:col>1</xdr:col>
                    <xdr:colOff>0</xdr:colOff>
                    <xdr:row>21</xdr:row>
                    <xdr:rowOff>171450</xdr:rowOff>
                  </from>
                  <to>
                    <xdr:col>2</xdr:col>
                    <xdr:colOff>123825</xdr:colOff>
                    <xdr:row>23</xdr:row>
                    <xdr:rowOff>28575</xdr:rowOff>
                  </to>
                </anchor>
              </controlPr>
            </control>
          </mc:Choice>
        </mc:AlternateContent>
        <mc:AlternateContent xmlns:mc="http://schemas.openxmlformats.org/markup-compatibility/2006">
          <mc:Choice Requires="x14">
            <control shapeId="2074" r:id="rId13" name="Check Box 26">
              <controlPr defaultSize="0" autoFill="0" autoLine="0" autoPict="0">
                <anchor moveWithCells="1">
                  <from>
                    <xdr:col>1</xdr:col>
                    <xdr:colOff>0</xdr:colOff>
                    <xdr:row>22</xdr:row>
                    <xdr:rowOff>171450</xdr:rowOff>
                  </from>
                  <to>
                    <xdr:col>2</xdr:col>
                    <xdr:colOff>123825</xdr:colOff>
                    <xdr:row>24</xdr:row>
                    <xdr:rowOff>28575</xdr:rowOff>
                  </to>
                </anchor>
              </controlPr>
            </control>
          </mc:Choice>
        </mc:AlternateContent>
        <mc:AlternateContent xmlns:mc="http://schemas.openxmlformats.org/markup-compatibility/2006">
          <mc:Choice Requires="x14">
            <control shapeId="2075" r:id="rId14" name="Check Box 27">
              <controlPr defaultSize="0" autoFill="0" autoLine="0" autoPict="0">
                <anchor moveWithCells="1">
                  <from>
                    <xdr:col>1</xdr:col>
                    <xdr:colOff>0</xdr:colOff>
                    <xdr:row>23</xdr:row>
                    <xdr:rowOff>171450</xdr:rowOff>
                  </from>
                  <to>
                    <xdr:col>2</xdr:col>
                    <xdr:colOff>123825</xdr:colOff>
                    <xdr:row>25</xdr:row>
                    <xdr:rowOff>28575</xdr:rowOff>
                  </to>
                </anchor>
              </controlPr>
            </control>
          </mc:Choice>
        </mc:AlternateContent>
        <mc:AlternateContent xmlns:mc="http://schemas.openxmlformats.org/markup-compatibility/2006">
          <mc:Choice Requires="x14">
            <control shapeId="2082" r:id="rId15" name="Button 34">
              <controlPr defaultSize="0" print="0" autoFill="0" autoPict="0" macro="[0]!Sheet2.Choose_database">
                <anchor moveWithCells="1" sizeWithCells="1">
                  <from>
                    <xdr:col>0</xdr:col>
                    <xdr:colOff>76200</xdr:colOff>
                    <xdr:row>6</xdr:row>
                    <xdr:rowOff>0</xdr:rowOff>
                  </from>
                  <to>
                    <xdr:col>2</xdr:col>
                    <xdr:colOff>504825</xdr:colOff>
                    <xdr:row>8</xdr:row>
                    <xdr:rowOff>190500</xdr:rowOff>
                  </to>
                </anchor>
              </controlPr>
            </control>
          </mc:Choice>
        </mc:AlternateContent>
        <mc:AlternateContent xmlns:mc="http://schemas.openxmlformats.org/markup-compatibility/2006">
          <mc:Choice Requires="x14">
            <control shapeId="2083" r:id="rId16" name="Button 35">
              <controlPr defaultSize="0" print="0" autoFill="0" autoPict="0" macro="[0]!Sheet2.RunSQLiteQueries">
                <anchor moveWithCells="1" sizeWithCells="1">
                  <from>
                    <xdr:col>2</xdr:col>
                    <xdr:colOff>495300</xdr:colOff>
                    <xdr:row>6</xdr:row>
                    <xdr:rowOff>0</xdr:rowOff>
                  </from>
                  <to>
                    <xdr:col>3</xdr:col>
                    <xdr:colOff>0</xdr:colOff>
                    <xdr:row>8</xdr:row>
                    <xdr:rowOff>180975</xdr:rowOff>
                  </to>
                </anchor>
              </controlPr>
            </control>
          </mc:Choice>
        </mc:AlternateContent>
        <mc:AlternateContent xmlns:mc="http://schemas.openxmlformats.org/markup-compatibility/2006">
          <mc:Choice Requires="x14">
            <control shapeId="2086" r:id="rId17" name="Option Button 38">
              <controlPr defaultSize="0" autoFill="0" autoLine="0" autoPict="0">
                <anchor moveWithCells="1">
                  <from>
                    <xdr:col>1</xdr:col>
                    <xdr:colOff>0</xdr:colOff>
                    <xdr:row>13</xdr:row>
                    <xdr:rowOff>0</xdr:rowOff>
                  </from>
                  <to>
                    <xdr:col>2</xdr:col>
                    <xdr:colOff>0</xdr:colOff>
                    <xdr:row>14</xdr:row>
                    <xdr:rowOff>0</xdr:rowOff>
                  </to>
                </anchor>
              </controlPr>
            </control>
          </mc:Choice>
        </mc:AlternateContent>
        <mc:AlternateContent xmlns:mc="http://schemas.openxmlformats.org/markup-compatibility/2006">
          <mc:Choice Requires="x14">
            <control shapeId="2087" r:id="rId18" name="Option Button 39">
              <controlPr defaultSize="0" autoFill="0" autoLine="0" autoPict="0">
                <anchor moveWithCells="1">
                  <from>
                    <xdr:col>1</xdr:col>
                    <xdr:colOff>0</xdr:colOff>
                    <xdr:row>14</xdr:row>
                    <xdr:rowOff>0</xdr:rowOff>
                  </from>
                  <to>
                    <xdr:col>2</xdr:col>
                    <xdr:colOff>0</xdr:colOff>
                    <xdr:row>14</xdr:row>
                    <xdr:rowOff>190500</xdr:rowOff>
                  </to>
                </anchor>
              </controlPr>
            </control>
          </mc:Choice>
        </mc:AlternateContent>
        <mc:AlternateContent xmlns:mc="http://schemas.openxmlformats.org/markup-compatibility/2006">
          <mc:Choice Requires="x14">
            <control shapeId="2088" r:id="rId19" name="Check Box 40">
              <controlPr defaultSize="0" autoFill="0" autoLine="0" autoPict="0">
                <anchor moveWithCells="1">
                  <from>
                    <xdr:col>1</xdr:col>
                    <xdr:colOff>0</xdr:colOff>
                    <xdr:row>29</xdr:row>
                    <xdr:rowOff>171450</xdr:rowOff>
                  </from>
                  <to>
                    <xdr:col>2</xdr:col>
                    <xdr:colOff>123825</xdr:colOff>
                    <xdr:row>31</xdr:row>
                    <xdr:rowOff>19050</xdr:rowOff>
                  </to>
                </anchor>
              </controlPr>
            </control>
          </mc:Choice>
        </mc:AlternateContent>
        <mc:AlternateContent xmlns:mc="http://schemas.openxmlformats.org/markup-compatibility/2006">
          <mc:Choice Requires="x14">
            <control shapeId="2089" r:id="rId20" name="Check Box 41">
              <controlPr defaultSize="0" autoFill="0" autoLine="0" autoPict="0">
                <anchor moveWithCells="1">
                  <from>
                    <xdr:col>1</xdr:col>
                    <xdr:colOff>0</xdr:colOff>
                    <xdr:row>24</xdr:row>
                    <xdr:rowOff>171450</xdr:rowOff>
                  </from>
                  <to>
                    <xdr:col>2</xdr:col>
                    <xdr:colOff>123825</xdr:colOff>
                    <xdr:row>26</xdr:row>
                    <xdr:rowOff>28575</xdr:rowOff>
                  </to>
                </anchor>
              </controlPr>
            </control>
          </mc:Choice>
        </mc:AlternateContent>
        <mc:AlternateContent xmlns:mc="http://schemas.openxmlformats.org/markup-compatibility/2006">
          <mc:Choice Requires="x14">
            <control shapeId="2714" r:id="rId21" name="Button 666">
              <controlPr defaultSize="0" print="0" autoFill="0" autoPict="0" macro="[0]!Sheet2.Clean_PT_Cache">
                <anchor moveWithCells="1" sizeWithCells="1">
                  <from>
                    <xdr:col>6</xdr:col>
                    <xdr:colOff>28575</xdr:colOff>
                    <xdr:row>2</xdr:row>
                    <xdr:rowOff>28575</xdr:rowOff>
                  </from>
                  <to>
                    <xdr:col>8</xdr:col>
                    <xdr:colOff>161925</xdr:colOff>
                    <xdr:row>5</xdr:row>
                    <xdr:rowOff>28575</xdr:rowOff>
                  </to>
                </anchor>
              </controlPr>
            </control>
          </mc:Choice>
        </mc:AlternateContent>
        <mc:AlternateContent xmlns:mc="http://schemas.openxmlformats.org/markup-compatibility/2006">
          <mc:Choice Requires="x14">
            <control shapeId="2810" r:id="rId22" name="Check Box 762">
              <controlPr defaultSize="0" autoFill="0" autoLine="0" autoPict="0">
                <anchor moveWithCells="1">
                  <from>
                    <xdr:col>5</xdr:col>
                    <xdr:colOff>0</xdr:colOff>
                    <xdr:row>14</xdr:row>
                    <xdr:rowOff>0</xdr:rowOff>
                  </from>
                  <to>
                    <xdr:col>6</xdr:col>
                    <xdr:colOff>76200</xdr:colOff>
                    <xdr:row>15</xdr:row>
                    <xdr:rowOff>9525</xdr:rowOff>
                  </to>
                </anchor>
              </controlPr>
            </control>
          </mc:Choice>
        </mc:AlternateContent>
        <mc:AlternateContent xmlns:mc="http://schemas.openxmlformats.org/markup-compatibility/2006">
          <mc:Choice Requires="x14">
            <control shapeId="2811" r:id="rId23" name="Check Box 763">
              <controlPr defaultSize="0" autoFill="0" autoLine="0" autoPict="0">
                <anchor moveWithCells="1">
                  <from>
                    <xdr:col>5</xdr:col>
                    <xdr:colOff>0</xdr:colOff>
                    <xdr:row>15</xdr:row>
                    <xdr:rowOff>0</xdr:rowOff>
                  </from>
                  <to>
                    <xdr:col>6</xdr:col>
                    <xdr:colOff>76200</xdr:colOff>
                    <xdr:row>16</xdr:row>
                    <xdr:rowOff>19050</xdr:rowOff>
                  </to>
                </anchor>
              </controlPr>
            </control>
          </mc:Choice>
        </mc:AlternateContent>
        <mc:AlternateContent xmlns:mc="http://schemas.openxmlformats.org/markup-compatibility/2006">
          <mc:Choice Requires="x14">
            <control shapeId="2812" r:id="rId24" name="Check Box 764">
              <controlPr defaultSize="0" autoFill="0" autoLine="0" autoPict="0">
                <anchor moveWithCells="1">
                  <from>
                    <xdr:col>5</xdr:col>
                    <xdr:colOff>0</xdr:colOff>
                    <xdr:row>16</xdr:row>
                    <xdr:rowOff>0</xdr:rowOff>
                  </from>
                  <to>
                    <xdr:col>6</xdr:col>
                    <xdr:colOff>76200</xdr:colOff>
                    <xdr:row>17</xdr:row>
                    <xdr:rowOff>19050</xdr:rowOff>
                  </to>
                </anchor>
              </controlPr>
            </control>
          </mc:Choice>
        </mc:AlternateContent>
        <mc:AlternateContent xmlns:mc="http://schemas.openxmlformats.org/markup-compatibility/2006">
          <mc:Choice Requires="x14">
            <control shapeId="2813" r:id="rId25" name="Check Box 765">
              <controlPr defaultSize="0" autoFill="0" autoLine="0" autoPict="0">
                <anchor moveWithCells="1">
                  <from>
                    <xdr:col>5</xdr:col>
                    <xdr:colOff>0</xdr:colOff>
                    <xdr:row>17</xdr:row>
                    <xdr:rowOff>0</xdr:rowOff>
                  </from>
                  <to>
                    <xdr:col>6</xdr:col>
                    <xdr:colOff>76200</xdr:colOff>
                    <xdr:row>18</xdr:row>
                    <xdr:rowOff>19050</xdr:rowOff>
                  </to>
                </anchor>
              </controlPr>
            </control>
          </mc:Choice>
        </mc:AlternateContent>
        <mc:AlternateContent xmlns:mc="http://schemas.openxmlformats.org/markup-compatibility/2006">
          <mc:Choice Requires="x14">
            <control shapeId="2814" r:id="rId26" name="Check Box 766">
              <controlPr defaultSize="0" autoFill="0" autoLine="0" autoPict="0">
                <anchor moveWithCells="1">
                  <from>
                    <xdr:col>5</xdr:col>
                    <xdr:colOff>0</xdr:colOff>
                    <xdr:row>18</xdr:row>
                    <xdr:rowOff>0</xdr:rowOff>
                  </from>
                  <to>
                    <xdr:col>6</xdr:col>
                    <xdr:colOff>76200</xdr:colOff>
                    <xdr:row>19</xdr:row>
                    <xdr:rowOff>19050</xdr:rowOff>
                  </to>
                </anchor>
              </controlPr>
            </control>
          </mc:Choice>
        </mc:AlternateContent>
        <mc:AlternateContent xmlns:mc="http://schemas.openxmlformats.org/markup-compatibility/2006">
          <mc:Choice Requires="x14">
            <control shapeId="2815" r:id="rId27" name="Check Box 767">
              <controlPr defaultSize="0" autoFill="0" autoLine="0" autoPict="0">
                <anchor moveWithCells="1">
                  <from>
                    <xdr:col>5</xdr:col>
                    <xdr:colOff>0</xdr:colOff>
                    <xdr:row>19</xdr:row>
                    <xdr:rowOff>0</xdr:rowOff>
                  </from>
                  <to>
                    <xdr:col>6</xdr:col>
                    <xdr:colOff>76200</xdr:colOff>
                    <xdr:row>20</xdr:row>
                    <xdr:rowOff>19050</xdr:rowOff>
                  </to>
                </anchor>
              </controlPr>
            </control>
          </mc:Choice>
        </mc:AlternateContent>
        <mc:AlternateContent xmlns:mc="http://schemas.openxmlformats.org/markup-compatibility/2006">
          <mc:Choice Requires="x14">
            <control shapeId="2816" r:id="rId28" name="Check Box 768">
              <controlPr defaultSize="0" autoFill="0" autoLine="0" autoPict="0">
                <anchor moveWithCells="1">
                  <from>
                    <xdr:col>5</xdr:col>
                    <xdr:colOff>0</xdr:colOff>
                    <xdr:row>20</xdr:row>
                    <xdr:rowOff>0</xdr:rowOff>
                  </from>
                  <to>
                    <xdr:col>6</xdr:col>
                    <xdr:colOff>76200</xdr:colOff>
                    <xdr:row>21</xdr:row>
                    <xdr:rowOff>19050</xdr:rowOff>
                  </to>
                </anchor>
              </controlPr>
            </control>
          </mc:Choice>
        </mc:AlternateContent>
        <mc:AlternateContent xmlns:mc="http://schemas.openxmlformats.org/markup-compatibility/2006">
          <mc:Choice Requires="x14">
            <control shapeId="2817" r:id="rId29" name="Check Box 769">
              <controlPr defaultSize="0" autoFill="0" autoLine="0" autoPict="0">
                <anchor moveWithCells="1">
                  <from>
                    <xdr:col>5</xdr:col>
                    <xdr:colOff>0</xdr:colOff>
                    <xdr:row>21</xdr:row>
                    <xdr:rowOff>0</xdr:rowOff>
                  </from>
                  <to>
                    <xdr:col>6</xdr:col>
                    <xdr:colOff>76200</xdr:colOff>
                    <xdr:row>22</xdr:row>
                    <xdr:rowOff>19050</xdr:rowOff>
                  </to>
                </anchor>
              </controlPr>
            </control>
          </mc:Choice>
        </mc:AlternateContent>
        <mc:AlternateContent xmlns:mc="http://schemas.openxmlformats.org/markup-compatibility/2006">
          <mc:Choice Requires="x14">
            <control shapeId="2818" r:id="rId30" name="Check Box 770">
              <controlPr defaultSize="0" autoFill="0" autoLine="0" autoPict="0">
                <anchor moveWithCells="1">
                  <from>
                    <xdr:col>5</xdr:col>
                    <xdr:colOff>0</xdr:colOff>
                    <xdr:row>22</xdr:row>
                    <xdr:rowOff>0</xdr:rowOff>
                  </from>
                  <to>
                    <xdr:col>6</xdr:col>
                    <xdr:colOff>76200</xdr:colOff>
                    <xdr:row>23</xdr:row>
                    <xdr:rowOff>19050</xdr:rowOff>
                  </to>
                </anchor>
              </controlPr>
            </control>
          </mc:Choice>
        </mc:AlternateContent>
        <mc:AlternateContent xmlns:mc="http://schemas.openxmlformats.org/markup-compatibility/2006">
          <mc:Choice Requires="x14">
            <control shapeId="2819" r:id="rId31" name="Check Box 771">
              <controlPr defaultSize="0" autoFill="0" autoLine="0" autoPict="0">
                <anchor moveWithCells="1">
                  <from>
                    <xdr:col>5</xdr:col>
                    <xdr:colOff>0</xdr:colOff>
                    <xdr:row>23</xdr:row>
                    <xdr:rowOff>0</xdr:rowOff>
                  </from>
                  <to>
                    <xdr:col>6</xdr:col>
                    <xdr:colOff>76200</xdr:colOff>
                    <xdr:row>24</xdr:row>
                    <xdr:rowOff>19050</xdr:rowOff>
                  </to>
                </anchor>
              </controlPr>
            </control>
          </mc:Choice>
        </mc:AlternateContent>
        <mc:AlternateContent xmlns:mc="http://schemas.openxmlformats.org/markup-compatibility/2006">
          <mc:Choice Requires="x14">
            <control shapeId="2820" r:id="rId32" name="Check Box 772">
              <controlPr defaultSize="0" autoFill="0" autoLine="0" autoPict="0">
                <anchor moveWithCells="1">
                  <from>
                    <xdr:col>5</xdr:col>
                    <xdr:colOff>0</xdr:colOff>
                    <xdr:row>24</xdr:row>
                    <xdr:rowOff>0</xdr:rowOff>
                  </from>
                  <to>
                    <xdr:col>6</xdr:col>
                    <xdr:colOff>76200</xdr:colOff>
                    <xdr:row>25</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249977111117893"/>
  </sheetPr>
  <dimension ref="B1:E86"/>
  <sheetViews>
    <sheetView topLeftCell="A39" zoomScaleNormal="100" workbookViewId="0">
      <selection activeCell="B85" sqref="B85:B86"/>
    </sheetView>
  </sheetViews>
  <sheetFormatPr defaultRowHeight="15" x14ac:dyDescent="0.25"/>
  <cols>
    <col min="4" max="4" width="38.85546875" customWidth="1"/>
  </cols>
  <sheetData>
    <row r="1" spans="2:5" x14ac:dyDescent="0.25">
      <c r="B1" t="s">
        <v>2</v>
      </c>
      <c r="C1" t="b">
        <f t="shared" ref="C1:C12" si="0">VGE_T</f>
        <v>1</v>
      </c>
      <c r="D1" t="s">
        <v>4</v>
      </c>
      <c r="E1" t="s">
        <v>25</v>
      </c>
    </row>
    <row r="2" spans="2:5" x14ac:dyDescent="0.25">
      <c r="B2" t="s">
        <v>1</v>
      </c>
      <c r="C2" t="b">
        <f t="shared" si="0"/>
        <v>1</v>
      </c>
      <c r="D2" t="s">
        <v>4</v>
      </c>
      <c r="E2" t="s">
        <v>72</v>
      </c>
    </row>
    <row r="3" spans="2:5" x14ac:dyDescent="0.25">
      <c r="B3" t="s">
        <v>3</v>
      </c>
      <c r="C3" t="b">
        <f t="shared" si="0"/>
        <v>1</v>
      </c>
      <c r="D3" t="s">
        <v>4</v>
      </c>
      <c r="E3" t="s">
        <v>240</v>
      </c>
    </row>
    <row r="4" spans="2:5" x14ac:dyDescent="0.25">
      <c r="B4" t="s">
        <v>2</v>
      </c>
      <c r="C4" t="b">
        <f t="shared" si="0"/>
        <v>1</v>
      </c>
      <c r="D4" t="s">
        <v>39</v>
      </c>
      <c r="E4" t="s">
        <v>30</v>
      </c>
    </row>
    <row r="5" spans="2:5" x14ac:dyDescent="0.25">
      <c r="B5" t="s">
        <v>1</v>
      </c>
      <c r="C5" t="b">
        <f t="shared" si="0"/>
        <v>1</v>
      </c>
      <c r="D5" t="s">
        <v>39</v>
      </c>
      <c r="E5" t="s">
        <v>129</v>
      </c>
    </row>
    <row r="6" spans="2:5" x14ac:dyDescent="0.25">
      <c r="B6" t="s">
        <v>3</v>
      </c>
      <c r="C6" t="b">
        <f t="shared" si="0"/>
        <v>1</v>
      </c>
      <c r="D6" t="s">
        <v>39</v>
      </c>
      <c r="E6" t="s">
        <v>131</v>
      </c>
    </row>
    <row r="7" spans="2:5" x14ac:dyDescent="0.25">
      <c r="B7" t="s">
        <v>211</v>
      </c>
      <c r="C7" t="b">
        <f t="shared" si="0"/>
        <v>1</v>
      </c>
      <c r="D7" t="s">
        <v>39</v>
      </c>
      <c r="E7" t="s">
        <v>336</v>
      </c>
    </row>
    <row r="8" spans="2:5" x14ac:dyDescent="0.25">
      <c r="B8" t="s">
        <v>211</v>
      </c>
      <c r="C8" t="b">
        <f t="shared" si="0"/>
        <v>1</v>
      </c>
      <c r="D8" t="s">
        <v>39</v>
      </c>
      <c r="E8" t="s">
        <v>335</v>
      </c>
    </row>
    <row r="9" spans="2:5" x14ac:dyDescent="0.25">
      <c r="B9" t="s">
        <v>211</v>
      </c>
      <c r="C9" t="b">
        <f t="shared" si="0"/>
        <v>1</v>
      </c>
      <c r="D9" t="s">
        <v>39</v>
      </c>
      <c r="E9" t="str">
        <f>"DELETE FROM 'Electricity generation - Term' WHERE NOT (COUNTRY IN ( " &amp; C_filter &amp; "));"</f>
        <v>DELETE FROM 'Electricity generation - Term' WHERE NOT (COUNTRY IN ( 'DENMARK' , 'NORWAY' , 'GERMANY' , 'SWEDEN' , 'FINLAND' , 'NETHERLANDS' , 'UNITED_KINGDOM' , 'ESTONIA' , 'LATVIA' , 'LITHUANIA' , 'POLAND'));</v>
      </c>
    </row>
    <row r="10" spans="2:5" x14ac:dyDescent="0.25">
      <c r="B10" t="s">
        <v>2</v>
      </c>
      <c r="C10" t="b">
        <f t="shared" si="0"/>
        <v>1</v>
      </c>
      <c r="D10" t="s">
        <v>5</v>
      </c>
      <c r="E10" t="s">
        <v>26</v>
      </c>
    </row>
    <row r="11" spans="2:5" x14ac:dyDescent="0.25">
      <c r="B11" t="s">
        <v>1</v>
      </c>
      <c r="C11" t="b">
        <f t="shared" si="0"/>
        <v>1</v>
      </c>
      <c r="D11" t="s">
        <v>5</v>
      </c>
      <c r="E11" t="s">
        <v>130</v>
      </c>
    </row>
    <row r="12" spans="2:5" x14ac:dyDescent="0.25">
      <c r="B12" t="s">
        <v>3</v>
      </c>
      <c r="C12" t="b">
        <f t="shared" si="0"/>
        <v>1</v>
      </c>
      <c r="D12" t="s">
        <v>5</v>
      </c>
      <c r="E12" t="s">
        <v>136</v>
      </c>
    </row>
    <row r="13" spans="2:5" x14ac:dyDescent="0.25">
      <c r="B13" t="s">
        <v>2</v>
      </c>
      <c r="C13" t="b">
        <f>QEEQ</f>
        <v>1</v>
      </c>
      <c r="D13" t="s">
        <v>23</v>
      </c>
      <c r="E13" t="s">
        <v>27</v>
      </c>
    </row>
    <row r="14" spans="2:5" x14ac:dyDescent="0.25">
      <c r="B14" t="s">
        <v>1</v>
      </c>
      <c r="C14" t="b">
        <f>QEEQ</f>
        <v>1</v>
      </c>
      <c r="D14" t="s">
        <v>23</v>
      </c>
      <c r="E14" t="s">
        <v>115</v>
      </c>
    </row>
    <row r="15" spans="2:5" x14ac:dyDescent="0.25">
      <c r="B15" t="s">
        <v>3</v>
      </c>
      <c r="C15" t="b">
        <f>QEEQ</f>
        <v>1</v>
      </c>
      <c r="D15" t="s">
        <v>23</v>
      </c>
      <c r="E15" t="s">
        <v>116</v>
      </c>
    </row>
    <row r="16" spans="2:5" x14ac:dyDescent="0.25">
      <c r="B16" t="s">
        <v>2</v>
      </c>
      <c r="C16" t="b">
        <f>QHEQ</f>
        <v>1</v>
      </c>
      <c r="D16" t="s">
        <v>109</v>
      </c>
      <c r="E16" t="s">
        <v>110</v>
      </c>
    </row>
    <row r="17" spans="2:5" x14ac:dyDescent="0.25">
      <c r="B17" t="s">
        <v>1</v>
      </c>
      <c r="C17" t="b">
        <f>QHEQ</f>
        <v>1</v>
      </c>
      <c r="D17" t="s">
        <v>109</v>
      </c>
      <c r="E17" t="s">
        <v>162</v>
      </c>
    </row>
    <row r="18" spans="2:5" x14ac:dyDescent="0.25">
      <c r="B18" t="s">
        <v>3</v>
      </c>
      <c r="C18" t="b">
        <f>QHEQ</f>
        <v>1</v>
      </c>
      <c r="D18" t="s">
        <v>109</v>
      </c>
      <c r="E18" t="s">
        <v>165</v>
      </c>
    </row>
    <row r="19" spans="2:5" x14ac:dyDescent="0.25">
      <c r="B19" t="s">
        <v>2</v>
      </c>
      <c r="C19" t="b">
        <f t="shared" ref="C19:C28" si="1">VGH_T</f>
        <v>1</v>
      </c>
      <c r="D19" t="s">
        <v>31</v>
      </c>
      <c r="E19" t="s">
        <v>32</v>
      </c>
    </row>
    <row r="20" spans="2:5" x14ac:dyDescent="0.25">
      <c r="B20" t="s">
        <v>1</v>
      </c>
      <c r="C20" t="b">
        <f t="shared" si="1"/>
        <v>1</v>
      </c>
      <c r="D20" t="s">
        <v>31</v>
      </c>
      <c r="E20" t="s">
        <v>73</v>
      </c>
    </row>
    <row r="21" spans="2:5" x14ac:dyDescent="0.25">
      <c r="B21" t="s">
        <v>3</v>
      </c>
      <c r="C21" t="b">
        <f t="shared" si="1"/>
        <v>1</v>
      </c>
      <c r="D21" t="s">
        <v>31</v>
      </c>
      <c r="E21" t="s">
        <v>239</v>
      </c>
    </row>
    <row r="22" spans="2:5" x14ac:dyDescent="0.25">
      <c r="B22" t="s">
        <v>2</v>
      </c>
      <c r="C22" t="b">
        <f t="shared" si="1"/>
        <v>1</v>
      </c>
      <c r="D22" t="s">
        <v>35</v>
      </c>
      <c r="E22" t="s">
        <v>37</v>
      </c>
    </row>
    <row r="23" spans="2:5" x14ac:dyDescent="0.25">
      <c r="B23" t="s">
        <v>1</v>
      </c>
      <c r="C23" t="b">
        <f t="shared" si="1"/>
        <v>1</v>
      </c>
      <c r="D23" t="s">
        <v>35</v>
      </c>
      <c r="E23" t="s">
        <v>74</v>
      </c>
    </row>
    <row r="24" spans="2:5" x14ac:dyDescent="0.25">
      <c r="B24" t="s">
        <v>3</v>
      </c>
      <c r="C24" t="b">
        <f t="shared" si="1"/>
        <v>1</v>
      </c>
      <c r="D24" t="s">
        <v>35</v>
      </c>
      <c r="E24" t="s">
        <v>75</v>
      </c>
    </row>
    <row r="25" spans="2:5" x14ac:dyDescent="0.25">
      <c r="B25" t="s">
        <v>211</v>
      </c>
      <c r="C25" t="b">
        <f t="shared" si="1"/>
        <v>1</v>
      </c>
      <c r="D25" t="s">
        <v>35</v>
      </c>
      <c r="E25" t="str">
        <f>"DELETE FROM 'Heat generation - Term' WHERE NOT (COUNTRY IN ( " &amp; C_filter &amp; "));"</f>
        <v>DELETE FROM 'Heat generation - Term' WHERE NOT (COUNTRY IN ( 'DENMARK' , 'NORWAY' , 'GERMANY' , 'SWEDEN' , 'FINLAND' , 'NETHERLANDS' , 'UNITED_KINGDOM' , 'ESTONIA' , 'LATVIA' , 'LITHUANIA' , 'POLAND'));</v>
      </c>
    </row>
    <row r="26" spans="2:5" x14ac:dyDescent="0.25">
      <c r="B26" t="s">
        <v>2</v>
      </c>
      <c r="C26" t="b">
        <f t="shared" si="1"/>
        <v>1</v>
      </c>
      <c r="D26" t="s">
        <v>36</v>
      </c>
      <c r="E26" t="s">
        <v>41</v>
      </c>
    </row>
    <row r="27" spans="2:5" x14ac:dyDescent="0.25">
      <c r="B27" t="s">
        <v>1</v>
      </c>
      <c r="C27" t="b">
        <f t="shared" si="1"/>
        <v>1</v>
      </c>
      <c r="D27" t="s">
        <v>36</v>
      </c>
      <c r="E27" t="s">
        <v>76</v>
      </c>
    </row>
    <row r="28" spans="2:5" x14ac:dyDescent="0.25">
      <c r="B28" t="s">
        <v>3</v>
      </c>
      <c r="C28" t="b">
        <f t="shared" si="1"/>
        <v>1</v>
      </c>
      <c r="D28" t="s">
        <v>36</v>
      </c>
      <c r="E28" t="s">
        <v>86</v>
      </c>
    </row>
    <row r="29" spans="2:5" x14ac:dyDescent="0.25">
      <c r="B29" t="s">
        <v>2</v>
      </c>
      <c r="C29" t="b">
        <f t="shared" ref="C29:C45" si="2">VGF_T</f>
        <v>1</v>
      </c>
      <c r="D29" t="s">
        <v>52</v>
      </c>
      <c r="E29" t="s">
        <v>53</v>
      </c>
    </row>
    <row r="30" spans="2:5" x14ac:dyDescent="0.25">
      <c r="B30" t="s">
        <v>1</v>
      </c>
      <c r="C30" t="b">
        <f t="shared" si="2"/>
        <v>1</v>
      </c>
      <c r="D30" t="s">
        <v>52</v>
      </c>
      <c r="E30" t="s">
        <v>77</v>
      </c>
    </row>
    <row r="31" spans="2:5" x14ac:dyDescent="0.25">
      <c r="B31" t="s">
        <v>3</v>
      </c>
      <c r="C31" t="b">
        <f t="shared" si="2"/>
        <v>1</v>
      </c>
      <c r="D31" t="s">
        <v>52</v>
      </c>
      <c r="E31" t="s">
        <v>241</v>
      </c>
    </row>
    <row r="32" spans="2:5" x14ac:dyDescent="0.25">
      <c r="B32" t="s">
        <v>2</v>
      </c>
      <c r="C32" t="b">
        <f t="shared" si="2"/>
        <v>1</v>
      </c>
      <c r="D32" t="s">
        <v>54</v>
      </c>
      <c r="E32" t="s">
        <v>56</v>
      </c>
    </row>
    <row r="33" spans="2:5" x14ac:dyDescent="0.25">
      <c r="B33" t="s">
        <v>1</v>
      </c>
      <c r="C33" t="b">
        <f t="shared" si="2"/>
        <v>1</v>
      </c>
      <c r="D33" t="s">
        <v>54</v>
      </c>
      <c r="E33" t="s">
        <v>78</v>
      </c>
    </row>
    <row r="34" spans="2:5" x14ac:dyDescent="0.25">
      <c r="B34" t="s">
        <v>3</v>
      </c>
      <c r="C34" t="b">
        <f t="shared" si="2"/>
        <v>1</v>
      </c>
      <c r="D34" t="s">
        <v>54</v>
      </c>
      <c r="E34" t="s">
        <v>79</v>
      </c>
    </row>
    <row r="35" spans="2:5" x14ac:dyDescent="0.25">
      <c r="B35" t="s">
        <v>211</v>
      </c>
      <c r="C35" t="b">
        <f t="shared" si="2"/>
        <v>1</v>
      </c>
      <c r="D35" t="s">
        <v>54</v>
      </c>
      <c r="E35" t="str">
        <f>"DELETE FROM 'Fuel consumption - Term' WHERE NOT (COUNTRY IN ( " &amp; C_filter &amp; "));"</f>
        <v>DELETE FROM 'Fuel consumption - Term' WHERE NOT (COUNTRY IN ( 'DENMARK' , 'NORWAY' , 'GERMANY' , 'SWEDEN' , 'FINLAND' , 'NETHERLANDS' , 'UNITED_KINGDOM' , 'ESTONIA' , 'LATVIA' , 'LITHUANIA' , 'POLAND'));</v>
      </c>
    </row>
    <row r="36" spans="2:5" x14ac:dyDescent="0.25">
      <c r="B36" t="s">
        <v>2</v>
      </c>
      <c r="C36" t="b">
        <f t="shared" si="2"/>
        <v>1</v>
      </c>
      <c r="D36" t="s">
        <v>55</v>
      </c>
      <c r="E36" t="s">
        <v>58</v>
      </c>
    </row>
    <row r="37" spans="2:5" x14ac:dyDescent="0.25">
      <c r="B37" t="s">
        <v>1</v>
      </c>
      <c r="C37" t="b">
        <f t="shared" si="2"/>
        <v>1</v>
      </c>
      <c r="D37" t="s">
        <v>55</v>
      </c>
      <c r="E37" t="s">
        <v>80</v>
      </c>
    </row>
    <row r="38" spans="2:5" x14ac:dyDescent="0.25">
      <c r="B38" t="s">
        <v>3</v>
      </c>
      <c r="C38" t="b">
        <f t="shared" si="2"/>
        <v>1</v>
      </c>
      <c r="D38" t="s">
        <v>55</v>
      </c>
      <c r="E38" t="s">
        <v>81</v>
      </c>
    </row>
    <row r="39" spans="2:5" x14ac:dyDescent="0.25">
      <c r="B39" t="s">
        <v>2</v>
      </c>
      <c r="C39" t="b">
        <f t="shared" si="2"/>
        <v>1</v>
      </c>
      <c r="D39" t="s">
        <v>62</v>
      </c>
      <c r="E39" t="s">
        <v>61</v>
      </c>
    </row>
    <row r="40" spans="2:5" x14ac:dyDescent="0.25">
      <c r="B40" t="s">
        <v>1</v>
      </c>
      <c r="C40" t="b">
        <f t="shared" si="2"/>
        <v>1</v>
      </c>
      <c r="D40" t="s">
        <v>62</v>
      </c>
      <c r="E40" t="s">
        <v>82</v>
      </c>
    </row>
    <row r="41" spans="2:5" x14ac:dyDescent="0.25">
      <c r="B41" t="s">
        <v>3</v>
      </c>
      <c r="C41" t="b">
        <f t="shared" si="2"/>
        <v>1</v>
      </c>
      <c r="D41" t="s">
        <v>62</v>
      </c>
      <c r="E41" t="s">
        <v>83</v>
      </c>
    </row>
    <row r="42" spans="2:5" x14ac:dyDescent="0.25">
      <c r="B42" t="s">
        <v>211</v>
      </c>
      <c r="C42" t="b">
        <f t="shared" si="2"/>
        <v>1</v>
      </c>
      <c r="D42" t="s">
        <v>62</v>
      </c>
      <c r="E42" t="str">
        <f>"DELETE FROM 'Emissions - Term' WHERE NOT (COUNTRY IN ( " &amp; C_filter &amp; "));"</f>
        <v>DELETE FROM 'Emissions - Term' WHERE NOT (COUNTRY IN ( 'DENMARK' , 'NORWAY' , 'GERMANY' , 'SWEDEN' , 'FINLAND' , 'NETHERLANDS' , 'UNITED_KINGDOM' , 'ESTONIA' , 'LATVIA' , 'LITHUANIA' , 'POLAND'));</v>
      </c>
    </row>
    <row r="43" spans="2:5" x14ac:dyDescent="0.25">
      <c r="B43" t="s">
        <v>2</v>
      </c>
      <c r="C43" t="b">
        <f t="shared" si="2"/>
        <v>1</v>
      </c>
      <c r="D43" t="s">
        <v>67</v>
      </c>
      <c r="E43" t="s">
        <v>68</v>
      </c>
    </row>
    <row r="44" spans="2:5" x14ac:dyDescent="0.25">
      <c r="B44" t="s">
        <v>1</v>
      </c>
      <c r="C44" t="b">
        <f t="shared" si="2"/>
        <v>1</v>
      </c>
      <c r="D44" t="s">
        <v>67</v>
      </c>
      <c r="E44" t="s">
        <v>84</v>
      </c>
    </row>
    <row r="45" spans="2:5" x14ac:dyDescent="0.25">
      <c r="B45" t="s">
        <v>3</v>
      </c>
      <c r="C45" t="b">
        <f t="shared" si="2"/>
        <v>1</v>
      </c>
      <c r="D45" t="s">
        <v>67</v>
      </c>
      <c r="E45" t="s">
        <v>85</v>
      </c>
    </row>
    <row r="46" spans="2:5" x14ac:dyDescent="0.25">
      <c r="B46" t="s">
        <v>2</v>
      </c>
      <c r="C46" t="b">
        <f t="shared" ref="C46:C52" si="3">STO</f>
        <v>1</v>
      </c>
      <c r="D46" t="s">
        <v>89</v>
      </c>
      <c r="E46" t="s">
        <v>90</v>
      </c>
    </row>
    <row r="47" spans="2:5" x14ac:dyDescent="0.25">
      <c r="B47" t="s">
        <v>1</v>
      </c>
      <c r="C47" t="b">
        <f t="shared" si="3"/>
        <v>1</v>
      </c>
      <c r="D47" t="s">
        <v>89</v>
      </c>
      <c r="E47" t="s">
        <v>96</v>
      </c>
    </row>
    <row r="48" spans="2:5" x14ac:dyDescent="0.25">
      <c r="B48" t="s">
        <v>3</v>
      </c>
      <c r="C48" t="b">
        <f t="shared" si="3"/>
        <v>1</v>
      </c>
      <c r="D48" t="s">
        <v>89</v>
      </c>
      <c r="E48" s="6" t="s">
        <v>97</v>
      </c>
    </row>
    <row r="49" spans="2:5" x14ac:dyDescent="0.25">
      <c r="B49" t="s">
        <v>211</v>
      </c>
      <c r="C49" t="b">
        <f t="shared" si="3"/>
        <v>1</v>
      </c>
      <c r="D49" t="s">
        <v>89</v>
      </c>
      <c r="E49" s="6" t="str">
        <f>"DELETE FROM 'Heat Storage volume' WHERE NOT (COUNTRY IN ( " &amp; C_filter &amp; "));"</f>
        <v>DELETE FROM 'Heat Storage volume' WHERE NOT (COUNTRY IN ( 'DENMARK' , 'NORWAY' , 'GERMANY' , 'SWEDEN' , 'FINLAND' , 'NETHERLANDS' , 'UNITED_KINGDOM' , 'ESTONIA' , 'LATVIA' , 'LITHUANIA' , 'POLAND'));</v>
      </c>
    </row>
    <row r="50" spans="2:5" x14ac:dyDescent="0.25">
      <c r="B50" t="s">
        <v>2</v>
      </c>
      <c r="C50" t="b">
        <f t="shared" si="3"/>
        <v>1</v>
      </c>
      <c r="D50" t="s">
        <v>91</v>
      </c>
      <c r="E50" t="s">
        <v>92</v>
      </c>
    </row>
    <row r="51" spans="2:5" x14ac:dyDescent="0.25">
      <c r="B51" t="s">
        <v>1</v>
      </c>
      <c r="C51" t="b">
        <f t="shared" si="3"/>
        <v>1</v>
      </c>
      <c r="D51" t="s">
        <v>91</v>
      </c>
      <c r="E51" t="s">
        <v>98</v>
      </c>
    </row>
    <row r="52" spans="2:5" x14ac:dyDescent="0.25">
      <c r="B52" t="s">
        <v>3</v>
      </c>
      <c r="C52" t="b">
        <f t="shared" si="3"/>
        <v>1</v>
      </c>
      <c r="D52" t="s">
        <v>91</v>
      </c>
      <c r="E52" s="6" t="s">
        <v>99</v>
      </c>
    </row>
    <row r="53" spans="2:5" x14ac:dyDescent="0.25">
      <c r="B53" t="s">
        <v>2</v>
      </c>
      <c r="C53" t="b">
        <f t="shared" ref="C53:C60" si="4">IGK</f>
        <v>1</v>
      </c>
      <c r="D53" t="s">
        <v>117</v>
      </c>
      <c r="E53" s="6" t="s">
        <v>118</v>
      </c>
    </row>
    <row r="54" spans="2:5" x14ac:dyDescent="0.25">
      <c r="B54" t="s">
        <v>1</v>
      </c>
      <c r="C54" t="b">
        <f t="shared" si="4"/>
        <v>1</v>
      </c>
      <c r="D54" t="s">
        <v>117</v>
      </c>
      <c r="E54" s="6" t="s">
        <v>344</v>
      </c>
    </row>
    <row r="55" spans="2:5" x14ac:dyDescent="0.25">
      <c r="B55" t="s">
        <v>3</v>
      </c>
      <c r="C55" t="b">
        <f t="shared" si="4"/>
        <v>1</v>
      </c>
      <c r="D55" t="s">
        <v>117</v>
      </c>
      <c r="E55" s="6" t="s">
        <v>119</v>
      </c>
    </row>
    <row r="56" spans="2:5" x14ac:dyDescent="0.25">
      <c r="B56" t="s">
        <v>211</v>
      </c>
      <c r="C56" t="b">
        <f t="shared" si="4"/>
        <v>1</v>
      </c>
      <c r="D56" t="s">
        <v>117</v>
      </c>
      <c r="E56" t="s">
        <v>345</v>
      </c>
    </row>
    <row r="57" spans="2:5" x14ac:dyDescent="0.25">
      <c r="B57" t="s">
        <v>211</v>
      </c>
      <c r="C57" t="b">
        <f t="shared" si="4"/>
        <v>1</v>
      </c>
      <c r="D57" t="s">
        <v>117</v>
      </c>
      <c r="E57" t="s">
        <v>348</v>
      </c>
    </row>
    <row r="58" spans="2:5" x14ac:dyDescent="0.25">
      <c r="B58" t="s">
        <v>2</v>
      </c>
      <c r="C58" t="b">
        <f t="shared" si="4"/>
        <v>1</v>
      </c>
      <c r="D58" t="s">
        <v>120</v>
      </c>
      <c r="E58" s="6" t="s">
        <v>121</v>
      </c>
    </row>
    <row r="59" spans="2:5" x14ac:dyDescent="0.25">
      <c r="B59" t="s">
        <v>1</v>
      </c>
      <c r="C59" t="b">
        <f t="shared" si="4"/>
        <v>1</v>
      </c>
      <c r="D59" t="s">
        <v>120</v>
      </c>
      <c r="E59" s="6" t="s">
        <v>166</v>
      </c>
    </row>
    <row r="60" spans="2:5" x14ac:dyDescent="0.25">
      <c r="B60" t="s">
        <v>3</v>
      </c>
      <c r="C60" t="b">
        <f t="shared" si="4"/>
        <v>1</v>
      </c>
      <c r="D60" t="s">
        <v>120</v>
      </c>
      <c r="E60" s="6" t="s">
        <v>168</v>
      </c>
    </row>
    <row r="61" spans="2:5" x14ac:dyDescent="0.25">
      <c r="B61" t="s">
        <v>2</v>
      </c>
      <c r="C61" t="b">
        <f t="shared" ref="C61:C72" si="5">DE</f>
        <v>1</v>
      </c>
      <c r="D61" t="s">
        <v>103</v>
      </c>
      <c r="E61" s="6" t="s">
        <v>101</v>
      </c>
    </row>
    <row r="62" spans="2:5" x14ac:dyDescent="0.25">
      <c r="B62" t="s">
        <v>1</v>
      </c>
      <c r="C62" t="b">
        <f t="shared" si="5"/>
        <v>1</v>
      </c>
      <c r="D62" t="s">
        <v>103</v>
      </c>
      <c r="E62" s="6" t="s">
        <v>249</v>
      </c>
    </row>
    <row r="63" spans="2:5" x14ac:dyDescent="0.25">
      <c r="B63" t="s">
        <v>3</v>
      </c>
      <c r="C63" t="b">
        <f t="shared" si="5"/>
        <v>1</v>
      </c>
      <c r="D63" t="s">
        <v>103</v>
      </c>
      <c r="E63" s="6" t="s">
        <v>250</v>
      </c>
    </row>
    <row r="64" spans="2:5" x14ac:dyDescent="0.25">
      <c r="B64" t="s">
        <v>2</v>
      </c>
      <c r="C64" t="b">
        <f t="shared" si="5"/>
        <v>1</v>
      </c>
      <c r="D64" t="s">
        <v>105</v>
      </c>
      <c r="E64" s="6" t="s">
        <v>108</v>
      </c>
    </row>
    <row r="65" spans="2:5" x14ac:dyDescent="0.25">
      <c r="B65" t="s">
        <v>1</v>
      </c>
      <c r="C65" t="b">
        <f t="shared" si="5"/>
        <v>1</v>
      </c>
      <c r="D65" t="s">
        <v>105</v>
      </c>
      <c r="E65" s="6" t="s">
        <v>251</v>
      </c>
    </row>
    <row r="66" spans="2:5" x14ac:dyDescent="0.25">
      <c r="B66" t="s">
        <v>3</v>
      </c>
      <c r="C66" t="b">
        <f t="shared" si="5"/>
        <v>1</v>
      </c>
      <c r="D66" t="s">
        <v>105</v>
      </c>
      <c r="E66" s="6" t="s">
        <v>252</v>
      </c>
    </row>
    <row r="67" spans="2:5" x14ac:dyDescent="0.25">
      <c r="B67" t="s">
        <v>2</v>
      </c>
      <c r="C67" t="b">
        <f t="shared" si="5"/>
        <v>1</v>
      </c>
      <c r="D67" t="s">
        <v>102</v>
      </c>
      <c r="E67" s="6" t="s">
        <v>104</v>
      </c>
    </row>
    <row r="68" spans="2:5" x14ac:dyDescent="0.25">
      <c r="B68" t="s">
        <v>1</v>
      </c>
      <c r="C68" t="b">
        <f t="shared" si="5"/>
        <v>1</v>
      </c>
      <c r="D68" t="s">
        <v>102</v>
      </c>
      <c r="E68" s="6" t="s">
        <v>253</v>
      </c>
    </row>
    <row r="69" spans="2:5" x14ac:dyDescent="0.25">
      <c r="B69" t="s">
        <v>3</v>
      </c>
      <c r="C69" t="b">
        <f t="shared" si="5"/>
        <v>1</v>
      </c>
      <c r="D69" t="s">
        <v>102</v>
      </c>
      <c r="E69" s="6" t="s">
        <v>254</v>
      </c>
    </row>
    <row r="70" spans="2:5" x14ac:dyDescent="0.25">
      <c r="B70" t="s">
        <v>2</v>
      </c>
      <c r="C70" t="b">
        <f t="shared" si="5"/>
        <v>1</v>
      </c>
      <c r="D70" t="s">
        <v>106</v>
      </c>
      <c r="E70" s="8" t="s">
        <v>107</v>
      </c>
    </row>
    <row r="71" spans="2:5" x14ac:dyDescent="0.25">
      <c r="B71" t="s">
        <v>1</v>
      </c>
      <c r="C71" t="b">
        <f t="shared" si="5"/>
        <v>1</v>
      </c>
      <c r="D71" t="s">
        <v>106</v>
      </c>
      <c r="E71" s="8" t="s">
        <v>255</v>
      </c>
    </row>
    <row r="72" spans="2:5" x14ac:dyDescent="0.25">
      <c r="B72" t="s">
        <v>3</v>
      </c>
      <c r="C72" t="b">
        <f t="shared" si="5"/>
        <v>1</v>
      </c>
      <c r="D72" t="s">
        <v>106</v>
      </c>
      <c r="E72" s="8" t="s">
        <v>256</v>
      </c>
    </row>
    <row r="73" spans="2:5" x14ac:dyDescent="0.25">
      <c r="B73" t="s">
        <v>2</v>
      </c>
      <c r="C73" t="b">
        <f t="shared" ref="C73:C81" si="6">VX_T</f>
        <v>1</v>
      </c>
      <c r="D73" t="s">
        <v>122</v>
      </c>
      <c r="E73" s="6" t="s">
        <v>125</v>
      </c>
    </row>
    <row r="74" spans="2:5" x14ac:dyDescent="0.25">
      <c r="B74" t="s">
        <v>1</v>
      </c>
      <c r="C74" t="b">
        <f t="shared" si="6"/>
        <v>1</v>
      </c>
      <c r="D74" t="s">
        <v>122</v>
      </c>
      <c r="E74" s="6" t="s">
        <v>126</v>
      </c>
    </row>
    <row r="75" spans="2:5" x14ac:dyDescent="0.25">
      <c r="B75" t="s">
        <v>3</v>
      </c>
      <c r="C75" t="b">
        <f t="shared" si="6"/>
        <v>1</v>
      </c>
      <c r="D75" t="s">
        <v>122</v>
      </c>
      <c r="E75" s="6" t="s">
        <v>127</v>
      </c>
    </row>
    <row r="76" spans="2:5" x14ac:dyDescent="0.25">
      <c r="B76" t="s">
        <v>2</v>
      </c>
      <c r="C76" t="b">
        <f t="shared" si="6"/>
        <v>1</v>
      </c>
      <c r="D76" t="s">
        <v>123</v>
      </c>
      <c r="E76" s="6" t="s">
        <v>124</v>
      </c>
    </row>
    <row r="77" spans="2:5" x14ac:dyDescent="0.25">
      <c r="B77" t="s">
        <v>1</v>
      </c>
      <c r="C77" t="b">
        <f t="shared" si="6"/>
        <v>1</v>
      </c>
      <c r="D77" t="s">
        <v>123</v>
      </c>
      <c r="E77" s="6" t="s">
        <v>128</v>
      </c>
    </row>
    <row r="78" spans="2:5" x14ac:dyDescent="0.25">
      <c r="B78" t="s">
        <v>3</v>
      </c>
      <c r="C78" t="b">
        <f t="shared" si="6"/>
        <v>1</v>
      </c>
      <c r="D78" t="s">
        <v>123</v>
      </c>
      <c r="E78" s="6" t="s">
        <v>149</v>
      </c>
    </row>
    <row r="79" spans="2:5" x14ac:dyDescent="0.25">
      <c r="B79" t="s">
        <v>2</v>
      </c>
      <c r="C79" t="b">
        <f t="shared" si="6"/>
        <v>1</v>
      </c>
      <c r="D79" t="s">
        <v>177</v>
      </c>
      <c r="E79" t="s">
        <v>173</v>
      </c>
    </row>
    <row r="80" spans="2:5" x14ac:dyDescent="0.25">
      <c r="B80" t="s">
        <v>1</v>
      </c>
      <c r="C80" t="b">
        <f t="shared" si="6"/>
        <v>1</v>
      </c>
      <c r="D80" t="s">
        <v>177</v>
      </c>
      <c r="E80" t="s">
        <v>175</v>
      </c>
    </row>
    <row r="81" spans="2:5" x14ac:dyDescent="0.25">
      <c r="B81" t="s">
        <v>3</v>
      </c>
      <c r="C81" t="b">
        <f t="shared" si="6"/>
        <v>1</v>
      </c>
      <c r="D81" t="s">
        <v>177</v>
      </c>
      <c r="E81" t="s">
        <v>176</v>
      </c>
    </row>
    <row r="82" spans="2:5" x14ac:dyDescent="0.25">
      <c r="B82" t="s">
        <v>2</v>
      </c>
      <c r="C82" t="b">
        <f>VGKN</f>
        <v>1</v>
      </c>
      <c r="D82" t="s">
        <v>181</v>
      </c>
      <c r="E82" t="s">
        <v>182</v>
      </c>
    </row>
    <row r="83" spans="2:5" x14ac:dyDescent="0.25">
      <c r="B83" t="s">
        <v>1</v>
      </c>
      <c r="C83" t="b">
        <f>VGKN</f>
        <v>1</v>
      </c>
      <c r="D83" t="s">
        <v>181</v>
      </c>
      <c r="E83" t="s">
        <v>183</v>
      </c>
    </row>
    <row r="84" spans="2:5" x14ac:dyDescent="0.25">
      <c r="B84" t="s">
        <v>3</v>
      </c>
      <c r="C84" t="b">
        <f>VGKN</f>
        <v>1</v>
      </c>
      <c r="D84" t="s">
        <v>181</v>
      </c>
      <c r="E84" t="s">
        <v>184</v>
      </c>
    </row>
    <row r="85" spans="2:5" x14ac:dyDescent="0.25">
      <c r="B85" t="s">
        <v>211</v>
      </c>
      <c r="C85" t="b">
        <f>VGKN</f>
        <v>1</v>
      </c>
      <c r="D85" t="s">
        <v>181</v>
      </c>
      <c r="E85" t="s">
        <v>346</v>
      </c>
    </row>
    <row r="86" spans="2:5" x14ac:dyDescent="0.25">
      <c r="B86" t="s">
        <v>211</v>
      </c>
      <c r="C86" t="b">
        <f>VGKN</f>
        <v>1</v>
      </c>
      <c r="D86" t="s">
        <v>181</v>
      </c>
      <c r="E86" t="s">
        <v>349</v>
      </c>
    </row>
  </sheetData>
  <conditionalFormatting sqref="C16:C18">
    <cfRule type="containsText" dxfId="4" priority="1" operator="containsText" text="TRUE">
      <formula>NOT(ISERROR(SEARCH("TRUE",C16)))</formula>
    </cfRule>
  </conditionalFormatting>
  <conditionalFormatting sqref="C1:C15 C19:C86">
    <cfRule type="containsText" dxfId="3" priority="19" operator="containsText" text="TRUE">
      <formula>NOT(ISERROR(SEARCH("TRUE",C1)))</formula>
    </cfRule>
    <cfRule type="colorScale" priority="20">
      <colorScale>
        <cfvo type="min"/>
        <cfvo type="percentile" val="50"/>
        <cfvo type="max"/>
        <color rgb="FFF8696B"/>
        <color rgb="FFFCFCFF"/>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249977111117893"/>
  </sheetPr>
  <dimension ref="A1:E111"/>
  <sheetViews>
    <sheetView zoomScaleNormal="100" workbookViewId="0">
      <selection activeCell="E7" sqref="E7:E8"/>
    </sheetView>
  </sheetViews>
  <sheetFormatPr defaultRowHeight="15" x14ac:dyDescent="0.25"/>
  <cols>
    <col min="3" max="3" width="6.140625" bestFit="1" customWidth="1"/>
    <col min="4" max="4" width="47.140625" bestFit="1" customWidth="1"/>
  </cols>
  <sheetData>
    <row r="1" spans="1:5" x14ac:dyDescent="0.25">
      <c r="A1">
        <v>1.9999999552965164E-2</v>
      </c>
      <c r="B1" t="s">
        <v>2</v>
      </c>
      <c r="C1" t="b">
        <f t="shared" ref="C1:C12" si="0">VGE_T</f>
        <v>1</v>
      </c>
      <c r="D1" t="s">
        <v>4</v>
      </c>
      <c r="E1" t="s">
        <v>25</v>
      </c>
    </row>
    <row r="2" spans="1:5" x14ac:dyDescent="0.25">
      <c r="A2">
        <v>3.9999999105930328E-2</v>
      </c>
      <c r="B2" t="s">
        <v>1</v>
      </c>
      <c r="C2" t="b">
        <f t="shared" si="0"/>
        <v>1</v>
      </c>
      <c r="D2" t="s">
        <v>4</v>
      </c>
      <c r="E2" t="s">
        <v>28</v>
      </c>
    </row>
    <row r="3" spans="1:5" x14ac:dyDescent="0.25">
      <c r="A3">
        <v>0.30000001192092896</v>
      </c>
      <c r="B3" t="s">
        <v>3</v>
      </c>
      <c r="C3" t="b">
        <f t="shared" si="0"/>
        <v>1</v>
      </c>
      <c r="D3" t="s">
        <v>4</v>
      </c>
      <c r="E3" t="s">
        <v>29</v>
      </c>
    </row>
    <row r="4" spans="1:5" x14ac:dyDescent="0.25">
      <c r="A4">
        <v>0.34999999403953552</v>
      </c>
      <c r="B4" t="s">
        <v>2</v>
      </c>
      <c r="C4" t="b">
        <f t="shared" si="0"/>
        <v>1</v>
      </c>
      <c r="D4" t="s">
        <v>39</v>
      </c>
      <c r="E4" t="s">
        <v>30</v>
      </c>
    </row>
    <row r="5" spans="1:5" x14ac:dyDescent="0.25">
      <c r="A5">
        <v>0.37000000476837158</v>
      </c>
      <c r="B5" t="s">
        <v>1</v>
      </c>
      <c r="C5" t="b">
        <f t="shared" si="0"/>
        <v>1</v>
      </c>
      <c r="D5" t="s">
        <v>39</v>
      </c>
      <c r="E5" t="s">
        <v>134</v>
      </c>
    </row>
    <row r="6" spans="1:5" x14ac:dyDescent="0.25">
      <c r="A6">
        <v>0.68999999761581421</v>
      </c>
      <c r="B6" t="s">
        <v>3</v>
      </c>
      <c r="C6" t="b">
        <f t="shared" si="0"/>
        <v>1</v>
      </c>
      <c r="D6" t="s">
        <v>39</v>
      </c>
      <c r="E6" t="s">
        <v>135</v>
      </c>
    </row>
    <row r="7" spans="1:5" x14ac:dyDescent="0.25">
      <c r="A7">
        <v>4.4600000381469727</v>
      </c>
      <c r="B7" t="s">
        <v>211</v>
      </c>
      <c r="C7" t="b">
        <f t="shared" si="0"/>
        <v>1</v>
      </c>
      <c r="D7" t="s">
        <v>39</v>
      </c>
      <c r="E7" t="s">
        <v>336</v>
      </c>
    </row>
    <row r="8" spans="1:5" x14ac:dyDescent="0.25">
      <c r="A8">
        <v>4.5199999809265137</v>
      </c>
      <c r="B8" t="s">
        <v>211</v>
      </c>
      <c r="C8" t="b">
        <f t="shared" si="0"/>
        <v>1</v>
      </c>
      <c r="D8" t="s">
        <v>39</v>
      </c>
      <c r="E8" t="s">
        <v>335</v>
      </c>
    </row>
    <row r="9" spans="1:5" x14ac:dyDescent="0.25">
      <c r="A9">
        <v>4.5500001907348633</v>
      </c>
      <c r="B9" t="s">
        <v>211</v>
      </c>
      <c r="C9" t="b">
        <f t="shared" si="0"/>
        <v>1</v>
      </c>
      <c r="D9" t="s">
        <v>39</v>
      </c>
      <c r="E9" t="str">
        <f>"DELETE FROM 'Electricity generation - Term' WHERE NOT (COUNTRY IN ( " &amp; C_filter &amp; "));"</f>
        <v>DELETE FROM 'Electricity generation - Term' WHERE NOT (COUNTRY IN ( 'DENMARK' , 'NORWAY' , 'GERMANY' , 'SWEDEN' , 'FINLAND' , 'NETHERLANDS' , 'UNITED_KINGDOM' , 'ESTONIA' , 'LATVIA' , 'LITHUANIA' , 'POLAND'));</v>
      </c>
    </row>
    <row r="10" spans="1:5" x14ac:dyDescent="0.25">
      <c r="A10">
        <v>4.559999942779541</v>
      </c>
      <c r="B10" t="s">
        <v>2</v>
      </c>
      <c r="C10" t="b">
        <f t="shared" si="0"/>
        <v>1</v>
      </c>
      <c r="D10" t="s">
        <v>5</v>
      </c>
      <c r="E10" t="s">
        <v>26</v>
      </c>
    </row>
    <row r="11" spans="1:5" x14ac:dyDescent="0.25">
      <c r="A11">
        <v>4.570000171661377</v>
      </c>
      <c r="B11" t="s">
        <v>1</v>
      </c>
      <c r="C11" t="b">
        <f t="shared" si="0"/>
        <v>1</v>
      </c>
      <c r="D11" t="s">
        <v>5</v>
      </c>
      <c r="E11" t="s">
        <v>132</v>
      </c>
    </row>
    <row r="12" spans="1:5" x14ac:dyDescent="0.25">
      <c r="A12">
        <v>4.7199997901916504</v>
      </c>
      <c r="B12" t="s">
        <v>3</v>
      </c>
      <c r="C12" t="b">
        <f t="shared" si="0"/>
        <v>1</v>
      </c>
      <c r="D12" t="s">
        <v>5</v>
      </c>
      <c r="E12" t="s">
        <v>133</v>
      </c>
    </row>
    <row r="13" spans="1:5" x14ac:dyDescent="0.25">
      <c r="A13">
        <v>4.7699999809265137</v>
      </c>
      <c r="B13" t="s">
        <v>2</v>
      </c>
      <c r="C13" t="b">
        <f>QEEQ</f>
        <v>1</v>
      </c>
      <c r="D13" t="s">
        <v>23</v>
      </c>
      <c r="E13" t="s">
        <v>27</v>
      </c>
    </row>
    <row r="14" spans="1:5" x14ac:dyDescent="0.25">
      <c r="A14">
        <v>4.7899999618530273</v>
      </c>
      <c r="B14" t="s">
        <v>1</v>
      </c>
      <c r="C14" t="b">
        <f>QEEQ</f>
        <v>1</v>
      </c>
      <c r="D14" t="s">
        <v>23</v>
      </c>
      <c r="E14" t="s">
        <v>24</v>
      </c>
    </row>
    <row r="15" spans="1:5" x14ac:dyDescent="0.25">
      <c r="A15">
        <v>4.809999942779541</v>
      </c>
      <c r="B15" t="s">
        <v>3</v>
      </c>
      <c r="C15" t="b">
        <f>QEEQ</f>
        <v>1</v>
      </c>
      <c r="D15" t="s">
        <v>23</v>
      </c>
      <c r="E15" t="s">
        <v>329</v>
      </c>
    </row>
    <row r="16" spans="1:5" x14ac:dyDescent="0.25">
      <c r="A16">
        <v>4.820000171661377</v>
      </c>
      <c r="B16" t="s">
        <v>2</v>
      </c>
      <c r="C16" t="b">
        <f>QHEQ</f>
        <v>1</v>
      </c>
      <c r="D16" t="s">
        <v>109</v>
      </c>
      <c r="E16" t="s">
        <v>110</v>
      </c>
    </row>
    <row r="17" spans="1:5" x14ac:dyDescent="0.25">
      <c r="A17">
        <v>4.8600001335144043</v>
      </c>
      <c r="B17" t="s">
        <v>1</v>
      </c>
      <c r="C17" t="b">
        <f>QHEQ</f>
        <v>1</v>
      </c>
      <c r="D17" t="s">
        <v>109</v>
      </c>
      <c r="E17" t="s">
        <v>161</v>
      </c>
    </row>
    <row r="18" spans="1:5" x14ac:dyDescent="0.25">
      <c r="A18">
        <v>4.9099998474121094</v>
      </c>
      <c r="B18" t="s">
        <v>3</v>
      </c>
      <c r="C18" t="b">
        <f>QHEQ</f>
        <v>1</v>
      </c>
      <c r="D18" t="s">
        <v>109</v>
      </c>
      <c r="E18" t="s">
        <v>330</v>
      </c>
    </row>
    <row r="19" spans="1:5" x14ac:dyDescent="0.25">
      <c r="A19">
        <v>4.929999828338623</v>
      </c>
      <c r="B19" t="s">
        <v>2</v>
      </c>
      <c r="C19" t="b">
        <f t="shared" ref="C19:C28" si="1">VGH_T</f>
        <v>1</v>
      </c>
      <c r="D19" t="s">
        <v>31</v>
      </c>
      <c r="E19" t="s">
        <v>32</v>
      </c>
    </row>
    <row r="20" spans="1:5" x14ac:dyDescent="0.25">
      <c r="A20">
        <v>4.9499998092651367</v>
      </c>
      <c r="B20" t="s">
        <v>1</v>
      </c>
      <c r="C20" t="b">
        <f t="shared" si="1"/>
        <v>1</v>
      </c>
      <c r="D20" t="s">
        <v>31</v>
      </c>
      <c r="E20" t="s">
        <v>34</v>
      </c>
    </row>
    <row r="21" spans="1:5" x14ac:dyDescent="0.25">
      <c r="A21">
        <v>5.070000171661377</v>
      </c>
      <c r="B21" t="s">
        <v>3</v>
      </c>
      <c r="C21" t="b">
        <f t="shared" si="1"/>
        <v>1</v>
      </c>
      <c r="D21" t="s">
        <v>31</v>
      </c>
      <c r="E21" t="s">
        <v>33</v>
      </c>
    </row>
    <row r="22" spans="1:5" x14ac:dyDescent="0.25">
      <c r="A22">
        <v>5.1100001335144043</v>
      </c>
      <c r="B22" t="s">
        <v>2</v>
      </c>
      <c r="C22" t="b">
        <f t="shared" si="1"/>
        <v>1</v>
      </c>
      <c r="D22" t="s">
        <v>35</v>
      </c>
      <c r="E22" t="s">
        <v>37</v>
      </c>
    </row>
    <row r="23" spans="1:5" x14ac:dyDescent="0.25">
      <c r="A23">
        <v>5.119999885559082</v>
      </c>
      <c r="B23" t="s">
        <v>1</v>
      </c>
      <c r="C23" t="b">
        <f t="shared" si="1"/>
        <v>1</v>
      </c>
      <c r="D23" t="s">
        <v>35</v>
      </c>
      <c r="E23" t="s">
        <v>38</v>
      </c>
    </row>
    <row r="24" spans="1:5" x14ac:dyDescent="0.25">
      <c r="A24">
        <v>5.25</v>
      </c>
      <c r="B24" t="s">
        <v>3</v>
      </c>
      <c r="C24" t="b">
        <f t="shared" si="1"/>
        <v>1</v>
      </c>
      <c r="D24" t="s">
        <v>35</v>
      </c>
      <c r="E24" t="s">
        <v>40</v>
      </c>
    </row>
    <row r="25" spans="1:5" x14ac:dyDescent="0.25">
      <c r="A25">
        <v>5.3000001907348633</v>
      </c>
      <c r="B25" t="s">
        <v>211</v>
      </c>
      <c r="C25" t="b">
        <f t="shared" si="1"/>
        <v>1</v>
      </c>
      <c r="D25" t="s">
        <v>35</v>
      </c>
      <c r="E25" t="str">
        <f>"DELETE FROM 'Heat generation - Term' WHERE NOT (COUNTRY IN ( " &amp; C_filter &amp; "));"</f>
        <v>DELETE FROM 'Heat generation - Term' WHERE NOT (COUNTRY IN ( 'DENMARK' , 'NORWAY' , 'GERMANY' , 'SWEDEN' , 'FINLAND' , 'NETHERLANDS' , 'UNITED_KINGDOM' , 'ESTONIA' , 'LATVIA' , 'LITHUANIA' , 'POLAND'));</v>
      </c>
    </row>
    <row r="26" spans="1:5" x14ac:dyDescent="0.25">
      <c r="A26">
        <v>5.320000171661377</v>
      </c>
      <c r="B26" t="s">
        <v>2</v>
      </c>
      <c r="C26" t="b">
        <f t="shared" si="1"/>
        <v>1</v>
      </c>
      <c r="D26" t="s">
        <v>36</v>
      </c>
      <c r="E26" t="s">
        <v>41</v>
      </c>
    </row>
    <row r="27" spans="1:5" x14ac:dyDescent="0.25">
      <c r="A27">
        <v>5.320000171661377</v>
      </c>
      <c r="B27" t="s">
        <v>1</v>
      </c>
      <c r="C27" t="b">
        <f t="shared" si="1"/>
        <v>1</v>
      </c>
      <c r="D27" t="s">
        <v>36</v>
      </c>
      <c r="E27" t="s">
        <v>42</v>
      </c>
    </row>
    <row r="28" spans="1:5" x14ac:dyDescent="0.25">
      <c r="A28">
        <v>5.369999885559082</v>
      </c>
      <c r="B28" t="s">
        <v>3</v>
      </c>
      <c r="C28" t="b">
        <f t="shared" si="1"/>
        <v>1</v>
      </c>
      <c r="D28" t="s">
        <v>36</v>
      </c>
      <c r="E28" t="s">
        <v>43</v>
      </c>
    </row>
    <row r="29" spans="1:5" x14ac:dyDescent="0.25">
      <c r="A29">
        <v>5.4200000762939453</v>
      </c>
      <c r="B29" t="s">
        <v>2</v>
      </c>
      <c r="C29" t="b">
        <f t="shared" ref="C29:C45" si="2">VGF_T</f>
        <v>1</v>
      </c>
      <c r="D29" t="s">
        <v>52</v>
      </c>
      <c r="E29" t="s">
        <v>53</v>
      </c>
    </row>
    <row r="30" spans="1:5" x14ac:dyDescent="0.25">
      <c r="A30">
        <v>5.440000057220459</v>
      </c>
      <c r="B30" t="s">
        <v>1</v>
      </c>
      <c r="C30" t="b">
        <f t="shared" si="2"/>
        <v>1</v>
      </c>
      <c r="D30" t="s">
        <v>52</v>
      </c>
      <c r="E30" t="s">
        <v>63</v>
      </c>
    </row>
    <row r="31" spans="1:5" x14ac:dyDescent="0.25">
      <c r="A31">
        <v>5.5999999046325684</v>
      </c>
      <c r="B31" t="s">
        <v>3</v>
      </c>
      <c r="C31" t="b">
        <f t="shared" si="2"/>
        <v>1</v>
      </c>
      <c r="D31" t="s">
        <v>52</v>
      </c>
      <c r="E31" t="s">
        <v>64</v>
      </c>
    </row>
    <row r="32" spans="1:5" x14ac:dyDescent="0.25">
      <c r="A32">
        <v>5.6700000762939453</v>
      </c>
      <c r="B32" t="s">
        <v>2</v>
      </c>
      <c r="C32" t="b">
        <f t="shared" si="2"/>
        <v>1</v>
      </c>
      <c r="D32" t="s">
        <v>54</v>
      </c>
      <c r="E32" t="s">
        <v>56</v>
      </c>
    </row>
    <row r="33" spans="1:5" x14ac:dyDescent="0.25">
      <c r="A33">
        <v>5.679999828338623</v>
      </c>
      <c r="B33" t="s">
        <v>1</v>
      </c>
      <c r="C33" t="b">
        <f t="shared" si="2"/>
        <v>1</v>
      </c>
      <c r="D33" t="s">
        <v>54</v>
      </c>
      <c r="E33" t="s">
        <v>57</v>
      </c>
    </row>
    <row r="34" spans="1:5" x14ac:dyDescent="0.25">
      <c r="A34">
        <v>5.929999828338623</v>
      </c>
      <c r="B34" t="s">
        <v>3</v>
      </c>
      <c r="C34" t="b">
        <f t="shared" si="2"/>
        <v>1</v>
      </c>
      <c r="D34" t="s">
        <v>54</v>
      </c>
      <c r="E34" t="s">
        <v>65</v>
      </c>
    </row>
    <row r="35" spans="1:5" x14ac:dyDescent="0.25">
      <c r="A35">
        <v>6</v>
      </c>
      <c r="B35" t="s">
        <v>211</v>
      </c>
      <c r="C35" t="b">
        <f t="shared" si="2"/>
        <v>1</v>
      </c>
      <c r="D35" t="s">
        <v>54</v>
      </c>
      <c r="E35" t="str">
        <f>"DELETE FROM 'Fuel consumption - Term' WHERE NOT (COUNTRY IN ( " &amp; C_filter &amp; "));"</f>
        <v>DELETE FROM 'Fuel consumption - Term' WHERE NOT (COUNTRY IN ( 'DENMARK' , 'NORWAY' , 'GERMANY' , 'SWEDEN' , 'FINLAND' , 'NETHERLANDS' , 'UNITED_KINGDOM' , 'ESTONIA' , 'LATVIA' , 'LITHUANIA' , 'POLAND'));</v>
      </c>
    </row>
    <row r="36" spans="1:5" x14ac:dyDescent="0.25">
      <c r="A36">
        <v>6.0199999809265137</v>
      </c>
      <c r="B36" t="s">
        <v>2</v>
      </c>
      <c r="C36" t="b">
        <f t="shared" si="2"/>
        <v>1</v>
      </c>
      <c r="D36" t="s">
        <v>55</v>
      </c>
      <c r="E36" t="s">
        <v>58</v>
      </c>
    </row>
    <row r="37" spans="1:5" x14ac:dyDescent="0.25">
      <c r="A37">
        <v>6.119999885559082</v>
      </c>
      <c r="B37" t="s">
        <v>1</v>
      </c>
      <c r="C37" t="b">
        <f t="shared" si="2"/>
        <v>1</v>
      </c>
      <c r="D37" t="s">
        <v>55</v>
      </c>
      <c r="E37" t="s">
        <v>59</v>
      </c>
    </row>
    <row r="38" spans="1:5" x14ac:dyDescent="0.25">
      <c r="A38">
        <v>6.190000057220459</v>
      </c>
      <c r="B38" t="s">
        <v>3</v>
      </c>
      <c r="C38" t="b">
        <f t="shared" si="2"/>
        <v>1</v>
      </c>
      <c r="D38" t="s">
        <v>55</v>
      </c>
      <c r="E38" t="s">
        <v>60</v>
      </c>
    </row>
    <row r="39" spans="1:5" x14ac:dyDescent="0.25">
      <c r="A39">
        <v>6.2300000190734863</v>
      </c>
      <c r="B39" t="s">
        <v>2</v>
      </c>
      <c r="C39" t="b">
        <f t="shared" si="2"/>
        <v>1</v>
      </c>
      <c r="D39" t="s">
        <v>62</v>
      </c>
      <c r="E39" t="s">
        <v>61</v>
      </c>
    </row>
    <row r="40" spans="1:5" x14ac:dyDescent="0.25">
      <c r="A40">
        <v>6.2399997711181641</v>
      </c>
      <c r="B40" t="s">
        <v>1</v>
      </c>
      <c r="C40" t="b">
        <f t="shared" si="2"/>
        <v>1</v>
      </c>
      <c r="D40" t="s">
        <v>62</v>
      </c>
      <c r="E40" t="s">
        <v>66</v>
      </c>
    </row>
    <row r="41" spans="1:5" x14ac:dyDescent="0.25">
      <c r="A41">
        <v>6.369999885559082</v>
      </c>
      <c r="B41" t="s">
        <v>3</v>
      </c>
      <c r="C41" t="b">
        <f t="shared" si="2"/>
        <v>1</v>
      </c>
      <c r="D41" t="s">
        <v>62</v>
      </c>
      <c r="E41" t="s">
        <v>247</v>
      </c>
    </row>
    <row r="42" spans="1:5" x14ac:dyDescent="0.25">
      <c r="A42">
        <v>6.3899998664855957</v>
      </c>
      <c r="B42" t="s">
        <v>211</v>
      </c>
      <c r="C42" t="b">
        <f t="shared" si="2"/>
        <v>1</v>
      </c>
      <c r="D42" t="s">
        <v>62</v>
      </c>
      <c r="E42" t="str">
        <f>"DELETE FROM 'Emissions - Term' WHERE NOT (COUNTRY IN ( " &amp; C_filter &amp; "));"</f>
        <v>DELETE FROM 'Emissions - Term' WHERE NOT (COUNTRY IN ( 'DENMARK' , 'NORWAY' , 'GERMANY' , 'SWEDEN' , 'FINLAND' , 'NETHERLANDS' , 'UNITED_KINGDOM' , 'ESTONIA' , 'LATVIA' , 'LITHUANIA' , 'POLAND'));</v>
      </c>
    </row>
    <row r="43" spans="1:5" x14ac:dyDescent="0.25">
      <c r="A43">
        <v>6.4099998474121094</v>
      </c>
      <c r="B43" t="s">
        <v>2</v>
      </c>
      <c r="C43" t="b">
        <f t="shared" si="2"/>
        <v>1</v>
      </c>
      <c r="D43" t="s">
        <v>67</v>
      </c>
      <c r="E43" t="s">
        <v>68</v>
      </c>
    </row>
    <row r="44" spans="1:5" x14ac:dyDescent="0.25">
      <c r="A44">
        <v>6.429999828338623</v>
      </c>
      <c r="B44" t="s">
        <v>1</v>
      </c>
      <c r="C44" t="b">
        <f t="shared" si="2"/>
        <v>1</v>
      </c>
      <c r="D44" t="s">
        <v>67</v>
      </c>
      <c r="E44" t="s">
        <v>69</v>
      </c>
    </row>
    <row r="45" spans="1:5" x14ac:dyDescent="0.25">
      <c r="A45">
        <v>6.4499998092651367</v>
      </c>
      <c r="B45" t="s">
        <v>3</v>
      </c>
      <c r="C45" t="b">
        <f t="shared" si="2"/>
        <v>1</v>
      </c>
      <c r="D45" t="s">
        <v>67</v>
      </c>
      <c r="E45" t="s">
        <v>70</v>
      </c>
    </row>
    <row r="46" spans="1:5" x14ac:dyDescent="0.25">
      <c r="A46">
        <v>6.4600000381469727</v>
      </c>
      <c r="B46" t="s">
        <v>2</v>
      </c>
      <c r="C46" t="b">
        <f t="shared" ref="C46:C52" si="3">STO</f>
        <v>1</v>
      </c>
      <c r="D46" t="s">
        <v>89</v>
      </c>
      <c r="E46" t="s">
        <v>90</v>
      </c>
    </row>
    <row r="47" spans="1:5" x14ac:dyDescent="0.25">
      <c r="A47">
        <v>6.4699997901916504</v>
      </c>
      <c r="B47" t="s">
        <v>1</v>
      </c>
      <c r="C47" t="b">
        <f t="shared" si="3"/>
        <v>1</v>
      </c>
      <c r="D47" t="s">
        <v>89</v>
      </c>
      <c r="E47" t="s">
        <v>93</v>
      </c>
    </row>
    <row r="48" spans="1:5" x14ac:dyDescent="0.25">
      <c r="A48">
        <v>6.5100002288818359</v>
      </c>
      <c r="B48" t="s">
        <v>3</v>
      </c>
      <c r="C48" t="b">
        <f t="shared" si="3"/>
        <v>1</v>
      </c>
      <c r="D48" t="s">
        <v>89</v>
      </c>
      <c r="E48" s="6" t="s">
        <v>94</v>
      </c>
    </row>
    <row r="49" spans="1:5" x14ac:dyDescent="0.25">
      <c r="A49">
        <v>6.5399999618530273</v>
      </c>
      <c r="B49" t="s">
        <v>211</v>
      </c>
      <c r="C49" t="b">
        <f t="shared" si="3"/>
        <v>1</v>
      </c>
      <c r="D49" t="s">
        <v>89</v>
      </c>
      <c r="E49" s="6" t="str">
        <f>"DELETE FROM 'Heat Storage volume' WHERE NOT (COUNTRY IN ( " &amp; C_filter &amp; "));"</f>
        <v>DELETE FROM 'Heat Storage volume' WHERE NOT (COUNTRY IN ( 'DENMARK' , 'NORWAY' , 'GERMANY' , 'SWEDEN' , 'FINLAND' , 'NETHERLANDS' , 'UNITED_KINGDOM' , 'ESTONIA' , 'LATVIA' , 'LITHUANIA' , 'POLAND'));</v>
      </c>
    </row>
    <row r="50" spans="1:5" x14ac:dyDescent="0.25">
      <c r="A50">
        <v>6.559999942779541</v>
      </c>
      <c r="B50" t="s">
        <v>2</v>
      </c>
      <c r="C50" t="b">
        <f t="shared" si="3"/>
        <v>1</v>
      </c>
      <c r="D50" t="s">
        <v>91</v>
      </c>
      <c r="E50" t="s">
        <v>92</v>
      </c>
    </row>
    <row r="51" spans="1:5" x14ac:dyDescent="0.25">
      <c r="A51">
        <v>6.570000171661377</v>
      </c>
      <c r="B51" t="s">
        <v>1</v>
      </c>
      <c r="C51" t="b">
        <f t="shared" si="3"/>
        <v>1</v>
      </c>
      <c r="D51" t="s">
        <v>91</v>
      </c>
      <c r="E51" t="s">
        <v>95</v>
      </c>
    </row>
    <row r="52" spans="1:5" x14ac:dyDescent="0.25">
      <c r="A52">
        <v>6.5799999237060547</v>
      </c>
      <c r="B52" t="s">
        <v>3</v>
      </c>
      <c r="C52" t="b">
        <f t="shared" si="3"/>
        <v>1</v>
      </c>
      <c r="D52" t="s">
        <v>91</v>
      </c>
      <c r="E52" s="6" t="s">
        <v>100</v>
      </c>
    </row>
    <row r="53" spans="1:5" x14ac:dyDescent="0.25">
      <c r="A53">
        <v>6.5999999046325684</v>
      </c>
      <c r="B53" t="s">
        <v>2</v>
      </c>
      <c r="C53" t="b">
        <f t="shared" ref="C53:C60" si="4">IGK</f>
        <v>1</v>
      </c>
      <c r="D53" t="s">
        <v>117</v>
      </c>
      <c r="E53" s="6" t="s">
        <v>118</v>
      </c>
    </row>
    <row r="54" spans="1:5" x14ac:dyDescent="0.25">
      <c r="A54">
        <v>6.619999885559082</v>
      </c>
      <c r="B54" t="s">
        <v>1</v>
      </c>
      <c r="C54" t="b">
        <f t="shared" si="4"/>
        <v>1</v>
      </c>
      <c r="D54" t="s">
        <v>117</v>
      </c>
      <c r="E54" s="6" t="s">
        <v>344</v>
      </c>
    </row>
    <row r="55" spans="1:5" x14ac:dyDescent="0.25">
      <c r="A55">
        <v>6.7699999809265137</v>
      </c>
      <c r="B55" t="s">
        <v>3</v>
      </c>
      <c r="C55" t="b">
        <f t="shared" si="4"/>
        <v>1</v>
      </c>
      <c r="D55" t="s">
        <v>117</v>
      </c>
      <c r="E55" s="6" t="s">
        <v>119</v>
      </c>
    </row>
    <row r="56" spans="1:5" x14ac:dyDescent="0.25">
      <c r="A56">
        <v>7.5500001907348633</v>
      </c>
      <c r="B56" t="s">
        <v>211</v>
      </c>
      <c r="C56" t="b">
        <f t="shared" si="4"/>
        <v>1</v>
      </c>
      <c r="D56" t="s">
        <v>117</v>
      </c>
      <c r="E56" t="s">
        <v>345</v>
      </c>
    </row>
    <row r="57" spans="1:5" x14ac:dyDescent="0.25">
      <c r="A57">
        <v>11.569999694824219</v>
      </c>
      <c r="B57" t="s">
        <v>211</v>
      </c>
      <c r="C57" t="b">
        <f t="shared" si="4"/>
        <v>1</v>
      </c>
      <c r="D57" t="s">
        <v>117</v>
      </c>
      <c r="E57" t="s">
        <v>348</v>
      </c>
    </row>
    <row r="58" spans="1:5" x14ac:dyDescent="0.25">
      <c r="A58">
        <v>11.659999847412109</v>
      </c>
      <c r="B58" t="s">
        <v>2</v>
      </c>
      <c r="C58" t="b">
        <f t="shared" si="4"/>
        <v>1</v>
      </c>
      <c r="D58" t="s">
        <v>120</v>
      </c>
      <c r="E58" s="6" t="s">
        <v>121</v>
      </c>
    </row>
    <row r="59" spans="1:5" x14ac:dyDescent="0.25">
      <c r="A59">
        <v>11.670000076293945</v>
      </c>
      <c r="B59" t="s">
        <v>1</v>
      </c>
      <c r="C59" t="b">
        <f t="shared" si="4"/>
        <v>1</v>
      </c>
      <c r="D59" t="s">
        <v>120</v>
      </c>
      <c r="E59" s="6" t="s">
        <v>166</v>
      </c>
    </row>
    <row r="60" spans="1:5" x14ac:dyDescent="0.25">
      <c r="A60">
        <v>11.720000267028809</v>
      </c>
      <c r="B60" t="s">
        <v>3</v>
      </c>
      <c r="C60" t="b">
        <f t="shared" si="4"/>
        <v>1</v>
      </c>
      <c r="D60" t="s">
        <v>120</v>
      </c>
      <c r="E60" s="6" t="s">
        <v>167</v>
      </c>
    </row>
    <row r="61" spans="1:5" x14ac:dyDescent="0.25">
      <c r="A61">
        <v>11.729999542236328</v>
      </c>
      <c r="B61" t="s">
        <v>2</v>
      </c>
      <c r="C61" t="b">
        <f t="shared" ref="C61:C72" si="5">DE</f>
        <v>1</v>
      </c>
      <c r="D61" t="s">
        <v>103</v>
      </c>
      <c r="E61" s="6" t="s">
        <v>101</v>
      </c>
    </row>
    <row r="62" spans="1:5" x14ac:dyDescent="0.25">
      <c r="A62">
        <v>11.739999771118164</v>
      </c>
      <c r="B62" t="s">
        <v>1</v>
      </c>
      <c r="C62" t="b">
        <f t="shared" si="5"/>
        <v>1</v>
      </c>
      <c r="D62" t="s">
        <v>103</v>
      </c>
      <c r="E62" s="6" t="s">
        <v>249</v>
      </c>
    </row>
    <row r="63" spans="1:5" x14ac:dyDescent="0.25">
      <c r="A63">
        <v>11.770000457763672</v>
      </c>
      <c r="B63" t="s">
        <v>3</v>
      </c>
      <c r="C63" t="b">
        <f t="shared" si="5"/>
        <v>1</v>
      </c>
      <c r="D63" t="s">
        <v>103</v>
      </c>
      <c r="E63" s="6" t="s">
        <v>250</v>
      </c>
    </row>
    <row r="64" spans="1:5" x14ac:dyDescent="0.25">
      <c r="A64">
        <v>11.779999732971191</v>
      </c>
      <c r="B64" t="s">
        <v>2</v>
      </c>
      <c r="C64" t="b">
        <f t="shared" si="5"/>
        <v>1</v>
      </c>
      <c r="D64" t="s">
        <v>105</v>
      </c>
      <c r="E64" s="6" t="s">
        <v>108</v>
      </c>
    </row>
    <row r="65" spans="1:5" x14ac:dyDescent="0.25">
      <c r="A65">
        <v>11.789999961853027</v>
      </c>
      <c r="B65" t="s">
        <v>1</v>
      </c>
      <c r="C65" t="b">
        <f t="shared" si="5"/>
        <v>1</v>
      </c>
      <c r="D65" t="s">
        <v>105</v>
      </c>
      <c r="E65" s="6" t="s">
        <v>251</v>
      </c>
    </row>
    <row r="66" spans="1:5" x14ac:dyDescent="0.25">
      <c r="A66">
        <v>11.800000190734863</v>
      </c>
      <c r="B66" t="s">
        <v>3</v>
      </c>
      <c r="C66" t="b">
        <f t="shared" si="5"/>
        <v>1</v>
      </c>
      <c r="D66" t="s">
        <v>105</v>
      </c>
      <c r="E66" s="6" t="s">
        <v>252</v>
      </c>
    </row>
    <row r="67" spans="1:5" x14ac:dyDescent="0.25">
      <c r="A67">
        <v>11.819999694824219</v>
      </c>
      <c r="B67" t="s">
        <v>2</v>
      </c>
      <c r="C67" t="b">
        <f t="shared" si="5"/>
        <v>1</v>
      </c>
      <c r="D67" t="s">
        <v>102</v>
      </c>
      <c r="E67" s="6" t="s">
        <v>104</v>
      </c>
    </row>
    <row r="68" spans="1:5" x14ac:dyDescent="0.25">
      <c r="A68">
        <v>11.829999923706055</v>
      </c>
      <c r="B68" t="s">
        <v>1</v>
      </c>
      <c r="C68" t="b">
        <f t="shared" si="5"/>
        <v>1</v>
      </c>
      <c r="D68" t="s">
        <v>102</v>
      </c>
      <c r="E68" s="6" t="s">
        <v>253</v>
      </c>
    </row>
    <row r="69" spans="1:5" x14ac:dyDescent="0.25">
      <c r="A69">
        <v>11.899999618530273</v>
      </c>
      <c r="B69" t="s">
        <v>3</v>
      </c>
      <c r="C69" t="b">
        <f t="shared" si="5"/>
        <v>1</v>
      </c>
      <c r="D69" t="s">
        <v>102</v>
      </c>
      <c r="E69" s="6" t="s">
        <v>254</v>
      </c>
    </row>
    <row r="70" spans="1:5" x14ac:dyDescent="0.25">
      <c r="A70">
        <v>11.909999847412109</v>
      </c>
      <c r="B70" t="s">
        <v>2</v>
      </c>
      <c r="C70" t="b">
        <f t="shared" si="5"/>
        <v>1</v>
      </c>
      <c r="D70" t="s">
        <v>106</v>
      </c>
      <c r="E70" s="8" t="s">
        <v>107</v>
      </c>
    </row>
    <row r="71" spans="1:5" x14ac:dyDescent="0.25">
      <c r="A71">
        <v>11.930000305175781</v>
      </c>
      <c r="B71" t="s">
        <v>1</v>
      </c>
      <c r="C71" t="b">
        <f t="shared" si="5"/>
        <v>1</v>
      </c>
      <c r="D71" t="s">
        <v>106</v>
      </c>
      <c r="E71" s="8" t="s">
        <v>255</v>
      </c>
    </row>
    <row r="72" spans="1:5" x14ac:dyDescent="0.25">
      <c r="A72">
        <v>11.939999580383301</v>
      </c>
      <c r="B72" t="s">
        <v>3</v>
      </c>
      <c r="C72" t="b">
        <f t="shared" si="5"/>
        <v>1</v>
      </c>
      <c r="D72" t="s">
        <v>106</v>
      </c>
      <c r="E72" s="8" t="s">
        <v>256</v>
      </c>
    </row>
    <row r="73" spans="1:5" x14ac:dyDescent="0.25">
      <c r="A73">
        <v>11.949999809265137</v>
      </c>
      <c r="B73" t="s">
        <v>2</v>
      </c>
      <c r="C73" t="b">
        <f t="shared" ref="C73:C81" si="6">VX_T</f>
        <v>1</v>
      </c>
      <c r="D73" t="s">
        <v>122</v>
      </c>
      <c r="E73" s="6" t="s">
        <v>125</v>
      </c>
    </row>
    <row r="74" spans="1:5" x14ac:dyDescent="0.25">
      <c r="A74">
        <v>11.960000038146973</v>
      </c>
      <c r="B74" t="s">
        <v>1</v>
      </c>
      <c r="C74" t="b">
        <f t="shared" si="6"/>
        <v>1</v>
      </c>
      <c r="D74" t="s">
        <v>122</v>
      </c>
      <c r="E74" s="6" t="s">
        <v>147</v>
      </c>
    </row>
    <row r="75" spans="1:5" x14ac:dyDescent="0.25">
      <c r="A75">
        <v>12.029999732971191</v>
      </c>
      <c r="B75" t="s">
        <v>3</v>
      </c>
      <c r="C75" t="b">
        <f t="shared" si="6"/>
        <v>1</v>
      </c>
      <c r="D75" t="s">
        <v>122</v>
      </c>
      <c r="E75" s="6" t="s">
        <v>148</v>
      </c>
    </row>
    <row r="76" spans="1:5" x14ac:dyDescent="0.25">
      <c r="A76">
        <v>12.050000190734863</v>
      </c>
      <c r="B76" t="s">
        <v>2</v>
      </c>
      <c r="C76" t="b">
        <f t="shared" si="6"/>
        <v>1</v>
      </c>
      <c r="D76" t="s">
        <v>123</v>
      </c>
      <c r="E76" s="6" t="s">
        <v>124</v>
      </c>
    </row>
    <row r="77" spans="1:5" x14ac:dyDescent="0.25">
      <c r="A77">
        <v>12.060000419616699</v>
      </c>
      <c r="B77" t="s">
        <v>1</v>
      </c>
      <c r="C77" t="b">
        <f t="shared" si="6"/>
        <v>1</v>
      </c>
      <c r="D77" t="s">
        <v>123</v>
      </c>
      <c r="E77" s="6" t="s">
        <v>150</v>
      </c>
    </row>
    <row r="78" spans="1:5" x14ac:dyDescent="0.25">
      <c r="A78">
        <v>12.119999885559082</v>
      </c>
      <c r="B78" t="s">
        <v>3</v>
      </c>
      <c r="C78" t="b">
        <f t="shared" si="6"/>
        <v>1</v>
      </c>
      <c r="D78" t="s">
        <v>123</v>
      </c>
      <c r="E78" s="6" t="s">
        <v>151</v>
      </c>
    </row>
    <row r="79" spans="1:5" x14ac:dyDescent="0.25">
      <c r="A79">
        <v>12.140000343322754</v>
      </c>
      <c r="B79" t="s">
        <v>2</v>
      </c>
      <c r="C79" t="b">
        <f t="shared" si="6"/>
        <v>1</v>
      </c>
      <c r="D79" t="s">
        <v>174</v>
      </c>
      <c r="E79" t="s">
        <v>173</v>
      </c>
    </row>
    <row r="80" spans="1:5" x14ac:dyDescent="0.25">
      <c r="A80">
        <v>12.149999618530273</v>
      </c>
      <c r="B80" t="s">
        <v>1</v>
      </c>
      <c r="C80" t="b">
        <f t="shared" si="6"/>
        <v>1</v>
      </c>
      <c r="D80" t="s">
        <v>174</v>
      </c>
      <c r="E80" t="s">
        <v>170</v>
      </c>
    </row>
    <row r="81" spans="1:5" x14ac:dyDescent="0.25">
      <c r="A81">
        <v>12.25</v>
      </c>
      <c r="B81" t="s">
        <v>3</v>
      </c>
      <c r="C81" t="b">
        <f t="shared" si="6"/>
        <v>1</v>
      </c>
      <c r="D81" t="s">
        <v>174</v>
      </c>
      <c r="E81" t="s">
        <v>178</v>
      </c>
    </row>
    <row r="82" spans="1:5" x14ac:dyDescent="0.25">
      <c r="A82">
        <v>12.270000457763672</v>
      </c>
      <c r="B82" t="s">
        <v>2</v>
      </c>
      <c r="C82" t="b">
        <f>VGKN</f>
        <v>1</v>
      </c>
      <c r="D82" t="s">
        <v>181</v>
      </c>
      <c r="E82" t="s">
        <v>182</v>
      </c>
    </row>
    <row r="83" spans="1:5" x14ac:dyDescent="0.25">
      <c r="A83">
        <v>12.279999732971191</v>
      </c>
      <c r="B83" t="s">
        <v>1</v>
      </c>
      <c r="C83" t="b">
        <f>VGKN</f>
        <v>1</v>
      </c>
      <c r="D83" t="s">
        <v>181</v>
      </c>
      <c r="E83" t="s">
        <v>257</v>
      </c>
    </row>
    <row r="84" spans="1:5" x14ac:dyDescent="0.25">
      <c r="A84">
        <v>12.300000190734863</v>
      </c>
      <c r="B84" t="s">
        <v>3</v>
      </c>
      <c r="C84" t="b">
        <f>VGKN</f>
        <v>1</v>
      </c>
      <c r="D84" t="s">
        <v>181</v>
      </c>
      <c r="E84" t="s">
        <v>347</v>
      </c>
    </row>
    <row r="85" spans="1:5" x14ac:dyDescent="0.25">
      <c r="A85">
        <v>12.340000152587891</v>
      </c>
      <c r="B85" t="s">
        <v>211</v>
      </c>
      <c r="C85" t="b">
        <f>VGKN</f>
        <v>1</v>
      </c>
      <c r="D85" t="s">
        <v>181</v>
      </c>
      <c r="E85" t="s">
        <v>346</v>
      </c>
    </row>
    <row r="86" spans="1:5" x14ac:dyDescent="0.25">
      <c r="A86">
        <v>12.409999847412109</v>
      </c>
      <c r="B86" t="s">
        <v>211</v>
      </c>
      <c r="C86" t="b">
        <f>VGKN</f>
        <v>1</v>
      </c>
      <c r="D86" t="s">
        <v>181</v>
      </c>
      <c r="E86" t="s">
        <v>349</v>
      </c>
    </row>
    <row r="89" spans="1:5" x14ac:dyDescent="0.25">
      <c r="B89" t="s">
        <v>158</v>
      </c>
      <c r="E89" s="6"/>
    </row>
    <row r="90" spans="1:5" x14ac:dyDescent="0.25">
      <c r="B90" t="s">
        <v>159</v>
      </c>
      <c r="E90" s="6"/>
    </row>
    <row r="91" spans="1:5" x14ac:dyDescent="0.25">
      <c r="E91" s="6"/>
    </row>
    <row r="92" spans="1:5" x14ac:dyDescent="0.25">
      <c r="E92" s="6"/>
    </row>
    <row r="93" spans="1:5" x14ac:dyDescent="0.25">
      <c r="E93" s="6"/>
    </row>
    <row r="94" spans="1:5" x14ac:dyDescent="0.25">
      <c r="E94" s="6"/>
    </row>
    <row r="95" spans="1:5" x14ac:dyDescent="0.25">
      <c r="E95" s="6"/>
    </row>
    <row r="96" spans="1:5" x14ac:dyDescent="0.25">
      <c r="E96" s="6"/>
    </row>
    <row r="97" spans="5:5" x14ac:dyDescent="0.25">
      <c r="E97" s="6"/>
    </row>
    <row r="98" spans="5:5" x14ac:dyDescent="0.25">
      <c r="E98" s="6"/>
    </row>
    <row r="99" spans="5:5" x14ac:dyDescent="0.25">
      <c r="E99" s="6"/>
    </row>
    <row r="100" spans="5:5" x14ac:dyDescent="0.25">
      <c r="E100" s="6"/>
    </row>
    <row r="101" spans="5:5" x14ac:dyDescent="0.25">
      <c r="E101" s="6"/>
    </row>
    <row r="102" spans="5:5" x14ac:dyDescent="0.25">
      <c r="E102" s="6"/>
    </row>
    <row r="103" spans="5:5" x14ac:dyDescent="0.25">
      <c r="E103" s="6"/>
    </row>
    <row r="104" spans="5:5" x14ac:dyDescent="0.25">
      <c r="E104" s="6"/>
    </row>
    <row r="105" spans="5:5" x14ac:dyDescent="0.25">
      <c r="E105" s="6"/>
    </row>
    <row r="106" spans="5:5" x14ac:dyDescent="0.25">
      <c r="E106" s="6"/>
    </row>
    <row r="107" spans="5:5" x14ac:dyDescent="0.25">
      <c r="E107" s="6"/>
    </row>
    <row r="108" spans="5:5" x14ac:dyDescent="0.25">
      <c r="E108" s="6"/>
    </row>
    <row r="109" spans="5:5" x14ac:dyDescent="0.25">
      <c r="E109" s="6"/>
    </row>
    <row r="110" spans="5:5" x14ac:dyDescent="0.25">
      <c r="E110" s="6"/>
    </row>
    <row r="111" spans="5:5" x14ac:dyDescent="0.25">
      <c r="E111" s="6"/>
    </row>
  </sheetData>
  <conditionalFormatting sqref="C10:C24 C26:C34 C36:C41 C43:C48 C1:C8 C50:C81">
    <cfRule type="containsText" dxfId="2" priority="18" operator="containsText" text="TRUE">
      <formula>NOT(ISERROR(SEARCH("TRUE",C1)))</formula>
    </cfRule>
  </conditionalFormatting>
  <conditionalFormatting sqref="C9">
    <cfRule type="colorScale" priority="15">
      <colorScale>
        <cfvo type="min"/>
        <cfvo type="percentile" val="50"/>
        <cfvo type="max"/>
        <color rgb="FFF8696B"/>
        <color rgb="FFFCFCFF"/>
        <color rgb="FF63BE7B"/>
      </colorScale>
    </cfRule>
  </conditionalFormatting>
  <conditionalFormatting sqref="C25">
    <cfRule type="colorScale" priority="10">
      <colorScale>
        <cfvo type="min"/>
        <cfvo type="percentile" val="50"/>
        <cfvo type="max"/>
        <color rgb="FFF8696B"/>
        <color rgb="FFFCFCFF"/>
        <color rgb="FF63BE7B"/>
      </colorScale>
    </cfRule>
  </conditionalFormatting>
  <conditionalFormatting sqref="C35">
    <cfRule type="colorScale" priority="8">
      <colorScale>
        <cfvo type="min"/>
        <cfvo type="percentile" val="50"/>
        <cfvo type="max"/>
        <color rgb="FFF8696B"/>
        <color rgb="FFFCFCFF"/>
        <color rgb="FF63BE7B"/>
      </colorScale>
    </cfRule>
  </conditionalFormatting>
  <conditionalFormatting sqref="C42">
    <cfRule type="colorScale" priority="6">
      <colorScale>
        <cfvo type="min"/>
        <cfvo type="percentile" val="50"/>
        <cfvo type="max"/>
        <color rgb="FFF8696B"/>
        <color rgb="FFFCFCFF"/>
        <color rgb="FF63BE7B"/>
      </colorScale>
    </cfRule>
  </conditionalFormatting>
  <conditionalFormatting sqref="C49">
    <cfRule type="colorScale" priority="4">
      <colorScale>
        <cfvo type="min"/>
        <cfvo type="percentile" val="50"/>
        <cfvo type="max"/>
        <color rgb="FFF8696B"/>
        <color rgb="FFFCFCFF"/>
        <color rgb="FF63BE7B"/>
      </colorScale>
    </cfRule>
  </conditionalFormatting>
  <conditionalFormatting sqref="C82:C86">
    <cfRule type="containsText" dxfId="1" priority="1" operator="containsText" text="TRUE">
      <formula>NOT(ISERROR(SEARCH("TRUE",C82)))</formula>
    </cfRule>
    <cfRule type="colorScale" priority="2">
      <colorScale>
        <cfvo type="min"/>
        <cfvo type="percentile" val="50"/>
        <cfvo type="max"/>
        <color rgb="FFF8696B"/>
        <color rgb="FFFCFCFF"/>
        <color rgb="FF63BE7B"/>
      </colorScale>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14" operator="containsText" text="TRUE" id="{49790E47-265C-4B12-A427-32C13585EFDD}">
            <xm:f>NOT(ISERROR(SEARCH("TRUE",Queries_BB3!C9)))</xm:f>
            <x14:dxf>
              <font>
                <color rgb="FF006100"/>
              </font>
              <fill>
                <patternFill>
                  <bgColor rgb="FFC6EFCE"/>
                </patternFill>
              </fill>
            </x14:dxf>
          </x14:cfRule>
          <xm:sqref>C25 C35 C42 C49 C9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J102"/>
  <sheetViews>
    <sheetView zoomScale="55" zoomScaleNormal="55" workbookViewId="0">
      <selection activeCell="M37" sqref="M37"/>
    </sheetView>
  </sheetViews>
  <sheetFormatPr defaultRowHeight="15" x14ac:dyDescent="0.25"/>
  <cols>
    <col min="2" max="2" width="25.7109375" customWidth="1"/>
    <col min="3" max="3" width="9.7109375" bestFit="1" customWidth="1"/>
    <col min="4" max="4" width="8.140625" customWidth="1"/>
    <col min="5" max="5" width="10" bestFit="1" customWidth="1"/>
    <col min="6" max="9" width="12.5703125" bestFit="1" customWidth="1"/>
    <col min="10" max="26" width="20" bestFit="1" customWidth="1"/>
    <col min="27" max="27" width="12.28515625" customWidth="1"/>
    <col min="28" max="41" width="20" bestFit="1" customWidth="1"/>
    <col min="42" max="42" width="12.28515625" bestFit="1" customWidth="1"/>
    <col min="43" max="44" width="18.42578125" bestFit="1" customWidth="1"/>
    <col min="45" max="45" width="12.85546875" bestFit="1" customWidth="1"/>
    <col min="46" max="77" width="13.28515625" bestFit="1" customWidth="1"/>
    <col min="78" max="78" width="12.5703125" bestFit="1" customWidth="1"/>
  </cols>
  <sheetData>
    <row r="2" spans="2:10" x14ac:dyDescent="0.25">
      <c r="B2" s="1" t="s">
        <v>11</v>
      </c>
      <c r="C2" t="s">
        <v>213</v>
      </c>
    </row>
    <row r="4" spans="2:10" x14ac:dyDescent="0.25">
      <c r="B4" s="1" t="s">
        <v>114</v>
      </c>
      <c r="F4" s="1" t="s">
        <v>242</v>
      </c>
      <c r="G4" s="1" t="s">
        <v>87</v>
      </c>
    </row>
    <row r="5" spans="2:10" x14ac:dyDescent="0.25">
      <c r="F5" t="s">
        <v>238</v>
      </c>
      <c r="G5" t="s">
        <v>238</v>
      </c>
      <c r="H5" t="s">
        <v>238</v>
      </c>
      <c r="I5" t="s">
        <v>0</v>
      </c>
    </row>
    <row r="6" spans="2:10" x14ac:dyDescent="0.25">
      <c r="B6" s="1" t="s">
        <v>180</v>
      </c>
      <c r="C6" s="1" t="s">
        <v>243</v>
      </c>
      <c r="D6" s="1" t="s">
        <v>15</v>
      </c>
      <c r="E6" s="1" t="s">
        <v>88</v>
      </c>
      <c r="F6" t="s">
        <v>214</v>
      </c>
      <c r="G6" t="s">
        <v>308</v>
      </c>
      <c r="H6" t="s">
        <v>260</v>
      </c>
    </row>
    <row r="7" spans="2:10" x14ac:dyDescent="0.25">
      <c r="B7" t="s">
        <v>244</v>
      </c>
      <c r="C7" t="s">
        <v>244</v>
      </c>
      <c r="D7" t="s">
        <v>331</v>
      </c>
      <c r="E7" t="s">
        <v>46</v>
      </c>
      <c r="F7" s="3">
        <v>28.934024296011302</v>
      </c>
      <c r="G7" s="3">
        <v>33.161752116044198</v>
      </c>
      <c r="H7" s="3">
        <v>27.718693075578798</v>
      </c>
      <c r="I7" s="3">
        <v>29.938156495878101</v>
      </c>
      <c r="J7" s="3"/>
    </row>
    <row r="8" spans="2:10" x14ac:dyDescent="0.25">
      <c r="B8" t="s">
        <v>244</v>
      </c>
      <c r="C8" t="s">
        <v>244</v>
      </c>
      <c r="D8" t="s">
        <v>331</v>
      </c>
      <c r="E8" t="s">
        <v>47</v>
      </c>
      <c r="F8" s="3">
        <v>28.934024296011302</v>
      </c>
      <c r="G8" s="3">
        <v>32.368436929031098</v>
      </c>
      <c r="H8" s="3">
        <v>27.718693075578798</v>
      </c>
      <c r="I8" s="3">
        <v>29.673718100207065</v>
      </c>
      <c r="J8" s="3"/>
    </row>
    <row r="9" spans="2:10" x14ac:dyDescent="0.25">
      <c r="B9" t="s">
        <v>244</v>
      </c>
      <c r="C9" t="s">
        <v>244</v>
      </c>
      <c r="D9" t="s">
        <v>331</v>
      </c>
      <c r="E9" t="s">
        <v>48</v>
      </c>
      <c r="F9" s="3">
        <v>28.934024296011302</v>
      </c>
      <c r="G9" s="3">
        <v>30.991511178758898</v>
      </c>
      <c r="H9" s="3">
        <v>27.718693075578798</v>
      </c>
      <c r="I9" s="3">
        <v>29.214742850116334</v>
      </c>
      <c r="J9" s="3"/>
    </row>
    <row r="10" spans="2:10" x14ac:dyDescent="0.25">
      <c r="B10" t="s">
        <v>244</v>
      </c>
      <c r="C10" t="s">
        <v>244</v>
      </c>
      <c r="D10" t="s">
        <v>331</v>
      </c>
      <c r="E10" t="s">
        <v>49</v>
      </c>
      <c r="F10" s="3">
        <v>28.934024296011302</v>
      </c>
      <c r="G10" s="3">
        <v>31.0020301577288</v>
      </c>
      <c r="H10" s="3">
        <v>27.718693075578798</v>
      </c>
      <c r="I10" s="3">
        <v>29.218249176439631</v>
      </c>
      <c r="J10" s="3"/>
    </row>
    <row r="11" spans="2:10" x14ac:dyDescent="0.25">
      <c r="B11" t="s">
        <v>244</v>
      </c>
      <c r="C11" t="s">
        <v>244</v>
      </c>
      <c r="D11" t="s">
        <v>331</v>
      </c>
      <c r="E11" t="s">
        <v>50</v>
      </c>
      <c r="F11" s="3">
        <v>28.934024296011302</v>
      </c>
      <c r="G11" s="3">
        <v>31.316213300128101</v>
      </c>
      <c r="H11" s="3">
        <v>27.718693075578798</v>
      </c>
      <c r="I11" s="3">
        <v>29.322976890572733</v>
      </c>
      <c r="J11" s="3"/>
    </row>
    <row r="12" spans="2:10" x14ac:dyDescent="0.25">
      <c r="B12" t="s">
        <v>244</v>
      </c>
      <c r="C12" t="s">
        <v>244</v>
      </c>
      <c r="D12" t="s">
        <v>331</v>
      </c>
      <c r="E12" t="s">
        <v>51</v>
      </c>
      <c r="F12" s="3">
        <v>28.934024296011302</v>
      </c>
      <c r="G12" s="3">
        <v>33.561046746230303</v>
      </c>
      <c r="H12" s="3">
        <v>28.650756382999599</v>
      </c>
      <c r="I12" s="3">
        <v>30.381942475080404</v>
      </c>
      <c r="J12" s="3"/>
    </row>
    <row r="13" spans="2:10" x14ac:dyDescent="0.25">
      <c r="B13" t="s">
        <v>244</v>
      </c>
      <c r="C13" t="s">
        <v>244</v>
      </c>
      <c r="D13" t="s">
        <v>331</v>
      </c>
      <c r="E13" t="s">
        <v>187</v>
      </c>
      <c r="F13" s="3">
        <v>30.279095693304399</v>
      </c>
      <c r="G13" s="3">
        <v>34.4390044642143</v>
      </c>
      <c r="H13" s="3">
        <v>29.0072714741856</v>
      </c>
      <c r="I13" s="3">
        <v>31.241790543901434</v>
      </c>
      <c r="J13" s="3"/>
    </row>
    <row r="14" spans="2:10" x14ac:dyDescent="0.25">
      <c r="B14" t="s">
        <v>244</v>
      </c>
      <c r="C14" t="s">
        <v>244</v>
      </c>
      <c r="D14" t="s">
        <v>331</v>
      </c>
      <c r="E14" t="s">
        <v>188</v>
      </c>
      <c r="F14" s="3">
        <v>34.227333312781099</v>
      </c>
      <c r="G14" s="3">
        <v>36.5492277819137</v>
      </c>
      <c r="H14" s="3">
        <v>30.784693075578801</v>
      </c>
      <c r="I14" s="3">
        <v>33.853751390091197</v>
      </c>
      <c r="J14" s="3"/>
    </row>
    <row r="15" spans="2:10" x14ac:dyDescent="0.25">
      <c r="B15" t="s">
        <v>244</v>
      </c>
      <c r="C15" t="s">
        <v>244</v>
      </c>
      <c r="D15" t="s">
        <v>331</v>
      </c>
      <c r="E15" t="s">
        <v>189</v>
      </c>
      <c r="F15" s="3">
        <v>34.227333312781099</v>
      </c>
      <c r="G15" s="3">
        <v>36.5492277819137</v>
      </c>
      <c r="H15" s="3">
        <v>30.784693075578801</v>
      </c>
      <c r="I15" s="3">
        <v>33.853751390091197</v>
      </c>
      <c r="J15" s="3"/>
    </row>
    <row r="16" spans="2:10" x14ac:dyDescent="0.25">
      <c r="B16" t="s">
        <v>244</v>
      </c>
      <c r="C16" t="s">
        <v>244</v>
      </c>
      <c r="D16" t="s">
        <v>331</v>
      </c>
      <c r="E16" t="s">
        <v>190</v>
      </c>
      <c r="F16" s="3">
        <v>34.227333312781099</v>
      </c>
      <c r="G16" s="3">
        <v>36.2286530045794</v>
      </c>
      <c r="H16" s="3">
        <v>30.784693075578801</v>
      </c>
      <c r="I16" s="3">
        <v>33.746893130979764</v>
      </c>
      <c r="J16" s="3"/>
    </row>
    <row r="17" spans="2:10" x14ac:dyDescent="0.25">
      <c r="B17" t="s">
        <v>244</v>
      </c>
      <c r="C17" t="s">
        <v>244</v>
      </c>
      <c r="D17" t="s">
        <v>331</v>
      </c>
      <c r="E17" t="s">
        <v>191</v>
      </c>
      <c r="F17" s="3">
        <v>31.067635987034201</v>
      </c>
      <c r="G17" s="3">
        <v>35.335870056881902</v>
      </c>
      <c r="H17" s="3">
        <v>29.762693075578799</v>
      </c>
      <c r="I17" s="3">
        <v>32.055399706498299</v>
      </c>
      <c r="J17" s="3"/>
    </row>
    <row r="18" spans="2:10" x14ac:dyDescent="0.25">
      <c r="B18" t="s">
        <v>244</v>
      </c>
      <c r="C18" t="s">
        <v>244</v>
      </c>
      <c r="D18" t="s">
        <v>331</v>
      </c>
      <c r="E18" t="s">
        <v>227</v>
      </c>
      <c r="F18" s="3">
        <v>30.599481766404502</v>
      </c>
      <c r="G18" s="3">
        <v>34.803403401869403</v>
      </c>
      <c r="H18" s="3">
        <v>29.762693075578799</v>
      </c>
      <c r="I18" s="3">
        <v>31.721859414617569</v>
      </c>
      <c r="J18" s="3"/>
    </row>
    <row r="19" spans="2:10" x14ac:dyDescent="0.25">
      <c r="B19" t="s">
        <v>244</v>
      </c>
      <c r="C19" t="s">
        <v>244</v>
      </c>
      <c r="D19" t="s">
        <v>331</v>
      </c>
      <c r="E19" t="s">
        <v>262</v>
      </c>
      <c r="F19" s="3">
        <v>29.894434746178099</v>
      </c>
      <c r="G19" s="3">
        <v>34.001500926267397</v>
      </c>
      <c r="H19" s="3">
        <v>29.762693075578799</v>
      </c>
      <c r="I19" s="3">
        <v>31.219542916008098</v>
      </c>
      <c r="J19" s="3"/>
    </row>
    <row r="20" spans="2:10" x14ac:dyDescent="0.25">
      <c r="B20" t="s">
        <v>244</v>
      </c>
      <c r="C20" t="s">
        <v>244</v>
      </c>
      <c r="D20" t="s">
        <v>331</v>
      </c>
      <c r="E20" t="s">
        <v>263</v>
      </c>
      <c r="F20" s="3">
        <v>29.894434746178</v>
      </c>
      <c r="G20" s="3">
        <v>34.001500926267397</v>
      </c>
      <c r="H20" s="3">
        <v>29.762693075578799</v>
      </c>
      <c r="I20" s="3">
        <v>31.219542916008066</v>
      </c>
      <c r="J20" s="3"/>
    </row>
    <row r="21" spans="2:10" x14ac:dyDescent="0.25">
      <c r="B21" t="s">
        <v>244</v>
      </c>
      <c r="C21" t="s">
        <v>244</v>
      </c>
      <c r="D21" t="s">
        <v>331</v>
      </c>
      <c r="E21" t="s">
        <v>264</v>
      </c>
      <c r="F21" s="3">
        <v>29.894434746178</v>
      </c>
      <c r="G21" s="3">
        <v>34.001500926267397</v>
      </c>
      <c r="H21" s="3">
        <v>29.762693075578799</v>
      </c>
      <c r="I21" s="3">
        <v>31.219542916008066</v>
      </c>
      <c r="J21" s="3"/>
    </row>
    <row r="22" spans="2:10" x14ac:dyDescent="0.25">
      <c r="B22" t="s">
        <v>244</v>
      </c>
      <c r="C22" t="s">
        <v>244</v>
      </c>
      <c r="D22" t="s">
        <v>331</v>
      </c>
      <c r="E22" t="s">
        <v>265</v>
      </c>
      <c r="F22" s="3">
        <v>30.034320632646899</v>
      </c>
      <c r="G22" s="3">
        <v>34.4810665143074</v>
      </c>
      <c r="H22" s="3">
        <v>29.762693075578799</v>
      </c>
      <c r="I22" s="3">
        <v>31.426026740844364</v>
      </c>
      <c r="J22" s="3"/>
    </row>
    <row r="23" spans="2:10" x14ac:dyDescent="0.25">
      <c r="B23" t="s">
        <v>244</v>
      </c>
      <c r="C23" t="s">
        <v>244</v>
      </c>
      <c r="D23" t="s">
        <v>331</v>
      </c>
      <c r="E23" t="s">
        <v>266</v>
      </c>
      <c r="F23" s="3">
        <v>30.034320632646899</v>
      </c>
      <c r="G23" s="3">
        <v>41.261995159114797</v>
      </c>
      <c r="H23" s="3">
        <v>29.762693075578799</v>
      </c>
      <c r="I23" s="3">
        <v>33.686336289113498</v>
      </c>
      <c r="J23" s="3"/>
    </row>
    <row r="24" spans="2:10" x14ac:dyDescent="0.25">
      <c r="B24" t="s">
        <v>244</v>
      </c>
      <c r="C24" t="s">
        <v>244</v>
      </c>
      <c r="D24" t="s">
        <v>331</v>
      </c>
      <c r="E24" t="s">
        <v>267</v>
      </c>
      <c r="F24" s="3">
        <v>30.034320632646899</v>
      </c>
      <c r="G24" s="3">
        <v>41.261995159114797</v>
      </c>
      <c r="H24" s="3">
        <v>29.762693075578799</v>
      </c>
      <c r="I24" s="3">
        <v>33.686336289113498</v>
      </c>
      <c r="J24" s="3"/>
    </row>
    <row r="25" spans="2:10" x14ac:dyDescent="0.25">
      <c r="B25" t="s">
        <v>244</v>
      </c>
      <c r="C25" t="s">
        <v>244</v>
      </c>
      <c r="D25" t="s">
        <v>331</v>
      </c>
      <c r="E25" t="s">
        <v>268</v>
      </c>
      <c r="F25" s="3">
        <v>28.934024296011302</v>
      </c>
      <c r="G25" s="3">
        <v>35.3388605757942</v>
      </c>
      <c r="H25" s="3">
        <v>28.934024296011302</v>
      </c>
      <c r="I25" s="3">
        <v>31.068969722605601</v>
      </c>
      <c r="J25" s="3"/>
    </row>
    <row r="26" spans="2:10" x14ac:dyDescent="0.25">
      <c r="B26" t="s">
        <v>244</v>
      </c>
      <c r="C26" t="s">
        <v>244</v>
      </c>
      <c r="D26" t="s">
        <v>331</v>
      </c>
      <c r="E26" t="s">
        <v>269</v>
      </c>
      <c r="F26" s="3">
        <v>28.638766286838599</v>
      </c>
      <c r="G26" s="3">
        <v>34.4810665143074</v>
      </c>
      <c r="H26" s="3">
        <v>28.7406930755788</v>
      </c>
      <c r="I26" s="3">
        <v>30.620175292241601</v>
      </c>
      <c r="J26" s="3"/>
    </row>
    <row r="27" spans="2:10" x14ac:dyDescent="0.25">
      <c r="B27" t="s">
        <v>244</v>
      </c>
      <c r="C27" t="s">
        <v>244</v>
      </c>
      <c r="D27" t="s">
        <v>331</v>
      </c>
      <c r="E27" t="s">
        <v>270</v>
      </c>
      <c r="F27" s="3">
        <v>28.347956644251401</v>
      </c>
      <c r="G27" s="3">
        <v>33.607577854979702</v>
      </c>
      <c r="H27" s="3">
        <v>28.7406930755788</v>
      </c>
      <c r="I27" s="3">
        <v>30.232075858269969</v>
      </c>
      <c r="J27" s="3"/>
    </row>
    <row r="28" spans="2:10" x14ac:dyDescent="0.25">
      <c r="B28" t="s">
        <v>244</v>
      </c>
      <c r="C28" t="s">
        <v>244</v>
      </c>
      <c r="D28" t="s">
        <v>331</v>
      </c>
      <c r="E28" t="s">
        <v>271</v>
      </c>
      <c r="F28" s="3">
        <v>27.533481766404499</v>
      </c>
      <c r="G28" s="3">
        <v>33.607577854979702</v>
      </c>
      <c r="H28" s="3">
        <v>28.7406930755788</v>
      </c>
      <c r="I28" s="3">
        <v>29.960584232321001</v>
      </c>
      <c r="J28" s="3"/>
    </row>
    <row r="29" spans="2:10" x14ac:dyDescent="0.25">
      <c r="B29" t="s">
        <v>244</v>
      </c>
      <c r="C29" t="s">
        <v>244</v>
      </c>
      <c r="D29" t="s">
        <v>331</v>
      </c>
      <c r="E29" t="s">
        <v>272</v>
      </c>
      <c r="F29" s="3">
        <v>26.5544057664045</v>
      </c>
      <c r="G29" s="3">
        <v>33.607577854979702</v>
      </c>
      <c r="H29" s="3">
        <v>27.718693075578798</v>
      </c>
      <c r="I29" s="3">
        <v>29.293558898987669</v>
      </c>
      <c r="J29" s="3"/>
    </row>
    <row r="30" spans="2:10" x14ac:dyDescent="0.25">
      <c r="B30" t="s">
        <v>244</v>
      </c>
      <c r="C30" t="s">
        <v>244</v>
      </c>
      <c r="D30" t="s">
        <v>331</v>
      </c>
      <c r="E30" t="s">
        <v>273</v>
      </c>
      <c r="F30" s="3">
        <v>26.1115752944843</v>
      </c>
      <c r="G30" s="3">
        <v>31.280648977772898</v>
      </c>
      <c r="H30" s="3">
        <v>27.2564483240964</v>
      </c>
      <c r="I30" s="3">
        <v>28.216224198784531</v>
      </c>
      <c r="J30" s="3"/>
    </row>
    <row r="31" spans="2:10" x14ac:dyDescent="0.25">
      <c r="B31" t="s">
        <v>0</v>
      </c>
      <c r="F31" s="3">
        <v>29.755784806334315</v>
      </c>
      <c r="G31" s="3">
        <v>34.468301923476943</v>
      </c>
      <c r="H31" s="3">
        <v>29.034931749536195</v>
      </c>
      <c r="I31" s="3">
        <v>31.086339493115823</v>
      </c>
      <c r="J31" s="3"/>
    </row>
    <row r="32" spans="2:10" x14ac:dyDescent="0.25">
      <c r="J32" s="3"/>
    </row>
    <row r="33" spans="10:10" x14ac:dyDescent="0.25">
      <c r="J33" s="3"/>
    </row>
    <row r="34" spans="10:10" x14ac:dyDescent="0.25">
      <c r="J34" s="3"/>
    </row>
    <row r="35" spans="10:10" x14ac:dyDescent="0.25">
      <c r="J35" s="3"/>
    </row>
    <row r="36" spans="10:10" x14ac:dyDescent="0.25">
      <c r="J36" s="3"/>
    </row>
    <row r="37" spans="10:10" x14ac:dyDescent="0.25">
      <c r="J37" s="3"/>
    </row>
    <row r="38" spans="10:10" x14ac:dyDescent="0.25">
      <c r="J38" s="3"/>
    </row>
    <row r="39" spans="10:10" x14ac:dyDescent="0.25">
      <c r="J39" s="3"/>
    </row>
    <row r="40" spans="10:10" x14ac:dyDescent="0.25">
      <c r="J40" s="3"/>
    </row>
    <row r="41" spans="10:10" x14ac:dyDescent="0.25">
      <c r="J41" s="3"/>
    </row>
    <row r="42" spans="10:10" x14ac:dyDescent="0.25">
      <c r="J42" s="3"/>
    </row>
    <row r="43" spans="10:10" x14ac:dyDescent="0.25">
      <c r="J43" s="3"/>
    </row>
    <row r="44" spans="10:10" x14ac:dyDescent="0.25">
      <c r="J44" s="3"/>
    </row>
    <row r="45" spans="10:10" x14ac:dyDescent="0.25">
      <c r="J45" s="3"/>
    </row>
    <row r="46" spans="10:10" x14ac:dyDescent="0.25">
      <c r="J46" s="3"/>
    </row>
    <row r="47" spans="10:10" x14ac:dyDescent="0.25">
      <c r="J47" s="3"/>
    </row>
    <row r="48" spans="10:10" x14ac:dyDescent="0.25">
      <c r="J48" s="3"/>
    </row>
    <row r="49" spans="10:10" x14ac:dyDescent="0.25">
      <c r="J49" s="3"/>
    </row>
    <row r="50" spans="10:10" x14ac:dyDescent="0.25">
      <c r="J50" s="3"/>
    </row>
    <row r="51" spans="10:10" x14ac:dyDescent="0.25">
      <c r="J51" s="3"/>
    </row>
    <row r="52" spans="10:10" x14ac:dyDescent="0.25">
      <c r="J52" s="3"/>
    </row>
    <row r="53" spans="10:10" x14ac:dyDescent="0.25">
      <c r="J53" s="3"/>
    </row>
    <row r="54" spans="10:10" x14ac:dyDescent="0.25">
      <c r="J54" s="3"/>
    </row>
    <row r="55" spans="10:10" x14ac:dyDescent="0.25">
      <c r="J55" s="3"/>
    </row>
    <row r="56" spans="10:10" x14ac:dyDescent="0.25">
      <c r="J56" s="3"/>
    </row>
    <row r="57" spans="10:10" x14ac:dyDescent="0.25">
      <c r="J57" s="3"/>
    </row>
    <row r="58" spans="10:10" x14ac:dyDescent="0.25">
      <c r="J58" s="3"/>
    </row>
    <row r="59" spans="10:10" x14ac:dyDescent="0.25">
      <c r="J59" s="3"/>
    </row>
    <row r="60" spans="10:10" x14ac:dyDescent="0.25">
      <c r="J60" s="3"/>
    </row>
    <row r="61" spans="10:10" x14ac:dyDescent="0.25">
      <c r="J61" s="3"/>
    </row>
    <row r="62" spans="10:10" x14ac:dyDescent="0.25">
      <c r="J62" s="3"/>
    </row>
    <row r="63" spans="10:10" x14ac:dyDescent="0.25">
      <c r="J63" s="3"/>
    </row>
    <row r="64" spans="10:10" x14ac:dyDescent="0.25">
      <c r="J64" s="3"/>
    </row>
    <row r="65" spans="10:10" x14ac:dyDescent="0.25">
      <c r="J65" s="3"/>
    </row>
    <row r="66" spans="10:10" x14ac:dyDescent="0.25">
      <c r="J66" s="3"/>
    </row>
    <row r="67" spans="10:10" x14ac:dyDescent="0.25">
      <c r="J67" s="3"/>
    </row>
    <row r="68" spans="10:10" x14ac:dyDescent="0.25">
      <c r="J68" s="3"/>
    </row>
    <row r="69" spans="10:10" x14ac:dyDescent="0.25">
      <c r="J69" s="3"/>
    </row>
    <row r="70" spans="10:10" x14ac:dyDescent="0.25">
      <c r="J70" s="3"/>
    </row>
    <row r="71" spans="10:10" x14ac:dyDescent="0.25">
      <c r="J71" s="3"/>
    </row>
    <row r="72" spans="10:10" x14ac:dyDescent="0.25">
      <c r="J72" s="3"/>
    </row>
    <row r="73" spans="10:10" x14ac:dyDescent="0.25">
      <c r="J73" s="3"/>
    </row>
    <row r="74" spans="10:10" x14ac:dyDescent="0.25">
      <c r="J74" s="3"/>
    </row>
    <row r="75" spans="10:10" x14ac:dyDescent="0.25">
      <c r="J75" s="3"/>
    </row>
    <row r="76" spans="10:10" x14ac:dyDescent="0.25">
      <c r="J76" s="3"/>
    </row>
    <row r="77" spans="10:10" x14ac:dyDescent="0.25">
      <c r="J77" s="3"/>
    </row>
    <row r="78" spans="10:10" x14ac:dyDescent="0.25">
      <c r="J78" s="3"/>
    </row>
    <row r="79" spans="10:10" x14ac:dyDescent="0.25">
      <c r="J79" s="3"/>
    </row>
    <row r="80" spans="10:10" x14ac:dyDescent="0.25">
      <c r="J80" s="3"/>
    </row>
    <row r="81" spans="10:10" x14ac:dyDescent="0.25">
      <c r="J81" s="3"/>
    </row>
    <row r="82" spans="10:10" x14ac:dyDescent="0.25">
      <c r="J82" s="3"/>
    </row>
    <row r="83" spans="10:10" x14ac:dyDescent="0.25">
      <c r="J83" s="3"/>
    </row>
    <row r="84" spans="10:10" x14ac:dyDescent="0.25">
      <c r="J84" s="3"/>
    </row>
    <row r="85" spans="10:10" x14ac:dyDescent="0.25">
      <c r="J85" s="3"/>
    </row>
    <row r="86" spans="10:10" x14ac:dyDescent="0.25">
      <c r="J86" s="3"/>
    </row>
    <row r="87" spans="10:10" x14ac:dyDescent="0.25">
      <c r="J87" s="3"/>
    </row>
    <row r="88" spans="10:10" x14ac:dyDescent="0.25">
      <c r="J88" s="3"/>
    </row>
    <row r="89" spans="10:10" x14ac:dyDescent="0.25">
      <c r="J89" s="3"/>
    </row>
    <row r="90" spans="10:10" x14ac:dyDescent="0.25">
      <c r="J90" s="3"/>
    </row>
    <row r="91" spans="10:10" x14ac:dyDescent="0.25">
      <c r="J91" s="3"/>
    </row>
    <row r="92" spans="10:10" x14ac:dyDescent="0.25">
      <c r="J92" s="3"/>
    </row>
    <row r="93" spans="10:10" x14ac:dyDescent="0.25">
      <c r="J93" s="3"/>
    </row>
    <row r="94" spans="10:10" x14ac:dyDescent="0.25">
      <c r="J94" s="3"/>
    </row>
    <row r="95" spans="10:10" x14ac:dyDescent="0.25">
      <c r="J95" s="3"/>
    </row>
    <row r="96" spans="10:10" x14ac:dyDescent="0.25">
      <c r="J96" s="3"/>
    </row>
    <row r="97" spans="10:10" x14ac:dyDescent="0.25">
      <c r="J97" s="3"/>
    </row>
    <row r="98" spans="10:10" x14ac:dyDescent="0.25">
      <c r="J98" s="3"/>
    </row>
    <row r="99" spans="10:10" x14ac:dyDescent="0.25">
      <c r="J99" s="3"/>
    </row>
    <row r="100" spans="10:10" x14ac:dyDescent="0.25">
      <c r="J100" s="3"/>
    </row>
    <row r="101" spans="10:10" x14ac:dyDescent="0.25">
      <c r="J101" s="3"/>
    </row>
    <row r="102" spans="10:10" x14ac:dyDescent="0.25">
      <c r="J102" s="3"/>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B2:BB31"/>
  <sheetViews>
    <sheetView workbookViewId="0">
      <selection activeCell="G8" sqref="G8"/>
    </sheetView>
  </sheetViews>
  <sheetFormatPr defaultRowHeight="15" x14ac:dyDescent="0.25"/>
  <cols>
    <col min="2" max="2" width="22.140625" bestFit="1" customWidth="1"/>
    <col min="3" max="3" width="7.85546875" bestFit="1" customWidth="1"/>
    <col min="4" max="4" width="8.28515625" bestFit="1" customWidth="1"/>
    <col min="5" max="5" width="7.85546875" bestFit="1" customWidth="1"/>
    <col min="6" max="53" width="15.42578125" bestFit="1" customWidth="1"/>
    <col min="54" max="54" width="12" bestFit="1" customWidth="1"/>
    <col min="55" max="222" width="23.42578125" bestFit="1" customWidth="1"/>
    <col min="223" max="223" width="11.28515625" bestFit="1" customWidth="1"/>
  </cols>
  <sheetData>
    <row r="2" spans="2:54" x14ac:dyDescent="0.25">
      <c r="B2" s="1" t="s">
        <v>186</v>
      </c>
      <c r="C2" t="s">
        <v>213</v>
      </c>
    </row>
    <row r="3" spans="2:54" x14ac:dyDescent="0.25">
      <c r="B3" s="1" t="s">
        <v>11</v>
      </c>
      <c r="C3" t="s">
        <v>213</v>
      </c>
    </row>
    <row r="5" spans="2:54" x14ac:dyDescent="0.25">
      <c r="B5" s="1" t="s">
        <v>163</v>
      </c>
      <c r="F5" s="1" t="s">
        <v>164</v>
      </c>
    </row>
    <row r="6" spans="2:54" x14ac:dyDescent="0.25">
      <c r="B6" s="1" t="s">
        <v>180</v>
      </c>
      <c r="C6" s="1" t="s">
        <v>243</v>
      </c>
      <c r="D6" s="1" t="s">
        <v>15</v>
      </c>
      <c r="E6" s="1" t="s">
        <v>88</v>
      </c>
      <c r="F6" t="s">
        <v>228</v>
      </c>
      <c r="G6" t="s">
        <v>229</v>
      </c>
      <c r="H6" t="s">
        <v>230</v>
      </c>
      <c r="I6" t="s">
        <v>231</v>
      </c>
      <c r="J6" t="s">
        <v>232</v>
      </c>
      <c r="K6" t="s">
        <v>233</v>
      </c>
      <c r="L6" t="s">
        <v>234</v>
      </c>
      <c r="M6" t="s">
        <v>235</v>
      </c>
      <c r="N6" t="s">
        <v>236</v>
      </c>
      <c r="O6" t="s">
        <v>237</v>
      </c>
      <c r="P6" t="s">
        <v>274</v>
      </c>
      <c r="Q6" t="s">
        <v>275</v>
      </c>
      <c r="R6" t="s">
        <v>276</v>
      </c>
      <c r="S6" t="s">
        <v>277</v>
      </c>
      <c r="T6" t="s">
        <v>278</v>
      </c>
      <c r="U6" t="s">
        <v>279</v>
      </c>
      <c r="V6" t="s">
        <v>280</v>
      </c>
      <c r="W6" t="s">
        <v>281</v>
      </c>
      <c r="X6" t="s">
        <v>282</v>
      </c>
      <c r="Y6" t="s">
        <v>283</v>
      </c>
      <c r="Z6" t="s">
        <v>284</v>
      </c>
      <c r="AA6" t="s">
        <v>285</v>
      </c>
      <c r="AB6" t="s">
        <v>286</v>
      </c>
      <c r="AC6" t="s">
        <v>287</v>
      </c>
      <c r="AD6" t="s">
        <v>288</v>
      </c>
      <c r="AE6" t="s">
        <v>289</v>
      </c>
      <c r="AF6" t="s">
        <v>290</v>
      </c>
      <c r="AG6" t="s">
        <v>291</v>
      </c>
      <c r="AH6" t="s">
        <v>292</v>
      </c>
      <c r="AI6" t="s">
        <v>293</v>
      </c>
      <c r="AJ6" t="s">
        <v>304</v>
      </c>
      <c r="AK6" t="s">
        <v>305</v>
      </c>
      <c r="AL6" t="s">
        <v>306</v>
      </c>
      <c r="AM6" t="s">
        <v>307</v>
      </c>
      <c r="AN6" t="s">
        <v>313</v>
      </c>
      <c r="AO6" t="s">
        <v>317</v>
      </c>
      <c r="AP6" t="s">
        <v>318</v>
      </c>
      <c r="AQ6" t="s">
        <v>314</v>
      </c>
      <c r="AR6" t="s">
        <v>315</v>
      </c>
      <c r="AS6" t="s">
        <v>316</v>
      </c>
      <c r="AT6" t="s">
        <v>312</v>
      </c>
      <c r="AU6" t="s">
        <v>322</v>
      </c>
      <c r="AV6" t="s">
        <v>323</v>
      </c>
      <c r="AW6" t="s">
        <v>324</v>
      </c>
      <c r="AX6" t="s">
        <v>325</v>
      </c>
      <c r="AY6" t="s">
        <v>326</v>
      </c>
      <c r="AZ6" t="s">
        <v>327</v>
      </c>
      <c r="BA6" t="s">
        <v>328</v>
      </c>
      <c r="BB6" t="s">
        <v>0</v>
      </c>
    </row>
    <row r="7" spans="2:54" x14ac:dyDescent="0.25">
      <c r="B7" t="s">
        <v>244</v>
      </c>
      <c r="C7" t="s">
        <v>244</v>
      </c>
      <c r="D7" t="s">
        <v>331</v>
      </c>
      <c r="E7" t="s">
        <v>46</v>
      </c>
      <c r="F7" s="3">
        <v>4.3401036444016903</v>
      </c>
      <c r="G7" s="3">
        <v>26.687345373227402</v>
      </c>
      <c r="H7" s="3">
        <v>23.987388592689602</v>
      </c>
      <c r="I7" s="3">
        <v>22.029933635117999</v>
      </c>
      <c r="J7" s="3">
        <v>6.7026328993122002</v>
      </c>
      <c r="K7" s="3">
        <v>24.304375127093898</v>
      </c>
      <c r="L7" s="3">
        <v>21.659624544208899</v>
      </c>
      <c r="M7" s="3">
        <v>4.1211926048478897</v>
      </c>
      <c r="N7" s="3">
        <v>19.7725888531149</v>
      </c>
      <c r="O7" s="3">
        <v>26.687345373227402</v>
      </c>
      <c r="P7" s="3">
        <v>2.8159009434003002</v>
      </c>
      <c r="Q7" s="3">
        <v>6.9570026249254804</v>
      </c>
      <c r="R7" s="3">
        <v>0.36054331068765499</v>
      </c>
      <c r="S7" s="3">
        <v>1.59778999058824</v>
      </c>
      <c r="T7" s="3">
        <v>0.43284705882352897</v>
      </c>
      <c r="U7" s="3">
        <v>0.43284705882352897</v>
      </c>
      <c r="V7" s="3">
        <v>1.59778999058824</v>
      </c>
      <c r="W7" s="3">
        <v>0.36054331068765499</v>
      </c>
      <c r="X7" s="3">
        <v>4.1041462900255796</v>
      </c>
      <c r="Y7" s="3">
        <v>1.8688158581218799</v>
      </c>
      <c r="Z7" s="3">
        <v>2.8159009434003002</v>
      </c>
      <c r="AA7" s="3">
        <v>5.6822207367489197</v>
      </c>
      <c r="AB7" s="3">
        <v>8.4027204305566006</v>
      </c>
      <c r="AC7" s="3">
        <v>5.5457954841673596</v>
      </c>
      <c r="AD7" s="3">
        <v>2.8159009434003002</v>
      </c>
      <c r="AE7" s="3">
        <v>8.2436433730389496</v>
      </c>
      <c r="AF7" s="3">
        <v>8.0669349071624499</v>
      </c>
      <c r="AG7" s="3">
        <v>31.300906119038199</v>
      </c>
      <c r="AH7" s="3">
        <v>25.345600000000001</v>
      </c>
      <c r="AI7" s="3">
        <v>2.8159009434003002</v>
      </c>
      <c r="AJ7" s="3">
        <v>-3.7745851460845801</v>
      </c>
      <c r="AK7" s="3">
        <v>23.0897034036572</v>
      </c>
      <c r="AL7" s="3">
        <v>-0.25324682801802001</v>
      </c>
      <c r="AM7" s="3">
        <v>-3.7745851460845898</v>
      </c>
      <c r="AN7" s="3">
        <v>1.55929152906108</v>
      </c>
      <c r="AO7" s="3">
        <v>31.078934364606901</v>
      </c>
      <c r="AP7" s="3">
        <v>7.1545516890911198</v>
      </c>
      <c r="AQ7" s="3">
        <v>24.013573319187699</v>
      </c>
      <c r="AR7" s="3">
        <v>32.558150856654699</v>
      </c>
      <c r="AS7" s="3">
        <v>32.558150856654699</v>
      </c>
      <c r="AT7" s="3">
        <v>6.7868990525809503</v>
      </c>
      <c r="AU7" s="3">
        <v>20.104117370228298</v>
      </c>
      <c r="AV7" s="3">
        <v>31.3047700566547</v>
      </c>
      <c r="AW7" s="3">
        <v>29.884230936654699</v>
      </c>
      <c r="AX7" s="3">
        <v>29.476823093598501</v>
      </c>
      <c r="AY7" s="3">
        <v>20.104117370228298</v>
      </c>
      <c r="AZ7" s="3">
        <v>25.345600000000001</v>
      </c>
      <c r="BA7" s="3">
        <v>29.168057850888701</v>
      </c>
      <c r="BB7" s="3">
        <v>638.24083559438782</v>
      </c>
    </row>
    <row r="8" spans="2:54" x14ac:dyDescent="0.25">
      <c r="B8" t="s">
        <v>244</v>
      </c>
      <c r="C8" t="s">
        <v>244</v>
      </c>
      <c r="D8" t="s">
        <v>331</v>
      </c>
      <c r="E8" t="s">
        <v>47</v>
      </c>
      <c r="F8" s="3">
        <v>4.3401036444016903</v>
      </c>
      <c r="G8" s="3">
        <v>26.687345373227402</v>
      </c>
      <c r="H8" s="3">
        <v>23.987388592689602</v>
      </c>
      <c r="I8" s="3">
        <v>22.029933635117999</v>
      </c>
      <c r="J8" s="3">
        <v>6.7026328993122002</v>
      </c>
      <c r="K8" s="3">
        <v>24.304375127093898</v>
      </c>
      <c r="L8" s="3">
        <v>21.659624544208899</v>
      </c>
      <c r="M8" s="3">
        <v>4.1211926048478897</v>
      </c>
      <c r="N8" s="3">
        <v>19.7725888531149</v>
      </c>
      <c r="O8" s="3">
        <v>26.687345373227402</v>
      </c>
      <c r="P8" s="3">
        <v>2.8159009434003002</v>
      </c>
      <c r="Q8" s="3">
        <v>6.9570026249254804</v>
      </c>
      <c r="R8" s="3">
        <v>0.36054331068765499</v>
      </c>
      <c r="S8" s="3">
        <v>1.59778999058824</v>
      </c>
      <c r="T8" s="3">
        <v>0.43284705882352897</v>
      </c>
      <c r="U8" s="3">
        <v>0.43284705882352897</v>
      </c>
      <c r="V8" s="3">
        <v>1.59778999058824</v>
      </c>
      <c r="W8" s="3">
        <v>0.36054331068765499</v>
      </c>
      <c r="X8" s="3">
        <v>4.1041462900255796</v>
      </c>
      <c r="Y8" s="3">
        <v>1.8688158581218799</v>
      </c>
      <c r="Z8" s="3">
        <v>2.8159009434003002</v>
      </c>
      <c r="AA8" s="3">
        <v>5.6822207367489197</v>
      </c>
      <c r="AB8" s="3">
        <v>8.4027204305566006</v>
      </c>
      <c r="AC8" s="3">
        <v>5.5457954841673596</v>
      </c>
      <c r="AD8" s="3">
        <v>2.8159009434003002</v>
      </c>
      <c r="AE8" s="3">
        <v>8.2436433730389496</v>
      </c>
      <c r="AF8" s="3">
        <v>8.0669349071624499</v>
      </c>
      <c r="AG8" s="3">
        <v>31.300906119038199</v>
      </c>
      <c r="AH8" s="3">
        <v>25.345600000000001</v>
      </c>
      <c r="AI8" s="3">
        <v>2.8159009434003002</v>
      </c>
      <c r="AJ8" s="3">
        <v>-3.7745851460845801</v>
      </c>
      <c r="AK8" s="3">
        <v>23.0897034036572</v>
      </c>
      <c r="AL8" s="3">
        <v>-0.25324682801802001</v>
      </c>
      <c r="AM8" s="3">
        <v>-3.7745851460845898</v>
      </c>
      <c r="AN8" s="3">
        <v>1.66242250337278</v>
      </c>
      <c r="AO8" s="3">
        <v>31.078934364606901</v>
      </c>
      <c r="AP8" s="3">
        <v>7.8288695980522398</v>
      </c>
      <c r="AQ8" s="3">
        <v>24.377175848796998</v>
      </c>
      <c r="AR8" s="3">
        <v>32.558150856654699</v>
      </c>
      <c r="AS8" s="3">
        <v>32.558150856654699</v>
      </c>
      <c r="AT8" s="3">
        <v>7.1288972297022903</v>
      </c>
      <c r="AU8" s="3">
        <v>20.104117370228298</v>
      </c>
      <c r="AV8" s="3">
        <v>31.3047700566547</v>
      </c>
      <c r="AW8" s="3">
        <v>29.884230936654699</v>
      </c>
      <c r="AX8" s="3">
        <v>30.168479277682799</v>
      </c>
      <c r="AY8" s="3">
        <v>20.104117370228298</v>
      </c>
      <c r="AZ8" s="3">
        <v>24.078320000000001</v>
      </c>
      <c r="BA8" s="3">
        <v>29.637719582876102</v>
      </c>
      <c r="BB8" s="3">
        <v>639.61792310046303</v>
      </c>
    </row>
    <row r="9" spans="2:54" x14ac:dyDescent="0.25">
      <c r="B9" t="s">
        <v>244</v>
      </c>
      <c r="C9" t="s">
        <v>244</v>
      </c>
      <c r="D9" t="s">
        <v>331</v>
      </c>
      <c r="E9" t="s">
        <v>48</v>
      </c>
      <c r="F9" s="3">
        <v>4.3401036444016903</v>
      </c>
      <c r="G9" s="3">
        <v>26.687345373227402</v>
      </c>
      <c r="H9" s="3">
        <v>23.987388592689602</v>
      </c>
      <c r="I9" s="3">
        <v>22.029933635117999</v>
      </c>
      <c r="J9" s="3">
        <v>6.7026328993122002</v>
      </c>
      <c r="K9" s="3">
        <v>24.304375127093898</v>
      </c>
      <c r="L9" s="3">
        <v>21.659624544208899</v>
      </c>
      <c r="M9" s="3">
        <v>4.1211926048478897</v>
      </c>
      <c r="N9" s="3">
        <v>19.7725888531149</v>
      </c>
      <c r="O9" s="3">
        <v>26.687345373227402</v>
      </c>
      <c r="P9" s="3">
        <v>2.8159009434003002</v>
      </c>
      <c r="Q9" s="3">
        <v>6.9570026249254804</v>
      </c>
      <c r="R9" s="3">
        <v>0.36054331068765499</v>
      </c>
      <c r="S9" s="3">
        <v>1.59778999058824</v>
      </c>
      <c r="T9" s="3">
        <v>0.43284705882352897</v>
      </c>
      <c r="U9" s="3">
        <v>0.43284705882352897</v>
      </c>
      <c r="V9" s="3">
        <v>1.59778999058824</v>
      </c>
      <c r="W9" s="3">
        <v>0.36054331068765499</v>
      </c>
      <c r="X9" s="3">
        <v>4.1041462900255796</v>
      </c>
      <c r="Y9" s="3">
        <v>1.8688158581218799</v>
      </c>
      <c r="Z9" s="3">
        <v>2.8159009434003002</v>
      </c>
      <c r="AA9" s="3">
        <v>5.6822207367489197</v>
      </c>
      <c r="AB9" s="3">
        <v>8.4027204305566006</v>
      </c>
      <c r="AC9" s="3">
        <v>5.5457954841673596</v>
      </c>
      <c r="AD9" s="3">
        <v>2.8159009434003002</v>
      </c>
      <c r="AE9" s="3">
        <v>8.2436433730389496</v>
      </c>
      <c r="AF9" s="3">
        <v>8.0669349071624499</v>
      </c>
      <c r="AG9" s="3">
        <v>31.300906119038199</v>
      </c>
      <c r="AH9" s="3">
        <v>25.345600000000001</v>
      </c>
      <c r="AI9" s="3">
        <v>2.8159009434003002</v>
      </c>
      <c r="AJ9" s="3">
        <v>-3.7745851460845898</v>
      </c>
      <c r="AK9" s="3">
        <v>23.0897034036572</v>
      </c>
      <c r="AL9" s="3">
        <v>-0.25324682801802001</v>
      </c>
      <c r="AM9" s="3">
        <v>-3.7745851460845898</v>
      </c>
      <c r="AN9" s="3">
        <v>1.84142285090816</v>
      </c>
      <c r="AO9" s="3">
        <v>31.078934364606901</v>
      </c>
      <c r="AP9" s="3">
        <v>8.9992564857835902</v>
      </c>
      <c r="AQ9" s="3">
        <v>25.008266358696499</v>
      </c>
      <c r="AR9" s="3">
        <v>32.558150856654699</v>
      </c>
      <c r="AS9" s="3">
        <v>32.558150856654699</v>
      </c>
      <c r="AT9" s="3">
        <v>7.1288972297022903</v>
      </c>
      <c r="AU9" s="3">
        <v>20.104117370228298</v>
      </c>
      <c r="AV9" s="3">
        <v>31.3047700566547</v>
      </c>
      <c r="AW9" s="3">
        <v>29.884230936654699</v>
      </c>
      <c r="AX9" s="3">
        <v>30.168479277682799</v>
      </c>
      <c r="AY9" s="3">
        <v>20.104117370228298</v>
      </c>
      <c r="AZ9" s="3">
        <v>25.345600000000001</v>
      </c>
      <c r="BA9" s="3">
        <v>29.637719582876102</v>
      </c>
      <c r="BB9" s="3">
        <v>642.8656808456293</v>
      </c>
    </row>
    <row r="10" spans="2:54" x14ac:dyDescent="0.25">
      <c r="B10" t="s">
        <v>244</v>
      </c>
      <c r="C10" t="s">
        <v>244</v>
      </c>
      <c r="D10" t="s">
        <v>331</v>
      </c>
      <c r="E10" t="s">
        <v>49</v>
      </c>
      <c r="F10" s="3">
        <v>4.3401036444016903</v>
      </c>
      <c r="G10" s="3">
        <v>26.687345373227402</v>
      </c>
      <c r="H10" s="3">
        <v>23.987388592689602</v>
      </c>
      <c r="I10" s="3">
        <v>22.029933635117999</v>
      </c>
      <c r="J10" s="3">
        <v>6.7026328993122002</v>
      </c>
      <c r="K10" s="3">
        <v>24.304375127093898</v>
      </c>
      <c r="L10" s="3">
        <v>21.659624544208899</v>
      </c>
      <c r="M10" s="3">
        <v>4.1211926048478897</v>
      </c>
      <c r="N10" s="3">
        <v>19.7725888531149</v>
      </c>
      <c r="O10" s="3">
        <v>26.687345373227402</v>
      </c>
      <c r="P10" s="3">
        <v>2.8159009434003002</v>
      </c>
      <c r="Q10" s="3">
        <v>6.9570026249254804</v>
      </c>
      <c r="R10" s="3">
        <v>0.36054331068765499</v>
      </c>
      <c r="S10" s="3">
        <v>1.59778999058824</v>
      </c>
      <c r="T10" s="3">
        <v>0.43284705882352897</v>
      </c>
      <c r="U10" s="3">
        <v>0.43284705882352897</v>
      </c>
      <c r="V10" s="3">
        <v>1.59778999058824</v>
      </c>
      <c r="W10" s="3">
        <v>0.36054331068765499</v>
      </c>
      <c r="X10" s="3">
        <v>4.1041462900255796</v>
      </c>
      <c r="Y10" s="3">
        <v>1.69556882042265</v>
      </c>
      <c r="Z10" s="3">
        <v>2.8159009434003002</v>
      </c>
      <c r="AA10" s="3">
        <v>6.6096668077667999</v>
      </c>
      <c r="AB10" s="3">
        <v>8.6219233630538898</v>
      </c>
      <c r="AC10" s="3">
        <v>5.6904694196155701</v>
      </c>
      <c r="AD10" s="3">
        <v>2.8159009434003002</v>
      </c>
      <c r="AE10" s="3">
        <v>7.9036596247356696</v>
      </c>
      <c r="AF10" s="3">
        <v>7.6984543200083504</v>
      </c>
      <c r="AG10" s="3">
        <v>31.300906119038199</v>
      </c>
      <c r="AH10" s="3">
        <v>25.345600000000001</v>
      </c>
      <c r="AI10" s="3">
        <v>2.8159009434003002</v>
      </c>
      <c r="AJ10" s="3">
        <v>-3.7745851460845898</v>
      </c>
      <c r="AK10" s="3">
        <v>23.0897034036572</v>
      </c>
      <c r="AL10" s="3">
        <v>-0.25324682801802001</v>
      </c>
      <c r="AM10" s="3">
        <v>-3.7745851460845898</v>
      </c>
      <c r="AN10" s="3">
        <v>1.8400553836420801</v>
      </c>
      <c r="AO10" s="3">
        <v>31.078934364606901</v>
      </c>
      <c r="AP10" s="3">
        <v>8.9903153536591898</v>
      </c>
      <c r="AQ10" s="3">
        <v>25.003445163508299</v>
      </c>
      <c r="AR10" s="3">
        <v>32.558150856654699</v>
      </c>
      <c r="AS10" s="3">
        <v>32.558150856654699</v>
      </c>
      <c r="AT10" s="3">
        <v>6.7868990525809503</v>
      </c>
      <c r="AU10" s="3">
        <v>20.104117370228298</v>
      </c>
      <c r="AV10" s="3">
        <v>31.3047700566547</v>
      </c>
      <c r="AW10" s="3">
        <v>29.884230936654699</v>
      </c>
      <c r="AX10" s="3">
        <v>29.476823093598501</v>
      </c>
      <c r="AY10" s="3">
        <v>20.104117370228298</v>
      </c>
      <c r="AZ10" s="3">
        <v>25.345600000000001</v>
      </c>
      <c r="BA10" s="3">
        <v>29.168057850888701</v>
      </c>
      <c r="BB10" s="3">
        <v>641.75684652366419</v>
      </c>
    </row>
    <row r="11" spans="2:54" x14ac:dyDescent="0.25">
      <c r="B11" t="s">
        <v>244</v>
      </c>
      <c r="C11" t="s">
        <v>244</v>
      </c>
      <c r="D11" t="s">
        <v>331</v>
      </c>
      <c r="E11" t="s">
        <v>50</v>
      </c>
      <c r="F11" s="3">
        <v>4.3401036444016903</v>
      </c>
      <c r="G11" s="3">
        <v>26.687345373227402</v>
      </c>
      <c r="H11" s="3">
        <v>23.987388592689602</v>
      </c>
      <c r="I11" s="3">
        <v>22.029933635117999</v>
      </c>
      <c r="J11" s="3">
        <v>6.7026328993122002</v>
      </c>
      <c r="K11" s="3">
        <v>24.1132793717087</v>
      </c>
      <c r="L11" s="3">
        <v>21.659624544208899</v>
      </c>
      <c r="M11" s="3">
        <v>3.6366055301495801</v>
      </c>
      <c r="N11" s="3">
        <v>19.7725888531149</v>
      </c>
      <c r="O11" s="3">
        <v>26.687345373227402</v>
      </c>
      <c r="P11" s="3">
        <v>2.8159009434003002</v>
      </c>
      <c r="Q11" s="3">
        <v>6.9570026249254804</v>
      </c>
      <c r="R11" s="3">
        <v>0.36054331068765499</v>
      </c>
      <c r="S11" s="3">
        <v>1.59778999058824</v>
      </c>
      <c r="T11" s="3">
        <v>0.43284705882352897</v>
      </c>
      <c r="U11" s="3">
        <v>0.43284705882352897</v>
      </c>
      <c r="V11" s="3">
        <v>1.59778999058824</v>
      </c>
      <c r="W11" s="3">
        <v>0.36054331068765499</v>
      </c>
      <c r="X11" s="3">
        <v>4.1041462900255796</v>
      </c>
      <c r="Y11" s="3">
        <v>1.62650995881117</v>
      </c>
      <c r="Z11" s="3">
        <v>2.8159009434003002</v>
      </c>
      <c r="AA11" s="3">
        <v>8.2417205477046593</v>
      </c>
      <c r="AB11" s="3">
        <v>8.7093009319935693</v>
      </c>
      <c r="AC11" s="3">
        <v>5.7481386151157601</v>
      </c>
      <c r="AD11" s="3">
        <v>2.8159009434003002</v>
      </c>
      <c r="AE11" s="3">
        <v>7.7681370153102201</v>
      </c>
      <c r="AF11" s="3">
        <v>9.6776871424266897</v>
      </c>
      <c r="AG11" s="3">
        <v>31.300906119038199</v>
      </c>
      <c r="AH11" s="3">
        <v>25.345600000000001</v>
      </c>
      <c r="AI11" s="3">
        <v>2.8159009434003002</v>
      </c>
      <c r="AJ11" s="3">
        <v>-3.7745851460845898</v>
      </c>
      <c r="AK11" s="3">
        <v>23.0897034036572</v>
      </c>
      <c r="AL11" s="3">
        <v>-0.25324682801802001</v>
      </c>
      <c r="AM11" s="3">
        <v>-3.7745851460845898</v>
      </c>
      <c r="AN11" s="3">
        <v>1.79921157513017</v>
      </c>
      <c r="AO11" s="3">
        <v>31.078934364606901</v>
      </c>
      <c r="AP11" s="3">
        <v>8.7232596826197693</v>
      </c>
      <c r="AQ11" s="3">
        <v>24.859444661303002</v>
      </c>
      <c r="AR11" s="3">
        <v>32.558150856654699</v>
      </c>
      <c r="AS11" s="3">
        <v>32.558150856654699</v>
      </c>
      <c r="AT11" s="3">
        <v>6.7868990525809503</v>
      </c>
      <c r="AU11" s="3">
        <v>20.104117370228298</v>
      </c>
      <c r="AV11" s="3">
        <v>31.3047700566547</v>
      </c>
      <c r="AW11" s="3">
        <v>29.884230936654699</v>
      </c>
      <c r="AX11" s="3">
        <v>29.201118589015099</v>
      </c>
      <c r="AY11" s="3">
        <v>20.104117370228298</v>
      </c>
      <c r="AZ11" s="3">
        <v>25.345600000000001</v>
      </c>
      <c r="BA11" s="3">
        <v>28.9808436567283</v>
      </c>
      <c r="BB11" s="3">
        <v>643.71809686883955</v>
      </c>
    </row>
    <row r="12" spans="2:54" x14ac:dyDescent="0.25">
      <c r="B12" t="s">
        <v>244</v>
      </c>
      <c r="C12" t="s">
        <v>244</v>
      </c>
      <c r="D12" t="s">
        <v>331</v>
      </c>
      <c r="E12" t="s">
        <v>51</v>
      </c>
      <c r="F12" s="3">
        <v>4.3401036444016903</v>
      </c>
      <c r="G12" s="3">
        <v>27.447314562531201</v>
      </c>
      <c r="H12" s="3">
        <v>23.987388592689602</v>
      </c>
      <c r="I12" s="3">
        <v>22.029933635117999</v>
      </c>
      <c r="J12" s="3">
        <v>6.7026328993122002</v>
      </c>
      <c r="K12" s="3">
        <v>24.847089572729701</v>
      </c>
      <c r="L12" s="3">
        <v>22.195291909539002</v>
      </c>
      <c r="M12" s="3">
        <v>4.4860425756262403</v>
      </c>
      <c r="N12" s="3">
        <v>19.7725888531149</v>
      </c>
      <c r="O12" s="3">
        <v>26.717658333748599</v>
      </c>
      <c r="P12" s="3">
        <v>2.8159009434003002</v>
      </c>
      <c r="Q12" s="3">
        <v>11.0766483348796</v>
      </c>
      <c r="R12" s="3">
        <v>1.59778999058824</v>
      </c>
      <c r="S12" s="3">
        <v>1.59778999058824</v>
      </c>
      <c r="T12" s="3">
        <v>1.59778999058824</v>
      </c>
      <c r="U12" s="3">
        <v>0.43284705882352897</v>
      </c>
      <c r="V12" s="3">
        <v>1.59778999058824</v>
      </c>
      <c r="W12" s="3">
        <v>0.36054331068765499</v>
      </c>
      <c r="X12" s="3">
        <v>4.1041462900255796</v>
      </c>
      <c r="Y12" s="3">
        <v>1.3471913046624</v>
      </c>
      <c r="Z12" s="3">
        <v>2.8159009434003002</v>
      </c>
      <c r="AA12" s="3">
        <v>7.8918433191258304</v>
      </c>
      <c r="AB12" s="3">
        <v>9.0627122739923998</v>
      </c>
      <c r="AC12" s="3">
        <v>5.9813901008349797</v>
      </c>
      <c r="AD12" s="3">
        <v>2.8159009434003002</v>
      </c>
      <c r="AE12" s="3">
        <v>9.0627122739923998</v>
      </c>
      <c r="AF12" s="3">
        <v>10.070392856143499</v>
      </c>
      <c r="AG12" s="3">
        <v>31.300906119038199</v>
      </c>
      <c r="AH12" s="3">
        <v>25.345600000000001</v>
      </c>
      <c r="AI12" s="3">
        <v>2.8159009434003002</v>
      </c>
      <c r="AJ12" s="3">
        <v>-3.7745851460845898</v>
      </c>
      <c r="AK12" s="3">
        <v>23.0897034036572</v>
      </c>
      <c r="AL12" s="3">
        <v>-1.4250776069428199</v>
      </c>
      <c r="AM12" s="3">
        <v>-3.7745851460845898</v>
      </c>
      <c r="AN12" s="3">
        <v>1.5073832271368801</v>
      </c>
      <c r="AO12" s="3">
        <v>31.078934364606901</v>
      </c>
      <c r="AP12" s="3">
        <v>6.8151512534329202</v>
      </c>
      <c r="AQ12" s="3">
        <v>23.830563413450601</v>
      </c>
      <c r="AR12" s="3">
        <v>32.558150856654699</v>
      </c>
      <c r="AS12" s="3">
        <v>32.558150856654699</v>
      </c>
      <c r="AT12" s="3">
        <v>5.6387920799615197</v>
      </c>
      <c r="AU12" s="3">
        <v>20.104117370228298</v>
      </c>
      <c r="AV12" s="3">
        <v>31.3047700566547</v>
      </c>
      <c r="AW12" s="3">
        <v>29.884230936654699</v>
      </c>
      <c r="AX12" s="3">
        <v>29.3072207133322</v>
      </c>
      <c r="AY12" s="3">
        <v>25.345600000000001</v>
      </c>
      <c r="AZ12" s="3">
        <v>25.345600000000001</v>
      </c>
      <c r="BA12" s="3">
        <v>28.223628499539601</v>
      </c>
      <c r="BB12" s="3">
        <v>653.83549068982438</v>
      </c>
    </row>
    <row r="13" spans="2:54" x14ac:dyDescent="0.25">
      <c r="B13" t="s">
        <v>244</v>
      </c>
      <c r="C13" t="s">
        <v>244</v>
      </c>
      <c r="D13" t="s">
        <v>331</v>
      </c>
      <c r="E13" t="s">
        <v>187</v>
      </c>
      <c r="F13" s="3">
        <v>4.5418643539956598</v>
      </c>
      <c r="G13" s="3">
        <v>27.5283874768404</v>
      </c>
      <c r="H13" s="3">
        <v>23.724248620089199</v>
      </c>
      <c r="I13" s="3">
        <v>23.530064317609899</v>
      </c>
      <c r="J13" s="3">
        <v>6.7060021300814299</v>
      </c>
      <c r="K13" s="3">
        <v>24.847089572729701</v>
      </c>
      <c r="L13" s="3">
        <v>22.195291909539002</v>
      </c>
      <c r="M13" s="3">
        <v>4.7160306197345596</v>
      </c>
      <c r="N13" s="3">
        <v>20.147131001826899</v>
      </c>
      <c r="O13" s="3">
        <v>27.447314562531201</v>
      </c>
      <c r="P13" s="3">
        <v>7.1474774454442498</v>
      </c>
      <c r="Q13" s="3">
        <v>11.5065318470497</v>
      </c>
      <c r="R13" s="3">
        <v>1.59778999058824</v>
      </c>
      <c r="S13" s="3">
        <v>1.59778999058824</v>
      </c>
      <c r="T13" s="3">
        <v>1.59778999058824</v>
      </c>
      <c r="U13" s="3">
        <v>1.59778999058824</v>
      </c>
      <c r="V13" s="3">
        <v>1.59778999058824</v>
      </c>
      <c r="W13" s="3">
        <v>0.36054331068765499</v>
      </c>
      <c r="X13" s="3">
        <v>8.50352517873403</v>
      </c>
      <c r="Y13" s="3">
        <v>0.94010647708619399</v>
      </c>
      <c r="Z13" s="3">
        <v>2.8159009434003002</v>
      </c>
      <c r="AA13" s="3">
        <v>7.8296345203194297</v>
      </c>
      <c r="AB13" s="3">
        <v>13.0250595705983</v>
      </c>
      <c r="AC13" s="3">
        <v>6.3213356770990403</v>
      </c>
      <c r="AD13" s="3">
        <v>7.1474774454442498</v>
      </c>
      <c r="AE13" s="3">
        <v>9.5777813289379292</v>
      </c>
      <c r="AF13" s="3">
        <v>10.6427303473282</v>
      </c>
      <c r="AG13" s="3">
        <v>29.5266598963657</v>
      </c>
      <c r="AH13" s="3">
        <v>30.5144140877659</v>
      </c>
      <c r="AI13" s="3">
        <v>7.1474774454442498</v>
      </c>
      <c r="AJ13" s="3">
        <v>-3.7745851460845898</v>
      </c>
      <c r="AK13" s="3">
        <v>27.031341266844599</v>
      </c>
      <c r="AL13" s="3">
        <v>-2.5953402010826601</v>
      </c>
      <c r="AM13" s="3">
        <v>-3.7745851460845898</v>
      </c>
      <c r="AN13" s="3">
        <v>1.3932487237989599</v>
      </c>
      <c r="AO13" s="3">
        <v>31.078934364606901</v>
      </c>
      <c r="AP13" s="3">
        <v>6.8878008928428596</v>
      </c>
      <c r="AQ13" s="3">
        <v>23.428166418693898</v>
      </c>
      <c r="AR13" s="3">
        <v>32.558150856654699</v>
      </c>
      <c r="AS13" s="3">
        <v>32.558150856654699</v>
      </c>
      <c r="AT13" s="3">
        <v>5.6387920799615197</v>
      </c>
      <c r="AU13" s="3">
        <v>25.345600000000001</v>
      </c>
      <c r="AV13" s="3">
        <v>31.3047700566547</v>
      </c>
      <c r="AW13" s="3">
        <v>29.884230936654699</v>
      </c>
      <c r="AX13" s="3">
        <v>31.3047700566547</v>
      </c>
      <c r="AY13" s="3">
        <v>25.345600000000001</v>
      </c>
      <c r="AZ13" s="3">
        <v>27.4097342446825</v>
      </c>
      <c r="BA13" s="3">
        <v>27.1200473490373</v>
      </c>
      <c r="BB13" s="3">
        <v>694.52385765011445</v>
      </c>
    </row>
    <row r="14" spans="2:54" x14ac:dyDescent="0.25">
      <c r="B14" t="s">
        <v>244</v>
      </c>
      <c r="C14" t="s">
        <v>244</v>
      </c>
      <c r="D14" t="s">
        <v>331</v>
      </c>
      <c r="E14" t="s">
        <v>188</v>
      </c>
      <c r="F14" s="3">
        <v>5.1340999969171603</v>
      </c>
      <c r="G14" s="3">
        <v>27.5283874768404</v>
      </c>
      <c r="H14" s="3">
        <v>22.556515064456999</v>
      </c>
      <c r="I14" s="3">
        <v>24.1036645442089</v>
      </c>
      <c r="J14" s="3">
        <v>7.1150184117522004</v>
      </c>
      <c r="K14" s="3">
        <v>24.146407724429402</v>
      </c>
      <c r="L14" s="3">
        <v>21.993282364848199</v>
      </c>
      <c r="M14" s="3">
        <v>4.7160306197345596</v>
      </c>
      <c r="N14" s="3">
        <v>20.147131001826899</v>
      </c>
      <c r="O14" s="3">
        <v>27.447314562531201</v>
      </c>
      <c r="P14" s="3">
        <v>7.1474774454442498</v>
      </c>
      <c r="Q14" s="3">
        <v>11.5065318470497</v>
      </c>
      <c r="R14" s="3">
        <v>1.59778999058824</v>
      </c>
      <c r="S14" s="3">
        <v>1.59778999058824</v>
      </c>
      <c r="T14" s="3">
        <v>1.59778999058824</v>
      </c>
      <c r="U14" s="3">
        <v>1.59778999058824</v>
      </c>
      <c r="V14" s="3">
        <v>1.59778999058824</v>
      </c>
      <c r="W14" s="3">
        <v>0.36054331068765499</v>
      </c>
      <c r="X14" s="3">
        <v>8.50352517873403</v>
      </c>
      <c r="Y14" s="3">
        <v>0.476269942275864</v>
      </c>
      <c r="Z14" s="3">
        <v>2.8159009434003002</v>
      </c>
      <c r="AA14" s="3">
        <v>10.1646561752849</v>
      </c>
      <c r="AB14" s="3">
        <v>13.0250595705983</v>
      </c>
      <c r="AC14" s="3">
        <v>6.7086730756880399</v>
      </c>
      <c r="AD14" s="3">
        <v>7.1474774454442498</v>
      </c>
      <c r="AE14" s="3">
        <v>10.1646561752849</v>
      </c>
      <c r="AF14" s="3">
        <v>11.2948574242172</v>
      </c>
      <c r="AG14" s="3">
        <v>27.812176594695899</v>
      </c>
      <c r="AH14" s="3">
        <v>29.645128694272799</v>
      </c>
      <c r="AI14" s="3">
        <v>7.1474774454442498</v>
      </c>
      <c r="AJ14" s="3">
        <v>-3.7745851460845898</v>
      </c>
      <c r="AK14" s="3">
        <v>28.488322140451501</v>
      </c>
      <c r="AL14" s="3">
        <v>-2.5953402010826601</v>
      </c>
      <c r="AM14" s="3">
        <v>-3.7745851460845898</v>
      </c>
      <c r="AN14" s="3">
        <v>1.11891969249805</v>
      </c>
      <c r="AO14" s="3">
        <v>31.078934364606901</v>
      </c>
      <c r="AP14" s="3">
        <v>7.3098455563827303</v>
      </c>
      <c r="AQ14" s="3">
        <v>22.460981434822799</v>
      </c>
      <c r="AR14" s="3">
        <v>32.558150856654699</v>
      </c>
      <c r="AS14" s="3">
        <v>32.558150856654699</v>
      </c>
      <c r="AT14" s="3">
        <v>5.6387920799615197</v>
      </c>
      <c r="AU14" s="3">
        <v>25.345600000000001</v>
      </c>
      <c r="AV14" s="3">
        <v>31.287532494772002</v>
      </c>
      <c r="AW14" s="3">
        <v>29.884230936654699</v>
      </c>
      <c r="AX14" s="3">
        <v>31.3047700566547</v>
      </c>
      <c r="AY14" s="3">
        <v>25.345600000000001</v>
      </c>
      <c r="AZ14" s="3">
        <v>26.613226232970199</v>
      </c>
      <c r="BA14" s="3">
        <v>25.862615919379898</v>
      </c>
      <c r="BB14" s="3">
        <v>693.50837511822203</v>
      </c>
    </row>
    <row r="15" spans="2:54" x14ac:dyDescent="0.25">
      <c r="B15" t="s">
        <v>244</v>
      </c>
      <c r="C15" t="s">
        <v>244</v>
      </c>
      <c r="D15" t="s">
        <v>331</v>
      </c>
      <c r="E15" t="s">
        <v>189</v>
      </c>
      <c r="F15" s="3">
        <v>5.1340999969171603</v>
      </c>
      <c r="G15" s="3">
        <v>27.5283874768404</v>
      </c>
      <c r="H15" s="3">
        <v>22.580068371787899</v>
      </c>
      <c r="I15" s="3">
        <v>24.1036645442089</v>
      </c>
      <c r="J15" s="3">
        <v>7.1150184117522004</v>
      </c>
      <c r="K15" s="3">
        <v>24.847089572729701</v>
      </c>
      <c r="L15" s="3">
        <v>21.993282364848199</v>
      </c>
      <c r="M15" s="3">
        <v>4.7160306197345596</v>
      </c>
      <c r="N15" s="3">
        <v>20.147131001826899</v>
      </c>
      <c r="O15" s="3">
        <v>27.447314562531201</v>
      </c>
      <c r="P15" s="3">
        <v>7.1474774454442498</v>
      </c>
      <c r="Q15" s="3">
        <v>11.5065318470497</v>
      </c>
      <c r="R15" s="3">
        <v>1.59778999058824</v>
      </c>
      <c r="S15" s="3">
        <v>1.59778999058824</v>
      </c>
      <c r="T15" s="3">
        <v>1.59778999058824</v>
      </c>
      <c r="U15" s="3">
        <v>1.59778999058824</v>
      </c>
      <c r="V15" s="3">
        <v>1.59778999058824</v>
      </c>
      <c r="W15" s="3">
        <v>0.36054331068765499</v>
      </c>
      <c r="X15" s="3">
        <v>8.50352517873403</v>
      </c>
      <c r="Y15" s="3">
        <v>0.476269942275864</v>
      </c>
      <c r="Z15" s="3">
        <v>2.8159009434003002</v>
      </c>
      <c r="AA15" s="3">
        <v>10.1646561752849</v>
      </c>
      <c r="AB15" s="3">
        <v>13.0250595705983</v>
      </c>
      <c r="AC15" s="3">
        <v>6.7086730756880399</v>
      </c>
      <c r="AD15" s="3">
        <v>7.1474774454442498</v>
      </c>
      <c r="AE15" s="3">
        <v>10.1646561752849</v>
      </c>
      <c r="AF15" s="3">
        <v>11.2948574242172</v>
      </c>
      <c r="AG15" s="3">
        <v>27.812176594695899</v>
      </c>
      <c r="AH15" s="3">
        <v>29.645128694272799</v>
      </c>
      <c r="AI15" s="3">
        <v>7.1474774454442498</v>
      </c>
      <c r="AJ15" s="3">
        <v>-3.7745851460845898</v>
      </c>
      <c r="AK15" s="3">
        <v>28.488322140451501</v>
      </c>
      <c r="AL15" s="3">
        <v>-2.5953402010826601</v>
      </c>
      <c r="AM15" s="3">
        <v>-3.7745851460845898</v>
      </c>
      <c r="AN15" s="3">
        <v>1.11891969249805</v>
      </c>
      <c r="AO15" s="3">
        <v>31.078934364606901</v>
      </c>
      <c r="AP15" s="3">
        <v>7.3098455563827303</v>
      </c>
      <c r="AQ15" s="3">
        <v>22.460981434822799</v>
      </c>
      <c r="AR15" s="3">
        <v>32.558150856654699</v>
      </c>
      <c r="AS15" s="3">
        <v>32.558150856654699</v>
      </c>
      <c r="AT15" s="3">
        <v>5.6387920799615197</v>
      </c>
      <c r="AU15" s="3">
        <v>25.345600000000001</v>
      </c>
      <c r="AV15" s="3">
        <v>31.287532494772002</v>
      </c>
      <c r="AW15" s="3">
        <v>29.884230936654699</v>
      </c>
      <c r="AX15" s="3">
        <v>31.3047700566547</v>
      </c>
      <c r="AY15" s="3">
        <v>25.345600000000001</v>
      </c>
      <c r="AZ15" s="3">
        <v>26.613226232970199</v>
      </c>
      <c r="BA15" s="3">
        <v>25.862615919379898</v>
      </c>
      <c r="BB15" s="3">
        <v>694.23261027385331</v>
      </c>
    </row>
    <row r="16" spans="2:54" x14ac:dyDescent="0.25">
      <c r="B16" t="s">
        <v>244</v>
      </c>
      <c r="C16" t="s">
        <v>244</v>
      </c>
      <c r="D16" t="s">
        <v>331</v>
      </c>
      <c r="E16" t="s">
        <v>190</v>
      </c>
      <c r="F16" s="3">
        <v>5.1340999969171603</v>
      </c>
      <c r="G16" s="3">
        <v>27.5283874768404</v>
      </c>
      <c r="H16" s="3">
        <v>22.580068371787899</v>
      </c>
      <c r="I16" s="3">
        <v>24.1036645442089</v>
      </c>
      <c r="J16" s="3">
        <v>7.1150184117522004</v>
      </c>
      <c r="K16" s="3">
        <v>24.146407724429402</v>
      </c>
      <c r="L16" s="3">
        <v>21.993282364848199</v>
      </c>
      <c r="M16" s="3">
        <v>4.7160306197345596</v>
      </c>
      <c r="N16" s="3">
        <v>20.147131001826899</v>
      </c>
      <c r="O16" s="3">
        <v>27.447314562531201</v>
      </c>
      <c r="P16" s="3">
        <v>7.1474774454442498</v>
      </c>
      <c r="Q16" s="3">
        <v>11.5065318470497</v>
      </c>
      <c r="R16" s="3">
        <v>1.59778999058824</v>
      </c>
      <c r="S16" s="3">
        <v>1.59778999058824</v>
      </c>
      <c r="T16" s="3">
        <v>1.59778999058824</v>
      </c>
      <c r="U16" s="3">
        <v>1.59778999058824</v>
      </c>
      <c r="V16" s="3">
        <v>1.59778999058824</v>
      </c>
      <c r="W16" s="3">
        <v>0.36054331068765499</v>
      </c>
      <c r="X16" s="3">
        <v>8.50352517873403</v>
      </c>
      <c r="Y16" s="3">
        <v>0.54673371386777703</v>
      </c>
      <c r="Z16" s="3">
        <v>2.8159009434003002</v>
      </c>
      <c r="AA16" s="3">
        <v>10.1646561752849</v>
      </c>
      <c r="AB16" s="3">
        <v>13.0250595705983</v>
      </c>
      <c r="AC16" s="3">
        <v>6.6498306776989704</v>
      </c>
      <c r="AD16" s="3">
        <v>7.1474774454442498</v>
      </c>
      <c r="AE16" s="3">
        <v>10.0755010268166</v>
      </c>
      <c r="AF16" s="3">
        <v>11.195789476899099</v>
      </c>
      <c r="AG16" s="3">
        <v>27.812176594695899</v>
      </c>
      <c r="AH16" s="3">
        <v>29.777186268047899</v>
      </c>
      <c r="AI16" s="3">
        <v>7.1474774454442498</v>
      </c>
      <c r="AJ16" s="3">
        <v>-3.7745851460845898</v>
      </c>
      <c r="AK16" s="3">
        <v>28.488322140451501</v>
      </c>
      <c r="AL16" s="3">
        <v>-2.5953402010826601</v>
      </c>
      <c r="AM16" s="3">
        <v>-3.7745851460845898</v>
      </c>
      <c r="AN16" s="3">
        <v>1.1605944135515001</v>
      </c>
      <c r="AO16" s="3">
        <v>31.078934364606901</v>
      </c>
      <c r="AP16" s="3">
        <v>7.2457306009158904</v>
      </c>
      <c r="AQ16" s="3">
        <v>22.607911434242698</v>
      </c>
      <c r="AR16" s="3">
        <v>32.558150856654699</v>
      </c>
      <c r="AS16" s="3">
        <v>32.558150856654699</v>
      </c>
      <c r="AT16" s="3">
        <v>5.6387920799615197</v>
      </c>
      <c r="AU16" s="3">
        <v>25.345600000000001</v>
      </c>
      <c r="AV16" s="3">
        <v>31.3047700566547</v>
      </c>
      <c r="AW16" s="3">
        <v>29.884230936654699</v>
      </c>
      <c r="AX16" s="3">
        <v>31.3047700566547</v>
      </c>
      <c r="AY16" s="3">
        <v>25.345600000000001</v>
      </c>
      <c r="AZ16" s="3">
        <v>26.7342278238246</v>
      </c>
      <c r="BA16" s="3">
        <v>26.0536387353987</v>
      </c>
      <c r="BB16" s="3">
        <v>693.94113601090692</v>
      </c>
    </row>
    <row r="17" spans="2:54" x14ac:dyDescent="0.25">
      <c r="B17" t="s">
        <v>244</v>
      </c>
      <c r="C17" t="s">
        <v>244</v>
      </c>
      <c r="D17" t="s">
        <v>331</v>
      </c>
      <c r="E17" t="s">
        <v>191</v>
      </c>
      <c r="F17" s="3">
        <v>4.6601453980551302</v>
      </c>
      <c r="G17" s="3">
        <v>27.5283874768404</v>
      </c>
      <c r="H17" s="3">
        <v>23.514582691471801</v>
      </c>
      <c r="I17" s="3">
        <v>24.1036645442089</v>
      </c>
      <c r="J17" s="3">
        <v>7.1150184117522004</v>
      </c>
      <c r="K17" s="3">
        <v>24.847089572729701</v>
      </c>
      <c r="L17" s="3">
        <v>22.9687670409274</v>
      </c>
      <c r="M17" s="3">
        <v>4.7160306197345596</v>
      </c>
      <c r="N17" s="3">
        <v>20.147131001826899</v>
      </c>
      <c r="O17" s="3">
        <v>27.447314562531201</v>
      </c>
      <c r="P17" s="3">
        <v>7.1474774454442498</v>
      </c>
      <c r="Q17" s="3">
        <v>11.5065318470497</v>
      </c>
      <c r="R17" s="3">
        <v>1.59778999058824</v>
      </c>
      <c r="S17" s="3">
        <v>1.59778999058824</v>
      </c>
      <c r="T17" s="3">
        <v>1.59778999058824</v>
      </c>
      <c r="U17" s="3">
        <v>1.59778999058824</v>
      </c>
      <c r="V17" s="3">
        <v>1.59778999058824</v>
      </c>
      <c r="W17" s="3">
        <v>0.36054331068765499</v>
      </c>
      <c r="X17" s="3">
        <v>8.50352517873403</v>
      </c>
      <c r="Y17" s="3">
        <v>0.74297140365373504</v>
      </c>
      <c r="Z17" s="3">
        <v>2.8159009434003002</v>
      </c>
      <c r="AA17" s="3">
        <v>9.8272088906921695</v>
      </c>
      <c r="AB17" s="3">
        <v>13.0250595705983</v>
      </c>
      <c r="AC17" s="3">
        <v>6.4859578678568299</v>
      </c>
      <c r="AD17" s="3">
        <v>7.1474774454442498</v>
      </c>
      <c r="AE17" s="3">
        <v>9.8272088906921695</v>
      </c>
      <c r="AF17" s="3">
        <v>10.9198907466106</v>
      </c>
      <c r="AG17" s="3">
        <v>28.6674626585901</v>
      </c>
      <c r="AH17" s="3">
        <v>30.1449592755224</v>
      </c>
      <c r="AI17" s="3">
        <v>7.1474774454442498</v>
      </c>
      <c r="AJ17" s="3">
        <v>-3.7745851460845898</v>
      </c>
      <c r="AK17" s="3">
        <v>28.488322140451501</v>
      </c>
      <c r="AL17" s="3">
        <v>-2.5953402010826601</v>
      </c>
      <c r="AM17" s="3">
        <v>-3.7745851460845898</v>
      </c>
      <c r="AN17" s="3">
        <v>1.2766561967521699</v>
      </c>
      <c r="AO17" s="3">
        <v>31.078934364606901</v>
      </c>
      <c r="AP17" s="3">
        <v>7.0671740113763803</v>
      </c>
      <c r="AQ17" s="3">
        <v>23.017103321009699</v>
      </c>
      <c r="AR17" s="3">
        <v>32.558150856654699</v>
      </c>
      <c r="AS17" s="3">
        <v>32.558150856654699</v>
      </c>
      <c r="AT17" s="3">
        <v>5.6387920799615197</v>
      </c>
      <c r="AU17" s="3">
        <v>25.345600000000001</v>
      </c>
      <c r="AV17" s="3">
        <v>31.3047700566547</v>
      </c>
      <c r="AW17" s="3">
        <v>29.884230936654699</v>
      </c>
      <c r="AX17" s="3">
        <v>31.3047700566547</v>
      </c>
      <c r="AY17" s="3">
        <v>25.345600000000001</v>
      </c>
      <c r="AZ17" s="3">
        <v>27.071210532998901</v>
      </c>
      <c r="BA17" s="3">
        <v>26.5856266671409</v>
      </c>
      <c r="BB17" s="3">
        <v>697.68731577775975</v>
      </c>
    </row>
    <row r="18" spans="2:54" x14ac:dyDescent="0.25">
      <c r="B18" t="s">
        <v>244</v>
      </c>
      <c r="C18" t="s">
        <v>244</v>
      </c>
      <c r="D18" t="s">
        <v>331</v>
      </c>
      <c r="E18" t="s">
        <v>227</v>
      </c>
      <c r="F18" s="3">
        <v>4.5899222649606699</v>
      </c>
      <c r="G18" s="3">
        <v>27.5283874768404</v>
      </c>
      <c r="H18" s="3">
        <v>23.653044315448899</v>
      </c>
      <c r="I18" s="3">
        <v>24.1036645442089</v>
      </c>
      <c r="J18" s="3">
        <v>7.1150184117522004</v>
      </c>
      <c r="K18" s="3">
        <v>24.847089572729701</v>
      </c>
      <c r="L18" s="3">
        <v>23.113299007500601</v>
      </c>
      <c r="M18" s="3">
        <v>4.7160306197345596</v>
      </c>
      <c r="N18" s="3">
        <v>20.147131001826899</v>
      </c>
      <c r="O18" s="3">
        <v>27.447314562531201</v>
      </c>
      <c r="P18" s="3">
        <v>7.1474774454442498</v>
      </c>
      <c r="Q18" s="3">
        <v>11.5065318470497</v>
      </c>
      <c r="R18" s="3">
        <v>1.59778999058824</v>
      </c>
      <c r="S18" s="3">
        <v>1.59778999058824</v>
      </c>
      <c r="T18" s="3">
        <v>1.59778999058824</v>
      </c>
      <c r="U18" s="3">
        <v>1.59778999058824</v>
      </c>
      <c r="V18" s="3">
        <v>1.59778999058824</v>
      </c>
      <c r="W18" s="3">
        <v>0.36054331068765499</v>
      </c>
      <c r="X18" s="3">
        <v>8.50352517873403</v>
      </c>
      <c r="Y18" s="3">
        <v>0.86000995881117204</v>
      </c>
      <c r="Z18" s="3">
        <v>2.8159009434003002</v>
      </c>
      <c r="AA18" s="3">
        <v>7.6757265148509397</v>
      </c>
      <c r="AB18" s="3">
        <v>13.0250595705983</v>
      </c>
      <c r="AC18" s="3">
        <v>6.3882221224226496</v>
      </c>
      <c r="AD18" s="3">
        <v>7.1474774454442498</v>
      </c>
      <c r="AE18" s="3">
        <v>9.6791244279131003</v>
      </c>
      <c r="AF18" s="3">
        <v>10.755341373867999</v>
      </c>
      <c r="AG18" s="3">
        <v>29.1775657140922</v>
      </c>
      <c r="AH18" s="3">
        <v>30.3643035893883</v>
      </c>
      <c r="AI18" s="3">
        <v>7.1474774454442498</v>
      </c>
      <c r="AJ18" s="3">
        <v>-3.7745851460845898</v>
      </c>
      <c r="AK18" s="3">
        <v>28.488322140451501</v>
      </c>
      <c r="AL18" s="3">
        <v>-2.2672125476224498</v>
      </c>
      <c r="AM18" s="3">
        <v>-3.7745851460845898</v>
      </c>
      <c r="AN18" s="3">
        <v>1.3458768619038</v>
      </c>
      <c r="AO18" s="3">
        <v>31.078934364606901</v>
      </c>
      <c r="AP18" s="3">
        <v>6.9606806803738701</v>
      </c>
      <c r="AQ18" s="3">
        <v>23.261150360401601</v>
      </c>
      <c r="AR18" s="3">
        <v>32.558150856654699</v>
      </c>
      <c r="AS18" s="3">
        <v>32.558150856654699</v>
      </c>
      <c r="AT18" s="3">
        <v>5.6387920799615197</v>
      </c>
      <c r="AU18" s="3">
        <v>25.345600000000001</v>
      </c>
      <c r="AV18" s="3">
        <v>29.884230936654699</v>
      </c>
      <c r="AW18" s="3">
        <v>29.884230936654699</v>
      </c>
      <c r="AX18" s="3">
        <v>31.3047700566547</v>
      </c>
      <c r="AY18" s="3">
        <v>25.345600000000001</v>
      </c>
      <c r="AZ18" s="3">
        <v>27.272191136866699</v>
      </c>
      <c r="BA18" s="3">
        <v>26.902910767663201</v>
      </c>
      <c r="BB18" s="3">
        <v>695.81734781433533</v>
      </c>
    </row>
    <row r="19" spans="2:54" x14ac:dyDescent="0.25">
      <c r="B19" t="s">
        <v>244</v>
      </c>
      <c r="C19" t="s">
        <v>244</v>
      </c>
      <c r="D19" t="s">
        <v>331</v>
      </c>
      <c r="E19" t="s">
        <v>262</v>
      </c>
      <c r="F19" s="3">
        <v>4.4841652119267099</v>
      </c>
      <c r="G19" s="3">
        <v>27.5283874768404</v>
      </c>
      <c r="H19" s="3">
        <v>23.817163291931202</v>
      </c>
      <c r="I19" s="3">
        <v>24.1036645442089</v>
      </c>
      <c r="J19" s="3">
        <v>7.1150184117522004</v>
      </c>
      <c r="K19" s="3">
        <v>24.847089572729701</v>
      </c>
      <c r="L19" s="3">
        <v>23.287779651897701</v>
      </c>
      <c r="M19" s="3">
        <v>4.6807730082742296</v>
      </c>
      <c r="N19" s="3">
        <v>20.147131001826899</v>
      </c>
      <c r="O19" s="3">
        <v>27.447314562531201</v>
      </c>
      <c r="P19" s="3">
        <v>7.1474774454442498</v>
      </c>
      <c r="Q19" s="3">
        <v>11.5065318470497</v>
      </c>
      <c r="R19" s="3">
        <v>1.59778999058824</v>
      </c>
      <c r="S19" s="3">
        <v>1.59778999058824</v>
      </c>
      <c r="T19" s="3">
        <v>1.59778999058824</v>
      </c>
      <c r="U19" s="3">
        <v>1.59778999058824</v>
      </c>
      <c r="V19" s="3">
        <v>1.59778999058824</v>
      </c>
      <c r="W19" s="3">
        <v>0.36054331068765499</v>
      </c>
      <c r="X19" s="3">
        <v>8.5035251787340194</v>
      </c>
      <c r="Y19" s="3">
        <v>1.0362717138677799</v>
      </c>
      <c r="Z19" s="3">
        <v>2.8159009434003002</v>
      </c>
      <c r="AA19" s="3">
        <v>7.50238245382985</v>
      </c>
      <c r="AB19" s="3">
        <v>9.45610708742268</v>
      </c>
      <c r="AC19" s="3">
        <v>6.2410306776989701</v>
      </c>
      <c r="AD19" s="3">
        <v>7.1474774454442498</v>
      </c>
      <c r="AE19" s="3">
        <v>9.45610708742268</v>
      </c>
      <c r="AF19" s="3">
        <v>10.507527641085201</v>
      </c>
      <c r="AG19" s="3">
        <v>29.945788285718901</v>
      </c>
      <c r="AH19" s="3">
        <v>30.694639295187802</v>
      </c>
      <c r="AI19" s="3">
        <v>7.1474774454442498</v>
      </c>
      <c r="AJ19" s="3">
        <v>-3.7745851460845898</v>
      </c>
      <c r="AK19" s="3">
        <v>28.488322140451501</v>
      </c>
      <c r="AL19" s="3">
        <v>-2.2672125476224498</v>
      </c>
      <c r="AM19" s="3">
        <v>-3.7745851460845898</v>
      </c>
      <c r="AN19" s="3">
        <v>1.45012418373206</v>
      </c>
      <c r="AO19" s="3">
        <v>31.078934364606901</v>
      </c>
      <c r="AP19" s="3">
        <v>6.8003001852534704</v>
      </c>
      <c r="AQ19" s="3">
        <v>23.628688727751701</v>
      </c>
      <c r="AR19" s="3">
        <v>32.558150856654699</v>
      </c>
      <c r="AS19" s="3">
        <v>32.558150856654699</v>
      </c>
      <c r="AT19" s="3">
        <v>4.6962104296011304</v>
      </c>
      <c r="AU19" s="3">
        <v>25.345600000000001</v>
      </c>
      <c r="AV19" s="3">
        <v>29.884230936654699</v>
      </c>
      <c r="AW19" s="3">
        <v>29.884230936654699</v>
      </c>
      <c r="AX19" s="3">
        <v>31.3047700566547</v>
      </c>
      <c r="AY19" s="3">
        <v>25.345600000000001</v>
      </c>
      <c r="AZ19" s="3">
        <v>27.574870830087601</v>
      </c>
      <c r="BA19" s="3">
        <v>27.380745207215</v>
      </c>
      <c r="BB19" s="3">
        <v>693.07877141747974</v>
      </c>
    </row>
    <row r="20" spans="2:54" x14ac:dyDescent="0.25">
      <c r="B20" t="s">
        <v>244</v>
      </c>
      <c r="C20" t="s">
        <v>244</v>
      </c>
      <c r="D20" t="s">
        <v>331</v>
      </c>
      <c r="E20" t="s">
        <v>263</v>
      </c>
      <c r="F20" s="3">
        <v>4.4841652119267099</v>
      </c>
      <c r="G20" s="3">
        <v>27.5283874768404</v>
      </c>
      <c r="H20" s="3">
        <v>23.817163291931202</v>
      </c>
      <c r="I20" s="3">
        <v>24.1036645442089</v>
      </c>
      <c r="J20" s="3">
        <v>7.1150184117522004</v>
      </c>
      <c r="K20" s="3">
        <v>24.847089572729701</v>
      </c>
      <c r="L20" s="3">
        <v>23.287779651897701</v>
      </c>
      <c r="M20" s="3">
        <v>4.6807730082742198</v>
      </c>
      <c r="N20" s="3">
        <v>20.147131001826899</v>
      </c>
      <c r="O20" s="3">
        <v>27.447314562531201</v>
      </c>
      <c r="P20" s="3">
        <v>7.1474774454442498</v>
      </c>
      <c r="Q20" s="3">
        <v>11.5065318470497</v>
      </c>
      <c r="R20" s="3">
        <v>1.59778999058824</v>
      </c>
      <c r="S20" s="3">
        <v>1.59778999058824</v>
      </c>
      <c r="T20" s="3">
        <v>1.59778999058824</v>
      </c>
      <c r="U20" s="3">
        <v>1.59778999058824</v>
      </c>
      <c r="V20" s="3">
        <v>1.59778999058824</v>
      </c>
      <c r="W20" s="3">
        <v>0.36054331068765499</v>
      </c>
      <c r="X20" s="3">
        <v>8.50352517873403</v>
      </c>
      <c r="Y20" s="3">
        <v>1.0362717138677799</v>
      </c>
      <c r="Z20" s="3">
        <v>2.8159009434003002</v>
      </c>
      <c r="AA20" s="3">
        <v>7.50238245382985</v>
      </c>
      <c r="AB20" s="3">
        <v>9.45610708742268</v>
      </c>
      <c r="AC20" s="3">
        <v>6.2410306776989701</v>
      </c>
      <c r="AD20" s="3">
        <v>7.1474774454442498</v>
      </c>
      <c r="AE20" s="3">
        <v>9.45610708742268</v>
      </c>
      <c r="AF20" s="3">
        <v>10.507527641085201</v>
      </c>
      <c r="AG20" s="3">
        <v>29.945788285718901</v>
      </c>
      <c r="AH20" s="3">
        <v>30.694639295187802</v>
      </c>
      <c r="AI20" s="3">
        <v>7.1474774454442498</v>
      </c>
      <c r="AJ20" s="3">
        <v>-3.7745851460845898</v>
      </c>
      <c r="AK20" s="3">
        <v>28.488322140451501</v>
      </c>
      <c r="AL20" s="3">
        <v>-2.2672125476224498</v>
      </c>
      <c r="AM20" s="3">
        <v>-3.7745851460845898</v>
      </c>
      <c r="AN20" s="3">
        <v>1.45012418373207</v>
      </c>
      <c r="AO20" s="3">
        <v>31.078934364606901</v>
      </c>
      <c r="AP20" s="3">
        <v>6.8003001852534704</v>
      </c>
      <c r="AQ20" s="3">
        <v>23.628688727751701</v>
      </c>
      <c r="AR20" s="3">
        <v>32.558150856654699</v>
      </c>
      <c r="AS20" s="3">
        <v>32.558150856654699</v>
      </c>
      <c r="AT20" s="3">
        <v>4.6962104296011304</v>
      </c>
      <c r="AU20" s="3">
        <v>25.345600000000001</v>
      </c>
      <c r="AV20" s="3">
        <v>29.884230936654699</v>
      </c>
      <c r="AW20" s="3">
        <v>29.884230936654699</v>
      </c>
      <c r="AX20" s="3">
        <v>31.3047700566547</v>
      </c>
      <c r="AY20" s="3">
        <v>25.345600000000001</v>
      </c>
      <c r="AZ20" s="3">
        <v>27.574870830087601</v>
      </c>
      <c r="BA20" s="3">
        <v>27.380745207215</v>
      </c>
      <c r="BB20" s="3">
        <v>693.07877141747986</v>
      </c>
    </row>
    <row r="21" spans="2:54" x14ac:dyDescent="0.25">
      <c r="B21" t="s">
        <v>244</v>
      </c>
      <c r="C21" t="s">
        <v>244</v>
      </c>
      <c r="D21" t="s">
        <v>331</v>
      </c>
      <c r="E21" t="s">
        <v>264</v>
      </c>
      <c r="F21" s="3">
        <v>4.4841652119267099</v>
      </c>
      <c r="G21" s="3">
        <v>27.5283874768404</v>
      </c>
      <c r="H21" s="3">
        <v>23.817163291931202</v>
      </c>
      <c r="I21" s="3">
        <v>24.1036645442089</v>
      </c>
      <c r="J21" s="3">
        <v>7.1150184117522004</v>
      </c>
      <c r="K21" s="3">
        <v>24.847089572729701</v>
      </c>
      <c r="L21" s="3">
        <v>23.287779651897701</v>
      </c>
      <c r="M21" s="3">
        <v>4.6807730082742198</v>
      </c>
      <c r="N21" s="3">
        <v>20.147131001826899</v>
      </c>
      <c r="O21" s="3">
        <v>27.447314562531201</v>
      </c>
      <c r="P21" s="3">
        <v>7.1474774454442498</v>
      </c>
      <c r="Q21" s="3">
        <v>11.5065318470497</v>
      </c>
      <c r="R21" s="3">
        <v>1.59778999058824</v>
      </c>
      <c r="S21" s="3">
        <v>1.59778999058824</v>
      </c>
      <c r="T21" s="3">
        <v>1.59778999058824</v>
      </c>
      <c r="U21" s="3">
        <v>1.59778999058824</v>
      </c>
      <c r="V21" s="3">
        <v>1.59778999058824</v>
      </c>
      <c r="W21" s="3">
        <v>0.36054331068765499</v>
      </c>
      <c r="X21" s="3">
        <v>8.5035251787340194</v>
      </c>
      <c r="Y21" s="3">
        <v>1.0362717138677799</v>
      </c>
      <c r="Z21" s="3">
        <v>2.8159009434003002</v>
      </c>
      <c r="AA21" s="3">
        <v>7.50238245382985</v>
      </c>
      <c r="AB21" s="3">
        <v>9.45610708742268</v>
      </c>
      <c r="AC21" s="3">
        <v>6.2410306776989701</v>
      </c>
      <c r="AD21" s="3">
        <v>7.1474774454442498</v>
      </c>
      <c r="AE21" s="3">
        <v>9.45610708742268</v>
      </c>
      <c r="AF21" s="3">
        <v>10.507527641085201</v>
      </c>
      <c r="AG21" s="3">
        <v>29.945788285718901</v>
      </c>
      <c r="AH21" s="3">
        <v>30.694639295187802</v>
      </c>
      <c r="AI21" s="3">
        <v>7.1474774454442498</v>
      </c>
      <c r="AJ21" s="3">
        <v>-3.7745851460845898</v>
      </c>
      <c r="AK21" s="3">
        <v>28.488322140451501</v>
      </c>
      <c r="AL21" s="3">
        <v>-2.2672125476224498</v>
      </c>
      <c r="AM21" s="3">
        <v>-3.7745851460845898</v>
      </c>
      <c r="AN21" s="3">
        <v>1.45012418373207</v>
      </c>
      <c r="AO21" s="3">
        <v>31.078934364606901</v>
      </c>
      <c r="AP21" s="3">
        <v>6.8003001852534704</v>
      </c>
      <c r="AQ21" s="3">
        <v>23.628688727751701</v>
      </c>
      <c r="AR21" s="3">
        <v>32.558150856654699</v>
      </c>
      <c r="AS21" s="3">
        <v>32.558150856654699</v>
      </c>
      <c r="AT21" s="3">
        <v>4.6962104296011304</v>
      </c>
      <c r="AU21" s="3">
        <v>25.345600000000001</v>
      </c>
      <c r="AV21" s="3">
        <v>29.884230936654699</v>
      </c>
      <c r="AW21" s="3">
        <v>29.884230936654699</v>
      </c>
      <c r="AX21" s="3">
        <v>31.3047700566547</v>
      </c>
      <c r="AY21" s="3">
        <v>25.345600000000001</v>
      </c>
      <c r="AZ21" s="3">
        <v>27.574870830087601</v>
      </c>
      <c r="BA21" s="3">
        <v>27.380745207215</v>
      </c>
      <c r="BB21" s="3">
        <v>693.07877141747974</v>
      </c>
    </row>
    <row r="22" spans="2:54" x14ac:dyDescent="0.25">
      <c r="B22" t="s">
        <v>244</v>
      </c>
      <c r="C22" t="s">
        <v>244</v>
      </c>
      <c r="D22" t="s">
        <v>331</v>
      </c>
      <c r="E22" t="s">
        <v>265</v>
      </c>
      <c r="F22" s="3">
        <v>4.5051480948970299</v>
      </c>
      <c r="G22" s="3">
        <v>27.5283874768404</v>
      </c>
      <c r="H22" s="3">
        <v>23.796643465450501</v>
      </c>
      <c r="I22" s="3">
        <v>24.1036645442089</v>
      </c>
      <c r="J22" s="3">
        <v>7.1150184117522004</v>
      </c>
      <c r="K22" s="3">
        <v>24.847089572729701</v>
      </c>
      <c r="L22" s="3">
        <v>23.287779651897701</v>
      </c>
      <c r="M22" s="3">
        <v>4.7026758088695502</v>
      </c>
      <c r="N22" s="3">
        <v>20.147131001826899</v>
      </c>
      <c r="O22" s="3">
        <v>27.447314562531201</v>
      </c>
      <c r="P22" s="3">
        <v>2.8159009434003002</v>
      </c>
      <c r="Q22" s="3">
        <v>11.5065318470497</v>
      </c>
      <c r="R22" s="3">
        <v>1.59778999058824</v>
      </c>
      <c r="S22" s="3">
        <v>1.59778999058824</v>
      </c>
      <c r="T22" s="3">
        <v>1.59778999058824</v>
      </c>
      <c r="U22" s="3">
        <v>1.59778999058824</v>
      </c>
      <c r="V22" s="3">
        <v>1.59778999058824</v>
      </c>
      <c r="W22" s="3">
        <v>0.36054331068765499</v>
      </c>
      <c r="X22" s="3">
        <v>8.50352517873403</v>
      </c>
      <c r="Y22" s="3">
        <v>1.0013002422505699</v>
      </c>
      <c r="Z22" s="3">
        <v>2.8159009434003002</v>
      </c>
      <c r="AA22" s="3">
        <v>7.4585768526391902</v>
      </c>
      <c r="AB22" s="3">
        <v>9.5003551694334405</v>
      </c>
      <c r="AC22" s="3">
        <v>6.2702344118260704</v>
      </c>
      <c r="AD22" s="3">
        <v>7.1474774454442498</v>
      </c>
      <c r="AE22" s="3">
        <v>9.5003551694334405</v>
      </c>
      <c r="AF22" s="3">
        <v>10.5566954876188</v>
      </c>
      <c r="AG22" s="3">
        <v>29.7933679614647</v>
      </c>
      <c r="AH22" s="3">
        <v>30.6290985557585</v>
      </c>
      <c r="AI22" s="3">
        <v>7.1474774454442498</v>
      </c>
      <c r="AJ22" s="3">
        <v>-3.7745851460845898</v>
      </c>
      <c r="AK22" s="3">
        <v>28.488322140451501</v>
      </c>
      <c r="AL22" s="3">
        <v>-2.3865395238131</v>
      </c>
      <c r="AM22" s="3">
        <v>-3.7745851460845898</v>
      </c>
      <c r="AN22" s="3">
        <v>1.3877806572868601</v>
      </c>
      <c r="AO22" s="3">
        <v>31.078934364606901</v>
      </c>
      <c r="AP22" s="3">
        <v>6.8962133028614803</v>
      </c>
      <c r="AQ22" s="3">
        <v>23.408887993088602</v>
      </c>
      <c r="AR22" s="3">
        <v>32.558150856654699</v>
      </c>
      <c r="AS22" s="3">
        <v>32.558150856654699</v>
      </c>
      <c r="AT22" s="3">
        <v>4.6962104296011304</v>
      </c>
      <c r="AU22" s="3">
        <v>25.345600000000001</v>
      </c>
      <c r="AV22" s="3">
        <v>29.884230936654699</v>
      </c>
      <c r="AW22" s="3">
        <v>29.884230936654699</v>
      </c>
      <c r="AX22" s="3">
        <v>31.3047700566547</v>
      </c>
      <c r="AY22" s="3">
        <v>25.345600000000001</v>
      </c>
      <c r="AZ22" s="3">
        <v>27.393857839750702</v>
      </c>
      <c r="BA22" s="3">
        <v>27.0949835828761</v>
      </c>
      <c r="BB22" s="3">
        <v>687.867357646345</v>
      </c>
    </row>
    <row r="23" spans="2:54" x14ac:dyDescent="0.25">
      <c r="B23" t="s">
        <v>244</v>
      </c>
      <c r="C23" t="s">
        <v>244</v>
      </c>
      <c r="D23" t="s">
        <v>331</v>
      </c>
      <c r="E23" t="s">
        <v>266</v>
      </c>
      <c r="F23" s="3">
        <v>4.5051480948970299</v>
      </c>
      <c r="G23" s="3">
        <v>27.5283874768404</v>
      </c>
      <c r="H23" s="3">
        <v>23.796643465450501</v>
      </c>
      <c r="I23" s="3">
        <v>24.1036645442089</v>
      </c>
      <c r="J23" s="3">
        <v>7.1150184117522004</v>
      </c>
      <c r="K23" s="3">
        <v>24.847089572729701</v>
      </c>
      <c r="L23" s="3">
        <v>23.287779651897701</v>
      </c>
      <c r="M23" s="3">
        <v>4.7026758088695502</v>
      </c>
      <c r="N23" s="3">
        <v>20.147131001826899</v>
      </c>
      <c r="O23" s="3">
        <v>27.447314562531201</v>
      </c>
      <c r="P23" s="3">
        <v>2.8159009434003002</v>
      </c>
      <c r="Q23" s="3">
        <v>11.5065318470497</v>
      </c>
      <c r="R23" s="3">
        <v>1.59778999058824</v>
      </c>
      <c r="S23" s="3">
        <v>1.59778999058824</v>
      </c>
      <c r="T23" s="3">
        <v>0.43284705882352897</v>
      </c>
      <c r="U23" s="3">
        <v>1.59778999058824</v>
      </c>
      <c r="V23" s="3">
        <v>1.59778999058824</v>
      </c>
      <c r="W23" s="3">
        <v>0.36054331068765499</v>
      </c>
      <c r="X23" s="3">
        <v>8.50352517873403</v>
      </c>
      <c r="Y23" s="3">
        <v>1.0013002422505699</v>
      </c>
      <c r="Z23" s="3">
        <v>2.8159009434003002</v>
      </c>
      <c r="AA23" s="3">
        <v>7.4585768526391902</v>
      </c>
      <c r="AB23" s="3">
        <v>9.5003551694334405</v>
      </c>
      <c r="AC23" s="3">
        <v>6.2702344118260704</v>
      </c>
      <c r="AD23" s="3">
        <v>2.8159009434003002</v>
      </c>
      <c r="AE23" s="3">
        <v>9.5003551694334405</v>
      </c>
      <c r="AF23" s="3">
        <v>10.5566954876188</v>
      </c>
      <c r="AG23" s="3">
        <v>29.7933679614647</v>
      </c>
      <c r="AH23" s="3">
        <v>30.6290985557585</v>
      </c>
      <c r="AI23" s="3">
        <v>7.1474774454442498</v>
      </c>
      <c r="AJ23" s="3">
        <v>-3.7745851460845898</v>
      </c>
      <c r="AK23" s="3">
        <v>28.488322140451501</v>
      </c>
      <c r="AL23" s="3">
        <v>-2.3865395238131</v>
      </c>
      <c r="AM23" s="3">
        <v>-3.7745851460845898</v>
      </c>
      <c r="AN23" s="3">
        <v>0.50625993346189402</v>
      </c>
      <c r="AO23" s="3">
        <v>31.078934364606901</v>
      </c>
      <c r="AP23" s="3">
        <v>8.2523990318229608</v>
      </c>
      <c r="AQ23" s="3">
        <v>20.300964624528</v>
      </c>
      <c r="AR23" s="3">
        <v>32.558150856654699</v>
      </c>
      <c r="AS23" s="3">
        <v>32.558150856654699</v>
      </c>
      <c r="AT23" s="3">
        <v>4.6962104296011304</v>
      </c>
      <c r="AU23" s="3">
        <v>25.345600000000001</v>
      </c>
      <c r="AV23" s="3">
        <v>29.884230936654699</v>
      </c>
      <c r="AW23" s="3">
        <v>29.884230936654699</v>
      </c>
      <c r="AX23" s="3">
        <v>31.3047700566547</v>
      </c>
      <c r="AY23" s="3">
        <v>25.345600000000001</v>
      </c>
      <c r="AZ23" s="3">
        <v>25.345600000000001</v>
      </c>
      <c r="BA23" s="3">
        <v>27.0949835828761</v>
      </c>
      <c r="BB23" s="3">
        <v>677.68932200936149</v>
      </c>
    </row>
    <row r="24" spans="2:54" x14ac:dyDescent="0.25">
      <c r="B24" t="s">
        <v>244</v>
      </c>
      <c r="C24" t="s">
        <v>244</v>
      </c>
      <c r="D24" t="s">
        <v>331</v>
      </c>
      <c r="E24" t="s">
        <v>267</v>
      </c>
      <c r="F24" s="3">
        <v>4.5051480948970299</v>
      </c>
      <c r="G24" s="3">
        <v>27.5283874768404</v>
      </c>
      <c r="H24" s="3">
        <v>23.817163291931202</v>
      </c>
      <c r="I24" s="3">
        <v>24.1036645442089</v>
      </c>
      <c r="J24" s="3">
        <v>7.1150184117522004</v>
      </c>
      <c r="K24" s="3">
        <v>24.847089572729701</v>
      </c>
      <c r="L24" s="3">
        <v>23.287779651897701</v>
      </c>
      <c r="M24" s="3">
        <v>4.7026758088695502</v>
      </c>
      <c r="N24" s="3">
        <v>20.147131001826899</v>
      </c>
      <c r="O24" s="3">
        <v>27.447314562531201</v>
      </c>
      <c r="P24" s="3">
        <v>2.8159009434003002</v>
      </c>
      <c r="Q24" s="3">
        <v>6.9570026249254804</v>
      </c>
      <c r="R24" s="3">
        <v>1.59778999058824</v>
      </c>
      <c r="S24" s="3">
        <v>1.59778999058824</v>
      </c>
      <c r="T24" s="3">
        <v>0.43284705882352897</v>
      </c>
      <c r="U24" s="3">
        <v>1.59778999058824</v>
      </c>
      <c r="V24" s="3">
        <v>1.59778999058824</v>
      </c>
      <c r="W24" s="3">
        <v>0.36054331068765499</v>
      </c>
      <c r="X24" s="3">
        <v>8.50352517873403</v>
      </c>
      <c r="Y24" s="3">
        <v>1.0013002422505699</v>
      </c>
      <c r="Z24" s="3">
        <v>2.8159009434003002</v>
      </c>
      <c r="AA24" s="3">
        <v>7.4585768526391902</v>
      </c>
      <c r="AB24" s="3">
        <v>9.5003551694334405</v>
      </c>
      <c r="AC24" s="3">
        <v>6.2702344118260704</v>
      </c>
      <c r="AD24" s="3">
        <v>2.8159009434003002</v>
      </c>
      <c r="AE24" s="3">
        <v>9.5003551694334405</v>
      </c>
      <c r="AF24" s="3">
        <v>10.5566954876188</v>
      </c>
      <c r="AG24" s="3">
        <v>29.7933679614647</v>
      </c>
      <c r="AH24" s="3">
        <v>30.6290985557585</v>
      </c>
      <c r="AI24" s="3">
        <v>2.8159009434003002</v>
      </c>
      <c r="AJ24" s="3">
        <v>-3.7745851460845898</v>
      </c>
      <c r="AK24" s="3">
        <v>28.488322140451501</v>
      </c>
      <c r="AL24" s="3">
        <v>-2.3865395238131</v>
      </c>
      <c r="AM24" s="3">
        <v>-3.7745851460845898</v>
      </c>
      <c r="AN24" s="3">
        <v>0.50625993346189402</v>
      </c>
      <c r="AO24" s="3">
        <v>31.078934364606901</v>
      </c>
      <c r="AP24" s="3">
        <v>8.2523990318229608</v>
      </c>
      <c r="AQ24" s="3">
        <v>20.300964624528</v>
      </c>
      <c r="AR24" s="3">
        <v>32.558150856654699</v>
      </c>
      <c r="AS24" s="3">
        <v>32.558150856654699</v>
      </c>
      <c r="AT24" s="3">
        <v>4.6962104296011304</v>
      </c>
      <c r="AU24" s="3">
        <v>25.345600000000001</v>
      </c>
      <c r="AV24" s="3">
        <v>29.320645056660201</v>
      </c>
      <c r="AW24" s="3">
        <v>29.884230936654699</v>
      </c>
      <c r="AX24" s="3">
        <v>27.492679046670499</v>
      </c>
      <c r="AY24" s="3">
        <v>25.345600000000001</v>
      </c>
      <c r="AZ24" s="3">
        <v>25.345600000000001</v>
      </c>
      <c r="BA24" s="3">
        <v>27.0949835828761</v>
      </c>
      <c r="BB24" s="3">
        <v>664.45305922169541</v>
      </c>
    </row>
    <row r="25" spans="2:54" x14ac:dyDescent="0.25">
      <c r="B25" t="s">
        <v>244</v>
      </c>
      <c r="C25" t="s">
        <v>244</v>
      </c>
      <c r="D25" t="s">
        <v>331</v>
      </c>
      <c r="E25" t="s">
        <v>268</v>
      </c>
      <c r="F25" s="3">
        <v>4.3401036444016903</v>
      </c>
      <c r="G25" s="3">
        <v>27.5283874768404</v>
      </c>
      <c r="H25" s="3">
        <v>23.987388592689602</v>
      </c>
      <c r="I25" s="3">
        <v>24.1036645442089</v>
      </c>
      <c r="J25" s="3">
        <v>7.1150184117522004</v>
      </c>
      <c r="K25" s="3">
        <v>24.847089572729701</v>
      </c>
      <c r="L25" s="3">
        <v>23.287779651897701</v>
      </c>
      <c r="M25" s="3">
        <v>4.5303955891458099</v>
      </c>
      <c r="N25" s="3">
        <v>20.147131001826899</v>
      </c>
      <c r="O25" s="3">
        <v>27.447314562531201</v>
      </c>
      <c r="P25" s="3">
        <v>2.8159009434003002</v>
      </c>
      <c r="Q25" s="3">
        <v>6.9570026249254804</v>
      </c>
      <c r="R25" s="3">
        <v>0.36054331068765499</v>
      </c>
      <c r="S25" s="3">
        <v>1.59778999058824</v>
      </c>
      <c r="T25" s="3">
        <v>0.43284705882352897</v>
      </c>
      <c r="U25" s="3">
        <v>0.43284705882352897</v>
      </c>
      <c r="V25" s="3">
        <v>1.59778999058824</v>
      </c>
      <c r="W25" s="3">
        <v>0.36054331068765499</v>
      </c>
      <c r="X25" s="3">
        <v>4.1041462900255796</v>
      </c>
      <c r="Y25" s="3">
        <v>1.27637432640947</v>
      </c>
      <c r="Z25" s="3">
        <v>2.8159009434003002</v>
      </c>
      <c r="AA25" s="3">
        <v>7.7775267142176396</v>
      </c>
      <c r="AB25" s="3">
        <v>9.1523143215066902</v>
      </c>
      <c r="AC25" s="3">
        <v>6.0405274521944197</v>
      </c>
      <c r="AD25" s="3">
        <v>2.8159009434003002</v>
      </c>
      <c r="AE25" s="3">
        <v>9.1523143215066902</v>
      </c>
      <c r="AF25" s="3">
        <v>10.1699573913974</v>
      </c>
      <c r="AG25" s="3">
        <v>30.992256059751</v>
      </c>
      <c r="AH25" s="3">
        <v>30.8629501366018</v>
      </c>
      <c r="AI25" s="3">
        <v>2.8159009434003002</v>
      </c>
      <c r="AJ25" s="3">
        <v>-3.7745851460845898</v>
      </c>
      <c r="AK25" s="3">
        <v>28.488322140451501</v>
      </c>
      <c r="AL25" s="3">
        <v>-2.3865395238131</v>
      </c>
      <c r="AM25" s="3">
        <v>-3.7745851460845898</v>
      </c>
      <c r="AN25" s="3">
        <v>1.2762674292935701</v>
      </c>
      <c r="AO25" s="3">
        <v>31.078934364606901</v>
      </c>
      <c r="AP25" s="3">
        <v>7.0677721151588502</v>
      </c>
      <c r="AQ25" s="3">
        <v>23.015732667505102</v>
      </c>
      <c r="AR25" s="3">
        <v>32.558150856654699</v>
      </c>
      <c r="AS25" s="3">
        <v>32.558150856654699</v>
      </c>
      <c r="AT25" s="3">
        <v>4.6962104296011304</v>
      </c>
      <c r="AU25" s="3">
        <v>25.345600000000001</v>
      </c>
      <c r="AV25" s="3">
        <v>28.422077718568399</v>
      </c>
      <c r="AW25" s="3">
        <v>29.884230936654699</v>
      </c>
      <c r="AX25" s="3">
        <v>26.670912335766101</v>
      </c>
      <c r="AY25" s="3">
        <v>25.345600000000001</v>
      </c>
      <c r="AZ25" s="3">
        <v>25.345600000000001</v>
      </c>
      <c r="BA25" s="3">
        <v>26.5838446886935</v>
      </c>
      <c r="BB25" s="3">
        <v>658.26730390398711</v>
      </c>
    </row>
    <row r="26" spans="2:54" x14ac:dyDescent="0.25">
      <c r="B26" t="s">
        <v>244</v>
      </c>
      <c r="C26" t="s">
        <v>244</v>
      </c>
      <c r="D26" t="s">
        <v>331</v>
      </c>
      <c r="E26" t="s">
        <v>269</v>
      </c>
      <c r="F26" s="3">
        <v>4.2958149430257802</v>
      </c>
      <c r="G26" s="3">
        <v>27.5283874768404</v>
      </c>
      <c r="H26" s="3">
        <v>23.987388592689602</v>
      </c>
      <c r="I26" s="3">
        <v>24.1036645442089</v>
      </c>
      <c r="J26" s="3">
        <v>7.1150184117522004</v>
      </c>
      <c r="K26" s="3">
        <v>24.847089572729701</v>
      </c>
      <c r="L26" s="3">
        <v>23.287779651897701</v>
      </c>
      <c r="M26" s="3">
        <v>4.4841652119267099</v>
      </c>
      <c r="N26" s="3">
        <v>20.147131001826899</v>
      </c>
      <c r="O26" s="3">
        <v>27.447314562531201</v>
      </c>
      <c r="P26" s="3">
        <v>2.8159009434003002</v>
      </c>
      <c r="Q26" s="3">
        <v>6.9570026249254804</v>
      </c>
      <c r="R26" s="3">
        <v>0.36054331068765499</v>
      </c>
      <c r="S26" s="3">
        <v>1.59778999058824</v>
      </c>
      <c r="T26" s="3">
        <v>0.43284705882352897</v>
      </c>
      <c r="U26" s="3">
        <v>0.43284705882352897</v>
      </c>
      <c r="V26" s="3">
        <v>1.59778999058824</v>
      </c>
      <c r="W26" s="3">
        <v>0.36054331068765499</v>
      </c>
      <c r="X26" s="3">
        <v>4.1041462900255796</v>
      </c>
      <c r="Y26" s="3">
        <v>1.35018882870265</v>
      </c>
      <c r="Z26" s="3">
        <v>2.8159009434003002</v>
      </c>
      <c r="AA26" s="3">
        <v>7.8511335290938797</v>
      </c>
      <c r="AB26" s="3">
        <v>9.0589196200539508</v>
      </c>
      <c r="AC26" s="3">
        <v>5.9788869492356103</v>
      </c>
      <c r="AD26" s="3">
        <v>2.8159009434003002</v>
      </c>
      <c r="AE26" s="3">
        <v>9.0589196200539508</v>
      </c>
      <c r="AF26" s="3">
        <v>9.4677072246509493</v>
      </c>
      <c r="AG26" s="3">
        <v>31.3047700566547</v>
      </c>
      <c r="AH26" s="3">
        <v>30.8629501366018</v>
      </c>
      <c r="AI26" s="3">
        <v>2.8159009434003002</v>
      </c>
      <c r="AJ26" s="3">
        <v>-3.7745851460845898</v>
      </c>
      <c r="AK26" s="3">
        <v>28.488322140451501</v>
      </c>
      <c r="AL26" s="3">
        <v>-2.2672125476224498</v>
      </c>
      <c r="AM26" s="3">
        <v>-3.7745851460845898</v>
      </c>
      <c r="AN26" s="3">
        <v>1.3877806572868601</v>
      </c>
      <c r="AO26" s="3">
        <v>31.078934364606901</v>
      </c>
      <c r="AP26" s="3">
        <v>6.8962133028614803</v>
      </c>
      <c r="AQ26" s="3">
        <v>23.408887993088602</v>
      </c>
      <c r="AR26" s="3">
        <v>32.558150856654699</v>
      </c>
      <c r="AS26" s="3">
        <v>32.558150856654699</v>
      </c>
      <c r="AT26" s="3">
        <v>4.6962104296011304</v>
      </c>
      <c r="AU26" s="3">
        <v>25.345600000000001</v>
      </c>
      <c r="AV26" s="3">
        <v>29.320645056660201</v>
      </c>
      <c r="AW26" s="3">
        <v>29.884230936654699</v>
      </c>
      <c r="AX26" s="3">
        <v>27.492679046670499</v>
      </c>
      <c r="AY26" s="3">
        <v>20.104117370228298</v>
      </c>
      <c r="AZ26" s="3">
        <v>25.345600000000001</v>
      </c>
      <c r="BA26" s="3">
        <v>27.0949835828761</v>
      </c>
      <c r="BB26" s="3">
        <v>655.1284670977318</v>
      </c>
    </row>
    <row r="27" spans="2:54" x14ac:dyDescent="0.25">
      <c r="B27" t="s">
        <v>244</v>
      </c>
      <c r="C27" t="s">
        <v>244</v>
      </c>
      <c r="D27" t="s">
        <v>331</v>
      </c>
      <c r="E27" t="s">
        <v>270</v>
      </c>
      <c r="F27" s="3">
        <v>4.2521934966377204</v>
      </c>
      <c r="G27" s="3">
        <v>27.5283874768404</v>
      </c>
      <c r="H27" s="3">
        <v>23.987388592689602</v>
      </c>
      <c r="I27" s="3">
        <v>24.1036645442089</v>
      </c>
      <c r="J27" s="3">
        <v>6.7060021300814299</v>
      </c>
      <c r="K27" s="3">
        <v>24.847089572729701</v>
      </c>
      <c r="L27" s="3">
        <v>23.287779651897701</v>
      </c>
      <c r="M27" s="3">
        <v>4.4386313430456301</v>
      </c>
      <c r="N27" s="3">
        <v>20.147131001826899</v>
      </c>
      <c r="O27" s="3">
        <v>27.447314562531201</v>
      </c>
      <c r="P27" s="3">
        <v>2.8159009434003002</v>
      </c>
      <c r="Q27" s="3">
        <v>6.9570026249254804</v>
      </c>
      <c r="R27" s="3">
        <v>0.36054331068765499</v>
      </c>
      <c r="S27" s="3">
        <v>1.59778999058824</v>
      </c>
      <c r="T27" s="3">
        <v>0.43284705882352897</v>
      </c>
      <c r="U27" s="3">
        <v>0.43284705882352897</v>
      </c>
      <c r="V27" s="3">
        <v>1.59778999058824</v>
      </c>
      <c r="W27" s="3">
        <v>0.36054331068765499</v>
      </c>
      <c r="X27" s="3">
        <v>4.1041462900255796</v>
      </c>
      <c r="Y27" s="3">
        <v>1.42289123934943</v>
      </c>
      <c r="Z27" s="3">
        <v>2.8159009434003002</v>
      </c>
      <c r="AA27" s="3">
        <v>7.8511335290938797</v>
      </c>
      <c r="AB27" s="3">
        <v>8.9669320061527902</v>
      </c>
      <c r="AC27" s="3">
        <v>5.9181751240608396</v>
      </c>
      <c r="AD27" s="3">
        <v>2.8159009434003002</v>
      </c>
      <c r="AE27" s="3">
        <v>8.9669320061527902</v>
      </c>
      <c r="AF27" s="3">
        <v>9.5733191835797005</v>
      </c>
      <c r="AG27" s="3">
        <v>31.3047700566547</v>
      </c>
      <c r="AH27" s="3">
        <v>25.345600000000001</v>
      </c>
      <c r="AI27" s="3">
        <v>2.8159009434003002</v>
      </c>
      <c r="AJ27" s="3">
        <v>-3.7745851460845898</v>
      </c>
      <c r="AK27" s="3">
        <v>28.488322140451501</v>
      </c>
      <c r="AL27" s="3">
        <v>-2.2672125476224498</v>
      </c>
      <c r="AM27" s="3">
        <v>-3.7745851460845898</v>
      </c>
      <c r="AN27" s="3">
        <v>1.50133418299946</v>
      </c>
      <c r="AO27" s="3">
        <v>31.078934364606901</v>
      </c>
      <c r="AP27" s="3">
        <v>6.7755998109959403</v>
      </c>
      <c r="AQ27" s="3">
        <v>23.809236670784198</v>
      </c>
      <c r="AR27" s="3">
        <v>32.558150856654699</v>
      </c>
      <c r="AS27" s="3">
        <v>32.558150856654699</v>
      </c>
      <c r="AT27" s="3">
        <v>4.6962104296011304</v>
      </c>
      <c r="AU27" s="3">
        <v>25.345600000000001</v>
      </c>
      <c r="AV27" s="3">
        <v>30.438159075351798</v>
      </c>
      <c r="AW27" s="3">
        <v>29.884230936654699</v>
      </c>
      <c r="AX27" s="3">
        <v>28.514679046670501</v>
      </c>
      <c r="AY27" s="3">
        <v>20.104117370228298</v>
      </c>
      <c r="AZ27" s="3">
        <v>25.345600000000001</v>
      </c>
      <c r="BA27" s="3">
        <v>27.730667582876102</v>
      </c>
      <c r="BB27" s="3">
        <v>652.21505941102282</v>
      </c>
    </row>
    <row r="28" spans="2:54" x14ac:dyDescent="0.25">
      <c r="B28" t="s">
        <v>244</v>
      </c>
      <c r="C28" t="s">
        <v>244</v>
      </c>
      <c r="D28" t="s">
        <v>331</v>
      </c>
      <c r="E28" t="s">
        <v>271</v>
      </c>
      <c r="F28" s="3">
        <v>4.7197894987081197</v>
      </c>
      <c r="G28" s="3">
        <v>27.447314562531201</v>
      </c>
      <c r="H28" s="3">
        <v>23.987388592689602</v>
      </c>
      <c r="I28" s="3">
        <v>22.475591039742099</v>
      </c>
      <c r="J28" s="3">
        <v>6.7026328993122002</v>
      </c>
      <c r="K28" s="3">
        <v>24.847089572729701</v>
      </c>
      <c r="L28" s="3">
        <v>22.195291909539002</v>
      </c>
      <c r="M28" s="3">
        <v>4.7160306197345596</v>
      </c>
      <c r="N28" s="3">
        <v>20.147131001826899</v>
      </c>
      <c r="O28" s="3">
        <v>27.447314562531201</v>
      </c>
      <c r="P28" s="3">
        <v>2.8159009434003002</v>
      </c>
      <c r="Q28" s="3">
        <v>6.9570026249254804</v>
      </c>
      <c r="R28" s="3">
        <v>0.36054331068765499</v>
      </c>
      <c r="S28" s="3">
        <v>0.36054331068765499</v>
      </c>
      <c r="T28" s="3">
        <v>0.43284705882352897</v>
      </c>
      <c r="U28" s="3">
        <v>0.43284705882352897</v>
      </c>
      <c r="V28" s="3">
        <v>1.59778999058824</v>
      </c>
      <c r="W28" s="3">
        <v>0.36054331068765499</v>
      </c>
      <c r="X28" s="3">
        <v>4.1041462900255796</v>
      </c>
      <c r="Y28" s="3">
        <v>1.62650995881117</v>
      </c>
      <c r="Z28" s="3">
        <v>2.8159009434003002</v>
      </c>
      <c r="AA28" s="3">
        <v>6.5318133938415501</v>
      </c>
      <c r="AB28" s="3">
        <v>8.7093009319935693</v>
      </c>
      <c r="AC28" s="3">
        <v>5.7481386151157601</v>
      </c>
      <c r="AD28" s="3">
        <v>2.8159009434003002</v>
      </c>
      <c r="AE28" s="3">
        <v>8.7093009319935693</v>
      </c>
      <c r="AF28" s="3">
        <v>7.5515724442041101</v>
      </c>
      <c r="AG28" s="3">
        <v>31.3047700566547</v>
      </c>
      <c r="AH28" s="3">
        <v>25.345600000000001</v>
      </c>
      <c r="AI28" s="3">
        <v>2.8159009434003002</v>
      </c>
      <c r="AJ28" s="3">
        <v>-3.7745851460845898</v>
      </c>
      <c r="AK28" s="3">
        <v>24.014374516938201</v>
      </c>
      <c r="AL28" s="3">
        <v>-0.25324682801802001</v>
      </c>
      <c r="AM28" s="3">
        <v>-3.7745851460845898</v>
      </c>
      <c r="AN28" s="3">
        <v>1.50133418299946</v>
      </c>
      <c r="AO28" s="3">
        <v>31.078934364606901</v>
      </c>
      <c r="AP28" s="3">
        <v>6.7755998109959403</v>
      </c>
      <c r="AQ28" s="3">
        <v>23.809236670784198</v>
      </c>
      <c r="AR28" s="3">
        <v>32.558150856654699</v>
      </c>
      <c r="AS28" s="3">
        <v>32.558150856654699</v>
      </c>
      <c r="AT28" s="3">
        <v>4.6962104296011304</v>
      </c>
      <c r="AU28" s="3">
        <v>25.345600000000001</v>
      </c>
      <c r="AV28" s="3">
        <v>30.235652999364898</v>
      </c>
      <c r="AW28" s="3">
        <v>29.884230936654699</v>
      </c>
      <c r="AX28" s="3">
        <v>28.329481182306399</v>
      </c>
      <c r="AY28" s="3">
        <v>20.104117370228298</v>
      </c>
      <c r="AZ28" s="3">
        <v>25.345600000000001</v>
      </c>
      <c r="BA28" s="3">
        <v>27.615474511241601</v>
      </c>
      <c r="BB28" s="3">
        <v>642.13217888965346</v>
      </c>
    </row>
    <row r="29" spans="2:54" x14ac:dyDescent="0.25">
      <c r="B29" t="s">
        <v>244</v>
      </c>
      <c r="C29" t="s">
        <v>244</v>
      </c>
      <c r="D29" t="s">
        <v>331</v>
      </c>
      <c r="E29" t="s">
        <v>272</v>
      </c>
      <c r="F29" s="3">
        <v>4.7197894987081197</v>
      </c>
      <c r="G29" s="3">
        <v>27.447314562531201</v>
      </c>
      <c r="H29" s="3">
        <v>23.987388592689602</v>
      </c>
      <c r="I29" s="3">
        <v>22.475591039742099</v>
      </c>
      <c r="J29" s="3">
        <v>6.7026328993122002</v>
      </c>
      <c r="K29" s="3">
        <v>24.6669974075635</v>
      </c>
      <c r="L29" s="3">
        <v>22.195291909539002</v>
      </c>
      <c r="M29" s="3">
        <v>4.7160306197345596</v>
      </c>
      <c r="N29" s="3">
        <v>20.147131001826899</v>
      </c>
      <c r="O29" s="3">
        <v>27.447314562531201</v>
      </c>
      <c r="P29" s="3">
        <v>2.8159009434003002</v>
      </c>
      <c r="Q29" s="3">
        <v>6.9570026249254804</v>
      </c>
      <c r="R29" s="3">
        <v>-2.3669717157854402</v>
      </c>
      <c r="S29" s="3">
        <v>0.36054331068765499</v>
      </c>
      <c r="T29" s="3">
        <v>0.43284705882352897</v>
      </c>
      <c r="U29" s="3">
        <v>0.43284705882352897</v>
      </c>
      <c r="V29" s="3">
        <v>1.59778999058824</v>
      </c>
      <c r="W29" s="3">
        <v>0.36054331068765499</v>
      </c>
      <c r="X29" s="3">
        <v>4.1041462900255796</v>
      </c>
      <c r="Y29" s="3">
        <v>1.87127895881117</v>
      </c>
      <c r="Z29" s="3">
        <v>2.8159009434003002</v>
      </c>
      <c r="AA29" s="3">
        <v>5.6822207367489197</v>
      </c>
      <c r="AB29" s="3">
        <v>8.3996039622966006</v>
      </c>
      <c r="AC29" s="3">
        <v>5.5437386151157604</v>
      </c>
      <c r="AD29" s="3">
        <v>2.8159009434003002</v>
      </c>
      <c r="AE29" s="3">
        <v>8.3996039622966006</v>
      </c>
      <c r="AF29" s="3">
        <v>8.0721736968137101</v>
      </c>
      <c r="AG29" s="3">
        <v>27.689013142440601</v>
      </c>
      <c r="AH29" s="3">
        <v>25.345600000000001</v>
      </c>
      <c r="AI29" s="3">
        <v>2.8159009434003002</v>
      </c>
      <c r="AJ29" s="3">
        <v>-3.7745851460845898</v>
      </c>
      <c r="AK29" s="3">
        <v>23.0897034036572</v>
      </c>
      <c r="AL29" s="3">
        <v>-0.25324682801802001</v>
      </c>
      <c r="AM29" s="3">
        <v>-3.7745851460845898</v>
      </c>
      <c r="AN29" s="3">
        <v>1.50133418299946</v>
      </c>
      <c r="AO29" s="3">
        <v>31.078934364606901</v>
      </c>
      <c r="AP29" s="3">
        <v>6.7755998109959403</v>
      </c>
      <c r="AQ29" s="3">
        <v>23.809236670784198</v>
      </c>
      <c r="AR29" s="3">
        <v>32.558150856654699</v>
      </c>
      <c r="AS29" s="3">
        <v>32.558150856654699</v>
      </c>
      <c r="AT29" s="3">
        <v>4.6962104296011304</v>
      </c>
      <c r="AU29" s="3">
        <v>20.104117370228298</v>
      </c>
      <c r="AV29" s="3">
        <v>31.3047700566547</v>
      </c>
      <c r="AW29" s="3">
        <v>29.884230936654699</v>
      </c>
      <c r="AX29" s="3">
        <v>29.3072207133322</v>
      </c>
      <c r="AY29" s="3">
        <v>20.104117370228298</v>
      </c>
      <c r="AZ29" s="3">
        <v>25.345600000000001</v>
      </c>
      <c r="BA29" s="3">
        <v>28.223628499539601</v>
      </c>
      <c r="BB29" s="3">
        <v>631.18965527348405</v>
      </c>
    </row>
    <row r="30" spans="2:54" x14ac:dyDescent="0.25">
      <c r="B30" t="s">
        <v>244</v>
      </c>
      <c r="C30" t="s">
        <v>244</v>
      </c>
      <c r="D30" t="s">
        <v>331</v>
      </c>
      <c r="E30" t="s">
        <v>273</v>
      </c>
      <c r="F30" s="3">
        <v>4.7197894987081197</v>
      </c>
      <c r="G30" s="3">
        <v>27.447314562531201</v>
      </c>
      <c r="H30" s="3">
        <v>23.987388592689602</v>
      </c>
      <c r="I30" s="3">
        <v>22.475591039742099</v>
      </c>
      <c r="J30" s="3">
        <v>6.7026328993122002</v>
      </c>
      <c r="K30" s="3">
        <v>24.803711242758698</v>
      </c>
      <c r="L30" s="3">
        <v>22.195291909539002</v>
      </c>
      <c r="M30" s="3">
        <v>4.7160306197345596</v>
      </c>
      <c r="N30" s="3">
        <v>20.147131001826899</v>
      </c>
      <c r="O30" s="3">
        <v>27.447314562531201</v>
      </c>
      <c r="P30" s="3">
        <v>2.8159009434003002</v>
      </c>
      <c r="Q30" s="3">
        <v>6.9570026249254804</v>
      </c>
      <c r="R30" s="3">
        <v>-2.3669717157854402</v>
      </c>
      <c r="S30" s="3">
        <v>0.36054331068765499</v>
      </c>
      <c r="T30" s="3">
        <v>0.43284705882352897</v>
      </c>
      <c r="U30" s="3">
        <v>0.43284705882352897</v>
      </c>
      <c r="V30" s="3">
        <v>1.59778999058824</v>
      </c>
      <c r="W30" s="3">
        <v>0.36054331068765499</v>
      </c>
      <c r="X30" s="3">
        <v>4.1041462900255796</v>
      </c>
      <c r="Y30" s="3">
        <v>1.9819865767912099</v>
      </c>
      <c r="Z30" s="3">
        <v>2.8159009434003002</v>
      </c>
      <c r="AA30" s="3">
        <v>5.6822207367489197</v>
      </c>
      <c r="AB30" s="3">
        <v>8.3996039622966006</v>
      </c>
      <c r="AC30" s="3">
        <v>5.4512896648192797</v>
      </c>
      <c r="AD30" s="3">
        <v>2.8159009434003002</v>
      </c>
      <c r="AE30" s="3">
        <v>8.2595297951807201</v>
      </c>
      <c r="AF30" s="3">
        <v>8.3076386641659106</v>
      </c>
      <c r="AG30" s="3">
        <v>27.689013142440601</v>
      </c>
      <c r="AH30" s="3">
        <v>25.345600000000001</v>
      </c>
      <c r="AI30" s="3">
        <v>2.8159009434003002</v>
      </c>
      <c r="AJ30" s="3">
        <v>-3.58585588878036</v>
      </c>
      <c r="AK30" s="3">
        <v>23.0897034036572</v>
      </c>
      <c r="AL30" s="3">
        <v>-0.25324682801802001</v>
      </c>
      <c r="AM30" s="3">
        <v>-3.58585588878036</v>
      </c>
      <c r="AN30" s="3">
        <v>1.80383493703634</v>
      </c>
      <c r="AO30" s="3">
        <v>31.078934364606901</v>
      </c>
      <c r="AP30" s="3">
        <v>8.7534893566216905</v>
      </c>
      <c r="AQ30" s="3">
        <v>24.875744963860999</v>
      </c>
      <c r="AR30" s="3">
        <v>32.558150856654699</v>
      </c>
      <c r="AS30" s="3">
        <v>32.558150856654699</v>
      </c>
      <c r="AT30" s="3">
        <v>5.9718848436227203</v>
      </c>
      <c r="AU30" s="3">
        <v>20.104117370228298</v>
      </c>
      <c r="AV30" s="3">
        <v>31.3047700566547</v>
      </c>
      <c r="AW30" s="3">
        <v>29.884230936654699</v>
      </c>
      <c r="AX30" s="3">
        <v>29.232327277682799</v>
      </c>
      <c r="AY30" s="3">
        <v>20.104117370228298</v>
      </c>
      <c r="AZ30" s="3">
        <v>21.962537912508498</v>
      </c>
      <c r="BA30" s="3">
        <v>29.002035582876101</v>
      </c>
      <c r="BB30" s="3">
        <v>633.76050165816434</v>
      </c>
    </row>
    <row r="31" spans="2:54" x14ac:dyDescent="0.25">
      <c r="B31" t="s">
        <v>0</v>
      </c>
      <c r="F31" s="3">
        <v>109.25027437483384</v>
      </c>
      <c r="G31" s="3">
        <v>656.15179726886799</v>
      </c>
      <c r="H31" s="3">
        <v>569.3191306459438</v>
      </c>
      <c r="I31" s="3">
        <v>560.58774286646906</v>
      </c>
      <c r="J31" s="3">
        <v>166.23093970675126</v>
      </c>
      <c r="K31" s="3">
        <v>591.80064757021091</v>
      </c>
      <c r="L31" s="3">
        <v>540.92651227879162</v>
      </c>
      <c r="M31" s="3">
        <v>108.65523269832786</v>
      </c>
      <c r="N31" s="3">
        <v>481.28389115157347</v>
      </c>
      <c r="O31" s="3">
        <v>654.20604732544723</v>
      </c>
      <c r="P31" s="3">
        <v>106.56581116000271</v>
      </c>
      <c r="Q31" s="3">
        <v>221.13253015153205</v>
      </c>
      <c r="R31" s="3">
        <v>19.282216242265129</v>
      </c>
      <c r="S31" s="3">
        <v>34.635219734415998</v>
      </c>
      <c r="T31" s="3">
        <v>23.202701661176519</v>
      </c>
      <c r="U31" s="3">
        <v>24.367644592941229</v>
      </c>
      <c r="V31" s="3">
        <v>38.346959774117757</v>
      </c>
      <c r="W31" s="3">
        <v>8.6530394565037199</v>
      </c>
      <c r="X31" s="3">
        <v>151.29205762511523</v>
      </c>
      <c r="Y31" s="3">
        <v>29.960024853462613</v>
      </c>
      <c r="Z31" s="3">
        <v>67.581622641607211</v>
      </c>
      <c r="AA31" s="3">
        <v>181.87535789571325</v>
      </c>
      <c r="AB31" s="3">
        <v>239.30851685916804</v>
      </c>
      <c r="AC31" s="3">
        <v>145.53462877363876</v>
      </c>
      <c r="AD31" s="3">
        <v>110.89738766204667</v>
      </c>
      <c r="AE31" s="3">
        <v>218.37035446583744</v>
      </c>
      <c r="AF31" s="3">
        <v>234.08584382413002</v>
      </c>
      <c r="AG31" s="3">
        <v>718.11571602351171</v>
      </c>
      <c r="AH31" s="3">
        <v>679.24423443531259</v>
      </c>
      <c r="AI31" s="3">
        <v>115.22896416409063</v>
      </c>
      <c r="AJ31" s="3">
        <v>-90.40131424872591</v>
      </c>
      <c r="AK31" s="3">
        <v>634.59985297936123</v>
      </c>
      <c r="AL31" s="3">
        <v>-39.577186617487378</v>
      </c>
      <c r="AM31" s="3">
        <v>-90.401314248725924</v>
      </c>
      <c r="AN31" s="3">
        <v>33.346561298275681</v>
      </c>
      <c r="AO31" s="3">
        <v>745.89442475056535</v>
      </c>
      <c r="AP31" s="3">
        <v>178.13866749081097</v>
      </c>
      <c r="AQ31" s="3">
        <v>561.95372223114373</v>
      </c>
      <c r="AR31" s="3">
        <v>781.39562055971305</v>
      </c>
      <c r="AS31" s="3">
        <v>781.39562055971305</v>
      </c>
      <c r="AT31" s="3">
        <v>131.7202357461133</v>
      </c>
      <c r="AU31" s="3">
        <v>566.36253896182632</v>
      </c>
      <c r="AV31" s="3">
        <v>733.97010113927934</v>
      </c>
      <c r="AW31" s="3">
        <v>717.22154247971298</v>
      </c>
      <c r="AX31" s="3">
        <v>719.19139331721044</v>
      </c>
      <c r="AY31" s="3">
        <v>555.87957370228298</v>
      </c>
      <c r="AZ31" s="3">
        <v>622.02034444683511</v>
      </c>
      <c r="BA31" s="3">
        <v>662.88130320017376</v>
      </c>
      <c r="BB31" s="3">
        <v>16011.684735631883</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N144"/>
  <sheetViews>
    <sheetView zoomScale="55" zoomScaleNormal="55" workbookViewId="0">
      <selection activeCell="H9" sqref="H9"/>
    </sheetView>
  </sheetViews>
  <sheetFormatPr defaultRowHeight="15" x14ac:dyDescent="0.25"/>
  <cols>
    <col min="2" max="2" width="18" customWidth="1"/>
    <col min="3" max="3" width="8.5703125" customWidth="1"/>
    <col min="4" max="4" width="10.28515625" customWidth="1"/>
    <col min="5" max="13" width="13.5703125" customWidth="1"/>
    <col min="14" max="14" width="12.5703125" customWidth="1"/>
    <col min="15" max="15" width="13.42578125" customWidth="1"/>
    <col min="16" max="28" width="30" customWidth="1"/>
    <col min="29" max="29" width="12.5703125" customWidth="1"/>
    <col min="30" max="192" width="41.5703125" customWidth="1"/>
    <col min="193" max="193" width="12.28515625" customWidth="1"/>
    <col min="194" max="198" width="53.28515625" bestFit="1" customWidth="1"/>
    <col min="199" max="199" width="12.85546875" bestFit="1" customWidth="1"/>
  </cols>
  <sheetData>
    <row r="1" spans="2:14" x14ac:dyDescent="0.25">
      <c r="B1" s="1" t="s">
        <v>186</v>
      </c>
      <c r="C1" t="s">
        <v>238</v>
      </c>
    </row>
    <row r="3" spans="2:14" x14ac:dyDescent="0.25">
      <c r="B3" s="1" t="s">
        <v>13</v>
      </c>
      <c r="E3" s="1" t="s">
        <v>12</v>
      </c>
    </row>
    <row r="4" spans="2:14" x14ac:dyDescent="0.25">
      <c r="B4" s="1" t="s">
        <v>11</v>
      </c>
      <c r="C4" s="1" t="s">
        <v>180</v>
      </c>
      <c r="D4" s="1" t="s">
        <v>243</v>
      </c>
      <c r="E4" t="s">
        <v>9</v>
      </c>
      <c r="F4" t="s">
        <v>219</v>
      </c>
      <c r="G4" t="s">
        <v>220</v>
      </c>
      <c r="H4" t="s">
        <v>224</v>
      </c>
      <c r="I4" t="s">
        <v>10</v>
      </c>
      <c r="J4" t="s">
        <v>223</v>
      </c>
      <c r="K4" t="s">
        <v>156</v>
      </c>
      <c r="L4" t="s">
        <v>179</v>
      </c>
      <c r="M4" t="s">
        <v>302</v>
      </c>
      <c r="N4" t="s">
        <v>0</v>
      </c>
    </row>
    <row r="5" spans="2:14" x14ac:dyDescent="0.25">
      <c r="B5" t="s">
        <v>17</v>
      </c>
      <c r="C5" t="s">
        <v>244</v>
      </c>
      <c r="D5" t="s">
        <v>244</v>
      </c>
      <c r="E5" s="5"/>
      <c r="F5" s="5">
        <v>0.78061100000000005</v>
      </c>
      <c r="G5" s="3">
        <v>0.14964677646775101</v>
      </c>
      <c r="H5" s="3">
        <v>0.14892</v>
      </c>
      <c r="I5" s="3">
        <v>0.03</v>
      </c>
      <c r="J5" s="3">
        <v>0.13867322999999998</v>
      </c>
      <c r="K5" s="3">
        <v>0.77382780914700777</v>
      </c>
      <c r="L5" s="3">
        <v>4.6609952953141995</v>
      </c>
      <c r="M5" s="3"/>
      <c r="N5" s="3">
        <v>6.6826741109289589</v>
      </c>
    </row>
    <row r="6" spans="2:14" x14ac:dyDescent="0.25">
      <c r="B6" t="s">
        <v>20</v>
      </c>
      <c r="C6" t="s">
        <v>244</v>
      </c>
      <c r="D6" t="s">
        <v>244</v>
      </c>
      <c r="E6" s="5"/>
      <c r="F6" s="5">
        <v>0.11622</v>
      </c>
      <c r="G6" s="3">
        <v>1.8467089975317299</v>
      </c>
      <c r="H6" s="3"/>
      <c r="I6" s="3">
        <v>4.0200000000000001E-4</v>
      </c>
      <c r="J6" s="3"/>
      <c r="K6" s="3"/>
      <c r="L6" s="3"/>
      <c r="M6" s="3"/>
      <c r="N6" s="3">
        <v>1.9633309975317299</v>
      </c>
    </row>
    <row r="7" spans="2:14" x14ac:dyDescent="0.25">
      <c r="B7" t="s">
        <v>21</v>
      </c>
      <c r="C7" t="s">
        <v>244</v>
      </c>
      <c r="D7" t="s">
        <v>244</v>
      </c>
      <c r="E7" s="5">
        <v>8.7830410424068805E-2</v>
      </c>
      <c r="F7" s="5">
        <v>0.98593299999999995</v>
      </c>
      <c r="G7" s="3">
        <v>7.4781798035693403E-2</v>
      </c>
      <c r="H7" s="3">
        <v>1.01616</v>
      </c>
      <c r="I7" s="3">
        <v>0.64760399999999996</v>
      </c>
      <c r="J7" s="3">
        <v>9.1104000000000004E-2</v>
      </c>
      <c r="K7" s="3"/>
      <c r="L7" s="3"/>
      <c r="M7" s="3">
        <v>0.32412000000000002</v>
      </c>
      <c r="N7" s="3">
        <v>3.2275332084597621</v>
      </c>
    </row>
    <row r="8" spans="2:14" x14ac:dyDescent="0.25">
      <c r="B8" t="s">
        <v>0</v>
      </c>
      <c r="E8" s="5">
        <v>8.7830410424068805E-2</v>
      </c>
      <c r="F8" s="5">
        <v>1.8827639999999999</v>
      </c>
      <c r="G8" s="3">
        <v>2.0711375720351741</v>
      </c>
      <c r="H8" s="3">
        <v>1.1650799999999999</v>
      </c>
      <c r="I8" s="3">
        <v>0.678006</v>
      </c>
      <c r="J8" s="3">
        <v>0.22977723</v>
      </c>
      <c r="K8" s="3">
        <v>0.77382780914700777</v>
      </c>
      <c r="L8" s="3">
        <v>4.6609952953141995</v>
      </c>
      <c r="M8" s="3">
        <v>0.32412000000000002</v>
      </c>
      <c r="N8" s="3">
        <v>11.873538316920451</v>
      </c>
    </row>
    <row r="126" spans="2:3" x14ac:dyDescent="0.25">
      <c r="B126" s="2"/>
      <c r="C126" s="3"/>
    </row>
    <row r="127" spans="2:3" x14ac:dyDescent="0.25">
      <c r="B127" s="4"/>
      <c r="C127" s="3"/>
    </row>
    <row r="128" spans="2:3" x14ac:dyDescent="0.25">
      <c r="B128" s="2"/>
      <c r="C128" s="3"/>
    </row>
    <row r="129" spans="2:3" x14ac:dyDescent="0.25">
      <c r="B129" s="4"/>
      <c r="C129" s="3"/>
    </row>
    <row r="130" spans="2:3" x14ac:dyDescent="0.25">
      <c r="B130" s="2"/>
      <c r="C130" s="3"/>
    </row>
    <row r="131" spans="2:3" x14ac:dyDescent="0.25">
      <c r="B131" s="4"/>
      <c r="C131" s="3"/>
    </row>
    <row r="132" spans="2:3" x14ac:dyDescent="0.25">
      <c r="B132" s="2"/>
      <c r="C132" s="3"/>
    </row>
    <row r="133" spans="2:3" x14ac:dyDescent="0.25">
      <c r="B133" s="4"/>
      <c r="C133" s="3"/>
    </row>
    <row r="134" spans="2:3" x14ac:dyDescent="0.25">
      <c r="B134" s="2"/>
      <c r="C134" s="3"/>
    </row>
    <row r="135" spans="2:3" x14ac:dyDescent="0.25">
      <c r="B135" s="4"/>
      <c r="C135" s="3"/>
    </row>
    <row r="136" spans="2:3" x14ac:dyDescent="0.25">
      <c r="B136" s="2"/>
      <c r="C136" s="3"/>
    </row>
    <row r="137" spans="2:3" x14ac:dyDescent="0.25">
      <c r="B137" s="4"/>
      <c r="C137" s="3"/>
    </row>
    <row r="138" spans="2:3" x14ac:dyDescent="0.25">
      <c r="B138" s="2"/>
      <c r="C138" s="3"/>
    </row>
    <row r="139" spans="2:3" x14ac:dyDescent="0.25">
      <c r="B139" s="4"/>
      <c r="C139" s="3"/>
    </row>
    <row r="140" spans="2:3" x14ac:dyDescent="0.25">
      <c r="B140" s="2"/>
      <c r="C140" s="3"/>
    </row>
    <row r="141" spans="2:3" x14ac:dyDescent="0.25">
      <c r="B141" s="4"/>
      <c r="C141" s="3"/>
    </row>
    <row r="142" spans="2:3" x14ac:dyDescent="0.25">
      <c r="B142" s="2"/>
      <c r="C142" s="3"/>
    </row>
    <row r="143" spans="2:3" x14ac:dyDescent="0.25">
      <c r="B143" s="4"/>
      <c r="C143" s="3"/>
    </row>
    <row r="144" spans="2:3" x14ac:dyDescent="0.25">
      <c r="B144" s="2"/>
      <c r="C144" s="3"/>
    </row>
  </sheetData>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P79"/>
  <sheetViews>
    <sheetView zoomScale="70" zoomScaleNormal="70" workbookViewId="0">
      <selection activeCell="K17" sqref="K17"/>
    </sheetView>
  </sheetViews>
  <sheetFormatPr defaultRowHeight="15" x14ac:dyDescent="0.25"/>
  <cols>
    <col min="2" max="2" width="16" bestFit="1" customWidth="1"/>
    <col min="3" max="3" width="9.5703125" customWidth="1"/>
    <col min="4" max="5" width="9.140625" customWidth="1"/>
    <col min="6" max="15" width="18.7109375" bestFit="1" customWidth="1"/>
    <col min="16" max="16" width="12.5703125" customWidth="1"/>
    <col min="17" max="41" width="18.7109375" bestFit="1" customWidth="1"/>
    <col min="42" max="42" width="12.5703125" bestFit="1" customWidth="1"/>
    <col min="43" max="97" width="15.42578125" customWidth="1"/>
    <col min="98" max="98" width="12.28515625" customWidth="1"/>
    <col min="99" max="114" width="17" bestFit="1" customWidth="1"/>
    <col min="115" max="115" width="12.5703125" bestFit="1" customWidth="1"/>
  </cols>
  <sheetData>
    <row r="2" spans="2:16" x14ac:dyDescent="0.25">
      <c r="B2" s="1" t="s">
        <v>186</v>
      </c>
      <c r="C2" t="s">
        <v>238</v>
      </c>
    </row>
    <row r="3" spans="2:16" x14ac:dyDescent="0.25">
      <c r="B3" s="1" t="s">
        <v>11</v>
      </c>
      <c r="C3" t="s">
        <v>213</v>
      </c>
    </row>
    <row r="5" spans="2:16" x14ac:dyDescent="0.25">
      <c r="B5" s="1" t="s">
        <v>14</v>
      </c>
      <c r="F5" s="1" t="s">
        <v>337</v>
      </c>
    </row>
    <row r="6" spans="2:16" x14ac:dyDescent="0.25">
      <c r="B6" s="1" t="s">
        <v>180</v>
      </c>
      <c r="C6" s="1" t="s">
        <v>243</v>
      </c>
      <c r="D6" s="1" t="s">
        <v>15</v>
      </c>
      <c r="E6" s="1" t="s">
        <v>88</v>
      </c>
      <c r="F6" t="s">
        <v>339</v>
      </c>
      <c r="G6" t="s">
        <v>341</v>
      </c>
      <c r="H6" t="s">
        <v>350</v>
      </c>
      <c r="I6" t="s">
        <v>351</v>
      </c>
      <c r="J6" t="s">
        <v>352</v>
      </c>
      <c r="K6" t="s">
        <v>340</v>
      </c>
      <c r="L6" t="s">
        <v>353</v>
      </c>
      <c r="M6" t="s">
        <v>342</v>
      </c>
      <c r="N6" t="s">
        <v>338</v>
      </c>
      <c r="O6" t="s">
        <v>343</v>
      </c>
      <c r="P6" t="s">
        <v>0</v>
      </c>
    </row>
    <row r="7" spans="2:16" x14ac:dyDescent="0.25">
      <c r="B7" t="s">
        <v>244</v>
      </c>
      <c r="C7" t="s">
        <v>244</v>
      </c>
      <c r="D7" t="s">
        <v>331</v>
      </c>
      <c r="E7" t="s">
        <v>46</v>
      </c>
      <c r="F7" s="3">
        <v>20809.621937293425</v>
      </c>
      <c r="G7" s="3">
        <v>72402.42842906338</v>
      </c>
      <c r="H7" s="3"/>
      <c r="I7" s="3">
        <v>505.31300060067673</v>
      </c>
      <c r="J7" s="3">
        <v>-40.05118246564863</v>
      </c>
      <c r="K7" s="3">
        <v>3673.1823385077814</v>
      </c>
      <c r="L7" s="3">
        <v>13294.80428180544</v>
      </c>
      <c r="M7" s="3">
        <v>13829.162535144897</v>
      </c>
      <c r="N7" s="3"/>
      <c r="O7" s="3">
        <v>17311.331966654056</v>
      </c>
      <c r="P7" s="3">
        <v>141785.79330660403</v>
      </c>
    </row>
    <row r="8" spans="2:16" x14ac:dyDescent="0.25">
      <c r="B8" t="s">
        <v>244</v>
      </c>
      <c r="C8" t="s">
        <v>244</v>
      </c>
      <c r="D8" t="s">
        <v>331</v>
      </c>
      <c r="E8" t="s">
        <v>47</v>
      </c>
      <c r="F8" s="3">
        <v>16744.690097235438</v>
      </c>
      <c r="G8" s="3">
        <v>70321.246188416582</v>
      </c>
      <c r="H8" s="3"/>
      <c r="I8" s="3">
        <v>2757.8847750426471</v>
      </c>
      <c r="J8" s="3">
        <v>-60.165267707763668</v>
      </c>
      <c r="K8" s="3">
        <v>3551.3077508025908</v>
      </c>
      <c r="L8" s="3">
        <v>12844.474748525401</v>
      </c>
      <c r="M8" s="3">
        <v>13829.162535144897</v>
      </c>
      <c r="N8" s="3"/>
      <c r="O8" s="3">
        <v>17318.522643738739</v>
      </c>
      <c r="P8" s="3">
        <v>137307.12347119855</v>
      </c>
    </row>
    <row r="9" spans="2:16" x14ac:dyDescent="0.25">
      <c r="B9" t="s">
        <v>244</v>
      </c>
      <c r="C9" t="s">
        <v>244</v>
      </c>
      <c r="D9" t="s">
        <v>331</v>
      </c>
      <c r="E9" t="s">
        <v>48</v>
      </c>
      <c r="F9" s="3">
        <v>20864.072724111687</v>
      </c>
      <c r="G9" s="3">
        <v>68932.399271442409</v>
      </c>
      <c r="H9" s="3"/>
      <c r="I9" s="3">
        <v>674.61766444961995</v>
      </c>
      <c r="J9" s="3">
        <v>-60.608493528030557</v>
      </c>
      <c r="K9" s="3">
        <v>3137.5526831599527</v>
      </c>
      <c r="L9" s="3">
        <v>13068.475156046816</v>
      </c>
      <c r="M9" s="3">
        <v>13829.162535144897</v>
      </c>
      <c r="N9" s="3"/>
      <c r="O9" s="3">
        <v>17210.80544110779</v>
      </c>
      <c r="P9" s="3">
        <v>137656.47698193515</v>
      </c>
    </row>
    <row r="10" spans="2:16" x14ac:dyDescent="0.25">
      <c r="B10" t="s">
        <v>244</v>
      </c>
      <c r="C10" t="s">
        <v>244</v>
      </c>
      <c r="D10" t="s">
        <v>331</v>
      </c>
      <c r="E10" t="s">
        <v>49</v>
      </c>
      <c r="F10" s="3">
        <v>20257.268202436688</v>
      </c>
      <c r="G10" s="3">
        <v>67651.072856757048</v>
      </c>
      <c r="H10" s="3"/>
      <c r="I10" s="3"/>
      <c r="J10" s="3">
        <v>-44.314323745013873</v>
      </c>
      <c r="K10" s="3">
        <v>3582.5132506952145</v>
      </c>
      <c r="L10" s="3">
        <v>13030.467173629591</v>
      </c>
      <c r="M10" s="3">
        <v>13829.162535144897</v>
      </c>
      <c r="N10" s="3"/>
      <c r="O10" s="3">
        <v>16825.233279227745</v>
      </c>
      <c r="P10" s="3">
        <v>135131.40297414619</v>
      </c>
    </row>
    <row r="11" spans="2:16" x14ac:dyDescent="0.25">
      <c r="B11" t="s">
        <v>244</v>
      </c>
      <c r="C11" t="s">
        <v>244</v>
      </c>
      <c r="D11" t="s">
        <v>331</v>
      </c>
      <c r="E11" t="s">
        <v>50</v>
      </c>
      <c r="F11" s="3">
        <v>20818.070069892896</v>
      </c>
      <c r="G11" s="3">
        <v>69004.735172355024</v>
      </c>
      <c r="H11" s="3"/>
      <c r="I11" s="3"/>
      <c r="J11" s="3">
        <v>-52.320631874888527</v>
      </c>
      <c r="K11" s="3">
        <v>3787.6589693923429</v>
      </c>
      <c r="L11" s="3">
        <v>13401.637482671171</v>
      </c>
      <c r="M11" s="3">
        <v>13829.162535144897</v>
      </c>
      <c r="N11" s="3"/>
      <c r="O11" s="3">
        <v>16070.588950084248</v>
      </c>
      <c r="P11" s="3">
        <v>136859.5325476657</v>
      </c>
    </row>
    <row r="12" spans="2:16" x14ac:dyDescent="0.25">
      <c r="B12" t="s">
        <v>244</v>
      </c>
      <c r="C12" t="s">
        <v>244</v>
      </c>
      <c r="D12" t="s">
        <v>331</v>
      </c>
      <c r="E12" t="s">
        <v>51</v>
      </c>
      <c r="F12" s="3">
        <v>24792.799199606321</v>
      </c>
      <c r="G12" s="3">
        <v>72281.419952075259</v>
      </c>
      <c r="H12" s="3"/>
      <c r="I12" s="3"/>
      <c r="J12" s="3">
        <v>-87.696527877162637</v>
      </c>
      <c r="K12" s="3">
        <v>4685.3021864712855</v>
      </c>
      <c r="L12" s="3">
        <v>15574.696880894766</v>
      </c>
      <c r="M12" s="3">
        <v>13829.162535144897</v>
      </c>
      <c r="N12" s="3">
        <v>91.934696158323504</v>
      </c>
      <c r="O12" s="3">
        <v>15373.778556644525</v>
      </c>
      <c r="P12" s="3">
        <v>146541.39747911823</v>
      </c>
    </row>
    <row r="13" spans="2:16" x14ac:dyDescent="0.25">
      <c r="B13" t="s">
        <v>244</v>
      </c>
      <c r="C13" t="s">
        <v>244</v>
      </c>
      <c r="D13" t="s">
        <v>331</v>
      </c>
      <c r="E13" t="s">
        <v>187</v>
      </c>
      <c r="F13" s="3">
        <v>28760.639416850314</v>
      </c>
      <c r="G13" s="3">
        <v>89823.201216026064</v>
      </c>
      <c r="H13" s="3"/>
      <c r="I13" s="3"/>
      <c r="J13" s="3">
        <v>-165.80999358887249</v>
      </c>
      <c r="K13" s="3">
        <v>5148.6881745072442</v>
      </c>
      <c r="L13" s="3">
        <v>18720.34389511164</v>
      </c>
      <c r="M13" s="3">
        <v>13829.162535144897</v>
      </c>
      <c r="N13" s="3">
        <v>183.86939231664701</v>
      </c>
      <c r="O13" s="3">
        <v>14270.277819800309</v>
      </c>
      <c r="P13" s="3">
        <v>170570.37245616823</v>
      </c>
    </row>
    <row r="14" spans="2:16" x14ac:dyDescent="0.25">
      <c r="B14" t="s">
        <v>244</v>
      </c>
      <c r="C14" t="s">
        <v>244</v>
      </c>
      <c r="D14" t="s">
        <v>331</v>
      </c>
      <c r="E14" t="s">
        <v>188</v>
      </c>
      <c r="F14" s="3">
        <v>34170.179991506622</v>
      </c>
      <c r="G14" s="3">
        <v>98850.697022532884</v>
      </c>
      <c r="H14" s="3"/>
      <c r="I14" s="3">
        <v>4502.7209747767311</v>
      </c>
      <c r="J14" s="3">
        <v>-189.73111485509961</v>
      </c>
      <c r="K14" s="3">
        <v>5399.5378066672047</v>
      </c>
      <c r="L14" s="3">
        <v>23138.528779208435</v>
      </c>
      <c r="M14" s="3">
        <v>13829.162535144897</v>
      </c>
      <c r="N14" s="3">
        <v>220.643270779977</v>
      </c>
      <c r="O14" s="3">
        <v>14486.213089911464</v>
      </c>
      <c r="P14" s="3">
        <v>194407.9523556731</v>
      </c>
    </row>
    <row r="15" spans="2:16" x14ac:dyDescent="0.25">
      <c r="B15" t="s">
        <v>244</v>
      </c>
      <c r="C15" t="s">
        <v>244</v>
      </c>
      <c r="D15" t="s">
        <v>331</v>
      </c>
      <c r="E15" t="s">
        <v>189</v>
      </c>
      <c r="F15" s="3">
        <v>38512.29846404925</v>
      </c>
      <c r="G15" s="3">
        <v>102913.07861701172</v>
      </c>
      <c r="H15" s="3"/>
      <c r="I15" s="3">
        <v>2156.8121759081964</v>
      </c>
      <c r="J15" s="3">
        <v>-178.34634083485759</v>
      </c>
      <c r="K15" s="3">
        <v>5644.2842074155533</v>
      </c>
      <c r="L15" s="3">
        <v>23933.608031704818</v>
      </c>
      <c r="M15" s="3">
        <v>13829.162535144897</v>
      </c>
      <c r="N15" s="3">
        <v>1176.0805771593928</v>
      </c>
      <c r="O15" s="3">
        <v>15373.130235023491</v>
      </c>
      <c r="P15" s="3">
        <v>203360.10850258241</v>
      </c>
    </row>
    <row r="16" spans="2:16" x14ac:dyDescent="0.25">
      <c r="B16" t="s">
        <v>244</v>
      </c>
      <c r="C16" t="s">
        <v>244</v>
      </c>
      <c r="D16" t="s">
        <v>331</v>
      </c>
      <c r="E16" t="s">
        <v>190</v>
      </c>
      <c r="F16" s="3">
        <v>34024.769393808456</v>
      </c>
      <c r="G16" s="3">
        <v>103580.01758327866</v>
      </c>
      <c r="H16" s="3"/>
      <c r="I16" s="3">
        <v>93.6</v>
      </c>
      <c r="J16" s="3">
        <v>-189.75871994995151</v>
      </c>
      <c r="K16" s="3">
        <v>5615.3334039600395</v>
      </c>
      <c r="L16" s="3">
        <v>23354.431312800254</v>
      </c>
      <c r="M16" s="3">
        <v>13829.162535144897</v>
      </c>
      <c r="N16" s="3">
        <v>8130.4619303789168</v>
      </c>
      <c r="O16" s="3">
        <v>15993.88832320045</v>
      </c>
      <c r="P16" s="3">
        <v>204431.90576262173</v>
      </c>
    </row>
    <row r="17" spans="2:16" x14ac:dyDescent="0.25">
      <c r="B17" t="s">
        <v>244</v>
      </c>
      <c r="C17" t="s">
        <v>244</v>
      </c>
      <c r="D17" t="s">
        <v>331</v>
      </c>
      <c r="E17" t="s">
        <v>191</v>
      </c>
      <c r="F17" s="3">
        <v>28659.013700262665</v>
      </c>
      <c r="G17" s="3">
        <v>101824.0508709906</v>
      </c>
      <c r="H17" s="3"/>
      <c r="I17" s="3"/>
      <c r="J17" s="3">
        <v>-171.68683531661154</v>
      </c>
      <c r="K17" s="3">
        <v>5626.8577912015098</v>
      </c>
      <c r="L17" s="3">
        <v>20923.610468465518</v>
      </c>
      <c r="M17" s="3">
        <v>13829.162535144897</v>
      </c>
      <c r="N17" s="3">
        <v>18563.825332569784</v>
      </c>
      <c r="O17" s="3">
        <v>16842.929557754676</v>
      </c>
      <c r="P17" s="3">
        <v>206097.76342107303</v>
      </c>
    </row>
    <row r="18" spans="2:16" x14ac:dyDescent="0.25">
      <c r="B18" t="s">
        <v>244</v>
      </c>
      <c r="C18" t="s">
        <v>244</v>
      </c>
      <c r="D18" t="s">
        <v>331</v>
      </c>
      <c r="E18" t="s">
        <v>227</v>
      </c>
      <c r="F18" s="3">
        <v>24621.048798466898</v>
      </c>
      <c r="G18" s="3">
        <v>97535.422663599224</v>
      </c>
      <c r="H18" s="3"/>
      <c r="I18" s="3"/>
      <c r="J18" s="3">
        <v>-168.41824888105452</v>
      </c>
      <c r="K18" s="3">
        <v>5594.2801856647111</v>
      </c>
      <c r="L18" s="3">
        <v>20035.004524290413</v>
      </c>
      <c r="M18" s="3">
        <v>13829.162535144897</v>
      </c>
      <c r="N18" s="3">
        <v>28115.141446769296</v>
      </c>
      <c r="O18" s="3">
        <v>17702.689269213217</v>
      </c>
      <c r="P18" s="3">
        <v>207264.3311742676</v>
      </c>
    </row>
    <row r="19" spans="2:16" x14ac:dyDescent="0.25">
      <c r="B19" t="s">
        <v>244</v>
      </c>
      <c r="C19" t="s">
        <v>244</v>
      </c>
      <c r="D19" t="s">
        <v>331</v>
      </c>
      <c r="E19" t="s">
        <v>262</v>
      </c>
      <c r="F19" s="3">
        <v>22219.017316343066</v>
      </c>
      <c r="G19" s="3">
        <v>97809.492187617201</v>
      </c>
      <c r="H19" s="3"/>
      <c r="I19" s="3"/>
      <c r="J19" s="3">
        <v>-161.97073260761647</v>
      </c>
      <c r="K19" s="3">
        <v>5567.7930249074552</v>
      </c>
      <c r="L19" s="3">
        <v>19374.575620863958</v>
      </c>
      <c r="M19" s="3">
        <v>13829.162535144897</v>
      </c>
      <c r="N19" s="3">
        <v>32167.59619761975</v>
      </c>
      <c r="O19" s="3">
        <v>19900.164076742749</v>
      </c>
      <c r="P19" s="3">
        <v>210705.83022663143</v>
      </c>
    </row>
    <row r="20" spans="2:16" x14ac:dyDescent="0.25">
      <c r="B20" t="s">
        <v>244</v>
      </c>
      <c r="C20" t="s">
        <v>244</v>
      </c>
      <c r="D20" t="s">
        <v>331</v>
      </c>
      <c r="E20" t="s">
        <v>263</v>
      </c>
      <c r="F20" s="3">
        <v>22156.769655480599</v>
      </c>
      <c r="G20" s="3">
        <v>98207.184280870366</v>
      </c>
      <c r="H20" s="3"/>
      <c r="I20" s="3"/>
      <c r="J20" s="3">
        <v>-161.59023818166222</v>
      </c>
      <c r="K20" s="3">
        <v>5542.9470862730286</v>
      </c>
      <c r="L20" s="3">
        <v>19263.520871202032</v>
      </c>
      <c r="M20" s="3">
        <v>13829.162535144897</v>
      </c>
      <c r="N20" s="3">
        <v>27881.221233303357</v>
      </c>
      <c r="O20" s="3">
        <v>21843.206837636131</v>
      </c>
      <c r="P20" s="3">
        <v>208562.42226172876</v>
      </c>
    </row>
    <row r="21" spans="2:16" x14ac:dyDescent="0.25">
      <c r="B21" t="s">
        <v>244</v>
      </c>
      <c r="C21" t="s">
        <v>244</v>
      </c>
      <c r="D21" t="s">
        <v>331</v>
      </c>
      <c r="E21" t="s">
        <v>264</v>
      </c>
      <c r="F21" s="3">
        <v>22344.96007214889</v>
      </c>
      <c r="G21" s="3">
        <v>103541.98271279113</v>
      </c>
      <c r="H21" s="3"/>
      <c r="I21" s="3"/>
      <c r="J21" s="3">
        <v>-157.4730769966682</v>
      </c>
      <c r="K21" s="3">
        <v>5546.3672853824328</v>
      </c>
      <c r="L21" s="3">
        <v>19237.460172733838</v>
      </c>
      <c r="M21" s="3">
        <v>13829.162535144897</v>
      </c>
      <c r="N21" s="3">
        <v>18207.360577234642</v>
      </c>
      <c r="O21" s="3">
        <v>22975.854937674332</v>
      </c>
      <c r="P21" s="3">
        <v>205525.67521611348</v>
      </c>
    </row>
    <row r="22" spans="2:16" x14ac:dyDescent="0.25">
      <c r="B22" t="s">
        <v>244</v>
      </c>
      <c r="C22" t="s">
        <v>244</v>
      </c>
      <c r="D22" t="s">
        <v>331</v>
      </c>
      <c r="E22" t="s">
        <v>265</v>
      </c>
      <c r="F22" s="3">
        <v>27366.652872948158</v>
      </c>
      <c r="G22" s="3">
        <v>106692.20397743314</v>
      </c>
      <c r="H22" s="3"/>
      <c r="I22" s="3"/>
      <c r="J22" s="3">
        <v>-157.4267199980078</v>
      </c>
      <c r="K22" s="3">
        <v>5551.5708092484592</v>
      </c>
      <c r="L22" s="3">
        <v>19378.658504391849</v>
      </c>
      <c r="M22" s="3">
        <v>13829.162535144897</v>
      </c>
      <c r="N22" s="3">
        <v>9142.2192496858097</v>
      </c>
      <c r="O22" s="3">
        <v>24828.31849067349</v>
      </c>
      <c r="P22" s="3">
        <v>206631.3597195278</v>
      </c>
    </row>
    <row r="23" spans="2:16" x14ac:dyDescent="0.25">
      <c r="B23" t="s">
        <v>244</v>
      </c>
      <c r="C23" t="s">
        <v>244</v>
      </c>
      <c r="D23" t="s">
        <v>331</v>
      </c>
      <c r="E23" t="s">
        <v>266</v>
      </c>
      <c r="F23" s="3">
        <v>29823.738396989334</v>
      </c>
      <c r="G23" s="3">
        <v>114075.32506865503</v>
      </c>
      <c r="H23" s="3"/>
      <c r="I23" s="3">
        <v>1648.2963918327739</v>
      </c>
      <c r="J23" s="3">
        <v>-145.85998278604043</v>
      </c>
      <c r="K23" s="3">
        <v>5558.1945354339341</v>
      </c>
      <c r="L23" s="3">
        <v>19534.203465030692</v>
      </c>
      <c r="M23" s="3">
        <v>13829.162535144897</v>
      </c>
      <c r="N23" s="3">
        <v>1256.898982558145</v>
      </c>
      <c r="O23" s="3">
        <v>27359.207206460971</v>
      </c>
      <c r="P23" s="3">
        <v>212939.16659931975</v>
      </c>
    </row>
    <row r="24" spans="2:16" x14ac:dyDescent="0.25">
      <c r="B24" t="s">
        <v>244</v>
      </c>
      <c r="C24" t="s">
        <v>244</v>
      </c>
      <c r="D24" t="s">
        <v>331</v>
      </c>
      <c r="E24" t="s">
        <v>267</v>
      </c>
      <c r="F24" s="3">
        <v>27234.783360428093</v>
      </c>
      <c r="G24" s="3">
        <v>117750.05216365631</v>
      </c>
      <c r="H24" s="3"/>
      <c r="I24" s="3">
        <v>5011.2367588521538</v>
      </c>
      <c r="J24" s="3">
        <v>-129.58032746125465</v>
      </c>
      <c r="K24" s="3">
        <v>5575.1097160966056</v>
      </c>
      <c r="L24" s="3">
        <v>19204.139819617161</v>
      </c>
      <c r="M24" s="3">
        <v>13829.162535144897</v>
      </c>
      <c r="N24" s="3">
        <v>36.773878463329403</v>
      </c>
      <c r="O24" s="3">
        <v>29740.490665036625</v>
      </c>
      <c r="P24" s="3">
        <v>218252.16856983391</v>
      </c>
    </row>
    <row r="25" spans="2:16" x14ac:dyDescent="0.25">
      <c r="B25" t="s">
        <v>244</v>
      </c>
      <c r="C25" t="s">
        <v>244</v>
      </c>
      <c r="D25" t="s">
        <v>331</v>
      </c>
      <c r="E25" t="s">
        <v>268</v>
      </c>
      <c r="F25" s="3">
        <v>29086.119392063174</v>
      </c>
      <c r="G25" s="3">
        <v>115712.66731653859</v>
      </c>
      <c r="H25" s="3"/>
      <c r="I25" s="3">
        <v>26.312000000000001</v>
      </c>
      <c r="J25" s="3">
        <v>-118.47101015296026</v>
      </c>
      <c r="K25" s="3">
        <v>5300.5161436253893</v>
      </c>
      <c r="L25" s="3">
        <v>17904.471965890581</v>
      </c>
      <c r="M25" s="3">
        <v>13829.162535144897</v>
      </c>
      <c r="N25" s="3">
        <v>36.773878463329403</v>
      </c>
      <c r="O25" s="3">
        <v>33353.71920618997</v>
      </c>
      <c r="P25" s="3">
        <v>215131.27142776299</v>
      </c>
    </row>
    <row r="26" spans="2:16" x14ac:dyDescent="0.25">
      <c r="B26" t="s">
        <v>244</v>
      </c>
      <c r="C26" t="s">
        <v>244</v>
      </c>
      <c r="D26" t="s">
        <v>331</v>
      </c>
      <c r="E26" t="s">
        <v>269</v>
      </c>
      <c r="F26" s="3">
        <v>25182.974322702659</v>
      </c>
      <c r="G26" s="3">
        <v>111232.06212035312</v>
      </c>
      <c r="H26" s="3"/>
      <c r="I26" s="3"/>
      <c r="J26" s="3">
        <v>-106.13657204787748</v>
      </c>
      <c r="K26" s="3">
        <v>4620.7321782756871</v>
      </c>
      <c r="L26" s="3">
        <v>17680.150822922595</v>
      </c>
      <c r="M26" s="3">
        <v>13829.162535144897</v>
      </c>
      <c r="N26" s="3">
        <v>18.386939231664702</v>
      </c>
      <c r="O26" s="3">
        <v>36487.941214878956</v>
      </c>
      <c r="P26" s="3">
        <v>208945.27356146168</v>
      </c>
    </row>
    <row r="27" spans="2:16" x14ac:dyDescent="0.25">
      <c r="B27" t="s">
        <v>244</v>
      </c>
      <c r="C27" t="s">
        <v>244</v>
      </c>
      <c r="D27" t="s">
        <v>331</v>
      </c>
      <c r="E27" t="s">
        <v>270</v>
      </c>
      <c r="F27" s="3">
        <v>24991.335211305824</v>
      </c>
      <c r="G27" s="3">
        <v>100436.47552847084</v>
      </c>
      <c r="H27" s="3"/>
      <c r="I27" s="3"/>
      <c r="J27" s="3">
        <v>-92.290889559574865</v>
      </c>
      <c r="K27" s="3">
        <v>4056.7775380156995</v>
      </c>
      <c r="L27" s="3">
        <v>16563.255732682872</v>
      </c>
      <c r="M27" s="3">
        <v>13829.162535144897</v>
      </c>
      <c r="N27" s="3"/>
      <c r="O27" s="3">
        <v>38564.951405288346</v>
      </c>
      <c r="P27" s="3">
        <v>198349.66706134891</v>
      </c>
    </row>
    <row r="28" spans="2:16" x14ac:dyDescent="0.25">
      <c r="B28" t="s">
        <v>244</v>
      </c>
      <c r="C28" t="s">
        <v>244</v>
      </c>
      <c r="D28" t="s">
        <v>331</v>
      </c>
      <c r="E28" t="s">
        <v>271</v>
      </c>
      <c r="F28" s="3">
        <v>20376.7240189888</v>
      </c>
      <c r="G28" s="3">
        <v>92112.850295830387</v>
      </c>
      <c r="H28" s="3"/>
      <c r="I28" s="3"/>
      <c r="J28" s="3">
        <v>-78.511752412715765</v>
      </c>
      <c r="K28" s="3">
        <v>2956.3155893291614</v>
      </c>
      <c r="L28" s="3">
        <v>15788.260943413785</v>
      </c>
      <c r="M28" s="3">
        <v>13829.162535144897</v>
      </c>
      <c r="N28" s="3"/>
      <c r="O28" s="3">
        <v>40924.497954198225</v>
      </c>
      <c r="P28" s="3">
        <v>185909.29958449252</v>
      </c>
    </row>
    <row r="29" spans="2:16" x14ac:dyDescent="0.25">
      <c r="B29" t="s">
        <v>244</v>
      </c>
      <c r="C29" t="s">
        <v>244</v>
      </c>
      <c r="D29" t="s">
        <v>331</v>
      </c>
      <c r="E29" t="s">
        <v>272</v>
      </c>
      <c r="F29" s="3">
        <v>13798.453339673219</v>
      </c>
      <c r="G29" s="3">
        <v>85447.321891112297</v>
      </c>
      <c r="H29" s="3"/>
      <c r="I29" s="3"/>
      <c r="J29" s="3">
        <v>-74.272496127250861</v>
      </c>
      <c r="K29" s="3">
        <v>2936.8891016682715</v>
      </c>
      <c r="L29" s="3">
        <v>13596.317936724781</v>
      </c>
      <c r="M29" s="3">
        <v>13829.162535144897</v>
      </c>
      <c r="N29" s="3"/>
      <c r="O29" s="3">
        <v>44003.310531339106</v>
      </c>
      <c r="P29" s="3">
        <v>173537.18283953532</v>
      </c>
    </row>
    <row r="30" spans="2:16" x14ac:dyDescent="0.25">
      <c r="B30" t="s">
        <v>244</v>
      </c>
      <c r="C30" t="s">
        <v>244</v>
      </c>
      <c r="D30" t="s">
        <v>331</v>
      </c>
      <c r="E30" t="s">
        <v>273</v>
      </c>
      <c r="F30" s="3">
        <v>11025.06111914153</v>
      </c>
      <c r="G30" s="3">
        <v>79964.288350616844</v>
      </c>
      <c r="H30" s="3"/>
      <c r="I30" s="3"/>
      <c r="J30" s="3">
        <v>-139.22085916839791</v>
      </c>
      <c r="K30" s="3">
        <v>2799.3009125389381</v>
      </c>
      <c r="L30" s="3">
        <v>11069.177955501118</v>
      </c>
      <c r="M30" s="3">
        <v>13829.162535144897</v>
      </c>
      <c r="N30" s="3"/>
      <c r="O30" s="3">
        <v>45979.24053604174</v>
      </c>
      <c r="P30" s="3">
        <v>164527.01054981665</v>
      </c>
    </row>
    <row r="31" spans="2:16" x14ac:dyDescent="0.25">
      <c r="B31" t="s">
        <v>333</v>
      </c>
      <c r="C31" t="s">
        <v>333</v>
      </c>
      <c r="D31" t="s">
        <v>331</v>
      </c>
      <c r="E31" t="s">
        <v>46</v>
      </c>
      <c r="F31" s="3">
        <v>13436.405730660848</v>
      </c>
      <c r="G31" s="3">
        <v>59909.427933913292</v>
      </c>
      <c r="H31" s="3"/>
      <c r="I31" s="3">
        <v>2944.6448716517843</v>
      </c>
      <c r="J31" s="3"/>
      <c r="K31" s="3">
        <v>5897.1476307583371</v>
      </c>
      <c r="L31" s="3">
        <v>12755.690253759087</v>
      </c>
      <c r="M31" s="3">
        <v>14154.998025358786</v>
      </c>
      <c r="N31" s="3"/>
      <c r="O31" s="3">
        <v>33492.267232478436</v>
      </c>
      <c r="P31" s="3">
        <v>142590.58167858055</v>
      </c>
    </row>
    <row r="32" spans="2:16" x14ac:dyDescent="0.25">
      <c r="B32" t="s">
        <v>333</v>
      </c>
      <c r="C32" t="s">
        <v>333</v>
      </c>
      <c r="D32" t="s">
        <v>331</v>
      </c>
      <c r="E32" t="s">
        <v>47</v>
      </c>
      <c r="F32" s="3">
        <v>13435.584217121064</v>
      </c>
      <c r="G32" s="3">
        <v>57267.158318922586</v>
      </c>
      <c r="H32" s="3"/>
      <c r="I32" s="3">
        <v>2951.3551858905798</v>
      </c>
      <c r="J32" s="3"/>
      <c r="K32" s="3">
        <v>5897.1476307583371</v>
      </c>
      <c r="L32" s="3">
        <v>12415.359658755808</v>
      </c>
      <c r="M32" s="3">
        <v>14154.998025358786</v>
      </c>
      <c r="N32" s="3"/>
      <c r="O32" s="3">
        <v>33947.976329753066</v>
      </c>
      <c r="P32" s="3">
        <v>140069.57936656024</v>
      </c>
    </row>
    <row r="33" spans="2:16" x14ac:dyDescent="0.25">
      <c r="B33" t="s">
        <v>333</v>
      </c>
      <c r="C33" t="s">
        <v>333</v>
      </c>
      <c r="D33" t="s">
        <v>331</v>
      </c>
      <c r="E33" t="s">
        <v>48</v>
      </c>
      <c r="F33" s="3">
        <v>13423.279431964809</v>
      </c>
      <c r="G33" s="3">
        <v>57549.722487914572</v>
      </c>
      <c r="H33" s="3"/>
      <c r="I33" s="3"/>
      <c r="J33" s="3"/>
      <c r="K33" s="3">
        <v>5897.1476307583371</v>
      </c>
      <c r="L33" s="3">
        <v>12403.754309771823</v>
      </c>
      <c r="M33" s="3">
        <v>14154.998025358786</v>
      </c>
      <c r="N33" s="3"/>
      <c r="O33" s="3">
        <v>34306.031190573151</v>
      </c>
      <c r="P33" s="3">
        <v>137734.93307634146</v>
      </c>
    </row>
    <row r="34" spans="2:16" x14ac:dyDescent="0.25">
      <c r="B34" t="s">
        <v>333</v>
      </c>
      <c r="C34" t="s">
        <v>333</v>
      </c>
      <c r="D34" t="s">
        <v>331</v>
      </c>
      <c r="E34" t="s">
        <v>49</v>
      </c>
      <c r="F34" s="3">
        <v>13436.405730660848</v>
      </c>
      <c r="G34" s="3">
        <v>56100.982331086023</v>
      </c>
      <c r="H34" s="3"/>
      <c r="I34" s="3"/>
      <c r="J34" s="3"/>
      <c r="K34" s="3">
        <v>5897.1476307583371</v>
      </c>
      <c r="L34" s="3">
        <v>12612.41302424417</v>
      </c>
      <c r="M34" s="3">
        <v>14154.998025358786</v>
      </c>
      <c r="N34" s="3"/>
      <c r="O34" s="3">
        <v>34242.154274133667</v>
      </c>
      <c r="P34" s="3">
        <v>136444.10101624182</v>
      </c>
    </row>
    <row r="35" spans="2:16" x14ac:dyDescent="0.25">
      <c r="B35" t="s">
        <v>333</v>
      </c>
      <c r="C35" t="s">
        <v>333</v>
      </c>
      <c r="D35" t="s">
        <v>331</v>
      </c>
      <c r="E35" t="s">
        <v>50</v>
      </c>
      <c r="F35" s="3">
        <v>14627.27367014118</v>
      </c>
      <c r="G35" s="3">
        <v>55830.295619366989</v>
      </c>
      <c r="H35" s="3"/>
      <c r="I35" s="3"/>
      <c r="J35" s="3"/>
      <c r="K35" s="3">
        <v>5897.1476307583371</v>
      </c>
      <c r="L35" s="3">
        <v>13916.731876953027</v>
      </c>
      <c r="M35" s="3">
        <v>14154.998025358786</v>
      </c>
      <c r="N35" s="3"/>
      <c r="O35" s="3">
        <v>33307.895453594967</v>
      </c>
      <c r="P35" s="3">
        <v>137734.34227617329</v>
      </c>
    </row>
    <row r="36" spans="2:16" x14ac:dyDescent="0.25">
      <c r="B36" t="s">
        <v>333</v>
      </c>
      <c r="C36" t="s">
        <v>333</v>
      </c>
      <c r="D36" t="s">
        <v>331</v>
      </c>
      <c r="E36" t="s">
        <v>51</v>
      </c>
      <c r="F36" s="3">
        <v>16142.766547011624</v>
      </c>
      <c r="G36" s="3">
        <v>63333.689611784393</v>
      </c>
      <c r="H36" s="3"/>
      <c r="I36" s="3"/>
      <c r="J36" s="3"/>
      <c r="K36" s="3">
        <v>5897.1476307583371</v>
      </c>
      <c r="L36" s="3">
        <v>15624.888756108938</v>
      </c>
      <c r="M36" s="3">
        <v>14154.998025358786</v>
      </c>
      <c r="N36" s="3">
        <v>141.50612619068841</v>
      </c>
      <c r="O36" s="3">
        <v>32360.235909544514</v>
      </c>
      <c r="P36" s="3">
        <v>147655.23260675726</v>
      </c>
    </row>
    <row r="37" spans="2:16" x14ac:dyDescent="0.25">
      <c r="B37" t="s">
        <v>333</v>
      </c>
      <c r="C37" t="s">
        <v>333</v>
      </c>
      <c r="D37" t="s">
        <v>331</v>
      </c>
      <c r="E37" t="s">
        <v>187</v>
      </c>
      <c r="F37" s="3">
        <v>23408.607735357542</v>
      </c>
      <c r="G37" s="3">
        <v>75778.271604317459</v>
      </c>
      <c r="H37" s="3"/>
      <c r="I37" s="3"/>
      <c r="J37" s="3"/>
      <c r="K37" s="3">
        <v>6547.8556160053959</v>
      </c>
      <c r="L37" s="3">
        <v>20726.458251949873</v>
      </c>
      <c r="M37" s="3">
        <v>14154.998025358786</v>
      </c>
      <c r="N37" s="3">
        <v>283.0122523813771</v>
      </c>
      <c r="O37" s="3">
        <v>31042.645662854597</v>
      </c>
      <c r="P37" s="3">
        <v>171941.84914822507</v>
      </c>
    </row>
    <row r="38" spans="2:16" x14ac:dyDescent="0.25">
      <c r="B38" t="s">
        <v>333</v>
      </c>
      <c r="C38" t="s">
        <v>333</v>
      </c>
      <c r="D38" t="s">
        <v>331</v>
      </c>
      <c r="E38" t="s">
        <v>188</v>
      </c>
      <c r="F38" s="3">
        <v>32974.011442284158</v>
      </c>
      <c r="G38" s="3">
        <v>83003.532211364756</v>
      </c>
      <c r="H38" s="3"/>
      <c r="I38" s="3">
        <v>1464.7849972053648</v>
      </c>
      <c r="J38" s="3"/>
      <c r="K38" s="3">
        <v>7031.6327415545211</v>
      </c>
      <c r="L38" s="3">
        <v>24931.694300213898</v>
      </c>
      <c r="M38" s="3">
        <v>14154.998025358786</v>
      </c>
      <c r="N38" s="3">
        <v>339.61470285765301</v>
      </c>
      <c r="O38" s="3">
        <v>31654.205418437356</v>
      </c>
      <c r="P38" s="3">
        <v>195554.47383927647</v>
      </c>
    </row>
    <row r="39" spans="2:16" x14ac:dyDescent="0.25">
      <c r="B39" t="s">
        <v>333</v>
      </c>
      <c r="C39" t="s">
        <v>333</v>
      </c>
      <c r="D39" t="s">
        <v>331</v>
      </c>
      <c r="E39" t="s">
        <v>189</v>
      </c>
      <c r="F39" s="3">
        <v>34083.594985483738</v>
      </c>
      <c r="G39" s="3">
        <v>84407.389862599754</v>
      </c>
      <c r="H39" s="3"/>
      <c r="I39" s="3">
        <v>4803.0669250124001</v>
      </c>
      <c r="J39" s="3"/>
      <c r="K39" s="3">
        <v>7425.2573134995127</v>
      </c>
      <c r="L39" s="3">
        <v>25500.325768087889</v>
      </c>
      <c r="M39" s="3">
        <v>14154.998025358786</v>
      </c>
      <c r="N39" s="3">
        <v>1315.9734642909671</v>
      </c>
      <c r="O39" s="3">
        <v>33178.978523671154</v>
      </c>
      <c r="P39" s="3">
        <v>204869.5848680042</v>
      </c>
    </row>
    <row r="40" spans="2:16" x14ac:dyDescent="0.25">
      <c r="B40" t="s">
        <v>333</v>
      </c>
      <c r="C40" t="s">
        <v>333</v>
      </c>
      <c r="D40" t="s">
        <v>331</v>
      </c>
      <c r="E40" t="s">
        <v>190</v>
      </c>
      <c r="F40" s="3">
        <v>32159.077719662251</v>
      </c>
      <c r="G40" s="3">
        <v>84407.389862599754</v>
      </c>
      <c r="H40" s="3"/>
      <c r="I40" s="3">
        <v>391.68122846716699</v>
      </c>
      <c r="J40" s="3"/>
      <c r="K40" s="3">
        <v>7584.100918546952</v>
      </c>
      <c r="L40" s="3">
        <v>24847.306025140617</v>
      </c>
      <c r="M40" s="3">
        <v>14154.998025358786</v>
      </c>
      <c r="N40" s="3">
        <v>8793.5915219353101</v>
      </c>
      <c r="O40" s="3">
        <v>33514.157380880009</v>
      </c>
      <c r="P40" s="3">
        <v>205852.30268259082</v>
      </c>
    </row>
    <row r="41" spans="2:16" x14ac:dyDescent="0.25">
      <c r="B41" t="s">
        <v>333</v>
      </c>
      <c r="C41" t="s">
        <v>333</v>
      </c>
      <c r="D41" t="s">
        <v>331</v>
      </c>
      <c r="E41" t="s">
        <v>191</v>
      </c>
      <c r="F41" s="3">
        <v>26564.33894911849</v>
      </c>
      <c r="G41" s="3">
        <v>84169.489862599759</v>
      </c>
      <c r="H41" s="3"/>
      <c r="I41" s="3"/>
      <c r="J41" s="3"/>
      <c r="K41" s="3">
        <v>7302.2239414489777</v>
      </c>
      <c r="L41" s="3">
        <v>22044.20424732862</v>
      </c>
      <c r="M41" s="3">
        <v>14154.998025358786</v>
      </c>
      <c r="N41" s="3">
        <v>19978.558388167563</v>
      </c>
      <c r="O41" s="3">
        <v>33342.540176775423</v>
      </c>
      <c r="P41" s="3">
        <v>207556.3535907976</v>
      </c>
    </row>
    <row r="42" spans="2:16" x14ac:dyDescent="0.25">
      <c r="B42" t="s">
        <v>333</v>
      </c>
      <c r="C42" t="s">
        <v>333</v>
      </c>
      <c r="D42" t="s">
        <v>331</v>
      </c>
      <c r="E42" t="s">
        <v>227</v>
      </c>
      <c r="F42" s="3">
        <v>17985.367492412857</v>
      </c>
      <c r="G42" s="3">
        <v>84721.874220136946</v>
      </c>
      <c r="H42" s="3"/>
      <c r="I42" s="3"/>
      <c r="J42" s="3"/>
      <c r="K42" s="3">
        <v>7046.864435719086</v>
      </c>
      <c r="L42" s="3">
        <v>21121.291075224904</v>
      </c>
      <c r="M42" s="3">
        <v>14154.998025358786</v>
      </c>
      <c r="N42" s="3">
        <v>30186.070251392164</v>
      </c>
      <c r="O42" s="3">
        <v>33546.049004206638</v>
      </c>
      <c r="P42" s="3">
        <v>208762.51450445136</v>
      </c>
    </row>
    <row r="43" spans="2:16" x14ac:dyDescent="0.25">
      <c r="B43" t="s">
        <v>333</v>
      </c>
      <c r="C43" t="s">
        <v>333</v>
      </c>
      <c r="D43" t="s">
        <v>331</v>
      </c>
      <c r="E43" t="s">
        <v>262</v>
      </c>
      <c r="F43" s="3">
        <v>15554.984374653492</v>
      </c>
      <c r="G43" s="3">
        <v>84148.296531764485</v>
      </c>
      <c r="H43" s="3"/>
      <c r="I43" s="3"/>
      <c r="J43" s="3"/>
      <c r="K43" s="3">
        <v>7025.0457735832515</v>
      </c>
      <c r="L43" s="3">
        <v>20183.150474426806</v>
      </c>
      <c r="M43" s="3">
        <v>14154.998025358786</v>
      </c>
      <c r="N43" s="3">
        <v>34631.635840209237</v>
      </c>
      <c r="O43" s="3">
        <v>36337.928524590679</v>
      </c>
      <c r="P43" s="3">
        <v>212036.0395445867</v>
      </c>
    </row>
    <row r="44" spans="2:16" x14ac:dyDescent="0.25">
      <c r="B44" t="s">
        <v>333</v>
      </c>
      <c r="C44" t="s">
        <v>333</v>
      </c>
      <c r="D44" t="s">
        <v>331</v>
      </c>
      <c r="E44" t="s">
        <v>263</v>
      </c>
      <c r="F44" s="3">
        <v>15298.145409176022</v>
      </c>
      <c r="G44" s="3">
        <v>85977.408104807851</v>
      </c>
      <c r="H44" s="3"/>
      <c r="I44" s="3"/>
      <c r="J44" s="3"/>
      <c r="K44" s="3">
        <v>6940.2363404448597</v>
      </c>
      <c r="L44" s="3">
        <v>19246.375016741164</v>
      </c>
      <c r="M44" s="3">
        <v>14154.998025358786</v>
      </c>
      <c r="N44" s="3">
        <v>29975.562814672936</v>
      </c>
      <c r="O44" s="3">
        <v>38496.519192869258</v>
      </c>
      <c r="P44" s="3">
        <v>210089.24490407086</v>
      </c>
    </row>
    <row r="45" spans="2:16" x14ac:dyDescent="0.25">
      <c r="B45" t="s">
        <v>333</v>
      </c>
      <c r="C45" t="s">
        <v>333</v>
      </c>
      <c r="D45" t="s">
        <v>331</v>
      </c>
      <c r="E45" t="s">
        <v>264</v>
      </c>
      <c r="F45" s="3">
        <v>17345.435753572125</v>
      </c>
      <c r="G45" s="3">
        <v>91377.711373273225</v>
      </c>
      <c r="H45" s="3"/>
      <c r="I45" s="3"/>
      <c r="J45" s="3"/>
      <c r="K45" s="3">
        <v>6911.3999989013619</v>
      </c>
      <c r="L45" s="3">
        <v>19577.614330158649</v>
      </c>
      <c r="M45" s="3">
        <v>14154.998025358786</v>
      </c>
      <c r="N45" s="3">
        <v>19604.77637042226</v>
      </c>
      <c r="O45" s="3">
        <v>37953.932943513821</v>
      </c>
      <c r="P45" s="3">
        <v>206925.86879520022</v>
      </c>
    </row>
    <row r="46" spans="2:16" x14ac:dyDescent="0.25">
      <c r="B46" t="s">
        <v>333</v>
      </c>
      <c r="C46" t="s">
        <v>333</v>
      </c>
      <c r="D46" t="s">
        <v>331</v>
      </c>
      <c r="E46" t="s">
        <v>265</v>
      </c>
      <c r="F46" s="3">
        <v>22052.211196481399</v>
      </c>
      <c r="G46" s="3">
        <v>96245.14449591875</v>
      </c>
      <c r="H46" s="3"/>
      <c r="I46" s="3"/>
      <c r="J46" s="3"/>
      <c r="K46" s="3">
        <v>7068.2116988092057</v>
      </c>
      <c r="L46" s="3">
        <v>19849.282571149521</v>
      </c>
      <c r="M46" s="3">
        <v>14154.998025358786</v>
      </c>
      <c r="N46" s="3">
        <v>9808.4802250320045</v>
      </c>
      <c r="O46" s="3">
        <v>38996.851903451963</v>
      </c>
      <c r="P46" s="3">
        <v>208175.18011620161</v>
      </c>
    </row>
    <row r="47" spans="2:16" x14ac:dyDescent="0.25">
      <c r="B47" t="s">
        <v>333</v>
      </c>
      <c r="C47" t="s">
        <v>333</v>
      </c>
      <c r="D47" t="s">
        <v>331</v>
      </c>
      <c r="E47" t="s">
        <v>266</v>
      </c>
      <c r="F47" s="3">
        <v>24158.830018804165</v>
      </c>
      <c r="G47" s="3">
        <v>103528.8199190625</v>
      </c>
      <c r="H47" s="3"/>
      <c r="I47" s="3">
        <v>2893.9947945205463</v>
      </c>
      <c r="J47" s="3"/>
      <c r="K47" s="3">
        <v>7342.7510044972641</v>
      </c>
      <c r="L47" s="3">
        <v>20184.207491938443</v>
      </c>
      <c r="M47" s="3">
        <v>14154.998025358786</v>
      </c>
      <c r="N47" s="3">
        <v>1379.5382459910984</v>
      </c>
      <c r="O47" s="3">
        <v>41193.572916906895</v>
      </c>
      <c r="P47" s="3">
        <v>214836.71241707972</v>
      </c>
    </row>
    <row r="48" spans="2:16" x14ac:dyDescent="0.25">
      <c r="B48" t="s">
        <v>333</v>
      </c>
      <c r="C48" t="s">
        <v>333</v>
      </c>
      <c r="D48" t="s">
        <v>331</v>
      </c>
      <c r="E48" t="s">
        <v>267</v>
      </c>
      <c r="F48" s="3">
        <v>23480.398402741161</v>
      </c>
      <c r="G48" s="3">
        <v>107968.6417377858</v>
      </c>
      <c r="H48" s="3"/>
      <c r="I48" s="3">
        <v>3839.1105846078322</v>
      </c>
      <c r="J48" s="3"/>
      <c r="K48" s="3">
        <v>7173.8027600340292</v>
      </c>
      <c r="L48" s="3">
        <v>19322.263696509002</v>
      </c>
      <c r="M48" s="3">
        <v>14154.998025358786</v>
      </c>
      <c r="N48" s="3">
        <v>56.602450476275408</v>
      </c>
      <c r="O48" s="3">
        <v>43800.889216059048</v>
      </c>
      <c r="P48" s="3">
        <v>219796.70687357197</v>
      </c>
    </row>
    <row r="49" spans="2:16" x14ac:dyDescent="0.25">
      <c r="B49" t="s">
        <v>333</v>
      </c>
      <c r="C49" t="s">
        <v>333</v>
      </c>
      <c r="D49" t="s">
        <v>331</v>
      </c>
      <c r="E49" t="s">
        <v>268</v>
      </c>
      <c r="F49" s="3">
        <v>22221.248692283538</v>
      </c>
      <c r="G49" s="3">
        <v>106883.05415646375</v>
      </c>
      <c r="H49" s="3"/>
      <c r="I49" s="3"/>
      <c r="J49" s="3"/>
      <c r="K49" s="3">
        <v>6990.8081999875585</v>
      </c>
      <c r="L49" s="3">
        <v>18108.385549128368</v>
      </c>
      <c r="M49" s="3">
        <v>14154.998025358786</v>
      </c>
      <c r="N49" s="3">
        <v>56.602450476275408</v>
      </c>
      <c r="O49" s="3">
        <v>48546.819101866604</v>
      </c>
      <c r="P49" s="3">
        <v>216961.9161755649</v>
      </c>
    </row>
    <row r="50" spans="2:16" x14ac:dyDescent="0.25">
      <c r="B50" t="s">
        <v>333</v>
      </c>
      <c r="C50" t="s">
        <v>333</v>
      </c>
      <c r="D50" t="s">
        <v>331</v>
      </c>
      <c r="E50" t="s">
        <v>269</v>
      </c>
      <c r="F50" s="3">
        <v>17809.47189805673</v>
      </c>
      <c r="G50" s="3">
        <v>102630.81026425009</v>
      </c>
      <c r="H50" s="3"/>
      <c r="I50" s="3"/>
      <c r="J50" s="3"/>
      <c r="K50" s="3">
        <v>6537.3498584420895</v>
      </c>
      <c r="L50" s="3">
        <v>17244.903128143163</v>
      </c>
      <c r="M50" s="3">
        <v>14154.998025358786</v>
      </c>
      <c r="N50" s="3">
        <v>28.301225238137711</v>
      </c>
      <c r="O50" s="3">
        <v>52233.010730768678</v>
      </c>
      <c r="P50" s="3">
        <v>210638.84513025766</v>
      </c>
    </row>
    <row r="51" spans="2:16" x14ac:dyDescent="0.25">
      <c r="B51" t="s">
        <v>333</v>
      </c>
      <c r="C51" t="s">
        <v>333</v>
      </c>
      <c r="D51" t="s">
        <v>331</v>
      </c>
      <c r="E51" t="s">
        <v>270</v>
      </c>
      <c r="F51" s="3">
        <v>16684.540285072202</v>
      </c>
      <c r="G51" s="3">
        <v>93518.382911157227</v>
      </c>
      <c r="H51" s="3"/>
      <c r="I51" s="3">
        <v>26.312000000000001</v>
      </c>
      <c r="J51" s="3"/>
      <c r="K51" s="3">
        <v>6104.2560785019587</v>
      </c>
      <c r="L51" s="3">
        <v>14309.846239288152</v>
      </c>
      <c r="M51" s="3">
        <v>14154.998025358786</v>
      </c>
      <c r="N51" s="3"/>
      <c r="O51" s="3">
        <v>55184.126050931249</v>
      </c>
      <c r="P51" s="3">
        <v>199982.4615903096</v>
      </c>
    </row>
    <row r="52" spans="2:16" x14ac:dyDescent="0.25">
      <c r="B52" t="s">
        <v>333</v>
      </c>
      <c r="C52" t="s">
        <v>333</v>
      </c>
      <c r="D52" t="s">
        <v>331</v>
      </c>
      <c r="E52" t="s">
        <v>271</v>
      </c>
      <c r="F52" s="3">
        <v>13408.30660631759</v>
      </c>
      <c r="G52" s="3">
        <v>84220.213676529194</v>
      </c>
      <c r="H52" s="3"/>
      <c r="I52" s="3"/>
      <c r="J52" s="3"/>
      <c r="K52" s="3">
        <v>4366.6665975249043</v>
      </c>
      <c r="L52" s="3">
        <v>12565.831438168459</v>
      </c>
      <c r="M52" s="3">
        <v>14154.998025358786</v>
      </c>
      <c r="N52" s="3"/>
      <c r="O52" s="3">
        <v>58584.755870013403</v>
      </c>
      <c r="P52" s="3">
        <v>187300.77221391234</v>
      </c>
    </row>
    <row r="53" spans="2:16" x14ac:dyDescent="0.25">
      <c r="B53" t="s">
        <v>333</v>
      </c>
      <c r="C53" t="s">
        <v>333</v>
      </c>
      <c r="D53" t="s">
        <v>331</v>
      </c>
      <c r="E53" t="s">
        <v>272</v>
      </c>
      <c r="F53" s="3">
        <v>6888.6221466755305</v>
      </c>
      <c r="G53" s="3">
        <v>76605.487280022266</v>
      </c>
      <c r="H53" s="3"/>
      <c r="I53" s="3"/>
      <c r="J53" s="3"/>
      <c r="K53" s="3">
        <v>3797.1998862329251</v>
      </c>
      <c r="L53" s="3">
        <v>10669.787332332469</v>
      </c>
      <c r="M53" s="3">
        <v>14154.998025358786</v>
      </c>
      <c r="N53" s="3"/>
      <c r="O53" s="3">
        <v>63082.950773645804</v>
      </c>
      <c r="P53" s="3">
        <v>175199.0454442678</v>
      </c>
    </row>
    <row r="54" spans="2:16" x14ac:dyDescent="0.25">
      <c r="B54" t="s">
        <v>333</v>
      </c>
      <c r="C54" t="s">
        <v>333</v>
      </c>
      <c r="D54" t="s">
        <v>331</v>
      </c>
      <c r="E54" t="s">
        <v>273</v>
      </c>
      <c r="F54" s="3">
        <v>2691.8380801229869</v>
      </c>
      <c r="G54" s="3">
        <v>70125.65059617949</v>
      </c>
      <c r="H54" s="3"/>
      <c r="I54" s="3"/>
      <c r="J54" s="3"/>
      <c r="K54" s="3">
        <v>3298.1476307583371</v>
      </c>
      <c r="L54" s="3">
        <v>9752.511730606695</v>
      </c>
      <c r="M54" s="3">
        <v>14154.998025358786</v>
      </c>
      <c r="N54" s="3"/>
      <c r="O54" s="3">
        <v>65682.987007521559</v>
      </c>
      <c r="P54" s="3">
        <v>165706.13307054786</v>
      </c>
    </row>
    <row r="55" spans="2:16" x14ac:dyDescent="0.25">
      <c r="B55" t="s">
        <v>334</v>
      </c>
      <c r="C55" t="s">
        <v>334</v>
      </c>
      <c r="D55" t="s">
        <v>331</v>
      </c>
      <c r="E55" t="s">
        <v>46</v>
      </c>
      <c r="F55" s="3">
        <v>1046.1855984434503</v>
      </c>
      <c r="G55" s="3">
        <v>24592.108496966619</v>
      </c>
      <c r="H55" s="3">
        <v>13180.823950614527</v>
      </c>
      <c r="I55" s="3">
        <v>5324.3857111205489</v>
      </c>
      <c r="J55" s="3"/>
      <c r="K55" s="3">
        <v>236.14763075833702</v>
      </c>
      <c r="L55" s="3">
        <v>19900.726348116601</v>
      </c>
      <c r="M55" s="3">
        <v>14365.373226505413</v>
      </c>
      <c r="N55" s="3"/>
      <c r="O55" s="3">
        <v>74634.554786063061</v>
      </c>
      <c r="P55" s="3">
        <v>153280.30574858855</v>
      </c>
    </row>
    <row r="56" spans="2:16" x14ac:dyDescent="0.25">
      <c r="B56" t="s">
        <v>334</v>
      </c>
      <c r="C56" t="s">
        <v>334</v>
      </c>
      <c r="D56" t="s">
        <v>331</v>
      </c>
      <c r="E56" t="s">
        <v>47</v>
      </c>
      <c r="F56" s="3">
        <v>1046.1855984434503</v>
      </c>
      <c r="G56" s="3">
        <v>24592.108496966619</v>
      </c>
      <c r="H56" s="3">
        <v>13971.617051525873</v>
      </c>
      <c r="I56" s="3">
        <v>997.70908339999869</v>
      </c>
      <c r="J56" s="3"/>
      <c r="K56" s="3">
        <v>236.14763075833702</v>
      </c>
      <c r="L56" s="3">
        <v>16874.459528330339</v>
      </c>
      <c r="M56" s="3">
        <v>14365.373226505413</v>
      </c>
      <c r="N56" s="3"/>
      <c r="O56" s="3">
        <v>78779.409393149253</v>
      </c>
      <c r="P56" s="3">
        <v>150863.0100090793</v>
      </c>
    </row>
    <row r="57" spans="2:16" x14ac:dyDescent="0.25">
      <c r="B57" t="s">
        <v>334</v>
      </c>
      <c r="C57" t="s">
        <v>334</v>
      </c>
      <c r="D57" t="s">
        <v>331</v>
      </c>
      <c r="E57" t="s">
        <v>48</v>
      </c>
      <c r="F57" s="3">
        <v>1046.1855984434503</v>
      </c>
      <c r="G57" s="3">
        <v>24592.108496966619</v>
      </c>
      <c r="H57" s="3">
        <v>17197.820763764976</v>
      </c>
      <c r="I57" s="3"/>
      <c r="J57" s="3"/>
      <c r="K57" s="3">
        <v>236.14763075833702</v>
      </c>
      <c r="L57" s="3">
        <v>17157.758715944427</v>
      </c>
      <c r="M57" s="3">
        <v>14365.373226505413</v>
      </c>
      <c r="N57" s="3"/>
      <c r="O57" s="3">
        <v>78745.557328150113</v>
      </c>
      <c r="P57" s="3">
        <v>153340.95176053332</v>
      </c>
    </row>
    <row r="58" spans="2:16" x14ac:dyDescent="0.25">
      <c r="B58" t="s">
        <v>334</v>
      </c>
      <c r="C58" t="s">
        <v>334</v>
      </c>
      <c r="D58" t="s">
        <v>331</v>
      </c>
      <c r="E58" t="s">
        <v>49</v>
      </c>
      <c r="F58" s="3">
        <v>1046.1855984434503</v>
      </c>
      <c r="G58" s="3">
        <v>24592.108496966619</v>
      </c>
      <c r="H58" s="3">
        <v>16796.361309615171</v>
      </c>
      <c r="I58" s="3">
        <v>2415</v>
      </c>
      <c r="J58" s="3"/>
      <c r="K58" s="3">
        <v>236.14763075833702</v>
      </c>
      <c r="L58" s="3">
        <v>16954.066843068569</v>
      </c>
      <c r="M58" s="3">
        <v>14365.373226505413</v>
      </c>
      <c r="N58" s="3"/>
      <c r="O58" s="3">
        <v>80361.708721384406</v>
      </c>
      <c r="P58" s="3">
        <v>156766.95182674198</v>
      </c>
    </row>
    <row r="59" spans="2:16" x14ac:dyDescent="0.25">
      <c r="B59" t="s">
        <v>334</v>
      </c>
      <c r="C59" t="s">
        <v>334</v>
      </c>
      <c r="D59" t="s">
        <v>331</v>
      </c>
      <c r="E59" t="s">
        <v>50</v>
      </c>
      <c r="F59" s="3">
        <v>1046.1855984434503</v>
      </c>
      <c r="G59" s="3">
        <v>24592.108496966619</v>
      </c>
      <c r="H59" s="3">
        <v>22519.721164334242</v>
      </c>
      <c r="I59" s="3">
        <v>1025.14073280973</v>
      </c>
      <c r="J59" s="3"/>
      <c r="K59" s="3">
        <v>236.14763075833702</v>
      </c>
      <c r="L59" s="3">
        <v>17718.804927045207</v>
      </c>
      <c r="M59" s="3">
        <v>14365.373226505413</v>
      </c>
      <c r="N59" s="3"/>
      <c r="O59" s="3">
        <v>78585.123957823031</v>
      </c>
      <c r="P59" s="3">
        <v>160088.60573468602</v>
      </c>
    </row>
    <row r="60" spans="2:16" x14ac:dyDescent="0.25">
      <c r="B60" t="s">
        <v>334</v>
      </c>
      <c r="C60" t="s">
        <v>334</v>
      </c>
      <c r="D60" t="s">
        <v>331</v>
      </c>
      <c r="E60" t="s">
        <v>51</v>
      </c>
      <c r="F60" s="3">
        <v>1323.7289611579868</v>
      </c>
      <c r="G60" s="3">
        <v>23908.108496966619</v>
      </c>
      <c r="H60" s="3">
        <v>30873.467228302638</v>
      </c>
      <c r="I60" s="3"/>
      <c r="J60" s="3"/>
      <c r="K60" s="3">
        <v>236.14763075833702</v>
      </c>
      <c r="L60" s="3">
        <v>19110.351617395696</v>
      </c>
      <c r="M60" s="3">
        <v>14365.373226505413</v>
      </c>
      <c r="N60" s="3">
        <v>1716.4823442196184</v>
      </c>
      <c r="O60" s="3">
        <v>77812.553565437207</v>
      </c>
      <c r="P60" s="3">
        <v>169346.21307074354</v>
      </c>
    </row>
    <row r="61" spans="2:16" x14ac:dyDescent="0.25">
      <c r="B61" t="s">
        <v>334</v>
      </c>
      <c r="C61" t="s">
        <v>334</v>
      </c>
      <c r="D61" t="s">
        <v>331</v>
      </c>
      <c r="E61" t="s">
        <v>187</v>
      </c>
      <c r="F61" s="3">
        <v>1793.7067541686936</v>
      </c>
      <c r="G61" s="3">
        <v>25839.108496966619</v>
      </c>
      <c r="H61" s="3">
        <v>45640.884635144932</v>
      </c>
      <c r="I61" s="3"/>
      <c r="J61" s="3"/>
      <c r="K61" s="3">
        <v>324.14763075833702</v>
      </c>
      <c r="L61" s="3">
        <v>22210.10487761713</v>
      </c>
      <c r="M61" s="3">
        <v>14365.373226505413</v>
      </c>
      <c r="N61" s="3">
        <v>3432.9646884392369</v>
      </c>
      <c r="O61" s="3">
        <v>74770.357733487559</v>
      </c>
      <c r="P61" s="3">
        <v>188376.64804308792</v>
      </c>
    </row>
    <row r="62" spans="2:16" x14ac:dyDescent="0.25">
      <c r="B62" t="s">
        <v>334</v>
      </c>
      <c r="C62" t="s">
        <v>334</v>
      </c>
      <c r="D62" t="s">
        <v>331</v>
      </c>
      <c r="E62" t="s">
        <v>188</v>
      </c>
      <c r="F62" s="3">
        <v>2571.9642960408432</v>
      </c>
      <c r="G62" s="3">
        <v>26121.084345053536</v>
      </c>
      <c r="H62" s="3">
        <v>53816.752779154376</v>
      </c>
      <c r="I62" s="3">
        <v>4362.2448717700117</v>
      </c>
      <c r="J62" s="3"/>
      <c r="K62" s="3">
        <v>610.14763075833707</v>
      </c>
      <c r="L62" s="3">
        <v>24759.050681187167</v>
      </c>
      <c r="M62" s="3">
        <v>14365.373226505413</v>
      </c>
      <c r="N62" s="3">
        <v>4119.5576261270835</v>
      </c>
      <c r="O62" s="3">
        <v>74638.122149755203</v>
      </c>
      <c r="P62" s="3">
        <v>205364.29760635196</v>
      </c>
    </row>
    <row r="63" spans="2:16" x14ac:dyDescent="0.25">
      <c r="B63" t="s">
        <v>334</v>
      </c>
      <c r="C63" t="s">
        <v>334</v>
      </c>
      <c r="D63" t="s">
        <v>331</v>
      </c>
      <c r="E63" t="s">
        <v>189</v>
      </c>
      <c r="F63" s="3">
        <v>2707.5537374287269</v>
      </c>
      <c r="G63" s="3">
        <v>26203.108496966619</v>
      </c>
      <c r="H63" s="3">
        <v>54618.506853275256</v>
      </c>
      <c r="I63" s="3">
        <v>2316.4781880192145</v>
      </c>
      <c r="J63" s="3"/>
      <c r="K63" s="3">
        <v>778.14763075833696</v>
      </c>
      <c r="L63" s="3">
        <v>26396.810360002961</v>
      </c>
      <c r="M63" s="3">
        <v>14365.373226505413</v>
      </c>
      <c r="N63" s="3">
        <v>9808.2155912707021</v>
      </c>
      <c r="O63" s="3">
        <v>76243.920464707786</v>
      </c>
      <c r="P63" s="3">
        <v>213438.11454893503</v>
      </c>
    </row>
    <row r="64" spans="2:16" x14ac:dyDescent="0.25">
      <c r="B64" t="s">
        <v>334</v>
      </c>
      <c r="C64" t="s">
        <v>334</v>
      </c>
      <c r="D64" t="s">
        <v>331</v>
      </c>
      <c r="E64" t="s">
        <v>190</v>
      </c>
      <c r="F64" s="3">
        <v>2250.725944017518</v>
      </c>
      <c r="G64" s="3">
        <v>25839.108496966619</v>
      </c>
      <c r="H64" s="3">
        <v>25809.158145361744</v>
      </c>
      <c r="I64" s="3"/>
      <c r="J64" s="3"/>
      <c r="K64" s="3">
        <v>361.88265649195375</v>
      </c>
      <c r="L64" s="3">
        <v>25012.529262891534</v>
      </c>
      <c r="M64" s="3">
        <v>14365.373226505413</v>
      </c>
      <c r="N64" s="3">
        <v>55350.770777199592</v>
      </c>
      <c r="O64" s="3">
        <v>77112.694434206671</v>
      </c>
      <c r="P64" s="3">
        <v>226102.24294364103</v>
      </c>
    </row>
    <row r="65" spans="2:16" x14ac:dyDescent="0.25">
      <c r="B65" t="s">
        <v>334</v>
      </c>
      <c r="C65" t="s">
        <v>334</v>
      </c>
      <c r="D65" t="s">
        <v>331</v>
      </c>
      <c r="E65" t="s">
        <v>191</v>
      </c>
      <c r="F65" s="3">
        <v>1337.8130810517355</v>
      </c>
      <c r="G65" s="3">
        <v>24960.642776671866</v>
      </c>
      <c r="H65" s="3">
        <v>2139.9877089023544</v>
      </c>
      <c r="I65" s="3">
        <v>91.674090895698598</v>
      </c>
      <c r="J65" s="3"/>
      <c r="K65" s="3">
        <v>331.14763075833702</v>
      </c>
      <c r="L65" s="3">
        <v>16495.957917901018</v>
      </c>
      <c r="M65" s="3">
        <v>14365.373226505413</v>
      </c>
      <c r="N65" s="3">
        <v>123803.93806043062</v>
      </c>
      <c r="O65" s="3">
        <v>79764.199936396908</v>
      </c>
      <c r="P65" s="3">
        <v>263290.73442951392</v>
      </c>
    </row>
    <row r="66" spans="2:16" x14ac:dyDescent="0.25">
      <c r="B66" t="s">
        <v>334</v>
      </c>
      <c r="C66" t="s">
        <v>334</v>
      </c>
      <c r="D66" t="s">
        <v>331</v>
      </c>
      <c r="E66" t="s">
        <v>227</v>
      </c>
      <c r="F66" s="3">
        <v>1034.6452520632683</v>
      </c>
      <c r="G66" s="3">
        <v>24592.108496966619</v>
      </c>
      <c r="H66" s="3">
        <v>286.4171324886637</v>
      </c>
      <c r="I66" s="3">
        <v>119.1</v>
      </c>
      <c r="J66" s="3"/>
      <c r="K66" s="3">
        <v>262.22825869480772</v>
      </c>
      <c r="L66" s="3">
        <v>12722.249743632914</v>
      </c>
      <c r="M66" s="3">
        <v>14365.373226505413</v>
      </c>
      <c r="N66" s="3">
        <v>185643.95250246365</v>
      </c>
      <c r="O66" s="3">
        <v>82802.061566345277</v>
      </c>
      <c r="P66" s="3">
        <v>321828.13617916062</v>
      </c>
    </row>
    <row r="67" spans="2:16" x14ac:dyDescent="0.25">
      <c r="B67" t="s">
        <v>334</v>
      </c>
      <c r="C67" t="s">
        <v>334</v>
      </c>
      <c r="D67" t="s">
        <v>331</v>
      </c>
      <c r="E67" t="s">
        <v>262</v>
      </c>
      <c r="F67" s="3">
        <v>1034.6452520632683</v>
      </c>
      <c r="G67" s="3">
        <v>23908.108496966619</v>
      </c>
      <c r="H67" s="3"/>
      <c r="I67" s="3">
        <v>1860.77260273973</v>
      </c>
      <c r="J67" s="3"/>
      <c r="K67" s="3">
        <v>236.14763075833702</v>
      </c>
      <c r="L67" s="3">
        <v>10540.541743839114</v>
      </c>
      <c r="M67" s="3">
        <v>14365.373226505413</v>
      </c>
      <c r="N67" s="3">
        <v>214854.67319888546</v>
      </c>
      <c r="O67" s="3">
        <v>91379.558210748</v>
      </c>
      <c r="P67" s="3">
        <v>358179.82036250597</v>
      </c>
    </row>
    <row r="68" spans="2:16" x14ac:dyDescent="0.25">
      <c r="B68" t="s">
        <v>334</v>
      </c>
      <c r="C68" t="s">
        <v>334</v>
      </c>
      <c r="D68" t="s">
        <v>331</v>
      </c>
      <c r="E68" t="s">
        <v>263</v>
      </c>
      <c r="F68" s="3">
        <v>1034.6452520632683</v>
      </c>
      <c r="G68" s="3">
        <v>23908.108496966619</v>
      </c>
      <c r="H68" s="3"/>
      <c r="I68" s="3">
        <v>3073.0125402652002</v>
      </c>
      <c r="J68" s="3"/>
      <c r="K68" s="3">
        <v>236.14763075833702</v>
      </c>
      <c r="L68" s="3">
        <v>10347.961128160428</v>
      </c>
      <c r="M68" s="3">
        <v>14365.373226505413</v>
      </c>
      <c r="N68" s="3">
        <v>185152.78020876748</v>
      </c>
      <c r="O68" s="3">
        <v>98477.302872655186</v>
      </c>
      <c r="P68" s="3">
        <v>336595.33135614195</v>
      </c>
    </row>
    <row r="69" spans="2:16" x14ac:dyDescent="0.25">
      <c r="B69" t="s">
        <v>334</v>
      </c>
      <c r="C69" t="s">
        <v>334</v>
      </c>
      <c r="D69" t="s">
        <v>331</v>
      </c>
      <c r="E69" t="s">
        <v>264</v>
      </c>
      <c r="F69" s="3">
        <v>1046.1855984434503</v>
      </c>
      <c r="G69" s="3">
        <v>23908.108496966619</v>
      </c>
      <c r="H69" s="3"/>
      <c r="I69" s="3">
        <v>2163</v>
      </c>
      <c r="J69" s="3"/>
      <c r="K69" s="3">
        <v>236.14763075833702</v>
      </c>
      <c r="L69" s="3">
        <v>9685.1544440724156</v>
      </c>
      <c r="M69" s="3">
        <v>14365.373226505413</v>
      </c>
      <c r="N69" s="3">
        <v>132957.52287069961</v>
      </c>
      <c r="O69" s="3">
        <v>102103.6371692073</v>
      </c>
      <c r="P69" s="3">
        <v>286465.12943665311</v>
      </c>
    </row>
    <row r="70" spans="2:16" x14ac:dyDescent="0.25">
      <c r="B70" t="s">
        <v>334</v>
      </c>
      <c r="C70" t="s">
        <v>334</v>
      </c>
      <c r="D70" t="s">
        <v>331</v>
      </c>
      <c r="E70" t="s">
        <v>265</v>
      </c>
      <c r="F70" s="3">
        <v>1046.1855984434503</v>
      </c>
      <c r="G70" s="3">
        <v>24714.108496966619</v>
      </c>
      <c r="H70" s="3">
        <v>1310.7539603738701</v>
      </c>
      <c r="I70" s="3"/>
      <c r="J70" s="3"/>
      <c r="K70" s="3">
        <v>236.14763075833702</v>
      </c>
      <c r="L70" s="3">
        <v>14930.852929376715</v>
      </c>
      <c r="M70" s="3">
        <v>14365.373226505413</v>
      </c>
      <c r="N70" s="3">
        <v>65889.848498334613</v>
      </c>
      <c r="O70" s="3">
        <v>106619.13873351457</v>
      </c>
      <c r="P70" s="3">
        <v>229112.4090742736</v>
      </c>
    </row>
    <row r="71" spans="2:16" x14ac:dyDescent="0.25">
      <c r="B71" t="s">
        <v>334</v>
      </c>
      <c r="C71" t="s">
        <v>334</v>
      </c>
      <c r="D71" t="s">
        <v>331</v>
      </c>
      <c r="E71" t="s">
        <v>266</v>
      </c>
      <c r="F71" s="3">
        <v>1351.9717335232956</v>
      </c>
      <c r="G71" s="3">
        <v>24714.108496966619</v>
      </c>
      <c r="H71" s="3">
        <v>35946.669663107547</v>
      </c>
      <c r="I71" s="3">
        <v>4827.3993141771998</v>
      </c>
      <c r="J71" s="3"/>
      <c r="K71" s="3">
        <v>331.14763075833702</v>
      </c>
      <c r="L71" s="3">
        <v>22925.047678978171</v>
      </c>
      <c r="M71" s="3">
        <v>14365.373226505413</v>
      </c>
      <c r="N71" s="3">
        <v>9821.7651723697672</v>
      </c>
      <c r="O71" s="3">
        <v>110980.51627798002</v>
      </c>
      <c r="P71" s="3">
        <v>225263.99919436633</v>
      </c>
    </row>
    <row r="72" spans="2:16" x14ac:dyDescent="0.25">
      <c r="B72" t="s">
        <v>334</v>
      </c>
      <c r="C72" t="s">
        <v>334</v>
      </c>
      <c r="D72" t="s">
        <v>331</v>
      </c>
      <c r="E72" t="s">
        <v>267</v>
      </c>
      <c r="F72" s="3">
        <v>1351.9717335232956</v>
      </c>
      <c r="G72" s="3">
        <v>25020.082039710032</v>
      </c>
      <c r="H72" s="3">
        <v>47248.280887791574</v>
      </c>
      <c r="I72" s="3">
        <v>1952.0458365077227</v>
      </c>
      <c r="J72" s="3"/>
      <c r="K72" s="3">
        <v>331.14763075833702</v>
      </c>
      <c r="L72" s="3">
        <v>22433.160055310545</v>
      </c>
      <c r="M72" s="3">
        <v>14365.373226505413</v>
      </c>
      <c r="N72" s="3">
        <v>686.59293768784642</v>
      </c>
      <c r="O72" s="3">
        <v>113528.92534739416</v>
      </c>
      <c r="P72" s="3">
        <v>226917.57969518894</v>
      </c>
    </row>
    <row r="73" spans="2:16" x14ac:dyDescent="0.25">
      <c r="B73" t="s">
        <v>334</v>
      </c>
      <c r="C73" t="s">
        <v>334</v>
      </c>
      <c r="D73" t="s">
        <v>331</v>
      </c>
      <c r="E73" t="s">
        <v>268</v>
      </c>
      <c r="F73" s="3">
        <v>1351.9717335232956</v>
      </c>
      <c r="G73" s="3">
        <v>24714.108496966619</v>
      </c>
      <c r="H73" s="3">
        <v>37439.657785744741</v>
      </c>
      <c r="I73" s="3"/>
      <c r="J73" s="3"/>
      <c r="K73" s="3">
        <v>236.14763075833702</v>
      </c>
      <c r="L73" s="3">
        <v>20232.851511954254</v>
      </c>
      <c r="M73" s="3">
        <v>14365.373226505413</v>
      </c>
      <c r="N73" s="3">
        <v>686.59293768784642</v>
      </c>
      <c r="O73" s="3">
        <v>124878.25845391845</v>
      </c>
      <c r="P73" s="3">
        <v>223904.96177705895</v>
      </c>
    </row>
    <row r="74" spans="2:16" x14ac:dyDescent="0.25">
      <c r="B74" t="s">
        <v>334</v>
      </c>
      <c r="C74" t="s">
        <v>334</v>
      </c>
      <c r="D74" t="s">
        <v>331</v>
      </c>
      <c r="E74" t="s">
        <v>269</v>
      </c>
      <c r="F74" s="3">
        <v>1046.1855984434503</v>
      </c>
      <c r="G74" s="3">
        <v>25398.108496966619</v>
      </c>
      <c r="H74" s="3">
        <v>30383.455381356969</v>
      </c>
      <c r="I74" s="3"/>
      <c r="J74" s="3"/>
      <c r="K74" s="3">
        <v>236.14763075833702</v>
      </c>
      <c r="L74" s="3">
        <v>16418.253239247071</v>
      </c>
      <c r="M74" s="3">
        <v>14365.373226505413</v>
      </c>
      <c r="N74" s="3">
        <v>343.29646884392372</v>
      </c>
      <c r="O74" s="3">
        <v>136685.93916676776</v>
      </c>
      <c r="P74" s="3">
        <v>224876.75920888956</v>
      </c>
    </row>
    <row r="75" spans="2:16" x14ac:dyDescent="0.25">
      <c r="B75" t="s">
        <v>334</v>
      </c>
      <c r="C75" t="s">
        <v>334</v>
      </c>
      <c r="D75" t="s">
        <v>331</v>
      </c>
      <c r="E75" t="s">
        <v>270</v>
      </c>
      <c r="F75" s="3">
        <v>1046.1855984434503</v>
      </c>
      <c r="G75" s="3">
        <v>25398.108496966619</v>
      </c>
      <c r="H75" s="3">
        <v>26872.27787403619</v>
      </c>
      <c r="I75" s="3"/>
      <c r="J75" s="3"/>
      <c r="K75" s="3">
        <v>236.14763075833702</v>
      </c>
      <c r="L75" s="3">
        <v>16567.750107594038</v>
      </c>
      <c r="M75" s="3">
        <v>14365.373226505413</v>
      </c>
      <c r="N75" s="3"/>
      <c r="O75" s="3">
        <v>140873.8004966036</v>
      </c>
      <c r="P75" s="3">
        <v>225359.64343090763</v>
      </c>
    </row>
    <row r="76" spans="2:16" x14ac:dyDescent="0.25">
      <c r="B76" t="s">
        <v>334</v>
      </c>
      <c r="C76" t="s">
        <v>334</v>
      </c>
      <c r="D76" t="s">
        <v>331</v>
      </c>
      <c r="E76" t="s">
        <v>271</v>
      </c>
      <c r="F76" s="3">
        <v>1046.1855984434503</v>
      </c>
      <c r="G76" s="3">
        <v>25398.108496966619</v>
      </c>
      <c r="H76" s="3">
        <v>21119.62293839443</v>
      </c>
      <c r="I76" s="3">
        <v>2534.1</v>
      </c>
      <c r="J76" s="3"/>
      <c r="K76" s="3">
        <v>236.14763075833702</v>
      </c>
      <c r="L76" s="3">
        <v>14932.144994869888</v>
      </c>
      <c r="M76" s="3">
        <v>14365.373226505413</v>
      </c>
      <c r="N76" s="3"/>
      <c r="O76" s="3">
        <v>149208.90924331188</v>
      </c>
      <c r="P76" s="3">
        <v>228840.59212925</v>
      </c>
    </row>
    <row r="77" spans="2:16" x14ac:dyDescent="0.25">
      <c r="B77" t="s">
        <v>334</v>
      </c>
      <c r="C77" t="s">
        <v>334</v>
      </c>
      <c r="D77" t="s">
        <v>331</v>
      </c>
      <c r="E77" t="s">
        <v>272</v>
      </c>
      <c r="F77" s="3">
        <v>1046.1855984434503</v>
      </c>
      <c r="G77" s="3">
        <v>25398.108496966619</v>
      </c>
      <c r="H77" s="3">
        <v>13281.690592594548</v>
      </c>
      <c r="I77" s="3"/>
      <c r="J77" s="3"/>
      <c r="K77" s="3">
        <v>236.14763075833702</v>
      </c>
      <c r="L77" s="3">
        <v>13224.523664024427</v>
      </c>
      <c r="M77" s="3">
        <v>14365.373226505413</v>
      </c>
      <c r="N77" s="3"/>
      <c r="O77" s="3">
        <v>155865.73232464481</v>
      </c>
      <c r="P77" s="3">
        <v>223417.76153393759</v>
      </c>
    </row>
    <row r="78" spans="2:16" x14ac:dyDescent="0.25">
      <c r="B78" t="s">
        <v>334</v>
      </c>
      <c r="C78" t="s">
        <v>334</v>
      </c>
      <c r="D78" t="s">
        <v>331</v>
      </c>
      <c r="E78" t="s">
        <v>273</v>
      </c>
      <c r="F78" s="3">
        <v>1046.1855984434503</v>
      </c>
      <c r="G78" s="3">
        <v>22622.108496966619</v>
      </c>
      <c r="H78" s="3">
        <v>10827.38895065531</v>
      </c>
      <c r="I78" s="3"/>
      <c r="J78" s="3"/>
      <c r="K78" s="3">
        <v>202.14763075833702</v>
      </c>
      <c r="L78" s="3">
        <v>12363.164225568877</v>
      </c>
      <c r="M78" s="3">
        <v>14365.373226505413</v>
      </c>
      <c r="N78" s="3"/>
      <c r="O78" s="3">
        <v>161059.04283851665</v>
      </c>
      <c r="P78" s="3">
        <v>222485.41096741465</v>
      </c>
    </row>
    <row r="79" spans="2:16" x14ac:dyDescent="0.25">
      <c r="B79" t="s">
        <v>0</v>
      </c>
      <c r="F79" s="3">
        <v>1069611.3785015175</v>
      </c>
      <c r="G79" s="3">
        <v>4783335.608309052</v>
      </c>
      <c r="H79" s="3">
        <v>521281.31675653998</v>
      </c>
      <c r="I79" s="3">
        <v>69753.807300523535</v>
      </c>
      <c r="J79" s="3">
        <v>-2931.7123381249817</v>
      </c>
      <c r="K79" s="3">
        <v>270410.06804015324</v>
      </c>
      <c r="L79" s="3">
        <v>1259742.8296383885</v>
      </c>
      <c r="M79" s="3">
        <v>1016388.8108882192</v>
      </c>
      <c r="N79" s="3">
        <v>1296077.9677958535</v>
      </c>
      <c r="O79" s="3">
        <v>3984680.7981557325</v>
      </c>
      <c r="P79" s="3">
        <v>14268350.873047855</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T12"/>
  <sheetViews>
    <sheetView workbookViewId="0">
      <selection activeCell="C10" sqref="C10"/>
    </sheetView>
  </sheetViews>
  <sheetFormatPr defaultRowHeight="15" x14ac:dyDescent="0.25"/>
  <cols>
    <col min="2" max="2" width="19.42578125" bestFit="1" customWidth="1"/>
    <col min="3" max="4" width="8.28515625" customWidth="1"/>
    <col min="5" max="8" width="16" bestFit="1" customWidth="1"/>
    <col min="9" max="9" width="16" customWidth="1"/>
    <col min="10" max="10" width="16" bestFit="1" customWidth="1"/>
    <col min="11" max="11" width="16" customWidth="1"/>
    <col min="12" max="18" width="16" bestFit="1" customWidth="1"/>
    <col min="19" max="19" width="16" customWidth="1"/>
    <col min="20" max="21" width="12" customWidth="1"/>
    <col min="22" max="22" width="12" bestFit="1" customWidth="1"/>
    <col min="23" max="23" width="14.140625" bestFit="1" customWidth="1"/>
    <col min="24" max="25" width="12" bestFit="1" customWidth="1"/>
    <col min="26" max="26" width="16" bestFit="1" customWidth="1"/>
    <col min="27" max="27" width="14.28515625" bestFit="1" customWidth="1"/>
    <col min="28" max="28" width="16" bestFit="1" customWidth="1"/>
    <col min="29" max="29" width="12" bestFit="1" customWidth="1"/>
  </cols>
  <sheetData>
    <row r="2" spans="2:20" x14ac:dyDescent="0.25">
      <c r="B2" s="1" t="s">
        <v>13</v>
      </c>
      <c r="E2" s="1" t="s">
        <v>12</v>
      </c>
    </row>
    <row r="3" spans="2:20" x14ac:dyDescent="0.25">
      <c r="B3" s="1" t="s">
        <v>11</v>
      </c>
      <c r="C3" s="1" t="s">
        <v>180</v>
      </c>
      <c r="D3" s="1" t="s">
        <v>243</v>
      </c>
      <c r="E3" t="s">
        <v>16</v>
      </c>
      <c r="F3" t="s">
        <v>216</v>
      </c>
      <c r="G3" t="s">
        <v>224</v>
      </c>
      <c r="H3" t="s">
        <v>223</v>
      </c>
      <c r="I3" t="s">
        <v>294</v>
      </c>
      <c r="J3" t="s">
        <v>157</v>
      </c>
      <c r="K3" t="s">
        <v>220</v>
      </c>
      <c r="L3" t="s">
        <v>218</v>
      </c>
      <c r="M3" t="s">
        <v>222</v>
      </c>
      <c r="N3" t="s">
        <v>298</v>
      </c>
      <c r="O3" t="s">
        <v>221</v>
      </c>
      <c r="P3" t="s">
        <v>225</v>
      </c>
      <c r="Q3" t="s">
        <v>299</v>
      </c>
      <c r="R3" t="s">
        <v>156</v>
      </c>
      <c r="S3" t="s">
        <v>179</v>
      </c>
      <c r="T3" t="s">
        <v>0</v>
      </c>
    </row>
    <row r="4" spans="2:20" x14ac:dyDescent="0.25">
      <c r="B4" t="s">
        <v>6</v>
      </c>
      <c r="C4" t="s">
        <v>244</v>
      </c>
      <c r="D4" t="s">
        <v>244</v>
      </c>
      <c r="E4" s="3">
        <v>14.27595476666666</v>
      </c>
      <c r="F4" s="3">
        <v>0.13578291999999997</v>
      </c>
      <c r="G4" s="3">
        <v>5.0226428287854459</v>
      </c>
      <c r="H4" s="3">
        <v>0.70779777999999993</v>
      </c>
      <c r="I4" s="3">
        <v>2.9823420000000005</v>
      </c>
      <c r="J4" s="3"/>
      <c r="K4" s="3">
        <v>0.6859561726241975</v>
      </c>
      <c r="L4" s="3">
        <v>3.3512026748558474</v>
      </c>
      <c r="M4" s="3">
        <v>5.8334008570678488</v>
      </c>
      <c r="N4" s="3"/>
      <c r="O4" s="3"/>
      <c r="P4" s="3"/>
      <c r="Q4" s="3"/>
      <c r="R4" s="3"/>
      <c r="S4" s="3"/>
      <c r="T4" s="3">
        <v>32.995080000000002</v>
      </c>
    </row>
    <row r="5" spans="2:20" x14ac:dyDescent="0.25">
      <c r="B5" t="s">
        <v>19</v>
      </c>
      <c r="C5" t="s">
        <v>244</v>
      </c>
      <c r="D5" t="s">
        <v>244</v>
      </c>
      <c r="E5" s="3">
        <v>52.741259075610728</v>
      </c>
      <c r="F5" s="3"/>
      <c r="G5" s="3">
        <v>0.78577186432912005</v>
      </c>
      <c r="H5" s="3"/>
      <c r="I5" s="3"/>
      <c r="J5" s="3">
        <v>143.20163712968863</v>
      </c>
      <c r="K5" s="3">
        <v>1.304157633809927</v>
      </c>
      <c r="L5" s="3"/>
      <c r="M5" s="3"/>
      <c r="N5" s="3"/>
      <c r="O5" s="3"/>
      <c r="P5" s="3"/>
      <c r="Q5" s="3"/>
      <c r="R5" s="3"/>
      <c r="S5" s="3"/>
      <c r="T5" s="3">
        <v>198.03282570343842</v>
      </c>
    </row>
    <row r="6" spans="2:20" x14ac:dyDescent="0.25">
      <c r="B6" t="s">
        <v>7</v>
      </c>
      <c r="C6" t="s">
        <v>244</v>
      </c>
      <c r="D6" t="s">
        <v>244</v>
      </c>
      <c r="E6" s="3"/>
      <c r="F6" s="3">
        <v>6.7557181127522001E-2</v>
      </c>
      <c r="G6" s="3">
        <v>2.2378772137631433</v>
      </c>
      <c r="H6" s="3">
        <v>0.56083346287836799</v>
      </c>
      <c r="I6" s="3">
        <v>0.18840353579019692</v>
      </c>
      <c r="J6" s="3"/>
      <c r="K6" s="3"/>
      <c r="L6" s="3"/>
      <c r="M6" s="3"/>
      <c r="N6" s="3">
        <v>1.7080823985253932</v>
      </c>
      <c r="O6" s="3"/>
      <c r="P6" s="3"/>
      <c r="Q6" s="3"/>
      <c r="R6" s="3"/>
      <c r="S6" s="3"/>
      <c r="T6" s="3">
        <v>4.7627537920846237</v>
      </c>
    </row>
    <row r="7" spans="2:20" x14ac:dyDescent="0.25">
      <c r="B7" t="s">
        <v>8</v>
      </c>
      <c r="C7" t="s">
        <v>244</v>
      </c>
      <c r="D7" t="s">
        <v>244</v>
      </c>
      <c r="E7" s="3">
        <v>1.8241920265968998</v>
      </c>
      <c r="F7" s="3">
        <v>2.5800109775301689</v>
      </c>
      <c r="G7" s="3">
        <v>15.724833200714237</v>
      </c>
      <c r="H7" s="3">
        <v>25.267801691653688</v>
      </c>
      <c r="I7" s="3">
        <v>5.1277931929321063</v>
      </c>
      <c r="J7" s="3"/>
      <c r="K7" s="3">
        <v>0.32547344687160062</v>
      </c>
      <c r="L7" s="3"/>
      <c r="M7" s="3">
        <v>0.53632480470374999</v>
      </c>
      <c r="N7" s="3"/>
      <c r="O7" s="3">
        <v>0.89479545070746047</v>
      </c>
      <c r="P7" s="3">
        <v>1.0898268120498238</v>
      </c>
      <c r="Q7" s="3">
        <v>0.17519999999999999</v>
      </c>
      <c r="R7" s="3"/>
      <c r="S7" s="3"/>
      <c r="T7" s="3">
        <v>53.546251603759735</v>
      </c>
    </row>
    <row r="8" spans="2:20" x14ac:dyDescent="0.25">
      <c r="B8" t="s">
        <v>17</v>
      </c>
      <c r="C8" t="s">
        <v>244</v>
      </c>
      <c r="D8" t="s">
        <v>244</v>
      </c>
      <c r="E8" s="3"/>
      <c r="F8" s="3"/>
      <c r="G8" s="3">
        <v>0.29783999999999999</v>
      </c>
      <c r="H8" s="3">
        <v>0.62339731578947399</v>
      </c>
      <c r="I8" s="3"/>
      <c r="J8" s="3"/>
      <c r="K8" s="3">
        <v>0.84135231289547596</v>
      </c>
      <c r="L8" s="3"/>
      <c r="M8" s="3"/>
      <c r="N8" s="3"/>
      <c r="O8" s="3"/>
      <c r="P8" s="3"/>
      <c r="Q8" s="3"/>
      <c r="R8" s="3">
        <v>1.7568398831800538</v>
      </c>
      <c r="S8" s="3">
        <v>0.68061688172631207</v>
      </c>
      <c r="T8" s="3">
        <v>4.2000463935913164</v>
      </c>
    </row>
    <row r="9" spans="2:20" x14ac:dyDescent="0.25">
      <c r="B9" t="s">
        <v>21</v>
      </c>
      <c r="C9" t="s">
        <v>244</v>
      </c>
      <c r="D9" t="s">
        <v>244</v>
      </c>
      <c r="E9" s="3"/>
      <c r="F9" s="3"/>
      <c r="G9" s="3">
        <v>2.5841840458597689</v>
      </c>
      <c r="H9" s="3">
        <v>0.23974736842105299</v>
      </c>
      <c r="I9" s="3"/>
      <c r="J9" s="3"/>
      <c r="K9" s="3"/>
      <c r="L9" s="3"/>
      <c r="M9" s="3"/>
      <c r="N9" s="3"/>
      <c r="O9" s="3"/>
      <c r="P9" s="3"/>
      <c r="Q9" s="3"/>
      <c r="R9" s="3"/>
      <c r="S9" s="3"/>
      <c r="T9" s="3">
        <v>2.8239314142808221</v>
      </c>
    </row>
    <row r="10" spans="2:20" x14ac:dyDescent="0.25">
      <c r="B10" t="s">
        <v>22</v>
      </c>
      <c r="C10" t="s">
        <v>244</v>
      </c>
      <c r="D10" t="s">
        <v>244</v>
      </c>
      <c r="E10" s="3">
        <v>58.722962528170221</v>
      </c>
      <c r="F10" s="3"/>
      <c r="G10" s="3">
        <v>1.4892000000000001</v>
      </c>
      <c r="H10" s="3"/>
      <c r="I10" s="3"/>
      <c r="J10" s="3">
        <v>1.003895854145854</v>
      </c>
      <c r="K10" s="3"/>
      <c r="L10" s="3"/>
      <c r="M10" s="3"/>
      <c r="N10" s="3"/>
      <c r="O10" s="3"/>
      <c r="P10" s="3"/>
      <c r="Q10" s="3"/>
      <c r="R10" s="3"/>
      <c r="S10" s="3"/>
      <c r="T10" s="3">
        <v>61.216058382316071</v>
      </c>
    </row>
    <row r="11" spans="2:20" x14ac:dyDescent="0.25">
      <c r="B11" t="s">
        <v>18</v>
      </c>
      <c r="C11" t="s">
        <v>244</v>
      </c>
      <c r="D11" t="s">
        <v>244</v>
      </c>
      <c r="E11" s="3">
        <v>10.66753631045998</v>
      </c>
      <c r="F11" s="3">
        <v>0.57699199999999995</v>
      </c>
      <c r="G11" s="3"/>
      <c r="H11" s="3">
        <v>6.14284725925926</v>
      </c>
      <c r="I11" s="3">
        <v>1.9283832417582336</v>
      </c>
      <c r="J11" s="3"/>
      <c r="K11" s="3">
        <v>9.8112763378177057</v>
      </c>
      <c r="L11" s="3"/>
      <c r="M11" s="3">
        <v>3.7180984493207547</v>
      </c>
      <c r="N11" s="3"/>
      <c r="O11" s="3">
        <v>18.172689801685657</v>
      </c>
      <c r="P11" s="3"/>
      <c r="Q11" s="3"/>
      <c r="R11" s="3"/>
      <c r="S11" s="3"/>
      <c r="T11" s="3">
        <v>51.017823400301587</v>
      </c>
    </row>
    <row r="12" spans="2:20" x14ac:dyDescent="0.25">
      <c r="B12" t="s">
        <v>0</v>
      </c>
      <c r="E12" s="3">
        <v>138.2319047075045</v>
      </c>
      <c r="F12" s="3">
        <v>3.3603430786576904</v>
      </c>
      <c r="G12" s="3">
        <v>28.142349153451715</v>
      </c>
      <c r="H12" s="3">
        <v>33.542424878001846</v>
      </c>
      <c r="I12" s="3">
        <v>10.226921970480536</v>
      </c>
      <c r="J12" s="3">
        <v>144.2055329838345</v>
      </c>
      <c r="K12" s="3">
        <v>12.968215904018907</v>
      </c>
      <c r="L12" s="3">
        <v>3.3512026748558474</v>
      </c>
      <c r="M12" s="3">
        <v>10.087824111092354</v>
      </c>
      <c r="N12" s="3">
        <v>1.7080823985253932</v>
      </c>
      <c r="O12" s="3">
        <v>19.067485252393116</v>
      </c>
      <c r="P12" s="3">
        <v>1.0898268120498238</v>
      </c>
      <c r="Q12" s="3">
        <v>0.17519999999999999</v>
      </c>
      <c r="R12" s="3">
        <v>1.7568398831800538</v>
      </c>
      <c r="S12" s="3">
        <v>0.68061688172631207</v>
      </c>
      <c r="T12" s="3">
        <v>408.59477068977259</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V29"/>
  <sheetViews>
    <sheetView zoomScale="85" zoomScaleNormal="85" workbookViewId="0">
      <selection activeCell="K21" sqref="K21"/>
    </sheetView>
  </sheetViews>
  <sheetFormatPr defaultRowHeight="15" x14ac:dyDescent="0.25"/>
  <cols>
    <col min="2" max="2" width="13.28515625" bestFit="1" customWidth="1"/>
    <col min="3" max="3" width="8.140625" customWidth="1"/>
    <col min="4" max="4" width="8.140625" bestFit="1" customWidth="1"/>
    <col min="5" max="13" width="16" bestFit="1" customWidth="1"/>
    <col min="14" max="17" width="16" customWidth="1"/>
    <col min="18" max="21" width="16" bestFit="1" customWidth="1"/>
    <col min="22" max="22" width="12.28515625" customWidth="1"/>
    <col min="23" max="24" width="16" bestFit="1" customWidth="1"/>
    <col min="25" max="26" width="16" customWidth="1"/>
    <col min="27" max="28" width="12.28515625" bestFit="1" customWidth="1"/>
    <col min="29" max="29" width="16" customWidth="1"/>
    <col min="30" max="30" width="12.28515625" customWidth="1"/>
    <col min="31" max="31" width="19.85546875" customWidth="1"/>
    <col min="32" max="32" width="28.42578125" bestFit="1" customWidth="1"/>
    <col min="33" max="33" width="12.28515625" customWidth="1"/>
    <col min="34" max="34" width="16.42578125" customWidth="1"/>
    <col min="35" max="35" width="25.7109375" bestFit="1" customWidth="1"/>
    <col min="36" max="36" width="17.5703125" customWidth="1"/>
    <col min="37" max="37" width="12.7109375" customWidth="1"/>
    <col min="38" max="38" width="18.85546875" customWidth="1"/>
    <col min="39" max="39" width="15.7109375" customWidth="1"/>
    <col min="40" max="41" width="12.28515625" customWidth="1"/>
    <col min="42" max="42" width="27.28515625" bestFit="1" customWidth="1"/>
    <col min="43" max="43" width="29.7109375" bestFit="1" customWidth="1"/>
    <col min="44" max="44" width="29.42578125" bestFit="1" customWidth="1"/>
    <col min="45" max="45" width="15.28515625" bestFit="1" customWidth="1"/>
    <col min="46" max="46" width="17.85546875" bestFit="1" customWidth="1"/>
    <col min="47" max="47" width="18" bestFit="1" customWidth="1"/>
    <col min="48" max="48" width="19.140625" bestFit="1" customWidth="1"/>
    <col min="49" max="49" width="19.85546875" bestFit="1" customWidth="1"/>
    <col min="50" max="50" width="28.42578125" bestFit="1" customWidth="1"/>
    <col min="51" max="51" width="12.28515625" bestFit="1" customWidth="1"/>
    <col min="52" max="52" width="16.42578125" bestFit="1" customWidth="1"/>
    <col min="53" max="53" width="25.7109375" bestFit="1" customWidth="1"/>
    <col min="54" max="54" width="17.5703125" bestFit="1" customWidth="1"/>
    <col min="55" max="55" width="12.7109375" bestFit="1" customWidth="1"/>
    <col min="56" max="56" width="18.85546875" bestFit="1" customWidth="1"/>
    <col min="57" max="57" width="15.7109375" bestFit="1" customWidth="1"/>
    <col min="58" max="59" width="12.28515625" bestFit="1" customWidth="1"/>
  </cols>
  <sheetData>
    <row r="1" spans="2:22" x14ac:dyDescent="0.25">
      <c r="B1" s="1" t="s">
        <v>11</v>
      </c>
      <c r="C1" t="s">
        <v>213</v>
      </c>
    </row>
    <row r="3" spans="2:22" x14ac:dyDescent="0.25">
      <c r="B3" s="1" t="s">
        <v>14</v>
      </c>
      <c r="E3" s="1" t="s">
        <v>12</v>
      </c>
    </row>
    <row r="4" spans="2:22" x14ac:dyDescent="0.25">
      <c r="B4" s="1" t="s">
        <v>180</v>
      </c>
      <c r="C4" s="1" t="s">
        <v>15</v>
      </c>
      <c r="D4" s="1" t="s">
        <v>88</v>
      </c>
      <c r="E4" t="s">
        <v>16</v>
      </c>
      <c r="F4" t="s">
        <v>216</v>
      </c>
      <c r="G4" t="s">
        <v>224</v>
      </c>
      <c r="H4" t="s">
        <v>223</v>
      </c>
      <c r="I4" t="s">
        <v>294</v>
      </c>
      <c r="J4" t="s">
        <v>157</v>
      </c>
      <c r="K4" t="s">
        <v>302</v>
      </c>
      <c r="L4" t="s">
        <v>220</v>
      </c>
      <c r="M4" t="s">
        <v>218</v>
      </c>
      <c r="N4" t="s">
        <v>222</v>
      </c>
      <c r="O4" t="s">
        <v>298</v>
      </c>
      <c r="P4" t="s">
        <v>221</v>
      </c>
      <c r="Q4" t="s">
        <v>225</v>
      </c>
      <c r="R4" t="s">
        <v>299</v>
      </c>
      <c r="S4" t="s">
        <v>156</v>
      </c>
      <c r="T4" t="s">
        <v>179</v>
      </c>
      <c r="U4" t="s">
        <v>332</v>
      </c>
      <c r="V4" t="s">
        <v>0</v>
      </c>
    </row>
    <row r="5" spans="2:22" x14ac:dyDescent="0.25">
      <c r="B5" t="s">
        <v>244</v>
      </c>
      <c r="C5" t="s">
        <v>331</v>
      </c>
      <c r="D5" t="s">
        <v>46</v>
      </c>
      <c r="E5" s="3">
        <v>11733.946938187519</v>
      </c>
      <c r="F5" s="3">
        <v>119.27446365889679</v>
      </c>
      <c r="G5" s="3">
        <v>2951.3917544422138</v>
      </c>
      <c r="H5" s="3">
        <v>3704.1061228332997</v>
      </c>
      <c r="I5" s="3">
        <v>1128.3786651572698</v>
      </c>
      <c r="J5" s="3">
        <v>17285.715084915053</v>
      </c>
      <c r="K5" s="3">
        <v>178129.67077545103</v>
      </c>
      <c r="L5" s="3">
        <v>927.85697774830453</v>
      </c>
      <c r="M5" s="3">
        <v>298.80648845923389</v>
      </c>
      <c r="N5" s="3">
        <v>542.10952100175109</v>
      </c>
      <c r="O5" s="3">
        <v>172.67468646154848</v>
      </c>
      <c r="P5" s="3">
        <v>2074.5079682289561</v>
      </c>
      <c r="Q5" s="3">
        <v>41.8561976683323</v>
      </c>
      <c r="R5" s="3">
        <v>20</v>
      </c>
      <c r="S5" s="3">
        <v>204.26765438243009</v>
      </c>
      <c r="T5" s="3">
        <v>119.62256158739559</v>
      </c>
      <c r="U5" s="3">
        <v>149.52860767244599</v>
      </c>
      <c r="V5" s="3">
        <v>219603.71446785567</v>
      </c>
    </row>
    <row r="6" spans="2:22" x14ac:dyDescent="0.25">
      <c r="B6" t="s">
        <v>244</v>
      </c>
      <c r="C6" t="s">
        <v>331</v>
      </c>
      <c r="D6" t="s">
        <v>47</v>
      </c>
      <c r="E6" s="3">
        <v>11784.616600678099</v>
      </c>
      <c r="F6" s="3">
        <v>138.30400618236629</v>
      </c>
      <c r="G6" s="3">
        <v>2960.2066533020102</v>
      </c>
      <c r="H6" s="3">
        <v>3699.4031112013859</v>
      </c>
      <c r="I6" s="3">
        <v>1128.1359166545801</v>
      </c>
      <c r="J6" s="3">
        <v>11830.171230132837</v>
      </c>
      <c r="K6" s="3">
        <v>183520.44132868684</v>
      </c>
      <c r="L6" s="3">
        <v>886.7692519728887</v>
      </c>
      <c r="M6" s="3">
        <v>297.29483481187691</v>
      </c>
      <c r="N6" s="3">
        <v>520.44778717585314</v>
      </c>
      <c r="O6" s="3">
        <v>172.50148709892053</v>
      </c>
      <c r="P6" s="3">
        <v>2074.5079682289561</v>
      </c>
      <c r="Q6" s="3">
        <v>41.748739149488301</v>
      </c>
      <c r="R6" s="3">
        <v>20</v>
      </c>
      <c r="S6" s="3">
        <v>204.43443250028909</v>
      </c>
      <c r="T6" s="3">
        <v>94.7142595096837</v>
      </c>
      <c r="U6" s="3">
        <v>148.11397551797</v>
      </c>
      <c r="V6" s="3">
        <v>219521.81158280405</v>
      </c>
    </row>
    <row r="7" spans="2:22" x14ac:dyDescent="0.25">
      <c r="B7" t="s">
        <v>244</v>
      </c>
      <c r="C7" t="s">
        <v>331</v>
      </c>
      <c r="D7" t="s">
        <v>48</v>
      </c>
      <c r="E7" s="3">
        <v>11808.396036529983</v>
      </c>
      <c r="F7" s="3">
        <v>139.7666513892471</v>
      </c>
      <c r="G7" s="3">
        <v>2970.1917238614692</v>
      </c>
      <c r="H7" s="3">
        <v>3705.208741300557</v>
      </c>
      <c r="I7" s="3">
        <v>1130.2401519723699</v>
      </c>
      <c r="J7" s="3">
        <v>15964.781820374057</v>
      </c>
      <c r="K7" s="3">
        <v>179357.12316990033</v>
      </c>
      <c r="L7" s="3">
        <v>878.6873628259159</v>
      </c>
      <c r="M7" s="3">
        <v>295.9206042233705</v>
      </c>
      <c r="N7" s="3">
        <v>516.52731503193775</v>
      </c>
      <c r="O7" s="3">
        <v>172.8500258035607</v>
      </c>
      <c r="P7" s="3">
        <v>2074.5079682289561</v>
      </c>
      <c r="Q7" s="3">
        <v>42.698455665386597</v>
      </c>
      <c r="R7" s="3">
        <v>20</v>
      </c>
      <c r="S7" s="3">
        <v>204.4865506621201</v>
      </c>
      <c r="T7" s="3">
        <v>77.599663368840197</v>
      </c>
      <c r="U7" s="3">
        <v>148.920468403635</v>
      </c>
      <c r="V7" s="3">
        <v>219507.90670954168</v>
      </c>
    </row>
    <row r="8" spans="2:22" x14ac:dyDescent="0.25">
      <c r="B8" t="s">
        <v>244</v>
      </c>
      <c r="C8" t="s">
        <v>331</v>
      </c>
      <c r="D8" t="s">
        <v>49</v>
      </c>
      <c r="E8" s="3">
        <v>11787.88506535249</v>
      </c>
      <c r="F8" s="3">
        <v>133.3428298808021</v>
      </c>
      <c r="G8" s="3">
        <v>2980.3481052471961</v>
      </c>
      <c r="H8" s="3">
        <v>3729.2011668543068</v>
      </c>
      <c r="I8" s="3">
        <v>1135.3037144267068</v>
      </c>
      <c r="J8" s="3">
        <v>17285.715084915053</v>
      </c>
      <c r="K8" s="3">
        <v>178095.96358518561</v>
      </c>
      <c r="L8" s="3">
        <v>935.89520680521207</v>
      </c>
      <c r="M8" s="3">
        <v>297.98195010613011</v>
      </c>
      <c r="N8" s="3">
        <v>564.32880695643041</v>
      </c>
      <c r="O8" s="3">
        <v>173.64298492792562</v>
      </c>
      <c r="P8" s="3">
        <v>2074.5079682289561</v>
      </c>
      <c r="Q8" s="3">
        <v>45.631586014068702</v>
      </c>
      <c r="R8" s="3">
        <v>20</v>
      </c>
      <c r="S8" s="3">
        <v>204.33019617662731</v>
      </c>
      <c r="T8" s="3">
        <v>90.616961688016701</v>
      </c>
      <c r="U8" s="3">
        <v>151.89304732382701</v>
      </c>
      <c r="V8" s="3">
        <v>219706.58826008934</v>
      </c>
    </row>
    <row r="9" spans="2:22" x14ac:dyDescent="0.25">
      <c r="B9" t="s">
        <v>244</v>
      </c>
      <c r="C9" t="s">
        <v>331</v>
      </c>
      <c r="D9" t="s">
        <v>50</v>
      </c>
      <c r="E9" s="3">
        <v>11765.512349150718</v>
      </c>
      <c r="F9" s="3">
        <v>159.55153149852629</v>
      </c>
      <c r="G9" s="3">
        <v>3013.279296459018</v>
      </c>
      <c r="H9" s="3">
        <v>3771.1335675081741</v>
      </c>
      <c r="I9" s="3">
        <v>1144.9825265781831</v>
      </c>
      <c r="J9" s="3">
        <v>17285.715084915053</v>
      </c>
      <c r="K9" s="3">
        <v>178188.37516615176</v>
      </c>
      <c r="L9" s="3">
        <v>994.87128713230982</v>
      </c>
      <c r="M9" s="3">
        <v>299.49360375348709</v>
      </c>
      <c r="N9" s="3">
        <v>655.56733962910539</v>
      </c>
      <c r="O9" s="3">
        <v>176.40554176627509</v>
      </c>
      <c r="P9" s="3">
        <v>2091.4374924477784</v>
      </c>
      <c r="Q9" s="3">
        <v>49.2739836602289</v>
      </c>
      <c r="R9" s="3">
        <v>20</v>
      </c>
      <c r="S9" s="3">
        <v>203.98621630854311</v>
      </c>
      <c r="T9" s="3">
        <v>91.408261206056494</v>
      </c>
      <c r="U9" s="3">
        <v>159.13587041128</v>
      </c>
      <c r="V9" s="3">
        <v>220070.12911857656</v>
      </c>
    </row>
    <row r="10" spans="2:22" x14ac:dyDescent="0.25">
      <c r="B10" t="s">
        <v>244</v>
      </c>
      <c r="C10" t="s">
        <v>331</v>
      </c>
      <c r="D10" t="s">
        <v>51</v>
      </c>
      <c r="E10" s="3">
        <v>15502.393918469714</v>
      </c>
      <c r="F10" s="3">
        <v>273.95200685626151</v>
      </c>
      <c r="G10" s="3">
        <v>3052.888040734912</v>
      </c>
      <c r="H10" s="3">
        <v>3835.1475900832334</v>
      </c>
      <c r="I10" s="3">
        <v>1154.5517063764983</v>
      </c>
      <c r="J10" s="3">
        <v>17859.466666666638</v>
      </c>
      <c r="K10" s="3">
        <v>177012.67618928297</v>
      </c>
      <c r="L10" s="3">
        <v>1159.6271905942515</v>
      </c>
      <c r="M10" s="3">
        <v>323.5426390523491</v>
      </c>
      <c r="N10" s="3">
        <v>944.51109931540464</v>
      </c>
      <c r="O10" s="3">
        <v>188.989772912131</v>
      </c>
      <c r="P10" s="3">
        <v>2230.7045545906881</v>
      </c>
      <c r="Q10" s="3">
        <v>56.769498102953698</v>
      </c>
      <c r="R10" s="3">
        <v>20</v>
      </c>
      <c r="S10" s="3">
        <v>203.48588195496612</v>
      </c>
      <c r="T10" s="3">
        <v>116.3377830379421</v>
      </c>
      <c r="U10" s="3">
        <v>172.52372111809899</v>
      </c>
      <c r="V10" s="3">
        <v>224107.568259149</v>
      </c>
    </row>
    <row r="11" spans="2:22" x14ac:dyDescent="0.25">
      <c r="B11" t="s">
        <v>244</v>
      </c>
      <c r="C11" t="s">
        <v>331</v>
      </c>
      <c r="D11" t="s">
        <v>187</v>
      </c>
      <c r="E11" s="3">
        <v>20029.37719163256</v>
      </c>
      <c r="F11" s="3">
        <v>525.70644881290877</v>
      </c>
      <c r="G11" s="3">
        <v>3344.5865928323683</v>
      </c>
      <c r="H11" s="3">
        <v>3988.4859292440456</v>
      </c>
      <c r="I11" s="3">
        <v>1175.7366146125464</v>
      </c>
      <c r="J11" s="3">
        <v>17859.466666666638</v>
      </c>
      <c r="K11" s="3">
        <v>176015.51164109429</v>
      </c>
      <c r="L11" s="3">
        <v>1723.4591850166244</v>
      </c>
      <c r="M11" s="3">
        <v>383.73393882892952</v>
      </c>
      <c r="N11" s="3">
        <v>1517.6882829621195</v>
      </c>
      <c r="O11" s="3">
        <v>219.47914110175711</v>
      </c>
      <c r="P11" s="3">
        <v>2323.7330372950237</v>
      </c>
      <c r="Q11" s="3">
        <v>193.62182402664271</v>
      </c>
      <c r="R11" s="3">
        <v>20</v>
      </c>
      <c r="S11" s="3">
        <v>202.85004038062871</v>
      </c>
      <c r="T11" s="3">
        <v>90.411426294860803</v>
      </c>
      <c r="U11" s="3">
        <v>199.52607491453901</v>
      </c>
      <c r="V11" s="3">
        <v>229813.37403571649</v>
      </c>
    </row>
    <row r="12" spans="2:22" x14ac:dyDescent="0.25">
      <c r="B12" t="s">
        <v>244</v>
      </c>
      <c r="C12" t="s">
        <v>331</v>
      </c>
      <c r="D12" t="s">
        <v>188</v>
      </c>
      <c r="E12" s="3">
        <v>30490.445134653197</v>
      </c>
      <c r="F12" s="3">
        <v>610.76511027521565</v>
      </c>
      <c r="G12" s="3">
        <v>3459.0899036705396</v>
      </c>
      <c r="H12" s="3">
        <v>4069.3225751330269</v>
      </c>
      <c r="I12" s="3">
        <v>1189.4640200037104</v>
      </c>
      <c r="J12" s="3">
        <v>18028.799999999974</v>
      </c>
      <c r="K12" s="3">
        <v>167458.89387421717</v>
      </c>
      <c r="L12" s="3">
        <v>2282.2203814327922</v>
      </c>
      <c r="M12" s="3">
        <v>458.95758161714764</v>
      </c>
      <c r="N12" s="3">
        <v>1803.8250068209738</v>
      </c>
      <c r="O12" s="3">
        <v>248.27835351655304</v>
      </c>
      <c r="P12" s="3">
        <v>2345.2999241457969</v>
      </c>
      <c r="Q12" s="3">
        <v>197.57673821228195</v>
      </c>
      <c r="R12" s="3">
        <v>20</v>
      </c>
      <c r="S12" s="3">
        <v>202.06826795316468</v>
      </c>
      <c r="T12" s="3">
        <v>81.1130024182645</v>
      </c>
      <c r="U12" s="3">
        <v>104.29736557263909</v>
      </c>
      <c r="V12" s="3">
        <v>233050.4172396425</v>
      </c>
    </row>
    <row r="13" spans="2:22" x14ac:dyDescent="0.25">
      <c r="B13" t="s">
        <v>244</v>
      </c>
      <c r="C13" t="s">
        <v>331</v>
      </c>
      <c r="D13" t="s">
        <v>189</v>
      </c>
      <c r="E13" s="3">
        <v>26135.228398969102</v>
      </c>
      <c r="F13" s="3">
        <v>573.2328527224405</v>
      </c>
      <c r="G13" s="3">
        <v>3471.8810150617019</v>
      </c>
      <c r="H13" s="3">
        <v>4066.9432487875479</v>
      </c>
      <c r="I13" s="3">
        <v>1191.8732697434252</v>
      </c>
      <c r="J13" s="3">
        <v>18028.799999999974</v>
      </c>
      <c r="K13" s="3">
        <v>172024.32300692587</v>
      </c>
      <c r="L13" s="3">
        <v>2275.0260093794191</v>
      </c>
      <c r="M13" s="3">
        <v>464.31708091232264</v>
      </c>
      <c r="N13" s="3">
        <v>1826.3404484292864</v>
      </c>
      <c r="O13" s="3">
        <v>253.28089735335845</v>
      </c>
      <c r="P13" s="3">
        <v>2345.2999241457969</v>
      </c>
      <c r="Q13" s="3">
        <v>197.57673821228195</v>
      </c>
      <c r="R13" s="3">
        <v>20</v>
      </c>
      <c r="S13" s="3">
        <v>201.39073184936248</v>
      </c>
      <c r="T13" s="3">
        <v>53.471016318335202</v>
      </c>
      <c r="U13" s="3">
        <v>108.3326705457974</v>
      </c>
      <c r="V13" s="3">
        <v>233237.31730935603</v>
      </c>
    </row>
    <row r="14" spans="2:22" x14ac:dyDescent="0.25">
      <c r="B14" t="s">
        <v>244</v>
      </c>
      <c r="C14" t="s">
        <v>331</v>
      </c>
      <c r="D14" t="s">
        <v>190</v>
      </c>
      <c r="E14" s="3">
        <v>25846.219143119539</v>
      </c>
      <c r="F14" s="3">
        <v>611.22281608166293</v>
      </c>
      <c r="G14" s="3">
        <v>3470.2411289859119</v>
      </c>
      <c r="H14" s="3">
        <v>4064.2709313118362</v>
      </c>
      <c r="I14" s="3">
        <v>1195.6536058177323</v>
      </c>
      <c r="J14" s="3">
        <v>18028.799999999974</v>
      </c>
      <c r="K14" s="3">
        <v>171923.97793686474</v>
      </c>
      <c r="L14" s="3">
        <v>2194.3811071641512</v>
      </c>
      <c r="M14" s="3">
        <v>463.62996561806943</v>
      </c>
      <c r="N14" s="3">
        <v>1721.0633886712471</v>
      </c>
      <c r="O14" s="3">
        <v>246.32083890053894</v>
      </c>
      <c r="P14" s="3">
        <v>2345.2999241457969</v>
      </c>
      <c r="Q14" s="3">
        <v>197.57673821228195</v>
      </c>
      <c r="R14" s="3">
        <v>20</v>
      </c>
      <c r="S14" s="3">
        <v>200.7757375397575</v>
      </c>
      <c r="T14" s="3">
        <v>77.918770629634096</v>
      </c>
      <c r="U14" s="3">
        <v>109.37402546148191</v>
      </c>
      <c r="V14" s="3">
        <v>232716.72605852436</v>
      </c>
    </row>
    <row r="15" spans="2:22" x14ac:dyDescent="0.25">
      <c r="B15" t="s">
        <v>244</v>
      </c>
      <c r="C15" t="s">
        <v>331</v>
      </c>
      <c r="D15" t="s">
        <v>191</v>
      </c>
      <c r="E15" s="3">
        <v>19027.780321618451</v>
      </c>
      <c r="F15" s="3">
        <v>580.54297534783859</v>
      </c>
      <c r="G15" s="3">
        <v>3457.1585548439925</v>
      </c>
      <c r="H15" s="3">
        <v>4031.508495776045</v>
      </c>
      <c r="I15" s="3">
        <v>1190.3794049899172</v>
      </c>
      <c r="J15" s="3">
        <v>17859.466666666638</v>
      </c>
      <c r="K15" s="3">
        <v>178597.32371241873</v>
      </c>
      <c r="L15" s="3">
        <v>1894.5260566176651</v>
      </c>
      <c r="M15" s="3">
        <v>425.51054871952414</v>
      </c>
      <c r="N15" s="3">
        <v>1670.9553847269156</v>
      </c>
      <c r="O15" s="3">
        <v>235.74289236899088</v>
      </c>
      <c r="P15" s="3">
        <v>2344.8094093417358</v>
      </c>
      <c r="Q15" s="3">
        <v>193.62182402664271</v>
      </c>
      <c r="R15" s="3">
        <v>20</v>
      </c>
      <c r="S15" s="3">
        <v>200.22328502434959</v>
      </c>
      <c r="T15" s="3">
        <v>75.597527121353707</v>
      </c>
      <c r="U15" s="3">
        <v>214.86282267246901</v>
      </c>
      <c r="V15" s="3">
        <v>232020.00988228127</v>
      </c>
    </row>
    <row r="16" spans="2:22" x14ac:dyDescent="0.25">
      <c r="B16" t="s">
        <v>244</v>
      </c>
      <c r="C16" t="s">
        <v>331</v>
      </c>
      <c r="D16" t="s">
        <v>227</v>
      </c>
      <c r="E16" s="3">
        <v>10979.931946592005</v>
      </c>
      <c r="F16" s="3">
        <v>505.71139675857637</v>
      </c>
      <c r="G16" s="3">
        <v>3454.2067599075708</v>
      </c>
      <c r="H16" s="3">
        <v>4016.6320918032202</v>
      </c>
      <c r="I16" s="3">
        <v>1188.2624477084544</v>
      </c>
      <c r="J16" s="3">
        <v>17859.466666666638</v>
      </c>
      <c r="K16" s="3">
        <v>182884.66906768858</v>
      </c>
      <c r="L16" s="3">
        <v>1712.3156955839893</v>
      </c>
      <c r="M16" s="3">
        <v>424.2737411898683</v>
      </c>
      <c r="N16" s="3">
        <v>1593.4264823383826</v>
      </c>
      <c r="O16" s="3">
        <v>224.41748169992016</v>
      </c>
      <c r="P16" s="3">
        <v>2291.5394136404911</v>
      </c>
      <c r="Q16" s="3">
        <v>193.62182402664271</v>
      </c>
      <c r="R16" s="3">
        <v>20</v>
      </c>
      <c r="S16" s="3">
        <v>199.76464520023737</v>
      </c>
      <c r="T16" s="3">
        <v>73.670457039007601</v>
      </c>
      <c r="U16" s="3">
        <v>209.1814708423413</v>
      </c>
      <c r="V16" s="3">
        <v>227831.0915886859</v>
      </c>
    </row>
    <row r="17" spans="2:22" x14ac:dyDescent="0.25">
      <c r="B17" t="s">
        <v>244</v>
      </c>
      <c r="C17" t="s">
        <v>331</v>
      </c>
      <c r="D17" t="s">
        <v>262</v>
      </c>
      <c r="E17" s="3">
        <v>10956.537094804542</v>
      </c>
      <c r="F17" s="3">
        <v>513.74418484926559</v>
      </c>
      <c r="G17" s="3">
        <v>3211.1730677666155</v>
      </c>
      <c r="H17" s="3">
        <v>4011.209621040995</v>
      </c>
      <c r="I17" s="3">
        <v>1188.4764033570293</v>
      </c>
      <c r="J17" s="3">
        <v>17859.466666666638</v>
      </c>
      <c r="K17" s="3">
        <v>182425.4713568491</v>
      </c>
      <c r="L17" s="3">
        <v>1657.2941312294622</v>
      </c>
      <c r="M17" s="3">
        <v>416.57804989423255</v>
      </c>
      <c r="N17" s="3">
        <v>1523.8770169137579</v>
      </c>
      <c r="O17" s="3">
        <v>217.19770177055631</v>
      </c>
      <c r="P17" s="3">
        <v>2270.7091177207944</v>
      </c>
      <c r="Q17" s="3">
        <v>193.62182402664271</v>
      </c>
      <c r="R17" s="3">
        <v>20</v>
      </c>
      <c r="S17" s="3">
        <v>199.36854717032227</v>
      </c>
      <c r="T17" s="3">
        <v>72.006169240617893</v>
      </c>
      <c r="U17" s="3">
        <v>199.70524639063561</v>
      </c>
      <c r="V17" s="3">
        <v>226936.4361996912</v>
      </c>
    </row>
    <row r="18" spans="2:22" x14ac:dyDescent="0.25">
      <c r="B18" t="s">
        <v>244</v>
      </c>
      <c r="C18" t="s">
        <v>331</v>
      </c>
      <c r="D18" t="s">
        <v>263</v>
      </c>
      <c r="E18" s="3">
        <v>10860.105416218337</v>
      </c>
      <c r="F18" s="3">
        <v>512.64479145198629</v>
      </c>
      <c r="G18" s="3">
        <v>3211.1730677666155</v>
      </c>
      <c r="H18" s="3">
        <v>4010.070597989888</v>
      </c>
      <c r="I18" s="3">
        <v>1187.4264738316513</v>
      </c>
      <c r="J18" s="3">
        <v>17859.466666666638</v>
      </c>
      <c r="K18" s="3">
        <v>182129.67073710301</v>
      </c>
      <c r="L18" s="3">
        <v>1638.9211128629706</v>
      </c>
      <c r="M18" s="3">
        <v>411.21855059905755</v>
      </c>
      <c r="N18" s="3">
        <v>1479.3368148501152</v>
      </c>
      <c r="O18" s="3">
        <v>212.60350574048829</v>
      </c>
      <c r="P18" s="3">
        <v>2220.5330481704623</v>
      </c>
      <c r="Q18" s="3">
        <v>193.62182402664271</v>
      </c>
      <c r="R18" s="3">
        <v>20</v>
      </c>
      <c r="S18" s="3">
        <v>199.04541456697049</v>
      </c>
      <c r="T18" s="3">
        <v>97.680240877046202</v>
      </c>
      <c r="U18" s="3">
        <v>196.62830775031418</v>
      </c>
      <c r="V18" s="3">
        <v>226440.14657047219</v>
      </c>
    </row>
    <row r="19" spans="2:22" x14ac:dyDescent="0.25">
      <c r="B19" t="s">
        <v>244</v>
      </c>
      <c r="C19" t="s">
        <v>331</v>
      </c>
      <c r="D19" t="s">
        <v>264</v>
      </c>
      <c r="E19" s="3">
        <v>14064.336093471722</v>
      </c>
      <c r="F19" s="3">
        <v>499.88031613684763</v>
      </c>
      <c r="G19" s="3">
        <v>3211.1730677666155</v>
      </c>
      <c r="H19" s="3">
        <v>4001.871648267655</v>
      </c>
      <c r="I19" s="3">
        <v>1186.7839769817804</v>
      </c>
      <c r="J19" s="3">
        <v>17859.466666666638</v>
      </c>
      <c r="K19" s="3">
        <v>182146.91198777963</v>
      </c>
      <c r="L19" s="3">
        <v>1650.0174223876663</v>
      </c>
      <c r="M19" s="3">
        <v>413.41731954066773</v>
      </c>
      <c r="N19" s="3">
        <v>1471.0410732849441</v>
      </c>
      <c r="O19" s="3">
        <v>206.54024214991981</v>
      </c>
      <c r="P19" s="3">
        <v>2208.1616763350644</v>
      </c>
      <c r="Q19" s="3">
        <v>193.62182402664271</v>
      </c>
      <c r="R19" s="3">
        <v>20</v>
      </c>
      <c r="S19" s="3">
        <v>198.84736555201292</v>
      </c>
      <c r="T19" s="3">
        <v>73.593360121658904</v>
      </c>
      <c r="U19" s="3">
        <v>196.15241860368477</v>
      </c>
      <c r="V19" s="3">
        <v>229601.81645907316</v>
      </c>
    </row>
    <row r="20" spans="2:22" x14ac:dyDescent="0.25">
      <c r="B20" t="s">
        <v>244</v>
      </c>
      <c r="C20" t="s">
        <v>331</v>
      </c>
      <c r="D20" t="s">
        <v>265</v>
      </c>
      <c r="E20" s="3">
        <v>15954.414911703207</v>
      </c>
      <c r="F20" s="3">
        <v>500.84264310469717</v>
      </c>
      <c r="G20" s="3">
        <v>3414.2781956982799</v>
      </c>
      <c r="H20" s="3">
        <v>4007.4174797231458</v>
      </c>
      <c r="I20" s="3">
        <v>1193.0906281091313</v>
      </c>
      <c r="J20" s="3">
        <v>17859.466666666638</v>
      </c>
      <c r="K20" s="3">
        <v>180404.26861544445</v>
      </c>
      <c r="L20" s="3">
        <v>1758.5957955136682</v>
      </c>
      <c r="M20" s="3">
        <v>415.47866542342734</v>
      </c>
      <c r="N20" s="3">
        <v>1484.1354251403968</v>
      </c>
      <c r="O20" s="3">
        <v>195.67004263752446</v>
      </c>
      <c r="P20" s="3">
        <v>2180.808712587112</v>
      </c>
      <c r="Q20" s="3">
        <v>193.62182402664271</v>
      </c>
      <c r="R20" s="3">
        <v>20</v>
      </c>
      <c r="S20" s="3">
        <v>198.70143469888629</v>
      </c>
      <c r="T20" s="3">
        <v>69.203158211750804</v>
      </c>
      <c r="U20" s="3">
        <v>204.29628036823038</v>
      </c>
      <c r="V20" s="3">
        <v>230054.29047905715</v>
      </c>
    </row>
    <row r="21" spans="2:22" x14ac:dyDescent="0.25">
      <c r="B21" t="s">
        <v>244</v>
      </c>
      <c r="C21" t="s">
        <v>331</v>
      </c>
      <c r="D21" t="s">
        <v>266</v>
      </c>
      <c r="E21" s="3">
        <v>20870.128631333824</v>
      </c>
      <c r="F21" s="3">
        <v>466.37413233269552</v>
      </c>
      <c r="G21" s="3">
        <v>3415.9318775476459</v>
      </c>
      <c r="H21" s="3">
        <v>3929.4505509655842</v>
      </c>
      <c r="I21" s="3">
        <v>1182.4283061334804</v>
      </c>
      <c r="J21" s="3">
        <v>17859.466666666638</v>
      </c>
      <c r="K21" s="3">
        <v>175479.97381900606</v>
      </c>
      <c r="L21" s="3">
        <v>1712.8588982178424</v>
      </c>
      <c r="M21" s="3">
        <v>416.71547295308312</v>
      </c>
      <c r="N21" s="3">
        <v>1357.0031226778456</v>
      </c>
      <c r="O21" s="3">
        <v>178.14416700084092</v>
      </c>
      <c r="P21" s="3">
        <v>2126.9725817314234</v>
      </c>
      <c r="Q21" s="3">
        <v>193.62182402664271</v>
      </c>
      <c r="R21" s="3">
        <v>20</v>
      </c>
      <c r="S21" s="3">
        <v>198.57635111049208</v>
      </c>
      <c r="T21" s="3">
        <v>66.440991564038896</v>
      </c>
      <c r="U21" s="3">
        <v>193.65138648410186</v>
      </c>
      <c r="V21" s="3">
        <v>229667.73877975222</v>
      </c>
    </row>
    <row r="22" spans="2:22" x14ac:dyDescent="0.25">
      <c r="B22" t="s">
        <v>244</v>
      </c>
      <c r="C22" t="s">
        <v>331</v>
      </c>
      <c r="D22" t="s">
        <v>267</v>
      </c>
      <c r="E22" s="3">
        <v>19030.975898581633</v>
      </c>
      <c r="F22" s="3">
        <v>414.32605332894173</v>
      </c>
      <c r="G22" s="3">
        <v>3431.671660837118</v>
      </c>
      <c r="H22" s="3">
        <v>3790.2954362892224</v>
      </c>
      <c r="I22" s="3">
        <v>1177.2485734844684</v>
      </c>
      <c r="J22" s="3">
        <v>17859.466666666638</v>
      </c>
      <c r="K22" s="3">
        <v>177530.01121880868</v>
      </c>
      <c r="L22" s="3">
        <v>1646.0625198521132</v>
      </c>
      <c r="M22" s="3">
        <v>420.42589554205045</v>
      </c>
      <c r="N22" s="3">
        <v>1244.052239367795</v>
      </c>
      <c r="O22" s="3">
        <v>174.16449685082077</v>
      </c>
      <c r="P22" s="3">
        <v>2169.2971244073074</v>
      </c>
      <c r="Q22" s="3">
        <v>193.62182402664271</v>
      </c>
      <c r="R22" s="3">
        <v>20</v>
      </c>
      <c r="S22" s="3">
        <v>198.46169115446398</v>
      </c>
      <c r="T22" s="3">
        <v>41.164046019715997</v>
      </c>
      <c r="U22" s="3">
        <v>187.37738029969501</v>
      </c>
      <c r="V22" s="3">
        <v>229528.62272551731</v>
      </c>
    </row>
    <row r="23" spans="2:22" x14ac:dyDescent="0.25">
      <c r="B23" t="s">
        <v>244</v>
      </c>
      <c r="C23" t="s">
        <v>331</v>
      </c>
      <c r="D23" t="s">
        <v>268</v>
      </c>
      <c r="E23" s="3">
        <v>20036.292589223456</v>
      </c>
      <c r="F23" s="3">
        <v>377.87889656007223</v>
      </c>
      <c r="G23" s="3">
        <v>3199.4509206726898</v>
      </c>
      <c r="H23" s="3">
        <v>3820.4709660973713</v>
      </c>
      <c r="I23" s="3">
        <v>1174.1546722278483</v>
      </c>
      <c r="J23" s="3">
        <v>17859.466666666638</v>
      </c>
      <c r="K23" s="3">
        <v>176601.35811214894</v>
      </c>
      <c r="L23" s="3">
        <v>1672.777795498874</v>
      </c>
      <c r="M23" s="3">
        <v>419.87620330664782</v>
      </c>
      <c r="N23" s="3">
        <v>1161.9976833484363</v>
      </c>
      <c r="O23" s="3">
        <v>171.56706631903191</v>
      </c>
      <c r="P23" s="3">
        <v>2074.5079682289561</v>
      </c>
      <c r="Q23" s="3">
        <v>152.1962494971271</v>
      </c>
      <c r="R23" s="3">
        <v>20</v>
      </c>
      <c r="S23" s="3">
        <v>198.33660756606977</v>
      </c>
      <c r="T23" s="3">
        <v>67.670261555339195</v>
      </c>
      <c r="U23" s="3">
        <v>120.529175438628</v>
      </c>
      <c r="V23" s="3">
        <v>229128.53183435611</v>
      </c>
    </row>
    <row r="24" spans="2:22" x14ac:dyDescent="0.25">
      <c r="B24" t="s">
        <v>244</v>
      </c>
      <c r="C24" t="s">
        <v>331</v>
      </c>
      <c r="D24" t="s">
        <v>269</v>
      </c>
      <c r="E24" s="3">
        <v>15190.632629532978</v>
      </c>
      <c r="F24" s="3">
        <v>337.35624928025231</v>
      </c>
      <c r="G24" s="3">
        <v>3195.5376141330494</v>
      </c>
      <c r="H24" s="3">
        <v>3762.9733876359774</v>
      </c>
      <c r="I24" s="3">
        <v>1168.1920340234362</v>
      </c>
      <c r="J24" s="3">
        <v>17859.466666666638</v>
      </c>
      <c r="K24" s="3">
        <v>181258.69344575761</v>
      </c>
      <c r="L24" s="3">
        <v>1456.943958949051</v>
      </c>
      <c r="M24" s="3">
        <v>414.24185789377162</v>
      </c>
      <c r="N24" s="3">
        <v>995.29759241171939</v>
      </c>
      <c r="O24" s="3">
        <v>171.0143061236956</v>
      </c>
      <c r="P24" s="3">
        <v>2074.5079682289561</v>
      </c>
      <c r="Q24" s="3">
        <v>55.322239454791713</v>
      </c>
      <c r="R24" s="3">
        <v>20</v>
      </c>
      <c r="S24" s="3">
        <v>198.1906767129432</v>
      </c>
      <c r="T24" s="3">
        <v>67.057102892774594</v>
      </c>
      <c r="U24" s="3">
        <v>185.11956391503901</v>
      </c>
      <c r="V24" s="3">
        <v>228410.5472936127</v>
      </c>
    </row>
    <row r="25" spans="2:22" x14ac:dyDescent="0.25">
      <c r="B25" t="s">
        <v>244</v>
      </c>
      <c r="C25" t="s">
        <v>331</v>
      </c>
      <c r="D25" t="s">
        <v>270</v>
      </c>
      <c r="E25" s="3">
        <v>14974.614654311305</v>
      </c>
      <c r="F25" s="3">
        <v>291.66549706885343</v>
      </c>
      <c r="G25" s="3">
        <v>3191.0851367452442</v>
      </c>
      <c r="H25" s="3">
        <v>3571.3988224095256</v>
      </c>
      <c r="I25" s="3">
        <v>1162.0582132790751</v>
      </c>
      <c r="J25" s="3">
        <v>17859.466666666638</v>
      </c>
      <c r="K25" s="3">
        <v>180646.39442698442</v>
      </c>
      <c r="L25" s="3">
        <v>1383.5165813569593</v>
      </c>
      <c r="M25" s="3">
        <v>403.66028236227231</v>
      </c>
      <c r="N25" s="3">
        <v>923.0442460975687</v>
      </c>
      <c r="O25" s="3">
        <v>169.6362874791993</v>
      </c>
      <c r="P25" s="3">
        <v>2074.5079682289561</v>
      </c>
      <c r="Q25" s="3">
        <v>50.083754110444318</v>
      </c>
      <c r="R25" s="3">
        <v>20</v>
      </c>
      <c r="S25" s="3">
        <v>198.06559312454888</v>
      </c>
      <c r="T25" s="3">
        <v>93.563318428397793</v>
      </c>
      <c r="U25" s="3">
        <v>201.090714855166</v>
      </c>
      <c r="V25" s="3">
        <v>227213.85216350859</v>
      </c>
    </row>
    <row r="26" spans="2:22" x14ac:dyDescent="0.25">
      <c r="B26" t="s">
        <v>244</v>
      </c>
      <c r="C26" t="s">
        <v>331</v>
      </c>
      <c r="D26" t="s">
        <v>271</v>
      </c>
      <c r="E26" s="3">
        <v>11131.643786909104</v>
      </c>
      <c r="F26" s="3">
        <v>246.1943444842185</v>
      </c>
      <c r="G26" s="3">
        <v>3101.845581030726</v>
      </c>
      <c r="H26" s="3">
        <v>3414.4545558188242</v>
      </c>
      <c r="I26" s="3">
        <v>1157.5100664374154</v>
      </c>
      <c r="J26" s="3">
        <v>15189.14341990317</v>
      </c>
      <c r="K26" s="3">
        <v>182413.90850175012</v>
      </c>
      <c r="L26" s="3">
        <v>1128.0010006151324</v>
      </c>
      <c r="M26" s="3">
        <v>352.81375058753554</v>
      </c>
      <c r="N26" s="3">
        <v>816.74954799045338</v>
      </c>
      <c r="O26" s="3">
        <v>166.99108079205052</v>
      </c>
      <c r="P26" s="3">
        <v>2074.5079682289561</v>
      </c>
      <c r="Q26" s="3">
        <v>45.024757023234898</v>
      </c>
      <c r="R26" s="3">
        <v>20</v>
      </c>
      <c r="S26" s="3">
        <v>197.94050953615468</v>
      </c>
      <c r="T26" s="3">
        <v>69.783017004292802</v>
      </c>
      <c r="U26" s="3">
        <v>197.46182307952799</v>
      </c>
      <c r="V26" s="3">
        <v>221723.97371119089</v>
      </c>
    </row>
    <row r="27" spans="2:22" x14ac:dyDescent="0.25">
      <c r="B27" t="s">
        <v>244</v>
      </c>
      <c r="C27" t="s">
        <v>331</v>
      </c>
      <c r="D27" t="s">
        <v>272</v>
      </c>
      <c r="E27" s="3">
        <v>9669.5151786164115</v>
      </c>
      <c r="F27" s="3">
        <v>229.904798742184</v>
      </c>
      <c r="G27" s="3">
        <v>2987.9622449939375</v>
      </c>
      <c r="H27" s="3">
        <v>3588.138468203294</v>
      </c>
      <c r="I27" s="3">
        <v>1148.7279698553239</v>
      </c>
      <c r="J27" s="3">
        <v>8673.1936646388895</v>
      </c>
      <c r="K27" s="3">
        <v>188433.05833770122</v>
      </c>
      <c r="L27" s="3">
        <v>1029.7428644068984</v>
      </c>
      <c r="M27" s="3">
        <v>338.52175246706889</v>
      </c>
      <c r="N27" s="3">
        <v>696.23142221924604</v>
      </c>
      <c r="O27" s="3">
        <v>166.00239450840166</v>
      </c>
      <c r="P27" s="3">
        <v>2074.5079682289561</v>
      </c>
      <c r="Q27" s="3">
        <v>39.795299305600103</v>
      </c>
      <c r="R27" s="3">
        <v>20</v>
      </c>
      <c r="S27" s="3">
        <v>197.846696844859</v>
      </c>
      <c r="T27" s="3">
        <v>65.61180033101499</v>
      </c>
      <c r="U27" s="3">
        <v>188.35195736357599</v>
      </c>
      <c r="V27" s="3">
        <v>219547.11281842686</v>
      </c>
    </row>
    <row r="28" spans="2:22" x14ac:dyDescent="0.25">
      <c r="B28" t="s">
        <v>244</v>
      </c>
      <c r="C28" t="s">
        <v>331</v>
      </c>
      <c r="D28" t="s">
        <v>273</v>
      </c>
      <c r="E28" s="3">
        <v>9086.6172141881088</v>
      </c>
      <c r="F28" s="3">
        <v>444.23439677796904</v>
      </c>
      <c r="G28" s="3">
        <v>2945.5744835054502</v>
      </c>
      <c r="H28" s="3">
        <v>3307.9393540008509</v>
      </c>
      <c r="I28" s="3">
        <v>1139.9049409243685</v>
      </c>
      <c r="J28" s="3">
        <v>5309.7499540447052</v>
      </c>
      <c r="K28" s="3">
        <v>189888.78940497589</v>
      </c>
      <c r="L28" s="3">
        <v>928.99084798352146</v>
      </c>
      <c r="M28" s="3">
        <v>324.96641352375917</v>
      </c>
      <c r="N28" s="3">
        <v>608.31722960363186</v>
      </c>
      <c r="O28" s="3">
        <v>165.56240889514947</v>
      </c>
      <c r="P28" s="3">
        <v>2074.5079682289561</v>
      </c>
      <c r="Q28" s="3">
        <v>30.099491799994201</v>
      </c>
      <c r="R28" s="3">
        <v>20</v>
      </c>
      <c r="S28" s="3">
        <v>197.81542594776047</v>
      </c>
      <c r="T28" s="3">
        <v>38.448629085501096</v>
      </c>
      <c r="U28" s="3">
        <v>180.12969310496001</v>
      </c>
      <c r="V28" s="3">
        <v>216691.6478565906</v>
      </c>
    </row>
    <row r="29" spans="2:22" x14ac:dyDescent="0.25">
      <c r="B29" t="s">
        <v>0</v>
      </c>
      <c r="E29" s="3">
        <v>378717.54714384797</v>
      </c>
      <c r="F29" s="3">
        <v>9206.4193935827279</v>
      </c>
      <c r="G29" s="3">
        <v>77102.326447812884</v>
      </c>
      <c r="H29" s="3">
        <v>91897.054460279018</v>
      </c>
      <c r="I29" s="3">
        <v>28018.964302686396</v>
      </c>
      <c r="J29" s="3">
        <v>395083.65201050503</v>
      </c>
      <c r="K29" s="3">
        <v>4302567.4594181776</v>
      </c>
      <c r="L29" s="3">
        <v>35529.358641147686</v>
      </c>
      <c r="M29" s="3">
        <v>9181.3771913858836</v>
      </c>
      <c r="N29" s="3">
        <v>27637.874276965322</v>
      </c>
      <c r="O29" s="3">
        <v>4679.6778041791586</v>
      </c>
      <c r="P29" s="3">
        <v>52239.685622994839</v>
      </c>
      <c r="Q29" s="3">
        <v>2985.826882328281</v>
      </c>
      <c r="R29" s="3">
        <v>480</v>
      </c>
      <c r="S29" s="3">
        <v>4813.25995391796</v>
      </c>
      <c r="T29" s="3">
        <v>1864.70378555154</v>
      </c>
      <c r="U29" s="3">
        <v>4126.184068110083</v>
      </c>
      <c r="V29" s="3">
        <v>5426131.3714034706</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3:N27"/>
  <sheetViews>
    <sheetView workbookViewId="0">
      <selection activeCell="C6" sqref="C6"/>
    </sheetView>
  </sheetViews>
  <sheetFormatPr defaultRowHeight="15" x14ac:dyDescent="0.25"/>
  <cols>
    <col min="2" max="2" width="15.7109375" bestFit="1" customWidth="1"/>
    <col min="3" max="3" width="16.28515625" bestFit="1" customWidth="1"/>
    <col min="4" max="6" width="12" bestFit="1" customWidth="1"/>
    <col min="7" max="7" width="13.85546875" bestFit="1" customWidth="1"/>
    <col min="8" max="8" width="18.140625" bestFit="1" customWidth="1"/>
    <col min="9" max="14" width="12" bestFit="1" customWidth="1"/>
  </cols>
  <sheetData>
    <row r="3" spans="2:14" x14ac:dyDescent="0.25">
      <c r="B3" s="1" t="s">
        <v>192</v>
      </c>
      <c r="C3" s="1" t="s">
        <v>44</v>
      </c>
    </row>
    <row r="4" spans="2:14" x14ac:dyDescent="0.25">
      <c r="B4" s="1" t="s">
        <v>45</v>
      </c>
      <c r="C4" t="s">
        <v>6</v>
      </c>
      <c r="D4" t="s">
        <v>19</v>
      </c>
      <c r="E4" t="s">
        <v>7</v>
      </c>
      <c r="F4" t="s">
        <v>8</v>
      </c>
      <c r="G4" t="s">
        <v>193</v>
      </c>
      <c r="H4" t="s">
        <v>226</v>
      </c>
      <c r="I4" t="s">
        <v>17</v>
      </c>
      <c r="J4" t="s">
        <v>20</v>
      </c>
      <c r="K4" t="s">
        <v>21</v>
      </c>
      <c r="L4" t="s">
        <v>22</v>
      </c>
      <c r="M4" t="s">
        <v>18</v>
      </c>
      <c r="N4" t="s">
        <v>0</v>
      </c>
    </row>
    <row r="5" spans="2:14" x14ac:dyDescent="0.25">
      <c r="B5" s="2" t="s">
        <v>9</v>
      </c>
      <c r="C5" s="3">
        <v>3100939.924677385</v>
      </c>
      <c r="D5" s="3">
        <v>163650747.39778465</v>
      </c>
      <c r="E5" s="3"/>
      <c r="F5" s="3"/>
      <c r="G5" s="3">
        <v>3005506.9439999992</v>
      </c>
      <c r="H5" s="3">
        <v>20753816.371199992</v>
      </c>
      <c r="I5" s="3"/>
      <c r="J5" s="3"/>
      <c r="K5" s="3">
        <v>316189.4775266478</v>
      </c>
      <c r="L5" s="3">
        <v>3952.3684690830964</v>
      </c>
      <c r="M5" s="3"/>
      <c r="N5" s="3">
        <v>190831152.48365775</v>
      </c>
    </row>
    <row r="6" spans="2:14" x14ac:dyDescent="0.25">
      <c r="B6" s="2" t="s">
        <v>16</v>
      </c>
      <c r="C6" s="3">
        <v>190288766.17899996</v>
      </c>
      <c r="D6" s="3">
        <v>1085368825.3274426</v>
      </c>
      <c r="E6" s="3"/>
      <c r="F6" s="3">
        <v>10226256.009310428</v>
      </c>
      <c r="G6" s="3">
        <v>373673231.3944996</v>
      </c>
      <c r="H6" s="3">
        <v>1639397612.5420084</v>
      </c>
      <c r="I6" s="3"/>
      <c r="J6" s="3"/>
      <c r="K6" s="3"/>
      <c r="L6" s="3">
        <v>982574935.88574433</v>
      </c>
      <c r="M6" s="3">
        <v>108853419.06489219</v>
      </c>
      <c r="N6" s="3">
        <v>4390383046.4028969</v>
      </c>
    </row>
    <row r="7" spans="2:14" x14ac:dyDescent="0.25">
      <c r="B7" s="2" t="s">
        <v>216</v>
      </c>
      <c r="C7" s="3"/>
      <c r="D7" s="3">
        <v>22117858.846214201</v>
      </c>
      <c r="E7" s="3"/>
      <c r="F7" s="3"/>
      <c r="G7" s="3"/>
      <c r="H7" s="3"/>
      <c r="I7" s="3"/>
      <c r="J7" s="3"/>
      <c r="K7" s="3"/>
      <c r="L7" s="3"/>
      <c r="M7" s="3"/>
      <c r="N7" s="3">
        <v>22117858.846214201</v>
      </c>
    </row>
    <row r="8" spans="2:14" x14ac:dyDescent="0.25">
      <c r="B8" s="2" t="s">
        <v>224</v>
      </c>
      <c r="C8" s="3">
        <v>24756387.933611378</v>
      </c>
      <c r="D8" s="3">
        <v>29095870.478479363</v>
      </c>
      <c r="E8" s="3">
        <v>10686097.264259866</v>
      </c>
      <c r="F8" s="3">
        <v>75472229.869403437</v>
      </c>
      <c r="G8" s="3">
        <v>53926560</v>
      </c>
      <c r="H8" s="3">
        <v>63545040</v>
      </c>
      <c r="I8" s="3">
        <v>1787040</v>
      </c>
      <c r="J8" s="3"/>
      <c r="K8" s="3">
        <v>12864539.625923064</v>
      </c>
      <c r="L8" s="3">
        <v>7148160</v>
      </c>
      <c r="M8" s="3"/>
      <c r="N8" s="3">
        <v>279281925.17167711</v>
      </c>
    </row>
    <row r="9" spans="2:14" x14ac:dyDescent="0.25">
      <c r="B9" s="2" t="s">
        <v>220</v>
      </c>
      <c r="C9" s="3">
        <v>2772325.722057662</v>
      </c>
      <c r="D9" s="3">
        <v>8780669.0324330516</v>
      </c>
      <c r="E9" s="3"/>
      <c r="F9" s="3">
        <v>2291864.4137757835</v>
      </c>
      <c r="G9" s="3">
        <v>2417480.6406678199</v>
      </c>
      <c r="H9" s="3">
        <v>349641342.39001739</v>
      </c>
      <c r="I9" s="3">
        <v>4082162.9267654521</v>
      </c>
      <c r="J9" s="3">
        <v>11663425.247568818</v>
      </c>
      <c r="K9" s="3">
        <v>464162.88435947639</v>
      </c>
      <c r="L9" s="3"/>
      <c r="M9" s="3">
        <v>69401396.027593866</v>
      </c>
      <c r="N9" s="3">
        <v>451514829.28523934</v>
      </c>
    </row>
    <row r="10" spans="2:14" x14ac:dyDescent="0.25">
      <c r="B10" s="2" t="s">
        <v>219</v>
      </c>
      <c r="C10" s="3">
        <v>64491839.121601194</v>
      </c>
      <c r="D10" s="3">
        <v>416266046.49600011</v>
      </c>
      <c r="E10" s="3">
        <v>11962280.159999993</v>
      </c>
      <c r="F10" s="3">
        <v>52768267.199999988</v>
      </c>
      <c r="G10" s="3">
        <v>27933048.000000007</v>
      </c>
      <c r="H10" s="3">
        <v>147272903.99999994</v>
      </c>
      <c r="I10" s="3">
        <v>2810199.5999999996</v>
      </c>
      <c r="J10" s="3">
        <v>418391.99999999988</v>
      </c>
      <c r="K10" s="3">
        <v>3549358.8</v>
      </c>
      <c r="L10" s="3">
        <v>24935688.000000004</v>
      </c>
      <c r="M10" s="3">
        <v>10684720.565999996</v>
      </c>
      <c r="N10" s="3">
        <v>763092743.94360125</v>
      </c>
    </row>
    <row r="11" spans="2:14" x14ac:dyDescent="0.25">
      <c r="B11" s="2" t="s">
        <v>223</v>
      </c>
      <c r="C11" s="3">
        <v>2688309.0773990494</v>
      </c>
      <c r="D11" s="3"/>
      <c r="E11" s="3">
        <v>2375294.6663083825</v>
      </c>
      <c r="F11" s="3">
        <v>138052860.81678805</v>
      </c>
      <c r="G11" s="3"/>
      <c r="H11" s="3"/>
      <c r="I11" s="3">
        <v>2752577.2260178742</v>
      </c>
      <c r="J11" s="3"/>
      <c r="K11" s="3">
        <v>1294635.789473684</v>
      </c>
      <c r="L11" s="3"/>
      <c r="M11" s="3">
        <v>31975587.00178257</v>
      </c>
      <c r="N11" s="3">
        <v>179139264.57776958</v>
      </c>
    </row>
    <row r="12" spans="2:14" x14ac:dyDescent="0.25">
      <c r="B12" s="2" t="s">
        <v>294</v>
      </c>
      <c r="C12" s="3">
        <v>10736431.200000003</v>
      </c>
      <c r="D12" s="3">
        <v>1418489.2799999996</v>
      </c>
      <c r="E12" s="3">
        <v>678252.72884470888</v>
      </c>
      <c r="F12" s="3">
        <v>18460055.494555525</v>
      </c>
      <c r="G12" s="3"/>
      <c r="H12" s="3"/>
      <c r="I12" s="3"/>
      <c r="J12" s="3"/>
      <c r="K12" s="3"/>
      <c r="L12" s="3"/>
      <c r="M12" s="3">
        <v>6942179.6703296425</v>
      </c>
      <c r="N12" s="3">
        <v>38235408.373729885</v>
      </c>
    </row>
    <row r="13" spans="2:14" x14ac:dyDescent="0.25">
      <c r="B13" s="2" t="s">
        <v>10</v>
      </c>
      <c r="C13" s="3">
        <v>120679.67072189055</v>
      </c>
      <c r="D13" s="3">
        <v>155605109.79785362</v>
      </c>
      <c r="E13" s="3">
        <v>494980742.98490012</v>
      </c>
      <c r="F13" s="3">
        <v>245151355.44443971</v>
      </c>
      <c r="G13" s="3">
        <v>574560</v>
      </c>
      <c r="H13" s="3">
        <v>19062826.55901638</v>
      </c>
      <c r="I13" s="3">
        <v>108000</v>
      </c>
      <c r="J13" s="3">
        <v>1447.2</v>
      </c>
      <c r="K13" s="3">
        <v>2376864</v>
      </c>
      <c r="L13" s="3">
        <v>8319690</v>
      </c>
      <c r="M13" s="3">
        <v>61798395.033010572</v>
      </c>
      <c r="N13" s="3">
        <v>988099670.68994236</v>
      </c>
    </row>
    <row r="14" spans="2:14" x14ac:dyDescent="0.25">
      <c r="B14" s="2" t="s">
        <v>157</v>
      </c>
      <c r="C14" s="3"/>
      <c r="D14" s="3">
        <v>1817876715.7599058</v>
      </c>
      <c r="E14" s="3"/>
      <c r="F14" s="3"/>
      <c r="G14" s="3"/>
      <c r="H14" s="3"/>
      <c r="I14" s="3"/>
      <c r="J14" s="3"/>
      <c r="K14" s="3"/>
      <c r="L14" s="3">
        <v>482322881.13642436</v>
      </c>
      <c r="M14" s="3"/>
      <c r="N14" s="3">
        <v>2300199596.8963304</v>
      </c>
    </row>
    <row r="15" spans="2:14" x14ac:dyDescent="0.25">
      <c r="B15" s="2" t="s">
        <v>217</v>
      </c>
      <c r="C15" s="3"/>
      <c r="D15" s="3">
        <v>1032087272.7272707</v>
      </c>
      <c r="E15" s="3"/>
      <c r="F15" s="3">
        <v>655451879.3744061</v>
      </c>
      <c r="G15" s="3">
        <v>49215272.727272637</v>
      </c>
      <c r="H15" s="3">
        <v>898393745.45454514</v>
      </c>
      <c r="I15" s="3"/>
      <c r="J15" s="3"/>
      <c r="K15" s="3"/>
      <c r="L15" s="3"/>
      <c r="M15" s="3">
        <v>261272480.2560001</v>
      </c>
      <c r="N15" s="3">
        <v>2896420650.539495</v>
      </c>
    </row>
    <row r="16" spans="2:14" x14ac:dyDescent="0.25">
      <c r="B16" s="2" t="s">
        <v>156</v>
      </c>
      <c r="C16" s="3"/>
      <c r="D16" s="3"/>
      <c r="E16" s="3"/>
      <c r="F16" s="3"/>
      <c r="G16" s="3">
        <v>15328015.567778934</v>
      </c>
      <c r="H16" s="3"/>
      <c r="I16" s="3">
        <v>9902612.7091059089</v>
      </c>
      <c r="J16" s="3"/>
      <c r="K16" s="3"/>
      <c r="L16" s="3"/>
      <c r="M16" s="3"/>
      <c r="N16" s="3">
        <v>25230628.276884843</v>
      </c>
    </row>
    <row r="17" spans="2:14" x14ac:dyDescent="0.25">
      <c r="B17" s="2" t="s">
        <v>218</v>
      </c>
      <c r="C17" s="3">
        <v>13050921.222477691</v>
      </c>
      <c r="D17" s="3"/>
      <c r="E17" s="3"/>
      <c r="F17" s="3"/>
      <c r="G17" s="3"/>
      <c r="H17" s="3"/>
      <c r="I17" s="3"/>
      <c r="J17" s="3"/>
      <c r="K17" s="3"/>
      <c r="L17" s="3"/>
      <c r="M17" s="3"/>
      <c r="N17" s="3">
        <v>13050921.222477691</v>
      </c>
    </row>
    <row r="18" spans="2:14" x14ac:dyDescent="0.25">
      <c r="B18" s="2" t="s">
        <v>222</v>
      </c>
      <c r="C18" s="3">
        <v>22341122.447485089</v>
      </c>
      <c r="D18" s="3"/>
      <c r="E18" s="3"/>
      <c r="F18" s="3">
        <v>2145299.2188150003</v>
      </c>
      <c r="G18" s="3"/>
      <c r="H18" s="3"/>
      <c r="I18" s="3"/>
      <c r="J18" s="3"/>
      <c r="K18" s="3"/>
      <c r="L18" s="3"/>
      <c r="M18" s="3">
        <v>15943352.783511981</v>
      </c>
      <c r="N18" s="3">
        <v>40429774.44981207</v>
      </c>
    </row>
    <row r="19" spans="2:14" x14ac:dyDescent="0.25">
      <c r="B19" s="2" t="s">
        <v>179</v>
      </c>
      <c r="C19" s="3"/>
      <c r="D19" s="3"/>
      <c r="E19" s="3"/>
      <c r="F19" s="3"/>
      <c r="G19" s="3"/>
      <c r="H19" s="3"/>
      <c r="I19" s="3">
        <v>49488513.850222893</v>
      </c>
      <c r="J19" s="3"/>
      <c r="K19" s="3"/>
      <c r="L19" s="3"/>
      <c r="M19" s="3"/>
      <c r="N19" s="3">
        <v>49488513.850222893</v>
      </c>
    </row>
    <row r="20" spans="2:14" x14ac:dyDescent="0.25">
      <c r="B20" s="2" t="s">
        <v>302</v>
      </c>
      <c r="C20" s="3"/>
      <c r="D20" s="3"/>
      <c r="E20" s="3"/>
      <c r="F20" s="3"/>
      <c r="G20" s="3"/>
      <c r="H20" s="3"/>
      <c r="I20" s="3"/>
      <c r="J20" s="3"/>
      <c r="K20" s="3">
        <v>2689835.2941176402</v>
      </c>
      <c r="L20" s="3"/>
      <c r="M20" s="3"/>
      <c r="N20" s="3">
        <v>2689835.2941176402</v>
      </c>
    </row>
    <row r="21" spans="2:14" x14ac:dyDescent="0.25">
      <c r="B21" s="2" t="s">
        <v>298</v>
      </c>
      <c r="C21" s="3"/>
      <c r="D21" s="3"/>
      <c r="E21" s="3">
        <v>7234231.3349310784</v>
      </c>
      <c r="F21" s="3"/>
      <c r="G21" s="3"/>
      <c r="H21" s="3"/>
      <c r="I21" s="3"/>
      <c r="J21" s="3"/>
      <c r="K21" s="3"/>
      <c r="L21" s="3"/>
      <c r="M21" s="3"/>
      <c r="N21" s="3">
        <v>7234231.3349310784</v>
      </c>
    </row>
    <row r="22" spans="2:14" x14ac:dyDescent="0.25">
      <c r="B22" s="2" t="s">
        <v>221</v>
      </c>
      <c r="C22" s="3"/>
      <c r="D22" s="3"/>
      <c r="E22" s="3"/>
      <c r="F22" s="3">
        <v>4764667.4763997504</v>
      </c>
      <c r="G22" s="3"/>
      <c r="H22" s="3"/>
      <c r="I22" s="3"/>
      <c r="J22" s="3"/>
      <c r="K22" s="3"/>
      <c r="L22" s="3"/>
      <c r="M22" s="3">
        <v>122102907.46197744</v>
      </c>
      <c r="N22" s="3">
        <v>126867574.93837719</v>
      </c>
    </row>
    <row r="23" spans="2:14" x14ac:dyDescent="0.25">
      <c r="B23" s="2" t="s">
        <v>225</v>
      </c>
      <c r="C23" s="3"/>
      <c r="D23" s="3"/>
      <c r="E23" s="3"/>
      <c r="F23" s="3">
        <v>6544951.2583990414</v>
      </c>
      <c r="G23" s="3"/>
      <c r="H23" s="3"/>
      <c r="I23" s="3"/>
      <c r="J23" s="3"/>
      <c r="K23" s="3"/>
      <c r="L23" s="3"/>
      <c r="M23" s="3"/>
      <c r="N23" s="3">
        <v>6544951.2583990414</v>
      </c>
    </row>
    <row r="24" spans="2:14" x14ac:dyDescent="0.25">
      <c r="B24" s="2" t="s">
        <v>299</v>
      </c>
      <c r="C24" s="3"/>
      <c r="D24" s="3"/>
      <c r="E24" s="3"/>
      <c r="F24" s="3">
        <v>742023.529411764</v>
      </c>
      <c r="G24" s="3"/>
      <c r="H24" s="3"/>
      <c r="I24" s="3"/>
      <c r="J24" s="3"/>
      <c r="K24" s="3"/>
      <c r="L24" s="3"/>
      <c r="M24" s="3"/>
      <c r="N24" s="3">
        <v>742023.529411764</v>
      </c>
    </row>
    <row r="25" spans="2:14" x14ac:dyDescent="0.25">
      <c r="B25" s="2" t="s">
        <v>301</v>
      </c>
      <c r="C25" s="3"/>
      <c r="D25" s="3"/>
      <c r="E25" s="3"/>
      <c r="F25" s="3"/>
      <c r="G25" s="3"/>
      <c r="H25" s="3"/>
      <c r="I25" s="3">
        <v>11292725.95041321</v>
      </c>
      <c r="J25" s="3"/>
      <c r="K25" s="3"/>
      <c r="L25" s="3"/>
      <c r="M25" s="3"/>
      <c r="N25" s="3">
        <v>11292725.95041321</v>
      </c>
    </row>
    <row r="26" spans="2:14" x14ac:dyDescent="0.25">
      <c r="B26" s="2" t="s">
        <v>332</v>
      </c>
      <c r="C26" s="3"/>
      <c r="D26" s="3"/>
      <c r="E26" s="3"/>
      <c r="F26" s="3"/>
      <c r="G26" s="3"/>
      <c r="H26" s="3"/>
      <c r="I26" s="3"/>
      <c r="J26" s="3"/>
      <c r="K26" s="3"/>
      <c r="L26" s="3"/>
      <c r="M26" s="3">
        <v>6378595.1358784111</v>
      </c>
      <c r="N26" s="3">
        <v>6378595.1358784111</v>
      </c>
    </row>
    <row r="27" spans="2:14" x14ac:dyDescent="0.25">
      <c r="B27" s="2" t="s">
        <v>0</v>
      </c>
      <c r="C27" s="3">
        <v>334347722.49903131</v>
      </c>
      <c r="D27" s="3">
        <v>4732267605.1433849</v>
      </c>
      <c r="E27" s="3">
        <v>527916899.13924414</v>
      </c>
      <c r="F27" s="3">
        <v>1212071710.1057045</v>
      </c>
      <c r="G27" s="3">
        <v>526073675.27421898</v>
      </c>
      <c r="H27" s="3">
        <v>3138067287.3167872</v>
      </c>
      <c r="I27" s="3">
        <v>82223832.262525335</v>
      </c>
      <c r="J27" s="3">
        <v>12083264.447568817</v>
      </c>
      <c r="K27" s="3">
        <v>23555585.871400513</v>
      </c>
      <c r="L27" s="3">
        <v>1505305307.3906379</v>
      </c>
      <c r="M27" s="3">
        <v>695353033.0009768</v>
      </c>
      <c r="N27" s="3">
        <v>12789265922.451477</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3:Y16"/>
  <sheetViews>
    <sheetView workbookViewId="0">
      <selection activeCell="C5" sqref="C5"/>
    </sheetView>
  </sheetViews>
  <sheetFormatPr defaultRowHeight="15" x14ac:dyDescent="0.25"/>
  <cols>
    <col min="2" max="2" width="17.7109375" bestFit="1" customWidth="1"/>
    <col min="3" max="3" width="16.28515625" bestFit="1" customWidth="1"/>
    <col min="4" max="4" width="12" bestFit="1" customWidth="1"/>
    <col min="5" max="5" width="11" bestFit="1" customWidth="1"/>
    <col min="6" max="7" width="12" bestFit="1" customWidth="1"/>
    <col min="8" max="8" width="12.5703125" bestFit="1" customWidth="1"/>
    <col min="9" max="9" width="13.5703125" bestFit="1" customWidth="1"/>
    <col min="10" max="15" width="12" bestFit="1" customWidth="1"/>
    <col min="16" max="16" width="12.28515625" bestFit="1" customWidth="1"/>
    <col min="17" max="17" width="11" bestFit="1" customWidth="1"/>
    <col min="18" max="20" width="12" bestFit="1" customWidth="1"/>
    <col min="21" max="21" width="16" bestFit="1" customWidth="1"/>
    <col min="22" max="22" width="12" bestFit="1" customWidth="1"/>
    <col min="23" max="23" width="11.42578125" bestFit="1" customWidth="1"/>
    <col min="24" max="24" width="14.7109375" bestFit="1" customWidth="1"/>
    <col min="25" max="25" width="12" bestFit="1" customWidth="1"/>
    <col min="26" max="26" width="14.7109375" bestFit="1" customWidth="1"/>
    <col min="27" max="27" width="12" bestFit="1" customWidth="1"/>
    <col min="28" max="28" width="14.28515625" bestFit="1" customWidth="1"/>
    <col min="29" max="30" width="12" bestFit="1" customWidth="1"/>
    <col min="31" max="31" width="16" bestFit="1" customWidth="1"/>
    <col min="32" max="32" width="12" bestFit="1" customWidth="1"/>
  </cols>
  <sheetData>
    <row r="3" spans="2:25" x14ac:dyDescent="0.25">
      <c r="B3" s="1" t="s">
        <v>13</v>
      </c>
      <c r="C3" s="1" t="s">
        <v>44</v>
      </c>
    </row>
    <row r="4" spans="2:25" x14ac:dyDescent="0.25">
      <c r="B4" s="1" t="s">
        <v>45</v>
      </c>
      <c r="C4" t="s">
        <v>9</v>
      </c>
      <c r="D4" t="s">
        <v>16</v>
      </c>
      <c r="E4" t="s">
        <v>216</v>
      </c>
      <c r="F4" t="s">
        <v>219</v>
      </c>
      <c r="G4" t="s">
        <v>220</v>
      </c>
      <c r="H4" t="s">
        <v>224</v>
      </c>
      <c r="I4" t="s">
        <v>223</v>
      </c>
      <c r="J4" t="s">
        <v>294</v>
      </c>
      <c r="K4" t="s">
        <v>10</v>
      </c>
      <c r="L4" t="s">
        <v>157</v>
      </c>
      <c r="M4" t="s">
        <v>217</v>
      </c>
      <c r="N4" t="s">
        <v>156</v>
      </c>
      <c r="O4" t="s">
        <v>218</v>
      </c>
      <c r="P4" t="s">
        <v>222</v>
      </c>
      <c r="Q4" t="s">
        <v>179</v>
      </c>
      <c r="R4" t="s">
        <v>302</v>
      </c>
      <c r="S4" t="s">
        <v>298</v>
      </c>
      <c r="T4" t="s">
        <v>221</v>
      </c>
      <c r="U4" t="s">
        <v>225</v>
      </c>
      <c r="V4" t="s">
        <v>299</v>
      </c>
      <c r="W4" t="s">
        <v>301</v>
      </c>
      <c r="X4" t="s">
        <v>332</v>
      </c>
      <c r="Y4" t="s">
        <v>0</v>
      </c>
    </row>
    <row r="5" spans="2:25" x14ac:dyDescent="0.25">
      <c r="B5" s="2" t="s">
        <v>6</v>
      </c>
      <c r="C5" s="3">
        <v>0.86137220129927305</v>
      </c>
      <c r="D5" s="3">
        <v>52.857990605277784</v>
      </c>
      <c r="E5" s="3"/>
      <c r="F5" s="3">
        <v>17.9143997560003</v>
      </c>
      <c r="G5" s="3">
        <v>0.77009047834935207</v>
      </c>
      <c r="H5" s="3">
        <v>6.8767744260031662</v>
      </c>
      <c r="I5" s="3">
        <v>0.74675252149973204</v>
      </c>
      <c r="J5" s="3">
        <v>2.9823420000000005</v>
      </c>
      <c r="K5" s="3">
        <v>3.3522130756080723E-2</v>
      </c>
      <c r="L5" s="3"/>
      <c r="M5" s="3"/>
      <c r="N5" s="3"/>
      <c r="O5" s="3">
        <v>3.625255895132685</v>
      </c>
      <c r="P5" s="3">
        <v>6.2058673465236387</v>
      </c>
      <c r="Q5" s="3"/>
      <c r="R5" s="3"/>
      <c r="S5" s="3"/>
      <c r="T5" s="3"/>
      <c r="U5" s="3"/>
      <c r="V5" s="3"/>
      <c r="W5" s="3"/>
      <c r="X5" s="3"/>
      <c r="Y5" s="3">
        <v>92.874367360842001</v>
      </c>
    </row>
    <row r="6" spans="2:25" x14ac:dyDescent="0.25">
      <c r="B6" s="2" t="s">
        <v>19</v>
      </c>
      <c r="C6" s="3">
        <v>45.458540943829099</v>
      </c>
      <c r="D6" s="3">
        <v>301.4913403687338</v>
      </c>
      <c r="E6" s="3">
        <v>6.1438496795039397</v>
      </c>
      <c r="F6" s="3">
        <v>115.62945736</v>
      </c>
      <c r="G6" s="3">
        <v>2.4390747312314049</v>
      </c>
      <c r="H6" s="3">
        <v>8.0821862440220329</v>
      </c>
      <c r="I6" s="3"/>
      <c r="J6" s="3">
        <v>0.39402480000000001</v>
      </c>
      <c r="K6" s="3">
        <v>43.223641610514896</v>
      </c>
      <c r="L6" s="3">
        <v>504.96575437775169</v>
      </c>
      <c r="M6" s="3">
        <v>286.69090909090932</v>
      </c>
      <c r="N6" s="3"/>
      <c r="O6" s="3"/>
      <c r="P6" s="3"/>
      <c r="Q6" s="3"/>
      <c r="R6" s="3"/>
      <c r="S6" s="3"/>
      <c r="T6" s="3"/>
      <c r="U6" s="3"/>
      <c r="V6" s="3"/>
      <c r="W6" s="3"/>
      <c r="X6" s="3"/>
      <c r="Y6" s="3">
        <v>1314.5187792064962</v>
      </c>
    </row>
    <row r="7" spans="2:25" x14ac:dyDescent="0.25">
      <c r="B7" s="2" t="s">
        <v>7</v>
      </c>
      <c r="C7" s="3"/>
      <c r="D7" s="3"/>
      <c r="E7" s="3"/>
      <c r="F7" s="3">
        <v>3.3228556000000005</v>
      </c>
      <c r="G7" s="3"/>
      <c r="H7" s="3">
        <v>2.9683603511832866</v>
      </c>
      <c r="I7" s="3">
        <v>0.65980407397455099</v>
      </c>
      <c r="J7" s="3">
        <v>0.18840353579019692</v>
      </c>
      <c r="K7" s="3">
        <v>137.49465082913997</v>
      </c>
      <c r="L7" s="3"/>
      <c r="M7" s="3"/>
      <c r="N7" s="3"/>
      <c r="O7" s="3"/>
      <c r="P7" s="3"/>
      <c r="Q7" s="3"/>
      <c r="R7" s="3"/>
      <c r="S7" s="3">
        <v>2.0095087041475237</v>
      </c>
      <c r="T7" s="3"/>
      <c r="U7" s="3"/>
      <c r="V7" s="3"/>
      <c r="W7" s="3"/>
      <c r="X7" s="3"/>
      <c r="Y7" s="3">
        <v>146.64358309423554</v>
      </c>
    </row>
    <row r="8" spans="2:25" x14ac:dyDescent="0.25">
      <c r="B8" s="2" t="s">
        <v>8</v>
      </c>
      <c r="C8" s="3"/>
      <c r="D8" s="3">
        <v>2.8406266692529001</v>
      </c>
      <c r="E8" s="3"/>
      <c r="F8" s="3">
        <v>14.657852</v>
      </c>
      <c r="G8" s="3">
        <v>0.63662900382660581</v>
      </c>
      <c r="H8" s="3">
        <v>20.964508297056515</v>
      </c>
      <c r="I8" s="3">
        <v>38.348016893552355</v>
      </c>
      <c r="J8" s="3">
        <v>5.1277931929321072</v>
      </c>
      <c r="K8" s="3">
        <v>68.097598734565992</v>
      </c>
      <c r="L8" s="3"/>
      <c r="M8" s="3">
        <v>182.06996649289101</v>
      </c>
      <c r="N8" s="3"/>
      <c r="O8" s="3"/>
      <c r="P8" s="3">
        <v>0.59591644967083401</v>
      </c>
      <c r="Q8" s="3"/>
      <c r="R8" s="3"/>
      <c r="S8" s="3"/>
      <c r="T8" s="3">
        <v>1.3235187434443731</v>
      </c>
      <c r="U8" s="3">
        <v>1.8180420162219555</v>
      </c>
      <c r="V8" s="3">
        <v>0.20611764705882399</v>
      </c>
      <c r="W8" s="3"/>
      <c r="X8" s="3"/>
      <c r="Y8" s="3">
        <v>336.68658614047342</v>
      </c>
    </row>
    <row r="9" spans="2:25" x14ac:dyDescent="0.25">
      <c r="B9" s="2" t="s">
        <v>193</v>
      </c>
      <c r="C9" s="3">
        <v>0.83486304</v>
      </c>
      <c r="D9" s="3">
        <v>103.798119831805</v>
      </c>
      <c r="E9" s="3"/>
      <c r="F9" s="3">
        <v>7.7591800000000006</v>
      </c>
      <c r="G9" s="3">
        <v>0.67152240018550502</v>
      </c>
      <c r="H9" s="3">
        <v>14.9796</v>
      </c>
      <c r="I9" s="3"/>
      <c r="J9" s="3"/>
      <c r="K9" s="3">
        <v>0.15959999999999999</v>
      </c>
      <c r="L9" s="3"/>
      <c r="M9" s="3">
        <v>13.670909090909101</v>
      </c>
      <c r="N9" s="3">
        <v>4.2577821021608102</v>
      </c>
      <c r="O9" s="3"/>
      <c r="P9" s="3"/>
      <c r="Q9" s="3"/>
      <c r="R9" s="3"/>
      <c r="S9" s="3"/>
      <c r="T9" s="3"/>
      <c r="U9" s="3"/>
      <c r="V9" s="3"/>
      <c r="W9" s="3"/>
      <c r="X9" s="3"/>
      <c r="Y9" s="3">
        <v>146.13157646506042</v>
      </c>
    </row>
    <row r="10" spans="2:25" x14ac:dyDescent="0.25">
      <c r="B10" s="2" t="s">
        <v>226</v>
      </c>
      <c r="C10" s="3">
        <v>5.7649489919999999</v>
      </c>
      <c r="D10" s="3">
        <v>455.38822570611296</v>
      </c>
      <c r="E10" s="3"/>
      <c r="F10" s="3">
        <v>40.909140000000001</v>
      </c>
      <c r="G10" s="3">
        <v>97.12259510833799</v>
      </c>
      <c r="H10" s="3">
        <v>17.651399999999999</v>
      </c>
      <c r="I10" s="3"/>
      <c r="J10" s="3"/>
      <c r="K10" s="3">
        <v>5.2952295997267704</v>
      </c>
      <c r="L10" s="3"/>
      <c r="M10" s="3">
        <v>249.553818181818</v>
      </c>
      <c r="N10" s="3"/>
      <c r="O10" s="3"/>
      <c r="P10" s="3"/>
      <c r="Q10" s="3"/>
      <c r="R10" s="3"/>
      <c r="S10" s="3"/>
      <c r="T10" s="3"/>
      <c r="U10" s="3"/>
      <c r="V10" s="3"/>
      <c r="W10" s="3"/>
      <c r="X10" s="3"/>
      <c r="Y10" s="3">
        <v>871.68535758799567</v>
      </c>
    </row>
    <row r="11" spans="2:25" x14ac:dyDescent="0.25">
      <c r="B11" s="2" t="s">
        <v>17</v>
      </c>
      <c r="C11" s="3"/>
      <c r="D11" s="3"/>
      <c r="E11" s="3"/>
      <c r="F11" s="3">
        <v>0.78061100000000005</v>
      </c>
      <c r="G11" s="3">
        <v>1.1339341463237369</v>
      </c>
      <c r="H11" s="3">
        <v>0.49640000000000001</v>
      </c>
      <c r="I11" s="3">
        <v>0.76460478500496598</v>
      </c>
      <c r="J11" s="3"/>
      <c r="K11" s="3">
        <v>0.03</v>
      </c>
      <c r="L11" s="3"/>
      <c r="M11" s="3"/>
      <c r="N11" s="3">
        <v>2.7507257525294158</v>
      </c>
      <c r="O11" s="3"/>
      <c r="P11" s="3"/>
      <c r="Q11" s="3">
        <v>13.746809402839704</v>
      </c>
      <c r="R11" s="3"/>
      <c r="S11" s="3"/>
      <c r="T11" s="3"/>
      <c r="U11" s="3"/>
      <c r="V11" s="3"/>
      <c r="W11" s="3">
        <v>3.13686831955923</v>
      </c>
      <c r="X11" s="3"/>
      <c r="Y11" s="3">
        <v>22.839953406257052</v>
      </c>
    </row>
    <row r="12" spans="2:25" x14ac:dyDescent="0.25">
      <c r="B12" s="2" t="s">
        <v>20</v>
      </c>
      <c r="C12" s="3"/>
      <c r="D12" s="3"/>
      <c r="E12" s="3"/>
      <c r="F12" s="3">
        <v>0.11622</v>
      </c>
      <c r="G12" s="3">
        <v>3.2398403465468899</v>
      </c>
      <c r="H12" s="3"/>
      <c r="I12" s="3"/>
      <c r="J12" s="3"/>
      <c r="K12" s="3">
        <v>4.0200000000000001E-4</v>
      </c>
      <c r="L12" s="3"/>
      <c r="M12" s="3"/>
      <c r="N12" s="3"/>
      <c r="O12" s="3"/>
      <c r="P12" s="3"/>
      <c r="Q12" s="3"/>
      <c r="R12" s="3"/>
      <c r="S12" s="3"/>
      <c r="T12" s="3"/>
      <c r="U12" s="3"/>
      <c r="V12" s="3"/>
      <c r="W12" s="3"/>
      <c r="X12" s="3"/>
      <c r="Y12" s="3">
        <v>3.3564623465468899</v>
      </c>
    </row>
    <row r="13" spans="2:25" x14ac:dyDescent="0.25">
      <c r="B13" s="2" t="s">
        <v>21</v>
      </c>
      <c r="C13" s="3">
        <v>8.7830410424068805E-2</v>
      </c>
      <c r="D13" s="3"/>
      <c r="E13" s="3"/>
      <c r="F13" s="3">
        <v>0.98593299999999995</v>
      </c>
      <c r="G13" s="3">
        <v>0.128934134544299</v>
      </c>
      <c r="H13" s="3">
        <v>3.5734832294230698</v>
      </c>
      <c r="I13" s="3">
        <v>0.35962105263157901</v>
      </c>
      <c r="J13" s="3"/>
      <c r="K13" s="3">
        <v>0.66023999999999994</v>
      </c>
      <c r="L13" s="3"/>
      <c r="M13" s="3"/>
      <c r="N13" s="3"/>
      <c r="O13" s="3"/>
      <c r="P13" s="3"/>
      <c r="Q13" s="3"/>
      <c r="R13" s="3">
        <v>0.747176470588235</v>
      </c>
      <c r="S13" s="3"/>
      <c r="T13" s="3"/>
      <c r="U13" s="3"/>
      <c r="V13" s="3"/>
      <c r="W13" s="3"/>
      <c r="X13" s="3"/>
      <c r="Y13" s="3">
        <v>6.5432182976112507</v>
      </c>
    </row>
    <row r="14" spans="2:25" x14ac:dyDescent="0.25">
      <c r="B14" s="2" t="s">
        <v>22</v>
      </c>
      <c r="C14" s="3">
        <v>1.09788013030086E-3</v>
      </c>
      <c r="D14" s="3">
        <v>272.93748219048445</v>
      </c>
      <c r="E14" s="3"/>
      <c r="F14" s="3">
        <v>6.9265800000000004</v>
      </c>
      <c r="G14" s="3"/>
      <c r="H14" s="3">
        <v>1.9856</v>
      </c>
      <c r="I14" s="3"/>
      <c r="J14" s="3"/>
      <c r="K14" s="3">
        <v>2.3110249999999999</v>
      </c>
      <c r="L14" s="3">
        <v>133.9785780934512</v>
      </c>
      <c r="M14" s="3"/>
      <c r="N14" s="3"/>
      <c r="O14" s="3"/>
      <c r="P14" s="3"/>
      <c r="Q14" s="3"/>
      <c r="R14" s="3"/>
      <c r="S14" s="3"/>
      <c r="T14" s="3"/>
      <c r="U14" s="3"/>
      <c r="V14" s="3"/>
      <c r="W14" s="3"/>
      <c r="X14" s="3"/>
      <c r="Y14" s="3">
        <v>418.14036316406589</v>
      </c>
    </row>
    <row r="15" spans="2:25" x14ac:dyDescent="0.25">
      <c r="B15" s="2" t="s">
        <v>18</v>
      </c>
      <c r="C15" s="3"/>
      <c r="D15" s="3">
        <v>30.237060851358798</v>
      </c>
      <c r="E15" s="3"/>
      <c r="F15" s="3">
        <v>2.967977935</v>
      </c>
      <c r="G15" s="3">
        <v>19.278165563220504</v>
      </c>
      <c r="H15" s="3"/>
      <c r="I15" s="3">
        <v>8.8821075004951453</v>
      </c>
      <c r="J15" s="3">
        <v>1.9283832417582336</v>
      </c>
      <c r="K15" s="3">
        <v>17.166220842502941</v>
      </c>
      <c r="L15" s="3"/>
      <c r="M15" s="3">
        <v>72.575688959999994</v>
      </c>
      <c r="N15" s="3"/>
      <c r="O15" s="3"/>
      <c r="P15" s="3">
        <v>4.4287091065311035</v>
      </c>
      <c r="Q15" s="3"/>
      <c r="R15" s="3"/>
      <c r="S15" s="3"/>
      <c r="T15" s="3">
        <v>33.917474294993852</v>
      </c>
      <c r="U15" s="3"/>
      <c r="V15" s="3"/>
      <c r="W15" s="3"/>
      <c r="X15" s="3">
        <v>1.771831982188449</v>
      </c>
      <c r="Y15" s="3">
        <v>193.15362027804903</v>
      </c>
    </row>
    <row r="16" spans="2:25" x14ac:dyDescent="0.25">
      <c r="B16" s="2" t="s">
        <v>0</v>
      </c>
      <c r="C16" s="3">
        <v>53.008653467682748</v>
      </c>
      <c r="D16" s="3">
        <v>1219.5508462230257</v>
      </c>
      <c r="E16" s="3">
        <v>6.1438496795039397</v>
      </c>
      <c r="F16" s="3">
        <v>211.97020665100027</v>
      </c>
      <c r="G16" s="3">
        <v>125.42078591256629</v>
      </c>
      <c r="H16" s="3">
        <v>77.578312547688071</v>
      </c>
      <c r="I16" s="3">
        <v>49.76090682715833</v>
      </c>
      <c r="J16" s="3">
        <v>10.620946770480538</v>
      </c>
      <c r="K16" s="3">
        <v>274.47213074720662</v>
      </c>
      <c r="L16" s="3">
        <v>638.94433247120287</v>
      </c>
      <c r="M16" s="3">
        <v>804.56129181652739</v>
      </c>
      <c r="N16" s="3">
        <v>7.008507854690226</v>
      </c>
      <c r="O16" s="3">
        <v>3.625255895132685</v>
      </c>
      <c r="P16" s="3">
        <v>11.230492902725576</v>
      </c>
      <c r="Q16" s="3">
        <v>13.746809402839704</v>
      </c>
      <c r="R16" s="3">
        <v>0.747176470588235</v>
      </c>
      <c r="S16" s="3">
        <v>2.0095087041475237</v>
      </c>
      <c r="T16" s="3">
        <v>35.240993038438226</v>
      </c>
      <c r="U16" s="3">
        <v>1.8180420162219555</v>
      </c>
      <c r="V16" s="3">
        <v>0.20611764705882399</v>
      </c>
      <c r="W16" s="3">
        <v>3.13686831955923</v>
      </c>
      <c r="X16" s="3">
        <v>1.771831982188449</v>
      </c>
      <c r="Y16" s="3">
        <v>3552.573867347633</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I11"/>
  <sheetViews>
    <sheetView workbookViewId="0">
      <selection activeCell="D25" sqref="D25"/>
    </sheetView>
  </sheetViews>
  <sheetFormatPr defaultRowHeight="15" x14ac:dyDescent="0.25"/>
  <cols>
    <col min="2" max="2" width="36.28515625" bestFit="1" customWidth="1"/>
    <col min="3" max="3" width="20.5703125" bestFit="1" customWidth="1"/>
    <col min="4" max="4" width="18.85546875" bestFit="1" customWidth="1"/>
    <col min="5" max="5" width="10.42578125" customWidth="1"/>
    <col min="6" max="6" width="22.85546875" customWidth="1"/>
    <col min="7" max="7" width="20.5703125" customWidth="1"/>
    <col min="8" max="8" width="18.85546875" customWidth="1"/>
    <col min="9" max="10" width="19.28515625" customWidth="1"/>
    <col min="11" max="11" width="24.28515625" bestFit="1" customWidth="1"/>
    <col min="12" max="14" width="23.28515625" bestFit="1" customWidth="1"/>
    <col min="15" max="16" width="22.140625" bestFit="1" customWidth="1"/>
    <col min="17" max="19" width="23.7109375" bestFit="1" customWidth="1"/>
    <col min="20" max="20" width="23" bestFit="1" customWidth="1"/>
    <col min="21" max="23" width="21.7109375" bestFit="1" customWidth="1"/>
    <col min="24" max="26" width="23.28515625" bestFit="1" customWidth="1"/>
    <col min="27" max="28" width="22.140625" bestFit="1" customWidth="1"/>
    <col min="29" max="31" width="23.7109375" bestFit="1" customWidth="1"/>
    <col min="32" max="32" width="23" bestFit="1" customWidth="1"/>
    <col min="33" max="35" width="21.7109375" bestFit="1" customWidth="1"/>
    <col min="36" max="38" width="23.28515625" bestFit="1" customWidth="1"/>
    <col min="39" max="39" width="25.7109375" bestFit="1" customWidth="1"/>
    <col min="40" max="40" width="23.85546875" bestFit="1" customWidth="1"/>
    <col min="41" max="41" width="24.28515625" bestFit="1" customWidth="1"/>
    <col min="42" max="42" width="20.85546875" customWidth="1"/>
    <col min="43" max="43" width="20.5703125" customWidth="1"/>
    <col min="44" max="44" width="20.85546875" customWidth="1"/>
    <col min="45" max="45" width="20.5703125" bestFit="1" customWidth="1"/>
    <col min="46" max="46" width="20.85546875" customWidth="1"/>
    <col min="47" max="47" width="20.5703125" customWidth="1"/>
    <col min="48" max="48" width="20.85546875" customWidth="1"/>
    <col min="49" max="49" width="20.5703125" customWidth="1"/>
    <col min="50" max="50" width="20.85546875" customWidth="1"/>
    <col min="51" max="51" width="20.5703125" bestFit="1" customWidth="1"/>
    <col min="52" max="52" width="20.85546875" customWidth="1"/>
    <col min="53" max="53" width="20.5703125" customWidth="1"/>
    <col min="54" max="54" width="20.85546875" customWidth="1"/>
    <col min="55" max="55" width="20.5703125" customWidth="1"/>
    <col min="56" max="56" width="20.85546875" customWidth="1"/>
    <col min="57" max="57" width="20.5703125" customWidth="1"/>
    <col min="58" max="58" width="20.85546875" customWidth="1"/>
    <col min="59" max="59" width="20.5703125" customWidth="1"/>
    <col min="60" max="60" width="20.85546875" customWidth="1"/>
    <col min="61" max="61" width="20.5703125" customWidth="1"/>
    <col min="62" max="62" width="20.85546875" customWidth="1"/>
    <col min="63" max="63" width="20.5703125" customWidth="1"/>
    <col min="64" max="64" width="20.85546875" customWidth="1"/>
    <col min="65" max="65" width="20.5703125" customWidth="1"/>
    <col min="66" max="66" width="20.85546875" customWidth="1"/>
    <col min="67" max="67" width="20.5703125" customWidth="1"/>
    <col min="68" max="68" width="20.85546875" customWidth="1"/>
    <col min="69" max="69" width="20.5703125" bestFit="1" customWidth="1"/>
    <col min="70" max="70" width="20.85546875" customWidth="1"/>
    <col min="71" max="71" width="20.5703125" customWidth="1"/>
    <col min="72" max="72" width="20.85546875" customWidth="1"/>
    <col min="73" max="73" width="20.5703125" customWidth="1"/>
    <col min="74" max="74" width="20.85546875" customWidth="1"/>
    <col min="75" max="75" width="20.5703125" bestFit="1" customWidth="1"/>
    <col min="76" max="76" width="20.85546875" customWidth="1"/>
    <col min="77" max="77" width="20.5703125" customWidth="1"/>
    <col min="78" max="78" width="20.85546875" customWidth="1"/>
    <col min="79" max="79" width="20.5703125" customWidth="1"/>
    <col min="80" max="80" width="20.85546875" customWidth="1"/>
    <col min="81" max="81" width="20.5703125" bestFit="1" customWidth="1"/>
    <col min="82" max="82" width="20.85546875" customWidth="1"/>
    <col min="83" max="83" width="20.5703125" customWidth="1"/>
    <col min="84" max="84" width="20.85546875" customWidth="1"/>
    <col min="85" max="85" width="20.5703125" customWidth="1"/>
    <col min="86" max="86" width="20.85546875" customWidth="1"/>
    <col min="87" max="87" width="20.5703125" bestFit="1" customWidth="1"/>
    <col min="88" max="88" width="20.85546875" customWidth="1"/>
    <col min="89" max="89" width="20.5703125" customWidth="1"/>
    <col min="90" max="90" width="20.85546875" customWidth="1"/>
    <col min="91" max="91" width="20.5703125" customWidth="1"/>
    <col min="92" max="92" width="20.85546875" customWidth="1"/>
    <col min="93" max="93" width="20.5703125" bestFit="1" customWidth="1"/>
    <col min="94" max="94" width="20.85546875" customWidth="1"/>
    <col min="95" max="95" width="20.5703125" customWidth="1"/>
    <col min="96" max="96" width="20.85546875" customWidth="1"/>
    <col min="97" max="97" width="20.5703125" customWidth="1"/>
    <col min="98" max="98" width="20.85546875" customWidth="1"/>
    <col min="99" max="99" width="20.5703125" bestFit="1" customWidth="1"/>
    <col min="100" max="100" width="20.85546875" customWidth="1"/>
    <col min="101" max="101" width="20.5703125" customWidth="1"/>
    <col min="102" max="102" width="20.85546875" customWidth="1"/>
    <col min="103" max="103" width="20.5703125" customWidth="1"/>
    <col min="104" max="104" width="20.85546875" customWidth="1"/>
    <col min="105" max="105" width="20.5703125" bestFit="1" customWidth="1"/>
    <col min="106" max="106" width="20.85546875" customWidth="1"/>
    <col min="107" max="107" width="20.5703125" customWidth="1"/>
    <col min="108" max="108" width="20.85546875" customWidth="1"/>
    <col min="109" max="109" width="20.5703125" customWidth="1"/>
    <col min="110" max="110" width="20.85546875" customWidth="1"/>
    <col min="111" max="111" width="20.5703125" bestFit="1" customWidth="1"/>
    <col min="112" max="112" width="20.85546875" customWidth="1"/>
    <col min="113" max="113" width="20.5703125" customWidth="1"/>
    <col min="114" max="114" width="20.85546875" customWidth="1"/>
    <col min="115" max="115" width="20.5703125" customWidth="1"/>
    <col min="116" max="116" width="20.85546875" customWidth="1"/>
    <col min="117" max="117" width="20.5703125" bestFit="1" customWidth="1"/>
    <col min="118" max="118" width="20.85546875" customWidth="1"/>
    <col min="119" max="119" width="20.5703125" customWidth="1"/>
    <col min="120" max="120" width="20.85546875" customWidth="1"/>
    <col min="121" max="121" width="20.5703125" customWidth="1"/>
    <col min="122" max="122" width="20.85546875" customWidth="1"/>
    <col min="123" max="123" width="20.5703125" bestFit="1" customWidth="1"/>
    <col min="124" max="124" width="20.85546875" customWidth="1"/>
    <col min="125" max="125" width="20.5703125" customWidth="1"/>
    <col min="126" max="126" width="20.85546875" customWidth="1"/>
    <col min="127" max="127" width="20.5703125" customWidth="1"/>
    <col min="128" max="128" width="20.85546875" customWidth="1"/>
    <col min="129" max="129" width="20.5703125" bestFit="1" customWidth="1"/>
    <col min="130" max="130" width="20.85546875" customWidth="1"/>
    <col min="131" max="131" width="20.5703125" customWidth="1"/>
    <col min="132" max="132" width="20.85546875" customWidth="1"/>
    <col min="133" max="133" width="20.5703125" customWidth="1"/>
    <col min="134" max="134" width="20.85546875" customWidth="1"/>
    <col min="135" max="135" width="20.5703125" bestFit="1" customWidth="1"/>
    <col min="136" max="136" width="20.85546875" customWidth="1"/>
    <col min="137" max="137" width="20.5703125" customWidth="1"/>
    <col min="138" max="138" width="20.85546875" customWidth="1"/>
    <col min="139" max="139" width="20.5703125" customWidth="1"/>
    <col min="140" max="140" width="20.85546875" customWidth="1"/>
    <col min="141" max="141" width="20.5703125" bestFit="1" customWidth="1"/>
    <col min="142" max="142" width="20.85546875" customWidth="1"/>
    <col min="143" max="143" width="20.5703125" customWidth="1"/>
    <col min="144" max="144" width="20.85546875" customWidth="1"/>
    <col min="145" max="145" width="20.5703125" customWidth="1"/>
    <col min="146" max="146" width="20.85546875" customWidth="1"/>
    <col min="147" max="147" width="20.5703125" customWidth="1"/>
    <col min="148" max="148" width="20.85546875" customWidth="1"/>
    <col min="149" max="149" width="20.5703125" customWidth="1"/>
    <col min="150" max="150" width="20.85546875" customWidth="1"/>
    <col min="151" max="151" width="20.5703125" customWidth="1"/>
    <col min="152" max="152" width="20.85546875" customWidth="1"/>
    <col min="153" max="153" width="20.5703125" bestFit="1" customWidth="1"/>
    <col min="154" max="154" width="20.85546875" customWidth="1"/>
    <col min="155" max="155" width="20.5703125" customWidth="1"/>
    <col min="156" max="156" width="20.85546875" customWidth="1"/>
    <col min="157" max="157" width="20.5703125" customWidth="1"/>
    <col min="158" max="158" width="20.85546875" customWidth="1"/>
    <col min="159" max="159" width="20.5703125" bestFit="1" customWidth="1"/>
    <col min="160" max="160" width="20.85546875" customWidth="1"/>
    <col min="161" max="161" width="20.5703125" customWidth="1"/>
    <col min="162" max="162" width="20.85546875" customWidth="1"/>
    <col min="163" max="163" width="20.5703125" customWidth="1"/>
    <col min="164" max="164" width="20.85546875" customWidth="1"/>
    <col min="165" max="165" width="20.5703125" bestFit="1" customWidth="1"/>
    <col min="166" max="166" width="20.85546875" customWidth="1"/>
    <col min="167" max="167" width="20.5703125" customWidth="1"/>
    <col min="168" max="168" width="20.85546875" customWidth="1"/>
    <col min="169" max="169" width="20.5703125" customWidth="1"/>
    <col min="170" max="170" width="20.85546875" customWidth="1"/>
    <col min="171" max="171" width="20.5703125" bestFit="1" customWidth="1"/>
    <col min="172" max="172" width="20.85546875" customWidth="1"/>
    <col min="173" max="173" width="20.5703125" customWidth="1"/>
    <col min="174" max="174" width="20.85546875" customWidth="1"/>
    <col min="175" max="175" width="20.5703125" customWidth="1"/>
    <col min="176" max="176" width="20.85546875" customWidth="1"/>
    <col min="177" max="177" width="20.5703125" bestFit="1" customWidth="1"/>
    <col min="178" max="178" width="20.85546875" customWidth="1"/>
    <col min="179" max="179" width="20.5703125" customWidth="1"/>
    <col min="180" max="180" width="20.85546875" customWidth="1"/>
    <col min="181" max="181" width="20.5703125" customWidth="1"/>
    <col min="182" max="182" width="20.85546875" customWidth="1"/>
    <col min="183" max="183" width="20.5703125" bestFit="1" customWidth="1"/>
    <col min="184" max="184" width="20.85546875" customWidth="1"/>
    <col min="185" max="185" width="20.5703125" customWidth="1"/>
    <col min="186" max="186" width="20.85546875" customWidth="1"/>
    <col min="187" max="187" width="20.5703125" customWidth="1"/>
    <col min="188" max="188" width="20.85546875" customWidth="1"/>
    <col min="189" max="189" width="20.5703125" bestFit="1" customWidth="1"/>
    <col min="190" max="190" width="20.85546875" customWidth="1"/>
    <col min="191" max="191" width="20.5703125" customWidth="1"/>
    <col min="192" max="192" width="20.85546875" customWidth="1"/>
    <col min="193" max="193" width="20.5703125" customWidth="1"/>
    <col min="194" max="194" width="20.85546875" customWidth="1"/>
    <col min="195" max="195" width="20.5703125" bestFit="1" customWidth="1"/>
    <col min="196" max="196" width="20.85546875" customWidth="1"/>
    <col min="197" max="197" width="20.5703125" customWidth="1"/>
    <col min="198" max="198" width="20.85546875" customWidth="1"/>
    <col min="199" max="199" width="20.5703125" customWidth="1"/>
    <col min="200" max="200" width="20.85546875" customWidth="1"/>
    <col min="201" max="201" width="20.5703125" bestFit="1" customWidth="1"/>
    <col min="202" max="202" width="20.85546875" customWidth="1"/>
    <col min="203" max="203" width="20.5703125" customWidth="1"/>
    <col min="204" max="204" width="20.85546875" customWidth="1"/>
    <col min="205" max="205" width="20.5703125" customWidth="1"/>
    <col min="206" max="206" width="20.85546875" customWidth="1"/>
    <col min="207" max="207" width="20.5703125" bestFit="1" customWidth="1"/>
    <col min="208" max="208" width="20.85546875" customWidth="1"/>
    <col min="209" max="209" width="20.5703125" customWidth="1"/>
    <col min="210" max="210" width="20.85546875" customWidth="1"/>
    <col min="211" max="211" width="20.5703125" customWidth="1"/>
    <col min="212" max="212" width="20.85546875" customWidth="1"/>
    <col min="213" max="213" width="20.5703125" bestFit="1" customWidth="1"/>
    <col min="214" max="214" width="20.85546875" customWidth="1"/>
    <col min="215" max="215" width="20.5703125" customWidth="1"/>
    <col min="216" max="216" width="20.85546875" customWidth="1"/>
    <col min="217" max="217" width="20.5703125" customWidth="1"/>
    <col min="218" max="218" width="20.85546875" customWidth="1"/>
    <col min="219" max="219" width="20.5703125" bestFit="1" customWidth="1"/>
    <col min="220" max="220" width="20.85546875" customWidth="1"/>
    <col min="221" max="221" width="20.5703125" customWidth="1"/>
    <col min="222" max="222" width="20.85546875" customWidth="1"/>
    <col min="223" max="223" width="20.5703125" customWidth="1"/>
    <col min="224" max="224" width="20.85546875" customWidth="1"/>
    <col min="225" max="225" width="20.5703125" bestFit="1" customWidth="1"/>
    <col min="226" max="226" width="20.85546875" customWidth="1"/>
    <col min="227" max="227" width="20.5703125" customWidth="1"/>
    <col min="228" max="228" width="20.85546875" customWidth="1"/>
    <col min="229" max="229" width="20.5703125" customWidth="1"/>
    <col min="230" max="230" width="20.85546875" customWidth="1"/>
    <col min="231" max="231" width="20.5703125" bestFit="1" customWidth="1"/>
    <col min="232" max="232" width="20.85546875" customWidth="1"/>
    <col min="233" max="233" width="20.5703125" customWidth="1"/>
    <col min="234" max="234" width="20.85546875" customWidth="1"/>
    <col min="235" max="235" width="20.5703125" customWidth="1"/>
    <col min="236" max="236" width="20.85546875" customWidth="1"/>
    <col min="237" max="237" width="20.5703125" bestFit="1" customWidth="1"/>
    <col min="238" max="238" width="20.85546875" customWidth="1"/>
    <col min="239" max="239" width="20.5703125" customWidth="1"/>
    <col min="240" max="240" width="20.85546875" customWidth="1"/>
    <col min="241" max="241" width="20.5703125" customWidth="1"/>
    <col min="242" max="242" width="20.85546875" customWidth="1"/>
    <col min="243" max="243" width="20.5703125" bestFit="1" customWidth="1"/>
    <col min="244" max="244" width="20.85546875" customWidth="1"/>
    <col min="245" max="245" width="20.5703125" customWidth="1"/>
    <col min="246" max="246" width="20.85546875" customWidth="1"/>
    <col min="247" max="247" width="20.5703125" customWidth="1"/>
    <col min="248" max="248" width="20.85546875" customWidth="1"/>
    <col min="249" max="249" width="20.5703125" bestFit="1" customWidth="1"/>
    <col min="250" max="250" width="20.85546875" customWidth="1"/>
    <col min="251" max="251" width="20.5703125" customWidth="1"/>
    <col min="252" max="252" width="20.85546875" customWidth="1"/>
    <col min="253" max="253" width="20.5703125" customWidth="1"/>
    <col min="254" max="254" width="20.85546875" customWidth="1"/>
    <col min="255" max="255" width="20.5703125" bestFit="1" customWidth="1"/>
    <col min="256" max="256" width="20.85546875" customWidth="1"/>
    <col min="257" max="257" width="20.5703125" customWidth="1"/>
    <col min="258" max="258" width="20.85546875" customWidth="1"/>
    <col min="259" max="259" width="20.5703125" customWidth="1"/>
    <col min="260" max="260" width="20.85546875" customWidth="1"/>
    <col min="261" max="261" width="20.5703125" bestFit="1" customWidth="1"/>
    <col min="262" max="262" width="20.85546875" customWidth="1"/>
    <col min="263" max="263" width="20.5703125" customWidth="1"/>
    <col min="264" max="264" width="20.85546875" customWidth="1"/>
    <col min="265" max="265" width="20.5703125" customWidth="1"/>
    <col min="266" max="266" width="20.85546875" customWidth="1"/>
    <col min="267" max="267" width="20.5703125" bestFit="1" customWidth="1"/>
    <col min="268" max="268" width="20.85546875" customWidth="1"/>
    <col min="269" max="269" width="20.5703125" customWidth="1"/>
    <col min="270" max="270" width="20.85546875" customWidth="1"/>
    <col min="271" max="271" width="20.5703125" customWidth="1"/>
    <col min="272" max="272" width="20.85546875" customWidth="1"/>
    <col min="273" max="273" width="20.5703125" bestFit="1" customWidth="1"/>
    <col min="274" max="274" width="20.85546875" customWidth="1"/>
    <col min="275" max="275" width="20.5703125" customWidth="1"/>
    <col min="276" max="276" width="20.85546875" customWidth="1"/>
    <col min="277" max="277" width="20.5703125" customWidth="1"/>
    <col min="278" max="278" width="20.85546875" customWidth="1"/>
    <col min="279" max="279" width="20.5703125" bestFit="1" customWidth="1"/>
    <col min="280" max="280" width="20.85546875" customWidth="1"/>
    <col min="281" max="281" width="20.5703125" customWidth="1"/>
    <col min="282" max="282" width="20.85546875" customWidth="1"/>
    <col min="283" max="283" width="20.5703125" customWidth="1"/>
    <col min="284" max="284" width="20.85546875" customWidth="1"/>
    <col min="285" max="285" width="20.5703125" bestFit="1" customWidth="1"/>
    <col min="286" max="286" width="20.85546875" customWidth="1"/>
    <col min="287" max="287" width="20.5703125" customWidth="1"/>
    <col min="288" max="288" width="20.85546875" customWidth="1"/>
    <col min="289" max="289" width="20.5703125" customWidth="1"/>
    <col min="290" max="290" width="20.85546875" customWidth="1"/>
    <col min="291" max="291" width="20.5703125" bestFit="1" customWidth="1"/>
    <col min="292" max="292" width="20.85546875" customWidth="1"/>
    <col min="293" max="293" width="20.5703125" customWidth="1"/>
    <col min="294" max="294" width="20.85546875" customWidth="1"/>
    <col min="295" max="295" width="20.5703125" customWidth="1"/>
    <col min="296" max="296" width="20.85546875" customWidth="1"/>
    <col min="297" max="297" width="20.5703125" bestFit="1" customWidth="1"/>
    <col min="298" max="298" width="20.85546875" customWidth="1"/>
    <col min="299" max="299" width="20.5703125" customWidth="1"/>
    <col min="300" max="300" width="20.85546875" customWidth="1"/>
    <col min="301" max="301" width="20.5703125" customWidth="1"/>
    <col min="302" max="302" width="20.85546875" customWidth="1"/>
    <col min="303" max="303" width="20.5703125" bestFit="1" customWidth="1"/>
    <col min="304" max="304" width="20.85546875" customWidth="1"/>
    <col min="305" max="305" width="20.5703125" customWidth="1"/>
    <col min="306" max="306" width="20.85546875" customWidth="1"/>
    <col min="307" max="307" width="20.5703125" customWidth="1"/>
    <col min="308" max="308" width="20.85546875" customWidth="1"/>
    <col min="309" max="309" width="20.5703125" bestFit="1" customWidth="1"/>
    <col min="310" max="310" width="20.85546875" customWidth="1"/>
    <col min="311" max="311" width="20.5703125" customWidth="1"/>
    <col min="312" max="312" width="20.85546875" customWidth="1"/>
    <col min="313" max="313" width="20.5703125" customWidth="1"/>
    <col min="314" max="314" width="20.85546875" customWidth="1"/>
    <col min="315" max="315" width="20.5703125" bestFit="1" customWidth="1"/>
    <col min="316" max="316" width="20.85546875" customWidth="1"/>
    <col min="317" max="317" width="20.5703125" customWidth="1"/>
    <col min="318" max="318" width="20.85546875" customWidth="1"/>
    <col min="319" max="319" width="20.5703125" customWidth="1"/>
    <col min="320" max="320" width="20.85546875" customWidth="1"/>
    <col min="321" max="321" width="20.5703125" bestFit="1" customWidth="1"/>
    <col min="322" max="322" width="20.85546875" customWidth="1"/>
    <col min="323" max="323" width="20.5703125" customWidth="1"/>
    <col min="324" max="324" width="20.85546875" customWidth="1"/>
    <col min="325" max="325" width="20.5703125" customWidth="1"/>
    <col min="326" max="326" width="20.85546875" customWidth="1"/>
    <col min="327" max="327" width="20.5703125" bestFit="1" customWidth="1"/>
    <col min="328" max="328" width="20.85546875" customWidth="1"/>
    <col min="329" max="329" width="20.5703125" customWidth="1"/>
    <col min="330" max="330" width="20.85546875" customWidth="1"/>
    <col min="331" max="331" width="20.5703125" customWidth="1"/>
    <col min="332" max="332" width="20.85546875" customWidth="1"/>
    <col min="333" max="333" width="20.5703125" customWidth="1"/>
    <col min="334" max="334" width="20.85546875" customWidth="1"/>
    <col min="335" max="335" width="20.5703125" customWidth="1"/>
    <col min="336" max="336" width="20.85546875" customWidth="1"/>
    <col min="337" max="337" width="20.5703125" customWidth="1"/>
    <col min="338" max="338" width="20.85546875" customWidth="1"/>
    <col min="339" max="339" width="20.5703125" bestFit="1" customWidth="1"/>
    <col min="340" max="340" width="20.85546875" customWidth="1"/>
    <col min="341" max="341" width="20.5703125" customWidth="1"/>
    <col min="342" max="342" width="20.85546875" customWidth="1"/>
    <col min="343" max="343" width="20.5703125" customWidth="1"/>
    <col min="344" max="344" width="20.85546875" customWidth="1"/>
    <col min="345" max="345" width="20.5703125" bestFit="1" customWidth="1"/>
    <col min="346" max="346" width="20.85546875" customWidth="1"/>
    <col min="347" max="347" width="20.5703125" customWidth="1"/>
    <col min="348" max="348" width="20.85546875" customWidth="1"/>
    <col min="349" max="349" width="20.5703125" customWidth="1"/>
    <col min="350" max="350" width="20.85546875" customWidth="1"/>
    <col min="351" max="351" width="20.5703125" bestFit="1" customWidth="1"/>
    <col min="352" max="352" width="20.85546875" customWidth="1"/>
    <col min="353" max="353" width="20.5703125" customWidth="1"/>
    <col min="354" max="354" width="20.85546875" customWidth="1"/>
    <col min="355" max="355" width="20.5703125" customWidth="1"/>
    <col min="356" max="356" width="20.85546875" customWidth="1"/>
    <col min="357" max="357" width="20.5703125" bestFit="1" customWidth="1"/>
    <col min="358" max="358" width="20.85546875" customWidth="1"/>
    <col min="359" max="359" width="25.7109375" customWidth="1"/>
    <col min="360" max="360" width="26" customWidth="1"/>
    <col min="361" max="361" width="26" bestFit="1" customWidth="1"/>
    <col min="362" max="362" width="22.85546875" bestFit="1" customWidth="1"/>
    <col min="363" max="363" width="13.85546875" bestFit="1" customWidth="1"/>
    <col min="364" max="364" width="24.85546875" bestFit="1" customWidth="1"/>
    <col min="365" max="365" width="22.85546875" bestFit="1" customWidth="1"/>
    <col min="366" max="366" width="13.85546875" bestFit="1" customWidth="1"/>
    <col min="367" max="367" width="25.7109375" bestFit="1" customWidth="1"/>
    <col min="368" max="368" width="22.85546875" bestFit="1" customWidth="1"/>
    <col min="369" max="369" width="13.85546875" bestFit="1" customWidth="1"/>
    <col min="370" max="370" width="25.7109375" bestFit="1" customWidth="1"/>
    <col min="371" max="371" width="22.85546875" bestFit="1" customWidth="1"/>
    <col min="372" max="372" width="13.85546875" bestFit="1" customWidth="1"/>
    <col min="373" max="373" width="26" bestFit="1" customWidth="1"/>
    <col min="374" max="374" width="22.85546875" bestFit="1" customWidth="1"/>
    <col min="375" max="375" width="13.85546875" bestFit="1" customWidth="1"/>
    <col min="376" max="376" width="26" bestFit="1" customWidth="1"/>
    <col min="377" max="377" width="22.85546875" bestFit="1" customWidth="1"/>
    <col min="378" max="378" width="13.85546875" bestFit="1" customWidth="1"/>
    <col min="379" max="379" width="25.7109375" bestFit="1" customWidth="1"/>
    <col min="380" max="380" width="22.85546875" bestFit="1" customWidth="1"/>
    <col min="381" max="381" width="13.85546875" bestFit="1" customWidth="1"/>
    <col min="382" max="382" width="26" bestFit="1" customWidth="1"/>
    <col min="383" max="383" width="22.85546875" bestFit="1" customWidth="1"/>
    <col min="384" max="384" width="13.85546875" bestFit="1" customWidth="1"/>
    <col min="385" max="385" width="25.7109375" bestFit="1" customWidth="1"/>
    <col min="386" max="386" width="22.85546875" bestFit="1" customWidth="1"/>
    <col min="387" max="387" width="13.85546875" bestFit="1" customWidth="1"/>
    <col min="388" max="388" width="26" bestFit="1" customWidth="1"/>
    <col min="389" max="389" width="22.85546875" bestFit="1" customWidth="1"/>
    <col min="390" max="390" width="13.85546875" bestFit="1" customWidth="1"/>
    <col min="391" max="391" width="25.7109375" bestFit="1" customWidth="1"/>
    <col min="392" max="392" width="22.85546875" bestFit="1" customWidth="1"/>
    <col min="393" max="393" width="13.85546875" bestFit="1" customWidth="1"/>
    <col min="394" max="394" width="25.7109375" bestFit="1" customWidth="1"/>
    <col min="395" max="395" width="22.85546875" bestFit="1" customWidth="1"/>
    <col min="396" max="396" width="13.85546875" bestFit="1" customWidth="1"/>
    <col min="397" max="397" width="25.7109375" bestFit="1" customWidth="1"/>
    <col min="398" max="398" width="21.85546875" bestFit="1" customWidth="1"/>
    <col min="399" max="399" width="13.85546875" bestFit="1" customWidth="1"/>
    <col min="400" max="400" width="26" bestFit="1" customWidth="1"/>
    <col min="401" max="401" width="22.85546875" bestFit="1" customWidth="1"/>
    <col min="402" max="402" width="13.85546875" bestFit="1" customWidth="1"/>
    <col min="403" max="403" width="25.7109375" bestFit="1" customWidth="1"/>
    <col min="404" max="404" width="22.85546875" bestFit="1" customWidth="1"/>
    <col min="405" max="405" width="13.85546875" bestFit="1" customWidth="1"/>
    <col min="406" max="406" width="25.7109375" bestFit="1" customWidth="1"/>
    <col min="407" max="407" width="22.85546875" bestFit="1" customWidth="1"/>
    <col min="408" max="408" width="13.85546875" bestFit="1" customWidth="1"/>
    <col min="409" max="409" width="23.85546875" bestFit="1" customWidth="1"/>
    <col min="410" max="410" width="22.85546875" bestFit="1" customWidth="1"/>
    <col min="411" max="411" width="13.85546875" bestFit="1" customWidth="1"/>
    <col min="412" max="412" width="27" bestFit="1" customWidth="1"/>
    <col min="413" max="413" width="22.85546875" bestFit="1" customWidth="1"/>
    <col min="414" max="414" width="13.85546875" bestFit="1" customWidth="1"/>
    <col min="415" max="415" width="26" bestFit="1" customWidth="1"/>
    <col min="416" max="416" width="22.85546875" bestFit="1" customWidth="1"/>
    <col min="417" max="417" width="13.85546875" bestFit="1" customWidth="1"/>
    <col min="418" max="418" width="23.85546875" bestFit="1" customWidth="1"/>
    <col min="419" max="419" width="22.85546875" bestFit="1" customWidth="1"/>
    <col min="420" max="420" width="13.85546875" bestFit="1" customWidth="1"/>
    <col min="421" max="421" width="27" bestFit="1" customWidth="1"/>
    <col min="422" max="422" width="22.85546875" bestFit="1" customWidth="1"/>
    <col min="423" max="423" width="13.85546875" bestFit="1" customWidth="1"/>
    <col min="424" max="424" width="24.85546875" bestFit="1" customWidth="1"/>
    <col min="425" max="425" width="22.85546875" bestFit="1" customWidth="1"/>
    <col min="426" max="426" width="13.85546875" bestFit="1" customWidth="1"/>
    <col min="427" max="427" width="26" bestFit="1" customWidth="1"/>
    <col min="428" max="428" width="22.85546875" bestFit="1" customWidth="1"/>
    <col min="429" max="429" width="13.85546875" bestFit="1" customWidth="1"/>
    <col min="430" max="430" width="24.85546875" bestFit="1" customWidth="1"/>
    <col min="431" max="431" width="21.85546875" bestFit="1" customWidth="1"/>
    <col min="432" max="432" width="13.85546875" bestFit="1" customWidth="1"/>
    <col min="433" max="433" width="27" bestFit="1" customWidth="1"/>
    <col min="434" max="434" width="22.85546875" bestFit="1" customWidth="1"/>
    <col min="435" max="435" width="13.85546875" bestFit="1" customWidth="1"/>
    <col min="436" max="436" width="27" bestFit="1" customWidth="1"/>
    <col min="437" max="437" width="22.85546875" bestFit="1" customWidth="1"/>
    <col min="438" max="438" width="13.85546875" bestFit="1" customWidth="1"/>
    <col min="439" max="439" width="27" bestFit="1" customWidth="1"/>
    <col min="440" max="440" width="21.85546875" bestFit="1" customWidth="1"/>
    <col min="441" max="441" width="13.85546875" bestFit="1" customWidth="1"/>
    <col min="442" max="442" width="27" bestFit="1" customWidth="1"/>
    <col min="443" max="443" width="22.85546875" bestFit="1" customWidth="1"/>
    <col min="444" max="444" width="13.85546875" bestFit="1" customWidth="1"/>
    <col min="445" max="445" width="26" bestFit="1" customWidth="1"/>
    <col min="446" max="446" width="22.85546875" bestFit="1" customWidth="1"/>
    <col min="447" max="447" width="13.85546875" bestFit="1" customWidth="1"/>
    <col min="448" max="448" width="27" bestFit="1" customWidth="1"/>
    <col min="449" max="449" width="22.85546875" bestFit="1" customWidth="1"/>
    <col min="450" max="450" width="13.85546875" bestFit="1" customWidth="1"/>
    <col min="451" max="451" width="24.85546875" bestFit="1" customWidth="1"/>
    <col min="452" max="452" width="22.85546875" bestFit="1" customWidth="1"/>
    <col min="453" max="453" width="13.85546875" bestFit="1" customWidth="1"/>
    <col min="454" max="454" width="27" bestFit="1" customWidth="1"/>
    <col min="455" max="455" width="22.85546875" bestFit="1" customWidth="1"/>
    <col min="456" max="456" width="13.85546875" bestFit="1" customWidth="1"/>
    <col min="457" max="457" width="27" bestFit="1" customWidth="1"/>
    <col min="458" max="458" width="22.85546875" bestFit="1" customWidth="1"/>
    <col min="459" max="459" width="13.85546875" bestFit="1" customWidth="1"/>
    <col min="460" max="460" width="24.85546875" bestFit="1" customWidth="1"/>
    <col min="461" max="461" width="22.85546875" bestFit="1" customWidth="1"/>
    <col min="462" max="462" width="13.85546875" bestFit="1" customWidth="1"/>
    <col min="463" max="463" width="24.85546875" bestFit="1" customWidth="1"/>
    <col min="464" max="464" width="22.85546875" bestFit="1" customWidth="1"/>
    <col min="465" max="465" width="13.85546875" bestFit="1" customWidth="1"/>
    <col min="466" max="466" width="27" bestFit="1" customWidth="1"/>
    <col min="467" max="467" width="22.85546875" bestFit="1" customWidth="1"/>
    <col min="468" max="468" width="13.85546875" bestFit="1" customWidth="1"/>
    <col min="469" max="469" width="27" bestFit="1" customWidth="1"/>
    <col min="470" max="470" width="22.85546875" bestFit="1" customWidth="1"/>
    <col min="471" max="471" width="13.85546875" bestFit="1" customWidth="1"/>
    <col min="472" max="472" width="27" bestFit="1" customWidth="1"/>
    <col min="473" max="473" width="22.85546875" bestFit="1" customWidth="1"/>
    <col min="474" max="474" width="13.85546875" bestFit="1" customWidth="1"/>
    <col min="475" max="475" width="24.85546875" bestFit="1" customWidth="1"/>
    <col min="476" max="476" width="22.85546875" bestFit="1" customWidth="1"/>
    <col min="477" max="477" width="13.85546875" bestFit="1" customWidth="1"/>
    <col min="478" max="478" width="24.85546875" bestFit="1" customWidth="1"/>
    <col min="479" max="479" width="22.85546875" bestFit="1" customWidth="1"/>
    <col min="480" max="480" width="13.85546875" bestFit="1" customWidth="1"/>
    <col min="481" max="481" width="27" bestFit="1" customWidth="1"/>
    <col min="482" max="482" width="22.85546875" bestFit="1" customWidth="1"/>
    <col min="483" max="483" width="13.85546875" bestFit="1" customWidth="1"/>
    <col min="484" max="484" width="27" bestFit="1" customWidth="1"/>
    <col min="485" max="485" width="21.85546875" bestFit="1" customWidth="1"/>
    <col min="486" max="486" width="13.85546875" bestFit="1" customWidth="1"/>
    <col min="487" max="487" width="27" bestFit="1" customWidth="1"/>
    <col min="488" max="488" width="22.85546875" bestFit="1" customWidth="1"/>
    <col min="489" max="489" width="13.85546875" bestFit="1" customWidth="1"/>
    <col min="490" max="490" width="27" bestFit="1" customWidth="1"/>
    <col min="491" max="491" width="22.85546875" bestFit="1" customWidth="1"/>
    <col min="492" max="492" width="13.85546875" bestFit="1" customWidth="1"/>
    <col min="493" max="493" width="27" bestFit="1" customWidth="1"/>
    <col min="494" max="494" width="22.85546875" bestFit="1" customWidth="1"/>
    <col min="495" max="495" width="13.85546875" bestFit="1" customWidth="1"/>
    <col min="496" max="496" width="27" bestFit="1" customWidth="1"/>
    <col min="497" max="497" width="22.85546875" bestFit="1" customWidth="1"/>
    <col min="498" max="498" width="13.85546875" bestFit="1" customWidth="1"/>
    <col min="499" max="499" width="26" bestFit="1" customWidth="1"/>
    <col min="500" max="500" width="21.85546875" bestFit="1" customWidth="1"/>
    <col min="501" max="501" width="13.85546875" bestFit="1" customWidth="1"/>
    <col min="502" max="502" width="24.85546875" bestFit="1" customWidth="1"/>
    <col min="503" max="503" width="22.85546875" bestFit="1" customWidth="1"/>
    <col min="504" max="504" width="13.85546875" bestFit="1" customWidth="1"/>
    <col min="505" max="505" width="27" bestFit="1" customWidth="1"/>
    <col min="506" max="506" width="22.85546875" bestFit="1" customWidth="1"/>
    <col min="507" max="507" width="13.85546875" bestFit="1" customWidth="1"/>
    <col min="508" max="508" width="27" bestFit="1" customWidth="1"/>
    <col min="509" max="509" width="22.85546875" bestFit="1" customWidth="1"/>
    <col min="510" max="510" width="13.85546875" bestFit="1" customWidth="1"/>
    <col min="511" max="511" width="27" bestFit="1" customWidth="1"/>
    <col min="512" max="512" width="22.85546875" bestFit="1" customWidth="1"/>
    <col min="513" max="513" width="13.85546875" bestFit="1" customWidth="1"/>
    <col min="514" max="514" width="24.85546875" bestFit="1" customWidth="1"/>
    <col min="515" max="515" width="21.85546875" bestFit="1" customWidth="1"/>
    <col min="516" max="516" width="13.85546875" bestFit="1" customWidth="1"/>
    <col min="517" max="517" width="24.85546875" bestFit="1" customWidth="1"/>
    <col min="518" max="518" width="22.85546875" bestFit="1" customWidth="1"/>
    <col min="519" max="519" width="13.85546875" bestFit="1" customWidth="1"/>
    <col min="520" max="520" width="24.85546875" bestFit="1" customWidth="1"/>
    <col min="521" max="521" width="22.85546875" bestFit="1" customWidth="1"/>
    <col min="522" max="522" width="13.85546875" bestFit="1" customWidth="1"/>
    <col min="523" max="523" width="24.85546875" bestFit="1" customWidth="1"/>
    <col min="524" max="524" width="22.85546875" bestFit="1" customWidth="1"/>
    <col min="525" max="525" width="13.85546875" bestFit="1" customWidth="1"/>
    <col min="526" max="526" width="24.85546875" bestFit="1" customWidth="1"/>
    <col min="527" max="527" width="22.85546875" bestFit="1" customWidth="1"/>
    <col min="528" max="528" width="13.85546875" bestFit="1" customWidth="1"/>
    <col min="529" max="529" width="24.85546875" bestFit="1" customWidth="1"/>
    <col min="530" max="530" width="21.85546875" bestFit="1" customWidth="1"/>
    <col min="531" max="531" width="13.85546875" bestFit="1" customWidth="1"/>
    <col min="532" max="532" width="27" bestFit="1" customWidth="1"/>
    <col min="533" max="533" width="21.85546875" bestFit="1" customWidth="1"/>
    <col min="534" max="534" width="13.85546875" bestFit="1" customWidth="1"/>
    <col min="535" max="535" width="23.85546875" bestFit="1" customWidth="1"/>
    <col min="536" max="536" width="20.7109375" bestFit="1" customWidth="1"/>
    <col min="537" max="537" width="11.28515625" bestFit="1" customWidth="1"/>
  </cols>
  <sheetData>
    <row r="1" spans="2:9" x14ac:dyDescent="0.25">
      <c r="B1" s="1" t="s">
        <v>186</v>
      </c>
      <c r="C1" t="s">
        <v>213</v>
      </c>
    </row>
    <row r="3" spans="2:9" x14ac:dyDescent="0.25">
      <c r="B3" s="1" t="s">
        <v>180</v>
      </c>
      <c r="C3" s="1" t="s">
        <v>243</v>
      </c>
      <c r="D3" s="1" t="s">
        <v>11</v>
      </c>
      <c r="E3" s="1" t="s">
        <v>12</v>
      </c>
      <c r="F3" s="1" t="s">
        <v>248</v>
      </c>
      <c r="G3" t="s">
        <v>71</v>
      </c>
      <c r="H3" t="s">
        <v>112</v>
      </c>
      <c r="I3" t="s">
        <v>113</v>
      </c>
    </row>
    <row r="4" spans="2:9" x14ac:dyDescent="0.25">
      <c r="B4" t="s">
        <v>244</v>
      </c>
      <c r="C4" t="s">
        <v>244</v>
      </c>
      <c r="D4" t="s">
        <v>6</v>
      </c>
      <c r="E4" t="s">
        <v>16</v>
      </c>
      <c r="F4" t="s">
        <v>245</v>
      </c>
      <c r="G4" s="3">
        <v>0.315378020571428</v>
      </c>
      <c r="H4" s="3">
        <v>2.38033728</v>
      </c>
      <c r="I4" s="3">
        <v>1.00014171428571E-2</v>
      </c>
    </row>
    <row r="5" spans="2:9" x14ac:dyDescent="0.25">
      <c r="B5" t="s">
        <v>244</v>
      </c>
      <c r="C5" t="s">
        <v>244</v>
      </c>
      <c r="D5" t="s">
        <v>6</v>
      </c>
      <c r="E5" t="s">
        <v>16</v>
      </c>
      <c r="F5" t="s">
        <v>246</v>
      </c>
      <c r="G5" s="3">
        <v>2.44377160851064</v>
      </c>
      <c r="H5" s="3">
        <v>-1770.6752762553199</v>
      </c>
      <c r="I5" s="3">
        <v>7.7498042553191496E-2</v>
      </c>
    </row>
    <row r="6" spans="2:9" x14ac:dyDescent="0.25">
      <c r="B6" t="s">
        <v>244</v>
      </c>
      <c r="C6" t="s">
        <v>244</v>
      </c>
      <c r="D6" t="s">
        <v>6</v>
      </c>
      <c r="E6" t="s">
        <v>16</v>
      </c>
      <c r="F6" t="s">
        <v>295</v>
      </c>
      <c r="G6" s="3">
        <v>4.5226566000000004</v>
      </c>
      <c r="H6" s="3">
        <v>-3276.9658984186099</v>
      </c>
      <c r="I6" s="3">
        <v>0.14342462790697699</v>
      </c>
    </row>
    <row r="7" spans="2:9" x14ac:dyDescent="0.25">
      <c r="B7" t="s">
        <v>244</v>
      </c>
      <c r="C7" t="s">
        <v>244</v>
      </c>
      <c r="D7" t="s">
        <v>6</v>
      </c>
      <c r="E7" t="s">
        <v>16</v>
      </c>
      <c r="F7" t="s">
        <v>300</v>
      </c>
      <c r="G7" s="3">
        <v>3.2783578021978003E-2</v>
      </c>
      <c r="H7" s="3">
        <v>0.24743630769230801</v>
      </c>
      <c r="I7" s="3">
        <v>1.03964835164835E-3</v>
      </c>
    </row>
    <row r="8" spans="2:9" x14ac:dyDescent="0.25">
      <c r="B8" t="s">
        <v>244</v>
      </c>
      <c r="C8" t="s">
        <v>244</v>
      </c>
      <c r="D8" t="s">
        <v>6</v>
      </c>
      <c r="E8" t="s">
        <v>16</v>
      </c>
      <c r="F8" t="s">
        <v>296</v>
      </c>
      <c r="G8" s="3">
        <v>6.6340272841371295</v>
      </c>
      <c r="H8" s="3">
        <v>-4806.7945683286998</v>
      </c>
      <c r="I8" s="3">
        <v>0.21038141493035251</v>
      </c>
    </row>
    <row r="9" spans="2:9" x14ac:dyDescent="0.25">
      <c r="B9" t="s">
        <v>244</v>
      </c>
      <c r="C9" t="s">
        <v>244</v>
      </c>
      <c r="D9" t="s">
        <v>6</v>
      </c>
      <c r="E9" t="s">
        <v>16</v>
      </c>
      <c r="F9" t="s">
        <v>303</v>
      </c>
      <c r="G9" s="3">
        <v>3.0591410845150802</v>
      </c>
      <c r="H9" s="3">
        <v>-2216.5514428858501</v>
      </c>
      <c r="I9" s="3">
        <v>9.7012930798575397E-2</v>
      </c>
    </row>
    <row r="10" spans="2:9" x14ac:dyDescent="0.25">
      <c r="B10" t="s">
        <v>244</v>
      </c>
      <c r="C10" t="s">
        <v>244</v>
      </c>
      <c r="D10" t="s">
        <v>6</v>
      </c>
      <c r="E10" t="s">
        <v>16</v>
      </c>
      <c r="F10" t="s">
        <v>297</v>
      </c>
      <c r="G10" s="3">
        <v>0.99355910477715403</v>
      </c>
      <c r="H10" s="3">
        <v>7.4989556111087499</v>
      </c>
      <c r="I10" s="3">
        <v>3.1508216853398101E-2</v>
      </c>
    </row>
    <row r="11" spans="2:9" x14ac:dyDescent="0.25">
      <c r="B11" t="s">
        <v>0</v>
      </c>
      <c r="G11" s="3">
        <v>18.00131728053341</v>
      </c>
      <c r="H11" s="3">
        <v>-12060.860456689677</v>
      </c>
      <c r="I11" s="3">
        <v>0.57086629853699999</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C5:E30"/>
  <sheetViews>
    <sheetView workbookViewId="0">
      <selection activeCell="D10" sqref="D10"/>
    </sheetView>
  </sheetViews>
  <sheetFormatPr defaultRowHeight="15" x14ac:dyDescent="0.25"/>
  <cols>
    <col min="3" max="3" width="13.140625" bestFit="1" customWidth="1"/>
    <col min="4" max="4" width="7.85546875" bestFit="1" customWidth="1"/>
    <col min="5" max="5" width="12.5703125" bestFit="1" customWidth="1"/>
    <col min="6" max="24" width="12" bestFit="1" customWidth="1"/>
  </cols>
  <sheetData>
    <row r="5" spans="3:5" x14ac:dyDescent="0.25">
      <c r="C5" s="1" t="s">
        <v>15</v>
      </c>
      <c r="D5" s="1" t="s">
        <v>88</v>
      </c>
      <c r="E5" t="s">
        <v>111</v>
      </c>
    </row>
    <row r="6" spans="3:5" x14ac:dyDescent="0.25">
      <c r="C6" t="s">
        <v>331</v>
      </c>
      <c r="D6" t="s">
        <v>46</v>
      </c>
      <c r="E6" s="3">
        <v>125007.72083034887</v>
      </c>
    </row>
    <row r="7" spans="3:5" x14ac:dyDescent="0.25">
      <c r="C7" t="s">
        <v>331</v>
      </c>
      <c r="D7" t="s">
        <v>47</v>
      </c>
      <c r="E7" s="3">
        <v>134256.63186529514</v>
      </c>
    </row>
    <row r="8" spans="3:5" x14ac:dyDescent="0.25">
      <c r="C8" t="s">
        <v>331</v>
      </c>
      <c r="D8" t="s">
        <v>48</v>
      </c>
      <c r="E8" s="3">
        <v>103693.44304584082</v>
      </c>
    </row>
    <row r="9" spans="3:5" x14ac:dyDescent="0.25">
      <c r="C9" t="s">
        <v>331</v>
      </c>
      <c r="D9" t="s">
        <v>49</v>
      </c>
      <c r="E9" s="3">
        <v>103824.60177809659</v>
      </c>
    </row>
    <row r="10" spans="3:5" x14ac:dyDescent="0.25">
      <c r="C10" t="s">
        <v>331</v>
      </c>
      <c r="D10" t="s">
        <v>50</v>
      </c>
      <c r="E10" s="3">
        <v>112154.63722855435</v>
      </c>
    </row>
    <row r="11" spans="3:5" x14ac:dyDescent="0.25">
      <c r="C11" t="s">
        <v>331</v>
      </c>
      <c r="D11" t="s">
        <v>51</v>
      </c>
      <c r="E11" s="3">
        <v>118350.23984551584</v>
      </c>
    </row>
    <row r="12" spans="3:5" x14ac:dyDescent="0.25">
      <c r="C12" t="s">
        <v>331</v>
      </c>
      <c r="D12" t="s">
        <v>187</v>
      </c>
      <c r="E12" s="3">
        <v>143772.36578202163</v>
      </c>
    </row>
    <row r="13" spans="3:5" x14ac:dyDescent="0.25">
      <c r="C13" t="s">
        <v>331</v>
      </c>
      <c r="D13" t="s">
        <v>188</v>
      </c>
      <c r="E13" s="3">
        <v>174587.9718884631</v>
      </c>
    </row>
    <row r="14" spans="3:5" x14ac:dyDescent="0.25">
      <c r="C14" t="s">
        <v>331</v>
      </c>
      <c r="D14" t="s">
        <v>189</v>
      </c>
      <c r="E14" s="3">
        <v>267901.45143967372</v>
      </c>
    </row>
    <row r="15" spans="3:5" x14ac:dyDescent="0.25">
      <c r="C15" t="s">
        <v>331</v>
      </c>
      <c r="D15" t="s">
        <v>190</v>
      </c>
      <c r="E15" s="3">
        <v>327609.16025975317</v>
      </c>
    </row>
    <row r="16" spans="3:5" x14ac:dyDescent="0.25">
      <c r="C16" t="s">
        <v>331</v>
      </c>
      <c r="D16" t="s">
        <v>191</v>
      </c>
      <c r="E16" s="3">
        <v>387783.53091354144</v>
      </c>
    </row>
    <row r="17" spans="3:5" x14ac:dyDescent="0.25">
      <c r="C17" t="s">
        <v>331</v>
      </c>
      <c r="D17" t="s">
        <v>227</v>
      </c>
      <c r="E17" s="3">
        <v>398228.77587033919</v>
      </c>
    </row>
    <row r="18" spans="3:5" x14ac:dyDescent="0.25">
      <c r="C18" t="s">
        <v>331</v>
      </c>
      <c r="D18" t="s">
        <v>262</v>
      </c>
      <c r="E18" s="3">
        <v>352175.71846303775</v>
      </c>
    </row>
    <row r="19" spans="3:5" x14ac:dyDescent="0.25">
      <c r="C19" t="s">
        <v>331</v>
      </c>
      <c r="D19" t="s">
        <v>263</v>
      </c>
      <c r="E19" s="3">
        <v>310195.97795459087</v>
      </c>
    </row>
    <row r="20" spans="3:5" x14ac:dyDescent="0.25">
      <c r="C20" t="s">
        <v>331</v>
      </c>
      <c r="D20" t="s">
        <v>264</v>
      </c>
      <c r="E20" s="3">
        <v>271058.52156846295</v>
      </c>
    </row>
    <row r="21" spans="3:5" x14ac:dyDescent="0.25">
      <c r="C21" t="s">
        <v>331</v>
      </c>
      <c r="D21" t="s">
        <v>265</v>
      </c>
      <c r="E21" s="3">
        <v>254275.40841268958</v>
      </c>
    </row>
    <row r="22" spans="3:5" x14ac:dyDescent="0.25">
      <c r="C22" t="s">
        <v>331</v>
      </c>
      <c r="D22" t="s">
        <v>266</v>
      </c>
      <c r="E22" s="3">
        <v>252540.38782337727</v>
      </c>
    </row>
    <row r="23" spans="3:5" x14ac:dyDescent="0.25">
      <c r="C23" t="s">
        <v>331</v>
      </c>
      <c r="D23" t="s">
        <v>267</v>
      </c>
      <c r="E23" s="3">
        <v>287198.58378077601</v>
      </c>
    </row>
    <row r="24" spans="3:5" x14ac:dyDescent="0.25">
      <c r="C24" t="s">
        <v>331</v>
      </c>
      <c r="D24" t="s">
        <v>268</v>
      </c>
      <c r="E24" s="3">
        <v>307412.4674132971</v>
      </c>
    </row>
    <row r="25" spans="3:5" x14ac:dyDescent="0.25">
      <c r="C25" t="s">
        <v>331</v>
      </c>
      <c r="D25" t="s">
        <v>269</v>
      </c>
      <c r="E25" s="3">
        <v>334051.48635134817</v>
      </c>
    </row>
    <row r="26" spans="3:5" x14ac:dyDescent="0.25">
      <c r="C26" t="s">
        <v>331</v>
      </c>
      <c r="D26" t="s">
        <v>270</v>
      </c>
      <c r="E26" s="3">
        <v>326765.05006988376</v>
      </c>
    </row>
    <row r="27" spans="3:5" x14ac:dyDescent="0.25">
      <c r="C27" t="s">
        <v>331</v>
      </c>
      <c r="D27" t="s">
        <v>271</v>
      </c>
      <c r="E27" s="3">
        <v>323655.20486851817</v>
      </c>
    </row>
    <row r="28" spans="3:5" x14ac:dyDescent="0.25">
      <c r="C28" t="s">
        <v>331</v>
      </c>
      <c r="D28" t="s">
        <v>272</v>
      </c>
      <c r="E28" s="3">
        <v>296844.1180566072</v>
      </c>
    </row>
    <row r="29" spans="3:5" x14ac:dyDescent="0.25">
      <c r="C29" t="s">
        <v>331</v>
      </c>
      <c r="D29" t="s">
        <v>273</v>
      </c>
      <c r="E29" s="3">
        <v>221678.6711764505</v>
      </c>
    </row>
    <row r="30" spans="3:5" x14ac:dyDescent="0.25">
      <c r="C30" t="s">
        <v>0</v>
      </c>
      <c r="E30" s="3">
        <v>5935022.1266864827</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C4:H7"/>
  <sheetViews>
    <sheetView zoomScale="70" zoomScaleNormal="70" workbookViewId="0">
      <selection activeCell="F35" sqref="F35"/>
    </sheetView>
  </sheetViews>
  <sheetFormatPr defaultRowHeight="15" x14ac:dyDescent="0.25"/>
  <cols>
    <col min="3" max="3" width="13.85546875" customWidth="1"/>
    <col min="4" max="4" width="16.28515625" bestFit="1" customWidth="1"/>
    <col min="5" max="6" width="9.5703125" customWidth="1"/>
    <col min="7" max="8" width="12.5703125" bestFit="1" customWidth="1"/>
    <col min="9" max="9" width="12.5703125" customWidth="1"/>
    <col min="10" max="10" width="12.5703125" bestFit="1" customWidth="1"/>
    <col min="11" max="11" width="15.28515625" bestFit="1" customWidth="1"/>
    <col min="12" max="12" width="14" bestFit="1" customWidth="1"/>
    <col min="13" max="14" width="12.5703125" bestFit="1" customWidth="1"/>
  </cols>
  <sheetData>
    <row r="4" spans="3:8" x14ac:dyDescent="0.25">
      <c r="C4" s="1" t="s">
        <v>111</v>
      </c>
      <c r="D4" s="1" t="s">
        <v>44</v>
      </c>
    </row>
    <row r="5" spans="3:8" x14ac:dyDescent="0.25">
      <c r="C5" s="1" t="s">
        <v>45</v>
      </c>
      <c r="D5" t="s">
        <v>19</v>
      </c>
      <c r="E5" t="s">
        <v>8</v>
      </c>
      <c r="F5" t="s">
        <v>7</v>
      </c>
      <c r="G5" t="s">
        <v>18</v>
      </c>
      <c r="H5" t="s">
        <v>0</v>
      </c>
    </row>
    <row r="6" spans="3:8" x14ac:dyDescent="0.25">
      <c r="C6" s="2" t="s">
        <v>331</v>
      </c>
      <c r="D6" s="3">
        <v>843.17092076853601</v>
      </c>
      <c r="E6" s="3">
        <v>24887173</v>
      </c>
      <c r="F6" s="3">
        <v>63815458</v>
      </c>
      <c r="G6" s="3">
        <v>4278856.8726114603</v>
      </c>
      <c r="H6" s="3">
        <v>92982331.043532223</v>
      </c>
    </row>
    <row r="7" spans="3:8" x14ac:dyDescent="0.25">
      <c r="C7" s="2" t="s">
        <v>0</v>
      </c>
      <c r="D7" s="3">
        <v>843.17092076853601</v>
      </c>
      <c r="E7" s="3">
        <v>24887173</v>
      </c>
      <c r="F7" s="3">
        <v>63815458</v>
      </c>
      <c r="G7" s="3">
        <v>4278856.8726114603</v>
      </c>
      <c r="H7" s="3">
        <v>92982331.043532223</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C4:I31"/>
  <sheetViews>
    <sheetView workbookViewId="0">
      <selection activeCell="F15" sqref="F15"/>
    </sheetView>
  </sheetViews>
  <sheetFormatPr defaultRowHeight="15" x14ac:dyDescent="0.25"/>
  <cols>
    <col min="3" max="3" width="13.140625" customWidth="1"/>
    <col min="4" max="4" width="7.85546875" bestFit="1" customWidth="1"/>
    <col min="5" max="7" width="13.5703125" bestFit="1" customWidth="1"/>
    <col min="8" max="8" width="13.5703125" customWidth="1"/>
    <col min="9" max="9" width="12.7109375" customWidth="1"/>
    <col min="10" max="10" width="12.7109375" bestFit="1" customWidth="1"/>
    <col min="11" max="20" width="12.7109375" customWidth="1"/>
    <col min="21" max="31" width="12.7109375" bestFit="1" customWidth="1"/>
    <col min="32" max="32" width="6.7109375" bestFit="1" customWidth="1"/>
    <col min="33" max="33" width="3.5703125" bestFit="1" customWidth="1"/>
    <col min="34" max="34" width="8.28515625" bestFit="1" customWidth="1"/>
    <col min="35" max="35" width="12.7109375" bestFit="1" customWidth="1"/>
    <col min="36" max="36" width="12" bestFit="1" customWidth="1"/>
    <col min="37" max="37" width="7" bestFit="1" customWidth="1"/>
    <col min="38" max="38" width="12.7109375" bestFit="1" customWidth="1"/>
    <col min="39" max="39" width="6.7109375" bestFit="1" customWidth="1"/>
    <col min="40" max="40" width="6" bestFit="1" customWidth="1"/>
    <col min="41" max="41" width="12.7109375" bestFit="1" customWidth="1"/>
    <col min="42" max="42" width="12" bestFit="1" customWidth="1"/>
    <col min="43" max="46" width="12.7109375" bestFit="1" customWidth="1"/>
    <col min="47" max="47" width="5" bestFit="1" customWidth="1"/>
    <col min="48" max="54" width="12.7109375" bestFit="1" customWidth="1"/>
    <col min="55" max="55" width="4.85546875" bestFit="1" customWidth="1"/>
    <col min="56" max="56" width="7.85546875" bestFit="1" customWidth="1"/>
    <col min="57" max="57" width="6" bestFit="1" customWidth="1"/>
    <col min="58" max="59" width="12" bestFit="1" customWidth="1"/>
    <col min="60" max="60" width="5.85546875" bestFit="1" customWidth="1"/>
    <col min="61" max="62" width="12.7109375" bestFit="1" customWidth="1"/>
    <col min="63" max="66" width="12" bestFit="1" customWidth="1"/>
    <col min="67" max="67" width="7.7109375" bestFit="1" customWidth="1"/>
    <col min="68" max="68" width="12.7109375" bestFit="1" customWidth="1"/>
    <col min="69" max="69" width="12" bestFit="1" customWidth="1"/>
    <col min="70" max="70" width="12.7109375" bestFit="1" customWidth="1"/>
    <col min="71" max="71" width="12" bestFit="1" customWidth="1"/>
    <col min="72" max="72" width="6" bestFit="1" customWidth="1"/>
    <col min="73" max="74" width="12.7109375" bestFit="1" customWidth="1"/>
    <col min="75" max="75" width="5.42578125" bestFit="1" customWidth="1"/>
    <col min="76" max="76" width="8.42578125" bestFit="1" customWidth="1"/>
    <col min="77" max="77" width="12.7109375" bestFit="1" customWidth="1"/>
  </cols>
  <sheetData>
    <row r="4" spans="3:9" x14ac:dyDescent="0.25">
      <c r="C4" s="1" t="s">
        <v>152</v>
      </c>
      <c r="E4" s="1" t="s">
        <v>153</v>
      </c>
      <c r="F4" s="1" t="s">
        <v>160</v>
      </c>
    </row>
    <row r="5" spans="3:9" x14ac:dyDescent="0.25">
      <c r="E5" t="s">
        <v>215</v>
      </c>
      <c r="F5" t="s">
        <v>215</v>
      </c>
      <c r="G5" t="s">
        <v>215</v>
      </c>
      <c r="H5" t="s">
        <v>215</v>
      </c>
      <c r="I5" t="s">
        <v>0</v>
      </c>
    </row>
    <row r="6" spans="3:9" x14ac:dyDescent="0.25">
      <c r="C6" s="1" t="s">
        <v>15</v>
      </c>
      <c r="D6" s="1" t="s">
        <v>88</v>
      </c>
      <c r="E6" t="s">
        <v>214</v>
      </c>
      <c r="F6" t="s">
        <v>259</v>
      </c>
      <c r="G6" t="s">
        <v>258</v>
      </c>
      <c r="H6" t="s">
        <v>261</v>
      </c>
    </row>
    <row r="7" spans="3:9" x14ac:dyDescent="0.25">
      <c r="C7" t="s">
        <v>331</v>
      </c>
      <c r="D7" t="s">
        <v>46</v>
      </c>
      <c r="E7" s="3">
        <v>0</v>
      </c>
      <c r="F7" s="3">
        <v>0</v>
      </c>
      <c r="G7" s="3">
        <v>-0.34489369658414998</v>
      </c>
      <c r="H7" s="3">
        <v>0</v>
      </c>
      <c r="I7" s="3">
        <v>-0.34489369658414998</v>
      </c>
    </row>
    <row r="8" spans="3:9" x14ac:dyDescent="0.25">
      <c r="C8" t="s">
        <v>331</v>
      </c>
      <c r="D8" t="s">
        <v>47</v>
      </c>
      <c r="E8" s="3">
        <v>0</v>
      </c>
      <c r="F8" s="3">
        <v>0</v>
      </c>
      <c r="G8" s="3">
        <v>-0.26491075136133102</v>
      </c>
      <c r="H8" s="3">
        <v>0</v>
      </c>
      <c r="I8" s="3">
        <v>-0.26491075136133102</v>
      </c>
    </row>
    <row r="9" spans="3:9" x14ac:dyDescent="0.25">
      <c r="C9" t="s">
        <v>331</v>
      </c>
      <c r="D9" t="s">
        <v>48</v>
      </c>
      <c r="E9" s="3">
        <v>0</v>
      </c>
      <c r="F9" s="3">
        <v>0</v>
      </c>
      <c r="G9" s="3">
        <v>-0.24235958629603899</v>
      </c>
      <c r="H9" s="3">
        <v>0</v>
      </c>
      <c r="I9" s="3">
        <v>-0.24235958629603899</v>
      </c>
    </row>
    <row r="10" spans="3:9" x14ac:dyDescent="0.25">
      <c r="C10" t="s">
        <v>331</v>
      </c>
      <c r="D10" t="s">
        <v>49</v>
      </c>
      <c r="E10" s="3">
        <v>0</v>
      </c>
      <c r="F10" s="3">
        <v>0</v>
      </c>
      <c r="G10" s="3">
        <v>-0.24943079848838401</v>
      </c>
      <c r="H10" s="3">
        <v>0</v>
      </c>
      <c r="I10" s="3">
        <v>-0.24943079848838401</v>
      </c>
    </row>
    <row r="11" spans="3:9" x14ac:dyDescent="0.25">
      <c r="C11" t="s">
        <v>331</v>
      </c>
      <c r="D11" t="s">
        <v>50</v>
      </c>
      <c r="E11" s="3">
        <v>0</v>
      </c>
      <c r="F11" s="3">
        <v>0</v>
      </c>
      <c r="G11" s="3">
        <v>-0.10346879508258799</v>
      </c>
      <c r="H11" s="3">
        <v>0</v>
      </c>
      <c r="I11" s="3">
        <v>-0.10346879508258799</v>
      </c>
    </row>
    <row r="12" spans="3:9" x14ac:dyDescent="0.25">
      <c r="C12" t="s">
        <v>331</v>
      </c>
      <c r="D12" t="s">
        <v>51</v>
      </c>
      <c r="E12" s="3">
        <v>0</v>
      </c>
      <c r="F12" s="3">
        <v>0</v>
      </c>
      <c r="G12" s="3">
        <v>0</v>
      </c>
      <c r="H12" s="3">
        <v>0.27220985472497999</v>
      </c>
      <c r="I12" s="3">
        <v>0.27220985472497999</v>
      </c>
    </row>
    <row r="13" spans="3:9" x14ac:dyDescent="0.25">
      <c r="C13" t="s">
        <v>331</v>
      </c>
      <c r="D13" t="s">
        <v>187</v>
      </c>
      <c r="E13" s="3">
        <v>0</v>
      </c>
      <c r="F13" s="3">
        <v>0</v>
      </c>
      <c r="G13" s="3">
        <v>0</v>
      </c>
      <c r="H13" s="3">
        <v>5.4917044544903299E-3</v>
      </c>
      <c r="I13" s="3">
        <v>5.4917044544903299E-3</v>
      </c>
    </row>
    <row r="14" spans="3:9" x14ac:dyDescent="0.25">
      <c r="C14" t="s">
        <v>331</v>
      </c>
      <c r="D14" t="s">
        <v>188</v>
      </c>
      <c r="E14" s="3">
        <v>-0.17411404133257899</v>
      </c>
      <c r="F14" s="3">
        <v>0</v>
      </c>
      <c r="G14" s="3">
        <v>0</v>
      </c>
      <c r="H14" s="3">
        <v>0</v>
      </c>
      <c r="I14" s="3">
        <v>-0.17411404133257899</v>
      </c>
    </row>
    <row r="15" spans="3:9" x14ac:dyDescent="0.25">
      <c r="C15" t="s">
        <v>331</v>
      </c>
      <c r="D15" t="s">
        <v>189</v>
      </c>
      <c r="E15" s="3">
        <v>-0.20675506459401</v>
      </c>
      <c r="F15" s="3">
        <v>0</v>
      </c>
      <c r="G15" s="3">
        <v>0</v>
      </c>
      <c r="H15" s="3">
        <v>0</v>
      </c>
      <c r="I15" s="3">
        <v>-0.20675506459401</v>
      </c>
    </row>
    <row r="16" spans="3:9" x14ac:dyDescent="0.25">
      <c r="C16" t="s">
        <v>331</v>
      </c>
      <c r="D16" t="s">
        <v>190</v>
      </c>
      <c r="E16" s="3">
        <v>-0.146612126232987</v>
      </c>
      <c r="F16" s="3">
        <v>0</v>
      </c>
      <c r="G16" s="3">
        <v>0</v>
      </c>
      <c r="H16" s="3">
        <v>0</v>
      </c>
      <c r="I16" s="3">
        <v>-0.146612126232987</v>
      </c>
    </row>
    <row r="17" spans="3:9" x14ac:dyDescent="0.25">
      <c r="C17" t="s">
        <v>331</v>
      </c>
      <c r="D17" t="s">
        <v>191</v>
      </c>
      <c r="E17" s="3">
        <v>-0.39190341643811399</v>
      </c>
      <c r="F17" s="3">
        <v>0</v>
      </c>
      <c r="G17" s="3">
        <v>0</v>
      </c>
      <c r="H17" s="3">
        <v>0.29577549805986703</v>
      </c>
      <c r="I17" s="3">
        <v>-9.6127918378246968E-2</v>
      </c>
    </row>
    <row r="18" spans="3:9" x14ac:dyDescent="0.25">
      <c r="C18" t="s">
        <v>331</v>
      </c>
      <c r="D18" t="s">
        <v>227</v>
      </c>
      <c r="E18" s="3">
        <v>-0.54</v>
      </c>
      <c r="F18" s="3">
        <v>0</v>
      </c>
      <c r="G18" s="3">
        <v>0</v>
      </c>
      <c r="H18" s="3">
        <v>0.59437712337672399</v>
      </c>
      <c r="I18" s="3">
        <v>5.4377123376723957E-2</v>
      </c>
    </row>
    <row r="19" spans="3:9" x14ac:dyDescent="0.25">
      <c r="C19" t="s">
        <v>331</v>
      </c>
      <c r="D19" t="s">
        <v>262</v>
      </c>
      <c r="E19" s="3">
        <v>-8.0468842948748898E-2</v>
      </c>
      <c r="F19" s="3">
        <v>0</v>
      </c>
      <c r="G19" s="3">
        <v>0</v>
      </c>
      <c r="H19" s="3">
        <v>0.18616383492205599</v>
      </c>
      <c r="I19" s="3">
        <v>0.10569499197330709</v>
      </c>
    </row>
    <row r="20" spans="3:9" x14ac:dyDescent="0.25">
      <c r="C20" t="s">
        <v>331</v>
      </c>
      <c r="D20" t="s">
        <v>263</v>
      </c>
      <c r="E20" s="3">
        <v>-0.27728739357162302</v>
      </c>
      <c r="F20" s="3">
        <v>0</v>
      </c>
      <c r="G20" s="3">
        <v>0</v>
      </c>
      <c r="H20" s="3">
        <v>0.36715359103527101</v>
      </c>
      <c r="I20" s="3">
        <v>8.986619746364799E-2</v>
      </c>
    </row>
    <row r="21" spans="3:9" x14ac:dyDescent="0.25">
      <c r="C21" t="s">
        <v>331</v>
      </c>
      <c r="D21" t="s">
        <v>264</v>
      </c>
      <c r="E21" s="3">
        <v>-0.47624077662407999</v>
      </c>
      <c r="F21" s="3">
        <v>0</v>
      </c>
      <c r="G21" s="3">
        <v>0</v>
      </c>
      <c r="H21" s="3">
        <v>0.51342950540506105</v>
      </c>
      <c r="I21" s="3">
        <v>3.7188728780981062E-2</v>
      </c>
    </row>
    <row r="22" spans="3:9" x14ac:dyDescent="0.25">
      <c r="C22" t="s">
        <v>331</v>
      </c>
      <c r="D22" t="s">
        <v>265</v>
      </c>
      <c r="E22" s="3">
        <v>-0.54</v>
      </c>
      <c r="F22" s="3">
        <v>0</v>
      </c>
      <c r="G22" s="3">
        <v>0</v>
      </c>
      <c r="H22" s="3">
        <v>0.68164955922496195</v>
      </c>
      <c r="I22" s="3">
        <v>0.14164955922496192</v>
      </c>
    </row>
    <row r="23" spans="3:9" x14ac:dyDescent="0.25">
      <c r="C23" t="s">
        <v>331</v>
      </c>
      <c r="D23" t="s">
        <v>266</v>
      </c>
      <c r="E23" s="3">
        <v>-0.54</v>
      </c>
      <c r="F23" s="3">
        <v>0</v>
      </c>
      <c r="G23" s="3">
        <v>0</v>
      </c>
      <c r="H23" s="3">
        <v>0.65075868886993204</v>
      </c>
      <c r="I23" s="3">
        <v>0.11075868886993201</v>
      </c>
    </row>
    <row r="24" spans="3:9" x14ac:dyDescent="0.25">
      <c r="C24" t="s">
        <v>331</v>
      </c>
      <c r="D24" t="s">
        <v>267</v>
      </c>
      <c r="E24" s="3">
        <v>-0.54</v>
      </c>
      <c r="F24" s="3">
        <v>0</v>
      </c>
      <c r="G24" s="3">
        <v>0</v>
      </c>
      <c r="H24" s="3">
        <v>0.52443563760074696</v>
      </c>
      <c r="I24" s="3">
        <v>-1.5564362399253073E-2</v>
      </c>
    </row>
    <row r="25" spans="3:9" x14ac:dyDescent="0.25">
      <c r="C25" t="s">
        <v>331</v>
      </c>
      <c r="D25" t="s">
        <v>268</v>
      </c>
      <c r="E25" s="3">
        <v>-0.39008575850352101</v>
      </c>
      <c r="F25" s="3">
        <v>0</v>
      </c>
      <c r="G25" s="3">
        <v>0</v>
      </c>
      <c r="H25" s="3">
        <v>0.62429061792407103</v>
      </c>
      <c r="I25" s="3">
        <v>0.23420485942055003</v>
      </c>
    </row>
    <row r="26" spans="3:9" x14ac:dyDescent="0.25">
      <c r="C26" t="s">
        <v>331</v>
      </c>
      <c r="D26" t="s">
        <v>269</v>
      </c>
      <c r="E26" s="3">
        <v>-0.28839989857910298</v>
      </c>
      <c r="F26" s="3">
        <v>0</v>
      </c>
      <c r="G26" s="3">
        <v>0.35473100120905698</v>
      </c>
      <c r="H26" s="3">
        <v>0.61151301811102399</v>
      </c>
      <c r="I26" s="3">
        <v>0.677844120740978</v>
      </c>
    </row>
    <row r="27" spans="3:9" x14ac:dyDescent="0.25">
      <c r="C27" t="s">
        <v>331</v>
      </c>
      <c r="D27" t="s">
        <v>270</v>
      </c>
      <c r="E27" s="3">
        <v>-0.54</v>
      </c>
      <c r="F27" s="3">
        <v>0</v>
      </c>
      <c r="G27" s="3">
        <v>0.16660187013239999</v>
      </c>
      <c r="H27" s="3">
        <v>1.0039747441723299</v>
      </c>
      <c r="I27" s="3">
        <v>0.63057661430472989</v>
      </c>
    </row>
    <row r="28" spans="3:9" x14ac:dyDescent="0.25">
      <c r="C28" t="s">
        <v>331</v>
      </c>
      <c r="D28" t="s">
        <v>271</v>
      </c>
      <c r="E28" s="3">
        <v>-3.2011424065820998E-2</v>
      </c>
      <c r="F28" s="3">
        <v>0</v>
      </c>
      <c r="G28" s="3">
        <v>0</v>
      </c>
      <c r="H28" s="3">
        <v>0.574802942558851</v>
      </c>
      <c r="I28" s="3">
        <v>0.54279151849302998</v>
      </c>
    </row>
    <row r="29" spans="3:9" x14ac:dyDescent="0.25">
      <c r="C29" t="s">
        <v>331</v>
      </c>
      <c r="D29" t="s">
        <v>272</v>
      </c>
      <c r="E29" s="3">
        <v>-0.54</v>
      </c>
      <c r="F29" s="3">
        <v>0</v>
      </c>
      <c r="G29" s="3">
        <v>0</v>
      </c>
      <c r="H29" s="3">
        <v>1.0590576037321</v>
      </c>
      <c r="I29" s="3">
        <v>0.51905760373209997</v>
      </c>
    </row>
    <row r="30" spans="3:9" x14ac:dyDescent="0.25">
      <c r="C30" t="s">
        <v>331</v>
      </c>
      <c r="D30" t="s">
        <v>273</v>
      </c>
      <c r="E30" s="3">
        <v>0</v>
      </c>
      <c r="F30" s="3">
        <v>0</v>
      </c>
      <c r="G30" s="3">
        <v>0</v>
      </c>
      <c r="H30" s="3">
        <v>0.70752666719162804</v>
      </c>
      <c r="I30" s="3">
        <v>0.70752666719162804</v>
      </c>
    </row>
    <row r="31" spans="3:9" x14ac:dyDescent="0.25">
      <c r="C31" t="s">
        <v>0</v>
      </c>
      <c r="E31" s="3">
        <v>-5.7038787428905877</v>
      </c>
      <c r="F31" s="3">
        <v>0</v>
      </c>
      <c r="G31" s="3">
        <v>-0.68373075647103521</v>
      </c>
      <c r="H31" s="3">
        <v>8.6726105913640943</v>
      </c>
      <c r="I31" s="3">
        <v>2.2850010920024717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C5:G10"/>
  <sheetViews>
    <sheetView workbookViewId="0">
      <selection activeCell="D11" sqref="D7:D14"/>
    </sheetView>
  </sheetViews>
  <sheetFormatPr defaultRowHeight="15" x14ac:dyDescent="0.25"/>
  <cols>
    <col min="3" max="3" width="13.140625" customWidth="1"/>
    <col min="4" max="4" width="16.28515625" customWidth="1"/>
    <col min="5" max="5" width="8.28515625" customWidth="1"/>
    <col min="6" max="6" width="12" customWidth="1"/>
    <col min="7" max="7" width="12" bestFit="1" customWidth="1"/>
    <col min="8" max="8" width="13.85546875" bestFit="1" customWidth="1"/>
    <col min="9" max="9" width="18.140625" bestFit="1" customWidth="1"/>
    <col min="10" max="13" width="12" bestFit="1" customWidth="1"/>
    <col min="14" max="14" width="12" customWidth="1"/>
    <col min="15" max="17" width="12" bestFit="1" customWidth="1"/>
    <col min="18" max="18" width="14.85546875" bestFit="1" customWidth="1"/>
    <col min="19" max="20" width="12" bestFit="1" customWidth="1"/>
    <col min="21" max="21" width="12.42578125" bestFit="1" customWidth="1"/>
    <col min="22" max="22" width="19.42578125" bestFit="1" customWidth="1"/>
    <col min="23" max="23" width="12" bestFit="1" customWidth="1"/>
    <col min="24" max="24" width="13.7109375" bestFit="1" customWidth="1"/>
    <col min="25" max="25" width="12" bestFit="1" customWidth="1"/>
    <col min="26" max="26" width="15.7109375" customWidth="1"/>
    <col min="27" max="27" width="9.42578125" customWidth="1"/>
    <col min="28" max="28" width="18.140625" customWidth="1"/>
    <col min="29" max="29" width="18.85546875" bestFit="1" customWidth="1"/>
    <col min="30" max="30" width="11.28515625" customWidth="1"/>
    <col min="31" max="31" width="13.85546875" bestFit="1" customWidth="1"/>
    <col min="32" max="32" width="12" customWidth="1"/>
    <col min="33" max="33" width="8.7109375" customWidth="1"/>
    <col min="34" max="34" width="14.42578125" bestFit="1" customWidth="1"/>
    <col min="35" max="35" width="10.28515625" customWidth="1"/>
    <col min="36" max="36" width="13.42578125" bestFit="1" customWidth="1"/>
    <col min="37" max="38" width="12" bestFit="1" customWidth="1"/>
    <col min="39" max="39" width="10.28515625" customWidth="1"/>
    <col min="40" max="40" width="12" bestFit="1" customWidth="1"/>
    <col min="41" max="41" width="12" customWidth="1"/>
    <col min="42" max="42" width="13.7109375" customWidth="1"/>
    <col min="43" max="43" width="20" customWidth="1"/>
    <col min="44" max="44" width="23.140625" bestFit="1" customWidth="1"/>
    <col min="45" max="45" width="12" bestFit="1" customWidth="1"/>
  </cols>
  <sheetData>
    <row r="5" spans="3:7" x14ac:dyDescent="0.25">
      <c r="C5" s="1" t="s">
        <v>154</v>
      </c>
      <c r="F5" s="1" t="s">
        <v>320</v>
      </c>
    </row>
    <row r="6" spans="3:7" x14ac:dyDescent="0.25">
      <c r="C6" s="1" t="s">
        <v>321</v>
      </c>
      <c r="D6" s="1" t="s">
        <v>180</v>
      </c>
      <c r="E6" s="1" t="s">
        <v>243</v>
      </c>
      <c r="F6" t="s">
        <v>17</v>
      </c>
      <c r="G6" t="s">
        <v>0</v>
      </c>
    </row>
    <row r="7" spans="3:7" x14ac:dyDescent="0.25">
      <c r="C7" t="s">
        <v>8</v>
      </c>
      <c r="D7" t="s">
        <v>244</v>
      </c>
      <c r="E7" t="s">
        <v>244</v>
      </c>
      <c r="F7" s="3">
        <v>0</v>
      </c>
      <c r="G7" s="3">
        <v>0</v>
      </c>
    </row>
    <row r="8" spans="3:7" x14ac:dyDescent="0.25">
      <c r="C8" t="s">
        <v>20</v>
      </c>
      <c r="D8" t="s">
        <v>244</v>
      </c>
      <c r="E8" t="s">
        <v>244</v>
      </c>
      <c r="F8" s="3">
        <v>6067.5543422511801</v>
      </c>
      <c r="G8" s="3">
        <v>6067.5543422511801</v>
      </c>
    </row>
    <row r="9" spans="3:7" x14ac:dyDescent="0.25">
      <c r="C9" t="s">
        <v>18</v>
      </c>
      <c r="D9" t="s">
        <v>244</v>
      </c>
      <c r="E9" t="s">
        <v>244</v>
      </c>
      <c r="F9" s="3">
        <v>0</v>
      </c>
      <c r="G9" s="3">
        <v>0</v>
      </c>
    </row>
    <row r="10" spans="3:7" x14ac:dyDescent="0.25">
      <c r="C10" t="s">
        <v>0</v>
      </c>
      <c r="F10" s="3">
        <v>6067.5543422511801</v>
      </c>
      <c r="G10" s="3">
        <v>6067.5543422511801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3:P29"/>
  <sheetViews>
    <sheetView workbookViewId="0">
      <selection activeCell="C5" sqref="C5"/>
    </sheetView>
  </sheetViews>
  <sheetFormatPr defaultRowHeight="15" x14ac:dyDescent="0.25"/>
  <cols>
    <col min="2" max="2" width="12.5703125" customWidth="1"/>
    <col min="3" max="3" width="7.85546875" customWidth="1"/>
    <col min="4" max="4" width="7.85546875" bestFit="1" customWidth="1"/>
    <col min="5" max="14" width="18.140625" bestFit="1" customWidth="1"/>
    <col min="15" max="15" width="18.140625" customWidth="1"/>
    <col min="16" max="16" width="12" customWidth="1"/>
    <col min="17" max="17" width="12" bestFit="1" customWidth="1"/>
  </cols>
  <sheetData>
    <row r="3" spans="2:16" x14ac:dyDescent="0.25">
      <c r="B3" s="1" t="s">
        <v>14</v>
      </c>
      <c r="E3" s="1" t="s">
        <v>11</v>
      </c>
    </row>
    <row r="4" spans="2:16" x14ac:dyDescent="0.25">
      <c r="B4" s="1" t="s">
        <v>186</v>
      </c>
      <c r="C4" s="1" t="s">
        <v>15</v>
      </c>
      <c r="D4" s="1" t="s">
        <v>88</v>
      </c>
      <c r="E4" t="s">
        <v>6</v>
      </c>
      <c r="F4" t="s">
        <v>19</v>
      </c>
      <c r="G4" t="s">
        <v>7</v>
      </c>
      <c r="H4" t="s">
        <v>8</v>
      </c>
      <c r="I4" t="s">
        <v>193</v>
      </c>
      <c r="J4" t="s">
        <v>226</v>
      </c>
      <c r="K4" t="s">
        <v>17</v>
      </c>
      <c r="L4" t="s">
        <v>20</v>
      </c>
      <c r="M4" t="s">
        <v>21</v>
      </c>
      <c r="N4" t="s">
        <v>22</v>
      </c>
      <c r="O4" t="s">
        <v>18</v>
      </c>
      <c r="P4" t="s">
        <v>0</v>
      </c>
    </row>
    <row r="5" spans="2:16" x14ac:dyDescent="0.25">
      <c r="B5" t="s">
        <v>238</v>
      </c>
      <c r="C5" t="s">
        <v>331</v>
      </c>
      <c r="D5" t="s">
        <v>46</v>
      </c>
      <c r="E5" s="3">
        <v>2496.6137064477198</v>
      </c>
      <c r="F5" s="3">
        <v>44279.089600767533</v>
      </c>
      <c r="G5" s="3">
        <v>12512.504553141369</v>
      </c>
      <c r="H5" s="3">
        <v>12195.01045471997</v>
      </c>
      <c r="I5" s="3">
        <v>9244.8732449516901</v>
      </c>
      <c r="J5" s="3">
        <v>27925.2310278068</v>
      </c>
      <c r="K5" s="3">
        <v>870.65846578531102</v>
      </c>
      <c r="L5" s="3">
        <v>626.37691782578304</v>
      </c>
      <c r="M5" s="3">
        <v>922.09306422709301</v>
      </c>
      <c r="N5" s="3">
        <v>13308.6951599888</v>
      </c>
      <c r="O5" s="3">
        <v>8431.4422706258101</v>
      </c>
      <c r="P5" s="3">
        <v>132812.58846628788</v>
      </c>
    </row>
    <row r="6" spans="2:16" x14ac:dyDescent="0.25">
      <c r="B6" t="s">
        <v>238</v>
      </c>
      <c r="C6" t="s">
        <v>331</v>
      </c>
      <c r="D6" t="s">
        <v>47</v>
      </c>
      <c r="E6" s="3">
        <v>2394.0987726177</v>
      </c>
      <c r="F6" s="3">
        <v>42208.499056215005</v>
      </c>
      <c r="G6" s="3">
        <v>12254.1646773672</v>
      </c>
      <c r="H6" s="3">
        <v>12021.05278844305</v>
      </c>
      <c r="I6" s="3">
        <v>8760.3195324266508</v>
      </c>
      <c r="J6" s="3">
        <v>27300.056696886</v>
      </c>
      <c r="K6" s="3">
        <v>832.46310001970096</v>
      </c>
      <c r="L6" s="3">
        <v>576.15719409339499</v>
      </c>
      <c r="M6" s="3">
        <v>850.190348850345</v>
      </c>
      <c r="N6" s="3">
        <v>13012.2492689766</v>
      </c>
      <c r="O6" s="3">
        <v>8215.9630102729298</v>
      </c>
      <c r="P6" s="3">
        <v>128425.21444616858</v>
      </c>
    </row>
    <row r="7" spans="2:16" x14ac:dyDescent="0.25">
      <c r="B7" t="s">
        <v>238</v>
      </c>
      <c r="C7" t="s">
        <v>331</v>
      </c>
      <c r="D7" t="s">
        <v>48</v>
      </c>
      <c r="E7" s="3">
        <v>2332.6352149815602</v>
      </c>
      <c r="F7" s="3">
        <v>41440.763217854001</v>
      </c>
      <c r="G7" s="3">
        <v>12170.34028243956</v>
      </c>
      <c r="H7" s="3">
        <v>12063.173123686829</v>
      </c>
      <c r="I7" s="3">
        <v>8550.7827918752791</v>
      </c>
      <c r="J7" s="3">
        <v>26417.8144134748</v>
      </c>
      <c r="K7" s="3">
        <v>811.89636460744998</v>
      </c>
      <c r="L7" s="3">
        <v>556.98239048648304</v>
      </c>
      <c r="M7" s="3">
        <v>807.52280346194505</v>
      </c>
      <c r="N7" s="3">
        <v>12948.725149473999</v>
      </c>
      <c r="O7" s="3">
        <v>8184.9470561312301</v>
      </c>
      <c r="P7" s="3">
        <v>126285.58280847315</v>
      </c>
    </row>
    <row r="8" spans="2:16" x14ac:dyDescent="0.25">
      <c r="B8" t="s">
        <v>238</v>
      </c>
      <c r="C8" t="s">
        <v>331</v>
      </c>
      <c r="D8" t="s">
        <v>49</v>
      </c>
      <c r="E8" s="3">
        <v>2307.63553629642</v>
      </c>
      <c r="F8" s="3">
        <v>41942.936334493235</v>
      </c>
      <c r="G8" s="3">
        <v>12217.588806807169</v>
      </c>
      <c r="H8" s="3">
        <v>12135.767579057756</v>
      </c>
      <c r="I8" s="3">
        <v>8492.7860154726695</v>
      </c>
      <c r="J8" s="3">
        <v>25472.121600955099</v>
      </c>
      <c r="K8" s="3">
        <v>806.02015448966404</v>
      </c>
      <c r="L8" s="3">
        <v>546.93844574000605</v>
      </c>
      <c r="M8" s="3">
        <v>786.97917049715898</v>
      </c>
      <c r="N8" s="3">
        <v>13124.396788592299</v>
      </c>
      <c r="O8" s="3">
        <v>8260.0383135269294</v>
      </c>
      <c r="P8" s="3">
        <v>126093.20874592842</v>
      </c>
    </row>
    <row r="9" spans="2:16" x14ac:dyDescent="0.25">
      <c r="B9" t="s">
        <v>238</v>
      </c>
      <c r="C9" t="s">
        <v>331</v>
      </c>
      <c r="D9" t="s">
        <v>50</v>
      </c>
      <c r="E9" s="3">
        <v>2323.7326622190803</v>
      </c>
      <c r="F9" s="3">
        <v>43653.120328137637</v>
      </c>
      <c r="G9" s="3">
        <v>12399.346386043442</v>
      </c>
      <c r="H9" s="3">
        <v>12412.788763435081</v>
      </c>
      <c r="I9" s="3">
        <v>8585.3937713413507</v>
      </c>
      <c r="J9" s="3">
        <v>24732.176460029499</v>
      </c>
      <c r="K9" s="3">
        <v>808.95825954855695</v>
      </c>
      <c r="L9" s="3">
        <v>555.15621871439703</v>
      </c>
      <c r="M9" s="3">
        <v>777.49749374418104</v>
      </c>
      <c r="N9" s="3">
        <v>13603.572554222999</v>
      </c>
      <c r="O9" s="3">
        <v>8619.1704141150603</v>
      </c>
      <c r="P9" s="3">
        <v>128470.91331155128</v>
      </c>
    </row>
    <row r="10" spans="2:16" x14ac:dyDescent="0.25">
      <c r="B10" t="s">
        <v>238</v>
      </c>
      <c r="C10" t="s">
        <v>331</v>
      </c>
      <c r="D10" t="s">
        <v>51</v>
      </c>
      <c r="E10" s="3">
        <v>2596.3125936565602</v>
      </c>
      <c r="F10" s="3">
        <v>47515.760066263829</v>
      </c>
      <c r="G10" s="3">
        <v>12916.903315270451</v>
      </c>
      <c r="H10" s="3">
        <v>13025.740019769761</v>
      </c>
      <c r="I10" s="3">
        <v>9030.6593450130094</v>
      </c>
      <c r="J10" s="3">
        <v>25899.479576420301</v>
      </c>
      <c r="K10" s="3">
        <v>821.69004813709296</v>
      </c>
      <c r="L10" s="3">
        <v>599.89742713052397</v>
      </c>
      <c r="M10" s="3">
        <v>786.18903076774404</v>
      </c>
      <c r="N10" s="3">
        <v>15026.1991317257</v>
      </c>
      <c r="O10" s="3">
        <v>9508.0223630706696</v>
      </c>
      <c r="P10" s="3">
        <v>137726.85291722562</v>
      </c>
    </row>
    <row r="11" spans="2:16" x14ac:dyDescent="0.25">
      <c r="B11" t="s">
        <v>238</v>
      </c>
      <c r="C11" t="s">
        <v>331</v>
      </c>
      <c r="D11" t="s">
        <v>187</v>
      </c>
      <c r="E11" s="3">
        <v>3239.8722198630899</v>
      </c>
      <c r="F11" s="3">
        <v>56469.017541454989</v>
      </c>
      <c r="G11" s="3">
        <v>13965.878461134631</v>
      </c>
      <c r="H11" s="3">
        <v>14717.990301077391</v>
      </c>
      <c r="I11" s="3">
        <v>10427.259138063</v>
      </c>
      <c r="J11" s="3">
        <v>31354.825435716</v>
      </c>
      <c r="K11" s="3">
        <v>848.13299366713102</v>
      </c>
      <c r="L11" s="3">
        <v>724.99019351847198</v>
      </c>
      <c r="M11" s="3">
        <v>843.07909128561096</v>
      </c>
      <c r="N11" s="3">
        <v>17854.198822174701</v>
      </c>
      <c r="O11" s="3">
        <v>9961.8347447229407</v>
      </c>
      <c r="P11" s="3">
        <v>160407.07894267794</v>
      </c>
    </row>
    <row r="12" spans="2:16" x14ac:dyDescent="0.25">
      <c r="B12" t="s">
        <v>238</v>
      </c>
      <c r="C12" t="s">
        <v>331</v>
      </c>
      <c r="D12" t="s">
        <v>188</v>
      </c>
      <c r="E12" s="3">
        <v>3958.8214377244703</v>
      </c>
      <c r="F12" s="3">
        <v>64337.061939535182</v>
      </c>
      <c r="G12" s="3">
        <v>15303.4219231201</v>
      </c>
      <c r="H12" s="3">
        <v>15839.723250863204</v>
      </c>
      <c r="I12" s="3">
        <v>12839.7379500361</v>
      </c>
      <c r="J12" s="3">
        <v>38240.607487999099</v>
      </c>
      <c r="K12" s="3">
        <v>891.225201197562</v>
      </c>
      <c r="L12" s="3">
        <v>907.60737072715494</v>
      </c>
      <c r="M12" s="3">
        <v>1027.1816482392601</v>
      </c>
      <c r="N12" s="3">
        <v>18697.265840264699</v>
      </c>
      <c r="O12" s="3">
        <v>10232.8162388031</v>
      </c>
      <c r="P12" s="3">
        <v>182275.47028850991</v>
      </c>
    </row>
    <row r="13" spans="2:16" x14ac:dyDescent="0.25">
      <c r="B13" t="s">
        <v>238</v>
      </c>
      <c r="C13" t="s">
        <v>331</v>
      </c>
      <c r="D13" t="s">
        <v>189</v>
      </c>
      <c r="E13" s="3">
        <v>4127.0695562963101</v>
      </c>
      <c r="F13" s="3">
        <v>67605.679800125799</v>
      </c>
      <c r="G13" s="3">
        <v>15820.00074069203</v>
      </c>
      <c r="H13" s="3">
        <v>16302.8513509287</v>
      </c>
      <c r="I13" s="3">
        <v>14346.718704626501</v>
      </c>
      <c r="J13" s="3">
        <v>40250.029759100304</v>
      </c>
      <c r="K13" s="3">
        <v>942.15235555170898</v>
      </c>
      <c r="L13" s="3">
        <v>1029.9608794569699</v>
      </c>
      <c r="M13" s="3">
        <v>1220.76588194589</v>
      </c>
      <c r="N13" s="3">
        <v>19099.5852637811</v>
      </c>
      <c r="O13" s="3">
        <v>10107.9362129167</v>
      </c>
      <c r="P13" s="3">
        <v>190852.75050542207</v>
      </c>
    </row>
    <row r="14" spans="2:16" x14ac:dyDescent="0.25">
      <c r="B14" t="s">
        <v>238</v>
      </c>
      <c r="C14" t="s">
        <v>331</v>
      </c>
      <c r="D14" t="s">
        <v>190</v>
      </c>
      <c r="E14" s="3">
        <v>4110.5817460141807</v>
      </c>
      <c r="F14" s="3">
        <v>67795.367458498396</v>
      </c>
      <c r="G14" s="3">
        <v>15660.372508152099</v>
      </c>
      <c r="H14" s="3">
        <v>16065.81090292889</v>
      </c>
      <c r="I14" s="3">
        <v>14696.570226797099</v>
      </c>
      <c r="J14" s="3">
        <v>41010.969560392601</v>
      </c>
      <c r="K14" s="3">
        <v>983.28582637621196</v>
      </c>
      <c r="L14" s="3">
        <v>1064.65814312662</v>
      </c>
      <c r="M14" s="3">
        <v>1321.11362758158</v>
      </c>
      <c r="N14" s="3">
        <v>19130.170950949101</v>
      </c>
      <c r="O14" s="3">
        <v>9990.4020709060896</v>
      </c>
      <c r="P14" s="3">
        <v>191829.30302172285</v>
      </c>
    </row>
    <row r="15" spans="2:16" x14ac:dyDescent="0.25">
      <c r="B15" t="s">
        <v>238</v>
      </c>
      <c r="C15" t="s">
        <v>331</v>
      </c>
      <c r="D15" t="s">
        <v>191</v>
      </c>
      <c r="E15" s="3">
        <v>4145.7375441651502</v>
      </c>
      <c r="F15" s="3">
        <v>69028.337237920918</v>
      </c>
      <c r="G15" s="3">
        <v>15484.138256944399</v>
      </c>
      <c r="H15" s="3">
        <v>16235.233134945418</v>
      </c>
      <c r="I15" s="3">
        <v>14743.341820670201</v>
      </c>
      <c r="J15" s="3">
        <v>41177.060651293999</v>
      </c>
      <c r="K15" s="3">
        <v>1027.3574022596099</v>
      </c>
      <c r="L15" s="3">
        <v>1077.4413455312299</v>
      </c>
      <c r="M15" s="3">
        <v>1332.1755837933799</v>
      </c>
      <c r="N15" s="3">
        <v>19352.897493402601</v>
      </c>
      <c r="O15" s="3">
        <v>9983.8723963499397</v>
      </c>
      <c r="P15" s="3">
        <v>193587.59286727681</v>
      </c>
    </row>
    <row r="16" spans="2:16" x14ac:dyDescent="0.25">
      <c r="B16" t="s">
        <v>238</v>
      </c>
      <c r="C16" t="s">
        <v>331</v>
      </c>
      <c r="D16" t="s">
        <v>227</v>
      </c>
      <c r="E16" s="3">
        <v>4141.4317030883903</v>
      </c>
      <c r="F16" s="3">
        <v>70028.690046812655</v>
      </c>
      <c r="G16" s="3">
        <v>15379.930559107501</v>
      </c>
      <c r="H16" s="3">
        <v>16156.963436666061</v>
      </c>
      <c r="I16" s="3">
        <v>14925.7510367752</v>
      </c>
      <c r="J16" s="3">
        <v>41395.405119108102</v>
      </c>
      <c r="K16" s="3">
        <v>1046.9447693188899</v>
      </c>
      <c r="L16" s="3">
        <v>1057.35345603828</v>
      </c>
      <c r="M16" s="3">
        <v>1332.9657235228001</v>
      </c>
      <c r="N16" s="3">
        <v>19265.845922232402</v>
      </c>
      <c r="O16" s="3">
        <v>9885.9272780077208</v>
      </c>
      <c r="P16" s="3">
        <v>194617.20905067798</v>
      </c>
    </row>
    <row r="17" spans="2:16" x14ac:dyDescent="0.25">
      <c r="B17" t="s">
        <v>238</v>
      </c>
      <c r="C17" t="s">
        <v>331</v>
      </c>
      <c r="D17" t="s">
        <v>262</v>
      </c>
      <c r="E17" s="3">
        <v>4139.7783663427899</v>
      </c>
      <c r="F17" s="3">
        <v>69797.071432378725</v>
      </c>
      <c r="G17" s="3">
        <v>15217.084928152111</v>
      </c>
      <c r="H17" s="3">
        <v>16169.214974724931</v>
      </c>
      <c r="I17" s="3">
        <v>14815.370075234699</v>
      </c>
      <c r="J17" s="3">
        <v>41529.3043974471</v>
      </c>
      <c r="K17" s="3">
        <v>1048.90350602482</v>
      </c>
      <c r="L17" s="3">
        <v>1053.7011124941</v>
      </c>
      <c r="M17" s="3">
        <v>1332.9657235228001</v>
      </c>
      <c r="N17" s="3">
        <v>19321.527557845799</v>
      </c>
      <c r="O17" s="3">
        <v>9803.49013673636</v>
      </c>
      <c r="P17" s="3">
        <v>194228.41221090424</v>
      </c>
    </row>
    <row r="18" spans="2:16" x14ac:dyDescent="0.25">
      <c r="B18" t="s">
        <v>238</v>
      </c>
      <c r="C18" t="s">
        <v>331</v>
      </c>
      <c r="D18" t="s">
        <v>263</v>
      </c>
      <c r="E18" s="3">
        <v>4130.19451613195</v>
      </c>
      <c r="F18" s="3">
        <v>69307.87694499646</v>
      </c>
      <c r="G18" s="3">
        <v>15226.39027032233</v>
      </c>
      <c r="H18" s="3">
        <v>16095.86294185565</v>
      </c>
      <c r="I18" s="3">
        <v>14960.362016241301</v>
      </c>
      <c r="J18" s="3">
        <v>41299.762777437398</v>
      </c>
      <c r="K18" s="3">
        <v>1052.8209794366801</v>
      </c>
      <c r="L18" s="3">
        <v>1049.1356830638799</v>
      </c>
      <c r="M18" s="3">
        <v>1310.05167136977</v>
      </c>
      <c r="N18" s="3">
        <v>18755.300221044799</v>
      </c>
      <c r="O18" s="3">
        <v>9735.7447632163203</v>
      </c>
      <c r="P18" s="3">
        <v>192923.50278511652</v>
      </c>
    </row>
    <row r="19" spans="2:16" x14ac:dyDescent="0.25">
      <c r="B19" t="s">
        <v>238</v>
      </c>
      <c r="C19" t="s">
        <v>331</v>
      </c>
      <c r="D19" t="s">
        <v>264</v>
      </c>
      <c r="E19" s="3">
        <v>4059.21070806444</v>
      </c>
      <c r="F19" s="3">
        <v>68696.883013817089</v>
      </c>
      <c r="G19" s="3">
        <v>15181.03316594914</v>
      </c>
      <c r="H19" s="3">
        <v>16249.303954167603</v>
      </c>
      <c r="I19" s="3">
        <v>14868.68969225</v>
      </c>
      <c r="J19" s="3">
        <v>41339.419358130101</v>
      </c>
      <c r="K19" s="3">
        <v>1051.84161108372</v>
      </c>
      <c r="L19" s="3">
        <v>1052.7880266080599</v>
      </c>
      <c r="M19" s="3">
        <v>1327.4347454168999</v>
      </c>
      <c r="N19" s="3">
        <v>19021.160424889102</v>
      </c>
      <c r="O19" s="3">
        <v>9851.6464865879498</v>
      </c>
      <c r="P19" s="3">
        <v>192699.41118696405</v>
      </c>
    </row>
    <row r="20" spans="2:16" x14ac:dyDescent="0.25">
      <c r="B20" t="s">
        <v>238</v>
      </c>
      <c r="C20" t="s">
        <v>331</v>
      </c>
      <c r="D20" t="s">
        <v>265</v>
      </c>
      <c r="E20" s="3">
        <v>3984.2661861057104</v>
      </c>
      <c r="F20" s="3">
        <v>68300.535643427807</v>
      </c>
      <c r="G20" s="3">
        <v>15227.05989442164</v>
      </c>
      <c r="H20" s="3">
        <v>16448.06330361736</v>
      </c>
      <c r="I20" s="3">
        <v>14776.081936381301</v>
      </c>
      <c r="J20" s="3">
        <v>41645.4748514764</v>
      </c>
      <c r="K20" s="3">
        <v>1067.5115047311499</v>
      </c>
      <c r="L20" s="3">
        <v>1060.0927136964101</v>
      </c>
      <c r="M20" s="3">
        <v>1326.64460568748</v>
      </c>
      <c r="N20" s="3">
        <v>19991.275681984302</v>
      </c>
      <c r="O20" s="3">
        <v>9981.4237683913907</v>
      </c>
      <c r="P20" s="3">
        <v>193808.43008992093</v>
      </c>
    </row>
    <row r="21" spans="2:16" x14ac:dyDescent="0.25">
      <c r="B21" t="s">
        <v>238</v>
      </c>
      <c r="C21" t="s">
        <v>331</v>
      </c>
      <c r="D21" t="s">
        <v>266</v>
      </c>
      <c r="E21" s="3">
        <v>4170.55538043467</v>
      </c>
      <c r="F21" s="3">
        <v>68168.752638663602</v>
      </c>
      <c r="G21" s="3">
        <v>15324.80039406154</v>
      </c>
      <c r="H21" s="3">
        <v>16501.109471256939</v>
      </c>
      <c r="I21" s="3">
        <v>15061.3886590071</v>
      </c>
      <c r="J21" s="3">
        <v>45465.103394198799</v>
      </c>
      <c r="K21" s="3">
        <v>1137.04665779162</v>
      </c>
      <c r="L21" s="3">
        <v>1103.9208362264901</v>
      </c>
      <c r="M21" s="3">
        <v>1326.64460568748</v>
      </c>
      <c r="N21" s="3">
        <v>21362.926114206999</v>
      </c>
      <c r="O21" s="3">
        <v>10041.8232580358</v>
      </c>
      <c r="P21" s="3">
        <v>199664.07140957101</v>
      </c>
    </row>
    <row r="22" spans="2:16" x14ac:dyDescent="0.25">
      <c r="B22" t="s">
        <v>238</v>
      </c>
      <c r="C22" t="s">
        <v>331</v>
      </c>
      <c r="D22" t="s">
        <v>267</v>
      </c>
      <c r="E22" s="3">
        <v>4477.0465002425099</v>
      </c>
      <c r="F22" s="3">
        <v>70163.468119867059</v>
      </c>
      <c r="G22" s="3">
        <v>15055.746644875071</v>
      </c>
      <c r="H22" s="3">
        <v>16491.97108687917</v>
      </c>
      <c r="I22" s="3">
        <v>15754.543680205999</v>
      </c>
      <c r="J22" s="3">
        <v>47904.216380806</v>
      </c>
      <c r="K22" s="3">
        <v>1157.6133932038699</v>
      </c>
      <c r="L22" s="3">
        <v>1095.7030632521</v>
      </c>
      <c r="M22" s="3">
        <v>1355.8797756758299</v>
      </c>
      <c r="N22" s="3">
        <v>20902.5723099104</v>
      </c>
      <c r="O22" s="3">
        <v>10019.785606408799</v>
      </c>
      <c r="P22" s="3">
        <v>204378.54656132683</v>
      </c>
    </row>
    <row r="23" spans="2:16" x14ac:dyDescent="0.25">
      <c r="B23" t="s">
        <v>238</v>
      </c>
      <c r="C23" t="s">
        <v>331</v>
      </c>
      <c r="D23" t="s">
        <v>268</v>
      </c>
      <c r="E23" s="3">
        <v>4317.5101350947998</v>
      </c>
      <c r="F23" s="3">
        <v>69627.350895939977</v>
      </c>
      <c r="G23" s="3">
        <v>14889.043480138911</v>
      </c>
      <c r="H23" s="3">
        <v>16249.171062526011</v>
      </c>
      <c r="I23" s="3">
        <v>15045.486317090301</v>
      </c>
      <c r="J23" s="3">
        <v>46756.0417327494</v>
      </c>
      <c r="K23" s="3">
        <v>1148.79907802719</v>
      </c>
      <c r="L23" s="3">
        <v>1068.3104866707999</v>
      </c>
      <c r="M23" s="3">
        <v>1379.5839675582699</v>
      </c>
      <c r="N23" s="3">
        <v>21033.541790860199</v>
      </c>
      <c r="O23" s="3">
        <v>10040.190839396701</v>
      </c>
      <c r="P23" s="3">
        <v>201555.02978605256</v>
      </c>
    </row>
    <row r="24" spans="2:16" x14ac:dyDescent="0.25">
      <c r="B24" t="s">
        <v>238</v>
      </c>
      <c r="C24" t="s">
        <v>331</v>
      </c>
      <c r="D24" t="s">
        <v>269</v>
      </c>
      <c r="E24" s="3">
        <v>4082.55692124392</v>
      </c>
      <c r="F24" s="3">
        <v>67802.355951175283</v>
      </c>
      <c r="G24" s="3">
        <v>14704.210621670081</v>
      </c>
      <c r="H24" s="3">
        <v>15993.57301002956</v>
      </c>
      <c r="I24" s="3">
        <v>14629.219131619901</v>
      </c>
      <c r="J24" s="3">
        <v>44260.476437156001</v>
      </c>
      <c r="K24" s="3">
        <v>1134.10855273272</v>
      </c>
      <c r="L24" s="3">
        <v>1029.9608794569699</v>
      </c>
      <c r="M24" s="3">
        <v>1344.02767973461</v>
      </c>
      <c r="N24" s="3">
        <v>20687.688251346099</v>
      </c>
      <c r="O24" s="3">
        <v>9905.5163016761708</v>
      </c>
      <c r="P24" s="3">
        <v>195573.69373784127</v>
      </c>
    </row>
    <row r="25" spans="2:16" x14ac:dyDescent="0.25">
      <c r="B25" t="s">
        <v>238</v>
      </c>
      <c r="C25" t="s">
        <v>331</v>
      </c>
      <c r="D25" t="s">
        <v>270</v>
      </c>
      <c r="E25" s="3">
        <v>3791.74511471096</v>
      </c>
      <c r="F25" s="3">
        <v>63599.276784075031</v>
      </c>
      <c r="G25" s="3">
        <v>14526.476277199839</v>
      </c>
      <c r="H25" s="3">
        <v>15540.168096416932</v>
      </c>
      <c r="I25" s="3">
        <v>13893.034244057701</v>
      </c>
      <c r="J25" s="3">
        <v>41308.160641584102</v>
      </c>
      <c r="K25" s="3">
        <v>1106.68623884972</v>
      </c>
      <c r="L25" s="3">
        <v>994.35052990127997</v>
      </c>
      <c r="M25" s="3">
        <v>1306.8911124521101</v>
      </c>
      <c r="N25" s="3">
        <v>20014.018885263002</v>
      </c>
      <c r="O25" s="3">
        <v>9537.4058985733409</v>
      </c>
      <c r="P25" s="3">
        <v>185618.21382308402</v>
      </c>
    </row>
    <row r="26" spans="2:16" x14ac:dyDescent="0.25">
      <c r="B26" t="s">
        <v>238</v>
      </c>
      <c r="C26" t="s">
        <v>331</v>
      </c>
      <c r="D26" t="s">
        <v>271</v>
      </c>
      <c r="E26" s="3">
        <v>3456.9203856784397</v>
      </c>
      <c r="F26" s="3">
        <v>59545.95103147957</v>
      </c>
      <c r="G26" s="3">
        <v>14128.44682869588</v>
      </c>
      <c r="H26" s="3">
        <v>14813.808216940841</v>
      </c>
      <c r="I26" s="3">
        <v>13011.857415488999</v>
      </c>
      <c r="J26" s="3">
        <v>37925.221034489798</v>
      </c>
      <c r="K26" s="3">
        <v>1053.80034778965</v>
      </c>
      <c r="L26" s="3">
        <v>943.21772028284795</v>
      </c>
      <c r="M26" s="3">
        <v>1265.80384652254</v>
      </c>
      <c r="N26" s="3">
        <v>18029.870461293001</v>
      </c>
      <c r="O26" s="3">
        <v>9676.9776922109904</v>
      </c>
      <c r="P26" s="3">
        <v>173851.87498087253</v>
      </c>
    </row>
    <row r="27" spans="2:16" x14ac:dyDescent="0.25">
      <c r="B27" t="s">
        <v>238</v>
      </c>
      <c r="C27" t="s">
        <v>331</v>
      </c>
      <c r="D27" t="s">
        <v>272</v>
      </c>
      <c r="E27" s="3">
        <v>3156.1614303835499</v>
      </c>
      <c r="F27" s="3">
        <v>56283.323307469225</v>
      </c>
      <c r="G27" s="3">
        <v>13584.64813359407</v>
      </c>
      <c r="H27" s="3">
        <v>13950.509971969735</v>
      </c>
      <c r="I27" s="3">
        <v>11966.0445764871</v>
      </c>
      <c r="J27" s="3">
        <v>33819.132014763301</v>
      </c>
      <c r="K27" s="3">
        <v>989.16203649399802</v>
      </c>
      <c r="L27" s="3">
        <v>849.16987402037603</v>
      </c>
      <c r="M27" s="3">
        <v>1197.06169006345</v>
      </c>
      <c r="N27" s="3">
        <v>16967.213894305001</v>
      </c>
      <c r="O27" s="3">
        <v>9284.3810095226108</v>
      </c>
      <c r="P27" s="3">
        <v>162046.80793907243</v>
      </c>
    </row>
    <row r="28" spans="2:16" x14ac:dyDescent="0.25">
      <c r="B28" t="s">
        <v>238</v>
      </c>
      <c r="C28" t="s">
        <v>331</v>
      </c>
      <c r="D28" t="s">
        <v>273</v>
      </c>
      <c r="E28" s="3">
        <v>2913.7774156202599</v>
      </c>
      <c r="F28" s="3">
        <v>51032.96859493223</v>
      </c>
      <c r="G28" s="3">
        <v>13008.729164672139</v>
      </c>
      <c r="H28" s="3">
        <v>13173.429214051852</v>
      </c>
      <c r="I28" s="3">
        <v>10942.682102544301</v>
      </c>
      <c r="J28" s="3">
        <v>30229.511640058699</v>
      </c>
      <c r="K28" s="3">
        <v>922.564988492422</v>
      </c>
      <c r="L28" s="3">
        <v>740.51265358120997</v>
      </c>
      <c r="M28" s="3">
        <v>1069.84919362766</v>
      </c>
      <c r="N28" s="3">
        <v>15700.6527461977</v>
      </c>
      <c r="O28" s="3">
        <v>8881.9898150000008</v>
      </c>
      <c r="P28" s="3">
        <v>148616.66752877849</v>
      </c>
    </row>
    <row r="29" spans="2:16" x14ac:dyDescent="0.25">
      <c r="B29" t="s">
        <v>0</v>
      </c>
      <c r="E29" s="3">
        <v>84854.265753424639</v>
      </c>
      <c r="F29" s="3">
        <v>1438630.1369863015</v>
      </c>
      <c r="G29" s="3">
        <v>342158.26027397276</v>
      </c>
      <c r="H29" s="3">
        <v>356848.2904109587</v>
      </c>
      <c r="I29" s="3">
        <v>304368.9534246574</v>
      </c>
      <c r="J29" s="3">
        <v>884657.60244947975</v>
      </c>
      <c r="K29" s="3">
        <v>23561.643835616447</v>
      </c>
      <c r="L29" s="3">
        <v>21364.383561643834</v>
      </c>
      <c r="M29" s="3">
        <v>27550.592085235887</v>
      </c>
      <c r="N29" s="3">
        <v>426211.55068493146</v>
      </c>
      <c r="O29" s="3">
        <v>228142.74794520557</v>
      </c>
      <c r="P29" s="3">
        <v>4138348.4274114273</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C2:F38"/>
  <sheetViews>
    <sheetView workbookViewId="0">
      <selection activeCell="G8" sqref="G8"/>
    </sheetView>
  </sheetViews>
  <sheetFormatPr defaultRowHeight="15" x14ac:dyDescent="0.25"/>
  <cols>
    <col min="3" max="3" width="17.7109375" customWidth="1"/>
    <col min="4" max="4" width="16.28515625" customWidth="1"/>
    <col min="5" max="7" width="12" bestFit="1" customWidth="1"/>
    <col min="8" max="8" width="12" customWidth="1"/>
    <col min="9" max="9" width="18.140625" bestFit="1" customWidth="1"/>
    <col min="10" max="10" width="8.7109375" customWidth="1"/>
    <col min="11" max="12" width="12" bestFit="1" customWidth="1"/>
    <col min="13" max="13" width="11" bestFit="1" customWidth="1"/>
    <col min="14" max="14" width="12" bestFit="1" customWidth="1"/>
  </cols>
  <sheetData>
    <row r="2" spans="3:5" x14ac:dyDescent="0.25">
      <c r="C2" s="1" t="s">
        <v>186</v>
      </c>
      <c r="D2" t="s">
        <v>238</v>
      </c>
    </row>
    <row r="4" spans="3:5" x14ac:dyDescent="0.25">
      <c r="C4" s="1" t="s">
        <v>13</v>
      </c>
      <c r="D4" s="1" t="s">
        <v>44</v>
      </c>
    </row>
    <row r="5" spans="3:5" x14ac:dyDescent="0.25">
      <c r="C5" s="1" t="s">
        <v>45</v>
      </c>
      <c r="D5" t="s">
        <v>244</v>
      </c>
      <c r="E5" t="s">
        <v>0</v>
      </c>
    </row>
    <row r="6" spans="3:5" x14ac:dyDescent="0.25">
      <c r="C6" s="2" t="s">
        <v>6</v>
      </c>
      <c r="D6" s="3">
        <v>30.971806999999998</v>
      </c>
      <c r="E6" s="3">
        <v>30.971806999999998</v>
      </c>
    </row>
    <row r="7" spans="3:5" x14ac:dyDescent="0.25">
      <c r="C7" s="2" t="s">
        <v>19</v>
      </c>
      <c r="D7" s="3">
        <v>525.1</v>
      </c>
      <c r="E7" s="3">
        <v>525.1</v>
      </c>
    </row>
    <row r="8" spans="3:5" x14ac:dyDescent="0.25">
      <c r="C8" s="2" t="s">
        <v>7</v>
      </c>
      <c r="D8" s="3">
        <v>124.887765</v>
      </c>
      <c r="E8" s="3">
        <v>124.887765</v>
      </c>
    </row>
    <row r="9" spans="3:5" x14ac:dyDescent="0.25">
      <c r="C9" s="2" t="s">
        <v>8</v>
      </c>
      <c r="D9" s="3">
        <v>130.24962600000001</v>
      </c>
      <c r="E9" s="3">
        <v>130.24962600000001</v>
      </c>
    </row>
    <row r="10" spans="3:5" x14ac:dyDescent="0.25">
      <c r="C10" s="2" t="s">
        <v>193</v>
      </c>
      <c r="D10" s="3">
        <v>111.094668</v>
      </c>
      <c r="E10" s="3">
        <v>111.094668</v>
      </c>
    </row>
    <row r="11" spans="3:5" x14ac:dyDescent="0.25">
      <c r="C11" s="2" t="s">
        <v>226</v>
      </c>
      <c r="D11" s="3">
        <v>322.90002489405998</v>
      </c>
      <c r="E11" s="3">
        <v>322.90002489405998</v>
      </c>
    </row>
    <row r="12" spans="3:5" x14ac:dyDescent="0.25">
      <c r="C12" s="2" t="s">
        <v>17</v>
      </c>
      <c r="D12" s="3">
        <v>8.6</v>
      </c>
      <c r="E12" s="3">
        <v>8.6</v>
      </c>
    </row>
    <row r="13" spans="3:5" x14ac:dyDescent="0.25">
      <c r="C13" s="2" t="s">
        <v>20</v>
      </c>
      <c r="D13" s="3">
        <v>7.798</v>
      </c>
      <c r="E13" s="3">
        <v>7.798</v>
      </c>
    </row>
    <row r="14" spans="3:5" x14ac:dyDescent="0.25">
      <c r="C14" s="2" t="s">
        <v>21</v>
      </c>
      <c r="D14" s="3">
        <v>10.055966111111101</v>
      </c>
      <c r="E14" s="3">
        <v>10.055966111111101</v>
      </c>
    </row>
    <row r="15" spans="3:5" x14ac:dyDescent="0.25">
      <c r="C15" s="2" t="s">
        <v>22</v>
      </c>
      <c r="D15" s="3">
        <v>155.567216</v>
      </c>
      <c r="E15" s="3">
        <v>155.567216</v>
      </c>
    </row>
    <row r="16" spans="3:5" x14ac:dyDescent="0.25">
      <c r="C16" s="2" t="s">
        <v>18</v>
      </c>
      <c r="D16" s="3">
        <v>83.272103000000001</v>
      </c>
      <c r="E16" s="3">
        <v>83.272103000000001</v>
      </c>
    </row>
    <row r="17" spans="3:6" x14ac:dyDescent="0.25">
      <c r="C17" s="2" t="s">
        <v>0</v>
      </c>
      <c r="D17" s="3">
        <v>1510.4971760051708</v>
      </c>
      <c r="E17" s="3">
        <v>1510.4971760051708</v>
      </c>
    </row>
    <row r="26" spans="3:6" x14ac:dyDescent="0.25">
      <c r="E26" s="2"/>
      <c r="F26" s="7"/>
    </row>
    <row r="27" spans="3:6" x14ac:dyDescent="0.25">
      <c r="E27" s="2"/>
      <c r="F27" s="7"/>
    </row>
    <row r="28" spans="3:6" x14ac:dyDescent="0.25">
      <c r="E28" s="2"/>
      <c r="F28" s="7"/>
    </row>
    <row r="29" spans="3:6" x14ac:dyDescent="0.25">
      <c r="E29" s="2"/>
      <c r="F29" s="7"/>
    </row>
    <row r="30" spans="3:6" x14ac:dyDescent="0.25">
      <c r="E30" s="2"/>
      <c r="F30" s="7"/>
    </row>
    <row r="31" spans="3:6" x14ac:dyDescent="0.25">
      <c r="E31" s="2"/>
      <c r="F31" s="7"/>
    </row>
    <row r="32" spans="3:6" x14ac:dyDescent="0.25">
      <c r="E32" s="2"/>
      <c r="F32" s="7"/>
    </row>
    <row r="33" spans="5:6" x14ac:dyDescent="0.25">
      <c r="E33" s="2"/>
      <c r="F33" s="7"/>
    </row>
    <row r="34" spans="5:6" x14ac:dyDescent="0.25">
      <c r="E34" s="2"/>
      <c r="F34" s="7"/>
    </row>
    <row r="35" spans="5:6" x14ac:dyDescent="0.25">
      <c r="E35" s="2"/>
      <c r="F35" s="7"/>
    </row>
    <row r="36" spans="5:6" x14ac:dyDescent="0.25">
      <c r="E36" s="2"/>
      <c r="F36" s="7"/>
    </row>
    <row r="37" spans="5:6" x14ac:dyDescent="0.25">
      <c r="E37" s="2"/>
      <c r="F37" s="7"/>
    </row>
    <row r="38" spans="5:6" x14ac:dyDescent="0.25">
      <c r="E38" s="2"/>
      <c r="F38" s="7"/>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2:M9"/>
  <sheetViews>
    <sheetView zoomScale="85" zoomScaleNormal="85" workbookViewId="0">
      <selection activeCell="F7" sqref="F7"/>
    </sheetView>
  </sheetViews>
  <sheetFormatPr defaultRowHeight="15" x14ac:dyDescent="0.25"/>
  <cols>
    <col min="2" max="2" width="11.28515625" customWidth="1"/>
    <col min="3" max="3" width="8.140625" bestFit="1" customWidth="1"/>
    <col min="4" max="12" width="13.5703125" customWidth="1"/>
    <col min="13" max="13" width="12.28515625" bestFit="1" customWidth="1"/>
    <col min="14" max="33" width="15.42578125" bestFit="1" customWidth="1"/>
    <col min="34" max="35" width="11.28515625" customWidth="1"/>
    <col min="36" max="36" width="11.28515625" bestFit="1" customWidth="1"/>
    <col min="37" max="37" width="13.5703125" bestFit="1" customWidth="1"/>
    <col min="38" max="38" width="25.28515625" bestFit="1" customWidth="1"/>
    <col min="39" max="39" width="16.5703125" bestFit="1" customWidth="1"/>
    <col min="40" max="40" width="25.28515625" bestFit="1" customWidth="1"/>
    <col min="41" max="41" width="16.7109375" bestFit="1" customWidth="1"/>
    <col min="42" max="42" width="15" bestFit="1" customWidth="1"/>
    <col min="43" max="43" width="25.28515625" bestFit="1" customWidth="1"/>
    <col min="44" max="44" width="14.42578125" bestFit="1" customWidth="1"/>
    <col min="45" max="45" width="13.42578125" bestFit="1" customWidth="1"/>
    <col min="46" max="46" width="27.7109375" bestFit="1" customWidth="1"/>
    <col min="47" max="47" width="16.28515625" bestFit="1" customWidth="1"/>
    <col min="48" max="48" width="26.85546875" bestFit="1" customWidth="1"/>
    <col min="49" max="49" width="13.5703125" bestFit="1" customWidth="1"/>
    <col min="50" max="50" width="18.5703125" bestFit="1" customWidth="1"/>
    <col min="51" max="51" width="16.42578125" bestFit="1" customWidth="1"/>
    <col min="52" max="52" width="15" bestFit="1" customWidth="1"/>
    <col min="53" max="53" width="17.7109375" bestFit="1" customWidth="1"/>
    <col min="54" max="54" width="22.85546875" bestFit="1" customWidth="1"/>
    <col min="55" max="55" width="23.85546875" bestFit="1" customWidth="1"/>
    <col min="56" max="56" width="24.140625" bestFit="1" customWidth="1"/>
    <col min="57" max="57" width="24.85546875" bestFit="1" customWidth="1"/>
    <col min="58" max="64" width="23.85546875" bestFit="1" customWidth="1"/>
    <col min="65" max="65" width="14.140625" bestFit="1" customWidth="1"/>
    <col min="66" max="66" width="11.28515625" bestFit="1" customWidth="1"/>
    <col min="67" max="67" width="27.5703125" bestFit="1" customWidth="1"/>
    <col min="68" max="68" width="14.28515625" bestFit="1" customWidth="1"/>
    <col min="69" max="69" width="27.28515625" bestFit="1" customWidth="1"/>
    <col min="70" max="70" width="16.28515625" bestFit="1" customWidth="1"/>
    <col min="71" max="71" width="16.42578125" bestFit="1" customWidth="1"/>
    <col min="72" max="72" width="11.28515625" bestFit="1" customWidth="1"/>
  </cols>
  <sheetData>
    <row r="2" spans="2:13" x14ac:dyDescent="0.25">
      <c r="B2" s="1" t="s">
        <v>186</v>
      </c>
      <c r="C2" t="s">
        <v>238</v>
      </c>
    </row>
    <row r="4" spans="2:13" x14ac:dyDescent="0.25">
      <c r="B4" s="1" t="s">
        <v>152</v>
      </c>
      <c r="D4" s="1" t="s">
        <v>12</v>
      </c>
    </row>
    <row r="5" spans="2:13" x14ac:dyDescent="0.25">
      <c r="B5" s="1" t="s">
        <v>11</v>
      </c>
      <c r="C5" s="1" t="s">
        <v>319</v>
      </c>
      <c r="D5" t="s">
        <v>155</v>
      </c>
      <c r="E5" t="s">
        <v>10</v>
      </c>
      <c r="F5" t="s">
        <v>219</v>
      </c>
      <c r="G5" t="s">
        <v>156</v>
      </c>
      <c r="H5" t="s">
        <v>220</v>
      </c>
      <c r="I5" t="s">
        <v>223</v>
      </c>
      <c r="J5" t="s">
        <v>224</v>
      </c>
      <c r="K5" t="s">
        <v>179</v>
      </c>
      <c r="L5" t="s">
        <v>301</v>
      </c>
      <c r="M5" t="s">
        <v>0</v>
      </c>
    </row>
    <row r="6" spans="2:13" x14ac:dyDescent="0.25">
      <c r="B6" t="s">
        <v>17</v>
      </c>
      <c r="C6" t="s">
        <v>244</v>
      </c>
      <c r="D6" s="3">
        <v>1.173333333333332E-3</v>
      </c>
      <c r="E6" s="3">
        <v>2.93333333333333E-4</v>
      </c>
      <c r="F6" s="3">
        <v>2.93333333333333E-4</v>
      </c>
      <c r="G6" s="3">
        <v>2.6399999999999969E-3</v>
      </c>
      <c r="H6" s="3">
        <v>1.7599999999999979E-3</v>
      </c>
      <c r="I6" s="3">
        <v>5.86666666666666E-4</v>
      </c>
      <c r="J6" s="3">
        <v>2.93333333333333E-4</v>
      </c>
      <c r="K6" s="3">
        <v>3.2266666666666628E-3</v>
      </c>
      <c r="L6" s="3">
        <v>5.86666666666666E-4</v>
      </c>
      <c r="M6" s="3">
        <v>1.0853333333333321E-2</v>
      </c>
    </row>
    <row r="7" spans="2:13" x14ac:dyDescent="0.25">
      <c r="B7" t="s">
        <v>17</v>
      </c>
      <c r="C7" t="s">
        <v>333</v>
      </c>
      <c r="D7" s="3">
        <v>1.173333333333332E-3</v>
      </c>
      <c r="E7" s="3">
        <v>2.93333333333333E-4</v>
      </c>
      <c r="F7" s="3">
        <v>2.93333333333333E-4</v>
      </c>
      <c r="G7" s="3">
        <v>2.6399999999999969E-3</v>
      </c>
      <c r="H7" s="3">
        <v>1.7599999999999979E-3</v>
      </c>
      <c r="I7" s="3">
        <v>5.86666666666666E-4</v>
      </c>
      <c r="J7" s="3">
        <v>2.93333333333333E-4</v>
      </c>
      <c r="K7" s="3">
        <v>3.2266666666666628E-3</v>
      </c>
      <c r="L7" s="3">
        <v>5.86666666666666E-4</v>
      </c>
      <c r="M7" s="3">
        <v>1.0853333333333321E-2</v>
      </c>
    </row>
    <row r="8" spans="2:13" x14ac:dyDescent="0.25">
      <c r="B8" t="s">
        <v>17</v>
      </c>
      <c r="C8" t="s">
        <v>334</v>
      </c>
      <c r="D8" s="3">
        <v>1.173333333333332E-3</v>
      </c>
      <c r="E8" s="3">
        <v>2.93333333333333E-4</v>
      </c>
      <c r="F8" s="3">
        <v>2.93333333333333E-4</v>
      </c>
      <c r="G8" s="3">
        <v>2.6399999999999969E-3</v>
      </c>
      <c r="H8" s="3">
        <v>1.4666666666666649E-3</v>
      </c>
      <c r="I8" s="3">
        <v>5.86666666666666E-4</v>
      </c>
      <c r="J8" s="3">
        <v>2.93333333333333E-4</v>
      </c>
      <c r="K8" s="3">
        <v>2.0533333333333311E-3</v>
      </c>
      <c r="L8" s="3">
        <v>5.86666666666666E-4</v>
      </c>
      <c r="M8" s="3">
        <v>9.386666666666656E-3</v>
      </c>
    </row>
    <row r="9" spans="2:13" x14ac:dyDescent="0.25">
      <c r="B9" t="s">
        <v>0</v>
      </c>
      <c r="D9" s="3">
        <v>3.5199999999999962E-3</v>
      </c>
      <c r="E9" s="3">
        <v>8.7999999999999906E-4</v>
      </c>
      <c r="F9" s="3">
        <v>8.7999999999999906E-4</v>
      </c>
      <c r="G9" s="3">
        <v>7.9199999999999913E-3</v>
      </c>
      <c r="H9" s="3">
        <v>4.986666666666661E-3</v>
      </c>
      <c r="I9" s="3">
        <v>1.7599999999999981E-3</v>
      </c>
      <c r="J9" s="3">
        <v>8.7999999999999906E-4</v>
      </c>
      <c r="K9" s="3">
        <v>8.5066666666666572E-3</v>
      </c>
      <c r="L9" s="3">
        <v>1.7599999999999981E-3</v>
      </c>
      <c r="M9" s="3">
        <v>3.1093333333333299E-2</v>
      </c>
    </row>
  </sheetData>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3:F11"/>
  <sheetViews>
    <sheetView topLeftCell="A3" zoomScale="85" zoomScaleNormal="85" workbookViewId="0">
      <selection activeCell="E6" sqref="E6"/>
    </sheetView>
  </sheetViews>
  <sheetFormatPr defaultRowHeight="15" x14ac:dyDescent="0.25"/>
  <cols>
    <col min="2" max="2" width="20" bestFit="1" customWidth="1"/>
    <col min="3" max="3" width="16.28515625" customWidth="1"/>
    <col min="4" max="4" width="13.140625" customWidth="1"/>
    <col min="5" max="5" width="12.28515625" bestFit="1" customWidth="1"/>
    <col min="6" max="8" width="12.28515625" customWidth="1"/>
    <col min="9" max="11" width="12.28515625" bestFit="1" customWidth="1"/>
  </cols>
  <sheetData>
    <row r="3" spans="2:6" x14ac:dyDescent="0.25">
      <c r="B3" s="1" t="s">
        <v>14</v>
      </c>
      <c r="E3" s="1" t="s">
        <v>12</v>
      </c>
    </row>
    <row r="4" spans="2:6" x14ac:dyDescent="0.25">
      <c r="B4" s="1" t="s">
        <v>11</v>
      </c>
      <c r="C4" s="1" t="s">
        <v>310</v>
      </c>
      <c r="D4" s="1" t="s">
        <v>311</v>
      </c>
      <c r="E4" t="s">
        <v>302</v>
      </c>
      <c r="F4" t="s">
        <v>0</v>
      </c>
    </row>
    <row r="5" spans="2:6" x14ac:dyDescent="0.25">
      <c r="B5" t="s">
        <v>6</v>
      </c>
      <c r="C5" t="s">
        <v>244</v>
      </c>
      <c r="D5" t="s">
        <v>244</v>
      </c>
      <c r="E5" s="3">
        <v>3848.812583491163</v>
      </c>
      <c r="F5" s="3">
        <v>3848.812583491163</v>
      </c>
    </row>
    <row r="6" spans="2:6" x14ac:dyDescent="0.25">
      <c r="B6" t="s">
        <v>18</v>
      </c>
      <c r="C6" t="s">
        <v>244</v>
      </c>
      <c r="D6" t="s">
        <v>244</v>
      </c>
      <c r="E6" s="3">
        <v>5448.4864935458263</v>
      </c>
      <c r="F6" s="3">
        <v>5448.4864935458263</v>
      </c>
    </row>
    <row r="7" spans="2:6" x14ac:dyDescent="0.25">
      <c r="B7" t="s">
        <v>19</v>
      </c>
      <c r="C7" t="s">
        <v>244</v>
      </c>
      <c r="D7" t="s">
        <v>244</v>
      </c>
      <c r="E7" s="3">
        <v>1526832.6172089882</v>
      </c>
      <c r="F7" s="3">
        <v>1526832.6172089882</v>
      </c>
    </row>
    <row r="8" spans="2:6" x14ac:dyDescent="0.25">
      <c r="B8" t="s">
        <v>7</v>
      </c>
      <c r="C8" t="s">
        <v>244</v>
      </c>
      <c r="D8" t="s">
        <v>244</v>
      </c>
      <c r="E8" s="3">
        <v>3384.0810394701089</v>
      </c>
      <c r="F8" s="3">
        <v>3384.0810394701089</v>
      </c>
    </row>
    <row r="9" spans="2:6" x14ac:dyDescent="0.25">
      <c r="B9" t="s">
        <v>8</v>
      </c>
      <c r="C9" t="s">
        <v>244</v>
      </c>
      <c r="D9" t="s">
        <v>244</v>
      </c>
      <c r="E9" s="3">
        <v>24124.780072436944</v>
      </c>
      <c r="F9" s="3">
        <v>24124.780072436944</v>
      </c>
    </row>
    <row r="10" spans="2:6" x14ac:dyDescent="0.25">
      <c r="B10" t="s">
        <v>17</v>
      </c>
      <c r="C10" t="s">
        <v>244</v>
      </c>
      <c r="D10" t="s">
        <v>244</v>
      </c>
      <c r="E10" s="3">
        <v>216.25424082828599</v>
      </c>
      <c r="F10" s="3">
        <v>216.25424082828599</v>
      </c>
    </row>
    <row r="11" spans="2:6" x14ac:dyDescent="0.25">
      <c r="B11" t="s">
        <v>0</v>
      </c>
      <c r="E11" s="3">
        <v>1563855.0316387606</v>
      </c>
      <c r="F11" s="3">
        <v>1563855.0316387606</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13</vt:i4>
      </vt:variant>
    </vt:vector>
  </HeadingPairs>
  <TitlesOfParts>
    <vt:vector size="33" baseType="lpstr">
      <vt:lpstr>Control</vt:lpstr>
      <vt:lpstr>Queries_BB3</vt:lpstr>
      <vt:lpstr>Queries_BB4</vt:lpstr>
      <vt:lpstr>EL Prices</vt:lpstr>
      <vt:lpstr>HE Prices</vt:lpstr>
      <vt:lpstr>EL GEN - Annual</vt:lpstr>
      <vt:lpstr>EL GEN - Time</vt:lpstr>
      <vt:lpstr>HE GEN - Annual</vt:lpstr>
      <vt:lpstr>HE GEN - Time</vt:lpstr>
      <vt:lpstr>Fuel CON - Time</vt:lpstr>
      <vt:lpstr>Fuel CON - Annual</vt:lpstr>
      <vt:lpstr>Emissions - Annual</vt:lpstr>
      <vt:lpstr>HE STO - Time</vt:lpstr>
      <vt:lpstr>HY STO - Time</vt:lpstr>
      <vt:lpstr>EL TRAN - Time</vt:lpstr>
      <vt:lpstr>EL TRAN - Annual</vt:lpstr>
      <vt:lpstr>EL DEM - Time</vt:lpstr>
      <vt:lpstr>EL DEM - Annual</vt:lpstr>
      <vt:lpstr>EL GEN CAP Exo</vt:lpstr>
      <vt:lpstr>EL GEN CAP ENDO</vt:lpstr>
      <vt:lpstr>C_filter</vt:lpstr>
      <vt:lpstr>CountryCB</vt:lpstr>
      <vt:lpstr>DE</vt:lpstr>
      <vt:lpstr>IGK</vt:lpstr>
      <vt:lpstr>O_Model</vt:lpstr>
      <vt:lpstr>QEEQ</vt:lpstr>
      <vt:lpstr>QHEQ</vt:lpstr>
      <vt:lpstr>STO</vt:lpstr>
      <vt:lpstr>VGE_T</vt:lpstr>
      <vt:lpstr>VGF_T</vt:lpstr>
      <vt:lpstr>VGH_T</vt:lpstr>
      <vt:lpstr>VGKN</vt:lpstr>
      <vt:lpstr>VX_T</vt:lpstr>
    </vt:vector>
  </TitlesOfParts>
  <Company>Tallinn University of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Koduvere</dc:creator>
  <cp:lastModifiedBy>Hardi Koduvere</cp:lastModifiedBy>
  <dcterms:created xsi:type="dcterms:W3CDTF">2016-12-19T16:50:24Z</dcterms:created>
  <dcterms:modified xsi:type="dcterms:W3CDTF">2018-04-18T13:37:01Z</dcterms:modified>
</cp:coreProperties>
</file>